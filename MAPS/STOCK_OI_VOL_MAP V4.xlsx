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EX\GEX-main\MAPS\"/>
    </mc:Choice>
  </mc:AlternateContent>
  <xr:revisionPtr revIDLastSave="0" documentId="13_ncr:1_{6B397EE4-21ED-4D12-9D5D-53254A43BDE0}" xr6:coauthVersionLast="47" xr6:coauthVersionMax="47" xr10:uidLastSave="{00000000-0000-0000-0000-000000000000}"/>
  <bookViews>
    <workbookView xWindow="0" yWindow="450" windowWidth="28800" windowHeight="15750" activeTab="1" xr2:uid="{00000000-000D-0000-FFFF-FFFF00000000}"/>
  </bookViews>
  <sheets>
    <sheet name="OI-VOL (2)" sheetId="5" r:id="rId1"/>
    <sheet name="OI-VOL" sheetId="1" r:id="rId2"/>
    <sheet name="OI HISTORICAL" sheetId="2" r:id="rId3"/>
    <sheet name="OHLC" sheetId="3" state="hidden" r:id="rId4"/>
    <sheet name="TASTYOHL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5" l="1"/>
  <c r="D3" i="5" s="1"/>
  <c r="E3" i="5" s="1"/>
  <c r="F3" i="5" s="1"/>
  <c r="G3" i="5" s="1"/>
  <c r="H3" i="5" l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G3" i="1"/>
  <c r="A3" i="1"/>
  <c r="A1" i="1"/>
  <c r="Z2" i="5"/>
  <c r="Y2" i="5"/>
  <c r="A52" i="5"/>
  <c r="G1" i="5" s="1"/>
  <c r="A52" i="1"/>
  <c r="P3" i="2"/>
  <c r="O3" i="2" s="1"/>
  <c r="N3" i="2" s="1"/>
  <c r="M3" i="2" s="1"/>
  <c r="L3" i="2" s="1"/>
  <c r="K3" i="2" s="1"/>
  <c r="J3" i="2" s="1"/>
  <c r="I3" i="2" s="1"/>
  <c r="H3" i="2" s="1"/>
  <c r="G3" i="2" s="1"/>
  <c r="F3" i="2" s="1"/>
  <c r="E3" i="2" s="1"/>
  <c r="D3" i="2" s="1"/>
  <c r="C3" i="2" s="1"/>
  <c r="B3" i="2" s="1"/>
  <c r="Q3" i="2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3" i="2"/>
  <c r="AB4" i="2"/>
  <c r="AJ14" i="2"/>
  <c r="AJ15" i="2" s="1"/>
  <c r="AJ16" i="2" s="1"/>
  <c r="AJ17" i="2" s="1"/>
  <c r="AJ18" i="2" s="1"/>
  <c r="AJ19" i="2" s="1"/>
  <c r="AJ20" i="2" s="1"/>
  <c r="T3" i="5" l="1"/>
  <c r="U3" i="5" s="1"/>
  <c r="V3" i="5" s="1"/>
  <c r="W3" i="5" s="1"/>
  <c r="R3" i="1"/>
  <c r="F3" i="1"/>
  <c r="I3" i="1"/>
  <c r="H3" i="1"/>
  <c r="R1" i="5"/>
  <c r="F1" i="5"/>
  <c r="H1" i="5"/>
  <c r="I1" i="5"/>
  <c r="A3" i="3"/>
  <c r="E3" i="1" l="1"/>
  <c r="E1" i="5"/>
  <c r="J3" i="1"/>
  <c r="K3" i="1"/>
  <c r="J1" i="5"/>
  <c r="O1" i="2"/>
  <c r="O52" i="2" s="1"/>
  <c r="D3" i="1" l="1"/>
  <c r="D1" i="5"/>
  <c r="L3" i="1"/>
  <c r="K1" i="5"/>
  <c r="A1" i="2"/>
  <c r="C1" i="2"/>
  <c r="C52" i="2" s="1"/>
  <c r="D1" i="2"/>
  <c r="D52" i="2" s="1"/>
  <c r="AB75" i="2"/>
  <c r="AD74" i="2"/>
  <c r="AB73" i="2"/>
  <c r="AD72" i="2"/>
  <c r="AB71" i="2"/>
  <c r="AD70" i="2"/>
  <c r="AB69" i="2"/>
  <c r="AD68" i="2"/>
  <c r="AB67" i="2"/>
  <c r="AD66" i="2"/>
  <c r="AB65" i="2"/>
  <c r="AD64" i="2"/>
  <c r="AB63" i="2"/>
  <c r="AD62" i="2"/>
  <c r="AB61" i="2"/>
  <c r="AD60" i="2"/>
  <c r="AB59" i="2"/>
  <c r="AD58" i="2"/>
  <c r="AB57" i="2"/>
  <c r="AD56" i="2"/>
  <c r="AB55" i="2"/>
  <c r="AD54" i="2"/>
  <c r="AB53" i="2"/>
  <c r="AD52" i="2"/>
  <c r="AB51" i="2"/>
  <c r="AD50" i="2"/>
  <c r="AB49" i="2"/>
  <c r="AD48" i="2"/>
  <c r="AB47" i="2"/>
  <c r="AD46" i="2"/>
  <c r="AB45" i="2"/>
  <c r="AD44" i="2"/>
  <c r="AB43" i="2"/>
  <c r="AD42" i="2"/>
  <c r="AB41" i="2"/>
  <c r="AD40" i="2"/>
  <c r="AB39" i="2"/>
  <c r="AD38" i="2"/>
  <c r="AB37" i="2"/>
  <c r="AD36" i="2"/>
  <c r="AB35" i="2"/>
  <c r="AD34" i="2"/>
  <c r="AB33" i="2"/>
  <c r="AD32" i="2"/>
  <c r="AB31" i="2"/>
  <c r="AD30" i="2"/>
  <c r="AB29" i="2"/>
  <c r="AD28" i="2"/>
  <c r="AB27" i="2"/>
  <c r="AD26" i="2"/>
  <c r="AB25" i="2"/>
  <c r="AD24" i="2"/>
  <c r="AB23" i="2"/>
  <c r="AD22" i="2"/>
  <c r="AB21" i="2"/>
  <c r="AE75" i="2"/>
  <c r="AA75" i="2"/>
  <c r="AC74" i="2"/>
  <c r="AE73" i="2"/>
  <c r="AA73" i="2"/>
  <c r="AC72" i="2"/>
  <c r="AE71" i="2"/>
  <c r="AA71" i="2"/>
  <c r="AC70" i="2"/>
  <c r="AE69" i="2"/>
  <c r="AA69" i="2"/>
  <c r="AC68" i="2"/>
  <c r="AE67" i="2"/>
  <c r="AA67" i="2"/>
  <c r="AC66" i="2"/>
  <c r="AE65" i="2"/>
  <c r="AA65" i="2"/>
  <c r="AC64" i="2"/>
  <c r="AE63" i="2"/>
  <c r="AA63" i="2"/>
  <c r="AC62" i="2"/>
  <c r="AE61" i="2"/>
  <c r="AA61" i="2"/>
  <c r="AC60" i="2"/>
  <c r="AE59" i="2"/>
  <c r="AA59" i="2"/>
  <c r="AC58" i="2"/>
  <c r="AE57" i="2"/>
  <c r="AA57" i="2"/>
  <c r="AC56" i="2"/>
  <c r="AE55" i="2"/>
  <c r="AA55" i="2"/>
  <c r="AC54" i="2"/>
  <c r="AE53" i="2"/>
  <c r="AA53" i="2"/>
  <c r="AC52" i="2"/>
  <c r="AE51" i="2"/>
  <c r="AA51" i="2"/>
  <c r="AC50" i="2"/>
  <c r="AE49" i="2"/>
  <c r="AA49" i="2"/>
  <c r="AC48" i="2"/>
  <c r="AE47" i="2"/>
  <c r="AA47" i="2"/>
  <c r="AC46" i="2"/>
  <c r="AE45" i="2"/>
  <c r="AA45" i="2"/>
  <c r="AC44" i="2"/>
  <c r="AE43" i="2"/>
  <c r="AA43" i="2"/>
  <c r="AC42" i="2"/>
  <c r="AE41" i="2"/>
  <c r="AA41" i="2"/>
  <c r="AC40" i="2"/>
  <c r="AE39" i="2"/>
  <c r="AA39" i="2"/>
  <c r="AC38" i="2"/>
  <c r="AE37" i="2"/>
  <c r="AA37" i="2"/>
  <c r="AC36" i="2"/>
  <c r="AE35" i="2"/>
  <c r="AA35" i="2"/>
  <c r="AC34" i="2"/>
  <c r="AE33" i="2"/>
  <c r="AA33" i="2"/>
  <c r="AC32" i="2"/>
  <c r="AE31" i="2"/>
  <c r="AA31" i="2"/>
  <c r="AC30" i="2"/>
  <c r="AE29" i="2"/>
  <c r="AA29" i="2"/>
  <c r="AC28" i="2"/>
  <c r="AE27" i="2"/>
  <c r="AC26" i="2"/>
  <c r="AE25" i="2"/>
  <c r="AC24" i="2"/>
  <c r="AE23" i="2"/>
  <c r="AC22" i="2"/>
  <c r="AE21" i="2"/>
  <c r="AD75" i="2"/>
  <c r="AB74" i="2"/>
  <c r="AD73" i="2"/>
  <c r="AB72" i="2"/>
  <c r="AD71" i="2"/>
  <c r="AB70" i="2"/>
  <c r="AD69" i="2"/>
  <c r="AB68" i="2"/>
  <c r="AD67" i="2"/>
  <c r="AB66" i="2"/>
  <c r="AD65" i="2"/>
  <c r="AB64" i="2"/>
  <c r="AD63" i="2"/>
  <c r="AB62" i="2"/>
  <c r="AD61" i="2"/>
  <c r="AB60" i="2"/>
  <c r="AD59" i="2"/>
  <c r="AB58" i="2"/>
  <c r="AD57" i="2"/>
  <c r="AB56" i="2"/>
  <c r="AD55" i="2"/>
  <c r="AB54" i="2"/>
  <c r="AD53" i="2"/>
  <c r="AB52" i="2"/>
  <c r="AD51" i="2"/>
  <c r="AB50" i="2"/>
  <c r="AD49" i="2"/>
  <c r="AB48" i="2"/>
  <c r="AD47" i="2"/>
  <c r="AB46" i="2"/>
  <c r="AD45" i="2"/>
  <c r="AB44" i="2"/>
  <c r="AD43" i="2"/>
  <c r="AB42" i="2"/>
  <c r="AD41" i="2"/>
  <c r="AB40" i="2"/>
  <c r="AD39" i="2"/>
  <c r="AB38" i="2"/>
  <c r="AD37" i="2"/>
  <c r="AB36" i="2"/>
  <c r="AD35" i="2"/>
  <c r="AB34" i="2"/>
  <c r="AD33" i="2"/>
  <c r="AB32" i="2"/>
  <c r="AD31" i="2"/>
  <c r="AB30" i="2"/>
  <c r="AD29" i="2"/>
  <c r="AB28" i="2"/>
  <c r="AD27" i="2"/>
  <c r="AB26" i="2"/>
  <c r="AD25" i="2"/>
  <c r="AB24" i="2"/>
  <c r="AD23" i="2"/>
  <c r="AB22" i="2"/>
  <c r="AD21" i="2"/>
  <c r="AC75" i="2"/>
  <c r="AE72" i="2"/>
  <c r="AA70" i="2"/>
  <c r="AC67" i="2"/>
  <c r="AE64" i="2"/>
  <c r="AA62" i="2"/>
  <c r="AC59" i="2"/>
  <c r="AE56" i="2"/>
  <c r="AA54" i="2"/>
  <c r="AC51" i="2"/>
  <c r="AE48" i="2"/>
  <c r="AA46" i="2"/>
  <c r="AC43" i="2"/>
  <c r="AE40" i="2"/>
  <c r="AA38" i="2"/>
  <c r="AC35" i="2"/>
  <c r="AE32" i="2"/>
  <c r="AA30" i="2"/>
  <c r="AC27" i="2"/>
  <c r="AE24" i="2"/>
  <c r="AC13" i="2"/>
  <c r="AE12" i="2"/>
  <c r="AC11" i="2"/>
  <c r="AE10" i="2"/>
  <c r="AC9" i="2"/>
  <c r="AE8" i="2"/>
  <c r="AC7" i="2"/>
  <c r="AE6" i="2"/>
  <c r="AC5" i="2"/>
  <c r="AE4" i="2"/>
  <c r="AC3" i="2"/>
  <c r="AE2" i="2"/>
  <c r="AC1" i="2"/>
  <c r="AA68" i="2"/>
  <c r="AE62" i="2"/>
  <c r="AA60" i="2"/>
  <c r="AE54" i="2"/>
  <c r="AC49" i="2"/>
  <c r="AE46" i="2"/>
  <c r="AE38" i="2"/>
  <c r="AA36" i="2"/>
  <c r="AE30" i="2"/>
  <c r="AC25" i="2"/>
  <c r="AE22" i="2"/>
  <c r="AD11" i="2"/>
  <c r="AD9" i="2"/>
  <c r="AB8" i="2"/>
  <c r="AD3" i="2"/>
  <c r="AB2" i="2"/>
  <c r="AE74" i="2"/>
  <c r="AA72" i="2"/>
  <c r="AC69" i="2"/>
  <c r="AE66" i="2"/>
  <c r="AA64" i="2"/>
  <c r="AC61" i="2"/>
  <c r="AE58" i="2"/>
  <c r="AA56" i="2"/>
  <c r="AC53" i="2"/>
  <c r="AE50" i="2"/>
  <c r="AA48" i="2"/>
  <c r="AC45" i="2"/>
  <c r="AE42" i="2"/>
  <c r="AA40" i="2"/>
  <c r="AC37" i="2"/>
  <c r="AE34" i="2"/>
  <c r="AA32" i="2"/>
  <c r="AC29" i="2"/>
  <c r="AE26" i="2"/>
  <c r="AC21" i="2"/>
  <c r="AB13" i="2"/>
  <c r="AD12" i="2"/>
  <c r="AB11" i="2"/>
  <c r="AD10" i="2"/>
  <c r="AB9" i="2"/>
  <c r="AD8" i="2"/>
  <c r="AB7" i="2"/>
  <c r="AD6" i="2"/>
  <c r="AB5" i="2"/>
  <c r="AD4" i="2"/>
  <c r="AB3" i="2"/>
  <c r="AD2" i="2"/>
  <c r="AB1" i="2"/>
  <c r="AE70" i="2"/>
  <c r="AC65" i="2"/>
  <c r="AC57" i="2"/>
  <c r="AA52" i="2"/>
  <c r="AA44" i="2"/>
  <c r="AC41" i="2"/>
  <c r="AC33" i="2"/>
  <c r="AA28" i="2"/>
  <c r="AD13" i="2"/>
  <c r="AB12" i="2"/>
  <c r="AD7" i="2"/>
  <c r="AB6" i="2"/>
  <c r="AD1" i="2"/>
  <c r="AA74" i="2"/>
  <c r="AC71" i="2"/>
  <c r="AE68" i="2"/>
  <c r="AA66" i="2"/>
  <c r="AC63" i="2"/>
  <c r="AE60" i="2"/>
  <c r="AA58" i="2"/>
  <c r="AC55" i="2"/>
  <c r="AE52" i="2"/>
  <c r="AA50" i="2"/>
  <c r="AC47" i="2"/>
  <c r="AE44" i="2"/>
  <c r="AA42" i="2"/>
  <c r="AC39" i="2"/>
  <c r="AE36" i="2"/>
  <c r="AA34" i="2"/>
  <c r="AC31" i="2"/>
  <c r="AE28" i="2"/>
  <c r="AC23" i="2"/>
  <c r="AE13" i="2"/>
  <c r="AC12" i="2"/>
  <c r="AE11" i="2"/>
  <c r="AC10" i="2"/>
  <c r="AE9" i="2"/>
  <c r="AC8" i="2"/>
  <c r="AE7" i="2"/>
  <c r="AC6" i="2"/>
  <c r="AE5" i="2"/>
  <c r="AC4" i="2"/>
  <c r="AE3" i="2"/>
  <c r="AC2" i="2"/>
  <c r="AE1" i="2"/>
  <c r="AA1" i="2"/>
  <c r="AC73" i="2"/>
  <c r="AB10" i="2"/>
  <c r="AD5" i="2"/>
  <c r="E1" i="2"/>
  <c r="E52" i="2" s="1"/>
  <c r="C3" i="1" l="1"/>
  <c r="C1" i="5"/>
  <c r="L1" i="5"/>
  <c r="M3" i="1"/>
  <c r="M1" i="1" s="1"/>
  <c r="A2" i="3"/>
  <c r="F1" i="2"/>
  <c r="F52" i="2" s="1"/>
  <c r="K1" i="1"/>
  <c r="J1" i="1"/>
  <c r="R1" i="1"/>
  <c r="L1" i="1"/>
  <c r="B1" i="5" l="1"/>
  <c r="B52" i="5" s="1"/>
  <c r="C52" i="5" s="1"/>
  <c r="D52" i="5" s="1"/>
  <c r="E52" i="5" s="1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B3" i="1"/>
  <c r="B1" i="1" s="1"/>
  <c r="B52" i="1" s="1"/>
  <c r="C52" i="1" s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N3" i="1"/>
  <c r="N1" i="1" s="1"/>
  <c r="M1" i="5"/>
  <c r="B1" i="2"/>
  <c r="G1" i="2"/>
  <c r="G52" i="2" s="1"/>
  <c r="D1" i="1"/>
  <c r="C1" i="1"/>
  <c r="O3" i="1" l="1"/>
  <c r="O1" i="1" s="1"/>
  <c r="N1" i="5"/>
  <c r="B52" i="2"/>
  <c r="H1" i="2"/>
  <c r="H52" i="2" s="1"/>
  <c r="E1" i="1"/>
  <c r="P3" i="1" l="1"/>
  <c r="P1" i="1" s="1"/>
  <c r="O1" i="5"/>
  <c r="I1" i="2"/>
  <c r="I52" i="2" s="1"/>
  <c r="F1" i="1"/>
  <c r="P1" i="5" l="1"/>
  <c r="Q3" i="1"/>
  <c r="Q1" i="1" s="1"/>
  <c r="J1" i="2"/>
  <c r="J52" i="2" s="1"/>
  <c r="H1" i="1"/>
  <c r="I1" i="1"/>
  <c r="G1" i="1"/>
  <c r="S3" i="1" l="1"/>
  <c r="S1" i="1" s="1"/>
  <c r="Q1" i="5"/>
  <c r="K1" i="2"/>
  <c r="K52" i="2" s="1"/>
  <c r="U3" i="1" l="1"/>
  <c r="U1" i="1" s="1"/>
  <c r="S1" i="5"/>
  <c r="L1" i="2"/>
  <c r="L52" i="2" s="1"/>
  <c r="T1" i="5" l="1"/>
  <c r="T3" i="1"/>
  <c r="T1" i="1" s="1"/>
  <c r="U1" i="5"/>
  <c r="M1" i="2"/>
  <c r="M52" i="2" s="1"/>
  <c r="V1" i="5" l="1"/>
  <c r="V3" i="1"/>
  <c r="V1" i="1" s="1"/>
  <c r="W1" i="5"/>
  <c r="W3" i="1"/>
  <c r="W1" i="1" s="1"/>
  <c r="N1" i="2"/>
  <c r="N52" i="2" s="1"/>
  <c r="P1" i="2" l="1"/>
  <c r="P52" i="2" s="1"/>
  <c r="Q1" i="2" l="1"/>
  <c r="Q52" i="2" s="1"/>
  <c r="R1" i="2" l="1"/>
  <c r="R52" i="2" s="1"/>
  <c r="S1" i="2" l="1"/>
  <c r="S52" i="2" s="1"/>
  <c r="T1" i="2" l="1"/>
  <c r="T52" i="2" s="1"/>
  <c r="U1" i="2" l="1"/>
  <c r="U52" i="2" s="1"/>
  <c r="W1" i="2" l="1"/>
  <c r="W52" i="2" s="1"/>
  <c r="V1" i="2"/>
  <c r="V52" i="2" s="1"/>
  <c r="A4" i="1" l="1"/>
  <c r="A28" i="1" s="1"/>
  <c r="B2" i="1"/>
  <c r="A27" i="1" l="1"/>
  <c r="A29" i="1"/>
  <c r="C2" i="1"/>
  <c r="B28" i="1"/>
  <c r="A3" i="2"/>
  <c r="B2" i="2" s="1"/>
  <c r="AA3" i="1"/>
  <c r="A4" i="5"/>
  <c r="A28" i="5" s="1"/>
  <c r="B29" i="1" l="1"/>
  <c r="B27" i="1"/>
  <c r="C2" i="2"/>
  <c r="A29" i="5"/>
  <c r="A27" i="5"/>
  <c r="AB3" i="5"/>
  <c r="B2" i="5"/>
  <c r="A4" i="2"/>
  <c r="C29" i="1"/>
  <c r="D2" i="1"/>
  <c r="D28" i="1" s="1"/>
  <c r="C28" i="1"/>
  <c r="C27" i="1"/>
  <c r="A1" i="3"/>
  <c r="A30" i="1"/>
  <c r="A26" i="1"/>
  <c r="B1" i="3" a="1"/>
  <c r="D27" i="1" l="1"/>
  <c r="D29" i="1"/>
  <c r="C26" i="1"/>
  <c r="D26" i="1"/>
  <c r="C30" i="1"/>
  <c r="D30" i="1"/>
  <c r="B1" i="3"/>
  <c r="A28" i="2"/>
  <c r="C28" i="2" s="1"/>
  <c r="AN20" i="2"/>
  <c r="AE20" i="2" s="1"/>
  <c r="AN15" i="2"/>
  <c r="AE15" i="2" s="1"/>
  <c r="AL20" i="2"/>
  <c r="AC20" i="2" s="1"/>
  <c r="AM19" i="2"/>
  <c r="AD19" i="2" s="1"/>
  <c r="AN17" i="2"/>
  <c r="AE17" i="2" s="1"/>
  <c r="AL17" i="2"/>
  <c r="AC17" i="2" s="1"/>
  <c r="AL16" i="2"/>
  <c r="AC16" i="2" s="1"/>
  <c r="AM14" i="2"/>
  <c r="AD14" i="2" s="1"/>
  <c r="AK14" i="2"/>
  <c r="AB14" i="2" s="1"/>
  <c r="AK18" i="2"/>
  <c r="AB18" i="2" s="1"/>
  <c r="AK17" i="2"/>
  <c r="AB17" i="2" s="1"/>
  <c r="AN19" i="2"/>
  <c r="AE19" i="2" s="1"/>
  <c r="AL19" i="2"/>
  <c r="AC19" i="2" s="1"/>
  <c r="AM18" i="2"/>
  <c r="AD18" i="2" s="1"/>
  <c r="AM16" i="2"/>
  <c r="AD16" i="2" s="1"/>
  <c r="AK16" i="2"/>
  <c r="AB16" i="2" s="1"/>
  <c r="AL15" i="2"/>
  <c r="AC15" i="2" s="1"/>
  <c r="AK19" i="2"/>
  <c r="AB19" i="2" s="1"/>
  <c r="AK20" i="2"/>
  <c r="AB20" i="2" s="1"/>
  <c r="AN14" i="2"/>
  <c r="AE14" i="2" s="1"/>
  <c r="AM20" i="2"/>
  <c r="AD20" i="2" s="1"/>
  <c r="AN18" i="2"/>
  <c r="AE18" i="2" s="1"/>
  <c r="AL18" i="2"/>
  <c r="AC18" i="2" s="1"/>
  <c r="AM17" i="2"/>
  <c r="AD17" i="2" s="1"/>
  <c r="AM15" i="2"/>
  <c r="AD15" i="2" s="1"/>
  <c r="AK15" i="2"/>
  <c r="AB15" i="2" s="1"/>
  <c r="AL14" i="2"/>
  <c r="AC14" i="2" s="1"/>
  <c r="AN16" i="2"/>
  <c r="AE16" i="2" s="1"/>
  <c r="A30" i="5"/>
  <c r="B30" i="5" s="1"/>
  <c r="D2" i="2"/>
  <c r="C2" i="5"/>
  <c r="B28" i="5"/>
  <c r="B29" i="5"/>
  <c r="B27" i="5"/>
  <c r="A31" i="1"/>
  <c r="B30" i="1"/>
  <c r="A26" i="5"/>
  <c r="A25" i="1"/>
  <c r="B26" i="1"/>
  <c r="E2" i="1"/>
  <c r="E28" i="1" l="1"/>
  <c r="E27" i="1"/>
  <c r="E29" i="1"/>
  <c r="E26" i="1"/>
  <c r="E30" i="1"/>
  <c r="D31" i="1"/>
  <c r="E31" i="1"/>
  <c r="D25" i="1"/>
  <c r="E25" i="1"/>
  <c r="F2" i="1"/>
  <c r="A24" i="1"/>
  <c r="B25" i="1"/>
  <c r="C25" i="1"/>
  <c r="A32" i="1"/>
  <c r="B31" i="1"/>
  <c r="C31" i="1"/>
  <c r="D28" i="2"/>
  <c r="E2" i="2"/>
  <c r="D2" i="5"/>
  <c r="C27" i="5"/>
  <c r="C29" i="5"/>
  <c r="C28" i="5"/>
  <c r="C30" i="5"/>
  <c r="C26" i="5"/>
  <c r="A31" i="5"/>
  <c r="C31" i="5" s="1"/>
  <c r="A25" i="5"/>
  <c r="B26" i="5"/>
  <c r="A80" i="2"/>
  <c r="A27" i="2"/>
  <c r="A29" i="2"/>
  <c r="B28" i="2"/>
  <c r="F28" i="1" l="1"/>
  <c r="F29" i="1"/>
  <c r="F27" i="1"/>
  <c r="F26" i="1"/>
  <c r="F30" i="1"/>
  <c r="F25" i="1"/>
  <c r="F31" i="1"/>
  <c r="F24" i="1"/>
  <c r="F32" i="1"/>
  <c r="D24" i="1"/>
  <c r="E24" i="1"/>
  <c r="D32" i="1"/>
  <c r="E32" i="1"/>
  <c r="A79" i="2"/>
  <c r="A26" i="2"/>
  <c r="E26" i="2" s="1"/>
  <c r="B27" i="2"/>
  <c r="C27" i="2"/>
  <c r="A32" i="5"/>
  <c r="B31" i="5"/>
  <c r="D25" i="5"/>
  <c r="D27" i="5"/>
  <c r="E2" i="5"/>
  <c r="D29" i="5"/>
  <c r="D28" i="5"/>
  <c r="D31" i="5"/>
  <c r="D32" i="5"/>
  <c r="D26" i="5"/>
  <c r="D30" i="5"/>
  <c r="D27" i="2"/>
  <c r="A23" i="1"/>
  <c r="B24" i="1"/>
  <c r="C24" i="1"/>
  <c r="A24" i="5"/>
  <c r="D24" i="5" s="1"/>
  <c r="B25" i="5"/>
  <c r="C25" i="5"/>
  <c r="G2" i="1"/>
  <c r="A81" i="2"/>
  <c r="A30" i="2"/>
  <c r="E30" i="2" s="1"/>
  <c r="B29" i="2"/>
  <c r="C29" i="2"/>
  <c r="F2" i="2"/>
  <c r="E28" i="2"/>
  <c r="E29" i="2"/>
  <c r="E27" i="2"/>
  <c r="D29" i="2"/>
  <c r="A33" i="1"/>
  <c r="B32" i="1"/>
  <c r="C32" i="1"/>
  <c r="F33" i="1" l="1"/>
  <c r="F23" i="1"/>
  <c r="D33" i="1"/>
  <c r="E33" i="1"/>
  <c r="D23" i="1"/>
  <c r="E23" i="1"/>
  <c r="A22" i="1"/>
  <c r="B23" i="1"/>
  <c r="C23" i="1"/>
  <c r="F28" i="2"/>
  <c r="F30" i="2"/>
  <c r="G2" i="2"/>
  <c r="F27" i="2"/>
  <c r="F26" i="2"/>
  <c r="F29" i="2"/>
  <c r="A82" i="2"/>
  <c r="A31" i="2"/>
  <c r="F31" i="2" s="1"/>
  <c r="B30" i="2"/>
  <c r="C30" i="2"/>
  <c r="D30" i="2"/>
  <c r="G23" i="1"/>
  <c r="G31" i="1"/>
  <c r="G27" i="1"/>
  <c r="G28" i="1"/>
  <c r="H2" i="1"/>
  <c r="G33" i="1"/>
  <c r="G25" i="1"/>
  <c r="G29" i="1"/>
  <c r="G32" i="1"/>
  <c r="G30" i="1"/>
  <c r="G24" i="1"/>
  <c r="G26" i="1"/>
  <c r="A23" i="5"/>
  <c r="E23" i="5" s="1"/>
  <c r="B24" i="5"/>
  <c r="C24" i="5"/>
  <c r="E24" i="5"/>
  <c r="F2" i="5"/>
  <c r="E31" i="5"/>
  <c r="E28" i="5"/>
  <c r="E25" i="5"/>
  <c r="E32" i="5"/>
  <c r="E26" i="5"/>
  <c r="E29" i="5"/>
  <c r="E30" i="5"/>
  <c r="E27" i="5"/>
  <c r="A78" i="2"/>
  <c r="A25" i="2"/>
  <c r="B26" i="2"/>
  <c r="C26" i="2"/>
  <c r="D26" i="2"/>
  <c r="A34" i="1"/>
  <c r="B33" i="1"/>
  <c r="C33" i="1"/>
  <c r="A33" i="5"/>
  <c r="B32" i="5"/>
  <c r="C32" i="5"/>
  <c r="G22" i="1" l="1"/>
  <c r="F34" i="1"/>
  <c r="F22" i="1"/>
  <c r="G34" i="1"/>
  <c r="D34" i="1"/>
  <c r="E34" i="1"/>
  <c r="D22" i="1"/>
  <c r="E22" i="1"/>
  <c r="A77" i="2"/>
  <c r="A24" i="2"/>
  <c r="G24" i="2" s="1"/>
  <c r="B25" i="2"/>
  <c r="C25" i="2"/>
  <c r="D25" i="2"/>
  <c r="E25" i="2"/>
  <c r="H34" i="1"/>
  <c r="H32" i="1"/>
  <c r="H26" i="1"/>
  <c r="H28" i="1"/>
  <c r="H22" i="1"/>
  <c r="H24" i="1"/>
  <c r="H30" i="1"/>
  <c r="H33" i="1"/>
  <c r="H25" i="1"/>
  <c r="H29" i="1"/>
  <c r="I2" i="1"/>
  <c r="H23" i="1"/>
  <c r="H31" i="1"/>
  <c r="H27" i="1"/>
  <c r="A21" i="1"/>
  <c r="B22" i="1"/>
  <c r="C22" i="1"/>
  <c r="A34" i="5"/>
  <c r="F34" i="5" s="1"/>
  <c r="B33" i="5"/>
  <c r="C33" i="5"/>
  <c r="D33" i="5"/>
  <c r="A83" i="2"/>
  <c r="A32" i="2"/>
  <c r="G32" i="2" s="1"/>
  <c r="B31" i="2"/>
  <c r="C31" i="2"/>
  <c r="D31" i="2"/>
  <c r="E31" i="2"/>
  <c r="G25" i="2"/>
  <c r="G27" i="2"/>
  <c r="G26" i="2"/>
  <c r="H2" i="2"/>
  <c r="G28" i="2"/>
  <c r="G29" i="2"/>
  <c r="G31" i="2"/>
  <c r="G30" i="2"/>
  <c r="E33" i="5"/>
  <c r="A22" i="5"/>
  <c r="F22" i="5" s="1"/>
  <c r="B23" i="5"/>
  <c r="C23" i="5"/>
  <c r="D23" i="5"/>
  <c r="A35" i="1"/>
  <c r="B34" i="1"/>
  <c r="C34" i="1"/>
  <c r="F33" i="5"/>
  <c r="F27" i="5"/>
  <c r="F25" i="5"/>
  <c r="G2" i="5"/>
  <c r="F30" i="5"/>
  <c r="F28" i="5"/>
  <c r="F26" i="5"/>
  <c r="F31" i="5"/>
  <c r="F32" i="5"/>
  <c r="F23" i="5"/>
  <c r="F29" i="5"/>
  <c r="F24" i="5"/>
  <c r="F25" i="2"/>
  <c r="F35" i="1" l="1"/>
  <c r="F21" i="1"/>
  <c r="H21" i="1"/>
  <c r="D21" i="1"/>
  <c r="E21" i="1"/>
  <c r="H35" i="1"/>
  <c r="D35" i="1"/>
  <c r="E35" i="1"/>
  <c r="G31" i="5"/>
  <c r="G33" i="5"/>
  <c r="G24" i="5"/>
  <c r="G28" i="5"/>
  <c r="G30" i="5"/>
  <c r="G34" i="5"/>
  <c r="G22" i="5"/>
  <c r="G26" i="5"/>
  <c r="G27" i="5"/>
  <c r="G32" i="5"/>
  <c r="H2" i="5"/>
  <c r="G29" i="5"/>
  <c r="G23" i="5"/>
  <c r="G25" i="5"/>
  <c r="H30" i="2"/>
  <c r="H26" i="2"/>
  <c r="I2" i="2"/>
  <c r="H27" i="2"/>
  <c r="H25" i="2"/>
  <c r="H32" i="2"/>
  <c r="H31" i="2"/>
  <c r="H24" i="2"/>
  <c r="H28" i="2"/>
  <c r="H29" i="2"/>
  <c r="A35" i="5"/>
  <c r="B34" i="5"/>
  <c r="C34" i="5"/>
  <c r="D34" i="5"/>
  <c r="E34" i="5"/>
  <c r="I22" i="1"/>
  <c r="I32" i="1"/>
  <c r="I30" i="1"/>
  <c r="I21" i="1"/>
  <c r="I23" i="1"/>
  <c r="I25" i="1"/>
  <c r="I29" i="1"/>
  <c r="I35" i="1"/>
  <c r="I33" i="1"/>
  <c r="I31" i="1"/>
  <c r="I27" i="1"/>
  <c r="I34" i="1"/>
  <c r="I24" i="1"/>
  <c r="I26" i="1"/>
  <c r="I28" i="1"/>
  <c r="J2" i="1"/>
  <c r="A76" i="2"/>
  <c r="A23" i="2"/>
  <c r="B24" i="2"/>
  <c r="C24" i="2"/>
  <c r="D24" i="2"/>
  <c r="E24" i="2"/>
  <c r="F24" i="2"/>
  <c r="A36" i="1"/>
  <c r="B35" i="1"/>
  <c r="C35" i="1"/>
  <c r="G35" i="1"/>
  <c r="A84" i="2"/>
  <c r="A33" i="2"/>
  <c r="B32" i="2"/>
  <c r="C32" i="2"/>
  <c r="D32" i="2"/>
  <c r="E32" i="2"/>
  <c r="F32" i="2"/>
  <c r="A21" i="5"/>
  <c r="B22" i="5"/>
  <c r="C22" i="5"/>
  <c r="D22" i="5"/>
  <c r="E22" i="5"/>
  <c r="A20" i="1"/>
  <c r="B21" i="1"/>
  <c r="C21" i="1"/>
  <c r="G21" i="1"/>
  <c r="F20" i="1" l="1"/>
  <c r="F36" i="1"/>
  <c r="D20" i="1"/>
  <c r="E20" i="1"/>
  <c r="D36" i="1"/>
  <c r="E36" i="1"/>
  <c r="A85" i="2"/>
  <c r="A34" i="2"/>
  <c r="I34" i="2" s="1"/>
  <c r="B33" i="2"/>
  <c r="C33" i="2"/>
  <c r="D33" i="2"/>
  <c r="E33" i="2"/>
  <c r="F33" i="2"/>
  <c r="G33" i="2"/>
  <c r="A37" i="1"/>
  <c r="B36" i="1"/>
  <c r="C36" i="1"/>
  <c r="G36" i="1"/>
  <c r="H36" i="1"/>
  <c r="A36" i="5"/>
  <c r="H36" i="5" s="1"/>
  <c r="B35" i="5"/>
  <c r="C35" i="5"/>
  <c r="D35" i="5"/>
  <c r="E35" i="5"/>
  <c r="F35" i="5"/>
  <c r="I23" i="2"/>
  <c r="I30" i="2"/>
  <c r="I26" i="2"/>
  <c r="I25" i="2"/>
  <c r="I24" i="2"/>
  <c r="J2" i="2"/>
  <c r="I28" i="2"/>
  <c r="I29" i="2"/>
  <c r="I31" i="2"/>
  <c r="I33" i="2"/>
  <c r="I27" i="2"/>
  <c r="I32" i="2"/>
  <c r="A20" i="5"/>
  <c r="H20" i="5" s="1"/>
  <c r="B21" i="5"/>
  <c r="C21" i="5"/>
  <c r="D21" i="5"/>
  <c r="E21" i="5"/>
  <c r="F21" i="5"/>
  <c r="I36" i="1"/>
  <c r="J36" i="1"/>
  <c r="J23" i="1"/>
  <c r="J31" i="1"/>
  <c r="J29" i="1"/>
  <c r="K2" i="1"/>
  <c r="J20" i="1"/>
  <c r="J22" i="1"/>
  <c r="J24" i="1"/>
  <c r="J26" i="1"/>
  <c r="J28" i="1"/>
  <c r="J21" i="1"/>
  <c r="J34" i="1"/>
  <c r="J32" i="1"/>
  <c r="J30" i="1"/>
  <c r="J35" i="1"/>
  <c r="J33" i="1"/>
  <c r="J25" i="1"/>
  <c r="J27" i="1"/>
  <c r="H33" i="2"/>
  <c r="H24" i="5"/>
  <c r="H30" i="5"/>
  <c r="H22" i="5"/>
  <c r="H34" i="5"/>
  <c r="H21" i="5"/>
  <c r="H33" i="5"/>
  <c r="H23" i="5"/>
  <c r="H25" i="5"/>
  <c r="H26" i="5"/>
  <c r="H29" i="5"/>
  <c r="H31" i="5"/>
  <c r="H35" i="5"/>
  <c r="I2" i="5"/>
  <c r="H27" i="5"/>
  <c r="H28" i="5"/>
  <c r="H32" i="5"/>
  <c r="G21" i="5"/>
  <c r="G35" i="5"/>
  <c r="A19" i="1"/>
  <c r="B20" i="1"/>
  <c r="C20" i="1"/>
  <c r="G20" i="1"/>
  <c r="H20" i="1"/>
  <c r="A75" i="2"/>
  <c r="A22" i="2"/>
  <c r="I22" i="2" s="1"/>
  <c r="B23" i="2"/>
  <c r="C23" i="2"/>
  <c r="D23" i="2"/>
  <c r="E23" i="2"/>
  <c r="F23" i="2"/>
  <c r="G23" i="2"/>
  <c r="I20" i="1"/>
  <c r="H23" i="2"/>
  <c r="F19" i="1" l="1"/>
  <c r="F37" i="1"/>
  <c r="D19" i="1"/>
  <c r="E19" i="1"/>
  <c r="J37" i="1"/>
  <c r="D37" i="1"/>
  <c r="E37" i="1"/>
  <c r="A18" i="1"/>
  <c r="B19" i="1"/>
  <c r="C19" i="1"/>
  <c r="G19" i="1"/>
  <c r="H19" i="1"/>
  <c r="I19" i="1"/>
  <c r="I36" i="5"/>
  <c r="I33" i="5"/>
  <c r="I35" i="5"/>
  <c r="I29" i="5"/>
  <c r="I31" i="5"/>
  <c r="I28" i="5"/>
  <c r="I32" i="5"/>
  <c r="I21" i="5"/>
  <c r="I24" i="5"/>
  <c r="I20" i="5"/>
  <c r="I26" i="5"/>
  <c r="I34" i="5"/>
  <c r="I22" i="5"/>
  <c r="I25" i="5"/>
  <c r="J2" i="5"/>
  <c r="I27" i="5"/>
  <c r="I30" i="5"/>
  <c r="I23" i="5"/>
  <c r="K20" i="1"/>
  <c r="K22" i="1"/>
  <c r="K32" i="1"/>
  <c r="K30" i="1"/>
  <c r="K28" i="1"/>
  <c r="K19" i="1"/>
  <c r="K21" i="1"/>
  <c r="K34" i="1"/>
  <c r="K24" i="1"/>
  <c r="K26" i="1"/>
  <c r="L2" i="1"/>
  <c r="K35" i="1"/>
  <c r="K23" i="1"/>
  <c r="K25" i="1"/>
  <c r="K29" i="1"/>
  <c r="K37" i="1"/>
  <c r="K36" i="1"/>
  <c r="K33" i="1"/>
  <c r="K31" i="1"/>
  <c r="K27" i="1"/>
  <c r="A37" i="5"/>
  <c r="B36" i="5"/>
  <c r="C36" i="5"/>
  <c r="D36" i="5"/>
  <c r="E36" i="5"/>
  <c r="F36" i="5"/>
  <c r="G36" i="5"/>
  <c r="A86" i="2"/>
  <c r="A35" i="2"/>
  <c r="J35" i="2" s="1"/>
  <c r="B34" i="2"/>
  <c r="C34" i="2"/>
  <c r="D34" i="2"/>
  <c r="E34" i="2"/>
  <c r="F34" i="2"/>
  <c r="G34" i="2"/>
  <c r="H34" i="2"/>
  <c r="A74" i="2"/>
  <c r="A21" i="2"/>
  <c r="J21" i="2" s="1"/>
  <c r="B22" i="2"/>
  <c r="C22" i="2"/>
  <c r="D22" i="2"/>
  <c r="E22" i="2"/>
  <c r="F22" i="2"/>
  <c r="G22" i="2"/>
  <c r="H22" i="2"/>
  <c r="J19" i="1"/>
  <c r="A19" i="5"/>
  <c r="B20" i="5"/>
  <c r="C20" i="5"/>
  <c r="D20" i="5"/>
  <c r="E20" i="5"/>
  <c r="F20" i="5"/>
  <c r="G20" i="5"/>
  <c r="K2" i="2"/>
  <c r="J24" i="2"/>
  <c r="J29" i="2"/>
  <c r="J27" i="2"/>
  <c r="J26" i="2"/>
  <c r="J30" i="2"/>
  <c r="J31" i="2"/>
  <c r="J34" i="2"/>
  <c r="J23" i="2"/>
  <c r="J33" i="2"/>
  <c r="J22" i="2"/>
  <c r="J25" i="2"/>
  <c r="J28" i="2"/>
  <c r="J32" i="2"/>
  <c r="A38" i="1"/>
  <c r="B37" i="1"/>
  <c r="C37" i="1"/>
  <c r="G37" i="1"/>
  <c r="H37" i="1"/>
  <c r="I37" i="1"/>
  <c r="F18" i="1" l="1"/>
  <c r="F38" i="1"/>
  <c r="D38" i="1"/>
  <c r="E38" i="1"/>
  <c r="K18" i="1"/>
  <c r="D18" i="1"/>
  <c r="E18" i="1"/>
  <c r="A39" i="1"/>
  <c r="B38" i="1"/>
  <c r="C38" i="1"/>
  <c r="G38" i="1"/>
  <c r="H38" i="1"/>
  <c r="I38" i="1"/>
  <c r="J38" i="1"/>
  <c r="A73" i="2"/>
  <c r="A20" i="2"/>
  <c r="K20" i="2" s="1"/>
  <c r="B21" i="2"/>
  <c r="C21" i="2"/>
  <c r="D21" i="2"/>
  <c r="E21" i="2"/>
  <c r="F21" i="2"/>
  <c r="G21" i="2"/>
  <c r="H21" i="2"/>
  <c r="I21" i="2"/>
  <c r="L38" i="1"/>
  <c r="L35" i="1"/>
  <c r="L23" i="1"/>
  <c r="L31" i="1"/>
  <c r="L27" i="1"/>
  <c r="L37" i="1"/>
  <c r="L21" i="1"/>
  <c r="L33" i="1"/>
  <c r="L25" i="1"/>
  <c r="L29" i="1"/>
  <c r="L18" i="1"/>
  <c r="L20" i="1"/>
  <c r="L22" i="1"/>
  <c r="L24" i="1"/>
  <c r="L26" i="1"/>
  <c r="L28" i="1"/>
  <c r="M2" i="1"/>
  <c r="L19" i="1"/>
  <c r="L36" i="1"/>
  <c r="L34" i="1"/>
  <c r="L32" i="1"/>
  <c r="L30" i="1"/>
  <c r="A87" i="2"/>
  <c r="A36" i="2"/>
  <c r="K36" i="2" s="1"/>
  <c r="B35" i="2"/>
  <c r="C35" i="2"/>
  <c r="D35" i="2"/>
  <c r="E35" i="2"/>
  <c r="F35" i="2"/>
  <c r="G35" i="2"/>
  <c r="H35" i="2"/>
  <c r="I35" i="2"/>
  <c r="K38" i="1"/>
  <c r="L2" i="2"/>
  <c r="K22" i="2"/>
  <c r="K34" i="2"/>
  <c r="K30" i="2"/>
  <c r="K32" i="2"/>
  <c r="K27" i="2"/>
  <c r="K31" i="2"/>
  <c r="K24" i="2"/>
  <c r="K35" i="2"/>
  <c r="K25" i="2"/>
  <c r="K28" i="2"/>
  <c r="K23" i="2"/>
  <c r="K21" i="2"/>
  <c r="K26" i="2"/>
  <c r="K29" i="2"/>
  <c r="K33" i="2"/>
  <c r="A18" i="5"/>
  <c r="J18" i="5" s="1"/>
  <c r="B19" i="5"/>
  <c r="C19" i="5"/>
  <c r="D19" i="5"/>
  <c r="E19" i="5"/>
  <c r="F19" i="5"/>
  <c r="G19" i="5"/>
  <c r="H19" i="5"/>
  <c r="I19" i="5"/>
  <c r="J37" i="5"/>
  <c r="J19" i="5"/>
  <c r="J27" i="5"/>
  <c r="J28" i="5"/>
  <c r="J32" i="5"/>
  <c r="J25" i="5"/>
  <c r="J33" i="5"/>
  <c r="K2" i="5"/>
  <c r="J26" i="5"/>
  <c r="J30" i="5"/>
  <c r="J31" i="5"/>
  <c r="J24" i="5"/>
  <c r="J36" i="5"/>
  <c r="J23" i="5"/>
  <c r="J21" i="5"/>
  <c r="J34" i="5"/>
  <c r="J20" i="5"/>
  <c r="J35" i="5"/>
  <c r="J22" i="5"/>
  <c r="J29" i="5"/>
  <c r="A17" i="1"/>
  <c r="B18" i="1"/>
  <c r="C18" i="1"/>
  <c r="G18" i="1"/>
  <c r="H18" i="1"/>
  <c r="I18" i="1"/>
  <c r="J18" i="1"/>
  <c r="A38" i="5"/>
  <c r="B37" i="5"/>
  <c r="C37" i="5"/>
  <c r="D37" i="5"/>
  <c r="E37" i="5"/>
  <c r="F37" i="5"/>
  <c r="G37" i="5"/>
  <c r="H37" i="5"/>
  <c r="I37" i="5"/>
  <c r="F39" i="1" l="1"/>
  <c r="F17" i="1"/>
  <c r="D17" i="1"/>
  <c r="E17" i="1"/>
  <c r="L39" i="1"/>
  <c r="D39" i="1"/>
  <c r="E39" i="1"/>
  <c r="A16" i="1"/>
  <c r="B17" i="1"/>
  <c r="C17" i="1"/>
  <c r="G17" i="1"/>
  <c r="H17" i="1"/>
  <c r="I17" i="1"/>
  <c r="J17" i="1"/>
  <c r="K17" i="1"/>
  <c r="A17" i="5"/>
  <c r="K17" i="5" s="1"/>
  <c r="B18" i="5"/>
  <c r="C18" i="5"/>
  <c r="D18" i="5"/>
  <c r="E18" i="5"/>
  <c r="F18" i="5"/>
  <c r="G18" i="5"/>
  <c r="H18" i="5"/>
  <c r="I18" i="5"/>
  <c r="M17" i="1"/>
  <c r="M38" i="1"/>
  <c r="M36" i="1"/>
  <c r="M23" i="1"/>
  <c r="M31" i="1"/>
  <c r="M27" i="1"/>
  <c r="M39" i="1"/>
  <c r="M37" i="1"/>
  <c r="M35" i="1"/>
  <c r="M33" i="1"/>
  <c r="M25" i="1"/>
  <c r="M29" i="1"/>
  <c r="M18" i="1"/>
  <c r="M20" i="1"/>
  <c r="M22" i="1"/>
  <c r="M24" i="1"/>
  <c r="M26" i="1"/>
  <c r="M28" i="1"/>
  <c r="M19" i="1"/>
  <c r="M21" i="1"/>
  <c r="M34" i="1"/>
  <c r="M32" i="1"/>
  <c r="M30" i="1"/>
  <c r="N2" i="1"/>
  <c r="A40" i="1"/>
  <c r="B39" i="1"/>
  <c r="C39" i="1"/>
  <c r="G39" i="1"/>
  <c r="H39" i="1"/>
  <c r="I39" i="1"/>
  <c r="J39" i="1"/>
  <c r="K39" i="1"/>
  <c r="A39" i="5"/>
  <c r="K39" i="5" s="1"/>
  <c r="B38" i="5"/>
  <c r="C38" i="5"/>
  <c r="D38" i="5"/>
  <c r="E38" i="5"/>
  <c r="F38" i="5"/>
  <c r="G38" i="5"/>
  <c r="H38" i="5"/>
  <c r="I38" i="5"/>
  <c r="K38" i="5"/>
  <c r="K23" i="5"/>
  <c r="K25" i="5"/>
  <c r="K20" i="5"/>
  <c r="K36" i="5"/>
  <c r="K24" i="5"/>
  <c r="L2" i="5"/>
  <c r="K37" i="5"/>
  <c r="K31" i="5"/>
  <c r="K27" i="5"/>
  <c r="K19" i="5"/>
  <c r="K18" i="5"/>
  <c r="K26" i="5"/>
  <c r="K33" i="5"/>
  <c r="K22" i="5"/>
  <c r="K35" i="5"/>
  <c r="K30" i="5"/>
  <c r="K21" i="5"/>
  <c r="K32" i="5"/>
  <c r="K34" i="5"/>
  <c r="K28" i="5"/>
  <c r="K29" i="5"/>
  <c r="L17" i="1"/>
  <c r="J38" i="5"/>
  <c r="L36" i="2"/>
  <c r="L33" i="2"/>
  <c r="L35" i="2"/>
  <c r="L23" i="2"/>
  <c r="L24" i="2"/>
  <c r="L20" i="2"/>
  <c r="L26" i="2"/>
  <c r="L21" i="2"/>
  <c r="L30" i="2"/>
  <c r="L27" i="2"/>
  <c r="L28" i="2"/>
  <c r="L31" i="2"/>
  <c r="L32" i="2"/>
  <c r="M2" i="2"/>
  <c r="L25" i="2"/>
  <c r="L34" i="2"/>
  <c r="L29" i="2"/>
  <c r="L22" i="2"/>
  <c r="A88" i="2"/>
  <c r="A37" i="2"/>
  <c r="L37" i="2" s="1"/>
  <c r="B36" i="2"/>
  <c r="C36" i="2"/>
  <c r="D36" i="2"/>
  <c r="E36" i="2"/>
  <c r="F36" i="2"/>
  <c r="G36" i="2"/>
  <c r="H36" i="2"/>
  <c r="I36" i="2"/>
  <c r="J36" i="2"/>
  <c r="A72" i="2"/>
  <c r="A19" i="2"/>
  <c r="B20" i="2"/>
  <c r="C20" i="2"/>
  <c r="D20" i="2"/>
  <c r="E20" i="2"/>
  <c r="F20" i="2"/>
  <c r="G20" i="2"/>
  <c r="H20" i="2"/>
  <c r="I20" i="2"/>
  <c r="J20" i="2"/>
  <c r="F40" i="1" l="1"/>
  <c r="F16" i="1"/>
  <c r="M40" i="1"/>
  <c r="D40" i="1"/>
  <c r="E40" i="1"/>
  <c r="M16" i="1"/>
  <c r="D16" i="1"/>
  <c r="E16" i="1"/>
  <c r="A71" i="2"/>
  <c r="A18" i="2"/>
  <c r="M18" i="2" s="1"/>
  <c r="B19" i="2"/>
  <c r="C19" i="2"/>
  <c r="D19" i="2"/>
  <c r="E19" i="2"/>
  <c r="F19" i="2"/>
  <c r="G19" i="2"/>
  <c r="H19" i="2"/>
  <c r="I19" i="2"/>
  <c r="J19" i="2"/>
  <c r="K19" i="2"/>
  <c r="M30" i="2"/>
  <c r="M32" i="2"/>
  <c r="M35" i="2"/>
  <c r="M21" i="2"/>
  <c r="M36" i="2"/>
  <c r="M37" i="2"/>
  <c r="M24" i="2"/>
  <c r="M23" i="2"/>
  <c r="M34" i="2"/>
  <c r="M29" i="2"/>
  <c r="N2" i="2"/>
  <c r="M19" i="2"/>
  <c r="M25" i="2"/>
  <c r="M26" i="2"/>
  <c r="M31" i="2"/>
  <c r="M28" i="2"/>
  <c r="M22" i="2"/>
  <c r="M33" i="2"/>
  <c r="M27" i="2"/>
  <c r="M20" i="2"/>
  <c r="A15" i="1"/>
  <c r="N15" i="1" s="1"/>
  <c r="B16" i="1"/>
  <c r="C16" i="1"/>
  <c r="G16" i="1"/>
  <c r="H16" i="1"/>
  <c r="I16" i="1"/>
  <c r="J16" i="1"/>
  <c r="K16" i="1"/>
  <c r="L16" i="1"/>
  <c r="L19" i="2"/>
  <c r="M2" i="5"/>
  <c r="L19" i="5"/>
  <c r="L37" i="5"/>
  <c r="L25" i="5"/>
  <c r="L24" i="5"/>
  <c r="L17" i="5"/>
  <c r="L35" i="5"/>
  <c r="L20" i="5"/>
  <c r="L36" i="5"/>
  <c r="L31" i="5"/>
  <c r="L27" i="5"/>
  <c r="L18" i="5"/>
  <c r="L23" i="5"/>
  <c r="L21" i="5"/>
  <c r="L30" i="5"/>
  <c r="L33" i="5"/>
  <c r="L26" i="5"/>
  <c r="L34" i="5"/>
  <c r="L39" i="5"/>
  <c r="L29" i="5"/>
  <c r="L22" i="5"/>
  <c r="L38" i="5"/>
  <c r="L32" i="5"/>
  <c r="L28" i="5"/>
  <c r="A16" i="5"/>
  <c r="B17" i="5"/>
  <c r="C17" i="5"/>
  <c r="D17" i="5"/>
  <c r="E17" i="5"/>
  <c r="F17" i="5"/>
  <c r="G17" i="5"/>
  <c r="H17" i="5"/>
  <c r="I17" i="5"/>
  <c r="J17" i="5"/>
  <c r="A89" i="2"/>
  <c r="A38" i="2"/>
  <c r="B37" i="2"/>
  <c r="C37" i="2"/>
  <c r="D37" i="2"/>
  <c r="E37" i="2"/>
  <c r="F37" i="2"/>
  <c r="G37" i="2"/>
  <c r="H37" i="2"/>
  <c r="I37" i="2"/>
  <c r="J37" i="2"/>
  <c r="K37" i="2"/>
  <c r="A40" i="5"/>
  <c r="B39" i="5"/>
  <c r="C39" i="5"/>
  <c r="D39" i="5"/>
  <c r="E39" i="5"/>
  <c r="F39" i="5"/>
  <c r="G39" i="5"/>
  <c r="H39" i="5"/>
  <c r="I39" i="5"/>
  <c r="J39" i="5"/>
  <c r="A41" i="1"/>
  <c r="B40" i="1"/>
  <c r="C40" i="1"/>
  <c r="G40" i="1"/>
  <c r="H40" i="1"/>
  <c r="I40" i="1"/>
  <c r="J40" i="1"/>
  <c r="K40" i="1"/>
  <c r="L40" i="1"/>
  <c r="N18" i="1"/>
  <c r="N37" i="1"/>
  <c r="N36" i="1"/>
  <c r="N23" i="1"/>
  <c r="N31" i="1"/>
  <c r="N27" i="1"/>
  <c r="N28" i="1"/>
  <c r="O2" i="1"/>
  <c r="O16" i="1" s="1"/>
  <c r="N16" i="1"/>
  <c r="N39" i="1"/>
  <c r="N20" i="1"/>
  <c r="N34" i="1"/>
  <c r="N32" i="1"/>
  <c r="N26" i="1"/>
  <c r="N17" i="1"/>
  <c r="N38" i="1"/>
  <c r="N21" i="1"/>
  <c r="N22" i="1"/>
  <c r="N24" i="1"/>
  <c r="N30" i="1"/>
  <c r="N40" i="1"/>
  <c r="N19" i="1"/>
  <c r="N35" i="1"/>
  <c r="N33" i="1"/>
  <c r="N25" i="1"/>
  <c r="N29" i="1"/>
  <c r="O40" i="1" l="1"/>
  <c r="O28" i="1"/>
  <c r="O29" i="1"/>
  <c r="O27" i="1"/>
  <c r="O30" i="1"/>
  <c r="O26" i="1"/>
  <c r="O31" i="1"/>
  <c r="O25" i="1"/>
  <c r="O32" i="1"/>
  <c r="O24" i="1"/>
  <c r="O33" i="1"/>
  <c r="O23" i="1"/>
  <c r="O22" i="1"/>
  <c r="O34" i="1"/>
  <c r="O35" i="1"/>
  <c r="O21" i="1"/>
  <c r="O20" i="1"/>
  <c r="O36" i="1"/>
  <c r="O19" i="1"/>
  <c r="O37" i="1"/>
  <c r="O18" i="1"/>
  <c r="O38" i="1"/>
  <c r="O39" i="1"/>
  <c r="O17" i="1"/>
  <c r="N41" i="1"/>
  <c r="F15" i="1"/>
  <c r="O15" i="1"/>
  <c r="F41" i="1"/>
  <c r="O41" i="1"/>
  <c r="D15" i="1"/>
  <c r="E15" i="1"/>
  <c r="D41" i="1"/>
  <c r="E41" i="1"/>
  <c r="A41" i="5"/>
  <c r="M41" i="5" s="1"/>
  <c r="B40" i="5"/>
  <c r="C40" i="5"/>
  <c r="D40" i="5"/>
  <c r="E40" i="5"/>
  <c r="F40" i="5"/>
  <c r="G40" i="5"/>
  <c r="H40" i="5"/>
  <c r="I40" i="5"/>
  <c r="J40" i="5"/>
  <c r="K40" i="5"/>
  <c r="A15" i="5"/>
  <c r="M15" i="5" s="1"/>
  <c r="B16" i="5"/>
  <c r="C16" i="5"/>
  <c r="D16" i="5"/>
  <c r="E16" i="5"/>
  <c r="F16" i="5"/>
  <c r="G16" i="5"/>
  <c r="H16" i="5"/>
  <c r="I16" i="5"/>
  <c r="J16" i="5"/>
  <c r="K16" i="5"/>
  <c r="L40" i="5"/>
  <c r="O2" i="2"/>
  <c r="N23" i="2"/>
  <c r="N37" i="2"/>
  <c r="N33" i="2"/>
  <c r="N35" i="2"/>
  <c r="N29" i="2"/>
  <c r="N22" i="2"/>
  <c r="N19" i="2"/>
  <c r="N32" i="2"/>
  <c r="N34" i="2"/>
  <c r="N28" i="2"/>
  <c r="N18" i="2"/>
  <c r="N31" i="2"/>
  <c r="N25" i="2"/>
  <c r="N27" i="2"/>
  <c r="N21" i="2"/>
  <c r="N38" i="2"/>
  <c r="N30" i="2"/>
  <c r="N24" i="2"/>
  <c r="N26" i="2"/>
  <c r="N20" i="2"/>
  <c r="N36" i="2"/>
  <c r="A42" i="1"/>
  <c r="B41" i="1"/>
  <c r="C41" i="1"/>
  <c r="G41" i="1"/>
  <c r="H41" i="1"/>
  <c r="I41" i="1"/>
  <c r="J41" i="1"/>
  <c r="K41" i="1"/>
  <c r="L41" i="1"/>
  <c r="M41" i="1"/>
  <c r="A90" i="2"/>
  <c r="A39" i="2"/>
  <c r="N39" i="2" s="1"/>
  <c r="B38" i="2"/>
  <c r="C38" i="2"/>
  <c r="D38" i="2"/>
  <c r="E38" i="2"/>
  <c r="F38" i="2"/>
  <c r="G38" i="2"/>
  <c r="H38" i="2"/>
  <c r="I38" i="2"/>
  <c r="J38" i="2"/>
  <c r="K38" i="2"/>
  <c r="L38" i="2"/>
  <c r="M19" i="5"/>
  <c r="M31" i="5"/>
  <c r="M22" i="5"/>
  <c r="M20" i="5"/>
  <c r="M35" i="5"/>
  <c r="M25" i="5"/>
  <c r="M16" i="5"/>
  <c r="N2" i="5"/>
  <c r="M38" i="5"/>
  <c r="M39" i="5"/>
  <c r="M34" i="5"/>
  <c r="M24" i="5"/>
  <c r="M17" i="5"/>
  <c r="M29" i="5"/>
  <c r="M32" i="5"/>
  <c r="M18" i="5"/>
  <c r="M28" i="5"/>
  <c r="M23" i="5"/>
  <c r="M30" i="5"/>
  <c r="M40" i="5"/>
  <c r="M27" i="5"/>
  <c r="M21" i="5"/>
  <c r="M33" i="5"/>
  <c r="M36" i="5"/>
  <c r="M26" i="5"/>
  <c r="M37" i="5"/>
  <c r="M38" i="2"/>
  <c r="P2" i="1"/>
  <c r="P15" i="1" s="1"/>
  <c r="L16" i="5"/>
  <c r="A14" i="1"/>
  <c r="B15" i="1"/>
  <c r="C15" i="1"/>
  <c r="G15" i="1"/>
  <c r="H15" i="1"/>
  <c r="I15" i="1"/>
  <c r="J15" i="1"/>
  <c r="K15" i="1"/>
  <c r="L15" i="1"/>
  <c r="M15" i="1"/>
  <c r="A70" i="2"/>
  <c r="A17" i="2"/>
  <c r="N17" i="2" s="1"/>
  <c r="B18" i="2"/>
  <c r="C18" i="2"/>
  <c r="D18" i="2"/>
  <c r="E18" i="2"/>
  <c r="F18" i="2"/>
  <c r="G18" i="2"/>
  <c r="H18" i="2"/>
  <c r="I18" i="2"/>
  <c r="J18" i="2"/>
  <c r="K18" i="2"/>
  <c r="L18" i="2"/>
  <c r="P41" i="1" l="1"/>
  <c r="P28" i="1"/>
  <c r="P29" i="1"/>
  <c r="P27" i="1"/>
  <c r="P26" i="1"/>
  <c r="P30" i="1"/>
  <c r="P25" i="1"/>
  <c r="P31" i="1"/>
  <c r="P24" i="1"/>
  <c r="P32" i="1"/>
  <c r="P33" i="1"/>
  <c r="P23" i="1"/>
  <c r="P34" i="1"/>
  <c r="P22" i="1"/>
  <c r="P21" i="1"/>
  <c r="P35" i="1"/>
  <c r="P20" i="1"/>
  <c r="P36" i="1"/>
  <c r="P19" i="1"/>
  <c r="P37" i="1"/>
  <c r="P18" i="1"/>
  <c r="P38" i="1"/>
  <c r="P39" i="1"/>
  <c r="P17" i="1"/>
  <c r="P40" i="1"/>
  <c r="P16" i="1"/>
  <c r="F14" i="1"/>
  <c r="P14" i="1"/>
  <c r="O14" i="1"/>
  <c r="F42" i="1"/>
  <c r="P42" i="1"/>
  <c r="O42" i="1"/>
  <c r="D14" i="1"/>
  <c r="E14" i="1"/>
  <c r="D42" i="1"/>
  <c r="E42" i="1"/>
  <c r="A42" i="5"/>
  <c r="B41" i="5"/>
  <c r="C41" i="5"/>
  <c r="D41" i="5"/>
  <c r="E41" i="5"/>
  <c r="F41" i="5"/>
  <c r="G41" i="5"/>
  <c r="H41" i="5"/>
  <c r="I41" i="5"/>
  <c r="J41" i="5"/>
  <c r="K41" i="5"/>
  <c r="L41" i="5"/>
  <c r="Q2" i="1"/>
  <c r="Q14" i="1" s="1"/>
  <c r="A69" i="2"/>
  <c r="A16" i="2"/>
  <c r="O16" i="2" s="1"/>
  <c r="B17" i="2"/>
  <c r="C17" i="2"/>
  <c r="D17" i="2"/>
  <c r="E17" i="2"/>
  <c r="F17" i="2"/>
  <c r="G17" i="2"/>
  <c r="H17" i="2"/>
  <c r="I17" i="2"/>
  <c r="J17" i="2"/>
  <c r="K17" i="2"/>
  <c r="L17" i="2"/>
  <c r="M17" i="2"/>
  <c r="A13" i="1"/>
  <c r="B14" i="1"/>
  <c r="C14" i="1"/>
  <c r="G14" i="1"/>
  <c r="H14" i="1"/>
  <c r="I14" i="1"/>
  <c r="J14" i="1"/>
  <c r="K14" i="1"/>
  <c r="L14" i="1"/>
  <c r="M14" i="1"/>
  <c r="N14" i="1"/>
  <c r="N41" i="5"/>
  <c r="N30" i="5"/>
  <c r="N23" i="5"/>
  <c r="N35" i="5"/>
  <c r="N34" i="5"/>
  <c r="N19" i="5"/>
  <c r="N31" i="5"/>
  <c r="N18" i="5"/>
  <c r="N38" i="5"/>
  <c r="N22" i="5"/>
  <c r="N17" i="5"/>
  <c r="N29" i="5"/>
  <c r="N27" i="5"/>
  <c r="N15" i="5"/>
  <c r="N21" i="5"/>
  <c r="N33" i="5"/>
  <c r="N32" i="5"/>
  <c r="N25" i="5"/>
  <c r="N37" i="5"/>
  <c r="N26" i="5"/>
  <c r="N39" i="5"/>
  <c r="O2" i="5"/>
  <c r="N42" i="5"/>
  <c r="N28" i="5"/>
  <c r="N20" i="5"/>
  <c r="N40" i="5"/>
  <c r="N24" i="5"/>
  <c r="N16" i="5"/>
  <c r="N36" i="5"/>
  <c r="P2" i="2"/>
  <c r="O26" i="2"/>
  <c r="O36" i="2"/>
  <c r="O23" i="2"/>
  <c r="O37" i="2"/>
  <c r="O25" i="2"/>
  <c r="O17" i="2"/>
  <c r="O21" i="2"/>
  <c r="O35" i="2"/>
  <c r="O22" i="2"/>
  <c r="O27" i="2"/>
  <c r="O24" i="2"/>
  <c r="O38" i="2"/>
  <c r="O20" i="2"/>
  <c r="O19" i="2"/>
  <c r="O30" i="2"/>
  <c r="O34" i="2"/>
  <c r="O32" i="2"/>
  <c r="O39" i="2"/>
  <c r="O28" i="2"/>
  <c r="O33" i="2"/>
  <c r="O29" i="2"/>
  <c r="O18" i="2"/>
  <c r="O31" i="2"/>
  <c r="A14" i="5"/>
  <c r="B15" i="5"/>
  <c r="C15" i="5"/>
  <c r="D15" i="5"/>
  <c r="E15" i="5"/>
  <c r="F15" i="5"/>
  <c r="G15" i="5"/>
  <c r="H15" i="5"/>
  <c r="I15" i="5"/>
  <c r="J15" i="5"/>
  <c r="K15" i="5"/>
  <c r="L15" i="5"/>
  <c r="A91" i="2"/>
  <c r="A40" i="2"/>
  <c r="B39" i="2"/>
  <c r="C39" i="2"/>
  <c r="D39" i="2"/>
  <c r="E39" i="2"/>
  <c r="F39" i="2"/>
  <c r="G39" i="2"/>
  <c r="H39" i="2"/>
  <c r="I39" i="2"/>
  <c r="J39" i="2"/>
  <c r="K39" i="2"/>
  <c r="L39" i="2"/>
  <c r="M39" i="2"/>
  <c r="A43" i="1"/>
  <c r="B42" i="1"/>
  <c r="C42" i="1"/>
  <c r="G42" i="1"/>
  <c r="H42" i="1"/>
  <c r="I42" i="1"/>
  <c r="J42" i="1"/>
  <c r="K42" i="1"/>
  <c r="L42" i="1"/>
  <c r="M42" i="1"/>
  <c r="N42" i="1"/>
  <c r="Q42" i="1" l="1"/>
  <c r="Q28" i="1"/>
  <c r="Q29" i="1"/>
  <c r="Q27" i="1"/>
  <c r="Q30" i="1"/>
  <c r="Q26" i="1"/>
  <c r="Q31" i="1"/>
  <c r="Q25" i="1"/>
  <c r="Q24" i="1"/>
  <c r="Q32" i="1"/>
  <c r="Q23" i="1"/>
  <c r="Q33" i="1"/>
  <c r="Q34" i="1"/>
  <c r="Q22" i="1"/>
  <c r="Q35" i="1"/>
  <c r="Q21" i="1"/>
  <c r="Q20" i="1"/>
  <c r="Q36" i="1"/>
  <c r="Q19" i="1"/>
  <c r="Q37" i="1"/>
  <c r="Q38" i="1"/>
  <c r="Q18" i="1"/>
  <c r="Q17" i="1"/>
  <c r="Q39" i="1"/>
  <c r="Q16" i="1"/>
  <c r="Q40" i="1"/>
  <c r="Q15" i="1"/>
  <c r="Q41" i="1"/>
  <c r="F43" i="1"/>
  <c r="O43" i="1"/>
  <c r="P43" i="1"/>
  <c r="Q43" i="1"/>
  <c r="F13" i="1"/>
  <c r="Q13" i="1"/>
  <c r="P13" i="1"/>
  <c r="O13" i="1"/>
  <c r="D13" i="1"/>
  <c r="E13" i="1"/>
  <c r="D43" i="1"/>
  <c r="E43" i="1"/>
  <c r="A44" i="1"/>
  <c r="B43" i="1"/>
  <c r="C43" i="1"/>
  <c r="G43" i="1"/>
  <c r="H43" i="1"/>
  <c r="I43" i="1"/>
  <c r="J43" i="1"/>
  <c r="K43" i="1"/>
  <c r="L43" i="1"/>
  <c r="M43" i="1"/>
  <c r="N43" i="1"/>
  <c r="A92" i="2"/>
  <c r="A41" i="2"/>
  <c r="P41" i="2" s="1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A13" i="5"/>
  <c r="O13" i="5" s="1"/>
  <c r="B14" i="5"/>
  <c r="C14" i="5"/>
  <c r="D14" i="5"/>
  <c r="E14" i="5"/>
  <c r="F14" i="5"/>
  <c r="G14" i="5"/>
  <c r="H14" i="5"/>
  <c r="I14" i="5"/>
  <c r="J14" i="5"/>
  <c r="K14" i="5"/>
  <c r="L14" i="5"/>
  <c r="M14" i="5"/>
  <c r="Q2" i="2"/>
  <c r="P22" i="2"/>
  <c r="P32" i="2"/>
  <c r="P27" i="2"/>
  <c r="P21" i="2"/>
  <c r="P20" i="2"/>
  <c r="P30" i="2"/>
  <c r="P17" i="2"/>
  <c r="P31" i="2"/>
  <c r="P34" i="2"/>
  <c r="P28" i="2"/>
  <c r="P18" i="2"/>
  <c r="P29" i="2"/>
  <c r="P40" i="2"/>
  <c r="P26" i="2"/>
  <c r="P37" i="2"/>
  <c r="P33" i="2"/>
  <c r="P36" i="2"/>
  <c r="P24" i="2"/>
  <c r="P16" i="2"/>
  <c r="P25" i="2"/>
  <c r="P19" i="2"/>
  <c r="P39" i="2"/>
  <c r="P35" i="2"/>
  <c r="P23" i="2"/>
  <c r="P38" i="2"/>
  <c r="A12" i="1"/>
  <c r="B13" i="1"/>
  <c r="C13" i="1"/>
  <c r="G13" i="1"/>
  <c r="H13" i="1"/>
  <c r="I13" i="1"/>
  <c r="J13" i="1"/>
  <c r="K13" i="1"/>
  <c r="L13" i="1"/>
  <c r="M13" i="1"/>
  <c r="N13" i="1"/>
  <c r="A43" i="5"/>
  <c r="O43" i="5" s="1"/>
  <c r="B42" i="5"/>
  <c r="C42" i="5"/>
  <c r="D42" i="5"/>
  <c r="E42" i="5"/>
  <c r="F42" i="5"/>
  <c r="G42" i="5"/>
  <c r="H42" i="5"/>
  <c r="I42" i="5"/>
  <c r="J42" i="5"/>
  <c r="K42" i="5"/>
  <c r="L42" i="5"/>
  <c r="M42" i="5"/>
  <c r="A68" i="2"/>
  <c r="A15" i="2"/>
  <c r="P15" i="2" s="1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R2" i="1"/>
  <c r="R43" i="1" s="1"/>
  <c r="O40" i="2"/>
  <c r="O42" i="5"/>
  <c r="P2" i="5"/>
  <c r="O14" i="5"/>
  <c r="O29" i="5"/>
  <c r="O19" i="5"/>
  <c r="O31" i="5"/>
  <c r="O20" i="5"/>
  <c r="O34" i="5"/>
  <c r="O35" i="5"/>
  <c r="O36" i="5"/>
  <c r="O17" i="5"/>
  <c r="O26" i="5"/>
  <c r="O18" i="5"/>
  <c r="O32" i="5"/>
  <c r="O27" i="5"/>
  <c r="O41" i="5"/>
  <c r="O24" i="5"/>
  <c r="O16" i="5"/>
  <c r="O30" i="5"/>
  <c r="O25" i="5"/>
  <c r="O40" i="5"/>
  <c r="O22" i="5"/>
  <c r="O15" i="5"/>
  <c r="O28" i="5"/>
  <c r="O23" i="5"/>
  <c r="O38" i="5"/>
  <c r="O37" i="5"/>
  <c r="O21" i="5"/>
  <c r="O39" i="5"/>
  <c r="O33" i="5"/>
  <c r="N14" i="5"/>
  <c r="R13" i="1" l="1"/>
  <c r="R28" i="1"/>
  <c r="R27" i="1"/>
  <c r="R29" i="1"/>
  <c r="R26" i="1"/>
  <c r="R30" i="1"/>
  <c r="R25" i="1"/>
  <c r="R31" i="1"/>
  <c r="R32" i="1"/>
  <c r="R24" i="1"/>
  <c r="R23" i="1"/>
  <c r="R33" i="1"/>
  <c r="R22" i="1"/>
  <c r="R34" i="1"/>
  <c r="R21" i="1"/>
  <c r="R35" i="1"/>
  <c r="R36" i="1"/>
  <c r="R20" i="1"/>
  <c r="R37" i="1"/>
  <c r="R19" i="1"/>
  <c r="R18" i="1"/>
  <c r="R38" i="1"/>
  <c r="R39" i="1"/>
  <c r="R17" i="1"/>
  <c r="R16" i="1"/>
  <c r="R40" i="1"/>
  <c r="R15" i="1"/>
  <c r="R41" i="1"/>
  <c r="R14" i="1"/>
  <c r="R42" i="1"/>
  <c r="R12" i="1"/>
  <c r="R44" i="1"/>
  <c r="F12" i="1"/>
  <c r="O12" i="1"/>
  <c r="P12" i="1"/>
  <c r="Q12" i="1"/>
  <c r="F44" i="1"/>
  <c r="O44" i="1"/>
  <c r="P44" i="1"/>
  <c r="Q44" i="1"/>
  <c r="D12" i="1"/>
  <c r="E12" i="1"/>
  <c r="D44" i="1"/>
  <c r="E44" i="1"/>
  <c r="Q2" i="5"/>
  <c r="P18" i="5"/>
  <c r="P30" i="5"/>
  <c r="P23" i="5"/>
  <c r="P40" i="5"/>
  <c r="P25" i="5"/>
  <c r="P41" i="5"/>
  <c r="P27" i="5"/>
  <c r="P36" i="5"/>
  <c r="P26" i="5"/>
  <c r="P38" i="5"/>
  <c r="P31" i="5"/>
  <c r="P17" i="5"/>
  <c r="P33" i="5"/>
  <c r="P19" i="5"/>
  <c r="P35" i="5"/>
  <c r="P13" i="5"/>
  <c r="P43" i="5"/>
  <c r="P29" i="5"/>
  <c r="P15" i="5"/>
  <c r="P39" i="5"/>
  <c r="P14" i="5"/>
  <c r="P42" i="5"/>
  <c r="P16" i="5"/>
  <c r="P28" i="5"/>
  <c r="P21" i="5"/>
  <c r="P37" i="5"/>
  <c r="P20" i="5"/>
  <c r="P32" i="5"/>
  <c r="P22" i="5"/>
  <c r="P34" i="5"/>
  <c r="P24" i="5"/>
  <c r="S2" i="1"/>
  <c r="S44" i="1" s="1"/>
  <c r="A44" i="5"/>
  <c r="P44" i="5" s="1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A11" i="1"/>
  <c r="B12" i="1"/>
  <c r="C12" i="1"/>
  <c r="G12" i="1"/>
  <c r="H12" i="1"/>
  <c r="I12" i="1"/>
  <c r="J12" i="1"/>
  <c r="K12" i="1"/>
  <c r="L12" i="1"/>
  <c r="M12" i="1"/>
  <c r="N12" i="1"/>
  <c r="A93" i="2"/>
  <c r="A42" i="2"/>
  <c r="Q42" i="2" s="1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Q18" i="2"/>
  <c r="Q32" i="2"/>
  <c r="Q19" i="2"/>
  <c r="Q37" i="2"/>
  <c r="Q28" i="2"/>
  <c r="Q24" i="2"/>
  <c r="R2" i="2"/>
  <c r="Q41" i="2"/>
  <c r="Q26" i="2"/>
  <c r="Q40" i="2"/>
  <c r="Q27" i="2"/>
  <c r="Q22" i="2"/>
  <c r="Q36" i="2"/>
  <c r="Q23" i="2"/>
  <c r="Q38" i="2"/>
  <c r="Q25" i="2"/>
  <c r="Q16" i="2"/>
  <c r="Q35" i="2"/>
  <c r="Q21" i="2"/>
  <c r="Q39" i="2"/>
  <c r="Q31" i="2"/>
  <c r="Q15" i="2"/>
  <c r="Q33" i="2"/>
  <c r="Q20" i="2"/>
  <c r="Q34" i="2"/>
  <c r="Q29" i="2"/>
  <c r="Q17" i="2"/>
  <c r="Q30" i="2"/>
  <c r="A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A45" i="1"/>
  <c r="B44" i="1"/>
  <c r="C44" i="1"/>
  <c r="G44" i="1"/>
  <c r="H44" i="1"/>
  <c r="I44" i="1"/>
  <c r="J44" i="1"/>
  <c r="K44" i="1"/>
  <c r="L44" i="1"/>
  <c r="M44" i="1"/>
  <c r="N44" i="1"/>
  <c r="A67" i="2"/>
  <c r="A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S28" i="1" l="1"/>
  <c r="S29" i="1"/>
  <c r="S27" i="1"/>
  <c r="S26" i="1"/>
  <c r="S30" i="1"/>
  <c r="S31" i="1"/>
  <c r="S25" i="1"/>
  <c r="S32" i="1"/>
  <c r="S24" i="1"/>
  <c r="S33" i="1"/>
  <c r="S23" i="1"/>
  <c r="S22" i="1"/>
  <c r="S34" i="1"/>
  <c r="S35" i="1"/>
  <c r="S21" i="1"/>
  <c r="S20" i="1"/>
  <c r="S36" i="1"/>
  <c r="S37" i="1"/>
  <c r="S19" i="1"/>
  <c r="S38" i="1"/>
  <c r="S18" i="1"/>
  <c r="S17" i="1"/>
  <c r="S39" i="1"/>
  <c r="S40" i="1"/>
  <c r="S16" i="1"/>
  <c r="S15" i="1"/>
  <c r="S41" i="1"/>
  <c r="S42" i="1"/>
  <c r="S14" i="1"/>
  <c r="S43" i="1"/>
  <c r="S13" i="1"/>
  <c r="S12" i="1"/>
  <c r="R45" i="1"/>
  <c r="S45" i="1"/>
  <c r="R11" i="1"/>
  <c r="S11" i="1"/>
  <c r="F45" i="1"/>
  <c r="Q45" i="1"/>
  <c r="O45" i="1"/>
  <c r="P45" i="1"/>
  <c r="F11" i="1"/>
  <c r="O11" i="1"/>
  <c r="P11" i="1"/>
  <c r="Q11" i="1"/>
  <c r="D45" i="1"/>
  <c r="E45" i="1"/>
  <c r="D11" i="1"/>
  <c r="E11" i="1"/>
  <c r="A46" i="1"/>
  <c r="B45" i="1"/>
  <c r="C45" i="1"/>
  <c r="G45" i="1"/>
  <c r="H45" i="1"/>
  <c r="I45" i="1"/>
  <c r="J45" i="1"/>
  <c r="K45" i="1"/>
  <c r="L45" i="1"/>
  <c r="M45" i="1"/>
  <c r="N45" i="1"/>
  <c r="A11" i="5"/>
  <c r="Q11" i="5" s="1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R2" i="5"/>
  <c r="Q12" i="5"/>
  <c r="Q21" i="5"/>
  <c r="Q31" i="5"/>
  <c r="Q26" i="5"/>
  <c r="Q42" i="5"/>
  <c r="Q28" i="5"/>
  <c r="Q41" i="5"/>
  <c r="Q30" i="5"/>
  <c r="Q44" i="5"/>
  <c r="Q24" i="5"/>
  <c r="Q39" i="5"/>
  <c r="Q32" i="5"/>
  <c r="Q18" i="5"/>
  <c r="Q23" i="5"/>
  <c r="Q20" i="5"/>
  <c r="Q25" i="5"/>
  <c r="Q43" i="5"/>
  <c r="Q14" i="5"/>
  <c r="Q38" i="5"/>
  <c r="Q16" i="5"/>
  <c r="Q34" i="5"/>
  <c r="Q17" i="5"/>
  <c r="Q40" i="5"/>
  <c r="Q19" i="5"/>
  <c r="Q29" i="5"/>
  <c r="Q13" i="5"/>
  <c r="Q27" i="5"/>
  <c r="Q15" i="5"/>
  <c r="Q33" i="5"/>
  <c r="Q36" i="5"/>
  <c r="Q35" i="5"/>
  <c r="Q22" i="5"/>
  <c r="Q37" i="5"/>
  <c r="A66" i="2"/>
  <c r="A13" i="2"/>
  <c r="R13" i="2" s="1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T2" i="1"/>
  <c r="S2" i="2"/>
  <c r="R15" i="2"/>
  <c r="R29" i="2"/>
  <c r="R27" i="2"/>
  <c r="R22" i="2"/>
  <c r="R40" i="2"/>
  <c r="R18" i="2"/>
  <c r="R32" i="2"/>
  <c r="R42" i="2"/>
  <c r="R34" i="2"/>
  <c r="R28" i="2"/>
  <c r="R41" i="2"/>
  <c r="R31" i="2"/>
  <c r="R19" i="2"/>
  <c r="R25" i="2"/>
  <c r="R14" i="2"/>
  <c r="R21" i="2"/>
  <c r="R36" i="2"/>
  <c r="R17" i="2"/>
  <c r="R30" i="2"/>
  <c r="R35" i="2"/>
  <c r="R24" i="2"/>
  <c r="R39" i="2"/>
  <c r="R26" i="2"/>
  <c r="R20" i="2"/>
  <c r="R38" i="2"/>
  <c r="R16" i="2"/>
  <c r="R37" i="2"/>
  <c r="R23" i="2"/>
  <c r="R33" i="2"/>
  <c r="A94" i="2"/>
  <c r="A43" i="2"/>
  <c r="R43" i="2" s="1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A10" i="1"/>
  <c r="B11" i="1"/>
  <c r="C11" i="1"/>
  <c r="G11" i="1"/>
  <c r="H11" i="1"/>
  <c r="I11" i="1"/>
  <c r="J11" i="1"/>
  <c r="K11" i="1"/>
  <c r="L11" i="1"/>
  <c r="M11" i="1"/>
  <c r="N11" i="1"/>
  <c r="A45" i="5"/>
  <c r="Q45" i="5" s="1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T28" i="1" l="1"/>
  <c r="T29" i="1"/>
  <c r="T27" i="1"/>
  <c r="T30" i="1"/>
  <c r="T26" i="1"/>
  <c r="T25" i="1"/>
  <c r="T31" i="1"/>
  <c r="T24" i="1"/>
  <c r="T32" i="1"/>
  <c r="T33" i="1"/>
  <c r="T23" i="1"/>
  <c r="T22" i="1"/>
  <c r="T34" i="1"/>
  <c r="T21" i="1"/>
  <c r="T35" i="1"/>
  <c r="T20" i="1"/>
  <c r="T36" i="1"/>
  <c r="T37" i="1"/>
  <c r="T19" i="1"/>
  <c r="T18" i="1"/>
  <c r="T38" i="1"/>
  <c r="T39" i="1"/>
  <c r="T17" i="1"/>
  <c r="T16" i="1"/>
  <c r="T40" i="1"/>
  <c r="T41" i="1"/>
  <c r="T15" i="1"/>
  <c r="T14" i="1"/>
  <c r="T42" i="1"/>
  <c r="T43" i="1"/>
  <c r="T13" i="1"/>
  <c r="T44" i="1"/>
  <c r="T12" i="1"/>
  <c r="T11" i="1"/>
  <c r="T45" i="1"/>
  <c r="R46" i="1"/>
  <c r="S46" i="1"/>
  <c r="T46" i="1"/>
  <c r="T10" i="1"/>
  <c r="R10" i="1"/>
  <c r="S10" i="1"/>
  <c r="F10" i="1"/>
  <c r="Q10" i="1"/>
  <c r="P10" i="1"/>
  <c r="O10" i="1"/>
  <c r="F46" i="1"/>
  <c r="Q46" i="1"/>
  <c r="P46" i="1"/>
  <c r="O46" i="1"/>
  <c r="D10" i="1"/>
  <c r="E10" i="1"/>
  <c r="D46" i="1"/>
  <c r="E46" i="1"/>
  <c r="T2" i="2"/>
  <c r="S27" i="2"/>
  <c r="S41" i="2"/>
  <c r="S28" i="2"/>
  <c r="S21" i="2"/>
  <c r="S30" i="2"/>
  <c r="S14" i="2"/>
  <c r="S32" i="2"/>
  <c r="S42" i="2"/>
  <c r="S43" i="2"/>
  <c r="S26" i="2"/>
  <c r="S16" i="2"/>
  <c r="S36" i="2"/>
  <c r="S15" i="2"/>
  <c r="S29" i="2"/>
  <c r="S17" i="2"/>
  <c r="S31" i="2"/>
  <c r="S13" i="2"/>
  <c r="S34" i="2"/>
  <c r="S18" i="2"/>
  <c r="S35" i="2"/>
  <c r="S23" i="2"/>
  <c r="S37" i="2"/>
  <c r="S25" i="2"/>
  <c r="S39" i="2"/>
  <c r="S19" i="2"/>
  <c r="S33" i="2"/>
  <c r="S20" i="2"/>
  <c r="S38" i="2"/>
  <c r="S22" i="2"/>
  <c r="S40" i="2"/>
  <c r="S24" i="2"/>
  <c r="A46" i="5"/>
  <c r="R46" i="5" s="1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A9" i="1"/>
  <c r="B10" i="1"/>
  <c r="C10" i="1"/>
  <c r="G10" i="1"/>
  <c r="H10" i="1"/>
  <c r="I10" i="1"/>
  <c r="J10" i="1"/>
  <c r="K10" i="1"/>
  <c r="L10" i="1"/>
  <c r="M10" i="1"/>
  <c r="N10" i="1"/>
  <c r="U2" i="1"/>
  <c r="A65" i="2"/>
  <c r="A12" i="2"/>
  <c r="S12" i="2" s="1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1" i="5"/>
  <c r="S2" i="5"/>
  <c r="R24" i="5"/>
  <c r="R37" i="5"/>
  <c r="R25" i="5"/>
  <c r="R31" i="5"/>
  <c r="R20" i="5"/>
  <c r="R32" i="5"/>
  <c r="R14" i="5"/>
  <c r="R41" i="5"/>
  <c r="R43" i="5"/>
  <c r="R15" i="5"/>
  <c r="R26" i="5"/>
  <c r="R39" i="5"/>
  <c r="R19" i="5"/>
  <c r="R40" i="5"/>
  <c r="R13" i="5"/>
  <c r="R34" i="5"/>
  <c r="R44" i="5"/>
  <c r="R36" i="5"/>
  <c r="R18" i="5"/>
  <c r="R30" i="5"/>
  <c r="R16" i="5"/>
  <c r="R27" i="5"/>
  <c r="R33" i="5"/>
  <c r="R21" i="5"/>
  <c r="R45" i="5"/>
  <c r="R23" i="5"/>
  <c r="R29" i="5"/>
  <c r="R17" i="5"/>
  <c r="R38" i="5"/>
  <c r="R12" i="5"/>
  <c r="R28" i="5"/>
  <c r="R42" i="5"/>
  <c r="R22" i="5"/>
  <c r="R35" i="5"/>
  <c r="A95" i="2"/>
  <c r="A44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A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A47" i="1"/>
  <c r="B46" i="1"/>
  <c r="C46" i="1"/>
  <c r="G46" i="1"/>
  <c r="H46" i="1"/>
  <c r="I46" i="1"/>
  <c r="J46" i="1"/>
  <c r="K46" i="1"/>
  <c r="L46" i="1"/>
  <c r="M46" i="1"/>
  <c r="N46" i="1"/>
  <c r="U28" i="1" l="1"/>
  <c r="U27" i="1"/>
  <c r="U29" i="1"/>
  <c r="U26" i="1"/>
  <c r="U30" i="1"/>
  <c r="U31" i="1"/>
  <c r="U25" i="1"/>
  <c r="U24" i="1"/>
  <c r="U32" i="1"/>
  <c r="U23" i="1"/>
  <c r="U33" i="1"/>
  <c r="U22" i="1"/>
  <c r="U34" i="1"/>
  <c r="U35" i="1"/>
  <c r="U21" i="1"/>
  <c r="U36" i="1"/>
  <c r="U20" i="1"/>
  <c r="U19" i="1"/>
  <c r="U37" i="1"/>
  <c r="U38" i="1"/>
  <c r="U18" i="1"/>
  <c r="U39" i="1"/>
  <c r="U17" i="1"/>
  <c r="U40" i="1"/>
  <c r="U16" i="1"/>
  <c r="U15" i="1"/>
  <c r="U41" i="1"/>
  <c r="U42" i="1"/>
  <c r="U14" i="1"/>
  <c r="U43" i="1"/>
  <c r="U13" i="1"/>
  <c r="U44" i="1"/>
  <c r="U12" i="1"/>
  <c r="U11" i="1"/>
  <c r="U45" i="1"/>
  <c r="U46" i="1"/>
  <c r="U10" i="1"/>
  <c r="U47" i="1"/>
  <c r="U9" i="1"/>
  <c r="S47" i="1"/>
  <c r="T47" i="1"/>
  <c r="R47" i="1"/>
  <c r="S9" i="1"/>
  <c r="R9" i="1"/>
  <c r="T9" i="1"/>
  <c r="F47" i="1"/>
  <c r="P47" i="1"/>
  <c r="Q47" i="1"/>
  <c r="O47" i="1"/>
  <c r="F9" i="1"/>
  <c r="O9" i="1"/>
  <c r="Q9" i="1"/>
  <c r="P9" i="1"/>
  <c r="D9" i="1"/>
  <c r="E9" i="1"/>
  <c r="D47" i="1"/>
  <c r="E47" i="1"/>
  <c r="A9" i="5"/>
  <c r="S9" i="5" s="1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A96" i="2"/>
  <c r="A45" i="2"/>
  <c r="T45" i="2" s="1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A47" i="5"/>
  <c r="S47" i="5" s="1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10" i="5"/>
  <c r="A8" i="1"/>
  <c r="B9" i="1"/>
  <c r="C9" i="1"/>
  <c r="G9" i="1"/>
  <c r="H9" i="1"/>
  <c r="I9" i="1"/>
  <c r="J9" i="1"/>
  <c r="K9" i="1"/>
  <c r="L9" i="1"/>
  <c r="M9" i="1"/>
  <c r="N9" i="1"/>
  <c r="S44" i="2"/>
  <c r="T44" i="2"/>
  <c r="T26" i="2"/>
  <c r="T40" i="2"/>
  <c r="T19" i="2"/>
  <c r="T37" i="2"/>
  <c r="T21" i="2"/>
  <c r="T39" i="2"/>
  <c r="T23" i="2"/>
  <c r="T12" i="2"/>
  <c r="T25" i="2"/>
  <c r="T42" i="2"/>
  <c r="T27" i="2"/>
  <c r="T43" i="2"/>
  <c r="T28" i="2"/>
  <c r="T14" i="2"/>
  <c r="T30" i="2"/>
  <c r="T41" i="2"/>
  <c r="U2" i="2"/>
  <c r="T16" i="2"/>
  <c r="T32" i="2"/>
  <c r="T18" i="2"/>
  <c r="T34" i="2"/>
  <c r="T13" i="2"/>
  <c r="T36" i="2"/>
  <c r="T15" i="2"/>
  <c r="T29" i="2"/>
  <c r="T17" i="2"/>
  <c r="T31" i="2"/>
  <c r="T20" i="2"/>
  <c r="T33" i="2"/>
  <c r="T22" i="2"/>
  <c r="T35" i="2"/>
  <c r="T24" i="2"/>
  <c r="T38" i="2"/>
  <c r="A48" i="1"/>
  <c r="B47" i="1"/>
  <c r="C47" i="1"/>
  <c r="G47" i="1"/>
  <c r="H47" i="1"/>
  <c r="I47" i="1"/>
  <c r="J47" i="1"/>
  <c r="K47" i="1"/>
  <c r="L47" i="1"/>
  <c r="M47" i="1"/>
  <c r="N47" i="1"/>
  <c r="S23" i="5"/>
  <c r="S38" i="5"/>
  <c r="S25" i="5"/>
  <c r="S40" i="5"/>
  <c r="S20" i="5"/>
  <c r="S34" i="5"/>
  <c r="S19" i="5"/>
  <c r="S26" i="5"/>
  <c r="S43" i="5"/>
  <c r="S13" i="5"/>
  <c r="S35" i="5"/>
  <c r="S45" i="5"/>
  <c r="S22" i="5"/>
  <c r="S42" i="5"/>
  <c r="S27" i="5"/>
  <c r="S41" i="5"/>
  <c r="S14" i="5"/>
  <c r="S28" i="5"/>
  <c r="S46" i="5"/>
  <c r="S21" i="5"/>
  <c r="S29" i="5"/>
  <c r="S15" i="5"/>
  <c r="S37" i="5"/>
  <c r="S17" i="5"/>
  <c r="S24" i="5"/>
  <c r="S44" i="5"/>
  <c r="S31" i="5"/>
  <c r="S36" i="5"/>
  <c r="S10" i="5"/>
  <c r="T2" i="5"/>
  <c r="S16" i="5"/>
  <c r="S30" i="5"/>
  <c r="S18" i="5"/>
  <c r="S32" i="5"/>
  <c r="S12" i="5"/>
  <c r="S39" i="5"/>
  <c r="S11" i="5"/>
  <c r="S33" i="5"/>
  <c r="A64" i="2"/>
  <c r="A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V2" i="1"/>
  <c r="V9" i="1" s="1"/>
  <c r="V28" i="1" l="1"/>
  <c r="V27" i="1"/>
  <c r="V29" i="1"/>
  <c r="V30" i="1"/>
  <c r="V26" i="1"/>
  <c r="V25" i="1"/>
  <c r="V31" i="1"/>
  <c r="V32" i="1"/>
  <c r="V24" i="1"/>
  <c r="V23" i="1"/>
  <c r="V33" i="1"/>
  <c r="V34" i="1"/>
  <c r="V22" i="1"/>
  <c r="V35" i="1"/>
  <c r="V21" i="1"/>
  <c r="V36" i="1"/>
  <c r="V20" i="1"/>
  <c r="V19" i="1"/>
  <c r="V37" i="1"/>
  <c r="V38" i="1"/>
  <c r="V18" i="1"/>
  <c r="V39" i="1"/>
  <c r="V17" i="1"/>
  <c r="V40" i="1"/>
  <c r="V16" i="1"/>
  <c r="V41" i="1"/>
  <c r="V15" i="1"/>
  <c r="V42" i="1"/>
  <c r="V14" i="1"/>
  <c r="V43" i="1"/>
  <c r="V13" i="1"/>
  <c r="V44" i="1"/>
  <c r="V12" i="1"/>
  <c r="V11" i="1"/>
  <c r="V45" i="1"/>
  <c r="V10" i="1"/>
  <c r="V46" i="1"/>
  <c r="V47" i="1"/>
  <c r="V48" i="1"/>
  <c r="U48" i="1"/>
  <c r="U8" i="1"/>
  <c r="V8" i="1"/>
  <c r="T48" i="1"/>
  <c r="S48" i="1"/>
  <c r="R48" i="1"/>
  <c r="R8" i="1"/>
  <c r="S8" i="1"/>
  <c r="T8" i="1"/>
  <c r="F48" i="1"/>
  <c r="O48" i="1"/>
  <c r="Q48" i="1"/>
  <c r="P48" i="1"/>
  <c r="F8" i="1"/>
  <c r="P8" i="1"/>
  <c r="O8" i="1"/>
  <c r="Q8" i="1"/>
  <c r="D48" i="1"/>
  <c r="E48" i="1"/>
  <c r="D8" i="1"/>
  <c r="E8" i="1"/>
  <c r="A63" i="2"/>
  <c r="A10" i="2"/>
  <c r="U10" i="2" s="1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9" i="5"/>
  <c r="T19" i="5"/>
  <c r="T29" i="5"/>
  <c r="T43" i="5"/>
  <c r="T22" i="5"/>
  <c r="T30" i="5"/>
  <c r="T16" i="5"/>
  <c r="T41" i="5"/>
  <c r="T10" i="5"/>
  <c r="T35" i="5"/>
  <c r="T44" i="5"/>
  <c r="T12" i="5"/>
  <c r="T37" i="5"/>
  <c r="T13" i="5"/>
  <c r="T25" i="5"/>
  <c r="T38" i="5"/>
  <c r="T24" i="5"/>
  <c r="T32" i="5"/>
  <c r="T18" i="5"/>
  <c r="T42" i="5"/>
  <c r="T47" i="5"/>
  <c r="T20" i="5"/>
  <c r="T28" i="5"/>
  <c r="T21" i="5"/>
  <c r="T31" i="5"/>
  <c r="T45" i="5"/>
  <c r="T27" i="5"/>
  <c r="T40" i="5"/>
  <c r="T26" i="5"/>
  <c r="T34" i="5"/>
  <c r="U2" i="5"/>
  <c r="T11" i="5"/>
  <c r="T23" i="5"/>
  <c r="T36" i="5"/>
  <c r="T14" i="5"/>
  <c r="T39" i="5"/>
  <c r="T15" i="5"/>
  <c r="T33" i="5"/>
  <c r="T17" i="5"/>
  <c r="T46" i="5"/>
  <c r="A49" i="1"/>
  <c r="B48" i="1"/>
  <c r="C48" i="1"/>
  <c r="G48" i="1"/>
  <c r="H48" i="1"/>
  <c r="I48" i="1"/>
  <c r="J48" i="1"/>
  <c r="K48" i="1"/>
  <c r="L48" i="1"/>
  <c r="M48" i="1"/>
  <c r="N48" i="1"/>
  <c r="A7" i="1"/>
  <c r="B8" i="1"/>
  <c r="C8" i="1"/>
  <c r="G8" i="1"/>
  <c r="H8" i="1"/>
  <c r="I8" i="1"/>
  <c r="J8" i="1"/>
  <c r="K8" i="1"/>
  <c r="L8" i="1"/>
  <c r="M8" i="1"/>
  <c r="N8" i="1"/>
  <c r="A48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A97" i="2"/>
  <c r="A46" i="2"/>
  <c r="U46" i="2" s="1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W2" i="1"/>
  <c r="V2" i="2"/>
  <c r="U45" i="2"/>
  <c r="U30" i="2"/>
  <c r="U25" i="2"/>
  <c r="U12" i="2"/>
  <c r="U35" i="2"/>
  <c r="U13" i="2"/>
  <c r="U28" i="2"/>
  <c r="U14" i="2"/>
  <c r="U41" i="2"/>
  <c r="U11" i="2"/>
  <c r="U17" i="2"/>
  <c r="U33" i="2"/>
  <c r="U20" i="2"/>
  <c r="U34" i="2"/>
  <c r="U22" i="2"/>
  <c r="U36" i="2"/>
  <c r="U16" i="2"/>
  <c r="U24" i="2"/>
  <c r="U15" i="2"/>
  <c r="U18" i="2"/>
  <c r="U32" i="2"/>
  <c r="U19" i="2"/>
  <c r="U37" i="2"/>
  <c r="U21" i="2"/>
  <c r="U39" i="2"/>
  <c r="U31" i="2"/>
  <c r="U23" i="2"/>
  <c r="U26" i="2"/>
  <c r="U40" i="2"/>
  <c r="U27" i="2"/>
  <c r="U42" i="2"/>
  <c r="U29" i="2"/>
  <c r="U44" i="2"/>
  <c r="U38" i="2"/>
  <c r="U43" i="2"/>
  <c r="T11" i="2"/>
  <c r="A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W28" i="1" l="1"/>
  <c r="X28" i="1" s="1"/>
  <c r="Y28" i="1" s="1"/>
  <c r="Z28" i="5" s="1"/>
  <c r="W29" i="1"/>
  <c r="X29" i="1" s="1"/>
  <c r="Y29" i="1" s="1"/>
  <c r="Z29" i="5" s="1"/>
  <c r="W27" i="1"/>
  <c r="X27" i="1" s="1"/>
  <c r="Y27" i="1" s="1"/>
  <c r="Z27" i="5" s="1"/>
  <c r="W26" i="1"/>
  <c r="X26" i="1" s="1"/>
  <c r="Y26" i="1" s="1"/>
  <c r="Z26" i="5" s="1"/>
  <c r="W30" i="1"/>
  <c r="X30" i="1" s="1"/>
  <c r="Y30" i="1" s="1"/>
  <c r="Z30" i="5" s="1"/>
  <c r="W25" i="1"/>
  <c r="W31" i="1"/>
  <c r="X31" i="1" s="1"/>
  <c r="Y31" i="1" s="1"/>
  <c r="Z31" i="5" s="1"/>
  <c r="W24" i="1"/>
  <c r="X24" i="1" s="1"/>
  <c r="Y24" i="1" s="1"/>
  <c r="Z24" i="5" s="1"/>
  <c r="W32" i="1"/>
  <c r="X32" i="1" s="1"/>
  <c r="Y32" i="1" s="1"/>
  <c r="Z32" i="5" s="1"/>
  <c r="W33" i="1"/>
  <c r="X33" i="1" s="1"/>
  <c r="Y33" i="1" s="1"/>
  <c r="Z33" i="5" s="1"/>
  <c r="W23" i="1"/>
  <c r="W34" i="1"/>
  <c r="X34" i="1" s="1"/>
  <c r="Y34" i="1" s="1"/>
  <c r="Z34" i="5" s="1"/>
  <c r="W22" i="1"/>
  <c r="X22" i="1" s="1"/>
  <c r="Y22" i="1" s="1"/>
  <c r="Z22" i="5" s="1"/>
  <c r="W21" i="1"/>
  <c r="W35" i="1"/>
  <c r="X35" i="1" s="1"/>
  <c r="Y35" i="1" s="1"/>
  <c r="Z35" i="5" s="1"/>
  <c r="W20" i="1"/>
  <c r="X20" i="1" s="1"/>
  <c r="Y20" i="1" s="1"/>
  <c r="Z20" i="5" s="1"/>
  <c r="W36" i="1"/>
  <c r="X36" i="1" s="1"/>
  <c r="Y36" i="1" s="1"/>
  <c r="Z36" i="5" s="1"/>
  <c r="W19" i="1"/>
  <c r="X19" i="1" s="1"/>
  <c r="Y19" i="1" s="1"/>
  <c r="Z19" i="5" s="1"/>
  <c r="W37" i="1"/>
  <c r="X37" i="1" s="1"/>
  <c r="Y37" i="1" s="1"/>
  <c r="Z37" i="5" s="1"/>
  <c r="W38" i="1"/>
  <c r="X38" i="1" s="1"/>
  <c r="Y38" i="1" s="1"/>
  <c r="Z38" i="5" s="1"/>
  <c r="W18" i="1"/>
  <c r="X18" i="1" s="1"/>
  <c r="Y18" i="1" s="1"/>
  <c r="Z18" i="5" s="1"/>
  <c r="W39" i="1"/>
  <c r="X39" i="1" s="1"/>
  <c r="Y39" i="1" s="1"/>
  <c r="Z39" i="5" s="1"/>
  <c r="W17" i="1"/>
  <c r="X17" i="1" s="1"/>
  <c r="Y17" i="1" s="1"/>
  <c r="Z17" i="5" s="1"/>
  <c r="W40" i="1"/>
  <c r="X40" i="1" s="1"/>
  <c r="Y40" i="1" s="1"/>
  <c r="Z40" i="5" s="1"/>
  <c r="W16" i="1"/>
  <c r="W15" i="1"/>
  <c r="X15" i="1" s="1"/>
  <c r="Y15" i="1" s="1"/>
  <c r="Z15" i="5" s="1"/>
  <c r="W41" i="1"/>
  <c r="X41" i="1" s="1"/>
  <c r="Y41" i="1" s="1"/>
  <c r="Z41" i="5" s="1"/>
  <c r="W14" i="1"/>
  <c r="X14" i="1" s="1"/>
  <c r="Y14" i="1" s="1"/>
  <c r="Z14" i="5" s="1"/>
  <c r="W42" i="1"/>
  <c r="X42" i="1" s="1"/>
  <c r="Y42" i="1" s="1"/>
  <c r="Z42" i="5" s="1"/>
  <c r="W43" i="1"/>
  <c r="W13" i="1"/>
  <c r="X13" i="1" s="1"/>
  <c r="Y13" i="1" s="1"/>
  <c r="Z13" i="5" s="1"/>
  <c r="W12" i="1"/>
  <c r="X12" i="1" s="1"/>
  <c r="Y12" i="1" s="1"/>
  <c r="Z12" i="5" s="1"/>
  <c r="W44" i="1"/>
  <c r="X44" i="1" s="1"/>
  <c r="Y44" i="1" s="1"/>
  <c r="Z44" i="5" s="1"/>
  <c r="W45" i="1"/>
  <c r="X45" i="1" s="1"/>
  <c r="Y45" i="1" s="1"/>
  <c r="Z45" i="5" s="1"/>
  <c r="W11" i="1"/>
  <c r="X11" i="1" s="1"/>
  <c r="Y11" i="1" s="1"/>
  <c r="Z11" i="5" s="1"/>
  <c r="W10" i="1"/>
  <c r="X10" i="1" s="1"/>
  <c r="Y10" i="1" s="1"/>
  <c r="Z10" i="5" s="1"/>
  <c r="W46" i="1"/>
  <c r="X46" i="1" s="1"/>
  <c r="Y46" i="1" s="1"/>
  <c r="Z46" i="5" s="1"/>
  <c r="W9" i="1"/>
  <c r="X9" i="1" s="1"/>
  <c r="Y9" i="1" s="1"/>
  <c r="Z9" i="5" s="1"/>
  <c r="W47" i="1"/>
  <c r="W49" i="1"/>
  <c r="W48" i="1"/>
  <c r="W7" i="1"/>
  <c r="W8" i="1"/>
  <c r="X8" i="1" s="1"/>
  <c r="Y8" i="1" s="1"/>
  <c r="Z8" i="5" s="1"/>
  <c r="U49" i="1"/>
  <c r="V49" i="1"/>
  <c r="U7" i="1"/>
  <c r="V7" i="1"/>
  <c r="R7" i="1"/>
  <c r="S7" i="1"/>
  <c r="T7" i="1"/>
  <c r="S49" i="1"/>
  <c r="R49" i="1"/>
  <c r="T49" i="1"/>
  <c r="F49" i="1"/>
  <c r="O49" i="1"/>
  <c r="P49" i="1"/>
  <c r="Q49" i="1"/>
  <c r="F7" i="1"/>
  <c r="O7" i="1"/>
  <c r="Q7" i="1"/>
  <c r="P7" i="1"/>
  <c r="D49" i="1"/>
  <c r="E49" i="1"/>
  <c r="D7" i="1"/>
  <c r="E7" i="1"/>
  <c r="A7" i="5"/>
  <c r="U7" i="5" s="1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W2" i="2"/>
  <c r="V46" i="2"/>
  <c r="V42" i="2"/>
  <c r="V16" i="2"/>
  <c r="V30" i="2"/>
  <c r="V10" i="2"/>
  <c r="V20" i="2"/>
  <c r="V23" i="2"/>
  <c r="V37" i="2"/>
  <c r="V36" i="2"/>
  <c r="V13" i="2"/>
  <c r="V38" i="2"/>
  <c r="V22" i="2"/>
  <c r="V40" i="2"/>
  <c r="V17" i="2"/>
  <c r="V29" i="2"/>
  <c r="V15" i="2"/>
  <c r="V31" i="2"/>
  <c r="V25" i="2"/>
  <c r="V39" i="2"/>
  <c r="V11" i="2"/>
  <c r="V26" i="2"/>
  <c r="V44" i="2"/>
  <c r="V24" i="2"/>
  <c r="V45" i="2"/>
  <c r="V12" i="2"/>
  <c r="V35" i="2"/>
  <c r="V43" i="2"/>
  <c r="V14" i="2"/>
  <c r="V33" i="2"/>
  <c r="V21" i="2"/>
  <c r="V19" i="2"/>
  <c r="V34" i="2"/>
  <c r="V18" i="2"/>
  <c r="V32" i="2"/>
  <c r="V28" i="2"/>
  <c r="V27" i="2"/>
  <c r="V41" i="2"/>
  <c r="A98" i="2"/>
  <c r="A47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A6" i="1"/>
  <c r="W6" i="1" s="1"/>
  <c r="B7" i="1"/>
  <c r="C7" i="1"/>
  <c r="G7" i="1"/>
  <c r="H7" i="1"/>
  <c r="I7" i="1"/>
  <c r="J7" i="1"/>
  <c r="K7" i="1"/>
  <c r="L7" i="1"/>
  <c r="M7" i="1"/>
  <c r="N7" i="1"/>
  <c r="U8" i="5"/>
  <c r="U34" i="5"/>
  <c r="U35" i="5"/>
  <c r="U11" i="5"/>
  <c r="U27" i="5"/>
  <c r="U47" i="5"/>
  <c r="U21" i="5"/>
  <c r="U31" i="5"/>
  <c r="U20" i="5"/>
  <c r="U32" i="5"/>
  <c r="U43" i="5"/>
  <c r="U48" i="5"/>
  <c r="U14" i="5"/>
  <c r="U36" i="5"/>
  <c r="U44" i="5"/>
  <c r="U19" i="5"/>
  <c r="U29" i="5"/>
  <c r="U10" i="5"/>
  <c r="U24" i="5"/>
  <c r="U39" i="5"/>
  <c r="U15" i="5"/>
  <c r="U33" i="5"/>
  <c r="V2" i="5"/>
  <c r="U9" i="5"/>
  <c r="U25" i="5"/>
  <c r="U45" i="5"/>
  <c r="U22" i="5"/>
  <c r="U37" i="5"/>
  <c r="U18" i="5"/>
  <c r="U38" i="5"/>
  <c r="U41" i="5"/>
  <c r="U26" i="5"/>
  <c r="U42" i="5"/>
  <c r="U17" i="5"/>
  <c r="U40" i="5"/>
  <c r="U16" i="5"/>
  <c r="U30" i="5"/>
  <c r="U46" i="5"/>
  <c r="U13" i="5"/>
  <c r="U28" i="5"/>
  <c r="U12" i="5"/>
  <c r="U23" i="5"/>
  <c r="A62" i="2"/>
  <c r="A9" i="2"/>
  <c r="V9" i="2" s="1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A49" i="5"/>
  <c r="U49" i="5" s="1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X48" i="1"/>
  <c r="Y48" i="1" s="1"/>
  <c r="Z48" i="5" s="1"/>
  <c r="X21" i="1"/>
  <c r="Y21" i="1" s="1"/>
  <c r="Z21" i="5" s="1"/>
  <c r="X23" i="1"/>
  <c r="Y23" i="1" s="1"/>
  <c r="Z23" i="5" s="1"/>
  <c r="X25" i="1"/>
  <c r="Y25" i="1" s="1"/>
  <c r="Z25" i="5" s="1"/>
  <c r="X43" i="1"/>
  <c r="Y43" i="1" s="1"/>
  <c r="Z43" i="5" s="1"/>
  <c r="X16" i="1"/>
  <c r="Y16" i="1" s="1"/>
  <c r="Z16" i="5" s="1"/>
  <c r="X47" i="1"/>
  <c r="Y47" i="1" s="1"/>
  <c r="Z47" i="5" s="1"/>
  <c r="T8" i="5"/>
  <c r="T48" i="5"/>
  <c r="A50" i="1"/>
  <c r="W50" i="1" s="1"/>
  <c r="B49" i="1"/>
  <c r="C49" i="1"/>
  <c r="G49" i="1"/>
  <c r="H49" i="1"/>
  <c r="I49" i="1"/>
  <c r="J49" i="1"/>
  <c r="K49" i="1"/>
  <c r="L49" i="1"/>
  <c r="M49" i="1"/>
  <c r="N49" i="1"/>
  <c r="V50" i="1" l="1"/>
  <c r="U50" i="1"/>
  <c r="V6" i="1"/>
  <c r="U6" i="1"/>
  <c r="S6" i="1"/>
  <c r="T6" i="1"/>
  <c r="R6" i="1"/>
  <c r="R50" i="1"/>
  <c r="S50" i="1"/>
  <c r="T50" i="1"/>
  <c r="F50" i="1"/>
  <c r="P50" i="1"/>
  <c r="Q50" i="1"/>
  <c r="O50" i="1"/>
  <c r="F6" i="1"/>
  <c r="O6" i="1"/>
  <c r="Q6" i="1"/>
  <c r="P6" i="1"/>
  <c r="D50" i="1"/>
  <c r="E50" i="1"/>
  <c r="D6" i="1"/>
  <c r="E6" i="1"/>
  <c r="X7" i="1"/>
  <c r="Y7" i="1" s="1"/>
  <c r="Z7" i="5" s="1"/>
  <c r="A5" i="1"/>
  <c r="W5" i="1" s="1"/>
  <c r="AB4" i="1"/>
  <c r="AB50" i="1" s="1"/>
  <c r="B6" i="1"/>
  <c r="C6" i="1"/>
  <c r="G6" i="1"/>
  <c r="H6" i="1"/>
  <c r="I6" i="1"/>
  <c r="J6" i="1"/>
  <c r="K6" i="1"/>
  <c r="L6" i="1"/>
  <c r="M6" i="1"/>
  <c r="N6" i="1"/>
  <c r="A99" i="2"/>
  <c r="A48" i="2"/>
  <c r="W48" i="2" s="1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W14" i="2"/>
  <c r="X14" i="2" s="1"/>
  <c r="Y14" i="2" s="1"/>
  <c r="W28" i="2"/>
  <c r="X28" i="2" s="1"/>
  <c r="Y28" i="2" s="1"/>
  <c r="W43" i="2"/>
  <c r="X43" i="2" s="1"/>
  <c r="Y43" i="2" s="1"/>
  <c r="W30" i="2"/>
  <c r="X30" i="2" s="1"/>
  <c r="Y30" i="2" s="1"/>
  <c r="W45" i="2"/>
  <c r="X45" i="2" s="1"/>
  <c r="Y45" i="2" s="1"/>
  <c r="W25" i="2"/>
  <c r="X25" i="2" s="1"/>
  <c r="Y25" i="2" s="1"/>
  <c r="W39" i="2"/>
  <c r="X39" i="2" s="1"/>
  <c r="Y39" i="2" s="1"/>
  <c r="W12" i="2"/>
  <c r="X12" i="2" s="1"/>
  <c r="Y12" i="2" s="1"/>
  <c r="W26" i="2"/>
  <c r="X26" i="2" s="1"/>
  <c r="Y26" i="2" s="1"/>
  <c r="W13" i="2"/>
  <c r="X13" i="2" s="1"/>
  <c r="Y13" i="2" s="1"/>
  <c r="W36" i="2"/>
  <c r="X36" i="2" s="1"/>
  <c r="Y36" i="2" s="1"/>
  <c r="W16" i="2"/>
  <c r="X16" i="2" s="1"/>
  <c r="Y16" i="2" s="1"/>
  <c r="W29" i="2"/>
  <c r="X29" i="2" s="1"/>
  <c r="Y29" i="2" s="1"/>
  <c r="W10" i="2"/>
  <c r="X10" i="2" s="1"/>
  <c r="Y10" i="2" s="1"/>
  <c r="W24" i="2"/>
  <c r="X24" i="2" s="1"/>
  <c r="Y24" i="2" s="1"/>
  <c r="W42" i="2"/>
  <c r="X42" i="2" s="1"/>
  <c r="Y42" i="2" s="1"/>
  <c r="W11" i="2"/>
  <c r="X11" i="2" s="1"/>
  <c r="Y11" i="2" s="1"/>
  <c r="W34" i="2"/>
  <c r="X34" i="2" s="1"/>
  <c r="Y34" i="2" s="1"/>
  <c r="W44" i="2"/>
  <c r="X44" i="2" s="1"/>
  <c r="Y44" i="2" s="1"/>
  <c r="W9" i="2"/>
  <c r="W21" i="2"/>
  <c r="X21" i="2" s="1"/>
  <c r="Y21" i="2" s="1"/>
  <c r="W35" i="2"/>
  <c r="X35" i="2" s="1"/>
  <c r="Y35" i="2" s="1"/>
  <c r="W23" i="2"/>
  <c r="X23" i="2" s="1"/>
  <c r="Y23" i="2" s="1"/>
  <c r="W37" i="2"/>
  <c r="X37" i="2" s="1"/>
  <c r="Y37" i="2" s="1"/>
  <c r="W18" i="2"/>
  <c r="X18" i="2" s="1"/>
  <c r="Y18" i="2" s="1"/>
  <c r="W32" i="2"/>
  <c r="X32" i="2" s="1"/>
  <c r="Y32" i="2" s="1"/>
  <c r="W46" i="2"/>
  <c r="X46" i="2" s="1"/>
  <c r="Y46" i="2" s="1"/>
  <c r="W19" i="2"/>
  <c r="X19" i="2" s="1"/>
  <c r="Y19" i="2" s="1"/>
  <c r="W33" i="2"/>
  <c r="X33" i="2" s="1"/>
  <c r="Y33" i="2" s="1"/>
  <c r="W47" i="2"/>
  <c r="W20" i="2"/>
  <c r="X20" i="2" s="1"/>
  <c r="Y20" i="2" s="1"/>
  <c r="W38" i="2"/>
  <c r="X38" i="2" s="1"/>
  <c r="Y38" i="2" s="1"/>
  <c r="W22" i="2"/>
  <c r="X22" i="2" s="1"/>
  <c r="Y22" i="2" s="1"/>
  <c r="W40" i="2"/>
  <c r="X40" i="2" s="1"/>
  <c r="Y40" i="2" s="1"/>
  <c r="W17" i="2"/>
  <c r="X17" i="2" s="1"/>
  <c r="Y17" i="2" s="1"/>
  <c r="W31" i="2"/>
  <c r="X31" i="2" s="1"/>
  <c r="Y31" i="2" s="1"/>
  <c r="W15" i="2"/>
  <c r="X15" i="2" s="1"/>
  <c r="Y15" i="2" s="1"/>
  <c r="W27" i="2"/>
  <c r="X27" i="2" s="1"/>
  <c r="Y27" i="2" s="1"/>
  <c r="W41" i="2"/>
  <c r="X41" i="2" s="1"/>
  <c r="Y41" i="2" s="1"/>
  <c r="A50" i="5"/>
  <c r="V50" i="5" s="1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X49" i="1"/>
  <c r="Y49" i="1" s="1"/>
  <c r="Z49" i="5" s="1"/>
  <c r="A51" i="1"/>
  <c r="W51" i="1" s="1"/>
  <c r="B50" i="1"/>
  <c r="C50" i="1"/>
  <c r="G50" i="1"/>
  <c r="H50" i="1"/>
  <c r="I50" i="1"/>
  <c r="J50" i="1"/>
  <c r="K50" i="1"/>
  <c r="L50" i="1"/>
  <c r="M50" i="1"/>
  <c r="N50" i="1"/>
  <c r="W2" i="5"/>
  <c r="V7" i="5"/>
  <c r="V28" i="5"/>
  <c r="V35" i="5"/>
  <c r="V12" i="5"/>
  <c r="V22" i="5"/>
  <c r="V37" i="5"/>
  <c r="V17" i="5"/>
  <c r="V43" i="5"/>
  <c r="V8" i="5"/>
  <c r="V27" i="5"/>
  <c r="V33" i="5"/>
  <c r="V49" i="5"/>
  <c r="V30" i="5"/>
  <c r="V42" i="5"/>
  <c r="V20" i="5"/>
  <c r="V32" i="5"/>
  <c r="V44" i="5"/>
  <c r="V25" i="5"/>
  <c r="V31" i="5"/>
  <c r="V16" i="5"/>
  <c r="V26" i="5"/>
  <c r="V47" i="5"/>
  <c r="V18" i="5"/>
  <c r="V38" i="5"/>
  <c r="V10" i="5"/>
  <c r="V15" i="5"/>
  <c r="V40" i="5"/>
  <c r="V14" i="5"/>
  <c r="V24" i="5"/>
  <c r="V39" i="5"/>
  <c r="V11" i="5"/>
  <c r="V36" i="5"/>
  <c r="V13" i="5"/>
  <c r="V45" i="5"/>
  <c r="V21" i="5"/>
  <c r="V23" i="5"/>
  <c r="V29" i="5"/>
  <c r="V9" i="5"/>
  <c r="V34" i="5"/>
  <c r="V46" i="5"/>
  <c r="V19" i="5"/>
  <c r="V41" i="5"/>
  <c r="V48" i="5"/>
  <c r="V47" i="2"/>
  <c r="A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A61" i="2"/>
  <c r="A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51" i="1" l="1"/>
  <c r="U51" i="1"/>
  <c r="U5" i="1"/>
  <c r="V5" i="1"/>
  <c r="T51" i="1"/>
  <c r="S51" i="1"/>
  <c r="R51" i="1"/>
  <c r="S5" i="1"/>
  <c r="R5" i="1"/>
  <c r="T5" i="1"/>
  <c r="F5" i="1"/>
  <c r="Q5" i="1"/>
  <c r="P5" i="1"/>
  <c r="O5" i="1"/>
  <c r="F51" i="1"/>
  <c r="Q51" i="1"/>
  <c r="P51" i="1"/>
  <c r="O51" i="1"/>
  <c r="D5" i="1"/>
  <c r="E5" i="1"/>
  <c r="D51" i="1"/>
  <c r="E51" i="1"/>
  <c r="A60" i="2"/>
  <c r="A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A5" i="5"/>
  <c r="W5" i="5" s="1"/>
  <c r="AC4" i="5"/>
  <c r="AC6" i="5" s="1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W15" i="5"/>
  <c r="X15" i="5" s="1"/>
  <c r="Y15" i="5" s="1"/>
  <c r="W31" i="5"/>
  <c r="X31" i="5" s="1"/>
  <c r="Y31" i="5" s="1"/>
  <c r="W45" i="5"/>
  <c r="X45" i="5" s="1"/>
  <c r="Y45" i="5" s="1"/>
  <c r="W12" i="5"/>
  <c r="X12" i="5" s="1"/>
  <c r="Y12" i="5" s="1"/>
  <c r="W35" i="5"/>
  <c r="X35" i="5" s="1"/>
  <c r="Y35" i="5" s="1"/>
  <c r="W46" i="5"/>
  <c r="X46" i="5" s="1"/>
  <c r="Y46" i="5" s="1"/>
  <c r="W29" i="5"/>
  <c r="X29" i="5" s="1"/>
  <c r="Y29" i="5" s="1"/>
  <c r="W34" i="5"/>
  <c r="X34" i="5" s="1"/>
  <c r="Y34" i="5" s="1"/>
  <c r="W16" i="5"/>
  <c r="X16" i="5" s="1"/>
  <c r="Y16" i="5" s="1"/>
  <c r="W28" i="5"/>
  <c r="X28" i="5" s="1"/>
  <c r="Y28" i="5" s="1"/>
  <c r="W50" i="5"/>
  <c r="W7" i="5"/>
  <c r="X7" i="5" s="1"/>
  <c r="Y7" i="5" s="1"/>
  <c r="W21" i="5"/>
  <c r="X21" i="5" s="1"/>
  <c r="Y21" i="5" s="1"/>
  <c r="W38" i="5"/>
  <c r="X38" i="5" s="1"/>
  <c r="Y38" i="5" s="1"/>
  <c r="W17" i="5"/>
  <c r="X17" i="5" s="1"/>
  <c r="Y17" i="5" s="1"/>
  <c r="W33" i="5"/>
  <c r="X33" i="5" s="1"/>
  <c r="Y33" i="5" s="1"/>
  <c r="W47" i="5"/>
  <c r="X47" i="5" s="1"/>
  <c r="Y47" i="5" s="1"/>
  <c r="W14" i="5"/>
  <c r="X14" i="5" s="1"/>
  <c r="Y14" i="5" s="1"/>
  <c r="W39" i="5"/>
  <c r="X39" i="5" s="1"/>
  <c r="Y39" i="5" s="1"/>
  <c r="W8" i="5"/>
  <c r="X8" i="5" s="1"/>
  <c r="Y8" i="5" s="1"/>
  <c r="W24" i="5"/>
  <c r="X24" i="5" s="1"/>
  <c r="Y24" i="5" s="1"/>
  <c r="W18" i="5"/>
  <c r="X18" i="5" s="1"/>
  <c r="Y18" i="5" s="1"/>
  <c r="W30" i="5"/>
  <c r="X30" i="5" s="1"/>
  <c r="Y30" i="5" s="1"/>
  <c r="W9" i="5"/>
  <c r="X9" i="5" s="1"/>
  <c r="Y9" i="5" s="1"/>
  <c r="W23" i="5"/>
  <c r="X23" i="5" s="1"/>
  <c r="Y23" i="5" s="1"/>
  <c r="W40" i="5"/>
  <c r="X40" i="5" s="1"/>
  <c r="Y40" i="5" s="1"/>
  <c r="W19" i="5"/>
  <c r="X19" i="5" s="1"/>
  <c r="Y19" i="5" s="1"/>
  <c r="W22" i="5"/>
  <c r="X22" i="5" s="1"/>
  <c r="Y22" i="5" s="1"/>
  <c r="W48" i="5"/>
  <c r="X48" i="5" s="1"/>
  <c r="Y48" i="5" s="1"/>
  <c r="W13" i="5"/>
  <c r="X13" i="5" s="1"/>
  <c r="Y13" i="5" s="1"/>
  <c r="W27" i="5"/>
  <c r="X27" i="5" s="1"/>
  <c r="Y27" i="5" s="1"/>
  <c r="W43" i="5"/>
  <c r="X43" i="5" s="1"/>
  <c r="Y43" i="5" s="1"/>
  <c r="W42" i="5"/>
  <c r="X42" i="5" s="1"/>
  <c r="Y42" i="5" s="1"/>
  <c r="W10" i="5"/>
  <c r="X10" i="5" s="1"/>
  <c r="Y10" i="5" s="1"/>
  <c r="W26" i="5"/>
  <c r="X26" i="5" s="1"/>
  <c r="Y26" i="5" s="1"/>
  <c r="W44" i="5"/>
  <c r="X44" i="5" s="1"/>
  <c r="Y44" i="5" s="1"/>
  <c r="W20" i="5"/>
  <c r="X20" i="5" s="1"/>
  <c r="Y20" i="5" s="1"/>
  <c r="W32" i="5"/>
  <c r="X32" i="5" s="1"/>
  <c r="Y32" i="5" s="1"/>
  <c r="W11" i="5"/>
  <c r="X11" i="5" s="1"/>
  <c r="Y11" i="5" s="1"/>
  <c r="W25" i="5"/>
  <c r="X25" i="5" s="1"/>
  <c r="Y25" i="5" s="1"/>
  <c r="W41" i="5"/>
  <c r="X41" i="5" s="1"/>
  <c r="Y41" i="5" s="1"/>
  <c r="W49" i="5"/>
  <c r="X49" i="5" s="1"/>
  <c r="Y49" i="5" s="1"/>
  <c r="W37" i="5"/>
  <c r="X37" i="5" s="1"/>
  <c r="Y37" i="5" s="1"/>
  <c r="W36" i="5"/>
  <c r="X36" i="5" s="1"/>
  <c r="Y36" i="5" s="1"/>
  <c r="AC4" i="1"/>
  <c r="AC5" i="1" s="1"/>
  <c r="AB52" i="1"/>
  <c r="AB28" i="1"/>
  <c r="AB27" i="1"/>
  <c r="AB29" i="1"/>
  <c r="AB26" i="1"/>
  <c r="AB30" i="1"/>
  <c r="AB25" i="1"/>
  <c r="AB31" i="1"/>
  <c r="AB24" i="1"/>
  <c r="AB32" i="1"/>
  <c r="AB23" i="1"/>
  <c r="AB33" i="1"/>
  <c r="AB22" i="1"/>
  <c r="AB34" i="1"/>
  <c r="AB21" i="1"/>
  <c r="AB35" i="1"/>
  <c r="AB36" i="1"/>
  <c r="AB20" i="1"/>
  <c r="AB19" i="1"/>
  <c r="AB37" i="1"/>
  <c r="AB38" i="1"/>
  <c r="AB18" i="1"/>
  <c r="AB39" i="1"/>
  <c r="AB17" i="1"/>
  <c r="AB16" i="1"/>
  <c r="AB40" i="1"/>
  <c r="AB41" i="1"/>
  <c r="AB15" i="1"/>
  <c r="AB14" i="1"/>
  <c r="AB42" i="1"/>
  <c r="AB43" i="1"/>
  <c r="AB13" i="1"/>
  <c r="AB12" i="1"/>
  <c r="AB44" i="1"/>
  <c r="AB45" i="1"/>
  <c r="AB11" i="1"/>
  <c r="AB46" i="1"/>
  <c r="AB10" i="1"/>
  <c r="AB9" i="1"/>
  <c r="AB47" i="1"/>
  <c r="AB8" i="1"/>
  <c r="AB48" i="1"/>
  <c r="AB49" i="1"/>
  <c r="AB7" i="1"/>
  <c r="AB6" i="1"/>
  <c r="W8" i="2"/>
  <c r="X6" i="1"/>
  <c r="Y6" i="1" s="1"/>
  <c r="Z6" i="5" s="1"/>
  <c r="AB5" i="1"/>
  <c r="B5" i="1"/>
  <c r="C5" i="1"/>
  <c r="G5" i="1"/>
  <c r="H5" i="1"/>
  <c r="I5" i="1"/>
  <c r="J5" i="1"/>
  <c r="K5" i="1"/>
  <c r="L5" i="1"/>
  <c r="M5" i="1"/>
  <c r="N5" i="1"/>
  <c r="A51" i="5"/>
  <c r="W51" i="5" s="1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X47" i="2"/>
  <c r="Y47" i="2" s="1"/>
  <c r="X9" i="2"/>
  <c r="Y9" i="2" s="1"/>
  <c r="X50" i="1"/>
  <c r="Y50" i="1" s="1"/>
  <c r="Z50" i="5" s="1"/>
  <c r="AB51" i="1"/>
  <c r="B51" i="1"/>
  <c r="C51" i="1"/>
  <c r="G51" i="1"/>
  <c r="H51" i="1"/>
  <c r="I51" i="1"/>
  <c r="J51" i="1"/>
  <c r="K51" i="1"/>
  <c r="L51" i="1"/>
  <c r="M51" i="1"/>
  <c r="N51" i="1"/>
  <c r="A100" i="2"/>
  <c r="A49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AC51" i="1" l="1"/>
  <c r="AC50" i="5"/>
  <c r="A101" i="2"/>
  <c r="A50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51" i="1"/>
  <c r="Y51" i="1" s="1"/>
  <c r="Z51" i="5" s="1"/>
  <c r="W53" i="1"/>
  <c r="W56" i="1"/>
  <c r="W55" i="1"/>
  <c r="W4" i="1"/>
  <c r="S4" i="1"/>
  <c r="S56" i="1"/>
  <c r="S53" i="1"/>
  <c r="S55" i="1"/>
  <c r="O56" i="1"/>
  <c r="O55" i="1"/>
  <c r="O4" i="1"/>
  <c r="O53" i="1"/>
  <c r="K55" i="1"/>
  <c r="K4" i="1"/>
  <c r="K56" i="1"/>
  <c r="K53" i="1"/>
  <c r="G4" i="1"/>
  <c r="G55" i="1"/>
  <c r="G56" i="1"/>
  <c r="G53" i="1"/>
  <c r="C4" i="1"/>
  <c r="C53" i="1"/>
  <c r="C56" i="1"/>
  <c r="C55" i="1"/>
  <c r="AD4" i="1"/>
  <c r="AC52" i="1"/>
  <c r="AC28" i="1"/>
  <c r="AC29" i="1"/>
  <c r="AC27" i="1"/>
  <c r="AC26" i="1"/>
  <c r="AC30" i="1"/>
  <c r="AC25" i="1"/>
  <c r="AC31" i="1"/>
  <c r="AC24" i="1"/>
  <c r="AC32" i="1"/>
  <c r="AC23" i="1"/>
  <c r="AC33" i="1"/>
  <c r="AC34" i="1"/>
  <c r="AC22" i="1"/>
  <c r="AC35" i="1"/>
  <c r="AC21" i="1"/>
  <c r="AC20" i="1"/>
  <c r="AC36" i="1"/>
  <c r="AC19" i="1"/>
  <c r="AC37" i="1"/>
  <c r="AC38" i="1"/>
  <c r="AC18" i="1"/>
  <c r="AC39" i="1"/>
  <c r="AC17" i="1"/>
  <c r="AC16" i="1"/>
  <c r="AC40" i="1"/>
  <c r="AC41" i="1"/>
  <c r="AC15" i="1"/>
  <c r="AC42" i="1"/>
  <c r="AC14" i="1"/>
  <c r="AC43" i="1"/>
  <c r="AC13" i="1"/>
  <c r="AC44" i="1"/>
  <c r="AC12" i="1"/>
  <c r="AC45" i="1"/>
  <c r="AC11" i="1"/>
  <c r="AC10" i="1"/>
  <c r="AC46" i="1"/>
  <c r="AC9" i="1"/>
  <c r="AC47" i="1"/>
  <c r="AC48" i="1"/>
  <c r="AC8" i="1"/>
  <c r="AC7" i="1"/>
  <c r="AC49" i="1"/>
  <c r="AC6" i="1"/>
  <c r="AC50" i="1"/>
  <c r="X6" i="5"/>
  <c r="Y6" i="5" s="1"/>
  <c r="AD4" i="5"/>
  <c r="AD5" i="5" s="1"/>
  <c r="AC52" i="5"/>
  <c r="AC28" i="5"/>
  <c r="AC29" i="5"/>
  <c r="AC27" i="5"/>
  <c r="AC30" i="5"/>
  <c r="AC26" i="5"/>
  <c r="AC31" i="5"/>
  <c r="AC25" i="5"/>
  <c r="AC24" i="5"/>
  <c r="AC32" i="5"/>
  <c r="AC23" i="5"/>
  <c r="AC33" i="5"/>
  <c r="AC34" i="5"/>
  <c r="AC22" i="5"/>
  <c r="AC35" i="5"/>
  <c r="AC21" i="5"/>
  <c r="AC36" i="5"/>
  <c r="AC20" i="5"/>
  <c r="AC19" i="5"/>
  <c r="AC37" i="5"/>
  <c r="AC38" i="5"/>
  <c r="AC18" i="5"/>
  <c r="AC17" i="5"/>
  <c r="AC39" i="5"/>
  <c r="AC16" i="5"/>
  <c r="AC40" i="5"/>
  <c r="AC15" i="5"/>
  <c r="AC41" i="5"/>
  <c r="AC14" i="5"/>
  <c r="AC42" i="5"/>
  <c r="AC43" i="5"/>
  <c r="AC13" i="5"/>
  <c r="AC44" i="5"/>
  <c r="AC12" i="5"/>
  <c r="AC45" i="5"/>
  <c r="AC11" i="5"/>
  <c r="AC46" i="5"/>
  <c r="AC10" i="5"/>
  <c r="AC47" i="5"/>
  <c r="AC9" i="5"/>
  <c r="AC8" i="5"/>
  <c r="AC48" i="5"/>
  <c r="AC49" i="5"/>
  <c r="AC7" i="5"/>
  <c r="A59" i="2"/>
  <c r="A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V4" i="1"/>
  <c r="V53" i="1"/>
  <c r="V55" i="1"/>
  <c r="V56" i="1"/>
  <c r="R4" i="1"/>
  <c r="R56" i="1"/>
  <c r="R55" i="1"/>
  <c r="R53" i="1"/>
  <c r="N55" i="1"/>
  <c r="N56" i="1"/>
  <c r="N53" i="1"/>
  <c r="N4" i="1"/>
  <c r="J55" i="1"/>
  <c r="J56" i="1"/>
  <c r="J4" i="1"/>
  <c r="J53" i="1"/>
  <c r="F55" i="1"/>
  <c r="F53" i="1"/>
  <c r="F4" i="1"/>
  <c r="F56" i="1"/>
  <c r="X5" i="1"/>
  <c r="B56" i="1"/>
  <c r="B53" i="1"/>
  <c r="B55" i="1"/>
  <c r="B4" i="1"/>
  <c r="AC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X50" i="5"/>
  <c r="Y50" i="5" s="1"/>
  <c r="AC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U55" i="1"/>
  <c r="U56" i="1"/>
  <c r="U53" i="1"/>
  <c r="U4" i="1"/>
  <c r="Q4" i="1"/>
  <c r="Q55" i="1"/>
  <c r="Q56" i="1"/>
  <c r="Q53" i="1"/>
  <c r="M53" i="1"/>
  <c r="M55" i="1"/>
  <c r="M56" i="1"/>
  <c r="M4" i="1"/>
  <c r="I56" i="1"/>
  <c r="I4" i="1"/>
  <c r="I55" i="1"/>
  <c r="I53" i="1"/>
  <c r="E4" i="1"/>
  <c r="E55" i="1"/>
  <c r="E56" i="1"/>
  <c r="E53" i="1"/>
  <c r="X48" i="2"/>
  <c r="Y48" i="2" s="1"/>
  <c r="T55" i="1"/>
  <c r="T53" i="1"/>
  <c r="T4" i="1"/>
  <c r="T56" i="1"/>
  <c r="P55" i="1"/>
  <c r="P4" i="1"/>
  <c r="P53" i="1"/>
  <c r="P56" i="1"/>
  <c r="L4" i="1"/>
  <c r="L56" i="1"/>
  <c r="L55" i="1"/>
  <c r="L53" i="1"/>
  <c r="H53" i="1"/>
  <c r="H56" i="1"/>
  <c r="H55" i="1"/>
  <c r="H4" i="1"/>
  <c r="D4" i="1"/>
  <c r="D55" i="1"/>
  <c r="D56" i="1"/>
  <c r="D53" i="1"/>
  <c r="W55" i="5"/>
  <c r="W53" i="5"/>
  <c r="W56" i="5"/>
  <c r="W4" i="5"/>
  <c r="X8" i="2"/>
  <c r="Y8" i="2" s="1"/>
  <c r="AD51" i="5" l="1"/>
  <c r="D107" i="1"/>
  <c r="D108" i="1"/>
  <c r="D109" i="1"/>
  <c r="D104" i="1"/>
  <c r="D106" i="1"/>
  <c r="D80" i="1"/>
  <c r="D81" i="1"/>
  <c r="D79" i="1"/>
  <c r="D78" i="1"/>
  <c r="D82" i="1"/>
  <c r="D77" i="1"/>
  <c r="D83" i="1"/>
  <c r="D76" i="1"/>
  <c r="D84" i="1"/>
  <c r="D75" i="1"/>
  <c r="D85" i="1"/>
  <c r="D74" i="1"/>
  <c r="D86" i="1"/>
  <c r="D87" i="1"/>
  <c r="D73" i="1"/>
  <c r="D72" i="1"/>
  <c r="D88" i="1"/>
  <c r="D89" i="1"/>
  <c r="D71" i="1"/>
  <c r="D70" i="1"/>
  <c r="D90" i="1"/>
  <c r="D69" i="1"/>
  <c r="D91" i="1"/>
  <c r="D92" i="1"/>
  <c r="D68" i="1"/>
  <c r="D93" i="1"/>
  <c r="D67" i="1"/>
  <c r="D66" i="1"/>
  <c r="D94" i="1"/>
  <c r="D95" i="1"/>
  <c r="D65" i="1"/>
  <c r="D96" i="1"/>
  <c r="D64" i="1"/>
  <c r="D97" i="1"/>
  <c r="D63" i="1"/>
  <c r="D62" i="1"/>
  <c r="D98" i="1"/>
  <c r="D61" i="1"/>
  <c r="D99" i="1"/>
  <c r="D100" i="1"/>
  <c r="D60" i="1"/>
  <c r="D101" i="1"/>
  <c r="D59" i="1"/>
  <c r="D102" i="1"/>
  <c r="D58" i="1"/>
  <c r="D103" i="1"/>
  <c r="P107" i="1"/>
  <c r="P104" i="1"/>
  <c r="P105" i="1"/>
  <c r="P108" i="1"/>
  <c r="P109" i="1"/>
  <c r="P106" i="1"/>
  <c r="P80" i="1"/>
  <c r="P79" i="1"/>
  <c r="P81" i="1"/>
  <c r="P82" i="1"/>
  <c r="P78" i="1"/>
  <c r="P83" i="1"/>
  <c r="P77" i="1"/>
  <c r="P76" i="1"/>
  <c r="P84" i="1"/>
  <c r="P75" i="1"/>
  <c r="P85" i="1"/>
  <c r="P74" i="1"/>
  <c r="P86" i="1"/>
  <c r="P87" i="1"/>
  <c r="P73" i="1"/>
  <c r="P72" i="1"/>
  <c r="P88" i="1"/>
  <c r="P71" i="1"/>
  <c r="P89" i="1"/>
  <c r="P90" i="1"/>
  <c r="P70" i="1"/>
  <c r="P91" i="1"/>
  <c r="P69" i="1"/>
  <c r="P68" i="1"/>
  <c r="P92" i="1"/>
  <c r="P93" i="1"/>
  <c r="P67" i="1"/>
  <c r="P66" i="1"/>
  <c r="P94" i="1"/>
  <c r="P65" i="1"/>
  <c r="P95" i="1"/>
  <c r="P64" i="1"/>
  <c r="P96" i="1"/>
  <c r="P63" i="1"/>
  <c r="P97" i="1"/>
  <c r="P98" i="1"/>
  <c r="P62" i="1"/>
  <c r="P61" i="1"/>
  <c r="P99" i="1"/>
  <c r="P100" i="1"/>
  <c r="P60" i="1"/>
  <c r="P101" i="1"/>
  <c r="P59" i="1"/>
  <c r="P58" i="1"/>
  <c r="P102" i="1"/>
  <c r="P103" i="1"/>
  <c r="M106" i="1"/>
  <c r="M107" i="1"/>
  <c r="M108" i="1"/>
  <c r="M104" i="1"/>
  <c r="M109" i="1"/>
  <c r="M80" i="1"/>
  <c r="M79" i="1"/>
  <c r="M81" i="1"/>
  <c r="M82" i="1"/>
  <c r="M78" i="1"/>
  <c r="M83" i="1"/>
  <c r="M77" i="1"/>
  <c r="M84" i="1"/>
  <c r="M76" i="1"/>
  <c r="M75" i="1"/>
  <c r="M85" i="1"/>
  <c r="M86" i="1"/>
  <c r="M74" i="1"/>
  <c r="M73" i="1"/>
  <c r="M87" i="1"/>
  <c r="M88" i="1"/>
  <c r="M72" i="1"/>
  <c r="M71" i="1"/>
  <c r="M89" i="1"/>
  <c r="M70" i="1"/>
  <c r="M90" i="1"/>
  <c r="M91" i="1"/>
  <c r="M69" i="1"/>
  <c r="M68" i="1"/>
  <c r="M92" i="1"/>
  <c r="M93" i="1"/>
  <c r="M67" i="1"/>
  <c r="M66" i="1"/>
  <c r="M94" i="1"/>
  <c r="M65" i="1"/>
  <c r="M95" i="1"/>
  <c r="M64" i="1"/>
  <c r="M96" i="1"/>
  <c r="M97" i="1"/>
  <c r="M63" i="1"/>
  <c r="M98" i="1"/>
  <c r="M62" i="1"/>
  <c r="M99" i="1"/>
  <c r="M61" i="1"/>
  <c r="M100" i="1"/>
  <c r="M60" i="1"/>
  <c r="M59" i="1"/>
  <c r="M101" i="1"/>
  <c r="M58" i="1"/>
  <c r="M102" i="1"/>
  <c r="M103" i="1"/>
  <c r="H107" i="1"/>
  <c r="H104" i="1"/>
  <c r="H109" i="1"/>
  <c r="H106" i="1"/>
  <c r="H105" i="1"/>
  <c r="H108" i="1"/>
  <c r="H80" i="1"/>
  <c r="H81" i="1"/>
  <c r="H79" i="1"/>
  <c r="H82" i="1"/>
  <c r="H78" i="1"/>
  <c r="H77" i="1"/>
  <c r="H83" i="1"/>
  <c r="H84" i="1"/>
  <c r="H76" i="1"/>
  <c r="H85" i="1"/>
  <c r="H75" i="1"/>
  <c r="H74" i="1"/>
  <c r="H86" i="1"/>
  <c r="H73" i="1"/>
  <c r="H87" i="1"/>
  <c r="H72" i="1"/>
  <c r="H88" i="1"/>
  <c r="H71" i="1"/>
  <c r="H89" i="1"/>
  <c r="H70" i="1"/>
  <c r="H90" i="1"/>
  <c r="H69" i="1"/>
  <c r="H91" i="1"/>
  <c r="H92" i="1"/>
  <c r="H68" i="1"/>
  <c r="H67" i="1"/>
  <c r="H93" i="1"/>
  <c r="H66" i="1"/>
  <c r="H94" i="1"/>
  <c r="H65" i="1"/>
  <c r="H95" i="1"/>
  <c r="H64" i="1"/>
  <c r="H96" i="1"/>
  <c r="H97" i="1"/>
  <c r="H63" i="1"/>
  <c r="H98" i="1"/>
  <c r="H62" i="1"/>
  <c r="H99" i="1"/>
  <c r="H61" i="1"/>
  <c r="H100" i="1"/>
  <c r="H60" i="1"/>
  <c r="H101" i="1"/>
  <c r="H59" i="1"/>
  <c r="H58" i="1"/>
  <c r="H102" i="1"/>
  <c r="H103" i="1"/>
  <c r="U106" i="1"/>
  <c r="U105" i="1"/>
  <c r="U104" i="1"/>
  <c r="U107" i="1"/>
  <c r="U109" i="1"/>
  <c r="U108" i="1"/>
  <c r="U80" i="1"/>
  <c r="U79" i="1"/>
  <c r="U81" i="1"/>
  <c r="U82" i="1"/>
  <c r="U78" i="1"/>
  <c r="U77" i="1"/>
  <c r="U83" i="1"/>
  <c r="U76" i="1"/>
  <c r="U84" i="1"/>
  <c r="U75" i="1"/>
  <c r="U85" i="1"/>
  <c r="U74" i="1"/>
  <c r="U86" i="1"/>
  <c r="U87" i="1"/>
  <c r="U73" i="1"/>
  <c r="U88" i="1"/>
  <c r="U72" i="1"/>
  <c r="U89" i="1"/>
  <c r="U71" i="1"/>
  <c r="U90" i="1"/>
  <c r="U70" i="1"/>
  <c r="U69" i="1"/>
  <c r="U91" i="1"/>
  <c r="U92" i="1"/>
  <c r="U68" i="1"/>
  <c r="U67" i="1"/>
  <c r="U93" i="1"/>
  <c r="U66" i="1"/>
  <c r="U94" i="1"/>
  <c r="U95" i="1"/>
  <c r="U65" i="1"/>
  <c r="U64" i="1"/>
  <c r="U96" i="1"/>
  <c r="U97" i="1"/>
  <c r="U63" i="1"/>
  <c r="U62" i="1"/>
  <c r="U98" i="1"/>
  <c r="U99" i="1"/>
  <c r="U61" i="1"/>
  <c r="U100" i="1"/>
  <c r="U60" i="1"/>
  <c r="U59" i="1"/>
  <c r="U101" i="1"/>
  <c r="U102" i="1"/>
  <c r="U58" i="1"/>
  <c r="U103" i="1"/>
  <c r="T56" i="5"/>
  <c r="T55" i="5"/>
  <c r="T4" i="5"/>
  <c r="T53" i="5"/>
  <c r="P56" i="5"/>
  <c r="P55" i="5"/>
  <c r="P4" i="5"/>
  <c r="P53" i="5"/>
  <c r="L56" i="5"/>
  <c r="L55" i="5"/>
  <c r="L4" i="5"/>
  <c r="L53" i="5"/>
  <c r="H4" i="5"/>
  <c r="H53" i="5"/>
  <c r="H55" i="5"/>
  <c r="H56" i="5"/>
  <c r="D53" i="5"/>
  <c r="D55" i="5"/>
  <c r="D56" i="5"/>
  <c r="D4" i="5"/>
  <c r="F105" i="1"/>
  <c r="F106" i="1"/>
  <c r="F104" i="1"/>
  <c r="F109" i="1"/>
  <c r="F107" i="1"/>
  <c r="F108" i="1"/>
  <c r="F80" i="1"/>
  <c r="F81" i="1"/>
  <c r="F79" i="1"/>
  <c r="F82" i="1"/>
  <c r="F78" i="1"/>
  <c r="F83" i="1"/>
  <c r="F77" i="1"/>
  <c r="F84" i="1"/>
  <c r="F76" i="1"/>
  <c r="F75" i="1"/>
  <c r="F85" i="1"/>
  <c r="F86" i="1"/>
  <c r="F74" i="1"/>
  <c r="F87" i="1"/>
  <c r="F73" i="1"/>
  <c r="F72" i="1"/>
  <c r="F88" i="1"/>
  <c r="F71" i="1"/>
  <c r="F89" i="1"/>
  <c r="F70" i="1"/>
  <c r="F90" i="1"/>
  <c r="F91" i="1"/>
  <c r="F69" i="1"/>
  <c r="F92" i="1"/>
  <c r="F68" i="1"/>
  <c r="F93" i="1"/>
  <c r="F67" i="1"/>
  <c r="F66" i="1"/>
  <c r="F94" i="1"/>
  <c r="F65" i="1"/>
  <c r="F95" i="1"/>
  <c r="F96" i="1"/>
  <c r="F64" i="1"/>
  <c r="F63" i="1"/>
  <c r="F97" i="1"/>
  <c r="F62" i="1"/>
  <c r="F98" i="1"/>
  <c r="F99" i="1"/>
  <c r="F61" i="1"/>
  <c r="F60" i="1"/>
  <c r="F100" i="1"/>
  <c r="F59" i="1"/>
  <c r="F101" i="1"/>
  <c r="F102" i="1"/>
  <c r="F58" i="1"/>
  <c r="F103" i="1"/>
  <c r="AE4" i="5"/>
  <c r="AD52" i="5"/>
  <c r="AD28" i="5"/>
  <c r="AD29" i="5"/>
  <c r="AD27" i="5"/>
  <c r="AD30" i="5"/>
  <c r="AD26" i="5"/>
  <c r="AD25" i="5"/>
  <c r="AD31" i="5"/>
  <c r="AD24" i="5"/>
  <c r="AD32" i="5"/>
  <c r="AD33" i="5"/>
  <c r="AD23" i="5"/>
  <c r="AD34" i="5"/>
  <c r="AD22" i="5"/>
  <c r="AD35" i="5"/>
  <c r="AD21" i="5"/>
  <c r="AD20" i="5"/>
  <c r="AD36" i="5"/>
  <c r="AD37" i="5"/>
  <c r="AD19" i="5"/>
  <c r="AD18" i="5"/>
  <c r="AD38" i="5"/>
  <c r="AD17" i="5"/>
  <c r="AD39" i="5"/>
  <c r="AD40" i="5"/>
  <c r="AD16" i="5"/>
  <c r="AD41" i="5"/>
  <c r="AD15" i="5"/>
  <c r="AD14" i="5"/>
  <c r="AD42" i="5"/>
  <c r="AD13" i="5"/>
  <c r="AD43" i="5"/>
  <c r="AD44" i="5"/>
  <c r="AD12" i="5"/>
  <c r="AD11" i="5"/>
  <c r="AD45" i="5"/>
  <c r="AD46" i="5"/>
  <c r="AD10" i="5"/>
  <c r="AD9" i="5"/>
  <c r="AD47" i="5"/>
  <c r="AD8" i="5"/>
  <c r="AD48" i="5"/>
  <c r="AD7" i="5"/>
  <c r="AD49" i="5"/>
  <c r="AD6" i="5"/>
  <c r="AD50" i="5"/>
  <c r="AD52" i="1"/>
  <c r="AE4" i="1"/>
  <c r="AD28" i="1"/>
  <c r="AD27" i="1"/>
  <c r="AD29" i="1"/>
  <c r="AD26" i="1"/>
  <c r="AD30" i="1"/>
  <c r="AD31" i="1"/>
  <c r="AD25" i="1"/>
  <c r="AD32" i="1"/>
  <c r="AD24" i="1"/>
  <c r="AD23" i="1"/>
  <c r="AD33" i="1"/>
  <c r="AD22" i="1"/>
  <c r="AD34" i="1"/>
  <c r="AD35" i="1"/>
  <c r="AD21" i="1"/>
  <c r="AD36" i="1"/>
  <c r="AD20" i="1"/>
  <c r="AD37" i="1"/>
  <c r="AD19" i="1"/>
  <c r="AD38" i="1"/>
  <c r="AD18" i="1"/>
  <c r="AD17" i="1"/>
  <c r="AD39" i="1"/>
  <c r="AD16" i="1"/>
  <c r="AD40" i="1"/>
  <c r="AD41" i="1"/>
  <c r="AD15" i="1"/>
  <c r="AD14" i="1"/>
  <c r="AD42" i="1"/>
  <c r="AD13" i="1"/>
  <c r="AD43" i="1"/>
  <c r="AD12" i="1"/>
  <c r="AD44" i="1"/>
  <c r="AD45" i="1"/>
  <c r="AD11" i="1"/>
  <c r="AD10" i="1"/>
  <c r="AD46" i="1"/>
  <c r="AD47" i="1"/>
  <c r="AD9" i="1"/>
  <c r="AD48" i="1"/>
  <c r="AD8" i="1"/>
  <c r="AD7" i="1"/>
  <c r="AD49" i="1"/>
  <c r="AD6" i="1"/>
  <c r="AD50" i="1"/>
  <c r="AD51" i="1"/>
  <c r="AD5" i="1"/>
  <c r="W105" i="1"/>
  <c r="W108" i="1"/>
  <c r="W109" i="1"/>
  <c r="W104" i="1"/>
  <c r="W107" i="1"/>
  <c r="W106" i="1"/>
  <c r="W80" i="1"/>
  <c r="W81" i="1"/>
  <c r="W79" i="1"/>
  <c r="W82" i="1"/>
  <c r="W78" i="1"/>
  <c r="W83" i="1"/>
  <c r="W77" i="1"/>
  <c r="W76" i="1"/>
  <c r="W84" i="1"/>
  <c r="W85" i="1"/>
  <c r="W75" i="1"/>
  <c r="W74" i="1"/>
  <c r="W86" i="1"/>
  <c r="W87" i="1"/>
  <c r="W73" i="1"/>
  <c r="W88" i="1"/>
  <c r="W72" i="1"/>
  <c r="W71" i="1"/>
  <c r="W89" i="1"/>
  <c r="W90" i="1"/>
  <c r="W70" i="1"/>
  <c r="W91" i="1"/>
  <c r="W69" i="1"/>
  <c r="W68" i="1"/>
  <c r="W92" i="1"/>
  <c r="W93" i="1"/>
  <c r="W67" i="1"/>
  <c r="W94" i="1"/>
  <c r="W66" i="1"/>
  <c r="W95" i="1"/>
  <c r="W65" i="1"/>
  <c r="W64" i="1"/>
  <c r="W96" i="1"/>
  <c r="W97" i="1"/>
  <c r="W63" i="1"/>
  <c r="W62" i="1"/>
  <c r="W98" i="1"/>
  <c r="W61" i="1"/>
  <c r="W99" i="1"/>
  <c r="W100" i="1"/>
  <c r="W60" i="1"/>
  <c r="W59" i="1"/>
  <c r="W101" i="1"/>
  <c r="W58" i="1"/>
  <c r="W102" i="1"/>
  <c r="W103" i="1"/>
  <c r="S4" i="5"/>
  <c r="S55" i="5"/>
  <c r="S56" i="5"/>
  <c r="S53" i="5"/>
  <c r="O55" i="5"/>
  <c r="O53" i="5"/>
  <c r="O56" i="5"/>
  <c r="O4" i="5"/>
  <c r="K53" i="5"/>
  <c r="K55" i="5"/>
  <c r="K4" i="5"/>
  <c r="K56" i="5"/>
  <c r="G4" i="5"/>
  <c r="G53" i="5"/>
  <c r="G55" i="5"/>
  <c r="G56" i="5"/>
  <c r="C55" i="5"/>
  <c r="C53" i="5"/>
  <c r="C4" i="5"/>
  <c r="C56" i="5"/>
  <c r="J106" i="1"/>
  <c r="J107" i="1"/>
  <c r="J105" i="1"/>
  <c r="J108" i="1"/>
  <c r="J109" i="1"/>
  <c r="J104" i="1"/>
  <c r="J80" i="1"/>
  <c r="J79" i="1"/>
  <c r="J81" i="1"/>
  <c r="J78" i="1"/>
  <c r="J82" i="1"/>
  <c r="J77" i="1"/>
  <c r="J83" i="1"/>
  <c r="J76" i="1"/>
  <c r="J84" i="1"/>
  <c r="J75" i="1"/>
  <c r="J85" i="1"/>
  <c r="J86" i="1"/>
  <c r="J74" i="1"/>
  <c r="J87" i="1"/>
  <c r="J73" i="1"/>
  <c r="J72" i="1"/>
  <c r="J88" i="1"/>
  <c r="J71" i="1"/>
  <c r="J89" i="1"/>
  <c r="J90" i="1"/>
  <c r="J70" i="1"/>
  <c r="J69" i="1"/>
  <c r="J91" i="1"/>
  <c r="J92" i="1"/>
  <c r="J68" i="1"/>
  <c r="J93" i="1"/>
  <c r="J67" i="1"/>
  <c r="J94" i="1"/>
  <c r="J66" i="1"/>
  <c r="J95" i="1"/>
  <c r="J65" i="1"/>
  <c r="J64" i="1"/>
  <c r="J96" i="1"/>
  <c r="J97" i="1"/>
  <c r="J63" i="1"/>
  <c r="J62" i="1"/>
  <c r="J98" i="1"/>
  <c r="J61" i="1"/>
  <c r="J99" i="1"/>
  <c r="J60" i="1"/>
  <c r="J100" i="1"/>
  <c r="J101" i="1"/>
  <c r="J59" i="1"/>
  <c r="J58" i="1"/>
  <c r="J102" i="1"/>
  <c r="J103" i="1"/>
  <c r="R108" i="1"/>
  <c r="R107" i="1"/>
  <c r="R109" i="1"/>
  <c r="R106" i="1"/>
  <c r="R105" i="1"/>
  <c r="R104" i="1"/>
  <c r="R80" i="1"/>
  <c r="R81" i="1"/>
  <c r="R79" i="1"/>
  <c r="R82" i="1"/>
  <c r="R78" i="1"/>
  <c r="R77" i="1"/>
  <c r="R83" i="1"/>
  <c r="R76" i="1"/>
  <c r="R84" i="1"/>
  <c r="R75" i="1"/>
  <c r="R85" i="1"/>
  <c r="R74" i="1"/>
  <c r="R86" i="1"/>
  <c r="R73" i="1"/>
  <c r="R87" i="1"/>
  <c r="R88" i="1"/>
  <c r="R72" i="1"/>
  <c r="R71" i="1"/>
  <c r="R89" i="1"/>
  <c r="R90" i="1"/>
  <c r="R70" i="1"/>
  <c r="R91" i="1"/>
  <c r="R69" i="1"/>
  <c r="R68" i="1"/>
  <c r="R92" i="1"/>
  <c r="R93" i="1"/>
  <c r="R67" i="1"/>
  <c r="R66" i="1"/>
  <c r="R94" i="1"/>
  <c r="R95" i="1"/>
  <c r="R65" i="1"/>
  <c r="R96" i="1"/>
  <c r="R64" i="1"/>
  <c r="R63" i="1"/>
  <c r="R97" i="1"/>
  <c r="R62" i="1"/>
  <c r="R98" i="1"/>
  <c r="R99" i="1"/>
  <c r="R61" i="1"/>
  <c r="R100" i="1"/>
  <c r="R60" i="1"/>
  <c r="R59" i="1"/>
  <c r="R101" i="1"/>
  <c r="R58" i="1"/>
  <c r="R102" i="1"/>
  <c r="R103" i="1"/>
  <c r="X7" i="2"/>
  <c r="Y7" i="2" s="1"/>
  <c r="C107" i="1"/>
  <c r="C106" i="1"/>
  <c r="C108" i="1"/>
  <c r="C104" i="1"/>
  <c r="C105" i="1"/>
  <c r="C109" i="1"/>
  <c r="C80" i="1"/>
  <c r="C81" i="1"/>
  <c r="C79" i="1"/>
  <c r="C78" i="1"/>
  <c r="C82" i="1"/>
  <c r="C77" i="1"/>
  <c r="C83" i="1"/>
  <c r="C84" i="1"/>
  <c r="C76" i="1"/>
  <c r="C75" i="1"/>
  <c r="C85" i="1"/>
  <c r="C86" i="1"/>
  <c r="C74" i="1"/>
  <c r="C73" i="1"/>
  <c r="C87" i="1"/>
  <c r="C72" i="1"/>
  <c r="C88" i="1"/>
  <c r="C71" i="1"/>
  <c r="C89" i="1"/>
  <c r="C90" i="1"/>
  <c r="C70" i="1"/>
  <c r="C69" i="1"/>
  <c r="C91" i="1"/>
  <c r="C68" i="1"/>
  <c r="C92" i="1"/>
  <c r="C93" i="1"/>
  <c r="C67" i="1"/>
  <c r="C66" i="1"/>
  <c r="C94" i="1"/>
  <c r="C65" i="1"/>
  <c r="C95" i="1"/>
  <c r="C64" i="1"/>
  <c r="C96" i="1"/>
  <c r="C63" i="1"/>
  <c r="C97" i="1"/>
  <c r="C98" i="1"/>
  <c r="C62" i="1"/>
  <c r="C61" i="1"/>
  <c r="C99" i="1"/>
  <c r="C100" i="1"/>
  <c r="C60" i="1"/>
  <c r="C59" i="1"/>
  <c r="C101" i="1"/>
  <c r="C58" i="1"/>
  <c r="C102" i="1"/>
  <c r="C103" i="1"/>
  <c r="G108" i="1"/>
  <c r="G104" i="1"/>
  <c r="G106" i="1"/>
  <c r="G107" i="1"/>
  <c r="G109" i="1"/>
  <c r="G80" i="1"/>
  <c r="G81" i="1"/>
  <c r="G79" i="1"/>
  <c r="G82" i="1"/>
  <c r="G78" i="1"/>
  <c r="G83" i="1"/>
  <c r="G77" i="1"/>
  <c r="G76" i="1"/>
  <c r="G84" i="1"/>
  <c r="G85" i="1"/>
  <c r="G75" i="1"/>
  <c r="G74" i="1"/>
  <c r="G86" i="1"/>
  <c r="G73" i="1"/>
  <c r="G87" i="1"/>
  <c r="G88" i="1"/>
  <c r="G72" i="1"/>
  <c r="G89" i="1"/>
  <c r="G71" i="1"/>
  <c r="G90" i="1"/>
  <c r="G70" i="1"/>
  <c r="G69" i="1"/>
  <c r="G91" i="1"/>
  <c r="G68" i="1"/>
  <c r="G92" i="1"/>
  <c r="G67" i="1"/>
  <c r="G93" i="1"/>
  <c r="G66" i="1"/>
  <c r="G94" i="1"/>
  <c r="G95" i="1"/>
  <c r="G65" i="1"/>
  <c r="G64" i="1"/>
  <c r="G96" i="1"/>
  <c r="G63" i="1"/>
  <c r="G97" i="1"/>
  <c r="G98" i="1"/>
  <c r="G62" i="1"/>
  <c r="G61" i="1"/>
  <c r="G99" i="1"/>
  <c r="G100" i="1"/>
  <c r="G60" i="1"/>
  <c r="G101" i="1"/>
  <c r="G59" i="1"/>
  <c r="G58" i="1"/>
  <c r="G102" i="1"/>
  <c r="G103" i="1"/>
  <c r="S105" i="1"/>
  <c r="S107" i="1"/>
  <c r="S109" i="1"/>
  <c r="S108" i="1"/>
  <c r="S106" i="1"/>
  <c r="S104" i="1"/>
  <c r="S80" i="1"/>
  <c r="S79" i="1"/>
  <c r="S81" i="1"/>
  <c r="S78" i="1"/>
  <c r="S82" i="1"/>
  <c r="S77" i="1"/>
  <c r="S83" i="1"/>
  <c r="S76" i="1"/>
  <c r="S84" i="1"/>
  <c r="S85" i="1"/>
  <c r="S75" i="1"/>
  <c r="S86" i="1"/>
  <c r="S74" i="1"/>
  <c r="S87" i="1"/>
  <c r="S73" i="1"/>
  <c r="S88" i="1"/>
  <c r="S72" i="1"/>
  <c r="S89" i="1"/>
  <c r="S71" i="1"/>
  <c r="S70" i="1"/>
  <c r="S90" i="1"/>
  <c r="S91" i="1"/>
  <c r="S69" i="1"/>
  <c r="S68" i="1"/>
  <c r="S92" i="1"/>
  <c r="S67" i="1"/>
  <c r="S93" i="1"/>
  <c r="S94" i="1"/>
  <c r="S66" i="1"/>
  <c r="S95" i="1"/>
  <c r="S65" i="1"/>
  <c r="S96" i="1"/>
  <c r="S64" i="1"/>
  <c r="S97" i="1"/>
  <c r="S63" i="1"/>
  <c r="S62" i="1"/>
  <c r="S98" i="1"/>
  <c r="S99" i="1"/>
  <c r="S61" i="1"/>
  <c r="S60" i="1"/>
  <c r="S100" i="1"/>
  <c r="S59" i="1"/>
  <c r="S101" i="1"/>
  <c r="S102" i="1"/>
  <c r="S58" i="1"/>
  <c r="S103" i="1"/>
  <c r="X49" i="2"/>
  <c r="Y49" i="2" s="1"/>
  <c r="X51" i="5"/>
  <c r="Y51" i="5" s="1"/>
  <c r="V4" i="5"/>
  <c r="V56" i="5"/>
  <c r="V55" i="5"/>
  <c r="V53" i="5"/>
  <c r="R55" i="5"/>
  <c r="R4" i="5"/>
  <c r="R56" i="5"/>
  <c r="R53" i="5"/>
  <c r="N56" i="5"/>
  <c r="N55" i="5"/>
  <c r="N53" i="5"/>
  <c r="N4" i="5"/>
  <c r="J55" i="5"/>
  <c r="J56" i="5"/>
  <c r="J53" i="5"/>
  <c r="J4" i="5"/>
  <c r="F53" i="5"/>
  <c r="F55" i="5"/>
  <c r="F4" i="5"/>
  <c r="F56" i="5"/>
  <c r="B53" i="5"/>
  <c r="B56" i="5"/>
  <c r="X5" i="5"/>
  <c r="B55" i="5"/>
  <c r="B4" i="5"/>
  <c r="N108" i="1"/>
  <c r="N105" i="1"/>
  <c r="N106" i="1"/>
  <c r="N109" i="1"/>
  <c r="N104" i="1"/>
  <c r="N107" i="1"/>
  <c r="N80" i="1"/>
  <c r="N79" i="1"/>
  <c r="N81" i="1"/>
  <c r="N78" i="1"/>
  <c r="N82" i="1"/>
  <c r="N77" i="1"/>
  <c r="N83" i="1"/>
  <c r="N76" i="1"/>
  <c r="N84" i="1"/>
  <c r="N85" i="1"/>
  <c r="N75" i="1"/>
  <c r="N86" i="1"/>
  <c r="N74" i="1"/>
  <c r="N73" i="1"/>
  <c r="N87" i="1"/>
  <c r="N72" i="1"/>
  <c r="N88" i="1"/>
  <c r="N89" i="1"/>
  <c r="N71" i="1"/>
  <c r="N70" i="1"/>
  <c r="N90" i="1"/>
  <c r="N69" i="1"/>
  <c r="N91" i="1"/>
  <c r="N92" i="1"/>
  <c r="N68" i="1"/>
  <c r="N67" i="1"/>
  <c r="N93" i="1"/>
  <c r="N66" i="1"/>
  <c r="N94" i="1"/>
  <c r="N95" i="1"/>
  <c r="N65" i="1"/>
  <c r="N64" i="1"/>
  <c r="N96" i="1"/>
  <c r="N97" i="1"/>
  <c r="N63" i="1"/>
  <c r="N98" i="1"/>
  <c r="N62" i="1"/>
  <c r="N61" i="1"/>
  <c r="N99" i="1"/>
  <c r="N60" i="1"/>
  <c r="N100" i="1"/>
  <c r="N101" i="1"/>
  <c r="N59" i="1"/>
  <c r="N102" i="1"/>
  <c r="N58" i="1"/>
  <c r="N103" i="1"/>
  <c r="V105" i="1"/>
  <c r="V109" i="1"/>
  <c r="V107" i="1"/>
  <c r="V106" i="1"/>
  <c r="V104" i="1"/>
  <c r="V108" i="1"/>
  <c r="V80" i="1"/>
  <c r="V81" i="1"/>
  <c r="V79" i="1"/>
  <c r="V82" i="1"/>
  <c r="V78" i="1"/>
  <c r="V77" i="1"/>
  <c r="V83" i="1"/>
  <c r="V76" i="1"/>
  <c r="V84" i="1"/>
  <c r="V75" i="1"/>
  <c r="V85" i="1"/>
  <c r="V74" i="1"/>
  <c r="V86" i="1"/>
  <c r="V87" i="1"/>
  <c r="V73" i="1"/>
  <c r="V88" i="1"/>
  <c r="V72" i="1"/>
  <c r="V71" i="1"/>
  <c r="V89" i="1"/>
  <c r="V70" i="1"/>
  <c r="V90" i="1"/>
  <c r="V69" i="1"/>
  <c r="V91" i="1"/>
  <c r="V92" i="1"/>
  <c r="V68" i="1"/>
  <c r="V67" i="1"/>
  <c r="V93" i="1"/>
  <c r="V66" i="1"/>
  <c r="V94" i="1"/>
  <c r="V95" i="1"/>
  <c r="V65" i="1"/>
  <c r="V64" i="1"/>
  <c r="V96" i="1"/>
  <c r="V97" i="1"/>
  <c r="V63" i="1"/>
  <c r="V62" i="1"/>
  <c r="V98" i="1"/>
  <c r="V61" i="1"/>
  <c r="V99" i="1"/>
  <c r="V60" i="1"/>
  <c r="V100" i="1"/>
  <c r="V59" i="1"/>
  <c r="V101" i="1"/>
  <c r="V58" i="1"/>
  <c r="V102" i="1"/>
  <c r="V103" i="1"/>
  <c r="A58" i="2"/>
  <c r="A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A102" i="2"/>
  <c r="A51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L106" i="1"/>
  <c r="L108" i="1"/>
  <c r="L109" i="1"/>
  <c r="L107" i="1"/>
  <c r="L104" i="1"/>
  <c r="L80" i="1"/>
  <c r="L79" i="1"/>
  <c r="L81" i="1"/>
  <c r="L82" i="1"/>
  <c r="L78" i="1"/>
  <c r="L77" i="1"/>
  <c r="L83" i="1"/>
  <c r="L84" i="1"/>
  <c r="L76" i="1"/>
  <c r="L75" i="1"/>
  <c r="L85" i="1"/>
  <c r="L86" i="1"/>
  <c r="L74" i="1"/>
  <c r="L73" i="1"/>
  <c r="L87" i="1"/>
  <c r="L88" i="1"/>
  <c r="L72" i="1"/>
  <c r="L71" i="1"/>
  <c r="L89" i="1"/>
  <c r="L90" i="1"/>
  <c r="L70" i="1"/>
  <c r="L69" i="1"/>
  <c r="L91" i="1"/>
  <c r="L92" i="1"/>
  <c r="L68" i="1"/>
  <c r="L93" i="1"/>
  <c r="L67" i="1"/>
  <c r="L66" i="1"/>
  <c r="L94" i="1"/>
  <c r="L65" i="1"/>
  <c r="L95" i="1"/>
  <c r="L96" i="1"/>
  <c r="L64" i="1"/>
  <c r="L97" i="1"/>
  <c r="L63" i="1"/>
  <c r="L98" i="1"/>
  <c r="L62" i="1"/>
  <c r="L61" i="1"/>
  <c r="L99" i="1"/>
  <c r="L100" i="1"/>
  <c r="L60" i="1"/>
  <c r="L59" i="1"/>
  <c r="L101" i="1"/>
  <c r="L58" i="1"/>
  <c r="L102" i="1"/>
  <c r="L103" i="1"/>
  <c r="T106" i="1"/>
  <c r="T105" i="1"/>
  <c r="T104" i="1"/>
  <c r="T107" i="1"/>
  <c r="T108" i="1"/>
  <c r="T109" i="1"/>
  <c r="T80" i="1"/>
  <c r="T81" i="1"/>
  <c r="T79" i="1"/>
  <c r="T82" i="1"/>
  <c r="T78" i="1"/>
  <c r="T83" i="1"/>
  <c r="T77" i="1"/>
  <c r="T84" i="1"/>
  <c r="T76" i="1"/>
  <c r="T75" i="1"/>
  <c r="T85" i="1"/>
  <c r="T74" i="1"/>
  <c r="T86" i="1"/>
  <c r="T87" i="1"/>
  <c r="T73" i="1"/>
  <c r="T88" i="1"/>
  <c r="T72" i="1"/>
  <c r="T71" i="1"/>
  <c r="T89" i="1"/>
  <c r="T90" i="1"/>
  <c r="T70" i="1"/>
  <c r="T69" i="1"/>
  <c r="T91" i="1"/>
  <c r="T68" i="1"/>
  <c r="T92" i="1"/>
  <c r="T93" i="1"/>
  <c r="T67" i="1"/>
  <c r="T94" i="1"/>
  <c r="T66" i="1"/>
  <c r="T95" i="1"/>
  <c r="T65" i="1"/>
  <c r="T64" i="1"/>
  <c r="T96" i="1"/>
  <c r="T97" i="1"/>
  <c r="T63" i="1"/>
  <c r="T62" i="1"/>
  <c r="T98" i="1"/>
  <c r="T99" i="1"/>
  <c r="T61" i="1"/>
  <c r="T100" i="1"/>
  <c r="T60" i="1"/>
  <c r="T59" i="1"/>
  <c r="T101" i="1"/>
  <c r="T58" i="1"/>
  <c r="T102" i="1"/>
  <c r="T103" i="1"/>
  <c r="W107" i="5"/>
  <c r="W106" i="5"/>
  <c r="W105" i="5"/>
  <c r="W109" i="5"/>
  <c r="W104" i="5"/>
  <c r="W108" i="5"/>
  <c r="W80" i="5"/>
  <c r="W81" i="5"/>
  <c r="W79" i="5"/>
  <c r="W82" i="5"/>
  <c r="W78" i="5"/>
  <c r="W77" i="5"/>
  <c r="W83" i="5"/>
  <c r="W76" i="5"/>
  <c r="W84" i="5"/>
  <c r="W85" i="5"/>
  <c r="W75" i="5"/>
  <c r="W86" i="5"/>
  <c r="W74" i="5"/>
  <c r="W87" i="5"/>
  <c r="W73" i="5"/>
  <c r="W72" i="5"/>
  <c r="W88" i="5"/>
  <c r="W89" i="5"/>
  <c r="W71" i="5"/>
  <c r="W70" i="5"/>
  <c r="W90" i="5"/>
  <c r="W69" i="5"/>
  <c r="W91" i="5"/>
  <c r="W92" i="5"/>
  <c r="W68" i="5"/>
  <c r="W93" i="5"/>
  <c r="W67" i="5"/>
  <c r="W94" i="5"/>
  <c r="W66" i="5"/>
  <c r="W65" i="5"/>
  <c r="W95" i="5"/>
  <c r="W96" i="5"/>
  <c r="W64" i="5"/>
  <c r="W97" i="5"/>
  <c r="W63" i="5"/>
  <c r="W98" i="5"/>
  <c r="W62" i="5"/>
  <c r="W61" i="5"/>
  <c r="W99" i="5"/>
  <c r="W60" i="5"/>
  <c r="W100" i="5"/>
  <c r="W59" i="5"/>
  <c r="W101" i="5"/>
  <c r="W58" i="5"/>
  <c r="W102" i="5"/>
  <c r="I104" i="1"/>
  <c r="I107" i="1"/>
  <c r="I108" i="1"/>
  <c r="I109" i="1"/>
  <c r="I106" i="1"/>
  <c r="I80" i="1"/>
  <c r="I81" i="1"/>
  <c r="I79" i="1"/>
  <c r="I82" i="1"/>
  <c r="I78" i="1"/>
  <c r="I83" i="1"/>
  <c r="I77" i="1"/>
  <c r="I76" i="1"/>
  <c r="I84" i="1"/>
  <c r="I75" i="1"/>
  <c r="I85" i="1"/>
  <c r="I74" i="1"/>
  <c r="I86" i="1"/>
  <c r="I87" i="1"/>
  <c r="I73" i="1"/>
  <c r="I72" i="1"/>
  <c r="I88" i="1"/>
  <c r="I71" i="1"/>
  <c r="I89" i="1"/>
  <c r="I90" i="1"/>
  <c r="I70" i="1"/>
  <c r="I91" i="1"/>
  <c r="I69" i="1"/>
  <c r="I68" i="1"/>
  <c r="I92" i="1"/>
  <c r="I67" i="1"/>
  <c r="I93" i="1"/>
  <c r="I66" i="1"/>
  <c r="I94" i="1"/>
  <c r="I65" i="1"/>
  <c r="I95" i="1"/>
  <c r="I64" i="1"/>
  <c r="I96" i="1"/>
  <c r="I63" i="1"/>
  <c r="I97" i="1"/>
  <c r="I62" i="1"/>
  <c r="I98" i="1"/>
  <c r="I61" i="1"/>
  <c r="I99" i="1"/>
  <c r="I60" i="1"/>
  <c r="I100" i="1"/>
  <c r="I101" i="1"/>
  <c r="I59" i="1"/>
  <c r="I58" i="1"/>
  <c r="I102" i="1"/>
  <c r="I103" i="1"/>
  <c r="Q109" i="1"/>
  <c r="Q107" i="1"/>
  <c r="Q106" i="1"/>
  <c r="Q105" i="1"/>
  <c r="Q108" i="1"/>
  <c r="Q104" i="1"/>
  <c r="Q80" i="1"/>
  <c r="Q81" i="1"/>
  <c r="Q79" i="1"/>
  <c r="Q82" i="1"/>
  <c r="Q78" i="1"/>
  <c r="Q83" i="1"/>
  <c r="Q77" i="1"/>
  <c r="Q76" i="1"/>
  <c r="Q84" i="1"/>
  <c r="Q85" i="1"/>
  <c r="Q75" i="1"/>
  <c r="Q86" i="1"/>
  <c r="Q74" i="1"/>
  <c r="Q87" i="1"/>
  <c r="Q73" i="1"/>
  <c r="Q72" i="1"/>
  <c r="Q88" i="1"/>
  <c r="Q71" i="1"/>
  <c r="Q89" i="1"/>
  <c r="Q90" i="1"/>
  <c r="Q70" i="1"/>
  <c r="Q91" i="1"/>
  <c r="Q69" i="1"/>
  <c r="Q92" i="1"/>
  <c r="Q68" i="1"/>
  <c r="Q93" i="1"/>
  <c r="Q67" i="1"/>
  <c r="Q94" i="1"/>
  <c r="Q66" i="1"/>
  <c r="Q95" i="1"/>
  <c r="Q65" i="1"/>
  <c r="Q64" i="1"/>
  <c r="Q96" i="1"/>
  <c r="Q97" i="1"/>
  <c r="Q63" i="1"/>
  <c r="Q98" i="1"/>
  <c r="Q62" i="1"/>
  <c r="Q61" i="1"/>
  <c r="Q99" i="1"/>
  <c r="Q100" i="1"/>
  <c r="Q60" i="1"/>
  <c r="Q59" i="1"/>
  <c r="Q101" i="1"/>
  <c r="Q58" i="1"/>
  <c r="Q54" i="1" s="1"/>
  <c r="Q102" i="1"/>
  <c r="Q103" i="1"/>
  <c r="E108" i="1"/>
  <c r="E104" i="1"/>
  <c r="E109" i="1"/>
  <c r="E106" i="1"/>
  <c r="E107" i="1"/>
  <c r="E105" i="1"/>
  <c r="E80" i="1"/>
  <c r="E79" i="1"/>
  <c r="E81" i="1"/>
  <c r="E82" i="1"/>
  <c r="E78" i="1"/>
  <c r="E77" i="1"/>
  <c r="E83" i="1"/>
  <c r="E76" i="1"/>
  <c r="E84" i="1"/>
  <c r="E85" i="1"/>
  <c r="E75" i="1"/>
  <c r="E74" i="1"/>
  <c r="E86" i="1"/>
  <c r="E73" i="1"/>
  <c r="E87" i="1"/>
  <c r="E88" i="1"/>
  <c r="E72" i="1"/>
  <c r="E89" i="1"/>
  <c r="E71" i="1"/>
  <c r="E70" i="1"/>
  <c r="E90" i="1"/>
  <c r="E69" i="1"/>
  <c r="E91" i="1"/>
  <c r="E92" i="1"/>
  <c r="E68" i="1"/>
  <c r="E93" i="1"/>
  <c r="E67" i="1"/>
  <c r="E94" i="1"/>
  <c r="E66" i="1"/>
  <c r="E95" i="1"/>
  <c r="E65" i="1"/>
  <c r="E96" i="1"/>
  <c r="E64" i="1"/>
  <c r="E97" i="1"/>
  <c r="E63" i="1"/>
  <c r="E98" i="1"/>
  <c r="E62" i="1"/>
  <c r="E61" i="1"/>
  <c r="E99" i="1"/>
  <c r="E60" i="1"/>
  <c r="E100" i="1"/>
  <c r="E101" i="1"/>
  <c r="E59" i="1"/>
  <c r="E102" i="1"/>
  <c r="E58" i="1"/>
  <c r="E103" i="1"/>
  <c r="W103" i="5"/>
  <c r="U4" i="5"/>
  <c r="U53" i="5"/>
  <c r="U55" i="5"/>
  <c r="U56" i="5"/>
  <c r="Q56" i="5"/>
  <c r="Q4" i="5"/>
  <c r="Q53" i="5"/>
  <c r="Q55" i="5"/>
  <c r="M56" i="5"/>
  <c r="M4" i="5"/>
  <c r="M55" i="5"/>
  <c r="M53" i="5"/>
  <c r="I4" i="5"/>
  <c r="I53" i="5"/>
  <c r="I55" i="5"/>
  <c r="I56" i="5"/>
  <c r="E53" i="5"/>
  <c r="E55" i="5"/>
  <c r="E56" i="5"/>
  <c r="E4" i="5"/>
  <c r="B106" i="1"/>
  <c r="B107" i="1"/>
  <c r="B105" i="1"/>
  <c r="B108" i="1"/>
  <c r="B104" i="1"/>
  <c r="B109" i="1"/>
  <c r="B80" i="1"/>
  <c r="B81" i="1"/>
  <c r="B79" i="1"/>
  <c r="B78" i="1"/>
  <c r="B82" i="1"/>
  <c r="B83" i="1"/>
  <c r="B77" i="1"/>
  <c r="B84" i="1"/>
  <c r="B76" i="1"/>
  <c r="B75" i="1"/>
  <c r="B85" i="1"/>
  <c r="B74" i="1"/>
  <c r="B86" i="1"/>
  <c r="B87" i="1"/>
  <c r="B73" i="1"/>
  <c r="B88" i="1"/>
  <c r="B72" i="1"/>
  <c r="B89" i="1"/>
  <c r="B71" i="1"/>
  <c r="B70" i="1"/>
  <c r="B90" i="1"/>
  <c r="B69" i="1"/>
  <c r="B91" i="1"/>
  <c r="B68" i="1"/>
  <c r="B92" i="1"/>
  <c r="B93" i="1"/>
  <c r="B67" i="1"/>
  <c r="B66" i="1"/>
  <c r="B94" i="1"/>
  <c r="B95" i="1"/>
  <c r="B65" i="1"/>
  <c r="B64" i="1"/>
  <c r="B96" i="1"/>
  <c r="B97" i="1"/>
  <c r="B63" i="1"/>
  <c r="B98" i="1"/>
  <c r="B62" i="1"/>
  <c r="B61" i="1"/>
  <c r="B99" i="1"/>
  <c r="B100" i="1"/>
  <c r="B60" i="1"/>
  <c r="B59" i="1"/>
  <c r="B101" i="1"/>
  <c r="B102" i="1"/>
  <c r="B58" i="1"/>
  <c r="B103" i="1"/>
  <c r="X55" i="1"/>
  <c r="Y5" i="1"/>
  <c r="X53" i="1"/>
  <c r="K109" i="1"/>
  <c r="K107" i="1"/>
  <c r="K105" i="1"/>
  <c r="K104" i="1"/>
  <c r="K106" i="1"/>
  <c r="K108" i="1"/>
  <c r="K80" i="1"/>
  <c r="K81" i="1"/>
  <c r="K79" i="1"/>
  <c r="K82" i="1"/>
  <c r="K78" i="1"/>
  <c r="K77" i="1"/>
  <c r="K83" i="1"/>
  <c r="K84" i="1"/>
  <c r="K76" i="1"/>
  <c r="K75" i="1"/>
  <c r="K85" i="1"/>
  <c r="K86" i="1"/>
  <c r="K74" i="1"/>
  <c r="K87" i="1"/>
  <c r="K73" i="1"/>
  <c r="K88" i="1"/>
  <c r="K72" i="1"/>
  <c r="K71" i="1"/>
  <c r="K89" i="1"/>
  <c r="K90" i="1"/>
  <c r="K70" i="1"/>
  <c r="K69" i="1"/>
  <c r="K91" i="1"/>
  <c r="K92" i="1"/>
  <c r="K68" i="1"/>
  <c r="K93" i="1"/>
  <c r="K67" i="1"/>
  <c r="K66" i="1"/>
  <c r="K94" i="1"/>
  <c r="K65" i="1"/>
  <c r="K95" i="1"/>
  <c r="K96" i="1"/>
  <c r="K64" i="1"/>
  <c r="K97" i="1"/>
  <c r="K63" i="1"/>
  <c r="K62" i="1"/>
  <c r="K98" i="1"/>
  <c r="K61" i="1"/>
  <c r="K99" i="1"/>
  <c r="K100" i="1"/>
  <c r="K60" i="1"/>
  <c r="K59" i="1"/>
  <c r="K101" i="1"/>
  <c r="K58" i="1"/>
  <c r="K102" i="1"/>
  <c r="K103" i="1"/>
  <c r="O108" i="1"/>
  <c r="O109" i="1"/>
  <c r="O106" i="1"/>
  <c r="O107" i="1"/>
  <c r="O104" i="1"/>
  <c r="O105" i="1"/>
  <c r="O80" i="1"/>
  <c r="O81" i="1"/>
  <c r="O79" i="1"/>
  <c r="O82" i="1"/>
  <c r="O78" i="1"/>
  <c r="O77" i="1"/>
  <c r="O83" i="1"/>
  <c r="O76" i="1"/>
  <c r="O84" i="1"/>
  <c r="O75" i="1"/>
  <c r="O85" i="1"/>
  <c r="O74" i="1"/>
  <c r="O86" i="1"/>
  <c r="O73" i="1"/>
  <c r="O87" i="1"/>
  <c r="O72" i="1"/>
  <c r="O88" i="1"/>
  <c r="O71" i="1"/>
  <c r="O89" i="1"/>
  <c r="O70" i="1"/>
  <c r="O90" i="1"/>
  <c r="O69" i="1"/>
  <c r="O91" i="1"/>
  <c r="O68" i="1"/>
  <c r="O92" i="1"/>
  <c r="O67" i="1"/>
  <c r="O93" i="1"/>
  <c r="O94" i="1"/>
  <c r="O66" i="1"/>
  <c r="O65" i="1"/>
  <c r="O95" i="1"/>
  <c r="O64" i="1"/>
  <c r="O96" i="1"/>
  <c r="O63" i="1"/>
  <c r="O97" i="1"/>
  <c r="O62" i="1"/>
  <c r="O98" i="1"/>
  <c r="O61" i="1"/>
  <c r="O99" i="1"/>
  <c r="O60" i="1"/>
  <c r="O100" i="1"/>
  <c r="O59" i="1"/>
  <c r="O101" i="1"/>
  <c r="O102" i="1"/>
  <c r="O58" i="1"/>
  <c r="O103" i="1"/>
  <c r="W54" i="5" l="1"/>
  <c r="W54" i="1"/>
  <c r="T54" i="1"/>
  <c r="U54" i="1"/>
  <c r="V54" i="1"/>
  <c r="B54" i="1"/>
  <c r="C54" i="1"/>
  <c r="D54" i="1"/>
  <c r="D105" i="1" s="1"/>
  <c r="R54" i="1"/>
  <c r="H54" i="1"/>
  <c r="M54" i="1"/>
  <c r="M105" i="1" s="1"/>
  <c r="P54" i="1"/>
  <c r="J54" i="1"/>
  <c r="G54" i="1"/>
  <c r="G105" i="1" s="1"/>
  <c r="K54" i="1"/>
  <c r="O54" i="1"/>
  <c r="M109" i="5"/>
  <c r="M108" i="5"/>
  <c r="M106" i="5"/>
  <c r="M107" i="5"/>
  <c r="M105" i="5"/>
  <c r="M104" i="5"/>
  <c r="M80" i="5"/>
  <c r="M81" i="5"/>
  <c r="M79" i="5"/>
  <c r="M82" i="5"/>
  <c r="M78" i="5"/>
  <c r="M83" i="5"/>
  <c r="M77" i="5"/>
  <c r="M76" i="5"/>
  <c r="M84" i="5"/>
  <c r="M75" i="5"/>
  <c r="M85" i="5"/>
  <c r="M74" i="5"/>
  <c r="M86" i="5"/>
  <c r="M87" i="5"/>
  <c r="M73" i="5"/>
  <c r="M88" i="5"/>
  <c r="M72" i="5"/>
  <c r="M89" i="5"/>
  <c r="M71" i="5"/>
  <c r="M70" i="5"/>
  <c r="M90" i="5"/>
  <c r="M69" i="5"/>
  <c r="M91" i="5"/>
  <c r="M92" i="5"/>
  <c r="M68" i="5"/>
  <c r="M93" i="5"/>
  <c r="M67" i="5"/>
  <c r="M66" i="5"/>
  <c r="M94" i="5"/>
  <c r="M95" i="5"/>
  <c r="M65" i="5"/>
  <c r="M64" i="5"/>
  <c r="M96" i="5"/>
  <c r="M63" i="5"/>
  <c r="M97" i="5"/>
  <c r="M98" i="5"/>
  <c r="M62" i="5"/>
  <c r="M99" i="5"/>
  <c r="M61" i="5"/>
  <c r="M60" i="5"/>
  <c r="M100" i="5"/>
  <c r="M101" i="5"/>
  <c r="M59" i="5"/>
  <c r="M58" i="5"/>
  <c r="M102" i="5"/>
  <c r="M103" i="5"/>
  <c r="Q107" i="5"/>
  <c r="Q106" i="5"/>
  <c r="Q104" i="5"/>
  <c r="Q105" i="5"/>
  <c r="Q109" i="5"/>
  <c r="Q108" i="5"/>
  <c r="Q80" i="5"/>
  <c r="Q81" i="5"/>
  <c r="Q79" i="5"/>
  <c r="Q78" i="5"/>
  <c r="Q82" i="5"/>
  <c r="Q83" i="5"/>
  <c r="Q77" i="5"/>
  <c r="Q76" i="5"/>
  <c r="Q84" i="5"/>
  <c r="Q85" i="5"/>
  <c r="Q75" i="5"/>
  <c r="Q74" i="5"/>
  <c r="Q86" i="5"/>
  <c r="Q87" i="5"/>
  <c r="Q73" i="5"/>
  <c r="Q88" i="5"/>
  <c r="Q72" i="5"/>
  <c r="Q89" i="5"/>
  <c r="Q71" i="5"/>
  <c r="Q70" i="5"/>
  <c r="Q90" i="5"/>
  <c r="Q91" i="5"/>
  <c r="Q69" i="5"/>
  <c r="Q68" i="5"/>
  <c r="Q92" i="5"/>
  <c r="Q67" i="5"/>
  <c r="Q93" i="5"/>
  <c r="Q94" i="5"/>
  <c r="Q66" i="5"/>
  <c r="Q95" i="5"/>
  <c r="Q65" i="5"/>
  <c r="Q96" i="5"/>
  <c r="Q64" i="5"/>
  <c r="Q97" i="5"/>
  <c r="Q63" i="5"/>
  <c r="Q62" i="5"/>
  <c r="Q98" i="5"/>
  <c r="Q99" i="5"/>
  <c r="Q61" i="5"/>
  <c r="Q60" i="5"/>
  <c r="Q100" i="5"/>
  <c r="Q101" i="5"/>
  <c r="Q59" i="5"/>
  <c r="Q58" i="5"/>
  <c r="Q54" i="5" s="1"/>
  <c r="Q102" i="5"/>
  <c r="Q103" i="5"/>
  <c r="I54" i="1"/>
  <c r="I105" i="1" s="1"/>
  <c r="B105" i="5"/>
  <c r="B109" i="5"/>
  <c r="B107" i="5"/>
  <c r="B106" i="5"/>
  <c r="B108" i="5"/>
  <c r="B104" i="5"/>
  <c r="B80" i="5"/>
  <c r="B81" i="5"/>
  <c r="B79" i="5"/>
  <c r="B82" i="5"/>
  <c r="B78" i="5"/>
  <c r="B83" i="5"/>
  <c r="B77" i="5"/>
  <c r="B76" i="5"/>
  <c r="B84" i="5"/>
  <c r="B85" i="5"/>
  <c r="B75" i="5"/>
  <c r="B86" i="5"/>
  <c r="B74" i="5"/>
  <c r="B87" i="5"/>
  <c r="B73" i="5"/>
  <c r="B72" i="5"/>
  <c r="B88" i="5"/>
  <c r="B71" i="5"/>
  <c r="B89" i="5"/>
  <c r="B90" i="5"/>
  <c r="B70" i="5"/>
  <c r="B69" i="5"/>
  <c r="B91" i="5"/>
  <c r="B68" i="5"/>
  <c r="B92" i="5"/>
  <c r="B93" i="5"/>
  <c r="B67" i="5"/>
  <c r="B94" i="5"/>
  <c r="B66" i="5"/>
  <c r="B95" i="5"/>
  <c r="B65" i="5"/>
  <c r="B64" i="5"/>
  <c r="B96" i="5"/>
  <c r="B97" i="5"/>
  <c r="B63" i="5"/>
  <c r="B62" i="5"/>
  <c r="B98" i="5"/>
  <c r="B61" i="5"/>
  <c r="B99" i="5"/>
  <c r="B100" i="5"/>
  <c r="B60" i="5"/>
  <c r="B101" i="5"/>
  <c r="B59" i="5"/>
  <c r="B102" i="5"/>
  <c r="B58" i="5"/>
  <c r="B103" i="5"/>
  <c r="N107" i="5"/>
  <c r="N106" i="5"/>
  <c r="N108" i="5"/>
  <c r="N104" i="5"/>
  <c r="N105" i="5"/>
  <c r="N109" i="5"/>
  <c r="N80" i="5"/>
  <c r="N81" i="5"/>
  <c r="N79" i="5"/>
  <c r="N82" i="5"/>
  <c r="N78" i="5"/>
  <c r="N83" i="5"/>
  <c r="N77" i="5"/>
  <c r="N76" i="5"/>
  <c r="N84" i="5"/>
  <c r="N75" i="5"/>
  <c r="N85" i="5"/>
  <c r="N74" i="5"/>
  <c r="N86" i="5"/>
  <c r="N87" i="5"/>
  <c r="N73" i="5"/>
  <c r="N72" i="5"/>
  <c r="N88" i="5"/>
  <c r="N89" i="5"/>
  <c r="N71" i="5"/>
  <c r="N70" i="5"/>
  <c r="N90" i="5"/>
  <c r="N91" i="5"/>
  <c r="N69" i="5"/>
  <c r="N92" i="5"/>
  <c r="N68" i="5"/>
  <c r="N93" i="5"/>
  <c r="N67" i="5"/>
  <c r="N94" i="5"/>
  <c r="N66" i="5"/>
  <c r="N65" i="5"/>
  <c r="N95" i="5"/>
  <c r="N96" i="5"/>
  <c r="N64" i="5"/>
  <c r="N97" i="5"/>
  <c r="N63" i="5"/>
  <c r="N62" i="5"/>
  <c r="N98" i="5"/>
  <c r="N99" i="5"/>
  <c r="N61" i="5"/>
  <c r="N60" i="5"/>
  <c r="N100" i="5"/>
  <c r="N101" i="5"/>
  <c r="N59" i="5"/>
  <c r="N58" i="5"/>
  <c r="N102" i="5"/>
  <c r="N103" i="5"/>
  <c r="S54" i="1"/>
  <c r="K104" i="5"/>
  <c r="K109" i="5"/>
  <c r="K105" i="5"/>
  <c r="K107" i="5"/>
  <c r="K108" i="5"/>
  <c r="K106" i="5"/>
  <c r="K80" i="5"/>
  <c r="K79" i="5"/>
  <c r="K81" i="5"/>
  <c r="K82" i="5"/>
  <c r="K78" i="5"/>
  <c r="K83" i="5"/>
  <c r="K77" i="5"/>
  <c r="K76" i="5"/>
  <c r="K84" i="5"/>
  <c r="K85" i="5"/>
  <c r="K75" i="5"/>
  <c r="K86" i="5"/>
  <c r="K74" i="5"/>
  <c r="K73" i="5"/>
  <c r="K87" i="5"/>
  <c r="K88" i="5"/>
  <c r="K72" i="5"/>
  <c r="K71" i="5"/>
  <c r="K89" i="5"/>
  <c r="K70" i="5"/>
  <c r="K90" i="5"/>
  <c r="K69" i="5"/>
  <c r="K91" i="5"/>
  <c r="K68" i="5"/>
  <c r="K92" i="5"/>
  <c r="K93" i="5"/>
  <c r="K67" i="5"/>
  <c r="K94" i="5"/>
  <c r="K66" i="5"/>
  <c r="K65" i="5"/>
  <c r="K95" i="5"/>
  <c r="K64" i="5"/>
  <c r="K96" i="5"/>
  <c r="K97" i="5"/>
  <c r="K63" i="5"/>
  <c r="K62" i="5"/>
  <c r="K98" i="5"/>
  <c r="K99" i="5"/>
  <c r="K61" i="5"/>
  <c r="K60" i="5"/>
  <c r="K100" i="5"/>
  <c r="K59" i="5"/>
  <c r="K101" i="5"/>
  <c r="K58" i="5"/>
  <c r="K102" i="5"/>
  <c r="K103" i="5"/>
  <c r="AE52" i="1"/>
  <c r="AF4" i="1"/>
  <c r="AE28" i="1"/>
  <c r="AE27" i="1"/>
  <c r="AE29" i="1"/>
  <c r="AE26" i="1"/>
  <c r="AE30" i="1"/>
  <c r="AE31" i="1"/>
  <c r="AE25" i="1"/>
  <c r="AE24" i="1"/>
  <c r="AE32" i="1"/>
  <c r="AE33" i="1"/>
  <c r="AE23" i="1"/>
  <c r="AE22" i="1"/>
  <c r="AE34" i="1"/>
  <c r="AE21" i="1"/>
  <c r="AE35" i="1"/>
  <c r="AE36" i="1"/>
  <c r="AE20" i="1"/>
  <c r="AE37" i="1"/>
  <c r="AE19" i="1"/>
  <c r="AE38" i="1"/>
  <c r="AE18" i="1"/>
  <c r="AE17" i="1"/>
  <c r="AE39" i="1"/>
  <c r="AE16" i="1"/>
  <c r="AE40" i="1"/>
  <c r="AE41" i="1"/>
  <c r="AE15" i="1"/>
  <c r="AE14" i="1"/>
  <c r="AE42" i="1"/>
  <c r="AE43" i="1"/>
  <c r="AE13" i="1"/>
  <c r="AE12" i="1"/>
  <c r="AE44" i="1"/>
  <c r="AE45" i="1"/>
  <c r="AE11" i="1"/>
  <c r="AE46" i="1"/>
  <c r="AE10" i="1"/>
  <c r="AE9" i="1"/>
  <c r="AE47" i="1"/>
  <c r="AE8" i="1"/>
  <c r="AE48" i="1"/>
  <c r="AE7" i="1"/>
  <c r="AE49" i="1"/>
  <c r="AE50" i="1"/>
  <c r="AE6" i="1"/>
  <c r="AE5" i="1"/>
  <c r="AE51" i="1"/>
  <c r="AF4" i="5"/>
  <c r="AE52" i="5"/>
  <c r="AE28" i="5"/>
  <c r="AE29" i="5"/>
  <c r="AE27" i="5"/>
  <c r="AE26" i="5"/>
  <c r="AE30" i="5"/>
  <c r="AE25" i="5"/>
  <c r="AE31" i="5"/>
  <c r="AE24" i="5"/>
  <c r="AE32" i="5"/>
  <c r="AE33" i="5"/>
  <c r="AE23" i="5"/>
  <c r="AE22" i="5"/>
  <c r="AE34" i="5"/>
  <c r="AE21" i="5"/>
  <c r="AE35" i="5"/>
  <c r="AE20" i="5"/>
  <c r="AE36" i="5"/>
  <c r="AE37" i="5"/>
  <c r="AE19" i="5"/>
  <c r="AE38" i="5"/>
  <c r="AE18" i="5"/>
  <c r="AE39" i="5"/>
  <c r="AE17" i="5"/>
  <c r="AE16" i="5"/>
  <c r="AE40" i="5"/>
  <c r="AE41" i="5"/>
  <c r="AE15" i="5"/>
  <c r="AE42" i="5"/>
  <c r="AE14" i="5"/>
  <c r="AE13" i="5"/>
  <c r="AE43" i="5"/>
  <c r="AE12" i="5"/>
  <c r="AE44" i="5"/>
  <c r="AE45" i="5"/>
  <c r="AE11" i="5"/>
  <c r="AE10" i="5"/>
  <c r="AE46" i="5"/>
  <c r="AE9" i="5"/>
  <c r="AE47" i="5"/>
  <c r="AE48" i="5"/>
  <c r="AE8" i="5"/>
  <c r="AE49" i="5"/>
  <c r="AE7" i="5"/>
  <c r="AE6" i="5"/>
  <c r="AE50" i="5"/>
  <c r="AE51" i="5"/>
  <c r="AE5" i="5"/>
  <c r="L104" i="5"/>
  <c r="L107" i="5"/>
  <c r="L106" i="5"/>
  <c r="L109" i="5"/>
  <c r="L105" i="5"/>
  <c r="L108" i="5"/>
  <c r="L80" i="5"/>
  <c r="L79" i="5"/>
  <c r="L81" i="5"/>
  <c r="L78" i="5"/>
  <c r="L82" i="5"/>
  <c r="L83" i="5"/>
  <c r="L77" i="5"/>
  <c r="L76" i="5"/>
  <c r="L84" i="5"/>
  <c r="L85" i="5"/>
  <c r="L75" i="5"/>
  <c r="L86" i="5"/>
  <c r="L74" i="5"/>
  <c r="L87" i="5"/>
  <c r="L73" i="5"/>
  <c r="L72" i="5"/>
  <c r="L88" i="5"/>
  <c r="L89" i="5"/>
  <c r="L71" i="5"/>
  <c r="L90" i="5"/>
  <c r="L70" i="5"/>
  <c r="L91" i="5"/>
  <c r="L69" i="5"/>
  <c r="L92" i="5"/>
  <c r="L68" i="5"/>
  <c r="L93" i="5"/>
  <c r="L67" i="5"/>
  <c r="L66" i="5"/>
  <c r="L94" i="5"/>
  <c r="L95" i="5"/>
  <c r="L65" i="5"/>
  <c r="L64" i="5"/>
  <c r="L96" i="5"/>
  <c r="L63" i="5"/>
  <c r="L97" i="5"/>
  <c r="L98" i="5"/>
  <c r="L62" i="5"/>
  <c r="L61" i="5"/>
  <c r="L99" i="5"/>
  <c r="L60" i="5"/>
  <c r="L100" i="5"/>
  <c r="L101" i="5"/>
  <c r="L59" i="5"/>
  <c r="L58" i="5"/>
  <c r="L102" i="5"/>
  <c r="L103" i="5"/>
  <c r="Y4" i="1"/>
  <c r="Y52" i="1"/>
  <c r="Z5" i="5"/>
  <c r="Y5" i="5"/>
  <c r="X55" i="5"/>
  <c r="X53" i="5"/>
  <c r="J108" i="5"/>
  <c r="J109" i="5"/>
  <c r="J105" i="5"/>
  <c r="J107" i="5"/>
  <c r="J106" i="5"/>
  <c r="J104" i="5"/>
  <c r="J80" i="5"/>
  <c r="J81" i="5"/>
  <c r="J79" i="5"/>
  <c r="J82" i="5"/>
  <c r="J78" i="5"/>
  <c r="J83" i="5"/>
  <c r="J77" i="5"/>
  <c r="J84" i="5"/>
  <c r="J76" i="5"/>
  <c r="J75" i="5"/>
  <c r="J85" i="5"/>
  <c r="J86" i="5"/>
  <c r="J74" i="5"/>
  <c r="J87" i="5"/>
  <c r="J73" i="5"/>
  <c r="J88" i="5"/>
  <c r="J72" i="5"/>
  <c r="J71" i="5"/>
  <c r="J89" i="5"/>
  <c r="J90" i="5"/>
  <c r="J70" i="5"/>
  <c r="J69" i="5"/>
  <c r="J91" i="5"/>
  <c r="J92" i="5"/>
  <c r="J68" i="5"/>
  <c r="J67" i="5"/>
  <c r="J93" i="5"/>
  <c r="J66" i="5"/>
  <c r="J94" i="5"/>
  <c r="J95" i="5"/>
  <c r="J65" i="5"/>
  <c r="J64" i="5"/>
  <c r="J96" i="5"/>
  <c r="J63" i="5"/>
  <c r="J97" i="5"/>
  <c r="J98" i="5"/>
  <c r="J62" i="5"/>
  <c r="J99" i="5"/>
  <c r="J61" i="5"/>
  <c r="J60" i="5"/>
  <c r="J100" i="5"/>
  <c r="J101" i="5"/>
  <c r="J59" i="5"/>
  <c r="J102" i="5"/>
  <c r="J58" i="5"/>
  <c r="J103" i="5"/>
  <c r="G109" i="5"/>
  <c r="G105" i="5"/>
  <c r="G108" i="5"/>
  <c r="G107" i="5"/>
  <c r="G104" i="5"/>
  <c r="G106" i="5"/>
  <c r="G80" i="5"/>
  <c r="G81" i="5"/>
  <c r="G79" i="5"/>
  <c r="G82" i="5"/>
  <c r="G78" i="5"/>
  <c r="G83" i="5"/>
  <c r="G77" i="5"/>
  <c r="G76" i="5"/>
  <c r="G84" i="5"/>
  <c r="G75" i="5"/>
  <c r="G85" i="5"/>
  <c r="G74" i="5"/>
  <c r="G86" i="5"/>
  <c r="G87" i="5"/>
  <c r="G73" i="5"/>
  <c r="G72" i="5"/>
  <c r="G88" i="5"/>
  <c r="G89" i="5"/>
  <c r="G71" i="5"/>
  <c r="G70" i="5"/>
  <c r="G90" i="5"/>
  <c r="G69" i="5"/>
  <c r="G91" i="5"/>
  <c r="G68" i="5"/>
  <c r="G92" i="5"/>
  <c r="G67" i="5"/>
  <c r="G93" i="5"/>
  <c r="G66" i="5"/>
  <c r="G94" i="5"/>
  <c r="G65" i="5"/>
  <c r="G95" i="5"/>
  <c r="G64" i="5"/>
  <c r="G96" i="5"/>
  <c r="G97" i="5"/>
  <c r="G63" i="5"/>
  <c r="G62" i="5"/>
  <c r="G98" i="5"/>
  <c r="G99" i="5"/>
  <c r="G61" i="5"/>
  <c r="G60" i="5"/>
  <c r="G100" i="5"/>
  <c r="G101" i="5"/>
  <c r="G59" i="5"/>
  <c r="G102" i="5"/>
  <c r="G58" i="5"/>
  <c r="G103" i="5"/>
  <c r="S106" i="5"/>
  <c r="S105" i="5"/>
  <c r="S109" i="5"/>
  <c r="S108" i="5"/>
  <c r="S107" i="5"/>
  <c r="S104" i="5"/>
  <c r="S80" i="5"/>
  <c r="S81" i="5"/>
  <c r="S79" i="5"/>
  <c r="S82" i="5"/>
  <c r="S78" i="5"/>
  <c r="S83" i="5"/>
  <c r="S77" i="5"/>
  <c r="S76" i="5"/>
  <c r="S84" i="5"/>
  <c r="S75" i="5"/>
  <c r="S85" i="5"/>
  <c r="S86" i="5"/>
  <c r="S74" i="5"/>
  <c r="S87" i="5"/>
  <c r="S73" i="5"/>
  <c r="S72" i="5"/>
  <c r="S88" i="5"/>
  <c r="S71" i="5"/>
  <c r="S89" i="5"/>
  <c r="S90" i="5"/>
  <c r="S70" i="5"/>
  <c r="S91" i="5"/>
  <c r="S69" i="5"/>
  <c r="S68" i="5"/>
  <c r="S92" i="5"/>
  <c r="S93" i="5"/>
  <c r="S67" i="5"/>
  <c r="S66" i="5"/>
  <c r="S94" i="5"/>
  <c r="S95" i="5"/>
  <c r="S65" i="5"/>
  <c r="S96" i="5"/>
  <c r="S64" i="5"/>
  <c r="S97" i="5"/>
  <c r="S63" i="5"/>
  <c r="S62" i="5"/>
  <c r="S98" i="5"/>
  <c r="S99" i="5"/>
  <c r="S61" i="5"/>
  <c r="S60" i="5"/>
  <c r="S100" i="5"/>
  <c r="S101" i="5"/>
  <c r="S59" i="5"/>
  <c r="S102" i="5"/>
  <c r="S58" i="5"/>
  <c r="S103" i="5"/>
  <c r="F54" i="1"/>
  <c r="P105" i="5"/>
  <c r="P104" i="5"/>
  <c r="P108" i="5"/>
  <c r="P107" i="5"/>
  <c r="P106" i="5"/>
  <c r="P109" i="5"/>
  <c r="P80" i="5"/>
  <c r="P81" i="5"/>
  <c r="P79" i="5"/>
  <c r="P82" i="5"/>
  <c r="P78" i="5"/>
  <c r="P83" i="5"/>
  <c r="P77" i="5"/>
  <c r="P76" i="5"/>
  <c r="P84" i="5"/>
  <c r="P75" i="5"/>
  <c r="P85" i="5"/>
  <c r="P86" i="5"/>
  <c r="P74" i="5"/>
  <c r="P87" i="5"/>
  <c r="P73" i="5"/>
  <c r="P88" i="5"/>
  <c r="P72" i="5"/>
  <c r="P89" i="5"/>
  <c r="P71" i="5"/>
  <c r="P70" i="5"/>
  <c r="P90" i="5"/>
  <c r="P69" i="5"/>
  <c r="P91" i="5"/>
  <c r="P92" i="5"/>
  <c r="P68" i="5"/>
  <c r="P67" i="5"/>
  <c r="P93" i="5"/>
  <c r="P94" i="5"/>
  <c r="P66" i="5"/>
  <c r="P95" i="5"/>
  <c r="P65" i="5"/>
  <c r="P64" i="5"/>
  <c r="P96" i="5"/>
  <c r="P63" i="5"/>
  <c r="P97" i="5"/>
  <c r="P62" i="5"/>
  <c r="P98" i="5"/>
  <c r="P61" i="5"/>
  <c r="P99" i="5"/>
  <c r="P60" i="5"/>
  <c r="P100" i="5"/>
  <c r="P59" i="5"/>
  <c r="P101" i="5"/>
  <c r="P58" i="5"/>
  <c r="P102" i="5"/>
  <c r="P103" i="5"/>
  <c r="X80" i="1"/>
  <c r="X79" i="1"/>
  <c r="X81" i="1"/>
  <c r="X82" i="1"/>
  <c r="X78" i="1"/>
  <c r="X77" i="1"/>
  <c r="X83" i="1"/>
  <c r="X76" i="1"/>
  <c r="X84" i="1"/>
  <c r="X75" i="1"/>
  <c r="X85" i="1"/>
  <c r="X74" i="1"/>
  <c r="X86" i="1"/>
  <c r="X73" i="1"/>
  <c r="X87" i="1"/>
  <c r="X88" i="1"/>
  <c r="X72" i="1"/>
  <c r="X71" i="1"/>
  <c r="X89" i="1"/>
  <c r="X90" i="1"/>
  <c r="X70" i="1"/>
  <c r="X69" i="1"/>
  <c r="X91" i="1"/>
  <c r="X68" i="1"/>
  <c r="X92" i="1"/>
  <c r="X93" i="1"/>
  <c r="X67" i="1"/>
  <c r="X66" i="1"/>
  <c r="X94" i="1"/>
  <c r="X65" i="1"/>
  <c r="X95" i="1"/>
  <c r="X64" i="1"/>
  <c r="X96" i="1"/>
  <c r="X97" i="1"/>
  <c r="X63" i="1"/>
  <c r="X98" i="1"/>
  <c r="X62" i="1"/>
  <c r="X61" i="1"/>
  <c r="X99" i="1"/>
  <c r="X100" i="1"/>
  <c r="X60" i="1"/>
  <c r="X59" i="1"/>
  <c r="X101" i="1"/>
  <c r="X58" i="1"/>
  <c r="X102" i="1"/>
  <c r="X103" i="1"/>
  <c r="E107" i="5"/>
  <c r="E106" i="5"/>
  <c r="E104" i="5"/>
  <c r="E105" i="5"/>
  <c r="E108" i="5"/>
  <c r="E109" i="5"/>
  <c r="E80" i="5"/>
  <c r="E81" i="5"/>
  <c r="E79" i="5"/>
  <c r="E82" i="5"/>
  <c r="E78" i="5"/>
  <c r="E83" i="5"/>
  <c r="E77" i="5"/>
  <c r="E76" i="5"/>
  <c r="E84" i="5"/>
  <c r="E75" i="5"/>
  <c r="E85" i="5"/>
  <c r="E74" i="5"/>
  <c r="E86" i="5"/>
  <c r="E87" i="5"/>
  <c r="E73" i="5"/>
  <c r="E88" i="5"/>
  <c r="E72" i="5"/>
  <c r="E71" i="5"/>
  <c r="E89" i="5"/>
  <c r="E70" i="5"/>
  <c r="E90" i="5"/>
  <c r="E69" i="5"/>
  <c r="E91" i="5"/>
  <c r="E92" i="5"/>
  <c r="E68" i="5"/>
  <c r="E67" i="5"/>
  <c r="E93" i="5"/>
  <c r="E94" i="5"/>
  <c r="E66" i="5"/>
  <c r="E95" i="5"/>
  <c r="E65" i="5"/>
  <c r="E96" i="5"/>
  <c r="E64" i="5"/>
  <c r="E97" i="5"/>
  <c r="E63" i="5"/>
  <c r="E62" i="5"/>
  <c r="E98" i="5"/>
  <c r="E61" i="5"/>
  <c r="E99" i="5"/>
  <c r="E60" i="5"/>
  <c r="E100" i="5"/>
  <c r="E59" i="5"/>
  <c r="E101" i="5"/>
  <c r="E58" i="5"/>
  <c r="E102" i="5"/>
  <c r="E103" i="5"/>
  <c r="I106" i="5"/>
  <c r="I107" i="5"/>
  <c r="I105" i="5"/>
  <c r="I109" i="5"/>
  <c r="I108" i="5"/>
  <c r="I104" i="5"/>
  <c r="I80" i="5"/>
  <c r="I81" i="5"/>
  <c r="I79" i="5"/>
  <c r="I82" i="5"/>
  <c r="I78" i="5"/>
  <c r="I83" i="5"/>
  <c r="I77" i="5"/>
  <c r="I76" i="5"/>
  <c r="I84" i="5"/>
  <c r="I85" i="5"/>
  <c r="I75" i="5"/>
  <c r="I86" i="5"/>
  <c r="I74" i="5"/>
  <c r="I87" i="5"/>
  <c r="I73" i="5"/>
  <c r="I88" i="5"/>
  <c r="I72" i="5"/>
  <c r="I71" i="5"/>
  <c r="I89" i="5"/>
  <c r="I90" i="5"/>
  <c r="I70" i="5"/>
  <c r="I91" i="5"/>
  <c r="I69" i="5"/>
  <c r="I92" i="5"/>
  <c r="I68" i="5"/>
  <c r="I67" i="5"/>
  <c r="I93" i="5"/>
  <c r="I94" i="5"/>
  <c r="I66" i="5"/>
  <c r="I95" i="5"/>
  <c r="I65" i="5"/>
  <c r="I64" i="5"/>
  <c r="I96" i="5"/>
  <c r="I97" i="5"/>
  <c r="I63" i="5"/>
  <c r="I62" i="5"/>
  <c r="I98" i="5"/>
  <c r="I99" i="5"/>
  <c r="I61" i="5"/>
  <c r="I60" i="5"/>
  <c r="I100" i="5"/>
  <c r="I101" i="5"/>
  <c r="I59" i="5"/>
  <c r="I58" i="5"/>
  <c r="I102" i="5"/>
  <c r="I103" i="5"/>
  <c r="U105" i="5"/>
  <c r="U109" i="5"/>
  <c r="U104" i="5"/>
  <c r="U107" i="5"/>
  <c r="U106" i="5"/>
  <c r="U108" i="5"/>
  <c r="U80" i="5"/>
  <c r="U81" i="5"/>
  <c r="U79" i="5"/>
  <c r="U78" i="5"/>
  <c r="U82" i="5"/>
  <c r="U77" i="5"/>
  <c r="U83" i="5"/>
  <c r="U76" i="5"/>
  <c r="U84" i="5"/>
  <c r="U85" i="5"/>
  <c r="U75" i="5"/>
  <c r="U86" i="5"/>
  <c r="U74" i="5"/>
  <c r="U87" i="5"/>
  <c r="U73" i="5"/>
  <c r="U72" i="5"/>
  <c r="U88" i="5"/>
  <c r="U71" i="5"/>
  <c r="U89" i="5"/>
  <c r="U70" i="5"/>
  <c r="U90" i="5"/>
  <c r="U91" i="5"/>
  <c r="U69" i="5"/>
  <c r="U68" i="5"/>
  <c r="U92" i="5"/>
  <c r="U67" i="5"/>
  <c r="U93" i="5"/>
  <c r="U66" i="5"/>
  <c r="U94" i="5"/>
  <c r="U65" i="5"/>
  <c r="U95" i="5"/>
  <c r="U96" i="5"/>
  <c r="U64" i="5"/>
  <c r="U97" i="5"/>
  <c r="U63" i="5"/>
  <c r="U62" i="5"/>
  <c r="U98" i="5"/>
  <c r="U99" i="5"/>
  <c r="U61" i="5"/>
  <c r="U60" i="5"/>
  <c r="U100" i="5"/>
  <c r="U101" i="5"/>
  <c r="U59" i="5"/>
  <c r="U102" i="5"/>
  <c r="U58" i="5"/>
  <c r="U103" i="5"/>
  <c r="X50" i="2"/>
  <c r="Y50" i="2" s="1"/>
  <c r="X6" i="2"/>
  <c r="Y6" i="2" s="1"/>
  <c r="N54" i="1"/>
  <c r="V108" i="5"/>
  <c r="V106" i="5"/>
  <c r="V109" i="5"/>
  <c r="V105" i="5"/>
  <c r="V104" i="5"/>
  <c r="V107" i="5"/>
  <c r="V80" i="5"/>
  <c r="V81" i="5"/>
  <c r="V79" i="5"/>
  <c r="V78" i="5"/>
  <c r="V82" i="5"/>
  <c r="V77" i="5"/>
  <c r="V83" i="5"/>
  <c r="V76" i="5"/>
  <c r="V84" i="5"/>
  <c r="V85" i="5"/>
  <c r="V75" i="5"/>
  <c r="V86" i="5"/>
  <c r="V74" i="5"/>
  <c r="V73" i="5"/>
  <c r="V87" i="5"/>
  <c r="V88" i="5"/>
  <c r="V72" i="5"/>
  <c r="V71" i="5"/>
  <c r="V89" i="5"/>
  <c r="V70" i="5"/>
  <c r="V90" i="5"/>
  <c r="V91" i="5"/>
  <c r="V69" i="5"/>
  <c r="V68" i="5"/>
  <c r="V92" i="5"/>
  <c r="V93" i="5"/>
  <c r="V67" i="5"/>
  <c r="V66" i="5"/>
  <c r="V94" i="5"/>
  <c r="V65" i="5"/>
  <c r="V95" i="5"/>
  <c r="V64" i="5"/>
  <c r="V96" i="5"/>
  <c r="V97" i="5"/>
  <c r="V63" i="5"/>
  <c r="V98" i="5"/>
  <c r="V62" i="5"/>
  <c r="V99" i="5"/>
  <c r="V61" i="5"/>
  <c r="V100" i="5"/>
  <c r="V60" i="5"/>
  <c r="V101" i="5"/>
  <c r="V59" i="5"/>
  <c r="V102" i="5"/>
  <c r="V58" i="5"/>
  <c r="V103" i="5"/>
  <c r="O104" i="5"/>
  <c r="O105" i="5"/>
  <c r="O109" i="5"/>
  <c r="O107" i="5"/>
  <c r="O108" i="5"/>
  <c r="O106" i="5"/>
  <c r="O80" i="5"/>
  <c r="O81" i="5"/>
  <c r="O79" i="5"/>
  <c r="O78" i="5"/>
  <c r="O82" i="5"/>
  <c r="O83" i="5"/>
  <c r="O77" i="5"/>
  <c r="O76" i="5"/>
  <c r="O84" i="5"/>
  <c r="O85" i="5"/>
  <c r="O75" i="5"/>
  <c r="O86" i="5"/>
  <c r="O74" i="5"/>
  <c r="O87" i="5"/>
  <c r="O73" i="5"/>
  <c r="O72" i="5"/>
  <c r="O88" i="5"/>
  <c r="O71" i="5"/>
  <c r="O89" i="5"/>
  <c r="O90" i="5"/>
  <c r="O70" i="5"/>
  <c r="O69" i="5"/>
  <c r="O91" i="5"/>
  <c r="O68" i="5"/>
  <c r="O92" i="5"/>
  <c r="O67" i="5"/>
  <c r="O93" i="5"/>
  <c r="O66" i="5"/>
  <c r="O94" i="5"/>
  <c r="O95" i="5"/>
  <c r="O65" i="5"/>
  <c r="O64" i="5"/>
  <c r="O96" i="5"/>
  <c r="O97" i="5"/>
  <c r="O63" i="5"/>
  <c r="O98" i="5"/>
  <c r="O62" i="5"/>
  <c r="O99" i="5"/>
  <c r="O61" i="5"/>
  <c r="O60" i="5"/>
  <c r="O100" i="5"/>
  <c r="O59" i="5"/>
  <c r="O101" i="5"/>
  <c r="O102" i="5"/>
  <c r="O58" i="5"/>
  <c r="O103" i="5"/>
  <c r="E54" i="1"/>
  <c r="L54" i="1"/>
  <c r="L105" i="1" s="1"/>
  <c r="A103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A57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F106" i="5"/>
  <c r="F104" i="5"/>
  <c r="F105" i="5"/>
  <c r="F108" i="5"/>
  <c r="F107" i="5"/>
  <c r="F109" i="5"/>
  <c r="F80" i="5"/>
  <c r="F81" i="5"/>
  <c r="F79" i="5"/>
  <c r="F78" i="5"/>
  <c r="F82" i="5"/>
  <c r="F77" i="5"/>
  <c r="F83" i="5"/>
  <c r="F76" i="5"/>
  <c r="F84" i="5"/>
  <c r="F85" i="5"/>
  <c r="F75" i="5"/>
  <c r="F86" i="5"/>
  <c r="F74" i="5"/>
  <c r="F87" i="5"/>
  <c r="F73" i="5"/>
  <c r="F88" i="5"/>
  <c r="F72" i="5"/>
  <c r="F89" i="5"/>
  <c r="F71" i="5"/>
  <c r="F70" i="5"/>
  <c r="F90" i="5"/>
  <c r="F69" i="5"/>
  <c r="F91" i="5"/>
  <c r="F92" i="5"/>
  <c r="F68" i="5"/>
  <c r="F93" i="5"/>
  <c r="F67" i="5"/>
  <c r="F66" i="5"/>
  <c r="F94" i="5"/>
  <c r="F95" i="5"/>
  <c r="F65" i="5"/>
  <c r="F96" i="5"/>
  <c r="F64" i="5"/>
  <c r="F97" i="5"/>
  <c r="F63" i="5"/>
  <c r="F62" i="5"/>
  <c r="F98" i="5"/>
  <c r="F61" i="5"/>
  <c r="F99" i="5"/>
  <c r="F60" i="5"/>
  <c r="F100" i="5"/>
  <c r="F101" i="5"/>
  <c r="F59" i="5"/>
  <c r="F58" i="5"/>
  <c r="F102" i="5"/>
  <c r="F103" i="5"/>
  <c r="R105" i="5"/>
  <c r="R104" i="5"/>
  <c r="R109" i="5"/>
  <c r="R107" i="5"/>
  <c r="R106" i="5"/>
  <c r="R108" i="5"/>
  <c r="R80" i="5"/>
  <c r="R81" i="5"/>
  <c r="R79" i="5"/>
  <c r="R78" i="5"/>
  <c r="R82" i="5"/>
  <c r="R83" i="5"/>
  <c r="R77" i="5"/>
  <c r="R76" i="5"/>
  <c r="R84" i="5"/>
  <c r="R75" i="5"/>
  <c r="R85" i="5"/>
  <c r="R74" i="5"/>
  <c r="R86" i="5"/>
  <c r="R73" i="5"/>
  <c r="R87" i="5"/>
  <c r="R88" i="5"/>
  <c r="R72" i="5"/>
  <c r="R71" i="5"/>
  <c r="R89" i="5"/>
  <c r="R90" i="5"/>
  <c r="R70" i="5"/>
  <c r="R69" i="5"/>
  <c r="R91" i="5"/>
  <c r="R92" i="5"/>
  <c r="R68" i="5"/>
  <c r="R67" i="5"/>
  <c r="R93" i="5"/>
  <c r="R94" i="5"/>
  <c r="R66" i="5"/>
  <c r="R65" i="5"/>
  <c r="R95" i="5"/>
  <c r="R96" i="5"/>
  <c r="R64" i="5"/>
  <c r="R97" i="5"/>
  <c r="R63" i="5"/>
  <c r="R62" i="5"/>
  <c r="R98" i="5"/>
  <c r="R99" i="5"/>
  <c r="R61" i="5"/>
  <c r="R100" i="5"/>
  <c r="R60" i="5"/>
  <c r="R59" i="5"/>
  <c r="R101" i="5"/>
  <c r="R58" i="5"/>
  <c r="R102" i="5"/>
  <c r="R103" i="5"/>
  <c r="C109" i="5"/>
  <c r="C108" i="5"/>
  <c r="C107" i="5"/>
  <c r="C105" i="5"/>
  <c r="C106" i="5"/>
  <c r="C104" i="5"/>
  <c r="C80" i="5"/>
  <c r="C81" i="5"/>
  <c r="C79" i="5"/>
  <c r="C82" i="5"/>
  <c r="C78" i="5"/>
  <c r="C83" i="5"/>
  <c r="C77" i="5"/>
  <c r="C84" i="5"/>
  <c r="C76" i="5"/>
  <c r="C75" i="5"/>
  <c r="C85" i="5"/>
  <c r="C86" i="5"/>
  <c r="C74" i="5"/>
  <c r="C87" i="5"/>
  <c r="C73" i="5"/>
  <c r="C72" i="5"/>
  <c r="C88" i="5"/>
  <c r="C89" i="5"/>
  <c r="C71" i="5"/>
  <c r="C90" i="5"/>
  <c r="C70" i="5"/>
  <c r="C69" i="5"/>
  <c r="C91" i="5"/>
  <c r="C92" i="5"/>
  <c r="C68" i="5"/>
  <c r="C93" i="5"/>
  <c r="C67" i="5"/>
  <c r="C94" i="5"/>
  <c r="C66" i="5"/>
  <c r="C95" i="5"/>
  <c r="C65" i="5"/>
  <c r="C64" i="5"/>
  <c r="C96" i="5"/>
  <c r="C63" i="5"/>
  <c r="C97" i="5"/>
  <c r="C98" i="5"/>
  <c r="C62" i="5"/>
  <c r="C99" i="5"/>
  <c r="C61" i="5"/>
  <c r="C60" i="5"/>
  <c r="C100" i="5"/>
  <c r="C101" i="5"/>
  <c r="C59" i="5"/>
  <c r="C102" i="5"/>
  <c r="C58" i="5"/>
  <c r="C103" i="5"/>
  <c r="D105" i="5"/>
  <c r="D107" i="5"/>
  <c r="D104" i="5"/>
  <c r="D109" i="5"/>
  <c r="D108" i="5"/>
  <c r="D106" i="5"/>
  <c r="D80" i="5"/>
  <c r="D79" i="5"/>
  <c r="D81" i="5"/>
  <c r="D78" i="5"/>
  <c r="D82" i="5"/>
  <c r="D77" i="5"/>
  <c r="D83" i="5"/>
  <c r="D84" i="5"/>
  <c r="D76" i="5"/>
  <c r="D75" i="5"/>
  <c r="D85" i="5"/>
  <c r="D74" i="5"/>
  <c r="D86" i="5"/>
  <c r="D73" i="5"/>
  <c r="D87" i="5"/>
  <c r="D88" i="5"/>
  <c r="D72" i="5"/>
  <c r="D89" i="5"/>
  <c r="D71" i="5"/>
  <c r="D90" i="5"/>
  <c r="D70" i="5"/>
  <c r="D91" i="5"/>
  <c r="D69" i="5"/>
  <c r="D92" i="5"/>
  <c r="D68" i="5"/>
  <c r="D93" i="5"/>
  <c r="D67" i="5"/>
  <c r="D66" i="5"/>
  <c r="D94" i="5"/>
  <c r="D95" i="5"/>
  <c r="D65" i="5"/>
  <c r="D96" i="5"/>
  <c r="D64" i="5"/>
  <c r="D63" i="5"/>
  <c r="D97" i="5"/>
  <c r="D62" i="5"/>
  <c r="D98" i="5"/>
  <c r="D99" i="5"/>
  <c r="D61" i="5"/>
  <c r="D60" i="5"/>
  <c r="D100" i="5"/>
  <c r="D101" i="5"/>
  <c r="D59" i="5"/>
  <c r="D58" i="5"/>
  <c r="D102" i="5"/>
  <c r="D103" i="5"/>
  <c r="H105" i="5"/>
  <c r="H109" i="5"/>
  <c r="H104" i="5"/>
  <c r="H108" i="5"/>
  <c r="H107" i="5"/>
  <c r="H106" i="5"/>
  <c r="H80" i="5"/>
  <c r="H81" i="5"/>
  <c r="H79" i="5"/>
  <c r="H82" i="5"/>
  <c r="H78" i="5"/>
  <c r="H83" i="5"/>
  <c r="H77" i="5"/>
  <c r="H84" i="5"/>
  <c r="H76" i="5"/>
  <c r="H85" i="5"/>
  <c r="H75" i="5"/>
  <c r="H86" i="5"/>
  <c r="H74" i="5"/>
  <c r="H87" i="5"/>
  <c r="H73" i="5"/>
  <c r="H88" i="5"/>
  <c r="H72" i="5"/>
  <c r="H89" i="5"/>
  <c r="H71" i="5"/>
  <c r="H70" i="5"/>
  <c r="H90" i="5"/>
  <c r="H69" i="5"/>
  <c r="H91" i="5"/>
  <c r="H92" i="5"/>
  <c r="H68" i="5"/>
  <c r="H93" i="5"/>
  <c r="H67" i="5"/>
  <c r="H66" i="5"/>
  <c r="H94" i="5"/>
  <c r="H65" i="5"/>
  <c r="H95" i="5"/>
  <c r="H64" i="5"/>
  <c r="H96" i="5"/>
  <c r="H63" i="5"/>
  <c r="H97" i="5"/>
  <c r="H62" i="5"/>
  <c r="H98" i="5"/>
  <c r="H61" i="5"/>
  <c r="H99" i="5"/>
  <c r="H60" i="5"/>
  <c r="H100" i="5"/>
  <c r="H59" i="5"/>
  <c r="H101" i="5"/>
  <c r="H58" i="5"/>
  <c r="H102" i="5"/>
  <c r="H103" i="5"/>
  <c r="T106" i="5"/>
  <c r="T105" i="5"/>
  <c r="T107" i="5"/>
  <c r="T104" i="5"/>
  <c r="T109" i="5"/>
  <c r="T108" i="5"/>
  <c r="T80" i="5"/>
  <c r="T81" i="5"/>
  <c r="T79" i="5"/>
  <c r="T78" i="5"/>
  <c r="T82" i="5"/>
  <c r="T83" i="5"/>
  <c r="T77" i="5"/>
  <c r="T76" i="5"/>
  <c r="T84" i="5"/>
  <c r="T85" i="5"/>
  <c r="T75" i="5"/>
  <c r="T86" i="5"/>
  <c r="T74" i="5"/>
  <c r="T87" i="5"/>
  <c r="T73" i="5"/>
  <c r="T88" i="5"/>
  <c r="T72" i="5"/>
  <c r="T71" i="5"/>
  <c r="T89" i="5"/>
  <c r="T70" i="5"/>
  <c r="T90" i="5"/>
  <c r="T91" i="5"/>
  <c r="T69" i="5"/>
  <c r="T92" i="5"/>
  <c r="T68" i="5"/>
  <c r="T67" i="5"/>
  <c r="T93" i="5"/>
  <c r="T94" i="5"/>
  <c r="T66" i="5"/>
  <c r="T65" i="5"/>
  <c r="T95" i="5"/>
  <c r="T64" i="5"/>
  <c r="T96" i="5"/>
  <c r="T63" i="5"/>
  <c r="T97" i="5"/>
  <c r="T62" i="5"/>
  <c r="T98" i="5"/>
  <c r="T61" i="5"/>
  <c r="T99" i="5"/>
  <c r="T60" i="5"/>
  <c r="T100" i="5"/>
  <c r="T101" i="5"/>
  <c r="T59" i="5"/>
  <c r="T102" i="5"/>
  <c r="T58" i="5"/>
  <c r="T103" i="5"/>
  <c r="U54" i="5" l="1"/>
  <c r="T54" i="5"/>
  <c r="V54" i="5"/>
  <c r="B54" i="5"/>
  <c r="C54" i="5"/>
  <c r="D54" i="5"/>
  <c r="S54" i="5"/>
  <c r="I54" i="5"/>
  <c r="M54" i="5"/>
  <c r="O54" i="5"/>
  <c r="P54" i="5"/>
  <c r="G54" i="5"/>
  <c r="N54" i="5"/>
  <c r="T55" i="2"/>
  <c r="T53" i="2"/>
  <c r="T4" i="2"/>
  <c r="P53" i="2"/>
  <c r="P4" i="2"/>
  <c r="P55" i="2"/>
  <c r="L55" i="2"/>
  <c r="L53" i="2"/>
  <c r="L4" i="2"/>
  <c r="H55" i="2"/>
  <c r="H4" i="2"/>
  <c r="H53" i="2"/>
  <c r="D4" i="2"/>
  <c r="D55" i="2"/>
  <c r="D53" i="2"/>
  <c r="E54" i="5"/>
  <c r="X54" i="1"/>
  <c r="Y4" i="5"/>
  <c r="Y52" i="5"/>
  <c r="AF52" i="5"/>
  <c r="AG4" i="5"/>
  <c r="AF28" i="5"/>
  <c r="AF29" i="5"/>
  <c r="AF27" i="5"/>
  <c r="AF26" i="5"/>
  <c r="AF30" i="5"/>
  <c r="AF31" i="5"/>
  <c r="AF25" i="5"/>
  <c r="AF32" i="5"/>
  <c r="AF24" i="5"/>
  <c r="AF33" i="5"/>
  <c r="AF23" i="5"/>
  <c r="AF22" i="5"/>
  <c r="AF34" i="5"/>
  <c r="AF35" i="5"/>
  <c r="AF21" i="5"/>
  <c r="AF36" i="5"/>
  <c r="AF20" i="5"/>
  <c r="AF19" i="5"/>
  <c r="AF37" i="5"/>
  <c r="AF18" i="5"/>
  <c r="AF38" i="5"/>
  <c r="AF17" i="5"/>
  <c r="AF39" i="5"/>
  <c r="AF40" i="5"/>
  <c r="AF16" i="5"/>
  <c r="AF41" i="5"/>
  <c r="AF15" i="5"/>
  <c r="AF14" i="5"/>
  <c r="AF42" i="5"/>
  <c r="AF13" i="5"/>
  <c r="AF43" i="5"/>
  <c r="AF44" i="5"/>
  <c r="AF12" i="5"/>
  <c r="AF45" i="5"/>
  <c r="AF11" i="5"/>
  <c r="AF10" i="5"/>
  <c r="AF46" i="5"/>
  <c r="AF47" i="5"/>
  <c r="AF9" i="5"/>
  <c r="AF8" i="5"/>
  <c r="AF48" i="5"/>
  <c r="AF7" i="5"/>
  <c r="AF49" i="5"/>
  <c r="AF6" i="5"/>
  <c r="AF50" i="5"/>
  <c r="AF5" i="5"/>
  <c r="AF51" i="5"/>
  <c r="AF52" i="1"/>
  <c r="AG4" i="1"/>
  <c r="AF28" i="1"/>
  <c r="AF29" i="1"/>
  <c r="AF27" i="1"/>
  <c r="AF26" i="1"/>
  <c r="AF30" i="1"/>
  <c r="AF25" i="1"/>
  <c r="AF31" i="1"/>
  <c r="AF24" i="1"/>
  <c r="AF32" i="1"/>
  <c r="AF33" i="1"/>
  <c r="AF23" i="1"/>
  <c r="AF22" i="1"/>
  <c r="AF34" i="1"/>
  <c r="AF35" i="1"/>
  <c r="AF21" i="1"/>
  <c r="AF36" i="1"/>
  <c r="AF20" i="1"/>
  <c r="AF37" i="1"/>
  <c r="AF19" i="1"/>
  <c r="AF18" i="1"/>
  <c r="AF38" i="1"/>
  <c r="AF39" i="1"/>
  <c r="AF17" i="1"/>
  <c r="AF16" i="1"/>
  <c r="AF40" i="1"/>
  <c r="AF41" i="1"/>
  <c r="AF15" i="1"/>
  <c r="AF42" i="1"/>
  <c r="AF14" i="1"/>
  <c r="AF43" i="1"/>
  <c r="AF13" i="1"/>
  <c r="AF12" i="1"/>
  <c r="AF44" i="1"/>
  <c r="AF45" i="1"/>
  <c r="AF11" i="1"/>
  <c r="AF10" i="1"/>
  <c r="AF46" i="1"/>
  <c r="AF9" i="1"/>
  <c r="AF47" i="1"/>
  <c r="AF8" i="1"/>
  <c r="AF48" i="1"/>
  <c r="AF49" i="1"/>
  <c r="AF7" i="1"/>
  <c r="AF50" i="1"/>
  <c r="AF6" i="1"/>
  <c r="AF51" i="1"/>
  <c r="AF5" i="1"/>
  <c r="W53" i="2"/>
  <c r="W55" i="2"/>
  <c r="W4" i="2"/>
  <c r="S55" i="2"/>
  <c r="S4" i="2"/>
  <c r="S53" i="2"/>
  <c r="O55" i="2"/>
  <c r="O53" i="2"/>
  <c r="O4" i="2"/>
  <c r="K55" i="2"/>
  <c r="K53" i="2"/>
  <c r="K4" i="2"/>
  <c r="G4" i="2"/>
  <c r="G55" i="2"/>
  <c r="G53" i="2"/>
  <c r="C4" i="2"/>
  <c r="C53" i="2"/>
  <c r="C55" i="2"/>
  <c r="X51" i="2"/>
  <c r="Y51" i="2" s="1"/>
  <c r="V53" i="2"/>
  <c r="V4" i="2"/>
  <c r="V55" i="2"/>
  <c r="R4" i="2"/>
  <c r="R53" i="2"/>
  <c r="R55" i="2"/>
  <c r="N53" i="2"/>
  <c r="N4" i="2"/>
  <c r="N55" i="2"/>
  <c r="J55" i="2"/>
  <c r="J4" i="2"/>
  <c r="J53" i="2"/>
  <c r="F4" i="2"/>
  <c r="F55" i="2"/>
  <c r="F53" i="2"/>
  <c r="B55" i="2"/>
  <c r="X5" i="2"/>
  <c r="B4" i="2"/>
  <c r="B53" i="2"/>
  <c r="J54" i="5"/>
  <c r="Z28" i="1"/>
  <c r="Z29" i="1"/>
  <c r="Z27" i="1"/>
  <c r="Z30" i="1"/>
  <c r="Z26" i="1"/>
  <c r="Z31" i="1"/>
  <c r="Z25" i="1"/>
  <c r="Z24" i="1"/>
  <c r="Z32" i="1"/>
  <c r="Z23" i="1"/>
  <c r="Z33" i="1"/>
  <c r="Z34" i="1"/>
  <c r="Z22" i="1"/>
  <c r="Z35" i="1"/>
  <c r="Z21" i="1"/>
  <c r="Z36" i="1"/>
  <c r="Z20" i="1"/>
  <c r="Z37" i="1"/>
  <c r="Z19" i="1"/>
  <c r="Z38" i="1"/>
  <c r="Z18" i="1"/>
  <c r="Z39" i="1"/>
  <c r="Z17" i="1"/>
  <c r="Z16" i="1"/>
  <c r="Z40" i="1"/>
  <c r="Z15" i="1"/>
  <c r="Z41" i="1"/>
  <c r="Z14" i="1"/>
  <c r="Z42" i="1"/>
  <c r="Z43" i="1"/>
  <c r="Z13" i="1"/>
  <c r="Z44" i="1"/>
  <c r="Z12" i="1"/>
  <c r="Z11" i="1"/>
  <c r="Z45" i="1"/>
  <c r="Z46" i="1"/>
  <c r="Z10" i="1"/>
  <c r="Z9" i="1"/>
  <c r="Z47" i="1"/>
  <c r="Z48" i="1"/>
  <c r="Z8" i="1"/>
  <c r="Z49" i="1"/>
  <c r="Z7" i="1"/>
  <c r="Z6" i="1"/>
  <c r="Z50" i="1"/>
  <c r="Z5" i="1"/>
  <c r="Z51" i="1"/>
  <c r="L54" i="5"/>
  <c r="H54" i="5"/>
  <c r="R54" i="5"/>
  <c r="F54" i="5"/>
  <c r="U55" i="2"/>
  <c r="U53" i="2"/>
  <c r="U4" i="2"/>
  <c r="Q53" i="2"/>
  <c r="Q55" i="2"/>
  <c r="Q4" i="2"/>
  <c r="M53" i="2"/>
  <c r="M4" i="2"/>
  <c r="M55" i="2"/>
  <c r="I55" i="2"/>
  <c r="I4" i="2"/>
  <c r="I53" i="2"/>
  <c r="E4" i="2"/>
  <c r="E55" i="2"/>
  <c r="E53" i="2"/>
  <c r="X80" i="5"/>
  <c r="X79" i="5"/>
  <c r="X81" i="5"/>
  <c r="X78" i="5"/>
  <c r="X82" i="5"/>
  <c r="X83" i="5"/>
  <c r="X77" i="5"/>
  <c r="X76" i="5"/>
  <c r="X84" i="5"/>
  <c r="X85" i="5"/>
  <c r="X75" i="5"/>
  <c r="X86" i="5"/>
  <c r="X74" i="5"/>
  <c r="X87" i="5"/>
  <c r="X73" i="5"/>
  <c r="X88" i="5"/>
  <c r="X72" i="5"/>
  <c r="X89" i="5"/>
  <c r="X71" i="5"/>
  <c r="X90" i="5"/>
  <c r="X70" i="5"/>
  <c r="X69" i="5"/>
  <c r="X91" i="5"/>
  <c r="X68" i="5"/>
  <c r="X92" i="5"/>
  <c r="X93" i="5"/>
  <c r="X67" i="5"/>
  <c r="X66" i="5"/>
  <c r="X94" i="5"/>
  <c r="X95" i="5"/>
  <c r="X65" i="5"/>
  <c r="X64" i="5"/>
  <c r="X96" i="5"/>
  <c r="X97" i="5"/>
  <c r="X63" i="5"/>
  <c r="X62" i="5"/>
  <c r="X98" i="5"/>
  <c r="X99" i="5"/>
  <c r="X61" i="5"/>
  <c r="X100" i="5"/>
  <c r="X60" i="5"/>
  <c r="X101" i="5"/>
  <c r="X59" i="5"/>
  <c r="X102" i="5"/>
  <c r="X58" i="5"/>
  <c r="X103" i="5"/>
  <c r="K54" i="5"/>
  <c r="E80" i="2" l="1"/>
  <c r="E81" i="2"/>
  <c r="E79" i="2"/>
  <c r="E82" i="2"/>
  <c r="E78" i="2"/>
  <c r="E83" i="2"/>
  <c r="E77" i="2"/>
  <c r="E84" i="2"/>
  <c r="E76" i="2"/>
  <c r="E75" i="2"/>
  <c r="E85" i="2"/>
  <c r="E86" i="2"/>
  <c r="E74" i="2"/>
  <c r="E87" i="2"/>
  <c r="E73" i="2"/>
  <c r="E88" i="2"/>
  <c r="E72" i="2"/>
  <c r="E71" i="2"/>
  <c r="E89" i="2"/>
  <c r="E90" i="2"/>
  <c r="E70" i="2"/>
  <c r="E69" i="2"/>
  <c r="E91" i="2"/>
  <c r="E68" i="2"/>
  <c r="E92" i="2"/>
  <c r="E93" i="2"/>
  <c r="E67" i="2"/>
  <c r="E94" i="2"/>
  <c r="E66" i="2"/>
  <c r="E95" i="2"/>
  <c r="E65" i="2"/>
  <c r="E64" i="2"/>
  <c r="E96" i="2"/>
  <c r="E63" i="2"/>
  <c r="E97" i="2"/>
  <c r="E98" i="2"/>
  <c r="E62" i="2"/>
  <c r="E61" i="2"/>
  <c r="E99" i="2"/>
  <c r="E100" i="2"/>
  <c r="E60" i="2"/>
  <c r="E59" i="2"/>
  <c r="E101" i="2"/>
  <c r="E58" i="2"/>
  <c r="E102" i="2"/>
  <c r="I80" i="2"/>
  <c r="I79" i="2"/>
  <c r="I81" i="2"/>
  <c r="I78" i="2"/>
  <c r="I82" i="2"/>
  <c r="I83" i="2"/>
  <c r="I77" i="2"/>
  <c r="I76" i="2"/>
  <c r="I84" i="2"/>
  <c r="I75" i="2"/>
  <c r="I85" i="2"/>
  <c r="I86" i="2"/>
  <c r="I74" i="2"/>
  <c r="I87" i="2"/>
  <c r="I73" i="2"/>
  <c r="I88" i="2"/>
  <c r="I72" i="2"/>
  <c r="I71" i="2"/>
  <c r="I89" i="2"/>
  <c r="I90" i="2"/>
  <c r="I70" i="2"/>
  <c r="I69" i="2"/>
  <c r="I91" i="2"/>
  <c r="I92" i="2"/>
  <c r="I68" i="2"/>
  <c r="I93" i="2"/>
  <c r="I67" i="2"/>
  <c r="I66" i="2"/>
  <c r="I94" i="2"/>
  <c r="I65" i="2"/>
  <c r="I95" i="2"/>
  <c r="I96" i="2"/>
  <c r="I64" i="2"/>
  <c r="I63" i="2"/>
  <c r="I97" i="2"/>
  <c r="I98" i="2"/>
  <c r="I62" i="2"/>
  <c r="I99" i="2"/>
  <c r="I61" i="2"/>
  <c r="I60" i="2"/>
  <c r="I100" i="2"/>
  <c r="I59" i="2"/>
  <c r="I101" i="2"/>
  <c r="I58" i="2"/>
  <c r="I102" i="2"/>
  <c r="B108" i="2"/>
  <c r="C108" i="2" s="1"/>
  <c r="D108" i="2" s="1"/>
  <c r="E108" i="2" s="1"/>
  <c r="F108" i="2" s="1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B105" i="2"/>
  <c r="C105" i="2" s="1"/>
  <c r="D105" i="2" s="1"/>
  <c r="E105" i="2" s="1"/>
  <c r="F105" i="2" s="1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B110" i="2"/>
  <c r="C110" i="2" s="1"/>
  <c r="D110" i="2" s="1"/>
  <c r="E110" i="2" s="1"/>
  <c r="F110" i="2" s="1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B112" i="2"/>
  <c r="C112" i="2" s="1"/>
  <c r="D112" i="2" s="1"/>
  <c r="E112" i="2" s="1"/>
  <c r="F112" i="2" s="1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B117" i="2"/>
  <c r="C117" i="2" s="1"/>
  <c r="D117" i="2" s="1"/>
  <c r="E117" i="2" s="1"/>
  <c r="F117" i="2" s="1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B109" i="2"/>
  <c r="C109" i="2" s="1"/>
  <c r="D109" i="2" s="1"/>
  <c r="E109" i="2" s="1"/>
  <c r="F109" i="2" s="1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B116" i="2"/>
  <c r="C116" i="2" s="1"/>
  <c r="D116" i="2" s="1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V116" i="2" s="1"/>
  <c r="W116" i="2" s="1"/>
  <c r="B107" i="2"/>
  <c r="C107" i="2" s="1"/>
  <c r="D107" i="2" s="1"/>
  <c r="E107" i="2" s="1"/>
  <c r="F107" i="2" s="1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B104" i="2"/>
  <c r="C104" i="2" s="1"/>
  <c r="D104" i="2" s="1"/>
  <c r="E104" i="2" s="1"/>
  <c r="F104" i="2" s="1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 s="1"/>
  <c r="S104" i="2" s="1"/>
  <c r="T104" i="2" s="1"/>
  <c r="U104" i="2" s="1"/>
  <c r="V104" i="2" s="1"/>
  <c r="W104" i="2" s="1"/>
  <c r="B113" i="2"/>
  <c r="C113" i="2" s="1"/>
  <c r="D113" i="2" s="1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B111" i="2"/>
  <c r="C111" i="2" s="1"/>
  <c r="D111" i="2" s="1"/>
  <c r="E111" i="2" s="1"/>
  <c r="F111" i="2" s="1"/>
  <c r="G111" i="2" s="1"/>
  <c r="H111" i="2" s="1"/>
  <c r="I111" i="2" s="1"/>
  <c r="J111" i="2" s="1"/>
  <c r="K111" i="2" s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W111" i="2" s="1"/>
  <c r="B115" i="2"/>
  <c r="C115" i="2" s="1"/>
  <c r="D115" i="2" s="1"/>
  <c r="E115" i="2" s="1"/>
  <c r="F115" i="2" s="1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B114" i="2"/>
  <c r="C114" i="2" s="1"/>
  <c r="D114" i="2" s="1"/>
  <c r="E114" i="2" s="1"/>
  <c r="F114" i="2" s="1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B106" i="2"/>
  <c r="C106" i="2" s="1"/>
  <c r="D106" i="2" s="1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B80" i="2"/>
  <c r="B81" i="2"/>
  <c r="B79" i="2"/>
  <c r="B82" i="2"/>
  <c r="B78" i="2"/>
  <c r="B77" i="2"/>
  <c r="B83" i="2"/>
  <c r="B76" i="2"/>
  <c r="B84" i="2"/>
  <c r="B85" i="2"/>
  <c r="B75" i="2"/>
  <c r="B74" i="2"/>
  <c r="B86" i="2"/>
  <c r="B87" i="2"/>
  <c r="B73" i="2"/>
  <c r="B88" i="2"/>
  <c r="B72" i="2"/>
  <c r="B89" i="2"/>
  <c r="B71" i="2"/>
  <c r="B90" i="2"/>
  <c r="B70" i="2"/>
  <c r="B91" i="2"/>
  <c r="B69" i="2"/>
  <c r="B68" i="2"/>
  <c r="B92" i="2"/>
  <c r="B93" i="2"/>
  <c r="B67" i="2"/>
  <c r="B94" i="2"/>
  <c r="B66" i="2"/>
  <c r="B65" i="2"/>
  <c r="B95" i="2"/>
  <c r="B64" i="2"/>
  <c r="B96" i="2"/>
  <c r="B97" i="2"/>
  <c r="B63" i="2"/>
  <c r="B62" i="2"/>
  <c r="B98" i="2"/>
  <c r="B61" i="2"/>
  <c r="B99" i="2"/>
  <c r="B100" i="2"/>
  <c r="B60" i="2"/>
  <c r="B101" i="2"/>
  <c r="B59" i="2"/>
  <c r="B58" i="2"/>
  <c r="B102" i="2"/>
  <c r="O80" i="2"/>
  <c r="O81" i="2"/>
  <c r="O79" i="2"/>
  <c r="O78" i="2"/>
  <c r="O82" i="2"/>
  <c r="O77" i="2"/>
  <c r="O83" i="2"/>
  <c r="O76" i="2"/>
  <c r="O84" i="2"/>
  <c r="O75" i="2"/>
  <c r="O85" i="2"/>
  <c r="O74" i="2"/>
  <c r="O86" i="2"/>
  <c r="O73" i="2"/>
  <c r="O87" i="2"/>
  <c r="O72" i="2"/>
  <c r="O88" i="2"/>
  <c r="O89" i="2"/>
  <c r="O71" i="2"/>
  <c r="O90" i="2"/>
  <c r="O70" i="2"/>
  <c r="O69" i="2"/>
  <c r="O91" i="2"/>
  <c r="O68" i="2"/>
  <c r="O92" i="2"/>
  <c r="O67" i="2"/>
  <c r="O93" i="2"/>
  <c r="O66" i="2"/>
  <c r="O94" i="2"/>
  <c r="O95" i="2"/>
  <c r="O65" i="2"/>
  <c r="O96" i="2"/>
  <c r="O64" i="2"/>
  <c r="O97" i="2"/>
  <c r="O63" i="2"/>
  <c r="O62" i="2"/>
  <c r="O98" i="2"/>
  <c r="O99" i="2"/>
  <c r="O61" i="2"/>
  <c r="O60" i="2"/>
  <c r="O100" i="2"/>
  <c r="O101" i="2"/>
  <c r="O59" i="2"/>
  <c r="O102" i="2"/>
  <c r="O58" i="2"/>
  <c r="AH4" i="5"/>
  <c r="AG52" i="5"/>
  <c r="AG28" i="5"/>
  <c r="AG29" i="5"/>
  <c r="AG27" i="5"/>
  <c r="AG30" i="5"/>
  <c r="AG26" i="5"/>
  <c r="AG31" i="5"/>
  <c r="AG25" i="5"/>
  <c r="AG32" i="5"/>
  <c r="AG24" i="5"/>
  <c r="AG23" i="5"/>
  <c r="AG33" i="5"/>
  <c r="AG34" i="5"/>
  <c r="AG22" i="5"/>
  <c r="AG35" i="5"/>
  <c r="AG21" i="5"/>
  <c r="AG36" i="5"/>
  <c r="AG20" i="5"/>
  <c r="AG19" i="5"/>
  <c r="AG37" i="5"/>
  <c r="AG38" i="5"/>
  <c r="AG18" i="5"/>
  <c r="AG17" i="5"/>
  <c r="AG39" i="5"/>
  <c r="AG40" i="5"/>
  <c r="AG16" i="5"/>
  <c r="AG15" i="5"/>
  <c r="AG41" i="5"/>
  <c r="AG14" i="5"/>
  <c r="AG42" i="5"/>
  <c r="AG43" i="5"/>
  <c r="AG13" i="5"/>
  <c r="AG44" i="5"/>
  <c r="AG12" i="5"/>
  <c r="AG45" i="5"/>
  <c r="AG11" i="5"/>
  <c r="AG46" i="5"/>
  <c r="AG10" i="5"/>
  <c r="AG47" i="5"/>
  <c r="AG9" i="5"/>
  <c r="AG8" i="5"/>
  <c r="AG48" i="5"/>
  <c r="AG49" i="5"/>
  <c r="AG7" i="5"/>
  <c r="AG6" i="5"/>
  <c r="AG50" i="5"/>
  <c r="AG5" i="5"/>
  <c r="AG51" i="5"/>
  <c r="D80" i="2"/>
  <c r="D81" i="2"/>
  <c r="D79" i="2"/>
  <c r="D78" i="2"/>
  <c r="D82" i="2"/>
  <c r="D83" i="2"/>
  <c r="D77" i="2"/>
  <c r="D84" i="2"/>
  <c r="D76" i="2"/>
  <c r="D75" i="2"/>
  <c r="D85" i="2"/>
  <c r="D74" i="2"/>
  <c r="D86" i="2"/>
  <c r="D73" i="2"/>
  <c r="D87" i="2"/>
  <c r="D88" i="2"/>
  <c r="D72" i="2"/>
  <c r="D71" i="2"/>
  <c r="D89" i="2"/>
  <c r="D90" i="2"/>
  <c r="D70" i="2"/>
  <c r="D91" i="2"/>
  <c r="D69" i="2"/>
  <c r="D92" i="2"/>
  <c r="D68" i="2"/>
  <c r="D67" i="2"/>
  <c r="D93" i="2"/>
  <c r="D66" i="2"/>
  <c r="D94" i="2"/>
  <c r="D65" i="2"/>
  <c r="D95" i="2"/>
  <c r="D64" i="2"/>
  <c r="D96" i="2"/>
  <c r="D97" i="2"/>
  <c r="D63" i="2"/>
  <c r="D98" i="2"/>
  <c r="D62" i="2"/>
  <c r="D99" i="2"/>
  <c r="D61" i="2"/>
  <c r="D100" i="2"/>
  <c r="D60" i="2"/>
  <c r="D59" i="2"/>
  <c r="D101" i="2"/>
  <c r="D102" i="2"/>
  <c r="D58" i="2"/>
  <c r="H80" i="2"/>
  <c r="H81" i="2"/>
  <c r="H79" i="2"/>
  <c r="H78" i="2"/>
  <c r="H82" i="2"/>
  <c r="H83" i="2"/>
  <c r="H77" i="2"/>
  <c r="H84" i="2"/>
  <c r="H76" i="2"/>
  <c r="H75" i="2"/>
  <c r="H85" i="2"/>
  <c r="H74" i="2"/>
  <c r="H86" i="2"/>
  <c r="H87" i="2"/>
  <c r="H73" i="2"/>
  <c r="H88" i="2"/>
  <c r="H72" i="2"/>
  <c r="H89" i="2"/>
  <c r="H71" i="2"/>
  <c r="H90" i="2"/>
  <c r="H70" i="2"/>
  <c r="H91" i="2"/>
  <c r="H69" i="2"/>
  <c r="H92" i="2"/>
  <c r="H68" i="2"/>
  <c r="H93" i="2"/>
  <c r="H67" i="2"/>
  <c r="H66" i="2"/>
  <c r="H94" i="2"/>
  <c r="H65" i="2"/>
  <c r="H95" i="2"/>
  <c r="H64" i="2"/>
  <c r="H96" i="2"/>
  <c r="H63" i="2"/>
  <c r="H97" i="2"/>
  <c r="H62" i="2"/>
  <c r="H98" i="2"/>
  <c r="H99" i="2"/>
  <c r="H61" i="2"/>
  <c r="H60" i="2"/>
  <c r="H100" i="2"/>
  <c r="H59" i="2"/>
  <c r="H101" i="2"/>
  <c r="H102" i="2"/>
  <c r="H58" i="2"/>
  <c r="P80" i="2"/>
  <c r="P81" i="2"/>
  <c r="P79" i="2"/>
  <c r="P82" i="2"/>
  <c r="P78" i="2"/>
  <c r="P83" i="2"/>
  <c r="P77" i="2"/>
  <c r="P76" i="2"/>
  <c r="P84" i="2"/>
  <c r="P75" i="2"/>
  <c r="P85" i="2"/>
  <c r="P86" i="2"/>
  <c r="P74" i="2"/>
  <c r="P87" i="2"/>
  <c r="P73" i="2"/>
  <c r="P88" i="2"/>
  <c r="P72" i="2"/>
  <c r="P71" i="2"/>
  <c r="P89" i="2"/>
  <c r="P90" i="2"/>
  <c r="P70" i="2"/>
  <c r="P69" i="2"/>
  <c r="P91" i="2"/>
  <c r="P68" i="2"/>
  <c r="P92" i="2"/>
  <c r="P93" i="2"/>
  <c r="P67" i="2"/>
  <c r="P94" i="2"/>
  <c r="P66" i="2"/>
  <c r="P95" i="2"/>
  <c r="P65" i="2"/>
  <c r="P64" i="2"/>
  <c r="P96" i="2"/>
  <c r="P97" i="2"/>
  <c r="P63" i="2"/>
  <c r="P98" i="2"/>
  <c r="P62" i="2"/>
  <c r="P99" i="2"/>
  <c r="P61" i="2"/>
  <c r="P60" i="2"/>
  <c r="P100" i="2"/>
  <c r="P59" i="2"/>
  <c r="P101" i="2"/>
  <c r="P102" i="2"/>
  <c r="P58" i="2"/>
  <c r="M80" i="2"/>
  <c r="M81" i="2"/>
  <c r="M79" i="2"/>
  <c r="M78" i="2"/>
  <c r="M82" i="2"/>
  <c r="M77" i="2"/>
  <c r="M83" i="2"/>
  <c r="M76" i="2"/>
  <c r="M84" i="2"/>
  <c r="M75" i="2"/>
  <c r="M85" i="2"/>
  <c r="M86" i="2"/>
  <c r="M74" i="2"/>
  <c r="M73" i="2"/>
  <c r="M87" i="2"/>
  <c r="M88" i="2"/>
  <c r="M72" i="2"/>
  <c r="M71" i="2"/>
  <c r="M89" i="2"/>
  <c r="M70" i="2"/>
  <c r="M90" i="2"/>
  <c r="M69" i="2"/>
  <c r="M91" i="2"/>
  <c r="M92" i="2"/>
  <c r="M68" i="2"/>
  <c r="M93" i="2"/>
  <c r="M67" i="2"/>
  <c r="M94" i="2"/>
  <c r="M66" i="2"/>
  <c r="M65" i="2"/>
  <c r="M95" i="2"/>
  <c r="M64" i="2"/>
  <c r="M96" i="2"/>
  <c r="M63" i="2"/>
  <c r="M97" i="2"/>
  <c r="M98" i="2"/>
  <c r="M62" i="2"/>
  <c r="M99" i="2"/>
  <c r="M61" i="2"/>
  <c r="M100" i="2"/>
  <c r="M60" i="2"/>
  <c r="M59" i="2"/>
  <c r="M101" i="2"/>
  <c r="M102" i="2"/>
  <c r="M58" i="2"/>
  <c r="Q80" i="2"/>
  <c r="Q79" i="2"/>
  <c r="Q81" i="2"/>
  <c r="Q78" i="2"/>
  <c r="Q82" i="2"/>
  <c r="Q77" i="2"/>
  <c r="Q83" i="2"/>
  <c r="Q76" i="2"/>
  <c r="Q84" i="2"/>
  <c r="Q85" i="2"/>
  <c r="Q75" i="2"/>
  <c r="Q74" i="2"/>
  <c r="Q86" i="2"/>
  <c r="Q87" i="2"/>
  <c r="Q73" i="2"/>
  <c r="Q72" i="2"/>
  <c r="Q88" i="2"/>
  <c r="Q71" i="2"/>
  <c r="Q89" i="2"/>
  <c r="Q90" i="2"/>
  <c r="Q70" i="2"/>
  <c r="Q69" i="2"/>
  <c r="Q91" i="2"/>
  <c r="Q68" i="2"/>
  <c r="Q92" i="2"/>
  <c r="Q93" i="2"/>
  <c r="Q67" i="2"/>
  <c r="Q94" i="2"/>
  <c r="Q66" i="2"/>
  <c r="Q65" i="2"/>
  <c r="Q95" i="2"/>
  <c r="Q96" i="2"/>
  <c r="Q64" i="2"/>
  <c r="Q63" i="2"/>
  <c r="Q97" i="2"/>
  <c r="Q98" i="2"/>
  <c r="Q62" i="2"/>
  <c r="Q61" i="2"/>
  <c r="Q99" i="2"/>
  <c r="Q100" i="2"/>
  <c r="Q60" i="2"/>
  <c r="Q59" i="2"/>
  <c r="Q101" i="2"/>
  <c r="Q102" i="2"/>
  <c r="Q58" i="2"/>
  <c r="U80" i="2"/>
  <c r="U81" i="2"/>
  <c r="U79" i="2"/>
  <c r="U78" i="2"/>
  <c r="U82" i="2"/>
  <c r="U77" i="2"/>
  <c r="U83" i="2"/>
  <c r="U76" i="2"/>
  <c r="U84" i="2"/>
  <c r="U75" i="2"/>
  <c r="U85" i="2"/>
  <c r="U74" i="2"/>
  <c r="U86" i="2"/>
  <c r="U73" i="2"/>
  <c r="U87" i="2"/>
  <c r="U88" i="2"/>
  <c r="U72" i="2"/>
  <c r="U71" i="2"/>
  <c r="U89" i="2"/>
  <c r="U90" i="2"/>
  <c r="U70" i="2"/>
  <c r="U91" i="2"/>
  <c r="U69" i="2"/>
  <c r="U68" i="2"/>
  <c r="U92" i="2"/>
  <c r="U93" i="2"/>
  <c r="U67" i="2"/>
  <c r="U94" i="2"/>
  <c r="U66" i="2"/>
  <c r="U65" i="2"/>
  <c r="U95" i="2"/>
  <c r="U64" i="2"/>
  <c r="U96" i="2"/>
  <c r="U63" i="2"/>
  <c r="U97" i="2"/>
  <c r="U98" i="2"/>
  <c r="U62" i="2"/>
  <c r="U99" i="2"/>
  <c r="U61" i="2"/>
  <c r="U60" i="2"/>
  <c r="U100" i="2"/>
  <c r="U59" i="2"/>
  <c r="U101" i="2"/>
  <c r="U102" i="2"/>
  <c r="U58" i="2"/>
  <c r="V80" i="2"/>
  <c r="V81" i="2"/>
  <c r="V79" i="2"/>
  <c r="V78" i="2"/>
  <c r="V82" i="2"/>
  <c r="V83" i="2"/>
  <c r="V77" i="2"/>
  <c r="V84" i="2"/>
  <c r="V76" i="2"/>
  <c r="V85" i="2"/>
  <c r="V75" i="2"/>
  <c r="V74" i="2"/>
  <c r="V86" i="2"/>
  <c r="V73" i="2"/>
  <c r="V87" i="2"/>
  <c r="V88" i="2"/>
  <c r="V72" i="2"/>
  <c r="V89" i="2"/>
  <c r="V71" i="2"/>
  <c r="V90" i="2"/>
  <c r="V70" i="2"/>
  <c r="V69" i="2"/>
  <c r="V91" i="2"/>
  <c r="V68" i="2"/>
  <c r="V92" i="2"/>
  <c r="V93" i="2"/>
  <c r="V67" i="2"/>
  <c r="V66" i="2"/>
  <c r="V94" i="2"/>
  <c r="V65" i="2"/>
  <c r="V95" i="2"/>
  <c r="V64" i="2"/>
  <c r="V96" i="2"/>
  <c r="V97" i="2"/>
  <c r="V63" i="2"/>
  <c r="V98" i="2"/>
  <c r="V62" i="2"/>
  <c r="V99" i="2"/>
  <c r="V61" i="2"/>
  <c r="V100" i="2"/>
  <c r="V60" i="2"/>
  <c r="V101" i="2"/>
  <c r="V59" i="2"/>
  <c r="V102" i="2"/>
  <c r="V58" i="2"/>
  <c r="C80" i="2"/>
  <c r="C81" i="2"/>
  <c r="C79" i="2"/>
  <c r="C82" i="2"/>
  <c r="C78" i="2"/>
  <c r="C77" i="2"/>
  <c r="C83" i="2"/>
  <c r="C76" i="2"/>
  <c r="C84" i="2"/>
  <c r="C75" i="2"/>
  <c r="C85" i="2"/>
  <c r="C74" i="2"/>
  <c r="C86" i="2"/>
  <c r="C87" i="2"/>
  <c r="C73" i="2"/>
  <c r="C88" i="2"/>
  <c r="C72" i="2"/>
  <c r="C71" i="2"/>
  <c r="C89" i="2"/>
  <c r="C90" i="2"/>
  <c r="C70" i="2"/>
  <c r="C91" i="2"/>
  <c r="C69" i="2"/>
  <c r="C68" i="2"/>
  <c r="C92" i="2"/>
  <c r="C67" i="2"/>
  <c r="C93" i="2"/>
  <c r="C66" i="2"/>
  <c r="C94" i="2"/>
  <c r="C95" i="2"/>
  <c r="C65" i="2"/>
  <c r="C64" i="2"/>
  <c r="C96" i="2"/>
  <c r="C97" i="2"/>
  <c r="C63" i="2"/>
  <c r="C98" i="2"/>
  <c r="C62" i="2"/>
  <c r="C61" i="2"/>
  <c r="C99" i="2"/>
  <c r="C100" i="2"/>
  <c r="C60" i="2"/>
  <c r="C59" i="2"/>
  <c r="C101" i="2"/>
  <c r="C102" i="2"/>
  <c r="C58" i="2"/>
  <c r="G80" i="2"/>
  <c r="G81" i="2"/>
  <c r="G79" i="2"/>
  <c r="G82" i="2"/>
  <c r="G78" i="2"/>
  <c r="G83" i="2"/>
  <c r="G77" i="2"/>
  <c r="G84" i="2"/>
  <c r="G76" i="2"/>
  <c r="G75" i="2"/>
  <c r="G85" i="2"/>
  <c r="G86" i="2"/>
  <c r="G74" i="2"/>
  <c r="G73" i="2"/>
  <c r="G87" i="2"/>
  <c r="G88" i="2"/>
  <c r="G72" i="2"/>
  <c r="G71" i="2"/>
  <c r="G89" i="2"/>
  <c r="G70" i="2"/>
  <c r="G90" i="2"/>
  <c r="G91" i="2"/>
  <c r="G69" i="2"/>
  <c r="G68" i="2"/>
  <c r="G92" i="2"/>
  <c r="G67" i="2"/>
  <c r="G93" i="2"/>
  <c r="G94" i="2"/>
  <c r="G66" i="2"/>
  <c r="G65" i="2"/>
  <c r="G95" i="2"/>
  <c r="G64" i="2"/>
  <c r="G96" i="2"/>
  <c r="G63" i="2"/>
  <c r="G97" i="2"/>
  <c r="G98" i="2"/>
  <c r="G62" i="2"/>
  <c r="G99" i="2"/>
  <c r="G61" i="2"/>
  <c r="G100" i="2"/>
  <c r="G60" i="2"/>
  <c r="G59" i="2"/>
  <c r="G101" i="2"/>
  <c r="G58" i="2"/>
  <c r="G102" i="2"/>
  <c r="K80" i="2"/>
  <c r="K79" i="2"/>
  <c r="K81" i="2"/>
  <c r="K78" i="2"/>
  <c r="K82" i="2"/>
  <c r="K77" i="2"/>
  <c r="K83" i="2"/>
  <c r="K84" i="2"/>
  <c r="K76" i="2"/>
  <c r="K85" i="2"/>
  <c r="K75" i="2"/>
  <c r="K74" i="2"/>
  <c r="K86" i="2"/>
  <c r="K87" i="2"/>
  <c r="K73" i="2"/>
  <c r="K88" i="2"/>
  <c r="K72" i="2"/>
  <c r="K71" i="2"/>
  <c r="K89" i="2"/>
  <c r="K70" i="2"/>
  <c r="K90" i="2"/>
  <c r="K91" i="2"/>
  <c r="K69" i="2"/>
  <c r="K68" i="2"/>
  <c r="K92" i="2"/>
  <c r="K93" i="2"/>
  <c r="K67" i="2"/>
  <c r="K94" i="2"/>
  <c r="K66" i="2"/>
  <c r="K65" i="2"/>
  <c r="K95" i="2"/>
  <c r="K64" i="2"/>
  <c r="K96" i="2"/>
  <c r="K97" i="2"/>
  <c r="K63" i="2"/>
  <c r="K98" i="2"/>
  <c r="K62" i="2"/>
  <c r="K99" i="2"/>
  <c r="K61" i="2"/>
  <c r="K60" i="2"/>
  <c r="K100" i="2"/>
  <c r="K59" i="2"/>
  <c r="K101" i="2"/>
  <c r="K102" i="2"/>
  <c r="K58" i="2"/>
  <c r="W80" i="2"/>
  <c r="W79" i="2"/>
  <c r="W81" i="2"/>
  <c r="W82" i="2"/>
  <c r="W78" i="2"/>
  <c r="W77" i="2"/>
  <c r="W83" i="2"/>
  <c r="W76" i="2"/>
  <c r="W84" i="2"/>
  <c r="W85" i="2"/>
  <c r="W75" i="2"/>
  <c r="W74" i="2"/>
  <c r="W86" i="2"/>
  <c r="W87" i="2"/>
  <c r="W73" i="2"/>
  <c r="W88" i="2"/>
  <c r="W72" i="2"/>
  <c r="W71" i="2"/>
  <c r="W89" i="2"/>
  <c r="W90" i="2"/>
  <c r="W70" i="2"/>
  <c r="W91" i="2"/>
  <c r="W69" i="2"/>
  <c r="W68" i="2"/>
  <c r="W92" i="2"/>
  <c r="W67" i="2"/>
  <c r="W93" i="2"/>
  <c r="W94" i="2"/>
  <c r="W66" i="2"/>
  <c r="W65" i="2"/>
  <c r="W95" i="2"/>
  <c r="W96" i="2"/>
  <c r="W64" i="2"/>
  <c r="W63" i="2"/>
  <c r="W97" i="2"/>
  <c r="W98" i="2"/>
  <c r="W62" i="2"/>
  <c r="W99" i="2"/>
  <c r="W61" i="2"/>
  <c r="W60" i="2"/>
  <c r="W100" i="2"/>
  <c r="W59" i="2"/>
  <c r="W101" i="2"/>
  <c r="W58" i="2"/>
  <c r="W102" i="2"/>
  <c r="T80" i="2"/>
  <c r="T79" i="2"/>
  <c r="T81" i="2"/>
  <c r="T78" i="2"/>
  <c r="T82" i="2"/>
  <c r="T83" i="2"/>
  <c r="T77" i="2"/>
  <c r="T76" i="2"/>
  <c r="T84" i="2"/>
  <c r="T75" i="2"/>
  <c r="T85" i="2"/>
  <c r="T86" i="2"/>
  <c r="T74" i="2"/>
  <c r="T87" i="2"/>
  <c r="T73" i="2"/>
  <c r="T72" i="2"/>
  <c r="T88" i="2"/>
  <c r="T89" i="2"/>
  <c r="T71" i="2"/>
  <c r="T70" i="2"/>
  <c r="T90" i="2"/>
  <c r="T69" i="2"/>
  <c r="T91" i="2"/>
  <c r="T68" i="2"/>
  <c r="T92" i="2"/>
  <c r="T67" i="2"/>
  <c r="T93" i="2"/>
  <c r="T94" i="2"/>
  <c r="T66" i="2"/>
  <c r="T95" i="2"/>
  <c r="T65" i="2"/>
  <c r="T96" i="2"/>
  <c r="T64" i="2"/>
  <c r="T97" i="2"/>
  <c r="T63" i="2"/>
  <c r="T98" i="2"/>
  <c r="T62" i="2"/>
  <c r="T99" i="2"/>
  <c r="T61" i="2"/>
  <c r="T60" i="2"/>
  <c r="T100" i="2"/>
  <c r="T101" i="2"/>
  <c r="T59" i="2"/>
  <c r="T102" i="2"/>
  <c r="T58" i="2"/>
  <c r="X54" i="5"/>
  <c r="Z52" i="1"/>
  <c r="F80" i="2"/>
  <c r="F79" i="2"/>
  <c r="F81" i="2"/>
  <c r="F82" i="2"/>
  <c r="F78" i="2"/>
  <c r="F83" i="2"/>
  <c r="F77" i="2"/>
  <c r="F84" i="2"/>
  <c r="F76" i="2"/>
  <c r="F85" i="2"/>
  <c r="F75" i="2"/>
  <c r="F74" i="2"/>
  <c r="F86" i="2"/>
  <c r="F73" i="2"/>
  <c r="F87" i="2"/>
  <c r="F88" i="2"/>
  <c r="F72" i="2"/>
  <c r="F89" i="2"/>
  <c r="F71" i="2"/>
  <c r="F90" i="2"/>
  <c r="F70" i="2"/>
  <c r="F69" i="2"/>
  <c r="F91" i="2"/>
  <c r="F92" i="2"/>
  <c r="F68" i="2"/>
  <c r="F93" i="2"/>
  <c r="F67" i="2"/>
  <c r="F94" i="2"/>
  <c r="F66" i="2"/>
  <c r="F95" i="2"/>
  <c r="F65" i="2"/>
  <c r="F96" i="2"/>
  <c r="F64" i="2"/>
  <c r="F97" i="2"/>
  <c r="F63" i="2"/>
  <c r="F62" i="2"/>
  <c r="F98" i="2"/>
  <c r="F61" i="2"/>
  <c r="F99" i="2"/>
  <c r="F100" i="2"/>
  <c r="F60" i="2"/>
  <c r="F59" i="2"/>
  <c r="F101" i="2"/>
  <c r="F58" i="2"/>
  <c r="F102" i="2"/>
  <c r="J80" i="2"/>
  <c r="J79" i="2"/>
  <c r="J81" i="2"/>
  <c r="J82" i="2"/>
  <c r="J78" i="2"/>
  <c r="J83" i="2"/>
  <c r="J77" i="2"/>
  <c r="J76" i="2"/>
  <c r="J84" i="2"/>
  <c r="J75" i="2"/>
  <c r="J85" i="2"/>
  <c r="J86" i="2"/>
  <c r="J74" i="2"/>
  <c r="J87" i="2"/>
  <c r="J73" i="2"/>
  <c r="J72" i="2"/>
  <c r="J88" i="2"/>
  <c r="J71" i="2"/>
  <c r="J89" i="2"/>
  <c r="J90" i="2"/>
  <c r="J70" i="2"/>
  <c r="J91" i="2"/>
  <c r="J69" i="2"/>
  <c r="J68" i="2"/>
  <c r="J92" i="2"/>
  <c r="J93" i="2"/>
  <c r="J67" i="2"/>
  <c r="J94" i="2"/>
  <c r="J66" i="2"/>
  <c r="J65" i="2"/>
  <c r="J95" i="2"/>
  <c r="J64" i="2"/>
  <c r="J96" i="2"/>
  <c r="J97" i="2"/>
  <c r="J63" i="2"/>
  <c r="J62" i="2"/>
  <c r="J98" i="2"/>
  <c r="J61" i="2"/>
  <c r="J99" i="2"/>
  <c r="J60" i="2"/>
  <c r="J100" i="2"/>
  <c r="J101" i="2"/>
  <c r="J59" i="2"/>
  <c r="J58" i="2"/>
  <c r="J102" i="2"/>
  <c r="R80" i="2"/>
  <c r="R81" i="2"/>
  <c r="R79" i="2"/>
  <c r="R82" i="2"/>
  <c r="R78" i="2"/>
  <c r="R77" i="2"/>
  <c r="R83" i="2"/>
  <c r="R76" i="2"/>
  <c r="R84" i="2"/>
  <c r="R75" i="2"/>
  <c r="R85" i="2"/>
  <c r="R74" i="2"/>
  <c r="R86" i="2"/>
  <c r="R73" i="2"/>
  <c r="R87" i="2"/>
  <c r="R72" i="2"/>
  <c r="R88" i="2"/>
  <c r="R71" i="2"/>
  <c r="R89" i="2"/>
  <c r="R90" i="2"/>
  <c r="R70" i="2"/>
  <c r="R69" i="2"/>
  <c r="R91" i="2"/>
  <c r="R92" i="2"/>
  <c r="R68" i="2"/>
  <c r="R93" i="2"/>
  <c r="R67" i="2"/>
  <c r="R66" i="2"/>
  <c r="R94" i="2"/>
  <c r="R65" i="2"/>
  <c r="R95" i="2"/>
  <c r="R64" i="2"/>
  <c r="R96" i="2"/>
  <c r="R97" i="2"/>
  <c r="R63" i="2"/>
  <c r="R98" i="2"/>
  <c r="R62" i="2"/>
  <c r="R99" i="2"/>
  <c r="R61" i="2"/>
  <c r="R100" i="2"/>
  <c r="R60" i="2"/>
  <c r="R101" i="2"/>
  <c r="R59" i="2"/>
  <c r="R58" i="2"/>
  <c r="R102" i="2"/>
  <c r="AG52" i="1"/>
  <c r="AH4" i="1"/>
  <c r="AG28" i="1"/>
  <c r="AG29" i="1"/>
  <c r="AG27" i="1"/>
  <c r="AG26" i="1"/>
  <c r="AG30" i="1"/>
  <c r="AG25" i="1"/>
  <c r="AG31" i="1"/>
  <c r="AG24" i="1"/>
  <c r="AG32" i="1"/>
  <c r="AG23" i="1"/>
  <c r="AG33" i="1"/>
  <c r="AG34" i="1"/>
  <c r="AG22" i="1"/>
  <c r="AG35" i="1"/>
  <c r="AG21" i="1"/>
  <c r="AG36" i="1"/>
  <c r="AG20" i="1"/>
  <c r="AG19" i="1"/>
  <c r="AG37" i="1"/>
  <c r="AG38" i="1"/>
  <c r="AG18" i="1"/>
  <c r="AG39" i="1"/>
  <c r="AG17" i="1"/>
  <c r="AG16" i="1"/>
  <c r="AG40" i="1"/>
  <c r="AG15" i="1"/>
  <c r="AG41" i="1"/>
  <c r="AG42" i="1"/>
  <c r="AG14" i="1"/>
  <c r="AG13" i="1"/>
  <c r="AG43" i="1"/>
  <c r="AG44" i="1"/>
  <c r="AG12" i="1"/>
  <c r="AG45" i="1"/>
  <c r="AG11" i="1"/>
  <c r="AG10" i="1"/>
  <c r="AG46" i="1"/>
  <c r="AG47" i="1"/>
  <c r="AG9" i="1"/>
  <c r="AG48" i="1"/>
  <c r="AG8" i="1"/>
  <c r="AG7" i="1"/>
  <c r="AG49" i="1"/>
  <c r="AG6" i="1"/>
  <c r="AG50" i="1"/>
  <c r="AG5" i="1"/>
  <c r="AG51" i="1"/>
  <c r="X53" i="2"/>
  <c r="Y5" i="2"/>
  <c r="X55" i="2"/>
  <c r="N80" i="2"/>
  <c r="N81" i="2"/>
  <c r="N79" i="2"/>
  <c r="N78" i="2"/>
  <c r="N82" i="2"/>
  <c r="N83" i="2"/>
  <c r="N77" i="2"/>
  <c r="N76" i="2"/>
  <c r="N84" i="2"/>
  <c r="N85" i="2"/>
  <c r="N75" i="2"/>
  <c r="N74" i="2"/>
  <c r="N86" i="2"/>
  <c r="N73" i="2"/>
  <c r="N87" i="2"/>
  <c r="N88" i="2"/>
  <c r="N72" i="2"/>
  <c r="N71" i="2"/>
  <c r="N89" i="2"/>
  <c r="N70" i="2"/>
  <c r="N90" i="2"/>
  <c r="N69" i="2"/>
  <c r="N91" i="2"/>
  <c r="N92" i="2"/>
  <c r="N68" i="2"/>
  <c r="N93" i="2"/>
  <c r="N67" i="2"/>
  <c r="N94" i="2"/>
  <c r="N66" i="2"/>
  <c r="N65" i="2"/>
  <c r="N95" i="2"/>
  <c r="N64" i="2"/>
  <c r="N96" i="2"/>
  <c r="N97" i="2"/>
  <c r="N63" i="2"/>
  <c r="N98" i="2"/>
  <c r="N62" i="2"/>
  <c r="N99" i="2"/>
  <c r="N61" i="2"/>
  <c r="N100" i="2"/>
  <c r="N60" i="2"/>
  <c r="N59" i="2"/>
  <c r="N101" i="2"/>
  <c r="N58" i="2"/>
  <c r="N102" i="2"/>
  <c r="S80" i="2"/>
  <c r="S81" i="2"/>
  <c r="S79" i="2"/>
  <c r="S82" i="2"/>
  <c r="S78" i="2"/>
  <c r="S77" i="2"/>
  <c r="S83" i="2"/>
  <c r="S84" i="2"/>
  <c r="S76" i="2"/>
  <c r="S75" i="2"/>
  <c r="S85" i="2"/>
  <c r="S74" i="2"/>
  <c r="S86" i="2"/>
  <c r="S87" i="2"/>
  <c r="S73" i="2"/>
  <c r="S72" i="2"/>
  <c r="S88" i="2"/>
  <c r="S89" i="2"/>
  <c r="S71" i="2"/>
  <c r="S70" i="2"/>
  <c r="S90" i="2"/>
  <c r="S91" i="2"/>
  <c r="S69" i="2"/>
  <c r="S92" i="2"/>
  <c r="S68" i="2"/>
  <c r="S93" i="2"/>
  <c r="S67" i="2"/>
  <c r="S66" i="2"/>
  <c r="S94" i="2"/>
  <c r="S65" i="2"/>
  <c r="S95" i="2"/>
  <c r="S96" i="2"/>
  <c r="S64" i="2"/>
  <c r="S63" i="2"/>
  <c r="S97" i="2"/>
  <c r="S62" i="2"/>
  <c r="S98" i="2"/>
  <c r="S99" i="2"/>
  <c r="S61" i="2"/>
  <c r="S100" i="2"/>
  <c r="S60" i="2"/>
  <c r="S59" i="2"/>
  <c r="S101" i="2"/>
  <c r="S58" i="2"/>
  <c r="S102" i="2"/>
  <c r="AA28" i="5"/>
  <c r="AA29" i="5"/>
  <c r="AA27" i="5"/>
  <c r="AA30" i="5"/>
  <c r="AA26" i="5"/>
  <c r="AA25" i="5"/>
  <c r="AA31" i="5"/>
  <c r="AA24" i="5"/>
  <c r="AA32" i="5"/>
  <c r="AA23" i="5"/>
  <c r="AA33" i="5"/>
  <c r="AA22" i="5"/>
  <c r="AA34" i="5"/>
  <c r="AA35" i="5"/>
  <c r="AA21" i="5"/>
  <c r="AA20" i="5"/>
  <c r="AA36" i="5"/>
  <c r="AA37" i="5"/>
  <c r="AA19" i="5"/>
  <c r="AA38" i="5"/>
  <c r="AA18" i="5"/>
  <c r="AA17" i="5"/>
  <c r="AA39" i="5"/>
  <c r="AA40" i="5"/>
  <c r="AA16" i="5"/>
  <c r="AA41" i="5"/>
  <c r="AA15" i="5"/>
  <c r="AA14" i="5"/>
  <c r="AA42" i="5"/>
  <c r="AA43" i="5"/>
  <c r="AA13" i="5"/>
  <c r="AA12" i="5"/>
  <c r="AA44" i="5"/>
  <c r="AA11" i="5"/>
  <c r="AA45" i="5"/>
  <c r="AA10" i="5"/>
  <c r="AA46" i="5"/>
  <c r="AA47" i="5"/>
  <c r="AA9" i="5"/>
  <c r="AA8" i="5"/>
  <c r="AA48" i="5"/>
  <c r="AA7" i="5"/>
  <c r="AA49" i="5"/>
  <c r="AA50" i="5"/>
  <c r="AA6" i="5"/>
  <c r="AA51" i="5"/>
  <c r="AA5" i="5"/>
  <c r="L80" i="2"/>
  <c r="L81" i="2"/>
  <c r="L79" i="2"/>
  <c r="L82" i="2"/>
  <c r="L78" i="2"/>
  <c r="L77" i="2"/>
  <c r="L83" i="2"/>
  <c r="L84" i="2"/>
  <c r="L76" i="2"/>
  <c r="L75" i="2"/>
  <c r="L85" i="2"/>
  <c r="L74" i="2"/>
  <c r="L86" i="2"/>
  <c r="L73" i="2"/>
  <c r="L87" i="2"/>
  <c r="L72" i="2"/>
  <c r="L88" i="2"/>
  <c r="L89" i="2"/>
  <c r="L71" i="2"/>
  <c r="L70" i="2"/>
  <c r="L90" i="2"/>
  <c r="L69" i="2"/>
  <c r="L91" i="2"/>
  <c r="L92" i="2"/>
  <c r="L68" i="2"/>
  <c r="L67" i="2"/>
  <c r="L93" i="2"/>
  <c r="L94" i="2"/>
  <c r="L66" i="2"/>
  <c r="L65" i="2"/>
  <c r="L95" i="2"/>
  <c r="L64" i="2"/>
  <c r="L96" i="2"/>
  <c r="L97" i="2"/>
  <c r="L63" i="2"/>
  <c r="L62" i="2"/>
  <c r="L98" i="2"/>
  <c r="L99" i="2"/>
  <c r="L61" i="2"/>
  <c r="L100" i="2"/>
  <c r="L60" i="2"/>
  <c r="L101" i="2"/>
  <c r="L59" i="2"/>
  <c r="L102" i="2"/>
  <c r="L58" i="2"/>
  <c r="B54" i="2" l="1"/>
  <c r="N54" i="2"/>
  <c r="E54" i="2"/>
  <c r="G54" i="2"/>
  <c r="C54" i="2"/>
  <c r="M54" i="2"/>
  <c r="L54" i="2"/>
  <c r="AA52" i="5"/>
  <c r="Y4" i="2"/>
  <c r="Y52" i="2"/>
  <c r="R54" i="2"/>
  <c r="T54" i="2"/>
  <c r="V54" i="2"/>
  <c r="P54" i="2"/>
  <c r="X114" i="2"/>
  <c r="X104" i="2"/>
  <c r="X117" i="2"/>
  <c r="X108" i="2"/>
  <c r="AI4" i="1"/>
  <c r="AH52" i="1"/>
  <c r="AH28" i="1"/>
  <c r="AH27" i="1"/>
  <c r="AH29" i="1"/>
  <c r="AH26" i="1"/>
  <c r="AH30" i="1"/>
  <c r="AH25" i="1"/>
  <c r="AH31" i="1"/>
  <c r="AH24" i="1"/>
  <c r="AH32" i="1"/>
  <c r="AH23" i="1"/>
  <c r="AH33" i="1"/>
  <c r="AH22" i="1"/>
  <c r="AH34" i="1"/>
  <c r="AH21" i="1"/>
  <c r="AH35" i="1"/>
  <c r="AH36" i="1"/>
  <c r="AH20" i="1"/>
  <c r="AH19" i="1"/>
  <c r="AH37" i="1"/>
  <c r="AH38" i="1"/>
  <c r="AH18" i="1"/>
  <c r="AH17" i="1"/>
  <c r="AH39" i="1"/>
  <c r="AH40" i="1"/>
  <c r="AH16" i="1"/>
  <c r="AH41" i="1"/>
  <c r="AH15" i="1"/>
  <c r="AH14" i="1"/>
  <c r="AH42" i="1"/>
  <c r="AH43" i="1"/>
  <c r="AH13" i="1"/>
  <c r="AH12" i="1"/>
  <c r="AH44" i="1"/>
  <c r="AH11" i="1"/>
  <c r="AH45" i="1"/>
  <c r="AH46" i="1"/>
  <c r="AH10" i="1"/>
  <c r="AH9" i="1"/>
  <c r="AH47" i="1"/>
  <c r="AH8" i="1"/>
  <c r="AH48" i="1"/>
  <c r="AH49" i="1"/>
  <c r="AH7" i="1"/>
  <c r="AH50" i="1"/>
  <c r="AH6" i="1"/>
  <c r="AH51" i="1"/>
  <c r="AH5" i="1"/>
  <c r="J54" i="2"/>
  <c r="W54" i="2"/>
  <c r="K54" i="2"/>
  <c r="U54" i="2"/>
  <c r="H54" i="2"/>
  <c r="O54" i="2"/>
  <c r="X115" i="2"/>
  <c r="X107" i="2"/>
  <c r="X112" i="2"/>
  <c r="S54" i="2"/>
  <c r="F54" i="2"/>
  <c r="Q54" i="2"/>
  <c r="D54" i="2"/>
  <c r="X111" i="2"/>
  <c r="X116" i="2"/>
  <c r="X110" i="2"/>
  <c r="I54" i="2"/>
  <c r="X80" i="2"/>
  <c r="X81" i="2"/>
  <c r="X79" i="2"/>
  <c r="X82" i="2"/>
  <c r="X78" i="2"/>
  <c r="X77" i="2"/>
  <c r="X83" i="2"/>
  <c r="X84" i="2"/>
  <c r="X76" i="2"/>
  <c r="X85" i="2"/>
  <c r="X75" i="2"/>
  <c r="X86" i="2"/>
  <c r="X74" i="2"/>
  <c r="X87" i="2"/>
  <c r="X73" i="2"/>
  <c r="X88" i="2"/>
  <c r="X72" i="2"/>
  <c r="X89" i="2"/>
  <c r="X71" i="2"/>
  <c r="X70" i="2"/>
  <c r="X90" i="2"/>
  <c r="X69" i="2"/>
  <c r="X91" i="2"/>
  <c r="X92" i="2"/>
  <c r="X68" i="2"/>
  <c r="X93" i="2"/>
  <c r="X67" i="2"/>
  <c r="X94" i="2"/>
  <c r="X66" i="2"/>
  <c r="X65" i="2"/>
  <c r="X95" i="2"/>
  <c r="X64" i="2"/>
  <c r="X96" i="2"/>
  <c r="X97" i="2"/>
  <c r="X63" i="2"/>
  <c r="X98" i="2"/>
  <c r="X62" i="2"/>
  <c r="X61" i="2"/>
  <c r="X99" i="2"/>
  <c r="X100" i="2"/>
  <c r="X60" i="2"/>
  <c r="X59" i="2"/>
  <c r="X101" i="2"/>
  <c r="X102" i="2"/>
  <c r="X58" i="2"/>
  <c r="AI4" i="5"/>
  <c r="AH52" i="5"/>
  <c r="AH28" i="5"/>
  <c r="AH29" i="5"/>
  <c r="AH27" i="5"/>
  <c r="AH30" i="5"/>
  <c r="AH26" i="5"/>
  <c r="AH25" i="5"/>
  <c r="AH31" i="5"/>
  <c r="AH24" i="5"/>
  <c r="AH32" i="5"/>
  <c r="AH33" i="5"/>
  <c r="AH23" i="5"/>
  <c r="AH34" i="5"/>
  <c r="AH22" i="5"/>
  <c r="AH21" i="5"/>
  <c r="AH35" i="5"/>
  <c r="AH20" i="5"/>
  <c r="AH36" i="5"/>
  <c r="AH37" i="5"/>
  <c r="AH19" i="5"/>
  <c r="AH18" i="5"/>
  <c r="AH38" i="5"/>
  <c r="AH17" i="5"/>
  <c r="AH39" i="5"/>
  <c r="AH40" i="5"/>
  <c r="AH16" i="5"/>
  <c r="AH41" i="5"/>
  <c r="AH15" i="5"/>
  <c r="AH14" i="5"/>
  <c r="AH42" i="5"/>
  <c r="AH43" i="5"/>
  <c r="AH13" i="5"/>
  <c r="AH12" i="5"/>
  <c r="AH44" i="5"/>
  <c r="AH11" i="5"/>
  <c r="AH45" i="5"/>
  <c r="AH10" i="5"/>
  <c r="AH46" i="5"/>
  <c r="AH9" i="5"/>
  <c r="AH47" i="5"/>
  <c r="AH8" i="5"/>
  <c r="AH48" i="5"/>
  <c r="AH7" i="5"/>
  <c r="AH49" i="5"/>
  <c r="AH6" i="5"/>
  <c r="AH50" i="5"/>
  <c r="AH51" i="5"/>
  <c r="AH5" i="5"/>
  <c r="X106" i="2"/>
  <c r="X113" i="2"/>
  <c r="X109" i="2"/>
  <c r="X105" i="2"/>
  <c r="AJ4" i="5" l="1"/>
  <c r="AI52" i="5"/>
  <c r="AI28" i="5"/>
  <c r="AI29" i="5"/>
  <c r="AI27" i="5"/>
  <c r="AI26" i="5"/>
  <c r="AI30" i="5"/>
  <c r="AI31" i="5"/>
  <c r="AI25" i="5"/>
  <c r="AI24" i="5"/>
  <c r="AI32" i="5"/>
  <c r="AI23" i="5"/>
  <c r="AI33" i="5"/>
  <c r="AI34" i="5"/>
  <c r="AI22" i="5"/>
  <c r="AI35" i="5"/>
  <c r="AI21" i="5"/>
  <c r="AI36" i="5"/>
  <c r="AI20" i="5"/>
  <c r="AI19" i="5"/>
  <c r="AI37" i="5"/>
  <c r="AI38" i="5"/>
  <c r="AI18" i="5"/>
  <c r="AI17" i="5"/>
  <c r="AI39" i="5"/>
  <c r="AI16" i="5"/>
  <c r="AI40" i="5"/>
  <c r="AI41" i="5"/>
  <c r="AI15" i="5"/>
  <c r="AI14" i="5"/>
  <c r="AI42" i="5"/>
  <c r="AI43" i="5"/>
  <c r="AI13" i="5"/>
  <c r="AI44" i="5"/>
  <c r="AI12" i="5"/>
  <c r="AI45" i="5"/>
  <c r="AI11" i="5"/>
  <c r="AI46" i="5"/>
  <c r="AI10" i="5"/>
  <c r="AI9" i="5"/>
  <c r="AI47" i="5"/>
  <c r="AI8" i="5"/>
  <c r="AI48" i="5"/>
  <c r="AI49" i="5"/>
  <c r="AI7" i="5"/>
  <c r="AI50" i="5"/>
  <c r="AI6" i="5"/>
  <c r="AI5" i="5"/>
  <c r="AI51" i="5"/>
  <c r="AJ4" i="1"/>
  <c r="AI52" i="1"/>
  <c r="AI28" i="1"/>
  <c r="AI29" i="1"/>
  <c r="AI27" i="1"/>
  <c r="AI30" i="1"/>
  <c r="AI26" i="1"/>
  <c r="AI25" i="1"/>
  <c r="AI31" i="1"/>
  <c r="AI32" i="1"/>
  <c r="AI24" i="1"/>
  <c r="AI23" i="1"/>
  <c r="AI33" i="1"/>
  <c r="AI34" i="1"/>
  <c r="AI22" i="1"/>
  <c r="AI35" i="1"/>
  <c r="AI21" i="1"/>
  <c r="AI20" i="1"/>
  <c r="AI36" i="1"/>
  <c r="AI19" i="1"/>
  <c r="AI37" i="1"/>
  <c r="AI38" i="1"/>
  <c r="AI18" i="1"/>
  <c r="AI39" i="1"/>
  <c r="AI17" i="1"/>
  <c r="AI16" i="1"/>
  <c r="AI40" i="1"/>
  <c r="AI41" i="1"/>
  <c r="AI15" i="1"/>
  <c r="AI14" i="1"/>
  <c r="AI42" i="1"/>
  <c r="AI13" i="1"/>
  <c r="AI43" i="1"/>
  <c r="AI44" i="1"/>
  <c r="AI12" i="1"/>
  <c r="AI45" i="1"/>
  <c r="AI11" i="1"/>
  <c r="AI10" i="1"/>
  <c r="AI46" i="1"/>
  <c r="AI47" i="1"/>
  <c r="AI9" i="1"/>
  <c r="AI48" i="1"/>
  <c r="AI8" i="1"/>
  <c r="AI49" i="1"/>
  <c r="AI7" i="1"/>
  <c r="AI6" i="1"/>
  <c r="AI50" i="1"/>
  <c r="AI5" i="1"/>
  <c r="AI51" i="1"/>
  <c r="X54" i="2"/>
  <c r="AK4" i="1" l="1"/>
  <c r="AJ52" i="1"/>
  <c r="AJ28" i="1"/>
  <c r="AJ29" i="1"/>
  <c r="AJ27" i="1"/>
  <c r="AJ26" i="1"/>
  <c r="AJ30" i="1"/>
  <c r="AJ25" i="1"/>
  <c r="AJ31" i="1"/>
  <c r="AJ24" i="1"/>
  <c r="AJ32" i="1"/>
  <c r="AJ23" i="1"/>
  <c r="AJ33" i="1"/>
  <c r="AJ34" i="1"/>
  <c r="AJ22" i="1"/>
  <c r="AJ35" i="1"/>
  <c r="AJ21" i="1"/>
  <c r="AJ36" i="1"/>
  <c r="AJ20" i="1"/>
  <c r="AJ19" i="1"/>
  <c r="AJ37" i="1"/>
  <c r="AJ38" i="1"/>
  <c r="AJ18" i="1"/>
  <c r="AJ39" i="1"/>
  <c r="AJ17" i="1"/>
  <c r="AJ16" i="1"/>
  <c r="AJ40" i="1"/>
  <c r="AJ41" i="1"/>
  <c r="AJ15" i="1"/>
  <c r="AJ42" i="1"/>
  <c r="AJ14" i="1"/>
  <c r="AJ13" i="1"/>
  <c r="AJ43" i="1"/>
  <c r="AJ44" i="1"/>
  <c r="AJ12" i="1"/>
  <c r="AJ45" i="1"/>
  <c r="AJ11" i="1"/>
  <c r="AJ10" i="1"/>
  <c r="AJ46" i="1"/>
  <c r="AJ9" i="1"/>
  <c r="AJ47" i="1"/>
  <c r="AJ48" i="1"/>
  <c r="AJ8" i="1"/>
  <c r="AJ7" i="1"/>
  <c r="AJ49" i="1"/>
  <c r="AJ6" i="1"/>
  <c r="AJ50" i="1"/>
  <c r="AJ51" i="1"/>
  <c r="AJ5" i="1"/>
  <c r="AK4" i="5"/>
  <c r="AJ52" i="5"/>
  <c r="AJ28" i="5"/>
  <c r="AJ27" i="5"/>
  <c r="AJ29" i="5"/>
  <c r="AJ30" i="5"/>
  <c r="AJ26" i="5"/>
  <c r="AJ25" i="5"/>
  <c r="AJ31" i="5"/>
  <c r="AJ24" i="5"/>
  <c r="AJ32" i="5"/>
  <c r="AJ33" i="5"/>
  <c r="AJ23" i="5"/>
  <c r="AJ34" i="5"/>
  <c r="AJ22" i="5"/>
  <c r="AJ21" i="5"/>
  <c r="AJ35" i="5"/>
  <c r="AJ20" i="5"/>
  <c r="AJ36" i="5"/>
  <c r="AJ37" i="5"/>
  <c r="AJ19" i="5"/>
  <c r="AJ18" i="5"/>
  <c r="AJ38" i="5"/>
  <c r="AJ17" i="5"/>
  <c r="AJ39" i="5"/>
  <c r="AJ16" i="5"/>
  <c r="AJ40" i="5"/>
  <c r="AJ41" i="5"/>
  <c r="AJ15" i="5"/>
  <c r="AJ14" i="5"/>
  <c r="AJ42" i="5"/>
  <c r="AJ43" i="5"/>
  <c r="AJ13" i="5"/>
  <c r="AJ12" i="5"/>
  <c r="AJ44" i="5"/>
  <c r="AJ45" i="5"/>
  <c r="AJ11" i="5"/>
  <c r="AJ46" i="5"/>
  <c r="AJ10" i="5"/>
  <c r="AJ47" i="5"/>
  <c r="AJ9" i="5"/>
  <c r="AJ8" i="5"/>
  <c r="AJ48" i="5"/>
  <c r="AJ49" i="5"/>
  <c r="AJ7" i="5"/>
  <c r="AJ50" i="5"/>
  <c r="AJ6" i="5"/>
  <c r="AJ51" i="5"/>
  <c r="AJ5" i="5"/>
  <c r="AL4" i="5" l="1"/>
  <c r="AK52" i="5"/>
  <c r="AK28" i="5"/>
  <c r="AK29" i="5"/>
  <c r="AK27" i="5"/>
  <c r="AK30" i="5"/>
  <c r="AK26" i="5"/>
  <c r="AK25" i="5"/>
  <c r="AK31" i="5"/>
  <c r="AK24" i="5"/>
  <c r="AK32" i="5"/>
  <c r="AK33" i="5"/>
  <c r="AK23" i="5"/>
  <c r="AK34" i="5"/>
  <c r="AK22" i="5"/>
  <c r="AK35" i="5"/>
  <c r="AK21" i="5"/>
  <c r="AK20" i="5"/>
  <c r="AK36" i="5"/>
  <c r="AK37" i="5"/>
  <c r="AK19" i="5"/>
  <c r="AK18" i="5"/>
  <c r="AK38" i="5"/>
  <c r="AK17" i="5"/>
  <c r="AK39" i="5"/>
  <c r="AK40" i="5"/>
  <c r="AK16" i="5"/>
  <c r="AK41" i="5"/>
  <c r="AK15" i="5"/>
  <c r="AK14" i="5"/>
  <c r="AK42" i="5"/>
  <c r="AK13" i="5"/>
  <c r="AK43" i="5"/>
  <c r="AK44" i="5"/>
  <c r="AK12" i="5"/>
  <c r="AK11" i="5"/>
  <c r="AK45" i="5"/>
  <c r="AK46" i="5"/>
  <c r="AK10" i="5"/>
  <c r="AK9" i="5"/>
  <c r="AK47" i="5"/>
  <c r="AK8" i="5"/>
  <c r="AK48" i="5"/>
  <c r="AK7" i="5"/>
  <c r="AK49" i="5"/>
  <c r="AK6" i="5"/>
  <c r="AK50" i="5"/>
  <c r="AK51" i="5"/>
  <c r="AK5" i="5"/>
  <c r="AL4" i="1"/>
  <c r="AK52" i="1"/>
  <c r="AK28" i="1"/>
  <c r="AK29" i="1"/>
  <c r="AK27" i="1"/>
  <c r="AK30" i="1"/>
  <c r="AK26" i="1"/>
  <c r="AK31" i="1"/>
  <c r="AK25" i="1"/>
  <c r="AK24" i="1"/>
  <c r="AK32" i="1"/>
  <c r="AK33" i="1"/>
  <c r="AK23" i="1"/>
  <c r="AK34" i="1"/>
  <c r="AK22" i="1"/>
  <c r="AK35" i="1"/>
  <c r="AK21" i="1"/>
  <c r="AK20" i="1"/>
  <c r="AK36" i="1"/>
  <c r="AK19" i="1"/>
  <c r="AK37" i="1"/>
  <c r="AK38" i="1"/>
  <c r="AK18" i="1"/>
  <c r="AK39" i="1"/>
  <c r="AK17" i="1"/>
  <c r="AK16" i="1"/>
  <c r="AK40" i="1"/>
  <c r="AK15" i="1"/>
  <c r="AK41" i="1"/>
  <c r="AK14" i="1"/>
  <c r="AK42" i="1"/>
  <c r="AK13" i="1"/>
  <c r="AK43" i="1"/>
  <c r="AK12" i="1"/>
  <c r="AK44" i="1"/>
  <c r="AK45" i="1"/>
  <c r="AK11" i="1"/>
  <c r="AK46" i="1"/>
  <c r="AK10" i="1"/>
  <c r="AK47" i="1"/>
  <c r="AK9" i="1"/>
  <c r="AK48" i="1"/>
  <c r="AK8" i="1"/>
  <c r="AK7" i="1"/>
  <c r="AK49" i="1"/>
  <c r="AK50" i="1"/>
  <c r="AK6" i="1"/>
  <c r="AK5" i="1"/>
  <c r="AK51" i="1"/>
  <c r="AM4" i="1" l="1"/>
  <c r="AL52" i="1"/>
  <c r="AL28" i="1"/>
  <c r="AL29" i="1"/>
  <c r="AL27" i="1"/>
  <c r="AL26" i="1"/>
  <c r="AL30" i="1"/>
  <c r="AL25" i="1"/>
  <c r="AL31" i="1"/>
  <c r="AL24" i="1"/>
  <c r="AL32" i="1"/>
  <c r="AL23" i="1"/>
  <c r="AL33" i="1"/>
  <c r="AL22" i="1"/>
  <c r="AL34" i="1"/>
  <c r="AL21" i="1"/>
  <c r="AL35" i="1"/>
  <c r="AL36" i="1"/>
  <c r="AL20" i="1"/>
  <c r="AL37" i="1"/>
  <c r="AL19" i="1"/>
  <c r="AL38" i="1"/>
  <c r="AL18" i="1"/>
  <c r="AL17" i="1"/>
  <c r="AL39" i="1"/>
  <c r="AL16" i="1"/>
  <c r="AL40" i="1"/>
  <c r="AL41" i="1"/>
  <c r="AL15" i="1"/>
  <c r="AL14" i="1"/>
  <c r="AL42" i="1"/>
  <c r="AL13" i="1"/>
  <c r="AL43" i="1"/>
  <c r="AL12" i="1"/>
  <c r="AL44" i="1"/>
  <c r="AL45" i="1"/>
  <c r="AL11" i="1"/>
  <c r="AL10" i="1"/>
  <c r="AL46" i="1"/>
  <c r="AL9" i="1"/>
  <c r="AL47" i="1"/>
  <c r="AL48" i="1"/>
  <c r="AL8" i="1"/>
  <c r="AL7" i="1"/>
  <c r="AL49" i="1"/>
  <c r="AL50" i="1"/>
  <c r="AL6" i="1"/>
  <c r="AL5" i="1"/>
  <c r="AL51" i="1"/>
  <c r="AM4" i="5"/>
  <c r="AL52" i="5"/>
  <c r="AL28" i="5"/>
  <c r="AL27" i="5"/>
  <c r="AL29" i="5"/>
  <c r="AL30" i="5"/>
  <c r="AL26" i="5"/>
  <c r="AL31" i="5"/>
  <c r="AL25" i="5"/>
  <c r="AL24" i="5"/>
  <c r="AL32" i="5"/>
  <c r="AL33" i="5"/>
  <c r="AL23" i="5"/>
  <c r="AL22" i="5"/>
  <c r="AL34" i="5"/>
  <c r="AL21" i="5"/>
  <c r="AL35" i="5"/>
  <c r="AL36" i="5"/>
  <c r="AL20" i="5"/>
  <c r="AL37" i="5"/>
  <c r="AL19" i="5"/>
  <c r="AL38" i="5"/>
  <c r="AL18" i="5"/>
  <c r="AL17" i="5"/>
  <c r="AL39" i="5"/>
  <c r="AL16" i="5"/>
  <c r="AL40" i="5"/>
  <c r="AL41" i="5"/>
  <c r="AL15" i="5"/>
  <c r="AL42" i="5"/>
  <c r="AL14" i="5"/>
  <c r="AL43" i="5"/>
  <c r="AL13" i="5"/>
  <c r="AL12" i="5"/>
  <c r="AL44" i="5"/>
  <c r="AL45" i="5"/>
  <c r="AL11" i="5"/>
  <c r="AL10" i="5"/>
  <c r="AL46" i="5"/>
  <c r="AL9" i="5"/>
  <c r="AL47" i="5"/>
  <c r="AL8" i="5"/>
  <c r="AL48" i="5"/>
  <c r="AL49" i="5"/>
  <c r="AL7" i="5"/>
  <c r="AL50" i="5"/>
  <c r="AL6" i="5"/>
  <c r="AL5" i="5"/>
  <c r="AL51" i="5"/>
  <c r="AN4" i="5" l="1"/>
  <c r="AM52" i="5"/>
  <c r="AM28" i="5"/>
  <c r="AM29" i="5"/>
  <c r="AM27" i="5"/>
  <c r="AM30" i="5"/>
  <c r="AM26" i="5"/>
  <c r="AM25" i="5"/>
  <c r="AM31" i="5"/>
  <c r="AM24" i="5"/>
  <c r="AM32" i="5"/>
  <c r="AM23" i="5"/>
  <c r="AM33" i="5"/>
  <c r="AM34" i="5"/>
  <c r="AM22" i="5"/>
  <c r="AM35" i="5"/>
  <c r="AM21" i="5"/>
  <c r="AM20" i="5"/>
  <c r="AM36" i="5"/>
  <c r="AM19" i="5"/>
  <c r="AM37" i="5"/>
  <c r="AM38" i="5"/>
  <c r="AM18" i="5"/>
  <c r="AM17" i="5"/>
  <c r="AM39" i="5"/>
  <c r="AM40" i="5"/>
  <c r="AM16" i="5"/>
  <c r="AM41" i="5"/>
  <c r="AM15" i="5"/>
  <c r="AM14" i="5"/>
  <c r="AM42" i="5"/>
  <c r="AM43" i="5"/>
  <c r="AM13" i="5"/>
  <c r="AM44" i="5"/>
  <c r="AM12" i="5"/>
  <c r="AM11" i="5"/>
  <c r="AM45" i="5"/>
  <c r="AM46" i="5"/>
  <c r="AM10" i="5"/>
  <c r="AM47" i="5"/>
  <c r="AM9" i="5"/>
  <c r="AM8" i="5"/>
  <c r="AM48" i="5"/>
  <c r="AM7" i="5"/>
  <c r="AM49" i="5"/>
  <c r="AM6" i="5"/>
  <c r="AM50" i="5"/>
  <c r="AM5" i="5"/>
  <c r="AM51" i="5"/>
  <c r="AN4" i="1"/>
  <c r="AM52" i="1"/>
  <c r="AM28" i="1"/>
  <c r="AM29" i="1"/>
  <c r="AM27" i="1"/>
  <c r="AM30" i="1"/>
  <c r="AM26" i="1"/>
  <c r="AM31" i="1"/>
  <c r="AM25" i="1"/>
  <c r="AM24" i="1"/>
  <c r="AM32" i="1"/>
  <c r="AM33" i="1"/>
  <c r="AM23" i="1"/>
  <c r="AM34" i="1"/>
  <c r="AM22" i="1"/>
  <c r="AM35" i="1"/>
  <c r="AM21" i="1"/>
  <c r="AM36" i="1"/>
  <c r="AM20" i="1"/>
  <c r="AM19" i="1"/>
  <c r="AM37" i="1"/>
  <c r="AM38" i="1"/>
  <c r="AM18" i="1"/>
  <c r="AM17" i="1"/>
  <c r="AM39" i="1"/>
  <c r="AM40" i="1"/>
  <c r="AM16" i="1"/>
  <c r="AM41" i="1"/>
  <c r="AM15" i="1"/>
  <c r="AM14" i="1"/>
  <c r="AM42" i="1"/>
  <c r="AM43" i="1"/>
  <c r="AM13" i="1"/>
  <c r="AM12" i="1"/>
  <c r="AM44" i="1"/>
  <c r="AM45" i="1"/>
  <c r="AM11" i="1"/>
  <c r="AM46" i="1"/>
  <c r="AM10" i="1"/>
  <c r="AM9" i="1"/>
  <c r="AM47" i="1"/>
  <c r="AM48" i="1"/>
  <c r="AM8" i="1"/>
  <c r="AM49" i="1"/>
  <c r="AM7" i="1"/>
  <c r="AM6" i="1"/>
  <c r="AM50" i="1"/>
  <c r="AM5" i="1"/>
  <c r="AM51" i="1"/>
  <c r="AO4" i="1" l="1"/>
  <c r="AN52" i="1"/>
  <c r="AN28" i="1"/>
  <c r="AN29" i="1"/>
  <c r="AN27" i="1"/>
  <c r="AN30" i="1"/>
  <c r="AN26" i="1"/>
  <c r="AN25" i="1"/>
  <c r="AN31" i="1"/>
  <c r="AN24" i="1"/>
  <c r="AN32" i="1"/>
  <c r="AN23" i="1"/>
  <c r="AN33" i="1"/>
  <c r="AN34" i="1"/>
  <c r="AN22" i="1"/>
  <c r="AN35" i="1"/>
  <c r="AN21" i="1"/>
  <c r="AN20" i="1"/>
  <c r="AN36" i="1"/>
  <c r="AN19" i="1"/>
  <c r="AN37" i="1"/>
  <c r="AN38" i="1"/>
  <c r="AN18" i="1"/>
  <c r="AN39" i="1"/>
  <c r="AN17" i="1"/>
  <c r="AN16" i="1"/>
  <c r="AN40" i="1"/>
  <c r="AN41" i="1"/>
  <c r="AN15" i="1"/>
  <c r="AN14" i="1"/>
  <c r="AN42" i="1"/>
  <c r="AN13" i="1"/>
  <c r="AN43" i="1"/>
  <c r="AN44" i="1"/>
  <c r="AN12" i="1"/>
  <c r="AN45" i="1"/>
  <c r="AN11" i="1"/>
  <c r="AN46" i="1"/>
  <c r="AN10" i="1"/>
  <c r="AN47" i="1"/>
  <c r="AN9" i="1"/>
  <c r="AN48" i="1"/>
  <c r="AN8" i="1"/>
  <c r="AN7" i="1"/>
  <c r="AN49" i="1"/>
  <c r="AN6" i="1"/>
  <c r="AN50" i="1"/>
  <c r="AN5" i="1"/>
  <c r="AN51" i="1"/>
  <c r="AO4" i="5"/>
  <c r="AN52" i="5"/>
  <c r="AN28" i="5"/>
  <c r="AN29" i="5"/>
  <c r="AN27" i="5"/>
  <c r="AN26" i="5"/>
  <c r="AN30" i="5"/>
  <c r="AN31" i="5"/>
  <c r="AN25" i="5"/>
  <c r="AN24" i="5"/>
  <c r="AN32" i="5"/>
  <c r="AN33" i="5"/>
  <c r="AN23" i="5"/>
  <c r="AN34" i="5"/>
  <c r="AN22" i="5"/>
  <c r="AN21" i="5"/>
  <c r="AN35" i="5"/>
  <c r="AN36" i="5"/>
  <c r="AN20" i="5"/>
  <c r="AN19" i="5"/>
  <c r="AN37" i="5"/>
  <c r="AN38" i="5"/>
  <c r="AN18" i="5"/>
  <c r="AN17" i="5"/>
  <c r="AN39" i="5"/>
  <c r="AN16" i="5"/>
  <c r="AN40" i="5"/>
  <c r="AN41" i="5"/>
  <c r="AN15" i="5"/>
  <c r="AN14" i="5"/>
  <c r="AN42" i="5"/>
  <c r="AN43" i="5"/>
  <c r="AN13" i="5"/>
  <c r="AN44" i="5"/>
  <c r="AN12" i="5"/>
  <c r="AN45" i="5"/>
  <c r="AN11" i="5"/>
  <c r="AN10" i="5"/>
  <c r="AN46" i="5"/>
  <c r="AN47" i="5"/>
  <c r="AN9" i="5"/>
  <c r="AN48" i="5"/>
  <c r="AN8" i="5"/>
  <c r="AN49" i="5"/>
  <c r="AN7" i="5"/>
  <c r="AN50" i="5"/>
  <c r="AN6" i="5"/>
  <c r="AN5" i="5"/>
  <c r="AN51" i="5"/>
  <c r="AP4" i="5" l="1"/>
  <c r="AO52" i="5"/>
  <c r="AO28" i="5"/>
  <c r="AO27" i="5"/>
  <c r="AO29" i="5"/>
  <c r="AO26" i="5"/>
  <c r="AO30" i="5"/>
  <c r="AO31" i="5"/>
  <c r="AO25" i="5"/>
  <c r="AO24" i="5"/>
  <c r="AO32" i="5"/>
  <c r="AO33" i="5"/>
  <c r="AO23" i="5"/>
  <c r="AO34" i="5"/>
  <c r="AO22" i="5"/>
  <c r="AO21" i="5"/>
  <c r="AO35" i="5"/>
  <c r="AO36" i="5"/>
  <c r="AO20" i="5"/>
  <c r="AO37" i="5"/>
  <c r="AO19" i="5"/>
  <c r="AO38" i="5"/>
  <c r="AO18" i="5"/>
  <c r="AO17" i="5"/>
  <c r="AO39" i="5"/>
  <c r="AO16" i="5"/>
  <c r="AO40" i="5"/>
  <c r="AO41" i="5"/>
  <c r="AO15" i="5"/>
  <c r="AO42" i="5"/>
  <c r="AO14" i="5"/>
  <c r="AO43" i="5"/>
  <c r="AO13" i="5"/>
  <c r="AO12" i="5"/>
  <c r="AO44" i="5"/>
  <c r="AO45" i="5"/>
  <c r="AO11" i="5"/>
  <c r="AO46" i="5"/>
  <c r="AO10" i="5"/>
  <c r="AO9" i="5"/>
  <c r="AO47" i="5"/>
  <c r="AO8" i="5"/>
  <c r="AO48" i="5"/>
  <c r="AO49" i="5"/>
  <c r="AO7" i="5"/>
  <c r="AO6" i="5"/>
  <c r="AO50" i="5"/>
  <c r="AO5" i="5"/>
  <c r="AO51" i="5"/>
  <c r="AP4" i="1"/>
  <c r="AO52" i="1"/>
  <c r="AO28" i="1"/>
  <c r="AO27" i="1"/>
  <c r="AO29" i="1"/>
  <c r="AO30" i="1"/>
  <c r="AO26" i="1"/>
  <c r="AO25" i="1"/>
  <c r="AO31" i="1"/>
  <c r="AO24" i="1"/>
  <c r="AO32" i="1"/>
  <c r="AO23" i="1"/>
  <c r="AO33" i="1"/>
  <c r="AO34" i="1"/>
  <c r="AO22" i="1"/>
  <c r="AO35" i="1"/>
  <c r="AO21" i="1"/>
  <c r="AO20" i="1"/>
  <c r="AO36" i="1"/>
  <c r="AO19" i="1"/>
  <c r="AO37" i="1"/>
  <c r="AO38" i="1"/>
  <c r="AO18" i="1"/>
  <c r="AO17" i="1"/>
  <c r="AO39" i="1"/>
  <c r="AO40" i="1"/>
  <c r="AO16" i="1"/>
  <c r="AO15" i="1"/>
  <c r="AO41" i="1"/>
  <c r="AO14" i="1"/>
  <c r="AO42" i="1"/>
  <c r="AO43" i="1"/>
  <c r="AO13" i="1"/>
  <c r="AO12" i="1"/>
  <c r="AO44" i="1"/>
  <c r="AO11" i="1"/>
  <c r="AO45" i="1"/>
  <c r="AO46" i="1"/>
  <c r="AO10" i="1"/>
  <c r="AO9" i="1"/>
  <c r="AO47" i="1"/>
  <c r="AO8" i="1"/>
  <c r="AO48" i="1"/>
  <c r="AO7" i="1"/>
  <c r="AO49" i="1"/>
  <c r="AO50" i="1"/>
  <c r="AO6" i="1"/>
  <c r="AO51" i="1"/>
  <c r="AO5" i="1"/>
  <c r="AQ4" i="1" l="1"/>
  <c r="AP52" i="1"/>
  <c r="AP28" i="1"/>
  <c r="AP29" i="1"/>
  <c r="AP27" i="1"/>
  <c r="AP26" i="1"/>
  <c r="AP30" i="1"/>
  <c r="AP25" i="1"/>
  <c r="AP31" i="1"/>
  <c r="AP24" i="1"/>
  <c r="AP32" i="1"/>
  <c r="AP23" i="1"/>
  <c r="AP33" i="1"/>
  <c r="AP22" i="1"/>
  <c r="AP34" i="1"/>
  <c r="AP35" i="1"/>
  <c r="AP21" i="1"/>
  <c r="AP20" i="1"/>
  <c r="AP36" i="1"/>
  <c r="AP37" i="1"/>
  <c r="AP19" i="1"/>
  <c r="AP38" i="1"/>
  <c r="AP18" i="1"/>
  <c r="AP17" i="1"/>
  <c r="AP39" i="1"/>
  <c r="AP16" i="1"/>
  <c r="AP40" i="1"/>
  <c r="AP41" i="1"/>
  <c r="AP15" i="1"/>
  <c r="AP42" i="1"/>
  <c r="AP14" i="1"/>
  <c r="AP13" i="1"/>
  <c r="AP43" i="1"/>
  <c r="AP44" i="1"/>
  <c r="AP12" i="1"/>
  <c r="AP11" i="1"/>
  <c r="AP45" i="1"/>
  <c r="AP10" i="1"/>
  <c r="AP46" i="1"/>
  <c r="AP47" i="1"/>
  <c r="AP9" i="1"/>
  <c r="AP48" i="1"/>
  <c r="AP8" i="1"/>
  <c r="AP7" i="1"/>
  <c r="AP49" i="1"/>
  <c r="AP6" i="1"/>
  <c r="AP50" i="1"/>
  <c r="AP51" i="1"/>
  <c r="AP5" i="1"/>
  <c r="AQ4" i="5"/>
  <c r="AP52" i="5"/>
  <c r="AP28" i="5"/>
  <c r="AP29" i="5"/>
  <c r="AP27" i="5"/>
  <c r="AP26" i="5"/>
  <c r="AP30" i="5"/>
  <c r="AP31" i="5"/>
  <c r="AP25" i="5"/>
  <c r="AP24" i="5"/>
  <c r="AP32" i="5"/>
  <c r="AP23" i="5"/>
  <c r="AP33" i="5"/>
  <c r="AP34" i="5"/>
  <c r="AP22" i="5"/>
  <c r="AP35" i="5"/>
  <c r="AP21" i="5"/>
  <c r="AP36" i="5"/>
  <c r="AP20" i="5"/>
  <c r="AP19" i="5"/>
  <c r="AP37" i="5"/>
  <c r="AP38" i="5"/>
  <c r="AP18" i="5"/>
  <c r="AP17" i="5"/>
  <c r="AP39" i="5"/>
  <c r="AP16" i="5"/>
  <c r="AP40" i="5"/>
  <c r="AP15" i="5"/>
  <c r="AP41" i="5"/>
  <c r="AP42" i="5"/>
  <c r="AP14" i="5"/>
  <c r="AP43" i="5"/>
  <c r="AP13" i="5"/>
  <c r="AP44" i="5"/>
  <c r="AP12" i="5"/>
  <c r="AP45" i="5"/>
  <c r="AP11" i="5"/>
  <c r="AP10" i="5"/>
  <c r="AP46" i="5"/>
  <c r="AP9" i="5"/>
  <c r="AP47" i="5"/>
  <c r="AP8" i="5"/>
  <c r="AP48" i="5"/>
  <c r="AP49" i="5"/>
  <c r="AP7" i="5"/>
  <c r="AP50" i="5"/>
  <c r="AP6" i="5"/>
  <c r="AP51" i="5"/>
  <c r="AP5" i="5"/>
  <c r="AQ52" i="5" l="1"/>
  <c r="AR4" i="5"/>
  <c r="AQ28" i="5"/>
  <c r="AQ27" i="5"/>
  <c r="AQ29" i="5"/>
  <c r="AQ30" i="5"/>
  <c r="AQ26" i="5"/>
  <c r="AQ25" i="5"/>
  <c r="AQ31" i="5"/>
  <c r="AQ24" i="5"/>
  <c r="AQ32" i="5"/>
  <c r="AQ33" i="5"/>
  <c r="AQ23" i="5"/>
  <c r="AQ34" i="5"/>
  <c r="AQ22" i="5"/>
  <c r="AQ21" i="5"/>
  <c r="AQ35" i="5"/>
  <c r="AQ20" i="5"/>
  <c r="AQ36" i="5"/>
  <c r="AQ37" i="5"/>
  <c r="AQ19" i="5"/>
  <c r="AQ18" i="5"/>
  <c r="AQ38" i="5"/>
  <c r="AQ17" i="5"/>
  <c r="AQ39" i="5"/>
  <c r="AQ40" i="5"/>
  <c r="AQ16" i="5"/>
  <c r="AQ41" i="5"/>
  <c r="AQ15" i="5"/>
  <c r="AQ14" i="5"/>
  <c r="AQ42" i="5"/>
  <c r="AQ43" i="5"/>
  <c r="AQ13" i="5"/>
  <c r="AQ12" i="5"/>
  <c r="AQ44" i="5"/>
  <c r="AQ11" i="5"/>
  <c r="AQ45" i="5"/>
  <c r="AQ46" i="5"/>
  <c r="AQ10" i="5"/>
  <c r="AQ9" i="5"/>
  <c r="AQ47" i="5"/>
  <c r="AQ8" i="5"/>
  <c r="AQ48" i="5"/>
  <c r="AQ7" i="5"/>
  <c r="AQ49" i="5"/>
  <c r="AQ50" i="5"/>
  <c r="AQ6" i="5"/>
  <c r="AQ51" i="5"/>
  <c r="AQ5" i="5"/>
  <c r="AR4" i="1"/>
  <c r="AQ52" i="1"/>
  <c r="AQ28" i="1"/>
  <c r="AQ27" i="1"/>
  <c r="AQ29" i="1"/>
  <c r="AQ26" i="1"/>
  <c r="AQ30" i="1"/>
  <c r="AQ25" i="1"/>
  <c r="AQ31" i="1"/>
  <c r="AQ24" i="1"/>
  <c r="AQ32" i="1"/>
  <c r="AQ23" i="1"/>
  <c r="AQ33" i="1"/>
  <c r="AQ22" i="1"/>
  <c r="AQ34" i="1"/>
  <c r="AQ21" i="1"/>
  <c r="AQ35" i="1"/>
  <c r="AQ36" i="1"/>
  <c r="AQ20" i="1"/>
  <c r="AQ19" i="1"/>
  <c r="AQ37" i="1"/>
  <c r="AQ38" i="1"/>
  <c r="AQ18" i="1"/>
  <c r="AQ39" i="1"/>
  <c r="AQ17" i="1"/>
  <c r="AQ16" i="1"/>
  <c r="AQ40" i="1"/>
  <c r="AQ41" i="1"/>
  <c r="AQ15" i="1"/>
  <c r="AQ14" i="1"/>
  <c r="AQ42" i="1"/>
  <c r="AQ43" i="1"/>
  <c r="AQ13" i="1"/>
  <c r="AQ12" i="1"/>
  <c r="AQ44" i="1"/>
  <c r="AQ11" i="1"/>
  <c r="AQ45" i="1"/>
  <c r="AQ46" i="1"/>
  <c r="AQ10" i="1"/>
  <c r="AQ9" i="1"/>
  <c r="AQ47" i="1"/>
  <c r="AQ8" i="1"/>
  <c r="AQ48" i="1"/>
  <c r="AQ7" i="1"/>
  <c r="AQ49" i="1"/>
  <c r="AQ50" i="1"/>
  <c r="AQ6" i="1"/>
  <c r="AQ51" i="1"/>
  <c r="AQ5" i="1"/>
  <c r="AS4" i="1" l="1"/>
  <c r="AR52" i="1"/>
  <c r="AR28" i="1"/>
  <c r="AR27" i="1"/>
  <c r="AR29" i="1"/>
  <c r="AR30" i="1"/>
  <c r="AR26" i="1"/>
  <c r="AR31" i="1"/>
  <c r="AR25" i="1"/>
  <c r="AR24" i="1"/>
  <c r="AR32" i="1"/>
  <c r="AR33" i="1"/>
  <c r="AR23" i="1"/>
  <c r="AR34" i="1"/>
  <c r="AR22" i="1"/>
  <c r="AR35" i="1"/>
  <c r="AR21" i="1"/>
  <c r="AR36" i="1"/>
  <c r="AR20" i="1"/>
  <c r="AR19" i="1"/>
  <c r="AR37" i="1"/>
  <c r="AR38" i="1"/>
  <c r="AR18" i="1"/>
  <c r="AR17" i="1"/>
  <c r="AR39" i="1"/>
  <c r="AR40" i="1"/>
  <c r="AR16" i="1"/>
  <c r="AR41" i="1"/>
  <c r="AR15" i="1"/>
  <c r="AR14" i="1"/>
  <c r="AR42" i="1"/>
  <c r="AR43" i="1"/>
  <c r="AR13" i="1"/>
  <c r="AR12" i="1"/>
  <c r="AR44" i="1"/>
  <c r="AR45" i="1"/>
  <c r="AR11" i="1"/>
  <c r="AR10" i="1"/>
  <c r="AR46" i="1"/>
  <c r="AR9" i="1"/>
  <c r="AR47" i="1"/>
  <c r="AR48" i="1"/>
  <c r="AR8" i="1"/>
  <c r="AR7" i="1"/>
  <c r="AR49" i="1"/>
  <c r="AR50" i="1"/>
  <c r="AR6" i="1"/>
  <c r="AR51" i="1"/>
  <c r="AR5" i="1"/>
  <c r="AR52" i="5"/>
  <c r="AS4" i="5"/>
  <c r="AR28" i="5"/>
  <c r="AR29" i="5"/>
  <c r="AR27" i="5"/>
  <c r="AR26" i="5"/>
  <c r="AR30" i="5"/>
  <c r="AR31" i="5"/>
  <c r="AR25" i="5"/>
  <c r="AR24" i="5"/>
  <c r="AR32" i="5"/>
  <c r="AR23" i="5"/>
  <c r="AR33" i="5"/>
  <c r="AR34" i="5"/>
  <c r="AR22" i="5"/>
  <c r="AR35" i="5"/>
  <c r="AR21" i="5"/>
  <c r="AR36" i="5"/>
  <c r="AR20" i="5"/>
  <c r="AR19" i="5"/>
  <c r="AR37" i="5"/>
  <c r="AR38" i="5"/>
  <c r="AR18" i="5"/>
  <c r="AR17" i="5"/>
  <c r="AR39" i="5"/>
  <c r="AR16" i="5"/>
  <c r="AR40" i="5"/>
  <c r="AR15" i="5"/>
  <c r="AR41" i="5"/>
  <c r="AR14" i="5"/>
  <c r="AR42" i="5"/>
  <c r="AR43" i="5"/>
  <c r="AR13" i="5"/>
  <c r="AR44" i="5"/>
  <c r="AR12" i="5"/>
  <c r="AR45" i="5"/>
  <c r="AR11" i="5"/>
  <c r="AR46" i="5"/>
  <c r="AR10" i="5"/>
  <c r="AR47" i="5"/>
  <c r="AR9" i="5"/>
  <c r="AR8" i="5"/>
  <c r="AR48" i="5"/>
  <c r="AR49" i="5"/>
  <c r="AR7" i="5"/>
  <c r="AR6" i="5"/>
  <c r="AR50" i="5"/>
  <c r="AR5" i="5"/>
  <c r="AR51" i="5"/>
  <c r="AS52" i="5" l="1"/>
  <c r="AT4" i="5"/>
  <c r="AS28" i="5"/>
  <c r="AS29" i="5"/>
  <c r="AS27" i="5"/>
  <c r="AS26" i="5"/>
  <c r="AS30" i="5"/>
  <c r="AS31" i="5"/>
  <c r="AS25" i="5"/>
  <c r="AS24" i="5"/>
  <c r="AS32" i="5"/>
  <c r="AS23" i="5"/>
  <c r="AS33" i="5"/>
  <c r="AS34" i="5"/>
  <c r="AS22" i="5"/>
  <c r="AS21" i="5"/>
  <c r="AS35" i="5"/>
  <c r="AS36" i="5"/>
  <c r="AS20" i="5"/>
  <c r="AS19" i="5"/>
  <c r="AS37" i="5"/>
  <c r="AS38" i="5"/>
  <c r="AS18" i="5"/>
  <c r="AS17" i="5"/>
  <c r="AS39" i="5"/>
  <c r="AS16" i="5"/>
  <c r="AS40" i="5"/>
  <c r="AS15" i="5"/>
  <c r="AS41" i="5"/>
  <c r="AS42" i="5"/>
  <c r="AS14" i="5"/>
  <c r="AS43" i="5"/>
  <c r="AS13" i="5"/>
  <c r="AS44" i="5"/>
  <c r="AS12" i="5"/>
  <c r="AS45" i="5"/>
  <c r="AS11" i="5"/>
  <c r="AS10" i="5"/>
  <c r="AS46" i="5"/>
  <c r="AS9" i="5"/>
  <c r="AS47" i="5"/>
  <c r="AS48" i="5"/>
  <c r="AS8" i="5"/>
  <c r="AS49" i="5"/>
  <c r="AS7" i="5"/>
  <c r="AS50" i="5"/>
  <c r="AS6" i="5"/>
  <c r="AS5" i="5"/>
  <c r="AS51" i="5"/>
  <c r="AT4" i="1"/>
  <c r="AS52" i="1"/>
  <c r="AS28" i="1"/>
  <c r="AS27" i="1"/>
  <c r="AS29" i="1"/>
  <c r="AS26" i="1"/>
  <c r="AS30" i="1"/>
  <c r="AS25" i="1"/>
  <c r="AS31" i="1"/>
  <c r="AS24" i="1"/>
  <c r="AS32" i="1"/>
  <c r="AS23" i="1"/>
  <c r="AS33" i="1"/>
  <c r="AS22" i="1"/>
  <c r="AS34" i="1"/>
  <c r="AS21" i="1"/>
  <c r="AS35" i="1"/>
  <c r="AS36" i="1"/>
  <c r="AS20" i="1"/>
  <c r="AS19" i="1"/>
  <c r="AS37" i="1"/>
  <c r="AS38" i="1"/>
  <c r="AS18" i="1"/>
  <c r="AS39" i="1"/>
  <c r="AS17" i="1"/>
  <c r="AS16" i="1"/>
  <c r="AS40" i="1"/>
  <c r="AS41" i="1"/>
  <c r="AS15" i="1"/>
  <c r="AS14" i="1"/>
  <c r="AS42" i="1"/>
  <c r="AS13" i="1"/>
  <c r="AS43" i="1"/>
  <c r="AS12" i="1"/>
  <c r="AS44" i="1"/>
  <c r="AS45" i="1"/>
  <c r="AS11" i="1"/>
  <c r="AS10" i="1"/>
  <c r="AS46" i="1"/>
  <c r="AS9" i="1"/>
  <c r="AS47" i="1"/>
  <c r="AS48" i="1"/>
  <c r="AS8" i="1"/>
  <c r="AS7" i="1"/>
  <c r="AS49" i="1"/>
  <c r="AS50" i="1"/>
  <c r="AS6" i="1"/>
  <c r="AS51" i="1"/>
  <c r="AS5" i="1"/>
  <c r="AU4" i="1" l="1"/>
  <c r="AT52" i="1"/>
  <c r="AT28" i="1"/>
  <c r="AT29" i="1"/>
  <c r="AT27" i="1"/>
  <c r="AT30" i="1"/>
  <c r="AT26" i="1"/>
  <c r="AT31" i="1"/>
  <c r="AT25" i="1"/>
  <c r="AT24" i="1"/>
  <c r="AT32" i="1"/>
  <c r="AT33" i="1"/>
  <c r="AT23" i="1"/>
  <c r="AT22" i="1"/>
  <c r="AT34" i="1"/>
  <c r="AT35" i="1"/>
  <c r="AT21" i="1"/>
  <c r="AT20" i="1"/>
  <c r="AT36" i="1"/>
  <c r="AT37" i="1"/>
  <c r="AT19" i="1"/>
  <c r="AT38" i="1"/>
  <c r="AT18" i="1"/>
  <c r="AT17" i="1"/>
  <c r="AT39" i="1"/>
  <c r="AT16" i="1"/>
  <c r="AT40" i="1"/>
  <c r="AT41" i="1"/>
  <c r="AT15" i="1"/>
  <c r="AT14" i="1"/>
  <c r="AT42" i="1"/>
  <c r="AT43" i="1"/>
  <c r="AT13" i="1"/>
  <c r="AT12" i="1"/>
  <c r="AT44" i="1"/>
  <c r="AT11" i="1"/>
  <c r="AT45" i="1"/>
  <c r="AT46" i="1"/>
  <c r="AT10" i="1"/>
  <c r="AT9" i="1"/>
  <c r="AT47" i="1"/>
  <c r="AT48" i="1"/>
  <c r="AT8" i="1"/>
  <c r="AT49" i="1"/>
  <c r="AT7" i="1"/>
  <c r="AT6" i="1"/>
  <c r="AT50" i="1"/>
  <c r="AT51" i="1"/>
  <c r="AT5" i="1"/>
  <c r="AT52" i="5"/>
  <c r="AU4" i="5"/>
  <c r="AT28" i="5"/>
  <c r="AT29" i="5"/>
  <c r="AT27" i="5"/>
  <c r="AT30" i="5"/>
  <c r="AT26" i="5"/>
  <c r="AT31" i="5"/>
  <c r="AT25" i="5"/>
  <c r="AT32" i="5"/>
  <c r="AT24" i="5"/>
  <c r="AT23" i="5"/>
  <c r="AT33" i="5"/>
  <c r="AT34" i="5"/>
  <c r="AT22" i="5"/>
  <c r="AT35" i="5"/>
  <c r="AT21" i="5"/>
  <c r="AT36" i="5"/>
  <c r="AT20" i="5"/>
  <c r="AT37" i="5"/>
  <c r="AT19" i="5"/>
  <c r="AT38" i="5"/>
  <c r="AT18" i="5"/>
  <c r="AT17" i="5"/>
  <c r="AT39" i="5"/>
  <c r="AT40" i="5"/>
  <c r="AT16" i="5"/>
  <c r="AT41" i="5"/>
  <c r="AT15" i="5"/>
  <c r="AT14" i="5"/>
  <c r="AT42" i="5"/>
  <c r="AT43" i="5"/>
  <c r="AT13" i="5"/>
  <c r="AT44" i="5"/>
  <c r="AT12" i="5"/>
  <c r="AT11" i="5"/>
  <c r="AT45" i="5"/>
  <c r="AT10" i="5"/>
  <c r="AT46" i="5"/>
  <c r="AT47" i="5"/>
  <c r="AT9" i="5"/>
  <c r="AT8" i="5"/>
  <c r="AT48" i="5"/>
  <c r="AT7" i="5"/>
  <c r="AT49" i="5"/>
  <c r="AT6" i="5"/>
  <c r="AT50" i="5"/>
  <c r="AT51" i="5"/>
  <c r="AT5" i="5"/>
  <c r="AU52" i="5" l="1"/>
  <c r="AV4" i="5"/>
  <c r="AU28" i="5"/>
  <c r="AU27" i="5"/>
  <c r="AU29" i="5"/>
  <c r="AU26" i="5"/>
  <c r="AU30" i="5"/>
  <c r="AU31" i="5"/>
  <c r="AU25" i="5"/>
  <c r="AU24" i="5"/>
  <c r="AU32" i="5"/>
  <c r="AU33" i="5"/>
  <c r="AU23" i="5"/>
  <c r="AU34" i="5"/>
  <c r="AU22" i="5"/>
  <c r="AU21" i="5"/>
  <c r="AU35" i="5"/>
  <c r="AU36" i="5"/>
  <c r="AU20" i="5"/>
  <c r="AU19" i="5"/>
  <c r="AU37" i="5"/>
  <c r="AU38" i="5"/>
  <c r="AU18" i="5"/>
  <c r="AU17" i="5"/>
  <c r="AU39" i="5"/>
  <c r="AU16" i="5"/>
  <c r="AU40" i="5"/>
  <c r="AU15" i="5"/>
  <c r="AU41" i="5"/>
  <c r="AU14" i="5"/>
  <c r="AU42" i="5"/>
  <c r="AU43" i="5"/>
  <c r="AU13" i="5"/>
  <c r="AU12" i="5"/>
  <c r="AU44" i="5"/>
  <c r="AU45" i="5"/>
  <c r="AU11" i="5"/>
  <c r="AU10" i="5"/>
  <c r="AU46" i="5"/>
  <c r="AU9" i="5"/>
  <c r="AU47" i="5"/>
  <c r="AU48" i="5"/>
  <c r="AU8" i="5"/>
  <c r="AU49" i="5"/>
  <c r="AU7" i="5"/>
  <c r="AU50" i="5"/>
  <c r="AU6" i="5"/>
  <c r="AU5" i="5"/>
  <c r="AU51" i="5"/>
  <c r="AV4" i="1"/>
  <c r="AU52" i="1"/>
  <c r="AU28" i="1"/>
  <c r="AU27" i="1"/>
  <c r="AU29" i="1"/>
  <c r="AU26" i="1"/>
  <c r="AU30" i="1"/>
  <c r="AU25" i="1"/>
  <c r="AU31" i="1"/>
  <c r="AU32" i="1"/>
  <c r="AU24" i="1"/>
  <c r="AU23" i="1"/>
  <c r="AU33" i="1"/>
  <c r="AU34" i="1"/>
  <c r="AU22" i="1"/>
  <c r="AU21" i="1"/>
  <c r="AU35" i="1"/>
  <c r="AU36" i="1"/>
  <c r="AU20" i="1"/>
  <c r="AU19" i="1"/>
  <c r="AU37" i="1"/>
  <c r="AU38" i="1"/>
  <c r="AU18" i="1"/>
  <c r="AU39" i="1"/>
  <c r="AU17" i="1"/>
  <c r="AU16" i="1"/>
  <c r="AU40" i="1"/>
  <c r="AU41" i="1"/>
  <c r="AU15" i="1"/>
  <c r="AU42" i="1"/>
  <c r="AU14" i="1"/>
  <c r="AU13" i="1"/>
  <c r="AU43" i="1"/>
  <c r="AU12" i="1"/>
  <c r="AU44" i="1"/>
  <c r="AU11" i="1"/>
  <c r="AU45" i="1"/>
  <c r="AU46" i="1"/>
  <c r="AU10" i="1"/>
  <c r="AU9" i="1"/>
  <c r="AU47" i="1"/>
  <c r="AU48" i="1"/>
  <c r="AU8" i="1"/>
  <c r="AU7" i="1"/>
  <c r="AU49" i="1"/>
  <c r="AU50" i="1"/>
  <c r="AU6" i="1"/>
  <c r="AU5" i="1"/>
  <c r="AU51" i="1"/>
  <c r="AW4" i="1" l="1"/>
  <c r="AV52" i="1"/>
  <c r="AV28" i="1"/>
  <c r="AV27" i="1"/>
  <c r="AV29" i="1"/>
  <c r="AV26" i="1"/>
  <c r="AV30" i="1"/>
  <c r="AV25" i="1"/>
  <c r="AV31" i="1"/>
  <c r="AV24" i="1"/>
  <c r="AV32" i="1"/>
  <c r="AV23" i="1"/>
  <c r="AV33" i="1"/>
  <c r="AV22" i="1"/>
  <c r="AV34" i="1"/>
  <c r="AV35" i="1"/>
  <c r="AV21" i="1"/>
  <c r="AV36" i="1"/>
  <c r="AV20" i="1"/>
  <c r="AV19" i="1"/>
  <c r="AV37" i="1"/>
  <c r="AV38" i="1"/>
  <c r="AV18" i="1"/>
  <c r="AV39" i="1"/>
  <c r="AV17" i="1"/>
  <c r="AV16" i="1"/>
  <c r="AV40" i="1"/>
  <c r="AV41" i="1"/>
  <c r="AV15" i="1"/>
  <c r="AV14" i="1"/>
  <c r="AV42" i="1"/>
  <c r="AV43" i="1"/>
  <c r="AV13" i="1"/>
  <c r="AV12" i="1"/>
  <c r="AV44" i="1"/>
  <c r="AV11" i="1"/>
  <c r="AV45" i="1"/>
  <c r="AV10" i="1"/>
  <c r="AV46" i="1"/>
  <c r="AV9" i="1"/>
  <c r="AV47" i="1"/>
  <c r="AV48" i="1"/>
  <c r="AV8" i="1"/>
  <c r="AV49" i="1"/>
  <c r="AV7" i="1"/>
  <c r="AV50" i="1"/>
  <c r="AV6" i="1"/>
  <c r="AV51" i="1"/>
  <c r="AV5" i="1"/>
  <c r="AV52" i="5"/>
  <c r="AW4" i="5"/>
  <c r="AV28" i="5"/>
  <c r="AV29" i="5"/>
  <c r="AV27" i="5"/>
  <c r="AV26" i="5"/>
  <c r="AV30" i="5"/>
  <c r="AV25" i="5"/>
  <c r="AV31" i="5"/>
  <c r="AV24" i="5"/>
  <c r="AV32" i="5"/>
  <c r="AV23" i="5"/>
  <c r="AV33" i="5"/>
  <c r="AV34" i="5"/>
  <c r="AV22" i="5"/>
  <c r="AV35" i="5"/>
  <c r="AV21" i="5"/>
  <c r="AV20" i="5"/>
  <c r="AV36" i="5"/>
  <c r="AV19" i="5"/>
  <c r="AV37" i="5"/>
  <c r="AV38" i="5"/>
  <c r="AV18" i="5"/>
  <c r="AV17" i="5"/>
  <c r="AV39" i="5"/>
  <c r="AV40" i="5"/>
  <c r="AV16" i="5"/>
  <c r="AV41" i="5"/>
  <c r="AV15" i="5"/>
  <c r="AV14" i="5"/>
  <c r="AV42" i="5"/>
  <c r="AV43" i="5"/>
  <c r="AV13" i="5"/>
  <c r="AV44" i="5"/>
  <c r="AV12" i="5"/>
  <c r="AV11" i="5"/>
  <c r="AV45" i="5"/>
  <c r="AV46" i="5"/>
  <c r="AV10" i="5"/>
  <c r="AV47" i="5"/>
  <c r="AV9" i="5"/>
  <c r="AV8" i="5"/>
  <c r="AV48" i="5"/>
  <c r="AV7" i="5"/>
  <c r="AV49" i="5"/>
  <c r="AV50" i="5"/>
  <c r="AV6" i="5"/>
  <c r="AV5" i="5"/>
  <c r="AV51" i="5"/>
  <c r="AW52" i="5" l="1"/>
  <c r="AX4" i="5"/>
  <c r="AW28" i="5"/>
  <c r="AW29" i="5"/>
  <c r="AW27" i="5"/>
  <c r="AW26" i="5"/>
  <c r="AW30" i="5"/>
  <c r="AW31" i="5"/>
  <c r="AW25" i="5"/>
  <c r="AW24" i="5"/>
  <c r="AW32" i="5"/>
  <c r="AW23" i="5"/>
  <c r="AW33" i="5"/>
  <c r="AW34" i="5"/>
  <c r="AW22" i="5"/>
  <c r="AW35" i="5"/>
  <c r="AW21" i="5"/>
  <c r="AW36" i="5"/>
  <c r="AW20" i="5"/>
  <c r="AW37" i="5"/>
  <c r="AW19" i="5"/>
  <c r="AW38" i="5"/>
  <c r="AW18" i="5"/>
  <c r="AW17" i="5"/>
  <c r="AW39" i="5"/>
  <c r="AW16" i="5"/>
  <c r="AW40" i="5"/>
  <c r="AW15" i="5"/>
  <c r="AW41" i="5"/>
  <c r="AW14" i="5"/>
  <c r="AW42" i="5"/>
  <c r="AW43" i="5"/>
  <c r="AW13" i="5"/>
  <c r="AW44" i="5"/>
  <c r="AW12" i="5"/>
  <c r="AW45" i="5"/>
  <c r="AW11" i="5"/>
  <c r="AW46" i="5"/>
  <c r="AW10" i="5"/>
  <c r="AW47" i="5"/>
  <c r="AW9" i="5"/>
  <c r="AW8" i="5"/>
  <c r="AW48" i="5"/>
  <c r="AW49" i="5"/>
  <c r="AW7" i="5"/>
  <c r="AW50" i="5"/>
  <c r="AW6" i="5"/>
  <c r="AW5" i="5"/>
  <c r="AW51" i="5"/>
  <c r="AX4" i="1"/>
  <c r="AW52" i="1"/>
  <c r="AW28" i="1"/>
  <c r="AW29" i="1"/>
  <c r="AW27" i="1"/>
  <c r="AW26" i="1"/>
  <c r="AW30" i="1"/>
  <c r="AW25" i="1"/>
  <c r="AW31" i="1"/>
  <c r="AW24" i="1"/>
  <c r="AW32" i="1"/>
  <c r="AW23" i="1"/>
  <c r="AW33" i="1"/>
  <c r="AW34" i="1"/>
  <c r="AW22" i="1"/>
  <c r="AW35" i="1"/>
  <c r="AW21" i="1"/>
  <c r="AW20" i="1"/>
  <c r="AW36" i="1"/>
  <c r="AW19" i="1"/>
  <c r="AW37" i="1"/>
  <c r="AW38" i="1"/>
  <c r="AW18" i="1"/>
  <c r="AW39" i="1"/>
  <c r="AW17" i="1"/>
  <c r="AW16" i="1"/>
  <c r="AW40" i="1"/>
  <c r="AW15" i="1"/>
  <c r="AW41" i="1"/>
  <c r="AW42" i="1"/>
  <c r="AW14" i="1"/>
  <c r="AW13" i="1"/>
  <c r="AW43" i="1"/>
  <c r="AW44" i="1"/>
  <c r="AW12" i="1"/>
  <c r="AW45" i="1"/>
  <c r="AW11" i="1"/>
  <c r="AW10" i="1"/>
  <c r="AW46" i="1"/>
  <c r="AW47" i="1"/>
  <c r="AW9" i="1"/>
  <c r="AW48" i="1"/>
  <c r="AW8" i="1"/>
  <c r="AW7" i="1"/>
  <c r="AW49" i="1"/>
  <c r="AW6" i="1"/>
  <c r="AW50" i="1"/>
  <c r="AW5" i="1"/>
  <c r="AW51" i="1"/>
  <c r="AY4" i="1" l="1"/>
  <c r="AX52" i="1"/>
  <c r="AX28" i="1"/>
  <c r="AX27" i="1"/>
  <c r="AX29" i="1"/>
  <c r="AX26" i="1"/>
  <c r="AX30" i="1"/>
  <c r="AX25" i="1"/>
  <c r="AX31" i="1"/>
  <c r="AX32" i="1"/>
  <c r="AX24" i="1"/>
  <c r="AX23" i="1"/>
  <c r="AX33" i="1"/>
  <c r="AX22" i="1"/>
  <c r="AX34" i="1"/>
  <c r="AX21" i="1"/>
  <c r="AX35" i="1"/>
  <c r="AX36" i="1"/>
  <c r="AX20" i="1"/>
  <c r="AX19" i="1"/>
  <c r="AX37" i="1"/>
  <c r="AX38" i="1"/>
  <c r="AX18" i="1"/>
  <c r="AX17" i="1"/>
  <c r="AX39" i="1"/>
  <c r="AX40" i="1"/>
  <c r="AX16" i="1"/>
  <c r="AX41" i="1"/>
  <c r="AX15" i="1"/>
  <c r="AX14" i="1"/>
  <c r="AX42" i="1"/>
  <c r="AX43" i="1"/>
  <c r="AX13" i="1"/>
  <c r="AX12" i="1"/>
  <c r="AX44" i="1"/>
  <c r="AX45" i="1"/>
  <c r="AX11" i="1"/>
  <c r="AX46" i="1"/>
  <c r="AX10" i="1"/>
  <c r="AX9" i="1"/>
  <c r="AX47" i="1"/>
  <c r="AX8" i="1"/>
  <c r="AX48" i="1"/>
  <c r="AX49" i="1"/>
  <c r="AX7" i="1"/>
  <c r="AX50" i="1"/>
  <c r="AX6" i="1"/>
  <c r="AX51" i="1"/>
  <c r="AX5" i="1"/>
  <c r="AX52" i="5"/>
  <c r="AY4" i="5"/>
  <c r="AX28" i="5"/>
  <c r="AX29" i="5"/>
  <c r="AX27" i="5"/>
  <c r="AX30" i="5"/>
  <c r="AX26" i="5"/>
  <c r="AX25" i="5"/>
  <c r="AX31" i="5"/>
  <c r="AX24" i="5"/>
  <c r="AX32" i="5"/>
  <c r="AX33" i="5"/>
  <c r="AX23" i="5"/>
  <c r="AX34" i="5"/>
  <c r="AX22" i="5"/>
  <c r="AX21" i="5"/>
  <c r="AX35" i="5"/>
  <c r="AX20" i="5"/>
  <c r="AX36" i="5"/>
  <c r="AX37" i="5"/>
  <c r="AX19" i="5"/>
  <c r="AX18" i="5"/>
  <c r="AX38" i="5"/>
  <c r="AX17" i="5"/>
  <c r="AX39" i="5"/>
  <c r="AX40" i="5"/>
  <c r="AX16" i="5"/>
  <c r="AX41" i="5"/>
  <c r="AX15" i="5"/>
  <c r="AX14" i="5"/>
  <c r="AX42" i="5"/>
  <c r="AX43" i="5"/>
  <c r="AX13" i="5"/>
  <c r="AX12" i="5"/>
  <c r="AX44" i="5"/>
  <c r="AX45" i="5"/>
  <c r="AX11" i="5"/>
  <c r="AX10" i="5"/>
  <c r="AX46" i="5"/>
  <c r="AX9" i="5"/>
  <c r="AX47" i="5"/>
  <c r="AX8" i="5"/>
  <c r="AX48" i="5"/>
  <c r="AX7" i="5"/>
  <c r="AX49" i="5"/>
  <c r="AX6" i="5"/>
  <c r="AX50" i="5"/>
  <c r="AX51" i="5"/>
  <c r="AX5" i="5"/>
  <c r="AY52" i="5" l="1"/>
  <c r="AZ4" i="5"/>
  <c r="AY28" i="5"/>
  <c r="AY29" i="5"/>
  <c r="AY27" i="5"/>
  <c r="AY30" i="5"/>
  <c r="AY26" i="5"/>
  <c r="AY31" i="5"/>
  <c r="AY25" i="5"/>
  <c r="AY24" i="5"/>
  <c r="AY32" i="5"/>
  <c r="AY23" i="5"/>
  <c r="AY33" i="5"/>
  <c r="AY34" i="5"/>
  <c r="AY22" i="5"/>
  <c r="AY35" i="5"/>
  <c r="AY21" i="5"/>
  <c r="AY36" i="5"/>
  <c r="AY20" i="5"/>
  <c r="AY19" i="5"/>
  <c r="AY37" i="5"/>
  <c r="AY38" i="5"/>
  <c r="AY18" i="5"/>
  <c r="AY17" i="5"/>
  <c r="AY39" i="5"/>
  <c r="AY16" i="5"/>
  <c r="AY40" i="5"/>
  <c r="AY41" i="5"/>
  <c r="AY15" i="5"/>
  <c r="AY14" i="5"/>
  <c r="AY42" i="5"/>
  <c r="AY43" i="5"/>
  <c r="AY13" i="5"/>
  <c r="AY44" i="5"/>
  <c r="AY12" i="5"/>
  <c r="AY45" i="5"/>
  <c r="AY11" i="5"/>
  <c r="AY46" i="5"/>
  <c r="AY10" i="5"/>
  <c r="AY9" i="5"/>
  <c r="AY47" i="5"/>
  <c r="AY8" i="5"/>
  <c r="AY48" i="5"/>
  <c r="AY49" i="5"/>
  <c r="AY7" i="5"/>
  <c r="AY50" i="5"/>
  <c r="AY6" i="5"/>
  <c r="AY5" i="5"/>
  <c r="AY51" i="5"/>
  <c r="AZ4" i="1"/>
  <c r="AY52" i="1"/>
  <c r="AY28" i="1"/>
  <c r="AY29" i="1"/>
  <c r="AY27" i="1"/>
  <c r="AY30" i="1"/>
  <c r="AY26" i="1"/>
  <c r="AY25" i="1"/>
  <c r="AY31" i="1"/>
  <c r="AY24" i="1"/>
  <c r="AY32" i="1"/>
  <c r="AY23" i="1"/>
  <c r="AY33" i="1"/>
  <c r="AY34" i="1"/>
  <c r="AY22" i="1"/>
  <c r="AY35" i="1"/>
  <c r="AY21" i="1"/>
  <c r="AY36" i="1"/>
  <c r="AY20" i="1"/>
  <c r="AY19" i="1"/>
  <c r="AY37" i="1"/>
  <c r="AY38" i="1"/>
  <c r="AY18" i="1"/>
  <c r="AY39" i="1"/>
  <c r="AY17" i="1"/>
  <c r="AY16" i="1"/>
  <c r="AY40" i="1"/>
  <c r="AY41" i="1"/>
  <c r="AY15" i="1"/>
  <c r="AY14" i="1"/>
  <c r="AY42" i="1"/>
  <c r="AY13" i="1"/>
  <c r="AY43" i="1"/>
  <c r="AY44" i="1"/>
  <c r="AY12" i="1"/>
  <c r="AY45" i="1"/>
  <c r="AY11" i="1"/>
  <c r="AY10" i="1"/>
  <c r="AY46" i="1"/>
  <c r="AY47" i="1"/>
  <c r="AY9" i="1"/>
  <c r="AY48" i="1"/>
  <c r="AY8" i="1"/>
  <c r="AY49" i="1"/>
  <c r="AY7" i="1"/>
  <c r="AY6" i="1"/>
  <c r="AY50" i="1"/>
  <c r="AY5" i="1"/>
  <c r="AY51" i="1"/>
  <c r="BA4" i="1" l="1"/>
  <c r="AZ52" i="1"/>
  <c r="AZ28" i="1"/>
  <c r="AZ29" i="1"/>
  <c r="AZ27" i="1"/>
  <c r="AZ26" i="1"/>
  <c r="AZ30" i="1"/>
  <c r="AZ25" i="1"/>
  <c r="AZ31" i="1"/>
  <c r="AZ24" i="1"/>
  <c r="AZ32" i="1"/>
  <c r="AZ23" i="1"/>
  <c r="AZ33" i="1"/>
  <c r="AZ34" i="1"/>
  <c r="AZ22" i="1"/>
  <c r="AZ35" i="1"/>
  <c r="AZ21" i="1"/>
  <c r="AZ36" i="1"/>
  <c r="AZ20" i="1"/>
  <c r="AZ19" i="1"/>
  <c r="AZ37" i="1"/>
  <c r="AZ38" i="1"/>
  <c r="AZ18" i="1"/>
  <c r="AZ39" i="1"/>
  <c r="AZ17" i="1"/>
  <c r="AZ16" i="1"/>
  <c r="AZ40" i="1"/>
  <c r="AZ41" i="1"/>
  <c r="AZ15" i="1"/>
  <c r="AZ42" i="1"/>
  <c r="AZ14" i="1"/>
  <c r="AZ43" i="1"/>
  <c r="AZ13" i="1"/>
  <c r="AZ44" i="1"/>
  <c r="AZ12" i="1"/>
  <c r="AZ11" i="1"/>
  <c r="AZ45" i="1"/>
  <c r="AZ10" i="1"/>
  <c r="AZ46" i="1"/>
  <c r="AZ9" i="1"/>
  <c r="AZ47" i="1"/>
  <c r="AZ48" i="1"/>
  <c r="AZ8" i="1"/>
  <c r="AZ7" i="1"/>
  <c r="AZ49" i="1"/>
  <c r="AZ6" i="1"/>
  <c r="AZ50" i="1"/>
  <c r="AZ51" i="1"/>
  <c r="AZ5" i="1"/>
  <c r="AZ52" i="5"/>
  <c r="BA4" i="5"/>
  <c r="AZ28" i="5"/>
  <c r="AZ27" i="5"/>
  <c r="AZ29" i="5"/>
  <c r="AZ30" i="5"/>
  <c r="AZ26" i="5"/>
  <c r="AZ25" i="5"/>
  <c r="AZ31" i="5"/>
  <c r="AZ24" i="5"/>
  <c r="AZ32" i="5"/>
  <c r="AZ33" i="5"/>
  <c r="AZ23" i="5"/>
  <c r="AZ34" i="5"/>
  <c r="AZ22" i="5"/>
  <c r="AZ21" i="5"/>
  <c r="AZ35" i="5"/>
  <c r="AZ20" i="5"/>
  <c r="AZ36" i="5"/>
  <c r="AZ37" i="5"/>
  <c r="AZ19" i="5"/>
  <c r="AZ18" i="5"/>
  <c r="AZ38" i="5"/>
  <c r="AZ17" i="5"/>
  <c r="AZ39" i="5"/>
  <c r="AZ16" i="5"/>
  <c r="AZ40" i="5"/>
  <c r="AZ41" i="5"/>
  <c r="AZ15" i="5"/>
  <c r="AZ14" i="5"/>
  <c r="AZ42" i="5"/>
  <c r="AZ43" i="5"/>
  <c r="AZ13" i="5"/>
  <c r="AZ12" i="5"/>
  <c r="AZ44" i="5"/>
  <c r="AZ45" i="5"/>
  <c r="AZ11" i="5"/>
  <c r="AZ46" i="5"/>
  <c r="AZ10" i="5"/>
  <c r="AZ47" i="5"/>
  <c r="AZ9" i="5"/>
  <c r="AZ8" i="5"/>
  <c r="AZ48" i="5"/>
  <c r="AZ49" i="5"/>
  <c r="AZ7" i="5"/>
  <c r="AZ50" i="5"/>
  <c r="AZ6" i="5"/>
  <c r="AZ51" i="5"/>
  <c r="AZ5" i="5"/>
  <c r="BA52" i="5" l="1"/>
  <c r="BB4" i="5"/>
  <c r="BA28" i="5"/>
  <c r="BA29" i="5"/>
  <c r="BA27" i="5"/>
  <c r="BA30" i="5"/>
  <c r="BA26" i="5"/>
  <c r="BA25" i="5"/>
  <c r="BA31" i="5"/>
  <c r="BA24" i="5"/>
  <c r="BA32" i="5"/>
  <c r="BA33" i="5"/>
  <c r="BA23" i="5"/>
  <c r="BA34" i="5"/>
  <c r="BA22" i="5"/>
  <c r="BA35" i="5"/>
  <c r="BA21" i="5"/>
  <c r="BA20" i="5"/>
  <c r="BA36" i="5"/>
  <c r="BA37" i="5"/>
  <c r="BA19" i="5"/>
  <c r="BA18" i="5"/>
  <c r="BA38" i="5"/>
  <c r="BA17" i="5"/>
  <c r="BA39" i="5"/>
  <c r="BA40" i="5"/>
  <c r="BA16" i="5"/>
  <c r="BA15" i="5"/>
  <c r="BA41" i="5"/>
  <c r="BA14" i="5"/>
  <c r="BA42" i="5"/>
  <c r="BA13" i="5"/>
  <c r="BA43" i="5"/>
  <c r="BA44" i="5"/>
  <c r="BA12" i="5"/>
  <c r="BA11" i="5"/>
  <c r="BA45" i="5"/>
  <c r="BA46" i="5"/>
  <c r="BA10" i="5"/>
  <c r="BA9" i="5"/>
  <c r="BA47" i="5"/>
  <c r="BA8" i="5"/>
  <c r="BA48" i="5"/>
  <c r="BA7" i="5"/>
  <c r="BA49" i="5"/>
  <c r="BA6" i="5"/>
  <c r="BA50" i="5"/>
  <c r="BA51" i="5"/>
  <c r="BA5" i="5"/>
  <c r="BB4" i="1"/>
  <c r="BA52" i="1"/>
  <c r="BA28" i="1"/>
  <c r="BA29" i="1"/>
  <c r="BA27" i="1"/>
  <c r="BA30" i="1"/>
  <c r="BA26" i="1"/>
  <c r="BA31" i="1"/>
  <c r="BA25" i="1"/>
  <c r="BA32" i="1"/>
  <c r="BA24" i="1"/>
  <c r="BA33" i="1"/>
  <c r="BA23" i="1"/>
  <c r="BA34" i="1"/>
  <c r="BA22" i="1"/>
  <c r="BA35" i="1"/>
  <c r="BA21" i="1"/>
  <c r="BA36" i="1"/>
  <c r="BA20" i="1"/>
  <c r="BA19" i="1"/>
  <c r="BA37" i="1"/>
  <c r="BA38" i="1"/>
  <c r="BA18" i="1"/>
  <c r="BA39" i="1"/>
  <c r="BA17" i="1"/>
  <c r="BA16" i="1"/>
  <c r="BA40" i="1"/>
  <c r="BA15" i="1"/>
  <c r="BA41" i="1"/>
  <c r="BA14" i="1"/>
  <c r="BA42" i="1"/>
  <c r="BA13" i="1"/>
  <c r="BA43" i="1"/>
  <c r="BA12" i="1"/>
  <c r="BA44" i="1"/>
  <c r="BA45" i="1"/>
  <c r="BA11" i="1"/>
  <c r="BA46" i="1"/>
  <c r="BA10" i="1"/>
  <c r="BA47" i="1"/>
  <c r="BA9" i="1"/>
  <c r="BA48" i="1"/>
  <c r="BA8" i="1"/>
  <c r="BA7" i="1"/>
  <c r="BA49" i="1"/>
  <c r="BA50" i="1"/>
  <c r="BA6" i="1"/>
  <c r="BA5" i="1"/>
  <c r="BA51" i="1"/>
  <c r="BC4" i="1" l="1"/>
  <c r="BB52" i="1"/>
  <c r="BB28" i="1"/>
  <c r="BB27" i="1"/>
  <c r="BB29" i="1"/>
  <c r="BB26" i="1"/>
  <c r="BB30" i="1"/>
  <c r="BB25" i="1"/>
  <c r="BB31" i="1"/>
  <c r="BB24" i="1"/>
  <c r="BB32" i="1"/>
  <c r="BB23" i="1"/>
  <c r="BB33" i="1"/>
  <c r="BB22" i="1"/>
  <c r="BB34" i="1"/>
  <c r="BB21" i="1"/>
  <c r="BB35" i="1"/>
  <c r="BB36" i="1"/>
  <c r="BB20" i="1"/>
  <c r="BB37" i="1"/>
  <c r="BB19" i="1"/>
  <c r="BB38" i="1"/>
  <c r="BB18" i="1"/>
  <c r="BB17" i="1"/>
  <c r="BB39" i="1"/>
  <c r="BB16" i="1"/>
  <c r="BB40" i="1"/>
  <c r="BB41" i="1"/>
  <c r="BB15" i="1"/>
  <c r="BB14" i="1"/>
  <c r="BB42" i="1"/>
  <c r="BB13" i="1"/>
  <c r="BB43" i="1"/>
  <c r="BB12" i="1"/>
  <c r="BB44" i="1"/>
  <c r="BB45" i="1"/>
  <c r="BB11" i="1"/>
  <c r="BB10" i="1"/>
  <c r="BB46" i="1"/>
  <c r="BB9" i="1"/>
  <c r="BB47" i="1"/>
  <c r="BB48" i="1"/>
  <c r="BB8" i="1"/>
  <c r="BB49" i="1"/>
  <c r="BB7" i="1"/>
  <c r="BB50" i="1"/>
  <c r="BB6" i="1"/>
  <c r="BB5" i="1"/>
  <c r="BB51" i="1"/>
  <c r="BB52" i="5"/>
  <c r="BC4" i="5"/>
  <c r="BB28" i="5"/>
  <c r="BB27" i="5"/>
  <c r="BB29" i="5"/>
  <c r="BB26" i="5"/>
  <c r="BB30" i="5"/>
  <c r="BB31" i="5"/>
  <c r="BB25" i="5"/>
  <c r="BB24" i="5"/>
  <c r="BB32" i="5"/>
  <c r="BB33" i="5"/>
  <c r="BB23" i="5"/>
  <c r="BB22" i="5"/>
  <c r="BB34" i="5"/>
  <c r="BB21" i="5"/>
  <c r="BB35" i="5"/>
  <c r="BB36" i="5"/>
  <c r="BB20" i="5"/>
  <c r="BB37" i="5"/>
  <c r="BB19" i="5"/>
  <c r="BB38" i="5"/>
  <c r="BB18" i="5"/>
  <c r="BB17" i="5"/>
  <c r="BB39" i="5"/>
  <c r="BB16" i="5"/>
  <c r="BB40" i="5"/>
  <c r="BB41" i="5"/>
  <c r="BB15" i="5"/>
  <c r="BB42" i="5"/>
  <c r="BB14" i="5"/>
  <c r="BB43" i="5"/>
  <c r="BB13" i="5"/>
  <c r="BB12" i="5"/>
  <c r="BB44" i="5"/>
  <c r="BB45" i="5"/>
  <c r="BB11" i="5"/>
  <c r="BB10" i="5"/>
  <c r="BB46" i="5"/>
  <c r="BB9" i="5"/>
  <c r="BB47" i="5"/>
  <c r="BB8" i="5"/>
  <c r="BB48" i="5"/>
  <c r="BB49" i="5"/>
  <c r="BB7" i="5"/>
  <c r="BB50" i="5"/>
  <c r="BB6" i="5"/>
  <c r="BB5" i="5"/>
  <c r="BB51" i="5"/>
  <c r="BC52" i="5" l="1"/>
  <c r="BD4" i="5"/>
  <c r="BC28" i="5"/>
  <c r="BC29" i="5"/>
  <c r="BC27" i="5"/>
  <c r="BC30" i="5"/>
  <c r="BC26" i="5"/>
  <c r="BC25" i="5"/>
  <c r="BC31" i="5"/>
  <c r="BC32" i="5"/>
  <c r="BC24" i="5"/>
  <c r="BC23" i="5"/>
  <c r="BC33" i="5"/>
  <c r="BC34" i="5"/>
  <c r="BC22" i="5"/>
  <c r="BC35" i="5"/>
  <c r="BC21" i="5"/>
  <c r="BC20" i="5"/>
  <c r="BC36" i="5"/>
  <c r="BC19" i="5"/>
  <c r="BC37" i="5"/>
  <c r="BC38" i="5"/>
  <c r="BC18" i="5"/>
  <c r="BC17" i="5"/>
  <c r="BC39" i="5"/>
  <c r="BC40" i="5"/>
  <c r="BC16" i="5"/>
  <c r="BC41" i="5"/>
  <c r="BC15" i="5"/>
  <c r="BC14" i="5"/>
  <c r="BC42" i="5"/>
  <c r="BC43" i="5"/>
  <c r="BC13" i="5"/>
  <c r="BC44" i="5"/>
  <c r="BC12" i="5"/>
  <c r="BC11" i="5"/>
  <c r="BC45" i="5"/>
  <c r="BC46" i="5"/>
  <c r="BC10" i="5"/>
  <c r="BC47" i="5"/>
  <c r="BC9" i="5"/>
  <c r="BC8" i="5"/>
  <c r="BC48" i="5"/>
  <c r="BC7" i="5"/>
  <c r="BC49" i="5"/>
  <c r="BC6" i="5"/>
  <c r="BC50" i="5"/>
  <c r="BC5" i="5"/>
  <c r="BC51" i="5"/>
  <c r="BD4" i="1"/>
  <c r="BC52" i="1"/>
  <c r="BC28" i="1"/>
  <c r="BC29" i="1"/>
  <c r="BC27" i="1"/>
  <c r="BC30" i="1"/>
  <c r="BC26" i="1"/>
  <c r="BC31" i="1"/>
  <c r="BC25" i="1"/>
  <c r="BC32" i="1"/>
  <c r="BC24" i="1"/>
  <c r="BC33" i="1"/>
  <c r="BC23" i="1"/>
  <c r="BC34" i="1"/>
  <c r="BC22" i="1"/>
  <c r="BC35" i="1"/>
  <c r="BC21" i="1"/>
  <c r="BC36" i="1"/>
  <c r="BC20" i="1"/>
  <c r="BC19" i="1"/>
  <c r="BC37" i="1"/>
  <c r="BC38" i="1"/>
  <c r="BC18" i="1"/>
  <c r="BC17" i="1"/>
  <c r="BC39" i="1"/>
  <c r="BC40" i="1"/>
  <c r="BC16" i="1"/>
  <c r="BC41" i="1"/>
  <c r="BC15" i="1"/>
  <c r="BC14" i="1"/>
  <c r="BC42" i="1"/>
  <c r="BC43" i="1"/>
  <c r="BC13" i="1"/>
  <c r="BC12" i="1"/>
  <c r="BC44" i="1"/>
  <c r="BC11" i="1"/>
  <c r="BC45" i="1"/>
  <c r="BC46" i="1"/>
  <c r="BC10" i="1"/>
  <c r="BC9" i="1"/>
  <c r="BC47" i="1"/>
  <c r="BC48" i="1"/>
  <c r="BC8" i="1"/>
  <c r="BC7" i="1"/>
  <c r="BC49" i="1"/>
  <c r="BC6" i="1"/>
  <c r="BC50" i="1"/>
  <c r="BC5" i="1"/>
  <c r="BC51" i="1"/>
  <c r="BE4" i="1" l="1"/>
  <c r="BD52" i="1"/>
  <c r="BD28" i="1"/>
  <c r="BD29" i="1"/>
  <c r="BD27" i="1"/>
  <c r="BD30" i="1"/>
  <c r="BD26" i="1"/>
  <c r="BD25" i="1"/>
  <c r="BD31" i="1"/>
  <c r="BD24" i="1"/>
  <c r="BD32" i="1"/>
  <c r="BD23" i="1"/>
  <c r="BD33" i="1"/>
  <c r="BD34" i="1"/>
  <c r="BD22" i="1"/>
  <c r="BD35" i="1"/>
  <c r="BD21" i="1"/>
  <c r="BD20" i="1"/>
  <c r="BD36" i="1"/>
  <c r="BD19" i="1"/>
  <c r="BD37" i="1"/>
  <c r="BD38" i="1"/>
  <c r="BD18" i="1"/>
  <c r="BD39" i="1"/>
  <c r="BD17" i="1"/>
  <c r="BD16" i="1"/>
  <c r="BD40" i="1"/>
  <c r="BD41" i="1"/>
  <c r="BD15" i="1"/>
  <c r="BD14" i="1"/>
  <c r="BD42" i="1"/>
  <c r="BD13" i="1"/>
  <c r="BD43" i="1"/>
  <c r="BD44" i="1"/>
  <c r="BD12" i="1"/>
  <c r="BD45" i="1"/>
  <c r="BD11" i="1"/>
  <c r="BD46" i="1"/>
  <c r="BD10" i="1"/>
  <c r="BD47" i="1"/>
  <c r="BD9" i="1"/>
  <c r="BD48" i="1"/>
  <c r="BD8" i="1"/>
  <c r="BD7" i="1"/>
  <c r="BD49" i="1"/>
  <c r="BD6" i="1"/>
  <c r="BD50" i="1"/>
  <c r="BD5" i="1"/>
  <c r="BD51" i="1"/>
  <c r="BD52" i="5"/>
  <c r="BE4" i="5"/>
  <c r="BD28" i="5"/>
  <c r="BD29" i="5"/>
  <c r="BD27" i="5"/>
  <c r="BD26" i="5"/>
  <c r="BD30" i="5"/>
  <c r="BD31" i="5"/>
  <c r="BD25" i="5"/>
  <c r="BD24" i="5"/>
  <c r="BD32" i="5"/>
  <c r="BD33" i="5"/>
  <c r="BD23" i="5"/>
  <c r="BD34" i="5"/>
  <c r="BD22" i="5"/>
  <c r="BD21" i="5"/>
  <c r="BD35" i="5"/>
  <c r="BD36" i="5"/>
  <c r="BD20" i="5"/>
  <c r="BD19" i="5"/>
  <c r="BD37" i="5"/>
  <c r="BD38" i="5"/>
  <c r="BD18" i="5"/>
  <c r="BD17" i="5"/>
  <c r="BD39" i="5"/>
  <c r="BD16" i="5"/>
  <c r="BD40" i="5"/>
  <c r="BD15" i="5"/>
  <c r="BD41" i="5"/>
  <c r="BD14" i="5"/>
  <c r="BD42" i="5"/>
  <c r="BD43" i="5"/>
  <c r="BD13" i="5"/>
  <c r="BD44" i="5"/>
  <c r="BD12" i="5"/>
  <c r="BD45" i="5"/>
  <c r="BD11" i="5"/>
  <c r="BD10" i="5"/>
  <c r="BD46" i="5"/>
  <c r="BD47" i="5"/>
  <c r="BD9" i="5"/>
  <c r="BD48" i="5"/>
  <c r="BD8" i="5"/>
  <c r="BD49" i="5"/>
  <c r="BD7" i="5"/>
  <c r="BD50" i="5"/>
  <c r="BD6" i="5"/>
  <c r="BD5" i="5"/>
  <c r="BD51" i="5"/>
  <c r="BE52" i="5" l="1"/>
  <c r="BF4" i="5"/>
  <c r="BE28" i="5"/>
  <c r="BE27" i="5"/>
  <c r="BE29" i="5"/>
  <c r="BE30" i="5"/>
  <c r="BE26" i="5"/>
  <c r="BE31" i="5"/>
  <c r="BE25" i="5"/>
  <c r="BE24" i="5"/>
  <c r="BE32" i="5"/>
  <c r="BE33" i="5"/>
  <c r="BE23" i="5"/>
  <c r="BE34" i="5"/>
  <c r="BE22" i="5"/>
  <c r="BE21" i="5"/>
  <c r="BE35" i="5"/>
  <c r="BE36" i="5"/>
  <c r="BE20" i="5"/>
  <c r="BE37" i="5"/>
  <c r="BE19" i="5"/>
  <c r="BE38" i="5"/>
  <c r="BE18" i="5"/>
  <c r="BE17" i="5"/>
  <c r="BE39" i="5"/>
  <c r="BE16" i="5"/>
  <c r="BE40" i="5"/>
  <c r="BE41" i="5"/>
  <c r="BE15" i="5"/>
  <c r="BE42" i="5"/>
  <c r="BE14" i="5"/>
  <c r="BE43" i="5"/>
  <c r="BE13" i="5"/>
  <c r="BE12" i="5"/>
  <c r="BE44" i="5"/>
  <c r="BE45" i="5"/>
  <c r="BE11" i="5"/>
  <c r="BE46" i="5"/>
  <c r="BE10" i="5"/>
  <c r="BE9" i="5"/>
  <c r="BE47" i="5"/>
  <c r="BE8" i="5"/>
  <c r="BE48" i="5"/>
  <c r="BE49" i="5"/>
  <c r="BE7" i="5"/>
  <c r="BE6" i="5"/>
  <c r="BE50" i="5"/>
  <c r="BE5" i="5"/>
  <c r="BE51" i="5"/>
  <c r="BF4" i="1"/>
  <c r="BE52" i="1"/>
  <c r="BE28" i="1"/>
  <c r="BE27" i="1"/>
  <c r="BE29" i="1"/>
  <c r="BE30" i="1"/>
  <c r="BE26" i="1"/>
  <c r="BE25" i="1"/>
  <c r="BE31" i="1"/>
  <c r="BE24" i="1"/>
  <c r="BE32" i="1"/>
  <c r="BE23" i="1"/>
  <c r="BE33" i="1"/>
  <c r="BE34" i="1"/>
  <c r="BE22" i="1"/>
  <c r="BE35" i="1"/>
  <c r="BE21" i="1"/>
  <c r="BE36" i="1"/>
  <c r="BE20" i="1"/>
  <c r="BE19" i="1"/>
  <c r="BE37" i="1"/>
  <c r="BE38" i="1"/>
  <c r="BE18" i="1"/>
  <c r="BE17" i="1"/>
  <c r="BE39" i="1"/>
  <c r="BE40" i="1"/>
  <c r="BE16" i="1"/>
  <c r="BE15" i="1"/>
  <c r="BE41" i="1"/>
  <c r="BE14" i="1"/>
  <c r="BE42" i="1"/>
  <c r="BE43" i="1"/>
  <c r="BE13" i="1"/>
  <c r="BE12" i="1"/>
  <c r="BE44" i="1"/>
  <c r="BE11" i="1"/>
  <c r="BE45" i="1"/>
  <c r="BE10" i="1"/>
  <c r="BE46" i="1"/>
  <c r="BE9" i="1"/>
  <c r="BE47" i="1"/>
  <c r="BE8" i="1"/>
  <c r="BE48" i="1"/>
  <c r="BE7" i="1"/>
  <c r="BE49" i="1"/>
  <c r="BE50" i="1"/>
  <c r="BE6" i="1"/>
  <c r="BE51" i="1"/>
  <c r="BE5" i="1"/>
  <c r="BG4" i="1" l="1"/>
  <c r="BF52" i="1"/>
  <c r="BF28" i="1"/>
  <c r="BF29" i="1"/>
  <c r="BF27" i="1"/>
  <c r="BF26" i="1"/>
  <c r="BF30" i="1"/>
  <c r="BF25" i="1"/>
  <c r="BF31" i="1"/>
  <c r="BF24" i="1"/>
  <c r="BF32" i="1"/>
  <c r="BF23" i="1"/>
  <c r="BF33" i="1"/>
  <c r="BF22" i="1"/>
  <c r="BF34" i="1"/>
  <c r="BF35" i="1"/>
  <c r="BF21" i="1"/>
  <c r="BF20" i="1"/>
  <c r="BF36" i="1"/>
  <c r="BF37" i="1"/>
  <c r="BF19" i="1"/>
  <c r="BF38" i="1"/>
  <c r="BF18" i="1"/>
  <c r="BF17" i="1"/>
  <c r="BF39" i="1"/>
  <c r="BF16" i="1"/>
  <c r="BF40" i="1"/>
  <c r="BF41" i="1"/>
  <c r="BF15" i="1"/>
  <c r="BF42" i="1"/>
  <c r="BF14" i="1"/>
  <c r="BF13" i="1"/>
  <c r="BF43" i="1"/>
  <c r="BF44" i="1"/>
  <c r="BF12" i="1"/>
  <c r="BF45" i="1"/>
  <c r="BF11" i="1"/>
  <c r="BF10" i="1"/>
  <c r="BF46" i="1"/>
  <c r="BF47" i="1"/>
  <c r="BF9" i="1"/>
  <c r="BF48" i="1"/>
  <c r="BF8" i="1"/>
  <c r="BF7" i="1"/>
  <c r="BF49" i="1"/>
  <c r="BF6" i="1"/>
  <c r="BF50" i="1"/>
  <c r="BF51" i="1"/>
  <c r="BF5" i="1"/>
  <c r="BF52" i="5"/>
  <c r="BG4" i="5"/>
  <c r="BF28" i="5"/>
  <c r="BF29" i="5"/>
  <c r="BF27" i="5"/>
  <c r="BF30" i="5"/>
  <c r="BF26" i="5"/>
  <c r="BF31" i="5"/>
  <c r="BF25" i="5"/>
  <c r="BF24" i="5"/>
  <c r="BF32" i="5"/>
  <c r="BF23" i="5"/>
  <c r="BF33" i="5"/>
  <c r="BF34" i="5"/>
  <c r="BF22" i="5"/>
  <c r="BF35" i="5"/>
  <c r="BF21" i="5"/>
  <c r="BF36" i="5"/>
  <c r="BF20" i="5"/>
  <c r="BF19" i="5"/>
  <c r="BF37" i="5"/>
  <c r="BF38" i="5"/>
  <c r="BF18" i="5"/>
  <c r="BF17" i="5"/>
  <c r="BF39" i="5"/>
  <c r="BF16" i="5"/>
  <c r="BF40" i="5"/>
  <c r="BF15" i="5"/>
  <c r="BF41" i="5"/>
  <c r="BF42" i="5"/>
  <c r="BF14" i="5"/>
  <c r="BF43" i="5"/>
  <c r="BF13" i="5"/>
  <c r="BF44" i="5"/>
  <c r="BF12" i="5"/>
  <c r="BF45" i="5"/>
  <c r="BF11" i="5"/>
  <c r="BF10" i="5"/>
  <c r="BF46" i="5"/>
  <c r="BF9" i="5"/>
  <c r="BF47" i="5"/>
  <c r="BF8" i="5"/>
  <c r="BF48" i="5"/>
  <c r="BF49" i="5"/>
  <c r="BF7" i="5"/>
  <c r="BF50" i="5"/>
  <c r="BF6" i="5"/>
  <c r="BF51" i="5"/>
  <c r="BF5" i="5"/>
  <c r="BG52" i="5" l="1"/>
  <c r="BH4" i="5"/>
  <c r="BG28" i="5"/>
  <c r="BG27" i="5"/>
  <c r="BG29" i="5"/>
  <c r="BG30" i="5"/>
  <c r="BG26" i="5"/>
  <c r="BG25" i="5"/>
  <c r="BG31" i="5"/>
  <c r="BG24" i="5"/>
  <c r="BG32" i="5"/>
  <c r="BG33" i="5"/>
  <c r="BG23" i="5"/>
  <c r="BG34" i="5"/>
  <c r="BG22" i="5"/>
  <c r="BG21" i="5"/>
  <c r="BG35" i="5"/>
  <c r="BG20" i="5"/>
  <c r="BG36" i="5"/>
  <c r="BG37" i="5"/>
  <c r="BG19" i="5"/>
  <c r="BG18" i="5"/>
  <c r="BG38" i="5"/>
  <c r="BG17" i="5"/>
  <c r="BG39" i="5"/>
  <c r="BG40" i="5"/>
  <c r="BG16" i="5"/>
  <c r="BG41" i="5"/>
  <c r="BG15" i="5"/>
  <c r="BG14" i="5"/>
  <c r="BG42" i="5"/>
  <c r="BG43" i="5"/>
  <c r="BG13" i="5"/>
  <c r="BG12" i="5"/>
  <c r="BG44" i="5"/>
  <c r="BG11" i="5"/>
  <c r="BG45" i="5"/>
  <c r="BG46" i="5"/>
  <c r="BG10" i="5"/>
  <c r="BG9" i="5"/>
  <c r="BG47" i="5"/>
  <c r="BG8" i="5"/>
  <c r="BG48" i="5"/>
  <c r="BG7" i="5"/>
  <c r="BG49" i="5"/>
  <c r="BG50" i="5"/>
  <c r="BG6" i="5"/>
  <c r="BG51" i="5"/>
  <c r="BG5" i="5"/>
  <c r="BH4" i="1"/>
  <c r="BG52" i="1"/>
  <c r="BG28" i="1"/>
  <c r="BG27" i="1"/>
  <c r="BG29" i="1"/>
  <c r="BG26" i="1"/>
  <c r="BG30" i="1"/>
  <c r="BG25" i="1"/>
  <c r="BG31" i="1"/>
  <c r="BG24" i="1"/>
  <c r="BG32" i="1"/>
  <c r="BG23" i="1"/>
  <c r="BG33" i="1"/>
  <c r="BG22" i="1"/>
  <c r="BG34" i="1"/>
  <c r="BG21" i="1"/>
  <c r="BG35" i="1"/>
  <c r="BG36" i="1"/>
  <c r="BG20" i="1"/>
  <c r="BG19" i="1"/>
  <c r="BG37" i="1"/>
  <c r="BG38" i="1"/>
  <c r="BG18" i="1"/>
  <c r="BG39" i="1"/>
  <c r="BG17" i="1"/>
  <c r="BG16" i="1"/>
  <c r="BG40" i="1"/>
  <c r="BG41" i="1"/>
  <c r="BG15" i="1"/>
  <c r="BG14" i="1"/>
  <c r="BG42" i="1"/>
  <c r="BG43" i="1"/>
  <c r="BG13" i="1"/>
  <c r="BG12" i="1"/>
  <c r="BG44" i="1"/>
  <c r="BG45" i="1"/>
  <c r="BG11" i="1"/>
  <c r="BG46" i="1"/>
  <c r="BG10" i="1"/>
  <c r="BG9" i="1"/>
  <c r="BG47" i="1"/>
  <c r="BG8" i="1"/>
  <c r="BG48" i="1"/>
  <c r="BG7" i="1"/>
  <c r="BG49" i="1"/>
  <c r="BG50" i="1"/>
  <c r="BG6" i="1"/>
  <c r="BG51" i="1"/>
  <c r="BG5" i="1"/>
  <c r="BI4" i="1" l="1"/>
  <c r="BH52" i="1"/>
  <c r="BH28" i="1"/>
  <c r="BH27" i="1"/>
  <c r="BH29" i="1"/>
  <c r="BH30" i="1"/>
  <c r="BH26" i="1"/>
  <c r="BH31" i="1"/>
  <c r="BH25" i="1"/>
  <c r="BH24" i="1"/>
  <c r="BH32" i="1"/>
  <c r="BH33" i="1"/>
  <c r="BH23" i="1"/>
  <c r="BH34" i="1"/>
  <c r="BH22" i="1"/>
  <c r="BH35" i="1"/>
  <c r="BH21" i="1"/>
  <c r="BH20" i="1"/>
  <c r="BH36" i="1"/>
  <c r="BH19" i="1"/>
  <c r="BH37" i="1"/>
  <c r="BH38" i="1"/>
  <c r="BH18" i="1"/>
  <c r="BH17" i="1"/>
  <c r="BH39" i="1"/>
  <c r="BH40" i="1"/>
  <c r="BH16" i="1"/>
  <c r="BH41" i="1"/>
  <c r="BH15" i="1"/>
  <c r="BH14" i="1"/>
  <c r="BH42" i="1"/>
  <c r="BH43" i="1"/>
  <c r="BH13" i="1"/>
  <c r="BH12" i="1"/>
  <c r="BH44" i="1"/>
  <c r="BH11" i="1"/>
  <c r="BH45" i="1"/>
  <c r="BH10" i="1"/>
  <c r="BH46" i="1"/>
  <c r="BH9" i="1"/>
  <c r="BH47" i="1"/>
  <c r="BH48" i="1"/>
  <c r="BH8" i="1"/>
  <c r="BH7" i="1"/>
  <c r="BH49" i="1"/>
  <c r="BH50" i="1"/>
  <c r="BH6" i="1"/>
  <c r="BH51" i="1"/>
  <c r="BH5" i="1"/>
  <c r="BH52" i="5"/>
  <c r="BI4" i="5"/>
  <c r="BH28" i="5"/>
  <c r="BH29" i="5"/>
  <c r="BH27" i="5"/>
  <c r="BH26" i="5"/>
  <c r="BH30" i="5"/>
  <c r="BH31" i="5"/>
  <c r="BH25" i="5"/>
  <c r="BH24" i="5"/>
  <c r="BH32" i="5"/>
  <c r="BH23" i="5"/>
  <c r="BH33" i="5"/>
  <c r="BH34" i="5"/>
  <c r="BH22" i="5"/>
  <c r="BH35" i="5"/>
  <c r="BH21" i="5"/>
  <c r="BH36" i="5"/>
  <c r="BH20" i="5"/>
  <c r="BH19" i="5"/>
  <c r="BH37" i="5"/>
  <c r="BH38" i="5"/>
  <c r="BH18" i="5"/>
  <c r="BH17" i="5"/>
  <c r="BH39" i="5"/>
  <c r="BH16" i="5"/>
  <c r="BH40" i="5"/>
  <c r="BH15" i="5"/>
  <c r="BH41" i="5"/>
  <c r="BH14" i="5"/>
  <c r="BH42" i="5"/>
  <c r="BH43" i="5"/>
  <c r="BH13" i="5"/>
  <c r="BH44" i="5"/>
  <c r="BH12" i="5"/>
  <c r="BH45" i="5"/>
  <c r="BH11" i="5"/>
  <c r="BH46" i="5"/>
  <c r="BH10" i="5"/>
  <c r="BH47" i="5"/>
  <c r="BH9" i="5"/>
  <c r="BH8" i="5"/>
  <c r="BH48" i="5"/>
  <c r="BH49" i="5"/>
  <c r="BH7" i="5"/>
  <c r="BH6" i="5"/>
  <c r="BH50" i="5"/>
  <c r="BH5" i="5"/>
  <c r="BH51" i="5"/>
  <c r="BI52" i="5" l="1"/>
  <c r="BJ4" i="5"/>
  <c r="BI28" i="5"/>
  <c r="BI29" i="5"/>
  <c r="BI27" i="5"/>
  <c r="BI26" i="5"/>
  <c r="BI30" i="5"/>
  <c r="BI31" i="5"/>
  <c r="BI25" i="5"/>
  <c r="BI24" i="5"/>
  <c r="BI32" i="5"/>
  <c r="BI23" i="5"/>
  <c r="BI33" i="5"/>
  <c r="BI34" i="5"/>
  <c r="BI22" i="5"/>
  <c r="BI21" i="5"/>
  <c r="BI35" i="5"/>
  <c r="BI36" i="5"/>
  <c r="BI20" i="5"/>
  <c r="BI19" i="5"/>
  <c r="BI37" i="5"/>
  <c r="BI38" i="5"/>
  <c r="BI18" i="5"/>
  <c r="BI17" i="5"/>
  <c r="BI39" i="5"/>
  <c r="BI16" i="5"/>
  <c r="BI40" i="5"/>
  <c r="BI15" i="5"/>
  <c r="BI41" i="5"/>
  <c r="BI42" i="5"/>
  <c r="BI14" i="5"/>
  <c r="BI43" i="5"/>
  <c r="BI13" i="5"/>
  <c r="BI44" i="5"/>
  <c r="BI12" i="5"/>
  <c r="BI45" i="5"/>
  <c r="BI11" i="5"/>
  <c r="BI10" i="5"/>
  <c r="BI46" i="5"/>
  <c r="BI9" i="5"/>
  <c r="BI47" i="5"/>
  <c r="BI48" i="5"/>
  <c r="BI8" i="5"/>
  <c r="BI49" i="5"/>
  <c r="BI7" i="5"/>
  <c r="BI50" i="5"/>
  <c r="BI6" i="5"/>
  <c r="BI5" i="5"/>
  <c r="BI51" i="5"/>
  <c r="BJ4" i="1"/>
  <c r="BI52" i="1"/>
  <c r="BI28" i="1"/>
  <c r="BI27" i="1"/>
  <c r="BI29" i="1"/>
  <c r="BI26" i="1"/>
  <c r="BI30" i="1"/>
  <c r="BI25" i="1"/>
  <c r="BI31" i="1"/>
  <c r="BI24" i="1"/>
  <c r="BI32" i="1"/>
  <c r="BI23" i="1"/>
  <c r="BI33" i="1"/>
  <c r="BI22" i="1"/>
  <c r="BI34" i="1"/>
  <c r="BI21" i="1"/>
  <c r="BI35" i="1"/>
  <c r="BI36" i="1"/>
  <c r="BI20" i="1"/>
  <c r="BI19" i="1"/>
  <c r="BI37" i="1"/>
  <c r="BI38" i="1"/>
  <c r="BI18" i="1"/>
  <c r="BI39" i="1"/>
  <c r="BI17" i="1"/>
  <c r="BI16" i="1"/>
  <c r="BI40" i="1"/>
  <c r="BI41" i="1"/>
  <c r="BI15" i="1"/>
  <c r="BI14" i="1"/>
  <c r="BI42" i="1"/>
  <c r="BI13" i="1"/>
  <c r="BI43" i="1"/>
  <c r="BI12" i="1"/>
  <c r="BI44" i="1"/>
  <c r="BI45" i="1"/>
  <c r="BI11" i="1"/>
  <c r="BI10" i="1"/>
  <c r="BI46" i="1"/>
  <c r="BI9" i="1"/>
  <c r="BI47" i="1"/>
  <c r="BI48" i="1"/>
  <c r="BI8" i="1"/>
  <c r="BI49" i="1"/>
  <c r="BI7" i="1"/>
  <c r="BI50" i="1"/>
  <c r="BI6" i="1"/>
  <c r="BI51" i="1"/>
  <c r="BI5" i="1"/>
  <c r="BK4" i="1" l="1"/>
  <c r="BJ52" i="1"/>
  <c r="BJ28" i="1"/>
  <c r="BJ29" i="1"/>
  <c r="BJ27" i="1"/>
  <c r="BJ30" i="1"/>
  <c r="BJ26" i="1"/>
  <c r="BJ31" i="1"/>
  <c r="BJ25" i="1"/>
  <c r="BJ24" i="1"/>
  <c r="BJ32" i="1"/>
  <c r="BJ33" i="1"/>
  <c r="BJ23" i="1"/>
  <c r="BJ22" i="1"/>
  <c r="BJ34" i="1"/>
  <c r="BJ35" i="1"/>
  <c r="BJ21" i="1"/>
  <c r="BJ20" i="1"/>
  <c r="BJ36" i="1"/>
  <c r="BJ37" i="1"/>
  <c r="BJ19" i="1"/>
  <c r="BJ38" i="1"/>
  <c r="BJ18" i="1"/>
  <c r="BJ17" i="1"/>
  <c r="BJ39" i="1"/>
  <c r="BJ16" i="1"/>
  <c r="BJ40" i="1"/>
  <c r="BJ41" i="1"/>
  <c r="BJ15" i="1"/>
  <c r="BJ14" i="1"/>
  <c r="BJ42" i="1"/>
  <c r="BJ43" i="1"/>
  <c r="BJ13" i="1"/>
  <c r="BJ12" i="1"/>
  <c r="BJ44" i="1"/>
  <c r="BJ45" i="1"/>
  <c r="BJ11" i="1"/>
  <c r="BJ46" i="1"/>
  <c r="BJ10" i="1"/>
  <c r="BJ9" i="1"/>
  <c r="BJ47" i="1"/>
  <c r="BJ48" i="1"/>
  <c r="BJ8" i="1"/>
  <c r="BJ7" i="1"/>
  <c r="BJ49" i="1"/>
  <c r="BJ6" i="1"/>
  <c r="BJ50" i="1"/>
  <c r="BJ51" i="1"/>
  <c r="BJ5" i="1"/>
  <c r="BJ52" i="5"/>
  <c r="BK4" i="5"/>
  <c r="BJ28" i="5"/>
  <c r="BJ29" i="5"/>
  <c r="BJ27" i="5"/>
  <c r="BJ30" i="5"/>
  <c r="BJ26" i="5"/>
  <c r="BJ31" i="5"/>
  <c r="BJ25" i="5"/>
  <c r="BJ32" i="5"/>
  <c r="BJ24" i="5"/>
  <c r="BJ23" i="5"/>
  <c r="BJ33" i="5"/>
  <c r="BJ34" i="5"/>
  <c r="BJ22" i="5"/>
  <c r="BJ35" i="5"/>
  <c r="BJ21" i="5"/>
  <c r="BJ36" i="5"/>
  <c r="BJ20" i="5"/>
  <c r="BJ37" i="5"/>
  <c r="BJ19" i="5"/>
  <c r="BJ38" i="5"/>
  <c r="BJ18" i="5"/>
  <c r="BJ17" i="5"/>
  <c r="BJ39" i="5"/>
  <c r="BJ40" i="5"/>
  <c r="BJ16" i="5"/>
  <c r="BJ15" i="5"/>
  <c r="BJ41" i="5"/>
  <c r="BJ14" i="5"/>
  <c r="BJ42" i="5"/>
  <c r="BJ43" i="5"/>
  <c r="BJ13" i="5"/>
  <c r="BJ44" i="5"/>
  <c r="BJ12" i="5"/>
  <c r="BJ11" i="5"/>
  <c r="BJ45" i="5"/>
  <c r="BJ10" i="5"/>
  <c r="BJ46" i="5"/>
  <c r="BJ47" i="5"/>
  <c r="BJ9" i="5"/>
  <c r="BJ8" i="5"/>
  <c r="BJ48" i="5"/>
  <c r="BJ7" i="5"/>
  <c r="BJ49" i="5"/>
  <c r="BJ6" i="5"/>
  <c r="BJ50" i="5"/>
  <c r="BJ51" i="5"/>
  <c r="BJ5" i="5"/>
  <c r="BK52" i="5" l="1"/>
  <c r="BL4" i="5"/>
  <c r="BK28" i="5"/>
  <c r="BK27" i="5"/>
  <c r="BK29" i="5"/>
  <c r="BK26" i="5"/>
  <c r="BK30" i="5"/>
  <c r="BK31" i="5"/>
  <c r="BK25" i="5"/>
  <c r="BK24" i="5"/>
  <c r="BK32" i="5"/>
  <c r="BK33" i="5"/>
  <c r="BK23" i="5"/>
  <c r="BK34" i="5"/>
  <c r="BK22" i="5"/>
  <c r="BK21" i="5"/>
  <c r="BK35" i="5"/>
  <c r="BK36" i="5"/>
  <c r="BK20" i="5"/>
  <c r="BK19" i="5"/>
  <c r="BK37" i="5"/>
  <c r="BK38" i="5"/>
  <c r="BK18" i="5"/>
  <c r="BK17" i="5"/>
  <c r="BK39" i="5"/>
  <c r="BK16" i="5"/>
  <c r="BK40" i="5"/>
  <c r="BK15" i="5"/>
  <c r="BK41" i="5"/>
  <c r="BK14" i="5"/>
  <c r="BK42" i="5"/>
  <c r="BK43" i="5"/>
  <c r="BK13" i="5"/>
  <c r="BK12" i="5"/>
  <c r="BK44" i="5"/>
  <c r="BK45" i="5"/>
  <c r="BK11" i="5"/>
  <c r="BK10" i="5"/>
  <c r="BK46" i="5"/>
  <c r="BK9" i="5"/>
  <c r="BK47" i="5"/>
  <c r="BK48" i="5"/>
  <c r="BK8" i="5"/>
  <c r="BK49" i="5"/>
  <c r="BK7" i="5"/>
  <c r="BK50" i="5"/>
  <c r="BK6" i="5"/>
  <c r="BK5" i="5"/>
  <c r="BK51" i="5"/>
  <c r="BL4" i="1"/>
  <c r="BK52" i="1"/>
  <c r="BK28" i="1"/>
  <c r="BK27" i="1"/>
  <c r="BK29" i="1"/>
  <c r="BK26" i="1"/>
  <c r="BK30" i="1"/>
  <c r="BK25" i="1"/>
  <c r="BK31" i="1"/>
  <c r="BK24" i="1"/>
  <c r="BK32" i="1"/>
  <c r="BK23" i="1"/>
  <c r="BK33" i="1"/>
  <c r="BK34" i="1"/>
  <c r="BK22" i="1"/>
  <c r="BK21" i="1"/>
  <c r="BK35" i="1"/>
  <c r="BK36" i="1"/>
  <c r="BK20" i="1"/>
  <c r="BK19" i="1"/>
  <c r="BK37" i="1"/>
  <c r="BK38" i="1"/>
  <c r="BK18" i="1"/>
  <c r="BK39" i="1"/>
  <c r="BK17" i="1"/>
  <c r="BK16" i="1"/>
  <c r="BK40" i="1"/>
  <c r="BK41" i="1"/>
  <c r="BK15" i="1"/>
  <c r="BK42" i="1"/>
  <c r="BK14" i="1"/>
  <c r="BK13" i="1"/>
  <c r="BK43" i="1"/>
  <c r="BK12" i="1"/>
  <c r="BK44" i="1"/>
  <c r="BK11" i="1"/>
  <c r="BK45" i="1"/>
  <c r="BK46" i="1"/>
  <c r="BK10" i="1"/>
  <c r="BK9" i="1"/>
  <c r="BK47" i="1"/>
  <c r="BK48" i="1"/>
  <c r="BK8" i="1"/>
  <c r="BK7" i="1"/>
  <c r="BK49" i="1"/>
  <c r="BK50" i="1"/>
  <c r="BK6" i="1"/>
  <c r="BK5" i="1"/>
  <c r="BK51" i="1"/>
  <c r="BM4" i="1" l="1"/>
  <c r="BL52" i="1"/>
  <c r="BL28" i="1"/>
  <c r="BL27" i="1"/>
  <c r="BL29" i="1"/>
  <c r="BL26" i="1"/>
  <c r="BL30" i="1"/>
  <c r="BL25" i="1"/>
  <c r="BL31" i="1"/>
  <c r="BL24" i="1"/>
  <c r="BL32" i="1"/>
  <c r="BL23" i="1"/>
  <c r="BL33" i="1"/>
  <c r="BL22" i="1"/>
  <c r="BL34" i="1"/>
  <c r="BL35" i="1"/>
  <c r="BL21" i="1"/>
  <c r="BL36" i="1"/>
  <c r="BL20" i="1"/>
  <c r="BL19" i="1"/>
  <c r="BL37" i="1"/>
  <c r="BL38" i="1"/>
  <c r="BL18" i="1"/>
  <c r="BL39" i="1"/>
  <c r="BL17" i="1"/>
  <c r="BL16" i="1"/>
  <c r="BL40" i="1"/>
  <c r="BL41" i="1"/>
  <c r="BL15" i="1"/>
  <c r="BL14" i="1"/>
  <c r="BL42" i="1"/>
  <c r="BL43" i="1"/>
  <c r="BL13" i="1"/>
  <c r="BL12" i="1"/>
  <c r="BL44" i="1"/>
  <c r="BL11" i="1"/>
  <c r="BL45" i="1"/>
  <c r="BL10" i="1"/>
  <c r="BL46" i="1"/>
  <c r="BL9" i="1"/>
  <c r="BL47" i="1"/>
  <c r="BL48" i="1"/>
  <c r="BL8" i="1"/>
  <c r="BL7" i="1"/>
  <c r="BL49" i="1"/>
  <c r="BL50" i="1"/>
  <c r="BL6" i="1"/>
  <c r="BL51" i="1"/>
  <c r="BL5" i="1"/>
  <c r="BL52" i="5"/>
  <c r="BM4" i="5"/>
  <c r="BL28" i="5"/>
  <c r="BL29" i="5"/>
  <c r="BL27" i="5"/>
  <c r="BL30" i="5"/>
  <c r="BL26" i="5"/>
  <c r="BL25" i="5"/>
  <c r="BL31" i="5"/>
  <c r="BL24" i="5"/>
  <c r="BL32" i="5"/>
  <c r="BL23" i="5"/>
  <c r="BL33" i="5"/>
  <c r="BL34" i="5"/>
  <c r="BL22" i="5"/>
  <c r="BL35" i="5"/>
  <c r="BL21" i="5"/>
  <c r="BL20" i="5"/>
  <c r="BL36" i="5"/>
  <c r="BL19" i="5"/>
  <c r="BL37" i="5"/>
  <c r="BL38" i="5"/>
  <c r="BL18" i="5"/>
  <c r="BL17" i="5"/>
  <c r="BL39" i="5"/>
  <c r="BL40" i="5"/>
  <c r="BL16" i="5"/>
  <c r="BL41" i="5"/>
  <c r="BL15" i="5"/>
  <c r="BL14" i="5"/>
  <c r="BL42" i="5"/>
  <c r="BL43" i="5"/>
  <c r="BL13" i="5"/>
  <c r="BL44" i="5"/>
  <c r="BL12" i="5"/>
  <c r="BL11" i="5"/>
  <c r="BL45" i="5"/>
  <c r="BL46" i="5"/>
  <c r="BL10" i="5"/>
  <c r="BL47" i="5"/>
  <c r="BL9" i="5"/>
  <c r="BL8" i="5"/>
  <c r="BL48" i="5"/>
  <c r="BL7" i="5"/>
  <c r="BL49" i="5"/>
  <c r="BL50" i="5"/>
  <c r="BL6" i="5"/>
  <c r="BL5" i="5"/>
  <c r="BL51" i="5"/>
  <c r="BM52" i="5" l="1"/>
  <c r="BN4" i="5"/>
  <c r="BM28" i="5"/>
  <c r="BM29" i="5"/>
  <c r="BM27" i="5"/>
  <c r="BM30" i="5"/>
  <c r="BM26" i="5"/>
  <c r="BM31" i="5"/>
  <c r="BM25" i="5"/>
  <c r="BM24" i="5"/>
  <c r="BM32" i="5"/>
  <c r="BM23" i="5"/>
  <c r="BM33" i="5"/>
  <c r="BM34" i="5"/>
  <c r="BM22" i="5"/>
  <c r="BM35" i="5"/>
  <c r="BM21" i="5"/>
  <c r="BM36" i="5"/>
  <c r="BM20" i="5"/>
  <c r="BM37" i="5"/>
  <c r="BM19" i="5"/>
  <c r="BM38" i="5"/>
  <c r="BM18" i="5"/>
  <c r="BM17" i="5"/>
  <c r="BM39" i="5"/>
  <c r="BM16" i="5"/>
  <c r="BM40" i="5"/>
  <c r="BM15" i="5"/>
  <c r="BM41" i="5"/>
  <c r="BM14" i="5"/>
  <c r="BM42" i="5"/>
  <c r="BM43" i="5"/>
  <c r="BM13" i="5"/>
  <c r="BM44" i="5"/>
  <c r="BM12" i="5"/>
  <c r="BM45" i="5"/>
  <c r="BM11" i="5"/>
  <c r="BM46" i="5"/>
  <c r="BM10" i="5"/>
  <c r="BM47" i="5"/>
  <c r="BM9" i="5"/>
  <c r="BM8" i="5"/>
  <c r="BM48" i="5"/>
  <c r="BM49" i="5"/>
  <c r="BM7" i="5"/>
  <c r="BM50" i="5"/>
  <c r="BM6" i="5"/>
  <c r="BM5" i="5"/>
  <c r="BM51" i="5"/>
  <c r="BM52" i="1"/>
  <c r="BN4" i="1"/>
  <c r="BM28" i="1"/>
  <c r="BM29" i="1"/>
  <c r="BM27" i="1"/>
  <c r="BM26" i="1"/>
  <c r="BM30" i="1"/>
  <c r="BM25" i="1"/>
  <c r="BM31" i="1"/>
  <c r="BM32" i="1"/>
  <c r="BM24" i="1"/>
  <c r="BM23" i="1"/>
  <c r="BM33" i="1"/>
  <c r="BM34" i="1"/>
  <c r="BM22" i="1"/>
  <c r="BM35" i="1"/>
  <c r="BM21" i="1"/>
  <c r="BM20" i="1"/>
  <c r="BM36" i="1"/>
  <c r="BM19" i="1"/>
  <c r="BM37" i="1"/>
  <c r="BM38" i="1"/>
  <c r="BM18" i="1"/>
  <c r="BM39" i="1"/>
  <c r="BM17" i="1"/>
  <c r="BM16" i="1"/>
  <c r="BM40" i="1"/>
  <c r="BM15" i="1"/>
  <c r="BM41" i="1"/>
  <c r="BM42" i="1"/>
  <c r="BM14" i="1"/>
  <c r="BM13" i="1"/>
  <c r="BM43" i="1"/>
  <c r="BM44" i="1"/>
  <c r="BM12" i="1"/>
  <c r="BM45" i="1"/>
  <c r="BM11" i="1"/>
  <c r="BM10" i="1"/>
  <c r="BM46" i="1"/>
  <c r="BM47" i="1"/>
  <c r="BM9" i="1"/>
  <c r="BM48" i="1"/>
  <c r="BM8" i="1"/>
  <c r="BM7" i="1"/>
  <c r="BM49" i="1"/>
  <c r="BM6" i="1"/>
  <c r="BM50" i="1"/>
  <c r="BM5" i="1"/>
  <c r="BM51" i="1"/>
  <c r="BO4" i="1" l="1"/>
  <c r="BN52" i="1"/>
  <c r="BN28" i="1"/>
  <c r="BN27" i="1"/>
  <c r="BN29" i="1"/>
  <c r="BN26" i="1"/>
  <c r="BN30" i="1"/>
  <c r="BN25" i="1"/>
  <c r="BN31" i="1"/>
  <c r="BN24" i="1"/>
  <c r="BN32" i="1"/>
  <c r="BN23" i="1"/>
  <c r="BN33" i="1"/>
  <c r="BN22" i="1"/>
  <c r="BN34" i="1"/>
  <c r="BN21" i="1"/>
  <c r="BN35" i="1"/>
  <c r="BN36" i="1"/>
  <c r="BN20" i="1"/>
  <c r="BN19" i="1"/>
  <c r="BN37" i="1"/>
  <c r="BN38" i="1"/>
  <c r="BN18" i="1"/>
  <c r="BN17" i="1"/>
  <c r="BN39" i="1"/>
  <c r="BN40" i="1"/>
  <c r="BN16" i="1"/>
  <c r="BN41" i="1"/>
  <c r="BN15" i="1"/>
  <c r="BN14" i="1"/>
  <c r="BN42" i="1"/>
  <c r="BN43" i="1"/>
  <c r="BN13" i="1"/>
  <c r="BN12" i="1"/>
  <c r="BN44" i="1"/>
  <c r="BN11" i="1"/>
  <c r="BN45" i="1"/>
  <c r="BN46" i="1"/>
  <c r="BN10" i="1"/>
  <c r="BN9" i="1"/>
  <c r="BN47" i="1"/>
  <c r="BN8" i="1"/>
  <c r="BN48" i="1"/>
  <c r="BN49" i="1"/>
  <c r="BN7" i="1"/>
  <c r="BN50" i="1"/>
  <c r="BN6" i="1"/>
  <c r="BN51" i="1"/>
  <c r="BN5" i="1"/>
  <c r="BN52" i="5"/>
  <c r="BO4" i="5"/>
  <c r="BN28" i="5"/>
  <c r="BN29" i="5"/>
  <c r="BN27" i="5"/>
  <c r="BN30" i="5"/>
  <c r="BN26" i="5"/>
  <c r="BN25" i="5"/>
  <c r="BN31" i="5"/>
  <c r="BN24" i="5"/>
  <c r="BN32" i="5"/>
  <c r="BN33" i="5"/>
  <c r="BN23" i="5"/>
  <c r="BN34" i="5"/>
  <c r="BN22" i="5"/>
  <c r="BN21" i="5"/>
  <c r="BN35" i="5"/>
  <c r="BN20" i="5"/>
  <c r="BN36" i="5"/>
  <c r="BN37" i="5"/>
  <c r="BN19" i="5"/>
  <c r="BN18" i="5"/>
  <c r="BN38" i="5"/>
  <c r="BN17" i="5"/>
  <c r="BN39" i="5"/>
  <c r="BN40" i="5"/>
  <c r="BN16" i="5"/>
  <c r="BN41" i="5"/>
  <c r="BN15" i="5"/>
  <c r="BN14" i="5"/>
  <c r="BN42" i="5"/>
  <c r="BN43" i="5"/>
  <c r="BN13" i="5"/>
  <c r="BN12" i="5"/>
  <c r="BN44" i="5"/>
  <c r="BN11" i="5"/>
  <c r="BN45" i="5"/>
  <c r="BN10" i="5"/>
  <c r="BN46" i="5"/>
  <c r="BN9" i="5"/>
  <c r="BN47" i="5"/>
  <c r="BN8" i="5"/>
  <c r="BN48" i="5"/>
  <c r="BN7" i="5"/>
  <c r="BN49" i="5"/>
  <c r="BN6" i="5"/>
  <c r="BN50" i="5"/>
  <c r="BN51" i="5"/>
  <c r="BN5" i="5"/>
  <c r="BO52" i="5" l="1"/>
  <c r="BP4" i="5"/>
  <c r="BO28" i="5"/>
  <c r="BO29" i="5"/>
  <c r="BO27" i="5"/>
  <c r="BO26" i="5"/>
  <c r="BO30" i="5"/>
  <c r="BO31" i="5"/>
  <c r="BO25" i="5"/>
  <c r="BO24" i="5"/>
  <c r="BO32" i="5"/>
  <c r="BO23" i="5"/>
  <c r="BO33" i="5"/>
  <c r="BO34" i="5"/>
  <c r="BO22" i="5"/>
  <c r="BO35" i="5"/>
  <c r="BO21" i="5"/>
  <c r="BO36" i="5"/>
  <c r="BO20" i="5"/>
  <c r="BO19" i="5"/>
  <c r="BO37" i="5"/>
  <c r="BO38" i="5"/>
  <c r="BO18" i="5"/>
  <c r="BO17" i="5"/>
  <c r="BO39" i="5"/>
  <c r="BO16" i="5"/>
  <c r="BO40" i="5"/>
  <c r="BO15" i="5"/>
  <c r="BO41" i="5"/>
  <c r="BO14" i="5"/>
  <c r="BO42" i="5"/>
  <c r="BO43" i="5"/>
  <c r="BO13" i="5"/>
  <c r="BO44" i="5"/>
  <c r="BO12" i="5"/>
  <c r="BO45" i="5"/>
  <c r="BO11" i="5"/>
  <c r="BO46" i="5"/>
  <c r="BO10" i="5"/>
  <c r="BO9" i="5"/>
  <c r="BO47" i="5"/>
  <c r="BO8" i="5"/>
  <c r="BO48" i="5"/>
  <c r="BO49" i="5"/>
  <c r="BO7" i="5"/>
  <c r="BO50" i="5"/>
  <c r="BO6" i="5"/>
  <c r="BO5" i="5"/>
  <c r="BO51" i="5"/>
  <c r="BO52" i="1"/>
  <c r="BP4" i="1"/>
  <c r="BO28" i="1"/>
  <c r="BO29" i="1"/>
  <c r="BO27" i="1"/>
  <c r="BO30" i="1"/>
  <c r="BO26" i="1"/>
  <c r="BO25" i="1"/>
  <c r="BO31" i="1"/>
  <c r="BO32" i="1"/>
  <c r="BO24" i="1"/>
  <c r="BO23" i="1"/>
  <c r="BO33" i="1"/>
  <c r="BO34" i="1"/>
  <c r="BO22" i="1"/>
  <c r="BO35" i="1"/>
  <c r="BO21" i="1"/>
  <c r="BO36" i="1"/>
  <c r="BO20" i="1"/>
  <c r="BO19" i="1"/>
  <c r="BO37" i="1"/>
  <c r="BO38" i="1"/>
  <c r="BO18" i="1"/>
  <c r="BO39" i="1"/>
  <c r="BO17" i="1"/>
  <c r="BO16" i="1"/>
  <c r="BO40" i="1"/>
  <c r="BO41" i="1"/>
  <c r="BO15" i="1"/>
  <c r="BO14" i="1"/>
  <c r="BO42" i="1"/>
  <c r="BO13" i="1"/>
  <c r="BO43" i="1"/>
  <c r="BO44" i="1"/>
  <c r="BO12" i="1"/>
  <c r="BO45" i="1"/>
  <c r="BO11" i="1"/>
  <c r="BO10" i="1"/>
  <c r="BO46" i="1"/>
  <c r="BO47" i="1"/>
  <c r="BO9" i="1"/>
  <c r="BO48" i="1"/>
  <c r="BO8" i="1"/>
  <c r="BO7" i="1"/>
  <c r="BO49" i="1"/>
  <c r="BO6" i="1"/>
  <c r="BO50" i="1"/>
  <c r="BO5" i="1"/>
  <c r="BO51" i="1"/>
  <c r="BQ4" i="1" l="1"/>
  <c r="BP52" i="1"/>
  <c r="BP28" i="1"/>
  <c r="BP27" i="1"/>
  <c r="BP29" i="1"/>
  <c r="BP26" i="1"/>
  <c r="BP30" i="1"/>
  <c r="BP25" i="1"/>
  <c r="BP31" i="1"/>
  <c r="BP24" i="1"/>
  <c r="BP32" i="1"/>
  <c r="BP23" i="1"/>
  <c r="BP33" i="1"/>
  <c r="BP34" i="1"/>
  <c r="BP22" i="1"/>
  <c r="BP35" i="1"/>
  <c r="BP21" i="1"/>
  <c r="BP36" i="1"/>
  <c r="BP20" i="1"/>
  <c r="BP19" i="1"/>
  <c r="BP37" i="1"/>
  <c r="BP38" i="1"/>
  <c r="BP18" i="1"/>
  <c r="BP39" i="1"/>
  <c r="BP17" i="1"/>
  <c r="BP16" i="1"/>
  <c r="BP40" i="1"/>
  <c r="BP41" i="1"/>
  <c r="BP15" i="1"/>
  <c r="BP42" i="1"/>
  <c r="BP14" i="1"/>
  <c r="BP13" i="1"/>
  <c r="BP43" i="1"/>
  <c r="BP44" i="1"/>
  <c r="BP12" i="1"/>
  <c r="BP45" i="1"/>
  <c r="BP11" i="1"/>
  <c r="BP10" i="1"/>
  <c r="BP46" i="1"/>
  <c r="BP9" i="1"/>
  <c r="BP47" i="1"/>
  <c r="BP48" i="1"/>
  <c r="BP8" i="1"/>
  <c r="BP7" i="1"/>
  <c r="BP49" i="1"/>
  <c r="BP6" i="1"/>
  <c r="BP50" i="1"/>
  <c r="BP51" i="1"/>
  <c r="BP5" i="1"/>
  <c r="BP52" i="5"/>
  <c r="BQ4" i="5"/>
  <c r="BP28" i="5"/>
  <c r="BP27" i="5"/>
  <c r="BP29" i="5"/>
  <c r="BP30" i="5"/>
  <c r="BP26" i="5"/>
  <c r="BP25" i="5"/>
  <c r="BP31" i="5"/>
  <c r="BP24" i="5"/>
  <c r="BP32" i="5"/>
  <c r="BP33" i="5"/>
  <c r="BP23" i="5"/>
  <c r="BP34" i="5"/>
  <c r="BP22" i="5"/>
  <c r="BP21" i="5"/>
  <c r="BP35" i="5"/>
  <c r="BP20" i="5"/>
  <c r="BP36" i="5"/>
  <c r="BP37" i="5"/>
  <c r="BP19" i="5"/>
  <c r="BP18" i="5"/>
  <c r="BP38" i="5"/>
  <c r="BP17" i="5"/>
  <c r="BP39" i="5"/>
  <c r="BP16" i="5"/>
  <c r="BP40" i="5"/>
  <c r="BP41" i="5"/>
  <c r="BP15" i="5"/>
  <c r="BP14" i="5"/>
  <c r="BP42" i="5"/>
  <c r="BP43" i="5"/>
  <c r="BP13" i="5"/>
  <c r="BP12" i="5"/>
  <c r="BP44" i="5"/>
  <c r="BP45" i="5"/>
  <c r="BP11" i="5"/>
  <c r="BP46" i="5"/>
  <c r="BP10" i="5"/>
  <c r="BP47" i="5"/>
  <c r="BP9" i="5"/>
  <c r="BP8" i="5"/>
  <c r="BP48" i="5"/>
  <c r="BP49" i="5"/>
  <c r="BP7" i="5"/>
  <c r="BP50" i="5"/>
  <c r="BP6" i="5"/>
  <c r="BP51" i="5"/>
  <c r="BP5" i="5"/>
  <c r="BQ52" i="5" l="1"/>
  <c r="BR4" i="5"/>
  <c r="BQ28" i="5"/>
  <c r="BQ29" i="5"/>
  <c r="BQ27" i="5"/>
  <c r="BQ30" i="5"/>
  <c r="BQ26" i="5"/>
  <c r="BQ25" i="5"/>
  <c r="BQ31" i="5"/>
  <c r="BQ24" i="5"/>
  <c r="BQ32" i="5"/>
  <c r="BQ33" i="5"/>
  <c r="BQ23" i="5"/>
  <c r="BQ34" i="5"/>
  <c r="BQ22" i="5"/>
  <c r="BQ35" i="5"/>
  <c r="BQ21" i="5"/>
  <c r="BQ20" i="5"/>
  <c r="BQ36" i="5"/>
  <c r="BQ37" i="5"/>
  <c r="BQ19" i="5"/>
  <c r="BQ18" i="5"/>
  <c r="BQ38" i="5"/>
  <c r="BQ17" i="5"/>
  <c r="BQ39" i="5"/>
  <c r="BQ40" i="5"/>
  <c r="BQ16" i="5"/>
  <c r="BQ15" i="5"/>
  <c r="BQ41" i="5"/>
  <c r="BQ14" i="5"/>
  <c r="BQ42" i="5"/>
  <c r="BQ13" i="5"/>
  <c r="BQ43" i="5"/>
  <c r="BQ44" i="5"/>
  <c r="BQ12" i="5"/>
  <c r="BQ11" i="5"/>
  <c r="BQ45" i="5"/>
  <c r="BQ46" i="5"/>
  <c r="BQ10" i="5"/>
  <c r="BQ9" i="5"/>
  <c r="BQ47" i="5"/>
  <c r="BQ8" i="5"/>
  <c r="BQ48" i="5"/>
  <c r="BQ7" i="5"/>
  <c r="BQ49" i="5"/>
  <c r="BQ6" i="5"/>
  <c r="BQ50" i="5"/>
  <c r="BQ51" i="5"/>
  <c r="BQ5" i="5"/>
  <c r="BR4" i="1"/>
  <c r="BQ52" i="1"/>
  <c r="BQ28" i="1"/>
  <c r="BQ29" i="1"/>
  <c r="BQ27" i="1"/>
  <c r="BQ30" i="1"/>
  <c r="BQ26" i="1"/>
  <c r="BQ31" i="1"/>
  <c r="BQ25" i="1"/>
  <c r="BQ24" i="1"/>
  <c r="BQ32" i="1"/>
  <c r="BQ33" i="1"/>
  <c r="BQ23" i="1"/>
  <c r="BQ34" i="1"/>
  <c r="BQ22" i="1"/>
  <c r="BQ35" i="1"/>
  <c r="BQ21" i="1"/>
  <c r="BQ20" i="1"/>
  <c r="BQ36" i="1"/>
  <c r="BQ19" i="1"/>
  <c r="BQ37" i="1"/>
  <c r="BQ38" i="1"/>
  <c r="BQ18" i="1"/>
  <c r="BQ39" i="1"/>
  <c r="BQ17" i="1"/>
  <c r="BQ16" i="1"/>
  <c r="BQ40" i="1"/>
  <c r="BQ15" i="1"/>
  <c r="BQ41" i="1"/>
  <c r="BQ14" i="1"/>
  <c r="BQ42" i="1"/>
  <c r="BQ13" i="1"/>
  <c r="BQ43" i="1"/>
  <c r="BQ12" i="1"/>
  <c r="BQ44" i="1"/>
  <c r="BQ45" i="1"/>
  <c r="BQ11" i="1"/>
  <c r="BQ10" i="1"/>
  <c r="BQ46" i="1"/>
  <c r="BQ47" i="1"/>
  <c r="BQ9" i="1"/>
  <c r="BQ48" i="1"/>
  <c r="BQ8" i="1"/>
  <c r="BQ7" i="1"/>
  <c r="BQ49" i="1"/>
  <c r="BQ50" i="1"/>
  <c r="BQ6" i="1"/>
  <c r="BQ5" i="1"/>
  <c r="BQ51" i="1"/>
  <c r="BS4" i="1" l="1"/>
  <c r="BR52" i="1"/>
  <c r="BR28" i="1"/>
  <c r="BR29" i="1"/>
  <c r="BR27" i="1"/>
  <c r="BR26" i="1"/>
  <c r="BR30" i="1"/>
  <c r="BR25" i="1"/>
  <c r="BR31" i="1"/>
  <c r="BR24" i="1"/>
  <c r="BR32" i="1"/>
  <c r="BR23" i="1"/>
  <c r="BR33" i="1"/>
  <c r="BR22" i="1"/>
  <c r="BR34" i="1"/>
  <c r="BR21" i="1"/>
  <c r="BR35" i="1"/>
  <c r="BR36" i="1"/>
  <c r="BR20" i="1"/>
  <c r="BR37" i="1"/>
  <c r="BR19" i="1"/>
  <c r="BR38" i="1"/>
  <c r="BR18" i="1"/>
  <c r="BR17" i="1"/>
  <c r="BR39" i="1"/>
  <c r="BR16" i="1"/>
  <c r="BR40" i="1"/>
  <c r="BR41" i="1"/>
  <c r="BR15" i="1"/>
  <c r="BR14" i="1"/>
  <c r="BR42" i="1"/>
  <c r="BR13" i="1"/>
  <c r="BR43" i="1"/>
  <c r="BR12" i="1"/>
  <c r="BR44" i="1"/>
  <c r="BR45" i="1"/>
  <c r="BR11" i="1"/>
  <c r="BR10" i="1"/>
  <c r="BR46" i="1"/>
  <c r="BR9" i="1"/>
  <c r="BR47" i="1"/>
  <c r="BR48" i="1"/>
  <c r="BR8" i="1"/>
  <c r="BR49" i="1"/>
  <c r="BR7" i="1"/>
  <c r="BR50" i="1"/>
  <c r="BR6" i="1"/>
  <c r="BR5" i="1"/>
  <c r="BR51" i="1"/>
  <c r="BR52" i="5"/>
  <c r="BS4" i="5"/>
  <c r="BR28" i="5"/>
  <c r="BR27" i="5"/>
  <c r="BR29" i="5"/>
  <c r="BR26" i="5"/>
  <c r="BR30" i="5"/>
  <c r="BR31" i="5"/>
  <c r="BR25" i="5"/>
  <c r="BR24" i="5"/>
  <c r="BR32" i="5"/>
  <c r="BR33" i="5"/>
  <c r="BR23" i="5"/>
  <c r="BR22" i="5"/>
  <c r="BR34" i="5"/>
  <c r="BR21" i="5"/>
  <c r="BR35" i="5"/>
  <c r="BR36" i="5"/>
  <c r="BR20" i="5"/>
  <c r="BR37" i="5"/>
  <c r="BR19" i="5"/>
  <c r="BR38" i="5"/>
  <c r="BR18" i="5"/>
  <c r="BR17" i="5"/>
  <c r="BR39" i="5"/>
  <c r="BR16" i="5"/>
  <c r="BR40" i="5"/>
  <c r="BR41" i="5"/>
  <c r="BR15" i="5"/>
  <c r="BR42" i="5"/>
  <c r="BR14" i="5"/>
  <c r="BR43" i="5"/>
  <c r="BR13" i="5"/>
  <c r="BR12" i="5"/>
  <c r="BR44" i="5"/>
  <c r="BR45" i="5"/>
  <c r="BR11" i="5"/>
  <c r="BR10" i="5"/>
  <c r="BR46" i="5"/>
  <c r="BR9" i="5"/>
  <c r="BR47" i="5"/>
  <c r="BR8" i="5"/>
  <c r="BR48" i="5"/>
  <c r="BR49" i="5"/>
  <c r="BR7" i="5"/>
  <c r="BR50" i="5"/>
  <c r="BR6" i="5"/>
  <c r="BR5" i="5"/>
  <c r="BR51" i="5"/>
  <c r="BS52" i="5" l="1"/>
  <c r="BT4" i="5"/>
  <c r="BS28" i="5"/>
  <c r="BS29" i="5"/>
  <c r="BS27" i="5"/>
  <c r="BS30" i="5"/>
  <c r="BS26" i="5"/>
  <c r="BS25" i="5"/>
  <c r="BS31" i="5"/>
  <c r="BS32" i="5"/>
  <c r="BS24" i="5"/>
  <c r="BS23" i="5"/>
  <c r="BS33" i="5"/>
  <c r="BS34" i="5"/>
  <c r="BS22" i="5"/>
  <c r="BS35" i="5"/>
  <c r="BS21" i="5"/>
  <c r="BS20" i="5"/>
  <c r="BS36" i="5"/>
  <c r="BS19" i="5"/>
  <c r="BS37" i="5"/>
  <c r="BS38" i="5"/>
  <c r="BS18" i="5"/>
  <c r="BS17" i="5"/>
  <c r="BS39" i="5"/>
  <c r="BS40" i="5"/>
  <c r="BS16" i="5"/>
  <c r="BS41" i="5"/>
  <c r="BS15" i="5"/>
  <c r="BS14" i="5"/>
  <c r="BS42" i="5"/>
  <c r="BS43" i="5"/>
  <c r="BS13" i="5"/>
  <c r="BS44" i="5"/>
  <c r="BS12" i="5"/>
  <c r="BS11" i="5"/>
  <c r="BS45" i="5"/>
  <c r="BS46" i="5"/>
  <c r="BS10" i="5"/>
  <c r="BS47" i="5"/>
  <c r="BS9" i="5"/>
  <c r="BS8" i="5"/>
  <c r="BS48" i="5"/>
  <c r="BS7" i="5"/>
  <c r="BS49" i="5"/>
  <c r="BS6" i="5"/>
  <c r="BS50" i="5"/>
  <c r="BS5" i="5"/>
  <c r="BS51" i="5"/>
  <c r="BT4" i="1"/>
  <c r="BS52" i="1"/>
  <c r="BS28" i="1"/>
  <c r="BS29" i="1"/>
  <c r="BS27" i="1"/>
  <c r="BS30" i="1"/>
  <c r="BS26" i="1"/>
  <c r="BS31" i="1"/>
  <c r="BS25" i="1"/>
  <c r="BS24" i="1"/>
  <c r="BS32" i="1"/>
  <c r="BS33" i="1"/>
  <c r="BS23" i="1"/>
  <c r="BS34" i="1"/>
  <c r="BS22" i="1"/>
  <c r="BS35" i="1"/>
  <c r="BS21" i="1"/>
  <c r="BS36" i="1"/>
  <c r="BS20" i="1"/>
  <c r="BS19" i="1"/>
  <c r="BS37" i="1"/>
  <c r="BS38" i="1"/>
  <c r="BS18" i="1"/>
  <c r="BS17" i="1"/>
  <c r="BS39" i="1"/>
  <c r="BS40" i="1"/>
  <c r="BS16" i="1"/>
  <c r="BS41" i="1"/>
  <c r="BS15" i="1"/>
  <c r="BS14" i="1"/>
  <c r="BS42" i="1"/>
  <c r="BS43" i="1"/>
  <c r="BS13" i="1"/>
  <c r="BS12" i="1"/>
  <c r="BS44" i="1"/>
  <c r="BS45" i="1"/>
  <c r="BS11" i="1"/>
  <c r="BS46" i="1"/>
  <c r="BS10" i="1"/>
  <c r="BS9" i="1"/>
  <c r="BS47" i="1"/>
  <c r="BS48" i="1"/>
  <c r="BS8" i="1"/>
  <c r="BS49" i="1"/>
  <c r="BS7" i="1"/>
  <c r="BS6" i="1"/>
  <c r="BS50" i="1"/>
  <c r="BS5" i="1"/>
  <c r="BS51" i="1"/>
  <c r="BU4" i="1" l="1"/>
  <c r="BT52" i="1"/>
  <c r="BT28" i="1"/>
  <c r="BT29" i="1"/>
  <c r="BT27" i="1"/>
  <c r="BT30" i="1"/>
  <c r="BT26" i="1"/>
  <c r="BT25" i="1"/>
  <c r="BT31" i="1"/>
  <c r="BT24" i="1"/>
  <c r="BT32" i="1"/>
  <c r="BT23" i="1"/>
  <c r="BT33" i="1"/>
  <c r="BT34" i="1"/>
  <c r="BT22" i="1"/>
  <c r="BT21" i="1"/>
  <c r="BT35" i="1"/>
  <c r="BT36" i="1"/>
  <c r="BT20" i="1"/>
  <c r="BT19" i="1"/>
  <c r="BT37" i="1"/>
  <c r="BT38" i="1"/>
  <c r="BT18" i="1"/>
  <c r="BT39" i="1"/>
  <c r="BT17" i="1"/>
  <c r="BT16" i="1"/>
  <c r="BT40" i="1"/>
  <c r="BT41" i="1"/>
  <c r="BT15" i="1"/>
  <c r="BT14" i="1"/>
  <c r="BT42" i="1"/>
  <c r="BT13" i="1"/>
  <c r="BT43" i="1"/>
  <c r="BT44" i="1"/>
  <c r="BT12" i="1"/>
  <c r="BT11" i="1"/>
  <c r="BT45" i="1"/>
  <c r="BT46" i="1"/>
  <c r="BT10" i="1"/>
  <c r="BT47" i="1"/>
  <c r="BT9" i="1"/>
  <c r="BT48" i="1"/>
  <c r="BT8" i="1"/>
  <c r="BT49" i="1"/>
  <c r="BT7" i="1"/>
  <c r="BT6" i="1"/>
  <c r="BT50" i="1"/>
  <c r="BT5" i="1"/>
  <c r="BT51" i="1"/>
  <c r="BT52" i="5"/>
  <c r="BU4" i="5"/>
  <c r="BT28" i="5"/>
  <c r="BT29" i="5"/>
  <c r="BT27" i="5"/>
  <c r="BT26" i="5"/>
  <c r="BT30" i="5"/>
  <c r="BT31" i="5"/>
  <c r="BT25" i="5"/>
  <c r="BT24" i="5"/>
  <c r="BT32" i="5"/>
  <c r="BT33" i="5"/>
  <c r="BT23" i="5"/>
  <c r="BT34" i="5"/>
  <c r="BT22" i="5"/>
  <c r="BT21" i="5"/>
  <c r="BT35" i="5"/>
  <c r="BT36" i="5"/>
  <c r="BT20" i="5"/>
  <c r="BT19" i="5"/>
  <c r="BT37" i="5"/>
  <c r="BT38" i="5"/>
  <c r="BT18" i="5"/>
  <c r="BT17" i="5"/>
  <c r="BT39" i="5"/>
  <c r="BT16" i="5"/>
  <c r="BT40" i="5"/>
  <c r="BT15" i="5"/>
  <c r="BT41" i="5"/>
  <c r="BT14" i="5"/>
  <c r="BT42" i="5"/>
  <c r="BT43" i="5"/>
  <c r="BT13" i="5"/>
  <c r="BT44" i="5"/>
  <c r="BT12" i="5"/>
  <c r="BT45" i="5"/>
  <c r="BT11" i="5"/>
  <c r="BT10" i="5"/>
  <c r="BT46" i="5"/>
  <c r="BT47" i="5"/>
  <c r="BT9" i="5"/>
  <c r="BT48" i="5"/>
  <c r="BT8" i="5"/>
  <c r="BT49" i="5"/>
  <c r="BT7" i="5"/>
  <c r="BT50" i="5"/>
  <c r="BT6" i="5"/>
  <c r="BT5" i="5"/>
  <c r="BT51" i="5"/>
  <c r="BU52" i="5" l="1"/>
  <c r="BV4" i="5"/>
  <c r="BU28" i="5"/>
  <c r="BU27" i="5"/>
  <c r="BU29" i="5"/>
  <c r="BU26" i="5"/>
  <c r="BU30" i="5"/>
  <c r="BU31" i="5"/>
  <c r="BU25" i="5"/>
  <c r="BU24" i="5"/>
  <c r="BU32" i="5"/>
  <c r="BU33" i="5"/>
  <c r="BU23" i="5"/>
  <c r="BU34" i="5"/>
  <c r="BU22" i="5"/>
  <c r="BU21" i="5"/>
  <c r="BU35" i="5"/>
  <c r="BU36" i="5"/>
  <c r="BU20" i="5"/>
  <c r="BU37" i="5"/>
  <c r="BU19" i="5"/>
  <c r="BU38" i="5"/>
  <c r="BU18" i="5"/>
  <c r="BU17" i="5"/>
  <c r="BU39" i="5"/>
  <c r="BU16" i="5"/>
  <c r="BU40" i="5"/>
  <c r="BU41" i="5"/>
  <c r="BU15" i="5"/>
  <c r="BU42" i="5"/>
  <c r="BU14" i="5"/>
  <c r="BU43" i="5"/>
  <c r="BU13" i="5"/>
  <c r="BU12" i="5"/>
  <c r="BU44" i="5"/>
  <c r="BU45" i="5"/>
  <c r="BU11" i="5"/>
  <c r="BU46" i="5"/>
  <c r="BU10" i="5"/>
  <c r="BU9" i="5"/>
  <c r="BU47" i="5"/>
  <c r="BU8" i="5"/>
  <c r="BU48" i="5"/>
  <c r="BU49" i="5"/>
  <c r="BU7" i="5"/>
  <c r="BU6" i="5"/>
  <c r="BU50" i="5"/>
  <c r="BU5" i="5"/>
  <c r="BU51" i="5"/>
  <c r="BU52" i="1"/>
  <c r="BV4" i="1"/>
  <c r="BU28" i="1"/>
  <c r="BU27" i="1"/>
  <c r="BU29" i="1"/>
  <c r="BU30" i="1"/>
  <c r="BU26" i="1"/>
  <c r="BU25" i="1"/>
  <c r="BU31" i="1"/>
  <c r="BU24" i="1"/>
  <c r="BU32" i="1"/>
  <c r="BU23" i="1"/>
  <c r="BU33" i="1"/>
  <c r="BU34" i="1"/>
  <c r="BU22" i="1"/>
  <c r="BU35" i="1"/>
  <c r="BU21" i="1"/>
  <c r="BU20" i="1"/>
  <c r="BU36" i="1"/>
  <c r="BU19" i="1"/>
  <c r="BU37" i="1"/>
  <c r="BU38" i="1"/>
  <c r="BU18" i="1"/>
  <c r="BU17" i="1"/>
  <c r="BU39" i="1"/>
  <c r="BU40" i="1"/>
  <c r="BU16" i="1"/>
  <c r="BU15" i="1"/>
  <c r="BU41" i="1"/>
  <c r="BU14" i="1"/>
  <c r="BU42" i="1"/>
  <c r="BU43" i="1"/>
  <c r="BU13" i="1"/>
  <c r="BU12" i="1"/>
  <c r="BU44" i="1"/>
  <c r="BU11" i="1"/>
  <c r="BU45" i="1"/>
  <c r="BU10" i="1"/>
  <c r="BU46" i="1"/>
  <c r="BU9" i="1"/>
  <c r="BU47" i="1"/>
  <c r="BU8" i="1"/>
  <c r="BU48" i="1"/>
  <c r="BU7" i="1"/>
  <c r="BU49" i="1"/>
  <c r="BU50" i="1"/>
  <c r="BU6" i="1"/>
  <c r="BU51" i="1"/>
  <c r="BU5" i="1"/>
  <c r="BV52" i="1" l="1"/>
  <c r="BV28" i="1"/>
  <c r="AA28" i="1" s="1"/>
  <c r="BV29" i="1"/>
  <c r="AA29" i="1" s="1"/>
  <c r="BV27" i="1"/>
  <c r="AA27" i="1" s="1"/>
  <c r="BV26" i="1"/>
  <c r="AA26" i="1" s="1"/>
  <c r="BV30" i="1"/>
  <c r="AA30" i="1" s="1"/>
  <c r="BV25" i="1"/>
  <c r="AA25" i="1" s="1"/>
  <c r="BV31" i="1"/>
  <c r="AA31" i="1" s="1"/>
  <c r="BV32" i="1"/>
  <c r="AA32" i="1" s="1"/>
  <c r="BV24" i="1"/>
  <c r="AA24" i="1" s="1"/>
  <c r="BV23" i="1"/>
  <c r="AA23" i="1" s="1"/>
  <c r="BV33" i="1"/>
  <c r="AA33" i="1" s="1"/>
  <c r="BV22" i="1"/>
  <c r="AA22" i="1" s="1"/>
  <c r="BV34" i="1"/>
  <c r="AA34" i="1" s="1"/>
  <c r="BV35" i="1"/>
  <c r="AA35" i="1" s="1"/>
  <c r="BV21" i="1"/>
  <c r="AA21" i="1" s="1"/>
  <c r="BV36" i="1"/>
  <c r="AA36" i="1" s="1"/>
  <c r="BV20" i="1"/>
  <c r="AA20" i="1" s="1"/>
  <c r="BV37" i="1"/>
  <c r="AA37" i="1" s="1"/>
  <c r="BV19" i="1"/>
  <c r="AA19" i="1" s="1"/>
  <c r="BV38" i="1"/>
  <c r="AA38" i="1" s="1"/>
  <c r="BV18" i="1"/>
  <c r="AA18" i="1" s="1"/>
  <c r="BV17" i="1"/>
  <c r="AA17" i="1" s="1"/>
  <c r="BV39" i="1"/>
  <c r="AA39" i="1" s="1"/>
  <c r="BV16" i="1"/>
  <c r="AA16" i="1" s="1"/>
  <c r="BV40" i="1"/>
  <c r="AA40" i="1" s="1"/>
  <c r="BV41" i="1"/>
  <c r="AA41" i="1" s="1"/>
  <c r="BV15" i="1"/>
  <c r="AA15" i="1" s="1"/>
  <c r="BV42" i="1"/>
  <c r="AA42" i="1" s="1"/>
  <c r="BV14" i="1"/>
  <c r="AA14" i="1" s="1"/>
  <c r="BV13" i="1"/>
  <c r="AA13" i="1" s="1"/>
  <c r="BV43" i="1"/>
  <c r="AA43" i="1" s="1"/>
  <c r="BV44" i="1"/>
  <c r="AA44" i="1" s="1"/>
  <c r="BV12" i="1"/>
  <c r="AA12" i="1" s="1"/>
  <c r="BV45" i="1"/>
  <c r="AA45" i="1" s="1"/>
  <c r="BV11" i="1"/>
  <c r="AA11" i="1" s="1"/>
  <c r="BV10" i="1"/>
  <c r="AA10" i="1" s="1"/>
  <c r="BV46" i="1"/>
  <c r="AA46" i="1" s="1"/>
  <c r="BV47" i="1"/>
  <c r="AA47" i="1" s="1"/>
  <c r="BV9" i="1"/>
  <c r="AA9" i="1" s="1"/>
  <c r="BV48" i="1"/>
  <c r="AA48" i="1" s="1"/>
  <c r="BV8" i="1"/>
  <c r="AA8" i="1" s="1"/>
  <c r="BV7" i="1"/>
  <c r="AA7" i="1" s="1"/>
  <c r="BV49" i="1"/>
  <c r="AA49" i="1" s="1"/>
  <c r="BV6" i="1"/>
  <c r="AA6" i="1" s="1"/>
  <c r="BV50" i="1"/>
  <c r="AA50" i="1" s="1"/>
  <c r="BV51" i="1"/>
  <c r="AA51" i="1" s="1"/>
  <c r="BV5" i="1"/>
  <c r="AA5" i="1" s="1"/>
  <c r="BV52" i="5"/>
  <c r="BW4" i="5"/>
  <c r="BV28" i="5"/>
  <c r="BV29" i="5"/>
  <c r="BV27" i="5"/>
  <c r="BV26" i="5"/>
  <c r="BV30" i="5"/>
  <c r="BV31" i="5"/>
  <c r="BV25" i="5"/>
  <c r="BV24" i="5"/>
  <c r="BV32" i="5"/>
  <c r="BV23" i="5"/>
  <c r="BV33" i="5"/>
  <c r="BV34" i="5"/>
  <c r="BV22" i="5"/>
  <c r="BV35" i="5"/>
  <c r="BV21" i="5"/>
  <c r="BV36" i="5"/>
  <c r="BV20" i="5"/>
  <c r="BV19" i="5"/>
  <c r="BV37" i="5"/>
  <c r="BV38" i="5"/>
  <c r="BV18" i="5"/>
  <c r="BV17" i="5"/>
  <c r="BV39" i="5"/>
  <c r="BV16" i="5"/>
  <c r="BV40" i="5"/>
  <c r="BV15" i="5"/>
  <c r="BV41" i="5"/>
  <c r="BV42" i="5"/>
  <c r="BV14" i="5"/>
  <c r="BV43" i="5"/>
  <c r="BV13" i="5"/>
  <c r="BV44" i="5"/>
  <c r="BV12" i="5"/>
  <c r="BV45" i="5"/>
  <c r="BV11" i="5"/>
  <c r="BV10" i="5"/>
  <c r="BV46" i="5"/>
  <c r="BV9" i="5"/>
  <c r="BV47" i="5"/>
  <c r="BV8" i="5"/>
  <c r="BV48" i="5"/>
  <c r="BV49" i="5"/>
  <c r="BV7" i="5"/>
  <c r="BV50" i="5"/>
  <c r="BV6" i="5"/>
  <c r="BV51" i="5"/>
  <c r="BV5" i="5"/>
  <c r="AA2" i="1" l="1"/>
  <c r="BW52" i="5"/>
  <c r="BW28" i="5"/>
  <c r="AB28" i="5" s="1"/>
  <c r="BW27" i="5"/>
  <c r="AB27" i="5" s="1"/>
  <c r="BW29" i="5"/>
  <c r="AB29" i="5" s="1"/>
  <c r="BW30" i="5"/>
  <c r="AB30" i="5" s="1"/>
  <c r="BW26" i="5"/>
  <c r="AB26" i="5" s="1"/>
  <c r="BW25" i="5"/>
  <c r="AB25" i="5" s="1"/>
  <c r="BW31" i="5"/>
  <c r="AB31" i="5" s="1"/>
  <c r="BW24" i="5"/>
  <c r="AB24" i="5" s="1"/>
  <c r="BW32" i="5"/>
  <c r="AB32" i="5" s="1"/>
  <c r="BW33" i="5"/>
  <c r="AB33" i="5" s="1"/>
  <c r="BW23" i="5"/>
  <c r="AB23" i="5" s="1"/>
  <c r="BW34" i="5"/>
  <c r="AB34" i="5" s="1"/>
  <c r="BW22" i="5"/>
  <c r="AB22" i="5" s="1"/>
  <c r="BW21" i="5"/>
  <c r="AB21" i="5" s="1"/>
  <c r="BW35" i="5"/>
  <c r="AB35" i="5" s="1"/>
  <c r="BW20" i="5"/>
  <c r="AB20" i="5" s="1"/>
  <c r="BW36" i="5"/>
  <c r="AB36" i="5" s="1"/>
  <c r="BW37" i="5"/>
  <c r="AB37" i="5" s="1"/>
  <c r="BW19" i="5"/>
  <c r="AB19" i="5" s="1"/>
  <c r="BW18" i="5"/>
  <c r="AB18" i="5" s="1"/>
  <c r="BW38" i="5"/>
  <c r="AB38" i="5" s="1"/>
  <c r="BW17" i="5"/>
  <c r="AB17" i="5" s="1"/>
  <c r="BW39" i="5"/>
  <c r="AB39" i="5" s="1"/>
  <c r="BW40" i="5"/>
  <c r="AB40" i="5" s="1"/>
  <c r="BW16" i="5"/>
  <c r="AB16" i="5" s="1"/>
  <c r="BW41" i="5"/>
  <c r="AB41" i="5" s="1"/>
  <c r="BW15" i="5"/>
  <c r="AB15" i="5" s="1"/>
  <c r="BW14" i="5"/>
  <c r="AB14" i="5" s="1"/>
  <c r="BW42" i="5"/>
  <c r="AB42" i="5" s="1"/>
  <c r="BW43" i="5"/>
  <c r="AB43" i="5" s="1"/>
  <c r="BW13" i="5"/>
  <c r="AB13" i="5" s="1"/>
  <c r="BW12" i="5"/>
  <c r="AB12" i="5" s="1"/>
  <c r="BW44" i="5"/>
  <c r="AB44" i="5" s="1"/>
  <c r="BW11" i="5"/>
  <c r="AB11" i="5" s="1"/>
  <c r="BW45" i="5"/>
  <c r="AB45" i="5" s="1"/>
  <c r="BW46" i="5"/>
  <c r="AB46" i="5" s="1"/>
  <c r="BW10" i="5"/>
  <c r="AB10" i="5" s="1"/>
  <c r="BW9" i="5"/>
  <c r="AB9" i="5" s="1"/>
  <c r="BW47" i="5"/>
  <c r="AB47" i="5" s="1"/>
  <c r="BW8" i="5"/>
  <c r="AB8" i="5" s="1"/>
  <c r="BW48" i="5"/>
  <c r="AB48" i="5" s="1"/>
  <c r="BW7" i="5"/>
  <c r="AB7" i="5" s="1"/>
  <c r="BW49" i="5"/>
  <c r="AB49" i="5" s="1"/>
  <c r="BW50" i="5"/>
  <c r="AB50" i="5" s="1"/>
  <c r="BW6" i="5"/>
  <c r="AB6" i="5" s="1"/>
  <c r="BW51" i="5"/>
  <c r="AB51" i="5" s="1"/>
  <c r="BW5" i="5"/>
  <c r="AB5" i="5" s="1"/>
  <c r="AB2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<sst xmlns="http://schemas.openxmlformats.org/spreadsheetml/2006/main" count="397" uniqueCount="292">
  <si>
    <t>MAXPAIN</t>
  </si>
  <si>
    <t>AAPL</t>
  </si>
  <si>
    <t>CLF</t>
  </si>
  <si>
    <t>DX</t>
  </si>
  <si>
    <t>STRR</t>
  </si>
  <si>
    <t>HBT</t>
  </si>
  <si>
    <t>SDVKY</t>
  </si>
  <si>
    <t>SMMT</t>
  </si>
  <si>
    <t>AGNC</t>
  </si>
  <si>
    <t>STLD</t>
  </si>
  <si>
    <t>ZION</t>
  </si>
  <si>
    <t>WTFC</t>
  </si>
  <si>
    <t>FLXS</t>
  </si>
  <si>
    <t>RLI</t>
  </si>
  <si>
    <t>BOKF</t>
  </si>
  <si>
    <t>CADE</t>
  </si>
  <si>
    <t>SFBS</t>
  </si>
  <si>
    <t>KO</t>
  </si>
  <si>
    <t>ELV</t>
  </si>
  <si>
    <t>LMT</t>
  </si>
  <si>
    <t>PM</t>
  </si>
  <si>
    <t>RTX</t>
  </si>
  <si>
    <t>MMM</t>
  </si>
  <si>
    <t>PHM</t>
  </si>
  <si>
    <t>GM</t>
  </si>
  <si>
    <t>NOC</t>
  </si>
  <si>
    <t>NFLX</t>
  </si>
  <si>
    <t>ISRG</t>
  </si>
  <si>
    <t>TXN</t>
  </si>
  <si>
    <t>COF</t>
  </si>
  <si>
    <t>EQT</t>
  </si>
  <si>
    <t>EWBC</t>
  </si>
  <si>
    <t>WCN</t>
  </si>
  <si>
    <t>NBHC</t>
  </si>
  <si>
    <t>OMC</t>
  </si>
  <si>
    <t>APH</t>
  </si>
  <si>
    <t>GEV</t>
  </si>
  <si>
    <t>VRT</t>
  </si>
  <si>
    <t>BSX</t>
  </si>
  <si>
    <t>HLT</t>
  </si>
  <si>
    <t>T</t>
  </si>
  <si>
    <t>TMHC</t>
  </si>
  <si>
    <t>TECK</t>
  </si>
  <si>
    <t>TMO</t>
  </si>
  <si>
    <t>WGO</t>
  </si>
  <si>
    <t>TSLA</t>
  </si>
  <si>
    <t>IBM</t>
  </si>
  <si>
    <t>KMI</t>
  </si>
  <si>
    <t>QS</t>
  </si>
  <si>
    <t>CCS</t>
  </si>
  <si>
    <t>TCBI</t>
  </si>
  <si>
    <t>SAP</t>
  </si>
  <si>
    <t>AA</t>
  </si>
  <si>
    <t>LRCX</t>
  </si>
  <si>
    <t>KNX</t>
  </si>
  <si>
    <t>AAL</t>
  </si>
  <si>
    <t>FCX</t>
  </si>
  <si>
    <t>HON</t>
  </si>
  <si>
    <t>HAS</t>
  </si>
  <si>
    <t>DOW</t>
  </si>
  <si>
    <t>NOK</t>
  </si>
  <si>
    <t>AN</t>
  </si>
  <si>
    <t>TMUS</t>
  </si>
  <si>
    <t>INTC</t>
  </si>
  <si>
    <t>NEM</t>
  </si>
  <si>
    <t>ALK</t>
  </si>
  <si>
    <t>NXT</t>
  </si>
  <si>
    <t>DECK</t>
  </si>
  <si>
    <t>BYD</t>
  </si>
  <si>
    <t>F</t>
  </si>
  <si>
    <t>PNIE</t>
  </si>
  <si>
    <t>DOC</t>
  </si>
  <si>
    <t>PG</t>
  </si>
  <si>
    <t>BAH</t>
  </si>
  <si>
    <t>GNTX</t>
  </si>
  <si>
    <t>FLG</t>
  </si>
  <si>
    <t>ITW</t>
  </si>
  <si>
    <t>GD</t>
  </si>
  <si>
    <t>FHB</t>
  </si>
  <si>
    <t>HCA</t>
  </si>
  <si>
    <t>EAF</t>
  </si>
  <si>
    <t>VRTS</t>
  </si>
  <si>
    <t>SPY</t>
  </si>
  <si>
    <t>QQQ</t>
  </si>
  <si>
    <t>USO</t>
  </si>
  <si>
    <t>UNG</t>
  </si>
  <si>
    <t>GLD</t>
  </si>
  <si>
    <t>SLV</t>
  </si>
  <si>
    <t>GOOGL</t>
  </si>
  <si>
    <t>AMZ</t>
  </si>
  <si>
    <t>MSFT</t>
  </si>
  <si>
    <t>IBIT</t>
  </si>
  <si>
    <t>NFLX: Timestamp</t>
  </si>
  <si>
    <t>NFLX: Open</t>
  </si>
  <si>
    <t>NFLX: High</t>
  </si>
  <si>
    <t>NFLX: Low</t>
  </si>
  <si>
    <t>NFLX: Close</t>
  </si>
  <si>
    <t>NFLX: Volume</t>
  </si>
  <si>
    <t>2.96M</t>
  </si>
  <si>
    <t>2.83M</t>
  </si>
  <si>
    <t>2.03M</t>
  </si>
  <si>
    <t>2.36M</t>
  </si>
  <si>
    <t>2.46M</t>
  </si>
  <si>
    <t>4.28M</t>
  </si>
  <si>
    <t>2.82M</t>
  </si>
  <si>
    <t>2.85M</t>
  </si>
  <si>
    <t>3.31M</t>
  </si>
  <si>
    <t>2.97M</t>
  </si>
  <si>
    <t>3.14M</t>
  </si>
  <si>
    <t>4.69M</t>
  </si>
  <si>
    <t>4.11M</t>
  </si>
  <si>
    <t>3.83M</t>
  </si>
  <si>
    <t>3.03M</t>
  </si>
  <si>
    <t>1.94M</t>
  </si>
  <si>
    <t>2.00M</t>
  </si>
  <si>
    <t>2.77M</t>
  </si>
  <si>
    <t>2.50M</t>
  </si>
  <si>
    <t>2.55M</t>
  </si>
  <si>
    <t>4.95M</t>
  </si>
  <si>
    <t>3.17M</t>
  </si>
  <si>
    <t>3.46M</t>
  </si>
  <si>
    <t>2.40M</t>
  </si>
  <si>
    <t>2.91M</t>
  </si>
  <si>
    <t>3.78M</t>
  </si>
  <si>
    <t>5.68M</t>
  </si>
  <si>
    <t>2.70M</t>
  </si>
  <si>
    <t>2.22M</t>
  </si>
  <si>
    <t>1.92M</t>
  </si>
  <si>
    <t>2.38M</t>
  </si>
  <si>
    <t>3.02M</t>
  </si>
  <si>
    <t>2.47M</t>
  </si>
  <si>
    <t>2.30M</t>
  </si>
  <si>
    <t>3.21M</t>
  </si>
  <si>
    <t>1.95M</t>
  </si>
  <si>
    <t>1.66M</t>
  </si>
  <si>
    <t>1.99M</t>
  </si>
  <si>
    <t>2.81M</t>
  </si>
  <si>
    <t>3.13M</t>
  </si>
  <si>
    <t>2.05M</t>
  </si>
  <si>
    <t>2.43M</t>
  </si>
  <si>
    <t>3.71M</t>
  </si>
  <si>
    <t>2.11M</t>
  </si>
  <si>
    <t>3.90M</t>
  </si>
  <si>
    <t>2.76M</t>
  </si>
  <si>
    <t>2.28M</t>
  </si>
  <si>
    <t>3.82M</t>
  </si>
  <si>
    <t>2.63M</t>
  </si>
  <si>
    <t>3.36M</t>
  </si>
  <si>
    <t>2.66M</t>
  </si>
  <si>
    <t>2.24M</t>
  </si>
  <si>
    <t>3.89M</t>
  </si>
  <si>
    <t>2.92M</t>
  </si>
  <si>
    <t>2.75M</t>
  </si>
  <si>
    <t>3.45M</t>
  </si>
  <si>
    <t>3.85M</t>
  </si>
  <si>
    <t>4.50M</t>
  </si>
  <si>
    <t>5.06M</t>
  </si>
  <si>
    <t>5.63M</t>
  </si>
  <si>
    <t>10.69M</t>
  </si>
  <si>
    <t>6.47M</t>
  </si>
  <si>
    <t>3.23M</t>
  </si>
  <si>
    <t>2.80M</t>
  </si>
  <si>
    <t>2.78M</t>
  </si>
  <si>
    <t>3.96M</t>
  </si>
  <si>
    <t>4.24M</t>
  </si>
  <si>
    <t>3.29M</t>
  </si>
  <si>
    <t>2.27M</t>
  </si>
  <si>
    <t>OPEN_INT</t>
  </si>
  <si>
    <t>TSLA: Timestamp</t>
  </si>
  <si>
    <t>TSLA: Open</t>
  </si>
  <si>
    <t>TSLA: High</t>
  </si>
  <si>
    <t>TSLA: Low</t>
  </si>
  <si>
    <t>TSLA: Close</t>
  </si>
  <si>
    <t>TSLA: Volume</t>
  </si>
  <si>
    <t>89.34M</t>
  </si>
  <si>
    <t>77.19M</t>
  </si>
  <si>
    <t>71.56M</t>
  </si>
  <si>
    <t>72.67M</t>
  </si>
  <si>
    <t>79.55M</t>
  </si>
  <si>
    <t>112.11M</t>
  </si>
  <si>
    <t>69.34M</t>
  </si>
  <si>
    <t>71.19M</t>
  </si>
  <si>
    <t>102.30M</t>
  </si>
  <si>
    <t>85.33M</t>
  </si>
  <si>
    <t>133.19M</t>
  </si>
  <si>
    <t>137.01M</t>
  </si>
  <si>
    <t>98.13M</t>
  </si>
  <si>
    <t>74.36M</t>
  </si>
  <si>
    <t>79.50M</t>
  </si>
  <si>
    <t>101.63M</t>
  </si>
  <si>
    <t>96.77M</t>
  </si>
  <si>
    <t>93.15M</t>
  </si>
  <si>
    <t>83.43M</t>
  </si>
  <si>
    <t>97.12M</t>
  </si>
  <si>
    <t>93.14M</t>
  </si>
  <si>
    <t>90.46M</t>
  </si>
  <si>
    <t>106.14M</t>
  </si>
  <si>
    <t>104.29M</t>
  </si>
  <si>
    <t>163.83M</t>
  </si>
  <si>
    <t>168.16M</t>
  </si>
  <si>
    <t>103.76M</t>
  </si>
  <si>
    <t>72.12M</t>
  </si>
  <si>
    <t>53.82M</t>
  </si>
  <si>
    <t>75.21M</t>
  </si>
  <si>
    <t>108.99M</t>
  </si>
  <si>
    <t>60.71M</t>
  </si>
  <si>
    <t>88.73M</t>
  </si>
  <si>
    <t>58.39M</t>
  </si>
  <si>
    <t>81.15M</t>
  </si>
  <si>
    <t>67.90M</t>
  </si>
  <si>
    <t>65.52M</t>
  </si>
  <si>
    <t>76.65M</t>
  </si>
  <si>
    <t>86.67M</t>
  </si>
  <si>
    <t>94.02M</t>
  </si>
  <si>
    <t>55.74M</t>
  </si>
  <si>
    <t>77.48M</t>
  </si>
  <si>
    <t>75.96M</t>
  </si>
  <si>
    <t>56.96M</t>
  </si>
  <si>
    <t>74.32M</t>
  </si>
  <si>
    <t>75.00M</t>
  </si>
  <si>
    <t>67.84M</t>
  </si>
  <si>
    <t>80.69M</t>
  </si>
  <si>
    <t>105.32M</t>
  </si>
  <si>
    <t>91.20M</t>
  </si>
  <si>
    <t>66.66M</t>
  </si>
  <si>
    <t>78.52M</t>
  </si>
  <si>
    <t>57.96M</t>
  </si>
  <si>
    <t>78.68M</t>
  </si>
  <si>
    <t>89.12M</t>
  </si>
  <si>
    <t>85.27M</t>
  </si>
  <si>
    <t>83.93M</t>
  </si>
  <si>
    <t>87.36M</t>
  </si>
  <si>
    <t>112.67M</t>
  </si>
  <si>
    <t>148.23M</t>
  </si>
  <si>
    <t>156.97M</t>
  </si>
  <si>
    <t>92.55M</t>
  </si>
  <si>
    <t>77.37M</t>
  </si>
  <si>
    <t>75.77M</t>
  </si>
  <si>
    <t>94.25M</t>
  </si>
  <si>
    <t>73.92M</t>
  </si>
  <si>
    <t>97.28M</t>
  </si>
  <si>
    <t>77.56M</t>
  </si>
  <si>
    <t>78.04M</t>
  </si>
  <si>
    <t>79.24M</t>
  </si>
  <si>
    <t>104.37M</t>
  </si>
  <si>
    <t>75.59M</t>
  </si>
  <si>
    <t>103.25M</t>
  </si>
  <si>
    <t>131.18M</t>
  </si>
  <si>
    <t>58.04M</t>
  </si>
  <si>
    <t>119.48M</t>
  </si>
  <si>
    <t>145.09M</t>
  </si>
  <si>
    <t>76.70M</t>
  </si>
  <si>
    <t>89.07M</t>
  </si>
  <si>
    <t>80.44M</t>
  </si>
  <si>
    <t>119.85M</t>
  </si>
  <si>
    <t>114.74M</t>
  </si>
  <si>
    <t>190.72M</t>
  </si>
  <si>
    <t>108.69M</t>
  </si>
  <si>
    <t>95.14M</t>
  </si>
  <si>
    <t>88.28M</t>
  </si>
  <si>
    <t>128.96M</t>
  </si>
  <si>
    <t>105.13M</t>
  </si>
  <si>
    <t>122.61M</t>
  </si>
  <si>
    <t>151.26M</t>
  </si>
  <si>
    <t>140.91M</t>
  </si>
  <si>
    <t>164.75M</t>
  </si>
  <si>
    <t>292.82M</t>
  </si>
  <si>
    <t>98.91M</t>
  </si>
  <si>
    <t>99.32M</t>
  </si>
  <si>
    <t>81.87M</t>
  </si>
  <si>
    <t>123.47M</t>
  </si>
  <si>
    <t>88.55M</t>
  </si>
  <si>
    <t>91.40M</t>
  </si>
  <si>
    <t>120.15M</t>
  </si>
  <si>
    <t>84.65M</t>
  </si>
  <si>
    <t>97.11M</t>
  </si>
  <si>
    <t>102.35M</t>
  </si>
  <si>
    <t>131.72M</t>
  </si>
  <si>
    <t>88.87M</t>
  </si>
  <si>
    <t>95.90M</t>
  </si>
  <si>
    <t>97.88M</t>
  </si>
  <si>
    <t>137.00M</t>
  </si>
  <si>
    <t>Apertura</t>
  </si>
  <si>
    <t>Alto</t>
  </si>
  <si>
    <t>Bajo</t>
  </si>
  <si>
    <t>Cierre</t>
  </si>
  <si>
    <t>Volumen</t>
  </si>
  <si>
    <t>IWM</t>
  </si>
  <si>
    <t>NVO</t>
  </si>
  <si>
    <t>251114</t>
  </si>
  <si>
    <t>VOLUME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</si>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</sst>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d/mm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22" fontId="2" fillId="0" borderId="0" xfId="0" applyNumberFormat="1" applyFont="1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16" fontId="0" fillId="0" borderId="0" xfId="0" applyNumberFormat="1"/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1" fontId="0" fillId="0" borderId="0" xfId="0" applyNumberFormat="1"/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2" fontId="0" fillId="0" borderId="0" xfId="0" applyNumberFormat="1"/>
    <xf numFmtId="8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1">
    <dxf>
      <fill>
        <patternFill>
          <bgColor rgb="FF006600"/>
        </patternFill>
      </fill>
      <border>
        <top style="thin">
          <color rgb="FF008000"/>
        </top>
        <vertical/>
        <horizontal/>
      </border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  <border>
        <top style="dashDotDot">
          <color rgb="FFFFFF00"/>
        </top>
        <bottom style="dashDotDot">
          <color rgb="FFFFFF00"/>
        </bottom>
        <vertical/>
        <horizontal/>
      </border>
    </dxf>
    <dxf>
      <fill>
        <patternFill>
          <bgColor rgb="FFC00000"/>
        </patternFill>
      </fill>
      <border>
        <bottom style="thin">
          <color rgb="FFC00000"/>
        </bottom>
        <vertical/>
        <horizontal/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</dxf>
    <dxf>
      <font>
        <b/>
        <i val="0"/>
      </font>
    </dxf>
    <dxf>
      <border>
        <top style="thin">
          <color rgb="FF008000"/>
        </top>
        <vertical/>
        <horizontal/>
      </border>
    </dxf>
    <dxf>
      <border>
        <bottom style="thin">
          <color rgb="FFC00000"/>
        </bottom>
        <vertical/>
        <horizontal/>
      </border>
    </dxf>
    <dxf>
      <font>
        <color auto="1"/>
      </font>
      <border>
        <top style="dashDotDot">
          <color rgb="FFFFFF00"/>
        </top>
        <bottom style="dashDotDot">
          <color rgb="FFFFFF00"/>
        </bottom>
        <vertical/>
        <horizontal/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ont>
        <color auto="1"/>
      </font>
      <fill>
        <patternFill>
          <bgColor rgb="FFFFFF00"/>
        </patternFill>
      </fill>
      <border>
        <vertical/>
        <horizontal/>
      </border>
    </dxf>
    <dxf>
      <fill>
        <patternFill>
          <bgColor theme="0"/>
        </patternFill>
      </fill>
    </dxf>
    <dxf>
      <font>
        <b/>
        <i val="0"/>
      </font>
    </dxf>
    <dxf>
      <font>
        <b/>
        <i val="0"/>
      </font>
    </dxf>
    <dxf>
      <border>
        <top style="thin">
          <color rgb="FF008000"/>
        </top>
        <vertical/>
        <horizontal/>
      </border>
    </dxf>
    <dxf>
      <border>
        <bottom style="thin">
          <color rgb="FFC00000"/>
        </bottom>
        <vertical/>
        <horizontal/>
      </border>
    </dxf>
    <dxf>
      <font>
        <color auto="1"/>
      </font>
      <border>
        <top style="dashDotDot">
          <color rgb="FFFFFF00"/>
        </top>
        <bottom style="dashDotDot">
          <color rgb="FFFFFF00"/>
        </bottom>
        <vertical/>
        <horizontal/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ont>
        <color auto="1"/>
      </font>
      <fill>
        <patternFill>
          <bgColor rgb="FFFFFF00"/>
        </patternFill>
      </fill>
      <border>
        <vertical/>
        <horizontal/>
      </border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006600"/>
      <color rgb="FF00C400"/>
      <color rgb="FFFF9797"/>
      <color rgb="FF008000"/>
      <color rgb="FF33CC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 t="s">
        <v>N/A</v>
        <stp/>
        <stp>VOLUME</stp>
        <stp>.OPENC-1</stp>
        <tr r="B50" s="5"/>
      </tp>
      <tp t="s">
        <v>N/A</v>
        <stp/>
        <stp>VOLUME</stp>
        <stp>.OPENC18</stp>
        <tr r="B12" s="5"/>
      </tp>
      <tp t="s">
        <v>N/A</v>
        <stp/>
        <stp>VOLUME</stp>
        <stp>.OPENC19</stp>
        <tr r="B10" s="5"/>
      </tp>
      <tp t="s">
        <v>N/A</v>
        <stp/>
        <stp>VOLUME</stp>
        <stp>.OPENC10</stp>
        <tr r="B28" s="5"/>
      </tp>
      <tp t="s">
        <v>N/A</v>
        <stp/>
        <stp>VOLUME</stp>
        <stp>.OPENC11</stp>
        <tr r="B26" s="5"/>
      </tp>
      <tp t="s">
        <v>N/A</v>
        <stp/>
        <stp>VOLUME</stp>
        <stp>.OPENC12</stp>
        <tr r="B24" s="5"/>
      </tp>
      <tp t="s">
        <v>N/A</v>
        <stp/>
        <stp>VOLUME</stp>
        <stp>.OPENC13</stp>
        <tr r="B22" s="5"/>
      </tp>
      <tp t="s">
        <v>N/A</v>
        <stp/>
        <stp>VOLUME</stp>
        <stp>.OPENC14</stp>
        <tr r="B20" s="5"/>
      </tp>
      <tp t="s">
        <v>N/A</v>
        <stp/>
        <stp>VOLUME</stp>
        <stp>.OPENC15</stp>
        <tr r="B18" s="5"/>
      </tp>
      <tp t="s">
        <v>N/A</v>
        <stp/>
        <stp>VOLUME</stp>
        <stp>.OPENC16</stp>
        <tr r="B16" s="5"/>
      </tp>
      <tp t="s">
        <v>N/A</v>
        <stp/>
        <stp>VOLUME</stp>
        <stp>.OPENC17</stp>
        <tr r="B14" s="5"/>
      </tp>
      <tp t="s">
        <v>N/A</v>
        <stp/>
        <stp>VOLUME</stp>
        <stp>.OPENC20</stp>
        <tr r="B8" s="5"/>
      </tp>
      <tp t="s">
        <v>N/A</v>
        <stp/>
        <stp>VOLUME</stp>
        <stp>.OPENC21</stp>
        <tr r="B6" s="5"/>
      </tp>
      <tp t="s">
        <v>N/A</v>
        <stp/>
        <stp>VOLUME</stp>
        <stp>.OPENP18.5</stp>
        <tr r="B11" s="5"/>
      </tp>
      <tp t="s">
        <v>N/A</v>
        <stp/>
        <stp>VOLUME</stp>
        <stp>.OPENC18.5</stp>
        <tr r="B11" s="5"/>
      </tp>
      <tp t="s">
        <v>N/A</v>
        <stp/>
        <stp>VOLUME</stp>
        <stp>.OPENP19.5</stp>
        <tr r="B9" s="5"/>
      </tp>
      <tp t="s">
        <v>N/A</v>
        <stp/>
        <stp>VOLUME</stp>
        <stp>.OPENC19.5</stp>
        <tr r="B9" s="5"/>
      </tp>
      <tp t="s">
        <v>N/A</v>
        <stp/>
        <stp>VOLUME</stp>
        <stp>.OPENP12.5</stp>
        <tr r="B23" s="5"/>
      </tp>
      <tp t="s">
        <v>N/A</v>
        <stp/>
        <stp>VOLUME</stp>
        <stp>.OPENC12.5</stp>
        <tr r="B23" s="5"/>
      </tp>
      <tp t="s">
        <v>N/A</v>
        <stp/>
        <stp>VOLUME</stp>
        <stp>.OPENP13.5</stp>
        <tr r="B21" s="5"/>
      </tp>
      <tp t="s">
        <v>N/A</v>
        <stp/>
        <stp>VOLUME</stp>
        <stp>.OPENC13.5</stp>
        <tr r="B21" s="5"/>
      </tp>
      <tp t="s">
        <v>N/A</v>
        <stp/>
        <stp>VOLUME</stp>
        <stp>.OPENP-0.5</stp>
        <tr r="B49" s="5"/>
      </tp>
      <tp t="s">
        <v>N/A</v>
        <stp/>
        <stp>VOLUME</stp>
        <stp>.OPENP10.5</stp>
        <tr r="B27" s="5"/>
      </tp>
      <tp t="s">
        <v>N/A</v>
        <stp/>
        <stp>VOLUME</stp>
        <stp>.OPENP20.5</stp>
        <tr r="B7" s="5"/>
      </tp>
      <tp t="s">
        <v>N/A</v>
        <stp/>
        <stp>VOLUME</stp>
        <stp>.OPENC-0.5</stp>
        <tr r="B49" s="5"/>
      </tp>
      <tp t="s">
        <v>N/A</v>
        <stp/>
        <stp>VOLUME</stp>
        <stp>.OPENC10.5</stp>
        <tr r="B27" s="5"/>
      </tp>
      <tp t="s">
        <v>N/A</v>
        <stp/>
        <stp>VOLUME</stp>
        <stp>.OPENC20.5</stp>
        <tr r="B7" s="5"/>
      </tp>
      <tp t="s">
        <v>N/A</v>
        <stp/>
        <stp>VOLUME</stp>
        <stp>.OPENP-1.5</stp>
        <tr r="B51" s="5"/>
      </tp>
      <tp t="s">
        <v>N/A</v>
        <stp/>
        <stp>VOLUME</stp>
        <stp>.OPENP11.5</stp>
        <tr r="B25" s="5"/>
      </tp>
      <tp t="s">
        <v>N/A</v>
        <stp/>
        <stp>VOLUME</stp>
        <stp>.OPENP21.5</stp>
        <tr r="B5" s="5"/>
      </tp>
      <tp t="s">
        <v>N/A</v>
        <stp/>
        <stp>VOLUME</stp>
        <stp>.OPENC-1.5</stp>
        <tr r="B51" s="5"/>
      </tp>
      <tp t="s">
        <v>N/A</v>
        <stp/>
        <stp>VOLUME</stp>
        <stp>.OPENC11.5</stp>
        <tr r="B25" s="5"/>
      </tp>
      <tp t="s">
        <v>N/A</v>
        <stp/>
        <stp>VOLUME</stp>
        <stp>.OPENC21.5</stp>
        <tr r="B5" s="5"/>
      </tp>
      <tp t="s">
        <v>N/A</v>
        <stp/>
        <stp>VOLUME</stp>
        <stp>.OPENP16.5</stp>
        <tr r="B15" s="5"/>
      </tp>
      <tp t="s">
        <v>N/A</v>
        <stp/>
        <stp>VOLUME</stp>
        <stp>.OPENC16.5</stp>
        <tr r="B15" s="5"/>
      </tp>
      <tp t="s">
        <v>N/A</v>
        <stp/>
        <stp>VOLUME</stp>
        <stp>.OPENP17.5</stp>
        <tr r="B13" s="5"/>
      </tp>
      <tp t="s">
        <v>N/A</v>
        <stp/>
        <stp>VOLUME</stp>
        <stp>.OPENC17.5</stp>
        <tr r="B13" s="5"/>
      </tp>
      <tp t="s">
        <v>N/A</v>
        <stp/>
        <stp>VOLUME</stp>
        <stp>.OPENP14.5</stp>
        <tr r="B19" s="5"/>
      </tp>
      <tp t="s">
        <v>N/A</v>
        <stp/>
        <stp>VOLUME</stp>
        <stp>.OPENC14.5</stp>
        <tr r="B19" s="5"/>
      </tp>
      <tp t="s">
        <v>N/A</v>
        <stp/>
        <stp>VOLUME</stp>
        <stp>.OPENP15.5</stp>
        <tr r="B17" s="5"/>
      </tp>
      <tp t="s">
        <v>N/A</v>
        <stp/>
        <stp>VOLUME</stp>
        <stp>.OPENC15.5</stp>
        <tr r="B17" s="5"/>
      </tp>
      <tp t="s">
        <v>N/A</v>
        <stp/>
        <stp>VOLUME</stp>
        <stp>.OPENP-1</stp>
        <tr r="B50" s="5"/>
      </tp>
      <tp t="s">
        <v>N/A</v>
        <stp/>
        <stp>VOLUME</stp>
        <stp>.OPENP18</stp>
        <tr r="B12" s="5"/>
      </tp>
      <tp t="s">
        <v>N/A</v>
        <stp/>
        <stp>VOLUME</stp>
        <stp>.OPENP19</stp>
        <tr r="B10" s="5"/>
      </tp>
      <tp t="s">
        <v>N/A</v>
        <stp/>
        <stp>VOLUME</stp>
        <stp>.OPENP10</stp>
        <tr r="B28" s="5"/>
      </tp>
      <tp t="s">
        <v>N/A</v>
        <stp/>
        <stp>VOLUME</stp>
        <stp>.OPENP11</stp>
        <tr r="B26" s="5"/>
      </tp>
      <tp t="s">
        <v>N/A</v>
        <stp/>
        <stp>VOLUME</stp>
        <stp>.OPENP12</stp>
        <tr r="B24" s="5"/>
      </tp>
      <tp t="s">
        <v>N/A</v>
        <stp/>
        <stp>VOLUME</stp>
        <stp>.OPENP13</stp>
        <tr r="B22" s="5"/>
      </tp>
      <tp t="s">
        <v>N/A</v>
        <stp/>
        <stp>VOLUME</stp>
        <stp>.OPENP14</stp>
        <tr r="B20" s="5"/>
      </tp>
      <tp t="s">
        <v>N/A</v>
        <stp/>
        <stp>VOLUME</stp>
        <stp>.OPENP15</stp>
        <tr r="B18" s="5"/>
      </tp>
      <tp t="s">
        <v>N/A</v>
        <stp/>
        <stp>VOLUME</stp>
        <stp>.OPENP16</stp>
        <tr r="B16" s="5"/>
      </tp>
      <tp t="s">
        <v>N/A</v>
        <stp/>
        <stp>VOLUME</stp>
        <stp>.OPENP17</stp>
        <tr r="B14" s="5"/>
      </tp>
      <tp t="s">
        <v>N/A</v>
        <stp/>
        <stp>VOLUME</stp>
        <stp>.OPENP20</stp>
        <tr r="B8" s="5"/>
      </tp>
      <tp t="s">
        <v>N/A</v>
        <stp/>
        <stp>VOLUME</stp>
        <stp>.OPENP21</stp>
        <tr r="B6" s="5"/>
      </tp>
      <tp t="s">
        <v>N/A</v>
        <stp/>
        <stp>OPEN_INT</stp>
        <stp>.OPEN260821P21</stp>
        <tr r="S6" s="1"/>
      </tp>
      <tp t="s">
        <v>N/A</v>
        <stp/>
        <stp>OPEN_INT</stp>
        <stp>.OPEN260821P20</stp>
        <tr r="S8" s="1"/>
      </tp>
      <tp t="s">
        <v>N/A</v>
        <stp/>
        <stp>OPEN_INT</stp>
        <stp>.OPEN260918P20</stp>
        <tr r="T8" s="1"/>
      </tp>
      <tp t="s">
        <v>N/A</v>
        <stp/>
        <stp>OPEN_INT</stp>
        <stp>.OPEN260918P21</stp>
        <tr r="T6" s="1"/>
      </tp>
      <tp t="s">
        <v>N/A</v>
        <stp/>
        <stp>OPEN_INT</stp>
        <stp>.OPEN260918P18</stp>
        <tr r="T12" s="1"/>
      </tp>
      <tp t="s">
        <v>N/A</v>
        <stp/>
        <stp>OPEN_INT</stp>
        <stp>.OPEN260918P19</stp>
        <tr r="T10" s="1"/>
      </tp>
      <tp t="s">
        <v>N/A</v>
        <stp/>
        <stp>OPEN_INT</stp>
        <stp>.OPEN260918P16</stp>
        <tr r="T16" s="1"/>
      </tp>
      <tp t="s">
        <v>N/A</v>
        <stp/>
        <stp>OPEN_INT</stp>
        <stp>.OPEN260918P17</stp>
        <tr r="T14" s="1"/>
      </tp>
      <tp t="s">
        <v>N/A</v>
        <stp/>
        <stp>OPEN_INT</stp>
        <stp>.OPEN260918P14</stp>
        <tr r="T20" s="1"/>
      </tp>
      <tp t="s">
        <v>N/A</v>
        <stp/>
        <stp>OPEN_INT</stp>
        <stp>.OPEN260918P15</stp>
        <tr r="T18" s="1"/>
      </tp>
      <tp t="s">
        <v>N/A</v>
        <stp/>
        <stp>OPEN_INT</stp>
        <stp>.OPEN260918P12</stp>
        <tr r="T24" s="1"/>
      </tp>
      <tp t="s">
        <v>N/A</v>
        <stp/>
        <stp>OPEN_INT</stp>
        <stp>.OPEN260918P13</stp>
        <tr r="T22" s="1"/>
      </tp>
      <tp t="s">
        <v>N/A</v>
        <stp/>
        <stp>OPEN_INT</stp>
        <stp>.OPEN260918P10</stp>
        <tr r="T28" s="1"/>
      </tp>
      <tp t="s">
        <v>N/A</v>
        <stp/>
        <stp>OPEN_INT</stp>
        <stp>.OPEN260918P11</stp>
        <tr r="T26" s="1"/>
      </tp>
      <tp t="s">
        <v>N/A</v>
        <stp/>
        <stp>OPEN_INT</stp>
        <stp>.OPEN260821P19</stp>
        <tr r="S10" s="1"/>
      </tp>
      <tp t="s">
        <v>N/A</v>
        <stp/>
        <stp>OPEN_INT</stp>
        <stp>.OPEN260821P18</stp>
        <tr r="S12" s="1"/>
      </tp>
      <tp t="s">
        <v>N/A</v>
        <stp/>
        <stp>OPEN_INT</stp>
        <stp>.OPEN260821P15</stp>
        <tr r="S18" s="1"/>
      </tp>
      <tp t="s">
        <v>N/A</v>
        <stp/>
        <stp>OPEN_INT</stp>
        <stp>.OPEN260821P14</stp>
        <tr r="S20" s="1"/>
      </tp>
      <tp t="s">
        <v>N/A</v>
        <stp/>
        <stp>OPEN_INT</stp>
        <stp>.OPEN260821P17</stp>
        <tr r="S14" s="1"/>
      </tp>
      <tp t="s">
        <v>N/A</v>
        <stp/>
        <stp>OPEN_INT</stp>
        <stp>.OPEN260821P16</stp>
        <tr r="S16" s="1"/>
      </tp>
      <tp t="s">
        <v>N/A</v>
        <stp/>
        <stp>OPEN_INT</stp>
        <stp>.OPEN260821P11</stp>
        <tr r="S26" s="1"/>
      </tp>
      <tp t="s">
        <v>N/A</v>
        <stp/>
        <stp>OPEN_INT</stp>
        <stp>.OPEN260821P10</stp>
        <tr r="S28" s="1"/>
      </tp>
      <tp t="s">
        <v>N/A</v>
        <stp/>
        <stp>OPEN_INT</stp>
        <stp>.OPEN260821P13</stp>
        <tr r="S22" s="1"/>
      </tp>
      <tp t="s">
        <v>N/A</v>
        <stp/>
        <stp>OPEN_INT</stp>
        <stp>.OPEN260821P12</stp>
        <tr r="S24" s="1"/>
      </tp>
      <tp t="s">
        <v>N/A</v>
        <stp/>
        <stp>OPEN_INT</stp>
        <stp>.OPEN260717P18</stp>
        <tr r="R12" s="1"/>
      </tp>
      <tp t="s">
        <v>N/A</v>
        <stp/>
        <stp>OPEN_INT</stp>
        <stp>.OPEN260717P19</stp>
        <tr r="R10" s="1"/>
      </tp>
      <tp t="s">
        <v>N/A</v>
        <stp/>
        <stp>OPEN_INT</stp>
        <stp>.OPEN260717P16</stp>
        <tr r="R16" s="1"/>
      </tp>
      <tp t="s">
        <v>N/A</v>
        <stp/>
        <stp>OPEN_INT</stp>
        <stp>.OPEN260717P17</stp>
        <tr r="R14" s="1"/>
      </tp>
      <tp t="s">
        <v>N/A</v>
        <stp/>
        <stp>OPEN_INT</stp>
        <stp>.OPEN260717P14</stp>
        <tr r="R20" s="1"/>
      </tp>
      <tp t="s">
        <v>N/A</v>
        <stp/>
        <stp>OPEN_INT</stp>
        <stp>.OPEN260717P15</stp>
        <tr r="R18" s="1"/>
      </tp>
      <tp t="s">
        <v>N/A</v>
        <stp/>
        <stp>OPEN_INT</stp>
        <stp>.OPEN260717P12</stp>
        <tr r="R24" s="1"/>
      </tp>
      <tp t="s">
        <v>N/A</v>
        <stp/>
        <stp>OPEN_INT</stp>
        <stp>.OPEN260717P13</stp>
        <tr r="R22" s="1"/>
      </tp>
      <tp t="s">
        <v>N/A</v>
        <stp/>
        <stp>OPEN_INT</stp>
        <stp>.OPEN260417P20</stp>
        <tr r="O8" s="1"/>
      </tp>
      <tp t="s">
        <v>N/A</v>
        <stp/>
        <stp>OPEN_INT</stp>
        <stp>.OPEN260717P10</stp>
        <tr r="R28" s="1"/>
      </tp>
      <tp t="s">
        <v>N/A</v>
        <stp/>
        <stp>OPEN_INT</stp>
        <stp>.OPEN260417P21</stp>
        <tr r="O6" s="1"/>
      </tp>
      <tp t="s">
        <v>N/A</v>
        <stp/>
        <stp>OPEN_INT</stp>
        <stp>.OPEN260717P11</stp>
        <tr r="R26" s="1"/>
      </tp>
      <tp t="s">
        <v>N/A</v>
        <stp/>
        <stp>OPEN_INT</stp>
        <stp>.OPEN260619P18</stp>
        <tr r="Q12" s="1"/>
      </tp>
      <tp t="s">
        <v>N/A</v>
        <stp/>
        <stp>OPEN_INT</stp>
        <stp>.OPEN260619P19</stp>
        <tr r="Q10" s="1"/>
      </tp>
      <tp t="s">
        <v>N/A</v>
        <stp/>
        <stp>OPEN_INT</stp>
        <stp>.OPEN260619P16</stp>
        <tr r="Q16" s="1"/>
      </tp>
      <tp t="s">
        <v>N/A</v>
        <stp/>
        <stp>OPEN_INT</stp>
        <stp>.OPEN260619P17</stp>
        <tr r="Q14" s="1"/>
      </tp>
      <tp t="s">
        <v>N/A</v>
        <stp/>
        <stp>OPEN_INT</stp>
        <stp>.OPEN260619P14</stp>
        <tr r="Q20" s="1"/>
      </tp>
      <tp t="s">
        <v>N/A</v>
        <stp/>
        <stp>OPEN_INT</stp>
        <stp>.OPEN260619P15</stp>
        <tr r="Q18" s="1"/>
      </tp>
      <tp t="s">
        <v>N/A</v>
        <stp/>
        <stp>OPEN_INT</stp>
        <stp>.OPEN260619P12</stp>
        <tr r="Q24" s="1"/>
      </tp>
      <tp t="s">
        <v>N/A</v>
        <stp/>
        <stp>OPEN_INT</stp>
        <stp>.OPEN260619P13</stp>
        <tr r="Q22" s="1"/>
      </tp>
      <tp t="s">
        <v>N/A</v>
        <stp/>
        <stp>OPEN_INT</stp>
        <stp>.OPEN260515P20</stp>
        <tr r="P8" s="1"/>
      </tp>
      <tp t="s">
        <v>N/A</v>
        <stp/>
        <stp>OPEN_INT</stp>
        <stp>.OPEN260619P10</stp>
        <tr r="Q28" s="1"/>
      </tp>
      <tp t="s">
        <v>N/A</v>
        <stp/>
        <stp>OPEN_INT</stp>
        <stp>.OPEN260515P21</stp>
        <tr r="P6" s="1"/>
      </tp>
      <tp t="s">
        <v>N/A</v>
        <stp/>
        <stp>OPEN_INT</stp>
        <stp>.OPEN260619P11</stp>
        <tr r="Q26" s="1"/>
      </tp>
      <tp t="s">
        <v>N/A</v>
        <stp/>
        <stp>OPEN_INT</stp>
        <stp>.OPEN260515P18</stp>
        <tr r="P12" s="1"/>
      </tp>
      <tp t="s">
        <v>N/A</v>
        <stp/>
        <stp>OPEN_INT</stp>
        <stp>.OPEN260515P19</stp>
        <tr r="P10" s="1"/>
      </tp>
      <tp>
        <v>76</v>
        <stp/>
        <stp>OPEN_INT</stp>
        <stp>.OPEN260515P16</stp>
        <tr r="P16" s="1"/>
        <tr r="P16" s="1"/>
      </tp>
      <tp>
        <v>288</v>
        <stp/>
        <stp>OPEN_INT</stp>
        <stp>.OPEN260515P17</stp>
        <tr r="P14" s="1"/>
        <tr r="P14" s="1"/>
      </tp>
      <tp>
        <v>57</v>
        <stp/>
        <stp>OPEN_INT</stp>
        <stp>.OPEN260515P14</stp>
        <tr r="P20" s="1"/>
        <tr r="P20" s="1"/>
      </tp>
      <tp>
        <v>92</v>
        <stp/>
        <stp>OPEN_INT</stp>
        <stp>.OPEN260515P15</stp>
        <tr r="P18" s="1"/>
        <tr r="P18" s="1"/>
      </tp>
      <tp>
        <v>380</v>
        <stp/>
        <stp>OPEN_INT</stp>
        <stp>.OPEN260515P12</stp>
        <tr r="P24" s="1"/>
        <tr r="P24" s="1"/>
      </tp>
      <tp>
        <v>213</v>
        <stp/>
        <stp>OPEN_INT</stp>
        <stp>.OPEN260515P13</stp>
        <tr r="P22" s="1"/>
        <tr r="P22" s="1"/>
      </tp>
      <tp>
        <v>1034</v>
        <stp/>
        <stp>OPEN_INT</stp>
        <stp>.OPEN260515P10</stp>
        <tr r="P28" s="1"/>
        <tr r="P28" s="1"/>
      </tp>
      <tp t="s">
        <v>N/A</v>
        <stp/>
        <stp>OPEN_INT</stp>
        <stp>.OPEN260619P20</stp>
        <tr r="Q8" s="1"/>
      </tp>
      <tp>
        <v>1071</v>
        <stp/>
        <stp>OPEN_INT</stp>
        <stp>.OPEN260515P11</stp>
        <tr r="P26" s="1"/>
        <tr r="P26" s="1"/>
      </tp>
      <tp t="s">
        <v>N/A</v>
        <stp/>
        <stp>OPEN_INT</stp>
        <stp>.OPEN260619P21</stp>
        <tr r="Q6" s="1"/>
      </tp>
      <tp t="s">
        <v>N/A</v>
        <stp/>
        <stp>OPEN_INT</stp>
        <stp>.OPEN260417P18</stp>
        <tr r="O12" s="1"/>
      </tp>
      <tp t="s">
        <v>N/A</v>
        <stp/>
        <stp>OPEN_INT</stp>
        <stp>.OPEN260417P19</stp>
        <tr r="O10" s="1"/>
      </tp>
      <tp t="s">
        <v>N/A</v>
        <stp/>
        <stp>OPEN_INT</stp>
        <stp>.OPEN260417P16</stp>
        <tr r="O16" s="1"/>
      </tp>
      <tp t="s">
        <v>N/A</v>
        <stp/>
        <stp>OPEN_INT</stp>
        <stp>.OPEN260417P17</stp>
        <tr r="O14" s="1"/>
      </tp>
      <tp t="s">
        <v>N/A</v>
        <stp/>
        <stp>OPEN_INT</stp>
        <stp>.OPEN260417P14</stp>
        <tr r="O20" s="1"/>
      </tp>
      <tp t="s">
        <v>N/A</v>
        <stp/>
        <stp>OPEN_INT</stp>
        <stp>.OPEN260417P15</stp>
        <tr r="O18" s="1"/>
      </tp>
      <tp t="s">
        <v>N/A</v>
        <stp/>
        <stp>OPEN_INT</stp>
        <stp>.OPEN260417P12</stp>
        <tr r="O24" s="1"/>
      </tp>
      <tp t="s">
        <v>N/A</v>
        <stp/>
        <stp>OPEN_INT</stp>
        <stp>.OPEN260417P13</stp>
        <tr r="O22" s="1"/>
      </tp>
      <tp t="s">
        <v>N/A</v>
        <stp/>
        <stp>OPEN_INT</stp>
        <stp>.OPEN260417P10</stp>
        <tr r="O28" s="1"/>
      </tp>
      <tp t="s">
        <v>N/A</v>
        <stp/>
        <stp>OPEN_INT</stp>
        <stp>.OPEN260717P20</stp>
        <tr r="R8" s="1"/>
      </tp>
      <tp t="s">
        <v>N/A</v>
        <stp/>
        <stp>OPEN_INT</stp>
        <stp>.OPEN260417P11</stp>
        <tr r="O26" s="1"/>
      </tp>
      <tp t="s">
        <v>N/A</v>
        <stp/>
        <stp>OPEN_INT</stp>
        <stp>.OPEN260717P21</stp>
        <tr r="R6" s="1"/>
      </tp>
      <tp t="s">
        <v>N/A</v>
        <stp/>
        <stp>OPEN_INT</stp>
        <stp>.OPEN260320P19</stp>
        <tr r="N10" s="1"/>
      </tp>
      <tp t="s">
        <v>N/A</v>
        <stp/>
        <stp>OPEN_INT</stp>
        <stp>.OPEN260320P18</stp>
        <tr r="N12" s="1"/>
      </tp>
      <tp t="s">
        <v>N/A</v>
        <stp/>
        <stp>OPEN_INT</stp>
        <stp>.OPEN260320P15</stp>
        <tr r="N18" s="1"/>
      </tp>
      <tp t="s">
        <v>N/A</v>
        <stp/>
        <stp>OPEN_INT</stp>
        <stp>.OPEN260320P14</stp>
        <tr r="N20" s="1"/>
      </tp>
      <tp t="s">
        <v>N/A</v>
        <stp/>
        <stp>OPEN_INT</stp>
        <stp>.OPEN260320P17</stp>
        <tr r="N14" s="1"/>
      </tp>
      <tp t="s">
        <v>N/A</v>
        <stp/>
        <stp>OPEN_INT</stp>
        <stp>.OPEN260320P16</stp>
        <tr r="N16" s="1"/>
      </tp>
      <tp t="s">
        <v>N/A</v>
        <stp/>
        <stp>OPEN_INT</stp>
        <stp>.OPEN260320P11</stp>
        <tr r="N26" s="1"/>
      </tp>
      <tp t="s">
        <v>N/A</v>
        <stp/>
        <stp>OPEN_INT</stp>
        <stp>.OPEN260320P10</stp>
        <tr r="N28" s="1"/>
      </tp>
      <tp t="s">
        <v>N/A</v>
        <stp/>
        <stp>OPEN_INT</stp>
        <stp>.OPEN260320P13</stp>
        <tr r="N22" s="1"/>
      </tp>
      <tp t="s">
        <v>N/A</v>
        <stp/>
        <stp>OPEN_INT</stp>
        <stp>.OPEN260320P12</stp>
        <tr r="N24" s="1"/>
      </tp>
      <tp>
        <v>220</v>
        <stp/>
        <stp>OPEN_INT</stp>
        <stp>.OPEN260220P19</stp>
        <tr r="M10" s="1"/>
        <tr r="M10" s="1"/>
      </tp>
      <tp>
        <v>462</v>
        <stp/>
        <stp>OPEN_INT</stp>
        <stp>.OPEN260220P18</stp>
        <tr r="M12" s="1"/>
        <tr r="M12" s="1"/>
      </tp>
      <tp>
        <v>150</v>
        <stp/>
        <stp>OPEN_INT</stp>
        <stp>.OPEN260220P15</stp>
        <tr r="M18" s="1"/>
        <tr r="M18" s="1"/>
      </tp>
      <tp>
        <v>311</v>
        <stp/>
        <stp>OPEN_INT</stp>
        <stp>.OPEN260220P14</stp>
        <tr r="M20" s="1"/>
        <tr r="M20" s="1"/>
      </tp>
      <tp>
        <v>198</v>
        <stp/>
        <stp>OPEN_INT</stp>
        <stp>.OPEN260220P17</stp>
        <tr r="M14" s="1"/>
        <tr r="M14" s="1"/>
      </tp>
      <tp>
        <v>155</v>
        <stp/>
        <stp>OPEN_INT</stp>
        <stp>.OPEN260220P16</stp>
        <tr r="M16" s="1"/>
        <tr r="M16" s="1"/>
      </tp>
      <tp>
        <v>6564</v>
        <stp/>
        <stp>OPEN_INT</stp>
        <stp>.OPEN260220P11</stp>
        <tr r="M26" s="1"/>
        <tr r="M26" s="1"/>
      </tp>
      <tp>
        <v>3745</v>
        <stp/>
        <stp>OPEN_INT</stp>
        <stp>.OPEN260220P10</stp>
        <tr r="M28" s="1"/>
        <tr r="M28" s="1"/>
      </tp>
      <tp t="s">
        <v>N/A</v>
        <stp/>
        <stp>OPEN_INT</stp>
        <stp>.OPEN260102P21</stp>
        <tr r="J6" s="1"/>
      </tp>
      <tp>
        <v>220</v>
        <stp/>
        <stp>OPEN_INT</stp>
        <stp>.OPEN260220P13</stp>
        <tr r="M22" s="1"/>
        <tr r="M22" s="1"/>
      </tp>
      <tp>
        <v>128</v>
        <stp/>
        <stp>OPEN_INT</stp>
        <stp>.OPEN260116P20</stp>
        <tr r="L8" s="1"/>
        <tr r="L8" s="1"/>
      </tp>
      <tp t="s">
        <v>N/A</v>
        <stp/>
        <stp>OPEN_INT</stp>
        <stp>.OPEN260109P21</stp>
        <tr r="K6" s="1"/>
      </tp>
      <tp t="s">
        <v>N/A</v>
        <stp/>
        <stp>OPEN_INT</stp>
        <stp>.OPEN260102P20</stp>
        <tr r="J8" s="1"/>
      </tp>
      <tp>
        <v>767</v>
        <stp/>
        <stp>OPEN_INT</stp>
        <stp>.OPEN260220P12</stp>
        <tr r="M24" s="1"/>
        <tr r="M24" s="1"/>
      </tp>
      <tp>
        <v>380</v>
        <stp/>
        <stp>OPEN_INT</stp>
        <stp>.OPEN260116P21</stp>
        <tr r="L6" s="1"/>
        <tr r="L6" s="1"/>
      </tp>
      <tp t="s">
        <v>N/A</v>
        <stp/>
        <stp>OPEN_INT</stp>
        <stp>.OPEN260109P20</stp>
        <tr r="K8" s="1"/>
      </tp>
      <tp t="s">
        <v>N/A</v>
        <stp/>
        <stp>OPEN_INT</stp>
        <stp>.OPEN260102P19</stp>
        <tr r="J10" s="1"/>
      </tp>
      <tp>
        <v>591</v>
        <stp/>
        <stp>OPEN_INT</stp>
        <stp>.OPEN260116P18</stp>
        <tr r="L12" s="1"/>
        <tr r="L12" s="1"/>
        <tr r="W8" s="2"/>
        <tr r="W8" s="2"/>
      </tp>
      <tp t="s">
        <v>N/A</v>
        <stp/>
        <stp>OPEN_INT</stp>
        <stp>.OPEN260109P19</stp>
        <tr r="K10" s="1"/>
      </tp>
      <tp t="s">
        <v>N/A</v>
        <stp/>
        <stp>OPEN_INT</stp>
        <stp>.OPEN260102P18</stp>
        <tr r="J12" s="1"/>
      </tp>
      <tp>
        <v>36</v>
        <stp/>
        <stp>OPEN_INT</stp>
        <stp>.OPEN260116P19</stp>
        <tr r="L10" s="1"/>
        <tr r="L10" s="1"/>
        <tr r="W6" s="2"/>
        <tr r="W6" s="2"/>
      </tp>
      <tp t="s">
        <v>N/A</v>
        <stp/>
        <stp>OPEN_INT</stp>
        <stp>.OPEN260109P18</stp>
        <tr r="K12" s="1"/>
      </tp>
      <tp t="s">
        <v>N/A</v>
        <stp/>
        <stp>OPEN_INT</stp>
        <stp>.OPEN260102P17</stp>
        <tr r="J14" s="1"/>
      </tp>
      <tp>
        <v>369</v>
        <stp/>
        <stp>OPEN_INT</stp>
        <stp>.OPEN260116P16</stp>
        <tr r="L16" s="1"/>
        <tr r="L16" s="1"/>
        <tr r="W12" s="2"/>
        <tr r="W12" s="2"/>
      </tp>
      <tp t="s">
        <v>N/A</v>
        <stp/>
        <stp>OPEN_INT</stp>
        <stp>.OPEN260109P17</stp>
        <tr r="K14" s="1"/>
      </tp>
      <tp t="s">
        <v>N/A</v>
        <stp/>
        <stp>OPEN_INT</stp>
        <stp>.OPEN260102P16</stp>
        <tr r="J16" s="1"/>
      </tp>
      <tp>
        <v>426</v>
        <stp/>
        <stp>OPEN_INT</stp>
        <stp>.OPEN260116P17</stp>
        <tr r="L14" s="1"/>
        <tr r="L14" s="1"/>
        <tr r="W10" s="2"/>
        <tr r="W10" s="2"/>
      </tp>
      <tp t="s">
        <v>N/A</v>
        <stp/>
        <stp>OPEN_INT</stp>
        <stp>.OPEN260109P16</stp>
        <tr r="K16" s="1"/>
      </tp>
      <tp t="s">
        <v>N/A</v>
        <stp/>
        <stp>OPEN_INT</stp>
        <stp>.OPEN260102P15</stp>
        <tr r="J18" s="1"/>
      </tp>
      <tp>
        <v>178</v>
        <stp/>
        <stp>OPEN_INT</stp>
        <stp>.OPEN260116P14</stp>
        <tr r="L20" s="1"/>
        <tr r="L20" s="1"/>
        <tr r="W16" s="2"/>
        <tr r="W16" s="2"/>
      </tp>
      <tp t="s">
        <v>N/A</v>
        <stp/>
        <stp>OPEN_INT</stp>
        <stp>.OPEN260109P15</stp>
        <tr r="K18" s="1"/>
      </tp>
      <tp t="s">
        <v>N/A</v>
        <stp/>
        <stp>OPEN_INT</stp>
        <stp>.OPEN260102P14</stp>
        <tr r="J20" s="1"/>
      </tp>
      <tp>
        <v>189</v>
        <stp/>
        <stp>OPEN_INT</stp>
        <stp>.OPEN260116P15</stp>
        <tr r="L18" s="1"/>
        <tr r="L18" s="1"/>
        <tr r="W14" s="2"/>
        <tr r="W14" s="2"/>
      </tp>
      <tp t="s">
        <v>N/A</v>
        <stp/>
        <stp>OPEN_INT</stp>
        <stp>.OPEN260109P14</stp>
        <tr r="K20" s="1"/>
      </tp>
      <tp t="s">
        <v>N/A</v>
        <stp/>
        <stp>OPEN_INT</stp>
        <stp>.OPEN260102P13</stp>
        <tr r="J22" s="1"/>
      </tp>
      <tp>
        <v>382</v>
        <stp/>
        <stp>OPEN_INT</stp>
        <stp>.OPEN260220P21</stp>
        <tr r="M6" s="1"/>
        <tr r="M6" s="1"/>
      </tp>
      <tp>
        <v>643</v>
        <stp/>
        <stp>OPEN_INT</stp>
        <stp>.OPEN260116P12</stp>
        <tr r="L24" s="1"/>
        <tr r="L24" s="1"/>
        <tr r="W20" s="2"/>
        <tr r="W20" s="2"/>
      </tp>
      <tp t="s">
        <v>N/A</v>
        <stp/>
        <stp>OPEN_INT</stp>
        <stp>.OPEN260109P13</stp>
        <tr r="K22" s="1"/>
      </tp>
      <tp t="s">
        <v>N/A</v>
        <stp/>
        <stp>OPEN_INT</stp>
        <stp>.OPEN260102P12</stp>
        <tr r="J24" s="1"/>
      </tp>
      <tp>
        <v>179</v>
        <stp/>
        <stp>OPEN_INT</stp>
        <stp>.OPEN260220P20</stp>
        <tr r="M8" s="1"/>
        <tr r="M8" s="1"/>
      </tp>
      <tp>
        <v>191</v>
        <stp/>
        <stp>OPEN_INT</stp>
        <stp>.OPEN260116P13</stp>
        <tr r="L22" s="1"/>
        <tr r="L22" s="1"/>
        <tr r="W18" s="2"/>
        <tr r="W18" s="2"/>
      </tp>
      <tp t="s">
        <v>N/A</v>
        <stp/>
        <stp>OPEN_INT</stp>
        <stp>.OPEN260109P12</stp>
        <tr r="K24" s="1"/>
      </tp>
      <tp t="s">
        <v>N/A</v>
        <stp/>
        <stp>OPEN_INT</stp>
        <stp>.OPEN260102P11</stp>
        <tr r="J26" s="1"/>
      </tp>
      <tp>
        <v>3632</v>
        <stp/>
        <stp>OPEN_INT</stp>
        <stp>.OPEN260116P10</stp>
        <tr r="L28" s="1"/>
        <tr r="L28" s="1"/>
        <tr r="W24" s="2"/>
        <tr r="W24" s="2"/>
      </tp>
      <tp t="s">
        <v>N/A</v>
        <stp/>
        <stp>OPEN_INT</stp>
        <stp>.OPEN260109P11</stp>
        <tr r="K26" s="1"/>
      </tp>
      <tp t="s">
        <v>N/A</v>
        <stp/>
        <stp>OPEN_INT</stp>
        <stp>.OPEN260102P10</stp>
        <tr r="J28" s="1"/>
      </tp>
      <tp>
        <v>977</v>
        <stp/>
        <stp>OPEN_INT</stp>
        <stp>.OPEN260116P11</stp>
        <tr r="L26" s="1"/>
        <tr r="L26" s="1"/>
        <tr r="W22" s="2"/>
        <tr r="W22" s="2"/>
      </tp>
      <tp t="s">
        <v>N/A</v>
        <stp/>
        <stp>OPEN_INT</stp>
        <stp>.OPEN260109P10</stp>
        <tr r="K28" s="1"/>
      </tp>
      <tp t="s">
        <v>N/A</v>
        <stp/>
        <stp>OPEN_INT</stp>
        <stp>.OPEN260320P21</stp>
        <tr r="N6" s="1"/>
      </tp>
      <tp t="s">
        <v>N/A</v>
        <stp/>
        <stp>OPEN_INT</stp>
        <stp>.OPEN260320P20</stp>
        <tr r="N8" s="1"/>
      </tp>
      <tp t="s">
        <v>N/A</v>
        <stp/>
        <stp>OPEN_INT</stp>
        <stp>.OPEN260320P-1</stp>
        <tr r="N50" s="1"/>
      </tp>
      <tp t="s">
        <v>N/A</v>
        <stp/>
        <stp>OPEN_INT</stp>
        <stp>.OPEN260220P-1</stp>
        <tr r="M50" s="1"/>
      </tp>
      <tp t="s">
        <v>N/A</v>
        <stp/>
        <stp>OPEN_INT</stp>
        <stp>.OPEN260116P-2</stp>
        <tr r="W48" s="2"/>
      </tp>
      <tp t="s">
        <v>N/A</v>
        <stp/>
        <stp>OPEN_INT</stp>
        <stp>.OPEN260116P-3</stp>
        <tr r="W50" s="2"/>
      </tp>
      <tp t="s">
        <v>N/A</v>
        <stp/>
        <stp>OPEN_INT</stp>
        <stp>.OPEN260102P-1</stp>
        <tr r="J50" s="1"/>
      </tp>
      <tp t="s">
        <v>N/A</v>
        <stp/>
        <stp>OPEN_INT</stp>
        <stp>.OPEN260109P-1</stp>
        <tr r="K50" s="1"/>
      </tp>
      <tp t="s">
        <v>N/A</v>
        <stp/>
        <stp>OPEN_INT</stp>
        <stp>.OPEN260116P-1</stp>
        <tr r="L50" s="1"/>
        <tr r="W46" s="2"/>
      </tp>
      <tp t="s">
        <v>N/A</v>
        <stp/>
        <stp>OPEN_INT</stp>
        <stp>.OPEN260717P-1</stp>
        <tr r="R50" s="1"/>
      </tp>
      <tp t="s">
        <v>N/A</v>
        <stp/>
        <stp>OPEN_INT</stp>
        <stp>.OPEN260619P-1</stp>
        <tr r="Q50" s="1"/>
      </tp>
      <tp t="s">
        <v>N/A</v>
        <stp/>
        <stp>OPEN_INT</stp>
        <stp>.OPEN260515P-1</stp>
        <tr r="P50" s="1"/>
      </tp>
      <tp t="s">
        <v>N/A</v>
        <stp/>
        <stp>OPEN_INT</stp>
        <stp>.OPEN260417P-1</stp>
        <tr r="O50" s="1"/>
      </tp>
      <tp t="s">
        <v>N/A</v>
        <stp/>
        <stp>OPEN_INT</stp>
        <stp>.OPEN260918P-1</stp>
        <tr r="T50" s="1"/>
      </tp>
      <tp t="s">
        <v>N/A</v>
        <stp/>
        <stp>OPEN_INT</stp>
        <stp>.OPEN260821P-1</stp>
        <tr r="S50" s="1"/>
      </tp>
      <tp t="s">
        <v>N/A</v>
        <stp/>
        <stp>OPEN_INT</stp>
        <stp>.OPEN261016P20</stp>
        <tr r="U8" s="1"/>
      </tp>
      <tp t="s">
        <v>N/A</v>
        <stp/>
        <stp>OPEN_INT</stp>
        <stp>.OPEN261016P21</stp>
        <tr r="U6" s="1"/>
      </tp>
      <tp t="s">
        <v>N/A</v>
        <stp/>
        <stp>OPEN_INT</stp>
        <stp>.OPEN251231P18</stp>
        <tr r="V8" s="2"/>
      </tp>
      <tp t="s">
        <v>N/A</v>
        <stp/>
        <stp>OPEN_INT</stp>
        <stp>.OPEN251226P19</stp>
        <tr r="I10" s="1"/>
      </tp>
      <tp t="s">
        <v>N/A</v>
        <stp/>
        <stp>OPEN_INT</stp>
        <stp>.OPEN251231P19</stp>
        <tr r="V6" s="2"/>
      </tp>
      <tp t="s">
        <v>N/A</v>
        <stp/>
        <stp>OPEN_INT</stp>
        <stp>.OPEN251226P18</stp>
        <tr r="I12" s="1"/>
      </tp>
      <tp t="s">
        <v>N/A</v>
        <stp/>
        <stp>OPEN_INT</stp>
        <stp>.OPEN251212P18</stp>
        <tr r="G12" s="1"/>
      </tp>
      <tp t="s">
        <v>N/A</v>
        <stp/>
        <stp>OPEN_INT</stp>
        <stp>.OPEN251205P19</stp>
        <tr r="F10" s="1"/>
      </tp>
      <tp t="s">
        <v>N/A</v>
        <stp/>
        <stp>OPEN_INT</stp>
        <stp>.OPEN251219P18</stp>
        <tr r="H12" s="1"/>
        <tr r="U8" s="2"/>
      </tp>
      <tp t="s">
        <v>N/A</v>
        <stp/>
        <stp>OPEN_INT</stp>
        <stp>.OPEN261218P18</stp>
        <tr r="W12" s="1"/>
      </tp>
      <tp t="s">
        <v>N/A</v>
        <stp/>
        <stp>OPEN_INT</stp>
        <stp>.OPEN251212P19</stp>
        <tr r="G10" s="1"/>
      </tp>
      <tp t="s">
        <v>N/A</v>
        <stp/>
        <stp>OPEN_INT</stp>
        <stp>.OPEN251205P18</stp>
        <tr r="F12" s="1"/>
      </tp>
      <tp t="s">
        <v>N/A</v>
        <stp/>
        <stp>OPEN_INT</stp>
        <stp>.OPEN251219P19</stp>
        <tr r="H10" s="1"/>
        <tr r="U6" s="2"/>
      </tp>
      <tp t="s">
        <v>N/A</v>
        <stp/>
        <stp>OPEN_INT</stp>
        <stp>.OPEN261218P19</stp>
        <tr r="W10" s="1"/>
      </tp>
      <tp t="s">
        <v>N/A</v>
        <stp/>
        <stp>OPEN_INT</stp>
        <stp>.OPEN251231P14</stp>
        <tr r="V16" s="2"/>
      </tp>
      <tp t="s">
        <v>N/A</v>
        <stp/>
        <stp>OPEN_INT</stp>
        <stp>.OPEN251212P16</stp>
        <tr r="G16" s="1"/>
      </tp>
      <tp t="s">
        <v>N/A</v>
        <stp/>
        <stp>OPEN_INT</stp>
        <stp>.OPEN251205P17</stp>
        <tr r="F14" s="1"/>
      </tp>
      <tp>
        <v>0</v>
        <stp/>
        <stp>OPEN_INT</stp>
        <stp>.OPEN251226P15</stp>
        <tr r="I18" s="1"/>
        <tr r="I18" s="1"/>
      </tp>
      <tp t="s">
        <v>N/A</v>
        <stp/>
        <stp>OPEN_INT</stp>
        <stp>.OPEN251219P16</stp>
        <tr r="H16" s="1"/>
        <tr r="U12" s="2"/>
      </tp>
      <tp t="s">
        <v>N/A</v>
        <stp/>
        <stp>OPEN_INT</stp>
        <stp>.OPEN261218P16</stp>
        <tr r="W16" s="1"/>
      </tp>
      <tp t="s">
        <v>N/A</v>
        <stp/>
        <stp>OPEN_INT</stp>
        <stp>.OPEN251231P15</stp>
        <tr r="V14" s="2"/>
      </tp>
      <tp t="s">
        <v>N/A</v>
        <stp/>
        <stp>OPEN_INT</stp>
        <stp>.OPEN251212P17</stp>
        <tr r="G14" s="1"/>
      </tp>
      <tp t="s">
        <v>N/A</v>
        <stp/>
        <stp>OPEN_INT</stp>
        <stp>.OPEN251205P16</stp>
        <tr r="F16" s="1"/>
      </tp>
      <tp>
        <v>0</v>
        <stp/>
        <stp>OPEN_INT</stp>
        <stp>.OPEN251226P14</stp>
        <tr r="I20" s="1"/>
        <tr r="I20" s="1"/>
      </tp>
      <tp t="s">
        <v>N/A</v>
        <stp/>
        <stp>OPEN_INT</stp>
        <stp>.OPEN251219P17</stp>
        <tr r="H14" s="1"/>
        <tr r="U10" s="2"/>
      </tp>
      <tp t="s">
        <v>N/A</v>
        <stp/>
        <stp>OPEN_INT</stp>
        <stp>.OPEN261218P17</stp>
        <tr r="W14" s="1"/>
      </tp>
      <tp t="s">
        <v>N/A</v>
        <stp/>
        <stp>OPEN_INT</stp>
        <stp>.OPEN251231P16</stp>
        <tr r="V12" s="2"/>
      </tp>
      <tp>
        <v>6</v>
        <stp/>
        <stp>OPEN_INT</stp>
        <stp>.OPEN251212P14</stp>
        <tr r="G20" s="1"/>
        <tr r="G20" s="1"/>
      </tp>
      <tp>
        <v>0</v>
        <stp/>
        <stp>OPEN_INT</stp>
        <stp>.OPEN251205P15</stp>
        <tr r="F18" s="1"/>
        <tr r="F18" s="1"/>
      </tp>
      <tp t="s">
        <v>N/A</v>
        <stp/>
        <stp>OPEN_INT</stp>
        <stp>.OPEN251226P17</stp>
        <tr r="I14" s="1"/>
      </tp>
      <tp>
        <v>1</v>
        <stp/>
        <stp>OPEN_INT</stp>
        <stp>.OPEN251219P14</stp>
        <tr r="H20" s="1"/>
        <tr r="H20" s="1"/>
        <tr r="U16" s="2"/>
        <tr r="U16" s="2"/>
      </tp>
      <tp t="s">
        <v>N/A</v>
        <stp/>
        <stp>OPEN_INT</stp>
        <stp>.OPEN261218P14</stp>
        <tr r="W20" s="1"/>
      </tp>
      <tp t="s">
        <v>N/A</v>
        <stp/>
        <stp>OPEN_INT</stp>
        <stp>.OPEN251231P17</stp>
        <tr r="V10" s="2"/>
      </tp>
      <tp>
        <v>0</v>
        <stp/>
        <stp>OPEN_INT</stp>
        <stp>.OPEN251212P15</stp>
        <tr r="G18" s="1"/>
        <tr r="G18" s="1"/>
      </tp>
      <tp>
        <v>0</v>
        <stp/>
        <stp>OPEN_INT</stp>
        <stp>.OPEN251205P14</stp>
        <tr r="F20" s="1"/>
        <tr r="F20" s="1"/>
      </tp>
      <tp t="s">
        <v>N/A</v>
        <stp/>
        <stp>OPEN_INT</stp>
        <stp>.OPEN251226P16</stp>
        <tr r="I16" s="1"/>
      </tp>
      <tp>
        <v>826</v>
        <stp/>
        <stp>OPEN_INT</stp>
        <stp>.OPEN251219P15</stp>
        <tr r="H18" s="1"/>
        <tr r="H18" s="1"/>
        <tr r="U14" s="2"/>
        <tr r="U14" s="2"/>
      </tp>
      <tp t="s">
        <v>N/A</v>
        <stp/>
        <stp>OPEN_INT</stp>
        <stp>.OPEN261218P15</stp>
        <tr r="W18" s="1"/>
      </tp>
      <tp>
        <v>82</v>
        <stp/>
        <stp>OPEN_INT</stp>
        <stp>.OPEN251121P21</stp>
        <tr r="D6" s="1"/>
        <tr r="D6" s="1"/>
      </tp>
      <tp t="s">
        <v>N/A</v>
        <stp/>
        <stp>OPEN_INT</stp>
        <stp>.OPEN251231P10</stp>
        <tr r="V24" s="2"/>
      </tp>
      <tp t="s">
        <v>N/A</v>
        <stp/>
        <stp>OPEN_INT</stp>
        <stp>.OPEN261120P21</stp>
        <tr r="V6" s="1"/>
      </tp>
      <tp>
        <v>0</v>
        <stp/>
        <stp>OPEN_INT</stp>
        <stp>.OPEN251212P12</stp>
        <tr r="G24" s="1"/>
        <tr r="G24" s="1"/>
      </tp>
      <tp>
        <v>0</v>
        <stp/>
        <stp>OPEN_INT</stp>
        <stp>.OPEN251205P13</stp>
        <tr r="F22" s="1"/>
        <tr r="F22" s="1"/>
      </tp>
      <tp>
        <v>3</v>
        <stp/>
        <stp>OPEN_INT</stp>
        <stp>.OPEN251226P11</stp>
        <tr r="I26" s="1"/>
        <tr r="I26" s="1"/>
      </tp>
      <tp>
        <v>207</v>
        <stp/>
        <stp>OPEN_INT</stp>
        <stp>.OPEN251219P12</stp>
        <tr r="H24" s="1"/>
        <tr r="H24" s="1"/>
        <tr r="U20" s="2"/>
        <tr r="U20" s="2"/>
      </tp>
      <tp t="s">
        <v>N/A</v>
        <stp/>
        <stp>OPEN_INT</stp>
        <stp>.OPEN251128P21</stp>
        <tr r="E6" s="1"/>
      </tp>
      <tp t="s">
        <v>N/A</v>
        <stp/>
        <stp>OPEN_INT</stp>
        <stp>.OPEN261218P12</stp>
        <tr r="W24" s="1"/>
      </tp>
      <tp>
        <v>361</v>
        <stp/>
        <stp>OPEN_INT</stp>
        <stp>.OPEN251121P20</stp>
        <tr r="D8" s="1"/>
        <tr r="D8" s="1"/>
      </tp>
      <tp t="s">
        <v>N/A</v>
        <stp/>
        <stp>OPEN_INT</stp>
        <stp>.OPEN251231P11</stp>
        <tr r="V22" s="2"/>
      </tp>
      <tp t="s">
        <v>N/A</v>
        <stp/>
        <stp>OPEN_INT</stp>
        <stp>.OPEN261120P20</stp>
        <tr r="V8" s="1"/>
      </tp>
      <tp>
        <v>0</v>
        <stp/>
        <stp>OPEN_INT</stp>
        <stp>.OPEN251212P13</stp>
        <tr r="G22" s="1"/>
        <tr r="G22" s="1"/>
      </tp>
      <tp>
        <v>152</v>
        <stp/>
        <stp>OPEN_INT</stp>
        <stp>.OPEN251205P12</stp>
        <tr r="F24" s="1"/>
        <tr r="F24" s="1"/>
      </tp>
      <tp>
        <v>63</v>
        <stp/>
        <stp>OPEN_INT</stp>
        <stp>.OPEN251226P10</stp>
        <tr r="I28" s="1"/>
        <tr r="I28" s="1"/>
      </tp>
      <tp>
        <v>90</v>
        <stp/>
        <stp>OPEN_INT</stp>
        <stp>.OPEN251219P13</stp>
        <tr r="H22" s="1"/>
        <tr r="H22" s="1"/>
        <tr r="U18" s="2"/>
        <tr r="U18" s="2"/>
      </tp>
      <tp t="s">
        <v>N/A</v>
        <stp/>
        <stp>OPEN_INT</stp>
        <stp>.OPEN251128P20</stp>
        <tr r="E8" s="1"/>
      </tp>
      <tp t="s">
        <v>N/A</v>
        <stp/>
        <stp>OPEN_INT</stp>
        <stp>.OPEN261218P13</stp>
        <tr r="W22" s="1"/>
      </tp>
      <tp t="s">
        <v>N/A</v>
        <stp/>
        <stp>OPEN_INT</stp>
        <stp>.OPEN251231P12</stp>
        <tr r="V20" s="2"/>
      </tp>
      <tp>
        <v>182</v>
        <stp/>
        <stp>OPEN_INT</stp>
        <stp>.OPEN251212P10</stp>
        <tr r="G28" s="1"/>
        <tr r="G28" s="1"/>
      </tp>
      <tp>
        <v>51</v>
        <stp/>
        <stp>OPEN_INT</stp>
        <stp>.OPEN251205P11</stp>
        <tr r="F26" s="1"/>
        <tr r="F26" s="1"/>
      </tp>
      <tp t="s">
        <v>N/A</v>
        <stp/>
        <stp>OPEN_INT</stp>
        <stp>.OPEN251114P20</stp>
        <tr r="AE52" s="1"/>
        <tr r="C8" s="1"/>
        <tr r="AF52" s="5"/>
        <tr r="AF5" s="5"/>
        <tr r="AF7" s="5"/>
        <tr r="AF47" s="5"/>
        <tr r="AF45" s="5"/>
        <tr r="AF13" s="5"/>
        <tr r="AF41" s="5"/>
        <tr r="AF17" s="5"/>
        <tr r="AF19" s="5"/>
        <tr r="AF35" s="5"/>
        <tr r="AF33" s="5"/>
        <tr r="AF31" s="5"/>
        <tr r="AF29" s="5"/>
        <tr r="AE50" s="1"/>
        <tr r="AE8" s="1"/>
        <tr r="AE46" s="1"/>
        <tr r="AE12" s="1"/>
        <tr r="AE14" s="1"/>
        <tr r="AE16" s="1"/>
        <tr r="AE38" s="1"/>
        <tr r="AE36" s="1"/>
        <tr r="AE22" s="1"/>
        <tr r="AE24" s="1"/>
        <tr r="AE26" s="1"/>
        <tr r="AF50" s="5"/>
        <tr r="AF48" s="5"/>
        <tr r="AF46" s="5"/>
        <tr r="AF12" s="5"/>
        <tr r="AF42" s="5"/>
        <tr r="AF16" s="5"/>
        <tr r="AF38" s="5"/>
        <tr r="AF20" s="5"/>
        <tr r="AF34" s="5"/>
        <tr r="AF24" s="5"/>
        <tr r="AF30" s="5"/>
        <tr r="AF28" s="5"/>
        <tr r="AE51" s="1"/>
        <tr r="AE49" s="1"/>
        <tr r="AE47" s="1"/>
        <tr r="AE11" s="1"/>
        <tr r="AE13" s="1"/>
        <tr r="AE15" s="1"/>
        <tr r="AE39" s="1"/>
        <tr r="AE19" s="1"/>
        <tr r="AE35" s="1"/>
        <tr r="AE23" s="1"/>
        <tr r="AE25" s="1"/>
        <tr r="AE29" s="1"/>
        <tr r="AF6" s="5"/>
        <tr r="AF8" s="5"/>
        <tr r="AF10" s="5"/>
        <tr r="AF44" s="5"/>
        <tr r="AF14" s="5"/>
        <tr r="AF40" s="5"/>
        <tr r="AF18" s="5"/>
        <tr r="AF36" s="5"/>
        <tr r="AF22" s="5"/>
        <tr r="AF32" s="5"/>
        <tr r="AF26" s="5"/>
        <tr r="AE5" s="1"/>
        <tr r="AE7" s="1"/>
        <tr r="AE9" s="1"/>
        <tr r="AE45" s="1"/>
        <tr r="AE43" s="1"/>
        <tr r="AE41" s="1"/>
        <tr r="AE17" s="1"/>
        <tr r="AE37" s="1"/>
        <tr r="AE21" s="1"/>
        <tr r="AE33" s="1"/>
        <tr r="AE31" s="1"/>
        <tr r="AE27" s="1"/>
        <tr r="AF51" s="5"/>
        <tr r="AF49" s="5"/>
        <tr r="AF9" s="5"/>
        <tr r="AF11" s="5"/>
        <tr r="AF43" s="5"/>
        <tr r="AF15" s="5"/>
        <tr r="AF39" s="5"/>
        <tr r="AF37" s="5"/>
        <tr r="AF21" s="5"/>
        <tr r="AF23" s="5"/>
        <tr r="AF25" s="5"/>
        <tr r="AF27" s="5"/>
        <tr r="AE6" s="1"/>
        <tr r="AE48" s="1"/>
        <tr r="AE10" s="1"/>
        <tr r="AE44" s="1"/>
        <tr r="AE42" s="1"/>
        <tr r="AE40" s="1"/>
        <tr r="AE18" s="1"/>
        <tr r="AE20" s="1"/>
        <tr r="AE34" s="1"/>
        <tr r="AE32" s="1"/>
        <tr r="AE30" s="1"/>
        <tr r="AE28" s="1"/>
      </tp>
      <tp>
        <v>0</v>
        <stp/>
        <stp>OPEN_INT</stp>
        <stp>.OPEN251226P13</stp>
        <tr r="I22" s="1"/>
        <tr r="I22" s="1"/>
      </tp>
      <tp>
        <v>141</v>
        <stp/>
        <stp>OPEN_INT</stp>
        <stp>.OPEN251219P10</stp>
        <tr r="H28" s="1"/>
        <tr r="H28" s="1"/>
        <tr r="U24" s="2"/>
        <tr r="U24" s="2"/>
      </tp>
      <tp t="s">
        <v>N/A</v>
        <stp/>
        <stp>OPEN_INT</stp>
        <stp>.OPEN261218P10</stp>
        <tr r="W28" s="1"/>
      </tp>
      <tp t="s">
        <v>N/A</v>
        <stp/>
        <stp>OPEN_INT</stp>
        <stp>.OPEN251231P13</stp>
        <tr r="V18" s="2"/>
      </tp>
      <tp>
        <v>1</v>
        <stp/>
        <stp>OPEN_INT</stp>
        <stp>.OPEN251212P11</stp>
        <tr r="G26" s="1"/>
        <tr r="G26" s="1"/>
      </tp>
      <tp>
        <v>411</v>
        <stp/>
        <stp>OPEN_INT</stp>
        <stp>.OPEN251205P10</stp>
        <tr r="F28" s="1"/>
        <tr r="F28" s="1"/>
      </tp>
      <tp t="s">
        <v>N/A</v>
        <stp/>
        <stp>OPEN_INT</stp>
        <stp>.OPEN251114P21</stp>
        <tr r="C6" s="1"/>
        <tr r="AD52" s="5"/>
        <tr r="AC52" s="1"/>
        <tr r="AD49" s="5"/>
        <tr r="AD47" s="5"/>
        <tr r="AD45" s="5"/>
        <tr r="AD43" s="5"/>
        <tr r="AD15" s="5"/>
        <tr r="AD39" s="5"/>
        <tr r="AD19" s="5"/>
        <tr r="AD21" s="5"/>
        <tr r="AD23" s="5"/>
        <tr r="AD31" s="5"/>
        <tr r="AD27" s="5"/>
        <tr r="AD5" s="5"/>
        <tr r="AC49" s="1"/>
        <tr r="AC47" s="1"/>
        <tr r="AC11" s="1"/>
        <tr r="AC13" s="1"/>
        <tr r="AC15" s="1"/>
        <tr r="AC17" s="1"/>
        <tr r="AC37" s="1"/>
        <tr r="AC21" s="1"/>
        <tr r="AC33" s="1"/>
        <tr r="AC31" s="1"/>
        <tr r="AC27" s="1"/>
        <tr r="AD7" s="5"/>
        <tr r="AD9" s="5"/>
        <tr r="AD11" s="5"/>
        <tr r="AD13" s="5"/>
        <tr r="AD41" s="5"/>
        <tr r="AD17" s="5"/>
        <tr r="AD37" s="5"/>
        <tr r="AD35" s="5"/>
        <tr r="AD33" s="5"/>
        <tr r="AD25" s="5"/>
        <tr r="AD29" s="5"/>
        <tr r="AC7" s="1"/>
        <tr r="AC9" s="1"/>
        <tr r="AC45" s="1"/>
        <tr r="AC43" s="1"/>
        <tr r="AC41" s="1"/>
        <tr r="AC39" s="1"/>
        <tr r="AC19" s="1"/>
        <tr r="AC35" s="1"/>
        <tr r="AC23" s="1"/>
        <tr r="AC25" s="1"/>
        <tr r="AC29" s="1"/>
        <tr r="AD50" s="5"/>
        <tr r="AD48" s="5"/>
        <tr r="AD10" s="5"/>
        <tr r="AD12" s="5"/>
        <tr r="AD42" s="5"/>
        <tr r="AD16" s="5"/>
        <tr r="AD38" s="5"/>
        <tr r="AD36" s="5"/>
        <tr r="AD22" s="5"/>
        <tr r="AD32" s="5"/>
        <tr r="AD26" s="5"/>
        <tr r="AD28" s="5"/>
        <tr r="AC50" s="1"/>
        <tr r="AC8" s="1"/>
        <tr r="AC46" s="1"/>
        <tr r="AC12" s="1"/>
        <tr r="AC14" s="1"/>
        <tr r="AC40" s="1"/>
        <tr r="AC18" s="1"/>
        <tr r="AC36" s="1"/>
        <tr r="AC22" s="1"/>
        <tr r="AC32" s="1"/>
        <tr r="AC30" s="1"/>
        <tr r="AC28" s="1"/>
        <tr r="AC5" s="1"/>
        <tr r="AD6" s="5"/>
        <tr r="AD8" s="5"/>
        <tr r="AD46" s="5"/>
        <tr r="AD44" s="5"/>
        <tr r="AD14" s="5"/>
        <tr r="AD40" s="5"/>
        <tr r="AD18" s="5"/>
        <tr r="AD20" s="5"/>
        <tr r="AD34" s="5"/>
        <tr r="AD24" s="5"/>
        <tr r="AD30" s="5"/>
        <tr r="AD51" s="5"/>
        <tr r="AC6" s="1"/>
        <tr r="AC48" s="1"/>
        <tr r="AC10" s="1"/>
        <tr r="AC44" s="1"/>
        <tr r="AC42" s="1"/>
        <tr r="AC16" s="1"/>
        <tr r="AC38" s="1"/>
        <tr r="AC20" s="1"/>
        <tr r="AC34" s="1"/>
        <tr r="AC24" s="1"/>
        <tr r="AC26" s="1"/>
        <tr r="AC51" s="1"/>
      </tp>
      <tp>
        <v>0</v>
        <stp/>
        <stp>OPEN_INT</stp>
        <stp>.OPEN251226P12</stp>
        <tr r="I24" s="1"/>
        <tr r="I24" s="1"/>
      </tp>
      <tp>
        <v>148</v>
        <stp/>
        <stp>OPEN_INT</stp>
        <stp>.OPEN251219P11</stp>
        <tr r="H26" s="1"/>
        <tr r="H26" s="1"/>
        <tr r="U22" s="2"/>
        <tr r="U22" s="2"/>
      </tp>
      <tp t="s">
        <v>N/A</v>
        <stp/>
        <stp>OPEN_INT</stp>
        <stp>.OPEN261218P11</stp>
        <tr r="W26" s="1"/>
      </tp>
      <tp>
        <v>82</v>
        <stp/>
        <stp>OPEN_INT</stp>
        <stp>.OPEN251121P19</stp>
        <tr r="D10" s="1"/>
        <tr r="D10" s="1"/>
        <tr r="S6" s="2"/>
        <tr r="S6" s="2"/>
      </tp>
      <tp t="s">
        <v>N/A</v>
        <stp/>
        <stp>OPEN_INT</stp>
        <stp>.OPEN261120P19</stp>
        <tr r="V10" s="1"/>
      </tp>
      <tp t="s">
        <v>N/A</v>
        <stp/>
        <stp>OPEN_INT</stp>
        <stp>.OPEN251128P19</stp>
        <tr r="E10" s="1"/>
        <tr r="T6" s="2"/>
      </tp>
      <tp>
        <v>186</v>
        <stp/>
        <stp>OPEN_INT</stp>
        <stp>.OPEN251121P18</stp>
        <tr r="D12" s="1"/>
        <tr r="D12" s="1"/>
        <tr r="S8" s="2"/>
        <tr r="S8" s="2"/>
      </tp>
      <tp t="s">
        <v>N/A</v>
        <stp/>
        <stp>OPEN_INT</stp>
        <stp>.OPEN261120P18</stp>
        <tr r="V12" s="1"/>
      </tp>
      <tp t="s">
        <v>N/A</v>
        <stp/>
        <stp>OPEN_INT</stp>
        <stp>.OPEN251128P18</stp>
        <tr r="E12" s="1"/>
        <tr r="T8" s="2"/>
      </tp>
      <tp>
        <v>3</v>
        <stp/>
        <stp>OPEN_INT</stp>
        <stp>.OPEN251114P18</stp>
        <tr r="AJ52" s="5"/>
        <tr r="AJ52" s="5"/>
        <tr r="AI52" s="1"/>
        <tr r="AI52" s="1"/>
        <tr r="C12" s="1"/>
        <tr r="C12" s="1"/>
        <tr r="AJ6" s="5"/>
        <tr r="AJ6" s="5"/>
        <tr r="AJ48" s="5"/>
        <tr r="AJ48" s="5"/>
        <tr r="AJ10" s="5"/>
        <tr r="AJ10" s="5"/>
        <tr r="AJ44" s="5"/>
        <tr r="AJ44" s="5"/>
        <tr r="AJ42" s="5"/>
        <tr r="AJ42" s="5"/>
        <tr r="AJ40" s="5"/>
        <tr r="AJ40" s="5"/>
        <tr r="AJ38" s="5"/>
        <tr r="AJ38" s="5"/>
        <tr r="AJ36" s="5"/>
        <tr r="AJ36" s="5"/>
        <tr r="AJ22" s="5"/>
        <tr r="AJ22" s="5"/>
        <tr r="AJ32" s="5"/>
        <tr r="AJ32" s="5"/>
        <tr r="AJ26" s="5"/>
        <tr r="AJ26" s="5"/>
        <tr r="AJ28" s="5"/>
        <tr r="AJ28" s="5"/>
        <tr r="AI50" s="1"/>
        <tr r="AI50" s="1"/>
        <tr r="AI8" s="1"/>
        <tr r="AI8" s="1"/>
        <tr r="AI46" s="1"/>
        <tr r="AI46" s="1"/>
        <tr r="AI12" s="1"/>
        <tr r="AI12" s="1"/>
        <tr r="AI42" s="1"/>
        <tr r="AI42" s="1"/>
        <tr r="AI40" s="1"/>
        <tr r="AI40" s="1"/>
        <tr r="AI18" s="1"/>
        <tr r="AI18" s="1"/>
        <tr r="AI36" s="1"/>
        <tr r="AI36" s="1"/>
        <tr r="AI22" s="1"/>
        <tr r="AI22" s="1"/>
        <tr r="AI24" s="1"/>
        <tr r="AI24" s="1"/>
        <tr r="AI26" s="1"/>
        <tr r="AI26" s="1"/>
        <tr r="AI28" s="1"/>
        <tr r="AI28" s="1"/>
        <tr r="AJ50" s="5"/>
        <tr r="AJ50" s="5"/>
        <tr r="AJ8" s="5"/>
        <tr r="AJ8" s="5"/>
        <tr r="AJ46" s="5"/>
        <tr r="AJ46" s="5"/>
        <tr r="AJ12" s="5"/>
        <tr r="AJ12" s="5"/>
        <tr r="AJ14" s="5"/>
        <tr r="AJ14" s="5"/>
        <tr r="AJ16" s="5"/>
        <tr r="AJ16" s="5"/>
        <tr r="AJ18" s="5"/>
        <tr r="AJ18" s="5"/>
        <tr r="AJ20" s="5"/>
        <tr r="AJ20" s="5"/>
        <tr r="AJ34" s="5"/>
        <tr r="AJ34" s="5"/>
        <tr r="AJ24" s="5"/>
        <tr r="AJ24" s="5"/>
        <tr r="AJ30" s="5"/>
        <tr r="AJ30" s="5"/>
        <tr r="AI6" s="1"/>
        <tr r="AI6" s="1"/>
        <tr r="AI48" s="1"/>
        <tr r="AI48" s="1"/>
        <tr r="AI10" s="1"/>
        <tr r="AI10" s="1"/>
        <tr r="AI44" s="1"/>
        <tr r="AI44" s="1"/>
        <tr r="AI14" s="1"/>
        <tr r="AI14" s="1"/>
        <tr r="AI16" s="1"/>
        <tr r="AI16" s="1"/>
        <tr r="AI38" s="1"/>
        <tr r="AI38" s="1"/>
        <tr r="AI20" s="1"/>
        <tr r="AI20" s="1"/>
        <tr r="AI34" s="1"/>
        <tr r="AI34" s="1"/>
        <tr r="AI32" s="1"/>
        <tr r="AI32" s="1"/>
        <tr r="AI30" s="1"/>
        <tr r="AI30" s="1"/>
        <tr r="AJ5" s="5"/>
        <tr r="AJ5" s="5"/>
        <tr r="AJ7" s="5"/>
        <tr r="AJ7" s="5"/>
        <tr r="AJ9" s="5"/>
        <tr r="AJ9" s="5"/>
        <tr r="AJ11" s="5"/>
        <tr r="AJ11" s="5"/>
        <tr r="AJ13" s="5"/>
        <tr r="AJ13" s="5"/>
        <tr r="AJ15" s="5"/>
        <tr r="AJ15" s="5"/>
        <tr r="AJ39" s="5"/>
        <tr r="AJ39" s="5"/>
        <tr r="AJ19" s="5"/>
        <tr r="AJ19" s="5"/>
        <tr r="AJ35" s="5"/>
        <tr r="AJ35" s="5"/>
        <tr r="AJ23" s="5"/>
        <tr r="AJ23" s="5"/>
        <tr r="AJ31" s="5"/>
        <tr r="AJ31" s="5"/>
        <tr r="AJ29" s="5"/>
        <tr r="AJ29" s="5"/>
        <tr r="AI51" s="1"/>
        <tr r="AI51" s="1"/>
        <tr r="AI7" s="1"/>
        <tr r="AI7" s="1"/>
        <tr r="AI9" s="1"/>
        <tr r="AI9" s="1"/>
        <tr r="AI11" s="1"/>
        <tr r="AI11" s="1"/>
        <tr r="AI43" s="1"/>
        <tr r="AI43" s="1"/>
        <tr r="AI15" s="1"/>
        <tr r="AI15" s="1"/>
        <tr r="AI17" s="1"/>
        <tr r="AI17" s="1"/>
        <tr r="AI37" s="1"/>
        <tr r="AI37" s="1"/>
        <tr r="AI21" s="1"/>
        <tr r="AI21" s="1"/>
        <tr r="AI33" s="1"/>
        <tr r="AI33" s="1"/>
        <tr r="AI31" s="1"/>
        <tr r="AI31" s="1"/>
        <tr r="AI27" s="1"/>
        <tr r="AI27" s="1"/>
        <tr r="AJ51" s="5"/>
        <tr r="AJ51" s="5"/>
        <tr r="AJ49" s="5"/>
        <tr r="AJ49" s="5"/>
        <tr r="AJ47" s="5"/>
        <tr r="AJ47" s="5"/>
        <tr r="AJ45" s="5"/>
        <tr r="AJ45" s="5"/>
        <tr r="AJ43" s="5"/>
        <tr r="AJ43" s="5"/>
        <tr r="AJ41" s="5"/>
        <tr r="AJ41" s="5"/>
        <tr r="AJ17" s="5"/>
        <tr r="AJ17" s="5"/>
        <tr r="AJ37" s="5"/>
        <tr r="AJ37" s="5"/>
        <tr r="AJ21" s="5"/>
        <tr r="AJ21" s="5"/>
        <tr r="AJ33" s="5"/>
        <tr r="AJ33" s="5"/>
        <tr r="AJ25" s="5"/>
        <tr r="AJ25" s="5"/>
        <tr r="AJ27" s="5"/>
        <tr r="AJ27" s="5"/>
        <tr r="AI5" s="1"/>
        <tr r="AI5" s="1"/>
        <tr r="AI49" s="1"/>
        <tr r="AI49" s="1"/>
        <tr r="AI47" s="1"/>
        <tr r="AI47" s="1"/>
        <tr r="AI45" s="1"/>
        <tr r="AI45" s="1"/>
        <tr r="AI13" s="1"/>
        <tr r="AI13" s="1"/>
        <tr r="AI41" s="1"/>
        <tr r="AI41" s="1"/>
        <tr r="AI39" s="1"/>
        <tr r="AI39" s="1"/>
        <tr r="AI19" s="1"/>
        <tr r="AI19" s="1"/>
        <tr r="AI35" s="1"/>
        <tr r="AI35" s="1"/>
        <tr r="AI23" s="1"/>
        <tr r="AI23" s="1"/>
        <tr r="AI25" s="1"/>
        <tr r="AI25" s="1"/>
        <tr r="AI29" s="1"/>
        <tr r="AI29" s="1"/>
      </tp>
      <tp t="s">
        <v>N/A</v>
        <stp/>
        <stp>OPEN_INT</stp>
        <stp>.OPEN251114P19</stp>
        <tr r="C10" s="1"/>
        <tr r="AH52" s="5"/>
        <tr r="AG52" s="1"/>
        <tr r="AH50" s="5"/>
        <tr r="AH48" s="5"/>
        <tr r="AH46" s="5"/>
        <tr r="AH44" s="5"/>
        <tr r="AH42" s="5"/>
        <tr r="AH16" s="5"/>
        <tr r="AH38" s="5"/>
        <tr r="AH36" s="5"/>
        <tr r="AH22" s="5"/>
        <tr r="AH32" s="5"/>
        <tr r="AH26" s="5"/>
        <tr r="AH28" s="5"/>
        <tr r="AG5" s="1"/>
        <tr r="AG7" s="1"/>
        <tr r="AG47" s="1"/>
        <tr r="AG45" s="1"/>
        <tr r="AG13" s="1"/>
        <tr r="AG15" s="1"/>
        <tr r="AG39" s="1"/>
        <tr r="AG19" s="1"/>
        <tr r="AG35" s="1"/>
        <tr r="AG23" s="1"/>
        <tr r="AG25" s="1"/>
        <tr r="AG29" s="1"/>
        <tr r="AH6" s="5"/>
        <tr r="AH8" s="5"/>
        <tr r="AH10" s="5"/>
        <tr r="AH12" s="5"/>
        <tr r="AH14" s="5"/>
        <tr r="AH40" s="5"/>
        <tr r="AH18" s="5"/>
        <tr r="AH20" s="5"/>
        <tr r="AH34" s="5"/>
        <tr r="AH24" s="5"/>
        <tr r="AH30" s="5"/>
        <tr r="AG50" s="1"/>
        <tr r="AG8" s="1"/>
        <tr r="AG46" s="1"/>
        <tr r="AG12" s="1"/>
        <tr r="AG14" s="1"/>
        <tr r="AG40" s="1"/>
        <tr r="AG18" s="1"/>
        <tr r="AG20" s="1"/>
        <tr r="AG22" s="1"/>
        <tr r="AG32" s="1"/>
        <tr r="AG30" s="1"/>
        <tr r="AG28" s="1"/>
        <tr r="AH5" s="5"/>
        <tr r="AH49" s="5"/>
        <tr r="AH47" s="5"/>
        <tr r="AH45" s="5"/>
        <tr r="AH13" s="5"/>
        <tr r="AH15" s="5"/>
        <tr r="AH39" s="5"/>
        <tr r="AH19" s="5"/>
        <tr r="AH35" s="5"/>
        <tr r="AH23" s="5"/>
        <tr r="AH31" s="5"/>
        <tr r="AH27" s="5"/>
        <tr r="AG6" s="1"/>
        <tr r="AG48" s="1"/>
        <tr r="AG10" s="1"/>
        <tr r="AG44" s="1"/>
        <tr r="AG42" s="1"/>
        <tr r="AG16" s="1"/>
        <tr r="AG38" s="1"/>
        <tr r="AG36" s="1"/>
        <tr r="AG34" s="1"/>
        <tr r="AG24" s="1"/>
        <tr r="AG26" s="1"/>
        <tr r="AH51" s="5"/>
        <tr r="AH7" s="5"/>
        <tr r="AH9" s="5"/>
        <tr r="AH11" s="5"/>
        <tr r="AH43" s="5"/>
        <tr r="AH41" s="5"/>
        <tr r="AH17" s="5"/>
        <tr r="AH37" s="5"/>
        <tr r="AH21" s="5"/>
        <tr r="AH33" s="5"/>
        <tr r="AH25" s="5"/>
        <tr r="AH29" s="5"/>
        <tr r="AG51" s="1"/>
        <tr r="AG49" s="1"/>
        <tr r="AG9" s="1"/>
        <tr r="AG11" s="1"/>
        <tr r="AG43" s="1"/>
        <tr r="AG41" s="1"/>
        <tr r="AG17" s="1"/>
        <tr r="AG37" s="1"/>
        <tr r="AG21" s="1"/>
        <tr r="AG33" s="1"/>
        <tr r="AG31" s="1"/>
        <tr r="AG27" s="1"/>
      </tp>
      <tp>
        <v>188</v>
        <stp/>
        <stp>OPEN_INT</stp>
        <stp>.OPEN251121P15</stp>
        <tr r="D18" s="1"/>
        <tr r="D18" s="1"/>
        <tr r="S14" s="2"/>
        <tr r="S14" s="2"/>
      </tp>
      <tp t="s">
        <v>N/A</v>
        <stp/>
        <stp>OPEN_INT</stp>
        <stp>.OPEN261120P15</stp>
        <tr r="V18" s="1"/>
      </tp>
      <tp>
        <v>0</v>
        <stp/>
        <stp>OPEN_INT</stp>
        <stp>.OPEN251114P16</stp>
        <tr r="AN52" s="5"/>
        <tr r="AN52" s="5"/>
        <tr r="AM52" s="1"/>
        <tr r="AM52" s="1"/>
        <tr r="C16" s="1"/>
        <tr r="C16" s="1"/>
        <tr r="AN6" s="5"/>
        <tr r="AN6" s="5"/>
        <tr r="AN8" s="5"/>
        <tr r="AN8" s="5"/>
        <tr r="AN46" s="5"/>
        <tr r="AN46" s="5"/>
        <tr r="AN12" s="5"/>
        <tr r="AN12" s="5"/>
        <tr r="AN42" s="5"/>
        <tr r="AN42" s="5"/>
        <tr r="AN40" s="5"/>
        <tr r="AN40" s="5"/>
        <tr r="AN18" s="5"/>
        <tr r="AN18" s="5"/>
        <tr r="AN20" s="5"/>
        <tr r="AN20" s="5"/>
        <tr r="AN22" s="5"/>
        <tr r="AN22" s="5"/>
        <tr r="AN32" s="5"/>
        <tr r="AN32" s="5"/>
        <tr r="AN30" s="5"/>
        <tr r="AN30" s="5"/>
        <tr r="AN28" s="5"/>
        <tr r="AN28" s="5"/>
        <tr r="AM7" s="1"/>
        <tr r="AM7" s="1"/>
        <tr r="AM50" s="1"/>
        <tr r="AM50" s="1"/>
        <tr r="AM8" s="1"/>
        <tr r="AM8" s="1"/>
        <tr r="AM10" s="1"/>
        <tr r="AM10" s="1"/>
        <tr r="AM44" s="1"/>
        <tr r="AM44" s="1"/>
        <tr r="AM42" s="1"/>
        <tr r="AM42" s="1"/>
        <tr r="AM16" s="1"/>
        <tr r="AM16" s="1"/>
        <tr r="AM18" s="1"/>
        <tr r="AM18" s="1"/>
        <tr r="AM20" s="1"/>
        <tr r="AM20" s="1"/>
        <tr r="AM22" s="1"/>
        <tr r="AM22" s="1"/>
        <tr r="AM32" s="1"/>
        <tr r="AM32" s="1"/>
        <tr r="AM26" s="1"/>
        <tr r="AM26" s="1"/>
        <tr r="AM28" s="1"/>
        <tr r="AM28" s="1"/>
        <tr r="AN50" s="5"/>
        <tr r="AN50" s="5"/>
        <tr r="AN48" s="5"/>
        <tr r="AN48" s="5"/>
        <tr r="AN10" s="5"/>
        <tr r="AN10" s="5"/>
        <tr r="AN44" s="5"/>
        <tr r="AN44" s="5"/>
        <tr r="AN14" s="5"/>
        <tr r="AN14" s="5"/>
        <tr r="AN16" s="5"/>
        <tr r="AN16" s="5"/>
        <tr r="AN38" s="5"/>
        <tr r="AN38" s="5"/>
        <tr r="AN36" s="5"/>
        <tr r="AN36" s="5"/>
        <tr r="AN34" s="5"/>
        <tr r="AN34" s="5"/>
        <tr r="AN24" s="5"/>
        <tr r="AN24" s="5"/>
        <tr r="AN26" s="5"/>
        <tr r="AN26" s="5"/>
        <tr r="AM48" s="1"/>
        <tr r="AM48" s="1"/>
        <tr r="AM46" s="1"/>
        <tr r="AM46" s="1"/>
        <tr r="AM12" s="1"/>
        <tr r="AM12" s="1"/>
        <tr r="AM14" s="1"/>
        <tr r="AM14" s="1"/>
        <tr r="AM40" s="1"/>
        <tr r="AM40" s="1"/>
        <tr r="AM38" s="1"/>
        <tr r="AM38" s="1"/>
        <tr r="AM36" s="1"/>
        <tr r="AM36" s="1"/>
        <tr r="AM34" s="1"/>
        <tr r="AM34" s="1"/>
        <tr r="AM24" s="1"/>
        <tr r="AM24" s="1"/>
        <tr r="AM30" s="1"/>
        <tr r="AM30" s="1"/>
        <tr r="AN51" s="5"/>
        <tr r="AN51" s="5"/>
        <tr r="AN7" s="5"/>
        <tr r="AN7" s="5"/>
        <tr r="AN9" s="5"/>
        <tr r="AN9" s="5"/>
        <tr r="AN11" s="5"/>
        <tr r="AN11" s="5"/>
        <tr r="AN13" s="5"/>
        <tr r="AN13" s="5"/>
        <tr r="AN15" s="5"/>
        <tr r="AN15" s="5"/>
        <tr r="AN39" s="5"/>
        <tr r="AN39" s="5"/>
        <tr r="AN37" s="5"/>
        <tr r="AN37" s="5"/>
        <tr r="AN35" s="5"/>
        <tr r="AN35" s="5"/>
        <tr r="AN23" s="5"/>
        <tr r="AN23" s="5"/>
        <tr r="AN25" s="5"/>
        <tr r="AN25" s="5"/>
        <tr r="AN27" s="5"/>
        <tr r="AN27" s="5"/>
        <tr r="AM6" s="1"/>
        <tr r="AM6" s="1"/>
        <tr r="AM47" s="1"/>
        <tr r="AM47" s="1"/>
        <tr r="AM11" s="1"/>
        <tr r="AM11" s="1"/>
        <tr r="AM13" s="1"/>
        <tr r="AM13" s="1"/>
        <tr r="AM15" s="1"/>
        <tr r="AM15" s="1"/>
        <tr r="AM39" s="1"/>
        <tr r="AM39" s="1"/>
        <tr r="AM37" s="1"/>
        <tr r="AM37" s="1"/>
        <tr r="AM21" s="1"/>
        <tr r="AM21" s="1"/>
        <tr r="AM23" s="1"/>
        <tr r="AM23" s="1"/>
        <tr r="AM25" s="1"/>
        <tr r="AM25" s="1"/>
        <tr r="AM27" s="1"/>
        <tr r="AM27" s="1"/>
        <tr r="AN5" s="5"/>
        <tr r="AN5" s="5"/>
        <tr r="AN49" s="5"/>
        <tr r="AN49" s="5"/>
        <tr r="AN47" s="5"/>
        <tr r="AN47" s="5"/>
        <tr r="AN45" s="5"/>
        <tr r="AN45" s="5"/>
        <tr r="AN43" s="5"/>
        <tr r="AN43" s="5"/>
        <tr r="AN41" s="5"/>
        <tr r="AN41" s="5"/>
        <tr r="AN17" s="5"/>
        <tr r="AN17" s="5"/>
        <tr r="AN19" s="5"/>
        <tr r="AN19" s="5"/>
        <tr r="AN21" s="5"/>
        <tr r="AN21" s="5"/>
        <tr r="AN33" s="5"/>
        <tr r="AN33" s="5"/>
        <tr r="AN31" s="5"/>
        <tr r="AN31" s="5"/>
        <tr r="AN29" s="5"/>
        <tr r="AN29" s="5"/>
        <tr r="AM51" s="1"/>
        <tr r="AM51" s="1"/>
        <tr r="AM5" s="1"/>
        <tr r="AM5" s="1"/>
        <tr r="AM49" s="1"/>
        <tr r="AM49" s="1"/>
        <tr r="AM9" s="1"/>
        <tr r="AM9" s="1"/>
        <tr r="AM45" s="1"/>
        <tr r="AM45" s="1"/>
        <tr r="AM43" s="1"/>
        <tr r="AM43" s="1"/>
        <tr r="AM41" s="1"/>
        <tr r="AM41" s="1"/>
        <tr r="AM17" s="1"/>
        <tr r="AM17" s="1"/>
        <tr r="AM19" s="1"/>
        <tr r="AM19" s="1"/>
        <tr r="AM35" s="1"/>
        <tr r="AM35" s="1"/>
        <tr r="AM33" s="1"/>
        <tr r="AM33" s="1"/>
        <tr r="AM31" s="1"/>
        <tr r="AM31" s="1"/>
        <tr r="AM29" s="1"/>
        <tr r="AM29" s="1"/>
      </tp>
      <tp>
        <v>0</v>
        <stp/>
        <stp>OPEN_INT</stp>
        <stp>.OPEN251128P15</stp>
        <tr r="E18" s="1"/>
        <tr r="E18" s="1"/>
        <tr r="T14" s="2"/>
        <tr r="T14" s="2"/>
      </tp>
      <tp>
        <v>350</v>
        <stp/>
        <stp>OPEN_INT</stp>
        <stp>.OPEN251121P14</stp>
        <tr r="D20" s="1"/>
        <tr r="D20" s="1"/>
        <tr r="S16" s="2"/>
        <tr r="S16" s="2"/>
      </tp>
      <tp t="s">
        <v>N/A</v>
        <stp/>
        <stp>OPEN_INT</stp>
        <stp>.OPEN261120P14</stp>
        <tr r="V20" s="1"/>
      </tp>
      <tp>
        <v>0</v>
        <stp/>
        <stp>OPEN_INT</stp>
        <stp>.OPEN251114P17</stp>
        <tr r="AL52" s="5"/>
        <tr r="AL52" s="5"/>
        <tr r="AK52" s="1"/>
        <tr r="AK52" s="1"/>
        <tr r="C14" s="1"/>
        <tr r="C14" s="1"/>
        <tr r="AL6" s="5"/>
        <tr r="AL6" s="5"/>
        <tr r="AL48" s="5"/>
        <tr r="AL48" s="5"/>
        <tr r="AL46" s="5"/>
        <tr r="AL46" s="5"/>
        <tr r="AL44" s="5"/>
        <tr r="AL44" s="5"/>
        <tr r="AL14" s="5"/>
        <tr r="AL14" s="5"/>
        <tr r="AL40" s="5"/>
        <tr r="AL40" s="5"/>
        <tr r="AL18" s="5"/>
        <tr r="AL18" s="5"/>
        <tr r="AL20" s="5"/>
        <tr r="AL20" s="5"/>
        <tr r="AL34" s="5"/>
        <tr r="AL34" s="5"/>
        <tr r="AL32" s="5"/>
        <tr r="AL32" s="5"/>
        <tr r="AL26" s="5"/>
        <tr r="AL26" s="5"/>
        <tr r="AL28" s="5"/>
        <tr r="AL28" s="5"/>
        <tr r="AK6" s="1"/>
        <tr r="AK6" s="1"/>
        <tr r="AK8" s="1"/>
        <tr r="AK8" s="1"/>
        <tr r="AK10" s="1"/>
        <tr r="AK10" s="1"/>
        <tr r="AK44" s="1"/>
        <tr r="AK44" s="1"/>
        <tr r="AK42" s="1"/>
        <tr r="AK42" s="1"/>
        <tr r="AK40" s="1"/>
        <tr r="AK40" s="1"/>
        <tr r="AK18" s="1"/>
        <tr r="AK18" s="1"/>
        <tr r="AK36" s="1"/>
        <tr r="AK36" s="1"/>
        <tr r="AK22" s="1"/>
        <tr r="AK22" s="1"/>
        <tr r="AK32" s="1"/>
        <tr r="AK32" s="1"/>
        <tr r="AK26" s="1"/>
        <tr r="AK26" s="1"/>
        <tr r="AK28" s="1"/>
        <tr r="AK28" s="1"/>
        <tr r="AL5" s="5"/>
        <tr r="AL5" s="5"/>
        <tr r="AL50" s="5"/>
        <tr r="AL50" s="5"/>
        <tr r="AL8" s="5"/>
        <tr r="AL8" s="5"/>
        <tr r="AL10" s="5"/>
        <tr r="AL10" s="5"/>
        <tr r="AL12" s="5"/>
        <tr r="AL12" s="5"/>
        <tr r="AL42" s="5"/>
        <tr r="AL42" s="5"/>
        <tr r="AL16" s="5"/>
        <tr r="AL16" s="5"/>
        <tr r="AL38" s="5"/>
        <tr r="AL38" s="5"/>
        <tr r="AL36" s="5"/>
        <tr r="AL36" s="5"/>
        <tr r="AL22" s="5"/>
        <tr r="AL22" s="5"/>
        <tr r="AL24" s="5"/>
        <tr r="AL24" s="5"/>
        <tr r="AL30" s="5"/>
        <tr r="AL30" s="5"/>
        <tr r="AK50" s="1"/>
        <tr r="AK50" s="1"/>
        <tr r="AK48" s="1"/>
        <tr r="AK48" s="1"/>
        <tr r="AK46" s="1"/>
        <tr r="AK46" s="1"/>
        <tr r="AK12" s="1"/>
        <tr r="AK12" s="1"/>
        <tr r="AK14" s="1"/>
        <tr r="AK14" s="1"/>
        <tr r="AK16" s="1"/>
        <tr r="AK16" s="1"/>
        <tr r="AK38" s="1"/>
        <tr r="AK38" s="1"/>
        <tr r="AK20" s="1"/>
        <tr r="AK20" s="1"/>
        <tr r="AK34" s="1"/>
        <tr r="AK34" s="1"/>
        <tr r="AK24" s="1"/>
        <tr r="AK24" s="1"/>
        <tr r="AK30" s="1"/>
        <tr r="AK30" s="1"/>
        <tr r="AL51" s="5"/>
        <tr r="AL51" s="5"/>
        <tr r="AL7" s="5"/>
        <tr r="AL7" s="5"/>
        <tr r="AL47" s="5"/>
        <tr r="AL47" s="5"/>
        <tr r="AL11" s="5"/>
        <tr r="AL11" s="5"/>
        <tr r="AL13" s="5"/>
        <tr r="AL13" s="5"/>
        <tr r="AL15" s="5"/>
        <tr r="AL15" s="5"/>
        <tr r="AL39" s="5"/>
        <tr r="AL39" s="5"/>
        <tr r="AL19" s="5"/>
        <tr r="AL19" s="5"/>
        <tr r="AL35" s="5"/>
        <tr r="AL35" s="5"/>
        <tr r="AL23" s="5"/>
        <tr r="AL23" s="5"/>
        <tr r="AL25" s="5"/>
        <tr r="AL25" s="5"/>
        <tr r="AL29" s="5"/>
        <tr r="AL29" s="5"/>
        <tr r="AK51" s="1"/>
        <tr r="AK51" s="1"/>
        <tr r="AK49" s="1"/>
        <tr r="AK49" s="1"/>
        <tr r="AK9" s="1"/>
        <tr r="AK9" s="1"/>
        <tr r="AK11" s="1"/>
        <tr r="AK11" s="1"/>
        <tr r="AK43" s="1"/>
        <tr r="AK43" s="1"/>
        <tr r="AK41" s="1"/>
        <tr r="AK41" s="1"/>
        <tr r="AK17" s="1"/>
        <tr r="AK17" s="1"/>
        <tr r="AK37" s="1"/>
        <tr r="AK37" s="1"/>
        <tr r="AK21" s="1"/>
        <tr r="AK21" s="1"/>
        <tr r="AK23" s="1"/>
        <tr r="AK23" s="1"/>
        <tr r="AK25" s="1"/>
        <tr r="AK25" s="1"/>
        <tr r="AK27" s="1"/>
        <tr r="AK27" s="1"/>
        <tr r="AL49" s="5"/>
        <tr r="AL49" s="5"/>
        <tr r="AL9" s="5"/>
        <tr r="AL9" s="5"/>
        <tr r="AL45" s="5"/>
        <tr r="AL45" s="5"/>
        <tr r="AL43" s="5"/>
        <tr r="AL43" s="5"/>
        <tr r="AL41" s="5"/>
        <tr r="AL41" s="5"/>
        <tr r="AL17" s="5"/>
        <tr r="AL17" s="5"/>
        <tr r="AL37" s="5"/>
        <tr r="AL37" s="5"/>
        <tr r="AL21" s="5"/>
        <tr r="AL21" s="5"/>
        <tr r="AL33" s="5"/>
        <tr r="AL33" s="5"/>
        <tr r="AL31" s="5"/>
        <tr r="AL31" s="5"/>
        <tr r="AL27" s="5"/>
        <tr r="AL27" s="5"/>
        <tr r="AK5" s="1"/>
        <tr r="AK5" s="1"/>
        <tr r="AK7" s="1"/>
        <tr r="AK7" s="1"/>
        <tr r="AK47" s="1"/>
        <tr r="AK47" s="1"/>
        <tr r="AK45" s="1"/>
        <tr r="AK45" s="1"/>
        <tr r="AK13" s="1"/>
        <tr r="AK13" s="1"/>
        <tr r="AK15" s="1"/>
        <tr r="AK15" s="1"/>
        <tr r="AK39" s="1"/>
        <tr r="AK39" s="1"/>
        <tr r="AK19" s="1"/>
        <tr r="AK19" s="1"/>
        <tr r="AK35" s="1"/>
        <tr r="AK35" s="1"/>
        <tr r="AK33" s="1"/>
        <tr r="AK33" s="1"/>
        <tr r="AK31" s="1"/>
        <tr r="AK31" s="1"/>
        <tr r="AK29" s="1"/>
        <tr r="AK29" s="1"/>
      </tp>
      <tp>
        <v>1</v>
        <stp/>
        <stp>OPEN_INT</stp>
        <stp>.OPEN251128P14</stp>
        <tr r="E20" s="1"/>
        <tr r="E20" s="1"/>
        <tr r="T16" s="2"/>
        <tr r="T16" s="2"/>
      </tp>
      <tp>
        <v>37</v>
        <stp/>
        <stp>OPEN_INT</stp>
        <stp>.OPEN251121P17</stp>
        <tr r="D14" s="1"/>
        <tr r="D14" s="1"/>
        <tr r="S10" s="2"/>
        <tr r="S10" s="2"/>
      </tp>
      <tp t="s">
        <v>N/A</v>
        <stp/>
        <stp>OPEN_INT</stp>
        <stp>.OPEN261120P17</stp>
        <tr r="V14" s="1"/>
      </tp>
      <tp>
        <v>53</v>
        <stp/>
        <stp>OPEN_INT</stp>
        <stp>.OPEN251114P14</stp>
        <tr r="C20" s="1"/>
        <tr r="C20" s="1"/>
        <tr r="AQ52" s="1"/>
        <tr r="AQ52" s="1"/>
        <tr r="AR52" s="5"/>
        <tr r="AR52" s="5"/>
        <tr r="AR50" s="5"/>
        <tr r="AR50" s="5"/>
        <tr r="AR48" s="5"/>
        <tr r="AR48" s="5"/>
        <tr r="AR10" s="5"/>
        <tr r="AR10" s="5"/>
        <tr r="AR12" s="5"/>
        <tr r="AR12" s="5"/>
        <tr r="AR42" s="5"/>
        <tr r="AR42" s="5"/>
        <tr r="AR40" s="5"/>
        <tr r="AR40" s="5"/>
        <tr r="AR18" s="5"/>
        <tr r="AR18" s="5"/>
        <tr r="AR20" s="5"/>
        <tr r="AR20" s="5"/>
        <tr r="AR22" s="5"/>
        <tr r="AR22" s="5"/>
        <tr r="AR32" s="5"/>
        <tr r="AR32" s="5"/>
        <tr r="AR30" s="5"/>
        <tr r="AR30" s="5"/>
        <tr r="AR28" s="5"/>
        <tr r="AR28" s="5"/>
        <tr r="AQ7" s="1"/>
        <tr r="AQ7" s="1"/>
        <tr r="AQ48" s="1"/>
        <tr r="AQ48" s="1"/>
        <tr r="AQ10" s="1"/>
        <tr r="AQ10" s="1"/>
        <tr r="AQ44" s="1"/>
        <tr r="AQ44" s="1"/>
        <tr r="AQ42" s="1"/>
        <tr r="AQ42" s="1"/>
        <tr r="AQ40" s="1"/>
        <tr r="AQ40" s="1"/>
        <tr r="AQ18" s="1"/>
        <tr r="AQ18" s="1"/>
        <tr r="AQ20" s="1"/>
        <tr r="AQ20" s="1"/>
        <tr r="AQ34" s="1"/>
        <tr r="AQ34" s="1"/>
        <tr r="AQ32" s="1"/>
        <tr r="AQ32" s="1"/>
        <tr r="AQ30" s="1"/>
        <tr r="AQ30" s="1"/>
        <tr r="AQ28" s="1"/>
        <tr r="AQ28" s="1"/>
        <tr r="AR6" s="5"/>
        <tr r="AR6" s="5"/>
        <tr r="AR8" s="5"/>
        <tr r="AR8" s="5"/>
        <tr r="AR46" s="5"/>
        <tr r="AR46" s="5"/>
        <tr r="AR44" s="5"/>
        <tr r="AR44" s="5"/>
        <tr r="AR14" s="5"/>
        <tr r="AR14" s="5"/>
        <tr r="AR16" s="5"/>
        <tr r="AR16" s="5"/>
        <tr r="AR38" s="5"/>
        <tr r="AR38" s="5"/>
        <tr r="AR36" s="5"/>
        <tr r="AR36" s="5"/>
        <tr r="AR34" s="5"/>
        <tr r="AR34" s="5"/>
        <tr r="AR24" s="5"/>
        <tr r="AR24" s="5"/>
        <tr r="AR26" s="5"/>
        <tr r="AR26" s="5"/>
        <tr r="AQ6" s="1"/>
        <tr r="AQ6" s="1"/>
        <tr r="AQ8" s="1"/>
        <tr r="AQ8" s="1"/>
        <tr r="AQ46" s="1"/>
        <tr r="AQ46" s="1"/>
        <tr r="AQ12" s="1"/>
        <tr r="AQ12" s="1"/>
        <tr r="AQ14" s="1"/>
        <tr r="AQ14" s="1"/>
        <tr r="AQ16" s="1"/>
        <tr r="AQ16" s="1"/>
        <tr r="AQ38" s="1"/>
        <tr r="AQ38" s="1"/>
        <tr r="AQ36" s="1"/>
        <tr r="AQ36" s="1"/>
        <tr r="AQ22" s="1"/>
        <tr r="AQ22" s="1"/>
        <tr r="AQ24" s="1"/>
        <tr r="AQ24" s="1"/>
        <tr r="AQ26" s="1"/>
        <tr r="AQ26" s="1"/>
        <tr r="AR7" s="5"/>
        <tr r="AR7" s="5"/>
        <tr r="AR9" s="5"/>
        <tr r="AR9" s="5"/>
        <tr r="AR11" s="5"/>
        <tr r="AR11" s="5"/>
        <tr r="AR13" s="5"/>
        <tr r="AR13" s="5"/>
        <tr r="AR41" s="5"/>
        <tr r="AR41" s="5"/>
        <tr r="AR39" s="5"/>
        <tr r="AR39" s="5"/>
        <tr r="AR37" s="5"/>
        <tr r="AR37" s="5"/>
        <tr r="AR21" s="5"/>
        <tr r="AR21" s="5"/>
        <tr r="AR33" s="5"/>
        <tr r="AR33" s="5"/>
        <tr r="AR25" s="5"/>
        <tr r="AR25" s="5"/>
        <tr r="AR27" s="5"/>
        <tr r="AR27" s="5"/>
        <tr r="AQ51" s="1"/>
        <tr r="AQ51" s="1"/>
        <tr r="AQ50" s="1"/>
        <tr r="AQ50" s="1"/>
        <tr r="AQ5" s="1"/>
        <tr r="AQ5" s="1"/>
        <tr r="AQ49" s="1"/>
        <tr r="AQ49" s="1"/>
        <tr r="AQ47" s="1"/>
        <tr r="AQ47" s="1"/>
        <tr r="AQ45" s="1"/>
        <tr r="AQ45" s="1"/>
        <tr r="AQ13" s="1"/>
        <tr r="AQ13" s="1"/>
        <tr r="AQ15" s="1"/>
        <tr r="AQ15" s="1"/>
        <tr r="AQ17" s="1"/>
        <tr r="AQ17" s="1"/>
        <tr r="AQ37" s="1"/>
        <tr r="AQ37" s="1"/>
        <tr r="AQ35" s="1"/>
        <tr r="AQ35" s="1"/>
        <tr r="AQ33" s="1"/>
        <tr r="AQ33" s="1"/>
        <tr r="AQ31" s="1"/>
        <tr r="AQ31" s="1"/>
        <tr r="AQ29" s="1"/>
        <tr r="AQ29" s="1"/>
        <tr r="AR51" s="5"/>
        <tr r="AR51" s="5"/>
        <tr r="AR5" s="5"/>
        <tr r="AR5" s="5"/>
        <tr r="AR49" s="5"/>
        <tr r="AR49" s="5"/>
        <tr r="AR47" s="5"/>
        <tr r="AR47" s="5"/>
        <tr r="AR45" s="5"/>
        <tr r="AR45" s="5"/>
        <tr r="AR43" s="5"/>
        <tr r="AR43" s="5"/>
        <tr r="AR15" s="5"/>
        <tr r="AR15" s="5"/>
        <tr r="AR17" s="5"/>
        <tr r="AR17" s="5"/>
        <tr r="AR19" s="5"/>
        <tr r="AR19" s="5"/>
        <tr r="AR35" s="5"/>
        <tr r="AR35" s="5"/>
        <tr r="AR23" s="5"/>
        <tr r="AR23" s="5"/>
        <tr r="AR31" s="5"/>
        <tr r="AR31" s="5"/>
        <tr r="AR29" s="5"/>
        <tr r="AR29" s="5"/>
        <tr r="AQ9" s="1"/>
        <tr r="AQ9" s="1"/>
        <tr r="AQ11" s="1"/>
        <tr r="AQ11" s="1"/>
        <tr r="AQ43" s="1"/>
        <tr r="AQ43" s="1"/>
        <tr r="AQ41" s="1"/>
        <tr r="AQ41" s="1"/>
        <tr r="AQ39" s="1"/>
        <tr r="AQ39" s="1"/>
        <tr r="AQ19" s="1"/>
        <tr r="AQ19" s="1"/>
        <tr r="AQ21" s="1"/>
        <tr r="AQ21" s="1"/>
        <tr r="AQ23" s="1"/>
        <tr r="AQ23" s="1"/>
        <tr r="AQ25" s="1"/>
        <tr r="AQ25" s="1"/>
        <tr r="AQ27" s="1"/>
        <tr r="AQ27" s="1"/>
      </tp>
      <tp>
        <v>0</v>
        <stp/>
        <stp>OPEN_INT</stp>
        <stp>.OPEN251128P17</stp>
        <tr r="E14" s="1"/>
        <tr r="E14" s="1"/>
        <tr r="T10" s="2"/>
        <tr r="T10" s="2"/>
      </tp>
      <tp>
        <v>61</v>
        <stp/>
        <stp>OPEN_INT</stp>
        <stp>.OPEN251121P16</stp>
        <tr r="D16" s="1"/>
        <tr r="D16" s="1"/>
        <tr r="S12" s="2"/>
        <tr r="S12" s="2"/>
      </tp>
      <tp t="s">
        <v>N/A</v>
        <stp/>
        <stp>OPEN_INT</stp>
        <stp>.OPEN261120P16</stp>
        <tr r="V16" s="1"/>
      </tp>
      <tp>
        <v>120</v>
        <stp/>
        <stp>OPEN_INT</stp>
        <stp>.OPEN251114P15</stp>
        <tr r="AP52" s="5"/>
        <tr r="AP52" s="5"/>
        <tr r="AO52" s="1"/>
        <tr r="AO52" s="1"/>
        <tr r="C18" s="1"/>
        <tr r="C18" s="1"/>
        <tr r="AP6" s="5"/>
        <tr r="AP6" s="5"/>
        <tr r="AP48" s="5"/>
        <tr r="AP48" s="5"/>
        <tr r="AP46" s="5"/>
        <tr r="AP46" s="5"/>
        <tr r="AP12" s="5"/>
        <tr r="AP12" s="5"/>
        <tr r="AP14" s="5"/>
        <tr r="AP14" s="5"/>
        <tr r="AP40" s="5"/>
        <tr r="AP40" s="5"/>
        <tr r="AP18" s="5"/>
        <tr r="AP18" s="5"/>
        <tr r="AP20" s="5"/>
        <tr r="AP20" s="5"/>
        <tr r="AP22" s="5"/>
        <tr r="AP22" s="5"/>
        <tr r="AP32" s="5"/>
        <tr r="AP32" s="5"/>
        <tr r="AP30" s="5"/>
        <tr r="AP30" s="5"/>
        <tr r="AP28" s="5"/>
        <tr r="AP28" s="5"/>
        <tr r="AO6" s="1"/>
        <tr r="AO6" s="1"/>
        <tr r="AO48" s="1"/>
        <tr r="AO48" s="1"/>
        <tr r="AO10" s="1"/>
        <tr r="AO10" s="1"/>
        <tr r="AO44" s="1"/>
        <tr r="AO44" s="1"/>
        <tr r="AO42" s="1"/>
        <tr r="AO42" s="1"/>
        <tr r="AO16" s="1"/>
        <tr r="AO16" s="1"/>
        <tr r="AO18" s="1"/>
        <tr r="AO18" s="1"/>
        <tr r="AO36" s="1"/>
        <tr r="AO36" s="1"/>
        <tr r="AO22" s="1"/>
        <tr r="AO22" s="1"/>
        <tr r="AO32" s="1"/>
        <tr r="AO32" s="1"/>
        <tr r="AO26" s="1"/>
        <tr r="AO26" s="1"/>
        <tr r="AO28" s="1"/>
        <tr r="AO28" s="1"/>
        <tr r="AP51" s="5"/>
        <tr r="AP51" s="5"/>
        <tr r="AP50" s="5"/>
        <tr r="AP50" s="5"/>
        <tr r="AP8" s="5"/>
        <tr r="AP8" s="5"/>
        <tr r="AP10" s="5"/>
        <tr r="AP10" s="5"/>
        <tr r="AP44" s="5"/>
        <tr r="AP44" s="5"/>
        <tr r="AP42" s="5"/>
        <tr r="AP42" s="5"/>
        <tr r="AP16" s="5"/>
        <tr r="AP16" s="5"/>
        <tr r="AP38" s="5"/>
        <tr r="AP38" s="5"/>
        <tr r="AP36" s="5"/>
        <tr r="AP36" s="5"/>
        <tr r="AP34" s="5"/>
        <tr r="AP34" s="5"/>
        <tr r="AP24" s="5"/>
        <tr r="AP24" s="5"/>
        <tr r="AP26" s="5"/>
        <tr r="AP26" s="5"/>
        <tr r="AO50" s="1"/>
        <tr r="AO50" s="1"/>
        <tr r="AO8" s="1"/>
        <tr r="AO8" s="1"/>
        <tr r="AO46" s="1"/>
        <tr r="AO46" s="1"/>
        <tr r="AO12" s="1"/>
        <tr r="AO12" s="1"/>
        <tr r="AO14" s="1"/>
        <tr r="AO14" s="1"/>
        <tr r="AO40" s="1"/>
        <tr r="AO40" s="1"/>
        <tr r="AO38" s="1"/>
        <tr r="AO38" s="1"/>
        <tr r="AO20" s="1"/>
        <tr r="AO20" s="1"/>
        <tr r="AO34" s="1"/>
        <tr r="AO34" s="1"/>
        <tr r="AO24" s="1"/>
        <tr r="AO24" s="1"/>
        <tr r="AO30" s="1"/>
        <tr r="AO30" s="1"/>
        <tr r="AP5" s="5"/>
        <tr r="AP5" s="5"/>
        <tr r="AP47" s="5"/>
        <tr r="AP47" s="5"/>
        <tr r="AP11" s="5"/>
        <tr r="AP11" s="5"/>
        <tr r="AP13" s="5"/>
        <tr r="AP13" s="5"/>
        <tr r="AP41" s="5"/>
        <tr r="AP41" s="5"/>
        <tr r="AP39" s="5"/>
        <tr r="AP39" s="5"/>
        <tr r="AP37" s="5"/>
        <tr r="AP37" s="5"/>
        <tr r="AP21" s="5"/>
        <tr r="AP21" s="5"/>
        <tr r="AP33" s="5"/>
        <tr r="AP33" s="5"/>
        <tr r="AP25" s="5"/>
        <tr r="AP25" s="5"/>
        <tr r="AP27" s="5"/>
        <tr r="AP27" s="5"/>
        <tr r="AO5" s="1"/>
        <tr r="AO5" s="1"/>
        <tr r="AO49" s="1"/>
        <tr r="AO49" s="1"/>
        <tr r="AO47" s="1"/>
        <tr r="AO47" s="1"/>
        <tr r="AO45" s="1"/>
        <tr r="AO45" s="1"/>
        <tr r="AO13" s="1"/>
        <tr r="AO13" s="1"/>
        <tr r="AO41" s="1"/>
        <tr r="AO41" s="1"/>
        <tr r="AO39" s="1"/>
        <tr r="AO39" s="1"/>
        <tr r="AO37" s="1"/>
        <tr r="AO37" s="1"/>
        <tr r="AO21" s="1"/>
        <tr r="AO21" s="1"/>
        <tr r="AO33" s="1"/>
        <tr r="AO33" s="1"/>
        <tr r="AO31" s="1"/>
        <tr r="AO31" s="1"/>
        <tr r="AO29" s="1"/>
        <tr r="AO29" s="1"/>
        <tr r="AP7" s="5"/>
        <tr r="AP7" s="5"/>
        <tr r="AP49" s="5"/>
        <tr r="AP49" s="5"/>
        <tr r="AP9" s="5"/>
        <tr r="AP9" s="5"/>
        <tr r="AP45" s="5"/>
        <tr r="AP45" s="5"/>
        <tr r="AP43" s="5"/>
        <tr r="AP43" s="5"/>
        <tr r="AP15" s="5"/>
        <tr r="AP15" s="5"/>
        <tr r="AP17" s="5"/>
        <tr r="AP17" s="5"/>
        <tr r="AP19" s="5"/>
        <tr r="AP19" s="5"/>
        <tr r="AP35" s="5"/>
        <tr r="AP35" s="5"/>
        <tr r="AP23" s="5"/>
        <tr r="AP23" s="5"/>
        <tr r="AP31" s="5"/>
        <tr r="AP31" s="5"/>
        <tr r="AP29" s="5"/>
        <tr r="AP29" s="5"/>
        <tr r="AO51" s="1"/>
        <tr r="AO51" s="1"/>
        <tr r="AO7" s="1"/>
        <tr r="AO7" s="1"/>
        <tr r="AO9" s="1"/>
        <tr r="AO9" s="1"/>
        <tr r="AO11" s="1"/>
        <tr r="AO11" s="1"/>
        <tr r="AO43" s="1"/>
        <tr r="AO43" s="1"/>
        <tr r="AO15" s="1"/>
        <tr r="AO15" s="1"/>
        <tr r="AO17" s="1"/>
        <tr r="AO17" s="1"/>
        <tr r="AO19" s="1"/>
        <tr r="AO19" s="1"/>
        <tr r="AO35" s="1"/>
        <tr r="AO35" s="1"/>
        <tr r="AO23" s="1"/>
        <tr r="AO23" s="1"/>
        <tr r="AO25" s="1"/>
        <tr r="AO25" s="1"/>
        <tr r="AO27" s="1"/>
        <tr r="AO27" s="1"/>
      </tp>
      <tp>
        <v>1</v>
        <stp/>
        <stp>OPEN_INT</stp>
        <stp>.OPEN251128P16</stp>
        <tr r="E16" s="1"/>
        <tr r="E16" s="1"/>
        <tr r="T12" s="2"/>
        <tr r="T12" s="2"/>
      </tp>
      <tp>
        <v>725</v>
        <stp/>
        <stp>OPEN_INT</stp>
        <stp>.OPEN251121P11</stp>
        <tr r="D26" s="1"/>
        <tr r="D26" s="1"/>
        <tr r="S22" s="2"/>
        <tr r="S22" s="2"/>
      </tp>
      <tp t="s">
        <v>N/A</v>
        <stp/>
        <stp>OPEN_INT</stp>
        <stp>.OPEN261120P11</stp>
        <tr r="V26" s="1"/>
      </tp>
      <tp>
        <v>40</v>
        <stp/>
        <stp>OPEN_INT</stp>
        <stp>.OPEN251114P12</stp>
        <tr r="C24" s="1"/>
        <tr r="C24" s="1"/>
        <tr r="AU52" s="1"/>
        <tr r="AU52" s="1"/>
        <tr r="AV52" s="5"/>
        <tr r="AV52" s="5"/>
        <tr r="AV6" s="5"/>
        <tr r="AV6" s="5"/>
        <tr r="AV48" s="5"/>
        <tr r="AV48" s="5"/>
        <tr r="AV10" s="5"/>
        <tr r="AV10" s="5"/>
        <tr r="AV12" s="5"/>
        <tr r="AV12" s="5"/>
        <tr r="AV42" s="5"/>
        <tr r="AV42" s="5"/>
        <tr r="AV16" s="5"/>
        <tr r="AV16" s="5"/>
        <tr r="AV18" s="5"/>
        <tr r="AV18" s="5"/>
        <tr r="AV36" s="5"/>
        <tr r="AV36" s="5"/>
        <tr r="AV22" s="5"/>
        <tr r="AV22" s="5"/>
        <tr r="AV32" s="5"/>
        <tr r="AV32" s="5"/>
        <tr r="AV30" s="5"/>
        <tr r="AV30" s="5"/>
        <tr r="AV28" s="5"/>
        <tr r="AV28" s="5"/>
        <tr r="AU6" s="1"/>
        <tr r="AU6" s="1"/>
        <tr r="AU8" s="1"/>
        <tr r="AU8" s="1"/>
        <tr r="AU10" s="1"/>
        <tr r="AU10" s="1"/>
        <tr r="AU44" s="1"/>
        <tr r="AU44" s="1"/>
        <tr r="AU14" s="1"/>
        <tr r="AU14" s="1"/>
        <tr r="AU40" s="1"/>
        <tr r="AU40" s="1"/>
        <tr r="AU18" s="1"/>
        <tr r="AU18" s="1"/>
        <tr r="AU20" s="1"/>
        <tr r="AU20" s="1"/>
        <tr r="AU22" s="1"/>
        <tr r="AU22" s="1"/>
        <tr r="AU24" s="1"/>
        <tr r="AU24" s="1"/>
        <tr r="AU30" s="1"/>
        <tr r="AU30" s="1"/>
        <tr r="AU28" s="1"/>
        <tr r="AU28" s="1"/>
        <tr r="AV5" s="5"/>
        <tr r="AV5" s="5"/>
        <tr r="AV50" s="5"/>
        <tr r="AV50" s="5"/>
        <tr r="AV8" s="5"/>
        <tr r="AV8" s="5"/>
        <tr r="AV46" s="5"/>
        <tr r="AV46" s="5"/>
        <tr r="AV44" s="5"/>
        <tr r="AV44" s="5"/>
        <tr r="AV14" s="5"/>
        <tr r="AV14" s="5"/>
        <tr r="AV40" s="5"/>
        <tr r="AV40" s="5"/>
        <tr r="AV38" s="5"/>
        <tr r="AV38" s="5"/>
        <tr r="AV20" s="5"/>
        <tr r="AV20" s="5"/>
        <tr r="AV34" s="5"/>
        <tr r="AV34" s="5"/>
        <tr r="AV24" s="5"/>
        <tr r="AV24" s="5"/>
        <tr r="AV26" s="5"/>
        <tr r="AV26" s="5"/>
        <tr r="AU48" s="1"/>
        <tr r="AU48" s="1"/>
        <tr r="AU46" s="1"/>
        <tr r="AU46" s="1"/>
        <tr r="AU12" s="1"/>
        <tr r="AU12" s="1"/>
        <tr r="AU42" s="1"/>
        <tr r="AU42" s="1"/>
        <tr r="AU16" s="1"/>
        <tr r="AU16" s="1"/>
        <tr r="AU38" s="1"/>
        <tr r="AU38" s="1"/>
        <tr r="AU36" s="1"/>
        <tr r="AU36" s="1"/>
        <tr r="AU34" s="1"/>
        <tr r="AU34" s="1"/>
        <tr r="AU32" s="1"/>
        <tr r="AU32" s="1"/>
        <tr r="AU26" s="1"/>
        <tr r="AU26" s="1"/>
        <tr r="AV49" s="5"/>
        <tr r="AV49" s="5"/>
        <tr r="AV9" s="5"/>
        <tr r="AV9" s="5"/>
        <tr r="AV45" s="5"/>
        <tr r="AV45" s="5"/>
        <tr r="AV13" s="5"/>
        <tr r="AV13" s="5"/>
        <tr r="AV15" s="5"/>
        <tr r="AV15" s="5"/>
        <tr r="AV39" s="5"/>
        <tr r="AV39" s="5"/>
        <tr r="AV37" s="5"/>
        <tr r="AV37" s="5"/>
        <tr r="AV21" s="5"/>
        <tr r="AV21" s="5"/>
        <tr r="AV33" s="5"/>
        <tr r="AV33" s="5"/>
        <tr r="AV31" s="5"/>
        <tr r="AV31" s="5"/>
        <tr r="AV27" s="5"/>
        <tr r="AV27" s="5"/>
        <tr r="AU5" s="1"/>
        <tr r="AU5" s="1"/>
        <tr r="AU50" s="1"/>
        <tr r="AU50" s="1"/>
        <tr r="AU51" s="1"/>
        <tr r="AU51" s="1"/>
        <tr r="AU49" s="1"/>
        <tr r="AU49" s="1"/>
        <tr r="AU47" s="1"/>
        <tr r="AU47" s="1"/>
        <tr r="AU45" s="1"/>
        <tr r="AU45" s="1"/>
        <tr r="AU43" s="1"/>
        <tr r="AU43" s="1"/>
        <tr r="AU15" s="1"/>
        <tr r="AU15" s="1"/>
        <tr r="AU17" s="1"/>
        <tr r="AU17" s="1"/>
        <tr r="AU37" s="1"/>
        <tr r="AU37" s="1"/>
        <tr r="AU35" s="1"/>
        <tr r="AU35" s="1"/>
        <tr r="AU33" s="1"/>
        <tr r="AU33" s="1"/>
        <tr r="AU31" s="1"/>
        <tr r="AU31" s="1"/>
        <tr r="AU29" s="1"/>
        <tr r="AU29" s="1"/>
        <tr r="AV51" s="5"/>
        <tr r="AV51" s="5"/>
        <tr r="AV7" s="5"/>
        <tr r="AV7" s="5"/>
        <tr r="AV47" s="5"/>
        <tr r="AV47" s="5"/>
        <tr r="AV11" s="5"/>
        <tr r="AV11" s="5"/>
        <tr r="AV43" s="5"/>
        <tr r="AV43" s="5"/>
        <tr r="AV41" s="5"/>
        <tr r="AV41" s="5"/>
        <tr r="AV17" s="5"/>
        <tr r="AV17" s="5"/>
        <tr r="AV19" s="5"/>
        <tr r="AV19" s="5"/>
        <tr r="AV35" s="5"/>
        <tr r="AV35" s="5"/>
        <tr r="AV23" s="5"/>
        <tr r="AV23" s="5"/>
        <tr r="AV25" s="5"/>
        <tr r="AV25" s="5"/>
        <tr r="AV29" s="5"/>
        <tr r="AV29" s="5"/>
        <tr r="AU7" s="1"/>
        <tr r="AU7" s="1"/>
        <tr r="AU9" s="1"/>
        <tr r="AU9" s="1"/>
        <tr r="AU11" s="1"/>
        <tr r="AU11" s="1"/>
        <tr r="AU13" s="1"/>
        <tr r="AU13" s="1"/>
        <tr r="AU41" s="1"/>
        <tr r="AU41" s="1"/>
        <tr r="AU39" s="1"/>
        <tr r="AU39" s="1"/>
        <tr r="AU19" s="1"/>
        <tr r="AU19" s="1"/>
        <tr r="AU21" s="1"/>
        <tr r="AU21" s="1"/>
        <tr r="AU23" s="1"/>
        <tr r="AU23" s="1"/>
        <tr r="AU25" s="1"/>
        <tr r="AU25" s="1"/>
        <tr r="AU27" s="1"/>
        <tr r="AU27" s="1"/>
      </tp>
      <tp t="s">
        <v>N/A</v>
        <stp/>
        <stp>OPEN_INT</stp>
        <stp>.OPEN251226P21</stp>
        <tr r="I6" s="1"/>
      </tp>
      <tp>
        <v>88</v>
        <stp/>
        <stp>OPEN_INT</stp>
        <stp>.OPEN251128P11</stp>
        <tr r="E26" s="1"/>
        <tr r="E26" s="1"/>
        <tr r="T22" s="2"/>
        <tr r="T22" s="2"/>
      </tp>
      <tp>
        <v>2856</v>
        <stp/>
        <stp>OPEN_INT</stp>
        <stp>.OPEN251121P10</stp>
        <tr r="D28" s="1"/>
        <tr r="D28" s="1"/>
        <tr r="S24" s="2"/>
        <tr r="S24" s="2"/>
      </tp>
      <tp t="s">
        <v>N/A</v>
        <stp/>
        <stp>OPEN_INT</stp>
        <stp>.OPEN261120P10</stp>
        <tr r="V28" s="1"/>
      </tp>
      <tp>
        <v>62</v>
        <stp/>
        <stp>OPEN_INT</stp>
        <stp>.OPEN251114P13</stp>
        <tr r="AS52" s="1"/>
        <tr r="AS52" s="1"/>
        <tr r="C22" s="1"/>
        <tr r="C22" s="1"/>
        <tr r="AT52" s="5"/>
        <tr r="AT52" s="5"/>
        <tr r="AT49" s="5"/>
        <tr r="AT49" s="5"/>
        <tr r="AT48" s="5"/>
        <tr r="AT48" s="5"/>
        <tr r="AT46" s="5"/>
        <tr r="AT46" s="5"/>
        <tr r="AT12" s="5"/>
        <tr r="AT12" s="5"/>
        <tr r="AT42" s="5"/>
        <tr r="AT42" s="5"/>
        <tr r="AT16" s="5"/>
        <tr r="AT16" s="5"/>
        <tr r="AT18" s="5"/>
        <tr r="AT18" s="5"/>
        <tr r="AT20" s="5"/>
        <tr r="AT20" s="5"/>
        <tr r="AT22" s="5"/>
        <tr r="AT22" s="5"/>
        <tr r="AT24" s="5"/>
        <tr r="AT24" s="5"/>
        <tr r="AT26" s="5"/>
        <tr r="AT26" s="5"/>
        <tr r="AT28" s="5"/>
        <tr r="AT28" s="5"/>
        <tr r="AS6" s="1"/>
        <tr r="AS6" s="1"/>
        <tr r="AS8" s="1"/>
        <tr r="AS8" s="1"/>
        <tr r="AS46" s="1"/>
        <tr r="AS46" s="1"/>
        <tr r="AS44" s="1"/>
        <tr r="AS44" s="1"/>
        <tr r="AS42" s="1"/>
        <tr r="AS42" s="1"/>
        <tr r="AS40" s="1"/>
        <tr r="AS40" s="1"/>
        <tr r="AS18" s="1"/>
        <tr r="AS18" s="1"/>
        <tr r="AS20" s="1"/>
        <tr r="AS20" s="1"/>
        <tr r="AS34" s="1"/>
        <tr r="AS34" s="1"/>
        <tr r="AS32" s="1"/>
        <tr r="AS32" s="1"/>
        <tr r="AS30" s="1"/>
        <tr r="AS30" s="1"/>
        <tr r="AS28" s="1"/>
        <tr r="AS28" s="1"/>
        <tr r="AT5" s="5"/>
        <tr r="AT5" s="5"/>
        <tr r="AT50" s="5"/>
        <tr r="AT50" s="5"/>
        <tr r="AT6" s="5"/>
        <tr r="AT6" s="5"/>
        <tr r="AT8" s="5"/>
        <tr r="AT8" s="5"/>
        <tr r="AT10" s="5"/>
        <tr r="AT10" s="5"/>
        <tr r="AT44" s="5"/>
        <tr r="AT44" s="5"/>
        <tr r="AT14" s="5"/>
        <tr r="AT14" s="5"/>
        <tr r="AT40" s="5"/>
        <tr r="AT40" s="5"/>
        <tr r="AT38" s="5"/>
        <tr r="AT38" s="5"/>
        <tr r="AT36" s="5"/>
        <tr r="AT36" s="5"/>
        <tr r="AT34" s="5"/>
        <tr r="AT34" s="5"/>
        <tr r="AT32" s="5"/>
        <tr r="AT32" s="5"/>
        <tr r="AT30" s="5"/>
        <tr r="AT30" s="5"/>
        <tr r="AS51" s="1"/>
        <tr r="AS51" s="1"/>
        <tr r="AS48" s="1"/>
        <tr r="AS48" s="1"/>
        <tr r="AS10" s="1"/>
        <tr r="AS10" s="1"/>
        <tr r="AS12" s="1"/>
        <tr r="AS12" s="1"/>
        <tr r="AS14" s="1"/>
        <tr r="AS14" s="1"/>
        <tr r="AS16" s="1"/>
        <tr r="AS16" s="1"/>
        <tr r="AS38" s="1"/>
        <tr r="AS38" s="1"/>
        <tr r="AS36" s="1"/>
        <tr r="AS36" s="1"/>
        <tr r="AS22" s="1"/>
        <tr r="AS22" s="1"/>
        <tr r="AS24" s="1"/>
        <tr r="AS24" s="1"/>
        <tr r="AS26" s="1"/>
        <tr r="AS26" s="1"/>
        <tr r="AT9" s="5"/>
        <tr r="AT9" s="5"/>
        <tr r="AT45" s="5"/>
        <tr r="AT45" s="5"/>
        <tr r="AT13" s="5"/>
        <tr r="AT13" s="5"/>
        <tr r="AT15" s="5"/>
        <tr r="AT15" s="5"/>
        <tr r="AT39" s="5"/>
        <tr r="AT39" s="5"/>
        <tr r="AT19" s="5"/>
        <tr r="AT19" s="5"/>
        <tr r="AT21" s="5"/>
        <tr r="AT21" s="5"/>
        <tr r="AT33" s="5"/>
        <tr r="AT33" s="5"/>
        <tr r="AT25" s="5"/>
        <tr r="AT25" s="5"/>
        <tr r="AT27" s="5"/>
        <tr r="AT27" s="5"/>
        <tr r="AS50" s="1"/>
        <tr r="AS50" s="1"/>
        <tr r="AS5" s="1"/>
        <tr r="AS5" s="1"/>
        <tr r="AS49" s="1"/>
        <tr r="AS49" s="1"/>
        <tr r="AS47" s="1"/>
        <tr r="AS47" s="1"/>
        <tr r="AS11" s="1"/>
        <tr r="AS11" s="1"/>
        <tr r="AS43" s="1"/>
        <tr r="AS43" s="1"/>
        <tr r="AS15" s="1"/>
        <tr r="AS15" s="1"/>
        <tr r="AS17" s="1"/>
        <tr r="AS17" s="1"/>
        <tr r="AS37" s="1"/>
        <tr r="AS37" s="1"/>
        <tr r="AS35" s="1"/>
        <tr r="AS35" s="1"/>
        <tr r="AS33" s="1"/>
        <tr r="AS33" s="1"/>
        <tr r="AS31" s="1"/>
        <tr r="AS31" s="1"/>
        <tr r="AS29" s="1"/>
        <tr r="AS29" s="1"/>
        <tr r="AT51" s="5"/>
        <tr r="AT51" s="5"/>
        <tr r="AT7" s="5"/>
        <tr r="AT7" s="5"/>
        <tr r="AT47" s="5"/>
        <tr r="AT47" s="5"/>
        <tr r="AT11" s="5"/>
        <tr r="AT11" s="5"/>
        <tr r="AT43" s="5"/>
        <tr r="AT43" s="5"/>
        <tr r="AT41" s="5"/>
        <tr r="AT41" s="5"/>
        <tr r="AT17" s="5"/>
        <tr r="AT17" s="5"/>
        <tr r="AT37" s="5"/>
        <tr r="AT37" s="5"/>
        <tr r="AT35" s="5"/>
        <tr r="AT35" s="5"/>
        <tr r="AT23" s="5"/>
        <tr r="AT23" s="5"/>
        <tr r="AT31" s="5"/>
        <tr r="AT31" s="5"/>
        <tr r="AT29" s="5"/>
        <tr r="AT29" s="5"/>
        <tr r="AS7" s="1"/>
        <tr r="AS7" s="1"/>
        <tr r="AS9" s="1"/>
        <tr r="AS9" s="1"/>
        <tr r="AS45" s="1"/>
        <tr r="AS45" s="1"/>
        <tr r="AS13" s="1"/>
        <tr r="AS13" s="1"/>
        <tr r="AS41" s="1"/>
        <tr r="AS41" s="1"/>
        <tr r="AS39" s="1"/>
        <tr r="AS39" s="1"/>
        <tr r="AS19" s="1"/>
        <tr r="AS19" s="1"/>
        <tr r="AS21" s="1"/>
        <tr r="AS21" s="1"/>
        <tr r="AS23" s="1"/>
        <tr r="AS23" s="1"/>
        <tr r="AS25" s="1"/>
        <tr r="AS25" s="1"/>
        <tr r="AS27" s="1"/>
        <tr r="AS27" s="1"/>
      </tp>
      <tp t="s">
        <v>N/A</v>
        <stp/>
        <stp>OPEN_INT</stp>
        <stp>.OPEN251226P20</stp>
        <tr r="I8" s="1"/>
      </tp>
      <tp>
        <v>153</v>
        <stp/>
        <stp>OPEN_INT</stp>
        <stp>.OPEN251128P10</stp>
        <tr r="E28" s="1"/>
        <tr r="E28" s="1"/>
        <tr r="T24" s="2"/>
        <tr r="T24" s="2"/>
      </tp>
      <tp>
        <v>406</v>
        <stp/>
        <stp>OPEN_INT</stp>
        <stp>.OPEN251121P13</stp>
        <tr r="D22" s="1"/>
        <tr r="D22" s="1"/>
        <tr r="S18" s="2"/>
        <tr r="S18" s="2"/>
      </tp>
      <tp t="s">
        <v>N/A</v>
        <stp/>
        <stp>OPEN_INT</stp>
        <stp>.OPEN261120P13</stp>
        <tr r="V22" s="1"/>
      </tp>
      <tp t="s">
        <v>N/A</v>
        <stp/>
        <stp>OPEN_INT</stp>
        <stp>.OPEN251212P20</stp>
        <tr r="G8" s="1"/>
      </tp>
      <tp t="s">
        <v>N/A</v>
        <stp/>
        <stp>OPEN_INT</stp>
        <stp>.OPEN251205P21</stp>
        <tr r="F6" s="1"/>
      </tp>
      <tp>
        <v>2074</v>
        <stp/>
        <stp>OPEN_INT</stp>
        <stp>.OPEN251114P10</stp>
        <tr r="AY52" s="1"/>
        <tr r="AY52" s="1"/>
        <tr r="C28" s="1"/>
        <tr r="C28" s="1"/>
        <tr r="AZ52" s="5"/>
        <tr r="AZ52" s="5"/>
        <tr r="AZ6" s="5"/>
        <tr r="AZ6" s="5"/>
        <tr r="AZ48" s="5"/>
        <tr r="AZ48" s="5"/>
        <tr r="AZ10" s="5"/>
        <tr r="AZ10" s="5"/>
        <tr r="AZ44" s="5"/>
        <tr r="AZ44" s="5"/>
        <tr r="AZ42" s="5"/>
        <tr r="AZ42" s="5"/>
        <tr r="AZ40" s="5"/>
        <tr r="AZ40" s="5"/>
        <tr r="AZ38" s="5"/>
        <tr r="AZ38" s="5"/>
        <tr r="AZ36" s="5"/>
        <tr r="AZ36" s="5"/>
        <tr r="AZ22" s="5"/>
        <tr r="AZ22" s="5"/>
        <tr r="AZ32" s="5"/>
        <tr r="AZ32" s="5"/>
        <tr r="AZ26" s="5"/>
        <tr r="AZ26" s="5"/>
        <tr r="AZ28" s="5"/>
        <tr r="AZ28" s="5"/>
        <tr r="AY5" s="1"/>
        <tr r="AY5" s="1"/>
        <tr r="AY8" s="1"/>
        <tr r="AY8" s="1"/>
        <tr r="AY46" s="1"/>
        <tr r="AY46" s="1"/>
        <tr r="AY12" s="1"/>
        <tr r="AY12" s="1"/>
        <tr r="AY42" s="1"/>
        <tr r="AY42" s="1"/>
        <tr r="AY40" s="1"/>
        <tr r="AY40" s="1"/>
        <tr r="AY18" s="1"/>
        <tr r="AY18" s="1"/>
        <tr r="AY20" s="1"/>
        <tr r="AY20" s="1"/>
        <tr r="AY22" s="1"/>
        <tr r="AY22" s="1"/>
        <tr r="AY32" s="1"/>
        <tr r="AY32" s="1"/>
        <tr r="AY26" s="1"/>
        <tr r="AY26" s="1"/>
        <tr r="AY28" s="1"/>
        <tr r="AY28" s="1"/>
        <tr r="AZ51" s="5"/>
        <tr r="AZ51" s="5"/>
        <tr r="AZ50" s="5"/>
        <tr r="AZ50" s="5"/>
        <tr r="AZ8" s="5"/>
        <tr r="AZ8" s="5"/>
        <tr r="AZ46" s="5"/>
        <tr r="AZ46" s="5"/>
        <tr r="AZ12" s="5"/>
        <tr r="AZ12" s="5"/>
        <tr r="AZ14" s="5"/>
        <tr r="AZ14" s="5"/>
        <tr r="AZ16" s="5"/>
        <tr r="AZ16" s="5"/>
        <tr r="AZ18" s="5"/>
        <tr r="AZ18" s="5"/>
        <tr r="AZ20" s="5"/>
        <tr r="AZ20" s="5"/>
        <tr r="AZ34" s="5"/>
        <tr r="AZ34" s="5"/>
        <tr r="AZ24" s="5"/>
        <tr r="AZ24" s="5"/>
        <tr r="AZ30" s="5"/>
        <tr r="AZ30" s="5"/>
        <tr r="AY50" s="1"/>
        <tr r="AY50" s="1"/>
        <tr r="AY6" s="1"/>
        <tr r="AY6" s="1"/>
        <tr r="AY48" s="1"/>
        <tr r="AY48" s="1"/>
        <tr r="AY10" s="1"/>
        <tr r="AY10" s="1"/>
        <tr r="AY44" s="1"/>
        <tr r="AY44" s="1"/>
        <tr r="AY14" s="1"/>
        <tr r="AY14" s="1"/>
        <tr r="AY16" s="1"/>
        <tr r="AY16" s="1"/>
        <tr r="AY38" s="1"/>
        <tr r="AY38" s="1"/>
        <tr r="AY36" s="1"/>
        <tr r="AY36" s="1"/>
        <tr r="AY34" s="1"/>
        <tr r="AY34" s="1"/>
        <tr r="AY24" s="1"/>
        <tr r="AY24" s="1"/>
        <tr r="AY30" s="1"/>
        <tr r="AY30" s="1"/>
        <tr r="AZ7" s="5"/>
        <tr r="AZ7" s="5"/>
        <tr r="AZ9" s="5"/>
        <tr r="AZ9" s="5"/>
        <tr r="AZ11" s="5"/>
        <tr r="AZ11" s="5"/>
        <tr r="AZ13" s="5"/>
        <tr r="AZ13" s="5"/>
        <tr r="AZ15" s="5"/>
        <tr r="AZ15" s="5"/>
        <tr r="AZ39" s="5"/>
        <tr r="AZ39" s="5"/>
        <tr r="AZ19" s="5"/>
        <tr r="AZ19" s="5"/>
        <tr r="AZ35" s="5"/>
        <tr r="AZ35" s="5"/>
        <tr r="AZ23" s="5"/>
        <tr r="AZ23" s="5"/>
        <tr r="AZ31" s="5"/>
        <tr r="AZ31" s="5"/>
        <tr r="AZ29" s="5"/>
        <tr r="AZ29" s="5"/>
        <tr r="AY51" s="1"/>
        <tr r="AY51" s="1"/>
        <tr r="AY7" s="1"/>
        <tr r="AY7" s="1"/>
        <tr r="AY9" s="1"/>
        <tr r="AY9" s="1"/>
        <tr r="AY11" s="1"/>
        <tr r="AY11" s="1"/>
        <tr r="AY43" s="1"/>
        <tr r="AY43" s="1"/>
        <tr r="AY15" s="1"/>
        <tr r="AY15" s="1"/>
        <tr r="AY17" s="1"/>
        <tr r="AY17" s="1"/>
        <tr r="AY37" s="1"/>
        <tr r="AY37" s="1"/>
        <tr r="AY21" s="1"/>
        <tr r="AY21" s="1"/>
        <tr r="AY33" s="1"/>
        <tr r="AY33" s="1"/>
        <tr r="AY31" s="1"/>
        <tr r="AY31" s="1"/>
        <tr r="AY27" s="1"/>
        <tr r="AY27" s="1"/>
        <tr r="AZ5" s="5"/>
        <tr r="AZ5" s="5"/>
        <tr r="AZ49" s="5"/>
        <tr r="AZ49" s="5"/>
        <tr r="AZ47" s="5"/>
        <tr r="AZ47" s="5"/>
        <tr r="AZ45" s="5"/>
        <tr r="AZ45" s="5"/>
        <tr r="AZ43" s="5"/>
        <tr r="AZ43" s="5"/>
        <tr r="AZ41" s="5"/>
        <tr r="AZ41" s="5"/>
        <tr r="AZ17" s="5"/>
        <tr r="AZ17" s="5"/>
        <tr r="AZ37" s="5"/>
        <tr r="AZ37" s="5"/>
        <tr r="AZ21" s="5"/>
        <tr r="AZ21" s="5"/>
        <tr r="AZ33" s="5"/>
        <tr r="AZ33" s="5"/>
        <tr r="AZ25" s="5"/>
        <tr r="AZ25" s="5"/>
        <tr r="AZ27" s="5"/>
        <tr r="AZ27" s="5"/>
        <tr r="AY49" s="1"/>
        <tr r="AY49" s="1"/>
        <tr r="AY47" s="1"/>
        <tr r="AY47" s="1"/>
        <tr r="AY45" s="1"/>
        <tr r="AY45" s="1"/>
        <tr r="AY13" s="1"/>
        <tr r="AY13" s="1"/>
        <tr r="AY41" s="1"/>
        <tr r="AY41" s="1"/>
        <tr r="AY39" s="1"/>
        <tr r="AY39" s="1"/>
        <tr r="AY19" s="1"/>
        <tr r="AY19" s="1"/>
        <tr r="AY35" s="1"/>
        <tr r="AY35" s="1"/>
        <tr r="AY23" s="1"/>
        <tr r="AY23" s="1"/>
        <tr r="AY25" s="1"/>
        <tr r="AY25" s="1"/>
        <tr r="AY29" s="1"/>
        <tr r="AY29" s="1"/>
      </tp>
      <tp t="s">
        <v>N/A</v>
        <stp/>
        <stp>OPEN_INT</stp>
        <stp>.OPEN251219P20</stp>
        <tr r="H8" s="1"/>
      </tp>
      <tp>
        <v>55</v>
        <stp/>
        <stp>OPEN_INT</stp>
        <stp>.OPEN251128P13</stp>
        <tr r="E22" s="1"/>
        <tr r="E22" s="1"/>
        <tr r="T18" s="2"/>
        <tr r="T18" s="2"/>
      </tp>
      <tp t="s">
        <v>N/A</v>
        <stp/>
        <stp>OPEN_INT</stp>
        <stp>.OPEN261218P20</stp>
        <tr r="W8" s="1"/>
      </tp>
      <tp>
        <v>503</v>
        <stp/>
        <stp>OPEN_INT</stp>
        <stp>.OPEN251121P12</stp>
        <tr r="D24" s="1"/>
        <tr r="D24" s="1"/>
        <tr r="S20" s="2"/>
        <tr r="S20" s="2"/>
      </tp>
      <tp t="s">
        <v>N/A</v>
        <stp/>
        <stp>OPEN_INT</stp>
        <stp>.OPEN261120P12</stp>
        <tr r="V24" s="1"/>
      </tp>
      <tp t="s">
        <v>N/A</v>
        <stp/>
        <stp>OPEN_INT</stp>
        <stp>.OPEN251212P21</stp>
        <tr r="G6" s="1"/>
      </tp>
      <tp t="s">
        <v>N/A</v>
        <stp/>
        <stp>OPEN_INT</stp>
        <stp>.OPEN251205P20</stp>
        <tr r="F8" s="1"/>
      </tp>
      <tp>
        <v>202</v>
        <stp/>
        <stp>OPEN_INT</stp>
        <stp>.OPEN251114P11</stp>
        <tr r="AW52" s="1"/>
        <tr r="AW52" s="1"/>
        <tr r="C26" s="1"/>
        <tr r="C26" s="1"/>
        <tr r="AX52" s="5"/>
        <tr r="AX52" s="5"/>
        <tr r="AX7" s="5"/>
        <tr r="AX7" s="5"/>
        <tr r="AX50" s="5"/>
        <tr r="AX50" s="5"/>
        <tr r="AX48" s="5"/>
        <tr r="AX48" s="5"/>
        <tr r="AX46" s="5"/>
        <tr r="AX46" s="5"/>
        <tr r="AX44" s="5"/>
        <tr r="AX44" s="5"/>
        <tr r="AX42" s="5"/>
        <tr r="AX42" s="5"/>
        <tr r="AX16" s="5"/>
        <tr r="AX16" s="5"/>
        <tr r="AX38" s="5"/>
        <tr r="AX38" s="5"/>
        <tr r="AX36" s="5"/>
        <tr r="AX36" s="5"/>
        <tr r="AX22" s="5"/>
        <tr r="AX22" s="5"/>
        <tr r="AX32" s="5"/>
        <tr r="AX32" s="5"/>
        <tr r="AX26" s="5"/>
        <tr r="AX26" s="5"/>
        <tr r="AX28" s="5"/>
        <tr r="AX28" s="5"/>
        <tr r="AW46" s="1"/>
        <tr r="AW46" s="1"/>
        <tr r="AW40" s="1"/>
        <tr r="AW40" s="1"/>
        <tr r="AW22" s="1"/>
        <tr r="AW22" s="1"/>
        <tr r="AW30" s="1"/>
        <tr r="AW30" s="1"/>
        <tr r="AW28" s="1"/>
        <tr r="AW28" s="1"/>
        <tr r="AX49" s="5"/>
        <tr r="AX49" s="5"/>
        <tr r="AX6" s="5"/>
        <tr r="AX6" s="5"/>
        <tr r="AX8" s="5"/>
        <tr r="AX8" s="5"/>
        <tr r="AX10" s="5"/>
        <tr r="AX10" s="5"/>
        <tr r="AX12" s="5"/>
        <tr r="AX12" s="5"/>
        <tr r="AX14" s="5"/>
        <tr r="AX14" s="5"/>
        <tr r="AX40" s="5"/>
        <tr r="AX40" s="5"/>
        <tr r="AX18" s="5"/>
        <tr r="AX18" s="5"/>
        <tr r="AX20" s="5"/>
        <tr r="AX20" s="5"/>
        <tr r="AX34" s="5"/>
        <tr r="AX34" s="5"/>
        <tr r="AX24" s="5"/>
        <tr r="AX24" s="5"/>
        <tr r="AX30" s="5"/>
        <tr r="AX30" s="5"/>
        <tr r="AW50" s="1"/>
        <tr r="AW50" s="1"/>
        <tr r="AW14" s="1"/>
        <tr r="AW14" s="1"/>
        <tr r="AW36" s="1"/>
        <tr r="AW36" s="1"/>
        <tr r="AW6" s="1"/>
        <tr r="AW6" s="1"/>
        <tr r="AW10" s="1"/>
        <tr r="AW10" s="1"/>
        <tr r="AW42" s="1"/>
        <tr r="AW42" s="1"/>
        <tr r="AW16" s="1"/>
        <tr r="AW16" s="1"/>
        <tr r="AW38" s="1"/>
        <tr r="AW38" s="1"/>
        <tr r="AW20" s="1"/>
        <tr r="AW20" s="1"/>
        <tr r="AW34" s="1"/>
        <tr r="AW34" s="1"/>
        <tr r="AW24" s="1"/>
        <tr r="AW24" s="1"/>
        <tr r="AW26" s="1"/>
        <tr r="AW26" s="1"/>
        <tr r="AX5" s="5"/>
        <tr r="AX5" s="5"/>
        <tr r="AX47" s="5"/>
        <tr r="AX47" s="5"/>
        <tr r="AX11" s="5"/>
        <tr r="AX11" s="5"/>
        <tr r="AX13" s="5"/>
        <tr r="AX13" s="5"/>
        <tr r="AX15" s="5"/>
        <tr r="AX15" s="5"/>
        <tr r="AX39" s="5"/>
        <tr r="AX39" s="5"/>
        <tr r="AX19" s="5"/>
        <tr r="AX19" s="5"/>
        <tr r="AX35" s="5"/>
        <tr r="AX35" s="5"/>
        <tr r="AX23" s="5"/>
        <tr r="AX23" s="5"/>
        <tr r="AX31" s="5"/>
        <tr r="AX31" s="5"/>
        <tr r="AX27" s="5"/>
        <tr r="AX27" s="5"/>
        <tr r="AW12" s="1"/>
        <tr r="AW12" s="1"/>
        <tr r="AW18" s="1"/>
        <tr r="AW18" s="1"/>
        <tr r="AW32" s="1"/>
        <tr r="AW32" s="1"/>
        <tr r="AW48" s="1"/>
        <tr r="AW48" s="1"/>
        <tr r="AW44" s="1"/>
        <tr r="AW44" s="1"/>
        <tr r="AW51" s="1"/>
        <tr r="AW51" s="1"/>
        <tr r="AW49" s="1"/>
        <tr r="AW49" s="1"/>
        <tr r="AW9" s="1"/>
        <tr r="AW9" s="1"/>
        <tr r="AW11" s="1"/>
        <tr r="AW11" s="1"/>
        <tr r="AW43" s="1"/>
        <tr r="AW43" s="1"/>
        <tr r="AW41" s="1"/>
        <tr r="AW41" s="1"/>
        <tr r="AW17" s="1"/>
        <tr r="AW17" s="1"/>
        <tr r="AW37" s="1"/>
        <tr r="AW37" s="1"/>
        <tr r="AW21" s="1"/>
        <tr r="AW21" s="1"/>
        <tr r="AW33" s="1"/>
        <tr r="AW33" s="1"/>
        <tr r="AW31" s="1"/>
        <tr r="AW31" s="1"/>
        <tr r="AW27" s="1"/>
        <tr r="AW27" s="1"/>
        <tr r="AX51" s="5"/>
        <tr r="AX51" s="5"/>
        <tr r="AX9" s="5"/>
        <tr r="AX9" s="5"/>
        <tr r="AX45" s="5"/>
        <tr r="AX45" s="5"/>
        <tr r="AX43" s="5"/>
        <tr r="AX43" s="5"/>
        <tr r="AX41" s="5"/>
        <tr r="AX41" s="5"/>
        <tr r="AX17" s="5"/>
        <tr r="AX17" s="5"/>
        <tr r="AX37" s="5"/>
        <tr r="AX37" s="5"/>
        <tr r="AX21" s="5"/>
        <tr r="AX21" s="5"/>
        <tr r="AX33" s="5"/>
        <tr r="AX33" s="5"/>
        <tr r="AX25" s="5"/>
        <tr r="AX25" s="5"/>
        <tr r="AX29" s="5"/>
        <tr r="AX29" s="5"/>
        <tr r="AW8" s="1"/>
        <tr r="AW8" s="1"/>
        <tr r="AW5" s="1"/>
        <tr r="AW5" s="1"/>
        <tr r="AW7" s="1"/>
        <tr r="AW7" s="1"/>
        <tr r="AW47" s="1"/>
        <tr r="AW47" s="1"/>
        <tr r="AW45" s="1"/>
        <tr r="AW45" s="1"/>
        <tr r="AW13" s="1"/>
        <tr r="AW13" s="1"/>
        <tr r="AW15" s="1"/>
        <tr r="AW15" s="1"/>
        <tr r="AW39" s="1"/>
        <tr r="AW39" s="1"/>
        <tr r="AW19" s="1"/>
        <tr r="AW19" s="1"/>
        <tr r="AW35" s="1"/>
        <tr r="AW35" s="1"/>
        <tr r="AW23" s="1"/>
        <tr r="AW23" s="1"/>
        <tr r="AW25" s="1"/>
        <tr r="AW25" s="1"/>
        <tr r="AW29" s="1"/>
        <tr r="AW29" s="1"/>
      </tp>
      <tp t="s">
        <v>N/A</v>
        <stp/>
        <stp>OPEN_INT</stp>
        <stp>.OPEN251219P21</stp>
        <tr r="H6" s="1"/>
      </tp>
      <tp>
        <v>118</v>
        <stp/>
        <stp>OPEN_INT</stp>
        <stp>.OPEN251128P12</stp>
        <tr r="E24" s="1"/>
        <tr r="E24" s="1"/>
        <tr r="T20" s="2"/>
        <tr r="T20" s="2"/>
      </tp>
      <tp t="s">
        <v>N/A</v>
        <stp/>
        <stp>OPEN_INT</stp>
        <stp>.OPEN261218P21</stp>
        <tr r="W6" s="1"/>
      </tp>
      <tp t="s">
        <v>N/A</v>
        <stp/>
        <stp>OPEN_INT</stp>
        <stp>.OPEN251021P19</stp>
        <tr r="J6" s="2"/>
      </tp>
      <tp>
        <v>0</v>
        <stp/>
        <stp>OPEN_INT</stp>
        <stp>.OPEN251031P18</stp>
        <tr r="R8" s="2"/>
        <tr r="R8" s="2"/>
      </tp>
      <tp t="s">
        <v>N/A</v>
        <stp/>
        <stp>OPEN_INT</stp>
        <stp>.OPEN251020P19</stp>
        <tr r="I6" s="2"/>
      </tp>
      <tp t="s">
        <v>N/A</v>
        <stp/>
        <stp>OPEN_INT</stp>
        <stp>.OPEN251030P18</stp>
        <tr r="Q8" s="2"/>
      </tp>
      <tp t="s">
        <v>N/A</v>
        <stp/>
        <stp>OPEN_INT</stp>
        <stp>.OPEN251023P19</stp>
        <tr r="L6" s="2"/>
      </tp>
      <tp t="s">
        <v>N/A</v>
        <stp/>
        <stp>OPEN_INT</stp>
        <stp>.OPEN251022P19</stp>
        <tr r="K6" s="2"/>
      </tp>
      <tp>
        <v>0</v>
        <stp/>
        <stp>OPEN_INT</stp>
        <stp>.OPEN251024P19</stp>
        <tr r="M6" s="2"/>
        <tr r="M6" s="2"/>
      </tp>
      <tp t="s">
        <v>N/A</v>
        <stp/>
        <stp>OPEN_INT</stp>
        <stp>.OPEN251027P19</stp>
        <tr r="N6" s="2"/>
      </tp>
      <tp t="s">
        <v>N/A</v>
        <stp/>
        <stp>OPEN_INT</stp>
        <stp>.OPEN251029P19</stp>
        <tr r="P6" s="2"/>
      </tp>
      <tp t="s">
        <v>N/A</v>
        <stp/>
        <stp>OPEN_INT</stp>
        <stp>.OPEN251028P19</stp>
        <tr r="O6" s="2"/>
      </tp>
      <tp t="s">
        <v>N/A</v>
        <stp/>
        <stp>OPEN_INT</stp>
        <stp>.OPEN251021P18</stp>
        <tr r="J8" s="2"/>
      </tp>
      <tp>
        <v>0</v>
        <stp/>
        <stp>OPEN_INT</stp>
        <stp>.OPEN251031P19</stp>
        <tr r="R6" s="2"/>
        <tr r="R6" s="2"/>
      </tp>
      <tp t="s">
        <v>N/A</v>
        <stp/>
        <stp>OPEN_INT</stp>
        <stp>.OPEN251020P18</stp>
        <tr r="I8" s="2"/>
      </tp>
      <tp t="s">
        <v>N/A</v>
        <stp/>
        <stp>OPEN_INT</stp>
        <stp>.OPEN251030P19</stp>
        <tr r="Q6" s="2"/>
      </tp>
      <tp t="s">
        <v>N/A</v>
        <stp/>
        <stp>OPEN_INT</stp>
        <stp>.OPEN251023P18</stp>
        <tr r="L8" s="2"/>
      </tp>
      <tp t="s">
        <v>N/A</v>
        <stp/>
        <stp>OPEN_INT</stp>
        <stp>.OPEN251022P18</stp>
        <tr r="K8" s="2"/>
      </tp>
      <tp>
        <v>1</v>
        <stp/>
        <stp>OPEN_INT</stp>
        <stp>.OPEN251024P18</stp>
        <tr r="M8" s="2"/>
        <tr r="M8" s="2"/>
      </tp>
      <tp t="s">
        <v>N/A</v>
        <stp/>
        <stp>OPEN_INT</stp>
        <stp>.OPEN251027P18</stp>
        <tr r="N8" s="2"/>
      </tp>
      <tp t="s">
        <v>N/A</v>
        <stp/>
        <stp>OPEN_INT</stp>
        <stp>.OPEN251029P18</stp>
        <tr r="P8" s="2"/>
      </tp>
      <tp t="s">
        <v>N/A</v>
        <stp/>
        <stp>OPEN_INT</stp>
        <stp>.OPEN251028P18</stp>
        <tr r="O8" s="2"/>
      </tp>
      <tp>
        <v>0</v>
        <stp/>
        <stp>OPEN_INT</stp>
        <stp>.OPEN251010P18</stp>
        <tr r="C8" s="2"/>
        <tr r="C8" s="2"/>
      </tp>
      <tp t="s">
        <v>N/A</v>
        <stp/>
        <stp>OPEN_INT</stp>
        <stp>.OPEN251013P18</stp>
        <tr r="D8" s="2"/>
      </tp>
      <tp t="s">
        <v>N/A</v>
        <stp/>
        <stp>OPEN_INT</stp>
        <stp>.OPEN251015P18</stp>
        <tr r="F8" s="2"/>
      </tp>
      <tp t="s">
        <v>N/A</v>
        <stp/>
        <stp>OPEN_INT</stp>
        <stp>.OPEN261016P18</stp>
        <tr r="U12" s="1"/>
      </tp>
      <tp t="s">
        <v>N/A</v>
        <stp/>
        <stp>OPEN_INT</stp>
        <stp>.OPEN251014P18</stp>
        <tr r="E8" s="2"/>
      </tp>
      <tp>
        <v>0</v>
        <stp/>
        <stp>OPEN_INT</stp>
        <stp>.OPEN251017P18</stp>
        <tr r="H8" s="2"/>
        <tr r="H8" s="2"/>
      </tp>
      <tp t="s">
        <v>N/A</v>
        <stp/>
        <stp>OPEN_INT</stp>
        <stp>.OPEN251016P18</stp>
        <tr r="G8" s="2"/>
      </tp>
      <tp t="s">
        <v>N/A</v>
        <stp/>
        <stp>OPEN_INT</stp>
        <stp>.OPEN251009P19</stp>
        <tr r="B6" s="2"/>
      </tp>
      <tp>
        <v>9</v>
        <stp/>
        <stp>OPEN_INT</stp>
        <stp>.OPEN251010P19</stp>
        <tr r="C6" s="2"/>
        <tr r="C6" s="2"/>
      </tp>
      <tp t="s">
        <v>N/A</v>
        <stp/>
        <stp>OPEN_INT</stp>
        <stp>.OPEN251013P19</stp>
        <tr r="D6" s="2"/>
      </tp>
      <tp t="s">
        <v>N/A</v>
        <stp/>
        <stp>OPEN_INT</stp>
        <stp>.OPEN251015P19</stp>
        <tr r="F6" s="2"/>
      </tp>
      <tp t="s">
        <v>N/A</v>
        <stp/>
        <stp>OPEN_INT</stp>
        <stp>.OPEN261016P19</stp>
        <tr r="U10" s="1"/>
      </tp>
      <tp t="s">
        <v>N/A</v>
        <stp/>
        <stp>OPEN_INT</stp>
        <stp>.OPEN251014P19</stp>
        <tr r="E6" s="2"/>
      </tp>
      <tp>
        <v>2</v>
        <stp/>
        <stp>OPEN_INT</stp>
        <stp>.OPEN251017P19</stp>
        <tr r="H6" s="2"/>
        <tr r="H6" s="2"/>
      </tp>
      <tp t="s">
        <v>N/A</v>
        <stp/>
        <stp>OPEN_INT</stp>
        <stp>.OPEN251016P19</stp>
        <tr r="G6" s="2"/>
      </tp>
      <tp t="s">
        <v>N/A</v>
        <stp/>
        <stp>OPEN_INT</stp>
        <stp>.OPEN251009P18</stp>
        <tr r="B8" s="2"/>
      </tp>
      <tp t="s">
        <v>N/A</v>
        <stp/>
        <stp>OPEN_INT</stp>
        <stp>.OPEN251021P15</stp>
        <tr r="J14" s="2"/>
      </tp>
      <tp>
        <v>1</v>
        <stp/>
        <stp>OPEN_INT</stp>
        <stp>.OPEN251031P14</stp>
        <tr r="R16" s="2"/>
        <tr r="R16" s="2"/>
      </tp>
      <tp>
        <v>1</v>
        <stp/>
        <stp>OPEN_INT</stp>
        <stp>.OPEN251010P16</stp>
        <tr r="C12" s="2"/>
        <tr r="C12" s="2"/>
      </tp>
      <tp t="s">
        <v>N/A</v>
        <stp/>
        <stp>OPEN_INT</stp>
        <stp>.OPEN251020P15</stp>
        <tr r="I14" s="2"/>
      </tp>
      <tp t="s">
        <v>N/A</v>
        <stp/>
        <stp>OPEN_INT</stp>
        <stp>.OPEN251030P14</stp>
        <tr r="Q16" s="2"/>
      </tp>
      <tp t="s">
        <v>N/A</v>
        <stp/>
        <stp>OPEN_INT</stp>
        <stp>.OPEN251013P16</stp>
        <tr r="D12" s="2"/>
      </tp>
      <tp t="s">
        <v>N/A</v>
        <stp/>
        <stp>OPEN_INT</stp>
        <stp>.OPEN251023P15</stp>
        <tr r="L14" s="2"/>
      </tp>
      <tp t="s">
        <v>N/A</v>
        <stp/>
        <stp>OPEN_INT</stp>
        <stp>.OPEN251022P15</stp>
        <tr r="K14" s="2"/>
      </tp>
      <tp t="s">
        <v>N/A</v>
        <stp/>
        <stp>OPEN_INT</stp>
        <stp>.OPEN251015P16</stp>
        <tr r="F12" s="2"/>
      </tp>
      <tp t="s">
        <v>N/A</v>
        <stp/>
        <stp>OPEN_INT</stp>
        <stp>.OPEN261016P16</stp>
        <tr r="U16" s="1"/>
      </tp>
      <tp t="s">
        <v>N/A</v>
        <stp/>
        <stp>OPEN_INT</stp>
        <stp>.OPEN251014P16</stp>
        <tr r="E12" s="2"/>
      </tp>
      <tp>
        <v>1</v>
        <stp/>
        <stp>OPEN_INT</stp>
        <stp>.OPEN251024P15</stp>
        <tr r="M14" s="2"/>
        <tr r="M14" s="2"/>
      </tp>
      <tp>
        <v>8</v>
        <stp/>
        <stp>OPEN_INT</stp>
        <stp>.OPEN251017P16</stp>
        <tr r="H12" s="2"/>
        <tr r="H12" s="2"/>
      </tp>
      <tp t="s">
        <v>N/A</v>
        <stp/>
        <stp>OPEN_INT</stp>
        <stp>.OPEN251027P15</stp>
        <tr r="N14" s="2"/>
      </tp>
      <tp t="s">
        <v>N/A</v>
        <stp/>
        <stp>OPEN_INT</stp>
        <stp>.OPEN251016P16</stp>
        <tr r="G12" s="2"/>
      </tp>
      <tp t="s">
        <v>N/A</v>
        <stp/>
        <stp>OPEN_INT</stp>
        <stp>.OPEN251009P17</stp>
        <tr r="B10" s="2"/>
      </tp>
      <tp t="s">
        <v>N/A</v>
        <stp/>
        <stp>OPEN_INT</stp>
        <stp>.OPEN251029P15</stp>
        <tr r="P14" s="2"/>
      </tp>
      <tp t="s">
        <v>N/A</v>
        <stp/>
        <stp>OPEN_INT</stp>
        <stp>.OPEN251028P15</stp>
        <tr r="O14" s="2"/>
      </tp>
      <tp t="s">
        <v>N/A</v>
        <stp/>
        <stp>OPEN_INT</stp>
        <stp>.OPEN251021P14</stp>
        <tr r="J16" s="2"/>
      </tp>
      <tp>
        <v>1</v>
        <stp/>
        <stp>OPEN_INT</stp>
        <stp>.OPEN251031P15</stp>
        <tr r="R14" s="2"/>
        <tr r="R14" s="2"/>
      </tp>
      <tp>
        <v>1</v>
        <stp/>
        <stp>OPEN_INT</stp>
        <stp>.OPEN251010P17</stp>
        <tr r="C10" s="2"/>
        <tr r="C10" s="2"/>
      </tp>
      <tp t="s">
        <v>N/A</v>
        <stp/>
        <stp>OPEN_INT</stp>
        <stp>.OPEN251020P14</stp>
        <tr r="I16" s="2"/>
      </tp>
      <tp t="s">
        <v>N/A</v>
        <stp/>
        <stp>OPEN_INT</stp>
        <stp>.OPEN251030P15</stp>
        <tr r="Q14" s="2"/>
      </tp>
      <tp t="s">
        <v>N/A</v>
        <stp/>
        <stp>OPEN_INT</stp>
        <stp>.OPEN251013P17</stp>
        <tr r="D10" s="2"/>
      </tp>
      <tp t="s">
        <v>N/A</v>
        <stp/>
        <stp>OPEN_INT</stp>
        <stp>.OPEN251023P14</stp>
        <tr r="L16" s="2"/>
      </tp>
      <tp t="s">
        <v>N/A</v>
        <stp/>
        <stp>OPEN_INT</stp>
        <stp>.OPEN251022P14</stp>
        <tr r="K16" s="2"/>
      </tp>
      <tp t="s">
        <v>N/A</v>
        <stp/>
        <stp>OPEN_INT</stp>
        <stp>.OPEN251015P17</stp>
        <tr r="F10" s="2"/>
      </tp>
      <tp t="s">
        <v>N/A</v>
        <stp/>
        <stp>OPEN_INT</stp>
        <stp>.OPEN261016P17</stp>
        <tr r="U14" s="1"/>
      </tp>
      <tp t="s">
        <v>N/A</v>
        <stp/>
        <stp>OPEN_INT</stp>
        <stp>.OPEN251014P17</stp>
        <tr r="E10" s="2"/>
      </tp>
      <tp>
        <v>0</v>
        <stp/>
        <stp>OPEN_INT</stp>
        <stp>.OPEN251024P14</stp>
        <tr r="M16" s="2"/>
        <tr r="M16" s="2"/>
      </tp>
      <tp>
        <v>0</v>
        <stp/>
        <stp>OPEN_INT</stp>
        <stp>.OPEN251017P17</stp>
        <tr r="H10" s="2"/>
        <tr r="H10" s="2"/>
      </tp>
      <tp t="s">
        <v>N/A</v>
        <stp/>
        <stp>OPEN_INT</stp>
        <stp>.OPEN251027P14</stp>
        <tr r="N16" s="2"/>
      </tp>
      <tp t="s">
        <v>N/A</v>
        <stp/>
        <stp>OPEN_INT</stp>
        <stp>.OPEN251016P17</stp>
        <tr r="G10" s="2"/>
      </tp>
      <tp t="s">
        <v>N/A</v>
        <stp/>
        <stp>OPEN_INT</stp>
        <stp>.OPEN251009P16</stp>
        <tr r="B12" s="2"/>
      </tp>
      <tp t="s">
        <v>N/A</v>
        <stp/>
        <stp>OPEN_INT</stp>
        <stp>.OPEN251029P14</stp>
        <tr r="P16" s="2"/>
      </tp>
      <tp t="s">
        <v>N/A</v>
        <stp/>
        <stp>OPEN_INT</stp>
        <stp>.OPEN251028P14</stp>
        <tr r="O16" s="2"/>
      </tp>
      <tp t="s">
        <v>N/A</v>
        <stp/>
        <stp>OPEN_INT</stp>
        <stp>.OPEN251021P17</stp>
        <tr r="J10" s="2"/>
      </tp>
      <tp>
        <v>0</v>
        <stp/>
        <stp>OPEN_INT</stp>
        <stp>.OPEN251031P16</stp>
        <tr r="R12" s="2"/>
        <tr r="R12" s="2"/>
      </tp>
      <tp>
        <v>100</v>
        <stp/>
        <stp>OPEN_INT</stp>
        <stp>.OPEN251010P14</stp>
        <tr r="C16" s="2"/>
        <tr r="C16" s="2"/>
      </tp>
      <tp t="s">
        <v>N/A</v>
        <stp/>
        <stp>OPEN_INT</stp>
        <stp>.OPEN251020P17</stp>
        <tr r="I10" s="2"/>
      </tp>
      <tp t="s">
        <v>N/A</v>
        <stp/>
        <stp>OPEN_INT</stp>
        <stp>.OPEN251030P16</stp>
        <tr r="Q12" s="2"/>
      </tp>
      <tp t="s">
        <v>N/A</v>
        <stp/>
        <stp>OPEN_INT</stp>
        <stp>.OPEN251013P14</stp>
        <tr r="D16" s="2"/>
      </tp>
      <tp t="s">
        <v>N/A</v>
        <stp/>
        <stp>OPEN_INT</stp>
        <stp>.OPEN251023P17</stp>
        <tr r="L10" s="2"/>
      </tp>
      <tp t="s">
        <v>N/A</v>
        <stp/>
        <stp>OPEN_INT</stp>
        <stp>.OPEN251022P17</stp>
        <tr r="K10" s="2"/>
      </tp>
      <tp t="s">
        <v>N/A</v>
        <stp/>
        <stp>OPEN_INT</stp>
        <stp>.OPEN251015P14</stp>
        <tr r="F16" s="2"/>
      </tp>
      <tp t="s">
        <v>N/A</v>
        <stp/>
        <stp>OPEN_INT</stp>
        <stp>.OPEN261016P14</stp>
        <tr r="U20" s="1"/>
      </tp>
      <tp t="s">
        <v>N/A</v>
        <stp/>
        <stp>OPEN_INT</stp>
        <stp>.OPEN251014P14</stp>
        <tr r="E16" s="2"/>
      </tp>
      <tp>
        <v>1</v>
        <stp/>
        <stp>OPEN_INT</stp>
        <stp>.OPEN251024P17</stp>
        <tr r="M10" s="2"/>
        <tr r="M10" s="2"/>
      </tp>
      <tp>
        <v>3</v>
        <stp/>
        <stp>OPEN_INT</stp>
        <stp>.OPEN251017P14</stp>
        <tr r="H16" s="2"/>
        <tr r="H16" s="2"/>
      </tp>
      <tp t="s">
        <v>N/A</v>
        <stp/>
        <stp>OPEN_INT</stp>
        <stp>.OPEN251027P17</stp>
        <tr r="N10" s="2"/>
      </tp>
      <tp t="s">
        <v>N/A</v>
        <stp/>
        <stp>OPEN_INT</stp>
        <stp>.OPEN251016P14</stp>
        <tr r="G16" s="2"/>
      </tp>
      <tp t="s">
        <v>N/A</v>
        <stp/>
        <stp>OPEN_INT</stp>
        <stp>.OPEN251009P15</stp>
        <tr r="B14" s="2"/>
      </tp>
      <tp t="s">
        <v>N/A</v>
        <stp/>
        <stp>OPEN_INT</stp>
        <stp>.OPEN251029P17</stp>
        <tr r="P10" s="2"/>
      </tp>
      <tp t="s">
        <v>N/A</v>
        <stp/>
        <stp>OPEN_INT</stp>
        <stp>.OPEN251028P17</stp>
        <tr r="O10" s="2"/>
      </tp>
      <tp t="s">
        <v>N/A</v>
        <stp/>
        <stp>OPEN_INT</stp>
        <stp>.OPEN251021P16</stp>
        <tr r="J12" s="2"/>
      </tp>
      <tp>
        <v>0</v>
        <stp/>
        <stp>OPEN_INT</stp>
        <stp>.OPEN251031P17</stp>
        <tr r="R10" s="2"/>
        <tr r="R10" s="2"/>
      </tp>
      <tp>
        <v>4</v>
        <stp/>
        <stp>OPEN_INT</stp>
        <stp>.OPEN251010P15</stp>
        <tr r="C14" s="2"/>
        <tr r="C14" s="2"/>
      </tp>
      <tp t="s">
        <v>N/A</v>
        <stp/>
        <stp>OPEN_INT</stp>
        <stp>.OPEN251020P16</stp>
        <tr r="I12" s="2"/>
      </tp>
      <tp t="s">
        <v>N/A</v>
        <stp/>
        <stp>OPEN_INT</stp>
        <stp>.OPEN251030P17</stp>
        <tr r="Q10" s="2"/>
      </tp>
      <tp t="s">
        <v>N/A</v>
        <stp/>
        <stp>OPEN_INT</stp>
        <stp>.OPEN251013P15</stp>
        <tr r="D14" s="2"/>
      </tp>
      <tp t="s">
        <v>N/A</v>
        <stp/>
        <stp>OPEN_INT</stp>
        <stp>.OPEN251023P16</stp>
        <tr r="L12" s="2"/>
      </tp>
      <tp t="s">
        <v>N/A</v>
        <stp/>
        <stp>OPEN_INT</stp>
        <stp>.OPEN251022P16</stp>
        <tr r="K12" s="2"/>
      </tp>
      <tp t="s">
        <v>N/A</v>
        <stp/>
        <stp>OPEN_INT</stp>
        <stp>.OPEN251015P15</stp>
        <tr r="F14" s="2"/>
      </tp>
      <tp t="s">
        <v>N/A</v>
        <stp/>
        <stp>OPEN_INT</stp>
        <stp>.OPEN261016P15</stp>
        <tr r="U18" s="1"/>
      </tp>
      <tp t="s">
        <v>N/A</v>
        <stp/>
        <stp>OPEN_INT</stp>
        <stp>.OPEN251014P15</stp>
        <tr r="E14" s="2"/>
      </tp>
      <tp>
        <v>69</v>
        <stp/>
        <stp>OPEN_INT</stp>
        <stp>.OPEN251024P16</stp>
        <tr r="M12" s="2"/>
        <tr r="M12" s="2"/>
      </tp>
      <tp>
        <v>1</v>
        <stp/>
        <stp>OPEN_INT</stp>
        <stp>.OPEN251017P15</stp>
        <tr r="H14" s="2"/>
        <tr r="H14" s="2"/>
      </tp>
      <tp t="s">
        <v>N/A</v>
        <stp/>
        <stp>OPEN_INT</stp>
        <stp>.OPEN251027P16</stp>
        <tr r="N12" s="2"/>
      </tp>
      <tp t="s">
        <v>N/A</v>
        <stp/>
        <stp>OPEN_INT</stp>
        <stp>.OPEN251016P15</stp>
        <tr r="G14" s="2"/>
      </tp>
      <tp t="s">
        <v>N/A</v>
        <stp/>
        <stp>OPEN_INT</stp>
        <stp>.OPEN251009P14</stp>
        <tr r="B16" s="2"/>
      </tp>
      <tp t="s">
        <v>N/A</v>
        <stp/>
        <stp>OPEN_INT</stp>
        <stp>.OPEN251029P16</stp>
        <tr r="P12" s="2"/>
      </tp>
      <tp t="s">
        <v>N/A</v>
        <stp/>
        <stp>OPEN_INT</stp>
        <stp>.OPEN251028P16</stp>
        <tr r="O12" s="2"/>
      </tp>
      <tp t="s">
        <v>N/A</v>
        <stp/>
        <stp>OPEN_INT</stp>
        <stp>.OPEN251021P11</stp>
        <tr r="J22" s="2"/>
      </tp>
      <tp>
        <v>147</v>
        <stp/>
        <stp>OPEN_INT</stp>
        <stp>.OPEN251031P10</stp>
        <tr r="R24" s="2"/>
        <tr r="R24" s="2"/>
      </tp>
      <tp>
        <v>241</v>
        <stp/>
        <stp>OPEN_INT</stp>
        <stp>.OPEN251010P12</stp>
        <tr r="C20" s="2"/>
        <tr r="C20" s="2"/>
      </tp>
      <tp t="s">
        <v>N/A</v>
        <stp/>
        <stp>OPEN_INT</stp>
        <stp>.OPEN251020P11</stp>
        <tr r="I22" s="2"/>
      </tp>
      <tp t="s">
        <v>N/A</v>
        <stp/>
        <stp>OPEN_INT</stp>
        <stp>.OPEN251030P10</stp>
        <tr r="Q24" s="2"/>
      </tp>
      <tp t="s">
        <v>N/A</v>
        <stp/>
        <stp>OPEN_INT</stp>
        <stp>.OPEN251013P12</stp>
        <tr r="D20" s="2"/>
      </tp>
      <tp t="s">
        <v>N/A</v>
        <stp/>
        <stp>OPEN_INT</stp>
        <stp>.OPEN251023P11</stp>
        <tr r="L22" s="2"/>
      </tp>
      <tp t="s">
        <v>N/A</v>
        <stp/>
        <stp>OPEN_INT</stp>
        <stp>.OPEN251022P11</stp>
        <tr r="K22" s="2"/>
      </tp>
      <tp t="s">
        <v>N/A</v>
        <stp/>
        <stp>OPEN_INT</stp>
        <stp>.OPEN251015P12</stp>
        <tr r="F20" s="2"/>
      </tp>
      <tp t="s">
        <v>N/A</v>
        <stp/>
        <stp>OPEN_INT</stp>
        <stp>.OPEN261016P12</stp>
        <tr r="U24" s="1"/>
      </tp>
      <tp t="s">
        <v>N/A</v>
        <stp/>
        <stp>OPEN_INT</stp>
        <stp>.OPEN251014P12</stp>
        <tr r="E20" s="2"/>
      </tp>
      <tp>
        <v>168</v>
        <stp/>
        <stp>OPEN_INT</stp>
        <stp>.OPEN251024P11</stp>
        <tr r="M22" s="2"/>
        <tr r="M22" s="2"/>
      </tp>
      <tp>
        <v>78</v>
        <stp/>
        <stp>OPEN_INT</stp>
        <stp>.OPEN251017P12</stp>
        <tr r="H20" s="2"/>
        <tr r="H20" s="2"/>
      </tp>
      <tp t="s">
        <v>N/A</v>
        <stp/>
        <stp>OPEN_INT</stp>
        <stp>.OPEN251027P11</stp>
        <tr r="N22" s="2"/>
      </tp>
      <tp t="s">
        <v>N/A</v>
        <stp/>
        <stp>OPEN_INT</stp>
        <stp>.OPEN251016P12</stp>
        <tr r="G20" s="2"/>
      </tp>
      <tp t="s">
        <v>N/A</v>
        <stp/>
        <stp>OPEN_INT</stp>
        <stp>.OPEN251009P13</stp>
        <tr r="B18" s="2"/>
      </tp>
      <tp t="s">
        <v>N/A</v>
        <stp/>
        <stp>OPEN_INT</stp>
        <stp>.OPEN251029P11</stp>
        <tr r="P22" s="2"/>
      </tp>
      <tp t="s">
        <v>N/A</v>
        <stp/>
        <stp>OPEN_INT</stp>
        <stp>.OPEN251028P11</stp>
        <tr r="O22" s="2"/>
      </tp>
      <tp t="s">
        <v>N/A</v>
        <stp/>
        <stp>OPEN_INT</stp>
        <stp>.OPEN251021P10</stp>
        <tr r="J24" s="2"/>
      </tp>
      <tp>
        <v>50</v>
        <stp/>
        <stp>OPEN_INT</stp>
        <stp>.OPEN251031P11</stp>
        <tr r="R22" s="2"/>
        <tr r="R22" s="2"/>
      </tp>
      <tp>
        <v>325</v>
        <stp/>
        <stp>OPEN_INT</stp>
        <stp>.OPEN251010P13</stp>
        <tr r="C18" s="2"/>
        <tr r="C18" s="2"/>
      </tp>
      <tp t="s">
        <v>N/A</v>
        <stp/>
        <stp>OPEN_INT</stp>
        <stp>.OPEN251020P10</stp>
        <tr r="I24" s="2"/>
      </tp>
      <tp t="s">
        <v>N/A</v>
        <stp/>
        <stp>OPEN_INT</stp>
        <stp>.OPEN251030P11</stp>
        <tr r="Q22" s="2"/>
      </tp>
      <tp t="s">
        <v>N/A</v>
        <stp/>
        <stp>OPEN_INT</stp>
        <stp>.OPEN251013P13</stp>
        <tr r="D18" s="2"/>
      </tp>
      <tp t="s">
        <v>N/A</v>
        <stp/>
        <stp>OPEN_INT</stp>
        <stp>.OPEN251023P10</stp>
        <tr r="L24" s="2"/>
      </tp>
      <tp t="s">
        <v>N/A</v>
        <stp/>
        <stp>OPEN_INT</stp>
        <stp>.OPEN251022P10</stp>
        <tr r="K24" s="2"/>
      </tp>
      <tp t="s">
        <v>N/A</v>
        <stp/>
        <stp>OPEN_INT</stp>
        <stp>.OPEN251015P13</stp>
        <tr r="F18" s="2"/>
      </tp>
      <tp t="s">
        <v>N/A</v>
        <stp/>
        <stp>OPEN_INT</stp>
        <stp>.OPEN261016P13</stp>
        <tr r="U22" s="1"/>
      </tp>
      <tp t="s">
        <v>N/A</v>
        <stp/>
        <stp>OPEN_INT</stp>
        <stp>.OPEN251014P13</stp>
        <tr r="E18" s="2"/>
      </tp>
      <tp>
        <v>348</v>
        <stp/>
        <stp>OPEN_INT</stp>
        <stp>.OPEN251024P10</stp>
        <tr r="M24" s="2"/>
        <tr r="M24" s="2"/>
      </tp>
      <tp>
        <v>40</v>
        <stp/>
        <stp>OPEN_INT</stp>
        <stp>.OPEN251017P13</stp>
        <tr r="H18" s="2"/>
        <tr r="H18" s="2"/>
      </tp>
      <tp t="s">
        <v>N/A</v>
        <stp/>
        <stp>OPEN_INT</stp>
        <stp>.OPEN251027P10</stp>
        <tr r="N24" s="2"/>
      </tp>
      <tp t="s">
        <v>N/A</v>
        <stp/>
        <stp>OPEN_INT</stp>
        <stp>.OPEN251016P13</stp>
        <tr r="G18" s="2"/>
      </tp>
      <tp t="s">
        <v>N/A</v>
        <stp/>
        <stp>OPEN_INT</stp>
        <stp>.OPEN251009P12</stp>
        <tr r="B20" s="2"/>
      </tp>
      <tp t="s">
        <v>N/A</v>
        <stp/>
        <stp>OPEN_INT</stp>
        <stp>.OPEN251029P10</stp>
        <tr r="P24" s="2"/>
      </tp>
      <tp t="s">
        <v>N/A</v>
        <stp/>
        <stp>OPEN_INT</stp>
        <stp>.OPEN251028P10</stp>
        <tr r="O24" s="2"/>
      </tp>
      <tp t="s">
        <v>N/A</v>
        <stp/>
        <stp>OPEN_INT</stp>
        <stp>.OPEN251021P13</stp>
        <tr r="J18" s="2"/>
      </tp>
      <tp>
        <v>153</v>
        <stp/>
        <stp>OPEN_INT</stp>
        <stp>.OPEN251031P12</stp>
        <tr r="R20" s="2"/>
        <tr r="R20" s="2"/>
      </tp>
      <tp>
        <v>4030</v>
        <stp/>
        <stp>OPEN_INT</stp>
        <stp>.OPEN251010P10</stp>
        <tr r="C24" s="2"/>
        <tr r="C24" s="2"/>
      </tp>
      <tp t="s">
        <v>N/A</v>
        <stp/>
        <stp>OPEN_INT</stp>
        <stp>.OPEN251020P13</stp>
        <tr r="I18" s="2"/>
      </tp>
      <tp t="s">
        <v>N/A</v>
        <stp/>
        <stp>OPEN_INT</stp>
        <stp>.OPEN251030P12</stp>
        <tr r="Q20" s="2"/>
      </tp>
      <tp t="s">
        <v>N/A</v>
        <stp/>
        <stp>OPEN_INT</stp>
        <stp>.OPEN251013P10</stp>
        <tr r="D24" s="2"/>
      </tp>
      <tp t="s">
        <v>N/A</v>
        <stp/>
        <stp>OPEN_INT</stp>
        <stp>.OPEN251023P13</stp>
        <tr r="L18" s="2"/>
      </tp>
      <tp t="s">
        <v>N/A</v>
        <stp/>
        <stp>OPEN_INT</stp>
        <stp>.OPEN251022P13</stp>
        <tr r="K18" s="2"/>
      </tp>
      <tp t="s">
        <v>N/A</v>
        <stp/>
        <stp>OPEN_INT</stp>
        <stp>.OPEN251015P10</stp>
        <tr r="F24" s="2"/>
      </tp>
      <tp t="s">
        <v>N/A</v>
        <stp/>
        <stp>OPEN_INT</stp>
        <stp>.OPEN261016P10</stp>
        <tr r="U28" s="1"/>
      </tp>
      <tp t="s">
        <v>N/A</v>
        <stp/>
        <stp>OPEN_INT</stp>
        <stp>.OPEN251014P10</stp>
        <tr r="E24" s="2"/>
      </tp>
      <tp>
        <v>35</v>
        <stp/>
        <stp>OPEN_INT</stp>
        <stp>.OPEN251024P13</stp>
        <tr r="M18" s="2"/>
        <tr r="M18" s="2"/>
      </tp>
      <tp>
        <v>14793</v>
        <stp/>
        <stp>OPEN_INT</stp>
        <stp>.OPEN251017P10</stp>
        <tr r="H24" s="2"/>
        <tr r="H24" s="2"/>
      </tp>
      <tp t="s">
        <v>N/A</v>
        <stp/>
        <stp>OPEN_INT</stp>
        <stp>.OPEN251027P13</stp>
        <tr r="N18" s="2"/>
      </tp>
      <tp t="s">
        <v>N/A</v>
        <stp/>
        <stp>OPEN_INT</stp>
        <stp>.OPEN251016P10</stp>
        <tr r="G24" s="2"/>
      </tp>
      <tp t="s">
        <v>N/A</v>
        <stp/>
        <stp>OPEN_INT</stp>
        <stp>.OPEN251009P11</stp>
        <tr r="B22" s="2"/>
      </tp>
      <tp t="s">
        <v>N/A</v>
        <stp/>
        <stp>OPEN_INT</stp>
        <stp>.OPEN251029P13</stp>
        <tr r="P18" s="2"/>
      </tp>
      <tp t="s">
        <v>N/A</v>
        <stp/>
        <stp>OPEN_INT</stp>
        <stp>.OPEN251028P13</stp>
        <tr r="O18" s="2"/>
      </tp>
      <tp t="s">
        <v>N/A</v>
        <stp/>
        <stp>OPEN_INT</stp>
        <stp>.OPEN251021P12</stp>
        <tr r="J20" s="2"/>
      </tp>
      <tp>
        <v>0</v>
        <stp/>
        <stp>OPEN_INT</stp>
        <stp>.OPEN251031P13</stp>
        <tr r="R18" s="2"/>
        <tr r="R18" s="2"/>
      </tp>
      <tp>
        <v>229</v>
        <stp/>
        <stp>OPEN_INT</stp>
        <stp>.OPEN251010P11</stp>
        <tr r="C22" s="2"/>
        <tr r="C22" s="2"/>
      </tp>
      <tp t="s">
        <v>N/A</v>
        <stp/>
        <stp>OPEN_INT</stp>
        <stp>.OPEN251020P12</stp>
        <tr r="I20" s="2"/>
      </tp>
      <tp t="s">
        <v>N/A</v>
        <stp/>
        <stp>OPEN_INT</stp>
        <stp>.OPEN251030P13</stp>
        <tr r="Q18" s="2"/>
      </tp>
      <tp t="s">
        <v>N/A</v>
        <stp/>
        <stp>OPEN_INT</stp>
        <stp>.OPEN251013P11</stp>
        <tr r="D22" s="2"/>
      </tp>
      <tp t="s">
        <v>N/A</v>
        <stp/>
        <stp>OPEN_INT</stp>
        <stp>.OPEN251023P12</stp>
        <tr r="L20" s="2"/>
      </tp>
      <tp t="s">
        <v>N/A</v>
        <stp/>
        <stp>OPEN_INT</stp>
        <stp>.OPEN251022P12</stp>
        <tr r="K20" s="2"/>
      </tp>
      <tp t="s">
        <v>N/A</v>
        <stp/>
        <stp>OPEN_INT</stp>
        <stp>.OPEN251015P11</stp>
        <tr r="F22" s="2"/>
      </tp>
      <tp t="s">
        <v>N/A</v>
        <stp/>
        <stp>OPEN_INT</stp>
        <stp>.OPEN261016P11</stp>
        <tr r="U26" s="1"/>
      </tp>
      <tp t="s">
        <v>N/A</v>
        <stp/>
        <stp>OPEN_INT</stp>
        <stp>.OPEN251014P11</stp>
        <tr r="E22" s="2"/>
      </tp>
      <tp>
        <v>10</v>
        <stp/>
        <stp>OPEN_INT</stp>
        <stp>.OPEN251024P12</stp>
        <tr r="M20" s="2"/>
        <tr r="M20" s="2"/>
      </tp>
      <tp>
        <v>275</v>
        <stp/>
        <stp>OPEN_INT</stp>
        <stp>.OPEN251017P11</stp>
        <tr r="H22" s="2"/>
        <tr r="H22" s="2"/>
      </tp>
      <tp t="s">
        <v>N/A</v>
        <stp/>
        <stp>OPEN_INT</stp>
        <stp>.OPEN251027P12</stp>
        <tr r="N20" s="2"/>
      </tp>
      <tp t="s">
        <v>N/A</v>
        <stp/>
        <stp>OPEN_INT</stp>
        <stp>.OPEN251016P11</stp>
        <tr r="G22" s="2"/>
      </tp>
      <tp t="s">
        <v>N/A</v>
        <stp/>
        <stp>OPEN_INT</stp>
        <stp>.OPEN251009P10</stp>
        <tr r="B24" s="2"/>
      </tp>
      <tp t="s">
        <v>N/A</v>
        <stp/>
        <stp>OPEN_INT</stp>
        <stp>.OPEN251029P12</stp>
        <tr r="P20" s="2"/>
      </tp>
      <tp t="s">
        <v>N/A</v>
        <stp/>
        <stp>OPEN_INT</stp>
        <stp>.OPEN251028P12</stp>
        <tr r="O20" s="2"/>
      </tp>
      <tp t="s">
        <v>N/A</v>
        <stp/>
        <stp>OPEN_INT</stp>
        <stp>.OPEN251226P-1</stp>
        <tr r="I50" s="1"/>
      </tp>
      <tp t="s">
        <v>N/A</v>
        <stp/>
        <stp>OPEN_INT</stp>
        <stp>.OPEN251219P-2</stp>
        <tr r="U48" s="2"/>
      </tp>
      <tp t="s">
        <v>N/A</v>
        <stp/>
        <stp>OPEN_INT</stp>
        <stp>.OPEN251231P-1</stp>
        <tr r="V46" s="2"/>
      </tp>
      <tp t="s">
        <v>N/A</v>
        <stp/>
        <stp>OPEN_INT</stp>
        <stp>.OPEN251219P-3</stp>
        <tr r="U50" s="2"/>
      </tp>
      <tp t="s">
        <v>N/A</v>
        <stp/>
        <stp>OPEN_INT</stp>
        <stp>.OPEN251231P-2</stp>
        <tr r="V48" s="2"/>
      </tp>
      <tp t="s">
        <v>N/A</v>
        <stp/>
        <stp>OPEN_INT</stp>
        <stp>.OPEN251205P-1</stp>
        <tr r="F50" s="1"/>
      </tp>
      <tp t="s">
        <v>N/A</v>
        <stp/>
        <stp>OPEN_INT</stp>
        <stp>.OPEN251231P-3</stp>
        <tr r="V50" s="2"/>
      </tp>
      <tp t="s">
        <v>N/A</v>
        <stp/>
        <stp>OPEN_INT</stp>
        <stp>.OPEN251212P-1</stp>
        <tr r="G50" s="1"/>
      </tp>
      <tp t="s">
        <v>N/A</v>
        <stp/>
        <stp>OPEN_INT</stp>
        <stp>.OPEN251219P-1</stp>
        <tr r="H50" s="1"/>
        <tr r="U46" s="2"/>
      </tp>
      <tp t="s">
        <v>N/A</v>
        <stp/>
        <stp>OPEN_INT</stp>
        <stp>.OPEN261218P-1</stp>
        <tr r="W50" s="1"/>
      </tp>
      <tp t="s">
        <v>N/A</v>
        <stp/>
        <stp>OPEN_INT</stp>
        <stp>.OPEN251121P-1</stp>
        <tr r="D50" s="1"/>
        <tr r="S46" s="2"/>
      </tp>
      <tp t="s">
        <v>N/A</v>
        <stp/>
        <stp>OPEN_INT</stp>
        <stp>.OPEN261120P-1</stp>
        <tr r="V50" s="1"/>
      </tp>
      <tp t="s">
        <v>N/A</v>
        <stp/>
        <stp>OPEN_INT</stp>
        <stp>.OPEN251128P-1</stp>
        <tr r="E50" s="1"/>
        <tr r="T46" s="2"/>
      </tp>
      <tp t="s">
        <v>N/A</v>
        <stp/>
        <stp>OPEN_INT</stp>
        <stp>.OPEN251121P-3</stp>
        <tr r="S50" s="2"/>
      </tp>
      <tp t="s">
        <v>N/A</v>
        <stp/>
        <stp>OPEN_INT</stp>
        <stp>.OPEN251128P-3</stp>
        <tr r="T50" s="2"/>
      </tp>
      <tp t="s">
        <v>N/A</v>
        <stp/>
        <stp>OPEN_INT</stp>
        <stp>.OPEN251121P-2</stp>
        <tr r="S48" s="2"/>
      </tp>
      <tp t="s">
        <v>N/A</v>
        <stp/>
        <stp>OPEN_INT</stp>
        <stp>.OPEN251114P-1</stp>
        <tr r="BV52" s="5"/>
        <tr r="C50" s="1"/>
        <tr r="BU52" s="1"/>
        <tr r="BV51" s="5"/>
        <tr r="BV49" s="5"/>
        <tr r="BV9" s="5"/>
        <tr r="BV45" s="5"/>
        <tr r="BV43" s="5"/>
        <tr r="BV15" s="5"/>
        <tr r="BV17" s="5"/>
        <tr r="BV19" s="5"/>
        <tr r="BV35" s="5"/>
        <tr r="BV23" s="5"/>
        <tr r="BV31" s="5"/>
        <tr r="BV29" s="5"/>
        <tr r="BU51" s="1"/>
        <tr r="BU6" s="1"/>
        <tr r="BU48" s="1"/>
        <tr r="BU46" s="1"/>
        <tr r="BU44" s="1"/>
        <tr r="BU42" s="1"/>
        <tr r="BU16" s="1"/>
        <tr r="BU18" s="1"/>
        <tr r="BU36" s="1"/>
        <tr r="BU22" s="1"/>
        <tr r="BU32" s="1"/>
        <tr r="BU26" s="1"/>
        <tr r="BU28" s="1"/>
        <tr r="BV48" s="5"/>
        <tr r="BV46" s="5"/>
        <tr r="BV12" s="5"/>
        <tr r="BV14" s="5"/>
        <tr r="BV40" s="5"/>
        <tr r="BV18" s="5"/>
        <tr r="BV20" s="5"/>
        <tr r="BV22" s="5"/>
        <tr r="BV32" s="5"/>
        <tr r="BV30" s="5"/>
        <tr r="BV28" s="5"/>
        <tr r="BU50" s="1"/>
        <tr r="BU8" s="1"/>
        <tr r="BU10" s="1"/>
        <tr r="BU12" s="1"/>
        <tr r="BU14" s="1"/>
        <tr r="BU40" s="1"/>
        <tr r="BU38" s="1"/>
        <tr r="BU20" s="1"/>
        <tr r="BU34" s="1"/>
        <tr r="BU24" s="1"/>
        <tr r="BU30" s="1"/>
        <tr r="BV6" s="5"/>
        <tr r="BV50" s="5"/>
        <tr r="BV8" s="5"/>
        <tr r="BV10" s="5"/>
        <tr r="BV44" s="5"/>
        <tr r="BV42" s="5"/>
        <tr r="BV16" s="5"/>
        <tr r="BV38" s="5"/>
        <tr r="BV36" s="5"/>
        <tr r="BV34" s="5"/>
        <tr r="BV24" s="5"/>
        <tr r="BV26" s="5"/>
        <tr r="BU5" s="1"/>
        <tr r="BU49" s="1"/>
        <tr r="BU47" s="1"/>
        <tr r="BU45" s="1"/>
        <tr r="BU13" s="1"/>
        <tr r="BU41" s="1"/>
        <tr r="BU39" s="1"/>
        <tr r="BU37" s="1"/>
        <tr r="BU21" s="1"/>
        <tr r="BU33" s="1"/>
        <tr r="BU31" s="1"/>
        <tr r="BU29" s="1"/>
        <tr r="BV5" s="5"/>
        <tr r="BV7" s="5"/>
        <tr r="BV47" s="5"/>
        <tr r="BV11" s="5"/>
        <tr r="BV13" s="5"/>
        <tr r="BV41" s="5"/>
        <tr r="BV39" s="5"/>
        <tr r="BV37" s="5"/>
        <tr r="BV21" s="5"/>
        <tr r="BV33" s="5"/>
        <tr r="BV25" s="5"/>
        <tr r="BV27" s="5"/>
        <tr r="BU7" s="1"/>
        <tr r="BU9" s="1"/>
        <tr r="BU11" s="1"/>
        <tr r="BU43" s="1"/>
        <tr r="BU15" s="1"/>
        <tr r="BU17" s="1"/>
        <tr r="BU19" s="1"/>
        <tr r="BU35" s="1"/>
        <tr r="BU23" s="1"/>
        <tr r="BU25" s="1"/>
        <tr r="BU27" s="1"/>
      </tp>
      <tp t="s">
        <v>N/A</v>
        <stp/>
        <stp>OPEN_INT</stp>
        <stp>.OPEN251128P-2</stp>
        <tr r="T48" s="2"/>
      </tp>
      <tp t="s">
        <v>N/A</v>
        <stp/>
        <stp>OPEN_INT</stp>
        <stp>.OPEN251021P-1</stp>
        <tr r="J46" s="2"/>
      </tp>
      <tp t="s">
        <v>N/A</v>
        <stp/>
        <stp>OPEN_INT</stp>
        <stp>.OPEN251010P-2</stp>
        <tr r="C48" s="2"/>
      </tp>
      <tp t="s">
        <v>N/A</v>
        <stp/>
        <stp>OPEN_INT</stp>
        <stp>.OPEN251020P-1</stp>
        <tr r="I46" s="2"/>
      </tp>
      <tp t="s">
        <v>N/A</v>
        <stp/>
        <stp>OPEN_INT</stp>
        <stp>.OPEN251013P-2</stp>
        <tr r="D48" s="2"/>
      </tp>
      <tp t="s">
        <v>N/A</v>
        <stp/>
        <stp>OPEN_INT</stp>
        <stp>.OPEN251023P-1</stp>
        <tr r="L46" s="2"/>
      </tp>
      <tp t="s">
        <v>N/A</v>
        <stp/>
        <stp>OPEN_INT</stp>
        <stp>.OPEN251022P-1</stp>
        <tr r="K46" s="2"/>
      </tp>
      <tp t="s">
        <v>N/A</v>
        <stp/>
        <stp>OPEN_INT</stp>
        <stp>.OPEN251015P-2</stp>
        <tr r="F48" s="2"/>
      </tp>
      <tp t="s">
        <v>N/A</v>
        <stp/>
        <stp>OPEN_INT</stp>
        <stp>.OPEN251014P-2</stp>
        <tr r="E48" s="2"/>
      </tp>
      <tp t="s">
        <v>N/A</v>
        <stp/>
        <stp>OPEN_INT</stp>
        <stp>.OPEN251024P-1</stp>
        <tr r="M46" s="2"/>
      </tp>
      <tp t="s">
        <v>N/A</v>
        <stp/>
        <stp>OPEN_INT</stp>
        <stp>.OPEN251017P-2</stp>
        <tr r="H48" s="2"/>
      </tp>
      <tp t="s">
        <v>N/A</v>
        <stp/>
        <stp>OPEN_INT</stp>
        <stp>.OPEN251027P-1</stp>
        <tr r="N46" s="2"/>
      </tp>
      <tp t="s">
        <v>N/A</v>
        <stp/>
        <stp>OPEN_INT</stp>
        <stp>.OPEN251016P-2</stp>
        <tr r="G48" s="2"/>
      </tp>
      <tp t="s">
        <v>N/A</v>
        <stp/>
        <stp>OPEN_INT</stp>
        <stp>.OPEN251009P-3</stp>
        <tr r="B50" s="2"/>
      </tp>
      <tp t="s">
        <v>N/A</v>
        <stp/>
        <stp>OPEN_INT</stp>
        <stp>.OPEN251029P-1</stp>
        <tr r="P46" s="2"/>
      </tp>
      <tp t="s">
        <v>N/A</v>
        <stp/>
        <stp>OPEN_INT</stp>
        <stp>.OPEN251028P-1</stp>
        <tr r="O46" s="2"/>
      </tp>
      <tp t="s">
        <v>N/A</v>
        <stp/>
        <stp>OPEN_INT</stp>
        <stp>.OPEN251031P-1</stp>
        <tr r="R46" s="2"/>
      </tp>
      <tp t="s">
        <v>N/A</v>
        <stp/>
        <stp>OPEN_INT</stp>
        <stp>.OPEN251010P-3</stp>
        <tr r="C50" s="2"/>
      </tp>
      <tp t="s">
        <v>N/A</v>
        <stp/>
        <stp>OPEN_INT</stp>
        <stp>.OPEN251030P-1</stp>
        <tr r="Q46" s="2"/>
      </tp>
      <tp t="s">
        <v>N/A</v>
        <stp/>
        <stp>OPEN_INT</stp>
        <stp>.OPEN251013P-3</stp>
        <tr r="D50" s="2"/>
      </tp>
      <tp t="s">
        <v>N/A</v>
        <stp/>
        <stp>OPEN_INT</stp>
        <stp>.OPEN251015P-3</stp>
        <tr r="F50" s="2"/>
      </tp>
      <tp t="s">
        <v>N/A</v>
        <stp/>
        <stp>OPEN_INT</stp>
        <stp>.OPEN251014P-3</stp>
        <tr r="E50" s="2"/>
      </tp>
      <tp t="s">
        <v>N/A</v>
        <stp/>
        <stp>OPEN_INT</stp>
        <stp>.OPEN251017P-3</stp>
        <tr r="H50" s="2"/>
      </tp>
      <tp t="s">
        <v>N/A</v>
        <stp/>
        <stp>OPEN_INT</stp>
        <stp>.OPEN251016P-3</stp>
        <tr r="G50" s="2"/>
      </tp>
      <tp t="s">
        <v>N/A</v>
        <stp/>
        <stp>OPEN_INT</stp>
        <stp>.OPEN251009P-2</stp>
        <tr r="B48" s="2"/>
      </tp>
      <tp t="s">
        <v>N/A</v>
        <stp/>
        <stp>OPEN_INT</stp>
        <stp>.OPEN251021P-3</stp>
        <tr r="J50" s="2"/>
      </tp>
      <tp t="s">
        <v>N/A</v>
        <stp/>
        <stp>OPEN_INT</stp>
        <stp>.OPEN251031P-2</stp>
        <tr r="R48" s="2"/>
      </tp>
      <tp t="s">
        <v>N/A</v>
        <stp/>
        <stp>OPEN_INT</stp>
        <stp>.OPEN251020P-3</stp>
        <tr r="I50" s="2"/>
      </tp>
      <tp t="s">
        <v>N/A</v>
        <stp/>
        <stp>OPEN_INT</stp>
        <stp>.OPEN251030P-2</stp>
        <tr r="Q48" s="2"/>
      </tp>
      <tp t="s">
        <v>N/A</v>
        <stp/>
        <stp>OPEN_INT</stp>
        <stp>.OPEN251023P-3</stp>
        <tr r="L50" s="2"/>
      </tp>
      <tp t="s">
        <v>N/A</v>
        <stp/>
        <stp>OPEN_INT</stp>
        <stp>.OPEN251022P-3</stp>
        <tr r="K50" s="2"/>
      </tp>
      <tp t="s">
        <v>N/A</v>
        <stp/>
        <stp>OPEN_INT</stp>
        <stp>.OPEN251024P-3</stp>
        <tr r="M50" s="2"/>
      </tp>
      <tp t="s">
        <v>N/A</v>
        <stp/>
        <stp>OPEN_INT</stp>
        <stp>.OPEN251027P-3</stp>
        <tr r="N50" s="2"/>
      </tp>
      <tp t="s">
        <v>N/A</v>
        <stp/>
        <stp>OPEN_INT</stp>
        <stp>.OPEN251009P-1</stp>
        <tr r="B46" s="2"/>
      </tp>
      <tp t="s">
        <v>N/A</v>
        <stp/>
        <stp>OPEN_INT</stp>
        <stp>.OPEN251029P-3</stp>
        <tr r="P50" s="2"/>
      </tp>
      <tp t="s">
        <v>N/A</v>
        <stp/>
        <stp>OPEN_INT</stp>
        <stp>.OPEN251028P-3</stp>
        <tr r="O50" s="2"/>
      </tp>
      <tp t="s">
        <v>N/A</v>
        <stp/>
        <stp>OPEN_INT</stp>
        <stp>.OPEN251021P-2</stp>
        <tr r="J48" s="2"/>
      </tp>
      <tp t="s">
        <v>N/A</v>
        <stp/>
        <stp>OPEN_INT</stp>
        <stp>.OPEN251031P-3</stp>
        <tr r="R50" s="2"/>
      </tp>
      <tp t="s">
        <v>N/A</v>
        <stp/>
        <stp>OPEN_INT</stp>
        <stp>.OPEN251010P-1</stp>
        <tr r="C46" s="2"/>
      </tp>
      <tp t="s">
        <v>N/A</v>
        <stp/>
        <stp>OPEN_INT</stp>
        <stp>.OPEN251020P-2</stp>
        <tr r="I48" s="2"/>
      </tp>
      <tp t="s">
        <v>N/A</v>
        <stp/>
        <stp>OPEN_INT</stp>
        <stp>.OPEN251030P-3</stp>
        <tr r="Q50" s="2"/>
      </tp>
      <tp t="s">
        <v>N/A</v>
        <stp/>
        <stp>OPEN_INT</stp>
        <stp>.OPEN251013P-1</stp>
        <tr r="D46" s="2"/>
      </tp>
      <tp t="s">
        <v>N/A</v>
        <stp/>
        <stp>OPEN_INT</stp>
        <stp>.OPEN251023P-2</stp>
        <tr r="L48" s="2"/>
      </tp>
      <tp t="s">
        <v>N/A</v>
        <stp/>
        <stp>OPEN_INT</stp>
        <stp>.OPEN251022P-2</stp>
        <tr r="K48" s="2"/>
      </tp>
      <tp t="s">
        <v>N/A</v>
        <stp/>
        <stp>OPEN_INT</stp>
        <stp>.OPEN251015P-1</stp>
        <tr r="F46" s="2"/>
      </tp>
      <tp t="s">
        <v>N/A</v>
        <stp/>
        <stp>OPEN_INT</stp>
        <stp>.OPEN261016P-1</stp>
        <tr r="U50" s="1"/>
      </tp>
      <tp t="s">
        <v>N/A</v>
        <stp/>
        <stp>OPEN_INT</stp>
        <stp>.OPEN251014P-1</stp>
        <tr r="E46" s="2"/>
      </tp>
      <tp t="s">
        <v>N/A</v>
        <stp/>
        <stp>OPEN_INT</stp>
        <stp>.OPEN251024P-2</stp>
        <tr r="M48" s="2"/>
      </tp>
      <tp t="s">
        <v>N/A</v>
        <stp/>
        <stp>OPEN_INT</stp>
        <stp>.OPEN251017P-1</stp>
        <tr r="H46" s="2"/>
      </tp>
      <tp t="s">
        <v>N/A</v>
        <stp/>
        <stp>OPEN_INT</stp>
        <stp>.OPEN251027P-2</stp>
        <tr r="N48" s="2"/>
      </tp>
      <tp t="s">
        <v>N/A</v>
        <stp/>
        <stp>OPEN_INT</stp>
        <stp>.OPEN251016P-1</stp>
        <tr r="G46" s="2"/>
      </tp>
      <tp t="s">
        <v>N/A</v>
        <stp/>
        <stp>OPEN_INT</stp>
        <stp>.OPEN251029P-2</stp>
        <tr r="P48" s="2"/>
      </tp>
      <tp t="s">
        <v>N/A</v>
        <stp/>
        <stp>OPEN_INT</stp>
        <stp>.OPEN251028P-2</stp>
        <tr r="O48" s="2"/>
      </tp>
      <tp>
        <v>8.01</v>
        <stp/>
        <stp>MARK</stp>
        <stp>OPEN</stp>
        <tr r="A4" s="2"/>
        <tr r="A4" s="5"/>
        <tr r="A4" s="1"/>
      </tp>
      <tp t="s">
        <v>N/A</v>
        <stp/>
        <stp>OPEN_INT</stp>
        <stp>.OPENC-1</stp>
        <tr r="B50" s="1"/>
      </tp>
      <tp t="s">
        <v>N/A</v>
        <stp/>
        <stp>OPEN_INT</stp>
        <stp>.OPENC16</stp>
        <tr r="B16" s="1"/>
      </tp>
      <tp t="s">
        <v>N/A</v>
        <stp/>
        <stp>OPEN_INT</stp>
        <stp>.OPENC17</stp>
        <tr r="B14" s="1"/>
      </tp>
      <tp t="s">
        <v>N/A</v>
        <stp/>
        <stp>OPEN_INT</stp>
        <stp>.OPENC14</stp>
        <tr r="B20" s="1"/>
      </tp>
      <tp t="s">
        <v>N/A</v>
        <stp/>
        <stp>OPEN_INT</stp>
        <stp>.OPENC15</stp>
        <tr r="B18" s="1"/>
      </tp>
      <tp t="s">
        <v>N/A</v>
        <stp/>
        <stp>OPEN_INT</stp>
        <stp>.OPENC12</stp>
        <tr r="B24" s="1"/>
      </tp>
      <tp t="s">
        <v>N/A</v>
        <stp/>
        <stp>OPEN_INT</stp>
        <stp>.OPENC13</stp>
        <tr r="B22" s="1"/>
      </tp>
      <tp t="s">
        <v>N/A</v>
        <stp/>
        <stp>OPEN_INT</stp>
        <stp>.OPENC10</stp>
        <tr r="B28" s="1"/>
      </tp>
      <tp t="s">
        <v>N/A</v>
        <stp/>
        <stp>OPEN_INT</stp>
        <stp>.OPENC11</stp>
        <tr r="B26" s="1"/>
      </tp>
      <tp t="s">
        <v>N/A</v>
        <stp/>
        <stp>OPEN_INT</stp>
        <stp>.OPENC18</stp>
        <tr r="B12" s="1"/>
      </tp>
      <tp t="s">
        <v>N/A</v>
        <stp/>
        <stp>OPEN_INT</stp>
        <stp>.OPENC19</stp>
        <tr r="B10" s="1"/>
      </tp>
      <tp t="s">
        <v>N/A</v>
        <stp/>
        <stp>OPEN_INT</stp>
        <stp>.OPENC20</stp>
        <tr r="B8" s="1"/>
      </tp>
      <tp t="s">
        <v>N/A</v>
        <stp/>
        <stp>OPEN_INT</stp>
        <stp>.OPENC21</stp>
        <tr r="B6" s="1"/>
      </tp>
      <tp t="s">
        <v>N/A</v>
        <stp/>
        <stp>VOLUME</stp>
        <stp>.OPEN251128P4.5</stp>
        <tr r="E39" s="5"/>
      </tp>
      <tp t="s">
        <v>N/A</v>
        <stp/>
        <stp>VOLUME</stp>
        <stp>.OPEN251128C4.5</stp>
        <tr r="E39" s="5"/>
      </tp>
      <tp t="s">
        <v>N/A</v>
        <stp/>
        <stp>VOLUME</stp>
        <stp>.OPEN251226P7.5</stp>
        <tr r="I33" s="5"/>
      </tp>
      <tp t="s">
        <v>N/A</v>
        <stp/>
        <stp>VOLUME</stp>
        <stp>.OPEN251226C7.5</stp>
        <tr r="I33" s="5"/>
      </tp>
      <tp t="s">
        <v>N/A</v>
        <stp/>
        <stp>VOLUME</stp>
        <stp>.OPEN251121P4.5</stp>
        <tr r="D39" s="5"/>
      </tp>
      <tp t="s">
        <v>N/A</v>
        <stp/>
        <stp>VOLUME</stp>
        <stp>.OPEN251121C4.5</stp>
        <tr r="D39" s="5"/>
      </tp>
      <tp t="s">
        <v>N/A</v>
        <stp/>
        <stp>VOLUME</stp>
        <stp>.OPEN261120P4.5</stp>
        <tr r="V39" s="5"/>
      </tp>
      <tp t="s">
        <v>N/A</v>
        <stp/>
        <stp>VOLUME</stp>
        <stp>.OPEN260220P7.5</stp>
        <tr r="M33" s="5"/>
      </tp>
      <tp t="s">
        <v>N/A</v>
        <stp/>
        <stp>VOLUME</stp>
        <stp>.OPEN260320P6.5</stp>
        <tr r="N35" s="5"/>
      </tp>
      <tp t="s">
        <v>N/A</v>
        <stp/>
        <stp>VOLUME</stp>
        <stp>.OPEN260220C7.5</stp>
        <tr r="M33" s="5"/>
      </tp>
      <tp t="s">
        <v>N/A</v>
        <stp/>
        <stp>VOLUME</stp>
        <stp>.OPEN260320C6.5</stp>
        <tr r="N35" s="5"/>
      </tp>
      <tp t="s">
        <v>N/A</v>
        <stp/>
        <stp>VOLUME</stp>
        <stp>.OPEN261120C4.5</stp>
        <tr r="V39" s="5"/>
      </tp>
      <tp t="s">
        <v>N/A</v>
        <stp/>
        <stp>VOLUME</stp>
        <stp>.OPEN251219P7.5</stp>
        <tr r="H33" s="5"/>
      </tp>
      <tp t="s">
        <v>N/A</v>
        <stp/>
        <stp>VOLUME</stp>
        <stp>.OPEN251219C7.5</stp>
        <tr r="H33" s="5"/>
      </tp>
      <tp t="s">
        <v>N/A</v>
        <stp/>
        <stp>VOLUME</stp>
        <stp>.OPEN261218P7.5</stp>
        <tr r="W33" s="5"/>
      </tp>
      <tp t="s">
        <v>N/A</v>
        <stp/>
        <stp>VOLUME</stp>
        <stp>.OPEN261218C7.5</stp>
        <tr r="W33" s="5"/>
      </tp>
      <tp t="s">
        <v>N/A</v>
        <stp/>
        <stp>VOLUME</stp>
        <stp>.OPEN260619P3.5</stp>
        <tr r="Q41" s="5"/>
      </tp>
      <tp t="s">
        <v>N/A</v>
        <stp/>
        <stp>VOLUME</stp>
        <stp>.OPEN260619C3.5</stp>
        <tr r="Q41" s="5"/>
      </tp>
      <tp t="s">
        <v>N/A</v>
        <stp/>
        <stp>VOLUME</stp>
        <stp>.OPEN261016P5.5</stp>
        <tr r="U37" s="5"/>
      </tp>
      <tp t="s">
        <v>N/A</v>
        <stp/>
        <stp>VOLUME</stp>
        <stp>.OPEN260116P4.5</stp>
        <tr r="L39" s="5"/>
      </tp>
      <tp t="s">
        <v>N/A</v>
        <stp/>
        <stp>VOLUME</stp>
        <stp>.OPEN260116C4.5</stp>
        <tr r="L39" s="5"/>
      </tp>
      <tp t="s">
        <v>N/A</v>
        <stp/>
        <stp>VOLUME</stp>
        <stp>.OPEN261016C5.5</stp>
        <tr r="U37" s="5"/>
      </tp>
      <tp t="s">
        <v>N/A</v>
        <stp/>
        <stp>VOLUME</stp>
        <stp>.OPEN251114P4.5</stp>
        <tr r="C39" s="5"/>
      </tp>
      <tp t="s">
        <v>N/A</v>
        <stp/>
        <stp>VOLUME</stp>
        <stp>.OPEN260417P1.5</stp>
        <tr r="O45" s="5"/>
      </tp>
      <tp t="s">
        <v>N/A</v>
        <stp/>
        <stp>VOLUME</stp>
        <stp>.OPEN260717P2.5</stp>
        <tr r="R43" s="5"/>
      </tp>
      <tp t="s">
        <v>N/A</v>
        <stp/>
        <stp>VOLUME</stp>
        <stp>.OPEN260417C1.5</stp>
        <tr r="O45" s="5"/>
      </tp>
      <tp t="s">
        <v>N/A</v>
        <stp/>
        <stp>VOLUME</stp>
        <stp>.OPEN260717C2.5</stp>
        <tr r="R43" s="5"/>
      </tp>
      <tp t="s">
        <v>N/A</v>
        <stp/>
        <stp>VOLUME</stp>
        <stp>.OPEN251114C4.5</stp>
        <tr r="C39" s="5"/>
      </tp>
      <tp t="s">
        <v>N/A</v>
        <stp/>
        <stp>VOLUME</stp>
        <stp>.OPEN260515P0.5</stp>
        <tr r="P47" s="5"/>
      </tp>
      <tp t="s">
        <v>N/A</v>
        <stp/>
        <stp>VOLUME</stp>
        <stp>.OPEN260515C0.5</stp>
        <tr r="P47" s="5"/>
      </tp>
      <tp t="s">
        <v>N/A</v>
        <stp/>
        <stp>VOLUME</stp>
        <stp>.OPEN251212P7.5</stp>
        <tr r="G33" s="5"/>
      </tp>
      <tp t="s">
        <v>N/A</v>
        <stp/>
        <stp>VOLUME</stp>
        <stp>.OPEN251212C7.5</stp>
        <tr r="G33" s="5"/>
      </tp>
      <tp t="s">
        <v>N/A</v>
        <stp/>
        <stp>VOLUME</stp>
        <stp>.OPEN260109P4.5</stp>
        <tr r="K39" s="5"/>
      </tp>
      <tp t="s">
        <v>N/A</v>
        <stp/>
        <stp>VOLUME</stp>
        <stp>.OPEN260109C4.5</stp>
        <tr r="K39" s="5"/>
      </tp>
      <tp t="s">
        <v>N/A</v>
        <stp/>
        <stp>VOLUME</stp>
        <stp>.OPEN251205P7.5</stp>
        <tr r="F33" s="5"/>
      </tp>
      <tp t="s">
        <v>N/A</v>
        <stp/>
        <stp>VOLUME</stp>
        <stp>.OPEN251205C7.5</stp>
        <tr r="F33" s="5"/>
      </tp>
      <tp t="s">
        <v>N/A</v>
        <stp/>
        <stp>VOLUME</stp>
        <stp>.OPEN260102P4.5</stp>
        <tr r="J39" s="5"/>
      </tp>
      <tp t="s">
        <v>N/A</v>
        <stp/>
        <stp>VOLUME</stp>
        <stp>.OPEN260102C4.5</stp>
        <tr r="J39" s="5"/>
      </tp>
      <tp t="s">
        <v>N/A</v>
        <stp/>
        <stp>VOLUME</stp>
        <stp>.OPEN251128P5.5</stp>
        <tr r="E37" s="5"/>
      </tp>
      <tp t="s">
        <v>N/A</v>
        <stp/>
        <stp>VOLUME</stp>
        <stp>.OPEN251128C5.5</stp>
        <tr r="E37" s="5"/>
      </tp>
      <tp t="s">
        <v>N/A</v>
        <stp/>
        <stp>VOLUME</stp>
        <stp>.OPEN251226P6.5</stp>
        <tr r="I35" s="5"/>
      </tp>
      <tp t="s">
        <v>N/A</v>
        <stp/>
        <stp>VOLUME</stp>
        <stp>.OPEN251226C6.5</stp>
        <tr r="I35" s="5"/>
      </tp>
      <tp t="s">
        <v>N/A</v>
        <stp/>
        <stp>VOLUME</stp>
        <stp>.OPEN251121P5.5</stp>
        <tr r="D37" s="5"/>
      </tp>
      <tp t="s">
        <v>N/A</v>
        <stp/>
        <stp>VOLUME</stp>
        <stp>.OPEN251121C5.5</stp>
        <tr r="D37" s="5"/>
      </tp>
      <tp t="s">
        <v>N/A</v>
        <stp/>
        <stp>VOLUME</stp>
        <stp>.OPEN261120P5.5</stp>
        <tr r="V37" s="5"/>
      </tp>
      <tp t="s">
        <v>N/A</v>
        <stp/>
        <stp>VOLUME</stp>
        <stp>.OPEN260220P6.5</stp>
        <tr r="M35" s="5"/>
      </tp>
      <tp t="s">
        <v>N/A</v>
        <stp/>
        <stp>VOLUME</stp>
        <stp>.OPEN260320P7.5</stp>
        <tr r="N33" s="5"/>
      </tp>
      <tp t="s">
        <v>N/A</v>
        <stp/>
        <stp>VOLUME</stp>
        <stp>.OPEN260220C6.5</stp>
        <tr r="M35" s="5"/>
      </tp>
      <tp t="s">
        <v>N/A</v>
        <stp/>
        <stp>VOLUME</stp>
        <stp>.OPEN260320C7.5</stp>
        <tr r="N33" s="5"/>
      </tp>
      <tp t="s">
        <v>N/A</v>
        <stp/>
        <stp>VOLUME</stp>
        <stp>.OPEN261120C5.5</stp>
        <tr r="V37" s="5"/>
      </tp>
      <tp t="s">
        <v>N/A</v>
        <stp/>
        <stp>VOLUME</stp>
        <stp>.OPEN251219P6.5</stp>
        <tr r="H35" s="5"/>
      </tp>
      <tp t="s">
        <v>N/A</v>
        <stp/>
        <stp>VOLUME</stp>
        <stp>.OPEN251219C6.5</stp>
        <tr r="H35" s="5"/>
      </tp>
      <tp t="s">
        <v>N/A</v>
        <stp/>
        <stp>VOLUME</stp>
        <stp>.OPEN261218P6.5</stp>
        <tr r="W35" s="5"/>
      </tp>
      <tp t="s">
        <v>N/A</v>
        <stp/>
        <stp>VOLUME</stp>
        <stp>.OPEN261218C6.5</stp>
        <tr r="W35" s="5"/>
      </tp>
      <tp t="s">
        <v>N/A</v>
        <stp/>
        <stp>VOLUME</stp>
        <stp>.OPEN260619P2.5</stp>
        <tr r="Q43" s="5"/>
      </tp>
      <tp t="s">
        <v>N/A</v>
        <stp/>
        <stp>VOLUME</stp>
        <stp>.OPEN260619C2.5</stp>
        <tr r="Q43" s="5"/>
      </tp>
      <tp t="s">
        <v>N/A</v>
        <stp/>
        <stp>VOLUME</stp>
        <stp>.OPEN261016P4.5</stp>
        <tr r="U39" s="5"/>
      </tp>
      <tp t="s">
        <v>N/A</v>
        <stp/>
        <stp>VOLUME</stp>
        <stp>.OPEN260116P5.5</stp>
        <tr r="L37" s="5"/>
      </tp>
      <tp t="s">
        <v>N/A</v>
        <stp/>
        <stp>VOLUME</stp>
        <stp>.OPEN260116C5.5</stp>
        <tr r="L37" s="5"/>
      </tp>
      <tp t="s">
        <v>N/A</v>
        <stp/>
        <stp>VOLUME</stp>
        <stp>.OPEN261016C4.5</stp>
        <tr r="U39" s="5"/>
      </tp>
      <tp t="s">
        <v>N/A</v>
        <stp/>
        <stp>VOLUME</stp>
        <stp>.OPEN251114P5.5</stp>
        <tr r="C37" s="5"/>
      </tp>
      <tp t="s">
        <v>N/A</v>
        <stp/>
        <stp>VOLUME</stp>
        <stp>.OPEN260417P0.5</stp>
        <tr r="O47" s="5"/>
      </tp>
      <tp t="s">
        <v>N/A</v>
        <stp/>
        <stp>VOLUME</stp>
        <stp>.OPEN260717P3.5</stp>
        <tr r="R41" s="5"/>
      </tp>
      <tp t="s">
        <v>N/A</v>
        <stp/>
        <stp>VOLUME</stp>
        <stp>.OPEN260417C0.5</stp>
        <tr r="O47" s="5"/>
      </tp>
      <tp t="s">
        <v>N/A</v>
        <stp/>
        <stp>VOLUME</stp>
        <stp>.OPEN260717C3.5</stp>
        <tr r="R41" s="5"/>
      </tp>
      <tp t="s">
        <v>N/A</v>
        <stp/>
        <stp>VOLUME</stp>
        <stp>.OPEN251114C5.5</stp>
        <tr r="C37" s="5"/>
      </tp>
      <tp t="s">
        <v>N/A</v>
        <stp/>
        <stp>VOLUME</stp>
        <stp>.OPEN260515P1.5</stp>
        <tr r="P45" s="5"/>
      </tp>
      <tp t="s">
        <v>N/A</v>
        <stp/>
        <stp>VOLUME</stp>
        <stp>.OPEN260515C1.5</stp>
        <tr r="P45" s="5"/>
      </tp>
      <tp t="s">
        <v>N/A</v>
        <stp/>
        <stp>VOLUME</stp>
        <stp>.OPEN251212P6.5</stp>
        <tr r="G35" s="5"/>
      </tp>
      <tp t="s">
        <v>N/A</v>
        <stp/>
        <stp>VOLUME</stp>
        <stp>.OPEN251212C6.5</stp>
        <tr r="G35" s="5"/>
      </tp>
      <tp t="s">
        <v>N/A</v>
        <stp/>
        <stp>VOLUME</stp>
        <stp>.OPEN260109P5.5</stp>
        <tr r="K37" s="5"/>
      </tp>
      <tp t="s">
        <v>N/A</v>
        <stp/>
        <stp>VOLUME</stp>
        <stp>.OPEN260109C5.5</stp>
        <tr r="K37" s="5"/>
      </tp>
      <tp t="s">
        <v>N/A</v>
        <stp/>
        <stp>VOLUME</stp>
        <stp>.OPEN251205P6.5</stp>
        <tr r="F35" s="5"/>
      </tp>
      <tp t="s">
        <v>N/A</v>
        <stp/>
        <stp>VOLUME</stp>
        <stp>.OPEN251205C6.5</stp>
        <tr r="F35" s="5"/>
      </tp>
      <tp t="s">
        <v>N/A</v>
        <stp/>
        <stp>VOLUME</stp>
        <stp>.OPEN260102P5.5</stp>
        <tr r="J37" s="5"/>
      </tp>
      <tp t="s">
        <v>N/A</v>
        <stp/>
        <stp>VOLUME</stp>
        <stp>.OPEN260102C5.5</stp>
        <tr r="J37" s="5"/>
      </tp>
      <tp t="s">
        <v>N/A</v>
        <stp/>
        <stp>VOLUME</stp>
        <stp>.OPEN251128P6.5</stp>
        <tr r="E35" s="5"/>
      </tp>
      <tp t="s">
        <v>N/A</v>
        <stp/>
        <stp>VOLUME</stp>
        <stp>.OPEN251128C6.5</stp>
        <tr r="E35" s="5"/>
      </tp>
      <tp t="s">
        <v>N/A</v>
        <stp/>
        <stp>VOLUME</stp>
        <stp>.OPEN251226P5.5</stp>
        <tr r="I37" s="5"/>
      </tp>
      <tp t="s">
        <v>N/A</v>
        <stp/>
        <stp>VOLUME</stp>
        <stp>.OPEN251226C5.5</stp>
        <tr r="I37" s="5"/>
      </tp>
      <tp t="s">
        <v>N/A</v>
        <stp/>
        <stp>VOLUME</stp>
        <stp>.OPEN251121P6.5</stp>
        <tr r="D35" s="5"/>
      </tp>
      <tp t="s">
        <v>N/A</v>
        <stp/>
        <stp>VOLUME</stp>
        <stp>.OPEN251121C6.5</stp>
        <tr r="D35" s="5"/>
      </tp>
      <tp t="s">
        <v>N/A</v>
        <stp/>
        <stp>VOLUME</stp>
        <stp>.OPEN261120P6.5</stp>
        <tr r="V35" s="5"/>
      </tp>
      <tp t="s">
        <v>N/A</v>
        <stp/>
        <stp>VOLUME</stp>
        <stp>.OPEN260220P5.5</stp>
        <tr r="M37" s="5"/>
      </tp>
      <tp t="s">
        <v>N/A</v>
        <stp/>
        <stp>VOLUME</stp>
        <stp>.OPEN260320P4.5</stp>
        <tr r="N39" s="5"/>
      </tp>
      <tp t="s">
        <v>N/A</v>
        <stp/>
        <stp>VOLUME</stp>
        <stp>.OPEN260220C5.5</stp>
        <tr r="M37" s="5"/>
      </tp>
      <tp t="s">
        <v>N/A</v>
        <stp/>
        <stp>VOLUME</stp>
        <stp>.OPEN260320C4.5</stp>
        <tr r="N39" s="5"/>
      </tp>
      <tp t="s">
        <v>N/A</v>
        <stp/>
        <stp>VOLUME</stp>
        <stp>.OPEN261120C6.5</stp>
        <tr r="V35" s="5"/>
      </tp>
      <tp t="s">
        <v>N/A</v>
        <stp/>
        <stp>VOLUME</stp>
        <stp>.OPEN251219P5.5</stp>
        <tr r="H37" s="5"/>
      </tp>
      <tp t="s">
        <v>N/A</v>
        <stp/>
        <stp>VOLUME</stp>
        <stp>.OPEN251219C5.5</stp>
        <tr r="H37" s="5"/>
      </tp>
      <tp t="s">
        <v>N/A</v>
        <stp/>
        <stp>VOLUME</stp>
        <stp>.OPEN261218P5.5</stp>
        <tr r="W37" s="5"/>
      </tp>
      <tp t="s">
        <v>N/A</v>
        <stp/>
        <stp>VOLUME</stp>
        <stp>.OPEN261218C5.5</stp>
        <tr r="W37" s="5"/>
      </tp>
      <tp t="s">
        <v>N/A</v>
        <stp/>
        <stp>VOLUME</stp>
        <stp>.OPEN260619P1.5</stp>
        <tr r="Q45" s="5"/>
      </tp>
      <tp t="s">
        <v>N/A</v>
        <stp/>
        <stp>VOLUME</stp>
        <stp>.OPEN260619C1.5</stp>
        <tr r="Q45" s="5"/>
      </tp>
      <tp t="s">
        <v>N/A</v>
        <stp/>
        <stp>VOLUME</stp>
        <stp>.OPEN261016P7.5</stp>
        <tr r="U33" s="5"/>
      </tp>
      <tp t="s">
        <v>N/A</v>
        <stp/>
        <stp>VOLUME</stp>
        <stp>.OPEN260116P6.5</stp>
        <tr r="L35" s="5"/>
      </tp>
      <tp t="s">
        <v>N/A</v>
        <stp/>
        <stp>VOLUME</stp>
        <stp>.OPEN260116C6.5</stp>
        <tr r="L35" s="5"/>
      </tp>
      <tp t="s">
        <v>N/A</v>
        <stp/>
        <stp>VOLUME</stp>
        <stp>.OPEN261016C7.5</stp>
        <tr r="U33" s="5"/>
      </tp>
      <tp t="s">
        <v>N/A</v>
        <stp/>
        <stp>VOLUME</stp>
        <stp>.OPEN251114P6.5</stp>
        <tr r="C35" s="5"/>
      </tp>
      <tp t="s">
        <v>N/A</v>
        <stp/>
        <stp>VOLUME</stp>
        <stp>.OPEN260417P3.5</stp>
        <tr r="O41" s="5"/>
      </tp>
      <tp t="s">
        <v>N/A</v>
        <stp/>
        <stp>VOLUME</stp>
        <stp>.OPEN260717P0.5</stp>
        <tr r="R47" s="5"/>
      </tp>
      <tp t="s">
        <v>N/A</v>
        <stp/>
        <stp>VOLUME</stp>
        <stp>.OPEN260417C3.5</stp>
        <tr r="O41" s="5"/>
      </tp>
      <tp t="s">
        <v>N/A</v>
        <stp/>
        <stp>VOLUME</stp>
        <stp>.OPEN260717C0.5</stp>
        <tr r="R47" s="5"/>
      </tp>
      <tp t="s">
        <v>N/A</v>
        <stp/>
        <stp>VOLUME</stp>
        <stp>.OPEN251114C6.5</stp>
        <tr r="C35" s="5"/>
      </tp>
      <tp t="s">
        <v>N/A</v>
        <stp/>
        <stp>VOLUME</stp>
        <stp>.OPEN260515P2.5</stp>
        <tr r="P43" s="5"/>
      </tp>
      <tp t="s">
        <v>N/A</v>
        <stp/>
        <stp>VOLUME</stp>
        <stp>.OPEN260515C2.5</stp>
        <tr r="P43" s="5"/>
      </tp>
      <tp t="s">
        <v>N/A</v>
        <stp/>
        <stp>VOLUME</stp>
        <stp>.OPEN251212P5.5</stp>
        <tr r="G37" s="5"/>
      </tp>
      <tp t="s">
        <v>N/A</v>
        <stp/>
        <stp>VOLUME</stp>
        <stp>.OPEN251212C5.5</stp>
        <tr r="G37" s="5"/>
      </tp>
      <tp t="s">
        <v>N/A</v>
        <stp/>
        <stp>VOLUME</stp>
        <stp>.OPEN260109P6.5</stp>
        <tr r="K35" s="5"/>
      </tp>
      <tp t="s">
        <v>N/A</v>
        <stp/>
        <stp>VOLUME</stp>
        <stp>.OPEN260109C6.5</stp>
        <tr r="K35" s="5"/>
      </tp>
      <tp t="s">
        <v>N/A</v>
        <stp/>
        <stp>VOLUME</stp>
        <stp>.OPEN251205P5.5</stp>
        <tr r="F37" s="5"/>
      </tp>
      <tp t="s">
        <v>N/A</v>
        <stp/>
        <stp>VOLUME</stp>
        <stp>.OPEN251205C5.5</stp>
        <tr r="F37" s="5"/>
      </tp>
      <tp t="s">
        <v>N/A</v>
        <stp/>
        <stp>VOLUME</stp>
        <stp>.OPEN260102P6.5</stp>
        <tr r="J35" s="5"/>
      </tp>
      <tp t="s">
        <v>N/A</v>
        <stp/>
        <stp>VOLUME</stp>
        <stp>.OPEN260102C6.5</stp>
        <tr r="J35" s="5"/>
      </tp>
      <tp t="s">
        <v>N/A</v>
        <stp/>
        <stp>OPEN_INT</stp>
        <stp>.OPEN261016C20</stp>
        <tr r="U8" s="1"/>
      </tp>
      <tp t="s">
        <v>N/A</v>
        <stp/>
        <stp>OPEN_INT</stp>
        <stp>.OPEN261016C21</stp>
        <tr r="U6" s="1"/>
      </tp>
      <tp t="s">
        <v>N/A</v>
        <stp/>
        <stp>OPEN_INT</stp>
        <stp>.OPEN251231C18</stp>
        <tr r="V8" s="2"/>
      </tp>
      <tp t="s">
        <v>N/A</v>
        <stp/>
        <stp>OPEN_INT</stp>
        <stp>.OPEN251226C19</stp>
        <tr r="I10" s="1"/>
      </tp>
      <tp t="s">
        <v>N/A</v>
        <stp/>
        <stp>OPEN_INT</stp>
        <stp>.OPEN251231C19</stp>
        <tr r="V6" s="2"/>
      </tp>
      <tp t="s">
        <v>N/A</v>
        <stp/>
        <stp>OPEN_INT</stp>
        <stp>.OPEN251226C18</stp>
        <tr r="I12" s="1"/>
      </tp>
      <tp t="s">
        <v>N/A</v>
        <stp/>
        <stp>OPEN_INT</stp>
        <stp>.OPEN251212C18</stp>
        <tr r="G12" s="1"/>
      </tp>
      <tp t="s">
        <v>N/A</v>
        <stp/>
        <stp>OPEN_INT</stp>
        <stp>.OPEN251205C19</stp>
        <tr r="F10" s="1"/>
      </tp>
      <tp t="s">
        <v>N/A</v>
        <stp/>
        <stp>OPEN_INT</stp>
        <stp>.OPEN251219C18</stp>
        <tr r="H12" s="1"/>
        <tr r="U8" s="2"/>
      </tp>
      <tp t="s">
        <v>N/A</v>
        <stp/>
        <stp>OPEN_INT</stp>
        <stp>.OPEN261218C18</stp>
        <tr r="W12" s="1"/>
      </tp>
      <tp t="s">
        <v>N/A</v>
        <stp/>
        <stp>OPEN_INT</stp>
        <stp>.OPEN251212C19</stp>
        <tr r="G10" s="1"/>
      </tp>
      <tp t="s">
        <v>N/A</v>
        <stp/>
        <stp>OPEN_INT</stp>
        <stp>.OPEN251205C18</stp>
        <tr r="F12" s="1"/>
      </tp>
      <tp t="s">
        <v>N/A</v>
        <stp/>
        <stp>OPEN_INT</stp>
        <stp>.OPEN251219C19</stp>
        <tr r="H10" s="1"/>
        <tr r="U6" s="2"/>
      </tp>
      <tp t="s">
        <v>N/A</v>
        <stp/>
        <stp>OPEN_INT</stp>
        <stp>.OPEN261218C19</stp>
        <tr r="W10" s="1"/>
      </tp>
      <tp t="s">
        <v>N/A</v>
        <stp/>
        <stp>OPEN_INT</stp>
        <stp>.OPEN251231C14</stp>
        <tr r="V16" s="2"/>
      </tp>
      <tp t="s">
        <v>N/A</v>
        <stp/>
        <stp>OPEN_INT</stp>
        <stp>.OPEN251212C16</stp>
        <tr r="G16" s="1"/>
      </tp>
      <tp t="s">
        <v>N/A</v>
        <stp/>
        <stp>OPEN_INT</stp>
        <stp>.OPEN251205C17</stp>
        <tr r="F14" s="1"/>
      </tp>
      <tp>
        <v>0</v>
        <stp/>
        <stp>OPEN_INT</stp>
        <stp>.OPEN251226C15</stp>
        <tr r="I18" s="1"/>
        <tr r="I18" s="1"/>
      </tp>
      <tp t="s">
        <v>N/A</v>
        <stp/>
        <stp>OPEN_INT</stp>
        <stp>.OPEN251219C16</stp>
        <tr r="H16" s="1"/>
        <tr r="U12" s="2"/>
      </tp>
      <tp t="s">
        <v>N/A</v>
        <stp/>
        <stp>OPEN_INT</stp>
        <stp>.OPEN261218C16</stp>
        <tr r="W16" s="1"/>
      </tp>
      <tp t="s">
        <v>N/A</v>
        <stp/>
        <stp>OPEN_INT</stp>
        <stp>.OPEN251231C15</stp>
        <tr r="V14" s="2"/>
      </tp>
      <tp t="s">
        <v>N/A</v>
        <stp/>
        <stp>OPEN_INT</stp>
        <stp>.OPEN251212C17</stp>
        <tr r="G14" s="1"/>
      </tp>
      <tp t="s">
        <v>N/A</v>
        <stp/>
        <stp>OPEN_INT</stp>
        <stp>.OPEN251205C16</stp>
        <tr r="F16" s="1"/>
      </tp>
      <tp>
        <v>37</v>
        <stp/>
        <stp>OPEN_INT</stp>
        <stp>.OPEN251226C14</stp>
        <tr r="I20" s="1"/>
        <tr r="I20" s="1"/>
      </tp>
      <tp t="s">
        <v>N/A</v>
        <stp/>
        <stp>OPEN_INT</stp>
        <stp>.OPEN251219C17</stp>
        <tr r="H14" s="1"/>
        <tr r="U10" s="2"/>
      </tp>
      <tp t="s">
        <v>N/A</v>
        <stp/>
        <stp>OPEN_INT</stp>
        <stp>.OPEN261218C17</stp>
        <tr r="W14" s="1"/>
      </tp>
      <tp t="s">
        <v>N/A</v>
        <stp/>
        <stp>OPEN_INT</stp>
        <stp>.OPEN251231C16</stp>
        <tr r="V12" s="2"/>
      </tp>
      <tp>
        <v>224</v>
        <stp/>
        <stp>OPEN_INT</stp>
        <stp>.OPEN251212C14</stp>
        <tr r="G20" s="1"/>
        <tr r="G20" s="1"/>
      </tp>
      <tp>
        <v>530</v>
        <stp/>
        <stp>OPEN_INT</stp>
        <stp>.OPEN251205C15</stp>
        <tr r="F18" s="1"/>
        <tr r="F18" s="1"/>
      </tp>
      <tp t="s">
        <v>N/A</v>
        <stp/>
        <stp>OPEN_INT</stp>
        <stp>.OPEN251226C17</stp>
        <tr r="I14" s="1"/>
      </tp>
      <tp>
        <v>784</v>
        <stp/>
        <stp>OPEN_INT</stp>
        <stp>.OPEN251219C14</stp>
        <tr r="H20" s="1"/>
        <tr r="H20" s="1"/>
        <tr r="U16" s="2"/>
        <tr r="U16" s="2"/>
      </tp>
      <tp t="s">
        <v>N/A</v>
        <stp/>
        <stp>OPEN_INT</stp>
        <stp>.OPEN261218C14</stp>
        <tr r="W20" s="1"/>
      </tp>
      <tp t="s">
        <v>N/A</v>
        <stp/>
        <stp>OPEN_INT</stp>
        <stp>.OPEN251231C17</stp>
        <tr r="V10" s="2"/>
      </tp>
      <tp>
        <v>299</v>
        <stp/>
        <stp>OPEN_INT</stp>
        <stp>.OPEN251212C15</stp>
        <tr r="G18" s="1"/>
        <tr r="G18" s="1"/>
      </tp>
      <tp>
        <v>36</v>
        <stp/>
        <stp>OPEN_INT</stp>
        <stp>.OPEN251205C14</stp>
        <tr r="F20" s="1"/>
        <tr r="F20" s="1"/>
      </tp>
      <tp t="s">
        <v>N/A</v>
        <stp/>
        <stp>OPEN_INT</stp>
        <stp>.OPEN251226C16</stp>
        <tr r="I16" s="1"/>
      </tp>
      <tp>
        <v>17732</v>
        <stp/>
        <stp>OPEN_INT</stp>
        <stp>.OPEN251219C15</stp>
        <tr r="H18" s="1"/>
        <tr r="H18" s="1"/>
        <tr r="U14" s="2"/>
        <tr r="U14" s="2"/>
      </tp>
      <tp t="s">
        <v>N/A</v>
        <stp/>
        <stp>OPEN_INT</stp>
        <stp>.OPEN261218C15</stp>
        <tr r="W18" s="1"/>
      </tp>
      <tp>
        <v>14459</v>
        <stp/>
        <stp>OPEN_INT</stp>
        <stp>.OPEN251121C21</stp>
        <tr r="D6" s="1"/>
        <tr r="D6" s="1"/>
      </tp>
      <tp t="s">
        <v>N/A</v>
        <stp/>
        <stp>OPEN_INT</stp>
        <stp>.OPEN251231C10</stp>
        <tr r="V24" s="2"/>
      </tp>
      <tp t="s">
        <v>N/A</v>
        <stp/>
        <stp>OPEN_INT</stp>
        <stp>.OPEN261120C21</stp>
        <tr r="V6" s="1"/>
      </tp>
      <tp>
        <v>185</v>
        <stp/>
        <stp>OPEN_INT</stp>
        <stp>.OPEN251212C12</stp>
        <tr r="G24" s="1"/>
        <tr r="G24" s="1"/>
      </tp>
      <tp>
        <v>216</v>
        <stp/>
        <stp>OPEN_INT</stp>
        <stp>.OPEN251205C13</stp>
        <tr r="F22" s="1"/>
        <tr r="F22" s="1"/>
      </tp>
      <tp>
        <v>379</v>
        <stp/>
        <stp>OPEN_INT</stp>
        <stp>.OPEN251226C11</stp>
        <tr r="I26" s="1"/>
        <tr r="I26" s="1"/>
      </tp>
      <tp>
        <v>4586</v>
        <stp/>
        <stp>OPEN_INT</stp>
        <stp>.OPEN251219C12</stp>
        <tr r="H24" s="1"/>
        <tr r="H24" s="1"/>
        <tr r="U20" s="2"/>
        <tr r="U20" s="2"/>
      </tp>
      <tp t="s">
        <v>N/A</v>
        <stp/>
        <stp>OPEN_INT</stp>
        <stp>.OPEN251128C21</stp>
        <tr r="E6" s="1"/>
      </tp>
      <tp t="s">
        <v>N/A</v>
        <stp/>
        <stp>OPEN_INT</stp>
        <stp>.OPEN261218C12</stp>
        <tr r="W24" s="1"/>
      </tp>
      <tp>
        <v>7267</v>
        <stp/>
        <stp>OPEN_INT</stp>
        <stp>.OPEN251121C20</stp>
        <tr r="D8" s="1"/>
        <tr r="D8" s="1"/>
      </tp>
      <tp t="s">
        <v>N/A</v>
        <stp/>
        <stp>OPEN_INT</stp>
        <stp>.OPEN251231C11</stp>
        <tr r="V22" s="2"/>
      </tp>
      <tp t="s">
        <v>N/A</v>
        <stp/>
        <stp>OPEN_INT</stp>
        <stp>.OPEN261120C20</stp>
        <tr r="V8" s="1"/>
      </tp>
      <tp>
        <v>52</v>
        <stp/>
        <stp>OPEN_INT</stp>
        <stp>.OPEN251212C13</stp>
        <tr r="G22" s="1"/>
        <tr r="G22" s="1"/>
      </tp>
      <tp>
        <v>232</v>
        <stp/>
        <stp>OPEN_INT</stp>
        <stp>.OPEN251205C12</stp>
        <tr r="F24" s="1"/>
        <tr r="F24" s="1"/>
      </tp>
      <tp>
        <v>122</v>
        <stp/>
        <stp>OPEN_INT</stp>
        <stp>.OPEN251226C10</stp>
        <tr r="I28" s="1"/>
        <tr r="I28" s="1"/>
      </tp>
      <tp>
        <v>594</v>
        <stp/>
        <stp>OPEN_INT</stp>
        <stp>.OPEN251219C13</stp>
        <tr r="H22" s="1"/>
        <tr r="H22" s="1"/>
        <tr r="U18" s="2"/>
        <tr r="U18" s="2"/>
      </tp>
      <tp t="s">
        <v>N/A</v>
        <stp/>
        <stp>OPEN_INT</stp>
        <stp>.OPEN251128C20</stp>
        <tr r="E8" s="1"/>
      </tp>
      <tp t="s">
        <v>N/A</v>
        <stp/>
        <stp>OPEN_INT</stp>
        <stp>.OPEN261218C13</stp>
        <tr r="W22" s="1"/>
      </tp>
      <tp t="s">
        <v>N/A</v>
        <stp/>
        <stp>OPEN_INT</stp>
        <stp>.OPEN251231C12</stp>
        <tr r="V20" s="2"/>
      </tp>
      <tp>
        <v>838</v>
        <stp/>
        <stp>OPEN_INT</stp>
        <stp>.OPEN251212C10</stp>
        <tr r="G28" s="1"/>
        <tr r="G28" s="1"/>
      </tp>
      <tp>
        <v>279</v>
        <stp/>
        <stp>OPEN_INT</stp>
        <stp>.OPEN251205C11</stp>
        <tr r="F26" s="1"/>
        <tr r="F26" s="1"/>
      </tp>
      <tp t="s">
        <v>N/A</v>
        <stp/>
        <stp>OPEN_INT</stp>
        <stp>.OPEN251114C20</stp>
        <tr r="AE52" s="1"/>
        <tr r="C8" s="1"/>
        <tr r="AF52" s="5"/>
        <tr r="AF5" s="5"/>
        <tr r="AF7" s="5"/>
        <tr r="AF47" s="5"/>
        <tr r="AF45" s="5"/>
        <tr r="AF13" s="5"/>
        <tr r="AF41" s="5"/>
        <tr r="AF17" s="5"/>
        <tr r="AF19" s="5"/>
        <tr r="AF35" s="5"/>
        <tr r="AF33" s="5"/>
        <tr r="AF31" s="5"/>
        <tr r="AF29" s="5"/>
        <tr r="AE50" s="1"/>
        <tr r="AE8" s="1"/>
        <tr r="AE46" s="1"/>
        <tr r="AE12" s="1"/>
        <tr r="AE14" s="1"/>
        <tr r="AE16" s="1"/>
        <tr r="AE38" s="1"/>
        <tr r="AE36" s="1"/>
        <tr r="AE22" s="1"/>
        <tr r="AE24" s="1"/>
        <tr r="AE26" s="1"/>
        <tr r="AF50" s="5"/>
        <tr r="AF48" s="5"/>
        <tr r="AF46" s="5"/>
        <tr r="AF12" s="5"/>
        <tr r="AF42" s="5"/>
        <tr r="AF16" s="5"/>
        <tr r="AF38" s="5"/>
        <tr r="AF20" s="5"/>
        <tr r="AF34" s="5"/>
        <tr r="AF24" s="5"/>
        <tr r="AF30" s="5"/>
        <tr r="AF28" s="5"/>
        <tr r="AE51" s="1"/>
        <tr r="AE49" s="1"/>
        <tr r="AE47" s="1"/>
        <tr r="AE11" s="1"/>
        <tr r="AE13" s="1"/>
        <tr r="AE15" s="1"/>
        <tr r="AE39" s="1"/>
        <tr r="AE19" s="1"/>
        <tr r="AE35" s="1"/>
        <tr r="AE23" s="1"/>
        <tr r="AE25" s="1"/>
        <tr r="AE29" s="1"/>
        <tr r="AF6" s="5"/>
        <tr r="AF8" s="5"/>
        <tr r="AF10" s="5"/>
        <tr r="AF44" s="5"/>
        <tr r="AF14" s="5"/>
        <tr r="AF40" s="5"/>
        <tr r="AF18" s="5"/>
        <tr r="AF36" s="5"/>
        <tr r="AF22" s="5"/>
        <tr r="AF32" s="5"/>
        <tr r="AF26" s="5"/>
        <tr r="AE5" s="1"/>
        <tr r="AE7" s="1"/>
        <tr r="AE9" s="1"/>
        <tr r="AE45" s="1"/>
        <tr r="AE43" s="1"/>
        <tr r="AE41" s="1"/>
        <tr r="AE17" s="1"/>
        <tr r="AE37" s="1"/>
        <tr r="AE21" s="1"/>
        <tr r="AE33" s="1"/>
        <tr r="AE31" s="1"/>
        <tr r="AE27" s="1"/>
        <tr r="AF51" s="5"/>
        <tr r="AF49" s="5"/>
        <tr r="AF9" s="5"/>
        <tr r="AF11" s="5"/>
        <tr r="AF43" s="5"/>
        <tr r="AF15" s="5"/>
        <tr r="AF39" s="5"/>
        <tr r="AF37" s="5"/>
        <tr r="AF21" s="5"/>
        <tr r="AF23" s="5"/>
        <tr r="AF25" s="5"/>
        <tr r="AF27" s="5"/>
        <tr r="AE6" s="1"/>
        <tr r="AE48" s="1"/>
        <tr r="AE10" s="1"/>
        <tr r="AE44" s="1"/>
        <tr r="AE42" s="1"/>
        <tr r="AE40" s="1"/>
        <tr r="AE18" s="1"/>
        <tr r="AE20" s="1"/>
        <tr r="AE34" s="1"/>
        <tr r="AE32" s="1"/>
        <tr r="AE30" s="1"/>
        <tr r="AE28" s="1"/>
      </tp>
      <tp>
        <v>47</v>
        <stp/>
        <stp>OPEN_INT</stp>
        <stp>.OPEN251226C13</stp>
        <tr r="I22" s="1"/>
        <tr r="I22" s="1"/>
      </tp>
      <tp>
        <v>10587</v>
        <stp/>
        <stp>OPEN_INT</stp>
        <stp>.OPEN251219C10</stp>
        <tr r="H28" s="1"/>
        <tr r="H28" s="1"/>
        <tr r="U24" s="2"/>
        <tr r="U24" s="2"/>
      </tp>
      <tp t="s">
        <v>N/A</v>
        <stp/>
        <stp>OPEN_INT</stp>
        <stp>.OPEN261218C10</stp>
        <tr r="W28" s="1"/>
      </tp>
      <tp t="s">
        <v>N/A</v>
        <stp/>
        <stp>OPEN_INT</stp>
        <stp>.OPEN251231C13</stp>
        <tr r="V18" s="2"/>
      </tp>
      <tp>
        <v>124</v>
        <stp/>
        <stp>OPEN_INT</stp>
        <stp>.OPEN251212C11</stp>
        <tr r="G26" s="1"/>
        <tr r="G26" s="1"/>
      </tp>
      <tp>
        <v>3285</v>
        <stp/>
        <stp>OPEN_INT</stp>
        <stp>.OPEN251205C10</stp>
        <tr r="F28" s="1"/>
        <tr r="F28" s="1"/>
      </tp>
      <tp t="s">
        <v>N/A</v>
        <stp/>
        <stp>OPEN_INT</stp>
        <stp>.OPEN251114C21</stp>
        <tr r="C6" s="1"/>
        <tr r="AD52" s="5"/>
        <tr r="AC52" s="1"/>
        <tr r="AD49" s="5"/>
        <tr r="AD47" s="5"/>
        <tr r="AD45" s="5"/>
        <tr r="AD43" s="5"/>
        <tr r="AD15" s="5"/>
        <tr r="AD39" s="5"/>
        <tr r="AD19" s="5"/>
        <tr r="AD21" s="5"/>
        <tr r="AD23" s="5"/>
        <tr r="AD31" s="5"/>
        <tr r="AD27" s="5"/>
        <tr r="AD5" s="5"/>
        <tr r="AC49" s="1"/>
        <tr r="AC47" s="1"/>
        <tr r="AC11" s="1"/>
        <tr r="AC13" s="1"/>
        <tr r="AC15" s="1"/>
        <tr r="AC17" s="1"/>
        <tr r="AC37" s="1"/>
        <tr r="AC21" s="1"/>
        <tr r="AC33" s="1"/>
        <tr r="AC31" s="1"/>
        <tr r="AC27" s="1"/>
        <tr r="AD7" s="5"/>
        <tr r="AD9" s="5"/>
        <tr r="AD11" s="5"/>
        <tr r="AD13" s="5"/>
        <tr r="AD41" s="5"/>
        <tr r="AD17" s="5"/>
        <tr r="AD37" s="5"/>
        <tr r="AD35" s="5"/>
        <tr r="AD33" s="5"/>
        <tr r="AD25" s="5"/>
        <tr r="AD29" s="5"/>
        <tr r="AC7" s="1"/>
        <tr r="AC9" s="1"/>
        <tr r="AC45" s="1"/>
        <tr r="AC43" s="1"/>
        <tr r="AC41" s="1"/>
        <tr r="AC39" s="1"/>
        <tr r="AC19" s="1"/>
        <tr r="AC35" s="1"/>
        <tr r="AC23" s="1"/>
        <tr r="AC25" s="1"/>
        <tr r="AC29" s="1"/>
        <tr r="AD50" s="5"/>
        <tr r="AD48" s="5"/>
        <tr r="AD10" s="5"/>
        <tr r="AD12" s="5"/>
        <tr r="AD42" s="5"/>
        <tr r="AD16" s="5"/>
        <tr r="AD38" s="5"/>
        <tr r="AD36" s="5"/>
        <tr r="AD22" s="5"/>
        <tr r="AD32" s="5"/>
        <tr r="AD26" s="5"/>
        <tr r="AD28" s="5"/>
        <tr r="AC50" s="1"/>
        <tr r="AC8" s="1"/>
        <tr r="AC46" s="1"/>
        <tr r="AC12" s="1"/>
        <tr r="AC14" s="1"/>
        <tr r="AC40" s="1"/>
        <tr r="AC18" s="1"/>
        <tr r="AC36" s="1"/>
        <tr r="AC22" s="1"/>
        <tr r="AC32" s="1"/>
        <tr r="AC30" s="1"/>
        <tr r="AC28" s="1"/>
        <tr r="AC5" s="1"/>
        <tr r="AD6" s="5"/>
        <tr r="AD8" s="5"/>
        <tr r="AD46" s="5"/>
        <tr r="AD44" s="5"/>
        <tr r="AD14" s="5"/>
        <tr r="AD40" s="5"/>
        <tr r="AD18" s="5"/>
        <tr r="AD20" s="5"/>
        <tr r="AD34" s="5"/>
        <tr r="AD24" s="5"/>
        <tr r="AD30" s="5"/>
        <tr r="AD51" s="5"/>
        <tr r="AC6" s="1"/>
        <tr r="AC48" s="1"/>
        <tr r="AC10" s="1"/>
        <tr r="AC44" s="1"/>
        <tr r="AC42" s="1"/>
        <tr r="AC16" s="1"/>
        <tr r="AC38" s="1"/>
        <tr r="AC20" s="1"/>
        <tr r="AC34" s="1"/>
        <tr r="AC24" s="1"/>
        <tr r="AC26" s="1"/>
        <tr r="AC51" s="1"/>
      </tp>
      <tp>
        <v>26</v>
        <stp/>
        <stp>OPEN_INT</stp>
        <stp>.OPEN251226C12</stp>
        <tr r="I24" s="1"/>
        <tr r="I24" s="1"/>
      </tp>
      <tp>
        <v>4901</v>
        <stp/>
        <stp>OPEN_INT</stp>
        <stp>.OPEN251219C11</stp>
        <tr r="H26" s="1"/>
        <tr r="H26" s="1"/>
        <tr r="U22" s="2"/>
        <tr r="U22" s="2"/>
      </tp>
      <tp t="s">
        <v>N/A</v>
        <stp/>
        <stp>OPEN_INT</stp>
        <stp>.OPEN261218C11</stp>
        <tr r="W26" s="1"/>
      </tp>
      <tp>
        <v>941</v>
        <stp/>
        <stp>OPEN_INT</stp>
        <stp>.OPEN251121C19</stp>
        <tr r="D10" s="1"/>
        <tr r="D10" s="1"/>
        <tr r="S6" s="2"/>
        <tr r="S6" s="2"/>
      </tp>
      <tp t="s">
        <v>N/A</v>
        <stp/>
        <stp>OPEN_INT</stp>
        <stp>.OPEN261120C19</stp>
        <tr r="V10" s="1"/>
      </tp>
      <tp t="s">
        <v>N/A</v>
        <stp/>
        <stp>OPEN_INT</stp>
        <stp>.OPEN251128C19</stp>
        <tr r="E10" s="1"/>
        <tr r="T6" s="2"/>
      </tp>
      <tp>
        <v>747</v>
        <stp/>
        <stp>OPEN_INT</stp>
        <stp>.OPEN251121C18</stp>
        <tr r="D12" s="1"/>
        <tr r="D12" s="1"/>
        <tr r="S8" s="2"/>
        <tr r="S8" s="2"/>
      </tp>
      <tp t="s">
        <v>N/A</v>
        <stp/>
        <stp>OPEN_INT</stp>
        <stp>.OPEN261120C18</stp>
        <tr r="V12" s="1"/>
      </tp>
      <tp t="s">
        <v>N/A</v>
        <stp/>
        <stp>OPEN_INT</stp>
        <stp>.OPEN251128C18</stp>
        <tr r="E12" s="1"/>
        <tr r="T8" s="2"/>
      </tp>
      <tp>
        <v>2716</v>
        <stp/>
        <stp>OPEN_INT</stp>
        <stp>.OPEN251114C18</stp>
        <tr r="AJ52" s="5"/>
        <tr r="AJ52" s="5"/>
        <tr r="AI52" s="1"/>
        <tr r="AI52" s="1"/>
        <tr r="C12" s="1"/>
        <tr r="C12" s="1"/>
        <tr r="AJ6" s="5"/>
        <tr r="AJ6" s="5"/>
        <tr r="AJ48" s="5"/>
        <tr r="AJ48" s="5"/>
        <tr r="AJ10" s="5"/>
        <tr r="AJ10" s="5"/>
        <tr r="AJ44" s="5"/>
        <tr r="AJ44" s="5"/>
        <tr r="AJ42" s="5"/>
        <tr r="AJ42" s="5"/>
        <tr r="AJ40" s="5"/>
        <tr r="AJ40" s="5"/>
        <tr r="AJ38" s="5"/>
        <tr r="AJ38" s="5"/>
        <tr r="AJ36" s="5"/>
        <tr r="AJ36" s="5"/>
        <tr r="AJ22" s="5"/>
        <tr r="AJ22" s="5"/>
        <tr r="AJ32" s="5"/>
        <tr r="AJ32" s="5"/>
        <tr r="AJ26" s="5"/>
        <tr r="AJ26" s="5"/>
        <tr r="AJ28" s="5"/>
        <tr r="AJ28" s="5"/>
        <tr r="AI50" s="1"/>
        <tr r="AI50" s="1"/>
        <tr r="AI8" s="1"/>
        <tr r="AI8" s="1"/>
        <tr r="AI46" s="1"/>
        <tr r="AI46" s="1"/>
        <tr r="AI12" s="1"/>
        <tr r="AI12" s="1"/>
        <tr r="AI42" s="1"/>
        <tr r="AI42" s="1"/>
        <tr r="AI40" s="1"/>
        <tr r="AI40" s="1"/>
        <tr r="AI18" s="1"/>
        <tr r="AI18" s="1"/>
        <tr r="AI36" s="1"/>
        <tr r="AI36" s="1"/>
        <tr r="AI22" s="1"/>
        <tr r="AI22" s="1"/>
        <tr r="AI24" s="1"/>
        <tr r="AI24" s="1"/>
        <tr r="AI26" s="1"/>
        <tr r="AI26" s="1"/>
        <tr r="AI28" s="1"/>
        <tr r="AI28" s="1"/>
        <tr r="AJ50" s="5"/>
        <tr r="AJ50" s="5"/>
        <tr r="AJ8" s="5"/>
        <tr r="AJ8" s="5"/>
        <tr r="AJ46" s="5"/>
        <tr r="AJ46" s="5"/>
        <tr r="AJ12" s="5"/>
        <tr r="AJ12" s="5"/>
        <tr r="AJ14" s="5"/>
        <tr r="AJ14" s="5"/>
        <tr r="AJ16" s="5"/>
        <tr r="AJ16" s="5"/>
        <tr r="AJ18" s="5"/>
        <tr r="AJ18" s="5"/>
        <tr r="AJ20" s="5"/>
        <tr r="AJ20" s="5"/>
        <tr r="AJ34" s="5"/>
        <tr r="AJ34" s="5"/>
        <tr r="AJ24" s="5"/>
        <tr r="AJ24" s="5"/>
        <tr r="AJ30" s="5"/>
        <tr r="AJ30" s="5"/>
        <tr r="AI6" s="1"/>
        <tr r="AI6" s="1"/>
        <tr r="AI48" s="1"/>
        <tr r="AI48" s="1"/>
        <tr r="AI10" s="1"/>
        <tr r="AI10" s="1"/>
        <tr r="AI44" s="1"/>
        <tr r="AI44" s="1"/>
        <tr r="AI14" s="1"/>
        <tr r="AI14" s="1"/>
        <tr r="AI16" s="1"/>
        <tr r="AI16" s="1"/>
        <tr r="AI38" s="1"/>
        <tr r="AI38" s="1"/>
        <tr r="AI20" s="1"/>
        <tr r="AI20" s="1"/>
        <tr r="AI34" s="1"/>
        <tr r="AI34" s="1"/>
        <tr r="AI32" s="1"/>
        <tr r="AI32" s="1"/>
        <tr r="AI30" s="1"/>
        <tr r="AI30" s="1"/>
        <tr r="AJ5" s="5"/>
        <tr r="AJ5" s="5"/>
        <tr r="AJ7" s="5"/>
        <tr r="AJ7" s="5"/>
        <tr r="AJ9" s="5"/>
        <tr r="AJ9" s="5"/>
        <tr r="AJ11" s="5"/>
        <tr r="AJ11" s="5"/>
        <tr r="AJ13" s="5"/>
        <tr r="AJ13" s="5"/>
        <tr r="AJ15" s="5"/>
        <tr r="AJ15" s="5"/>
        <tr r="AJ39" s="5"/>
        <tr r="AJ39" s="5"/>
        <tr r="AJ19" s="5"/>
        <tr r="AJ19" s="5"/>
        <tr r="AJ35" s="5"/>
        <tr r="AJ35" s="5"/>
        <tr r="AJ23" s="5"/>
        <tr r="AJ23" s="5"/>
        <tr r="AJ31" s="5"/>
        <tr r="AJ31" s="5"/>
        <tr r="AJ29" s="5"/>
        <tr r="AJ29" s="5"/>
        <tr r="AI51" s="1"/>
        <tr r="AI51" s="1"/>
        <tr r="AI7" s="1"/>
        <tr r="AI7" s="1"/>
        <tr r="AI9" s="1"/>
        <tr r="AI9" s="1"/>
        <tr r="AI11" s="1"/>
        <tr r="AI11" s="1"/>
        <tr r="AI43" s="1"/>
        <tr r="AI43" s="1"/>
        <tr r="AI15" s="1"/>
        <tr r="AI15" s="1"/>
        <tr r="AI17" s="1"/>
        <tr r="AI17" s="1"/>
        <tr r="AI37" s="1"/>
        <tr r="AI37" s="1"/>
        <tr r="AI21" s="1"/>
        <tr r="AI21" s="1"/>
        <tr r="AI33" s="1"/>
        <tr r="AI33" s="1"/>
        <tr r="AI31" s="1"/>
        <tr r="AI31" s="1"/>
        <tr r="AI27" s="1"/>
        <tr r="AI27" s="1"/>
        <tr r="AJ51" s="5"/>
        <tr r="AJ51" s="5"/>
        <tr r="AJ49" s="5"/>
        <tr r="AJ49" s="5"/>
        <tr r="AJ47" s="5"/>
        <tr r="AJ47" s="5"/>
        <tr r="AJ45" s="5"/>
        <tr r="AJ45" s="5"/>
        <tr r="AJ43" s="5"/>
        <tr r="AJ43" s="5"/>
        <tr r="AJ41" s="5"/>
        <tr r="AJ41" s="5"/>
        <tr r="AJ17" s="5"/>
        <tr r="AJ17" s="5"/>
        <tr r="AJ37" s="5"/>
        <tr r="AJ37" s="5"/>
        <tr r="AJ21" s="5"/>
        <tr r="AJ21" s="5"/>
        <tr r="AJ33" s="5"/>
        <tr r="AJ33" s="5"/>
        <tr r="AJ25" s="5"/>
        <tr r="AJ25" s="5"/>
        <tr r="AJ27" s="5"/>
        <tr r="AJ27" s="5"/>
        <tr r="AI5" s="1"/>
        <tr r="AI5" s="1"/>
        <tr r="AI49" s="1"/>
        <tr r="AI49" s="1"/>
        <tr r="AI47" s="1"/>
        <tr r="AI47" s="1"/>
        <tr r="AI45" s="1"/>
        <tr r="AI45" s="1"/>
        <tr r="AI13" s="1"/>
        <tr r="AI13" s="1"/>
        <tr r="AI41" s="1"/>
        <tr r="AI41" s="1"/>
        <tr r="AI39" s="1"/>
        <tr r="AI39" s="1"/>
        <tr r="AI19" s="1"/>
        <tr r="AI19" s="1"/>
        <tr r="AI35" s="1"/>
        <tr r="AI35" s="1"/>
        <tr r="AI23" s="1"/>
        <tr r="AI23" s="1"/>
        <tr r="AI25" s="1"/>
        <tr r="AI25" s="1"/>
        <tr r="AI29" s="1"/>
        <tr r="AI29" s="1"/>
      </tp>
      <tp t="s">
        <v>N/A</v>
        <stp/>
        <stp>OPEN_INT</stp>
        <stp>.OPEN251114C19</stp>
        <tr r="C10" s="1"/>
        <tr r="AH52" s="5"/>
        <tr r="AG52" s="1"/>
        <tr r="AH50" s="5"/>
        <tr r="AH48" s="5"/>
        <tr r="AH46" s="5"/>
        <tr r="AH44" s="5"/>
        <tr r="AH42" s="5"/>
        <tr r="AH16" s="5"/>
        <tr r="AH38" s="5"/>
        <tr r="AH36" s="5"/>
        <tr r="AH22" s="5"/>
        <tr r="AH32" s="5"/>
        <tr r="AH26" s="5"/>
        <tr r="AH28" s="5"/>
        <tr r="AG5" s="1"/>
        <tr r="AG7" s="1"/>
        <tr r="AG47" s="1"/>
        <tr r="AG45" s="1"/>
        <tr r="AG13" s="1"/>
        <tr r="AG15" s="1"/>
        <tr r="AG39" s="1"/>
        <tr r="AG19" s="1"/>
        <tr r="AG35" s="1"/>
        <tr r="AG23" s="1"/>
        <tr r="AG25" s="1"/>
        <tr r="AG29" s="1"/>
        <tr r="AH6" s="5"/>
        <tr r="AH8" s="5"/>
        <tr r="AH10" s="5"/>
        <tr r="AH12" s="5"/>
        <tr r="AH14" s="5"/>
        <tr r="AH40" s="5"/>
        <tr r="AH18" s="5"/>
        <tr r="AH20" s="5"/>
        <tr r="AH34" s="5"/>
        <tr r="AH24" s="5"/>
        <tr r="AH30" s="5"/>
        <tr r="AG50" s="1"/>
        <tr r="AG8" s="1"/>
        <tr r="AG46" s="1"/>
        <tr r="AG12" s="1"/>
        <tr r="AG14" s="1"/>
        <tr r="AG40" s="1"/>
        <tr r="AG18" s="1"/>
        <tr r="AG20" s="1"/>
        <tr r="AG22" s="1"/>
        <tr r="AG32" s="1"/>
        <tr r="AG30" s="1"/>
        <tr r="AG28" s="1"/>
        <tr r="AH5" s="5"/>
        <tr r="AH49" s="5"/>
        <tr r="AH47" s="5"/>
        <tr r="AH45" s="5"/>
        <tr r="AH13" s="5"/>
        <tr r="AH15" s="5"/>
        <tr r="AH39" s="5"/>
        <tr r="AH19" s="5"/>
        <tr r="AH35" s="5"/>
        <tr r="AH23" s="5"/>
        <tr r="AH31" s="5"/>
        <tr r="AH27" s="5"/>
        <tr r="AG6" s="1"/>
        <tr r="AG48" s="1"/>
        <tr r="AG10" s="1"/>
        <tr r="AG44" s="1"/>
        <tr r="AG42" s="1"/>
        <tr r="AG16" s="1"/>
        <tr r="AG38" s="1"/>
        <tr r="AG36" s="1"/>
        <tr r="AG34" s="1"/>
        <tr r="AG24" s="1"/>
        <tr r="AG26" s="1"/>
        <tr r="AH51" s="5"/>
        <tr r="AH7" s="5"/>
        <tr r="AH9" s="5"/>
        <tr r="AH11" s="5"/>
        <tr r="AH43" s="5"/>
        <tr r="AH41" s="5"/>
        <tr r="AH17" s="5"/>
        <tr r="AH37" s="5"/>
        <tr r="AH21" s="5"/>
        <tr r="AH33" s="5"/>
        <tr r="AH25" s="5"/>
        <tr r="AH29" s="5"/>
        <tr r="AG51" s="1"/>
        <tr r="AG49" s="1"/>
        <tr r="AG9" s="1"/>
        <tr r="AG11" s="1"/>
        <tr r="AG43" s="1"/>
        <tr r="AG41" s="1"/>
        <tr r="AG17" s="1"/>
        <tr r="AG37" s="1"/>
        <tr r="AG21" s="1"/>
        <tr r="AG33" s="1"/>
        <tr r="AG31" s="1"/>
        <tr r="AG27" s="1"/>
      </tp>
      <tp>
        <v>10235</v>
        <stp/>
        <stp>OPEN_INT</stp>
        <stp>.OPEN251121C15</stp>
        <tr r="D18" s="1"/>
        <tr r="D18" s="1"/>
        <tr r="S14" s="2"/>
        <tr r="S14" s="2"/>
      </tp>
      <tp t="s">
        <v>N/A</v>
        <stp/>
        <stp>OPEN_INT</stp>
        <stp>.OPEN261120C15</stp>
        <tr r="V18" s="1"/>
      </tp>
      <tp>
        <v>2365</v>
        <stp/>
        <stp>OPEN_INT</stp>
        <stp>.OPEN251114C16</stp>
        <tr r="AN52" s="5"/>
        <tr r="AN52" s="5"/>
        <tr r="AM52" s="1"/>
        <tr r="AM52" s="1"/>
        <tr r="C16" s="1"/>
        <tr r="C16" s="1"/>
        <tr r="AN6" s="5"/>
        <tr r="AN6" s="5"/>
        <tr r="AN8" s="5"/>
        <tr r="AN8" s="5"/>
        <tr r="AN46" s="5"/>
        <tr r="AN46" s="5"/>
        <tr r="AN12" s="5"/>
        <tr r="AN12" s="5"/>
        <tr r="AN42" s="5"/>
        <tr r="AN42" s="5"/>
        <tr r="AN40" s="5"/>
        <tr r="AN40" s="5"/>
        <tr r="AN18" s="5"/>
        <tr r="AN18" s="5"/>
        <tr r="AN20" s="5"/>
        <tr r="AN20" s="5"/>
        <tr r="AN22" s="5"/>
        <tr r="AN22" s="5"/>
        <tr r="AN32" s="5"/>
        <tr r="AN32" s="5"/>
        <tr r="AN30" s="5"/>
        <tr r="AN30" s="5"/>
        <tr r="AN28" s="5"/>
        <tr r="AN28" s="5"/>
        <tr r="AM7" s="1"/>
        <tr r="AM7" s="1"/>
        <tr r="AM50" s="1"/>
        <tr r="AM50" s="1"/>
        <tr r="AM8" s="1"/>
        <tr r="AM8" s="1"/>
        <tr r="AM10" s="1"/>
        <tr r="AM10" s="1"/>
        <tr r="AM44" s="1"/>
        <tr r="AM44" s="1"/>
        <tr r="AM42" s="1"/>
        <tr r="AM42" s="1"/>
        <tr r="AM16" s="1"/>
        <tr r="AM16" s="1"/>
        <tr r="AM18" s="1"/>
        <tr r="AM18" s="1"/>
        <tr r="AM20" s="1"/>
        <tr r="AM20" s="1"/>
        <tr r="AM22" s="1"/>
        <tr r="AM22" s="1"/>
        <tr r="AM32" s="1"/>
        <tr r="AM32" s="1"/>
        <tr r="AM26" s="1"/>
        <tr r="AM26" s="1"/>
        <tr r="AM28" s="1"/>
        <tr r="AM28" s="1"/>
        <tr r="AN50" s="5"/>
        <tr r="AN50" s="5"/>
        <tr r="AN48" s="5"/>
        <tr r="AN48" s="5"/>
        <tr r="AN10" s="5"/>
        <tr r="AN10" s="5"/>
        <tr r="AN44" s="5"/>
        <tr r="AN44" s="5"/>
        <tr r="AN14" s="5"/>
        <tr r="AN14" s="5"/>
        <tr r="AN16" s="5"/>
        <tr r="AN16" s="5"/>
        <tr r="AN38" s="5"/>
        <tr r="AN38" s="5"/>
        <tr r="AN36" s="5"/>
        <tr r="AN36" s="5"/>
        <tr r="AN34" s="5"/>
        <tr r="AN34" s="5"/>
        <tr r="AN24" s="5"/>
        <tr r="AN24" s="5"/>
        <tr r="AN26" s="5"/>
        <tr r="AN26" s="5"/>
        <tr r="AM48" s="1"/>
        <tr r="AM48" s="1"/>
        <tr r="AM46" s="1"/>
        <tr r="AM46" s="1"/>
        <tr r="AM12" s="1"/>
        <tr r="AM12" s="1"/>
        <tr r="AM14" s="1"/>
        <tr r="AM14" s="1"/>
        <tr r="AM40" s="1"/>
        <tr r="AM40" s="1"/>
        <tr r="AM38" s="1"/>
        <tr r="AM38" s="1"/>
        <tr r="AM36" s="1"/>
        <tr r="AM36" s="1"/>
        <tr r="AM34" s="1"/>
        <tr r="AM34" s="1"/>
        <tr r="AM24" s="1"/>
        <tr r="AM24" s="1"/>
        <tr r="AM30" s="1"/>
        <tr r="AM30" s="1"/>
        <tr r="AN51" s="5"/>
        <tr r="AN51" s="5"/>
        <tr r="AN7" s="5"/>
        <tr r="AN7" s="5"/>
        <tr r="AN9" s="5"/>
        <tr r="AN9" s="5"/>
        <tr r="AN11" s="5"/>
        <tr r="AN11" s="5"/>
        <tr r="AN13" s="5"/>
        <tr r="AN13" s="5"/>
        <tr r="AN15" s="5"/>
        <tr r="AN15" s="5"/>
        <tr r="AN39" s="5"/>
        <tr r="AN39" s="5"/>
        <tr r="AN37" s="5"/>
        <tr r="AN37" s="5"/>
        <tr r="AN35" s="5"/>
        <tr r="AN35" s="5"/>
        <tr r="AN23" s="5"/>
        <tr r="AN23" s="5"/>
        <tr r="AN25" s="5"/>
        <tr r="AN25" s="5"/>
        <tr r="AN27" s="5"/>
        <tr r="AN27" s="5"/>
        <tr r="AM6" s="1"/>
        <tr r="AM6" s="1"/>
        <tr r="AM47" s="1"/>
        <tr r="AM47" s="1"/>
        <tr r="AM11" s="1"/>
        <tr r="AM11" s="1"/>
        <tr r="AM13" s="1"/>
        <tr r="AM13" s="1"/>
        <tr r="AM15" s="1"/>
        <tr r="AM15" s="1"/>
        <tr r="AM39" s="1"/>
        <tr r="AM39" s="1"/>
        <tr r="AM37" s="1"/>
        <tr r="AM37" s="1"/>
        <tr r="AM21" s="1"/>
        <tr r="AM21" s="1"/>
        <tr r="AM23" s="1"/>
        <tr r="AM23" s="1"/>
        <tr r="AM25" s="1"/>
        <tr r="AM25" s="1"/>
        <tr r="AM27" s="1"/>
        <tr r="AM27" s="1"/>
        <tr r="AN5" s="5"/>
        <tr r="AN5" s="5"/>
        <tr r="AN49" s="5"/>
        <tr r="AN49" s="5"/>
        <tr r="AN47" s="5"/>
        <tr r="AN47" s="5"/>
        <tr r="AN45" s="5"/>
        <tr r="AN45" s="5"/>
        <tr r="AN43" s="5"/>
        <tr r="AN43" s="5"/>
        <tr r="AN41" s="5"/>
        <tr r="AN41" s="5"/>
        <tr r="AN17" s="5"/>
        <tr r="AN17" s="5"/>
        <tr r="AN19" s="5"/>
        <tr r="AN19" s="5"/>
        <tr r="AN21" s="5"/>
        <tr r="AN21" s="5"/>
        <tr r="AN33" s="5"/>
        <tr r="AN33" s="5"/>
        <tr r="AN31" s="5"/>
        <tr r="AN31" s="5"/>
        <tr r="AN29" s="5"/>
        <tr r="AN29" s="5"/>
        <tr r="AM51" s="1"/>
        <tr r="AM51" s="1"/>
        <tr r="AM5" s="1"/>
        <tr r="AM5" s="1"/>
        <tr r="AM49" s="1"/>
        <tr r="AM49" s="1"/>
        <tr r="AM9" s="1"/>
        <tr r="AM9" s="1"/>
        <tr r="AM45" s="1"/>
        <tr r="AM45" s="1"/>
        <tr r="AM43" s="1"/>
        <tr r="AM43" s="1"/>
        <tr r="AM41" s="1"/>
        <tr r="AM41" s="1"/>
        <tr r="AM17" s="1"/>
        <tr r="AM17" s="1"/>
        <tr r="AM19" s="1"/>
        <tr r="AM19" s="1"/>
        <tr r="AM35" s="1"/>
        <tr r="AM35" s="1"/>
        <tr r="AM33" s="1"/>
        <tr r="AM33" s="1"/>
        <tr r="AM31" s="1"/>
        <tr r="AM31" s="1"/>
        <tr r="AM29" s="1"/>
        <tr r="AM29" s="1"/>
      </tp>
      <tp>
        <v>1282</v>
        <stp/>
        <stp>OPEN_INT</stp>
        <stp>.OPEN251128C15</stp>
        <tr r="E18" s="1"/>
        <tr r="E18" s="1"/>
        <tr r="T14" s="2"/>
        <tr r="T14" s="2"/>
      </tp>
      <tp>
        <v>2391</v>
        <stp/>
        <stp>OPEN_INT</stp>
        <stp>.OPEN251121C14</stp>
        <tr r="D20" s="1"/>
        <tr r="D20" s="1"/>
        <tr r="S16" s="2"/>
        <tr r="S16" s="2"/>
      </tp>
      <tp t="s">
        <v>N/A</v>
        <stp/>
        <stp>OPEN_INT</stp>
        <stp>.OPEN261120C14</stp>
        <tr r="V20" s="1"/>
      </tp>
      <tp>
        <v>2813</v>
        <stp/>
        <stp>OPEN_INT</stp>
        <stp>.OPEN251114C17</stp>
        <tr r="AL52" s="5"/>
        <tr r="AL52" s="5"/>
        <tr r="AK52" s="1"/>
        <tr r="AK52" s="1"/>
        <tr r="C14" s="1"/>
        <tr r="C14" s="1"/>
        <tr r="AL6" s="5"/>
        <tr r="AL6" s="5"/>
        <tr r="AL48" s="5"/>
        <tr r="AL48" s="5"/>
        <tr r="AL46" s="5"/>
        <tr r="AL46" s="5"/>
        <tr r="AL44" s="5"/>
        <tr r="AL44" s="5"/>
        <tr r="AL14" s="5"/>
        <tr r="AL14" s="5"/>
        <tr r="AL40" s="5"/>
        <tr r="AL40" s="5"/>
        <tr r="AL18" s="5"/>
        <tr r="AL18" s="5"/>
        <tr r="AL20" s="5"/>
        <tr r="AL20" s="5"/>
        <tr r="AL34" s="5"/>
        <tr r="AL34" s="5"/>
        <tr r="AL32" s="5"/>
        <tr r="AL32" s="5"/>
        <tr r="AL26" s="5"/>
        <tr r="AL26" s="5"/>
        <tr r="AL28" s="5"/>
        <tr r="AL28" s="5"/>
        <tr r="AK6" s="1"/>
        <tr r="AK6" s="1"/>
        <tr r="AK8" s="1"/>
        <tr r="AK8" s="1"/>
        <tr r="AK10" s="1"/>
        <tr r="AK10" s="1"/>
        <tr r="AK44" s="1"/>
        <tr r="AK44" s="1"/>
        <tr r="AK42" s="1"/>
        <tr r="AK42" s="1"/>
        <tr r="AK40" s="1"/>
        <tr r="AK40" s="1"/>
        <tr r="AK18" s="1"/>
        <tr r="AK18" s="1"/>
        <tr r="AK36" s="1"/>
        <tr r="AK36" s="1"/>
        <tr r="AK22" s="1"/>
        <tr r="AK22" s="1"/>
        <tr r="AK32" s="1"/>
        <tr r="AK32" s="1"/>
        <tr r="AK26" s="1"/>
        <tr r="AK26" s="1"/>
        <tr r="AK28" s="1"/>
        <tr r="AK28" s="1"/>
        <tr r="AL5" s="5"/>
        <tr r="AL5" s="5"/>
        <tr r="AL50" s="5"/>
        <tr r="AL50" s="5"/>
        <tr r="AL8" s="5"/>
        <tr r="AL8" s="5"/>
        <tr r="AL10" s="5"/>
        <tr r="AL10" s="5"/>
        <tr r="AL12" s="5"/>
        <tr r="AL12" s="5"/>
        <tr r="AL42" s="5"/>
        <tr r="AL42" s="5"/>
        <tr r="AL16" s="5"/>
        <tr r="AL16" s="5"/>
        <tr r="AL38" s="5"/>
        <tr r="AL38" s="5"/>
        <tr r="AL36" s="5"/>
        <tr r="AL36" s="5"/>
        <tr r="AL22" s="5"/>
        <tr r="AL22" s="5"/>
        <tr r="AL24" s="5"/>
        <tr r="AL24" s="5"/>
        <tr r="AL30" s="5"/>
        <tr r="AL30" s="5"/>
        <tr r="AK50" s="1"/>
        <tr r="AK50" s="1"/>
        <tr r="AK48" s="1"/>
        <tr r="AK48" s="1"/>
        <tr r="AK46" s="1"/>
        <tr r="AK46" s="1"/>
        <tr r="AK12" s="1"/>
        <tr r="AK12" s="1"/>
        <tr r="AK14" s="1"/>
        <tr r="AK14" s="1"/>
        <tr r="AK16" s="1"/>
        <tr r="AK16" s="1"/>
        <tr r="AK38" s="1"/>
        <tr r="AK38" s="1"/>
        <tr r="AK20" s="1"/>
        <tr r="AK20" s="1"/>
        <tr r="AK34" s="1"/>
        <tr r="AK34" s="1"/>
        <tr r="AK24" s="1"/>
        <tr r="AK24" s="1"/>
        <tr r="AK30" s="1"/>
        <tr r="AK30" s="1"/>
        <tr r="AL51" s="5"/>
        <tr r="AL51" s="5"/>
        <tr r="AL7" s="5"/>
        <tr r="AL7" s="5"/>
        <tr r="AL47" s="5"/>
        <tr r="AL47" s="5"/>
        <tr r="AL11" s="5"/>
        <tr r="AL11" s="5"/>
        <tr r="AL13" s="5"/>
        <tr r="AL13" s="5"/>
        <tr r="AL15" s="5"/>
        <tr r="AL15" s="5"/>
        <tr r="AL39" s="5"/>
        <tr r="AL39" s="5"/>
        <tr r="AL19" s="5"/>
        <tr r="AL19" s="5"/>
        <tr r="AL35" s="5"/>
        <tr r="AL35" s="5"/>
        <tr r="AL23" s="5"/>
        <tr r="AL23" s="5"/>
        <tr r="AL25" s="5"/>
        <tr r="AL25" s="5"/>
        <tr r="AL29" s="5"/>
        <tr r="AL29" s="5"/>
        <tr r="AK51" s="1"/>
        <tr r="AK51" s="1"/>
        <tr r="AK49" s="1"/>
        <tr r="AK49" s="1"/>
        <tr r="AK9" s="1"/>
        <tr r="AK9" s="1"/>
        <tr r="AK11" s="1"/>
        <tr r="AK11" s="1"/>
        <tr r="AK43" s="1"/>
        <tr r="AK43" s="1"/>
        <tr r="AK41" s="1"/>
        <tr r="AK41" s="1"/>
        <tr r="AK17" s="1"/>
        <tr r="AK17" s="1"/>
        <tr r="AK37" s="1"/>
        <tr r="AK37" s="1"/>
        <tr r="AK21" s="1"/>
        <tr r="AK21" s="1"/>
        <tr r="AK23" s="1"/>
        <tr r="AK23" s="1"/>
        <tr r="AK25" s="1"/>
        <tr r="AK25" s="1"/>
        <tr r="AK27" s="1"/>
        <tr r="AK27" s="1"/>
        <tr r="AL49" s="5"/>
        <tr r="AL49" s="5"/>
        <tr r="AL9" s="5"/>
        <tr r="AL9" s="5"/>
        <tr r="AL45" s="5"/>
        <tr r="AL45" s="5"/>
        <tr r="AL43" s="5"/>
        <tr r="AL43" s="5"/>
        <tr r="AL41" s="5"/>
        <tr r="AL41" s="5"/>
        <tr r="AL17" s="5"/>
        <tr r="AL17" s="5"/>
        <tr r="AL37" s="5"/>
        <tr r="AL37" s="5"/>
        <tr r="AL21" s="5"/>
        <tr r="AL21" s="5"/>
        <tr r="AL33" s="5"/>
        <tr r="AL33" s="5"/>
        <tr r="AL31" s="5"/>
        <tr r="AL31" s="5"/>
        <tr r="AL27" s="5"/>
        <tr r="AL27" s="5"/>
        <tr r="AK5" s="1"/>
        <tr r="AK5" s="1"/>
        <tr r="AK7" s="1"/>
        <tr r="AK7" s="1"/>
        <tr r="AK47" s="1"/>
        <tr r="AK47" s="1"/>
        <tr r="AK45" s="1"/>
        <tr r="AK45" s="1"/>
        <tr r="AK13" s="1"/>
        <tr r="AK13" s="1"/>
        <tr r="AK15" s="1"/>
        <tr r="AK15" s="1"/>
        <tr r="AK39" s="1"/>
        <tr r="AK39" s="1"/>
        <tr r="AK19" s="1"/>
        <tr r="AK19" s="1"/>
        <tr r="AK35" s="1"/>
        <tr r="AK35" s="1"/>
        <tr r="AK33" s="1"/>
        <tr r="AK33" s="1"/>
        <tr r="AK31" s="1"/>
        <tr r="AK31" s="1"/>
        <tr r="AK29" s="1"/>
        <tr r="AK29" s="1"/>
      </tp>
      <tp>
        <v>375</v>
        <stp/>
        <stp>OPEN_INT</stp>
        <stp>.OPEN251128C14</stp>
        <tr r="E20" s="1"/>
        <tr r="E20" s="1"/>
        <tr r="T16" s="2"/>
        <tr r="T16" s="2"/>
      </tp>
      <tp>
        <v>1092</v>
        <stp/>
        <stp>OPEN_INT</stp>
        <stp>.OPEN251121C17</stp>
        <tr r="D14" s="1"/>
        <tr r="D14" s="1"/>
        <tr r="S10" s="2"/>
        <tr r="S10" s="2"/>
      </tp>
      <tp t="s">
        <v>N/A</v>
        <stp/>
        <stp>OPEN_INT</stp>
        <stp>.OPEN261120C17</stp>
        <tr r="V14" s="1"/>
      </tp>
      <tp>
        <v>640</v>
        <stp/>
        <stp>OPEN_INT</stp>
        <stp>.OPEN251114C14</stp>
        <tr r="C20" s="1"/>
        <tr r="C20" s="1"/>
        <tr r="AQ52" s="1"/>
        <tr r="AQ52" s="1"/>
        <tr r="AR52" s="5"/>
        <tr r="AR52" s="5"/>
        <tr r="AR50" s="5"/>
        <tr r="AR50" s="5"/>
        <tr r="AR48" s="5"/>
        <tr r="AR48" s="5"/>
        <tr r="AR10" s="5"/>
        <tr r="AR10" s="5"/>
        <tr r="AR12" s="5"/>
        <tr r="AR12" s="5"/>
        <tr r="AR42" s="5"/>
        <tr r="AR42" s="5"/>
        <tr r="AR40" s="5"/>
        <tr r="AR40" s="5"/>
        <tr r="AR18" s="5"/>
        <tr r="AR18" s="5"/>
        <tr r="AR20" s="5"/>
        <tr r="AR20" s="5"/>
        <tr r="AR22" s="5"/>
        <tr r="AR22" s="5"/>
        <tr r="AR32" s="5"/>
        <tr r="AR32" s="5"/>
        <tr r="AR30" s="5"/>
        <tr r="AR30" s="5"/>
        <tr r="AR28" s="5"/>
        <tr r="AR28" s="5"/>
        <tr r="AQ7" s="1"/>
        <tr r="AQ7" s="1"/>
        <tr r="AQ48" s="1"/>
        <tr r="AQ48" s="1"/>
        <tr r="AQ10" s="1"/>
        <tr r="AQ10" s="1"/>
        <tr r="AQ44" s="1"/>
        <tr r="AQ44" s="1"/>
        <tr r="AQ42" s="1"/>
        <tr r="AQ42" s="1"/>
        <tr r="AQ40" s="1"/>
        <tr r="AQ40" s="1"/>
        <tr r="AQ18" s="1"/>
        <tr r="AQ18" s="1"/>
        <tr r="AQ20" s="1"/>
        <tr r="AQ20" s="1"/>
        <tr r="AQ34" s="1"/>
        <tr r="AQ34" s="1"/>
        <tr r="AQ32" s="1"/>
        <tr r="AQ32" s="1"/>
        <tr r="AQ30" s="1"/>
        <tr r="AQ30" s="1"/>
        <tr r="AQ28" s="1"/>
        <tr r="AQ28" s="1"/>
        <tr r="AR6" s="5"/>
        <tr r="AR6" s="5"/>
        <tr r="AR8" s="5"/>
        <tr r="AR8" s="5"/>
        <tr r="AR46" s="5"/>
        <tr r="AR46" s="5"/>
        <tr r="AR44" s="5"/>
        <tr r="AR44" s="5"/>
        <tr r="AR14" s="5"/>
        <tr r="AR14" s="5"/>
        <tr r="AR16" s="5"/>
        <tr r="AR16" s="5"/>
        <tr r="AR38" s="5"/>
        <tr r="AR38" s="5"/>
        <tr r="AR36" s="5"/>
        <tr r="AR36" s="5"/>
        <tr r="AR34" s="5"/>
        <tr r="AR34" s="5"/>
        <tr r="AR24" s="5"/>
        <tr r="AR24" s="5"/>
        <tr r="AR26" s="5"/>
        <tr r="AR26" s="5"/>
        <tr r="AQ6" s="1"/>
        <tr r="AQ6" s="1"/>
        <tr r="AQ8" s="1"/>
        <tr r="AQ8" s="1"/>
        <tr r="AQ46" s="1"/>
        <tr r="AQ46" s="1"/>
        <tr r="AQ12" s="1"/>
        <tr r="AQ12" s="1"/>
        <tr r="AQ14" s="1"/>
        <tr r="AQ14" s="1"/>
        <tr r="AQ16" s="1"/>
        <tr r="AQ16" s="1"/>
        <tr r="AQ38" s="1"/>
        <tr r="AQ38" s="1"/>
        <tr r="AQ36" s="1"/>
        <tr r="AQ36" s="1"/>
        <tr r="AQ22" s="1"/>
        <tr r="AQ22" s="1"/>
        <tr r="AQ24" s="1"/>
        <tr r="AQ24" s="1"/>
        <tr r="AQ26" s="1"/>
        <tr r="AQ26" s="1"/>
        <tr r="AR7" s="5"/>
        <tr r="AR7" s="5"/>
        <tr r="AR9" s="5"/>
        <tr r="AR9" s="5"/>
        <tr r="AR11" s="5"/>
        <tr r="AR11" s="5"/>
        <tr r="AR13" s="5"/>
        <tr r="AR13" s="5"/>
        <tr r="AR41" s="5"/>
        <tr r="AR41" s="5"/>
        <tr r="AR39" s="5"/>
        <tr r="AR39" s="5"/>
        <tr r="AR37" s="5"/>
        <tr r="AR37" s="5"/>
        <tr r="AR21" s="5"/>
        <tr r="AR21" s="5"/>
        <tr r="AR33" s="5"/>
        <tr r="AR33" s="5"/>
        <tr r="AR25" s="5"/>
        <tr r="AR25" s="5"/>
        <tr r="AR27" s="5"/>
        <tr r="AR27" s="5"/>
        <tr r="AQ51" s="1"/>
        <tr r="AQ51" s="1"/>
        <tr r="AQ50" s="1"/>
        <tr r="AQ50" s="1"/>
        <tr r="AQ5" s="1"/>
        <tr r="AQ5" s="1"/>
        <tr r="AQ49" s="1"/>
        <tr r="AQ49" s="1"/>
        <tr r="AQ47" s="1"/>
        <tr r="AQ47" s="1"/>
        <tr r="AQ45" s="1"/>
        <tr r="AQ45" s="1"/>
        <tr r="AQ13" s="1"/>
        <tr r="AQ13" s="1"/>
        <tr r="AQ15" s="1"/>
        <tr r="AQ15" s="1"/>
        <tr r="AQ17" s="1"/>
        <tr r="AQ17" s="1"/>
        <tr r="AQ37" s="1"/>
        <tr r="AQ37" s="1"/>
        <tr r="AQ35" s="1"/>
        <tr r="AQ35" s="1"/>
        <tr r="AQ33" s="1"/>
        <tr r="AQ33" s="1"/>
        <tr r="AQ31" s="1"/>
        <tr r="AQ31" s="1"/>
        <tr r="AQ29" s="1"/>
        <tr r="AQ29" s="1"/>
        <tr r="AR51" s="5"/>
        <tr r="AR51" s="5"/>
        <tr r="AR5" s="5"/>
        <tr r="AR5" s="5"/>
        <tr r="AR49" s="5"/>
        <tr r="AR49" s="5"/>
        <tr r="AR47" s="5"/>
        <tr r="AR47" s="5"/>
        <tr r="AR45" s="5"/>
        <tr r="AR45" s="5"/>
        <tr r="AR43" s="5"/>
        <tr r="AR43" s="5"/>
        <tr r="AR15" s="5"/>
        <tr r="AR15" s="5"/>
        <tr r="AR17" s="5"/>
        <tr r="AR17" s="5"/>
        <tr r="AR19" s="5"/>
        <tr r="AR19" s="5"/>
        <tr r="AR35" s="5"/>
        <tr r="AR35" s="5"/>
        <tr r="AR23" s="5"/>
        <tr r="AR23" s="5"/>
        <tr r="AR31" s="5"/>
        <tr r="AR31" s="5"/>
        <tr r="AR29" s="5"/>
        <tr r="AR29" s="5"/>
        <tr r="AQ9" s="1"/>
        <tr r="AQ9" s="1"/>
        <tr r="AQ11" s="1"/>
        <tr r="AQ11" s="1"/>
        <tr r="AQ43" s="1"/>
        <tr r="AQ43" s="1"/>
        <tr r="AQ41" s="1"/>
        <tr r="AQ41" s="1"/>
        <tr r="AQ39" s="1"/>
        <tr r="AQ39" s="1"/>
        <tr r="AQ19" s="1"/>
        <tr r="AQ19" s="1"/>
        <tr r="AQ21" s="1"/>
        <tr r="AQ21" s="1"/>
        <tr r="AQ23" s="1"/>
        <tr r="AQ23" s="1"/>
        <tr r="AQ25" s="1"/>
        <tr r="AQ25" s="1"/>
        <tr r="AQ27" s="1"/>
        <tr r="AQ27" s="1"/>
      </tp>
      <tp>
        <v>2068</v>
        <stp/>
        <stp>OPEN_INT</stp>
        <stp>.OPEN251128C17</stp>
        <tr r="E14" s="1"/>
        <tr r="E14" s="1"/>
        <tr r="T10" s="2"/>
        <tr r="T10" s="2"/>
      </tp>
      <tp>
        <v>1672</v>
        <stp/>
        <stp>OPEN_INT</stp>
        <stp>.OPEN251121C16</stp>
        <tr r="D16" s="1"/>
        <tr r="D16" s="1"/>
        <tr r="S12" s="2"/>
        <tr r="S12" s="2"/>
      </tp>
      <tp t="s">
        <v>N/A</v>
        <stp/>
        <stp>OPEN_INT</stp>
        <stp>.OPEN261120C16</stp>
        <tr r="V16" s="1"/>
      </tp>
      <tp>
        <v>689</v>
        <stp/>
        <stp>OPEN_INT</stp>
        <stp>.OPEN251114C15</stp>
        <tr r="AP52" s="5"/>
        <tr r="AP52" s="5"/>
        <tr r="AO52" s="1"/>
        <tr r="AO52" s="1"/>
        <tr r="C18" s="1"/>
        <tr r="C18" s="1"/>
        <tr r="AP6" s="5"/>
        <tr r="AP6" s="5"/>
        <tr r="AP48" s="5"/>
        <tr r="AP48" s="5"/>
        <tr r="AP46" s="5"/>
        <tr r="AP46" s="5"/>
        <tr r="AP12" s="5"/>
        <tr r="AP12" s="5"/>
        <tr r="AP14" s="5"/>
        <tr r="AP14" s="5"/>
        <tr r="AP40" s="5"/>
        <tr r="AP40" s="5"/>
        <tr r="AP18" s="5"/>
        <tr r="AP18" s="5"/>
        <tr r="AP20" s="5"/>
        <tr r="AP20" s="5"/>
        <tr r="AP22" s="5"/>
        <tr r="AP22" s="5"/>
        <tr r="AP32" s="5"/>
        <tr r="AP32" s="5"/>
        <tr r="AP30" s="5"/>
        <tr r="AP30" s="5"/>
        <tr r="AP28" s="5"/>
        <tr r="AP28" s="5"/>
        <tr r="AO6" s="1"/>
        <tr r="AO6" s="1"/>
        <tr r="AO48" s="1"/>
        <tr r="AO48" s="1"/>
        <tr r="AO10" s="1"/>
        <tr r="AO10" s="1"/>
        <tr r="AO44" s="1"/>
        <tr r="AO44" s="1"/>
        <tr r="AO42" s="1"/>
        <tr r="AO42" s="1"/>
        <tr r="AO16" s="1"/>
        <tr r="AO16" s="1"/>
        <tr r="AO18" s="1"/>
        <tr r="AO18" s="1"/>
        <tr r="AO36" s="1"/>
        <tr r="AO36" s="1"/>
        <tr r="AO22" s="1"/>
        <tr r="AO22" s="1"/>
        <tr r="AO32" s="1"/>
        <tr r="AO32" s="1"/>
        <tr r="AO26" s="1"/>
        <tr r="AO26" s="1"/>
        <tr r="AO28" s="1"/>
        <tr r="AO28" s="1"/>
        <tr r="AP51" s="5"/>
        <tr r="AP51" s="5"/>
        <tr r="AP50" s="5"/>
        <tr r="AP50" s="5"/>
        <tr r="AP8" s="5"/>
        <tr r="AP8" s="5"/>
        <tr r="AP10" s="5"/>
        <tr r="AP10" s="5"/>
        <tr r="AP44" s="5"/>
        <tr r="AP44" s="5"/>
        <tr r="AP42" s="5"/>
        <tr r="AP42" s="5"/>
        <tr r="AP16" s="5"/>
        <tr r="AP16" s="5"/>
        <tr r="AP38" s="5"/>
        <tr r="AP38" s="5"/>
        <tr r="AP36" s="5"/>
        <tr r="AP36" s="5"/>
        <tr r="AP34" s="5"/>
        <tr r="AP34" s="5"/>
        <tr r="AP24" s="5"/>
        <tr r="AP24" s="5"/>
        <tr r="AP26" s="5"/>
        <tr r="AP26" s="5"/>
        <tr r="AO50" s="1"/>
        <tr r="AO50" s="1"/>
        <tr r="AO8" s="1"/>
        <tr r="AO8" s="1"/>
        <tr r="AO46" s="1"/>
        <tr r="AO46" s="1"/>
        <tr r="AO12" s="1"/>
        <tr r="AO12" s="1"/>
        <tr r="AO14" s="1"/>
        <tr r="AO14" s="1"/>
        <tr r="AO40" s="1"/>
        <tr r="AO40" s="1"/>
        <tr r="AO38" s="1"/>
        <tr r="AO38" s="1"/>
        <tr r="AO20" s="1"/>
        <tr r="AO20" s="1"/>
        <tr r="AO34" s="1"/>
        <tr r="AO34" s="1"/>
        <tr r="AO24" s="1"/>
        <tr r="AO24" s="1"/>
        <tr r="AO30" s="1"/>
        <tr r="AO30" s="1"/>
        <tr r="AP5" s="5"/>
        <tr r="AP5" s="5"/>
        <tr r="AP47" s="5"/>
        <tr r="AP47" s="5"/>
        <tr r="AP11" s="5"/>
        <tr r="AP11" s="5"/>
        <tr r="AP13" s="5"/>
        <tr r="AP13" s="5"/>
        <tr r="AP41" s="5"/>
        <tr r="AP41" s="5"/>
        <tr r="AP39" s="5"/>
        <tr r="AP39" s="5"/>
        <tr r="AP37" s="5"/>
        <tr r="AP37" s="5"/>
        <tr r="AP21" s="5"/>
        <tr r="AP21" s="5"/>
        <tr r="AP33" s="5"/>
        <tr r="AP33" s="5"/>
        <tr r="AP25" s="5"/>
        <tr r="AP25" s="5"/>
        <tr r="AP27" s="5"/>
        <tr r="AP27" s="5"/>
        <tr r="AO5" s="1"/>
        <tr r="AO5" s="1"/>
        <tr r="AO49" s="1"/>
        <tr r="AO49" s="1"/>
        <tr r="AO47" s="1"/>
        <tr r="AO47" s="1"/>
        <tr r="AO45" s="1"/>
        <tr r="AO45" s="1"/>
        <tr r="AO13" s="1"/>
        <tr r="AO13" s="1"/>
        <tr r="AO41" s="1"/>
        <tr r="AO41" s="1"/>
        <tr r="AO39" s="1"/>
        <tr r="AO39" s="1"/>
        <tr r="AO37" s="1"/>
        <tr r="AO37" s="1"/>
        <tr r="AO21" s="1"/>
        <tr r="AO21" s="1"/>
        <tr r="AO33" s="1"/>
        <tr r="AO33" s="1"/>
        <tr r="AO31" s="1"/>
        <tr r="AO31" s="1"/>
        <tr r="AO29" s="1"/>
        <tr r="AO29" s="1"/>
        <tr r="AP7" s="5"/>
        <tr r="AP7" s="5"/>
        <tr r="AP49" s="5"/>
        <tr r="AP49" s="5"/>
        <tr r="AP9" s="5"/>
        <tr r="AP9" s="5"/>
        <tr r="AP45" s="5"/>
        <tr r="AP45" s="5"/>
        <tr r="AP43" s="5"/>
        <tr r="AP43" s="5"/>
        <tr r="AP15" s="5"/>
        <tr r="AP15" s="5"/>
        <tr r="AP17" s="5"/>
        <tr r="AP17" s="5"/>
        <tr r="AP19" s="5"/>
        <tr r="AP19" s="5"/>
        <tr r="AP35" s="5"/>
        <tr r="AP35" s="5"/>
        <tr r="AP23" s="5"/>
        <tr r="AP23" s="5"/>
        <tr r="AP31" s="5"/>
        <tr r="AP31" s="5"/>
        <tr r="AP29" s="5"/>
        <tr r="AP29" s="5"/>
        <tr r="AO51" s="1"/>
        <tr r="AO51" s="1"/>
        <tr r="AO7" s="1"/>
        <tr r="AO7" s="1"/>
        <tr r="AO9" s="1"/>
        <tr r="AO9" s="1"/>
        <tr r="AO11" s="1"/>
        <tr r="AO11" s="1"/>
        <tr r="AO43" s="1"/>
        <tr r="AO43" s="1"/>
        <tr r="AO15" s="1"/>
        <tr r="AO15" s="1"/>
        <tr r="AO17" s="1"/>
        <tr r="AO17" s="1"/>
        <tr r="AO19" s="1"/>
        <tr r="AO19" s="1"/>
        <tr r="AO35" s="1"/>
        <tr r="AO35" s="1"/>
        <tr r="AO23" s="1"/>
        <tr r="AO23" s="1"/>
        <tr r="AO25" s="1"/>
        <tr r="AO25" s="1"/>
        <tr r="AO27" s="1"/>
        <tr r="AO27" s="1"/>
      </tp>
      <tp>
        <v>303</v>
        <stp/>
        <stp>OPEN_INT</stp>
        <stp>.OPEN251128C16</stp>
        <tr r="E16" s="1"/>
        <tr r="E16" s="1"/>
        <tr r="T12" s="2"/>
        <tr r="T12" s="2"/>
      </tp>
      <tp>
        <v>11212</v>
        <stp/>
        <stp>OPEN_INT</stp>
        <stp>.OPEN251121C11</stp>
        <tr r="D26" s="1"/>
        <tr r="D26" s="1"/>
        <tr r="S22" s="2"/>
        <tr r="S22" s="2"/>
      </tp>
      <tp t="s">
        <v>N/A</v>
        <stp/>
        <stp>OPEN_INT</stp>
        <stp>.OPEN261120C11</stp>
        <tr r="V26" s="1"/>
      </tp>
      <tp>
        <v>1683</v>
        <stp/>
        <stp>OPEN_INT</stp>
        <stp>.OPEN251114C12</stp>
        <tr r="C24" s="1"/>
        <tr r="C24" s="1"/>
        <tr r="AU52" s="1"/>
        <tr r="AU52" s="1"/>
        <tr r="AV52" s="5"/>
        <tr r="AV52" s="5"/>
        <tr r="AV6" s="5"/>
        <tr r="AV6" s="5"/>
        <tr r="AV48" s="5"/>
        <tr r="AV48" s="5"/>
        <tr r="AV10" s="5"/>
        <tr r="AV10" s="5"/>
        <tr r="AV12" s="5"/>
        <tr r="AV12" s="5"/>
        <tr r="AV42" s="5"/>
        <tr r="AV42" s="5"/>
        <tr r="AV16" s="5"/>
        <tr r="AV16" s="5"/>
        <tr r="AV18" s="5"/>
        <tr r="AV18" s="5"/>
        <tr r="AV36" s="5"/>
        <tr r="AV36" s="5"/>
        <tr r="AV22" s="5"/>
        <tr r="AV22" s="5"/>
        <tr r="AV32" s="5"/>
        <tr r="AV32" s="5"/>
        <tr r="AV30" s="5"/>
        <tr r="AV30" s="5"/>
        <tr r="AV28" s="5"/>
        <tr r="AV28" s="5"/>
        <tr r="AU6" s="1"/>
        <tr r="AU6" s="1"/>
        <tr r="AU8" s="1"/>
        <tr r="AU8" s="1"/>
        <tr r="AU10" s="1"/>
        <tr r="AU10" s="1"/>
        <tr r="AU44" s="1"/>
        <tr r="AU44" s="1"/>
        <tr r="AU14" s="1"/>
        <tr r="AU14" s="1"/>
        <tr r="AU40" s="1"/>
        <tr r="AU40" s="1"/>
        <tr r="AU18" s="1"/>
        <tr r="AU18" s="1"/>
        <tr r="AU20" s="1"/>
        <tr r="AU20" s="1"/>
        <tr r="AU22" s="1"/>
        <tr r="AU22" s="1"/>
        <tr r="AU24" s="1"/>
        <tr r="AU24" s="1"/>
        <tr r="AU30" s="1"/>
        <tr r="AU30" s="1"/>
        <tr r="AU28" s="1"/>
        <tr r="AU28" s="1"/>
        <tr r="AV5" s="5"/>
        <tr r="AV5" s="5"/>
        <tr r="AV50" s="5"/>
        <tr r="AV50" s="5"/>
        <tr r="AV8" s="5"/>
        <tr r="AV8" s="5"/>
        <tr r="AV46" s="5"/>
        <tr r="AV46" s="5"/>
        <tr r="AV44" s="5"/>
        <tr r="AV44" s="5"/>
        <tr r="AV14" s="5"/>
        <tr r="AV14" s="5"/>
        <tr r="AV40" s="5"/>
        <tr r="AV40" s="5"/>
        <tr r="AV38" s="5"/>
        <tr r="AV38" s="5"/>
        <tr r="AV20" s="5"/>
        <tr r="AV20" s="5"/>
        <tr r="AV34" s="5"/>
        <tr r="AV34" s="5"/>
        <tr r="AV24" s="5"/>
        <tr r="AV24" s="5"/>
        <tr r="AV26" s="5"/>
        <tr r="AV26" s="5"/>
        <tr r="AU48" s="1"/>
        <tr r="AU48" s="1"/>
        <tr r="AU46" s="1"/>
        <tr r="AU46" s="1"/>
        <tr r="AU12" s="1"/>
        <tr r="AU12" s="1"/>
        <tr r="AU42" s="1"/>
        <tr r="AU42" s="1"/>
        <tr r="AU16" s="1"/>
        <tr r="AU16" s="1"/>
        <tr r="AU38" s="1"/>
        <tr r="AU38" s="1"/>
        <tr r="AU36" s="1"/>
        <tr r="AU36" s="1"/>
        <tr r="AU34" s="1"/>
        <tr r="AU34" s="1"/>
        <tr r="AU32" s="1"/>
        <tr r="AU32" s="1"/>
        <tr r="AU26" s="1"/>
        <tr r="AU26" s="1"/>
        <tr r="AV49" s="5"/>
        <tr r="AV49" s="5"/>
        <tr r="AV9" s="5"/>
        <tr r="AV9" s="5"/>
        <tr r="AV45" s="5"/>
        <tr r="AV45" s="5"/>
        <tr r="AV13" s="5"/>
        <tr r="AV13" s="5"/>
        <tr r="AV15" s="5"/>
        <tr r="AV15" s="5"/>
        <tr r="AV39" s="5"/>
        <tr r="AV39" s="5"/>
        <tr r="AV37" s="5"/>
        <tr r="AV37" s="5"/>
        <tr r="AV21" s="5"/>
        <tr r="AV21" s="5"/>
        <tr r="AV33" s="5"/>
        <tr r="AV33" s="5"/>
        <tr r="AV31" s="5"/>
        <tr r="AV31" s="5"/>
        <tr r="AV27" s="5"/>
        <tr r="AV27" s="5"/>
        <tr r="AU5" s="1"/>
        <tr r="AU5" s="1"/>
        <tr r="AU50" s="1"/>
        <tr r="AU50" s="1"/>
        <tr r="AU51" s="1"/>
        <tr r="AU51" s="1"/>
        <tr r="AU49" s="1"/>
        <tr r="AU49" s="1"/>
        <tr r="AU47" s="1"/>
        <tr r="AU47" s="1"/>
        <tr r="AU45" s="1"/>
        <tr r="AU45" s="1"/>
        <tr r="AU43" s="1"/>
        <tr r="AU43" s="1"/>
        <tr r="AU15" s="1"/>
        <tr r="AU15" s="1"/>
        <tr r="AU17" s="1"/>
        <tr r="AU17" s="1"/>
        <tr r="AU37" s="1"/>
        <tr r="AU37" s="1"/>
        <tr r="AU35" s="1"/>
        <tr r="AU35" s="1"/>
        <tr r="AU33" s="1"/>
        <tr r="AU33" s="1"/>
        <tr r="AU31" s="1"/>
        <tr r="AU31" s="1"/>
        <tr r="AU29" s="1"/>
        <tr r="AU29" s="1"/>
        <tr r="AV51" s="5"/>
        <tr r="AV51" s="5"/>
        <tr r="AV7" s="5"/>
        <tr r="AV7" s="5"/>
        <tr r="AV47" s="5"/>
        <tr r="AV47" s="5"/>
        <tr r="AV11" s="5"/>
        <tr r="AV11" s="5"/>
        <tr r="AV43" s="5"/>
        <tr r="AV43" s="5"/>
        <tr r="AV41" s="5"/>
        <tr r="AV41" s="5"/>
        <tr r="AV17" s="5"/>
        <tr r="AV17" s="5"/>
        <tr r="AV19" s="5"/>
        <tr r="AV19" s="5"/>
        <tr r="AV35" s="5"/>
        <tr r="AV35" s="5"/>
        <tr r="AV23" s="5"/>
        <tr r="AV23" s="5"/>
        <tr r="AV25" s="5"/>
        <tr r="AV25" s="5"/>
        <tr r="AV29" s="5"/>
        <tr r="AV29" s="5"/>
        <tr r="AU7" s="1"/>
        <tr r="AU7" s="1"/>
        <tr r="AU9" s="1"/>
        <tr r="AU9" s="1"/>
        <tr r="AU11" s="1"/>
        <tr r="AU11" s="1"/>
        <tr r="AU13" s="1"/>
        <tr r="AU13" s="1"/>
        <tr r="AU41" s="1"/>
        <tr r="AU41" s="1"/>
        <tr r="AU39" s="1"/>
        <tr r="AU39" s="1"/>
        <tr r="AU19" s="1"/>
        <tr r="AU19" s="1"/>
        <tr r="AU21" s="1"/>
        <tr r="AU21" s="1"/>
        <tr r="AU23" s="1"/>
        <tr r="AU23" s="1"/>
        <tr r="AU25" s="1"/>
        <tr r="AU25" s="1"/>
        <tr r="AU27" s="1"/>
        <tr r="AU27" s="1"/>
      </tp>
      <tp t="s">
        <v>N/A</v>
        <stp/>
        <stp>OPEN_INT</stp>
        <stp>.OPEN251226C21</stp>
        <tr r="I6" s="1"/>
      </tp>
      <tp>
        <v>2840</v>
        <stp/>
        <stp>OPEN_INT</stp>
        <stp>.OPEN251128C11</stp>
        <tr r="E26" s="1"/>
        <tr r="E26" s="1"/>
        <tr r="T22" s="2"/>
        <tr r="T22" s="2"/>
      </tp>
      <tp>
        <v>70802</v>
        <stp/>
        <stp>OPEN_INT</stp>
        <stp>.OPEN251121C10</stp>
        <tr r="D28" s="1"/>
        <tr r="D28" s="1"/>
        <tr r="S24" s="2"/>
        <tr r="S24" s="2"/>
      </tp>
      <tp t="s">
        <v>N/A</v>
        <stp/>
        <stp>OPEN_INT</stp>
        <stp>.OPEN261120C10</stp>
        <tr r="V28" s="1"/>
      </tp>
      <tp>
        <v>862</v>
        <stp/>
        <stp>OPEN_INT</stp>
        <stp>.OPEN251114C13</stp>
        <tr r="AS52" s="1"/>
        <tr r="AS52" s="1"/>
        <tr r="C22" s="1"/>
        <tr r="C22" s="1"/>
        <tr r="AT52" s="5"/>
        <tr r="AT52" s="5"/>
        <tr r="AT49" s="5"/>
        <tr r="AT49" s="5"/>
        <tr r="AT48" s="5"/>
        <tr r="AT48" s="5"/>
        <tr r="AT46" s="5"/>
        <tr r="AT46" s="5"/>
        <tr r="AT12" s="5"/>
        <tr r="AT12" s="5"/>
        <tr r="AT42" s="5"/>
        <tr r="AT42" s="5"/>
        <tr r="AT16" s="5"/>
        <tr r="AT16" s="5"/>
        <tr r="AT18" s="5"/>
        <tr r="AT18" s="5"/>
        <tr r="AT20" s="5"/>
        <tr r="AT20" s="5"/>
        <tr r="AT22" s="5"/>
        <tr r="AT22" s="5"/>
        <tr r="AT24" s="5"/>
        <tr r="AT24" s="5"/>
        <tr r="AT26" s="5"/>
        <tr r="AT26" s="5"/>
        <tr r="AT28" s="5"/>
        <tr r="AT28" s="5"/>
        <tr r="AS6" s="1"/>
        <tr r="AS6" s="1"/>
        <tr r="AS8" s="1"/>
        <tr r="AS8" s="1"/>
        <tr r="AS46" s="1"/>
        <tr r="AS46" s="1"/>
        <tr r="AS44" s="1"/>
        <tr r="AS44" s="1"/>
        <tr r="AS42" s="1"/>
        <tr r="AS42" s="1"/>
        <tr r="AS40" s="1"/>
        <tr r="AS40" s="1"/>
        <tr r="AS18" s="1"/>
        <tr r="AS18" s="1"/>
        <tr r="AS20" s="1"/>
        <tr r="AS20" s="1"/>
        <tr r="AS34" s="1"/>
        <tr r="AS34" s="1"/>
        <tr r="AS32" s="1"/>
        <tr r="AS32" s="1"/>
        <tr r="AS30" s="1"/>
        <tr r="AS30" s="1"/>
        <tr r="AS28" s="1"/>
        <tr r="AS28" s="1"/>
        <tr r="AT5" s="5"/>
        <tr r="AT5" s="5"/>
        <tr r="AT50" s="5"/>
        <tr r="AT50" s="5"/>
        <tr r="AT6" s="5"/>
        <tr r="AT6" s="5"/>
        <tr r="AT8" s="5"/>
        <tr r="AT8" s="5"/>
        <tr r="AT10" s="5"/>
        <tr r="AT10" s="5"/>
        <tr r="AT44" s="5"/>
        <tr r="AT44" s="5"/>
        <tr r="AT14" s="5"/>
        <tr r="AT14" s="5"/>
        <tr r="AT40" s="5"/>
        <tr r="AT40" s="5"/>
        <tr r="AT38" s="5"/>
        <tr r="AT38" s="5"/>
        <tr r="AT36" s="5"/>
        <tr r="AT36" s="5"/>
        <tr r="AT34" s="5"/>
        <tr r="AT34" s="5"/>
        <tr r="AT32" s="5"/>
        <tr r="AT32" s="5"/>
        <tr r="AT30" s="5"/>
        <tr r="AT30" s="5"/>
        <tr r="AS51" s="1"/>
        <tr r="AS51" s="1"/>
        <tr r="AS48" s="1"/>
        <tr r="AS48" s="1"/>
        <tr r="AS10" s="1"/>
        <tr r="AS10" s="1"/>
        <tr r="AS12" s="1"/>
        <tr r="AS12" s="1"/>
        <tr r="AS14" s="1"/>
        <tr r="AS14" s="1"/>
        <tr r="AS16" s="1"/>
        <tr r="AS16" s="1"/>
        <tr r="AS38" s="1"/>
        <tr r="AS38" s="1"/>
        <tr r="AS36" s="1"/>
        <tr r="AS36" s="1"/>
        <tr r="AS22" s="1"/>
        <tr r="AS22" s="1"/>
        <tr r="AS24" s="1"/>
        <tr r="AS24" s="1"/>
        <tr r="AS26" s="1"/>
        <tr r="AS26" s="1"/>
        <tr r="AT9" s="5"/>
        <tr r="AT9" s="5"/>
        <tr r="AT45" s="5"/>
        <tr r="AT45" s="5"/>
        <tr r="AT13" s="5"/>
        <tr r="AT13" s="5"/>
        <tr r="AT15" s="5"/>
        <tr r="AT15" s="5"/>
        <tr r="AT39" s="5"/>
        <tr r="AT39" s="5"/>
        <tr r="AT19" s="5"/>
        <tr r="AT19" s="5"/>
        <tr r="AT21" s="5"/>
        <tr r="AT21" s="5"/>
        <tr r="AT33" s="5"/>
        <tr r="AT33" s="5"/>
        <tr r="AT25" s="5"/>
        <tr r="AT25" s="5"/>
        <tr r="AT27" s="5"/>
        <tr r="AT27" s="5"/>
        <tr r="AS50" s="1"/>
        <tr r="AS50" s="1"/>
        <tr r="AS5" s="1"/>
        <tr r="AS5" s="1"/>
        <tr r="AS49" s="1"/>
        <tr r="AS49" s="1"/>
        <tr r="AS47" s="1"/>
        <tr r="AS47" s="1"/>
        <tr r="AS11" s="1"/>
        <tr r="AS11" s="1"/>
        <tr r="AS43" s="1"/>
        <tr r="AS43" s="1"/>
        <tr r="AS15" s="1"/>
        <tr r="AS15" s="1"/>
        <tr r="AS17" s="1"/>
        <tr r="AS17" s="1"/>
        <tr r="AS37" s="1"/>
        <tr r="AS37" s="1"/>
        <tr r="AS35" s="1"/>
        <tr r="AS35" s="1"/>
        <tr r="AS33" s="1"/>
        <tr r="AS33" s="1"/>
        <tr r="AS31" s="1"/>
        <tr r="AS31" s="1"/>
        <tr r="AS29" s="1"/>
        <tr r="AS29" s="1"/>
        <tr r="AT51" s="5"/>
        <tr r="AT51" s="5"/>
        <tr r="AT7" s="5"/>
        <tr r="AT7" s="5"/>
        <tr r="AT47" s="5"/>
        <tr r="AT47" s="5"/>
        <tr r="AT11" s="5"/>
        <tr r="AT11" s="5"/>
        <tr r="AT43" s="5"/>
        <tr r="AT43" s="5"/>
        <tr r="AT41" s="5"/>
        <tr r="AT41" s="5"/>
        <tr r="AT17" s="5"/>
        <tr r="AT17" s="5"/>
        <tr r="AT37" s="5"/>
        <tr r="AT37" s="5"/>
        <tr r="AT35" s="5"/>
        <tr r="AT35" s="5"/>
        <tr r="AT23" s="5"/>
        <tr r="AT23" s="5"/>
        <tr r="AT31" s="5"/>
        <tr r="AT31" s="5"/>
        <tr r="AT29" s="5"/>
        <tr r="AT29" s="5"/>
        <tr r="AS7" s="1"/>
        <tr r="AS7" s="1"/>
        <tr r="AS9" s="1"/>
        <tr r="AS9" s="1"/>
        <tr r="AS45" s="1"/>
        <tr r="AS45" s="1"/>
        <tr r="AS13" s="1"/>
        <tr r="AS13" s="1"/>
        <tr r="AS41" s="1"/>
        <tr r="AS41" s="1"/>
        <tr r="AS39" s="1"/>
        <tr r="AS39" s="1"/>
        <tr r="AS19" s="1"/>
        <tr r="AS19" s="1"/>
        <tr r="AS21" s="1"/>
        <tr r="AS21" s="1"/>
        <tr r="AS23" s="1"/>
        <tr r="AS23" s="1"/>
        <tr r="AS25" s="1"/>
        <tr r="AS25" s="1"/>
        <tr r="AS27" s="1"/>
        <tr r="AS27" s="1"/>
      </tp>
      <tp t="s">
        <v>N/A</v>
        <stp/>
        <stp>OPEN_INT</stp>
        <stp>.OPEN251226C20</stp>
        <tr r="I8" s="1"/>
      </tp>
      <tp>
        <v>6204</v>
        <stp/>
        <stp>OPEN_INT</stp>
        <stp>.OPEN251128C10</stp>
        <tr r="E28" s="1"/>
        <tr r="E28" s="1"/>
        <tr r="T24" s="2"/>
        <tr r="T24" s="2"/>
      </tp>
      <tp>
        <v>16875</v>
        <stp/>
        <stp>OPEN_INT</stp>
        <stp>.OPEN251121C13</stp>
        <tr r="D22" s="1"/>
        <tr r="D22" s="1"/>
        <tr r="S18" s="2"/>
        <tr r="S18" s="2"/>
      </tp>
      <tp t="s">
        <v>N/A</v>
        <stp/>
        <stp>OPEN_INT</stp>
        <stp>.OPEN261120C13</stp>
        <tr r="V22" s="1"/>
      </tp>
      <tp t="s">
        <v>N/A</v>
        <stp/>
        <stp>OPEN_INT</stp>
        <stp>.OPEN251212C20</stp>
        <tr r="G8" s="1"/>
      </tp>
      <tp t="s">
        <v>N/A</v>
        <stp/>
        <stp>OPEN_INT</stp>
        <stp>.OPEN251205C21</stp>
        <tr r="F6" s="1"/>
      </tp>
      <tp>
        <v>19548</v>
        <stp/>
        <stp>OPEN_INT</stp>
        <stp>.OPEN251114C10</stp>
        <tr r="AY52" s="1"/>
        <tr r="AY52" s="1"/>
        <tr r="C28" s="1"/>
        <tr r="C28" s="1"/>
        <tr r="AZ52" s="5"/>
        <tr r="AZ52" s="5"/>
        <tr r="AZ6" s="5"/>
        <tr r="AZ6" s="5"/>
        <tr r="AZ48" s="5"/>
        <tr r="AZ48" s="5"/>
        <tr r="AZ10" s="5"/>
        <tr r="AZ10" s="5"/>
        <tr r="AZ44" s="5"/>
        <tr r="AZ44" s="5"/>
        <tr r="AZ42" s="5"/>
        <tr r="AZ42" s="5"/>
        <tr r="AZ40" s="5"/>
        <tr r="AZ40" s="5"/>
        <tr r="AZ38" s="5"/>
        <tr r="AZ38" s="5"/>
        <tr r="AZ36" s="5"/>
        <tr r="AZ36" s="5"/>
        <tr r="AZ22" s="5"/>
        <tr r="AZ22" s="5"/>
        <tr r="AZ32" s="5"/>
        <tr r="AZ32" s="5"/>
        <tr r="AZ26" s="5"/>
        <tr r="AZ26" s="5"/>
        <tr r="AZ28" s="5"/>
        <tr r="AZ28" s="5"/>
        <tr r="AY5" s="1"/>
        <tr r="AY5" s="1"/>
        <tr r="AY8" s="1"/>
        <tr r="AY8" s="1"/>
        <tr r="AY46" s="1"/>
        <tr r="AY46" s="1"/>
        <tr r="AY12" s="1"/>
        <tr r="AY12" s="1"/>
        <tr r="AY42" s="1"/>
        <tr r="AY42" s="1"/>
        <tr r="AY40" s="1"/>
        <tr r="AY40" s="1"/>
        <tr r="AY18" s="1"/>
        <tr r="AY18" s="1"/>
        <tr r="AY20" s="1"/>
        <tr r="AY20" s="1"/>
        <tr r="AY22" s="1"/>
        <tr r="AY22" s="1"/>
        <tr r="AY32" s="1"/>
        <tr r="AY32" s="1"/>
        <tr r="AY26" s="1"/>
        <tr r="AY26" s="1"/>
        <tr r="AY28" s="1"/>
        <tr r="AY28" s="1"/>
        <tr r="AZ51" s="5"/>
        <tr r="AZ51" s="5"/>
        <tr r="AZ50" s="5"/>
        <tr r="AZ50" s="5"/>
        <tr r="AZ8" s="5"/>
        <tr r="AZ8" s="5"/>
        <tr r="AZ46" s="5"/>
        <tr r="AZ46" s="5"/>
        <tr r="AZ12" s="5"/>
        <tr r="AZ12" s="5"/>
        <tr r="AZ14" s="5"/>
        <tr r="AZ14" s="5"/>
        <tr r="AZ16" s="5"/>
        <tr r="AZ16" s="5"/>
        <tr r="AZ18" s="5"/>
        <tr r="AZ18" s="5"/>
        <tr r="AZ20" s="5"/>
        <tr r="AZ20" s="5"/>
        <tr r="AZ34" s="5"/>
        <tr r="AZ34" s="5"/>
        <tr r="AZ24" s="5"/>
        <tr r="AZ24" s="5"/>
        <tr r="AZ30" s="5"/>
        <tr r="AZ30" s="5"/>
        <tr r="AY50" s="1"/>
        <tr r="AY50" s="1"/>
        <tr r="AY6" s="1"/>
        <tr r="AY6" s="1"/>
        <tr r="AY48" s="1"/>
        <tr r="AY48" s="1"/>
        <tr r="AY10" s="1"/>
        <tr r="AY10" s="1"/>
        <tr r="AY44" s="1"/>
        <tr r="AY44" s="1"/>
        <tr r="AY14" s="1"/>
        <tr r="AY14" s="1"/>
        <tr r="AY16" s="1"/>
        <tr r="AY16" s="1"/>
        <tr r="AY38" s="1"/>
        <tr r="AY38" s="1"/>
        <tr r="AY36" s="1"/>
        <tr r="AY36" s="1"/>
        <tr r="AY34" s="1"/>
        <tr r="AY34" s="1"/>
        <tr r="AY24" s="1"/>
        <tr r="AY24" s="1"/>
        <tr r="AY30" s="1"/>
        <tr r="AY30" s="1"/>
        <tr r="AZ7" s="5"/>
        <tr r="AZ7" s="5"/>
        <tr r="AZ9" s="5"/>
        <tr r="AZ9" s="5"/>
        <tr r="AZ11" s="5"/>
        <tr r="AZ11" s="5"/>
        <tr r="AZ13" s="5"/>
        <tr r="AZ13" s="5"/>
        <tr r="AZ15" s="5"/>
        <tr r="AZ15" s="5"/>
        <tr r="AZ39" s="5"/>
        <tr r="AZ39" s="5"/>
        <tr r="AZ19" s="5"/>
        <tr r="AZ19" s="5"/>
        <tr r="AZ35" s="5"/>
        <tr r="AZ35" s="5"/>
        <tr r="AZ23" s="5"/>
        <tr r="AZ23" s="5"/>
        <tr r="AZ31" s="5"/>
        <tr r="AZ31" s="5"/>
        <tr r="AZ29" s="5"/>
        <tr r="AZ29" s="5"/>
        <tr r="AY51" s="1"/>
        <tr r="AY51" s="1"/>
        <tr r="AY7" s="1"/>
        <tr r="AY7" s="1"/>
        <tr r="AY9" s="1"/>
        <tr r="AY9" s="1"/>
        <tr r="AY11" s="1"/>
        <tr r="AY11" s="1"/>
        <tr r="AY43" s="1"/>
        <tr r="AY43" s="1"/>
        <tr r="AY15" s="1"/>
        <tr r="AY15" s="1"/>
        <tr r="AY17" s="1"/>
        <tr r="AY17" s="1"/>
        <tr r="AY37" s="1"/>
        <tr r="AY37" s="1"/>
        <tr r="AY21" s="1"/>
        <tr r="AY21" s="1"/>
        <tr r="AY33" s="1"/>
        <tr r="AY33" s="1"/>
        <tr r="AY31" s="1"/>
        <tr r="AY31" s="1"/>
        <tr r="AY27" s="1"/>
        <tr r="AY27" s="1"/>
        <tr r="AZ5" s="5"/>
        <tr r="AZ5" s="5"/>
        <tr r="AZ49" s="5"/>
        <tr r="AZ49" s="5"/>
        <tr r="AZ47" s="5"/>
        <tr r="AZ47" s="5"/>
        <tr r="AZ45" s="5"/>
        <tr r="AZ45" s="5"/>
        <tr r="AZ43" s="5"/>
        <tr r="AZ43" s="5"/>
        <tr r="AZ41" s="5"/>
        <tr r="AZ41" s="5"/>
        <tr r="AZ17" s="5"/>
        <tr r="AZ17" s="5"/>
        <tr r="AZ37" s="5"/>
        <tr r="AZ37" s="5"/>
        <tr r="AZ21" s="5"/>
        <tr r="AZ21" s="5"/>
        <tr r="AZ33" s="5"/>
        <tr r="AZ33" s="5"/>
        <tr r="AZ25" s="5"/>
        <tr r="AZ25" s="5"/>
        <tr r="AZ27" s="5"/>
        <tr r="AZ27" s="5"/>
        <tr r="AY49" s="1"/>
        <tr r="AY49" s="1"/>
        <tr r="AY47" s="1"/>
        <tr r="AY47" s="1"/>
        <tr r="AY45" s="1"/>
        <tr r="AY45" s="1"/>
        <tr r="AY13" s="1"/>
        <tr r="AY13" s="1"/>
        <tr r="AY41" s="1"/>
        <tr r="AY41" s="1"/>
        <tr r="AY39" s="1"/>
        <tr r="AY39" s="1"/>
        <tr r="AY19" s="1"/>
        <tr r="AY19" s="1"/>
        <tr r="AY35" s="1"/>
        <tr r="AY35" s="1"/>
        <tr r="AY23" s="1"/>
        <tr r="AY23" s="1"/>
        <tr r="AY25" s="1"/>
        <tr r="AY25" s="1"/>
        <tr r="AY29" s="1"/>
        <tr r="AY29" s="1"/>
      </tp>
      <tp t="s">
        <v>N/A</v>
        <stp/>
        <stp>OPEN_INT</stp>
        <stp>.OPEN251219C20</stp>
        <tr r="H8" s="1"/>
      </tp>
      <tp>
        <v>255</v>
        <stp/>
        <stp>OPEN_INT</stp>
        <stp>.OPEN251128C13</stp>
        <tr r="E22" s="1"/>
        <tr r="E22" s="1"/>
        <tr r="T18" s="2"/>
        <tr r="T18" s="2"/>
      </tp>
      <tp t="s">
        <v>N/A</v>
        <stp/>
        <stp>OPEN_INT</stp>
        <stp>.OPEN261218C20</stp>
        <tr r="W8" s="1"/>
      </tp>
      <tp>
        <v>12436</v>
        <stp/>
        <stp>OPEN_INT</stp>
        <stp>.OPEN251121C12</stp>
        <tr r="D24" s="1"/>
        <tr r="D24" s="1"/>
        <tr r="S20" s="2"/>
        <tr r="S20" s="2"/>
      </tp>
      <tp t="s">
        <v>N/A</v>
        <stp/>
        <stp>OPEN_INT</stp>
        <stp>.OPEN261120C12</stp>
        <tr r="V24" s="1"/>
      </tp>
      <tp t="s">
        <v>N/A</v>
        <stp/>
        <stp>OPEN_INT</stp>
        <stp>.OPEN251212C21</stp>
        <tr r="G6" s="1"/>
      </tp>
      <tp t="s">
        <v>N/A</v>
        <stp/>
        <stp>OPEN_INT</stp>
        <stp>.OPEN251205C20</stp>
        <tr r="F8" s="1"/>
      </tp>
      <tp>
        <v>3075</v>
        <stp/>
        <stp>OPEN_INT</stp>
        <stp>.OPEN251114C11</stp>
        <tr r="AW52" s="1"/>
        <tr r="AW52" s="1"/>
        <tr r="C26" s="1"/>
        <tr r="C26" s="1"/>
        <tr r="AX52" s="5"/>
        <tr r="AX52" s="5"/>
        <tr r="AX7" s="5"/>
        <tr r="AX7" s="5"/>
        <tr r="AX50" s="5"/>
        <tr r="AX50" s="5"/>
        <tr r="AX48" s="5"/>
        <tr r="AX48" s="5"/>
        <tr r="AX46" s="5"/>
        <tr r="AX46" s="5"/>
        <tr r="AX44" s="5"/>
        <tr r="AX44" s="5"/>
        <tr r="AX42" s="5"/>
        <tr r="AX42" s="5"/>
        <tr r="AX16" s="5"/>
        <tr r="AX16" s="5"/>
        <tr r="AX38" s="5"/>
        <tr r="AX38" s="5"/>
        <tr r="AX36" s="5"/>
        <tr r="AX36" s="5"/>
        <tr r="AX22" s="5"/>
        <tr r="AX22" s="5"/>
        <tr r="AX32" s="5"/>
        <tr r="AX32" s="5"/>
        <tr r="AX26" s="5"/>
        <tr r="AX26" s="5"/>
        <tr r="AX28" s="5"/>
        <tr r="AX28" s="5"/>
        <tr r="AW46" s="1"/>
        <tr r="AW46" s="1"/>
        <tr r="AW40" s="1"/>
        <tr r="AW40" s="1"/>
        <tr r="AW22" s="1"/>
        <tr r="AW22" s="1"/>
        <tr r="AW30" s="1"/>
        <tr r="AW30" s="1"/>
        <tr r="AW28" s="1"/>
        <tr r="AW28" s="1"/>
        <tr r="AX49" s="5"/>
        <tr r="AX49" s="5"/>
        <tr r="AX6" s="5"/>
        <tr r="AX6" s="5"/>
        <tr r="AX8" s="5"/>
        <tr r="AX8" s="5"/>
        <tr r="AX10" s="5"/>
        <tr r="AX10" s="5"/>
        <tr r="AX12" s="5"/>
        <tr r="AX12" s="5"/>
        <tr r="AX14" s="5"/>
        <tr r="AX14" s="5"/>
        <tr r="AX40" s="5"/>
        <tr r="AX40" s="5"/>
        <tr r="AX18" s="5"/>
        <tr r="AX18" s="5"/>
        <tr r="AX20" s="5"/>
        <tr r="AX20" s="5"/>
        <tr r="AX34" s="5"/>
        <tr r="AX34" s="5"/>
        <tr r="AX24" s="5"/>
        <tr r="AX24" s="5"/>
        <tr r="AX30" s="5"/>
        <tr r="AX30" s="5"/>
        <tr r="AW50" s="1"/>
        <tr r="AW50" s="1"/>
        <tr r="AW14" s="1"/>
        <tr r="AW14" s="1"/>
        <tr r="AW36" s="1"/>
        <tr r="AW36" s="1"/>
        <tr r="AW6" s="1"/>
        <tr r="AW6" s="1"/>
        <tr r="AW10" s="1"/>
        <tr r="AW10" s="1"/>
        <tr r="AW42" s="1"/>
        <tr r="AW42" s="1"/>
        <tr r="AW16" s="1"/>
        <tr r="AW16" s="1"/>
        <tr r="AW38" s="1"/>
        <tr r="AW38" s="1"/>
        <tr r="AW20" s="1"/>
        <tr r="AW20" s="1"/>
        <tr r="AW34" s="1"/>
        <tr r="AW34" s="1"/>
        <tr r="AW24" s="1"/>
        <tr r="AW24" s="1"/>
        <tr r="AW26" s="1"/>
        <tr r="AW26" s="1"/>
        <tr r="AX5" s="5"/>
        <tr r="AX5" s="5"/>
        <tr r="AX47" s="5"/>
        <tr r="AX47" s="5"/>
        <tr r="AX11" s="5"/>
        <tr r="AX11" s="5"/>
        <tr r="AX13" s="5"/>
        <tr r="AX13" s="5"/>
        <tr r="AX15" s="5"/>
        <tr r="AX15" s="5"/>
        <tr r="AX39" s="5"/>
        <tr r="AX39" s="5"/>
        <tr r="AX19" s="5"/>
        <tr r="AX19" s="5"/>
        <tr r="AX35" s="5"/>
        <tr r="AX35" s="5"/>
        <tr r="AX23" s="5"/>
        <tr r="AX23" s="5"/>
        <tr r="AX31" s="5"/>
        <tr r="AX31" s="5"/>
        <tr r="AX27" s="5"/>
        <tr r="AX27" s="5"/>
        <tr r="AW12" s="1"/>
        <tr r="AW12" s="1"/>
        <tr r="AW18" s="1"/>
        <tr r="AW18" s="1"/>
        <tr r="AW32" s="1"/>
        <tr r="AW32" s="1"/>
        <tr r="AW48" s="1"/>
        <tr r="AW48" s="1"/>
        <tr r="AW44" s="1"/>
        <tr r="AW44" s="1"/>
        <tr r="AW51" s="1"/>
        <tr r="AW51" s="1"/>
        <tr r="AW49" s="1"/>
        <tr r="AW49" s="1"/>
        <tr r="AW9" s="1"/>
        <tr r="AW9" s="1"/>
        <tr r="AW11" s="1"/>
        <tr r="AW11" s="1"/>
        <tr r="AW43" s="1"/>
        <tr r="AW43" s="1"/>
        <tr r="AW41" s="1"/>
        <tr r="AW41" s="1"/>
        <tr r="AW17" s="1"/>
        <tr r="AW17" s="1"/>
        <tr r="AW37" s="1"/>
        <tr r="AW37" s="1"/>
        <tr r="AW21" s="1"/>
        <tr r="AW21" s="1"/>
        <tr r="AW33" s="1"/>
        <tr r="AW33" s="1"/>
        <tr r="AW31" s="1"/>
        <tr r="AW31" s="1"/>
        <tr r="AW27" s="1"/>
        <tr r="AW27" s="1"/>
        <tr r="AX51" s="5"/>
        <tr r="AX51" s="5"/>
        <tr r="AX9" s="5"/>
        <tr r="AX9" s="5"/>
        <tr r="AX45" s="5"/>
        <tr r="AX45" s="5"/>
        <tr r="AX43" s="5"/>
        <tr r="AX43" s="5"/>
        <tr r="AX41" s="5"/>
        <tr r="AX41" s="5"/>
        <tr r="AX17" s="5"/>
        <tr r="AX17" s="5"/>
        <tr r="AX37" s="5"/>
        <tr r="AX37" s="5"/>
        <tr r="AX21" s="5"/>
        <tr r="AX21" s="5"/>
        <tr r="AX33" s="5"/>
        <tr r="AX33" s="5"/>
        <tr r="AX25" s="5"/>
        <tr r="AX25" s="5"/>
        <tr r="AX29" s="5"/>
        <tr r="AX29" s="5"/>
        <tr r="AW8" s="1"/>
        <tr r="AW8" s="1"/>
        <tr r="AW5" s="1"/>
        <tr r="AW5" s="1"/>
        <tr r="AW7" s="1"/>
        <tr r="AW7" s="1"/>
        <tr r="AW47" s="1"/>
        <tr r="AW47" s="1"/>
        <tr r="AW45" s="1"/>
        <tr r="AW45" s="1"/>
        <tr r="AW13" s="1"/>
        <tr r="AW13" s="1"/>
        <tr r="AW15" s="1"/>
        <tr r="AW15" s="1"/>
        <tr r="AW39" s="1"/>
        <tr r="AW39" s="1"/>
        <tr r="AW19" s="1"/>
        <tr r="AW19" s="1"/>
        <tr r="AW35" s="1"/>
        <tr r="AW35" s="1"/>
        <tr r="AW23" s="1"/>
        <tr r="AW23" s="1"/>
        <tr r="AW25" s="1"/>
        <tr r="AW25" s="1"/>
        <tr r="AW29" s="1"/>
        <tr r="AW29" s="1"/>
      </tp>
      <tp t="s">
        <v>N/A</v>
        <stp/>
        <stp>OPEN_INT</stp>
        <stp>.OPEN251219C21</stp>
        <tr r="H6" s="1"/>
      </tp>
      <tp>
        <v>2014</v>
        <stp/>
        <stp>OPEN_INT</stp>
        <stp>.OPEN251128C12</stp>
        <tr r="E24" s="1"/>
        <tr r="E24" s="1"/>
        <tr r="T20" s="2"/>
        <tr r="T20" s="2"/>
      </tp>
      <tp t="s">
        <v>N/A</v>
        <stp/>
        <stp>OPEN_INT</stp>
        <stp>.OPEN261218C21</stp>
        <tr r="W6" s="1"/>
      </tp>
      <tp t="s">
        <v>N/A</v>
        <stp/>
        <stp>OPEN_INT</stp>
        <stp>.OPEN251021C19</stp>
        <tr r="J6" s="2"/>
      </tp>
      <tp>
        <v>2543</v>
        <stp/>
        <stp>OPEN_INT</stp>
        <stp>.OPEN251031C18</stp>
        <tr r="R8" s="2"/>
        <tr r="R8" s="2"/>
      </tp>
      <tp t="s">
        <v>N/A</v>
        <stp/>
        <stp>OPEN_INT</stp>
        <stp>.OPEN251020C19</stp>
        <tr r="I6" s="2"/>
      </tp>
      <tp t="s">
        <v>N/A</v>
        <stp/>
        <stp>OPEN_INT</stp>
        <stp>.OPEN251030C18</stp>
        <tr r="Q8" s="2"/>
      </tp>
      <tp t="s">
        <v>N/A</v>
        <stp/>
        <stp>OPEN_INT</stp>
        <stp>.OPEN251023C19</stp>
        <tr r="L6" s="2"/>
      </tp>
      <tp t="s">
        <v>N/A</v>
        <stp/>
        <stp>OPEN_INT</stp>
        <stp>.OPEN251022C19</stp>
        <tr r="K6" s="2"/>
      </tp>
      <tp>
        <v>463</v>
        <stp/>
        <stp>OPEN_INT</stp>
        <stp>.OPEN251024C19</stp>
        <tr r="M6" s="2"/>
        <tr r="M6" s="2"/>
      </tp>
      <tp t="s">
        <v>N/A</v>
        <stp/>
        <stp>OPEN_INT</stp>
        <stp>.OPEN251027C19</stp>
        <tr r="N6" s="2"/>
      </tp>
      <tp t="s">
        <v>N/A</v>
        <stp/>
        <stp>OPEN_INT</stp>
        <stp>.OPEN251029C19</stp>
        <tr r="P6" s="2"/>
      </tp>
      <tp t="s">
        <v>N/A</v>
        <stp/>
        <stp>OPEN_INT</stp>
        <stp>.OPEN251028C19</stp>
        <tr r="O6" s="2"/>
      </tp>
      <tp t="s">
        <v>N/A</v>
        <stp/>
        <stp>OPEN_INT</stp>
        <stp>.OPEN251021C18</stp>
        <tr r="J8" s="2"/>
      </tp>
      <tp>
        <v>4349</v>
        <stp/>
        <stp>OPEN_INT</stp>
        <stp>.OPEN251031C19</stp>
        <tr r="R6" s="2"/>
        <tr r="R6" s="2"/>
      </tp>
      <tp t="s">
        <v>N/A</v>
        <stp/>
        <stp>OPEN_INT</stp>
        <stp>.OPEN251020C18</stp>
        <tr r="I8" s="2"/>
      </tp>
      <tp t="s">
        <v>N/A</v>
        <stp/>
        <stp>OPEN_INT</stp>
        <stp>.OPEN251030C19</stp>
        <tr r="Q6" s="2"/>
      </tp>
      <tp t="s">
        <v>N/A</v>
        <stp/>
        <stp>OPEN_INT</stp>
        <stp>.OPEN251023C18</stp>
        <tr r="L8" s="2"/>
      </tp>
      <tp t="s">
        <v>N/A</v>
        <stp/>
        <stp>OPEN_INT</stp>
        <stp>.OPEN251022C18</stp>
        <tr r="K8" s="2"/>
      </tp>
      <tp>
        <v>432</v>
        <stp/>
        <stp>OPEN_INT</stp>
        <stp>.OPEN251024C18</stp>
        <tr r="M8" s="2"/>
        <tr r="M8" s="2"/>
      </tp>
      <tp t="s">
        <v>N/A</v>
        <stp/>
        <stp>OPEN_INT</stp>
        <stp>.OPEN251027C18</stp>
        <tr r="N8" s="2"/>
      </tp>
      <tp t="s">
        <v>N/A</v>
        <stp/>
        <stp>OPEN_INT</stp>
        <stp>.OPEN251029C18</stp>
        <tr r="P8" s="2"/>
      </tp>
      <tp t="s">
        <v>N/A</v>
        <stp/>
        <stp>OPEN_INT</stp>
        <stp>.OPEN251028C18</stp>
        <tr r="O8" s="2"/>
      </tp>
      <tp>
        <v>1496</v>
        <stp/>
        <stp>OPEN_INT</stp>
        <stp>.OPEN251010C18</stp>
        <tr r="C8" s="2"/>
        <tr r="C8" s="2"/>
      </tp>
      <tp t="s">
        <v>N/A</v>
        <stp/>
        <stp>OPEN_INT</stp>
        <stp>.OPEN251013C18</stp>
        <tr r="D8" s="2"/>
      </tp>
      <tp t="s">
        <v>N/A</v>
        <stp/>
        <stp>OPEN_INT</stp>
        <stp>.OPEN251015C18</stp>
        <tr r="F8" s="2"/>
      </tp>
      <tp t="s">
        <v>N/A</v>
        <stp/>
        <stp>OPEN_INT</stp>
        <stp>.OPEN261016C18</stp>
        <tr r="U12" s="1"/>
      </tp>
      <tp t="s">
        <v>N/A</v>
        <stp/>
        <stp>OPEN_INT</stp>
        <stp>.OPEN251014C18</stp>
        <tr r="E8" s="2"/>
      </tp>
      <tp>
        <v>1920</v>
        <stp/>
        <stp>OPEN_INT</stp>
        <stp>.OPEN251017C18</stp>
        <tr r="H8" s="2"/>
        <tr r="H8" s="2"/>
      </tp>
      <tp t="s">
        <v>N/A</v>
        <stp/>
        <stp>OPEN_INT</stp>
        <stp>.OPEN251016C18</stp>
        <tr r="G8" s="2"/>
      </tp>
      <tp t="s">
        <v>N/A</v>
        <stp/>
        <stp>OPEN_INT</stp>
        <stp>.OPEN251009C19</stp>
        <tr r="B6" s="2"/>
      </tp>
      <tp>
        <v>1350</v>
        <stp/>
        <stp>OPEN_INT</stp>
        <stp>.OPEN251010C19</stp>
        <tr r="C6" s="2"/>
        <tr r="C6" s="2"/>
      </tp>
      <tp t="s">
        <v>N/A</v>
        <stp/>
        <stp>OPEN_INT</stp>
        <stp>.OPEN251013C19</stp>
        <tr r="D6" s="2"/>
      </tp>
      <tp t="s">
        <v>N/A</v>
        <stp/>
        <stp>OPEN_INT</stp>
        <stp>.OPEN251015C19</stp>
        <tr r="F6" s="2"/>
      </tp>
      <tp t="s">
        <v>N/A</v>
        <stp/>
        <stp>OPEN_INT</stp>
        <stp>.OPEN261016C19</stp>
        <tr r="U10" s="1"/>
      </tp>
      <tp t="s">
        <v>N/A</v>
        <stp/>
        <stp>OPEN_INT</stp>
        <stp>.OPEN251014C19</stp>
        <tr r="E6" s="2"/>
      </tp>
      <tp>
        <v>1339</v>
        <stp/>
        <stp>OPEN_INT</stp>
        <stp>.OPEN251017C19</stp>
        <tr r="H6" s="2"/>
        <tr r="H6" s="2"/>
      </tp>
      <tp t="s">
        <v>N/A</v>
        <stp/>
        <stp>OPEN_INT</stp>
        <stp>.OPEN251016C19</stp>
        <tr r="G6" s="2"/>
      </tp>
      <tp t="s">
        <v>N/A</v>
        <stp/>
        <stp>OPEN_INT</stp>
        <stp>.OPEN251009C18</stp>
        <tr r="B8" s="2"/>
      </tp>
      <tp t="s">
        <v>N/A</v>
        <stp/>
        <stp>OPEN_INT</stp>
        <stp>.OPEN251021C15</stp>
        <tr r="J14" s="2"/>
      </tp>
      <tp>
        <v>1727</v>
        <stp/>
        <stp>OPEN_INT</stp>
        <stp>.OPEN251031C14</stp>
        <tr r="R16" s="2"/>
        <tr r="R16" s="2"/>
      </tp>
      <tp>
        <v>5909</v>
        <stp/>
        <stp>OPEN_INT</stp>
        <stp>.OPEN251010C16</stp>
        <tr r="C12" s="2"/>
        <tr r="C12" s="2"/>
      </tp>
      <tp t="s">
        <v>N/A</v>
        <stp/>
        <stp>OPEN_INT</stp>
        <stp>.OPEN251020C15</stp>
        <tr r="I14" s="2"/>
      </tp>
      <tp t="s">
        <v>N/A</v>
        <stp/>
        <stp>OPEN_INT</stp>
        <stp>.OPEN251030C14</stp>
        <tr r="Q16" s="2"/>
      </tp>
      <tp t="s">
        <v>N/A</v>
        <stp/>
        <stp>OPEN_INT</stp>
        <stp>.OPEN251013C16</stp>
        <tr r="D12" s="2"/>
      </tp>
      <tp t="s">
        <v>N/A</v>
        <stp/>
        <stp>OPEN_INT</stp>
        <stp>.OPEN251023C15</stp>
        <tr r="L14" s="2"/>
      </tp>
      <tp t="s">
        <v>N/A</v>
        <stp/>
        <stp>OPEN_INT</stp>
        <stp>.OPEN251022C15</stp>
        <tr r="K14" s="2"/>
      </tp>
      <tp t="s">
        <v>N/A</v>
        <stp/>
        <stp>OPEN_INT</stp>
        <stp>.OPEN251015C16</stp>
        <tr r="F12" s="2"/>
      </tp>
      <tp t="s">
        <v>N/A</v>
        <stp/>
        <stp>OPEN_INT</stp>
        <stp>.OPEN261016C16</stp>
        <tr r="U16" s="1"/>
      </tp>
      <tp t="s">
        <v>N/A</v>
        <stp/>
        <stp>OPEN_INT</stp>
        <stp>.OPEN251014C16</stp>
        <tr r="E12" s="2"/>
      </tp>
      <tp>
        <v>2583</v>
        <stp/>
        <stp>OPEN_INT</stp>
        <stp>.OPEN251024C15</stp>
        <tr r="M14" s="2"/>
        <tr r="M14" s="2"/>
      </tp>
      <tp>
        <v>847</v>
        <stp/>
        <stp>OPEN_INT</stp>
        <stp>.OPEN251017C16</stp>
        <tr r="H12" s="2"/>
        <tr r="H12" s="2"/>
      </tp>
      <tp t="s">
        <v>N/A</v>
        <stp/>
        <stp>OPEN_INT</stp>
        <stp>.OPEN251027C15</stp>
        <tr r="N14" s="2"/>
      </tp>
      <tp t="s">
        <v>N/A</v>
        <stp/>
        <stp>OPEN_INT</stp>
        <stp>.OPEN251016C16</stp>
        <tr r="G12" s="2"/>
      </tp>
      <tp t="s">
        <v>N/A</v>
        <stp/>
        <stp>OPEN_INT</stp>
        <stp>.OPEN251009C17</stp>
        <tr r="B10" s="2"/>
      </tp>
      <tp t="s">
        <v>N/A</v>
        <stp/>
        <stp>OPEN_INT</stp>
        <stp>.OPEN251029C15</stp>
        <tr r="P14" s="2"/>
      </tp>
      <tp t="s">
        <v>N/A</v>
        <stp/>
        <stp>OPEN_INT</stp>
        <stp>.OPEN251028C15</stp>
        <tr r="O14" s="2"/>
      </tp>
      <tp t="s">
        <v>N/A</v>
        <stp/>
        <stp>OPEN_INT</stp>
        <stp>.OPEN251021C14</stp>
        <tr r="J16" s="2"/>
      </tp>
      <tp>
        <v>5190</v>
        <stp/>
        <stp>OPEN_INT</stp>
        <stp>.OPEN251031C15</stp>
        <tr r="R14" s="2"/>
        <tr r="R14" s="2"/>
      </tp>
      <tp>
        <v>1501</v>
        <stp/>
        <stp>OPEN_INT</stp>
        <stp>.OPEN251010C17</stp>
        <tr r="C10" s="2"/>
        <tr r="C10" s="2"/>
      </tp>
      <tp t="s">
        <v>N/A</v>
        <stp/>
        <stp>OPEN_INT</stp>
        <stp>.OPEN251020C14</stp>
        <tr r="I16" s="2"/>
      </tp>
      <tp t="s">
        <v>N/A</v>
        <stp/>
        <stp>OPEN_INT</stp>
        <stp>.OPEN251030C15</stp>
        <tr r="Q14" s="2"/>
      </tp>
      <tp t="s">
        <v>N/A</v>
        <stp/>
        <stp>OPEN_INT</stp>
        <stp>.OPEN251013C17</stp>
        <tr r="D10" s="2"/>
      </tp>
      <tp t="s">
        <v>N/A</v>
        <stp/>
        <stp>OPEN_INT</stp>
        <stp>.OPEN251023C14</stp>
        <tr r="L16" s="2"/>
      </tp>
      <tp t="s">
        <v>N/A</v>
        <stp/>
        <stp>OPEN_INT</stp>
        <stp>.OPEN251022C14</stp>
        <tr r="K16" s="2"/>
      </tp>
      <tp t="s">
        <v>N/A</v>
        <stp/>
        <stp>OPEN_INT</stp>
        <stp>.OPEN251015C17</stp>
        <tr r="F10" s="2"/>
      </tp>
      <tp t="s">
        <v>N/A</v>
        <stp/>
        <stp>OPEN_INT</stp>
        <stp>.OPEN261016C17</stp>
        <tr r="U14" s="1"/>
      </tp>
      <tp t="s">
        <v>N/A</v>
        <stp/>
        <stp>OPEN_INT</stp>
        <stp>.OPEN251014C17</stp>
        <tr r="E10" s="2"/>
      </tp>
      <tp>
        <v>612</v>
        <stp/>
        <stp>OPEN_INT</stp>
        <stp>.OPEN251024C14</stp>
        <tr r="M16" s="2"/>
        <tr r="M16" s="2"/>
      </tp>
      <tp>
        <v>304</v>
        <stp/>
        <stp>OPEN_INT</stp>
        <stp>.OPEN251017C17</stp>
        <tr r="H10" s="2"/>
        <tr r="H10" s="2"/>
      </tp>
      <tp t="s">
        <v>N/A</v>
        <stp/>
        <stp>OPEN_INT</stp>
        <stp>.OPEN251027C14</stp>
        <tr r="N16" s="2"/>
      </tp>
      <tp t="s">
        <v>N/A</v>
        <stp/>
        <stp>OPEN_INT</stp>
        <stp>.OPEN251016C17</stp>
        <tr r="G10" s="2"/>
      </tp>
      <tp t="s">
        <v>N/A</v>
        <stp/>
        <stp>OPEN_INT</stp>
        <stp>.OPEN251009C16</stp>
        <tr r="B12" s="2"/>
      </tp>
      <tp t="s">
        <v>N/A</v>
        <stp/>
        <stp>OPEN_INT</stp>
        <stp>.OPEN251029C14</stp>
        <tr r="P16" s="2"/>
      </tp>
      <tp t="s">
        <v>N/A</v>
        <stp/>
        <stp>OPEN_INT</stp>
        <stp>.OPEN251028C14</stp>
        <tr r="O16" s="2"/>
      </tp>
      <tp t="s">
        <v>N/A</v>
        <stp/>
        <stp>OPEN_INT</stp>
        <stp>.OPEN251021C17</stp>
        <tr r="J10" s="2"/>
      </tp>
      <tp>
        <v>1346</v>
        <stp/>
        <stp>OPEN_INT</stp>
        <stp>.OPEN251031C16</stp>
        <tr r="R12" s="2"/>
        <tr r="R12" s="2"/>
      </tp>
      <tp>
        <v>1604</v>
        <stp/>
        <stp>OPEN_INT</stp>
        <stp>.OPEN251010C14</stp>
        <tr r="C16" s="2"/>
        <tr r="C16" s="2"/>
      </tp>
      <tp t="s">
        <v>N/A</v>
        <stp/>
        <stp>OPEN_INT</stp>
        <stp>.OPEN251020C17</stp>
        <tr r="I10" s="2"/>
      </tp>
      <tp t="s">
        <v>N/A</v>
        <stp/>
        <stp>OPEN_INT</stp>
        <stp>.OPEN251030C16</stp>
        <tr r="Q12" s="2"/>
      </tp>
      <tp t="s">
        <v>N/A</v>
        <stp/>
        <stp>OPEN_INT</stp>
        <stp>.OPEN251013C14</stp>
        <tr r="D16" s="2"/>
      </tp>
      <tp t="s">
        <v>N/A</v>
        <stp/>
        <stp>OPEN_INT</stp>
        <stp>.OPEN251023C17</stp>
        <tr r="L10" s="2"/>
      </tp>
      <tp t="s">
        <v>N/A</v>
        <stp/>
        <stp>OPEN_INT</stp>
        <stp>.OPEN251022C17</stp>
        <tr r="K10" s="2"/>
      </tp>
      <tp t="s">
        <v>N/A</v>
        <stp/>
        <stp>OPEN_INT</stp>
        <stp>.OPEN251015C14</stp>
        <tr r="F16" s="2"/>
      </tp>
      <tp t="s">
        <v>N/A</v>
        <stp/>
        <stp>OPEN_INT</stp>
        <stp>.OPEN261016C14</stp>
        <tr r="U20" s="1"/>
      </tp>
      <tp t="s">
        <v>N/A</v>
        <stp/>
        <stp>OPEN_INT</stp>
        <stp>.OPEN251014C14</stp>
        <tr r="E16" s="2"/>
      </tp>
      <tp>
        <v>427</v>
        <stp/>
        <stp>OPEN_INT</stp>
        <stp>.OPEN251024C17</stp>
        <tr r="M10" s="2"/>
        <tr r="M10" s="2"/>
      </tp>
      <tp>
        <v>3002</v>
        <stp/>
        <stp>OPEN_INT</stp>
        <stp>.OPEN251017C14</stp>
        <tr r="H16" s="2"/>
        <tr r="H16" s="2"/>
      </tp>
      <tp t="s">
        <v>N/A</v>
        <stp/>
        <stp>OPEN_INT</stp>
        <stp>.OPEN251027C17</stp>
        <tr r="N10" s="2"/>
      </tp>
      <tp t="s">
        <v>N/A</v>
        <stp/>
        <stp>OPEN_INT</stp>
        <stp>.OPEN251016C14</stp>
        <tr r="G16" s="2"/>
      </tp>
      <tp t="s">
        <v>N/A</v>
        <stp/>
        <stp>OPEN_INT</stp>
        <stp>.OPEN251009C15</stp>
        <tr r="B14" s="2"/>
      </tp>
      <tp t="s">
        <v>N/A</v>
        <stp/>
        <stp>OPEN_INT</stp>
        <stp>.OPEN251029C17</stp>
        <tr r="P10" s="2"/>
      </tp>
      <tp t="s">
        <v>N/A</v>
        <stp/>
        <stp>OPEN_INT</stp>
        <stp>.OPEN251028C17</stp>
        <tr r="O10" s="2"/>
      </tp>
      <tp t="s">
        <v>N/A</v>
        <stp/>
        <stp>OPEN_INT</stp>
        <stp>.OPEN251021C16</stp>
        <tr r="J12" s="2"/>
      </tp>
      <tp>
        <v>537</v>
        <stp/>
        <stp>OPEN_INT</stp>
        <stp>.OPEN251031C17</stp>
        <tr r="R10" s="2"/>
        <tr r="R10" s="2"/>
      </tp>
      <tp>
        <v>11665</v>
        <stp/>
        <stp>OPEN_INT</stp>
        <stp>.OPEN251010C15</stp>
        <tr r="C14" s="2"/>
        <tr r="C14" s="2"/>
      </tp>
      <tp t="s">
        <v>N/A</v>
        <stp/>
        <stp>OPEN_INT</stp>
        <stp>.OPEN251020C16</stp>
        <tr r="I12" s="2"/>
      </tp>
      <tp t="s">
        <v>N/A</v>
        <stp/>
        <stp>OPEN_INT</stp>
        <stp>.OPEN251030C17</stp>
        <tr r="Q10" s="2"/>
      </tp>
      <tp t="s">
        <v>N/A</v>
        <stp/>
        <stp>OPEN_INT</stp>
        <stp>.OPEN251013C15</stp>
        <tr r="D14" s="2"/>
      </tp>
      <tp t="s">
        <v>N/A</v>
        <stp/>
        <stp>OPEN_INT</stp>
        <stp>.OPEN251023C16</stp>
        <tr r="L12" s="2"/>
      </tp>
      <tp t="s">
        <v>N/A</v>
        <stp/>
        <stp>OPEN_INT</stp>
        <stp>.OPEN251022C16</stp>
        <tr r="K12" s="2"/>
      </tp>
      <tp t="s">
        <v>N/A</v>
        <stp/>
        <stp>OPEN_INT</stp>
        <stp>.OPEN251015C15</stp>
        <tr r="F14" s="2"/>
      </tp>
      <tp t="s">
        <v>N/A</v>
        <stp/>
        <stp>OPEN_INT</stp>
        <stp>.OPEN261016C15</stp>
        <tr r="U18" s="1"/>
      </tp>
      <tp t="s">
        <v>N/A</v>
        <stp/>
        <stp>OPEN_INT</stp>
        <stp>.OPEN251014C15</stp>
        <tr r="E14" s="2"/>
      </tp>
      <tp>
        <v>550</v>
        <stp/>
        <stp>OPEN_INT</stp>
        <stp>.OPEN251024C16</stp>
        <tr r="M12" s="2"/>
        <tr r="M12" s="2"/>
      </tp>
      <tp>
        <v>10891</v>
        <stp/>
        <stp>OPEN_INT</stp>
        <stp>.OPEN251017C15</stp>
        <tr r="H14" s="2"/>
        <tr r="H14" s="2"/>
      </tp>
      <tp t="s">
        <v>N/A</v>
        <stp/>
        <stp>OPEN_INT</stp>
        <stp>.OPEN251027C16</stp>
        <tr r="N12" s="2"/>
      </tp>
      <tp t="s">
        <v>N/A</v>
        <stp/>
        <stp>OPEN_INT</stp>
        <stp>.OPEN251016C15</stp>
        <tr r="G14" s="2"/>
      </tp>
      <tp t="s">
        <v>N/A</v>
        <stp/>
        <stp>OPEN_INT</stp>
        <stp>.OPEN251009C14</stp>
        <tr r="B16" s="2"/>
      </tp>
      <tp t="s">
        <v>N/A</v>
        <stp/>
        <stp>OPEN_INT</stp>
        <stp>.OPEN251029C16</stp>
        <tr r="P12" s="2"/>
      </tp>
      <tp t="s">
        <v>N/A</v>
        <stp/>
        <stp>OPEN_INT</stp>
        <stp>.OPEN251028C16</stp>
        <tr r="O12" s="2"/>
      </tp>
      <tp t="s">
        <v>N/A</v>
        <stp/>
        <stp>OPEN_INT</stp>
        <stp>.OPEN251021C11</stp>
        <tr r="J22" s="2"/>
      </tp>
      <tp>
        <v>52410</v>
        <stp/>
        <stp>OPEN_INT</stp>
        <stp>.OPEN251031C10</stp>
        <tr r="R24" s="2"/>
        <tr r="R24" s="2"/>
      </tp>
      <tp>
        <v>12864</v>
        <stp/>
        <stp>OPEN_INT</stp>
        <stp>.OPEN251010C12</stp>
        <tr r="C20" s="2"/>
        <tr r="C20" s="2"/>
      </tp>
      <tp t="s">
        <v>N/A</v>
        <stp/>
        <stp>OPEN_INT</stp>
        <stp>.OPEN251020C11</stp>
        <tr r="I22" s="2"/>
      </tp>
      <tp t="s">
        <v>N/A</v>
        <stp/>
        <stp>OPEN_INT</stp>
        <stp>.OPEN251030C10</stp>
        <tr r="Q24" s="2"/>
      </tp>
      <tp t="s">
        <v>N/A</v>
        <stp/>
        <stp>OPEN_INT</stp>
        <stp>.OPEN251013C12</stp>
        <tr r="D20" s="2"/>
      </tp>
      <tp t="s">
        <v>N/A</v>
        <stp/>
        <stp>OPEN_INT</stp>
        <stp>.OPEN251023C11</stp>
        <tr r="L22" s="2"/>
      </tp>
      <tp t="s">
        <v>N/A</v>
        <stp/>
        <stp>OPEN_INT</stp>
        <stp>.OPEN251022C11</stp>
        <tr r="K22" s="2"/>
      </tp>
      <tp t="s">
        <v>N/A</v>
        <stp/>
        <stp>OPEN_INT</stp>
        <stp>.OPEN251015C12</stp>
        <tr r="F20" s="2"/>
      </tp>
      <tp t="s">
        <v>N/A</v>
        <stp/>
        <stp>OPEN_INT</stp>
        <stp>.OPEN261016C12</stp>
        <tr r="U24" s="1"/>
      </tp>
      <tp t="s">
        <v>N/A</v>
        <stp/>
        <stp>OPEN_INT</stp>
        <stp>.OPEN251014C12</stp>
        <tr r="E20" s="2"/>
      </tp>
      <tp>
        <v>3311</v>
        <stp/>
        <stp>OPEN_INT</stp>
        <stp>.OPEN251024C11</stp>
        <tr r="M22" s="2"/>
        <tr r="M22" s="2"/>
      </tp>
      <tp>
        <v>16916</v>
        <stp/>
        <stp>OPEN_INT</stp>
        <stp>.OPEN251017C12</stp>
        <tr r="H20" s="2"/>
        <tr r="H20" s="2"/>
      </tp>
      <tp t="s">
        <v>N/A</v>
        <stp/>
        <stp>OPEN_INT</stp>
        <stp>.OPEN251027C11</stp>
        <tr r="N22" s="2"/>
      </tp>
      <tp t="s">
        <v>N/A</v>
        <stp/>
        <stp>OPEN_INT</stp>
        <stp>.OPEN251016C12</stp>
        <tr r="G20" s="2"/>
      </tp>
      <tp t="s">
        <v>N/A</v>
        <stp/>
        <stp>OPEN_INT</stp>
        <stp>.OPEN251009C13</stp>
        <tr r="B18" s="2"/>
      </tp>
      <tp t="s">
        <v>N/A</v>
        <stp/>
        <stp>OPEN_INT</stp>
        <stp>.OPEN251029C11</stp>
        <tr r="P22" s="2"/>
      </tp>
      <tp t="s">
        <v>N/A</v>
        <stp/>
        <stp>OPEN_INT</stp>
        <stp>.OPEN251028C11</stp>
        <tr r="O22" s="2"/>
      </tp>
      <tp t="s">
        <v>N/A</v>
        <stp/>
        <stp>OPEN_INT</stp>
        <stp>.OPEN251021C10</stp>
        <tr r="J24" s="2"/>
      </tp>
      <tp>
        <v>9935</v>
        <stp/>
        <stp>OPEN_INT</stp>
        <stp>.OPEN251031C11</stp>
        <tr r="R22" s="2"/>
        <tr r="R22" s="2"/>
      </tp>
      <tp>
        <v>8496</v>
        <stp/>
        <stp>OPEN_INT</stp>
        <stp>.OPEN251010C13</stp>
        <tr r="C18" s="2"/>
        <tr r="C18" s="2"/>
      </tp>
      <tp t="s">
        <v>N/A</v>
        <stp/>
        <stp>OPEN_INT</stp>
        <stp>.OPEN251020C10</stp>
        <tr r="I24" s="2"/>
      </tp>
      <tp t="s">
        <v>N/A</v>
        <stp/>
        <stp>OPEN_INT</stp>
        <stp>.OPEN251030C11</stp>
        <tr r="Q22" s="2"/>
      </tp>
      <tp t="s">
        <v>N/A</v>
        <stp/>
        <stp>OPEN_INT</stp>
        <stp>.OPEN251013C13</stp>
        <tr r="D18" s="2"/>
      </tp>
      <tp t="s">
        <v>N/A</v>
        <stp/>
        <stp>OPEN_INT</stp>
        <stp>.OPEN251023C10</stp>
        <tr r="L24" s="2"/>
      </tp>
      <tp t="s">
        <v>N/A</v>
        <stp/>
        <stp>OPEN_INT</stp>
        <stp>.OPEN251022C10</stp>
        <tr r="K24" s="2"/>
      </tp>
      <tp t="s">
        <v>N/A</v>
        <stp/>
        <stp>OPEN_INT</stp>
        <stp>.OPEN251015C13</stp>
        <tr r="F18" s="2"/>
      </tp>
      <tp t="s">
        <v>N/A</v>
        <stp/>
        <stp>OPEN_INT</stp>
        <stp>.OPEN261016C13</stp>
        <tr r="U22" s="1"/>
      </tp>
      <tp t="s">
        <v>N/A</v>
        <stp/>
        <stp>OPEN_INT</stp>
        <stp>.OPEN251014C13</stp>
        <tr r="E18" s="2"/>
      </tp>
      <tp>
        <v>18035</v>
        <stp/>
        <stp>OPEN_INT</stp>
        <stp>.OPEN251024C10</stp>
        <tr r="M24" s="2"/>
        <tr r="M24" s="2"/>
      </tp>
      <tp>
        <v>16477</v>
        <stp/>
        <stp>OPEN_INT</stp>
        <stp>.OPEN251017C13</stp>
        <tr r="H18" s="2"/>
        <tr r="H18" s="2"/>
      </tp>
      <tp t="s">
        <v>N/A</v>
        <stp/>
        <stp>OPEN_INT</stp>
        <stp>.OPEN251027C10</stp>
        <tr r="N24" s="2"/>
      </tp>
      <tp t="s">
        <v>N/A</v>
        <stp/>
        <stp>OPEN_INT</stp>
        <stp>.OPEN251016C13</stp>
        <tr r="G18" s="2"/>
      </tp>
      <tp t="s">
        <v>N/A</v>
        <stp/>
        <stp>OPEN_INT</stp>
        <stp>.OPEN251009C12</stp>
        <tr r="B20" s="2"/>
      </tp>
      <tp t="s">
        <v>N/A</v>
        <stp/>
        <stp>OPEN_INT</stp>
        <stp>.OPEN251029C10</stp>
        <tr r="P24" s="2"/>
      </tp>
      <tp t="s">
        <v>N/A</v>
        <stp/>
        <stp>OPEN_INT</stp>
        <stp>.OPEN251028C10</stp>
        <tr r="O24" s="2"/>
      </tp>
      <tp t="s">
        <v>N/A</v>
        <stp/>
        <stp>OPEN_INT</stp>
        <stp>.OPEN251021C13</stp>
        <tr r="J18" s="2"/>
      </tp>
      <tp>
        <v>12113</v>
        <stp/>
        <stp>OPEN_INT</stp>
        <stp>.OPEN251031C12</stp>
        <tr r="R20" s="2"/>
        <tr r="R20" s="2"/>
      </tp>
      <tp>
        <v>68897</v>
        <stp/>
        <stp>OPEN_INT</stp>
        <stp>.OPEN251010C10</stp>
        <tr r="C24" s="2"/>
        <tr r="C24" s="2"/>
      </tp>
      <tp t="s">
        <v>N/A</v>
        <stp/>
        <stp>OPEN_INT</stp>
        <stp>.OPEN251020C13</stp>
        <tr r="I18" s="2"/>
      </tp>
      <tp t="s">
        <v>N/A</v>
        <stp/>
        <stp>OPEN_INT</stp>
        <stp>.OPEN251030C12</stp>
        <tr r="Q20" s="2"/>
      </tp>
      <tp t="s">
        <v>N/A</v>
        <stp/>
        <stp>OPEN_INT</stp>
        <stp>.OPEN251013C10</stp>
        <tr r="D24" s="2"/>
      </tp>
      <tp t="s">
        <v>N/A</v>
        <stp/>
        <stp>OPEN_INT</stp>
        <stp>.OPEN251023C13</stp>
        <tr r="L18" s="2"/>
      </tp>
      <tp t="s">
        <v>N/A</v>
        <stp/>
        <stp>OPEN_INT</stp>
        <stp>.OPEN251022C13</stp>
        <tr r="K18" s="2"/>
      </tp>
      <tp t="s">
        <v>N/A</v>
        <stp/>
        <stp>OPEN_INT</stp>
        <stp>.OPEN251015C10</stp>
        <tr r="F24" s="2"/>
      </tp>
      <tp t="s">
        <v>N/A</v>
        <stp/>
        <stp>OPEN_INT</stp>
        <stp>.OPEN261016C10</stp>
        <tr r="U28" s="1"/>
      </tp>
      <tp t="s">
        <v>N/A</v>
        <stp/>
        <stp>OPEN_INT</stp>
        <stp>.OPEN251014C10</stp>
        <tr r="E24" s="2"/>
      </tp>
      <tp>
        <v>3520</v>
        <stp/>
        <stp>OPEN_INT</stp>
        <stp>.OPEN251024C13</stp>
        <tr r="M18" s="2"/>
        <tr r="M18" s="2"/>
      </tp>
      <tp>
        <v>74460</v>
        <stp/>
        <stp>OPEN_INT</stp>
        <stp>.OPEN251017C10</stp>
        <tr r="H24" s="2"/>
        <tr r="H24" s="2"/>
      </tp>
      <tp t="s">
        <v>N/A</v>
        <stp/>
        <stp>OPEN_INT</stp>
        <stp>.OPEN251027C13</stp>
        <tr r="N18" s="2"/>
      </tp>
      <tp t="s">
        <v>N/A</v>
        <stp/>
        <stp>OPEN_INT</stp>
        <stp>.OPEN251016C10</stp>
        <tr r="G24" s="2"/>
      </tp>
      <tp t="s">
        <v>N/A</v>
        <stp/>
        <stp>OPEN_INT</stp>
        <stp>.OPEN251009C11</stp>
        <tr r="B22" s="2"/>
      </tp>
      <tp t="s">
        <v>N/A</v>
        <stp/>
        <stp>OPEN_INT</stp>
        <stp>.OPEN251029C13</stp>
        <tr r="P18" s="2"/>
      </tp>
      <tp t="s">
        <v>N/A</v>
        <stp/>
        <stp>OPEN_INT</stp>
        <stp>.OPEN251028C13</stp>
        <tr r="O18" s="2"/>
      </tp>
      <tp t="s">
        <v>N/A</v>
        <stp/>
        <stp>OPEN_INT</stp>
        <stp>.OPEN251021C12</stp>
        <tr r="J20" s="2"/>
      </tp>
      <tp>
        <v>2420</v>
        <stp/>
        <stp>OPEN_INT</stp>
        <stp>.OPEN251031C13</stp>
        <tr r="R18" s="2"/>
        <tr r="R18" s="2"/>
      </tp>
      <tp>
        <v>22923</v>
        <stp/>
        <stp>OPEN_INT</stp>
        <stp>.OPEN251010C11</stp>
        <tr r="C22" s="2"/>
        <tr r="C22" s="2"/>
      </tp>
      <tp t="s">
        <v>N/A</v>
        <stp/>
        <stp>OPEN_INT</stp>
        <stp>.OPEN251020C12</stp>
        <tr r="I20" s="2"/>
      </tp>
      <tp t="s">
        <v>N/A</v>
        <stp/>
        <stp>OPEN_INT</stp>
        <stp>.OPEN251030C13</stp>
        <tr r="Q18" s="2"/>
      </tp>
      <tp t="s">
        <v>N/A</v>
        <stp/>
        <stp>OPEN_INT</stp>
        <stp>.OPEN251013C11</stp>
        <tr r="D22" s="2"/>
      </tp>
      <tp t="s">
        <v>N/A</v>
        <stp/>
        <stp>OPEN_INT</stp>
        <stp>.OPEN251023C12</stp>
        <tr r="L20" s="2"/>
      </tp>
      <tp t="s">
        <v>N/A</v>
        <stp/>
        <stp>OPEN_INT</stp>
        <stp>.OPEN251022C12</stp>
        <tr r="K20" s="2"/>
      </tp>
      <tp t="s">
        <v>N/A</v>
        <stp/>
        <stp>OPEN_INT</stp>
        <stp>.OPEN251015C11</stp>
        <tr r="F22" s="2"/>
      </tp>
      <tp t="s">
        <v>N/A</v>
        <stp/>
        <stp>OPEN_INT</stp>
        <stp>.OPEN261016C11</stp>
        <tr r="U26" s="1"/>
      </tp>
      <tp t="s">
        <v>N/A</v>
        <stp/>
        <stp>OPEN_INT</stp>
        <stp>.OPEN251014C11</stp>
        <tr r="E22" s="2"/>
      </tp>
      <tp>
        <v>3904</v>
        <stp/>
        <stp>OPEN_INT</stp>
        <stp>.OPEN251024C12</stp>
        <tr r="M20" s="2"/>
        <tr r="M20" s="2"/>
      </tp>
      <tp>
        <v>42182</v>
        <stp/>
        <stp>OPEN_INT</stp>
        <stp>.OPEN251017C11</stp>
        <tr r="H22" s="2"/>
        <tr r="H22" s="2"/>
      </tp>
      <tp t="s">
        <v>N/A</v>
        <stp/>
        <stp>OPEN_INT</stp>
        <stp>.OPEN251027C12</stp>
        <tr r="N20" s="2"/>
      </tp>
      <tp t="s">
        <v>N/A</v>
        <stp/>
        <stp>OPEN_INT</stp>
        <stp>.OPEN251016C11</stp>
        <tr r="G22" s="2"/>
      </tp>
      <tp t="s">
        <v>N/A</v>
        <stp/>
        <stp>OPEN_INT</stp>
        <stp>.OPEN251009C10</stp>
        <tr r="B24" s="2"/>
      </tp>
      <tp t="s">
        <v>N/A</v>
        <stp/>
        <stp>OPEN_INT</stp>
        <stp>.OPEN251029C12</stp>
        <tr r="P20" s="2"/>
      </tp>
      <tp t="s">
        <v>N/A</v>
        <stp/>
        <stp>OPEN_INT</stp>
        <stp>.OPEN251028C12</stp>
        <tr r="O20" s="2"/>
      </tp>
      <tp t="s">
        <v>N/A</v>
        <stp/>
        <stp>OPEN_INT</stp>
        <stp>.OPEN251226C-1</stp>
        <tr r="I50" s="1"/>
      </tp>
      <tp t="s">
        <v>N/A</v>
        <stp/>
        <stp>OPEN_INT</stp>
        <stp>.OPEN251219C-2</stp>
        <tr r="U48" s="2"/>
      </tp>
      <tp t="s">
        <v>N/A</v>
        <stp/>
        <stp>OPEN_INT</stp>
        <stp>.OPEN251231C-1</stp>
        <tr r="V46" s="2"/>
      </tp>
      <tp t="s">
        <v>N/A</v>
        <stp/>
        <stp>OPEN_INT</stp>
        <stp>.OPEN251219C-3</stp>
        <tr r="U50" s="2"/>
      </tp>
      <tp t="s">
        <v>N/A</v>
        <stp/>
        <stp>OPEN_INT</stp>
        <stp>.OPEN251231C-2</stp>
        <tr r="V48" s="2"/>
      </tp>
      <tp t="s">
        <v>N/A</v>
        <stp/>
        <stp>OPEN_INT</stp>
        <stp>.OPEN251205C-1</stp>
        <tr r="F50" s="1"/>
      </tp>
      <tp t="s">
        <v>N/A</v>
        <stp/>
        <stp>OPEN_INT</stp>
        <stp>.OPEN251231C-3</stp>
        <tr r="V50" s="2"/>
      </tp>
      <tp t="s">
        <v>N/A</v>
        <stp/>
        <stp>OPEN_INT</stp>
        <stp>.OPEN251212C-1</stp>
        <tr r="G50" s="1"/>
      </tp>
      <tp t="s">
        <v>N/A</v>
        <stp/>
        <stp>OPEN_INT</stp>
        <stp>.OPEN251219C-1</stp>
        <tr r="H50" s="1"/>
        <tr r="U46" s="2"/>
      </tp>
      <tp t="s">
        <v>N/A</v>
        <stp/>
        <stp>OPEN_INT</stp>
        <stp>.OPEN261218C-1</stp>
        <tr r="W50" s="1"/>
      </tp>
      <tp t="s">
        <v>N/A</v>
        <stp/>
        <stp>OPEN_INT</stp>
        <stp>.OPEN251121C-1</stp>
        <tr r="D50" s="1"/>
        <tr r="S46" s="2"/>
      </tp>
      <tp t="s">
        <v>N/A</v>
        <stp/>
        <stp>OPEN_INT</stp>
        <stp>.OPEN261120C-1</stp>
        <tr r="V50" s="1"/>
      </tp>
      <tp t="s">
        <v>N/A</v>
        <stp/>
        <stp>OPEN_INT</stp>
        <stp>.OPEN251128C-1</stp>
        <tr r="E50" s="1"/>
        <tr r="T46" s="2"/>
      </tp>
      <tp t="s">
        <v>N/A</v>
        <stp/>
        <stp>OPEN_INT</stp>
        <stp>.OPEN251121C-3</stp>
        <tr r="S50" s="2"/>
      </tp>
      <tp t="s">
        <v>N/A</v>
        <stp/>
        <stp>OPEN_INT</stp>
        <stp>.OPEN251128C-3</stp>
        <tr r="T50" s="2"/>
      </tp>
      <tp t="s">
        <v>N/A</v>
        <stp/>
        <stp>OPEN_INT</stp>
        <stp>.OPEN251121C-2</stp>
        <tr r="S48" s="2"/>
      </tp>
      <tp t="s">
        <v>N/A</v>
        <stp/>
        <stp>OPEN_INT</stp>
        <stp>.OPEN251114C-1</stp>
        <tr r="BV52" s="5"/>
        <tr r="C50" s="1"/>
        <tr r="BU52" s="1"/>
        <tr r="BV51" s="5"/>
        <tr r="BV49" s="5"/>
        <tr r="BV9" s="5"/>
        <tr r="BV45" s="5"/>
        <tr r="BV43" s="5"/>
        <tr r="BV15" s="5"/>
        <tr r="BV17" s="5"/>
        <tr r="BV19" s="5"/>
        <tr r="BV35" s="5"/>
        <tr r="BV23" s="5"/>
        <tr r="BV31" s="5"/>
        <tr r="BV29" s="5"/>
        <tr r="BU51" s="1"/>
        <tr r="BU6" s="1"/>
        <tr r="BU48" s="1"/>
        <tr r="BU46" s="1"/>
        <tr r="BU44" s="1"/>
        <tr r="BU42" s="1"/>
        <tr r="BU16" s="1"/>
        <tr r="BU18" s="1"/>
        <tr r="BU36" s="1"/>
        <tr r="BU22" s="1"/>
        <tr r="BU32" s="1"/>
        <tr r="BU26" s="1"/>
        <tr r="BU28" s="1"/>
        <tr r="BV48" s="5"/>
        <tr r="BV46" s="5"/>
        <tr r="BV12" s="5"/>
        <tr r="BV14" s="5"/>
        <tr r="BV40" s="5"/>
        <tr r="BV18" s="5"/>
        <tr r="BV20" s="5"/>
        <tr r="BV22" s="5"/>
        <tr r="BV32" s="5"/>
        <tr r="BV30" s="5"/>
        <tr r="BV28" s="5"/>
        <tr r="BU50" s="1"/>
        <tr r="BU8" s="1"/>
        <tr r="BU10" s="1"/>
        <tr r="BU12" s="1"/>
        <tr r="BU14" s="1"/>
        <tr r="BU40" s="1"/>
        <tr r="BU38" s="1"/>
        <tr r="BU20" s="1"/>
        <tr r="BU34" s="1"/>
        <tr r="BU24" s="1"/>
        <tr r="BU30" s="1"/>
        <tr r="BV6" s="5"/>
        <tr r="BV50" s="5"/>
        <tr r="BV8" s="5"/>
        <tr r="BV10" s="5"/>
        <tr r="BV44" s="5"/>
        <tr r="BV42" s="5"/>
        <tr r="BV16" s="5"/>
        <tr r="BV38" s="5"/>
        <tr r="BV36" s="5"/>
        <tr r="BV34" s="5"/>
        <tr r="BV24" s="5"/>
        <tr r="BV26" s="5"/>
        <tr r="BU5" s="1"/>
        <tr r="BU49" s="1"/>
        <tr r="BU47" s="1"/>
        <tr r="BU45" s="1"/>
        <tr r="BU13" s="1"/>
        <tr r="BU41" s="1"/>
        <tr r="BU39" s="1"/>
        <tr r="BU37" s="1"/>
        <tr r="BU21" s="1"/>
        <tr r="BU33" s="1"/>
        <tr r="BU31" s="1"/>
        <tr r="BU29" s="1"/>
        <tr r="BV5" s="5"/>
        <tr r="BV7" s="5"/>
        <tr r="BV47" s="5"/>
        <tr r="BV11" s="5"/>
        <tr r="BV13" s="5"/>
        <tr r="BV41" s="5"/>
        <tr r="BV39" s="5"/>
        <tr r="BV37" s="5"/>
        <tr r="BV21" s="5"/>
        <tr r="BV33" s="5"/>
        <tr r="BV25" s="5"/>
        <tr r="BV27" s="5"/>
        <tr r="BU7" s="1"/>
        <tr r="BU9" s="1"/>
        <tr r="BU11" s="1"/>
        <tr r="BU43" s="1"/>
        <tr r="BU15" s="1"/>
        <tr r="BU17" s="1"/>
        <tr r="BU19" s="1"/>
        <tr r="BU35" s="1"/>
        <tr r="BU23" s="1"/>
        <tr r="BU25" s="1"/>
        <tr r="BU27" s="1"/>
      </tp>
      <tp t="s">
        <v>N/A</v>
        <stp/>
        <stp>OPEN_INT</stp>
        <stp>.OPEN251128C-2</stp>
        <tr r="T48" s="2"/>
      </tp>
      <tp t="s">
        <v>N/A</v>
        <stp/>
        <stp>OPEN_INT</stp>
        <stp>.OPEN251021C-1</stp>
        <tr r="J46" s="2"/>
      </tp>
      <tp t="s">
        <v>N/A</v>
        <stp/>
        <stp>OPEN_INT</stp>
        <stp>.OPEN251010C-2</stp>
        <tr r="C48" s="2"/>
      </tp>
      <tp t="s">
        <v>N/A</v>
        <stp/>
        <stp>OPEN_INT</stp>
        <stp>.OPEN251020C-1</stp>
        <tr r="I46" s="2"/>
      </tp>
      <tp t="s">
        <v>N/A</v>
        <stp/>
        <stp>OPEN_INT</stp>
        <stp>.OPEN251013C-2</stp>
        <tr r="D48" s="2"/>
      </tp>
      <tp t="s">
        <v>N/A</v>
        <stp/>
        <stp>OPEN_INT</stp>
        <stp>.OPEN251023C-1</stp>
        <tr r="L46" s="2"/>
      </tp>
      <tp t="s">
        <v>N/A</v>
        <stp/>
        <stp>OPEN_INT</stp>
        <stp>.OPEN251022C-1</stp>
        <tr r="K46" s="2"/>
      </tp>
      <tp t="s">
        <v>N/A</v>
        <stp/>
        <stp>OPEN_INT</stp>
        <stp>.OPEN251015C-2</stp>
        <tr r="F48" s="2"/>
      </tp>
      <tp t="s">
        <v>N/A</v>
        <stp/>
        <stp>OPEN_INT</stp>
        <stp>.OPEN251014C-2</stp>
        <tr r="E48" s="2"/>
      </tp>
      <tp t="s">
        <v>N/A</v>
        <stp/>
        <stp>OPEN_INT</stp>
        <stp>.OPEN251024C-1</stp>
        <tr r="M46" s="2"/>
      </tp>
      <tp t="s">
        <v>N/A</v>
        <stp/>
        <stp>OPEN_INT</stp>
        <stp>.OPEN251017C-2</stp>
        <tr r="H48" s="2"/>
      </tp>
      <tp t="s">
        <v>N/A</v>
        <stp/>
        <stp>OPEN_INT</stp>
        <stp>.OPEN251027C-1</stp>
        <tr r="N46" s="2"/>
      </tp>
      <tp t="s">
        <v>N/A</v>
        <stp/>
        <stp>OPEN_INT</stp>
        <stp>.OPEN251016C-2</stp>
        <tr r="G48" s="2"/>
      </tp>
      <tp t="s">
        <v>N/A</v>
        <stp/>
        <stp>OPEN_INT</stp>
        <stp>.OPEN251009C-3</stp>
        <tr r="B50" s="2"/>
      </tp>
      <tp t="s">
        <v>N/A</v>
        <stp/>
        <stp>OPEN_INT</stp>
        <stp>.OPEN251029C-1</stp>
        <tr r="P46" s="2"/>
      </tp>
      <tp t="s">
        <v>N/A</v>
        <stp/>
        <stp>OPEN_INT</stp>
        <stp>.OPEN251028C-1</stp>
        <tr r="O46" s="2"/>
      </tp>
      <tp t="s">
        <v>N/A</v>
        <stp/>
        <stp>OPEN_INT</stp>
        <stp>.OPEN251031C-1</stp>
        <tr r="R46" s="2"/>
      </tp>
      <tp t="s">
        <v>N/A</v>
        <stp/>
        <stp>OPEN_INT</stp>
        <stp>.OPEN251010C-3</stp>
        <tr r="C50" s="2"/>
      </tp>
      <tp t="s">
        <v>N/A</v>
        <stp/>
        <stp>OPEN_INT</stp>
        <stp>.OPEN251030C-1</stp>
        <tr r="Q46" s="2"/>
      </tp>
      <tp t="s">
        <v>N/A</v>
        <stp/>
        <stp>OPEN_INT</stp>
        <stp>.OPEN251013C-3</stp>
        <tr r="D50" s="2"/>
      </tp>
      <tp t="s">
        <v>N/A</v>
        <stp/>
        <stp>OPEN_INT</stp>
        <stp>.OPEN251015C-3</stp>
        <tr r="F50" s="2"/>
      </tp>
      <tp t="s">
        <v>N/A</v>
        <stp/>
        <stp>OPEN_INT</stp>
        <stp>.OPEN251014C-3</stp>
        <tr r="E50" s="2"/>
      </tp>
      <tp t="s">
        <v>N/A</v>
        <stp/>
        <stp>OPEN_INT</stp>
        <stp>.OPEN251017C-3</stp>
        <tr r="H50" s="2"/>
      </tp>
      <tp t="s">
        <v>N/A</v>
        <stp/>
        <stp>OPEN_INT</stp>
        <stp>.OPEN251016C-3</stp>
        <tr r="G50" s="2"/>
      </tp>
      <tp t="s">
        <v>N/A</v>
        <stp/>
        <stp>OPEN_INT</stp>
        <stp>.OPEN251009C-2</stp>
        <tr r="B48" s="2"/>
      </tp>
      <tp t="s">
        <v>N/A</v>
        <stp/>
        <stp>OPEN_INT</stp>
        <stp>.OPEN251021C-3</stp>
        <tr r="J50" s="2"/>
      </tp>
      <tp t="s">
        <v>N/A</v>
        <stp/>
        <stp>OPEN_INT</stp>
        <stp>.OPEN251031C-2</stp>
        <tr r="R48" s="2"/>
      </tp>
      <tp t="s">
        <v>N/A</v>
        <stp/>
        <stp>OPEN_INT</stp>
        <stp>.OPEN251020C-3</stp>
        <tr r="I50" s="2"/>
      </tp>
      <tp t="s">
        <v>N/A</v>
        <stp/>
        <stp>OPEN_INT</stp>
        <stp>.OPEN251030C-2</stp>
        <tr r="Q48" s="2"/>
      </tp>
      <tp t="s">
        <v>N/A</v>
        <stp/>
        <stp>OPEN_INT</stp>
        <stp>.OPEN251023C-3</stp>
        <tr r="L50" s="2"/>
      </tp>
      <tp t="s">
        <v>N/A</v>
        <stp/>
        <stp>OPEN_INT</stp>
        <stp>.OPEN251022C-3</stp>
        <tr r="K50" s="2"/>
      </tp>
      <tp t="s">
        <v>N/A</v>
        <stp/>
        <stp>OPEN_INT</stp>
        <stp>.OPEN251024C-3</stp>
        <tr r="M50" s="2"/>
      </tp>
      <tp t="s">
        <v>N/A</v>
        <stp/>
        <stp>OPEN_INT</stp>
        <stp>.OPEN251027C-3</stp>
        <tr r="N50" s="2"/>
      </tp>
      <tp t="s">
        <v>N/A</v>
        <stp/>
        <stp>OPEN_INT</stp>
        <stp>.OPEN251009C-1</stp>
        <tr r="B46" s="2"/>
      </tp>
      <tp t="s">
        <v>N/A</v>
        <stp/>
        <stp>OPEN_INT</stp>
        <stp>.OPEN251029C-3</stp>
        <tr r="P50" s="2"/>
      </tp>
      <tp t="s">
        <v>N/A</v>
        <stp/>
        <stp>OPEN_INT</stp>
        <stp>.OPEN251028C-3</stp>
        <tr r="O50" s="2"/>
      </tp>
      <tp t="s">
        <v>N/A</v>
        <stp/>
        <stp>OPEN_INT</stp>
        <stp>.OPEN251021C-2</stp>
        <tr r="J48" s="2"/>
      </tp>
      <tp t="s">
        <v>N/A</v>
        <stp/>
        <stp>OPEN_INT</stp>
        <stp>.OPEN251031C-3</stp>
        <tr r="R50" s="2"/>
      </tp>
      <tp t="s">
        <v>N/A</v>
        <stp/>
        <stp>OPEN_INT</stp>
        <stp>.OPEN251010C-1</stp>
        <tr r="C46" s="2"/>
      </tp>
      <tp t="s">
        <v>N/A</v>
        <stp/>
        <stp>OPEN_INT</stp>
        <stp>.OPEN251020C-2</stp>
        <tr r="I48" s="2"/>
      </tp>
      <tp t="s">
        <v>N/A</v>
        <stp/>
        <stp>OPEN_INT</stp>
        <stp>.OPEN251030C-3</stp>
        <tr r="Q50" s="2"/>
      </tp>
      <tp t="s">
        <v>N/A</v>
        <stp/>
        <stp>OPEN_INT</stp>
        <stp>.OPEN251013C-1</stp>
        <tr r="D46" s="2"/>
      </tp>
      <tp t="s">
        <v>N/A</v>
        <stp/>
        <stp>OPEN_INT</stp>
        <stp>.OPEN251023C-2</stp>
        <tr r="L48" s="2"/>
      </tp>
      <tp t="s">
        <v>N/A</v>
        <stp/>
        <stp>OPEN_INT</stp>
        <stp>.OPEN251022C-2</stp>
        <tr r="K48" s="2"/>
      </tp>
      <tp t="s">
        <v>N/A</v>
        <stp/>
        <stp>OPEN_INT</stp>
        <stp>.OPEN251015C-1</stp>
        <tr r="F46" s="2"/>
      </tp>
      <tp t="s">
        <v>N/A</v>
        <stp/>
        <stp>OPEN_INT</stp>
        <stp>.OPEN261016C-1</stp>
        <tr r="U50" s="1"/>
      </tp>
      <tp t="s">
        <v>N/A</v>
        <stp/>
        <stp>OPEN_INT</stp>
        <stp>.OPEN251014C-1</stp>
        <tr r="E46" s="2"/>
      </tp>
      <tp t="s">
        <v>N/A</v>
        <stp/>
        <stp>OPEN_INT</stp>
        <stp>.OPEN251024C-2</stp>
        <tr r="M48" s="2"/>
      </tp>
      <tp t="s">
        <v>N/A</v>
        <stp/>
        <stp>OPEN_INT</stp>
        <stp>.OPEN251017C-1</stp>
        <tr r="H46" s="2"/>
      </tp>
      <tp t="s">
        <v>N/A</v>
        <stp/>
        <stp>OPEN_INT</stp>
        <stp>.OPEN251027C-2</stp>
        <tr r="N48" s="2"/>
      </tp>
      <tp t="s">
        <v>N/A</v>
        <stp/>
        <stp>OPEN_INT</stp>
        <stp>.OPEN251016C-1</stp>
        <tr r="G46" s="2"/>
      </tp>
      <tp t="s">
        <v>N/A</v>
        <stp/>
        <stp>OPEN_INT</stp>
        <stp>.OPEN251029C-2</stp>
        <tr r="P48" s="2"/>
      </tp>
      <tp t="s">
        <v>N/A</v>
        <stp/>
        <stp>OPEN_INT</stp>
        <stp>.OPEN251028C-2</stp>
        <tr r="O48" s="2"/>
      </tp>
      <tp t="s">
        <v>N/A</v>
        <stp/>
        <stp>VOLUME</stp>
        <stp>.OPEN251128P7.5</stp>
        <tr r="E33" s="5"/>
      </tp>
      <tp t="s">
        <v>N/A</v>
        <stp/>
        <stp>VOLUME</stp>
        <stp>.OPEN251128C7.5</stp>
        <tr r="E33" s="5"/>
      </tp>
      <tp t="s">
        <v>N/A</v>
        <stp/>
        <stp>VOLUME</stp>
        <stp>.OPEN251226P4.5</stp>
        <tr r="I39" s="5"/>
      </tp>
      <tp t="s">
        <v>N/A</v>
        <stp/>
        <stp>VOLUME</stp>
        <stp>.OPEN251226C4.5</stp>
        <tr r="I39" s="5"/>
      </tp>
      <tp t="s">
        <v>N/A</v>
        <stp/>
        <stp>VOLUME</stp>
        <stp>.OPEN251121P7.5</stp>
        <tr r="D33" s="5"/>
      </tp>
      <tp t="s">
        <v>N/A</v>
        <stp/>
        <stp>VOLUME</stp>
        <stp>.OPEN251121C7.5</stp>
        <tr r="D33" s="5"/>
      </tp>
      <tp t="s">
        <v>N/A</v>
        <stp/>
        <stp>VOLUME</stp>
        <stp>.OPEN261120P7.5</stp>
        <tr r="V33" s="5"/>
      </tp>
      <tp t="s">
        <v>N/A</v>
        <stp/>
        <stp>VOLUME</stp>
        <stp>.OPEN260220P4.5</stp>
        <tr r="M39" s="5"/>
      </tp>
      <tp t="s">
        <v>N/A</v>
        <stp/>
        <stp>VOLUME</stp>
        <stp>.OPEN260320P5.5</stp>
        <tr r="N37" s="5"/>
      </tp>
      <tp t="s">
        <v>N/A</v>
        <stp/>
        <stp>VOLUME</stp>
        <stp>.OPEN260220C4.5</stp>
        <tr r="M39" s="5"/>
      </tp>
      <tp t="s">
        <v>N/A</v>
        <stp/>
        <stp>VOLUME</stp>
        <stp>.OPEN260320C5.5</stp>
        <tr r="N37" s="5"/>
      </tp>
      <tp t="s">
        <v>N/A</v>
        <stp/>
        <stp>VOLUME</stp>
        <stp>.OPEN261120C7.5</stp>
        <tr r="V33" s="5"/>
      </tp>
      <tp t="s">
        <v>N/A</v>
        <stp/>
        <stp>VOLUME</stp>
        <stp>.OPEN251219P4.5</stp>
        <tr r="H39" s="5"/>
      </tp>
      <tp t="s">
        <v>N/A</v>
        <stp/>
        <stp>VOLUME</stp>
        <stp>.OPEN251219C4.5</stp>
        <tr r="H39" s="5"/>
      </tp>
      <tp t="s">
        <v>N/A</v>
        <stp/>
        <stp>VOLUME</stp>
        <stp>.OPEN261218P4.5</stp>
        <tr r="W39" s="5"/>
      </tp>
      <tp t="s">
        <v>N/A</v>
        <stp/>
        <stp>VOLUME</stp>
        <stp>.OPEN261218C4.5</stp>
        <tr r="W39" s="5"/>
      </tp>
      <tp t="s">
        <v>N/A</v>
        <stp/>
        <stp>VOLUME</stp>
        <stp>.OPEN260619P0.5</stp>
        <tr r="Q47" s="5"/>
      </tp>
      <tp t="s">
        <v>N/A</v>
        <stp/>
        <stp>VOLUME</stp>
        <stp>.OPEN260619C0.5</stp>
        <tr r="Q47" s="5"/>
      </tp>
      <tp t="s">
        <v>N/A</v>
        <stp/>
        <stp>VOLUME</stp>
        <stp>.OPEN261016P6.5</stp>
        <tr r="U35" s="5"/>
      </tp>
      <tp t="s">
        <v>N/A</v>
        <stp/>
        <stp>VOLUME</stp>
        <stp>.OPEN260116P7.5</stp>
        <tr r="L33" s="5"/>
      </tp>
      <tp t="s">
        <v>N/A</v>
        <stp/>
        <stp>VOLUME</stp>
        <stp>.OPEN260116C7.5</stp>
        <tr r="L33" s="5"/>
      </tp>
      <tp t="s">
        <v>N/A</v>
        <stp/>
        <stp>VOLUME</stp>
        <stp>.OPEN261016C6.5</stp>
        <tr r="U35" s="5"/>
      </tp>
      <tp t="s">
        <v>N/A</v>
        <stp/>
        <stp>VOLUME</stp>
        <stp>.OPEN251114P7.5</stp>
        <tr r="C33" s="5"/>
      </tp>
      <tp t="s">
        <v>N/A</v>
        <stp/>
        <stp>VOLUME</stp>
        <stp>.OPEN260417P2.5</stp>
        <tr r="O43" s="5"/>
      </tp>
      <tp t="s">
        <v>N/A</v>
        <stp/>
        <stp>VOLUME</stp>
        <stp>.OPEN260717P1.5</stp>
        <tr r="R45" s="5"/>
      </tp>
      <tp t="s">
        <v>N/A</v>
        <stp/>
        <stp>VOLUME</stp>
        <stp>.OPEN260417C2.5</stp>
        <tr r="O43" s="5"/>
      </tp>
      <tp t="s">
        <v>N/A</v>
        <stp/>
        <stp>VOLUME</stp>
        <stp>.OPEN260717C1.5</stp>
        <tr r="R45" s="5"/>
      </tp>
      <tp t="s">
        <v>N/A</v>
        <stp/>
        <stp>VOLUME</stp>
        <stp>.OPEN251114C7.5</stp>
        <tr r="C33" s="5"/>
      </tp>
      <tp t="s">
        <v>N/A</v>
        <stp/>
        <stp>VOLUME</stp>
        <stp>.OPEN260515P3.5</stp>
        <tr r="P41" s="5"/>
      </tp>
      <tp t="s">
        <v>N/A</v>
        <stp/>
        <stp>VOLUME</stp>
        <stp>.OPEN260515C3.5</stp>
        <tr r="P41" s="5"/>
      </tp>
      <tp t="s">
        <v>N/A</v>
        <stp/>
        <stp>VOLUME</stp>
        <stp>.OPEN251212P4.5</stp>
        <tr r="G39" s="5"/>
      </tp>
      <tp t="s">
        <v>N/A</v>
        <stp/>
        <stp>VOLUME</stp>
        <stp>.OPEN251212C4.5</stp>
        <tr r="G39" s="5"/>
      </tp>
      <tp t="s">
        <v>N/A</v>
        <stp/>
        <stp>VOLUME</stp>
        <stp>.OPEN260109P7.5</stp>
        <tr r="K33" s="5"/>
      </tp>
      <tp t="s">
        <v>N/A</v>
        <stp/>
        <stp>VOLUME</stp>
        <stp>.OPEN260109C7.5</stp>
        <tr r="K33" s="5"/>
      </tp>
      <tp t="s">
        <v>N/A</v>
        <stp/>
        <stp>VOLUME</stp>
        <stp>.OPEN251205P4.5</stp>
        <tr r="F39" s="5"/>
      </tp>
      <tp t="s">
        <v>N/A</v>
        <stp/>
        <stp>VOLUME</stp>
        <stp>.OPEN251205C4.5</stp>
        <tr r="F39" s="5"/>
      </tp>
      <tp t="s">
        <v>N/A</v>
        <stp/>
        <stp>VOLUME</stp>
        <stp>.OPEN260102P7.5</stp>
        <tr r="J33" s="5"/>
      </tp>
      <tp t="s">
        <v>N/A</v>
        <stp/>
        <stp>VOLUME</stp>
        <stp>.OPEN260102C7.5</stp>
        <tr r="J33" s="5"/>
      </tp>
      <tp t="s">
        <v>N/A</v>
        <stp/>
        <stp>OPEN_INT</stp>
        <stp>.OPEN260821C21</stp>
        <tr r="S6" s="1"/>
      </tp>
      <tp t="s">
        <v>N/A</v>
        <stp/>
        <stp>OPEN_INT</stp>
        <stp>.OPEN260821C20</stp>
        <tr r="S8" s="1"/>
      </tp>
      <tp t="s">
        <v>N/A</v>
        <stp/>
        <stp>OPEN_INT</stp>
        <stp>.OPEN260918C20</stp>
        <tr r="T8" s="1"/>
      </tp>
      <tp t="s">
        <v>N/A</v>
        <stp/>
        <stp>OPEN_INT</stp>
        <stp>.OPEN260918C21</stp>
        <tr r="T6" s="1"/>
      </tp>
      <tp t="s">
        <v>N/A</v>
        <stp/>
        <stp>OPEN_INT</stp>
        <stp>.OPEN260918C18</stp>
        <tr r="T12" s="1"/>
      </tp>
      <tp t="s">
        <v>N/A</v>
        <stp/>
        <stp>OPEN_INT</stp>
        <stp>.OPEN260918C19</stp>
        <tr r="T10" s="1"/>
      </tp>
      <tp t="s">
        <v>N/A</v>
        <stp/>
        <stp>OPEN_INT</stp>
        <stp>.OPEN260918C16</stp>
        <tr r="T16" s="1"/>
      </tp>
      <tp t="s">
        <v>N/A</v>
        <stp/>
        <stp>OPEN_INT</stp>
        <stp>.OPEN260918C17</stp>
        <tr r="T14" s="1"/>
      </tp>
      <tp t="s">
        <v>N/A</v>
        <stp/>
        <stp>OPEN_INT</stp>
        <stp>.OPEN260918C14</stp>
        <tr r="T20" s="1"/>
      </tp>
      <tp t="s">
        <v>N/A</v>
        <stp/>
        <stp>OPEN_INT</stp>
        <stp>.OPEN260918C15</stp>
        <tr r="T18" s="1"/>
      </tp>
      <tp t="s">
        <v>N/A</v>
        <stp/>
        <stp>OPEN_INT</stp>
        <stp>.OPEN260918C12</stp>
        <tr r="T24" s="1"/>
      </tp>
      <tp t="s">
        <v>N/A</v>
        <stp/>
        <stp>OPEN_INT</stp>
        <stp>.OPEN260918C13</stp>
        <tr r="T22" s="1"/>
      </tp>
      <tp t="s">
        <v>N/A</v>
        <stp/>
        <stp>OPEN_INT</stp>
        <stp>.OPEN260918C10</stp>
        <tr r="T28" s="1"/>
      </tp>
      <tp t="s">
        <v>N/A</v>
        <stp/>
        <stp>OPEN_INT</stp>
        <stp>.OPEN260918C11</stp>
        <tr r="T26" s="1"/>
      </tp>
      <tp t="s">
        <v>N/A</v>
        <stp/>
        <stp>OPEN_INT</stp>
        <stp>.OPEN260821C19</stp>
        <tr r="S10" s="1"/>
      </tp>
      <tp t="s">
        <v>N/A</v>
        <stp/>
        <stp>OPEN_INT</stp>
        <stp>.OPEN260821C18</stp>
        <tr r="S12" s="1"/>
      </tp>
      <tp t="s">
        <v>N/A</v>
        <stp/>
        <stp>OPEN_INT</stp>
        <stp>.OPEN260821C15</stp>
        <tr r="S18" s="1"/>
      </tp>
      <tp t="s">
        <v>N/A</v>
        <stp/>
        <stp>OPEN_INT</stp>
        <stp>.OPEN260821C14</stp>
        <tr r="S20" s="1"/>
      </tp>
      <tp t="s">
        <v>N/A</v>
        <stp/>
        <stp>OPEN_INT</stp>
        <stp>.OPEN260821C17</stp>
        <tr r="S14" s="1"/>
      </tp>
      <tp t="s">
        <v>N/A</v>
        <stp/>
        <stp>OPEN_INT</stp>
        <stp>.OPEN260821C16</stp>
        <tr r="S16" s="1"/>
      </tp>
      <tp t="s">
        <v>N/A</v>
        <stp/>
        <stp>OPEN_INT</stp>
        <stp>.OPEN260821C11</stp>
        <tr r="S26" s="1"/>
      </tp>
      <tp t="s">
        <v>N/A</v>
        <stp/>
        <stp>OPEN_INT</stp>
        <stp>.OPEN260821C10</stp>
        <tr r="S28" s="1"/>
      </tp>
      <tp t="s">
        <v>N/A</v>
        <stp/>
        <stp>OPEN_INT</stp>
        <stp>.OPEN260821C13</stp>
        <tr r="S22" s="1"/>
      </tp>
      <tp t="s">
        <v>N/A</v>
        <stp/>
        <stp>OPEN_INT</stp>
        <stp>.OPEN260821C12</stp>
        <tr r="S24" s="1"/>
      </tp>
      <tp t="s">
        <v>N/A</v>
        <stp/>
        <stp>OPEN_INT</stp>
        <stp>.OPEN260717C18</stp>
        <tr r="R12" s="1"/>
      </tp>
      <tp t="s">
        <v>N/A</v>
        <stp/>
        <stp>OPEN_INT</stp>
        <stp>.OPEN260717C19</stp>
        <tr r="R10" s="1"/>
      </tp>
      <tp t="s">
        <v>N/A</v>
        <stp/>
        <stp>OPEN_INT</stp>
        <stp>.OPEN260717C16</stp>
        <tr r="R16" s="1"/>
      </tp>
      <tp t="s">
        <v>N/A</v>
        <stp/>
        <stp>OPEN_INT</stp>
        <stp>.OPEN260717C17</stp>
        <tr r="R14" s="1"/>
      </tp>
      <tp t="s">
        <v>N/A</v>
        <stp/>
        <stp>OPEN_INT</stp>
        <stp>.OPEN260717C14</stp>
        <tr r="R20" s="1"/>
      </tp>
      <tp t="s">
        <v>N/A</v>
        <stp/>
        <stp>OPEN_INT</stp>
        <stp>.OPEN260717C15</stp>
        <tr r="R18" s="1"/>
      </tp>
      <tp t="s">
        <v>N/A</v>
        <stp/>
        <stp>OPEN_INT</stp>
        <stp>.OPEN260717C12</stp>
        <tr r="R24" s="1"/>
      </tp>
      <tp t="s">
        <v>N/A</v>
        <stp/>
        <stp>OPEN_INT</stp>
        <stp>.OPEN260717C13</stp>
        <tr r="R22" s="1"/>
      </tp>
      <tp t="s">
        <v>N/A</v>
        <stp/>
        <stp>OPEN_INT</stp>
        <stp>.OPEN260417C20</stp>
        <tr r="O8" s="1"/>
      </tp>
      <tp t="s">
        <v>N/A</v>
        <stp/>
        <stp>OPEN_INT</stp>
        <stp>.OPEN260717C10</stp>
        <tr r="R28" s="1"/>
      </tp>
      <tp t="s">
        <v>N/A</v>
        <stp/>
        <stp>OPEN_INT</stp>
        <stp>.OPEN260417C21</stp>
        <tr r="O6" s="1"/>
      </tp>
      <tp t="s">
        <v>N/A</v>
        <stp/>
        <stp>OPEN_INT</stp>
        <stp>.OPEN260717C11</stp>
        <tr r="R26" s="1"/>
      </tp>
      <tp t="s">
        <v>N/A</v>
        <stp/>
        <stp>OPEN_INT</stp>
        <stp>.OPEN260619C18</stp>
        <tr r="Q12" s="1"/>
      </tp>
      <tp t="s">
        <v>N/A</v>
        <stp/>
        <stp>OPEN_INT</stp>
        <stp>.OPEN260619C19</stp>
        <tr r="Q10" s="1"/>
      </tp>
      <tp t="s">
        <v>N/A</v>
        <stp/>
        <stp>OPEN_INT</stp>
        <stp>.OPEN260619C16</stp>
        <tr r="Q16" s="1"/>
      </tp>
      <tp t="s">
        <v>N/A</v>
        <stp/>
        <stp>OPEN_INT</stp>
        <stp>.OPEN260619C17</stp>
        <tr r="Q14" s="1"/>
      </tp>
      <tp t="s">
        <v>N/A</v>
        <stp/>
        <stp>OPEN_INT</stp>
        <stp>.OPEN260619C14</stp>
        <tr r="Q20" s="1"/>
      </tp>
      <tp t="s">
        <v>N/A</v>
        <stp/>
        <stp>OPEN_INT</stp>
        <stp>.OPEN260619C15</stp>
        <tr r="Q18" s="1"/>
      </tp>
      <tp t="s">
        <v>N/A</v>
        <stp/>
        <stp>OPEN_INT</stp>
        <stp>.OPEN260619C12</stp>
        <tr r="Q24" s="1"/>
      </tp>
      <tp t="s">
        <v>N/A</v>
        <stp/>
        <stp>OPEN_INT</stp>
        <stp>.OPEN260619C13</stp>
        <tr r="Q22" s="1"/>
      </tp>
      <tp t="s">
        <v>N/A</v>
        <stp/>
        <stp>OPEN_INT</stp>
        <stp>.OPEN260515C20</stp>
        <tr r="P8" s="1"/>
      </tp>
      <tp t="s">
        <v>N/A</v>
        <stp/>
        <stp>OPEN_INT</stp>
        <stp>.OPEN260619C10</stp>
        <tr r="Q28" s="1"/>
      </tp>
      <tp t="s">
        <v>N/A</v>
        <stp/>
        <stp>OPEN_INT</stp>
        <stp>.OPEN260515C21</stp>
        <tr r="P6" s="1"/>
      </tp>
      <tp t="s">
        <v>N/A</v>
        <stp/>
        <stp>OPEN_INT</stp>
        <stp>.OPEN260619C11</stp>
        <tr r="Q26" s="1"/>
      </tp>
      <tp t="s">
        <v>N/A</v>
        <stp/>
        <stp>OPEN_INT</stp>
        <stp>.OPEN260515C18</stp>
        <tr r="P12" s="1"/>
      </tp>
      <tp t="s">
        <v>N/A</v>
        <stp/>
        <stp>OPEN_INT</stp>
        <stp>.OPEN260515C19</stp>
        <tr r="P10" s="1"/>
      </tp>
      <tp>
        <v>809</v>
        <stp/>
        <stp>OPEN_INT</stp>
        <stp>.OPEN260515C16</stp>
        <tr r="P16" s="1"/>
        <tr r="P16" s="1"/>
      </tp>
      <tp>
        <v>15464</v>
        <stp/>
        <stp>OPEN_INT</stp>
        <stp>.OPEN260515C17</stp>
        <tr r="P14" s="1"/>
        <tr r="P14" s="1"/>
      </tp>
      <tp>
        <v>1215</v>
        <stp/>
        <stp>OPEN_INT</stp>
        <stp>.OPEN260515C14</stp>
        <tr r="P20" s="1"/>
        <tr r="P20" s="1"/>
      </tp>
      <tp>
        <v>4394</v>
        <stp/>
        <stp>OPEN_INT</stp>
        <stp>.OPEN260515C15</stp>
        <tr r="P18" s="1"/>
        <tr r="P18" s="1"/>
      </tp>
      <tp>
        <v>5324</v>
        <stp/>
        <stp>OPEN_INT</stp>
        <stp>.OPEN260515C12</stp>
        <tr r="P24" s="1"/>
        <tr r="P24" s="1"/>
      </tp>
      <tp>
        <v>508</v>
        <stp/>
        <stp>OPEN_INT</stp>
        <stp>.OPEN260515C13</stp>
        <tr r="P22" s="1"/>
        <tr r="P22" s="1"/>
      </tp>
      <tp>
        <v>7876</v>
        <stp/>
        <stp>OPEN_INT</stp>
        <stp>.OPEN260515C10</stp>
        <tr r="P28" s="1"/>
        <tr r="P28" s="1"/>
      </tp>
      <tp t="s">
        <v>N/A</v>
        <stp/>
        <stp>OPEN_INT</stp>
        <stp>.OPEN260619C20</stp>
        <tr r="Q8" s="1"/>
      </tp>
      <tp>
        <v>3094</v>
        <stp/>
        <stp>OPEN_INT</stp>
        <stp>.OPEN260515C11</stp>
        <tr r="P26" s="1"/>
        <tr r="P26" s="1"/>
      </tp>
      <tp t="s">
        <v>N/A</v>
        <stp/>
        <stp>OPEN_INT</stp>
        <stp>.OPEN260619C21</stp>
        <tr r="Q6" s="1"/>
      </tp>
      <tp t="s">
        <v>N/A</v>
        <stp/>
        <stp>OPEN_INT</stp>
        <stp>.OPEN260417C18</stp>
        <tr r="O12" s="1"/>
      </tp>
      <tp t="s">
        <v>N/A</v>
        <stp/>
        <stp>OPEN_INT</stp>
        <stp>.OPEN260417C19</stp>
        <tr r="O10" s="1"/>
      </tp>
      <tp t="s">
        <v>N/A</v>
        <stp/>
        <stp>OPEN_INT</stp>
        <stp>.OPEN260417C16</stp>
        <tr r="O16" s="1"/>
      </tp>
      <tp t="s">
        <v>N/A</v>
        <stp/>
        <stp>OPEN_INT</stp>
        <stp>.OPEN260417C17</stp>
        <tr r="O14" s="1"/>
      </tp>
      <tp t="s">
        <v>N/A</v>
        <stp/>
        <stp>OPEN_INT</stp>
        <stp>.OPEN260417C14</stp>
        <tr r="O20" s="1"/>
      </tp>
      <tp t="s">
        <v>N/A</v>
        <stp/>
        <stp>OPEN_INT</stp>
        <stp>.OPEN260417C15</stp>
        <tr r="O18" s="1"/>
      </tp>
      <tp t="s">
        <v>N/A</v>
        <stp/>
        <stp>OPEN_INT</stp>
        <stp>.OPEN260417C12</stp>
        <tr r="O24" s="1"/>
      </tp>
      <tp t="s">
        <v>N/A</v>
        <stp/>
        <stp>OPEN_INT</stp>
        <stp>.OPEN260417C13</stp>
        <tr r="O22" s="1"/>
      </tp>
      <tp t="s">
        <v>N/A</v>
        <stp/>
        <stp>OPEN_INT</stp>
        <stp>.OPEN260417C10</stp>
        <tr r="O28" s="1"/>
      </tp>
      <tp t="s">
        <v>N/A</v>
        <stp/>
        <stp>OPEN_INT</stp>
        <stp>.OPEN260717C20</stp>
        <tr r="R8" s="1"/>
      </tp>
      <tp t="s">
        <v>N/A</v>
        <stp/>
        <stp>OPEN_INT</stp>
        <stp>.OPEN260417C11</stp>
        <tr r="O26" s="1"/>
      </tp>
      <tp t="s">
        <v>N/A</v>
        <stp/>
        <stp>OPEN_INT</stp>
        <stp>.OPEN260717C21</stp>
        <tr r="R6" s="1"/>
      </tp>
      <tp t="s">
        <v>N/A</v>
        <stp/>
        <stp>OPEN_INT</stp>
        <stp>.OPEN260320C19</stp>
        <tr r="N10" s="1"/>
      </tp>
      <tp t="s">
        <v>N/A</v>
        <stp/>
        <stp>OPEN_INT</stp>
        <stp>.OPEN260320C18</stp>
        <tr r="N12" s="1"/>
      </tp>
      <tp t="s">
        <v>N/A</v>
        <stp/>
        <stp>OPEN_INT</stp>
        <stp>.OPEN260320C15</stp>
        <tr r="N18" s="1"/>
      </tp>
      <tp t="s">
        <v>N/A</v>
        <stp/>
        <stp>OPEN_INT</stp>
        <stp>.OPEN260320C14</stp>
        <tr r="N20" s="1"/>
      </tp>
      <tp t="s">
        <v>N/A</v>
        <stp/>
        <stp>OPEN_INT</stp>
        <stp>.OPEN260320C17</stp>
        <tr r="N14" s="1"/>
      </tp>
      <tp t="s">
        <v>N/A</v>
        <stp/>
        <stp>OPEN_INT</stp>
        <stp>.OPEN260320C16</stp>
        <tr r="N16" s="1"/>
      </tp>
      <tp t="s">
        <v>N/A</v>
        <stp/>
        <stp>OPEN_INT</stp>
        <stp>.OPEN260320C11</stp>
        <tr r="N26" s="1"/>
      </tp>
      <tp t="s">
        <v>N/A</v>
        <stp/>
        <stp>OPEN_INT</stp>
        <stp>.OPEN260320C10</stp>
        <tr r="N28" s="1"/>
      </tp>
      <tp t="s">
        <v>N/A</v>
        <stp/>
        <stp>OPEN_INT</stp>
        <stp>.OPEN260320C13</stp>
        <tr r="N22" s="1"/>
      </tp>
      <tp t="s">
        <v>N/A</v>
        <stp/>
        <stp>OPEN_INT</stp>
        <stp>.OPEN260320C12</stp>
        <tr r="N24" s="1"/>
      </tp>
      <tp>
        <v>393</v>
        <stp/>
        <stp>OPEN_INT</stp>
        <stp>.OPEN260220C19</stp>
        <tr r="M10" s="1"/>
        <tr r="M10" s="1"/>
      </tp>
      <tp>
        <v>1464</v>
        <stp/>
        <stp>OPEN_INT</stp>
        <stp>.OPEN260220C18</stp>
        <tr r="M12" s="1"/>
        <tr r="M12" s="1"/>
      </tp>
      <tp>
        <v>7570</v>
        <stp/>
        <stp>OPEN_INT</stp>
        <stp>.OPEN260220C15</stp>
        <tr r="M18" s="1"/>
        <tr r="M18" s="1"/>
      </tp>
      <tp>
        <v>1263</v>
        <stp/>
        <stp>OPEN_INT</stp>
        <stp>.OPEN260220C14</stp>
        <tr r="M20" s="1"/>
        <tr r="M20" s="1"/>
      </tp>
      <tp>
        <v>1285</v>
        <stp/>
        <stp>OPEN_INT</stp>
        <stp>.OPEN260220C17</stp>
        <tr r="M14" s="1"/>
        <tr r="M14" s="1"/>
      </tp>
      <tp>
        <v>812</v>
        <stp/>
        <stp>OPEN_INT</stp>
        <stp>.OPEN260220C16</stp>
        <tr r="M16" s="1"/>
        <tr r="M16" s="1"/>
      </tp>
      <tp>
        <v>7977</v>
        <stp/>
        <stp>OPEN_INT</stp>
        <stp>.OPEN260220C11</stp>
        <tr r="M26" s="1"/>
        <tr r="M26" s="1"/>
      </tp>
      <tp>
        <v>27742</v>
        <stp/>
        <stp>OPEN_INT</stp>
        <stp>.OPEN260220C10</stp>
        <tr r="M28" s="1"/>
        <tr r="M28" s="1"/>
      </tp>
      <tp t="s">
        <v>N/A</v>
        <stp/>
        <stp>OPEN_INT</stp>
        <stp>.OPEN260102C21</stp>
        <tr r="J6" s="1"/>
      </tp>
      <tp>
        <v>10846</v>
        <stp/>
        <stp>OPEN_INT</stp>
        <stp>.OPEN260220C13</stp>
        <tr r="M22" s="1"/>
        <tr r="M22" s="1"/>
      </tp>
      <tp>
        <v>12916</v>
        <stp/>
        <stp>OPEN_INT</stp>
        <stp>.OPEN260116C20</stp>
        <tr r="L8" s="1"/>
        <tr r="L8" s="1"/>
      </tp>
      <tp t="s">
        <v>N/A</v>
        <stp/>
        <stp>OPEN_INT</stp>
        <stp>.OPEN260109C21</stp>
        <tr r="K6" s="1"/>
      </tp>
      <tp t="s">
        <v>N/A</v>
        <stp/>
        <stp>OPEN_INT</stp>
        <stp>.OPEN260102C20</stp>
        <tr r="J8" s="1"/>
      </tp>
      <tp>
        <v>4360</v>
        <stp/>
        <stp>OPEN_INT</stp>
        <stp>.OPEN260220C12</stp>
        <tr r="M24" s="1"/>
        <tr r="M24" s="1"/>
      </tp>
      <tp>
        <v>49201</v>
        <stp/>
        <stp>OPEN_INT</stp>
        <stp>.OPEN260116C21</stp>
        <tr r="L6" s="1"/>
        <tr r="L6" s="1"/>
      </tp>
      <tp t="s">
        <v>N/A</v>
        <stp/>
        <stp>OPEN_INT</stp>
        <stp>.OPEN260109C20</stp>
        <tr r="K8" s="1"/>
      </tp>
      <tp t="s">
        <v>N/A</v>
        <stp/>
        <stp>OPEN_INT</stp>
        <stp>.OPEN260102C19</stp>
        <tr r="J10" s="1"/>
      </tp>
      <tp>
        <v>4470</v>
        <stp/>
        <stp>OPEN_INT</stp>
        <stp>.OPEN260116C18</stp>
        <tr r="L12" s="1"/>
        <tr r="L12" s="1"/>
        <tr r="W8" s="2"/>
        <tr r="W8" s="2"/>
      </tp>
      <tp t="s">
        <v>N/A</v>
        <stp/>
        <stp>OPEN_INT</stp>
        <stp>.OPEN260109C19</stp>
        <tr r="K10" s="1"/>
      </tp>
      <tp t="s">
        <v>N/A</v>
        <stp/>
        <stp>OPEN_INT</stp>
        <stp>.OPEN260102C18</stp>
        <tr r="J12" s="1"/>
      </tp>
      <tp>
        <v>553</v>
        <stp/>
        <stp>OPEN_INT</stp>
        <stp>.OPEN260116C19</stp>
        <tr r="L10" s="1"/>
        <tr r="L10" s="1"/>
        <tr r="W6" s="2"/>
        <tr r="W6" s="2"/>
      </tp>
      <tp t="s">
        <v>N/A</v>
        <stp/>
        <stp>OPEN_INT</stp>
        <stp>.OPEN260109C18</stp>
        <tr r="K12" s="1"/>
      </tp>
      <tp t="s">
        <v>N/A</v>
        <stp/>
        <stp>OPEN_INT</stp>
        <stp>.OPEN260102C17</stp>
        <tr r="J14" s="1"/>
      </tp>
      <tp>
        <v>1745</v>
        <stp/>
        <stp>OPEN_INT</stp>
        <stp>.OPEN260116C16</stp>
        <tr r="L16" s="1"/>
        <tr r="L16" s="1"/>
        <tr r="W12" s="2"/>
        <tr r="W12" s="2"/>
      </tp>
      <tp t="s">
        <v>N/A</v>
        <stp/>
        <stp>OPEN_INT</stp>
        <stp>.OPEN260109C17</stp>
        <tr r="K14" s="1"/>
      </tp>
      <tp t="s">
        <v>N/A</v>
        <stp/>
        <stp>OPEN_INT</stp>
        <stp>.OPEN260102C16</stp>
        <tr r="J16" s="1"/>
      </tp>
      <tp>
        <v>838</v>
        <stp/>
        <stp>OPEN_INT</stp>
        <stp>.OPEN260116C17</stp>
        <tr r="L14" s="1"/>
        <tr r="L14" s="1"/>
        <tr r="W10" s="2"/>
        <tr r="W10" s="2"/>
      </tp>
      <tp t="s">
        <v>N/A</v>
        <stp/>
        <stp>OPEN_INT</stp>
        <stp>.OPEN260109C16</stp>
        <tr r="K16" s="1"/>
      </tp>
      <tp t="s">
        <v>N/A</v>
        <stp/>
        <stp>OPEN_INT</stp>
        <stp>.OPEN260102C15</stp>
        <tr r="J18" s="1"/>
      </tp>
      <tp>
        <v>5890</v>
        <stp/>
        <stp>OPEN_INT</stp>
        <stp>.OPEN260116C14</stp>
        <tr r="L20" s="1"/>
        <tr r="L20" s="1"/>
        <tr r="W16" s="2"/>
        <tr r="W16" s="2"/>
      </tp>
      <tp t="s">
        <v>N/A</v>
        <stp/>
        <stp>OPEN_INT</stp>
        <stp>.OPEN260109C15</stp>
        <tr r="K18" s="1"/>
      </tp>
      <tp t="s">
        <v>N/A</v>
        <stp/>
        <stp>OPEN_INT</stp>
        <stp>.OPEN260102C14</stp>
        <tr r="J20" s="1"/>
      </tp>
      <tp>
        <v>15842</v>
        <stp/>
        <stp>OPEN_INT</stp>
        <stp>.OPEN260116C15</stp>
        <tr r="L18" s="1"/>
        <tr r="L18" s="1"/>
        <tr r="W14" s="2"/>
        <tr r="W14" s="2"/>
      </tp>
      <tp t="s">
        <v>N/A</v>
        <stp/>
        <stp>OPEN_INT</stp>
        <stp>.OPEN260109C14</stp>
        <tr r="K20" s="1"/>
      </tp>
      <tp t="s">
        <v>N/A</v>
        <stp/>
        <stp>OPEN_INT</stp>
        <stp>.OPEN260102C13</stp>
        <tr r="J22" s="1"/>
      </tp>
      <tp>
        <v>6278</v>
        <stp/>
        <stp>OPEN_INT</stp>
        <stp>.OPEN260220C21</stp>
        <tr r="M6" s="1"/>
        <tr r="M6" s="1"/>
      </tp>
      <tp>
        <v>17976</v>
        <stp/>
        <stp>OPEN_INT</stp>
        <stp>.OPEN260116C12</stp>
        <tr r="L24" s="1"/>
        <tr r="L24" s="1"/>
        <tr r="W20" s="2"/>
        <tr r="W20" s="2"/>
      </tp>
      <tp t="s">
        <v>N/A</v>
        <stp/>
        <stp>OPEN_INT</stp>
        <stp>.OPEN260109C13</stp>
        <tr r="K22" s="1"/>
      </tp>
      <tp t="s">
        <v>N/A</v>
        <stp/>
        <stp>OPEN_INT</stp>
        <stp>.OPEN260102C12</stp>
        <tr r="J24" s="1"/>
      </tp>
      <tp>
        <v>5101</v>
        <stp/>
        <stp>OPEN_INT</stp>
        <stp>.OPEN260220C20</stp>
        <tr r="M8" s="1"/>
        <tr r="M8" s="1"/>
      </tp>
      <tp>
        <v>10329</v>
        <stp/>
        <stp>OPEN_INT</stp>
        <stp>.OPEN260116C13</stp>
        <tr r="L22" s="1"/>
        <tr r="L22" s="1"/>
        <tr r="W18" s="2"/>
        <tr r="W18" s="2"/>
      </tp>
      <tp t="s">
        <v>N/A</v>
        <stp/>
        <stp>OPEN_INT</stp>
        <stp>.OPEN260109C12</stp>
        <tr r="K24" s="1"/>
      </tp>
      <tp t="s">
        <v>N/A</v>
        <stp/>
        <stp>OPEN_INT</stp>
        <stp>.OPEN260102C11</stp>
        <tr r="J26" s="1"/>
      </tp>
      <tp>
        <v>66912</v>
        <stp/>
        <stp>OPEN_INT</stp>
        <stp>.OPEN260116C10</stp>
        <tr r="L28" s="1"/>
        <tr r="L28" s="1"/>
        <tr r="W24" s="2"/>
        <tr r="W24" s="2"/>
      </tp>
      <tp t="s">
        <v>N/A</v>
        <stp/>
        <stp>OPEN_INT</stp>
        <stp>.OPEN260109C11</stp>
        <tr r="K26" s="1"/>
      </tp>
      <tp t="s">
        <v>N/A</v>
        <stp/>
        <stp>OPEN_INT</stp>
        <stp>.OPEN260102C10</stp>
        <tr r="J28" s="1"/>
      </tp>
      <tp>
        <v>10083</v>
        <stp/>
        <stp>OPEN_INT</stp>
        <stp>.OPEN260116C11</stp>
        <tr r="L26" s="1"/>
        <tr r="L26" s="1"/>
        <tr r="W22" s="2"/>
        <tr r="W22" s="2"/>
      </tp>
      <tp t="s">
        <v>N/A</v>
        <stp/>
        <stp>OPEN_INT</stp>
        <stp>.OPEN260109C10</stp>
        <tr r="K28" s="1"/>
      </tp>
      <tp t="s">
        <v>N/A</v>
        <stp/>
        <stp>OPEN_INT</stp>
        <stp>.OPEN260320C21</stp>
        <tr r="N6" s="1"/>
      </tp>
      <tp t="s">
        <v>N/A</v>
        <stp/>
        <stp>OPEN_INT</stp>
        <stp>.OPEN260320C20</stp>
        <tr r="N8" s="1"/>
      </tp>
      <tp t="s">
        <v>N/A</v>
        <stp/>
        <stp>OPEN_INT</stp>
        <stp>.OPEN260320C-1</stp>
        <tr r="N50" s="1"/>
      </tp>
      <tp t="s">
        <v>N/A</v>
        <stp/>
        <stp>OPEN_INT</stp>
        <stp>.OPEN260220C-1</stp>
        <tr r="M50" s="1"/>
      </tp>
      <tp t="s">
        <v>N/A</v>
        <stp/>
        <stp>OPEN_INT</stp>
        <stp>.OPEN260116C-2</stp>
        <tr r="W48" s="2"/>
      </tp>
      <tp t="s">
        <v>N/A</v>
        <stp/>
        <stp>OPEN_INT</stp>
        <stp>.OPEN260116C-3</stp>
        <tr r="W50" s="2"/>
      </tp>
      <tp t="s">
        <v>N/A</v>
        <stp/>
        <stp>OPEN_INT</stp>
        <stp>.OPEN260102C-1</stp>
        <tr r="J50" s="1"/>
      </tp>
      <tp t="s">
        <v>N/A</v>
        <stp/>
        <stp>OPEN_INT</stp>
        <stp>.OPEN260109C-1</stp>
        <tr r="K50" s="1"/>
      </tp>
      <tp t="s">
        <v>N/A</v>
        <stp/>
        <stp>OPEN_INT</stp>
        <stp>.OPEN260116C-1</stp>
        <tr r="L50" s="1"/>
        <tr r="W46" s="2"/>
      </tp>
      <tp t="s">
        <v>N/A</v>
        <stp/>
        <stp>OPEN_INT</stp>
        <stp>.OPEN260717C-1</stp>
        <tr r="R50" s="1"/>
      </tp>
      <tp t="s">
        <v>N/A</v>
        <stp/>
        <stp>OPEN_INT</stp>
        <stp>.OPEN260619C-1</stp>
        <tr r="Q50" s="1"/>
      </tp>
      <tp t="s">
        <v>N/A</v>
        <stp/>
        <stp>OPEN_INT</stp>
        <stp>.OPEN260515C-1</stp>
        <tr r="P50" s="1"/>
      </tp>
      <tp t="s">
        <v>N/A</v>
        <stp/>
        <stp>OPEN_INT</stp>
        <stp>.OPEN260417C-1</stp>
        <tr r="O50" s="1"/>
      </tp>
      <tp t="s">
        <v>N/A</v>
        <stp/>
        <stp>OPEN_INT</stp>
        <stp>.OPEN260918C-1</stp>
        <tr r="T50" s="1"/>
      </tp>
      <tp t="s">
        <v>N/A</v>
        <stp/>
        <stp>OPEN_INT</stp>
        <stp>.OPEN260821C-1</stp>
        <tr r="S50" s="1"/>
      </tp>
      <tp t="s">
        <v>N/A</v>
        <stp/>
        <stp>VOLUME</stp>
        <stp>.OPEN251128P0.5</stp>
        <tr r="E47" s="5"/>
      </tp>
      <tp t="s">
        <v>N/A</v>
        <stp/>
        <stp>VOLUME</stp>
        <stp>.OPEN251128C0.5</stp>
        <tr r="E47" s="5"/>
      </tp>
      <tp t="s">
        <v>N/A</v>
        <stp/>
        <stp>VOLUME</stp>
        <stp>.OPEN251226P3.5</stp>
        <tr r="I41" s="5"/>
      </tp>
      <tp t="s">
        <v>N/A</v>
        <stp/>
        <stp>VOLUME</stp>
        <stp>.OPEN251226C3.5</stp>
        <tr r="I41" s="5"/>
      </tp>
      <tp t="s">
        <v>N/A</v>
        <stp/>
        <stp>VOLUME</stp>
        <stp>.OPEN251121P0.5</stp>
        <tr r="D47" s="5"/>
      </tp>
      <tp t="s">
        <v>N/A</v>
        <stp/>
        <stp>VOLUME</stp>
        <stp>.OPEN251121C0.5</stp>
        <tr r="D47" s="5"/>
      </tp>
      <tp t="s">
        <v>N/A</v>
        <stp/>
        <stp>VOLUME</stp>
        <stp>.OPEN261120P0.5</stp>
        <tr r="V47" s="5"/>
      </tp>
      <tp t="s">
        <v>N/A</v>
        <stp/>
        <stp>VOLUME</stp>
        <stp>.OPEN260220P3.5</stp>
        <tr r="M41" s="5"/>
      </tp>
      <tp t="s">
        <v>N/A</v>
        <stp/>
        <stp>VOLUME</stp>
        <stp>.OPEN260320P2.5</stp>
        <tr r="N43" s="5"/>
      </tp>
      <tp t="s">
        <v>N/A</v>
        <stp/>
        <stp>VOLUME</stp>
        <stp>.OPEN260220C3.5</stp>
        <tr r="M41" s="5"/>
      </tp>
      <tp t="s">
        <v>N/A</v>
        <stp/>
        <stp>VOLUME</stp>
        <stp>.OPEN260320C2.5</stp>
        <tr r="N43" s="5"/>
      </tp>
      <tp t="s">
        <v>N/A</v>
        <stp/>
        <stp>VOLUME</stp>
        <stp>.OPEN261120C0.5</stp>
        <tr r="V47" s="5"/>
      </tp>
      <tp t="s">
        <v>N/A</v>
        <stp/>
        <stp>VOLUME</stp>
        <stp>.OPEN260821P9.5</stp>
        <tr r="S29" s="5"/>
      </tp>
      <tp t="s">
        <v>N/A</v>
        <stp/>
        <stp>VOLUME</stp>
        <stp>.OPEN260821C9.5</stp>
        <tr r="S29" s="5"/>
      </tp>
      <tp t="s">
        <v>N/A</v>
        <stp/>
        <stp>VOLUME</stp>
        <stp>.OPEN251219P3.5</stp>
        <tr r="H41" s="5"/>
      </tp>
      <tp t="s">
        <v>N/A</v>
        <stp/>
        <stp>VOLUME</stp>
        <stp>.OPEN251219C3.5</stp>
        <tr r="H41" s="5"/>
      </tp>
      <tp t="s">
        <v>N/A</v>
        <stp/>
        <stp>VOLUME</stp>
        <stp>.OPEN261218P3.5</stp>
        <tr r="W41" s="5"/>
      </tp>
      <tp t="s">
        <v>N/A</v>
        <stp/>
        <stp>VOLUME</stp>
        <stp>.OPEN260918P8.5</stp>
        <tr r="T31" s="5"/>
      </tp>
      <tp t="s">
        <v>N/A</v>
        <stp/>
        <stp>VOLUME</stp>
        <stp>.OPEN260918C8.5</stp>
        <tr r="T31" s="5"/>
      </tp>
      <tp t="s">
        <v>N/A</v>
        <stp/>
        <stp>VOLUME</stp>
        <stp>.OPEN261218C3.5</stp>
        <tr r="W41" s="5"/>
      </tp>
      <tp t="s">
        <v>N/A</v>
        <stp/>
        <stp>VOLUME</stp>
        <stp>.OPEN260619P7.5</stp>
        <tr r="Q33" s="5"/>
      </tp>
      <tp t="s">
        <v>N/A</v>
        <stp/>
        <stp>VOLUME</stp>
        <stp>.OPEN260619C7.5</stp>
        <tr r="Q33" s="5"/>
      </tp>
      <tp t="s">
        <v>N/A</v>
        <stp/>
        <stp>VOLUME</stp>
        <stp>.OPEN261016P1.5</stp>
        <tr r="U45" s="5"/>
      </tp>
      <tp t="s">
        <v>N/A</v>
        <stp/>
        <stp>VOLUME</stp>
        <stp>.OPEN260116P0.5</stp>
        <tr r="L47" s="5"/>
      </tp>
      <tp t="s">
        <v>N/A</v>
        <stp/>
        <stp>VOLUME</stp>
        <stp>.OPEN260116C0.5</stp>
        <tr r="L47" s="5"/>
      </tp>
      <tp t="s">
        <v>N/A</v>
        <stp/>
        <stp>VOLUME</stp>
        <stp>.OPEN261016C1.5</stp>
        <tr r="U45" s="5"/>
      </tp>
      <tp t="s">
        <v>N/A</v>
        <stp/>
        <stp>VOLUME</stp>
        <stp>.OPEN251114P0.5</stp>
        <tr r="C47" s="5"/>
      </tp>
      <tp t="s">
        <v>N/A</v>
        <stp/>
        <stp>VOLUME</stp>
        <stp>.OPEN260417P5.5</stp>
        <tr r="O37" s="5"/>
      </tp>
      <tp t="s">
        <v>N/A</v>
        <stp/>
        <stp>VOLUME</stp>
        <stp>.OPEN260717P6.5</stp>
        <tr r="R35" s="5"/>
      </tp>
      <tp t="s">
        <v>N/A</v>
        <stp/>
        <stp>VOLUME</stp>
        <stp>.OPEN260417C5.5</stp>
        <tr r="O37" s="5"/>
      </tp>
      <tp t="s">
        <v>N/A</v>
        <stp/>
        <stp>VOLUME</stp>
        <stp>.OPEN260717C6.5</stp>
        <tr r="R35" s="5"/>
      </tp>
      <tp t="s">
        <v>N/A</v>
        <stp/>
        <stp>VOLUME</stp>
        <stp>.OPEN251114C0.5</stp>
        <tr r="C47" s="5"/>
      </tp>
      <tp t="s">
        <v>N/A</v>
        <stp/>
        <stp>VOLUME</stp>
        <stp>.OPEN260515P4.5</stp>
        <tr r="P39" s="5"/>
      </tp>
      <tp t="s">
        <v>N/A</v>
        <stp/>
        <stp>VOLUME</stp>
        <stp>.OPEN260515C4.5</stp>
        <tr r="P39" s="5"/>
      </tp>
      <tp t="s">
        <v>N/A</v>
        <stp/>
        <stp>VOLUME</stp>
        <stp>.OPEN251212P3.5</stp>
        <tr r="G41" s="5"/>
      </tp>
      <tp t="s">
        <v>N/A</v>
        <stp/>
        <stp>VOLUME</stp>
        <stp>.OPEN251212C3.5</stp>
        <tr r="G41" s="5"/>
      </tp>
      <tp t="s">
        <v>N/A</v>
        <stp/>
        <stp>VOLUME</stp>
        <stp>.OPEN260109P0.5</stp>
        <tr r="K47" s="5"/>
      </tp>
      <tp t="s">
        <v>N/A</v>
        <stp/>
        <stp>VOLUME</stp>
        <stp>.OPEN260109C0.5</stp>
        <tr r="K47" s="5"/>
      </tp>
      <tp t="s">
        <v>N/A</v>
        <stp/>
        <stp>VOLUME</stp>
        <stp>.OPEN251205P3.5</stp>
        <tr r="F41" s="5"/>
      </tp>
      <tp t="s">
        <v>N/A</v>
        <stp/>
        <stp>VOLUME</stp>
        <stp>.OPEN251205C3.5</stp>
        <tr r="F41" s="5"/>
      </tp>
      <tp t="s">
        <v>N/A</v>
        <stp/>
        <stp>VOLUME</stp>
        <stp>.OPEN260102P0.5</stp>
        <tr r="J47" s="5"/>
      </tp>
      <tp t="s">
        <v>N/A</v>
        <stp/>
        <stp>VOLUME</stp>
        <stp>.OPEN260102C0.5</stp>
        <tr r="J47" s="5"/>
      </tp>
      <tp t="s">
        <v>N/A</v>
        <stp/>
        <stp>VOLUME</stp>
        <stp>.OPENC9</stp>
        <tr r="B30" s="5"/>
      </tp>
      <tp t="s">
        <v>N/A</v>
        <stp/>
        <stp>VOLUME</stp>
        <stp>.OPENC8</stp>
        <tr r="B32" s="5"/>
      </tp>
      <tp t="s">
        <v>N/A</v>
        <stp/>
        <stp>VOLUME</stp>
        <stp>.OPENC5</stp>
        <tr r="B38" s="5"/>
      </tp>
      <tp t="s">
        <v>N/A</v>
        <stp/>
        <stp>VOLUME</stp>
        <stp>.OPENC4</stp>
        <tr r="B40" s="5"/>
      </tp>
      <tp t="s">
        <v>N/A</v>
        <stp/>
        <stp>VOLUME</stp>
        <stp>.OPENC7</stp>
        <tr r="B34" s="5"/>
      </tp>
      <tp t="s">
        <v>N/A</v>
        <stp/>
        <stp>VOLUME</stp>
        <stp>.OPENC6</stp>
        <tr r="B36" s="5"/>
      </tp>
      <tp t="s">
        <v>N/A</v>
        <stp/>
        <stp>VOLUME</stp>
        <stp>.OPENC1</stp>
        <tr r="B46" s="5"/>
      </tp>
      <tp t="s">
        <v>N/A</v>
        <stp/>
        <stp>VOLUME</stp>
        <stp>.OPENC0</stp>
        <tr r="B48" s="5"/>
      </tp>
      <tp t="s">
        <v>N/A</v>
        <stp/>
        <stp>VOLUME</stp>
        <stp>.OPENC3</stp>
        <tr r="B42" s="5"/>
      </tp>
      <tp t="s">
        <v>N/A</v>
        <stp/>
        <stp>VOLUME</stp>
        <stp>.OPENC2</stp>
        <tr r="B44" s="5"/>
      </tp>
      <tp t="s">
        <v>N/A</v>
        <stp/>
        <stp>VOLUME</stp>
        <stp>.OPENP9</stp>
        <tr r="B30" s="5"/>
      </tp>
      <tp t="s">
        <v>N/A</v>
        <stp/>
        <stp>VOLUME</stp>
        <stp>.OPENP8</stp>
        <tr r="B32" s="5"/>
      </tp>
      <tp t="s">
        <v>N/A</v>
        <stp/>
        <stp>VOLUME</stp>
        <stp>.OPENP5</stp>
        <tr r="B38" s="5"/>
      </tp>
      <tp t="s">
        <v>N/A</v>
        <stp/>
        <stp>VOLUME</stp>
        <stp>.OPENP4</stp>
        <tr r="B40" s="5"/>
      </tp>
      <tp t="s">
        <v>N/A</v>
        <stp/>
        <stp>VOLUME</stp>
        <stp>.OPENP7</stp>
        <tr r="B34" s="5"/>
      </tp>
      <tp t="s">
        <v>N/A</v>
        <stp/>
        <stp>VOLUME</stp>
        <stp>.OPENP6</stp>
        <tr r="B36" s="5"/>
      </tp>
      <tp t="s">
        <v>N/A</v>
        <stp/>
        <stp>VOLUME</stp>
        <stp>.OPENP1</stp>
        <tr r="B46" s="5"/>
      </tp>
      <tp t="s">
        <v>N/A</v>
        <stp/>
        <stp>VOLUME</stp>
        <stp>.OPENP0</stp>
        <tr r="B48" s="5"/>
      </tp>
      <tp t="s">
        <v>N/A</v>
        <stp/>
        <stp>VOLUME</stp>
        <stp>.OPENP3</stp>
        <tr r="B42" s="5"/>
      </tp>
      <tp t="s">
        <v>N/A</v>
        <stp/>
        <stp>VOLUME</stp>
        <stp>.OPENP2</stp>
        <tr r="B44" s="5"/>
      </tp>
      <tp t="s">
        <v>N/A</v>
        <stp/>
        <stp>VOLUME</stp>
        <stp>.OPEN251128P1.5</stp>
        <tr r="E45" s="5"/>
      </tp>
      <tp t="s">
        <v>N/A</v>
        <stp/>
        <stp>VOLUME</stp>
        <stp>.OPEN251128C1.5</stp>
        <tr r="E45" s="5"/>
      </tp>
      <tp t="s">
        <v>N/A</v>
        <stp/>
        <stp>VOLUME</stp>
        <stp>.OPEN251226P2.5</stp>
        <tr r="I43" s="5"/>
      </tp>
      <tp t="s">
        <v>N/A</v>
        <stp/>
        <stp>VOLUME</stp>
        <stp>.OPEN251226C2.5</stp>
        <tr r="I43" s="5"/>
      </tp>
      <tp t="s">
        <v>N/A</v>
        <stp/>
        <stp>VOLUME</stp>
        <stp>.OPEN251121P1.5</stp>
        <tr r="D45" s="5"/>
      </tp>
      <tp t="s">
        <v>N/A</v>
        <stp/>
        <stp>VOLUME</stp>
        <stp>.OPEN251121C1.5</stp>
        <tr r="D45" s="5"/>
      </tp>
      <tp t="s">
        <v>N/A</v>
        <stp/>
        <stp>VOLUME</stp>
        <stp>.OPEN261120P1.5</stp>
        <tr r="V45" s="5"/>
      </tp>
      <tp t="s">
        <v>N/A</v>
        <stp/>
        <stp>VOLUME</stp>
        <stp>.OPEN260220P2.5</stp>
        <tr r="M43" s="5"/>
      </tp>
      <tp t="s">
        <v>N/A</v>
        <stp/>
        <stp>VOLUME</stp>
        <stp>.OPEN260320P3.5</stp>
        <tr r="N41" s="5"/>
      </tp>
      <tp t="s">
        <v>N/A</v>
        <stp/>
        <stp>VOLUME</stp>
        <stp>.OPEN260220C2.5</stp>
        <tr r="M43" s="5"/>
      </tp>
      <tp t="s">
        <v>N/A</v>
        <stp/>
        <stp>VOLUME</stp>
        <stp>.OPEN260320C3.5</stp>
        <tr r="N41" s="5"/>
      </tp>
      <tp t="s">
        <v>N/A</v>
        <stp/>
        <stp>VOLUME</stp>
        <stp>.OPEN261120C1.5</stp>
        <tr r="V45" s="5"/>
      </tp>
      <tp t="s">
        <v>N/A</v>
        <stp/>
        <stp>VOLUME</stp>
        <stp>.OPEN260821P8.5</stp>
        <tr r="S31" s="5"/>
      </tp>
      <tp t="s">
        <v>N/A</v>
        <stp/>
        <stp>VOLUME</stp>
        <stp>.OPEN260821C8.5</stp>
        <tr r="S31" s="5"/>
      </tp>
      <tp t="s">
        <v>N/A</v>
        <stp/>
        <stp>VOLUME</stp>
        <stp>.OPEN251219P2.5</stp>
        <tr r="H43" s="5"/>
      </tp>
      <tp t="s">
        <v>N/A</v>
        <stp/>
        <stp>VOLUME</stp>
        <stp>.OPEN251219C2.5</stp>
        <tr r="H43" s="5"/>
      </tp>
      <tp t="s">
        <v>N/A</v>
        <stp/>
        <stp>VOLUME</stp>
        <stp>.OPEN261218P2.5</stp>
        <tr r="W43" s="5"/>
      </tp>
      <tp t="s">
        <v>N/A</v>
        <stp/>
        <stp>VOLUME</stp>
        <stp>.OPEN260918P9.5</stp>
        <tr r="T29" s="5"/>
      </tp>
      <tp t="s">
        <v>N/A</v>
        <stp/>
        <stp>VOLUME</stp>
        <stp>.OPEN260918C9.5</stp>
        <tr r="T29" s="5"/>
      </tp>
      <tp t="s">
        <v>N/A</v>
        <stp/>
        <stp>VOLUME</stp>
        <stp>.OPEN261218C2.5</stp>
        <tr r="W43" s="5"/>
      </tp>
      <tp t="s">
        <v>N/A</v>
        <stp/>
        <stp>VOLUME</stp>
        <stp>.OPEN260619P6.5</stp>
        <tr r="Q35" s="5"/>
      </tp>
      <tp t="s">
        <v>N/A</v>
        <stp/>
        <stp>VOLUME</stp>
        <stp>.OPEN260619C6.5</stp>
        <tr r="Q35" s="5"/>
      </tp>
      <tp t="s">
        <v>N/A</v>
        <stp/>
        <stp>VOLUME</stp>
        <stp>.OPEN261016P0.5</stp>
        <tr r="U47" s="5"/>
      </tp>
      <tp t="s">
        <v>N/A</v>
        <stp/>
        <stp>VOLUME</stp>
        <stp>.OPEN260116P1.5</stp>
        <tr r="L45" s="5"/>
      </tp>
      <tp t="s">
        <v>N/A</v>
        <stp/>
        <stp>VOLUME</stp>
        <stp>.OPEN260116C1.5</stp>
        <tr r="L45" s="5"/>
      </tp>
      <tp t="s">
        <v>N/A</v>
        <stp/>
        <stp>VOLUME</stp>
        <stp>.OPEN261016C0.5</stp>
        <tr r="U47" s="5"/>
      </tp>
      <tp t="s">
        <v>N/A</v>
        <stp/>
        <stp>VOLUME</stp>
        <stp>.OPEN251114P1.5</stp>
        <tr r="C45" s="5"/>
      </tp>
      <tp t="s">
        <v>N/A</v>
        <stp/>
        <stp>VOLUME</stp>
        <stp>.OPEN260417P4.5</stp>
        <tr r="O39" s="5"/>
      </tp>
      <tp t="s">
        <v>N/A</v>
        <stp/>
        <stp>VOLUME</stp>
        <stp>.OPEN260717P7.5</stp>
        <tr r="R33" s="5"/>
      </tp>
      <tp t="s">
        <v>N/A</v>
        <stp/>
        <stp>VOLUME</stp>
        <stp>.OPEN260417C4.5</stp>
        <tr r="O39" s="5"/>
      </tp>
      <tp t="s">
        <v>N/A</v>
        <stp/>
        <stp>VOLUME</stp>
        <stp>.OPEN260717C7.5</stp>
        <tr r="R33" s="5"/>
      </tp>
      <tp t="s">
        <v>N/A</v>
        <stp/>
        <stp>VOLUME</stp>
        <stp>.OPEN251114C1.5</stp>
        <tr r="C45" s="5"/>
      </tp>
      <tp t="s">
        <v>N/A</v>
        <stp/>
        <stp>VOLUME</stp>
        <stp>.OPEN260515P5.5</stp>
        <tr r="P37" s="5"/>
      </tp>
      <tp t="s">
        <v>N/A</v>
        <stp/>
        <stp>VOLUME</stp>
        <stp>.OPEN260515C5.5</stp>
        <tr r="P37" s="5"/>
      </tp>
      <tp t="s">
        <v>N/A</v>
        <stp/>
        <stp>VOLUME</stp>
        <stp>.OPEN251212P2.5</stp>
        <tr r="G43" s="5"/>
      </tp>
      <tp t="s">
        <v>N/A</v>
        <stp/>
        <stp>VOLUME</stp>
        <stp>.OPEN251212C2.5</stp>
        <tr r="G43" s="5"/>
      </tp>
      <tp t="s">
        <v>N/A</v>
        <stp/>
        <stp>VOLUME</stp>
        <stp>.OPEN260109P1.5</stp>
        <tr r="K45" s="5"/>
      </tp>
      <tp t="s">
        <v>N/A</v>
        <stp/>
        <stp>VOLUME</stp>
        <stp>.OPEN260109C1.5</stp>
        <tr r="K45" s="5"/>
      </tp>
      <tp t="s">
        <v>N/A</v>
        <stp/>
        <stp>VOLUME</stp>
        <stp>.OPEN251205P2.5</stp>
        <tr r="F43" s="5"/>
      </tp>
      <tp t="s">
        <v>N/A</v>
        <stp/>
        <stp>VOLUME</stp>
        <stp>.OPEN251205C2.5</stp>
        <tr r="F43" s="5"/>
      </tp>
      <tp t="s">
        <v>N/A</v>
        <stp/>
        <stp>VOLUME</stp>
        <stp>.OPEN260102P1.5</stp>
        <tr r="J45" s="5"/>
      </tp>
      <tp t="s">
        <v>N/A</v>
        <stp/>
        <stp>VOLUME</stp>
        <stp>.OPEN260102C1.5</stp>
        <tr r="J45" s="5"/>
      </tp>
      <tp t="s">
        <v>N/A</v>
        <stp/>
        <stp>VOLUME</stp>
        <stp>.OPEN251128P2.5</stp>
        <tr r="E43" s="5"/>
      </tp>
      <tp t="s">
        <v>N/A</v>
        <stp/>
        <stp>VOLUME</stp>
        <stp>.OPEN251128C2.5</stp>
        <tr r="E43" s="5"/>
      </tp>
      <tp t="s">
        <v>N/A</v>
        <stp/>
        <stp>VOLUME</stp>
        <stp>.OPEN251226P1.5</stp>
        <tr r="I45" s="5"/>
      </tp>
      <tp t="s">
        <v>N/A</v>
        <stp/>
        <stp>VOLUME</stp>
        <stp>.OPEN251226C1.5</stp>
        <tr r="I45" s="5"/>
      </tp>
      <tp t="s">
        <v>N/A</v>
        <stp/>
        <stp>VOLUME</stp>
        <stp>.OPEN251121P2.5</stp>
        <tr r="D43" s="5"/>
      </tp>
      <tp t="s">
        <v>N/A</v>
        <stp/>
        <stp>VOLUME</stp>
        <stp>.OPEN251121C2.5</stp>
        <tr r="D43" s="5"/>
      </tp>
      <tp t="s">
        <v>N/A</v>
        <stp/>
        <stp>VOLUME</stp>
        <stp>.OPEN261120P2.5</stp>
        <tr r="V43" s="5"/>
      </tp>
      <tp t="s">
        <v>N/A</v>
        <stp/>
        <stp>VOLUME</stp>
        <stp>.OPEN260220P1.5</stp>
        <tr r="M45" s="5"/>
      </tp>
      <tp t="s">
        <v>N/A</v>
        <stp/>
        <stp>VOLUME</stp>
        <stp>.OPEN260320P0.5</stp>
        <tr r="N47" s="5"/>
      </tp>
      <tp t="s">
        <v>N/A</v>
        <stp/>
        <stp>VOLUME</stp>
        <stp>.OPEN260220C1.5</stp>
        <tr r="M45" s="5"/>
      </tp>
      <tp t="s">
        <v>N/A</v>
        <stp/>
        <stp>VOLUME</stp>
        <stp>.OPEN260320C0.5</stp>
        <tr r="N47" s="5"/>
      </tp>
      <tp t="s">
        <v>N/A</v>
        <stp/>
        <stp>VOLUME</stp>
        <stp>.OPEN261120C2.5</stp>
        <tr r="V43" s="5"/>
      </tp>
      <tp t="s">
        <v>N/A</v>
        <stp/>
        <stp>VOLUME</stp>
        <stp>.OPEN251219P1.5</stp>
        <tr r="H45" s="5"/>
      </tp>
      <tp t="s">
        <v>N/A</v>
        <stp/>
        <stp>VOLUME</stp>
        <stp>.OPEN251219C1.5</stp>
        <tr r="H45" s="5"/>
      </tp>
      <tp t="s">
        <v>N/A</v>
        <stp/>
        <stp>VOLUME</stp>
        <stp>.OPEN261218P1.5</stp>
        <tr r="W45" s="5"/>
      </tp>
      <tp t="s">
        <v>N/A</v>
        <stp/>
        <stp>VOLUME</stp>
        <stp>.OPEN261218C1.5</stp>
        <tr r="W45" s="5"/>
      </tp>
      <tp t="s">
        <v>N/A</v>
        <stp/>
        <stp>VOLUME</stp>
        <stp>.OPEN260619P5.5</stp>
        <tr r="Q37" s="5"/>
      </tp>
      <tp t="s">
        <v>N/A</v>
        <stp/>
        <stp>VOLUME</stp>
        <stp>.OPEN260619C5.5</stp>
        <tr r="Q37" s="5"/>
      </tp>
      <tp t="s">
        <v>N/A</v>
        <stp/>
        <stp>VOLUME</stp>
        <stp>.OPEN261016P3.5</stp>
        <tr r="U41" s="5"/>
      </tp>
      <tp t="s">
        <v>N/A</v>
        <stp/>
        <stp>VOLUME</stp>
        <stp>.OPEN260116P2.5</stp>
        <tr r="L43" s="5"/>
      </tp>
      <tp t="s">
        <v>N/A</v>
        <stp/>
        <stp>VOLUME</stp>
        <stp>.OPEN260116C2.5</stp>
        <tr r="L43" s="5"/>
      </tp>
      <tp t="s">
        <v>N/A</v>
        <stp/>
        <stp>VOLUME</stp>
        <stp>.OPEN261016C3.5</stp>
        <tr r="U41" s="5"/>
      </tp>
      <tp t="s">
        <v>N/A</v>
        <stp/>
        <stp>VOLUME</stp>
        <stp>.OPEN251114P2.5</stp>
        <tr r="C43" s="5"/>
      </tp>
      <tp t="s">
        <v>N/A</v>
        <stp/>
        <stp>VOLUME</stp>
        <stp>.OPEN260417P7.5</stp>
        <tr r="O33" s="5"/>
      </tp>
      <tp t="s">
        <v>N/A</v>
        <stp/>
        <stp>VOLUME</stp>
        <stp>.OPEN260717P4.5</stp>
        <tr r="R39" s="5"/>
      </tp>
      <tp t="s">
        <v>N/A</v>
        <stp/>
        <stp>VOLUME</stp>
        <stp>.OPEN260417C7.5</stp>
        <tr r="O33" s="5"/>
      </tp>
      <tp t="s">
        <v>N/A</v>
        <stp/>
        <stp>VOLUME</stp>
        <stp>.OPEN260717C4.5</stp>
        <tr r="R39" s="5"/>
      </tp>
      <tp t="s">
        <v>N/A</v>
        <stp/>
        <stp>VOLUME</stp>
        <stp>.OPEN251114C2.5</stp>
        <tr r="C43" s="5"/>
      </tp>
      <tp t="s">
        <v>N/A</v>
        <stp/>
        <stp>VOLUME</stp>
        <stp>.OPEN260515P6.5</stp>
        <tr r="P35" s="5"/>
      </tp>
      <tp t="s">
        <v>N/A</v>
        <stp/>
        <stp>VOLUME</stp>
        <stp>.OPEN260515C6.5</stp>
        <tr r="P35" s="5"/>
      </tp>
      <tp t="s">
        <v>N/A</v>
        <stp/>
        <stp>VOLUME</stp>
        <stp>.OPEN251212P1.5</stp>
        <tr r="G45" s="5"/>
      </tp>
      <tp t="s">
        <v>N/A</v>
        <stp/>
        <stp>VOLUME</stp>
        <stp>.OPEN251212C1.5</stp>
        <tr r="G45" s="5"/>
      </tp>
      <tp t="s">
        <v>N/A</v>
        <stp/>
        <stp>VOLUME</stp>
        <stp>.OPEN260109P2.5</stp>
        <tr r="K43" s="5"/>
      </tp>
      <tp t="s">
        <v>N/A</v>
        <stp/>
        <stp>VOLUME</stp>
        <stp>.OPEN260109C2.5</stp>
        <tr r="K43" s="5"/>
      </tp>
      <tp t="s">
        <v>N/A</v>
        <stp/>
        <stp>VOLUME</stp>
        <stp>.OPEN251205P1.5</stp>
        <tr r="F45" s="5"/>
      </tp>
      <tp t="s">
        <v>N/A</v>
        <stp/>
        <stp>VOLUME</stp>
        <stp>.OPEN251205C1.5</stp>
        <tr r="F45" s="5"/>
      </tp>
      <tp t="s">
        <v>N/A</v>
        <stp/>
        <stp>VOLUME</stp>
        <stp>.OPEN260102P2.5</stp>
        <tr r="J43" s="5"/>
      </tp>
      <tp t="s">
        <v>N/A</v>
        <stp/>
        <stp>VOLUME</stp>
        <stp>.OPEN260102C2.5</stp>
        <tr r="J43" s="5"/>
      </tp>
      <tp t="s">
        <v>N/A</v>
        <stp/>
        <stp>VOLUME</stp>
        <stp>.OPEN251128P3.5</stp>
        <tr r="E41" s="5"/>
      </tp>
      <tp t="s">
        <v>N/A</v>
        <stp/>
        <stp>VOLUME</stp>
        <stp>.OPEN251128C3.5</stp>
        <tr r="E41" s="5"/>
      </tp>
      <tp t="s">
        <v>N/A</v>
        <stp/>
        <stp>VOLUME</stp>
        <stp>.OPEN251226P0.5</stp>
        <tr r="I47" s="5"/>
      </tp>
      <tp t="s">
        <v>N/A</v>
        <stp/>
        <stp>VOLUME</stp>
        <stp>.OPEN251226C0.5</stp>
        <tr r="I47" s="5"/>
      </tp>
      <tp t="s">
        <v>N/A</v>
        <stp/>
        <stp>VOLUME</stp>
        <stp>.OPEN251121P3.5</stp>
        <tr r="D41" s="5"/>
      </tp>
      <tp t="s">
        <v>N/A</v>
        <stp/>
        <stp>VOLUME</stp>
        <stp>.OPEN251121C3.5</stp>
        <tr r="D41" s="5"/>
      </tp>
      <tp t="s">
        <v>N/A</v>
        <stp/>
        <stp>VOLUME</stp>
        <stp>.OPEN261120P3.5</stp>
        <tr r="V41" s="5"/>
      </tp>
      <tp t="s">
        <v>N/A</v>
        <stp/>
        <stp>VOLUME</stp>
        <stp>.OPEN260220P0.5</stp>
        <tr r="M47" s="5"/>
      </tp>
      <tp t="s">
        <v>N/A</v>
        <stp/>
        <stp>VOLUME</stp>
        <stp>.OPEN260320P1.5</stp>
        <tr r="N45" s="5"/>
      </tp>
      <tp t="s">
        <v>N/A</v>
        <stp/>
        <stp>VOLUME</stp>
        <stp>.OPEN260220C0.5</stp>
        <tr r="M47" s="5"/>
      </tp>
      <tp t="s">
        <v>N/A</v>
        <stp/>
        <stp>VOLUME</stp>
        <stp>.OPEN260320C1.5</stp>
        <tr r="N45" s="5"/>
      </tp>
      <tp t="s">
        <v>N/A</v>
        <stp/>
        <stp>VOLUME</stp>
        <stp>.OPEN261120C3.5</stp>
        <tr r="V41" s="5"/>
      </tp>
      <tp t="s">
        <v>N/A</v>
        <stp/>
        <stp>VOLUME</stp>
        <stp>.OPEN251219P0.5</stp>
        <tr r="H47" s="5"/>
      </tp>
      <tp t="s">
        <v>N/A</v>
        <stp/>
        <stp>VOLUME</stp>
        <stp>.OPEN251219C0.5</stp>
        <tr r="H47" s="5"/>
      </tp>
      <tp t="s">
        <v>N/A</v>
        <stp/>
        <stp>VOLUME</stp>
        <stp>.OPEN261218P0.5</stp>
        <tr r="W47" s="5"/>
      </tp>
      <tp t="s">
        <v>N/A</v>
        <stp/>
        <stp>VOLUME</stp>
        <stp>.OPEN261218C0.5</stp>
        <tr r="W47" s="5"/>
      </tp>
      <tp t="s">
        <v>N/A</v>
        <stp/>
        <stp>VOLUME</stp>
        <stp>.OPEN260619P4.5</stp>
        <tr r="Q39" s="5"/>
      </tp>
      <tp t="s">
        <v>N/A</v>
        <stp/>
        <stp>VOLUME</stp>
        <stp>.OPEN260619C4.5</stp>
        <tr r="Q39" s="5"/>
      </tp>
      <tp t="s">
        <v>N/A</v>
        <stp/>
        <stp>VOLUME</stp>
        <stp>.OPEN261016P2.5</stp>
        <tr r="U43" s="5"/>
      </tp>
      <tp t="s">
        <v>N/A</v>
        <stp/>
        <stp>VOLUME</stp>
        <stp>.OPEN260116P3.5</stp>
        <tr r="L41" s="5"/>
      </tp>
      <tp t="s">
        <v>N/A</v>
        <stp/>
        <stp>VOLUME</stp>
        <stp>.OPEN260116C3.5</stp>
        <tr r="L41" s="5"/>
      </tp>
      <tp t="s">
        <v>N/A</v>
        <stp/>
        <stp>VOLUME</stp>
        <stp>.OPEN261016C2.5</stp>
        <tr r="U43" s="5"/>
      </tp>
      <tp t="s">
        <v>N/A</v>
        <stp/>
        <stp>VOLUME</stp>
        <stp>.OPEN251114P3.5</stp>
        <tr r="C41" s="5"/>
      </tp>
      <tp t="s">
        <v>N/A</v>
        <stp/>
        <stp>VOLUME</stp>
        <stp>.OPEN260417P6.5</stp>
        <tr r="O35" s="5"/>
      </tp>
      <tp t="s">
        <v>N/A</v>
        <stp/>
        <stp>VOLUME</stp>
        <stp>.OPEN260717P5.5</stp>
        <tr r="R37" s="5"/>
      </tp>
      <tp t="s">
        <v>N/A</v>
        <stp/>
        <stp>VOLUME</stp>
        <stp>.OPEN260417C6.5</stp>
        <tr r="O35" s="5"/>
      </tp>
      <tp t="s">
        <v>N/A</v>
        <stp/>
        <stp>VOLUME</stp>
        <stp>.OPEN260717C5.5</stp>
        <tr r="R37" s="5"/>
      </tp>
      <tp t="s">
        <v>N/A</v>
        <stp/>
        <stp>VOLUME</stp>
        <stp>.OPEN251114C3.5</stp>
        <tr r="C41" s="5"/>
      </tp>
      <tp t="s">
        <v>N/A</v>
        <stp/>
        <stp>VOLUME</stp>
        <stp>.OPEN260515P7.5</stp>
        <tr r="P33" s="5"/>
      </tp>
      <tp t="s">
        <v>N/A</v>
        <stp/>
        <stp>VOLUME</stp>
        <stp>.OPEN260515C7.5</stp>
        <tr r="P33" s="5"/>
      </tp>
      <tp t="s">
        <v>N/A</v>
        <stp/>
        <stp>VOLUME</stp>
        <stp>.OPEN251212P0.5</stp>
        <tr r="G47" s="5"/>
      </tp>
      <tp t="s">
        <v>N/A</v>
        <stp/>
        <stp>VOLUME</stp>
        <stp>.OPEN251212C0.5</stp>
        <tr r="G47" s="5"/>
      </tp>
      <tp t="s">
        <v>N/A</v>
        <stp/>
        <stp>VOLUME</stp>
        <stp>.OPEN260109P3.5</stp>
        <tr r="K41" s="5"/>
      </tp>
      <tp t="s">
        <v>N/A</v>
        <stp/>
        <stp>VOLUME</stp>
        <stp>.OPEN260109C3.5</stp>
        <tr r="K41" s="5"/>
      </tp>
      <tp t="s">
        <v>N/A</v>
        <stp/>
        <stp>VOLUME</stp>
        <stp>.OPEN251205P0.5</stp>
        <tr r="F47" s="5"/>
      </tp>
      <tp t="s">
        <v>N/A</v>
        <stp/>
        <stp>VOLUME</stp>
        <stp>.OPEN251205C0.5</stp>
        <tr r="F47" s="5"/>
      </tp>
      <tp t="s">
        <v>N/A</v>
        <stp/>
        <stp>VOLUME</stp>
        <stp>.OPEN260102P3.5</stp>
        <tr r="J41" s="5"/>
      </tp>
      <tp t="s">
        <v>N/A</v>
        <stp/>
        <stp>VOLUME</stp>
        <stp>.OPEN260102C3.5</stp>
        <tr r="J41" s="5"/>
      </tp>
      <tp t="s">
        <v>N/A</v>
        <stp/>
        <stp>VOLUME</stp>
        <stp>.OPEN260821P5.5</stp>
        <tr r="S37" s="5"/>
      </tp>
      <tp t="s">
        <v>N/A</v>
        <stp/>
        <stp>VOLUME</stp>
        <stp>.OPEN260821C5.5</stp>
        <tr r="S37" s="5"/>
      </tp>
      <tp t="s">
        <v>N/A</v>
        <stp/>
        <stp>VOLUME</stp>
        <stp>.OPEN260918P4.5</stp>
        <tr r="T39" s="5"/>
      </tp>
      <tp t="s">
        <v>N/A</v>
        <stp/>
        <stp>VOLUME</stp>
        <stp>.OPEN260918C4.5</stp>
        <tr r="T39" s="5"/>
      </tp>
      <tp t="s">
        <v>N/A</v>
        <stp/>
        <stp>VOLUME</stp>
        <stp>.OPEN260417P9.5</stp>
        <tr r="O29" s="5"/>
      </tp>
      <tp t="s">
        <v>N/A</v>
        <stp/>
        <stp>VOLUME</stp>
        <stp>.OPEN260417C9.5</stp>
        <tr r="O29" s="5"/>
      </tp>
      <tp t="s">
        <v>N/A</v>
        <stp/>
        <stp>VOLUME</stp>
        <stp>.OPEN260515P8.5</stp>
        <tr r="P31" s="5"/>
      </tp>
      <tp t="s">
        <v>N/A</v>
        <stp/>
        <stp>VOLUME</stp>
        <stp>.OPEN260515C8.5</stp>
        <tr r="P31" s="5"/>
      </tp>
      <tp t="s">
        <v>N/A</v>
        <stp/>
        <stp>VOLUME</stp>
        <stp>.OPEN260821P4.5</stp>
        <tr r="S39" s="5"/>
      </tp>
      <tp t="s">
        <v>N/A</v>
        <stp/>
        <stp>VOLUME</stp>
        <stp>.OPEN260821C4.5</stp>
        <tr r="S39" s="5"/>
      </tp>
      <tp t="s">
        <v>N/A</v>
        <stp/>
        <stp>VOLUME</stp>
        <stp>.OPEN260918P5.5</stp>
        <tr r="T37" s="5"/>
      </tp>
      <tp t="s">
        <v>N/A</v>
        <stp/>
        <stp>VOLUME</stp>
        <stp>.OPEN260918C5.5</stp>
        <tr r="T37" s="5"/>
      </tp>
      <tp t="s">
        <v>N/A</v>
        <stp/>
        <stp>VOLUME</stp>
        <stp>.OPEN260417P8.5</stp>
        <tr r="O31" s="5"/>
      </tp>
      <tp t="s">
        <v>N/A</v>
        <stp/>
        <stp>VOLUME</stp>
        <stp>.OPEN260417C8.5</stp>
        <tr r="O31" s="5"/>
      </tp>
      <tp t="s">
        <v>N/A</v>
        <stp/>
        <stp>VOLUME</stp>
        <stp>.OPEN260515P9.5</stp>
        <tr r="P29" s="5"/>
      </tp>
      <tp t="s">
        <v>N/A</v>
        <stp/>
        <stp>VOLUME</stp>
        <stp>.OPEN260515C9.5</stp>
        <tr r="P29" s="5"/>
      </tp>
      <tp t="s">
        <v>N/A</v>
        <stp/>
        <stp>VOLUME</stp>
        <stp>.OPEN260821P7.5</stp>
        <tr r="S33" s="5"/>
      </tp>
      <tp t="s">
        <v>N/A</v>
        <stp/>
        <stp>VOLUME</stp>
        <stp>.OPEN260821C7.5</stp>
        <tr r="S33" s="5"/>
      </tp>
      <tp t="s">
        <v>N/A</v>
        <stp/>
        <stp>VOLUME</stp>
        <stp>.OPEN260918P6.5</stp>
        <tr r="T35" s="5"/>
      </tp>
      <tp t="s">
        <v>N/A</v>
        <stp/>
        <stp>VOLUME</stp>
        <stp>.OPEN260918C6.5</stp>
        <tr r="T35" s="5"/>
      </tp>
      <tp t="s">
        <v>N/A</v>
        <stp/>
        <stp>VOLUME</stp>
        <stp>.OPEN260619P9.5</stp>
        <tr r="Q29" s="5"/>
      </tp>
      <tp t="s">
        <v>N/A</v>
        <stp/>
        <stp>VOLUME</stp>
        <stp>.OPEN260619C9.5</stp>
        <tr r="Q29" s="5"/>
      </tp>
      <tp t="s">
        <v>N/A</v>
        <stp/>
        <stp>VOLUME</stp>
        <stp>.OPEN260717P8.5</stp>
        <tr r="R31" s="5"/>
      </tp>
      <tp t="s">
        <v>N/A</v>
        <stp/>
        <stp>VOLUME</stp>
        <stp>.OPEN260717C8.5</stp>
        <tr r="R31" s="5"/>
      </tp>
      <tp t="s">
        <v>N/A</v>
        <stp/>
        <stp>VOLUME</stp>
        <stp>.OPEN260821P6.5</stp>
        <tr r="S35" s="5"/>
      </tp>
      <tp t="s">
        <v>N/A</v>
        <stp/>
        <stp>VOLUME</stp>
        <stp>.OPEN260821C6.5</stp>
        <tr r="S35" s="5"/>
      </tp>
      <tp t="s">
        <v>N/A</v>
        <stp/>
        <stp>VOLUME</stp>
        <stp>.OPEN260918P7.5</stp>
        <tr r="T33" s="5"/>
      </tp>
      <tp t="s">
        <v>N/A</v>
        <stp/>
        <stp>VOLUME</stp>
        <stp>.OPEN260918C7.5</stp>
        <tr r="T33" s="5"/>
      </tp>
      <tp t="s">
        <v>N/A</v>
        <stp/>
        <stp>VOLUME</stp>
        <stp>.OPEN260619P8.5</stp>
        <tr r="Q31" s="5"/>
      </tp>
      <tp t="s">
        <v>N/A</v>
        <stp/>
        <stp>VOLUME</stp>
        <stp>.OPEN260619C8.5</stp>
        <tr r="Q31" s="5"/>
      </tp>
      <tp t="s">
        <v>N/A</v>
        <stp/>
        <stp>VOLUME</stp>
        <stp>.OPEN260717P9.5</stp>
        <tr r="R29" s="5"/>
      </tp>
      <tp t="s">
        <v>N/A</v>
        <stp/>
        <stp>VOLUME</stp>
        <stp>.OPEN260717C9.5</stp>
        <tr r="R29" s="5"/>
      </tp>
      <tp t="s">
        <v>N/A</v>
        <stp/>
        <stp>VOLUME</stp>
        <stp>.OPEN251128P8.5</stp>
        <tr r="E31" s="5"/>
      </tp>
      <tp t="s">
        <v>N/A</v>
        <stp/>
        <stp>VOLUME</stp>
        <stp>.OPEN251128C8.5</stp>
        <tr r="E31" s="5"/>
      </tp>
      <tp t="s">
        <v>N/A</v>
        <stp/>
        <stp>VOLUME</stp>
        <stp>.OPEN251121P8.5</stp>
        <tr r="D31" s="5"/>
      </tp>
      <tp t="s">
        <v>N/A</v>
        <stp/>
        <stp>VOLUME</stp>
        <stp>.OPEN251121C8.5</stp>
        <tr r="D31" s="5"/>
      </tp>
      <tp t="s">
        <v>N/A</v>
        <stp/>
        <stp>VOLUME</stp>
        <stp>.OPEN261120P8.5</stp>
        <tr r="V31" s="5"/>
      </tp>
      <tp t="s">
        <v>N/A</v>
        <stp/>
        <stp>VOLUME</stp>
        <stp>.OPEN261120C8.5</stp>
        <tr r="V31" s="5"/>
      </tp>
      <tp t="s">
        <v>N/A</v>
        <stp/>
        <stp>VOLUME</stp>
        <stp>.OPEN260821P1.5</stp>
        <tr r="S45" s="5"/>
      </tp>
      <tp t="s">
        <v>N/A</v>
        <stp/>
        <stp>VOLUME</stp>
        <stp>.OPEN260821C1.5</stp>
        <tr r="S45" s="5"/>
      </tp>
      <tp t="s">
        <v>N/A</v>
        <stp/>
        <stp>VOLUME</stp>
        <stp>.OPEN260918P0.5</stp>
        <tr r="T47" s="5"/>
      </tp>
      <tp t="s">
        <v>N/A</v>
        <stp/>
        <stp>VOLUME</stp>
        <stp>.OPEN260918C0.5</stp>
        <tr r="T47" s="5"/>
      </tp>
      <tp t="s">
        <v>N/A</v>
        <stp/>
        <stp>VOLUME</stp>
        <stp>.OPEN261016P9.5</stp>
        <tr r="U29" s="5"/>
      </tp>
      <tp t="s">
        <v>N/A</v>
        <stp/>
        <stp>VOLUME</stp>
        <stp>.OPEN260116P8.5</stp>
        <tr r="L31" s="5"/>
      </tp>
      <tp t="s">
        <v>N/A</v>
        <stp/>
        <stp>VOLUME</stp>
        <stp>.OPEN260116C8.5</stp>
        <tr r="L31" s="5"/>
      </tp>
      <tp t="s">
        <v>N/A</v>
        <stp/>
        <stp>VOLUME</stp>
        <stp>.OPEN261016C9.5</stp>
        <tr r="U29" s="5"/>
      </tp>
      <tp t="s">
        <v>N/A</v>
        <stp/>
        <stp>VOLUME</stp>
        <stp>.OPEN251114P8.5</stp>
        <tr r="C31" s="5"/>
      </tp>
      <tp t="s">
        <v>N/A</v>
        <stp/>
        <stp>VOLUME</stp>
        <stp>.OPEN251114C8.5</stp>
        <tr r="C31" s="5"/>
      </tp>
      <tp t="s">
        <v>N/A</v>
        <stp/>
        <stp>VOLUME</stp>
        <stp>.OPEN260109P8.5</stp>
        <tr r="K31" s="5"/>
      </tp>
      <tp t="s">
        <v>N/A</v>
        <stp/>
        <stp>VOLUME</stp>
        <stp>.OPEN260109C8.5</stp>
        <tr r="K31" s="5"/>
      </tp>
      <tp t="s">
        <v>N/A</v>
        <stp/>
        <stp>VOLUME</stp>
        <stp>.OPEN260102P8.5</stp>
        <tr r="J31" s="5"/>
      </tp>
      <tp t="s">
        <v>N/A</v>
        <stp/>
        <stp>VOLUME</stp>
        <stp>.OPEN260102C8.5</stp>
        <tr r="J31" s="5"/>
      </tp>
      <tp t="s">
        <v>N/A</v>
        <stp/>
        <stp>VOLUME</stp>
        <stp>.OPEN251128P9.5</stp>
        <tr r="E29" s="5"/>
      </tp>
      <tp t="s">
        <v>N/A</v>
        <stp/>
        <stp>VOLUME</stp>
        <stp>.OPEN251128C9.5</stp>
        <tr r="E29" s="5"/>
      </tp>
      <tp t="s">
        <v>N/A</v>
        <stp/>
        <stp>VOLUME</stp>
        <stp>.OPEN251121P9.5</stp>
        <tr r="D29" s="5"/>
      </tp>
      <tp t="s">
        <v>N/A</v>
        <stp/>
        <stp>VOLUME</stp>
        <stp>.OPEN251121C9.5</stp>
        <tr r="D29" s="5"/>
      </tp>
      <tp t="s">
        <v>N/A</v>
        <stp/>
        <stp>VOLUME</stp>
        <stp>.OPEN261120P9.5</stp>
        <tr r="V29" s="5"/>
      </tp>
      <tp t="s">
        <v>N/A</v>
        <stp/>
        <stp>VOLUME</stp>
        <stp>.OPEN261120C9.5</stp>
        <tr r="V29" s="5"/>
      </tp>
      <tp t="s">
        <v>N/A</v>
        <stp/>
        <stp>VOLUME</stp>
        <stp>.OPEN260821P0.5</stp>
        <tr r="S47" s="5"/>
      </tp>
      <tp t="s">
        <v>N/A</v>
        <stp/>
        <stp>VOLUME</stp>
        <stp>.OPEN260821C0.5</stp>
        <tr r="S47" s="5"/>
      </tp>
      <tp t="s">
        <v>N/A</v>
        <stp/>
        <stp>VOLUME</stp>
        <stp>.OPEN260918P1.5</stp>
        <tr r="T45" s="5"/>
      </tp>
      <tp t="s">
        <v>N/A</v>
        <stp/>
        <stp>VOLUME</stp>
        <stp>.OPEN260918C1.5</stp>
        <tr r="T45" s="5"/>
      </tp>
      <tp t="s">
        <v>N/A</v>
        <stp/>
        <stp>VOLUME</stp>
        <stp>.OPEN261016P8.5</stp>
        <tr r="U31" s="5"/>
      </tp>
      <tp t="s">
        <v>N/A</v>
        <stp/>
        <stp>VOLUME</stp>
        <stp>.OPEN260116P9.5</stp>
        <tr r="L29" s="5"/>
      </tp>
      <tp t="s">
        <v>N/A</v>
        <stp/>
        <stp>VOLUME</stp>
        <stp>.OPEN260116C9.5</stp>
        <tr r="L29" s="5"/>
      </tp>
      <tp t="s">
        <v>N/A</v>
        <stp/>
        <stp>VOLUME</stp>
        <stp>.OPEN261016C8.5</stp>
        <tr r="U31" s="5"/>
      </tp>
      <tp t="s">
        <v>N/A</v>
        <stp/>
        <stp>VOLUME</stp>
        <stp>.OPEN251114P9.5</stp>
        <tr r="C29" s="5"/>
      </tp>
      <tp t="s">
        <v>N/A</v>
        <stp/>
        <stp>VOLUME</stp>
        <stp>.OPEN251114C9.5</stp>
        <tr r="C29" s="5"/>
      </tp>
      <tp t="s">
        <v>N/A</v>
        <stp/>
        <stp>VOLUME</stp>
        <stp>.OPEN260109P9.5</stp>
        <tr r="K29" s="5"/>
      </tp>
      <tp t="s">
        <v>N/A</v>
        <stp/>
        <stp>VOLUME</stp>
        <stp>.OPEN260109C9.5</stp>
        <tr r="K29" s="5"/>
      </tp>
      <tp t="s">
        <v>N/A</v>
        <stp/>
        <stp>VOLUME</stp>
        <stp>.OPEN260102P9.5</stp>
        <tr r="J29" s="5"/>
      </tp>
      <tp t="s">
        <v>N/A</v>
        <stp/>
        <stp>VOLUME</stp>
        <stp>.OPEN260102C9.5</stp>
        <tr r="J29" s="5"/>
      </tp>
      <tp t="s">
        <v>N/A</v>
        <stp/>
        <stp>OPEN_INT</stp>
        <stp>.OPENP-1</stp>
        <tr r="B50" s="1"/>
      </tp>
      <tp t="s">
        <v>N/A</v>
        <stp/>
        <stp>OPEN_INT</stp>
        <stp>.OPENP16</stp>
        <tr r="B16" s="1"/>
      </tp>
      <tp t="s">
        <v>N/A</v>
        <stp/>
        <stp>OPEN_INT</stp>
        <stp>.OPENP17</stp>
        <tr r="B14" s="1"/>
      </tp>
      <tp t="s">
        <v>N/A</v>
        <stp/>
        <stp>OPEN_INT</stp>
        <stp>.OPENP14</stp>
        <tr r="B20" s="1"/>
      </tp>
      <tp t="s">
        <v>N/A</v>
        <stp/>
        <stp>OPEN_INT</stp>
        <stp>.OPENP15</stp>
        <tr r="B18" s="1"/>
      </tp>
      <tp t="s">
        <v>N/A</v>
        <stp/>
        <stp>OPEN_INT</stp>
        <stp>.OPENP12</stp>
        <tr r="B24" s="1"/>
      </tp>
      <tp t="s">
        <v>N/A</v>
        <stp/>
        <stp>OPEN_INT</stp>
        <stp>.OPENP13</stp>
        <tr r="B22" s="1"/>
      </tp>
      <tp t="s">
        <v>N/A</v>
        <stp/>
        <stp>OPEN_INT</stp>
        <stp>.OPENP10</stp>
        <tr r="B28" s="1"/>
      </tp>
      <tp t="s">
        <v>N/A</v>
        <stp/>
        <stp>OPEN_INT</stp>
        <stp>.OPENP11</stp>
        <tr r="B26" s="1"/>
      </tp>
      <tp t="s">
        <v>N/A</v>
        <stp/>
        <stp>OPEN_INT</stp>
        <stp>.OPENP18</stp>
        <tr r="B12" s="1"/>
      </tp>
      <tp t="s">
        <v>N/A</v>
        <stp/>
        <stp>OPEN_INT</stp>
        <stp>.OPENP19</stp>
        <tr r="B10" s="1"/>
      </tp>
      <tp t="s">
        <v>N/A</v>
        <stp/>
        <stp>OPEN_INT</stp>
        <stp>.OPENP20</stp>
        <tr r="B8" s="1"/>
      </tp>
      <tp t="s">
        <v>N/A</v>
        <stp/>
        <stp>OPEN_INT</stp>
        <stp>.OPENP21</stp>
        <tr r="B6" s="1"/>
      </tp>
      <tp t="s">
        <v>N/A</v>
        <stp/>
        <stp>VOLUME</stp>
        <stp>.OPEN251226P9.5</stp>
        <tr r="I29" s="5"/>
      </tp>
      <tp t="s">
        <v>N/A</v>
        <stp/>
        <stp>VOLUME</stp>
        <stp>.OPEN251226C9.5</stp>
        <tr r="I29" s="5"/>
      </tp>
      <tp t="s">
        <v>N/A</v>
        <stp/>
        <stp>VOLUME</stp>
        <stp>.OPEN260220P9.5</stp>
        <tr r="M29" s="5"/>
      </tp>
      <tp t="s">
        <v>N/A</v>
        <stp/>
        <stp>VOLUME</stp>
        <stp>.OPEN260320P8.5</stp>
        <tr r="N31" s="5"/>
      </tp>
      <tp t="s">
        <v>N/A</v>
        <stp/>
        <stp>VOLUME</stp>
        <stp>.OPEN260220C9.5</stp>
        <tr r="M29" s="5"/>
      </tp>
      <tp t="s">
        <v>N/A</v>
        <stp/>
        <stp>VOLUME</stp>
        <stp>.OPEN260320C8.5</stp>
        <tr r="N31" s="5"/>
      </tp>
      <tp t="s">
        <v>N/A</v>
        <stp/>
        <stp>VOLUME</stp>
        <stp>.OPEN260821P3.5</stp>
        <tr r="S41" s="5"/>
      </tp>
      <tp t="s">
        <v>N/A</v>
        <stp/>
        <stp>VOLUME</stp>
        <stp>.OPEN260821C3.5</stp>
        <tr r="S41" s="5"/>
      </tp>
      <tp t="s">
        <v>N/A</v>
        <stp/>
        <stp>VOLUME</stp>
        <stp>.OPEN251219P9.5</stp>
        <tr r="H29" s="5"/>
      </tp>
      <tp t="s">
        <v>N/A</v>
        <stp/>
        <stp>VOLUME</stp>
        <stp>.OPEN251219C9.5</stp>
        <tr r="H29" s="5"/>
      </tp>
      <tp t="s">
        <v>N/A</v>
        <stp/>
        <stp>VOLUME</stp>
        <stp>.OPEN261218P9.5</stp>
        <tr r="W29" s="5"/>
      </tp>
      <tp t="s">
        <v>N/A</v>
        <stp/>
        <stp>VOLUME</stp>
        <stp>.OPEN260918P2.5</stp>
        <tr r="T43" s="5"/>
      </tp>
      <tp t="s">
        <v>N/A</v>
        <stp/>
        <stp>VOLUME</stp>
        <stp>.OPEN260918C2.5</stp>
        <tr r="T43" s="5"/>
      </tp>
      <tp t="s">
        <v>N/A</v>
        <stp/>
        <stp>VOLUME</stp>
        <stp>.OPEN261218C9.5</stp>
        <tr r="W29" s="5"/>
      </tp>
      <tp t="s">
        <v>N/A</v>
        <stp/>
        <stp>VOLUME</stp>
        <stp>.OPEN251212P9.5</stp>
        <tr r="G29" s="5"/>
      </tp>
      <tp t="s">
        <v>N/A</v>
        <stp/>
        <stp>VOLUME</stp>
        <stp>.OPEN251212C9.5</stp>
        <tr r="G29" s="5"/>
      </tp>
      <tp t="s">
        <v>N/A</v>
        <stp/>
        <stp>VOLUME</stp>
        <stp>.OPEN251205P9.5</stp>
        <tr r="F29" s="5"/>
      </tp>
      <tp t="s">
        <v>N/A</v>
        <stp/>
        <stp>VOLUME</stp>
        <stp>.OPEN251205C9.5</stp>
        <tr r="F29" s="5"/>
      </tp>
      <tp t="s">
        <v>N/A</v>
        <stp/>
        <stp>VOLUME</stp>
        <stp>.OPEN251226P8.5</stp>
        <tr r="I31" s="5"/>
      </tp>
      <tp t="s">
        <v>N/A</v>
        <stp/>
        <stp>VOLUME</stp>
        <stp>.OPEN251226C8.5</stp>
        <tr r="I31" s="5"/>
      </tp>
      <tp t="s">
        <v>N/A</v>
        <stp/>
        <stp>VOLUME</stp>
        <stp>.OPEN260220P8.5</stp>
        <tr r="M31" s="5"/>
      </tp>
      <tp t="s">
        <v>N/A</v>
        <stp/>
        <stp>VOLUME</stp>
        <stp>.OPEN260320P9.5</stp>
        <tr r="N29" s="5"/>
      </tp>
      <tp t="s">
        <v>N/A</v>
        <stp/>
        <stp>VOLUME</stp>
        <stp>.OPEN260220C8.5</stp>
        <tr r="M31" s="5"/>
      </tp>
      <tp t="s">
        <v>N/A</v>
        <stp/>
        <stp>VOLUME</stp>
        <stp>.OPEN260320C9.5</stp>
        <tr r="N29" s="5"/>
      </tp>
      <tp t="s">
        <v>N/A</v>
        <stp/>
        <stp>VOLUME</stp>
        <stp>.OPEN260821P2.5</stp>
        <tr r="S43" s="5"/>
      </tp>
      <tp t="s">
        <v>N/A</v>
        <stp/>
        <stp>VOLUME</stp>
        <stp>.OPEN260821C2.5</stp>
        <tr r="S43" s="5"/>
      </tp>
      <tp t="s">
        <v>N/A</v>
        <stp/>
        <stp>VOLUME</stp>
        <stp>.OPEN251219P8.5</stp>
        <tr r="H31" s="5"/>
      </tp>
      <tp t="s">
        <v>N/A</v>
        <stp/>
        <stp>VOLUME</stp>
        <stp>.OPEN251219C8.5</stp>
        <tr r="H31" s="5"/>
      </tp>
      <tp t="s">
        <v>N/A</v>
        <stp/>
        <stp>VOLUME</stp>
        <stp>.OPEN261218P8.5</stp>
        <tr r="W31" s="5"/>
      </tp>
      <tp t="s">
        <v>N/A</v>
        <stp/>
        <stp>VOLUME</stp>
        <stp>.OPEN260918P3.5</stp>
        <tr r="T41" s="5"/>
      </tp>
      <tp t="s">
        <v>N/A</v>
        <stp/>
        <stp>VOLUME</stp>
        <stp>.OPEN260918C3.5</stp>
        <tr r="T41" s="5"/>
      </tp>
      <tp t="s">
        <v>N/A</v>
        <stp/>
        <stp>VOLUME</stp>
        <stp>.OPEN261218C8.5</stp>
        <tr r="W31" s="5"/>
      </tp>
      <tp t="s">
        <v>N/A</v>
        <stp/>
        <stp>VOLUME</stp>
        <stp>.OPEN251212P8.5</stp>
        <tr r="G31" s="5"/>
      </tp>
      <tp t="s">
        <v>N/A</v>
        <stp/>
        <stp>VOLUME</stp>
        <stp>.OPEN251212C8.5</stp>
        <tr r="G31" s="5"/>
      </tp>
      <tp t="s">
        <v>N/A</v>
        <stp/>
        <stp>VOLUME</stp>
        <stp>.OPEN251205P8.5</stp>
        <tr r="F31" s="5"/>
      </tp>
      <tp t="s">
        <v>N/A</v>
        <stp/>
        <stp>VOLUME</stp>
        <stp>.OPEN251205C8.5</stp>
        <tr r="F31" s="5"/>
      </tp>
      <tp t="s">
        <v>N/A</v>
        <stp/>
        <stp>OPEN_INT</stp>
        <stp>.OPEN251231P8</stp>
        <tr r="V28" s="2"/>
      </tp>
      <tp t="s">
        <v>N/A</v>
        <stp/>
        <stp>OPEN_INT</stp>
        <stp>.OPEN251231P9</stp>
        <tr r="V26" s="2"/>
      </tp>
      <tp>
        <v>20840</v>
        <stp/>
        <stp>OPEN_INT</stp>
        <stp>.OPEN251031P8</stp>
        <tr r="R28" s="2"/>
        <tr r="R28" s="2"/>
      </tp>
      <tp t="s">
        <v>N/A</v>
        <stp/>
        <stp>OPEN_INT</stp>
        <stp>.OPEN251021P8</stp>
        <tr r="J28" s="2"/>
      </tp>
      <tp>
        <v>11545</v>
        <stp/>
        <stp>OPEN_INT</stp>
        <stp>.OPEN251121P9</stp>
        <tr r="D30" s="1"/>
        <tr r="D30" s="1"/>
        <tr r="S26" s="2"/>
        <tr r="S26" s="2"/>
      </tp>
      <tp>
        <v>3623</v>
        <stp/>
        <stp>OPEN_INT</stp>
        <stp>.OPEN251031P9</stp>
        <tr r="R26" s="2"/>
        <tr r="R26" s="2"/>
      </tp>
      <tp t="s">
        <v>N/A</v>
        <stp/>
        <stp>OPEN_INT</stp>
        <stp>.OPEN251021P9</stp>
        <tr r="J26" s="2"/>
      </tp>
      <tp>
        <v>12717</v>
        <stp/>
        <stp>OPEN_INT</stp>
        <stp>.OPEN251121P8</stp>
        <tr r="D32" s="1"/>
        <tr r="D32" s="1"/>
        <tr r="S28" s="2"/>
        <tr r="S28" s="2"/>
      </tp>
      <tp>
        <v>7068</v>
        <stp/>
        <stp>OPEN_INT</stp>
        <stp>.OPEN251031P6</stp>
        <tr r="R32" s="2"/>
        <tr r="R32" s="2"/>
      </tp>
      <tp t="s">
        <v>N/A</v>
        <stp/>
        <stp>OPEN_INT</stp>
        <stp>.OPEN251231P4</stp>
        <tr r="V36" s="2"/>
      </tp>
      <tp t="s">
        <v>N/A</v>
        <stp/>
        <stp>OPEN_INT</stp>
        <stp>.OPEN251021P6</stp>
        <tr r="J32" s="2"/>
      </tp>
      <tp>
        <v>19833</v>
        <stp/>
        <stp>OPEN_INT</stp>
        <stp>.OPEN251121P7</stp>
        <tr r="D34" s="1"/>
        <tr r="D34" s="1"/>
        <tr r="S30" s="2"/>
        <tr r="S30" s="2"/>
      </tp>
      <tp>
        <v>16490</v>
        <stp/>
        <stp>OPEN_INT</stp>
        <stp>.OPEN251031P7</stp>
        <tr r="R30" s="2"/>
        <tr r="R30" s="2"/>
      </tp>
      <tp t="s">
        <v>N/A</v>
        <stp/>
        <stp>OPEN_INT</stp>
        <stp>.OPEN251231P5</stp>
        <tr r="V34" s="2"/>
      </tp>
      <tp t="s">
        <v>N/A</v>
        <stp/>
        <stp>OPEN_INT</stp>
        <stp>.OPEN251021P7</stp>
        <tr r="J30" s="2"/>
      </tp>
      <tp>
        <v>15445</v>
        <stp/>
        <stp>OPEN_INT</stp>
        <stp>.OPEN251121P6</stp>
        <tr r="D36" s="1"/>
        <tr r="D36" s="1"/>
        <tr r="S32" s="2"/>
        <tr r="S32" s="2"/>
      </tp>
      <tp>
        <v>993</v>
        <stp/>
        <stp>OPEN_INT</stp>
        <stp>.OPEN251031P4</stp>
        <tr r="R36" s="2"/>
        <tr r="R36" s="2"/>
      </tp>
      <tp t="s">
        <v>N/A</v>
        <stp/>
        <stp>OPEN_INT</stp>
        <stp>.OPEN251231P6</stp>
        <tr r="V32" s="2"/>
      </tp>
      <tp t="s">
        <v>N/A</v>
        <stp/>
        <stp>OPEN_INT</stp>
        <stp>.OPEN251021P4</stp>
        <tr r="J36" s="2"/>
      </tp>
      <tp>
        <v>20564</v>
        <stp/>
        <stp>OPEN_INT</stp>
        <stp>.OPEN251121P5</stp>
        <tr r="D38" s="1"/>
        <tr r="D38" s="1"/>
        <tr r="S34" s="2"/>
        <tr r="S34" s="2"/>
      </tp>
      <tp>
        <v>4515</v>
        <stp/>
        <stp>OPEN_INT</stp>
        <stp>.OPEN251031P5</stp>
        <tr r="R34" s="2"/>
        <tr r="R34" s="2"/>
      </tp>
      <tp t="s">
        <v>N/A</v>
        <stp/>
        <stp>OPEN_INT</stp>
        <stp>.OPEN251231P7</stp>
        <tr r="V30" s="2"/>
      </tp>
      <tp t="s">
        <v>N/A</v>
        <stp/>
        <stp>OPEN_INT</stp>
        <stp>.OPEN251021P5</stp>
        <tr r="J34" s="2"/>
      </tp>
      <tp>
        <v>11086</v>
        <stp/>
        <stp>OPEN_INT</stp>
        <stp>.OPEN251121P4</stp>
        <tr r="D40" s="1"/>
        <tr r="D40" s="1"/>
        <tr r="S36" s="2"/>
        <tr r="S36" s="2"/>
      </tp>
      <tp>
        <v>170</v>
        <stp/>
        <stp>OPEN_INT</stp>
        <stp>.OPEN251031P2</stp>
        <tr r="R40" s="2"/>
        <tr r="R40" s="2"/>
      </tp>
      <tp t="s">
        <v>N/A</v>
        <stp/>
        <stp>OPEN_INT</stp>
        <stp>.OPEN251231P0</stp>
        <tr r="V44" s="2"/>
      </tp>
      <tp t="s">
        <v>N/A</v>
        <stp/>
        <stp>OPEN_INT</stp>
        <stp>.OPEN251021P2</stp>
        <tr r="J40" s="2"/>
      </tp>
      <tp>
        <v>16782</v>
        <stp/>
        <stp>OPEN_INT</stp>
        <stp>.OPEN251121P3</stp>
        <tr r="D42" s="1"/>
        <tr r="D42" s="1"/>
        <tr r="S38" s="2"/>
        <tr r="S38" s="2"/>
      </tp>
      <tp>
        <v>2674</v>
        <stp/>
        <stp>OPEN_INT</stp>
        <stp>.OPEN251031P3</stp>
        <tr r="R38" s="2"/>
        <tr r="R38" s="2"/>
      </tp>
      <tp t="s">
        <v>N/A</v>
        <stp/>
        <stp>OPEN_INT</stp>
        <stp>.OPEN251231P1</stp>
        <tr r="V42" s="2"/>
      </tp>
      <tp t="s">
        <v>N/A</v>
        <stp/>
        <stp>OPEN_INT</stp>
        <stp>.OPEN251021P3</stp>
        <tr r="J38" s="2"/>
      </tp>
      <tp>
        <v>15524</v>
        <stp/>
        <stp>OPEN_INT</stp>
        <stp>.OPEN251121P2</stp>
        <tr r="D44" s="1"/>
        <tr r="D44" s="1"/>
        <tr r="S40" s="2"/>
        <tr r="S40" s="2"/>
      </tp>
      <tp t="s">
        <v>N/A</v>
        <stp/>
        <stp>OPEN_INT</stp>
        <stp>.OPEN251031P0</stp>
        <tr r="R44" s="2"/>
      </tp>
      <tp t="s">
        <v>N/A</v>
        <stp/>
        <stp>OPEN_INT</stp>
        <stp>.OPEN251231P2</stp>
        <tr r="V40" s="2"/>
      </tp>
      <tp t="s">
        <v>N/A</v>
        <stp/>
        <stp>OPEN_INT</stp>
        <stp>.OPEN251021P0</stp>
        <tr r="J44" s="2"/>
      </tp>
      <tp>
        <v>6458</v>
        <stp/>
        <stp>OPEN_INT</stp>
        <stp>.OPEN251121P1</stp>
        <tr r="D46" s="1"/>
        <tr r="D46" s="1"/>
        <tr r="S42" s="2"/>
        <tr r="S42" s="2"/>
      </tp>
      <tp>
        <v>91</v>
        <stp/>
        <stp>OPEN_INT</stp>
        <stp>.OPEN251031P1</stp>
        <tr r="R42" s="2"/>
        <tr r="R42" s="2"/>
      </tp>
      <tp t="s">
        <v>N/A</v>
        <stp/>
        <stp>OPEN_INT</stp>
        <stp>.OPEN251231P3</stp>
        <tr r="V38" s="2"/>
      </tp>
      <tp t="s">
        <v>N/A</v>
        <stp/>
        <stp>OPEN_INT</stp>
        <stp>.OPEN251021P1</stp>
        <tr r="J42" s="2"/>
      </tp>
      <tp t="s">
        <v>N/A</v>
        <stp/>
        <stp>OPEN_INT</stp>
        <stp>.OPEN251121P0</stp>
        <tr r="D48" s="1"/>
        <tr r="S44" s="2"/>
      </tp>
      <tp t="s">
        <v>N/A</v>
        <stp/>
        <stp>OPEN_INT</stp>
        <stp>.OPEN260102P9</stp>
        <tr r="J30" s="1"/>
      </tp>
      <tp t="s">
        <v>N/A</v>
        <stp/>
        <stp>OPEN_INT</stp>
        <stp>.OPEN260102P8</stp>
        <tr r="J32" s="1"/>
      </tp>
      <tp t="s">
        <v>N/A</v>
        <stp/>
        <stp>OPEN_INT</stp>
        <stp>.OPEN260102P7</stp>
        <tr r="J34" s="1"/>
      </tp>
      <tp t="s">
        <v>N/A</v>
        <stp/>
        <stp>OPEN_INT</stp>
        <stp>.OPEN260102P6</stp>
        <tr r="J36" s="1"/>
      </tp>
      <tp t="s">
        <v>N/A</v>
        <stp/>
        <stp>OPEN_INT</stp>
        <stp>.OPEN260102P5</stp>
        <tr r="J38" s="1"/>
      </tp>
      <tp t="s">
        <v>N/A</v>
        <stp/>
        <stp>OPEN_INT</stp>
        <stp>.OPEN260102P4</stp>
        <tr r="J40" s="1"/>
      </tp>
      <tp t="s">
        <v>N/A</v>
        <stp/>
        <stp>OPEN_INT</stp>
        <stp>.OPEN260102P3</stp>
        <tr r="J42" s="1"/>
      </tp>
      <tp t="s">
        <v>N/A</v>
        <stp/>
        <stp>OPEN_INT</stp>
        <stp>.OPEN260102P2</stp>
        <tr r="J44" s="1"/>
      </tp>
      <tp t="s">
        <v>N/A</v>
        <stp/>
        <stp>OPEN_INT</stp>
        <stp>.OPEN260102P1</stp>
        <tr r="J46" s="1"/>
      </tp>
      <tp t="s">
        <v>N/A</v>
        <stp/>
        <stp>OPEN_INT</stp>
        <stp>.OPEN260102P0</stp>
        <tr r="J48" s="1"/>
      </tp>
      <tp t="s">
        <v>N/A</v>
        <stp/>
        <stp>OPEN_INT</stp>
        <stp>.OPEN260102C9</stp>
        <tr r="J30" s="1"/>
      </tp>
      <tp t="s">
        <v>N/A</v>
        <stp/>
        <stp>OPEN_INT</stp>
        <stp>.OPEN260102C8</stp>
        <tr r="J32" s="1"/>
      </tp>
      <tp t="s">
        <v>N/A</v>
        <stp/>
        <stp>OPEN_INT</stp>
        <stp>.OPEN260102C7</stp>
        <tr r="J34" s="1"/>
      </tp>
      <tp t="s">
        <v>N/A</v>
        <stp/>
        <stp>OPEN_INT</stp>
        <stp>.OPEN260102C6</stp>
        <tr r="J36" s="1"/>
      </tp>
      <tp t="s">
        <v>N/A</v>
        <stp/>
        <stp>OPEN_INT</stp>
        <stp>.OPEN260102C5</stp>
        <tr r="J38" s="1"/>
      </tp>
      <tp t="s">
        <v>N/A</v>
        <stp/>
        <stp>OPEN_INT</stp>
        <stp>.OPEN260102C4</stp>
        <tr r="J40" s="1"/>
      </tp>
      <tp t="s">
        <v>N/A</v>
        <stp/>
        <stp>OPEN_INT</stp>
        <stp>.OPEN260102C3</stp>
        <tr r="J42" s="1"/>
      </tp>
      <tp t="s">
        <v>N/A</v>
        <stp/>
        <stp>OPEN_INT</stp>
        <stp>.OPEN260102C2</stp>
        <tr r="J44" s="1"/>
      </tp>
      <tp t="s">
        <v>N/A</v>
        <stp/>
        <stp>OPEN_INT</stp>
        <stp>.OPEN260102C1</stp>
        <tr r="J46" s="1"/>
      </tp>
      <tp t="s">
        <v>N/A</v>
        <stp/>
        <stp>OPEN_INT</stp>
        <stp>.OPEN260102C0</stp>
        <tr r="J48" s="1"/>
      </tp>
      <tp t="s">
        <v>N/A</v>
        <stp/>
        <stp>OPEN_INT</stp>
        <stp>.OPEN251231C8</stp>
        <tr r="V28" s="2"/>
      </tp>
      <tp t="s">
        <v>N/A</v>
        <stp/>
        <stp>OPEN_INT</stp>
        <stp>.OPEN251231C9</stp>
        <tr r="V26" s="2"/>
      </tp>
      <tp>
        <v>38812</v>
        <stp/>
        <stp>OPEN_INT</stp>
        <stp>.OPEN251031C8</stp>
        <tr r="R28" s="2"/>
        <tr r="R28" s="2"/>
      </tp>
      <tp t="s">
        <v>N/A</v>
        <stp/>
        <stp>OPEN_INT</stp>
        <stp>.OPEN251021C8</stp>
        <tr r="J28" s="2"/>
      </tp>
      <tp>
        <v>32994</v>
        <stp/>
        <stp>OPEN_INT</stp>
        <stp>.OPEN251121C9</stp>
        <tr r="D30" s="1"/>
        <tr r="D30" s="1"/>
        <tr r="S26" s="2"/>
        <tr r="S26" s="2"/>
      </tp>
      <tp>
        <v>38214</v>
        <stp/>
        <stp>OPEN_INT</stp>
        <stp>.OPEN251031C9</stp>
        <tr r="R26" s="2"/>
        <tr r="R26" s="2"/>
      </tp>
      <tp t="s">
        <v>N/A</v>
        <stp/>
        <stp>OPEN_INT</stp>
        <stp>.OPEN251021C9</stp>
        <tr r="J26" s="2"/>
      </tp>
      <tp>
        <v>35982</v>
        <stp/>
        <stp>OPEN_INT</stp>
        <stp>.OPEN251121C8</stp>
        <tr r="D32" s="1"/>
        <tr r="D32" s="1"/>
        <tr r="S28" s="2"/>
        <tr r="S28" s="2"/>
      </tp>
      <tp>
        <v>2567</v>
        <stp/>
        <stp>OPEN_INT</stp>
        <stp>.OPEN251031C6</stp>
        <tr r="R32" s="2"/>
        <tr r="R32" s="2"/>
      </tp>
      <tp t="s">
        <v>N/A</v>
        <stp/>
        <stp>OPEN_INT</stp>
        <stp>.OPEN251231C4</stp>
        <tr r="V36" s="2"/>
      </tp>
      <tp t="s">
        <v>N/A</v>
        <stp/>
        <stp>OPEN_INT</stp>
        <stp>.OPEN251021C6</stp>
        <tr r="J32" s="2"/>
      </tp>
      <tp>
        <v>28206</v>
        <stp/>
        <stp>OPEN_INT</stp>
        <stp>.OPEN251121C7</stp>
        <tr r="D34" s="1"/>
        <tr r="D34" s="1"/>
        <tr r="S30" s="2"/>
        <tr r="S30" s="2"/>
      </tp>
      <tp>
        <v>14641</v>
        <stp/>
        <stp>OPEN_INT</stp>
        <stp>.OPEN251031C7</stp>
        <tr r="R30" s="2"/>
        <tr r="R30" s="2"/>
      </tp>
      <tp t="s">
        <v>N/A</v>
        <stp/>
        <stp>OPEN_INT</stp>
        <stp>.OPEN251231C5</stp>
        <tr r="V34" s="2"/>
      </tp>
      <tp t="s">
        <v>N/A</v>
        <stp/>
        <stp>OPEN_INT</stp>
        <stp>.OPEN251021C7</stp>
        <tr r="J30" s="2"/>
      </tp>
      <tp>
        <v>12259</v>
        <stp/>
        <stp>OPEN_INT</stp>
        <stp>.OPEN251121C6</stp>
        <tr r="D36" s="1"/>
        <tr r="D36" s="1"/>
        <tr r="S32" s="2"/>
        <tr r="S32" s="2"/>
      </tp>
      <tp>
        <v>49</v>
        <stp/>
        <stp>OPEN_INT</stp>
        <stp>.OPEN251031C4</stp>
        <tr r="R36" s="2"/>
        <tr r="R36" s="2"/>
      </tp>
      <tp t="s">
        <v>N/A</v>
        <stp/>
        <stp>OPEN_INT</stp>
        <stp>.OPEN251231C6</stp>
        <tr r="V32" s="2"/>
      </tp>
      <tp t="s">
        <v>N/A</v>
        <stp/>
        <stp>OPEN_INT</stp>
        <stp>.OPEN251021C4</stp>
        <tr r="J36" s="2"/>
      </tp>
      <tp>
        <v>9288</v>
        <stp/>
        <stp>OPEN_INT</stp>
        <stp>.OPEN251121C5</stp>
        <tr r="D38" s="1"/>
        <tr r="D38" s="1"/>
        <tr r="S34" s="2"/>
        <tr r="S34" s="2"/>
      </tp>
      <tp>
        <v>1406</v>
        <stp/>
        <stp>OPEN_INT</stp>
        <stp>.OPEN251031C5</stp>
        <tr r="R34" s="2"/>
        <tr r="R34" s="2"/>
      </tp>
      <tp t="s">
        <v>N/A</v>
        <stp/>
        <stp>OPEN_INT</stp>
        <stp>.OPEN251231C7</stp>
        <tr r="V30" s="2"/>
      </tp>
      <tp t="s">
        <v>N/A</v>
        <stp/>
        <stp>OPEN_INT</stp>
        <stp>.OPEN251021C5</stp>
        <tr r="J34" s="2"/>
      </tp>
      <tp>
        <v>5089</v>
        <stp/>
        <stp>OPEN_INT</stp>
        <stp>.OPEN251121C4</stp>
        <tr r="D40" s="1"/>
        <tr r="D40" s="1"/>
        <tr r="S36" s="2"/>
        <tr r="S36" s="2"/>
      </tp>
      <tp>
        <v>26</v>
        <stp/>
        <stp>OPEN_INT</stp>
        <stp>.OPEN251031C2</stp>
        <tr r="R40" s="2"/>
        <tr r="R40" s="2"/>
      </tp>
      <tp t="s">
        <v>N/A</v>
        <stp/>
        <stp>OPEN_INT</stp>
        <stp>.OPEN251231C0</stp>
        <tr r="V44" s="2"/>
      </tp>
      <tp t="s">
        <v>N/A</v>
        <stp/>
        <stp>OPEN_INT</stp>
        <stp>.OPEN251021C2</stp>
        <tr r="J40" s="2"/>
      </tp>
      <tp>
        <v>11413</v>
        <stp/>
        <stp>OPEN_INT</stp>
        <stp>.OPEN251121C3</stp>
        <tr r="D42" s="1"/>
        <tr r="D42" s="1"/>
        <tr r="S38" s="2"/>
        <tr r="S38" s="2"/>
      </tp>
      <tp>
        <v>1075</v>
        <stp/>
        <stp>OPEN_INT</stp>
        <stp>.OPEN251031C3</stp>
        <tr r="R38" s="2"/>
        <tr r="R38" s="2"/>
      </tp>
      <tp t="s">
        <v>N/A</v>
        <stp/>
        <stp>OPEN_INT</stp>
        <stp>.OPEN251231C1</stp>
        <tr r="V42" s="2"/>
      </tp>
      <tp t="s">
        <v>N/A</v>
        <stp/>
        <stp>OPEN_INT</stp>
        <stp>.OPEN251021C3</stp>
        <tr r="J38" s="2"/>
      </tp>
      <tp>
        <v>21811</v>
        <stp/>
        <stp>OPEN_INT</stp>
        <stp>.OPEN251121C2</stp>
        <tr r="D44" s="1"/>
        <tr r="D44" s="1"/>
        <tr r="S40" s="2"/>
        <tr r="S40" s="2"/>
      </tp>
      <tp t="s">
        <v>N/A</v>
        <stp/>
        <stp>OPEN_INT</stp>
        <stp>.OPEN251031C0</stp>
        <tr r="R44" s="2"/>
      </tp>
      <tp t="s">
        <v>N/A</v>
        <stp/>
        <stp>OPEN_INT</stp>
        <stp>.OPEN251231C2</stp>
        <tr r="V40" s="2"/>
      </tp>
      <tp t="s">
        <v>N/A</v>
        <stp/>
        <stp>OPEN_INT</stp>
        <stp>.OPEN251021C0</stp>
        <tr r="J44" s="2"/>
      </tp>
      <tp>
        <v>2749</v>
        <stp/>
        <stp>OPEN_INT</stp>
        <stp>.OPEN251121C1</stp>
        <tr r="D46" s="1"/>
        <tr r="D46" s="1"/>
        <tr r="S42" s="2"/>
        <tr r="S42" s="2"/>
      </tp>
      <tp>
        <v>125</v>
        <stp/>
        <stp>OPEN_INT</stp>
        <stp>.OPEN251031C1</stp>
        <tr r="R42" s="2"/>
        <tr r="R42" s="2"/>
      </tp>
      <tp t="s">
        <v>N/A</v>
        <stp/>
        <stp>OPEN_INT</stp>
        <stp>.OPEN251231C3</stp>
        <tr r="V38" s="2"/>
      </tp>
      <tp t="s">
        <v>N/A</v>
        <stp/>
        <stp>OPEN_INT</stp>
        <stp>.OPEN251021C1</stp>
        <tr r="J42" s="2"/>
      </tp>
      <tp t="s">
        <v>N/A</v>
        <stp/>
        <stp>OPEN_INT</stp>
        <stp>.OPEN251121C0</stp>
        <tr r="D48" s="1"/>
        <tr r="S44" s="2"/>
      </tp>
      <tp t="s">
        <v>N/A</v>
        <stp/>
        <stp>VOLUME</stp>
        <stp>.OPEN251128P4</stp>
        <tr r="E40" s="5"/>
      </tp>
      <tp t="s">
        <v>N/A</v>
        <stp/>
        <stp>VOLUME</stp>
        <stp>.OPEN251128P5</stp>
        <tr r="E38" s="5"/>
      </tp>
      <tp t="s">
        <v>N/A</v>
        <stp/>
        <stp>VOLUME</stp>
        <stp>.OPEN251128P6</stp>
        <tr r="E36" s="5"/>
      </tp>
      <tp t="s">
        <v>N/A</v>
        <stp/>
        <stp>VOLUME</stp>
        <stp>.OPEN251128P7</stp>
        <tr r="E34" s="5"/>
      </tp>
      <tp t="s">
        <v>N/A</v>
        <stp/>
        <stp>VOLUME</stp>
        <stp>.OPEN251128P0</stp>
        <tr r="E48" s="5"/>
      </tp>
      <tp t="s">
        <v>N/A</v>
        <stp/>
        <stp>VOLUME</stp>
        <stp>.OPEN251128P1</stp>
        <tr r="E46" s="5"/>
      </tp>
      <tp t="s">
        <v>N/A</v>
        <stp/>
        <stp>VOLUME</stp>
        <stp>.OPEN251128P2</stp>
        <tr r="E44" s="5"/>
      </tp>
      <tp t="s">
        <v>N/A</v>
        <stp/>
        <stp>VOLUME</stp>
        <stp>.OPEN251128P3</stp>
        <tr r="E42" s="5"/>
      </tp>
      <tp t="s">
        <v>N/A</v>
        <stp/>
        <stp>VOLUME</stp>
        <stp>.OPEN251128P8</stp>
        <tr r="E32" s="5"/>
      </tp>
      <tp t="s">
        <v>N/A</v>
        <stp/>
        <stp>VOLUME</stp>
        <stp>.OPEN251128P9</stp>
        <tr r="E30" s="5"/>
      </tp>
      <tp t="s">
        <v>N/A</v>
        <stp/>
        <stp>VOLUME</stp>
        <stp>.OPEN251128C4</stp>
        <tr r="E40" s="5"/>
      </tp>
      <tp t="s">
        <v>N/A</v>
        <stp/>
        <stp>VOLUME</stp>
        <stp>.OPEN251128C5</stp>
        <tr r="E38" s="5"/>
      </tp>
      <tp t="s">
        <v>N/A</v>
        <stp/>
        <stp>VOLUME</stp>
        <stp>.OPEN251128C6</stp>
        <tr r="E36" s="5"/>
      </tp>
      <tp t="s">
        <v>N/A</v>
        <stp/>
        <stp>VOLUME</stp>
        <stp>.OPEN251128C7</stp>
        <tr r="E34" s="5"/>
      </tp>
      <tp t="s">
        <v>N/A</v>
        <stp/>
        <stp>VOLUME</stp>
        <stp>.OPEN251128C0</stp>
        <tr r="E48" s="5"/>
      </tp>
      <tp t="s">
        <v>N/A</v>
        <stp/>
        <stp>VOLUME</stp>
        <stp>.OPEN251128C1</stp>
        <tr r="E46" s="5"/>
      </tp>
      <tp t="s">
        <v>N/A</v>
        <stp/>
        <stp>VOLUME</stp>
        <stp>.OPEN251128C2</stp>
        <tr r="E44" s="5"/>
      </tp>
      <tp t="s">
        <v>N/A</v>
        <stp/>
        <stp>VOLUME</stp>
        <stp>.OPEN251128C3</stp>
        <tr r="E42" s="5"/>
      </tp>
      <tp t="s">
        <v>N/A</v>
        <stp/>
        <stp>VOLUME</stp>
        <stp>.OPEN251128C8</stp>
        <tr r="E32" s="5"/>
      </tp>
      <tp t="s">
        <v>N/A</v>
        <stp/>
        <stp>VOLUME</stp>
        <stp>.OPEN251128C9</stp>
        <tr r="E30" s="5"/>
      </tp>
      <tp t="s">
        <v>N/A</v>
        <stp/>
        <stp>OPEN_INT</stp>
        <stp>.OPEN251030P8</stp>
        <tr r="Q28" s="2"/>
      </tp>
      <tp t="s">
        <v>N/A</v>
        <stp/>
        <stp>OPEN_INT</stp>
        <stp>.OPEN251020P8</stp>
        <tr r="I28" s="2"/>
      </tp>
      <tp>
        <v>55950</v>
        <stp/>
        <stp>OPEN_INT</stp>
        <stp>.OPEN251010P8</stp>
        <tr r="C28" s="2"/>
        <tr r="C28" s="2"/>
      </tp>
      <tp t="s">
        <v>N/A</v>
        <stp/>
        <stp>OPEN_INT</stp>
        <stp>.OPEN251030P9</stp>
        <tr r="Q26" s="2"/>
      </tp>
      <tp t="s">
        <v>N/A</v>
        <stp/>
        <stp>OPEN_INT</stp>
        <stp>.OPEN251020P9</stp>
        <tr r="I26" s="2"/>
      </tp>
      <tp>
        <v>20490</v>
        <stp/>
        <stp>OPEN_INT</stp>
        <stp>.OPEN251010P9</stp>
        <tr r="C26" s="2"/>
        <tr r="C26" s="2"/>
      </tp>
      <tp t="s">
        <v>N/A</v>
        <stp/>
        <stp>OPEN_INT</stp>
        <stp>.OPEN251030P6</stp>
        <tr r="Q32" s="2"/>
      </tp>
      <tp t="s">
        <v>N/A</v>
        <stp/>
        <stp>OPEN_INT</stp>
        <stp>.OPEN251020P6</stp>
        <tr r="I32" s="2"/>
      </tp>
      <tp>
        <v>6254</v>
        <stp/>
        <stp>OPEN_INT</stp>
        <stp>.OPEN251010P6</stp>
        <tr r="C32" s="2"/>
        <tr r="C32" s="2"/>
      </tp>
      <tp t="s">
        <v>N/A</v>
        <stp/>
        <stp>OPEN_INT</stp>
        <stp>.OPEN251030P7</stp>
        <tr r="Q30" s="2"/>
      </tp>
      <tp t="s">
        <v>N/A</v>
        <stp/>
        <stp>OPEN_INT</stp>
        <stp>.OPEN251020P7</stp>
        <tr r="I30" s="2"/>
      </tp>
      <tp>
        <v>20277</v>
        <stp/>
        <stp>OPEN_INT</stp>
        <stp>.OPEN251010P7</stp>
        <tr r="C30" s="2"/>
        <tr r="C30" s="2"/>
      </tp>
      <tp t="s">
        <v>N/A</v>
        <stp/>
        <stp>OPEN_INT</stp>
        <stp>.OPEN251030P4</stp>
        <tr r="Q36" s="2"/>
      </tp>
      <tp t="s">
        <v>N/A</v>
        <stp/>
        <stp>OPEN_INT</stp>
        <stp>.OPEN251020P4</stp>
        <tr r="I36" s="2"/>
      </tp>
      <tp>
        <v>3062</v>
        <stp/>
        <stp>OPEN_INT</stp>
        <stp>.OPEN251010P4</stp>
        <tr r="C36" s="2"/>
        <tr r="C36" s="2"/>
      </tp>
      <tp t="s">
        <v>N/A</v>
        <stp/>
        <stp>OPEN_INT</stp>
        <stp>.OPEN251030P5</stp>
        <tr r="Q34" s="2"/>
      </tp>
      <tp t="s">
        <v>N/A</v>
        <stp/>
        <stp>OPEN_INT</stp>
        <stp>.OPEN251020P5</stp>
        <tr r="I34" s="2"/>
      </tp>
      <tp>
        <v>9021</v>
        <stp/>
        <stp>OPEN_INT</stp>
        <stp>.OPEN251010P5</stp>
        <tr r="C34" s="2"/>
        <tr r="C34" s="2"/>
      </tp>
      <tp t="s">
        <v>N/A</v>
        <stp/>
        <stp>OPEN_INT</stp>
        <stp>.OPEN251030P2</stp>
        <tr r="Q40" s="2"/>
      </tp>
      <tp t="s">
        <v>N/A</v>
        <stp/>
        <stp>OPEN_INT</stp>
        <stp>.OPEN251020P2</stp>
        <tr r="I40" s="2"/>
      </tp>
      <tp>
        <v>1352</v>
        <stp/>
        <stp>OPEN_INT</stp>
        <stp>.OPEN251010P2</stp>
        <tr r="C40" s="2"/>
        <tr r="C40" s="2"/>
      </tp>
      <tp t="s">
        <v>N/A</v>
        <stp/>
        <stp>OPEN_INT</stp>
        <stp>.OPEN251030P3</stp>
        <tr r="Q38" s="2"/>
      </tp>
      <tp t="s">
        <v>N/A</v>
        <stp/>
        <stp>OPEN_INT</stp>
        <stp>.OPEN251020P3</stp>
        <tr r="I38" s="2"/>
      </tp>
      <tp>
        <v>1756</v>
        <stp/>
        <stp>OPEN_INT</stp>
        <stp>.OPEN251010P3</stp>
        <tr r="C38" s="2"/>
        <tr r="C38" s="2"/>
      </tp>
      <tp t="s">
        <v>N/A</v>
        <stp/>
        <stp>OPEN_INT</stp>
        <stp>.OPEN251030P0</stp>
        <tr r="Q44" s="2"/>
      </tp>
      <tp t="s">
        <v>N/A</v>
        <stp/>
        <stp>OPEN_INT</stp>
        <stp>.OPEN251020P0</stp>
        <tr r="I44" s="2"/>
      </tp>
      <tp t="s">
        <v>N/A</v>
        <stp/>
        <stp>OPEN_INT</stp>
        <stp>.OPEN251010P0</stp>
        <tr r="C44" s="2"/>
      </tp>
      <tp t="s">
        <v>N/A</v>
        <stp/>
        <stp>OPEN_INT</stp>
        <stp>.OPEN251030P1</stp>
        <tr r="Q42" s="2"/>
      </tp>
      <tp t="s">
        <v>N/A</v>
        <stp/>
        <stp>OPEN_INT</stp>
        <stp>.OPEN251020P1</stp>
        <tr r="I42" s="2"/>
      </tp>
      <tp>
        <v>70</v>
        <stp/>
        <stp>OPEN_INT</stp>
        <stp>.OPEN251010P1</stp>
        <tr r="C42" s="2"/>
        <tr r="C42" s="2"/>
      </tp>
      <tp t="s">
        <v>N/A</v>
        <stp/>
        <stp>OPEN_INT</stp>
        <stp>.OPEN251030C8</stp>
        <tr r="Q28" s="2"/>
      </tp>
      <tp t="s">
        <v>N/A</v>
        <stp/>
        <stp>OPEN_INT</stp>
        <stp>.OPEN251020C8</stp>
        <tr r="I28" s="2"/>
      </tp>
      <tp>
        <v>18674</v>
        <stp/>
        <stp>OPEN_INT</stp>
        <stp>.OPEN251010C8</stp>
        <tr r="C28" s="2"/>
        <tr r="C28" s="2"/>
      </tp>
      <tp t="s">
        <v>N/A</v>
        <stp/>
        <stp>OPEN_INT</stp>
        <stp>.OPEN251030C9</stp>
        <tr r="Q26" s="2"/>
      </tp>
      <tp t="s">
        <v>N/A</v>
        <stp/>
        <stp>OPEN_INT</stp>
        <stp>.OPEN251020C9</stp>
        <tr r="I26" s="2"/>
      </tp>
      <tp>
        <v>118835</v>
        <stp/>
        <stp>OPEN_INT</stp>
        <stp>.OPEN251010C9</stp>
        <tr r="C26" s="2"/>
        <tr r="C26" s="2"/>
      </tp>
      <tp t="s">
        <v>N/A</v>
        <stp/>
        <stp>OPEN_INT</stp>
        <stp>.OPEN251030C6</stp>
        <tr r="Q32" s="2"/>
      </tp>
      <tp t="s">
        <v>N/A</v>
        <stp/>
        <stp>OPEN_INT</stp>
        <stp>.OPEN251020C6</stp>
        <tr r="I32" s="2"/>
      </tp>
      <tp>
        <v>6974</v>
        <stp/>
        <stp>OPEN_INT</stp>
        <stp>.OPEN251010C6</stp>
        <tr r="C32" s="2"/>
        <tr r="C32" s="2"/>
      </tp>
      <tp t="s">
        <v>N/A</v>
        <stp/>
        <stp>OPEN_INT</stp>
        <stp>.OPEN251030C7</stp>
        <tr r="Q30" s="2"/>
      </tp>
      <tp t="s">
        <v>N/A</v>
        <stp/>
        <stp>OPEN_INT</stp>
        <stp>.OPEN251020C7</stp>
        <tr r="I30" s="2"/>
      </tp>
      <tp>
        <v>5918</v>
        <stp/>
        <stp>OPEN_INT</stp>
        <stp>.OPEN251010C7</stp>
        <tr r="C30" s="2"/>
        <tr r="C30" s="2"/>
      </tp>
      <tp t="s">
        <v>N/A</v>
        <stp/>
        <stp>OPEN_INT</stp>
        <stp>.OPEN251030C4</stp>
        <tr r="Q36" s="2"/>
      </tp>
      <tp t="s">
        <v>N/A</v>
        <stp/>
        <stp>OPEN_INT</stp>
        <stp>.OPEN251020C4</stp>
        <tr r="I36" s="2"/>
      </tp>
      <tp>
        <v>364</v>
        <stp/>
        <stp>OPEN_INT</stp>
        <stp>.OPEN251010C4</stp>
        <tr r="C36" s="2"/>
        <tr r="C36" s="2"/>
      </tp>
      <tp t="s">
        <v>N/A</v>
        <stp/>
        <stp>OPEN_INT</stp>
        <stp>.OPEN251030C5</stp>
        <tr r="Q34" s="2"/>
      </tp>
      <tp t="s">
        <v>N/A</v>
        <stp/>
        <stp>OPEN_INT</stp>
        <stp>.OPEN251020C5</stp>
        <tr r="I34" s="2"/>
      </tp>
      <tp>
        <v>620</v>
        <stp/>
        <stp>OPEN_INT</stp>
        <stp>.OPEN251010C5</stp>
        <tr r="C34" s="2"/>
        <tr r="C34" s="2"/>
      </tp>
      <tp t="s">
        <v>N/A</v>
        <stp/>
        <stp>OPEN_INT</stp>
        <stp>.OPEN251030C2</stp>
        <tr r="Q40" s="2"/>
      </tp>
      <tp t="s">
        <v>N/A</v>
        <stp/>
        <stp>OPEN_INT</stp>
        <stp>.OPEN251020C2</stp>
        <tr r="I40" s="2"/>
      </tp>
      <tp>
        <v>50</v>
        <stp/>
        <stp>OPEN_INT</stp>
        <stp>.OPEN251010C2</stp>
        <tr r="C40" s="2"/>
        <tr r="C40" s="2"/>
      </tp>
      <tp t="s">
        <v>N/A</v>
        <stp/>
        <stp>OPEN_INT</stp>
        <stp>.OPEN251030C3</stp>
        <tr r="Q38" s="2"/>
      </tp>
      <tp t="s">
        <v>N/A</v>
        <stp/>
        <stp>OPEN_INT</stp>
        <stp>.OPEN251020C3</stp>
        <tr r="I38" s="2"/>
      </tp>
      <tp>
        <v>86</v>
        <stp/>
        <stp>OPEN_INT</stp>
        <stp>.OPEN251010C3</stp>
        <tr r="C38" s="2"/>
        <tr r="C38" s="2"/>
      </tp>
      <tp t="s">
        <v>N/A</v>
        <stp/>
        <stp>OPEN_INT</stp>
        <stp>.OPEN251030C0</stp>
        <tr r="Q44" s="2"/>
      </tp>
      <tp t="s">
        <v>N/A</v>
        <stp/>
        <stp>OPEN_INT</stp>
        <stp>.OPEN251020C0</stp>
        <tr r="I44" s="2"/>
      </tp>
      <tp t="s">
        <v>N/A</v>
        <stp/>
        <stp>OPEN_INT</stp>
        <stp>.OPEN251010C0</stp>
        <tr r="C44" s="2"/>
      </tp>
      <tp t="s">
        <v>N/A</v>
        <stp/>
        <stp>OPEN_INT</stp>
        <stp>.OPEN251030C1</stp>
        <tr r="Q42" s="2"/>
      </tp>
      <tp t="s">
        <v>N/A</v>
        <stp/>
        <stp>OPEN_INT</stp>
        <stp>.OPEN251020C1</stp>
        <tr r="I42" s="2"/>
      </tp>
      <tp>
        <v>97</v>
        <stp/>
        <stp>OPEN_INT</stp>
        <stp>.OPEN251010C1</stp>
        <tr r="C42" s="2"/>
        <tr r="C42" s="2"/>
      </tp>
      <tp t="s">
        <v>N/A</v>
        <stp/>
        <stp>VOLUME</stp>
        <stp>.OPEN251219P7</stp>
        <tr r="H34" s="5"/>
      </tp>
      <tp t="s">
        <v>N/A</v>
        <stp/>
        <stp>VOLUME</stp>
        <stp>.OPEN251219P6</stp>
        <tr r="H36" s="5"/>
      </tp>
      <tp t="s">
        <v>N/A</v>
        <stp/>
        <stp>VOLUME</stp>
        <stp>.OPEN251219P5</stp>
        <tr r="H38" s="5"/>
      </tp>
      <tp t="s">
        <v>N/A</v>
        <stp/>
        <stp>VOLUME</stp>
        <stp>.OPEN251219P4</stp>
        <tr r="H40" s="5"/>
      </tp>
      <tp t="s">
        <v>N/A</v>
        <stp/>
        <stp>VOLUME</stp>
        <stp>.OPEN251219P3</stp>
        <tr r="H42" s="5"/>
      </tp>
      <tp t="s">
        <v>N/A</v>
        <stp/>
        <stp>VOLUME</stp>
        <stp>.OPEN251219P2</stp>
        <tr r="H44" s="5"/>
      </tp>
      <tp t="s">
        <v>N/A</v>
        <stp/>
        <stp>VOLUME</stp>
        <stp>.OPEN251219P1</stp>
        <tr r="H46" s="5"/>
      </tp>
      <tp t="s">
        <v>N/A</v>
        <stp/>
        <stp>VOLUME</stp>
        <stp>.OPEN251219P0</stp>
        <tr r="H48" s="5"/>
      </tp>
      <tp t="s">
        <v>N/A</v>
        <stp/>
        <stp>VOLUME</stp>
        <stp>.OPEN251219P9</stp>
        <tr r="H30" s="5"/>
      </tp>
      <tp t="s">
        <v>N/A</v>
        <stp/>
        <stp>VOLUME</stp>
        <stp>.OPEN251219P8</stp>
        <tr r="H32" s="5"/>
      </tp>
      <tp t="s">
        <v>N/A</v>
        <stp/>
        <stp>VOLUME</stp>
        <stp>.OPEN251219C7</stp>
        <tr r="H34" s="5"/>
      </tp>
      <tp t="s">
        <v>N/A</v>
        <stp/>
        <stp>VOLUME</stp>
        <stp>.OPEN251219C6</stp>
        <tr r="H36" s="5"/>
      </tp>
      <tp t="s">
        <v>N/A</v>
        <stp/>
        <stp>VOLUME</stp>
        <stp>.OPEN251219C5</stp>
        <tr r="H38" s="5"/>
      </tp>
      <tp t="s">
        <v>N/A</v>
        <stp/>
        <stp>VOLUME</stp>
        <stp>.OPEN251219C4</stp>
        <tr r="H40" s="5"/>
      </tp>
      <tp t="s">
        <v>N/A</v>
        <stp/>
        <stp>VOLUME</stp>
        <stp>.OPEN251219C3</stp>
        <tr r="H42" s="5"/>
      </tp>
      <tp t="s">
        <v>N/A</v>
        <stp/>
        <stp>VOLUME</stp>
        <stp>.OPEN251219C2</stp>
        <tr r="H44" s="5"/>
      </tp>
      <tp t="s">
        <v>N/A</v>
        <stp/>
        <stp>VOLUME</stp>
        <stp>.OPEN251219C1</stp>
        <tr r="H46" s="5"/>
      </tp>
      <tp t="s">
        <v>N/A</v>
        <stp/>
        <stp>VOLUME</stp>
        <stp>.OPEN251219C0</stp>
        <tr r="H48" s="5"/>
      </tp>
      <tp t="s">
        <v>N/A</v>
        <stp/>
        <stp>VOLUME</stp>
        <stp>.OPEN251219C9</stp>
        <tr r="H30" s="5"/>
      </tp>
      <tp t="s">
        <v>N/A</v>
        <stp/>
        <stp>VOLUME</stp>
        <stp>.OPEN251219C8</stp>
        <tr r="H32" s="5"/>
      </tp>
      <tp t="s">
        <v>N/A</v>
        <stp/>
        <stp>OPEN_INT</stp>
        <stp>.OPEN251023P8</stp>
        <tr r="L28" s="2"/>
      </tp>
      <tp t="s">
        <v>N/A</v>
        <stp/>
        <stp>OPEN_INT</stp>
        <stp>.OPEN261120P9</stp>
        <tr r="V30" s="1"/>
      </tp>
      <tp t="s">
        <v>N/A</v>
        <stp/>
        <stp>OPEN_INT</stp>
        <stp>.OPEN251013P8</stp>
        <tr r="D28" s="2"/>
      </tp>
      <tp t="s">
        <v>N/A</v>
        <stp/>
        <stp>OPEN_INT</stp>
        <stp>.OPEN251023P9</stp>
        <tr r="L26" s="2"/>
      </tp>
      <tp t="s">
        <v>N/A</v>
        <stp/>
        <stp>OPEN_INT</stp>
        <stp>.OPEN261120P8</stp>
        <tr r="V32" s="1"/>
      </tp>
      <tp t="s">
        <v>N/A</v>
        <stp/>
        <stp>OPEN_INT</stp>
        <stp>.OPEN251013P9</stp>
        <tr r="D26" s="2"/>
      </tp>
      <tp t="s">
        <v>N/A</v>
        <stp/>
        <stp>OPEN_INT</stp>
        <stp>.OPEN251023P6</stp>
        <tr r="L32" s="2"/>
      </tp>
      <tp t="s">
        <v>N/A</v>
        <stp/>
        <stp>OPEN_INT</stp>
        <stp>.OPEN261120P7</stp>
        <tr r="V34" s="1"/>
      </tp>
      <tp t="s">
        <v>N/A</v>
        <stp/>
        <stp>OPEN_INT</stp>
        <stp>.OPEN251013P6</stp>
        <tr r="D32" s="2"/>
      </tp>
      <tp t="s">
        <v>N/A</v>
        <stp/>
        <stp>OPEN_INT</stp>
        <stp>.OPEN251023P7</stp>
        <tr r="L30" s="2"/>
      </tp>
      <tp t="s">
        <v>N/A</v>
        <stp/>
        <stp>OPEN_INT</stp>
        <stp>.OPEN261120P6</stp>
        <tr r="V36" s="1"/>
      </tp>
      <tp t="s">
        <v>N/A</v>
        <stp/>
        <stp>OPEN_INT</stp>
        <stp>.OPEN251013P7</stp>
        <tr r="D30" s="2"/>
      </tp>
      <tp t="s">
        <v>N/A</v>
        <stp/>
        <stp>OPEN_INT</stp>
        <stp>.OPEN251023P4</stp>
        <tr r="L36" s="2"/>
      </tp>
      <tp t="s">
        <v>N/A</v>
        <stp/>
        <stp>OPEN_INT</stp>
        <stp>.OPEN261120P5</stp>
        <tr r="V38" s="1"/>
      </tp>
      <tp t="s">
        <v>N/A</v>
        <stp/>
        <stp>OPEN_INT</stp>
        <stp>.OPEN251013P4</stp>
        <tr r="D36" s="2"/>
      </tp>
      <tp t="s">
        <v>N/A</v>
        <stp/>
        <stp>OPEN_INT</stp>
        <stp>.OPEN251023P5</stp>
        <tr r="L34" s="2"/>
      </tp>
      <tp t="s">
        <v>N/A</v>
        <stp/>
        <stp>OPEN_INT</stp>
        <stp>.OPEN261120P4</stp>
        <tr r="V40" s="1"/>
      </tp>
      <tp t="s">
        <v>N/A</v>
        <stp/>
        <stp>OPEN_INT</stp>
        <stp>.OPEN251013P5</stp>
        <tr r="D34" s="2"/>
      </tp>
      <tp t="s">
        <v>N/A</v>
        <stp/>
        <stp>OPEN_INT</stp>
        <stp>.OPEN251023P2</stp>
        <tr r="L40" s="2"/>
      </tp>
      <tp t="s">
        <v>N/A</v>
        <stp/>
        <stp>OPEN_INT</stp>
        <stp>.OPEN261120P3</stp>
        <tr r="V42" s="1"/>
      </tp>
      <tp t="s">
        <v>N/A</v>
        <stp/>
        <stp>OPEN_INT</stp>
        <stp>.OPEN251013P2</stp>
        <tr r="D40" s="2"/>
      </tp>
      <tp t="s">
        <v>N/A</v>
        <stp/>
        <stp>OPEN_INT</stp>
        <stp>.OPEN251023P3</stp>
        <tr r="L38" s="2"/>
      </tp>
      <tp t="s">
        <v>N/A</v>
        <stp/>
        <stp>OPEN_INT</stp>
        <stp>.OPEN261120P2</stp>
        <tr r="V44" s="1"/>
      </tp>
      <tp t="s">
        <v>N/A</v>
        <stp/>
        <stp>OPEN_INT</stp>
        <stp>.OPEN251013P3</stp>
        <tr r="D38" s="2"/>
      </tp>
      <tp t="s">
        <v>N/A</v>
        <stp/>
        <stp>OPEN_INT</stp>
        <stp>.OPEN251023P0</stp>
        <tr r="L44" s="2"/>
      </tp>
      <tp t="s">
        <v>N/A</v>
        <stp/>
        <stp>OPEN_INT</stp>
        <stp>.OPEN261120P1</stp>
        <tr r="V46" s="1"/>
      </tp>
      <tp t="s">
        <v>N/A</v>
        <stp/>
        <stp>OPEN_INT</stp>
        <stp>.OPEN251013P0</stp>
        <tr r="D44" s="2"/>
      </tp>
      <tp t="s">
        <v>N/A</v>
        <stp/>
        <stp>OPEN_INT</stp>
        <stp>.OPEN251023P1</stp>
        <tr r="L42" s="2"/>
      </tp>
      <tp t="s">
        <v>N/A</v>
        <stp/>
        <stp>OPEN_INT</stp>
        <stp>.OPEN261120P0</stp>
        <tr r="V48" s="1"/>
      </tp>
      <tp t="s">
        <v>N/A</v>
        <stp/>
        <stp>OPEN_INT</stp>
        <stp>.OPEN251013P1</stp>
        <tr r="D42" s="2"/>
      </tp>
      <tp>
        <v>2949</v>
        <stp/>
        <stp>OPEN_INT</stp>
        <stp>.OPEN260220P8</stp>
        <tr r="M32" s="1"/>
        <tr r="M32" s="1"/>
      </tp>
      <tp t="s">
        <v>N/A</v>
        <stp/>
        <stp>OPEN_INT</stp>
        <stp>.OPEN260320P9</stp>
        <tr r="N30" s="1"/>
      </tp>
      <tp>
        <v>3584</v>
        <stp/>
        <stp>OPEN_INT</stp>
        <stp>.OPEN260220P9</stp>
        <tr r="M30" s="1"/>
        <tr r="M30" s="1"/>
      </tp>
      <tp t="s">
        <v>N/A</v>
        <stp/>
        <stp>OPEN_INT</stp>
        <stp>.OPEN260320P8</stp>
        <tr r="N32" s="1"/>
      </tp>
      <tp>
        <v>8678</v>
        <stp/>
        <stp>OPEN_INT</stp>
        <stp>.OPEN260220P4</stp>
        <tr r="M40" s="1"/>
        <tr r="M40" s="1"/>
      </tp>
      <tp t="s">
        <v>N/A</v>
        <stp/>
        <stp>OPEN_INT</stp>
        <stp>.OPEN260320P5</stp>
        <tr r="N38" s="1"/>
      </tp>
      <tp>
        <v>2487</v>
        <stp/>
        <stp>OPEN_INT</stp>
        <stp>.OPEN260220P5</stp>
        <tr r="M38" s="1"/>
        <tr r="M38" s="1"/>
      </tp>
      <tp t="s">
        <v>N/A</v>
        <stp/>
        <stp>OPEN_INT</stp>
        <stp>.OPEN260320P4</stp>
        <tr r="N40" s="1"/>
      </tp>
      <tp>
        <v>1170</v>
        <stp/>
        <stp>OPEN_INT</stp>
        <stp>.OPEN260220P6</stp>
        <tr r="M36" s="1"/>
        <tr r="M36" s="1"/>
      </tp>
      <tp t="s">
        <v>N/A</v>
        <stp/>
        <stp>OPEN_INT</stp>
        <stp>.OPEN260320P7</stp>
        <tr r="N34" s="1"/>
      </tp>
      <tp>
        <v>2419</v>
        <stp/>
        <stp>OPEN_INT</stp>
        <stp>.OPEN260220P7</stp>
        <tr r="M34" s="1"/>
        <tr r="M34" s="1"/>
      </tp>
      <tp t="s">
        <v>N/A</v>
        <stp/>
        <stp>OPEN_INT</stp>
        <stp>.OPEN260320P6</stp>
        <tr r="N36" s="1"/>
      </tp>
      <tp t="s">
        <v>N/A</v>
        <stp/>
        <stp>OPEN_INT</stp>
        <stp>.OPEN260220P0</stp>
        <tr r="M48" s="1"/>
      </tp>
      <tp t="s">
        <v>N/A</v>
        <stp/>
        <stp>OPEN_INT</stp>
        <stp>.OPEN260320P1</stp>
        <tr r="N46" s="1"/>
      </tp>
      <tp>
        <v>14621</v>
        <stp/>
        <stp>OPEN_INT</stp>
        <stp>.OPEN260220P1</stp>
        <tr r="M46" s="1"/>
        <tr r="M46" s="1"/>
      </tp>
      <tp t="s">
        <v>N/A</v>
        <stp/>
        <stp>OPEN_INT</stp>
        <stp>.OPEN260320P0</stp>
        <tr r="N48" s="1"/>
      </tp>
      <tp>
        <v>13623</v>
        <stp/>
        <stp>OPEN_INT</stp>
        <stp>.OPEN260220P2</stp>
        <tr r="M44" s="1"/>
        <tr r="M44" s="1"/>
      </tp>
      <tp t="s">
        <v>N/A</v>
        <stp/>
        <stp>OPEN_INT</stp>
        <stp>.OPEN260320P3</stp>
        <tr r="N42" s="1"/>
      </tp>
      <tp>
        <v>2498</v>
        <stp/>
        <stp>OPEN_INT</stp>
        <stp>.OPEN260220P3</stp>
        <tr r="M42" s="1"/>
        <tr r="M42" s="1"/>
      </tp>
      <tp t="s">
        <v>N/A</v>
        <stp/>
        <stp>OPEN_INT</stp>
        <stp>.OPEN260320P2</stp>
        <tr r="N44" s="1"/>
      </tp>
      <tp>
        <v>15237</v>
        <stp/>
        <stp>OPEN_INT</stp>
        <stp>.OPEN260220C8</stp>
        <tr r="M32" s="1"/>
        <tr r="M32" s="1"/>
      </tp>
      <tp t="s">
        <v>N/A</v>
        <stp/>
        <stp>OPEN_INT</stp>
        <stp>.OPEN260320C9</stp>
        <tr r="N30" s="1"/>
      </tp>
      <tp>
        <v>12224</v>
        <stp/>
        <stp>OPEN_INT</stp>
        <stp>.OPEN260220C9</stp>
        <tr r="M30" s="1"/>
        <tr r="M30" s="1"/>
      </tp>
      <tp t="s">
        <v>N/A</v>
        <stp/>
        <stp>OPEN_INT</stp>
        <stp>.OPEN260320C8</stp>
        <tr r="N32" s="1"/>
      </tp>
      <tp>
        <v>9580</v>
        <stp/>
        <stp>OPEN_INT</stp>
        <stp>.OPEN260220C4</stp>
        <tr r="M40" s="1"/>
        <tr r="M40" s="1"/>
      </tp>
      <tp t="s">
        <v>N/A</v>
        <stp/>
        <stp>OPEN_INT</stp>
        <stp>.OPEN260320C5</stp>
        <tr r="N38" s="1"/>
      </tp>
      <tp>
        <v>9398</v>
        <stp/>
        <stp>OPEN_INT</stp>
        <stp>.OPEN260220C5</stp>
        <tr r="M38" s="1"/>
        <tr r="M38" s="1"/>
      </tp>
      <tp t="s">
        <v>N/A</v>
        <stp/>
        <stp>OPEN_INT</stp>
        <stp>.OPEN260320C4</stp>
        <tr r="N40" s="1"/>
      </tp>
      <tp>
        <v>6167</v>
        <stp/>
        <stp>OPEN_INT</stp>
        <stp>.OPEN260220C6</stp>
        <tr r="M36" s="1"/>
        <tr r="M36" s="1"/>
      </tp>
      <tp t="s">
        <v>N/A</v>
        <stp/>
        <stp>OPEN_INT</stp>
        <stp>.OPEN260320C7</stp>
        <tr r="N34" s="1"/>
      </tp>
      <tp>
        <v>20138</v>
        <stp/>
        <stp>OPEN_INT</stp>
        <stp>.OPEN260220C7</stp>
        <tr r="M34" s="1"/>
        <tr r="M34" s="1"/>
      </tp>
      <tp t="s">
        <v>N/A</v>
        <stp/>
        <stp>OPEN_INT</stp>
        <stp>.OPEN260320C6</stp>
        <tr r="N36" s="1"/>
      </tp>
      <tp t="s">
        <v>N/A</v>
        <stp/>
        <stp>OPEN_INT</stp>
        <stp>.OPEN260220C0</stp>
        <tr r="M48" s="1"/>
      </tp>
      <tp t="s">
        <v>N/A</v>
        <stp/>
        <stp>OPEN_INT</stp>
        <stp>.OPEN260320C1</stp>
        <tr r="N46" s="1"/>
      </tp>
      <tp>
        <v>1665</v>
        <stp/>
        <stp>OPEN_INT</stp>
        <stp>.OPEN260220C1</stp>
        <tr r="M46" s="1"/>
        <tr r="M46" s="1"/>
      </tp>
      <tp t="s">
        <v>N/A</v>
        <stp/>
        <stp>OPEN_INT</stp>
        <stp>.OPEN260320C0</stp>
        <tr r="N48" s="1"/>
      </tp>
      <tp>
        <v>7666</v>
        <stp/>
        <stp>OPEN_INT</stp>
        <stp>.OPEN260220C2</stp>
        <tr r="M44" s="1"/>
        <tr r="M44" s="1"/>
      </tp>
      <tp t="s">
        <v>N/A</v>
        <stp/>
        <stp>OPEN_INT</stp>
        <stp>.OPEN260320C3</stp>
        <tr r="N42" s="1"/>
      </tp>
      <tp>
        <v>4470</v>
        <stp/>
        <stp>OPEN_INT</stp>
        <stp>.OPEN260220C3</stp>
        <tr r="M42" s="1"/>
        <tr r="M42" s="1"/>
      </tp>
      <tp t="s">
        <v>N/A</v>
        <stp/>
        <stp>OPEN_INT</stp>
        <stp>.OPEN260320C2</stp>
        <tr r="N44" s="1"/>
      </tp>
      <tp t="s">
        <v>N/A</v>
        <stp/>
        <stp>OPEN_INT</stp>
        <stp>.OPEN251023C8</stp>
        <tr r="L28" s="2"/>
      </tp>
      <tp t="s">
        <v>N/A</v>
        <stp/>
        <stp>OPEN_INT</stp>
        <stp>.OPEN261120C9</stp>
        <tr r="V30" s="1"/>
      </tp>
      <tp t="s">
        <v>N/A</v>
        <stp/>
        <stp>OPEN_INT</stp>
        <stp>.OPEN251013C8</stp>
        <tr r="D28" s="2"/>
      </tp>
      <tp t="s">
        <v>N/A</v>
        <stp/>
        <stp>OPEN_INT</stp>
        <stp>.OPEN251023C9</stp>
        <tr r="L26" s="2"/>
      </tp>
      <tp t="s">
        <v>N/A</v>
        <stp/>
        <stp>OPEN_INT</stp>
        <stp>.OPEN261120C8</stp>
        <tr r="V32" s="1"/>
      </tp>
      <tp t="s">
        <v>N/A</v>
        <stp/>
        <stp>OPEN_INT</stp>
        <stp>.OPEN251013C9</stp>
        <tr r="D26" s="2"/>
      </tp>
      <tp t="s">
        <v>N/A</v>
        <stp/>
        <stp>OPEN_INT</stp>
        <stp>.OPEN251023C6</stp>
        <tr r="L32" s="2"/>
      </tp>
      <tp t="s">
        <v>N/A</v>
        <stp/>
        <stp>OPEN_INT</stp>
        <stp>.OPEN261120C7</stp>
        <tr r="V34" s="1"/>
      </tp>
      <tp t="s">
        <v>N/A</v>
        <stp/>
        <stp>OPEN_INT</stp>
        <stp>.OPEN251013C6</stp>
        <tr r="D32" s="2"/>
      </tp>
      <tp t="s">
        <v>N/A</v>
        <stp/>
        <stp>OPEN_INT</stp>
        <stp>.OPEN251023C7</stp>
        <tr r="L30" s="2"/>
      </tp>
      <tp t="s">
        <v>N/A</v>
        <stp/>
        <stp>OPEN_INT</stp>
        <stp>.OPEN261120C6</stp>
        <tr r="V36" s="1"/>
      </tp>
      <tp t="s">
        <v>N/A</v>
        <stp/>
        <stp>OPEN_INT</stp>
        <stp>.OPEN251013C7</stp>
        <tr r="D30" s="2"/>
      </tp>
      <tp t="s">
        <v>N/A</v>
        <stp/>
        <stp>OPEN_INT</stp>
        <stp>.OPEN251023C4</stp>
        <tr r="L36" s="2"/>
      </tp>
      <tp t="s">
        <v>N/A</v>
        <stp/>
        <stp>OPEN_INT</stp>
        <stp>.OPEN261120C5</stp>
        <tr r="V38" s="1"/>
      </tp>
      <tp t="s">
        <v>N/A</v>
        <stp/>
        <stp>OPEN_INT</stp>
        <stp>.OPEN251013C4</stp>
        <tr r="D36" s="2"/>
      </tp>
      <tp t="s">
        <v>N/A</v>
        <stp/>
        <stp>OPEN_INT</stp>
        <stp>.OPEN251023C5</stp>
        <tr r="L34" s="2"/>
      </tp>
      <tp t="s">
        <v>N/A</v>
        <stp/>
        <stp>OPEN_INT</stp>
        <stp>.OPEN261120C4</stp>
        <tr r="V40" s="1"/>
      </tp>
      <tp t="s">
        <v>N/A</v>
        <stp/>
        <stp>OPEN_INT</stp>
        <stp>.OPEN251013C5</stp>
        <tr r="D34" s="2"/>
      </tp>
      <tp t="s">
        <v>N/A</v>
        <stp/>
        <stp>OPEN_INT</stp>
        <stp>.OPEN251023C2</stp>
        <tr r="L40" s="2"/>
      </tp>
      <tp t="s">
        <v>N/A</v>
        <stp/>
        <stp>OPEN_INT</stp>
        <stp>.OPEN261120C3</stp>
        <tr r="V42" s="1"/>
      </tp>
      <tp t="s">
        <v>N/A</v>
        <stp/>
        <stp>OPEN_INT</stp>
        <stp>.OPEN251013C2</stp>
        <tr r="D40" s="2"/>
      </tp>
      <tp t="s">
        <v>N/A</v>
        <stp/>
        <stp>OPEN_INT</stp>
        <stp>.OPEN251023C3</stp>
        <tr r="L38" s="2"/>
      </tp>
      <tp t="s">
        <v>N/A</v>
        <stp/>
        <stp>OPEN_INT</stp>
        <stp>.OPEN261120C2</stp>
        <tr r="V44" s="1"/>
      </tp>
      <tp t="s">
        <v>N/A</v>
        <stp/>
        <stp>OPEN_INT</stp>
        <stp>.OPEN251013C3</stp>
        <tr r="D38" s="2"/>
      </tp>
      <tp t="s">
        <v>N/A</v>
        <stp/>
        <stp>OPEN_INT</stp>
        <stp>.OPEN251023C0</stp>
        <tr r="L44" s="2"/>
      </tp>
      <tp t="s">
        <v>N/A</v>
        <stp/>
        <stp>OPEN_INT</stp>
        <stp>.OPEN261120C1</stp>
        <tr r="V46" s="1"/>
      </tp>
      <tp t="s">
        <v>N/A</v>
        <stp/>
        <stp>OPEN_INT</stp>
        <stp>.OPEN251013C0</stp>
        <tr r="D44" s="2"/>
      </tp>
      <tp t="s">
        <v>N/A</v>
        <stp/>
        <stp>OPEN_INT</stp>
        <stp>.OPEN251023C1</stp>
        <tr r="L42" s="2"/>
      </tp>
      <tp t="s">
        <v>N/A</v>
        <stp/>
        <stp>OPEN_INT</stp>
        <stp>.OPEN261120C0</stp>
        <tr r="V48" s="1"/>
      </tp>
      <tp t="s">
        <v>N/A</v>
        <stp/>
        <stp>OPEN_INT</stp>
        <stp>.OPEN251013C1</stp>
        <tr r="D42" s="2"/>
      </tp>
      <tp t="s">
        <v>N/A</v>
        <stp/>
        <stp>VOLUME</stp>
        <stp>.OPEN260619P3</stp>
        <tr r="Q42" s="5"/>
      </tp>
      <tp t="s">
        <v>N/A</v>
        <stp/>
        <stp>VOLUME</stp>
        <stp>.OPEN260109P4</stp>
        <tr r="K40" s="5"/>
      </tp>
      <tp t="s">
        <v>N/A</v>
        <stp/>
        <stp>VOLUME</stp>
        <stp>.OPEN260619P2</stp>
        <tr r="Q44" s="5"/>
      </tp>
      <tp t="s">
        <v>N/A</v>
        <stp/>
        <stp>VOLUME</stp>
        <stp>.OPEN260109P5</stp>
        <tr r="K38" s="5"/>
      </tp>
      <tp t="s">
        <v>N/A</v>
        <stp/>
        <stp>VOLUME</stp>
        <stp>.OPEN260619P1</stp>
        <tr r="Q46" s="5"/>
      </tp>
      <tp t="s">
        <v>N/A</v>
        <stp/>
        <stp>VOLUME</stp>
        <stp>.OPEN260109P6</stp>
        <tr r="K36" s="5"/>
      </tp>
      <tp t="s">
        <v>N/A</v>
        <stp/>
        <stp>VOLUME</stp>
        <stp>.OPEN260619P0</stp>
        <tr r="Q48" s="5"/>
      </tp>
      <tp t="s">
        <v>N/A</v>
        <stp/>
        <stp>VOLUME</stp>
        <stp>.OPEN260109P7</stp>
        <tr r="K34" s="5"/>
      </tp>
      <tp t="s">
        <v>N/A</v>
        <stp/>
        <stp>VOLUME</stp>
        <stp>.OPEN260619P7</stp>
        <tr r="Q34" s="5"/>
      </tp>
      <tp t="s">
        <v>N/A</v>
        <stp/>
        <stp>VOLUME</stp>
        <stp>.OPEN260109P0</stp>
        <tr r="K48" s="5"/>
      </tp>
      <tp t="s">
        <v>N/A</v>
        <stp/>
        <stp>VOLUME</stp>
        <stp>.OPEN260619P6</stp>
        <tr r="Q36" s="5"/>
      </tp>
      <tp t="s">
        <v>N/A</v>
        <stp/>
        <stp>VOLUME</stp>
        <stp>.OPEN260109P1</stp>
        <tr r="K46" s="5"/>
      </tp>
      <tp t="s">
        <v>N/A</v>
        <stp/>
        <stp>VOLUME</stp>
        <stp>.OPEN260619P5</stp>
        <tr r="Q38" s="5"/>
      </tp>
      <tp t="s">
        <v>N/A</v>
        <stp/>
        <stp>VOLUME</stp>
        <stp>.OPEN260109P2</stp>
        <tr r="K44" s="5"/>
      </tp>
      <tp t="s">
        <v>N/A</v>
        <stp/>
        <stp>VOLUME</stp>
        <stp>.OPEN260619P4</stp>
        <tr r="Q40" s="5"/>
      </tp>
      <tp t="s">
        <v>N/A</v>
        <stp/>
        <stp>VOLUME</stp>
        <stp>.OPEN260109P3</stp>
        <tr r="K42" s="5"/>
      </tp>
      <tp t="s">
        <v>N/A</v>
        <stp/>
        <stp>VOLUME</stp>
        <stp>.OPEN260619P9</stp>
        <tr r="Q30" s="5"/>
      </tp>
      <tp t="s">
        <v>N/A</v>
        <stp/>
        <stp>VOLUME</stp>
        <stp>.OPEN260619P8</stp>
        <tr r="Q32" s="5"/>
      </tp>
      <tp t="s">
        <v>N/A</v>
        <stp/>
        <stp>VOLUME</stp>
        <stp>.OPEN260109P8</stp>
        <tr r="K32" s="5"/>
      </tp>
      <tp t="s">
        <v>N/A</v>
        <stp/>
        <stp>VOLUME</stp>
        <stp>.OPEN260109P9</stp>
        <tr r="K30" s="5"/>
      </tp>
      <tp t="s">
        <v>N/A</v>
        <stp/>
        <stp>VOLUME</stp>
        <stp>.OPEN260619C3</stp>
        <tr r="Q42" s="5"/>
      </tp>
      <tp t="s">
        <v>N/A</v>
        <stp/>
        <stp>VOLUME</stp>
        <stp>.OPEN260109C4</stp>
        <tr r="K40" s="5"/>
      </tp>
      <tp t="s">
        <v>N/A</v>
        <stp/>
        <stp>VOLUME</stp>
        <stp>.OPEN260619C2</stp>
        <tr r="Q44" s="5"/>
      </tp>
      <tp t="s">
        <v>N/A</v>
        <stp/>
        <stp>VOLUME</stp>
        <stp>.OPEN260109C5</stp>
        <tr r="K38" s="5"/>
      </tp>
      <tp t="s">
        <v>N/A</v>
        <stp/>
        <stp>VOLUME</stp>
        <stp>.OPEN260619C1</stp>
        <tr r="Q46" s="5"/>
      </tp>
      <tp t="s">
        <v>N/A</v>
        <stp/>
        <stp>VOLUME</stp>
        <stp>.OPEN260109C6</stp>
        <tr r="K36" s="5"/>
      </tp>
      <tp t="s">
        <v>N/A</v>
        <stp/>
        <stp>VOLUME</stp>
        <stp>.OPEN260619C0</stp>
        <tr r="Q48" s="5"/>
      </tp>
      <tp t="s">
        <v>N/A</v>
        <stp/>
        <stp>VOLUME</stp>
        <stp>.OPEN260109C7</stp>
        <tr r="K34" s="5"/>
      </tp>
      <tp t="s">
        <v>N/A</v>
        <stp/>
        <stp>VOLUME</stp>
        <stp>.OPEN260619C7</stp>
        <tr r="Q34" s="5"/>
      </tp>
      <tp t="s">
        <v>N/A</v>
        <stp/>
        <stp>VOLUME</stp>
        <stp>.OPEN260109C0</stp>
        <tr r="K48" s="5"/>
      </tp>
      <tp t="s">
        <v>N/A</v>
        <stp/>
        <stp>VOLUME</stp>
        <stp>.OPEN260619C6</stp>
        <tr r="Q36" s="5"/>
      </tp>
      <tp t="s">
        <v>N/A</v>
        <stp/>
        <stp>VOLUME</stp>
        <stp>.OPEN260109C1</stp>
        <tr r="K46" s="5"/>
      </tp>
      <tp t="s">
        <v>N/A</v>
        <stp/>
        <stp>VOLUME</stp>
        <stp>.OPEN260619C5</stp>
        <tr r="Q38" s="5"/>
      </tp>
      <tp t="s">
        <v>N/A</v>
        <stp/>
        <stp>VOLUME</stp>
        <stp>.OPEN260109C2</stp>
        <tr r="K44" s="5"/>
      </tp>
      <tp t="s">
        <v>N/A</v>
        <stp/>
        <stp>VOLUME</stp>
        <stp>.OPEN260619C4</stp>
        <tr r="Q40" s="5"/>
      </tp>
      <tp t="s">
        <v>N/A</v>
        <stp/>
        <stp>VOLUME</stp>
        <stp>.OPEN260109C3</stp>
        <tr r="K42" s="5"/>
      </tp>
      <tp t="s">
        <v>N/A</v>
        <stp/>
        <stp>VOLUME</stp>
        <stp>.OPEN260619C9</stp>
        <tr r="Q30" s="5"/>
      </tp>
      <tp t="s">
        <v>N/A</v>
        <stp/>
        <stp>VOLUME</stp>
        <stp>.OPEN260619C8</stp>
        <tr r="Q32" s="5"/>
      </tp>
      <tp t="s">
        <v>N/A</v>
        <stp/>
        <stp>VOLUME</stp>
        <stp>.OPEN260109C8</stp>
        <tr r="K32" s="5"/>
      </tp>
      <tp t="s">
        <v>N/A</v>
        <stp/>
        <stp>VOLUME</stp>
        <stp>.OPEN260109C9</stp>
        <tr r="K30" s="5"/>
      </tp>
      <tp>
        <v>64</v>
        <stp/>
        <stp>OPEN_INT</stp>
        <stp>.OPEN251212P8</stp>
        <tr r="G32" s="1"/>
        <tr r="G32" s="1"/>
      </tp>
      <tp>
        <v>212</v>
        <stp/>
        <stp>OPEN_INT</stp>
        <stp>.OPEN251212P9</stp>
        <tr r="G30" s="1"/>
        <tr r="G30" s="1"/>
      </tp>
      <tp t="s">
        <v>N/A</v>
        <stp/>
        <stp>OPEN_INT</stp>
        <stp>.OPEN251022P8</stp>
        <tr r="K28" s="2"/>
      </tp>
      <tp t="s">
        <v>N/A</v>
        <stp/>
        <stp>OPEN_INT</stp>
        <stp>.OPEN251022P9</stp>
        <tr r="K26" s="2"/>
      </tp>
      <tp t="s">
        <v>N/A</v>
        <stp/>
        <stp>OPEN_INT</stp>
        <stp>.OPEN251022P6</stp>
        <tr r="K32" s="2"/>
      </tp>
      <tp>
        <v>11</v>
        <stp/>
        <stp>OPEN_INT</stp>
        <stp>.OPEN251212P4</stp>
        <tr r="G40" s="1"/>
        <tr r="G40" s="1"/>
      </tp>
      <tp t="s">
        <v>N/A</v>
        <stp/>
        <stp>OPEN_INT</stp>
        <stp>.OPEN251022P7</stp>
        <tr r="K30" s="2"/>
      </tp>
      <tp>
        <v>241</v>
        <stp/>
        <stp>OPEN_INT</stp>
        <stp>.OPEN251212P5</stp>
        <tr r="G38" s="1"/>
        <tr r="G38" s="1"/>
      </tp>
      <tp t="s">
        <v>N/A</v>
        <stp/>
        <stp>OPEN_INT</stp>
        <stp>.OPEN251022P4</stp>
        <tr r="K36" s="2"/>
      </tp>
      <tp>
        <v>281</v>
        <stp/>
        <stp>OPEN_INT</stp>
        <stp>.OPEN251212P6</stp>
        <tr r="G36" s="1"/>
        <tr r="G36" s="1"/>
      </tp>
      <tp t="s">
        <v>N/A</v>
        <stp/>
        <stp>OPEN_INT</stp>
        <stp>.OPEN251022P5</stp>
        <tr r="K34" s="2"/>
      </tp>
      <tp>
        <v>499</v>
        <stp/>
        <stp>OPEN_INT</stp>
        <stp>.OPEN251212P7</stp>
        <tr r="G34" s="1"/>
        <tr r="G34" s="1"/>
      </tp>
      <tp t="s">
        <v>N/A</v>
        <stp/>
        <stp>OPEN_INT</stp>
        <stp>.OPEN251022P2</stp>
        <tr r="K40" s="2"/>
      </tp>
      <tp t="s">
        <v>N/A</v>
        <stp/>
        <stp>OPEN_INT</stp>
        <stp>.OPEN251212P0</stp>
        <tr r="G48" s="1"/>
      </tp>
      <tp t="s">
        <v>N/A</v>
        <stp/>
        <stp>OPEN_INT</stp>
        <stp>.OPEN251022P3</stp>
        <tr r="K38" s="2"/>
      </tp>
      <tp>
        <v>0</v>
        <stp/>
        <stp>OPEN_INT</stp>
        <stp>.OPEN251212P1</stp>
        <tr r="G46" s="1"/>
        <tr r="G46" s="1"/>
      </tp>
      <tp t="s">
        <v>N/A</v>
        <stp/>
        <stp>OPEN_INT</stp>
        <stp>.OPEN251022P0</stp>
        <tr r="K44" s="2"/>
      </tp>
      <tp>
        <v>0</v>
        <stp/>
        <stp>OPEN_INT</stp>
        <stp>.OPEN251212P2</stp>
        <tr r="G44" s="1"/>
        <tr r="G44" s="1"/>
      </tp>
      <tp t="s">
        <v>N/A</v>
        <stp/>
        <stp>OPEN_INT</stp>
        <stp>.OPEN251022P1</stp>
        <tr r="K42" s="2"/>
      </tp>
      <tp>
        <v>0</v>
        <stp/>
        <stp>OPEN_INT</stp>
        <stp>.OPEN251212P3</stp>
        <tr r="G42" s="1"/>
        <tr r="G42" s="1"/>
      </tp>
      <tp t="s">
        <v>N/A</v>
        <stp/>
        <stp>OPEN_INT</stp>
        <stp>.OPEN260821P6</stp>
        <tr r="S36" s="1"/>
      </tp>
      <tp t="s">
        <v>N/A</v>
        <stp/>
        <stp>OPEN_INT</stp>
        <stp>.OPEN260821P7</stp>
        <tr r="S34" s="1"/>
      </tp>
      <tp t="s">
        <v>N/A</v>
        <stp/>
        <stp>OPEN_INT</stp>
        <stp>.OPEN260821P4</stp>
        <tr r="S40" s="1"/>
      </tp>
      <tp t="s">
        <v>N/A</v>
        <stp/>
        <stp>OPEN_INT</stp>
        <stp>.OPEN260821P5</stp>
        <tr r="S38" s="1"/>
      </tp>
      <tp t="s">
        <v>N/A</v>
        <stp/>
        <stp>OPEN_INT</stp>
        <stp>.OPEN260821P2</stp>
        <tr r="S44" s="1"/>
      </tp>
      <tp t="s">
        <v>N/A</v>
        <stp/>
        <stp>OPEN_INT</stp>
        <stp>.OPEN260821P3</stp>
        <tr r="S42" s="1"/>
      </tp>
      <tp t="s">
        <v>N/A</v>
        <stp/>
        <stp>OPEN_INT</stp>
        <stp>.OPEN260821P0</stp>
        <tr r="S48" s="1"/>
      </tp>
      <tp t="s">
        <v>N/A</v>
        <stp/>
        <stp>OPEN_INT</stp>
        <stp>.OPEN260821P1</stp>
        <tr r="S46" s="1"/>
      </tp>
      <tp t="s">
        <v>N/A</v>
        <stp/>
        <stp>OPEN_INT</stp>
        <stp>.OPEN260821P8</stp>
        <tr r="S32" s="1"/>
      </tp>
      <tp t="s">
        <v>N/A</v>
        <stp/>
        <stp>OPEN_INT</stp>
        <stp>.OPEN260821P9</stp>
        <tr r="S30" s="1"/>
      </tp>
      <tp t="s">
        <v>N/A</v>
        <stp/>
        <stp>OPEN_INT</stp>
        <stp>.OPEN260821C6</stp>
        <tr r="S36" s="1"/>
      </tp>
      <tp t="s">
        <v>N/A</v>
        <stp/>
        <stp>OPEN_INT</stp>
        <stp>.OPEN260821C7</stp>
        <tr r="S34" s="1"/>
      </tp>
      <tp t="s">
        <v>N/A</v>
        <stp/>
        <stp>OPEN_INT</stp>
        <stp>.OPEN260821C4</stp>
        <tr r="S40" s="1"/>
      </tp>
      <tp t="s">
        <v>N/A</v>
        <stp/>
        <stp>OPEN_INT</stp>
        <stp>.OPEN260821C5</stp>
        <tr r="S38" s="1"/>
      </tp>
      <tp t="s">
        <v>N/A</v>
        <stp/>
        <stp>OPEN_INT</stp>
        <stp>.OPEN260821C2</stp>
        <tr r="S44" s="1"/>
      </tp>
      <tp t="s">
        <v>N/A</v>
        <stp/>
        <stp>OPEN_INT</stp>
        <stp>.OPEN260821C3</stp>
        <tr r="S42" s="1"/>
      </tp>
      <tp t="s">
        <v>N/A</v>
        <stp/>
        <stp>OPEN_INT</stp>
        <stp>.OPEN260821C0</stp>
        <tr r="S48" s="1"/>
      </tp>
      <tp t="s">
        <v>N/A</v>
        <stp/>
        <stp>OPEN_INT</stp>
        <stp>.OPEN260821C1</stp>
        <tr r="S46" s="1"/>
      </tp>
      <tp t="s">
        <v>N/A</v>
        <stp/>
        <stp>OPEN_INT</stp>
        <stp>.OPEN260821C8</stp>
        <tr r="S32" s="1"/>
      </tp>
      <tp t="s">
        <v>N/A</v>
        <stp/>
        <stp>OPEN_INT</stp>
        <stp>.OPEN260821C9</stp>
        <tr r="S30" s="1"/>
      </tp>
      <tp>
        <v>570</v>
        <stp/>
        <stp>OPEN_INT</stp>
        <stp>.OPEN251212C8</stp>
        <tr r="G32" s="1"/>
        <tr r="G32" s="1"/>
      </tp>
      <tp>
        <v>638</v>
        <stp/>
        <stp>OPEN_INT</stp>
        <stp>.OPEN251212C9</stp>
        <tr r="G30" s="1"/>
        <tr r="G30" s="1"/>
      </tp>
      <tp t="s">
        <v>N/A</v>
        <stp/>
        <stp>OPEN_INT</stp>
        <stp>.OPEN251022C8</stp>
        <tr r="K28" s="2"/>
      </tp>
      <tp t="s">
        <v>N/A</v>
        <stp/>
        <stp>OPEN_INT</stp>
        <stp>.OPEN251022C9</stp>
        <tr r="K26" s="2"/>
      </tp>
      <tp t="s">
        <v>N/A</v>
        <stp/>
        <stp>OPEN_INT</stp>
        <stp>.OPEN251022C6</stp>
        <tr r="K32" s="2"/>
      </tp>
      <tp>
        <v>12</v>
        <stp/>
        <stp>OPEN_INT</stp>
        <stp>.OPEN251212C4</stp>
        <tr r="G40" s="1"/>
        <tr r="G40" s="1"/>
      </tp>
      <tp t="s">
        <v>N/A</v>
        <stp/>
        <stp>OPEN_INT</stp>
        <stp>.OPEN251022C7</stp>
        <tr r="K30" s="2"/>
      </tp>
      <tp>
        <v>113</v>
        <stp/>
        <stp>OPEN_INT</stp>
        <stp>.OPEN251212C5</stp>
        <tr r="G38" s="1"/>
        <tr r="G38" s="1"/>
      </tp>
      <tp t="s">
        <v>N/A</v>
        <stp/>
        <stp>OPEN_INT</stp>
        <stp>.OPEN251022C4</stp>
        <tr r="K36" s="2"/>
      </tp>
      <tp>
        <v>71</v>
        <stp/>
        <stp>OPEN_INT</stp>
        <stp>.OPEN251212C6</stp>
        <tr r="G36" s="1"/>
        <tr r="G36" s="1"/>
      </tp>
      <tp t="s">
        <v>N/A</v>
        <stp/>
        <stp>OPEN_INT</stp>
        <stp>.OPEN251022C5</stp>
        <tr r="K34" s="2"/>
      </tp>
      <tp>
        <v>133</v>
        <stp/>
        <stp>OPEN_INT</stp>
        <stp>.OPEN251212C7</stp>
        <tr r="G34" s="1"/>
        <tr r="G34" s="1"/>
      </tp>
      <tp t="s">
        <v>N/A</v>
        <stp/>
        <stp>OPEN_INT</stp>
        <stp>.OPEN251022C2</stp>
        <tr r="K40" s="2"/>
      </tp>
      <tp t="s">
        <v>N/A</v>
        <stp/>
        <stp>OPEN_INT</stp>
        <stp>.OPEN251212C0</stp>
        <tr r="G48" s="1"/>
      </tp>
      <tp t="s">
        <v>N/A</v>
        <stp/>
        <stp>OPEN_INT</stp>
        <stp>.OPEN251022C3</stp>
        <tr r="K38" s="2"/>
      </tp>
      <tp>
        <v>0</v>
        <stp/>
        <stp>OPEN_INT</stp>
        <stp>.OPEN251212C1</stp>
        <tr r="G46" s="1"/>
        <tr r="G46" s="1"/>
      </tp>
      <tp t="s">
        <v>N/A</v>
        <stp/>
        <stp>OPEN_INT</stp>
        <stp>.OPEN251022C0</stp>
        <tr r="K44" s="2"/>
      </tp>
      <tp>
        <v>0</v>
        <stp/>
        <stp>OPEN_INT</stp>
        <stp>.OPEN251212C2</stp>
        <tr r="G44" s="1"/>
        <tr r="G44" s="1"/>
      </tp>
      <tp t="s">
        <v>N/A</v>
        <stp/>
        <stp>OPEN_INT</stp>
        <stp>.OPEN251022C1</stp>
        <tr r="K42" s="2"/>
      </tp>
      <tp>
        <v>2</v>
        <stp/>
        <stp>OPEN_INT</stp>
        <stp>.OPEN251212C3</stp>
        <tr r="G42" s="1"/>
        <tr r="G42" s="1"/>
      </tp>
      <tp t="s">
        <v>N/A</v>
        <stp/>
        <stp>VOLUME</stp>
        <stp>.OPEN261218P7</stp>
        <tr r="W34" s="5"/>
      </tp>
      <tp t="s">
        <v>N/A</v>
        <stp/>
        <stp>VOLUME</stp>
        <stp>.OPEN261218P6</stp>
        <tr r="W36" s="5"/>
      </tp>
      <tp t="s">
        <v>N/A</v>
        <stp/>
        <stp>VOLUME</stp>
        <stp>.OPEN261218P5</stp>
        <tr r="W38" s="5"/>
      </tp>
      <tp t="s">
        <v>N/A</v>
        <stp/>
        <stp>VOLUME</stp>
        <stp>.OPEN261218P4</stp>
        <tr r="W40" s="5"/>
      </tp>
      <tp t="s">
        <v>N/A</v>
        <stp/>
        <stp>VOLUME</stp>
        <stp>.OPEN261218P3</stp>
        <tr r="W42" s="5"/>
      </tp>
      <tp t="s">
        <v>N/A</v>
        <stp/>
        <stp>VOLUME</stp>
        <stp>.OPEN261218P2</stp>
        <tr r="W44" s="5"/>
      </tp>
      <tp t="s">
        <v>N/A</v>
        <stp/>
        <stp>VOLUME</stp>
        <stp>.OPEN261218P1</stp>
        <tr r="W46" s="5"/>
      </tp>
      <tp t="s">
        <v>N/A</v>
        <stp/>
        <stp>VOLUME</stp>
        <stp>.OPEN261218P0</stp>
        <tr r="W48" s="5"/>
      </tp>
      <tp t="s">
        <v>N/A</v>
        <stp/>
        <stp>VOLUME</stp>
        <stp>.OPEN261218P9</stp>
        <tr r="W30" s="5"/>
      </tp>
      <tp t="s">
        <v>N/A</v>
        <stp/>
        <stp>VOLUME</stp>
        <stp>.OPEN261218P8</stp>
        <tr r="W32" s="5"/>
      </tp>
      <tp t="s">
        <v>N/A</v>
        <stp/>
        <stp>VOLUME</stp>
        <stp>.OPEN260918P8</stp>
        <tr r="T32" s="5"/>
      </tp>
      <tp t="s">
        <v>N/A</v>
        <stp/>
        <stp>VOLUME</stp>
        <stp>.OPEN260918P9</stp>
        <tr r="T30" s="5"/>
      </tp>
      <tp t="s">
        <v>N/A</v>
        <stp/>
        <stp>VOLUME</stp>
        <stp>.OPEN260918P4</stp>
        <tr r="T40" s="5"/>
      </tp>
      <tp t="s">
        <v>N/A</v>
        <stp/>
        <stp>VOLUME</stp>
        <stp>.OPEN260918P5</stp>
        <tr r="T38" s="5"/>
      </tp>
      <tp t="s">
        <v>N/A</v>
        <stp/>
        <stp>VOLUME</stp>
        <stp>.OPEN260918P6</stp>
        <tr r="T36" s="5"/>
      </tp>
      <tp t="s">
        <v>N/A</v>
        <stp/>
        <stp>VOLUME</stp>
        <stp>.OPEN260918P7</stp>
        <tr r="T34" s="5"/>
      </tp>
      <tp t="s">
        <v>N/A</v>
        <stp/>
        <stp>VOLUME</stp>
        <stp>.OPEN260918P0</stp>
        <tr r="T48" s="5"/>
      </tp>
      <tp t="s">
        <v>N/A</v>
        <stp/>
        <stp>VOLUME</stp>
        <stp>.OPEN260918P1</stp>
        <tr r="T46" s="5"/>
      </tp>
      <tp t="s">
        <v>N/A</v>
        <stp/>
        <stp>VOLUME</stp>
        <stp>.OPEN260918P2</stp>
        <tr r="T44" s="5"/>
      </tp>
      <tp t="s">
        <v>N/A</v>
        <stp/>
        <stp>VOLUME</stp>
        <stp>.OPEN260918P3</stp>
        <tr r="T42" s="5"/>
      </tp>
      <tp t="s">
        <v>N/A</v>
        <stp/>
        <stp>VOLUME</stp>
        <stp>.OPEN260918C8</stp>
        <tr r="T32" s="5"/>
      </tp>
      <tp t="s">
        <v>N/A</v>
        <stp/>
        <stp>VOLUME</stp>
        <stp>.OPEN260918C9</stp>
        <tr r="T30" s="5"/>
      </tp>
      <tp t="s">
        <v>N/A</v>
        <stp/>
        <stp>VOLUME</stp>
        <stp>.OPEN260918C4</stp>
        <tr r="T40" s="5"/>
      </tp>
      <tp t="s">
        <v>N/A</v>
        <stp/>
        <stp>VOLUME</stp>
        <stp>.OPEN260918C5</stp>
        <tr r="T38" s="5"/>
      </tp>
      <tp t="s">
        <v>N/A</v>
        <stp/>
        <stp>VOLUME</stp>
        <stp>.OPEN260918C6</stp>
        <tr r="T36" s="5"/>
      </tp>
      <tp t="s">
        <v>N/A</v>
        <stp/>
        <stp>VOLUME</stp>
        <stp>.OPEN260918C7</stp>
        <tr r="T34" s="5"/>
      </tp>
      <tp t="s">
        <v>N/A</v>
        <stp/>
        <stp>VOLUME</stp>
        <stp>.OPEN260918C0</stp>
        <tr r="T48" s="5"/>
      </tp>
      <tp t="s">
        <v>N/A</v>
        <stp/>
        <stp>VOLUME</stp>
        <stp>.OPEN260918C1</stp>
        <tr r="T46" s="5"/>
      </tp>
      <tp t="s">
        <v>N/A</v>
        <stp/>
        <stp>VOLUME</stp>
        <stp>.OPEN260918C2</stp>
        <tr r="T44" s="5"/>
      </tp>
      <tp t="s">
        <v>N/A</v>
        <stp/>
        <stp>VOLUME</stp>
        <stp>.OPEN260918C3</stp>
        <tr r="T42" s="5"/>
      </tp>
      <tp t="s">
        <v>N/A</v>
        <stp/>
        <stp>VOLUME</stp>
        <stp>.OPEN261218C7</stp>
        <tr r="W34" s="5"/>
      </tp>
      <tp t="s">
        <v>N/A</v>
        <stp/>
        <stp>VOLUME</stp>
        <stp>.OPEN261218C6</stp>
        <tr r="W36" s="5"/>
      </tp>
      <tp t="s">
        <v>N/A</v>
        <stp/>
        <stp>VOLUME</stp>
        <stp>.OPEN261218C5</stp>
        <tr r="W38" s="5"/>
      </tp>
      <tp t="s">
        <v>N/A</v>
        <stp/>
        <stp>VOLUME</stp>
        <stp>.OPEN261218C4</stp>
        <tr r="W40" s="5"/>
      </tp>
      <tp t="s">
        <v>N/A</v>
        <stp/>
        <stp>VOLUME</stp>
        <stp>.OPEN261218C3</stp>
        <tr r="W42" s="5"/>
      </tp>
      <tp t="s">
        <v>N/A</v>
        <stp/>
        <stp>VOLUME</stp>
        <stp>.OPEN261218C2</stp>
        <tr r="W44" s="5"/>
      </tp>
      <tp t="s">
        <v>N/A</v>
        <stp/>
        <stp>VOLUME</stp>
        <stp>.OPEN261218C1</stp>
        <tr r="W46" s="5"/>
      </tp>
      <tp t="s">
        <v>N/A</v>
        <stp/>
        <stp>VOLUME</stp>
        <stp>.OPEN261218C0</stp>
        <tr r="W48" s="5"/>
      </tp>
      <tp t="s">
        <v>N/A</v>
        <stp/>
        <stp>VOLUME</stp>
        <stp>.OPEN261218C9</stp>
        <tr r="W30" s="5"/>
      </tp>
      <tp t="s">
        <v>N/A</v>
        <stp/>
        <stp>VOLUME</stp>
        <stp>.OPEN261218C8</stp>
        <tr r="W32" s="5"/>
      </tp>
      <tp>
        <v>1741</v>
        <stp/>
        <stp>OPEN_INT</stp>
        <stp>.OPEN251205P8</stp>
        <tr r="F32" s="1"/>
        <tr r="F32" s="1"/>
      </tp>
      <tp>
        <v>78</v>
        <stp/>
        <stp>OPEN_INT</stp>
        <stp>.OPEN251205P9</stp>
        <tr r="F30" s="1"/>
        <tr r="F30" s="1"/>
      </tp>
      <tp t="s">
        <v>N/A</v>
        <stp/>
        <stp>OPEN_INT</stp>
        <stp>.OPEN251015P8</stp>
        <tr r="F28" s="2"/>
      </tp>
      <tp t="s">
        <v>N/A</v>
        <stp/>
        <stp>OPEN_INT</stp>
        <stp>.OPEN261016P8</stp>
        <tr r="U32" s="1"/>
      </tp>
      <tp t="s">
        <v>N/A</v>
        <stp/>
        <stp>OPEN_INT</stp>
        <stp>.OPEN251015P9</stp>
        <tr r="F26" s="2"/>
      </tp>
      <tp t="s">
        <v>N/A</v>
        <stp/>
        <stp>OPEN_INT</stp>
        <stp>.OPEN261016P9</stp>
        <tr r="U30" s="1"/>
      </tp>
      <tp t="s">
        <v>N/A</v>
        <stp/>
        <stp>OPEN_INT</stp>
        <stp>.OPEN251015P6</stp>
        <tr r="F32" s="2"/>
      </tp>
      <tp t="s">
        <v>N/A</v>
        <stp/>
        <stp>OPEN_INT</stp>
        <stp>.OPEN261016P6</stp>
        <tr r="U36" s="1"/>
      </tp>
      <tp>
        <v>661</v>
        <stp/>
        <stp>OPEN_INT</stp>
        <stp>.OPEN251205P4</stp>
        <tr r="F40" s="1"/>
        <tr r="F40" s="1"/>
      </tp>
      <tp t="s">
        <v>N/A</v>
        <stp/>
        <stp>OPEN_INT</stp>
        <stp>.OPEN251015P7</stp>
        <tr r="F30" s="2"/>
      </tp>
      <tp t="s">
        <v>N/A</v>
        <stp/>
        <stp>OPEN_INT</stp>
        <stp>.OPEN261016P7</stp>
        <tr r="U34" s="1"/>
      </tp>
      <tp>
        <v>1267</v>
        <stp/>
        <stp>OPEN_INT</stp>
        <stp>.OPEN251205P5</stp>
        <tr r="F38" s="1"/>
        <tr r="F38" s="1"/>
      </tp>
      <tp t="s">
        <v>N/A</v>
        <stp/>
        <stp>OPEN_INT</stp>
        <stp>.OPEN251015P4</stp>
        <tr r="F36" s="2"/>
      </tp>
      <tp t="s">
        <v>N/A</v>
        <stp/>
        <stp>OPEN_INT</stp>
        <stp>.OPEN261016P4</stp>
        <tr r="U40" s="1"/>
      </tp>
      <tp>
        <v>766</v>
        <stp/>
        <stp>OPEN_INT</stp>
        <stp>.OPEN251205P6</stp>
        <tr r="F36" s="1"/>
        <tr r="F36" s="1"/>
      </tp>
      <tp t="s">
        <v>N/A</v>
        <stp/>
        <stp>OPEN_INT</stp>
        <stp>.OPEN251015P5</stp>
        <tr r="F34" s="2"/>
      </tp>
      <tp t="s">
        <v>N/A</v>
        <stp/>
        <stp>OPEN_INT</stp>
        <stp>.OPEN261016P5</stp>
        <tr r="U38" s="1"/>
      </tp>
      <tp>
        <v>835</v>
        <stp/>
        <stp>OPEN_INT</stp>
        <stp>.OPEN251205P7</stp>
        <tr r="F34" s="1"/>
        <tr r="F34" s="1"/>
      </tp>
      <tp t="s">
        <v>N/A</v>
        <stp/>
        <stp>OPEN_INT</stp>
        <stp>.OPEN251015P2</stp>
        <tr r="F40" s="2"/>
      </tp>
      <tp t="s">
        <v>N/A</v>
        <stp/>
        <stp>OPEN_INT</stp>
        <stp>.OPEN261016P2</stp>
        <tr r="U44" s="1"/>
      </tp>
      <tp t="s">
        <v>N/A</v>
        <stp/>
        <stp>OPEN_INT</stp>
        <stp>.OPEN251205P0</stp>
        <tr r="F48" s="1"/>
      </tp>
      <tp t="s">
        <v>N/A</v>
        <stp/>
        <stp>OPEN_INT</stp>
        <stp>.OPEN251015P3</stp>
        <tr r="F38" s="2"/>
      </tp>
      <tp t="s">
        <v>N/A</v>
        <stp/>
        <stp>OPEN_INT</stp>
        <stp>.OPEN261016P3</stp>
        <tr r="U42" s="1"/>
      </tp>
      <tp>
        <v>0</v>
        <stp/>
        <stp>OPEN_INT</stp>
        <stp>.OPEN251205P1</stp>
        <tr r="F46" s="1"/>
        <tr r="F46" s="1"/>
      </tp>
      <tp t="s">
        <v>N/A</v>
        <stp/>
        <stp>OPEN_INT</stp>
        <stp>.OPEN251015P0</stp>
        <tr r="F44" s="2"/>
      </tp>
      <tp t="s">
        <v>N/A</v>
        <stp/>
        <stp>OPEN_INT</stp>
        <stp>.OPEN261016P0</stp>
        <tr r="U48" s="1"/>
      </tp>
      <tp>
        <v>0</v>
        <stp/>
        <stp>OPEN_INT</stp>
        <stp>.OPEN251205P2</stp>
        <tr r="F44" s="1"/>
        <tr r="F44" s="1"/>
      </tp>
      <tp t="s">
        <v>N/A</v>
        <stp/>
        <stp>OPEN_INT</stp>
        <stp>.OPEN251015P1</stp>
        <tr r="F42" s="2"/>
      </tp>
      <tp t="s">
        <v>N/A</v>
        <stp/>
        <stp>OPEN_INT</stp>
        <stp>.OPEN261016P1</stp>
        <tr r="U46" s="1"/>
      </tp>
      <tp>
        <v>10</v>
        <stp/>
        <stp>OPEN_INT</stp>
        <stp>.OPEN251205P3</stp>
        <tr r="F42" s="1"/>
        <tr r="F42" s="1"/>
      </tp>
      <tp>
        <v>3737</v>
        <stp/>
        <stp>OPEN_INT</stp>
        <stp>.OPEN260116P9</stp>
        <tr r="L30" s="1"/>
        <tr r="L30" s="1"/>
        <tr r="W26" s="2"/>
        <tr r="W26" s="2"/>
      </tp>
      <tp>
        <v>15701</v>
        <stp/>
        <stp>OPEN_INT</stp>
        <stp>.OPEN260116P8</stp>
        <tr r="L32" s="1"/>
        <tr r="L32" s="1"/>
        <tr r="W28" s="2"/>
        <tr r="W28" s="2"/>
      </tp>
      <tp>
        <v>23047</v>
        <stp/>
        <stp>OPEN_INT</stp>
        <stp>.OPEN260116P7</stp>
        <tr r="L34" s="1"/>
        <tr r="L34" s="1"/>
        <tr r="W30" s="2"/>
        <tr r="W30" s="2"/>
      </tp>
      <tp>
        <v>4345</v>
        <stp/>
        <stp>OPEN_INT</stp>
        <stp>.OPEN260116P6</stp>
        <tr r="L36" s="1"/>
        <tr r="L36" s="1"/>
        <tr r="W32" s="2"/>
        <tr r="W32" s="2"/>
      </tp>
      <tp>
        <v>6773</v>
        <stp/>
        <stp>OPEN_INT</stp>
        <stp>.OPEN260116P5</stp>
        <tr r="L38" s="1"/>
        <tr r="L38" s="1"/>
        <tr r="W34" s="2"/>
        <tr r="W34" s="2"/>
      </tp>
      <tp>
        <v>9373</v>
        <stp/>
        <stp>OPEN_INT</stp>
        <stp>.OPEN260116P4</stp>
        <tr r="L40" s="1"/>
        <tr r="L40" s="1"/>
        <tr r="W36" s="2"/>
        <tr r="W36" s="2"/>
      </tp>
      <tp>
        <v>8808</v>
        <stp/>
        <stp>OPEN_INT</stp>
        <stp>.OPEN260116P3</stp>
        <tr r="L42" s="1"/>
        <tr r="L42" s="1"/>
        <tr r="W38" s="2"/>
        <tr r="W38" s="2"/>
      </tp>
      <tp>
        <v>22081</v>
        <stp/>
        <stp>OPEN_INT</stp>
        <stp>.OPEN260116P2</stp>
        <tr r="L44" s="1"/>
        <tr r="L44" s="1"/>
        <tr r="W40" s="2"/>
        <tr r="W40" s="2"/>
      </tp>
      <tp>
        <v>23200</v>
        <stp/>
        <stp>OPEN_INT</stp>
        <stp>.OPEN260116P1</stp>
        <tr r="L46" s="1"/>
        <tr r="L46" s="1"/>
        <tr r="W42" s="2"/>
        <tr r="W42" s="2"/>
      </tp>
      <tp t="s">
        <v>N/A</v>
        <stp/>
        <stp>OPEN_INT</stp>
        <stp>.OPEN260116P0</stp>
        <tr r="L48" s="1"/>
        <tr r="W44" s="2"/>
      </tp>
      <tp>
        <v>32053</v>
        <stp/>
        <stp>OPEN_INT</stp>
        <stp>.OPEN260116C9</stp>
        <tr r="L30" s="1"/>
        <tr r="L30" s="1"/>
        <tr r="W26" s="2"/>
        <tr r="W26" s="2"/>
      </tp>
      <tp>
        <v>39015</v>
        <stp/>
        <stp>OPEN_INT</stp>
        <stp>.OPEN260116C8</stp>
        <tr r="L32" s="1"/>
        <tr r="L32" s="1"/>
        <tr r="W28" s="2"/>
        <tr r="W28" s="2"/>
      </tp>
      <tp>
        <v>44098</v>
        <stp/>
        <stp>OPEN_INT</stp>
        <stp>.OPEN260116C7</stp>
        <tr r="L34" s="1"/>
        <tr r="L34" s="1"/>
        <tr r="W30" s="2"/>
        <tr r="W30" s="2"/>
      </tp>
      <tp>
        <v>9014</v>
        <stp/>
        <stp>OPEN_INT</stp>
        <stp>.OPEN260116C6</stp>
        <tr r="L36" s="1"/>
        <tr r="L36" s="1"/>
        <tr r="W32" s="2"/>
        <tr r="W32" s="2"/>
      </tp>
      <tp>
        <v>36161</v>
        <stp/>
        <stp>OPEN_INT</stp>
        <stp>.OPEN260116C5</stp>
        <tr r="L38" s="1"/>
        <tr r="L38" s="1"/>
        <tr r="W34" s="2"/>
        <tr r="W34" s="2"/>
      </tp>
      <tp>
        <v>17134</v>
        <stp/>
        <stp>OPEN_INT</stp>
        <stp>.OPEN260116C4</stp>
        <tr r="L40" s="1"/>
        <tr r="L40" s="1"/>
        <tr r="W36" s="2"/>
        <tr r="W36" s="2"/>
      </tp>
      <tp>
        <v>20321</v>
        <stp/>
        <stp>OPEN_INT</stp>
        <stp>.OPEN260116C3</stp>
        <tr r="L42" s="1"/>
        <tr r="L42" s="1"/>
        <tr r="W38" s="2"/>
        <tr r="W38" s="2"/>
      </tp>
      <tp>
        <v>23594</v>
        <stp/>
        <stp>OPEN_INT</stp>
        <stp>.OPEN260116C2</stp>
        <tr r="L44" s="1"/>
        <tr r="L44" s="1"/>
        <tr r="W40" s="2"/>
        <tr r="W40" s="2"/>
      </tp>
      <tp>
        <v>7571</v>
        <stp/>
        <stp>OPEN_INT</stp>
        <stp>.OPEN260116C1</stp>
        <tr r="L46" s="1"/>
        <tr r="L46" s="1"/>
        <tr r="W42" s="2"/>
        <tr r="W42" s="2"/>
      </tp>
      <tp t="s">
        <v>N/A</v>
        <stp/>
        <stp>OPEN_INT</stp>
        <stp>.OPEN260116C0</stp>
        <tr r="L48" s="1"/>
        <tr r="W44" s="2"/>
      </tp>
      <tp>
        <v>902</v>
        <stp/>
        <stp>OPEN_INT</stp>
        <stp>.OPEN251205C8</stp>
        <tr r="F32" s="1"/>
        <tr r="F32" s="1"/>
      </tp>
      <tp>
        <v>1651</v>
        <stp/>
        <stp>OPEN_INT</stp>
        <stp>.OPEN251205C9</stp>
        <tr r="F30" s="1"/>
        <tr r="F30" s="1"/>
      </tp>
      <tp t="s">
        <v>N/A</v>
        <stp/>
        <stp>OPEN_INT</stp>
        <stp>.OPEN251015C8</stp>
        <tr r="F28" s="2"/>
      </tp>
      <tp t="s">
        <v>N/A</v>
        <stp/>
        <stp>OPEN_INT</stp>
        <stp>.OPEN261016C8</stp>
        <tr r="U32" s="1"/>
      </tp>
      <tp t="s">
        <v>N/A</v>
        <stp/>
        <stp>OPEN_INT</stp>
        <stp>.OPEN251015C9</stp>
        <tr r="F26" s="2"/>
      </tp>
      <tp t="s">
        <v>N/A</v>
        <stp/>
        <stp>OPEN_INT</stp>
        <stp>.OPEN261016C9</stp>
        <tr r="U30" s="1"/>
      </tp>
      <tp t="s">
        <v>N/A</v>
        <stp/>
        <stp>OPEN_INT</stp>
        <stp>.OPEN251015C6</stp>
        <tr r="F32" s="2"/>
      </tp>
      <tp t="s">
        <v>N/A</v>
        <stp/>
        <stp>OPEN_INT</stp>
        <stp>.OPEN261016C6</stp>
        <tr r="U36" s="1"/>
      </tp>
      <tp>
        <v>160</v>
        <stp/>
        <stp>OPEN_INT</stp>
        <stp>.OPEN251205C4</stp>
        <tr r="F40" s="1"/>
        <tr r="F40" s="1"/>
      </tp>
      <tp t="s">
        <v>N/A</v>
        <stp/>
        <stp>OPEN_INT</stp>
        <stp>.OPEN251015C7</stp>
        <tr r="F30" s="2"/>
      </tp>
      <tp t="s">
        <v>N/A</v>
        <stp/>
        <stp>OPEN_INT</stp>
        <stp>.OPEN261016C7</stp>
        <tr r="U34" s="1"/>
      </tp>
      <tp>
        <v>187</v>
        <stp/>
        <stp>OPEN_INT</stp>
        <stp>.OPEN251205C5</stp>
        <tr r="F38" s="1"/>
        <tr r="F38" s="1"/>
      </tp>
      <tp t="s">
        <v>N/A</v>
        <stp/>
        <stp>OPEN_INT</stp>
        <stp>.OPEN251015C4</stp>
        <tr r="F36" s="2"/>
      </tp>
      <tp t="s">
        <v>N/A</v>
        <stp/>
        <stp>OPEN_INT</stp>
        <stp>.OPEN261016C4</stp>
        <tr r="U40" s="1"/>
      </tp>
      <tp>
        <v>154</v>
        <stp/>
        <stp>OPEN_INT</stp>
        <stp>.OPEN251205C6</stp>
        <tr r="F36" s="1"/>
        <tr r="F36" s="1"/>
      </tp>
      <tp t="s">
        <v>N/A</v>
        <stp/>
        <stp>OPEN_INT</stp>
        <stp>.OPEN251015C5</stp>
        <tr r="F34" s="2"/>
      </tp>
      <tp t="s">
        <v>N/A</v>
        <stp/>
        <stp>OPEN_INT</stp>
        <stp>.OPEN261016C5</stp>
        <tr r="U38" s="1"/>
      </tp>
      <tp>
        <v>1068</v>
        <stp/>
        <stp>OPEN_INT</stp>
        <stp>.OPEN251205C7</stp>
        <tr r="F34" s="1"/>
        <tr r="F34" s="1"/>
      </tp>
      <tp t="s">
        <v>N/A</v>
        <stp/>
        <stp>OPEN_INT</stp>
        <stp>.OPEN251015C2</stp>
        <tr r="F40" s="2"/>
      </tp>
      <tp t="s">
        <v>N/A</v>
        <stp/>
        <stp>OPEN_INT</stp>
        <stp>.OPEN261016C2</stp>
        <tr r="U44" s="1"/>
      </tp>
      <tp t="s">
        <v>N/A</v>
        <stp/>
        <stp>OPEN_INT</stp>
        <stp>.OPEN251205C0</stp>
        <tr r="F48" s="1"/>
      </tp>
      <tp t="s">
        <v>N/A</v>
        <stp/>
        <stp>OPEN_INT</stp>
        <stp>.OPEN251015C3</stp>
        <tr r="F38" s="2"/>
      </tp>
      <tp t="s">
        <v>N/A</v>
        <stp/>
        <stp>OPEN_INT</stp>
        <stp>.OPEN261016C3</stp>
        <tr r="U42" s="1"/>
      </tp>
      <tp>
        <v>0</v>
        <stp/>
        <stp>OPEN_INT</stp>
        <stp>.OPEN251205C1</stp>
        <tr r="F46" s="1"/>
        <tr r="F46" s="1"/>
      </tp>
      <tp t="s">
        <v>N/A</v>
        <stp/>
        <stp>OPEN_INT</stp>
        <stp>.OPEN251015C0</stp>
        <tr r="F44" s="2"/>
      </tp>
      <tp t="s">
        <v>N/A</v>
        <stp/>
        <stp>OPEN_INT</stp>
        <stp>.OPEN261016C0</stp>
        <tr r="U48" s="1"/>
      </tp>
      <tp>
        <v>0</v>
        <stp/>
        <stp>OPEN_INT</stp>
        <stp>.OPEN251205C2</stp>
        <tr r="F44" s="1"/>
        <tr r="F44" s="1"/>
      </tp>
      <tp t="s">
        <v>N/A</v>
        <stp/>
        <stp>OPEN_INT</stp>
        <stp>.OPEN251015C1</stp>
        <tr r="F42" s="2"/>
      </tp>
      <tp t="s">
        <v>N/A</v>
        <stp/>
        <stp>OPEN_INT</stp>
        <stp>.OPEN261016C1</stp>
        <tr r="U46" s="1"/>
      </tp>
      <tp>
        <v>3</v>
        <stp/>
        <stp>OPEN_INT</stp>
        <stp>.OPEN251205C3</stp>
        <tr r="F42" s="1"/>
        <tr r="F42" s="1"/>
      </tp>
      <tp>
        <v>9055</v>
        <stp/>
        <stp>OPEN_INT</stp>
        <stp>.OPEN251024P8</stp>
        <tr r="M28" s="2"/>
        <tr r="M28" s="2"/>
      </tp>
      <tp t="s">
        <v>N/A</v>
        <stp/>
        <stp>OPEN_INT</stp>
        <stp>.OPEN251014P8</stp>
        <tr r="E28" s="2"/>
      </tp>
      <tp>
        <v>2340</v>
        <stp/>
        <stp>OPEN_INT</stp>
        <stp>.OPEN251114P9</stp>
        <tr r="BA52" s="1"/>
        <tr r="BA52" s="1"/>
        <tr r="BB52" s="5"/>
        <tr r="BB52" s="5"/>
        <tr r="C30" s="1"/>
        <tr r="C30" s="1"/>
        <tr r="BB49" s="5"/>
        <tr r="BB49" s="5"/>
        <tr r="BB48" s="5"/>
        <tr r="BB48" s="5"/>
        <tr r="BB46" s="5"/>
        <tr r="BB46" s="5"/>
        <tr r="BB44" s="5"/>
        <tr r="BB44" s="5"/>
        <tr r="BB14" s="5"/>
        <tr r="BB14" s="5"/>
        <tr r="BB40" s="5"/>
        <tr r="BB40" s="5"/>
        <tr r="BB18" s="5"/>
        <tr r="BB18" s="5"/>
        <tr r="BB20" s="5"/>
        <tr r="BB20" s="5"/>
        <tr r="BB34" s="5"/>
        <tr r="BB34" s="5"/>
        <tr r="BB32" s="5"/>
        <tr r="BB32" s="5"/>
        <tr r="BB30" s="5"/>
        <tr r="BB30" s="5"/>
        <tr r="BB28" s="5"/>
        <tr r="BB28" s="5"/>
        <tr r="BA8" s="1"/>
        <tr r="BA8" s="1"/>
        <tr r="BA42" s="1"/>
        <tr r="BA42" s="1"/>
        <tr r="BA40" s="1"/>
        <tr r="BA40" s="1"/>
        <tr r="BA18" s="1"/>
        <tr r="BA18" s="1"/>
        <tr r="BA20" s="1"/>
        <tr r="BA20" s="1"/>
        <tr r="BA22" s="1"/>
        <tr r="BA22" s="1"/>
        <tr r="BA24" s="1"/>
        <tr r="BA24" s="1"/>
        <tr r="BA26" s="1"/>
        <tr r="BA26" s="1"/>
        <tr r="BA28" s="1"/>
        <tr r="BA28" s="1"/>
        <tr r="BB6" s="5"/>
        <tr r="BB6" s="5"/>
        <tr r="BB50" s="5"/>
        <tr r="BB50" s="5"/>
        <tr r="BB8" s="5"/>
        <tr r="BB8" s="5"/>
        <tr r="BB10" s="5"/>
        <tr r="BB10" s="5"/>
        <tr r="BB12" s="5"/>
        <tr r="BB12" s="5"/>
        <tr r="BB42" s="5"/>
        <tr r="BB42" s="5"/>
        <tr r="BB16" s="5"/>
        <tr r="BB16" s="5"/>
        <tr r="BB38" s="5"/>
        <tr r="BB38" s="5"/>
        <tr r="BB36" s="5"/>
        <tr r="BB36" s="5"/>
        <tr r="BB22" s="5"/>
        <tr r="BB22" s="5"/>
        <tr r="BB24" s="5"/>
        <tr r="BB24" s="5"/>
        <tr r="BB26" s="5"/>
        <tr r="BB26" s="5"/>
        <tr r="BA6" s="1"/>
        <tr r="BA6" s="1"/>
        <tr r="BA44" s="1"/>
        <tr r="BA44" s="1"/>
        <tr r="BA50" s="1"/>
        <tr r="BA50" s="1"/>
        <tr r="BA48" s="1"/>
        <tr r="BA48" s="1"/>
        <tr r="BA46" s="1"/>
        <tr r="BA46" s="1"/>
        <tr r="BA12" s="1"/>
        <tr r="BA12" s="1"/>
        <tr r="BA14" s="1"/>
        <tr r="BA14" s="1"/>
        <tr r="BA16" s="1"/>
        <tr r="BA16" s="1"/>
        <tr r="BA38" s="1"/>
        <tr r="BA38" s="1"/>
        <tr r="BA36" s="1"/>
        <tr r="BA36" s="1"/>
        <tr r="BA34" s="1"/>
        <tr r="BA34" s="1"/>
        <tr r="BA32" s="1"/>
        <tr r="BA32" s="1"/>
        <tr r="BA30" s="1"/>
        <tr r="BA30" s="1"/>
        <tr r="BB51" s="5"/>
        <tr r="BB51" s="5"/>
        <tr r="BB7" s="5"/>
        <tr r="BB7" s="5"/>
        <tr r="BB47" s="5"/>
        <tr r="BB47" s="5"/>
        <tr r="BB11" s="5"/>
        <tr r="BB11" s="5"/>
        <tr r="BB13" s="5"/>
        <tr r="BB13" s="5"/>
        <tr r="BB15" s="5"/>
        <tr r="BB15" s="5"/>
        <tr r="BB39" s="5"/>
        <tr r="BB39" s="5"/>
        <tr r="BB19" s="5"/>
        <tr r="BB19" s="5"/>
        <tr r="BB35" s="5"/>
        <tr r="BB35" s="5"/>
        <tr r="BB23" s="5"/>
        <tr r="BB23" s="5"/>
        <tr r="BB25" s="5"/>
        <tr r="BB25" s="5"/>
        <tr r="BB29" s="5"/>
        <tr r="BB29" s="5"/>
        <tr r="BA5" s="1"/>
        <tr r="BA5" s="1"/>
        <tr r="BA10" s="1"/>
        <tr r="BA10" s="1"/>
        <tr r="BA51" s="1"/>
        <tr r="BA51" s="1"/>
        <tr r="BA49" s="1"/>
        <tr r="BA49" s="1"/>
        <tr r="BA9" s="1"/>
        <tr r="BA9" s="1"/>
        <tr r="BA11" s="1"/>
        <tr r="BA11" s="1"/>
        <tr r="BA43" s="1"/>
        <tr r="BA43" s="1"/>
        <tr r="BA41" s="1"/>
        <tr r="BA41" s="1"/>
        <tr r="BA17" s="1"/>
        <tr r="BA17" s="1"/>
        <tr r="BA37" s="1"/>
        <tr r="BA37" s="1"/>
        <tr r="BA21" s="1"/>
        <tr r="BA21" s="1"/>
        <tr r="BA23" s="1"/>
        <tr r="BA23" s="1"/>
        <tr r="BA25" s="1"/>
        <tr r="BA25" s="1"/>
        <tr r="BA27" s="1"/>
        <tr r="BA27" s="1"/>
        <tr r="BB5" s="5"/>
        <tr r="BB5" s="5"/>
        <tr r="BB9" s="5"/>
        <tr r="BB9" s="5"/>
        <tr r="BB45" s="5"/>
        <tr r="BB45" s="5"/>
        <tr r="BB43" s="5"/>
        <tr r="BB43" s="5"/>
        <tr r="BB41" s="5"/>
        <tr r="BB41" s="5"/>
        <tr r="BB17" s="5"/>
        <tr r="BB17" s="5"/>
        <tr r="BB37" s="5"/>
        <tr r="BB37" s="5"/>
        <tr r="BB21" s="5"/>
        <tr r="BB21" s="5"/>
        <tr r="BB33" s="5"/>
        <tr r="BB33" s="5"/>
        <tr r="BB31" s="5"/>
        <tr r="BB31" s="5"/>
        <tr r="BB27" s="5"/>
        <tr r="BB27" s="5"/>
        <tr r="BA7" s="1"/>
        <tr r="BA7" s="1"/>
        <tr r="BA47" s="1"/>
        <tr r="BA47" s="1"/>
        <tr r="BA45" s="1"/>
        <tr r="BA45" s="1"/>
        <tr r="BA13" s="1"/>
        <tr r="BA13" s="1"/>
        <tr r="BA15" s="1"/>
        <tr r="BA15" s="1"/>
        <tr r="BA39" s="1"/>
        <tr r="BA39" s="1"/>
        <tr r="BA19" s="1"/>
        <tr r="BA19" s="1"/>
        <tr r="BA35" s="1"/>
        <tr r="BA35" s="1"/>
        <tr r="BA33" s="1"/>
        <tr r="BA33" s="1"/>
        <tr r="BA31" s="1"/>
        <tr r="BA31" s="1"/>
        <tr r="BA29" s="1"/>
        <tr r="BA29" s="1"/>
      </tp>
      <tp>
        <v>2506</v>
        <stp/>
        <stp>OPEN_INT</stp>
        <stp>.OPEN251024P9</stp>
        <tr r="M26" s="2"/>
        <tr r="M26" s="2"/>
      </tp>
      <tp t="s">
        <v>N/A</v>
        <stp/>
        <stp>OPEN_INT</stp>
        <stp>.OPEN251014P9</stp>
        <tr r="E26" s="2"/>
      </tp>
      <tp>
        <v>7651</v>
        <stp/>
        <stp>OPEN_INT</stp>
        <stp>.OPEN251114P8</stp>
        <tr r="C32" s="1"/>
        <tr r="C32" s="1"/>
        <tr r="BC52" s="1"/>
        <tr r="BC52" s="1"/>
        <tr r="BD52" s="5"/>
        <tr r="BD52" s="5"/>
        <tr r="BD5" s="5"/>
        <tr r="BD5" s="5"/>
        <tr r="BD6" s="5"/>
        <tr r="BD6" s="5"/>
        <tr r="BD8" s="5"/>
        <tr r="BD8" s="5"/>
        <tr r="BD46" s="5"/>
        <tr r="BD46" s="5"/>
        <tr r="BD12" s="5"/>
        <tr r="BD12" s="5"/>
        <tr r="BD42" s="5"/>
        <tr r="BD42" s="5"/>
        <tr r="BD40" s="5"/>
        <tr r="BD40" s="5"/>
        <tr r="BD18" s="5"/>
        <tr r="BD18" s="5"/>
        <tr r="BD20" s="5"/>
        <tr r="BD20" s="5"/>
        <tr r="BD22" s="5"/>
        <tr r="BD22" s="5"/>
        <tr r="BD32" s="5"/>
        <tr r="BD32" s="5"/>
        <tr r="BD30" s="5"/>
        <tr r="BD30" s="5"/>
        <tr r="BD28" s="5"/>
        <tr r="BD28" s="5"/>
        <tr r="BC5" s="1"/>
        <tr r="BC5" s="1"/>
        <tr r="BC50" s="1"/>
        <tr r="BC50" s="1"/>
        <tr r="BC8" s="1"/>
        <tr r="BC8" s="1"/>
        <tr r="BC10" s="1"/>
        <tr r="BC10" s="1"/>
        <tr r="BC44" s="1"/>
        <tr r="BC44" s="1"/>
        <tr r="BC42" s="1"/>
        <tr r="BC42" s="1"/>
        <tr r="BC16" s="1"/>
        <tr r="BC16" s="1"/>
        <tr r="BC18" s="1"/>
        <tr r="BC18" s="1"/>
        <tr r="BC20" s="1"/>
        <tr r="BC20" s="1"/>
        <tr r="BC22" s="1"/>
        <tr r="BC22" s="1"/>
        <tr r="BC24" s="1"/>
        <tr r="BC24" s="1"/>
        <tr r="BC26" s="1"/>
        <tr r="BC26" s="1"/>
        <tr r="BC28" s="1"/>
        <tr r="BC28" s="1"/>
        <tr r="BD50" s="5"/>
        <tr r="BD50" s="5"/>
        <tr r="BD48" s="5"/>
        <tr r="BD48" s="5"/>
        <tr r="BD10" s="5"/>
        <tr r="BD10" s="5"/>
        <tr r="BD44" s="5"/>
        <tr r="BD44" s="5"/>
        <tr r="BD14" s="5"/>
        <tr r="BD14" s="5"/>
        <tr r="BD16" s="5"/>
        <tr r="BD16" s="5"/>
        <tr r="BD38" s="5"/>
        <tr r="BD38" s="5"/>
        <tr r="BD36" s="5"/>
        <tr r="BD36" s="5"/>
        <tr r="BD34" s="5"/>
        <tr r="BD34" s="5"/>
        <tr r="BD24" s="5"/>
        <tr r="BD24" s="5"/>
        <tr r="BD26" s="5"/>
        <tr r="BD26" s="5"/>
        <tr r="BC7" s="1"/>
        <tr r="BC7" s="1"/>
        <tr r="BC6" s="1"/>
        <tr r="BC6" s="1"/>
        <tr r="BC48" s="1"/>
        <tr r="BC48" s="1"/>
        <tr r="BC46" s="1"/>
        <tr r="BC46" s="1"/>
        <tr r="BC12" s="1"/>
        <tr r="BC12" s="1"/>
        <tr r="BC14" s="1"/>
        <tr r="BC14" s="1"/>
        <tr r="BC40" s="1"/>
        <tr r="BC40" s="1"/>
        <tr r="BC38" s="1"/>
        <tr r="BC38" s="1"/>
        <tr r="BC36" s="1"/>
        <tr r="BC36" s="1"/>
        <tr r="BC34" s="1"/>
        <tr r="BC34" s="1"/>
        <tr r="BC32" s="1"/>
        <tr r="BC32" s="1"/>
        <tr r="BC30" s="1"/>
        <tr r="BC30" s="1"/>
        <tr r="BD7" s="5"/>
        <tr r="BD7" s="5"/>
        <tr r="BD9" s="5"/>
        <tr r="BD9" s="5"/>
        <tr r="BD11" s="5"/>
        <tr r="BD11" s="5"/>
        <tr r="BD13" s="5"/>
        <tr r="BD13" s="5"/>
        <tr r="BD41" s="5"/>
        <tr r="BD41" s="5"/>
        <tr r="BD39" s="5"/>
        <tr r="BD39" s="5"/>
        <tr r="BD37" s="5"/>
        <tr r="BD37" s="5"/>
        <tr r="BD35" s="5"/>
        <tr r="BD35" s="5"/>
        <tr r="BD23" s="5"/>
        <tr r="BD23" s="5"/>
        <tr r="BD25" s="5"/>
        <tr r="BD25" s="5"/>
        <tr r="BD27" s="5"/>
        <tr r="BD27" s="5"/>
        <tr r="BC49" s="1"/>
        <tr r="BC49" s="1"/>
        <tr r="BC47" s="1"/>
        <tr r="BC47" s="1"/>
        <tr r="BC45" s="1"/>
        <tr r="BC45" s="1"/>
        <tr r="BC13" s="1"/>
        <tr r="BC13" s="1"/>
        <tr r="BC15" s="1"/>
        <tr r="BC15" s="1"/>
        <tr r="BC39" s="1"/>
        <tr r="BC39" s="1"/>
        <tr r="BC37" s="1"/>
        <tr r="BC37" s="1"/>
        <tr r="BC21" s="1"/>
        <tr r="BC21" s="1"/>
        <tr r="BC23" s="1"/>
        <tr r="BC23" s="1"/>
        <tr r="BC25" s="1"/>
        <tr r="BC25" s="1"/>
        <tr r="BC27" s="1"/>
        <tr r="BC27" s="1"/>
        <tr r="BD51" s="5"/>
        <tr r="BD51" s="5"/>
        <tr r="BD49" s="5"/>
        <tr r="BD49" s="5"/>
        <tr r="BD47" s="5"/>
        <tr r="BD47" s="5"/>
        <tr r="BD45" s="5"/>
        <tr r="BD45" s="5"/>
        <tr r="BD43" s="5"/>
        <tr r="BD43" s="5"/>
        <tr r="BD15" s="5"/>
        <tr r="BD15" s="5"/>
        <tr r="BD17" s="5"/>
        <tr r="BD17" s="5"/>
        <tr r="BD19" s="5"/>
        <tr r="BD19" s="5"/>
        <tr r="BD21" s="5"/>
        <tr r="BD21" s="5"/>
        <tr r="BD33" s="5"/>
        <tr r="BD33" s="5"/>
        <tr r="BD31" s="5"/>
        <tr r="BD31" s="5"/>
        <tr r="BD29" s="5"/>
        <tr r="BD29" s="5"/>
        <tr r="BC51" s="1"/>
        <tr r="BC51" s="1"/>
        <tr r="BC9" s="1"/>
        <tr r="BC9" s="1"/>
        <tr r="BC11" s="1"/>
        <tr r="BC11" s="1"/>
        <tr r="BC43" s="1"/>
        <tr r="BC43" s="1"/>
        <tr r="BC41" s="1"/>
        <tr r="BC41" s="1"/>
        <tr r="BC17" s="1"/>
        <tr r="BC17" s="1"/>
        <tr r="BC19" s="1"/>
        <tr r="BC19" s="1"/>
        <tr r="BC35" s="1"/>
        <tr r="BC35" s="1"/>
        <tr r="BC33" s="1"/>
        <tr r="BC33" s="1"/>
        <tr r="BC31" s="1"/>
        <tr r="BC31" s="1"/>
        <tr r="BC29" s="1"/>
        <tr r="BC29" s="1"/>
      </tp>
      <tp>
        <v>28302</v>
        <stp/>
        <stp>OPEN_INT</stp>
        <stp>.OPEN251024P6</stp>
        <tr r="M32" s="2"/>
        <tr r="M32" s="2"/>
      </tp>
      <tp t="s">
        <v>N/A</v>
        <stp/>
        <stp>OPEN_INT</stp>
        <stp>.OPEN251014P6</stp>
        <tr r="E32" s="2"/>
      </tp>
      <tp>
        <v>11116</v>
        <stp/>
        <stp>OPEN_INT</stp>
        <stp>.OPEN251114P7</stp>
        <tr r="BF52" s="5"/>
        <tr r="BF52" s="5"/>
        <tr r="BE52" s="1"/>
        <tr r="BE52" s="1"/>
        <tr r="C34" s="1"/>
        <tr r="C34" s="1"/>
        <tr r="BF6" s="5"/>
        <tr r="BF6" s="5"/>
        <tr r="BF48" s="5"/>
        <tr r="BF48" s="5"/>
        <tr r="BF46" s="5"/>
        <tr r="BF46" s="5"/>
        <tr r="BF12" s="5"/>
        <tr r="BF12" s="5"/>
        <tr r="BF14" s="5"/>
        <tr r="BF14" s="5"/>
        <tr r="BF40" s="5"/>
        <tr r="BF40" s="5"/>
        <tr r="BF18" s="5"/>
        <tr r="BF18" s="5"/>
        <tr r="BF20" s="5"/>
        <tr r="BF20" s="5"/>
        <tr r="BF22" s="5"/>
        <tr r="BF22" s="5"/>
        <tr r="BF32" s="5"/>
        <tr r="BF32" s="5"/>
        <tr r="BF26" s="5"/>
        <tr r="BF26" s="5"/>
        <tr r="BF28" s="5"/>
        <tr r="BF28" s="5"/>
        <tr r="BE6" s="1"/>
        <tr r="BE6" s="1"/>
        <tr r="BE48" s="1"/>
        <tr r="BE48" s="1"/>
        <tr r="BE46" s="1"/>
        <tr r="BE46" s="1"/>
        <tr r="BE44" s="1"/>
        <tr r="BE44" s="1"/>
        <tr r="BE42" s="1"/>
        <tr r="BE42" s="1"/>
        <tr r="BE16" s="1"/>
        <tr r="BE16" s="1"/>
        <tr r="BE18" s="1"/>
        <tr r="BE18" s="1"/>
        <tr r="BE20" s="1"/>
        <tr r="BE20" s="1"/>
        <tr r="BE22" s="1"/>
        <tr r="BE22" s="1"/>
        <tr r="BE32" s="1"/>
        <tr r="BE32" s="1"/>
        <tr r="BE26" s="1"/>
        <tr r="BE26" s="1"/>
        <tr r="BE28" s="1"/>
        <tr r="BE28" s="1"/>
        <tr r="BF7" s="5"/>
        <tr r="BF7" s="5"/>
        <tr r="BF50" s="5"/>
        <tr r="BF50" s="5"/>
        <tr r="BF8" s="5"/>
        <tr r="BF8" s="5"/>
        <tr r="BF10" s="5"/>
        <tr r="BF10" s="5"/>
        <tr r="BF44" s="5"/>
        <tr r="BF44" s="5"/>
        <tr r="BF42" s="5"/>
        <tr r="BF42" s="5"/>
        <tr r="BF16" s="5"/>
        <tr r="BF16" s="5"/>
        <tr r="BF38" s="5"/>
        <tr r="BF38" s="5"/>
        <tr r="BF36" s="5"/>
        <tr r="BF36" s="5"/>
        <tr r="BF34" s="5"/>
        <tr r="BF34" s="5"/>
        <tr r="BF24" s="5"/>
        <tr r="BF24" s="5"/>
        <tr r="BF30" s="5"/>
        <tr r="BF30" s="5"/>
        <tr r="BE50" s="1"/>
        <tr r="BE50" s="1"/>
        <tr r="BE8" s="1"/>
        <tr r="BE8" s="1"/>
        <tr r="BE10" s="1"/>
        <tr r="BE10" s="1"/>
        <tr r="BE12" s="1"/>
        <tr r="BE12" s="1"/>
        <tr r="BE14" s="1"/>
        <tr r="BE14" s="1"/>
        <tr r="BE40" s="1"/>
        <tr r="BE40" s="1"/>
        <tr r="BE38" s="1"/>
        <tr r="BE38" s="1"/>
        <tr r="BE36" s="1"/>
        <tr r="BE36" s="1"/>
        <tr r="BE34" s="1"/>
        <tr r="BE34" s="1"/>
        <tr r="BE24" s="1"/>
        <tr r="BE24" s="1"/>
        <tr r="BE30" s="1"/>
        <tr r="BE30" s="1"/>
        <tr r="BF5" s="5"/>
        <tr r="BF5" s="5"/>
        <tr r="BF47" s="5"/>
        <tr r="BF47" s="5"/>
        <tr r="BF11" s="5"/>
        <tr r="BF11" s="5"/>
        <tr r="BF13" s="5"/>
        <tr r="BF13" s="5"/>
        <tr r="BF41" s="5"/>
        <tr r="BF41" s="5"/>
        <tr r="BF39" s="5"/>
        <tr r="BF39" s="5"/>
        <tr r="BF37" s="5"/>
        <tr r="BF37" s="5"/>
        <tr r="BF21" s="5"/>
        <tr r="BF21" s="5"/>
        <tr r="BF33" s="5"/>
        <tr r="BF33" s="5"/>
        <tr r="BF25" s="5"/>
        <tr r="BF25" s="5"/>
        <tr r="BF27" s="5"/>
        <tr r="BF27" s="5"/>
        <tr r="BE51" s="1"/>
        <tr r="BE51" s="1"/>
        <tr r="BE5" s="1"/>
        <tr r="BE5" s="1"/>
        <tr r="BE49" s="1"/>
        <tr r="BE49" s="1"/>
        <tr r="BE47" s="1"/>
        <tr r="BE47" s="1"/>
        <tr r="BE45" s="1"/>
        <tr r="BE45" s="1"/>
        <tr r="BE13" s="1"/>
        <tr r="BE13" s="1"/>
        <tr r="BE41" s="1"/>
        <tr r="BE41" s="1"/>
        <tr r="BE39" s="1"/>
        <tr r="BE39" s="1"/>
        <tr r="BE37" s="1"/>
        <tr r="BE37" s="1"/>
        <tr r="BE21" s="1"/>
        <tr r="BE21" s="1"/>
        <tr r="BE33" s="1"/>
        <tr r="BE33" s="1"/>
        <tr r="BE31" s="1"/>
        <tr r="BE31" s="1"/>
        <tr r="BE29" s="1"/>
        <tr r="BE29" s="1"/>
        <tr r="BF51" s="5"/>
        <tr r="BF51" s="5"/>
        <tr r="BF49" s="5"/>
        <tr r="BF49" s="5"/>
        <tr r="BF9" s="5"/>
        <tr r="BF9" s="5"/>
        <tr r="BF45" s="5"/>
        <tr r="BF45" s="5"/>
        <tr r="BF43" s="5"/>
        <tr r="BF43" s="5"/>
        <tr r="BF15" s="5"/>
        <tr r="BF15" s="5"/>
        <tr r="BF17" s="5"/>
        <tr r="BF17" s="5"/>
        <tr r="BF19" s="5"/>
        <tr r="BF19" s="5"/>
        <tr r="BF35" s="5"/>
        <tr r="BF35" s="5"/>
        <tr r="BF23" s="5"/>
        <tr r="BF23" s="5"/>
        <tr r="BF31" s="5"/>
        <tr r="BF31" s="5"/>
        <tr r="BF29" s="5"/>
        <tr r="BF29" s="5"/>
        <tr r="BE7" s="1"/>
        <tr r="BE7" s="1"/>
        <tr r="BE9" s="1"/>
        <tr r="BE9" s="1"/>
        <tr r="BE11" s="1"/>
        <tr r="BE11" s="1"/>
        <tr r="BE43" s="1"/>
        <tr r="BE43" s="1"/>
        <tr r="BE15" s="1"/>
        <tr r="BE15" s="1"/>
        <tr r="BE17" s="1"/>
        <tr r="BE17" s="1"/>
        <tr r="BE19" s="1"/>
        <tr r="BE19" s="1"/>
        <tr r="BE35" s="1"/>
        <tr r="BE35" s="1"/>
        <tr r="BE23" s="1"/>
        <tr r="BE23" s="1"/>
        <tr r="BE25" s="1"/>
        <tr r="BE25" s="1"/>
        <tr r="BE27" s="1"/>
        <tr r="BE27" s="1"/>
      </tp>
      <tp>
        <v>21670</v>
        <stp/>
        <stp>OPEN_INT</stp>
        <stp>.OPEN251024P7</stp>
        <tr r="M30" s="2"/>
        <tr r="M30" s="2"/>
      </tp>
      <tp t="s">
        <v>N/A</v>
        <stp/>
        <stp>OPEN_INT</stp>
        <stp>.OPEN251014P7</stp>
        <tr r="E30" s="2"/>
      </tp>
      <tp>
        <v>9075</v>
        <stp/>
        <stp>OPEN_INT</stp>
        <stp>.OPEN251114P6</stp>
        <tr r="BG52" s="1"/>
        <tr r="BG52" s="1"/>
        <tr r="BH52" s="5"/>
        <tr r="BH52" s="5"/>
        <tr r="C36" s="1"/>
        <tr r="C36" s="1"/>
        <tr r="BH50" s="5"/>
        <tr r="BH50" s="5"/>
        <tr r="BH48" s="5"/>
        <tr r="BH48" s="5"/>
        <tr r="BH10" s="5"/>
        <tr r="BH10" s="5"/>
        <tr r="BH12" s="5"/>
        <tr r="BH12" s="5"/>
        <tr r="BH42" s="5"/>
        <tr r="BH42" s="5"/>
        <tr r="BH40" s="5"/>
        <tr r="BH40" s="5"/>
        <tr r="BH18" s="5"/>
        <tr r="BH18" s="5"/>
        <tr r="BH20" s="5"/>
        <tr r="BH20" s="5"/>
        <tr r="BH22" s="5"/>
        <tr r="BH22" s="5"/>
        <tr r="BH32" s="5"/>
        <tr r="BH32" s="5"/>
        <tr r="BH30" s="5"/>
        <tr r="BH30" s="5"/>
        <tr r="BH28" s="5"/>
        <tr r="BH28" s="5"/>
        <tr r="BG51" s="1"/>
        <tr r="BG51" s="1"/>
        <tr r="BG48" s="1"/>
        <tr r="BG48" s="1"/>
        <tr r="BG10" s="1"/>
        <tr r="BG10" s="1"/>
        <tr r="BG44" s="1"/>
        <tr r="BG44" s="1"/>
        <tr r="BG42" s="1"/>
        <tr r="BG42" s="1"/>
        <tr r="BG40" s="1"/>
        <tr r="BG40" s="1"/>
        <tr r="BG18" s="1"/>
        <tr r="BG18" s="1"/>
        <tr r="BG20" s="1"/>
        <tr r="BG20" s="1"/>
        <tr r="BG34" s="1"/>
        <tr r="BG34" s="1"/>
        <tr r="BG32" s="1"/>
        <tr r="BG32" s="1"/>
        <tr r="BG30" s="1"/>
        <tr r="BG30" s="1"/>
        <tr r="BG28" s="1"/>
        <tr r="BG28" s="1"/>
        <tr r="BH5" s="5"/>
        <tr r="BH5" s="5"/>
        <tr r="BH6" s="5"/>
        <tr r="BH6" s="5"/>
        <tr r="BH8" s="5"/>
        <tr r="BH8" s="5"/>
        <tr r="BH46" s="5"/>
        <tr r="BH46" s="5"/>
        <tr r="BH44" s="5"/>
        <tr r="BH44" s="5"/>
        <tr r="BH14" s="5"/>
        <tr r="BH14" s="5"/>
        <tr r="BH16" s="5"/>
        <tr r="BH16" s="5"/>
        <tr r="BH38" s="5"/>
        <tr r="BH38" s="5"/>
        <tr r="BH36" s="5"/>
        <tr r="BH36" s="5"/>
        <tr r="BH34" s="5"/>
        <tr r="BH34" s="5"/>
        <tr r="BH24" s="5"/>
        <tr r="BH24" s="5"/>
        <tr r="BH26" s="5"/>
        <tr r="BH26" s="5"/>
        <tr r="BG50" s="1"/>
        <tr r="BG50" s="1"/>
        <tr r="BG8" s="1"/>
        <tr r="BG8" s="1"/>
        <tr r="BG46" s="1"/>
        <tr r="BG46" s="1"/>
        <tr r="BG12" s="1"/>
        <tr r="BG12" s="1"/>
        <tr r="BG14" s="1"/>
        <tr r="BG14" s="1"/>
        <tr r="BG16" s="1"/>
        <tr r="BG16" s="1"/>
        <tr r="BG38" s="1"/>
        <tr r="BG38" s="1"/>
        <tr r="BG36" s="1"/>
        <tr r="BG36" s="1"/>
        <tr r="BG22" s="1"/>
        <tr r="BG22" s="1"/>
        <tr r="BG24" s="1"/>
        <tr r="BG24" s="1"/>
        <tr r="BG26" s="1"/>
        <tr r="BG26" s="1"/>
        <tr r="BH7" s="5"/>
        <tr r="BH7" s="5"/>
        <tr r="BH9" s="5"/>
        <tr r="BH9" s="5"/>
        <tr r="BH11" s="5"/>
        <tr r="BH11" s="5"/>
        <tr r="BH13" s="5"/>
        <tr r="BH13" s="5"/>
        <tr r="BH41" s="5"/>
        <tr r="BH41" s="5"/>
        <tr r="BH39" s="5"/>
        <tr r="BH39" s="5"/>
        <tr r="BH37" s="5"/>
        <tr r="BH37" s="5"/>
        <tr r="BH21" s="5"/>
        <tr r="BH21" s="5"/>
        <tr r="BH33" s="5"/>
        <tr r="BH33" s="5"/>
        <tr r="BH25" s="5"/>
        <tr r="BH25" s="5"/>
        <tr r="BH27" s="5"/>
        <tr r="BH27" s="5"/>
        <tr r="BG6" s="1"/>
        <tr r="BG6" s="1"/>
        <tr r="BG5" s="1"/>
        <tr r="BG5" s="1"/>
        <tr r="BG49" s="1"/>
        <tr r="BG49" s="1"/>
        <tr r="BG47" s="1"/>
        <tr r="BG47" s="1"/>
        <tr r="BG11" s="1"/>
        <tr r="BG11" s="1"/>
        <tr r="BG13" s="1"/>
        <tr r="BG13" s="1"/>
        <tr r="BG15" s="1"/>
        <tr r="BG15" s="1"/>
        <tr r="BG17" s="1"/>
        <tr r="BG17" s="1"/>
        <tr r="BG37" s="1"/>
        <tr r="BG37" s="1"/>
        <tr r="BG35" s="1"/>
        <tr r="BG35" s="1"/>
        <tr r="BG33" s="1"/>
        <tr r="BG33" s="1"/>
        <tr r="BG31" s="1"/>
        <tr r="BG31" s="1"/>
        <tr r="BG29" s="1"/>
        <tr r="BG29" s="1"/>
        <tr r="BH51" s="5"/>
        <tr r="BH51" s="5"/>
        <tr r="BH49" s="5"/>
        <tr r="BH49" s="5"/>
        <tr r="BH47" s="5"/>
        <tr r="BH47" s="5"/>
        <tr r="BH45" s="5"/>
        <tr r="BH45" s="5"/>
        <tr r="BH43" s="5"/>
        <tr r="BH43" s="5"/>
        <tr r="BH15" s="5"/>
        <tr r="BH15" s="5"/>
        <tr r="BH17" s="5"/>
        <tr r="BH17" s="5"/>
        <tr r="BH19" s="5"/>
        <tr r="BH19" s="5"/>
        <tr r="BH35" s="5"/>
        <tr r="BH35" s="5"/>
        <tr r="BH23" s="5"/>
        <tr r="BH23" s="5"/>
        <tr r="BH31" s="5"/>
        <tr r="BH31" s="5"/>
        <tr r="BH29" s="5"/>
        <tr r="BH29" s="5"/>
        <tr r="BG7" s="1"/>
        <tr r="BG7" s="1"/>
        <tr r="BG9" s="1"/>
        <tr r="BG9" s="1"/>
        <tr r="BG45" s="1"/>
        <tr r="BG45" s="1"/>
        <tr r="BG43" s="1"/>
        <tr r="BG43" s="1"/>
        <tr r="BG41" s="1"/>
        <tr r="BG41" s="1"/>
        <tr r="BG39" s="1"/>
        <tr r="BG39" s="1"/>
        <tr r="BG19" s="1"/>
        <tr r="BG19" s="1"/>
        <tr r="BG21" s="1"/>
        <tr r="BG21" s="1"/>
        <tr r="BG23" s="1"/>
        <tr r="BG23" s="1"/>
        <tr r="BG25" s="1"/>
        <tr r="BG25" s="1"/>
        <tr r="BG27" s="1"/>
        <tr r="BG27" s="1"/>
      </tp>
      <tp>
        <v>973</v>
        <stp/>
        <stp>OPEN_INT</stp>
        <stp>.OPEN251024P4</stp>
        <tr r="M36" s="2"/>
        <tr r="M36" s="2"/>
      </tp>
      <tp t="s">
        <v>N/A</v>
        <stp/>
        <stp>OPEN_INT</stp>
        <stp>.OPEN251014P4</stp>
        <tr r="E36" s="2"/>
      </tp>
      <tp>
        <v>8025</v>
        <stp/>
        <stp>OPEN_INT</stp>
        <stp>.OPEN251114P5</stp>
        <tr r="BI52" s="1"/>
        <tr r="BI52" s="1"/>
        <tr r="C38" s="1"/>
        <tr r="C38" s="1"/>
        <tr r="BJ52" s="5"/>
        <tr r="BJ52" s="5"/>
        <tr r="BJ50" s="5"/>
        <tr r="BJ50" s="5"/>
        <tr r="BJ48" s="5"/>
        <tr r="BJ48" s="5"/>
        <tr r="BJ46" s="5"/>
        <tr r="BJ46" s="5"/>
        <tr r="BJ12" s="5"/>
        <tr r="BJ12" s="5"/>
        <tr r="BJ42" s="5"/>
        <tr r="BJ42" s="5"/>
        <tr r="BJ16" s="5"/>
        <tr r="BJ16" s="5"/>
        <tr r="BJ18" s="5"/>
        <tr r="BJ18" s="5"/>
        <tr r="BJ20" s="5"/>
        <tr r="BJ20" s="5"/>
        <tr r="BJ22" s="5"/>
        <tr r="BJ22" s="5"/>
        <tr r="BJ24" s="5"/>
        <tr r="BJ24" s="5"/>
        <tr r="BJ26" s="5"/>
        <tr r="BJ26" s="5"/>
        <tr r="BJ28" s="5"/>
        <tr r="BJ28" s="5"/>
        <tr r="BI6" s="1"/>
        <tr r="BI6" s="1"/>
        <tr r="BI8" s="1"/>
        <tr r="BI8" s="1"/>
        <tr r="BI46" s="1"/>
        <tr r="BI46" s="1"/>
        <tr r="BI44" s="1"/>
        <tr r="BI44" s="1"/>
        <tr r="BI42" s="1"/>
        <tr r="BI42" s="1"/>
        <tr r="BI40" s="1"/>
        <tr r="BI40" s="1"/>
        <tr r="BI18" s="1"/>
        <tr r="BI18" s="1"/>
        <tr r="BI20" s="1"/>
        <tr r="BI20" s="1"/>
        <tr r="BI34" s="1"/>
        <tr r="BI34" s="1"/>
        <tr r="BI32" s="1"/>
        <tr r="BI32" s="1"/>
        <tr r="BI30" s="1"/>
        <tr r="BI30" s="1"/>
        <tr r="BI28" s="1"/>
        <tr r="BI28" s="1"/>
        <tr r="BJ5" s="5"/>
        <tr r="BJ5" s="5"/>
        <tr r="BJ6" s="5"/>
        <tr r="BJ6" s="5"/>
        <tr r="BJ8" s="5"/>
        <tr r="BJ8" s="5"/>
        <tr r="BJ10" s="5"/>
        <tr r="BJ10" s="5"/>
        <tr r="BJ44" s="5"/>
        <tr r="BJ44" s="5"/>
        <tr r="BJ14" s="5"/>
        <tr r="BJ14" s="5"/>
        <tr r="BJ40" s="5"/>
        <tr r="BJ40" s="5"/>
        <tr r="BJ38" s="5"/>
        <tr r="BJ38" s="5"/>
        <tr r="BJ36" s="5"/>
        <tr r="BJ36" s="5"/>
        <tr r="BJ34" s="5"/>
        <tr r="BJ34" s="5"/>
        <tr r="BJ32" s="5"/>
        <tr r="BJ32" s="5"/>
        <tr r="BJ30" s="5"/>
        <tr r="BJ30" s="5"/>
        <tr r="BI51" s="1"/>
        <tr r="BI51" s="1"/>
        <tr r="BI48" s="1"/>
        <tr r="BI48" s="1"/>
        <tr r="BI10" s="1"/>
        <tr r="BI10" s="1"/>
        <tr r="BI12" s="1"/>
        <tr r="BI12" s="1"/>
        <tr r="BI14" s="1"/>
        <tr r="BI14" s="1"/>
        <tr r="BI16" s="1"/>
        <tr r="BI16" s="1"/>
        <tr r="BI38" s="1"/>
        <tr r="BI38" s="1"/>
        <tr r="BI36" s="1"/>
        <tr r="BI36" s="1"/>
        <tr r="BI22" s="1"/>
        <tr r="BI22" s="1"/>
        <tr r="BI24" s="1"/>
        <tr r="BI24" s="1"/>
        <tr r="BI26" s="1"/>
        <tr r="BI26" s="1"/>
        <tr r="BJ9" s="5"/>
        <tr r="BJ9" s="5"/>
        <tr r="BJ45" s="5"/>
        <tr r="BJ45" s="5"/>
        <tr r="BJ13" s="5"/>
        <tr r="BJ13" s="5"/>
        <tr r="BJ41" s="5"/>
        <tr r="BJ41" s="5"/>
        <tr r="BJ39" s="5"/>
        <tr r="BJ39" s="5"/>
        <tr r="BJ19" s="5"/>
        <tr r="BJ19" s="5"/>
        <tr r="BJ21" s="5"/>
        <tr r="BJ21" s="5"/>
        <tr r="BJ33" s="5"/>
        <tr r="BJ33" s="5"/>
        <tr r="BJ25" s="5"/>
        <tr r="BJ25" s="5"/>
        <tr r="BJ27" s="5"/>
        <tr r="BJ27" s="5"/>
        <tr r="BI50" s="1"/>
        <tr r="BI50" s="1"/>
        <tr r="BI5" s="1"/>
        <tr r="BI5" s="1"/>
        <tr r="BI7" s="1"/>
        <tr r="BI7" s="1"/>
        <tr r="BI47" s="1"/>
        <tr r="BI47" s="1"/>
        <tr r="BI11" s="1"/>
        <tr r="BI11" s="1"/>
        <tr r="BI43" s="1"/>
        <tr r="BI43" s="1"/>
        <tr r="BI15" s="1"/>
        <tr r="BI15" s="1"/>
        <tr r="BI17" s="1"/>
        <tr r="BI17" s="1"/>
        <tr r="BI37" s="1"/>
        <tr r="BI37" s="1"/>
        <tr r="BI35" s="1"/>
        <tr r="BI35" s="1"/>
        <tr r="BI33" s="1"/>
        <tr r="BI33" s="1"/>
        <tr r="BI31" s="1"/>
        <tr r="BI31" s="1"/>
        <tr r="BI29" s="1"/>
        <tr r="BI29" s="1"/>
        <tr r="BJ49" s="5"/>
        <tr r="BJ49" s="5"/>
        <tr r="BJ51" s="5"/>
        <tr r="BJ51" s="5"/>
        <tr r="BJ7" s="5"/>
        <tr r="BJ7" s="5"/>
        <tr r="BJ47" s="5"/>
        <tr r="BJ47" s="5"/>
        <tr r="BJ11" s="5"/>
        <tr r="BJ11" s="5"/>
        <tr r="BJ43" s="5"/>
        <tr r="BJ43" s="5"/>
        <tr r="BJ15" s="5"/>
        <tr r="BJ15" s="5"/>
        <tr r="BJ17" s="5"/>
        <tr r="BJ17" s="5"/>
        <tr r="BJ37" s="5"/>
        <tr r="BJ37" s="5"/>
        <tr r="BJ35" s="5"/>
        <tr r="BJ35" s="5"/>
        <tr r="BJ23" s="5"/>
        <tr r="BJ23" s="5"/>
        <tr r="BJ31" s="5"/>
        <tr r="BJ31" s="5"/>
        <tr r="BJ29" s="5"/>
        <tr r="BJ29" s="5"/>
        <tr r="BI49" s="1"/>
        <tr r="BI49" s="1"/>
        <tr r="BI9" s="1"/>
        <tr r="BI9" s="1"/>
        <tr r="BI45" s="1"/>
        <tr r="BI45" s="1"/>
        <tr r="BI13" s="1"/>
        <tr r="BI13" s="1"/>
        <tr r="BI41" s="1"/>
        <tr r="BI41" s="1"/>
        <tr r="BI39" s="1"/>
        <tr r="BI39" s="1"/>
        <tr r="BI19" s="1"/>
        <tr r="BI19" s="1"/>
        <tr r="BI21" s="1"/>
        <tr r="BI21" s="1"/>
        <tr r="BI23" s="1"/>
        <tr r="BI23" s="1"/>
        <tr r="BI25" s="1"/>
        <tr r="BI25" s="1"/>
        <tr r="BI27" s="1"/>
        <tr r="BI27" s="1"/>
      </tp>
      <tp>
        <v>8216</v>
        <stp/>
        <stp>OPEN_INT</stp>
        <stp>.OPEN251024P5</stp>
        <tr r="M34" s="2"/>
        <tr r="M34" s="2"/>
      </tp>
      <tp t="s">
        <v>N/A</v>
        <stp/>
        <stp>OPEN_INT</stp>
        <stp>.OPEN251014P5</stp>
        <tr r="E34" s="2"/>
      </tp>
      <tp>
        <v>2340</v>
        <stp/>
        <stp>OPEN_INT</stp>
        <stp>.OPEN251114P4</stp>
        <tr r="BL52" s="5"/>
        <tr r="BL52" s="5"/>
        <tr r="BK52" s="1"/>
        <tr r="BK52" s="1"/>
        <tr r="C40" s="1"/>
        <tr r="C40" s="1"/>
        <tr r="BL5" s="5"/>
        <tr r="BL5" s="5"/>
        <tr r="BL6" s="5"/>
        <tr r="BL6" s="5"/>
        <tr r="BL10" s="5"/>
        <tr r="BL10" s="5"/>
        <tr r="BL12" s="5"/>
        <tr r="BL12" s="5"/>
        <tr r="BL42" s="5"/>
        <tr r="BL42" s="5"/>
        <tr r="BL16" s="5"/>
        <tr r="BL16" s="5"/>
        <tr r="BL18" s="5"/>
        <tr r="BL18" s="5"/>
        <tr r="BL36" s="5"/>
        <tr r="BL36" s="5"/>
        <tr r="BL22" s="5"/>
        <tr r="BL22" s="5"/>
        <tr r="BL32" s="5"/>
        <tr r="BL32" s="5"/>
        <tr r="BL26" s="5"/>
        <tr r="BL26" s="5"/>
        <tr r="BL28" s="5"/>
        <tr r="BL28" s="5"/>
        <tr r="BK5" s="1"/>
        <tr r="BK5" s="1"/>
        <tr r="BK8" s="1"/>
        <tr r="BK8" s="1"/>
        <tr r="BK10" s="1"/>
        <tr r="BK10" s="1"/>
        <tr r="BK44" s="1"/>
        <tr r="BK44" s="1"/>
        <tr r="BK14" s="1"/>
        <tr r="BK14" s="1"/>
        <tr r="BK40" s="1"/>
        <tr r="BK40" s="1"/>
        <tr r="BK18" s="1"/>
        <tr r="BK18" s="1"/>
        <tr r="BK20" s="1"/>
        <tr r="BK20" s="1"/>
        <tr r="BK22" s="1"/>
        <tr r="BK22" s="1"/>
        <tr r="BK32" s="1"/>
        <tr r="BK32" s="1"/>
        <tr r="BK30" s="1"/>
        <tr r="BK30" s="1"/>
        <tr r="BK28" s="1"/>
        <tr r="BK28" s="1"/>
        <tr r="BL51" s="5"/>
        <tr r="BL51" s="5"/>
        <tr r="BL48" s="5"/>
        <tr r="BL48" s="5"/>
        <tr r="BL50" s="5"/>
        <tr r="BL50" s="5"/>
        <tr r="BL8" s="5"/>
        <tr r="BL8" s="5"/>
        <tr r="BL46" s="5"/>
        <tr r="BL46" s="5"/>
        <tr r="BL44" s="5"/>
        <tr r="BL44" s="5"/>
        <tr r="BL14" s="5"/>
        <tr r="BL14" s="5"/>
        <tr r="BL40" s="5"/>
        <tr r="BL40" s="5"/>
        <tr r="BL38" s="5"/>
        <tr r="BL38" s="5"/>
        <tr r="BL20" s="5"/>
        <tr r="BL20" s="5"/>
        <tr r="BL34" s="5"/>
        <tr r="BL34" s="5"/>
        <tr r="BL24" s="5"/>
        <tr r="BL24" s="5"/>
        <tr r="BL30" s="5"/>
        <tr r="BL30" s="5"/>
        <tr r="BK6" s="1"/>
        <tr r="BK6" s="1"/>
        <tr r="BK48" s="1"/>
        <tr r="BK48" s="1"/>
        <tr r="BK46" s="1"/>
        <tr r="BK46" s="1"/>
        <tr r="BK12" s="1"/>
        <tr r="BK12" s="1"/>
        <tr r="BK42" s="1"/>
        <tr r="BK42" s="1"/>
        <tr r="BK16" s="1"/>
        <tr r="BK16" s="1"/>
        <tr r="BK38" s="1"/>
        <tr r="BK38" s="1"/>
        <tr r="BK36" s="1"/>
        <tr r="BK36" s="1"/>
        <tr r="BK34" s="1"/>
        <tr r="BK34" s="1"/>
        <tr r="BK24" s="1"/>
        <tr r="BK24" s="1"/>
        <tr r="BK26" s="1"/>
        <tr r="BK26" s="1"/>
        <tr r="BL49" s="5"/>
        <tr r="BL49" s="5"/>
        <tr r="BL9" s="5"/>
        <tr r="BL9" s="5"/>
        <tr r="BL45" s="5"/>
        <tr r="BL45" s="5"/>
        <tr r="BL13" s="5"/>
        <tr r="BL13" s="5"/>
        <tr r="BL15" s="5"/>
        <tr r="BL15" s="5"/>
        <tr r="BL39" s="5"/>
        <tr r="BL39" s="5"/>
        <tr r="BL37" s="5"/>
        <tr r="BL37" s="5"/>
        <tr r="BL21" s="5"/>
        <tr r="BL21" s="5"/>
        <tr r="BL33" s="5"/>
        <tr r="BL33" s="5"/>
        <tr r="BL31" s="5"/>
        <tr r="BL31" s="5"/>
        <tr r="BL27" s="5"/>
        <tr r="BL27" s="5"/>
        <tr r="BK50" s="1"/>
        <tr r="BK50" s="1"/>
        <tr r="BK51" s="1"/>
        <tr r="BK51" s="1"/>
        <tr r="BK49" s="1"/>
        <tr r="BK49" s="1"/>
        <tr r="BK47" s="1"/>
        <tr r="BK47" s="1"/>
        <tr r="BK45" s="1"/>
        <tr r="BK45" s="1"/>
        <tr r="BK43" s="1"/>
        <tr r="BK43" s="1"/>
        <tr r="BK15" s="1"/>
        <tr r="BK15" s="1"/>
        <tr r="BK17" s="1"/>
        <tr r="BK17" s="1"/>
        <tr r="BK37" s="1"/>
        <tr r="BK37" s="1"/>
        <tr r="BK35" s="1"/>
        <tr r="BK35" s="1"/>
        <tr r="BK33" s="1"/>
        <tr r="BK33" s="1"/>
        <tr r="BK31" s="1"/>
        <tr r="BK31" s="1"/>
        <tr r="BK29" s="1"/>
        <tr r="BK29" s="1"/>
        <tr r="BL7" s="5"/>
        <tr r="BL7" s="5"/>
        <tr r="BL47" s="5"/>
        <tr r="BL47" s="5"/>
        <tr r="BL11" s="5"/>
        <tr r="BL11" s="5"/>
        <tr r="BL43" s="5"/>
        <tr r="BL43" s="5"/>
        <tr r="BL41" s="5"/>
        <tr r="BL41" s="5"/>
        <tr r="BL17" s="5"/>
        <tr r="BL17" s="5"/>
        <tr r="BL19" s="5"/>
        <tr r="BL19" s="5"/>
        <tr r="BL35" s="5"/>
        <tr r="BL35" s="5"/>
        <tr r="BL23" s="5"/>
        <tr r="BL23" s="5"/>
        <tr r="BL25" s="5"/>
        <tr r="BL25" s="5"/>
        <tr r="BL29" s="5"/>
        <tr r="BL29" s="5"/>
        <tr r="BK7" s="1"/>
        <tr r="BK7" s="1"/>
        <tr r="BK9" s="1"/>
        <tr r="BK9" s="1"/>
        <tr r="BK11" s="1"/>
        <tr r="BK11" s="1"/>
        <tr r="BK13" s="1"/>
        <tr r="BK13" s="1"/>
        <tr r="BK41" s="1"/>
        <tr r="BK41" s="1"/>
        <tr r="BK39" s="1"/>
        <tr r="BK39" s="1"/>
        <tr r="BK19" s="1"/>
        <tr r="BK19" s="1"/>
        <tr r="BK21" s="1"/>
        <tr r="BK21" s="1"/>
        <tr r="BK23" s="1"/>
        <tr r="BK23" s="1"/>
        <tr r="BK25" s="1"/>
        <tr r="BK25" s="1"/>
        <tr r="BK27" s="1"/>
        <tr r="BK27" s="1"/>
      </tp>
      <tp>
        <v>1101</v>
        <stp/>
        <stp>OPEN_INT</stp>
        <stp>.OPEN251024P2</stp>
        <tr r="M40" s="2"/>
        <tr r="M40" s="2"/>
      </tp>
      <tp t="s">
        <v>N/A</v>
        <stp/>
        <stp>OPEN_INT</stp>
        <stp>.OPEN251014P2</stp>
        <tr r="E40" s="2"/>
      </tp>
      <tp>
        <v>435</v>
        <stp/>
        <stp>OPEN_INT</stp>
        <stp>.OPEN251114P3</stp>
        <tr r="C42" s="1"/>
        <tr r="C42" s="1"/>
        <tr r="BM52" s="1"/>
        <tr r="BM52" s="1"/>
        <tr r="BN52" s="5"/>
        <tr r="BN52" s="5"/>
        <tr r="BN49" s="5"/>
        <tr r="BN49" s="5"/>
        <tr r="BN48" s="5"/>
        <tr r="BN48" s="5"/>
        <tr r="BN46" s="5"/>
        <tr r="BN46" s="5"/>
        <tr r="BN44" s="5"/>
        <tr r="BN44" s="5"/>
        <tr r="BN42" s="5"/>
        <tr r="BN42" s="5"/>
        <tr r="BN16" s="5"/>
        <tr r="BN16" s="5"/>
        <tr r="BN38" s="5"/>
        <tr r="BN38" s="5"/>
        <tr r="BN36" s="5"/>
        <tr r="BN36" s="5"/>
        <tr r="BN22" s="5"/>
        <tr r="BN22" s="5"/>
        <tr r="BN32" s="5"/>
        <tr r="BN32" s="5"/>
        <tr r="BN26" s="5"/>
        <tr r="BN26" s="5"/>
        <tr r="BN28" s="5"/>
        <tr r="BN28" s="5"/>
        <tr r="BM50" s="1"/>
        <tr r="BM50" s="1"/>
        <tr r="BM8" s="1"/>
        <tr r="BM8" s="1"/>
        <tr r="BM46" s="1"/>
        <tr r="BM46" s="1"/>
        <tr r="BM12" s="1"/>
        <tr r="BM12" s="1"/>
        <tr r="BM14" s="1"/>
        <tr r="BM14" s="1"/>
        <tr r="BM40" s="1"/>
        <tr r="BM40" s="1"/>
        <tr r="BM18" s="1"/>
        <tr r="BM18" s="1"/>
        <tr r="BM36" s="1"/>
        <tr r="BM36" s="1"/>
        <tr r="BM22" s="1"/>
        <tr r="BM22" s="1"/>
        <tr r="BM24" s="1"/>
        <tr r="BM24" s="1"/>
        <tr r="BM30" s="1"/>
        <tr r="BM30" s="1"/>
        <tr r="BM28" s="1"/>
        <tr r="BM28" s="1"/>
        <tr r="BN50" s="5"/>
        <tr r="BN50" s="5"/>
        <tr r="BN6" s="5"/>
        <tr r="BN6" s="5"/>
        <tr r="BN8" s="5"/>
        <tr r="BN8" s="5"/>
        <tr r="BN10" s="5"/>
        <tr r="BN10" s="5"/>
        <tr r="BN12" s="5"/>
        <tr r="BN12" s="5"/>
        <tr r="BN14" s="5"/>
        <tr r="BN14" s="5"/>
        <tr r="BN40" s="5"/>
        <tr r="BN40" s="5"/>
        <tr r="BN18" s="5"/>
        <tr r="BN18" s="5"/>
        <tr r="BN20" s="5"/>
        <tr r="BN20" s="5"/>
        <tr r="BN34" s="5"/>
        <tr r="BN34" s="5"/>
        <tr r="BN24" s="5"/>
        <tr r="BN24" s="5"/>
        <tr r="BN30" s="5"/>
        <tr r="BN30" s="5"/>
        <tr r="BM5" s="1"/>
        <tr r="BM5" s="1"/>
        <tr r="BM6" s="1"/>
        <tr r="BM6" s="1"/>
        <tr r="BM48" s="1"/>
        <tr r="BM48" s="1"/>
        <tr r="BM10" s="1"/>
        <tr r="BM10" s="1"/>
        <tr r="BM44" s="1"/>
        <tr r="BM44" s="1"/>
        <tr r="BM42" s="1"/>
        <tr r="BM42" s="1"/>
        <tr r="BM16" s="1"/>
        <tr r="BM16" s="1"/>
        <tr r="BM38" s="1"/>
        <tr r="BM38" s="1"/>
        <tr r="BM20" s="1"/>
        <tr r="BM20" s="1"/>
        <tr r="BM34" s="1"/>
        <tr r="BM34" s="1"/>
        <tr r="BM32" s="1"/>
        <tr r="BM32" s="1"/>
        <tr r="BM26" s="1"/>
        <tr r="BM26" s="1"/>
        <tr r="BN47" s="5"/>
        <tr r="BN47" s="5"/>
        <tr r="BN45" s="5"/>
        <tr r="BN45" s="5"/>
        <tr r="BN13" s="5"/>
        <tr r="BN13" s="5"/>
        <tr r="BN15" s="5"/>
        <tr r="BN15" s="5"/>
        <tr r="BN39" s="5"/>
        <tr r="BN39" s="5"/>
        <tr r="BN19" s="5"/>
        <tr r="BN19" s="5"/>
        <tr r="BN35" s="5"/>
        <tr r="BN35" s="5"/>
        <tr r="BN23" s="5"/>
        <tr r="BN23" s="5"/>
        <tr r="BN31" s="5"/>
        <tr r="BN31" s="5"/>
        <tr r="BN27" s="5"/>
        <tr r="BN27" s="5"/>
        <tr r="BM51" s="1"/>
        <tr r="BM51" s="1"/>
        <tr r="BM49" s="1"/>
        <tr r="BM49" s="1"/>
        <tr r="BM9" s="1"/>
        <tr r="BM9" s="1"/>
        <tr r="BM11" s="1"/>
        <tr r="BM11" s="1"/>
        <tr r="BM43" s="1"/>
        <tr r="BM43" s="1"/>
        <tr r="BM41" s="1"/>
        <tr r="BM41" s="1"/>
        <tr r="BM17" s="1"/>
        <tr r="BM17" s="1"/>
        <tr r="BM37" s="1"/>
        <tr r="BM37" s="1"/>
        <tr r="BM21" s="1"/>
        <tr r="BM21" s="1"/>
        <tr r="BM33" s="1"/>
        <tr r="BM33" s="1"/>
        <tr r="BM31" s="1"/>
        <tr r="BM31" s="1"/>
        <tr r="BM27" s="1"/>
        <tr r="BM27" s="1"/>
        <tr r="BN5" s="5"/>
        <tr r="BN5" s="5"/>
        <tr r="BN51" s="5"/>
        <tr r="BN51" s="5"/>
        <tr r="BN7" s="5"/>
        <tr r="BN7" s="5"/>
        <tr r="BN9" s="5"/>
        <tr r="BN9" s="5"/>
        <tr r="BN11" s="5"/>
        <tr r="BN11" s="5"/>
        <tr r="BN43" s="5"/>
        <tr r="BN43" s="5"/>
        <tr r="BN41" s="5"/>
        <tr r="BN41" s="5"/>
        <tr r="BN17" s="5"/>
        <tr r="BN17" s="5"/>
        <tr r="BN37" s="5"/>
        <tr r="BN37" s="5"/>
        <tr r="BN21" s="5"/>
        <tr r="BN21" s="5"/>
        <tr r="BN33" s="5"/>
        <tr r="BN33" s="5"/>
        <tr r="BN25" s="5"/>
        <tr r="BN25" s="5"/>
        <tr r="BN29" s="5"/>
        <tr r="BN29" s="5"/>
        <tr r="BM7" s="1"/>
        <tr r="BM7" s="1"/>
        <tr r="BM47" s="1"/>
        <tr r="BM47" s="1"/>
        <tr r="BM45" s="1"/>
        <tr r="BM45" s="1"/>
        <tr r="BM13" s="1"/>
        <tr r="BM13" s="1"/>
        <tr r="BM15" s="1"/>
        <tr r="BM15" s="1"/>
        <tr r="BM39" s="1"/>
        <tr r="BM39" s="1"/>
        <tr r="BM19" s="1"/>
        <tr r="BM19" s="1"/>
        <tr r="BM35" s="1"/>
        <tr r="BM35" s="1"/>
        <tr r="BM23" s="1"/>
        <tr r="BM23" s="1"/>
        <tr r="BM25" s="1"/>
        <tr r="BM25" s="1"/>
        <tr r="BM29" s="1"/>
        <tr r="BM29" s="1"/>
      </tp>
      <tp>
        <v>849</v>
        <stp/>
        <stp>OPEN_INT</stp>
        <stp>.OPEN251024P3</stp>
        <tr r="M38" s="2"/>
        <tr r="M38" s="2"/>
      </tp>
      <tp t="s">
        <v>N/A</v>
        <stp/>
        <stp>OPEN_INT</stp>
        <stp>.OPEN251014P3</stp>
        <tr r="E38" s="2"/>
      </tp>
      <tp>
        <v>446</v>
        <stp/>
        <stp>OPEN_INT</stp>
        <stp>.OPEN251114P2</stp>
        <tr r="C44" s="1"/>
        <tr r="C44" s="1"/>
        <tr r="BO52" s="1"/>
        <tr r="BO52" s="1"/>
        <tr r="BP52" s="5"/>
        <tr r="BP52" s="5"/>
        <tr r="BP5" s="5"/>
        <tr r="BP5" s="5"/>
        <tr r="BP48" s="5"/>
        <tr r="BP48" s="5"/>
        <tr r="BP44" s="5"/>
        <tr r="BP44" s="5"/>
        <tr r="BP42" s="5"/>
        <tr r="BP42" s="5"/>
        <tr r="BP40" s="5"/>
        <tr r="BP40" s="5"/>
        <tr r="BP38" s="5"/>
        <tr r="BP38" s="5"/>
        <tr r="BP36" s="5"/>
        <tr r="BP36" s="5"/>
        <tr r="BP22" s="5"/>
        <tr r="BP22" s="5"/>
        <tr r="BP32" s="5"/>
        <tr r="BP32" s="5"/>
        <tr r="BP26" s="5"/>
        <tr r="BP26" s="5"/>
        <tr r="BP28" s="5"/>
        <tr r="BP28" s="5"/>
        <tr r="BO50" s="1"/>
        <tr r="BO50" s="1"/>
        <tr r="BO46" s="1"/>
        <tr r="BO46" s="1"/>
        <tr r="BO12" s="1"/>
        <tr r="BO12" s="1"/>
        <tr r="BO42" s="1"/>
        <tr r="BO42" s="1"/>
        <tr r="BO40" s="1"/>
        <tr r="BO40" s="1"/>
        <tr r="BO18" s="1"/>
        <tr r="BO18" s="1"/>
        <tr r="BO20" s="1"/>
        <tr r="BO20" s="1"/>
        <tr r="BO22" s="1"/>
        <tr r="BO22" s="1"/>
        <tr r="BO24" s="1"/>
        <tr r="BO24" s="1"/>
        <tr r="BO26" s="1"/>
        <tr r="BO26" s="1"/>
        <tr r="BO28" s="1"/>
        <tr r="BO28" s="1"/>
        <tr r="BP6" s="5"/>
        <tr r="BP6" s="5"/>
        <tr r="BP10" s="5"/>
        <tr r="BP10" s="5"/>
        <tr r="BP50" s="5"/>
        <tr r="BP50" s="5"/>
        <tr r="BP8" s="5"/>
        <tr r="BP8" s="5"/>
        <tr r="BP46" s="5"/>
        <tr r="BP46" s="5"/>
        <tr r="BP12" s="5"/>
        <tr r="BP12" s="5"/>
        <tr r="BP14" s="5"/>
        <tr r="BP14" s="5"/>
        <tr r="BP16" s="5"/>
        <tr r="BP16" s="5"/>
        <tr r="BP18" s="5"/>
        <tr r="BP18" s="5"/>
        <tr r="BP20" s="5"/>
        <tr r="BP20" s="5"/>
        <tr r="BP34" s="5"/>
        <tr r="BP34" s="5"/>
        <tr r="BP24" s="5"/>
        <tr r="BP24" s="5"/>
        <tr r="BP30" s="5"/>
        <tr r="BP30" s="5"/>
        <tr r="BO5" s="1"/>
        <tr r="BO5" s="1"/>
        <tr r="BO8" s="1"/>
        <tr r="BO8" s="1"/>
        <tr r="BO6" s="1"/>
        <tr r="BO6" s="1"/>
        <tr r="BO48" s="1"/>
        <tr r="BO48" s="1"/>
        <tr r="BO10" s="1"/>
        <tr r="BO10" s="1"/>
        <tr r="BO44" s="1"/>
        <tr r="BO44" s="1"/>
        <tr r="BO14" s="1"/>
        <tr r="BO14" s="1"/>
        <tr r="BO16" s="1"/>
        <tr r="BO16" s="1"/>
        <tr r="BO38" s="1"/>
        <tr r="BO38" s="1"/>
        <tr r="BO36" s="1"/>
        <tr r="BO36" s="1"/>
        <tr r="BO34" s="1"/>
        <tr r="BO34" s="1"/>
        <tr r="BO32" s="1"/>
        <tr r="BO32" s="1"/>
        <tr r="BO30" s="1"/>
        <tr r="BO30" s="1"/>
        <tr r="BP7" s="5"/>
        <tr r="BP7" s="5"/>
        <tr r="BP9" s="5"/>
        <tr r="BP9" s="5"/>
        <tr r="BP11" s="5"/>
        <tr r="BP11" s="5"/>
        <tr r="BP13" s="5"/>
        <tr r="BP13" s="5"/>
        <tr r="BP15" s="5"/>
        <tr r="BP15" s="5"/>
        <tr r="BP39" s="5"/>
        <tr r="BP39" s="5"/>
        <tr r="BP19" s="5"/>
        <tr r="BP19" s="5"/>
        <tr r="BP35" s="5"/>
        <tr r="BP35" s="5"/>
        <tr r="BP23" s="5"/>
        <tr r="BP23" s="5"/>
        <tr r="BP31" s="5"/>
        <tr r="BP31" s="5"/>
        <tr r="BP29" s="5"/>
        <tr r="BP29" s="5"/>
        <tr r="BO49" s="1"/>
        <tr r="BO49" s="1"/>
        <tr r="BO9" s="1"/>
        <tr r="BO9" s="1"/>
        <tr r="BO11" s="1"/>
        <tr r="BO11" s="1"/>
        <tr r="BO43" s="1"/>
        <tr r="BO43" s="1"/>
        <tr r="BO15" s="1"/>
        <tr r="BO15" s="1"/>
        <tr r="BO17" s="1"/>
        <tr r="BO17" s="1"/>
        <tr r="BO37" s="1"/>
        <tr r="BO37" s="1"/>
        <tr r="BO21" s="1"/>
        <tr r="BO21" s="1"/>
        <tr r="BO33" s="1"/>
        <tr r="BO33" s="1"/>
        <tr r="BO31" s="1"/>
        <tr r="BO31" s="1"/>
        <tr r="BO27" s="1"/>
        <tr r="BO27" s="1"/>
        <tr r="BP51" s="5"/>
        <tr r="BP51" s="5"/>
        <tr r="BP49" s="5"/>
        <tr r="BP49" s="5"/>
        <tr r="BP47" s="5"/>
        <tr r="BP47" s="5"/>
        <tr r="BP45" s="5"/>
        <tr r="BP45" s="5"/>
        <tr r="BP43" s="5"/>
        <tr r="BP43" s="5"/>
        <tr r="BP41" s="5"/>
        <tr r="BP41" s="5"/>
        <tr r="BP17" s="5"/>
        <tr r="BP17" s="5"/>
        <tr r="BP37" s="5"/>
        <tr r="BP37" s="5"/>
        <tr r="BP21" s="5"/>
        <tr r="BP21" s="5"/>
        <tr r="BP33" s="5"/>
        <tr r="BP33" s="5"/>
        <tr r="BP25" s="5"/>
        <tr r="BP25" s="5"/>
        <tr r="BP27" s="5"/>
        <tr r="BP27" s="5"/>
        <tr r="BO51" s="1"/>
        <tr r="BO51" s="1"/>
        <tr r="BO7" s="1"/>
        <tr r="BO7" s="1"/>
        <tr r="BO47" s="1"/>
        <tr r="BO47" s="1"/>
        <tr r="BO45" s="1"/>
        <tr r="BO45" s="1"/>
        <tr r="BO13" s="1"/>
        <tr r="BO13" s="1"/>
        <tr r="BO41" s="1"/>
        <tr r="BO41" s="1"/>
        <tr r="BO39" s="1"/>
        <tr r="BO39" s="1"/>
        <tr r="BO19" s="1"/>
        <tr r="BO19" s="1"/>
        <tr r="BO35" s="1"/>
        <tr r="BO35" s="1"/>
        <tr r="BO23" s="1"/>
        <tr r="BO23" s="1"/>
        <tr r="BO25" s="1"/>
        <tr r="BO25" s="1"/>
        <tr r="BO29" s="1"/>
        <tr r="BO29" s="1"/>
      </tp>
      <tp t="s">
        <v>N/A</v>
        <stp/>
        <stp>OPEN_INT</stp>
        <stp>.OPEN251024P0</stp>
        <tr r="M44" s="2"/>
      </tp>
      <tp t="s">
        <v>N/A</v>
        <stp/>
        <stp>OPEN_INT</stp>
        <stp>.OPEN251014P0</stp>
        <tr r="E44" s="2"/>
      </tp>
      <tp>
        <v>0</v>
        <stp/>
        <stp>OPEN_INT</stp>
        <stp>.OPEN251114P1</stp>
        <tr r="C46" s="1"/>
        <tr r="C46" s="1"/>
        <tr r="BQ52" s="1"/>
        <tr r="BQ52" s="1"/>
        <tr r="BR52" s="5"/>
        <tr r="BR52" s="5"/>
        <tr r="BR5" s="5"/>
        <tr r="BR5" s="5"/>
        <tr r="BR6" s="5"/>
        <tr r="BR6" s="5"/>
        <tr r="BR48" s="5"/>
        <tr r="BR48" s="5"/>
        <tr r="BR46" s="5"/>
        <tr r="BR46" s="5"/>
        <tr r="BR44" s="5"/>
        <tr r="BR44" s="5"/>
        <tr r="BR14" s="5"/>
        <tr r="BR14" s="5"/>
        <tr r="BR40" s="5"/>
        <tr r="BR40" s="5"/>
        <tr r="BR18" s="5"/>
        <tr r="BR18" s="5"/>
        <tr r="BR20" s="5"/>
        <tr r="BR20" s="5"/>
        <tr r="BR34" s="5"/>
        <tr r="BR34" s="5"/>
        <tr r="BR32" s="5"/>
        <tr r="BR32" s="5"/>
        <tr r="BR30" s="5"/>
        <tr r="BR30" s="5"/>
        <tr r="BR28" s="5"/>
        <tr r="BR28" s="5"/>
        <tr r="BQ6" s="1"/>
        <tr r="BQ6" s="1"/>
        <tr r="BQ8" s="1"/>
        <tr r="BQ8" s="1"/>
        <tr r="BQ46" s="1"/>
        <tr r="BQ46" s="1"/>
        <tr r="BQ44" s="1"/>
        <tr r="BQ44" s="1"/>
        <tr r="BQ42" s="1"/>
        <tr r="BQ42" s="1"/>
        <tr r="BQ40" s="1"/>
        <tr r="BQ40" s="1"/>
        <tr r="BQ18" s="1"/>
        <tr r="BQ18" s="1"/>
        <tr r="BQ36" s="1"/>
        <tr r="BQ36" s="1"/>
        <tr r="BQ22" s="1"/>
        <tr r="BQ22" s="1"/>
        <tr r="BQ32" s="1"/>
        <tr r="BQ32" s="1"/>
        <tr r="BQ26" s="1"/>
        <tr r="BQ26" s="1"/>
        <tr r="BQ28" s="1"/>
        <tr r="BQ28" s="1"/>
        <tr r="BR50" s="5"/>
        <tr r="BR50" s="5"/>
        <tr r="BR8" s="5"/>
        <tr r="BR8" s="5"/>
        <tr r="BR10" s="5"/>
        <tr r="BR10" s="5"/>
        <tr r="BR12" s="5"/>
        <tr r="BR12" s="5"/>
        <tr r="BR42" s="5"/>
        <tr r="BR42" s="5"/>
        <tr r="BR16" s="5"/>
        <tr r="BR16" s="5"/>
        <tr r="BR38" s="5"/>
        <tr r="BR38" s="5"/>
        <tr r="BR36" s="5"/>
        <tr r="BR36" s="5"/>
        <tr r="BR22" s="5"/>
        <tr r="BR22" s="5"/>
        <tr r="BR24" s="5"/>
        <tr r="BR24" s="5"/>
        <tr r="BR26" s="5"/>
        <tr r="BR26" s="5"/>
        <tr r="BQ5" s="1"/>
        <tr r="BQ5" s="1"/>
        <tr r="BQ50" s="1"/>
        <tr r="BQ50" s="1"/>
        <tr r="BQ48" s="1"/>
        <tr r="BQ48" s="1"/>
        <tr r="BQ10" s="1"/>
        <tr r="BQ10" s="1"/>
        <tr r="BQ12" s="1"/>
        <tr r="BQ12" s="1"/>
        <tr r="BQ14" s="1"/>
        <tr r="BQ14" s="1"/>
        <tr r="BQ16" s="1"/>
        <tr r="BQ16" s="1"/>
        <tr r="BQ38" s="1"/>
        <tr r="BQ38" s="1"/>
        <tr r="BQ20" s="1"/>
        <tr r="BQ20" s="1"/>
        <tr r="BQ34" s="1"/>
        <tr r="BQ34" s="1"/>
        <tr r="BQ24" s="1"/>
        <tr r="BQ24" s="1"/>
        <tr r="BQ30" s="1"/>
        <tr r="BQ30" s="1"/>
        <tr r="BR51" s="5"/>
        <tr r="BR51" s="5"/>
        <tr r="BR7" s="5"/>
        <tr r="BR7" s="5"/>
        <tr r="BR47" s="5"/>
        <tr r="BR47" s="5"/>
        <tr r="BR11" s="5"/>
        <tr r="BR11" s="5"/>
        <tr r="BR13" s="5"/>
        <tr r="BR13" s="5"/>
        <tr r="BR15" s="5"/>
        <tr r="BR15" s="5"/>
        <tr r="BR39" s="5"/>
        <tr r="BR39" s="5"/>
        <tr r="BR19" s="5"/>
        <tr r="BR19" s="5"/>
        <tr r="BR35" s="5"/>
        <tr r="BR35" s="5"/>
        <tr r="BR23" s="5"/>
        <tr r="BR23" s="5"/>
        <tr r="BR25" s="5"/>
        <tr r="BR25" s="5"/>
        <tr r="BR29" s="5"/>
        <tr r="BR29" s="5"/>
        <tr r="BQ51" s="1"/>
        <tr r="BQ51" s="1"/>
        <tr r="BQ49" s="1"/>
        <tr r="BQ49" s="1"/>
        <tr r="BQ9" s="1"/>
        <tr r="BQ9" s="1"/>
        <tr r="BQ11" s="1"/>
        <tr r="BQ11" s="1"/>
        <tr r="BQ43" s="1"/>
        <tr r="BQ43" s="1"/>
        <tr r="BQ41" s="1"/>
        <tr r="BQ41" s="1"/>
        <tr r="BQ17" s="1"/>
        <tr r="BQ17" s="1"/>
        <tr r="BQ37" s="1"/>
        <tr r="BQ37" s="1"/>
        <tr r="BQ21" s="1"/>
        <tr r="BQ21" s="1"/>
        <tr r="BQ23" s="1"/>
        <tr r="BQ23" s="1"/>
        <tr r="BQ25" s="1"/>
        <tr r="BQ25" s="1"/>
        <tr r="BQ27" s="1"/>
        <tr r="BQ27" s="1"/>
        <tr r="BR49" s="5"/>
        <tr r="BR49" s="5"/>
        <tr r="BR9" s="5"/>
        <tr r="BR9" s="5"/>
        <tr r="BR45" s="5"/>
        <tr r="BR45" s="5"/>
        <tr r="BR43" s="5"/>
        <tr r="BR43" s="5"/>
        <tr r="BR41" s="5"/>
        <tr r="BR41" s="5"/>
        <tr r="BR17" s="5"/>
        <tr r="BR17" s="5"/>
        <tr r="BR37" s="5"/>
        <tr r="BR37" s="5"/>
        <tr r="BR21" s="5"/>
        <tr r="BR21" s="5"/>
        <tr r="BR33" s="5"/>
        <tr r="BR33" s="5"/>
        <tr r="BR31" s="5"/>
        <tr r="BR31" s="5"/>
        <tr r="BR27" s="5"/>
        <tr r="BR27" s="5"/>
        <tr r="BQ7" s="1"/>
        <tr r="BQ7" s="1"/>
        <tr r="BQ47" s="1"/>
        <tr r="BQ47" s="1"/>
        <tr r="BQ45" s="1"/>
        <tr r="BQ45" s="1"/>
        <tr r="BQ13" s="1"/>
        <tr r="BQ13" s="1"/>
        <tr r="BQ15" s="1"/>
        <tr r="BQ15" s="1"/>
        <tr r="BQ39" s="1"/>
        <tr r="BQ39" s="1"/>
        <tr r="BQ19" s="1"/>
        <tr r="BQ19" s="1"/>
        <tr r="BQ35" s="1"/>
        <tr r="BQ35" s="1"/>
        <tr r="BQ33" s="1"/>
        <tr r="BQ33" s="1"/>
        <tr r="BQ31" s="1"/>
        <tr r="BQ31" s="1"/>
        <tr r="BQ29" s="1"/>
        <tr r="BQ29" s="1"/>
      </tp>
      <tp>
        <v>183</v>
        <stp/>
        <stp>OPEN_INT</stp>
        <stp>.OPEN251024P1</stp>
        <tr r="M42" s="2"/>
        <tr r="M42" s="2"/>
      </tp>
      <tp t="s">
        <v>N/A</v>
        <stp/>
        <stp>OPEN_INT</stp>
        <stp>.OPEN251014P1</stp>
        <tr r="E42" s="2"/>
      </tp>
      <tp t="s">
        <v>N/A</v>
        <stp/>
        <stp>OPEN_INT</stp>
        <stp>.OPEN251114P0</stp>
        <tr r="BT52" s="5"/>
        <tr r="BS52" s="1"/>
        <tr r="C48" s="1"/>
        <tr r="BT5" s="5"/>
        <tr r="BT6" s="5"/>
        <tr r="BT8" s="5"/>
        <tr r="BT46" s="5"/>
        <tr r="BT12" s="5"/>
        <tr r="BT42" s="5"/>
        <tr r="BT40" s="5"/>
        <tr r="BT18" s="5"/>
        <tr r="BT20" s="5"/>
        <tr r="BT22" s="5"/>
        <tr r="BT32" s="5"/>
        <tr r="BT30" s="5"/>
        <tr r="BT28" s="5"/>
        <tr r="BS5" s="1"/>
        <tr r="BS50" s="1"/>
        <tr r="BS8" s="1"/>
        <tr r="BS10" s="1"/>
        <tr r="BS44" s="1"/>
        <tr r="BS42" s="1"/>
        <tr r="BS16" s="1"/>
        <tr r="BS18" s="1"/>
        <tr r="BS20" s="1"/>
        <tr r="BS22" s="1"/>
        <tr r="BS32" s="1"/>
        <tr r="BS26" s="1"/>
        <tr r="BS28" s="1"/>
        <tr r="BT9" s="5"/>
        <tr r="BT50" s="5"/>
        <tr r="BT48" s="5"/>
        <tr r="BT10" s="5"/>
        <tr r="BT44" s="5"/>
        <tr r="BT14" s="5"/>
        <tr r="BT16" s="5"/>
        <tr r="BT38" s="5"/>
        <tr r="BT36" s="5"/>
        <tr r="BT34" s="5"/>
        <tr r="BT24" s="5"/>
        <tr r="BT26" s="5"/>
        <tr r="BS48" s="1"/>
        <tr r="BS46" s="1"/>
        <tr r="BS12" s="1"/>
        <tr r="BS14" s="1"/>
        <tr r="BS40" s="1"/>
        <tr r="BS38" s="1"/>
        <tr r="BS36" s="1"/>
        <tr r="BS34" s="1"/>
        <tr r="BS24" s="1"/>
        <tr r="BS30" s="1"/>
        <tr r="BT7" s="5"/>
        <tr r="BT11" s="5"/>
        <tr r="BT13" s="5"/>
        <tr r="BT41" s="5"/>
        <tr r="BT39" s="5"/>
        <tr r="BT37" s="5"/>
        <tr r="BT35" s="5"/>
        <tr r="BT23" s="5"/>
        <tr r="BT25" s="5"/>
        <tr r="BT27" s="5"/>
        <tr r="BS6" s="1"/>
        <tr r="BS51" s="1"/>
        <tr r="BS7" s="1"/>
        <tr r="BS47" s="1"/>
        <tr r="BS11" s="1"/>
        <tr r="BS13" s="1"/>
        <tr r="BS15" s="1"/>
        <tr r="BS39" s="1"/>
        <tr r="BS37" s="1"/>
        <tr r="BS21" s="1"/>
        <tr r="BS23" s="1"/>
        <tr r="BS25" s="1"/>
        <tr r="BS27" s="1"/>
        <tr r="BT51" s="5"/>
        <tr r="BT49" s="5"/>
        <tr r="BT47" s="5"/>
        <tr r="BT45" s="5"/>
        <tr r="BT43" s="5"/>
        <tr r="BT15" s="5"/>
        <tr r="BT17" s="5"/>
        <tr r="BT19" s="5"/>
        <tr r="BT21" s="5"/>
        <tr r="BT33" s="5"/>
        <tr r="BT31" s="5"/>
        <tr r="BT29" s="5"/>
        <tr r="BS49" s="1"/>
        <tr r="BS9" s="1"/>
        <tr r="BS45" s="1"/>
        <tr r="BS43" s="1"/>
        <tr r="BS41" s="1"/>
        <tr r="BS17" s="1"/>
        <tr r="BS19" s="1"/>
        <tr r="BS35" s="1"/>
        <tr r="BS33" s="1"/>
        <tr r="BS31" s="1"/>
        <tr r="BS29" s="1"/>
      </tp>
      <tp t="s">
        <v>N/A</v>
        <stp/>
        <stp>OPEN_INT</stp>
        <stp>.OPEN260717P9</stp>
        <tr r="R30" s="1"/>
      </tp>
      <tp t="s">
        <v>N/A</v>
        <stp/>
        <stp>OPEN_INT</stp>
        <stp>.OPEN260717P8</stp>
        <tr r="R32" s="1"/>
      </tp>
      <tp t="s">
        <v>N/A</v>
        <stp/>
        <stp>OPEN_INT</stp>
        <stp>.OPEN260417P8</stp>
        <tr r="O32" s="1"/>
      </tp>
      <tp t="s">
        <v>N/A</v>
        <stp/>
        <stp>OPEN_INT</stp>
        <stp>.OPEN260417P9</stp>
        <tr r="O30" s="1"/>
      </tp>
      <tp t="s">
        <v>N/A</v>
        <stp/>
        <stp>OPEN_INT</stp>
        <stp>.OPEN260417P2</stp>
        <tr r="O44" s="1"/>
      </tp>
      <tp t="s">
        <v>N/A</v>
        <stp/>
        <stp>OPEN_INT</stp>
        <stp>.OPEN260717P1</stp>
        <tr r="R46" s="1"/>
      </tp>
      <tp t="s">
        <v>N/A</v>
        <stp/>
        <stp>OPEN_INT</stp>
        <stp>.OPEN260417P3</stp>
        <tr r="O42" s="1"/>
      </tp>
      <tp t="s">
        <v>N/A</v>
        <stp/>
        <stp>OPEN_INT</stp>
        <stp>.OPEN260717P0</stp>
        <tr r="R48" s="1"/>
      </tp>
      <tp t="s">
        <v>N/A</v>
        <stp/>
        <stp>OPEN_INT</stp>
        <stp>.OPEN260417P0</stp>
        <tr r="O48" s="1"/>
      </tp>
      <tp t="s">
        <v>N/A</v>
        <stp/>
        <stp>OPEN_INT</stp>
        <stp>.OPEN260717P3</stp>
        <tr r="R42" s="1"/>
      </tp>
      <tp t="s">
        <v>N/A</v>
        <stp/>
        <stp>OPEN_INT</stp>
        <stp>.OPEN260417P1</stp>
        <tr r="O46" s="1"/>
      </tp>
      <tp t="s">
        <v>N/A</v>
        <stp/>
        <stp>OPEN_INT</stp>
        <stp>.OPEN260717P2</stp>
        <tr r="R44" s="1"/>
      </tp>
      <tp t="s">
        <v>N/A</v>
        <stp/>
        <stp>OPEN_INT</stp>
        <stp>.OPEN260417P6</stp>
        <tr r="O36" s="1"/>
      </tp>
      <tp t="s">
        <v>N/A</v>
        <stp/>
        <stp>OPEN_INT</stp>
        <stp>.OPEN260717P5</stp>
        <tr r="R38" s="1"/>
      </tp>
      <tp t="s">
        <v>N/A</v>
        <stp/>
        <stp>OPEN_INT</stp>
        <stp>.OPEN260417P7</stp>
        <tr r="O34" s="1"/>
      </tp>
      <tp t="s">
        <v>N/A</v>
        <stp/>
        <stp>OPEN_INT</stp>
        <stp>.OPEN260717P4</stp>
        <tr r="R40" s="1"/>
      </tp>
      <tp t="s">
        <v>N/A</v>
        <stp/>
        <stp>OPEN_INT</stp>
        <stp>.OPEN260417P4</stp>
        <tr r="O40" s="1"/>
      </tp>
      <tp t="s">
        <v>N/A</v>
        <stp/>
        <stp>OPEN_INT</stp>
        <stp>.OPEN260717P7</stp>
        <tr r="R34" s="1"/>
      </tp>
      <tp t="s">
        <v>N/A</v>
        <stp/>
        <stp>OPEN_INT</stp>
        <stp>.OPEN260417P5</stp>
        <tr r="O38" s="1"/>
      </tp>
      <tp t="s">
        <v>N/A</v>
        <stp/>
        <stp>OPEN_INT</stp>
        <stp>.OPEN260717P6</stp>
        <tr r="R36" s="1"/>
      </tp>
      <tp t="s">
        <v>N/A</v>
        <stp/>
        <stp>OPEN_INT</stp>
        <stp>.OPEN260717C9</stp>
        <tr r="R30" s="1"/>
      </tp>
      <tp t="s">
        <v>N/A</v>
        <stp/>
        <stp>OPEN_INT</stp>
        <stp>.OPEN260717C8</stp>
        <tr r="R32" s="1"/>
      </tp>
      <tp t="s">
        <v>N/A</v>
        <stp/>
        <stp>OPEN_INT</stp>
        <stp>.OPEN260417C8</stp>
        <tr r="O32" s="1"/>
      </tp>
      <tp t="s">
        <v>N/A</v>
        <stp/>
        <stp>OPEN_INT</stp>
        <stp>.OPEN260417C9</stp>
        <tr r="O30" s="1"/>
      </tp>
      <tp t="s">
        <v>N/A</v>
        <stp/>
        <stp>OPEN_INT</stp>
        <stp>.OPEN260417C2</stp>
        <tr r="O44" s="1"/>
      </tp>
      <tp t="s">
        <v>N/A</v>
        <stp/>
        <stp>OPEN_INT</stp>
        <stp>.OPEN260717C1</stp>
        <tr r="R46" s="1"/>
      </tp>
      <tp t="s">
        <v>N/A</v>
        <stp/>
        <stp>OPEN_INT</stp>
        <stp>.OPEN260417C3</stp>
        <tr r="O42" s="1"/>
      </tp>
      <tp t="s">
        <v>N/A</v>
        <stp/>
        <stp>OPEN_INT</stp>
        <stp>.OPEN260717C0</stp>
        <tr r="R48" s="1"/>
      </tp>
      <tp t="s">
        <v>N/A</v>
        <stp/>
        <stp>OPEN_INT</stp>
        <stp>.OPEN260417C0</stp>
        <tr r="O48" s="1"/>
      </tp>
      <tp t="s">
        <v>N/A</v>
        <stp/>
        <stp>OPEN_INT</stp>
        <stp>.OPEN260717C3</stp>
        <tr r="R42" s="1"/>
      </tp>
      <tp t="s">
        <v>N/A</v>
        <stp/>
        <stp>OPEN_INT</stp>
        <stp>.OPEN260417C1</stp>
        <tr r="O46" s="1"/>
      </tp>
      <tp t="s">
        <v>N/A</v>
        <stp/>
        <stp>OPEN_INT</stp>
        <stp>.OPEN260717C2</stp>
        <tr r="R44" s="1"/>
      </tp>
      <tp t="s">
        <v>N/A</v>
        <stp/>
        <stp>OPEN_INT</stp>
        <stp>.OPEN260417C6</stp>
        <tr r="O36" s="1"/>
      </tp>
      <tp t="s">
        <v>N/A</v>
        <stp/>
        <stp>OPEN_INT</stp>
        <stp>.OPEN260717C5</stp>
        <tr r="R38" s="1"/>
      </tp>
      <tp t="s">
        <v>N/A</v>
        <stp/>
        <stp>OPEN_INT</stp>
        <stp>.OPEN260417C7</stp>
        <tr r="O34" s="1"/>
      </tp>
      <tp t="s">
        <v>N/A</v>
        <stp/>
        <stp>OPEN_INT</stp>
        <stp>.OPEN260717C4</stp>
        <tr r="R40" s="1"/>
      </tp>
      <tp t="s">
        <v>N/A</v>
        <stp/>
        <stp>OPEN_INT</stp>
        <stp>.OPEN260417C4</stp>
        <tr r="O40" s="1"/>
      </tp>
      <tp t="s">
        <v>N/A</v>
        <stp/>
        <stp>OPEN_INT</stp>
        <stp>.OPEN260717C7</stp>
        <tr r="R34" s="1"/>
      </tp>
      <tp t="s">
        <v>N/A</v>
        <stp/>
        <stp>OPEN_INT</stp>
        <stp>.OPEN260417C5</stp>
        <tr r="O38" s="1"/>
      </tp>
      <tp t="s">
        <v>N/A</v>
        <stp/>
        <stp>OPEN_INT</stp>
        <stp>.OPEN260717C6</stp>
        <tr r="R36" s="1"/>
      </tp>
      <tp>
        <v>45300</v>
        <stp/>
        <stp>OPEN_INT</stp>
        <stp>.OPEN251024C8</stp>
        <tr r="M28" s="2"/>
        <tr r="M28" s="2"/>
      </tp>
      <tp t="s">
        <v>N/A</v>
        <stp/>
        <stp>OPEN_INT</stp>
        <stp>.OPEN251014C8</stp>
        <tr r="E28" s="2"/>
      </tp>
      <tp>
        <v>30807</v>
        <stp/>
        <stp>OPEN_INT</stp>
        <stp>.OPEN251114C9</stp>
        <tr r="BA52" s="1"/>
        <tr r="BA52" s="1"/>
        <tr r="BB52" s="5"/>
        <tr r="BB52" s="5"/>
        <tr r="C30" s="1"/>
        <tr r="C30" s="1"/>
        <tr r="BB49" s="5"/>
        <tr r="BB49" s="5"/>
        <tr r="BB48" s="5"/>
        <tr r="BB48" s="5"/>
        <tr r="BB46" s="5"/>
        <tr r="BB46" s="5"/>
        <tr r="BB44" s="5"/>
        <tr r="BB44" s="5"/>
        <tr r="BB14" s="5"/>
        <tr r="BB14" s="5"/>
        <tr r="BB40" s="5"/>
        <tr r="BB40" s="5"/>
        <tr r="BB18" s="5"/>
        <tr r="BB18" s="5"/>
        <tr r="BB20" s="5"/>
        <tr r="BB20" s="5"/>
        <tr r="BB34" s="5"/>
        <tr r="BB34" s="5"/>
        <tr r="BB32" s="5"/>
        <tr r="BB32" s="5"/>
        <tr r="BB30" s="5"/>
        <tr r="BB30" s="5"/>
        <tr r="BB28" s="5"/>
        <tr r="BB28" s="5"/>
        <tr r="BA8" s="1"/>
        <tr r="BA8" s="1"/>
        <tr r="BA42" s="1"/>
        <tr r="BA42" s="1"/>
        <tr r="BA40" s="1"/>
        <tr r="BA40" s="1"/>
        <tr r="BA18" s="1"/>
        <tr r="BA18" s="1"/>
        <tr r="BA20" s="1"/>
        <tr r="BA20" s="1"/>
        <tr r="BA22" s="1"/>
        <tr r="BA22" s="1"/>
        <tr r="BA24" s="1"/>
        <tr r="BA24" s="1"/>
        <tr r="BA26" s="1"/>
        <tr r="BA26" s="1"/>
        <tr r="BA28" s="1"/>
        <tr r="BA28" s="1"/>
        <tr r="BB6" s="5"/>
        <tr r="BB6" s="5"/>
        <tr r="BB50" s="5"/>
        <tr r="BB50" s="5"/>
        <tr r="BB8" s="5"/>
        <tr r="BB8" s="5"/>
        <tr r="BB10" s="5"/>
        <tr r="BB10" s="5"/>
        <tr r="BB12" s="5"/>
        <tr r="BB12" s="5"/>
        <tr r="BB42" s="5"/>
        <tr r="BB42" s="5"/>
        <tr r="BB16" s="5"/>
        <tr r="BB16" s="5"/>
        <tr r="BB38" s="5"/>
        <tr r="BB38" s="5"/>
        <tr r="BB36" s="5"/>
        <tr r="BB36" s="5"/>
        <tr r="BB22" s="5"/>
        <tr r="BB22" s="5"/>
        <tr r="BB24" s="5"/>
        <tr r="BB24" s="5"/>
        <tr r="BB26" s="5"/>
        <tr r="BB26" s="5"/>
        <tr r="BA6" s="1"/>
        <tr r="BA6" s="1"/>
        <tr r="BA44" s="1"/>
        <tr r="BA44" s="1"/>
        <tr r="BA50" s="1"/>
        <tr r="BA50" s="1"/>
        <tr r="BA48" s="1"/>
        <tr r="BA48" s="1"/>
        <tr r="BA46" s="1"/>
        <tr r="BA46" s="1"/>
        <tr r="BA12" s="1"/>
        <tr r="BA12" s="1"/>
        <tr r="BA14" s="1"/>
        <tr r="BA14" s="1"/>
        <tr r="BA16" s="1"/>
        <tr r="BA16" s="1"/>
        <tr r="BA38" s="1"/>
        <tr r="BA38" s="1"/>
        <tr r="BA36" s="1"/>
        <tr r="BA36" s="1"/>
        <tr r="BA34" s="1"/>
        <tr r="BA34" s="1"/>
        <tr r="BA32" s="1"/>
        <tr r="BA32" s="1"/>
        <tr r="BA30" s="1"/>
        <tr r="BA30" s="1"/>
        <tr r="BB51" s="5"/>
        <tr r="BB51" s="5"/>
        <tr r="BB7" s="5"/>
        <tr r="BB7" s="5"/>
        <tr r="BB47" s="5"/>
        <tr r="BB47" s="5"/>
        <tr r="BB11" s="5"/>
        <tr r="BB11" s="5"/>
        <tr r="BB13" s="5"/>
        <tr r="BB13" s="5"/>
        <tr r="BB15" s="5"/>
        <tr r="BB15" s="5"/>
        <tr r="BB39" s="5"/>
        <tr r="BB39" s="5"/>
        <tr r="BB19" s="5"/>
        <tr r="BB19" s="5"/>
        <tr r="BB35" s="5"/>
        <tr r="BB35" s="5"/>
        <tr r="BB23" s="5"/>
        <tr r="BB23" s="5"/>
        <tr r="BB25" s="5"/>
        <tr r="BB25" s="5"/>
        <tr r="BB29" s="5"/>
        <tr r="BB29" s="5"/>
        <tr r="BA5" s="1"/>
        <tr r="BA5" s="1"/>
        <tr r="BA10" s="1"/>
        <tr r="BA10" s="1"/>
        <tr r="BA51" s="1"/>
        <tr r="BA51" s="1"/>
        <tr r="BA49" s="1"/>
        <tr r="BA49" s="1"/>
        <tr r="BA9" s="1"/>
        <tr r="BA9" s="1"/>
        <tr r="BA11" s="1"/>
        <tr r="BA11" s="1"/>
        <tr r="BA43" s="1"/>
        <tr r="BA43" s="1"/>
        <tr r="BA41" s="1"/>
        <tr r="BA41" s="1"/>
        <tr r="BA17" s="1"/>
        <tr r="BA17" s="1"/>
        <tr r="BA37" s="1"/>
        <tr r="BA37" s="1"/>
        <tr r="BA21" s="1"/>
        <tr r="BA21" s="1"/>
        <tr r="BA23" s="1"/>
        <tr r="BA23" s="1"/>
        <tr r="BA25" s="1"/>
        <tr r="BA25" s="1"/>
        <tr r="BA27" s="1"/>
        <tr r="BA27" s="1"/>
        <tr r="BB5" s="5"/>
        <tr r="BB5" s="5"/>
        <tr r="BB9" s="5"/>
        <tr r="BB9" s="5"/>
        <tr r="BB45" s="5"/>
        <tr r="BB45" s="5"/>
        <tr r="BB43" s="5"/>
        <tr r="BB43" s="5"/>
        <tr r="BB41" s="5"/>
        <tr r="BB41" s="5"/>
        <tr r="BB17" s="5"/>
        <tr r="BB17" s="5"/>
        <tr r="BB37" s="5"/>
        <tr r="BB37" s="5"/>
        <tr r="BB21" s="5"/>
        <tr r="BB21" s="5"/>
        <tr r="BB33" s="5"/>
        <tr r="BB33" s="5"/>
        <tr r="BB31" s="5"/>
        <tr r="BB31" s="5"/>
        <tr r="BB27" s="5"/>
        <tr r="BB27" s="5"/>
        <tr r="BA7" s="1"/>
        <tr r="BA7" s="1"/>
        <tr r="BA47" s="1"/>
        <tr r="BA47" s="1"/>
        <tr r="BA45" s="1"/>
        <tr r="BA45" s="1"/>
        <tr r="BA13" s="1"/>
        <tr r="BA13" s="1"/>
        <tr r="BA15" s="1"/>
        <tr r="BA15" s="1"/>
        <tr r="BA39" s="1"/>
        <tr r="BA39" s="1"/>
        <tr r="BA19" s="1"/>
        <tr r="BA19" s="1"/>
        <tr r="BA35" s="1"/>
        <tr r="BA35" s="1"/>
        <tr r="BA33" s="1"/>
        <tr r="BA33" s="1"/>
        <tr r="BA31" s="1"/>
        <tr r="BA31" s="1"/>
        <tr r="BA29" s="1"/>
        <tr r="BA29" s="1"/>
      </tp>
      <tp>
        <v>27717</v>
        <stp/>
        <stp>OPEN_INT</stp>
        <stp>.OPEN251024C9</stp>
        <tr r="M26" s="2"/>
        <tr r="M26" s="2"/>
      </tp>
      <tp t="s">
        <v>N/A</v>
        <stp/>
        <stp>OPEN_INT</stp>
        <stp>.OPEN251014C9</stp>
        <tr r="E26" s="2"/>
      </tp>
      <tp>
        <v>40713</v>
        <stp/>
        <stp>OPEN_INT</stp>
        <stp>.OPEN251114C8</stp>
        <tr r="C32" s="1"/>
        <tr r="C32" s="1"/>
        <tr r="BC52" s="1"/>
        <tr r="BC52" s="1"/>
        <tr r="BD52" s="5"/>
        <tr r="BD52" s="5"/>
        <tr r="BD5" s="5"/>
        <tr r="BD5" s="5"/>
        <tr r="BD6" s="5"/>
        <tr r="BD6" s="5"/>
        <tr r="BD8" s="5"/>
        <tr r="BD8" s="5"/>
        <tr r="BD46" s="5"/>
        <tr r="BD46" s="5"/>
        <tr r="BD12" s="5"/>
        <tr r="BD12" s="5"/>
        <tr r="BD42" s="5"/>
        <tr r="BD42" s="5"/>
        <tr r="BD40" s="5"/>
        <tr r="BD40" s="5"/>
        <tr r="BD18" s="5"/>
        <tr r="BD18" s="5"/>
        <tr r="BD20" s="5"/>
        <tr r="BD20" s="5"/>
        <tr r="BD22" s="5"/>
        <tr r="BD22" s="5"/>
        <tr r="BD32" s="5"/>
        <tr r="BD32" s="5"/>
        <tr r="BD30" s="5"/>
        <tr r="BD30" s="5"/>
        <tr r="BD28" s="5"/>
        <tr r="BD28" s="5"/>
        <tr r="BC5" s="1"/>
        <tr r="BC5" s="1"/>
        <tr r="BC50" s="1"/>
        <tr r="BC50" s="1"/>
        <tr r="BC8" s="1"/>
        <tr r="BC8" s="1"/>
        <tr r="BC10" s="1"/>
        <tr r="BC10" s="1"/>
        <tr r="BC44" s="1"/>
        <tr r="BC44" s="1"/>
        <tr r="BC42" s="1"/>
        <tr r="BC42" s="1"/>
        <tr r="BC16" s="1"/>
        <tr r="BC16" s="1"/>
        <tr r="BC18" s="1"/>
        <tr r="BC18" s="1"/>
        <tr r="BC20" s="1"/>
        <tr r="BC20" s="1"/>
        <tr r="BC22" s="1"/>
        <tr r="BC22" s="1"/>
        <tr r="BC24" s="1"/>
        <tr r="BC24" s="1"/>
        <tr r="BC26" s="1"/>
        <tr r="BC26" s="1"/>
        <tr r="BC28" s="1"/>
        <tr r="BC28" s="1"/>
        <tr r="BD50" s="5"/>
        <tr r="BD50" s="5"/>
        <tr r="BD48" s="5"/>
        <tr r="BD48" s="5"/>
        <tr r="BD10" s="5"/>
        <tr r="BD10" s="5"/>
        <tr r="BD44" s="5"/>
        <tr r="BD44" s="5"/>
        <tr r="BD14" s="5"/>
        <tr r="BD14" s="5"/>
        <tr r="BD16" s="5"/>
        <tr r="BD16" s="5"/>
        <tr r="BD38" s="5"/>
        <tr r="BD38" s="5"/>
        <tr r="BD36" s="5"/>
        <tr r="BD36" s="5"/>
        <tr r="BD34" s="5"/>
        <tr r="BD34" s="5"/>
        <tr r="BD24" s="5"/>
        <tr r="BD24" s="5"/>
        <tr r="BD26" s="5"/>
        <tr r="BD26" s="5"/>
        <tr r="BC7" s="1"/>
        <tr r="BC7" s="1"/>
        <tr r="BC6" s="1"/>
        <tr r="BC6" s="1"/>
        <tr r="BC48" s="1"/>
        <tr r="BC48" s="1"/>
        <tr r="BC46" s="1"/>
        <tr r="BC46" s="1"/>
        <tr r="BC12" s="1"/>
        <tr r="BC12" s="1"/>
        <tr r="BC14" s="1"/>
        <tr r="BC14" s="1"/>
        <tr r="BC40" s="1"/>
        <tr r="BC40" s="1"/>
        <tr r="BC38" s="1"/>
        <tr r="BC38" s="1"/>
        <tr r="BC36" s="1"/>
        <tr r="BC36" s="1"/>
        <tr r="BC34" s="1"/>
        <tr r="BC34" s="1"/>
        <tr r="BC32" s="1"/>
        <tr r="BC32" s="1"/>
        <tr r="BC30" s="1"/>
        <tr r="BC30" s="1"/>
        <tr r="BD7" s="5"/>
        <tr r="BD7" s="5"/>
        <tr r="BD9" s="5"/>
        <tr r="BD9" s="5"/>
        <tr r="BD11" s="5"/>
        <tr r="BD11" s="5"/>
        <tr r="BD13" s="5"/>
        <tr r="BD13" s="5"/>
        <tr r="BD41" s="5"/>
        <tr r="BD41" s="5"/>
        <tr r="BD39" s="5"/>
        <tr r="BD39" s="5"/>
        <tr r="BD37" s="5"/>
        <tr r="BD37" s="5"/>
        <tr r="BD35" s="5"/>
        <tr r="BD35" s="5"/>
        <tr r="BD23" s="5"/>
        <tr r="BD23" s="5"/>
        <tr r="BD25" s="5"/>
        <tr r="BD25" s="5"/>
        <tr r="BD27" s="5"/>
        <tr r="BD27" s="5"/>
        <tr r="BC49" s="1"/>
        <tr r="BC49" s="1"/>
        <tr r="BC47" s="1"/>
        <tr r="BC47" s="1"/>
        <tr r="BC45" s="1"/>
        <tr r="BC45" s="1"/>
        <tr r="BC13" s="1"/>
        <tr r="BC13" s="1"/>
        <tr r="BC15" s="1"/>
        <tr r="BC15" s="1"/>
        <tr r="BC39" s="1"/>
        <tr r="BC39" s="1"/>
        <tr r="BC37" s="1"/>
        <tr r="BC37" s="1"/>
        <tr r="BC21" s="1"/>
        <tr r="BC21" s="1"/>
        <tr r="BC23" s="1"/>
        <tr r="BC23" s="1"/>
        <tr r="BC25" s="1"/>
        <tr r="BC25" s="1"/>
        <tr r="BC27" s="1"/>
        <tr r="BC27" s="1"/>
        <tr r="BD51" s="5"/>
        <tr r="BD51" s="5"/>
        <tr r="BD49" s="5"/>
        <tr r="BD49" s="5"/>
        <tr r="BD47" s="5"/>
        <tr r="BD47" s="5"/>
        <tr r="BD45" s="5"/>
        <tr r="BD45" s="5"/>
        <tr r="BD43" s="5"/>
        <tr r="BD43" s="5"/>
        <tr r="BD15" s="5"/>
        <tr r="BD15" s="5"/>
        <tr r="BD17" s="5"/>
        <tr r="BD17" s="5"/>
        <tr r="BD19" s="5"/>
        <tr r="BD19" s="5"/>
        <tr r="BD21" s="5"/>
        <tr r="BD21" s="5"/>
        <tr r="BD33" s="5"/>
        <tr r="BD33" s="5"/>
        <tr r="BD31" s="5"/>
        <tr r="BD31" s="5"/>
        <tr r="BD29" s="5"/>
        <tr r="BD29" s="5"/>
        <tr r="BC51" s="1"/>
        <tr r="BC51" s="1"/>
        <tr r="BC9" s="1"/>
        <tr r="BC9" s="1"/>
        <tr r="BC11" s="1"/>
        <tr r="BC11" s="1"/>
        <tr r="BC43" s="1"/>
        <tr r="BC43" s="1"/>
        <tr r="BC41" s="1"/>
        <tr r="BC41" s="1"/>
        <tr r="BC17" s="1"/>
        <tr r="BC17" s="1"/>
        <tr r="BC19" s="1"/>
        <tr r="BC19" s="1"/>
        <tr r="BC35" s="1"/>
        <tr r="BC35" s="1"/>
        <tr r="BC33" s="1"/>
        <tr r="BC33" s="1"/>
        <tr r="BC31" s="1"/>
        <tr r="BC31" s="1"/>
        <tr r="BC29" s="1"/>
        <tr r="BC29" s="1"/>
      </tp>
      <tp>
        <v>2669</v>
        <stp/>
        <stp>OPEN_INT</stp>
        <stp>.OPEN251024C6</stp>
        <tr r="M32" s="2"/>
        <tr r="M32" s="2"/>
      </tp>
      <tp t="s">
        <v>N/A</v>
        <stp/>
        <stp>OPEN_INT</stp>
        <stp>.OPEN251014C6</stp>
        <tr r="E32" s="2"/>
      </tp>
      <tp>
        <v>17278</v>
        <stp/>
        <stp>OPEN_INT</stp>
        <stp>.OPEN251114C7</stp>
        <tr r="BF52" s="5"/>
        <tr r="BF52" s="5"/>
        <tr r="BE52" s="1"/>
        <tr r="BE52" s="1"/>
        <tr r="C34" s="1"/>
        <tr r="C34" s="1"/>
        <tr r="BF6" s="5"/>
        <tr r="BF6" s="5"/>
        <tr r="BF48" s="5"/>
        <tr r="BF48" s="5"/>
        <tr r="BF46" s="5"/>
        <tr r="BF46" s="5"/>
        <tr r="BF12" s="5"/>
        <tr r="BF12" s="5"/>
        <tr r="BF14" s="5"/>
        <tr r="BF14" s="5"/>
        <tr r="BF40" s="5"/>
        <tr r="BF40" s="5"/>
        <tr r="BF18" s="5"/>
        <tr r="BF18" s="5"/>
        <tr r="BF20" s="5"/>
        <tr r="BF20" s="5"/>
        <tr r="BF22" s="5"/>
        <tr r="BF22" s="5"/>
        <tr r="BF32" s="5"/>
        <tr r="BF32" s="5"/>
        <tr r="BF26" s="5"/>
        <tr r="BF26" s="5"/>
        <tr r="BF28" s="5"/>
        <tr r="BF28" s="5"/>
        <tr r="BE6" s="1"/>
        <tr r="BE6" s="1"/>
        <tr r="BE48" s="1"/>
        <tr r="BE48" s="1"/>
        <tr r="BE46" s="1"/>
        <tr r="BE46" s="1"/>
        <tr r="BE44" s="1"/>
        <tr r="BE44" s="1"/>
        <tr r="BE42" s="1"/>
        <tr r="BE42" s="1"/>
        <tr r="BE16" s="1"/>
        <tr r="BE16" s="1"/>
        <tr r="BE18" s="1"/>
        <tr r="BE18" s="1"/>
        <tr r="BE20" s="1"/>
        <tr r="BE20" s="1"/>
        <tr r="BE22" s="1"/>
        <tr r="BE22" s="1"/>
        <tr r="BE32" s="1"/>
        <tr r="BE32" s="1"/>
        <tr r="BE26" s="1"/>
        <tr r="BE26" s="1"/>
        <tr r="BE28" s="1"/>
        <tr r="BE28" s="1"/>
        <tr r="BF7" s="5"/>
        <tr r="BF7" s="5"/>
        <tr r="BF50" s="5"/>
        <tr r="BF50" s="5"/>
        <tr r="BF8" s="5"/>
        <tr r="BF8" s="5"/>
        <tr r="BF10" s="5"/>
        <tr r="BF10" s="5"/>
        <tr r="BF44" s="5"/>
        <tr r="BF44" s="5"/>
        <tr r="BF42" s="5"/>
        <tr r="BF42" s="5"/>
        <tr r="BF16" s="5"/>
        <tr r="BF16" s="5"/>
        <tr r="BF38" s="5"/>
        <tr r="BF38" s="5"/>
        <tr r="BF36" s="5"/>
        <tr r="BF36" s="5"/>
        <tr r="BF34" s="5"/>
        <tr r="BF34" s="5"/>
        <tr r="BF24" s="5"/>
        <tr r="BF24" s="5"/>
        <tr r="BF30" s="5"/>
        <tr r="BF30" s="5"/>
        <tr r="BE50" s="1"/>
        <tr r="BE50" s="1"/>
        <tr r="BE8" s="1"/>
        <tr r="BE8" s="1"/>
        <tr r="BE10" s="1"/>
        <tr r="BE10" s="1"/>
        <tr r="BE12" s="1"/>
        <tr r="BE12" s="1"/>
        <tr r="BE14" s="1"/>
        <tr r="BE14" s="1"/>
        <tr r="BE40" s="1"/>
        <tr r="BE40" s="1"/>
        <tr r="BE38" s="1"/>
        <tr r="BE38" s="1"/>
        <tr r="BE36" s="1"/>
        <tr r="BE36" s="1"/>
        <tr r="BE34" s="1"/>
        <tr r="BE34" s="1"/>
        <tr r="BE24" s="1"/>
        <tr r="BE24" s="1"/>
        <tr r="BE30" s="1"/>
        <tr r="BE30" s="1"/>
        <tr r="BF5" s="5"/>
        <tr r="BF5" s="5"/>
        <tr r="BF47" s="5"/>
        <tr r="BF47" s="5"/>
        <tr r="BF11" s="5"/>
        <tr r="BF11" s="5"/>
        <tr r="BF13" s="5"/>
        <tr r="BF13" s="5"/>
        <tr r="BF41" s="5"/>
        <tr r="BF41" s="5"/>
        <tr r="BF39" s="5"/>
        <tr r="BF39" s="5"/>
        <tr r="BF37" s="5"/>
        <tr r="BF37" s="5"/>
        <tr r="BF21" s="5"/>
        <tr r="BF21" s="5"/>
        <tr r="BF33" s="5"/>
        <tr r="BF33" s="5"/>
        <tr r="BF25" s="5"/>
        <tr r="BF25" s="5"/>
        <tr r="BF27" s="5"/>
        <tr r="BF27" s="5"/>
        <tr r="BE51" s="1"/>
        <tr r="BE51" s="1"/>
        <tr r="BE5" s="1"/>
        <tr r="BE5" s="1"/>
        <tr r="BE49" s="1"/>
        <tr r="BE49" s="1"/>
        <tr r="BE47" s="1"/>
        <tr r="BE47" s="1"/>
        <tr r="BE45" s="1"/>
        <tr r="BE45" s="1"/>
        <tr r="BE13" s="1"/>
        <tr r="BE13" s="1"/>
        <tr r="BE41" s="1"/>
        <tr r="BE41" s="1"/>
        <tr r="BE39" s="1"/>
        <tr r="BE39" s="1"/>
        <tr r="BE37" s="1"/>
        <tr r="BE37" s="1"/>
        <tr r="BE21" s="1"/>
        <tr r="BE21" s="1"/>
        <tr r="BE33" s="1"/>
        <tr r="BE33" s="1"/>
        <tr r="BE31" s="1"/>
        <tr r="BE31" s="1"/>
        <tr r="BE29" s="1"/>
        <tr r="BE29" s="1"/>
        <tr r="BF51" s="5"/>
        <tr r="BF51" s="5"/>
        <tr r="BF49" s="5"/>
        <tr r="BF49" s="5"/>
        <tr r="BF9" s="5"/>
        <tr r="BF9" s="5"/>
        <tr r="BF45" s="5"/>
        <tr r="BF45" s="5"/>
        <tr r="BF43" s="5"/>
        <tr r="BF43" s="5"/>
        <tr r="BF15" s="5"/>
        <tr r="BF15" s="5"/>
        <tr r="BF17" s="5"/>
        <tr r="BF17" s="5"/>
        <tr r="BF19" s="5"/>
        <tr r="BF19" s="5"/>
        <tr r="BF35" s="5"/>
        <tr r="BF35" s="5"/>
        <tr r="BF23" s="5"/>
        <tr r="BF23" s="5"/>
        <tr r="BF31" s="5"/>
        <tr r="BF31" s="5"/>
        <tr r="BF29" s="5"/>
        <tr r="BF29" s="5"/>
        <tr r="BE7" s="1"/>
        <tr r="BE7" s="1"/>
        <tr r="BE9" s="1"/>
        <tr r="BE9" s="1"/>
        <tr r="BE11" s="1"/>
        <tr r="BE11" s="1"/>
        <tr r="BE43" s="1"/>
        <tr r="BE43" s="1"/>
        <tr r="BE15" s="1"/>
        <tr r="BE15" s="1"/>
        <tr r="BE17" s="1"/>
        <tr r="BE17" s="1"/>
        <tr r="BE19" s="1"/>
        <tr r="BE19" s="1"/>
        <tr r="BE35" s="1"/>
        <tr r="BE35" s="1"/>
        <tr r="BE23" s="1"/>
        <tr r="BE23" s="1"/>
        <tr r="BE25" s="1"/>
        <tr r="BE25" s="1"/>
        <tr r="BE27" s="1"/>
        <tr r="BE27" s="1"/>
      </tp>
      <tp>
        <v>23150</v>
        <stp/>
        <stp>OPEN_INT</stp>
        <stp>.OPEN251024C7</stp>
        <tr r="M30" s="2"/>
        <tr r="M30" s="2"/>
      </tp>
      <tp t="s">
        <v>N/A</v>
        <stp/>
        <stp>OPEN_INT</stp>
        <stp>.OPEN251014C7</stp>
        <tr r="E30" s="2"/>
      </tp>
      <tp>
        <v>5734</v>
        <stp/>
        <stp>OPEN_INT</stp>
        <stp>.OPEN251114C6</stp>
        <tr r="BG52" s="1"/>
        <tr r="BG52" s="1"/>
        <tr r="BH52" s="5"/>
        <tr r="BH52" s="5"/>
        <tr r="C36" s="1"/>
        <tr r="C36" s="1"/>
        <tr r="BH50" s="5"/>
        <tr r="BH50" s="5"/>
        <tr r="BH48" s="5"/>
        <tr r="BH48" s="5"/>
        <tr r="BH10" s="5"/>
        <tr r="BH10" s="5"/>
        <tr r="BH12" s="5"/>
        <tr r="BH12" s="5"/>
        <tr r="BH42" s="5"/>
        <tr r="BH42" s="5"/>
        <tr r="BH40" s="5"/>
        <tr r="BH40" s="5"/>
        <tr r="BH18" s="5"/>
        <tr r="BH18" s="5"/>
        <tr r="BH20" s="5"/>
        <tr r="BH20" s="5"/>
        <tr r="BH22" s="5"/>
        <tr r="BH22" s="5"/>
        <tr r="BH32" s="5"/>
        <tr r="BH32" s="5"/>
        <tr r="BH30" s="5"/>
        <tr r="BH30" s="5"/>
        <tr r="BH28" s="5"/>
        <tr r="BH28" s="5"/>
        <tr r="BG51" s="1"/>
        <tr r="BG51" s="1"/>
        <tr r="BG48" s="1"/>
        <tr r="BG48" s="1"/>
        <tr r="BG10" s="1"/>
        <tr r="BG10" s="1"/>
        <tr r="BG44" s="1"/>
        <tr r="BG44" s="1"/>
        <tr r="BG42" s="1"/>
        <tr r="BG42" s="1"/>
        <tr r="BG40" s="1"/>
        <tr r="BG40" s="1"/>
        <tr r="BG18" s="1"/>
        <tr r="BG18" s="1"/>
        <tr r="BG20" s="1"/>
        <tr r="BG20" s="1"/>
        <tr r="BG34" s="1"/>
        <tr r="BG34" s="1"/>
        <tr r="BG32" s="1"/>
        <tr r="BG32" s="1"/>
        <tr r="BG30" s="1"/>
        <tr r="BG30" s="1"/>
        <tr r="BG28" s="1"/>
        <tr r="BG28" s="1"/>
        <tr r="BH5" s="5"/>
        <tr r="BH5" s="5"/>
        <tr r="BH6" s="5"/>
        <tr r="BH6" s="5"/>
        <tr r="BH8" s="5"/>
        <tr r="BH8" s="5"/>
        <tr r="BH46" s="5"/>
        <tr r="BH46" s="5"/>
        <tr r="BH44" s="5"/>
        <tr r="BH44" s="5"/>
        <tr r="BH14" s="5"/>
        <tr r="BH14" s="5"/>
        <tr r="BH16" s="5"/>
        <tr r="BH16" s="5"/>
        <tr r="BH38" s="5"/>
        <tr r="BH38" s="5"/>
        <tr r="BH36" s="5"/>
        <tr r="BH36" s="5"/>
        <tr r="BH34" s="5"/>
        <tr r="BH34" s="5"/>
        <tr r="BH24" s="5"/>
        <tr r="BH24" s="5"/>
        <tr r="BH26" s="5"/>
        <tr r="BH26" s="5"/>
        <tr r="BG50" s="1"/>
        <tr r="BG50" s="1"/>
        <tr r="BG8" s="1"/>
        <tr r="BG8" s="1"/>
        <tr r="BG46" s="1"/>
        <tr r="BG46" s="1"/>
        <tr r="BG12" s="1"/>
        <tr r="BG12" s="1"/>
        <tr r="BG14" s="1"/>
        <tr r="BG14" s="1"/>
        <tr r="BG16" s="1"/>
        <tr r="BG16" s="1"/>
        <tr r="BG38" s="1"/>
        <tr r="BG38" s="1"/>
        <tr r="BG36" s="1"/>
        <tr r="BG36" s="1"/>
        <tr r="BG22" s="1"/>
        <tr r="BG22" s="1"/>
        <tr r="BG24" s="1"/>
        <tr r="BG24" s="1"/>
        <tr r="BG26" s="1"/>
        <tr r="BG26" s="1"/>
        <tr r="BH7" s="5"/>
        <tr r="BH7" s="5"/>
        <tr r="BH9" s="5"/>
        <tr r="BH9" s="5"/>
        <tr r="BH11" s="5"/>
        <tr r="BH11" s="5"/>
        <tr r="BH13" s="5"/>
        <tr r="BH13" s="5"/>
        <tr r="BH41" s="5"/>
        <tr r="BH41" s="5"/>
        <tr r="BH39" s="5"/>
        <tr r="BH39" s="5"/>
        <tr r="BH37" s="5"/>
        <tr r="BH37" s="5"/>
        <tr r="BH21" s="5"/>
        <tr r="BH21" s="5"/>
        <tr r="BH33" s="5"/>
        <tr r="BH33" s="5"/>
        <tr r="BH25" s="5"/>
        <tr r="BH25" s="5"/>
        <tr r="BH27" s="5"/>
        <tr r="BH27" s="5"/>
        <tr r="BG6" s="1"/>
        <tr r="BG6" s="1"/>
        <tr r="BG5" s="1"/>
        <tr r="BG5" s="1"/>
        <tr r="BG49" s="1"/>
        <tr r="BG49" s="1"/>
        <tr r="BG47" s="1"/>
        <tr r="BG47" s="1"/>
        <tr r="BG11" s="1"/>
        <tr r="BG11" s="1"/>
        <tr r="BG13" s="1"/>
        <tr r="BG13" s="1"/>
        <tr r="BG15" s="1"/>
        <tr r="BG15" s="1"/>
        <tr r="BG17" s="1"/>
        <tr r="BG17" s="1"/>
        <tr r="BG37" s="1"/>
        <tr r="BG37" s="1"/>
        <tr r="BG35" s="1"/>
        <tr r="BG35" s="1"/>
        <tr r="BG33" s="1"/>
        <tr r="BG33" s="1"/>
        <tr r="BG31" s="1"/>
        <tr r="BG31" s="1"/>
        <tr r="BG29" s="1"/>
        <tr r="BG29" s="1"/>
        <tr r="BH51" s="5"/>
        <tr r="BH51" s="5"/>
        <tr r="BH49" s="5"/>
        <tr r="BH49" s="5"/>
        <tr r="BH47" s="5"/>
        <tr r="BH47" s="5"/>
        <tr r="BH45" s="5"/>
        <tr r="BH45" s="5"/>
        <tr r="BH43" s="5"/>
        <tr r="BH43" s="5"/>
        <tr r="BH15" s="5"/>
        <tr r="BH15" s="5"/>
        <tr r="BH17" s="5"/>
        <tr r="BH17" s="5"/>
        <tr r="BH19" s="5"/>
        <tr r="BH19" s="5"/>
        <tr r="BH35" s="5"/>
        <tr r="BH35" s="5"/>
        <tr r="BH23" s="5"/>
        <tr r="BH23" s="5"/>
        <tr r="BH31" s="5"/>
        <tr r="BH31" s="5"/>
        <tr r="BH29" s="5"/>
        <tr r="BH29" s="5"/>
        <tr r="BG7" s="1"/>
        <tr r="BG7" s="1"/>
        <tr r="BG9" s="1"/>
        <tr r="BG9" s="1"/>
        <tr r="BG45" s="1"/>
        <tr r="BG45" s="1"/>
        <tr r="BG43" s="1"/>
        <tr r="BG43" s="1"/>
        <tr r="BG41" s="1"/>
        <tr r="BG41" s="1"/>
        <tr r="BG39" s="1"/>
        <tr r="BG39" s="1"/>
        <tr r="BG19" s="1"/>
        <tr r="BG19" s="1"/>
        <tr r="BG21" s="1"/>
        <tr r="BG21" s="1"/>
        <tr r="BG23" s="1"/>
        <tr r="BG23" s="1"/>
        <tr r="BG25" s="1"/>
        <tr r="BG25" s="1"/>
        <tr r="BG27" s="1"/>
        <tr r="BG27" s="1"/>
      </tp>
      <tp>
        <v>138</v>
        <stp/>
        <stp>OPEN_INT</stp>
        <stp>.OPEN251024C4</stp>
        <tr r="M36" s="2"/>
        <tr r="M36" s="2"/>
      </tp>
      <tp t="s">
        <v>N/A</v>
        <stp/>
        <stp>OPEN_INT</stp>
        <stp>.OPEN251014C4</stp>
        <tr r="E36" s="2"/>
      </tp>
      <tp>
        <v>842</v>
        <stp/>
        <stp>OPEN_INT</stp>
        <stp>.OPEN251114C5</stp>
        <tr r="BI52" s="1"/>
        <tr r="BI52" s="1"/>
        <tr r="C38" s="1"/>
        <tr r="C38" s="1"/>
        <tr r="BJ52" s="5"/>
        <tr r="BJ52" s="5"/>
        <tr r="BJ50" s="5"/>
        <tr r="BJ50" s="5"/>
        <tr r="BJ48" s="5"/>
        <tr r="BJ48" s="5"/>
        <tr r="BJ46" s="5"/>
        <tr r="BJ46" s="5"/>
        <tr r="BJ12" s="5"/>
        <tr r="BJ12" s="5"/>
        <tr r="BJ42" s="5"/>
        <tr r="BJ42" s="5"/>
        <tr r="BJ16" s="5"/>
        <tr r="BJ16" s="5"/>
        <tr r="BJ18" s="5"/>
        <tr r="BJ18" s="5"/>
        <tr r="BJ20" s="5"/>
        <tr r="BJ20" s="5"/>
        <tr r="BJ22" s="5"/>
        <tr r="BJ22" s="5"/>
        <tr r="BJ24" s="5"/>
        <tr r="BJ24" s="5"/>
        <tr r="BJ26" s="5"/>
        <tr r="BJ26" s="5"/>
        <tr r="BJ28" s="5"/>
        <tr r="BJ28" s="5"/>
        <tr r="BI6" s="1"/>
        <tr r="BI6" s="1"/>
        <tr r="BI8" s="1"/>
        <tr r="BI8" s="1"/>
        <tr r="BI46" s="1"/>
        <tr r="BI46" s="1"/>
        <tr r="BI44" s="1"/>
        <tr r="BI44" s="1"/>
        <tr r="BI42" s="1"/>
        <tr r="BI42" s="1"/>
        <tr r="BI40" s="1"/>
        <tr r="BI40" s="1"/>
        <tr r="BI18" s="1"/>
        <tr r="BI18" s="1"/>
        <tr r="BI20" s="1"/>
        <tr r="BI20" s="1"/>
        <tr r="BI34" s="1"/>
        <tr r="BI34" s="1"/>
        <tr r="BI32" s="1"/>
        <tr r="BI32" s="1"/>
        <tr r="BI30" s="1"/>
        <tr r="BI30" s="1"/>
        <tr r="BI28" s="1"/>
        <tr r="BI28" s="1"/>
        <tr r="BJ5" s="5"/>
        <tr r="BJ5" s="5"/>
        <tr r="BJ6" s="5"/>
        <tr r="BJ6" s="5"/>
        <tr r="BJ8" s="5"/>
        <tr r="BJ8" s="5"/>
        <tr r="BJ10" s="5"/>
        <tr r="BJ10" s="5"/>
        <tr r="BJ44" s="5"/>
        <tr r="BJ44" s="5"/>
        <tr r="BJ14" s="5"/>
        <tr r="BJ14" s="5"/>
        <tr r="BJ40" s="5"/>
        <tr r="BJ40" s="5"/>
        <tr r="BJ38" s="5"/>
        <tr r="BJ38" s="5"/>
        <tr r="BJ36" s="5"/>
        <tr r="BJ36" s="5"/>
        <tr r="BJ34" s="5"/>
        <tr r="BJ34" s="5"/>
        <tr r="BJ32" s="5"/>
        <tr r="BJ32" s="5"/>
        <tr r="BJ30" s="5"/>
        <tr r="BJ30" s="5"/>
        <tr r="BI51" s="1"/>
        <tr r="BI51" s="1"/>
        <tr r="BI48" s="1"/>
        <tr r="BI48" s="1"/>
        <tr r="BI10" s="1"/>
        <tr r="BI10" s="1"/>
        <tr r="BI12" s="1"/>
        <tr r="BI12" s="1"/>
        <tr r="BI14" s="1"/>
        <tr r="BI14" s="1"/>
        <tr r="BI16" s="1"/>
        <tr r="BI16" s="1"/>
        <tr r="BI38" s="1"/>
        <tr r="BI38" s="1"/>
        <tr r="BI36" s="1"/>
        <tr r="BI36" s="1"/>
        <tr r="BI22" s="1"/>
        <tr r="BI22" s="1"/>
        <tr r="BI24" s="1"/>
        <tr r="BI24" s="1"/>
        <tr r="BI26" s="1"/>
        <tr r="BI26" s="1"/>
        <tr r="BJ9" s="5"/>
        <tr r="BJ9" s="5"/>
        <tr r="BJ45" s="5"/>
        <tr r="BJ45" s="5"/>
        <tr r="BJ13" s="5"/>
        <tr r="BJ13" s="5"/>
        <tr r="BJ41" s="5"/>
        <tr r="BJ41" s="5"/>
        <tr r="BJ39" s="5"/>
        <tr r="BJ39" s="5"/>
        <tr r="BJ19" s="5"/>
        <tr r="BJ19" s="5"/>
        <tr r="BJ21" s="5"/>
        <tr r="BJ21" s="5"/>
        <tr r="BJ33" s="5"/>
        <tr r="BJ33" s="5"/>
        <tr r="BJ25" s="5"/>
        <tr r="BJ25" s="5"/>
        <tr r="BJ27" s="5"/>
        <tr r="BJ27" s="5"/>
        <tr r="BI50" s="1"/>
        <tr r="BI50" s="1"/>
        <tr r="BI5" s="1"/>
        <tr r="BI5" s="1"/>
        <tr r="BI7" s="1"/>
        <tr r="BI7" s="1"/>
        <tr r="BI47" s="1"/>
        <tr r="BI47" s="1"/>
        <tr r="BI11" s="1"/>
        <tr r="BI11" s="1"/>
        <tr r="BI43" s="1"/>
        <tr r="BI43" s="1"/>
        <tr r="BI15" s="1"/>
        <tr r="BI15" s="1"/>
        <tr r="BI17" s="1"/>
        <tr r="BI17" s="1"/>
        <tr r="BI37" s="1"/>
        <tr r="BI37" s="1"/>
        <tr r="BI35" s="1"/>
        <tr r="BI35" s="1"/>
        <tr r="BI33" s="1"/>
        <tr r="BI33" s="1"/>
        <tr r="BI31" s="1"/>
        <tr r="BI31" s="1"/>
        <tr r="BI29" s="1"/>
        <tr r="BI29" s="1"/>
        <tr r="BJ49" s="5"/>
        <tr r="BJ49" s="5"/>
        <tr r="BJ51" s="5"/>
        <tr r="BJ51" s="5"/>
        <tr r="BJ7" s="5"/>
        <tr r="BJ7" s="5"/>
        <tr r="BJ47" s="5"/>
        <tr r="BJ47" s="5"/>
        <tr r="BJ11" s="5"/>
        <tr r="BJ11" s="5"/>
        <tr r="BJ43" s="5"/>
        <tr r="BJ43" s="5"/>
        <tr r="BJ15" s="5"/>
        <tr r="BJ15" s="5"/>
        <tr r="BJ17" s="5"/>
        <tr r="BJ17" s="5"/>
        <tr r="BJ37" s="5"/>
        <tr r="BJ37" s="5"/>
        <tr r="BJ35" s="5"/>
        <tr r="BJ35" s="5"/>
        <tr r="BJ23" s="5"/>
        <tr r="BJ23" s="5"/>
        <tr r="BJ31" s="5"/>
        <tr r="BJ31" s="5"/>
        <tr r="BJ29" s="5"/>
        <tr r="BJ29" s="5"/>
        <tr r="BI49" s="1"/>
        <tr r="BI49" s="1"/>
        <tr r="BI9" s="1"/>
        <tr r="BI9" s="1"/>
        <tr r="BI45" s="1"/>
        <tr r="BI45" s="1"/>
        <tr r="BI13" s="1"/>
        <tr r="BI13" s="1"/>
        <tr r="BI41" s="1"/>
        <tr r="BI41" s="1"/>
        <tr r="BI39" s="1"/>
        <tr r="BI39" s="1"/>
        <tr r="BI19" s="1"/>
        <tr r="BI19" s="1"/>
        <tr r="BI21" s="1"/>
        <tr r="BI21" s="1"/>
        <tr r="BI23" s="1"/>
        <tr r="BI23" s="1"/>
        <tr r="BI25" s="1"/>
        <tr r="BI25" s="1"/>
        <tr r="BI27" s="1"/>
        <tr r="BI27" s="1"/>
      </tp>
      <tp>
        <v>1783</v>
        <stp/>
        <stp>OPEN_INT</stp>
        <stp>.OPEN251024C5</stp>
        <tr r="M34" s="2"/>
        <tr r="M34" s="2"/>
      </tp>
      <tp t="s">
        <v>N/A</v>
        <stp/>
        <stp>OPEN_INT</stp>
        <stp>.OPEN251014C5</stp>
        <tr r="E34" s="2"/>
      </tp>
      <tp>
        <v>261</v>
        <stp/>
        <stp>OPEN_INT</stp>
        <stp>.OPEN251114C4</stp>
        <tr r="BL52" s="5"/>
        <tr r="BL52" s="5"/>
        <tr r="BK52" s="1"/>
        <tr r="BK52" s="1"/>
        <tr r="C40" s="1"/>
        <tr r="C40" s="1"/>
        <tr r="BL5" s="5"/>
        <tr r="BL5" s="5"/>
        <tr r="BL6" s="5"/>
        <tr r="BL6" s="5"/>
        <tr r="BL10" s="5"/>
        <tr r="BL10" s="5"/>
        <tr r="BL12" s="5"/>
        <tr r="BL12" s="5"/>
        <tr r="BL42" s="5"/>
        <tr r="BL42" s="5"/>
        <tr r="BL16" s="5"/>
        <tr r="BL16" s="5"/>
        <tr r="BL18" s="5"/>
        <tr r="BL18" s="5"/>
        <tr r="BL36" s="5"/>
        <tr r="BL36" s="5"/>
        <tr r="BL22" s="5"/>
        <tr r="BL22" s="5"/>
        <tr r="BL32" s="5"/>
        <tr r="BL32" s="5"/>
        <tr r="BL26" s="5"/>
        <tr r="BL26" s="5"/>
        <tr r="BL28" s="5"/>
        <tr r="BL28" s="5"/>
        <tr r="BK5" s="1"/>
        <tr r="BK5" s="1"/>
        <tr r="BK8" s="1"/>
        <tr r="BK8" s="1"/>
        <tr r="BK10" s="1"/>
        <tr r="BK10" s="1"/>
        <tr r="BK44" s="1"/>
        <tr r="BK44" s="1"/>
        <tr r="BK14" s="1"/>
        <tr r="BK14" s="1"/>
        <tr r="BK40" s="1"/>
        <tr r="BK40" s="1"/>
        <tr r="BK18" s="1"/>
        <tr r="BK18" s="1"/>
        <tr r="BK20" s="1"/>
        <tr r="BK20" s="1"/>
        <tr r="BK22" s="1"/>
        <tr r="BK22" s="1"/>
        <tr r="BK32" s="1"/>
        <tr r="BK32" s="1"/>
        <tr r="BK30" s="1"/>
        <tr r="BK30" s="1"/>
        <tr r="BK28" s="1"/>
        <tr r="BK28" s="1"/>
        <tr r="BL51" s="5"/>
        <tr r="BL51" s="5"/>
        <tr r="BL48" s="5"/>
        <tr r="BL48" s="5"/>
        <tr r="BL50" s="5"/>
        <tr r="BL50" s="5"/>
        <tr r="BL8" s="5"/>
        <tr r="BL8" s="5"/>
        <tr r="BL46" s="5"/>
        <tr r="BL46" s="5"/>
        <tr r="BL44" s="5"/>
        <tr r="BL44" s="5"/>
        <tr r="BL14" s="5"/>
        <tr r="BL14" s="5"/>
        <tr r="BL40" s="5"/>
        <tr r="BL40" s="5"/>
        <tr r="BL38" s="5"/>
        <tr r="BL38" s="5"/>
        <tr r="BL20" s="5"/>
        <tr r="BL20" s="5"/>
        <tr r="BL34" s="5"/>
        <tr r="BL34" s="5"/>
        <tr r="BL24" s="5"/>
        <tr r="BL24" s="5"/>
        <tr r="BL30" s="5"/>
        <tr r="BL30" s="5"/>
        <tr r="BK6" s="1"/>
        <tr r="BK6" s="1"/>
        <tr r="BK48" s="1"/>
        <tr r="BK48" s="1"/>
        <tr r="BK46" s="1"/>
        <tr r="BK46" s="1"/>
        <tr r="BK12" s="1"/>
        <tr r="BK12" s="1"/>
        <tr r="BK42" s="1"/>
        <tr r="BK42" s="1"/>
        <tr r="BK16" s="1"/>
        <tr r="BK16" s="1"/>
        <tr r="BK38" s="1"/>
        <tr r="BK38" s="1"/>
        <tr r="BK36" s="1"/>
        <tr r="BK36" s="1"/>
        <tr r="BK34" s="1"/>
        <tr r="BK34" s="1"/>
        <tr r="BK24" s="1"/>
        <tr r="BK24" s="1"/>
        <tr r="BK26" s="1"/>
        <tr r="BK26" s="1"/>
        <tr r="BL49" s="5"/>
        <tr r="BL49" s="5"/>
        <tr r="BL9" s="5"/>
        <tr r="BL9" s="5"/>
        <tr r="BL45" s="5"/>
        <tr r="BL45" s="5"/>
        <tr r="BL13" s="5"/>
        <tr r="BL13" s="5"/>
        <tr r="BL15" s="5"/>
        <tr r="BL15" s="5"/>
        <tr r="BL39" s="5"/>
        <tr r="BL39" s="5"/>
        <tr r="BL37" s="5"/>
        <tr r="BL37" s="5"/>
        <tr r="BL21" s="5"/>
        <tr r="BL21" s="5"/>
        <tr r="BL33" s="5"/>
        <tr r="BL33" s="5"/>
        <tr r="BL31" s="5"/>
        <tr r="BL31" s="5"/>
        <tr r="BL27" s="5"/>
        <tr r="BL27" s="5"/>
        <tr r="BK50" s="1"/>
        <tr r="BK50" s="1"/>
        <tr r="BK51" s="1"/>
        <tr r="BK51" s="1"/>
        <tr r="BK49" s="1"/>
        <tr r="BK49" s="1"/>
        <tr r="BK47" s="1"/>
        <tr r="BK47" s="1"/>
        <tr r="BK45" s="1"/>
        <tr r="BK45" s="1"/>
        <tr r="BK43" s="1"/>
        <tr r="BK43" s="1"/>
        <tr r="BK15" s="1"/>
        <tr r="BK15" s="1"/>
        <tr r="BK17" s="1"/>
        <tr r="BK17" s="1"/>
        <tr r="BK37" s="1"/>
        <tr r="BK37" s="1"/>
        <tr r="BK35" s="1"/>
        <tr r="BK35" s="1"/>
        <tr r="BK33" s="1"/>
        <tr r="BK33" s="1"/>
        <tr r="BK31" s="1"/>
        <tr r="BK31" s="1"/>
        <tr r="BK29" s="1"/>
        <tr r="BK29" s="1"/>
        <tr r="BL7" s="5"/>
        <tr r="BL7" s="5"/>
        <tr r="BL47" s="5"/>
        <tr r="BL47" s="5"/>
        <tr r="BL11" s="5"/>
        <tr r="BL11" s="5"/>
        <tr r="BL43" s="5"/>
        <tr r="BL43" s="5"/>
        <tr r="BL41" s="5"/>
        <tr r="BL41" s="5"/>
        <tr r="BL17" s="5"/>
        <tr r="BL17" s="5"/>
        <tr r="BL19" s="5"/>
        <tr r="BL19" s="5"/>
        <tr r="BL35" s="5"/>
        <tr r="BL35" s="5"/>
        <tr r="BL23" s="5"/>
        <tr r="BL23" s="5"/>
        <tr r="BL25" s="5"/>
        <tr r="BL25" s="5"/>
        <tr r="BL29" s="5"/>
        <tr r="BL29" s="5"/>
        <tr r="BK7" s="1"/>
        <tr r="BK7" s="1"/>
        <tr r="BK9" s="1"/>
        <tr r="BK9" s="1"/>
        <tr r="BK11" s="1"/>
        <tr r="BK11" s="1"/>
        <tr r="BK13" s="1"/>
        <tr r="BK13" s="1"/>
        <tr r="BK41" s="1"/>
        <tr r="BK41" s="1"/>
        <tr r="BK39" s="1"/>
        <tr r="BK39" s="1"/>
        <tr r="BK19" s="1"/>
        <tr r="BK19" s="1"/>
        <tr r="BK21" s="1"/>
        <tr r="BK21" s="1"/>
        <tr r="BK23" s="1"/>
        <tr r="BK23" s="1"/>
        <tr r="BK25" s="1"/>
        <tr r="BK25" s="1"/>
        <tr r="BK27" s="1"/>
        <tr r="BK27" s="1"/>
      </tp>
      <tp>
        <v>45</v>
        <stp/>
        <stp>OPEN_INT</stp>
        <stp>.OPEN251024C2</stp>
        <tr r="M40" s="2"/>
        <tr r="M40" s="2"/>
      </tp>
      <tp t="s">
        <v>N/A</v>
        <stp/>
        <stp>OPEN_INT</stp>
        <stp>.OPEN251014C2</stp>
        <tr r="E40" s="2"/>
      </tp>
      <tp>
        <v>8</v>
        <stp/>
        <stp>OPEN_INT</stp>
        <stp>.OPEN251114C3</stp>
        <tr r="C42" s="1"/>
        <tr r="C42" s="1"/>
        <tr r="BM52" s="1"/>
        <tr r="BM52" s="1"/>
        <tr r="BN52" s="5"/>
        <tr r="BN52" s="5"/>
        <tr r="BN49" s="5"/>
        <tr r="BN49" s="5"/>
        <tr r="BN48" s="5"/>
        <tr r="BN48" s="5"/>
        <tr r="BN46" s="5"/>
        <tr r="BN46" s="5"/>
        <tr r="BN44" s="5"/>
        <tr r="BN44" s="5"/>
        <tr r="BN42" s="5"/>
        <tr r="BN42" s="5"/>
        <tr r="BN16" s="5"/>
        <tr r="BN16" s="5"/>
        <tr r="BN38" s="5"/>
        <tr r="BN38" s="5"/>
        <tr r="BN36" s="5"/>
        <tr r="BN36" s="5"/>
        <tr r="BN22" s="5"/>
        <tr r="BN22" s="5"/>
        <tr r="BN32" s="5"/>
        <tr r="BN32" s="5"/>
        <tr r="BN26" s="5"/>
        <tr r="BN26" s="5"/>
        <tr r="BN28" s="5"/>
        <tr r="BN28" s="5"/>
        <tr r="BM50" s="1"/>
        <tr r="BM50" s="1"/>
        <tr r="BM8" s="1"/>
        <tr r="BM8" s="1"/>
        <tr r="BM46" s="1"/>
        <tr r="BM46" s="1"/>
        <tr r="BM12" s="1"/>
        <tr r="BM12" s="1"/>
        <tr r="BM14" s="1"/>
        <tr r="BM14" s="1"/>
        <tr r="BM40" s="1"/>
        <tr r="BM40" s="1"/>
        <tr r="BM18" s="1"/>
        <tr r="BM18" s="1"/>
        <tr r="BM36" s="1"/>
        <tr r="BM36" s="1"/>
        <tr r="BM22" s="1"/>
        <tr r="BM22" s="1"/>
        <tr r="BM24" s="1"/>
        <tr r="BM24" s="1"/>
        <tr r="BM30" s="1"/>
        <tr r="BM30" s="1"/>
        <tr r="BM28" s="1"/>
        <tr r="BM28" s="1"/>
        <tr r="BN50" s="5"/>
        <tr r="BN50" s="5"/>
        <tr r="BN6" s="5"/>
        <tr r="BN6" s="5"/>
        <tr r="BN8" s="5"/>
        <tr r="BN8" s="5"/>
        <tr r="BN10" s="5"/>
        <tr r="BN10" s="5"/>
        <tr r="BN12" s="5"/>
        <tr r="BN12" s="5"/>
        <tr r="BN14" s="5"/>
        <tr r="BN14" s="5"/>
        <tr r="BN40" s="5"/>
        <tr r="BN40" s="5"/>
        <tr r="BN18" s="5"/>
        <tr r="BN18" s="5"/>
        <tr r="BN20" s="5"/>
        <tr r="BN20" s="5"/>
        <tr r="BN34" s="5"/>
        <tr r="BN34" s="5"/>
        <tr r="BN24" s="5"/>
        <tr r="BN24" s="5"/>
        <tr r="BN30" s="5"/>
        <tr r="BN30" s="5"/>
        <tr r="BM5" s="1"/>
        <tr r="BM5" s="1"/>
        <tr r="BM6" s="1"/>
        <tr r="BM6" s="1"/>
        <tr r="BM48" s="1"/>
        <tr r="BM48" s="1"/>
        <tr r="BM10" s="1"/>
        <tr r="BM10" s="1"/>
        <tr r="BM44" s="1"/>
        <tr r="BM44" s="1"/>
        <tr r="BM42" s="1"/>
        <tr r="BM42" s="1"/>
        <tr r="BM16" s="1"/>
        <tr r="BM16" s="1"/>
        <tr r="BM38" s="1"/>
        <tr r="BM38" s="1"/>
        <tr r="BM20" s="1"/>
        <tr r="BM20" s="1"/>
        <tr r="BM34" s="1"/>
        <tr r="BM34" s="1"/>
        <tr r="BM32" s="1"/>
        <tr r="BM32" s="1"/>
        <tr r="BM26" s="1"/>
        <tr r="BM26" s="1"/>
        <tr r="BN47" s="5"/>
        <tr r="BN47" s="5"/>
        <tr r="BN45" s="5"/>
        <tr r="BN45" s="5"/>
        <tr r="BN13" s="5"/>
        <tr r="BN13" s="5"/>
        <tr r="BN15" s="5"/>
        <tr r="BN15" s="5"/>
        <tr r="BN39" s="5"/>
        <tr r="BN39" s="5"/>
        <tr r="BN19" s="5"/>
        <tr r="BN19" s="5"/>
        <tr r="BN35" s="5"/>
        <tr r="BN35" s="5"/>
        <tr r="BN23" s="5"/>
        <tr r="BN23" s="5"/>
        <tr r="BN31" s="5"/>
        <tr r="BN31" s="5"/>
        <tr r="BN27" s="5"/>
        <tr r="BN27" s="5"/>
        <tr r="BM51" s="1"/>
        <tr r="BM51" s="1"/>
        <tr r="BM49" s="1"/>
        <tr r="BM49" s="1"/>
        <tr r="BM9" s="1"/>
        <tr r="BM9" s="1"/>
        <tr r="BM11" s="1"/>
        <tr r="BM11" s="1"/>
        <tr r="BM43" s="1"/>
        <tr r="BM43" s="1"/>
        <tr r="BM41" s="1"/>
        <tr r="BM41" s="1"/>
        <tr r="BM17" s="1"/>
        <tr r="BM17" s="1"/>
        <tr r="BM37" s="1"/>
        <tr r="BM37" s="1"/>
        <tr r="BM21" s="1"/>
        <tr r="BM21" s="1"/>
        <tr r="BM33" s="1"/>
        <tr r="BM33" s="1"/>
        <tr r="BM31" s="1"/>
        <tr r="BM31" s="1"/>
        <tr r="BM27" s="1"/>
        <tr r="BM27" s="1"/>
        <tr r="BN5" s="5"/>
        <tr r="BN5" s="5"/>
        <tr r="BN51" s="5"/>
        <tr r="BN51" s="5"/>
        <tr r="BN7" s="5"/>
        <tr r="BN7" s="5"/>
        <tr r="BN9" s="5"/>
        <tr r="BN9" s="5"/>
        <tr r="BN11" s="5"/>
        <tr r="BN11" s="5"/>
        <tr r="BN43" s="5"/>
        <tr r="BN43" s="5"/>
        <tr r="BN41" s="5"/>
        <tr r="BN41" s="5"/>
        <tr r="BN17" s="5"/>
        <tr r="BN17" s="5"/>
        <tr r="BN37" s="5"/>
        <tr r="BN37" s="5"/>
        <tr r="BN21" s="5"/>
        <tr r="BN21" s="5"/>
        <tr r="BN33" s="5"/>
        <tr r="BN33" s="5"/>
        <tr r="BN25" s="5"/>
        <tr r="BN25" s="5"/>
        <tr r="BN29" s="5"/>
        <tr r="BN29" s="5"/>
        <tr r="BM7" s="1"/>
        <tr r="BM7" s="1"/>
        <tr r="BM47" s="1"/>
        <tr r="BM47" s="1"/>
        <tr r="BM45" s="1"/>
        <tr r="BM45" s="1"/>
        <tr r="BM13" s="1"/>
        <tr r="BM13" s="1"/>
        <tr r="BM15" s="1"/>
        <tr r="BM15" s="1"/>
        <tr r="BM39" s="1"/>
        <tr r="BM39" s="1"/>
        <tr r="BM19" s="1"/>
        <tr r="BM19" s="1"/>
        <tr r="BM35" s="1"/>
        <tr r="BM35" s="1"/>
        <tr r="BM23" s="1"/>
        <tr r="BM23" s="1"/>
        <tr r="BM25" s="1"/>
        <tr r="BM25" s="1"/>
        <tr r="BM29" s="1"/>
        <tr r="BM29" s="1"/>
      </tp>
      <tp>
        <v>71</v>
        <stp/>
        <stp>OPEN_INT</stp>
        <stp>.OPEN251024C3</stp>
        <tr r="M38" s="2"/>
        <tr r="M38" s="2"/>
      </tp>
      <tp t="s">
        <v>N/A</v>
        <stp/>
        <stp>OPEN_INT</stp>
        <stp>.OPEN251014C3</stp>
        <tr r="E38" s="2"/>
      </tp>
      <tp>
        <v>38</v>
        <stp/>
        <stp>OPEN_INT</stp>
        <stp>.OPEN251114C2</stp>
        <tr r="C44" s="1"/>
        <tr r="C44" s="1"/>
        <tr r="BO52" s="1"/>
        <tr r="BO52" s="1"/>
        <tr r="BP52" s="5"/>
        <tr r="BP52" s="5"/>
        <tr r="BP5" s="5"/>
        <tr r="BP5" s="5"/>
        <tr r="BP48" s="5"/>
        <tr r="BP48" s="5"/>
        <tr r="BP44" s="5"/>
        <tr r="BP44" s="5"/>
        <tr r="BP42" s="5"/>
        <tr r="BP42" s="5"/>
        <tr r="BP40" s="5"/>
        <tr r="BP40" s="5"/>
        <tr r="BP38" s="5"/>
        <tr r="BP38" s="5"/>
        <tr r="BP36" s="5"/>
        <tr r="BP36" s="5"/>
        <tr r="BP22" s="5"/>
        <tr r="BP22" s="5"/>
        <tr r="BP32" s="5"/>
        <tr r="BP32" s="5"/>
        <tr r="BP26" s="5"/>
        <tr r="BP26" s="5"/>
        <tr r="BP28" s="5"/>
        <tr r="BP28" s="5"/>
        <tr r="BO50" s="1"/>
        <tr r="BO50" s="1"/>
        <tr r="BO46" s="1"/>
        <tr r="BO46" s="1"/>
        <tr r="BO12" s="1"/>
        <tr r="BO12" s="1"/>
        <tr r="BO42" s="1"/>
        <tr r="BO42" s="1"/>
        <tr r="BO40" s="1"/>
        <tr r="BO40" s="1"/>
        <tr r="BO18" s="1"/>
        <tr r="BO18" s="1"/>
        <tr r="BO20" s="1"/>
        <tr r="BO20" s="1"/>
        <tr r="BO22" s="1"/>
        <tr r="BO22" s="1"/>
        <tr r="BO24" s="1"/>
        <tr r="BO24" s="1"/>
        <tr r="BO26" s="1"/>
        <tr r="BO26" s="1"/>
        <tr r="BO28" s="1"/>
        <tr r="BO28" s="1"/>
        <tr r="BP6" s="5"/>
        <tr r="BP6" s="5"/>
        <tr r="BP10" s="5"/>
        <tr r="BP10" s="5"/>
        <tr r="BP50" s="5"/>
        <tr r="BP50" s="5"/>
        <tr r="BP8" s="5"/>
        <tr r="BP8" s="5"/>
        <tr r="BP46" s="5"/>
        <tr r="BP46" s="5"/>
        <tr r="BP12" s="5"/>
        <tr r="BP12" s="5"/>
        <tr r="BP14" s="5"/>
        <tr r="BP14" s="5"/>
        <tr r="BP16" s="5"/>
        <tr r="BP16" s="5"/>
        <tr r="BP18" s="5"/>
        <tr r="BP18" s="5"/>
        <tr r="BP20" s="5"/>
        <tr r="BP20" s="5"/>
        <tr r="BP34" s="5"/>
        <tr r="BP34" s="5"/>
        <tr r="BP24" s="5"/>
        <tr r="BP24" s="5"/>
        <tr r="BP30" s="5"/>
        <tr r="BP30" s="5"/>
        <tr r="BO5" s="1"/>
        <tr r="BO5" s="1"/>
        <tr r="BO8" s="1"/>
        <tr r="BO8" s="1"/>
        <tr r="BO6" s="1"/>
        <tr r="BO6" s="1"/>
        <tr r="BO48" s="1"/>
        <tr r="BO48" s="1"/>
        <tr r="BO10" s="1"/>
        <tr r="BO10" s="1"/>
        <tr r="BO44" s="1"/>
        <tr r="BO44" s="1"/>
        <tr r="BO14" s="1"/>
        <tr r="BO14" s="1"/>
        <tr r="BO16" s="1"/>
        <tr r="BO16" s="1"/>
        <tr r="BO38" s="1"/>
        <tr r="BO38" s="1"/>
        <tr r="BO36" s="1"/>
        <tr r="BO36" s="1"/>
        <tr r="BO34" s="1"/>
        <tr r="BO34" s="1"/>
        <tr r="BO32" s="1"/>
        <tr r="BO32" s="1"/>
        <tr r="BO30" s="1"/>
        <tr r="BO30" s="1"/>
        <tr r="BP7" s="5"/>
        <tr r="BP7" s="5"/>
        <tr r="BP9" s="5"/>
        <tr r="BP9" s="5"/>
        <tr r="BP11" s="5"/>
        <tr r="BP11" s="5"/>
        <tr r="BP13" s="5"/>
        <tr r="BP13" s="5"/>
        <tr r="BP15" s="5"/>
        <tr r="BP15" s="5"/>
        <tr r="BP39" s="5"/>
        <tr r="BP39" s="5"/>
        <tr r="BP19" s="5"/>
        <tr r="BP19" s="5"/>
        <tr r="BP35" s="5"/>
        <tr r="BP35" s="5"/>
        <tr r="BP23" s="5"/>
        <tr r="BP23" s="5"/>
        <tr r="BP31" s="5"/>
        <tr r="BP31" s="5"/>
        <tr r="BP29" s="5"/>
        <tr r="BP29" s="5"/>
        <tr r="BO49" s="1"/>
        <tr r="BO49" s="1"/>
        <tr r="BO9" s="1"/>
        <tr r="BO9" s="1"/>
        <tr r="BO11" s="1"/>
        <tr r="BO11" s="1"/>
        <tr r="BO43" s="1"/>
        <tr r="BO43" s="1"/>
        <tr r="BO15" s="1"/>
        <tr r="BO15" s="1"/>
        <tr r="BO17" s="1"/>
        <tr r="BO17" s="1"/>
        <tr r="BO37" s="1"/>
        <tr r="BO37" s="1"/>
        <tr r="BO21" s="1"/>
        <tr r="BO21" s="1"/>
        <tr r="BO33" s="1"/>
        <tr r="BO33" s="1"/>
        <tr r="BO31" s="1"/>
        <tr r="BO31" s="1"/>
        <tr r="BO27" s="1"/>
        <tr r="BO27" s="1"/>
        <tr r="BP51" s="5"/>
        <tr r="BP51" s="5"/>
        <tr r="BP49" s="5"/>
        <tr r="BP49" s="5"/>
        <tr r="BP47" s="5"/>
        <tr r="BP47" s="5"/>
        <tr r="BP45" s="5"/>
        <tr r="BP45" s="5"/>
        <tr r="BP43" s="5"/>
        <tr r="BP43" s="5"/>
        <tr r="BP41" s="5"/>
        <tr r="BP41" s="5"/>
        <tr r="BP17" s="5"/>
        <tr r="BP17" s="5"/>
        <tr r="BP37" s="5"/>
        <tr r="BP37" s="5"/>
        <tr r="BP21" s="5"/>
        <tr r="BP21" s="5"/>
        <tr r="BP33" s="5"/>
        <tr r="BP33" s="5"/>
        <tr r="BP25" s="5"/>
        <tr r="BP25" s="5"/>
        <tr r="BP27" s="5"/>
        <tr r="BP27" s="5"/>
        <tr r="BO51" s="1"/>
        <tr r="BO51" s="1"/>
        <tr r="BO7" s="1"/>
        <tr r="BO7" s="1"/>
        <tr r="BO47" s="1"/>
        <tr r="BO47" s="1"/>
        <tr r="BO45" s="1"/>
        <tr r="BO45" s="1"/>
        <tr r="BO13" s="1"/>
        <tr r="BO13" s="1"/>
        <tr r="BO41" s="1"/>
        <tr r="BO41" s="1"/>
        <tr r="BO39" s="1"/>
        <tr r="BO39" s="1"/>
        <tr r="BO19" s="1"/>
        <tr r="BO19" s="1"/>
        <tr r="BO35" s="1"/>
        <tr r="BO35" s="1"/>
        <tr r="BO23" s="1"/>
        <tr r="BO23" s="1"/>
        <tr r="BO25" s="1"/>
        <tr r="BO25" s="1"/>
        <tr r="BO29" s="1"/>
        <tr r="BO29" s="1"/>
      </tp>
      <tp t="s">
        <v>N/A</v>
        <stp/>
        <stp>OPEN_INT</stp>
        <stp>.OPEN251024C0</stp>
        <tr r="M44" s="2"/>
      </tp>
      <tp t="s">
        <v>N/A</v>
        <stp/>
        <stp>OPEN_INT</stp>
        <stp>.OPEN251014C0</stp>
        <tr r="E44" s="2"/>
      </tp>
      <tp>
        <v>0</v>
        <stp/>
        <stp>OPEN_INT</stp>
        <stp>.OPEN251114C1</stp>
        <tr r="C46" s="1"/>
        <tr r="C46" s="1"/>
        <tr r="BQ52" s="1"/>
        <tr r="BQ52" s="1"/>
        <tr r="BR52" s="5"/>
        <tr r="BR52" s="5"/>
        <tr r="BR5" s="5"/>
        <tr r="BR5" s="5"/>
        <tr r="BR6" s="5"/>
        <tr r="BR6" s="5"/>
        <tr r="BR48" s="5"/>
        <tr r="BR48" s="5"/>
        <tr r="BR46" s="5"/>
        <tr r="BR46" s="5"/>
        <tr r="BR44" s="5"/>
        <tr r="BR44" s="5"/>
        <tr r="BR14" s="5"/>
        <tr r="BR14" s="5"/>
        <tr r="BR40" s="5"/>
        <tr r="BR40" s="5"/>
        <tr r="BR18" s="5"/>
        <tr r="BR18" s="5"/>
        <tr r="BR20" s="5"/>
        <tr r="BR20" s="5"/>
        <tr r="BR34" s="5"/>
        <tr r="BR34" s="5"/>
        <tr r="BR32" s="5"/>
        <tr r="BR32" s="5"/>
        <tr r="BR30" s="5"/>
        <tr r="BR30" s="5"/>
        <tr r="BR28" s="5"/>
        <tr r="BR28" s="5"/>
        <tr r="BQ6" s="1"/>
        <tr r="BQ6" s="1"/>
        <tr r="BQ8" s="1"/>
        <tr r="BQ8" s="1"/>
        <tr r="BQ46" s="1"/>
        <tr r="BQ46" s="1"/>
        <tr r="BQ44" s="1"/>
        <tr r="BQ44" s="1"/>
        <tr r="BQ42" s="1"/>
        <tr r="BQ42" s="1"/>
        <tr r="BQ40" s="1"/>
        <tr r="BQ40" s="1"/>
        <tr r="BQ18" s="1"/>
        <tr r="BQ18" s="1"/>
        <tr r="BQ36" s="1"/>
        <tr r="BQ36" s="1"/>
        <tr r="BQ22" s="1"/>
        <tr r="BQ22" s="1"/>
        <tr r="BQ32" s="1"/>
        <tr r="BQ32" s="1"/>
        <tr r="BQ26" s="1"/>
        <tr r="BQ26" s="1"/>
        <tr r="BQ28" s="1"/>
        <tr r="BQ28" s="1"/>
        <tr r="BR50" s="5"/>
        <tr r="BR50" s="5"/>
        <tr r="BR8" s="5"/>
        <tr r="BR8" s="5"/>
        <tr r="BR10" s="5"/>
        <tr r="BR10" s="5"/>
        <tr r="BR12" s="5"/>
        <tr r="BR12" s="5"/>
        <tr r="BR42" s="5"/>
        <tr r="BR42" s="5"/>
        <tr r="BR16" s="5"/>
        <tr r="BR16" s="5"/>
        <tr r="BR38" s="5"/>
        <tr r="BR38" s="5"/>
        <tr r="BR36" s="5"/>
        <tr r="BR36" s="5"/>
        <tr r="BR22" s="5"/>
        <tr r="BR22" s="5"/>
        <tr r="BR24" s="5"/>
        <tr r="BR24" s="5"/>
        <tr r="BR26" s="5"/>
        <tr r="BR26" s="5"/>
        <tr r="BQ5" s="1"/>
        <tr r="BQ5" s="1"/>
        <tr r="BQ50" s="1"/>
        <tr r="BQ50" s="1"/>
        <tr r="BQ48" s="1"/>
        <tr r="BQ48" s="1"/>
        <tr r="BQ10" s="1"/>
        <tr r="BQ10" s="1"/>
        <tr r="BQ12" s="1"/>
        <tr r="BQ12" s="1"/>
        <tr r="BQ14" s="1"/>
        <tr r="BQ14" s="1"/>
        <tr r="BQ16" s="1"/>
        <tr r="BQ16" s="1"/>
        <tr r="BQ38" s="1"/>
        <tr r="BQ38" s="1"/>
        <tr r="BQ20" s="1"/>
        <tr r="BQ20" s="1"/>
        <tr r="BQ34" s="1"/>
        <tr r="BQ34" s="1"/>
        <tr r="BQ24" s="1"/>
        <tr r="BQ24" s="1"/>
        <tr r="BQ30" s="1"/>
        <tr r="BQ30" s="1"/>
        <tr r="BR51" s="5"/>
        <tr r="BR51" s="5"/>
        <tr r="BR7" s="5"/>
        <tr r="BR7" s="5"/>
        <tr r="BR47" s="5"/>
        <tr r="BR47" s="5"/>
        <tr r="BR11" s="5"/>
        <tr r="BR11" s="5"/>
        <tr r="BR13" s="5"/>
        <tr r="BR13" s="5"/>
        <tr r="BR15" s="5"/>
        <tr r="BR15" s="5"/>
        <tr r="BR39" s="5"/>
        <tr r="BR39" s="5"/>
        <tr r="BR19" s="5"/>
        <tr r="BR19" s="5"/>
        <tr r="BR35" s="5"/>
        <tr r="BR35" s="5"/>
        <tr r="BR23" s="5"/>
        <tr r="BR23" s="5"/>
        <tr r="BR25" s="5"/>
        <tr r="BR25" s="5"/>
        <tr r="BR29" s="5"/>
        <tr r="BR29" s="5"/>
        <tr r="BQ51" s="1"/>
        <tr r="BQ51" s="1"/>
        <tr r="BQ49" s="1"/>
        <tr r="BQ49" s="1"/>
        <tr r="BQ9" s="1"/>
        <tr r="BQ9" s="1"/>
        <tr r="BQ11" s="1"/>
        <tr r="BQ11" s="1"/>
        <tr r="BQ43" s="1"/>
        <tr r="BQ43" s="1"/>
        <tr r="BQ41" s="1"/>
        <tr r="BQ41" s="1"/>
        <tr r="BQ17" s="1"/>
        <tr r="BQ17" s="1"/>
        <tr r="BQ37" s="1"/>
        <tr r="BQ37" s="1"/>
        <tr r="BQ21" s="1"/>
        <tr r="BQ21" s="1"/>
        <tr r="BQ23" s="1"/>
        <tr r="BQ23" s="1"/>
        <tr r="BQ25" s="1"/>
        <tr r="BQ25" s="1"/>
        <tr r="BQ27" s="1"/>
        <tr r="BQ27" s="1"/>
        <tr r="BR49" s="5"/>
        <tr r="BR49" s="5"/>
        <tr r="BR9" s="5"/>
        <tr r="BR9" s="5"/>
        <tr r="BR45" s="5"/>
        <tr r="BR45" s="5"/>
        <tr r="BR43" s="5"/>
        <tr r="BR43" s="5"/>
        <tr r="BR41" s="5"/>
        <tr r="BR41" s="5"/>
        <tr r="BR17" s="5"/>
        <tr r="BR17" s="5"/>
        <tr r="BR37" s="5"/>
        <tr r="BR37" s="5"/>
        <tr r="BR21" s="5"/>
        <tr r="BR21" s="5"/>
        <tr r="BR33" s="5"/>
        <tr r="BR33" s="5"/>
        <tr r="BR31" s="5"/>
        <tr r="BR31" s="5"/>
        <tr r="BR27" s="5"/>
        <tr r="BR27" s="5"/>
        <tr r="BQ7" s="1"/>
        <tr r="BQ7" s="1"/>
        <tr r="BQ47" s="1"/>
        <tr r="BQ47" s="1"/>
        <tr r="BQ45" s="1"/>
        <tr r="BQ45" s="1"/>
        <tr r="BQ13" s="1"/>
        <tr r="BQ13" s="1"/>
        <tr r="BQ15" s="1"/>
        <tr r="BQ15" s="1"/>
        <tr r="BQ39" s="1"/>
        <tr r="BQ39" s="1"/>
        <tr r="BQ19" s="1"/>
        <tr r="BQ19" s="1"/>
        <tr r="BQ35" s="1"/>
        <tr r="BQ35" s="1"/>
        <tr r="BQ33" s="1"/>
        <tr r="BQ33" s="1"/>
        <tr r="BQ31" s="1"/>
        <tr r="BQ31" s="1"/>
        <tr r="BQ29" s="1"/>
        <tr r="BQ29" s="1"/>
      </tp>
      <tp>
        <v>281</v>
        <stp/>
        <stp>OPEN_INT</stp>
        <stp>.OPEN251024C1</stp>
        <tr r="M42" s="2"/>
        <tr r="M42" s="2"/>
      </tp>
      <tp t="s">
        <v>N/A</v>
        <stp/>
        <stp>OPEN_INT</stp>
        <stp>.OPEN251014C1</stp>
        <tr r="E42" s="2"/>
      </tp>
      <tp t="s">
        <v>N/A</v>
        <stp/>
        <stp>OPEN_INT</stp>
        <stp>.OPEN251114C0</stp>
        <tr r="BT52" s="5"/>
        <tr r="BS52" s="1"/>
        <tr r="C48" s="1"/>
        <tr r="BT5" s="5"/>
        <tr r="BT6" s="5"/>
        <tr r="BT8" s="5"/>
        <tr r="BT46" s="5"/>
        <tr r="BT12" s="5"/>
        <tr r="BT42" s="5"/>
        <tr r="BT40" s="5"/>
        <tr r="BT18" s="5"/>
        <tr r="BT20" s="5"/>
        <tr r="BT22" s="5"/>
        <tr r="BT32" s="5"/>
        <tr r="BT30" s="5"/>
        <tr r="BT28" s="5"/>
        <tr r="BS5" s="1"/>
        <tr r="BS50" s="1"/>
        <tr r="BS8" s="1"/>
        <tr r="BS10" s="1"/>
        <tr r="BS44" s="1"/>
        <tr r="BS42" s="1"/>
        <tr r="BS16" s="1"/>
        <tr r="BS18" s="1"/>
        <tr r="BS20" s="1"/>
        <tr r="BS22" s="1"/>
        <tr r="BS32" s="1"/>
        <tr r="BS26" s="1"/>
        <tr r="BS28" s="1"/>
        <tr r="BT9" s="5"/>
        <tr r="BT50" s="5"/>
        <tr r="BT48" s="5"/>
        <tr r="BT10" s="5"/>
        <tr r="BT44" s="5"/>
        <tr r="BT14" s="5"/>
        <tr r="BT16" s="5"/>
        <tr r="BT38" s="5"/>
        <tr r="BT36" s="5"/>
        <tr r="BT34" s="5"/>
        <tr r="BT24" s="5"/>
        <tr r="BT26" s="5"/>
        <tr r="BS48" s="1"/>
        <tr r="BS46" s="1"/>
        <tr r="BS12" s="1"/>
        <tr r="BS14" s="1"/>
        <tr r="BS40" s="1"/>
        <tr r="BS38" s="1"/>
        <tr r="BS36" s="1"/>
        <tr r="BS34" s="1"/>
        <tr r="BS24" s="1"/>
        <tr r="BS30" s="1"/>
        <tr r="BT7" s="5"/>
        <tr r="BT11" s="5"/>
        <tr r="BT13" s="5"/>
        <tr r="BT41" s="5"/>
        <tr r="BT39" s="5"/>
        <tr r="BT37" s="5"/>
        <tr r="BT35" s="5"/>
        <tr r="BT23" s="5"/>
        <tr r="BT25" s="5"/>
        <tr r="BT27" s="5"/>
        <tr r="BS6" s="1"/>
        <tr r="BS51" s="1"/>
        <tr r="BS7" s="1"/>
        <tr r="BS47" s="1"/>
        <tr r="BS11" s="1"/>
        <tr r="BS13" s="1"/>
        <tr r="BS15" s="1"/>
        <tr r="BS39" s="1"/>
        <tr r="BS37" s="1"/>
        <tr r="BS21" s="1"/>
        <tr r="BS23" s="1"/>
        <tr r="BS25" s="1"/>
        <tr r="BS27" s="1"/>
        <tr r="BT51" s="5"/>
        <tr r="BT49" s="5"/>
        <tr r="BT47" s="5"/>
        <tr r="BT45" s="5"/>
        <tr r="BT43" s="5"/>
        <tr r="BT15" s="5"/>
        <tr r="BT17" s="5"/>
        <tr r="BT19" s="5"/>
        <tr r="BT21" s="5"/>
        <tr r="BT33" s="5"/>
        <tr r="BT31" s="5"/>
        <tr r="BT29" s="5"/>
        <tr r="BS49" s="1"/>
        <tr r="BS9" s="1"/>
        <tr r="BS45" s="1"/>
        <tr r="BS43" s="1"/>
        <tr r="BS41" s="1"/>
        <tr r="BS17" s="1"/>
        <tr r="BS19" s="1"/>
        <tr r="BS35" s="1"/>
        <tr r="BS33" s="1"/>
        <tr r="BS31" s="1"/>
        <tr r="BS29" s="1"/>
      </tp>
      <tp t="s">
        <v>N/A</v>
        <stp/>
        <stp>OPEN_INT</stp>
        <stp>.OPEN251027P8</stp>
        <tr r="N28" s="2"/>
      </tp>
      <tp>
        <v>35924</v>
        <stp/>
        <stp>OPEN_INT</stp>
        <stp>.OPEN251017P8</stp>
        <tr r="H28" s="2"/>
        <tr r="H28" s="2"/>
      </tp>
      <tp t="s">
        <v>N/A</v>
        <stp/>
        <stp>OPEN_INT</stp>
        <stp>.OPEN251027P9</stp>
        <tr r="N26" s="2"/>
      </tp>
      <tp>
        <v>11254</v>
        <stp/>
        <stp>OPEN_INT</stp>
        <stp>.OPEN251017P9</stp>
        <tr r="H26" s="2"/>
        <tr r="H26" s="2"/>
      </tp>
      <tp t="s">
        <v>N/A</v>
        <stp/>
        <stp>OPEN_INT</stp>
        <stp>.OPEN251027P6</stp>
        <tr r="N32" s="2"/>
      </tp>
      <tp>
        <v>25366</v>
        <stp/>
        <stp>OPEN_INT</stp>
        <stp>.OPEN251017P6</stp>
        <tr r="H32" s="2"/>
        <tr r="H32" s="2"/>
      </tp>
      <tp t="s">
        <v>N/A</v>
        <stp/>
        <stp>OPEN_INT</stp>
        <stp>.OPEN251027P7</stp>
        <tr r="N30" s="2"/>
      </tp>
      <tp>
        <v>26515</v>
        <stp/>
        <stp>OPEN_INT</stp>
        <stp>.OPEN251017P7</stp>
        <tr r="H30" s="2"/>
        <tr r="H30" s="2"/>
      </tp>
      <tp t="s">
        <v>N/A</v>
        <stp/>
        <stp>OPEN_INT</stp>
        <stp>.OPEN251027P4</stp>
        <tr r="N36" s="2"/>
      </tp>
      <tp>
        <v>33108</v>
        <stp/>
        <stp>OPEN_INT</stp>
        <stp>.OPEN251017P4</stp>
        <tr r="H36" s="2"/>
        <tr r="H36" s="2"/>
      </tp>
      <tp t="s">
        <v>N/A</v>
        <stp/>
        <stp>OPEN_INT</stp>
        <stp>.OPEN251027P5</stp>
        <tr r="N34" s="2"/>
      </tp>
      <tp>
        <v>28402</v>
        <stp/>
        <stp>OPEN_INT</stp>
        <stp>.OPEN251017P5</stp>
        <tr r="H34" s="2"/>
        <tr r="H34" s="2"/>
      </tp>
      <tp t="s">
        <v>N/A</v>
        <stp/>
        <stp>OPEN_INT</stp>
        <stp>.OPEN251027P2</stp>
        <tr r="N40" s="2"/>
      </tp>
      <tp>
        <v>17224</v>
        <stp/>
        <stp>OPEN_INT</stp>
        <stp>.OPEN251017P2</stp>
        <tr r="H40" s="2"/>
        <tr r="H40" s="2"/>
      </tp>
      <tp t="s">
        <v>N/A</v>
        <stp/>
        <stp>OPEN_INT</stp>
        <stp>.OPEN251027P3</stp>
        <tr r="N38" s="2"/>
      </tp>
      <tp>
        <v>55894</v>
        <stp/>
        <stp>OPEN_INT</stp>
        <stp>.OPEN251017P3</stp>
        <tr r="H38" s="2"/>
        <tr r="H38" s="2"/>
      </tp>
      <tp t="s">
        <v>N/A</v>
        <stp/>
        <stp>OPEN_INT</stp>
        <stp>.OPEN251027P0</stp>
        <tr r="N44" s="2"/>
      </tp>
      <tp t="s">
        <v>N/A</v>
        <stp/>
        <stp>OPEN_INT</stp>
        <stp>.OPEN251017P0</stp>
        <tr r="H44" s="2"/>
      </tp>
      <tp t="s">
        <v>N/A</v>
        <stp/>
        <stp>OPEN_INT</stp>
        <stp>.OPEN251027P1</stp>
        <tr r="N42" s="2"/>
      </tp>
      <tp>
        <v>456</v>
        <stp/>
        <stp>OPEN_INT</stp>
        <stp>.OPEN251017P1</stp>
        <tr r="H42" s="2"/>
        <tr r="H42" s="2"/>
      </tp>
      <tp t="s">
        <v>N/A</v>
        <stp/>
        <stp>OPEN_INT</stp>
        <stp>.OPEN251027C8</stp>
        <tr r="N28" s="2"/>
      </tp>
      <tp>
        <v>58894</v>
        <stp/>
        <stp>OPEN_INT</stp>
        <stp>.OPEN251017C8</stp>
        <tr r="H28" s="2"/>
        <tr r="H28" s="2"/>
      </tp>
      <tp t="s">
        <v>N/A</v>
        <stp/>
        <stp>OPEN_INT</stp>
        <stp>.OPEN251027C9</stp>
        <tr r="N26" s="2"/>
      </tp>
      <tp>
        <v>54393</v>
        <stp/>
        <stp>OPEN_INT</stp>
        <stp>.OPEN251017C9</stp>
        <tr r="H26" s="2"/>
        <tr r="H26" s="2"/>
      </tp>
      <tp t="s">
        <v>N/A</v>
        <stp/>
        <stp>OPEN_INT</stp>
        <stp>.OPEN251027C6</stp>
        <tr r="N32" s="2"/>
      </tp>
      <tp>
        <v>16206</v>
        <stp/>
        <stp>OPEN_INT</stp>
        <stp>.OPEN251017C6</stp>
        <tr r="H32" s="2"/>
        <tr r="H32" s="2"/>
      </tp>
      <tp t="s">
        <v>N/A</v>
        <stp/>
        <stp>OPEN_INT</stp>
        <stp>.OPEN251027C7</stp>
        <tr r="N30" s="2"/>
      </tp>
      <tp>
        <v>13535</v>
        <stp/>
        <stp>OPEN_INT</stp>
        <stp>.OPEN251017C7</stp>
        <tr r="H30" s="2"/>
        <tr r="H30" s="2"/>
      </tp>
      <tp t="s">
        <v>N/A</v>
        <stp/>
        <stp>OPEN_INT</stp>
        <stp>.OPEN251027C4</stp>
        <tr r="N36" s="2"/>
      </tp>
      <tp>
        <v>5089</v>
        <stp/>
        <stp>OPEN_INT</stp>
        <stp>.OPEN251017C4</stp>
        <tr r="H36" s="2"/>
        <tr r="H36" s="2"/>
      </tp>
      <tp t="s">
        <v>N/A</v>
        <stp/>
        <stp>OPEN_INT</stp>
        <stp>.OPEN251027C5</stp>
        <tr r="N34" s="2"/>
      </tp>
      <tp>
        <v>13221</v>
        <stp/>
        <stp>OPEN_INT</stp>
        <stp>.OPEN251017C5</stp>
        <tr r="H34" s="2"/>
        <tr r="H34" s="2"/>
      </tp>
      <tp t="s">
        <v>N/A</v>
        <stp/>
        <stp>OPEN_INT</stp>
        <stp>.OPEN251027C2</stp>
        <tr r="N40" s="2"/>
      </tp>
      <tp>
        <v>179</v>
        <stp/>
        <stp>OPEN_INT</stp>
        <stp>.OPEN251017C2</stp>
        <tr r="H40" s="2"/>
        <tr r="H40" s="2"/>
      </tp>
      <tp t="s">
        <v>N/A</v>
        <stp/>
        <stp>OPEN_INT</stp>
        <stp>.OPEN251027C3</stp>
        <tr r="N38" s="2"/>
      </tp>
      <tp>
        <v>2381</v>
        <stp/>
        <stp>OPEN_INT</stp>
        <stp>.OPEN251017C3</stp>
        <tr r="H38" s="2"/>
        <tr r="H38" s="2"/>
      </tp>
      <tp t="s">
        <v>N/A</v>
        <stp/>
        <stp>OPEN_INT</stp>
        <stp>.OPEN251027C0</stp>
        <tr r="N44" s="2"/>
      </tp>
      <tp t="s">
        <v>N/A</v>
        <stp/>
        <stp>OPEN_INT</stp>
        <stp>.OPEN251017C0</stp>
        <tr r="H44" s="2"/>
      </tp>
      <tp t="s">
        <v>N/A</v>
        <stp/>
        <stp>OPEN_INT</stp>
        <stp>.OPEN251027C1</stp>
        <tr r="N42" s="2"/>
      </tp>
      <tp>
        <v>59</v>
        <stp/>
        <stp>OPEN_INT</stp>
        <stp>.OPEN251017C1</stp>
        <tr r="H42" s="2"/>
        <tr r="H42" s="2"/>
      </tp>
      <tp>
        <v>36</v>
        <stp/>
        <stp>OPEN_INT</stp>
        <stp>.OPEN251226P8</stp>
        <tr r="I32" s="1"/>
        <tr r="I32" s="1"/>
      </tp>
      <tp>
        <v>12</v>
        <stp/>
        <stp>OPEN_INT</stp>
        <stp>.OPEN251226P9</stp>
        <tr r="I30" s="1"/>
        <tr r="I30" s="1"/>
      </tp>
      <tp t="s">
        <v>N/A</v>
        <stp/>
        <stp>OPEN_INT</stp>
        <stp>.OPEN251016P8</stp>
        <tr r="G28" s="2"/>
      </tp>
      <tp t="s">
        <v>N/A</v>
        <stp/>
        <stp>OPEN_INT</stp>
        <stp>.OPEN251016P9</stp>
        <tr r="G26" s="2"/>
      </tp>
      <tp>
        <v>0</v>
        <stp/>
        <stp>OPEN_INT</stp>
        <stp>.OPEN251226P4</stp>
        <tr r="I40" s="1"/>
        <tr r="I40" s="1"/>
      </tp>
      <tp t="s">
        <v>N/A</v>
        <stp/>
        <stp>OPEN_INT</stp>
        <stp>.OPEN251016P6</stp>
        <tr r="G32" s="2"/>
      </tp>
      <tp>
        <v>128</v>
        <stp/>
        <stp>OPEN_INT</stp>
        <stp>.OPEN251226P5</stp>
        <tr r="I38" s="1"/>
        <tr r="I38" s="1"/>
      </tp>
      <tp t="s">
        <v>N/A</v>
        <stp/>
        <stp>OPEN_INT</stp>
        <stp>.OPEN251016P7</stp>
        <tr r="G30" s="2"/>
      </tp>
      <tp>
        <v>76</v>
        <stp/>
        <stp>OPEN_INT</stp>
        <stp>.OPEN251226P6</stp>
        <tr r="I36" s="1"/>
        <tr r="I36" s="1"/>
      </tp>
      <tp t="s">
        <v>N/A</v>
        <stp/>
        <stp>OPEN_INT</stp>
        <stp>.OPEN251016P4</stp>
        <tr r="G36" s="2"/>
      </tp>
      <tp>
        <v>158</v>
        <stp/>
        <stp>OPEN_INT</stp>
        <stp>.OPEN251226P7</stp>
        <tr r="I34" s="1"/>
        <tr r="I34" s="1"/>
      </tp>
      <tp t="s">
        <v>N/A</v>
        <stp/>
        <stp>OPEN_INT</stp>
        <stp>.OPEN251016P5</stp>
        <tr r="G34" s="2"/>
      </tp>
      <tp t="s">
        <v>N/A</v>
        <stp/>
        <stp>OPEN_INT</stp>
        <stp>.OPEN251226P0</stp>
        <tr r="I48" s="1"/>
      </tp>
      <tp t="s">
        <v>N/A</v>
        <stp/>
        <stp>OPEN_INT</stp>
        <stp>.OPEN251016P2</stp>
        <tr r="G40" s="2"/>
      </tp>
      <tp>
        <v>0</v>
        <stp/>
        <stp>OPEN_INT</stp>
        <stp>.OPEN251226P1</stp>
        <tr r="I46" s="1"/>
        <tr r="I46" s="1"/>
      </tp>
      <tp t="s">
        <v>N/A</v>
        <stp/>
        <stp>OPEN_INT</stp>
        <stp>.OPEN251016P3</stp>
        <tr r="G38" s="2"/>
      </tp>
      <tp>
        <v>0</v>
        <stp/>
        <stp>OPEN_INT</stp>
        <stp>.OPEN251226P2</stp>
        <tr r="I44" s="1"/>
        <tr r="I44" s="1"/>
      </tp>
      <tp t="s">
        <v>N/A</v>
        <stp/>
        <stp>OPEN_INT</stp>
        <stp>.OPEN251016P0</stp>
        <tr r="G44" s="2"/>
      </tp>
      <tp>
        <v>0</v>
        <stp/>
        <stp>OPEN_INT</stp>
        <stp>.OPEN251226P3</stp>
        <tr r="I42" s="1"/>
        <tr r="I42" s="1"/>
      </tp>
      <tp t="s">
        <v>N/A</v>
        <stp/>
        <stp>OPEN_INT</stp>
        <stp>.OPEN251016P1</stp>
        <tr r="G42" s="2"/>
      </tp>
      <tp>
        <v>2657</v>
        <stp/>
        <stp>OPEN_INT</stp>
        <stp>.OPEN260515P9</stp>
        <tr r="P30" s="1"/>
        <tr r="P30" s="1"/>
      </tp>
      <tp>
        <v>2392</v>
        <stp/>
        <stp>OPEN_INT</stp>
        <stp>.OPEN260515P8</stp>
        <tr r="P32" s="1"/>
        <tr r="P32" s="1"/>
      </tp>
      <tp>
        <v>735</v>
        <stp/>
        <stp>OPEN_INT</stp>
        <stp>.OPEN260515P3</stp>
        <tr r="P42" s="1"/>
        <tr r="P42" s="1"/>
      </tp>
      <tp>
        <v>594</v>
        <stp/>
        <stp>OPEN_INT</stp>
        <stp>.OPEN260515P2</stp>
        <tr r="P44" s="1"/>
        <tr r="P44" s="1"/>
      </tp>
      <tp>
        <v>350</v>
        <stp/>
        <stp>OPEN_INT</stp>
        <stp>.OPEN260515P1</stp>
        <tr r="P46" s="1"/>
        <tr r="P46" s="1"/>
      </tp>
      <tp t="s">
        <v>N/A</v>
        <stp/>
        <stp>OPEN_INT</stp>
        <stp>.OPEN260515P0</stp>
        <tr r="P48" s="1"/>
      </tp>
      <tp>
        <v>1567</v>
        <stp/>
        <stp>OPEN_INT</stp>
        <stp>.OPEN260515P7</stp>
        <tr r="P34" s="1"/>
        <tr r="P34" s="1"/>
      </tp>
      <tp>
        <v>1704</v>
        <stp/>
        <stp>OPEN_INT</stp>
        <stp>.OPEN260515P6</stp>
        <tr r="P36" s="1"/>
        <tr r="P36" s="1"/>
      </tp>
      <tp>
        <v>1587</v>
        <stp/>
        <stp>OPEN_INT</stp>
        <stp>.OPEN260515P5</stp>
        <tr r="P38" s="1"/>
        <tr r="P38" s="1"/>
      </tp>
      <tp>
        <v>652</v>
        <stp/>
        <stp>OPEN_INT</stp>
        <stp>.OPEN260515P4</stp>
        <tr r="P40" s="1"/>
        <tr r="P40" s="1"/>
      </tp>
      <tp>
        <v>6166</v>
        <stp/>
        <stp>OPEN_INT</stp>
        <stp>.OPEN260515C9</stp>
        <tr r="P30" s="1"/>
        <tr r="P30" s="1"/>
      </tp>
      <tp>
        <v>7229</v>
        <stp/>
        <stp>OPEN_INT</stp>
        <stp>.OPEN260515C8</stp>
        <tr r="P32" s="1"/>
        <tr r="P32" s="1"/>
      </tp>
      <tp>
        <v>249</v>
        <stp/>
        <stp>OPEN_INT</stp>
        <stp>.OPEN260515C3</stp>
        <tr r="P42" s="1"/>
        <tr r="P42" s="1"/>
      </tp>
      <tp>
        <v>552</v>
        <stp/>
        <stp>OPEN_INT</stp>
        <stp>.OPEN260515C2</stp>
        <tr r="P44" s="1"/>
        <tr r="P44" s="1"/>
      </tp>
      <tp>
        <v>80</v>
        <stp/>
        <stp>OPEN_INT</stp>
        <stp>.OPEN260515C1</stp>
        <tr r="P46" s="1"/>
        <tr r="P46" s="1"/>
      </tp>
      <tp t="s">
        <v>N/A</v>
        <stp/>
        <stp>OPEN_INT</stp>
        <stp>.OPEN260515C0</stp>
        <tr r="P48" s="1"/>
      </tp>
      <tp>
        <v>3553</v>
        <stp/>
        <stp>OPEN_INT</stp>
        <stp>.OPEN260515C7</stp>
        <tr r="P34" s="1"/>
        <tr r="P34" s="1"/>
      </tp>
      <tp>
        <v>2021</v>
        <stp/>
        <stp>OPEN_INT</stp>
        <stp>.OPEN260515C6</stp>
        <tr r="P36" s="1"/>
        <tr r="P36" s="1"/>
      </tp>
      <tp>
        <v>821</v>
        <stp/>
        <stp>OPEN_INT</stp>
        <stp>.OPEN260515C5</stp>
        <tr r="P38" s="1"/>
        <tr r="P38" s="1"/>
      </tp>
      <tp>
        <v>1145</v>
        <stp/>
        <stp>OPEN_INT</stp>
        <stp>.OPEN260515C4</stp>
        <tr r="P40" s="1"/>
        <tr r="P40" s="1"/>
      </tp>
      <tp>
        <v>380</v>
        <stp/>
        <stp>OPEN_INT</stp>
        <stp>.OPEN251226C8</stp>
        <tr r="I32" s="1"/>
        <tr r="I32" s="1"/>
      </tp>
      <tp>
        <v>375</v>
        <stp/>
        <stp>OPEN_INT</stp>
        <stp>.OPEN251226C9</stp>
        <tr r="I30" s="1"/>
        <tr r="I30" s="1"/>
      </tp>
      <tp t="s">
        <v>N/A</v>
        <stp/>
        <stp>OPEN_INT</stp>
        <stp>.OPEN251016C8</stp>
        <tr r="G28" s="2"/>
      </tp>
      <tp t="s">
        <v>N/A</v>
        <stp/>
        <stp>OPEN_INT</stp>
        <stp>.OPEN251016C9</stp>
        <tr r="G26" s="2"/>
      </tp>
      <tp>
        <v>0</v>
        <stp/>
        <stp>OPEN_INT</stp>
        <stp>.OPEN251226C4</stp>
        <tr r="I40" s="1"/>
        <tr r="I40" s="1"/>
      </tp>
      <tp t="s">
        <v>N/A</v>
        <stp/>
        <stp>OPEN_INT</stp>
        <stp>.OPEN251016C6</stp>
        <tr r="G32" s="2"/>
      </tp>
      <tp>
        <v>54</v>
        <stp/>
        <stp>OPEN_INT</stp>
        <stp>.OPEN251226C5</stp>
        <tr r="I38" s="1"/>
        <tr r="I38" s="1"/>
      </tp>
      <tp t="s">
        <v>N/A</v>
        <stp/>
        <stp>OPEN_INT</stp>
        <stp>.OPEN251016C7</stp>
        <tr r="G30" s="2"/>
      </tp>
      <tp>
        <v>111</v>
        <stp/>
        <stp>OPEN_INT</stp>
        <stp>.OPEN251226C6</stp>
        <tr r="I36" s="1"/>
        <tr r="I36" s="1"/>
      </tp>
      <tp t="s">
        <v>N/A</v>
        <stp/>
        <stp>OPEN_INT</stp>
        <stp>.OPEN251016C4</stp>
        <tr r="G36" s="2"/>
      </tp>
      <tp>
        <v>488</v>
        <stp/>
        <stp>OPEN_INT</stp>
        <stp>.OPEN251226C7</stp>
        <tr r="I34" s="1"/>
        <tr r="I34" s="1"/>
      </tp>
      <tp t="s">
        <v>N/A</v>
        <stp/>
        <stp>OPEN_INT</stp>
        <stp>.OPEN251016C5</stp>
        <tr r="G34" s="2"/>
      </tp>
      <tp t="s">
        <v>N/A</v>
        <stp/>
        <stp>OPEN_INT</stp>
        <stp>.OPEN251226C0</stp>
        <tr r="I48" s="1"/>
      </tp>
      <tp t="s">
        <v>N/A</v>
        <stp/>
        <stp>OPEN_INT</stp>
        <stp>.OPEN251016C2</stp>
        <tr r="G40" s="2"/>
      </tp>
      <tp>
        <v>0</v>
        <stp/>
        <stp>OPEN_INT</stp>
        <stp>.OPEN251226C1</stp>
        <tr r="I46" s="1"/>
        <tr r="I46" s="1"/>
      </tp>
      <tp t="s">
        <v>N/A</v>
        <stp/>
        <stp>OPEN_INT</stp>
        <stp>.OPEN251016C3</stp>
        <tr r="G38" s="2"/>
      </tp>
      <tp>
        <v>0</v>
        <stp/>
        <stp>OPEN_INT</stp>
        <stp>.OPEN251226C2</stp>
        <tr r="I44" s="1"/>
        <tr r="I44" s="1"/>
      </tp>
      <tp t="s">
        <v>N/A</v>
        <stp/>
        <stp>OPEN_INT</stp>
        <stp>.OPEN251016C0</stp>
        <tr r="G44" s="2"/>
      </tp>
      <tp>
        <v>51</v>
        <stp/>
        <stp>OPEN_INT</stp>
        <stp>.OPEN251226C3</stp>
        <tr r="I42" s="1"/>
        <tr r="I42" s="1"/>
      </tp>
      <tp t="s">
        <v>N/A</v>
        <stp/>
        <stp>OPEN_INT</stp>
        <stp>.OPEN251016C1</stp>
        <tr r="G42" s="2"/>
      </tp>
      <tp>
        <v>2653</v>
        <stp/>
        <stp>OPEN_INT</stp>
        <stp>.OPEN251219P8</stp>
        <tr r="H32" s="1"/>
        <tr r="H32" s="1"/>
        <tr r="U28" s="2"/>
        <tr r="U28" s="2"/>
      </tp>
      <tp>
        <v>1323</v>
        <stp/>
        <stp>OPEN_INT</stp>
        <stp>.OPEN251219P9</stp>
        <tr r="H30" s="1"/>
        <tr r="H30" s="1"/>
        <tr r="U26" s="2"/>
        <tr r="U26" s="2"/>
      </tp>
      <tp t="s">
        <v>N/A</v>
        <stp/>
        <stp>OPEN_INT</stp>
        <stp>.OPEN251029P8</stp>
        <tr r="P28" s="2"/>
      </tp>
      <tp t="s">
        <v>N/A</v>
        <stp/>
        <stp>OPEN_INT</stp>
        <stp>.OPEN251009P8</stp>
        <tr r="B28" s="2"/>
      </tp>
      <tp t="s">
        <v>N/A</v>
        <stp/>
        <stp>OPEN_INT</stp>
        <stp>.OPEN251029P9</stp>
        <tr r="P26" s="2"/>
      </tp>
      <tp t="s">
        <v>N/A</v>
        <stp/>
        <stp>OPEN_INT</stp>
        <stp>.OPEN251009P9</stp>
        <tr r="B26" s="2"/>
      </tp>
      <tp t="s">
        <v>N/A</v>
        <stp/>
        <stp>OPEN_INT</stp>
        <stp>.OPEN251029P6</stp>
        <tr r="P32" s="2"/>
      </tp>
      <tp>
        <v>755</v>
        <stp/>
        <stp>OPEN_INT</stp>
        <stp>.OPEN251219P4</stp>
        <tr r="H40" s="1"/>
        <tr r="H40" s="1"/>
        <tr r="U36" s="2"/>
        <tr r="U36" s="2"/>
      </tp>
      <tp t="s">
        <v>N/A</v>
        <stp/>
        <stp>OPEN_INT</stp>
        <stp>.OPEN251009P6</stp>
        <tr r="B32" s="2"/>
      </tp>
      <tp t="s">
        <v>N/A</v>
        <stp/>
        <stp>OPEN_INT</stp>
        <stp>.OPEN251029P7</stp>
        <tr r="P30" s="2"/>
      </tp>
      <tp>
        <v>2769</v>
        <stp/>
        <stp>OPEN_INT</stp>
        <stp>.OPEN251219P5</stp>
        <tr r="H38" s="1"/>
        <tr r="H38" s="1"/>
        <tr r="U34" s="2"/>
        <tr r="U34" s="2"/>
      </tp>
      <tp t="s">
        <v>N/A</v>
        <stp/>
        <stp>OPEN_INT</stp>
        <stp>.OPEN251009P7</stp>
        <tr r="B30" s="2"/>
      </tp>
      <tp t="s">
        <v>N/A</v>
        <stp/>
        <stp>OPEN_INT</stp>
        <stp>.OPEN251029P4</stp>
        <tr r="P36" s="2"/>
      </tp>
      <tp>
        <v>3263</v>
        <stp/>
        <stp>OPEN_INT</stp>
        <stp>.OPEN251219P6</stp>
        <tr r="H36" s="1"/>
        <tr r="H36" s="1"/>
        <tr r="U32" s="2"/>
        <tr r="U32" s="2"/>
      </tp>
      <tp t="s">
        <v>N/A</v>
        <stp/>
        <stp>OPEN_INT</stp>
        <stp>.OPEN251009P4</stp>
        <tr r="B36" s="2"/>
      </tp>
      <tp t="s">
        <v>N/A</v>
        <stp/>
        <stp>OPEN_INT</stp>
        <stp>.OPEN251029P5</stp>
        <tr r="P34" s="2"/>
      </tp>
      <tp>
        <v>5676</v>
        <stp/>
        <stp>OPEN_INT</stp>
        <stp>.OPEN251219P7</stp>
        <tr r="H34" s="1"/>
        <tr r="H34" s="1"/>
        <tr r="U30" s="2"/>
        <tr r="U30" s="2"/>
      </tp>
      <tp t="s">
        <v>N/A</v>
        <stp/>
        <stp>OPEN_INT</stp>
        <stp>.OPEN251009P5</stp>
        <tr r="B34" s="2"/>
      </tp>
      <tp t="s">
        <v>N/A</v>
        <stp/>
        <stp>OPEN_INT</stp>
        <stp>.OPEN251029P2</stp>
        <tr r="P40" s="2"/>
      </tp>
      <tp t="s">
        <v>N/A</v>
        <stp/>
        <stp>OPEN_INT</stp>
        <stp>.OPEN251219P0</stp>
        <tr r="H48" s="1"/>
        <tr r="U44" s="2"/>
      </tp>
      <tp t="s">
        <v>N/A</v>
        <stp/>
        <stp>OPEN_INT</stp>
        <stp>.OPEN251009P2</stp>
        <tr r="B40" s="2"/>
      </tp>
      <tp t="s">
        <v>N/A</v>
        <stp/>
        <stp>OPEN_INT</stp>
        <stp>.OPEN251029P3</stp>
        <tr r="P38" s="2"/>
      </tp>
      <tp>
        <v>49</v>
        <stp/>
        <stp>OPEN_INT</stp>
        <stp>.OPEN251219P1</stp>
        <tr r="H46" s="1"/>
        <tr r="H46" s="1"/>
        <tr r="U42" s="2"/>
        <tr r="U42" s="2"/>
      </tp>
      <tp t="s">
        <v>N/A</v>
        <stp/>
        <stp>OPEN_INT</stp>
        <stp>.OPEN251009P3</stp>
        <tr r="B38" s="2"/>
      </tp>
      <tp t="s">
        <v>N/A</v>
        <stp/>
        <stp>OPEN_INT</stp>
        <stp>.OPEN251029P0</stp>
        <tr r="P44" s="2"/>
      </tp>
      <tp>
        <v>1</v>
        <stp/>
        <stp>OPEN_INT</stp>
        <stp>.OPEN251219P2</stp>
        <tr r="H44" s="1"/>
        <tr r="H44" s="1"/>
        <tr r="U40" s="2"/>
        <tr r="U40" s="2"/>
      </tp>
      <tp t="s">
        <v>N/A</v>
        <stp/>
        <stp>OPEN_INT</stp>
        <stp>.OPEN251009P0</stp>
        <tr r="B44" s="2"/>
      </tp>
      <tp t="s">
        <v>N/A</v>
        <stp/>
        <stp>OPEN_INT</stp>
        <stp>.OPEN251029P1</stp>
        <tr r="P42" s="2"/>
      </tp>
      <tp>
        <v>1017</v>
        <stp/>
        <stp>OPEN_INT</stp>
        <stp>.OPEN251219P3</stp>
        <tr r="H42" s="1"/>
        <tr r="H42" s="1"/>
        <tr r="U38" s="2"/>
        <tr r="U38" s="2"/>
      </tp>
      <tp t="s">
        <v>N/A</v>
        <stp/>
        <stp>OPEN_INT</stp>
        <stp>.OPEN251009P1</stp>
        <tr r="B42" s="2"/>
      </tp>
      <tp>
        <v>16716</v>
        <stp/>
        <stp>OPEN_INT</stp>
        <stp>.OPEN251219C8</stp>
        <tr r="H32" s="1"/>
        <tr r="H32" s="1"/>
        <tr r="U28" s="2"/>
        <tr r="U28" s="2"/>
      </tp>
      <tp>
        <v>5649</v>
        <stp/>
        <stp>OPEN_INT</stp>
        <stp>.OPEN251219C9</stp>
        <tr r="H30" s="1"/>
        <tr r="H30" s="1"/>
        <tr r="U26" s="2"/>
        <tr r="U26" s="2"/>
      </tp>
      <tp t="s">
        <v>N/A</v>
        <stp/>
        <stp>OPEN_INT</stp>
        <stp>.OPEN251029C8</stp>
        <tr r="P28" s="2"/>
      </tp>
      <tp t="s">
        <v>N/A</v>
        <stp/>
        <stp>OPEN_INT</stp>
        <stp>.OPEN251009C8</stp>
        <tr r="B28" s="2"/>
      </tp>
      <tp t="s">
        <v>N/A</v>
        <stp/>
        <stp>OPEN_INT</stp>
        <stp>.OPEN251029C9</stp>
        <tr r="P26" s="2"/>
      </tp>
      <tp t="s">
        <v>N/A</v>
        <stp/>
        <stp>OPEN_INT</stp>
        <stp>.OPEN251009C9</stp>
        <tr r="B26" s="2"/>
      </tp>
      <tp t="s">
        <v>N/A</v>
        <stp/>
        <stp>OPEN_INT</stp>
        <stp>.OPEN251029C6</stp>
        <tr r="P32" s="2"/>
      </tp>
      <tp>
        <v>1109</v>
        <stp/>
        <stp>OPEN_INT</stp>
        <stp>.OPEN251219C4</stp>
        <tr r="H40" s="1"/>
        <tr r="H40" s="1"/>
        <tr r="U36" s="2"/>
        <tr r="U36" s="2"/>
      </tp>
      <tp t="s">
        <v>N/A</v>
        <stp/>
        <stp>OPEN_INT</stp>
        <stp>.OPEN251009C6</stp>
        <tr r="B32" s="2"/>
      </tp>
      <tp t="s">
        <v>N/A</v>
        <stp/>
        <stp>OPEN_INT</stp>
        <stp>.OPEN251029C7</stp>
        <tr r="P30" s="2"/>
      </tp>
      <tp>
        <v>687</v>
        <stp/>
        <stp>OPEN_INT</stp>
        <stp>.OPEN251219C5</stp>
        <tr r="H38" s="1"/>
        <tr r="H38" s="1"/>
        <tr r="U34" s="2"/>
        <tr r="U34" s="2"/>
      </tp>
      <tp t="s">
        <v>N/A</v>
        <stp/>
        <stp>OPEN_INT</stp>
        <stp>.OPEN251009C7</stp>
        <tr r="B30" s="2"/>
      </tp>
      <tp t="s">
        <v>N/A</v>
        <stp/>
        <stp>OPEN_INT</stp>
        <stp>.OPEN251029C4</stp>
        <tr r="P36" s="2"/>
      </tp>
      <tp>
        <v>9354</v>
        <stp/>
        <stp>OPEN_INT</stp>
        <stp>.OPEN251219C6</stp>
        <tr r="H36" s="1"/>
        <tr r="H36" s="1"/>
        <tr r="U32" s="2"/>
        <tr r="U32" s="2"/>
      </tp>
      <tp t="s">
        <v>N/A</v>
        <stp/>
        <stp>OPEN_INT</stp>
        <stp>.OPEN251009C4</stp>
        <tr r="B36" s="2"/>
      </tp>
      <tp t="s">
        <v>N/A</v>
        <stp/>
        <stp>OPEN_INT</stp>
        <stp>.OPEN251029C5</stp>
        <tr r="P34" s="2"/>
      </tp>
      <tp>
        <v>3254</v>
        <stp/>
        <stp>OPEN_INT</stp>
        <stp>.OPEN251219C7</stp>
        <tr r="H34" s="1"/>
        <tr r="H34" s="1"/>
        <tr r="U30" s="2"/>
        <tr r="U30" s="2"/>
      </tp>
      <tp t="s">
        <v>N/A</v>
        <stp/>
        <stp>OPEN_INT</stp>
        <stp>.OPEN251009C5</stp>
        <tr r="B34" s="2"/>
      </tp>
      <tp t="s">
        <v>N/A</v>
        <stp/>
        <stp>OPEN_INT</stp>
        <stp>.OPEN251029C2</stp>
        <tr r="P40" s="2"/>
      </tp>
      <tp t="s">
        <v>N/A</v>
        <stp/>
        <stp>OPEN_INT</stp>
        <stp>.OPEN251219C0</stp>
        <tr r="H48" s="1"/>
        <tr r="U44" s="2"/>
      </tp>
      <tp t="s">
        <v>N/A</v>
        <stp/>
        <stp>OPEN_INT</stp>
        <stp>.OPEN251009C2</stp>
        <tr r="B40" s="2"/>
      </tp>
      <tp t="s">
        <v>N/A</v>
        <stp/>
        <stp>OPEN_INT</stp>
        <stp>.OPEN251029C3</stp>
        <tr r="P38" s="2"/>
      </tp>
      <tp>
        <v>7</v>
        <stp/>
        <stp>OPEN_INT</stp>
        <stp>.OPEN251219C1</stp>
        <tr r="H46" s="1"/>
        <tr r="H46" s="1"/>
        <tr r="U42" s="2"/>
        <tr r="U42" s="2"/>
      </tp>
      <tp t="s">
        <v>N/A</v>
        <stp/>
        <stp>OPEN_INT</stp>
        <stp>.OPEN251009C3</stp>
        <tr r="B38" s="2"/>
      </tp>
      <tp t="s">
        <v>N/A</v>
        <stp/>
        <stp>OPEN_INT</stp>
        <stp>.OPEN251029C0</stp>
        <tr r="P44" s="2"/>
      </tp>
      <tp>
        <v>32</v>
        <stp/>
        <stp>OPEN_INT</stp>
        <stp>.OPEN251219C2</stp>
        <tr r="H44" s="1"/>
        <tr r="H44" s="1"/>
        <tr r="U40" s="2"/>
        <tr r="U40" s="2"/>
      </tp>
      <tp t="s">
        <v>N/A</v>
        <stp/>
        <stp>OPEN_INT</stp>
        <stp>.OPEN251009C0</stp>
        <tr r="B44" s="2"/>
      </tp>
      <tp t="s">
        <v>N/A</v>
        <stp/>
        <stp>OPEN_INT</stp>
        <stp>.OPEN251029C1</stp>
        <tr r="P42" s="2"/>
      </tp>
      <tp>
        <v>38</v>
        <stp/>
        <stp>OPEN_INT</stp>
        <stp>.OPEN251219C3</stp>
        <tr r="H42" s="1"/>
        <tr r="H42" s="1"/>
        <tr r="U38" s="2"/>
        <tr r="U38" s="2"/>
      </tp>
      <tp t="s">
        <v>N/A</v>
        <stp/>
        <stp>OPEN_INT</stp>
        <stp>.OPEN251009C1</stp>
        <tr r="B42" s="2"/>
      </tp>
      <tp t="s">
        <v>N/A</v>
        <stp/>
        <stp>OPEN_INT</stp>
        <stp>.OPEN251028P8</stp>
        <tr r="O28" s="2"/>
      </tp>
      <tp>
        <v>148</v>
        <stp/>
        <stp>OPEN_INT</stp>
        <stp>.OPEN251128P9</stp>
        <tr r="E30" s="1"/>
        <tr r="E30" s="1"/>
        <tr r="T26" s="2"/>
        <tr r="T26" s="2"/>
      </tp>
      <tp t="s">
        <v>N/A</v>
        <stp/>
        <stp>OPEN_INT</stp>
        <stp>.OPEN251028P9</stp>
        <tr r="O26" s="2"/>
      </tp>
      <tp>
        <v>1383</v>
        <stp/>
        <stp>OPEN_INT</stp>
        <stp>.OPEN251128P8</stp>
        <tr r="E32" s="1"/>
        <tr r="E32" s="1"/>
        <tr r="T28" s="2"/>
        <tr r="T28" s="2"/>
      </tp>
      <tp t="s">
        <v>N/A</v>
        <stp/>
        <stp>OPEN_INT</stp>
        <stp>.OPEN251028P6</stp>
        <tr r="O32" s="2"/>
      </tp>
      <tp>
        <v>1913</v>
        <stp/>
        <stp>OPEN_INT</stp>
        <stp>.OPEN251128P7</stp>
        <tr r="E34" s="1"/>
        <tr r="E34" s="1"/>
        <tr r="T30" s="2"/>
        <tr r="T30" s="2"/>
      </tp>
      <tp t="s">
        <v>N/A</v>
        <stp/>
        <stp>OPEN_INT</stp>
        <stp>.OPEN251028P7</stp>
        <tr r="O30" s="2"/>
      </tp>
      <tp>
        <v>1419</v>
        <stp/>
        <stp>OPEN_INT</stp>
        <stp>.OPEN251128P6</stp>
        <tr r="E36" s="1"/>
        <tr r="E36" s="1"/>
        <tr r="T32" s="2"/>
        <tr r="T32" s="2"/>
      </tp>
      <tp t="s">
        <v>N/A</v>
        <stp/>
        <stp>OPEN_INT</stp>
        <stp>.OPEN251028P4</stp>
        <tr r="O36" s="2"/>
      </tp>
      <tp>
        <v>1512</v>
        <stp/>
        <stp>OPEN_INT</stp>
        <stp>.OPEN251128P5</stp>
        <tr r="E38" s="1"/>
        <tr r="E38" s="1"/>
        <tr r="T34" s="2"/>
        <tr r="T34" s="2"/>
      </tp>
      <tp t="s">
        <v>N/A</v>
        <stp/>
        <stp>OPEN_INT</stp>
        <stp>.OPEN251028P5</stp>
        <tr r="O34" s="2"/>
      </tp>
      <tp>
        <v>757</v>
        <stp/>
        <stp>OPEN_INT</stp>
        <stp>.OPEN251128P4</stp>
        <tr r="E40" s="1"/>
        <tr r="E40" s="1"/>
        <tr r="T36" s="2"/>
        <tr r="T36" s="2"/>
      </tp>
      <tp t="s">
        <v>N/A</v>
        <stp/>
        <stp>OPEN_INT</stp>
        <stp>.OPEN251028P2</stp>
        <tr r="O40" s="2"/>
      </tp>
      <tp>
        <v>3</v>
        <stp/>
        <stp>OPEN_INT</stp>
        <stp>.OPEN251128P3</stp>
        <tr r="E42" s="1"/>
        <tr r="E42" s="1"/>
        <tr r="T38" s="2"/>
        <tr r="T38" s="2"/>
      </tp>
      <tp t="s">
        <v>N/A</v>
        <stp/>
        <stp>OPEN_INT</stp>
        <stp>.OPEN251028P3</stp>
        <tr r="O38" s="2"/>
      </tp>
      <tp>
        <v>0</v>
        <stp/>
        <stp>OPEN_INT</stp>
        <stp>.OPEN251128P2</stp>
        <tr r="E44" s="1"/>
        <tr r="E44" s="1"/>
        <tr r="T40" s="2"/>
        <tr r="T40" s="2"/>
      </tp>
      <tp t="s">
        <v>N/A</v>
        <stp/>
        <stp>OPEN_INT</stp>
        <stp>.OPEN251028P0</stp>
        <tr r="O44" s="2"/>
      </tp>
      <tp>
        <v>0</v>
        <stp/>
        <stp>OPEN_INT</stp>
        <stp>.OPEN251128P1</stp>
        <tr r="E46" s="1"/>
        <tr r="E46" s="1"/>
        <tr r="T42" s="2"/>
        <tr r="T42" s="2"/>
      </tp>
      <tp t="s">
        <v>N/A</v>
        <stp/>
        <stp>OPEN_INT</stp>
        <stp>.OPEN251028P1</stp>
        <tr r="O42" s="2"/>
      </tp>
      <tp t="s">
        <v>N/A</v>
        <stp/>
        <stp>OPEN_INT</stp>
        <stp>.OPEN251128P0</stp>
        <tr r="E48" s="1"/>
        <tr r="T44" s="2"/>
      </tp>
      <tp t="s">
        <v>N/A</v>
        <stp/>
        <stp>OPEN_INT</stp>
        <stp>.OPEN251028C8</stp>
        <tr r="O28" s="2"/>
      </tp>
      <tp>
        <v>3134</v>
        <stp/>
        <stp>OPEN_INT</stp>
        <stp>.OPEN251128C9</stp>
        <tr r="E30" s="1"/>
        <tr r="E30" s="1"/>
        <tr r="T26" s="2"/>
        <tr r="T26" s="2"/>
      </tp>
      <tp t="s">
        <v>N/A</v>
        <stp/>
        <stp>OPEN_INT</stp>
        <stp>.OPEN251028C9</stp>
        <tr r="O26" s="2"/>
      </tp>
      <tp>
        <v>8007</v>
        <stp/>
        <stp>OPEN_INT</stp>
        <stp>.OPEN251128C8</stp>
        <tr r="E32" s="1"/>
        <tr r="E32" s="1"/>
        <tr r="T28" s="2"/>
        <tr r="T28" s="2"/>
      </tp>
      <tp t="s">
        <v>N/A</v>
        <stp/>
        <stp>OPEN_INT</stp>
        <stp>.OPEN251028C6</stp>
        <tr r="O32" s="2"/>
      </tp>
      <tp>
        <v>2027</v>
        <stp/>
        <stp>OPEN_INT</stp>
        <stp>.OPEN251128C7</stp>
        <tr r="E34" s="1"/>
        <tr r="E34" s="1"/>
        <tr r="T30" s="2"/>
        <tr r="T30" s="2"/>
      </tp>
      <tp t="s">
        <v>N/A</v>
        <stp/>
        <stp>OPEN_INT</stp>
        <stp>.OPEN251028C7</stp>
        <tr r="O30" s="2"/>
      </tp>
      <tp>
        <v>1120</v>
        <stp/>
        <stp>OPEN_INT</stp>
        <stp>.OPEN251128C6</stp>
        <tr r="E36" s="1"/>
        <tr r="E36" s="1"/>
        <tr r="T32" s="2"/>
        <tr r="T32" s="2"/>
      </tp>
      <tp t="s">
        <v>N/A</v>
        <stp/>
        <stp>OPEN_INT</stp>
        <stp>.OPEN251028C4</stp>
        <tr r="O36" s="2"/>
      </tp>
      <tp>
        <v>502</v>
        <stp/>
        <stp>OPEN_INT</stp>
        <stp>.OPEN251128C5</stp>
        <tr r="E38" s="1"/>
        <tr r="E38" s="1"/>
        <tr r="T34" s="2"/>
        <tr r="T34" s="2"/>
      </tp>
      <tp t="s">
        <v>N/A</v>
        <stp/>
        <stp>OPEN_INT</stp>
        <stp>.OPEN251028C5</stp>
        <tr r="O34" s="2"/>
      </tp>
      <tp>
        <v>237</v>
        <stp/>
        <stp>OPEN_INT</stp>
        <stp>.OPEN251128C4</stp>
        <tr r="E40" s="1"/>
        <tr r="E40" s="1"/>
        <tr r="T36" s="2"/>
        <tr r="T36" s="2"/>
      </tp>
      <tp t="s">
        <v>N/A</v>
        <stp/>
        <stp>OPEN_INT</stp>
        <stp>.OPEN251028C2</stp>
        <tr r="O40" s="2"/>
      </tp>
      <tp>
        <v>41</v>
        <stp/>
        <stp>OPEN_INT</stp>
        <stp>.OPEN251128C3</stp>
        <tr r="E42" s="1"/>
        <tr r="E42" s="1"/>
        <tr r="T38" s="2"/>
        <tr r="T38" s="2"/>
      </tp>
      <tp t="s">
        <v>N/A</v>
        <stp/>
        <stp>OPEN_INT</stp>
        <stp>.OPEN251028C3</stp>
        <tr r="O38" s="2"/>
      </tp>
      <tp>
        <v>5</v>
        <stp/>
        <stp>OPEN_INT</stp>
        <stp>.OPEN251128C2</stp>
        <tr r="E44" s="1"/>
        <tr r="E44" s="1"/>
        <tr r="T40" s="2"/>
        <tr r="T40" s="2"/>
      </tp>
      <tp t="s">
        <v>N/A</v>
        <stp/>
        <stp>OPEN_INT</stp>
        <stp>.OPEN251028C0</stp>
        <tr r="O44" s="2"/>
      </tp>
      <tp>
        <v>0</v>
        <stp/>
        <stp>OPEN_INT</stp>
        <stp>.OPEN251128C1</stp>
        <tr r="E46" s="1"/>
        <tr r="E46" s="1"/>
        <tr r="T42" s="2"/>
        <tr r="T42" s="2"/>
      </tp>
      <tp t="s">
        <v>N/A</v>
        <stp/>
        <stp>OPEN_INT</stp>
        <stp>.OPEN251028C1</stp>
        <tr r="O42" s="2"/>
      </tp>
      <tp t="s">
        <v>N/A</v>
        <stp/>
        <stp>OPEN_INT</stp>
        <stp>.OPEN251128C0</stp>
        <tr r="E48" s="1"/>
        <tr r="T44" s="2"/>
      </tp>
      <tp t="s">
        <v>N/A</v>
        <stp/>
        <stp>VOLUME</stp>
        <stp>.OPEN251121P4</stp>
        <tr r="D40" s="5"/>
      </tp>
      <tp t="s">
        <v>N/A</v>
        <stp/>
        <stp>VOLUME</stp>
        <stp>.OPEN251121P5</stp>
        <tr r="D38" s="5"/>
      </tp>
      <tp t="s">
        <v>N/A</v>
        <stp/>
        <stp>VOLUME</stp>
        <stp>.OPEN251121P6</stp>
        <tr r="D36" s="5"/>
      </tp>
      <tp t="s">
        <v>N/A</v>
        <stp/>
        <stp>VOLUME</stp>
        <stp>.OPEN251121P7</stp>
        <tr r="D34" s="5"/>
      </tp>
      <tp t="s">
        <v>N/A</v>
        <stp/>
        <stp>VOLUME</stp>
        <stp>.OPEN251121P0</stp>
        <tr r="D48" s="5"/>
      </tp>
      <tp t="s">
        <v>N/A</v>
        <stp/>
        <stp>VOLUME</stp>
        <stp>.OPEN251121P1</stp>
        <tr r="D46" s="5"/>
      </tp>
      <tp t="s">
        <v>N/A</v>
        <stp/>
        <stp>VOLUME</stp>
        <stp>.OPEN251121P2</stp>
        <tr r="D44" s="5"/>
      </tp>
      <tp t="s">
        <v>N/A</v>
        <stp/>
        <stp>VOLUME</stp>
        <stp>.OPEN251121P3</stp>
        <tr r="D42" s="5"/>
      </tp>
      <tp t="s">
        <v>N/A</v>
        <stp/>
        <stp>VOLUME</stp>
        <stp>.OPEN251121P8</stp>
        <tr r="D32" s="5"/>
      </tp>
      <tp t="s">
        <v>N/A</v>
        <stp/>
        <stp>VOLUME</stp>
        <stp>.OPEN251121P9</stp>
        <tr r="D30" s="5"/>
      </tp>
      <tp t="s">
        <v>N/A</v>
        <stp/>
        <stp>VOLUME</stp>
        <stp>.OPEN260102P4</stp>
        <tr r="J40" s="5"/>
      </tp>
      <tp t="s">
        <v>N/A</v>
        <stp/>
        <stp>VOLUME</stp>
        <stp>.OPEN260102P5</stp>
        <tr r="J38" s="5"/>
      </tp>
      <tp t="s">
        <v>N/A</v>
        <stp/>
        <stp>VOLUME</stp>
        <stp>.OPEN260102P6</stp>
        <tr r="J36" s="5"/>
      </tp>
      <tp t="s">
        <v>N/A</v>
        <stp/>
        <stp>VOLUME</stp>
        <stp>.OPEN260102P7</stp>
        <tr r="J34" s="5"/>
      </tp>
      <tp t="s">
        <v>N/A</v>
        <stp/>
        <stp>VOLUME</stp>
        <stp>.OPEN260102P0</stp>
        <tr r="J48" s="5"/>
      </tp>
      <tp t="s">
        <v>N/A</v>
        <stp/>
        <stp>VOLUME</stp>
        <stp>.OPEN260102P1</stp>
        <tr r="J46" s="5"/>
      </tp>
      <tp t="s">
        <v>N/A</v>
        <stp/>
        <stp>VOLUME</stp>
        <stp>.OPEN260102P2</stp>
        <tr r="J44" s="5"/>
      </tp>
      <tp t="s">
        <v>N/A</v>
        <stp/>
        <stp>VOLUME</stp>
        <stp>.OPEN260102P3</stp>
        <tr r="J42" s="5"/>
      </tp>
      <tp t="s">
        <v>N/A</v>
        <stp/>
        <stp>VOLUME</stp>
        <stp>.OPEN260102P8</stp>
        <tr r="J32" s="5"/>
      </tp>
      <tp t="s">
        <v>N/A</v>
        <stp/>
        <stp>VOLUME</stp>
        <stp>.OPEN260102P9</stp>
        <tr r="J30" s="5"/>
      </tp>
      <tp t="s">
        <v>N/A</v>
        <stp/>
        <stp>VOLUME</stp>
        <stp>.OPEN260102C4</stp>
        <tr r="J40" s="5"/>
      </tp>
      <tp t="s">
        <v>N/A</v>
        <stp/>
        <stp>VOLUME</stp>
        <stp>.OPEN260102C5</stp>
        <tr r="J38" s="5"/>
      </tp>
      <tp t="s">
        <v>N/A</v>
        <stp/>
        <stp>VOLUME</stp>
        <stp>.OPEN260102C6</stp>
        <tr r="J36" s="5"/>
      </tp>
      <tp t="s">
        <v>N/A</v>
        <stp/>
        <stp>VOLUME</stp>
        <stp>.OPEN260102C7</stp>
        <tr r="J34" s="5"/>
      </tp>
      <tp t="s">
        <v>N/A</v>
        <stp/>
        <stp>VOLUME</stp>
        <stp>.OPEN260102C0</stp>
        <tr r="J48" s="5"/>
      </tp>
      <tp t="s">
        <v>N/A</v>
        <stp/>
        <stp>VOLUME</stp>
        <stp>.OPEN260102C1</stp>
        <tr r="J46" s="5"/>
      </tp>
      <tp t="s">
        <v>N/A</v>
        <stp/>
        <stp>VOLUME</stp>
        <stp>.OPEN260102C2</stp>
        <tr r="J44" s="5"/>
      </tp>
      <tp t="s">
        <v>N/A</v>
        <stp/>
        <stp>VOLUME</stp>
        <stp>.OPEN260102C3</stp>
        <tr r="J42" s="5"/>
      </tp>
      <tp t="s">
        <v>N/A</v>
        <stp/>
        <stp>VOLUME</stp>
        <stp>.OPEN260102C8</stp>
        <tr r="J32" s="5"/>
      </tp>
      <tp t="s">
        <v>N/A</v>
        <stp/>
        <stp>VOLUME</stp>
        <stp>.OPEN260102C9</stp>
        <tr r="J30" s="5"/>
      </tp>
      <tp t="s">
        <v>N/A</v>
        <stp/>
        <stp>VOLUME</stp>
        <stp>.OPEN251121C4</stp>
        <tr r="D40" s="5"/>
      </tp>
      <tp t="s">
        <v>N/A</v>
        <stp/>
        <stp>VOLUME</stp>
        <stp>.OPEN251121C5</stp>
        <tr r="D38" s="5"/>
      </tp>
      <tp t="s">
        <v>N/A</v>
        <stp/>
        <stp>VOLUME</stp>
        <stp>.OPEN251121C6</stp>
        <tr r="D36" s="5"/>
      </tp>
      <tp t="s">
        <v>N/A</v>
        <stp/>
        <stp>VOLUME</stp>
        <stp>.OPEN251121C7</stp>
        <tr r="D34" s="5"/>
      </tp>
      <tp t="s">
        <v>N/A</v>
        <stp/>
        <stp>VOLUME</stp>
        <stp>.OPEN251121C0</stp>
        <tr r="D48" s="5"/>
      </tp>
      <tp t="s">
        <v>N/A</v>
        <stp/>
        <stp>VOLUME</stp>
        <stp>.OPEN251121C1</stp>
        <tr r="D46" s="5"/>
      </tp>
      <tp t="s">
        <v>N/A</v>
        <stp/>
        <stp>VOLUME</stp>
        <stp>.OPEN251121C2</stp>
        <tr r="D44" s="5"/>
      </tp>
      <tp t="s">
        <v>N/A</v>
        <stp/>
        <stp>VOLUME</stp>
        <stp>.OPEN251121C3</stp>
        <tr r="D42" s="5"/>
      </tp>
      <tp t="s">
        <v>N/A</v>
        <stp/>
        <stp>VOLUME</stp>
        <stp>.OPEN251121C8</stp>
        <tr r="D32" s="5"/>
      </tp>
      <tp t="s">
        <v>N/A</v>
        <stp/>
        <stp>VOLUME</stp>
        <stp>.OPEN251121C9</stp>
        <tr r="D30" s="5"/>
      </tp>
      <tp t="s">
        <v>N/A</v>
        <stp/>
        <stp>OPEN_INT</stp>
        <stp>.OPEN261218P8</stp>
        <tr r="W32" s="1"/>
      </tp>
      <tp t="s">
        <v>N/A</v>
        <stp/>
        <stp>OPEN_INT</stp>
        <stp>.OPEN261218P9</stp>
        <tr r="W30" s="1"/>
      </tp>
      <tp t="s">
        <v>N/A</v>
        <stp/>
        <stp>OPEN_INT</stp>
        <stp>.OPEN261218P4</stp>
        <tr r="W40" s="1"/>
      </tp>
      <tp t="s">
        <v>N/A</v>
        <stp/>
        <stp>OPEN_INT</stp>
        <stp>.OPEN261218P5</stp>
        <tr r="W38" s="1"/>
      </tp>
      <tp t="s">
        <v>N/A</v>
        <stp/>
        <stp>OPEN_INT</stp>
        <stp>.OPEN261218P6</stp>
        <tr r="W36" s="1"/>
      </tp>
      <tp t="s">
        <v>N/A</v>
        <stp/>
        <stp>OPEN_INT</stp>
        <stp>.OPEN261218P7</stp>
        <tr r="W34" s="1"/>
      </tp>
      <tp t="s">
        <v>N/A</v>
        <stp/>
        <stp>OPEN_INT</stp>
        <stp>.OPEN261218P0</stp>
        <tr r="W48" s="1"/>
      </tp>
      <tp t="s">
        <v>N/A</v>
        <stp/>
        <stp>OPEN_INT</stp>
        <stp>.OPEN261218P1</stp>
        <tr r="W46" s="1"/>
      </tp>
      <tp t="s">
        <v>N/A</v>
        <stp/>
        <stp>OPEN_INT</stp>
        <stp>.OPEN261218P2</stp>
        <tr r="W44" s="1"/>
      </tp>
      <tp t="s">
        <v>N/A</v>
        <stp/>
        <stp>OPEN_INT</stp>
        <stp>.OPEN261218P3</stp>
        <tr r="W42" s="1"/>
      </tp>
      <tp t="s">
        <v>N/A</v>
        <stp/>
        <stp>OPEN_INT</stp>
        <stp>.OPEN260918P7</stp>
        <tr r="T34" s="1"/>
      </tp>
      <tp t="s">
        <v>N/A</v>
        <stp/>
        <stp>OPEN_INT</stp>
        <stp>.OPEN260918P6</stp>
        <tr r="T36" s="1"/>
      </tp>
      <tp t="s">
        <v>N/A</v>
        <stp/>
        <stp>OPEN_INT</stp>
        <stp>.OPEN260918P5</stp>
        <tr r="T38" s="1"/>
      </tp>
      <tp t="s">
        <v>N/A</v>
        <stp/>
        <stp>OPEN_INT</stp>
        <stp>.OPEN260918P4</stp>
        <tr r="T40" s="1"/>
      </tp>
      <tp t="s">
        <v>N/A</v>
        <stp/>
        <stp>OPEN_INT</stp>
        <stp>.OPEN260918P3</stp>
        <tr r="T42" s="1"/>
      </tp>
      <tp t="s">
        <v>N/A</v>
        <stp/>
        <stp>OPEN_INT</stp>
        <stp>.OPEN260918P2</stp>
        <tr r="T44" s="1"/>
      </tp>
      <tp t="s">
        <v>N/A</v>
        <stp/>
        <stp>OPEN_INT</stp>
        <stp>.OPEN260918P1</stp>
        <tr r="T46" s="1"/>
      </tp>
      <tp t="s">
        <v>N/A</v>
        <stp/>
        <stp>OPEN_INT</stp>
        <stp>.OPEN260918P0</stp>
        <tr r="T48" s="1"/>
      </tp>
      <tp t="s">
        <v>N/A</v>
        <stp/>
        <stp>OPEN_INT</stp>
        <stp>.OPEN260918P9</stp>
        <tr r="T30" s="1"/>
      </tp>
      <tp t="s">
        <v>N/A</v>
        <stp/>
        <stp>OPEN_INT</stp>
        <stp>.OPEN260918P8</stp>
        <tr r="T32" s="1"/>
      </tp>
      <tp t="s">
        <v>N/A</v>
        <stp/>
        <stp>OPEN_INT</stp>
        <stp>.OPEN260918C7</stp>
        <tr r="T34" s="1"/>
      </tp>
      <tp t="s">
        <v>N/A</v>
        <stp/>
        <stp>OPEN_INT</stp>
        <stp>.OPEN260918C6</stp>
        <tr r="T36" s="1"/>
      </tp>
      <tp t="s">
        <v>N/A</v>
        <stp/>
        <stp>OPEN_INT</stp>
        <stp>.OPEN260918C5</stp>
        <tr r="T38" s="1"/>
      </tp>
      <tp t="s">
        <v>N/A</v>
        <stp/>
        <stp>OPEN_INT</stp>
        <stp>.OPEN260918C4</stp>
        <tr r="T40" s="1"/>
      </tp>
      <tp t="s">
        <v>N/A</v>
        <stp/>
        <stp>OPEN_INT</stp>
        <stp>.OPEN260918C3</stp>
        <tr r="T42" s="1"/>
      </tp>
      <tp t="s">
        <v>N/A</v>
        <stp/>
        <stp>OPEN_INT</stp>
        <stp>.OPEN260918C2</stp>
        <tr r="T44" s="1"/>
      </tp>
      <tp t="s">
        <v>N/A</v>
        <stp/>
        <stp>OPEN_INT</stp>
        <stp>.OPEN260918C1</stp>
        <tr r="T46" s="1"/>
      </tp>
      <tp t="s">
        <v>N/A</v>
        <stp/>
        <stp>OPEN_INT</stp>
        <stp>.OPEN260918C0</stp>
        <tr r="T48" s="1"/>
      </tp>
      <tp t="s">
        <v>N/A</v>
        <stp/>
        <stp>OPEN_INT</stp>
        <stp>.OPEN260918C9</stp>
        <tr r="T30" s="1"/>
      </tp>
      <tp t="s">
        <v>N/A</v>
        <stp/>
        <stp>OPEN_INT</stp>
        <stp>.OPEN260918C8</stp>
        <tr r="T32" s="1"/>
      </tp>
      <tp t="s">
        <v>N/A</v>
        <stp/>
        <stp>OPEN_INT</stp>
        <stp>.OPEN261218C8</stp>
        <tr r="W32" s="1"/>
      </tp>
      <tp t="s">
        <v>N/A</v>
        <stp/>
        <stp>OPEN_INT</stp>
        <stp>.OPEN261218C9</stp>
        <tr r="W30" s="1"/>
      </tp>
      <tp t="s">
        <v>N/A</v>
        <stp/>
        <stp>OPEN_INT</stp>
        <stp>.OPEN261218C4</stp>
        <tr r="W40" s="1"/>
      </tp>
      <tp t="s">
        <v>N/A</v>
        <stp/>
        <stp>OPEN_INT</stp>
        <stp>.OPEN261218C5</stp>
        <tr r="W38" s="1"/>
      </tp>
      <tp t="s">
        <v>N/A</v>
        <stp/>
        <stp>OPEN_INT</stp>
        <stp>.OPEN261218C6</stp>
        <tr r="W36" s="1"/>
      </tp>
      <tp t="s">
        <v>N/A</v>
        <stp/>
        <stp>OPEN_INT</stp>
        <stp>.OPEN261218C7</stp>
        <tr r="W34" s="1"/>
      </tp>
      <tp t="s">
        <v>N/A</v>
        <stp/>
        <stp>OPEN_INT</stp>
        <stp>.OPEN261218C0</stp>
        <tr r="W48" s="1"/>
      </tp>
      <tp t="s">
        <v>N/A</v>
        <stp/>
        <stp>OPEN_INT</stp>
        <stp>.OPEN261218C1</stp>
        <tr r="W46" s="1"/>
      </tp>
      <tp t="s">
        <v>N/A</v>
        <stp/>
        <stp>OPEN_INT</stp>
        <stp>.OPEN261218C2</stp>
        <tr r="W44" s="1"/>
      </tp>
      <tp t="s">
        <v>N/A</v>
        <stp/>
        <stp>OPEN_INT</stp>
        <stp>.OPEN261218C3</stp>
        <tr r="W42" s="1"/>
      </tp>
      <tp t="s">
        <v>N/A</v>
        <stp/>
        <stp>VOLUME</stp>
        <stp>.OPEN251212P7</stp>
        <tr r="G34" s="5"/>
      </tp>
      <tp t="s">
        <v>N/A</v>
        <stp/>
        <stp>VOLUME</stp>
        <stp>.OPEN251212P6</stp>
        <tr r="G36" s="5"/>
      </tp>
      <tp t="s">
        <v>N/A</v>
        <stp/>
        <stp>VOLUME</stp>
        <stp>.OPEN251212P5</stp>
        <tr r="G38" s="5"/>
      </tp>
      <tp t="s">
        <v>N/A</v>
        <stp/>
        <stp>VOLUME</stp>
        <stp>.OPEN251212P4</stp>
        <tr r="G40" s="5"/>
      </tp>
      <tp t="s">
        <v>N/A</v>
        <stp/>
        <stp>VOLUME</stp>
        <stp>.OPEN251212P3</stp>
        <tr r="G42" s="5"/>
      </tp>
      <tp t="s">
        <v>N/A</v>
        <stp/>
        <stp>VOLUME</stp>
        <stp>.OPEN251212P2</stp>
        <tr r="G44" s="5"/>
      </tp>
      <tp t="s">
        <v>N/A</v>
        <stp/>
        <stp>VOLUME</stp>
        <stp>.OPEN251212P1</stp>
        <tr r="G46" s="5"/>
      </tp>
      <tp t="s">
        <v>N/A</v>
        <stp/>
        <stp>VOLUME</stp>
        <stp>.OPEN251212P0</stp>
        <tr r="G48" s="5"/>
      </tp>
      <tp t="s">
        <v>N/A</v>
        <stp/>
        <stp>VOLUME</stp>
        <stp>.OPEN251212P9</stp>
        <tr r="G30" s="5"/>
      </tp>
      <tp t="s">
        <v>N/A</v>
        <stp/>
        <stp>VOLUME</stp>
        <stp>.OPEN251212P8</stp>
        <tr r="G32" s="5"/>
      </tp>
      <tp t="s">
        <v>N/A</v>
        <stp/>
        <stp>VOLUME</stp>
        <stp>.OPEN260821P9</stp>
        <tr r="S30" s="5"/>
      </tp>
      <tp t="s">
        <v>N/A</v>
        <stp/>
        <stp>VOLUME</stp>
        <stp>.OPEN260821P8</stp>
        <tr r="S32" s="5"/>
      </tp>
      <tp t="s">
        <v>N/A</v>
        <stp/>
        <stp>VOLUME</stp>
        <stp>.OPEN260821P5</stp>
        <tr r="S38" s="5"/>
      </tp>
      <tp t="s">
        <v>N/A</v>
        <stp/>
        <stp>VOLUME</stp>
        <stp>.OPEN260821P4</stp>
        <tr r="S40" s="5"/>
      </tp>
      <tp t="s">
        <v>N/A</v>
        <stp/>
        <stp>VOLUME</stp>
        <stp>.OPEN260821P7</stp>
        <tr r="S34" s="5"/>
      </tp>
      <tp t="s">
        <v>N/A</v>
        <stp/>
        <stp>VOLUME</stp>
        <stp>.OPEN260821P6</stp>
        <tr r="S36" s="5"/>
      </tp>
      <tp t="s">
        <v>N/A</v>
        <stp/>
        <stp>VOLUME</stp>
        <stp>.OPEN260821P1</stp>
        <tr r="S46" s="5"/>
      </tp>
      <tp t="s">
        <v>N/A</v>
        <stp/>
        <stp>VOLUME</stp>
        <stp>.OPEN260821P0</stp>
        <tr r="S48" s="5"/>
      </tp>
      <tp t="s">
        <v>N/A</v>
        <stp/>
        <stp>VOLUME</stp>
        <stp>.OPEN260821P3</stp>
        <tr r="S42" s="5"/>
      </tp>
      <tp t="s">
        <v>N/A</v>
        <stp/>
        <stp>VOLUME</stp>
        <stp>.OPEN260821P2</stp>
        <tr r="S44" s="5"/>
      </tp>
      <tp t="s">
        <v>N/A</v>
        <stp/>
        <stp>VOLUME</stp>
        <stp>.OPEN260821C9</stp>
        <tr r="S30" s="5"/>
      </tp>
      <tp t="s">
        <v>N/A</v>
        <stp/>
        <stp>VOLUME</stp>
        <stp>.OPEN260821C8</stp>
        <tr r="S32" s="5"/>
      </tp>
      <tp t="s">
        <v>N/A</v>
        <stp/>
        <stp>VOLUME</stp>
        <stp>.OPEN260821C5</stp>
        <tr r="S38" s="5"/>
      </tp>
      <tp t="s">
        <v>N/A</v>
        <stp/>
        <stp>VOLUME</stp>
        <stp>.OPEN260821C4</stp>
        <tr r="S40" s="5"/>
      </tp>
      <tp t="s">
        <v>N/A</v>
        <stp/>
        <stp>VOLUME</stp>
        <stp>.OPEN260821C7</stp>
        <tr r="S34" s="5"/>
      </tp>
      <tp t="s">
        <v>N/A</v>
        <stp/>
        <stp>VOLUME</stp>
        <stp>.OPEN260821C6</stp>
        <tr r="S36" s="5"/>
      </tp>
      <tp t="s">
        <v>N/A</v>
        <stp/>
        <stp>VOLUME</stp>
        <stp>.OPEN260821C1</stp>
        <tr r="S46" s="5"/>
      </tp>
      <tp t="s">
        <v>N/A</v>
        <stp/>
        <stp>VOLUME</stp>
        <stp>.OPEN260821C0</stp>
        <tr r="S48" s="5"/>
      </tp>
      <tp t="s">
        <v>N/A</v>
        <stp/>
        <stp>VOLUME</stp>
        <stp>.OPEN260821C3</stp>
        <tr r="S42" s="5"/>
      </tp>
      <tp t="s">
        <v>N/A</v>
        <stp/>
        <stp>VOLUME</stp>
        <stp>.OPEN260821C2</stp>
        <tr r="S44" s="5"/>
      </tp>
      <tp t="s">
        <v>N/A</v>
        <stp/>
        <stp>VOLUME</stp>
        <stp>.OPEN251212C7</stp>
        <tr r="G34" s="5"/>
      </tp>
      <tp t="s">
        <v>N/A</v>
        <stp/>
        <stp>VOLUME</stp>
        <stp>.OPEN251212C6</stp>
        <tr r="G36" s="5"/>
      </tp>
      <tp t="s">
        <v>N/A</v>
        <stp/>
        <stp>VOLUME</stp>
        <stp>.OPEN251212C5</stp>
        <tr r="G38" s="5"/>
      </tp>
      <tp t="s">
        <v>N/A</v>
        <stp/>
        <stp>VOLUME</stp>
        <stp>.OPEN251212C4</stp>
        <tr r="G40" s="5"/>
      </tp>
      <tp t="s">
        <v>N/A</v>
        <stp/>
        <stp>VOLUME</stp>
        <stp>.OPEN251212C3</stp>
        <tr r="G42" s="5"/>
      </tp>
      <tp t="s">
        <v>N/A</v>
        <stp/>
        <stp>VOLUME</stp>
        <stp>.OPEN251212C2</stp>
        <tr r="G44" s="5"/>
      </tp>
      <tp t="s">
        <v>N/A</v>
        <stp/>
        <stp>VOLUME</stp>
        <stp>.OPEN251212C1</stp>
        <tr r="G46" s="5"/>
      </tp>
      <tp t="s">
        <v>N/A</v>
        <stp/>
        <stp>VOLUME</stp>
        <stp>.OPEN251212C0</stp>
        <tr r="G48" s="5"/>
      </tp>
      <tp t="s">
        <v>N/A</v>
        <stp/>
        <stp>VOLUME</stp>
        <stp>.OPEN251212C9</stp>
        <tr r="G30" s="5"/>
      </tp>
      <tp t="s">
        <v>N/A</v>
        <stp/>
        <stp>VOLUME</stp>
        <stp>.OPEN251212C8</stp>
        <tr r="G32" s="5"/>
      </tp>
      <tp t="s">
        <v>N/A</v>
        <stp/>
        <stp>OPEN_INT</stp>
        <stp>.OPEN260619P8</stp>
        <tr r="Q32" s="1"/>
      </tp>
      <tp t="s">
        <v>N/A</v>
        <stp/>
        <stp>OPEN_INT</stp>
        <stp>.OPEN260619P9</stp>
        <tr r="Q30" s="1"/>
      </tp>
      <tp t="s">
        <v>N/A</v>
        <stp/>
        <stp>OPEN_INT</stp>
        <stp>.OPEN260109P9</stp>
        <tr r="K30" s="1"/>
      </tp>
      <tp t="s">
        <v>N/A</v>
        <stp/>
        <stp>OPEN_INT</stp>
        <stp>.OPEN260109P8</stp>
        <tr r="K32" s="1"/>
      </tp>
      <tp t="s">
        <v>N/A</v>
        <stp/>
        <stp>OPEN_INT</stp>
        <stp>.OPEN260619P0</stp>
        <tr r="Q48" s="1"/>
      </tp>
      <tp t="s">
        <v>N/A</v>
        <stp/>
        <stp>OPEN_INT</stp>
        <stp>.OPEN260109P7</stp>
        <tr r="K34" s="1"/>
      </tp>
      <tp t="s">
        <v>N/A</v>
        <stp/>
        <stp>OPEN_INT</stp>
        <stp>.OPEN260619P1</stp>
        <tr r="Q46" s="1"/>
      </tp>
      <tp t="s">
        <v>N/A</v>
        <stp/>
        <stp>OPEN_INT</stp>
        <stp>.OPEN260109P6</stp>
        <tr r="K36" s="1"/>
      </tp>
      <tp t="s">
        <v>N/A</v>
        <stp/>
        <stp>OPEN_INT</stp>
        <stp>.OPEN260619P2</stp>
        <tr r="Q44" s="1"/>
      </tp>
      <tp t="s">
        <v>N/A</v>
        <stp/>
        <stp>OPEN_INT</stp>
        <stp>.OPEN260109P5</stp>
        <tr r="K38" s="1"/>
      </tp>
      <tp t="s">
        <v>N/A</v>
        <stp/>
        <stp>OPEN_INT</stp>
        <stp>.OPEN260619P3</stp>
        <tr r="Q42" s="1"/>
      </tp>
      <tp t="s">
        <v>N/A</v>
        <stp/>
        <stp>OPEN_INT</stp>
        <stp>.OPEN260109P4</stp>
        <tr r="K40" s="1"/>
      </tp>
      <tp t="s">
        <v>N/A</v>
        <stp/>
        <stp>OPEN_INT</stp>
        <stp>.OPEN260619P4</stp>
        <tr r="Q40" s="1"/>
      </tp>
      <tp t="s">
        <v>N/A</v>
        <stp/>
        <stp>OPEN_INT</stp>
        <stp>.OPEN260109P3</stp>
        <tr r="K42" s="1"/>
      </tp>
      <tp t="s">
        <v>N/A</v>
        <stp/>
        <stp>OPEN_INT</stp>
        <stp>.OPEN260619P5</stp>
        <tr r="Q38" s="1"/>
      </tp>
      <tp t="s">
        <v>N/A</v>
        <stp/>
        <stp>OPEN_INT</stp>
        <stp>.OPEN260109P2</stp>
        <tr r="K44" s="1"/>
      </tp>
      <tp t="s">
        <v>N/A</v>
        <stp/>
        <stp>OPEN_INT</stp>
        <stp>.OPEN260619P6</stp>
        <tr r="Q36" s="1"/>
      </tp>
      <tp t="s">
        <v>N/A</v>
        <stp/>
        <stp>OPEN_INT</stp>
        <stp>.OPEN260109P1</stp>
        <tr r="K46" s="1"/>
      </tp>
      <tp t="s">
        <v>N/A</v>
        <stp/>
        <stp>OPEN_INT</stp>
        <stp>.OPEN260619P7</stp>
        <tr r="Q34" s="1"/>
      </tp>
      <tp t="s">
        <v>N/A</v>
        <stp/>
        <stp>OPEN_INT</stp>
        <stp>.OPEN260109P0</stp>
        <tr r="K48" s="1"/>
      </tp>
      <tp t="s">
        <v>N/A</v>
        <stp/>
        <stp>OPEN_INT</stp>
        <stp>.OPEN260619C8</stp>
        <tr r="Q32" s="1"/>
      </tp>
      <tp t="s">
        <v>N/A</v>
        <stp/>
        <stp>OPEN_INT</stp>
        <stp>.OPEN260619C9</stp>
        <tr r="Q30" s="1"/>
      </tp>
      <tp t="s">
        <v>N/A</v>
        <stp/>
        <stp>OPEN_INT</stp>
        <stp>.OPEN260109C9</stp>
        <tr r="K30" s="1"/>
      </tp>
      <tp t="s">
        <v>N/A</v>
        <stp/>
        <stp>OPEN_INT</stp>
        <stp>.OPEN260109C8</stp>
        <tr r="K32" s="1"/>
      </tp>
      <tp t="s">
        <v>N/A</v>
        <stp/>
        <stp>OPEN_INT</stp>
        <stp>.OPEN260619C0</stp>
        <tr r="Q48" s="1"/>
      </tp>
      <tp t="s">
        <v>N/A</v>
        <stp/>
        <stp>OPEN_INT</stp>
        <stp>.OPEN260109C7</stp>
        <tr r="K34" s="1"/>
      </tp>
      <tp t="s">
        <v>N/A</v>
        <stp/>
        <stp>OPEN_INT</stp>
        <stp>.OPEN260619C1</stp>
        <tr r="Q46" s="1"/>
      </tp>
      <tp t="s">
        <v>N/A</v>
        <stp/>
        <stp>OPEN_INT</stp>
        <stp>.OPEN260109C6</stp>
        <tr r="K36" s="1"/>
      </tp>
      <tp t="s">
        <v>N/A</v>
        <stp/>
        <stp>OPEN_INT</stp>
        <stp>.OPEN260619C2</stp>
        <tr r="Q44" s="1"/>
      </tp>
      <tp t="s">
        <v>N/A</v>
        <stp/>
        <stp>OPEN_INT</stp>
        <stp>.OPEN260109C5</stp>
        <tr r="K38" s="1"/>
      </tp>
      <tp t="s">
        <v>N/A</v>
        <stp/>
        <stp>OPEN_INT</stp>
        <stp>.OPEN260619C3</stp>
        <tr r="Q42" s="1"/>
      </tp>
      <tp t="s">
        <v>N/A</v>
        <stp/>
        <stp>OPEN_INT</stp>
        <stp>.OPEN260109C4</stp>
        <tr r="K40" s="1"/>
      </tp>
      <tp t="s">
        <v>N/A</v>
        <stp/>
        <stp>OPEN_INT</stp>
        <stp>.OPEN260619C4</stp>
        <tr r="Q40" s="1"/>
      </tp>
      <tp t="s">
        <v>N/A</v>
        <stp/>
        <stp>OPEN_INT</stp>
        <stp>.OPEN260109C3</stp>
        <tr r="K42" s="1"/>
      </tp>
      <tp t="s">
        <v>N/A</v>
        <stp/>
        <stp>OPEN_INT</stp>
        <stp>.OPEN260619C5</stp>
        <tr r="Q38" s="1"/>
      </tp>
      <tp t="s">
        <v>N/A</v>
        <stp/>
        <stp>OPEN_INT</stp>
        <stp>.OPEN260109C2</stp>
        <tr r="K44" s="1"/>
      </tp>
      <tp t="s">
        <v>N/A</v>
        <stp/>
        <stp>OPEN_INT</stp>
        <stp>.OPEN260619C6</stp>
        <tr r="Q36" s="1"/>
      </tp>
      <tp t="s">
        <v>N/A</v>
        <stp/>
        <stp>OPEN_INT</stp>
        <stp>.OPEN260109C1</stp>
        <tr r="K46" s="1"/>
      </tp>
      <tp t="s">
        <v>N/A</v>
        <stp/>
        <stp>OPEN_INT</stp>
        <stp>.OPEN260619C7</stp>
        <tr r="Q34" s="1"/>
      </tp>
      <tp t="s">
        <v>N/A</v>
        <stp/>
        <stp>OPEN_INT</stp>
        <stp>.OPEN260109C0</stp>
        <tr r="K48" s="1"/>
      </tp>
      <tp t="s">
        <v>N/A</v>
        <stp/>
        <stp>VOLUME</stp>
        <stp>.OPEN261120P4</stp>
        <tr r="V40" s="5"/>
      </tp>
      <tp t="s">
        <v>N/A</v>
        <stp/>
        <stp>VOLUME</stp>
        <stp>.OPEN261120P5</stp>
        <tr r="V38" s="5"/>
      </tp>
      <tp t="s">
        <v>N/A</v>
        <stp/>
        <stp>VOLUME</stp>
        <stp>.OPEN261120P6</stp>
        <tr r="V36" s="5"/>
      </tp>
      <tp t="s">
        <v>N/A</v>
        <stp/>
        <stp>VOLUME</stp>
        <stp>.OPEN261120P7</stp>
        <tr r="V34" s="5"/>
      </tp>
      <tp t="s">
        <v>N/A</v>
        <stp/>
        <stp>VOLUME</stp>
        <stp>.OPEN261120P0</stp>
        <tr r="V48" s="5"/>
      </tp>
      <tp t="s">
        <v>N/A</v>
        <stp/>
        <stp>VOLUME</stp>
        <stp>.OPEN261120P1</stp>
        <tr r="V46" s="5"/>
      </tp>
      <tp t="s">
        <v>N/A</v>
        <stp/>
        <stp>VOLUME</stp>
        <stp>.OPEN261120P2</stp>
        <tr r="V44" s="5"/>
      </tp>
      <tp t="s">
        <v>N/A</v>
        <stp/>
        <stp>VOLUME</stp>
        <stp>.OPEN261120P3</stp>
        <tr r="V42" s="5"/>
      </tp>
      <tp t="s">
        <v>N/A</v>
        <stp/>
        <stp>VOLUME</stp>
        <stp>.OPEN261120P8</stp>
        <tr r="V32" s="5"/>
      </tp>
      <tp t="s">
        <v>N/A</v>
        <stp/>
        <stp>VOLUME</stp>
        <stp>.OPEN261120P9</stp>
        <tr r="V30" s="5"/>
      </tp>
      <tp t="s">
        <v>N/A</v>
        <stp/>
        <stp>VOLUME</stp>
        <stp>.OPEN260220P7</stp>
        <tr r="M34" s="5"/>
      </tp>
      <tp t="s">
        <v>N/A</v>
        <stp/>
        <stp>VOLUME</stp>
        <stp>.OPEN260320P6</stp>
        <tr r="N36" s="5"/>
      </tp>
      <tp t="s">
        <v>N/A</v>
        <stp/>
        <stp>VOLUME</stp>
        <stp>.OPEN260220P6</stp>
        <tr r="M36" s="5"/>
      </tp>
      <tp t="s">
        <v>N/A</v>
        <stp/>
        <stp>VOLUME</stp>
        <stp>.OPEN260320P7</stp>
        <tr r="N34" s="5"/>
      </tp>
      <tp t="s">
        <v>N/A</v>
        <stp/>
        <stp>VOLUME</stp>
        <stp>.OPEN260220P5</stp>
        <tr r="M38" s="5"/>
      </tp>
      <tp t="s">
        <v>N/A</v>
        <stp/>
        <stp>VOLUME</stp>
        <stp>.OPEN260320P4</stp>
        <tr r="N40" s="5"/>
      </tp>
      <tp t="s">
        <v>N/A</v>
        <stp/>
        <stp>VOLUME</stp>
        <stp>.OPEN260220P4</stp>
        <tr r="M40" s="5"/>
      </tp>
      <tp t="s">
        <v>N/A</v>
        <stp/>
        <stp>VOLUME</stp>
        <stp>.OPEN260320P5</stp>
        <tr r="N38" s="5"/>
      </tp>
      <tp t="s">
        <v>N/A</v>
        <stp/>
        <stp>VOLUME</stp>
        <stp>.OPEN260220P3</stp>
        <tr r="M42" s="5"/>
      </tp>
      <tp t="s">
        <v>N/A</v>
        <stp/>
        <stp>VOLUME</stp>
        <stp>.OPEN260320P2</stp>
        <tr r="N44" s="5"/>
      </tp>
      <tp t="s">
        <v>N/A</v>
        <stp/>
        <stp>VOLUME</stp>
        <stp>.OPEN260220P2</stp>
        <tr r="M44" s="5"/>
      </tp>
      <tp t="s">
        <v>N/A</v>
        <stp/>
        <stp>VOLUME</stp>
        <stp>.OPEN260320P3</stp>
        <tr r="N42" s="5"/>
      </tp>
      <tp t="s">
        <v>N/A</v>
        <stp/>
        <stp>VOLUME</stp>
        <stp>.OPEN260220P1</stp>
        <tr r="M46" s="5"/>
      </tp>
      <tp t="s">
        <v>N/A</v>
        <stp/>
        <stp>VOLUME</stp>
        <stp>.OPEN260320P0</stp>
        <tr r="N48" s="5"/>
      </tp>
      <tp t="s">
        <v>N/A</v>
        <stp/>
        <stp>VOLUME</stp>
        <stp>.OPEN260220P0</stp>
        <tr r="M48" s="5"/>
      </tp>
      <tp t="s">
        <v>N/A</v>
        <stp/>
        <stp>VOLUME</stp>
        <stp>.OPEN260320P1</stp>
        <tr r="N46" s="5"/>
      </tp>
      <tp t="s">
        <v>N/A</v>
        <stp/>
        <stp>VOLUME</stp>
        <stp>.OPEN260220P9</stp>
        <tr r="M30" s="5"/>
      </tp>
      <tp t="s">
        <v>N/A</v>
        <stp/>
        <stp>VOLUME</stp>
        <stp>.OPEN260320P8</stp>
        <tr r="N32" s="5"/>
      </tp>
      <tp t="s">
        <v>N/A</v>
        <stp/>
        <stp>VOLUME</stp>
        <stp>.OPEN260220P8</stp>
        <tr r="M32" s="5"/>
      </tp>
      <tp t="s">
        <v>N/A</v>
        <stp/>
        <stp>VOLUME</stp>
        <stp>.OPEN260320P9</stp>
        <tr r="N30" s="5"/>
      </tp>
      <tp t="s">
        <v>N/A</v>
        <stp/>
        <stp>VOLUME</stp>
        <stp>.OPEN260220C7</stp>
        <tr r="M34" s="5"/>
      </tp>
      <tp t="s">
        <v>N/A</v>
        <stp/>
        <stp>VOLUME</stp>
        <stp>.OPEN260320C6</stp>
        <tr r="N36" s="5"/>
      </tp>
      <tp t="s">
        <v>N/A</v>
        <stp/>
        <stp>VOLUME</stp>
        <stp>.OPEN260220C6</stp>
        <tr r="M36" s="5"/>
      </tp>
      <tp t="s">
        <v>N/A</v>
        <stp/>
        <stp>VOLUME</stp>
        <stp>.OPEN260320C7</stp>
        <tr r="N34" s="5"/>
      </tp>
      <tp t="s">
        <v>N/A</v>
        <stp/>
        <stp>VOLUME</stp>
        <stp>.OPEN260220C5</stp>
        <tr r="M38" s="5"/>
      </tp>
      <tp t="s">
        <v>N/A</v>
        <stp/>
        <stp>VOLUME</stp>
        <stp>.OPEN260320C4</stp>
        <tr r="N40" s="5"/>
      </tp>
      <tp t="s">
        <v>N/A</v>
        <stp/>
        <stp>VOLUME</stp>
        <stp>.OPEN260220C4</stp>
        <tr r="M40" s="5"/>
      </tp>
      <tp t="s">
        <v>N/A</v>
        <stp/>
        <stp>VOLUME</stp>
        <stp>.OPEN260320C5</stp>
        <tr r="N38" s="5"/>
      </tp>
      <tp t="s">
        <v>N/A</v>
        <stp/>
        <stp>VOLUME</stp>
        <stp>.OPEN260220C3</stp>
        <tr r="M42" s="5"/>
      </tp>
      <tp t="s">
        <v>N/A</v>
        <stp/>
        <stp>VOLUME</stp>
        <stp>.OPEN260320C2</stp>
        <tr r="N44" s="5"/>
      </tp>
      <tp t="s">
        <v>N/A</v>
        <stp/>
        <stp>VOLUME</stp>
        <stp>.OPEN260220C2</stp>
        <tr r="M44" s="5"/>
      </tp>
      <tp t="s">
        <v>N/A</v>
        <stp/>
        <stp>VOLUME</stp>
        <stp>.OPEN260320C3</stp>
        <tr r="N42" s="5"/>
      </tp>
      <tp t="s">
        <v>N/A</v>
        <stp/>
        <stp>VOLUME</stp>
        <stp>.OPEN260220C1</stp>
        <tr r="M46" s="5"/>
      </tp>
      <tp t="s">
        <v>N/A</v>
        <stp/>
        <stp>VOLUME</stp>
        <stp>.OPEN260320C0</stp>
        <tr r="N48" s="5"/>
      </tp>
      <tp t="s">
        <v>N/A</v>
        <stp/>
        <stp>VOLUME</stp>
        <stp>.OPEN260220C0</stp>
        <tr r="M48" s="5"/>
      </tp>
      <tp t="s">
        <v>N/A</v>
        <stp/>
        <stp>VOLUME</stp>
        <stp>.OPEN260320C1</stp>
        <tr r="N46" s="5"/>
      </tp>
      <tp t="s">
        <v>N/A</v>
        <stp/>
        <stp>VOLUME</stp>
        <stp>.OPEN260220C9</stp>
        <tr r="M30" s="5"/>
      </tp>
      <tp t="s">
        <v>N/A</v>
        <stp/>
        <stp>VOLUME</stp>
        <stp>.OPEN260320C8</stp>
        <tr r="N32" s="5"/>
      </tp>
      <tp t="s">
        <v>N/A</v>
        <stp/>
        <stp>VOLUME</stp>
        <stp>.OPEN260220C8</stp>
        <tr r="M32" s="5"/>
      </tp>
      <tp t="s">
        <v>N/A</v>
        <stp/>
        <stp>VOLUME</stp>
        <stp>.OPEN260320C9</stp>
        <tr r="N30" s="5"/>
      </tp>
      <tp t="s">
        <v>N/A</v>
        <stp/>
        <stp>VOLUME</stp>
        <stp>.OPEN261120C4</stp>
        <tr r="V40" s="5"/>
      </tp>
      <tp t="s">
        <v>N/A</v>
        <stp/>
        <stp>VOLUME</stp>
        <stp>.OPEN261120C5</stp>
        <tr r="V38" s="5"/>
      </tp>
      <tp t="s">
        <v>N/A</v>
        <stp/>
        <stp>VOLUME</stp>
        <stp>.OPEN261120C6</stp>
        <tr r="V36" s="5"/>
      </tp>
      <tp t="s">
        <v>N/A</v>
        <stp/>
        <stp>VOLUME</stp>
        <stp>.OPEN261120C7</stp>
        <tr r="V34" s="5"/>
      </tp>
      <tp t="s">
        <v>N/A</v>
        <stp/>
        <stp>VOLUME</stp>
        <stp>.OPEN261120C0</stp>
        <tr r="V48" s="5"/>
      </tp>
      <tp t="s">
        <v>N/A</v>
        <stp/>
        <stp>VOLUME</stp>
        <stp>.OPEN261120C1</stp>
        <tr r="V46" s="5"/>
      </tp>
      <tp t="s">
        <v>N/A</v>
        <stp/>
        <stp>VOLUME</stp>
        <stp>.OPEN261120C2</stp>
        <tr r="V44" s="5"/>
      </tp>
      <tp t="s">
        <v>N/A</v>
        <stp/>
        <stp>VOLUME</stp>
        <stp>.OPEN261120C3</stp>
        <tr r="V42" s="5"/>
      </tp>
      <tp t="s">
        <v>N/A</v>
        <stp/>
        <stp>VOLUME</stp>
        <stp>.OPEN261120C8</stp>
        <tr r="V32" s="5"/>
      </tp>
      <tp t="s">
        <v>N/A</v>
        <stp/>
        <stp>VOLUME</stp>
        <stp>.OPEN261120C9</stp>
        <tr r="V30" s="5"/>
      </tp>
      <tp t="s">
        <v>N/A</v>
        <stp/>
        <stp>VOLUME</stp>
        <stp>.OPEN251114P4</stp>
        <tr r="C40" s="5"/>
      </tp>
      <tp t="s">
        <v>N/A</v>
        <stp/>
        <stp>VOLUME</stp>
        <stp>.OPEN251114P5</stp>
        <tr r="C38" s="5"/>
      </tp>
      <tp t="s">
        <v>N/A</v>
        <stp/>
        <stp>VOLUME</stp>
        <stp>.OPEN251114P6</stp>
        <tr r="C36" s="5"/>
      </tp>
      <tp t="s">
        <v>N/A</v>
        <stp/>
        <stp>VOLUME</stp>
        <stp>.OPEN251114P7</stp>
        <tr r="C34" s="5"/>
      </tp>
      <tp t="s">
        <v>N/A</v>
        <stp/>
        <stp>VOLUME</stp>
        <stp>.OPEN251114P0</stp>
        <tr r="C48" s="5"/>
      </tp>
      <tp t="s">
        <v>N/A</v>
        <stp/>
        <stp>VOLUME</stp>
        <stp>.OPEN251114P1</stp>
        <tr r="C46" s="5"/>
      </tp>
      <tp t="s">
        <v>N/A</v>
        <stp/>
        <stp>VOLUME</stp>
        <stp>.OPEN251114P2</stp>
        <tr r="C44" s="5"/>
      </tp>
      <tp t="s">
        <v>N/A</v>
        <stp/>
        <stp>VOLUME</stp>
        <stp>.OPEN251114P3</stp>
        <tr r="C42" s="5"/>
      </tp>
      <tp t="s">
        <v>N/A</v>
        <stp/>
        <stp>VOLUME</stp>
        <stp>.OPEN251114P8</stp>
        <tr r="C32" s="5"/>
      </tp>
      <tp t="s">
        <v>N/A</v>
        <stp/>
        <stp>VOLUME</stp>
        <stp>.OPEN251114P9</stp>
        <tr r="C30" s="5"/>
      </tp>
      <tp t="s">
        <v>N/A</v>
        <stp/>
        <stp>VOLUME</stp>
        <stp>.OPEN260417P1</stp>
        <tr r="O46" s="5"/>
      </tp>
      <tp t="s">
        <v>N/A</v>
        <stp/>
        <stp>VOLUME</stp>
        <stp>.OPEN260717P2</stp>
        <tr r="R44" s="5"/>
      </tp>
      <tp t="s">
        <v>N/A</v>
        <stp/>
        <stp>VOLUME</stp>
        <stp>.OPEN260417P0</stp>
        <tr r="O48" s="5"/>
      </tp>
      <tp t="s">
        <v>N/A</v>
        <stp/>
        <stp>VOLUME</stp>
        <stp>.OPEN260717P3</stp>
        <tr r="R42" s="5"/>
      </tp>
      <tp t="s">
        <v>N/A</v>
        <stp/>
        <stp>VOLUME</stp>
        <stp>.OPEN260417P3</stp>
        <tr r="O42" s="5"/>
      </tp>
      <tp t="s">
        <v>N/A</v>
        <stp/>
        <stp>VOLUME</stp>
        <stp>.OPEN260717P0</stp>
        <tr r="R48" s="5"/>
      </tp>
      <tp t="s">
        <v>N/A</v>
        <stp/>
        <stp>VOLUME</stp>
        <stp>.OPEN260417P2</stp>
        <tr r="O44" s="5"/>
      </tp>
      <tp t="s">
        <v>N/A</v>
        <stp/>
        <stp>VOLUME</stp>
        <stp>.OPEN260717P1</stp>
        <tr r="R46" s="5"/>
      </tp>
      <tp t="s">
        <v>N/A</v>
        <stp/>
        <stp>VOLUME</stp>
        <stp>.OPEN260417P5</stp>
        <tr r="O38" s="5"/>
      </tp>
      <tp t="s">
        <v>N/A</v>
        <stp/>
        <stp>VOLUME</stp>
        <stp>.OPEN260717P6</stp>
        <tr r="R36" s="5"/>
      </tp>
      <tp t="s">
        <v>N/A</v>
        <stp/>
        <stp>VOLUME</stp>
        <stp>.OPEN260417P4</stp>
        <tr r="O40" s="5"/>
      </tp>
      <tp t="s">
        <v>N/A</v>
        <stp/>
        <stp>VOLUME</stp>
        <stp>.OPEN260717P7</stp>
        <tr r="R34" s="5"/>
      </tp>
      <tp t="s">
        <v>N/A</v>
        <stp/>
        <stp>VOLUME</stp>
        <stp>.OPEN260417P7</stp>
        <tr r="O34" s="5"/>
      </tp>
      <tp t="s">
        <v>N/A</v>
        <stp/>
        <stp>VOLUME</stp>
        <stp>.OPEN260717P4</stp>
        <tr r="R40" s="5"/>
      </tp>
      <tp t="s">
        <v>N/A</v>
        <stp/>
        <stp>VOLUME</stp>
        <stp>.OPEN260417P6</stp>
        <tr r="O36" s="5"/>
      </tp>
      <tp t="s">
        <v>N/A</v>
        <stp/>
        <stp>VOLUME</stp>
        <stp>.OPEN260717P5</stp>
        <tr r="R38" s="5"/>
      </tp>
      <tp t="s">
        <v>N/A</v>
        <stp/>
        <stp>VOLUME</stp>
        <stp>.OPEN260417P9</stp>
        <tr r="O30" s="5"/>
      </tp>
      <tp t="s">
        <v>N/A</v>
        <stp/>
        <stp>VOLUME</stp>
        <stp>.OPEN260417P8</stp>
        <tr r="O32" s="5"/>
      </tp>
      <tp t="s">
        <v>N/A</v>
        <stp/>
        <stp>VOLUME</stp>
        <stp>.OPEN260717P8</stp>
        <tr r="R32" s="5"/>
      </tp>
      <tp t="s">
        <v>N/A</v>
        <stp/>
        <stp>VOLUME</stp>
        <stp>.OPEN260717P9</stp>
        <tr r="R30" s="5"/>
      </tp>
      <tp t="s">
        <v>N/A</v>
        <stp/>
        <stp>VOLUME</stp>
        <stp>.OPEN260417C1</stp>
        <tr r="O46" s="5"/>
      </tp>
      <tp t="s">
        <v>N/A</v>
        <stp/>
        <stp>VOLUME</stp>
        <stp>.OPEN260717C2</stp>
        <tr r="R44" s="5"/>
      </tp>
      <tp t="s">
        <v>N/A</v>
        <stp/>
        <stp>VOLUME</stp>
        <stp>.OPEN260417C0</stp>
        <tr r="O48" s="5"/>
      </tp>
      <tp t="s">
        <v>N/A</v>
        <stp/>
        <stp>VOLUME</stp>
        <stp>.OPEN260717C3</stp>
        <tr r="R42" s="5"/>
      </tp>
      <tp t="s">
        <v>N/A</v>
        <stp/>
        <stp>VOLUME</stp>
        <stp>.OPEN260417C3</stp>
        <tr r="O42" s="5"/>
      </tp>
      <tp t="s">
        <v>N/A</v>
        <stp/>
        <stp>VOLUME</stp>
        <stp>.OPEN260717C0</stp>
        <tr r="R48" s="5"/>
      </tp>
      <tp t="s">
        <v>N/A</v>
        <stp/>
        <stp>VOLUME</stp>
        <stp>.OPEN260417C2</stp>
        <tr r="O44" s="5"/>
      </tp>
      <tp t="s">
        <v>N/A</v>
        <stp/>
        <stp>VOLUME</stp>
        <stp>.OPEN260717C1</stp>
        <tr r="R46" s="5"/>
      </tp>
      <tp t="s">
        <v>N/A</v>
        <stp/>
        <stp>VOLUME</stp>
        <stp>.OPEN260417C5</stp>
        <tr r="O38" s="5"/>
      </tp>
      <tp t="s">
        <v>N/A</v>
        <stp/>
        <stp>VOLUME</stp>
        <stp>.OPEN260717C6</stp>
        <tr r="R36" s="5"/>
      </tp>
      <tp t="s">
        <v>N/A</v>
        <stp/>
        <stp>VOLUME</stp>
        <stp>.OPEN260417C4</stp>
        <tr r="O40" s="5"/>
      </tp>
      <tp t="s">
        <v>N/A</v>
        <stp/>
        <stp>VOLUME</stp>
        <stp>.OPEN260717C7</stp>
        <tr r="R34" s="5"/>
      </tp>
      <tp t="s">
        <v>N/A</v>
        <stp/>
        <stp>VOLUME</stp>
        <stp>.OPEN260417C7</stp>
        <tr r="O34" s="5"/>
      </tp>
      <tp t="s">
        <v>N/A</v>
        <stp/>
        <stp>VOLUME</stp>
        <stp>.OPEN260717C4</stp>
        <tr r="R40" s="5"/>
      </tp>
      <tp t="s">
        <v>N/A</v>
        <stp/>
        <stp>VOLUME</stp>
        <stp>.OPEN260417C6</stp>
        <tr r="O36" s="5"/>
      </tp>
      <tp t="s">
        <v>N/A</v>
        <stp/>
        <stp>VOLUME</stp>
        <stp>.OPEN260717C5</stp>
        <tr r="R38" s="5"/>
      </tp>
      <tp t="s">
        <v>N/A</v>
        <stp/>
        <stp>VOLUME</stp>
        <stp>.OPEN260417C9</stp>
        <tr r="O30" s="5"/>
      </tp>
      <tp t="s">
        <v>N/A</v>
        <stp/>
        <stp>VOLUME</stp>
        <stp>.OPEN260417C8</stp>
        <tr r="O32" s="5"/>
      </tp>
      <tp t="s">
        <v>N/A</v>
        <stp/>
        <stp>VOLUME</stp>
        <stp>.OPEN260717C8</stp>
        <tr r="R32" s="5"/>
      </tp>
      <tp t="s">
        <v>N/A</v>
        <stp/>
        <stp>VOLUME</stp>
        <stp>.OPEN260717C9</stp>
        <tr r="R30" s="5"/>
      </tp>
      <tp t="s">
        <v>N/A</v>
        <stp/>
        <stp>VOLUME</stp>
        <stp>.OPEN251114C4</stp>
        <tr r="C40" s="5"/>
      </tp>
      <tp t="s">
        <v>N/A</v>
        <stp/>
        <stp>VOLUME</stp>
        <stp>.OPEN251114C5</stp>
        <tr r="C38" s="5"/>
      </tp>
      <tp t="s">
        <v>N/A</v>
        <stp/>
        <stp>VOLUME</stp>
        <stp>.OPEN251114C6</stp>
        <tr r="C36" s="5"/>
      </tp>
      <tp t="s">
        <v>N/A</v>
        <stp/>
        <stp>VOLUME</stp>
        <stp>.OPEN251114C7</stp>
        <tr r="C34" s="5"/>
      </tp>
      <tp t="s">
        <v>N/A</v>
        <stp/>
        <stp>VOLUME</stp>
        <stp>.OPEN251114C0</stp>
        <tr r="C48" s="5"/>
      </tp>
      <tp t="s">
        <v>N/A</v>
        <stp/>
        <stp>VOLUME</stp>
        <stp>.OPEN251114C1</stp>
        <tr r="C46" s="5"/>
      </tp>
      <tp t="s">
        <v>N/A</v>
        <stp/>
        <stp>VOLUME</stp>
        <stp>.OPEN251114C2</stp>
        <tr r="C44" s="5"/>
      </tp>
      <tp t="s">
        <v>N/A</v>
        <stp/>
        <stp>VOLUME</stp>
        <stp>.OPEN251114C3</stp>
        <tr r="C42" s="5"/>
      </tp>
      <tp t="s">
        <v>N/A</v>
        <stp/>
        <stp>VOLUME</stp>
        <stp>.OPEN251114C8</stp>
        <tr r="C32" s="5"/>
      </tp>
      <tp t="s">
        <v>N/A</v>
        <stp/>
        <stp>VOLUME</stp>
        <stp>.OPEN251114C9</stp>
        <tr r="C30" s="5"/>
      </tp>
      <tp t="s">
        <v>N/A</v>
        <stp/>
        <stp>VOLUME</stp>
        <stp>.OPEN261016P5</stp>
        <tr r="U38" s="5"/>
      </tp>
      <tp t="s">
        <v>N/A</v>
        <stp/>
        <stp>VOLUME</stp>
        <stp>.OPEN251205P7</stp>
        <tr r="F34" s="5"/>
      </tp>
      <tp t="s">
        <v>N/A</v>
        <stp/>
        <stp>VOLUME</stp>
        <stp>.OPEN261016P4</stp>
        <tr r="U40" s="5"/>
      </tp>
      <tp t="s">
        <v>N/A</v>
        <stp/>
        <stp>VOLUME</stp>
        <stp>.OPEN251205P6</stp>
        <tr r="F36" s="5"/>
      </tp>
      <tp t="s">
        <v>N/A</v>
        <stp/>
        <stp>VOLUME</stp>
        <stp>.OPEN261016P7</stp>
        <tr r="U34" s="5"/>
      </tp>
      <tp t="s">
        <v>N/A</v>
        <stp/>
        <stp>VOLUME</stp>
        <stp>.OPEN251205P5</stp>
        <tr r="F38" s="5"/>
      </tp>
      <tp t="s">
        <v>N/A</v>
        <stp/>
        <stp>VOLUME</stp>
        <stp>.OPEN261016P6</stp>
        <tr r="U36" s="5"/>
      </tp>
      <tp t="s">
        <v>N/A</v>
        <stp/>
        <stp>VOLUME</stp>
        <stp>.OPEN251205P4</stp>
        <tr r="F40" s="5"/>
      </tp>
      <tp t="s">
        <v>N/A</v>
        <stp/>
        <stp>VOLUME</stp>
        <stp>.OPEN261016P1</stp>
        <tr r="U46" s="5"/>
      </tp>
      <tp t="s">
        <v>N/A</v>
        <stp/>
        <stp>VOLUME</stp>
        <stp>.OPEN251205P3</stp>
        <tr r="F42" s="5"/>
      </tp>
      <tp t="s">
        <v>N/A</v>
        <stp/>
        <stp>VOLUME</stp>
        <stp>.OPEN261016P0</stp>
        <tr r="U48" s="5"/>
      </tp>
      <tp t="s">
        <v>N/A</v>
        <stp/>
        <stp>VOLUME</stp>
        <stp>.OPEN251205P2</stp>
        <tr r="F44" s="5"/>
      </tp>
      <tp t="s">
        <v>N/A</v>
        <stp/>
        <stp>VOLUME</stp>
        <stp>.OPEN261016P3</stp>
        <tr r="U42" s="5"/>
      </tp>
      <tp t="s">
        <v>N/A</v>
        <stp/>
        <stp>VOLUME</stp>
        <stp>.OPEN251205P1</stp>
        <tr r="F46" s="5"/>
      </tp>
      <tp t="s">
        <v>N/A</v>
        <stp/>
        <stp>VOLUME</stp>
        <stp>.OPEN261016P2</stp>
        <tr r="U44" s="5"/>
      </tp>
      <tp t="s">
        <v>N/A</v>
        <stp/>
        <stp>VOLUME</stp>
        <stp>.OPEN251205P0</stp>
        <tr r="F48" s="5"/>
      </tp>
      <tp t="s">
        <v>N/A</v>
        <stp/>
        <stp>VOLUME</stp>
        <stp>.OPEN261016P9</stp>
        <tr r="U30" s="5"/>
      </tp>
      <tp t="s">
        <v>N/A</v>
        <stp/>
        <stp>VOLUME</stp>
        <stp>.OPEN261016P8</stp>
        <tr r="U32" s="5"/>
      </tp>
      <tp t="s">
        <v>N/A</v>
        <stp/>
        <stp>VOLUME</stp>
        <stp>.OPEN251205P9</stp>
        <tr r="F30" s="5"/>
      </tp>
      <tp t="s">
        <v>N/A</v>
        <stp/>
        <stp>VOLUME</stp>
        <stp>.OPEN251205P8</stp>
        <tr r="F32" s="5"/>
      </tp>
      <tp t="s">
        <v>N/A</v>
        <stp/>
        <stp>VOLUME</stp>
        <stp>.OPEN260116P4</stp>
        <tr r="L40" s="5"/>
      </tp>
      <tp t="s">
        <v>N/A</v>
        <stp/>
        <stp>VOLUME</stp>
        <stp>.OPEN260116P5</stp>
        <tr r="L38" s="5"/>
      </tp>
      <tp t="s">
        <v>N/A</v>
        <stp/>
        <stp>VOLUME</stp>
        <stp>.OPEN260116P6</stp>
        <tr r="L36" s="5"/>
      </tp>
      <tp t="s">
        <v>N/A</v>
        <stp/>
        <stp>VOLUME</stp>
        <stp>.OPEN260116P7</stp>
        <tr r="L34" s="5"/>
      </tp>
      <tp t="s">
        <v>N/A</v>
        <stp/>
        <stp>VOLUME</stp>
        <stp>.OPEN260116P0</stp>
        <tr r="L48" s="5"/>
      </tp>
      <tp t="s">
        <v>N/A</v>
        <stp/>
        <stp>VOLUME</stp>
        <stp>.OPEN260116P1</stp>
        <tr r="L46" s="5"/>
      </tp>
      <tp t="s">
        <v>N/A</v>
        <stp/>
        <stp>VOLUME</stp>
        <stp>.OPEN260116P2</stp>
        <tr r="L44" s="5"/>
      </tp>
      <tp t="s">
        <v>N/A</v>
        <stp/>
        <stp>VOLUME</stp>
        <stp>.OPEN260116P3</stp>
        <tr r="L42" s="5"/>
      </tp>
      <tp t="s">
        <v>N/A</v>
        <stp/>
        <stp>VOLUME</stp>
        <stp>.OPEN260116P8</stp>
        <tr r="L32" s="5"/>
      </tp>
      <tp t="s">
        <v>N/A</v>
        <stp/>
        <stp>VOLUME</stp>
        <stp>.OPEN260116P9</stp>
        <tr r="L30" s="5"/>
      </tp>
      <tp t="s">
        <v>N/A</v>
        <stp/>
        <stp>VOLUME</stp>
        <stp>.OPEN260116C4</stp>
        <tr r="L40" s="5"/>
      </tp>
      <tp t="s">
        <v>N/A</v>
        <stp/>
        <stp>VOLUME</stp>
        <stp>.OPEN260116C5</stp>
        <tr r="L38" s="5"/>
      </tp>
      <tp t="s">
        <v>N/A</v>
        <stp/>
        <stp>VOLUME</stp>
        <stp>.OPEN260116C6</stp>
        <tr r="L36" s="5"/>
      </tp>
      <tp t="s">
        <v>N/A</v>
        <stp/>
        <stp>VOLUME</stp>
        <stp>.OPEN260116C7</stp>
        <tr r="L34" s="5"/>
      </tp>
      <tp t="s">
        <v>N/A</v>
        <stp/>
        <stp>VOLUME</stp>
        <stp>.OPEN260116C0</stp>
        <tr r="L48" s="5"/>
      </tp>
      <tp t="s">
        <v>N/A</v>
        <stp/>
        <stp>VOLUME</stp>
        <stp>.OPEN260116C1</stp>
        <tr r="L46" s="5"/>
      </tp>
      <tp t="s">
        <v>N/A</v>
        <stp/>
        <stp>VOLUME</stp>
        <stp>.OPEN260116C2</stp>
        <tr r="L44" s="5"/>
      </tp>
      <tp t="s">
        <v>N/A</v>
        <stp/>
        <stp>VOLUME</stp>
        <stp>.OPEN260116C3</stp>
        <tr r="L42" s="5"/>
      </tp>
      <tp t="s">
        <v>N/A</v>
        <stp/>
        <stp>VOLUME</stp>
        <stp>.OPEN260116C8</stp>
        <tr r="L32" s="5"/>
      </tp>
      <tp t="s">
        <v>N/A</v>
        <stp/>
        <stp>VOLUME</stp>
        <stp>.OPEN260116C9</stp>
        <tr r="L30" s="5"/>
      </tp>
      <tp t="s">
        <v>N/A</v>
        <stp/>
        <stp>VOLUME</stp>
        <stp>.OPEN261016C5</stp>
        <tr r="U38" s="5"/>
      </tp>
      <tp t="s">
        <v>N/A</v>
        <stp/>
        <stp>VOLUME</stp>
        <stp>.OPEN251205C7</stp>
        <tr r="F34" s="5"/>
      </tp>
      <tp t="s">
        <v>N/A</v>
        <stp/>
        <stp>VOLUME</stp>
        <stp>.OPEN261016C4</stp>
        <tr r="U40" s="5"/>
      </tp>
      <tp t="s">
        <v>N/A</v>
        <stp/>
        <stp>VOLUME</stp>
        <stp>.OPEN251205C6</stp>
        <tr r="F36" s="5"/>
      </tp>
      <tp t="s">
        <v>N/A</v>
        <stp/>
        <stp>VOLUME</stp>
        <stp>.OPEN261016C7</stp>
        <tr r="U34" s="5"/>
      </tp>
      <tp t="s">
        <v>N/A</v>
        <stp/>
        <stp>VOLUME</stp>
        <stp>.OPEN251205C5</stp>
        <tr r="F38" s="5"/>
      </tp>
      <tp t="s">
        <v>N/A</v>
        <stp/>
        <stp>VOLUME</stp>
        <stp>.OPEN261016C6</stp>
        <tr r="U36" s="5"/>
      </tp>
      <tp t="s">
        <v>N/A</v>
        <stp/>
        <stp>VOLUME</stp>
        <stp>.OPEN251205C4</stp>
        <tr r="F40" s="5"/>
      </tp>
      <tp t="s">
        <v>N/A</v>
        <stp/>
        <stp>VOLUME</stp>
        <stp>.OPEN261016C1</stp>
        <tr r="U46" s="5"/>
      </tp>
      <tp t="s">
        <v>N/A</v>
        <stp/>
        <stp>VOLUME</stp>
        <stp>.OPEN251205C3</stp>
        <tr r="F42" s="5"/>
      </tp>
      <tp t="s">
        <v>N/A</v>
        <stp/>
        <stp>VOLUME</stp>
        <stp>.OPEN261016C0</stp>
        <tr r="U48" s="5"/>
      </tp>
      <tp t="s">
        <v>N/A</v>
        <stp/>
        <stp>VOLUME</stp>
        <stp>.OPEN251205C2</stp>
        <tr r="F44" s="5"/>
      </tp>
      <tp t="s">
        <v>N/A</v>
        <stp/>
        <stp>VOLUME</stp>
        <stp>.OPEN261016C3</stp>
        <tr r="U42" s="5"/>
      </tp>
      <tp t="s">
        <v>N/A</v>
        <stp/>
        <stp>VOLUME</stp>
        <stp>.OPEN251205C1</stp>
        <tr r="F46" s="5"/>
      </tp>
      <tp t="s">
        <v>N/A</v>
        <stp/>
        <stp>VOLUME</stp>
        <stp>.OPEN261016C2</stp>
        <tr r="U44" s="5"/>
      </tp>
      <tp t="s">
        <v>N/A</v>
        <stp/>
        <stp>VOLUME</stp>
        <stp>.OPEN251205C0</stp>
        <tr r="F48" s="5"/>
      </tp>
      <tp t="s">
        <v>N/A</v>
        <stp/>
        <stp>VOLUME</stp>
        <stp>.OPEN261016C9</stp>
        <tr r="U30" s="5"/>
      </tp>
      <tp t="s">
        <v>N/A</v>
        <stp/>
        <stp>VOLUME</stp>
        <stp>.OPEN261016C8</stp>
        <tr r="U32" s="5"/>
      </tp>
      <tp t="s">
        <v>N/A</v>
        <stp/>
        <stp>VOLUME</stp>
        <stp>.OPEN251205C9</stp>
        <tr r="F30" s="5"/>
      </tp>
      <tp t="s">
        <v>N/A</v>
        <stp/>
        <stp>VOLUME</stp>
        <stp>.OPEN251205C8</stp>
        <tr r="F32" s="5"/>
      </tp>
      <tp t="s">
        <v>N/A</v>
        <stp/>
        <stp>VOLUME</stp>
        <stp>.OPEN260821P-1</stp>
        <tr r="S50" s="5"/>
      </tp>
      <tp t="s">
        <v>N/A</v>
        <stp/>
        <stp>VOLUME</stp>
        <stp>.OPEN260918P-1</stp>
        <tr r="T50" s="5"/>
      </tp>
      <tp t="s">
        <v>N/A</v>
        <stp/>
        <stp>VOLUME</stp>
        <stp>.OPEN260109P-1</stp>
        <tr r="K50" s="5"/>
      </tp>
      <tp t="s">
        <v>N/A</v>
        <stp/>
        <stp>VOLUME</stp>
        <stp>.OPEN260102P-1</stp>
        <tr r="J50" s="5"/>
      </tp>
      <tp t="s">
        <v>N/A</v>
        <stp/>
        <stp>VOLUME</stp>
        <stp>.OPEN260116P-1</stp>
        <tr r="L50" s="5"/>
      </tp>
      <tp t="s">
        <v>N/A</v>
        <stp/>
        <stp>VOLUME</stp>
        <stp>.OPEN260220P-1</stp>
        <tr r="M50" s="5"/>
      </tp>
      <tp t="s">
        <v>N/A</v>
        <stp/>
        <stp>VOLUME</stp>
        <stp>.OPEN260320P-1</stp>
        <tr r="N50" s="5"/>
      </tp>
      <tp t="s">
        <v>N/A</v>
        <stp/>
        <stp>VOLUME</stp>
        <stp>.OPEN260417P-1</stp>
        <tr r="O50" s="5"/>
      </tp>
      <tp t="s">
        <v>N/A</v>
        <stp/>
        <stp>VOLUME</stp>
        <stp>.OPEN260515P-1</stp>
        <tr r="P50" s="5"/>
      </tp>
      <tp t="s">
        <v>N/A</v>
        <stp/>
        <stp>VOLUME</stp>
        <stp>.OPEN260619P-1</stp>
        <tr r="Q50" s="5"/>
      </tp>
      <tp t="s">
        <v>N/A</v>
        <stp/>
        <stp>VOLUME</stp>
        <stp>.OPEN260717P-1</stp>
        <tr r="R50" s="5"/>
      </tp>
      <tp t="s">
        <v>N/A</v>
        <stp/>
        <stp>VOLUME</stp>
        <stp>.OPEN260417P18</stp>
        <tr r="O12" s="5"/>
      </tp>
      <tp t="s">
        <v>N/A</v>
        <stp/>
        <stp>VOLUME</stp>
        <stp>.OPEN260417P19</stp>
        <tr r="O10" s="5"/>
      </tp>
      <tp t="s">
        <v>N/A</v>
        <stp/>
        <stp>VOLUME</stp>
        <stp>.OPEN260417P14</stp>
        <tr r="O20" s="5"/>
      </tp>
      <tp t="s">
        <v>N/A</v>
        <stp/>
        <stp>VOLUME</stp>
        <stp>.OPEN260417P15</stp>
        <tr r="O18" s="5"/>
      </tp>
      <tp t="s">
        <v>N/A</v>
        <stp/>
        <stp>VOLUME</stp>
        <stp>.OPEN260417P16</stp>
        <tr r="O16" s="5"/>
      </tp>
      <tp t="s">
        <v>N/A</v>
        <stp/>
        <stp>VOLUME</stp>
        <stp>.OPEN260417P17</stp>
        <tr r="O14" s="5"/>
      </tp>
      <tp t="s">
        <v>N/A</v>
        <stp/>
        <stp>VOLUME</stp>
        <stp>.OPEN260417P10</stp>
        <tr r="O28" s="5"/>
      </tp>
      <tp t="s">
        <v>N/A</v>
        <stp/>
        <stp>VOLUME</stp>
        <stp>.OPEN260717P20</stp>
        <tr r="R8" s="5"/>
      </tp>
      <tp t="s">
        <v>N/A</v>
        <stp/>
        <stp>VOLUME</stp>
        <stp>.OPEN260417P11</stp>
        <tr r="O26" s="5"/>
      </tp>
      <tp t="s">
        <v>N/A</v>
        <stp/>
        <stp>VOLUME</stp>
        <stp>.OPEN260717P21</stp>
        <tr r="R6" s="5"/>
      </tp>
      <tp t="s">
        <v>N/A</v>
        <stp/>
        <stp>VOLUME</stp>
        <stp>.OPEN260417P12</stp>
        <tr r="O24" s="5"/>
      </tp>
      <tp t="s">
        <v>N/A</v>
        <stp/>
        <stp>VOLUME</stp>
        <stp>.OPEN260417P13</stp>
        <tr r="O22" s="5"/>
      </tp>
      <tp t="s">
        <v>N/A</v>
        <stp/>
        <stp>VOLUME</stp>
        <stp>.OPEN260515P18</stp>
        <tr r="P12" s="5"/>
      </tp>
      <tp t="s">
        <v>N/A</v>
        <stp/>
        <stp>VOLUME</stp>
        <stp>.OPEN260515P19</stp>
        <tr r="P10" s="5"/>
      </tp>
      <tp t="s">
        <v>N/A</v>
        <stp/>
        <stp>VOLUME</stp>
        <stp>.OPEN260515P14</stp>
        <tr r="P20" s="5"/>
      </tp>
      <tp t="s">
        <v>N/A</v>
        <stp/>
        <stp>VOLUME</stp>
        <stp>.OPEN260515P15</stp>
        <tr r="P18" s="5"/>
      </tp>
      <tp t="s">
        <v>N/A</v>
        <stp/>
        <stp>VOLUME</stp>
        <stp>.OPEN260515P16</stp>
        <tr r="P16" s="5"/>
      </tp>
      <tp t="s">
        <v>N/A</v>
        <stp/>
        <stp>VOLUME</stp>
        <stp>.OPEN260515P17</stp>
        <tr r="P14" s="5"/>
      </tp>
      <tp t="s">
        <v>N/A</v>
        <stp/>
        <stp>VOLUME</stp>
        <stp>.OPEN260619P20</stp>
        <tr r="Q8" s="5"/>
      </tp>
      <tp t="s">
        <v>N/A</v>
        <stp/>
        <stp>VOLUME</stp>
        <stp>.OPEN260515P10</stp>
        <tr r="P28" s="5"/>
      </tp>
      <tp t="s">
        <v>N/A</v>
        <stp/>
        <stp>VOLUME</stp>
        <stp>.OPEN260619P21</stp>
        <tr r="Q6" s="5"/>
      </tp>
      <tp t="s">
        <v>N/A</v>
        <stp/>
        <stp>VOLUME</stp>
        <stp>.OPEN260515P11</stp>
        <tr r="P26" s="5"/>
      </tp>
      <tp t="s">
        <v>N/A</v>
        <stp/>
        <stp>VOLUME</stp>
        <stp>.OPEN260515P12</stp>
        <tr r="P24" s="5"/>
      </tp>
      <tp t="s">
        <v>N/A</v>
        <stp/>
        <stp>VOLUME</stp>
        <stp>.OPEN260515P13</stp>
        <tr r="P22" s="5"/>
      </tp>
      <tp t="s">
        <v>N/A</v>
        <stp/>
        <stp>VOLUME</stp>
        <stp>.OPEN260619P18</stp>
        <tr r="Q12" s="5"/>
      </tp>
      <tp t="s">
        <v>N/A</v>
        <stp/>
        <stp>VOLUME</stp>
        <stp>.OPEN260619P19</stp>
        <tr r="Q10" s="5"/>
      </tp>
      <tp t="s">
        <v>N/A</v>
        <stp/>
        <stp>VOLUME</stp>
        <stp>.OPEN260619P14</stp>
        <tr r="Q20" s="5"/>
      </tp>
      <tp t="s">
        <v>N/A</v>
        <stp/>
        <stp>VOLUME</stp>
        <stp>.OPEN260619P15</stp>
        <tr r="Q18" s="5"/>
      </tp>
      <tp t="s">
        <v>N/A</v>
        <stp/>
        <stp>VOLUME</stp>
        <stp>.OPEN260619P16</stp>
        <tr r="Q16" s="5"/>
      </tp>
      <tp t="s">
        <v>N/A</v>
        <stp/>
        <stp>VOLUME</stp>
        <stp>.OPEN260619P17</stp>
        <tr r="Q14" s="5"/>
      </tp>
      <tp t="s">
        <v>N/A</v>
        <stp/>
        <stp>VOLUME</stp>
        <stp>.OPEN260619P10</stp>
        <tr r="Q28" s="5"/>
      </tp>
      <tp t="s">
        <v>N/A</v>
        <stp/>
        <stp>VOLUME</stp>
        <stp>.OPEN260515P20</stp>
        <tr r="P8" s="5"/>
      </tp>
      <tp t="s">
        <v>N/A</v>
        <stp/>
        <stp>VOLUME</stp>
        <stp>.OPEN260619P11</stp>
        <tr r="Q26" s="5"/>
      </tp>
      <tp t="s">
        <v>N/A</v>
        <stp/>
        <stp>VOLUME</stp>
        <stp>.OPEN260515P21</stp>
        <tr r="P6" s="5"/>
      </tp>
      <tp t="s">
        <v>N/A</v>
        <stp/>
        <stp>VOLUME</stp>
        <stp>.OPEN260619P12</stp>
        <tr r="Q24" s="5"/>
      </tp>
      <tp t="s">
        <v>N/A</v>
        <stp/>
        <stp>VOLUME</stp>
        <stp>.OPEN260619P13</stp>
        <tr r="Q22" s="5"/>
      </tp>
      <tp t="s">
        <v>N/A</v>
        <stp/>
        <stp>VOLUME</stp>
        <stp>.OPEN260717P18</stp>
        <tr r="R12" s="5"/>
      </tp>
      <tp t="s">
        <v>N/A</v>
        <stp/>
        <stp>VOLUME</stp>
        <stp>.OPEN260717P19</stp>
        <tr r="R10" s="5"/>
      </tp>
      <tp t="s">
        <v>N/A</v>
        <stp/>
        <stp>VOLUME</stp>
        <stp>.OPEN260717P14</stp>
        <tr r="R20" s="5"/>
      </tp>
      <tp t="s">
        <v>N/A</v>
        <stp/>
        <stp>VOLUME</stp>
        <stp>.OPEN260717P15</stp>
        <tr r="R18" s="5"/>
      </tp>
      <tp t="s">
        <v>N/A</v>
        <stp/>
        <stp>VOLUME</stp>
        <stp>.OPEN260717P16</stp>
        <tr r="R16" s="5"/>
      </tp>
      <tp t="s">
        <v>N/A</v>
        <stp/>
        <stp>VOLUME</stp>
        <stp>.OPEN260717P17</stp>
        <tr r="R14" s="5"/>
      </tp>
      <tp t="s">
        <v>N/A</v>
        <stp/>
        <stp>VOLUME</stp>
        <stp>.OPEN260417P20</stp>
        <tr r="O8" s="5"/>
      </tp>
      <tp t="s">
        <v>N/A</v>
        <stp/>
        <stp>VOLUME</stp>
        <stp>.OPEN260717P10</stp>
        <tr r="R28" s="5"/>
      </tp>
      <tp t="s">
        <v>N/A</v>
        <stp/>
        <stp>VOLUME</stp>
        <stp>.OPEN260417P21</stp>
        <tr r="O6" s="5"/>
      </tp>
      <tp t="s">
        <v>N/A</v>
        <stp/>
        <stp>VOLUME</stp>
        <stp>.OPEN260717P11</stp>
        <tr r="R26" s="5"/>
      </tp>
      <tp t="s">
        <v>N/A</v>
        <stp/>
        <stp>VOLUME</stp>
        <stp>.OPEN260717P12</stp>
        <tr r="R24" s="5"/>
      </tp>
      <tp t="s">
        <v>N/A</v>
        <stp/>
        <stp>VOLUME</stp>
        <stp>.OPEN260717P13</stp>
        <tr r="R22" s="5"/>
      </tp>
      <tp t="s">
        <v>N/A</v>
        <stp/>
        <stp>VOLUME</stp>
        <stp>.OPEN260320P21</stp>
        <tr r="N6" s="5"/>
      </tp>
      <tp t="s">
        <v>N/A</v>
        <stp/>
        <stp>VOLUME</stp>
        <stp>.OPEN260320P20</stp>
        <tr r="N8" s="5"/>
      </tp>
      <tp t="s">
        <v>N/A</v>
        <stp/>
        <stp>VOLUME</stp>
        <stp>.OPEN260109P19</stp>
        <tr r="K10" s="5"/>
      </tp>
      <tp t="s">
        <v>N/A</v>
        <stp/>
        <stp>VOLUME</stp>
        <stp>.OPEN260102P19</stp>
        <tr r="J10" s="5"/>
      </tp>
      <tp t="s">
        <v>N/A</v>
        <stp/>
        <stp>VOLUME</stp>
        <stp>.OPEN260116P18</stp>
        <tr r="L12" s="5"/>
      </tp>
      <tp t="s">
        <v>N/A</v>
        <stp/>
        <stp>VOLUME</stp>
        <stp>.OPEN260109P18</stp>
        <tr r="K12" s="5"/>
      </tp>
      <tp t="s">
        <v>N/A</v>
        <stp/>
        <stp>VOLUME</stp>
        <stp>.OPEN260102P18</stp>
        <tr r="J12" s="5"/>
      </tp>
      <tp t="s">
        <v>N/A</v>
        <stp/>
        <stp>VOLUME</stp>
        <stp>.OPEN260116P19</stp>
        <tr r="L10" s="5"/>
      </tp>
      <tp t="s">
        <v>N/A</v>
        <stp/>
        <stp>VOLUME</stp>
        <stp>.OPEN260109P15</stp>
        <tr r="K18" s="5"/>
      </tp>
      <tp t="s">
        <v>N/A</v>
        <stp/>
        <stp>VOLUME</stp>
        <stp>.OPEN260102P15</stp>
        <tr r="J18" s="5"/>
      </tp>
      <tp t="s">
        <v>N/A</v>
        <stp/>
        <stp>VOLUME</stp>
        <stp>.OPEN260116P14</stp>
        <tr r="L20" s="5"/>
      </tp>
      <tp t="s">
        <v>N/A</v>
        <stp/>
        <stp>VOLUME</stp>
        <stp>.OPEN260109P14</stp>
        <tr r="K20" s="5"/>
      </tp>
      <tp t="s">
        <v>N/A</v>
        <stp/>
        <stp>VOLUME</stp>
        <stp>.OPEN260102P14</stp>
        <tr r="J20" s="5"/>
      </tp>
      <tp t="s">
        <v>N/A</v>
        <stp/>
        <stp>VOLUME</stp>
        <stp>.OPEN260116P15</stp>
        <tr r="L18" s="5"/>
      </tp>
      <tp t="s">
        <v>N/A</v>
        <stp/>
        <stp>VOLUME</stp>
        <stp>.OPEN260109P17</stp>
        <tr r="K14" s="5"/>
      </tp>
      <tp t="s">
        <v>N/A</v>
        <stp/>
        <stp>VOLUME</stp>
        <stp>.OPEN260102P17</stp>
        <tr r="J14" s="5"/>
      </tp>
      <tp t="s">
        <v>N/A</v>
        <stp/>
        <stp>VOLUME</stp>
        <stp>.OPEN260116P16</stp>
        <tr r="L16" s="5"/>
      </tp>
      <tp t="s">
        <v>N/A</v>
        <stp/>
        <stp>VOLUME</stp>
        <stp>.OPEN260109P16</stp>
        <tr r="K16" s="5"/>
      </tp>
      <tp t="s">
        <v>N/A</v>
        <stp/>
        <stp>VOLUME</stp>
        <stp>.OPEN260102P16</stp>
        <tr r="J16" s="5"/>
      </tp>
      <tp t="s">
        <v>N/A</v>
        <stp/>
        <stp>VOLUME</stp>
        <stp>.OPEN260116P17</stp>
        <tr r="L14" s="5"/>
      </tp>
      <tp t="s">
        <v>N/A</v>
        <stp/>
        <stp>VOLUME</stp>
        <stp>.OPEN260109P11</stp>
        <tr r="K26" s="5"/>
      </tp>
      <tp t="s">
        <v>N/A</v>
        <stp/>
        <stp>VOLUME</stp>
        <stp>.OPEN260102P11</stp>
        <tr r="J26" s="5"/>
      </tp>
      <tp t="s">
        <v>N/A</v>
        <stp/>
        <stp>VOLUME</stp>
        <stp>.OPEN260116P10</stp>
        <tr r="L28" s="5"/>
      </tp>
      <tp t="s">
        <v>N/A</v>
        <stp/>
        <stp>VOLUME</stp>
        <stp>.OPEN260109P10</stp>
        <tr r="K28" s="5"/>
      </tp>
      <tp t="s">
        <v>N/A</v>
        <stp/>
        <stp>VOLUME</stp>
        <stp>.OPEN260102P10</stp>
        <tr r="J28" s="5"/>
      </tp>
      <tp t="s">
        <v>N/A</v>
        <stp/>
        <stp>VOLUME</stp>
        <stp>.OPEN260116P11</stp>
        <tr r="L26" s="5"/>
      </tp>
      <tp t="s">
        <v>N/A</v>
        <stp/>
        <stp>VOLUME</stp>
        <stp>.OPEN260109P13</stp>
        <tr r="K22" s="5"/>
      </tp>
      <tp t="s">
        <v>N/A</v>
        <stp/>
        <stp>VOLUME</stp>
        <stp>.OPEN260102P13</stp>
        <tr r="J22" s="5"/>
      </tp>
      <tp t="s">
        <v>N/A</v>
        <stp/>
        <stp>VOLUME</stp>
        <stp>.OPEN260220P21</stp>
        <tr r="M6" s="5"/>
      </tp>
      <tp t="s">
        <v>N/A</v>
        <stp/>
        <stp>VOLUME</stp>
        <stp>.OPEN260116P12</stp>
        <tr r="L24" s="5"/>
      </tp>
      <tp t="s">
        <v>N/A</v>
        <stp/>
        <stp>VOLUME</stp>
        <stp>.OPEN260109P12</stp>
        <tr r="K24" s="5"/>
      </tp>
      <tp t="s">
        <v>N/A</v>
        <stp/>
        <stp>VOLUME</stp>
        <stp>.OPEN260102P12</stp>
        <tr r="J24" s="5"/>
      </tp>
      <tp t="s">
        <v>N/A</v>
        <stp/>
        <stp>VOLUME</stp>
        <stp>.OPEN260220P20</stp>
        <tr r="M8" s="5"/>
      </tp>
      <tp t="s">
        <v>N/A</v>
        <stp/>
        <stp>VOLUME</stp>
        <stp>.OPEN260116P13</stp>
        <tr r="L22" s="5"/>
      </tp>
      <tp t="s">
        <v>N/A</v>
        <stp/>
        <stp>VOLUME</stp>
        <stp>.OPEN260220P19</stp>
        <tr r="M10" s="5"/>
      </tp>
      <tp t="s">
        <v>N/A</v>
        <stp/>
        <stp>VOLUME</stp>
        <stp>.OPEN260220P18</stp>
        <tr r="M12" s="5"/>
      </tp>
      <tp t="s">
        <v>N/A</v>
        <stp/>
        <stp>VOLUME</stp>
        <stp>.OPEN260220P17</stp>
        <tr r="M14" s="5"/>
      </tp>
      <tp t="s">
        <v>N/A</v>
        <stp/>
        <stp>VOLUME</stp>
        <stp>.OPEN260220P16</stp>
        <tr r="M16" s="5"/>
      </tp>
      <tp t="s">
        <v>N/A</v>
        <stp/>
        <stp>VOLUME</stp>
        <stp>.OPEN260220P15</stp>
        <tr r="M18" s="5"/>
      </tp>
      <tp t="s">
        <v>N/A</v>
        <stp/>
        <stp>VOLUME</stp>
        <stp>.OPEN260220P14</stp>
        <tr r="M20" s="5"/>
      </tp>
      <tp t="s">
        <v>N/A</v>
        <stp/>
        <stp>VOLUME</stp>
        <stp>.OPEN260109P21</stp>
        <tr r="K6" s="5"/>
      </tp>
      <tp t="s">
        <v>N/A</v>
        <stp/>
        <stp>VOLUME</stp>
        <stp>.OPEN260102P21</stp>
        <tr r="J6" s="5"/>
      </tp>
      <tp t="s">
        <v>N/A</v>
        <stp/>
        <stp>VOLUME</stp>
        <stp>.OPEN260220P13</stp>
        <tr r="M22" s="5"/>
      </tp>
      <tp t="s">
        <v>N/A</v>
        <stp/>
        <stp>VOLUME</stp>
        <stp>.OPEN260116P20</stp>
        <tr r="L8" s="5"/>
      </tp>
      <tp t="s">
        <v>N/A</v>
        <stp/>
        <stp>VOLUME</stp>
        <stp>.OPEN260109P20</stp>
        <tr r="K8" s="5"/>
      </tp>
      <tp t="s">
        <v>N/A</v>
        <stp/>
        <stp>VOLUME</stp>
        <stp>.OPEN260102P20</stp>
        <tr r="J8" s="5"/>
      </tp>
      <tp t="s">
        <v>N/A</v>
        <stp/>
        <stp>VOLUME</stp>
        <stp>.OPEN260220P12</stp>
        <tr r="M24" s="5"/>
      </tp>
      <tp t="s">
        <v>N/A</v>
        <stp/>
        <stp>VOLUME</stp>
        <stp>.OPEN260116P21</stp>
        <tr r="L6" s="5"/>
      </tp>
      <tp t="s">
        <v>N/A</v>
        <stp/>
        <stp>VOLUME</stp>
        <stp>.OPEN260220P11</stp>
        <tr r="M26" s="5"/>
      </tp>
      <tp t="s">
        <v>N/A</v>
        <stp/>
        <stp>VOLUME</stp>
        <stp>.OPEN260220P10</stp>
        <tr r="M28" s="5"/>
      </tp>
      <tp t="s">
        <v>N/A</v>
        <stp/>
        <stp>VOLUME</stp>
        <stp>.OPEN260320P19</stp>
        <tr r="N10" s="5"/>
      </tp>
      <tp t="s">
        <v>N/A</v>
        <stp/>
        <stp>VOLUME</stp>
        <stp>.OPEN260320P18</stp>
        <tr r="N12" s="5"/>
      </tp>
      <tp t="s">
        <v>N/A</v>
        <stp/>
        <stp>VOLUME</stp>
        <stp>.OPEN260320P17</stp>
        <tr r="N14" s="5"/>
      </tp>
      <tp t="s">
        <v>N/A</v>
        <stp/>
        <stp>VOLUME</stp>
        <stp>.OPEN260320P16</stp>
        <tr r="N16" s="5"/>
      </tp>
      <tp t="s">
        <v>N/A</v>
        <stp/>
        <stp>VOLUME</stp>
        <stp>.OPEN260320P15</stp>
        <tr r="N18" s="5"/>
      </tp>
      <tp t="s">
        <v>N/A</v>
        <stp/>
        <stp>VOLUME</stp>
        <stp>.OPEN260320P14</stp>
        <tr r="N20" s="5"/>
      </tp>
      <tp t="s">
        <v>N/A</v>
        <stp/>
        <stp>VOLUME</stp>
        <stp>.OPEN260320P13</stp>
        <tr r="N22" s="5"/>
      </tp>
      <tp t="s">
        <v>N/A</v>
        <stp/>
        <stp>VOLUME</stp>
        <stp>.OPEN260320P12</stp>
        <tr r="N24" s="5"/>
      </tp>
      <tp t="s">
        <v>N/A</v>
        <stp/>
        <stp>VOLUME</stp>
        <stp>.OPEN260320P11</stp>
        <tr r="N26" s="5"/>
      </tp>
      <tp t="s">
        <v>N/A</v>
        <stp/>
        <stp>VOLUME</stp>
        <stp>.OPEN260320P10</stp>
        <tr r="N28" s="5"/>
      </tp>
      <tp t="s">
        <v>N/A</v>
        <stp/>
        <stp>VOLUME</stp>
        <stp>.OPEN260821P19</stp>
        <tr r="S10" s="5"/>
      </tp>
      <tp t="s">
        <v>N/A</v>
        <stp/>
        <stp>VOLUME</stp>
        <stp>.OPEN260821P18</stp>
        <tr r="S12" s="5"/>
      </tp>
      <tp t="s">
        <v>N/A</v>
        <stp/>
        <stp>VOLUME</stp>
        <stp>.OPEN260821P17</stp>
        <tr r="S14" s="5"/>
      </tp>
      <tp t="s">
        <v>N/A</v>
        <stp/>
        <stp>VOLUME</stp>
        <stp>.OPEN260821P16</stp>
        <tr r="S16" s="5"/>
      </tp>
      <tp t="s">
        <v>N/A</v>
        <stp/>
        <stp>VOLUME</stp>
        <stp>.OPEN260821P15</stp>
        <tr r="S18" s="5"/>
      </tp>
      <tp t="s">
        <v>N/A</v>
        <stp/>
        <stp>VOLUME</stp>
        <stp>.OPEN260821P14</stp>
        <tr r="S20" s="5"/>
      </tp>
      <tp t="s">
        <v>N/A</v>
        <stp/>
        <stp>VOLUME</stp>
        <stp>.OPEN260821P13</stp>
        <tr r="S22" s="5"/>
      </tp>
      <tp t="s">
        <v>N/A</v>
        <stp/>
        <stp>VOLUME</stp>
        <stp>.OPEN260821P12</stp>
        <tr r="S24" s="5"/>
      </tp>
      <tp t="s">
        <v>N/A</v>
        <stp/>
        <stp>VOLUME</stp>
        <stp>.OPEN260821P11</stp>
        <tr r="S26" s="5"/>
      </tp>
      <tp t="s">
        <v>N/A</v>
        <stp/>
        <stp>VOLUME</stp>
        <stp>.OPEN260821P10</stp>
        <tr r="S28" s="5"/>
      </tp>
      <tp t="s">
        <v>N/A</v>
        <stp/>
        <stp>VOLUME</stp>
        <stp>.OPEN260918P18</stp>
        <tr r="T12" s="5"/>
      </tp>
      <tp t="s">
        <v>N/A</v>
        <stp/>
        <stp>VOLUME</stp>
        <stp>.OPEN260918P19</stp>
        <tr r="T10" s="5"/>
      </tp>
      <tp t="s">
        <v>N/A</v>
        <stp/>
        <stp>VOLUME</stp>
        <stp>.OPEN260918P14</stp>
        <tr r="T20" s="5"/>
      </tp>
      <tp t="s">
        <v>N/A</v>
        <stp/>
        <stp>VOLUME</stp>
        <stp>.OPEN260918P15</stp>
        <tr r="T18" s="5"/>
      </tp>
      <tp t="s">
        <v>N/A</v>
        <stp/>
        <stp>VOLUME</stp>
        <stp>.OPEN260918P16</stp>
        <tr r="T16" s="5"/>
      </tp>
      <tp t="s">
        <v>N/A</v>
        <stp/>
        <stp>VOLUME</stp>
        <stp>.OPEN260918P17</stp>
        <tr r="T14" s="5"/>
      </tp>
      <tp t="s">
        <v>N/A</v>
        <stp/>
        <stp>VOLUME</stp>
        <stp>.OPEN260918P10</stp>
        <tr r="T28" s="5"/>
      </tp>
      <tp t="s">
        <v>N/A</v>
        <stp/>
        <stp>VOLUME</stp>
        <stp>.OPEN260918P11</stp>
        <tr r="T26" s="5"/>
      </tp>
      <tp t="s">
        <v>N/A</v>
        <stp/>
        <stp>VOLUME</stp>
        <stp>.OPEN260918P12</stp>
        <tr r="T24" s="5"/>
      </tp>
      <tp t="s">
        <v>N/A</v>
        <stp/>
        <stp>VOLUME</stp>
        <stp>.OPEN260918P13</stp>
        <tr r="T22" s="5"/>
      </tp>
      <tp t="s">
        <v>N/A</v>
        <stp/>
        <stp>VOLUME</stp>
        <stp>.OPEN260918P20</stp>
        <tr r="T8" s="5"/>
      </tp>
      <tp t="s">
        <v>N/A</v>
        <stp/>
        <stp>VOLUME</stp>
        <stp>.OPEN260918P21</stp>
        <tr r="T6" s="5"/>
      </tp>
      <tp t="s">
        <v>N/A</v>
        <stp/>
        <stp>VOLUME</stp>
        <stp>.OPEN260821P21</stp>
        <tr r="S6" s="5"/>
      </tp>
      <tp t="s">
        <v>N/A</v>
        <stp/>
        <stp>VOLUME</stp>
        <stp>.OPEN260821P20</stp>
        <tr r="S8" s="5"/>
      </tp>
      <tp t="s">
        <v>N/A</v>
        <stp/>
        <stp>VOLUME</stp>
        <stp>.OPEN251226P7</stp>
        <tr r="I34" s="5"/>
      </tp>
      <tp t="s">
        <v>N/A</v>
        <stp/>
        <stp>VOLUME</stp>
        <stp>.OPEN251226P6</stp>
        <tr r="I36" s="5"/>
      </tp>
      <tp t="s">
        <v>N/A</v>
        <stp/>
        <stp>VOLUME</stp>
        <stp>.OPEN251226P5</stp>
        <tr r="I38" s="5"/>
      </tp>
      <tp t="s">
        <v>N/A</v>
        <stp/>
        <stp>VOLUME</stp>
        <stp>.OPEN251226P4</stp>
        <tr r="I40" s="5"/>
      </tp>
      <tp t="s">
        <v>N/A</v>
        <stp/>
        <stp>VOLUME</stp>
        <stp>.OPEN251226P3</stp>
        <tr r="I42" s="5"/>
      </tp>
      <tp t="s">
        <v>N/A</v>
        <stp/>
        <stp>VOLUME</stp>
        <stp>.OPEN251226P2</stp>
        <tr r="I44" s="5"/>
      </tp>
      <tp t="s">
        <v>N/A</v>
        <stp/>
        <stp>VOLUME</stp>
        <stp>.OPEN251226P1</stp>
        <tr r="I46" s="5"/>
      </tp>
      <tp t="s">
        <v>N/A</v>
        <stp/>
        <stp>VOLUME</stp>
        <stp>.OPEN251226P0</stp>
        <tr r="I48" s="5"/>
      </tp>
      <tp t="s">
        <v>N/A</v>
        <stp/>
        <stp>VOLUME</stp>
        <stp>.OPEN251226P9</stp>
        <tr r="I30" s="5"/>
      </tp>
      <tp t="s">
        <v>N/A</v>
        <stp/>
        <stp>VOLUME</stp>
        <stp>.OPEN251226P8</stp>
        <tr r="I32" s="5"/>
      </tp>
      <tp t="s">
        <v>N/A</v>
        <stp/>
        <stp>VOLUME</stp>
        <stp>.OPEN260515P0</stp>
        <tr r="P48" s="5"/>
      </tp>
      <tp t="s">
        <v>N/A</v>
        <stp/>
        <stp>VOLUME</stp>
        <stp>.OPEN260515P1</stp>
        <tr r="P46" s="5"/>
      </tp>
      <tp t="s">
        <v>N/A</v>
        <stp/>
        <stp>VOLUME</stp>
        <stp>.OPEN260515P2</stp>
        <tr r="P44" s="5"/>
      </tp>
      <tp t="s">
        <v>N/A</v>
        <stp/>
        <stp>VOLUME</stp>
        <stp>.OPEN260515P3</stp>
        <tr r="P42" s="5"/>
      </tp>
      <tp t="s">
        <v>N/A</v>
        <stp/>
        <stp>VOLUME</stp>
        <stp>.OPEN260515P4</stp>
        <tr r="P40" s="5"/>
      </tp>
      <tp t="s">
        <v>N/A</v>
        <stp/>
        <stp>VOLUME</stp>
        <stp>.OPEN260515P5</stp>
        <tr r="P38" s="5"/>
      </tp>
      <tp t="s">
        <v>N/A</v>
        <stp/>
        <stp>VOLUME</stp>
        <stp>.OPEN260515P6</stp>
        <tr r="P36" s="5"/>
      </tp>
      <tp t="s">
        <v>N/A</v>
        <stp/>
        <stp>VOLUME</stp>
        <stp>.OPEN260515P7</stp>
        <tr r="P34" s="5"/>
      </tp>
      <tp t="s">
        <v>N/A</v>
        <stp/>
        <stp>VOLUME</stp>
        <stp>.OPEN260515P8</stp>
        <tr r="P32" s="5"/>
      </tp>
      <tp t="s">
        <v>N/A</v>
        <stp/>
        <stp>VOLUME</stp>
        <stp>.OPEN260515P9</stp>
        <tr r="P30" s="5"/>
      </tp>
      <tp t="s">
        <v>N/A</v>
        <stp/>
        <stp>VOLUME</stp>
        <stp>.OPEN260515C0</stp>
        <tr r="P48" s="5"/>
      </tp>
      <tp t="s">
        <v>N/A</v>
        <stp/>
        <stp>VOLUME</stp>
        <stp>.OPEN260515C1</stp>
        <tr r="P46" s="5"/>
      </tp>
      <tp t="s">
        <v>N/A</v>
        <stp/>
        <stp>VOLUME</stp>
        <stp>.OPEN260515C2</stp>
        <tr r="P44" s="5"/>
      </tp>
      <tp t="s">
        <v>N/A</v>
        <stp/>
        <stp>VOLUME</stp>
        <stp>.OPEN260515C3</stp>
        <tr r="P42" s="5"/>
      </tp>
      <tp t="s">
        <v>N/A</v>
        <stp/>
        <stp>VOLUME</stp>
        <stp>.OPEN260515C4</stp>
        <tr r="P40" s="5"/>
      </tp>
      <tp t="s">
        <v>N/A</v>
        <stp/>
        <stp>VOLUME</stp>
        <stp>.OPEN260515C5</stp>
        <tr r="P38" s="5"/>
      </tp>
      <tp t="s">
        <v>N/A</v>
        <stp/>
        <stp>VOLUME</stp>
        <stp>.OPEN260515C6</stp>
        <tr r="P36" s="5"/>
      </tp>
      <tp t="s">
        <v>N/A</v>
        <stp/>
        <stp>VOLUME</stp>
        <stp>.OPEN260515C7</stp>
        <tr r="P34" s="5"/>
      </tp>
      <tp t="s">
        <v>N/A</v>
        <stp/>
        <stp>VOLUME</stp>
        <stp>.OPEN260515C8</stp>
        <tr r="P32" s="5"/>
      </tp>
      <tp t="s">
        <v>N/A</v>
        <stp/>
        <stp>VOLUME</stp>
        <stp>.OPEN260515C9</stp>
        <tr r="P30" s="5"/>
      </tp>
      <tp t="s">
        <v>N/A</v>
        <stp/>
        <stp>VOLUME</stp>
        <stp>.OPEN251226C7</stp>
        <tr r="I34" s="5"/>
      </tp>
      <tp t="s">
        <v>N/A</v>
        <stp/>
        <stp>VOLUME</stp>
        <stp>.OPEN251226C6</stp>
        <tr r="I36" s="5"/>
      </tp>
      <tp t="s">
        <v>N/A</v>
        <stp/>
        <stp>VOLUME</stp>
        <stp>.OPEN251226C5</stp>
        <tr r="I38" s="5"/>
      </tp>
      <tp t="s">
        <v>N/A</v>
        <stp/>
        <stp>VOLUME</stp>
        <stp>.OPEN251226C4</stp>
        <tr r="I40" s="5"/>
      </tp>
      <tp t="s">
        <v>N/A</v>
        <stp/>
        <stp>VOLUME</stp>
        <stp>.OPEN251226C3</stp>
        <tr r="I42" s="5"/>
      </tp>
      <tp t="s">
        <v>N/A</v>
        <stp/>
        <stp>VOLUME</stp>
        <stp>.OPEN251226C2</stp>
        <tr r="I44" s="5"/>
      </tp>
      <tp t="s">
        <v>N/A</v>
        <stp/>
        <stp>VOLUME</stp>
        <stp>.OPEN251226C1</stp>
        <tr r="I46" s="5"/>
      </tp>
      <tp t="s">
        <v>N/A</v>
        <stp/>
        <stp>VOLUME</stp>
        <stp>.OPEN251226C0</stp>
        <tr r="I48" s="5"/>
      </tp>
      <tp t="s">
        <v>N/A</v>
        <stp/>
        <stp>VOLUME</stp>
        <stp>.OPEN251226C9</stp>
        <tr r="I30" s="5"/>
      </tp>
      <tp t="s">
        <v>N/A</v>
        <stp/>
        <stp>VOLUME</stp>
        <stp>.OPEN251226C8</stp>
        <tr r="I32" s="5"/>
      </tp>
      <tp t="s">
        <v>N/A</v>
        <stp/>
        <stp>VOLUME</stp>
        <stp>.OPEN261016P-1</stp>
        <tr r="U50" s="5"/>
      </tp>
      <tp t="s">
        <v>N/A</v>
        <stp/>
        <stp>VOLUME</stp>
        <stp>.OPEN251114P-1</stp>
        <tr r="C50" s="5"/>
      </tp>
      <tp t="s">
        <v>N/A</v>
        <stp/>
        <stp>VOLUME</stp>
        <stp>.OPEN251128P-1</stp>
        <tr r="E50" s="5"/>
      </tp>
      <tp t="s">
        <v>N/A</v>
        <stp/>
        <stp>VOLUME</stp>
        <stp>.OPEN251121P-1</stp>
        <tr r="D50" s="5"/>
      </tp>
      <tp t="s">
        <v>N/A</v>
        <stp/>
        <stp>VOLUME</stp>
        <stp>.OPEN261120P-1</stp>
        <tr r="V50" s="5"/>
      </tp>
      <tp t="s">
        <v>N/A</v>
        <stp/>
        <stp>VOLUME</stp>
        <stp>.OPEN251205P-1</stp>
        <tr r="F50" s="5"/>
      </tp>
      <tp t="s">
        <v>N/A</v>
        <stp/>
        <stp>VOLUME</stp>
        <stp>.OPEN251219P-1</stp>
        <tr r="H50" s="5"/>
      </tp>
      <tp t="s">
        <v>N/A</v>
        <stp/>
        <stp>VOLUME</stp>
        <stp>.OPEN261218P-1</stp>
        <tr r="W50" s="5"/>
      </tp>
      <tp t="s">
        <v>N/A</v>
        <stp/>
        <stp>VOLUME</stp>
        <stp>.OPEN251212P-1</stp>
        <tr r="G50" s="5"/>
      </tp>
      <tp t="s">
        <v>N/A</v>
        <stp/>
        <stp>VOLUME</stp>
        <stp>.OPEN251226P-1</stp>
        <tr r="I50" s="5"/>
      </tp>
      <tp t="s">
        <v>N/A</v>
        <stp/>
        <stp>VOLUME</stp>
        <stp>.OPEN261016P18</stp>
        <tr r="U12" s="5"/>
      </tp>
      <tp t="s">
        <v>N/A</v>
        <stp/>
        <stp>VOLUME</stp>
        <stp>.OPEN261016P19</stp>
        <tr r="U10" s="5"/>
      </tp>
      <tp t="s">
        <v>N/A</v>
        <stp/>
        <stp>VOLUME</stp>
        <stp>.OPEN261016P14</stp>
        <tr r="U20" s="5"/>
      </tp>
      <tp t="s">
        <v>N/A</v>
        <stp/>
        <stp>VOLUME</stp>
        <stp>.OPEN261016P15</stp>
        <tr r="U18" s="5"/>
      </tp>
      <tp t="s">
        <v>N/A</v>
        <stp/>
        <stp>VOLUME</stp>
        <stp>.OPEN261016P16</stp>
        <tr r="U16" s="5"/>
      </tp>
      <tp t="s">
        <v>N/A</v>
        <stp/>
        <stp>VOLUME</stp>
        <stp>.OPEN261016P17</stp>
        <tr r="U14" s="5"/>
      </tp>
      <tp t="s">
        <v>N/A</v>
        <stp/>
        <stp>VOLUME</stp>
        <stp>.OPEN261016P10</stp>
        <tr r="U28" s="5"/>
      </tp>
      <tp t="s">
        <v>N/A</v>
        <stp/>
        <stp>VOLUME</stp>
        <stp>.OPEN261016P11</stp>
        <tr r="U26" s="5"/>
      </tp>
      <tp t="s">
        <v>N/A</v>
        <stp/>
        <stp>VOLUME</stp>
        <stp>.OPEN261016P12</stp>
        <tr r="U24" s="5"/>
      </tp>
      <tp t="s">
        <v>N/A</v>
        <stp/>
        <stp>VOLUME</stp>
        <stp>.OPEN261016P13</stp>
        <tr r="U22" s="5"/>
      </tp>
      <tp t="s">
        <v>N/A</v>
        <stp/>
        <stp>VOLUME</stp>
        <stp>.OPEN251114P18</stp>
        <tr r="C12" s="5"/>
      </tp>
      <tp t="s">
        <v>N/A</v>
        <stp/>
        <stp>VOLUME</stp>
        <stp>.OPEN251114P19</stp>
        <tr r="C10" s="5"/>
      </tp>
      <tp t="s">
        <v>N/A</v>
        <stp/>
        <stp>VOLUME</stp>
        <stp>.OPEN251128P19</stp>
        <tr r="E10" s="5"/>
      </tp>
      <tp t="s">
        <v>N/A</v>
        <stp/>
        <stp>VOLUME</stp>
        <stp>.OPEN251121P19</stp>
        <tr r="D10" s="5"/>
      </tp>
      <tp t="s">
        <v>N/A</v>
        <stp/>
        <stp>VOLUME</stp>
        <stp>.OPEN261120P19</stp>
        <tr r="V10" s="5"/>
      </tp>
      <tp t="s">
        <v>N/A</v>
        <stp/>
        <stp>VOLUME</stp>
        <stp>.OPEN251128P18</stp>
        <tr r="E12" s="5"/>
      </tp>
      <tp t="s">
        <v>N/A</v>
        <stp/>
        <stp>VOLUME</stp>
        <stp>.OPEN251121P18</stp>
        <tr r="D12" s="5"/>
      </tp>
      <tp t="s">
        <v>N/A</v>
        <stp/>
        <stp>VOLUME</stp>
        <stp>.OPEN261120P18</stp>
        <tr r="V12" s="5"/>
      </tp>
      <tp t="s">
        <v>N/A</v>
        <stp/>
        <stp>VOLUME</stp>
        <stp>.OPEN251128P17</stp>
        <tr r="E14" s="5"/>
      </tp>
      <tp t="s">
        <v>N/A</v>
        <stp/>
        <stp>VOLUME</stp>
        <stp>.OPEN251121P17</stp>
        <tr r="D14" s="5"/>
      </tp>
      <tp t="s">
        <v>N/A</v>
        <stp/>
        <stp>VOLUME</stp>
        <stp>.OPEN261120P17</stp>
        <tr r="V14" s="5"/>
      </tp>
      <tp t="s">
        <v>N/A</v>
        <stp/>
        <stp>VOLUME</stp>
        <stp>.OPEN251114P14</stp>
        <tr r="C20" s="5"/>
      </tp>
      <tp t="s">
        <v>N/A</v>
        <stp/>
        <stp>VOLUME</stp>
        <stp>.OPEN251128P16</stp>
        <tr r="E16" s="5"/>
      </tp>
      <tp t="s">
        <v>N/A</v>
        <stp/>
        <stp>VOLUME</stp>
        <stp>.OPEN251121P16</stp>
        <tr r="D16" s="5"/>
      </tp>
      <tp t="s">
        <v>N/A</v>
        <stp/>
        <stp>VOLUME</stp>
        <stp>.OPEN261120P16</stp>
        <tr r="V16" s="5"/>
      </tp>
      <tp t="s">
        <v>N/A</v>
        <stp/>
        <stp>VOLUME</stp>
        <stp>.OPEN251114P15</stp>
        <tr r="C18" s="5"/>
      </tp>
      <tp t="s">
        <v>N/A</v>
        <stp/>
        <stp>VOLUME</stp>
        <stp>.OPEN251128P15</stp>
        <tr r="E18" s="5"/>
      </tp>
      <tp t="s">
        <v>N/A</v>
        <stp/>
        <stp>VOLUME</stp>
        <stp>.OPEN251121P15</stp>
        <tr r="D18" s="5"/>
      </tp>
      <tp t="s">
        <v>N/A</v>
        <stp/>
        <stp>VOLUME</stp>
        <stp>.OPEN261120P15</stp>
        <tr r="V18" s="5"/>
      </tp>
      <tp t="s">
        <v>N/A</v>
        <stp/>
        <stp>VOLUME</stp>
        <stp>.OPEN251114P16</stp>
        <tr r="C16" s="5"/>
      </tp>
      <tp t="s">
        <v>N/A</v>
        <stp/>
        <stp>VOLUME</stp>
        <stp>.OPEN251128P14</stp>
        <tr r="E20" s="5"/>
      </tp>
      <tp t="s">
        <v>N/A</v>
        <stp/>
        <stp>VOLUME</stp>
        <stp>.OPEN251121P14</stp>
        <tr r="D20" s="5"/>
      </tp>
      <tp t="s">
        <v>N/A</v>
        <stp/>
        <stp>VOLUME</stp>
        <stp>.OPEN261120P14</stp>
        <tr r="V20" s="5"/>
      </tp>
      <tp t="s">
        <v>N/A</v>
        <stp/>
        <stp>VOLUME</stp>
        <stp>.OPEN251114P17</stp>
        <tr r="C14" s="5"/>
      </tp>
      <tp t="s">
        <v>N/A</v>
        <stp/>
        <stp>VOLUME</stp>
        <stp>.OPEN251128P13</stp>
        <tr r="E22" s="5"/>
      </tp>
      <tp t="s">
        <v>N/A</v>
        <stp/>
        <stp>VOLUME</stp>
        <stp>.OPEN251219P20</stp>
        <tr r="H8" s="5"/>
      </tp>
      <tp t="s">
        <v>N/A</v>
        <stp/>
        <stp>VOLUME</stp>
        <stp>.OPEN261218P20</stp>
        <tr r="W8" s="5"/>
      </tp>
      <tp t="s">
        <v>N/A</v>
        <stp/>
        <stp>VOLUME</stp>
        <stp>.OPEN251121P13</stp>
        <tr r="D22" s="5"/>
      </tp>
      <tp t="s">
        <v>N/A</v>
        <stp/>
        <stp>VOLUME</stp>
        <stp>.OPEN251212P20</stp>
        <tr r="G8" s="5"/>
      </tp>
      <tp t="s">
        <v>N/A</v>
        <stp/>
        <stp>VOLUME</stp>
        <stp>.OPEN261120P13</stp>
        <tr r="V22" s="5"/>
      </tp>
      <tp t="s">
        <v>N/A</v>
        <stp/>
        <stp>VOLUME</stp>
        <stp>.OPEN251114P10</stp>
        <tr r="C28" s="5"/>
      </tp>
      <tp t="s">
        <v>N/A</v>
        <stp/>
        <stp>VOLUME</stp>
        <stp>.OPEN251205P21</stp>
        <tr r="F6" s="5"/>
      </tp>
      <tp t="s">
        <v>N/A</v>
        <stp/>
        <stp>VOLUME</stp>
        <stp>.OPEN251128P12</stp>
        <tr r="E24" s="5"/>
      </tp>
      <tp t="s">
        <v>N/A</v>
        <stp/>
        <stp>VOLUME</stp>
        <stp>.OPEN251219P21</stp>
        <tr r="H6" s="5"/>
      </tp>
      <tp t="s">
        <v>N/A</v>
        <stp/>
        <stp>VOLUME</stp>
        <stp>.OPEN261218P21</stp>
        <tr r="W6" s="5"/>
      </tp>
      <tp t="s">
        <v>N/A</v>
        <stp/>
        <stp>VOLUME</stp>
        <stp>.OPEN251121P12</stp>
        <tr r="D24" s="5"/>
      </tp>
      <tp t="s">
        <v>N/A</v>
        <stp/>
        <stp>VOLUME</stp>
        <stp>.OPEN251212P21</stp>
        <tr r="G6" s="5"/>
      </tp>
      <tp t="s">
        <v>N/A</v>
        <stp/>
        <stp>VOLUME</stp>
        <stp>.OPEN261120P12</stp>
        <tr r="V24" s="5"/>
      </tp>
      <tp t="s">
        <v>N/A</v>
        <stp/>
        <stp>VOLUME</stp>
        <stp>.OPEN251114P11</stp>
        <tr r="C26" s="5"/>
      </tp>
      <tp t="s">
        <v>N/A</v>
        <stp/>
        <stp>VOLUME</stp>
        <stp>.OPEN251205P20</stp>
        <tr r="F8" s="5"/>
      </tp>
      <tp t="s">
        <v>N/A</v>
        <stp/>
        <stp>VOLUME</stp>
        <stp>.OPEN251128P11</stp>
        <tr r="E26" s="5"/>
      </tp>
      <tp t="s">
        <v>N/A</v>
        <stp/>
        <stp>VOLUME</stp>
        <stp>.OPEN251121P11</stp>
        <tr r="D26" s="5"/>
      </tp>
      <tp t="s">
        <v>N/A</v>
        <stp/>
        <stp>VOLUME</stp>
        <stp>.OPEN261120P11</stp>
        <tr r="V26" s="5"/>
      </tp>
      <tp t="s">
        <v>N/A</v>
        <stp/>
        <stp>VOLUME</stp>
        <stp>.OPEN251114P12</stp>
        <tr r="C24" s="5"/>
      </tp>
      <tp t="s">
        <v>N/A</v>
        <stp/>
        <stp>VOLUME</stp>
        <stp>.OPEN251226P21</stp>
        <tr r="I6" s="5"/>
      </tp>
      <tp t="s">
        <v>N/A</v>
        <stp/>
        <stp>VOLUME</stp>
        <stp>.OPEN251128P10</stp>
        <tr r="E28" s="5"/>
      </tp>
      <tp t="s">
        <v>N/A</v>
        <stp/>
        <stp>VOLUME</stp>
        <stp>.OPEN251121P10</stp>
        <tr r="D28" s="5"/>
      </tp>
      <tp t="s">
        <v>N/A</v>
        <stp/>
        <stp>VOLUME</stp>
        <stp>.OPEN261120P10</stp>
        <tr r="V28" s="5"/>
      </tp>
      <tp t="s">
        <v>N/A</v>
        <stp/>
        <stp>VOLUME</stp>
        <stp>.OPEN251114P13</stp>
        <tr r="C22" s="5"/>
      </tp>
      <tp t="s">
        <v>N/A</v>
        <stp/>
        <stp>VOLUME</stp>
        <stp>.OPEN251226P20</stp>
        <tr r="I8" s="5"/>
      </tp>
      <tp t="s">
        <v>N/A</v>
        <stp/>
        <stp>VOLUME</stp>
        <stp>.OPEN251219P18</stp>
        <tr r="H12" s="5"/>
      </tp>
      <tp t="s">
        <v>N/A</v>
        <stp/>
        <stp>VOLUME</stp>
        <stp>.OPEN261218P18</stp>
        <tr r="W12" s="5"/>
      </tp>
      <tp t="s">
        <v>N/A</v>
        <stp/>
        <stp>VOLUME</stp>
        <stp>.OPEN251212P18</stp>
        <tr r="G12" s="5"/>
      </tp>
      <tp t="s">
        <v>N/A</v>
        <stp/>
        <stp>VOLUME</stp>
        <stp>.OPEN251205P19</stp>
        <tr r="F10" s="5"/>
      </tp>
      <tp t="s">
        <v>N/A</v>
        <stp/>
        <stp>VOLUME</stp>
        <stp>.OPEN251219P19</stp>
        <tr r="H10" s="5"/>
      </tp>
      <tp t="s">
        <v>N/A</v>
        <stp/>
        <stp>VOLUME</stp>
        <stp>.OPEN261218P19</stp>
        <tr r="W10" s="5"/>
      </tp>
      <tp t="s">
        <v>N/A</v>
        <stp/>
        <stp>VOLUME</stp>
        <stp>.OPEN251212P19</stp>
        <tr r="G10" s="5"/>
      </tp>
      <tp t="s">
        <v>N/A</v>
        <stp/>
        <stp>VOLUME</stp>
        <stp>.OPEN251205P18</stp>
        <tr r="F12" s="5"/>
      </tp>
      <tp t="s">
        <v>N/A</v>
        <stp/>
        <stp>VOLUME</stp>
        <stp>.OPEN251226P19</stp>
        <tr r="I10" s="5"/>
      </tp>
      <tp t="s">
        <v>N/A</v>
        <stp/>
        <stp>VOLUME</stp>
        <stp>.OPEN251226P18</stp>
        <tr r="I12" s="5"/>
      </tp>
      <tp t="s">
        <v>N/A</v>
        <stp/>
        <stp>VOLUME</stp>
        <stp>.OPEN251219P14</stp>
        <tr r="H20" s="5"/>
      </tp>
      <tp t="s">
        <v>N/A</v>
        <stp/>
        <stp>VOLUME</stp>
        <stp>.OPEN261218P14</stp>
        <tr r="W20" s="5"/>
      </tp>
      <tp t="s">
        <v>N/A</v>
        <stp/>
        <stp>VOLUME</stp>
        <stp>.OPEN251212P14</stp>
        <tr r="G20" s="5"/>
      </tp>
      <tp t="s">
        <v>N/A</v>
        <stp/>
        <stp>VOLUME</stp>
        <stp>.OPEN251205P15</stp>
        <tr r="F18" s="5"/>
      </tp>
      <tp t="s">
        <v>N/A</v>
        <stp/>
        <stp>VOLUME</stp>
        <stp>.OPEN251226P17</stp>
        <tr r="I14" s="5"/>
      </tp>
      <tp t="s">
        <v>N/A</v>
        <stp/>
        <stp>VOLUME</stp>
        <stp>.OPEN251219P15</stp>
        <tr r="H18" s="5"/>
      </tp>
      <tp t="s">
        <v>N/A</v>
        <stp/>
        <stp>VOLUME</stp>
        <stp>.OPEN261218P15</stp>
        <tr r="W18" s="5"/>
      </tp>
      <tp t="s">
        <v>N/A</v>
        <stp/>
        <stp>VOLUME</stp>
        <stp>.OPEN251212P15</stp>
        <tr r="G18" s="5"/>
      </tp>
      <tp t="s">
        <v>N/A</v>
        <stp/>
        <stp>VOLUME</stp>
        <stp>.OPEN251205P14</stp>
        <tr r="F20" s="5"/>
      </tp>
      <tp t="s">
        <v>N/A</v>
        <stp/>
        <stp>VOLUME</stp>
        <stp>.OPEN251226P16</stp>
        <tr r="I16" s="5"/>
      </tp>
      <tp t="s">
        <v>N/A</v>
        <stp/>
        <stp>VOLUME</stp>
        <stp>.OPEN251219P16</stp>
        <tr r="H16" s="5"/>
      </tp>
      <tp t="s">
        <v>N/A</v>
        <stp/>
        <stp>VOLUME</stp>
        <stp>.OPEN261218P16</stp>
        <tr r="W16" s="5"/>
      </tp>
      <tp t="s">
        <v>N/A</v>
        <stp/>
        <stp>VOLUME</stp>
        <stp>.OPEN251212P16</stp>
        <tr r="G16" s="5"/>
      </tp>
      <tp t="s">
        <v>N/A</v>
        <stp/>
        <stp>VOLUME</stp>
        <stp>.OPEN251205P17</stp>
        <tr r="F14" s="5"/>
      </tp>
      <tp t="s">
        <v>N/A</v>
        <stp/>
        <stp>VOLUME</stp>
        <stp>.OPEN251226P15</stp>
        <tr r="I18" s="5"/>
      </tp>
      <tp t="s">
        <v>N/A</v>
        <stp/>
        <stp>VOLUME</stp>
        <stp>.OPEN251219P17</stp>
        <tr r="H14" s="5"/>
      </tp>
      <tp t="s">
        <v>N/A</v>
        <stp/>
        <stp>VOLUME</stp>
        <stp>.OPEN261218P17</stp>
        <tr r="W14" s="5"/>
      </tp>
      <tp t="s">
        <v>N/A</v>
        <stp/>
        <stp>VOLUME</stp>
        <stp>.OPEN251212P17</stp>
        <tr r="G14" s="5"/>
      </tp>
      <tp t="s">
        <v>N/A</v>
        <stp/>
        <stp>VOLUME</stp>
        <stp>.OPEN251205P16</stp>
        <tr r="F16" s="5"/>
      </tp>
      <tp t="s">
        <v>N/A</v>
        <stp/>
        <stp>VOLUME</stp>
        <stp>.OPEN251226P14</stp>
        <tr r="I20" s="5"/>
      </tp>
      <tp t="s">
        <v>N/A</v>
        <stp/>
        <stp>VOLUME</stp>
        <stp>.OPEN251219P10</stp>
        <tr r="H28" s="5"/>
      </tp>
      <tp t="s">
        <v>N/A</v>
        <stp/>
        <stp>VOLUME</stp>
        <stp>.OPEN261218P10</stp>
        <tr r="W28" s="5"/>
      </tp>
      <tp t="s">
        <v>N/A</v>
        <stp/>
        <stp>VOLUME</stp>
        <stp>.OPEN251212P10</stp>
        <tr r="G28" s="5"/>
      </tp>
      <tp t="s">
        <v>N/A</v>
        <stp/>
        <stp>VOLUME</stp>
        <stp>.OPEN251114P20</stp>
        <tr r="C8" s="5"/>
      </tp>
      <tp t="s">
        <v>N/A</v>
        <stp/>
        <stp>VOLUME</stp>
        <stp>.OPEN251205P11</stp>
        <tr r="F26" s="5"/>
      </tp>
      <tp t="s">
        <v>N/A</v>
        <stp/>
        <stp>VOLUME</stp>
        <stp>.OPEN251226P13</stp>
        <tr r="I22" s="5"/>
      </tp>
      <tp t="s">
        <v>N/A</v>
        <stp/>
        <stp>VOLUME</stp>
        <stp>.OPEN251219P11</stp>
        <tr r="H26" s="5"/>
      </tp>
      <tp t="s">
        <v>N/A</v>
        <stp/>
        <stp>VOLUME</stp>
        <stp>.OPEN261218P11</stp>
        <tr r="W26" s="5"/>
      </tp>
      <tp t="s">
        <v>N/A</v>
        <stp/>
        <stp>VOLUME</stp>
        <stp>.OPEN251212P11</stp>
        <tr r="G26" s="5"/>
      </tp>
      <tp t="s">
        <v>N/A</v>
        <stp/>
        <stp>VOLUME</stp>
        <stp>.OPEN251114P21</stp>
        <tr r="C6" s="5"/>
      </tp>
      <tp t="s">
        <v>N/A</v>
        <stp/>
        <stp>VOLUME</stp>
        <stp>.OPEN251205P10</stp>
        <tr r="F28" s="5"/>
      </tp>
      <tp t="s">
        <v>N/A</v>
        <stp/>
        <stp>VOLUME</stp>
        <stp>.OPEN251226P12</stp>
        <tr r="I24" s="5"/>
      </tp>
      <tp t="s">
        <v>N/A</v>
        <stp/>
        <stp>VOLUME</stp>
        <stp>.OPEN251128P21</stp>
        <tr r="E6" s="5"/>
      </tp>
      <tp t="s">
        <v>N/A</v>
        <stp/>
        <stp>VOLUME</stp>
        <stp>.OPEN251219P12</stp>
        <tr r="H24" s="5"/>
      </tp>
      <tp t="s">
        <v>N/A</v>
        <stp/>
        <stp>VOLUME</stp>
        <stp>.OPEN261218P12</stp>
        <tr r="W24" s="5"/>
      </tp>
      <tp t="s">
        <v>N/A</v>
        <stp/>
        <stp>VOLUME</stp>
        <stp>.OPEN251121P21</stp>
        <tr r="D6" s="5"/>
      </tp>
      <tp t="s">
        <v>N/A</v>
        <stp/>
        <stp>VOLUME</stp>
        <stp>.OPEN251212P12</stp>
        <tr r="G24" s="5"/>
      </tp>
      <tp t="s">
        <v>N/A</v>
        <stp/>
        <stp>VOLUME</stp>
        <stp>.OPEN261120P21</stp>
        <tr r="V6" s="5"/>
      </tp>
      <tp t="s">
        <v>N/A</v>
        <stp/>
        <stp>VOLUME</stp>
        <stp>.OPEN251205P13</stp>
        <tr r="F22" s="5"/>
      </tp>
      <tp t="s">
        <v>N/A</v>
        <stp/>
        <stp>VOLUME</stp>
        <stp>.OPEN251226P11</stp>
        <tr r="I26" s="5"/>
      </tp>
      <tp t="s">
        <v>N/A</v>
        <stp/>
        <stp>VOLUME</stp>
        <stp>.OPEN251128P20</stp>
        <tr r="E8" s="5"/>
      </tp>
      <tp t="s">
        <v>N/A</v>
        <stp/>
        <stp>VOLUME</stp>
        <stp>.OPEN251219P13</stp>
        <tr r="H22" s="5"/>
      </tp>
      <tp t="s">
        <v>N/A</v>
        <stp/>
        <stp>VOLUME</stp>
        <stp>.OPEN261218P13</stp>
        <tr r="W22" s="5"/>
      </tp>
      <tp t="s">
        <v>N/A</v>
        <stp/>
        <stp>VOLUME</stp>
        <stp>.OPEN251121P20</stp>
        <tr r="D8" s="5"/>
      </tp>
      <tp t="s">
        <v>N/A</v>
        <stp/>
        <stp>VOLUME</stp>
        <stp>.OPEN251212P13</stp>
        <tr r="G22" s="5"/>
      </tp>
      <tp t="s">
        <v>N/A</v>
        <stp/>
        <stp>VOLUME</stp>
        <stp>.OPEN261120P20</stp>
        <tr r="V8" s="5"/>
      </tp>
      <tp t="s">
        <v>N/A</v>
        <stp/>
        <stp>VOLUME</stp>
        <stp>.OPEN251205P12</stp>
        <tr r="F24" s="5"/>
      </tp>
      <tp t="s">
        <v>N/A</v>
        <stp/>
        <stp>VOLUME</stp>
        <stp>.OPEN251226P10</stp>
        <tr r="I28" s="5"/>
      </tp>
      <tp t="s">
        <v>N/A</v>
        <stp/>
        <stp>VOLUME</stp>
        <stp>.OPEN261016P20</stp>
        <tr r="U8" s="5"/>
      </tp>
      <tp t="s">
        <v>N/A</v>
        <stp/>
        <stp>VOLUME</stp>
        <stp>.OPEN261016P21</stp>
        <tr r="U6" s="5"/>
      </tp>
      <tp t="s">
        <v>N/A</v>
        <stp/>
        <stp>OPEN_INT</stp>
        <stp>.OPEN251029P19.5</stp>
        <tr r="P5" s="2"/>
      </tp>
      <tp t="s">
        <v>N/A</v>
        <stp/>
        <stp>OPEN_INT</stp>
        <stp>.OPEN251029C19.5</stp>
        <tr r="P5" s="2"/>
      </tp>
      <tp t="s">
        <v>N/A</v>
        <stp/>
        <stp>OPEN_INT</stp>
        <stp>.OPEN251128P19.5</stp>
        <tr r="E9" s="1"/>
        <tr r="T5" s="2"/>
      </tp>
      <tp t="s">
        <v>N/A</v>
        <stp/>
        <stp>OPEN_INT</stp>
        <stp>.OPEN251028P19.5</stp>
        <tr r="O5" s="2"/>
      </tp>
      <tp t="s">
        <v>N/A</v>
        <stp/>
        <stp>OPEN_INT</stp>
        <stp>.OPEN251128C19.5</stp>
        <tr r="E9" s="1"/>
        <tr r="T5" s="2"/>
      </tp>
      <tp t="s">
        <v>N/A</v>
        <stp/>
        <stp>OPEN_INT</stp>
        <stp>.OPEN251028C19.5</stp>
        <tr r="O5" s="2"/>
      </tp>
      <tp t="s">
        <v>N/A</v>
        <stp/>
        <stp>OPEN_INT</stp>
        <stp>.OPEN251027P19.5</stp>
        <tr r="N5" s="2"/>
      </tp>
      <tp t="s">
        <v>N/A</v>
        <stp/>
        <stp>OPEN_INT</stp>
        <stp>.OPEN251027C19.5</stp>
        <tr r="N5" s="2"/>
      </tp>
      <tp t="s">
        <v>N/A</v>
        <stp/>
        <stp>OPEN_INT</stp>
        <stp>.OPEN251226P19.5</stp>
        <tr r="I9" s="1"/>
      </tp>
      <tp t="s">
        <v>N/A</v>
        <stp/>
        <stp>OPEN_INT</stp>
        <stp>.OPEN251226C19.5</stp>
        <tr r="I9" s="1"/>
      </tp>
      <tp t="s">
        <v>N/A</v>
        <stp/>
        <stp>OPEN_INT</stp>
        <stp>.OPEN251024P19.5</stp>
        <tr r="M5" s="2"/>
      </tp>
      <tp t="s">
        <v>N/A</v>
        <stp/>
        <stp>OPEN_INT</stp>
        <stp>.OPEN251024C19.5</stp>
        <tr r="M5" s="2"/>
      </tp>
      <tp t="s">
        <v>N/A</v>
        <stp/>
        <stp>OPEN_INT</stp>
        <stp>.OPEN261120P19.5</stp>
        <tr r="V9" s="1"/>
      </tp>
      <tp t="s">
        <v>N/A</v>
        <stp/>
        <stp>OPEN_INT</stp>
        <stp>.OPEN251023P19.5</stp>
        <tr r="L5" s="2"/>
      </tp>
      <tp t="s">
        <v>N/A</v>
        <stp/>
        <stp>OPEN_INT</stp>
        <stp>.OPEN260320P19.5</stp>
        <tr r="N9" s="1"/>
      </tp>
      <tp t="s">
        <v>N/A</v>
        <stp/>
        <stp>OPEN_INT</stp>
        <stp>.OPEN260220P19.5</stp>
        <tr r="M9" s="1"/>
      </tp>
      <tp t="s">
        <v>N/A</v>
        <stp/>
        <stp>OPEN_INT</stp>
        <stp>.OPEN260320C19.5</stp>
        <tr r="N9" s="1"/>
      </tp>
      <tp t="s">
        <v>N/A</v>
        <stp/>
        <stp>OPEN_INT</stp>
        <stp>.OPEN260220C19.5</stp>
        <tr r="M9" s="1"/>
      </tp>
      <tp t="s">
        <v>N/A</v>
        <stp/>
        <stp>OPEN_INT</stp>
        <stp>.OPEN261120C19.5</stp>
        <tr r="V9" s="1"/>
      </tp>
      <tp t="s">
        <v>N/A</v>
        <stp/>
        <stp>OPEN_INT</stp>
        <stp>.OPEN251023C19.5</stp>
        <tr r="L5" s="2"/>
      </tp>
      <tp t="s">
        <v>N/A</v>
        <stp/>
        <stp>OPEN_INT</stp>
        <stp>.OPEN251022P19.5</stp>
        <tr r="K5" s="2"/>
      </tp>
      <tp t="s">
        <v>N/A</v>
        <stp/>
        <stp>OPEN_INT</stp>
        <stp>.OPEN260821P19.5</stp>
        <tr r="S9" s="1"/>
      </tp>
      <tp t="s">
        <v>N/A</v>
        <stp/>
        <stp>OPEN_INT</stp>
        <stp>.OPEN260821C19.5</stp>
        <tr r="S9" s="1"/>
      </tp>
      <tp t="s">
        <v>N/A</v>
        <stp/>
        <stp>OPEN_INT</stp>
        <stp>.OPEN251022C19.5</stp>
        <tr r="K5" s="2"/>
      </tp>
      <tp t="s">
        <v>N/A</v>
        <stp/>
        <stp>OPEN_INT</stp>
        <stp>.OPEN251231P18.5</stp>
        <tr r="V7" s="2"/>
      </tp>
      <tp t="s">
        <v>N/A</v>
        <stp/>
        <stp>OPEN_INT</stp>
        <stp>.OPEN251121P19.5</stp>
        <tr r="D9" s="1"/>
        <tr r="S5" s="2"/>
      </tp>
      <tp t="s">
        <v>N/A</v>
        <stp/>
        <stp>OPEN_INT</stp>
        <stp>.OPEN251021P19.5</stp>
        <tr r="J5" s="2"/>
      </tp>
      <tp t="s">
        <v>N/A</v>
        <stp/>
        <stp>OPEN_INT</stp>
        <stp>.OPEN251031P18.5</stp>
        <tr r="R7" s="2"/>
      </tp>
      <tp t="s">
        <v>N/A</v>
        <stp/>
        <stp>OPEN_INT</stp>
        <stp>.OPEN251231C18.5</stp>
        <tr r="V7" s="2"/>
      </tp>
      <tp t="s">
        <v>N/A</v>
        <stp/>
        <stp>OPEN_INT</stp>
        <stp>.OPEN251121C19.5</stp>
        <tr r="D9" s="1"/>
        <tr r="S5" s="2"/>
      </tp>
      <tp t="s">
        <v>N/A</v>
        <stp/>
        <stp>OPEN_INT</stp>
        <stp>.OPEN251021C19.5</stp>
        <tr r="J5" s="2"/>
      </tp>
      <tp t="s">
        <v>N/A</v>
        <stp/>
        <stp>OPEN_INT</stp>
        <stp>.OPEN251031C18.5</stp>
        <tr r="R7" s="2"/>
      </tp>
      <tp t="s">
        <v>N/A</v>
        <stp/>
        <stp>OPEN_INT</stp>
        <stp>.OPEN251020P19.5</stp>
        <tr r="I5" s="2"/>
      </tp>
      <tp t="s">
        <v>N/A</v>
        <stp/>
        <stp>OPEN_INT</stp>
        <stp>.OPEN251030P18.5</stp>
        <tr r="Q7" s="2"/>
      </tp>
      <tp t="s">
        <v>N/A</v>
        <stp/>
        <stp>OPEN_INT</stp>
        <stp>.OPEN251020C19.5</stp>
        <tr r="I5" s="2"/>
      </tp>
      <tp t="s">
        <v>N/A</v>
        <stp/>
        <stp>OPEN_INT</stp>
        <stp>.OPEN251030C18.5</stp>
        <tr r="Q7" s="2"/>
      </tp>
      <tp t="s">
        <v>N/A</v>
        <stp/>
        <stp>OPEN_INT</stp>
        <stp>.OPEN251029P18.5</stp>
        <tr r="P7" s="2"/>
      </tp>
      <tp t="s">
        <v>N/A</v>
        <stp/>
        <stp>OPEN_INT</stp>
        <stp>.OPEN251029C18.5</stp>
        <tr r="P7" s="2"/>
      </tp>
      <tp t="s">
        <v>N/A</v>
        <stp/>
        <stp>OPEN_INT</stp>
        <stp>.OPEN251128P18.5</stp>
        <tr r="E11" s="1"/>
        <tr r="T7" s="2"/>
      </tp>
      <tp t="s">
        <v>N/A</v>
        <stp/>
        <stp>OPEN_INT</stp>
        <stp>.OPEN251028P18.5</stp>
        <tr r="O7" s="2"/>
      </tp>
      <tp t="s">
        <v>N/A</v>
        <stp/>
        <stp>OPEN_INT</stp>
        <stp>.OPEN251128C18.5</stp>
        <tr r="E11" s="1"/>
        <tr r="T7" s="2"/>
      </tp>
      <tp t="s">
        <v>N/A</v>
        <stp/>
        <stp>OPEN_INT</stp>
        <stp>.OPEN251028C18.5</stp>
        <tr r="O7" s="2"/>
      </tp>
      <tp t="s">
        <v>N/A</v>
        <stp/>
        <stp>OPEN_INT</stp>
        <stp>.OPEN251027P18.5</stp>
        <tr r="N7" s="2"/>
      </tp>
      <tp t="s">
        <v>N/A</v>
        <stp/>
        <stp>OPEN_INT</stp>
        <stp>.OPEN251027C18.5</stp>
        <tr r="N7" s="2"/>
      </tp>
      <tp t="s">
        <v>N/A</v>
        <stp/>
        <stp>OPEN_INT</stp>
        <stp>.OPEN251226P18.5</stp>
        <tr r="I11" s="1"/>
      </tp>
      <tp t="s">
        <v>N/A</v>
        <stp/>
        <stp>OPEN_INT</stp>
        <stp>.OPEN251226C18.5</stp>
        <tr r="I11" s="1"/>
      </tp>
      <tp t="s">
        <v>N/A</v>
        <stp/>
        <stp>OPEN_INT</stp>
        <stp>.OPEN251024P18.5</stp>
        <tr r="M7" s="2"/>
      </tp>
      <tp t="s">
        <v>N/A</v>
        <stp/>
        <stp>OPEN_INT</stp>
        <stp>.OPEN251024C18.5</stp>
        <tr r="M7" s="2"/>
      </tp>
      <tp t="s">
        <v>N/A</v>
        <stp/>
        <stp>OPEN_INT</stp>
        <stp>.OPEN261120P18.5</stp>
        <tr r="V11" s="1"/>
      </tp>
      <tp t="s">
        <v>N/A</v>
        <stp/>
        <stp>OPEN_INT</stp>
        <stp>.OPEN251023P18.5</stp>
        <tr r="L7" s="2"/>
      </tp>
      <tp t="s">
        <v>N/A</v>
        <stp/>
        <stp>OPEN_INT</stp>
        <stp>.OPEN260320P18.5</stp>
        <tr r="N11" s="1"/>
      </tp>
      <tp t="s">
        <v>N/A</v>
        <stp/>
        <stp>OPEN_INT</stp>
        <stp>.OPEN260220P18.5</stp>
        <tr r="M11" s="1"/>
      </tp>
      <tp t="s">
        <v>N/A</v>
        <stp/>
        <stp>OPEN_INT</stp>
        <stp>.OPEN260320C18.5</stp>
        <tr r="N11" s="1"/>
      </tp>
      <tp t="s">
        <v>N/A</v>
        <stp/>
        <stp>OPEN_INT</stp>
        <stp>.OPEN260220C18.5</stp>
        <tr r="M11" s="1"/>
      </tp>
      <tp t="s">
        <v>N/A</v>
        <stp/>
        <stp>OPEN_INT</stp>
        <stp>.OPEN261120C18.5</stp>
        <tr r="V11" s="1"/>
      </tp>
      <tp t="s">
        <v>N/A</v>
        <stp/>
        <stp>OPEN_INT</stp>
        <stp>.OPEN251023C18.5</stp>
        <tr r="L7" s="2"/>
      </tp>
      <tp t="s">
        <v>N/A</v>
        <stp/>
        <stp>OPEN_INT</stp>
        <stp>.OPEN251022P18.5</stp>
        <tr r="K7" s="2"/>
      </tp>
      <tp t="s">
        <v>N/A</v>
        <stp/>
        <stp>OPEN_INT</stp>
        <stp>.OPEN260821P18.5</stp>
        <tr r="S11" s="1"/>
      </tp>
      <tp t="s">
        <v>N/A</v>
        <stp/>
        <stp>OPEN_INT</stp>
        <stp>.OPEN260821C18.5</stp>
        <tr r="S11" s="1"/>
      </tp>
      <tp t="s">
        <v>N/A</v>
        <stp/>
        <stp>OPEN_INT</stp>
        <stp>.OPEN251022C18.5</stp>
        <tr r="K7" s="2"/>
      </tp>
      <tp t="s">
        <v>N/A</v>
        <stp/>
        <stp>OPEN_INT</stp>
        <stp>.OPEN251231P19.5</stp>
        <tr r="V5" s="2"/>
      </tp>
      <tp t="s">
        <v>N/A</v>
        <stp/>
        <stp>OPEN_INT</stp>
        <stp>.OPEN251121P18.5</stp>
        <tr r="D11" s="1"/>
        <tr r="S7" s="2"/>
      </tp>
      <tp t="s">
        <v>N/A</v>
        <stp/>
        <stp>OPEN_INT</stp>
        <stp>.OPEN251021P18.5</stp>
        <tr r="J7" s="2"/>
      </tp>
      <tp t="s">
        <v>N/A</v>
        <stp/>
        <stp>OPEN_INT</stp>
        <stp>.OPEN251031P19.5</stp>
        <tr r="R5" s="2"/>
      </tp>
      <tp t="s">
        <v>N/A</v>
        <stp/>
        <stp>OPEN_INT</stp>
        <stp>.OPEN251231C19.5</stp>
        <tr r="V5" s="2"/>
      </tp>
      <tp t="s">
        <v>N/A</v>
        <stp/>
        <stp>OPEN_INT</stp>
        <stp>.OPEN251121C18.5</stp>
        <tr r="D11" s="1"/>
        <tr r="S7" s="2"/>
      </tp>
      <tp t="s">
        <v>N/A</v>
        <stp/>
        <stp>OPEN_INT</stp>
        <stp>.OPEN251021C18.5</stp>
        <tr r="J7" s="2"/>
      </tp>
      <tp t="s">
        <v>N/A</v>
        <stp/>
        <stp>OPEN_INT</stp>
        <stp>.OPEN251031C19.5</stp>
        <tr r="R5" s="2"/>
      </tp>
      <tp t="s">
        <v>N/A</v>
        <stp/>
        <stp>OPEN_INT</stp>
        <stp>.OPEN251020P18.5</stp>
        <tr r="I7" s="2"/>
      </tp>
      <tp t="s">
        <v>N/A</v>
        <stp/>
        <stp>OPEN_INT</stp>
        <stp>.OPEN251030P19.5</stp>
        <tr r="Q5" s="2"/>
      </tp>
      <tp t="s">
        <v>N/A</v>
        <stp/>
        <stp>OPEN_INT</stp>
        <stp>.OPEN251020C18.5</stp>
        <tr r="I7" s="2"/>
      </tp>
      <tp t="s">
        <v>N/A</v>
        <stp/>
        <stp>OPEN_INT</stp>
        <stp>.OPEN251030C19.5</stp>
        <tr r="Q5" s="2"/>
      </tp>
      <tp t="s">
        <v>N/A</v>
        <stp/>
        <stp>OPEN_INT</stp>
        <stp>.OPEN261218P18.5</stp>
        <tr r="W11" s="1"/>
      </tp>
      <tp t="s">
        <v>N/A</v>
        <stp/>
        <stp>OPEN_INT</stp>
        <stp>.OPEN260918P18.5</stp>
        <tr r="T11" s="1"/>
      </tp>
      <tp t="s">
        <v>N/A</v>
        <stp/>
        <stp>OPEN_INT</stp>
        <stp>.OPEN260918C18.5</stp>
        <tr r="T11" s="1"/>
      </tp>
      <tp t="s">
        <v>N/A</v>
        <stp/>
        <stp>OPEN_INT</stp>
        <stp>.OPEN261218C18.5</stp>
        <tr r="W11" s="1"/>
      </tp>
      <tp t="s">
        <v>N/A</v>
        <stp/>
        <stp>OPEN_INT</stp>
        <stp>.OPEN260619P18.5</stp>
        <tr r="Q11" s="1"/>
      </tp>
      <tp t="s">
        <v>N/A</v>
        <stp/>
        <stp>OPEN_INT</stp>
        <stp>.OPEN260109P19.5</stp>
        <tr r="K9" s="1"/>
      </tp>
      <tp t="s">
        <v>N/A</v>
        <stp/>
        <stp>OPEN_INT</stp>
        <stp>.OPEN260619C18.5</stp>
        <tr r="Q11" s="1"/>
      </tp>
      <tp t="s">
        <v>N/A</v>
        <stp/>
        <stp>OPEN_INT</stp>
        <stp>.OPEN260109C19.5</stp>
        <tr r="K9" s="1"/>
      </tp>
      <tp t="s">
        <v>N/A</v>
        <stp/>
        <stp>OPEN_INT</stp>
        <stp>.OPEN251219P18.5</stp>
        <tr r="H11" s="1"/>
        <tr r="U7" s="2"/>
      </tp>
      <tp t="s">
        <v>N/A</v>
        <stp/>
        <stp>OPEN_INT</stp>
        <stp>.OPEN251009P19.5</stp>
        <tr r="B5" s="2"/>
      </tp>
      <tp t="s">
        <v>N/A</v>
        <stp/>
        <stp>OPEN_INT</stp>
        <stp>.OPEN251219C18.5</stp>
        <tr r="H11" s="1"/>
        <tr r="U7" s="2"/>
      </tp>
      <tp t="s">
        <v>N/A</v>
        <stp/>
        <stp>OPEN_INT</stp>
        <stp>.OPEN251009C19.5</stp>
        <tr r="B5" s="2"/>
      </tp>
      <tp t="s">
        <v>N/A</v>
        <stp/>
        <stp>OPEN_INT</stp>
        <stp>.OPEN251017P18.5</stp>
        <tr r="H7" s="2"/>
      </tp>
      <tp t="s">
        <v>N/A</v>
        <stp/>
        <stp>OPEN_INT</stp>
        <stp>.OPEN251017C18.5</stp>
        <tr r="H7" s="2"/>
      </tp>
      <tp t="s">
        <v>N/A</v>
        <stp/>
        <stp>OPEN_INT</stp>
        <stp>.OPEN251016P18.5</stp>
        <tr r="G7" s="2"/>
      </tp>
      <tp t="s">
        <v>N/A</v>
        <stp/>
        <stp>OPEN_INT</stp>
        <stp>.OPEN260515P18.5</stp>
        <tr r="P11" s="1"/>
      </tp>
      <tp t="s">
        <v>N/A</v>
        <stp/>
        <stp>OPEN_INT</stp>
        <stp>.OPEN260515C18.5</stp>
        <tr r="P11" s="1"/>
      </tp>
      <tp t="s">
        <v>N/A</v>
        <stp/>
        <stp>OPEN_INT</stp>
        <stp>.OPEN251016C18.5</stp>
        <tr r="G7" s="2"/>
      </tp>
      <tp t="s">
        <v>N/A</v>
        <stp/>
        <stp>OPEN_INT</stp>
        <stp>.OPEN251205P19.5</stp>
        <tr r="F9" s="1"/>
      </tp>
      <tp t="s">
        <v>N/A</v>
        <stp/>
        <stp>OPEN_INT</stp>
        <stp>.OPEN251015P18.5</stp>
        <tr r="F7" s="2"/>
      </tp>
      <tp t="s">
        <v>N/A</v>
        <stp/>
        <stp>OPEN_INT</stp>
        <stp>.OPEN261016P18.5</stp>
        <tr r="U11" s="1"/>
      </tp>
      <tp t="s">
        <v>N/A</v>
        <stp/>
        <stp>OPEN_INT</stp>
        <stp>.OPEN260116P18.5</stp>
        <tr r="L11" s="1"/>
        <tr r="W7" s="2"/>
      </tp>
      <tp t="s">
        <v>N/A</v>
        <stp/>
        <stp>OPEN_INT</stp>
        <stp>.OPEN260116C18.5</stp>
        <tr r="L11" s="1"/>
        <tr r="W7" s="2"/>
      </tp>
      <tp t="s">
        <v>N/A</v>
        <stp/>
        <stp>OPEN_INT</stp>
        <stp>.OPEN251205C19.5</stp>
        <tr r="F9" s="1"/>
      </tp>
      <tp t="s">
        <v>N/A</v>
        <stp/>
        <stp>OPEN_INT</stp>
        <stp>.OPEN251015C18.5</stp>
        <tr r="F7" s="2"/>
      </tp>
      <tp t="s">
        <v>N/A</v>
        <stp/>
        <stp>OPEN_INT</stp>
        <stp>.OPEN261016C18.5</stp>
        <tr r="U11" s="1"/>
      </tp>
      <tp t="s">
        <v>N/A</v>
        <stp/>
        <stp>OPEN_INT</stp>
        <stp>.OPEN251114P18.5</stp>
        <tr r="AH52" s="1"/>
        <tr r="AI52" s="5"/>
        <tr r="C11" s="1"/>
        <tr r="AI5" s="5"/>
        <tr r="AI49" s="5"/>
        <tr r="AI9" s="5"/>
        <tr r="AI45" s="5"/>
        <tr r="AI43" s="5"/>
        <tr r="AI41" s="5"/>
        <tr r="AI17" s="5"/>
        <tr r="AI19" s="5"/>
        <tr r="AI35" s="5"/>
        <tr r="AI23" s="5"/>
        <tr r="AI31" s="5"/>
        <tr r="AI29" s="5"/>
        <tr r="AH50" s="1"/>
        <tr r="AH8" s="1"/>
        <tr r="AH46" s="1"/>
        <tr r="AH12" s="1"/>
        <tr r="AH14" s="1"/>
        <tr r="AH40" s="1"/>
        <tr r="AH38" s="1"/>
        <tr r="AH36" s="1"/>
        <tr r="AH22" s="1"/>
        <tr r="AH24" s="1"/>
        <tr r="AH26" s="1"/>
        <tr r="AI6" s="5"/>
        <tr r="AI48" s="5"/>
        <tr r="AI10" s="5"/>
        <tr r="AI12" s="5"/>
        <tr r="AI42" s="5"/>
        <tr r="AI40" s="5"/>
        <tr r="AI18" s="5"/>
        <tr r="AI20" s="5"/>
        <tr r="AI22" s="5"/>
        <tr r="AI32" s="5"/>
        <tr r="AI30" s="5"/>
        <tr r="AI28" s="5"/>
        <tr r="AH5" s="1"/>
        <tr r="AH7" s="1"/>
        <tr r="AH47" s="1"/>
        <tr r="AH45" s="1"/>
        <tr r="AH13" s="1"/>
        <tr r="AH15" s="1"/>
        <tr r="AH39" s="1"/>
        <tr r="AH37" s="1"/>
        <tr r="AH35" s="1"/>
        <tr r="AH33" s="1"/>
        <tr r="AH31" s="1"/>
        <tr r="AH29" s="1"/>
        <tr r="AI50" s="5"/>
        <tr r="AI8" s="5"/>
        <tr r="AI46" s="5"/>
        <tr r="AI44" s="5"/>
        <tr r="AI14" s="5"/>
        <tr r="AI16" s="5"/>
        <tr r="AI38" s="5"/>
        <tr r="AI36" s="5"/>
        <tr r="AI34" s="5"/>
        <tr r="AI24" s="5"/>
        <tr r="AI26" s="5"/>
        <tr r="AH51" s="1"/>
        <tr r="AH49" s="1"/>
        <tr r="AH9" s="1"/>
        <tr r="AH11" s="1"/>
        <tr r="AH43" s="1"/>
        <tr r="AH41" s="1"/>
        <tr r="AH17" s="1"/>
        <tr r="AH19" s="1"/>
        <tr r="AH21" s="1"/>
        <tr r="AH23" s="1"/>
        <tr r="AH25" s="1"/>
        <tr r="AH27" s="1"/>
        <tr r="AI51" s="5"/>
        <tr r="AI7" s="5"/>
        <tr r="AI47" s="5"/>
        <tr r="AI11" s="5"/>
        <tr r="AI13" s="5"/>
        <tr r="AI15" s="5"/>
        <tr r="AI39" s="5"/>
        <tr r="AI37" s="5"/>
        <tr r="AI21" s="5"/>
        <tr r="AI33" s="5"/>
        <tr r="AI25" s="5"/>
        <tr r="AI27" s="5"/>
        <tr r="AH6" s="1"/>
        <tr r="AH48" s="1"/>
        <tr r="AH10" s="1"/>
        <tr r="AH44" s="1"/>
        <tr r="AH42" s="1"/>
        <tr r="AH16" s="1"/>
        <tr r="AH18" s="1"/>
        <tr r="AH20" s="1"/>
        <tr r="AH34" s="1"/>
        <tr r="AH32" s="1"/>
        <tr r="AH30" s="1"/>
        <tr r="AH28" s="1"/>
      </tp>
      <tp t="s">
        <v>N/A</v>
        <stp/>
        <stp>OPEN_INT</stp>
        <stp>.OPEN251014P18.5</stp>
        <tr r="E7" s="2"/>
      </tp>
      <tp t="s">
        <v>N/A</v>
        <stp/>
        <stp>OPEN_INT</stp>
        <stp>.OPEN260717P18.5</stp>
        <tr r="R11" s="1"/>
      </tp>
      <tp t="s">
        <v>N/A</v>
        <stp/>
        <stp>OPEN_INT</stp>
        <stp>.OPEN260417P18.5</stp>
        <tr r="O11" s="1"/>
      </tp>
      <tp t="s">
        <v>N/A</v>
        <stp/>
        <stp>OPEN_INT</stp>
        <stp>.OPEN260717C18.5</stp>
        <tr r="R11" s="1"/>
      </tp>
      <tp t="s">
        <v>N/A</v>
        <stp/>
        <stp>OPEN_INT</stp>
        <stp>.OPEN260417C18.5</stp>
        <tr r="O11" s="1"/>
      </tp>
      <tp t="s">
        <v>N/A</v>
        <stp/>
        <stp>OPEN_INT</stp>
        <stp>.OPEN251114C18.5</stp>
        <tr r="AH52" s="1"/>
        <tr r="AI52" s="5"/>
        <tr r="C11" s="1"/>
        <tr r="AI5" s="5"/>
        <tr r="AI49" s="5"/>
        <tr r="AI9" s="5"/>
        <tr r="AI45" s="5"/>
        <tr r="AI43" s="5"/>
        <tr r="AI41" s="5"/>
        <tr r="AI17" s="5"/>
        <tr r="AI19" s="5"/>
        <tr r="AI35" s="5"/>
        <tr r="AI23" s="5"/>
        <tr r="AI31" s="5"/>
        <tr r="AI29" s="5"/>
        <tr r="AH50" s="1"/>
        <tr r="AH8" s="1"/>
        <tr r="AH46" s="1"/>
        <tr r="AH12" s="1"/>
        <tr r="AH14" s="1"/>
        <tr r="AH40" s="1"/>
        <tr r="AH38" s="1"/>
        <tr r="AH36" s="1"/>
        <tr r="AH22" s="1"/>
        <tr r="AH24" s="1"/>
        <tr r="AH26" s="1"/>
        <tr r="AI6" s="5"/>
        <tr r="AI48" s="5"/>
        <tr r="AI10" s="5"/>
        <tr r="AI12" s="5"/>
        <tr r="AI42" s="5"/>
        <tr r="AI40" s="5"/>
        <tr r="AI18" s="5"/>
        <tr r="AI20" s="5"/>
        <tr r="AI22" s="5"/>
        <tr r="AI32" s="5"/>
        <tr r="AI30" s="5"/>
        <tr r="AI28" s="5"/>
        <tr r="AH5" s="1"/>
        <tr r="AH7" s="1"/>
        <tr r="AH47" s="1"/>
        <tr r="AH45" s="1"/>
        <tr r="AH13" s="1"/>
        <tr r="AH15" s="1"/>
        <tr r="AH39" s="1"/>
        <tr r="AH37" s="1"/>
        <tr r="AH35" s="1"/>
        <tr r="AH33" s="1"/>
        <tr r="AH31" s="1"/>
        <tr r="AH29" s="1"/>
        <tr r="AI50" s="5"/>
        <tr r="AI8" s="5"/>
        <tr r="AI46" s="5"/>
        <tr r="AI44" s="5"/>
        <tr r="AI14" s="5"/>
        <tr r="AI16" s="5"/>
        <tr r="AI38" s="5"/>
        <tr r="AI36" s="5"/>
        <tr r="AI34" s="5"/>
        <tr r="AI24" s="5"/>
        <tr r="AI26" s="5"/>
        <tr r="AH51" s="1"/>
        <tr r="AH49" s="1"/>
        <tr r="AH9" s="1"/>
        <tr r="AH11" s="1"/>
        <tr r="AH43" s="1"/>
        <tr r="AH41" s="1"/>
        <tr r="AH17" s="1"/>
        <tr r="AH19" s="1"/>
        <tr r="AH21" s="1"/>
        <tr r="AH23" s="1"/>
        <tr r="AH25" s="1"/>
        <tr r="AH27" s="1"/>
        <tr r="AI51" s="5"/>
        <tr r="AI7" s="5"/>
        <tr r="AI47" s="5"/>
        <tr r="AI11" s="5"/>
        <tr r="AI13" s="5"/>
        <tr r="AI15" s="5"/>
        <tr r="AI39" s="5"/>
        <tr r="AI37" s="5"/>
        <tr r="AI21" s="5"/>
        <tr r="AI33" s="5"/>
        <tr r="AI25" s="5"/>
        <tr r="AI27" s="5"/>
        <tr r="AH6" s="1"/>
        <tr r="AH48" s="1"/>
        <tr r="AH10" s="1"/>
        <tr r="AH44" s="1"/>
        <tr r="AH42" s="1"/>
        <tr r="AH16" s="1"/>
        <tr r="AH18" s="1"/>
        <tr r="AH20" s="1"/>
        <tr r="AH34" s="1"/>
        <tr r="AH32" s="1"/>
        <tr r="AH30" s="1"/>
        <tr r="AH28" s="1"/>
      </tp>
      <tp t="s">
        <v>N/A</v>
        <stp/>
        <stp>OPEN_INT</stp>
        <stp>.OPEN251014C18.5</stp>
        <tr r="E7" s="2"/>
      </tp>
      <tp t="s">
        <v>N/A</v>
        <stp/>
        <stp>OPEN_INT</stp>
        <stp>.OPEN251013P18.5</stp>
        <tr r="D7" s="2"/>
      </tp>
      <tp t="s">
        <v>N/A</v>
        <stp/>
        <stp>OPEN_INT</stp>
        <stp>.OPEN251013C18.5</stp>
        <tr r="D7" s="2"/>
      </tp>
      <tp t="s">
        <v>N/A</v>
        <stp/>
        <stp>OPEN_INT</stp>
        <stp>.OPEN251212P18.5</stp>
        <tr r="G11" s="1"/>
      </tp>
      <tp t="s">
        <v>N/A</v>
        <stp/>
        <stp>OPEN_INT</stp>
        <stp>.OPEN251212C18.5</stp>
        <tr r="G11" s="1"/>
      </tp>
      <tp t="s">
        <v>N/A</v>
        <stp/>
        <stp>OPEN_INT</stp>
        <stp>.OPEN260102P19.5</stp>
        <tr r="J9" s="1"/>
      </tp>
      <tp t="s">
        <v>N/A</v>
        <stp/>
        <stp>OPEN_INT</stp>
        <stp>.OPEN260102C19.5</stp>
        <tr r="J9" s="1"/>
      </tp>
      <tp t="s">
        <v>N/A</v>
        <stp/>
        <stp>OPEN_INT</stp>
        <stp>.OPEN251010P18.5</stp>
        <tr r="C7" s="2"/>
      </tp>
      <tp t="s">
        <v>N/A</v>
        <stp/>
        <stp>OPEN_INT</stp>
        <stp>.OPEN251010C18.5</stp>
        <tr r="C7" s="2"/>
      </tp>
      <tp t="s">
        <v>N/A</v>
        <stp/>
        <stp>OPEN_INT</stp>
        <stp>.OPEN261218P19.5</stp>
        <tr r="W9" s="1"/>
      </tp>
      <tp t="s">
        <v>N/A</v>
        <stp/>
        <stp>OPEN_INT</stp>
        <stp>.OPEN260918P19.5</stp>
        <tr r="T9" s="1"/>
      </tp>
      <tp t="s">
        <v>N/A</v>
        <stp/>
        <stp>OPEN_INT</stp>
        <stp>.OPEN260918C19.5</stp>
        <tr r="T9" s="1"/>
      </tp>
      <tp t="s">
        <v>N/A</v>
        <stp/>
        <stp>OPEN_INT</stp>
        <stp>.OPEN261218C19.5</stp>
        <tr r="W9" s="1"/>
      </tp>
      <tp t="s">
        <v>N/A</v>
        <stp/>
        <stp>OPEN_INT</stp>
        <stp>.OPEN260619P19.5</stp>
        <tr r="Q9" s="1"/>
      </tp>
      <tp t="s">
        <v>N/A</v>
        <stp/>
        <stp>OPEN_INT</stp>
        <stp>.OPEN260109P18.5</stp>
        <tr r="K11" s="1"/>
      </tp>
      <tp t="s">
        <v>N/A</v>
        <stp/>
        <stp>OPEN_INT</stp>
        <stp>.OPEN260619C19.5</stp>
        <tr r="Q9" s="1"/>
      </tp>
      <tp t="s">
        <v>N/A</v>
        <stp/>
        <stp>OPEN_INT</stp>
        <stp>.OPEN260109C18.5</stp>
        <tr r="K11" s="1"/>
      </tp>
      <tp t="s">
        <v>N/A</v>
        <stp/>
        <stp>OPEN_INT</stp>
        <stp>.OPEN251219P19.5</stp>
        <tr r="H9" s="1"/>
        <tr r="U5" s="2"/>
      </tp>
      <tp t="s">
        <v>N/A</v>
        <stp/>
        <stp>OPEN_INT</stp>
        <stp>.OPEN251009P18.5</stp>
        <tr r="B7" s="2"/>
      </tp>
      <tp t="s">
        <v>N/A</v>
        <stp/>
        <stp>OPEN_INT</stp>
        <stp>.OPEN251219C19.5</stp>
        <tr r="H9" s="1"/>
        <tr r="U5" s="2"/>
      </tp>
      <tp t="s">
        <v>N/A</v>
        <stp/>
        <stp>OPEN_INT</stp>
        <stp>.OPEN251009C18.5</stp>
        <tr r="B7" s="2"/>
      </tp>
      <tp t="s">
        <v>N/A</v>
        <stp/>
        <stp>OPEN_INT</stp>
        <stp>.OPEN251017P19.5</stp>
        <tr r="H5" s="2"/>
      </tp>
      <tp t="s">
        <v>N/A</v>
        <stp/>
        <stp>OPEN_INT</stp>
        <stp>.OPEN251017C19.5</stp>
        <tr r="H5" s="2"/>
      </tp>
      <tp t="s">
        <v>N/A</v>
        <stp/>
        <stp>OPEN_INT</stp>
        <stp>.OPEN251016P19.5</stp>
        <tr r="G5" s="2"/>
      </tp>
      <tp t="s">
        <v>N/A</v>
        <stp/>
        <stp>OPEN_INT</stp>
        <stp>.OPEN260515P19.5</stp>
        <tr r="P9" s="1"/>
      </tp>
      <tp t="s">
        <v>N/A</v>
        <stp/>
        <stp>OPEN_INT</stp>
        <stp>.OPEN260515C19.5</stp>
        <tr r="P9" s="1"/>
      </tp>
      <tp t="s">
        <v>N/A</v>
        <stp/>
        <stp>OPEN_INT</stp>
        <stp>.OPEN251016C19.5</stp>
        <tr r="G5" s="2"/>
      </tp>
      <tp t="s">
        <v>N/A</v>
        <stp/>
        <stp>OPEN_INT</stp>
        <stp>.OPEN251205P18.5</stp>
        <tr r="F11" s="1"/>
      </tp>
      <tp t="s">
        <v>N/A</v>
        <stp/>
        <stp>OPEN_INT</stp>
        <stp>.OPEN251015P19.5</stp>
        <tr r="F5" s="2"/>
      </tp>
      <tp t="s">
        <v>N/A</v>
        <stp/>
        <stp>OPEN_INT</stp>
        <stp>.OPEN261016P19.5</stp>
        <tr r="U9" s="1"/>
      </tp>
      <tp t="s">
        <v>N/A</v>
        <stp/>
        <stp>OPEN_INT</stp>
        <stp>.OPEN260116P19.5</stp>
        <tr r="L9" s="1"/>
        <tr r="W5" s="2"/>
      </tp>
      <tp t="s">
        <v>N/A</v>
        <stp/>
        <stp>OPEN_INT</stp>
        <stp>.OPEN260116C19.5</stp>
        <tr r="L9" s="1"/>
        <tr r="W5" s="2"/>
      </tp>
      <tp t="s">
        <v>N/A</v>
        <stp/>
        <stp>OPEN_INT</stp>
        <stp>.OPEN251205C18.5</stp>
        <tr r="F11" s="1"/>
      </tp>
      <tp t="s">
        <v>N/A</v>
        <stp/>
        <stp>OPEN_INT</stp>
        <stp>.OPEN251015C19.5</stp>
        <tr r="F5" s="2"/>
      </tp>
      <tp t="s">
        <v>N/A</v>
        <stp/>
        <stp>OPEN_INT</stp>
        <stp>.OPEN261016C19.5</stp>
        <tr r="U9" s="1"/>
      </tp>
      <tp t="s">
        <v>N/A</v>
        <stp/>
        <stp>OPEN_INT</stp>
        <stp>.OPEN251114P19.5</stp>
        <tr r="AG52" s="5"/>
        <tr r="AF52" s="1"/>
        <tr r="C9" s="1"/>
        <tr r="AG6" s="5"/>
        <tr r="AG8" s="5"/>
        <tr r="AG46" s="5"/>
        <tr r="AG44" s="5"/>
        <tr r="AG14" s="5"/>
        <tr r="AG40" s="5"/>
        <tr r="AG38" s="5"/>
        <tr r="AG36" s="5"/>
        <tr r="AG34" s="5"/>
        <tr r="AG32" s="5"/>
        <tr r="AG30" s="5"/>
        <tr r="AF6" s="1"/>
        <tr r="AF48" s="1"/>
        <tr r="AF46" s="1"/>
        <tr r="AF44" s="1"/>
        <tr r="AF14" s="1"/>
        <tr r="AF40" s="1"/>
        <tr r="AF38" s="1"/>
        <tr r="AF20" s="1"/>
        <tr r="AF34" s="1"/>
        <tr r="AF32" s="1"/>
        <tr r="AF30" s="1"/>
        <tr r="AF28" s="1"/>
        <tr r="AG51" s="5"/>
        <tr r="AG7" s="5"/>
        <tr r="AG9" s="5"/>
        <tr r="AG11" s="5"/>
        <tr r="AG13" s="5"/>
        <tr r="AG41" s="5"/>
        <tr r="AG39" s="5"/>
        <tr r="AG37" s="5"/>
        <tr r="AG21" s="5"/>
        <tr r="AG33" s="5"/>
        <tr r="AG25" s="5"/>
        <tr r="AG27" s="5"/>
        <tr r="AF50" s="1"/>
        <tr r="AF8" s="1"/>
        <tr r="AF10" s="1"/>
        <tr r="AF12" s="1"/>
        <tr r="AF42" s="1"/>
        <tr r="AF16" s="1"/>
        <tr r="AF18" s="1"/>
        <tr r="AF36" s="1"/>
        <tr r="AF22" s="1"/>
        <tr r="AF24" s="1"/>
        <tr r="AF26" s="1"/>
        <tr r="AG5" s="5"/>
        <tr r="AG49" s="5"/>
        <tr r="AG47" s="5"/>
        <tr r="AG45" s="5"/>
        <tr r="AG43" s="5"/>
        <tr r="AG15" s="5"/>
        <tr r="AG17" s="5"/>
        <tr r="AG19" s="5"/>
        <tr r="AG35" s="5"/>
        <tr r="AG23" s="5"/>
        <tr r="AG31" s="5"/>
        <tr r="AG29" s="5"/>
        <tr r="AF5" s="1"/>
        <tr r="AF7" s="1"/>
        <tr r="AF47" s="1"/>
        <tr r="AF11" s="1"/>
        <tr r="AF13" s="1"/>
        <tr r="AF15" s="1"/>
        <tr r="AF17" s="1"/>
        <tr r="AF19" s="1"/>
        <tr r="AF21" s="1"/>
        <tr r="AF23" s="1"/>
        <tr r="AF31" s="1"/>
        <tr r="AF27" s="1"/>
        <tr r="AG50" s="5"/>
        <tr r="AG48" s="5"/>
        <tr r="AG10" s="5"/>
        <tr r="AG12" s="5"/>
        <tr r="AG42" s="5"/>
        <tr r="AG16" s="5"/>
        <tr r="AG18" s="5"/>
        <tr r="AG20" s="5"/>
        <tr r="AG22" s="5"/>
        <tr r="AG24" s="5"/>
        <tr r="AG26" s="5"/>
        <tr r="AG28" s="5"/>
        <tr r="AF51" s="1"/>
        <tr r="AF49" s="1"/>
        <tr r="AF9" s="1"/>
        <tr r="AF45" s="1"/>
        <tr r="AF43" s="1"/>
        <tr r="AF41" s="1"/>
        <tr r="AF39" s="1"/>
        <tr r="AF37" s="1"/>
        <tr r="AF35" s="1"/>
        <tr r="AF33" s="1"/>
        <tr r="AF25" s="1"/>
        <tr r="AF29" s="1"/>
      </tp>
      <tp t="s">
        <v>N/A</v>
        <stp/>
        <stp>OPEN_INT</stp>
        <stp>.OPEN251014P19.5</stp>
        <tr r="E5" s="2"/>
      </tp>
      <tp t="s">
        <v>N/A</v>
        <stp/>
        <stp>OPEN_INT</stp>
        <stp>.OPEN260717P19.5</stp>
        <tr r="R9" s="1"/>
      </tp>
      <tp t="s">
        <v>N/A</v>
        <stp/>
        <stp>OPEN_INT</stp>
        <stp>.OPEN260417P19.5</stp>
        <tr r="O9" s="1"/>
      </tp>
      <tp t="s">
        <v>N/A</v>
        <stp/>
        <stp>OPEN_INT</stp>
        <stp>.OPEN260717C19.5</stp>
        <tr r="R9" s="1"/>
      </tp>
      <tp t="s">
        <v>N/A</v>
        <stp/>
        <stp>OPEN_INT</stp>
        <stp>.OPEN260417C19.5</stp>
        <tr r="O9" s="1"/>
      </tp>
      <tp t="s">
        <v>N/A</v>
        <stp/>
        <stp>OPEN_INT</stp>
        <stp>.OPEN251114C19.5</stp>
        <tr r="AG52" s="5"/>
        <tr r="AF52" s="1"/>
        <tr r="C9" s="1"/>
        <tr r="AG6" s="5"/>
        <tr r="AG8" s="5"/>
        <tr r="AG46" s="5"/>
        <tr r="AG44" s="5"/>
        <tr r="AG14" s="5"/>
        <tr r="AG40" s="5"/>
        <tr r="AG38" s="5"/>
        <tr r="AG36" s="5"/>
        <tr r="AG34" s="5"/>
        <tr r="AG32" s="5"/>
        <tr r="AG30" s="5"/>
        <tr r="AF6" s="1"/>
        <tr r="AF48" s="1"/>
        <tr r="AF46" s="1"/>
        <tr r="AF44" s="1"/>
        <tr r="AF14" s="1"/>
        <tr r="AF40" s="1"/>
        <tr r="AF38" s="1"/>
        <tr r="AF20" s="1"/>
        <tr r="AF34" s="1"/>
        <tr r="AF32" s="1"/>
        <tr r="AF30" s="1"/>
        <tr r="AF28" s="1"/>
        <tr r="AG51" s="5"/>
        <tr r="AG7" s="5"/>
        <tr r="AG9" s="5"/>
        <tr r="AG11" s="5"/>
        <tr r="AG13" s="5"/>
        <tr r="AG41" s="5"/>
        <tr r="AG39" s="5"/>
        <tr r="AG37" s="5"/>
        <tr r="AG21" s="5"/>
        <tr r="AG33" s="5"/>
        <tr r="AG25" s="5"/>
        <tr r="AG27" s="5"/>
        <tr r="AF50" s="1"/>
        <tr r="AF8" s="1"/>
        <tr r="AF10" s="1"/>
        <tr r="AF12" s="1"/>
        <tr r="AF42" s="1"/>
        <tr r="AF16" s="1"/>
        <tr r="AF18" s="1"/>
        <tr r="AF36" s="1"/>
        <tr r="AF22" s="1"/>
        <tr r="AF24" s="1"/>
        <tr r="AF26" s="1"/>
        <tr r="AG5" s="5"/>
        <tr r="AG49" s="5"/>
        <tr r="AG47" s="5"/>
        <tr r="AG45" s="5"/>
        <tr r="AG43" s="5"/>
        <tr r="AG15" s="5"/>
        <tr r="AG17" s="5"/>
        <tr r="AG19" s="5"/>
        <tr r="AG35" s="5"/>
        <tr r="AG23" s="5"/>
        <tr r="AG31" s="5"/>
        <tr r="AG29" s="5"/>
        <tr r="AF5" s="1"/>
        <tr r="AF7" s="1"/>
        <tr r="AF47" s="1"/>
        <tr r="AF11" s="1"/>
        <tr r="AF13" s="1"/>
        <tr r="AF15" s="1"/>
        <tr r="AF17" s="1"/>
        <tr r="AF19" s="1"/>
        <tr r="AF21" s="1"/>
        <tr r="AF23" s="1"/>
        <tr r="AF31" s="1"/>
        <tr r="AF27" s="1"/>
        <tr r="AG50" s="5"/>
        <tr r="AG48" s="5"/>
        <tr r="AG10" s="5"/>
        <tr r="AG12" s="5"/>
        <tr r="AG42" s="5"/>
        <tr r="AG16" s="5"/>
        <tr r="AG18" s="5"/>
        <tr r="AG20" s="5"/>
        <tr r="AG22" s="5"/>
        <tr r="AG24" s="5"/>
        <tr r="AG26" s="5"/>
        <tr r="AG28" s="5"/>
        <tr r="AF51" s="1"/>
        <tr r="AF49" s="1"/>
        <tr r="AF9" s="1"/>
        <tr r="AF45" s="1"/>
        <tr r="AF43" s="1"/>
        <tr r="AF41" s="1"/>
        <tr r="AF39" s="1"/>
        <tr r="AF37" s="1"/>
        <tr r="AF35" s="1"/>
        <tr r="AF33" s="1"/>
        <tr r="AF25" s="1"/>
        <tr r="AF29" s="1"/>
      </tp>
      <tp t="s">
        <v>N/A</v>
        <stp/>
        <stp>OPEN_INT</stp>
        <stp>.OPEN251014C19.5</stp>
        <tr r="E5" s="2"/>
      </tp>
      <tp t="s">
        <v>N/A</v>
        <stp/>
        <stp>OPEN_INT</stp>
        <stp>.OPEN251013P19.5</stp>
        <tr r="D5" s="2"/>
      </tp>
      <tp t="s">
        <v>N/A</v>
        <stp/>
        <stp>OPEN_INT</stp>
        <stp>.OPEN251013C19.5</stp>
        <tr r="D5" s="2"/>
      </tp>
      <tp t="s">
        <v>N/A</v>
        <stp/>
        <stp>OPEN_INT</stp>
        <stp>.OPEN251212P19.5</stp>
        <tr r="G9" s="1"/>
      </tp>
      <tp t="s">
        <v>N/A</v>
        <stp/>
        <stp>OPEN_INT</stp>
        <stp>.OPEN251212C19.5</stp>
        <tr r="G9" s="1"/>
      </tp>
      <tp t="s">
        <v>N/A</v>
        <stp/>
        <stp>OPEN_INT</stp>
        <stp>.OPEN260102P18.5</stp>
        <tr r="J11" s="1"/>
      </tp>
      <tp t="s">
        <v>N/A</v>
        <stp/>
        <stp>OPEN_INT</stp>
        <stp>.OPEN260102C18.5</stp>
        <tr r="J11" s="1"/>
      </tp>
      <tp t="s">
        <v>N/A</v>
        <stp/>
        <stp>OPEN_INT</stp>
        <stp>.OPEN251010P19.5</stp>
        <tr r="C5" s="2"/>
      </tp>
      <tp t="s">
        <v>N/A</v>
        <stp/>
        <stp>OPEN_INT</stp>
        <stp>.OPEN251010C19.5</stp>
        <tr r="C5" s="2"/>
      </tp>
      <tp t="s">
        <v>N/A</v>
        <stp/>
        <stp>OPEN_INT</stp>
        <stp>.OPEN261218P16.5</stp>
        <tr r="W15" s="1"/>
      </tp>
      <tp t="s">
        <v>N/A</v>
        <stp/>
        <stp>OPEN_INT</stp>
        <stp>.OPEN260918P16.5</stp>
        <tr r="T15" s="1"/>
      </tp>
      <tp t="s">
        <v>N/A</v>
        <stp/>
        <stp>OPEN_INT</stp>
        <stp>.OPEN260918C16.5</stp>
        <tr r="T15" s="1"/>
      </tp>
      <tp t="s">
        <v>N/A</v>
        <stp/>
        <stp>OPEN_INT</stp>
        <stp>.OPEN261218C16.5</stp>
        <tr r="W15" s="1"/>
      </tp>
      <tp t="s">
        <v>N/A</v>
        <stp/>
        <stp>OPEN_INT</stp>
        <stp>.OPEN260619P16.5</stp>
        <tr r="Q15" s="1"/>
      </tp>
      <tp t="s">
        <v>N/A</v>
        <stp/>
        <stp>OPEN_INT</stp>
        <stp>.OPEN260109P17.5</stp>
        <tr r="K13" s="1"/>
      </tp>
      <tp t="s">
        <v>N/A</v>
        <stp/>
        <stp>OPEN_INT</stp>
        <stp>.OPEN260619C16.5</stp>
        <tr r="Q15" s="1"/>
      </tp>
      <tp t="s">
        <v>N/A</v>
        <stp/>
        <stp>OPEN_INT</stp>
        <stp>.OPEN260109C17.5</stp>
        <tr r="K13" s="1"/>
      </tp>
      <tp t="s">
        <v>N/A</v>
        <stp/>
        <stp>OPEN_INT</stp>
        <stp>.OPEN251219P16.5</stp>
        <tr r="H15" s="1"/>
        <tr r="U11" s="2"/>
      </tp>
      <tp t="s">
        <v>N/A</v>
        <stp/>
        <stp>OPEN_INT</stp>
        <stp>.OPEN251009P17.5</stp>
        <tr r="B9" s="2"/>
      </tp>
      <tp t="s">
        <v>N/A</v>
        <stp/>
        <stp>OPEN_INT</stp>
        <stp>.OPEN251029P15.5</stp>
        <tr r="P13" s="2"/>
      </tp>
      <tp t="s">
        <v>N/A</v>
        <stp/>
        <stp>OPEN_INT</stp>
        <stp>.OPEN251219C16.5</stp>
        <tr r="H15" s="1"/>
        <tr r="U11" s="2"/>
      </tp>
      <tp t="s">
        <v>N/A</v>
        <stp/>
        <stp>OPEN_INT</stp>
        <stp>.OPEN251009C17.5</stp>
        <tr r="B9" s="2"/>
      </tp>
      <tp t="s">
        <v>N/A</v>
        <stp/>
        <stp>OPEN_INT</stp>
        <stp>.OPEN251029C15.5</stp>
        <tr r="P13" s="2"/>
      </tp>
      <tp t="s">
        <v>N/A</v>
        <stp/>
        <stp>OPEN_INT</stp>
        <stp>.OPEN251128P15.5</stp>
        <tr r="E17" s="1"/>
        <tr r="T13" s="2"/>
      </tp>
      <tp t="s">
        <v>N/A</v>
        <stp/>
        <stp>OPEN_INT</stp>
        <stp>.OPEN251028P15.5</stp>
        <tr r="O13" s="2"/>
      </tp>
      <tp t="s">
        <v>N/A</v>
        <stp/>
        <stp>OPEN_INT</stp>
        <stp>.OPEN251128C15.5</stp>
        <tr r="E17" s="1"/>
        <tr r="T13" s="2"/>
      </tp>
      <tp t="s">
        <v>N/A</v>
        <stp/>
        <stp>OPEN_INT</stp>
        <stp>.OPEN251028C15.5</stp>
        <tr r="O13" s="2"/>
      </tp>
      <tp t="s">
        <v>N/A</v>
        <stp/>
        <stp>OPEN_INT</stp>
        <stp>.OPEN251017P16.5</stp>
        <tr r="H11" s="2"/>
      </tp>
      <tp t="s">
        <v>N/A</v>
        <stp/>
        <stp>OPEN_INT</stp>
        <stp>.OPEN251027P15.5</stp>
        <tr r="N13" s="2"/>
      </tp>
      <tp t="s">
        <v>N/A</v>
        <stp/>
        <stp>OPEN_INT</stp>
        <stp>.OPEN251017C16.5</stp>
        <tr r="H11" s="2"/>
      </tp>
      <tp t="s">
        <v>N/A</v>
        <stp/>
        <stp>OPEN_INT</stp>
        <stp>.OPEN251027C15.5</stp>
        <tr r="N13" s="2"/>
      </tp>
      <tp t="s">
        <v>N/A</v>
        <stp/>
        <stp>OPEN_INT</stp>
        <stp>.OPEN251226P15.5</stp>
        <tr r="I17" s="1"/>
      </tp>
      <tp t="s">
        <v>N/A</v>
        <stp/>
        <stp>OPEN_INT</stp>
        <stp>.OPEN251016P16.5</stp>
        <tr r="G11" s="2"/>
      </tp>
      <tp t="s">
        <v>N/A</v>
        <stp/>
        <stp>OPEN_INT</stp>
        <stp>.OPEN260515P16.5</stp>
        <tr r="P15" s="1"/>
      </tp>
      <tp t="s">
        <v>N/A</v>
        <stp/>
        <stp>OPEN_INT</stp>
        <stp>.OPEN260515C16.5</stp>
        <tr r="P15" s="1"/>
      </tp>
      <tp t="s">
        <v>N/A</v>
        <stp/>
        <stp>OPEN_INT</stp>
        <stp>.OPEN251226C15.5</stp>
        <tr r="I17" s="1"/>
      </tp>
      <tp t="s">
        <v>N/A</v>
        <stp/>
        <stp>OPEN_INT</stp>
        <stp>.OPEN251016C16.5</stp>
        <tr r="G11" s="2"/>
      </tp>
      <tp t="s">
        <v>N/A</v>
        <stp/>
        <stp>OPEN_INT</stp>
        <stp>.OPEN251205P17.5</stp>
        <tr r="F13" s="1"/>
      </tp>
      <tp t="s">
        <v>N/A</v>
        <stp/>
        <stp>OPEN_INT</stp>
        <stp>.OPEN251015P16.5</stp>
        <tr r="F11" s="2"/>
      </tp>
      <tp t="s">
        <v>N/A</v>
        <stp/>
        <stp>OPEN_INT</stp>
        <stp>.OPEN261016P16.5</stp>
        <tr r="U15" s="1"/>
      </tp>
      <tp t="s">
        <v>N/A</v>
        <stp/>
        <stp>OPEN_INT</stp>
        <stp>.OPEN260116P16.5</stp>
        <tr r="L15" s="1"/>
        <tr r="W11" s="2"/>
      </tp>
      <tp t="s">
        <v>N/A</v>
        <stp/>
        <stp>OPEN_INT</stp>
        <stp>.OPEN260116C16.5</stp>
        <tr r="L15" s="1"/>
        <tr r="W11" s="2"/>
      </tp>
      <tp t="s">
        <v>N/A</v>
        <stp/>
        <stp>OPEN_INT</stp>
        <stp>.OPEN251205C17.5</stp>
        <tr r="F13" s="1"/>
      </tp>
      <tp t="s">
        <v>N/A</v>
        <stp/>
        <stp>OPEN_INT</stp>
        <stp>.OPEN251015C16.5</stp>
        <tr r="F11" s="2"/>
      </tp>
      <tp t="s">
        <v>N/A</v>
        <stp/>
        <stp>OPEN_INT</stp>
        <stp>.OPEN261016C16.5</stp>
        <tr r="U15" s="1"/>
      </tp>
      <tp t="s">
        <v>N/A</v>
        <stp/>
        <stp>OPEN_INT</stp>
        <stp>.OPEN251114P16.5</stp>
        <tr r="AM52" s="5"/>
        <tr r="AL52" s="1"/>
        <tr r="C15" s="1"/>
        <tr r="AM5" s="5"/>
        <tr r="AM7" s="5"/>
        <tr r="AM47" s="5"/>
        <tr r="AM11" s="5"/>
        <tr r="AM43" s="5"/>
        <tr r="AM41" s="5"/>
        <tr r="AM17" s="5"/>
        <tr r="AM19" s="5"/>
        <tr r="AM35" s="5"/>
        <tr r="AM23" s="5"/>
        <tr r="AM25" s="5"/>
        <tr r="AM29" s="5"/>
        <tr r="AL5" s="1"/>
        <tr r="AL7" s="1"/>
        <tr r="AL9" s="1"/>
        <tr r="AL45" s="1"/>
        <tr r="AL13" s="1"/>
        <tr r="AL41" s="1"/>
        <tr r="AL17" s="1"/>
        <tr r="AL37" s="1"/>
        <tr r="AL21" s="1"/>
        <tr r="AL23" s="1"/>
        <tr r="AL25" s="1"/>
        <tr r="AL29" s="1"/>
        <tr r="AM50" s="5"/>
        <tr r="AM48" s="5"/>
        <tr r="AM10" s="5"/>
        <tr r="AM12" s="5"/>
        <tr r="AM42" s="5"/>
        <tr r="AM16" s="5"/>
        <tr r="AM18" s="5"/>
        <tr r="AM36" s="5"/>
        <tr r="AM22" s="5"/>
        <tr r="AM32" s="5"/>
        <tr r="AM26" s="5"/>
        <tr r="AM28" s="5"/>
        <tr r="AL6" s="1"/>
        <tr r="AL8" s="1"/>
        <tr r="AL46" s="1"/>
        <tr r="AL44" s="1"/>
        <tr r="AL42" s="1"/>
        <tr r="AL40" s="1"/>
        <tr r="AL18" s="1"/>
        <tr r="AL20" s="1"/>
        <tr r="AL34" s="1"/>
        <tr r="AL32" s="1"/>
        <tr r="AL30" s="1"/>
        <tr r="AL28" s="1"/>
        <tr r="AM6" s="5"/>
        <tr r="AM8" s="5"/>
        <tr r="AM46" s="5"/>
        <tr r="AM44" s="5"/>
        <tr r="AM14" s="5"/>
        <tr r="AM40" s="5"/>
        <tr r="AM38" s="5"/>
        <tr r="AM20" s="5"/>
        <tr r="AM34" s="5"/>
        <tr r="AM24" s="5"/>
        <tr r="AM30" s="5"/>
        <tr r="AL50" s="1"/>
        <tr r="AL48" s="1"/>
        <tr r="AL10" s="1"/>
        <tr r="AL12" s="1"/>
        <tr r="AL14" s="1"/>
        <tr r="AL16" s="1"/>
        <tr r="AL38" s="1"/>
        <tr r="AL36" s="1"/>
        <tr r="AL22" s="1"/>
        <tr r="AL24" s="1"/>
        <tr r="AL26" s="1"/>
        <tr r="AM51" s="5"/>
        <tr r="AM49" s="5"/>
        <tr r="AM9" s="5"/>
        <tr r="AM45" s="5"/>
        <tr r="AM13" s="5"/>
        <tr r="AM15" s="5"/>
        <tr r="AM39" s="5"/>
        <tr r="AM37" s="5"/>
        <tr r="AM21" s="5"/>
        <tr r="AM33" s="5"/>
        <tr r="AM31" s="5"/>
        <tr r="AM27" s="5"/>
        <tr r="AL51" s="1"/>
        <tr r="AL49" s="1"/>
        <tr r="AL47" s="1"/>
        <tr r="AL11" s="1"/>
        <tr r="AL43" s="1"/>
        <tr r="AL15" s="1"/>
        <tr r="AL39" s="1"/>
        <tr r="AL19" s="1"/>
        <tr r="AL35" s="1"/>
        <tr r="AL33" s="1"/>
        <tr r="AL31" s="1"/>
        <tr r="AL27" s="1"/>
      </tp>
      <tp t="s">
        <v>N/A</v>
        <stp/>
        <stp>OPEN_INT</stp>
        <stp>.OPEN251014P16.5</stp>
        <tr r="E11" s="2"/>
      </tp>
      <tp t="s">
        <v>N/A</v>
        <stp/>
        <stp>OPEN_INT</stp>
        <stp>.OPEN251024P15.5</stp>
        <tr r="M13" s="2"/>
      </tp>
      <tp t="s">
        <v>N/A</v>
        <stp/>
        <stp>OPEN_INT</stp>
        <stp>.OPEN260717P16.5</stp>
        <tr r="R15" s="1"/>
      </tp>
      <tp t="s">
        <v>N/A</v>
        <stp/>
        <stp>OPEN_INT</stp>
        <stp>.OPEN260417P16.5</stp>
        <tr r="O15" s="1"/>
      </tp>
      <tp t="s">
        <v>N/A</v>
        <stp/>
        <stp>OPEN_INT</stp>
        <stp>.OPEN260717C16.5</stp>
        <tr r="R15" s="1"/>
      </tp>
      <tp t="s">
        <v>N/A</v>
        <stp/>
        <stp>OPEN_INT</stp>
        <stp>.OPEN260417C16.5</stp>
        <tr r="O15" s="1"/>
      </tp>
      <tp t="s">
        <v>N/A</v>
        <stp/>
        <stp>OPEN_INT</stp>
        <stp>.OPEN251114C16.5</stp>
        <tr r="AM52" s="5"/>
        <tr r="AL52" s="1"/>
        <tr r="C15" s="1"/>
        <tr r="AM5" s="5"/>
        <tr r="AM7" s="5"/>
        <tr r="AM47" s="5"/>
        <tr r="AM11" s="5"/>
        <tr r="AM43" s="5"/>
        <tr r="AM41" s="5"/>
        <tr r="AM17" s="5"/>
        <tr r="AM19" s="5"/>
        <tr r="AM35" s="5"/>
        <tr r="AM23" s="5"/>
        <tr r="AM25" s="5"/>
        <tr r="AM29" s="5"/>
        <tr r="AL5" s="1"/>
        <tr r="AL7" s="1"/>
        <tr r="AL9" s="1"/>
        <tr r="AL45" s="1"/>
        <tr r="AL13" s="1"/>
        <tr r="AL41" s="1"/>
        <tr r="AL17" s="1"/>
        <tr r="AL37" s="1"/>
        <tr r="AL21" s="1"/>
        <tr r="AL23" s="1"/>
        <tr r="AL25" s="1"/>
        <tr r="AL29" s="1"/>
        <tr r="AM50" s="5"/>
        <tr r="AM48" s="5"/>
        <tr r="AM10" s="5"/>
        <tr r="AM12" s="5"/>
        <tr r="AM42" s="5"/>
        <tr r="AM16" s="5"/>
        <tr r="AM18" s="5"/>
        <tr r="AM36" s="5"/>
        <tr r="AM22" s="5"/>
        <tr r="AM32" s="5"/>
        <tr r="AM26" s="5"/>
        <tr r="AM28" s="5"/>
        <tr r="AL6" s="1"/>
        <tr r="AL8" s="1"/>
        <tr r="AL46" s="1"/>
        <tr r="AL44" s="1"/>
        <tr r="AL42" s="1"/>
        <tr r="AL40" s="1"/>
        <tr r="AL18" s="1"/>
        <tr r="AL20" s="1"/>
        <tr r="AL34" s="1"/>
        <tr r="AL32" s="1"/>
        <tr r="AL30" s="1"/>
        <tr r="AL28" s="1"/>
        <tr r="AM6" s="5"/>
        <tr r="AM8" s="5"/>
        <tr r="AM46" s="5"/>
        <tr r="AM44" s="5"/>
        <tr r="AM14" s="5"/>
        <tr r="AM40" s="5"/>
        <tr r="AM38" s="5"/>
        <tr r="AM20" s="5"/>
        <tr r="AM34" s="5"/>
        <tr r="AM24" s="5"/>
        <tr r="AM30" s="5"/>
        <tr r="AL50" s="1"/>
        <tr r="AL48" s="1"/>
        <tr r="AL10" s="1"/>
        <tr r="AL12" s="1"/>
        <tr r="AL14" s="1"/>
        <tr r="AL16" s="1"/>
        <tr r="AL38" s="1"/>
        <tr r="AL36" s="1"/>
        <tr r="AL22" s="1"/>
        <tr r="AL24" s="1"/>
        <tr r="AL26" s="1"/>
        <tr r="AM51" s="5"/>
        <tr r="AM49" s="5"/>
        <tr r="AM9" s="5"/>
        <tr r="AM45" s="5"/>
        <tr r="AM13" s="5"/>
        <tr r="AM15" s="5"/>
        <tr r="AM39" s="5"/>
        <tr r="AM37" s="5"/>
        <tr r="AM21" s="5"/>
        <tr r="AM33" s="5"/>
        <tr r="AM31" s="5"/>
        <tr r="AM27" s="5"/>
        <tr r="AL51" s="1"/>
        <tr r="AL49" s="1"/>
        <tr r="AL47" s="1"/>
        <tr r="AL11" s="1"/>
        <tr r="AL43" s="1"/>
        <tr r="AL15" s="1"/>
        <tr r="AL39" s="1"/>
        <tr r="AL19" s="1"/>
        <tr r="AL35" s="1"/>
        <tr r="AL33" s="1"/>
        <tr r="AL31" s="1"/>
        <tr r="AL27" s="1"/>
      </tp>
      <tp t="s">
        <v>N/A</v>
        <stp/>
        <stp>OPEN_INT</stp>
        <stp>.OPEN251014C16.5</stp>
        <tr r="E11" s="2"/>
      </tp>
      <tp t="s">
        <v>N/A</v>
        <stp/>
        <stp>OPEN_INT</stp>
        <stp>.OPEN251024C15.5</stp>
        <tr r="M13" s="2"/>
      </tp>
      <tp t="s">
        <v>N/A</v>
        <stp/>
        <stp>OPEN_INT</stp>
        <stp>.OPEN261120P15.5</stp>
        <tr r="V17" s="1"/>
      </tp>
      <tp t="s">
        <v>N/A</v>
        <stp/>
        <stp>OPEN_INT</stp>
        <stp>.OPEN251013P16.5</stp>
        <tr r="D11" s="2"/>
      </tp>
      <tp t="s">
        <v>N/A</v>
        <stp/>
        <stp>OPEN_INT</stp>
        <stp>.OPEN251023P15.5</stp>
        <tr r="L13" s="2"/>
      </tp>
      <tp t="s">
        <v>N/A</v>
        <stp/>
        <stp>OPEN_INT</stp>
        <stp>.OPEN260320P15.5</stp>
        <tr r="N17" s="1"/>
      </tp>
      <tp t="s">
        <v>N/A</v>
        <stp/>
        <stp>OPEN_INT</stp>
        <stp>.OPEN260220P15.5</stp>
        <tr r="M17" s="1"/>
      </tp>
      <tp t="s">
        <v>N/A</v>
        <stp/>
        <stp>OPEN_INT</stp>
        <stp>.OPEN260320C15.5</stp>
        <tr r="N17" s="1"/>
      </tp>
      <tp t="s">
        <v>N/A</v>
        <stp/>
        <stp>OPEN_INT</stp>
        <stp>.OPEN260220C15.5</stp>
        <tr r="M17" s="1"/>
      </tp>
      <tp t="s">
        <v>N/A</v>
        <stp/>
        <stp>OPEN_INT</stp>
        <stp>.OPEN261120C15.5</stp>
        <tr r="V17" s="1"/>
      </tp>
      <tp t="s">
        <v>N/A</v>
        <stp/>
        <stp>OPEN_INT</stp>
        <stp>.OPEN251013C16.5</stp>
        <tr r="D11" s="2"/>
      </tp>
      <tp t="s">
        <v>N/A</v>
        <stp/>
        <stp>OPEN_INT</stp>
        <stp>.OPEN251023C15.5</stp>
        <tr r="L13" s="2"/>
      </tp>
      <tp t="s">
        <v>N/A</v>
        <stp/>
        <stp>OPEN_INT</stp>
        <stp>.OPEN251212P16.5</stp>
        <tr r="G15" s="1"/>
      </tp>
      <tp t="s">
        <v>N/A</v>
        <stp/>
        <stp>OPEN_INT</stp>
        <stp>.OPEN251022P15.5</stp>
        <tr r="K13" s="2"/>
      </tp>
      <tp t="s">
        <v>N/A</v>
        <stp/>
        <stp>OPEN_INT</stp>
        <stp>.OPEN260821P15.5</stp>
        <tr r="S17" s="1"/>
      </tp>
      <tp t="s">
        <v>N/A</v>
        <stp/>
        <stp>OPEN_INT</stp>
        <stp>.OPEN260821C15.5</stp>
        <tr r="S17" s="1"/>
      </tp>
      <tp t="s">
        <v>N/A</v>
        <stp/>
        <stp>OPEN_INT</stp>
        <stp>.OPEN251212C16.5</stp>
        <tr r="G15" s="1"/>
      </tp>
      <tp t="s">
        <v>N/A</v>
        <stp/>
        <stp>OPEN_INT</stp>
        <stp>.OPEN251022C15.5</stp>
        <tr r="K13" s="2"/>
      </tp>
      <tp t="s">
        <v>N/A</v>
        <stp/>
        <stp>OPEN_INT</stp>
        <stp>.OPEN251231P14.5</stp>
        <tr r="V15" s="2"/>
      </tp>
      <tp t="s">
        <v>N/A</v>
        <stp/>
        <stp>OPEN_INT</stp>
        <stp>.OPEN251121P15.5</stp>
        <tr r="D17" s="1"/>
        <tr r="S13" s="2"/>
      </tp>
      <tp t="s">
        <v>N/A</v>
        <stp/>
        <stp>OPEN_INT</stp>
        <stp>.OPEN251021P15.5</stp>
        <tr r="J13" s="2"/>
      </tp>
      <tp>
        <v>0</v>
        <stp/>
        <stp>OPEN_INT</stp>
        <stp>.OPEN251031P14.5</stp>
        <tr r="R15" s="2"/>
        <tr r="R15" s="2"/>
      </tp>
      <tp t="s">
        <v>N/A</v>
        <stp/>
        <stp>OPEN_INT</stp>
        <stp>.OPEN260102P17.5</stp>
        <tr r="J13" s="1"/>
      </tp>
      <tp t="s">
        <v>N/A</v>
        <stp/>
        <stp>OPEN_INT</stp>
        <stp>.OPEN260102C17.5</stp>
        <tr r="J13" s="1"/>
      </tp>
      <tp t="s">
        <v>N/A</v>
        <stp/>
        <stp>OPEN_INT</stp>
        <stp>.OPEN251231C14.5</stp>
        <tr r="V15" s="2"/>
      </tp>
      <tp t="s">
        <v>N/A</v>
        <stp/>
        <stp>OPEN_INT</stp>
        <stp>.OPEN251121C15.5</stp>
        <tr r="D17" s="1"/>
        <tr r="S13" s="2"/>
      </tp>
      <tp t="s">
        <v>N/A</v>
        <stp/>
        <stp>OPEN_INT</stp>
        <stp>.OPEN251021C15.5</stp>
        <tr r="J13" s="2"/>
      </tp>
      <tp>
        <v>344</v>
        <stp/>
        <stp>OPEN_INT</stp>
        <stp>.OPEN251031C14.5</stp>
        <tr r="R15" s="2"/>
        <tr r="R15" s="2"/>
      </tp>
      <tp>
        <v>1</v>
        <stp/>
        <stp>OPEN_INT</stp>
        <stp>.OPEN251010P16.5</stp>
        <tr r="C11" s="2"/>
        <tr r="C11" s="2"/>
      </tp>
      <tp t="s">
        <v>N/A</v>
        <stp/>
        <stp>OPEN_INT</stp>
        <stp>.OPEN251020P15.5</stp>
        <tr r="I13" s="2"/>
      </tp>
      <tp t="s">
        <v>N/A</v>
        <stp/>
        <stp>OPEN_INT</stp>
        <stp>.OPEN251030P14.5</stp>
        <tr r="Q15" s="2"/>
      </tp>
      <tp>
        <v>759</v>
        <stp/>
        <stp>OPEN_INT</stp>
        <stp>.OPEN251010C16.5</stp>
        <tr r="C11" s="2"/>
        <tr r="C11" s="2"/>
      </tp>
      <tp t="s">
        <v>N/A</v>
        <stp/>
        <stp>OPEN_INT</stp>
        <stp>.OPEN251020C15.5</stp>
        <tr r="I13" s="2"/>
      </tp>
      <tp t="s">
        <v>N/A</v>
        <stp/>
        <stp>OPEN_INT</stp>
        <stp>.OPEN251030C14.5</stp>
        <tr r="Q15" s="2"/>
      </tp>
      <tp t="s">
        <v>N/A</v>
        <stp/>
        <stp>OPEN_INT</stp>
        <stp>.OPEN261218P17.5</stp>
        <tr r="W13" s="1"/>
      </tp>
      <tp t="s">
        <v>N/A</v>
        <stp/>
        <stp>OPEN_INT</stp>
        <stp>.OPEN260918P17.5</stp>
        <tr r="T13" s="1"/>
      </tp>
      <tp t="s">
        <v>N/A</v>
        <stp/>
        <stp>OPEN_INT</stp>
        <stp>.OPEN260918C17.5</stp>
        <tr r="T13" s="1"/>
      </tp>
      <tp t="s">
        <v>N/A</v>
        <stp/>
        <stp>OPEN_INT</stp>
        <stp>.OPEN261218C17.5</stp>
        <tr r="W13" s="1"/>
      </tp>
      <tp t="s">
        <v>N/A</v>
        <stp/>
        <stp>OPEN_INT</stp>
        <stp>.OPEN260619P17.5</stp>
        <tr r="Q13" s="1"/>
      </tp>
      <tp t="s">
        <v>N/A</v>
        <stp/>
        <stp>OPEN_INT</stp>
        <stp>.OPEN260109P16.5</stp>
        <tr r="K15" s="1"/>
      </tp>
      <tp t="s">
        <v>N/A</v>
        <stp/>
        <stp>OPEN_INT</stp>
        <stp>.OPEN260619C17.5</stp>
        <tr r="Q13" s="1"/>
      </tp>
      <tp t="s">
        <v>N/A</v>
        <stp/>
        <stp>OPEN_INT</stp>
        <stp>.OPEN260109C16.5</stp>
        <tr r="K15" s="1"/>
      </tp>
      <tp t="s">
        <v>N/A</v>
        <stp/>
        <stp>OPEN_INT</stp>
        <stp>.OPEN251219P17.5</stp>
        <tr r="H13" s="1"/>
        <tr r="U9" s="2"/>
      </tp>
      <tp t="s">
        <v>N/A</v>
        <stp/>
        <stp>OPEN_INT</stp>
        <stp>.OPEN251009P16.5</stp>
        <tr r="B11" s="2"/>
      </tp>
      <tp t="s">
        <v>N/A</v>
        <stp/>
        <stp>OPEN_INT</stp>
        <stp>.OPEN251029P14.5</stp>
        <tr r="P15" s="2"/>
      </tp>
      <tp t="s">
        <v>N/A</v>
        <stp/>
        <stp>OPEN_INT</stp>
        <stp>.OPEN251219C17.5</stp>
        <tr r="H13" s="1"/>
        <tr r="U9" s="2"/>
      </tp>
      <tp t="s">
        <v>N/A</v>
        <stp/>
        <stp>OPEN_INT</stp>
        <stp>.OPEN251009C16.5</stp>
        <tr r="B11" s="2"/>
      </tp>
      <tp t="s">
        <v>N/A</v>
        <stp/>
        <stp>OPEN_INT</stp>
        <stp>.OPEN251029C14.5</stp>
        <tr r="P15" s="2"/>
      </tp>
      <tp t="s">
        <v>N/A</v>
        <stp/>
        <stp>OPEN_INT</stp>
        <stp>.OPEN251128P14.5</stp>
        <tr r="E19" s="1"/>
        <tr r="T15" s="2"/>
      </tp>
      <tp t="s">
        <v>N/A</v>
        <stp/>
        <stp>OPEN_INT</stp>
        <stp>.OPEN251028P14.5</stp>
        <tr r="O15" s="2"/>
      </tp>
      <tp t="s">
        <v>N/A</v>
        <stp/>
        <stp>OPEN_INT</stp>
        <stp>.OPEN251128C14.5</stp>
        <tr r="E19" s="1"/>
        <tr r="T15" s="2"/>
      </tp>
      <tp t="s">
        <v>N/A</v>
        <stp/>
        <stp>OPEN_INT</stp>
        <stp>.OPEN251028C14.5</stp>
        <tr r="O15" s="2"/>
      </tp>
      <tp t="s">
        <v>N/A</v>
        <stp/>
        <stp>OPEN_INT</stp>
        <stp>.OPEN251017P17.5</stp>
        <tr r="H9" s="2"/>
      </tp>
      <tp t="s">
        <v>N/A</v>
        <stp/>
        <stp>OPEN_INT</stp>
        <stp>.OPEN251027P14.5</stp>
        <tr r="N15" s="2"/>
      </tp>
      <tp t="s">
        <v>N/A</v>
        <stp/>
        <stp>OPEN_INT</stp>
        <stp>.OPEN251017C17.5</stp>
        <tr r="H9" s="2"/>
      </tp>
      <tp t="s">
        <v>N/A</v>
        <stp/>
        <stp>OPEN_INT</stp>
        <stp>.OPEN251027C14.5</stp>
        <tr r="N15" s="2"/>
      </tp>
      <tp t="s">
        <v>N/A</v>
        <stp/>
        <stp>OPEN_INT</stp>
        <stp>.OPEN251226P14.5</stp>
        <tr r="I19" s="1"/>
      </tp>
      <tp t="s">
        <v>N/A</v>
        <stp/>
        <stp>OPEN_INT</stp>
        <stp>.OPEN251016P17.5</stp>
        <tr r="G9" s="2"/>
      </tp>
      <tp t="s">
        <v>N/A</v>
        <stp/>
        <stp>OPEN_INT</stp>
        <stp>.OPEN260515P17.5</stp>
        <tr r="P13" s="1"/>
      </tp>
      <tp t="s">
        <v>N/A</v>
        <stp/>
        <stp>OPEN_INT</stp>
        <stp>.OPEN260515C17.5</stp>
        <tr r="P13" s="1"/>
      </tp>
      <tp t="s">
        <v>N/A</v>
        <stp/>
        <stp>OPEN_INT</stp>
        <stp>.OPEN251226C14.5</stp>
        <tr r="I19" s="1"/>
      </tp>
      <tp t="s">
        <v>N/A</v>
        <stp/>
        <stp>OPEN_INT</stp>
        <stp>.OPEN251016C17.5</stp>
        <tr r="G9" s="2"/>
      </tp>
      <tp t="s">
        <v>N/A</v>
        <stp/>
        <stp>OPEN_INT</stp>
        <stp>.OPEN251205P16.5</stp>
        <tr r="F15" s="1"/>
      </tp>
      <tp t="s">
        <v>N/A</v>
        <stp/>
        <stp>OPEN_INT</stp>
        <stp>.OPEN251015P17.5</stp>
        <tr r="F9" s="2"/>
      </tp>
      <tp t="s">
        <v>N/A</v>
        <stp/>
        <stp>OPEN_INT</stp>
        <stp>.OPEN261016P17.5</stp>
        <tr r="U13" s="1"/>
      </tp>
      <tp t="s">
        <v>N/A</v>
        <stp/>
        <stp>OPEN_INT</stp>
        <stp>.OPEN260116P17.5</stp>
        <tr r="L13" s="1"/>
        <tr r="W9" s="2"/>
      </tp>
      <tp t="s">
        <v>N/A</v>
        <stp/>
        <stp>OPEN_INT</stp>
        <stp>.OPEN260116C17.5</stp>
        <tr r="L13" s="1"/>
        <tr r="W9" s="2"/>
      </tp>
      <tp t="s">
        <v>N/A</v>
        <stp/>
        <stp>OPEN_INT</stp>
        <stp>.OPEN251205C16.5</stp>
        <tr r="F15" s="1"/>
      </tp>
      <tp t="s">
        <v>N/A</v>
        <stp/>
        <stp>OPEN_INT</stp>
        <stp>.OPEN251015C17.5</stp>
        <tr r="F9" s="2"/>
      </tp>
      <tp t="s">
        <v>N/A</v>
        <stp/>
        <stp>OPEN_INT</stp>
        <stp>.OPEN261016C17.5</stp>
        <tr r="U13" s="1"/>
      </tp>
      <tp>
        <v>8</v>
        <stp/>
        <stp>OPEN_INT</stp>
        <stp>.OPEN251114P17.5</stp>
        <tr r="C13" s="1"/>
        <tr r="C13" s="1"/>
        <tr r="AJ52" s="1"/>
        <tr r="AJ52" s="1"/>
        <tr r="AK52" s="5"/>
        <tr r="AK52" s="5"/>
        <tr r="AK51" s="5"/>
        <tr r="AK51" s="5"/>
        <tr r="AK7" s="5"/>
        <tr r="AK7" s="5"/>
        <tr r="AK9" s="5"/>
        <tr r="AK9" s="5"/>
        <tr r="AK11" s="5"/>
        <tr r="AK11" s="5"/>
        <tr r="AK13" s="5"/>
        <tr r="AK13" s="5"/>
        <tr r="AK41" s="5"/>
        <tr r="AK41" s="5"/>
        <tr r="AK17" s="5"/>
        <tr r="AK17" s="5"/>
        <tr r="AK37" s="5"/>
        <tr r="AK37" s="5"/>
        <tr r="AK35" s="5"/>
        <tr r="AK35" s="5"/>
        <tr r="AK33" s="5"/>
        <tr r="AK33" s="5"/>
        <tr r="AK25" s="5"/>
        <tr r="AK25" s="5"/>
        <tr r="AK29" s="5"/>
        <tr r="AK29" s="5"/>
        <tr r="AJ51" s="1"/>
        <tr r="AJ51" s="1"/>
        <tr r="AJ7" s="1"/>
        <tr r="AJ7" s="1"/>
        <tr r="AJ9" s="1"/>
        <tr r="AJ9" s="1"/>
        <tr r="AJ45" s="1"/>
        <tr r="AJ45" s="1"/>
        <tr r="AJ13" s="1"/>
        <tr r="AJ13" s="1"/>
        <tr r="AJ41" s="1"/>
        <tr r="AJ41" s="1"/>
        <tr r="AJ39" s="1"/>
        <tr r="AJ39" s="1"/>
        <tr r="AJ19" s="1"/>
        <tr r="AJ19" s="1"/>
        <tr r="AJ35" s="1"/>
        <tr r="AJ35" s="1"/>
        <tr r="AJ23" s="1"/>
        <tr r="AJ23" s="1"/>
        <tr r="AJ25" s="1"/>
        <tr r="AJ25" s="1"/>
        <tr r="AJ29" s="1"/>
        <tr r="AJ29" s="1"/>
        <tr r="AK50" s="5"/>
        <tr r="AK50" s="5"/>
        <tr r="AK48" s="5"/>
        <tr r="AK48" s="5"/>
        <tr r="AK10" s="5"/>
        <tr r="AK10" s="5"/>
        <tr r="AK12" s="5"/>
        <tr r="AK12" s="5"/>
        <tr r="AK42" s="5"/>
        <tr r="AK42" s="5"/>
        <tr r="AK16" s="5"/>
        <tr r="AK16" s="5"/>
        <tr r="AK38" s="5"/>
        <tr r="AK38" s="5"/>
        <tr r="AK36" s="5"/>
        <tr r="AK36" s="5"/>
        <tr r="AK22" s="5"/>
        <tr r="AK22" s="5"/>
        <tr r="AK32" s="5"/>
        <tr r="AK32" s="5"/>
        <tr r="AK26" s="5"/>
        <tr r="AK26" s="5"/>
        <tr r="AK28" s="5"/>
        <tr r="AK28" s="5"/>
        <tr r="AJ50" s="1"/>
        <tr r="AJ50" s="1"/>
        <tr r="AJ8" s="1"/>
        <tr r="AJ8" s="1"/>
        <tr r="AJ46" s="1"/>
        <tr r="AJ46" s="1"/>
        <tr r="AJ12" s="1"/>
        <tr r="AJ12" s="1"/>
        <tr r="AJ14" s="1"/>
        <tr r="AJ14" s="1"/>
        <tr r="AJ40" s="1"/>
        <tr r="AJ40" s="1"/>
        <tr r="AJ18" s="1"/>
        <tr r="AJ18" s="1"/>
        <tr r="AJ20" s="1"/>
        <tr r="AJ20" s="1"/>
        <tr r="AJ22" s="1"/>
        <tr r="AJ22" s="1"/>
        <tr r="AJ32" s="1"/>
        <tr r="AJ32" s="1"/>
        <tr r="AJ30" s="1"/>
        <tr r="AJ30" s="1"/>
        <tr r="AJ28" s="1"/>
        <tr r="AJ28" s="1"/>
        <tr r="AK6" s="5"/>
        <tr r="AK6" s="5"/>
        <tr r="AK8" s="5"/>
        <tr r="AK8" s="5"/>
        <tr r="AK46" s="5"/>
        <tr r="AK46" s="5"/>
        <tr r="AK44" s="5"/>
        <tr r="AK44" s="5"/>
        <tr r="AK14" s="5"/>
        <tr r="AK14" s="5"/>
        <tr r="AK40" s="5"/>
        <tr r="AK40" s="5"/>
        <tr r="AK18" s="5"/>
        <tr r="AK18" s="5"/>
        <tr r="AK20" s="5"/>
        <tr r="AK20" s="5"/>
        <tr r="AK34" s="5"/>
        <tr r="AK34" s="5"/>
        <tr r="AK24" s="5"/>
        <tr r="AK24" s="5"/>
        <tr r="AK30" s="5"/>
        <tr r="AK30" s="5"/>
        <tr r="AJ6" s="1"/>
        <tr r="AJ6" s="1"/>
        <tr r="AJ48" s="1"/>
        <tr r="AJ48" s="1"/>
        <tr r="AJ10" s="1"/>
        <tr r="AJ10" s="1"/>
        <tr r="AJ44" s="1"/>
        <tr r="AJ44" s="1"/>
        <tr r="AJ42" s="1"/>
        <tr r="AJ42" s="1"/>
        <tr r="AJ16" s="1"/>
        <tr r="AJ16" s="1"/>
        <tr r="AJ38" s="1"/>
        <tr r="AJ38" s="1"/>
        <tr r="AJ36" s="1"/>
        <tr r="AJ36" s="1"/>
        <tr r="AJ34" s="1"/>
        <tr r="AJ34" s="1"/>
        <tr r="AJ24" s="1"/>
        <tr r="AJ24" s="1"/>
        <tr r="AJ26" s="1"/>
        <tr r="AJ26" s="1"/>
        <tr r="AK5" s="5"/>
        <tr r="AK5" s="5"/>
        <tr r="AK49" s="5"/>
        <tr r="AK49" s="5"/>
        <tr r="AK47" s="5"/>
        <tr r="AK47" s="5"/>
        <tr r="AK45" s="5"/>
        <tr r="AK45" s="5"/>
        <tr r="AK43" s="5"/>
        <tr r="AK43" s="5"/>
        <tr r="AK15" s="5"/>
        <tr r="AK15" s="5"/>
        <tr r="AK39" s="5"/>
        <tr r="AK39" s="5"/>
        <tr r="AK19" s="5"/>
        <tr r="AK19" s="5"/>
        <tr r="AK21" s="5"/>
        <tr r="AK21" s="5"/>
        <tr r="AK23" s="5"/>
        <tr r="AK23" s="5"/>
        <tr r="AK31" s="5"/>
        <tr r="AK31" s="5"/>
        <tr r="AK27" s="5"/>
        <tr r="AK27" s="5"/>
        <tr r="AJ5" s="1"/>
        <tr r="AJ5" s="1"/>
        <tr r="AJ49" s="1"/>
        <tr r="AJ49" s="1"/>
        <tr r="AJ47" s="1"/>
        <tr r="AJ47" s="1"/>
        <tr r="AJ11" s="1"/>
        <tr r="AJ11" s="1"/>
        <tr r="AJ43" s="1"/>
        <tr r="AJ43" s="1"/>
        <tr r="AJ15" s="1"/>
        <tr r="AJ15" s="1"/>
        <tr r="AJ17" s="1"/>
        <tr r="AJ17" s="1"/>
        <tr r="AJ37" s="1"/>
        <tr r="AJ37" s="1"/>
        <tr r="AJ21" s="1"/>
        <tr r="AJ21" s="1"/>
        <tr r="AJ33" s="1"/>
        <tr r="AJ33" s="1"/>
        <tr r="AJ31" s="1"/>
        <tr r="AJ31" s="1"/>
        <tr r="AJ27" s="1"/>
        <tr r="AJ27" s="1"/>
      </tp>
      <tp t="s">
        <v>N/A</v>
        <stp/>
        <stp>OPEN_INT</stp>
        <stp>.OPEN251014P17.5</stp>
        <tr r="E9" s="2"/>
      </tp>
      <tp>
        <v>0</v>
        <stp/>
        <stp>OPEN_INT</stp>
        <stp>.OPEN251024P14.5</stp>
        <tr r="M15" s="2"/>
        <tr r="M15" s="2"/>
      </tp>
      <tp t="s">
        <v>N/A</v>
        <stp/>
        <stp>OPEN_INT</stp>
        <stp>.OPEN260717P17.5</stp>
        <tr r="R13" s="1"/>
      </tp>
      <tp t="s">
        <v>N/A</v>
        <stp/>
        <stp>OPEN_INT</stp>
        <stp>.OPEN260417P17.5</stp>
        <tr r="O13" s="1"/>
      </tp>
      <tp t="s">
        <v>N/A</v>
        <stp/>
        <stp>OPEN_INT</stp>
        <stp>.OPEN260717C17.5</stp>
        <tr r="R13" s="1"/>
      </tp>
      <tp t="s">
        <v>N/A</v>
        <stp/>
        <stp>OPEN_INT</stp>
        <stp>.OPEN260417C17.5</stp>
        <tr r="O13" s="1"/>
      </tp>
      <tp>
        <v>269</v>
        <stp/>
        <stp>OPEN_INT</stp>
        <stp>.OPEN251114C17.5</stp>
        <tr r="C13" s="1"/>
        <tr r="C13" s="1"/>
        <tr r="AJ52" s="1"/>
        <tr r="AJ52" s="1"/>
        <tr r="AK52" s="5"/>
        <tr r="AK52" s="5"/>
        <tr r="AK51" s="5"/>
        <tr r="AK51" s="5"/>
        <tr r="AK7" s="5"/>
        <tr r="AK7" s="5"/>
        <tr r="AK9" s="5"/>
        <tr r="AK9" s="5"/>
        <tr r="AK11" s="5"/>
        <tr r="AK11" s="5"/>
        <tr r="AK13" s="5"/>
        <tr r="AK13" s="5"/>
        <tr r="AK41" s="5"/>
        <tr r="AK41" s="5"/>
        <tr r="AK17" s="5"/>
        <tr r="AK17" s="5"/>
        <tr r="AK37" s="5"/>
        <tr r="AK37" s="5"/>
        <tr r="AK35" s="5"/>
        <tr r="AK35" s="5"/>
        <tr r="AK33" s="5"/>
        <tr r="AK33" s="5"/>
        <tr r="AK25" s="5"/>
        <tr r="AK25" s="5"/>
        <tr r="AK29" s="5"/>
        <tr r="AK29" s="5"/>
        <tr r="AJ51" s="1"/>
        <tr r="AJ51" s="1"/>
        <tr r="AJ7" s="1"/>
        <tr r="AJ7" s="1"/>
        <tr r="AJ9" s="1"/>
        <tr r="AJ9" s="1"/>
        <tr r="AJ45" s="1"/>
        <tr r="AJ45" s="1"/>
        <tr r="AJ13" s="1"/>
        <tr r="AJ13" s="1"/>
        <tr r="AJ41" s="1"/>
        <tr r="AJ41" s="1"/>
        <tr r="AJ39" s="1"/>
        <tr r="AJ39" s="1"/>
        <tr r="AJ19" s="1"/>
        <tr r="AJ19" s="1"/>
        <tr r="AJ35" s="1"/>
        <tr r="AJ35" s="1"/>
        <tr r="AJ23" s="1"/>
        <tr r="AJ23" s="1"/>
        <tr r="AJ25" s="1"/>
        <tr r="AJ25" s="1"/>
        <tr r="AJ29" s="1"/>
        <tr r="AJ29" s="1"/>
        <tr r="AK50" s="5"/>
        <tr r="AK50" s="5"/>
        <tr r="AK48" s="5"/>
        <tr r="AK48" s="5"/>
        <tr r="AK10" s="5"/>
        <tr r="AK10" s="5"/>
        <tr r="AK12" s="5"/>
        <tr r="AK12" s="5"/>
        <tr r="AK42" s="5"/>
        <tr r="AK42" s="5"/>
        <tr r="AK16" s="5"/>
        <tr r="AK16" s="5"/>
        <tr r="AK38" s="5"/>
        <tr r="AK38" s="5"/>
        <tr r="AK36" s="5"/>
        <tr r="AK36" s="5"/>
        <tr r="AK22" s="5"/>
        <tr r="AK22" s="5"/>
        <tr r="AK32" s="5"/>
        <tr r="AK32" s="5"/>
        <tr r="AK26" s="5"/>
        <tr r="AK26" s="5"/>
        <tr r="AK28" s="5"/>
        <tr r="AK28" s="5"/>
        <tr r="AJ50" s="1"/>
        <tr r="AJ50" s="1"/>
        <tr r="AJ8" s="1"/>
        <tr r="AJ8" s="1"/>
        <tr r="AJ46" s="1"/>
        <tr r="AJ46" s="1"/>
        <tr r="AJ12" s="1"/>
        <tr r="AJ12" s="1"/>
        <tr r="AJ14" s="1"/>
        <tr r="AJ14" s="1"/>
        <tr r="AJ40" s="1"/>
        <tr r="AJ40" s="1"/>
        <tr r="AJ18" s="1"/>
        <tr r="AJ18" s="1"/>
        <tr r="AJ20" s="1"/>
        <tr r="AJ20" s="1"/>
        <tr r="AJ22" s="1"/>
        <tr r="AJ22" s="1"/>
        <tr r="AJ32" s="1"/>
        <tr r="AJ32" s="1"/>
        <tr r="AJ30" s="1"/>
        <tr r="AJ30" s="1"/>
        <tr r="AJ28" s="1"/>
        <tr r="AJ28" s="1"/>
        <tr r="AK6" s="5"/>
        <tr r="AK6" s="5"/>
        <tr r="AK8" s="5"/>
        <tr r="AK8" s="5"/>
        <tr r="AK46" s="5"/>
        <tr r="AK46" s="5"/>
        <tr r="AK44" s="5"/>
        <tr r="AK44" s="5"/>
        <tr r="AK14" s="5"/>
        <tr r="AK14" s="5"/>
        <tr r="AK40" s="5"/>
        <tr r="AK40" s="5"/>
        <tr r="AK18" s="5"/>
        <tr r="AK18" s="5"/>
        <tr r="AK20" s="5"/>
        <tr r="AK20" s="5"/>
        <tr r="AK34" s="5"/>
        <tr r="AK34" s="5"/>
        <tr r="AK24" s="5"/>
        <tr r="AK24" s="5"/>
        <tr r="AK30" s="5"/>
        <tr r="AK30" s="5"/>
        <tr r="AJ6" s="1"/>
        <tr r="AJ6" s="1"/>
        <tr r="AJ48" s="1"/>
        <tr r="AJ48" s="1"/>
        <tr r="AJ10" s="1"/>
        <tr r="AJ10" s="1"/>
        <tr r="AJ44" s="1"/>
        <tr r="AJ44" s="1"/>
        <tr r="AJ42" s="1"/>
        <tr r="AJ42" s="1"/>
        <tr r="AJ16" s="1"/>
        <tr r="AJ16" s="1"/>
        <tr r="AJ38" s="1"/>
        <tr r="AJ38" s="1"/>
        <tr r="AJ36" s="1"/>
        <tr r="AJ36" s="1"/>
        <tr r="AJ34" s="1"/>
        <tr r="AJ34" s="1"/>
        <tr r="AJ24" s="1"/>
        <tr r="AJ24" s="1"/>
        <tr r="AJ26" s="1"/>
        <tr r="AJ26" s="1"/>
        <tr r="AK5" s="5"/>
        <tr r="AK5" s="5"/>
        <tr r="AK49" s="5"/>
        <tr r="AK49" s="5"/>
        <tr r="AK47" s="5"/>
        <tr r="AK47" s="5"/>
        <tr r="AK45" s="5"/>
        <tr r="AK45" s="5"/>
        <tr r="AK43" s="5"/>
        <tr r="AK43" s="5"/>
        <tr r="AK15" s="5"/>
        <tr r="AK15" s="5"/>
        <tr r="AK39" s="5"/>
        <tr r="AK39" s="5"/>
        <tr r="AK19" s="5"/>
        <tr r="AK19" s="5"/>
        <tr r="AK21" s="5"/>
        <tr r="AK21" s="5"/>
        <tr r="AK23" s="5"/>
        <tr r="AK23" s="5"/>
        <tr r="AK31" s="5"/>
        <tr r="AK31" s="5"/>
        <tr r="AK27" s="5"/>
        <tr r="AK27" s="5"/>
        <tr r="AJ5" s="1"/>
        <tr r="AJ5" s="1"/>
        <tr r="AJ49" s="1"/>
        <tr r="AJ49" s="1"/>
        <tr r="AJ47" s="1"/>
        <tr r="AJ47" s="1"/>
        <tr r="AJ11" s="1"/>
        <tr r="AJ11" s="1"/>
        <tr r="AJ43" s="1"/>
        <tr r="AJ43" s="1"/>
        <tr r="AJ15" s="1"/>
        <tr r="AJ15" s="1"/>
        <tr r="AJ17" s="1"/>
        <tr r="AJ17" s="1"/>
        <tr r="AJ37" s="1"/>
        <tr r="AJ37" s="1"/>
        <tr r="AJ21" s="1"/>
        <tr r="AJ21" s="1"/>
        <tr r="AJ33" s="1"/>
        <tr r="AJ33" s="1"/>
        <tr r="AJ31" s="1"/>
        <tr r="AJ31" s="1"/>
        <tr r="AJ27" s="1"/>
        <tr r="AJ27" s="1"/>
      </tp>
      <tp t="s">
        <v>N/A</v>
        <stp/>
        <stp>OPEN_INT</stp>
        <stp>.OPEN251014C17.5</stp>
        <tr r="E9" s="2"/>
      </tp>
      <tp>
        <v>2438</v>
        <stp/>
        <stp>OPEN_INT</stp>
        <stp>.OPEN251024C14.5</stp>
        <tr r="M15" s="2"/>
        <tr r="M15" s="2"/>
      </tp>
      <tp t="s">
        <v>N/A</v>
        <stp/>
        <stp>OPEN_INT</stp>
        <stp>.OPEN261120P14.5</stp>
        <tr r="V19" s="1"/>
      </tp>
      <tp t="s">
        <v>N/A</v>
        <stp/>
        <stp>OPEN_INT</stp>
        <stp>.OPEN251013P17.5</stp>
        <tr r="D9" s="2"/>
      </tp>
      <tp t="s">
        <v>N/A</v>
        <stp/>
        <stp>OPEN_INT</stp>
        <stp>.OPEN251023P14.5</stp>
        <tr r="L15" s="2"/>
      </tp>
      <tp t="s">
        <v>N/A</v>
        <stp/>
        <stp>OPEN_INT</stp>
        <stp>.OPEN260320P14.5</stp>
        <tr r="N19" s="1"/>
      </tp>
      <tp t="s">
        <v>N/A</v>
        <stp/>
        <stp>OPEN_INT</stp>
        <stp>.OPEN260220P14.5</stp>
        <tr r="M19" s="1"/>
      </tp>
      <tp t="s">
        <v>N/A</v>
        <stp/>
        <stp>OPEN_INT</stp>
        <stp>.OPEN260320C14.5</stp>
        <tr r="N19" s="1"/>
      </tp>
      <tp t="s">
        <v>N/A</v>
        <stp/>
        <stp>OPEN_INT</stp>
        <stp>.OPEN260220C14.5</stp>
        <tr r="M19" s="1"/>
      </tp>
      <tp t="s">
        <v>N/A</v>
        <stp/>
        <stp>OPEN_INT</stp>
        <stp>.OPEN261120C14.5</stp>
        <tr r="V19" s="1"/>
      </tp>
      <tp t="s">
        <v>N/A</v>
        <stp/>
        <stp>OPEN_INT</stp>
        <stp>.OPEN251013C17.5</stp>
        <tr r="D9" s="2"/>
      </tp>
      <tp t="s">
        <v>N/A</v>
        <stp/>
        <stp>OPEN_INT</stp>
        <stp>.OPEN251023C14.5</stp>
        <tr r="L15" s="2"/>
      </tp>
      <tp t="s">
        <v>N/A</v>
        <stp/>
        <stp>OPEN_INT</stp>
        <stp>.OPEN251212P17.5</stp>
        <tr r="G13" s="1"/>
      </tp>
      <tp t="s">
        <v>N/A</v>
        <stp/>
        <stp>OPEN_INT</stp>
        <stp>.OPEN251022P14.5</stp>
        <tr r="K15" s="2"/>
      </tp>
      <tp t="s">
        <v>N/A</v>
        <stp/>
        <stp>OPEN_INT</stp>
        <stp>.OPEN260821P14.5</stp>
        <tr r="S19" s="1"/>
      </tp>
      <tp t="s">
        <v>N/A</v>
        <stp/>
        <stp>OPEN_INT</stp>
        <stp>.OPEN260821C14.5</stp>
        <tr r="S19" s="1"/>
      </tp>
      <tp t="s">
        <v>N/A</v>
        <stp/>
        <stp>OPEN_INT</stp>
        <stp>.OPEN251212C17.5</stp>
        <tr r="G13" s="1"/>
      </tp>
      <tp t="s">
        <v>N/A</v>
        <stp/>
        <stp>OPEN_INT</stp>
        <stp>.OPEN251022C14.5</stp>
        <tr r="K15" s="2"/>
      </tp>
      <tp t="s">
        <v>N/A</v>
        <stp/>
        <stp>OPEN_INT</stp>
        <stp>.OPEN251231P15.5</stp>
        <tr r="V13" s="2"/>
      </tp>
      <tp t="s">
        <v>N/A</v>
        <stp/>
        <stp>OPEN_INT</stp>
        <stp>.OPEN251121P14.5</stp>
        <tr r="D19" s="1"/>
        <tr r="S15" s="2"/>
      </tp>
      <tp t="s">
        <v>N/A</v>
        <stp/>
        <stp>OPEN_INT</stp>
        <stp>.OPEN251021P14.5</stp>
        <tr r="J15" s="2"/>
      </tp>
      <tp>
        <v>0</v>
        <stp/>
        <stp>OPEN_INT</stp>
        <stp>.OPEN251031P15.5</stp>
        <tr r="R13" s="2"/>
        <tr r="R13" s="2"/>
      </tp>
      <tp t="s">
        <v>N/A</v>
        <stp/>
        <stp>OPEN_INT</stp>
        <stp>.OPEN260102P16.5</stp>
        <tr r="J15" s="1"/>
      </tp>
      <tp t="s">
        <v>N/A</v>
        <stp/>
        <stp>OPEN_INT</stp>
        <stp>.OPEN260102C16.5</stp>
        <tr r="J15" s="1"/>
      </tp>
      <tp t="s">
        <v>N/A</v>
        <stp/>
        <stp>OPEN_INT</stp>
        <stp>.OPEN251231C15.5</stp>
        <tr r="V13" s="2"/>
      </tp>
      <tp t="s">
        <v>N/A</v>
        <stp/>
        <stp>OPEN_INT</stp>
        <stp>.OPEN251121C14.5</stp>
        <tr r="D19" s="1"/>
        <tr r="S15" s="2"/>
      </tp>
      <tp t="s">
        <v>N/A</v>
        <stp/>
        <stp>OPEN_INT</stp>
        <stp>.OPEN251021C14.5</stp>
        <tr r="J15" s="2"/>
      </tp>
      <tp>
        <v>1</v>
        <stp/>
        <stp>OPEN_INT</stp>
        <stp>.OPEN251031C15.5</stp>
        <tr r="R13" s="2"/>
        <tr r="R13" s="2"/>
      </tp>
      <tp>
        <v>0</v>
        <stp/>
        <stp>OPEN_INT</stp>
        <stp>.OPEN251010P17.5</stp>
        <tr r="C9" s="2"/>
        <tr r="C9" s="2"/>
      </tp>
      <tp t="s">
        <v>N/A</v>
        <stp/>
        <stp>OPEN_INT</stp>
        <stp>.OPEN251020P14.5</stp>
        <tr r="I15" s="2"/>
      </tp>
      <tp t="s">
        <v>N/A</v>
        <stp/>
        <stp>OPEN_INT</stp>
        <stp>.OPEN251030P15.5</stp>
        <tr r="Q13" s="2"/>
      </tp>
      <tp>
        <v>430</v>
        <stp/>
        <stp>OPEN_INT</stp>
        <stp>.OPEN251010C17.5</stp>
        <tr r="C9" s="2"/>
        <tr r="C9" s="2"/>
      </tp>
      <tp t="s">
        <v>N/A</v>
        <stp/>
        <stp>OPEN_INT</stp>
        <stp>.OPEN251020C14.5</stp>
        <tr r="I15" s="2"/>
      </tp>
      <tp t="s">
        <v>N/A</v>
        <stp/>
        <stp>OPEN_INT</stp>
        <stp>.OPEN251030C15.5</stp>
        <tr r="Q13" s="2"/>
      </tp>
      <tp t="s">
        <v>N/A</v>
        <stp/>
        <stp>OPEN_INT</stp>
        <stp>.OPEN261218P14.5</stp>
        <tr r="W19" s="1"/>
      </tp>
      <tp t="s">
        <v>N/A</v>
        <stp/>
        <stp>OPEN_INT</stp>
        <stp>.OPEN260918P14.5</stp>
        <tr r="T19" s="1"/>
      </tp>
      <tp t="s">
        <v>N/A</v>
        <stp/>
        <stp>OPEN_INT</stp>
        <stp>.OPEN260918C14.5</stp>
        <tr r="T19" s="1"/>
      </tp>
      <tp t="s">
        <v>N/A</v>
        <stp/>
        <stp>OPEN_INT</stp>
        <stp>.OPEN261218C14.5</stp>
        <tr r="W19" s="1"/>
      </tp>
      <tp t="s">
        <v>N/A</v>
        <stp/>
        <stp>OPEN_INT</stp>
        <stp>.OPEN260619P14.5</stp>
        <tr r="Q19" s="1"/>
      </tp>
      <tp t="s">
        <v>N/A</v>
        <stp/>
        <stp>OPEN_INT</stp>
        <stp>.OPEN260109P15.5</stp>
        <tr r="K17" s="1"/>
      </tp>
      <tp t="s">
        <v>N/A</v>
        <stp/>
        <stp>OPEN_INT</stp>
        <stp>.OPEN260619C14.5</stp>
        <tr r="Q19" s="1"/>
      </tp>
      <tp t="s">
        <v>N/A</v>
        <stp/>
        <stp>OPEN_INT</stp>
        <stp>.OPEN260109C15.5</stp>
        <tr r="K17" s="1"/>
      </tp>
      <tp t="s">
        <v>N/A</v>
        <stp/>
        <stp>OPEN_INT</stp>
        <stp>.OPEN251219P14.5</stp>
        <tr r="H19" s="1"/>
        <tr r="U15" s="2"/>
      </tp>
      <tp t="s">
        <v>N/A</v>
        <stp/>
        <stp>OPEN_INT</stp>
        <stp>.OPEN251009P15.5</stp>
        <tr r="B13" s="2"/>
      </tp>
      <tp t="s">
        <v>N/A</v>
        <stp/>
        <stp>OPEN_INT</stp>
        <stp>.OPEN251029P17.5</stp>
        <tr r="P9" s="2"/>
      </tp>
      <tp t="s">
        <v>N/A</v>
        <stp/>
        <stp>OPEN_INT</stp>
        <stp>.OPEN251219C14.5</stp>
        <tr r="H19" s="1"/>
        <tr r="U15" s="2"/>
      </tp>
      <tp t="s">
        <v>N/A</v>
        <stp/>
        <stp>OPEN_INT</stp>
        <stp>.OPEN251009C15.5</stp>
        <tr r="B13" s="2"/>
      </tp>
      <tp t="s">
        <v>N/A</v>
        <stp/>
        <stp>OPEN_INT</stp>
        <stp>.OPEN251029C17.5</stp>
        <tr r="P9" s="2"/>
      </tp>
      <tp t="s">
        <v>N/A</v>
        <stp/>
        <stp>OPEN_INT</stp>
        <stp>.OPEN251128P17.5</stp>
        <tr r="E13" s="1"/>
        <tr r="T9" s="2"/>
      </tp>
      <tp t="s">
        <v>N/A</v>
        <stp/>
        <stp>OPEN_INT</stp>
        <stp>.OPEN251028P17.5</stp>
        <tr r="O9" s="2"/>
      </tp>
      <tp t="s">
        <v>N/A</v>
        <stp/>
        <stp>OPEN_INT</stp>
        <stp>.OPEN251128C17.5</stp>
        <tr r="E13" s="1"/>
        <tr r="T9" s="2"/>
      </tp>
      <tp t="s">
        <v>N/A</v>
        <stp/>
        <stp>OPEN_INT</stp>
        <stp>.OPEN251028C17.5</stp>
        <tr r="O9" s="2"/>
      </tp>
      <tp>
        <v>1</v>
        <stp/>
        <stp>OPEN_INT</stp>
        <stp>.OPEN251017P14.5</stp>
        <tr r="H15" s="2"/>
        <tr r="H15" s="2"/>
      </tp>
      <tp t="s">
        <v>N/A</v>
        <stp/>
        <stp>OPEN_INT</stp>
        <stp>.OPEN251027P17.5</stp>
        <tr r="N9" s="2"/>
      </tp>
      <tp>
        <v>593</v>
        <stp/>
        <stp>OPEN_INT</stp>
        <stp>.OPEN251017C14.5</stp>
        <tr r="H15" s="2"/>
        <tr r="H15" s="2"/>
      </tp>
      <tp t="s">
        <v>N/A</v>
        <stp/>
        <stp>OPEN_INT</stp>
        <stp>.OPEN251027C17.5</stp>
        <tr r="N9" s="2"/>
      </tp>
      <tp t="s">
        <v>N/A</v>
        <stp/>
        <stp>OPEN_INT</stp>
        <stp>.OPEN251226P17.5</stp>
        <tr r="I13" s="1"/>
      </tp>
      <tp t="s">
        <v>N/A</v>
        <stp/>
        <stp>OPEN_INT</stp>
        <stp>.OPEN251016P14.5</stp>
        <tr r="G15" s="2"/>
      </tp>
      <tp t="s">
        <v>N/A</v>
        <stp/>
        <stp>OPEN_INT</stp>
        <stp>.OPEN260515P14.5</stp>
        <tr r="P19" s="1"/>
      </tp>
      <tp t="s">
        <v>N/A</v>
        <stp/>
        <stp>OPEN_INT</stp>
        <stp>.OPEN260515C14.5</stp>
        <tr r="P19" s="1"/>
      </tp>
      <tp t="s">
        <v>N/A</v>
        <stp/>
        <stp>OPEN_INT</stp>
        <stp>.OPEN251226C17.5</stp>
        <tr r="I13" s="1"/>
      </tp>
      <tp t="s">
        <v>N/A</v>
        <stp/>
        <stp>OPEN_INT</stp>
        <stp>.OPEN251016C14.5</stp>
        <tr r="G15" s="2"/>
      </tp>
      <tp t="s">
        <v>N/A</v>
        <stp/>
        <stp>OPEN_INT</stp>
        <stp>.OPEN251205P15.5</stp>
        <tr r="F17" s="1"/>
      </tp>
      <tp t="s">
        <v>N/A</v>
        <stp/>
        <stp>OPEN_INT</stp>
        <stp>.OPEN251015P14.5</stp>
        <tr r="F15" s="2"/>
      </tp>
      <tp t="s">
        <v>N/A</v>
        <stp/>
        <stp>OPEN_INT</stp>
        <stp>.OPEN261016P14.5</stp>
        <tr r="U19" s="1"/>
      </tp>
      <tp t="s">
        <v>N/A</v>
        <stp/>
        <stp>OPEN_INT</stp>
        <stp>.OPEN260116P14.5</stp>
        <tr r="L19" s="1"/>
        <tr r="W15" s="2"/>
      </tp>
      <tp t="s">
        <v>N/A</v>
        <stp/>
        <stp>OPEN_INT</stp>
        <stp>.OPEN260116C14.5</stp>
        <tr r="L19" s="1"/>
        <tr r="W15" s="2"/>
      </tp>
      <tp t="s">
        <v>N/A</v>
        <stp/>
        <stp>OPEN_INT</stp>
        <stp>.OPEN251205C15.5</stp>
        <tr r="F17" s="1"/>
      </tp>
      <tp t="s">
        <v>N/A</v>
        <stp/>
        <stp>OPEN_INT</stp>
        <stp>.OPEN251015C14.5</stp>
        <tr r="F15" s="2"/>
      </tp>
      <tp t="s">
        <v>N/A</v>
        <stp/>
        <stp>OPEN_INT</stp>
        <stp>.OPEN261016C14.5</stp>
        <tr r="U19" s="1"/>
      </tp>
      <tp>
        <v>0</v>
        <stp/>
        <stp>OPEN_INT</stp>
        <stp>.OPEN251114P14.5</stp>
        <tr r="AP52" s="1"/>
        <tr r="AP52" s="1"/>
        <tr r="C19" s="1"/>
        <tr r="C19" s="1"/>
        <tr r="AQ52" s="5"/>
        <tr r="AQ52" s="5"/>
        <tr r="AQ51" s="5"/>
        <tr r="AQ51" s="5"/>
        <tr r="AQ7" s="5"/>
        <tr r="AQ7" s="5"/>
        <tr r="AQ9" s="5"/>
        <tr r="AQ9" s="5"/>
        <tr r="AQ11" s="5"/>
        <tr r="AQ11" s="5"/>
        <tr r="AQ43" s="5"/>
        <tr r="AQ43" s="5"/>
        <tr r="AQ41" s="5"/>
        <tr r="AQ41" s="5"/>
        <tr r="AQ17" s="5"/>
        <tr r="AQ17" s="5"/>
        <tr r="AQ37" s="5"/>
        <tr r="AQ37" s="5"/>
        <tr r="AQ21" s="5"/>
        <tr r="AQ21" s="5"/>
        <tr r="AQ33" s="5"/>
        <tr r="AQ33" s="5"/>
        <tr r="AQ25" s="5"/>
        <tr r="AQ25" s="5"/>
        <tr r="AQ27" s="5"/>
        <tr r="AQ27" s="5"/>
        <tr r="AP51" s="1"/>
        <tr r="AP51" s="1"/>
        <tr r="AP7" s="1"/>
        <tr r="AP7" s="1"/>
        <tr r="AP47" s="1"/>
        <tr r="AP47" s="1"/>
        <tr r="AP11" s="1"/>
        <tr r="AP11" s="1"/>
        <tr r="AP13" s="1"/>
        <tr r="AP13" s="1"/>
        <tr r="AP41" s="1"/>
        <tr r="AP41" s="1"/>
        <tr r="AP17" s="1"/>
        <tr r="AP17" s="1"/>
        <tr r="AP37" s="1"/>
        <tr r="AP37" s="1"/>
        <tr r="AP35" s="1"/>
        <tr r="AP35" s="1"/>
        <tr r="AP23" s="1"/>
        <tr r="AP23" s="1"/>
        <tr r="AP25" s="1"/>
        <tr r="AP25" s="1"/>
        <tr r="AP29" s="1"/>
        <tr r="AP29" s="1"/>
        <tr r="AQ6" s="5"/>
        <tr r="AQ6" s="5"/>
        <tr r="AQ48" s="5"/>
        <tr r="AQ48" s="5"/>
        <tr r="AQ10" s="5"/>
        <tr r="AQ10" s="5"/>
        <tr r="AQ44" s="5"/>
        <tr r="AQ44" s="5"/>
        <tr r="AQ42" s="5"/>
        <tr r="AQ42" s="5"/>
        <tr r="AQ16" s="5"/>
        <tr r="AQ16" s="5"/>
        <tr r="AQ38" s="5"/>
        <tr r="AQ38" s="5"/>
        <tr r="AQ36" s="5"/>
        <tr r="AQ36" s="5"/>
        <tr r="AQ22" s="5"/>
        <tr r="AQ22" s="5"/>
        <tr r="AQ32" s="5"/>
        <tr r="AQ32" s="5"/>
        <tr r="AQ26" s="5"/>
        <tr r="AQ26" s="5"/>
        <tr r="AQ28" s="5"/>
        <tr r="AQ28" s="5"/>
        <tr r="AP50" s="1"/>
        <tr r="AP50" s="1"/>
        <tr r="AP8" s="1"/>
        <tr r="AP8" s="1"/>
        <tr r="AP46" s="1"/>
        <tr r="AP46" s="1"/>
        <tr r="AP12" s="1"/>
        <tr r="AP12" s="1"/>
        <tr r="AP14" s="1"/>
        <tr r="AP14" s="1"/>
        <tr r="AP40" s="1"/>
        <tr r="AP40" s="1"/>
        <tr r="AP18" s="1"/>
        <tr r="AP18" s="1"/>
        <tr r="AP36" s="1"/>
        <tr r="AP36" s="1"/>
        <tr r="AP34" s="1"/>
        <tr r="AP34" s="1"/>
        <tr r="AP32" s="1"/>
        <tr r="AP32" s="1"/>
        <tr r="AP30" s="1"/>
        <tr r="AP30" s="1"/>
        <tr r="AP28" s="1"/>
        <tr r="AP28" s="1"/>
        <tr r="AQ50" s="5"/>
        <tr r="AQ50" s="5"/>
        <tr r="AQ8" s="5"/>
        <tr r="AQ8" s="5"/>
        <tr r="AQ46" s="5"/>
        <tr r="AQ46" s="5"/>
        <tr r="AQ12" s="5"/>
        <tr r="AQ12" s="5"/>
        <tr r="AQ14" s="5"/>
        <tr r="AQ14" s="5"/>
        <tr r="AQ40" s="5"/>
        <tr r="AQ40" s="5"/>
        <tr r="AQ18" s="5"/>
        <tr r="AQ18" s="5"/>
        <tr r="AQ20" s="5"/>
        <tr r="AQ20" s="5"/>
        <tr r="AQ34" s="5"/>
        <tr r="AQ34" s="5"/>
        <tr r="AQ24" s="5"/>
        <tr r="AQ24" s="5"/>
        <tr r="AQ30" s="5"/>
        <tr r="AQ30" s="5"/>
        <tr r="AP6" s="1"/>
        <tr r="AP6" s="1"/>
        <tr r="AP48" s="1"/>
        <tr r="AP48" s="1"/>
        <tr r="AP10" s="1"/>
        <tr r="AP10" s="1"/>
        <tr r="AP44" s="1"/>
        <tr r="AP44" s="1"/>
        <tr r="AP42" s="1"/>
        <tr r="AP42" s="1"/>
        <tr r="AP16" s="1"/>
        <tr r="AP16" s="1"/>
        <tr r="AP38" s="1"/>
        <tr r="AP38" s="1"/>
        <tr r="AP20" s="1"/>
        <tr r="AP20" s="1"/>
        <tr r="AP22" s="1"/>
        <tr r="AP22" s="1"/>
        <tr r="AP24" s="1"/>
        <tr r="AP24" s="1"/>
        <tr r="AP26" s="1"/>
        <tr r="AP26" s="1"/>
        <tr r="AQ5" s="5"/>
        <tr r="AQ5" s="5"/>
        <tr r="AQ49" s="5"/>
        <tr r="AQ49" s="5"/>
        <tr r="AQ47" s="5"/>
        <tr r="AQ47" s="5"/>
        <tr r="AQ45" s="5"/>
        <tr r="AQ45" s="5"/>
        <tr r="AQ13" s="5"/>
        <tr r="AQ13" s="5"/>
        <tr r="AQ15" s="5"/>
        <tr r="AQ15" s="5"/>
        <tr r="AQ39" s="5"/>
        <tr r="AQ39" s="5"/>
        <tr r="AQ19" s="5"/>
        <tr r="AQ19" s="5"/>
        <tr r="AQ35" s="5"/>
        <tr r="AQ35" s="5"/>
        <tr r="AQ23" s="5"/>
        <tr r="AQ23" s="5"/>
        <tr r="AQ31" s="5"/>
        <tr r="AQ31" s="5"/>
        <tr r="AQ29" s="5"/>
        <tr r="AQ29" s="5"/>
        <tr r="AP5" s="1"/>
        <tr r="AP5" s="1"/>
        <tr r="AP49" s="1"/>
        <tr r="AP49" s="1"/>
        <tr r="AP9" s="1"/>
        <tr r="AP9" s="1"/>
        <tr r="AP45" s="1"/>
        <tr r="AP45" s="1"/>
        <tr r="AP43" s="1"/>
        <tr r="AP43" s="1"/>
        <tr r="AP15" s="1"/>
        <tr r="AP15" s="1"/>
        <tr r="AP39" s="1"/>
        <tr r="AP39" s="1"/>
        <tr r="AP19" s="1"/>
        <tr r="AP19" s="1"/>
        <tr r="AP21" s="1"/>
        <tr r="AP21" s="1"/>
        <tr r="AP33" s="1"/>
        <tr r="AP33" s="1"/>
        <tr r="AP31" s="1"/>
        <tr r="AP31" s="1"/>
        <tr r="AP27" s="1"/>
        <tr r="AP27" s="1"/>
      </tp>
      <tp t="s">
        <v>N/A</v>
        <stp/>
        <stp>OPEN_INT</stp>
        <stp>.OPEN251014P14.5</stp>
        <tr r="E15" s="2"/>
      </tp>
      <tp>
        <v>0</v>
        <stp/>
        <stp>OPEN_INT</stp>
        <stp>.OPEN251024P17.5</stp>
        <tr r="M9" s="2"/>
        <tr r="M9" s="2"/>
      </tp>
      <tp t="s">
        <v>N/A</v>
        <stp/>
        <stp>OPEN_INT</stp>
        <stp>.OPEN260717P14.5</stp>
        <tr r="R19" s="1"/>
      </tp>
      <tp t="s">
        <v>N/A</v>
        <stp/>
        <stp>OPEN_INT</stp>
        <stp>.OPEN260417P14.5</stp>
        <tr r="O19" s="1"/>
      </tp>
      <tp t="s">
        <v>N/A</v>
        <stp/>
        <stp>OPEN_INT</stp>
        <stp>.OPEN260717C14.5</stp>
        <tr r="R19" s="1"/>
      </tp>
      <tp t="s">
        <v>N/A</v>
        <stp/>
        <stp>OPEN_INT</stp>
        <stp>.OPEN260417C14.5</stp>
        <tr r="O19" s="1"/>
      </tp>
      <tp>
        <v>0</v>
        <stp/>
        <stp>OPEN_INT</stp>
        <stp>.OPEN251114C14.5</stp>
        <tr r="AP52" s="1"/>
        <tr r="AP52" s="1"/>
        <tr r="C19" s="1"/>
        <tr r="C19" s="1"/>
        <tr r="AQ52" s="5"/>
        <tr r="AQ52" s="5"/>
        <tr r="AQ51" s="5"/>
        <tr r="AQ51" s="5"/>
        <tr r="AQ7" s="5"/>
        <tr r="AQ7" s="5"/>
        <tr r="AQ9" s="5"/>
        <tr r="AQ9" s="5"/>
        <tr r="AQ11" s="5"/>
        <tr r="AQ11" s="5"/>
        <tr r="AQ43" s="5"/>
        <tr r="AQ43" s="5"/>
        <tr r="AQ41" s="5"/>
        <tr r="AQ41" s="5"/>
        <tr r="AQ17" s="5"/>
        <tr r="AQ17" s="5"/>
        <tr r="AQ37" s="5"/>
        <tr r="AQ37" s="5"/>
        <tr r="AQ21" s="5"/>
        <tr r="AQ21" s="5"/>
        <tr r="AQ33" s="5"/>
        <tr r="AQ33" s="5"/>
        <tr r="AQ25" s="5"/>
        <tr r="AQ25" s="5"/>
        <tr r="AQ27" s="5"/>
        <tr r="AQ27" s="5"/>
        <tr r="AP51" s="1"/>
        <tr r="AP51" s="1"/>
        <tr r="AP7" s="1"/>
        <tr r="AP7" s="1"/>
        <tr r="AP47" s="1"/>
        <tr r="AP47" s="1"/>
        <tr r="AP11" s="1"/>
        <tr r="AP11" s="1"/>
        <tr r="AP13" s="1"/>
        <tr r="AP13" s="1"/>
        <tr r="AP41" s="1"/>
        <tr r="AP41" s="1"/>
        <tr r="AP17" s="1"/>
        <tr r="AP17" s="1"/>
        <tr r="AP37" s="1"/>
        <tr r="AP37" s="1"/>
        <tr r="AP35" s="1"/>
        <tr r="AP35" s="1"/>
        <tr r="AP23" s="1"/>
        <tr r="AP23" s="1"/>
        <tr r="AP25" s="1"/>
        <tr r="AP25" s="1"/>
        <tr r="AP29" s="1"/>
        <tr r="AP29" s="1"/>
        <tr r="AQ6" s="5"/>
        <tr r="AQ6" s="5"/>
        <tr r="AQ48" s="5"/>
        <tr r="AQ48" s="5"/>
        <tr r="AQ10" s="5"/>
        <tr r="AQ10" s="5"/>
        <tr r="AQ44" s="5"/>
        <tr r="AQ44" s="5"/>
        <tr r="AQ42" s="5"/>
        <tr r="AQ42" s="5"/>
        <tr r="AQ16" s="5"/>
        <tr r="AQ16" s="5"/>
        <tr r="AQ38" s="5"/>
        <tr r="AQ38" s="5"/>
        <tr r="AQ36" s="5"/>
        <tr r="AQ36" s="5"/>
        <tr r="AQ22" s="5"/>
        <tr r="AQ22" s="5"/>
        <tr r="AQ32" s="5"/>
        <tr r="AQ32" s="5"/>
        <tr r="AQ26" s="5"/>
        <tr r="AQ26" s="5"/>
        <tr r="AQ28" s="5"/>
        <tr r="AQ28" s="5"/>
        <tr r="AP50" s="1"/>
        <tr r="AP50" s="1"/>
        <tr r="AP8" s="1"/>
        <tr r="AP8" s="1"/>
        <tr r="AP46" s="1"/>
        <tr r="AP46" s="1"/>
        <tr r="AP12" s="1"/>
        <tr r="AP12" s="1"/>
        <tr r="AP14" s="1"/>
        <tr r="AP14" s="1"/>
        <tr r="AP40" s="1"/>
        <tr r="AP40" s="1"/>
        <tr r="AP18" s="1"/>
        <tr r="AP18" s="1"/>
        <tr r="AP36" s="1"/>
        <tr r="AP36" s="1"/>
        <tr r="AP34" s="1"/>
        <tr r="AP34" s="1"/>
        <tr r="AP32" s="1"/>
        <tr r="AP32" s="1"/>
        <tr r="AP30" s="1"/>
        <tr r="AP30" s="1"/>
        <tr r="AP28" s="1"/>
        <tr r="AP28" s="1"/>
        <tr r="AQ50" s="5"/>
        <tr r="AQ50" s="5"/>
        <tr r="AQ8" s="5"/>
        <tr r="AQ8" s="5"/>
        <tr r="AQ46" s="5"/>
        <tr r="AQ46" s="5"/>
        <tr r="AQ12" s="5"/>
        <tr r="AQ12" s="5"/>
        <tr r="AQ14" s="5"/>
        <tr r="AQ14" s="5"/>
        <tr r="AQ40" s="5"/>
        <tr r="AQ40" s="5"/>
        <tr r="AQ18" s="5"/>
        <tr r="AQ18" s="5"/>
        <tr r="AQ20" s="5"/>
        <tr r="AQ20" s="5"/>
        <tr r="AQ34" s="5"/>
        <tr r="AQ34" s="5"/>
        <tr r="AQ24" s="5"/>
        <tr r="AQ24" s="5"/>
        <tr r="AQ30" s="5"/>
        <tr r="AQ30" s="5"/>
        <tr r="AP6" s="1"/>
        <tr r="AP6" s="1"/>
        <tr r="AP48" s="1"/>
        <tr r="AP48" s="1"/>
        <tr r="AP10" s="1"/>
        <tr r="AP10" s="1"/>
        <tr r="AP44" s="1"/>
        <tr r="AP44" s="1"/>
        <tr r="AP42" s="1"/>
        <tr r="AP42" s="1"/>
        <tr r="AP16" s="1"/>
        <tr r="AP16" s="1"/>
        <tr r="AP38" s="1"/>
        <tr r="AP38" s="1"/>
        <tr r="AP20" s="1"/>
        <tr r="AP20" s="1"/>
        <tr r="AP22" s="1"/>
        <tr r="AP22" s="1"/>
        <tr r="AP24" s="1"/>
        <tr r="AP24" s="1"/>
        <tr r="AP26" s="1"/>
        <tr r="AP26" s="1"/>
        <tr r="AQ5" s="5"/>
        <tr r="AQ5" s="5"/>
        <tr r="AQ49" s="5"/>
        <tr r="AQ49" s="5"/>
        <tr r="AQ47" s="5"/>
        <tr r="AQ47" s="5"/>
        <tr r="AQ45" s="5"/>
        <tr r="AQ45" s="5"/>
        <tr r="AQ13" s="5"/>
        <tr r="AQ13" s="5"/>
        <tr r="AQ15" s="5"/>
        <tr r="AQ15" s="5"/>
        <tr r="AQ39" s="5"/>
        <tr r="AQ39" s="5"/>
        <tr r="AQ19" s="5"/>
        <tr r="AQ19" s="5"/>
        <tr r="AQ35" s="5"/>
        <tr r="AQ35" s="5"/>
        <tr r="AQ23" s="5"/>
        <tr r="AQ23" s="5"/>
        <tr r="AQ31" s="5"/>
        <tr r="AQ31" s="5"/>
        <tr r="AQ29" s="5"/>
        <tr r="AQ29" s="5"/>
        <tr r="AP5" s="1"/>
        <tr r="AP5" s="1"/>
        <tr r="AP49" s="1"/>
        <tr r="AP49" s="1"/>
        <tr r="AP9" s="1"/>
        <tr r="AP9" s="1"/>
        <tr r="AP45" s="1"/>
        <tr r="AP45" s="1"/>
        <tr r="AP43" s="1"/>
        <tr r="AP43" s="1"/>
        <tr r="AP15" s="1"/>
        <tr r="AP15" s="1"/>
        <tr r="AP39" s="1"/>
        <tr r="AP39" s="1"/>
        <tr r="AP19" s="1"/>
        <tr r="AP19" s="1"/>
        <tr r="AP21" s="1"/>
        <tr r="AP21" s="1"/>
        <tr r="AP33" s="1"/>
        <tr r="AP33" s="1"/>
        <tr r="AP31" s="1"/>
        <tr r="AP31" s="1"/>
        <tr r="AP27" s="1"/>
        <tr r="AP27" s="1"/>
      </tp>
      <tp t="s">
        <v>N/A</v>
        <stp/>
        <stp>OPEN_INT</stp>
        <stp>.OPEN251014C14.5</stp>
        <tr r="E15" s="2"/>
      </tp>
      <tp>
        <v>17</v>
        <stp/>
        <stp>OPEN_INT</stp>
        <stp>.OPEN251024C17.5</stp>
        <tr r="M9" s="2"/>
        <tr r="M9" s="2"/>
      </tp>
      <tp t="s">
        <v>N/A</v>
        <stp/>
        <stp>OPEN_INT</stp>
        <stp>.OPEN261120P17.5</stp>
        <tr r="V13" s="1"/>
      </tp>
      <tp t="s">
        <v>N/A</v>
        <stp/>
        <stp>OPEN_INT</stp>
        <stp>.OPEN251013P14.5</stp>
        <tr r="D15" s="2"/>
      </tp>
      <tp t="s">
        <v>N/A</v>
        <stp/>
        <stp>OPEN_INT</stp>
        <stp>.OPEN251023P17.5</stp>
        <tr r="L9" s="2"/>
      </tp>
      <tp t="s">
        <v>N/A</v>
        <stp/>
        <stp>OPEN_INT</stp>
        <stp>.OPEN260320P17.5</stp>
        <tr r="N13" s="1"/>
      </tp>
      <tp t="s">
        <v>N/A</v>
        <stp/>
        <stp>OPEN_INT</stp>
        <stp>.OPEN260220P17.5</stp>
        <tr r="M13" s="1"/>
      </tp>
      <tp t="s">
        <v>N/A</v>
        <stp/>
        <stp>OPEN_INT</stp>
        <stp>.OPEN260320C17.5</stp>
        <tr r="N13" s="1"/>
      </tp>
      <tp t="s">
        <v>N/A</v>
        <stp/>
        <stp>OPEN_INT</stp>
        <stp>.OPEN260220C17.5</stp>
        <tr r="M13" s="1"/>
      </tp>
      <tp t="s">
        <v>N/A</v>
        <stp/>
        <stp>OPEN_INT</stp>
        <stp>.OPEN261120C17.5</stp>
        <tr r="V13" s="1"/>
      </tp>
      <tp t="s">
        <v>N/A</v>
        <stp/>
        <stp>OPEN_INT</stp>
        <stp>.OPEN251013C14.5</stp>
        <tr r="D15" s="2"/>
      </tp>
      <tp t="s">
        <v>N/A</v>
        <stp/>
        <stp>OPEN_INT</stp>
        <stp>.OPEN251023C17.5</stp>
        <tr r="L9" s="2"/>
      </tp>
      <tp t="s">
        <v>N/A</v>
        <stp/>
        <stp>OPEN_INT</stp>
        <stp>.OPEN251212P14.5</stp>
        <tr r="G19" s="1"/>
      </tp>
      <tp t="s">
        <v>N/A</v>
        <stp/>
        <stp>OPEN_INT</stp>
        <stp>.OPEN251022P17.5</stp>
        <tr r="K9" s="2"/>
      </tp>
      <tp t="s">
        <v>N/A</v>
        <stp/>
        <stp>OPEN_INT</stp>
        <stp>.OPEN260821P17.5</stp>
        <tr r="S13" s="1"/>
      </tp>
      <tp t="s">
        <v>N/A</v>
        <stp/>
        <stp>OPEN_INT</stp>
        <stp>.OPEN260821C17.5</stp>
        <tr r="S13" s="1"/>
      </tp>
      <tp t="s">
        <v>N/A</v>
        <stp/>
        <stp>OPEN_INT</stp>
        <stp>.OPEN251212C14.5</stp>
        <tr r="G19" s="1"/>
      </tp>
      <tp t="s">
        <v>N/A</v>
        <stp/>
        <stp>OPEN_INT</stp>
        <stp>.OPEN251022C17.5</stp>
        <tr r="K9" s="2"/>
      </tp>
      <tp t="s">
        <v>N/A</v>
        <stp/>
        <stp>OPEN_INT</stp>
        <stp>.OPEN251231P16.5</stp>
        <tr r="V11" s="2"/>
      </tp>
      <tp t="s">
        <v>N/A</v>
        <stp/>
        <stp>OPEN_INT</stp>
        <stp>.OPEN251121P17.5</stp>
        <tr r="D13" s="1"/>
        <tr r="S9" s="2"/>
      </tp>
      <tp t="s">
        <v>N/A</v>
        <stp/>
        <stp>OPEN_INT</stp>
        <stp>.OPEN251021P17.5</stp>
        <tr r="J9" s="2"/>
      </tp>
      <tp t="s">
        <v>N/A</v>
        <stp/>
        <stp>OPEN_INT</stp>
        <stp>.OPEN251031P16.5</stp>
        <tr r="R11" s="2"/>
      </tp>
      <tp t="s">
        <v>N/A</v>
        <stp/>
        <stp>OPEN_INT</stp>
        <stp>.OPEN260102P15.5</stp>
        <tr r="J17" s="1"/>
      </tp>
      <tp t="s">
        <v>N/A</v>
        <stp/>
        <stp>OPEN_INT</stp>
        <stp>.OPEN260102C15.5</stp>
        <tr r="J17" s="1"/>
      </tp>
      <tp t="s">
        <v>N/A</v>
        <stp/>
        <stp>OPEN_INT</stp>
        <stp>.OPEN251231C16.5</stp>
        <tr r="V11" s="2"/>
      </tp>
      <tp t="s">
        <v>N/A</v>
        <stp/>
        <stp>OPEN_INT</stp>
        <stp>.OPEN251121C17.5</stp>
        <tr r="D13" s="1"/>
        <tr r="S9" s="2"/>
      </tp>
      <tp t="s">
        <v>N/A</v>
        <stp/>
        <stp>OPEN_INT</stp>
        <stp>.OPEN251021C17.5</stp>
        <tr r="J9" s="2"/>
      </tp>
      <tp t="s">
        <v>N/A</v>
        <stp/>
        <stp>OPEN_INT</stp>
        <stp>.OPEN251031C16.5</stp>
        <tr r="R11" s="2"/>
      </tp>
      <tp>
        <v>0</v>
        <stp/>
        <stp>OPEN_INT</stp>
        <stp>.OPEN251010P14.5</stp>
        <tr r="C15" s="2"/>
        <tr r="C15" s="2"/>
      </tp>
      <tp t="s">
        <v>N/A</v>
        <stp/>
        <stp>OPEN_INT</stp>
        <stp>.OPEN251020P17.5</stp>
        <tr r="I9" s="2"/>
      </tp>
      <tp t="s">
        <v>N/A</v>
        <stp/>
        <stp>OPEN_INT</stp>
        <stp>.OPEN251030P16.5</stp>
        <tr r="Q11" s="2"/>
      </tp>
      <tp>
        <v>1057</v>
        <stp/>
        <stp>OPEN_INT</stp>
        <stp>.OPEN251010C14.5</stp>
        <tr r="C15" s="2"/>
        <tr r="C15" s="2"/>
      </tp>
      <tp t="s">
        <v>N/A</v>
        <stp/>
        <stp>OPEN_INT</stp>
        <stp>.OPEN251020C17.5</stp>
        <tr r="I9" s="2"/>
      </tp>
      <tp t="s">
        <v>N/A</v>
        <stp/>
        <stp>OPEN_INT</stp>
        <stp>.OPEN251030C16.5</stp>
        <tr r="Q11" s="2"/>
      </tp>
      <tp t="s">
        <v>N/A</v>
        <stp/>
        <stp>OPEN_INT</stp>
        <stp>.OPEN261218P15.5</stp>
        <tr r="W17" s="1"/>
      </tp>
      <tp t="s">
        <v>N/A</v>
        <stp/>
        <stp>OPEN_INT</stp>
        <stp>.OPEN260918P15.5</stp>
        <tr r="T17" s="1"/>
      </tp>
      <tp t="s">
        <v>N/A</v>
        <stp/>
        <stp>OPEN_INT</stp>
        <stp>.OPEN260918C15.5</stp>
        <tr r="T17" s="1"/>
      </tp>
      <tp t="s">
        <v>N/A</v>
        <stp/>
        <stp>OPEN_INT</stp>
        <stp>.OPEN261218C15.5</stp>
        <tr r="W17" s="1"/>
      </tp>
      <tp t="s">
        <v>N/A</v>
        <stp/>
        <stp>OPEN_INT</stp>
        <stp>.OPEN260619P15.5</stp>
        <tr r="Q17" s="1"/>
      </tp>
      <tp t="s">
        <v>N/A</v>
        <stp/>
        <stp>OPEN_INT</stp>
        <stp>.OPEN260109P14.5</stp>
        <tr r="K19" s="1"/>
      </tp>
      <tp t="s">
        <v>N/A</v>
        <stp/>
        <stp>OPEN_INT</stp>
        <stp>.OPEN260619C15.5</stp>
        <tr r="Q17" s="1"/>
      </tp>
      <tp t="s">
        <v>N/A</v>
        <stp/>
        <stp>OPEN_INT</stp>
        <stp>.OPEN260109C14.5</stp>
        <tr r="K19" s="1"/>
      </tp>
      <tp t="s">
        <v>N/A</v>
        <stp/>
        <stp>OPEN_INT</stp>
        <stp>.OPEN251219P15.5</stp>
        <tr r="H17" s="1"/>
        <tr r="U13" s="2"/>
      </tp>
      <tp t="s">
        <v>N/A</v>
        <stp/>
        <stp>OPEN_INT</stp>
        <stp>.OPEN251009P14.5</stp>
        <tr r="B15" s="2"/>
      </tp>
      <tp t="s">
        <v>N/A</v>
        <stp/>
        <stp>OPEN_INT</stp>
        <stp>.OPEN251029P16.5</stp>
        <tr r="P11" s="2"/>
      </tp>
      <tp t="s">
        <v>N/A</v>
        <stp/>
        <stp>OPEN_INT</stp>
        <stp>.OPEN251219C15.5</stp>
        <tr r="H17" s="1"/>
        <tr r="U13" s="2"/>
      </tp>
      <tp t="s">
        <v>N/A</v>
        <stp/>
        <stp>OPEN_INT</stp>
        <stp>.OPEN251009C14.5</stp>
        <tr r="B15" s="2"/>
      </tp>
      <tp t="s">
        <v>N/A</v>
        <stp/>
        <stp>OPEN_INT</stp>
        <stp>.OPEN251029C16.5</stp>
        <tr r="P11" s="2"/>
      </tp>
      <tp t="s">
        <v>N/A</v>
        <stp/>
        <stp>OPEN_INT</stp>
        <stp>.OPEN251128P16.5</stp>
        <tr r="E15" s="1"/>
        <tr r="T11" s="2"/>
      </tp>
      <tp t="s">
        <v>N/A</v>
        <stp/>
        <stp>OPEN_INT</stp>
        <stp>.OPEN251028P16.5</stp>
        <tr r="O11" s="2"/>
      </tp>
      <tp t="s">
        <v>N/A</v>
        <stp/>
        <stp>OPEN_INT</stp>
        <stp>.OPEN251128C16.5</stp>
        <tr r="E15" s="1"/>
        <tr r="T11" s="2"/>
      </tp>
      <tp t="s">
        <v>N/A</v>
        <stp/>
        <stp>OPEN_INT</stp>
        <stp>.OPEN251028C16.5</stp>
        <tr r="O11" s="2"/>
      </tp>
      <tp t="s">
        <v>N/A</v>
        <stp/>
        <stp>OPEN_INT</stp>
        <stp>.OPEN251017P15.5</stp>
        <tr r="H13" s="2"/>
      </tp>
      <tp t="s">
        <v>N/A</v>
        <stp/>
        <stp>OPEN_INT</stp>
        <stp>.OPEN251027P16.5</stp>
        <tr r="N11" s="2"/>
      </tp>
      <tp t="s">
        <v>N/A</v>
        <stp/>
        <stp>OPEN_INT</stp>
        <stp>.OPEN251017C15.5</stp>
        <tr r="H13" s="2"/>
      </tp>
      <tp t="s">
        <v>N/A</v>
        <stp/>
        <stp>OPEN_INT</stp>
        <stp>.OPEN251027C16.5</stp>
        <tr r="N11" s="2"/>
      </tp>
      <tp t="s">
        <v>N/A</v>
        <stp/>
        <stp>OPEN_INT</stp>
        <stp>.OPEN251226P16.5</stp>
        <tr r="I15" s="1"/>
      </tp>
      <tp t="s">
        <v>N/A</v>
        <stp/>
        <stp>OPEN_INT</stp>
        <stp>.OPEN251016P15.5</stp>
        <tr r="G13" s="2"/>
      </tp>
      <tp t="s">
        <v>N/A</v>
        <stp/>
        <stp>OPEN_INT</stp>
        <stp>.OPEN260515P15.5</stp>
        <tr r="P17" s="1"/>
      </tp>
      <tp t="s">
        <v>N/A</v>
        <stp/>
        <stp>OPEN_INT</stp>
        <stp>.OPEN260515C15.5</stp>
        <tr r="P17" s="1"/>
      </tp>
      <tp t="s">
        <v>N/A</v>
        <stp/>
        <stp>OPEN_INT</stp>
        <stp>.OPEN251226C16.5</stp>
        <tr r="I15" s="1"/>
      </tp>
      <tp t="s">
        <v>N/A</v>
        <stp/>
        <stp>OPEN_INT</stp>
        <stp>.OPEN251016C15.5</stp>
        <tr r="G13" s="2"/>
      </tp>
      <tp t="s">
        <v>N/A</v>
        <stp/>
        <stp>OPEN_INT</stp>
        <stp>.OPEN251205P14.5</stp>
        <tr r="F19" s="1"/>
      </tp>
      <tp t="s">
        <v>N/A</v>
        <stp/>
        <stp>OPEN_INT</stp>
        <stp>.OPEN251015P15.5</stp>
        <tr r="F13" s="2"/>
      </tp>
      <tp t="s">
        <v>N/A</v>
        <stp/>
        <stp>OPEN_INT</stp>
        <stp>.OPEN261016P15.5</stp>
        <tr r="U17" s="1"/>
      </tp>
      <tp t="s">
        <v>N/A</v>
        <stp/>
        <stp>OPEN_INT</stp>
        <stp>.OPEN260116P15.5</stp>
        <tr r="L17" s="1"/>
        <tr r="W13" s="2"/>
      </tp>
      <tp t="s">
        <v>N/A</v>
        <stp/>
        <stp>OPEN_INT</stp>
        <stp>.OPEN260116C15.5</stp>
        <tr r="L17" s="1"/>
        <tr r="W13" s="2"/>
      </tp>
      <tp t="s">
        <v>N/A</v>
        <stp/>
        <stp>OPEN_INT</stp>
        <stp>.OPEN251205C14.5</stp>
        <tr r="F19" s="1"/>
      </tp>
      <tp t="s">
        <v>N/A</v>
        <stp/>
        <stp>OPEN_INT</stp>
        <stp>.OPEN251015C15.5</stp>
        <tr r="F13" s="2"/>
      </tp>
      <tp t="s">
        <v>N/A</v>
        <stp/>
        <stp>OPEN_INT</stp>
        <stp>.OPEN261016C15.5</stp>
        <tr r="U17" s="1"/>
      </tp>
      <tp t="s">
        <v>N/A</v>
        <stp/>
        <stp>OPEN_INT</stp>
        <stp>.OPEN251114P15.5</stp>
        <tr r="AO52" s="5"/>
        <tr r="AN52" s="1"/>
        <tr r="C17" s="1"/>
        <tr r="AO5" s="5"/>
        <tr r="AO49" s="5"/>
        <tr r="AO9" s="5"/>
        <tr r="AO45" s="5"/>
        <tr r="AO43" s="5"/>
        <tr r="AO41" s="5"/>
        <tr r="AO17" s="5"/>
        <tr r="AO37" s="5"/>
        <tr r="AO21" s="5"/>
        <tr r="AO33" s="5"/>
        <tr r="AO31" s="5"/>
        <tr r="AO27" s="5"/>
        <tr r="AN5" s="1"/>
        <tr r="AN7" s="1"/>
        <tr r="AN47" s="1"/>
        <tr r="AN45" s="1"/>
        <tr r="AN13" s="1"/>
        <tr r="AN41" s="1"/>
        <tr r="AN39" s="1"/>
        <tr r="AN19" s="1"/>
        <tr r="AN35" s="1"/>
        <tr r="AN23" s="1"/>
        <tr r="AN25" s="1"/>
        <tr r="AN29" s="1"/>
        <tr r="AO50" s="5"/>
        <tr r="AO48" s="5"/>
        <tr r="AO10" s="5"/>
        <tr r="AO44" s="5"/>
        <tr r="AO14" s="5"/>
        <tr r="AO40" s="5"/>
        <tr r="AO18" s="5"/>
        <tr r="AO20" s="5"/>
        <tr r="AO22" s="5"/>
        <tr r="AO32" s="5"/>
        <tr r="AO30" s="5"/>
        <tr r="AO28" s="5"/>
        <tr r="AN50" s="1"/>
        <tr r="AN8" s="1"/>
        <tr r="AN10" s="1"/>
        <tr r="AN12" s="1"/>
        <tr r="AN42" s="1"/>
        <tr r="AN40" s="1"/>
        <tr r="AN18" s="1"/>
        <tr r="AN36" s="1"/>
        <tr r="AN22" s="1"/>
        <tr r="AN32" s="1"/>
        <tr r="AN26" s="1"/>
        <tr r="AN28" s="1"/>
        <tr r="AO6" s="5"/>
        <tr r="AO8" s="5"/>
        <tr r="AO46" s="5"/>
        <tr r="AO12" s="5"/>
        <tr r="AO42" s="5"/>
        <tr r="AO16" s="5"/>
        <tr r="AO38" s="5"/>
        <tr r="AO36" s="5"/>
        <tr r="AO34" s="5"/>
        <tr r="AO24" s="5"/>
        <tr r="AO26" s="5"/>
        <tr r="AN6" s="1"/>
        <tr r="AN48" s="1"/>
        <tr r="AN46" s="1"/>
        <tr r="AN44" s="1"/>
        <tr r="AN14" s="1"/>
        <tr r="AN16" s="1"/>
        <tr r="AN38" s="1"/>
        <tr r="AN20" s="1"/>
        <tr r="AN34" s="1"/>
        <tr r="AN24" s="1"/>
        <tr r="AN30" s="1"/>
        <tr r="AO51" s="5"/>
        <tr r="AO7" s="5"/>
        <tr r="AO47" s="5"/>
        <tr r="AO11" s="5"/>
        <tr r="AO13" s="5"/>
        <tr r="AO15" s="5"/>
        <tr r="AO39" s="5"/>
        <tr r="AO19" s="5"/>
        <tr r="AO35" s="5"/>
        <tr r="AO23" s="5"/>
        <tr r="AO25" s="5"/>
        <tr r="AO29" s="5"/>
        <tr r="AN51" s="1"/>
        <tr r="AN49" s="1"/>
        <tr r="AN9" s="1"/>
        <tr r="AN11" s="1"/>
        <tr r="AN43" s="1"/>
        <tr r="AN15" s="1"/>
        <tr r="AN17" s="1"/>
        <tr r="AN37" s="1"/>
        <tr r="AN21" s="1"/>
        <tr r="AN33" s="1"/>
        <tr r="AN31" s="1"/>
        <tr r="AN27" s="1"/>
      </tp>
      <tp t="s">
        <v>N/A</v>
        <stp/>
        <stp>OPEN_INT</stp>
        <stp>.OPEN251014P15.5</stp>
        <tr r="E13" s="2"/>
      </tp>
      <tp t="s">
        <v>N/A</v>
        <stp/>
        <stp>OPEN_INT</stp>
        <stp>.OPEN251024P16.5</stp>
        <tr r="M11" s="2"/>
      </tp>
      <tp t="s">
        <v>N/A</v>
        <stp/>
        <stp>OPEN_INT</stp>
        <stp>.OPEN260717P15.5</stp>
        <tr r="R17" s="1"/>
      </tp>
      <tp t="s">
        <v>N/A</v>
        <stp/>
        <stp>OPEN_INT</stp>
        <stp>.OPEN260417P15.5</stp>
        <tr r="O17" s="1"/>
      </tp>
      <tp t="s">
        <v>N/A</v>
        <stp/>
        <stp>OPEN_INT</stp>
        <stp>.OPEN260717C15.5</stp>
        <tr r="R17" s="1"/>
      </tp>
      <tp t="s">
        <v>N/A</v>
        <stp/>
        <stp>OPEN_INT</stp>
        <stp>.OPEN260417C15.5</stp>
        <tr r="O17" s="1"/>
      </tp>
      <tp t="s">
        <v>N/A</v>
        <stp/>
        <stp>OPEN_INT</stp>
        <stp>.OPEN251114C15.5</stp>
        <tr r="AO52" s="5"/>
        <tr r="AN52" s="1"/>
        <tr r="C17" s="1"/>
        <tr r="AO5" s="5"/>
        <tr r="AO49" s="5"/>
        <tr r="AO9" s="5"/>
        <tr r="AO45" s="5"/>
        <tr r="AO43" s="5"/>
        <tr r="AO41" s="5"/>
        <tr r="AO17" s="5"/>
        <tr r="AO37" s="5"/>
        <tr r="AO21" s="5"/>
        <tr r="AO33" s="5"/>
        <tr r="AO31" s="5"/>
        <tr r="AO27" s="5"/>
        <tr r="AN5" s="1"/>
        <tr r="AN7" s="1"/>
        <tr r="AN47" s="1"/>
        <tr r="AN45" s="1"/>
        <tr r="AN13" s="1"/>
        <tr r="AN41" s="1"/>
        <tr r="AN39" s="1"/>
        <tr r="AN19" s="1"/>
        <tr r="AN35" s="1"/>
        <tr r="AN23" s="1"/>
        <tr r="AN25" s="1"/>
        <tr r="AN29" s="1"/>
        <tr r="AO50" s="5"/>
        <tr r="AO48" s="5"/>
        <tr r="AO10" s="5"/>
        <tr r="AO44" s="5"/>
        <tr r="AO14" s="5"/>
        <tr r="AO40" s="5"/>
        <tr r="AO18" s="5"/>
        <tr r="AO20" s="5"/>
        <tr r="AO22" s="5"/>
        <tr r="AO32" s="5"/>
        <tr r="AO30" s="5"/>
        <tr r="AO28" s="5"/>
        <tr r="AN50" s="1"/>
        <tr r="AN8" s="1"/>
        <tr r="AN10" s="1"/>
        <tr r="AN12" s="1"/>
        <tr r="AN42" s="1"/>
        <tr r="AN40" s="1"/>
        <tr r="AN18" s="1"/>
        <tr r="AN36" s="1"/>
        <tr r="AN22" s="1"/>
        <tr r="AN32" s="1"/>
        <tr r="AN26" s="1"/>
        <tr r="AN28" s="1"/>
        <tr r="AO6" s="5"/>
        <tr r="AO8" s="5"/>
        <tr r="AO46" s="5"/>
        <tr r="AO12" s="5"/>
        <tr r="AO42" s="5"/>
        <tr r="AO16" s="5"/>
        <tr r="AO38" s="5"/>
        <tr r="AO36" s="5"/>
        <tr r="AO34" s="5"/>
        <tr r="AO24" s="5"/>
        <tr r="AO26" s="5"/>
        <tr r="AN6" s="1"/>
        <tr r="AN48" s="1"/>
        <tr r="AN46" s="1"/>
        <tr r="AN44" s="1"/>
        <tr r="AN14" s="1"/>
        <tr r="AN16" s="1"/>
        <tr r="AN38" s="1"/>
        <tr r="AN20" s="1"/>
        <tr r="AN34" s="1"/>
        <tr r="AN24" s="1"/>
        <tr r="AN30" s="1"/>
        <tr r="AO51" s="5"/>
        <tr r="AO7" s="5"/>
        <tr r="AO47" s="5"/>
        <tr r="AO11" s="5"/>
        <tr r="AO13" s="5"/>
        <tr r="AO15" s="5"/>
        <tr r="AO39" s="5"/>
        <tr r="AO19" s="5"/>
        <tr r="AO35" s="5"/>
        <tr r="AO23" s="5"/>
        <tr r="AO25" s="5"/>
        <tr r="AO29" s="5"/>
        <tr r="AN51" s="1"/>
        <tr r="AN49" s="1"/>
        <tr r="AN9" s="1"/>
        <tr r="AN11" s="1"/>
        <tr r="AN43" s="1"/>
        <tr r="AN15" s="1"/>
        <tr r="AN17" s="1"/>
        <tr r="AN37" s="1"/>
        <tr r="AN21" s="1"/>
        <tr r="AN33" s="1"/>
        <tr r="AN31" s="1"/>
        <tr r="AN27" s="1"/>
      </tp>
      <tp t="s">
        <v>N/A</v>
        <stp/>
        <stp>OPEN_INT</stp>
        <stp>.OPEN251014C15.5</stp>
        <tr r="E13" s="2"/>
      </tp>
      <tp t="s">
        <v>N/A</v>
        <stp/>
        <stp>OPEN_INT</stp>
        <stp>.OPEN251024C16.5</stp>
        <tr r="M11" s="2"/>
      </tp>
      <tp t="s">
        <v>N/A</v>
        <stp/>
        <stp>OPEN_INT</stp>
        <stp>.OPEN261120P16.5</stp>
        <tr r="V15" s="1"/>
      </tp>
      <tp t="s">
        <v>N/A</v>
        <stp/>
        <stp>OPEN_INT</stp>
        <stp>.OPEN251013P15.5</stp>
        <tr r="D13" s="2"/>
      </tp>
      <tp t="s">
        <v>N/A</v>
        <stp/>
        <stp>OPEN_INT</stp>
        <stp>.OPEN251023P16.5</stp>
        <tr r="L11" s="2"/>
      </tp>
      <tp t="s">
        <v>N/A</v>
        <stp/>
        <stp>OPEN_INT</stp>
        <stp>.OPEN260320P16.5</stp>
        <tr r="N15" s="1"/>
      </tp>
      <tp t="s">
        <v>N/A</v>
        <stp/>
        <stp>OPEN_INT</stp>
        <stp>.OPEN260220P16.5</stp>
        <tr r="M15" s="1"/>
      </tp>
      <tp t="s">
        <v>N/A</v>
        <stp/>
        <stp>OPEN_INT</stp>
        <stp>.OPEN260320C16.5</stp>
        <tr r="N15" s="1"/>
      </tp>
      <tp t="s">
        <v>N/A</v>
        <stp/>
        <stp>OPEN_INT</stp>
        <stp>.OPEN260220C16.5</stp>
        <tr r="M15" s="1"/>
      </tp>
      <tp t="s">
        <v>N/A</v>
        <stp/>
        <stp>OPEN_INT</stp>
        <stp>.OPEN261120C16.5</stp>
        <tr r="V15" s="1"/>
      </tp>
      <tp t="s">
        <v>N/A</v>
        <stp/>
        <stp>OPEN_INT</stp>
        <stp>.OPEN251013C15.5</stp>
        <tr r="D13" s="2"/>
      </tp>
      <tp t="s">
        <v>N/A</v>
        <stp/>
        <stp>OPEN_INT</stp>
        <stp>.OPEN251023C16.5</stp>
        <tr r="L11" s="2"/>
      </tp>
      <tp t="s">
        <v>N/A</v>
        <stp/>
        <stp>OPEN_INT</stp>
        <stp>.OPEN251212P15.5</stp>
        <tr r="G17" s="1"/>
      </tp>
      <tp t="s">
        <v>N/A</v>
        <stp/>
        <stp>OPEN_INT</stp>
        <stp>.OPEN251022P16.5</stp>
        <tr r="K11" s="2"/>
      </tp>
      <tp t="s">
        <v>N/A</v>
        <stp/>
        <stp>OPEN_INT</stp>
        <stp>.OPEN260821P16.5</stp>
        <tr r="S15" s="1"/>
      </tp>
      <tp t="s">
        <v>N/A</v>
        <stp/>
        <stp>OPEN_INT</stp>
        <stp>.OPEN260821C16.5</stp>
        <tr r="S15" s="1"/>
      </tp>
      <tp t="s">
        <v>N/A</v>
        <stp/>
        <stp>OPEN_INT</stp>
        <stp>.OPEN251212C15.5</stp>
        <tr r="G17" s="1"/>
      </tp>
      <tp t="s">
        <v>N/A</v>
        <stp/>
        <stp>OPEN_INT</stp>
        <stp>.OPEN251022C16.5</stp>
        <tr r="K11" s="2"/>
      </tp>
      <tp t="s">
        <v>N/A</v>
        <stp/>
        <stp>OPEN_INT</stp>
        <stp>.OPEN251231P17.5</stp>
        <tr r="V9" s="2"/>
      </tp>
      <tp t="s">
        <v>N/A</v>
        <stp/>
        <stp>OPEN_INT</stp>
        <stp>.OPEN251121P16.5</stp>
        <tr r="D15" s="1"/>
        <tr r="S11" s="2"/>
      </tp>
      <tp t="s">
        <v>N/A</v>
        <stp/>
        <stp>OPEN_INT</stp>
        <stp>.OPEN251021P16.5</stp>
        <tr r="J11" s="2"/>
      </tp>
      <tp>
        <v>0</v>
        <stp/>
        <stp>OPEN_INT</stp>
        <stp>.OPEN251031P17.5</stp>
        <tr r="R9" s="2"/>
        <tr r="R9" s="2"/>
      </tp>
      <tp t="s">
        <v>N/A</v>
        <stp/>
        <stp>OPEN_INT</stp>
        <stp>.OPEN260102P14.5</stp>
        <tr r="J19" s="1"/>
      </tp>
      <tp t="s">
        <v>N/A</v>
        <stp/>
        <stp>OPEN_INT</stp>
        <stp>.OPEN260102C14.5</stp>
        <tr r="J19" s="1"/>
      </tp>
      <tp t="s">
        <v>N/A</v>
        <stp/>
        <stp>OPEN_INT</stp>
        <stp>.OPEN251231C17.5</stp>
        <tr r="V9" s="2"/>
      </tp>
      <tp t="s">
        <v>N/A</v>
        <stp/>
        <stp>OPEN_INT</stp>
        <stp>.OPEN251121C16.5</stp>
        <tr r="D15" s="1"/>
        <tr r="S11" s="2"/>
      </tp>
      <tp t="s">
        <v>N/A</v>
        <stp/>
        <stp>OPEN_INT</stp>
        <stp>.OPEN251021C16.5</stp>
        <tr r="J11" s="2"/>
      </tp>
      <tp>
        <v>53</v>
        <stp/>
        <stp>OPEN_INT</stp>
        <stp>.OPEN251031C17.5</stp>
        <tr r="R9" s="2"/>
        <tr r="R9" s="2"/>
      </tp>
      <tp>
        <v>0</v>
        <stp/>
        <stp>OPEN_INT</stp>
        <stp>.OPEN251010P15.5</stp>
        <tr r="C13" s="2"/>
        <tr r="C13" s="2"/>
      </tp>
      <tp t="s">
        <v>N/A</v>
        <stp/>
        <stp>OPEN_INT</stp>
        <stp>.OPEN251020P16.5</stp>
        <tr r="I11" s="2"/>
      </tp>
      <tp t="s">
        <v>N/A</v>
        <stp/>
        <stp>OPEN_INT</stp>
        <stp>.OPEN251030P17.5</stp>
        <tr r="Q9" s="2"/>
      </tp>
      <tp>
        <v>1081</v>
        <stp/>
        <stp>OPEN_INT</stp>
        <stp>.OPEN251010C15.5</stp>
        <tr r="C13" s="2"/>
        <tr r="C13" s="2"/>
      </tp>
      <tp t="s">
        <v>N/A</v>
        <stp/>
        <stp>OPEN_INT</stp>
        <stp>.OPEN251020C16.5</stp>
        <tr r="I11" s="2"/>
      </tp>
      <tp t="s">
        <v>N/A</v>
        <stp/>
        <stp>OPEN_INT</stp>
        <stp>.OPEN251030C17.5</stp>
        <tr r="Q9" s="2"/>
      </tp>
      <tp t="s">
        <v>N/A</v>
        <stp/>
        <stp>VOLUME</stp>
        <stp>.OPEN261016C-1</stp>
        <tr r="U50" s="5"/>
      </tp>
      <tp t="s">
        <v>N/A</v>
        <stp/>
        <stp>VOLUME</stp>
        <stp>.OPEN251114C-1</stp>
        <tr r="C50" s="5"/>
      </tp>
      <tp t="s">
        <v>N/A</v>
        <stp/>
        <stp>VOLUME</stp>
        <stp>.OPEN251128C-1</stp>
        <tr r="E50" s="5"/>
      </tp>
      <tp t="s">
        <v>N/A</v>
        <stp/>
        <stp>VOLUME</stp>
        <stp>.OPEN251121C-1</stp>
        <tr r="D50" s="5"/>
      </tp>
      <tp t="s">
        <v>N/A</v>
        <stp/>
        <stp>VOLUME</stp>
        <stp>.OPEN261120C-1</stp>
        <tr r="V50" s="5"/>
      </tp>
      <tp t="s">
        <v>N/A</v>
        <stp/>
        <stp>VOLUME</stp>
        <stp>.OPEN251205C-1</stp>
        <tr r="F50" s="5"/>
      </tp>
      <tp t="s">
        <v>N/A</v>
        <stp/>
        <stp>VOLUME</stp>
        <stp>.OPEN251219C-1</stp>
        <tr r="H50" s="5"/>
      </tp>
      <tp t="s">
        <v>N/A</v>
        <stp/>
        <stp>VOLUME</stp>
        <stp>.OPEN261218C-1</stp>
        <tr r="W50" s="5"/>
      </tp>
      <tp t="s">
        <v>N/A</v>
        <stp/>
        <stp>VOLUME</stp>
        <stp>.OPEN251212C-1</stp>
        <tr r="G50" s="5"/>
      </tp>
      <tp t="s">
        <v>N/A</v>
        <stp/>
        <stp>VOLUME</stp>
        <stp>.OPEN251226C-1</stp>
        <tr r="I50" s="5"/>
      </tp>
      <tp t="s">
        <v>N/A</v>
        <stp/>
        <stp>VOLUME</stp>
        <stp>.OPEN261016C18</stp>
        <tr r="U12" s="5"/>
      </tp>
      <tp t="s">
        <v>N/A</v>
        <stp/>
        <stp>VOLUME</stp>
        <stp>.OPEN261016C19</stp>
        <tr r="U10" s="5"/>
      </tp>
      <tp t="s">
        <v>N/A</v>
        <stp/>
        <stp>VOLUME</stp>
        <stp>.OPEN261016C14</stp>
        <tr r="U20" s="5"/>
      </tp>
      <tp t="s">
        <v>N/A</v>
        <stp/>
        <stp>VOLUME</stp>
        <stp>.OPEN261016C15</stp>
        <tr r="U18" s="5"/>
      </tp>
      <tp t="s">
        <v>N/A</v>
        <stp/>
        <stp>VOLUME</stp>
        <stp>.OPEN261016C16</stp>
        <tr r="U16" s="5"/>
      </tp>
      <tp t="s">
        <v>N/A</v>
        <stp/>
        <stp>VOLUME</stp>
        <stp>.OPEN261016C17</stp>
        <tr r="U14" s="5"/>
      </tp>
      <tp t="s">
        <v>N/A</v>
        <stp/>
        <stp>VOLUME</stp>
        <stp>.OPEN261016C10</stp>
        <tr r="U28" s="5"/>
      </tp>
      <tp t="s">
        <v>N/A</v>
        <stp/>
        <stp>VOLUME</stp>
        <stp>.OPEN261016C11</stp>
        <tr r="U26" s="5"/>
      </tp>
      <tp t="s">
        <v>N/A</v>
        <stp/>
        <stp>VOLUME</stp>
        <stp>.OPEN261016C12</stp>
        <tr r="U24" s="5"/>
      </tp>
      <tp t="s">
        <v>N/A</v>
        <stp/>
        <stp>VOLUME</stp>
        <stp>.OPEN261016C13</stp>
        <tr r="U22" s="5"/>
      </tp>
      <tp t="s">
        <v>N/A</v>
        <stp/>
        <stp>VOLUME</stp>
        <stp>.OPEN251114C18</stp>
        <tr r="C12" s="5"/>
      </tp>
      <tp t="s">
        <v>N/A</v>
        <stp/>
        <stp>VOLUME</stp>
        <stp>.OPEN251114C19</stp>
        <tr r="C10" s="5"/>
      </tp>
      <tp t="s">
        <v>N/A</v>
        <stp/>
        <stp>VOLUME</stp>
        <stp>.OPEN251128C19</stp>
        <tr r="E10" s="5"/>
      </tp>
      <tp t="s">
        <v>N/A</v>
        <stp/>
        <stp>VOLUME</stp>
        <stp>.OPEN251121C19</stp>
        <tr r="D10" s="5"/>
      </tp>
      <tp t="s">
        <v>N/A</v>
        <stp/>
        <stp>VOLUME</stp>
        <stp>.OPEN261120C19</stp>
        <tr r="V10" s="5"/>
      </tp>
      <tp t="s">
        <v>N/A</v>
        <stp/>
        <stp>VOLUME</stp>
        <stp>.OPEN251128C18</stp>
        <tr r="E12" s="5"/>
      </tp>
      <tp t="s">
        <v>N/A</v>
        <stp/>
        <stp>VOLUME</stp>
        <stp>.OPEN251121C18</stp>
        <tr r="D12" s="5"/>
      </tp>
      <tp t="s">
        <v>N/A</v>
        <stp/>
        <stp>VOLUME</stp>
        <stp>.OPEN261120C18</stp>
        <tr r="V12" s="5"/>
      </tp>
      <tp t="s">
        <v>N/A</v>
        <stp/>
        <stp>VOLUME</stp>
        <stp>.OPEN251128C17</stp>
        <tr r="E14" s="5"/>
      </tp>
      <tp t="s">
        <v>N/A</v>
        <stp/>
        <stp>VOLUME</stp>
        <stp>.OPEN251121C17</stp>
        <tr r="D14" s="5"/>
      </tp>
      <tp t="s">
        <v>N/A</v>
        <stp/>
        <stp>VOLUME</stp>
        <stp>.OPEN261120C17</stp>
        <tr r="V14" s="5"/>
      </tp>
      <tp t="s">
        <v>N/A</v>
        <stp/>
        <stp>VOLUME</stp>
        <stp>.OPEN251114C14</stp>
        <tr r="C20" s="5"/>
      </tp>
      <tp t="s">
        <v>N/A</v>
        <stp/>
        <stp>VOLUME</stp>
        <stp>.OPEN251128C16</stp>
        <tr r="E16" s="5"/>
      </tp>
      <tp t="s">
        <v>N/A</v>
        <stp/>
        <stp>VOLUME</stp>
        <stp>.OPEN251121C16</stp>
        <tr r="D16" s="5"/>
      </tp>
      <tp t="s">
        <v>N/A</v>
        <stp/>
        <stp>VOLUME</stp>
        <stp>.OPEN261120C16</stp>
        <tr r="V16" s="5"/>
      </tp>
      <tp t="s">
        <v>N/A</v>
        <stp/>
        <stp>VOLUME</stp>
        <stp>.OPEN251114C15</stp>
        <tr r="C18" s="5"/>
      </tp>
      <tp t="s">
        <v>N/A</v>
        <stp/>
        <stp>VOLUME</stp>
        <stp>.OPEN251128C15</stp>
        <tr r="E18" s="5"/>
      </tp>
      <tp t="s">
        <v>N/A</v>
        <stp/>
        <stp>VOLUME</stp>
        <stp>.OPEN251121C15</stp>
        <tr r="D18" s="5"/>
      </tp>
      <tp t="s">
        <v>N/A</v>
        <stp/>
        <stp>VOLUME</stp>
        <stp>.OPEN261120C15</stp>
        <tr r="V18" s="5"/>
      </tp>
      <tp t="s">
        <v>N/A</v>
        <stp/>
        <stp>VOLUME</stp>
        <stp>.OPEN251114C16</stp>
        <tr r="C16" s="5"/>
      </tp>
      <tp t="s">
        <v>N/A</v>
        <stp/>
        <stp>VOLUME</stp>
        <stp>.OPEN251128C14</stp>
        <tr r="E20" s="5"/>
      </tp>
      <tp t="s">
        <v>N/A</v>
        <stp/>
        <stp>VOLUME</stp>
        <stp>.OPEN251121C14</stp>
        <tr r="D20" s="5"/>
      </tp>
      <tp t="s">
        <v>N/A</v>
        <stp/>
        <stp>VOLUME</stp>
        <stp>.OPEN261120C14</stp>
        <tr r="V20" s="5"/>
      </tp>
      <tp t="s">
        <v>N/A</v>
        <stp/>
        <stp>VOLUME</stp>
        <stp>.OPEN251114C17</stp>
        <tr r="C14" s="5"/>
      </tp>
      <tp t="s">
        <v>N/A</v>
        <stp/>
        <stp>VOLUME</stp>
        <stp>.OPEN251128C13</stp>
        <tr r="E22" s="5"/>
      </tp>
      <tp t="s">
        <v>N/A</v>
        <stp/>
        <stp>VOLUME</stp>
        <stp>.OPEN251219C20</stp>
        <tr r="H8" s="5"/>
      </tp>
      <tp t="s">
        <v>N/A</v>
        <stp/>
        <stp>VOLUME</stp>
        <stp>.OPEN261218C20</stp>
        <tr r="W8" s="5"/>
      </tp>
      <tp t="s">
        <v>N/A</v>
        <stp/>
        <stp>VOLUME</stp>
        <stp>.OPEN251121C13</stp>
        <tr r="D22" s="5"/>
      </tp>
      <tp t="s">
        <v>N/A</v>
        <stp/>
        <stp>VOLUME</stp>
        <stp>.OPEN251212C20</stp>
        <tr r="G8" s="5"/>
      </tp>
      <tp t="s">
        <v>N/A</v>
        <stp/>
        <stp>VOLUME</stp>
        <stp>.OPEN261120C13</stp>
        <tr r="V22" s="5"/>
      </tp>
      <tp t="s">
        <v>N/A</v>
        <stp/>
        <stp>VOLUME</stp>
        <stp>.OPEN251114C10</stp>
        <tr r="C28" s="5"/>
      </tp>
      <tp t="s">
        <v>N/A</v>
        <stp/>
        <stp>VOLUME</stp>
        <stp>.OPEN251205C21</stp>
        <tr r="F6" s="5"/>
      </tp>
      <tp t="s">
        <v>N/A</v>
        <stp/>
        <stp>VOLUME</stp>
        <stp>.OPEN251128C12</stp>
        <tr r="E24" s="5"/>
      </tp>
      <tp t="s">
        <v>N/A</v>
        <stp/>
        <stp>VOLUME</stp>
        <stp>.OPEN251219C21</stp>
        <tr r="H6" s="5"/>
      </tp>
      <tp t="s">
        <v>N/A</v>
        <stp/>
        <stp>VOLUME</stp>
        <stp>.OPEN261218C21</stp>
        <tr r="W6" s="5"/>
      </tp>
      <tp t="s">
        <v>N/A</v>
        <stp/>
        <stp>VOLUME</stp>
        <stp>.OPEN251121C12</stp>
        <tr r="D24" s="5"/>
      </tp>
      <tp t="s">
        <v>N/A</v>
        <stp/>
        <stp>VOLUME</stp>
        <stp>.OPEN251212C21</stp>
        <tr r="G6" s="5"/>
      </tp>
      <tp t="s">
        <v>N/A</v>
        <stp/>
        <stp>VOLUME</stp>
        <stp>.OPEN261120C12</stp>
        <tr r="V24" s="5"/>
      </tp>
      <tp t="s">
        <v>N/A</v>
        <stp/>
        <stp>VOLUME</stp>
        <stp>.OPEN251114C11</stp>
        <tr r="C26" s="5"/>
      </tp>
      <tp t="s">
        <v>N/A</v>
        <stp/>
        <stp>VOLUME</stp>
        <stp>.OPEN251205C20</stp>
        <tr r="F8" s="5"/>
      </tp>
      <tp t="s">
        <v>N/A</v>
        <stp/>
        <stp>VOLUME</stp>
        <stp>.OPEN251128C11</stp>
        <tr r="E26" s="5"/>
      </tp>
      <tp t="s">
        <v>N/A</v>
        <stp/>
        <stp>VOLUME</stp>
        <stp>.OPEN251121C11</stp>
        <tr r="D26" s="5"/>
      </tp>
      <tp t="s">
        <v>N/A</v>
        <stp/>
        <stp>VOLUME</stp>
        <stp>.OPEN261120C11</stp>
        <tr r="V26" s="5"/>
      </tp>
      <tp t="s">
        <v>N/A</v>
        <stp/>
        <stp>VOLUME</stp>
        <stp>.OPEN251114C12</stp>
        <tr r="C24" s="5"/>
      </tp>
      <tp t="s">
        <v>N/A</v>
        <stp/>
        <stp>VOLUME</stp>
        <stp>.OPEN251226C21</stp>
        <tr r="I6" s="5"/>
      </tp>
      <tp t="s">
        <v>N/A</v>
        <stp/>
        <stp>VOLUME</stp>
        <stp>.OPEN251128C10</stp>
        <tr r="E28" s="5"/>
      </tp>
      <tp t="s">
        <v>N/A</v>
        <stp/>
        <stp>VOLUME</stp>
        <stp>.OPEN251121C10</stp>
        <tr r="D28" s="5"/>
      </tp>
      <tp t="s">
        <v>N/A</v>
        <stp/>
        <stp>VOLUME</stp>
        <stp>.OPEN261120C10</stp>
        <tr r="V28" s="5"/>
      </tp>
      <tp t="s">
        <v>N/A</v>
        <stp/>
        <stp>VOLUME</stp>
        <stp>.OPEN251114C13</stp>
        <tr r="C22" s="5"/>
      </tp>
      <tp t="s">
        <v>N/A</v>
        <stp/>
        <stp>VOLUME</stp>
        <stp>.OPEN251226C20</stp>
        <tr r="I8" s="5"/>
      </tp>
      <tp t="s">
        <v>N/A</v>
        <stp/>
        <stp>VOLUME</stp>
        <stp>.OPEN251219C18</stp>
        <tr r="H12" s="5"/>
      </tp>
      <tp t="s">
        <v>N/A</v>
        <stp/>
        <stp>VOLUME</stp>
        <stp>.OPEN261218C18</stp>
        <tr r="W12" s="5"/>
      </tp>
      <tp t="s">
        <v>N/A</v>
        <stp/>
        <stp>VOLUME</stp>
        <stp>.OPEN251212C18</stp>
        <tr r="G12" s="5"/>
      </tp>
      <tp t="s">
        <v>N/A</v>
        <stp/>
        <stp>VOLUME</stp>
        <stp>.OPEN251205C19</stp>
        <tr r="F10" s="5"/>
      </tp>
      <tp t="s">
        <v>N/A</v>
        <stp/>
        <stp>VOLUME</stp>
        <stp>.OPEN251219C19</stp>
        <tr r="H10" s="5"/>
      </tp>
      <tp t="s">
        <v>N/A</v>
        <stp/>
        <stp>VOLUME</stp>
        <stp>.OPEN261218C19</stp>
        <tr r="W10" s="5"/>
      </tp>
      <tp t="s">
        <v>N/A</v>
        <stp/>
        <stp>VOLUME</stp>
        <stp>.OPEN251212C19</stp>
        <tr r="G10" s="5"/>
      </tp>
      <tp t="s">
        <v>N/A</v>
        <stp/>
        <stp>VOLUME</stp>
        <stp>.OPEN251205C18</stp>
        <tr r="F12" s="5"/>
      </tp>
      <tp t="s">
        <v>N/A</v>
        <stp/>
        <stp>VOLUME</stp>
        <stp>.OPEN251226C19</stp>
        <tr r="I10" s="5"/>
      </tp>
      <tp t="s">
        <v>N/A</v>
        <stp/>
        <stp>VOLUME</stp>
        <stp>.OPEN251226C18</stp>
        <tr r="I12" s="5"/>
      </tp>
      <tp t="s">
        <v>N/A</v>
        <stp/>
        <stp>VOLUME</stp>
        <stp>.OPEN251219C14</stp>
        <tr r="H20" s="5"/>
      </tp>
      <tp t="s">
        <v>N/A</v>
        <stp/>
        <stp>VOLUME</stp>
        <stp>.OPEN261218C14</stp>
        <tr r="W20" s="5"/>
      </tp>
      <tp t="s">
        <v>N/A</v>
        <stp/>
        <stp>VOLUME</stp>
        <stp>.OPEN251212C14</stp>
        <tr r="G20" s="5"/>
      </tp>
      <tp t="s">
        <v>N/A</v>
        <stp/>
        <stp>VOLUME</stp>
        <stp>.OPEN251205C15</stp>
        <tr r="F18" s="5"/>
      </tp>
      <tp t="s">
        <v>N/A</v>
        <stp/>
        <stp>VOLUME</stp>
        <stp>.OPEN251226C17</stp>
        <tr r="I14" s="5"/>
      </tp>
      <tp t="s">
        <v>N/A</v>
        <stp/>
        <stp>VOLUME</stp>
        <stp>.OPEN251219C15</stp>
        <tr r="H18" s="5"/>
      </tp>
      <tp t="s">
        <v>N/A</v>
        <stp/>
        <stp>VOLUME</stp>
        <stp>.OPEN261218C15</stp>
        <tr r="W18" s="5"/>
      </tp>
      <tp t="s">
        <v>N/A</v>
        <stp/>
        <stp>VOLUME</stp>
        <stp>.OPEN251212C15</stp>
        <tr r="G18" s="5"/>
      </tp>
      <tp t="s">
        <v>N/A</v>
        <stp/>
        <stp>VOLUME</stp>
        <stp>.OPEN251205C14</stp>
        <tr r="F20" s="5"/>
      </tp>
      <tp t="s">
        <v>N/A</v>
        <stp/>
        <stp>VOLUME</stp>
        <stp>.OPEN251226C16</stp>
        <tr r="I16" s="5"/>
      </tp>
      <tp t="s">
        <v>N/A</v>
        <stp/>
        <stp>VOLUME</stp>
        <stp>.OPEN251219C16</stp>
        <tr r="H16" s="5"/>
      </tp>
      <tp t="s">
        <v>N/A</v>
        <stp/>
        <stp>VOLUME</stp>
        <stp>.OPEN261218C16</stp>
        <tr r="W16" s="5"/>
      </tp>
      <tp t="s">
        <v>N/A</v>
        <stp/>
        <stp>VOLUME</stp>
        <stp>.OPEN251212C16</stp>
        <tr r="G16" s="5"/>
      </tp>
      <tp t="s">
        <v>N/A</v>
        <stp/>
        <stp>VOLUME</stp>
        <stp>.OPEN251205C17</stp>
        <tr r="F14" s="5"/>
      </tp>
      <tp t="s">
        <v>N/A</v>
        <stp/>
        <stp>VOLUME</stp>
        <stp>.OPEN251226C15</stp>
        <tr r="I18" s="5"/>
      </tp>
      <tp t="s">
        <v>N/A</v>
        <stp/>
        <stp>VOLUME</stp>
        <stp>.OPEN251219C17</stp>
        <tr r="H14" s="5"/>
      </tp>
      <tp t="s">
        <v>N/A</v>
        <stp/>
        <stp>VOLUME</stp>
        <stp>.OPEN261218C17</stp>
        <tr r="W14" s="5"/>
      </tp>
      <tp t="s">
        <v>N/A</v>
        <stp/>
        <stp>VOLUME</stp>
        <stp>.OPEN251212C17</stp>
        <tr r="G14" s="5"/>
      </tp>
      <tp t="s">
        <v>N/A</v>
        <stp/>
        <stp>VOLUME</stp>
        <stp>.OPEN251205C16</stp>
        <tr r="F16" s="5"/>
      </tp>
      <tp t="s">
        <v>N/A</v>
        <stp/>
        <stp>VOLUME</stp>
        <stp>.OPEN251226C14</stp>
        <tr r="I20" s="5"/>
      </tp>
      <tp t="s">
        <v>N/A</v>
        <stp/>
        <stp>VOLUME</stp>
        <stp>.OPEN251219C10</stp>
        <tr r="H28" s="5"/>
      </tp>
      <tp t="s">
        <v>N/A</v>
        <stp/>
        <stp>VOLUME</stp>
        <stp>.OPEN261218C10</stp>
        <tr r="W28" s="5"/>
      </tp>
      <tp t="s">
        <v>N/A</v>
        <stp/>
        <stp>VOLUME</stp>
        <stp>.OPEN251212C10</stp>
        <tr r="G28" s="5"/>
      </tp>
      <tp t="s">
        <v>N/A</v>
        <stp/>
        <stp>VOLUME</stp>
        <stp>.OPEN251114C20</stp>
        <tr r="C8" s="5"/>
      </tp>
      <tp t="s">
        <v>N/A</v>
        <stp/>
        <stp>VOLUME</stp>
        <stp>.OPEN251205C11</stp>
        <tr r="F26" s="5"/>
      </tp>
      <tp t="s">
        <v>N/A</v>
        <stp/>
        <stp>VOLUME</stp>
        <stp>.OPEN251226C13</stp>
        <tr r="I22" s="5"/>
      </tp>
      <tp t="s">
        <v>N/A</v>
        <stp/>
        <stp>VOLUME</stp>
        <stp>.OPEN251219C11</stp>
        <tr r="H26" s="5"/>
      </tp>
      <tp t="s">
        <v>N/A</v>
        <stp/>
        <stp>VOLUME</stp>
        <stp>.OPEN261218C11</stp>
        <tr r="W26" s="5"/>
      </tp>
      <tp t="s">
        <v>N/A</v>
        <stp/>
        <stp>VOLUME</stp>
        <stp>.OPEN251212C11</stp>
        <tr r="G26" s="5"/>
      </tp>
      <tp t="s">
        <v>N/A</v>
        <stp/>
        <stp>VOLUME</stp>
        <stp>.OPEN251114C21</stp>
        <tr r="C6" s="5"/>
      </tp>
      <tp t="s">
        <v>N/A</v>
        <stp/>
        <stp>VOLUME</stp>
        <stp>.OPEN251205C10</stp>
        <tr r="F28" s="5"/>
      </tp>
      <tp t="s">
        <v>N/A</v>
        <stp/>
        <stp>VOLUME</stp>
        <stp>.OPEN251226C12</stp>
        <tr r="I24" s="5"/>
      </tp>
      <tp t="s">
        <v>N/A</v>
        <stp/>
        <stp>VOLUME</stp>
        <stp>.OPEN251128C21</stp>
        <tr r="E6" s="5"/>
      </tp>
      <tp t="s">
        <v>N/A</v>
        <stp/>
        <stp>VOLUME</stp>
        <stp>.OPEN251219C12</stp>
        <tr r="H24" s="5"/>
      </tp>
      <tp t="s">
        <v>N/A</v>
        <stp/>
        <stp>VOLUME</stp>
        <stp>.OPEN261218C12</stp>
        <tr r="W24" s="5"/>
      </tp>
      <tp t="s">
        <v>N/A</v>
        <stp/>
        <stp>VOLUME</stp>
        <stp>.OPEN251121C21</stp>
        <tr r="D6" s="5"/>
      </tp>
      <tp t="s">
        <v>N/A</v>
        <stp/>
        <stp>VOLUME</stp>
        <stp>.OPEN251212C12</stp>
        <tr r="G24" s="5"/>
      </tp>
      <tp t="s">
        <v>N/A</v>
        <stp/>
        <stp>VOLUME</stp>
        <stp>.OPEN261120C21</stp>
        <tr r="V6" s="5"/>
      </tp>
      <tp t="s">
        <v>N/A</v>
        <stp/>
        <stp>VOLUME</stp>
        <stp>.OPEN251205C13</stp>
        <tr r="F22" s="5"/>
      </tp>
      <tp t="s">
        <v>N/A</v>
        <stp/>
        <stp>VOLUME</stp>
        <stp>.OPEN251226C11</stp>
        <tr r="I26" s="5"/>
      </tp>
      <tp t="s">
        <v>N/A</v>
        <stp/>
        <stp>VOLUME</stp>
        <stp>.OPEN251128C20</stp>
        <tr r="E8" s="5"/>
      </tp>
      <tp t="s">
        <v>N/A</v>
        <stp/>
        <stp>VOLUME</stp>
        <stp>.OPEN251219C13</stp>
        <tr r="H22" s="5"/>
      </tp>
      <tp t="s">
        <v>N/A</v>
        <stp/>
        <stp>VOLUME</stp>
        <stp>.OPEN261218C13</stp>
        <tr r="W22" s="5"/>
      </tp>
      <tp t="s">
        <v>N/A</v>
        <stp/>
        <stp>VOLUME</stp>
        <stp>.OPEN251121C20</stp>
        <tr r="D8" s="5"/>
      </tp>
      <tp t="s">
        <v>N/A</v>
        <stp/>
        <stp>VOLUME</stp>
        <stp>.OPEN251212C13</stp>
        <tr r="G22" s="5"/>
      </tp>
      <tp t="s">
        <v>N/A</v>
        <stp/>
        <stp>VOLUME</stp>
        <stp>.OPEN261120C20</stp>
        <tr r="V8" s="5"/>
      </tp>
      <tp t="s">
        <v>N/A</v>
        <stp/>
        <stp>VOLUME</stp>
        <stp>.OPEN251205C12</stp>
        <tr r="F24" s="5"/>
      </tp>
      <tp t="s">
        <v>N/A</v>
        <stp/>
        <stp>VOLUME</stp>
        <stp>.OPEN251226C10</stp>
        <tr r="I28" s="5"/>
      </tp>
      <tp t="s">
        <v>N/A</v>
        <stp/>
        <stp>VOLUME</stp>
        <stp>.OPEN261016C20</stp>
        <tr r="U8" s="5"/>
      </tp>
      <tp t="s">
        <v>N/A</v>
        <stp/>
        <stp>VOLUME</stp>
        <stp>.OPEN261016C21</stp>
        <tr r="U6" s="5"/>
      </tp>
      <tp t="s">
        <v>N/A</v>
        <stp/>
        <stp>OPEN_INT</stp>
        <stp>.OPEN261218P12.5</stp>
        <tr r="W23" s="1"/>
      </tp>
      <tp t="s">
        <v>N/A</v>
        <stp/>
        <stp>OPEN_INT</stp>
        <stp>.OPEN260918P12.5</stp>
        <tr r="T23" s="1"/>
      </tp>
      <tp t="s">
        <v>N/A</v>
        <stp/>
        <stp>OPEN_INT</stp>
        <stp>.OPEN260918C12.5</stp>
        <tr r="T23" s="1"/>
      </tp>
      <tp t="s">
        <v>N/A</v>
        <stp/>
        <stp>OPEN_INT</stp>
        <stp>.OPEN261218C12.5</stp>
        <tr r="W23" s="1"/>
      </tp>
      <tp t="s">
        <v>N/A</v>
        <stp/>
        <stp>OPEN_INT</stp>
        <stp>.OPEN260619P12.5</stp>
        <tr r="Q23" s="1"/>
      </tp>
      <tp t="s">
        <v>N/A</v>
        <stp/>
        <stp>OPEN_INT</stp>
        <stp>.OPEN260109P13.5</stp>
        <tr r="K21" s="1"/>
      </tp>
      <tp t="s">
        <v>N/A</v>
        <stp/>
        <stp>OPEN_INT</stp>
        <stp>.OPEN260619C12.5</stp>
        <tr r="Q23" s="1"/>
      </tp>
      <tp t="s">
        <v>N/A</v>
        <stp/>
        <stp>OPEN_INT</stp>
        <stp>.OPEN260109C13.5</stp>
        <tr r="K21" s="1"/>
      </tp>
      <tp t="s">
        <v>N/A</v>
        <stp/>
        <stp>OPEN_INT</stp>
        <stp>.OPEN251219P12.5</stp>
        <tr r="H23" s="1"/>
        <tr r="U19" s="2"/>
      </tp>
      <tp t="s">
        <v>N/A</v>
        <stp/>
        <stp>OPEN_INT</stp>
        <stp>.OPEN251009P13.5</stp>
        <tr r="B17" s="2"/>
      </tp>
      <tp t="s">
        <v>N/A</v>
        <stp/>
        <stp>OPEN_INT</stp>
        <stp>.OPEN251029P11.5</stp>
        <tr r="P21" s="2"/>
      </tp>
      <tp t="s">
        <v>N/A</v>
        <stp/>
        <stp>OPEN_INT</stp>
        <stp>.OPEN251219P-2.5</stp>
        <tr r="U49" s="2"/>
      </tp>
      <tp t="s">
        <v>N/A</v>
        <stp/>
        <stp>OPEN_INT</stp>
        <stp>.OPEN251009P-3.5</stp>
        <tr r="B51" s="2"/>
      </tp>
      <tp t="s">
        <v>N/A</v>
        <stp/>
        <stp>OPEN_INT</stp>
        <stp>.OPEN251029P-1.5</stp>
        <tr r="P47" s="2"/>
      </tp>
      <tp t="s">
        <v>N/A</v>
        <stp/>
        <stp>OPEN_INT</stp>
        <stp>.OPEN251219C12.5</stp>
        <tr r="H23" s="1"/>
        <tr r="U19" s="2"/>
      </tp>
      <tp t="s">
        <v>N/A</v>
        <stp/>
        <stp>OPEN_INT</stp>
        <stp>.OPEN251009C13.5</stp>
        <tr r="B17" s="2"/>
      </tp>
      <tp t="s">
        <v>N/A</v>
        <stp/>
        <stp>OPEN_INT</stp>
        <stp>.OPEN251029C11.5</stp>
        <tr r="P21" s="2"/>
      </tp>
      <tp t="s">
        <v>N/A</v>
        <stp/>
        <stp>OPEN_INT</stp>
        <stp>.OPEN251219C-2.5</stp>
        <tr r="U49" s="2"/>
      </tp>
      <tp t="s">
        <v>N/A</v>
        <stp/>
        <stp>OPEN_INT</stp>
        <stp>.OPEN251009C-3.5</stp>
        <tr r="B51" s="2"/>
      </tp>
      <tp t="s">
        <v>N/A</v>
        <stp/>
        <stp>OPEN_INT</stp>
        <stp>.OPEN251029C-1.5</stp>
        <tr r="P47" s="2"/>
      </tp>
      <tp t="s">
        <v>N/A</v>
        <stp/>
        <stp>OPEN_INT</stp>
        <stp>.OPEN251128P21.5</stp>
        <tr r="E5" s="1"/>
      </tp>
      <tp>
        <v>51</v>
        <stp/>
        <stp>OPEN_INT</stp>
        <stp>.OPEN251128P11.5</stp>
        <tr r="E25" s="1"/>
        <tr r="E25" s="1"/>
        <tr r="T21" s="2"/>
        <tr r="T21" s="2"/>
      </tp>
      <tp t="s">
        <v>N/A</v>
        <stp/>
        <stp>OPEN_INT</stp>
        <stp>.OPEN251028P11.5</stp>
        <tr r="O21" s="2"/>
      </tp>
      <tp t="s">
        <v>N/A</v>
        <stp/>
        <stp>OPEN_INT</stp>
        <stp>.OPEN251128P-1.5</stp>
        <tr r="E51" s="1"/>
        <tr r="T47" s="2"/>
      </tp>
      <tp t="s">
        <v>N/A</v>
        <stp/>
        <stp>OPEN_INT</stp>
        <stp>.OPEN251028P-1.5</stp>
        <tr r="O47" s="2"/>
      </tp>
      <tp t="s">
        <v>N/A</v>
        <stp/>
        <stp>OPEN_INT</stp>
        <stp>.OPEN251128C21.5</stp>
        <tr r="E5" s="1"/>
      </tp>
      <tp>
        <v>203</v>
        <stp/>
        <stp>OPEN_INT</stp>
        <stp>.OPEN251128C11.5</stp>
        <tr r="E25" s="1"/>
        <tr r="E25" s="1"/>
        <tr r="T21" s="2"/>
        <tr r="T21" s="2"/>
      </tp>
      <tp t="s">
        <v>N/A</v>
        <stp/>
        <stp>OPEN_INT</stp>
        <stp>.OPEN251028C11.5</stp>
        <tr r="O21" s="2"/>
      </tp>
      <tp t="s">
        <v>N/A</v>
        <stp/>
        <stp>OPEN_INT</stp>
        <stp>.OPEN251128C-1.5</stp>
        <tr r="E51" s="1"/>
        <tr r="T47" s="2"/>
      </tp>
      <tp t="s">
        <v>N/A</v>
        <stp/>
        <stp>OPEN_INT</stp>
        <stp>.OPEN251028C-1.5</stp>
        <tr r="O47" s="2"/>
      </tp>
      <tp>
        <v>1</v>
        <stp/>
        <stp>OPEN_INT</stp>
        <stp>.OPEN251017P12.5</stp>
        <tr r="H19" s="2"/>
        <tr r="H19" s="2"/>
      </tp>
      <tp t="s">
        <v>N/A</v>
        <stp/>
        <stp>OPEN_INT</stp>
        <stp>.OPEN251027P11.5</stp>
        <tr r="N21" s="2"/>
      </tp>
      <tp t="s">
        <v>N/A</v>
        <stp/>
        <stp>OPEN_INT</stp>
        <stp>.OPEN251017P-2.5</stp>
        <tr r="H49" s="2"/>
      </tp>
      <tp t="s">
        <v>N/A</v>
        <stp/>
        <stp>OPEN_INT</stp>
        <stp>.OPEN251027P-1.5</stp>
        <tr r="N47" s="2"/>
      </tp>
      <tp>
        <v>3557</v>
        <stp/>
        <stp>OPEN_INT</stp>
        <stp>.OPEN251017C12.5</stp>
        <tr r="H19" s="2"/>
        <tr r="H19" s="2"/>
      </tp>
      <tp t="s">
        <v>N/A</v>
        <stp/>
        <stp>OPEN_INT</stp>
        <stp>.OPEN251027C11.5</stp>
        <tr r="N21" s="2"/>
      </tp>
      <tp t="s">
        <v>N/A</v>
        <stp/>
        <stp>OPEN_INT</stp>
        <stp>.OPEN251017C-2.5</stp>
        <tr r="H49" s="2"/>
      </tp>
      <tp t="s">
        <v>N/A</v>
        <stp/>
        <stp>OPEN_INT</stp>
        <stp>.OPEN251027C-1.5</stp>
        <tr r="N47" s="2"/>
      </tp>
      <tp>
        <v>0</v>
        <stp/>
        <stp>OPEN_INT</stp>
        <stp>.OPEN251226P11.5</stp>
        <tr r="I25" s="1"/>
        <tr r="I25" s="1"/>
      </tp>
      <tp t="s">
        <v>N/A</v>
        <stp/>
        <stp>OPEN_INT</stp>
        <stp>.OPEN251226P21.5</stp>
        <tr r="I5" s="1"/>
      </tp>
      <tp t="s">
        <v>N/A</v>
        <stp/>
        <stp>OPEN_INT</stp>
        <stp>.OPEN251016P12.5</stp>
        <tr r="G19" s="2"/>
      </tp>
      <tp t="s">
        <v>N/A</v>
        <stp/>
        <stp>OPEN_INT</stp>
        <stp>.OPEN251226P-1.5</stp>
        <tr r="I51" s="1"/>
      </tp>
      <tp t="s">
        <v>N/A</v>
        <stp/>
        <stp>OPEN_INT</stp>
        <stp>.OPEN251016P-2.5</stp>
        <tr r="G49" s="2"/>
      </tp>
      <tp t="s">
        <v>N/A</v>
        <stp/>
        <stp>OPEN_INT</stp>
        <stp>.OPEN260515P12.5</stp>
        <tr r="P23" s="1"/>
      </tp>
      <tp t="s">
        <v>N/A</v>
        <stp/>
        <stp>OPEN_INT</stp>
        <stp>.OPEN260515C12.5</stp>
        <tr r="P23" s="1"/>
      </tp>
      <tp>
        <v>0</v>
        <stp/>
        <stp>OPEN_INT</stp>
        <stp>.OPEN251226C11.5</stp>
        <tr r="I25" s="1"/>
        <tr r="I25" s="1"/>
      </tp>
      <tp t="s">
        <v>N/A</v>
        <stp/>
        <stp>OPEN_INT</stp>
        <stp>.OPEN251226C21.5</stp>
        <tr r="I5" s="1"/>
      </tp>
      <tp t="s">
        <v>N/A</v>
        <stp/>
        <stp>OPEN_INT</stp>
        <stp>.OPEN251016C12.5</stp>
        <tr r="G19" s="2"/>
      </tp>
      <tp t="s">
        <v>N/A</v>
        <stp/>
        <stp>OPEN_INT</stp>
        <stp>.OPEN251226C-1.5</stp>
        <tr r="I51" s="1"/>
      </tp>
      <tp t="s">
        <v>N/A</v>
        <stp/>
        <stp>OPEN_INT</stp>
        <stp>.OPEN251016C-2.5</stp>
        <tr r="G49" s="2"/>
      </tp>
      <tp t="s">
        <v>N/A</v>
        <stp/>
        <stp>OPEN_INT</stp>
        <stp>.OPEN251205P13.5</stp>
        <tr r="F21" s="1"/>
      </tp>
      <tp t="s">
        <v>N/A</v>
        <stp/>
        <stp>OPEN_INT</stp>
        <stp>.OPEN251015P12.5</stp>
        <tr r="F19" s="2"/>
      </tp>
      <tp t="s">
        <v>N/A</v>
        <stp/>
        <stp>OPEN_INT</stp>
        <stp>.OPEN261016P12.5</stp>
        <tr r="U23" s="1"/>
      </tp>
      <tp t="s">
        <v>N/A</v>
        <stp/>
        <stp>OPEN_INT</stp>
        <stp>.OPEN251015P-2.5</stp>
        <tr r="F49" s="2"/>
      </tp>
      <tp t="s">
        <v>N/A</v>
        <stp/>
        <stp>OPEN_INT</stp>
        <stp>.OPEN260116P12.5</stp>
        <tr r="L23" s="1"/>
        <tr r="W19" s="2"/>
      </tp>
      <tp t="s">
        <v>N/A</v>
        <stp/>
        <stp>OPEN_INT</stp>
        <stp>.OPEN260116P-2.5</stp>
        <tr r="W49" s="2"/>
      </tp>
      <tp t="s">
        <v>N/A</v>
        <stp/>
        <stp>OPEN_INT</stp>
        <stp>.OPEN260116C12.5</stp>
        <tr r="L23" s="1"/>
        <tr r="W19" s="2"/>
      </tp>
      <tp t="s">
        <v>N/A</v>
        <stp/>
        <stp>OPEN_INT</stp>
        <stp>.OPEN260116C-2.5</stp>
        <tr r="W49" s="2"/>
      </tp>
      <tp t="s">
        <v>N/A</v>
        <stp/>
        <stp>OPEN_INT</stp>
        <stp>.OPEN251205C13.5</stp>
        <tr r="F21" s="1"/>
      </tp>
      <tp t="s">
        <v>N/A</v>
        <stp/>
        <stp>OPEN_INT</stp>
        <stp>.OPEN251015C12.5</stp>
        <tr r="F19" s="2"/>
      </tp>
      <tp t="s">
        <v>N/A</v>
        <stp/>
        <stp>OPEN_INT</stp>
        <stp>.OPEN261016C12.5</stp>
        <tr r="U23" s="1"/>
      </tp>
      <tp t="s">
        <v>N/A</v>
        <stp/>
        <stp>OPEN_INT</stp>
        <stp>.OPEN251015C-2.5</stp>
        <tr r="F49" s="2"/>
      </tp>
      <tp>
        <v>70</v>
        <stp/>
        <stp>OPEN_INT</stp>
        <stp>.OPEN251114P12.5</stp>
        <tr r="AT52" s="1"/>
        <tr r="AT52" s="1"/>
        <tr r="AU52" s="5"/>
        <tr r="AU52" s="5"/>
        <tr r="C23" s="1"/>
        <tr r="C23" s="1"/>
        <tr r="AU5" s="5"/>
        <tr r="AU5" s="5"/>
        <tr r="AU49" s="5"/>
        <tr r="AU49" s="5"/>
        <tr r="AU9" s="5"/>
        <tr r="AU9" s="5"/>
        <tr r="AU45" s="5"/>
        <tr r="AU45" s="5"/>
        <tr r="AU43" s="5"/>
        <tr r="AU43" s="5"/>
        <tr r="AU15" s="5"/>
        <tr r="AU15" s="5"/>
        <tr r="AU17" s="5"/>
        <tr r="AU17" s="5"/>
        <tr r="AU19" s="5"/>
        <tr r="AU19" s="5"/>
        <tr r="AU21" s="5"/>
        <tr r="AU21" s="5"/>
        <tr r="AU33" s="5"/>
        <tr r="AU33" s="5"/>
        <tr r="AU31" s="5"/>
        <tr r="AU31" s="5"/>
        <tr r="AU27" s="5"/>
        <tr r="AU27" s="5"/>
        <tr r="AT51" s="1"/>
        <tr r="AT51" s="1"/>
        <tr r="AT49" s="1"/>
        <tr r="AT49" s="1"/>
        <tr r="AT9" s="1"/>
        <tr r="AT9" s="1"/>
        <tr r="AT11" s="1"/>
        <tr r="AT11" s="1"/>
        <tr r="AT43" s="1"/>
        <tr r="AT43" s="1"/>
        <tr r="AT41" s="1"/>
        <tr r="AT41" s="1"/>
        <tr r="AT17" s="1"/>
        <tr r="AT17" s="1"/>
        <tr r="AT37" s="1"/>
        <tr r="AT37" s="1"/>
        <tr r="AT35" s="1"/>
        <tr r="AT35" s="1"/>
        <tr r="AT33" s="1"/>
        <tr r="AT33" s="1"/>
        <tr r="AT31" s="1"/>
        <tr r="AT31" s="1"/>
        <tr r="AT29" s="1"/>
        <tr r="AT29" s="1"/>
        <tr r="AU6" s="5"/>
        <tr r="AU6" s="5"/>
        <tr r="AU8" s="5"/>
        <tr r="AU8" s="5"/>
        <tr r="AU46" s="5"/>
        <tr r="AU46" s="5"/>
        <tr r="AU44" s="5"/>
        <tr r="AU44" s="5"/>
        <tr r="AU42" s="5"/>
        <tr r="AU42" s="5"/>
        <tr r="AU40" s="5"/>
        <tr r="AU40" s="5"/>
        <tr r="AU18" s="5"/>
        <tr r="AU18" s="5"/>
        <tr r="AU20" s="5"/>
        <tr r="AU20" s="5"/>
        <tr r="AU22" s="5"/>
        <tr r="AU22" s="5"/>
        <tr r="AU32" s="5"/>
        <tr r="AU32" s="5"/>
        <tr r="AU30" s="5"/>
        <tr r="AU30" s="5"/>
        <tr r="AU28" s="5"/>
        <tr r="AU28" s="5"/>
        <tr r="AT50" s="1"/>
        <tr r="AT50" s="1"/>
        <tr r="AT8" s="1"/>
        <tr r="AT8" s="1"/>
        <tr r="AT10" s="1"/>
        <tr r="AT10" s="1"/>
        <tr r="AT44" s="1"/>
        <tr r="AT44" s="1"/>
        <tr r="AT42" s="1"/>
        <tr r="AT42" s="1"/>
        <tr r="AT40" s="1"/>
        <tr r="AT40" s="1"/>
        <tr r="AT18" s="1"/>
        <tr r="AT18" s="1"/>
        <tr r="AT36" s="1"/>
        <tr r="AT36" s="1"/>
        <tr r="AT34" s="1"/>
        <tr r="AT34" s="1"/>
        <tr r="AT32" s="1"/>
        <tr r="AT32" s="1"/>
        <tr r="AT26" s="1"/>
        <tr r="AT26" s="1"/>
        <tr r="AT28" s="1"/>
        <tr r="AT28" s="1"/>
        <tr r="AU50" s="5"/>
        <tr r="AU50" s="5"/>
        <tr r="AU48" s="5"/>
        <tr r="AU48" s="5"/>
        <tr r="AU10" s="5"/>
        <tr r="AU10" s="5"/>
        <tr r="AU12" s="5"/>
        <tr r="AU12" s="5"/>
        <tr r="AU14" s="5"/>
        <tr r="AU14" s="5"/>
        <tr r="AU16" s="5"/>
        <tr r="AU16" s="5"/>
        <tr r="AU38" s="5"/>
        <tr r="AU38" s="5"/>
        <tr r="AU36" s="5"/>
        <tr r="AU36" s="5"/>
        <tr r="AU34" s="5"/>
        <tr r="AU34" s="5"/>
        <tr r="AU24" s="5"/>
        <tr r="AU24" s="5"/>
        <tr r="AU26" s="5"/>
        <tr r="AU26" s="5"/>
        <tr r="AT6" s="1"/>
        <tr r="AT6" s="1"/>
        <tr r="AT48" s="1"/>
        <tr r="AT48" s="1"/>
        <tr r="AT46" s="1"/>
        <tr r="AT46" s="1"/>
        <tr r="AT12" s="1"/>
        <tr r="AT12" s="1"/>
        <tr r="AT14" s="1"/>
        <tr r="AT14" s="1"/>
        <tr r="AT16" s="1"/>
        <tr r="AT16" s="1"/>
        <tr r="AT38" s="1"/>
        <tr r="AT38" s="1"/>
        <tr r="AT20" s="1"/>
        <tr r="AT20" s="1"/>
        <tr r="AT22" s="1"/>
        <tr r="AT22" s="1"/>
        <tr r="AT24" s="1"/>
        <tr r="AT24" s="1"/>
        <tr r="AT30" s="1"/>
        <tr r="AT30" s="1"/>
        <tr r="AU51" s="5"/>
        <tr r="AU51" s="5"/>
        <tr r="AU7" s="5"/>
        <tr r="AU7" s="5"/>
        <tr r="AU47" s="5"/>
        <tr r="AU47" s="5"/>
        <tr r="AU11" s="5"/>
        <tr r="AU11" s="5"/>
        <tr r="AU13" s="5"/>
        <tr r="AU13" s="5"/>
        <tr r="AU41" s="5"/>
        <tr r="AU41" s="5"/>
        <tr r="AU39" s="5"/>
        <tr r="AU39" s="5"/>
        <tr r="AU37" s="5"/>
        <tr r="AU37" s="5"/>
        <tr r="AU35" s="5"/>
        <tr r="AU35" s="5"/>
        <tr r="AU23" s="5"/>
        <tr r="AU23" s="5"/>
        <tr r="AU25" s="5"/>
        <tr r="AU25" s="5"/>
        <tr r="AU29" s="5"/>
        <tr r="AU29" s="5"/>
        <tr r="AT5" s="1"/>
        <tr r="AT5" s="1"/>
        <tr r="AT7" s="1"/>
        <tr r="AT7" s="1"/>
        <tr r="AT47" s="1"/>
        <tr r="AT47" s="1"/>
        <tr r="AT45" s="1"/>
        <tr r="AT45" s="1"/>
        <tr r="AT13" s="1"/>
        <tr r="AT13" s="1"/>
        <tr r="AT15" s="1"/>
        <tr r="AT15" s="1"/>
        <tr r="AT39" s="1"/>
        <tr r="AT39" s="1"/>
        <tr r="AT19" s="1"/>
        <tr r="AT19" s="1"/>
        <tr r="AT21" s="1"/>
        <tr r="AT21" s="1"/>
        <tr r="AT23" s="1"/>
        <tr r="AT23" s="1"/>
        <tr r="AT25" s="1"/>
        <tr r="AT25" s="1"/>
        <tr r="AT27" s="1"/>
        <tr r="AT27" s="1"/>
      </tp>
      <tp t="s">
        <v>N/A</v>
        <stp/>
        <stp>OPEN_INT</stp>
        <stp>.OPEN251014P12.5</stp>
        <tr r="E19" s="2"/>
      </tp>
      <tp>
        <v>16</v>
        <stp/>
        <stp>OPEN_INT</stp>
        <stp>.OPEN251024P11.5</stp>
        <tr r="M21" s="2"/>
        <tr r="M21" s="2"/>
      </tp>
      <tp t="s">
        <v>N/A</v>
        <stp/>
        <stp>OPEN_INT</stp>
        <stp>.OPEN251014P-2.5</stp>
        <tr r="E49" s="2"/>
      </tp>
      <tp t="s">
        <v>N/A</v>
        <stp/>
        <stp>OPEN_INT</stp>
        <stp>.OPEN251024P-1.5</stp>
        <tr r="M47" s="2"/>
      </tp>
      <tp t="s">
        <v>N/A</v>
        <stp/>
        <stp>OPEN_INT</stp>
        <stp>.OPEN260717P12.5</stp>
        <tr r="R23" s="1"/>
      </tp>
      <tp t="s">
        <v>N/A</v>
        <stp/>
        <stp>OPEN_INT</stp>
        <stp>.OPEN260417P12.5</stp>
        <tr r="O23" s="1"/>
      </tp>
      <tp t="s">
        <v>N/A</v>
        <stp/>
        <stp>OPEN_INT</stp>
        <stp>.OPEN260717C12.5</stp>
        <tr r="R23" s="1"/>
      </tp>
      <tp t="s">
        <v>N/A</v>
        <stp/>
        <stp>OPEN_INT</stp>
        <stp>.OPEN260417C12.5</stp>
        <tr r="O23" s="1"/>
      </tp>
      <tp>
        <v>1402</v>
        <stp/>
        <stp>OPEN_INT</stp>
        <stp>.OPEN251114C12.5</stp>
        <tr r="AT52" s="1"/>
        <tr r="AT52" s="1"/>
        <tr r="AU52" s="5"/>
        <tr r="AU52" s="5"/>
        <tr r="C23" s="1"/>
        <tr r="C23" s="1"/>
        <tr r="AU5" s="5"/>
        <tr r="AU5" s="5"/>
        <tr r="AU49" s="5"/>
        <tr r="AU49" s="5"/>
        <tr r="AU9" s="5"/>
        <tr r="AU9" s="5"/>
        <tr r="AU45" s="5"/>
        <tr r="AU45" s="5"/>
        <tr r="AU43" s="5"/>
        <tr r="AU43" s="5"/>
        <tr r="AU15" s="5"/>
        <tr r="AU15" s="5"/>
        <tr r="AU17" s="5"/>
        <tr r="AU17" s="5"/>
        <tr r="AU19" s="5"/>
        <tr r="AU19" s="5"/>
        <tr r="AU21" s="5"/>
        <tr r="AU21" s="5"/>
        <tr r="AU33" s="5"/>
        <tr r="AU33" s="5"/>
        <tr r="AU31" s="5"/>
        <tr r="AU31" s="5"/>
        <tr r="AU27" s="5"/>
        <tr r="AU27" s="5"/>
        <tr r="AT51" s="1"/>
        <tr r="AT51" s="1"/>
        <tr r="AT49" s="1"/>
        <tr r="AT49" s="1"/>
        <tr r="AT9" s="1"/>
        <tr r="AT9" s="1"/>
        <tr r="AT11" s="1"/>
        <tr r="AT11" s="1"/>
        <tr r="AT43" s="1"/>
        <tr r="AT43" s="1"/>
        <tr r="AT41" s="1"/>
        <tr r="AT41" s="1"/>
        <tr r="AT17" s="1"/>
        <tr r="AT17" s="1"/>
        <tr r="AT37" s="1"/>
        <tr r="AT37" s="1"/>
        <tr r="AT35" s="1"/>
        <tr r="AT35" s="1"/>
        <tr r="AT33" s="1"/>
        <tr r="AT33" s="1"/>
        <tr r="AT31" s="1"/>
        <tr r="AT31" s="1"/>
        <tr r="AT29" s="1"/>
        <tr r="AT29" s="1"/>
        <tr r="AU6" s="5"/>
        <tr r="AU6" s="5"/>
        <tr r="AU8" s="5"/>
        <tr r="AU8" s="5"/>
        <tr r="AU46" s="5"/>
        <tr r="AU46" s="5"/>
        <tr r="AU44" s="5"/>
        <tr r="AU44" s="5"/>
        <tr r="AU42" s="5"/>
        <tr r="AU42" s="5"/>
        <tr r="AU40" s="5"/>
        <tr r="AU40" s="5"/>
        <tr r="AU18" s="5"/>
        <tr r="AU18" s="5"/>
        <tr r="AU20" s="5"/>
        <tr r="AU20" s="5"/>
        <tr r="AU22" s="5"/>
        <tr r="AU22" s="5"/>
        <tr r="AU32" s="5"/>
        <tr r="AU32" s="5"/>
        <tr r="AU30" s="5"/>
        <tr r="AU30" s="5"/>
        <tr r="AU28" s="5"/>
        <tr r="AU28" s="5"/>
        <tr r="AT50" s="1"/>
        <tr r="AT50" s="1"/>
        <tr r="AT8" s="1"/>
        <tr r="AT8" s="1"/>
        <tr r="AT10" s="1"/>
        <tr r="AT10" s="1"/>
        <tr r="AT44" s="1"/>
        <tr r="AT44" s="1"/>
        <tr r="AT42" s="1"/>
        <tr r="AT42" s="1"/>
        <tr r="AT40" s="1"/>
        <tr r="AT40" s="1"/>
        <tr r="AT18" s="1"/>
        <tr r="AT18" s="1"/>
        <tr r="AT36" s="1"/>
        <tr r="AT36" s="1"/>
        <tr r="AT34" s="1"/>
        <tr r="AT34" s="1"/>
        <tr r="AT32" s="1"/>
        <tr r="AT32" s="1"/>
        <tr r="AT26" s="1"/>
        <tr r="AT26" s="1"/>
        <tr r="AT28" s="1"/>
        <tr r="AT28" s="1"/>
        <tr r="AU50" s="5"/>
        <tr r="AU50" s="5"/>
        <tr r="AU48" s="5"/>
        <tr r="AU48" s="5"/>
        <tr r="AU10" s="5"/>
        <tr r="AU10" s="5"/>
        <tr r="AU12" s="5"/>
        <tr r="AU12" s="5"/>
        <tr r="AU14" s="5"/>
        <tr r="AU14" s="5"/>
        <tr r="AU16" s="5"/>
        <tr r="AU16" s="5"/>
        <tr r="AU38" s="5"/>
        <tr r="AU38" s="5"/>
        <tr r="AU36" s="5"/>
        <tr r="AU36" s="5"/>
        <tr r="AU34" s="5"/>
        <tr r="AU34" s="5"/>
        <tr r="AU24" s="5"/>
        <tr r="AU24" s="5"/>
        <tr r="AU26" s="5"/>
        <tr r="AU26" s="5"/>
        <tr r="AT6" s="1"/>
        <tr r="AT6" s="1"/>
        <tr r="AT48" s="1"/>
        <tr r="AT48" s="1"/>
        <tr r="AT46" s="1"/>
        <tr r="AT46" s="1"/>
        <tr r="AT12" s="1"/>
        <tr r="AT12" s="1"/>
        <tr r="AT14" s="1"/>
        <tr r="AT14" s="1"/>
        <tr r="AT16" s="1"/>
        <tr r="AT16" s="1"/>
        <tr r="AT38" s="1"/>
        <tr r="AT38" s="1"/>
        <tr r="AT20" s="1"/>
        <tr r="AT20" s="1"/>
        <tr r="AT22" s="1"/>
        <tr r="AT22" s="1"/>
        <tr r="AT24" s="1"/>
        <tr r="AT24" s="1"/>
        <tr r="AT30" s="1"/>
        <tr r="AT30" s="1"/>
        <tr r="AU51" s="5"/>
        <tr r="AU51" s="5"/>
        <tr r="AU7" s="5"/>
        <tr r="AU7" s="5"/>
        <tr r="AU47" s="5"/>
        <tr r="AU47" s="5"/>
        <tr r="AU11" s="5"/>
        <tr r="AU11" s="5"/>
        <tr r="AU13" s="5"/>
        <tr r="AU13" s="5"/>
        <tr r="AU41" s="5"/>
        <tr r="AU41" s="5"/>
        <tr r="AU39" s="5"/>
        <tr r="AU39" s="5"/>
        <tr r="AU37" s="5"/>
        <tr r="AU37" s="5"/>
        <tr r="AU35" s="5"/>
        <tr r="AU35" s="5"/>
        <tr r="AU23" s="5"/>
        <tr r="AU23" s="5"/>
        <tr r="AU25" s="5"/>
        <tr r="AU25" s="5"/>
        <tr r="AU29" s="5"/>
        <tr r="AU29" s="5"/>
        <tr r="AT5" s="1"/>
        <tr r="AT5" s="1"/>
        <tr r="AT7" s="1"/>
        <tr r="AT7" s="1"/>
        <tr r="AT47" s="1"/>
        <tr r="AT47" s="1"/>
        <tr r="AT45" s="1"/>
        <tr r="AT45" s="1"/>
        <tr r="AT13" s="1"/>
        <tr r="AT13" s="1"/>
        <tr r="AT15" s="1"/>
        <tr r="AT15" s="1"/>
        <tr r="AT39" s="1"/>
        <tr r="AT39" s="1"/>
        <tr r="AT19" s="1"/>
        <tr r="AT19" s="1"/>
        <tr r="AT21" s="1"/>
        <tr r="AT21" s="1"/>
        <tr r="AT23" s="1"/>
        <tr r="AT23" s="1"/>
        <tr r="AT25" s="1"/>
        <tr r="AT25" s="1"/>
        <tr r="AT27" s="1"/>
        <tr r="AT27" s="1"/>
      </tp>
      <tp t="s">
        <v>N/A</v>
        <stp/>
        <stp>OPEN_INT</stp>
        <stp>.OPEN251014C12.5</stp>
        <tr r="E19" s="2"/>
      </tp>
      <tp>
        <v>2425</v>
        <stp/>
        <stp>OPEN_INT</stp>
        <stp>.OPEN251024C11.5</stp>
        <tr r="M21" s="2"/>
        <tr r="M21" s="2"/>
      </tp>
      <tp t="s">
        <v>N/A</v>
        <stp/>
        <stp>OPEN_INT</stp>
        <stp>.OPEN251014C-2.5</stp>
        <tr r="E49" s="2"/>
      </tp>
      <tp t="s">
        <v>N/A</v>
        <stp/>
        <stp>OPEN_INT</stp>
        <stp>.OPEN251024C-1.5</stp>
        <tr r="M47" s="2"/>
      </tp>
      <tp t="s">
        <v>N/A</v>
        <stp/>
        <stp>OPEN_INT</stp>
        <stp>.OPEN261120P21.5</stp>
        <tr r="V5" s="1"/>
      </tp>
      <tp t="s">
        <v>N/A</v>
        <stp/>
        <stp>OPEN_INT</stp>
        <stp>.OPEN261120P11.5</stp>
        <tr r="V25" s="1"/>
      </tp>
      <tp t="s">
        <v>N/A</v>
        <stp/>
        <stp>OPEN_INT</stp>
        <stp>.OPEN251013P12.5</stp>
        <tr r="D19" s="2"/>
      </tp>
      <tp t="s">
        <v>N/A</v>
        <stp/>
        <stp>OPEN_INT</stp>
        <stp>.OPEN251023P11.5</stp>
        <tr r="L21" s="2"/>
      </tp>
      <tp t="s">
        <v>N/A</v>
        <stp/>
        <stp>OPEN_INT</stp>
        <stp>.OPEN261120P-1.5</stp>
        <tr r="V51" s="1"/>
      </tp>
      <tp t="s">
        <v>N/A</v>
        <stp/>
        <stp>OPEN_INT</stp>
        <stp>.OPEN251013P-2.5</stp>
        <tr r="D49" s="2"/>
      </tp>
      <tp t="s">
        <v>N/A</v>
        <stp/>
        <stp>OPEN_INT</stp>
        <stp>.OPEN251023P-1.5</stp>
        <tr r="L47" s="2"/>
      </tp>
      <tp t="s">
        <v>N/A</v>
        <stp/>
        <stp>OPEN_INT</stp>
        <stp>.OPEN260320P11.5</stp>
        <tr r="N25" s="1"/>
      </tp>
      <tp t="s">
        <v>N/A</v>
        <stp/>
        <stp>OPEN_INT</stp>
        <stp>.OPEN260220P11.5</stp>
        <tr r="M25" s="1"/>
      </tp>
      <tp t="s">
        <v>N/A</v>
        <stp/>
        <stp>OPEN_INT</stp>
        <stp>.OPEN260220P21.5</stp>
        <tr r="M5" s="1"/>
      </tp>
      <tp t="s">
        <v>N/A</v>
        <stp/>
        <stp>OPEN_INT</stp>
        <stp>.OPEN260320P21.5</stp>
        <tr r="N5" s="1"/>
      </tp>
      <tp t="s">
        <v>N/A</v>
        <stp/>
        <stp>OPEN_INT</stp>
        <stp>.OPEN260320P-1.5</stp>
        <tr r="N51" s="1"/>
      </tp>
      <tp t="s">
        <v>N/A</v>
        <stp/>
        <stp>OPEN_INT</stp>
        <stp>.OPEN260220P-1.5</stp>
        <tr r="M51" s="1"/>
      </tp>
      <tp t="s">
        <v>N/A</v>
        <stp/>
        <stp>OPEN_INT</stp>
        <stp>.OPEN260320C11.5</stp>
        <tr r="N25" s="1"/>
      </tp>
      <tp t="s">
        <v>N/A</v>
        <stp/>
        <stp>OPEN_INT</stp>
        <stp>.OPEN260220C11.5</stp>
        <tr r="M25" s="1"/>
      </tp>
      <tp t="s">
        <v>N/A</v>
        <stp/>
        <stp>OPEN_INT</stp>
        <stp>.OPEN260220C21.5</stp>
        <tr r="M5" s="1"/>
      </tp>
      <tp t="s">
        <v>N/A</v>
        <stp/>
        <stp>OPEN_INT</stp>
        <stp>.OPEN260320C21.5</stp>
        <tr r="N5" s="1"/>
      </tp>
      <tp t="s">
        <v>N/A</v>
        <stp/>
        <stp>OPEN_INT</stp>
        <stp>.OPEN260320C-1.5</stp>
        <tr r="N51" s="1"/>
      </tp>
      <tp t="s">
        <v>N/A</v>
        <stp/>
        <stp>OPEN_INT</stp>
        <stp>.OPEN260220C-1.5</stp>
        <tr r="M51" s="1"/>
      </tp>
      <tp t="s">
        <v>N/A</v>
        <stp/>
        <stp>OPEN_INT</stp>
        <stp>.OPEN261120C21.5</stp>
        <tr r="V5" s="1"/>
      </tp>
      <tp t="s">
        <v>N/A</v>
        <stp/>
        <stp>OPEN_INT</stp>
        <stp>.OPEN261120C11.5</stp>
        <tr r="V25" s="1"/>
      </tp>
      <tp t="s">
        <v>N/A</v>
        <stp/>
        <stp>OPEN_INT</stp>
        <stp>.OPEN251013C12.5</stp>
        <tr r="D19" s="2"/>
      </tp>
      <tp t="s">
        <v>N/A</v>
        <stp/>
        <stp>OPEN_INT</stp>
        <stp>.OPEN251023C11.5</stp>
        <tr r="L21" s="2"/>
      </tp>
      <tp t="s">
        <v>N/A</v>
        <stp/>
        <stp>OPEN_INT</stp>
        <stp>.OPEN261120C-1.5</stp>
        <tr r="V51" s="1"/>
      </tp>
      <tp t="s">
        <v>N/A</v>
        <stp/>
        <stp>OPEN_INT</stp>
        <stp>.OPEN251013C-2.5</stp>
        <tr r="D49" s="2"/>
      </tp>
      <tp t="s">
        <v>N/A</v>
        <stp/>
        <stp>OPEN_INT</stp>
        <stp>.OPEN251023C-1.5</stp>
        <tr r="L47" s="2"/>
      </tp>
      <tp>
        <v>0</v>
        <stp/>
        <stp>OPEN_INT</stp>
        <stp>.OPEN251212P12.5</stp>
        <tr r="G23" s="1"/>
        <tr r="G23" s="1"/>
      </tp>
      <tp t="s">
        <v>N/A</v>
        <stp/>
        <stp>OPEN_INT</stp>
        <stp>.OPEN251022P11.5</stp>
        <tr r="K21" s="2"/>
      </tp>
      <tp t="s">
        <v>N/A</v>
        <stp/>
        <stp>OPEN_INT</stp>
        <stp>.OPEN251022P-1.5</stp>
        <tr r="K47" s="2"/>
      </tp>
      <tp t="s">
        <v>N/A</v>
        <stp/>
        <stp>OPEN_INT</stp>
        <stp>.OPEN260821P21.5</stp>
        <tr r="S5" s="1"/>
      </tp>
      <tp t="s">
        <v>N/A</v>
        <stp/>
        <stp>OPEN_INT</stp>
        <stp>.OPEN260821P11.5</stp>
        <tr r="S25" s="1"/>
      </tp>
      <tp t="s">
        <v>N/A</v>
        <stp/>
        <stp>OPEN_INT</stp>
        <stp>.OPEN260821P-1.5</stp>
        <tr r="S51" s="1"/>
      </tp>
      <tp t="s">
        <v>N/A</v>
        <stp/>
        <stp>OPEN_INT</stp>
        <stp>.OPEN260821C21.5</stp>
        <tr r="S5" s="1"/>
      </tp>
      <tp t="s">
        <v>N/A</v>
        <stp/>
        <stp>OPEN_INT</stp>
        <stp>.OPEN260821C11.5</stp>
        <tr r="S25" s="1"/>
      </tp>
      <tp t="s">
        <v>N/A</v>
        <stp/>
        <stp>OPEN_INT</stp>
        <stp>.OPEN260821C-1.5</stp>
        <tr r="S51" s="1"/>
      </tp>
      <tp>
        <v>27</v>
        <stp/>
        <stp>OPEN_INT</stp>
        <stp>.OPEN251212C12.5</stp>
        <tr r="G23" s="1"/>
        <tr r="G23" s="1"/>
      </tp>
      <tp t="s">
        <v>N/A</v>
        <stp/>
        <stp>OPEN_INT</stp>
        <stp>.OPEN251022C11.5</stp>
        <tr r="K21" s="2"/>
      </tp>
      <tp t="s">
        <v>N/A</v>
        <stp/>
        <stp>OPEN_INT</stp>
        <stp>.OPEN251022C-1.5</stp>
        <tr r="K47" s="2"/>
      </tp>
      <tp t="s">
        <v>N/A</v>
        <stp/>
        <stp>OPEN_INT</stp>
        <stp>.OPEN251121P21.5</stp>
        <tr r="D5" s="1"/>
      </tp>
      <tp t="s">
        <v>N/A</v>
        <stp/>
        <stp>OPEN_INT</stp>
        <stp>.OPEN251231P10.5</stp>
        <tr r="V23" s="2"/>
      </tp>
      <tp>
        <v>268</v>
        <stp/>
        <stp>OPEN_INT</stp>
        <stp>.OPEN251121P11.5</stp>
        <tr r="D25" s="1"/>
        <tr r="D25" s="1"/>
        <tr r="S21" s="2"/>
        <tr r="S21" s="2"/>
      </tp>
      <tp t="s">
        <v>N/A</v>
        <stp/>
        <stp>OPEN_INT</stp>
        <stp>.OPEN251021P11.5</stp>
        <tr r="J21" s="2"/>
      </tp>
      <tp>
        <v>250</v>
        <stp/>
        <stp>OPEN_INT</stp>
        <stp>.OPEN251031P10.5</stp>
        <tr r="R23" s="2"/>
        <tr r="R23" s="2"/>
      </tp>
      <tp t="s">
        <v>N/A</v>
        <stp/>
        <stp>OPEN_INT</stp>
        <stp>.OPEN251231P-0.5</stp>
        <tr r="V45" s="2"/>
      </tp>
      <tp t="s">
        <v>N/A</v>
        <stp/>
        <stp>OPEN_INT</stp>
        <stp>.OPEN251121P-1.5</stp>
        <tr r="D51" s="1"/>
        <tr r="S47" s="2"/>
      </tp>
      <tp t="s">
        <v>N/A</v>
        <stp/>
        <stp>OPEN_INT</stp>
        <stp>.OPEN251021P-1.5</stp>
        <tr r="J47" s="2"/>
      </tp>
      <tp t="s">
        <v>N/A</v>
        <stp/>
        <stp>OPEN_INT</stp>
        <stp>.OPEN251031P-0.5</stp>
        <tr r="R45" s="2"/>
      </tp>
      <tp t="s">
        <v>N/A</v>
        <stp/>
        <stp>OPEN_INT</stp>
        <stp>.OPEN260102P13.5</stp>
        <tr r="J21" s="1"/>
      </tp>
      <tp t="s">
        <v>N/A</v>
        <stp/>
        <stp>OPEN_INT</stp>
        <stp>.OPEN260102C13.5</stp>
        <tr r="J21" s="1"/>
      </tp>
      <tp t="s">
        <v>N/A</v>
        <stp/>
        <stp>OPEN_INT</stp>
        <stp>.OPEN251121C21.5</stp>
        <tr r="D5" s="1"/>
      </tp>
      <tp t="s">
        <v>N/A</v>
        <stp/>
        <stp>OPEN_INT</stp>
        <stp>.OPEN251231C10.5</stp>
        <tr r="V23" s="2"/>
      </tp>
      <tp>
        <v>349</v>
        <stp/>
        <stp>OPEN_INT</stp>
        <stp>.OPEN251121C11.5</stp>
        <tr r="D25" s="1"/>
        <tr r="D25" s="1"/>
        <tr r="S21" s="2"/>
        <tr r="S21" s="2"/>
      </tp>
      <tp t="s">
        <v>N/A</v>
        <stp/>
        <stp>OPEN_INT</stp>
        <stp>.OPEN251021C11.5</stp>
        <tr r="J21" s="2"/>
      </tp>
      <tp>
        <v>12694</v>
        <stp/>
        <stp>OPEN_INT</stp>
        <stp>.OPEN251031C10.5</stp>
        <tr r="R23" s="2"/>
        <tr r="R23" s="2"/>
      </tp>
      <tp t="s">
        <v>N/A</v>
        <stp/>
        <stp>OPEN_INT</stp>
        <stp>.OPEN251231C-0.5</stp>
        <tr r="V45" s="2"/>
      </tp>
      <tp t="s">
        <v>N/A</v>
        <stp/>
        <stp>OPEN_INT</stp>
        <stp>.OPEN251121C-1.5</stp>
        <tr r="D51" s="1"/>
        <tr r="S47" s="2"/>
      </tp>
      <tp t="s">
        <v>N/A</v>
        <stp/>
        <stp>OPEN_INT</stp>
        <stp>.OPEN251021C-1.5</stp>
        <tr r="J47" s="2"/>
      </tp>
      <tp t="s">
        <v>N/A</v>
        <stp/>
        <stp>OPEN_INT</stp>
        <stp>.OPEN251031C-0.5</stp>
        <tr r="R45" s="2"/>
      </tp>
      <tp>
        <v>58</v>
        <stp/>
        <stp>OPEN_INT</stp>
        <stp>.OPEN251010P12.5</stp>
        <tr r="C19" s="2"/>
        <tr r="C19" s="2"/>
      </tp>
      <tp t="s">
        <v>N/A</v>
        <stp/>
        <stp>OPEN_INT</stp>
        <stp>.OPEN251020P11.5</stp>
        <tr r="I21" s="2"/>
      </tp>
      <tp t="s">
        <v>N/A</v>
        <stp/>
        <stp>OPEN_INT</stp>
        <stp>.OPEN251030P10.5</stp>
        <tr r="Q23" s="2"/>
      </tp>
      <tp t="s">
        <v>N/A</v>
        <stp/>
        <stp>OPEN_INT</stp>
        <stp>.OPEN251010P-2.5</stp>
        <tr r="C49" s="2"/>
      </tp>
      <tp t="s">
        <v>N/A</v>
        <stp/>
        <stp>OPEN_INT</stp>
        <stp>.OPEN251020P-1.5</stp>
        <tr r="I47" s="2"/>
      </tp>
      <tp t="s">
        <v>N/A</v>
        <stp/>
        <stp>OPEN_INT</stp>
        <stp>.OPEN251030P-0.5</stp>
        <tr r="Q45" s="2"/>
      </tp>
      <tp>
        <v>2853</v>
        <stp/>
        <stp>OPEN_INT</stp>
        <stp>.OPEN251010C12.5</stp>
        <tr r="C19" s="2"/>
        <tr r="C19" s="2"/>
      </tp>
      <tp t="s">
        <v>N/A</v>
        <stp/>
        <stp>OPEN_INT</stp>
        <stp>.OPEN251020C11.5</stp>
        <tr r="I21" s="2"/>
      </tp>
      <tp t="s">
        <v>N/A</v>
        <stp/>
        <stp>OPEN_INT</stp>
        <stp>.OPEN251030C10.5</stp>
        <tr r="Q23" s="2"/>
      </tp>
      <tp t="s">
        <v>N/A</v>
        <stp/>
        <stp>OPEN_INT</stp>
        <stp>.OPEN251010C-2.5</stp>
        <tr r="C49" s="2"/>
      </tp>
      <tp t="s">
        <v>N/A</v>
        <stp/>
        <stp>OPEN_INT</stp>
        <stp>.OPEN251020C-1.5</stp>
        <tr r="I47" s="2"/>
      </tp>
      <tp t="s">
        <v>N/A</v>
        <stp/>
        <stp>OPEN_INT</stp>
        <stp>.OPEN251030C-0.5</stp>
        <tr r="Q45" s="2"/>
      </tp>
      <tp t="s">
        <v>N/A</v>
        <stp/>
        <stp>VOLUME</stp>
        <stp>.OPEN260821C-1</stp>
        <tr r="S50" s="5"/>
      </tp>
      <tp t="s">
        <v>N/A</v>
        <stp/>
        <stp>VOLUME</stp>
        <stp>.OPEN260918C-1</stp>
        <tr r="T50" s="5"/>
      </tp>
      <tp t="s">
        <v>N/A</v>
        <stp/>
        <stp>VOLUME</stp>
        <stp>.OPEN260109C-1</stp>
        <tr r="K50" s="5"/>
      </tp>
      <tp t="s">
        <v>N/A</v>
        <stp/>
        <stp>VOLUME</stp>
        <stp>.OPEN260102C-1</stp>
        <tr r="J50" s="5"/>
      </tp>
      <tp t="s">
        <v>N/A</v>
        <stp/>
        <stp>VOLUME</stp>
        <stp>.OPEN260116C-1</stp>
        <tr r="L50" s="5"/>
      </tp>
      <tp t="s">
        <v>N/A</v>
        <stp/>
        <stp>VOLUME</stp>
        <stp>.OPEN260220C-1</stp>
        <tr r="M50" s="5"/>
      </tp>
      <tp t="s">
        <v>N/A</v>
        <stp/>
        <stp>VOLUME</stp>
        <stp>.OPEN260320C-1</stp>
        <tr r="N50" s="5"/>
      </tp>
      <tp t="s">
        <v>N/A</v>
        <stp/>
        <stp>VOLUME</stp>
        <stp>.OPEN260417C-1</stp>
        <tr r="O50" s="5"/>
      </tp>
      <tp t="s">
        <v>N/A</v>
        <stp/>
        <stp>VOLUME</stp>
        <stp>.OPEN260515C-1</stp>
        <tr r="P50" s="5"/>
      </tp>
      <tp t="s">
        <v>N/A</v>
        <stp/>
        <stp>VOLUME</stp>
        <stp>.OPEN260619C-1</stp>
        <tr r="Q50" s="5"/>
      </tp>
      <tp t="s">
        <v>N/A</v>
        <stp/>
        <stp>VOLUME</stp>
        <stp>.OPEN260717C-1</stp>
        <tr r="R50" s="5"/>
      </tp>
      <tp t="s">
        <v>N/A</v>
        <stp/>
        <stp>VOLUME</stp>
        <stp>.OPEN260417C18</stp>
        <tr r="O12" s="5"/>
      </tp>
      <tp t="s">
        <v>N/A</v>
        <stp/>
        <stp>VOLUME</stp>
        <stp>.OPEN260417C19</stp>
        <tr r="O10" s="5"/>
      </tp>
      <tp t="s">
        <v>N/A</v>
        <stp/>
        <stp>VOLUME</stp>
        <stp>.OPEN260417C14</stp>
        <tr r="O20" s="5"/>
      </tp>
      <tp t="s">
        <v>N/A</v>
        <stp/>
        <stp>VOLUME</stp>
        <stp>.OPEN260417C15</stp>
        <tr r="O18" s="5"/>
      </tp>
      <tp t="s">
        <v>N/A</v>
        <stp/>
        <stp>VOLUME</stp>
        <stp>.OPEN260417C16</stp>
        <tr r="O16" s="5"/>
      </tp>
      <tp t="s">
        <v>N/A</v>
        <stp/>
        <stp>VOLUME</stp>
        <stp>.OPEN260417C17</stp>
        <tr r="O14" s="5"/>
      </tp>
      <tp t="s">
        <v>N/A</v>
        <stp/>
        <stp>VOLUME</stp>
        <stp>.OPEN260417C10</stp>
        <tr r="O28" s="5"/>
      </tp>
      <tp t="s">
        <v>N/A</v>
        <stp/>
        <stp>VOLUME</stp>
        <stp>.OPEN260717C20</stp>
        <tr r="R8" s="5"/>
      </tp>
      <tp t="s">
        <v>N/A</v>
        <stp/>
        <stp>VOLUME</stp>
        <stp>.OPEN260417C11</stp>
        <tr r="O26" s="5"/>
      </tp>
      <tp t="s">
        <v>N/A</v>
        <stp/>
        <stp>VOLUME</stp>
        <stp>.OPEN260717C21</stp>
        <tr r="R6" s="5"/>
      </tp>
      <tp t="s">
        <v>N/A</v>
        <stp/>
        <stp>VOLUME</stp>
        <stp>.OPEN260417C12</stp>
        <tr r="O24" s="5"/>
      </tp>
      <tp t="s">
        <v>N/A</v>
        <stp/>
        <stp>VOLUME</stp>
        <stp>.OPEN260417C13</stp>
        <tr r="O22" s="5"/>
      </tp>
      <tp t="s">
        <v>N/A</v>
        <stp/>
        <stp>VOLUME</stp>
        <stp>.OPEN260515C18</stp>
        <tr r="P12" s="5"/>
      </tp>
      <tp t="s">
        <v>N/A</v>
        <stp/>
        <stp>VOLUME</stp>
        <stp>.OPEN260515C19</stp>
        <tr r="P10" s="5"/>
      </tp>
      <tp t="s">
        <v>N/A</v>
        <stp/>
        <stp>VOLUME</stp>
        <stp>.OPEN260515C14</stp>
        <tr r="P20" s="5"/>
      </tp>
      <tp t="s">
        <v>N/A</v>
        <stp/>
        <stp>VOLUME</stp>
        <stp>.OPEN260515C15</stp>
        <tr r="P18" s="5"/>
      </tp>
      <tp t="s">
        <v>N/A</v>
        <stp/>
        <stp>VOLUME</stp>
        <stp>.OPEN260515C16</stp>
        <tr r="P16" s="5"/>
      </tp>
      <tp t="s">
        <v>N/A</v>
        <stp/>
        <stp>VOLUME</stp>
        <stp>.OPEN260515C17</stp>
        <tr r="P14" s="5"/>
      </tp>
      <tp t="s">
        <v>N/A</v>
        <stp/>
        <stp>VOLUME</stp>
        <stp>.OPEN260619C20</stp>
        <tr r="Q8" s="5"/>
      </tp>
      <tp t="s">
        <v>N/A</v>
        <stp/>
        <stp>VOLUME</stp>
        <stp>.OPEN260515C10</stp>
        <tr r="P28" s="5"/>
      </tp>
      <tp t="s">
        <v>N/A</v>
        <stp/>
        <stp>VOLUME</stp>
        <stp>.OPEN260619C21</stp>
        <tr r="Q6" s="5"/>
      </tp>
      <tp t="s">
        <v>N/A</v>
        <stp/>
        <stp>VOLUME</stp>
        <stp>.OPEN260515C11</stp>
        <tr r="P26" s="5"/>
      </tp>
      <tp t="s">
        <v>N/A</v>
        <stp/>
        <stp>VOLUME</stp>
        <stp>.OPEN260515C12</stp>
        <tr r="P24" s="5"/>
      </tp>
      <tp t="s">
        <v>N/A</v>
        <stp/>
        <stp>VOLUME</stp>
        <stp>.OPEN260515C13</stp>
        <tr r="P22" s="5"/>
      </tp>
      <tp t="s">
        <v>N/A</v>
        <stp/>
        <stp>VOLUME</stp>
        <stp>.OPEN260619C18</stp>
        <tr r="Q12" s="5"/>
      </tp>
      <tp t="s">
        <v>N/A</v>
        <stp/>
        <stp>VOLUME</stp>
        <stp>.OPEN260619C19</stp>
        <tr r="Q10" s="5"/>
      </tp>
      <tp t="s">
        <v>N/A</v>
        <stp/>
        <stp>VOLUME</stp>
        <stp>.OPEN260619C14</stp>
        <tr r="Q20" s="5"/>
      </tp>
      <tp t="s">
        <v>N/A</v>
        <stp/>
        <stp>VOLUME</stp>
        <stp>.OPEN260619C15</stp>
        <tr r="Q18" s="5"/>
      </tp>
      <tp t="s">
        <v>N/A</v>
        <stp/>
        <stp>VOLUME</stp>
        <stp>.OPEN260619C16</stp>
        <tr r="Q16" s="5"/>
      </tp>
      <tp t="s">
        <v>N/A</v>
        <stp/>
        <stp>VOLUME</stp>
        <stp>.OPEN260619C17</stp>
        <tr r="Q14" s="5"/>
      </tp>
      <tp t="s">
        <v>N/A</v>
        <stp/>
        <stp>VOLUME</stp>
        <stp>.OPEN260619C10</stp>
        <tr r="Q28" s="5"/>
      </tp>
      <tp t="s">
        <v>N/A</v>
        <stp/>
        <stp>VOLUME</stp>
        <stp>.OPEN260515C20</stp>
        <tr r="P8" s="5"/>
      </tp>
      <tp t="s">
        <v>N/A</v>
        <stp/>
        <stp>VOLUME</stp>
        <stp>.OPEN260619C11</stp>
        <tr r="Q26" s="5"/>
      </tp>
      <tp t="s">
        <v>N/A</v>
        <stp/>
        <stp>VOLUME</stp>
        <stp>.OPEN260515C21</stp>
        <tr r="P6" s="5"/>
      </tp>
      <tp t="s">
        <v>N/A</v>
        <stp/>
        <stp>VOLUME</stp>
        <stp>.OPEN260619C12</stp>
        <tr r="Q24" s="5"/>
      </tp>
      <tp t="s">
        <v>N/A</v>
        <stp/>
        <stp>VOLUME</stp>
        <stp>.OPEN260619C13</stp>
        <tr r="Q22" s="5"/>
      </tp>
      <tp t="s">
        <v>N/A</v>
        <stp/>
        <stp>VOLUME</stp>
        <stp>.OPEN260717C18</stp>
        <tr r="R12" s="5"/>
      </tp>
      <tp t="s">
        <v>N/A</v>
        <stp/>
        <stp>VOLUME</stp>
        <stp>.OPEN260717C19</stp>
        <tr r="R10" s="5"/>
      </tp>
      <tp t="s">
        <v>N/A</v>
        <stp/>
        <stp>VOLUME</stp>
        <stp>.OPEN260717C14</stp>
        <tr r="R20" s="5"/>
      </tp>
      <tp t="s">
        <v>N/A</v>
        <stp/>
        <stp>VOLUME</stp>
        <stp>.OPEN260717C15</stp>
        <tr r="R18" s="5"/>
      </tp>
      <tp t="s">
        <v>N/A</v>
        <stp/>
        <stp>VOLUME</stp>
        <stp>.OPEN260717C16</stp>
        <tr r="R16" s="5"/>
      </tp>
      <tp t="s">
        <v>N/A</v>
        <stp/>
        <stp>VOLUME</stp>
        <stp>.OPEN260717C17</stp>
        <tr r="R14" s="5"/>
      </tp>
      <tp t="s">
        <v>N/A</v>
        <stp/>
        <stp>VOLUME</stp>
        <stp>.OPEN260417C20</stp>
        <tr r="O8" s="5"/>
      </tp>
      <tp t="s">
        <v>N/A</v>
        <stp/>
        <stp>VOLUME</stp>
        <stp>.OPEN260717C10</stp>
        <tr r="R28" s="5"/>
      </tp>
      <tp t="s">
        <v>N/A</v>
        <stp/>
        <stp>VOLUME</stp>
        <stp>.OPEN260417C21</stp>
        <tr r="O6" s="5"/>
      </tp>
      <tp t="s">
        <v>N/A</v>
        <stp/>
        <stp>VOLUME</stp>
        <stp>.OPEN260717C11</stp>
        <tr r="R26" s="5"/>
      </tp>
      <tp t="s">
        <v>N/A</v>
        <stp/>
        <stp>VOLUME</stp>
        <stp>.OPEN260717C12</stp>
        <tr r="R24" s="5"/>
      </tp>
      <tp t="s">
        <v>N/A</v>
        <stp/>
        <stp>VOLUME</stp>
        <stp>.OPEN260717C13</stp>
        <tr r="R22" s="5"/>
      </tp>
      <tp t="s">
        <v>N/A</v>
        <stp/>
        <stp>VOLUME</stp>
        <stp>.OPEN260320C21</stp>
        <tr r="N6" s="5"/>
      </tp>
      <tp t="s">
        <v>N/A</v>
        <stp/>
        <stp>VOLUME</stp>
        <stp>.OPEN260320C20</stp>
        <tr r="N8" s="5"/>
      </tp>
      <tp t="s">
        <v>N/A</v>
        <stp/>
        <stp>VOLUME</stp>
        <stp>.OPEN260109C19</stp>
        <tr r="K10" s="5"/>
      </tp>
      <tp t="s">
        <v>N/A</v>
        <stp/>
        <stp>VOLUME</stp>
        <stp>.OPEN260102C19</stp>
        <tr r="J10" s="5"/>
      </tp>
      <tp t="s">
        <v>N/A</v>
        <stp/>
        <stp>VOLUME</stp>
        <stp>.OPEN260116C18</stp>
        <tr r="L12" s="5"/>
      </tp>
      <tp t="s">
        <v>N/A</v>
        <stp/>
        <stp>VOLUME</stp>
        <stp>.OPEN260109C18</stp>
        <tr r="K12" s="5"/>
      </tp>
      <tp t="s">
        <v>N/A</v>
        <stp/>
        <stp>VOLUME</stp>
        <stp>.OPEN260102C18</stp>
        <tr r="J12" s="5"/>
      </tp>
      <tp t="s">
        <v>N/A</v>
        <stp/>
        <stp>VOLUME</stp>
        <stp>.OPEN260116C19</stp>
        <tr r="L10" s="5"/>
      </tp>
      <tp t="s">
        <v>N/A</v>
        <stp/>
        <stp>VOLUME</stp>
        <stp>.OPEN260109C15</stp>
        <tr r="K18" s="5"/>
      </tp>
      <tp t="s">
        <v>N/A</v>
        <stp/>
        <stp>VOLUME</stp>
        <stp>.OPEN260102C15</stp>
        <tr r="J18" s="5"/>
      </tp>
      <tp t="s">
        <v>N/A</v>
        <stp/>
        <stp>VOLUME</stp>
        <stp>.OPEN260116C14</stp>
        <tr r="L20" s="5"/>
      </tp>
      <tp t="s">
        <v>N/A</v>
        <stp/>
        <stp>VOLUME</stp>
        <stp>.OPEN260109C14</stp>
        <tr r="K20" s="5"/>
      </tp>
      <tp t="s">
        <v>N/A</v>
        <stp/>
        <stp>VOLUME</stp>
        <stp>.OPEN260102C14</stp>
        <tr r="J20" s="5"/>
      </tp>
      <tp t="s">
        <v>N/A</v>
        <stp/>
        <stp>VOLUME</stp>
        <stp>.OPEN260116C15</stp>
        <tr r="L18" s="5"/>
      </tp>
      <tp t="s">
        <v>N/A</v>
        <stp/>
        <stp>VOLUME</stp>
        <stp>.OPEN260109C17</stp>
        <tr r="K14" s="5"/>
      </tp>
      <tp t="s">
        <v>N/A</v>
        <stp/>
        <stp>VOLUME</stp>
        <stp>.OPEN260102C17</stp>
        <tr r="J14" s="5"/>
      </tp>
      <tp t="s">
        <v>N/A</v>
        <stp/>
        <stp>VOLUME</stp>
        <stp>.OPEN260116C16</stp>
        <tr r="L16" s="5"/>
      </tp>
      <tp t="s">
        <v>N/A</v>
        <stp/>
        <stp>VOLUME</stp>
        <stp>.OPEN260109C16</stp>
        <tr r="K16" s="5"/>
      </tp>
      <tp t="s">
        <v>N/A</v>
        <stp/>
        <stp>VOLUME</stp>
        <stp>.OPEN260102C16</stp>
        <tr r="J16" s="5"/>
      </tp>
      <tp t="s">
        <v>N/A</v>
        <stp/>
        <stp>VOLUME</stp>
        <stp>.OPEN260116C17</stp>
        <tr r="L14" s="5"/>
      </tp>
      <tp t="s">
        <v>N/A</v>
        <stp/>
        <stp>VOLUME</stp>
        <stp>.OPEN260109C11</stp>
        <tr r="K26" s="5"/>
      </tp>
      <tp t="s">
        <v>N/A</v>
        <stp/>
        <stp>VOLUME</stp>
        <stp>.OPEN260102C11</stp>
        <tr r="J26" s="5"/>
      </tp>
      <tp t="s">
        <v>N/A</v>
        <stp/>
        <stp>VOLUME</stp>
        <stp>.OPEN260116C10</stp>
        <tr r="L28" s="5"/>
      </tp>
      <tp t="s">
        <v>N/A</v>
        <stp/>
        <stp>VOLUME</stp>
        <stp>.OPEN260109C10</stp>
        <tr r="K28" s="5"/>
      </tp>
      <tp t="s">
        <v>N/A</v>
        <stp/>
        <stp>VOLUME</stp>
        <stp>.OPEN260102C10</stp>
        <tr r="J28" s="5"/>
      </tp>
      <tp t="s">
        <v>N/A</v>
        <stp/>
        <stp>VOLUME</stp>
        <stp>.OPEN260116C11</stp>
        <tr r="L26" s="5"/>
      </tp>
      <tp t="s">
        <v>N/A</v>
        <stp/>
        <stp>VOLUME</stp>
        <stp>.OPEN260109C13</stp>
        <tr r="K22" s="5"/>
      </tp>
      <tp t="s">
        <v>N/A</v>
        <stp/>
        <stp>VOLUME</stp>
        <stp>.OPEN260102C13</stp>
        <tr r="J22" s="5"/>
      </tp>
      <tp t="s">
        <v>N/A</v>
        <stp/>
        <stp>VOLUME</stp>
        <stp>.OPEN260220C21</stp>
        <tr r="M6" s="5"/>
      </tp>
      <tp t="s">
        <v>N/A</v>
        <stp/>
        <stp>VOLUME</stp>
        <stp>.OPEN260116C12</stp>
        <tr r="L24" s="5"/>
      </tp>
      <tp t="s">
        <v>N/A</v>
        <stp/>
        <stp>VOLUME</stp>
        <stp>.OPEN260109C12</stp>
        <tr r="K24" s="5"/>
      </tp>
      <tp t="s">
        <v>N/A</v>
        <stp/>
        <stp>VOLUME</stp>
        <stp>.OPEN260102C12</stp>
        <tr r="J24" s="5"/>
      </tp>
      <tp t="s">
        <v>N/A</v>
        <stp/>
        <stp>VOLUME</stp>
        <stp>.OPEN260220C20</stp>
        <tr r="M8" s="5"/>
      </tp>
      <tp t="s">
        <v>N/A</v>
        <stp/>
        <stp>VOLUME</stp>
        <stp>.OPEN260116C13</stp>
        <tr r="L22" s="5"/>
      </tp>
      <tp t="s">
        <v>N/A</v>
        <stp/>
        <stp>VOLUME</stp>
        <stp>.OPEN260220C19</stp>
        <tr r="M10" s="5"/>
      </tp>
      <tp t="s">
        <v>N/A</v>
        <stp/>
        <stp>VOLUME</stp>
        <stp>.OPEN260220C18</stp>
        <tr r="M12" s="5"/>
      </tp>
      <tp t="s">
        <v>N/A</v>
        <stp/>
        <stp>VOLUME</stp>
        <stp>.OPEN260220C17</stp>
        <tr r="M14" s="5"/>
      </tp>
      <tp t="s">
        <v>N/A</v>
        <stp/>
        <stp>VOLUME</stp>
        <stp>.OPEN260220C16</stp>
        <tr r="M16" s="5"/>
      </tp>
      <tp t="s">
        <v>N/A</v>
        <stp/>
        <stp>VOLUME</stp>
        <stp>.OPEN260220C15</stp>
        <tr r="M18" s="5"/>
      </tp>
      <tp t="s">
        <v>N/A</v>
        <stp/>
        <stp>VOLUME</stp>
        <stp>.OPEN260220C14</stp>
        <tr r="M20" s="5"/>
      </tp>
      <tp t="s">
        <v>N/A</v>
        <stp/>
        <stp>VOLUME</stp>
        <stp>.OPEN260109C21</stp>
        <tr r="K6" s="5"/>
      </tp>
      <tp t="s">
        <v>N/A</v>
        <stp/>
        <stp>VOLUME</stp>
        <stp>.OPEN260102C21</stp>
        <tr r="J6" s="5"/>
      </tp>
      <tp t="s">
        <v>N/A</v>
        <stp/>
        <stp>VOLUME</stp>
        <stp>.OPEN260220C13</stp>
        <tr r="M22" s="5"/>
      </tp>
      <tp t="s">
        <v>N/A</v>
        <stp/>
        <stp>VOLUME</stp>
        <stp>.OPEN260116C20</stp>
        <tr r="L8" s="5"/>
      </tp>
      <tp t="s">
        <v>N/A</v>
        <stp/>
        <stp>VOLUME</stp>
        <stp>.OPEN260109C20</stp>
        <tr r="K8" s="5"/>
      </tp>
      <tp t="s">
        <v>N/A</v>
        <stp/>
        <stp>VOLUME</stp>
        <stp>.OPEN260102C20</stp>
        <tr r="J8" s="5"/>
      </tp>
      <tp t="s">
        <v>N/A</v>
        <stp/>
        <stp>VOLUME</stp>
        <stp>.OPEN260220C12</stp>
        <tr r="M24" s="5"/>
      </tp>
      <tp t="s">
        <v>N/A</v>
        <stp/>
        <stp>VOLUME</stp>
        <stp>.OPEN260116C21</stp>
        <tr r="L6" s="5"/>
      </tp>
      <tp t="s">
        <v>N/A</v>
        <stp/>
        <stp>VOLUME</stp>
        <stp>.OPEN260220C11</stp>
        <tr r="M26" s="5"/>
      </tp>
      <tp t="s">
        <v>N/A</v>
        <stp/>
        <stp>VOLUME</stp>
        <stp>.OPEN260220C10</stp>
        <tr r="M28" s="5"/>
      </tp>
      <tp t="s">
        <v>N/A</v>
        <stp/>
        <stp>VOLUME</stp>
        <stp>.OPEN260320C19</stp>
        <tr r="N10" s="5"/>
      </tp>
      <tp t="s">
        <v>N/A</v>
        <stp/>
        <stp>VOLUME</stp>
        <stp>.OPEN260320C18</stp>
        <tr r="N12" s="5"/>
      </tp>
      <tp t="s">
        <v>N/A</v>
        <stp/>
        <stp>VOLUME</stp>
        <stp>.OPEN260320C17</stp>
        <tr r="N14" s="5"/>
      </tp>
      <tp t="s">
        <v>N/A</v>
        <stp/>
        <stp>VOLUME</stp>
        <stp>.OPEN260320C16</stp>
        <tr r="N16" s="5"/>
      </tp>
      <tp t="s">
        <v>N/A</v>
        <stp/>
        <stp>VOLUME</stp>
        <stp>.OPEN260320C15</stp>
        <tr r="N18" s="5"/>
      </tp>
      <tp t="s">
        <v>N/A</v>
        <stp/>
        <stp>VOLUME</stp>
        <stp>.OPEN260320C14</stp>
        <tr r="N20" s="5"/>
      </tp>
      <tp t="s">
        <v>N/A</v>
        <stp/>
        <stp>VOLUME</stp>
        <stp>.OPEN260320C13</stp>
        <tr r="N22" s="5"/>
      </tp>
      <tp t="s">
        <v>N/A</v>
        <stp/>
        <stp>VOLUME</stp>
        <stp>.OPEN260320C12</stp>
        <tr r="N24" s="5"/>
      </tp>
      <tp t="s">
        <v>N/A</v>
        <stp/>
        <stp>VOLUME</stp>
        <stp>.OPEN260320C11</stp>
        <tr r="N26" s="5"/>
      </tp>
      <tp t="s">
        <v>N/A</v>
        <stp/>
        <stp>VOLUME</stp>
        <stp>.OPEN260320C10</stp>
        <tr r="N28" s="5"/>
      </tp>
      <tp t="s">
        <v>N/A</v>
        <stp/>
        <stp>VOLUME</stp>
        <stp>.OPEN260821C19</stp>
        <tr r="S10" s="5"/>
      </tp>
      <tp t="s">
        <v>N/A</v>
        <stp/>
        <stp>VOLUME</stp>
        <stp>.OPEN260821C18</stp>
        <tr r="S12" s="5"/>
      </tp>
      <tp t="s">
        <v>N/A</v>
        <stp/>
        <stp>VOLUME</stp>
        <stp>.OPEN260821C17</stp>
        <tr r="S14" s="5"/>
      </tp>
      <tp t="s">
        <v>N/A</v>
        <stp/>
        <stp>VOLUME</stp>
        <stp>.OPEN260821C16</stp>
        <tr r="S16" s="5"/>
      </tp>
      <tp t="s">
        <v>N/A</v>
        <stp/>
        <stp>VOLUME</stp>
        <stp>.OPEN260821C15</stp>
        <tr r="S18" s="5"/>
      </tp>
      <tp t="s">
        <v>N/A</v>
        <stp/>
        <stp>VOLUME</stp>
        <stp>.OPEN260821C14</stp>
        <tr r="S20" s="5"/>
      </tp>
      <tp t="s">
        <v>N/A</v>
        <stp/>
        <stp>VOLUME</stp>
        <stp>.OPEN260821C13</stp>
        <tr r="S22" s="5"/>
      </tp>
      <tp t="s">
        <v>N/A</v>
        <stp/>
        <stp>VOLUME</stp>
        <stp>.OPEN260821C12</stp>
        <tr r="S24" s="5"/>
      </tp>
      <tp t="s">
        <v>N/A</v>
        <stp/>
        <stp>VOLUME</stp>
        <stp>.OPEN260821C11</stp>
        <tr r="S26" s="5"/>
      </tp>
      <tp t="s">
        <v>N/A</v>
        <stp/>
        <stp>VOLUME</stp>
        <stp>.OPEN260821C10</stp>
        <tr r="S28" s="5"/>
      </tp>
      <tp t="s">
        <v>N/A</v>
        <stp/>
        <stp>VOLUME</stp>
        <stp>.OPEN260918C18</stp>
        <tr r="T12" s="5"/>
      </tp>
      <tp t="s">
        <v>N/A</v>
        <stp/>
        <stp>VOLUME</stp>
        <stp>.OPEN260918C19</stp>
        <tr r="T10" s="5"/>
      </tp>
      <tp t="s">
        <v>N/A</v>
        <stp/>
        <stp>VOLUME</stp>
        <stp>.OPEN260918C14</stp>
        <tr r="T20" s="5"/>
      </tp>
      <tp t="s">
        <v>N/A</v>
        <stp/>
        <stp>VOLUME</stp>
        <stp>.OPEN260918C15</stp>
        <tr r="T18" s="5"/>
      </tp>
      <tp t="s">
        <v>N/A</v>
        <stp/>
        <stp>VOLUME</stp>
        <stp>.OPEN260918C16</stp>
        <tr r="T16" s="5"/>
      </tp>
      <tp t="s">
        <v>N/A</v>
        <stp/>
        <stp>VOLUME</stp>
        <stp>.OPEN260918C17</stp>
        <tr r="T14" s="5"/>
      </tp>
      <tp t="s">
        <v>N/A</v>
        <stp/>
        <stp>VOLUME</stp>
        <stp>.OPEN260918C10</stp>
        <tr r="T28" s="5"/>
      </tp>
      <tp t="s">
        <v>N/A</v>
        <stp/>
        <stp>VOLUME</stp>
        <stp>.OPEN260918C11</stp>
        <tr r="T26" s="5"/>
      </tp>
      <tp t="s">
        <v>N/A</v>
        <stp/>
        <stp>VOLUME</stp>
        <stp>.OPEN260918C12</stp>
        <tr r="T24" s="5"/>
      </tp>
      <tp t="s">
        <v>N/A</v>
        <stp/>
        <stp>VOLUME</stp>
        <stp>.OPEN260918C13</stp>
        <tr r="T22" s="5"/>
      </tp>
      <tp t="s">
        <v>N/A</v>
        <stp/>
        <stp>VOLUME</stp>
        <stp>.OPEN260918C20</stp>
        <tr r="T8" s="5"/>
      </tp>
      <tp t="s">
        <v>N/A</v>
        <stp/>
        <stp>VOLUME</stp>
        <stp>.OPEN260918C21</stp>
        <tr r="T6" s="5"/>
      </tp>
      <tp t="s">
        <v>N/A</v>
        <stp/>
        <stp>VOLUME</stp>
        <stp>.OPEN260821C21</stp>
        <tr r="S6" s="5"/>
      </tp>
      <tp t="s">
        <v>N/A</v>
        <stp/>
        <stp>VOLUME</stp>
        <stp>.OPEN260821C20</stp>
        <tr r="S8" s="5"/>
      </tp>
      <tp t="s">
        <v>N/A</v>
        <stp/>
        <stp>OPEN_INT</stp>
        <stp>.OPEN261218P13.5</stp>
        <tr r="W21" s="1"/>
      </tp>
      <tp t="s">
        <v>N/A</v>
        <stp/>
        <stp>OPEN_INT</stp>
        <stp>.OPEN260918P13.5</stp>
        <tr r="T21" s="1"/>
      </tp>
      <tp t="s">
        <v>N/A</v>
        <stp/>
        <stp>OPEN_INT</stp>
        <stp>.OPEN260918C13.5</stp>
        <tr r="T21" s="1"/>
      </tp>
      <tp t="s">
        <v>N/A</v>
        <stp/>
        <stp>OPEN_INT</stp>
        <stp>.OPEN261218C13.5</stp>
        <tr r="W21" s="1"/>
      </tp>
      <tp t="s">
        <v>N/A</v>
        <stp/>
        <stp>OPEN_INT</stp>
        <stp>.OPEN260619P13.5</stp>
        <tr r="Q21" s="1"/>
      </tp>
      <tp t="s">
        <v>N/A</v>
        <stp/>
        <stp>OPEN_INT</stp>
        <stp>.OPEN260109P12.5</stp>
        <tr r="K23" s="1"/>
      </tp>
      <tp t="s">
        <v>N/A</v>
        <stp/>
        <stp>OPEN_INT</stp>
        <stp>.OPEN260619C13.5</stp>
        <tr r="Q21" s="1"/>
      </tp>
      <tp t="s">
        <v>N/A</v>
        <stp/>
        <stp>OPEN_INT</stp>
        <stp>.OPEN260109C12.5</stp>
        <tr r="K23" s="1"/>
      </tp>
      <tp t="s">
        <v>N/A</v>
        <stp/>
        <stp>OPEN_INT</stp>
        <stp>.OPEN251219P13.5</stp>
        <tr r="H21" s="1"/>
        <tr r="U17" s="2"/>
      </tp>
      <tp t="s">
        <v>N/A</v>
        <stp/>
        <stp>OPEN_INT</stp>
        <stp>.OPEN251009P12.5</stp>
        <tr r="B19" s="2"/>
      </tp>
      <tp t="s">
        <v>N/A</v>
        <stp/>
        <stp>OPEN_INT</stp>
        <stp>.OPEN251029P10.5</stp>
        <tr r="P23" s="2"/>
      </tp>
      <tp t="s">
        <v>N/A</v>
        <stp/>
        <stp>OPEN_INT</stp>
        <stp>.OPEN251219P-3.5</stp>
        <tr r="U51" s="2"/>
      </tp>
      <tp t="s">
        <v>N/A</v>
        <stp/>
        <stp>OPEN_INT</stp>
        <stp>.OPEN251009P-2.5</stp>
        <tr r="B49" s="2"/>
      </tp>
      <tp t="s">
        <v>N/A</v>
        <stp/>
        <stp>OPEN_INT</stp>
        <stp>.OPEN251029P-0.5</stp>
        <tr r="P45" s="2"/>
      </tp>
      <tp t="s">
        <v>N/A</v>
        <stp/>
        <stp>OPEN_INT</stp>
        <stp>.OPEN251219C13.5</stp>
        <tr r="H21" s="1"/>
        <tr r="U17" s="2"/>
      </tp>
      <tp t="s">
        <v>N/A</v>
        <stp/>
        <stp>OPEN_INT</stp>
        <stp>.OPEN251009C12.5</stp>
        <tr r="B19" s="2"/>
      </tp>
      <tp t="s">
        <v>N/A</v>
        <stp/>
        <stp>OPEN_INT</stp>
        <stp>.OPEN251029C10.5</stp>
        <tr r="P23" s="2"/>
      </tp>
      <tp t="s">
        <v>N/A</v>
        <stp/>
        <stp>OPEN_INT</stp>
        <stp>.OPEN251219C-3.5</stp>
        <tr r="U51" s="2"/>
      </tp>
      <tp t="s">
        <v>N/A</v>
        <stp/>
        <stp>OPEN_INT</stp>
        <stp>.OPEN251009C-2.5</stp>
        <tr r="B49" s="2"/>
      </tp>
      <tp t="s">
        <v>N/A</v>
        <stp/>
        <stp>OPEN_INT</stp>
        <stp>.OPEN251029C-0.5</stp>
        <tr r="P45" s="2"/>
      </tp>
      <tp t="s">
        <v>N/A</v>
        <stp/>
        <stp>OPEN_INT</stp>
        <stp>.OPEN251128P20.5</stp>
        <tr r="E7" s="1"/>
      </tp>
      <tp>
        <v>186</v>
        <stp/>
        <stp>OPEN_INT</stp>
        <stp>.OPEN251128P10.5</stp>
        <tr r="E27" s="1"/>
        <tr r="E27" s="1"/>
        <tr r="T23" s="2"/>
        <tr r="T23" s="2"/>
      </tp>
      <tp t="s">
        <v>N/A</v>
        <stp/>
        <stp>OPEN_INT</stp>
        <stp>.OPEN251028P10.5</stp>
        <tr r="O23" s="2"/>
      </tp>
      <tp t="s">
        <v>N/A</v>
        <stp/>
        <stp>OPEN_INT</stp>
        <stp>.OPEN251128P-0.5</stp>
        <tr r="E49" s="1"/>
        <tr r="T45" s="2"/>
      </tp>
      <tp t="s">
        <v>N/A</v>
        <stp/>
        <stp>OPEN_INT</stp>
        <stp>.OPEN251028P-0.5</stp>
        <tr r="O45" s="2"/>
      </tp>
      <tp t="s">
        <v>N/A</v>
        <stp/>
        <stp>OPEN_INT</stp>
        <stp>.OPEN251128C20.5</stp>
        <tr r="E7" s="1"/>
      </tp>
      <tp>
        <v>1484</v>
        <stp/>
        <stp>OPEN_INT</stp>
        <stp>.OPEN251128C10.5</stp>
        <tr r="E27" s="1"/>
        <tr r="E27" s="1"/>
        <tr r="T23" s="2"/>
        <tr r="T23" s="2"/>
      </tp>
      <tp t="s">
        <v>N/A</v>
        <stp/>
        <stp>OPEN_INT</stp>
        <stp>.OPEN251028C10.5</stp>
        <tr r="O23" s="2"/>
      </tp>
      <tp t="s">
        <v>N/A</v>
        <stp/>
        <stp>OPEN_INT</stp>
        <stp>.OPEN251128C-0.5</stp>
        <tr r="E49" s="1"/>
        <tr r="T45" s="2"/>
      </tp>
      <tp t="s">
        <v>N/A</v>
        <stp/>
        <stp>OPEN_INT</stp>
        <stp>.OPEN251028C-0.5</stp>
        <tr r="O45" s="2"/>
      </tp>
      <tp>
        <v>1</v>
        <stp/>
        <stp>OPEN_INT</stp>
        <stp>.OPEN251017P13.5</stp>
        <tr r="H17" s="2"/>
        <tr r="H17" s="2"/>
      </tp>
      <tp t="s">
        <v>N/A</v>
        <stp/>
        <stp>OPEN_INT</stp>
        <stp>.OPEN251027P10.5</stp>
        <tr r="N23" s="2"/>
      </tp>
      <tp t="s">
        <v>N/A</v>
        <stp/>
        <stp>OPEN_INT</stp>
        <stp>.OPEN251017P-3.5</stp>
        <tr r="H51" s="2"/>
      </tp>
      <tp t="s">
        <v>N/A</v>
        <stp/>
        <stp>OPEN_INT</stp>
        <stp>.OPEN251027P-0.5</stp>
        <tr r="N45" s="2"/>
      </tp>
      <tp>
        <v>1314</v>
        <stp/>
        <stp>OPEN_INT</stp>
        <stp>.OPEN251017C13.5</stp>
        <tr r="H17" s="2"/>
        <tr r="H17" s="2"/>
      </tp>
      <tp t="s">
        <v>N/A</v>
        <stp/>
        <stp>OPEN_INT</stp>
        <stp>.OPEN251027C10.5</stp>
        <tr r="N23" s="2"/>
      </tp>
      <tp t="s">
        <v>N/A</v>
        <stp/>
        <stp>OPEN_INT</stp>
        <stp>.OPEN251017C-3.5</stp>
        <tr r="H51" s="2"/>
      </tp>
      <tp t="s">
        <v>N/A</v>
        <stp/>
        <stp>OPEN_INT</stp>
        <stp>.OPEN251027C-0.5</stp>
        <tr r="N45" s="2"/>
      </tp>
      <tp>
        <v>62</v>
        <stp/>
        <stp>OPEN_INT</stp>
        <stp>.OPEN251226P10.5</stp>
        <tr r="I27" s="1"/>
        <tr r="I27" s="1"/>
      </tp>
      <tp t="s">
        <v>N/A</v>
        <stp/>
        <stp>OPEN_INT</stp>
        <stp>.OPEN251226P20.5</stp>
        <tr r="I7" s="1"/>
      </tp>
      <tp t="s">
        <v>N/A</v>
        <stp/>
        <stp>OPEN_INT</stp>
        <stp>.OPEN251016P13.5</stp>
        <tr r="G17" s="2"/>
      </tp>
      <tp t="s">
        <v>N/A</v>
        <stp/>
        <stp>OPEN_INT</stp>
        <stp>.OPEN251226P-0.5</stp>
        <tr r="I49" s="1"/>
      </tp>
      <tp t="s">
        <v>N/A</v>
        <stp/>
        <stp>OPEN_INT</stp>
        <stp>.OPEN251016P-3.5</stp>
        <tr r="G51" s="2"/>
      </tp>
      <tp t="s">
        <v>N/A</v>
        <stp/>
        <stp>OPEN_INT</stp>
        <stp>.OPEN260515P13.5</stp>
        <tr r="P21" s="1"/>
      </tp>
      <tp t="s">
        <v>N/A</v>
        <stp/>
        <stp>OPEN_INT</stp>
        <stp>.OPEN260515C13.5</stp>
        <tr r="P21" s="1"/>
      </tp>
      <tp>
        <v>10</v>
        <stp/>
        <stp>OPEN_INT</stp>
        <stp>.OPEN251226C10.5</stp>
        <tr r="I27" s="1"/>
        <tr r="I27" s="1"/>
      </tp>
      <tp t="s">
        <v>N/A</v>
        <stp/>
        <stp>OPEN_INT</stp>
        <stp>.OPEN251226C20.5</stp>
        <tr r="I7" s="1"/>
      </tp>
      <tp t="s">
        <v>N/A</v>
        <stp/>
        <stp>OPEN_INT</stp>
        <stp>.OPEN251016C13.5</stp>
        <tr r="G17" s="2"/>
      </tp>
      <tp t="s">
        <v>N/A</v>
        <stp/>
        <stp>OPEN_INT</stp>
        <stp>.OPEN251226C-0.5</stp>
        <tr r="I49" s="1"/>
      </tp>
      <tp t="s">
        <v>N/A</v>
        <stp/>
        <stp>OPEN_INT</stp>
        <stp>.OPEN251016C-3.5</stp>
        <tr r="G51" s="2"/>
      </tp>
      <tp>
        <v>0</v>
        <stp/>
        <stp>OPEN_INT</stp>
        <stp>.OPEN251205P12.5</stp>
        <tr r="F23" s="1"/>
        <tr r="F23" s="1"/>
      </tp>
      <tp t="s">
        <v>N/A</v>
        <stp/>
        <stp>OPEN_INT</stp>
        <stp>.OPEN251015P13.5</stp>
        <tr r="F17" s="2"/>
      </tp>
      <tp t="s">
        <v>N/A</v>
        <stp/>
        <stp>OPEN_INT</stp>
        <stp>.OPEN261016P13.5</stp>
        <tr r="U21" s="1"/>
      </tp>
      <tp t="s">
        <v>N/A</v>
        <stp/>
        <stp>OPEN_INT</stp>
        <stp>.OPEN251015P-3.5</stp>
        <tr r="F51" s="2"/>
      </tp>
      <tp t="s">
        <v>N/A</v>
        <stp/>
        <stp>OPEN_INT</stp>
        <stp>.OPEN260116P13.5</stp>
        <tr r="L21" s="1"/>
        <tr r="W17" s="2"/>
      </tp>
      <tp t="s">
        <v>N/A</v>
        <stp/>
        <stp>OPEN_INT</stp>
        <stp>.OPEN260116P-3.5</stp>
        <tr r="W51" s="2"/>
      </tp>
      <tp t="s">
        <v>N/A</v>
        <stp/>
        <stp>OPEN_INT</stp>
        <stp>.OPEN260116C13.5</stp>
        <tr r="L21" s="1"/>
        <tr r="W17" s="2"/>
      </tp>
      <tp t="s">
        <v>N/A</v>
        <stp/>
        <stp>OPEN_INT</stp>
        <stp>.OPEN260116C-3.5</stp>
        <tr r="W51" s="2"/>
      </tp>
      <tp>
        <v>270</v>
        <stp/>
        <stp>OPEN_INT</stp>
        <stp>.OPEN251205C12.5</stp>
        <tr r="F23" s="1"/>
        <tr r="F23" s="1"/>
      </tp>
      <tp t="s">
        <v>N/A</v>
        <stp/>
        <stp>OPEN_INT</stp>
        <stp>.OPEN251015C13.5</stp>
        <tr r="F17" s="2"/>
      </tp>
      <tp t="s">
        <v>N/A</v>
        <stp/>
        <stp>OPEN_INT</stp>
        <stp>.OPEN261016C13.5</stp>
        <tr r="U21" s="1"/>
      </tp>
      <tp t="s">
        <v>N/A</v>
        <stp/>
        <stp>OPEN_INT</stp>
        <stp>.OPEN251015C-3.5</stp>
        <tr r="F51" s="2"/>
      </tp>
      <tp>
        <v>6</v>
        <stp/>
        <stp>OPEN_INT</stp>
        <stp>.OPEN251114P13.5</stp>
        <tr r="AR52" s="1"/>
        <tr r="AR52" s="1"/>
        <tr r="C21" s="1"/>
        <tr r="C21" s="1"/>
        <tr r="AS52" s="5"/>
        <tr r="AS52" s="5"/>
        <tr r="AS5" s="5"/>
        <tr r="AS5" s="5"/>
        <tr r="AS49" s="5"/>
        <tr r="AS49" s="5"/>
        <tr r="AS9" s="5"/>
        <tr r="AS9" s="5"/>
        <tr r="AS45" s="5"/>
        <tr r="AS45" s="5"/>
        <tr r="AS43" s="5"/>
        <tr r="AS43" s="5"/>
        <tr r="AS15" s="5"/>
        <tr r="AS15" s="5"/>
        <tr r="AS17" s="5"/>
        <tr r="AS17" s="5"/>
        <tr r="AS19" s="5"/>
        <tr r="AS19" s="5"/>
        <tr r="AS21" s="5"/>
        <tr r="AS21" s="5"/>
        <tr r="AS23" s="5"/>
        <tr r="AS23" s="5"/>
        <tr r="AS31" s="5"/>
        <tr r="AS31" s="5"/>
        <tr r="AS29" s="5"/>
        <tr r="AS29" s="5"/>
        <tr r="AR51" s="1"/>
        <tr r="AR51" s="1"/>
        <tr r="AR7" s="1"/>
        <tr r="AR7" s="1"/>
        <tr r="AR9" s="1"/>
        <tr r="AR9" s="1"/>
        <tr r="AR45" s="1"/>
        <tr r="AR45" s="1"/>
        <tr r="AR43" s="1"/>
        <tr r="AR43" s="1"/>
        <tr r="AR41" s="1"/>
        <tr r="AR41" s="1"/>
        <tr r="AR17" s="1"/>
        <tr r="AR17" s="1"/>
        <tr r="AR19" s="1"/>
        <tr r="AR19" s="1"/>
        <tr r="AR35" s="1"/>
        <tr r="AR35" s="1"/>
        <tr r="AR33" s="1"/>
        <tr r="AR33" s="1"/>
        <tr r="AR31" s="1"/>
        <tr r="AR31" s="1"/>
        <tr r="AR27" s="1"/>
        <tr r="AR27" s="1"/>
        <tr r="AS6" s="5"/>
        <tr r="AS6" s="5"/>
        <tr r="AS8" s="5"/>
        <tr r="AS8" s="5"/>
        <tr r="AS46" s="5"/>
        <tr r="AS46" s="5"/>
        <tr r="AS12" s="5"/>
        <tr r="AS12" s="5"/>
        <tr r="AS14" s="5"/>
        <tr r="AS14" s="5"/>
        <tr r="AS40" s="5"/>
        <tr r="AS40" s="5"/>
        <tr r="AS18" s="5"/>
        <tr r="AS18" s="5"/>
        <tr r="AS20" s="5"/>
        <tr r="AS20" s="5"/>
        <tr r="AS22" s="5"/>
        <tr r="AS22" s="5"/>
        <tr r="AS32" s="5"/>
        <tr r="AS32" s="5"/>
        <tr r="AS30" s="5"/>
        <tr r="AS30" s="5"/>
        <tr r="AS28" s="5"/>
        <tr r="AS28" s="5"/>
        <tr r="AR6" s="1"/>
        <tr r="AR6" s="1"/>
        <tr r="AR8" s="1"/>
        <tr r="AR8" s="1"/>
        <tr r="AR46" s="1"/>
        <tr r="AR46" s="1"/>
        <tr r="AR44" s="1"/>
        <tr r="AR44" s="1"/>
        <tr r="AR42" s="1"/>
        <tr r="AR42" s="1"/>
        <tr r="AR16" s="1"/>
        <tr r="AR16" s="1"/>
        <tr r="AR18" s="1"/>
        <tr r="AR18" s="1"/>
        <tr r="AR20" s="1"/>
        <tr r="AR20" s="1"/>
        <tr r="AR22" s="1"/>
        <tr r="AR22" s="1"/>
        <tr r="AR32" s="1"/>
        <tr r="AR32" s="1"/>
        <tr r="AR26" s="1"/>
        <tr r="AR26" s="1"/>
        <tr r="AR28" s="1"/>
        <tr r="AR28" s="1"/>
        <tr r="AS50" s="5"/>
        <tr r="AS50" s="5"/>
        <tr r="AS48" s="5"/>
        <tr r="AS48" s="5"/>
        <tr r="AS10" s="5"/>
        <tr r="AS10" s="5"/>
        <tr r="AS44" s="5"/>
        <tr r="AS44" s="5"/>
        <tr r="AS42" s="5"/>
        <tr r="AS42" s="5"/>
        <tr r="AS16" s="5"/>
        <tr r="AS16" s="5"/>
        <tr r="AS38" s="5"/>
        <tr r="AS38" s="5"/>
        <tr r="AS36" s="5"/>
        <tr r="AS36" s="5"/>
        <tr r="AS34" s="5"/>
        <tr r="AS34" s="5"/>
        <tr r="AS24" s="5"/>
        <tr r="AS24" s="5"/>
        <tr r="AS26" s="5"/>
        <tr r="AS26" s="5"/>
        <tr r="AR50" s="1"/>
        <tr r="AR50" s="1"/>
        <tr r="AR48" s="1"/>
        <tr r="AR48" s="1"/>
        <tr r="AR10" s="1"/>
        <tr r="AR10" s="1"/>
        <tr r="AR12" s="1"/>
        <tr r="AR12" s="1"/>
        <tr r="AR14" s="1"/>
        <tr r="AR14" s="1"/>
        <tr r="AR40" s="1"/>
        <tr r="AR40" s="1"/>
        <tr r="AR38" s="1"/>
        <tr r="AR38" s="1"/>
        <tr r="AR36" s="1"/>
        <tr r="AR36" s="1"/>
        <tr r="AR34" s="1"/>
        <tr r="AR34" s="1"/>
        <tr r="AR24" s="1"/>
        <tr r="AR24" s="1"/>
        <tr r="AR30" s="1"/>
        <tr r="AR30" s="1"/>
        <tr r="AS51" s="5"/>
        <tr r="AS51" s="5"/>
        <tr r="AS7" s="5"/>
        <tr r="AS7" s="5"/>
        <tr r="AS47" s="5"/>
        <tr r="AS47" s="5"/>
        <tr r="AS11" s="5"/>
        <tr r="AS11" s="5"/>
        <tr r="AS13" s="5"/>
        <tr r="AS13" s="5"/>
        <tr r="AS41" s="5"/>
        <tr r="AS41" s="5"/>
        <tr r="AS39" s="5"/>
        <tr r="AS39" s="5"/>
        <tr r="AS37" s="5"/>
        <tr r="AS37" s="5"/>
        <tr r="AS35" s="5"/>
        <tr r="AS35" s="5"/>
        <tr r="AS33" s="5"/>
        <tr r="AS33" s="5"/>
        <tr r="AS25" s="5"/>
        <tr r="AS25" s="5"/>
        <tr r="AS27" s="5"/>
        <tr r="AS27" s="5"/>
        <tr r="AR5" s="1"/>
        <tr r="AR5" s="1"/>
        <tr r="AR49" s="1"/>
        <tr r="AR49" s="1"/>
        <tr r="AR47" s="1"/>
        <tr r="AR47" s="1"/>
        <tr r="AR11" s="1"/>
        <tr r="AR11" s="1"/>
        <tr r="AR13" s="1"/>
        <tr r="AR13" s="1"/>
        <tr r="AR15" s="1"/>
        <tr r="AR15" s="1"/>
        <tr r="AR39" s="1"/>
        <tr r="AR39" s="1"/>
        <tr r="AR37" s="1"/>
        <tr r="AR37" s="1"/>
        <tr r="AR21" s="1"/>
        <tr r="AR21" s="1"/>
        <tr r="AR23" s="1"/>
        <tr r="AR23" s="1"/>
        <tr r="AR25" s="1"/>
        <tr r="AR25" s="1"/>
        <tr r="AR29" s="1"/>
        <tr r="AR29" s="1"/>
      </tp>
      <tp t="s">
        <v>N/A</v>
        <stp/>
        <stp>OPEN_INT</stp>
        <stp>.OPEN251014P13.5</stp>
        <tr r="E17" s="2"/>
      </tp>
      <tp>
        <v>478</v>
        <stp/>
        <stp>OPEN_INT</stp>
        <stp>.OPEN251024P10.5</stp>
        <tr r="M23" s="2"/>
        <tr r="M23" s="2"/>
      </tp>
      <tp t="s">
        <v>N/A</v>
        <stp/>
        <stp>OPEN_INT</stp>
        <stp>.OPEN251014P-3.5</stp>
        <tr r="E51" s="2"/>
      </tp>
      <tp t="s">
        <v>N/A</v>
        <stp/>
        <stp>OPEN_INT</stp>
        <stp>.OPEN251024P-0.5</stp>
        <tr r="M45" s="2"/>
      </tp>
      <tp t="s">
        <v>N/A</v>
        <stp/>
        <stp>OPEN_INT</stp>
        <stp>.OPEN260717P13.5</stp>
        <tr r="R21" s="1"/>
      </tp>
      <tp t="s">
        <v>N/A</v>
        <stp/>
        <stp>OPEN_INT</stp>
        <stp>.OPEN260417P13.5</stp>
        <tr r="O21" s="1"/>
      </tp>
      <tp t="s">
        <v>N/A</v>
        <stp/>
        <stp>OPEN_INT</stp>
        <stp>.OPEN260717C13.5</stp>
        <tr r="R21" s="1"/>
      </tp>
      <tp t="s">
        <v>N/A</v>
        <stp/>
        <stp>OPEN_INT</stp>
        <stp>.OPEN260417C13.5</stp>
        <tr r="O21" s="1"/>
      </tp>
      <tp>
        <v>1</v>
        <stp/>
        <stp>OPEN_INT</stp>
        <stp>.OPEN251114C13.5</stp>
        <tr r="AR52" s="1"/>
        <tr r="AR52" s="1"/>
        <tr r="C21" s="1"/>
        <tr r="C21" s="1"/>
        <tr r="AS52" s="5"/>
        <tr r="AS52" s="5"/>
        <tr r="AS5" s="5"/>
        <tr r="AS5" s="5"/>
        <tr r="AS49" s="5"/>
        <tr r="AS49" s="5"/>
        <tr r="AS9" s="5"/>
        <tr r="AS9" s="5"/>
        <tr r="AS45" s="5"/>
        <tr r="AS45" s="5"/>
        <tr r="AS43" s="5"/>
        <tr r="AS43" s="5"/>
        <tr r="AS15" s="5"/>
        <tr r="AS15" s="5"/>
        <tr r="AS17" s="5"/>
        <tr r="AS17" s="5"/>
        <tr r="AS19" s="5"/>
        <tr r="AS19" s="5"/>
        <tr r="AS21" s="5"/>
        <tr r="AS21" s="5"/>
        <tr r="AS23" s="5"/>
        <tr r="AS23" s="5"/>
        <tr r="AS31" s="5"/>
        <tr r="AS31" s="5"/>
        <tr r="AS29" s="5"/>
        <tr r="AS29" s="5"/>
        <tr r="AR51" s="1"/>
        <tr r="AR51" s="1"/>
        <tr r="AR7" s="1"/>
        <tr r="AR7" s="1"/>
        <tr r="AR9" s="1"/>
        <tr r="AR9" s="1"/>
        <tr r="AR45" s="1"/>
        <tr r="AR45" s="1"/>
        <tr r="AR43" s="1"/>
        <tr r="AR43" s="1"/>
        <tr r="AR41" s="1"/>
        <tr r="AR41" s="1"/>
        <tr r="AR17" s="1"/>
        <tr r="AR17" s="1"/>
        <tr r="AR19" s="1"/>
        <tr r="AR19" s="1"/>
        <tr r="AR35" s="1"/>
        <tr r="AR35" s="1"/>
        <tr r="AR33" s="1"/>
        <tr r="AR33" s="1"/>
        <tr r="AR31" s="1"/>
        <tr r="AR31" s="1"/>
        <tr r="AR27" s="1"/>
        <tr r="AR27" s="1"/>
        <tr r="AS6" s="5"/>
        <tr r="AS6" s="5"/>
        <tr r="AS8" s="5"/>
        <tr r="AS8" s="5"/>
        <tr r="AS46" s="5"/>
        <tr r="AS46" s="5"/>
        <tr r="AS12" s="5"/>
        <tr r="AS12" s="5"/>
        <tr r="AS14" s="5"/>
        <tr r="AS14" s="5"/>
        <tr r="AS40" s="5"/>
        <tr r="AS40" s="5"/>
        <tr r="AS18" s="5"/>
        <tr r="AS18" s="5"/>
        <tr r="AS20" s="5"/>
        <tr r="AS20" s="5"/>
        <tr r="AS22" s="5"/>
        <tr r="AS22" s="5"/>
        <tr r="AS32" s="5"/>
        <tr r="AS32" s="5"/>
        <tr r="AS30" s="5"/>
        <tr r="AS30" s="5"/>
        <tr r="AS28" s="5"/>
        <tr r="AS28" s="5"/>
        <tr r="AR6" s="1"/>
        <tr r="AR6" s="1"/>
        <tr r="AR8" s="1"/>
        <tr r="AR8" s="1"/>
        <tr r="AR46" s="1"/>
        <tr r="AR46" s="1"/>
        <tr r="AR44" s="1"/>
        <tr r="AR44" s="1"/>
        <tr r="AR42" s="1"/>
        <tr r="AR42" s="1"/>
        <tr r="AR16" s="1"/>
        <tr r="AR16" s="1"/>
        <tr r="AR18" s="1"/>
        <tr r="AR18" s="1"/>
        <tr r="AR20" s="1"/>
        <tr r="AR20" s="1"/>
        <tr r="AR22" s="1"/>
        <tr r="AR22" s="1"/>
        <tr r="AR32" s="1"/>
        <tr r="AR32" s="1"/>
        <tr r="AR26" s="1"/>
        <tr r="AR26" s="1"/>
        <tr r="AR28" s="1"/>
        <tr r="AR28" s="1"/>
        <tr r="AS50" s="5"/>
        <tr r="AS50" s="5"/>
        <tr r="AS48" s="5"/>
        <tr r="AS48" s="5"/>
        <tr r="AS10" s="5"/>
        <tr r="AS10" s="5"/>
        <tr r="AS44" s="5"/>
        <tr r="AS44" s="5"/>
        <tr r="AS42" s="5"/>
        <tr r="AS42" s="5"/>
        <tr r="AS16" s="5"/>
        <tr r="AS16" s="5"/>
        <tr r="AS38" s="5"/>
        <tr r="AS38" s="5"/>
        <tr r="AS36" s="5"/>
        <tr r="AS36" s="5"/>
        <tr r="AS34" s="5"/>
        <tr r="AS34" s="5"/>
        <tr r="AS24" s="5"/>
        <tr r="AS24" s="5"/>
        <tr r="AS26" s="5"/>
        <tr r="AS26" s="5"/>
        <tr r="AR50" s="1"/>
        <tr r="AR50" s="1"/>
        <tr r="AR48" s="1"/>
        <tr r="AR48" s="1"/>
        <tr r="AR10" s="1"/>
        <tr r="AR10" s="1"/>
        <tr r="AR12" s="1"/>
        <tr r="AR12" s="1"/>
        <tr r="AR14" s="1"/>
        <tr r="AR14" s="1"/>
        <tr r="AR40" s="1"/>
        <tr r="AR40" s="1"/>
        <tr r="AR38" s="1"/>
        <tr r="AR38" s="1"/>
        <tr r="AR36" s="1"/>
        <tr r="AR36" s="1"/>
        <tr r="AR34" s="1"/>
        <tr r="AR34" s="1"/>
        <tr r="AR24" s="1"/>
        <tr r="AR24" s="1"/>
        <tr r="AR30" s="1"/>
        <tr r="AR30" s="1"/>
        <tr r="AS51" s="5"/>
        <tr r="AS51" s="5"/>
        <tr r="AS7" s="5"/>
        <tr r="AS7" s="5"/>
        <tr r="AS47" s="5"/>
        <tr r="AS47" s="5"/>
        <tr r="AS11" s="5"/>
        <tr r="AS11" s="5"/>
        <tr r="AS13" s="5"/>
        <tr r="AS13" s="5"/>
        <tr r="AS41" s="5"/>
        <tr r="AS41" s="5"/>
        <tr r="AS39" s="5"/>
        <tr r="AS39" s="5"/>
        <tr r="AS37" s="5"/>
        <tr r="AS37" s="5"/>
        <tr r="AS35" s="5"/>
        <tr r="AS35" s="5"/>
        <tr r="AS33" s="5"/>
        <tr r="AS33" s="5"/>
        <tr r="AS25" s="5"/>
        <tr r="AS25" s="5"/>
        <tr r="AS27" s="5"/>
        <tr r="AS27" s="5"/>
        <tr r="AR5" s="1"/>
        <tr r="AR5" s="1"/>
        <tr r="AR49" s="1"/>
        <tr r="AR49" s="1"/>
        <tr r="AR47" s="1"/>
        <tr r="AR47" s="1"/>
        <tr r="AR11" s="1"/>
        <tr r="AR11" s="1"/>
        <tr r="AR13" s="1"/>
        <tr r="AR13" s="1"/>
        <tr r="AR15" s="1"/>
        <tr r="AR15" s="1"/>
        <tr r="AR39" s="1"/>
        <tr r="AR39" s="1"/>
        <tr r="AR37" s="1"/>
        <tr r="AR37" s="1"/>
        <tr r="AR21" s="1"/>
        <tr r="AR21" s="1"/>
        <tr r="AR23" s="1"/>
        <tr r="AR23" s="1"/>
        <tr r="AR25" s="1"/>
        <tr r="AR25" s="1"/>
        <tr r="AR29" s="1"/>
        <tr r="AR29" s="1"/>
      </tp>
      <tp t="s">
        <v>N/A</v>
        <stp/>
        <stp>OPEN_INT</stp>
        <stp>.OPEN251014C13.5</stp>
        <tr r="E17" s="2"/>
      </tp>
      <tp>
        <v>2632</v>
        <stp/>
        <stp>OPEN_INT</stp>
        <stp>.OPEN251024C10.5</stp>
        <tr r="M23" s="2"/>
        <tr r="M23" s="2"/>
      </tp>
      <tp t="s">
        <v>N/A</v>
        <stp/>
        <stp>OPEN_INT</stp>
        <stp>.OPEN251014C-3.5</stp>
        <tr r="E51" s="2"/>
      </tp>
      <tp t="s">
        <v>N/A</v>
        <stp/>
        <stp>OPEN_INT</stp>
        <stp>.OPEN251024C-0.5</stp>
        <tr r="M45" s="2"/>
      </tp>
      <tp t="s">
        <v>N/A</v>
        <stp/>
        <stp>OPEN_INT</stp>
        <stp>.OPEN261120P20.5</stp>
        <tr r="V7" s="1"/>
      </tp>
      <tp t="s">
        <v>N/A</v>
        <stp/>
        <stp>OPEN_INT</stp>
        <stp>.OPEN261120P10.5</stp>
        <tr r="V27" s="1"/>
      </tp>
      <tp t="s">
        <v>N/A</v>
        <stp/>
        <stp>OPEN_INT</stp>
        <stp>.OPEN251013P13.5</stp>
        <tr r="D17" s="2"/>
      </tp>
      <tp t="s">
        <v>N/A</v>
        <stp/>
        <stp>OPEN_INT</stp>
        <stp>.OPEN251023P10.5</stp>
        <tr r="L23" s="2"/>
      </tp>
      <tp t="s">
        <v>N/A</v>
        <stp/>
        <stp>OPEN_INT</stp>
        <stp>.OPEN261120P-0.5</stp>
        <tr r="V49" s="1"/>
      </tp>
      <tp t="s">
        <v>N/A</v>
        <stp/>
        <stp>OPEN_INT</stp>
        <stp>.OPEN251013P-3.5</stp>
        <tr r="D51" s="2"/>
      </tp>
      <tp t="s">
        <v>N/A</v>
        <stp/>
        <stp>OPEN_INT</stp>
        <stp>.OPEN251023P-0.5</stp>
        <tr r="L45" s="2"/>
      </tp>
      <tp t="s">
        <v>N/A</v>
        <stp/>
        <stp>OPEN_INT</stp>
        <stp>.OPEN260320P10.5</stp>
        <tr r="N27" s="1"/>
      </tp>
      <tp t="s">
        <v>N/A</v>
        <stp/>
        <stp>OPEN_INT</stp>
        <stp>.OPEN260220P10.5</stp>
        <tr r="M27" s="1"/>
      </tp>
      <tp t="s">
        <v>N/A</v>
        <stp/>
        <stp>OPEN_INT</stp>
        <stp>.OPEN260220P20.5</stp>
        <tr r="M7" s="1"/>
      </tp>
      <tp t="s">
        <v>N/A</v>
        <stp/>
        <stp>OPEN_INT</stp>
        <stp>.OPEN260320P20.5</stp>
        <tr r="N7" s="1"/>
      </tp>
      <tp t="s">
        <v>N/A</v>
        <stp/>
        <stp>OPEN_INT</stp>
        <stp>.OPEN260320P-0.5</stp>
        <tr r="N49" s="1"/>
      </tp>
      <tp t="s">
        <v>N/A</v>
        <stp/>
        <stp>OPEN_INT</stp>
        <stp>.OPEN260220P-0.5</stp>
        <tr r="M49" s="1"/>
      </tp>
      <tp t="s">
        <v>N/A</v>
        <stp/>
        <stp>OPEN_INT</stp>
        <stp>.OPEN260320C10.5</stp>
        <tr r="N27" s="1"/>
      </tp>
      <tp t="s">
        <v>N/A</v>
        <stp/>
        <stp>OPEN_INT</stp>
        <stp>.OPEN260220C10.5</stp>
        <tr r="M27" s="1"/>
      </tp>
      <tp t="s">
        <v>N/A</v>
        <stp/>
        <stp>OPEN_INT</stp>
        <stp>.OPEN260220C20.5</stp>
        <tr r="M7" s="1"/>
      </tp>
      <tp t="s">
        <v>N/A</v>
        <stp/>
        <stp>OPEN_INT</stp>
        <stp>.OPEN260320C20.5</stp>
        <tr r="N7" s="1"/>
      </tp>
      <tp t="s">
        <v>N/A</v>
        <stp/>
        <stp>OPEN_INT</stp>
        <stp>.OPEN260320C-0.5</stp>
        <tr r="N49" s="1"/>
      </tp>
      <tp t="s">
        <v>N/A</v>
        <stp/>
        <stp>OPEN_INT</stp>
        <stp>.OPEN260220C-0.5</stp>
        <tr r="M49" s="1"/>
      </tp>
      <tp t="s">
        <v>N/A</v>
        <stp/>
        <stp>OPEN_INT</stp>
        <stp>.OPEN261120C20.5</stp>
        <tr r="V7" s="1"/>
      </tp>
      <tp t="s">
        <v>N/A</v>
        <stp/>
        <stp>OPEN_INT</stp>
        <stp>.OPEN261120C10.5</stp>
        <tr r="V27" s="1"/>
      </tp>
      <tp t="s">
        <v>N/A</v>
        <stp/>
        <stp>OPEN_INT</stp>
        <stp>.OPEN251013C13.5</stp>
        <tr r="D17" s="2"/>
      </tp>
      <tp t="s">
        <v>N/A</v>
        <stp/>
        <stp>OPEN_INT</stp>
        <stp>.OPEN251023C10.5</stp>
        <tr r="L23" s="2"/>
      </tp>
      <tp t="s">
        <v>N/A</v>
        <stp/>
        <stp>OPEN_INT</stp>
        <stp>.OPEN261120C-0.5</stp>
        <tr r="V49" s="1"/>
      </tp>
      <tp t="s">
        <v>N/A</v>
        <stp/>
        <stp>OPEN_INT</stp>
        <stp>.OPEN251013C-3.5</stp>
        <tr r="D51" s="2"/>
      </tp>
      <tp t="s">
        <v>N/A</v>
        <stp/>
        <stp>OPEN_INT</stp>
        <stp>.OPEN251023C-0.5</stp>
        <tr r="L45" s="2"/>
      </tp>
      <tp t="s">
        <v>N/A</v>
        <stp/>
        <stp>OPEN_INT</stp>
        <stp>.OPEN251212P13.5</stp>
        <tr r="G21" s="1"/>
      </tp>
      <tp t="s">
        <v>N/A</v>
        <stp/>
        <stp>OPEN_INT</stp>
        <stp>.OPEN251022P10.5</stp>
        <tr r="K23" s="2"/>
      </tp>
      <tp t="s">
        <v>N/A</v>
        <stp/>
        <stp>OPEN_INT</stp>
        <stp>.OPEN251022P-0.5</stp>
        <tr r="K45" s="2"/>
      </tp>
      <tp t="s">
        <v>N/A</v>
        <stp/>
        <stp>OPEN_INT</stp>
        <stp>.OPEN260821P20.5</stp>
        <tr r="S7" s="1"/>
      </tp>
      <tp t="s">
        <v>N/A</v>
        <stp/>
        <stp>OPEN_INT</stp>
        <stp>.OPEN260821P10.5</stp>
        <tr r="S27" s="1"/>
      </tp>
      <tp t="s">
        <v>N/A</v>
        <stp/>
        <stp>OPEN_INT</stp>
        <stp>.OPEN260821P-0.5</stp>
        <tr r="S49" s="1"/>
      </tp>
      <tp t="s">
        <v>N/A</v>
        <stp/>
        <stp>OPEN_INT</stp>
        <stp>.OPEN260821C20.5</stp>
        <tr r="S7" s="1"/>
      </tp>
      <tp t="s">
        <v>N/A</v>
        <stp/>
        <stp>OPEN_INT</stp>
        <stp>.OPEN260821C10.5</stp>
        <tr r="S27" s="1"/>
      </tp>
      <tp t="s">
        <v>N/A</v>
        <stp/>
        <stp>OPEN_INT</stp>
        <stp>.OPEN260821C-0.5</stp>
        <tr r="S49" s="1"/>
      </tp>
      <tp t="s">
        <v>N/A</v>
        <stp/>
        <stp>OPEN_INT</stp>
        <stp>.OPEN251212C13.5</stp>
        <tr r="G21" s="1"/>
      </tp>
      <tp t="s">
        <v>N/A</v>
        <stp/>
        <stp>OPEN_INT</stp>
        <stp>.OPEN251022C10.5</stp>
        <tr r="K23" s="2"/>
      </tp>
      <tp t="s">
        <v>N/A</v>
        <stp/>
        <stp>OPEN_INT</stp>
        <stp>.OPEN251022C-0.5</stp>
        <tr r="K45" s="2"/>
      </tp>
      <tp t="s">
        <v>N/A</v>
        <stp/>
        <stp>OPEN_INT</stp>
        <stp>.OPEN251121P20.5</stp>
        <tr r="D7" s="1"/>
      </tp>
      <tp t="s">
        <v>N/A</v>
        <stp/>
        <stp>OPEN_INT</stp>
        <stp>.OPEN251231P11.5</stp>
        <tr r="V21" s="2"/>
      </tp>
      <tp>
        <v>11</v>
        <stp/>
        <stp>OPEN_INT</stp>
        <stp>.OPEN251121P10.5</stp>
        <tr r="D27" s="1"/>
        <tr r="D27" s="1"/>
        <tr r="S23" s="2"/>
        <tr r="S23" s="2"/>
      </tp>
      <tp t="s">
        <v>N/A</v>
        <stp/>
        <stp>OPEN_INT</stp>
        <stp>.OPEN251021P10.5</stp>
        <tr r="J23" s="2"/>
      </tp>
      <tp>
        <v>36</v>
        <stp/>
        <stp>OPEN_INT</stp>
        <stp>.OPEN251031P11.5</stp>
        <tr r="R21" s="2"/>
        <tr r="R21" s="2"/>
      </tp>
      <tp t="s">
        <v>N/A</v>
        <stp/>
        <stp>OPEN_INT</stp>
        <stp>.OPEN251231P-1.5</stp>
        <tr r="V47" s="2"/>
      </tp>
      <tp t="s">
        <v>N/A</v>
        <stp/>
        <stp>OPEN_INT</stp>
        <stp>.OPEN251121P-0.5</stp>
        <tr r="D49" s="1"/>
        <tr r="S45" s="2"/>
      </tp>
      <tp t="s">
        <v>N/A</v>
        <stp/>
        <stp>OPEN_INT</stp>
        <stp>.OPEN251021P-0.5</stp>
        <tr r="J45" s="2"/>
      </tp>
      <tp t="s">
        <v>N/A</v>
        <stp/>
        <stp>OPEN_INT</stp>
        <stp>.OPEN251031P-1.5</stp>
        <tr r="R47" s="2"/>
      </tp>
      <tp t="s">
        <v>N/A</v>
        <stp/>
        <stp>OPEN_INT</stp>
        <stp>.OPEN260102P12.5</stp>
        <tr r="J23" s="1"/>
      </tp>
      <tp t="s">
        <v>N/A</v>
        <stp/>
        <stp>OPEN_INT</stp>
        <stp>.OPEN260102C12.5</stp>
        <tr r="J23" s="1"/>
      </tp>
      <tp t="s">
        <v>N/A</v>
        <stp/>
        <stp>OPEN_INT</stp>
        <stp>.OPEN251121C20.5</stp>
        <tr r="D7" s="1"/>
      </tp>
      <tp t="s">
        <v>N/A</v>
        <stp/>
        <stp>OPEN_INT</stp>
        <stp>.OPEN251231C11.5</stp>
        <tr r="V21" s="2"/>
      </tp>
      <tp>
        <v>1208</v>
        <stp/>
        <stp>OPEN_INT</stp>
        <stp>.OPEN251121C10.5</stp>
        <tr r="D27" s="1"/>
        <tr r="D27" s="1"/>
        <tr r="S23" s="2"/>
        <tr r="S23" s="2"/>
      </tp>
      <tp t="s">
        <v>N/A</v>
        <stp/>
        <stp>OPEN_INT</stp>
        <stp>.OPEN251021C10.5</stp>
        <tr r="J23" s="2"/>
      </tp>
      <tp>
        <v>3356</v>
        <stp/>
        <stp>OPEN_INT</stp>
        <stp>.OPEN251031C11.5</stp>
        <tr r="R21" s="2"/>
        <tr r="R21" s="2"/>
      </tp>
      <tp t="s">
        <v>N/A</v>
        <stp/>
        <stp>OPEN_INT</stp>
        <stp>.OPEN251231C-1.5</stp>
        <tr r="V47" s="2"/>
      </tp>
      <tp t="s">
        <v>N/A</v>
        <stp/>
        <stp>OPEN_INT</stp>
        <stp>.OPEN251121C-0.5</stp>
        <tr r="D49" s="1"/>
        <tr r="S45" s="2"/>
      </tp>
      <tp t="s">
        <v>N/A</v>
        <stp/>
        <stp>OPEN_INT</stp>
        <stp>.OPEN251021C-0.5</stp>
        <tr r="J45" s="2"/>
      </tp>
      <tp t="s">
        <v>N/A</v>
        <stp/>
        <stp>OPEN_INT</stp>
        <stp>.OPEN251031C-1.5</stp>
        <tr r="R47" s="2"/>
      </tp>
      <tp>
        <v>7</v>
        <stp/>
        <stp>OPEN_INT</stp>
        <stp>.OPEN251010P13.5</stp>
        <tr r="C17" s="2"/>
        <tr r="C17" s="2"/>
      </tp>
      <tp t="s">
        <v>N/A</v>
        <stp/>
        <stp>OPEN_INT</stp>
        <stp>.OPEN251020P10.5</stp>
        <tr r="I23" s="2"/>
      </tp>
      <tp t="s">
        <v>N/A</v>
        <stp/>
        <stp>OPEN_INT</stp>
        <stp>.OPEN251030P11.5</stp>
        <tr r="Q21" s="2"/>
      </tp>
      <tp t="s">
        <v>N/A</v>
        <stp/>
        <stp>OPEN_INT</stp>
        <stp>.OPEN251010P-3.5</stp>
        <tr r="C51" s="2"/>
      </tp>
      <tp t="s">
        <v>N/A</v>
        <stp/>
        <stp>OPEN_INT</stp>
        <stp>.OPEN251020P-0.5</stp>
        <tr r="I45" s="2"/>
      </tp>
      <tp t="s">
        <v>N/A</v>
        <stp/>
        <stp>OPEN_INT</stp>
        <stp>.OPEN251030P-1.5</stp>
        <tr r="Q47" s="2"/>
      </tp>
      <tp>
        <v>3378</v>
        <stp/>
        <stp>OPEN_INT</stp>
        <stp>.OPEN251010C13.5</stp>
        <tr r="C17" s="2"/>
        <tr r="C17" s="2"/>
      </tp>
      <tp t="s">
        <v>N/A</v>
        <stp/>
        <stp>OPEN_INT</stp>
        <stp>.OPEN251020C10.5</stp>
        <tr r="I23" s="2"/>
      </tp>
      <tp t="s">
        <v>N/A</v>
        <stp/>
        <stp>OPEN_INT</stp>
        <stp>.OPEN251030C11.5</stp>
        <tr r="Q21" s="2"/>
      </tp>
      <tp t="s">
        <v>N/A</v>
        <stp/>
        <stp>OPEN_INT</stp>
        <stp>.OPEN251010C-3.5</stp>
        <tr r="C51" s="2"/>
      </tp>
      <tp t="s">
        <v>N/A</v>
        <stp/>
        <stp>OPEN_INT</stp>
        <stp>.OPEN251020C-0.5</stp>
        <tr r="I45" s="2"/>
      </tp>
      <tp t="s">
        <v>N/A</v>
        <stp/>
        <stp>OPEN_INT</stp>
        <stp>.OPEN251030C-1.5</stp>
        <tr r="Q47" s="2"/>
      </tp>
      <tp t="s">
        <v>N/A</v>
        <stp/>
        <stp>OPEN_INT</stp>
        <stp>.OPEN261218P10.5</stp>
        <tr r="W27" s="1"/>
      </tp>
      <tp t="s">
        <v>N/A</v>
        <stp/>
        <stp>OPEN_INT</stp>
        <stp>.OPEN261218P20.5</stp>
        <tr r="W7" s="1"/>
      </tp>
      <tp t="s">
        <v>N/A</v>
        <stp/>
        <stp>OPEN_INT</stp>
        <stp>.OPEN261218P-0.5</stp>
        <tr r="W49" s="1"/>
      </tp>
      <tp t="s">
        <v>N/A</v>
        <stp/>
        <stp>OPEN_INT</stp>
        <stp>.OPEN260918P20.5</stp>
        <tr r="T7" s="1"/>
      </tp>
      <tp t="s">
        <v>N/A</v>
        <stp/>
        <stp>OPEN_INT</stp>
        <stp>.OPEN260918P10.5</stp>
        <tr r="T27" s="1"/>
      </tp>
      <tp t="s">
        <v>N/A</v>
        <stp/>
        <stp>OPEN_INT</stp>
        <stp>.OPEN260918P-0.5</stp>
        <tr r="T49" s="1"/>
      </tp>
      <tp t="s">
        <v>N/A</v>
        <stp/>
        <stp>OPEN_INT</stp>
        <stp>.OPEN260918C20.5</stp>
        <tr r="T7" s="1"/>
      </tp>
      <tp t="s">
        <v>N/A</v>
        <stp/>
        <stp>OPEN_INT</stp>
        <stp>.OPEN260918C10.5</stp>
        <tr r="T27" s="1"/>
      </tp>
      <tp t="s">
        <v>N/A</v>
        <stp/>
        <stp>OPEN_INT</stp>
        <stp>.OPEN260918C-0.5</stp>
        <tr r="T49" s="1"/>
      </tp>
      <tp t="s">
        <v>N/A</v>
        <stp/>
        <stp>OPEN_INT</stp>
        <stp>.OPEN261218C10.5</stp>
        <tr r="W27" s="1"/>
      </tp>
      <tp t="s">
        <v>N/A</v>
        <stp/>
        <stp>OPEN_INT</stp>
        <stp>.OPEN261218C20.5</stp>
        <tr r="W7" s="1"/>
      </tp>
      <tp t="s">
        <v>N/A</v>
        <stp/>
        <stp>OPEN_INT</stp>
        <stp>.OPEN261218C-0.5</stp>
        <tr r="W49" s="1"/>
      </tp>
      <tp t="s">
        <v>N/A</v>
        <stp/>
        <stp>OPEN_INT</stp>
        <stp>.OPEN260619P10.5</stp>
        <tr r="Q27" s="1"/>
      </tp>
      <tp t="s">
        <v>N/A</v>
        <stp/>
        <stp>OPEN_INT</stp>
        <stp>.OPEN260619P20.5</stp>
        <tr r="Q7" s="1"/>
      </tp>
      <tp t="s">
        <v>N/A</v>
        <stp/>
        <stp>OPEN_INT</stp>
        <stp>.OPEN260109P21.5</stp>
        <tr r="K5" s="1"/>
      </tp>
      <tp t="s">
        <v>N/A</v>
        <stp/>
        <stp>OPEN_INT</stp>
        <stp>.OPEN260109P11.5</stp>
        <tr r="K25" s="1"/>
      </tp>
      <tp t="s">
        <v>N/A</v>
        <stp/>
        <stp>OPEN_INT</stp>
        <stp>.OPEN260109P-1.5</stp>
        <tr r="K51" s="1"/>
      </tp>
      <tp t="s">
        <v>N/A</v>
        <stp/>
        <stp>OPEN_INT</stp>
        <stp>.OPEN260619P-0.5</stp>
        <tr r="Q49" s="1"/>
      </tp>
      <tp t="s">
        <v>N/A</v>
        <stp/>
        <stp>OPEN_INT</stp>
        <stp>.OPEN260619C10.5</stp>
        <tr r="Q27" s="1"/>
      </tp>
      <tp t="s">
        <v>N/A</v>
        <stp/>
        <stp>OPEN_INT</stp>
        <stp>.OPEN260619C20.5</stp>
        <tr r="Q7" s="1"/>
      </tp>
      <tp t="s">
        <v>N/A</v>
        <stp/>
        <stp>OPEN_INT</stp>
        <stp>.OPEN260109C21.5</stp>
        <tr r="K5" s="1"/>
      </tp>
      <tp t="s">
        <v>N/A</v>
        <stp/>
        <stp>OPEN_INT</stp>
        <stp>.OPEN260109C11.5</stp>
        <tr r="K25" s="1"/>
      </tp>
      <tp t="s">
        <v>N/A</v>
        <stp/>
        <stp>OPEN_INT</stp>
        <stp>.OPEN260109C-1.5</stp>
        <tr r="K51" s="1"/>
      </tp>
      <tp t="s">
        <v>N/A</v>
        <stp/>
        <stp>OPEN_INT</stp>
        <stp>.OPEN260619C-0.5</stp>
        <tr r="Q49" s="1"/>
      </tp>
      <tp t="s">
        <v>N/A</v>
        <stp/>
        <stp>OPEN_INT</stp>
        <stp>.OPEN251219P10.5</stp>
        <tr r="H27" s="1"/>
        <tr r="U23" s="2"/>
      </tp>
      <tp t="s">
        <v>N/A</v>
        <stp/>
        <stp>OPEN_INT</stp>
        <stp>.OPEN251219P20.5</stp>
        <tr r="H7" s="1"/>
      </tp>
      <tp t="s">
        <v>N/A</v>
        <stp/>
        <stp>OPEN_INT</stp>
        <stp>.OPEN251009P11.5</stp>
        <tr r="B21" s="2"/>
      </tp>
      <tp t="s">
        <v>N/A</v>
        <stp/>
        <stp>OPEN_INT</stp>
        <stp>.OPEN251029P13.5</stp>
        <tr r="P17" s="2"/>
      </tp>
      <tp t="s">
        <v>N/A</v>
        <stp/>
        <stp>OPEN_INT</stp>
        <stp>.OPEN251219P-0.5</stp>
        <tr r="H49" s="1"/>
        <tr r="U45" s="2"/>
      </tp>
      <tp t="s">
        <v>N/A</v>
        <stp/>
        <stp>OPEN_INT</stp>
        <stp>.OPEN251009P-1.5</stp>
        <tr r="B47" s="2"/>
      </tp>
      <tp t="s">
        <v>N/A</v>
        <stp/>
        <stp>OPEN_INT</stp>
        <stp>.OPEN251029P-3.5</stp>
        <tr r="P51" s="2"/>
      </tp>
      <tp t="s">
        <v>N/A</v>
        <stp/>
        <stp>OPEN_INT</stp>
        <stp>.OPEN251219C10.5</stp>
        <tr r="H27" s="1"/>
        <tr r="U23" s="2"/>
      </tp>
      <tp t="s">
        <v>N/A</v>
        <stp/>
        <stp>OPEN_INT</stp>
        <stp>.OPEN251219C20.5</stp>
        <tr r="H7" s="1"/>
      </tp>
      <tp t="s">
        <v>N/A</v>
        <stp/>
        <stp>OPEN_INT</stp>
        <stp>.OPEN251009C11.5</stp>
        <tr r="B21" s="2"/>
      </tp>
      <tp t="s">
        <v>N/A</v>
        <stp/>
        <stp>OPEN_INT</stp>
        <stp>.OPEN251029C13.5</stp>
        <tr r="P17" s="2"/>
      </tp>
      <tp t="s">
        <v>N/A</v>
        <stp/>
        <stp>OPEN_INT</stp>
        <stp>.OPEN251219C-0.5</stp>
        <tr r="H49" s="1"/>
        <tr r="U45" s="2"/>
      </tp>
      <tp t="s">
        <v>N/A</v>
        <stp/>
        <stp>OPEN_INT</stp>
        <stp>.OPEN251009C-1.5</stp>
        <tr r="B47" s="2"/>
      </tp>
      <tp t="s">
        <v>N/A</v>
        <stp/>
        <stp>OPEN_INT</stp>
        <stp>.OPEN251029C-3.5</stp>
        <tr r="P51" s="2"/>
      </tp>
      <tp t="s">
        <v>N/A</v>
        <stp/>
        <stp>OPEN_INT</stp>
        <stp>.OPEN251128P13.5</stp>
        <tr r="E21" s="1"/>
        <tr r="T17" s="2"/>
      </tp>
      <tp t="s">
        <v>N/A</v>
        <stp/>
        <stp>OPEN_INT</stp>
        <stp>.OPEN251028P13.5</stp>
        <tr r="O17" s="2"/>
      </tp>
      <tp t="s">
        <v>N/A</v>
        <stp/>
        <stp>OPEN_INT</stp>
        <stp>.OPEN251128P-3.5</stp>
        <tr r="T51" s="2"/>
      </tp>
      <tp t="s">
        <v>N/A</v>
        <stp/>
        <stp>OPEN_INT</stp>
        <stp>.OPEN251028P-3.5</stp>
        <tr r="O51" s="2"/>
      </tp>
      <tp t="s">
        <v>N/A</v>
        <stp/>
        <stp>OPEN_INT</stp>
        <stp>.OPEN251128C13.5</stp>
        <tr r="E21" s="1"/>
        <tr r="T17" s="2"/>
      </tp>
      <tp t="s">
        <v>N/A</v>
        <stp/>
        <stp>OPEN_INT</stp>
        <stp>.OPEN251028C13.5</stp>
        <tr r="O17" s="2"/>
      </tp>
      <tp t="s">
        <v>N/A</v>
        <stp/>
        <stp>OPEN_INT</stp>
        <stp>.OPEN251128C-3.5</stp>
        <tr r="T51" s="2"/>
      </tp>
      <tp t="s">
        <v>N/A</v>
        <stp/>
        <stp>OPEN_INT</stp>
        <stp>.OPEN251028C-3.5</stp>
        <tr r="O51" s="2"/>
      </tp>
      <tp>
        <v>343</v>
        <stp/>
        <stp>OPEN_INT</stp>
        <stp>.OPEN251017P10.5</stp>
        <tr r="H23" s="2"/>
        <tr r="H23" s="2"/>
      </tp>
      <tp t="s">
        <v>N/A</v>
        <stp/>
        <stp>OPEN_INT</stp>
        <stp>.OPEN251027P13.5</stp>
        <tr r="N17" s="2"/>
      </tp>
      <tp t="s">
        <v>N/A</v>
        <stp/>
        <stp>OPEN_INT</stp>
        <stp>.OPEN251017P-0.5</stp>
        <tr r="H45" s="2"/>
      </tp>
      <tp t="s">
        <v>N/A</v>
        <stp/>
        <stp>OPEN_INT</stp>
        <stp>.OPEN251027P-3.5</stp>
        <tr r="N51" s="2"/>
      </tp>
      <tp>
        <v>13846</v>
        <stp/>
        <stp>OPEN_INT</stp>
        <stp>.OPEN251017C10.5</stp>
        <tr r="H23" s="2"/>
        <tr r="H23" s="2"/>
      </tp>
      <tp t="s">
        <v>N/A</v>
        <stp/>
        <stp>OPEN_INT</stp>
        <stp>.OPEN251027C13.5</stp>
        <tr r="N17" s="2"/>
      </tp>
      <tp t="s">
        <v>N/A</v>
        <stp/>
        <stp>OPEN_INT</stp>
        <stp>.OPEN251017C-0.5</stp>
        <tr r="H45" s="2"/>
      </tp>
      <tp t="s">
        <v>N/A</v>
        <stp/>
        <stp>OPEN_INT</stp>
        <stp>.OPEN251027C-3.5</stp>
        <tr r="N51" s="2"/>
      </tp>
      <tp t="s">
        <v>N/A</v>
        <stp/>
        <stp>OPEN_INT</stp>
        <stp>.OPEN251226P13.5</stp>
        <tr r="I21" s="1"/>
      </tp>
      <tp t="s">
        <v>N/A</v>
        <stp/>
        <stp>OPEN_INT</stp>
        <stp>.OPEN251016P10.5</stp>
        <tr r="G23" s="2"/>
      </tp>
      <tp t="s">
        <v>N/A</v>
        <stp/>
        <stp>OPEN_INT</stp>
        <stp>.OPEN251016P-0.5</stp>
        <tr r="G45" s="2"/>
      </tp>
      <tp t="s">
        <v>N/A</v>
        <stp/>
        <stp>OPEN_INT</stp>
        <stp>.OPEN260515P20.5</stp>
        <tr r="P7" s="1"/>
      </tp>
      <tp t="s">
        <v>N/A</v>
        <stp/>
        <stp>OPEN_INT</stp>
        <stp>.OPEN260515P10.5</stp>
        <tr r="P27" s="1"/>
      </tp>
      <tp t="s">
        <v>N/A</v>
        <stp/>
        <stp>OPEN_INT</stp>
        <stp>.OPEN260515P-0.5</stp>
        <tr r="P49" s="1"/>
      </tp>
      <tp t="s">
        <v>N/A</v>
        <stp/>
        <stp>OPEN_INT</stp>
        <stp>.OPEN260515C20.5</stp>
        <tr r="P7" s="1"/>
      </tp>
      <tp t="s">
        <v>N/A</v>
        <stp/>
        <stp>OPEN_INT</stp>
        <stp>.OPEN260515C10.5</stp>
        <tr r="P27" s="1"/>
      </tp>
      <tp t="s">
        <v>N/A</v>
        <stp/>
        <stp>OPEN_INT</stp>
        <stp>.OPEN260515C-0.5</stp>
        <tr r="P49" s="1"/>
      </tp>
      <tp t="s">
        <v>N/A</v>
        <stp/>
        <stp>OPEN_INT</stp>
        <stp>.OPEN251226C13.5</stp>
        <tr r="I21" s="1"/>
      </tp>
      <tp t="s">
        <v>N/A</v>
        <stp/>
        <stp>OPEN_INT</stp>
        <stp>.OPEN251016C10.5</stp>
        <tr r="G23" s="2"/>
      </tp>
      <tp t="s">
        <v>N/A</v>
        <stp/>
        <stp>OPEN_INT</stp>
        <stp>.OPEN251016C-0.5</stp>
        <tr r="G45" s="2"/>
      </tp>
      <tp t="s">
        <v>N/A</v>
        <stp/>
        <stp>OPEN_INT</stp>
        <stp>.OPEN261016P20.5</stp>
        <tr r="U7" s="1"/>
      </tp>
      <tp>
        <v>0</v>
        <stp/>
        <stp>OPEN_INT</stp>
        <stp>.OPEN251205P11.5</stp>
        <tr r="F25" s="1"/>
        <tr r="F25" s="1"/>
      </tp>
      <tp t="s">
        <v>N/A</v>
        <stp/>
        <stp>OPEN_INT</stp>
        <stp>.OPEN251205P21.5</stp>
        <tr r="F5" s="1"/>
      </tp>
      <tp t="s">
        <v>N/A</v>
        <stp/>
        <stp>OPEN_INT</stp>
        <stp>.OPEN251015P10.5</stp>
        <tr r="F23" s="2"/>
      </tp>
      <tp t="s">
        <v>N/A</v>
        <stp/>
        <stp>OPEN_INT</stp>
        <stp>.OPEN261016P10.5</stp>
        <tr r="U27" s="1"/>
      </tp>
      <tp t="s">
        <v>N/A</v>
        <stp/>
        <stp>OPEN_INT</stp>
        <stp>.OPEN251205P-1.5</stp>
        <tr r="F51" s="1"/>
      </tp>
      <tp t="s">
        <v>N/A</v>
        <stp/>
        <stp>OPEN_INT</stp>
        <stp>.OPEN251015P-0.5</stp>
        <tr r="F45" s="2"/>
      </tp>
      <tp t="s">
        <v>N/A</v>
        <stp/>
        <stp>OPEN_INT</stp>
        <stp>.OPEN261016P-0.5</stp>
        <tr r="U49" s="1"/>
      </tp>
      <tp t="s">
        <v>N/A</v>
        <stp/>
        <stp>OPEN_INT</stp>
        <stp>.OPEN260116P20.5</stp>
        <tr r="L7" s="1"/>
      </tp>
      <tp t="s">
        <v>N/A</v>
        <stp/>
        <stp>OPEN_INT</stp>
        <stp>.OPEN260116P10.5</stp>
        <tr r="L27" s="1"/>
        <tr r="W23" s="2"/>
      </tp>
      <tp t="s">
        <v>N/A</v>
        <stp/>
        <stp>OPEN_INT</stp>
        <stp>.OPEN260116P-0.5</stp>
        <tr r="L49" s="1"/>
        <tr r="W45" s="2"/>
      </tp>
      <tp t="s">
        <v>N/A</v>
        <stp/>
        <stp>OPEN_INT</stp>
        <stp>.OPEN260116C20.5</stp>
        <tr r="L7" s="1"/>
      </tp>
      <tp t="s">
        <v>N/A</v>
        <stp/>
        <stp>OPEN_INT</stp>
        <stp>.OPEN260116C10.5</stp>
        <tr r="L27" s="1"/>
        <tr r="W23" s="2"/>
      </tp>
      <tp t="s">
        <v>N/A</v>
        <stp/>
        <stp>OPEN_INT</stp>
        <stp>.OPEN260116C-0.5</stp>
        <tr r="L49" s="1"/>
        <tr r="W45" s="2"/>
      </tp>
      <tp t="s">
        <v>N/A</v>
        <stp/>
        <stp>OPEN_INT</stp>
        <stp>.OPEN261016C20.5</stp>
        <tr r="U7" s="1"/>
      </tp>
      <tp>
        <v>23</v>
        <stp/>
        <stp>OPEN_INT</stp>
        <stp>.OPEN251205C11.5</stp>
        <tr r="F25" s="1"/>
        <tr r="F25" s="1"/>
      </tp>
      <tp t="s">
        <v>N/A</v>
        <stp/>
        <stp>OPEN_INT</stp>
        <stp>.OPEN251205C21.5</stp>
        <tr r="F5" s="1"/>
      </tp>
      <tp t="s">
        <v>N/A</v>
        <stp/>
        <stp>OPEN_INT</stp>
        <stp>.OPEN251015C10.5</stp>
        <tr r="F23" s="2"/>
      </tp>
      <tp t="s">
        <v>N/A</v>
        <stp/>
        <stp>OPEN_INT</stp>
        <stp>.OPEN261016C10.5</stp>
        <tr r="U27" s="1"/>
      </tp>
      <tp t="s">
        <v>N/A</v>
        <stp/>
        <stp>OPEN_INT</stp>
        <stp>.OPEN251205C-1.5</stp>
        <tr r="F51" s="1"/>
      </tp>
      <tp t="s">
        <v>N/A</v>
        <stp/>
        <stp>OPEN_INT</stp>
        <stp>.OPEN251015C-0.5</stp>
        <tr r="F45" s="2"/>
      </tp>
      <tp t="s">
        <v>N/A</v>
        <stp/>
        <stp>OPEN_INT</stp>
        <stp>.OPEN261016C-0.5</stp>
        <tr r="U49" s="1"/>
      </tp>
      <tp t="s">
        <v>N/A</v>
        <stp/>
        <stp>OPEN_INT</stp>
        <stp>.OPEN251114P20.5</stp>
        <tr r="AD52" s="1"/>
        <tr r="C7" s="1"/>
        <tr r="AE52" s="5"/>
        <tr r="AE5" s="5"/>
        <tr r="AE7" s="5"/>
        <tr r="AE47" s="5"/>
        <tr r="AE11" s="5"/>
        <tr r="AE43" s="5"/>
        <tr r="AE15" s="5"/>
        <tr r="AE17" s="5"/>
        <tr r="AE19" s="5"/>
        <tr r="AE35" s="5"/>
        <tr r="AE23" s="5"/>
        <tr r="AE31" s="5"/>
        <tr r="AE27" s="5"/>
        <tr r="AD6" s="1"/>
        <tr r="AD48" s="1"/>
        <tr r="AD10" s="1"/>
        <tr r="AD12" s="1"/>
        <tr r="AD14" s="1"/>
        <tr r="AD16" s="1"/>
        <tr r="AD38" s="1"/>
        <tr r="AD36" s="1"/>
        <tr r="AD22" s="1"/>
        <tr r="AD32" s="1"/>
        <tr r="AD26" s="1"/>
        <tr r="AE51" s="5"/>
        <tr r="AE49" s="5"/>
        <tr r="AE9" s="5"/>
        <tr r="AE45" s="5"/>
        <tr r="AE13" s="5"/>
        <tr r="AE41" s="5"/>
        <tr r="AE39" s="5"/>
        <tr r="AE37" s="5"/>
        <tr r="AE21" s="5"/>
        <tr r="AE33" s="5"/>
        <tr r="AE25" s="5"/>
        <tr r="AE29" s="5"/>
        <tr r="AD5" s="1"/>
        <tr r="AD49" s="1"/>
        <tr r="AD9" s="1"/>
        <tr r="AD11" s="1"/>
        <tr r="AD43" s="1"/>
        <tr r="AD15" s="1"/>
        <tr r="AD39" s="1"/>
        <tr r="AD19" s="1"/>
        <tr r="AD21" s="1"/>
        <tr r="AD33" s="1"/>
        <tr r="AD25" s="1"/>
        <tr r="AD29" s="1"/>
        <tr r="AE50" s="5"/>
        <tr r="AE8" s="5"/>
        <tr r="AE46" s="5"/>
        <tr r="AE44" s="5"/>
        <tr r="AE14" s="5"/>
        <tr r="AE40" s="5"/>
        <tr r="AE18" s="5"/>
        <tr r="AE36" s="5"/>
        <tr r="AE34" s="5"/>
        <tr r="AE32" s="5"/>
        <tr r="AE30" s="5"/>
        <tr r="AE28" s="5"/>
        <tr r="AD51" s="1"/>
        <tr r="AD7" s="1"/>
        <tr r="AD47" s="1"/>
        <tr r="AD45" s="1"/>
        <tr r="AD13" s="1"/>
        <tr r="AD41" s="1"/>
        <tr r="AD17" s="1"/>
        <tr r="AD37" s="1"/>
        <tr r="AD35" s="1"/>
        <tr r="AD23" s="1"/>
        <tr r="AD31" s="1"/>
        <tr r="AD27" s="1"/>
        <tr r="AE6" s="5"/>
        <tr r="AE48" s="5"/>
        <tr r="AE10" s="5"/>
        <tr r="AE12" s="5"/>
        <tr r="AE42" s="5"/>
        <tr r="AE16" s="5"/>
        <tr r="AE38" s="5"/>
        <tr r="AE20" s="5"/>
        <tr r="AE22" s="5"/>
        <tr r="AE24" s="5"/>
        <tr r="AE26" s="5"/>
        <tr r="AD50" s="1"/>
        <tr r="AD8" s="1"/>
        <tr r="AD46" s="1"/>
        <tr r="AD44" s="1"/>
        <tr r="AD42" s="1"/>
        <tr r="AD40" s="1"/>
        <tr r="AD18" s="1"/>
        <tr r="AD20" s="1"/>
        <tr r="AD34" s="1"/>
        <tr r="AD24" s="1"/>
        <tr r="AD30" s="1"/>
        <tr r="AD28" s="1"/>
      </tp>
      <tp>
        <v>247</v>
        <stp/>
        <stp>OPEN_INT</stp>
        <stp>.OPEN251114P10.5</stp>
        <tr r="C27" s="1"/>
        <tr r="C27" s="1"/>
        <tr r="AX52" s="1"/>
        <tr r="AX52" s="1"/>
        <tr r="AY52" s="5"/>
        <tr r="AY52" s="5"/>
        <tr r="AY5" s="5"/>
        <tr r="AY5" s="5"/>
        <tr r="AY49" s="5"/>
        <tr r="AY49" s="5"/>
        <tr r="AY9" s="5"/>
        <tr r="AY9" s="5"/>
        <tr r="AY45" s="5"/>
        <tr r="AY45" s="5"/>
        <tr r="AY43" s="5"/>
        <tr r="AY43" s="5"/>
        <tr r="AY41" s="5"/>
        <tr r="AY41" s="5"/>
        <tr r="AY17" s="5"/>
        <tr r="AY17" s="5"/>
        <tr r="AY19" s="5"/>
        <tr r="AY19" s="5"/>
        <tr r="AY35" s="5"/>
        <tr r="AY35" s="5"/>
        <tr r="AY23" s="5"/>
        <tr r="AY23" s="5"/>
        <tr r="AY31" s="5"/>
        <tr r="AY31" s="5"/>
        <tr r="AY29" s="5"/>
        <tr r="AY29" s="5"/>
        <tr r="AX51" s="1"/>
        <tr r="AX51" s="1"/>
        <tr r="AX49" s="1"/>
        <tr r="AX49" s="1"/>
        <tr r="AX9" s="1"/>
        <tr r="AX9" s="1"/>
        <tr r="AX45" s="1"/>
        <tr r="AX45" s="1"/>
        <tr r="AX43" s="1"/>
        <tr r="AX43" s="1"/>
        <tr r="AX41" s="1"/>
        <tr r="AX41" s="1"/>
        <tr r="AX17" s="1"/>
        <tr r="AX17" s="1"/>
        <tr r="AX19" s="1"/>
        <tr r="AX19" s="1"/>
        <tr r="AX21" s="1"/>
        <tr r="AX21" s="1"/>
        <tr r="AX23" s="1"/>
        <tr r="AX23" s="1"/>
        <tr r="AX25" s="1"/>
        <tr r="AX25" s="1"/>
        <tr r="AX27" s="1"/>
        <tr r="AX27" s="1"/>
        <tr r="AY6" s="5"/>
        <tr r="AY6" s="5"/>
        <tr r="AY48" s="5"/>
        <tr r="AY48" s="5"/>
        <tr r="AY10" s="5"/>
        <tr r="AY10" s="5"/>
        <tr r="AY12" s="5"/>
        <tr r="AY12" s="5"/>
        <tr r="AY42" s="5"/>
        <tr r="AY42" s="5"/>
        <tr r="AY40" s="5"/>
        <tr r="AY40" s="5"/>
        <tr r="AY18" s="5"/>
        <tr r="AY18" s="5"/>
        <tr r="AY20" s="5"/>
        <tr r="AY20" s="5"/>
        <tr r="AY22" s="5"/>
        <tr r="AY22" s="5"/>
        <tr r="AY32" s="5"/>
        <tr r="AY32" s="5"/>
        <tr r="AY26" s="5"/>
        <tr r="AY26" s="5"/>
        <tr r="AY28" s="5"/>
        <tr r="AY28" s="5"/>
        <tr r="AX6" s="1"/>
        <tr r="AX6" s="1"/>
        <tr r="AX48" s="1"/>
        <tr r="AX48" s="1"/>
        <tr r="AX10" s="1"/>
        <tr r="AX10" s="1"/>
        <tr r="AX44" s="1"/>
        <tr r="AX44" s="1"/>
        <tr r="AX42" s="1"/>
        <tr r="AX42" s="1"/>
        <tr r="AX16" s="1"/>
        <tr r="AX16" s="1"/>
        <tr r="AX18" s="1"/>
        <tr r="AX18" s="1"/>
        <tr r="AX20" s="1"/>
        <tr r="AX20" s="1"/>
        <tr r="AX34" s="1"/>
        <tr r="AX34" s="1"/>
        <tr r="AX24" s="1"/>
        <tr r="AX24" s="1"/>
        <tr r="AX30" s="1"/>
        <tr r="AX30" s="1"/>
        <tr r="AX28" s="1"/>
        <tr r="AX28" s="1"/>
        <tr r="AY50" s="5"/>
        <tr r="AY50" s="5"/>
        <tr r="AY8" s="5"/>
        <tr r="AY8" s="5"/>
        <tr r="AY46" s="5"/>
        <tr r="AY46" s="5"/>
        <tr r="AY44" s="5"/>
        <tr r="AY44" s="5"/>
        <tr r="AY14" s="5"/>
        <tr r="AY14" s="5"/>
        <tr r="AY16" s="5"/>
        <tr r="AY16" s="5"/>
        <tr r="AY38" s="5"/>
        <tr r="AY38" s="5"/>
        <tr r="AY36" s="5"/>
        <tr r="AY36" s="5"/>
        <tr r="AY34" s="5"/>
        <tr r="AY34" s="5"/>
        <tr r="AY24" s="5"/>
        <tr r="AY24" s="5"/>
        <tr r="AY30" s="5"/>
        <tr r="AY30" s="5"/>
        <tr r="AX50" s="1"/>
        <tr r="AX50" s="1"/>
        <tr r="AX8" s="1"/>
        <tr r="AX8" s="1"/>
        <tr r="AX46" s="1"/>
        <tr r="AX46" s="1"/>
        <tr r="AX12" s="1"/>
        <tr r="AX12" s="1"/>
        <tr r="AX14" s="1"/>
        <tr r="AX14" s="1"/>
        <tr r="AX40" s="1"/>
        <tr r="AX40" s="1"/>
        <tr r="AX38" s="1"/>
        <tr r="AX38" s="1"/>
        <tr r="AX36" s="1"/>
        <tr r="AX36" s="1"/>
        <tr r="AX22" s="1"/>
        <tr r="AX22" s="1"/>
        <tr r="AX32" s="1"/>
        <tr r="AX32" s="1"/>
        <tr r="AX26" s="1"/>
        <tr r="AX26" s="1"/>
        <tr r="AY51" s="5"/>
        <tr r="AY51" s="5"/>
        <tr r="AY7" s="5"/>
        <tr r="AY7" s="5"/>
        <tr r="AY47" s="5"/>
        <tr r="AY47" s="5"/>
        <tr r="AY11" s="5"/>
        <tr r="AY11" s="5"/>
        <tr r="AY13" s="5"/>
        <tr r="AY13" s="5"/>
        <tr r="AY15" s="5"/>
        <tr r="AY15" s="5"/>
        <tr r="AY39" s="5"/>
        <tr r="AY39" s="5"/>
        <tr r="AY37" s="5"/>
        <tr r="AY37" s="5"/>
        <tr r="AY21" s="5"/>
        <tr r="AY21" s="5"/>
        <tr r="AY33" s="5"/>
        <tr r="AY33" s="5"/>
        <tr r="AY25" s="5"/>
        <tr r="AY25" s="5"/>
        <tr r="AY27" s="5"/>
        <tr r="AY27" s="5"/>
        <tr r="AX5" s="1"/>
        <tr r="AX5" s="1"/>
        <tr r="AX7" s="1"/>
        <tr r="AX7" s="1"/>
        <tr r="AX47" s="1"/>
        <tr r="AX47" s="1"/>
        <tr r="AX11" s="1"/>
        <tr r="AX11" s="1"/>
        <tr r="AX13" s="1"/>
        <tr r="AX13" s="1"/>
        <tr r="AX15" s="1"/>
        <tr r="AX15" s="1"/>
        <tr r="AX39" s="1"/>
        <tr r="AX39" s="1"/>
        <tr r="AX37" s="1"/>
        <tr r="AX37" s="1"/>
        <tr r="AX35" s="1"/>
        <tr r="AX35" s="1"/>
        <tr r="AX33" s="1"/>
        <tr r="AX33" s="1"/>
        <tr r="AX31" s="1"/>
        <tr r="AX31" s="1"/>
        <tr r="AX29" s="1"/>
        <tr r="AX29" s="1"/>
      </tp>
      <tp t="s">
        <v>N/A</v>
        <stp/>
        <stp>OPEN_INT</stp>
        <stp>.OPEN251014P10.5</stp>
        <tr r="E23" s="2"/>
      </tp>
      <tp>
        <v>0</v>
        <stp/>
        <stp>OPEN_INT</stp>
        <stp>.OPEN251024P13.5</stp>
        <tr r="M17" s="2"/>
        <tr r="M17" s="2"/>
      </tp>
      <tp t="s">
        <v>N/A</v>
        <stp/>
        <stp>OPEN_INT</stp>
        <stp>.OPEN251114P-0.5</stp>
        <tr r="C49" s="1"/>
        <tr r="BU52" s="5"/>
        <tr r="BT52" s="1"/>
        <tr r="BU5" s="5"/>
        <tr r="BU49" s="5"/>
        <tr r="BU9" s="5"/>
        <tr r="BU45" s="5"/>
        <tr r="BU43" s="5"/>
        <tr r="BU41" s="5"/>
        <tr r="BU17" s="5"/>
        <tr r="BU37" s="5"/>
        <tr r="BU21" s="5"/>
        <tr r="BU33" s="5"/>
        <tr r="BU31" s="5"/>
        <tr r="BU27" s="5"/>
        <tr r="BT5" s="1"/>
        <tr r="BT49" s="1"/>
        <tr r="BT47" s="1"/>
        <tr r="BT11" s="1"/>
        <tr r="BT13" s="1"/>
        <tr r="BT41" s="1"/>
        <tr r="BT39" s="1"/>
        <tr r="BT19" s="1"/>
        <tr r="BT21" s="1"/>
        <tr r="BT23" s="1"/>
        <tr r="BT25" s="1"/>
        <tr r="BT29" s="1"/>
        <tr r="BU50" s="5"/>
        <tr r="BU48" s="5"/>
        <tr r="BU10" s="5"/>
        <tr r="BU44" s="5"/>
        <tr r="BU14" s="5"/>
        <tr r="BU40" s="5"/>
        <tr r="BU18" s="5"/>
        <tr r="BU20" s="5"/>
        <tr r="BU22" s="5"/>
        <tr r="BU32" s="5"/>
        <tr r="BU30" s="5"/>
        <tr r="BU28" s="5"/>
        <tr r="BT50" s="1"/>
        <tr r="BT8" s="1"/>
        <tr r="BT10" s="1"/>
        <tr r="BT12" s="1"/>
        <tr r="BT42" s="1"/>
        <tr r="BT40" s="1"/>
        <tr r="BT18" s="1"/>
        <tr r="BT20" s="1"/>
        <tr r="BT22" s="1"/>
        <tr r="BT32" s="1"/>
        <tr r="BT26" s="1"/>
        <tr r="BT28" s="1"/>
        <tr r="BU6" s="5"/>
        <tr r="BU8" s="5"/>
        <tr r="BU46" s="5"/>
        <tr r="BU12" s="5"/>
        <tr r="BU42" s="5"/>
        <tr r="BU16" s="5"/>
        <tr r="BU38" s="5"/>
        <tr r="BU36" s="5"/>
        <tr r="BU34" s="5"/>
        <tr r="BU24" s="5"/>
        <tr r="BU26" s="5"/>
        <tr r="BT6" s="1"/>
        <tr r="BT48" s="1"/>
        <tr r="BT46" s="1"/>
        <tr r="BT44" s="1"/>
        <tr r="BT14" s="1"/>
        <tr r="BT16" s="1"/>
        <tr r="BT38" s="1"/>
        <tr r="BT36" s="1"/>
        <tr r="BT34" s="1"/>
        <tr r="BT24" s="1"/>
        <tr r="BT30" s="1"/>
        <tr r="BU51" s="5"/>
        <tr r="BU7" s="5"/>
        <tr r="BU47" s="5"/>
        <tr r="BU11" s="5"/>
        <tr r="BU13" s="5"/>
        <tr r="BU15" s="5"/>
        <tr r="BU39" s="5"/>
        <tr r="BU19" s="5"/>
        <tr r="BU35" s="5"/>
        <tr r="BU23" s="5"/>
        <tr r="BU25" s="5"/>
        <tr r="BU29" s="5"/>
        <tr r="BT51" s="1"/>
        <tr r="BT7" s="1"/>
        <tr r="BT9" s="1"/>
        <tr r="BT45" s="1"/>
        <tr r="BT43" s="1"/>
        <tr r="BT15" s="1"/>
        <tr r="BT17" s="1"/>
        <tr r="BT37" s="1"/>
        <tr r="BT35" s="1"/>
        <tr r="BT33" s="1"/>
        <tr r="BT31" s="1"/>
        <tr r="BT27" s="1"/>
      </tp>
      <tp t="s">
        <v>N/A</v>
        <stp/>
        <stp>OPEN_INT</stp>
        <stp>.OPEN251014P-0.5</stp>
        <tr r="E45" s="2"/>
      </tp>
      <tp t="s">
        <v>N/A</v>
        <stp/>
        <stp>OPEN_INT</stp>
        <stp>.OPEN251024P-3.5</stp>
        <tr r="M51" s="2"/>
      </tp>
      <tp t="s">
        <v>N/A</v>
        <stp/>
        <stp>OPEN_INT</stp>
        <stp>.OPEN260417P20.5</stp>
        <tr r="O7" s="1"/>
      </tp>
      <tp t="s">
        <v>N/A</v>
        <stp/>
        <stp>OPEN_INT</stp>
        <stp>.OPEN260717P10.5</stp>
        <tr r="R27" s="1"/>
      </tp>
      <tp t="s">
        <v>N/A</v>
        <stp/>
        <stp>OPEN_INT</stp>
        <stp>.OPEN260417P10.5</stp>
        <tr r="O27" s="1"/>
      </tp>
      <tp t="s">
        <v>N/A</v>
        <stp/>
        <stp>OPEN_INT</stp>
        <stp>.OPEN260717P20.5</stp>
        <tr r="R7" s="1"/>
      </tp>
      <tp t="s">
        <v>N/A</v>
        <stp/>
        <stp>OPEN_INT</stp>
        <stp>.OPEN260717P-0.5</stp>
        <tr r="R49" s="1"/>
      </tp>
      <tp t="s">
        <v>N/A</v>
        <stp/>
        <stp>OPEN_INT</stp>
        <stp>.OPEN260417P-0.5</stp>
        <tr r="O49" s="1"/>
      </tp>
      <tp t="s">
        <v>N/A</v>
        <stp/>
        <stp>OPEN_INT</stp>
        <stp>.OPEN260417C20.5</stp>
        <tr r="O7" s="1"/>
      </tp>
      <tp t="s">
        <v>N/A</v>
        <stp/>
        <stp>OPEN_INT</stp>
        <stp>.OPEN260717C10.5</stp>
        <tr r="R27" s="1"/>
      </tp>
      <tp t="s">
        <v>N/A</v>
        <stp/>
        <stp>OPEN_INT</stp>
        <stp>.OPEN260417C10.5</stp>
        <tr r="O27" s="1"/>
      </tp>
      <tp t="s">
        <v>N/A</v>
        <stp/>
        <stp>OPEN_INT</stp>
        <stp>.OPEN260717C20.5</stp>
        <tr r="R7" s="1"/>
      </tp>
      <tp t="s">
        <v>N/A</v>
        <stp/>
        <stp>OPEN_INT</stp>
        <stp>.OPEN260717C-0.5</stp>
        <tr r="R49" s="1"/>
      </tp>
      <tp t="s">
        <v>N/A</v>
        <stp/>
        <stp>OPEN_INT</stp>
        <stp>.OPEN260417C-0.5</stp>
        <tr r="O49" s="1"/>
      </tp>
      <tp t="s">
        <v>N/A</v>
        <stp/>
        <stp>OPEN_INT</stp>
        <stp>.OPEN251114C20.5</stp>
        <tr r="AD52" s="1"/>
        <tr r="C7" s="1"/>
        <tr r="AE52" s="5"/>
        <tr r="AE5" s="5"/>
        <tr r="AE7" s="5"/>
        <tr r="AE47" s="5"/>
        <tr r="AE11" s="5"/>
        <tr r="AE43" s="5"/>
        <tr r="AE15" s="5"/>
        <tr r="AE17" s="5"/>
        <tr r="AE19" s="5"/>
        <tr r="AE35" s="5"/>
        <tr r="AE23" s="5"/>
        <tr r="AE31" s="5"/>
        <tr r="AE27" s="5"/>
        <tr r="AD6" s="1"/>
        <tr r="AD48" s="1"/>
        <tr r="AD10" s="1"/>
        <tr r="AD12" s="1"/>
        <tr r="AD14" s="1"/>
        <tr r="AD16" s="1"/>
        <tr r="AD38" s="1"/>
        <tr r="AD36" s="1"/>
        <tr r="AD22" s="1"/>
        <tr r="AD32" s="1"/>
        <tr r="AD26" s="1"/>
        <tr r="AE51" s="5"/>
        <tr r="AE49" s="5"/>
        <tr r="AE9" s="5"/>
        <tr r="AE45" s="5"/>
        <tr r="AE13" s="5"/>
        <tr r="AE41" s="5"/>
        <tr r="AE39" s="5"/>
        <tr r="AE37" s="5"/>
        <tr r="AE21" s="5"/>
        <tr r="AE33" s="5"/>
        <tr r="AE25" s="5"/>
        <tr r="AE29" s="5"/>
        <tr r="AD5" s="1"/>
        <tr r="AD49" s="1"/>
        <tr r="AD9" s="1"/>
        <tr r="AD11" s="1"/>
        <tr r="AD43" s="1"/>
        <tr r="AD15" s="1"/>
        <tr r="AD39" s="1"/>
        <tr r="AD19" s="1"/>
        <tr r="AD21" s="1"/>
        <tr r="AD33" s="1"/>
        <tr r="AD25" s="1"/>
        <tr r="AD29" s="1"/>
        <tr r="AE50" s="5"/>
        <tr r="AE8" s="5"/>
        <tr r="AE46" s="5"/>
        <tr r="AE44" s="5"/>
        <tr r="AE14" s="5"/>
        <tr r="AE40" s="5"/>
        <tr r="AE18" s="5"/>
        <tr r="AE36" s="5"/>
        <tr r="AE34" s="5"/>
        <tr r="AE32" s="5"/>
        <tr r="AE30" s="5"/>
        <tr r="AE28" s="5"/>
        <tr r="AD51" s="1"/>
        <tr r="AD7" s="1"/>
        <tr r="AD47" s="1"/>
        <tr r="AD45" s="1"/>
        <tr r="AD13" s="1"/>
        <tr r="AD41" s="1"/>
        <tr r="AD17" s="1"/>
        <tr r="AD37" s="1"/>
        <tr r="AD35" s="1"/>
        <tr r="AD23" s="1"/>
        <tr r="AD31" s="1"/>
        <tr r="AD27" s="1"/>
        <tr r="AE6" s="5"/>
        <tr r="AE48" s="5"/>
        <tr r="AE10" s="5"/>
        <tr r="AE12" s="5"/>
        <tr r="AE42" s="5"/>
        <tr r="AE16" s="5"/>
        <tr r="AE38" s="5"/>
        <tr r="AE20" s="5"/>
        <tr r="AE22" s="5"/>
        <tr r="AE24" s="5"/>
        <tr r="AE26" s="5"/>
        <tr r="AD50" s="1"/>
        <tr r="AD8" s="1"/>
        <tr r="AD46" s="1"/>
        <tr r="AD44" s="1"/>
        <tr r="AD42" s="1"/>
        <tr r="AD40" s="1"/>
        <tr r="AD18" s="1"/>
        <tr r="AD20" s="1"/>
        <tr r="AD34" s="1"/>
        <tr r="AD24" s="1"/>
        <tr r="AD30" s="1"/>
        <tr r="AD28" s="1"/>
      </tp>
      <tp>
        <v>4253</v>
        <stp/>
        <stp>OPEN_INT</stp>
        <stp>.OPEN251114C10.5</stp>
        <tr r="C27" s="1"/>
        <tr r="C27" s="1"/>
        <tr r="AX52" s="1"/>
        <tr r="AX52" s="1"/>
        <tr r="AY52" s="5"/>
        <tr r="AY52" s="5"/>
        <tr r="AY5" s="5"/>
        <tr r="AY5" s="5"/>
        <tr r="AY49" s="5"/>
        <tr r="AY49" s="5"/>
        <tr r="AY9" s="5"/>
        <tr r="AY9" s="5"/>
        <tr r="AY45" s="5"/>
        <tr r="AY45" s="5"/>
        <tr r="AY43" s="5"/>
        <tr r="AY43" s="5"/>
        <tr r="AY41" s="5"/>
        <tr r="AY41" s="5"/>
        <tr r="AY17" s="5"/>
        <tr r="AY17" s="5"/>
        <tr r="AY19" s="5"/>
        <tr r="AY19" s="5"/>
        <tr r="AY35" s="5"/>
        <tr r="AY35" s="5"/>
        <tr r="AY23" s="5"/>
        <tr r="AY23" s="5"/>
        <tr r="AY31" s="5"/>
        <tr r="AY31" s="5"/>
        <tr r="AY29" s="5"/>
        <tr r="AY29" s="5"/>
        <tr r="AX51" s="1"/>
        <tr r="AX51" s="1"/>
        <tr r="AX49" s="1"/>
        <tr r="AX49" s="1"/>
        <tr r="AX9" s="1"/>
        <tr r="AX9" s="1"/>
        <tr r="AX45" s="1"/>
        <tr r="AX45" s="1"/>
        <tr r="AX43" s="1"/>
        <tr r="AX43" s="1"/>
        <tr r="AX41" s="1"/>
        <tr r="AX41" s="1"/>
        <tr r="AX17" s="1"/>
        <tr r="AX17" s="1"/>
        <tr r="AX19" s="1"/>
        <tr r="AX19" s="1"/>
        <tr r="AX21" s="1"/>
        <tr r="AX21" s="1"/>
        <tr r="AX23" s="1"/>
        <tr r="AX23" s="1"/>
        <tr r="AX25" s="1"/>
        <tr r="AX25" s="1"/>
        <tr r="AX27" s="1"/>
        <tr r="AX27" s="1"/>
        <tr r="AY6" s="5"/>
        <tr r="AY6" s="5"/>
        <tr r="AY48" s="5"/>
        <tr r="AY48" s="5"/>
        <tr r="AY10" s="5"/>
        <tr r="AY10" s="5"/>
        <tr r="AY12" s="5"/>
        <tr r="AY12" s="5"/>
        <tr r="AY42" s="5"/>
        <tr r="AY42" s="5"/>
        <tr r="AY40" s="5"/>
        <tr r="AY40" s="5"/>
        <tr r="AY18" s="5"/>
        <tr r="AY18" s="5"/>
        <tr r="AY20" s="5"/>
        <tr r="AY20" s="5"/>
        <tr r="AY22" s="5"/>
        <tr r="AY22" s="5"/>
        <tr r="AY32" s="5"/>
        <tr r="AY32" s="5"/>
        <tr r="AY26" s="5"/>
        <tr r="AY26" s="5"/>
        <tr r="AY28" s="5"/>
        <tr r="AY28" s="5"/>
        <tr r="AX6" s="1"/>
        <tr r="AX6" s="1"/>
        <tr r="AX48" s="1"/>
        <tr r="AX48" s="1"/>
        <tr r="AX10" s="1"/>
        <tr r="AX10" s="1"/>
        <tr r="AX44" s="1"/>
        <tr r="AX44" s="1"/>
        <tr r="AX42" s="1"/>
        <tr r="AX42" s="1"/>
        <tr r="AX16" s="1"/>
        <tr r="AX16" s="1"/>
        <tr r="AX18" s="1"/>
        <tr r="AX18" s="1"/>
        <tr r="AX20" s="1"/>
        <tr r="AX20" s="1"/>
        <tr r="AX34" s="1"/>
        <tr r="AX34" s="1"/>
        <tr r="AX24" s="1"/>
        <tr r="AX24" s="1"/>
        <tr r="AX30" s="1"/>
        <tr r="AX30" s="1"/>
        <tr r="AX28" s="1"/>
        <tr r="AX28" s="1"/>
        <tr r="AY50" s="5"/>
        <tr r="AY50" s="5"/>
        <tr r="AY8" s="5"/>
        <tr r="AY8" s="5"/>
        <tr r="AY46" s="5"/>
        <tr r="AY46" s="5"/>
        <tr r="AY44" s="5"/>
        <tr r="AY44" s="5"/>
        <tr r="AY14" s="5"/>
        <tr r="AY14" s="5"/>
        <tr r="AY16" s="5"/>
        <tr r="AY16" s="5"/>
        <tr r="AY38" s="5"/>
        <tr r="AY38" s="5"/>
        <tr r="AY36" s="5"/>
        <tr r="AY36" s="5"/>
        <tr r="AY34" s="5"/>
        <tr r="AY34" s="5"/>
        <tr r="AY24" s="5"/>
        <tr r="AY24" s="5"/>
        <tr r="AY30" s="5"/>
        <tr r="AY30" s="5"/>
        <tr r="AX50" s="1"/>
        <tr r="AX50" s="1"/>
        <tr r="AX8" s="1"/>
        <tr r="AX8" s="1"/>
        <tr r="AX46" s="1"/>
        <tr r="AX46" s="1"/>
        <tr r="AX12" s="1"/>
        <tr r="AX12" s="1"/>
        <tr r="AX14" s="1"/>
        <tr r="AX14" s="1"/>
        <tr r="AX40" s="1"/>
        <tr r="AX40" s="1"/>
        <tr r="AX38" s="1"/>
        <tr r="AX38" s="1"/>
        <tr r="AX36" s="1"/>
        <tr r="AX36" s="1"/>
        <tr r="AX22" s="1"/>
        <tr r="AX22" s="1"/>
        <tr r="AX32" s="1"/>
        <tr r="AX32" s="1"/>
        <tr r="AX26" s="1"/>
        <tr r="AX26" s="1"/>
        <tr r="AY51" s="5"/>
        <tr r="AY51" s="5"/>
        <tr r="AY7" s="5"/>
        <tr r="AY7" s="5"/>
        <tr r="AY47" s="5"/>
        <tr r="AY47" s="5"/>
        <tr r="AY11" s="5"/>
        <tr r="AY11" s="5"/>
        <tr r="AY13" s="5"/>
        <tr r="AY13" s="5"/>
        <tr r="AY15" s="5"/>
        <tr r="AY15" s="5"/>
        <tr r="AY39" s="5"/>
        <tr r="AY39" s="5"/>
        <tr r="AY37" s="5"/>
        <tr r="AY37" s="5"/>
        <tr r="AY21" s="5"/>
        <tr r="AY21" s="5"/>
        <tr r="AY33" s="5"/>
        <tr r="AY33" s="5"/>
        <tr r="AY25" s="5"/>
        <tr r="AY25" s="5"/>
        <tr r="AY27" s="5"/>
        <tr r="AY27" s="5"/>
        <tr r="AX5" s="1"/>
        <tr r="AX5" s="1"/>
        <tr r="AX7" s="1"/>
        <tr r="AX7" s="1"/>
        <tr r="AX47" s="1"/>
        <tr r="AX47" s="1"/>
        <tr r="AX11" s="1"/>
        <tr r="AX11" s="1"/>
        <tr r="AX13" s="1"/>
        <tr r="AX13" s="1"/>
        <tr r="AX15" s="1"/>
        <tr r="AX15" s="1"/>
        <tr r="AX39" s="1"/>
        <tr r="AX39" s="1"/>
        <tr r="AX37" s="1"/>
        <tr r="AX37" s="1"/>
        <tr r="AX35" s="1"/>
        <tr r="AX35" s="1"/>
        <tr r="AX33" s="1"/>
        <tr r="AX33" s="1"/>
        <tr r="AX31" s="1"/>
        <tr r="AX31" s="1"/>
        <tr r="AX29" s="1"/>
        <tr r="AX29" s="1"/>
      </tp>
      <tp t="s">
        <v>N/A</v>
        <stp/>
        <stp>OPEN_INT</stp>
        <stp>.OPEN251014C10.5</stp>
        <tr r="E23" s="2"/>
      </tp>
      <tp>
        <v>252</v>
        <stp/>
        <stp>OPEN_INT</stp>
        <stp>.OPEN251024C13.5</stp>
        <tr r="M17" s="2"/>
        <tr r="M17" s="2"/>
      </tp>
      <tp t="s">
        <v>N/A</v>
        <stp/>
        <stp>OPEN_INT</stp>
        <stp>.OPEN251114C-0.5</stp>
        <tr r="C49" s="1"/>
        <tr r="BU52" s="5"/>
        <tr r="BT52" s="1"/>
        <tr r="BU5" s="5"/>
        <tr r="BU49" s="5"/>
        <tr r="BU9" s="5"/>
        <tr r="BU45" s="5"/>
        <tr r="BU43" s="5"/>
        <tr r="BU41" s="5"/>
        <tr r="BU17" s="5"/>
        <tr r="BU37" s="5"/>
        <tr r="BU21" s="5"/>
        <tr r="BU33" s="5"/>
        <tr r="BU31" s="5"/>
        <tr r="BU27" s="5"/>
        <tr r="BT5" s="1"/>
        <tr r="BT49" s="1"/>
        <tr r="BT47" s="1"/>
        <tr r="BT11" s="1"/>
        <tr r="BT13" s="1"/>
        <tr r="BT41" s="1"/>
        <tr r="BT39" s="1"/>
        <tr r="BT19" s="1"/>
        <tr r="BT21" s="1"/>
        <tr r="BT23" s="1"/>
        <tr r="BT25" s="1"/>
        <tr r="BT29" s="1"/>
        <tr r="BU50" s="5"/>
        <tr r="BU48" s="5"/>
        <tr r="BU10" s="5"/>
        <tr r="BU44" s="5"/>
        <tr r="BU14" s="5"/>
        <tr r="BU40" s="5"/>
        <tr r="BU18" s="5"/>
        <tr r="BU20" s="5"/>
        <tr r="BU22" s="5"/>
        <tr r="BU32" s="5"/>
        <tr r="BU30" s="5"/>
        <tr r="BU28" s="5"/>
        <tr r="BT50" s="1"/>
        <tr r="BT8" s="1"/>
        <tr r="BT10" s="1"/>
        <tr r="BT12" s="1"/>
        <tr r="BT42" s="1"/>
        <tr r="BT40" s="1"/>
        <tr r="BT18" s="1"/>
        <tr r="BT20" s="1"/>
        <tr r="BT22" s="1"/>
        <tr r="BT32" s="1"/>
        <tr r="BT26" s="1"/>
        <tr r="BT28" s="1"/>
        <tr r="BU6" s="5"/>
        <tr r="BU8" s="5"/>
        <tr r="BU46" s="5"/>
        <tr r="BU12" s="5"/>
        <tr r="BU42" s="5"/>
        <tr r="BU16" s="5"/>
        <tr r="BU38" s="5"/>
        <tr r="BU36" s="5"/>
        <tr r="BU34" s="5"/>
        <tr r="BU24" s="5"/>
        <tr r="BU26" s="5"/>
        <tr r="BT6" s="1"/>
        <tr r="BT48" s="1"/>
        <tr r="BT46" s="1"/>
        <tr r="BT44" s="1"/>
        <tr r="BT14" s="1"/>
        <tr r="BT16" s="1"/>
        <tr r="BT38" s="1"/>
        <tr r="BT36" s="1"/>
        <tr r="BT34" s="1"/>
        <tr r="BT24" s="1"/>
        <tr r="BT30" s="1"/>
        <tr r="BU51" s="5"/>
        <tr r="BU7" s="5"/>
        <tr r="BU47" s="5"/>
        <tr r="BU11" s="5"/>
        <tr r="BU13" s="5"/>
        <tr r="BU15" s="5"/>
        <tr r="BU39" s="5"/>
        <tr r="BU19" s="5"/>
        <tr r="BU35" s="5"/>
        <tr r="BU23" s="5"/>
        <tr r="BU25" s="5"/>
        <tr r="BU29" s="5"/>
        <tr r="BT51" s="1"/>
        <tr r="BT7" s="1"/>
        <tr r="BT9" s="1"/>
        <tr r="BT45" s="1"/>
        <tr r="BT43" s="1"/>
        <tr r="BT15" s="1"/>
        <tr r="BT17" s="1"/>
        <tr r="BT37" s="1"/>
        <tr r="BT35" s="1"/>
        <tr r="BT33" s="1"/>
        <tr r="BT31" s="1"/>
        <tr r="BT27" s="1"/>
      </tp>
      <tp t="s">
        <v>N/A</v>
        <stp/>
        <stp>OPEN_INT</stp>
        <stp>.OPEN251014C-0.5</stp>
        <tr r="E45" s="2"/>
      </tp>
      <tp t="s">
        <v>N/A</v>
        <stp/>
        <stp>OPEN_INT</stp>
        <stp>.OPEN251024C-3.5</stp>
        <tr r="M51" s="2"/>
      </tp>
      <tp t="s">
        <v>N/A</v>
        <stp/>
        <stp>OPEN_INT</stp>
        <stp>.OPEN261120P13.5</stp>
        <tr r="V21" s="1"/>
      </tp>
      <tp t="s">
        <v>N/A</v>
        <stp/>
        <stp>OPEN_INT</stp>
        <stp>.OPEN251013P10.5</stp>
        <tr r="D23" s="2"/>
      </tp>
      <tp t="s">
        <v>N/A</v>
        <stp/>
        <stp>OPEN_INT</stp>
        <stp>.OPEN251023P13.5</stp>
        <tr r="L17" s="2"/>
      </tp>
      <tp t="s">
        <v>N/A</v>
        <stp/>
        <stp>OPEN_INT</stp>
        <stp>.OPEN251013P-0.5</stp>
        <tr r="D45" s="2"/>
      </tp>
      <tp t="s">
        <v>N/A</v>
        <stp/>
        <stp>OPEN_INT</stp>
        <stp>.OPEN251023P-3.5</stp>
        <tr r="L51" s="2"/>
      </tp>
      <tp t="s">
        <v>N/A</v>
        <stp/>
        <stp>OPEN_INT</stp>
        <stp>.OPEN260320P13.5</stp>
        <tr r="N21" s="1"/>
      </tp>
      <tp t="s">
        <v>N/A</v>
        <stp/>
        <stp>OPEN_INT</stp>
        <stp>.OPEN260220P13.5</stp>
        <tr r="M21" s="1"/>
      </tp>
      <tp t="s">
        <v>N/A</v>
        <stp/>
        <stp>OPEN_INT</stp>
        <stp>.OPEN260320C13.5</stp>
        <tr r="N21" s="1"/>
      </tp>
      <tp t="s">
        <v>N/A</v>
        <stp/>
        <stp>OPEN_INT</stp>
        <stp>.OPEN260220C13.5</stp>
        <tr r="M21" s="1"/>
      </tp>
      <tp t="s">
        <v>N/A</v>
        <stp/>
        <stp>OPEN_INT</stp>
        <stp>.OPEN261120C13.5</stp>
        <tr r="V21" s="1"/>
      </tp>
      <tp t="s">
        <v>N/A</v>
        <stp/>
        <stp>OPEN_INT</stp>
        <stp>.OPEN251013C10.5</stp>
        <tr r="D23" s="2"/>
      </tp>
      <tp t="s">
        <v>N/A</v>
        <stp/>
        <stp>OPEN_INT</stp>
        <stp>.OPEN251023C13.5</stp>
        <tr r="L17" s="2"/>
      </tp>
      <tp t="s">
        <v>N/A</v>
        <stp/>
        <stp>OPEN_INT</stp>
        <stp>.OPEN251013C-0.5</stp>
        <tr r="D45" s="2"/>
      </tp>
      <tp t="s">
        <v>N/A</v>
        <stp/>
        <stp>OPEN_INT</stp>
        <stp>.OPEN251023C-3.5</stp>
        <tr r="L51" s="2"/>
      </tp>
      <tp>
        <v>105</v>
        <stp/>
        <stp>OPEN_INT</stp>
        <stp>.OPEN251212P10.5</stp>
        <tr r="G27" s="1"/>
        <tr r="G27" s="1"/>
      </tp>
      <tp t="s">
        <v>N/A</v>
        <stp/>
        <stp>OPEN_INT</stp>
        <stp>.OPEN251212P20.5</stp>
        <tr r="G7" s="1"/>
      </tp>
      <tp t="s">
        <v>N/A</v>
        <stp/>
        <stp>OPEN_INT</stp>
        <stp>.OPEN251022P13.5</stp>
        <tr r="K17" s="2"/>
      </tp>
      <tp t="s">
        <v>N/A</v>
        <stp/>
        <stp>OPEN_INT</stp>
        <stp>.OPEN251212P-0.5</stp>
        <tr r="G49" s="1"/>
      </tp>
      <tp t="s">
        <v>N/A</v>
        <stp/>
        <stp>OPEN_INT</stp>
        <stp>.OPEN251022P-3.5</stp>
        <tr r="K51" s="2"/>
      </tp>
      <tp t="s">
        <v>N/A</v>
        <stp/>
        <stp>OPEN_INT</stp>
        <stp>.OPEN260821P13.5</stp>
        <tr r="S21" s="1"/>
      </tp>
      <tp t="s">
        <v>N/A</v>
        <stp/>
        <stp>OPEN_INT</stp>
        <stp>.OPEN260821C13.5</stp>
        <tr r="S21" s="1"/>
      </tp>
      <tp>
        <v>439</v>
        <stp/>
        <stp>OPEN_INT</stp>
        <stp>.OPEN251212C10.5</stp>
        <tr r="G27" s="1"/>
        <tr r="G27" s="1"/>
      </tp>
      <tp t="s">
        <v>N/A</v>
        <stp/>
        <stp>OPEN_INT</stp>
        <stp>.OPEN251212C20.5</stp>
        <tr r="G7" s="1"/>
      </tp>
      <tp t="s">
        <v>N/A</v>
        <stp/>
        <stp>OPEN_INT</stp>
        <stp>.OPEN251022C13.5</stp>
        <tr r="K17" s="2"/>
      </tp>
      <tp t="s">
        <v>N/A</v>
        <stp/>
        <stp>OPEN_INT</stp>
        <stp>.OPEN251212C-0.5</stp>
        <tr r="G49" s="1"/>
      </tp>
      <tp t="s">
        <v>N/A</v>
        <stp/>
        <stp>OPEN_INT</stp>
        <stp>.OPEN251022C-3.5</stp>
        <tr r="K51" s="2"/>
      </tp>
      <tp t="s">
        <v>N/A</v>
        <stp/>
        <stp>OPEN_INT</stp>
        <stp>.OPEN251231P12.5</stp>
        <tr r="V19" s="2"/>
      </tp>
      <tp t="s">
        <v>N/A</v>
        <stp/>
        <stp>OPEN_INT</stp>
        <stp>.OPEN251121P13.5</stp>
        <tr r="D21" s="1"/>
        <tr r="S17" s="2"/>
      </tp>
      <tp t="s">
        <v>N/A</v>
        <stp/>
        <stp>OPEN_INT</stp>
        <stp>.OPEN251021P13.5</stp>
        <tr r="J17" s="2"/>
      </tp>
      <tp>
        <v>0</v>
        <stp/>
        <stp>OPEN_INT</stp>
        <stp>.OPEN251031P12.5</stp>
        <tr r="R19" s="2"/>
        <tr r="R19" s="2"/>
      </tp>
      <tp t="s">
        <v>N/A</v>
        <stp/>
        <stp>OPEN_INT</stp>
        <stp>.OPEN251231P-2.5</stp>
        <tr r="V49" s="2"/>
      </tp>
      <tp t="s">
        <v>N/A</v>
        <stp/>
        <stp>OPEN_INT</stp>
        <stp>.OPEN251121P-3.5</stp>
        <tr r="S51" s="2"/>
      </tp>
      <tp t="s">
        <v>N/A</v>
        <stp/>
        <stp>OPEN_INT</stp>
        <stp>.OPEN251021P-3.5</stp>
        <tr r="J51" s="2"/>
      </tp>
      <tp t="s">
        <v>N/A</v>
        <stp/>
        <stp>OPEN_INT</stp>
        <stp>.OPEN251031P-2.5</stp>
        <tr r="R49" s="2"/>
      </tp>
      <tp t="s">
        <v>N/A</v>
        <stp/>
        <stp>OPEN_INT</stp>
        <stp>.OPEN260102P21.5</stp>
        <tr r="J5" s="1"/>
      </tp>
      <tp t="s">
        <v>N/A</v>
        <stp/>
        <stp>OPEN_INT</stp>
        <stp>.OPEN260102P11.5</stp>
        <tr r="J25" s="1"/>
      </tp>
      <tp t="s">
        <v>N/A</v>
        <stp/>
        <stp>OPEN_INT</stp>
        <stp>.OPEN260102P-1.5</stp>
        <tr r="J51" s="1"/>
      </tp>
      <tp t="s">
        <v>N/A</v>
        <stp/>
        <stp>OPEN_INT</stp>
        <stp>.OPEN260102C21.5</stp>
        <tr r="J5" s="1"/>
      </tp>
      <tp t="s">
        <v>N/A</v>
        <stp/>
        <stp>OPEN_INT</stp>
        <stp>.OPEN260102C11.5</stp>
        <tr r="J25" s="1"/>
      </tp>
      <tp t="s">
        <v>N/A</v>
        <stp/>
        <stp>OPEN_INT</stp>
        <stp>.OPEN260102C-1.5</stp>
        <tr r="J51" s="1"/>
      </tp>
      <tp t="s">
        <v>N/A</v>
        <stp/>
        <stp>OPEN_INT</stp>
        <stp>.OPEN251231C12.5</stp>
        <tr r="V19" s="2"/>
      </tp>
      <tp t="s">
        <v>N/A</v>
        <stp/>
        <stp>OPEN_INT</stp>
        <stp>.OPEN251121C13.5</stp>
        <tr r="D21" s="1"/>
        <tr r="S17" s="2"/>
      </tp>
      <tp t="s">
        <v>N/A</v>
        <stp/>
        <stp>OPEN_INT</stp>
        <stp>.OPEN251021C13.5</stp>
        <tr r="J17" s="2"/>
      </tp>
      <tp>
        <v>912</v>
        <stp/>
        <stp>OPEN_INT</stp>
        <stp>.OPEN251031C12.5</stp>
        <tr r="R19" s="2"/>
        <tr r="R19" s="2"/>
      </tp>
      <tp t="s">
        <v>N/A</v>
        <stp/>
        <stp>OPEN_INT</stp>
        <stp>.OPEN251231C-2.5</stp>
        <tr r="V49" s="2"/>
      </tp>
      <tp t="s">
        <v>N/A</v>
        <stp/>
        <stp>OPEN_INT</stp>
        <stp>.OPEN251121C-3.5</stp>
        <tr r="S51" s="2"/>
      </tp>
      <tp t="s">
        <v>N/A</v>
        <stp/>
        <stp>OPEN_INT</stp>
        <stp>.OPEN251021C-3.5</stp>
        <tr r="J51" s="2"/>
      </tp>
      <tp t="s">
        <v>N/A</v>
        <stp/>
        <stp>OPEN_INT</stp>
        <stp>.OPEN251031C-2.5</stp>
        <tr r="R49" s="2"/>
      </tp>
      <tp>
        <v>2404</v>
        <stp/>
        <stp>OPEN_INT</stp>
        <stp>.OPEN251010P10.5</stp>
        <tr r="C23" s="2"/>
        <tr r="C23" s="2"/>
      </tp>
      <tp t="s">
        <v>N/A</v>
        <stp/>
        <stp>OPEN_INT</stp>
        <stp>.OPEN251020P13.5</stp>
        <tr r="I17" s="2"/>
      </tp>
      <tp t="s">
        <v>N/A</v>
        <stp/>
        <stp>OPEN_INT</stp>
        <stp>.OPEN251030P12.5</stp>
        <tr r="Q19" s="2"/>
      </tp>
      <tp t="s">
        <v>N/A</v>
        <stp/>
        <stp>OPEN_INT</stp>
        <stp>.OPEN251010P-0.5</stp>
        <tr r="C45" s="2"/>
      </tp>
      <tp t="s">
        <v>N/A</v>
        <stp/>
        <stp>OPEN_INT</stp>
        <stp>.OPEN251020P-3.5</stp>
        <tr r="I51" s="2"/>
      </tp>
      <tp t="s">
        <v>N/A</v>
        <stp/>
        <stp>OPEN_INT</stp>
        <stp>.OPEN251030P-2.5</stp>
        <tr r="Q49" s="2"/>
      </tp>
      <tp>
        <v>20771</v>
        <stp/>
        <stp>OPEN_INT</stp>
        <stp>.OPEN251010C10.5</stp>
        <tr r="C23" s="2"/>
        <tr r="C23" s="2"/>
      </tp>
      <tp t="s">
        <v>N/A</v>
        <stp/>
        <stp>OPEN_INT</stp>
        <stp>.OPEN251020C13.5</stp>
        <tr r="I17" s="2"/>
      </tp>
      <tp t="s">
        <v>N/A</v>
        <stp/>
        <stp>OPEN_INT</stp>
        <stp>.OPEN251030C12.5</stp>
        <tr r="Q19" s="2"/>
      </tp>
      <tp t="s">
        <v>N/A</v>
        <stp/>
        <stp>OPEN_INT</stp>
        <stp>.OPEN251010C-0.5</stp>
        <tr r="C45" s="2"/>
      </tp>
      <tp t="s">
        <v>N/A</v>
        <stp/>
        <stp>OPEN_INT</stp>
        <stp>.OPEN251020C-3.5</stp>
        <tr r="I51" s="2"/>
      </tp>
      <tp t="s">
        <v>N/A</v>
        <stp/>
        <stp>OPEN_INT</stp>
        <stp>.OPEN251030C-2.5</stp>
        <tr r="Q49" s="2"/>
      </tp>
      <tp t="s">
        <v>N/A</v>
        <stp/>
        <stp>OPEN_INT</stp>
        <stp>.OPEN261218P11.5</stp>
        <tr r="W25" s="1"/>
      </tp>
      <tp t="s">
        <v>N/A</v>
        <stp/>
        <stp>OPEN_INT</stp>
        <stp>.OPEN261218P21.5</stp>
        <tr r="W5" s="1"/>
      </tp>
      <tp t="s">
        <v>N/A</v>
        <stp/>
        <stp>OPEN_INT</stp>
        <stp>.OPEN261218P-1.5</stp>
        <tr r="W51" s="1"/>
      </tp>
      <tp t="s">
        <v>N/A</v>
        <stp/>
        <stp>OPEN_INT</stp>
        <stp>.OPEN260918P21.5</stp>
        <tr r="T5" s="1"/>
      </tp>
      <tp t="s">
        <v>N/A</v>
        <stp/>
        <stp>OPEN_INT</stp>
        <stp>.OPEN260918P11.5</stp>
        <tr r="T25" s="1"/>
      </tp>
      <tp t="s">
        <v>N/A</v>
        <stp/>
        <stp>OPEN_INT</stp>
        <stp>.OPEN260918P-1.5</stp>
        <tr r="T51" s="1"/>
      </tp>
      <tp t="s">
        <v>N/A</v>
        <stp/>
        <stp>OPEN_INT</stp>
        <stp>.OPEN260918C21.5</stp>
        <tr r="T5" s="1"/>
      </tp>
      <tp t="s">
        <v>N/A</v>
        <stp/>
        <stp>OPEN_INT</stp>
        <stp>.OPEN260918C11.5</stp>
        <tr r="T25" s="1"/>
      </tp>
      <tp t="s">
        <v>N/A</v>
        <stp/>
        <stp>OPEN_INT</stp>
        <stp>.OPEN260918C-1.5</stp>
        <tr r="T51" s="1"/>
      </tp>
      <tp t="s">
        <v>N/A</v>
        <stp/>
        <stp>OPEN_INT</stp>
        <stp>.OPEN261218C11.5</stp>
        <tr r="W25" s="1"/>
      </tp>
      <tp t="s">
        <v>N/A</v>
        <stp/>
        <stp>OPEN_INT</stp>
        <stp>.OPEN261218C21.5</stp>
        <tr r="W5" s="1"/>
      </tp>
      <tp t="s">
        <v>N/A</v>
        <stp/>
        <stp>OPEN_INT</stp>
        <stp>.OPEN261218C-1.5</stp>
        <tr r="W51" s="1"/>
      </tp>
      <tp t="s">
        <v>N/A</v>
        <stp/>
        <stp>OPEN_INT</stp>
        <stp>.OPEN260619P11.5</stp>
        <tr r="Q25" s="1"/>
      </tp>
      <tp t="s">
        <v>N/A</v>
        <stp/>
        <stp>OPEN_INT</stp>
        <stp>.OPEN260619P21.5</stp>
        <tr r="Q5" s="1"/>
      </tp>
      <tp t="s">
        <v>N/A</v>
        <stp/>
        <stp>OPEN_INT</stp>
        <stp>.OPEN260109P20.5</stp>
        <tr r="K7" s="1"/>
      </tp>
      <tp t="s">
        <v>N/A</v>
        <stp/>
        <stp>OPEN_INT</stp>
        <stp>.OPEN260109P10.5</stp>
        <tr r="K27" s="1"/>
      </tp>
      <tp t="s">
        <v>N/A</v>
        <stp/>
        <stp>OPEN_INT</stp>
        <stp>.OPEN260109P-0.5</stp>
        <tr r="K49" s="1"/>
      </tp>
      <tp t="s">
        <v>N/A</v>
        <stp/>
        <stp>OPEN_INT</stp>
        <stp>.OPEN260619P-1.5</stp>
        <tr r="Q51" s="1"/>
      </tp>
      <tp t="s">
        <v>N/A</v>
        <stp/>
        <stp>OPEN_INT</stp>
        <stp>.OPEN260619C11.5</stp>
        <tr r="Q25" s="1"/>
      </tp>
      <tp t="s">
        <v>N/A</v>
        <stp/>
        <stp>OPEN_INT</stp>
        <stp>.OPEN260619C21.5</stp>
        <tr r="Q5" s="1"/>
      </tp>
      <tp t="s">
        <v>N/A</v>
        <stp/>
        <stp>OPEN_INT</stp>
        <stp>.OPEN260109C20.5</stp>
        <tr r="K7" s="1"/>
      </tp>
      <tp t="s">
        <v>N/A</v>
        <stp/>
        <stp>OPEN_INT</stp>
        <stp>.OPEN260109C10.5</stp>
        <tr r="K27" s="1"/>
      </tp>
      <tp t="s">
        <v>N/A</v>
        <stp/>
        <stp>OPEN_INT</stp>
        <stp>.OPEN260109C-0.5</stp>
        <tr r="K49" s="1"/>
      </tp>
      <tp t="s">
        <v>N/A</v>
        <stp/>
        <stp>OPEN_INT</stp>
        <stp>.OPEN260619C-1.5</stp>
        <tr r="Q51" s="1"/>
      </tp>
      <tp t="s">
        <v>N/A</v>
        <stp/>
        <stp>OPEN_INT</stp>
        <stp>.OPEN251219P11.5</stp>
        <tr r="H25" s="1"/>
        <tr r="U21" s="2"/>
      </tp>
      <tp t="s">
        <v>N/A</v>
        <stp/>
        <stp>OPEN_INT</stp>
        <stp>.OPEN251219P21.5</stp>
        <tr r="H5" s="1"/>
      </tp>
      <tp t="s">
        <v>N/A</v>
        <stp/>
        <stp>OPEN_INT</stp>
        <stp>.OPEN251009P10.5</stp>
        <tr r="B23" s="2"/>
      </tp>
      <tp t="s">
        <v>N/A</v>
        <stp/>
        <stp>OPEN_INT</stp>
        <stp>.OPEN251029P12.5</stp>
        <tr r="P19" s="2"/>
      </tp>
      <tp t="s">
        <v>N/A</v>
        <stp/>
        <stp>OPEN_INT</stp>
        <stp>.OPEN251219P-1.5</stp>
        <tr r="H51" s="1"/>
        <tr r="U47" s="2"/>
      </tp>
      <tp t="s">
        <v>N/A</v>
        <stp/>
        <stp>OPEN_INT</stp>
        <stp>.OPEN251009P-0.5</stp>
        <tr r="B45" s="2"/>
      </tp>
      <tp t="s">
        <v>N/A</v>
        <stp/>
        <stp>OPEN_INT</stp>
        <stp>.OPEN251029P-2.5</stp>
        <tr r="P49" s="2"/>
      </tp>
      <tp t="s">
        <v>N/A</v>
        <stp/>
        <stp>OPEN_INT</stp>
        <stp>.OPEN251219C11.5</stp>
        <tr r="H25" s="1"/>
        <tr r="U21" s="2"/>
      </tp>
      <tp t="s">
        <v>N/A</v>
        <stp/>
        <stp>OPEN_INT</stp>
        <stp>.OPEN251219C21.5</stp>
        <tr r="H5" s="1"/>
      </tp>
      <tp t="s">
        <v>N/A</v>
        <stp/>
        <stp>OPEN_INT</stp>
        <stp>.OPEN251009C10.5</stp>
        <tr r="B23" s="2"/>
      </tp>
      <tp t="s">
        <v>N/A</v>
        <stp/>
        <stp>OPEN_INT</stp>
        <stp>.OPEN251029C12.5</stp>
        <tr r="P19" s="2"/>
      </tp>
      <tp t="s">
        <v>N/A</v>
        <stp/>
        <stp>OPEN_INT</stp>
        <stp>.OPEN251219C-1.5</stp>
        <tr r="H51" s="1"/>
        <tr r="U47" s="2"/>
      </tp>
      <tp t="s">
        <v>N/A</v>
        <stp/>
        <stp>OPEN_INT</stp>
        <stp>.OPEN251009C-0.5</stp>
        <tr r="B45" s="2"/>
      </tp>
      <tp t="s">
        <v>N/A</v>
        <stp/>
        <stp>OPEN_INT</stp>
        <stp>.OPEN251029C-2.5</stp>
        <tr r="P49" s="2"/>
      </tp>
      <tp>
        <v>56</v>
        <stp/>
        <stp>OPEN_INT</stp>
        <stp>.OPEN251128P12.5</stp>
        <tr r="E23" s="1"/>
        <tr r="E23" s="1"/>
        <tr r="T19" s="2"/>
        <tr r="T19" s="2"/>
      </tp>
      <tp t="s">
        <v>N/A</v>
        <stp/>
        <stp>OPEN_INT</stp>
        <stp>.OPEN251028P12.5</stp>
        <tr r="O19" s="2"/>
      </tp>
      <tp t="s">
        <v>N/A</v>
        <stp/>
        <stp>OPEN_INT</stp>
        <stp>.OPEN251128P-2.5</stp>
        <tr r="T49" s="2"/>
      </tp>
      <tp t="s">
        <v>N/A</v>
        <stp/>
        <stp>OPEN_INT</stp>
        <stp>.OPEN251028P-2.5</stp>
        <tr r="O49" s="2"/>
      </tp>
      <tp>
        <v>698</v>
        <stp/>
        <stp>OPEN_INT</stp>
        <stp>.OPEN251128C12.5</stp>
        <tr r="E23" s="1"/>
        <tr r="E23" s="1"/>
        <tr r="T19" s="2"/>
        <tr r="T19" s="2"/>
      </tp>
      <tp t="s">
        <v>N/A</v>
        <stp/>
        <stp>OPEN_INT</stp>
        <stp>.OPEN251028C12.5</stp>
        <tr r="O19" s="2"/>
      </tp>
      <tp t="s">
        <v>N/A</v>
        <stp/>
        <stp>OPEN_INT</stp>
        <stp>.OPEN251128C-2.5</stp>
        <tr r="T49" s="2"/>
      </tp>
      <tp t="s">
        <v>N/A</v>
        <stp/>
        <stp>OPEN_INT</stp>
        <stp>.OPEN251028C-2.5</stp>
        <tr r="O49" s="2"/>
      </tp>
      <tp>
        <v>48</v>
        <stp/>
        <stp>OPEN_INT</stp>
        <stp>.OPEN251017P11.5</stp>
        <tr r="H21" s="2"/>
        <tr r="H21" s="2"/>
      </tp>
      <tp t="s">
        <v>N/A</v>
        <stp/>
        <stp>OPEN_INT</stp>
        <stp>.OPEN251027P12.5</stp>
        <tr r="N19" s="2"/>
      </tp>
      <tp t="s">
        <v>N/A</v>
        <stp/>
        <stp>OPEN_INT</stp>
        <stp>.OPEN251017P-1.5</stp>
        <tr r="H47" s="2"/>
      </tp>
      <tp t="s">
        <v>N/A</v>
        <stp/>
        <stp>OPEN_INT</stp>
        <stp>.OPEN251027P-2.5</stp>
        <tr r="N49" s="2"/>
      </tp>
      <tp>
        <v>1349</v>
        <stp/>
        <stp>OPEN_INT</stp>
        <stp>.OPEN251017C11.5</stp>
        <tr r="H21" s="2"/>
        <tr r="H21" s="2"/>
      </tp>
      <tp t="s">
        <v>N/A</v>
        <stp/>
        <stp>OPEN_INT</stp>
        <stp>.OPEN251027C12.5</stp>
        <tr r="N19" s="2"/>
      </tp>
      <tp t="s">
        <v>N/A</v>
        <stp/>
        <stp>OPEN_INT</stp>
        <stp>.OPEN251017C-1.5</stp>
        <tr r="H47" s="2"/>
      </tp>
      <tp t="s">
        <v>N/A</v>
        <stp/>
        <stp>OPEN_INT</stp>
        <stp>.OPEN251027C-2.5</stp>
        <tr r="N49" s="2"/>
      </tp>
      <tp>
        <v>5</v>
        <stp/>
        <stp>OPEN_INT</stp>
        <stp>.OPEN251226P12.5</stp>
        <tr r="I23" s="1"/>
        <tr r="I23" s="1"/>
      </tp>
      <tp t="s">
        <v>N/A</v>
        <stp/>
        <stp>OPEN_INT</stp>
        <stp>.OPEN251016P11.5</stp>
        <tr r="G21" s="2"/>
      </tp>
      <tp t="s">
        <v>N/A</v>
        <stp/>
        <stp>OPEN_INT</stp>
        <stp>.OPEN251016P-1.5</stp>
        <tr r="G47" s="2"/>
      </tp>
      <tp t="s">
        <v>N/A</v>
        <stp/>
        <stp>OPEN_INT</stp>
        <stp>.OPEN260515P21.5</stp>
        <tr r="P5" s="1"/>
      </tp>
      <tp t="s">
        <v>N/A</v>
        <stp/>
        <stp>OPEN_INT</stp>
        <stp>.OPEN260515P11.5</stp>
        <tr r="P25" s="1"/>
      </tp>
      <tp t="s">
        <v>N/A</v>
        <stp/>
        <stp>OPEN_INT</stp>
        <stp>.OPEN260515P-1.5</stp>
        <tr r="P51" s="1"/>
      </tp>
      <tp t="s">
        <v>N/A</v>
        <stp/>
        <stp>OPEN_INT</stp>
        <stp>.OPEN260515C21.5</stp>
        <tr r="P5" s="1"/>
      </tp>
      <tp t="s">
        <v>N/A</v>
        <stp/>
        <stp>OPEN_INT</stp>
        <stp>.OPEN260515C11.5</stp>
        <tr r="P25" s="1"/>
      </tp>
      <tp t="s">
        <v>N/A</v>
        <stp/>
        <stp>OPEN_INT</stp>
        <stp>.OPEN260515C-1.5</stp>
        <tr r="P51" s="1"/>
      </tp>
      <tp>
        <v>8</v>
        <stp/>
        <stp>OPEN_INT</stp>
        <stp>.OPEN251226C12.5</stp>
        <tr r="I23" s="1"/>
        <tr r="I23" s="1"/>
      </tp>
      <tp t="s">
        <v>N/A</v>
        <stp/>
        <stp>OPEN_INT</stp>
        <stp>.OPEN251016C11.5</stp>
        <tr r="G21" s="2"/>
      </tp>
      <tp t="s">
        <v>N/A</v>
        <stp/>
        <stp>OPEN_INT</stp>
        <stp>.OPEN251016C-1.5</stp>
        <tr r="G47" s="2"/>
      </tp>
      <tp t="s">
        <v>N/A</v>
        <stp/>
        <stp>OPEN_INT</stp>
        <stp>.OPEN261016P21.5</stp>
        <tr r="U5" s="1"/>
      </tp>
      <tp>
        <v>8</v>
        <stp/>
        <stp>OPEN_INT</stp>
        <stp>.OPEN251205P10.5</stp>
        <tr r="F27" s="1"/>
        <tr r="F27" s="1"/>
      </tp>
      <tp t="s">
        <v>N/A</v>
        <stp/>
        <stp>OPEN_INT</stp>
        <stp>.OPEN251205P20.5</stp>
        <tr r="F7" s="1"/>
      </tp>
      <tp t="s">
        <v>N/A</v>
        <stp/>
        <stp>OPEN_INT</stp>
        <stp>.OPEN251015P11.5</stp>
        <tr r="F21" s="2"/>
      </tp>
      <tp t="s">
        <v>N/A</v>
        <stp/>
        <stp>OPEN_INT</stp>
        <stp>.OPEN261016P11.5</stp>
        <tr r="U25" s="1"/>
      </tp>
      <tp t="s">
        <v>N/A</v>
        <stp/>
        <stp>OPEN_INT</stp>
        <stp>.OPEN251205P-0.5</stp>
        <tr r="F49" s="1"/>
      </tp>
      <tp t="s">
        <v>N/A</v>
        <stp/>
        <stp>OPEN_INT</stp>
        <stp>.OPEN251015P-1.5</stp>
        <tr r="F47" s="2"/>
      </tp>
      <tp t="s">
        <v>N/A</v>
        <stp/>
        <stp>OPEN_INT</stp>
        <stp>.OPEN261016P-1.5</stp>
        <tr r="U51" s="1"/>
      </tp>
      <tp t="s">
        <v>N/A</v>
        <stp/>
        <stp>OPEN_INT</stp>
        <stp>.OPEN260116P21.5</stp>
        <tr r="L5" s="1"/>
      </tp>
      <tp t="s">
        <v>N/A</v>
        <stp/>
        <stp>OPEN_INT</stp>
        <stp>.OPEN260116P11.5</stp>
        <tr r="L25" s="1"/>
        <tr r="W21" s="2"/>
      </tp>
      <tp t="s">
        <v>N/A</v>
        <stp/>
        <stp>OPEN_INT</stp>
        <stp>.OPEN260116P-1.5</stp>
        <tr r="L51" s="1"/>
        <tr r="W47" s="2"/>
      </tp>
      <tp t="s">
        <v>N/A</v>
        <stp/>
        <stp>OPEN_INT</stp>
        <stp>.OPEN260116C21.5</stp>
        <tr r="L5" s="1"/>
      </tp>
      <tp t="s">
        <v>N/A</v>
        <stp/>
        <stp>OPEN_INT</stp>
        <stp>.OPEN260116C11.5</stp>
        <tr r="L25" s="1"/>
        <tr r="W21" s="2"/>
      </tp>
      <tp t="s">
        <v>N/A</v>
        <stp/>
        <stp>OPEN_INT</stp>
        <stp>.OPEN260116C-1.5</stp>
        <tr r="L51" s="1"/>
        <tr r="W47" s="2"/>
      </tp>
      <tp t="s">
        <v>N/A</v>
        <stp/>
        <stp>OPEN_INT</stp>
        <stp>.OPEN261016C21.5</stp>
        <tr r="U5" s="1"/>
      </tp>
      <tp>
        <v>432</v>
        <stp/>
        <stp>OPEN_INT</stp>
        <stp>.OPEN251205C10.5</stp>
        <tr r="F27" s="1"/>
        <tr r="F27" s="1"/>
      </tp>
      <tp t="s">
        <v>N/A</v>
        <stp/>
        <stp>OPEN_INT</stp>
        <stp>.OPEN251205C20.5</stp>
        <tr r="F7" s="1"/>
      </tp>
      <tp t="s">
        <v>N/A</v>
        <stp/>
        <stp>OPEN_INT</stp>
        <stp>.OPEN251015C11.5</stp>
        <tr r="F21" s="2"/>
      </tp>
      <tp t="s">
        <v>N/A</v>
        <stp/>
        <stp>OPEN_INT</stp>
        <stp>.OPEN261016C11.5</stp>
        <tr r="U25" s="1"/>
      </tp>
      <tp t="s">
        <v>N/A</v>
        <stp/>
        <stp>OPEN_INT</stp>
        <stp>.OPEN251205C-0.5</stp>
        <tr r="F49" s="1"/>
      </tp>
      <tp t="s">
        <v>N/A</v>
        <stp/>
        <stp>OPEN_INT</stp>
        <stp>.OPEN251015C-1.5</stp>
        <tr r="F47" s="2"/>
      </tp>
      <tp t="s">
        <v>N/A</v>
        <stp/>
        <stp>OPEN_INT</stp>
        <stp>.OPEN261016C-1.5</stp>
        <tr r="U51" s="1"/>
      </tp>
      <tp t="s">
        <v>N/A</v>
        <stp/>
        <stp>OPEN_INT</stp>
        <stp>.OPEN251114P21.5</stp>
        <tr r="AB52" s="1"/>
        <tr r="C5" s="1"/>
        <tr r="AC52" s="5"/>
        <tr r="AC7" s="5"/>
        <tr r="AC9" s="5"/>
        <tr r="AC11" s="5"/>
        <tr r="AC13" s="5"/>
        <tr r="AC41" s="5"/>
        <tr r="AC39" s="5"/>
        <tr r="AC37" s="5"/>
        <tr r="AC21" s="5"/>
        <tr r="AC33" s="5"/>
        <tr r="AC25" s="5"/>
        <tr r="AC27" s="5"/>
        <tr r="AB48" s="1"/>
        <tr r="AB10" s="1"/>
        <tr r="AB44" s="1"/>
        <tr r="AB42" s="1"/>
        <tr r="AB40" s="1"/>
        <tr r="AB18" s="1"/>
        <tr r="AB20" s="1"/>
        <tr r="AB34" s="1"/>
        <tr r="AB32" s="1"/>
        <tr r="AB30" s="1"/>
        <tr r="AB28" s="1"/>
        <tr r="AC49" s="5"/>
        <tr r="AC47" s="5"/>
        <tr r="AC45" s="5"/>
        <tr r="AC43" s="5"/>
        <tr r="AC15" s="5"/>
        <tr r="AC17" s="5"/>
        <tr r="AC19" s="5"/>
        <tr r="AC35" s="5"/>
        <tr r="AC23" s="5"/>
        <tr r="AC31" s="5"/>
        <tr r="AC29" s="5"/>
        <tr r="AB6" s="1"/>
        <tr r="AB8" s="1"/>
        <tr r="AB46" s="1"/>
        <tr r="AB12" s="1"/>
        <tr r="AB14" s="1"/>
        <tr r="AB16" s="1"/>
        <tr r="AB38" s="1"/>
        <tr r="AB36" s="1"/>
        <tr r="AB22" s="1"/>
        <tr r="AB24" s="1"/>
        <tr r="AB26" s="1"/>
        <tr r="AC6" s="5"/>
        <tr r="AC5" s="5"/>
        <tr r="AC48" s="5"/>
        <tr r="AC10" s="5"/>
        <tr r="AC12" s="5"/>
        <tr r="AC42" s="5"/>
        <tr r="AC40" s="5"/>
        <tr r="AC18" s="5"/>
        <tr r="AC20" s="5"/>
        <tr r="AC22" s="5"/>
        <tr r="AC32" s="5"/>
        <tr r="AC26" s="5"/>
        <tr r="AC28" s="5"/>
        <tr r="AC50" s="5"/>
        <tr r="AB5" s="1"/>
        <tr r="AB7" s="1"/>
        <tr r="AB47" s="1"/>
        <tr r="AB11" s="1"/>
        <tr r="AB13" s="1"/>
        <tr r="AB15" s="1"/>
        <tr r="AB17" s="1"/>
        <tr r="AB37" s="1"/>
        <tr r="AB35" s="1"/>
        <tr r="AB33" s="1"/>
        <tr r="AB31" s="1"/>
        <tr r="AB29" s="1"/>
        <tr r="AC51" s="5"/>
        <tr r="AC8" s="5"/>
        <tr r="AC46" s="5"/>
        <tr r="AC44" s="5"/>
        <tr r="AC14" s="5"/>
        <tr r="AC16" s="5"/>
        <tr r="AC38" s="5"/>
        <tr r="AC36" s="5"/>
        <tr r="AC34" s="5"/>
        <tr r="AC24" s="5"/>
        <tr r="AC30" s="5"/>
        <tr r="AB51" s="1"/>
        <tr r="AB49" s="1"/>
        <tr r="AB9" s="1"/>
        <tr r="AB45" s="1"/>
        <tr r="AB43" s="1"/>
        <tr r="AB41" s="1"/>
        <tr r="AB39" s="1"/>
        <tr r="AB19" s="1"/>
        <tr r="AB21" s="1"/>
        <tr r="AB23" s="1"/>
        <tr r="AB25" s="1"/>
        <tr r="AB27" s="1"/>
        <tr r="AB50" s="1"/>
      </tp>
      <tp>
        <v>161</v>
        <stp/>
        <stp>OPEN_INT</stp>
        <stp>.OPEN251114P11.5</stp>
        <tr r="AV52" s="1"/>
        <tr r="AV52" s="1"/>
        <tr r="AW52" s="5"/>
        <tr r="AW52" s="5"/>
        <tr r="C25" s="1"/>
        <tr r="C25" s="1"/>
        <tr r="AW5" s="5"/>
        <tr r="AW5" s="5"/>
        <tr r="AW49" s="5"/>
        <tr r="AW49" s="5"/>
        <tr r="AW47" s="5"/>
        <tr r="AW47" s="5"/>
        <tr r="AW45" s="5"/>
        <tr r="AW45" s="5"/>
        <tr r="AW43" s="5"/>
        <tr r="AW43" s="5"/>
        <tr r="AW15" s="5"/>
        <tr r="AW15" s="5"/>
        <tr r="AW17" s="5"/>
        <tr r="AW17" s="5"/>
        <tr r="AW37" s="5"/>
        <tr r="AW37" s="5"/>
        <tr r="AW35" s="5"/>
        <tr r="AW35" s="5"/>
        <tr r="AW23" s="5"/>
        <tr r="AW23" s="5"/>
        <tr r="AW31" s="5"/>
        <tr r="AW31" s="5"/>
        <tr r="AW29" s="5"/>
        <tr r="AW29" s="5"/>
        <tr r="AV51" s="1"/>
        <tr r="AV51" s="1"/>
        <tr r="AV49" s="1"/>
        <tr r="AV49" s="1"/>
        <tr r="AV9" s="1"/>
        <tr r="AV9" s="1"/>
        <tr r="AV11" s="1"/>
        <tr r="AV11" s="1"/>
        <tr r="AV43" s="1"/>
        <tr r="AV43" s="1"/>
        <tr r="AV41" s="1"/>
        <tr r="AV41" s="1"/>
        <tr r="AV39" s="1"/>
        <tr r="AV39" s="1"/>
        <tr r="AV19" s="1"/>
        <tr r="AV19" s="1"/>
        <tr r="AV35" s="1"/>
        <tr r="AV35" s="1"/>
        <tr r="AV23" s="1"/>
        <tr r="AV23" s="1"/>
        <tr r="AV25" s="1"/>
        <tr r="AV25" s="1"/>
        <tr r="AV27" s="1"/>
        <tr r="AV27" s="1"/>
        <tr r="AW6" s="5"/>
        <tr r="AW6" s="5"/>
        <tr r="AW48" s="5"/>
        <tr r="AW48" s="5"/>
        <tr r="AW10" s="5"/>
        <tr r="AW10" s="5"/>
        <tr r="AW12" s="5"/>
        <tr r="AW12" s="5"/>
        <tr r="AW42" s="5"/>
        <tr r="AW42" s="5"/>
        <tr r="AW40" s="5"/>
        <tr r="AW40" s="5"/>
        <tr r="AW18" s="5"/>
        <tr r="AW18" s="5"/>
        <tr r="AW20" s="5"/>
        <tr r="AW20" s="5"/>
        <tr r="AW22" s="5"/>
        <tr r="AW22" s="5"/>
        <tr r="AW32" s="5"/>
        <tr r="AW32" s="5"/>
        <tr r="AW30" s="5"/>
        <tr r="AW30" s="5"/>
        <tr r="AW28" s="5"/>
        <tr r="AW28" s="5"/>
        <tr r="AV6" s="1"/>
        <tr r="AV6" s="1"/>
        <tr r="AV8" s="1"/>
        <tr r="AV8" s="1"/>
        <tr r="AV46" s="1"/>
        <tr r="AV46" s="1"/>
        <tr r="AV44" s="1"/>
        <tr r="AV44" s="1"/>
        <tr r="AV42" s="1"/>
        <tr r="AV42" s="1"/>
        <tr r="AV40" s="1"/>
        <tr r="AV40" s="1"/>
        <tr r="AV18" s="1"/>
        <tr r="AV18" s="1"/>
        <tr r="AV20" s="1"/>
        <tr r="AV20" s="1"/>
        <tr r="AV34" s="1"/>
        <tr r="AV34" s="1"/>
        <tr r="AV32" s="1"/>
        <tr r="AV32" s="1"/>
        <tr r="AV30" s="1"/>
        <tr r="AV30" s="1"/>
        <tr r="AV28" s="1"/>
        <tr r="AV28" s="1"/>
        <tr r="AW50" s="5"/>
        <tr r="AW50" s="5"/>
        <tr r="AW8" s="5"/>
        <tr r="AW8" s="5"/>
        <tr r="AW46" s="5"/>
        <tr r="AW46" s="5"/>
        <tr r="AW44" s="5"/>
        <tr r="AW44" s="5"/>
        <tr r="AW14" s="5"/>
        <tr r="AW14" s="5"/>
        <tr r="AW16" s="5"/>
        <tr r="AW16" s="5"/>
        <tr r="AW38" s="5"/>
        <tr r="AW38" s="5"/>
        <tr r="AW36" s="5"/>
        <tr r="AW36" s="5"/>
        <tr r="AW34" s="5"/>
        <tr r="AW34" s="5"/>
        <tr r="AW24" s="5"/>
        <tr r="AW24" s="5"/>
        <tr r="AW26" s="5"/>
        <tr r="AW26" s="5"/>
        <tr r="AV50" s="1"/>
        <tr r="AV50" s="1"/>
        <tr r="AV48" s="1"/>
        <tr r="AV48" s="1"/>
        <tr r="AV10" s="1"/>
        <tr r="AV10" s="1"/>
        <tr r="AV12" s="1"/>
        <tr r="AV12" s="1"/>
        <tr r="AV14" s="1"/>
        <tr r="AV14" s="1"/>
        <tr r="AV16" s="1"/>
        <tr r="AV16" s="1"/>
        <tr r="AV38" s="1"/>
        <tr r="AV38" s="1"/>
        <tr r="AV36" s="1"/>
        <tr r="AV36" s="1"/>
        <tr r="AV22" s="1"/>
        <tr r="AV22" s="1"/>
        <tr r="AV24" s="1"/>
        <tr r="AV24" s="1"/>
        <tr r="AV26" s="1"/>
        <tr r="AV26" s="1"/>
        <tr r="AW51" s="5"/>
        <tr r="AW51" s="5"/>
        <tr r="AW7" s="5"/>
        <tr r="AW7" s="5"/>
        <tr r="AW9" s="5"/>
        <tr r="AW9" s="5"/>
        <tr r="AW11" s="5"/>
        <tr r="AW11" s="5"/>
        <tr r="AW13" s="5"/>
        <tr r="AW13" s="5"/>
        <tr r="AW41" s="5"/>
        <tr r="AW41" s="5"/>
        <tr r="AW39" s="5"/>
        <tr r="AW39" s="5"/>
        <tr r="AW19" s="5"/>
        <tr r="AW19" s="5"/>
        <tr r="AW21" s="5"/>
        <tr r="AW21" s="5"/>
        <tr r="AW33" s="5"/>
        <tr r="AW33" s="5"/>
        <tr r="AW25" s="5"/>
        <tr r="AW25" s="5"/>
        <tr r="AW27" s="5"/>
        <tr r="AW27" s="5"/>
        <tr r="AV5" s="1"/>
        <tr r="AV5" s="1"/>
        <tr r="AV7" s="1"/>
        <tr r="AV7" s="1"/>
        <tr r="AV47" s="1"/>
        <tr r="AV47" s="1"/>
        <tr r="AV45" s="1"/>
        <tr r="AV45" s="1"/>
        <tr r="AV13" s="1"/>
        <tr r="AV13" s="1"/>
        <tr r="AV15" s="1"/>
        <tr r="AV15" s="1"/>
        <tr r="AV17" s="1"/>
        <tr r="AV17" s="1"/>
        <tr r="AV37" s="1"/>
        <tr r="AV37" s="1"/>
        <tr r="AV21" s="1"/>
        <tr r="AV21" s="1"/>
        <tr r="AV33" s="1"/>
        <tr r="AV33" s="1"/>
        <tr r="AV31" s="1"/>
        <tr r="AV31" s="1"/>
        <tr r="AV29" s="1"/>
        <tr r="AV29" s="1"/>
      </tp>
      <tp t="s">
        <v>N/A</v>
        <stp/>
        <stp>OPEN_INT</stp>
        <stp>.OPEN251014P11.5</stp>
        <tr r="E21" s="2"/>
      </tp>
      <tp>
        <v>0</v>
        <stp/>
        <stp>OPEN_INT</stp>
        <stp>.OPEN251024P12.5</stp>
        <tr r="M19" s="2"/>
        <tr r="M19" s="2"/>
      </tp>
      <tp t="s">
        <v>N/A</v>
        <stp/>
        <stp>OPEN_INT</stp>
        <stp>.OPEN251114P-1.5</stp>
        <tr r="C51" s="1"/>
        <tr r="BW52" s="5"/>
        <tr r="BV52" s="1"/>
        <tr r="BW43" s="5"/>
        <tr r="BW17" s="5"/>
        <tr r="BW37" s="5"/>
        <tr r="BW21" s="5"/>
        <tr r="BW33" s="5"/>
        <tr r="BW25" s="5"/>
        <tr r="BW27" s="5"/>
        <tr r="BV5" s="1"/>
        <tr r="BV49" s="1"/>
        <tr r="BV9" s="1"/>
        <tr r="BV11" s="1"/>
        <tr r="BV43" s="1"/>
        <tr r="BV15" s="1"/>
        <tr r="BV39" s="1"/>
        <tr r="BV19" s="1"/>
        <tr r="BV21" s="1"/>
        <tr r="BV33" s="1"/>
        <tr r="BV31" s="1"/>
        <tr r="BV27" s="1"/>
        <tr r="BW51" s="5"/>
        <tr r="BW11" s="5"/>
        <tr r="BW6" s="5"/>
        <tr r="BW48" s="5"/>
        <tr r="BW10" s="5"/>
        <tr r="BW44" s="5"/>
        <tr r="BW42" s="5"/>
        <tr r="BW16" s="5"/>
        <tr r="BW38" s="5"/>
        <tr r="BW36" s="5"/>
        <tr r="BW22" s="5"/>
        <tr r="BW32" s="5"/>
        <tr r="BW26" s="5"/>
        <tr r="BW28" s="5"/>
        <tr r="BV51" s="1"/>
        <tr r="BV7" s="1"/>
        <tr r="BV47" s="1"/>
        <tr r="BV45" s="1"/>
        <tr r="BV13" s="1"/>
        <tr r="BV41" s="1"/>
        <tr r="BV17" s="1"/>
        <tr r="BV37" s="1"/>
        <tr r="BV35" s="1"/>
        <tr r="BV23" s="1"/>
        <tr r="BV25" s="1"/>
        <tr r="BV29" s="1"/>
        <tr r="BW9" s="5"/>
        <tr r="BW50" s="5"/>
        <tr r="BW8" s="5"/>
        <tr r="BW46" s="5"/>
        <tr r="BW12" s="5"/>
        <tr r="BW14" s="5"/>
        <tr r="BW40" s="5"/>
        <tr r="BW18" s="5"/>
        <tr r="BW20" s="5"/>
        <tr r="BW34" s="5"/>
        <tr r="BW24" s="5"/>
        <tr r="BW30" s="5"/>
        <tr r="BV50" s="1"/>
        <tr r="BV8" s="1"/>
        <tr r="BV46" s="1"/>
        <tr r="BV12" s="1"/>
        <tr r="BV14" s="1"/>
        <tr r="BV40" s="1"/>
        <tr r="BV18" s="1"/>
        <tr r="BV20" s="1"/>
        <tr r="BV34" s="1"/>
        <tr r="BV24" s="1"/>
        <tr r="BV30" s="1"/>
        <tr r="BV28" s="1"/>
        <tr r="BW7" s="5"/>
        <tr r="BW41" s="5"/>
        <tr r="BW5" s="5"/>
        <tr r="BW49" s="5"/>
        <tr r="BW47" s="5"/>
        <tr r="BW45" s="5"/>
        <tr r="BW13" s="5"/>
        <tr r="BW15" s="5"/>
        <tr r="BW39" s="5"/>
        <tr r="BW19" s="5"/>
        <tr r="BW35" s="5"/>
        <tr r="BW23" s="5"/>
        <tr r="BW31" s="5"/>
        <tr r="BW29" s="5"/>
        <tr r="BV6" s="1"/>
        <tr r="BV48" s="1"/>
        <tr r="BV10" s="1"/>
        <tr r="BV44" s="1"/>
        <tr r="BV42" s="1"/>
        <tr r="BV16" s="1"/>
        <tr r="BV38" s="1"/>
        <tr r="BV36" s="1"/>
        <tr r="BV22" s="1"/>
        <tr r="BV32" s="1"/>
        <tr r="BV26" s="1"/>
      </tp>
      <tp t="s">
        <v>N/A</v>
        <stp/>
        <stp>OPEN_INT</stp>
        <stp>.OPEN251014P-1.5</stp>
        <tr r="E47" s="2"/>
      </tp>
      <tp t="s">
        <v>N/A</v>
        <stp/>
        <stp>OPEN_INT</stp>
        <stp>.OPEN251024P-2.5</stp>
        <tr r="M49" s="2"/>
      </tp>
      <tp t="s">
        <v>N/A</v>
        <stp/>
        <stp>OPEN_INT</stp>
        <stp>.OPEN260417P21.5</stp>
        <tr r="O5" s="1"/>
      </tp>
      <tp t="s">
        <v>N/A</v>
        <stp/>
        <stp>OPEN_INT</stp>
        <stp>.OPEN260717P11.5</stp>
        <tr r="R25" s="1"/>
      </tp>
      <tp t="s">
        <v>N/A</v>
        <stp/>
        <stp>OPEN_INT</stp>
        <stp>.OPEN260417P11.5</stp>
        <tr r="O25" s="1"/>
      </tp>
      <tp t="s">
        <v>N/A</v>
        <stp/>
        <stp>OPEN_INT</stp>
        <stp>.OPEN260717P21.5</stp>
        <tr r="R5" s="1"/>
      </tp>
      <tp t="s">
        <v>N/A</v>
        <stp/>
        <stp>OPEN_INT</stp>
        <stp>.OPEN260717P-1.5</stp>
        <tr r="R51" s="1"/>
      </tp>
      <tp t="s">
        <v>N/A</v>
        <stp/>
        <stp>OPEN_INT</stp>
        <stp>.OPEN260417P-1.5</stp>
        <tr r="O51" s="1"/>
      </tp>
      <tp t="s">
        <v>N/A</v>
        <stp/>
        <stp>OPEN_INT</stp>
        <stp>.OPEN260417C21.5</stp>
        <tr r="O5" s="1"/>
      </tp>
      <tp t="s">
        <v>N/A</v>
        <stp/>
        <stp>OPEN_INT</stp>
        <stp>.OPEN260717C11.5</stp>
        <tr r="R25" s="1"/>
      </tp>
      <tp t="s">
        <v>N/A</v>
        <stp/>
        <stp>OPEN_INT</stp>
        <stp>.OPEN260417C11.5</stp>
        <tr r="O25" s="1"/>
      </tp>
      <tp t="s">
        <v>N/A</v>
        <stp/>
        <stp>OPEN_INT</stp>
        <stp>.OPEN260717C21.5</stp>
        <tr r="R5" s="1"/>
      </tp>
      <tp t="s">
        <v>N/A</v>
        <stp/>
        <stp>OPEN_INT</stp>
        <stp>.OPEN260717C-1.5</stp>
        <tr r="R51" s="1"/>
      </tp>
      <tp t="s">
        <v>N/A</v>
        <stp/>
        <stp>OPEN_INT</stp>
        <stp>.OPEN260417C-1.5</stp>
        <tr r="O51" s="1"/>
      </tp>
      <tp t="s">
        <v>N/A</v>
        <stp/>
        <stp>OPEN_INT</stp>
        <stp>.OPEN251114C21.5</stp>
        <tr r="AB52" s="1"/>
        <tr r="C5" s="1"/>
        <tr r="AC52" s="5"/>
        <tr r="AC7" s="5"/>
        <tr r="AC9" s="5"/>
        <tr r="AC11" s="5"/>
        <tr r="AC13" s="5"/>
        <tr r="AC41" s="5"/>
        <tr r="AC39" s="5"/>
        <tr r="AC37" s="5"/>
        <tr r="AC21" s="5"/>
        <tr r="AC33" s="5"/>
        <tr r="AC25" s="5"/>
        <tr r="AC27" s="5"/>
        <tr r="AB48" s="1"/>
        <tr r="AB10" s="1"/>
        <tr r="AB44" s="1"/>
        <tr r="AB42" s="1"/>
        <tr r="AB40" s="1"/>
        <tr r="AB18" s="1"/>
        <tr r="AB20" s="1"/>
        <tr r="AB34" s="1"/>
        <tr r="AB32" s="1"/>
        <tr r="AB30" s="1"/>
        <tr r="AB28" s="1"/>
        <tr r="AC49" s="5"/>
        <tr r="AC47" s="5"/>
        <tr r="AC45" s="5"/>
        <tr r="AC43" s="5"/>
        <tr r="AC15" s="5"/>
        <tr r="AC17" s="5"/>
        <tr r="AC19" s="5"/>
        <tr r="AC35" s="5"/>
        <tr r="AC23" s="5"/>
        <tr r="AC31" s="5"/>
        <tr r="AC29" s="5"/>
        <tr r="AB6" s="1"/>
        <tr r="AB8" s="1"/>
        <tr r="AB46" s="1"/>
        <tr r="AB12" s="1"/>
        <tr r="AB14" s="1"/>
        <tr r="AB16" s="1"/>
        <tr r="AB38" s="1"/>
        <tr r="AB36" s="1"/>
        <tr r="AB22" s="1"/>
        <tr r="AB24" s="1"/>
        <tr r="AB26" s="1"/>
        <tr r="AC6" s="5"/>
        <tr r="AC5" s="5"/>
        <tr r="AC48" s="5"/>
        <tr r="AC10" s="5"/>
        <tr r="AC12" s="5"/>
        <tr r="AC42" s="5"/>
        <tr r="AC40" s="5"/>
        <tr r="AC18" s="5"/>
        <tr r="AC20" s="5"/>
        <tr r="AC22" s="5"/>
        <tr r="AC32" s="5"/>
        <tr r="AC26" s="5"/>
        <tr r="AC28" s="5"/>
        <tr r="AC50" s="5"/>
        <tr r="AB5" s="1"/>
        <tr r="AB7" s="1"/>
        <tr r="AB47" s="1"/>
        <tr r="AB11" s="1"/>
        <tr r="AB13" s="1"/>
        <tr r="AB15" s="1"/>
        <tr r="AB17" s="1"/>
        <tr r="AB37" s="1"/>
        <tr r="AB35" s="1"/>
        <tr r="AB33" s="1"/>
        <tr r="AB31" s="1"/>
        <tr r="AB29" s="1"/>
        <tr r="AC51" s="5"/>
        <tr r="AC8" s="5"/>
        <tr r="AC46" s="5"/>
        <tr r="AC44" s="5"/>
        <tr r="AC14" s="5"/>
        <tr r="AC16" s="5"/>
        <tr r="AC38" s="5"/>
        <tr r="AC36" s="5"/>
        <tr r="AC34" s="5"/>
        <tr r="AC24" s="5"/>
        <tr r="AC30" s="5"/>
        <tr r="AB51" s="1"/>
        <tr r="AB49" s="1"/>
        <tr r="AB9" s="1"/>
        <tr r="AB45" s="1"/>
        <tr r="AB43" s="1"/>
        <tr r="AB41" s="1"/>
        <tr r="AB39" s="1"/>
        <tr r="AB19" s="1"/>
        <tr r="AB21" s="1"/>
        <tr r="AB23" s="1"/>
        <tr r="AB25" s="1"/>
        <tr r="AB27" s="1"/>
        <tr r="AB50" s="1"/>
      </tp>
      <tp>
        <v>1888</v>
        <stp/>
        <stp>OPEN_INT</stp>
        <stp>.OPEN251114C11.5</stp>
        <tr r="AV52" s="1"/>
        <tr r="AV52" s="1"/>
        <tr r="AW52" s="5"/>
        <tr r="AW52" s="5"/>
        <tr r="C25" s="1"/>
        <tr r="C25" s="1"/>
        <tr r="AW5" s="5"/>
        <tr r="AW5" s="5"/>
        <tr r="AW49" s="5"/>
        <tr r="AW49" s="5"/>
        <tr r="AW47" s="5"/>
        <tr r="AW47" s="5"/>
        <tr r="AW45" s="5"/>
        <tr r="AW45" s="5"/>
        <tr r="AW43" s="5"/>
        <tr r="AW43" s="5"/>
        <tr r="AW15" s="5"/>
        <tr r="AW15" s="5"/>
        <tr r="AW17" s="5"/>
        <tr r="AW17" s="5"/>
        <tr r="AW37" s="5"/>
        <tr r="AW37" s="5"/>
        <tr r="AW35" s="5"/>
        <tr r="AW35" s="5"/>
        <tr r="AW23" s="5"/>
        <tr r="AW23" s="5"/>
        <tr r="AW31" s="5"/>
        <tr r="AW31" s="5"/>
        <tr r="AW29" s="5"/>
        <tr r="AW29" s="5"/>
        <tr r="AV51" s="1"/>
        <tr r="AV51" s="1"/>
        <tr r="AV49" s="1"/>
        <tr r="AV49" s="1"/>
        <tr r="AV9" s="1"/>
        <tr r="AV9" s="1"/>
        <tr r="AV11" s="1"/>
        <tr r="AV11" s="1"/>
        <tr r="AV43" s="1"/>
        <tr r="AV43" s="1"/>
        <tr r="AV41" s="1"/>
        <tr r="AV41" s="1"/>
        <tr r="AV39" s="1"/>
        <tr r="AV39" s="1"/>
        <tr r="AV19" s="1"/>
        <tr r="AV19" s="1"/>
        <tr r="AV35" s="1"/>
        <tr r="AV35" s="1"/>
        <tr r="AV23" s="1"/>
        <tr r="AV23" s="1"/>
        <tr r="AV25" s="1"/>
        <tr r="AV25" s="1"/>
        <tr r="AV27" s="1"/>
        <tr r="AV27" s="1"/>
        <tr r="AW6" s="5"/>
        <tr r="AW6" s="5"/>
        <tr r="AW48" s="5"/>
        <tr r="AW48" s="5"/>
        <tr r="AW10" s="5"/>
        <tr r="AW10" s="5"/>
        <tr r="AW12" s="5"/>
        <tr r="AW12" s="5"/>
        <tr r="AW42" s="5"/>
        <tr r="AW42" s="5"/>
        <tr r="AW40" s="5"/>
        <tr r="AW40" s="5"/>
        <tr r="AW18" s="5"/>
        <tr r="AW18" s="5"/>
        <tr r="AW20" s="5"/>
        <tr r="AW20" s="5"/>
        <tr r="AW22" s="5"/>
        <tr r="AW22" s="5"/>
        <tr r="AW32" s="5"/>
        <tr r="AW32" s="5"/>
        <tr r="AW30" s="5"/>
        <tr r="AW30" s="5"/>
        <tr r="AW28" s="5"/>
        <tr r="AW28" s="5"/>
        <tr r="AV6" s="1"/>
        <tr r="AV6" s="1"/>
        <tr r="AV8" s="1"/>
        <tr r="AV8" s="1"/>
        <tr r="AV46" s="1"/>
        <tr r="AV46" s="1"/>
        <tr r="AV44" s="1"/>
        <tr r="AV44" s="1"/>
        <tr r="AV42" s="1"/>
        <tr r="AV42" s="1"/>
        <tr r="AV40" s="1"/>
        <tr r="AV40" s="1"/>
        <tr r="AV18" s="1"/>
        <tr r="AV18" s="1"/>
        <tr r="AV20" s="1"/>
        <tr r="AV20" s="1"/>
        <tr r="AV34" s="1"/>
        <tr r="AV34" s="1"/>
        <tr r="AV32" s="1"/>
        <tr r="AV32" s="1"/>
        <tr r="AV30" s="1"/>
        <tr r="AV30" s="1"/>
        <tr r="AV28" s="1"/>
        <tr r="AV28" s="1"/>
        <tr r="AW50" s="5"/>
        <tr r="AW50" s="5"/>
        <tr r="AW8" s="5"/>
        <tr r="AW8" s="5"/>
        <tr r="AW46" s="5"/>
        <tr r="AW46" s="5"/>
        <tr r="AW44" s="5"/>
        <tr r="AW44" s="5"/>
        <tr r="AW14" s="5"/>
        <tr r="AW14" s="5"/>
        <tr r="AW16" s="5"/>
        <tr r="AW16" s="5"/>
        <tr r="AW38" s="5"/>
        <tr r="AW38" s="5"/>
        <tr r="AW36" s="5"/>
        <tr r="AW36" s="5"/>
        <tr r="AW34" s="5"/>
        <tr r="AW34" s="5"/>
        <tr r="AW24" s="5"/>
        <tr r="AW24" s="5"/>
        <tr r="AW26" s="5"/>
        <tr r="AW26" s="5"/>
        <tr r="AV50" s="1"/>
        <tr r="AV50" s="1"/>
        <tr r="AV48" s="1"/>
        <tr r="AV48" s="1"/>
        <tr r="AV10" s="1"/>
        <tr r="AV10" s="1"/>
        <tr r="AV12" s="1"/>
        <tr r="AV12" s="1"/>
        <tr r="AV14" s="1"/>
        <tr r="AV14" s="1"/>
        <tr r="AV16" s="1"/>
        <tr r="AV16" s="1"/>
        <tr r="AV38" s="1"/>
        <tr r="AV38" s="1"/>
        <tr r="AV36" s="1"/>
        <tr r="AV36" s="1"/>
        <tr r="AV22" s="1"/>
        <tr r="AV22" s="1"/>
        <tr r="AV24" s="1"/>
        <tr r="AV24" s="1"/>
        <tr r="AV26" s="1"/>
        <tr r="AV26" s="1"/>
        <tr r="AW51" s="5"/>
        <tr r="AW51" s="5"/>
        <tr r="AW7" s="5"/>
        <tr r="AW7" s="5"/>
        <tr r="AW9" s="5"/>
        <tr r="AW9" s="5"/>
        <tr r="AW11" s="5"/>
        <tr r="AW11" s="5"/>
        <tr r="AW13" s="5"/>
        <tr r="AW13" s="5"/>
        <tr r="AW41" s="5"/>
        <tr r="AW41" s="5"/>
        <tr r="AW39" s="5"/>
        <tr r="AW39" s="5"/>
        <tr r="AW19" s="5"/>
        <tr r="AW19" s="5"/>
        <tr r="AW21" s="5"/>
        <tr r="AW21" s="5"/>
        <tr r="AW33" s="5"/>
        <tr r="AW33" s="5"/>
        <tr r="AW25" s="5"/>
        <tr r="AW25" s="5"/>
        <tr r="AW27" s="5"/>
        <tr r="AW27" s="5"/>
        <tr r="AV5" s="1"/>
        <tr r="AV5" s="1"/>
        <tr r="AV7" s="1"/>
        <tr r="AV7" s="1"/>
        <tr r="AV47" s="1"/>
        <tr r="AV47" s="1"/>
        <tr r="AV45" s="1"/>
        <tr r="AV45" s="1"/>
        <tr r="AV13" s="1"/>
        <tr r="AV13" s="1"/>
        <tr r="AV15" s="1"/>
        <tr r="AV15" s="1"/>
        <tr r="AV17" s="1"/>
        <tr r="AV17" s="1"/>
        <tr r="AV37" s="1"/>
        <tr r="AV37" s="1"/>
        <tr r="AV21" s="1"/>
        <tr r="AV21" s="1"/>
        <tr r="AV33" s="1"/>
        <tr r="AV33" s="1"/>
        <tr r="AV31" s="1"/>
        <tr r="AV31" s="1"/>
        <tr r="AV29" s="1"/>
        <tr r="AV29" s="1"/>
      </tp>
      <tp t="s">
        <v>N/A</v>
        <stp/>
        <stp>OPEN_INT</stp>
        <stp>.OPEN251014C11.5</stp>
        <tr r="E21" s="2"/>
      </tp>
      <tp>
        <v>466</v>
        <stp/>
        <stp>OPEN_INT</stp>
        <stp>.OPEN251024C12.5</stp>
        <tr r="M19" s="2"/>
        <tr r="M19" s="2"/>
      </tp>
      <tp t="s">
        <v>N/A</v>
        <stp/>
        <stp>OPEN_INT</stp>
        <stp>.OPEN251114C-1.5</stp>
        <tr r="C51" s="1"/>
        <tr r="BW52" s="5"/>
        <tr r="BV52" s="1"/>
        <tr r="BW43" s="5"/>
        <tr r="BW17" s="5"/>
        <tr r="BW37" s="5"/>
        <tr r="BW21" s="5"/>
        <tr r="BW33" s="5"/>
        <tr r="BW25" s="5"/>
        <tr r="BW27" s="5"/>
        <tr r="BV5" s="1"/>
        <tr r="BV49" s="1"/>
        <tr r="BV9" s="1"/>
        <tr r="BV11" s="1"/>
        <tr r="BV43" s="1"/>
        <tr r="BV15" s="1"/>
        <tr r="BV39" s="1"/>
        <tr r="BV19" s="1"/>
        <tr r="BV21" s="1"/>
        <tr r="BV33" s="1"/>
        <tr r="BV31" s="1"/>
        <tr r="BV27" s="1"/>
        <tr r="BW51" s="5"/>
        <tr r="BW11" s="5"/>
        <tr r="BW6" s="5"/>
        <tr r="BW48" s="5"/>
        <tr r="BW10" s="5"/>
        <tr r="BW44" s="5"/>
        <tr r="BW42" s="5"/>
        <tr r="BW16" s="5"/>
        <tr r="BW38" s="5"/>
        <tr r="BW36" s="5"/>
        <tr r="BW22" s="5"/>
        <tr r="BW32" s="5"/>
        <tr r="BW26" s="5"/>
        <tr r="BW28" s="5"/>
        <tr r="BV51" s="1"/>
        <tr r="BV7" s="1"/>
        <tr r="BV47" s="1"/>
        <tr r="BV45" s="1"/>
        <tr r="BV13" s="1"/>
        <tr r="BV41" s="1"/>
        <tr r="BV17" s="1"/>
        <tr r="BV37" s="1"/>
        <tr r="BV35" s="1"/>
        <tr r="BV23" s="1"/>
        <tr r="BV25" s="1"/>
        <tr r="BV29" s="1"/>
        <tr r="BW9" s="5"/>
        <tr r="BW50" s="5"/>
        <tr r="BW8" s="5"/>
        <tr r="BW46" s="5"/>
        <tr r="BW12" s="5"/>
        <tr r="BW14" s="5"/>
        <tr r="BW40" s="5"/>
        <tr r="BW18" s="5"/>
        <tr r="BW20" s="5"/>
        <tr r="BW34" s="5"/>
        <tr r="BW24" s="5"/>
        <tr r="BW30" s="5"/>
        <tr r="BV50" s="1"/>
        <tr r="BV8" s="1"/>
        <tr r="BV46" s="1"/>
        <tr r="BV12" s="1"/>
        <tr r="BV14" s="1"/>
        <tr r="BV40" s="1"/>
        <tr r="BV18" s="1"/>
        <tr r="BV20" s="1"/>
        <tr r="BV34" s="1"/>
        <tr r="BV24" s="1"/>
        <tr r="BV30" s="1"/>
        <tr r="BV28" s="1"/>
        <tr r="BW7" s="5"/>
        <tr r="BW41" s="5"/>
        <tr r="BW5" s="5"/>
        <tr r="BW49" s="5"/>
        <tr r="BW47" s="5"/>
        <tr r="BW45" s="5"/>
        <tr r="BW13" s="5"/>
        <tr r="BW15" s="5"/>
        <tr r="BW39" s="5"/>
        <tr r="BW19" s="5"/>
        <tr r="BW35" s="5"/>
        <tr r="BW23" s="5"/>
        <tr r="BW31" s="5"/>
        <tr r="BW29" s="5"/>
        <tr r="BV6" s="1"/>
        <tr r="BV48" s="1"/>
        <tr r="BV10" s="1"/>
        <tr r="BV44" s="1"/>
        <tr r="BV42" s="1"/>
        <tr r="BV16" s="1"/>
        <tr r="BV38" s="1"/>
        <tr r="BV36" s="1"/>
        <tr r="BV22" s="1"/>
        <tr r="BV32" s="1"/>
        <tr r="BV26" s="1"/>
      </tp>
      <tp t="s">
        <v>N/A</v>
        <stp/>
        <stp>OPEN_INT</stp>
        <stp>.OPEN251014C-1.5</stp>
        <tr r="E47" s="2"/>
      </tp>
      <tp t="s">
        <v>N/A</v>
        <stp/>
        <stp>OPEN_INT</stp>
        <stp>.OPEN251024C-2.5</stp>
        <tr r="M49" s="2"/>
      </tp>
      <tp t="s">
        <v>N/A</v>
        <stp/>
        <stp>OPEN_INT</stp>
        <stp>.OPEN261120P12.5</stp>
        <tr r="V23" s="1"/>
      </tp>
      <tp t="s">
        <v>N/A</v>
        <stp/>
        <stp>OPEN_INT</stp>
        <stp>.OPEN251013P11.5</stp>
        <tr r="D21" s="2"/>
      </tp>
      <tp t="s">
        <v>N/A</v>
        <stp/>
        <stp>OPEN_INT</stp>
        <stp>.OPEN251023P12.5</stp>
        <tr r="L19" s="2"/>
      </tp>
      <tp t="s">
        <v>N/A</v>
        <stp/>
        <stp>OPEN_INT</stp>
        <stp>.OPEN251013P-1.5</stp>
        <tr r="D47" s="2"/>
      </tp>
      <tp t="s">
        <v>N/A</v>
        <stp/>
        <stp>OPEN_INT</stp>
        <stp>.OPEN251023P-2.5</stp>
        <tr r="L49" s="2"/>
      </tp>
      <tp t="s">
        <v>N/A</v>
        <stp/>
        <stp>OPEN_INT</stp>
        <stp>.OPEN260320P12.5</stp>
        <tr r="N23" s="1"/>
      </tp>
      <tp t="s">
        <v>N/A</v>
        <stp/>
        <stp>OPEN_INT</stp>
        <stp>.OPEN260220P12.5</stp>
        <tr r="M23" s="1"/>
      </tp>
      <tp t="s">
        <v>N/A</v>
        <stp/>
        <stp>OPEN_INT</stp>
        <stp>.OPEN260320C12.5</stp>
        <tr r="N23" s="1"/>
      </tp>
      <tp t="s">
        <v>N/A</v>
        <stp/>
        <stp>OPEN_INT</stp>
        <stp>.OPEN260220C12.5</stp>
        <tr r="M23" s="1"/>
      </tp>
      <tp t="s">
        <v>N/A</v>
        <stp/>
        <stp>OPEN_INT</stp>
        <stp>.OPEN261120C12.5</stp>
        <tr r="V23" s="1"/>
      </tp>
      <tp t="s">
        <v>N/A</v>
        <stp/>
        <stp>OPEN_INT</stp>
        <stp>.OPEN251013C11.5</stp>
        <tr r="D21" s="2"/>
      </tp>
      <tp t="s">
        <v>N/A</v>
        <stp/>
        <stp>OPEN_INT</stp>
        <stp>.OPEN251023C12.5</stp>
        <tr r="L19" s="2"/>
      </tp>
      <tp t="s">
        <v>N/A</v>
        <stp/>
        <stp>OPEN_INT</stp>
        <stp>.OPEN251013C-1.5</stp>
        <tr r="D47" s="2"/>
      </tp>
      <tp t="s">
        <v>N/A</v>
        <stp/>
        <stp>OPEN_INT</stp>
        <stp>.OPEN251023C-2.5</stp>
        <tr r="L49" s="2"/>
      </tp>
      <tp>
        <v>0</v>
        <stp/>
        <stp>OPEN_INT</stp>
        <stp>.OPEN251212P11.5</stp>
        <tr r="G25" s="1"/>
        <tr r="G25" s="1"/>
      </tp>
      <tp t="s">
        <v>N/A</v>
        <stp/>
        <stp>OPEN_INT</stp>
        <stp>.OPEN251212P21.5</stp>
        <tr r="G5" s="1"/>
      </tp>
      <tp t="s">
        <v>N/A</v>
        <stp/>
        <stp>OPEN_INT</stp>
        <stp>.OPEN251022P12.5</stp>
        <tr r="K19" s="2"/>
      </tp>
      <tp t="s">
        <v>N/A</v>
        <stp/>
        <stp>OPEN_INT</stp>
        <stp>.OPEN251212P-1.5</stp>
        <tr r="G51" s="1"/>
      </tp>
      <tp t="s">
        <v>N/A</v>
        <stp/>
        <stp>OPEN_INT</stp>
        <stp>.OPEN251022P-2.5</stp>
        <tr r="K49" s="2"/>
      </tp>
      <tp t="s">
        <v>N/A</v>
        <stp/>
        <stp>OPEN_INT</stp>
        <stp>.OPEN260821P12.5</stp>
        <tr r="S23" s="1"/>
      </tp>
      <tp t="s">
        <v>N/A</v>
        <stp/>
        <stp>OPEN_INT</stp>
        <stp>.OPEN260821C12.5</stp>
        <tr r="S23" s="1"/>
      </tp>
      <tp>
        <v>8</v>
        <stp/>
        <stp>OPEN_INT</stp>
        <stp>.OPEN251212C11.5</stp>
        <tr r="G25" s="1"/>
        <tr r="G25" s="1"/>
      </tp>
      <tp t="s">
        <v>N/A</v>
        <stp/>
        <stp>OPEN_INT</stp>
        <stp>.OPEN251212C21.5</stp>
        <tr r="G5" s="1"/>
      </tp>
      <tp t="s">
        <v>N/A</v>
        <stp/>
        <stp>OPEN_INT</stp>
        <stp>.OPEN251022C12.5</stp>
        <tr r="K19" s="2"/>
      </tp>
      <tp t="s">
        <v>N/A</v>
        <stp/>
        <stp>OPEN_INT</stp>
        <stp>.OPEN251212C-1.5</stp>
        <tr r="G51" s="1"/>
      </tp>
      <tp t="s">
        <v>N/A</v>
        <stp/>
        <stp>OPEN_INT</stp>
        <stp>.OPEN251022C-2.5</stp>
        <tr r="K49" s="2"/>
      </tp>
      <tp t="s">
        <v>N/A</v>
        <stp/>
        <stp>OPEN_INT</stp>
        <stp>.OPEN251231P13.5</stp>
        <tr r="V17" s="2"/>
      </tp>
      <tp>
        <v>2</v>
        <stp/>
        <stp>OPEN_INT</stp>
        <stp>.OPEN251121P12.5</stp>
        <tr r="D23" s="1"/>
        <tr r="D23" s="1"/>
        <tr r="S19" s="2"/>
        <tr r="S19" s="2"/>
      </tp>
      <tp t="s">
        <v>N/A</v>
        <stp/>
        <stp>OPEN_INT</stp>
        <stp>.OPEN251021P12.5</stp>
        <tr r="J19" s="2"/>
      </tp>
      <tp>
        <v>0</v>
        <stp/>
        <stp>OPEN_INT</stp>
        <stp>.OPEN251031P13.5</stp>
        <tr r="R17" s="2"/>
        <tr r="R17" s="2"/>
      </tp>
      <tp t="s">
        <v>N/A</v>
        <stp/>
        <stp>OPEN_INT</stp>
        <stp>.OPEN251231P-3.5</stp>
        <tr r="V51" s="2"/>
      </tp>
      <tp t="s">
        <v>N/A</v>
        <stp/>
        <stp>OPEN_INT</stp>
        <stp>.OPEN251121P-2.5</stp>
        <tr r="S49" s="2"/>
      </tp>
      <tp t="s">
        <v>N/A</v>
        <stp/>
        <stp>OPEN_INT</stp>
        <stp>.OPEN251021P-2.5</stp>
        <tr r="J49" s="2"/>
      </tp>
      <tp t="s">
        <v>N/A</v>
        <stp/>
        <stp>OPEN_INT</stp>
        <stp>.OPEN251031P-3.5</stp>
        <tr r="R51" s="2"/>
      </tp>
      <tp t="s">
        <v>N/A</v>
        <stp/>
        <stp>OPEN_INT</stp>
        <stp>.OPEN260102P20.5</stp>
        <tr r="J7" s="1"/>
      </tp>
      <tp t="s">
        <v>N/A</v>
        <stp/>
        <stp>OPEN_INT</stp>
        <stp>.OPEN260102P10.5</stp>
        <tr r="J27" s="1"/>
      </tp>
      <tp t="s">
        <v>N/A</v>
        <stp/>
        <stp>OPEN_INT</stp>
        <stp>.OPEN260102P-0.5</stp>
        <tr r="J49" s="1"/>
      </tp>
      <tp t="s">
        <v>N/A</v>
        <stp/>
        <stp>OPEN_INT</stp>
        <stp>.OPEN260102C20.5</stp>
        <tr r="J7" s="1"/>
      </tp>
      <tp t="s">
        <v>N/A</v>
        <stp/>
        <stp>OPEN_INT</stp>
        <stp>.OPEN260102C10.5</stp>
        <tr r="J27" s="1"/>
      </tp>
      <tp t="s">
        <v>N/A</v>
        <stp/>
        <stp>OPEN_INT</stp>
        <stp>.OPEN260102C-0.5</stp>
        <tr r="J49" s="1"/>
      </tp>
      <tp t="s">
        <v>N/A</v>
        <stp/>
        <stp>OPEN_INT</stp>
        <stp>.OPEN251231C13.5</stp>
        <tr r="V17" s="2"/>
      </tp>
      <tp>
        <v>246</v>
        <stp/>
        <stp>OPEN_INT</stp>
        <stp>.OPEN251121C12.5</stp>
        <tr r="D23" s="1"/>
        <tr r="D23" s="1"/>
        <tr r="S19" s="2"/>
        <tr r="S19" s="2"/>
      </tp>
      <tp t="s">
        <v>N/A</v>
        <stp/>
        <stp>OPEN_INT</stp>
        <stp>.OPEN251021C12.5</stp>
        <tr r="J19" s="2"/>
      </tp>
      <tp>
        <v>253</v>
        <stp/>
        <stp>OPEN_INT</stp>
        <stp>.OPEN251031C13.5</stp>
        <tr r="R17" s="2"/>
        <tr r="R17" s="2"/>
      </tp>
      <tp t="s">
        <v>N/A</v>
        <stp/>
        <stp>OPEN_INT</stp>
        <stp>.OPEN251231C-3.5</stp>
        <tr r="V51" s="2"/>
      </tp>
      <tp t="s">
        <v>N/A</v>
        <stp/>
        <stp>OPEN_INT</stp>
        <stp>.OPEN251121C-2.5</stp>
        <tr r="S49" s="2"/>
      </tp>
      <tp t="s">
        <v>N/A</v>
        <stp/>
        <stp>OPEN_INT</stp>
        <stp>.OPEN251021C-2.5</stp>
        <tr r="J49" s="2"/>
      </tp>
      <tp t="s">
        <v>N/A</v>
        <stp/>
        <stp>OPEN_INT</stp>
        <stp>.OPEN251031C-3.5</stp>
        <tr r="R51" s="2"/>
      </tp>
      <tp>
        <v>135</v>
        <stp/>
        <stp>OPEN_INT</stp>
        <stp>.OPEN251010P11.5</stp>
        <tr r="C21" s="2"/>
        <tr r="C21" s="2"/>
      </tp>
      <tp t="s">
        <v>N/A</v>
        <stp/>
        <stp>OPEN_INT</stp>
        <stp>.OPEN251020P12.5</stp>
        <tr r="I19" s="2"/>
      </tp>
      <tp t="s">
        <v>N/A</v>
        <stp/>
        <stp>OPEN_INT</stp>
        <stp>.OPEN251030P13.5</stp>
        <tr r="Q17" s="2"/>
      </tp>
      <tp t="s">
        <v>N/A</v>
        <stp/>
        <stp>OPEN_INT</stp>
        <stp>.OPEN251010P-1.5</stp>
        <tr r="C47" s="2"/>
      </tp>
      <tp t="s">
        <v>N/A</v>
        <stp/>
        <stp>OPEN_INT</stp>
        <stp>.OPEN251020P-2.5</stp>
        <tr r="I49" s="2"/>
      </tp>
      <tp t="s">
        <v>N/A</v>
        <stp/>
        <stp>OPEN_INT</stp>
        <stp>.OPEN251030P-3.5</stp>
        <tr r="Q51" s="2"/>
      </tp>
      <tp>
        <v>5450</v>
        <stp/>
        <stp>OPEN_INT</stp>
        <stp>.OPEN251010C11.5</stp>
        <tr r="C21" s="2"/>
        <tr r="C21" s="2"/>
      </tp>
      <tp t="s">
        <v>N/A</v>
        <stp/>
        <stp>OPEN_INT</stp>
        <stp>.OPEN251020C12.5</stp>
        <tr r="I19" s="2"/>
      </tp>
      <tp t="s">
        <v>N/A</v>
        <stp/>
        <stp>OPEN_INT</stp>
        <stp>.OPEN251030C13.5</stp>
        <tr r="Q17" s="2"/>
      </tp>
      <tp t="s">
        <v>N/A</v>
        <stp/>
        <stp>OPEN_INT</stp>
        <stp>.OPEN251010C-1.5</stp>
        <tr r="C47" s="2"/>
      </tp>
      <tp t="s">
        <v>N/A</v>
        <stp/>
        <stp>OPEN_INT</stp>
        <stp>.OPEN251020C-2.5</stp>
        <tr r="I49" s="2"/>
      </tp>
      <tp t="s">
        <v>N/A</v>
        <stp/>
        <stp>OPEN_INT</stp>
        <stp>.OPEN251030C-3.5</stp>
        <tr r="Q51" s="2"/>
      </tp>
      <tp t="s">
        <v>N/A</v>
        <stp/>
        <stp>OPEN_INT</stp>
        <stp>.OPEN260717P9.5</stp>
        <tr r="R29" s="1"/>
      </tp>
      <tp t="s">
        <v>N/A</v>
        <stp/>
        <stp>OPEN_INT</stp>
        <stp>.OPEN260717C9.5</stp>
        <tr r="R29" s="1"/>
      </tp>
      <tp t="s">
        <v>N/A</v>
        <stp/>
        <stp>OPEN_INT</stp>
        <stp>.OPEN260619P8.5</stp>
        <tr r="Q31" s="1"/>
      </tp>
      <tp t="s">
        <v>N/A</v>
        <stp/>
        <stp>OPEN_INT</stp>
        <stp>.OPEN260619C8.5</stp>
        <tr r="Q31" s="1"/>
      </tp>
      <tp t="s">
        <v>N/A</v>
        <stp/>
        <stp>OPEN_INT</stp>
        <stp>.OPEN260918P7.5</stp>
        <tr r="T33" s="1"/>
      </tp>
      <tp t="s">
        <v>N/A</v>
        <stp/>
        <stp>OPEN_INT</stp>
        <stp>.OPEN260918C7.5</stp>
        <tr r="T33" s="1"/>
      </tp>
      <tp t="s">
        <v>N/A</v>
        <stp/>
        <stp>OPEN_INT</stp>
        <stp>.OPEN260821P6.5</stp>
        <tr r="S35" s="1"/>
      </tp>
      <tp t="s">
        <v>N/A</v>
        <stp/>
        <stp>OPEN_INT</stp>
        <stp>.OPEN260821C6.5</stp>
        <tr r="S35" s="1"/>
      </tp>
      <tp t="s">
        <v>N/A</v>
        <stp/>
        <stp>OPEN_INT</stp>
        <stp>.OPEN260717P8.5</stp>
        <tr r="R31" s="1"/>
      </tp>
      <tp t="s">
        <v>N/A</v>
        <stp/>
        <stp>OPEN_INT</stp>
        <stp>.OPEN260717C8.5</stp>
        <tr r="R31" s="1"/>
      </tp>
      <tp t="s">
        <v>N/A</v>
        <stp/>
        <stp>OPEN_INT</stp>
        <stp>.OPEN260619P9.5</stp>
        <tr r="Q29" s="1"/>
      </tp>
      <tp t="s">
        <v>N/A</v>
        <stp/>
        <stp>OPEN_INT</stp>
        <stp>.OPEN260619C9.5</stp>
        <tr r="Q29" s="1"/>
      </tp>
      <tp t="s">
        <v>N/A</v>
        <stp/>
        <stp>OPEN_INT</stp>
        <stp>.OPEN260918P6.5</stp>
        <tr r="T35" s="1"/>
      </tp>
      <tp t="s">
        <v>N/A</v>
        <stp/>
        <stp>OPEN_INT</stp>
        <stp>.OPEN260918C6.5</stp>
        <tr r="T35" s="1"/>
      </tp>
      <tp t="s">
        <v>N/A</v>
        <stp/>
        <stp>OPEN_INT</stp>
        <stp>.OPEN260821P7.5</stp>
        <tr r="S33" s="1"/>
      </tp>
      <tp t="s">
        <v>N/A</v>
        <stp/>
        <stp>OPEN_INT</stp>
        <stp>.OPEN260821C7.5</stp>
        <tr r="S33" s="1"/>
      </tp>
      <tp t="s">
        <v>N/A</v>
        <stp/>
        <stp>OPEN_INT</stp>
        <stp>.OPEN260417P8.5</stp>
        <tr r="O31" s="1"/>
      </tp>
      <tp t="s">
        <v>N/A</v>
        <stp/>
        <stp>OPEN_INT</stp>
        <stp>.OPEN260417C8.5</stp>
        <tr r="O31" s="1"/>
      </tp>
      <tp t="s">
        <v>N/A</v>
        <stp/>
        <stp>OPEN_INT</stp>
        <stp>.OPEN260515P9.5</stp>
        <tr r="P29" s="1"/>
      </tp>
      <tp t="s">
        <v>N/A</v>
        <stp/>
        <stp>OPEN_INT</stp>
        <stp>.OPEN260515C9.5</stp>
        <tr r="P29" s="1"/>
      </tp>
      <tp t="s">
        <v>N/A</v>
        <stp/>
        <stp>OPEN_INT</stp>
        <stp>.OPEN260918P5.5</stp>
        <tr r="T37" s="1"/>
      </tp>
      <tp t="s">
        <v>N/A</v>
        <stp/>
        <stp>OPEN_INT</stp>
        <stp>.OPEN260918C5.5</stp>
        <tr r="T37" s="1"/>
      </tp>
      <tp t="s">
        <v>N/A</v>
        <stp/>
        <stp>OPEN_INT</stp>
        <stp>.OPEN260821P4.5</stp>
        <tr r="S39" s="1"/>
      </tp>
      <tp t="s">
        <v>N/A</v>
        <stp/>
        <stp>OPEN_INT</stp>
        <stp>.OPEN260821C4.5</stp>
        <tr r="S39" s="1"/>
      </tp>
      <tp t="s">
        <v>N/A</v>
        <stp/>
        <stp>OPEN_INT</stp>
        <stp>.OPEN260417P9.5</stp>
        <tr r="O29" s="1"/>
      </tp>
      <tp t="s">
        <v>N/A</v>
        <stp/>
        <stp>OPEN_INT</stp>
        <stp>.OPEN260417C9.5</stp>
        <tr r="O29" s="1"/>
      </tp>
      <tp t="s">
        <v>N/A</v>
        <stp/>
        <stp>OPEN_INT</stp>
        <stp>.OPEN260515P8.5</stp>
        <tr r="P31" s="1"/>
      </tp>
      <tp t="s">
        <v>N/A</v>
        <stp/>
        <stp>OPEN_INT</stp>
        <stp>.OPEN260515C8.5</stp>
        <tr r="P31" s="1"/>
      </tp>
      <tp t="s">
        <v>N/A</v>
        <stp/>
        <stp>OPEN_INT</stp>
        <stp>.OPEN260918P4.5</stp>
        <tr r="T39" s="1"/>
      </tp>
      <tp t="s">
        <v>N/A</v>
        <stp/>
        <stp>OPEN_INT</stp>
        <stp>.OPEN260918C4.5</stp>
        <tr r="T39" s="1"/>
      </tp>
      <tp t="s">
        <v>N/A</v>
        <stp/>
        <stp>OPEN_INT</stp>
        <stp>.OPEN260821P5.5</stp>
        <tr r="S37" s="1"/>
      </tp>
      <tp t="s">
        <v>N/A</v>
        <stp/>
        <stp>OPEN_INT</stp>
        <stp>.OPEN260821C5.5</stp>
        <tr r="S37" s="1"/>
      </tp>
      <tp>
        <v>99</v>
        <stp/>
        <stp>OPEN_INT</stp>
        <stp>.OPEN251212P8.5</stp>
        <tr r="G31" s="1"/>
        <tr r="G31" s="1"/>
      </tp>
      <tp>
        <v>597</v>
        <stp/>
        <stp>OPEN_INT</stp>
        <stp>.OPEN251212C8.5</stp>
        <tr r="G31" s="1"/>
        <tr r="G31" s="1"/>
      </tp>
      <tp t="s">
        <v>N/A</v>
        <stp/>
        <stp>OPEN_INT</stp>
        <stp>.OPEN251219P8.5</stp>
        <tr r="H31" s="1"/>
        <tr r="U27" s="2"/>
      </tp>
      <tp t="s">
        <v>N/A</v>
        <stp/>
        <stp>OPEN_INT</stp>
        <stp>.OPEN251219C8.5</stp>
        <tr r="H31" s="1"/>
        <tr r="U27" s="2"/>
      </tp>
      <tp t="s">
        <v>N/A</v>
        <stp/>
        <stp>OPEN_INT</stp>
        <stp>.OPEN261218P8.5</stp>
        <tr r="W31" s="1"/>
      </tp>
      <tp t="s">
        <v>N/A</v>
        <stp/>
        <stp>OPEN_INT</stp>
        <stp>.OPEN260918P3.5</stp>
        <tr r="T41" s="1"/>
      </tp>
      <tp t="s">
        <v>N/A</v>
        <stp/>
        <stp>OPEN_INT</stp>
        <stp>.OPEN260918C3.5</stp>
        <tr r="T41" s="1"/>
      </tp>
      <tp t="s">
        <v>N/A</v>
        <stp/>
        <stp>OPEN_INT</stp>
        <stp>.OPEN261218C8.5</stp>
        <tr r="W31" s="1"/>
      </tp>
      <tp>
        <v>381</v>
        <stp/>
        <stp>OPEN_INT</stp>
        <stp>.OPEN251205P8.5</stp>
        <tr r="F31" s="1"/>
        <tr r="F31" s="1"/>
      </tp>
      <tp>
        <v>1748</v>
        <stp/>
        <stp>OPEN_INT</stp>
        <stp>.OPEN251205C8.5</stp>
        <tr r="F31" s="1"/>
        <tr r="F31" s="1"/>
      </tp>
      <tp t="s">
        <v>N/A</v>
        <stp/>
        <stp>OPEN_INT</stp>
        <stp>.OPEN251231P8.5</stp>
        <tr r="V27" s="2"/>
      </tp>
      <tp t="s">
        <v>N/A</v>
        <stp/>
        <stp>OPEN_INT</stp>
        <stp>.OPEN251231C8.5</stp>
        <tr r="V27" s="2"/>
      </tp>
      <tp>
        <v>29</v>
        <stp/>
        <stp>OPEN_INT</stp>
        <stp>.OPEN251226P8.5</stp>
        <tr r="I31" s="1"/>
        <tr r="I31" s="1"/>
      </tp>
      <tp>
        <v>100</v>
        <stp/>
        <stp>OPEN_INT</stp>
        <stp>.OPEN251226C8.5</stp>
        <tr r="I31" s="1"/>
        <tr r="I31" s="1"/>
      </tp>
      <tp t="s">
        <v>N/A</v>
        <stp/>
        <stp>OPEN_INT</stp>
        <stp>.OPEN260821P2.5</stp>
        <tr r="S43" s="1"/>
      </tp>
      <tp t="s">
        <v>N/A</v>
        <stp/>
        <stp>OPEN_INT</stp>
        <stp>.OPEN260821C2.5</stp>
        <tr r="S43" s="1"/>
      </tp>
      <tp t="s">
        <v>N/A</v>
        <stp/>
        <stp>OPEN_INT</stp>
        <stp>.OPEN260220P8.5</stp>
        <tr r="M31" s="1"/>
      </tp>
      <tp t="s">
        <v>N/A</v>
        <stp/>
        <stp>OPEN_INT</stp>
        <stp>.OPEN260320P9.5</stp>
        <tr r="N29" s="1"/>
      </tp>
      <tp t="s">
        <v>N/A</v>
        <stp/>
        <stp>OPEN_INT</stp>
        <stp>.OPEN260220C8.5</stp>
        <tr r="M31" s="1"/>
      </tp>
      <tp t="s">
        <v>N/A</v>
        <stp/>
        <stp>OPEN_INT</stp>
        <stp>.OPEN260320C9.5</stp>
        <tr r="N29" s="1"/>
      </tp>
      <tp>
        <v>64</v>
        <stp/>
        <stp>OPEN_INT</stp>
        <stp>.OPEN251212P9.5</stp>
        <tr r="G29" s="1"/>
        <tr r="G29" s="1"/>
      </tp>
      <tp>
        <v>186</v>
        <stp/>
        <stp>OPEN_INT</stp>
        <stp>.OPEN251212C9.5</stp>
        <tr r="G29" s="1"/>
        <tr r="G29" s="1"/>
      </tp>
      <tp t="s">
        <v>N/A</v>
        <stp/>
        <stp>OPEN_INT</stp>
        <stp>.OPEN251219P9.5</stp>
        <tr r="H29" s="1"/>
        <tr r="U25" s="2"/>
      </tp>
      <tp t="s">
        <v>N/A</v>
        <stp/>
        <stp>OPEN_INT</stp>
        <stp>.OPEN251219C9.5</stp>
        <tr r="H29" s="1"/>
        <tr r="U25" s="2"/>
      </tp>
      <tp t="s">
        <v>N/A</v>
        <stp/>
        <stp>OPEN_INT</stp>
        <stp>.OPEN261218P9.5</stp>
        <tr r="W29" s="1"/>
      </tp>
      <tp t="s">
        <v>N/A</v>
        <stp/>
        <stp>OPEN_INT</stp>
        <stp>.OPEN260918P2.5</stp>
        <tr r="T43" s="1"/>
      </tp>
      <tp t="s">
        <v>N/A</v>
        <stp/>
        <stp>OPEN_INT</stp>
        <stp>.OPEN260918C2.5</stp>
        <tr r="T43" s="1"/>
      </tp>
      <tp t="s">
        <v>N/A</v>
        <stp/>
        <stp>OPEN_INT</stp>
        <stp>.OPEN261218C9.5</stp>
        <tr r="W29" s="1"/>
      </tp>
      <tp>
        <v>184</v>
        <stp/>
        <stp>OPEN_INT</stp>
        <stp>.OPEN251205P9.5</stp>
        <tr r="F29" s="1"/>
        <tr r="F29" s="1"/>
      </tp>
      <tp>
        <v>1634</v>
        <stp/>
        <stp>OPEN_INT</stp>
        <stp>.OPEN251205C9.5</stp>
        <tr r="F29" s="1"/>
        <tr r="F29" s="1"/>
      </tp>
      <tp t="s">
        <v>N/A</v>
        <stp/>
        <stp>OPEN_INT</stp>
        <stp>.OPEN251231P9.5</stp>
        <tr r="V25" s="2"/>
      </tp>
      <tp t="s">
        <v>N/A</v>
        <stp/>
        <stp>OPEN_INT</stp>
        <stp>.OPEN251231C9.5</stp>
        <tr r="V25" s="2"/>
      </tp>
      <tp>
        <v>0</v>
        <stp/>
        <stp>OPEN_INT</stp>
        <stp>.OPEN251226P9.5</stp>
        <tr r="I29" s="1"/>
        <tr r="I29" s="1"/>
      </tp>
      <tp>
        <v>283</v>
        <stp/>
        <stp>OPEN_INT</stp>
        <stp>.OPEN251226C9.5</stp>
        <tr r="I29" s="1"/>
        <tr r="I29" s="1"/>
      </tp>
      <tp t="s">
        <v>N/A</v>
        <stp/>
        <stp>OPEN_INT</stp>
        <stp>.OPEN260821P3.5</stp>
        <tr r="S41" s="1"/>
      </tp>
      <tp t="s">
        <v>N/A</v>
        <stp/>
        <stp>OPEN_INT</stp>
        <stp>.OPEN260821C3.5</stp>
        <tr r="S41" s="1"/>
      </tp>
      <tp t="s">
        <v>N/A</v>
        <stp/>
        <stp>OPEN_INT</stp>
        <stp>.OPEN260220P9.5</stp>
        <tr r="M29" s="1"/>
      </tp>
      <tp t="s">
        <v>N/A</v>
        <stp/>
        <stp>OPEN_INT</stp>
        <stp>.OPEN260320P8.5</stp>
        <tr r="N31" s="1"/>
      </tp>
      <tp t="s">
        <v>N/A</v>
        <stp/>
        <stp>OPEN_INT</stp>
        <stp>.OPEN260220C9.5</stp>
        <tr r="M29" s="1"/>
      </tp>
      <tp t="s">
        <v>N/A</v>
        <stp/>
        <stp>OPEN_INT</stp>
        <stp>.OPEN260320C8.5</stp>
        <tr r="N31" s="1"/>
      </tp>
      <tp t="s">
        <v>N/A</v>
        <stp/>
        <stp>OPEN_INT</stp>
        <stp>.OPEN251014P8.5</stp>
        <tr r="E27" s="2"/>
      </tp>
      <tp>
        <v>568</v>
        <stp/>
        <stp>OPEN_INT</stp>
        <stp>.OPEN251114P9.5</stp>
        <tr r="AZ52" s="1"/>
        <tr r="AZ52" s="1"/>
        <tr r="BA52" s="5"/>
        <tr r="BA52" s="5"/>
        <tr r="C29" s="1"/>
        <tr r="C29" s="1"/>
        <tr r="BA51" s="5"/>
        <tr r="BA51" s="5"/>
        <tr r="BA7" s="5"/>
        <tr r="BA7" s="5"/>
        <tr r="BA9" s="5"/>
        <tr r="BA9" s="5"/>
        <tr r="BA11" s="5"/>
        <tr r="BA11" s="5"/>
        <tr r="BA13" s="5"/>
        <tr r="BA13" s="5"/>
        <tr r="BA15" s="5"/>
        <tr r="BA15" s="5"/>
        <tr r="BA17" s="5"/>
        <tr r="BA17" s="5"/>
        <tr r="BA37" s="5"/>
        <tr r="BA37" s="5"/>
        <tr r="BA35" s="5"/>
        <tr r="BA35" s="5"/>
        <tr r="BA33" s="5"/>
        <tr r="BA33" s="5"/>
        <tr r="BA25" s="5"/>
        <tr r="BA25" s="5"/>
        <tr r="BA29" s="5"/>
        <tr r="BA29" s="5"/>
        <tr r="AZ51" s="1"/>
        <tr r="AZ51" s="1"/>
        <tr r="AZ7" s="1"/>
        <tr r="AZ7" s="1"/>
        <tr r="AZ9" s="1"/>
        <tr r="AZ9" s="1"/>
        <tr r="AZ11" s="1"/>
        <tr r="AZ11" s="1"/>
        <tr r="AZ43" s="1"/>
        <tr r="AZ43" s="1"/>
        <tr r="AZ41" s="1"/>
        <tr r="AZ41" s="1"/>
        <tr r="AZ39" s="1"/>
        <tr r="AZ39" s="1"/>
        <tr r="AZ19" s="1"/>
        <tr r="AZ19" s="1"/>
        <tr r="AZ35" s="1"/>
        <tr r="AZ35" s="1"/>
        <tr r="AZ23" s="1"/>
        <tr r="AZ23" s="1"/>
        <tr r="AZ25" s="1"/>
        <tr r="AZ25" s="1"/>
        <tr r="AZ29" s="1"/>
        <tr r="AZ29" s="1"/>
        <tr r="BA50" s="5"/>
        <tr r="BA50" s="5"/>
        <tr r="BA48" s="5"/>
        <tr r="BA48" s="5"/>
        <tr r="BA10" s="5"/>
        <tr r="BA10" s="5"/>
        <tr r="BA12" s="5"/>
        <tr r="BA12" s="5"/>
        <tr r="BA42" s="5"/>
        <tr r="BA42" s="5"/>
        <tr r="BA16" s="5"/>
        <tr r="BA16" s="5"/>
        <tr r="BA38" s="5"/>
        <tr r="BA38" s="5"/>
        <tr r="BA36" s="5"/>
        <tr r="BA36" s="5"/>
        <tr r="BA22" s="5"/>
        <tr r="BA22" s="5"/>
        <tr r="BA32" s="5"/>
        <tr r="BA32" s="5"/>
        <tr r="BA26" s="5"/>
        <tr r="BA26" s="5"/>
        <tr r="BA28" s="5"/>
        <tr r="BA28" s="5"/>
        <tr r="AZ50" s="1"/>
        <tr r="AZ50" s="1"/>
        <tr r="AZ8" s="1"/>
        <tr r="AZ8" s="1"/>
        <tr r="AZ46" s="1"/>
        <tr r="AZ46" s="1"/>
        <tr r="AZ12" s="1"/>
        <tr r="AZ12" s="1"/>
        <tr r="AZ14" s="1"/>
        <tr r="AZ14" s="1"/>
        <tr r="AZ40" s="1"/>
        <tr r="AZ40" s="1"/>
        <tr r="AZ18" s="1"/>
        <tr r="AZ18" s="1"/>
        <tr r="AZ20" s="1"/>
        <tr r="AZ20" s="1"/>
        <tr r="AZ22" s="1"/>
        <tr r="AZ22" s="1"/>
        <tr r="AZ32" s="1"/>
        <tr r="AZ32" s="1"/>
        <tr r="AZ30" s="1"/>
        <tr r="AZ30" s="1"/>
        <tr r="AZ28" s="1"/>
        <tr r="AZ28" s="1"/>
        <tr r="BA6" s="5"/>
        <tr r="BA6" s="5"/>
        <tr r="BA8" s="5"/>
        <tr r="BA8" s="5"/>
        <tr r="BA46" s="5"/>
        <tr r="BA46" s="5"/>
        <tr r="BA44" s="5"/>
        <tr r="BA44" s="5"/>
        <tr r="BA14" s="5"/>
        <tr r="BA14" s="5"/>
        <tr r="BA40" s="5"/>
        <tr r="BA40" s="5"/>
        <tr r="BA18" s="5"/>
        <tr r="BA18" s="5"/>
        <tr r="BA20" s="5"/>
        <tr r="BA20" s="5"/>
        <tr r="BA34" s="5"/>
        <tr r="BA34" s="5"/>
        <tr r="BA24" s="5"/>
        <tr r="BA24" s="5"/>
        <tr r="BA30" s="5"/>
        <tr r="BA30" s="5"/>
        <tr r="AZ6" s="1"/>
        <tr r="AZ6" s="1"/>
        <tr r="AZ48" s="1"/>
        <tr r="AZ48" s="1"/>
        <tr r="AZ10" s="1"/>
        <tr r="AZ10" s="1"/>
        <tr r="AZ44" s="1"/>
        <tr r="AZ44" s="1"/>
        <tr r="AZ42" s="1"/>
        <tr r="AZ42" s="1"/>
        <tr r="AZ16" s="1"/>
        <tr r="AZ16" s="1"/>
        <tr r="AZ38" s="1"/>
        <tr r="AZ38" s="1"/>
        <tr r="AZ36" s="1"/>
        <tr r="AZ36" s="1"/>
        <tr r="AZ34" s="1"/>
        <tr r="AZ34" s="1"/>
        <tr r="AZ24" s="1"/>
        <tr r="AZ24" s="1"/>
        <tr r="AZ26" s="1"/>
        <tr r="AZ26" s="1"/>
        <tr r="BA5" s="5"/>
        <tr r="BA5" s="5"/>
        <tr r="BA49" s="5"/>
        <tr r="BA49" s="5"/>
        <tr r="BA47" s="5"/>
        <tr r="BA47" s="5"/>
        <tr r="BA45" s="5"/>
        <tr r="BA45" s="5"/>
        <tr r="BA43" s="5"/>
        <tr r="BA43" s="5"/>
        <tr r="BA41" s="5"/>
        <tr r="BA41" s="5"/>
        <tr r="BA39" s="5"/>
        <tr r="BA39" s="5"/>
        <tr r="BA19" s="5"/>
        <tr r="BA19" s="5"/>
        <tr r="BA21" s="5"/>
        <tr r="BA21" s="5"/>
        <tr r="BA23" s="5"/>
        <tr r="BA23" s="5"/>
        <tr r="BA31" s="5"/>
        <tr r="BA31" s="5"/>
        <tr r="BA27" s="5"/>
        <tr r="BA27" s="5"/>
        <tr r="AZ5" s="1"/>
        <tr r="AZ5" s="1"/>
        <tr r="AZ49" s="1"/>
        <tr r="AZ49" s="1"/>
        <tr r="AZ47" s="1"/>
        <tr r="AZ47" s="1"/>
        <tr r="AZ45" s="1"/>
        <tr r="AZ45" s="1"/>
        <tr r="AZ13" s="1"/>
        <tr r="AZ13" s="1"/>
        <tr r="AZ15" s="1"/>
        <tr r="AZ15" s="1"/>
        <tr r="AZ17" s="1"/>
        <tr r="AZ17" s="1"/>
        <tr r="AZ37" s="1"/>
        <tr r="AZ37" s="1"/>
        <tr r="AZ21" s="1"/>
        <tr r="AZ21" s="1"/>
        <tr r="AZ33" s="1"/>
        <tr r="AZ33" s="1"/>
        <tr r="AZ31" s="1"/>
        <tr r="AZ31" s="1"/>
        <tr r="AZ27" s="1"/>
        <tr r="AZ27" s="1"/>
      </tp>
      <tp t="s">
        <v>N/A</v>
        <stp/>
        <stp>OPEN_INT</stp>
        <stp>.OPEN251014C8.5</stp>
        <tr r="E27" s="2"/>
      </tp>
      <tp>
        <v>9850</v>
        <stp/>
        <stp>OPEN_INT</stp>
        <stp>.OPEN251114C9.5</stp>
        <tr r="AZ52" s="1"/>
        <tr r="AZ52" s="1"/>
        <tr r="BA52" s="5"/>
        <tr r="BA52" s="5"/>
        <tr r="C29" s="1"/>
        <tr r="C29" s="1"/>
        <tr r="BA51" s="5"/>
        <tr r="BA51" s="5"/>
        <tr r="BA7" s="5"/>
        <tr r="BA7" s="5"/>
        <tr r="BA9" s="5"/>
        <tr r="BA9" s="5"/>
        <tr r="BA11" s="5"/>
        <tr r="BA11" s="5"/>
        <tr r="BA13" s="5"/>
        <tr r="BA13" s="5"/>
        <tr r="BA15" s="5"/>
        <tr r="BA15" s="5"/>
        <tr r="BA17" s="5"/>
        <tr r="BA17" s="5"/>
        <tr r="BA37" s="5"/>
        <tr r="BA37" s="5"/>
        <tr r="BA35" s="5"/>
        <tr r="BA35" s="5"/>
        <tr r="BA33" s="5"/>
        <tr r="BA33" s="5"/>
        <tr r="BA25" s="5"/>
        <tr r="BA25" s="5"/>
        <tr r="BA29" s="5"/>
        <tr r="BA29" s="5"/>
        <tr r="AZ51" s="1"/>
        <tr r="AZ51" s="1"/>
        <tr r="AZ7" s="1"/>
        <tr r="AZ7" s="1"/>
        <tr r="AZ9" s="1"/>
        <tr r="AZ9" s="1"/>
        <tr r="AZ11" s="1"/>
        <tr r="AZ11" s="1"/>
        <tr r="AZ43" s="1"/>
        <tr r="AZ43" s="1"/>
        <tr r="AZ41" s="1"/>
        <tr r="AZ41" s="1"/>
        <tr r="AZ39" s="1"/>
        <tr r="AZ39" s="1"/>
        <tr r="AZ19" s="1"/>
        <tr r="AZ19" s="1"/>
        <tr r="AZ35" s="1"/>
        <tr r="AZ35" s="1"/>
        <tr r="AZ23" s="1"/>
        <tr r="AZ23" s="1"/>
        <tr r="AZ25" s="1"/>
        <tr r="AZ25" s="1"/>
        <tr r="AZ29" s="1"/>
        <tr r="AZ29" s="1"/>
        <tr r="BA50" s="5"/>
        <tr r="BA50" s="5"/>
        <tr r="BA48" s="5"/>
        <tr r="BA48" s="5"/>
        <tr r="BA10" s="5"/>
        <tr r="BA10" s="5"/>
        <tr r="BA12" s="5"/>
        <tr r="BA12" s="5"/>
        <tr r="BA42" s="5"/>
        <tr r="BA42" s="5"/>
        <tr r="BA16" s="5"/>
        <tr r="BA16" s="5"/>
        <tr r="BA38" s="5"/>
        <tr r="BA38" s="5"/>
        <tr r="BA36" s="5"/>
        <tr r="BA36" s="5"/>
        <tr r="BA22" s="5"/>
        <tr r="BA22" s="5"/>
        <tr r="BA32" s="5"/>
        <tr r="BA32" s="5"/>
        <tr r="BA26" s="5"/>
        <tr r="BA26" s="5"/>
        <tr r="BA28" s="5"/>
        <tr r="BA28" s="5"/>
        <tr r="AZ50" s="1"/>
        <tr r="AZ50" s="1"/>
        <tr r="AZ8" s="1"/>
        <tr r="AZ8" s="1"/>
        <tr r="AZ46" s="1"/>
        <tr r="AZ46" s="1"/>
        <tr r="AZ12" s="1"/>
        <tr r="AZ12" s="1"/>
        <tr r="AZ14" s="1"/>
        <tr r="AZ14" s="1"/>
        <tr r="AZ40" s="1"/>
        <tr r="AZ40" s="1"/>
        <tr r="AZ18" s="1"/>
        <tr r="AZ18" s="1"/>
        <tr r="AZ20" s="1"/>
        <tr r="AZ20" s="1"/>
        <tr r="AZ22" s="1"/>
        <tr r="AZ22" s="1"/>
        <tr r="AZ32" s="1"/>
        <tr r="AZ32" s="1"/>
        <tr r="AZ30" s="1"/>
        <tr r="AZ30" s="1"/>
        <tr r="AZ28" s="1"/>
        <tr r="AZ28" s="1"/>
        <tr r="BA6" s="5"/>
        <tr r="BA6" s="5"/>
        <tr r="BA8" s="5"/>
        <tr r="BA8" s="5"/>
        <tr r="BA46" s="5"/>
        <tr r="BA46" s="5"/>
        <tr r="BA44" s="5"/>
        <tr r="BA44" s="5"/>
        <tr r="BA14" s="5"/>
        <tr r="BA14" s="5"/>
        <tr r="BA40" s="5"/>
        <tr r="BA40" s="5"/>
        <tr r="BA18" s="5"/>
        <tr r="BA18" s="5"/>
        <tr r="BA20" s="5"/>
        <tr r="BA20" s="5"/>
        <tr r="BA34" s="5"/>
        <tr r="BA34" s="5"/>
        <tr r="BA24" s="5"/>
        <tr r="BA24" s="5"/>
        <tr r="BA30" s="5"/>
        <tr r="BA30" s="5"/>
        <tr r="AZ6" s="1"/>
        <tr r="AZ6" s="1"/>
        <tr r="AZ48" s="1"/>
        <tr r="AZ48" s="1"/>
        <tr r="AZ10" s="1"/>
        <tr r="AZ10" s="1"/>
        <tr r="AZ44" s="1"/>
        <tr r="AZ44" s="1"/>
        <tr r="AZ42" s="1"/>
        <tr r="AZ42" s="1"/>
        <tr r="AZ16" s="1"/>
        <tr r="AZ16" s="1"/>
        <tr r="AZ38" s="1"/>
        <tr r="AZ38" s="1"/>
        <tr r="AZ36" s="1"/>
        <tr r="AZ36" s="1"/>
        <tr r="AZ34" s="1"/>
        <tr r="AZ34" s="1"/>
        <tr r="AZ24" s="1"/>
        <tr r="AZ24" s="1"/>
        <tr r="AZ26" s="1"/>
        <tr r="AZ26" s="1"/>
        <tr r="BA5" s="5"/>
        <tr r="BA5" s="5"/>
        <tr r="BA49" s="5"/>
        <tr r="BA49" s="5"/>
        <tr r="BA47" s="5"/>
        <tr r="BA47" s="5"/>
        <tr r="BA45" s="5"/>
        <tr r="BA45" s="5"/>
        <tr r="BA43" s="5"/>
        <tr r="BA43" s="5"/>
        <tr r="BA41" s="5"/>
        <tr r="BA41" s="5"/>
        <tr r="BA39" s="5"/>
        <tr r="BA39" s="5"/>
        <tr r="BA19" s="5"/>
        <tr r="BA19" s="5"/>
        <tr r="BA21" s="5"/>
        <tr r="BA21" s="5"/>
        <tr r="BA23" s="5"/>
        <tr r="BA23" s="5"/>
        <tr r="BA31" s="5"/>
        <tr r="BA31" s="5"/>
        <tr r="BA27" s="5"/>
        <tr r="BA27" s="5"/>
        <tr r="AZ5" s="1"/>
        <tr r="AZ5" s="1"/>
        <tr r="AZ49" s="1"/>
        <tr r="AZ49" s="1"/>
        <tr r="AZ47" s="1"/>
        <tr r="AZ47" s="1"/>
        <tr r="AZ45" s="1"/>
        <tr r="AZ45" s="1"/>
        <tr r="AZ13" s="1"/>
        <tr r="AZ13" s="1"/>
        <tr r="AZ15" s="1"/>
        <tr r="AZ15" s="1"/>
        <tr r="AZ17" s="1"/>
        <tr r="AZ17" s="1"/>
        <tr r="AZ37" s="1"/>
        <tr r="AZ37" s="1"/>
        <tr r="AZ21" s="1"/>
        <tr r="AZ21" s="1"/>
        <tr r="AZ33" s="1"/>
        <tr r="AZ33" s="1"/>
        <tr r="AZ31" s="1"/>
        <tr r="AZ31" s="1"/>
        <tr r="AZ27" s="1"/>
        <tr r="AZ27" s="1"/>
      </tp>
      <tp t="s">
        <v>N/A</v>
        <stp/>
        <stp>OPEN_INT</stp>
        <stp>.OPEN251015P8.5</stp>
        <tr r="F27" s="2"/>
      </tp>
      <tp t="s">
        <v>N/A</v>
        <stp/>
        <stp>OPEN_INT</stp>
        <stp>.OPEN261016P8.5</stp>
        <tr r="U31" s="1"/>
      </tp>
      <tp t="s">
        <v>N/A</v>
        <stp/>
        <stp>OPEN_INT</stp>
        <stp>.OPEN260116P9.5</stp>
        <tr r="L29" s="1"/>
        <tr r="W25" s="2"/>
      </tp>
      <tp t="s">
        <v>N/A</v>
        <stp/>
        <stp>OPEN_INT</stp>
        <stp>.OPEN260116C9.5</stp>
        <tr r="L29" s="1"/>
        <tr r="W25" s="2"/>
      </tp>
      <tp t="s">
        <v>N/A</v>
        <stp/>
        <stp>OPEN_INT</stp>
        <stp>.OPEN251015C8.5</stp>
        <tr r="F27" s="2"/>
      </tp>
      <tp t="s">
        <v>N/A</v>
        <stp/>
        <stp>OPEN_INT</stp>
        <stp>.OPEN261016C8.5</stp>
        <tr r="U31" s="1"/>
      </tp>
      <tp t="s">
        <v>N/A</v>
        <stp/>
        <stp>OPEN_INT</stp>
        <stp>.OPEN251016P8.5</stp>
        <tr r="G27" s="2"/>
      </tp>
      <tp t="s">
        <v>N/A</v>
        <stp/>
        <stp>OPEN_INT</stp>
        <stp>.OPEN251016C8.5</stp>
        <tr r="G27" s="2"/>
      </tp>
      <tp>
        <v>12583</v>
        <stp/>
        <stp>OPEN_INT</stp>
        <stp>.OPEN251017P8.5</stp>
        <tr r="H27" s="2"/>
        <tr r="H27" s="2"/>
      </tp>
      <tp>
        <v>87010</v>
        <stp/>
        <stp>OPEN_INT</stp>
        <stp>.OPEN251017C8.5</stp>
        <tr r="H27" s="2"/>
        <tr r="H27" s="2"/>
      </tp>
      <tp>
        <v>25534</v>
        <stp/>
        <stp>OPEN_INT</stp>
        <stp>.OPEN251010P8.5</stp>
        <tr r="C27" s="2"/>
        <tr r="C27" s="2"/>
      </tp>
      <tp>
        <v>38973</v>
        <stp/>
        <stp>OPEN_INT</stp>
        <stp>.OPEN251010C8.5</stp>
        <tr r="C27" s="2"/>
        <tr r="C27" s="2"/>
      </tp>
      <tp t="s">
        <v>N/A</v>
        <stp/>
        <stp>OPEN_INT</stp>
        <stp>.OPEN251013P8.5</stp>
        <tr r="D27" s="2"/>
      </tp>
      <tp t="s">
        <v>N/A</v>
        <stp/>
        <stp>OPEN_INT</stp>
        <stp>.OPEN251013C8.5</stp>
        <tr r="D27" s="2"/>
      </tp>
      <tp t="s">
        <v>N/A</v>
        <stp/>
        <stp>OPEN_INT</stp>
        <stp>.OPEN260918P1.5</stp>
        <tr r="T45" s="1"/>
      </tp>
      <tp t="s">
        <v>N/A</v>
        <stp/>
        <stp>OPEN_INT</stp>
        <stp>.OPEN260918C1.5</stp>
        <tr r="T45" s="1"/>
      </tp>
      <tp t="s">
        <v>N/A</v>
        <stp/>
        <stp>OPEN_INT</stp>
        <stp>.OPEN260102P9.5</stp>
        <tr r="J29" s="1"/>
      </tp>
      <tp t="s">
        <v>N/A</v>
        <stp/>
        <stp>OPEN_INT</stp>
        <stp>.OPEN260102C9.5</stp>
        <tr r="J29" s="1"/>
      </tp>
      <tp t="s">
        <v>N/A</v>
        <stp/>
        <stp>OPEN_INT</stp>
        <stp>.OPEN251009P8.5</stp>
        <tr r="B27" s="2"/>
      </tp>
      <tp t="s">
        <v>N/A</v>
        <stp/>
        <stp>OPEN_INT</stp>
        <stp>.OPEN251009C8.5</stp>
        <tr r="B27" s="2"/>
      </tp>
      <tp t="s">
        <v>N/A</v>
        <stp/>
        <stp>OPEN_INT</stp>
        <stp>.OPEN260109P9.5</stp>
        <tr r="K29" s="1"/>
      </tp>
      <tp t="s">
        <v>N/A</v>
        <stp/>
        <stp>OPEN_INT</stp>
        <stp>.OPEN260109C9.5</stp>
        <tr r="K29" s="1"/>
      </tp>
      <tp t="s">
        <v>N/A</v>
        <stp/>
        <stp>OPEN_INT</stp>
        <stp>.OPEN251030P8.5</stp>
        <tr r="Q27" s="2"/>
      </tp>
      <tp t="s">
        <v>N/A</v>
        <stp/>
        <stp>OPEN_INT</stp>
        <stp>.OPEN251030C8.5</stp>
        <tr r="Q27" s="2"/>
      </tp>
      <tp>
        <v>4505</v>
        <stp/>
        <stp>OPEN_INT</stp>
        <stp>.OPEN251031P8.5</stp>
        <tr r="R27" s="2"/>
        <tr r="R27" s="2"/>
      </tp>
      <tp>
        <v>72111</v>
        <stp/>
        <stp>OPEN_INT</stp>
        <stp>.OPEN251031C8.5</stp>
        <tr r="R27" s="2"/>
        <tr r="R27" s="2"/>
      </tp>
      <tp>
        <v>6212</v>
        <stp/>
        <stp>OPEN_INT</stp>
        <stp>.OPEN251024P8.5</stp>
        <tr r="M27" s="2"/>
        <tr r="M27" s="2"/>
      </tp>
      <tp>
        <v>28421</v>
        <stp/>
        <stp>OPEN_INT</stp>
        <stp>.OPEN251024C8.5</stp>
        <tr r="M27" s="2"/>
        <tr r="M27" s="2"/>
      </tp>
      <tp t="s">
        <v>N/A</v>
        <stp/>
        <stp>OPEN_INT</stp>
        <stp>.OPEN251027P8.5</stp>
        <tr r="N27" s="2"/>
      </tp>
      <tp t="s">
        <v>N/A</v>
        <stp/>
        <stp>OPEN_INT</stp>
        <stp>.OPEN251027C8.5</stp>
        <tr r="N27" s="2"/>
      </tp>
      <tp t="s">
        <v>N/A</v>
        <stp/>
        <stp>OPEN_INT</stp>
        <stp>.OPEN251020P8.5</stp>
        <tr r="I27" s="2"/>
      </tp>
      <tp t="s">
        <v>N/A</v>
        <stp/>
        <stp>OPEN_INT</stp>
        <stp>.OPEN251020C8.5</stp>
        <tr r="I27" s="2"/>
      </tp>
      <tp t="s">
        <v>N/A</v>
        <stp/>
        <stp>OPEN_INT</stp>
        <stp>.OPEN251021P8.5</stp>
        <tr r="J27" s="2"/>
      </tp>
      <tp>
        <v>112</v>
        <stp/>
        <stp>OPEN_INT</stp>
        <stp>.OPEN251121P9.5</stp>
        <tr r="D29" s="1"/>
        <tr r="D29" s="1"/>
        <tr r="S25" s="2"/>
        <tr r="S25" s="2"/>
      </tp>
      <tp t="s">
        <v>N/A</v>
        <stp/>
        <stp>OPEN_INT</stp>
        <stp>.OPEN251021C8.5</stp>
        <tr r="J27" s="2"/>
      </tp>
      <tp>
        <v>5475</v>
        <stp/>
        <stp>OPEN_INT</stp>
        <stp>.OPEN251121C9.5</stp>
        <tr r="D29" s="1"/>
        <tr r="D29" s="1"/>
        <tr r="S25" s="2"/>
        <tr r="S25" s="2"/>
      </tp>
      <tp t="s">
        <v>N/A</v>
        <stp/>
        <stp>OPEN_INT</stp>
        <stp>.OPEN251022P8.5</stp>
        <tr r="K27" s="2"/>
      </tp>
      <tp t="s">
        <v>N/A</v>
        <stp/>
        <stp>OPEN_INT</stp>
        <stp>.OPEN260821P0.5</stp>
        <tr r="S47" s="1"/>
      </tp>
      <tp t="s">
        <v>N/A</v>
        <stp/>
        <stp>OPEN_INT</stp>
        <stp>.OPEN260821C0.5</stp>
        <tr r="S47" s="1"/>
      </tp>
      <tp t="s">
        <v>N/A</v>
        <stp/>
        <stp>OPEN_INT</stp>
        <stp>.OPEN251022C8.5</stp>
        <tr r="K27" s="2"/>
      </tp>
      <tp t="s">
        <v>N/A</v>
        <stp/>
        <stp>OPEN_INT</stp>
        <stp>.OPEN251023P8.5</stp>
        <tr r="L27" s="2"/>
      </tp>
      <tp t="s">
        <v>N/A</v>
        <stp/>
        <stp>OPEN_INT</stp>
        <stp>.OPEN261120P9.5</stp>
        <tr r="V29" s="1"/>
      </tp>
      <tp t="s">
        <v>N/A</v>
        <stp/>
        <stp>OPEN_INT</stp>
        <stp>.OPEN251023C8.5</stp>
        <tr r="L27" s="2"/>
      </tp>
      <tp t="s">
        <v>N/A</v>
        <stp/>
        <stp>OPEN_INT</stp>
        <stp>.OPEN261120C9.5</stp>
        <tr r="V29" s="1"/>
      </tp>
      <tp t="s">
        <v>N/A</v>
        <stp/>
        <stp>OPEN_INT</stp>
        <stp>.OPEN251028P8.5</stp>
        <tr r="O27" s="2"/>
      </tp>
      <tp>
        <v>91</v>
        <stp/>
        <stp>OPEN_INT</stp>
        <stp>.OPEN251128P9.5</stp>
        <tr r="E29" s="1"/>
        <tr r="E29" s="1"/>
        <tr r="T25" s="2"/>
        <tr r="T25" s="2"/>
      </tp>
      <tp t="s">
        <v>N/A</v>
        <stp/>
        <stp>OPEN_INT</stp>
        <stp>.OPEN251028C8.5</stp>
        <tr r="O27" s="2"/>
      </tp>
      <tp>
        <v>4147</v>
        <stp/>
        <stp>OPEN_INT</stp>
        <stp>.OPEN251128C9.5</stp>
        <tr r="E29" s="1"/>
        <tr r="E29" s="1"/>
        <tr r="T25" s="2"/>
        <tr r="T25" s="2"/>
      </tp>
      <tp t="s">
        <v>N/A</v>
        <stp/>
        <stp>OPEN_INT</stp>
        <stp>.OPEN251029P8.5</stp>
        <tr r="P27" s="2"/>
      </tp>
      <tp t="s">
        <v>N/A</v>
        <stp/>
        <stp>OPEN_INT</stp>
        <stp>.OPEN251029C8.5</stp>
        <tr r="P27" s="2"/>
      </tp>
      <tp t="s">
        <v>N/A</v>
        <stp/>
        <stp>OPEN_INT</stp>
        <stp>.OPEN251014P9.5</stp>
        <tr r="E25" s="2"/>
      </tp>
      <tp>
        <v>2284</v>
        <stp/>
        <stp>OPEN_INT</stp>
        <stp>.OPEN251114P8.5</stp>
        <tr r="C31" s="1"/>
        <tr r="C31" s="1"/>
        <tr r="BB52" s="1"/>
        <tr r="BB52" s="1"/>
        <tr r="BC52" s="5"/>
        <tr r="BC52" s="5"/>
        <tr r="BC5" s="5"/>
        <tr r="BC5" s="5"/>
        <tr r="BC7" s="5"/>
        <tr r="BC7" s="5"/>
        <tr r="BC47" s="5"/>
        <tr r="BC47" s="5"/>
        <tr r="BC11" s="5"/>
        <tr r="BC11" s="5"/>
        <tr r="BC43" s="5"/>
        <tr r="BC43" s="5"/>
        <tr r="BC41" s="5"/>
        <tr r="BC41" s="5"/>
        <tr r="BC17" s="5"/>
        <tr r="BC17" s="5"/>
        <tr r="BC19" s="5"/>
        <tr r="BC19" s="5"/>
        <tr r="BC35" s="5"/>
        <tr r="BC35" s="5"/>
        <tr r="BC23" s="5"/>
        <tr r="BC23" s="5"/>
        <tr r="BC25" s="5"/>
        <tr r="BC25" s="5"/>
        <tr r="BC29" s="5"/>
        <tr r="BC29" s="5"/>
        <tr r="BB5" s="1"/>
        <tr r="BB5" s="1"/>
        <tr r="BB49" s="1"/>
        <tr r="BB49" s="1"/>
        <tr r="BB9" s="1"/>
        <tr r="BB9" s="1"/>
        <tr r="BB45" s="1"/>
        <tr r="BB45" s="1"/>
        <tr r="BB13" s="1"/>
        <tr r="BB13" s="1"/>
        <tr r="BB41" s="1"/>
        <tr r="BB41" s="1"/>
        <tr r="BB17" s="1"/>
        <tr r="BB17" s="1"/>
        <tr r="BB37" s="1"/>
        <tr r="BB37" s="1"/>
        <tr r="BB21" s="1"/>
        <tr r="BB21" s="1"/>
        <tr r="BB23" s="1"/>
        <tr r="BB23" s="1"/>
        <tr r="BB25" s="1"/>
        <tr r="BB25" s="1"/>
        <tr r="BB27" s="1"/>
        <tr r="BB27" s="1"/>
        <tr r="BC50" s="5"/>
        <tr r="BC50" s="5"/>
        <tr r="BC48" s="5"/>
        <tr r="BC48" s="5"/>
        <tr r="BC10" s="5"/>
        <tr r="BC10" s="5"/>
        <tr r="BC12" s="5"/>
        <tr r="BC12" s="5"/>
        <tr r="BC42" s="5"/>
        <tr r="BC42" s="5"/>
        <tr r="BC16" s="5"/>
        <tr r="BC16" s="5"/>
        <tr r="BC18" s="5"/>
        <tr r="BC18" s="5"/>
        <tr r="BC36" s="5"/>
        <tr r="BC36" s="5"/>
        <tr r="BC22" s="5"/>
        <tr r="BC22" s="5"/>
        <tr r="BC24" s="5"/>
        <tr r="BC24" s="5"/>
        <tr r="BC26" s="5"/>
        <tr r="BC26" s="5"/>
        <tr r="BC28" s="5"/>
        <tr r="BC28" s="5"/>
        <tr r="BB6" s="1"/>
        <tr r="BB6" s="1"/>
        <tr r="BB8" s="1"/>
        <tr r="BB8" s="1"/>
        <tr r="BB46" s="1"/>
        <tr r="BB46" s="1"/>
        <tr r="BB44" s="1"/>
        <tr r="BB44" s="1"/>
        <tr r="BB42" s="1"/>
        <tr r="BB42" s="1"/>
        <tr r="BB40" s="1"/>
        <tr r="BB40" s="1"/>
        <tr r="BB18" s="1"/>
        <tr r="BB18" s="1"/>
        <tr r="BB20" s="1"/>
        <tr r="BB20" s="1"/>
        <tr r="BB34" s="1"/>
        <tr r="BB34" s="1"/>
        <tr r="BB32" s="1"/>
        <tr r="BB32" s="1"/>
        <tr r="BB30" s="1"/>
        <tr r="BB30" s="1"/>
        <tr r="BB28" s="1"/>
        <tr r="BB28" s="1"/>
        <tr r="BC6" s="5"/>
        <tr r="BC6" s="5"/>
        <tr r="BC8" s="5"/>
        <tr r="BC8" s="5"/>
        <tr r="BC46" s="5"/>
        <tr r="BC46" s="5"/>
        <tr r="BC44" s="5"/>
        <tr r="BC44" s="5"/>
        <tr r="BC14" s="5"/>
        <tr r="BC14" s="5"/>
        <tr r="BC40" s="5"/>
        <tr r="BC40" s="5"/>
        <tr r="BC38" s="5"/>
        <tr r="BC38" s="5"/>
        <tr r="BC20" s="5"/>
        <tr r="BC20" s="5"/>
        <tr r="BC34" s="5"/>
        <tr r="BC34" s="5"/>
        <tr r="BC32" s="5"/>
        <tr r="BC32" s="5"/>
        <tr r="BC30" s="5"/>
        <tr r="BC30" s="5"/>
        <tr r="BB50" s="1"/>
        <tr r="BB50" s="1"/>
        <tr r="BB48" s="1"/>
        <tr r="BB48" s="1"/>
        <tr r="BB10" s="1"/>
        <tr r="BB10" s="1"/>
        <tr r="BB12" s="1"/>
        <tr r="BB12" s="1"/>
        <tr r="BB14" s="1"/>
        <tr r="BB14" s="1"/>
        <tr r="BB16" s="1"/>
        <tr r="BB16" s="1"/>
        <tr r="BB38" s="1"/>
        <tr r="BB38" s="1"/>
        <tr r="BB36" s="1"/>
        <tr r="BB36" s="1"/>
        <tr r="BB22" s="1"/>
        <tr r="BB22" s="1"/>
        <tr r="BB24" s="1"/>
        <tr r="BB24" s="1"/>
        <tr r="BB26" s="1"/>
        <tr r="BB26" s="1"/>
        <tr r="BC51" s="5"/>
        <tr r="BC51" s="5"/>
        <tr r="BC49" s="5"/>
        <tr r="BC49" s="5"/>
        <tr r="BC9" s="5"/>
        <tr r="BC9" s="5"/>
        <tr r="BC45" s="5"/>
        <tr r="BC45" s="5"/>
        <tr r="BC13" s="5"/>
        <tr r="BC13" s="5"/>
        <tr r="BC15" s="5"/>
        <tr r="BC15" s="5"/>
        <tr r="BC39" s="5"/>
        <tr r="BC39" s="5"/>
        <tr r="BC37" s="5"/>
        <tr r="BC37" s="5"/>
        <tr r="BC21" s="5"/>
        <tr r="BC21" s="5"/>
        <tr r="BC33" s="5"/>
        <tr r="BC33" s="5"/>
        <tr r="BC31" s="5"/>
        <tr r="BC31" s="5"/>
        <tr r="BC27" s="5"/>
        <tr r="BC27" s="5"/>
        <tr r="BB51" s="1"/>
        <tr r="BB51" s="1"/>
        <tr r="BB7" s="1"/>
        <tr r="BB7" s="1"/>
        <tr r="BB47" s="1"/>
        <tr r="BB47" s="1"/>
        <tr r="BB11" s="1"/>
        <tr r="BB11" s="1"/>
        <tr r="BB43" s="1"/>
        <tr r="BB43" s="1"/>
        <tr r="BB15" s="1"/>
        <tr r="BB15" s="1"/>
        <tr r="BB39" s="1"/>
        <tr r="BB39" s="1"/>
        <tr r="BB19" s="1"/>
        <tr r="BB19" s="1"/>
        <tr r="BB35" s="1"/>
        <tr r="BB35" s="1"/>
        <tr r="BB33" s="1"/>
        <tr r="BB33" s="1"/>
        <tr r="BB31" s="1"/>
        <tr r="BB31" s="1"/>
        <tr r="BB29" s="1"/>
        <tr r="BB29" s="1"/>
      </tp>
      <tp t="s">
        <v>N/A</v>
        <stp/>
        <stp>OPEN_INT</stp>
        <stp>.OPEN251014C9.5</stp>
        <tr r="E25" s="2"/>
      </tp>
      <tp>
        <v>28658</v>
        <stp/>
        <stp>OPEN_INT</stp>
        <stp>.OPEN251114C8.5</stp>
        <tr r="C31" s="1"/>
        <tr r="C31" s="1"/>
        <tr r="BB52" s="1"/>
        <tr r="BB52" s="1"/>
        <tr r="BC52" s="5"/>
        <tr r="BC52" s="5"/>
        <tr r="BC5" s="5"/>
        <tr r="BC5" s="5"/>
        <tr r="BC7" s="5"/>
        <tr r="BC7" s="5"/>
        <tr r="BC47" s="5"/>
        <tr r="BC47" s="5"/>
        <tr r="BC11" s="5"/>
        <tr r="BC11" s="5"/>
        <tr r="BC43" s="5"/>
        <tr r="BC43" s="5"/>
        <tr r="BC41" s="5"/>
        <tr r="BC41" s="5"/>
        <tr r="BC17" s="5"/>
        <tr r="BC17" s="5"/>
        <tr r="BC19" s="5"/>
        <tr r="BC19" s="5"/>
        <tr r="BC35" s="5"/>
        <tr r="BC35" s="5"/>
        <tr r="BC23" s="5"/>
        <tr r="BC23" s="5"/>
        <tr r="BC25" s="5"/>
        <tr r="BC25" s="5"/>
        <tr r="BC29" s="5"/>
        <tr r="BC29" s="5"/>
        <tr r="BB5" s="1"/>
        <tr r="BB5" s="1"/>
        <tr r="BB49" s="1"/>
        <tr r="BB49" s="1"/>
        <tr r="BB9" s="1"/>
        <tr r="BB9" s="1"/>
        <tr r="BB45" s="1"/>
        <tr r="BB45" s="1"/>
        <tr r="BB13" s="1"/>
        <tr r="BB13" s="1"/>
        <tr r="BB41" s="1"/>
        <tr r="BB41" s="1"/>
        <tr r="BB17" s="1"/>
        <tr r="BB17" s="1"/>
        <tr r="BB37" s="1"/>
        <tr r="BB37" s="1"/>
        <tr r="BB21" s="1"/>
        <tr r="BB21" s="1"/>
        <tr r="BB23" s="1"/>
        <tr r="BB23" s="1"/>
        <tr r="BB25" s="1"/>
        <tr r="BB25" s="1"/>
        <tr r="BB27" s="1"/>
        <tr r="BB27" s="1"/>
        <tr r="BC50" s="5"/>
        <tr r="BC50" s="5"/>
        <tr r="BC48" s="5"/>
        <tr r="BC48" s="5"/>
        <tr r="BC10" s="5"/>
        <tr r="BC10" s="5"/>
        <tr r="BC12" s="5"/>
        <tr r="BC12" s="5"/>
        <tr r="BC42" s="5"/>
        <tr r="BC42" s="5"/>
        <tr r="BC16" s="5"/>
        <tr r="BC16" s="5"/>
        <tr r="BC18" s="5"/>
        <tr r="BC18" s="5"/>
        <tr r="BC36" s="5"/>
        <tr r="BC36" s="5"/>
        <tr r="BC22" s="5"/>
        <tr r="BC22" s="5"/>
        <tr r="BC24" s="5"/>
        <tr r="BC24" s="5"/>
        <tr r="BC26" s="5"/>
        <tr r="BC26" s="5"/>
        <tr r="BC28" s="5"/>
        <tr r="BC28" s="5"/>
        <tr r="BB6" s="1"/>
        <tr r="BB6" s="1"/>
        <tr r="BB8" s="1"/>
        <tr r="BB8" s="1"/>
        <tr r="BB46" s="1"/>
        <tr r="BB46" s="1"/>
        <tr r="BB44" s="1"/>
        <tr r="BB44" s="1"/>
        <tr r="BB42" s="1"/>
        <tr r="BB42" s="1"/>
        <tr r="BB40" s="1"/>
        <tr r="BB40" s="1"/>
        <tr r="BB18" s="1"/>
        <tr r="BB18" s="1"/>
        <tr r="BB20" s="1"/>
        <tr r="BB20" s="1"/>
        <tr r="BB34" s="1"/>
        <tr r="BB34" s="1"/>
        <tr r="BB32" s="1"/>
        <tr r="BB32" s="1"/>
        <tr r="BB30" s="1"/>
        <tr r="BB30" s="1"/>
        <tr r="BB28" s="1"/>
        <tr r="BB28" s="1"/>
        <tr r="BC6" s="5"/>
        <tr r="BC6" s="5"/>
        <tr r="BC8" s="5"/>
        <tr r="BC8" s="5"/>
        <tr r="BC46" s="5"/>
        <tr r="BC46" s="5"/>
        <tr r="BC44" s="5"/>
        <tr r="BC44" s="5"/>
        <tr r="BC14" s="5"/>
        <tr r="BC14" s="5"/>
        <tr r="BC40" s="5"/>
        <tr r="BC40" s="5"/>
        <tr r="BC38" s="5"/>
        <tr r="BC38" s="5"/>
        <tr r="BC20" s="5"/>
        <tr r="BC20" s="5"/>
        <tr r="BC34" s="5"/>
        <tr r="BC34" s="5"/>
        <tr r="BC32" s="5"/>
        <tr r="BC32" s="5"/>
        <tr r="BC30" s="5"/>
        <tr r="BC30" s="5"/>
        <tr r="BB50" s="1"/>
        <tr r="BB50" s="1"/>
        <tr r="BB48" s="1"/>
        <tr r="BB48" s="1"/>
        <tr r="BB10" s="1"/>
        <tr r="BB10" s="1"/>
        <tr r="BB12" s="1"/>
        <tr r="BB12" s="1"/>
        <tr r="BB14" s="1"/>
        <tr r="BB14" s="1"/>
        <tr r="BB16" s="1"/>
        <tr r="BB16" s="1"/>
        <tr r="BB38" s="1"/>
        <tr r="BB38" s="1"/>
        <tr r="BB36" s="1"/>
        <tr r="BB36" s="1"/>
        <tr r="BB22" s="1"/>
        <tr r="BB22" s="1"/>
        <tr r="BB24" s="1"/>
        <tr r="BB24" s="1"/>
        <tr r="BB26" s="1"/>
        <tr r="BB26" s="1"/>
        <tr r="BC51" s="5"/>
        <tr r="BC51" s="5"/>
        <tr r="BC49" s="5"/>
        <tr r="BC49" s="5"/>
        <tr r="BC9" s="5"/>
        <tr r="BC9" s="5"/>
        <tr r="BC45" s="5"/>
        <tr r="BC45" s="5"/>
        <tr r="BC13" s="5"/>
        <tr r="BC13" s="5"/>
        <tr r="BC15" s="5"/>
        <tr r="BC15" s="5"/>
        <tr r="BC39" s="5"/>
        <tr r="BC39" s="5"/>
        <tr r="BC37" s="5"/>
        <tr r="BC37" s="5"/>
        <tr r="BC21" s="5"/>
        <tr r="BC21" s="5"/>
        <tr r="BC33" s="5"/>
        <tr r="BC33" s="5"/>
        <tr r="BC31" s="5"/>
        <tr r="BC31" s="5"/>
        <tr r="BC27" s="5"/>
        <tr r="BC27" s="5"/>
        <tr r="BB51" s="1"/>
        <tr r="BB51" s="1"/>
        <tr r="BB7" s="1"/>
        <tr r="BB7" s="1"/>
        <tr r="BB47" s="1"/>
        <tr r="BB47" s="1"/>
        <tr r="BB11" s="1"/>
        <tr r="BB11" s="1"/>
        <tr r="BB43" s="1"/>
        <tr r="BB43" s="1"/>
        <tr r="BB15" s="1"/>
        <tr r="BB15" s="1"/>
        <tr r="BB39" s="1"/>
        <tr r="BB39" s="1"/>
        <tr r="BB19" s="1"/>
        <tr r="BB19" s="1"/>
        <tr r="BB35" s="1"/>
        <tr r="BB35" s="1"/>
        <tr r="BB33" s="1"/>
        <tr r="BB33" s="1"/>
        <tr r="BB31" s="1"/>
        <tr r="BB31" s="1"/>
        <tr r="BB29" s="1"/>
        <tr r="BB29" s="1"/>
      </tp>
      <tp t="s">
        <v>N/A</v>
        <stp/>
        <stp>OPEN_INT</stp>
        <stp>.OPEN251015P9.5</stp>
        <tr r="F25" s="2"/>
      </tp>
      <tp t="s">
        <v>N/A</v>
        <stp/>
        <stp>OPEN_INT</stp>
        <stp>.OPEN261016P9.5</stp>
        <tr r="U29" s="1"/>
      </tp>
      <tp t="s">
        <v>N/A</v>
        <stp/>
        <stp>OPEN_INT</stp>
        <stp>.OPEN260116P8.5</stp>
        <tr r="L31" s="1"/>
        <tr r="W27" s="2"/>
      </tp>
      <tp t="s">
        <v>N/A</v>
        <stp/>
        <stp>OPEN_INT</stp>
        <stp>.OPEN260116C8.5</stp>
        <tr r="L31" s="1"/>
        <tr r="W27" s="2"/>
      </tp>
      <tp t="s">
        <v>N/A</v>
        <stp/>
        <stp>OPEN_INT</stp>
        <stp>.OPEN251015C9.5</stp>
        <tr r="F25" s="2"/>
      </tp>
      <tp t="s">
        <v>N/A</v>
        <stp/>
        <stp>OPEN_INT</stp>
        <stp>.OPEN261016C9.5</stp>
        <tr r="U29" s="1"/>
      </tp>
      <tp t="s">
        <v>N/A</v>
        <stp/>
        <stp>OPEN_INT</stp>
        <stp>.OPEN251016P9.5</stp>
        <tr r="G25" s="2"/>
      </tp>
      <tp t="s">
        <v>N/A</v>
        <stp/>
        <stp>OPEN_INT</stp>
        <stp>.OPEN251016C9.5</stp>
        <tr r="G25" s="2"/>
      </tp>
      <tp>
        <v>1101</v>
        <stp/>
        <stp>OPEN_INT</stp>
        <stp>.OPEN251017P9.5</stp>
        <tr r="H25" s="2"/>
        <tr r="H25" s="2"/>
      </tp>
      <tp>
        <v>20609</v>
        <stp/>
        <stp>OPEN_INT</stp>
        <stp>.OPEN251017C9.5</stp>
        <tr r="H25" s="2"/>
        <tr r="H25" s="2"/>
      </tp>
      <tp>
        <v>4221</v>
        <stp/>
        <stp>OPEN_INT</stp>
        <stp>.OPEN251010P9.5</stp>
        <tr r="C25" s="2"/>
        <tr r="C25" s="2"/>
      </tp>
      <tp>
        <v>39102</v>
        <stp/>
        <stp>OPEN_INT</stp>
        <stp>.OPEN251010C9.5</stp>
        <tr r="C25" s="2"/>
        <tr r="C25" s="2"/>
      </tp>
      <tp t="s">
        <v>N/A</v>
        <stp/>
        <stp>OPEN_INT</stp>
        <stp>.OPEN251013P9.5</stp>
        <tr r="D25" s="2"/>
      </tp>
      <tp t="s">
        <v>N/A</v>
        <stp/>
        <stp>OPEN_INT</stp>
        <stp>.OPEN251013C9.5</stp>
        <tr r="D25" s="2"/>
      </tp>
      <tp t="s">
        <v>N/A</v>
        <stp/>
        <stp>OPEN_INT</stp>
        <stp>.OPEN260918P0.5</stp>
        <tr r="T47" s="1"/>
      </tp>
      <tp t="s">
        <v>N/A</v>
        <stp/>
        <stp>OPEN_INT</stp>
        <stp>.OPEN260918C0.5</stp>
        <tr r="T47" s="1"/>
      </tp>
      <tp t="s">
        <v>N/A</v>
        <stp/>
        <stp>OPEN_INT</stp>
        <stp>.OPEN260102P8.5</stp>
        <tr r="J31" s="1"/>
      </tp>
      <tp t="s">
        <v>N/A</v>
        <stp/>
        <stp>OPEN_INT</stp>
        <stp>.OPEN260102C8.5</stp>
        <tr r="J31" s="1"/>
      </tp>
      <tp t="s">
        <v>N/A</v>
        <stp/>
        <stp>OPEN_INT</stp>
        <stp>.OPEN251009P9.5</stp>
        <tr r="B25" s="2"/>
      </tp>
      <tp t="s">
        <v>N/A</v>
        <stp/>
        <stp>OPEN_INT</stp>
        <stp>.OPEN251009C9.5</stp>
        <tr r="B25" s="2"/>
      </tp>
      <tp t="s">
        <v>N/A</v>
        <stp/>
        <stp>OPEN_INT</stp>
        <stp>.OPEN260109P8.5</stp>
        <tr r="K31" s="1"/>
      </tp>
      <tp t="s">
        <v>N/A</v>
        <stp/>
        <stp>OPEN_INT</stp>
        <stp>.OPEN260109C8.5</stp>
        <tr r="K31" s="1"/>
      </tp>
      <tp t="s">
        <v>N/A</v>
        <stp/>
        <stp>OPEN_INT</stp>
        <stp>.OPEN251030P9.5</stp>
        <tr r="Q25" s="2"/>
      </tp>
      <tp t="s">
        <v>N/A</v>
        <stp/>
        <stp>OPEN_INT</stp>
        <stp>.OPEN251030C9.5</stp>
        <tr r="Q25" s="2"/>
      </tp>
      <tp>
        <v>424</v>
        <stp/>
        <stp>OPEN_INT</stp>
        <stp>.OPEN251031P9.5</stp>
        <tr r="R25" s="2"/>
        <tr r="R25" s="2"/>
      </tp>
      <tp>
        <v>31194</v>
        <stp/>
        <stp>OPEN_INT</stp>
        <stp>.OPEN251031C9.5</stp>
        <tr r="R25" s="2"/>
        <tr r="R25" s="2"/>
      </tp>
      <tp>
        <v>146</v>
        <stp/>
        <stp>OPEN_INT</stp>
        <stp>.OPEN251024P9.5</stp>
        <tr r="M25" s="2"/>
        <tr r="M25" s="2"/>
      </tp>
      <tp>
        <v>15145</v>
        <stp/>
        <stp>OPEN_INT</stp>
        <stp>.OPEN251024C9.5</stp>
        <tr r="M25" s="2"/>
        <tr r="M25" s="2"/>
      </tp>
      <tp t="s">
        <v>N/A</v>
        <stp/>
        <stp>OPEN_INT</stp>
        <stp>.OPEN251027P9.5</stp>
        <tr r="N25" s="2"/>
      </tp>
      <tp t="s">
        <v>N/A</v>
        <stp/>
        <stp>OPEN_INT</stp>
        <stp>.OPEN251027C9.5</stp>
        <tr r="N25" s="2"/>
      </tp>
      <tp t="s">
        <v>N/A</v>
        <stp/>
        <stp>OPEN_INT</stp>
        <stp>.OPEN251020P9.5</stp>
        <tr r="I25" s="2"/>
      </tp>
      <tp t="s">
        <v>N/A</v>
        <stp/>
        <stp>OPEN_INT</stp>
        <stp>.OPEN251020C9.5</stp>
        <tr r="I25" s="2"/>
      </tp>
      <tp t="s">
        <v>N/A</v>
        <stp/>
        <stp>OPEN_INT</stp>
        <stp>.OPEN251021P9.5</stp>
        <tr r="J25" s="2"/>
      </tp>
      <tp>
        <v>1310</v>
        <stp/>
        <stp>OPEN_INT</stp>
        <stp>.OPEN251121P8.5</stp>
        <tr r="D31" s="1"/>
        <tr r="D31" s="1"/>
        <tr r="S27" s="2"/>
        <tr r="S27" s="2"/>
      </tp>
      <tp t="s">
        <v>N/A</v>
        <stp/>
        <stp>OPEN_INT</stp>
        <stp>.OPEN251021C9.5</stp>
        <tr r="J25" s="2"/>
      </tp>
      <tp>
        <v>8395</v>
        <stp/>
        <stp>OPEN_INT</stp>
        <stp>.OPEN251121C8.5</stp>
        <tr r="D31" s="1"/>
        <tr r="D31" s="1"/>
        <tr r="S27" s="2"/>
        <tr r="S27" s="2"/>
      </tp>
      <tp t="s">
        <v>N/A</v>
        <stp/>
        <stp>OPEN_INT</stp>
        <stp>.OPEN251022P9.5</stp>
        <tr r="K25" s="2"/>
      </tp>
      <tp t="s">
        <v>N/A</v>
        <stp/>
        <stp>OPEN_INT</stp>
        <stp>.OPEN260821P1.5</stp>
        <tr r="S45" s="1"/>
      </tp>
      <tp t="s">
        <v>N/A</v>
        <stp/>
        <stp>OPEN_INT</stp>
        <stp>.OPEN260821C1.5</stp>
        <tr r="S45" s="1"/>
      </tp>
      <tp t="s">
        <v>N/A</v>
        <stp/>
        <stp>OPEN_INT</stp>
        <stp>.OPEN251022C9.5</stp>
        <tr r="K25" s="2"/>
      </tp>
      <tp t="s">
        <v>N/A</v>
        <stp/>
        <stp>OPEN_INT</stp>
        <stp>.OPEN251023P9.5</stp>
        <tr r="L25" s="2"/>
      </tp>
      <tp t="s">
        <v>N/A</v>
        <stp/>
        <stp>OPEN_INT</stp>
        <stp>.OPEN261120P8.5</stp>
        <tr r="V31" s="1"/>
      </tp>
      <tp t="s">
        <v>N/A</v>
        <stp/>
        <stp>OPEN_INT</stp>
        <stp>.OPEN251023C9.5</stp>
        <tr r="L25" s="2"/>
      </tp>
      <tp t="s">
        <v>N/A</v>
        <stp/>
        <stp>OPEN_INT</stp>
        <stp>.OPEN261120C8.5</stp>
        <tr r="V31" s="1"/>
      </tp>
      <tp t="s">
        <v>N/A</v>
        <stp/>
        <stp>OPEN_INT</stp>
        <stp>.OPEN251028P9.5</stp>
        <tr r="O25" s="2"/>
      </tp>
      <tp>
        <v>277</v>
        <stp/>
        <stp>OPEN_INT</stp>
        <stp>.OPEN251128P8.5</stp>
        <tr r="E31" s="1"/>
        <tr r="E31" s="1"/>
        <tr r="T27" s="2"/>
        <tr r="T27" s="2"/>
      </tp>
      <tp t="s">
        <v>N/A</v>
        <stp/>
        <stp>OPEN_INT</stp>
        <stp>.OPEN251028C9.5</stp>
        <tr r="O25" s="2"/>
      </tp>
      <tp>
        <v>3962</v>
        <stp/>
        <stp>OPEN_INT</stp>
        <stp>.OPEN251128C8.5</stp>
        <tr r="E31" s="1"/>
        <tr r="E31" s="1"/>
        <tr r="T27" s="2"/>
        <tr r="T27" s="2"/>
      </tp>
      <tp t="s">
        <v>N/A</v>
        <stp/>
        <stp>OPEN_INT</stp>
        <stp>.OPEN251029P9.5</stp>
        <tr r="P25" s="2"/>
      </tp>
      <tp t="s">
        <v>N/A</v>
        <stp/>
        <stp>OPEN_INT</stp>
        <stp>.OPEN251029C9.5</stp>
        <tr r="P25" s="2"/>
      </tp>
      <tp t="s">
        <v>N/A</v>
        <stp/>
        <stp>OPEN_INT</stp>
        <stp>.OPEN251014P6.5</stp>
        <tr r="E31" s="2"/>
      </tp>
      <tp>
        <v>9821</v>
        <stp/>
        <stp>OPEN_INT</stp>
        <stp>.OPEN251114P7.5</stp>
        <tr r="BD52" s="1"/>
        <tr r="BD52" s="1"/>
        <tr r="BE52" s="5"/>
        <tr r="BE52" s="5"/>
        <tr r="C33" s="1"/>
        <tr r="C33" s="1"/>
        <tr r="BE5" s="5"/>
        <tr r="BE5" s="5"/>
        <tr r="BE49" s="5"/>
        <tr r="BE49" s="5"/>
        <tr r="BE9" s="5"/>
        <tr r="BE9" s="5"/>
        <tr r="BE45" s="5"/>
        <tr r="BE45" s="5"/>
        <tr r="BE43" s="5"/>
        <tr r="BE43" s="5"/>
        <tr r="BE41" s="5"/>
        <tr r="BE41" s="5"/>
        <tr r="BE17" s="5"/>
        <tr r="BE17" s="5"/>
        <tr r="BE37" s="5"/>
        <tr r="BE37" s="5"/>
        <tr r="BE21" s="5"/>
        <tr r="BE21" s="5"/>
        <tr r="BE33" s="5"/>
        <tr r="BE33" s="5"/>
        <tr r="BE31" s="5"/>
        <tr r="BE31" s="5"/>
        <tr r="BE27" s="5"/>
        <tr r="BE27" s="5"/>
        <tr r="BD5" s="1"/>
        <tr r="BD5" s="1"/>
        <tr r="BD7" s="1"/>
        <tr r="BD7" s="1"/>
        <tr r="BD47" s="1"/>
        <tr r="BD47" s="1"/>
        <tr r="BD45" s="1"/>
        <tr r="BD45" s="1"/>
        <tr r="BD13" s="1"/>
        <tr r="BD13" s="1"/>
        <tr r="BD41" s="1"/>
        <tr r="BD41" s="1"/>
        <tr r="BD39" s="1"/>
        <tr r="BD39" s="1"/>
        <tr r="BD19" s="1"/>
        <tr r="BD19" s="1"/>
        <tr r="BD35" s="1"/>
        <tr r="BD35" s="1"/>
        <tr r="BD23" s="1"/>
        <tr r="BD23" s="1"/>
        <tr r="BD25" s="1"/>
        <tr r="BD25" s="1"/>
        <tr r="BD29" s="1"/>
        <tr r="BD29" s="1"/>
        <tr r="BE50" s="5"/>
        <tr r="BE50" s="5"/>
        <tr r="BE48" s="5"/>
        <tr r="BE48" s="5"/>
        <tr r="BE10" s="5"/>
        <tr r="BE10" s="5"/>
        <tr r="BE44" s="5"/>
        <tr r="BE44" s="5"/>
        <tr r="BE14" s="5"/>
        <tr r="BE14" s="5"/>
        <tr r="BE40" s="5"/>
        <tr r="BE40" s="5"/>
        <tr r="BE18" s="5"/>
        <tr r="BE18" s="5"/>
        <tr r="BE20" s="5"/>
        <tr r="BE20" s="5"/>
        <tr r="BE22" s="5"/>
        <tr r="BE22" s="5"/>
        <tr r="BE32" s="5"/>
        <tr r="BE32" s="5"/>
        <tr r="BE26" s="5"/>
        <tr r="BE26" s="5"/>
        <tr r="BE28" s="5"/>
        <tr r="BE28" s="5"/>
        <tr r="BD50" s="1"/>
        <tr r="BD50" s="1"/>
        <tr r="BD8" s="1"/>
        <tr r="BD8" s="1"/>
        <tr r="BD10" s="1"/>
        <tr r="BD10" s="1"/>
        <tr r="BD12" s="1"/>
        <tr r="BD12" s="1"/>
        <tr r="BD42" s="1"/>
        <tr r="BD42" s="1"/>
        <tr r="BD40" s="1"/>
        <tr r="BD40" s="1"/>
        <tr r="BD18" s="1"/>
        <tr r="BD18" s="1"/>
        <tr r="BD36" s="1"/>
        <tr r="BD36" s="1"/>
        <tr r="BD22" s="1"/>
        <tr r="BD22" s="1"/>
        <tr r="BD32" s="1"/>
        <tr r="BD32" s="1"/>
        <tr r="BD26" s="1"/>
        <tr r="BD26" s="1"/>
        <tr r="BD28" s="1"/>
        <tr r="BD28" s="1"/>
        <tr r="BE6" s="5"/>
        <tr r="BE6" s="5"/>
        <tr r="BE8" s="5"/>
        <tr r="BE8" s="5"/>
        <tr r="BE46" s="5"/>
        <tr r="BE46" s="5"/>
        <tr r="BE12" s="5"/>
        <tr r="BE12" s="5"/>
        <tr r="BE42" s="5"/>
        <tr r="BE42" s="5"/>
        <tr r="BE16" s="5"/>
        <tr r="BE16" s="5"/>
        <tr r="BE38" s="5"/>
        <tr r="BE38" s="5"/>
        <tr r="BE36" s="5"/>
        <tr r="BE36" s="5"/>
        <tr r="BE34" s="5"/>
        <tr r="BE34" s="5"/>
        <tr r="BE24" s="5"/>
        <tr r="BE24" s="5"/>
        <tr r="BE30" s="5"/>
        <tr r="BE30" s="5"/>
        <tr r="BD6" s="1"/>
        <tr r="BD6" s="1"/>
        <tr r="BD48" s="1"/>
        <tr r="BD48" s="1"/>
        <tr r="BD46" s="1"/>
        <tr r="BD46" s="1"/>
        <tr r="BD44" s="1"/>
        <tr r="BD44" s="1"/>
        <tr r="BD14" s="1"/>
        <tr r="BD14" s="1"/>
        <tr r="BD16" s="1"/>
        <tr r="BD16" s="1"/>
        <tr r="BD38" s="1"/>
        <tr r="BD38" s="1"/>
        <tr r="BD20" s="1"/>
        <tr r="BD20" s="1"/>
        <tr r="BD34" s="1"/>
        <tr r="BD34" s="1"/>
        <tr r="BD24" s="1"/>
        <tr r="BD24" s="1"/>
        <tr r="BD30" s="1"/>
        <tr r="BD30" s="1"/>
        <tr r="BE51" s="5"/>
        <tr r="BE51" s="5"/>
        <tr r="BE7" s="5"/>
        <tr r="BE7" s="5"/>
        <tr r="BE47" s="5"/>
        <tr r="BE47" s="5"/>
        <tr r="BE11" s="5"/>
        <tr r="BE11" s="5"/>
        <tr r="BE13" s="5"/>
        <tr r="BE13" s="5"/>
        <tr r="BE15" s="5"/>
        <tr r="BE15" s="5"/>
        <tr r="BE39" s="5"/>
        <tr r="BE39" s="5"/>
        <tr r="BE19" s="5"/>
        <tr r="BE19" s="5"/>
        <tr r="BE35" s="5"/>
        <tr r="BE35" s="5"/>
        <tr r="BE23" s="5"/>
        <tr r="BE23" s="5"/>
        <tr r="BE25" s="5"/>
        <tr r="BE25" s="5"/>
        <tr r="BE29" s="5"/>
        <tr r="BE29" s="5"/>
        <tr r="BD51" s="1"/>
        <tr r="BD51" s="1"/>
        <tr r="BD49" s="1"/>
        <tr r="BD49" s="1"/>
        <tr r="BD9" s="1"/>
        <tr r="BD9" s="1"/>
        <tr r="BD11" s="1"/>
        <tr r="BD11" s="1"/>
        <tr r="BD43" s="1"/>
        <tr r="BD43" s="1"/>
        <tr r="BD15" s="1"/>
        <tr r="BD15" s="1"/>
        <tr r="BD17" s="1"/>
        <tr r="BD17" s="1"/>
        <tr r="BD37" s="1"/>
        <tr r="BD37" s="1"/>
        <tr r="BD21" s="1"/>
        <tr r="BD21" s="1"/>
        <tr r="BD33" s="1"/>
        <tr r="BD33" s="1"/>
        <tr r="BD31" s="1"/>
        <tr r="BD31" s="1"/>
        <tr r="BD27" s="1"/>
        <tr r="BD27" s="1"/>
      </tp>
      <tp t="s">
        <v>N/A</v>
        <stp/>
        <stp>OPEN_INT</stp>
        <stp>.OPEN260417P2.5</stp>
        <tr r="O43" s="1"/>
      </tp>
      <tp t="s">
        <v>N/A</v>
        <stp/>
        <stp>OPEN_INT</stp>
        <stp>.OPEN260717P1.5</stp>
        <tr r="R45" s="1"/>
      </tp>
      <tp t="s">
        <v>N/A</v>
        <stp/>
        <stp>OPEN_INT</stp>
        <stp>.OPEN260417C2.5</stp>
        <tr r="O43" s="1"/>
      </tp>
      <tp t="s">
        <v>N/A</v>
        <stp/>
        <stp>OPEN_INT</stp>
        <stp>.OPEN260717C1.5</stp>
        <tr r="R45" s="1"/>
      </tp>
      <tp t="s">
        <v>N/A</v>
        <stp/>
        <stp>OPEN_INT</stp>
        <stp>.OPEN251014C6.5</stp>
        <tr r="E31" s="2"/>
      </tp>
      <tp>
        <v>18560</v>
        <stp/>
        <stp>OPEN_INT</stp>
        <stp>.OPEN251114C7.5</stp>
        <tr r="BD52" s="1"/>
        <tr r="BD52" s="1"/>
        <tr r="BE52" s="5"/>
        <tr r="BE52" s="5"/>
        <tr r="C33" s="1"/>
        <tr r="C33" s="1"/>
        <tr r="BE5" s="5"/>
        <tr r="BE5" s="5"/>
        <tr r="BE49" s="5"/>
        <tr r="BE49" s="5"/>
        <tr r="BE9" s="5"/>
        <tr r="BE9" s="5"/>
        <tr r="BE45" s="5"/>
        <tr r="BE45" s="5"/>
        <tr r="BE43" s="5"/>
        <tr r="BE43" s="5"/>
        <tr r="BE41" s="5"/>
        <tr r="BE41" s="5"/>
        <tr r="BE17" s="5"/>
        <tr r="BE17" s="5"/>
        <tr r="BE37" s="5"/>
        <tr r="BE37" s="5"/>
        <tr r="BE21" s="5"/>
        <tr r="BE21" s="5"/>
        <tr r="BE33" s="5"/>
        <tr r="BE33" s="5"/>
        <tr r="BE31" s="5"/>
        <tr r="BE31" s="5"/>
        <tr r="BE27" s="5"/>
        <tr r="BE27" s="5"/>
        <tr r="BD5" s="1"/>
        <tr r="BD5" s="1"/>
        <tr r="BD7" s="1"/>
        <tr r="BD7" s="1"/>
        <tr r="BD47" s="1"/>
        <tr r="BD47" s="1"/>
        <tr r="BD45" s="1"/>
        <tr r="BD45" s="1"/>
        <tr r="BD13" s="1"/>
        <tr r="BD13" s="1"/>
        <tr r="BD41" s="1"/>
        <tr r="BD41" s="1"/>
        <tr r="BD39" s="1"/>
        <tr r="BD39" s="1"/>
        <tr r="BD19" s="1"/>
        <tr r="BD19" s="1"/>
        <tr r="BD35" s="1"/>
        <tr r="BD35" s="1"/>
        <tr r="BD23" s="1"/>
        <tr r="BD23" s="1"/>
        <tr r="BD25" s="1"/>
        <tr r="BD25" s="1"/>
        <tr r="BD29" s="1"/>
        <tr r="BD29" s="1"/>
        <tr r="BE50" s="5"/>
        <tr r="BE50" s="5"/>
        <tr r="BE48" s="5"/>
        <tr r="BE48" s="5"/>
        <tr r="BE10" s="5"/>
        <tr r="BE10" s="5"/>
        <tr r="BE44" s="5"/>
        <tr r="BE44" s="5"/>
        <tr r="BE14" s="5"/>
        <tr r="BE14" s="5"/>
        <tr r="BE40" s="5"/>
        <tr r="BE40" s="5"/>
        <tr r="BE18" s="5"/>
        <tr r="BE18" s="5"/>
        <tr r="BE20" s="5"/>
        <tr r="BE20" s="5"/>
        <tr r="BE22" s="5"/>
        <tr r="BE22" s="5"/>
        <tr r="BE32" s="5"/>
        <tr r="BE32" s="5"/>
        <tr r="BE26" s="5"/>
        <tr r="BE26" s="5"/>
        <tr r="BE28" s="5"/>
        <tr r="BE28" s="5"/>
        <tr r="BD50" s="1"/>
        <tr r="BD50" s="1"/>
        <tr r="BD8" s="1"/>
        <tr r="BD8" s="1"/>
        <tr r="BD10" s="1"/>
        <tr r="BD10" s="1"/>
        <tr r="BD12" s="1"/>
        <tr r="BD12" s="1"/>
        <tr r="BD42" s="1"/>
        <tr r="BD42" s="1"/>
        <tr r="BD40" s="1"/>
        <tr r="BD40" s="1"/>
        <tr r="BD18" s="1"/>
        <tr r="BD18" s="1"/>
        <tr r="BD36" s="1"/>
        <tr r="BD36" s="1"/>
        <tr r="BD22" s="1"/>
        <tr r="BD22" s="1"/>
        <tr r="BD32" s="1"/>
        <tr r="BD32" s="1"/>
        <tr r="BD26" s="1"/>
        <tr r="BD26" s="1"/>
        <tr r="BD28" s="1"/>
        <tr r="BD28" s="1"/>
        <tr r="BE6" s="5"/>
        <tr r="BE6" s="5"/>
        <tr r="BE8" s="5"/>
        <tr r="BE8" s="5"/>
        <tr r="BE46" s="5"/>
        <tr r="BE46" s="5"/>
        <tr r="BE12" s="5"/>
        <tr r="BE12" s="5"/>
        <tr r="BE42" s="5"/>
        <tr r="BE42" s="5"/>
        <tr r="BE16" s="5"/>
        <tr r="BE16" s="5"/>
        <tr r="BE38" s="5"/>
        <tr r="BE38" s="5"/>
        <tr r="BE36" s="5"/>
        <tr r="BE36" s="5"/>
        <tr r="BE34" s="5"/>
        <tr r="BE34" s="5"/>
        <tr r="BE24" s="5"/>
        <tr r="BE24" s="5"/>
        <tr r="BE30" s="5"/>
        <tr r="BE30" s="5"/>
        <tr r="BD6" s="1"/>
        <tr r="BD6" s="1"/>
        <tr r="BD48" s="1"/>
        <tr r="BD48" s="1"/>
        <tr r="BD46" s="1"/>
        <tr r="BD46" s="1"/>
        <tr r="BD44" s="1"/>
        <tr r="BD44" s="1"/>
        <tr r="BD14" s="1"/>
        <tr r="BD14" s="1"/>
        <tr r="BD16" s="1"/>
        <tr r="BD16" s="1"/>
        <tr r="BD38" s="1"/>
        <tr r="BD38" s="1"/>
        <tr r="BD20" s="1"/>
        <tr r="BD20" s="1"/>
        <tr r="BD34" s="1"/>
        <tr r="BD34" s="1"/>
        <tr r="BD24" s="1"/>
        <tr r="BD24" s="1"/>
        <tr r="BD30" s="1"/>
        <tr r="BD30" s="1"/>
        <tr r="BE51" s="5"/>
        <tr r="BE51" s="5"/>
        <tr r="BE7" s="5"/>
        <tr r="BE7" s="5"/>
        <tr r="BE47" s="5"/>
        <tr r="BE47" s="5"/>
        <tr r="BE11" s="5"/>
        <tr r="BE11" s="5"/>
        <tr r="BE13" s="5"/>
        <tr r="BE13" s="5"/>
        <tr r="BE15" s="5"/>
        <tr r="BE15" s="5"/>
        <tr r="BE39" s="5"/>
        <tr r="BE39" s="5"/>
        <tr r="BE19" s="5"/>
        <tr r="BE19" s="5"/>
        <tr r="BE35" s="5"/>
        <tr r="BE35" s="5"/>
        <tr r="BE23" s="5"/>
        <tr r="BE23" s="5"/>
        <tr r="BE25" s="5"/>
        <tr r="BE25" s="5"/>
        <tr r="BE29" s="5"/>
        <tr r="BE29" s="5"/>
        <tr r="BD51" s="1"/>
        <tr r="BD51" s="1"/>
        <tr r="BD49" s="1"/>
        <tr r="BD49" s="1"/>
        <tr r="BD9" s="1"/>
        <tr r="BD9" s="1"/>
        <tr r="BD11" s="1"/>
        <tr r="BD11" s="1"/>
        <tr r="BD43" s="1"/>
        <tr r="BD43" s="1"/>
        <tr r="BD15" s="1"/>
        <tr r="BD15" s="1"/>
        <tr r="BD17" s="1"/>
        <tr r="BD17" s="1"/>
        <tr r="BD37" s="1"/>
        <tr r="BD37" s="1"/>
        <tr r="BD21" s="1"/>
        <tr r="BD21" s="1"/>
        <tr r="BD33" s="1"/>
        <tr r="BD33" s="1"/>
        <tr r="BD31" s="1"/>
        <tr r="BD31" s="1"/>
        <tr r="BD27" s="1"/>
        <tr r="BD27" s="1"/>
      </tp>
      <tp t="s">
        <v>N/A</v>
        <stp/>
        <stp>OPEN_INT</stp>
        <stp>.OPEN251015P6.5</stp>
        <tr r="F31" s="2"/>
      </tp>
      <tp t="s">
        <v>N/A</v>
        <stp/>
        <stp>OPEN_INT</stp>
        <stp>.OPEN261016P6.5</stp>
        <tr r="U35" s="1"/>
      </tp>
      <tp t="s">
        <v>N/A</v>
        <stp/>
        <stp>OPEN_INT</stp>
        <stp>.OPEN260116P7.5</stp>
        <tr r="L33" s="1"/>
        <tr r="W29" s="2"/>
      </tp>
      <tp t="s">
        <v>N/A</v>
        <stp/>
        <stp>OPEN_INT</stp>
        <stp>.OPEN260116C7.5</stp>
        <tr r="L33" s="1"/>
        <tr r="W29" s="2"/>
      </tp>
      <tp t="s">
        <v>N/A</v>
        <stp/>
        <stp>OPEN_INT</stp>
        <stp>.OPEN251015C6.5</stp>
        <tr r="F31" s="2"/>
      </tp>
      <tp t="s">
        <v>N/A</v>
        <stp/>
        <stp>OPEN_INT</stp>
        <stp>.OPEN261016C6.5</stp>
        <tr r="U35" s="1"/>
      </tp>
      <tp t="s">
        <v>N/A</v>
        <stp/>
        <stp>OPEN_INT</stp>
        <stp>.OPEN251016P6.5</stp>
        <tr r="G31" s="2"/>
      </tp>
      <tp t="s">
        <v>N/A</v>
        <stp/>
        <stp>OPEN_INT</stp>
        <stp>.OPEN260515P3.5</stp>
        <tr r="P41" s="1"/>
      </tp>
      <tp t="s">
        <v>N/A</v>
        <stp/>
        <stp>OPEN_INT</stp>
        <stp>.OPEN260515C3.5</stp>
        <tr r="P41" s="1"/>
      </tp>
      <tp t="s">
        <v>N/A</v>
        <stp/>
        <stp>OPEN_INT</stp>
        <stp>.OPEN251016C6.5</stp>
        <tr r="G31" s="2"/>
      </tp>
      <tp>
        <v>22730</v>
        <stp/>
        <stp>OPEN_INT</stp>
        <stp>.OPEN251017P6.5</stp>
        <tr r="H31" s="2"/>
        <tr r="H31" s="2"/>
      </tp>
      <tp>
        <v>6584</v>
        <stp/>
        <stp>OPEN_INT</stp>
        <stp>.OPEN251017C6.5</stp>
        <tr r="H31" s="2"/>
        <tr r="H31" s="2"/>
      </tp>
      <tp>
        <v>6220</v>
        <stp/>
        <stp>OPEN_INT</stp>
        <stp>.OPEN251010P6.5</stp>
        <tr r="C31" s="2"/>
        <tr r="C31" s="2"/>
      </tp>
      <tp>
        <v>3669</v>
        <stp/>
        <stp>OPEN_INT</stp>
        <stp>.OPEN251010C6.5</stp>
        <tr r="C31" s="2"/>
        <tr r="C31" s="2"/>
      </tp>
      <tp>
        <v>460</v>
        <stp/>
        <stp>OPEN_INT</stp>
        <stp>.OPEN251212P4.5</stp>
        <tr r="G39" s="1"/>
        <tr r="G39" s="1"/>
      </tp>
      <tp>
        <v>479</v>
        <stp/>
        <stp>OPEN_INT</stp>
        <stp>.OPEN251212C4.5</stp>
        <tr r="G39" s="1"/>
        <tr r="G39" s="1"/>
      </tp>
      <tp t="s">
        <v>N/A</v>
        <stp/>
        <stp>OPEN_INT</stp>
        <stp>.OPEN251013P6.5</stp>
        <tr r="D31" s="2"/>
      </tp>
      <tp t="s">
        <v>N/A</v>
        <stp/>
        <stp>OPEN_INT</stp>
        <stp>.OPEN251013C6.5</stp>
        <tr r="D31" s="2"/>
      </tp>
      <tp t="s">
        <v>N/A</v>
        <stp/>
        <stp>OPEN_INT</stp>
        <stp>.OPEN251219P4.5</stp>
        <tr r="H39" s="1"/>
        <tr r="U35" s="2"/>
      </tp>
      <tp t="s">
        <v>N/A</v>
        <stp/>
        <stp>OPEN_INT</stp>
        <stp>.OPEN251219C4.5</stp>
        <tr r="H39" s="1"/>
        <tr r="U35" s="2"/>
      </tp>
      <tp t="s">
        <v>N/A</v>
        <stp/>
        <stp>OPEN_INT</stp>
        <stp>.OPEN260619P0.5</stp>
        <tr r="Q47" s="1"/>
      </tp>
      <tp t="s">
        <v>N/A</v>
        <stp/>
        <stp>OPEN_INT</stp>
        <stp>.OPEN260619C0.5</stp>
        <tr r="Q47" s="1"/>
      </tp>
      <tp t="s">
        <v>N/A</v>
        <stp/>
        <stp>OPEN_INT</stp>
        <stp>.OPEN261218P4.5</stp>
        <tr r="W39" s="1"/>
      </tp>
      <tp t="s">
        <v>N/A</v>
        <stp/>
        <stp>OPEN_INT</stp>
        <stp>.OPEN261218C4.5</stp>
        <tr r="W39" s="1"/>
      </tp>
      <tp>
        <v>937</v>
        <stp/>
        <stp>OPEN_INT</stp>
        <stp>.OPEN251205P4.5</stp>
        <tr r="F39" s="1"/>
        <tr r="F39" s="1"/>
      </tp>
      <tp>
        <v>125</v>
        <stp/>
        <stp>OPEN_INT</stp>
        <stp>.OPEN251205C4.5</stp>
        <tr r="F39" s="1"/>
        <tr r="F39" s="1"/>
      </tp>
      <tp t="s">
        <v>N/A</v>
        <stp/>
        <stp>OPEN_INT</stp>
        <stp>.OPEN260102P7.5</stp>
        <tr r="J33" s="1"/>
      </tp>
      <tp t="s">
        <v>N/A</v>
        <stp/>
        <stp>OPEN_INT</stp>
        <stp>.OPEN260102C7.5</stp>
        <tr r="J33" s="1"/>
      </tp>
      <tp t="s">
        <v>N/A</v>
        <stp/>
        <stp>OPEN_INT</stp>
        <stp>.OPEN251009P6.5</stp>
        <tr r="B31" s="2"/>
      </tp>
      <tp t="s">
        <v>N/A</v>
        <stp/>
        <stp>OPEN_INT</stp>
        <stp>.OPEN251009C6.5</stp>
        <tr r="B31" s="2"/>
      </tp>
      <tp t="s">
        <v>N/A</v>
        <stp/>
        <stp>OPEN_INT</stp>
        <stp>.OPEN260109P7.5</stp>
        <tr r="K33" s="1"/>
      </tp>
      <tp t="s">
        <v>N/A</v>
        <stp/>
        <stp>OPEN_INT</stp>
        <stp>.OPEN260109C7.5</stp>
        <tr r="K33" s="1"/>
      </tp>
      <tp t="s">
        <v>N/A</v>
        <stp/>
        <stp>OPEN_INT</stp>
        <stp>.OPEN251030P6.5</stp>
        <tr r="Q31" s="2"/>
      </tp>
      <tp t="s">
        <v>N/A</v>
        <stp/>
        <stp>OPEN_INT</stp>
        <stp>.OPEN251030C6.5</stp>
        <tr r="Q31" s="2"/>
      </tp>
      <tp>
        <v>7137</v>
        <stp/>
        <stp>OPEN_INT</stp>
        <stp>.OPEN251031P6.5</stp>
        <tr r="R31" s="2"/>
        <tr r="R31" s="2"/>
      </tp>
      <tp t="s">
        <v>N/A</v>
        <stp/>
        <stp>OPEN_INT</stp>
        <stp>.OPEN251231P4.5</stp>
        <tr r="V35" s="2"/>
      </tp>
      <tp>
        <v>3877</v>
        <stp/>
        <stp>OPEN_INT</stp>
        <stp>.OPEN251031C6.5</stp>
        <tr r="R31" s="2"/>
        <tr r="R31" s="2"/>
      </tp>
      <tp t="s">
        <v>N/A</v>
        <stp/>
        <stp>OPEN_INT</stp>
        <stp>.OPEN251231C4.5</stp>
        <tr r="V35" s="2"/>
      </tp>
      <tp>
        <v>16485</v>
        <stp/>
        <stp>OPEN_INT</stp>
        <stp>.OPEN251024P6.5</stp>
        <tr r="M31" s="2"/>
        <tr r="M31" s="2"/>
      </tp>
      <tp>
        <v>9374</v>
        <stp/>
        <stp>OPEN_INT</stp>
        <stp>.OPEN251024C6.5</stp>
        <tr r="M31" s="2"/>
        <tr r="M31" s="2"/>
      </tp>
      <tp>
        <v>562</v>
        <stp/>
        <stp>OPEN_INT</stp>
        <stp>.OPEN251226P4.5</stp>
        <tr r="I39" s="1"/>
        <tr r="I39" s="1"/>
      </tp>
      <tp>
        <v>4</v>
        <stp/>
        <stp>OPEN_INT</stp>
        <stp>.OPEN251226C4.5</stp>
        <tr r="I39" s="1"/>
        <tr r="I39" s="1"/>
      </tp>
      <tp t="s">
        <v>N/A</v>
        <stp/>
        <stp>OPEN_INT</stp>
        <stp>.OPEN251027P6.5</stp>
        <tr r="N31" s="2"/>
      </tp>
      <tp t="s">
        <v>N/A</v>
        <stp/>
        <stp>OPEN_INT</stp>
        <stp>.OPEN251027C6.5</stp>
        <tr r="N31" s="2"/>
      </tp>
      <tp t="s">
        <v>N/A</v>
        <stp/>
        <stp>OPEN_INT</stp>
        <stp>.OPEN251020P6.5</stp>
        <tr r="I31" s="2"/>
      </tp>
      <tp t="s">
        <v>N/A</v>
        <stp/>
        <stp>OPEN_INT</stp>
        <stp>.OPEN251020C6.5</stp>
        <tr r="I31" s="2"/>
      </tp>
      <tp t="s">
        <v>N/A</v>
        <stp/>
        <stp>OPEN_INT</stp>
        <stp>.OPEN251021P6.5</stp>
        <tr r="J31" s="2"/>
      </tp>
      <tp>
        <v>3123</v>
        <stp/>
        <stp>OPEN_INT</stp>
        <stp>.OPEN251121P7.5</stp>
        <tr r="D33" s="1"/>
        <tr r="D33" s="1"/>
        <tr r="S29" s="2"/>
        <tr r="S29" s="2"/>
      </tp>
      <tp t="s">
        <v>N/A</v>
        <stp/>
        <stp>OPEN_INT</stp>
        <stp>.OPEN251021C6.5</stp>
        <tr r="J31" s="2"/>
      </tp>
      <tp>
        <v>5943</v>
        <stp/>
        <stp>OPEN_INT</stp>
        <stp>.OPEN251121C7.5</stp>
        <tr r="D33" s="1"/>
        <tr r="D33" s="1"/>
        <tr r="S29" s="2"/>
        <tr r="S29" s="2"/>
      </tp>
      <tp t="s">
        <v>N/A</v>
        <stp/>
        <stp>OPEN_INT</stp>
        <stp>.OPEN251022P6.5</stp>
        <tr r="K31" s="2"/>
      </tp>
      <tp t="s">
        <v>N/A</v>
        <stp/>
        <stp>OPEN_INT</stp>
        <stp>.OPEN251022C6.5</stp>
        <tr r="K31" s="2"/>
      </tp>
      <tp t="s">
        <v>N/A</v>
        <stp/>
        <stp>OPEN_INT</stp>
        <stp>.OPEN251023P6.5</stp>
        <tr r="L31" s="2"/>
      </tp>
      <tp t="s">
        <v>N/A</v>
        <stp/>
        <stp>OPEN_INT</stp>
        <stp>.OPEN261120P7.5</stp>
        <tr r="V33" s="1"/>
      </tp>
      <tp>
        <v>1282</v>
        <stp/>
        <stp>OPEN_INT</stp>
        <stp>.OPEN260220P4.5</stp>
        <tr r="M39" s="1"/>
        <tr r="M39" s="1"/>
      </tp>
      <tp t="s">
        <v>N/A</v>
        <stp/>
        <stp>OPEN_INT</stp>
        <stp>.OPEN260320P5.5</stp>
        <tr r="N37" s="1"/>
      </tp>
      <tp>
        <v>1462</v>
        <stp/>
        <stp>OPEN_INT</stp>
        <stp>.OPEN260220C4.5</stp>
        <tr r="M39" s="1"/>
        <tr r="M39" s="1"/>
      </tp>
      <tp t="s">
        <v>N/A</v>
        <stp/>
        <stp>OPEN_INT</stp>
        <stp>.OPEN260320C5.5</stp>
        <tr r="N37" s="1"/>
      </tp>
      <tp t="s">
        <v>N/A</v>
        <stp/>
        <stp>OPEN_INT</stp>
        <stp>.OPEN251023C6.5</stp>
        <tr r="L31" s="2"/>
      </tp>
      <tp t="s">
        <v>N/A</v>
        <stp/>
        <stp>OPEN_INT</stp>
        <stp>.OPEN261120C7.5</stp>
        <tr r="V33" s="1"/>
      </tp>
      <tp t="s">
        <v>N/A</v>
        <stp/>
        <stp>OPEN_INT</stp>
        <stp>.OPEN251028P6.5</stp>
        <tr r="O31" s="2"/>
      </tp>
      <tp>
        <v>2670</v>
        <stp/>
        <stp>OPEN_INT</stp>
        <stp>.OPEN251128P7.5</stp>
        <tr r="E33" s="1"/>
        <tr r="E33" s="1"/>
        <tr r="T29" s="2"/>
        <tr r="T29" s="2"/>
      </tp>
      <tp t="s">
        <v>N/A</v>
        <stp/>
        <stp>OPEN_INT</stp>
        <stp>.OPEN251028C6.5</stp>
        <tr r="O31" s="2"/>
      </tp>
      <tp>
        <v>4119</v>
        <stp/>
        <stp>OPEN_INT</stp>
        <stp>.OPEN251128C7.5</stp>
        <tr r="E33" s="1"/>
        <tr r="E33" s="1"/>
        <tr r="T29" s="2"/>
        <tr r="T29" s="2"/>
      </tp>
      <tp t="s">
        <v>N/A</v>
        <stp/>
        <stp>OPEN_INT</stp>
        <stp>.OPEN251029P6.5</stp>
        <tr r="P31" s="2"/>
      </tp>
      <tp t="s">
        <v>N/A</v>
        <stp/>
        <stp>OPEN_INT</stp>
        <stp>.OPEN251029C6.5</stp>
        <tr r="P31" s="2"/>
      </tp>
      <tp t="s">
        <v>N/A</v>
        <stp/>
        <stp>OPEN_INT</stp>
        <stp>.OPEN251014P7.5</stp>
        <tr r="E29" s="2"/>
      </tp>
      <tp>
        <v>13909</v>
        <stp/>
        <stp>OPEN_INT</stp>
        <stp>.OPEN251114P6.5</stp>
        <tr r="C35" s="1"/>
        <tr r="C35" s="1"/>
        <tr r="BG52" s="5"/>
        <tr r="BG52" s="5"/>
        <tr r="BF52" s="1"/>
        <tr r="BF52" s="1"/>
        <tr r="BG51" s="5"/>
        <tr r="BG51" s="5"/>
        <tr r="BG7" s="5"/>
        <tr r="BG7" s="5"/>
        <tr r="BG9" s="5"/>
        <tr r="BG9" s="5"/>
        <tr r="BG11" s="5"/>
        <tr r="BG11" s="5"/>
        <tr r="BG43" s="5"/>
        <tr r="BG43" s="5"/>
        <tr r="BG41" s="5"/>
        <tr r="BG41" s="5"/>
        <tr r="BG17" s="5"/>
        <tr r="BG17" s="5"/>
        <tr r="BG37" s="5"/>
        <tr r="BG37" s="5"/>
        <tr r="BG21" s="5"/>
        <tr r="BG21" s="5"/>
        <tr r="BG33" s="5"/>
        <tr r="BG33" s="5"/>
        <tr r="BG25" s="5"/>
        <tr r="BG25" s="5"/>
        <tr r="BG27" s="5"/>
        <tr r="BG27" s="5"/>
        <tr r="BF51" s="1"/>
        <tr r="BF51" s="1"/>
        <tr r="BF7" s="1"/>
        <tr r="BF7" s="1"/>
        <tr r="BF47" s="1"/>
        <tr r="BF47" s="1"/>
        <tr r="BF45" s="1"/>
        <tr r="BF45" s="1"/>
        <tr r="BF13" s="1"/>
        <tr r="BF13" s="1"/>
        <tr r="BF41" s="1"/>
        <tr r="BF41" s="1"/>
        <tr r="BF17" s="1"/>
        <tr r="BF17" s="1"/>
        <tr r="BF37" s="1"/>
        <tr r="BF37" s="1"/>
        <tr r="BF35" s="1"/>
        <tr r="BF35" s="1"/>
        <tr r="BF23" s="1"/>
        <tr r="BF23" s="1"/>
        <tr r="BF25" s="1"/>
        <tr r="BF25" s="1"/>
        <tr r="BF29" s="1"/>
        <tr r="BF29" s="1"/>
        <tr r="BG6" s="5"/>
        <tr r="BG6" s="5"/>
        <tr r="BG48" s="5"/>
        <tr r="BG48" s="5"/>
        <tr r="BG10" s="5"/>
        <tr r="BG10" s="5"/>
        <tr r="BG44" s="5"/>
        <tr r="BG44" s="5"/>
        <tr r="BG42" s="5"/>
        <tr r="BG42" s="5"/>
        <tr r="BG16" s="5"/>
        <tr r="BG16" s="5"/>
        <tr r="BG38" s="5"/>
        <tr r="BG38" s="5"/>
        <tr r="BG36" s="5"/>
        <tr r="BG36" s="5"/>
        <tr r="BG22" s="5"/>
        <tr r="BG22" s="5"/>
        <tr r="BG32" s="5"/>
        <tr r="BG32" s="5"/>
        <tr r="BG26" s="5"/>
        <tr r="BG26" s="5"/>
        <tr r="BG28" s="5"/>
        <tr r="BG28" s="5"/>
        <tr r="BF50" s="1"/>
        <tr r="BF50" s="1"/>
        <tr r="BF8" s="1"/>
        <tr r="BF8" s="1"/>
        <tr r="BF46" s="1"/>
        <tr r="BF46" s="1"/>
        <tr r="BF12" s="1"/>
        <tr r="BF12" s="1"/>
        <tr r="BF14" s="1"/>
        <tr r="BF14" s="1"/>
        <tr r="BF40" s="1"/>
        <tr r="BF40" s="1"/>
        <tr r="BF18" s="1"/>
        <tr r="BF18" s="1"/>
        <tr r="BF36" s="1"/>
        <tr r="BF36" s="1"/>
        <tr r="BF34" s="1"/>
        <tr r="BF34" s="1"/>
        <tr r="BF32" s="1"/>
        <tr r="BF32" s="1"/>
        <tr r="BF30" s="1"/>
        <tr r="BF30" s="1"/>
        <tr r="BF28" s="1"/>
        <tr r="BF28" s="1"/>
        <tr r="BG50" s="5"/>
        <tr r="BG50" s="5"/>
        <tr r="BG8" s="5"/>
        <tr r="BG8" s="5"/>
        <tr r="BG46" s="5"/>
        <tr r="BG46" s="5"/>
        <tr r="BG12" s="5"/>
        <tr r="BG12" s="5"/>
        <tr r="BG14" s="5"/>
        <tr r="BG14" s="5"/>
        <tr r="BG40" s="5"/>
        <tr r="BG40" s="5"/>
        <tr r="BG18" s="5"/>
        <tr r="BG18" s="5"/>
        <tr r="BG20" s="5"/>
        <tr r="BG20" s="5"/>
        <tr r="BG34" s="5"/>
        <tr r="BG34" s="5"/>
        <tr r="BG24" s="5"/>
        <tr r="BG24" s="5"/>
        <tr r="BG30" s="5"/>
        <tr r="BG30" s="5"/>
        <tr r="BF6" s="1"/>
        <tr r="BF6" s="1"/>
        <tr r="BF48" s="1"/>
        <tr r="BF48" s="1"/>
        <tr r="BF10" s="1"/>
        <tr r="BF10" s="1"/>
        <tr r="BF44" s="1"/>
        <tr r="BF44" s="1"/>
        <tr r="BF42" s="1"/>
        <tr r="BF42" s="1"/>
        <tr r="BF16" s="1"/>
        <tr r="BF16" s="1"/>
        <tr r="BF38" s="1"/>
        <tr r="BF38" s="1"/>
        <tr r="BF20" s="1"/>
        <tr r="BF20" s="1"/>
        <tr r="BF22" s="1"/>
        <tr r="BF22" s="1"/>
        <tr r="BF24" s="1"/>
        <tr r="BF24" s="1"/>
        <tr r="BF26" s="1"/>
        <tr r="BF26" s="1"/>
        <tr r="BG5" s="5"/>
        <tr r="BG5" s="5"/>
        <tr r="BG49" s="5"/>
        <tr r="BG49" s="5"/>
        <tr r="BG47" s="5"/>
        <tr r="BG47" s="5"/>
        <tr r="BG45" s="5"/>
        <tr r="BG45" s="5"/>
        <tr r="BG13" s="5"/>
        <tr r="BG13" s="5"/>
        <tr r="BG15" s="5"/>
        <tr r="BG15" s="5"/>
        <tr r="BG39" s="5"/>
        <tr r="BG39" s="5"/>
        <tr r="BG19" s="5"/>
        <tr r="BG19" s="5"/>
        <tr r="BG35" s="5"/>
        <tr r="BG35" s="5"/>
        <tr r="BG23" s="5"/>
        <tr r="BG23" s="5"/>
        <tr r="BG31" s="5"/>
        <tr r="BG31" s="5"/>
        <tr r="BG29" s="5"/>
        <tr r="BG29" s="5"/>
        <tr r="BF5" s="1"/>
        <tr r="BF5" s="1"/>
        <tr r="BF49" s="1"/>
        <tr r="BF49" s="1"/>
        <tr r="BF9" s="1"/>
        <tr r="BF9" s="1"/>
        <tr r="BF11" s="1"/>
        <tr r="BF11" s="1"/>
        <tr r="BF43" s="1"/>
        <tr r="BF43" s="1"/>
        <tr r="BF15" s="1"/>
        <tr r="BF15" s="1"/>
        <tr r="BF39" s="1"/>
        <tr r="BF39" s="1"/>
        <tr r="BF19" s="1"/>
        <tr r="BF19" s="1"/>
        <tr r="BF21" s="1"/>
        <tr r="BF21" s="1"/>
        <tr r="BF33" s="1"/>
        <tr r="BF33" s="1"/>
        <tr r="BF31" s="1"/>
        <tr r="BF31" s="1"/>
        <tr r="BF27" s="1"/>
        <tr r="BF27" s="1"/>
      </tp>
      <tp t="s">
        <v>N/A</v>
        <stp/>
        <stp>OPEN_INT</stp>
        <stp>.OPEN260417P3.5</stp>
        <tr r="O41" s="1"/>
      </tp>
      <tp t="s">
        <v>N/A</v>
        <stp/>
        <stp>OPEN_INT</stp>
        <stp>.OPEN260717P0.5</stp>
        <tr r="R47" s="1"/>
      </tp>
      <tp t="s">
        <v>N/A</v>
        <stp/>
        <stp>OPEN_INT</stp>
        <stp>.OPEN260417C3.5</stp>
        <tr r="O41" s="1"/>
      </tp>
      <tp t="s">
        <v>N/A</v>
        <stp/>
        <stp>OPEN_INT</stp>
        <stp>.OPEN260717C0.5</stp>
        <tr r="R47" s="1"/>
      </tp>
      <tp t="s">
        <v>N/A</v>
        <stp/>
        <stp>OPEN_INT</stp>
        <stp>.OPEN251014C7.5</stp>
        <tr r="E29" s="2"/>
      </tp>
      <tp>
        <v>8407</v>
        <stp/>
        <stp>OPEN_INT</stp>
        <stp>.OPEN251114C6.5</stp>
        <tr r="C35" s="1"/>
        <tr r="C35" s="1"/>
        <tr r="BG52" s="5"/>
        <tr r="BG52" s="5"/>
        <tr r="BF52" s="1"/>
        <tr r="BF52" s="1"/>
        <tr r="BG51" s="5"/>
        <tr r="BG51" s="5"/>
        <tr r="BG7" s="5"/>
        <tr r="BG7" s="5"/>
        <tr r="BG9" s="5"/>
        <tr r="BG9" s="5"/>
        <tr r="BG11" s="5"/>
        <tr r="BG11" s="5"/>
        <tr r="BG43" s="5"/>
        <tr r="BG43" s="5"/>
        <tr r="BG41" s="5"/>
        <tr r="BG41" s="5"/>
        <tr r="BG17" s="5"/>
        <tr r="BG17" s="5"/>
        <tr r="BG37" s="5"/>
        <tr r="BG37" s="5"/>
        <tr r="BG21" s="5"/>
        <tr r="BG21" s="5"/>
        <tr r="BG33" s="5"/>
        <tr r="BG33" s="5"/>
        <tr r="BG25" s="5"/>
        <tr r="BG25" s="5"/>
        <tr r="BG27" s="5"/>
        <tr r="BG27" s="5"/>
        <tr r="BF51" s="1"/>
        <tr r="BF51" s="1"/>
        <tr r="BF7" s="1"/>
        <tr r="BF7" s="1"/>
        <tr r="BF47" s="1"/>
        <tr r="BF47" s="1"/>
        <tr r="BF45" s="1"/>
        <tr r="BF45" s="1"/>
        <tr r="BF13" s="1"/>
        <tr r="BF13" s="1"/>
        <tr r="BF41" s="1"/>
        <tr r="BF41" s="1"/>
        <tr r="BF17" s="1"/>
        <tr r="BF17" s="1"/>
        <tr r="BF37" s="1"/>
        <tr r="BF37" s="1"/>
        <tr r="BF35" s="1"/>
        <tr r="BF35" s="1"/>
        <tr r="BF23" s="1"/>
        <tr r="BF23" s="1"/>
        <tr r="BF25" s="1"/>
        <tr r="BF25" s="1"/>
        <tr r="BF29" s="1"/>
        <tr r="BF29" s="1"/>
        <tr r="BG6" s="5"/>
        <tr r="BG6" s="5"/>
        <tr r="BG48" s="5"/>
        <tr r="BG48" s="5"/>
        <tr r="BG10" s="5"/>
        <tr r="BG10" s="5"/>
        <tr r="BG44" s="5"/>
        <tr r="BG44" s="5"/>
        <tr r="BG42" s="5"/>
        <tr r="BG42" s="5"/>
        <tr r="BG16" s="5"/>
        <tr r="BG16" s="5"/>
        <tr r="BG38" s="5"/>
        <tr r="BG38" s="5"/>
        <tr r="BG36" s="5"/>
        <tr r="BG36" s="5"/>
        <tr r="BG22" s="5"/>
        <tr r="BG22" s="5"/>
        <tr r="BG32" s="5"/>
        <tr r="BG32" s="5"/>
        <tr r="BG26" s="5"/>
        <tr r="BG26" s="5"/>
        <tr r="BG28" s="5"/>
        <tr r="BG28" s="5"/>
        <tr r="BF50" s="1"/>
        <tr r="BF50" s="1"/>
        <tr r="BF8" s="1"/>
        <tr r="BF8" s="1"/>
        <tr r="BF46" s="1"/>
        <tr r="BF46" s="1"/>
        <tr r="BF12" s="1"/>
        <tr r="BF12" s="1"/>
        <tr r="BF14" s="1"/>
        <tr r="BF14" s="1"/>
        <tr r="BF40" s="1"/>
        <tr r="BF40" s="1"/>
        <tr r="BF18" s="1"/>
        <tr r="BF18" s="1"/>
        <tr r="BF36" s="1"/>
        <tr r="BF36" s="1"/>
        <tr r="BF34" s="1"/>
        <tr r="BF34" s="1"/>
        <tr r="BF32" s="1"/>
        <tr r="BF32" s="1"/>
        <tr r="BF30" s="1"/>
        <tr r="BF30" s="1"/>
        <tr r="BF28" s="1"/>
        <tr r="BF28" s="1"/>
        <tr r="BG50" s="5"/>
        <tr r="BG50" s="5"/>
        <tr r="BG8" s="5"/>
        <tr r="BG8" s="5"/>
        <tr r="BG46" s="5"/>
        <tr r="BG46" s="5"/>
        <tr r="BG12" s="5"/>
        <tr r="BG12" s="5"/>
        <tr r="BG14" s="5"/>
        <tr r="BG14" s="5"/>
        <tr r="BG40" s="5"/>
        <tr r="BG40" s="5"/>
        <tr r="BG18" s="5"/>
        <tr r="BG18" s="5"/>
        <tr r="BG20" s="5"/>
        <tr r="BG20" s="5"/>
        <tr r="BG34" s="5"/>
        <tr r="BG34" s="5"/>
        <tr r="BG24" s="5"/>
        <tr r="BG24" s="5"/>
        <tr r="BG30" s="5"/>
        <tr r="BG30" s="5"/>
        <tr r="BF6" s="1"/>
        <tr r="BF6" s="1"/>
        <tr r="BF48" s="1"/>
        <tr r="BF48" s="1"/>
        <tr r="BF10" s="1"/>
        <tr r="BF10" s="1"/>
        <tr r="BF44" s="1"/>
        <tr r="BF44" s="1"/>
        <tr r="BF42" s="1"/>
        <tr r="BF42" s="1"/>
        <tr r="BF16" s="1"/>
        <tr r="BF16" s="1"/>
        <tr r="BF38" s="1"/>
        <tr r="BF38" s="1"/>
        <tr r="BF20" s="1"/>
        <tr r="BF20" s="1"/>
        <tr r="BF22" s="1"/>
        <tr r="BF22" s="1"/>
        <tr r="BF24" s="1"/>
        <tr r="BF24" s="1"/>
        <tr r="BF26" s="1"/>
        <tr r="BF26" s="1"/>
        <tr r="BG5" s="5"/>
        <tr r="BG5" s="5"/>
        <tr r="BG49" s="5"/>
        <tr r="BG49" s="5"/>
        <tr r="BG47" s="5"/>
        <tr r="BG47" s="5"/>
        <tr r="BG45" s="5"/>
        <tr r="BG45" s="5"/>
        <tr r="BG13" s="5"/>
        <tr r="BG13" s="5"/>
        <tr r="BG15" s="5"/>
        <tr r="BG15" s="5"/>
        <tr r="BG39" s="5"/>
        <tr r="BG39" s="5"/>
        <tr r="BG19" s="5"/>
        <tr r="BG19" s="5"/>
        <tr r="BG35" s="5"/>
        <tr r="BG35" s="5"/>
        <tr r="BG23" s="5"/>
        <tr r="BG23" s="5"/>
        <tr r="BG31" s="5"/>
        <tr r="BG31" s="5"/>
        <tr r="BG29" s="5"/>
        <tr r="BG29" s="5"/>
        <tr r="BF5" s="1"/>
        <tr r="BF5" s="1"/>
        <tr r="BF49" s="1"/>
        <tr r="BF49" s="1"/>
        <tr r="BF9" s="1"/>
        <tr r="BF9" s="1"/>
        <tr r="BF11" s="1"/>
        <tr r="BF11" s="1"/>
        <tr r="BF43" s="1"/>
        <tr r="BF43" s="1"/>
        <tr r="BF15" s="1"/>
        <tr r="BF15" s="1"/>
        <tr r="BF39" s="1"/>
        <tr r="BF39" s="1"/>
        <tr r="BF19" s="1"/>
        <tr r="BF19" s="1"/>
        <tr r="BF21" s="1"/>
        <tr r="BF21" s="1"/>
        <tr r="BF33" s="1"/>
        <tr r="BF33" s="1"/>
        <tr r="BF31" s="1"/>
        <tr r="BF31" s="1"/>
        <tr r="BF27" s="1"/>
        <tr r="BF27" s="1"/>
      </tp>
      <tp t="s">
        <v>N/A</v>
        <stp/>
        <stp>OPEN_INT</stp>
        <stp>.OPEN251015P7.5</stp>
        <tr r="F29" s="2"/>
      </tp>
      <tp t="s">
        <v>N/A</v>
        <stp/>
        <stp>OPEN_INT</stp>
        <stp>.OPEN261016P7.5</stp>
        <tr r="U33" s="1"/>
      </tp>
      <tp t="s">
        <v>N/A</v>
        <stp/>
        <stp>OPEN_INT</stp>
        <stp>.OPEN260116P6.5</stp>
        <tr r="L35" s="1"/>
        <tr r="W31" s="2"/>
      </tp>
      <tp t="s">
        <v>N/A</v>
        <stp/>
        <stp>OPEN_INT</stp>
        <stp>.OPEN260116C6.5</stp>
        <tr r="L35" s="1"/>
        <tr r="W31" s="2"/>
      </tp>
      <tp t="s">
        <v>N/A</v>
        <stp/>
        <stp>OPEN_INT</stp>
        <stp>.OPEN251015C7.5</stp>
        <tr r="F29" s="2"/>
      </tp>
      <tp t="s">
        <v>N/A</v>
        <stp/>
        <stp>OPEN_INT</stp>
        <stp>.OPEN261016C7.5</stp>
        <tr r="U33" s="1"/>
      </tp>
      <tp t="s">
        <v>N/A</v>
        <stp/>
        <stp>OPEN_INT</stp>
        <stp>.OPEN251016P7.5</stp>
        <tr r="G29" s="2"/>
      </tp>
      <tp t="s">
        <v>N/A</v>
        <stp/>
        <stp>OPEN_INT</stp>
        <stp>.OPEN260515P2.5</stp>
        <tr r="P43" s="1"/>
      </tp>
      <tp t="s">
        <v>N/A</v>
        <stp/>
        <stp>OPEN_INT</stp>
        <stp>.OPEN260515C2.5</stp>
        <tr r="P43" s="1"/>
      </tp>
      <tp t="s">
        <v>N/A</v>
        <stp/>
        <stp>OPEN_INT</stp>
        <stp>.OPEN251016C7.5</stp>
        <tr r="G29" s="2"/>
      </tp>
      <tp>
        <v>88057</v>
        <stp/>
        <stp>OPEN_INT</stp>
        <stp>.OPEN251017P7.5</stp>
        <tr r="H29" s="2"/>
        <tr r="H29" s="2"/>
      </tp>
      <tp>
        <v>34950</v>
        <stp/>
        <stp>OPEN_INT</stp>
        <stp>.OPEN251017C7.5</stp>
        <tr r="H29" s="2"/>
        <tr r="H29" s="2"/>
      </tp>
      <tp>
        <v>76646</v>
        <stp/>
        <stp>OPEN_INT</stp>
        <stp>.OPEN251010P7.5</stp>
        <tr r="C29" s="2"/>
        <tr r="C29" s="2"/>
      </tp>
      <tp>
        <v>4738</v>
        <stp/>
        <stp>OPEN_INT</stp>
        <stp>.OPEN251010C7.5</stp>
        <tr r="C29" s="2"/>
        <tr r="C29" s="2"/>
      </tp>
      <tp>
        <v>192</v>
        <stp/>
        <stp>OPEN_INT</stp>
        <stp>.OPEN251212P5.5</stp>
        <tr r="G37" s="1"/>
        <tr r="G37" s="1"/>
      </tp>
      <tp>
        <v>9</v>
        <stp/>
        <stp>OPEN_INT</stp>
        <stp>.OPEN251212C5.5</stp>
        <tr r="G37" s="1"/>
        <tr r="G37" s="1"/>
      </tp>
      <tp t="s">
        <v>N/A</v>
        <stp/>
        <stp>OPEN_INT</stp>
        <stp>.OPEN251013P7.5</stp>
        <tr r="D29" s="2"/>
      </tp>
      <tp t="s">
        <v>N/A</v>
        <stp/>
        <stp>OPEN_INT</stp>
        <stp>.OPEN251013C7.5</stp>
        <tr r="D29" s="2"/>
      </tp>
      <tp t="s">
        <v>N/A</v>
        <stp/>
        <stp>OPEN_INT</stp>
        <stp>.OPEN251219P5.5</stp>
        <tr r="H37" s="1"/>
        <tr r="U33" s="2"/>
      </tp>
      <tp t="s">
        <v>N/A</v>
        <stp/>
        <stp>OPEN_INT</stp>
        <stp>.OPEN251219C5.5</stp>
        <tr r="H37" s="1"/>
        <tr r="U33" s="2"/>
      </tp>
      <tp t="s">
        <v>N/A</v>
        <stp/>
        <stp>OPEN_INT</stp>
        <stp>.OPEN260619P1.5</stp>
        <tr r="Q45" s="1"/>
      </tp>
      <tp t="s">
        <v>N/A</v>
        <stp/>
        <stp>OPEN_INT</stp>
        <stp>.OPEN260619C1.5</stp>
        <tr r="Q45" s="1"/>
      </tp>
      <tp t="s">
        <v>N/A</v>
        <stp/>
        <stp>OPEN_INT</stp>
        <stp>.OPEN261218P5.5</stp>
        <tr r="W37" s="1"/>
      </tp>
      <tp t="s">
        <v>N/A</v>
        <stp/>
        <stp>OPEN_INT</stp>
        <stp>.OPEN261218C5.5</stp>
        <tr r="W37" s="1"/>
      </tp>
      <tp>
        <v>503</v>
        <stp/>
        <stp>OPEN_INT</stp>
        <stp>.OPEN251205P5.5</stp>
        <tr r="F37" s="1"/>
        <tr r="F37" s="1"/>
      </tp>
      <tp>
        <v>36</v>
        <stp/>
        <stp>OPEN_INT</stp>
        <stp>.OPEN251205C5.5</stp>
        <tr r="F37" s="1"/>
        <tr r="F37" s="1"/>
      </tp>
      <tp t="s">
        <v>N/A</v>
        <stp/>
        <stp>OPEN_INT</stp>
        <stp>.OPEN260102P6.5</stp>
        <tr r="J35" s="1"/>
      </tp>
      <tp t="s">
        <v>N/A</v>
        <stp/>
        <stp>OPEN_INT</stp>
        <stp>.OPEN260102C6.5</stp>
        <tr r="J35" s="1"/>
      </tp>
      <tp t="s">
        <v>N/A</v>
        <stp/>
        <stp>OPEN_INT</stp>
        <stp>.OPEN251009P7.5</stp>
        <tr r="B29" s="2"/>
      </tp>
      <tp t="s">
        <v>N/A</v>
        <stp/>
        <stp>OPEN_INT</stp>
        <stp>.OPEN251009C7.5</stp>
        <tr r="B29" s="2"/>
      </tp>
      <tp t="s">
        <v>N/A</v>
        <stp/>
        <stp>OPEN_INT</stp>
        <stp>.OPEN260109P6.5</stp>
        <tr r="K35" s="1"/>
      </tp>
      <tp t="s">
        <v>N/A</v>
        <stp/>
        <stp>OPEN_INT</stp>
        <stp>.OPEN260109C6.5</stp>
        <tr r="K35" s="1"/>
      </tp>
      <tp t="s">
        <v>N/A</v>
        <stp/>
        <stp>OPEN_INT</stp>
        <stp>.OPEN251030P7.5</stp>
        <tr r="Q29" s="2"/>
      </tp>
      <tp t="s">
        <v>N/A</v>
        <stp/>
        <stp>OPEN_INT</stp>
        <stp>.OPEN251030C7.5</stp>
        <tr r="Q29" s="2"/>
      </tp>
      <tp>
        <v>14355</v>
        <stp/>
        <stp>OPEN_INT</stp>
        <stp>.OPEN251031P7.5</stp>
        <tr r="R29" s="2"/>
        <tr r="R29" s="2"/>
      </tp>
      <tp t="s">
        <v>N/A</v>
        <stp/>
        <stp>OPEN_INT</stp>
        <stp>.OPEN251231P5.5</stp>
        <tr r="V33" s="2"/>
      </tp>
      <tp>
        <v>27672</v>
        <stp/>
        <stp>OPEN_INT</stp>
        <stp>.OPEN251031C7.5</stp>
        <tr r="R29" s="2"/>
        <tr r="R29" s="2"/>
      </tp>
      <tp t="s">
        <v>N/A</v>
        <stp/>
        <stp>OPEN_INT</stp>
        <stp>.OPEN251231C5.5</stp>
        <tr r="V33" s="2"/>
      </tp>
      <tp>
        <v>11084</v>
        <stp/>
        <stp>OPEN_INT</stp>
        <stp>.OPEN251024P7.5</stp>
        <tr r="M29" s="2"/>
        <tr r="M29" s="2"/>
      </tp>
      <tp>
        <v>37318</v>
        <stp/>
        <stp>OPEN_INT</stp>
        <stp>.OPEN251024C7.5</stp>
        <tr r="M29" s="2"/>
        <tr r="M29" s="2"/>
      </tp>
      <tp>
        <v>105</v>
        <stp/>
        <stp>OPEN_INT</stp>
        <stp>.OPEN251226P5.5</stp>
        <tr r="I37" s="1"/>
        <tr r="I37" s="1"/>
      </tp>
      <tp>
        <v>176</v>
        <stp/>
        <stp>OPEN_INT</stp>
        <stp>.OPEN251226C5.5</stp>
        <tr r="I37" s="1"/>
        <tr r="I37" s="1"/>
      </tp>
      <tp t="s">
        <v>N/A</v>
        <stp/>
        <stp>OPEN_INT</stp>
        <stp>.OPEN251027P7.5</stp>
        <tr r="N29" s="2"/>
      </tp>
      <tp t="s">
        <v>N/A</v>
        <stp/>
        <stp>OPEN_INT</stp>
        <stp>.OPEN251027C7.5</stp>
        <tr r="N29" s="2"/>
      </tp>
      <tp t="s">
        <v>N/A</v>
        <stp/>
        <stp>OPEN_INT</stp>
        <stp>.OPEN251020P7.5</stp>
        <tr r="I29" s="2"/>
      </tp>
      <tp t="s">
        <v>N/A</v>
        <stp/>
        <stp>OPEN_INT</stp>
        <stp>.OPEN251020C7.5</stp>
        <tr r="I29" s="2"/>
      </tp>
      <tp t="s">
        <v>N/A</v>
        <stp/>
        <stp>OPEN_INT</stp>
        <stp>.OPEN251021P7.5</stp>
        <tr r="J29" s="2"/>
      </tp>
      <tp>
        <v>3199</v>
        <stp/>
        <stp>OPEN_INT</stp>
        <stp>.OPEN251121P6.5</stp>
        <tr r="D35" s="1"/>
        <tr r="D35" s="1"/>
        <tr r="S31" s="2"/>
        <tr r="S31" s="2"/>
      </tp>
      <tp t="s">
        <v>N/A</v>
        <stp/>
        <stp>OPEN_INT</stp>
        <stp>.OPEN251021C7.5</stp>
        <tr r="J29" s="2"/>
      </tp>
      <tp>
        <v>1388</v>
        <stp/>
        <stp>OPEN_INT</stp>
        <stp>.OPEN251121C6.5</stp>
        <tr r="D35" s="1"/>
        <tr r="D35" s="1"/>
        <tr r="S31" s="2"/>
        <tr r="S31" s="2"/>
      </tp>
      <tp t="s">
        <v>N/A</v>
        <stp/>
        <stp>OPEN_INT</stp>
        <stp>.OPEN251022P7.5</stp>
        <tr r="K29" s="2"/>
      </tp>
      <tp t="s">
        <v>N/A</v>
        <stp/>
        <stp>OPEN_INT</stp>
        <stp>.OPEN251022C7.5</stp>
        <tr r="K29" s="2"/>
      </tp>
      <tp t="s">
        <v>N/A</v>
        <stp/>
        <stp>OPEN_INT</stp>
        <stp>.OPEN251023P7.5</stp>
        <tr r="L29" s="2"/>
      </tp>
      <tp t="s">
        <v>N/A</v>
        <stp/>
        <stp>OPEN_INT</stp>
        <stp>.OPEN261120P6.5</stp>
        <tr r="V35" s="1"/>
      </tp>
      <tp>
        <v>1465</v>
        <stp/>
        <stp>OPEN_INT</stp>
        <stp>.OPEN260220P5.5</stp>
        <tr r="M37" s="1"/>
        <tr r="M37" s="1"/>
      </tp>
      <tp t="s">
        <v>N/A</v>
        <stp/>
        <stp>OPEN_INT</stp>
        <stp>.OPEN260320P4.5</stp>
        <tr r="N39" s="1"/>
      </tp>
      <tp>
        <v>1659</v>
        <stp/>
        <stp>OPEN_INT</stp>
        <stp>.OPEN260220C5.5</stp>
        <tr r="M37" s="1"/>
        <tr r="M37" s="1"/>
      </tp>
      <tp t="s">
        <v>N/A</v>
        <stp/>
        <stp>OPEN_INT</stp>
        <stp>.OPEN260320C4.5</stp>
        <tr r="N39" s="1"/>
      </tp>
      <tp t="s">
        <v>N/A</v>
        <stp/>
        <stp>OPEN_INT</stp>
        <stp>.OPEN251023C7.5</stp>
        <tr r="L29" s="2"/>
      </tp>
      <tp t="s">
        <v>N/A</v>
        <stp/>
        <stp>OPEN_INT</stp>
        <stp>.OPEN261120C6.5</stp>
        <tr r="V35" s="1"/>
      </tp>
      <tp t="s">
        <v>N/A</v>
        <stp/>
        <stp>OPEN_INT</stp>
        <stp>.OPEN251028P7.5</stp>
        <tr r="O29" s="2"/>
      </tp>
      <tp>
        <v>1166</v>
        <stp/>
        <stp>OPEN_INT</stp>
        <stp>.OPEN251128P6.5</stp>
        <tr r="E35" s="1"/>
        <tr r="E35" s="1"/>
        <tr r="T31" s="2"/>
        <tr r="T31" s="2"/>
      </tp>
      <tp t="s">
        <v>N/A</v>
        <stp/>
        <stp>OPEN_INT</stp>
        <stp>.OPEN251028C7.5</stp>
        <tr r="O29" s="2"/>
      </tp>
      <tp>
        <v>1251</v>
        <stp/>
        <stp>OPEN_INT</stp>
        <stp>.OPEN251128C6.5</stp>
        <tr r="E35" s="1"/>
        <tr r="E35" s="1"/>
        <tr r="T31" s="2"/>
        <tr r="T31" s="2"/>
      </tp>
      <tp t="s">
        <v>N/A</v>
        <stp/>
        <stp>OPEN_INT</stp>
        <stp>.OPEN251029P7.5</stp>
        <tr r="P29" s="2"/>
      </tp>
      <tp t="s">
        <v>N/A</v>
        <stp/>
        <stp>OPEN_INT</stp>
        <stp>.OPEN251029C7.5</stp>
        <tr r="P29" s="2"/>
      </tp>
      <tp t="s">
        <v>N/A</v>
        <stp/>
        <stp>OPEN_INT</stp>
        <stp>.OPEN251014P4.5</stp>
        <tr r="E35" s="2"/>
      </tp>
      <tp>
        <v>6423</v>
        <stp/>
        <stp>OPEN_INT</stp>
        <stp>.OPEN251114P5.5</stp>
        <tr r="BH52" s="1"/>
        <tr r="BH52" s="1"/>
        <tr r="BI52" s="5"/>
        <tr r="BI52" s="5"/>
        <tr r="C37" s="1"/>
        <tr r="C37" s="1"/>
        <tr r="BI5" s="5"/>
        <tr r="BI5" s="5"/>
        <tr r="BI49" s="5"/>
        <tr r="BI49" s="5"/>
        <tr r="BI9" s="5"/>
        <tr r="BI9" s="5"/>
        <tr r="BI45" s="5"/>
        <tr r="BI45" s="5"/>
        <tr r="BI43" s="5"/>
        <tr r="BI43" s="5"/>
        <tr r="BI15" s="5"/>
        <tr r="BI15" s="5"/>
        <tr r="BI17" s="5"/>
        <tr r="BI17" s="5"/>
        <tr r="BI19" s="5"/>
        <tr r="BI19" s="5"/>
        <tr r="BI21" s="5"/>
        <tr r="BI21" s="5"/>
        <tr r="BI23" s="5"/>
        <tr r="BI23" s="5"/>
        <tr r="BI31" s="5"/>
        <tr r="BI31" s="5"/>
        <tr r="BI29" s="5"/>
        <tr r="BI29" s="5"/>
        <tr r="BH51" s="1"/>
        <tr r="BH51" s="1"/>
        <tr r="BH7" s="1"/>
        <tr r="BH7" s="1"/>
        <tr r="BH9" s="1"/>
        <tr r="BH9" s="1"/>
        <tr r="BH11" s="1"/>
        <tr r="BH11" s="1"/>
        <tr r="BH43" s="1"/>
        <tr r="BH43" s="1"/>
        <tr r="BH41" s="1"/>
        <tr r="BH41" s="1"/>
        <tr r="BH17" s="1"/>
        <tr r="BH17" s="1"/>
        <tr r="BH19" s="1"/>
        <tr r="BH19" s="1"/>
        <tr r="BH35" s="1"/>
        <tr r="BH35" s="1"/>
        <tr r="BH33" s="1"/>
        <tr r="BH33" s="1"/>
        <tr r="BH31" s="1"/>
        <tr r="BH31" s="1"/>
        <tr r="BH27" s="1"/>
        <tr r="BH27" s="1"/>
        <tr r="BI6" s="5"/>
        <tr r="BI6" s="5"/>
        <tr r="BI8" s="5"/>
        <tr r="BI8" s="5"/>
        <tr r="BI46" s="5"/>
        <tr r="BI46" s="5"/>
        <tr r="BI12" s="5"/>
        <tr r="BI12" s="5"/>
        <tr r="BI14" s="5"/>
        <tr r="BI14" s="5"/>
        <tr r="BI40" s="5"/>
        <tr r="BI40" s="5"/>
        <tr r="BI18" s="5"/>
        <tr r="BI18" s="5"/>
        <tr r="BI20" s="5"/>
        <tr r="BI20" s="5"/>
        <tr r="BI22" s="5"/>
        <tr r="BI22" s="5"/>
        <tr r="BI32" s="5"/>
        <tr r="BI32" s="5"/>
        <tr r="BI30" s="5"/>
        <tr r="BI30" s="5"/>
        <tr r="BI28" s="5"/>
        <tr r="BI28" s="5"/>
        <tr r="BH6" s="1"/>
        <tr r="BH6" s="1"/>
        <tr r="BH8" s="1"/>
        <tr r="BH8" s="1"/>
        <tr r="BH46" s="1"/>
        <tr r="BH46" s="1"/>
        <tr r="BH44" s="1"/>
        <tr r="BH44" s="1"/>
        <tr r="BH42" s="1"/>
        <tr r="BH42" s="1"/>
        <tr r="BH16" s="1"/>
        <tr r="BH16" s="1"/>
        <tr r="BH18" s="1"/>
        <tr r="BH18" s="1"/>
        <tr r="BH36" s="1"/>
        <tr r="BH36" s="1"/>
        <tr r="BH22" s="1"/>
        <tr r="BH22" s="1"/>
        <tr r="BH32" s="1"/>
        <tr r="BH32" s="1"/>
        <tr r="BH26" s="1"/>
        <tr r="BH26" s="1"/>
        <tr r="BH28" s="1"/>
        <tr r="BH28" s="1"/>
        <tr r="BI50" s="5"/>
        <tr r="BI50" s="5"/>
        <tr r="BI48" s="5"/>
        <tr r="BI48" s="5"/>
        <tr r="BI10" s="5"/>
        <tr r="BI10" s="5"/>
        <tr r="BI44" s="5"/>
        <tr r="BI44" s="5"/>
        <tr r="BI42" s="5"/>
        <tr r="BI42" s="5"/>
        <tr r="BI16" s="5"/>
        <tr r="BI16" s="5"/>
        <tr r="BI38" s="5"/>
        <tr r="BI38" s="5"/>
        <tr r="BI36" s="5"/>
        <tr r="BI36" s="5"/>
        <tr r="BI34" s="5"/>
        <tr r="BI34" s="5"/>
        <tr r="BI24" s="5"/>
        <tr r="BI24" s="5"/>
        <tr r="BI26" s="5"/>
        <tr r="BI26" s="5"/>
        <tr r="BH50" s="1"/>
        <tr r="BH50" s="1"/>
        <tr r="BH48" s="1"/>
        <tr r="BH48" s="1"/>
        <tr r="BH10" s="1"/>
        <tr r="BH10" s="1"/>
        <tr r="BH12" s="1"/>
        <tr r="BH12" s="1"/>
        <tr r="BH14" s="1"/>
        <tr r="BH14" s="1"/>
        <tr r="BH40" s="1"/>
        <tr r="BH40" s="1"/>
        <tr r="BH38" s="1"/>
        <tr r="BH38" s="1"/>
        <tr r="BH20" s="1"/>
        <tr r="BH20" s="1"/>
        <tr r="BH34" s="1"/>
        <tr r="BH34" s="1"/>
        <tr r="BH24" s="1"/>
        <tr r="BH24" s="1"/>
        <tr r="BH30" s="1"/>
        <tr r="BH30" s="1"/>
        <tr r="BI51" s="5"/>
        <tr r="BI51" s="5"/>
        <tr r="BI7" s="5"/>
        <tr r="BI7" s="5"/>
        <tr r="BI47" s="5"/>
        <tr r="BI47" s="5"/>
        <tr r="BI11" s="5"/>
        <tr r="BI11" s="5"/>
        <tr r="BI13" s="5"/>
        <tr r="BI13" s="5"/>
        <tr r="BI41" s="5"/>
        <tr r="BI41" s="5"/>
        <tr r="BI39" s="5"/>
        <tr r="BI39" s="5"/>
        <tr r="BI37" s="5"/>
        <tr r="BI37" s="5"/>
        <tr r="BI35" s="5"/>
        <tr r="BI35" s="5"/>
        <tr r="BI33" s="5"/>
        <tr r="BI33" s="5"/>
        <tr r="BI25" s="5"/>
        <tr r="BI25" s="5"/>
        <tr r="BI27" s="5"/>
        <tr r="BI27" s="5"/>
        <tr r="BH5" s="1"/>
        <tr r="BH5" s="1"/>
        <tr r="BH49" s="1"/>
        <tr r="BH49" s="1"/>
        <tr r="BH47" s="1"/>
        <tr r="BH47" s="1"/>
        <tr r="BH45" s="1"/>
        <tr r="BH45" s="1"/>
        <tr r="BH13" s="1"/>
        <tr r="BH13" s="1"/>
        <tr r="BH15" s="1"/>
        <tr r="BH15" s="1"/>
        <tr r="BH39" s="1"/>
        <tr r="BH39" s="1"/>
        <tr r="BH37" s="1"/>
        <tr r="BH37" s="1"/>
        <tr r="BH21" s="1"/>
        <tr r="BH21" s="1"/>
        <tr r="BH23" s="1"/>
        <tr r="BH23" s="1"/>
        <tr r="BH25" s="1"/>
        <tr r="BH25" s="1"/>
        <tr r="BH29" s="1"/>
        <tr r="BH29" s="1"/>
      </tp>
      <tp t="s">
        <v>N/A</v>
        <stp/>
        <stp>OPEN_INT</stp>
        <stp>.OPEN260417P0.5</stp>
        <tr r="O47" s="1"/>
      </tp>
      <tp t="s">
        <v>N/A</v>
        <stp/>
        <stp>OPEN_INT</stp>
        <stp>.OPEN260717P3.5</stp>
        <tr r="R41" s="1"/>
      </tp>
      <tp t="s">
        <v>N/A</v>
        <stp/>
        <stp>OPEN_INT</stp>
        <stp>.OPEN260417C0.5</stp>
        <tr r="O47" s="1"/>
      </tp>
      <tp t="s">
        <v>N/A</v>
        <stp/>
        <stp>OPEN_INT</stp>
        <stp>.OPEN260717C3.5</stp>
        <tr r="R41" s="1"/>
      </tp>
      <tp t="s">
        <v>N/A</v>
        <stp/>
        <stp>OPEN_INT</stp>
        <stp>.OPEN251014C4.5</stp>
        <tr r="E35" s="2"/>
      </tp>
      <tp>
        <v>1943</v>
        <stp/>
        <stp>OPEN_INT</stp>
        <stp>.OPEN251114C5.5</stp>
        <tr r="BH52" s="1"/>
        <tr r="BH52" s="1"/>
        <tr r="BI52" s="5"/>
        <tr r="BI52" s="5"/>
        <tr r="C37" s="1"/>
        <tr r="C37" s="1"/>
        <tr r="BI5" s="5"/>
        <tr r="BI5" s="5"/>
        <tr r="BI49" s="5"/>
        <tr r="BI49" s="5"/>
        <tr r="BI9" s="5"/>
        <tr r="BI9" s="5"/>
        <tr r="BI45" s="5"/>
        <tr r="BI45" s="5"/>
        <tr r="BI43" s="5"/>
        <tr r="BI43" s="5"/>
        <tr r="BI15" s="5"/>
        <tr r="BI15" s="5"/>
        <tr r="BI17" s="5"/>
        <tr r="BI17" s="5"/>
        <tr r="BI19" s="5"/>
        <tr r="BI19" s="5"/>
        <tr r="BI21" s="5"/>
        <tr r="BI21" s="5"/>
        <tr r="BI23" s="5"/>
        <tr r="BI23" s="5"/>
        <tr r="BI31" s="5"/>
        <tr r="BI31" s="5"/>
        <tr r="BI29" s="5"/>
        <tr r="BI29" s="5"/>
        <tr r="BH51" s="1"/>
        <tr r="BH51" s="1"/>
        <tr r="BH7" s="1"/>
        <tr r="BH7" s="1"/>
        <tr r="BH9" s="1"/>
        <tr r="BH9" s="1"/>
        <tr r="BH11" s="1"/>
        <tr r="BH11" s="1"/>
        <tr r="BH43" s="1"/>
        <tr r="BH43" s="1"/>
        <tr r="BH41" s="1"/>
        <tr r="BH41" s="1"/>
        <tr r="BH17" s="1"/>
        <tr r="BH17" s="1"/>
        <tr r="BH19" s="1"/>
        <tr r="BH19" s="1"/>
        <tr r="BH35" s="1"/>
        <tr r="BH35" s="1"/>
        <tr r="BH33" s="1"/>
        <tr r="BH33" s="1"/>
        <tr r="BH31" s="1"/>
        <tr r="BH31" s="1"/>
        <tr r="BH27" s="1"/>
        <tr r="BH27" s="1"/>
        <tr r="BI6" s="5"/>
        <tr r="BI6" s="5"/>
        <tr r="BI8" s="5"/>
        <tr r="BI8" s="5"/>
        <tr r="BI46" s="5"/>
        <tr r="BI46" s="5"/>
        <tr r="BI12" s="5"/>
        <tr r="BI12" s="5"/>
        <tr r="BI14" s="5"/>
        <tr r="BI14" s="5"/>
        <tr r="BI40" s="5"/>
        <tr r="BI40" s="5"/>
        <tr r="BI18" s="5"/>
        <tr r="BI18" s="5"/>
        <tr r="BI20" s="5"/>
        <tr r="BI20" s="5"/>
        <tr r="BI22" s="5"/>
        <tr r="BI22" s="5"/>
        <tr r="BI32" s="5"/>
        <tr r="BI32" s="5"/>
        <tr r="BI30" s="5"/>
        <tr r="BI30" s="5"/>
        <tr r="BI28" s="5"/>
        <tr r="BI28" s="5"/>
        <tr r="BH6" s="1"/>
        <tr r="BH6" s="1"/>
        <tr r="BH8" s="1"/>
        <tr r="BH8" s="1"/>
        <tr r="BH46" s="1"/>
        <tr r="BH46" s="1"/>
        <tr r="BH44" s="1"/>
        <tr r="BH44" s="1"/>
        <tr r="BH42" s="1"/>
        <tr r="BH42" s="1"/>
        <tr r="BH16" s="1"/>
        <tr r="BH16" s="1"/>
        <tr r="BH18" s="1"/>
        <tr r="BH18" s="1"/>
        <tr r="BH36" s="1"/>
        <tr r="BH36" s="1"/>
        <tr r="BH22" s="1"/>
        <tr r="BH22" s="1"/>
        <tr r="BH32" s="1"/>
        <tr r="BH32" s="1"/>
        <tr r="BH26" s="1"/>
        <tr r="BH26" s="1"/>
        <tr r="BH28" s="1"/>
        <tr r="BH28" s="1"/>
        <tr r="BI50" s="5"/>
        <tr r="BI50" s="5"/>
        <tr r="BI48" s="5"/>
        <tr r="BI48" s="5"/>
        <tr r="BI10" s="5"/>
        <tr r="BI10" s="5"/>
        <tr r="BI44" s="5"/>
        <tr r="BI44" s="5"/>
        <tr r="BI42" s="5"/>
        <tr r="BI42" s="5"/>
        <tr r="BI16" s="5"/>
        <tr r="BI16" s="5"/>
        <tr r="BI38" s="5"/>
        <tr r="BI38" s="5"/>
        <tr r="BI36" s="5"/>
        <tr r="BI36" s="5"/>
        <tr r="BI34" s="5"/>
        <tr r="BI34" s="5"/>
        <tr r="BI24" s="5"/>
        <tr r="BI24" s="5"/>
        <tr r="BI26" s="5"/>
        <tr r="BI26" s="5"/>
        <tr r="BH50" s="1"/>
        <tr r="BH50" s="1"/>
        <tr r="BH48" s="1"/>
        <tr r="BH48" s="1"/>
        <tr r="BH10" s="1"/>
        <tr r="BH10" s="1"/>
        <tr r="BH12" s="1"/>
        <tr r="BH12" s="1"/>
        <tr r="BH14" s="1"/>
        <tr r="BH14" s="1"/>
        <tr r="BH40" s="1"/>
        <tr r="BH40" s="1"/>
        <tr r="BH38" s="1"/>
        <tr r="BH38" s="1"/>
        <tr r="BH20" s="1"/>
        <tr r="BH20" s="1"/>
        <tr r="BH34" s="1"/>
        <tr r="BH34" s="1"/>
        <tr r="BH24" s="1"/>
        <tr r="BH24" s="1"/>
        <tr r="BH30" s="1"/>
        <tr r="BH30" s="1"/>
        <tr r="BI51" s="5"/>
        <tr r="BI51" s="5"/>
        <tr r="BI7" s="5"/>
        <tr r="BI7" s="5"/>
        <tr r="BI47" s="5"/>
        <tr r="BI47" s="5"/>
        <tr r="BI11" s="5"/>
        <tr r="BI11" s="5"/>
        <tr r="BI13" s="5"/>
        <tr r="BI13" s="5"/>
        <tr r="BI41" s="5"/>
        <tr r="BI41" s="5"/>
        <tr r="BI39" s="5"/>
        <tr r="BI39" s="5"/>
        <tr r="BI37" s="5"/>
        <tr r="BI37" s="5"/>
        <tr r="BI35" s="5"/>
        <tr r="BI35" s="5"/>
        <tr r="BI33" s="5"/>
        <tr r="BI33" s="5"/>
        <tr r="BI25" s="5"/>
        <tr r="BI25" s="5"/>
        <tr r="BI27" s="5"/>
        <tr r="BI27" s="5"/>
        <tr r="BH5" s="1"/>
        <tr r="BH5" s="1"/>
        <tr r="BH49" s="1"/>
        <tr r="BH49" s="1"/>
        <tr r="BH47" s="1"/>
        <tr r="BH47" s="1"/>
        <tr r="BH45" s="1"/>
        <tr r="BH45" s="1"/>
        <tr r="BH13" s="1"/>
        <tr r="BH13" s="1"/>
        <tr r="BH15" s="1"/>
        <tr r="BH15" s="1"/>
        <tr r="BH39" s="1"/>
        <tr r="BH39" s="1"/>
        <tr r="BH37" s="1"/>
        <tr r="BH37" s="1"/>
        <tr r="BH21" s="1"/>
        <tr r="BH21" s="1"/>
        <tr r="BH23" s="1"/>
        <tr r="BH23" s="1"/>
        <tr r="BH25" s="1"/>
        <tr r="BH25" s="1"/>
        <tr r="BH29" s="1"/>
        <tr r="BH29" s="1"/>
      </tp>
      <tp t="s">
        <v>N/A</v>
        <stp/>
        <stp>OPEN_INT</stp>
        <stp>.OPEN251015P4.5</stp>
        <tr r="F35" s="2"/>
      </tp>
      <tp t="s">
        <v>N/A</v>
        <stp/>
        <stp>OPEN_INT</stp>
        <stp>.OPEN261016P4.5</stp>
        <tr r="U39" s="1"/>
      </tp>
      <tp>
        <v>2637</v>
        <stp/>
        <stp>OPEN_INT</stp>
        <stp>.OPEN260116P5.5</stp>
        <tr r="L37" s="1"/>
        <tr r="L37" s="1"/>
        <tr r="W33" s="2"/>
        <tr r="W33" s="2"/>
      </tp>
      <tp>
        <v>8459</v>
        <stp/>
        <stp>OPEN_INT</stp>
        <stp>.OPEN260116C5.5</stp>
        <tr r="L37" s="1"/>
        <tr r="L37" s="1"/>
        <tr r="W33" s="2"/>
        <tr r="W33" s="2"/>
      </tp>
      <tp t="s">
        <v>N/A</v>
        <stp/>
        <stp>OPEN_INT</stp>
        <stp>.OPEN251015C4.5</stp>
        <tr r="F35" s="2"/>
      </tp>
      <tp t="s">
        <v>N/A</v>
        <stp/>
        <stp>OPEN_INT</stp>
        <stp>.OPEN261016C4.5</stp>
        <tr r="U39" s="1"/>
      </tp>
      <tp t="s">
        <v>N/A</v>
        <stp/>
        <stp>OPEN_INT</stp>
        <stp>.OPEN251016P4.5</stp>
        <tr r="G35" s="2"/>
      </tp>
      <tp t="s">
        <v>N/A</v>
        <stp/>
        <stp>OPEN_INT</stp>
        <stp>.OPEN260515P1.5</stp>
        <tr r="P45" s="1"/>
      </tp>
      <tp t="s">
        <v>N/A</v>
        <stp/>
        <stp>OPEN_INT</stp>
        <stp>.OPEN260515C1.5</stp>
        <tr r="P45" s="1"/>
      </tp>
      <tp t="s">
        <v>N/A</v>
        <stp/>
        <stp>OPEN_INT</stp>
        <stp>.OPEN251016C4.5</stp>
        <tr r="G35" s="2"/>
      </tp>
      <tp>
        <v>3726</v>
        <stp/>
        <stp>OPEN_INT</stp>
        <stp>.OPEN251017P4.5</stp>
        <tr r="H35" s="2"/>
        <tr r="H35" s="2"/>
      </tp>
      <tp>
        <v>2422</v>
        <stp/>
        <stp>OPEN_INT</stp>
        <stp>.OPEN251017C4.5</stp>
        <tr r="H35" s="2"/>
        <tr r="H35" s="2"/>
      </tp>
      <tp>
        <v>1307</v>
        <stp/>
        <stp>OPEN_INT</stp>
        <stp>.OPEN251010P4.5</stp>
        <tr r="C35" s="2"/>
        <tr r="C35" s="2"/>
      </tp>
      <tp>
        <v>574</v>
        <stp/>
        <stp>OPEN_INT</stp>
        <stp>.OPEN251010C4.5</stp>
        <tr r="C35" s="2"/>
        <tr r="C35" s="2"/>
      </tp>
      <tp>
        <v>266</v>
        <stp/>
        <stp>OPEN_INT</stp>
        <stp>.OPEN251212P6.5</stp>
        <tr r="G35" s="1"/>
        <tr r="G35" s="1"/>
      </tp>
      <tp>
        <v>60</v>
        <stp/>
        <stp>OPEN_INT</stp>
        <stp>.OPEN251212C6.5</stp>
        <tr r="G35" s="1"/>
        <tr r="G35" s="1"/>
      </tp>
      <tp t="s">
        <v>N/A</v>
        <stp/>
        <stp>OPEN_INT</stp>
        <stp>.OPEN251013P4.5</stp>
        <tr r="D35" s="2"/>
      </tp>
      <tp t="s">
        <v>N/A</v>
        <stp/>
        <stp>OPEN_INT</stp>
        <stp>.OPEN251013C4.5</stp>
        <tr r="D35" s="2"/>
      </tp>
      <tp t="s">
        <v>N/A</v>
        <stp/>
        <stp>OPEN_INT</stp>
        <stp>.OPEN251219P6.5</stp>
        <tr r="H35" s="1"/>
        <tr r="U31" s="2"/>
      </tp>
      <tp t="s">
        <v>N/A</v>
        <stp/>
        <stp>OPEN_INT</stp>
        <stp>.OPEN251219C6.5</stp>
        <tr r="H35" s="1"/>
        <tr r="U31" s="2"/>
      </tp>
      <tp t="s">
        <v>N/A</v>
        <stp/>
        <stp>OPEN_INT</stp>
        <stp>.OPEN260619P2.5</stp>
        <tr r="Q43" s="1"/>
      </tp>
      <tp t="s">
        <v>N/A</v>
        <stp/>
        <stp>OPEN_INT</stp>
        <stp>.OPEN260619C2.5</stp>
        <tr r="Q43" s="1"/>
      </tp>
      <tp t="s">
        <v>N/A</v>
        <stp/>
        <stp>OPEN_INT</stp>
        <stp>.OPEN261218P6.5</stp>
        <tr r="W35" s="1"/>
      </tp>
      <tp t="s">
        <v>N/A</v>
        <stp/>
        <stp>OPEN_INT</stp>
        <stp>.OPEN261218C6.5</stp>
        <tr r="W35" s="1"/>
      </tp>
      <tp>
        <v>472</v>
        <stp/>
        <stp>OPEN_INT</stp>
        <stp>.OPEN251205P6.5</stp>
        <tr r="F35" s="1"/>
        <tr r="F35" s="1"/>
      </tp>
      <tp>
        <v>598</v>
        <stp/>
        <stp>OPEN_INT</stp>
        <stp>.OPEN251205C6.5</stp>
        <tr r="F35" s="1"/>
        <tr r="F35" s="1"/>
      </tp>
      <tp t="s">
        <v>N/A</v>
        <stp/>
        <stp>OPEN_INT</stp>
        <stp>.OPEN260102P5.5</stp>
        <tr r="J37" s="1"/>
      </tp>
      <tp t="s">
        <v>N/A</v>
        <stp/>
        <stp>OPEN_INT</stp>
        <stp>.OPEN260102C5.5</stp>
        <tr r="J37" s="1"/>
      </tp>
      <tp t="s">
        <v>N/A</v>
        <stp/>
        <stp>OPEN_INT</stp>
        <stp>.OPEN251009P4.5</stp>
        <tr r="B35" s="2"/>
      </tp>
      <tp t="s">
        <v>N/A</v>
        <stp/>
        <stp>OPEN_INT</stp>
        <stp>.OPEN251009C4.5</stp>
        <tr r="B35" s="2"/>
      </tp>
      <tp t="s">
        <v>N/A</v>
        <stp/>
        <stp>OPEN_INT</stp>
        <stp>.OPEN260109P5.5</stp>
        <tr r="K37" s="1"/>
      </tp>
      <tp t="s">
        <v>N/A</v>
        <stp/>
        <stp>OPEN_INT</stp>
        <stp>.OPEN260109C5.5</stp>
        <tr r="K37" s="1"/>
      </tp>
      <tp t="s">
        <v>N/A</v>
        <stp/>
        <stp>OPEN_INT</stp>
        <stp>.OPEN251030P4.5</stp>
        <tr r="Q35" s="2"/>
      </tp>
      <tp t="s">
        <v>N/A</v>
        <stp/>
        <stp>OPEN_INT</stp>
        <stp>.OPEN251030C4.5</stp>
        <tr r="Q35" s="2"/>
      </tp>
      <tp>
        <v>1625</v>
        <stp/>
        <stp>OPEN_INT</stp>
        <stp>.OPEN251031P4.5</stp>
        <tr r="R35" s="2"/>
        <tr r="R35" s="2"/>
      </tp>
      <tp t="s">
        <v>N/A</v>
        <stp/>
        <stp>OPEN_INT</stp>
        <stp>.OPEN251231P6.5</stp>
        <tr r="V31" s="2"/>
      </tp>
      <tp>
        <v>218</v>
        <stp/>
        <stp>OPEN_INT</stp>
        <stp>.OPEN251031C4.5</stp>
        <tr r="R35" s="2"/>
        <tr r="R35" s="2"/>
      </tp>
      <tp t="s">
        <v>N/A</v>
        <stp/>
        <stp>OPEN_INT</stp>
        <stp>.OPEN251231C6.5</stp>
        <tr r="V31" s="2"/>
      </tp>
      <tp>
        <v>1303</v>
        <stp/>
        <stp>OPEN_INT</stp>
        <stp>.OPEN251024P4.5</stp>
        <tr r="M35" s="2"/>
        <tr r="M35" s="2"/>
      </tp>
      <tp>
        <v>199</v>
        <stp/>
        <stp>OPEN_INT</stp>
        <stp>.OPEN251024C4.5</stp>
        <tr r="M35" s="2"/>
        <tr r="M35" s="2"/>
      </tp>
      <tp>
        <v>28</v>
        <stp/>
        <stp>OPEN_INT</stp>
        <stp>.OPEN251226P6.5</stp>
        <tr r="I35" s="1"/>
        <tr r="I35" s="1"/>
      </tp>
      <tp>
        <v>2176</v>
        <stp/>
        <stp>OPEN_INT</stp>
        <stp>.OPEN251226C6.5</stp>
        <tr r="I35" s="1"/>
        <tr r="I35" s="1"/>
      </tp>
      <tp t="s">
        <v>N/A</v>
        <stp/>
        <stp>OPEN_INT</stp>
        <stp>.OPEN251027P4.5</stp>
        <tr r="N35" s="2"/>
      </tp>
      <tp t="s">
        <v>N/A</v>
        <stp/>
        <stp>OPEN_INT</stp>
        <stp>.OPEN251027C4.5</stp>
        <tr r="N35" s="2"/>
      </tp>
      <tp t="s">
        <v>N/A</v>
        <stp/>
        <stp>OPEN_INT</stp>
        <stp>.OPEN251020P4.5</stp>
        <tr r="I35" s="2"/>
      </tp>
      <tp t="s">
        <v>N/A</v>
        <stp/>
        <stp>OPEN_INT</stp>
        <stp>.OPEN251020C4.5</stp>
        <tr r="I35" s="2"/>
      </tp>
      <tp t="s">
        <v>N/A</v>
        <stp/>
        <stp>OPEN_INT</stp>
        <stp>.OPEN251021P4.5</stp>
        <tr r="J35" s="2"/>
      </tp>
      <tp>
        <v>5445</v>
        <stp/>
        <stp>OPEN_INT</stp>
        <stp>.OPEN251121P5.5</stp>
        <tr r="D37" s="1"/>
        <tr r="D37" s="1"/>
        <tr r="S33" s="2"/>
        <tr r="S33" s="2"/>
      </tp>
      <tp t="s">
        <v>N/A</v>
        <stp/>
        <stp>OPEN_INT</stp>
        <stp>.OPEN251021C4.5</stp>
        <tr r="J35" s="2"/>
      </tp>
      <tp>
        <v>2675</v>
        <stp/>
        <stp>OPEN_INT</stp>
        <stp>.OPEN251121C5.5</stp>
        <tr r="D37" s="1"/>
        <tr r="D37" s="1"/>
        <tr r="S33" s="2"/>
        <tr r="S33" s="2"/>
      </tp>
      <tp t="s">
        <v>N/A</v>
        <stp/>
        <stp>OPEN_INT</stp>
        <stp>.OPEN251022P4.5</stp>
        <tr r="K35" s="2"/>
      </tp>
      <tp t="s">
        <v>N/A</v>
        <stp/>
        <stp>OPEN_INT</stp>
        <stp>.OPEN251022C4.5</stp>
        <tr r="K35" s="2"/>
      </tp>
      <tp t="s">
        <v>N/A</v>
        <stp/>
        <stp>OPEN_INT</stp>
        <stp>.OPEN251023P4.5</stp>
        <tr r="L35" s="2"/>
      </tp>
      <tp t="s">
        <v>N/A</v>
        <stp/>
        <stp>OPEN_INT</stp>
        <stp>.OPEN261120P5.5</stp>
        <tr r="V37" s="1"/>
      </tp>
      <tp t="s">
        <v>N/A</v>
        <stp/>
        <stp>OPEN_INT</stp>
        <stp>.OPEN260220P6.5</stp>
        <tr r="M35" s="1"/>
      </tp>
      <tp t="s">
        <v>N/A</v>
        <stp/>
        <stp>OPEN_INT</stp>
        <stp>.OPEN260320P7.5</stp>
        <tr r="N33" s="1"/>
      </tp>
      <tp t="s">
        <v>N/A</v>
        <stp/>
        <stp>OPEN_INT</stp>
        <stp>.OPEN260220C6.5</stp>
        <tr r="M35" s="1"/>
      </tp>
      <tp t="s">
        <v>N/A</v>
        <stp/>
        <stp>OPEN_INT</stp>
        <stp>.OPEN260320C7.5</stp>
        <tr r="N33" s="1"/>
      </tp>
      <tp t="s">
        <v>N/A</v>
        <stp/>
        <stp>OPEN_INT</stp>
        <stp>.OPEN251023C4.5</stp>
        <tr r="L35" s="2"/>
      </tp>
      <tp t="s">
        <v>N/A</v>
        <stp/>
        <stp>OPEN_INT</stp>
        <stp>.OPEN261120C5.5</stp>
        <tr r="V37" s="1"/>
      </tp>
      <tp t="s">
        <v>N/A</v>
        <stp/>
        <stp>OPEN_INT</stp>
        <stp>.OPEN251028P4.5</stp>
        <tr r="O35" s="2"/>
      </tp>
      <tp>
        <v>953</v>
        <stp/>
        <stp>OPEN_INT</stp>
        <stp>.OPEN251128P5.5</stp>
        <tr r="E37" s="1"/>
        <tr r="E37" s="1"/>
        <tr r="T33" s="2"/>
        <tr r="T33" s="2"/>
      </tp>
      <tp t="s">
        <v>N/A</v>
        <stp/>
        <stp>OPEN_INT</stp>
        <stp>.OPEN251028C4.5</stp>
        <tr r="O35" s="2"/>
      </tp>
      <tp>
        <v>420</v>
        <stp/>
        <stp>OPEN_INT</stp>
        <stp>.OPEN251128C5.5</stp>
        <tr r="E37" s="1"/>
        <tr r="E37" s="1"/>
        <tr r="T33" s="2"/>
        <tr r="T33" s="2"/>
      </tp>
      <tp t="s">
        <v>N/A</v>
        <stp/>
        <stp>OPEN_INT</stp>
        <stp>.OPEN251029P4.5</stp>
        <tr r="P35" s="2"/>
      </tp>
      <tp t="s">
        <v>N/A</v>
        <stp/>
        <stp>OPEN_INT</stp>
        <stp>.OPEN251029C4.5</stp>
        <tr r="P35" s="2"/>
      </tp>
      <tp t="s">
        <v>N/A</v>
        <stp/>
        <stp>OPEN_INT</stp>
        <stp>.OPEN251014P5.5</stp>
        <tr r="E33" s="2"/>
      </tp>
      <tp>
        <v>2183</v>
        <stp/>
        <stp>OPEN_INT</stp>
        <stp>.OPEN251114P4.5</stp>
        <tr r="C39" s="1"/>
        <tr r="C39" s="1"/>
        <tr r="BJ52" s="1"/>
        <tr r="BJ52" s="1"/>
        <tr r="BK52" s="5"/>
        <tr r="BK52" s="5"/>
        <tr r="BK5" s="5"/>
        <tr r="BK5" s="5"/>
        <tr r="BK49" s="5"/>
        <tr r="BK49" s="5"/>
        <tr r="BK9" s="5"/>
        <tr r="BK9" s="5"/>
        <tr r="BK45" s="5"/>
        <tr r="BK45" s="5"/>
        <tr r="BK43" s="5"/>
        <tr r="BK43" s="5"/>
        <tr r="BK15" s="5"/>
        <tr r="BK15" s="5"/>
        <tr r="BK17" s="5"/>
        <tr r="BK17" s="5"/>
        <tr r="BK19" s="5"/>
        <tr r="BK19" s="5"/>
        <tr r="BK21" s="5"/>
        <tr r="BK21" s="5"/>
        <tr r="BK33" s="5"/>
        <tr r="BK33" s="5"/>
        <tr r="BK31" s="5"/>
        <tr r="BK31" s="5"/>
        <tr r="BK27" s="5"/>
        <tr r="BK27" s="5"/>
        <tr r="BJ51" s="1"/>
        <tr r="BJ51" s="1"/>
        <tr r="BJ7" s="1"/>
        <tr r="BJ7" s="1"/>
        <tr r="BJ9" s="1"/>
        <tr r="BJ9" s="1"/>
        <tr r="BJ45" s="1"/>
        <tr r="BJ45" s="1"/>
        <tr r="BJ43" s="1"/>
        <tr r="BJ43" s="1"/>
        <tr r="BJ41" s="1"/>
        <tr r="BJ41" s="1"/>
        <tr r="BJ17" s="1"/>
        <tr r="BJ17" s="1"/>
        <tr r="BJ37" s="1"/>
        <tr r="BJ37" s="1"/>
        <tr r="BJ35" s="1"/>
        <tr r="BJ35" s="1"/>
        <tr r="BJ33" s="1"/>
        <tr r="BJ33" s="1"/>
        <tr r="BJ31" s="1"/>
        <tr r="BJ31" s="1"/>
        <tr r="BJ29" s="1"/>
        <tr r="BJ29" s="1"/>
        <tr r="BK6" s="5"/>
        <tr r="BK6" s="5"/>
        <tr r="BK8" s="5"/>
        <tr r="BK8" s="5"/>
        <tr r="BK46" s="5"/>
        <tr r="BK46" s="5"/>
        <tr r="BK44" s="5"/>
        <tr r="BK44" s="5"/>
        <tr r="BK42" s="5"/>
        <tr r="BK42" s="5"/>
        <tr r="BK40" s="5"/>
        <tr r="BK40" s="5"/>
        <tr r="BK18" s="5"/>
        <tr r="BK18" s="5"/>
        <tr r="BK20" s="5"/>
        <tr r="BK20" s="5"/>
        <tr r="BK22" s="5"/>
        <tr r="BK22" s="5"/>
        <tr r="BK32" s="5"/>
        <tr r="BK32" s="5"/>
        <tr r="BK30" s="5"/>
        <tr r="BK30" s="5"/>
        <tr r="BK28" s="5"/>
        <tr r="BK28" s="5"/>
        <tr r="BJ50" s="1"/>
        <tr r="BJ50" s="1"/>
        <tr r="BJ8" s="1"/>
        <tr r="BJ8" s="1"/>
        <tr r="BJ10" s="1"/>
        <tr r="BJ10" s="1"/>
        <tr r="BJ44" s="1"/>
        <tr r="BJ44" s="1"/>
        <tr r="BJ42" s="1"/>
        <tr r="BJ42" s="1"/>
        <tr r="BJ40" s="1"/>
        <tr r="BJ40" s="1"/>
        <tr r="BJ18" s="1"/>
        <tr r="BJ18" s="1"/>
        <tr r="BJ36" s="1"/>
        <tr r="BJ36" s="1"/>
        <tr r="BJ34" s="1"/>
        <tr r="BJ34" s="1"/>
        <tr r="BJ32" s="1"/>
        <tr r="BJ32" s="1"/>
        <tr r="BJ26" s="1"/>
        <tr r="BJ26" s="1"/>
        <tr r="BJ28" s="1"/>
        <tr r="BJ28" s="1"/>
        <tr r="BK50" s="5"/>
        <tr r="BK50" s="5"/>
        <tr r="BK48" s="5"/>
        <tr r="BK48" s="5"/>
        <tr r="BK10" s="5"/>
        <tr r="BK10" s="5"/>
        <tr r="BK12" s="5"/>
        <tr r="BK12" s="5"/>
        <tr r="BK14" s="5"/>
        <tr r="BK14" s="5"/>
        <tr r="BK16" s="5"/>
        <tr r="BK16" s="5"/>
        <tr r="BK38" s="5"/>
        <tr r="BK38" s="5"/>
        <tr r="BK36" s="5"/>
        <tr r="BK36" s="5"/>
        <tr r="BK34" s="5"/>
        <tr r="BK34" s="5"/>
        <tr r="BK24" s="5"/>
        <tr r="BK24" s="5"/>
        <tr r="BK26" s="5"/>
        <tr r="BK26" s="5"/>
        <tr r="BJ6" s="1"/>
        <tr r="BJ6" s="1"/>
        <tr r="BJ48" s="1"/>
        <tr r="BJ48" s="1"/>
        <tr r="BJ46" s="1"/>
        <tr r="BJ46" s="1"/>
        <tr r="BJ12" s="1"/>
        <tr r="BJ12" s="1"/>
        <tr r="BJ14" s="1"/>
        <tr r="BJ14" s="1"/>
        <tr r="BJ16" s="1"/>
        <tr r="BJ16" s="1"/>
        <tr r="BJ38" s="1"/>
        <tr r="BJ38" s="1"/>
        <tr r="BJ20" s="1"/>
        <tr r="BJ20" s="1"/>
        <tr r="BJ22" s="1"/>
        <tr r="BJ22" s="1"/>
        <tr r="BJ24" s="1"/>
        <tr r="BJ24" s="1"/>
        <tr r="BJ30" s="1"/>
        <tr r="BJ30" s="1"/>
        <tr r="BK51" s="5"/>
        <tr r="BK51" s="5"/>
        <tr r="BK7" s="5"/>
        <tr r="BK7" s="5"/>
        <tr r="BK47" s="5"/>
        <tr r="BK47" s="5"/>
        <tr r="BK11" s="5"/>
        <tr r="BK11" s="5"/>
        <tr r="BK13" s="5"/>
        <tr r="BK13" s="5"/>
        <tr r="BK41" s="5"/>
        <tr r="BK41" s="5"/>
        <tr r="BK39" s="5"/>
        <tr r="BK39" s="5"/>
        <tr r="BK37" s="5"/>
        <tr r="BK37" s="5"/>
        <tr r="BK35" s="5"/>
        <tr r="BK35" s="5"/>
        <tr r="BK23" s="5"/>
        <tr r="BK23" s="5"/>
        <tr r="BK25" s="5"/>
        <tr r="BK25" s="5"/>
        <tr r="BK29" s="5"/>
        <tr r="BK29" s="5"/>
        <tr r="BJ5" s="1"/>
        <tr r="BJ5" s="1"/>
        <tr r="BJ49" s="1"/>
        <tr r="BJ49" s="1"/>
        <tr r="BJ47" s="1"/>
        <tr r="BJ47" s="1"/>
        <tr r="BJ11" s="1"/>
        <tr r="BJ11" s="1"/>
        <tr r="BJ13" s="1"/>
        <tr r="BJ13" s="1"/>
        <tr r="BJ15" s="1"/>
        <tr r="BJ15" s="1"/>
        <tr r="BJ39" s="1"/>
        <tr r="BJ39" s="1"/>
        <tr r="BJ19" s="1"/>
        <tr r="BJ19" s="1"/>
        <tr r="BJ21" s="1"/>
        <tr r="BJ21" s="1"/>
        <tr r="BJ23" s="1"/>
        <tr r="BJ23" s="1"/>
        <tr r="BJ25" s="1"/>
        <tr r="BJ25" s="1"/>
        <tr r="BJ27" s="1"/>
        <tr r="BJ27" s="1"/>
      </tp>
      <tp t="s">
        <v>N/A</v>
        <stp/>
        <stp>OPEN_INT</stp>
        <stp>.OPEN260417P1.5</stp>
        <tr r="O45" s="1"/>
      </tp>
      <tp t="s">
        <v>N/A</v>
        <stp/>
        <stp>OPEN_INT</stp>
        <stp>.OPEN260717P2.5</stp>
        <tr r="R43" s="1"/>
      </tp>
      <tp t="s">
        <v>N/A</v>
        <stp/>
        <stp>OPEN_INT</stp>
        <stp>.OPEN260417C1.5</stp>
        <tr r="O45" s="1"/>
      </tp>
      <tp t="s">
        <v>N/A</v>
        <stp/>
        <stp>OPEN_INT</stp>
        <stp>.OPEN260717C2.5</stp>
        <tr r="R43" s="1"/>
      </tp>
      <tp t="s">
        <v>N/A</v>
        <stp/>
        <stp>OPEN_INT</stp>
        <stp>.OPEN251014C5.5</stp>
        <tr r="E33" s="2"/>
      </tp>
      <tp>
        <v>151</v>
        <stp/>
        <stp>OPEN_INT</stp>
        <stp>.OPEN251114C4.5</stp>
        <tr r="C39" s="1"/>
        <tr r="C39" s="1"/>
        <tr r="BJ52" s="1"/>
        <tr r="BJ52" s="1"/>
        <tr r="BK52" s="5"/>
        <tr r="BK52" s="5"/>
        <tr r="BK5" s="5"/>
        <tr r="BK5" s="5"/>
        <tr r="BK49" s="5"/>
        <tr r="BK49" s="5"/>
        <tr r="BK9" s="5"/>
        <tr r="BK9" s="5"/>
        <tr r="BK45" s="5"/>
        <tr r="BK45" s="5"/>
        <tr r="BK43" s="5"/>
        <tr r="BK43" s="5"/>
        <tr r="BK15" s="5"/>
        <tr r="BK15" s="5"/>
        <tr r="BK17" s="5"/>
        <tr r="BK17" s="5"/>
        <tr r="BK19" s="5"/>
        <tr r="BK19" s="5"/>
        <tr r="BK21" s="5"/>
        <tr r="BK21" s="5"/>
        <tr r="BK33" s="5"/>
        <tr r="BK33" s="5"/>
        <tr r="BK31" s="5"/>
        <tr r="BK31" s="5"/>
        <tr r="BK27" s="5"/>
        <tr r="BK27" s="5"/>
        <tr r="BJ51" s="1"/>
        <tr r="BJ51" s="1"/>
        <tr r="BJ7" s="1"/>
        <tr r="BJ7" s="1"/>
        <tr r="BJ9" s="1"/>
        <tr r="BJ9" s="1"/>
        <tr r="BJ45" s="1"/>
        <tr r="BJ45" s="1"/>
        <tr r="BJ43" s="1"/>
        <tr r="BJ43" s="1"/>
        <tr r="BJ41" s="1"/>
        <tr r="BJ41" s="1"/>
        <tr r="BJ17" s="1"/>
        <tr r="BJ17" s="1"/>
        <tr r="BJ37" s="1"/>
        <tr r="BJ37" s="1"/>
        <tr r="BJ35" s="1"/>
        <tr r="BJ35" s="1"/>
        <tr r="BJ33" s="1"/>
        <tr r="BJ33" s="1"/>
        <tr r="BJ31" s="1"/>
        <tr r="BJ31" s="1"/>
        <tr r="BJ29" s="1"/>
        <tr r="BJ29" s="1"/>
        <tr r="BK6" s="5"/>
        <tr r="BK6" s="5"/>
        <tr r="BK8" s="5"/>
        <tr r="BK8" s="5"/>
        <tr r="BK46" s="5"/>
        <tr r="BK46" s="5"/>
        <tr r="BK44" s="5"/>
        <tr r="BK44" s="5"/>
        <tr r="BK42" s="5"/>
        <tr r="BK42" s="5"/>
        <tr r="BK40" s="5"/>
        <tr r="BK40" s="5"/>
        <tr r="BK18" s="5"/>
        <tr r="BK18" s="5"/>
        <tr r="BK20" s="5"/>
        <tr r="BK20" s="5"/>
        <tr r="BK22" s="5"/>
        <tr r="BK22" s="5"/>
        <tr r="BK32" s="5"/>
        <tr r="BK32" s="5"/>
        <tr r="BK30" s="5"/>
        <tr r="BK30" s="5"/>
        <tr r="BK28" s="5"/>
        <tr r="BK28" s="5"/>
        <tr r="BJ50" s="1"/>
        <tr r="BJ50" s="1"/>
        <tr r="BJ8" s="1"/>
        <tr r="BJ8" s="1"/>
        <tr r="BJ10" s="1"/>
        <tr r="BJ10" s="1"/>
        <tr r="BJ44" s="1"/>
        <tr r="BJ44" s="1"/>
        <tr r="BJ42" s="1"/>
        <tr r="BJ42" s="1"/>
        <tr r="BJ40" s="1"/>
        <tr r="BJ40" s="1"/>
        <tr r="BJ18" s="1"/>
        <tr r="BJ18" s="1"/>
        <tr r="BJ36" s="1"/>
        <tr r="BJ36" s="1"/>
        <tr r="BJ34" s="1"/>
        <tr r="BJ34" s="1"/>
        <tr r="BJ32" s="1"/>
        <tr r="BJ32" s="1"/>
        <tr r="BJ26" s="1"/>
        <tr r="BJ26" s="1"/>
        <tr r="BJ28" s="1"/>
        <tr r="BJ28" s="1"/>
        <tr r="BK50" s="5"/>
        <tr r="BK50" s="5"/>
        <tr r="BK48" s="5"/>
        <tr r="BK48" s="5"/>
        <tr r="BK10" s="5"/>
        <tr r="BK10" s="5"/>
        <tr r="BK12" s="5"/>
        <tr r="BK12" s="5"/>
        <tr r="BK14" s="5"/>
        <tr r="BK14" s="5"/>
        <tr r="BK16" s="5"/>
        <tr r="BK16" s="5"/>
        <tr r="BK38" s="5"/>
        <tr r="BK38" s="5"/>
        <tr r="BK36" s="5"/>
        <tr r="BK36" s="5"/>
        <tr r="BK34" s="5"/>
        <tr r="BK34" s="5"/>
        <tr r="BK24" s="5"/>
        <tr r="BK24" s="5"/>
        <tr r="BK26" s="5"/>
        <tr r="BK26" s="5"/>
        <tr r="BJ6" s="1"/>
        <tr r="BJ6" s="1"/>
        <tr r="BJ48" s="1"/>
        <tr r="BJ48" s="1"/>
        <tr r="BJ46" s="1"/>
        <tr r="BJ46" s="1"/>
        <tr r="BJ12" s="1"/>
        <tr r="BJ12" s="1"/>
        <tr r="BJ14" s="1"/>
        <tr r="BJ14" s="1"/>
        <tr r="BJ16" s="1"/>
        <tr r="BJ16" s="1"/>
        <tr r="BJ38" s="1"/>
        <tr r="BJ38" s="1"/>
        <tr r="BJ20" s="1"/>
        <tr r="BJ20" s="1"/>
        <tr r="BJ22" s="1"/>
        <tr r="BJ22" s="1"/>
        <tr r="BJ24" s="1"/>
        <tr r="BJ24" s="1"/>
        <tr r="BJ30" s="1"/>
        <tr r="BJ30" s="1"/>
        <tr r="BK51" s="5"/>
        <tr r="BK51" s="5"/>
        <tr r="BK7" s="5"/>
        <tr r="BK7" s="5"/>
        <tr r="BK47" s="5"/>
        <tr r="BK47" s="5"/>
        <tr r="BK11" s="5"/>
        <tr r="BK11" s="5"/>
        <tr r="BK13" s="5"/>
        <tr r="BK13" s="5"/>
        <tr r="BK41" s="5"/>
        <tr r="BK41" s="5"/>
        <tr r="BK39" s="5"/>
        <tr r="BK39" s="5"/>
        <tr r="BK37" s="5"/>
        <tr r="BK37" s="5"/>
        <tr r="BK35" s="5"/>
        <tr r="BK35" s="5"/>
        <tr r="BK23" s="5"/>
        <tr r="BK23" s="5"/>
        <tr r="BK25" s="5"/>
        <tr r="BK25" s="5"/>
        <tr r="BK29" s="5"/>
        <tr r="BK29" s="5"/>
        <tr r="BJ5" s="1"/>
        <tr r="BJ5" s="1"/>
        <tr r="BJ49" s="1"/>
        <tr r="BJ49" s="1"/>
        <tr r="BJ47" s="1"/>
        <tr r="BJ47" s="1"/>
        <tr r="BJ11" s="1"/>
        <tr r="BJ11" s="1"/>
        <tr r="BJ13" s="1"/>
        <tr r="BJ13" s="1"/>
        <tr r="BJ15" s="1"/>
        <tr r="BJ15" s="1"/>
        <tr r="BJ39" s="1"/>
        <tr r="BJ39" s="1"/>
        <tr r="BJ19" s="1"/>
        <tr r="BJ19" s="1"/>
        <tr r="BJ21" s="1"/>
        <tr r="BJ21" s="1"/>
        <tr r="BJ23" s="1"/>
        <tr r="BJ23" s="1"/>
        <tr r="BJ25" s="1"/>
        <tr r="BJ25" s="1"/>
        <tr r="BJ27" s="1"/>
        <tr r="BJ27" s="1"/>
      </tp>
      <tp t="s">
        <v>N/A</v>
        <stp/>
        <stp>OPEN_INT</stp>
        <stp>.OPEN251015P5.5</stp>
        <tr r="F33" s="2"/>
      </tp>
      <tp t="s">
        <v>N/A</v>
        <stp/>
        <stp>OPEN_INT</stp>
        <stp>.OPEN261016P5.5</stp>
        <tr r="U37" s="1"/>
      </tp>
      <tp>
        <v>9709</v>
        <stp/>
        <stp>OPEN_INT</stp>
        <stp>.OPEN260116P4.5</stp>
        <tr r="L39" s="1"/>
        <tr r="L39" s="1"/>
        <tr r="W35" s="2"/>
        <tr r="W35" s="2"/>
      </tp>
      <tp>
        <v>4197</v>
        <stp/>
        <stp>OPEN_INT</stp>
        <stp>.OPEN260116C4.5</stp>
        <tr r="L39" s="1"/>
        <tr r="L39" s="1"/>
        <tr r="W35" s="2"/>
        <tr r="W35" s="2"/>
      </tp>
      <tp t="s">
        <v>N/A</v>
        <stp/>
        <stp>OPEN_INT</stp>
        <stp>.OPEN251015C5.5</stp>
        <tr r="F33" s="2"/>
      </tp>
      <tp t="s">
        <v>N/A</v>
        <stp/>
        <stp>OPEN_INT</stp>
        <stp>.OPEN261016C5.5</stp>
        <tr r="U37" s="1"/>
      </tp>
      <tp t="s">
        <v>N/A</v>
        <stp/>
        <stp>OPEN_INT</stp>
        <stp>.OPEN251016P5.5</stp>
        <tr r="G33" s="2"/>
      </tp>
      <tp t="s">
        <v>N/A</v>
        <stp/>
        <stp>OPEN_INT</stp>
        <stp>.OPEN260515P0.5</stp>
        <tr r="P47" s="1"/>
      </tp>
      <tp t="s">
        <v>N/A</v>
        <stp/>
        <stp>OPEN_INT</stp>
        <stp>.OPEN260515C0.5</stp>
        <tr r="P47" s="1"/>
      </tp>
      <tp t="s">
        <v>N/A</v>
        <stp/>
        <stp>OPEN_INT</stp>
        <stp>.OPEN251016C5.5</stp>
        <tr r="G33" s="2"/>
      </tp>
      <tp>
        <v>2568</v>
        <stp/>
        <stp>OPEN_INT</stp>
        <stp>.OPEN251017P5.5</stp>
        <tr r="H33" s="2"/>
        <tr r="H33" s="2"/>
      </tp>
      <tp>
        <v>435</v>
        <stp/>
        <stp>OPEN_INT</stp>
        <stp>.OPEN251017C5.5</stp>
        <tr r="H33" s="2"/>
        <tr r="H33" s="2"/>
      </tp>
      <tp>
        <v>3138</v>
        <stp/>
        <stp>OPEN_INT</stp>
        <stp>.OPEN251010P5.5</stp>
        <tr r="C33" s="2"/>
        <tr r="C33" s="2"/>
      </tp>
      <tp>
        <v>1163</v>
        <stp/>
        <stp>OPEN_INT</stp>
        <stp>.OPEN251010C5.5</stp>
        <tr r="C33" s="2"/>
        <tr r="C33" s="2"/>
      </tp>
      <tp>
        <v>410</v>
        <stp/>
        <stp>OPEN_INT</stp>
        <stp>.OPEN251212P7.5</stp>
        <tr r="G33" s="1"/>
        <tr r="G33" s="1"/>
      </tp>
      <tp>
        <v>8453</v>
        <stp/>
        <stp>OPEN_INT</stp>
        <stp>.OPEN251212C7.5</stp>
        <tr r="G33" s="1"/>
        <tr r="G33" s="1"/>
      </tp>
      <tp t="s">
        <v>N/A</v>
        <stp/>
        <stp>OPEN_INT</stp>
        <stp>.OPEN251013P5.5</stp>
        <tr r="D33" s="2"/>
      </tp>
      <tp t="s">
        <v>N/A</v>
        <stp/>
        <stp>OPEN_INT</stp>
        <stp>.OPEN251013C5.5</stp>
        <tr r="D33" s="2"/>
      </tp>
      <tp t="s">
        <v>N/A</v>
        <stp/>
        <stp>OPEN_INT</stp>
        <stp>.OPEN251219P7.5</stp>
        <tr r="H33" s="1"/>
        <tr r="U29" s="2"/>
      </tp>
      <tp t="s">
        <v>N/A</v>
        <stp/>
        <stp>OPEN_INT</stp>
        <stp>.OPEN251219C7.5</stp>
        <tr r="H33" s="1"/>
        <tr r="U29" s="2"/>
      </tp>
      <tp t="s">
        <v>N/A</v>
        <stp/>
        <stp>OPEN_INT</stp>
        <stp>.OPEN260619P3.5</stp>
        <tr r="Q41" s="1"/>
      </tp>
      <tp t="s">
        <v>N/A</v>
        <stp/>
        <stp>OPEN_INT</stp>
        <stp>.OPEN260619C3.5</stp>
        <tr r="Q41" s="1"/>
      </tp>
      <tp t="s">
        <v>N/A</v>
        <stp/>
        <stp>OPEN_INT</stp>
        <stp>.OPEN261218P7.5</stp>
        <tr r="W33" s="1"/>
      </tp>
      <tp t="s">
        <v>N/A</v>
        <stp/>
        <stp>OPEN_INT</stp>
        <stp>.OPEN261218C7.5</stp>
        <tr r="W33" s="1"/>
      </tp>
      <tp>
        <v>1572</v>
        <stp/>
        <stp>OPEN_INT</stp>
        <stp>.OPEN251205P7.5</stp>
        <tr r="F33" s="1"/>
        <tr r="F33" s="1"/>
      </tp>
      <tp>
        <v>2555</v>
        <stp/>
        <stp>OPEN_INT</stp>
        <stp>.OPEN251205C7.5</stp>
        <tr r="F33" s="1"/>
        <tr r="F33" s="1"/>
      </tp>
      <tp t="s">
        <v>N/A</v>
        <stp/>
        <stp>OPEN_INT</stp>
        <stp>.OPEN260102P4.5</stp>
        <tr r="J39" s="1"/>
      </tp>
      <tp t="s">
        <v>N/A</v>
        <stp/>
        <stp>OPEN_INT</stp>
        <stp>.OPEN260102C4.5</stp>
        <tr r="J39" s="1"/>
      </tp>
      <tp t="s">
        <v>N/A</v>
        <stp/>
        <stp>OPEN_INT</stp>
        <stp>.OPEN251009P5.5</stp>
        <tr r="B33" s="2"/>
      </tp>
      <tp t="s">
        <v>N/A</v>
        <stp/>
        <stp>OPEN_INT</stp>
        <stp>.OPEN251009C5.5</stp>
        <tr r="B33" s="2"/>
      </tp>
      <tp t="s">
        <v>N/A</v>
        <stp/>
        <stp>OPEN_INT</stp>
        <stp>.OPEN260109P4.5</stp>
        <tr r="K39" s="1"/>
      </tp>
      <tp t="s">
        <v>N/A</v>
        <stp/>
        <stp>OPEN_INT</stp>
        <stp>.OPEN260109C4.5</stp>
        <tr r="K39" s="1"/>
      </tp>
      <tp t="s">
        <v>N/A</v>
        <stp/>
        <stp>OPEN_INT</stp>
        <stp>.OPEN251030P5.5</stp>
        <tr r="Q33" s="2"/>
      </tp>
      <tp t="s">
        <v>N/A</v>
        <stp/>
        <stp>OPEN_INT</stp>
        <stp>.OPEN251030C5.5</stp>
        <tr r="Q33" s="2"/>
      </tp>
      <tp>
        <v>2823</v>
        <stp/>
        <stp>OPEN_INT</stp>
        <stp>.OPEN251031P5.5</stp>
        <tr r="R33" s="2"/>
        <tr r="R33" s="2"/>
      </tp>
      <tp t="s">
        <v>N/A</v>
        <stp/>
        <stp>OPEN_INT</stp>
        <stp>.OPEN251231P7.5</stp>
        <tr r="V29" s="2"/>
      </tp>
      <tp>
        <v>702</v>
        <stp/>
        <stp>OPEN_INT</stp>
        <stp>.OPEN251031C5.5</stp>
        <tr r="R33" s="2"/>
        <tr r="R33" s="2"/>
      </tp>
      <tp t="s">
        <v>N/A</v>
        <stp/>
        <stp>OPEN_INT</stp>
        <stp>.OPEN251231C7.5</stp>
        <tr r="V29" s="2"/>
      </tp>
      <tp>
        <v>6287</v>
        <stp/>
        <stp>OPEN_INT</stp>
        <stp>.OPEN251024P5.5</stp>
        <tr r="M33" s="2"/>
        <tr r="M33" s="2"/>
      </tp>
      <tp>
        <v>1627</v>
        <stp/>
        <stp>OPEN_INT</stp>
        <stp>.OPEN251024C5.5</stp>
        <tr r="M33" s="2"/>
        <tr r="M33" s="2"/>
      </tp>
      <tp>
        <v>305</v>
        <stp/>
        <stp>OPEN_INT</stp>
        <stp>.OPEN251226P7.5</stp>
        <tr r="I33" s="1"/>
        <tr r="I33" s="1"/>
      </tp>
      <tp>
        <v>58</v>
        <stp/>
        <stp>OPEN_INT</stp>
        <stp>.OPEN251226C7.5</stp>
        <tr r="I33" s="1"/>
        <tr r="I33" s="1"/>
      </tp>
      <tp t="s">
        <v>N/A</v>
        <stp/>
        <stp>OPEN_INT</stp>
        <stp>.OPEN251027P5.5</stp>
        <tr r="N33" s="2"/>
      </tp>
      <tp t="s">
        <v>N/A</v>
        <stp/>
        <stp>OPEN_INT</stp>
        <stp>.OPEN251027C5.5</stp>
        <tr r="N33" s="2"/>
      </tp>
      <tp t="s">
        <v>N/A</v>
        <stp/>
        <stp>OPEN_INT</stp>
        <stp>.OPEN251020P5.5</stp>
        <tr r="I33" s="2"/>
      </tp>
      <tp t="s">
        <v>N/A</v>
        <stp/>
        <stp>OPEN_INT</stp>
        <stp>.OPEN251020C5.5</stp>
        <tr r="I33" s="2"/>
      </tp>
      <tp t="s">
        <v>N/A</v>
        <stp/>
        <stp>OPEN_INT</stp>
        <stp>.OPEN251021P5.5</stp>
        <tr r="J33" s="2"/>
      </tp>
      <tp>
        <v>12601</v>
        <stp/>
        <stp>OPEN_INT</stp>
        <stp>.OPEN251121P4.5</stp>
        <tr r="D39" s="1"/>
        <tr r="D39" s="1"/>
        <tr r="S35" s="2"/>
        <tr r="S35" s="2"/>
      </tp>
      <tp t="s">
        <v>N/A</v>
        <stp/>
        <stp>OPEN_INT</stp>
        <stp>.OPEN251021C5.5</stp>
        <tr r="J33" s="2"/>
      </tp>
      <tp>
        <v>3450</v>
        <stp/>
        <stp>OPEN_INT</stp>
        <stp>.OPEN251121C4.5</stp>
        <tr r="D39" s="1"/>
        <tr r="D39" s="1"/>
        <tr r="S35" s="2"/>
        <tr r="S35" s="2"/>
      </tp>
      <tp t="s">
        <v>N/A</v>
        <stp/>
        <stp>OPEN_INT</stp>
        <stp>.OPEN251022P5.5</stp>
        <tr r="K33" s="2"/>
      </tp>
      <tp t="s">
        <v>N/A</v>
        <stp/>
        <stp>OPEN_INT</stp>
        <stp>.OPEN251022C5.5</stp>
        <tr r="K33" s="2"/>
      </tp>
      <tp t="s">
        <v>N/A</v>
        <stp/>
        <stp>OPEN_INT</stp>
        <stp>.OPEN251023P5.5</stp>
        <tr r="L33" s="2"/>
      </tp>
      <tp t="s">
        <v>N/A</v>
        <stp/>
        <stp>OPEN_INT</stp>
        <stp>.OPEN261120P4.5</stp>
        <tr r="V39" s="1"/>
      </tp>
      <tp t="s">
        <v>N/A</v>
        <stp/>
        <stp>OPEN_INT</stp>
        <stp>.OPEN260220P7.5</stp>
        <tr r="M33" s="1"/>
      </tp>
      <tp t="s">
        <v>N/A</v>
        <stp/>
        <stp>OPEN_INT</stp>
        <stp>.OPEN260320P6.5</stp>
        <tr r="N35" s="1"/>
      </tp>
      <tp t="s">
        <v>N/A</v>
        <stp/>
        <stp>OPEN_INT</stp>
        <stp>.OPEN260220C7.5</stp>
        <tr r="M33" s="1"/>
      </tp>
      <tp t="s">
        <v>N/A</v>
        <stp/>
        <stp>OPEN_INT</stp>
        <stp>.OPEN260320C6.5</stp>
        <tr r="N35" s="1"/>
      </tp>
      <tp t="s">
        <v>N/A</v>
        <stp/>
        <stp>OPEN_INT</stp>
        <stp>.OPEN251023C5.5</stp>
        <tr r="L33" s="2"/>
      </tp>
      <tp t="s">
        <v>N/A</v>
        <stp/>
        <stp>OPEN_INT</stp>
        <stp>.OPEN261120C4.5</stp>
        <tr r="V39" s="1"/>
      </tp>
      <tp t="s">
        <v>N/A</v>
        <stp/>
        <stp>OPEN_INT</stp>
        <stp>.OPEN251028P5.5</stp>
        <tr r="O33" s="2"/>
      </tp>
      <tp>
        <v>375</v>
        <stp/>
        <stp>OPEN_INT</stp>
        <stp>.OPEN251128P4.5</stp>
        <tr r="E39" s="1"/>
        <tr r="E39" s="1"/>
        <tr r="T35" s="2"/>
        <tr r="T35" s="2"/>
      </tp>
      <tp t="s">
        <v>N/A</v>
        <stp/>
        <stp>OPEN_INT</stp>
        <stp>.OPEN251028C5.5</stp>
        <tr r="O33" s="2"/>
      </tp>
      <tp>
        <v>175</v>
        <stp/>
        <stp>OPEN_INT</stp>
        <stp>.OPEN251128C4.5</stp>
        <tr r="E39" s="1"/>
        <tr r="E39" s="1"/>
        <tr r="T35" s="2"/>
        <tr r="T35" s="2"/>
      </tp>
      <tp t="s">
        <v>N/A</v>
        <stp/>
        <stp>OPEN_INT</stp>
        <stp>.OPEN251029P5.5</stp>
        <tr r="P33" s="2"/>
      </tp>
      <tp t="s">
        <v>N/A</v>
        <stp/>
        <stp>OPEN_INT</stp>
        <stp>.OPEN251029C5.5</stp>
        <tr r="P33" s="2"/>
      </tp>
      <tp t="s">
        <v>N/A</v>
        <stp/>
        <stp>OPEN_INT</stp>
        <stp>.OPEN251014P2.5</stp>
        <tr r="E39" s="2"/>
      </tp>
      <tp>
        <v>392</v>
        <stp/>
        <stp>OPEN_INT</stp>
        <stp>.OPEN251114P3.5</stp>
        <tr r="BM52" s="5"/>
        <tr r="BM52" s="5"/>
        <tr r="BL52" s="1"/>
        <tr r="BL52" s="1"/>
        <tr r="C41" s="1"/>
        <tr r="C41" s="1"/>
        <tr r="BM5" s="5"/>
        <tr r="BM5" s="5"/>
        <tr r="BM49" s="5"/>
        <tr r="BM49" s="5"/>
        <tr r="BM47" s="5"/>
        <tr r="BM47" s="5"/>
        <tr r="BM45" s="5"/>
        <tr r="BM45" s="5"/>
        <tr r="BM43" s="5"/>
        <tr r="BM43" s="5"/>
        <tr r="BM15" s="5"/>
        <tr r="BM15" s="5"/>
        <tr r="BM17" s="5"/>
        <tr r="BM17" s="5"/>
        <tr r="BM37" s="5"/>
        <tr r="BM37" s="5"/>
        <tr r="BM35" s="5"/>
        <tr r="BM35" s="5"/>
        <tr r="BM23" s="5"/>
        <tr r="BM23" s="5"/>
        <tr r="BM31" s="5"/>
        <tr r="BM31" s="5"/>
        <tr r="BM29" s="5"/>
        <tr r="BM29" s="5"/>
        <tr r="BL51" s="1"/>
        <tr r="BL51" s="1"/>
        <tr r="BL7" s="1"/>
        <tr r="BL7" s="1"/>
        <tr r="BL9" s="1"/>
        <tr r="BL9" s="1"/>
        <tr r="BL11" s="1"/>
        <tr r="BL11" s="1"/>
        <tr r="BL43" s="1"/>
        <tr r="BL43" s="1"/>
        <tr r="BL41" s="1"/>
        <tr r="BL41" s="1"/>
        <tr r="BL39" s="1"/>
        <tr r="BL39" s="1"/>
        <tr r="BL19" s="1"/>
        <tr r="BL19" s="1"/>
        <tr r="BL35" s="1"/>
        <tr r="BL35" s="1"/>
        <tr r="BL23" s="1"/>
        <tr r="BL23" s="1"/>
        <tr r="BL25" s="1"/>
        <tr r="BL25" s="1"/>
        <tr r="BL27" s="1"/>
        <tr r="BL27" s="1"/>
        <tr r="BM6" s="5"/>
        <tr r="BM6" s="5"/>
        <tr r="BM48" s="5"/>
        <tr r="BM48" s="5"/>
        <tr r="BM10" s="5"/>
        <tr r="BM10" s="5"/>
        <tr r="BM12" s="5"/>
        <tr r="BM12" s="5"/>
        <tr r="BM42" s="5"/>
        <tr r="BM42" s="5"/>
        <tr r="BM40" s="5"/>
        <tr r="BM40" s="5"/>
        <tr r="BM18" s="5"/>
        <tr r="BM18" s="5"/>
        <tr r="BM20" s="5"/>
        <tr r="BM20" s="5"/>
        <tr r="BM22" s="5"/>
        <tr r="BM22" s="5"/>
        <tr r="BM32" s="5"/>
        <tr r="BM32" s="5"/>
        <tr r="BM26" s="5"/>
        <tr r="BM26" s="5"/>
        <tr r="BM28" s="5"/>
        <tr r="BM28" s="5"/>
        <tr r="BL6" s="1"/>
        <tr r="BL6" s="1"/>
        <tr r="BL8" s="1"/>
        <tr r="BL8" s="1"/>
        <tr r="BL46" s="1"/>
        <tr r="BL46" s="1"/>
        <tr r="BL44" s="1"/>
        <tr r="BL44" s="1"/>
        <tr r="BL42" s="1"/>
        <tr r="BL42" s="1"/>
        <tr r="BL40" s="1"/>
        <tr r="BL40" s="1"/>
        <tr r="BL18" s="1"/>
        <tr r="BL18" s="1"/>
        <tr r="BL20" s="1"/>
        <tr r="BL20" s="1"/>
        <tr r="BL34" s="1"/>
        <tr r="BL34" s="1"/>
        <tr r="BL32" s="1"/>
        <tr r="BL32" s="1"/>
        <tr r="BL30" s="1"/>
        <tr r="BL30" s="1"/>
        <tr r="BL28" s="1"/>
        <tr r="BL28" s="1"/>
        <tr r="BM50" s="5"/>
        <tr r="BM50" s="5"/>
        <tr r="BM8" s="5"/>
        <tr r="BM8" s="5"/>
        <tr r="BM46" s="5"/>
        <tr r="BM46" s="5"/>
        <tr r="BM44" s="5"/>
        <tr r="BM44" s="5"/>
        <tr r="BM14" s="5"/>
        <tr r="BM14" s="5"/>
        <tr r="BM16" s="5"/>
        <tr r="BM16" s="5"/>
        <tr r="BM38" s="5"/>
        <tr r="BM38" s="5"/>
        <tr r="BM36" s="5"/>
        <tr r="BM36" s="5"/>
        <tr r="BM34" s="5"/>
        <tr r="BM34" s="5"/>
        <tr r="BM24" s="5"/>
        <tr r="BM24" s="5"/>
        <tr r="BM30" s="5"/>
        <tr r="BM30" s="5"/>
        <tr r="BL50" s="1"/>
        <tr r="BL50" s="1"/>
        <tr r="BL48" s="1"/>
        <tr r="BL48" s="1"/>
        <tr r="BL10" s="1"/>
        <tr r="BL10" s="1"/>
        <tr r="BL12" s="1"/>
        <tr r="BL12" s="1"/>
        <tr r="BL14" s="1"/>
        <tr r="BL14" s="1"/>
        <tr r="BL16" s="1"/>
        <tr r="BL16" s="1"/>
        <tr r="BL38" s="1"/>
        <tr r="BL38" s="1"/>
        <tr r="BL36" s="1"/>
        <tr r="BL36" s="1"/>
        <tr r="BL22" s="1"/>
        <tr r="BL22" s="1"/>
        <tr r="BL24" s="1"/>
        <tr r="BL24" s="1"/>
        <tr r="BL26" s="1"/>
        <tr r="BL26" s="1"/>
        <tr r="BM51" s="5"/>
        <tr r="BM51" s="5"/>
        <tr r="BM7" s="5"/>
        <tr r="BM7" s="5"/>
        <tr r="BM9" s="5"/>
        <tr r="BM9" s="5"/>
        <tr r="BM11" s="5"/>
        <tr r="BM11" s="5"/>
        <tr r="BM13" s="5"/>
        <tr r="BM13" s="5"/>
        <tr r="BM41" s="5"/>
        <tr r="BM41" s="5"/>
        <tr r="BM39" s="5"/>
        <tr r="BM39" s="5"/>
        <tr r="BM19" s="5"/>
        <tr r="BM19" s="5"/>
        <tr r="BM21" s="5"/>
        <tr r="BM21" s="5"/>
        <tr r="BM33" s="5"/>
        <tr r="BM33" s="5"/>
        <tr r="BM25" s="5"/>
        <tr r="BM25" s="5"/>
        <tr r="BM27" s="5"/>
        <tr r="BM27" s="5"/>
        <tr r="BL5" s="1"/>
        <tr r="BL5" s="1"/>
        <tr r="BL49" s="1"/>
        <tr r="BL49" s="1"/>
        <tr r="BL47" s="1"/>
        <tr r="BL47" s="1"/>
        <tr r="BL45" s="1"/>
        <tr r="BL45" s="1"/>
        <tr r="BL13" s="1"/>
        <tr r="BL13" s="1"/>
        <tr r="BL15" s="1"/>
        <tr r="BL15" s="1"/>
        <tr r="BL17" s="1"/>
        <tr r="BL17" s="1"/>
        <tr r="BL37" s="1"/>
        <tr r="BL37" s="1"/>
        <tr r="BL21" s="1"/>
        <tr r="BL21" s="1"/>
        <tr r="BL33" s="1"/>
        <tr r="BL33" s="1"/>
        <tr r="BL31" s="1"/>
        <tr r="BL31" s="1"/>
        <tr r="BL29" s="1"/>
        <tr r="BL29" s="1"/>
      </tp>
      <tp t="s">
        <v>N/A</v>
        <stp/>
        <stp>OPEN_INT</stp>
        <stp>.OPEN260417P6.5</stp>
        <tr r="O35" s="1"/>
      </tp>
      <tp t="s">
        <v>N/A</v>
        <stp/>
        <stp>OPEN_INT</stp>
        <stp>.OPEN260717P5.5</stp>
        <tr r="R37" s="1"/>
      </tp>
      <tp t="s">
        <v>N/A</v>
        <stp/>
        <stp>OPEN_INT</stp>
        <stp>.OPEN260417C6.5</stp>
        <tr r="O35" s="1"/>
      </tp>
      <tp t="s">
        <v>N/A</v>
        <stp/>
        <stp>OPEN_INT</stp>
        <stp>.OPEN260717C5.5</stp>
        <tr r="R37" s="1"/>
      </tp>
      <tp t="s">
        <v>N/A</v>
        <stp/>
        <stp>OPEN_INT</stp>
        <stp>.OPEN251014C2.5</stp>
        <tr r="E39" s="2"/>
      </tp>
      <tp>
        <v>16</v>
        <stp/>
        <stp>OPEN_INT</stp>
        <stp>.OPEN251114C3.5</stp>
        <tr r="BM52" s="5"/>
        <tr r="BM52" s="5"/>
        <tr r="BL52" s="1"/>
        <tr r="BL52" s="1"/>
        <tr r="C41" s="1"/>
        <tr r="C41" s="1"/>
        <tr r="BM5" s="5"/>
        <tr r="BM5" s="5"/>
        <tr r="BM49" s="5"/>
        <tr r="BM49" s="5"/>
        <tr r="BM47" s="5"/>
        <tr r="BM47" s="5"/>
        <tr r="BM45" s="5"/>
        <tr r="BM45" s="5"/>
        <tr r="BM43" s="5"/>
        <tr r="BM43" s="5"/>
        <tr r="BM15" s="5"/>
        <tr r="BM15" s="5"/>
        <tr r="BM17" s="5"/>
        <tr r="BM17" s="5"/>
        <tr r="BM37" s="5"/>
        <tr r="BM37" s="5"/>
        <tr r="BM35" s="5"/>
        <tr r="BM35" s="5"/>
        <tr r="BM23" s="5"/>
        <tr r="BM23" s="5"/>
        <tr r="BM31" s="5"/>
        <tr r="BM31" s="5"/>
        <tr r="BM29" s="5"/>
        <tr r="BM29" s="5"/>
        <tr r="BL51" s="1"/>
        <tr r="BL51" s="1"/>
        <tr r="BL7" s="1"/>
        <tr r="BL7" s="1"/>
        <tr r="BL9" s="1"/>
        <tr r="BL9" s="1"/>
        <tr r="BL11" s="1"/>
        <tr r="BL11" s="1"/>
        <tr r="BL43" s="1"/>
        <tr r="BL43" s="1"/>
        <tr r="BL41" s="1"/>
        <tr r="BL41" s="1"/>
        <tr r="BL39" s="1"/>
        <tr r="BL39" s="1"/>
        <tr r="BL19" s="1"/>
        <tr r="BL19" s="1"/>
        <tr r="BL35" s="1"/>
        <tr r="BL35" s="1"/>
        <tr r="BL23" s="1"/>
        <tr r="BL23" s="1"/>
        <tr r="BL25" s="1"/>
        <tr r="BL25" s="1"/>
        <tr r="BL27" s="1"/>
        <tr r="BL27" s="1"/>
        <tr r="BM6" s="5"/>
        <tr r="BM6" s="5"/>
        <tr r="BM48" s="5"/>
        <tr r="BM48" s="5"/>
        <tr r="BM10" s="5"/>
        <tr r="BM10" s="5"/>
        <tr r="BM12" s="5"/>
        <tr r="BM12" s="5"/>
        <tr r="BM42" s="5"/>
        <tr r="BM42" s="5"/>
        <tr r="BM40" s="5"/>
        <tr r="BM40" s="5"/>
        <tr r="BM18" s="5"/>
        <tr r="BM18" s="5"/>
        <tr r="BM20" s="5"/>
        <tr r="BM20" s="5"/>
        <tr r="BM22" s="5"/>
        <tr r="BM22" s="5"/>
        <tr r="BM32" s="5"/>
        <tr r="BM32" s="5"/>
        <tr r="BM26" s="5"/>
        <tr r="BM26" s="5"/>
        <tr r="BM28" s="5"/>
        <tr r="BM28" s="5"/>
        <tr r="BL6" s="1"/>
        <tr r="BL6" s="1"/>
        <tr r="BL8" s="1"/>
        <tr r="BL8" s="1"/>
        <tr r="BL46" s="1"/>
        <tr r="BL46" s="1"/>
        <tr r="BL44" s="1"/>
        <tr r="BL44" s="1"/>
        <tr r="BL42" s="1"/>
        <tr r="BL42" s="1"/>
        <tr r="BL40" s="1"/>
        <tr r="BL40" s="1"/>
        <tr r="BL18" s="1"/>
        <tr r="BL18" s="1"/>
        <tr r="BL20" s="1"/>
        <tr r="BL20" s="1"/>
        <tr r="BL34" s="1"/>
        <tr r="BL34" s="1"/>
        <tr r="BL32" s="1"/>
        <tr r="BL32" s="1"/>
        <tr r="BL30" s="1"/>
        <tr r="BL30" s="1"/>
        <tr r="BL28" s="1"/>
        <tr r="BL28" s="1"/>
        <tr r="BM50" s="5"/>
        <tr r="BM50" s="5"/>
        <tr r="BM8" s="5"/>
        <tr r="BM8" s="5"/>
        <tr r="BM46" s="5"/>
        <tr r="BM46" s="5"/>
        <tr r="BM44" s="5"/>
        <tr r="BM44" s="5"/>
        <tr r="BM14" s="5"/>
        <tr r="BM14" s="5"/>
        <tr r="BM16" s="5"/>
        <tr r="BM16" s="5"/>
        <tr r="BM38" s="5"/>
        <tr r="BM38" s="5"/>
        <tr r="BM36" s="5"/>
        <tr r="BM36" s="5"/>
        <tr r="BM34" s="5"/>
        <tr r="BM34" s="5"/>
        <tr r="BM24" s="5"/>
        <tr r="BM24" s="5"/>
        <tr r="BM30" s="5"/>
        <tr r="BM30" s="5"/>
        <tr r="BL50" s="1"/>
        <tr r="BL50" s="1"/>
        <tr r="BL48" s="1"/>
        <tr r="BL48" s="1"/>
        <tr r="BL10" s="1"/>
        <tr r="BL10" s="1"/>
        <tr r="BL12" s="1"/>
        <tr r="BL12" s="1"/>
        <tr r="BL14" s="1"/>
        <tr r="BL14" s="1"/>
        <tr r="BL16" s="1"/>
        <tr r="BL16" s="1"/>
        <tr r="BL38" s="1"/>
        <tr r="BL38" s="1"/>
        <tr r="BL36" s="1"/>
        <tr r="BL36" s="1"/>
        <tr r="BL22" s="1"/>
        <tr r="BL22" s="1"/>
        <tr r="BL24" s="1"/>
        <tr r="BL24" s="1"/>
        <tr r="BL26" s="1"/>
        <tr r="BL26" s="1"/>
        <tr r="BM51" s="5"/>
        <tr r="BM51" s="5"/>
        <tr r="BM7" s="5"/>
        <tr r="BM7" s="5"/>
        <tr r="BM9" s="5"/>
        <tr r="BM9" s="5"/>
        <tr r="BM11" s="5"/>
        <tr r="BM11" s="5"/>
        <tr r="BM13" s="5"/>
        <tr r="BM13" s="5"/>
        <tr r="BM41" s="5"/>
        <tr r="BM41" s="5"/>
        <tr r="BM39" s="5"/>
        <tr r="BM39" s="5"/>
        <tr r="BM19" s="5"/>
        <tr r="BM19" s="5"/>
        <tr r="BM21" s="5"/>
        <tr r="BM21" s="5"/>
        <tr r="BM33" s="5"/>
        <tr r="BM33" s="5"/>
        <tr r="BM25" s="5"/>
        <tr r="BM25" s="5"/>
        <tr r="BM27" s="5"/>
        <tr r="BM27" s="5"/>
        <tr r="BL5" s="1"/>
        <tr r="BL5" s="1"/>
        <tr r="BL49" s="1"/>
        <tr r="BL49" s="1"/>
        <tr r="BL47" s="1"/>
        <tr r="BL47" s="1"/>
        <tr r="BL45" s="1"/>
        <tr r="BL45" s="1"/>
        <tr r="BL13" s="1"/>
        <tr r="BL13" s="1"/>
        <tr r="BL15" s="1"/>
        <tr r="BL15" s="1"/>
        <tr r="BL17" s="1"/>
        <tr r="BL17" s="1"/>
        <tr r="BL37" s="1"/>
        <tr r="BL37" s="1"/>
        <tr r="BL21" s="1"/>
        <tr r="BL21" s="1"/>
        <tr r="BL33" s="1"/>
        <tr r="BL33" s="1"/>
        <tr r="BL31" s="1"/>
        <tr r="BL31" s="1"/>
        <tr r="BL29" s="1"/>
        <tr r="BL29" s="1"/>
      </tp>
      <tp t="s">
        <v>N/A</v>
        <stp/>
        <stp>OPEN_INT</stp>
        <stp>.OPEN251015P2.5</stp>
        <tr r="F39" s="2"/>
      </tp>
      <tp t="s">
        <v>N/A</v>
        <stp/>
        <stp>OPEN_INT</stp>
        <stp>.OPEN261016P2.5</stp>
        <tr r="U43" s="1"/>
      </tp>
      <tp>
        <v>2851</v>
        <stp/>
        <stp>OPEN_INT</stp>
        <stp>.OPEN260116P3.5</stp>
        <tr r="L41" s="1"/>
        <tr r="L41" s="1"/>
        <tr r="W37" s="2"/>
        <tr r="W37" s="2"/>
      </tp>
      <tp>
        <v>6291</v>
        <stp/>
        <stp>OPEN_INT</stp>
        <stp>.OPEN260116C3.5</stp>
        <tr r="L41" s="1"/>
        <tr r="L41" s="1"/>
        <tr r="W37" s="2"/>
        <tr r="W37" s="2"/>
      </tp>
      <tp t="s">
        <v>N/A</v>
        <stp/>
        <stp>OPEN_INT</stp>
        <stp>.OPEN251015C2.5</stp>
        <tr r="F39" s="2"/>
      </tp>
      <tp t="s">
        <v>N/A</v>
        <stp/>
        <stp>OPEN_INT</stp>
        <stp>.OPEN261016C2.5</stp>
        <tr r="U43" s="1"/>
      </tp>
      <tp t="s">
        <v>N/A</v>
        <stp/>
        <stp>OPEN_INT</stp>
        <stp>.OPEN251016P2.5</stp>
        <tr r="G39" s="2"/>
      </tp>
      <tp t="s">
        <v>N/A</v>
        <stp/>
        <stp>OPEN_INT</stp>
        <stp>.OPEN260515P7.5</stp>
        <tr r="P33" s="1"/>
      </tp>
      <tp t="s">
        <v>N/A</v>
        <stp/>
        <stp>OPEN_INT</stp>
        <stp>.OPEN260515C7.5</stp>
        <tr r="P33" s="1"/>
      </tp>
      <tp t="s">
        <v>N/A</v>
        <stp/>
        <stp>OPEN_INT</stp>
        <stp>.OPEN251016C2.5</stp>
        <tr r="G39" s="2"/>
      </tp>
      <tp>
        <v>9986</v>
        <stp/>
        <stp>OPEN_INT</stp>
        <stp>.OPEN251017P2.5</stp>
        <tr r="H39" s="2"/>
        <tr r="H39" s="2"/>
      </tp>
      <tp>
        <v>224</v>
        <stp/>
        <stp>OPEN_INT</stp>
        <stp>.OPEN251017C2.5</stp>
        <tr r="H39" s="2"/>
        <tr r="H39" s="2"/>
      </tp>
      <tp>
        <v>1897</v>
        <stp/>
        <stp>OPEN_INT</stp>
        <stp>.OPEN251010P2.5</stp>
        <tr r="C39" s="2"/>
        <tr r="C39" s="2"/>
      </tp>
      <tp>
        <v>93</v>
        <stp/>
        <stp>OPEN_INT</stp>
        <stp>.OPEN251010C2.5</stp>
        <tr r="C39" s="2"/>
        <tr r="C39" s="2"/>
      </tp>
      <tp t="s">
        <v>N/A</v>
        <stp/>
        <stp>OPEN_INT</stp>
        <stp>.OPEN251212P0.5</stp>
        <tr r="G47" s="1"/>
      </tp>
      <tp t="s">
        <v>N/A</v>
        <stp/>
        <stp>OPEN_INT</stp>
        <stp>.OPEN251212C0.5</stp>
        <tr r="G47" s="1"/>
      </tp>
      <tp t="s">
        <v>N/A</v>
        <stp/>
        <stp>OPEN_INT</stp>
        <stp>.OPEN251013P2.5</stp>
        <tr r="D39" s="2"/>
      </tp>
      <tp t="s">
        <v>N/A</v>
        <stp/>
        <stp>OPEN_INT</stp>
        <stp>.OPEN251013C2.5</stp>
        <tr r="D39" s="2"/>
      </tp>
      <tp t="s">
        <v>N/A</v>
        <stp/>
        <stp>OPEN_INT</stp>
        <stp>.OPEN251219P0.5</stp>
        <tr r="H47" s="1"/>
        <tr r="U43" s="2"/>
      </tp>
      <tp t="s">
        <v>N/A</v>
        <stp/>
        <stp>OPEN_INT</stp>
        <stp>.OPEN251219C0.5</stp>
        <tr r="H47" s="1"/>
        <tr r="U43" s="2"/>
      </tp>
      <tp t="s">
        <v>N/A</v>
        <stp/>
        <stp>OPEN_INT</stp>
        <stp>.OPEN260619P4.5</stp>
        <tr r="Q39" s="1"/>
      </tp>
      <tp t="s">
        <v>N/A</v>
        <stp/>
        <stp>OPEN_INT</stp>
        <stp>.OPEN260619C4.5</stp>
        <tr r="Q39" s="1"/>
      </tp>
      <tp t="s">
        <v>N/A</v>
        <stp/>
        <stp>OPEN_INT</stp>
        <stp>.OPEN261218P0.5</stp>
        <tr r="W47" s="1"/>
      </tp>
      <tp t="s">
        <v>N/A</v>
        <stp/>
        <stp>OPEN_INT</stp>
        <stp>.OPEN261218C0.5</stp>
        <tr r="W47" s="1"/>
      </tp>
      <tp t="s">
        <v>N/A</v>
        <stp/>
        <stp>OPEN_INT</stp>
        <stp>.OPEN251205P0.5</stp>
        <tr r="F47" s="1"/>
      </tp>
      <tp t="s">
        <v>N/A</v>
        <stp/>
        <stp>OPEN_INT</stp>
        <stp>.OPEN251205C0.5</stp>
        <tr r="F47" s="1"/>
      </tp>
      <tp t="s">
        <v>N/A</v>
        <stp/>
        <stp>OPEN_INT</stp>
        <stp>.OPEN260102P3.5</stp>
        <tr r="J41" s="1"/>
      </tp>
      <tp t="s">
        <v>N/A</v>
        <stp/>
        <stp>OPEN_INT</stp>
        <stp>.OPEN260102C3.5</stp>
        <tr r="J41" s="1"/>
      </tp>
      <tp t="s">
        <v>N/A</v>
        <stp/>
        <stp>OPEN_INT</stp>
        <stp>.OPEN251009P2.5</stp>
        <tr r="B39" s="2"/>
      </tp>
      <tp t="s">
        <v>N/A</v>
        <stp/>
        <stp>OPEN_INT</stp>
        <stp>.OPEN251009C2.5</stp>
        <tr r="B39" s="2"/>
      </tp>
      <tp t="s">
        <v>N/A</v>
        <stp/>
        <stp>OPEN_INT</stp>
        <stp>.OPEN260109P3.5</stp>
        <tr r="K41" s="1"/>
      </tp>
      <tp t="s">
        <v>N/A</v>
        <stp/>
        <stp>OPEN_INT</stp>
        <stp>.OPEN260109C3.5</stp>
        <tr r="K41" s="1"/>
      </tp>
      <tp t="s">
        <v>N/A</v>
        <stp/>
        <stp>OPEN_INT</stp>
        <stp>.OPEN251030P2.5</stp>
        <tr r="Q39" s="2"/>
      </tp>
      <tp t="s">
        <v>N/A</v>
        <stp/>
        <stp>OPEN_INT</stp>
        <stp>.OPEN251030C2.5</stp>
        <tr r="Q39" s="2"/>
      </tp>
      <tp>
        <v>612</v>
        <stp/>
        <stp>OPEN_INT</stp>
        <stp>.OPEN251031P2.5</stp>
        <tr r="R39" s="2"/>
        <tr r="R39" s="2"/>
      </tp>
      <tp t="s">
        <v>N/A</v>
        <stp/>
        <stp>OPEN_INT</stp>
        <stp>.OPEN251231P0.5</stp>
        <tr r="V43" s="2"/>
      </tp>
      <tp>
        <v>17</v>
        <stp/>
        <stp>OPEN_INT</stp>
        <stp>.OPEN251031C2.5</stp>
        <tr r="R39" s="2"/>
        <tr r="R39" s="2"/>
      </tp>
      <tp t="s">
        <v>N/A</v>
        <stp/>
        <stp>OPEN_INT</stp>
        <stp>.OPEN251231C0.5</stp>
        <tr r="V43" s="2"/>
      </tp>
      <tp>
        <v>399</v>
        <stp/>
        <stp>OPEN_INT</stp>
        <stp>.OPEN251024P2.5</stp>
        <tr r="M39" s="2"/>
        <tr r="M39" s="2"/>
      </tp>
      <tp>
        <v>90</v>
        <stp/>
        <stp>OPEN_INT</stp>
        <stp>.OPEN251024C2.5</stp>
        <tr r="M39" s="2"/>
        <tr r="M39" s="2"/>
      </tp>
      <tp t="s">
        <v>N/A</v>
        <stp/>
        <stp>OPEN_INT</stp>
        <stp>.OPEN251226P0.5</stp>
        <tr r="I47" s="1"/>
      </tp>
      <tp t="s">
        <v>N/A</v>
        <stp/>
        <stp>OPEN_INT</stp>
        <stp>.OPEN251226C0.5</stp>
        <tr r="I47" s="1"/>
      </tp>
      <tp t="s">
        <v>N/A</v>
        <stp/>
        <stp>OPEN_INT</stp>
        <stp>.OPEN251027P2.5</stp>
        <tr r="N39" s="2"/>
      </tp>
      <tp t="s">
        <v>N/A</v>
        <stp/>
        <stp>OPEN_INT</stp>
        <stp>.OPEN251027C2.5</stp>
        <tr r="N39" s="2"/>
      </tp>
      <tp t="s">
        <v>N/A</v>
        <stp/>
        <stp>OPEN_INT</stp>
        <stp>.OPEN251020P2.5</stp>
        <tr r="I39" s="2"/>
      </tp>
      <tp t="s">
        <v>N/A</v>
        <stp/>
        <stp>OPEN_INT</stp>
        <stp>.OPEN251020C2.5</stp>
        <tr r="I39" s="2"/>
      </tp>
      <tp t="s">
        <v>N/A</v>
        <stp/>
        <stp>OPEN_INT</stp>
        <stp>.OPEN251021P2.5</stp>
        <tr r="J39" s="2"/>
      </tp>
      <tp>
        <v>3526</v>
        <stp/>
        <stp>OPEN_INT</stp>
        <stp>.OPEN251121P3.5</stp>
        <tr r="D41" s="1"/>
        <tr r="D41" s="1"/>
        <tr r="S37" s="2"/>
        <tr r="S37" s="2"/>
      </tp>
      <tp t="s">
        <v>N/A</v>
        <stp/>
        <stp>OPEN_INT</stp>
        <stp>.OPEN251021C2.5</stp>
        <tr r="J39" s="2"/>
      </tp>
      <tp>
        <v>2390</v>
        <stp/>
        <stp>OPEN_INT</stp>
        <stp>.OPEN251121C3.5</stp>
        <tr r="D41" s="1"/>
        <tr r="D41" s="1"/>
        <tr r="S37" s="2"/>
        <tr r="S37" s="2"/>
      </tp>
      <tp t="s">
        <v>N/A</v>
        <stp/>
        <stp>OPEN_INT</stp>
        <stp>.OPEN251022P2.5</stp>
        <tr r="K39" s="2"/>
      </tp>
      <tp t="s">
        <v>N/A</v>
        <stp/>
        <stp>OPEN_INT</stp>
        <stp>.OPEN251022C2.5</stp>
        <tr r="K39" s="2"/>
      </tp>
      <tp t="s">
        <v>N/A</v>
        <stp/>
        <stp>OPEN_INT</stp>
        <stp>.OPEN251023P2.5</stp>
        <tr r="L39" s="2"/>
      </tp>
      <tp t="s">
        <v>N/A</v>
        <stp/>
        <stp>OPEN_INT</stp>
        <stp>.OPEN261120P3.5</stp>
        <tr r="V41" s="1"/>
      </tp>
      <tp>
        <v>3363</v>
        <stp/>
        <stp>OPEN_INT</stp>
        <stp>.OPEN260220P0.5</stp>
        <tr r="M47" s="1"/>
        <tr r="M47" s="1"/>
      </tp>
      <tp t="s">
        <v>N/A</v>
        <stp/>
        <stp>OPEN_INT</stp>
        <stp>.OPEN260320P1.5</stp>
        <tr r="N45" s="1"/>
      </tp>
      <tp>
        <v>804</v>
        <stp/>
        <stp>OPEN_INT</stp>
        <stp>.OPEN260220C0.5</stp>
        <tr r="M47" s="1"/>
        <tr r="M47" s="1"/>
      </tp>
      <tp t="s">
        <v>N/A</v>
        <stp/>
        <stp>OPEN_INT</stp>
        <stp>.OPEN260320C1.5</stp>
        <tr r="N45" s="1"/>
      </tp>
      <tp t="s">
        <v>N/A</v>
        <stp/>
        <stp>OPEN_INT</stp>
        <stp>.OPEN251023C2.5</stp>
        <tr r="L39" s="2"/>
      </tp>
      <tp t="s">
        <v>N/A</v>
        <stp/>
        <stp>OPEN_INT</stp>
        <stp>.OPEN261120C3.5</stp>
        <tr r="V41" s="1"/>
      </tp>
      <tp t="s">
        <v>N/A</v>
        <stp/>
        <stp>OPEN_INT</stp>
        <stp>.OPEN251028P2.5</stp>
        <tr r="O39" s="2"/>
      </tp>
      <tp>
        <v>101</v>
        <stp/>
        <stp>OPEN_INT</stp>
        <stp>.OPEN251128P3.5</stp>
        <tr r="E41" s="1"/>
        <tr r="E41" s="1"/>
        <tr r="T37" s="2"/>
        <tr r="T37" s="2"/>
      </tp>
      <tp t="s">
        <v>N/A</v>
        <stp/>
        <stp>OPEN_INT</stp>
        <stp>.OPEN251028C2.5</stp>
        <tr r="O39" s="2"/>
      </tp>
      <tp>
        <v>54</v>
        <stp/>
        <stp>OPEN_INT</stp>
        <stp>.OPEN251128C3.5</stp>
        <tr r="E41" s="1"/>
        <tr r="E41" s="1"/>
        <tr r="T37" s="2"/>
        <tr r="T37" s="2"/>
      </tp>
      <tp t="s">
        <v>N/A</v>
        <stp/>
        <stp>OPEN_INT</stp>
        <stp>.OPEN251029P2.5</stp>
        <tr r="P39" s="2"/>
      </tp>
      <tp t="s">
        <v>N/A</v>
        <stp/>
        <stp>OPEN_INT</stp>
        <stp>.OPEN251029C2.5</stp>
        <tr r="P39" s="2"/>
      </tp>
      <tp t="s">
        <v>N/A</v>
        <stp/>
        <stp>OPEN_INT</stp>
        <stp>.OPEN251014P3.5</stp>
        <tr r="E37" s="2"/>
      </tp>
      <tp>
        <v>63</v>
        <stp/>
        <stp>OPEN_INT</stp>
        <stp>.OPEN251114P2.5</stp>
        <tr r="C43" s="1"/>
        <tr r="C43" s="1"/>
        <tr r="BN52" s="1"/>
        <tr r="BN52" s="1"/>
        <tr r="BO52" s="5"/>
        <tr r="BO52" s="5"/>
        <tr r="BO5" s="5"/>
        <tr r="BO5" s="5"/>
        <tr r="BO49" s="5"/>
        <tr r="BO49" s="5"/>
        <tr r="BO9" s="5"/>
        <tr r="BO9" s="5"/>
        <tr r="BO45" s="5"/>
        <tr r="BO45" s="5"/>
        <tr r="BO43" s="5"/>
        <tr r="BO43" s="5"/>
        <tr r="BO15" s="5"/>
        <tr r="BO15" s="5"/>
        <tr r="BO17" s="5"/>
        <tr r="BO17" s="5"/>
        <tr r="BO19" s="5"/>
        <tr r="BO19" s="5"/>
        <tr r="BO35" s="5"/>
        <tr r="BO35" s="5"/>
        <tr r="BO23" s="5"/>
        <tr r="BO23" s="5"/>
        <tr r="BO31" s="5"/>
        <tr r="BO31" s="5"/>
        <tr r="BO29" s="5"/>
        <tr r="BO29" s="5"/>
        <tr r="BN51" s="1"/>
        <tr r="BN51" s="1"/>
        <tr r="BN49" s="1"/>
        <tr r="BN49" s="1"/>
        <tr r="BN9" s="1"/>
        <tr r="BN9" s="1"/>
        <tr r="BN11" s="1"/>
        <tr r="BN11" s="1"/>
        <tr r="BN43" s="1"/>
        <tr r="BN43" s="1"/>
        <tr r="BN41" s="1"/>
        <tr r="BN41" s="1"/>
        <tr r="BN17" s="1"/>
        <tr r="BN17" s="1"/>
        <tr r="BN19" s="1"/>
        <tr r="BN19" s="1"/>
        <tr r="BN21" s="1"/>
        <tr r="BN21" s="1"/>
        <tr r="BN23" s="1"/>
        <tr r="BN23" s="1"/>
        <tr r="BN25" s="1"/>
        <tr r="BN25" s="1"/>
        <tr r="BN27" s="1"/>
        <tr r="BN27" s="1"/>
        <tr r="BO6" s="5"/>
        <tr r="BO6" s="5"/>
        <tr r="BO48" s="5"/>
        <tr r="BO48" s="5"/>
        <tr r="BO10" s="5"/>
        <tr r="BO10" s="5"/>
        <tr r="BO12" s="5"/>
        <tr r="BO12" s="5"/>
        <tr r="BO42" s="5"/>
        <tr r="BO42" s="5"/>
        <tr r="BO40" s="5"/>
        <tr r="BO40" s="5"/>
        <tr r="BO18" s="5"/>
        <tr r="BO18" s="5"/>
        <tr r="BO20" s="5"/>
        <tr r="BO20" s="5"/>
        <tr r="BO22" s="5"/>
        <tr r="BO22" s="5"/>
        <tr r="BO32" s="5"/>
        <tr r="BO32" s="5"/>
        <tr r="BO30" s="5"/>
        <tr r="BO30" s="5"/>
        <tr r="BO28" s="5"/>
        <tr r="BO28" s="5"/>
        <tr r="BN6" s="1"/>
        <tr r="BN6" s="1"/>
        <tr r="BN48" s="1"/>
        <tr r="BN48" s="1"/>
        <tr r="BN10" s="1"/>
        <tr r="BN10" s="1"/>
        <tr r="BN44" s="1"/>
        <tr r="BN44" s="1"/>
        <tr r="BN42" s="1"/>
        <tr r="BN42" s="1"/>
        <tr r="BN16" s="1"/>
        <tr r="BN16" s="1"/>
        <tr r="BN18" s="1"/>
        <tr r="BN18" s="1"/>
        <tr r="BN20" s="1"/>
        <tr r="BN20" s="1"/>
        <tr r="BN34" s="1"/>
        <tr r="BN34" s="1"/>
        <tr r="BN32" s="1"/>
        <tr r="BN32" s="1"/>
        <tr r="BN30" s="1"/>
        <tr r="BN30" s="1"/>
        <tr r="BN28" s="1"/>
        <tr r="BN28" s="1"/>
        <tr r="BO50" s="5"/>
        <tr r="BO50" s="5"/>
        <tr r="BO8" s="5"/>
        <tr r="BO8" s="5"/>
        <tr r="BO46" s="5"/>
        <tr r="BO46" s="5"/>
        <tr r="BO44" s="5"/>
        <tr r="BO44" s="5"/>
        <tr r="BO14" s="5"/>
        <tr r="BO14" s="5"/>
        <tr r="BO16" s="5"/>
        <tr r="BO16" s="5"/>
        <tr r="BO38" s="5"/>
        <tr r="BO38" s="5"/>
        <tr r="BO36" s="5"/>
        <tr r="BO36" s="5"/>
        <tr r="BO34" s="5"/>
        <tr r="BO34" s="5"/>
        <tr r="BO24" s="5"/>
        <tr r="BO24" s="5"/>
        <tr r="BO26" s="5"/>
        <tr r="BO26" s="5"/>
        <tr r="BN50" s="1"/>
        <tr r="BN50" s="1"/>
        <tr r="BN8" s="1"/>
        <tr r="BN8" s="1"/>
        <tr r="BN46" s="1"/>
        <tr r="BN46" s="1"/>
        <tr r="BN12" s="1"/>
        <tr r="BN12" s="1"/>
        <tr r="BN14" s="1"/>
        <tr r="BN14" s="1"/>
        <tr r="BN40" s="1"/>
        <tr r="BN40" s="1"/>
        <tr r="BN38" s="1"/>
        <tr r="BN38" s="1"/>
        <tr r="BN36" s="1"/>
        <tr r="BN36" s="1"/>
        <tr r="BN22" s="1"/>
        <tr r="BN22" s="1"/>
        <tr r="BN24" s="1"/>
        <tr r="BN24" s="1"/>
        <tr r="BN26" s="1"/>
        <tr r="BN26" s="1"/>
        <tr r="BO51" s="5"/>
        <tr r="BO51" s="5"/>
        <tr r="BO7" s="5"/>
        <tr r="BO7" s="5"/>
        <tr r="BO47" s="5"/>
        <tr r="BO47" s="5"/>
        <tr r="BO11" s="5"/>
        <tr r="BO11" s="5"/>
        <tr r="BO13" s="5"/>
        <tr r="BO13" s="5"/>
        <tr r="BO41" s="5"/>
        <tr r="BO41" s="5"/>
        <tr r="BO39" s="5"/>
        <tr r="BO39" s="5"/>
        <tr r="BO37" s="5"/>
        <tr r="BO37" s="5"/>
        <tr r="BO21" s="5"/>
        <tr r="BO21" s="5"/>
        <tr r="BO33" s="5"/>
        <tr r="BO33" s="5"/>
        <tr r="BO25" s="5"/>
        <tr r="BO25" s="5"/>
        <tr r="BO27" s="5"/>
        <tr r="BO27" s="5"/>
        <tr r="BN5" s="1"/>
        <tr r="BN5" s="1"/>
        <tr r="BN7" s="1"/>
        <tr r="BN7" s="1"/>
        <tr r="BN47" s="1"/>
        <tr r="BN47" s="1"/>
        <tr r="BN45" s="1"/>
        <tr r="BN45" s="1"/>
        <tr r="BN13" s="1"/>
        <tr r="BN13" s="1"/>
        <tr r="BN15" s="1"/>
        <tr r="BN15" s="1"/>
        <tr r="BN39" s="1"/>
        <tr r="BN39" s="1"/>
        <tr r="BN37" s="1"/>
        <tr r="BN37" s="1"/>
        <tr r="BN35" s="1"/>
        <tr r="BN35" s="1"/>
        <tr r="BN33" s="1"/>
        <tr r="BN33" s="1"/>
        <tr r="BN31" s="1"/>
        <tr r="BN31" s="1"/>
        <tr r="BN29" s="1"/>
        <tr r="BN29" s="1"/>
      </tp>
      <tp t="s">
        <v>N/A</v>
        <stp/>
        <stp>OPEN_INT</stp>
        <stp>.OPEN260417P7.5</stp>
        <tr r="O33" s="1"/>
      </tp>
      <tp t="s">
        <v>N/A</v>
        <stp/>
        <stp>OPEN_INT</stp>
        <stp>.OPEN260717P4.5</stp>
        <tr r="R39" s="1"/>
      </tp>
      <tp t="s">
        <v>N/A</v>
        <stp/>
        <stp>OPEN_INT</stp>
        <stp>.OPEN260417C7.5</stp>
        <tr r="O33" s="1"/>
      </tp>
      <tp t="s">
        <v>N/A</v>
        <stp/>
        <stp>OPEN_INT</stp>
        <stp>.OPEN260717C4.5</stp>
        <tr r="R39" s="1"/>
      </tp>
      <tp t="s">
        <v>N/A</v>
        <stp/>
        <stp>OPEN_INT</stp>
        <stp>.OPEN251014C3.5</stp>
        <tr r="E37" s="2"/>
      </tp>
      <tp>
        <v>31</v>
        <stp/>
        <stp>OPEN_INT</stp>
        <stp>.OPEN251114C2.5</stp>
        <tr r="C43" s="1"/>
        <tr r="C43" s="1"/>
        <tr r="BN52" s="1"/>
        <tr r="BN52" s="1"/>
        <tr r="BO52" s="5"/>
        <tr r="BO52" s="5"/>
        <tr r="BO5" s="5"/>
        <tr r="BO5" s="5"/>
        <tr r="BO49" s="5"/>
        <tr r="BO49" s="5"/>
        <tr r="BO9" s="5"/>
        <tr r="BO9" s="5"/>
        <tr r="BO45" s="5"/>
        <tr r="BO45" s="5"/>
        <tr r="BO43" s="5"/>
        <tr r="BO43" s="5"/>
        <tr r="BO15" s="5"/>
        <tr r="BO15" s="5"/>
        <tr r="BO17" s="5"/>
        <tr r="BO17" s="5"/>
        <tr r="BO19" s="5"/>
        <tr r="BO19" s="5"/>
        <tr r="BO35" s="5"/>
        <tr r="BO35" s="5"/>
        <tr r="BO23" s="5"/>
        <tr r="BO23" s="5"/>
        <tr r="BO31" s="5"/>
        <tr r="BO31" s="5"/>
        <tr r="BO29" s="5"/>
        <tr r="BO29" s="5"/>
        <tr r="BN51" s="1"/>
        <tr r="BN51" s="1"/>
        <tr r="BN49" s="1"/>
        <tr r="BN49" s="1"/>
        <tr r="BN9" s="1"/>
        <tr r="BN9" s="1"/>
        <tr r="BN11" s="1"/>
        <tr r="BN11" s="1"/>
        <tr r="BN43" s="1"/>
        <tr r="BN43" s="1"/>
        <tr r="BN41" s="1"/>
        <tr r="BN41" s="1"/>
        <tr r="BN17" s="1"/>
        <tr r="BN17" s="1"/>
        <tr r="BN19" s="1"/>
        <tr r="BN19" s="1"/>
        <tr r="BN21" s="1"/>
        <tr r="BN21" s="1"/>
        <tr r="BN23" s="1"/>
        <tr r="BN23" s="1"/>
        <tr r="BN25" s="1"/>
        <tr r="BN25" s="1"/>
        <tr r="BN27" s="1"/>
        <tr r="BN27" s="1"/>
        <tr r="BO6" s="5"/>
        <tr r="BO6" s="5"/>
        <tr r="BO48" s="5"/>
        <tr r="BO48" s="5"/>
        <tr r="BO10" s="5"/>
        <tr r="BO10" s="5"/>
        <tr r="BO12" s="5"/>
        <tr r="BO12" s="5"/>
        <tr r="BO42" s="5"/>
        <tr r="BO42" s="5"/>
        <tr r="BO40" s="5"/>
        <tr r="BO40" s="5"/>
        <tr r="BO18" s="5"/>
        <tr r="BO18" s="5"/>
        <tr r="BO20" s="5"/>
        <tr r="BO20" s="5"/>
        <tr r="BO22" s="5"/>
        <tr r="BO22" s="5"/>
        <tr r="BO32" s="5"/>
        <tr r="BO32" s="5"/>
        <tr r="BO30" s="5"/>
        <tr r="BO30" s="5"/>
        <tr r="BO28" s="5"/>
        <tr r="BO28" s="5"/>
        <tr r="BN6" s="1"/>
        <tr r="BN6" s="1"/>
        <tr r="BN48" s="1"/>
        <tr r="BN48" s="1"/>
        <tr r="BN10" s="1"/>
        <tr r="BN10" s="1"/>
        <tr r="BN44" s="1"/>
        <tr r="BN44" s="1"/>
        <tr r="BN42" s="1"/>
        <tr r="BN42" s="1"/>
        <tr r="BN16" s="1"/>
        <tr r="BN16" s="1"/>
        <tr r="BN18" s="1"/>
        <tr r="BN18" s="1"/>
        <tr r="BN20" s="1"/>
        <tr r="BN20" s="1"/>
        <tr r="BN34" s="1"/>
        <tr r="BN34" s="1"/>
        <tr r="BN32" s="1"/>
        <tr r="BN32" s="1"/>
        <tr r="BN30" s="1"/>
        <tr r="BN30" s="1"/>
        <tr r="BN28" s="1"/>
        <tr r="BN28" s="1"/>
        <tr r="BO50" s="5"/>
        <tr r="BO50" s="5"/>
        <tr r="BO8" s="5"/>
        <tr r="BO8" s="5"/>
        <tr r="BO46" s="5"/>
        <tr r="BO46" s="5"/>
        <tr r="BO44" s="5"/>
        <tr r="BO44" s="5"/>
        <tr r="BO14" s="5"/>
        <tr r="BO14" s="5"/>
        <tr r="BO16" s="5"/>
        <tr r="BO16" s="5"/>
        <tr r="BO38" s="5"/>
        <tr r="BO38" s="5"/>
        <tr r="BO36" s="5"/>
        <tr r="BO36" s="5"/>
        <tr r="BO34" s="5"/>
        <tr r="BO34" s="5"/>
        <tr r="BO24" s="5"/>
        <tr r="BO24" s="5"/>
        <tr r="BO26" s="5"/>
        <tr r="BO26" s="5"/>
        <tr r="BN50" s="1"/>
        <tr r="BN50" s="1"/>
        <tr r="BN8" s="1"/>
        <tr r="BN8" s="1"/>
        <tr r="BN46" s="1"/>
        <tr r="BN46" s="1"/>
        <tr r="BN12" s="1"/>
        <tr r="BN12" s="1"/>
        <tr r="BN14" s="1"/>
        <tr r="BN14" s="1"/>
        <tr r="BN40" s="1"/>
        <tr r="BN40" s="1"/>
        <tr r="BN38" s="1"/>
        <tr r="BN38" s="1"/>
        <tr r="BN36" s="1"/>
        <tr r="BN36" s="1"/>
        <tr r="BN22" s="1"/>
        <tr r="BN22" s="1"/>
        <tr r="BN24" s="1"/>
        <tr r="BN24" s="1"/>
        <tr r="BN26" s="1"/>
        <tr r="BN26" s="1"/>
        <tr r="BO51" s="5"/>
        <tr r="BO51" s="5"/>
        <tr r="BO7" s="5"/>
        <tr r="BO7" s="5"/>
        <tr r="BO47" s="5"/>
        <tr r="BO47" s="5"/>
        <tr r="BO11" s="5"/>
        <tr r="BO11" s="5"/>
        <tr r="BO13" s="5"/>
        <tr r="BO13" s="5"/>
        <tr r="BO41" s="5"/>
        <tr r="BO41" s="5"/>
        <tr r="BO39" s="5"/>
        <tr r="BO39" s="5"/>
        <tr r="BO37" s="5"/>
        <tr r="BO37" s="5"/>
        <tr r="BO21" s="5"/>
        <tr r="BO21" s="5"/>
        <tr r="BO33" s="5"/>
        <tr r="BO33" s="5"/>
        <tr r="BO25" s="5"/>
        <tr r="BO25" s="5"/>
        <tr r="BO27" s="5"/>
        <tr r="BO27" s="5"/>
        <tr r="BN5" s="1"/>
        <tr r="BN5" s="1"/>
        <tr r="BN7" s="1"/>
        <tr r="BN7" s="1"/>
        <tr r="BN47" s="1"/>
        <tr r="BN47" s="1"/>
        <tr r="BN45" s="1"/>
        <tr r="BN45" s="1"/>
        <tr r="BN13" s="1"/>
        <tr r="BN13" s="1"/>
        <tr r="BN15" s="1"/>
        <tr r="BN15" s="1"/>
        <tr r="BN39" s="1"/>
        <tr r="BN39" s="1"/>
        <tr r="BN37" s="1"/>
        <tr r="BN37" s="1"/>
        <tr r="BN35" s="1"/>
        <tr r="BN35" s="1"/>
        <tr r="BN33" s="1"/>
        <tr r="BN33" s="1"/>
        <tr r="BN31" s="1"/>
        <tr r="BN31" s="1"/>
        <tr r="BN29" s="1"/>
        <tr r="BN29" s="1"/>
      </tp>
      <tp t="s">
        <v>N/A</v>
        <stp/>
        <stp>OPEN_INT</stp>
        <stp>.OPEN251015P3.5</stp>
        <tr r="F37" s="2"/>
      </tp>
      <tp t="s">
        <v>N/A</v>
        <stp/>
        <stp>OPEN_INT</stp>
        <stp>.OPEN261016P3.5</stp>
        <tr r="U41" s="1"/>
      </tp>
      <tp>
        <v>4599</v>
        <stp/>
        <stp>OPEN_INT</stp>
        <stp>.OPEN260116P2.5</stp>
        <tr r="L43" s="1"/>
        <tr r="L43" s="1"/>
        <tr r="W39" s="2"/>
        <tr r="W39" s="2"/>
      </tp>
      <tp>
        <v>14722</v>
        <stp/>
        <stp>OPEN_INT</stp>
        <stp>.OPEN260116C2.5</stp>
        <tr r="L43" s="1"/>
        <tr r="L43" s="1"/>
        <tr r="W39" s="2"/>
        <tr r="W39" s="2"/>
      </tp>
      <tp t="s">
        <v>N/A</v>
        <stp/>
        <stp>OPEN_INT</stp>
        <stp>.OPEN251015C3.5</stp>
        <tr r="F37" s="2"/>
      </tp>
      <tp t="s">
        <v>N/A</v>
        <stp/>
        <stp>OPEN_INT</stp>
        <stp>.OPEN261016C3.5</stp>
        <tr r="U41" s="1"/>
      </tp>
      <tp t="s">
        <v>N/A</v>
        <stp/>
        <stp>OPEN_INT</stp>
        <stp>.OPEN251016P3.5</stp>
        <tr r="G37" s="2"/>
      </tp>
      <tp t="s">
        <v>N/A</v>
        <stp/>
        <stp>OPEN_INT</stp>
        <stp>.OPEN260515P6.5</stp>
        <tr r="P35" s="1"/>
      </tp>
      <tp t="s">
        <v>N/A</v>
        <stp/>
        <stp>OPEN_INT</stp>
        <stp>.OPEN260515C6.5</stp>
        <tr r="P35" s="1"/>
      </tp>
      <tp t="s">
        <v>N/A</v>
        <stp/>
        <stp>OPEN_INT</stp>
        <stp>.OPEN251016C3.5</stp>
        <tr r="G37" s="2"/>
      </tp>
      <tp>
        <v>9755</v>
        <stp/>
        <stp>OPEN_INT</stp>
        <stp>.OPEN251017P3.5</stp>
        <tr r="H37" s="2"/>
        <tr r="H37" s="2"/>
      </tp>
      <tp>
        <v>9019</v>
        <stp/>
        <stp>OPEN_INT</stp>
        <stp>.OPEN251017C3.5</stp>
        <tr r="H37" s="2"/>
        <tr r="H37" s="2"/>
      </tp>
      <tp>
        <v>1403</v>
        <stp/>
        <stp>OPEN_INT</stp>
        <stp>.OPEN251010P3.5</stp>
        <tr r="C37" s="2"/>
        <tr r="C37" s="2"/>
      </tp>
      <tp>
        <v>155</v>
        <stp/>
        <stp>OPEN_INT</stp>
        <stp>.OPEN251010C3.5</stp>
        <tr r="C37" s="2"/>
        <tr r="C37" s="2"/>
      </tp>
      <tp t="s">
        <v>N/A</v>
        <stp/>
        <stp>OPEN_INT</stp>
        <stp>.OPEN251212P1.5</stp>
        <tr r="G45" s="1"/>
      </tp>
      <tp t="s">
        <v>N/A</v>
        <stp/>
        <stp>OPEN_INT</stp>
        <stp>.OPEN251212C1.5</stp>
        <tr r="G45" s="1"/>
      </tp>
      <tp t="s">
        <v>N/A</v>
        <stp/>
        <stp>OPEN_INT</stp>
        <stp>.OPEN251013P3.5</stp>
        <tr r="D37" s="2"/>
      </tp>
      <tp t="s">
        <v>N/A</v>
        <stp/>
        <stp>OPEN_INT</stp>
        <stp>.OPEN251013C3.5</stp>
        <tr r="D37" s="2"/>
      </tp>
      <tp t="s">
        <v>N/A</v>
        <stp/>
        <stp>OPEN_INT</stp>
        <stp>.OPEN251219P1.5</stp>
        <tr r="H45" s="1"/>
        <tr r="U41" s="2"/>
      </tp>
      <tp t="s">
        <v>N/A</v>
        <stp/>
        <stp>OPEN_INT</stp>
        <stp>.OPEN251219C1.5</stp>
        <tr r="H45" s="1"/>
        <tr r="U41" s="2"/>
      </tp>
      <tp t="s">
        <v>N/A</v>
        <stp/>
        <stp>OPEN_INT</stp>
        <stp>.OPEN260619P5.5</stp>
        <tr r="Q37" s="1"/>
      </tp>
      <tp t="s">
        <v>N/A</v>
        <stp/>
        <stp>OPEN_INT</stp>
        <stp>.OPEN260619C5.5</stp>
        <tr r="Q37" s="1"/>
      </tp>
      <tp t="s">
        <v>N/A</v>
        <stp/>
        <stp>OPEN_INT</stp>
        <stp>.OPEN261218P1.5</stp>
        <tr r="W45" s="1"/>
      </tp>
      <tp t="s">
        <v>N/A</v>
        <stp/>
        <stp>OPEN_INT</stp>
        <stp>.OPEN261218C1.5</stp>
        <tr r="W45" s="1"/>
      </tp>
      <tp t="s">
        <v>N/A</v>
        <stp/>
        <stp>OPEN_INT</stp>
        <stp>.OPEN251205P1.5</stp>
        <tr r="F45" s="1"/>
      </tp>
      <tp t="s">
        <v>N/A</v>
        <stp/>
        <stp>OPEN_INT</stp>
        <stp>.OPEN251205C1.5</stp>
        <tr r="F45" s="1"/>
      </tp>
      <tp t="s">
        <v>N/A</v>
        <stp/>
        <stp>OPEN_INT</stp>
        <stp>.OPEN260102P2.5</stp>
        <tr r="J43" s="1"/>
      </tp>
      <tp t="s">
        <v>N/A</v>
        <stp/>
        <stp>OPEN_INT</stp>
        <stp>.OPEN260102C2.5</stp>
        <tr r="J43" s="1"/>
      </tp>
      <tp t="s">
        <v>N/A</v>
        <stp/>
        <stp>OPEN_INT</stp>
        <stp>.OPEN251009P3.5</stp>
        <tr r="B37" s="2"/>
      </tp>
      <tp t="s">
        <v>N/A</v>
        <stp/>
        <stp>OPEN_INT</stp>
        <stp>.OPEN251009C3.5</stp>
        <tr r="B37" s="2"/>
      </tp>
      <tp t="s">
        <v>N/A</v>
        <stp/>
        <stp>OPEN_INT</stp>
        <stp>.OPEN260109P2.5</stp>
        <tr r="K43" s="1"/>
      </tp>
      <tp t="s">
        <v>N/A</v>
        <stp/>
        <stp>OPEN_INT</stp>
        <stp>.OPEN260109C2.5</stp>
        <tr r="K43" s="1"/>
      </tp>
      <tp t="s">
        <v>N/A</v>
        <stp/>
        <stp>OPEN_INT</stp>
        <stp>.OPEN251030P3.5</stp>
        <tr r="Q37" s="2"/>
      </tp>
      <tp t="s">
        <v>N/A</v>
        <stp/>
        <stp>OPEN_INT</stp>
        <stp>.OPEN251030C3.5</stp>
        <tr r="Q37" s="2"/>
      </tp>
      <tp>
        <v>1539</v>
        <stp/>
        <stp>OPEN_INT</stp>
        <stp>.OPEN251031P3.5</stp>
        <tr r="R37" s="2"/>
        <tr r="R37" s="2"/>
      </tp>
      <tp t="s">
        <v>N/A</v>
        <stp/>
        <stp>OPEN_INT</stp>
        <stp>.OPEN251231P1.5</stp>
        <tr r="V41" s="2"/>
      </tp>
      <tp>
        <v>164</v>
        <stp/>
        <stp>OPEN_INT</stp>
        <stp>.OPEN251031C3.5</stp>
        <tr r="R37" s="2"/>
        <tr r="R37" s="2"/>
      </tp>
      <tp t="s">
        <v>N/A</v>
        <stp/>
        <stp>OPEN_INT</stp>
        <stp>.OPEN251231C1.5</stp>
        <tr r="V41" s="2"/>
      </tp>
      <tp>
        <v>425</v>
        <stp/>
        <stp>OPEN_INT</stp>
        <stp>.OPEN251024P3.5</stp>
        <tr r="M37" s="2"/>
        <tr r="M37" s="2"/>
      </tp>
      <tp>
        <v>110</v>
        <stp/>
        <stp>OPEN_INT</stp>
        <stp>.OPEN251024C3.5</stp>
        <tr r="M37" s="2"/>
        <tr r="M37" s="2"/>
      </tp>
      <tp t="s">
        <v>N/A</v>
        <stp/>
        <stp>OPEN_INT</stp>
        <stp>.OPEN251226P1.5</stp>
        <tr r="I45" s="1"/>
      </tp>
      <tp t="s">
        <v>N/A</v>
        <stp/>
        <stp>OPEN_INT</stp>
        <stp>.OPEN251226C1.5</stp>
        <tr r="I45" s="1"/>
      </tp>
      <tp t="s">
        <v>N/A</v>
        <stp/>
        <stp>OPEN_INT</stp>
        <stp>.OPEN251027P3.5</stp>
        <tr r="N37" s="2"/>
      </tp>
      <tp t="s">
        <v>N/A</v>
        <stp/>
        <stp>OPEN_INT</stp>
        <stp>.OPEN251027C3.5</stp>
        <tr r="N37" s="2"/>
      </tp>
      <tp t="s">
        <v>N/A</v>
        <stp/>
        <stp>OPEN_INT</stp>
        <stp>.OPEN251020P3.5</stp>
        <tr r="I37" s="2"/>
      </tp>
      <tp t="s">
        <v>N/A</v>
        <stp/>
        <stp>OPEN_INT</stp>
        <stp>.OPEN251020C3.5</stp>
        <tr r="I37" s="2"/>
      </tp>
      <tp t="s">
        <v>N/A</v>
        <stp/>
        <stp>OPEN_INT</stp>
        <stp>.OPEN251021P3.5</stp>
        <tr r="J37" s="2"/>
      </tp>
      <tp>
        <v>14079</v>
        <stp/>
        <stp>OPEN_INT</stp>
        <stp>.OPEN251121P2.5</stp>
        <tr r="D43" s="1"/>
        <tr r="D43" s="1"/>
        <tr r="S39" s="2"/>
        <tr r="S39" s="2"/>
      </tp>
      <tp t="s">
        <v>N/A</v>
        <stp/>
        <stp>OPEN_INT</stp>
        <stp>.OPEN251021C3.5</stp>
        <tr r="J37" s="2"/>
      </tp>
      <tp>
        <v>5748</v>
        <stp/>
        <stp>OPEN_INT</stp>
        <stp>.OPEN251121C2.5</stp>
        <tr r="D43" s="1"/>
        <tr r="D43" s="1"/>
        <tr r="S39" s="2"/>
        <tr r="S39" s="2"/>
      </tp>
      <tp t="s">
        <v>N/A</v>
        <stp/>
        <stp>OPEN_INT</stp>
        <stp>.OPEN251022P3.5</stp>
        <tr r="K37" s="2"/>
      </tp>
      <tp t="s">
        <v>N/A</v>
        <stp/>
        <stp>OPEN_INT</stp>
        <stp>.OPEN251022C3.5</stp>
        <tr r="K37" s="2"/>
      </tp>
      <tp t="s">
        <v>N/A</v>
        <stp/>
        <stp>OPEN_INT</stp>
        <stp>.OPEN251023P3.5</stp>
        <tr r="L37" s="2"/>
      </tp>
      <tp t="s">
        <v>N/A</v>
        <stp/>
        <stp>OPEN_INT</stp>
        <stp>.OPEN261120P2.5</stp>
        <tr r="V43" s="1"/>
      </tp>
      <tp>
        <v>12157</v>
        <stp/>
        <stp>OPEN_INT</stp>
        <stp>.OPEN260220P1.5</stp>
        <tr r="M45" s="1"/>
        <tr r="M45" s="1"/>
      </tp>
      <tp t="s">
        <v>N/A</v>
        <stp/>
        <stp>OPEN_INT</stp>
        <stp>.OPEN260320P0.5</stp>
        <tr r="N47" s="1"/>
      </tp>
      <tp>
        <v>2459</v>
        <stp/>
        <stp>OPEN_INT</stp>
        <stp>.OPEN260220C1.5</stp>
        <tr r="M45" s="1"/>
        <tr r="M45" s="1"/>
      </tp>
      <tp t="s">
        <v>N/A</v>
        <stp/>
        <stp>OPEN_INT</stp>
        <stp>.OPEN260320C0.5</stp>
        <tr r="N47" s="1"/>
      </tp>
      <tp t="s">
        <v>N/A</v>
        <stp/>
        <stp>OPEN_INT</stp>
        <stp>.OPEN251023C3.5</stp>
        <tr r="L37" s="2"/>
      </tp>
      <tp t="s">
        <v>N/A</v>
        <stp/>
        <stp>OPEN_INT</stp>
        <stp>.OPEN261120C2.5</stp>
        <tr r="V43" s="1"/>
      </tp>
      <tp t="s">
        <v>N/A</v>
        <stp/>
        <stp>OPEN_INT</stp>
        <stp>.OPEN251028P3.5</stp>
        <tr r="O37" s="2"/>
      </tp>
      <tp>
        <v>12</v>
        <stp/>
        <stp>OPEN_INT</stp>
        <stp>.OPEN251128P2.5</stp>
        <tr r="E43" s="1"/>
        <tr r="E43" s="1"/>
        <tr r="T39" s="2"/>
        <tr r="T39" s="2"/>
      </tp>
      <tp t="s">
        <v>N/A</v>
        <stp/>
        <stp>OPEN_INT</stp>
        <stp>.OPEN251028C3.5</stp>
        <tr r="O37" s="2"/>
      </tp>
      <tp>
        <v>4</v>
        <stp/>
        <stp>OPEN_INT</stp>
        <stp>.OPEN251128C2.5</stp>
        <tr r="E43" s="1"/>
        <tr r="E43" s="1"/>
        <tr r="T39" s="2"/>
        <tr r="T39" s="2"/>
      </tp>
      <tp t="s">
        <v>N/A</v>
        <stp/>
        <stp>OPEN_INT</stp>
        <stp>.OPEN251029P3.5</stp>
        <tr r="P37" s="2"/>
      </tp>
      <tp t="s">
        <v>N/A</v>
        <stp/>
        <stp>OPEN_INT</stp>
        <stp>.OPEN251029C3.5</stp>
        <tr r="P37" s="2"/>
      </tp>
      <tp t="s">
        <v>N/A</v>
        <stp/>
        <stp>OPEN_INT</stp>
        <stp>.OPENC4</stp>
        <tr r="B40" s="1"/>
      </tp>
      <tp t="s">
        <v>N/A</v>
        <stp/>
        <stp>OPEN_INT</stp>
        <stp>.OPENC5</stp>
        <tr r="B38" s="1"/>
      </tp>
      <tp t="s">
        <v>N/A</v>
        <stp/>
        <stp>OPEN_INT</stp>
        <stp>.OPENC6</stp>
        <tr r="B36" s="1"/>
      </tp>
      <tp t="s">
        <v>N/A</v>
        <stp/>
        <stp>OPEN_INT</stp>
        <stp>.OPENC7</stp>
        <tr r="B34" s="1"/>
      </tp>
      <tp t="s">
        <v>N/A</v>
        <stp/>
        <stp>OPEN_INT</stp>
        <stp>.OPENC0</stp>
        <tr r="B48" s="1"/>
      </tp>
      <tp t="s">
        <v>N/A</v>
        <stp/>
        <stp>OPEN_INT</stp>
        <stp>.OPENC1</stp>
        <tr r="B46" s="1"/>
      </tp>
      <tp t="s">
        <v>N/A</v>
        <stp/>
        <stp>OPEN_INT</stp>
        <stp>.OPENC2</stp>
        <tr r="B44" s="1"/>
      </tp>
      <tp t="s">
        <v>N/A</v>
        <stp/>
        <stp>OPEN_INT</stp>
        <stp>.OPENC3</stp>
        <tr r="B42" s="1"/>
      </tp>
      <tp t="s">
        <v>N/A</v>
        <stp/>
        <stp>OPEN_INT</stp>
        <stp>.OPENC8</stp>
        <tr r="B32" s="1"/>
      </tp>
      <tp t="s">
        <v>N/A</v>
        <stp/>
        <stp>OPEN_INT</stp>
        <stp>.OPENC9</stp>
        <tr r="B30" s="1"/>
      </tp>
      <tp t="s">
        <v>N/A</v>
        <stp/>
        <stp>OPEN_INT</stp>
        <stp>.OPENP4</stp>
        <tr r="B40" s="1"/>
      </tp>
      <tp t="s">
        <v>N/A</v>
        <stp/>
        <stp>OPEN_INT</stp>
        <stp>.OPENP5</stp>
        <tr r="B38" s="1"/>
      </tp>
      <tp t="s">
        <v>N/A</v>
        <stp/>
        <stp>OPEN_INT</stp>
        <stp>.OPENP6</stp>
        <tr r="B36" s="1"/>
      </tp>
      <tp t="s">
        <v>N/A</v>
        <stp/>
        <stp>OPEN_INT</stp>
        <stp>.OPENP7</stp>
        <tr r="B34" s="1"/>
      </tp>
      <tp t="s">
        <v>N/A</v>
        <stp/>
        <stp>OPEN_INT</stp>
        <stp>.OPENP0</stp>
        <tr r="B48" s="1"/>
      </tp>
      <tp t="s">
        <v>N/A</v>
        <stp/>
        <stp>OPEN_INT</stp>
        <stp>.OPENP1</stp>
        <tr r="B46" s="1"/>
      </tp>
      <tp t="s">
        <v>N/A</v>
        <stp/>
        <stp>OPEN_INT</stp>
        <stp>.OPENP2</stp>
        <tr r="B44" s="1"/>
      </tp>
      <tp t="s">
        <v>N/A</v>
        <stp/>
        <stp>OPEN_INT</stp>
        <stp>.OPENP3</stp>
        <tr r="B42" s="1"/>
      </tp>
      <tp t="s">
        <v>N/A</v>
        <stp/>
        <stp>OPEN_INT</stp>
        <stp>.OPENP8</stp>
        <tr r="B32" s="1"/>
      </tp>
      <tp t="s">
        <v>N/A</v>
        <stp/>
        <stp>OPEN_INT</stp>
        <stp>.OPENP9</stp>
        <tr r="B30" s="1"/>
      </tp>
      <tp t="s">
        <v>N/A</v>
        <stp/>
        <stp>OPEN_INT</stp>
        <stp>.OPEN251014P0.5</stp>
        <tr r="E43" s="2"/>
      </tp>
      <tp t="s">
        <v>N/A</v>
        <stp/>
        <stp>OPEN_INT</stp>
        <stp>.OPEN251114P1.5</stp>
        <tr r="C45" s="1"/>
        <tr r="BP52" s="1"/>
        <tr r="BQ52" s="5"/>
        <tr r="BQ51" s="5"/>
        <tr r="BQ7" s="5"/>
        <tr r="BQ9" s="5"/>
        <tr r="BQ11" s="5"/>
        <tr r="BQ13" s="5"/>
        <tr r="BQ15" s="5"/>
        <tr r="BQ17" s="5"/>
        <tr r="BQ37" s="5"/>
        <tr r="BQ35" s="5"/>
        <tr r="BQ33" s="5"/>
        <tr r="BQ25" s="5"/>
        <tr r="BQ29" s="5"/>
        <tr r="BP51" s="1"/>
        <tr r="BP7" s="1"/>
        <tr r="BP9" s="1"/>
        <tr r="BP45" s="1"/>
        <tr r="BP13" s="1"/>
        <tr r="BP41" s="1"/>
        <tr r="BP39" s="1"/>
        <tr r="BP19" s="1"/>
        <tr r="BP35" s="1"/>
        <tr r="BP23" s="1"/>
        <tr r="BP25" s="1"/>
        <tr r="BP27" s="1"/>
        <tr r="BQ50" s="5"/>
        <tr r="BQ48" s="5"/>
        <tr r="BQ10" s="5"/>
        <tr r="BQ12" s="5"/>
        <tr r="BQ42" s="5"/>
        <tr r="BQ16" s="5"/>
        <tr r="BQ38" s="5"/>
        <tr r="BQ36" s="5"/>
        <tr r="BQ22" s="5"/>
        <tr r="BQ32" s="5"/>
        <tr r="BQ26" s="5"/>
        <tr r="BQ28" s="5"/>
        <tr r="BP50" s="1"/>
        <tr r="BP8" s="1"/>
        <tr r="BP46" s="1"/>
        <tr r="BP12" s="1"/>
        <tr r="BP14" s="1"/>
        <tr r="BP40" s="1"/>
        <tr r="BP18" s="1"/>
        <tr r="BP20" s="1"/>
        <tr r="BP22" s="1"/>
        <tr r="BP32" s="1"/>
        <tr r="BP30" s="1"/>
        <tr r="BP28" s="1"/>
        <tr r="BQ6" s="5"/>
        <tr r="BQ8" s="5"/>
        <tr r="BQ46" s="5"/>
        <tr r="BQ44" s="5"/>
        <tr r="BQ14" s="5"/>
        <tr r="BQ40" s="5"/>
        <tr r="BQ18" s="5"/>
        <tr r="BQ20" s="5"/>
        <tr r="BQ34" s="5"/>
        <tr r="BQ24" s="5"/>
        <tr r="BQ30" s="5"/>
        <tr r="BP6" s="1"/>
        <tr r="BP48" s="1"/>
        <tr r="BP10" s="1"/>
        <tr r="BP44" s="1"/>
        <tr r="BP42" s="1"/>
        <tr r="BP16" s="1"/>
        <tr r="BP38" s="1"/>
        <tr r="BP36" s="1"/>
        <tr r="BP34" s="1"/>
        <tr r="BP24" s="1"/>
        <tr r="BP26" s="1"/>
        <tr r="BQ5" s="5"/>
        <tr r="BQ49" s="5"/>
        <tr r="BQ47" s="5"/>
        <tr r="BQ45" s="5"/>
        <tr r="BQ43" s="5"/>
        <tr r="BQ41" s="5"/>
        <tr r="BQ39" s="5"/>
        <tr r="BQ19" s="5"/>
        <tr r="BQ21" s="5"/>
        <tr r="BQ23" s="5"/>
        <tr r="BQ31" s="5"/>
        <tr r="BQ27" s="5"/>
        <tr r="BP5" s="1"/>
        <tr r="BP49" s="1"/>
        <tr r="BP47" s="1"/>
        <tr r="BP11" s="1"/>
        <tr r="BP43" s="1"/>
        <tr r="BP15" s="1"/>
        <tr r="BP17" s="1"/>
        <tr r="BP37" s="1"/>
        <tr r="BP21" s="1"/>
        <tr r="BP33" s="1"/>
        <tr r="BP31" s="1"/>
        <tr r="BP29" s="1"/>
      </tp>
      <tp t="s">
        <v>N/A</v>
        <stp/>
        <stp>OPEN_INT</stp>
        <stp>.OPEN260417P4.5</stp>
        <tr r="O39" s="1"/>
      </tp>
      <tp t="s">
        <v>N/A</v>
        <stp/>
        <stp>OPEN_INT</stp>
        <stp>.OPEN260717P7.5</stp>
        <tr r="R33" s="1"/>
      </tp>
      <tp t="s">
        <v>N/A</v>
        <stp/>
        <stp>OPEN_INT</stp>
        <stp>.OPEN260417C4.5</stp>
        <tr r="O39" s="1"/>
      </tp>
      <tp t="s">
        <v>N/A</v>
        <stp/>
        <stp>OPEN_INT</stp>
        <stp>.OPEN260717C7.5</stp>
        <tr r="R33" s="1"/>
      </tp>
      <tp t="s">
        <v>N/A</v>
        <stp/>
        <stp>OPEN_INT</stp>
        <stp>.OPEN251014C0.5</stp>
        <tr r="E43" s="2"/>
      </tp>
      <tp t="s">
        <v>N/A</v>
        <stp/>
        <stp>OPEN_INT</stp>
        <stp>.OPEN251114C1.5</stp>
        <tr r="C45" s="1"/>
        <tr r="BP52" s="1"/>
        <tr r="BQ52" s="5"/>
        <tr r="BQ51" s="5"/>
        <tr r="BQ7" s="5"/>
        <tr r="BQ9" s="5"/>
        <tr r="BQ11" s="5"/>
        <tr r="BQ13" s="5"/>
        <tr r="BQ15" s="5"/>
        <tr r="BQ17" s="5"/>
        <tr r="BQ37" s="5"/>
        <tr r="BQ35" s="5"/>
        <tr r="BQ33" s="5"/>
        <tr r="BQ25" s="5"/>
        <tr r="BQ29" s="5"/>
        <tr r="BP51" s="1"/>
        <tr r="BP7" s="1"/>
        <tr r="BP9" s="1"/>
        <tr r="BP45" s="1"/>
        <tr r="BP13" s="1"/>
        <tr r="BP41" s="1"/>
        <tr r="BP39" s="1"/>
        <tr r="BP19" s="1"/>
        <tr r="BP35" s="1"/>
        <tr r="BP23" s="1"/>
        <tr r="BP25" s="1"/>
        <tr r="BP27" s="1"/>
        <tr r="BQ50" s="5"/>
        <tr r="BQ48" s="5"/>
        <tr r="BQ10" s="5"/>
        <tr r="BQ12" s="5"/>
        <tr r="BQ42" s="5"/>
        <tr r="BQ16" s="5"/>
        <tr r="BQ38" s="5"/>
        <tr r="BQ36" s="5"/>
        <tr r="BQ22" s="5"/>
        <tr r="BQ32" s="5"/>
        <tr r="BQ26" s="5"/>
        <tr r="BQ28" s="5"/>
        <tr r="BP50" s="1"/>
        <tr r="BP8" s="1"/>
        <tr r="BP46" s="1"/>
        <tr r="BP12" s="1"/>
        <tr r="BP14" s="1"/>
        <tr r="BP40" s="1"/>
        <tr r="BP18" s="1"/>
        <tr r="BP20" s="1"/>
        <tr r="BP22" s="1"/>
        <tr r="BP32" s="1"/>
        <tr r="BP30" s="1"/>
        <tr r="BP28" s="1"/>
        <tr r="BQ6" s="5"/>
        <tr r="BQ8" s="5"/>
        <tr r="BQ46" s="5"/>
        <tr r="BQ44" s="5"/>
        <tr r="BQ14" s="5"/>
        <tr r="BQ40" s="5"/>
        <tr r="BQ18" s="5"/>
        <tr r="BQ20" s="5"/>
        <tr r="BQ34" s="5"/>
        <tr r="BQ24" s="5"/>
        <tr r="BQ30" s="5"/>
        <tr r="BP6" s="1"/>
        <tr r="BP48" s="1"/>
        <tr r="BP10" s="1"/>
        <tr r="BP44" s="1"/>
        <tr r="BP42" s="1"/>
        <tr r="BP16" s="1"/>
        <tr r="BP38" s="1"/>
        <tr r="BP36" s="1"/>
        <tr r="BP34" s="1"/>
        <tr r="BP24" s="1"/>
        <tr r="BP26" s="1"/>
        <tr r="BQ5" s="5"/>
        <tr r="BQ49" s="5"/>
        <tr r="BQ47" s="5"/>
        <tr r="BQ45" s="5"/>
        <tr r="BQ43" s="5"/>
        <tr r="BQ41" s="5"/>
        <tr r="BQ39" s="5"/>
        <tr r="BQ19" s="5"/>
        <tr r="BQ21" s="5"/>
        <tr r="BQ23" s="5"/>
        <tr r="BQ31" s="5"/>
        <tr r="BQ27" s="5"/>
        <tr r="BP5" s="1"/>
        <tr r="BP49" s="1"/>
        <tr r="BP47" s="1"/>
        <tr r="BP11" s="1"/>
        <tr r="BP43" s="1"/>
        <tr r="BP15" s="1"/>
        <tr r="BP17" s="1"/>
        <tr r="BP37" s="1"/>
        <tr r="BP21" s="1"/>
        <tr r="BP33" s="1"/>
        <tr r="BP31" s="1"/>
        <tr r="BP29" s="1"/>
      </tp>
      <tp t="s">
        <v>N/A</v>
        <stp/>
        <stp>OPEN_INT</stp>
        <stp>.OPEN251015P0.5</stp>
        <tr r="F43" s="2"/>
      </tp>
      <tp t="s">
        <v>N/A</v>
        <stp/>
        <stp>OPEN_INT</stp>
        <stp>.OPEN261016P0.5</stp>
        <tr r="U47" s="1"/>
      </tp>
      <tp>
        <v>11100</v>
        <stp/>
        <stp>OPEN_INT</stp>
        <stp>.OPEN260116P1.5</stp>
        <tr r="L45" s="1"/>
        <tr r="L45" s="1"/>
        <tr r="W41" s="2"/>
        <tr r="W41" s="2"/>
      </tp>
      <tp>
        <v>12829</v>
        <stp/>
        <stp>OPEN_INT</stp>
        <stp>.OPEN260116C1.5</stp>
        <tr r="L45" s="1"/>
        <tr r="L45" s="1"/>
        <tr r="W41" s="2"/>
        <tr r="W41" s="2"/>
      </tp>
      <tp t="s">
        <v>N/A</v>
        <stp/>
        <stp>OPEN_INT</stp>
        <stp>.OPEN251015C0.5</stp>
        <tr r="F43" s="2"/>
      </tp>
      <tp t="s">
        <v>N/A</v>
        <stp/>
        <stp>OPEN_INT</stp>
        <stp>.OPEN261016C0.5</stp>
        <tr r="U47" s="1"/>
      </tp>
      <tp t="s">
        <v>N/A</v>
        <stp/>
        <stp>OPEN_INT</stp>
        <stp>.OPEN251016P0.5</stp>
        <tr r="G43" s="2"/>
      </tp>
      <tp t="s">
        <v>N/A</v>
        <stp/>
        <stp>OPEN_INT</stp>
        <stp>.OPEN260515P5.5</stp>
        <tr r="P37" s="1"/>
      </tp>
      <tp t="s">
        <v>N/A</v>
        <stp/>
        <stp>OPEN_INT</stp>
        <stp>.OPEN260515C5.5</stp>
        <tr r="P37" s="1"/>
      </tp>
      <tp t="s">
        <v>N/A</v>
        <stp/>
        <stp>OPEN_INT</stp>
        <stp>.OPEN251016C0.5</stp>
        <tr r="G43" s="2"/>
      </tp>
      <tp>
        <v>245</v>
        <stp/>
        <stp>OPEN_INT</stp>
        <stp>.OPEN251017P0.5</stp>
        <tr r="H43" s="2"/>
        <tr r="H43" s="2"/>
      </tp>
      <tp>
        <v>46</v>
        <stp/>
        <stp>OPEN_INT</stp>
        <stp>.OPEN251017C0.5</stp>
        <tr r="H43" s="2"/>
        <tr r="H43" s="2"/>
      </tp>
      <tp>
        <v>37</v>
        <stp/>
        <stp>OPEN_INT</stp>
        <stp>.OPEN251010P0.5</stp>
        <tr r="C43" s="2"/>
        <tr r="C43" s="2"/>
      </tp>
      <tp>
        <v>237</v>
        <stp/>
        <stp>OPEN_INT</stp>
        <stp>.OPEN251010C0.5</stp>
        <tr r="C43" s="2"/>
        <tr r="C43" s="2"/>
      </tp>
      <tp>
        <v>28</v>
        <stp/>
        <stp>OPEN_INT</stp>
        <stp>.OPEN251212P2.5</stp>
        <tr r="G43" s="1"/>
        <tr r="G43" s="1"/>
      </tp>
      <tp>
        <v>6</v>
        <stp/>
        <stp>OPEN_INT</stp>
        <stp>.OPEN251212C2.5</stp>
        <tr r="G43" s="1"/>
        <tr r="G43" s="1"/>
      </tp>
      <tp t="s">
        <v>N/A</v>
        <stp/>
        <stp>OPEN_INT</stp>
        <stp>.OPEN251013P0.5</stp>
        <tr r="D43" s="2"/>
      </tp>
      <tp t="s">
        <v>N/A</v>
        <stp/>
        <stp>OPEN_INT</stp>
        <stp>.OPEN251013C0.5</stp>
        <tr r="D43" s="2"/>
      </tp>
      <tp t="s">
        <v>N/A</v>
        <stp/>
        <stp>OPEN_INT</stp>
        <stp>.OPEN251219P2.5</stp>
        <tr r="H43" s="1"/>
        <tr r="U39" s="2"/>
      </tp>
      <tp t="s">
        <v>N/A</v>
        <stp/>
        <stp>OPEN_INT</stp>
        <stp>.OPEN251219C2.5</stp>
        <tr r="H43" s="1"/>
        <tr r="U39" s="2"/>
      </tp>
      <tp t="s">
        <v>N/A</v>
        <stp/>
        <stp>OPEN_INT</stp>
        <stp>.OPEN260619P6.5</stp>
        <tr r="Q35" s="1"/>
      </tp>
      <tp t="s">
        <v>N/A</v>
        <stp/>
        <stp>OPEN_INT</stp>
        <stp>.OPEN260619C6.5</stp>
        <tr r="Q35" s="1"/>
      </tp>
      <tp t="s">
        <v>N/A</v>
        <stp/>
        <stp>OPEN_INT</stp>
        <stp>.OPEN261218P2.5</stp>
        <tr r="W43" s="1"/>
      </tp>
      <tp t="s">
        <v>N/A</v>
        <stp/>
        <stp>OPEN_INT</stp>
        <stp>.OPEN260918P9.5</stp>
        <tr r="T29" s="1"/>
      </tp>
      <tp t="s">
        <v>N/A</v>
        <stp/>
        <stp>OPEN_INT</stp>
        <stp>.OPEN260918C9.5</stp>
        <tr r="T29" s="1"/>
      </tp>
      <tp t="s">
        <v>N/A</v>
        <stp/>
        <stp>OPEN_INT</stp>
        <stp>.OPEN261218C2.5</stp>
        <tr r="W43" s="1"/>
      </tp>
      <tp>
        <v>0</v>
        <stp/>
        <stp>OPEN_INT</stp>
        <stp>.OPEN251205P2.5</stp>
        <tr r="F43" s="1"/>
        <tr r="F43" s="1"/>
      </tp>
      <tp>
        <v>12</v>
        <stp/>
        <stp>OPEN_INT</stp>
        <stp>.OPEN251205C2.5</stp>
        <tr r="F43" s="1"/>
        <tr r="F43" s="1"/>
      </tp>
      <tp t="s">
        <v>N/A</v>
        <stp/>
        <stp>OPEN_INT</stp>
        <stp>.OPEN260102P1.5</stp>
        <tr r="J45" s="1"/>
      </tp>
      <tp t="s">
        <v>N/A</v>
        <stp/>
        <stp>OPEN_INT</stp>
        <stp>.OPEN260102C1.5</stp>
        <tr r="J45" s="1"/>
      </tp>
      <tp t="s">
        <v>N/A</v>
        <stp/>
        <stp>OPEN_INT</stp>
        <stp>.OPEN251009P0.5</stp>
        <tr r="B43" s="2"/>
      </tp>
      <tp t="s">
        <v>N/A</v>
        <stp/>
        <stp>OPEN_INT</stp>
        <stp>.OPEN251009C0.5</stp>
        <tr r="B43" s="2"/>
      </tp>
      <tp t="s">
        <v>N/A</v>
        <stp/>
        <stp>OPEN_INT</stp>
        <stp>.OPEN260109P1.5</stp>
        <tr r="K45" s="1"/>
      </tp>
      <tp t="s">
        <v>N/A</v>
        <stp/>
        <stp>OPEN_INT</stp>
        <stp>.OPEN260109C1.5</stp>
        <tr r="K45" s="1"/>
      </tp>
      <tp t="s">
        <v>N/A</v>
        <stp/>
        <stp>OPEN_INT</stp>
        <stp>.OPEN251030P0.5</stp>
        <tr r="Q43" s="2"/>
      </tp>
      <tp t="s">
        <v>N/A</v>
        <stp/>
        <stp>OPEN_INT</stp>
        <stp>.OPEN251030C0.5</stp>
        <tr r="Q43" s="2"/>
      </tp>
      <tp t="s">
        <v>N/A</v>
        <stp/>
        <stp>OPEN_INT</stp>
        <stp>.OPEN251031P0.5</stp>
        <tr r="R43" s="2"/>
      </tp>
      <tp t="s">
        <v>N/A</v>
        <stp/>
        <stp>OPEN_INT</stp>
        <stp>.OPEN251231P2.5</stp>
        <tr r="V39" s="2"/>
      </tp>
      <tp t="s">
        <v>N/A</v>
        <stp/>
        <stp>OPEN_INT</stp>
        <stp>.OPEN251031C0.5</stp>
        <tr r="R43" s="2"/>
      </tp>
      <tp t="s">
        <v>N/A</v>
        <stp/>
        <stp>OPEN_INT</stp>
        <stp>.OPEN251231C2.5</stp>
        <tr r="V39" s="2"/>
      </tp>
      <tp t="s">
        <v>N/A</v>
        <stp/>
        <stp>OPEN_INT</stp>
        <stp>.OPEN251024P0.5</stp>
        <tr r="M43" s="2"/>
      </tp>
      <tp t="s">
        <v>N/A</v>
        <stp/>
        <stp>OPEN_INT</stp>
        <stp>.OPEN251024C0.5</stp>
        <tr r="M43" s="2"/>
      </tp>
      <tp>
        <v>0</v>
        <stp/>
        <stp>OPEN_INT</stp>
        <stp>.OPEN251226P2.5</stp>
        <tr r="I43" s="1"/>
        <tr r="I43" s="1"/>
      </tp>
      <tp>
        <v>1</v>
        <stp/>
        <stp>OPEN_INT</stp>
        <stp>.OPEN251226C2.5</stp>
        <tr r="I43" s="1"/>
        <tr r="I43" s="1"/>
      </tp>
      <tp t="s">
        <v>N/A</v>
        <stp/>
        <stp>OPEN_INT</stp>
        <stp>.OPEN251027P0.5</stp>
        <tr r="N43" s="2"/>
      </tp>
      <tp t="s">
        <v>N/A</v>
        <stp/>
        <stp>OPEN_INT</stp>
        <stp>.OPEN251027C0.5</stp>
        <tr r="N43" s="2"/>
      </tp>
      <tp t="s">
        <v>N/A</v>
        <stp/>
        <stp>OPEN_INT</stp>
        <stp>.OPEN251020P0.5</stp>
        <tr r="I43" s="2"/>
      </tp>
      <tp t="s">
        <v>N/A</v>
        <stp/>
        <stp>OPEN_INT</stp>
        <stp>.OPEN251020C0.5</stp>
        <tr r="I43" s="2"/>
      </tp>
      <tp t="s">
        <v>N/A</v>
        <stp/>
        <stp>OPEN_INT</stp>
        <stp>.OPEN251021P0.5</stp>
        <tr r="J43" s="2"/>
      </tp>
      <tp>
        <v>8868</v>
        <stp/>
        <stp>OPEN_INT</stp>
        <stp>.OPEN251121P1.5</stp>
        <tr r="D45" s="1"/>
        <tr r="D45" s="1"/>
        <tr r="S41" s="2"/>
        <tr r="S41" s="2"/>
      </tp>
      <tp t="s">
        <v>N/A</v>
        <stp/>
        <stp>OPEN_INT</stp>
        <stp>.OPEN251021C0.5</stp>
        <tr r="J43" s="2"/>
      </tp>
      <tp>
        <v>1733</v>
        <stp/>
        <stp>OPEN_INT</stp>
        <stp>.OPEN251121C1.5</stp>
        <tr r="D45" s="1"/>
        <tr r="D45" s="1"/>
        <tr r="S41" s="2"/>
        <tr r="S41" s="2"/>
      </tp>
      <tp t="s">
        <v>N/A</v>
        <stp/>
        <stp>OPEN_INT</stp>
        <stp>.OPEN251022P0.5</stp>
        <tr r="K43" s="2"/>
      </tp>
      <tp t="s">
        <v>N/A</v>
        <stp/>
        <stp>OPEN_INT</stp>
        <stp>.OPEN260821P8.5</stp>
        <tr r="S31" s="1"/>
      </tp>
      <tp t="s">
        <v>N/A</v>
        <stp/>
        <stp>OPEN_INT</stp>
        <stp>.OPEN260821C8.5</stp>
        <tr r="S31" s="1"/>
      </tp>
      <tp t="s">
        <v>N/A</v>
        <stp/>
        <stp>OPEN_INT</stp>
        <stp>.OPEN251022C0.5</stp>
        <tr r="K43" s="2"/>
      </tp>
      <tp t="s">
        <v>N/A</v>
        <stp/>
        <stp>OPEN_INT</stp>
        <stp>.OPEN251023P0.5</stp>
        <tr r="L43" s="2"/>
      </tp>
      <tp t="s">
        <v>N/A</v>
        <stp/>
        <stp>OPEN_INT</stp>
        <stp>.OPEN261120P1.5</stp>
        <tr r="V45" s="1"/>
      </tp>
      <tp>
        <v>4442</v>
        <stp/>
        <stp>OPEN_INT</stp>
        <stp>.OPEN260220P2.5</stp>
        <tr r="M43" s="1"/>
        <tr r="M43" s="1"/>
      </tp>
      <tp t="s">
        <v>N/A</v>
        <stp/>
        <stp>OPEN_INT</stp>
        <stp>.OPEN260320P3.5</stp>
        <tr r="N41" s="1"/>
      </tp>
      <tp>
        <v>2498</v>
        <stp/>
        <stp>OPEN_INT</stp>
        <stp>.OPEN260220C2.5</stp>
        <tr r="M43" s="1"/>
        <tr r="M43" s="1"/>
      </tp>
      <tp t="s">
        <v>N/A</v>
        <stp/>
        <stp>OPEN_INT</stp>
        <stp>.OPEN260320C3.5</stp>
        <tr r="N41" s="1"/>
      </tp>
      <tp t="s">
        <v>N/A</v>
        <stp/>
        <stp>OPEN_INT</stp>
        <stp>.OPEN251023C0.5</stp>
        <tr r="L43" s="2"/>
      </tp>
      <tp t="s">
        <v>N/A</v>
        <stp/>
        <stp>OPEN_INT</stp>
        <stp>.OPEN261120C1.5</stp>
        <tr r="V45" s="1"/>
      </tp>
      <tp t="s">
        <v>N/A</v>
        <stp/>
        <stp>OPEN_INT</stp>
        <stp>.OPEN251028P0.5</stp>
        <tr r="O43" s="2"/>
      </tp>
      <tp t="s">
        <v>N/A</v>
        <stp/>
        <stp>OPEN_INT</stp>
        <stp>.OPEN251128P1.5</stp>
        <tr r="E45" s="1"/>
        <tr r="T41" s="2"/>
      </tp>
      <tp t="s">
        <v>N/A</v>
        <stp/>
        <stp>OPEN_INT</stp>
        <stp>.OPEN251028C0.5</stp>
        <tr r="O43" s="2"/>
      </tp>
      <tp t="s">
        <v>N/A</v>
        <stp/>
        <stp>OPEN_INT</stp>
        <stp>.OPEN251128C1.5</stp>
        <tr r="E45" s="1"/>
        <tr r="T41" s="2"/>
      </tp>
      <tp t="s">
        <v>N/A</v>
        <stp/>
        <stp>OPEN_INT</stp>
        <stp>.OPEN251029P0.5</stp>
        <tr r="P43" s="2"/>
      </tp>
      <tp t="s">
        <v>N/A</v>
        <stp/>
        <stp>OPEN_INT</stp>
        <stp>.OPEN251029C0.5</stp>
        <tr r="P43" s="2"/>
      </tp>
      <tp t="s">
        <v>N/A</v>
        <stp/>
        <stp>OPEN_INT</stp>
        <stp>.OPEN251014P1.5</stp>
        <tr r="E41" s="2"/>
      </tp>
      <tp t="s">
        <v>N/A</v>
        <stp/>
        <stp>OPEN_INT</stp>
        <stp>.OPEN251114P0.5</stp>
        <tr r="C47" s="1"/>
        <tr r="BR52" s="1"/>
        <tr r="BS52" s="5"/>
        <tr r="BS5" s="5"/>
        <tr r="BS7" s="5"/>
        <tr r="BS47" s="5"/>
        <tr r="BS11" s="5"/>
        <tr r="BS43" s="5"/>
        <tr r="BS41" s="5"/>
        <tr r="BS17" s="5"/>
        <tr r="BS19" s="5"/>
        <tr r="BS35" s="5"/>
        <tr r="BS23" s="5"/>
        <tr r="BS25" s="5"/>
        <tr r="BS29" s="5"/>
        <tr r="BR5" s="1"/>
        <tr r="BR49" s="1"/>
        <tr r="BR9" s="1"/>
        <tr r="BR45" s="1"/>
        <tr r="BR13" s="1"/>
        <tr r="BR41" s="1"/>
        <tr r="BR17" s="1"/>
        <tr r="BR37" s="1"/>
        <tr r="BR21" s="1"/>
        <tr r="BR23" s="1"/>
        <tr r="BR25" s="1"/>
        <tr r="BR29" s="1"/>
        <tr r="BS50" s="5"/>
        <tr r="BS48" s="5"/>
        <tr r="BS10" s="5"/>
        <tr r="BS12" s="5"/>
        <tr r="BS42" s="5"/>
        <tr r="BS16" s="5"/>
        <tr r="BS18" s="5"/>
        <tr r="BS36" s="5"/>
        <tr r="BS22" s="5"/>
        <tr r="BS24" s="5"/>
        <tr r="BS26" s="5"/>
        <tr r="BS28" s="5"/>
        <tr r="BR6" s="1"/>
        <tr r="BR8" s="1"/>
        <tr r="BR46" s="1"/>
        <tr r="BR44" s="1"/>
        <tr r="BR42" s="1"/>
        <tr r="BR40" s="1"/>
        <tr r="BR18" s="1"/>
        <tr r="BR20" s="1"/>
        <tr r="BR34" s="1"/>
        <tr r="BR32" s="1"/>
        <tr r="BR30" s="1"/>
        <tr r="BR28" s="1"/>
        <tr r="BS6" s="5"/>
        <tr r="BS8" s="5"/>
        <tr r="BS46" s="5"/>
        <tr r="BS44" s="5"/>
        <tr r="BS14" s="5"/>
        <tr r="BS40" s="5"/>
        <tr r="BS38" s="5"/>
        <tr r="BS20" s="5"/>
        <tr r="BS34" s="5"/>
        <tr r="BS32" s="5"/>
        <tr r="BS30" s="5"/>
        <tr r="BR50" s="1"/>
        <tr r="BR48" s="1"/>
        <tr r="BR10" s="1"/>
        <tr r="BR12" s="1"/>
        <tr r="BR14" s="1"/>
        <tr r="BR16" s="1"/>
        <tr r="BR38" s="1"/>
        <tr r="BR36" s="1"/>
        <tr r="BR22" s="1"/>
        <tr r="BR24" s="1"/>
        <tr r="BR26" s="1"/>
        <tr r="BS51" s="5"/>
        <tr r="BS49" s="5"/>
        <tr r="BS9" s="5"/>
        <tr r="BS45" s="5"/>
        <tr r="BS13" s="5"/>
        <tr r="BS15" s="5"/>
        <tr r="BS39" s="5"/>
        <tr r="BS37" s="5"/>
        <tr r="BS21" s="5"/>
        <tr r="BS33" s="5"/>
        <tr r="BS31" s="5"/>
        <tr r="BS27" s="5"/>
        <tr r="BR51" s="1"/>
        <tr r="BR7" s="1"/>
        <tr r="BR47" s="1"/>
        <tr r="BR11" s="1"/>
        <tr r="BR43" s="1"/>
        <tr r="BR15" s="1"/>
        <tr r="BR39" s="1"/>
        <tr r="BR19" s="1"/>
        <tr r="BR35" s="1"/>
        <tr r="BR33" s="1"/>
        <tr r="BR31" s="1"/>
        <tr r="BR27" s="1"/>
      </tp>
      <tp t="s">
        <v>N/A</v>
        <stp/>
        <stp>OPEN_INT</stp>
        <stp>.OPEN260417P5.5</stp>
        <tr r="O37" s="1"/>
      </tp>
      <tp t="s">
        <v>N/A</v>
        <stp/>
        <stp>OPEN_INT</stp>
        <stp>.OPEN260717P6.5</stp>
        <tr r="R35" s="1"/>
      </tp>
      <tp t="s">
        <v>N/A</v>
        <stp/>
        <stp>OPEN_INT</stp>
        <stp>.OPEN260417C5.5</stp>
        <tr r="O37" s="1"/>
      </tp>
      <tp t="s">
        <v>N/A</v>
        <stp/>
        <stp>OPEN_INT</stp>
        <stp>.OPEN260717C6.5</stp>
        <tr r="R35" s="1"/>
      </tp>
      <tp t="s">
        <v>N/A</v>
        <stp/>
        <stp>OPEN_INT</stp>
        <stp>.OPEN251014C1.5</stp>
        <tr r="E41" s="2"/>
      </tp>
      <tp t="s">
        <v>N/A</v>
        <stp/>
        <stp>OPEN_INT</stp>
        <stp>.OPEN251114C0.5</stp>
        <tr r="C47" s="1"/>
        <tr r="BR52" s="1"/>
        <tr r="BS52" s="5"/>
        <tr r="BS5" s="5"/>
        <tr r="BS7" s="5"/>
        <tr r="BS47" s="5"/>
        <tr r="BS11" s="5"/>
        <tr r="BS43" s="5"/>
        <tr r="BS41" s="5"/>
        <tr r="BS17" s="5"/>
        <tr r="BS19" s="5"/>
        <tr r="BS35" s="5"/>
        <tr r="BS23" s="5"/>
        <tr r="BS25" s="5"/>
        <tr r="BS29" s="5"/>
        <tr r="BR5" s="1"/>
        <tr r="BR49" s="1"/>
        <tr r="BR9" s="1"/>
        <tr r="BR45" s="1"/>
        <tr r="BR13" s="1"/>
        <tr r="BR41" s="1"/>
        <tr r="BR17" s="1"/>
        <tr r="BR37" s="1"/>
        <tr r="BR21" s="1"/>
        <tr r="BR23" s="1"/>
        <tr r="BR25" s="1"/>
        <tr r="BR29" s="1"/>
        <tr r="BS50" s="5"/>
        <tr r="BS48" s="5"/>
        <tr r="BS10" s="5"/>
        <tr r="BS12" s="5"/>
        <tr r="BS42" s="5"/>
        <tr r="BS16" s="5"/>
        <tr r="BS18" s="5"/>
        <tr r="BS36" s="5"/>
        <tr r="BS22" s="5"/>
        <tr r="BS24" s="5"/>
        <tr r="BS26" s="5"/>
        <tr r="BS28" s="5"/>
        <tr r="BR6" s="1"/>
        <tr r="BR8" s="1"/>
        <tr r="BR46" s="1"/>
        <tr r="BR44" s="1"/>
        <tr r="BR42" s="1"/>
        <tr r="BR40" s="1"/>
        <tr r="BR18" s="1"/>
        <tr r="BR20" s="1"/>
        <tr r="BR34" s="1"/>
        <tr r="BR32" s="1"/>
        <tr r="BR30" s="1"/>
        <tr r="BR28" s="1"/>
        <tr r="BS6" s="5"/>
        <tr r="BS8" s="5"/>
        <tr r="BS46" s="5"/>
        <tr r="BS44" s="5"/>
        <tr r="BS14" s="5"/>
        <tr r="BS40" s="5"/>
        <tr r="BS38" s="5"/>
        <tr r="BS20" s="5"/>
        <tr r="BS34" s="5"/>
        <tr r="BS32" s="5"/>
        <tr r="BS30" s="5"/>
        <tr r="BR50" s="1"/>
        <tr r="BR48" s="1"/>
        <tr r="BR10" s="1"/>
        <tr r="BR12" s="1"/>
        <tr r="BR14" s="1"/>
        <tr r="BR16" s="1"/>
        <tr r="BR38" s="1"/>
        <tr r="BR36" s="1"/>
        <tr r="BR22" s="1"/>
        <tr r="BR24" s="1"/>
        <tr r="BR26" s="1"/>
        <tr r="BS51" s="5"/>
        <tr r="BS49" s="5"/>
        <tr r="BS9" s="5"/>
        <tr r="BS45" s="5"/>
        <tr r="BS13" s="5"/>
        <tr r="BS15" s="5"/>
        <tr r="BS39" s="5"/>
        <tr r="BS37" s="5"/>
        <tr r="BS21" s="5"/>
        <tr r="BS33" s="5"/>
        <tr r="BS31" s="5"/>
        <tr r="BS27" s="5"/>
        <tr r="BR51" s="1"/>
        <tr r="BR7" s="1"/>
        <tr r="BR47" s="1"/>
        <tr r="BR11" s="1"/>
        <tr r="BR43" s="1"/>
        <tr r="BR15" s="1"/>
        <tr r="BR39" s="1"/>
        <tr r="BR19" s="1"/>
        <tr r="BR35" s="1"/>
        <tr r="BR33" s="1"/>
        <tr r="BR31" s="1"/>
        <tr r="BR27" s="1"/>
      </tp>
      <tp t="s">
        <v>N/A</v>
        <stp/>
        <stp>OPEN_INT</stp>
        <stp>.OPEN251015P1.5</stp>
        <tr r="F41" s="2"/>
      </tp>
      <tp t="s">
        <v>N/A</v>
        <stp/>
        <stp>OPEN_INT</stp>
        <stp>.OPEN261016P1.5</stp>
        <tr r="U45" s="1"/>
      </tp>
      <tp>
        <v>8186</v>
        <stp/>
        <stp>OPEN_INT</stp>
        <stp>.OPEN260116P0.5</stp>
        <tr r="L47" s="1"/>
        <tr r="L47" s="1"/>
        <tr r="W43" s="2"/>
        <tr r="W43" s="2"/>
      </tp>
      <tp>
        <v>1640</v>
        <stp/>
        <stp>OPEN_INT</stp>
        <stp>.OPEN260116C0.5</stp>
        <tr r="L47" s="1"/>
        <tr r="L47" s="1"/>
        <tr r="W43" s="2"/>
        <tr r="W43" s="2"/>
      </tp>
      <tp t="s">
        <v>N/A</v>
        <stp/>
        <stp>OPEN_INT</stp>
        <stp>.OPEN251015C1.5</stp>
        <tr r="F41" s="2"/>
      </tp>
      <tp t="s">
        <v>N/A</v>
        <stp/>
        <stp>OPEN_INT</stp>
        <stp>.OPEN261016C1.5</stp>
        <tr r="U45" s="1"/>
      </tp>
      <tp t="s">
        <v>N/A</v>
        <stp/>
        <stp>OPEN_INT</stp>
        <stp>.OPEN251016P1.5</stp>
        <tr r="G41" s="2"/>
      </tp>
      <tp t="s">
        <v>N/A</v>
        <stp/>
        <stp>OPEN_INT</stp>
        <stp>.OPEN260515P4.5</stp>
        <tr r="P39" s="1"/>
      </tp>
      <tp t="s">
        <v>N/A</v>
        <stp/>
        <stp>OPEN_INT</stp>
        <stp>.OPEN260515C4.5</stp>
        <tr r="P39" s="1"/>
      </tp>
      <tp t="s">
        <v>N/A</v>
        <stp/>
        <stp>OPEN_INT</stp>
        <stp>.OPEN251016C1.5</stp>
        <tr r="G41" s="2"/>
      </tp>
      <tp>
        <v>7653</v>
        <stp/>
        <stp>OPEN_INT</stp>
        <stp>.OPEN251017P1.5</stp>
        <tr r="H41" s="2"/>
        <tr r="H41" s="2"/>
      </tp>
      <tp>
        <v>12</v>
        <stp/>
        <stp>OPEN_INT</stp>
        <stp>.OPEN251017C1.5</stp>
        <tr r="H41" s="2"/>
        <tr r="H41" s="2"/>
      </tp>
      <tp>
        <v>1963</v>
        <stp/>
        <stp>OPEN_INT</stp>
        <stp>.OPEN251010P1.5</stp>
        <tr r="C41" s="2"/>
        <tr r="C41" s="2"/>
      </tp>
      <tp>
        <v>78</v>
        <stp/>
        <stp>OPEN_INT</stp>
        <stp>.OPEN251010C1.5</stp>
        <tr r="C41" s="2"/>
        <tr r="C41" s="2"/>
      </tp>
      <tp>
        <v>700</v>
        <stp/>
        <stp>OPEN_INT</stp>
        <stp>.OPEN251212P3.5</stp>
        <tr r="G41" s="1"/>
        <tr r="G41" s="1"/>
      </tp>
      <tp>
        <v>60</v>
        <stp/>
        <stp>OPEN_INT</stp>
        <stp>.OPEN251212C3.5</stp>
        <tr r="G41" s="1"/>
        <tr r="G41" s="1"/>
      </tp>
      <tp t="s">
        <v>N/A</v>
        <stp/>
        <stp>OPEN_INT</stp>
        <stp>.OPEN251013P1.5</stp>
        <tr r="D41" s="2"/>
      </tp>
      <tp t="s">
        <v>N/A</v>
        <stp/>
        <stp>OPEN_INT</stp>
        <stp>.OPEN251013C1.5</stp>
        <tr r="D41" s="2"/>
      </tp>
      <tp t="s">
        <v>N/A</v>
        <stp/>
        <stp>OPEN_INT</stp>
        <stp>.OPEN251219P3.5</stp>
        <tr r="H41" s="1"/>
        <tr r="U37" s="2"/>
      </tp>
      <tp t="s">
        <v>N/A</v>
        <stp/>
        <stp>OPEN_INT</stp>
        <stp>.OPEN251219C3.5</stp>
        <tr r="H41" s="1"/>
        <tr r="U37" s="2"/>
      </tp>
      <tp t="s">
        <v>N/A</v>
        <stp/>
        <stp>OPEN_INT</stp>
        <stp>.OPEN260619P7.5</stp>
        <tr r="Q33" s="1"/>
      </tp>
      <tp t="s">
        <v>N/A</v>
        <stp/>
        <stp>OPEN_INT</stp>
        <stp>.OPEN260619C7.5</stp>
        <tr r="Q33" s="1"/>
      </tp>
      <tp t="s">
        <v>N/A</v>
        <stp/>
        <stp>OPEN_INT</stp>
        <stp>.OPEN261218P3.5</stp>
        <tr r="W41" s="1"/>
      </tp>
      <tp t="s">
        <v>N/A</v>
        <stp/>
        <stp>OPEN_INT</stp>
        <stp>.OPEN260918P8.5</stp>
        <tr r="T31" s="1"/>
      </tp>
      <tp t="s">
        <v>N/A</v>
        <stp/>
        <stp>OPEN_INT</stp>
        <stp>.OPEN260918C8.5</stp>
        <tr r="T31" s="1"/>
      </tp>
      <tp t="s">
        <v>N/A</v>
        <stp/>
        <stp>OPEN_INT</stp>
        <stp>.OPEN261218C3.5</stp>
        <tr r="W41" s="1"/>
      </tp>
      <tp>
        <v>172</v>
        <stp/>
        <stp>OPEN_INT</stp>
        <stp>.OPEN251205P3.5</stp>
        <tr r="F41" s="1"/>
        <tr r="F41" s="1"/>
      </tp>
      <tp>
        <v>12</v>
        <stp/>
        <stp>OPEN_INT</stp>
        <stp>.OPEN251205C3.5</stp>
        <tr r="F41" s="1"/>
        <tr r="F41" s="1"/>
      </tp>
      <tp t="s">
        <v>N/A</v>
        <stp/>
        <stp>OPEN_INT</stp>
        <stp>.OPEN260102P0.5</stp>
        <tr r="J47" s="1"/>
      </tp>
      <tp t="s">
        <v>N/A</v>
        <stp/>
        <stp>OPEN_INT</stp>
        <stp>.OPEN260102C0.5</stp>
        <tr r="J47" s="1"/>
      </tp>
      <tp t="s">
        <v>N/A</v>
        <stp/>
        <stp>OPEN_INT</stp>
        <stp>.OPEN251009P1.5</stp>
        <tr r="B41" s="2"/>
      </tp>
      <tp t="s">
        <v>N/A</v>
        <stp/>
        <stp>OPEN_INT</stp>
        <stp>.OPEN251009C1.5</stp>
        <tr r="B41" s="2"/>
      </tp>
      <tp t="s">
        <v>N/A</v>
        <stp/>
        <stp>OPEN_INT</stp>
        <stp>.OPEN260109P0.5</stp>
        <tr r="K47" s="1"/>
      </tp>
      <tp t="s">
        <v>N/A</v>
        <stp/>
        <stp>OPEN_INT</stp>
        <stp>.OPEN260109C0.5</stp>
        <tr r="K47" s="1"/>
      </tp>
      <tp t="s">
        <v>N/A</v>
        <stp/>
        <stp>OPEN_INT</stp>
        <stp>.OPEN251030P1.5</stp>
        <tr r="Q41" s="2"/>
      </tp>
      <tp t="s">
        <v>N/A</v>
        <stp/>
        <stp>OPEN_INT</stp>
        <stp>.OPEN251030C1.5</stp>
        <tr r="Q41" s="2"/>
      </tp>
      <tp>
        <v>2418</v>
        <stp/>
        <stp>OPEN_INT</stp>
        <stp>.OPEN251031P1.5</stp>
        <tr r="R41" s="2"/>
        <tr r="R41" s="2"/>
      </tp>
      <tp t="s">
        <v>N/A</v>
        <stp/>
        <stp>OPEN_INT</stp>
        <stp>.OPEN251231P3.5</stp>
        <tr r="V37" s="2"/>
      </tp>
      <tp>
        <v>22</v>
        <stp/>
        <stp>OPEN_INT</stp>
        <stp>.OPEN251031C1.5</stp>
        <tr r="R41" s="2"/>
        <tr r="R41" s="2"/>
      </tp>
      <tp t="s">
        <v>N/A</v>
        <stp/>
        <stp>OPEN_INT</stp>
        <stp>.OPEN251231C3.5</stp>
        <tr r="V37" s="2"/>
      </tp>
      <tp>
        <v>1208</v>
        <stp/>
        <stp>OPEN_INT</stp>
        <stp>.OPEN251024P1.5</stp>
        <tr r="M41" s="2"/>
        <tr r="M41" s="2"/>
      </tp>
      <tp>
        <v>68</v>
        <stp/>
        <stp>OPEN_INT</stp>
        <stp>.OPEN251024C1.5</stp>
        <tr r="M41" s="2"/>
        <tr r="M41" s="2"/>
      </tp>
      <tp>
        <v>0</v>
        <stp/>
        <stp>OPEN_INT</stp>
        <stp>.OPEN251226P3.5</stp>
        <tr r="I41" s="1"/>
        <tr r="I41" s="1"/>
      </tp>
      <tp>
        <v>2</v>
        <stp/>
        <stp>OPEN_INT</stp>
        <stp>.OPEN251226C3.5</stp>
        <tr r="I41" s="1"/>
        <tr r="I41" s="1"/>
      </tp>
      <tp t="s">
        <v>N/A</v>
        <stp/>
        <stp>OPEN_INT</stp>
        <stp>.OPEN251027P1.5</stp>
        <tr r="N41" s="2"/>
      </tp>
      <tp t="s">
        <v>N/A</v>
        <stp/>
        <stp>OPEN_INT</stp>
        <stp>.OPEN251027C1.5</stp>
        <tr r="N41" s="2"/>
      </tp>
      <tp t="s">
        <v>N/A</v>
        <stp/>
        <stp>OPEN_INT</stp>
        <stp>.OPEN251020P1.5</stp>
        <tr r="I41" s="2"/>
      </tp>
      <tp t="s">
        <v>N/A</v>
        <stp/>
        <stp>OPEN_INT</stp>
        <stp>.OPEN251020C1.5</stp>
        <tr r="I41" s="2"/>
      </tp>
      <tp t="s">
        <v>N/A</v>
        <stp/>
        <stp>OPEN_INT</stp>
        <stp>.OPEN251021P1.5</stp>
        <tr r="J41" s="2"/>
      </tp>
      <tp>
        <v>15274</v>
        <stp/>
        <stp>OPEN_INT</stp>
        <stp>.OPEN251121P0.5</stp>
        <tr r="D47" s="1"/>
        <tr r="D47" s="1"/>
        <tr r="S43" s="2"/>
        <tr r="S43" s="2"/>
      </tp>
      <tp t="s">
        <v>N/A</v>
        <stp/>
        <stp>OPEN_INT</stp>
        <stp>.OPEN251021C1.5</stp>
        <tr r="J41" s="2"/>
      </tp>
      <tp>
        <v>443</v>
        <stp/>
        <stp>OPEN_INT</stp>
        <stp>.OPEN251121C0.5</stp>
        <tr r="D47" s="1"/>
        <tr r="D47" s="1"/>
        <tr r="S43" s="2"/>
        <tr r="S43" s="2"/>
      </tp>
      <tp t="s">
        <v>N/A</v>
        <stp/>
        <stp>OPEN_INT</stp>
        <stp>.OPEN251022P1.5</stp>
        <tr r="K41" s="2"/>
      </tp>
      <tp t="s">
        <v>N/A</v>
        <stp/>
        <stp>OPEN_INT</stp>
        <stp>.OPEN260821P9.5</stp>
        <tr r="S29" s="1"/>
      </tp>
      <tp t="s">
        <v>N/A</v>
        <stp/>
        <stp>OPEN_INT</stp>
        <stp>.OPEN260821C9.5</stp>
        <tr r="S29" s="1"/>
      </tp>
      <tp t="s">
        <v>N/A</v>
        <stp/>
        <stp>OPEN_INT</stp>
        <stp>.OPEN251022C1.5</stp>
        <tr r="K41" s="2"/>
      </tp>
      <tp t="s">
        <v>N/A</v>
        <stp/>
        <stp>OPEN_INT</stp>
        <stp>.OPEN251023P1.5</stp>
        <tr r="L41" s="2"/>
      </tp>
      <tp t="s">
        <v>N/A</v>
        <stp/>
        <stp>OPEN_INT</stp>
        <stp>.OPEN261120P0.5</stp>
        <tr r="V47" s="1"/>
      </tp>
      <tp>
        <v>1294</v>
        <stp/>
        <stp>OPEN_INT</stp>
        <stp>.OPEN260220P3.5</stp>
        <tr r="M41" s="1"/>
        <tr r="M41" s="1"/>
      </tp>
      <tp t="s">
        <v>N/A</v>
        <stp/>
        <stp>OPEN_INT</stp>
        <stp>.OPEN260320P2.5</stp>
        <tr r="N43" s="1"/>
      </tp>
      <tp>
        <v>3664</v>
        <stp/>
        <stp>OPEN_INT</stp>
        <stp>.OPEN260220C3.5</stp>
        <tr r="M41" s="1"/>
        <tr r="M41" s="1"/>
      </tp>
      <tp t="s">
        <v>N/A</v>
        <stp/>
        <stp>OPEN_INT</stp>
        <stp>.OPEN260320C2.5</stp>
        <tr r="N43" s="1"/>
      </tp>
      <tp t="s">
        <v>N/A</v>
        <stp/>
        <stp>OPEN_INT</stp>
        <stp>.OPEN251023C1.5</stp>
        <tr r="L41" s="2"/>
      </tp>
      <tp t="s">
        <v>N/A</v>
        <stp/>
        <stp>OPEN_INT</stp>
        <stp>.OPEN261120C0.5</stp>
        <tr r="V47" s="1"/>
      </tp>
      <tp t="s">
        <v>N/A</v>
        <stp/>
        <stp>OPEN_INT</stp>
        <stp>.OPEN251028P1.5</stp>
        <tr r="O41" s="2"/>
      </tp>
      <tp t="s">
        <v>N/A</v>
        <stp/>
        <stp>OPEN_INT</stp>
        <stp>.OPEN251128P0.5</stp>
        <tr r="E47" s="1"/>
        <tr r="T43" s="2"/>
      </tp>
      <tp t="s">
        <v>N/A</v>
        <stp/>
        <stp>OPEN_INT</stp>
        <stp>.OPEN251028C1.5</stp>
        <tr r="O41" s="2"/>
      </tp>
      <tp t="s">
        <v>N/A</v>
        <stp/>
        <stp>OPEN_INT</stp>
        <stp>.OPEN251128C0.5</stp>
        <tr r="E47" s="1"/>
        <tr r="T43" s="2"/>
      </tp>
      <tp t="s">
        <v>N/A</v>
        <stp/>
        <stp>OPEN_INT</stp>
        <stp>.OPEN251029P1.5</stp>
        <tr r="P41" s="2"/>
      </tp>
      <tp t="s">
        <v>N/A</v>
        <stp/>
        <stp>OPEN_INT</stp>
        <stp>.OPEN251029C1.5</stp>
        <tr r="P41" s="2"/>
      </tp>
      <tp t="s">
        <v>N/A</v>
        <stp/>
        <stp>OPEN_INT</stp>
        <stp>.OPENP14.5</stp>
        <tr r="B19" s="1"/>
      </tp>
      <tp t="s">
        <v>N/A</v>
        <stp/>
        <stp>OPEN_INT</stp>
        <stp>.OPENC14.5</stp>
        <tr r="B19" s="1"/>
      </tp>
      <tp t="s">
        <v>N/A</v>
        <stp/>
        <stp>OPEN_INT</stp>
        <stp>.OPENC4.5</stp>
        <tr r="B39" s="1"/>
      </tp>
      <tp t="s">
        <v>N/A</v>
        <stp/>
        <stp>OPEN_INT</stp>
        <stp>.OPENP4.5</stp>
        <tr r="B39" s="1"/>
      </tp>
      <tp t="s">
        <v>N/A</v>
        <stp/>
        <stp>OPEN_INT</stp>
        <stp>.OPENP15.5</stp>
        <tr r="B17" s="1"/>
      </tp>
      <tp t="s">
        <v>N/A</v>
        <stp/>
        <stp>OPEN_INT</stp>
        <stp>.OPENC15.5</stp>
        <tr r="B17" s="1"/>
      </tp>
      <tp t="s">
        <v>N/A</v>
        <stp/>
        <stp>OPEN_INT</stp>
        <stp>.OPENC5.5</stp>
        <tr r="B37" s="1"/>
      </tp>
      <tp t="s">
        <v>N/A</v>
        <stp/>
        <stp>OPEN_INT</stp>
        <stp>.OPENP5.5</stp>
        <tr r="B37" s="1"/>
      </tp>
      <tp t="s">
        <v>N/A</v>
        <stp/>
        <stp>OPEN_INT</stp>
        <stp>.OPENP16.5</stp>
        <tr r="B15" s="1"/>
      </tp>
      <tp t="s">
        <v>N/A</v>
        <stp/>
        <stp>OPEN_INT</stp>
        <stp>.OPENC16.5</stp>
        <tr r="B15" s="1"/>
      </tp>
      <tp t="s">
        <v>N/A</v>
        <stp/>
        <stp>OPEN_INT</stp>
        <stp>.OPENC6.5</stp>
        <tr r="B35" s="1"/>
      </tp>
      <tp t="s">
        <v>N/A</v>
        <stp/>
        <stp>OPEN_INT</stp>
        <stp>.OPENP6.5</stp>
        <tr r="B35" s="1"/>
      </tp>
      <tp t="s">
        <v>N/A</v>
        <stp/>
        <stp>OPEN_INT</stp>
        <stp>.OPENP17.5</stp>
        <tr r="B13" s="1"/>
      </tp>
      <tp t="s">
        <v>N/A</v>
        <stp/>
        <stp>OPEN_INT</stp>
        <stp>.OPENC17.5</stp>
        <tr r="B13" s="1"/>
      </tp>
      <tp t="s">
        <v>N/A</v>
        <stp/>
        <stp>OPEN_INT</stp>
        <stp>.OPENC7.5</stp>
        <tr r="B33" s="1"/>
      </tp>
      <tp t="s">
        <v>N/A</v>
        <stp/>
        <stp>OPEN_INT</stp>
        <stp>.OPENP7.5</stp>
        <tr r="B33" s="1"/>
      </tp>
      <tp t="s">
        <v>N/A</v>
        <stp/>
        <stp>VOLUME</stp>
        <stp>.OPENC9.5</stp>
        <tr r="B29" s="5"/>
      </tp>
      <tp t="s">
        <v>N/A</v>
        <stp/>
        <stp>VOLUME</stp>
        <stp>.OPENP9.5</stp>
        <tr r="B29" s="5"/>
      </tp>
      <tp t="s">
        <v>N/A</v>
        <stp/>
        <stp>OPEN_INT</stp>
        <stp>.OPENP-0.5</stp>
        <tr r="B49" s="1"/>
      </tp>
      <tp t="s">
        <v>N/A</v>
        <stp/>
        <stp>OPEN_INT</stp>
        <stp>.OPENP10.5</stp>
        <tr r="B27" s="1"/>
      </tp>
      <tp t="s">
        <v>N/A</v>
        <stp/>
        <stp>OPEN_INT</stp>
        <stp>.OPENP20.5</stp>
        <tr r="B7" s="1"/>
      </tp>
      <tp t="s">
        <v>N/A</v>
        <stp/>
        <stp>OPEN_INT</stp>
        <stp>.OPENC-0.5</stp>
        <tr r="B49" s="1"/>
      </tp>
      <tp t="s">
        <v>N/A</v>
        <stp/>
        <stp>OPEN_INT</stp>
        <stp>.OPENC10.5</stp>
        <tr r="B27" s="1"/>
      </tp>
      <tp t="s">
        <v>N/A</v>
        <stp/>
        <stp>OPEN_INT</stp>
        <stp>.OPENC20.5</stp>
        <tr r="B7" s="1"/>
      </tp>
      <tp t="s">
        <v>N/A</v>
        <stp/>
        <stp>VOLUME</stp>
        <stp>.OPEN260515P18.5</stp>
        <tr r="P11" s="5"/>
      </tp>
      <tp t="s">
        <v>N/A</v>
        <stp/>
        <stp>VOLUME</stp>
        <stp>.OPEN260515C18.5</stp>
        <tr r="P11" s="5"/>
      </tp>
      <tp t="s">
        <v>N/A</v>
        <stp/>
        <stp>VOLUME</stp>
        <stp>.OPEN251114P18.5</stp>
        <tr r="C11" s="5"/>
      </tp>
      <tp t="s">
        <v>N/A</v>
        <stp/>
        <stp>VOLUME</stp>
        <stp>.OPEN260417P18.5</stp>
        <tr r="O11" s="5"/>
      </tp>
      <tp t="s">
        <v>N/A</v>
        <stp/>
        <stp>VOLUME</stp>
        <stp>.OPEN260717P18.5</stp>
        <tr r="R11" s="5"/>
      </tp>
      <tp t="s">
        <v>N/A</v>
        <stp/>
        <stp>VOLUME</stp>
        <stp>.OPEN260417C18.5</stp>
        <tr r="O11" s="5"/>
      </tp>
      <tp t="s">
        <v>N/A</v>
        <stp/>
        <stp>VOLUME</stp>
        <stp>.OPEN260717C18.5</stp>
        <tr r="R11" s="5"/>
      </tp>
      <tp t="s">
        <v>N/A</v>
        <stp/>
        <stp>VOLUME</stp>
        <stp>.OPEN251114C18.5</stp>
        <tr r="C11" s="5"/>
      </tp>
      <tp t="s">
        <v>N/A</v>
        <stp/>
        <stp>VOLUME</stp>
        <stp>.OPEN261016P18.5</stp>
        <tr r="U11" s="5"/>
      </tp>
      <tp t="s">
        <v>N/A</v>
        <stp/>
        <stp>VOLUME</stp>
        <stp>.OPEN251205P19.5</stp>
        <tr r="F9" s="5"/>
      </tp>
      <tp t="s">
        <v>N/A</v>
        <stp/>
        <stp>VOLUME</stp>
        <stp>.OPEN260116P18.5</stp>
        <tr r="L11" s="5"/>
      </tp>
      <tp t="s">
        <v>N/A</v>
        <stp/>
        <stp>VOLUME</stp>
        <stp>.OPEN260116C18.5</stp>
        <tr r="L11" s="5"/>
      </tp>
      <tp t="s">
        <v>N/A</v>
        <stp/>
        <stp>VOLUME</stp>
        <stp>.OPEN261016C18.5</stp>
        <tr r="U11" s="5"/>
      </tp>
      <tp t="s">
        <v>N/A</v>
        <stp/>
        <stp>VOLUME</stp>
        <stp>.OPEN251205C19.5</stp>
        <tr r="F9" s="5"/>
      </tp>
      <tp t="s">
        <v>N/A</v>
        <stp/>
        <stp>VOLUME</stp>
        <stp>.OPEN251212P18.5</stp>
        <tr r="G11" s="5"/>
      </tp>
      <tp t="s">
        <v>N/A</v>
        <stp/>
        <stp>VOLUME</stp>
        <stp>.OPEN251212C18.5</stp>
        <tr r="G11" s="5"/>
      </tp>
      <tp t="s">
        <v>N/A</v>
        <stp/>
        <stp>VOLUME</stp>
        <stp>.OPEN260102P19.5</stp>
        <tr r="J9" s="5"/>
      </tp>
      <tp t="s">
        <v>N/A</v>
        <stp/>
        <stp>VOLUME</stp>
        <stp>.OPEN260102C19.5</stp>
        <tr r="J9" s="5"/>
      </tp>
      <tp t="s">
        <v>N/A</v>
        <stp/>
        <stp>OPEN_INT</stp>
        <stp>.OPENC0.5</stp>
        <tr r="B47" s="1"/>
      </tp>
      <tp t="s">
        <v>N/A</v>
        <stp/>
        <stp>OPEN_INT</stp>
        <stp>.OPENP0.5</stp>
        <tr r="B47" s="1"/>
      </tp>
      <tp t="s">
        <v>N/A</v>
        <stp/>
        <stp>VOLUME</stp>
        <stp>.OPEN260619P18.5</stp>
        <tr r="Q11" s="5"/>
      </tp>
      <tp t="s">
        <v>N/A</v>
        <stp/>
        <stp>VOLUME</stp>
        <stp>.OPEN260109P19.5</stp>
        <tr r="K9" s="5"/>
      </tp>
      <tp t="s">
        <v>N/A</v>
        <stp/>
        <stp>VOLUME</stp>
        <stp>.OPEN260619C18.5</stp>
        <tr r="Q11" s="5"/>
      </tp>
      <tp t="s">
        <v>N/A</v>
        <stp/>
        <stp>VOLUME</stp>
        <stp>.OPEN260109C19.5</stp>
        <tr r="K9" s="5"/>
      </tp>
      <tp t="s">
        <v>N/A</v>
        <stp/>
        <stp>VOLUME</stp>
        <stp>.OPEN261218P18.5</stp>
        <tr r="W11" s="5"/>
      </tp>
      <tp t="s">
        <v>N/A</v>
        <stp/>
        <stp>VOLUME</stp>
        <stp>.OPEN260918P18.5</stp>
        <tr r="T11" s="5"/>
      </tp>
      <tp t="s">
        <v>N/A</v>
        <stp/>
        <stp>VOLUME</stp>
        <stp>.OPEN260918C18.5</stp>
        <tr r="T11" s="5"/>
      </tp>
      <tp t="s">
        <v>N/A</v>
        <stp/>
        <stp>VOLUME</stp>
        <stp>.OPEN261218C18.5</stp>
        <tr r="W11" s="5"/>
      </tp>
      <tp t="s">
        <v>N/A</v>
        <stp/>
        <stp>VOLUME</stp>
        <stp>.OPEN251219P18.5</stp>
        <tr r="H11" s="5"/>
      </tp>
      <tp t="s">
        <v>N/A</v>
        <stp/>
        <stp>VOLUME</stp>
        <stp>.OPEN251219C18.5</stp>
        <tr r="H11" s="5"/>
      </tp>
      <tp t="s">
        <v>N/A</v>
        <stp/>
        <stp>VOLUME</stp>
        <stp>.OPENC8.5</stp>
        <tr r="B31" s="5"/>
      </tp>
      <tp t="s">
        <v>N/A</v>
        <stp/>
        <stp>VOLUME</stp>
        <stp>.OPENP8.5</stp>
        <tr r="B31" s="5"/>
      </tp>
      <tp t="s">
        <v>N/A</v>
        <stp/>
        <stp>OPEN_INT</stp>
        <stp>.OPENP-1.5</stp>
        <tr r="B51" s="1"/>
      </tp>
      <tp t="s">
        <v>N/A</v>
        <stp/>
        <stp>OPEN_INT</stp>
        <stp>.OPENP11.5</stp>
        <tr r="B25" s="1"/>
      </tp>
      <tp t="s">
        <v>N/A</v>
        <stp/>
        <stp>OPEN_INT</stp>
        <stp>.OPENP21.5</stp>
        <tr r="B5" s="1"/>
      </tp>
      <tp t="s">
        <v>N/A</v>
        <stp/>
        <stp>OPEN_INT</stp>
        <stp>.OPENC-1.5</stp>
        <tr r="B51" s="1"/>
      </tp>
      <tp t="s">
        <v>N/A</v>
        <stp/>
        <stp>OPEN_INT</stp>
        <stp>.OPENC11.5</stp>
        <tr r="B25" s="1"/>
      </tp>
      <tp t="s">
        <v>N/A</v>
        <stp/>
        <stp>OPEN_INT</stp>
        <stp>.OPENC21.5</stp>
        <tr r="B5" s="1"/>
      </tp>
      <tp t="s">
        <v>N/A</v>
        <stp/>
        <stp>VOLUME</stp>
        <stp>.OPEN260515P19.5</stp>
        <tr r="P9" s="5"/>
      </tp>
      <tp t="s">
        <v>N/A</v>
        <stp/>
        <stp>VOLUME</stp>
        <stp>.OPEN260515C19.5</stp>
        <tr r="P9" s="5"/>
      </tp>
      <tp t="s">
        <v>N/A</v>
        <stp/>
        <stp>VOLUME</stp>
        <stp>.OPEN251114P19.5</stp>
        <tr r="C9" s="5"/>
      </tp>
      <tp t="s">
        <v>N/A</v>
        <stp/>
        <stp>VOLUME</stp>
        <stp>.OPEN260417P19.5</stp>
        <tr r="O9" s="5"/>
      </tp>
      <tp t="s">
        <v>N/A</v>
        <stp/>
        <stp>VOLUME</stp>
        <stp>.OPEN260717P19.5</stp>
        <tr r="R9" s="5"/>
      </tp>
      <tp t="s">
        <v>N/A</v>
        <stp/>
        <stp>VOLUME</stp>
        <stp>.OPEN260417C19.5</stp>
        <tr r="O9" s="5"/>
      </tp>
      <tp t="s">
        <v>N/A</v>
        <stp/>
        <stp>VOLUME</stp>
        <stp>.OPEN260717C19.5</stp>
        <tr r="R9" s="5"/>
      </tp>
      <tp t="s">
        <v>N/A</v>
        <stp/>
        <stp>VOLUME</stp>
        <stp>.OPEN251114C19.5</stp>
        <tr r="C9" s="5"/>
      </tp>
      <tp t="s">
        <v>N/A</v>
        <stp/>
        <stp>VOLUME</stp>
        <stp>.OPEN261016P19.5</stp>
        <tr r="U9" s="5"/>
      </tp>
      <tp t="s">
        <v>N/A</v>
        <stp/>
        <stp>VOLUME</stp>
        <stp>.OPEN251205P18.5</stp>
        <tr r="F11" s="5"/>
      </tp>
      <tp t="s">
        <v>N/A</v>
        <stp/>
        <stp>VOLUME</stp>
        <stp>.OPEN260116P19.5</stp>
        <tr r="L9" s="5"/>
      </tp>
      <tp t="s">
        <v>N/A</v>
        <stp/>
        <stp>VOLUME</stp>
        <stp>.OPEN260116C19.5</stp>
        <tr r="L9" s="5"/>
      </tp>
      <tp t="s">
        <v>N/A</v>
        <stp/>
        <stp>VOLUME</stp>
        <stp>.OPEN261016C19.5</stp>
        <tr r="U9" s="5"/>
      </tp>
      <tp t="s">
        <v>N/A</v>
        <stp/>
        <stp>VOLUME</stp>
        <stp>.OPEN251205C18.5</stp>
        <tr r="F11" s="5"/>
      </tp>
      <tp t="s">
        <v>N/A</v>
        <stp/>
        <stp>VOLUME</stp>
        <stp>.OPEN251212P19.5</stp>
        <tr r="G9" s="5"/>
      </tp>
      <tp t="s">
        <v>N/A</v>
        <stp/>
        <stp>VOLUME</stp>
        <stp>.OPEN251212C19.5</stp>
        <tr r="G9" s="5"/>
      </tp>
      <tp t="s">
        <v>N/A</v>
        <stp/>
        <stp>VOLUME</stp>
        <stp>.OPEN260102P18.5</stp>
        <tr r="J11" s="5"/>
      </tp>
      <tp t="s">
        <v>N/A</v>
        <stp/>
        <stp>VOLUME</stp>
        <stp>.OPEN260102C18.5</stp>
        <tr r="J11" s="5"/>
      </tp>
      <tp t="s">
        <v>N/A</v>
        <stp/>
        <stp>OPEN_INT</stp>
        <stp>.OPENC1.5</stp>
        <tr r="B45" s="1"/>
      </tp>
      <tp t="s">
        <v>N/A</v>
        <stp/>
        <stp>OPEN_INT</stp>
        <stp>.OPENP1.5</stp>
        <tr r="B45" s="1"/>
      </tp>
      <tp t="s">
        <v>N/A</v>
        <stp/>
        <stp>VOLUME</stp>
        <stp>.OPEN260619P19.5</stp>
        <tr r="Q9" s="5"/>
      </tp>
      <tp t="s">
        <v>N/A</v>
        <stp/>
        <stp>VOLUME</stp>
        <stp>.OPEN260109P18.5</stp>
        <tr r="K11" s="5"/>
      </tp>
      <tp t="s">
        <v>N/A</v>
        <stp/>
        <stp>VOLUME</stp>
        <stp>.OPEN260619C19.5</stp>
        <tr r="Q9" s="5"/>
      </tp>
      <tp t="s">
        <v>N/A</v>
        <stp/>
        <stp>VOLUME</stp>
        <stp>.OPEN260109C18.5</stp>
        <tr r="K11" s="5"/>
      </tp>
      <tp t="s">
        <v>N/A</v>
        <stp/>
        <stp>VOLUME</stp>
        <stp>.OPEN261218P19.5</stp>
        <tr r="W9" s="5"/>
      </tp>
      <tp t="s">
        <v>N/A</v>
        <stp/>
        <stp>VOLUME</stp>
        <stp>.OPEN260918P19.5</stp>
        <tr r="T9" s="5"/>
      </tp>
      <tp t="s">
        <v>N/A</v>
        <stp/>
        <stp>VOLUME</stp>
        <stp>.OPEN260918C19.5</stp>
        <tr r="T9" s="5"/>
      </tp>
      <tp t="s">
        <v>N/A</v>
        <stp/>
        <stp>VOLUME</stp>
        <stp>.OPEN261218C19.5</stp>
        <tr r="W9" s="5"/>
      </tp>
      <tp t="s">
        <v>N/A</v>
        <stp/>
        <stp>VOLUME</stp>
        <stp>.OPEN251219P19.5</stp>
        <tr r="H9" s="5"/>
      </tp>
      <tp t="s">
        <v>N/A</v>
        <stp/>
        <stp>VOLUME</stp>
        <stp>.OPEN251219C19.5</stp>
        <tr r="H9" s="5"/>
      </tp>
      <tp t="s">
        <v>N/A</v>
        <stp/>
        <stp>OPEN_INT</stp>
        <stp>.OPENP12.5</stp>
        <tr r="B23" s="1"/>
      </tp>
      <tp t="s">
        <v>N/A</v>
        <stp/>
        <stp>OPEN_INT</stp>
        <stp>.OPENC12.5</stp>
        <tr r="B23" s="1"/>
      </tp>
      <tp t="s">
        <v>N/A</v>
        <stp/>
        <stp>VOLUME</stp>
        <stp>.OPEN251226P19.5</stp>
        <tr r="I9" s="5"/>
      </tp>
      <tp t="s">
        <v>N/A</v>
        <stp/>
        <stp>VOLUME</stp>
        <stp>.OPEN251226C19.5</stp>
        <tr r="I9" s="5"/>
      </tp>
      <tp t="s">
        <v>N/A</v>
        <stp/>
        <stp>VOLUME</stp>
        <stp>.OPEN260821P19.5</stp>
        <tr r="S9" s="5"/>
      </tp>
      <tp t="s">
        <v>N/A</v>
        <stp/>
        <stp>VOLUME</stp>
        <stp>.OPEN260821C19.5</stp>
        <tr r="S9" s="5"/>
      </tp>
      <tp t="s">
        <v>N/A</v>
        <stp/>
        <stp>VOLUME</stp>
        <stp>.OPEN261120P19.5</stp>
        <tr r="V9" s="5"/>
      </tp>
      <tp t="s">
        <v>N/A</v>
        <stp/>
        <stp>VOLUME</stp>
        <stp>.OPEN260220P19.5</stp>
        <tr r="M9" s="5"/>
      </tp>
      <tp t="s">
        <v>N/A</v>
        <stp/>
        <stp>VOLUME</stp>
        <stp>.OPEN260320P19.5</stp>
        <tr r="N9" s="5"/>
      </tp>
      <tp t="s">
        <v>N/A</v>
        <stp/>
        <stp>VOLUME</stp>
        <stp>.OPEN260220C19.5</stp>
        <tr r="M9" s="5"/>
      </tp>
      <tp t="s">
        <v>N/A</v>
        <stp/>
        <stp>VOLUME</stp>
        <stp>.OPEN260320C19.5</stp>
        <tr r="N9" s="5"/>
      </tp>
      <tp t="s">
        <v>N/A</v>
        <stp/>
        <stp>VOLUME</stp>
        <stp>.OPEN261120C19.5</stp>
        <tr r="V9" s="5"/>
      </tp>
      <tp t="s">
        <v>N/A</v>
        <stp/>
        <stp>VOLUME</stp>
        <stp>.OPEN251121P19.5</stp>
        <tr r="D9" s="5"/>
      </tp>
      <tp t="s">
        <v>N/A</v>
        <stp/>
        <stp>VOLUME</stp>
        <stp>.OPEN251121C19.5</stp>
        <tr r="D9" s="5"/>
      </tp>
      <tp t="s">
        <v>N/A</v>
        <stp/>
        <stp>OPEN_INT</stp>
        <stp>.OPENC2.5</stp>
        <tr r="B43" s="1"/>
      </tp>
      <tp t="s">
        <v>N/A</v>
        <stp/>
        <stp>OPEN_INT</stp>
        <stp>.OPENP2.5</stp>
        <tr r="B43" s="1"/>
      </tp>
      <tp t="s">
        <v>N/A</v>
        <stp/>
        <stp>VOLUME</stp>
        <stp>.OPEN251128P19.5</stp>
        <tr r="E9" s="5"/>
      </tp>
      <tp t="s">
        <v>N/A</v>
        <stp/>
        <stp>VOLUME</stp>
        <stp>.OPEN251128C19.5</stp>
        <tr r="E9" s="5"/>
      </tp>
      <tp t="s">
        <v>N/A</v>
        <stp/>
        <stp>OPEN_INT</stp>
        <stp>.OPENP13.5</stp>
        <tr r="B21" s="1"/>
      </tp>
      <tp t="s">
        <v>N/A</v>
        <stp/>
        <stp>OPEN_INT</stp>
        <stp>.OPENC13.5</stp>
        <tr r="B21" s="1"/>
      </tp>
      <tp t="s">
        <v>N/A</v>
        <stp/>
        <stp>VOLUME</stp>
        <stp>.OPEN251226P18.5</stp>
        <tr r="I11" s="5"/>
      </tp>
      <tp t="s">
        <v>N/A</v>
        <stp/>
        <stp>VOLUME</stp>
        <stp>.OPEN251226C18.5</stp>
        <tr r="I11" s="5"/>
      </tp>
      <tp t="s">
        <v>N/A</v>
        <stp/>
        <stp>VOLUME</stp>
        <stp>.OPEN260821P18.5</stp>
        <tr r="S11" s="5"/>
      </tp>
      <tp t="s">
        <v>N/A</v>
        <stp/>
        <stp>VOLUME</stp>
        <stp>.OPEN260821C18.5</stp>
        <tr r="S11" s="5"/>
      </tp>
      <tp t="s">
        <v>N/A</v>
        <stp/>
        <stp>VOLUME</stp>
        <stp>.OPEN261120P18.5</stp>
        <tr r="V11" s="5"/>
      </tp>
      <tp t="s">
        <v>N/A</v>
        <stp/>
        <stp>VOLUME</stp>
        <stp>.OPEN260220P18.5</stp>
        <tr r="M11" s="5"/>
      </tp>
      <tp t="s">
        <v>N/A</v>
        <stp/>
        <stp>VOLUME</stp>
        <stp>.OPEN260320P18.5</stp>
        <tr r="N11" s="5"/>
      </tp>
      <tp t="s">
        <v>N/A</v>
        <stp/>
        <stp>VOLUME</stp>
        <stp>.OPEN260220C18.5</stp>
        <tr r="M11" s="5"/>
      </tp>
      <tp t="s">
        <v>N/A</v>
        <stp/>
        <stp>VOLUME</stp>
        <stp>.OPEN260320C18.5</stp>
        <tr r="N11" s="5"/>
      </tp>
      <tp t="s">
        <v>N/A</v>
        <stp/>
        <stp>VOLUME</stp>
        <stp>.OPEN261120C18.5</stp>
        <tr r="V11" s="5"/>
      </tp>
      <tp t="s">
        <v>N/A</v>
        <stp/>
        <stp>VOLUME</stp>
        <stp>.OPEN251121P18.5</stp>
        <tr r="D11" s="5"/>
      </tp>
      <tp t="s">
        <v>N/A</v>
        <stp/>
        <stp>VOLUME</stp>
        <stp>.OPEN251121C18.5</stp>
        <tr r="D11" s="5"/>
      </tp>
      <tp t="s">
        <v>N/A</v>
        <stp/>
        <stp>OPEN_INT</stp>
        <stp>.OPENC3.5</stp>
        <tr r="B41" s="1"/>
      </tp>
      <tp t="s">
        <v>N/A</v>
        <stp/>
        <stp>OPEN_INT</stp>
        <stp>.OPENP3.5</stp>
        <tr r="B41" s="1"/>
      </tp>
      <tp t="s">
        <v>N/A</v>
        <stp/>
        <stp>VOLUME</stp>
        <stp>.OPEN251128P18.5</stp>
        <tr r="E11" s="5"/>
      </tp>
      <tp t="s">
        <v>N/A</v>
        <stp/>
        <stp>VOLUME</stp>
        <stp>.OPEN251128C18.5</stp>
        <tr r="E11" s="5"/>
      </tp>
      <tp t="s">
        <v>N/A</v>
        <stp/>
        <stp>VOLUME</stp>
        <stp>.OPENC5.5</stp>
        <tr r="B37" s="5"/>
      </tp>
      <tp t="s">
        <v>N/A</v>
        <stp/>
        <stp>VOLUME</stp>
        <stp>.OPENP5.5</stp>
        <tr r="B37" s="5"/>
      </tp>
      <tp t="s">
        <v>N/A</v>
        <stp/>
        <stp>VOLUME</stp>
        <stp>.OPEN251226P17.5</stp>
        <tr r="I13" s="5"/>
      </tp>
      <tp t="s">
        <v>N/A</v>
        <stp/>
        <stp>VOLUME</stp>
        <stp>.OPEN260515P14.5</stp>
        <tr r="P19" s="5"/>
      </tp>
      <tp t="s">
        <v>N/A</v>
        <stp/>
        <stp>VOLUME</stp>
        <stp>.OPEN260515C14.5</stp>
        <tr r="P19" s="5"/>
      </tp>
      <tp t="s">
        <v>N/A</v>
        <stp/>
        <stp>VOLUME</stp>
        <stp>.OPEN251226C17.5</stp>
        <tr r="I13" s="5"/>
      </tp>
      <tp t="s">
        <v>N/A</v>
        <stp/>
        <stp>VOLUME</stp>
        <stp>.OPEN251114P14.5</stp>
        <tr r="C19" s="5"/>
      </tp>
      <tp t="s">
        <v>N/A</v>
        <stp/>
        <stp>VOLUME</stp>
        <stp>.OPEN260417P14.5</stp>
        <tr r="O19" s="5"/>
      </tp>
      <tp t="s">
        <v>N/A</v>
        <stp/>
        <stp>VOLUME</stp>
        <stp>.OPEN260717P14.5</stp>
        <tr r="R19" s="5"/>
      </tp>
      <tp t="s">
        <v>N/A</v>
        <stp/>
        <stp>VOLUME</stp>
        <stp>.OPEN260417C14.5</stp>
        <tr r="O19" s="5"/>
      </tp>
      <tp t="s">
        <v>N/A</v>
        <stp/>
        <stp>VOLUME</stp>
        <stp>.OPEN260717C14.5</stp>
        <tr r="R19" s="5"/>
      </tp>
      <tp t="s">
        <v>N/A</v>
        <stp/>
        <stp>VOLUME</stp>
        <stp>.OPEN251114C14.5</stp>
        <tr r="C19" s="5"/>
      </tp>
      <tp t="s">
        <v>N/A</v>
        <stp/>
        <stp>VOLUME</stp>
        <stp>.OPEN261016P14.5</stp>
        <tr r="U19" s="5"/>
      </tp>
      <tp t="s">
        <v>N/A</v>
        <stp/>
        <stp>VOLUME</stp>
        <stp>.OPEN251205P15.5</stp>
        <tr r="F17" s="5"/>
      </tp>
      <tp t="s">
        <v>N/A</v>
        <stp/>
        <stp>VOLUME</stp>
        <stp>.OPEN260116P14.5</stp>
        <tr r="L19" s="5"/>
      </tp>
      <tp t="s">
        <v>N/A</v>
        <stp/>
        <stp>VOLUME</stp>
        <stp>.OPEN260116C14.5</stp>
        <tr r="L19" s="5"/>
      </tp>
      <tp t="s">
        <v>N/A</v>
        <stp/>
        <stp>VOLUME</stp>
        <stp>.OPEN261016C14.5</stp>
        <tr r="U19" s="5"/>
      </tp>
      <tp t="s">
        <v>N/A</v>
        <stp/>
        <stp>VOLUME</stp>
        <stp>.OPEN251205C15.5</stp>
        <tr r="F17" s="5"/>
      </tp>
      <tp t="s">
        <v>N/A</v>
        <stp/>
        <stp>VOLUME</stp>
        <stp>.OPEN251212P14.5</stp>
        <tr r="G19" s="5"/>
      </tp>
      <tp t="s">
        <v>N/A</v>
        <stp/>
        <stp>VOLUME</stp>
        <stp>.OPEN260821P17.5</stp>
        <tr r="S13" s="5"/>
      </tp>
      <tp t="s">
        <v>N/A</v>
        <stp/>
        <stp>VOLUME</stp>
        <stp>.OPEN260821C17.5</stp>
        <tr r="S13" s="5"/>
      </tp>
      <tp t="s">
        <v>N/A</v>
        <stp/>
        <stp>VOLUME</stp>
        <stp>.OPEN251212C14.5</stp>
        <tr r="G19" s="5"/>
      </tp>
      <tp t="s">
        <v>N/A</v>
        <stp/>
        <stp>VOLUME</stp>
        <stp>.OPEN261120P17.5</stp>
        <tr r="V13" s="5"/>
      </tp>
      <tp t="s">
        <v>N/A</v>
        <stp/>
        <stp>VOLUME</stp>
        <stp>.OPEN260220P17.5</stp>
        <tr r="M13" s="5"/>
      </tp>
      <tp t="s">
        <v>N/A</v>
        <stp/>
        <stp>VOLUME</stp>
        <stp>.OPEN260320P17.5</stp>
        <tr r="N13" s="5"/>
      </tp>
      <tp t="s">
        <v>N/A</v>
        <stp/>
        <stp>VOLUME</stp>
        <stp>.OPEN260220C17.5</stp>
        <tr r="M13" s="5"/>
      </tp>
      <tp t="s">
        <v>N/A</v>
        <stp/>
        <stp>VOLUME</stp>
        <stp>.OPEN260320C17.5</stp>
        <tr r="N13" s="5"/>
      </tp>
      <tp t="s">
        <v>N/A</v>
        <stp/>
        <stp>VOLUME</stp>
        <stp>.OPEN261120C17.5</stp>
        <tr r="V13" s="5"/>
      </tp>
      <tp t="s">
        <v>N/A</v>
        <stp/>
        <stp>VOLUME</stp>
        <stp>.OPEN251121P17.5</stp>
        <tr r="D13" s="5"/>
      </tp>
      <tp t="s">
        <v>N/A</v>
        <stp/>
        <stp>VOLUME</stp>
        <stp>.OPEN260102P15.5</stp>
        <tr r="J17" s="5"/>
      </tp>
      <tp t="s">
        <v>N/A</v>
        <stp/>
        <stp>VOLUME</stp>
        <stp>.OPEN260102C15.5</stp>
        <tr r="J17" s="5"/>
      </tp>
      <tp t="s">
        <v>N/A</v>
        <stp/>
        <stp>VOLUME</stp>
        <stp>.OPEN251121C17.5</stp>
        <tr r="D13" s="5"/>
      </tp>
      <tp t="s">
        <v>N/A</v>
        <stp/>
        <stp>VOLUME</stp>
        <stp>.OPEN260619P14.5</stp>
        <tr r="Q19" s="5"/>
      </tp>
      <tp t="s">
        <v>N/A</v>
        <stp/>
        <stp>VOLUME</stp>
        <stp>.OPEN260109P15.5</stp>
        <tr r="K17" s="5"/>
      </tp>
      <tp t="s">
        <v>N/A</v>
        <stp/>
        <stp>VOLUME</stp>
        <stp>.OPEN260619C14.5</stp>
        <tr r="Q19" s="5"/>
      </tp>
      <tp t="s">
        <v>N/A</v>
        <stp/>
        <stp>VOLUME</stp>
        <stp>.OPEN260109C15.5</stp>
        <tr r="K17" s="5"/>
      </tp>
      <tp t="s">
        <v>N/A</v>
        <stp/>
        <stp>VOLUME</stp>
        <stp>.OPEN261218P14.5</stp>
        <tr r="W19" s="5"/>
      </tp>
      <tp t="s">
        <v>N/A</v>
        <stp/>
        <stp>VOLUME</stp>
        <stp>.OPEN260918P14.5</stp>
        <tr r="T19" s="5"/>
      </tp>
      <tp t="s">
        <v>N/A</v>
        <stp/>
        <stp>VOLUME</stp>
        <stp>.OPEN260918C14.5</stp>
        <tr r="T19" s="5"/>
      </tp>
      <tp t="s">
        <v>N/A</v>
        <stp/>
        <stp>VOLUME</stp>
        <stp>.OPEN261218C14.5</stp>
        <tr r="W19" s="5"/>
      </tp>
      <tp t="s">
        <v>N/A</v>
        <stp/>
        <stp>VOLUME</stp>
        <stp>.OPEN251128P17.5</stp>
        <tr r="E13" s="5"/>
      </tp>
      <tp t="s">
        <v>N/A</v>
        <stp/>
        <stp>VOLUME</stp>
        <stp>.OPEN251128C17.5</stp>
        <tr r="E13" s="5"/>
      </tp>
      <tp t="s">
        <v>N/A</v>
        <stp/>
        <stp>VOLUME</stp>
        <stp>.OPEN251219P14.5</stp>
        <tr r="H19" s="5"/>
      </tp>
      <tp t="s">
        <v>N/A</v>
        <stp/>
        <stp>VOLUME</stp>
        <stp>.OPEN251219C14.5</stp>
        <tr r="H19" s="5"/>
      </tp>
      <tp t="s">
        <v>N/A</v>
        <stp/>
        <stp>VOLUME</stp>
        <stp>.OPENC4.5</stp>
        <tr r="B39" s="5"/>
      </tp>
      <tp t="s">
        <v>N/A</v>
        <stp/>
        <stp>VOLUME</stp>
        <stp>.OPENP4.5</stp>
        <tr r="B39" s="5"/>
      </tp>
      <tp t="s">
        <v>N/A</v>
        <stp/>
        <stp>VOLUME</stp>
        <stp>.OPEN251226P16.5</stp>
        <tr r="I15" s="5"/>
      </tp>
      <tp t="s">
        <v>N/A</v>
        <stp/>
        <stp>VOLUME</stp>
        <stp>.OPEN260515P15.5</stp>
        <tr r="P17" s="5"/>
      </tp>
      <tp t="s">
        <v>N/A</v>
        <stp/>
        <stp>VOLUME</stp>
        <stp>.OPEN260515C15.5</stp>
        <tr r="P17" s="5"/>
      </tp>
      <tp t="s">
        <v>N/A</v>
        <stp/>
        <stp>VOLUME</stp>
        <stp>.OPEN251226C16.5</stp>
        <tr r="I15" s="5"/>
      </tp>
      <tp t="s">
        <v>N/A</v>
        <stp/>
        <stp>VOLUME</stp>
        <stp>.OPEN251114P15.5</stp>
        <tr r="C17" s="5"/>
      </tp>
      <tp t="s">
        <v>N/A</v>
        <stp/>
        <stp>VOLUME</stp>
        <stp>.OPEN260417P15.5</stp>
        <tr r="O17" s="5"/>
      </tp>
      <tp t="s">
        <v>N/A</v>
        <stp/>
        <stp>VOLUME</stp>
        <stp>.OPEN260717P15.5</stp>
        <tr r="R17" s="5"/>
      </tp>
      <tp t="s">
        <v>N/A</v>
        <stp/>
        <stp>VOLUME</stp>
        <stp>.OPEN260417C15.5</stp>
        <tr r="O17" s="5"/>
      </tp>
      <tp t="s">
        <v>N/A</v>
        <stp/>
        <stp>VOLUME</stp>
        <stp>.OPEN260717C15.5</stp>
        <tr r="R17" s="5"/>
      </tp>
      <tp t="s">
        <v>N/A</v>
        <stp/>
        <stp>VOLUME</stp>
        <stp>.OPEN251114C15.5</stp>
        <tr r="C17" s="5"/>
      </tp>
      <tp t="s">
        <v>N/A</v>
        <stp/>
        <stp>VOLUME</stp>
        <stp>.OPEN261016P15.5</stp>
        <tr r="U17" s="5"/>
      </tp>
      <tp t="s">
        <v>N/A</v>
        <stp/>
        <stp>VOLUME</stp>
        <stp>.OPEN251205P14.5</stp>
        <tr r="F19" s="5"/>
      </tp>
      <tp t="s">
        <v>N/A</v>
        <stp/>
        <stp>VOLUME</stp>
        <stp>.OPEN260116P15.5</stp>
        <tr r="L17" s="5"/>
      </tp>
      <tp t="s">
        <v>N/A</v>
        <stp/>
        <stp>VOLUME</stp>
        <stp>.OPEN260116C15.5</stp>
        <tr r="L17" s="5"/>
      </tp>
      <tp t="s">
        <v>N/A</v>
        <stp/>
        <stp>VOLUME</stp>
        <stp>.OPEN261016C15.5</stp>
        <tr r="U17" s="5"/>
      </tp>
      <tp t="s">
        <v>N/A</v>
        <stp/>
        <stp>VOLUME</stp>
        <stp>.OPEN251205C14.5</stp>
        <tr r="F19" s="5"/>
      </tp>
      <tp t="s">
        <v>N/A</v>
        <stp/>
        <stp>VOLUME</stp>
        <stp>.OPEN251212P15.5</stp>
        <tr r="G17" s="5"/>
      </tp>
      <tp t="s">
        <v>N/A</v>
        <stp/>
        <stp>VOLUME</stp>
        <stp>.OPEN260821P16.5</stp>
        <tr r="S15" s="5"/>
      </tp>
      <tp t="s">
        <v>N/A</v>
        <stp/>
        <stp>VOLUME</stp>
        <stp>.OPEN260821C16.5</stp>
        <tr r="S15" s="5"/>
      </tp>
      <tp t="s">
        <v>N/A</v>
        <stp/>
        <stp>VOLUME</stp>
        <stp>.OPEN251212C15.5</stp>
        <tr r="G17" s="5"/>
      </tp>
      <tp t="s">
        <v>N/A</v>
        <stp/>
        <stp>VOLUME</stp>
        <stp>.OPEN261120P16.5</stp>
        <tr r="V15" s="5"/>
      </tp>
      <tp t="s">
        <v>N/A</v>
        <stp/>
        <stp>VOLUME</stp>
        <stp>.OPEN260220P16.5</stp>
        <tr r="M15" s="5"/>
      </tp>
      <tp t="s">
        <v>N/A</v>
        <stp/>
        <stp>VOLUME</stp>
        <stp>.OPEN260320P16.5</stp>
        <tr r="N15" s="5"/>
      </tp>
      <tp t="s">
        <v>N/A</v>
        <stp/>
        <stp>VOLUME</stp>
        <stp>.OPEN260220C16.5</stp>
        <tr r="M15" s="5"/>
      </tp>
      <tp t="s">
        <v>N/A</v>
        <stp/>
        <stp>VOLUME</stp>
        <stp>.OPEN260320C16.5</stp>
        <tr r="N15" s="5"/>
      </tp>
      <tp t="s">
        <v>N/A</v>
        <stp/>
        <stp>VOLUME</stp>
        <stp>.OPEN261120C16.5</stp>
        <tr r="V15" s="5"/>
      </tp>
      <tp t="s">
        <v>N/A</v>
        <stp/>
        <stp>VOLUME</stp>
        <stp>.OPEN251121P16.5</stp>
        <tr r="D15" s="5"/>
      </tp>
      <tp t="s">
        <v>N/A</v>
        <stp/>
        <stp>VOLUME</stp>
        <stp>.OPEN260102P14.5</stp>
        <tr r="J19" s="5"/>
      </tp>
      <tp t="s">
        <v>N/A</v>
        <stp/>
        <stp>VOLUME</stp>
        <stp>.OPEN260102C14.5</stp>
        <tr r="J19" s="5"/>
      </tp>
      <tp t="s">
        <v>N/A</v>
        <stp/>
        <stp>VOLUME</stp>
        <stp>.OPEN251121C16.5</stp>
        <tr r="D15" s="5"/>
      </tp>
      <tp t="s">
        <v>N/A</v>
        <stp/>
        <stp>VOLUME</stp>
        <stp>.OPEN260619P15.5</stp>
        <tr r="Q17" s="5"/>
      </tp>
      <tp t="s">
        <v>N/A</v>
        <stp/>
        <stp>VOLUME</stp>
        <stp>.OPEN260109P14.5</stp>
        <tr r="K19" s="5"/>
      </tp>
      <tp t="s">
        <v>N/A</v>
        <stp/>
        <stp>VOLUME</stp>
        <stp>.OPEN260619C15.5</stp>
        <tr r="Q17" s="5"/>
      </tp>
      <tp t="s">
        <v>N/A</v>
        <stp/>
        <stp>VOLUME</stp>
        <stp>.OPEN260109C14.5</stp>
        <tr r="K19" s="5"/>
      </tp>
      <tp t="s">
        <v>N/A</v>
        <stp/>
        <stp>VOLUME</stp>
        <stp>.OPEN261218P15.5</stp>
        <tr r="W17" s="5"/>
      </tp>
      <tp t="s">
        <v>N/A</v>
        <stp/>
        <stp>VOLUME</stp>
        <stp>.OPEN260918P15.5</stp>
        <tr r="T17" s="5"/>
      </tp>
      <tp t="s">
        <v>N/A</v>
        <stp/>
        <stp>VOLUME</stp>
        <stp>.OPEN260918C15.5</stp>
        <tr r="T17" s="5"/>
      </tp>
      <tp t="s">
        <v>N/A</v>
        <stp/>
        <stp>VOLUME</stp>
        <stp>.OPEN261218C15.5</stp>
        <tr r="W17" s="5"/>
      </tp>
      <tp t="s">
        <v>N/A</v>
        <stp/>
        <stp>VOLUME</stp>
        <stp>.OPEN251128P16.5</stp>
        <tr r="E15" s="5"/>
      </tp>
      <tp t="s">
        <v>N/A</v>
        <stp/>
        <stp>VOLUME</stp>
        <stp>.OPEN251128C16.5</stp>
        <tr r="E15" s="5"/>
      </tp>
      <tp t="s">
        <v>N/A</v>
        <stp/>
        <stp>VOLUME</stp>
        <stp>.OPEN251219P15.5</stp>
        <tr r="H17" s="5"/>
      </tp>
      <tp t="s">
        <v>N/A</v>
        <stp/>
        <stp>VOLUME</stp>
        <stp>.OPEN251219C15.5</stp>
        <tr r="H17" s="5"/>
      </tp>
      <tp t="s">
        <v>N/A</v>
        <stp/>
        <stp>VOLUME</stp>
        <stp>.OPENC7.5</stp>
        <tr r="B33" s="5"/>
      </tp>
      <tp t="s">
        <v>N/A</v>
        <stp/>
        <stp>VOLUME</stp>
        <stp>.OPENP7.5</stp>
        <tr r="B33" s="5"/>
      </tp>
      <tp t="s">
        <v>N/A</v>
        <stp/>
        <stp>VOLUME</stp>
        <stp>.OPEN251226P15.5</stp>
        <tr r="I17" s="5"/>
      </tp>
      <tp t="s">
        <v>N/A</v>
        <stp/>
        <stp>VOLUME</stp>
        <stp>.OPEN260515P16.5</stp>
        <tr r="P15" s="5"/>
      </tp>
      <tp t="s">
        <v>N/A</v>
        <stp/>
        <stp>VOLUME</stp>
        <stp>.OPEN260515C16.5</stp>
        <tr r="P15" s="5"/>
      </tp>
      <tp t="s">
        <v>N/A</v>
        <stp/>
        <stp>VOLUME</stp>
        <stp>.OPEN251226C15.5</stp>
        <tr r="I17" s="5"/>
      </tp>
      <tp t="s">
        <v>N/A</v>
        <stp/>
        <stp>VOLUME</stp>
        <stp>.OPEN251114P16.5</stp>
        <tr r="C15" s="5"/>
      </tp>
      <tp t="s">
        <v>N/A</v>
        <stp/>
        <stp>VOLUME</stp>
        <stp>.OPEN260417P16.5</stp>
        <tr r="O15" s="5"/>
      </tp>
      <tp t="s">
        <v>N/A</v>
        <stp/>
        <stp>VOLUME</stp>
        <stp>.OPEN260717P16.5</stp>
        <tr r="R15" s="5"/>
      </tp>
      <tp t="s">
        <v>N/A</v>
        <stp/>
        <stp>VOLUME</stp>
        <stp>.OPEN260417C16.5</stp>
        <tr r="O15" s="5"/>
      </tp>
      <tp t="s">
        <v>N/A</v>
        <stp/>
        <stp>VOLUME</stp>
        <stp>.OPEN260717C16.5</stp>
        <tr r="R15" s="5"/>
      </tp>
      <tp t="s">
        <v>N/A</v>
        <stp/>
        <stp>VOLUME</stp>
        <stp>.OPEN251114C16.5</stp>
        <tr r="C15" s="5"/>
      </tp>
      <tp t="s">
        <v>N/A</v>
        <stp/>
        <stp>VOLUME</stp>
        <stp>.OPEN261016P16.5</stp>
        <tr r="U15" s="5"/>
      </tp>
      <tp t="s">
        <v>N/A</v>
        <stp/>
        <stp>VOLUME</stp>
        <stp>.OPEN251205P17.5</stp>
        <tr r="F13" s="5"/>
      </tp>
      <tp t="s">
        <v>N/A</v>
        <stp/>
        <stp>VOLUME</stp>
        <stp>.OPEN260116P16.5</stp>
        <tr r="L15" s="5"/>
      </tp>
      <tp t="s">
        <v>N/A</v>
        <stp/>
        <stp>VOLUME</stp>
        <stp>.OPEN260116C16.5</stp>
        <tr r="L15" s="5"/>
      </tp>
      <tp t="s">
        <v>N/A</v>
        <stp/>
        <stp>VOLUME</stp>
        <stp>.OPEN261016C16.5</stp>
        <tr r="U15" s="5"/>
      </tp>
      <tp t="s">
        <v>N/A</v>
        <stp/>
        <stp>VOLUME</stp>
        <stp>.OPEN251205C17.5</stp>
        <tr r="F13" s="5"/>
      </tp>
      <tp t="s">
        <v>N/A</v>
        <stp/>
        <stp>VOLUME</stp>
        <stp>.OPEN251212P16.5</stp>
        <tr r="G15" s="5"/>
      </tp>
      <tp t="s">
        <v>N/A</v>
        <stp/>
        <stp>VOLUME</stp>
        <stp>.OPEN260821P15.5</stp>
        <tr r="S17" s="5"/>
      </tp>
      <tp t="s">
        <v>N/A</v>
        <stp/>
        <stp>VOLUME</stp>
        <stp>.OPEN260821C15.5</stp>
        <tr r="S17" s="5"/>
      </tp>
      <tp t="s">
        <v>N/A</v>
        <stp/>
        <stp>VOLUME</stp>
        <stp>.OPEN251212C16.5</stp>
        <tr r="G15" s="5"/>
      </tp>
      <tp t="s">
        <v>N/A</v>
        <stp/>
        <stp>VOLUME</stp>
        <stp>.OPEN261120P15.5</stp>
        <tr r="V17" s="5"/>
      </tp>
      <tp t="s">
        <v>N/A</v>
        <stp/>
        <stp>VOLUME</stp>
        <stp>.OPEN260220P15.5</stp>
        <tr r="M17" s="5"/>
      </tp>
      <tp t="s">
        <v>N/A</v>
        <stp/>
        <stp>VOLUME</stp>
        <stp>.OPEN260320P15.5</stp>
        <tr r="N17" s="5"/>
      </tp>
      <tp t="s">
        <v>N/A</v>
        <stp/>
        <stp>VOLUME</stp>
        <stp>.OPEN260220C15.5</stp>
        <tr r="M17" s="5"/>
      </tp>
      <tp t="s">
        <v>N/A</v>
        <stp/>
        <stp>VOLUME</stp>
        <stp>.OPEN260320C15.5</stp>
        <tr r="N17" s="5"/>
      </tp>
      <tp t="s">
        <v>N/A</v>
        <stp/>
        <stp>VOLUME</stp>
        <stp>.OPEN261120C15.5</stp>
        <tr r="V17" s="5"/>
      </tp>
      <tp t="s">
        <v>N/A</v>
        <stp/>
        <stp>VOLUME</stp>
        <stp>.OPEN251121P15.5</stp>
        <tr r="D17" s="5"/>
      </tp>
      <tp t="s">
        <v>N/A</v>
        <stp/>
        <stp>VOLUME</stp>
        <stp>.OPEN260102P17.5</stp>
        <tr r="J13" s="5"/>
      </tp>
      <tp t="s">
        <v>N/A</v>
        <stp/>
        <stp>VOLUME</stp>
        <stp>.OPEN260102C17.5</stp>
        <tr r="J13" s="5"/>
      </tp>
      <tp t="s">
        <v>N/A</v>
        <stp/>
        <stp>VOLUME</stp>
        <stp>.OPEN251121C15.5</stp>
        <tr r="D17" s="5"/>
      </tp>
      <tp t="s">
        <v>N/A</v>
        <stp/>
        <stp>VOLUME</stp>
        <stp>.OPEN260619P16.5</stp>
        <tr r="Q15" s="5"/>
      </tp>
      <tp t="s">
        <v>N/A</v>
        <stp/>
        <stp>VOLUME</stp>
        <stp>.OPEN260109P17.5</stp>
        <tr r="K13" s="5"/>
      </tp>
      <tp t="s">
        <v>N/A</v>
        <stp/>
        <stp>VOLUME</stp>
        <stp>.OPEN260619C16.5</stp>
        <tr r="Q15" s="5"/>
      </tp>
      <tp t="s">
        <v>N/A</v>
        <stp/>
        <stp>VOLUME</stp>
        <stp>.OPEN260109C17.5</stp>
        <tr r="K13" s="5"/>
      </tp>
      <tp t="s">
        <v>N/A</v>
        <stp/>
        <stp>VOLUME</stp>
        <stp>.OPEN261218P16.5</stp>
        <tr r="W15" s="5"/>
      </tp>
      <tp t="s">
        <v>N/A</v>
        <stp/>
        <stp>VOLUME</stp>
        <stp>.OPEN260918P16.5</stp>
        <tr r="T15" s="5"/>
      </tp>
      <tp t="s">
        <v>N/A</v>
        <stp/>
        <stp>VOLUME</stp>
        <stp>.OPEN260918C16.5</stp>
        <tr r="T15" s="5"/>
      </tp>
      <tp t="s">
        <v>N/A</v>
        <stp/>
        <stp>VOLUME</stp>
        <stp>.OPEN261218C16.5</stp>
        <tr r="W15" s="5"/>
      </tp>
      <tp t="s">
        <v>N/A</v>
        <stp/>
        <stp>VOLUME</stp>
        <stp>.OPEN251128P15.5</stp>
        <tr r="E17" s="5"/>
      </tp>
      <tp t="s">
        <v>N/A</v>
        <stp/>
        <stp>VOLUME</stp>
        <stp>.OPEN251128C15.5</stp>
        <tr r="E17" s="5"/>
      </tp>
      <tp t="s">
        <v>N/A</v>
        <stp/>
        <stp>VOLUME</stp>
        <stp>.OPEN251219P16.5</stp>
        <tr r="H15" s="5"/>
      </tp>
      <tp t="s">
        <v>N/A</v>
        <stp/>
        <stp>VOLUME</stp>
        <stp>.OPEN251219C16.5</stp>
        <tr r="H15" s="5"/>
      </tp>
      <tp t="s">
        <v>N/A</v>
        <stp/>
        <stp>VOLUME</stp>
        <stp>.OPENC6.5</stp>
        <tr r="B35" s="5"/>
      </tp>
      <tp t="s">
        <v>N/A</v>
        <stp/>
        <stp>VOLUME</stp>
        <stp>.OPENP6.5</stp>
        <tr r="B35" s="5"/>
      </tp>
      <tp t="s">
        <v>N/A</v>
        <stp/>
        <stp>VOLUME</stp>
        <stp>.OPEN251226P14.5</stp>
        <tr r="I19" s="5"/>
      </tp>
      <tp t="s">
        <v>N/A</v>
        <stp/>
        <stp>VOLUME</stp>
        <stp>.OPEN260515P17.5</stp>
        <tr r="P13" s="5"/>
      </tp>
      <tp t="s">
        <v>N/A</v>
        <stp/>
        <stp>VOLUME</stp>
        <stp>.OPEN260515C17.5</stp>
        <tr r="P13" s="5"/>
      </tp>
      <tp t="s">
        <v>N/A</v>
        <stp/>
        <stp>VOLUME</stp>
        <stp>.OPEN251226C14.5</stp>
        <tr r="I19" s="5"/>
      </tp>
      <tp t="s">
        <v>N/A</v>
        <stp/>
        <stp>VOLUME</stp>
        <stp>.OPEN251114P17.5</stp>
        <tr r="C13" s="5"/>
      </tp>
      <tp t="s">
        <v>N/A</v>
        <stp/>
        <stp>VOLUME</stp>
        <stp>.OPEN260417P17.5</stp>
        <tr r="O13" s="5"/>
      </tp>
      <tp t="s">
        <v>N/A</v>
        <stp/>
        <stp>VOLUME</stp>
        <stp>.OPEN260717P17.5</stp>
        <tr r="R13" s="5"/>
      </tp>
      <tp t="s">
        <v>N/A</v>
        <stp/>
        <stp>VOLUME</stp>
        <stp>.OPEN260417C17.5</stp>
        <tr r="O13" s="5"/>
      </tp>
      <tp t="s">
        <v>N/A</v>
        <stp/>
        <stp>VOLUME</stp>
        <stp>.OPEN260717C17.5</stp>
        <tr r="R13" s="5"/>
      </tp>
      <tp t="s">
        <v>N/A</v>
        <stp/>
        <stp>VOLUME</stp>
        <stp>.OPEN251114C17.5</stp>
        <tr r="C13" s="5"/>
      </tp>
      <tp t="s">
        <v>N/A</v>
        <stp/>
        <stp>VOLUME</stp>
        <stp>.OPEN261016P17.5</stp>
        <tr r="U13" s="5"/>
      </tp>
      <tp t="s">
        <v>N/A</v>
        <stp/>
        <stp>VOLUME</stp>
        <stp>.OPEN251205P16.5</stp>
        <tr r="F15" s="5"/>
      </tp>
      <tp t="s">
        <v>N/A</v>
        <stp/>
        <stp>VOLUME</stp>
        <stp>.OPEN260116P17.5</stp>
        <tr r="L13" s="5"/>
      </tp>
      <tp t="s">
        <v>N/A</v>
        <stp/>
        <stp>VOLUME</stp>
        <stp>.OPEN260116C17.5</stp>
        <tr r="L13" s="5"/>
      </tp>
      <tp t="s">
        <v>N/A</v>
        <stp/>
        <stp>VOLUME</stp>
        <stp>.OPEN261016C17.5</stp>
        <tr r="U13" s="5"/>
      </tp>
      <tp t="s">
        <v>N/A</v>
        <stp/>
        <stp>VOLUME</stp>
        <stp>.OPEN251205C16.5</stp>
        <tr r="F15" s="5"/>
      </tp>
      <tp t="s">
        <v>N/A</v>
        <stp/>
        <stp>VOLUME</stp>
        <stp>.OPEN251212P17.5</stp>
        <tr r="G13" s="5"/>
      </tp>
      <tp t="s">
        <v>N/A</v>
        <stp/>
        <stp>VOLUME</stp>
        <stp>.OPEN260821P14.5</stp>
        <tr r="S19" s="5"/>
      </tp>
      <tp t="s">
        <v>N/A</v>
        <stp/>
        <stp>VOLUME</stp>
        <stp>.OPEN260821C14.5</stp>
        <tr r="S19" s="5"/>
      </tp>
      <tp t="s">
        <v>N/A</v>
        <stp/>
        <stp>VOLUME</stp>
        <stp>.OPEN251212C17.5</stp>
        <tr r="G13" s="5"/>
      </tp>
      <tp t="s">
        <v>N/A</v>
        <stp/>
        <stp>VOLUME</stp>
        <stp>.OPEN261120P14.5</stp>
        <tr r="V19" s="5"/>
      </tp>
      <tp t="s">
        <v>N/A</v>
        <stp/>
        <stp>VOLUME</stp>
        <stp>.OPEN260220P14.5</stp>
        <tr r="M19" s="5"/>
      </tp>
      <tp t="s">
        <v>N/A</v>
        <stp/>
        <stp>VOLUME</stp>
        <stp>.OPEN260320P14.5</stp>
        <tr r="N19" s="5"/>
      </tp>
      <tp t="s">
        <v>N/A</v>
        <stp/>
        <stp>VOLUME</stp>
        <stp>.OPEN260220C14.5</stp>
        <tr r="M19" s="5"/>
      </tp>
      <tp t="s">
        <v>N/A</v>
        <stp/>
        <stp>VOLUME</stp>
        <stp>.OPEN260320C14.5</stp>
        <tr r="N19" s="5"/>
      </tp>
      <tp t="s">
        <v>N/A</v>
        <stp/>
        <stp>VOLUME</stp>
        <stp>.OPEN261120C14.5</stp>
        <tr r="V19" s="5"/>
      </tp>
      <tp t="s">
        <v>N/A</v>
        <stp/>
        <stp>VOLUME</stp>
        <stp>.OPEN251121P14.5</stp>
        <tr r="D19" s="5"/>
      </tp>
      <tp t="s">
        <v>N/A</v>
        <stp/>
        <stp>VOLUME</stp>
        <stp>.OPEN260102P16.5</stp>
        <tr r="J15" s="5"/>
      </tp>
      <tp t="s">
        <v>N/A</v>
        <stp/>
        <stp>VOLUME</stp>
        <stp>.OPEN260102C16.5</stp>
        <tr r="J15" s="5"/>
      </tp>
      <tp t="s">
        <v>N/A</v>
        <stp/>
        <stp>VOLUME</stp>
        <stp>.OPEN251121C14.5</stp>
        <tr r="D19" s="5"/>
      </tp>
      <tp t="s">
        <v>N/A</v>
        <stp/>
        <stp>VOLUME</stp>
        <stp>.OPEN260619P17.5</stp>
        <tr r="Q13" s="5"/>
      </tp>
      <tp t="s">
        <v>N/A</v>
        <stp/>
        <stp>VOLUME</stp>
        <stp>.OPEN260109P16.5</stp>
        <tr r="K15" s="5"/>
      </tp>
      <tp t="s">
        <v>N/A</v>
        <stp/>
        <stp>VOLUME</stp>
        <stp>.OPEN260619C17.5</stp>
        <tr r="Q13" s="5"/>
      </tp>
      <tp t="s">
        <v>N/A</v>
        <stp/>
        <stp>VOLUME</stp>
        <stp>.OPEN260109C16.5</stp>
        <tr r="K15" s="5"/>
      </tp>
      <tp t="s">
        <v>N/A</v>
        <stp/>
        <stp>VOLUME</stp>
        <stp>.OPEN261218P17.5</stp>
        <tr r="W13" s="5"/>
      </tp>
      <tp t="s">
        <v>N/A</v>
        <stp/>
        <stp>VOLUME</stp>
        <stp>.OPEN260918P17.5</stp>
        <tr r="T13" s="5"/>
      </tp>
      <tp t="s">
        <v>N/A</v>
        <stp/>
        <stp>VOLUME</stp>
        <stp>.OPEN260918C17.5</stp>
        <tr r="T13" s="5"/>
      </tp>
      <tp t="s">
        <v>N/A</v>
        <stp/>
        <stp>VOLUME</stp>
        <stp>.OPEN261218C17.5</stp>
        <tr r="W13" s="5"/>
      </tp>
      <tp t="s">
        <v>N/A</v>
        <stp/>
        <stp>VOLUME</stp>
        <stp>.OPEN251128P14.5</stp>
        <tr r="E19" s="5"/>
      </tp>
      <tp t="s">
        <v>N/A</v>
        <stp/>
        <stp>VOLUME</stp>
        <stp>.OPEN251128C14.5</stp>
        <tr r="E19" s="5"/>
      </tp>
      <tp t="s">
        <v>N/A</v>
        <stp/>
        <stp>VOLUME</stp>
        <stp>.OPEN251219P17.5</stp>
        <tr r="H13" s="5"/>
      </tp>
      <tp t="s">
        <v>N/A</v>
        <stp/>
        <stp>VOLUME</stp>
        <stp>.OPEN251219C17.5</stp>
        <tr r="H13" s="5"/>
      </tp>
      <tp t="s">
        <v>N/A</v>
        <stp/>
        <stp>VOLUME</stp>
        <stp>.OPENC1.5</stp>
        <tr r="B45" s="5"/>
      </tp>
      <tp t="s">
        <v>N/A</v>
        <stp/>
        <stp>VOLUME</stp>
        <stp>.OPENP1.5</stp>
        <tr r="B45" s="5"/>
      </tp>
      <tp t="s">
        <v>N/A</v>
        <stp/>
        <stp>OPEN_INT</stp>
        <stp>.OPENP18.5</stp>
        <tr r="B11" s="1"/>
      </tp>
      <tp t="s">
        <v>N/A</v>
        <stp/>
        <stp>OPEN_INT</stp>
        <stp>.OPENC18.5</stp>
        <tr r="B11" s="1"/>
      </tp>
      <tp t="s">
        <v>N/A</v>
        <stp/>
        <stp>VOLUME</stp>
        <stp>.OPEN251226P13.5</stp>
        <tr r="I21" s="5"/>
      </tp>
      <tp t="s">
        <v>N/A</v>
        <stp/>
        <stp>VOLUME</stp>
        <stp>.OPEN260515P-0.5</stp>
        <tr r="P49" s="5"/>
      </tp>
      <tp t="s">
        <v>N/A</v>
        <stp/>
        <stp>VOLUME</stp>
        <stp>.OPEN260515P10.5</stp>
        <tr r="P27" s="5"/>
      </tp>
      <tp t="s">
        <v>N/A</v>
        <stp/>
        <stp>VOLUME</stp>
        <stp>.OPEN260515P20.5</stp>
        <tr r="P7" s="5"/>
      </tp>
      <tp t="s">
        <v>N/A</v>
        <stp/>
        <stp>VOLUME</stp>
        <stp>.OPEN260515C-0.5</stp>
        <tr r="P49" s="5"/>
      </tp>
      <tp t="s">
        <v>N/A</v>
        <stp/>
        <stp>VOLUME</stp>
        <stp>.OPEN260515C10.5</stp>
        <tr r="P27" s="5"/>
      </tp>
      <tp t="s">
        <v>N/A</v>
        <stp/>
        <stp>VOLUME</stp>
        <stp>.OPEN260515C20.5</stp>
        <tr r="P7" s="5"/>
      </tp>
      <tp t="s">
        <v>N/A</v>
        <stp/>
        <stp>VOLUME</stp>
        <stp>.OPEN251226C13.5</stp>
        <tr r="I21" s="5"/>
      </tp>
      <tp t="s">
        <v>N/A</v>
        <stp/>
        <stp>VOLUME</stp>
        <stp>.OPEN251114P-0.5</stp>
        <tr r="C49" s="5"/>
      </tp>
      <tp t="s">
        <v>N/A</v>
        <stp/>
        <stp>VOLUME</stp>
        <stp>.OPEN251114P10.5</stp>
        <tr r="C27" s="5"/>
      </tp>
      <tp t="s">
        <v>N/A</v>
        <stp/>
        <stp>VOLUME</stp>
        <stp>.OPEN251114P20.5</stp>
        <tr r="C7" s="5"/>
      </tp>
      <tp t="s">
        <v>N/A</v>
        <stp/>
        <stp>VOLUME</stp>
        <stp>.OPEN260417P-0.5</stp>
        <tr r="O49" s="5"/>
      </tp>
      <tp t="s">
        <v>N/A</v>
        <stp/>
        <stp>VOLUME</stp>
        <stp>.OPEN260717P-0.5</stp>
        <tr r="R49" s="5"/>
      </tp>
      <tp t="s">
        <v>N/A</v>
        <stp/>
        <stp>VOLUME</stp>
        <stp>.OPEN260417P10.5</stp>
        <tr r="O27" s="5"/>
      </tp>
      <tp t="s">
        <v>N/A</v>
        <stp/>
        <stp>VOLUME</stp>
        <stp>.OPEN260717P20.5</stp>
        <tr r="R7" s="5"/>
      </tp>
      <tp t="s">
        <v>N/A</v>
        <stp/>
        <stp>VOLUME</stp>
        <stp>.OPEN260417P20.5</stp>
        <tr r="O7" s="5"/>
      </tp>
      <tp t="s">
        <v>N/A</v>
        <stp/>
        <stp>VOLUME</stp>
        <stp>.OPEN260717P10.5</stp>
        <tr r="R27" s="5"/>
      </tp>
      <tp t="s">
        <v>N/A</v>
        <stp/>
        <stp>VOLUME</stp>
        <stp>.OPEN260417C-0.5</stp>
        <tr r="O49" s="5"/>
      </tp>
      <tp t="s">
        <v>N/A</v>
        <stp/>
        <stp>VOLUME</stp>
        <stp>.OPEN260717C-0.5</stp>
        <tr r="R49" s="5"/>
      </tp>
      <tp t="s">
        <v>N/A</v>
        <stp/>
        <stp>VOLUME</stp>
        <stp>.OPEN260417C10.5</stp>
        <tr r="O27" s="5"/>
      </tp>
      <tp t="s">
        <v>N/A</v>
        <stp/>
        <stp>VOLUME</stp>
        <stp>.OPEN260717C20.5</stp>
        <tr r="R7" s="5"/>
      </tp>
      <tp t="s">
        <v>N/A</v>
        <stp/>
        <stp>VOLUME</stp>
        <stp>.OPEN260417C20.5</stp>
        <tr r="O7" s="5"/>
      </tp>
      <tp t="s">
        <v>N/A</v>
        <stp/>
        <stp>VOLUME</stp>
        <stp>.OPEN260717C10.5</stp>
        <tr r="R27" s="5"/>
      </tp>
      <tp t="s">
        <v>N/A</v>
        <stp/>
        <stp>VOLUME</stp>
        <stp>.OPEN251114C-0.5</stp>
        <tr r="C49" s="5"/>
      </tp>
      <tp t="s">
        <v>N/A</v>
        <stp/>
        <stp>VOLUME</stp>
        <stp>.OPEN251114C10.5</stp>
        <tr r="C27" s="5"/>
      </tp>
      <tp t="s">
        <v>N/A</v>
        <stp/>
        <stp>VOLUME</stp>
        <stp>.OPEN251114C20.5</stp>
        <tr r="C7" s="5"/>
      </tp>
      <tp t="s">
        <v>N/A</v>
        <stp/>
        <stp>VOLUME</stp>
        <stp>.OPEN261016P-0.5</stp>
        <tr r="U49" s="5"/>
      </tp>
      <tp t="s">
        <v>N/A</v>
        <stp/>
        <stp>VOLUME</stp>
        <stp>.OPEN251205P-1.5</stp>
        <tr r="F51" s="5"/>
      </tp>
      <tp t="s">
        <v>N/A</v>
        <stp/>
        <stp>VOLUME</stp>
        <stp>.OPEN261016P10.5</stp>
        <tr r="U27" s="5"/>
      </tp>
      <tp t="s">
        <v>N/A</v>
        <stp/>
        <stp>VOLUME</stp>
        <stp>.OPEN251205P21.5</stp>
        <tr r="F5" s="5"/>
      </tp>
      <tp t="s">
        <v>N/A</v>
        <stp/>
        <stp>VOLUME</stp>
        <stp>.OPEN251205P11.5</stp>
        <tr r="F25" s="5"/>
      </tp>
      <tp t="s">
        <v>N/A</v>
        <stp/>
        <stp>VOLUME</stp>
        <stp>.OPEN261016P20.5</stp>
        <tr r="U7" s="5"/>
      </tp>
      <tp t="s">
        <v>N/A</v>
        <stp/>
        <stp>VOLUME</stp>
        <stp>.OPEN260116P-0.5</stp>
        <tr r="L49" s="5"/>
      </tp>
      <tp t="s">
        <v>N/A</v>
        <stp/>
        <stp>VOLUME</stp>
        <stp>.OPEN260116P10.5</stp>
        <tr r="L27" s="5"/>
      </tp>
      <tp t="s">
        <v>N/A</v>
        <stp/>
        <stp>VOLUME</stp>
        <stp>.OPEN260116P20.5</stp>
        <tr r="L7" s="5"/>
      </tp>
      <tp t="s">
        <v>N/A</v>
        <stp/>
        <stp>VOLUME</stp>
        <stp>.OPEN260116C-0.5</stp>
        <tr r="L49" s="5"/>
      </tp>
      <tp t="s">
        <v>N/A</v>
        <stp/>
        <stp>VOLUME</stp>
        <stp>.OPEN260116C10.5</stp>
        <tr r="L27" s="5"/>
      </tp>
      <tp t="s">
        <v>N/A</v>
        <stp/>
        <stp>VOLUME</stp>
        <stp>.OPEN260116C20.5</stp>
        <tr r="L7" s="5"/>
      </tp>
      <tp t="s">
        <v>N/A</v>
        <stp/>
        <stp>VOLUME</stp>
        <stp>.OPEN261016C-0.5</stp>
        <tr r="U49" s="5"/>
      </tp>
      <tp t="s">
        <v>N/A</v>
        <stp/>
        <stp>VOLUME</stp>
        <stp>.OPEN251205C-1.5</stp>
        <tr r="F51" s="5"/>
      </tp>
      <tp t="s">
        <v>N/A</v>
        <stp/>
        <stp>VOLUME</stp>
        <stp>.OPEN261016C10.5</stp>
        <tr r="U27" s="5"/>
      </tp>
      <tp t="s">
        <v>N/A</v>
        <stp/>
        <stp>VOLUME</stp>
        <stp>.OPEN251205C21.5</stp>
        <tr r="F5" s="5"/>
      </tp>
      <tp t="s">
        <v>N/A</v>
        <stp/>
        <stp>VOLUME</stp>
        <stp>.OPEN251205C11.5</stp>
        <tr r="F25" s="5"/>
      </tp>
      <tp t="s">
        <v>N/A</v>
        <stp/>
        <stp>VOLUME</stp>
        <stp>.OPEN261016C20.5</stp>
        <tr r="U7" s="5"/>
      </tp>
      <tp t="s">
        <v>N/A</v>
        <stp/>
        <stp>VOLUME</stp>
        <stp>.OPEN251212P-0.5</stp>
        <tr r="G49" s="5"/>
      </tp>
      <tp t="s">
        <v>N/A</v>
        <stp/>
        <stp>VOLUME</stp>
        <stp>.OPEN251212P20.5</stp>
        <tr r="G7" s="5"/>
      </tp>
      <tp t="s">
        <v>N/A</v>
        <stp/>
        <stp>VOLUME</stp>
        <stp>.OPEN251212P10.5</stp>
        <tr r="G27" s="5"/>
      </tp>
      <tp t="s">
        <v>N/A</v>
        <stp/>
        <stp>VOLUME</stp>
        <stp>.OPEN260821P13.5</stp>
        <tr r="S21" s="5"/>
      </tp>
      <tp t="s">
        <v>N/A</v>
        <stp/>
        <stp>VOLUME</stp>
        <stp>.OPEN260821C13.5</stp>
        <tr r="S21" s="5"/>
      </tp>
      <tp t="s">
        <v>N/A</v>
        <stp/>
        <stp>VOLUME</stp>
        <stp>.OPEN251212C-0.5</stp>
        <tr r="G49" s="5"/>
      </tp>
      <tp t="s">
        <v>N/A</v>
        <stp/>
        <stp>VOLUME</stp>
        <stp>.OPEN251212C20.5</stp>
        <tr r="G7" s="5"/>
      </tp>
      <tp t="s">
        <v>N/A</v>
        <stp/>
        <stp>VOLUME</stp>
        <stp>.OPEN251212C10.5</stp>
        <tr r="G27" s="5"/>
      </tp>
      <tp t="s">
        <v>N/A</v>
        <stp/>
        <stp>VOLUME</stp>
        <stp>.OPEN261120P13.5</stp>
        <tr r="V21" s="5"/>
      </tp>
      <tp t="s">
        <v>N/A</v>
        <stp/>
        <stp>VOLUME</stp>
        <stp>.OPEN260220P13.5</stp>
        <tr r="M21" s="5"/>
      </tp>
      <tp t="s">
        <v>N/A</v>
        <stp/>
        <stp>VOLUME</stp>
        <stp>.OPEN260320P13.5</stp>
        <tr r="N21" s="5"/>
      </tp>
      <tp t="s">
        <v>N/A</v>
        <stp/>
        <stp>VOLUME</stp>
        <stp>.OPEN260220C13.5</stp>
        <tr r="M21" s="5"/>
      </tp>
      <tp t="s">
        <v>N/A</v>
        <stp/>
        <stp>VOLUME</stp>
        <stp>.OPEN260320C13.5</stp>
        <tr r="N21" s="5"/>
      </tp>
      <tp t="s">
        <v>N/A</v>
        <stp/>
        <stp>VOLUME</stp>
        <stp>.OPEN261120C13.5</stp>
        <tr r="V21" s="5"/>
      </tp>
      <tp t="s">
        <v>N/A</v>
        <stp/>
        <stp>VOLUME</stp>
        <stp>.OPEN251121P13.5</stp>
        <tr r="D21" s="5"/>
      </tp>
      <tp t="s">
        <v>N/A</v>
        <stp/>
        <stp>VOLUME</stp>
        <stp>.OPEN260102P-1.5</stp>
        <tr r="J51" s="5"/>
      </tp>
      <tp t="s">
        <v>N/A</v>
        <stp/>
        <stp>VOLUME</stp>
        <stp>.OPEN260102P11.5</stp>
        <tr r="J25" s="5"/>
      </tp>
      <tp t="s">
        <v>N/A</v>
        <stp/>
        <stp>VOLUME</stp>
        <stp>.OPEN260102P21.5</stp>
        <tr r="J5" s="5"/>
      </tp>
      <tp t="s">
        <v>N/A</v>
        <stp/>
        <stp>VOLUME</stp>
        <stp>.OPEN260102C-1.5</stp>
        <tr r="J51" s="5"/>
      </tp>
      <tp t="s">
        <v>N/A</v>
        <stp/>
        <stp>VOLUME</stp>
        <stp>.OPEN260102C11.5</stp>
        <tr r="J25" s="5"/>
      </tp>
      <tp t="s">
        <v>N/A</v>
        <stp/>
        <stp>VOLUME</stp>
        <stp>.OPEN260102C21.5</stp>
        <tr r="J5" s="5"/>
      </tp>
      <tp t="s">
        <v>N/A</v>
        <stp/>
        <stp>VOLUME</stp>
        <stp>.OPEN251121C13.5</stp>
        <tr r="D21" s="5"/>
      </tp>
      <tp t="s">
        <v>N/A</v>
        <stp/>
        <stp>OPEN_INT</stp>
        <stp>.OPENC8.5</stp>
        <tr r="B31" s="1"/>
      </tp>
      <tp t="s">
        <v>N/A</v>
        <stp/>
        <stp>OPEN_INT</stp>
        <stp>.OPENP8.5</stp>
        <tr r="B31" s="1"/>
      </tp>
      <tp t="s">
        <v>N/A</v>
        <stp/>
        <stp>VOLUME</stp>
        <stp>.OPEN260109P-1.5</stp>
        <tr r="K51" s="5"/>
      </tp>
      <tp t="s">
        <v>N/A</v>
        <stp/>
        <stp>VOLUME</stp>
        <stp>.OPEN260619P-0.5</stp>
        <tr r="Q49" s="5"/>
      </tp>
      <tp t="s">
        <v>N/A</v>
        <stp/>
        <stp>VOLUME</stp>
        <stp>.OPEN260619P20.5</stp>
        <tr r="Q7" s="5"/>
      </tp>
      <tp t="s">
        <v>N/A</v>
        <stp/>
        <stp>VOLUME</stp>
        <stp>.OPEN260619P10.5</stp>
        <tr r="Q27" s="5"/>
      </tp>
      <tp t="s">
        <v>N/A</v>
        <stp/>
        <stp>VOLUME</stp>
        <stp>.OPEN260109P11.5</stp>
        <tr r="K25" s="5"/>
      </tp>
      <tp t="s">
        <v>N/A</v>
        <stp/>
        <stp>VOLUME</stp>
        <stp>.OPEN260109P21.5</stp>
        <tr r="K5" s="5"/>
      </tp>
      <tp t="s">
        <v>N/A</v>
        <stp/>
        <stp>VOLUME</stp>
        <stp>.OPEN260109C-1.5</stp>
        <tr r="K51" s="5"/>
      </tp>
      <tp t="s">
        <v>N/A</v>
        <stp/>
        <stp>VOLUME</stp>
        <stp>.OPEN260619C-0.5</stp>
        <tr r="Q49" s="5"/>
      </tp>
      <tp t="s">
        <v>N/A</v>
        <stp/>
        <stp>VOLUME</stp>
        <stp>.OPEN260619C20.5</stp>
        <tr r="Q7" s="5"/>
      </tp>
      <tp t="s">
        <v>N/A</v>
        <stp/>
        <stp>VOLUME</stp>
        <stp>.OPEN260619C10.5</stp>
        <tr r="Q27" s="5"/>
      </tp>
      <tp t="s">
        <v>N/A</v>
        <stp/>
        <stp>VOLUME</stp>
        <stp>.OPEN260109C11.5</stp>
        <tr r="K25" s="5"/>
      </tp>
      <tp t="s">
        <v>N/A</v>
        <stp/>
        <stp>VOLUME</stp>
        <stp>.OPEN260109C21.5</stp>
        <tr r="K5" s="5"/>
      </tp>
      <tp t="s">
        <v>N/A</v>
        <stp/>
        <stp>VOLUME</stp>
        <stp>.OPEN261218P-0.5</stp>
        <tr r="W49" s="5"/>
      </tp>
      <tp t="s">
        <v>N/A</v>
        <stp/>
        <stp>VOLUME</stp>
        <stp>.OPEN261218P20.5</stp>
        <tr r="W7" s="5"/>
      </tp>
      <tp t="s">
        <v>N/A</v>
        <stp/>
        <stp>VOLUME</stp>
        <stp>.OPEN261218P10.5</stp>
        <tr r="W27" s="5"/>
      </tp>
      <tp t="s">
        <v>N/A</v>
        <stp/>
        <stp>VOLUME</stp>
        <stp>.OPEN260918P-0.5</stp>
        <tr r="T49" s="5"/>
      </tp>
      <tp t="s">
        <v>N/A</v>
        <stp/>
        <stp>VOLUME</stp>
        <stp>.OPEN260918P10.5</stp>
        <tr r="T27" s="5"/>
      </tp>
      <tp t="s">
        <v>N/A</v>
        <stp/>
        <stp>VOLUME</stp>
        <stp>.OPEN260918P20.5</stp>
        <tr r="T7" s="5"/>
      </tp>
      <tp t="s">
        <v>N/A</v>
        <stp/>
        <stp>VOLUME</stp>
        <stp>.OPEN260918C-0.5</stp>
        <tr r="T49" s="5"/>
      </tp>
      <tp t="s">
        <v>N/A</v>
        <stp/>
        <stp>VOLUME</stp>
        <stp>.OPEN260918C10.5</stp>
        <tr r="T27" s="5"/>
      </tp>
      <tp t="s">
        <v>N/A</v>
        <stp/>
        <stp>VOLUME</stp>
        <stp>.OPEN260918C20.5</stp>
        <tr r="T7" s="5"/>
      </tp>
      <tp t="s">
        <v>N/A</v>
        <stp/>
        <stp>VOLUME</stp>
        <stp>.OPEN261218C-0.5</stp>
        <tr r="W49" s="5"/>
      </tp>
      <tp t="s">
        <v>N/A</v>
        <stp/>
        <stp>VOLUME</stp>
        <stp>.OPEN261218C20.5</stp>
        <tr r="W7" s="5"/>
      </tp>
      <tp t="s">
        <v>N/A</v>
        <stp/>
        <stp>VOLUME</stp>
        <stp>.OPEN261218C10.5</stp>
        <tr r="W27" s="5"/>
      </tp>
      <tp t="s">
        <v>N/A</v>
        <stp/>
        <stp>VOLUME</stp>
        <stp>.OPEN251128P13.5</stp>
        <tr r="E21" s="5"/>
      </tp>
      <tp t="s">
        <v>N/A</v>
        <stp/>
        <stp>VOLUME</stp>
        <stp>.OPEN251128C13.5</stp>
        <tr r="E21" s="5"/>
      </tp>
      <tp t="s">
        <v>N/A</v>
        <stp/>
        <stp>VOLUME</stp>
        <stp>.OPEN251219P-0.5</stp>
        <tr r="H49" s="5"/>
      </tp>
      <tp t="s">
        <v>N/A</v>
        <stp/>
        <stp>VOLUME</stp>
        <stp>.OPEN251219P20.5</stp>
        <tr r="H7" s="5"/>
      </tp>
      <tp t="s">
        <v>N/A</v>
        <stp/>
        <stp>VOLUME</stp>
        <stp>.OPEN251219P10.5</stp>
        <tr r="H27" s="5"/>
      </tp>
      <tp t="s">
        <v>N/A</v>
        <stp/>
        <stp>VOLUME</stp>
        <stp>.OPEN251219C-0.5</stp>
        <tr r="H49" s="5"/>
      </tp>
      <tp t="s">
        <v>N/A</v>
        <stp/>
        <stp>VOLUME</stp>
        <stp>.OPEN251219C20.5</stp>
        <tr r="H7" s="5"/>
      </tp>
      <tp t="s">
        <v>N/A</v>
        <stp/>
        <stp>VOLUME</stp>
        <stp>.OPEN251219C10.5</stp>
        <tr r="H27" s="5"/>
      </tp>
      <tp t="s">
        <v>N/A</v>
        <stp/>
        <stp>VOLUME</stp>
        <stp>.OPENC0.5</stp>
        <tr r="B47" s="5"/>
      </tp>
      <tp t="s">
        <v>N/A</v>
        <stp/>
        <stp>VOLUME</stp>
        <stp>.OPENP0.5</stp>
        <tr r="B47" s="5"/>
      </tp>
      <tp t="s">
        <v>N/A</v>
        <stp/>
        <stp>OPEN_INT</stp>
        <stp>.OPENP19.5</stp>
        <tr r="B9" s="1"/>
      </tp>
      <tp t="s">
        <v>N/A</v>
        <stp/>
        <stp>OPEN_INT</stp>
        <stp>.OPENC19.5</stp>
        <tr r="B9" s="1"/>
      </tp>
      <tp t="s">
        <v>N/A</v>
        <stp/>
        <stp>VOLUME</stp>
        <stp>.OPEN251226P12.5</stp>
        <tr r="I23" s="5"/>
      </tp>
      <tp t="s">
        <v>N/A</v>
        <stp/>
        <stp>VOLUME</stp>
        <stp>.OPEN260515P-1.5</stp>
        <tr r="P51" s="5"/>
      </tp>
      <tp t="s">
        <v>N/A</v>
        <stp/>
        <stp>VOLUME</stp>
        <stp>.OPEN260515P11.5</stp>
        <tr r="P25" s="5"/>
      </tp>
      <tp t="s">
        <v>N/A</v>
        <stp/>
        <stp>VOLUME</stp>
        <stp>.OPEN260515P21.5</stp>
        <tr r="P5" s="5"/>
      </tp>
      <tp t="s">
        <v>N/A</v>
        <stp/>
        <stp>VOLUME</stp>
        <stp>.OPEN260515C-1.5</stp>
        <tr r="P51" s="5"/>
      </tp>
      <tp t="s">
        <v>N/A</v>
        <stp/>
        <stp>VOLUME</stp>
        <stp>.OPEN260515C11.5</stp>
        <tr r="P25" s="5"/>
      </tp>
      <tp t="s">
        <v>N/A</v>
        <stp/>
        <stp>VOLUME</stp>
        <stp>.OPEN260515C21.5</stp>
        <tr r="P5" s="5"/>
      </tp>
      <tp t="s">
        <v>N/A</v>
        <stp/>
        <stp>VOLUME</stp>
        <stp>.OPEN251226C12.5</stp>
        <tr r="I23" s="5"/>
      </tp>
      <tp t="s">
        <v>N/A</v>
        <stp/>
        <stp>VOLUME</stp>
        <stp>.OPEN251114P-1.5</stp>
        <tr r="C51" s="5"/>
      </tp>
      <tp t="s">
        <v>N/A</v>
        <stp/>
        <stp>VOLUME</stp>
        <stp>.OPEN251114P11.5</stp>
        <tr r="C25" s="5"/>
      </tp>
      <tp t="s">
        <v>N/A</v>
        <stp/>
        <stp>VOLUME</stp>
        <stp>.OPEN251114P21.5</stp>
        <tr r="C5" s="5"/>
      </tp>
      <tp t="s">
        <v>N/A</v>
        <stp/>
        <stp>VOLUME</stp>
        <stp>.OPEN260417P-1.5</stp>
        <tr r="O51" s="5"/>
      </tp>
      <tp t="s">
        <v>N/A</v>
        <stp/>
        <stp>VOLUME</stp>
        <stp>.OPEN260717P-1.5</stp>
        <tr r="R51" s="5"/>
      </tp>
      <tp t="s">
        <v>N/A</v>
        <stp/>
        <stp>VOLUME</stp>
        <stp>.OPEN260417P11.5</stp>
        <tr r="O25" s="5"/>
      </tp>
      <tp t="s">
        <v>N/A</v>
        <stp/>
        <stp>VOLUME</stp>
        <stp>.OPEN260717P21.5</stp>
        <tr r="R5" s="5"/>
      </tp>
      <tp t="s">
        <v>N/A</v>
        <stp/>
        <stp>VOLUME</stp>
        <stp>.OPEN260417P21.5</stp>
        <tr r="O5" s="5"/>
      </tp>
      <tp t="s">
        <v>N/A</v>
        <stp/>
        <stp>VOLUME</stp>
        <stp>.OPEN260717P11.5</stp>
        <tr r="R25" s="5"/>
      </tp>
      <tp t="s">
        <v>N/A</v>
        <stp/>
        <stp>VOLUME</stp>
        <stp>.OPEN260417C-1.5</stp>
        <tr r="O51" s="5"/>
      </tp>
      <tp t="s">
        <v>N/A</v>
        <stp/>
        <stp>VOLUME</stp>
        <stp>.OPEN260717C-1.5</stp>
        <tr r="R51" s="5"/>
      </tp>
      <tp t="s">
        <v>N/A</v>
        <stp/>
        <stp>VOLUME</stp>
        <stp>.OPEN260417C11.5</stp>
        <tr r="O25" s="5"/>
      </tp>
      <tp t="s">
        <v>N/A</v>
        <stp/>
        <stp>VOLUME</stp>
        <stp>.OPEN260717C21.5</stp>
        <tr r="R5" s="5"/>
      </tp>
      <tp t="s">
        <v>N/A</v>
        <stp/>
        <stp>VOLUME</stp>
        <stp>.OPEN260417C21.5</stp>
        <tr r="O5" s="5"/>
      </tp>
      <tp t="s">
        <v>N/A</v>
        <stp/>
        <stp>VOLUME</stp>
        <stp>.OPEN260717C11.5</stp>
        <tr r="R25" s="5"/>
      </tp>
      <tp t="s">
        <v>N/A</v>
        <stp/>
        <stp>VOLUME</stp>
        <stp>.OPEN251114C-1.5</stp>
        <tr r="C51" s="5"/>
      </tp>
      <tp t="s">
        <v>N/A</v>
        <stp/>
        <stp>VOLUME</stp>
        <stp>.OPEN251114C11.5</stp>
        <tr r="C25" s="5"/>
      </tp>
      <tp t="s">
        <v>N/A</v>
        <stp/>
        <stp>VOLUME</stp>
        <stp>.OPEN251114C21.5</stp>
        <tr r="C5" s="5"/>
      </tp>
      <tp t="s">
        <v>N/A</v>
        <stp/>
        <stp>VOLUME</stp>
        <stp>.OPEN261016P-1.5</stp>
        <tr r="U51" s="5"/>
      </tp>
      <tp t="s">
        <v>N/A</v>
        <stp/>
        <stp>VOLUME</stp>
        <stp>.OPEN251205P-0.5</stp>
        <tr r="F49" s="5"/>
      </tp>
      <tp t="s">
        <v>N/A</v>
        <stp/>
        <stp>VOLUME</stp>
        <stp>.OPEN261016P11.5</stp>
        <tr r="U25" s="5"/>
      </tp>
      <tp t="s">
        <v>N/A</v>
        <stp/>
        <stp>VOLUME</stp>
        <stp>.OPEN251205P20.5</stp>
        <tr r="F7" s="5"/>
      </tp>
      <tp t="s">
        <v>N/A</v>
        <stp/>
        <stp>VOLUME</stp>
        <stp>.OPEN251205P10.5</stp>
        <tr r="F27" s="5"/>
      </tp>
      <tp t="s">
        <v>N/A</v>
        <stp/>
        <stp>VOLUME</stp>
        <stp>.OPEN261016P21.5</stp>
        <tr r="U5" s="5"/>
      </tp>
      <tp t="s">
        <v>N/A</v>
        <stp/>
        <stp>VOLUME</stp>
        <stp>.OPEN260116P-1.5</stp>
        <tr r="L51" s="5"/>
      </tp>
      <tp t="s">
        <v>N/A</v>
        <stp/>
        <stp>VOLUME</stp>
        <stp>.OPEN260116P11.5</stp>
        <tr r="L25" s="5"/>
      </tp>
      <tp t="s">
        <v>N/A</v>
        <stp/>
        <stp>VOLUME</stp>
        <stp>.OPEN260116P21.5</stp>
        <tr r="L5" s="5"/>
      </tp>
      <tp t="s">
        <v>N/A</v>
        <stp/>
        <stp>VOLUME</stp>
        <stp>.OPEN260116C-1.5</stp>
        <tr r="L51" s="5"/>
      </tp>
      <tp t="s">
        <v>N/A</v>
        <stp/>
        <stp>VOLUME</stp>
        <stp>.OPEN260116C11.5</stp>
        <tr r="L25" s="5"/>
      </tp>
      <tp t="s">
        <v>N/A</v>
        <stp/>
        <stp>VOLUME</stp>
        <stp>.OPEN260116C21.5</stp>
        <tr r="L5" s="5"/>
      </tp>
      <tp t="s">
        <v>N/A</v>
        <stp/>
        <stp>VOLUME</stp>
        <stp>.OPEN261016C-1.5</stp>
        <tr r="U51" s="5"/>
      </tp>
      <tp t="s">
        <v>N/A</v>
        <stp/>
        <stp>VOLUME</stp>
        <stp>.OPEN251205C-0.5</stp>
        <tr r="F49" s="5"/>
      </tp>
      <tp t="s">
        <v>N/A</v>
        <stp/>
        <stp>VOLUME</stp>
        <stp>.OPEN261016C11.5</stp>
        <tr r="U25" s="5"/>
      </tp>
      <tp t="s">
        <v>N/A</v>
        <stp/>
        <stp>VOLUME</stp>
        <stp>.OPEN251205C20.5</stp>
        <tr r="F7" s="5"/>
      </tp>
      <tp t="s">
        <v>N/A</v>
        <stp/>
        <stp>VOLUME</stp>
        <stp>.OPEN251205C10.5</stp>
        <tr r="F27" s="5"/>
      </tp>
      <tp t="s">
        <v>N/A</v>
        <stp/>
        <stp>VOLUME</stp>
        <stp>.OPEN261016C21.5</stp>
        <tr r="U5" s="5"/>
      </tp>
      <tp t="s">
        <v>N/A</v>
        <stp/>
        <stp>VOLUME</stp>
        <stp>.OPEN251212P-1.5</stp>
        <tr r="G51" s="5"/>
      </tp>
      <tp t="s">
        <v>N/A</v>
        <stp/>
        <stp>VOLUME</stp>
        <stp>.OPEN251212P21.5</stp>
        <tr r="G5" s="5"/>
      </tp>
      <tp t="s">
        <v>N/A</v>
        <stp/>
        <stp>VOLUME</stp>
        <stp>.OPEN251212P11.5</stp>
        <tr r="G25" s="5"/>
      </tp>
      <tp t="s">
        <v>N/A</v>
        <stp/>
        <stp>VOLUME</stp>
        <stp>.OPEN260821P12.5</stp>
        <tr r="S23" s="5"/>
      </tp>
      <tp t="s">
        <v>N/A</v>
        <stp/>
        <stp>VOLUME</stp>
        <stp>.OPEN260821C12.5</stp>
        <tr r="S23" s="5"/>
      </tp>
      <tp t="s">
        <v>N/A</v>
        <stp/>
        <stp>VOLUME</stp>
        <stp>.OPEN251212C-1.5</stp>
        <tr r="G51" s="5"/>
      </tp>
      <tp t="s">
        <v>N/A</v>
        <stp/>
        <stp>VOLUME</stp>
        <stp>.OPEN251212C21.5</stp>
        <tr r="G5" s="5"/>
      </tp>
      <tp t="s">
        <v>N/A</v>
        <stp/>
        <stp>VOLUME</stp>
        <stp>.OPEN251212C11.5</stp>
        <tr r="G25" s="5"/>
      </tp>
      <tp t="s">
        <v>N/A</v>
        <stp/>
        <stp>VOLUME</stp>
        <stp>.OPEN261120P12.5</stp>
        <tr r="V23" s="5"/>
      </tp>
      <tp t="s">
        <v>N/A</v>
        <stp/>
        <stp>VOLUME</stp>
        <stp>.OPEN260220P12.5</stp>
        <tr r="M23" s="5"/>
      </tp>
      <tp t="s">
        <v>N/A</v>
        <stp/>
        <stp>VOLUME</stp>
        <stp>.OPEN260320P12.5</stp>
        <tr r="N23" s="5"/>
      </tp>
      <tp t="s">
        <v>N/A</v>
        <stp/>
        <stp>VOLUME</stp>
        <stp>.OPEN260220C12.5</stp>
        <tr r="M23" s="5"/>
      </tp>
      <tp t="s">
        <v>N/A</v>
        <stp/>
        <stp>VOLUME</stp>
        <stp>.OPEN260320C12.5</stp>
        <tr r="N23" s="5"/>
      </tp>
      <tp t="s">
        <v>N/A</v>
        <stp/>
        <stp>VOLUME</stp>
        <stp>.OPEN261120C12.5</stp>
        <tr r="V23" s="5"/>
      </tp>
      <tp t="s">
        <v>N/A</v>
        <stp/>
        <stp>VOLUME</stp>
        <stp>.OPEN251121P12.5</stp>
        <tr r="D23" s="5"/>
      </tp>
      <tp t="s">
        <v>N/A</v>
        <stp/>
        <stp>VOLUME</stp>
        <stp>.OPEN260102P-0.5</stp>
        <tr r="J49" s="5"/>
      </tp>
      <tp t="s">
        <v>N/A</v>
        <stp/>
        <stp>VOLUME</stp>
        <stp>.OPEN260102P10.5</stp>
        <tr r="J27" s="5"/>
      </tp>
      <tp t="s">
        <v>N/A</v>
        <stp/>
        <stp>VOLUME</stp>
        <stp>.OPEN260102P20.5</stp>
        <tr r="J7" s="5"/>
      </tp>
      <tp t="s">
        <v>N/A</v>
        <stp/>
        <stp>VOLUME</stp>
        <stp>.OPEN260102C-0.5</stp>
        <tr r="J49" s="5"/>
      </tp>
      <tp t="s">
        <v>N/A</v>
        <stp/>
        <stp>VOLUME</stp>
        <stp>.OPEN260102C10.5</stp>
        <tr r="J27" s="5"/>
      </tp>
      <tp t="s">
        <v>N/A</v>
        <stp/>
        <stp>VOLUME</stp>
        <stp>.OPEN260102C20.5</stp>
        <tr r="J7" s="5"/>
      </tp>
      <tp t="s">
        <v>N/A</v>
        <stp/>
        <stp>VOLUME</stp>
        <stp>.OPEN251121C12.5</stp>
        <tr r="D23" s="5"/>
      </tp>
      <tp t="s">
        <v>N/A</v>
        <stp/>
        <stp>OPEN_INT</stp>
        <stp>.OPENC9.5</stp>
        <tr r="B29" s="1"/>
      </tp>
      <tp t="s">
        <v>N/A</v>
        <stp/>
        <stp>OPEN_INT</stp>
        <stp>.OPENP9.5</stp>
        <tr r="B29" s="1"/>
      </tp>
      <tp t="s">
        <v>N/A</v>
        <stp/>
        <stp>VOLUME</stp>
        <stp>.OPEN260109P-0.5</stp>
        <tr r="K49" s="5"/>
      </tp>
      <tp t="s">
        <v>N/A</v>
        <stp/>
        <stp>VOLUME</stp>
        <stp>.OPEN260619P-1.5</stp>
        <tr r="Q51" s="5"/>
      </tp>
      <tp t="s">
        <v>N/A</v>
        <stp/>
        <stp>VOLUME</stp>
        <stp>.OPEN260619P21.5</stp>
        <tr r="Q5" s="5"/>
      </tp>
      <tp t="s">
        <v>N/A</v>
        <stp/>
        <stp>VOLUME</stp>
        <stp>.OPEN260619P11.5</stp>
        <tr r="Q25" s="5"/>
      </tp>
      <tp t="s">
        <v>N/A</v>
        <stp/>
        <stp>VOLUME</stp>
        <stp>.OPEN260109P10.5</stp>
        <tr r="K27" s="5"/>
      </tp>
      <tp t="s">
        <v>N/A</v>
        <stp/>
        <stp>VOLUME</stp>
        <stp>.OPEN260109P20.5</stp>
        <tr r="K7" s="5"/>
      </tp>
      <tp t="s">
        <v>N/A</v>
        <stp/>
        <stp>VOLUME</stp>
        <stp>.OPEN260109C-0.5</stp>
        <tr r="K49" s="5"/>
      </tp>
      <tp t="s">
        <v>N/A</v>
        <stp/>
        <stp>VOLUME</stp>
        <stp>.OPEN260619C-1.5</stp>
        <tr r="Q51" s="5"/>
      </tp>
      <tp t="s">
        <v>N/A</v>
        <stp/>
        <stp>VOLUME</stp>
        <stp>.OPEN260619C21.5</stp>
        <tr r="Q5" s="5"/>
      </tp>
      <tp t="s">
        <v>N/A</v>
        <stp/>
        <stp>VOLUME</stp>
        <stp>.OPEN260619C11.5</stp>
        <tr r="Q25" s="5"/>
      </tp>
      <tp t="s">
        <v>N/A</v>
        <stp/>
        <stp>VOLUME</stp>
        <stp>.OPEN260109C10.5</stp>
        <tr r="K27" s="5"/>
      </tp>
      <tp t="s">
        <v>N/A</v>
        <stp/>
        <stp>VOLUME</stp>
        <stp>.OPEN260109C20.5</stp>
        <tr r="K7" s="5"/>
      </tp>
      <tp t="s">
        <v>N/A</v>
        <stp/>
        <stp>VOLUME</stp>
        <stp>.OPEN261218P-1.5</stp>
        <tr r="W51" s="5"/>
      </tp>
      <tp t="s">
        <v>N/A</v>
        <stp/>
        <stp>VOLUME</stp>
        <stp>.OPEN261218P21.5</stp>
        <tr r="W5" s="5"/>
      </tp>
      <tp t="s">
        <v>N/A</v>
        <stp/>
        <stp>VOLUME</stp>
        <stp>.OPEN261218P11.5</stp>
        <tr r="W25" s="5"/>
      </tp>
      <tp t="s">
        <v>N/A</v>
        <stp/>
        <stp>VOLUME</stp>
        <stp>.OPEN260918P-1.5</stp>
        <tr r="T51" s="5"/>
      </tp>
      <tp t="s">
        <v>N/A</v>
        <stp/>
        <stp>VOLUME</stp>
        <stp>.OPEN260918P11.5</stp>
        <tr r="T25" s="5"/>
      </tp>
      <tp t="s">
        <v>N/A</v>
        <stp/>
        <stp>VOLUME</stp>
        <stp>.OPEN260918P21.5</stp>
        <tr r="T5" s="5"/>
      </tp>
      <tp t="s">
        <v>N/A</v>
        <stp/>
        <stp>VOLUME</stp>
        <stp>.OPEN260918C-1.5</stp>
        <tr r="T51" s="5"/>
      </tp>
      <tp t="s">
        <v>N/A</v>
        <stp/>
        <stp>VOLUME</stp>
        <stp>.OPEN260918C11.5</stp>
        <tr r="T25" s="5"/>
      </tp>
      <tp t="s">
        <v>N/A</v>
        <stp/>
        <stp>VOLUME</stp>
        <stp>.OPEN260918C21.5</stp>
        <tr r="T5" s="5"/>
      </tp>
      <tp t="s">
        <v>N/A</v>
        <stp/>
        <stp>VOLUME</stp>
        <stp>.OPEN261218C-1.5</stp>
        <tr r="W51" s="5"/>
      </tp>
      <tp t="s">
        <v>N/A</v>
        <stp/>
        <stp>VOLUME</stp>
        <stp>.OPEN261218C21.5</stp>
        <tr r="W5" s="5"/>
      </tp>
      <tp t="s">
        <v>N/A</v>
        <stp/>
        <stp>VOLUME</stp>
        <stp>.OPEN261218C11.5</stp>
        <tr r="W25" s="5"/>
      </tp>
      <tp t="s">
        <v>N/A</v>
        <stp/>
        <stp>VOLUME</stp>
        <stp>.OPEN251128P12.5</stp>
        <tr r="E23" s="5"/>
      </tp>
      <tp t="s">
        <v>N/A</v>
        <stp/>
        <stp>VOLUME</stp>
        <stp>.OPEN251128C12.5</stp>
        <tr r="E23" s="5"/>
      </tp>
      <tp t="s">
        <v>N/A</v>
        <stp/>
        <stp>VOLUME</stp>
        <stp>.OPEN251219P-1.5</stp>
        <tr r="H51" s="5"/>
      </tp>
      <tp t="s">
        <v>N/A</v>
        <stp/>
        <stp>VOLUME</stp>
        <stp>.OPEN251219P21.5</stp>
        <tr r="H5" s="5"/>
      </tp>
      <tp t="s">
        <v>N/A</v>
        <stp/>
        <stp>VOLUME</stp>
        <stp>.OPEN251219P11.5</stp>
        <tr r="H25" s="5"/>
      </tp>
      <tp t="s">
        <v>N/A</v>
        <stp/>
        <stp>VOLUME</stp>
        <stp>.OPEN251219C-1.5</stp>
        <tr r="H51" s="5"/>
      </tp>
      <tp t="s">
        <v>N/A</v>
        <stp/>
        <stp>VOLUME</stp>
        <stp>.OPEN251219C21.5</stp>
        <tr r="H5" s="5"/>
      </tp>
      <tp t="s">
        <v>N/A</v>
        <stp/>
        <stp>VOLUME</stp>
        <stp>.OPEN251219C11.5</stp>
        <tr r="H25" s="5"/>
      </tp>
      <tp t="s">
        <v>N/A</v>
        <stp/>
        <stp>VOLUME</stp>
        <stp>.OPENC3.5</stp>
        <tr r="B41" s="5"/>
      </tp>
      <tp t="s">
        <v>N/A</v>
        <stp/>
        <stp>VOLUME</stp>
        <stp>.OPENP3.5</stp>
        <tr r="B41" s="5"/>
      </tp>
      <tp t="s">
        <v>N/A</v>
        <stp/>
        <stp>VOLUME</stp>
        <stp>.OPEN251226P-1.5</stp>
        <tr r="I51" s="5"/>
      </tp>
      <tp t="s">
        <v>N/A</v>
        <stp/>
        <stp>VOLUME</stp>
        <stp>.OPEN251226P21.5</stp>
        <tr r="I5" s="5"/>
      </tp>
      <tp t="s">
        <v>N/A</v>
        <stp/>
        <stp>VOLUME</stp>
        <stp>.OPEN251226P11.5</stp>
        <tr r="I25" s="5"/>
      </tp>
      <tp t="s">
        <v>N/A</v>
        <stp/>
        <stp>VOLUME</stp>
        <stp>.OPEN260515P12.5</stp>
        <tr r="P23" s="5"/>
      </tp>
      <tp t="s">
        <v>N/A</v>
        <stp/>
        <stp>VOLUME</stp>
        <stp>.OPEN260515C12.5</stp>
        <tr r="P23" s="5"/>
      </tp>
      <tp t="s">
        <v>N/A</v>
        <stp/>
        <stp>VOLUME</stp>
        <stp>.OPEN251226C-1.5</stp>
        <tr r="I51" s="5"/>
      </tp>
      <tp t="s">
        <v>N/A</v>
        <stp/>
        <stp>VOLUME</stp>
        <stp>.OPEN251226C21.5</stp>
        <tr r="I5" s="5"/>
      </tp>
      <tp t="s">
        <v>N/A</v>
        <stp/>
        <stp>VOLUME</stp>
        <stp>.OPEN251226C11.5</stp>
        <tr r="I25" s="5"/>
      </tp>
      <tp t="s">
        <v>N/A</v>
        <stp/>
        <stp>VOLUME</stp>
        <stp>.OPEN251114P12.5</stp>
        <tr r="C23" s="5"/>
      </tp>
      <tp t="s">
        <v>N/A</v>
        <stp/>
        <stp>VOLUME</stp>
        <stp>.OPEN260417P12.5</stp>
        <tr r="O23" s="5"/>
      </tp>
      <tp t="s">
        <v>N/A</v>
        <stp/>
        <stp>VOLUME</stp>
        <stp>.OPEN260717P12.5</stp>
        <tr r="R23" s="5"/>
      </tp>
      <tp t="s">
        <v>N/A</v>
        <stp/>
        <stp>VOLUME</stp>
        <stp>.OPEN260417C12.5</stp>
        <tr r="O23" s="5"/>
      </tp>
      <tp t="s">
        <v>N/A</v>
        <stp/>
        <stp>VOLUME</stp>
        <stp>.OPEN260717C12.5</stp>
        <tr r="R23" s="5"/>
      </tp>
      <tp t="s">
        <v>N/A</v>
        <stp/>
        <stp>VOLUME</stp>
        <stp>.OPEN251114C12.5</stp>
        <tr r="C23" s="5"/>
      </tp>
      <tp t="s">
        <v>N/A</v>
        <stp/>
        <stp>VOLUME</stp>
        <stp>.OPEN261016P12.5</stp>
        <tr r="U23" s="5"/>
      </tp>
      <tp t="s">
        <v>N/A</v>
        <stp/>
        <stp>VOLUME</stp>
        <stp>.OPEN251205P13.5</stp>
        <tr r="F21" s="5"/>
      </tp>
      <tp t="s">
        <v>N/A</v>
        <stp/>
        <stp>VOLUME</stp>
        <stp>.OPEN260116P12.5</stp>
        <tr r="L23" s="5"/>
      </tp>
      <tp t="s">
        <v>N/A</v>
        <stp/>
        <stp>VOLUME</stp>
        <stp>.OPEN260116C12.5</stp>
        <tr r="L23" s="5"/>
      </tp>
      <tp t="s">
        <v>N/A</v>
        <stp/>
        <stp>VOLUME</stp>
        <stp>.OPEN261016C12.5</stp>
        <tr r="U23" s="5"/>
      </tp>
      <tp t="s">
        <v>N/A</v>
        <stp/>
        <stp>VOLUME</stp>
        <stp>.OPEN251205C13.5</stp>
        <tr r="F21" s="5"/>
      </tp>
      <tp t="s">
        <v>N/A</v>
        <stp/>
        <stp>VOLUME</stp>
        <stp>.OPEN251212P12.5</stp>
        <tr r="G23" s="5"/>
      </tp>
      <tp t="s">
        <v>N/A</v>
        <stp/>
        <stp>VOLUME</stp>
        <stp>.OPEN260821P-1.5</stp>
        <tr r="S51" s="5"/>
      </tp>
      <tp t="s">
        <v>N/A</v>
        <stp/>
        <stp>VOLUME</stp>
        <stp>.OPEN260821P11.5</stp>
        <tr r="S25" s="5"/>
      </tp>
      <tp t="s">
        <v>N/A</v>
        <stp/>
        <stp>VOLUME</stp>
        <stp>.OPEN260821P21.5</stp>
        <tr r="S5" s="5"/>
      </tp>
      <tp t="s">
        <v>N/A</v>
        <stp/>
        <stp>VOLUME</stp>
        <stp>.OPEN260821C-1.5</stp>
        <tr r="S51" s="5"/>
      </tp>
      <tp t="s">
        <v>N/A</v>
        <stp/>
        <stp>VOLUME</stp>
        <stp>.OPEN260821C11.5</stp>
        <tr r="S25" s="5"/>
      </tp>
      <tp t="s">
        <v>N/A</v>
        <stp/>
        <stp>VOLUME</stp>
        <stp>.OPEN260821C21.5</stp>
        <tr r="S5" s="5"/>
      </tp>
      <tp t="s">
        <v>N/A</v>
        <stp/>
        <stp>VOLUME</stp>
        <stp>.OPEN251212C12.5</stp>
        <tr r="G23" s="5"/>
      </tp>
      <tp t="s">
        <v>N/A</v>
        <stp/>
        <stp>VOLUME</stp>
        <stp>.OPEN261120P-1.5</stp>
        <tr r="V51" s="5"/>
      </tp>
      <tp t="s">
        <v>N/A</v>
        <stp/>
        <stp>VOLUME</stp>
        <stp>.OPEN261120P11.5</stp>
        <tr r="V25" s="5"/>
      </tp>
      <tp t="s">
        <v>N/A</v>
        <stp/>
        <stp>VOLUME</stp>
        <stp>.OPEN261120P21.5</stp>
        <tr r="V5" s="5"/>
      </tp>
      <tp t="s">
        <v>N/A</v>
        <stp/>
        <stp>VOLUME</stp>
        <stp>.OPEN260220P-1.5</stp>
        <tr r="M51" s="5"/>
      </tp>
      <tp t="s">
        <v>N/A</v>
        <stp/>
        <stp>VOLUME</stp>
        <stp>.OPEN260320P-1.5</stp>
        <tr r="N51" s="5"/>
      </tp>
      <tp t="s">
        <v>N/A</v>
        <stp/>
        <stp>VOLUME</stp>
        <stp>.OPEN260320P21.5</stp>
        <tr r="N5" s="5"/>
      </tp>
      <tp t="s">
        <v>N/A</v>
        <stp/>
        <stp>VOLUME</stp>
        <stp>.OPEN260220P21.5</stp>
        <tr r="M5" s="5"/>
      </tp>
      <tp t="s">
        <v>N/A</v>
        <stp/>
        <stp>VOLUME</stp>
        <stp>.OPEN260220P11.5</stp>
        <tr r="M25" s="5"/>
      </tp>
      <tp t="s">
        <v>N/A</v>
        <stp/>
        <stp>VOLUME</stp>
        <stp>.OPEN260320P11.5</stp>
        <tr r="N25" s="5"/>
      </tp>
      <tp t="s">
        <v>N/A</v>
        <stp/>
        <stp>VOLUME</stp>
        <stp>.OPEN260220C-1.5</stp>
        <tr r="M51" s="5"/>
      </tp>
      <tp t="s">
        <v>N/A</v>
        <stp/>
        <stp>VOLUME</stp>
        <stp>.OPEN260320C-1.5</stp>
        <tr r="N51" s="5"/>
      </tp>
      <tp t="s">
        <v>N/A</v>
        <stp/>
        <stp>VOLUME</stp>
        <stp>.OPEN260320C21.5</stp>
        <tr r="N5" s="5"/>
      </tp>
      <tp t="s">
        <v>N/A</v>
        <stp/>
        <stp>VOLUME</stp>
        <stp>.OPEN260220C21.5</stp>
        <tr r="M5" s="5"/>
      </tp>
      <tp t="s">
        <v>N/A</v>
        <stp/>
        <stp>VOLUME</stp>
        <stp>.OPEN260220C11.5</stp>
        <tr r="M25" s="5"/>
      </tp>
      <tp t="s">
        <v>N/A</v>
        <stp/>
        <stp>VOLUME</stp>
        <stp>.OPEN260320C11.5</stp>
        <tr r="N25" s="5"/>
      </tp>
      <tp t="s">
        <v>N/A</v>
        <stp/>
        <stp>VOLUME</stp>
        <stp>.OPEN261120C-1.5</stp>
        <tr r="V51" s="5"/>
      </tp>
      <tp t="s">
        <v>N/A</v>
        <stp/>
        <stp>VOLUME</stp>
        <stp>.OPEN261120C11.5</stp>
        <tr r="V25" s="5"/>
      </tp>
      <tp t="s">
        <v>N/A</v>
        <stp/>
        <stp>VOLUME</stp>
        <stp>.OPEN261120C21.5</stp>
        <tr r="V5" s="5"/>
      </tp>
      <tp t="s">
        <v>N/A</v>
        <stp/>
        <stp>VOLUME</stp>
        <stp>.OPEN251121P-1.5</stp>
        <tr r="D51" s="5"/>
      </tp>
      <tp t="s">
        <v>N/A</v>
        <stp/>
        <stp>VOLUME</stp>
        <stp>.OPEN251121P11.5</stp>
        <tr r="D25" s="5"/>
      </tp>
      <tp t="s">
        <v>N/A</v>
        <stp/>
        <stp>VOLUME</stp>
        <stp>.OPEN251121P21.5</stp>
        <tr r="D5" s="5"/>
      </tp>
      <tp t="s">
        <v>N/A</v>
        <stp/>
        <stp>VOLUME</stp>
        <stp>.OPEN260102P13.5</stp>
        <tr r="J21" s="5"/>
      </tp>
      <tp t="s">
        <v>N/A</v>
        <stp/>
        <stp>VOLUME</stp>
        <stp>.OPEN260102C13.5</stp>
        <tr r="J21" s="5"/>
      </tp>
      <tp t="s">
        <v>N/A</v>
        <stp/>
        <stp>VOLUME</stp>
        <stp>.OPEN251121C-1.5</stp>
        <tr r="D51" s="5"/>
      </tp>
      <tp t="s">
        <v>N/A</v>
        <stp/>
        <stp>VOLUME</stp>
        <stp>.OPEN251121C11.5</stp>
        <tr r="D25" s="5"/>
      </tp>
      <tp t="s">
        <v>N/A</v>
        <stp/>
        <stp>VOLUME</stp>
        <stp>.OPEN251121C21.5</stp>
        <tr r="D5" s="5"/>
      </tp>
      <tp t="s">
        <v>N/A</v>
        <stp/>
        <stp>VOLUME</stp>
        <stp>.OPEN260619P12.5</stp>
        <tr r="Q23" s="5"/>
      </tp>
      <tp t="s">
        <v>N/A</v>
        <stp/>
        <stp>VOLUME</stp>
        <stp>.OPEN260109P13.5</stp>
        <tr r="K21" s="5"/>
      </tp>
      <tp t="s">
        <v>N/A</v>
        <stp/>
        <stp>VOLUME</stp>
        <stp>.OPEN260619C12.5</stp>
        <tr r="Q23" s="5"/>
      </tp>
      <tp t="s">
        <v>N/A</v>
        <stp/>
        <stp>VOLUME</stp>
        <stp>.OPEN260109C13.5</stp>
        <tr r="K21" s="5"/>
      </tp>
      <tp t="s">
        <v>N/A</v>
        <stp/>
        <stp>VOLUME</stp>
        <stp>.OPEN261218P12.5</stp>
        <tr r="W23" s="5"/>
      </tp>
      <tp t="s">
        <v>N/A</v>
        <stp/>
        <stp>VOLUME</stp>
        <stp>.OPEN260918P12.5</stp>
        <tr r="T23" s="5"/>
      </tp>
      <tp t="s">
        <v>N/A</v>
        <stp/>
        <stp>VOLUME</stp>
        <stp>.OPEN260918C12.5</stp>
        <tr r="T23" s="5"/>
      </tp>
      <tp t="s">
        <v>N/A</v>
        <stp/>
        <stp>VOLUME</stp>
        <stp>.OPEN261218C12.5</stp>
        <tr r="W23" s="5"/>
      </tp>
      <tp t="s">
        <v>N/A</v>
        <stp/>
        <stp>VOLUME</stp>
        <stp>.OPEN251128P-1.5</stp>
        <tr r="E51" s="5"/>
      </tp>
      <tp t="s">
        <v>N/A</v>
        <stp/>
        <stp>VOLUME</stp>
        <stp>.OPEN251128P11.5</stp>
        <tr r="E25" s="5"/>
      </tp>
      <tp t="s">
        <v>N/A</v>
        <stp/>
        <stp>VOLUME</stp>
        <stp>.OPEN251128P21.5</stp>
        <tr r="E5" s="5"/>
      </tp>
      <tp t="s">
        <v>N/A</v>
        <stp/>
        <stp>VOLUME</stp>
        <stp>.OPEN251128C-1.5</stp>
        <tr r="E51" s="5"/>
      </tp>
      <tp t="s">
        <v>N/A</v>
        <stp/>
        <stp>VOLUME</stp>
        <stp>.OPEN251128C11.5</stp>
        <tr r="E25" s="5"/>
      </tp>
      <tp t="s">
        <v>N/A</v>
        <stp/>
        <stp>VOLUME</stp>
        <stp>.OPEN251128C21.5</stp>
        <tr r="E5" s="5"/>
      </tp>
      <tp t="s">
        <v>N/A</v>
        <stp/>
        <stp>VOLUME</stp>
        <stp>.OPEN251219P12.5</stp>
        <tr r="H23" s="5"/>
      </tp>
      <tp t="s">
        <v>N/A</v>
        <stp/>
        <stp>VOLUME</stp>
        <stp>.OPEN251219C12.5</stp>
        <tr r="H23" s="5"/>
      </tp>
      <tp t="s">
        <v>N/A</v>
        <stp/>
        <stp>VOLUME</stp>
        <stp>.OPENC2.5</stp>
        <tr r="B43" s="5"/>
      </tp>
      <tp t="s">
        <v>N/A</v>
        <stp/>
        <stp>VOLUME</stp>
        <stp>.OPENP2.5</stp>
        <tr r="B43" s="5"/>
      </tp>
      <tp t="s">
        <v>N/A</v>
        <stp/>
        <stp>VOLUME</stp>
        <stp>.OPEN251226P-0.5</stp>
        <tr r="I49" s="5"/>
      </tp>
      <tp t="s">
        <v>N/A</v>
        <stp/>
        <stp>VOLUME</stp>
        <stp>.OPEN251226P20.5</stp>
        <tr r="I7" s="5"/>
      </tp>
      <tp t="s">
        <v>N/A</v>
        <stp/>
        <stp>VOLUME</stp>
        <stp>.OPEN251226P10.5</stp>
        <tr r="I27" s="5"/>
      </tp>
      <tp t="s">
        <v>N/A</v>
        <stp/>
        <stp>VOLUME</stp>
        <stp>.OPEN260515P13.5</stp>
        <tr r="P21" s="5"/>
      </tp>
      <tp t="s">
        <v>N/A</v>
        <stp/>
        <stp>VOLUME</stp>
        <stp>.OPEN260515C13.5</stp>
        <tr r="P21" s="5"/>
      </tp>
      <tp t="s">
        <v>N/A</v>
        <stp/>
        <stp>VOLUME</stp>
        <stp>.OPEN251226C-0.5</stp>
        <tr r="I49" s="5"/>
      </tp>
      <tp t="s">
        <v>N/A</v>
        <stp/>
        <stp>VOLUME</stp>
        <stp>.OPEN251226C20.5</stp>
        <tr r="I7" s="5"/>
      </tp>
      <tp t="s">
        <v>N/A</v>
        <stp/>
        <stp>VOLUME</stp>
        <stp>.OPEN251226C10.5</stp>
        <tr r="I27" s="5"/>
      </tp>
      <tp t="s">
        <v>N/A</v>
        <stp/>
        <stp>VOLUME</stp>
        <stp>.OPEN251114P13.5</stp>
        <tr r="C21" s="5"/>
      </tp>
      <tp t="s">
        <v>N/A</v>
        <stp/>
        <stp>VOLUME</stp>
        <stp>.OPEN260417P13.5</stp>
        <tr r="O21" s="5"/>
      </tp>
      <tp t="s">
        <v>N/A</v>
        <stp/>
        <stp>VOLUME</stp>
        <stp>.OPEN260717P13.5</stp>
        <tr r="R21" s="5"/>
      </tp>
      <tp t="s">
        <v>N/A</v>
        <stp/>
        <stp>VOLUME</stp>
        <stp>.OPEN260417C13.5</stp>
        <tr r="O21" s="5"/>
      </tp>
      <tp t="s">
        <v>N/A</v>
        <stp/>
        <stp>VOLUME</stp>
        <stp>.OPEN260717C13.5</stp>
        <tr r="R21" s="5"/>
      </tp>
      <tp t="s">
        <v>N/A</v>
        <stp/>
        <stp>VOLUME</stp>
        <stp>.OPEN251114C13.5</stp>
        <tr r="C21" s="5"/>
      </tp>
      <tp t="s">
        <v>N/A</v>
        <stp/>
        <stp>VOLUME</stp>
        <stp>.OPEN261016P13.5</stp>
        <tr r="U21" s="5"/>
      </tp>
      <tp t="s">
        <v>N/A</v>
        <stp/>
        <stp>VOLUME</stp>
        <stp>.OPEN251205P12.5</stp>
        <tr r="F23" s="5"/>
      </tp>
      <tp t="s">
        <v>N/A</v>
        <stp/>
        <stp>VOLUME</stp>
        <stp>.OPEN260116P13.5</stp>
        <tr r="L21" s="5"/>
      </tp>
      <tp t="s">
        <v>N/A</v>
        <stp/>
        <stp>VOLUME</stp>
        <stp>.OPEN260116C13.5</stp>
        <tr r="L21" s="5"/>
      </tp>
      <tp t="s">
        <v>N/A</v>
        <stp/>
        <stp>VOLUME</stp>
        <stp>.OPEN261016C13.5</stp>
        <tr r="U21" s="5"/>
      </tp>
      <tp t="s">
        <v>N/A</v>
        <stp/>
        <stp>VOLUME</stp>
        <stp>.OPEN251205C12.5</stp>
        <tr r="F23" s="5"/>
      </tp>
      <tp t="s">
        <v>N/A</v>
        <stp/>
        <stp>VOLUME</stp>
        <stp>.OPEN251212P13.5</stp>
        <tr r="G21" s="5"/>
      </tp>
      <tp t="s">
        <v>N/A</v>
        <stp/>
        <stp>VOLUME</stp>
        <stp>.OPEN260821P-0.5</stp>
        <tr r="S49" s="5"/>
      </tp>
      <tp t="s">
        <v>N/A</v>
        <stp/>
        <stp>VOLUME</stp>
        <stp>.OPEN260821P10.5</stp>
        <tr r="S27" s="5"/>
      </tp>
      <tp t="s">
        <v>N/A</v>
        <stp/>
        <stp>VOLUME</stp>
        <stp>.OPEN260821P20.5</stp>
        <tr r="S7" s="5"/>
      </tp>
      <tp t="s">
        <v>N/A</v>
        <stp/>
        <stp>VOLUME</stp>
        <stp>.OPEN260821C-0.5</stp>
        <tr r="S49" s="5"/>
      </tp>
      <tp t="s">
        <v>N/A</v>
        <stp/>
        <stp>VOLUME</stp>
        <stp>.OPEN260821C10.5</stp>
        <tr r="S27" s="5"/>
      </tp>
      <tp t="s">
        <v>N/A</v>
        <stp/>
        <stp>VOLUME</stp>
        <stp>.OPEN260821C20.5</stp>
        <tr r="S7" s="5"/>
      </tp>
      <tp t="s">
        <v>N/A</v>
        <stp/>
        <stp>VOLUME</stp>
        <stp>.OPEN251212C13.5</stp>
        <tr r="G21" s="5"/>
      </tp>
      <tp t="s">
        <v>N/A</v>
        <stp/>
        <stp>VOLUME</stp>
        <stp>.OPEN261120P-0.5</stp>
        <tr r="V49" s="5"/>
      </tp>
      <tp t="s">
        <v>N/A</v>
        <stp/>
        <stp>VOLUME</stp>
        <stp>.OPEN261120P10.5</stp>
        <tr r="V27" s="5"/>
      </tp>
      <tp t="s">
        <v>N/A</v>
        <stp/>
        <stp>VOLUME</stp>
        <stp>.OPEN261120P20.5</stp>
        <tr r="V7" s="5"/>
      </tp>
      <tp t="s">
        <v>N/A</v>
        <stp/>
        <stp>VOLUME</stp>
        <stp>.OPEN260220P-0.5</stp>
        <tr r="M49" s="5"/>
      </tp>
      <tp t="s">
        <v>N/A</v>
        <stp/>
        <stp>VOLUME</stp>
        <stp>.OPEN260320P-0.5</stp>
        <tr r="N49" s="5"/>
      </tp>
      <tp t="s">
        <v>N/A</v>
        <stp/>
        <stp>VOLUME</stp>
        <stp>.OPEN260320P20.5</stp>
        <tr r="N7" s="5"/>
      </tp>
      <tp t="s">
        <v>N/A</v>
        <stp/>
        <stp>VOLUME</stp>
        <stp>.OPEN260220P20.5</stp>
        <tr r="M7" s="5"/>
      </tp>
      <tp t="s">
        <v>N/A</v>
        <stp/>
        <stp>VOLUME</stp>
        <stp>.OPEN260220P10.5</stp>
        <tr r="M27" s="5"/>
      </tp>
      <tp t="s">
        <v>N/A</v>
        <stp/>
        <stp>VOLUME</stp>
        <stp>.OPEN260320P10.5</stp>
        <tr r="N27" s="5"/>
      </tp>
      <tp t="s">
        <v>N/A</v>
        <stp/>
        <stp>VOLUME</stp>
        <stp>.OPEN260220C-0.5</stp>
        <tr r="M49" s="5"/>
      </tp>
      <tp t="s">
        <v>N/A</v>
        <stp/>
        <stp>VOLUME</stp>
        <stp>.OPEN260320C-0.5</stp>
        <tr r="N49" s="5"/>
      </tp>
      <tp t="s">
        <v>N/A</v>
        <stp/>
        <stp>VOLUME</stp>
        <stp>.OPEN260320C20.5</stp>
        <tr r="N7" s="5"/>
      </tp>
      <tp t="s">
        <v>N/A</v>
        <stp/>
        <stp>VOLUME</stp>
        <stp>.OPEN260220C20.5</stp>
        <tr r="M7" s="5"/>
      </tp>
      <tp t="s">
        <v>N/A</v>
        <stp/>
        <stp>VOLUME</stp>
        <stp>.OPEN260220C10.5</stp>
        <tr r="M27" s="5"/>
      </tp>
      <tp t="s">
        <v>N/A</v>
        <stp/>
        <stp>VOLUME</stp>
        <stp>.OPEN260320C10.5</stp>
        <tr r="N27" s="5"/>
      </tp>
      <tp t="s">
        <v>N/A</v>
        <stp/>
        <stp>VOLUME</stp>
        <stp>.OPEN261120C-0.5</stp>
        <tr r="V49" s="5"/>
      </tp>
      <tp t="s">
        <v>N/A</v>
        <stp/>
        <stp>VOLUME</stp>
        <stp>.OPEN261120C10.5</stp>
        <tr r="V27" s="5"/>
      </tp>
      <tp t="s">
        <v>N/A</v>
        <stp/>
        <stp>VOLUME</stp>
        <stp>.OPEN261120C20.5</stp>
        <tr r="V7" s="5"/>
      </tp>
      <tp t="s">
        <v>N/A</v>
        <stp/>
        <stp>VOLUME</stp>
        <stp>.OPEN251121P-0.5</stp>
        <tr r="D49" s="5"/>
      </tp>
      <tp t="s">
        <v>N/A</v>
        <stp/>
        <stp>VOLUME</stp>
        <stp>.OPEN251121P10.5</stp>
        <tr r="D27" s="5"/>
      </tp>
      <tp t="s">
        <v>N/A</v>
        <stp/>
        <stp>VOLUME</stp>
        <stp>.OPEN251121P20.5</stp>
        <tr r="D7" s="5"/>
      </tp>
      <tp t="s">
        <v>N/A</v>
        <stp/>
        <stp>VOLUME</stp>
        <stp>.OPEN260102P12.5</stp>
        <tr r="J23" s="5"/>
      </tp>
      <tp t="s">
        <v>N/A</v>
        <stp/>
        <stp>VOLUME</stp>
        <stp>.OPEN260102C12.5</stp>
        <tr r="J23" s="5"/>
      </tp>
      <tp t="s">
        <v>N/A</v>
        <stp/>
        <stp>VOLUME</stp>
        <stp>.OPEN251121C-0.5</stp>
        <tr r="D49" s="5"/>
      </tp>
      <tp t="s">
        <v>N/A</v>
        <stp/>
        <stp>VOLUME</stp>
        <stp>.OPEN251121C10.5</stp>
        <tr r="D27" s="5"/>
      </tp>
      <tp t="s">
        <v>N/A</v>
        <stp/>
        <stp>VOLUME</stp>
        <stp>.OPEN251121C20.5</stp>
        <tr r="D7" s="5"/>
      </tp>
      <tp t="s">
        <v>N/A</v>
        <stp/>
        <stp>VOLUME</stp>
        <stp>.OPEN260619P13.5</stp>
        <tr r="Q21" s="5"/>
      </tp>
      <tp t="s">
        <v>N/A</v>
        <stp/>
        <stp>VOLUME</stp>
        <stp>.OPEN260109P12.5</stp>
        <tr r="K23" s="5"/>
      </tp>
      <tp t="s">
        <v>N/A</v>
        <stp/>
        <stp>VOLUME</stp>
        <stp>.OPEN260619C13.5</stp>
        <tr r="Q21" s="5"/>
      </tp>
      <tp t="s">
        <v>N/A</v>
        <stp/>
        <stp>VOLUME</stp>
        <stp>.OPEN260109C12.5</stp>
        <tr r="K23" s="5"/>
      </tp>
      <tp t="s">
        <v>N/A</v>
        <stp/>
        <stp>VOLUME</stp>
        <stp>.OPEN261218P13.5</stp>
        <tr r="W21" s="5"/>
      </tp>
      <tp t="s">
        <v>N/A</v>
        <stp/>
        <stp>VOLUME</stp>
        <stp>.OPEN260918P13.5</stp>
        <tr r="T21" s="5"/>
      </tp>
      <tp t="s">
        <v>N/A</v>
        <stp/>
        <stp>VOLUME</stp>
        <stp>.OPEN260918C13.5</stp>
        <tr r="T21" s="5"/>
      </tp>
      <tp t="s">
        <v>N/A</v>
        <stp/>
        <stp>VOLUME</stp>
        <stp>.OPEN261218C13.5</stp>
        <tr r="W21" s="5"/>
      </tp>
      <tp t="s">
        <v>N/A</v>
        <stp/>
        <stp>VOLUME</stp>
        <stp>.OPEN251128P-0.5</stp>
        <tr r="E49" s="5"/>
      </tp>
      <tp t="s">
        <v>N/A</v>
        <stp/>
        <stp>VOLUME</stp>
        <stp>.OPEN251128P10.5</stp>
        <tr r="E27" s="5"/>
      </tp>
      <tp t="s">
        <v>N/A</v>
        <stp/>
        <stp>VOLUME</stp>
        <stp>.OPEN251128P20.5</stp>
        <tr r="E7" s="5"/>
      </tp>
      <tp t="s">
        <v>N/A</v>
        <stp/>
        <stp>VOLUME</stp>
        <stp>.OPEN251128C-0.5</stp>
        <tr r="E49" s="5"/>
      </tp>
      <tp t="s">
        <v>N/A</v>
        <stp/>
        <stp>VOLUME</stp>
        <stp>.OPEN251128C10.5</stp>
        <tr r="E27" s="5"/>
      </tp>
      <tp t="s">
        <v>N/A</v>
        <stp/>
        <stp>VOLUME</stp>
        <stp>.OPEN251128C20.5</stp>
        <tr r="E7" s="5"/>
      </tp>
      <tp t="s">
        <v>N/A</v>
        <stp/>
        <stp>VOLUME</stp>
        <stp>.OPEN251219P13.5</stp>
        <tr r="H21" s="5"/>
      </tp>
      <tp t="s">
        <v>N/A</v>
        <stp/>
        <stp>VOLUME</stp>
        <stp>.OPEN251219C13.5</stp>
        <tr r="H21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'OI HISTORICAL'!$AB$1</c:f>
              <c:strCache>
                <c:ptCount val="1"/>
                <c:pt idx="0">
                  <c:v>Apertura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HISTORICAL'!$AB$2:$AB$20</c:f>
              <c:numCache>
                <c:formatCode>General</c:formatCode>
                <c:ptCount val="19"/>
                <c:pt idx="0">
                  <c:v>607.05999999999995</c:v>
                </c:pt>
                <c:pt idx="1">
                  <c:v>606.51</c:v>
                </c:pt>
                <c:pt idx="2">
                  <c:v>608.45000000000005</c:v>
                </c:pt>
                <c:pt idx="3">
                  <c:v>609.02</c:v>
                </c:pt>
                <c:pt idx="4">
                  <c:v>605.41</c:v>
                </c:pt>
                <c:pt idx="5">
                  <c:v>611.48</c:v>
                </c:pt>
                <c:pt idx="6">
                  <c:v>611.4</c:v>
                </c:pt>
                <c:pt idx="7">
                  <c:v>599.67999999999995</c:v>
                </c:pt>
                <c:pt idx="8">
                  <c:v>595.30999999999995</c:v>
                </c:pt>
                <c:pt idx="9">
                  <c:v>604.01</c:v>
                </c:pt>
                <c:pt idx="10">
                  <c:v>605.11</c:v>
                </c:pt>
                <c:pt idx="11">
                  <c:v>597.95000000000005</c:v>
                </c:pt>
                <c:pt idx="12">
                  <c:v>8.01</c:v>
                </c:pt>
                <c:pt idx="13">
                  <c:v>8.01</c:v>
                </c:pt>
                <c:pt idx="14">
                  <c:v>8.01</c:v>
                </c:pt>
                <c:pt idx="15">
                  <c:v>8.01</c:v>
                </c:pt>
                <c:pt idx="16">
                  <c:v>8.01</c:v>
                </c:pt>
                <c:pt idx="17">
                  <c:v>8.01</c:v>
                </c:pt>
                <c:pt idx="18">
                  <c:v>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5-41B4-B242-9CE48A1F03EB}"/>
            </c:ext>
          </c:extLst>
        </c:ser>
        <c:ser>
          <c:idx val="1"/>
          <c:order val="1"/>
          <c:tx>
            <c:strRef>
              <c:f>'OI HISTORICAL'!$AC$1</c:f>
              <c:strCache>
                <c:ptCount val="1"/>
                <c:pt idx="0">
                  <c:v>Alto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HISTORICAL'!$AC$2:$AC$20</c:f>
              <c:numCache>
                <c:formatCode>General</c:formatCode>
                <c:ptCount val="19"/>
                <c:pt idx="0">
                  <c:v>607.16</c:v>
                </c:pt>
                <c:pt idx="1">
                  <c:v>607.33000000000004</c:v>
                </c:pt>
                <c:pt idx="2">
                  <c:v>609.36</c:v>
                </c:pt>
                <c:pt idx="3">
                  <c:v>609.71</c:v>
                </c:pt>
                <c:pt idx="4">
                  <c:v>611.75</c:v>
                </c:pt>
                <c:pt idx="5">
                  <c:v>611.61</c:v>
                </c:pt>
                <c:pt idx="6">
                  <c:v>613.17999999999995</c:v>
                </c:pt>
                <c:pt idx="7">
                  <c:v>602.95000000000005</c:v>
                </c:pt>
                <c:pt idx="8">
                  <c:v>602.69000000000005</c:v>
                </c:pt>
                <c:pt idx="9">
                  <c:v>606.70000000000005</c:v>
                </c:pt>
                <c:pt idx="10">
                  <c:v>608.30999999999995</c:v>
                </c:pt>
                <c:pt idx="11">
                  <c:v>605.51</c:v>
                </c:pt>
                <c:pt idx="12">
                  <c:v>8.01</c:v>
                </c:pt>
                <c:pt idx="13">
                  <c:v>8.01</c:v>
                </c:pt>
                <c:pt idx="14">
                  <c:v>8.01</c:v>
                </c:pt>
                <c:pt idx="15">
                  <c:v>8.01</c:v>
                </c:pt>
                <c:pt idx="16">
                  <c:v>8.01</c:v>
                </c:pt>
                <c:pt idx="17">
                  <c:v>8.01</c:v>
                </c:pt>
                <c:pt idx="18">
                  <c:v>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5-41B4-B242-9CE48A1F03EB}"/>
            </c:ext>
          </c:extLst>
        </c:ser>
        <c:ser>
          <c:idx val="2"/>
          <c:order val="2"/>
          <c:tx>
            <c:strRef>
              <c:f>'OI HISTORICAL'!$AD$1</c:f>
              <c:strCache>
                <c:ptCount val="1"/>
                <c:pt idx="0">
                  <c:v>Bajo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HISTORICAL'!$AD$2:$AD$20</c:f>
              <c:numCache>
                <c:formatCode>General</c:formatCode>
                <c:ptCount val="19"/>
                <c:pt idx="0">
                  <c:v>602.92999999999995</c:v>
                </c:pt>
                <c:pt idx="1">
                  <c:v>601.39</c:v>
                </c:pt>
                <c:pt idx="2">
                  <c:v>605.97</c:v>
                </c:pt>
                <c:pt idx="3">
                  <c:v>603.03</c:v>
                </c:pt>
                <c:pt idx="4">
                  <c:v>605.26</c:v>
                </c:pt>
                <c:pt idx="5">
                  <c:v>607.48</c:v>
                </c:pt>
                <c:pt idx="6">
                  <c:v>589.04999999999995</c:v>
                </c:pt>
                <c:pt idx="7">
                  <c:v>597.23</c:v>
                </c:pt>
                <c:pt idx="8">
                  <c:v>590.13</c:v>
                </c:pt>
                <c:pt idx="9">
                  <c:v>595.92999999999995</c:v>
                </c:pt>
                <c:pt idx="10">
                  <c:v>595.5</c:v>
                </c:pt>
                <c:pt idx="11">
                  <c:v>596.37</c:v>
                </c:pt>
                <c:pt idx="12">
                  <c:v>8.01</c:v>
                </c:pt>
                <c:pt idx="13">
                  <c:v>8.01</c:v>
                </c:pt>
                <c:pt idx="14">
                  <c:v>8.01</c:v>
                </c:pt>
                <c:pt idx="15">
                  <c:v>8.01</c:v>
                </c:pt>
                <c:pt idx="16">
                  <c:v>8.01</c:v>
                </c:pt>
                <c:pt idx="17">
                  <c:v>8.01</c:v>
                </c:pt>
                <c:pt idx="18">
                  <c:v>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5-41B4-B242-9CE48A1F03EB}"/>
            </c:ext>
          </c:extLst>
        </c:ser>
        <c:ser>
          <c:idx val="3"/>
          <c:order val="3"/>
          <c:tx>
            <c:strRef>
              <c:f>'OI HISTORICAL'!$AE$1</c:f>
              <c:strCache>
                <c:ptCount val="1"/>
                <c:pt idx="0">
                  <c:v>Cierre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HISTORICAL'!$AE$2:$AE$20</c:f>
              <c:numCache>
                <c:formatCode>General</c:formatCode>
                <c:ptCount val="19"/>
                <c:pt idx="0">
                  <c:v>605.73</c:v>
                </c:pt>
                <c:pt idx="1">
                  <c:v>603.17999999999995</c:v>
                </c:pt>
                <c:pt idx="2">
                  <c:v>607.71</c:v>
                </c:pt>
                <c:pt idx="3">
                  <c:v>604.51</c:v>
                </c:pt>
                <c:pt idx="4">
                  <c:v>611.44000000000005</c:v>
                </c:pt>
                <c:pt idx="5">
                  <c:v>610.70000000000005</c:v>
                </c:pt>
                <c:pt idx="6">
                  <c:v>589.5</c:v>
                </c:pt>
                <c:pt idx="7">
                  <c:v>602.01</c:v>
                </c:pt>
                <c:pt idx="8">
                  <c:v>598</c:v>
                </c:pt>
                <c:pt idx="9">
                  <c:v>602.22</c:v>
                </c:pt>
                <c:pt idx="10">
                  <c:v>599.99</c:v>
                </c:pt>
                <c:pt idx="11">
                  <c:v>603.92999999999995</c:v>
                </c:pt>
                <c:pt idx="12">
                  <c:v>8.01</c:v>
                </c:pt>
                <c:pt idx="13">
                  <c:v>8.01</c:v>
                </c:pt>
                <c:pt idx="14">
                  <c:v>8.01</c:v>
                </c:pt>
                <c:pt idx="15">
                  <c:v>8.01</c:v>
                </c:pt>
                <c:pt idx="16">
                  <c:v>8.01</c:v>
                </c:pt>
                <c:pt idx="17">
                  <c:v>8.01</c:v>
                </c:pt>
                <c:pt idx="18">
                  <c:v>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5-41B4-B242-9CE48A1F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21612175"/>
        <c:axId val="221623407"/>
      </c:stockChart>
      <c:dateAx>
        <c:axId val="2216121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21623407"/>
        <c:crosses val="autoZero"/>
        <c:auto val="1"/>
        <c:lblOffset val="100"/>
        <c:baseTimeUnit val="days"/>
      </c:dateAx>
      <c:valAx>
        <c:axId val="221623407"/>
        <c:scaling>
          <c:orientation val="minMax"/>
          <c:max val="625"/>
          <c:min val="5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16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38099</xdr:rowOff>
    </xdr:from>
    <xdr:to>
      <xdr:col>20</xdr:col>
      <xdr:colOff>76200</xdr:colOff>
      <xdr:row>49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15DFF9-F158-4A7B-9AEE-AB1707BC6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9F73-D5B0-4018-9F3D-A04F1CD957AA}">
  <sheetPr codeName="Hoja2"/>
  <dimension ref="A1:BW158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baseColWidth="10" defaultRowHeight="11.1" customHeight="1" outlineLevelCol="1" x14ac:dyDescent="0.25"/>
  <cols>
    <col min="1" max="1" width="12.7109375" style="11" customWidth="1"/>
    <col min="2" max="2" width="11.5703125" style="11" customWidth="1" outlineLevel="1"/>
    <col min="3" max="13" width="8" style="11" customWidth="1" outlineLevel="1"/>
    <col min="14" max="14" width="9" style="11" customWidth="1" outlineLevel="1"/>
    <col min="15" max="23" width="8" style="11" customWidth="1" outlineLevel="1"/>
    <col min="24" max="24" width="8.7109375" style="7" customWidth="1"/>
    <col min="25" max="26" width="11.42578125" style="7"/>
    <col min="27" max="27" width="4.140625" style="7" customWidth="1"/>
    <col min="28" max="29" width="11.42578125" style="7"/>
    <col min="30" max="30" width="11.85546875" style="7" bestFit="1" customWidth="1"/>
    <col min="31" max="16384" width="11.42578125" style="7"/>
  </cols>
  <sheetData>
    <row r="1" spans="1:75" s="8" customFormat="1" ht="11.1" customHeight="1" thickBot="1" x14ac:dyDescent="0.3">
      <c r="A1" s="22">
        <v>0.5</v>
      </c>
      <c r="B1" s="1" t="str">
        <f ca="1">IF($A$52&lt;=TEXT(B3,"YYMMDD"),TEXT(B3,"YYMMDD"),"")</f>
        <v/>
      </c>
      <c r="C1" s="1" t="str">
        <f t="shared" ref="C1:W1" ca="1" si="0">IF($A$52&lt;=TEXT(C3,"YYMMDD"),TEXT(C3,"YYMMDD"),"")</f>
        <v>251114</v>
      </c>
      <c r="D1" s="1" t="str">
        <f t="shared" ca="1" si="0"/>
        <v>251121</v>
      </c>
      <c r="E1" s="1" t="str">
        <f t="shared" ca="1" si="0"/>
        <v>251128</v>
      </c>
      <c r="F1" s="1" t="str">
        <f t="shared" ca="1" si="0"/>
        <v>251205</v>
      </c>
      <c r="G1" s="20" t="str">
        <f t="shared" ca="1" si="0"/>
        <v>251212</v>
      </c>
      <c r="H1" s="59" t="str">
        <f t="shared" ca="1" si="0"/>
        <v>251219</v>
      </c>
      <c r="I1" s="1" t="str">
        <f t="shared" ca="1" si="0"/>
        <v>251226</v>
      </c>
      <c r="J1" s="1" t="str">
        <f t="shared" ca="1" si="0"/>
        <v>260102</v>
      </c>
      <c r="K1" s="1" t="str">
        <f t="shared" ca="1" si="0"/>
        <v>260109</v>
      </c>
      <c r="L1" s="1" t="str">
        <f t="shared" ca="1" si="0"/>
        <v>260116</v>
      </c>
      <c r="M1" s="1" t="str">
        <f t="shared" ca="1" si="0"/>
        <v>260220</v>
      </c>
      <c r="N1" s="1" t="str">
        <f t="shared" ca="1" si="0"/>
        <v>260320</v>
      </c>
      <c r="O1" s="1" t="str">
        <f t="shared" ca="1" si="0"/>
        <v>260417</v>
      </c>
      <c r="P1" s="1" t="str">
        <f t="shared" ca="1" si="0"/>
        <v>260515</v>
      </c>
      <c r="Q1" s="1" t="str">
        <f t="shared" ca="1" si="0"/>
        <v>260619</v>
      </c>
      <c r="R1" s="1" t="str">
        <f t="shared" ca="1" si="0"/>
        <v>260717</v>
      </c>
      <c r="S1" s="1" t="str">
        <f t="shared" ca="1" si="0"/>
        <v>260821</v>
      </c>
      <c r="T1" s="1" t="str">
        <f t="shared" ca="1" si="0"/>
        <v>260918</v>
      </c>
      <c r="U1" s="1" t="str">
        <f t="shared" ca="1" si="0"/>
        <v>261016</v>
      </c>
      <c r="V1" s="1" t="str">
        <f t="shared" ca="1" si="0"/>
        <v>261120</v>
      </c>
      <c r="W1" s="1" t="str">
        <f t="shared" ca="1" si="0"/>
        <v>261218</v>
      </c>
      <c r="AC1" s="17"/>
    </row>
    <row r="2" spans="1:75" s="8" customFormat="1" ht="11.1" customHeight="1" thickBot="1" x14ac:dyDescent="0.3">
      <c r="A2" s="9" t="s">
        <v>290</v>
      </c>
      <c r="B2" s="2" t="str">
        <f>+A3</f>
        <v>OPEN</v>
      </c>
      <c r="C2" s="2" t="str">
        <f>+B2</f>
        <v>OPEN</v>
      </c>
      <c r="D2" s="2" t="str">
        <f t="shared" ref="D2:W2" si="1">+C2</f>
        <v>OPEN</v>
      </c>
      <c r="E2" s="2" t="str">
        <f t="shared" si="1"/>
        <v>OPEN</v>
      </c>
      <c r="F2" s="2" t="str">
        <f t="shared" si="1"/>
        <v>OPEN</v>
      </c>
      <c r="G2" s="3" t="str">
        <f t="shared" si="1"/>
        <v>OPEN</v>
      </c>
      <c r="H2" s="60" t="str">
        <f t="shared" si="1"/>
        <v>OPEN</v>
      </c>
      <c r="I2" s="2" t="str">
        <f t="shared" si="1"/>
        <v>OPEN</v>
      </c>
      <c r="J2" s="2" t="str">
        <f t="shared" si="1"/>
        <v>OPEN</v>
      </c>
      <c r="K2" s="2" t="str">
        <f t="shared" si="1"/>
        <v>OPEN</v>
      </c>
      <c r="L2" s="2" t="str">
        <f t="shared" si="1"/>
        <v>OPEN</v>
      </c>
      <c r="M2" s="2" t="str">
        <f t="shared" si="1"/>
        <v>OPEN</v>
      </c>
      <c r="N2" s="2" t="str">
        <f t="shared" si="1"/>
        <v>OPEN</v>
      </c>
      <c r="O2" s="2" t="str">
        <f t="shared" si="1"/>
        <v>OPEN</v>
      </c>
      <c r="P2" s="2" t="str">
        <f t="shared" si="1"/>
        <v>OPEN</v>
      </c>
      <c r="Q2" s="2" t="str">
        <f t="shared" si="1"/>
        <v>OPEN</v>
      </c>
      <c r="R2" s="2" t="str">
        <f t="shared" si="1"/>
        <v>OPEN</v>
      </c>
      <c r="S2" s="2" t="str">
        <f t="shared" si="1"/>
        <v>OPEN</v>
      </c>
      <c r="T2" s="2" t="str">
        <f t="shared" si="1"/>
        <v>OPEN</v>
      </c>
      <c r="U2" s="2" t="str">
        <f t="shared" si="1"/>
        <v>OPEN</v>
      </c>
      <c r="V2" s="2" t="str">
        <f t="shared" si="1"/>
        <v>OPEN</v>
      </c>
      <c r="W2" s="2" t="str">
        <f t="shared" si="1"/>
        <v>OPEN</v>
      </c>
      <c r="Y2" s="6" t="str">
        <f>+A2</f>
        <v>VOLUME</v>
      </c>
      <c r="Z2" s="6" t="str">
        <f>+'OI-VOL'!A2</f>
        <v>OPEN_INT</v>
      </c>
      <c r="AB2" s="20">
        <f>INDEX(A5:A51,MATCH(MIN(AB5:AB51),AB5:AB51,0))</f>
        <v>7</v>
      </c>
      <c r="AC2" s="17"/>
    </row>
    <row r="3" spans="1:75" s="8" customFormat="1" ht="11.1" customHeight="1" thickBot="1" x14ac:dyDescent="0.3">
      <c r="A3" s="2" t="s">
        <v>291</v>
      </c>
      <c r="B3" s="4">
        <v>45968</v>
      </c>
      <c r="C3" s="4">
        <f>+B3+7</f>
        <v>45975</v>
      </c>
      <c r="D3" s="4">
        <f t="shared" ref="D3:L3" si="2">+C3+7</f>
        <v>45982</v>
      </c>
      <c r="E3" s="4">
        <f t="shared" si="2"/>
        <v>45989</v>
      </c>
      <c r="F3" s="4">
        <f t="shared" si="2"/>
        <v>45996</v>
      </c>
      <c r="G3" s="4">
        <f t="shared" si="2"/>
        <v>46003</v>
      </c>
      <c r="H3" s="4">
        <f t="shared" si="2"/>
        <v>46010</v>
      </c>
      <c r="I3" s="4">
        <f t="shared" si="2"/>
        <v>46017</v>
      </c>
      <c r="J3" s="4">
        <f t="shared" si="2"/>
        <v>46024</v>
      </c>
      <c r="K3" s="4">
        <f t="shared" si="2"/>
        <v>46031</v>
      </c>
      <c r="L3" s="4">
        <f t="shared" si="2"/>
        <v>46038</v>
      </c>
      <c r="M3" s="4">
        <f>+L3+7+7+7+7+7</f>
        <v>46073</v>
      </c>
      <c r="N3" s="4">
        <f>+M3+7+7+7+7</f>
        <v>46101</v>
      </c>
      <c r="O3" s="4">
        <f>+N3+7+7+7+7</f>
        <v>46129</v>
      </c>
      <c r="P3" s="4">
        <f>+O3+7+7+7+7</f>
        <v>46157</v>
      </c>
      <c r="Q3" s="4">
        <f>+P3+7+7+7+7+7</f>
        <v>46192</v>
      </c>
      <c r="R3" s="4">
        <f>+Q3+7+7+7+7</f>
        <v>46220</v>
      </c>
      <c r="S3" s="4">
        <f t="shared" ref="S3:V3" si="3">+R3+7+7+7+7+7</f>
        <v>46255</v>
      </c>
      <c r="T3" s="4">
        <f>+S3+7+7+7+7</f>
        <v>46283</v>
      </c>
      <c r="U3" s="4">
        <f>+T3+7+7+7+7</f>
        <v>46311</v>
      </c>
      <c r="V3" s="4">
        <f t="shared" si="3"/>
        <v>46346</v>
      </c>
      <c r="W3" s="4">
        <f>+V3+7+7+7+7</f>
        <v>46374</v>
      </c>
      <c r="AB3" s="26" t="str">
        <f>+A3</f>
        <v>OPEN</v>
      </c>
    </row>
    <row r="4" spans="1:75" ht="11.1" customHeight="1" thickBot="1" x14ac:dyDescent="0.3">
      <c r="A4" s="10">
        <f>RTD("tos.rtd",,"MARK",A3)</f>
        <v>8.01</v>
      </c>
      <c r="B4" s="5">
        <f ca="1">SUM(B5:B51)</f>
        <v>0</v>
      </c>
      <c r="C4" s="5">
        <f t="shared" ref="C4:F4" ca="1" si="4">SUM(C5:C51)</f>
        <v>0</v>
      </c>
      <c r="D4" s="5">
        <f t="shared" ca="1" si="4"/>
        <v>0</v>
      </c>
      <c r="E4" s="5">
        <f t="shared" ca="1" si="4"/>
        <v>0</v>
      </c>
      <c r="F4" s="5">
        <f t="shared" ca="1" si="4"/>
        <v>0</v>
      </c>
      <c r="G4" s="56">
        <f ca="1">SUM(G5:G51)</f>
        <v>0</v>
      </c>
      <c r="H4" s="13">
        <f t="shared" ref="H4:W4" ca="1" si="5">SUM(H5:H51)</f>
        <v>0</v>
      </c>
      <c r="I4" s="5">
        <f t="shared" ca="1" si="5"/>
        <v>0</v>
      </c>
      <c r="J4" s="5">
        <f t="shared" ca="1" si="5"/>
        <v>0</v>
      </c>
      <c r="K4" s="5">
        <f t="shared" ca="1" si="5"/>
        <v>0</v>
      </c>
      <c r="L4" s="53">
        <f t="shared" ca="1" si="5"/>
        <v>0</v>
      </c>
      <c r="M4" s="5">
        <f t="shared" ca="1" si="5"/>
        <v>0</v>
      </c>
      <c r="N4" s="5">
        <f t="shared" ca="1" si="5"/>
        <v>0</v>
      </c>
      <c r="O4" s="5">
        <f t="shared" ca="1" si="5"/>
        <v>0</v>
      </c>
      <c r="P4" s="5">
        <f t="shared" ca="1" si="5"/>
        <v>0</v>
      </c>
      <c r="Q4" s="5">
        <f t="shared" ca="1" si="5"/>
        <v>0</v>
      </c>
      <c r="R4" s="5">
        <f t="shared" ca="1" si="5"/>
        <v>0</v>
      </c>
      <c r="S4" s="5">
        <f t="shared" ca="1" si="5"/>
        <v>0</v>
      </c>
      <c r="T4" s="5">
        <f t="shared" ca="1" si="5"/>
        <v>0</v>
      </c>
      <c r="U4" s="5">
        <f t="shared" ca="1" si="5"/>
        <v>0</v>
      </c>
      <c r="V4" s="5">
        <f t="shared" ca="1" si="5"/>
        <v>0</v>
      </c>
      <c r="W4" s="53">
        <f t="shared" ca="1" si="5"/>
        <v>0</v>
      </c>
      <c r="X4" s="12"/>
      <c r="Y4" s="7">
        <f ca="1">INDEX(A5:A51,MATCH(MAX(Y5:Y51),Y5:Y51,0))</f>
        <v>21.5</v>
      </c>
      <c r="AB4" s="20" t="s">
        <v>289</v>
      </c>
      <c r="AC4" s="6">
        <f>+A6+$A$1</f>
        <v>21.5</v>
      </c>
      <c r="AD4" s="12">
        <f>+AC4-$A$1</f>
        <v>21</v>
      </c>
      <c r="AE4" s="12">
        <f t="shared" ref="AE4:BW4" si="6">+AD4-$A$1</f>
        <v>20.5</v>
      </c>
      <c r="AF4" s="12">
        <f t="shared" si="6"/>
        <v>20</v>
      </c>
      <c r="AG4" s="12">
        <f t="shared" si="6"/>
        <v>19.5</v>
      </c>
      <c r="AH4" s="12">
        <f t="shared" si="6"/>
        <v>19</v>
      </c>
      <c r="AI4" s="12">
        <f t="shared" si="6"/>
        <v>18.5</v>
      </c>
      <c r="AJ4" s="12">
        <f t="shared" si="6"/>
        <v>18</v>
      </c>
      <c r="AK4" s="12">
        <f t="shared" si="6"/>
        <v>17.5</v>
      </c>
      <c r="AL4" s="12">
        <f t="shared" si="6"/>
        <v>17</v>
      </c>
      <c r="AM4" s="12">
        <f t="shared" si="6"/>
        <v>16.5</v>
      </c>
      <c r="AN4" s="12">
        <f t="shared" si="6"/>
        <v>16</v>
      </c>
      <c r="AO4" s="12">
        <f t="shared" si="6"/>
        <v>15.5</v>
      </c>
      <c r="AP4" s="12">
        <f t="shared" si="6"/>
        <v>15</v>
      </c>
      <c r="AQ4" s="12">
        <f t="shared" si="6"/>
        <v>14.5</v>
      </c>
      <c r="AR4" s="12">
        <f t="shared" si="6"/>
        <v>14</v>
      </c>
      <c r="AS4" s="12">
        <f t="shared" si="6"/>
        <v>13.5</v>
      </c>
      <c r="AT4" s="12">
        <f t="shared" si="6"/>
        <v>13</v>
      </c>
      <c r="AU4" s="12">
        <f t="shared" si="6"/>
        <v>12.5</v>
      </c>
      <c r="AV4" s="12">
        <f t="shared" si="6"/>
        <v>12</v>
      </c>
      <c r="AW4" s="12">
        <f t="shared" si="6"/>
        <v>11.5</v>
      </c>
      <c r="AX4" s="12">
        <f t="shared" si="6"/>
        <v>11</v>
      </c>
      <c r="AY4" s="12">
        <f t="shared" si="6"/>
        <v>10.5</v>
      </c>
      <c r="AZ4" s="12">
        <f t="shared" si="6"/>
        <v>10</v>
      </c>
      <c r="BA4" s="12">
        <f t="shared" si="6"/>
        <v>9.5</v>
      </c>
      <c r="BB4" s="12">
        <f t="shared" si="6"/>
        <v>9</v>
      </c>
      <c r="BC4" s="12">
        <f t="shared" si="6"/>
        <v>8.5</v>
      </c>
      <c r="BD4" s="12">
        <f t="shared" si="6"/>
        <v>8</v>
      </c>
      <c r="BE4" s="12">
        <f t="shared" si="6"/>
        <v>7.5</v>
      </c>
      <c r="BF4" s="12">
        <f t="shared" si="6"/>
        <v>7</v>
      </c>
      <c r="BG4" s="12">
        <f t="shared" si="6"/>
        <v>6.5</v>
      </c>
      <c r="BH4" s="12">
        <f t="shared" si="6"/>
        <v>6</v>
      </c>
      <c r="BI4" s="12">
        <f t="shared" si="6"/>
        <v>5.5</v>
      </c>
      <c r="BJ4" s="12">
        <f t="shared" si="6"/>
        <v>5</v>
      </c>
      <c r="BK4" s="12">
        <f t="shared" si="6"/>
        <v>4.5</v>
      </c>
      <c r="BL4" s="12">
        <f t="shared" si="6"/>
        <v>4</v>
      </c>
      <c r="BM4" s="12">
        <f t="shared" si="6"/>
        <v>3.5</v>
      </c>
      <c r="BN4" s="12">
        <f t="shared" si="6"/>
        <v>3</v>
      </c>
      <c r="BO4" s="12">
        <f t="shared" si="6"/>
        <v>2.5</v>
      </c>
      <c r="BP4" s="12">
        <f t="shared" si="6"/>
        <v>2</v>
      </c>
      <c r="BQ4" s="12">
        <f t="shared" si="6"/>
        <v>1.5</v>
      </c>
      <c r="BR4" s="12">
        <f t="shared" si="6"/>
        <v>1</v>
      </c>
      <c r="BS4" s="12">
        <f t="shared" si="6"/>
        <v>0.5</v>
      </c>
      <c r="BT4" s="12">
        <f t="shared" si="6"/>
        <v>0</v>
      </c>
      <c r="BU4" s="12">
        <f t="shared" si="6"/>
        <v>-0.5</v>
      </c>
      <c r="BV4" s="12">
        <f t="shared" si="6"/>
        <v>-1</v>
      </c>
      <c r="BW4" s="12">
        <f t="shared" si="6"/>
        <v>-1.5</v>
      </c>
    </row>
    <row r="5" spans="1:75" s="19" customFormat="1" ht="11.1" customHeight="1" thickBot="1" x14ac:dyDescent="0.3">
      <c r="A5" s="23">
        <f t="shared" ref="A5:A26" si="7">+A6+$A$1</f>
        <v>21.5</v>
      </c>
      <c r="B5" s="13">
        <f ca="1">IF($A$2="PREMIUM_OI",IFERROR(IF($X$1="ABS",(100*RTD("tos.rtd",,"OPEN_INT","."&amp;B$2&amp;B$1&amp;"C"&amp;$A5)*RTD("tos.rtd",,"LAST","."&amp;B$2&amp;B$1&amp;"C"&amp;$A5)+100*RTD("tos.rtd",,"OPEN_INT","."&amp;B$2&amp;B$1&amp;"P"&amp;$A5)*RTD("tos.rtd",,"LAST","."&amp;B$2&amp;B$1&amp;"P"&amp;$A5))/1000000,(100*RTD("tos.rtd",,"OPEN_INT","."&amp;B$2&amp;B$1&amp;"C"&amp;$A5)*RTD("tos.rtd",,"LAST","."&amp;B$2&amp;B$1&amp;"C"&amp;$A5)-100*RTD("tos.rtd",,"OPEN_INT","."&amp;B$2&amp;B$1&amp;"P"&amp;$A5)*RTD("tos.rtd",,"LAST","."&amp;B$2&amp;B$1&amp;"P"&amp;$A5))/1000000),0),IF($A$2="PREMIUM",IFERROR(IF($X$1="ABS",(100*RTD("tos.rtd",,"VOLUME","."&amp;B$2&amp;B$1&amp;"C"&amp;$A5)*RTD("tos.rtd",,"LAST","."&amp;B$2&amp;B$1&amp;"C"&amp;$A5)+100*RTD("tos.rtd",,"VOLUME","."&amp;B$2&amp;B$1&amp;"P"&amp;$A5)*RTD("tos.rtd",,"LAST","."&amp;B$2&amp;B$1&amp;"P"&amp;$A5))/1000000,(100*RTD("tos.rtd",,"VOLUME","."&amp;B$2&amp;B$1&amp;"C"&amp;$A5)*RTD("tos.rtd",,"LAST","."&amp;B$2&amp;B$1&amp;"C"&amp;$A5)-100*RTD("tos.rtd",,"VOLUME","."&amp;B$2&amp;B$1&amp;"P"&amp;$A5)*RTD("tos.rtd",,"LAST","."&amp;B$2&amp;B$1&amp;"P"&amp;$A5))/1000000),0),IF($A$2="DEX",IFERROR(IF($X$1="ABS",(100*RTD("tos.rtd",,"OPEN_INT","."&amp;B$2&amp;B$1&amp;"C"&amp;$A5)*RTD("tos.rtd",,"DELTA","."&amp;B$2&amp;B$1&amp;"C"&amp;$A5)+100*RTD("tos.rtd",,"OPEN_INT","."&amp;B$2&amp;B$1&amp;"P"&amp;$A5)*RTD("tos.rtd",,"DELTA","."&amp;B$2&amp;B$1&amp;"P"&amp;$A5))/1000,(100*RTD("tos.rtd",,"OPEN_INT","."&amp;B$2&amp;B$1&amp;"C"&amp;$A5)*RTD("tos.rtd",,"DELTA","."&amp;B$2&amp;B$1&amp;"C"&amp;$A5)-100*RTD("tos.rtd",,"OPEN_INT","."&amp;B$2&amp;B$1&amp;"P"&amp;$A5)*RTD("tos.rtd",,"DELTA","."&amp;B$2&amp;B$1&amp;"P"&amp;$A5))/1000),0),IF($A$2="VEX",IFERROR(IF($X$1="ABS",($A$4*$A$4*RTD("tos.rtd",,"VOLUME","."&amp;B$2&amp;B$1&amp;"C"&amp;$A5)*RTD("tos.rtd",,"GAMMA","."&amp;B$2&amp;B$1&amp;"C"&amp;$A5)+$A$4*$A$4*RTD("tos.rtd",,"VOLUME","."&amp;B$2&amp;B$1&amp;"P"&amp;$A5)*RTD("tos.rtd",,"GAMMA","."&amp;B$2&amp;B$1&amp;"P"&amp;$A5))/1000000,($A$4*$A$4*RTD("tos.rtd",,"VOLUME","."&amp;B$2&amp;B$1&amp;"C"&amp;$A5)*RTD("tos.rtd",,"GAMMA","."&amp;B$2&amp;B$1&amp;"C"&amp;$A5)-$A$4*$A$4*RTD("tos.rtd",,"VOLUME","."&amp;B$2&amp;B$1&amp;"P"&amp;$A5)*RTD("tos.rtd",,"GAMMA","."&amp;B$2&amp;B$1&amp;"P"&amp;$A5))/1000000),0),IF($A$2="GEX",IFERROR(IF($X$1="ABS",($A$4*$A$4*RTD("tos.rtd",,"OPEN_INT","."&amp;B$2&amp;B$1&amp;"C"&amp;$A5)*RTD("tos.rtd",,"GAMMA","."&amp;B$2&amp;B$1&amp;"C"&amp;$A5)+$A$4*$A$4*RTD("tos.rtd",,"OPEN_INT","."&amp;B$2&amp;B$1&amp;"P"&amp;$A5)*RTD("tos.rtd",,"GAMMA","."&amp;B$2&amp;B$1&amp;"P"&amp;$A5))/1000000,($A$4*$A$4*RTD("tos.rtd",,"OPEN_INT","."&amp;B$2&amp;B$1&amp;"C"&amp;$A5)*RTD("tos.rtd",,"GAMMA","."&amp;B$2&amp;B$1&amp;"C"&amp;$A5)-$A$4*$A$4*RTD("tos.rtd",,"OPEN_INT","."&amp;B$2&amp;B$1&amp;"P"&amp;$A5)*RTD("tos.rtd",,"GAMMA","."&amp;B$2&amp;B$1&amp;"P"&amp;$A5))/1000000),0),IF($A$2="SKEW",IFERROR(VALUE(IF(RTD("tos.rtd",,"IMPL_VOL","."&amp;B$2&amp;B$1&amp;"P"&amp;$A5)="N/A",0,RTD("tos.rtd",,"IMPL_VOL","."&amp;B$2&amp;B$1&amp;"P"&amp;$A5))),0)-IFERROR(VALUE(IF(RTD("tos.rtd",,"IMPL_VOL","."&amp;B$2&amp;B$1&amp;"C"&amp;$A5)="N/A",0,RTD("tos.rtd",,"IMPL_VOL","."&amp;B$2&amp;B$1&amp;"C"&amp;$A5))),0),IF($A$2="MAXPAIN",IF($A$4&gt;$A5,($A$4-$A5)*IF(RTD("tos.rtd",,"OPEN_INT","."&amp;B$2&amp;B$1&amp;"C"&amp;$A5)="N/A",0,RTD("tos.rtd",,"OPEN_INT","."&amp;B$2&amp;B$1&amp;"C"&amp;$A5)),0)+IF($A$4&lt;$A5,($A$5-$A$4)*IF(RTD("tos.rtd",,"OPEN_INT","."&amp;B$2&amp;B$1&amp;"P"&amp;$A5)="N/A",0,RTD("tos.rtd",,"OPEN_INT","."&amp;B$2&amp;B$1&amp;"P"&amp;$A5)),0),IF($X$1="ABS",IF(RTD("tos.rtd",,$A$2,"."&amp;B$2&amp;B$1&amp;"C"&amp;$A5)="N/A",0,RTD("tos.rtd",,$A$2,"."&amp;B$2&amp;B$1&amp;"C"&amp;$A5))+IF(RTD("tos.rtd",,$A$2,"."&amp;B$2&amp;B$1&amp;"P"&amp;$A5)="N/A",0,RTD("tos.rtd",,$A$2,"."&amp;B$2&amp;B$1&amp;"P"&amp;$A5)),IF(RTD("tos.rtd",,$A$2,"."&amp;B$2&amp;B$1&amp;"C"&amp;$A5)="N/A",0,RTD("tos.rtd",,$A$2,"."&amp;B$2&amp;B$1&amp;"C"&amp;$A5))-IF(RTD("tos.rtd",,$A$2,"."&amp;B$2&amp;B$1&amp;"P"&amp;$A5)="N/A",0,RTD("tos.rtd",,$A$2,"."&amp;B$2&amp;B$1&amp;"P"&amp;$A5))))))))))</f>
        <v>0</v>
      </c>
      <c r="C5" s="13">
        <f ca="1">IF($A$2="PREMIUM_OI",IFERROR(IF($X$1="ABS",(100*RTD("tos.rtd",,"OPEN_INT","."&amp;C$2&amp;C$1&amp;"C"&amp;$A5)*RTD("tos.rtd",,"LAST","."&amp;C$2&amp;C$1&amp;"C"&amp;$A5)+100*RTD("tos.rtd",,"OPEN_INT","."&amp;C$2&amp;C$1&amp;"P"&amp;$A5)*RTD("tos.rtd",,"LAST","."&amp;C$2&amp;C$1&amp;"P"&amp;$A5))/1000000,(100*RTD("tos.rtd",,"OPEN_INT","."&amp;C$2&amp;C$1&amp;"C"&amp;$A5)*RTD("tos.rtd",,"LAST","."&amp;C$2&amp;C$1&amp;"C"&amp;$A5)-100*RTD("tos.rtd",,"OPEN_INT","."&amp;C$2&amp;C$1&amp;"P"&amp;$A5)*RTD("tos.rtd",,"LAST","."&amp;C$2&amp;C$1&amp;"P"&amp;$A5))/1000000),0),IF($A$2="PREMIUM",IFERROR(IF($X$1="ABS",(100*RTD("tos.rtd",,"VOLUME","."&amp;C$2&amp;C$1&amp;"C"&amp;$A5)*RTD("tos.rtd",,"LAST","."&amp;C$2&amp;C$1&amp;"C"&amp;$A5)+100*RTD("tos.rtd",,"VOLUME","."&amp;C$2&amp;C$1&amp;"P"&amp;$A5)*RTD("tos.rtd",,"LAST","."&amp;C$2&amp;C$1&amp;"P"&amp;$A5))/1000000,(100*RTD("tos.rtd",,"VOLUME","."&amp;C$2&amp;C$1&amp;"C"&amp;$A5)*RTD("tos.rtd",,"LAST","."&amp;C$2&amp;C$1&amp;"C"&amp;$A5)-100*RTD("tos.rtd",,"VOLUME","."&amp;C$2&amp;C$1&amp;"P"&amp;$A5)*RTD("tos.rtd",,"LAST","."&amp;C$2&amp;C$1&amp;"P"&amp;$A5))/1000000),0),IF($A$2="DEX",IFERROR(IF($X$1="ABS",(100*RTD("tos.rtd",,"OPEN_INT","."&amp;C$2&amp;C$1&amp;"C"&amp;$A5)*RTD("tos.rtd",,"DELTA","."&amp;C$2&amp;C$1&amp;"C"&amp;$A5)+100*RTD("tos.rtd",,"OPEN_INT","."&amp;C$2&amp;C$1&amp;"P"&amp;$A5)*RTD("tos.rtd",,"DELTA","."&amp;C$2&amp;C$1&amp;"P"&amp;$A5))/1000,(100*RTD("tos.rtd",,"OPEN_INT","."&amp;C$2&amp;C$1&amp;"C"&amp;$A5)*RTD("tos.rtd",,"DELTA","."&amp;C$2&amp;C$1&amp;"C"&amp;$A5)-100*RTD("tos.rtd",,"OPEN_INT","."&amp;C$2&amp;C$1&amp;"P"&amp;$A5)*RTD("tos.rtd",,"DELTA","."&amp;C$2&amp;C$1&amp;"P"&amp;$A5))/1000),0),IF($A$2="VEX",IFERROR(IF($X$1="ABS",($A$4*$A$4*RTD("tos.rtd",,"VOLUME","."&amp;C$2&amp;C$1&amp;"C"&amp;$A5)*RTD("tos.rtd",,"GAMMA","."&amp;C$2&amp;C$1&amp;"C"&amp;$A5)+$A$4*$A$4*RTD("tos.rtd",,"VOLUME","."&amp;C$2&amp;C$1&amp;"P"&amp;$A5)*RTD("tos.rtd",,"GAMMA","."&amp;C$2&amp;C$1&amp;"P"&amp;$A5))/1000000,($A$4*$A$4*RTD("tos.rtd",,"VOLUME","."&amp;C$2&amp;C$1&amp;"C"&amp;$A5)*RTD("tos.rtd",,"GAMMA","."&amp;C$2&amp;C$1&amp;"C"&amp;$A5)-$A$4*$A$4*RTD("tos.rtd",,"VOLUME","."&amp;C$2&amp;C$1&amp;"P"&amp;$A5)*RTD("tos.rtd",,"GAMMA","."&amp;C$2&amp;C$1&amp;"P"&amp;$A5))/1000000),0),IF($A$2="GEX",IFERROR(IF($X$1="ABS",($A$4*$A$4*RTD("tos.rtd",,"OPEN_INT","."&amp;C$2&amp;C$1&amp;"C"&amp;$A5)*RTD("tos.rtd",,"GAMMA","."&amp;C$2&amp;C$1&amp;"C"&amp;$A5)+$A$4*$A$4*RTD("tos.rtd",,"OPEN_INT","."&amp;C$2&amp;C$1&amp;"P"&amp;$A5)*RTD("tos.rtd",,"GAMMA","."&amp;C$2&amp;C$1&amp;"P"&amp;$A5))/1000000,($A$4*$A$4*RTD("tos.rtd",,"OPEN_INT","."&amp;C$2&amp;C$1&amp;"C"&amp;$A5)*RTD("tos.rtd",,"GAMMA","."&amp;C$2&amp;C$1&amp;"C"&amp;$A5)-$A$4*$A$4*RTD("tos.rtd",,"OPEN_INT","."&amp;C$2&amp;C$1&amp;"P"&amp;$A5)*RTD("tos.rtd",,"GAMMA","."&amp;C$2&amp;C$1&amp;"P"&amp;$A5))/1000000),0),IF($A$2="SKEW",IFERROR(VALUE(IF(RTD("tos.rtd",,"IMPL_VOL","."&amp;C$2&amp;C$1&amp;"P"&amp;$A5)="N/A",0,RTD("tos.rtd",,"IMPL_VOL","."&amp;C$2&amp;C$1&amp;"P"&amp;$A5))),0)-IFERROR(VALUE(IF(RTD("tos.rtd",,"IMPL_VOL","."&amp;C$2&amp;C$1&amp;"C"&amp;$A5)="N/A",0,RTD("tos.rtd",,"IMPL_VOL","."&amp;C$2&amp;C$1&amp;"C"&amp;$A5))),0),IF($A$2="MAXPAIN",IF($A$4&gt;$A5,($A$4-$A5)*IF(RTD("tos.rtd",,"OPEN_INT","."&amp;C$2&amp;C$1&amp;"C"&amp;$A5)="N/A",0,RTD("tos.rtd",,"OPEN_INT","."&amp;C$2&amp;C$1&amp;"C"&amp;$A5)),0)+IF($A$4&lt;$A5,($A$5-$A$4)*IF(RTD("tos.rtd",,"OPEN_INT","."&amp;C$2&amp;C$1&amp;"P"&amp;$A5)="N/A",0,RTD("tos.rtd",,"OPEN_INT","."&amp;C$2&amp;C$1&amp;"P"&amp;$A5)),0),IF($X$1="ABS",IF(RTD("tos.rtd",,$A$2,"."&amp;C$2&amp;C$1&amp;"C"&amp;$A5)="N/A",0,RTD("tos.rtd",,$A$2,"."&amp;C$2&amp;C$1&amp;"C"&amp;$A5))+IF(RTD("tos.rtd",,$A$2,"."&amp;C$2&amp;C$1&amp;"P"&amp;$A5)="N/A",0,RTD("tos.rtd",,$A$2,"."&amp;C$2&amp;C$1&amp;"P"&amp;$A5)),IF(RTD("tos.rtd",,$A$2,"."&amp;C$2&amp;C$1&amp;"C"&amp;$A5)="N/A",0,RTD("tos.rtd",,$A$2,"."&amp;C$2&amp;C$1&amp;"C"&amp;$A5))-IF(RTD("tos.rtd",,$A$2,"."&amp;C$2&amp;C$1&amp;"P"&amp;$A5)="N/A",0,RTD("tos.rtd",,$A$2,"."&amp;C$2&amp;C$1&amp;"P"&amp;$A5))))))))))</f>
        <v>0</v>
      </c>
      <c r="D5" s="5">
        <f ca="1">IF($A$2="PREMIUM_OI",IFERROR(IF($X$1="ABS",(100*RTD("tos.rtd",,"OPEN_INT","."&amp;D$2&amp;D$1&amp;"C"&amp;$A5)*RTD("tos.rtd",,"LAST","."&amp;D$2&amp;D$1&amp;"C"&amp;$A5)+100*RTD("tos.rtd",,"OPEN_INT","."&amp;D$2&amp;D$1&amp;"P"&amp;$A5)*RTD("tos.rtd",,"LAST","."&amp;D$2&amp;D$1&amp;"P"&amp;$A5))/1000000,(100*RTD("tos.rtd",,"OPEN_INT","."&amp;D$2&amp;D$1&amp;"C"&amp;$A5)*RTD("tos.rtd",,"LAST","."&amp;D$2&amp;D$1&amp;"C"&amp;$A5)-100*RTD("tos.rtd",,"OPEN_INT","."&amp;D$2&amp;D$1&amp;"P"&amp;$A5)*RTD("tos.rtd",,"LAST","."&amp;D$2&amp;D$1&amp;"P"&amp;$A5))/1000000),0),IF($A$2="PREMIUM",IFERROR(IF($X$1="ABS",(100*RTD("tos.rtd",,"VOLUME","."&amp;D$2&amp;D$1&amp;"C"&amp;$A5)*RTD("tos.rtd",,"LAST","."&amp;D$2&amp;D$1&amp;"C"&amp;$A5)+100*RTD("tos.rtd",,"VOLUME","."&amp;D$2&amp;D$1&amp;"P"&amp;$A5)*RTD("tos.rtd",,"LAST","."&amp;D$2&amp;D$1&amp;"P"&amp;$A5))/1000000,(100*RTD("tos.rtd",,"VOLUME","."&amp;D$2&amp;D$1&amp;"C"&amp;$A5)*RTD("tos.rtd",,"LAST","."&amp;D$2&amp;D$1&amp;"C"&amp;$A5)-100*RTD("tos.rtd",,"VOLUME","."&amp;D$2&amp;D$1&amp;"P"&amp;$A5)*RTD("tos.rtd",,"LAST","."&amp;D$2&amp;D$1&amp;"P"&amp;$A5))/1000000),0),IF($A$2="DEX",IFERROR(IF($X$1="ABS",(100*RTD("tos.rtd",,"OPEN_INT","."&amp;D$2&amp;D$1&amp;"C"&amp;$A5)*RTD("tos.rtd",,"DELTA","."&amp;D$2&amp;D$1&amp;"C"&amp;$A5)+100*RTD("tos.rtd",,"OPEN_INT","."&amp;D$2&amp;D$1&amp;"P"&amp;$A5)*RTD("tos.rtd",,"DELTA","."&amp;D$2&amp;D$1&amp;"P"&amp;$A5))/1000,(100*RTD("tos.rtd",,"OPEN_INT","."&amp;D$2&amp;D$1&amp;"C"&amp;$A5)*RTD("tos.rtd",,"DELTA","."&amp;D$2&amp;D$1&amp;"C"&amp;$A5)-100*RTD("tos.rtd",,"OPEN_INT","."&amp;D$2&amp;D$1&amp;"P"&amp;$A5)*RTD("tos.rtd",,"DELTA","."&amp;D$2&amp;D$1&amp;"P"&amp;$A5))/1000),0),IF($A$2="VEX",IFERROR(IF($X$1="ABS",($A$4*$A$4*RTD("tos.rtd",,"VOLUME","."&amp;D$2&amp;D$1&amp;"C"&amp;$A5)*RTD("tos.rtd",,"GAMMA","."&amp;D$2&amp;D$1&amp;"C"&amp;$A5)+$A$4*$A$4*RTD("tos.rtd",,"VOLUME","."&amp;D$2&amp;D$1&amp;"P"&amp;$A5)*RTD("tos.rtd",,"GAMMA","."&amp;D$2&amp;D$1&amp;"P"&amp;$A5))/1000000,($A$4*$A$4*RTD("tos.rtd",,"VOLUME","."&amp;D$2&amp;D$1&amp;"C"&amp;$A5)*RTD("tos.rtd",,"GAMMA","."&amp;D$2&amp;D$1&amp;"C"&amp;$A5)-$A$4*$A$4*RTD("tos.rtd",,"VOLUME","."&amp;D$2&amp;D$1&amp;"P"&amp;$A5)*RTD("tos.rtd",,"GAMMA","."&amp;D$2&amp;D$1&amp;"P"&amp;$A5))/1000000),0),IF($A$2="GEX",IFERROR(IF($X$1="ABS",($A$4*$A$4*RTD("tos.rtd",,"OPEN_INT","."&amp;D$2&amp;D$1&amp;"C"&amp;$A5)*RTD("tos.rtd",,"GAMMA","."&amp;D$2&amp;D$1&amp;"C"&amp;$A5)+$A$4*$A$4*RTD("tos.rtd",,"OPEN_INT","."&amp;D$2&amp;D$1&amp;"P"&amp;$A5)*RTD("tos.rtd",,"GAMMA","."&amp;D$2&amp;D$1&amp;"P"&amp;$A5))/1000000,($A$4*$A$4*RTD("tos.rtd",,"OPEN_INT","."&amp;D$2&amp;D$1&amp;"C"&amp;$A5)*RTD("tos.rtd",,"GAMMA","."&amp;D$2&amp;D$1&amp;"C"&amp;$A5)-$A$4*$A$4*RTD("tos.rtd",,"OPEN_INT","."&amp;D$2&amp;D$1&amp;"P"&amp;$A5)*RTD("tos.rtd",,"GAMMA","."&amp;D$2&amp;D$1&amp;"P"&amp;$A5))/1000000),0),IF($A$2="SKEW",IFERROR(VALUE(IF(RTD("tos.rtd",,"IMPL_VOL","."&amp;D$2&amp;D$1&amp;"P"&amp;$A5)="N/A",0,RTD("tos.rtd",,"IMPL_VOL","."&amp;D$2&amp;D$1&amp;"P"&amp;$A5))),0)-IFERROR(VALUE(IF(RTD("tos.rtd",,"IMPL_VOL","."&amp;D$2&amp;D$1&amp;"C"&amp;$A5)="N/A",0,RTD("tos.rtd",,"IMPL_VOL","."&amp;D$2&amp;D$1&amp;"C"&amp;$A5))),0),IF($A$2="MAXPAIN",IF($A$4&gt;$A5,($A$4-$A5)*IF(RTD("tos.rtd",,"OPEN_INT","."&amp;D$2&amp;D$1&amp;"C"&amp;$A5)="N/A",0,RTD("tos.rtd",,"OPEN_INT","."&amp;D$2&amp;D$1&amp;"C"&amp;$A5)),0)+IF($A$4&lt;$A5,($A$5-$A$4)*IF(RTD("tos.rtd",,"OPEN_INT","."&amp;D$2&amp;D$1&amp;"P"&amp;$A5)="N/A",0,RTD("tos.rtd",,"OPEN_INT","."&amp;D$2&amp;D$1&amp;"P"&amp;$A5)),0),IF($X$1="ABS",IF(RTD("tos.rtd",,$A$2,"."&amp;D$2&amp;D$1&amp;"C"&amp;$A5)="N/A",0,RTD("tos.rtd",,$A$2,"."&amp;D$2&amp;D$1&amp;"C"&amp;$A5))+IF(RTD("tos.rtd",,$A$2,"."&amp;D$2&amp;D$1&amp;"P"&amp;$A5)="N/A",0,RTD("tos.rtd",,$A$2,"."&amp;D$2&amp;D$1&amp;"P"&amp;$A5)),IF(RTD("tos.rtd",,$A$2,"."&amp;D$2&amp;D$1&amp;"C"&amp;$A5)="N/A",0,RTD("tos.rtd",,$A$2,"."&amp;D$2&amp;D$1&amp;"C"&amp;$A5))-IF(RTD("tos.rtd",,$A$2,"."&amp;D$2&amp;D$1&amp;"P"&amp;$A5)="N/A",0,RTD("tos.rtd",,$A$2,"."&amp;D$2&amp;D$1&amp;"P"&amp;$A5))))))))))</f>
        <v>0</v>
      </c>
      <c r="E5" s="5">
        <f ca="1">IF($A$2="PREMIUM_OI",IFERROR(IF($X$1="ABS",(100*RTD("tos.rtd",,"OPEN_INT","."&amp;E$2&amp;E$1&amp;"C"&amp;$A5)*RTD("tos.rtd",,"LAST","."&amp;E$2&amp;E$1&amp;"C"&amp;$A5)+100*RTD("tos.rtd",,"OPEN_INT","."&amp;E$2&amp;E$1&amp;"P"&amp;$A5)*RTD("tos.rtd",,"LAST","."&amp;E$2&amp;E$1&amp;"P"&amp;$A5))/1000000,(100*RTD("tos.rtd",,"OPEN_INT","."&amp;E$2&amp;E$1&amp;"C"&amp;$A5)*RTD("tos.rtd",,"LAST","."&amp;E$2&amp;E$1&amp;"C"&amp;$A5)-100*RTD("tos.rtd",,"OPEN_INT","."&amp;E$2&amp;E$1&amp;"P"&amp;$A5)*RTD("tos.rtd",,"LAST","."&amp;E$2&amp;E$1&amp;"P"&amp;$A5))/1000000),0),IF($A$2="PREMIUM",IFERROR(IF($X$1="ABS",(100*RTD("tos.rtd",,"VOLUME","."&amp;E$2&amp;E$1&amp;"C"&amp;$A5)*RTD("tos.rtd",,"LAST","."&amp;E$2&amp;E$1&amp;"C"&amp;$A5)+100*RTD("tos.rtd",,"VOLUME","."&amp;E$2&amp;E$1&amp;"P"&amp;$A5)*RTD("tos.rtd",,"LAST","."&amp;E$2&amp;E$1&amp;"P"&amp;$A5))/1000000,(100*RTD("tos.rtd",,"VOLUME","."&amp;E$2&amp;E$1&amp;"C"&amp;$A5)*RTD("tos.rtd",,"LAST","."&amp;E$2&amp;E$1&amp;"C"&amp;$A5)-100*RTD("tos.rtd",,"VOLUME","."&amp;E$2&amp;E$1&amp;"P"&amp;$A5)*RTD("tos.rtd",,"LAST","."&amp;E$2&amp;E$1&amp;"P"&amp;$A5))/1000000),0),IF($A$2="DEX",IFERROR(IF($X$1="ABS",(100*RTD("tos.rtd",,"OPEN_INT","."&amp;E$2&amp;E$1&amp;"C"&amp;$A5)*RTD("tos.rtd",,"DELTA","."&amp;E$2&amp;E$1&amp;"C"&amp;$A5)+100*RTD("tos.rtd",,"OPEN_INT","."&amp;E$2&amp;E$1&amp;"P"&amp;$A5)*RTD("tos.rtd",,"DELTA","."&amp;E$2&amp;E$1&amp;"P"&amp;$A5))/1000,(100*RTD("tos.rtd",,"OPEN_INT","."&amp;E$2&amp;E$1&amp;"C"&amp;$A5)*RTD("tos.rtd",,"DELTA","."&amp;E$2&amp;E$1&amp;"C"&amp;$A5)-100*RTD("tos.rtd",,"OPEN_INT","."&amp;E$2&amp;E$1&amp;"P"&amp;$A5)*RTD("tos.rtd",,"DELTA","."&amp;E$2&amp;E$1&amp;"P"&amp;$A5))/1000),0),IF($A$2="VEX",IFERROR(IF($X$1="ABS",($A$4*$A$4*RTD("tos.rtd",,"VOLUME","."&amp;E$2&amp;E$1&amp;"C"&amp;$A5)*RTD("tos.rtd",,"GAMMA","."&amp;E$2&amp;E$1&amp;"C"&amp;$A5)+$A$4*$A$4*RTD("tos.rtd",,"VOLUME","."&amp;E$2&amp;E$1&amp;"P"&amp;$A5)*RTD("tos.rtd",,"GAMMA","."&amp;E$2&amp;E$1&amp;"P"&amp;$A5))/1000000,($A$4*$A$4*RTD("tos.rtd",,"VOLUME","."&amp;E$2&amp;E$1&amp;"C"&amp;$A5)*RTD("tos.rtd",,"GAMMA","."&amp;E$2&amp;E$1&amp;"C"&amp;$A5)-$A$4*$A$4*RTD("tos.rtd",,"VOLUME","."&amp;E$2&amp;E$1&amp;"P"&amp;$A5)*RTD("tos.rtd",,"GAMMA","."&amp;E$2&amp;E$1&amp;"P"&amp;$A5))/1000000),0),IF($A$2="GEX",IFERROR(IF($X$1="ABS",($A$4*$A$4*RTD("tos.rtd",,"OPEN_INT","."&amp;E$2&amp;E$1&amp;"C"&amp;$A5)*RTD("tos.rtd",,"GAMMA","."&amp;E$2&amp;E$1&amp;"C"&amp;$A5)+$A$4*$A$4*RTD("tos.rtd",,"OPEN_INT","."&amp;E$2&amp;E$1&amp;"P"&amp;$A5)*RTD("tos.rtd",,"GAMMA","."&amp;E$2&amp;E$1&amp;"P"&amp;$A5))/1000000,($A$4*$A$4*RTD("tos.rtd",,"OPEN_INT","."&amp;E$2&amp;E$1&amp;"C"&amp;$A5)*RTD("tos.rtd",,"GAMMA","."&amp;E$2&amp;E$1&amp;"C"&amp;$A5)-$A$4*$A$4*RTD("tos.rtd",,"OPEN_INT","."&amp;E$2&amp;E$1&amp;"P"&amp;$A5)*RTD("tos.rtd",,"GAMMA","."&amp;E$2&amp;E$1&amp;"P"&amp;$A5))/1000000),0),IF($A$2="SKEW",IFERROR(VALUE(IF(RTD("tos.rtd",,"IMPL_VOL","."&amp;E$2&amp;E$1&amp;"P"&amp;$A5)="N/A",0,RTD("tos.rtd",,"IMPL_VOL","."&amp;E$2&amp;E$1&amp;"P"&amp;$A5))),0)-IFERROR(VALUE(IF(RTD("tos.rtd",,"IMPL_VOL","."&amp;E$2&amp;E$1&amp;"C"&amp;$A5)="N/A",0,RTD("tos.rtd",,"IMPL_VOL","."&amp;E$2&amp;E$1&amp;"C"&amp;$A5))),0),IF($A$2="MAXPAIN",IF($A$4&gt;$A5,($A$4-$A5)*IF(RTD("tos.rtd",,"OPEN_INT","."&amp;E$2&amp;E$1&amp;"C"&amp;$A5)="N/A",0,RTD("tos.rtd",,"OPEN_INT","."&amp;E$2&amp;E$1&amp;"C"&amp;$A5)),0)+IF($A$4&lt;$A5,($A$5-$A$4)*IF(RTD("tos.rtd",,"OPEN_INT","."&amp;E$2&amp;E$1&amp;"P"&amp;$A5)="N/A",0,RTD("tos.rtd",,"OPEN_INT","."&amp;E$2&amp;E$1&amp;"P"&amp;$A5)),0),IF($X$1="ABS",IF(RTD("tos.rtd",,$A$2,"."&amp;E$2&amp;E$1&amp;"C"&amp;$A5)="N/A",0,RTD("tos.rtd",,$A$2,"."&amp;E$2&amp;E$1&amp;"C"&amp;$A5))+IF(RTD("tos.rtd",,$A$2,"."&amp;E$2&amp;E$1&amp;"P"&amp;$A5)="N/A",0,RTD("tos.rtd",,$A$2,"."&amp;E$2&amp;E$1&amp;"P"&amp;$A5)),IF(RTD("tos.rtd",,$A$2,"."&amp;E$2&amp;E$1&amp;"C"&amp;$A5)="N/A",0,RTD("tos.rtd",,$A$2,"."&amp;E$2&amp;E$1&amp;"C"&amp;$A5))-IF(RTD("tos.rtd",,$A$2,"."&amp;E$2&amp;E$1&amp;"P"&amp;$A5)="N/A",0,RTD("tos.rtd",,$A$2,"."&amp;E$2&amp;E$1&amp;"P"&amp;$A5))))))))))</f>
        <v>0</v>
      </c>
      <c r="F5" s="5">
        <f ca="1">IF($A$2="PREMIUM_OI",IFERROR(IF($X$1="ABS",(100*RTD("tos.rtd",,"OPEN_INT","."&amp;F$2&amp;F$1&amp;"C"&amp;$A5)*RTD("tos.rtd",,"LAST","."&amp;F$2&amp;F$1&amp;"C"&amp;$A5)+100*RTD("tos.rtd",,"OPEN_INT","."&amp;F$2&amp;F$1&amp;"P"&amp;$A5)*RTD("tos.rtd",,"LAST","."&amp;F$2&amp;F$1&amp;"P"&amp;$A5))/1000000,(100*RTD("tos.rtd",,"OPEN_INT","."&amp;F$2&amp;F$1&amp;"C"&amp;$A5)*RTD("tos.rtd",,"LAST","."&amp;F$2&amp;F$1&amp;"C"&amp;$A5)-100*RTD("tos.rtd",,"OPEN_INT","."&amp;F$2&amp;F$1&amp;"P"&amp;$A5)*RTD("tos.rtd",,"LAST","."&amp;F$2&amp;F$1&amp;"P"&amp;$A5))/1000000),0),IF($A$2="PREMIUM",IFERROR(IF($X$1="ABS",(100*RTD("tos.rtd",,"VOLUME","."&amp;F$2&amp;F$1&amp;"C"&amp;$A5)*RTD("tos.rtd",,"LAST","."&amp;F$2&amp;F$1&amp;"C"&amp;$A5)+100*RTD("tos.rtd",,"VOLUME","."&amp;F$2&amp;F$1&amp;"P"&amp;$A5)*RTD("tos.rtd",,"LAST","."&amp;F$2&amp;F$1&amp;"P"&amp;$A5))/1000000,(100*RTD("tos.rtd",,"VOLUME","."&amp;F$2&amp;F$1&amp;"C"&amp;$A5)*RTD("tos.rtd",,"LAST","."&amp;F$2&amp;F$1&amp;"C"&amp;$A5)-100*RTD("tos.rtd",,"VOLUME","."&amp;F$2&amp;F$1&amp;"P"&amp;$A5)*RTD("tos.rtd",,"LAST","."&amp;F$2&amp;F$1&amp;"P"&amp;$A5))/1000000),0),IF($A$2="DEX",IFERROR(IF($X$1="ABS",(100*RTD("tos.rtd",,"OPEN_INT","."&amp;F$2&amp;F$1&amp;"C"&amp;$A5)*RTD("tos.rtd",,"DELTA","."&amp;F$2&amp;F$1&amp;"C"&amp;$A5)+100*RTD("tos.rtd",,"OPEN_INT","."&amp;F$2&amp;F$1&amp;"P"&amp;$A5)*RTD("tos.rtd",,"DELTA","."&amp;F$2&amp;F$1&amp;"P"&amp;$A5))/1000,(100*RTD("tos.rtd",,"OPEN_INT","."&amp;F$2&amp;F$1&amp;"C"&amp;$A5)*RTD("tos.rtd",,"DELTA","."&amp;F$2&amp;F$1&amp;"C"&amp;$A5)-100*RTD("tos.rtd",,"OPEN_INT","."&amp;F$2&amp;F$1&amp;"P"&amp;$A5)*RTD("tos.rtd",,"DELTA","."&amp;F$2&amp;F$1&amp;"P"&amp;$A5))/1000),0),IF($A$2="VEX",IFERROR(IF($X$1="ABS",($A$4*$A$4*RTD("tos.rtd",,"VOLUME","."&amp;F$2&amp;F$1&amp;"C"&amp;$A5)*RTD("tos.rtd",,"GAMMA","."&amp;F$2&amp;F$1&amp;"C"&amp;$A5)+$A$4*$A$4*RTD("tos.rtd",,"VOLUME","."&amp;F$2&amp;F$1&amp;"P"&amp;$A5)*RTD("tos.rtd",,"GAMMA","."&amp;F$2&amp;F$1&amp;"P"&amp;$A5))/1000000,($A$4*$A$4*RTD("tos.rtd",,"VOLUME","."&amp;F$2&amp;F$1&amp;"C"&amp;$A5)*RTD("tos.rtd",,"GAMMA","."&amp;F$2&amp;F$1&amp;"C"&amp;$A5)-$A$4*$A$4*RTD("tos.rtd",,"VOLUME","."&amp;F$2&amp;F$1&amp;"P"&amp;$A5)*RTD("tos.rtd",,"GAMMA","."&amp;F$2&amp;F$1&amp;"P"&amp;$A5))/1000000),0),IF($A$2="GEX",IFERROR(IF($X$1="ABS",($A$4*$A$4*RTD("tos.rtd",,"OPEN_INT","."&amp;F$2&amp;F$1&amp;"C"&amp;$A5)*RTD("tos.rtd",,"GAMMA","."&amp;F$2&amp;F$1&amp;"C"&amp;$A5)+$A$4*$A$4*RTD("tos.rtd",,"OPEN_INT","."&amp;F$2&amp;F$1&amp;"P"&amp;$A5)*RTD("tos.rtd",,"GAMMA","."&amp;F$2&amp;F$1&amp;"P"&amp;$A5))/1000000,($A$4*$A$4*RTD("tos.rtd",,"OPEN_INT","."&amp;F$2&amp;F$1&amp;"C"&amp;$A5)*RTD("tos.rtd",,"GAMMA","."&amp;F$2&amp;F$1&amp;"C"&amp;$A5)-$A$4*$A$4*RTD("tos.rtd",,"OPEN_INT","."&amp;F$2&amp;F$1&amp;"P"&amp;$A5)*RTD("tos.rtd",,"GAMMA","."&amp;F$2&amp;F$1&amp;"P"&amp;$A5))/1000000),0),IF($A$2="SKEW",IFERROR(VALUE(IF(RTD("tos.rtd",,"IMPL_VOL","."&amp;F$2&amp;F$1&amp;"P"&amp;$A5)="N/A",0,RTD("tos.rtd",,"IMPL_VOL","."&amp;F$2&amp;F$1&amp;"P"&amp;$A5))),0)-IFERROR(VALUE(IF(RTD("tos.rtd",,"IMPL_VOL","."&amp;F$2&amp;F$1&amp;"C"&amp;$A5)="N/A",0,RTD("tos.rtd",,"IMPL_VOL","."&amp;F$2&amp;F$1&amp;"C"&amp;$A5))),0),IF($A$2="MAXPAIN",IF($A$4&gt;$A5,($A$4-$A5)*IF(RTD("tos.rtd",,"OPEN_INT","."&amp;F$2&amp;F$1&amp;"C"&amp;$A5)="N/A",0,RTD("tos.rtd",,"OPEN_INT","."&amp;F$2&amp;F$1&amp;"C"&amp;$A5)),0)+IF($A$4&lt;$A5,($A$5-$A$4)*IF(RTD("tos.rtd",,"OPEN_INT","."&amp;F$2&amp;F$1&amp;"P"&amp;$A5)="N/A",0,RTD("tos.rtd",,"OPEN_INT","."&amp;F$2&amp;F$1&amp;"P"&amp;$A5)),0),IF($X$1="ABS",IF(RTD("tos.rtd",,$A$2,"."&amp;F$2&amp;F$1&amp;"C"&amp;$A5)="N/A",0,RTD("tos.rtd",,$A$2,"."&amp;F$2&amp;F$1&amp;"C"&amp;$A5))+IF(RTD("tos.rtd",,$A$2,"."&amp;F$2&amp;F$1&amp;"P"&amp;$A5)="N/A",0,RTD("tos.rtd",,$A$2,"."&amp;F$2&amp;F$1&amp;"P"&amp;$A5)),IF(RTD("tos.rtd",,$A$2,"."&amp;F$2&amp;F$1&amp;"C"&amp;$A5)="N/A",0,RTD("tos.rtd",,$A$2,"."&amp;F$2&amp;F$1&amp;"C"&amp;$A5))-IF(RTD("tos.rtd",,$A$2,"."&amp;F$2&amp;F$1&amp;"P"&amp;$A5)="N/A",0,RTD("tos.rtd",,$A$2,"."&amp;F$2&amp;F$1&amp;"P"&amp;$A5))))))))))</f>
        <v>0</v>
      </c>
      <c r="G5" s="53">
        <f ca="1">IF($A$2="PREMIUM_OI",IFERROR(IF($X$1="ABS",(100*RTD("tos.rtd",,"OPEN_INT","."&amp;G$2&amp;G$1&amp;"C"&amp;$A5)*RTD("tos.rtd",,"LAST","."&amp;G$2&amp;G$1&amp;"C"&amp;$A5)+100*RTD("tos.rtd",,"OPEN_INT","."&amp;G$2&amp;G$1&amp;"P"&amp;$A5)*RTD("tos.rtd",,"LAST","."&amp;G$2&amp;G$1&amp;"P"&amp;$A5))/1000000,(100*RTD("tos.rtd",,"OPEN_INT","."&amp;G$2&amp;G$1&amp;"C"&amp;$A5)*RTD("tos.rtd",,"LAST","."&amp;G$2&amp;G$1&amp;"C"&amp;$A5)-100*RTD("tos.rtd",,"OPEN_INT","."&amp;G$2&amp;G$1&amp;"P"&amp;$A5)*RTD("tos.rtd",,"LAST","."&amp;G$2&amp;G$1&amp;"P"&amp;$A5))/1000000),0),IF($A$2="PREMIUM",IFERROR(IF($X$1="ABS",(100*RTD("tos.rtd",,"VOLUME","."&amp;G$2&amp;G$1&amp;"C"&amp;$A5)*RTD("tos.rtd",,"LAST","."&amp;G$2&amp;G$1&amp;"C"&amp;$A5)+100*RTD("tos.rtd",,"VOLUME","."&amp;G$2&amp;G$1&amp;"P"&amp;$A5)*RTD("tos.rtd",,"LAST","."&amp;G$2&amp;G$1&amp;"P"&amp;$A5))/1000000,(100*RTD("tos.rtd",,"VOLUME","."&amp;G$2&amp;G$1&amp;"C"&amp;$A5)*RTD("tos.rtd",,"LAST","."&amp;G$2&amp;G$1&amp;"C"&amp;$A5)-100*RTD("tos.rtd",,"VOLUME","."&amp;G$2&amp;G$1&amp;"P"&amp;$A5)*RTD("tos.rtd",,"LAST","."&amp;G$2&amp;G$1&amp;"P"&amp;$A5))/1000000),0),IF($A$2="DEX",IFERROR(IF($X$1="ABS",(100*RTD("tos.rtd",,"OPEN_INT","."&amp;G$2&amp;G$1&amp;"C"&amp;$A5)*RTD("tos.rtd",,"DELTA","."&amp;G$2&amp;G$1&amp;"C"&amp;$A5)+100*RTD("tos.rtd",,"OPEN_INT","."&amp;G$2&amp;G$1&amp;"P"&amp;$A5)*RTD("tos.rtd",,"DELTA","."&amp;G$2&amp;G$1&amp;"P"&amp;$A5))/1000,(100*RTD("tos.rtd",,"OPEN_INT","."&amp;G$2&amp;G$1&amp;"C"&amp;$A5)*RTD("tos.rtd",,"DELTA","."&amp;G$2&amp;G$1&amp;"C"&amp;$A5)-100*RTD("tos.rtd",,"OPEN_INT","."&amp;G$2&amp;G$1&amp;"P"&amp;$A5)*RTD("tos.rtd",,"DELTA","."&amp;G$2&amp;G$1&amp;"P"&amp;$A5))/1000),0),IF($A$2="VEX",IFERROR(IF($X$1="ABS",($A$4*$A$4*RTD("tos.rtd",,"VOLUME","."&amp;G$2&amp;G$1&amp;"C"&amp;$A5)*RTD("tos.rtd",,"GAMMA","."&amp;G$2&amp;G$1&amp;"C"&amp;$A5)+$A$4*$A$4*RTD("tos.rtd",,"VOLUME","."&amp;G$2&amp;G$1&amp;"P"&amp;$A5)*RTD("tos.rtd",,"GAMMA","."&amp;G$2&amp;G$1&amp;"P"&amp;$A5))/1000000,($A$4*$A$4*RTD("tos.rtd",,"VOLUME","."&amp;G$2&amp;G$1&amp;"C"&amp;$A5)*RTD("tos.rtd",,"GAMMA","."&amp;G$2&amp;G$1&amp;"C"&amp;$A5)-$A$4*$A$4*RTD("tos.rtd",,"VOLUME","."&amp;G$2&amp;G$1&amp;"P"&amp;$A5)*RTD("tos.rtd",,"GAMMA","."&amp;G$2&amp;G$1&amp;"P"&amp;$A5))/1000000),0),IF($A$2="GEX",IFERROR(IF($X$1="ABS",($A$4*$A$4*RTD("tos.rtd",,"OPEN_INT","."&amp;G$2&amp;G$1&amp;"C"&amp;$A5)*RTD("tos.rtd",,"GAMMA","."&amp;G$2&amp;G$1&amp;"C"&amp;$A5)+$A$4*$A$4*RTD("tos.rtd",,"OPEN_INT","."&amp;G$2&amp;G$1&amp;"P"&amp;$A5)*RTD("tos.rtd",,"GAMMA","."&amp;G$2&amp;G$1&amp;"P"&amp;$A5))/1000000,($A$4*$A$4*RTD("tos.rtd",,"OPEN_INT","."&amp;G$2&amp;G$1&amp;"C"&amp;$A5)*RTD("tos.rtd",,"GAMMA","."&amp;G$2&amp;G$1&amp;"C"&amp;$A5)-$A$4*$A$4*RTD("tos.rtd",,"OPEN_INT","."&amp;G$2&amp;G$1&amp;"P"&amp;$A5)*RTD("tos.rtd",,"GAMMA","."&amp;G$2&amp;G$1&amp;"P"&amp;$A5))/1000000),0),IF($A$2="SKEW",IFERROR(VALUE(IF(RTD("tos.rtd",,"IMPL_VOL","."&amp;G$2&amp;G$1&amp;"P"&amp;$A5)="N/A",0,RTD("tos.rtd",,"IMPL_VOL","."&amp;G$2&amp;G$1&amp;"P"&amp;$A5))),0)-IFERROR(VALUE(IF(RTD("tos.rtd",,"IMPL_VOL","."&amp;G$2&amp;G$1&amp;"C"&amp;$A5)="N/A",0,RTD("tos.rtd",,"IMPL_VOL","."&amp;G$2&amp;G$1&amp;"C"&amp;$A5))),0),IF($A$2="MAXPAIN",IF($A$4&gt;$A5,($A$4-$A5)*IF(RTD("tos.rtd",,"OPEN_INT","."&amp;G$2&amp;G$1&amp;"C"&amp;$A5)="N/A",0,RTD("tos.rtd",,"OPEN_INT","."&amp;G$2&amp;G$1&amp;"C"&amp;$A5)),0)+IF($A$4&lt;$A5,($A$5-$A$4)*IF(RTD("tos.rtd",,"OPEN_INT","."&amp;G$2&amp;G$1&amp;"P"&amp;$A5)="N/A",0,RTD("tos.rtd",,"OPEN_INT","."&amp;G$2&amp;G$1&amp;"P"&amp;$A5)),0),IF($X$1="ABS",IF(RTD("tos.rtd",,$A$2,"."&amp;G$2&amp;G$1&amp;"C"&amp;$A5)="N/A",0,RTD("tos.rtd",,$A$2,"."&amp;G$2&amp;G$1&amp;"C"&amp;$A5))+IF(RTD("tos.rtd",,$A$2,"."&amp;G$2&amp;G$1&amp;"P"&amp;$A5)="N/A",0,RTD("tos.rtd",,$A$2,"."&amp;G$2&amp;G$1&amp;"P"&amp;$A5)),IF(RTD("tos.rtd",,$A$2,"."&amp;G$2&amp;G$1&amp;"C"&amp;$A5)="N/A",0,RTD("tos.rtd",,$A$2,"."&amp;G$2&amp;G$1&amp;"C"&amp;$A5))-IF(RTD("tos.rtd",,$A$2,"."&amp;G$2&amp;G$1&amp;"P"&amp;$A5)="N/A",0,RTD("tos.rtd",,$A$2,"."&amp;G$2&amp;G$1&amp;"P"&amp;$A5))))))))))</f>
        <v>0</v>
      </c>
      <c r="H5" s="13">
        <f ca="1">IF($A$2="PREMIUM_OI",IFERROR(IF($X$1="ABS",(100*RTD("tos.rtd",,"OPEN_INT","."&amp;H$2&amp;H$1&amp;"C"&amp;$A5)*RTD("tos.rtd",,"LAST","."&amp;H$2&amp;H$1&amp;"C"&amp;$A5)+100*RTD("tos.rtd",,"OPEN_INT","."&amp;H$2&amp;H$1&amp;"P"&amp;$A5)*RTD("tos.rtd",,"LAST","."&amp;H$2&amp;H$1&amp;"P"&amp;$A5))/1000000,(100*RTD("tos.rtd",,"OPEN_INT","."&amp;H$2&amp;H$1&amp;"C"&amp;$A5)*RTD("tos.rtd",,"LAST","."&amp;H$2&amp;H$1&amp;"C"&amp;$A5)-100*RTD("tos.rtd",,"OPEN_INT","."&amp;H$2&amp;H$1&amp;"P"&amp;$A5)*RTD("tos.rtd",,"LAST","."&amp;H$2&amp;H$1&amp;"P"&amp;$A5))/1000000),0),IF($A$2="PREMIUM",IFERROR(IF($X$1="ABS",(100*RTD("tos.rtd",,"VOLUME","."&amp;H$2&amp;H$1&amp;"C"&amp;$A5)*RTD("tos.rtd",,"LAST","."&amp;H$2&amp;H$1&amp;"C"&amp;$A5)+100*RTD("tos.rtd",,"VOLUME","."&amp;H$2&amp;H$1&amp;"P"&amp;$A5)*RTD("tos.rtd",,"LAST","."&amp;H$2&amp;H$1&amp;"P"&amp;$A5))/1000000,(100*RTD("tos.rtd",,"VOLUME","."&amp;H$2&amp;H$1&amp;"C"&amp;$A5)*RTD("tos.rtd",,"LAST","."&amp;H$2&amp;H$1&amp;"C"&amp;$A5)-100*RTD("tos.rtd",,"VOLUME","."&amp;H$2&amp;H$1&amp;"P"&amp;$A5)*RTD("tos.rtd",,"LAST","."&amp;H$2&amp;H$1&amp;"P"&amp;$A5))/1000000),0),IF($A$2="DEX",IFERROR(IF($X$1="ABS",(100*RTD("tos.rtd",,"OPEN_INT","."&amp;H$2&amp;H$1&amp;"C"&amp;$A5)*RTD("tos.rtd",,"DELTA","."&amp;H$2&amp;H$1&amp;"C"&amp;$A5)+100*RTD("tos.rtd",,"OPEN_INT","."&amp;H$2&amp;H$1&amp;"P"&amp;$A5)*RTD("tos.rtd",,"DELTA","."&amp;H$2&amp;H$1&amp;"P"&amp;$A5))/1000,(100*RTD("tos.rtd",,"OPEN_INT","."&amp;H$2&amp;H$1&amp;"C"&amp;$A5)*RTD("tos.rtd",,"DELTA","."&amp;H$2&amp;H$1&amp;"C"&amp;$A5)-100*RTD("tos.rtd",,"OPEN_INT","."&amp;H$2&amp;H$1&amp;"P"&amp;$A5)*RTD("tos.rtd",,"DELTA","."&amp;H$2&amp;H$1&amp;"P"&amp;$A5))/1000),0),IF($A$2="VEX",IFERROR(IF($X$1="ABS",($A$4*$A$4*RTD("tos.rtd",,"VOLUME","."&amp;H$2&amp;H$1&amp;"C"&amp;$A5)*RTD("tos.rtd",,"GAMMA","."&amp;H$2&amp;H$1&amp;"C"&amp;$A5)+$A$4*$A$4*RTD("tos.rtd",,"VOLUME","."&amp;H$2&amp;H$1&amp;"P"&amp;$A5)*RTD("tos.rtd",,"GAMMA","."&amp;H$2&amp;H$1&amp;"P"&amp;$A5))/1000000,($A$4*$A$4*RTD("tos.rtd",,"VOLUME","."&amp;H$2&amp;H$1&amp;"C"&amp;$A5)*RTD("tos.rtd",,"GAMMA","."&amp;H$2&amp;H$1&amp;"C"&amp;$A5)-$A$4*$A$4*RTD("tos.rtd",,"VOLUME","."&amp;H$2&amp;H$1&amp;"P"&amp;$A5)*RTD("tos.rtd",,"GAMMA","."&amp;H$2&amp;H$1&amp;"P"&amp;$A5))/1000000),0),IF($A$2="GEX",IFERROR(IF($X$1="ABS",($A$4*$A$4*RTD("tos.rtd",,"OPEN_INT","."&amp;H$2&amp;H$1&amp;"C"&amp;$A5)*RTD("tos.rtd",,"GAMMA","."&amp;H$2&amp;H$1&amp;"C"&amp;$A5)+$A$4*$A$4*RTD("tos.rtd",,"OPEN_INT","."&amp;H$2&amp;H$1&amp;"P"&amp;$A5)*RTD("tos.rtd",,"GAMMA","."&amp;H$2&amp;H$1&amp;"P"&amp;$A5))/1000000,($A$4*$A$4*RTD("tos.rtd",,"OPEN_INT","."&amp;H$2&amp;H$1&amp;"C"&amp;$A5)*RTD("tos.rtd",,"GAMMA","."&amp;H$2&amp;H$1&amp;"C"&amp;$A5)-$A$4*$A$4*RTD("tos.rtd",,"OPEN_INT","."&amp;H$2&amp;H$1&amp;"P"&amp;$A5)*RTD("tos.rtd",,"GAMMA","."&amp;H$2&amp;H$1&amp;"P"&amp;$A5))/1000000),0),IF($A$2="SKEW",IFERROR(VALUE(IF(RTD("tos.rtd",,"IMPL_VOL","."&amp;H$2&amp;H$1&amp;"P"&amp;$A5)="N/A",0,RTD("tos.rtd",,"IMPL_VOL","."&amp;H$2&amp;H$1&amp;"P"&amp;$A5))),0)-IFERROR(VALUE(IF(RTD("tos.rtd",,"IMPL_VOL","."&amp;H$2&amp;H$1&amp;"C"&amp;$A5)="N/A",0,RTD("tos.rtd",,"IMPL_VOL","."&amp;H$2&amp;H$1&amp;"C"&amp;$A5))),0),IF($A$2="MAXPAIN",IF($A$4&gt;$A5,($A$4-$A5)*IF(RTD("tos.rtd",,"OPEN_INT","."&amp;H$2&amp;H$1&amp;"C"&amp;$A5)="N/A",0,RTD("tos.rtd",,"OPEN_INT","."&amp;H$2&amp;H$1&amp;"C"&amp;$A5)),0)+IF($A$4&lt;$A5,($A$5-$A$4)*IF(RTD("tos.rtd",,"OPEN_INT","."&amp;H$2&amp;H$1&amp;"P"&amp;$A5)="N/A",0,RTD("tos.rtd",,"OPEN_INT","."&amp;H$2&amp;H$1&amp;"P"&amp;$A5)),0),IF($X$1="ABS",IF(RTD("tos.rtd",,$A$2,"."&amp;H$2&amp;H$1&amp;"C"&amp;$A5)="N/A",0,RTD("tos.rtd",,$A$2,"."&amp;H$2&amp;H$1&amp;"C"&amp;$A5))+IF(RTD("tos.rtd",,$A$2,"."&amp;H$2&amp;H$1&amp;"P"&amp;$A5)="N/A",0,RTD("tos.rtd",,$A$2,"."&amp;H$2&amp;H$1&amp;"P"&amp;$A5)),IF(RTD("tos.rtd",,$A$2,"."&amp;H$2&amp;H$1&amp;"C"&amp;$A5)="N/A",0,RTD("tos.rtd",,$A$2,"."&amp;H$2&amp;H$1&amp;"C"&amp;$A5))-IF(RTD("tos.rtd",,$A$2,"."&amp;H$2&amp;H$1&amp;"P"&amp;$A5)="N/A",0,RTD("tos.rtd",,$A$2,"."&amp;H$2&amp;H$1&amp;"P"&amp;$A5))))))))))</f>
        <v>0</v>
      </c>
      <c r="I5" s="5">
        <f ca="1">IF($A$2="PREMIUM_OI",IFERROR(IF($X$1="ABS",(100*RTD("tos.rtd",,"OPEN_INT","."&amp;I$2&amp;I$1&amp;"C"&amp;$A5)*RTD("tos.rtd",,"LAST","."&amp;I$2&amp;I$1&amp;"C"&amp;$A5)+100*RTD("tos.rtd",,"OPEN_INT","."&amp;I$2&amp;I$1&amp;"P"&amp;$A5)*RTD("tos.rtd",,"LAST","."&amp;I$2&amp;I$1&amp;"P"&amp;$A5))/1000000,(100*RTD("tos.rtd",,"OPEN_INT","."&amp;I$2&amp;I$1&amp;"C"&amp;$A5)*RTD("tos.rtd",,"LAST","."&amp;I$2&amp;I$1&amp;"C"&amp;$A5)-100*RTD("tos.rtd",,"OPEN_INT","."&amp;I$2&amp;I$1&amp;"P"&amp;$A5)*RTD("tos.rtd",,"LAST","."&amp;I$2&amp;I$1&amp;"P"&amp;$A5))/1000000),0),IF($A$2="PREMIUM",IFERROR(IF($X$1="ABS",(100*RTD("tos.rtd",,"VOLUME","."&amp;I$2&amp;I$1&amp;"C"&amp;$A5)*RTD("tos.rtd",,"LAST","."&amp;I$2&amp;I$1&amp;"C"&amp;$A5)+100*RTD("tos.rtd",,"VOLUME","."&amp;I$2&amp;I$1&amp;"P"&amp;$A5)*RTD("tos.rtd",,"LAST","."&amp;I$2&amp;I$1&amp;"P"&amp;$A5))/1000000,(100*RTD("tos.rtd",,"VOLUME","."&amp;I$2&amp;I$1&amp;"C"&amp;$A5)*RTD("tos.rtd",,"LAST","."&amp;I$2&amp;I$1&amp;"C"&amp;$A5)-100*RTD("tos.rtd",,"VOLUME","."&amp;I$2&amp;I$1&amp;"P"&amp;$A5)*RTD("tos.rtd",,"LAST","."&amp;I$2&amp;I$1&amp;"P"&amp;$A5))/1000000),0),IF($A$2="DEX",IFERROR(IF($X$1="ABS",(100*RTD("tos.rtd",,"OPEN_INT","."&amp;I$2&amp;I$1&amp;"C"&amp;$A5)*RTD("tos.rtd",,"DELTA","."&amp;I$2&amp;I$1&amp;"C"&amp;$A5)+100*RTD("tos.rtd",,"OPEN_INT","."&amp;I$2&amp;I$1&amp;"P"&amp;$A5)*RTD("tos.rtd",,"DELTA","."&amp;I$2&amp;I$1&amp;"P"&amp;$A5))/1000,(100*RTD("tos.rtd",,"OPEN_INT","."&amp;I$2&amp;I$1&amp;"C"&amp;$A5)*RTD("tos.rtd",,"DELTA","."&amp;I$2&amp;I$1&amp;"C"&amp;$A5)-100*RTD("tos.rtd",,"OPEN_INT","."&amp;I$2&amp;I$1&amp;"P"&amp;$A5)*RTD("tos.rtd",,"DELTA","."&amp;I$2&amp;I$1&amp;"P"&amp;$A5))/1000),0),IF($A$2="VEX",IFERROR(IF($X$1="ABS",($A$4*$A$4*RTD("tos.rtd",,"VOLUME","."&amp;I$2&amp;I$1&amp;"C"&amp;$A5)*RTD("tos.rtd",,"GAMMA","."&amp;I$2&amp;I$1&amp;"C"&amp;$A5)+$A$4*$A$4*RTD("tos.rtd",,"VOLUME","."&amp;I$2&amp;I$1&amp;"P"&amp;$A5)*RTD("tos.rtd",,"GAMMA","."&amp;I$2&amp;I$1&amp;"P"&amp;$A5))/1000000,($A$4*$A$4*RTD("tos.rtd",,"VOLUME","."&amp;I$2&amp;I$1&amp;"C"&amp;$A5)*RTD("tos.rtd",,"GAMMA","."&amp;I$2&amp;I$1&amp;"C"&amp;$A5)-$A$4*$A$4*RTD("tos.rtd",,"VOLUME","."&amp;I$2&amp;I$1&amp;"P"&amp;$A5)*RTD("tos.rtd",,"GAMMA","."&amp;I$2&amp;I$1&amp;"P"&amp;$A5))/1000000),0),IF($A$2="GEX",IFERROR(IF($X$1="ABS",($A$4*$A$4*RTD("tos.rtd",,"OPEN_INT","."&amp;I$2&amp;I$1&amp;"C"&amp;$A5)*RTD("tos.rtd",,"GAMMA","."&amp;I$2&amp;I$1&amp;"C"&amp;$A5)+$A$4*$A$4*RTD("tos.rtd",,"OPEN_INT","."&amp;I$2&amp;I$1&amp;"P"&amp;$A5)*RTD("tos.rtd",,"GAMMA","."&amp;I$2&amp;I$1&amp;"P"&amp;$A5))/1000000,($A$4*$A$4*RTD("tos.rtd",,"OPEN_INT","."&amp;I$2&amp;I$1&amp;"C"&amp;$A5)*RTD("tos.rtd",,"GAMMA","."&amp;I$2&amp;I$1&amp;"C"&amp;$A5)-$A$4*$A$4*RTD("tos.rtd",,"OPEN_INT","."&amp;I$2&amp;I$1&amp;"P"&amp;$A5)*RTD("tos.rtd",,"GAMMA","."&amp;I$2&amp;I$1&amp;"P"&amp;$A5))/1000000),0),IF($A$2="SKEW",IFERROR(VALUE(IF(RTD("tos.rtd",,"IMPL_VOL","."&amp;I$2&amp;I$1&amp;"P"&amp;$A5)="N/A",0,RTD("tos.rtd",,"IMPL_VOL","."&amp;I$2&amp;I$1&amp;"P"&amp;$A5))),0)-IFERROR(VALUE(IF(RTD("tos.rtd",,"IMPL_VOL","."&amp;I$2&amp;I$1&amp;"C"&amp;$A5)="N/A",0,RTD("tos.rtd",,"IMPL_VOL","."&amp;I$2&amp;I$1&amp;"C"&amp;$A5))),0),IF($A$2="MAXPAIN",IF($A$4&gt;$A5,($A$4-$A5)*IF(RTD("tos.rtd",,"OPEN_INT","."&amp;I$2&amp;I$1&amp;"C"&amp;$A5)="N/A",0,RTD("tos.rtd",,"OPEN_INT","."&amp;I$2&amp;I$1&amp;"C"&amp;$A5)),0)+IF($A$4&lt;$A5,($A$5-$A$4)*IF(RTD("tos.rtd",,"OPEN_INT","."&amp;I$2&amp;I$1&amp;"P"&amp;$A5)="N/A",0,RTD("tos.rtd",,"OPEN_INT","."&amp;I$2&amp;I$1&amp;"P"&amp;$A5)),0),IF($X$1="ABS",IF(RTD("tos.rtd",,$A$2,"."&amp;I$2&amp;I$1&amp;"C"&amp;$A5)="N/A",0,RTD("tos.rtd",,$A$2,"."&amp;I$2&amp;I$1&amp;"C"&amp;$A5))+IF(RTD("tos.rtd",,$A$2,"."&amp;I$2&amp;I$1&amp;"P"&amp;$A5)="N/A",0,RTD("tos.rtd",,$A$2,"."&amp;I$2&amp;I$1&amp;"P"&amp;$A5)),IF(RTD("tos.rtd",,$A$2,"."&amp;I$2&amp;I$1&amp;"C"&amp;$A5)="N/A",0,RTD("tos.rtd",,$A$2,"."&amp;I$2&amp;I$1&amp;"C"&amp;$A5))-IF(RTD("tos.rtd",,$A$2,"."&amp;I$2&amp;I$1&amp;"P"&amp;$A5)="N/A",0,RTD("tos.rtd",,$A$2,"."&amp;I$2&amp;I$1&amp;"P"&amp;$A5))))))))))</f>
        <v>0</v>
      </c>
      <c r="J5" s="5">
        <f ca="1">IF($A$2="PREMIUM_OI",IFERROR(IF($X$1="ABS",(100*RTD("tos.rtd",,"OPEN_INT","."&amp;J$2&amp;J$1&amp;"C"&amp;$A5)*RTD("tos.rtd",,"LAST","."&amp;J$2&amp;J$1&amp;"C"&amp;$A5)+100*RTD("tos.rtd",,"OPEN_INT","."&amp;J$2&amp;J$1&amp;"P"&amp;$A5)*RTD("tos.rtd",,"LAST","."&amp;J$2&amp;J$1&amp;"P"&amp;$A5))/1000000,(100*RTD("tos.rtd",,"OPEN_INT","."&amp;J$2&amp;J$1&amp;"C"&amp;$A5)*RTD("tos.rtd",,"LAST","."&amp;J$2&amp;J$1&amp;"C"&amp;$A5)-100*RTD("tos.rtd",,"OPEN_INT","."&amp;J$2&amp;J$1&amp;"P"&amp;$A5)*RTD("tos.rtd",,"LAST","."&amp;J$2&amp;J$1&amp;"P"&amp;$A5))/1000000),0),IF($A$2="PREMIUM",IFERROR(IF($X$1="ABS",(100*RTD("tos.rtd",,"VOLUME","."&amp;J$2&amp;J$1&amp;"C"&amp;$A5)*RTD("tos.rtd",,"LAST","."&amp;J$2&amp;J$1&amp;"C"&amp;$A5)+100*RTD("tos.rtd",,"VOLUME","."&amp;J$2&amp;J$1&amp;"P"&amp;$A5)*RTD("tos.rtd",,"LAST","."&amp;J$2&amp;J$1&amp;"P"&amp;$A5))/1000000,(100*RTD("tos.rtd",,"VOLUME","."&amp;J$2&amp;J$1&amp;"C"&amp;$A5)*RTD("tos.rtd",,"LAST","."&amp;J$2&amp;J$1&amp;"C"&amp;$A5)-100*RTD("tos.rtd",,"VOLUME","."&amp;J$2&amp;J$1&amp;"P"&amp;$A5)*RTD("tos.rtd",,"LAST","."&amp;J$2&amp;J$1&amp;"P"&amp;$A5))/1000000),0),IF($A$2="DEX",IFERROR(IF($X$1="ABS",(100*RTD("tos.rtd",,"OPEN_INT","."&amp;J$2&amp;J$1&amp;"C"&amp;$A5)*RTD("tos.rtd",,"DELTA","."&amp;J$2&amp;J$1&amp;"C"&amp;$A5)+100*RTD("tos.rtd",,"OPEN_INT","."&amp;J$2&amp;J$1&amp;"P"&amp;$A5)*RTD("tos.rtd",,"DELTA","."&amp;J$2&amp;J$1&amp;"P"&amp;$A5))/1000,(100*RTD("tos.rtd",,"OPEN_INT","."&amp;J$2&amp;J$1&amp;"C"&amp;$A5)*RTD("tos.rtd",,"DELTA","."&amp;J$2&amp;J$1&amp;"C"&amp;$A5)-100*RTD("tos.rtd",,"OPEN_INT","."&amp;J$2&amp;J$1&amp;"P"&amp;$A5)*RTD("tos.rtd",,"DELTA","."&amp;J$2&amp;J$1&amp;"P"&amp;$A5))/1000),0),IF($A$2="VEX",IFERROR(IF($X$1="ABS",($A$4*$A$4*RTD("tos.rtd",,"VOLUME","."&amp;J$2&amp;J$1&amp;"C"&amp;$A5)*RTD("tos.rtd",,"GAMMA","."&amp;J$2&amp;J$1&amp;"C"&amp;$A5)+$A$4*$A$4*RTD("tos.rtd",,"VOLUME","."&amp;J$2&amp;J$1&amp;"P"&amp;$A5)*RTD("tos.rtd",,"GAMMA","."&amp;J$2&amp;J$1&amp;"P"&amp;$A5))/1000000,($A$4*$A$4*RTD("tos.rtd",,"VOLUME","."&amp;J$2&amp;J$1&amp;"C"&amp;$A5)*RTD("tos.rtd",,"GAMMA","."&amp;J$2&amp;J$1&amp;"C"&amp;$A5)-$A$4*$A$4*RTD("tos.rtd",,"VOLUME","."&amp;J$2&amp;J$1&amp;"P"&amp;$A5)*RTD("tos.rtd",,"GAMMA","."&amp;J$2&amp;J$1&amp;"P"&amp;$A5))/1000000),0),IF($A$2="GEX",IFERROR(IF($X$1="ABS",($A$4*$A$4*RTD("tos.rtd",,"OPEN_INT","."&amp;J$2&amp;J$1&amp;"C"&amp;$A5)*RTD("tos.rtd",,"GAMMA","."&amp;J$2&amp;J$1&amp;"C"&amp;$A5)+$A$4*$A$4*RTD("tos.rtd",,"OPEN_INT","."&amp;J$2&amp;J$1&amp;"P"&amp;$A5)*RTD("tos.rtd",,"GAMMA","."&amp;J$2&amp;J$1&amp;"P"&amp;$A5))/1000000,($A$4*$A$4*RTD("tos.rtd",,"OPEN_INT","."&amp;J$2&amp;J$1&amp;"C"&amp;$A5)*RTD("tos.rtd",,"GAMMA","."&amp;J$2&amp;J$1&amp;"C"&amp;$A5)-$A$4*$A$4*RTD("tos.rtd",,"OPEN_INT","."&amp;J$2&amp;J$1&amp;"P"&amp;$A5)*RTD("tos.rtd",,"GAMMA","."&amp;J$2&amp;J$1&amp;"P"&amp;$A5))/1000000),0),IF($A$2="SKEW",IFERROR(VALUE(IF(RTD("tos.rtd",,"IMPL_VOL","."&amp;J$2&amp;J$1&amp;"P"&amp;$A5)="N/A",0,RTD("tos.rtd",,"IMPL_VOL","."&amp;J$2&amp;J$1&amp;"P"&amp;$A5))),0)-IFERROR(VALUE(IF(RTD("tos.rtd",,"IMPL_VOL","."&amp;J$2&amp;J$1&amp;"C"&amp;$A5)="N/A",0,RTD("tos.rtd",,"IMPL_VOL","."&amp;J$2&amp;J$1&amp;"C"&amp;$A5))),0),IF($A$2="MAXPAIN",IF($A$4&gt;$A5,($A$4-$A5)*IF(RTD("tos.rtd",,"OPEN_INT","."&amp;J$2&amp;J$1&amp;"C"&amp;$A5)="N/A",0,RTD("tos.rtd",,"OPEN_INT","."&amp;J$2&amp;J$1&amp;"C"&amp;$A5)),0)+IF($A$4&lt;$A5,($A$5-$A$4)*IF(RTD("tos.rtd",,"OPEN_INT","."&amp;J$2&amp;J$1&amp;"P"&amp;$A5)="N/A",0,RTD("tos.rtd",,"OPEN_INT","."&amp;J$2&amp;J$1&amp;"P"&amp;$A5)),0),IF($X$1="ABS",IF(RTD("tos.rtd",,$A$2,"."&amp;J$2&amp;J$1&amp;"C"&amp;$A5)="N/A",0,RTD("tos.rtd",,$A$2,"."&amp;J$2&amp;J$1&amp;"C"&amp;$A5))+IF(RTD("tos.rtd",,$A$2,"."&amp;J$2&amp;J$1&amp;"P"&amp;$A5)="N/A",0,RTD("tos.rtd",,$A$2,"."&amp;J$2&amp;J$1&amp;"P"&amp;$A5)),IF(RTD("tos.rtd",,$A$2,"."&amp;J$2&amp;J$1&amp;"C"&amp;$A5)="N/A",0,RTD("tos.rtd",,$A$2,"."&amp;J$2&amp;J$1&amp;"C"&amp;$A5))-IF(RTD("tos.rtd",,$A$2,"."&amp;J$2&amp;J$1&amp;"P"&amp;$A5)="N/A",0,RTD("tos.rtd",,$A$2,"."&amp;J$2&amp;J$1&amp;"P"&amp;$A5))))))))))</f>
        <v>0</v>
      </c>
      <c r="K5" s="5">
        <f ca="1">IF($A$2="PREMIUM_OI",IFERROR(IF($X$1="ABS",(100*RTD("tos.rtd",,"OPEN_INT","."&amp;K$2&amp;K$1&amp;"C"&amp;$A5)*RTD("tos.rtd",,"LAST","."&amp;K$2&amp;K$1&amp;"C"&amp;$A5)+100*RTD("tos.rtd",,"OPEN_INT","."&amp;K$2&amp;K$1&amp;"P"&amp;$A5)*RTD("tos.rtd",,"LAST","."&amp;K$2&amp;K$1&amp;"P"&amp;$A5))/1000000,(100*RTD("tos.rtd",,"OPEN_INT","."&amp;K$2&amp;K$1&amp;"C"&amp;$A5)*RTD("tos.rtd",,"LAST","."&amp;K$2&amp;K$1&amp;"C"&amp;$A5)-100*RTD("tos.rtd",,"OPEN_INT","."&amp;K$2&amp;K$1&amp;"P"&amp;$A5)*RTD("tos.rtd",,"LAST","."&amp;K$2&amp;K$1&amp;"P"&amp;$A5))/1000000),0),IF($A$2="PREMIUM",IFERROR(IF($X$1="ABS",(100*RTD("tos.rtd",,"VOLUME","."&amp;K$2&amp;K$1&amp;"C"&amp;$A5)*RTD("tos.rtd",,"LAST","."&amp;K$2&amp;K$1&amp;"C"&amp;$A5)+100*RTD("tos.rtd",,"VOLUME","."&amp;K$2&amp;K$1&amp;"P"&amp;$A5)*RTD("tos.rtd",,"LAST","."&amp;K$2&amp;K$1&amp;"P"&amp;$A5))/1000000,(100*RTD("tos.rtd",,"VOLUME","."&amp;K$2&amp;K$1&amp;"C"&amp;$A5)*RTD("tos.rtd",,"LAST","."&amp;K$2&amp;K$1&amp;"C"&amp;$A5)-100*RTD("tos.rtd",,"VOLUME","."&amp;K$2&amp;K$1&amp;"P"&amp;$A5)*RTD("tos.rtd",,"LAST","."&amp;K$2&amp;K$1&amp;"P"&amp;$A5))/1000000),0),IF($A$2="DEX",IFERROR(IF($X$1="ABS",(100*RTD("tos.rtd",,"OPEN_INT","."&amp;K$2&amp;K$1&amp;"C"&amp;$A5)*RTD("tos.rtd",,"DELTA","."&amp;K$2&amp;K$1&amp;"C"&amp;$A5)+100*RTD("tos.rtd",,"OPEN_INT","."&amp;K$2&amp;K$1&amp;"P"&amp;$A5)*RTD("tos.rtd",,"DELTA","."&amp;K$2&amp;K$1&amp;"P"&amp;$A5))/1000,(100*RTD("tos.rtd",,"OPEN_INT","."&amp;K$2&amp;K$1&amp;"C"&amp;$A5)*RTD("tos.rtd",,"DELTA","."&amp;K$2&amp;K$1&amp;"C"&amp;$A5)-100*RTD("tos.rtd",,"OPEN_INT","."&amp;K$2&amp;K$1&amp;"P"&amp;$A5)*RTD("tos.rtd",,"DELTA","."&amp;K$2&amp;K$1&amp;"P"&amp;$A5))/1000),0),IF($A$2="VEX",IFERROR(IF($X$1="ABS",($A$4*$A$4*RTD("tos.rtd",,"VOLUME","."&amp;K$2&amp;K$1&amp;"C"&amp;$A5)*RTD("tos.rtd",,"GAMMA","."&amp;K$2&amp;K$1&amp;"C"&amp;$A5)+$A$4*$A$4*RTD("tos.rtd",,"VOLUME","."&amp;K$2&amp;K$1&amp;"P"&amp;$A5)*RTD("tos.rtd",,"GAMMA","."&amp;K$2&amp;K$1&amp;"P"&amp;$A5))/1000000,($A$4*$A$4*RTD("tos.rtd",,"VOLUME","."&amp;K$2&amp;K$1&amp;"C"&amp;$A5)*RTD("tos.rtd",,"GAMMA","."&amp;K$2&amp;K$1&amp;"C"&amp;$A5)-$A$4*$A$4*RTD("tos.rtd",,"VOLUME","."&amp;K$2&amp;K$1&amp;"P"&amp;$A5)*RTD("tos.rtd",,"GAMMA","."&amp;K$2&amp;K$1&amp;"P"&amp;$A5))/1000000),0),IF($A$2="GEX",IFERROR(IF($X$1="ABS",($A$4*$A$4*RTD("tos.rtd",,"OPEN_INT","."&amp;K$2&amp;K$1&amp;"C"&amp;$A5)*RTD("tos.rtd",,"GAMMA","."&amp;K$2&amp;K$1&amp;"C"&amp;$A5)+$A$4*$A$4*RTD("tos.rtd",,"OPEN_INT","."&amp;K$2&amp;K$1&amp;"P"&amp;$A5)*RTD("tos.rtd",,"GAMMA","."&amp;K$2&amp;K$1&amp;"P"&amp;$A5))/1000000,($A$4*$A$4*RTD("tos.rtd",,"OPEN_INT","."&amp;K$2&amp;K$1&amp;"C"&amp;$A5)*RTD("tos.rtd",,"GAMMA","."&amp;K$2&amp;K$1&amp;"C"&amp;$A5)-$A$4*$A$4*RTD("tos.rtd",,"OPEN_INT","."&amp;K$2&amp;K$1&amp;"P"&amp;$A5)*RTD("tos.rtd",,"GAMMA","."&amp;K$2&amp;K$1&amp;"P"&amp;$A5))/1000000),0),IF($A$2="SKEW",IFERROR(VALUE(IF(RTD("tos.rtd",,"IMPL_VOL","."&amp;K$2&amp;K$1&amp;"P"&amp;$A5)="N/A",0,RTD("tos.rtd",,"IMPL_VOL","."&amp;K$2&amp;K$1&amp;"P"&amp;$A5))),0)-IFERROR(VALUE(IF(RTD("tos.rtd",,"IMPL_VOL","."&amp;K$2&amp;K$1&amp;"C"&amp;$A5)="N/A",0,RTD("tos.rtd",,"IMPL_VOL","."&amp;K$2&amp;K$1&amp;"C"&amp;$A5))),0),IF($A$2="MAXPAIN",IF($A$4&gt;$A5,($A$4-$A5)*IF(RTD("tos.rtd",,"OPEN_INT","."&amp;K$2&amp;K$1&amp;"C"&amp;$A5)="N/A",0,RTD("tos.rtd",,"OPEN_INT","."&amp;K$2&amp;K$1&amp;"C"&amp;$A5)),0)+IF($A$4&lt;$A5,($A$5-$A$4)*IF(RTD("tos.rtd",,"OPEN_INT","."&amp;K$2&amp;K$1&amp;"P"&amp;$A5)="N/A",0,RTD("tos.rtd",,"OPEN_INT","."&amp;K$2&amp;K$1&amp;"P"&amp;$A5)),0),IF($X$1="ABS",IF(RTD("tos.rtd",,$A$2,"."&amp;K$2&amp;K$1&amp;"C"&amp;$A5)="N/A",0,RTD("tos.rtd",,$A$2,"."&amp;K$2&amp;K$1&amp;"C"&amp;$A5))+IF(RTD("tos.rtd",,$A$2,"."&amp;K$2&amp;K$1&amp;"P"&amp;$A5)="N/A",0,RTD("tos.rtd",,$A$2,"."&amp;K$2&amp;K$1&amp;"P"&amp;$A5)),IF(RTD("tos.rtd",,$A$2,"."&amp;K$2&amp;K$1&amp;"C"&amp;$A5)="N/A",0,RTD("tos.rtd",,$A$2,"."&amp;K$2&amp;K$1&amp;"C"&amp;$A5))-IF(RTD("tos.rtd",,$A$2,"."&amp;K$2&amp;K$1&amp;"P"&amp;$A5)="N/A",0,RTD("tos.rtd",,$A$2,"."&amp;K$2&amp;K$1&amp;"P"&amp;$A5))))))))))</f>
        <v>0</v>
      </c>
      <c r="L5" s="53">
        <f ca="1">IF($A$2="PREMIUM_OI",IFERROR(IF($X$1="ABS",(100*RTD("tos.rtd",,"OPEN_INT","."&amp;L$2&amp;L$1&amp;"C"&amp;$A5)*RTD("tos.rtd",,"LAST","."&amp;L$2&amp;L$1&amp;"C"&amp;$A5)+100*RTD("tos.rtd",,"OPEN_INT","."&amp;L$2&amp;L$1&amp;"P"&amp;$A5)*RTD("tos.rtd",,"LAST","."&amp;L$2&amp;L$1&amp;"P"&amp;$A5))/1000000,(100*RTD("tos.rtd",,"OPEN_INT","."&amp;L$2&amp;L$1&amp;"C"&amp;$A5)*RTD("tos.rtd",,"LAST","."&amp;L$2&amp;L$1&amp;"C"&amp;$A5)-100*RTD("tos.rtd",,"OPEN_INT","."&amp;L$2&amp;L$1&amp;"P"&amp;$A5)*RTD("tos.rtd",,"LAST","."&amp;L$2&amp;L$1&amp;"P"&amp;$A5))/1000000),0),IF($A$2="PREMIUM",IFERROR(IF($X$1="ABS",(100*RTD("tos.rtd",,"VOLUME","."&amp;L$2&amp;L$1&amp;"C"&amp;$A5)*RTD("tos.rtd",,"LAST","."&amp;L$2&amp;L$1&amp;"C"&amp;$A5)+100*RTD("tos.rtd",,"VOLUME","."&amp;L$2&amp;L$1&amp;"P"&amp;$A5)*RTD("tos.rtd",,"LAST","."&amp;L$2&amp;L$1&amp;"P"&amp;$A5))/1000000,(100*RTD("tos.rtd",,"VOLUME","."&amp;L$2&amp;L$1&amp;"C"&amp;$A5)*RTD("tos.rtd",,"LAST","."&amp;L$2&amp;L$1&amp;"C"&amp;$A5)-100*RTD("tos.rtd",,"VOLUME","."&amp;L$2&amp;L$1&amp;"P"&amp;$A5)*RTD("tos.rtd",,"LAST","."&amp;L$2&amp;L$1&amp;"P"&amp;$A5))/1000000),0),IF($A$2="DEX",IFERROR(IF($X$1="ABS",(100*RTD("tos.rtd",,"OPEN_INT","."&amp;L$2&amp;L$1&amp;"C"&amp;$A5)*RTD("tos.rtd",,"DELTA","."&amp;L$2&amp;L$1&amp;"C"&amp;$A5)+100*RTD("tos.rtd",,"OPEN_INT","."&amp;L$2&amp;L$1&amp;"P"&amp;$A5)*RTD("tos.rtd",,"DELTA","."&amp;L$2&amp;L$1&amp;"P"&amp;$A5))/1000,(100*RTD("tos.rtd",,"OPEN_INT","."&amp;L$2&amp;L$1&amp;"C"&amp;$A5)*RTD("tos.rtd",,"DELTA","."&amp;L$2&amp;L$1&amp;"C"&amp;$A5)-100*RTD("tos.rtd",,"OPEN_INT","."&amp;L$2&amp;L$1&amp;"P"&amp;$A5)*RTD("tos.rtd",,"DELTA","."&amp;L$2&amp;L$1&amp;"P"&amp;$A5))/1000),0),IF($A$2="VEX",IFERROR(IF($X$1="ABS",($A$4*$A$4*RTD("tos.rtd",,"VOLUME","."&amp;L$2&amp;L$1&amp;"C"&amp;$A5)*RTD("tos.rtd",,"GAMMA","."&amp;L$2&amp;L$1&amp;"C"&amp;$A5)+$A$4*$A$4*RTD("tos.rtd",,"VOLUME","."&amp;L$2&amp;L$1&amp;"P"&amp;$A5)*RTD("tos.rtd",,"GAMMA","."&amp;L$2&amp;L$1&amp;"P"&amp;$A5))/1000000,($A$4*$A$4*RTD("tos.rtd",,"VOLUME","."&amp;L$2&amp;L$1&amp;"C"&amp;$A5)*RTD("tos.rtd",,"GAMMA","."&amp;L$2&amp;L$1&amp;"C"&amp;$A5)-$A$4*$A$4*RTD("tos.rtd",,"VOLUME","."&amp;L$2&amp;L$1&amp;"P"&amp;$A5)*RTD("tos.rtd",,"GAMMA","."&amp;L$2&amp;L$1&amp;"P"&amp;$A5))/1000000),0),IF($A$2="GEX",IFERROR(IF($X$1="ABS",($A$4*$A$4*RTD("tos.rtd",,"OPEN_INT","."&amp;L$2&amp;L$1&amp;"C"&amp;$A5)*RTD("tos.rtd",,"GAMMA","."&amp;L$2&amp;L$1&amp;"C"&amp;$A5)+$A$4*$A$4*RTD("tos.rtd",,"OPEN_INT","."&amp;L$2&amp;L$1&amp;"P"&amp;$A5)*RTD("tos.rtd",,"GAMMA","."&amp;L$2&amp;L$1&amp;"P"&amp;$A5))/1000000,($A$4*$A$4*RTD("tos.rtd",,"OPEN_INT","."&amp;L$2&amp;L$1&amp;"C"&amp;$A5)*RTD("tos.rtd",,"GAMMA","."&amp;L$2&amp;L$1&amp;"C"&amp;$A5)-$A$4*$A$4*RTD("tos.rtd",,"OPEN_INT","."&amp;L$2&amp;L$1&amp;"P"&amp;$A5)*RTD("tos.rtd",,"GAMMA","."&amp;L$2&amp;L$1&amp;"P"&amp;$A5))/1000000),0),IF($A$2="SKEW",IFERROR(VALUE(IF(RTD("tos.rtd",,"IMPL_VOL","."&amp;L$2&amp;L$1&amp;"P"&amp;$A5)="N/A",0,RTD("tos.rtd",,"IMPL_VOL","."&amp;L$2&amp;L$1&amp;"P"&amp;$A5))),0)-IFERROR(VALUE(IF(RTD("tos.rtd",,"IMPL_VOL","."&amp;L$2&amp;L$1&amp;"C"&amp;$A5)="N/A",0,RTD("tos.rtd",,"IMPL_VOL","."&amp;L$2&amp;L$1&amp;"C"&amp;$A5))),0),IF($A$2="MAXPAIN",IF($A$4&gt;$A5,($A$4-$A5)*IF(RTD("tos.rtd",,"OPEN_INT","."&amp;L$2&amp;L$1&amp;"C"&amp;$A5)="N/A",0,RTD("tos.rtd",,"OPEN_INT","."&amp;L$2&amp;L$1&amp;"C"&amp;$A5)),0)+IF($A$4&lt;$A5,($A$5-$A$4)*IF(RTD("tos.rtd",,"OPEN_INT","."&amp;L$2&amp;L$1&amp;"P"&amp;$A5)="N/A",0,RTD("tos.rtd",,"OPEN_INT","."&amp;L$2&amp;L$1&amp;"P"&amp;$A5)),0),IF($X$1="ABS",IF(RTD("tos.rtd",,$A$2,"."&amp;L$2&amp;L$1&amp;"C"&amp;$A5)="N/A",0,RTD("tos.rtd",,$A$2,"."&amp;L$2&amp;L$1&amp;"C"&amp;$A5))+IF(RTD("tos.rtd",,$A$2,"."&amp;L$2&amp;L$1&amp;"P"&amp;$A5)="N/A",0,RTD("tos.rtd",,$A$2,"."&amp;L$2&amp;L$1&amp;"P"&amp;$A5)),IF(RTD("tos.rtd",,$A$2,"."&amp;L$2&amp;L$1&amp;"C"&amp;$A5)="N/A",0,RTD("tos.rtd",,$A$2,"."&amp;L$2&amp;L$1&amp;"C"&amp;$A5))-IF(RTD("tos.rtd",,$A$2,"."&amp;L$2&amp;L$1&amp;"P"&amp;$A5)="N/A",0,RTD("tos.rtd",,$A$2,"."&amp;L$2&amp;L$1&amp;"P"&amp;$A5))))))))))</f>
        <v>0</v>
      </c>
      <c r="M5" s="5">
        <f ca="1">IF($A$2="PREMIUM_OI",IFERROR(IF($X$1="ABS",(100*RTD("tos.rtd",,"OPEN_INT","."&amp;M$2&amp;M$1&amp;"C"&amp;$A5)*RTD("tos.rtd",,"LAST","."&amp;M$2&amp;M$1&amp;"C"&amp;$A5)+100*RTD("tos.rtd",,"OPEN_INT","."&amp;M$2&amp;M$1&amp;"P"&amp;$A5)*RTD("tos.rtd",,"LAST","."&amp;M$2&amp;M$1&amp;"P"&amp;$A5))/1000000,(100*RTD("tos.rtd",,"OPEN_INT","."&amp;M$2&amp;M$1&amp;"C"&amp;$A5)*RTD("tos.rtd",,"LAST","."&amp;M$2&amp;M$1&amp;"C"&amp;$A5)-100*RTD("tos.rtd",,"OPEN_INT","."&amp;M$2&amp;M$1&amp;"P"&amp;$A5)*RTD("tos.rtd",,"LAST","."&amp;M$2&amp;M$1&amp;"P"&amp;$A5))/1000000),0),IF($A$2="PREMIUM",IFERROR(IF($X$1="ABS",(100*RTD("tos.rtd",,"VOLUME","."&amp;M$2&amp;M$1&amp;"C"&amp;$A5)*RTD("tos.rtd",,"LAST","."&amp;M$2&amp;M$1&amp;"C"&amp;$A5)+100*RTD("tos.rtd",,"VOLUME","."&amp;M$2&amp;M$1&amp;"P"&amp;$A5)*RTD("tos.rtd",,"LAST","."&amp;M$2&amp;M$1&amp;"P"&amp;$A5))/1000000,(100*RTD("tos.rtd",,"VOLUME","."&amp;M$2&amp;M$1&amp;"C"&amp;$A5)*RTD("tos.rtd",,"LAST","."&amp;M$2&amp;M$1&amp;"C"&amp;$A5)-100*RTD("tos.rtd",,"VOLUME","."&amp;M$2&amp;M$1&amp;"P"&amp;$A5)*RTD("tos.rtd",,"LAST","."&amp;M$2&amp;M$1&amp;"P"&amp;$A5))/1000000),0),IF($A$2="DEX",IFERROR(IF($X$1="ABS",(100*RTD("tos.rtd",,"OPEN_INT","."&amp;M$2&amp;M$1&amp;"C"&amp;$A5)*RTD("tos.rtd",,"DELTA","."&amp;M$2&amp;M$1&amp;"C"&amp;$A5)+100*RTD("tos.rtd",,"OPEN_INT","."&amp;M$2&amp;M$1&amp;"P"&amp;$A5)*RTD("tos.rtd",,"DELTA","."&amp;M$2&amp;M$1&amp;"P"&amp;$A5))/1000,(100*RTD("tos.rtd",,"OPEN_INT","."&amp;M$2&amp;M$1&amp;"C"&amp;$A5)*RTD("tos.rtd",,"DELTA","."&amp;M$2&amp;M$1&amp;"C"&amp;$A5)-100*RTD("tos.rtd",,"OPEN_INT","."&amp;M$2&amp;M$1&amp;"P"&amp;$A5)*RTD("tos.rtd",,"DELTA","."&amp;M$2&amp;M$1&amp;"P"&amp;$A5))/1000),0),IF($A$2="VEX",IFERROR(IF($X$1="ABS",($A$4*$A$4*RTD("tos.rtd",,"VOLUME","."&amp;M$2&amp;M$1&amp;"C"&amp;$A5)*RTD("tos.rtd",,"GAMMA","."&amp;M$2&amp;M$1&amp;"C"&amp;$A5)+$A$4*$A$4*RTD("tos.rtd",,"VOLUME","."&amp;M$2&amp;M$1&amp;"P"&amp;$A5)*RTD("tos.rtd",,"GAMMA","."&amp;M$2&amp;M$1&amp;"P"&amp;$A5))/1000000,($A$4*$A$4*RTD("tos.rtd",,"VOLUME","."&amp;M$2&amp;M$1&amp;"C"&amp;$A5)*RTD("tos.rtd",,"GAMMA","."&amp;M$2&amp;M$1&amp;"C"&amp;$A5)-$A$4*$A$4*RTD("tos.rtd",,"VOLUME","."&amp;M$2&amp;M$1&amp;"P"&amp;$A5)*RTD("tos.rtd",,"GAMMA","."&amp;M$2&amp;M$1&amp;"P"&amp;$A5))/1000000),0),IF($A$2="GEX",IFERROR(IF($X$1="ABS",($A$4*$A$4*RTD("tos.rtd",,"OPEN_INT","."&amp;M$2&amp;M$1&amp;"C"&amp;$A5)*RTD("tos.rtd",,"GAMMA","."&amp;M$2&amp;M$1&amp;"C"&amp;$A5)+$A$4*$A$4*RTD("tos.rtd",,"OPEN_INT","."&amp;M$2&amp;M$1&amp;"P"&amp;$A5)*RTD("tos.rtd",,"GAMMA","."&amp;M$2&amp;M$1&amp;"P"&amp;$A5))/1000000,($A$4*$A$4*RTD("tos.rtd",,"OPEN_INT","."&amp;M$2&amp;M$1&amp;"C"&amp;$A5)*RTD("tos.rtd",,"GAMMA","."&amp;M$2&amp;M$1&amp;"C"&amp;$A5)-$A$4*$A$4*RTD("tos.rtd",,"OPEN_INT","."&amp;M$2&amp;M$1&amp;"P"&amp;$A5)*RTD("tos.rtd",,"GAMMA","."&amp;M$2&amp;M$1&amp;"P"&amp;$A5))/1000000),0),IF($A$2="SKEW",IFERROR(VALUE(IF(RTD("tos.rtd",,"IMPL_VOL","."&amp;M$2&amp;M$1&amp;"P"&amp;$A5)="N/A",0,RTD("tos.rtd",,"IMPL_VOL","."&amp;M$2&amp;M$1&amp;"P"&amp;$A5))),0)-IFERROR(VALUE(IF(RTD("tos.rtd",,"IMPL_VOL","."&amp;M$2&amp;M$1&amp;"C"&amp;$A5)="N/A",0,RTD("tos.rtd",,"IMPL_VOL","."&amp;M$2&amp;M$1&amp;"C"&amp;$A5))),0),IF($A$2="MAXPAIN",IF($A$4&gt;$A5,($A$4-$A5)*IF(RTD("tos.rtd",,"OPEN_INT","."&amp;M$2&amp;M$1&amp;"C"&amp;$A5)="N/A",0,RTD("tos.rtd",,"OPEN_INT","."&amp;M$2&amp;M$1&amp;"C"&amp;$A5)),0)+IF($A$4&lt;$A5,($A$5-$A$4)*IF(RTD("tos.rtd",,"OPEN_INT","."&amp;M$2&amp;M$1&amp;"P"&amp;$A5)="N/A",0,RTD("tos.rtd",,"OPEN_INT","."&amp;M$2&amp;M$1&amp;"P"&amp;$A5)),0),IF($X$1="ABS",IF(RTD("tos.rtd",,$A$2,"."&amp;M$2&amp;M$1&amp;"C"&amp;$A5)="N/A",0,RTD("tos.rtd",,$A$2,"."&amp;M$2&amp;M$1&amp;"C"&amp;$A5))+IF(RTD("tos.rtd",,$A$2,"."&amp;M$2&amp;M$1&amp;"P"&amp;$A5)="N/A",0,RTD("tos.rtd",,$A$2,"."&amp;M$2&amp;M$1&amp;"P"&amp;$A5)),IF(RTD("tos.rtd",,$A$2,"."&amp;M$2&amp;M$1&amp;"C"&amp;$A5)="N/A",0,RTD("tos.rtd",,$A$2,"."&amp;M$2&amp;M$1&amp;"C"&amp;$A5))-IF(RTD("tos.rtd",,$A$2,"."&amp;M$2&amp;M$1&amp;"P"&amp;$A5)="N/A",0,RTD("tos.rtd",,$A$2,"."&amp;M$2&amp;M$1&amp;"P"&amp;$A5))))))))))</f>
        <v>0</v>
      </c>
      <c r="N5" s="5">
        <f ca="1">IF($A$2="PREMIUM_OI",IFERROR(IF($X$1="ABS",(100*RTD("tos.rtd",,"OPEN_INT","."&amp;N$2&amp;N$1&amp;"C"&amp;$A5)*RTD("tos.rtd",,"LAST","."&amp;N$2&amp;N$1&amp;"C"&amp;$A5)+100*RTD("tos.rtd",,"OPEN_INT","."&amp;N$2&amp;N$1&amp;"P"&amp;$A5)*RTD("tos.rtd",,"LAST","."&amp;N$2&amp;N$1&amp;"P"&amp;$A5))/1000000,(100*RTD("tos.rtd",,"OPEN_INT","."&amp;N$2&amp;N$1&amp;"C"&amp;$A5)*RTD("tos.rtd",,"LAST","."&amp;N$2&amp;N$1&amp;"C"&amp;$A5)-100*RTD("tos.rtd",,"OPEN_INT","."&amp;N$2&amp;N$1&amp;"P"&amp;$A5)*RTD("tos.rtd",,"LAST","."&amp;N$2&amp;N$1&amp;"P"&amp;$A5))/1000000),0),IF($A$2="PREMIUM",IFERROR(IF($X$1="ABS",(100*RTD("tos.rtd",,"VOLUME","."&amp;N$2&amp;N$1&amp;"C"&amp;$A5)*RTD("tos.rtd",,"LAST","."&amp;N$2&amp;N$1&amp;"C"&amp;$A5)+100*RTD("tos.rtd",,"VOLUME","."&amp;N$2&amp;N$1&amp;"P"&amp;$A5)*RTD("tos.rtd",,"LAST","."&amp;N$2&amp;N$1&amp;"P"&amp;$A5))/1000000,(100*RTD("tos.rtd",,"VOLUME","."&amp;N$2&amp;N$1&amp;"C"&amp;$A5)*RTD("tos.rtd",,"LAST","."&amp;N$2&amp;N$1&amp;"C"&amp;$A5)-100*RTD("tos.rtd",,"VOLUME","."&amp;N$2&amp;N$1&amp;"P"&amp;$A5)*RTD("tos.rtd",,"LAST","."&amp;N$2&amp;N$1&amp;"P"&amp;$A5))/1000000),0),IF($A$2="DEX",IFERROR(IF($X$1="ABS",(100*RTD("tos.rtd",,"OPEN_INT","."&amp;N$2&amp;N$1&amp;"C"&amp;$A5)*RTD("tos.rtd",,"DELTA","."&amp;N$2&amp;N$1&amp;"C"&amp;$A5)+100*RTD("tos.rtd",,"OPEN_INT","."&amp;N$2&amp;N$1&amp;"P"&amp;$A5)*RTD("tos.rtd",,"DELTA","."&amp;N$2&amp;N$1&amp;"P"&amp;$A5))/1000,(100*RTD("tos.rtd",,"OPEN_INT","."&amp;N$2&amp;N$1&amp;"C"&amp;$A5)*RTD("tos.rtd",,"DELTA","."&amp;N$2&amp;N$1&amp;"C"&amp;$A5)-100*RTD("tos.rtd",,"OPEN_INT","."&amp;N$2&amp;N$1&amp;"P"&amp;$A5)*RTD("tos.rtd",,"DELTA","."&amp;N$2&amp;N$1&amp;"P"&amp;$A5))/1000),0),IF($A$2="VEX",IFERROR(IF($X$1="ABS",($A$4*$A$4*RTD("tos.rtd",,"VOLUME","."&amp;N$2&amp;N$1&amp;"C"&amp;$A5)*RTD("tos.rtd",,"GAMMA","."&amp;N$2&amp;N$1&amp;"C"&amp;$A5)+$A$4*$A$4*RTD("tos.rtd",,"VOLUME","."&amp;N$2&amp;N$1&amp;"P"&amp;$A5)*RTD("tos.rtd",,"GAMMA","."&amp;N$2&amp;N$1&amp;"P"&amp;$A5))/1000000,($A$4*$A$4*RTD("tos.rtd",,"VOLUME","."&amp;N$2&amp;N$1&amp;"C"&amp;$A5)*RTD("tos.rtd",,"GAMMA","."&amp;N$2&amp;N$1&amp;"C"&amp;$A5)-$A$4*$A$4*RTD("tos.rtd",,"VOLUME","."&amp;N$2&amp;N$1&amp;"P"&amp;$A5)*RTD("tos.rtd",,"GAMMA","."&amp;N$2&amp;N$1&amp;"P"&amp;$A5))/1000000),0),IF($A$2="GEX",IFERROR(IF($X$1="ABS",($A$4*$A$4*RTD("tos.rtd",,"OPEN_INT","."&amp;N$2&amp;N$1&amp;"C"&amp;$A5)*RTD("tos.rtd",,"GAMMA","."&amp;N$2&amp;N$1&amp;"C"&amp;$A5)+$A$4*$A$4*RTD("tos.rtd",,"OPEN_INT","."&amp;N$2&amp;N$1&amp;"P"&amp;$A5)*RTD("tos.rtd",,"GAMMA","."&amp;N$2&amp;N$1&amp;"P"&amp;$A5))/1000000,($A$4*$A$4*RTD("tos.rtd",,"OPEN_INT","."&amp;N$2&amp;N$1&amp;"C"&amp;$A5)*RTD("tos.rtd",,"GAMMA","."&amp;N$2&amp;N$1&amp;"C"&amp;$A5)-$A$4*$A$4*RTD("tos.rtd",,"OPEN_INT","."&amp;N$2&amp;N$1&amp;"P"&amp;$A5)*RTD("tos.rtd",,"GAMMA","."&amp;N$2&amp;N$1&amp;"P"&amp;$A5))/1000000),0),IF($A$2="SKEW",IFERROR(VALUE(IF(RTD("tos.rtd",,"IMPL_VOL","."&amp;N$2&amp;N$1&amp;"P"&amp;$A5)="N/A",0,RTD("tos.rtd",,"IMPL_VOL","."&amp;N$2&amp;N$1&amp;"P"&amp;$A5))),0)-IFERROR(VALUE(IF(RTD("tos.rtd",,"IMPL_VOL","."&amp;N$2&amp;N$1&amp;"C"&amp;$A5)="N/A",0,RTD("tos.rtd",,"IMPL_VOL","."&amp;N$2&amp;N$1&amp;"C"&amp;$A5))),0),IF($A$2="MAXPAIN",IF($A$4&gt;$A5,($A$4-$A5)*IF(RTD("tos.rtd",,"OPEN_INT","."&amp;N$2&amp;N$1&amp;"C"&amp;$A5)="N/A",0,RTD("tos.rtd",,"OPEN_INT","."&amp;N$2&amp;N$1&amp;"C"&amp;$A5)),0)+IF($A$4&lt;$A5,($A$5-$A$4)*IF(RTD("tos.rtd",,"OPEN_INT","."&amp;N$2&amp;N$1&amp;"P"&amp;$A5)="N/A",0,RTD("tos.rtd",,"OPEN_INT","."&amp;N$2&amp;N$1&amp;"P"&amp;$A5)),0),IF($X$1="ABS",IF(RTD("tos.rtd",,$A$2,"."&amp;N$2&amp;N$1&amp;"C"&amp;$A5)="N/A",0,RTD("tos.rtd",,$A$2,"."&amp;N$2&amp;N$1&amp;"C"&amp;$A5))+IF(RTD("tos.rtd",,$A$2,"."&amp;N$2&amp;N$1&amp;"P"&amp;$A5)="N/A",0,RTD("tos.rtd",,$A$2,"."&amp;N$2&amp;N$1&amp;"P"&amp;$A5)),IF(RTD("tos.rtd",,$A$2,"."&amp;N$2&amp;N$1&amp;"C"&amp;$A5)="N/A",0,RTD("tos.rtd",,$A$2,"."&amp;N$2&amp;N$1&amp;"C"&amp;$A5))-IF(RTD("tos.rtd",,$A$2,"."&amp;N$2&amp;N$1&amp;"P"&amp;$A5)="N/A",0,RTD("tos.rtd",,$A$2,"."&amp;N$2&amp;N$1&amp;"P"&amp;$A5))))))))))</f>
        <v>0</v>
      </c>
      <c r="O5" s="5">
        <f ca="1">IF($A$2="PREMIUM_OI",IFERROR(IF($X$1="ABS",(100*RTD("tos.rtd",,"OPEN_INT","."&amp;O$2&amp;O$1&amp;"C"&amp;$A5)*RTD("tos.rtd",,"LAST","."&amp;O$2&amp;O$1&amp;"C"&amp;$A5)+100*RTD("tos.rtd",,"OPEN_INT","."&amp;O$2&amp;O$1&amp;"P"&amp;$A5)*RTD("tos.rtd",,"LAST","."&amp;O$2&amp;O$1&amp;"P"&amp;$A5))/1000000,(100*RTD("tos.rtd",,"OPEN_INT","."&amp;O$2&amp;O$1&amp;"C"&amp;$A5)*RTD("tos.rtd",,"LAST","."&amp;O$2&amp;O$1&amp;"C"&amp;$A5)-100*RTD("tos.rtd",,"OPEN_INT","."&amp;O$2&amp;O$1&amp;"P"&amp;$A5)*RTD("tos.rtd",,"LAST","."&amp;O$2&amp;O$1&amp;"P"&amp;$A5))/1000000),0),IF($A$2="PREMIUM",IFERROR(IF($X$1="ABS",(100*RTD("tos.rtd",,"VOLUME","."&amp;O$2&amp;O$1&amp;"C"&amp;$A5)*RTD("tos.rtd",,"LAST","."&amp;O$2&amp;O$1&amp;"C"&amp;$A5)+100*RTD("tos.rtd",,"VOLUME","."&amp;O$2&amp;O$1&amp;"P"&amp;$A5)*RTD("tos.rtd",,"LAST","."&amp;O$2&amp;O$1&amp;"P"&amp;$A5))/1000000,(100*RTD("tos.rtd",,"VOLUME","."&amp;O$2&amp;O$1&amp;"C"&amp;$A5)*RTD("tos.rtd",,"LAST","."&amp;O$2&amp;O$1&amp;"C"&amp;$A5)-100*RTD("tos.rtd",,"VOLUME","."&amp;O$2&amp;O$1&amp;"P"&amp;$A5)*RTD("tos.rtd",,"LAST","."&amp;O$2&amp;O$1&amp;"P"&amp;$A5))/1000000),0),IF($A$2="DEX",IFERROR(IF($X$1="ABS",(100*RTD("tos.rtd",,"OPEN_INT","."&amp;O$2&amp;O$1&amp;"C"&amp;$A5)*RTD("tos.rtd",,"DELTA","."&amp;O$2&amp;O$1&amp;"C"&amp;$A5)+100*RTD("tos.rtd",,"OPEN_INT","."&amp;O$2&amp;O$1&amp;"P"&amp;$A5)*RTD("tos.rtd",,"DELTA","."&amp;O$2&amp;O$1&amp;"P"&amp;$A5))/1000,(100*RTD("tos.rtd",,"OPEN_INT","."&amp;O$2&amp;O$1&amp;"C"&amp;$A5)*RTD("tos.rtd",,"DELTA","."&amp;O$2&amp;O$1&amp;"C"&amp;$A5)-100*RTD("tos.rtd",,"OPEN_INT","."&amp;O$2&amp;O$1&amp;"P"&amp;$A5)*RTD("tos.rtd",,"DELTA","."&amp;O$2&amp;O$1&amp;"P"&amp;$A5))/1000),0),IF($A$2="VEX",IFERROR(IF($X$1="ABS",($A$4*$A$4*RTD("tos.rtd",,"VOLUME","."&amp;O$2&amp;O$1&amp;"C"&amp;$A5)*RTD("tos.rtd",,"GAMMA","."&amp;O$2&amp;O$1&amp;"C"&amp;$A5)+$A$4*$A$4*RTD("tos.rtd",,"VOLUME","."&amp;O$2&amp;O$1&amp;"P"&amp;$A5)*RTD("tos.rtd",,"GAMMA","."&amp;O$2&amp;O$1&amp;"P"&amp;$A5))/1000000,($A$4*$A$4*RTD("tos.rtd",,"VOLUME","."&amp;O$2&amp;O$1&amp;"C"&amp;$A5)*RTD("tos.rtd",,"GAMMA","."&amp;O$2&amp;O$1&amp;"C"&amp;$A5)-$A$4*$A$4*RTD("tos.rtd",,"VOLUME","."&amp;O$2&amp;O$1&amp;"P"&amp;$A5)*RTD("tos.rtd",,"GAMMA","."&amp;O$2&amp;O$1&amp;"P"&amp;$A5))/1000000),0),IF($A$2="GEX",IFERROR(IF($X$1="ABS",($A$4*$A$4*RTD("tos.rtd",,"OPEN_INT","."&amp;O$2&amp;O$1&amp;"C"&amp;$A5)*RTD("tos.rtd",,"GAMMA","."&amp;O$2&amp;O$1&amp;"C"&amp;$A5)+$A$4*$A$4*RTD("tos.rtd",,"OPEN_INT","."&amp;O$2&amp;O$1&amp;"P"&amp;$A5)*RTD("tos.rtd",,"GAMMA","."&amp;O$2&amp;O$1&amp;"P"&amp;$A5))/1000000,($A$4*$A$4*RTD("tos.rtd",,"OPEN_INT","."&amp;O$2&amp;O$1&amp;"C"&amp;$A5)*RTD("tos.rtd",,"GAMMA","."&amp;O$2&amp;O$1&amp;"C"&amp;$A5)-$A$4*$A$4*RTD("tos.rtd",,"OPEN_INT","."&amp;O$2&amp;O$1&amp;"P"&amp;$A5)*RTD("tos.rtd",,"GAMMA","."&amp;O$2&amp;O$1&amp;"P"&amp;$A5))/1000000),0),IF($A$2="SKEW",IFERROR(VALUE(IF(RTD("tos.rtd",,"IMPL_VOL","."&amp;O$2&amp;O$1&amp;"P"&amp;$A5)="N/A",0,RTD("tos.rtd",,"IMPL_VOL","."&amp;O$2&amp;O$1&amp;"P"&amp;$A5))),0)-IFERROR(VALUE(IF(RTD("tos.rtd",,"IMPL_VOL","."&amp;O$2&amp;O$1&amp;"C"&amp;$A5)="N/A",0,RTD("tos.rtd",,"IMPL_VOL","."&amp;O$2&amp;O$1&amp;"C"&amp;$A5))),0),IF($A$2="MAXPAIN",IF($A$4&gt;$A5,($A$4-$A5)*IF(RTD("tos.rtd",,"OPEN_INT","."&amp;O$2&amp;O$1&amp;"C"&amp;$A5)="N/A",0,RTD("tos.rtd",,"OPEN_INT","."&amp;O$2&amp;O$1&amp;"C"&amp;$A5)),0)+IF($A$4&lt;$A5,($A$5-$A$4)*IF(RTD("tos.rtd",,"OPEN_INT","."&amp;O$2&amp;O$1&amp;"P"&amp;$A5)="N/A",0,RTD("tos.rtd",,"OPEN_INT","."&amp;O$2&amp;O$1&amp;"P"&amp;$A5)),0),IF($X$1="ABS",IF(RTD("tos.rtd",,$A$2,"."&amp;O$2&amp;O$1&amp;"C"&amp;$A5)="N/A",0,RTD("tos.rtd",,$A$2,"."&amp;O$2&amp;O$1&amp;"C"&amp;$A5))+IF(RTD("tos.rtd",,$A$2,"."&amp;O$2&amp;O$1&amp;"P"&amp;$A5)="N/A",0,RTD("tos.rtd",,$A$2,"."&amp;O$2&amp;O$1&amp;"P"&amp;$A5)),IF(RTD("tos.rtd",,$A$2,"."&amp;O$2&amp;O$1&amp;"C"&amp;$A5)="N/A",0,RTD("tos.rtd",,$A$2,"."&amp;O$2&amp;O$1&amp;"C"&amp;$A5))-IF(RTD("tos.rtd",,$A$2,"."&amp;O$2&amp;O$1&amp;"P"&amp;$A5)="N/A",0,RTD("tos.rtd",,$A$2,"."&amp;O$2&amp;O$1&amp;"P"&amp;$A5))))))))))</f>
        <v>0</v>
      </c>
      <c r="P5" s="5">
        <f ca="1">IF($A$2="PREMIUM_OI",IFERROR(IF($X$1="ABS",(100*RTD("tos.rtd",,"OPEN_INT","."&amp;P$2&amp;P$1&amp;"C"&amp;$A5)*RTD("tos.rtd",,"LAST","."&amp;P$2&amp;P$1&amp;"C"&amp;$A5)+100*RTD("tos.rtd",,"OPEN_INT","."&amp;P$2&amp;P$1&amp;"P"&amp;$A5)*RTD("tos.rtd",,"LAST","."&amp;P$2&amp;P$1&amp;"P"&amp;$A5))/1000000,(100*RTD("tos.rtd",,"OPEN_INT","."&amp;P$2&amp;P$1&amp;"C"&amp;$A5)*RTD("tos.rtd",,"LAST","."&amp;P$2&amp;P$1&amp;"C"&amp;$A5)-100*RTD("tos.rtd",,"OPEN_INT","."&amp;P$2&amp;P$1&amp;"P"&amp;$A5)*RTD("tos.rtd",,"LAST","."&amp;P$2&amp;P$1&amp;"P"&amp;$A5))/1000000),0),IF($A$2="PREMIUM",IFERROR(IF($X$1="ABS",(100*RTD("tos.rtd",,"VOLUME","."&amp;P$2&amp;P$1&amp;"C"&amp;$A5)*RTD("tos.rtd",,"LAST","."&amp;P$2&amp;P$1&amp;"C"&amp;$A5)+100*RTD("tos.rtd",,"VOLUME","."&amp;P$2&amp;P$1&amp;"P"&amp;$A5)*RTD("tos.rtd",,"LAST","."&amp;P$2&amp;P$1&amp;"P"&amp;$A5))/1000000,(100*RTD("tos.rtd",,"VOLUME","."&amp;P$2&amp;P$1&amp;"C"&amp;$A5)*RTD("tos.rtd",,"LAST","."&amp;P$2&amp;P$1&amp;"C"&amp;$A5)-100*RTD("tos.rtd",,"VOLUME","."&amp;P$2&amp;P$1&amp;"P"&amp;$A5)*RTD("tos.rtd",,"LAST","."&amp;P$2&amp;P$1&amp;"P"&amp;$A5))/1000000),0),IF($A$2="DEX",IFERROR(IF($X$1="ABS",(100*RTD("tos.rtd",,"OPEN_INT","."&amp;P$2&amp;P$1&amp;"C"&amp;$A5)*RTD("tos.rtd",,"DELTA","."&amp;P$2&amp;P$1&amp;"C"&amp;$A5)+100*RTD("tos.rtd",,"OPEN_INT","."&amp;P$2&amp;P$1&amp;"P"&amp;$A5)*RTD("tos.rtd",,"DELTA","."&amp;P$2&amp;P$1&amp;"P"&amp;$A5))/1000,(100*RTD("tos.rtd",,"OPEN_INT","."&amp;P$2&amp;P$1&amp;"C"&amp;$A5)*RTD("tos.rtd",,"DELTA","."&amp;P$2&amp;P$1&amp;"C"&amp;$A5)-100*RTD("tos.rtd",,"OPEN_INT","."&amp;P$2&amp;P$1&amp;"P"&amp;$A5)*RTD("tos.rtd",,"DELTA","."&amp;P$2&amp;P$1&amp;"P"&amp;$A5))/1000),0),IF($A$2="VEX",IFERROR(IF($X$1="ABS",($A$4*$A$4*RTD("tos.rtd",,"VOLUME","."&amp;P$2&amp;P$1&amp;"C"&amp;$A5)*RTD("tos.rtd",,"GAMMA","."&amp;P$2&amp;P$1&amp;"C"&amp;$A5)+$A$4*$A$4*RTD("tos.rtd",,"VOLUME","."&amp;P$2&amp;P$1&amp;"P"&amp;$A5)*RTD("tos.rtd",,"GAMMA","."&amp;P$2&amp;P$1&amp;"P"&amp;$A5))/1000000,($A$4*$A$4*RTD("tos.rtd",,"VOLUME","."&amp;P$2&amp;P$1&amp;"C"&amp;$A5)*RTD("tos.rtd",,"GAMMA","."&amp;P$2&amp;P$1&amp;"C"&amp;$A5)-$A$4*$A$4*RTD("tos.rtd",,"VOLUME","."&amp;P$2&amp;P$1&amp;"P"&amp;$A5)*RTD("tos.rtd",,"GAMMA","."&amp;P$2&amp;P$1&amp;"P"&amp;$A5))/1000000),0),IF($A$2="GEX",IFERROR(IF($X$1="ABS",($A$4*$A$4*RTD("tos.rtd",,"OPEN_INT","."&amp;P$2&amp;P$1&amp;"C"&amp;$A5)*RTD("tos.rtd",,"GAMMA","."&amp;P$2&amp;P$1&amp;"C"&amp;$A5)+$A$4*$A$4*RTD("tos.rtd",,"OPEN_INT","."&amp;P$2&amp;P$1&amp;"P"&amp;$A5)*RTD("tos.rtd",,"GAMMA","."&amp;P$2&amp;P$1&amp;"P"&amp;$A5))/1000000,($A$4*$A$4*RTD("tos.rtd",,"OPEN_INT","."&amp;P$2&amp;P$1&amp;"C"&amp;$A5)*RTD("tos.rtd",,"GAMMA","."&amp;P$2&amp;P$1&amp;"C"&amp;$A5)-$A$4*$A$4*RTD("tos.rtd",,"OPEN_INT","."&amp;P$2&amp;P$1&amp;"P"&amp;$A5)*RTD("tos.rtd",,"GAMMA","."&amp;P$2&amp;P$1&amp;"P"&amp;$A5))/1000000),0),IF($A$2="SKEW",IFERROR(VALUE(IF(RTD("tos.rtd",,"IMPL_VOL","."&amp;P$2&amp;P$1&amp;"P"&amp;$A5)="N/A",0,RTD("tos.rtd",,"IMPL_VOL","."&amp;P$2&amp;P$1&amp;"P"&amp;$A5))),0)-IFERROR(VALUE(IF(RTD("tos.rtd",,"IMPL_VOL","."&amp;P$2&amp;P$1&amp;"C"&amp;$A5)="N/A",0,RTD("tos.rtd",,"IMPL_VOL","."&amp;P$2&amp;P$1&amp;"C"&amp;$A5))),0),IF($A$2="MAXPAIN",IF($A$4&gt;$A5,($A$4-$A5)*IF(RTD("tos.rtd",,"OPEN_INT","."&amp;P$2&amp;P$1&amp;"C"&amp;$A5)="N/A",0,RTD("tos.rtd",,"OPEN_INT","."&amp;P$2&amp;P$1&amp;"C"&amp;$A5)),0)+IF($A$4&lt;$A5,($A$5-$A$4)*IF(RTD("tos.rtd",,"OPEN_INT","."&amp;P$2&amp;P$1&amp;"P"&amp;$A5)="N/A",0,RTD("tos.rtd",,"OPEN_INT","."&amp;P$2&amp;P$1&amp;"P"&amp;$A5)),0),IF($X$1="ABS",IF(RTD("tos.rtd",,$A$2,"."&amp;P$2&amp;P$1&amp;"C"&amp;$A5)="N/A",0,RTD("tos.rtd",,$A$2,"."&amp;P$2&amp;P$1&amp;"C"&amp;$A5))+IF(RTD("tos.rtd",,$A$2,"."&amp;P$2&amp;P$1&amp;"P"&amp;$A5)="N/A",0,RTD("tos.rtd",,$A$2,"."&amp;P$2&amp;P$1&amp;"P"&amp;$A5)),IF(RTD("tos.rtd",,$A$2,"."&amp;P$2&amp;P$1&amp;"C"&amp;$A5)="N/A",0,RTD("tos.rtd",,$A$2,"."&amp;P$2&amp;P$1&amp;"C"&amp;$A5))-IF(RTD("tos.rtd",,$A$2,"."&amp;P$2&amp;P$1&amp;"P"&amp;$A5)="N/A",0,RTD("tos.rtd",,$A$2,"."&amp;P$2&amp;P$1&amp;"P"&amp;$A5))))))))))</f>
        <v>0</v>
      </c>
      <c r="Q5" s="5">
        <f ca="1">IF($A$2="PREMIUM_OI",IFERROR(IF($X$1="ABS",(100*RTD("tos.rtd",,"OPEN_INT","."&amp;Q$2&amp;Q$1&amp;"C"&amp;$A5)*RTD("tos.rtd",,"LAST","."&amp;Q$2&amp;Q$1&amp;"C"&amp;$A5)+100*RTD("tos.rtd",,"OPEN_INT","."&amp;Q$2&amp;Q$1&amp;"P"&amp;$A5)*RTD("tos.rtd",,"LAST","."&amp;Q$2&amp;Q$1&amp;"P"&amp;$A5))/1000000,(100*RTD("tos.rtd",,"OPEN_INT","."&amp;Q$2&amp;Q$1&amp;"C"&amp;$A5)*RTD("tos.rtd",,"LAST","."&amp;Q$2&amp;Q$1&amp;"C"&amp;$A5)-100*RTD("tos.rtd",,"OPEN_INT","."&amp;Q$2&amp;Q$1&amp;"P"&amp;$A5)*RTD("tos.rtd",,"LAST","."&amp;Q$2&amp;Q$1&amp;"P"&amp;$A5))/1000000),0),IF($A$2="PREMIUM",IFERROR(IF($X$1="ABS",(100*RTD("tos.rtd",,"VOLUME","."&amp;Q$2&amp;Q$1&amp;"C"&amp;$A5)*RTD("tos.rtd",,"LAST","."&amp;Q$2&amp;Q$1&amp;"C"&amp;$A5)+100*RTD("tos.rtd",,"VOLUME","."&amp;Q$2&amp;Q$1&amp;"P"&amp;$A5)*RTD("tos.rtd",,"LAST","."&amp;Q$2&amp;Q$1&amp;"P"&amp;$A5))/1000000,(100*RTD("tos.rtd",,"VOLUME","."&amp;Q$2&amp;Q$1&amp;"C"&amp;$A5)*RTD("tos.rtd",,"LAST","."&amp;Q$2&amp;Q$1&amp;"C"&amp;$A5)-100*RTD("tos.rtd",,"VOLUME","."&amp;Q$2&amp;Q$1&amp;"P"&amp;$A5)*RTD("tos.rtd",,"LAST","."&amp;Q$2&amp;Q$1&amp;"P"&amp;$A5))/1000000),0),IF($A$2="DEX",IFERROR(IF($X$1="ABS",(100*RTD("tos.rtd",,"OPEN_INT","."&amp;Q$2&amp;Q$1&amp;"C"&amp;$A5)*RTD("tos.rtd",,"DELTA","."&amp;Q$2&amp;Q$1&amp;"C"&amp;$A5)+100*RTD("tos.rtd",,"OPEN_INT","."&amp;Q$2&amp;Q$1&amp;"P"&amp;$A5)*RTD("tos.rtd",,"DELTA","."&amp;Q$2&amp;Q$1&amp;"P"&amp;$A5))/1000,(100*RTD("tos.rtd",,"OPEN_INT","."&amp;Q$2&amp;Q$1&amp;"C"&amp;$A5)*RTD("tos.rtd",,"DELTA","."&amp;Q$2&amp;Q$1&amp;"C"&amp;$A5)-100*RTD("tos.rtd",,"OPEN_INT","."&amp;Q$2&amp;Q$1&amp;"P"&amp;$A5)*RTD("tos.rtd",,"DELTA","."&amp;Q$2&amp;Q$1&amp;"P"&amp;$A5))/1000),0),IF($A$2="VEX",IFERROR(IF($X$1="ABS",($A$4*$A$4*RTD("tos.rtd",,"VOLUME","."&amp;Q$2&amp;Q$1&amp;"C"&amp;$A5)*RTD("tos.rtd",,"GAMMA","."&amp;Q$2&amp;Q$1&amp;"C"&amp;$A5)+$A$4*$A$4*RTD("tos.rtd",,"VOLUME","."&amp;Q$2&amp;Q$1&amp;"P"&amp;$A5)*RTD("tos.rtd",,"GAMMA","."&amp;Q$2&amp;Q$1&amp;"P"&amp;$A5))/1000000,($A$4*$A$4*RTD("tos.rtd",,"VOLUME","."&amp;Q$2&amp;Q$1&amp;"C"&amp;$A5)*RTD("tos.rtd",,"GAMMA","."&amp;Q$2&amp;Q$1&amp;"C"&amp;$A5)-$A$4*$A$4*RTD("tos.rtd",,"VOLUME","."&amp;Q$2&amp;Q$1&amp;"P"&amp;$A5)*RTD("tos.rtd",,"GAMMA","."&amp;Q$2&amp;Q$1&amp;"P"&amp;$A5))/1000000),0),IF($A$2="GEX",IFERROR(IF($X$1="ABS",($A$4*$A$4*RTD("tos.rtd",,"OPEN_INT","."&amp;Q$2&amp;Q$1&amp;"C"&amp;$A5)*RTD("tos.rtd",,"GAMMA","."&amp;Q$2&amp;Q$1&amp;"C"&amp;$A5)+$A$4*$A$4*RTD("tos.rtd",,"OPEN_INT","."&amp;Q$2&amp;Q$1&amp;"P"&amp;$A5)*RTD("tos.rtd",,"GAMMA","."&amp;Q$2&amp;Q$1&amp;"P"&amp;$A5))/1000000,($A$4*$A$4*RTD("tos.rtd",,"OPEN_INT","."&amp;Q$2&amp;Q$1&amp;"C"&amp;$A5)*RTD("tos.rtd",,"GAMMA","."&amp;Q$2&amp;Q$1&amp;"C"&amp;$A5)-$A$4*$A$4*RTD("tos.rtd",,"OPEN_INT","."&amp;Q$2&amp;Q$1&amp;"P"&amp;$A5)*RTD("tos.rtd",,"GAMMA","."&amp;Q$2&amp;Q$1&amp;"P"&amp;$A5))/1000000),0),IF($A$2="SKEW",IFERROR(VALUE(IF(RTD("tos.rtd",,"IMPL_VOL","."&amp;Q$2&amp;Q$1&amp;"P"&amp;$A5)="N/A",0,RTD("tos.rtd",,"IMPL_VOL","."&amp;Q$2&amp;Q$1&amp;"P"&amp;$A5))),0)-IFERROR(VALUE(IF(RTD("tos.rtd",,"IMPL_VOL","."&amp;Q$2&amp;Q$1&amp;"C"&amp;$A5)="N/A",0,RTD("tos.rtd",,"IMPL_VOL","."&amp;Q$2&amp;Q$1&amp;"C"&amp;$A5))),0),IF($A$2="MAXPAIN",IF($A$4&gt;$A5,($A$4-$A5)*IF(RTD("tos.rtd",,"OPEN_INT","."&amp;Q$2&amp;Q$1&amp;"C"&amp;$A5)="N/A",0,RTD("tos.rtd",,"OPEN_INT","."&amp;Q$2&amp;Q$1&amp;"C"&amp;$A5)),0)+IF($A$4&lt;$A5,($A$5-$A$4)*IF(RTD("tos.rtd",,"OPEN_INT","."&amp;Q$2&amp;Q$1&amp;"P"&amp;$A5)="N/A",0,RTD("tos.rtd",,"OPEN_INT","."&amp;Q$2&amp;Q$1&amp;"P"&amp;$A5)),0),IF($X$1="ABS",IF(RTD("tos.rtd",,$A$2,"."&amp;Q$2&amp;Q$1&amp;"C"&amp;$A5)="N/A",0,RTD("tos.rtd",,$A$2,"."&amp;Q$2&amp;Q$1&amp;"C"&amp;$A5))+IF(RTD("tos.rtd",,$A$2,"."&amp;Q$2&amp;Q$1&amp;"P"&amp;$A5)="N/A",0,RTD("tos.rtd",,$A$2,"."&amp;Q$2&amp;Q$1&amp;"P"&amp;$A5)),IF(RTD("tos.rtd",,$A$2,"."&amp;Q$2&amp;Q$1&amp;"C"&amp;$A5)="N/A",0,RTD("tos.rtd",,$A$2,"."&amp;Q$2&amp;Q$1&amp;"C"&amp;$A5))-IF(RTD("tos.rtd",,$A$2,"."&amp;Q$2&amp;Q$1&amp;"P"&amp;$A5)="N/A",0,RTD("tos.rtd",,$A$2,"."&amp;Q$2&amp;Q$1&amp;"P"&amp;$A5))))))))))</f>
        <v>0</v>
      </c>
      <c r="R5" s="5">
        <f ca="1">IF($A$2="PREMIUM_OI",IFERROR(IF($X$1="ABS",(100*RTD("tos.rtd",,"OPEN_INT","."&amp;R$2&amp;R$1&amp;"C"&amp;$A5)*RTD("tos.rtd",,"LAST","."&amp;R$2&amp;R$1&amp;"C"&amp;$A5)+100*RTD("tos.rtd",,"OPEN_INT","."&amp;R$2&amp;R$1&amp;"P"&amp;$A5)*RTD("tos.rtd",,"LAST","."&amp;R$2&amp;R$1&amp;"P"&amp;$A5))/1000000,(100*RTD("tos.rtd",,"OPEN_INT","."&amp;R$2&amp;R$1&amp;"C"&amp;$A5)*RTD("tos.rtd",,"LAST","."&amp;R$2&amp;R$1&amp;"C"&amp;$A5)-100*RTD("tos.rtd",,"OPEN_INT","."&amp;R$2&amp;R$1&amp;"P"&amp;$A5)*RTD("tos.rtd",,"LAST","."&amp;R$2&amp;R$1&amp;"P"&amp;$A5))/1000000),0),IF($A$2="PREMIUM",IFERROR(IF($X$1="ABS",(100*RTD("tos.rtd",,"VOLUME","."&amp;R$2&amp;R$1&amp;"C"&amp;$A5)*RTD("tos.rtd",,"LAST","."&amp;R$2&amp;R$1&amp;"C"&amp;$A5)+100*RTD("tos.rtd",,"VOLUME","."&amp;R$2&amp;R$1&amp;"P"&amp;$A5)*RTD("tos.rtd",,"LAST","."&amp;R$2&amp;R$1&amp;"P"&amp;$A5))/1000000,(100*RTD("tos.rtd",,"VOLUME","."&amp;R$2&amp;R$1&amp;"C"&amp;$A5)*RTD("tos.rtd",,"LAST","."&amp;R$2&amp;R$1&amp;"C"&amp;$A5)-100*RTD("tos.rtd",,"VOLUME","."&amp;R$2&amp;R$1&amp;"P"&amp;$A5)*RTD("tos.rtd",,"LAST","."&amp;R$2&amp;R$1&amp;"P"&amp;$A5))/1000000),0),IF($A$2="DEX",IFERROR(IF($X$1="ABS",(100*RTD("tos.rtd",,"OPEN_INT","."&amp;R$2&amp;R$1&amp;"C"&amp;$A5)*RTD("tos.rtd",,"DELTA","."&amp;R$2&amp;R$1&amp;"C"&amp;$A5)+100*RTD("tos.rtd",,"OPEN_INT","."&amp;R$2&amp;R$1&amp;"P"&amp;$A5)*RTD("tos.rtd",,"DELTA","."&amp;R$2&amp;R$1&amp;"P"&amp;$A5))/1000,(100*RTD("tos.rtd",,"OPEN_INT","."&amp;R$2&amp;R$1&amp;"C"&amp;$A5)*RTD("tos.rtd",,"DELTA","."&amp;R$2&amp;R$1&amp;"C"&amp;$A5)-100*RTD("tos.rtd",,"OPEN_INT","."&amp;R$2&amp;R$1&amp;"P"&amp;$A5)*RTD("tos.rtd",,"DELTA","."&amp;R$2&amp;R$1&amp;"P"&amp;$A5))/1000),0),IF($A$2="VEX",IFERROR(IF($X$1="ABS",($A$4*$A$4*RTD("tos.rtd",,"VOLUME","."&amp;R$2&amp;R$1&amp;"C"&amp;$A5)*RTD("tos.rtd",,"GAMMA","."&amp;R$2&amp;R$1&amp;"C"&amp;$A5)+$A$4*$A$4*RTD("tos.rtd",,"VOLUME","."&amp;R$2&amp;R$1&amp;"P"&amp;$A5)*RTD("tos.rtd",,"GAMMA","."&amp;R$2&amp;R$1&amp;"P"&amp;$A5))/1000000,($A$4*$A$4*RTD("tos.rtd",,"VOLUME","."&amp;R$2&amp;R$1&amp;"C"&amp;$A5)*RTD("tos.rtd",,"GAMMA","."&amp;R$2&amp;R$1&amp;"C"&amp;$A5)-$A$4*$A$4*RTD("tos.rtd",,"VOLUME","."&amp;R$2&amp;R$1&amp;"P"&amp;$A5)*RTD("tos.rtd",,"GAMMA","."&amp;R$2&amp;R$1&amp;"P"&amp;$A5))/1000000),0),IF($A$2="GEX",IFERROR(IF($X$1="ABS",($A$4*$A$4*RTD("tos.rtd",,"OPEN_INT","."&amp;R$2&amp;R$1&amp;"C"&amp;$A5)*RTD("tos.rtd",,"GAMMA","."&amp;R$2&amp;R$1&amp;"C"&amp;$A5)+$A$4*$A$4*RTD("tos.rtd",,"OPEN_INT","."&amp;R$2&amp;R$1&amp;"P"&amp;$A5)*RTD("tos.rtd",,"GAMMA","."&amp;R$2&amp;R$1&amp;"P"&amp;$A5))/1000000,($A$4*$A$4*RTD("tos.rtd",,"OPEN_INT","."&amp;R$2&amp;R$1&amp;"C"&amp;$A5)*RTD("tos.rtd",,"GAMMA","."&amp;R$2&amp;R$1&amp;"C"&amp;$A5)-$A$4*$A$4*RTD("tos.rtd",,"OPEN_INT","."&amp;R$2&amp;R$1&amp;"P"&amp;$A5)*RTD("tos.rtd",,"GAMMA","."&amp;R$2&amp;R$1&amp;"P"&amp;$A5))/1000000),0),IF($A$2="SKEW",IFERROR(VALUE(IF(RTD("tos.rtd",,"IMPL_VOL","."&amp;R$2&amp;R$1&amp;"P"&amp;$A5)="N/A",0,RTD("tos.rtd",,"IMPL_VOL","."&amp;R$2&amp;R$1&amp;"P"&amp;$A5))),0)-IFERROR(VALUE(IF(RTD("tos.rtd",,"IMPL_VOL","."&amp;R$2&amp;R$1&amp;"C"&amp;$A5)="N/A",0,RTD("tos.rtd",,"IMPL_VOL","."&amp;R$2&amp;R$1&amp;"C"&amp;$A5))),0),IF($A$2="MAXPAIN",IF($A$4&gt;$A5,($A$4-$A5)*IF(RTD("tos.rtd",,"OPEN_INT","."&amp;R$2&amp;R$1&amp;"C"&amp;$A5)="N/A",0,RTD("tos.rtd",,"OPEN_INT","."&amp;R$2&amp;R$1&amp;"C"&amp;$A5)),0)+IF($A$4&lt;$A5,($A$5-$A$4)*IF(RTD("tos.rtd",,"OPEN_INT","."&amp;R$2&amp;R$1&amp;"P"&amp;$A5)="N/A",0,RTD("tos.rtd",,"OPEN_INT","."&amp;R$2&amp;R$1&amp;"P"&amp;$A5)),0),IF($X$1="ABS",IF(RTD("tos.rtd",,$A$2,"."&amp;R$2&amp;R$1&amp;"C"&amp;$A5)="N/A",0,RTD("tos.rtd",,$A$2,"."&amp;R$2&amp;R$1&amp;"C"&amp;$A5))+IF(RTD("tos.rtd",,$A$2,"."&amp;R$2&amp;R$1&amp;"P"&amp;$A5)="N/A",0,RTD("tos.rtd",,$A$2,"."&amp;R$2&amp;R$1&amp;"P"&amp;$A5)),IF(RTD("tos.rtd",,$A$2,"."&amp;R$2&amp;R$1&amp;"C"&amp;$A5)="N/A",0,RTD("tos.rtd",,$A$2,"."&amp;R$2&amp;R$1&amp;"C"&amp;$A5))-IF(RTD("tos.rtd",,$A$2,"."&amp;R$2&amp;R$1&amp;"P"&amp;$A5)="N/A",0,RTD("tos.rtd",,$A$2,"."&amp;R$2&amp;R$1&amp;"P"&amp;$A5))))))))))</f>
        <v>0</v>
      </c>
      <c r="S5" s="5">
        <f ca="1">IF($A$2="PREMIUM_OI",IFERROR(IF($X$1="ABS",(100*RTD("tos.rtd",,"OPEN_INT","."&amp;S$2&amp;S$1&amp;"C"&amp;$A5)*RTD("tos.rtd",,"LAST","."&amp;S$2&amp;S$1&amp;"C"&amp;$A5)+100*RTD("tos.rtd",,"OPEN_INT","."&amp;S$2&amp;S$1&amp;"P"&amp;$A5)*RTD("tos.rtd",,"LAST","."&amp;S$2&amp;S$1&amp;"P"&amp;$A5))/1000000,(100*RTD("tos.rtd",,"OPEN_INT","."&amp;S$2&amp;S$1&amp;"C"&amp;$A5)*RTD("tos.rtd",,"LAST","."&amp;S$2&amp;S$1&amp;"C"&amp;$A5)-100*RTD("tos.rtd",,"OPEN_INT","."&amp;S$2&amp;S$1&amp;"P"&amp;$A5)*RTD("tos.rtd",,"LAST","."&amp;S$2&amp;S$1&amp;"P"&amp;$A5))/1000000),0),IF($A$2="PREMIUM",IFERROR(IF($X$1="ABS",(100*RTD("tos.rtd",,"VOLUME","."&amp;S$2&amp;S$1&amp;"C"&amp;$A5)*RTD("tos.rtd",,"LAST","."&amp;S$2&amp;S$1&amp;"C"&amp;$A5)+100*RTD("tos.rtd",,"VOLUME","."&amp;S$2&amp;S$1&amp;"P"&amp;$A5)*RTD("tos.rtd",,"LAST","."&amp;S$2&amp;S$1&amp;"P"&amp;$A5))/1000000,(100*RTD("tos.rtd",,"VOLUME","."&amp;S$2&amp;S$1&amp;"C"&amp;$A5)*RTD("tos.rtd",,"LAST","."&amp;S$2&amp;S$1&amp;"C"&amp;$A5)-100*RTD("tos.rtd",,"VOLUME","."&amp;S$2&amp;S$1&amp;"P"&amp;$A5)*RTD("tos.rtd",,"LAST","."&amp;S$2&amp;S$1&amp;"P"&amp;$A5))/1000000),0),IF($A$2="DEX",IFERROR(IF($X$1="ABS",(100*RTD("tos.rtd",,"OPEN_INT","."&amp;S$2&amp;S$1&amp;"C"&amp;$A5)*RTD("tos.rtd",,"DELTA","."&amp;S$2&amp;S$1&amp;"C"&amp;$A5)+100*RTD("tos.rtd",,"OPEN_INT","."&amp;S$2&amp;S$1&amp;"P"&amp;$A5)*RTD("tos.rtd",,"DELTA","."&amp;S$2&amp;S$1&amp;"P"&amp;$A5))/1000,(100*RTD("tos.rtd",,"OPEN_INT","."&amp;S$2&amp;S$1&amp;"C"&amp;$A5)*RTD("tos.rtd",,"DELTA","."&amp;S$2&amp;S$1&amp;"C"&amp;$A5)-100*RTD("tos.rtd",,"OPEN_INT","."&amp;S$2&amp;S$1&amp;"P"&amp;$A5)*RTD("tos.rtd",,"DELTA","."&amp;S$2&amp;S$1&amp;"P"&amp;$A5))/1000),0),IF($A$2="VEX",IFERROR(IF($X$1="ABS",($A$4*$A$4*RTD("tos.rtd",,"VOLUME","."&amp;S$2&amp;S$1&amp;"C"&amp;$A5)*RTD("tos.rtd",,"GAMMA","."&amp;S$2&amp;S$1&amp;"C"&amp;$A5)+$A$4*$A$4*RTD("tos.rtd",,"VOLUME","."&amp;S$2&amp;S$1&amp;"P"&amp;$A5)*RTD("tos.rtd",,"GAMMA","."&amp;S$2&amp;S$1&amp;"P"&amp;$A5))/1000000,($A$4*$A$4*RTD("tos.rtd",,"VOLUME","."&amp;S$2&amp;S$1&amp;"C"&amp;$A5)*RTD("tos.rtd",,"GAMMA","."&amp;S$2&amp;S$1&amp;"C"&amp;$A5)-$A$4*$A$4*RTD("tos.rtd",,"VOLUME","."&amp;S$2&amp;S$1&amp;"P"&amp;$A5)*RTD("tos.rtd",,"GAMMA","."&amp;S$2&amp;S$1&amp;"P"&amp;$A5))/1000000),0),IF($A$2="GEX",IFERROR(IF($X$1="ABS",($A$4*$A$4*RTD("tos.rtd",,"OPEN_INT","."&amp;S$2&amp;S$1&amp;"C"&amp;$A5)*RTD("tos.rtd",,"GAMMA","."&amp;S$2&amp;S$1&amp;"C"&amp;$A5)+$A$4*$A$4*RTD("tos.rtd",,"OPEN_INT","."&amp;S$2&amp;S$1&amp;"P"&amp;$A5)*RTD("tos.rtd",,"GAMMA","."&amp;S$2&amp;S$1&amp;"P"&amp;$A5))/1000000,($A$4*$A$4*RTD("tos.rtd",,"OPEN_INT","."&amp;S$2&amp;S$1&amp;"C"&amp;$A5)*RTD("tos.rtd",,"GAMMA","."&amp;S$2&amp;S$1&amp;"C"&amp;$A5)-$A$4*$A$4*RTD("tos.rtd",,"OPEN_INT","."&amp;S$2&amp;S$1&amp;"P"&amp;$A5)*RTD("tos.rtd",,"GAMMA","."&amp;S$2&amp;S$1&amp;"P"&amp;$A5))/1000000),0),IF($A$2="SKEW",IFERROR(VALUE(IF(RTD("tos.rtd",,"IMPL_VOL","."&amp;S$2&amp;S$1&amp;"P"&amp;$A5)="N/A",0,RTD("tos.rtd",,"IMPL_VOL","."&amp;S$2&amp;S$1&amp;"P"&amp;$A5))),0)-IFERROR(VALUE(IF(RTD("tos.rtd",,"IMPL_VOL","."&amp;S$2&amp;S$1&amp;"C"&amp;$A5)="N/A",0,RTD("tos.rtd",,"IMPL_VOL","."&amp;S$2&amp;S$1&amp;"C"&amp;$A5))),0),IF($A$2="MAXPAIN",IF($A$4&gt;$A5,($A$4-$A5)*IF(RTD("tos.rtd",,"OPEN_INT","."&amp;S$2&amp;S$1&amp;"C"&amp;$A5)="N/A",0,RTD("tos.rtd",,"OPEN_INT","."&amp;S$2&amp;S$1&amp;"C"&amp;$A5)),0)+IF($A$4&lt;$A5,($A$5-$A$4)*IF(RTD("tos.rtd",,"OPEN_INT","."&amp;S$2&amp;S$1&amp;"P"&amp;$A5)="N/A",0,RTD("tos.rtd",,"OPEN_INT","."&amp;S$2&amp;S$1&amp;"P"&amp;$A5)),0),IF($X$1="ABS",IF(RTD("tos.rtd",,$A$2,"."&amp;S$2&amp;S$1&amp;"C"&amp;$A5)="N/A",0,RTD("tos.rtd",,$A$2,"."&amp;S$2&amp;S$1&amp;"C"&amp;$A5))+IF(RTD("tos.rtd",,$A$2,"."&amp;S$2&amp;S$1&amp;"P"&amp;$A5)="N/A",0,RTD("tos.rtd",,$A$2,"."&amp;S$2&amp;S$1&amp;"P"&amp;$A5)),IF(RTD("tos.rtd",,$A$2,"."&amp;S$2&amp;S$1&amp;"C"&amp;$A5)="N/A",0,RTD("tos.rtd",,$A$2,"."&amp;S$2&amp;S$1&amp;"C"&amp;$A5))-IF(RTD("tos.rtd",,$A$2,"."&amp;S$2&amp;S$1&amp;"P"&amp;$A5)="N/A",0,RTD("tos.rtd",,$A$2,"."&amp;S$2&amp;S$1&amp;"P"&amp;$A5))))))))))</f>
        <v>0</v>
      </c>
      <c r="T5" s="5">
        <f ca="1">IF($A$2="PREMIUM_OI",IFERROR(IF($X$1="ABS",(100*RTD("tos.rtd",,"OPEN_INT","."&amp;T$2&amp;T$1&amp;"C"&amp;$A5)*RTD("tos.rtd",,"LAST","."&amp;T$2&amp;T$1&amp;"C"&amp;$A5)+100*RTD("tos.rtd",,"OPEN_INT","."&amp;T$2&amp;T$1&amp;"P"&amp;$A5)*RTD("tos.rtd",,"LAST","."&amp;T$2&amp;T$1&amp;"P"&amp;$A5))/1000000,(100*RTD("tos.rtd",,"OPEN_INT","."&amp;T$2&amp;T$1&amp;"C"&amp;$A5)*RTD("tos.rtd",,"LAST","."&amp;T$2&amp;T$1&amp;"C"&amp;$A5)-100*RTD("tos.rtd",,"OPEN_INT","."&amp;T$2&amp;T$1&amp;"P"&amp;$A5)*RTD("tos.rtd",,"LAST","."&amp;T$2&amp;T$1&amp;"P"&amp;$A5))/1000000),0),IF($A$2="PREMIUM",IFERROR(IF($X$1="ABS",(100*RTD("tos.rtd",,"VOLUME","."&amp;T$2&amp;T$1&amp;"C"&amp;$A5)*RTD("tos.rtd",,"LAST","."&amp;T$2&amp;T$1&amp;"C"&amp;$A5)+100*RTD("tos.rtd",,"VOLUME","."&amp;T$2&amp;T$1&amp;"P"&amp;$A5)*RTD("tos.rtd",,"LAST","."&amp;T$2&amp;T$1&amp;"P"&amp;$A5))/1000000,(100*RTD("tos.rtd",,"VOLUME","."&amp;T$2&amp;T$1&amp;"C"&amp;$A5)*RTD("tos.rtd",,"LAST","."&amp;T$2&amp;T$1&amp;"C"&amp;$A5)-100*RTD("tos.rtd",,"VOLUME","."&amp;T$2&amp;T$1&amp;"P"&amp;$A5)*RTD("tos.rtd",,"LAST","."&amp;T$2&amp;T$1&amp;"P"&amp;$A5))/1000000),0),IF($A$2="DEX",IFERROR(IF($X$1="ABS",(100*RTD("tos.rtd",,"OPEN_INT","."&amp;T$2&amp;T$1&amp;"C"&amp;$A5)*RTD("tos.rtd",,"DELTA","."&amp;T$2&amp;T$1&amp;"C"&amp;$A5)+100*RTD("tos.rtd",,"OPEN_INT","."&amp;T$2&amp;T$1&amp;"P"&amp;$A5)*RTD("tos.rtd",,"DELTA","."&amp;T$2&amp;T$1&amp;"P"&amp;$A5))/1000,(100*RTD("tos.rtd",,"OPEN_INT","."&amp;T$2&amp;T$1&amp;"C"&amp;$A5)*RTD("tos.rtd",,"DELTA","."&amp;T$2&amp;T$1&amp;"C"&amp;$A5)-100*RTD("tos.rtd",,"OPEN_INT","."&amp;T$2&amp;T$1&amp;"P"&amp;$A5)*RTD("tos.rtd",,"DELTA","."&amp;T$2&amp;T$1&amp;"P"&amp;$A5))/1000),0),IF($A$2="VEX",IFERROR(IF($X$1="ABS",($A$4*$A$4*RTD("tos.rtd",,"VOLUME","."&amp;T$2&amp;T$1&amp;"C"&amp;$A5)*RTD("tos.rtd",,"GAMMA","."&amp;T$2&amp;T$1&amp;"C"&amp;$A5)+$A$4*$A$4*RTD("tos.rtd",,"VOLUME","."&amp;T$2&amp;T$1&amp;"P"&amp;$A5)*RTD("tos.rtd",,"GAMMA","."&amp;T$2&amp;T$1&amp;"P"&amp;$A5))/1000000,($A$4*$A$4*RTD("tos.rtd",,"VOLUME","."&amp;T$2&amp;T$1&amp;"C"&amp;$A5)*RTD("tos.rtd",,"GAMMA","."&amp;T$2&amp;T$1&amp;"C"&amp;$A5)-$A$4*$A$4*RTD("tos.rtd",,"VOLUME","."&amp;T$2&amp;T$1&amp;"P"&amp;$A5)*RTD("tos.rtd",,"GAMMA","."&amp;T$2&amp;T$1&amp;"P"&amp;$A5))/1000000),0),IF($A$2="GEX",IFERROR(IF($X$1="ABS",($A$4*$A$4*RTD("tos.rtd",,"OPEN_INT","."&amp;T$2&amp;T$1&amp;"C"&amp;$A5)*RTD("tos.rtd",,"GAMMA","."&amp;T$2&amp;T$1&amp;"C"&amp;$A5)+$A$4*$A$4*RTD("tos.rtd",,"OPEN_INT","."&amp;T$2&amp;T$1&amp;"P"&amp;$A5)*RTD("tos.rtd",,"GAMMA","."&amp;T$2&amp;T$1&amp;"P"&amp;$A5))/1000000,($A$4*$A$4*RTD("tos.rtd",,"OPEN_INT","."&amp;T$2&amp;T$1&amp;"C"&amp;$A5)*RTD("tos.rtd",,"GAMMA","."&amp;T$2&amp;T$1&amp;"C"&amp;$A5)-$A$4*$A$4*RTD("tos.rtd",,"OPEN_INT","."&amp;T$2&amp;T$1&amp;"P"&amp;$A5)*RTD("tos.rtd",,"GAMMA","."&amp;T$2&amp;T$1&amp;"P"&amp;$A5))/1000000),0),IF($A$2="SKEW",IFERROR(VALUE(IF(RTD("tos.rtd",,"IMPL_VOL","."&amp;T$2&amp;T$1&amp;"P"&amp;$A5)="N/A",0,RTD("tos.rtd",,"IMPL_VOL","."&amp;T$2&amp;T$1&amp;"P"&amp;$A5))),0)-IFERROR(VALUE(IF(RTD("tos.rtd",,"IMPL_VOL","."&amp;T$2&amp;T$1&amp;"C"&amp;$A5)="N/A",0,RTD("tos.rtd",,"IMPL_VOL","."&amp;T$2&amp;T$1&amp;"C"&amp;$A5))),0),IF($A$2="MAXPAIN",IF($A$4&gt;$A5,($A$4-$A5)*IF(RTD("tos.rtd",,"OPEN_INT","."&amp;T$2&amp;T$1&amp;"C"&amp;$A5)="N/A",0,RTD("tos.rtd",,"OPEN_INT","."&amp;T$2&amp;T$1&amp;"C"&amp;$A5)),0)+IF($A$4&lt;$A5,($A$5-$A$4)*IF(RTD("tos.rtd",,"OPEN_INT","."&amp;T$2&amp;T$1&amp;"P"&amp;$A5)="N/A",0,RTD("tos.rtd",,"OPEN_INT","."&amp;T$2&amp;T$1&amp;"P"&amp;$A5)),0),IF($X$1="ABS",IF(RTD("tos.rtd",,$A$2,"."&amp;T$2&amp;T$1&amp;"C"&amp;$A5)="N/A",0,RTD("tos.rtd",,$A$2,"."&amp;T$2&amp;T$1&amp;"C"&amp;$A5))+IF(RTD("tos.rtd",,$A$2,"."&amp;T$2&amp;T$1&amp;"P"&amp;$A5)="N/A",0,RTD("tos.rtd",,$A$2,"."&amp;T$2&amp;T$1&amp;"P"&amp;$A5)),IF(RTD("tos.rtd",,$A$2,"."&amp;T$2&amp;T$1&amp;"C"&amp;$A5)="N/A",0,RTD("tos.rtd",,$A$2,"."&amp;T$2&amp;T$1&amp;"C"&amp;$A5))-IF(RTD("tos.rtd",,$A$2,"."&amp;T$2&amp;T$1&amp;"P"&amp;$A5)="N/A",0,RTD("tos.rtd",,$A$2,"."&amp;T$2&amp;T$1&amp;"P"&amp;$A5))))))))))</f>
        <v>0</v>
      </c>
      <c r="U5" s="5">
        <f ca="1">IF($A$2="PREMIUM_OI",IFERROR(IF($X$1="ABS",(100*RTD("tos.rtd",,"OPEN_INT","."&amp;U$2&amp;U$1&amp;"C"&amp;$A5)*RTD("tos.rtd",,"LAST","."&amp;U$2&amp;U$1&amp;"C"&amp;$A5)+100*RTD("tos.rtd",,"OPEN_INT","."&amp;U$2&amp;U$1&amp;"P"&amp;$A5)*RTD("tos.rtd",,"LAST","."&amp;U$2&amp;U$1&amp;"P"&amp;$A5))/1000000,(100*RTD("tos.rtd",,"OPEN_INT","."&amp;U$2&amp;U$1&amp;"C"&amp;$A5)*RTD("tos.rtd",,"LAST","."&amp;U$2&amp;U$1&amp;"C"&amp;$A5)-100*RTD("tos.rtd",,"OPEN_INT","."&amp;U$2&amp;U$1&amp;"P"&amp;$A5)*RTD("tos.rtd",,"LAST","."&amp;U$2&amp;U$1&amp;"P"&amp;$A5))/1000000),0),IF($A$2="PREMIUM",IFERROR(IF($X$1="ABS",(100*RTD("tos.rtd",,"VOLUME","."&amp;U$2&amp;U$1&amp;"C"&amp;$A5)*RTD("tos.rtd",,"LAST","."&amp;U$2&amp;U$1&amp;"C"&amp;$A5)+100*RTD("tos.rtd",,"VOLUME","."&amp;U$2&amp;U$1&amp;"P"&amp;$A5)*RTD("tos.rtd",,"LAST","."&amp;U$2&amp;U$1&amp;"P"&amp;$A5))/1000000,(100*RTD("tos.rtd",,"VOLUME","."&amp;U$2&amp;U$1&amp;"C"&amp;$A5)*RTD("tos.rtd",,"LAST","."&amp;U$2&amp;U$1&amp;"C"&amp;$A5)-100*RTD("tos.rtd",,"VOLUME","."&amp;U$2&amp;U$1&amp;"P"&amp;$A5)*RTD("tos.rtd",,"LAST","."&amp;U$2&amp;U$1&amp;"P"&amp;$A5))/1000000),0),IF($A$2="DEX",IFERROR(IF($X$1="ABS",(100*RTD("tos.rtd",,"OPEN_INT","."&amp;U$2&amp;U$1&amp;"C"&amp;$A5)*RTD("tos.rtd",,"DELTA","."&amp;U$2&amp;U$1&amp;"C"&amp;$A5)+100*RTD("tos.rtd",,"OPEN_INT","."&amp;U$2&amp;U$1&amp;"P"&amp;$A5)*RTD("tos.rtd",,"DELTA","."&amp;U$2&amp;U$1&amp;"P"&amp;$A5))/1000,(100*RTD("tos.rtd",,"OPEN_INT","."&amp;U$2&amp;U$1&amp;"C"&amp;$A5)*RTD("tos.rtd",,"DELTA","."&amp;U$2&amp;U$1&amp;"C"&amp;$A5)-100*RTD("tos.rtd",,"OPEN_INT","."&amp;U$2&amp;U$1&amp;"P"&amp;$A5)*RTD("tos.rtd",,"DELTA","."&amp;U$2&amp;U$1&amp;"P"&amp;$A5))/1000),0),IF($A$2="VEX",IFERROR(IF($X$1="ABS",($A$4*$A$4*RTD("tos.rtd",,"VOLUME","."&amp;U$2&amp;U$1&amp;"C"&amp;$A5)*RTD("tos.rtd",,"GAMMA","."&amp;U$2&amp;U$1&amp;"C"&amp;$A5)+$A$4*$A$4*RTD("tos.rtd",,"VOLUME","."&amp;U$2&amp;U$1&amp;"P"&amp;$A5)*RTD("tos.rtd",,"GAMMA","."&amp;U$2&amp;U$1&amp;"P"&amp;$A5))/1000000,($A$4*$A$4*RTD("tos.rtd",,"VOLUME","."&amp;U$2&amp;U$1&amp;"C"&amp;$A5)*RTD("tos.rtd",,"GAMMA","."&amp;U$2&amp;U$1&amp;"C"&amp;$A5)-$A$4*$A$4*RTD("tos.rtd",,"VOLUME","."&amp;U$2&amp;U$1&amp;"P"&amp;$A5)*RTD("tos.rtd",,"GAMMA","."&amp;U$2&amp;U$1&amp;"P"&amp;$A5))/1000000),0),IF($A$2="GEX",IFERROR(IF($X$1="ABS",($A$4*$A$4*RTD("tos.rtd",,"OPEN_INT","."&amp;U$2&amp;U$1&amp;"C"&amp;$A5)*RTD("tos.rtd",,"GAMMA","."&amp;U$2&amp;U$1&amp;"C"&amp;$A5)+$A$4*$A$4*RTD("tos.rtd",,"OPEN_INT","."&amp;U$2&amp;U$1&amp;"P"&amp;$A5)*RTD("tos.rtd",,"GAMMA","."&amp;U$2&amp;U$1&amp;"P"&amp;$A5))/1000000,($A$4*$A$4*RTD("tos.rtd",,"OPEN_INT","."&amp;U$2&amp;U$1&amp;"C"&amp;$A5)*RTD("tos.rtd",,"GAMMA","."&amp;U$2&amp;U$1&amp;"C"&amp;$A5)-$A$4*$A$4*RTD("tos.rtd",,"OPEN_INT","."&amp;U$2&amp;U$1&amp;"P"&amp;$A5)*RTD("tos.rtd",,"GAMMA","."&amp;U$2&amp;U$1&amp;"P"&amp;$A5))/1000000),0),IF($A$2="SKEW",IFERROR(VALUE(IF(RTD("tos.rtd",,"IMPL_VOL","."&amp;U$2&amp;U$1&amp;"P"&amp;$A5)="N/A",0,RTD("tos.rtd",,"IMPL_VOL","."&amp;U$2&amp;U$1&amp;"P"&amp;$A5))),0)-IFERROR(VALUE(IF(RTD("tos.rtd",,"IMPL_VOL","."&amp;U$2&amp;U$1&amp;"C"&amp;$A5)="N/A",0,RTD("tos.rtd",,"IMPL_VOL","."&amp;U$2&amp;U$1&amp;"C"&amp;$A5))),0),IF($A$2="MAXPAIN",IF($A$4&gt;$A5,($A$4-$A5)*IF(RTD("tos.rtd",,"OPEN_INT","."&amp;U$2&amp;U$1&amp;"C"&amp;$A5)="N/A",0,RTD("tos.rtd",,"OPEN_INT","."&amp;U$2&amp;U$1&amp;"C"&amp;$A5)),0)+IF($A$4&lt;$A5,($A$5-$A$4)*IF(RTD("tos.rtd",,"OPEN_INT","."&amp;U$2&amp;U$1&amp;"P"&amp;$A5)="N/A",0,RTD("tos.rtd",,"OPEN_INT","."&amp;U$2&amp;U$1&amp;"P"&amp;$A5)),0),IF($X$1="ABS",IF(RTD("tos.rtd",,$A$2,"."&amp;U$2&amp;U$1&amp;"C"&amp;$A5)="N/A",0,RTD("tos.rtd",,$A$2,"."&amp;U$2&amp;U$1&amp;"C"&amp;$A5))+IF(RTD("tos.rtd",,$A$2,"."&amp;U$2&amp;U$1&amp;"P"&amp;$A5)="N/A",0,RTD("tos.rtd",,$A$2,"."&amp;U$2&amp;U$1&amp;"P"&amp;$A5)),IF(RTD("tos.rtd",,$A$2,"."&amp;U$2&amp;U$1&amp;"C"&amp;$A5)="N/A",0,RTD("tos.rtd",,$A$2,"."&amp;U$2&amp;U$1&amp;"C"&amp;$A5))-IF(RTD("tos.rtd",,$A$2,"."&amp;U$2&amp;U$1&amp;"P"&amp;$A5)="N/A",0,RTD("tos.rtd",,$A$2,"."&amp;U$2&amp;U$1&amp;"P"&amp;$A5))))))))))</f>
        <v>0</v>
      </c>
      <c r="V5" s="5">
        <f ca="1">IF($A$2="PREMIUM_OI",IFERROR(IF($X$1="ABS",(100*RTD("tos.rtd",,"OPEN_INT","."&amp;V$2&amp;V$1&amp;"C"&amp;$A5)*RTD("tos.rtd",,"LAST","."&amp;V$2&amp;V$1&amp;"C"&amp;$A5)+100*RTD("tos.rtd",,"OPEN_INT","."&amp;V$2&amp;V$1&amp;"P"&amp;$A5)*RTD("tos.rtd",,"LAST","."&amp;V$2&amp;V$1&amp;"P"&amp;$A5))/1000000,(100*RTD("tos.rtd",,"OPEN_INT","."&amp;V$2&amp;V$1&amp;"C"&amp;$A5)*RTD("tos.rtd",,"LAST","."&amp;V$2&amp;V$1&amp;"C"&amp;$A5)-100*RTD("tos.rtd",,"OPEN_INT","."&amp;V$2&amp;V$1&amp;"P"&amp;$A5)*RTD("tos.rtd",,"LAST","."&amp;V$2&amp;V$1&amp;"P"&amp;$A5))/1000000),0),IF($A$2="PREMIUM",IFERROR(IF($X$1="ABS",(100*RTD("tos.rtd",,"VOLUME","."&amp;V$2&amp;V$1&amp;"C"&amp;$A5)*RTD("tos.rtd",,"LAST","."&amp;V$2&amp;V$1&amp;"C"&amp;$A5)+100*RTD("tos.rtd",,"VOLUME","."&amp;V$2&amp;V$1&amp;"P"&amp;$A5)*RTD("tos.rtd",,"LAST","."&amp;V$2&amp;V$1&amp;"P"&amp;$A5))/1000000,(100*RTD("tos.rtd",,"VOLUME","."&amp;V$2&amp;V$1&amp;"C"&amp;$A5)*RTD("tos.rtd",,"LAST","."&amp;V$2&amp;V$1&amp;"C"&amp;$A5)-100*RTD("tos.rtd",,"VOLUME","."&amp;V$2&amp;V$1&amp;"P"&amp;$A5)*RTD("tos.rtd",,"LAST","."&amp;V$2&amp;V$1&amp;"P"&amp;$A5))/1000000),0),IF($A$2="DEX",IFERROR(IF($X$1="ABS",(100*RTD("tos.rtd",,"OPEN_INT","."&amp;V$2&amp;V$1&amp;"C"&amp;$A5)*RTD("tos.rtd",,"DELTA","."&amp;V$2&amp;V$1&amp;"C"&amp;$A5)+100*RTD("tos.rtd",,"OPEN_INT","."&amp;V$2&amp;V$1&amp;"P"&amp;$A5)*RTD("tos.rtd",,"DELTA","."&amp;V$2&amp;V$1&amp;"P"&amp;$A5))/1000,(100*RTD("tos.rtd",,"OPEN_INT","."&amp;V$2&amp;V$1&amp;"C"&amp;$A5)*RTD("tos.rtd",,"DELTA","."&amp;V$2&amp;V$1&amp;"C"&amp;$A5)-100*RTD("tos.rtd",,"OPEN_INT","."&amp;V$2&amp;V$1&amp;"P"&amp;$A5)*RTD("tos.rtd",,"DELTA","."&amp;V$2&amp;V$1&amp;"P"&amp;$A5))/1000),0),IF($A$2="VEX",IFERROR(IF($X$1="ABS",($A$4*$A$4*RTD("tos.rtd",,"VOLUME","."&amp;V$2&amp;V$1&amp;"C"&amp;$A5)*RTD("tos.rtd",,"GAMMA","."&amp;V$2&amp;V$1&amp;"C"&amp;$A5)+$A$4*$A$4*RTD("tos.rtd",,"VOLUME","."&amp;V$2&amp;V$1&amp;"P"&amp;$A5)*RTD("tos.rtd",,"GAMMA","."&amp;V$2&amp;V$1&amp;"P"&amp;$A5))/1000000,($A$4*$A$4*RTD("tos.rtd",,"VOLUME","."&amp;V$2&amp;V$1&amp;"C"&amp;$A5)*RTD("tos.rtd",,"GAMMA","."&amp;V$2&amp;V$1&amp;"C"&amp;$A5)-$A$4*$A$4*RTD("tos.rtd",,"VOLUME","."&amp;V$2&amp;V$1&amp;"P"&amp;$A5)*RTD("tos.rtd",,"GAMMA","."&amp;V$2&amp;V$1&amp;"P"&amp;$A5))/1000000),0),IF($A$2="GEX",IFERROR(IF($X$1="ABS",($A$4*$A$4*RTD("tos.rtd",,"OPEN_INT","."&amp;V$2&amp;V$1&amp;"C"&amp;$A5)*RTD("tos.rtd",,"GAMMA","."&amp;V$2&amp;V$1&amp;"C"&amp;$A5)+$A$4*$A$4*RTD("tos.rtd",,"OPEN_INT","."&amp;V$2&amp;V$1&amp;"P"&amp;$A5)*RTD("tos.rtd",,"GAMMA","."&amp;V$2&amp;V$1&amp;"P"&amp;$A5))/1000000,($A$4*$A$4*RTD("tos.rtd",,"OPEN_INT","."&amp;V$2&amp;V$1&amp;"C"&amp;$A5)*RTD("tos.rtd",,"GAMMA","."&amp;V$2&amp;V$1&amp;"C"&amp;$A5)-$A$4*$A$4*RTD("tos.rtd",,"OPEN_INT","."&amp;V$2&amp;V$1&amp;"P"&amp;$A5)*RTD("tos.rtd",,"GAMMA","."&amp;V$2&amp;V$1&amp;"P"&amp;$A5))/1000000),0),IF($A$2="SKEW",IFERROR(VALUE(IF(RTD("tos.rtd",,"IMPL_VOL","."&amp;V$2&amp;V$1&amp;"P"&amp;$A5)="N/A",0,RTD("tos.rtd",,"IMPL_VOL","."&amp;V$2&amp;V$1&amp;"P"&amp;$A5))),0)-IFERROR(VALUE(IF(RTD("tos.rtd",,"IMPL_VOL","."&amp;V$2&amp;V$1&amp;"C"&amp;$A5)="N/A",0,RTD("tos.rtd",,"IMPL_VOL","."&amp;V$2&amp;V$1&amp;"C"&amp;$A5))),0),IF($A$2="MAXPAIN",IF($A$4&gt;$A5,($A$4-$A5)*IF(RTD("tos.rtd",,"OPEN_INT","."&amp;V$2&amp;V$1&amp;"C"&amp;$A5)="N/A",0,RTD("tos.rtd",,"OPEN_INT","."&amp;V$2&amp;V$1&amp;"C"&amp;$A5)),0)+IF($A$4&lt;$A5,($A$5-$A$4)*IF(RTD("tos.rtd",,"OPEN_INT","."&amp;V$2&amp;V$1&amp;"P"&amp;$A5)="N/A",0,RTD("tos.rtd",,"OPEN_INT","."&amp;V$2&amp;V$1&amp;"P"&amp;$A5)),0),IF($X$1="ABS",IF(RTD("tos.rtd",,$A$2,"."&amp;V$2&amp;V$1&amp;"C"&amp;$A5)="N/A",0,RTD("tos.rtd",,$A$2,"."&amp;V$2&amp;V$1&amp;"C"&amp;$A5))+IF(RTD("tos.rtd",,$A$2,"."&amp;V$2&amp;V$1&amp;"P"&amp;$A5)="N/A",0,RTD("tos.rtd",,$A$2,"."&amp;V$2&amp;V$1&amp;"P"&amp;$A5)),IF(RTD("tos.rtd",,$A$2,"."&amp;V$2&amp;V$1&amp;"C"&amp;$A5)="N/A",0,RTD("tos.rtd",,$A$2,"."&amp;V$2&amp;V$1&amp;"C"&amp;$A5))-IF(RTD("tos.rtd",,$A$2,"."&amp;V$2&amp;V$1&amp;"P"&amp;$A5)="N/A",0,RTD("tos.rtd",,$A$2,"."&amp;V$2&amp;V$1&amp;"P"&amp;$A5))))))))))</f>
        <v>0</v>
      </c>
      <c r="W5" s="53">
        <f ca="1">IF($A$2="PREMIUM_OI",IFERROR(IF($X$1="ABS",(100*RTD("tos.rtd",,"OPEN_INT","."&amp;W$2&amp;W$1&amp;"C"&amp;$A5)*RTD("tos.rtd",,"LAST","."&amp;W$2&amp;W$1&amp;"C"&amp;$A5)+100*RTD("tos.rtd",,"OPEN_INT","."&amp;W$2&amp;W$1&amp;"P"&amp;$A5)*RTD("tos.rtd",,"LAST","."&amp;W$2&amp;W$1&amp;"P"&amp;$A5))/1000000,(100*RTD("tos.rtd",,"OPEN_INT","."&amp;W$2&amp;W$1&amp;"C"&amp;$A5)*RTD("tos.rtd",,"LAST","."&amp;W$2&amp;W$1&amp;"C"&amp;$A5)-100*RTD("tos.rtd",,"OPEN_INT","."&amp;W$2&amp;W$1&amp;"P"&amp;$A5)*RTD("tos.rtd",,"LAST","."&amp;W$2&amp;W$1&amp;"P"&amp;$A5))/1000000),0),IF($A$2="PREMIUM",IFERROR(IF($X$1="ABS",(100*RTD("tos.rtd",,"VOLUME","."&amp;W$2&amp;W$1&amp;"C"&amp;$A5)*RTD("tos.rtd",,"LAST","."&amp;W$2&amp;W$1&amp;"C"&amp;$A5)+100*RTD("tos.rtd",,"VOLUME","."&amp;W$2&amp;W$1&amp;"P"&amp;$A5)*RTD("tos.rtd",,"LAST","."&amp;W$2&amp;W$1&amp;"P"&amp;$A5))/1000000,(100*RTD("tos.rtd",,"VOLUME","."&amp;W$2&amp;W$1&amp;"C"&amp;$A5)*RTD("tos.rtd",,"LAST","."&amp;W$2&amp;W$1&amp;"C"&amp;$A5)-100*RTD("tos.rtd",,"VOLUME","."&amp;W$2&amp;W$1&amp;"P"&amp;$A5)*RTD("tos.rtd",,"LAST","."&amp;W$2&amp;W$1&amp;"P"&amp;$A5))/1000000),0),IF($A$2="DEX",IFERROR(IF($X$1="ABS",(100*RTD("tos.rtd",,"OPEN_INT","."&amp;W$2&amp;W$1&amp;"C"&amp;$A5)*RTD("tos.rtd",,"DELTA","."&amp;W$2&amp;W$1&amp;"C"&amp;$A5)+100*RTD("tos.rtd",,"OPEN_INT","."&amp;W$2&amp;W$1&amp;"P"&amp;$A5)*RTD("tos.rtd",,"DELTA","."&amp;W$2&amp;W$1&amp;"P"&amp;$A5))/1000,(100*RTD("tos.rtd",,"OPEN_INT","."&amp;W$2&amp;W$1&amp;"C"&amp;$A5)*RTD("tos.rtd",,"DELTA","."&amp;W$2&amp;W$1&amp;"C"&amp;$A5)-100*RTD("tos.rtd",,"OPEN_INT","."&amp;W$2&amp;W$1&amp;"P"&amp;$A5)*RTD("tos.rtd",,"DELTA","."&amp;W$2&amp;W$1&amp;"P"&amp;$A5))/1000),0),IF($A$2="VEX",IFERROR(IF($X$1="ABS",($A$4*$A$4*RTD("tos.rtd",,"VOLUME","."&amp;W$2&amp;W$1&amp;"C"&amp;$A5)*RTD("tos.rtd",,"GAMMA","."&amp;W$2&amp;W$1&amp;"C"&amp;$A5)+$A$4*$A$4*RTD("tos.rtd",,"VOLUME","."&amp;W$2&amp;W$1&amp;"P"&amp;$A5)*RTD("tos.rtd",,"GAMMA","."&amp;W$2&amp;W$1&amp;"P"&amp;$A5))/1000000,($A$4*$A$4*RTD("tos.rtd",,"VOLUME","."&amp;W$2&amp;W$1&amp;"C"&amp;$A5)*RTD("tos.rtd",,"GAMMA","."&amp;W$2&amp;W$1&amp;"C"&amp;$A5)-$A$4*$A$4*RTD("tos.rtd",,"VOLUME","."&amp;W$2&amp;W$1&amp;"P"&amp;$A5)*RTD("tos.rtd",,"GAMMA","."&amp;W$2&amp;W$1&amp;"P"&amp;$A5))/1000000),0),IF($A$2="GEX",IFERROR(IF($X$1="ABS",($A$4*$A$4*RTD("tos.rtd",,"OPEN_INT","."&amp;W$2&amp;W$1&amp;"C"&amp;$A5)*RTD("tos.rtd",,"GAMMA","."&amp;W$2&amp;W$1&amp;"C"&amp;$A5)+$A$4*$A$4*RTD("tos.rtd",,"OPEN_INT","."&amp;W$2&amp;W$1&amp;"P"&amp;$A5)*RTD("tos.rtd",,"GAMMA","."&amp;W$2&amp;W$1&amp;"P"&amp;$A5))/1000000,($A$4*$A$4*RTD("tos.rtd",,"OPEN_INT","."&amp;W$2&amp;W$1&amp;"C"&amp;$A5)*RTD("tos.rtd",,"GAMMA","."&amp;W$2&amp;W$1&amp;"C"&amp;$A5)-$A$4*$A$4*RTD("tos.rtd",,"OPEN_INT","."&amp;W$2&amp;W$1&amp;"P"&amp;$A5)*RTD("tos.rtd",,"GAMMA","."&amp;W$2&amp;W$1&amp;"P"&amp;$A5))/1000000),0),IF($A$2="SKEW",IFERROR(VALUE(IF(RTD("tos.rtd",,"IMPL_VOL","."&amp;W$2&amp;W$1&amp;"P"&amp;$A5)="N/A",0,RTD("tos.rtd",,"IMPL_VOL","."&amp;W$2&amp;W$1&amp;"P"&amp;$A5))),0)-IFERROR(VALUE(IF(RTD("tos.rtd",,"IMPL_VOL","."&amp;W$2&amp;W$1&amp;"C"&amp;$A5)="N/A",0,RTD("tos.rtd",,"IMPL_VOL","."&amp;W$2&amp;W$1&amp;"C"&amp;$A5))),0),IF($A$2="MAXPAIN",IF($A$4&gt;$A5,($A$4-$A5)*IF(RTD("tos.rtd",,"OPEN_INT","."&amp;W$2&amp;W$1&amp;"C"&amp;$A5)="N/A",0,RTD("tos.rtd",,"OPEN_INT","."&amp;W$2&amp;W$1&amp;"C"&amp;$A5)),0)+IF($A$4&lt;$A5,($A$5-$A$4)*IF(RTD("tos.rtd",,"OPEN_INT","."&amp;W$2&amp;W$1&amp;"P"&amp;$A5)="N/A",0,RTD("tos.rtd",,"OPEN_INT","."&amp;W$2&amp;W$1&amp;"P"&amp;$A5)),0),IF($X$1="ABS",IF(RTD("tos.rtd",,$A$2,"."&amp;W$2&amp;W$1&amp;"C"&amp;$A5)="N/A",0,RTD("tos.rtd",,$A$2,"."&amp;W$2&amp;W$1&amp;"C"&amp;$A5))+IF(RTD("tos.rtd",,$A$2,"."&amp;W$2&amp;W$1&amp;"P"&amp;$A5)="N/A",0,RTD("tos.rtd",,$A$2,"."&amp;W$2&amp;W$1&amp;"P"&amp;$A5)),IF(RTD("tos.rtd",,$A$2,"."&amp;W$2&amp;W$1&amp;"C"&amp;$A5)="N/A",0,RTD("tos.rtd",,$A$2,"."&amp;W$2&amp;W$1&amp;"C"&amp;$A5))-IF(RTD("tos.rtd",,$A$2,"."&amp;W$2&amp;W$1&amp;"P"&amp;$A5)="N/A",0,RTD("tos.rtd",,$A$2,"."&amp;W$2&amp;W$1&amp;"P"&amp;$A5))))))))))</f>
        <v>0</v>
      </c>
      <c r="X5" s="56">
        <f ca="1">SUMPRODUCT(B5:W5,$B$52:$W$52)</f>
        <v>0</v>
      </c>
      <c r="Y5" s="27">
        <f ca="1">+X5</f>
        <v>0</v>
      </c>
      <c r="Z5" s="27">
        <f ca="1">+'OI-VOL'!Y5</f>
        <v>0</v>
      </c>
      <c r="AA5" s="27" t="b">
        <f ca="1">IF(AND(A5&gt;$Y$52,A5&lt;$Y$4),ABS(AVERAGE(Y4:Y6)))</f>
        <v>0</v>
      </c>
      <c r="AB5" s="27">
        <f>SUM(AC5:BW5)</f>
        <v>260892200</v>
      </c>
      <c r="AC5" s="18">
        <f>MAX(0, $A5-AC$4)*IF(RTD("tos.rtd",,"OPEN_INT","."&amp;$AB$3&amp;$AB$4&amp;"C"&amp;AC$4)="N/A",0,RTD("tos.rtd",,"OPEN_INT","."&amp;$AB$3&amp;$AB$4&amp;"C"&amp;AC$4))*100 + MAX(0, AC$4-$A5)*IF(RTD("tos.rtd",,"OPEN_INT","."&amp;$AB$3&amp;$AB$4&amp;"P"&amp;AC$4)="N/A",0,RTD("tos.rtd",,"OPEN_INT","."&amp;$AB$3&amp;$AB$4&amp;"P"&amp;AC$4))*100</f>
        <v>0</v>
      </c>
      <c r="AD5" s="18">
        <f>MAX(0, $A5-AD$4)*IF(RTD("tos.rtd",,"OPEN_INT","."&amp;$AB$3&amp;$AB$4&amp;"C"&amp;AD$4)="N/A",0,RTD("tos.rtd",,"OPEN_INT","."&amp;$AB$3&amp;$AB$4&amp;"C"&amp;AD$4))*100 + MAX(0, AD$4-$A5)*IF(RTD("tos.rtd",,"OPEN_INT","."&amp;$AB$3&amp;$AB$4&amp;"P"&amp;AD$4)="N/A",0,RTD("tos.rtd",,"OPEN_INT","."&amp;$AB$3&amp;$AB$4&amp;"P"&amp;AD$4))*100</f>
        <v>0</v>
      </c>
      <c r="AE5" s="18">
        <f>MAX(0, $A5-AE$4)*IF(RTD("tos.rtd",,"OPEN_INT","."&amp;$AB$3&amp;$AB$4&amp;"C"&amp;AE$4)="N/A",0,RTD("tos.rtd",,"OPEN_INT","."&amp;$AB$3&amp;$AB$4&amp;"C"&amp;AE$4))*100 + MAX(0, AE$4-$A5)*IF(RTD("tos.rtd",,"OPEN_INT","."&amp;$AB$3&amp;$AB$4&amp;"P"&amp;AE$4)="N/A",0,RTD("tos.rtd",,"OPEN_INT","."&amp;$AB$3&amp;$AB$4&amp;"P"&amp;AE$4))*100</f>
        <v>0</v>
      </c>
      <c r="AF5" s="18">
        <f>MAX(0, $A5-AF$4)*IF(RTD("tos.rtd",,"OPEN_INT","."&amp;$AB$3&amp;$AB$4&amp;"C"&amp;AF$4)="N/A",0,RTD("tos.rtd",,"OPEN_INT","."&amp;$AB$3&amp;$AB$4&amp;"C"&amp;AF$4))*100 + MAX(0, AF$4-$A5)*IF(RTD("tos.rtd",,"OPEN_INT","."&amp;$AB$3&amp;$AB$4&amp;"P"&amp;AF$4)="N/A",0,RTD("tos.rtd",,"OPEN_INT","."&amp;$AB$3&amp;$AB$4&amp;"P"&amp;AF$4))*100</f>
        <v>0</v>
      </c>
      <c r="AG5" s="18">
        <f>MAX(0, $A5-AG$4)*IF(RTD("tos.rtd",,"OPEN_INT","."&amp;$AB$3&amp;$AB$4&amp;"C"&amp;AG$4)="N/A",0,RTD("tos.rtd",,"OPEN_INT","."&amp;$AB$3&amp;$AB$4&amp;"C"&amp;AG$4))*100 + MAX(0, AG$4-$A5)*IF(RTD("tos.rtd",,"OPEN_INT","."&amp;$AB$3&amp;$AB$4&amp;"P"&amp;AG$4)="N/A",0,RTD("tos.rtd",,"OPEN_INT","."&amp;$AB$3&amp;$AB$4&amp;"P"&amp;AG$4))*100</f>
        <v>0</v>
      </c>
      <c r="AH5" s="18">
        <f>MAX(0, $A5-AH$4)*IF(RTD("tos.rtd",,"OPEN_INT","."&amp;$AB$3&amp;$AB$4&amp;"C"&amp;AH$4)="N/A",0,RTD("tos.rtd",,"OPEN_INT","."&amp;$AB$3&amp;$AB$4&amp;"C"&amp;AH$4))*100 + MAX(0, AH$4-$A5)*IF(RTD("tos.rtd",,"OPEN_INT","."&amp;$AB$3&amp;$AB$4&amp;"P"&amp;AH$4)="N/A",0,RTD("tos.rtd",,"OPEN_INT","."&amp;$AB$3&amp;$AB$4&amp;"P"&amp;AH$4))*100</f>
        <v>0</v>
      </c>
      <c r="AI5" s="18">
        <f>MAX(0, $A5-AI$4)*IF(RTD("tos.rtd",,"OPEN_INT","."&amp;$AB$3&amp;$AB$4&amp;"C"&amp;AI$4)="N/A",0,RTD("tos.rtd",,"OPEN_INT","."&amp;$AB$3&amp;$AB$4&amp;"C"&amp;AI$4))*100 + MAX(0, AI$4-$A5)*IF(RTD("tos.rtd",,"OPEN_INT","."&amp;$AB$3&amp;$AB$4&amp;"P"&amp;AI$4)="N/A",0,RTD("tos.rtd",,"OPEN_INT","."&amp;$AB$3&amp;$AB$4&amp;"P"&amp;AI$4))*100</f>
        <v>0</v>
      </c>
      <c r="AJ5" s="18">
        <f>MAX(0, $A5-AJ$4)*IF(RTD("tos.rtd",,"OPEN_INT","."&amp;$AB$3&amp;$AB$4&amp;"C"&amp;AJ$4)="N/A",0,RTD("tos.rtd",,"OPEN_INT","."&amp;$AB$3&amp;$AB$4&amp;"C"&amp;AJ$4))*100 + MAX(0, AJ$4-$A5)*IF(RTD("tos.rtd",,"OPEN_INT","."&amp;$AB$3&amp;$AB$4&amp;"P"&amp;AJ$4)="N/A",0,RTD("tos.rtd",,"OPEN_INT","."&amp;$AB$3&amp;$AB$4&amp;"P"&amp;AJ$4))*100</f>
        <v>950600</v>
      </c>
      <c r="AK5" s="18">
        <f>MAX(0, $A5-AK$4)*IF(RTD("tos.rtd",,"OPEN_INT","."&amp;$AB$3&amp;$AB$4&amp;"C"&amp;AK$4)="N/A",0,RTD("tos.rtd",,"OPEN_INT","."&amp;$AB$3&amp;$AB$4&amp;"C"&amp;AK$4))*100 + MAX(0, AK$4-$A5)*IF(RTD("tos.rtd",,"OPEN_INT","."&amp;$AB$3&amp;$AB$4&amp;"P"&amp;AK$4)="N/A",0,RTD("tos.rtd",,"OPEN_INT","."&amp;$AB$3&amp;$AB$4&amp;"P"&amp;AK$4))*100</f>
        <v>107600</v>
      </c>
      <c r="AL5" s="18">
        <f>MAX(0, $A5-AL$4)*IF(RTD("tos.rtd",,"OPEN_INT","."&amp;$AB$3&amp;$AB$4&amp;"C"&amp;AL$4)="N/A",0,RTD("tos.rtd",,"OPEN_INT","."&amp;$AB$3&amp;$AB$4&amp;"C"&amp;AL$4))*100 + MAX(0, AL$4-$A5)*IF(RTD("tos.rtd",,"OPEN_INT","."&amp;$AB$3&amp;$AB$4&amp;"P"&amp;AL$4)="N/A",0,RTD("tos.rtd",,"OPEN_INT","."&amp;$AB$3&amp;$AB$4&amp;"P"&amp;AL$4))*100</f>
        <v>1265850</v>
      </c>
      <c r="AM5" s="18">
        <f>MAX(0, $A5-AM$4)*IF(RTD("tos.rtd",,"OPEN_INT","."&amp;$AB$3&amp;$AB$4&amp;"C"&amp;AM$4)="N/A",0,RTD("tos.rtd",,"OPEN_INT","."&amp;$AB$3&amp;$AB$4&amp;"C"&amp;AM$4))*100 + MAX(0, AM$4-$A5)*IF(RTD("tos.rtd",,"OPEN_INT","."&amp;$AB$3&amp;$AB$4&amp;"P"&amp;AM$4)="N/A",0,RTD("tos.rtd",,"OPEN_INT","."&amp;$AB$3&amp;$AB$4&amp;"P"&amp;AM$4))*100</f>
        <v>0</v>
      </c>
      <c r="AN5" s="18">
        <f>MAX(0, $A5-AN$4)*IF(RTD("tos.rtd",,"OPEN_INT","."&amp;$AB$3&amp;$AB$4&amp;"C"&amp;AN$4)="N/A",0,RTD("tos.rtd",,"OPEN_INT","."&amp;$AB$3&amp;$AB$4&amp;"C"&amp;AN$4))*100 + MAX(0, AN$4-$A5)*IF(RTD("tos.rtd",,"OPEN_INT","."&amp;$AB$3&amp;$AB$4&amp;"P"&amp;AN$4)="N/A",0,RTD("tos.rtd",,"OPEN_INT","."&amp;$AB$3&amp;$AB$4&amp;"P"&amp;AN$4))*100</f>
        <v>1300750</v>
      </c>
      <c r="AO5" s="18">
        <f>MAX(0, $A5-AO$4)*IF(RTD("tos.rtd",,"OPEN_INT","."&amp;$AB$3&amp;$AB$4&amp;"C"&amp;AO$4)="N/A",0,RTD("tos.rtd",,"OPEN_INT","."&amp;$AB$3&amp;$AB$4&amp;"C"&amp;AO$4))*100 + MAX(0, AO$4-$A5)*IF(RTD("tos.rtd",,"OPEN_INT","."&amp;$AB$3&amp;$AB$4&amp;"P"&amp;AO$4)="N/A",0,RTD("tos.rtd",,"OPEN_INT","."&amp;$AB$3&amp;$AB$4&amp;"P"&amp;AO$4))*100</f>
        <v>0</v>
      </c>
      <c r="AP5" s="18">
        <f>MAX(0, $A5-AP$4)*IF(RTD("tos.rtd",,"OPEN_INT","."&amp;$AB$3&amp;$AB$4&amp;"C"&amp;AP$4)="N/A",0,RTD("tos.rtd",,"OPEN_INT","."&amp;$AB$3&amp;$AB$4&amp;"C"&amp;AP$4))*100 + MAX(0, AP$4-$A5)*IF(RTD("tos.rtd",,"OPEN_INT","."&amp;$AB$3&amp;$AB$4&amp;"P"&amp;AP$4)="N/A",0,RTD("tos.rtd",,"OPEN_INT","."&amp;$AB$3&amp;$AB$4&amp;"P"&amp;AP$4))*100</f>
        <v>447850</v>
      </c>
      <c r="AQ5" s="18">
        <f>MAX(0, $A5-AQ$4)*IF(RTD("tos.rtd",,"OPEN_INT","."&amp;$AB$3&amp;$AB$4&amp;"C"&amp;AQ$4)="N/A",0,RTD("tos.rtd",,"OPEN_INT","."&amp;$AB$3&amp;$AB$4&amp;"C"&amp;AQ$4))*100 + MAX(0, AQ$4-$A5)*IF(RTD("tos.rtd",,"OPEN_INT","."&amp;$AB$3&amp;$AB$4&amp;"P"&amp;AQ$4)="N/A",0,RTD("tos.rtd",,"OPEN_INT","."&amp;$AB$3&amp;$AB$4&amp;"P"&amp;AQ$4))*100</f>
        <v>0</v>
      </c>
      <c r="AR5" s="18">
        <f>MAX(0, $A5-AR$4)*IF(RTD("tos.rtd",,"OPEN_INT","."&amp;$AB$3&amp;$AB$4&amp;"C"&amp;AR$4)="N/A",0,RTD("tos.rtd",,"OPEN_INT","."&amp;$AB$3&amp;$AB$4&amp;"C"&amp;AR$4))*100 + MAX(0, AR$4-$A5)*IF(RTD("tos.rtd",,"OPEN_INT","."&amp;$AB$3&amp;$AB$4&amp;"P"&amp;AR$4)="N/A",0,RTD("tos.rtd",,"OPEN_INT","."&amp;$AB$3&amp;$AB$4&amp;"P"&amp;AR$4))*100</f>
        <v>480000</v>
      </c>
      <c r="AS5" s="18">
        <f>MAX(0, $A5-AS$4)*IF(RTD("tos.rtd",,"OPEN_INT","."&amp;$AB$3&amp;$AB$4&amp;"C"&amp;AS$4)="N/A",0,RTD("tos.rtd",,"OPEN_INT","."&amp;$AB$3&amp;$AB$4&amp;"C"&amp;AS$4))*100 + MAX(0, AS$4-$A5)*IF(RTD("tos.rtd",,"OPEN_INT","."&amp;$AB$3&amp;$AB$4&amp;"P"&amp;AS$4)="N/A",0,RTD("tos.rtd",,"OPEN_INT","."&amp;$AB$3&amp;$AB$4&amp;"P"&amp;AS$4))*100</f>
        <v>800</v>
      </c>
      <c r="AT5" s="18">
        <f>MAX(0, $A5-AT$4)*IF(RTD("tos.rtd",,"OPEN_INT","."&amp;$AB$3&amp;$AB$4&amp;"C"&amp;AT$4)="N/A",0,RTD("tos.rtd",,"OPEN_INT","."&amp;$AB$3&amp;$AB$4&amp;"C"&amp;AT$4))*100 + MAX(0, AT$4-$A5)*IF(RTD("tos.rtd",,"OPEN_INT","."&amp;$AB$3&amp;$AB$4&amp;"P"&amp;AT$4)="N/A",0,RTD("tos.rtd",,"OPEN_INT","."&amp;$AB$3&amp;$AB$4&amp;"P"&amp;AT$4))*100</f>
        <v>732700</v>
      </c>
      <c r="AU5" s="18">
        <f>MAX(0, $A5-AU$4)*IF(RTD("tos.rtd",,"OPEN_INT","."&amp;$AB$3&amp;$AB$4&amp;"C"&amp;AU$4)="N/A",0,RTD("tos.rtd",,"OPEN_INT","."&amp;$AB$3&amp;$AB$4&amp;"C"&amp;AU$4))*100 + MAX(0, AU$4-$A5)*IF(RTD("tos.rtd",,"OPEN_INT","."&amp;$AB$3&amp;$AB$4&amp;"P"&amp;AU$4)="N/A",0,RTD("tos.rtd",,"OPEN_INT","."&amp;$AB$3&amp;$AB$4&amp;"P"&amp;AU$4))*100</f>
        <v>1261800</v>
      </c>
      <c r="AV5" s="18">
        <f>MAX(0, $A5-AV$4)*IF(RTD("tos.rtd",,"OPEN_INT","."&amp;$AB$3&amp;$AB$4&amp;"C"&amp;AV$4)="N/A",0,RTD("tos.rtd",,"OPEN_INT","."&amp;$AB$3&amp;$AB$4&amp;"C"&amp;AV$4))*100 + MAX(0, AV$4-$A5)*IF(RTD("tos.rtd",,"OPEN_INT","."&amp;$AB$3&amp;$AB$4&amp;"P"&amp;AV$4)="N/A",0,RTD("tos.rtd",,"OPEN_INT","."&amp;$AB$3&amp;$AB$4&amp;"P"&amp;AV$4))*100</f>
        <v>1598850</v>
      </c>
      <c r="AW5" s="18">
        <f>MAX(0, $A5-AW$4)*IF(RTD("tos.rtd",,"OPEN_INT","."&amp;$AB$3&amp;$AB$4&amp;"C"&amp;AW$4)="N/A",0,RTD("tos.rtd",,"OPEN_INT","."&amp;$AB$3&amp;$AB$4&amp;"C"&amp;AW$4))*100 + MAX(0, AW$4-$A5)*IF(RTD("tos.rtd",,"OPEN_INT","."&amp;$AB$3&amp;$AB$4&amp;"P"&amp;AW$4)="N/A",0,RTD("tos.rtd",,"OPEN_INT","."&amp;$AB$3&amp;$AB$4&amp;"P"&amp;AW$4))*100</f>
        <v>1888000</v>
      </c>
      <c r="AX5" s="18">
        <f>MAX(0, $A5-AX$4)*IF(RTD("tos.rtd",,"OPEN_INT","."&amp;$AB$3&amp;$AB$4&amp;"C"&amp;AX$4)="N/A",0,RTD("tos.rtd",,"OPEN_INT","."&amp;$AB$3&amp;$AB$4&amp;"C"&amp;AX$4))*100 + MAX(0, AX$4-$A5)*IF(RTD("tos.rtd",,"OPEN_INT","."&amp;$AB$3&amp;$AB$4&amp;"P"&amp;AX$4)="N/A",0,RTD("tos.rtd",,"OPEN_INT","."&amp;$AB$3&amp;$AB$4&amp;"P"&amp;AX$4))*100</f>
        <v>3228750</v>
      </c>
      <c r="AY5" s="18">
        <f>MAX(0, $A5-AY$4)*IF(RTD("tos.rtd",,"OPEN_INT","."&amp;$AB$3&amp;$AB$4&amp;"C"&amp;AY$4)="N/A",0,RTD("tos.rtd",,"OPEN_INT","."&amp;$AB$3&amp;$AB$4&amp;"C"&amp;AY$4))*100 + MAX(0, AY$4-$A5)*IF(RTD("tos.rtd",,"OPEN_INT","."&amp;$AB$3&amp;$AB$4&amp;"P"&amp;AY$4)="N/A",0,RTD("tos.rtd",,"OPEN_INT","."&amp;$AB$3&amp;$AB$4&amp;"P"&amp;AY$4))*100</f>
        <v>4678300</v>
      </c>
      <c r="AZ5" s="18">
        <f>MAX(0, $A5-AZ$4)*IF(RTD("tos.rtd",,"OPEN_INT","."&amp;$AB$3&amp;$AB$4&amp;"C"&amp;AZ$4)="N/A",0,RTD("tos.rtd",,"OPEN_INT","."&amp;$AB$3&amp;$AB$4&amp;"C"&amp;AZ$4))*100 + MAX(0, AZ$4-$A5)*IF(RTD("tos.rtd",,"OPEN_INT","."&amp;$AB$3&amp;$AB$4&amp;"P"&amp;AZ$4)="N/A",0,RTD("tos.rtd",,"OPEN_INT","."&amp;$AB$3&amp;$AB$4&amp;"P"&amp;AZ$4))*100</f>
        <v>22480200</v>
      </c>
      <c r="BA5" s="18">
        <f>MAX(0, $A5-BA$4)*IF(RTD("tos.rtd",,"OPEN_INT","."&amp;$AB$3&amp;$AB$4&amp;"C"&amp;BA$4)="N/A",0,RTD("tos.rtd",,"OPEN_INT","."&amp;$AB$3&amp;$AB$4&amp;"C"&amp;BA$4))*100 + MAX(0, BA$4-$A5)*IF(RTD("tos.rtd",,"OPEN_INT","."&amp;$AB$3&amp;$AB$4&amp;"P"&amp;BA$4)="N/A",0,RTD("tos.rtd",,"OPEN_INT","."&amp;$AB$3&amp;$AB$4&amp;"P"&amp;BA$4))*100</f>
        <v>11820000</v>
      </c>
      <c r="BB5" s="18">
        <f>MAX(0, $A5-BB$4)*IF(RTD("tos.rtd",,"OPEN_INT","."&amp;$AB$3&amp;$AB$4&amp;"C"&amp;BB$4)="N/A",0,RTD("tos.rtd",,"OPEN_INT","."&amp;$AB$3&amp;$AB$4&amp;"C"&amp;BB$4))*100 + MAX(0, BB$4-$A5)*IF(RTD("tos.rtd",,"OPEN_INT","."&amp;$AB$3&amp;$AB$4&amp;"P"&amp;BB$4)="N/A",0,RTD("tos.rtd",,"OPEN_INT","."&amp;$AB$3&amp;$AB$4&amp;"P"&amp;BB$4))*100</f>
        <v>38508750</v>
      </c>
      <c r="BC5" s="18">
        <f>MAX(0, $A5-BC$4)*IF(RTD("tos.rtd",,"OPEN_INT","."&amp;$AB$3&amp;$AB$4&amp;"C"&amp;BC$4)="N/A",0,RTD("tos.rtd",,"OPEN_INT","."&amp;$AB$3&amp;$AB$4&amp;"C"&amp;BC$4))*100 + MAX(0, BC$4-$A5)*IF(RTD("tos.rtd",,"OPEN_INT","."&amp;$AB$3&amp;$AB$4&amp;"P"&amp;BC$4)="N/A",0,RTD("tos.rtd",,"OPEN_INT","."&amp;$AB$3&amp;$AB$4&amp;"P"&amp;BC$4))*100</f>
        <v>37255400</v>
      </c>
      <c r="BD5" s="18">
        <f>MAX(0, $A5-BD$4)*IF(RTD("tos.rtd",,"OPEN_INT","."&amp;$AB$3&amp;$AB$4&amp;"C"&amp;BD$4)="N/A",0,RTD("tos.rtd",,"OPEN_INT","."&amp;$AB$3&amp;$AB$4&amp;"C"&amp;BD$4))*100 + MAX(0, BD$4-$A5)*IF(RTD("tos.rtd",,"OPEN_INT","."&amp;$AB$3&amp;$AB$4&amp;"P"&amp;BD$4)="N/A",0,RTD("tos.rtd",,"OPEN_INT","."&amp;$AB$3&amp;$AB$4&amp;"P"&amp;BD$4))*100</f>
        <v>54962550</v>
      </c>
      <c r="BE5" s="18">
        <f>MAX(0, $A5-BE$4)*IF(RTD("tos.rtd",,"OPEN_INT","."&amp;$AB$3&amp;$AB$4&amp;"C"&amp;BE$4)="N/A",0,RTD("tos.rtd",,"OPEN_INT","."&amp;$AB$3&amp;$AB$4&amp;"C"&amp;BE$4))*100 + MAX(0, BE$4-$A5)*IF(RTD("tos.rtd",,"OPEN_INT","."&amp;$AB$3&amp;$AB$4&amp;"P"&amp;BE$4)="N/A",0,RTD("tos.rtd",,"OPEN_INT","."&amp;$AB$3&amp;$AB$4&amp;"P"&amp;BE$4))*100</f>
        <v>25984000</v>
      </c>
      <c r="BF5" s="18">
        <f>MAX(0, $A5-BF$4)*IF(RTD("tos.rtd",,"OPEN_INT","."&amp;$AB$3&amp;$AB$4&amp;"C"&amp;BF$4)="N/A",0,RTD("tos.rtd",,"OPEN_INT","."&amp;$AB$3&amp;$AB$4&amp;"C"&amp;BF$4))*100 + MAX(0, BF$4-$A5)*IF(RTD("tos.rtd",,"OPEN_INT","."&amp;$AB$3&amp;$AB$4&amp;"P"&amp;BF$4)="N/A",0,RTD("tos.rtd",,"OPEN_INT","."&amp;$AB$3&amp;$AB$4&amp;"P"&amp;BF$4))*100</f>
        <v>25053100</v>
      </c>
      <c r="BG5" s="18">
        <f>MAX(0, $A5-BG$4)*IF(RTD("tos.rtd",,"OPEN_INT","."&amp;$AB$3&amp;$AB$4&amp;"C"&amp;BG$4)="N/A",0,RTD("tos.rtd",,"OPEN_INT","."&amp;$AB$3&amp;$AB$4&amp;"C"&amp;BG$4))*100 + MAX(0, BG$4-$A5)*IF(RTD("tos.rtd",,"OPEN_INT","."&amp;$AB$3&amp;$AB$4&amp;"P"&amp;BG$4)="N/A",0,RTD("tos.rtd",,"OPEN_INT","."&amp;$AB$3&amp;$AB$4&amp;"P"&amp;BG$4))*100</f>
        <v>12610500</v>
      </c>
      <c r="BH5" s="18">
        <f>MAX(0, $A5-BH$4)*IF(RTD("tos.rtd",,"OPEN_INT","."&amp;$AB$3&amp;$AB$4&amp;"C"&amp;BH$4)="N/A",0,RTD("tos.rtd",,"OPEN_INT","."&amp;$AB$3&amp;$AB$4&amp;"C"&amp;BH$4))*100 + MAX(0, BH$4-$A5)*IF(RTD("tos.rtd",,"OPEN_INT","."&amp;$AB$3&amp;$AB$4&amp;"P"&amp;BH$4)="N/A",0,RTD("tos.rtd",,"OPEN_INT","."&amp;$AB$3&amp;$AB$4&amp;"P"&amp;BH$4))*100</f>
        <v>8887700</v>
      </c>
      <c r="BI5" s="18">
        <f>MAX(0, $A5-BI$4)*IF(RTD("tos.rtd",,"OPEN_INT","."&amp;$AB$3&amp;$AB$4&amp;"C"&amp;BI$4)="N/A",0,RTD("tos.rtd",,"OPEN_INT","."&amp;$AB$3&amp;$AB$4&amp;"C"&amp;BI$4))*100 + MAX(0, BI$4-$A5)*IF(RTD("tos.rtd",,"OPEN_INT","."&amp;$AB$3&amp;$AB$4&amp;"P"&amp;BI$4)="N/A",0,RTD("tos.rtd",,"OPEN_INT","."&amp;$AB$3&amp;$AB$4&amp;"P"&amp;BI$4))*100</f>
        <v>3108800</v>
      </c>
      <c r="BJ5" s="18">
        <f>MAX(0, $A5-BJ$4)*IF(RTD("tos.rtd",,"OPEN_INT","."&amp;$AB$3&amp;$AB$4&amp;"C"&amp;BJ$4)="N/A",0,RTD("tos.rtd",,"OPEN_INT","."&amp;$AB$3&amp;$AB$4&amp;"C"&amp;BJ$4))*100 + MAX(0, BJ$4-$A5)*IF(RTD("tos.rtd",,"OPEN_INT","."&amp;$AB$3&amp;$AB$4&amp;"P"&amp;BJ$4)="N/A",0,RTD("tos.rtd",,"OPEN_INT","."&amp;$AB$3&amp;$AB$4&amp;"P"&amp;BJ$4))*100</f>
        <v>1389300</v>
      </c>
      <c r="BK5" s="18">
        <f>MAX(0, $A5-BK$4)*IF(RTD("tos.rtd",,"OPEN_INT","."&amp;$AB$3&amp;$AB$4&amp;"C"&amp;BK$4)="N/A",0,RTD("tos.rtd",,"OPEN_INT","."&amp;$AB$3&amp;$AB$4&amp;"C"&amp;BK$4))*100 + MAX(0, BK$4-$A5)*IF(RTD("tos.rtd",,"OPEN_INT","."&amp;$AB$3&amp;$AB$4&amp;"P"&amp;BK$4)="N/A",0,RTD("tos.rtd",,"OPEN_INT","."&amp;$AB$3&amp;$AB$4&amp;"P"&amp;BK$4))*100</f>
        <v>256700</v>
      </c>
      <c r="BL5" s="18">
        <f>MAX(0, $A5-BL$4)*IF(RTD("tos.rtd",,"OPEN_INT","."&amp;$AB$3&amp;$AB$4&amp;"C"&amp;BL$4)="N/A",0,RTD("tos.rtd",,"OPEN_INT","."&amp;$AB$3&amp;$AB$4&amp;"C"&amp;BL$4))*100 + MAX(0, BL$4-$A5)*IF(RTD("tos.rtd",,"OPEN_INT","."&amp;$AB$3&amp;$AB$4&amp;"P"&amp;BL$4)="N/A",0,RTD("tos.rtd",,"OPEN_INT","."&amp;$AB$3&amp;$AB$4&amp;"P"&amp;BL$4))*100</f>
        <v>456750</v>
      </c>
      <c r="BM5" s="18">
        <f>MAX(0, $A5-BM$4)*IF(RTD("tos.rtd",,"OPEN_INT","."&amp;$AB$3&amp;$AB$4&amp;"C"&amp;BM$4)="N/A",0,RTD("tos.rtd",,"OPEN_INT","."&amp;$AB$3&amp;$AB$4&amp;"C"&amp;BM$4))*100 + MAX(0, BM$4-$A5)*IF(RTD("tos.rtd",,"OPEN_INT","."&amp;$AB$3&amp;$AB$4&amp;"P"&amp;BM$4)="N/A",0,RTD("tos.rtd",,"OPEN_INT","."&amp;$AB$3&amp;$AB$4&amp;"P"&amp;BM$4))*100</f>
        <v>28800</v>
      </c>
      <c r="BN5" s="18">
        <f>MAX(0, $A5-BN$4)*IF(RTD("tos.rtd",,"OPEN_INT","."&amp;$AB$3&amp;$AB$4&amp;"C"&amp;BN$4)="N/A",0,RTD("tos.rtd",,"OPEN_INT","."&amp;$AB$3&amp;$AB$4&amp;"C"&amp;BN$4))*100 + MAX(0, BN$4-$A5)*IF(RTD("tos.rtd",,"OPEN_INT","."&amp;$AB$3&amp;$AB$4&amp;"P"&amp;BN$4)="N/A",0,RTD("tos.rtd",,"OPEN_INT","."&amp;$AB$3&amp;$AB$4&amp;"P"&amp;BN$4))*100</f>
        <v>14800</v>
      </c>
      <c r="BO5" s="18">
        <f>MAX(0, $A5-BO$4)*IF(RTD("tos.rtd",,"OPEN_INT","."&amp;$AB$3&amp;$AB$4&amp;"C"&amp;BO$4)="N/A",0,RTD("tos.rtd",,"OPEN_INT","."&amp;$AB$3&amp;$AB$4&amp;"C"&amp;BO$4))*100 + MAX(0, BO$4-$A5)*IF(RTD("tos.rtd",,"OPEN_INT","."&amp;$AB$3&amp;$AB$4&amp;"P"&amp;BO$4)="N/A",0,RTD("tos.rtd",,"OPEN_INT","."&amp;$AB$3&amp;$AB$4&amp;"P"&amp;BO$4))*100</f>
        <v>58900</v>
      </c>
      <c r="BP5" s="18">
        <f>MAX(0, $A5-BP$4)*IF(RTD("tos.rtd",,"OPEN_INT","."&amp;$AB$3&amp;$AB$4&amp;"C"&amp;BP$4)="N/A",0,RTD("tos.rtd",,"OPEN_INT","."&amp;$AB$3&amp;$AB$4&amp;"C"&amp;BP$4))*100 + MAX(0, BP$4-$A5)*IF(RTD("tos.rtd",,"OPEN_INT","."&amp;$AB$3&amp;$AB$4&amp;"P"&amp;BP$4)="N/A",0,RTD("tos.rtd",,"OPEN_INT","."&amp;$AB$3&amp;$AB$4&amp;"P"&amp;BP$4))*100</f>
        <v>74100</v>
      </c>
      <c r="BQ5" s="18">
        <f>MAX(0, $A5-BQ$4)*IF(RTD("tos.rtd",,"OPEN_INT","."&amp;$AB$3&amp;$AB$4&amp;"C"&amp;BQ$4)="N/A",0,RTD("tos.rtd",,"OPEN_INT","."&amp;$AB$3&amp;$AB$4&amp;"C"&amp;BQ$4))*100 + MAX(0, BQ$4-$A5)*IF(RTD("tos.rtd",,"OPEN_INT","."&amp;$AB$3&amp;$AB$4&amp;"P"&amp;BQ$4)="N/A",0,RTD("tos.rtd",,"OPEN_INT","."&amp;$AB$3&amp;$AB$4&amp;"P"&amp;BQ$4))*100</f>
        <v>0</v>
      </c>
      <c r="BR5" s="18">
        <f>MAX(0, $A5-BR$4)*IF(RTD("tos.rtd",,"OPEN_INT","."&amp;$AB$3&amp;$AB$4&amp;"C"&amp;BR$4)="N/A",0,RTD("tos.rtd",,"OPEN_INT","."&amp;$AB$3&amp;$AB$4&amp;"C"&amp;BR$4))*100 + MAX(0, BR$4-$A5)*IF(RTD("tos.rtd",,"OPEN_INT","."&amp;$AB$3&amp;$AB$4&amp;"P"&amp;BR$4)="N/A",0,RTD("tos.rtd",,"OPEN_INT","."&amp;$AB$3&amp;$AB$4&amp;"P"&amp;BR$4))*100</f>
        <v>0</v>
      </c>
      <c r="BS5" s="18">
        <f>MAX(0, $A5-BS$4)*IF(RTD("tos.rtd",,"OPEN_INT","."&amp;$AB$3&amp;$AB$4&amp;"C"&amp;BS$4)="N/A",0,RTD("tos.rtd",,"OPEN_INT","."&amp;$AB$3&amp;$AB$4&amp;"C"&amp;BS$4))*100 + MAX(0, BS$4-$A5)*IF(RTD("tos.rtd",,"OPEN_INT","."&amp;$AB$3&amp;$AB$4&amp;"P"&amp;BS$4)="N/A",0,RTD("tos.rtd",,"OPEN_INT","."&amp;$AB$3&amp;$AB$4&amp;"P"&amp;BS$4))*100</f>
        <v>0</v>
      </c>
      <c r="BT5" s="18">
        <f>MAX(0, $A5-BT$4)*IF(RTD("tos.rtd",,"OPEN_INT","."&amp;$AB$3&amp;$AB$4&amp;"C"&amp;BT$4)="N/A",0,RTD("tos.rtd",,"OPEN_INT","."&amp;$AB$3&amp;$AB$4&amp;"C"&amp;BT$4))*100 + MAX(0, BT$4-$A5)*IF(RTD("tos.rtd",,"OPEN_INT","."&amp;$AB$3&amp;$AB$4&amp;"P"&amp;BT$4)="N/A",0,RTD("tos.rtd",,"OPEN_INT","."&amp;$AB$3&amp;$AB$4&amp;"P"&amp;BT$4))*100</f>
        <v>0</v>
      </c>
      <c r="BU5" s="18">
        <f>MAX(0, $A5-BU$4)*IF(RTD("tos.rtd",,"OPEN_INT","."&amp;$AB$3&amp;$AB$4&amp;"C"&amp;BU$4)="N/A",0,RTD("tos.rtd",,"OPEN_INT","."&amp;$AB$3&amp;$AB$4&amp;"C"&amp;BU$4))*100 + MAX(0, BU$4-$A5)*IF(RTD("tos.rtd",,"OPEN_INT","."&amp;$AB$3&amp;$AB$4&amp;"P"&amp;BU$4)="N/A",0,RTD("tos.rtd",,"OPEN_INT","."&amp;$AB$3&amp;$AB$4&amp;"P"&amp;BU$4))*100</f>
        <v>0</v>
      </c>
      <c r="BV5" s="18">
        <f>MAX(0, $A5-BV$4)*IF(RTD("tos.rtd",,"OPEN_INT","."&amp;$AB$3&amp;$AB$4&amp;"C"&amp;BV$4)="N/A",0,RTD("tos.rtd",,"OPEN_INT","."&amp;$AB$3&amp;$AB$4&amp;"C"&amp;BV$4))*100 + MAX(0, BV$4-$A5)*IF(RTD("tos.rtd",,"OPEN_INT","."&amp;$AB$3&amp;$AB$4&amp;"P"&amp;BV$4)="N/A",0,RTD("tos.rtd",,"OPEN_INT","."&amp;$AB$3&amp;$AB$4&amp;"P"&amp;BV$4))*100</f>
        <v>0</v>
      </c>
      <c r="BW5" s="18">
        <f>MAX(0, $A5-BW$4)*IF(RTD("tos.rtd",,"OPEN_INT","."&amp;$AB$3&amp;$AB$4&amp;"C"&amp;BW$4)="N/A",0,RTD("tos.rtd",,"OPEN_INT","."&amp;$AB$3&amp;$AB$4&amp;"C"&amp;BW$4))*100 + MAX(0, BW$4-$A5)*IF(RTD("tos.rtd",,"OPEN_INT","."&amp;$AB$3&amp;$AB$4&amp;"P"&amp;BW$4)="N/A",0,RTD("tos.rtd",,"OPEN_INT","."&amp;$AB$3&amp;$AB$4&amp;"P"&amp;BW$4))*100</f>
        <v>0</v>
      </c>
    </row>
    <row r="6" spans="1:75" s="19" customFormat="1" ht="11.1" customHeight="1" thickBot="1" x14ac:dyDescent="0.3">
      <c r="A6" s="23">
        <f t="shared" si="7"/>
        <v>21</v>
      </c>
      <c r="B6" s="14">
        <f ca="1">IF($A$2="PREMIUM_OI",IFERROR(IF($X$1="ABS",(100*RTD("tos.rtd",,"OPEN_INT","."&amp;B$2&amp;B$1&amp;"C"&amp;$A6)*RTD("tos.rtd",,"LAST","."&amp;B$2&amp;B$1&amp;"C"&amp;$A6)+100*RTD("tos.rtd",,"OPEN_INT","."&amp;B$2&amp;B$1&amp;"P"&amp;$A6)*RTD("tos.rtd",,"LAST","."&amp;B$2&amp;B$1&amp;"P"&amp;$A6))/1000000,(100*RTD("tos.rtd",,"OPEN_INT","."&amp;B$2&amp;B$1&amp;"C"&amp;$A6)*RTD("tos.rtd",,"LAST","."&amp;B$2&amp;B$1&amp;"C"&amp;$A6)-100*RTD("tos.rtd",,"OPEN_INT","."&amp;B$2&amp;B$1&amp;"P"&amp;$A6)*RTD("tos.rtd",,"LAST","."&amp;B$2&amp;B$1&amp;"P"&amp;$A6))/1000000),0),IF($A$2="PREMIUM",IFERROR(IF($X$1="ABS",(100*RTD("tos.rtd",,"VOLUME","."&amp;B$2&amp;B$1&amp;"C"&amp;$A6)*RTD("tos.rtd",,"LAST","."&amp;B$2&amp;B$1&amp;"C"&amp;$A6)+100*RTD("tos.rtd",,"VOLUME","."&amp;B$2&amp;B$1&amp;"P"&amp;$A6)*RTD("tos.rtd",,"LAST","."&amp;B$2&amp;B$1&amp;"P"&amp;$A6))/1000000,(100*RTD("tos.rtd",,"VOLUME","."&amp;B$2&amp;B$1&amp;"C"&amp;$A6)*RTD("tos.rtd",,"LAST","."&amp;B$2&amp;B$1&amp;"C"&amp;$A6)-100*RTD("tos.rtd",,"VOLUME","."&amp;B$2&amp;B$1&amp;"P"&amp;$A6)*RTD("tos.rtd",,"LAST","."&amp;B$2&amp;B$1&amp;"P"&amp;$A6))/1000000),0),IF($A$2="DEX",IFERROR(IF($X$1="ABS",(100*RTD("tos.rtd",,"OPEN_INT","."&amp;B$2&amp;B$1&amp;"C"&amp;$A6)*RTD("tos.rtd",,"DELTA","."&amp;B$2&amp;B$1&amp;"C"&amp;$A6)+100*RTD("tos.rtd",,"OPEN_INT","."&amp;B$2&amp;B$1&amp;"P"&amp;$A6)*RTD("tos.rtd",,"DELTA","."&amp;B$2&amp;B$1&amp;"P"&amp;$A6))/1000,(100*RTD("tos.rtd",,"OPEN_INT","."&amp;B$2&amp;B$1&amp;"C"&amp;$A6)*RTD("tos.rtd",,"DELTA","."&amp;B$2&amp;B$1&amp;"C"&amp;$A6)-100*RTD("tos.rtd",,"OPEN_INT","."&amp;B$2&amp;B$1&amp;"P"&amp;$A6)*RTD("tos.rtd",,"DELTA","."&amp;B$2&amp;B$1&amp;"P"&amp;$A6))/1000),0),IF($A$2="VEX",IFERROR(IF($X$1="ABS",($A$4*$A$4*RTD("tos.rtd",,"VOLUME","."&amp;B$2&amp;B$1&amp;"C"&amp;$A6)*RTD("tos.rtd",,"GAMMA","."&amp;B$2&amp;B$1&amp;"C"&amp;$A6)+$A$4*$A$4*RTD("tos.rtd",,"VOLUME","."&amp;B$2&amp;B$1&amp;"P"&amp;$A6)*RTD("tos.rtd",,"GAMMA","."&amp;B$2&amp;B$1&amp;"P"&amp;$A6))/1000000,($A$4*$A$4*RTD("tos.rtd",,"VOLUME","."&amp;B$2&amp;B$1&amp;"C"&amp;$A6)*RTD("tos.rtd",,"GAMMA","."&amp;B$2&amp;B$1&amp;"C"&amp;$A6)-$A$4*$A$4*RTD("tos.rtd",,"VOLUME","."&amp;B$2&amp;B$1&amp;"P"&amp;$A6)*RTD("tos.rtd",,"GAMMA","."&amp;B$2&amp;B$1&amp;"P"&amp;$A6))/1000000),0),IF($A$2="GEX",IFERROR(IF($X$1="ABS",($A$4*$A$4*RTD("tos.rtd",,"OPEN_INT","."&amp;B$2&amp;B$1&amp;"C"&amp;$A6)*RTD("tos.rtd",,"GAMMA","."&amp;B$2&amp;B$1&amp;"C"&amp;$A6)+$A$4*$A$4*RTD("tos.rtd",,"OPEN_INT","."&amp;B$2&amp;B$1&amp;"P"&amp;$A6)*RTD("tos.rtd",,"GAMMA","."&amp;B$2&amp;B$1&amp;"P"&amp;$A6))/1000000,($A$4*$A$4*RTD("tos.rtd",,"OPEN_INT","."&amp;B$2&amp;B$1&amp;"C"&amp;$A6)*RTD("tos.rtd",,"GAMMA","."&amp;B$2&amp;B$1&amp;"C"&amp;$A6)-$A$4*$A$4*RTD("tos.rtd",,"OPEN_INT","."&amp;B$2&amp;B$1&amp;"P"&amp;$A6)*RTD("tos.rtd",,"GAMMA","."&amp;B$2&amp;B$1&amp;"P"&amp;$A6))/1000000),0),IF($A$2="SKEW",IFERROR(VALUE(IF(RTD("tos.rtd",,"IMPL_VOL","."&amp;B$2&amp;B$1&amp;"P"&amp;$A6)="N/A",0,RTD("tos.rtd",,"IMPL_VOL","."&amp;B$2&amp;B$1&amp;"P"&amp;$A6))),0)-IFERROR(VALUE(IF(RTD("tos.rtd",,"IMPL_VOL","."&amp;B$2&amp;B$1&amp;"C"&amp;$A6)="N/A",0,RTD("tos.rtd",,"IMPL_VOL","."&amp;B$2&amp;B$1&amp;"C"&amp;$A6))),0),IF($A$2="MAXPAIN",IF($A$4&gt;$A6,($A$4-$A6)*IF(RTD("tos.rtd",,"OPEN_INT","."&amp;B$2&amp;B$1&amp;"C"&amp;$A6)="N/A",0,RTD("tos.rtd",,"OPEN_INT","."&amp;B$2&amp;B$1&amp;"C"&amp;$A6)),0)+IF($A$4&lt;$A6,($A$5-$A$4)*IF(RTD("tos.rtd",,"OPEN_INT","."&amp;B$2&amp;B$1&amp;"P"&amp;$A6)="N/A",0,RTD("tos.rtd",,"OPEN_INT","."&amp;B$2&amp;B$1&amp;"P"&amp;$A6)),0),IF($X$1="ABS",IF(RTD("tos.rtd",,$A$2,"."&amp;B$2&amp;B$1&amp;"C"&amp;$A6)="N/A",0,RTD("tos.rtd",,$A$2,"."&amp;B$2&amp;B$1&amp;"C"&amp;$A6))+IF(RTD("tos.rtd",,$A$2,"."&amp;B$2&amp;B$1&amp;"P"&amp;$A6)="N/A",0,RTD("tos.rtd",,$A$2,"."&amp;B$2&amp;B$1&amp;"P"&amp;$A6)),IF(RTD("tos.rtd",,$A$2,"."&amp;B$2&amp;B$1&amp;"C"&amp;$A6)="N/A",0,RTD("tos.rtd",,$A$2,"."&amp;B$2&amp;B$1&amp;"C"&amp;$A6))-IF(RTD("tos.rtd",,$A$2,"."&amp;B$2&amp;B$1&amp;"P"&amp;$A6)="N/A",0,RTD("tos.rtd",,$A$2,"."&amp;B$2&amp;B$1&amp;"P"&amp;$A6))))))))))</f>
        <v>0</v>
      </c>
      <c r="C6" s="14">
        <f ca="1">IF($A$2="PREMIUM_OI",IFERROR(IF($X$1="ABS",(100*RTD("tos.rtd",,"OPEN_INT","."&amp;C$2&amp;C$1&amp;"C"&amp;$A6)*RTD("tos.rtd",,"LAST","."&amp;C$2&amp;C$1&amp;"C"&amp;$A6)+100*RTD("tos.rtd",,"OPEN_INT","."&amp;C$2&amp;C$1&amp;"P"&amp;$A6)*RTD("tos.rtd",,"LAST","."&amp;C$2&amp;C$1&amp;"P"&amp;$A6))/1000000,(100*RTD("tos.rtd",,"OPEN_INT","."&amp;C$2&amp;C$1&amp;"C"&amp;$A6)*RTD("tos.rtd",,"LAST","."&amp;C$2&amp;C$1&amp;"C"&amp;$A6)-100*RTD("tos.rtd",,"OPEN_INT","."&amp;C$2&amp;C$1&amp;"P"&amp;$A6)*RTD("tos.rtd",,"LAST","."&amp;C$2&amp;C$1&amp;"P"&amp;$A6))/1000000),0),IF($A$2="PREMIUM",IFERROR(IF($X$1="ABS",(100*RTD("tos.rtd",,"VOLUME","."&amp;C$2&amp;C$1&amp;"C"&amp;$A6)*RTD("tos.rtd",,"LAST","."&amp;C$2&amp;C$1&amp;"C"&amp;$A6)+100*RTD("tos.rtd",,"VOLUME","."&amp;C$2&amp;C$1&amp;"P"&amp;$A6)*RTD("tos.rtd",,"LAST","."&amp;C$2&amp;C$1&amp;"P"&amp;$A6))/1000000,(100*RTD("tos.rtd",,"VOLUME","."&amp;C$2&amp;C$1&amp;"C"&amp;$A6)*RTD("tos.rtd",,"LAST","."&amp;C$2&amp;C$1&amp;"C"&amp;$A6)-100*RTD("tos.rtd",,"VOLUME","."&amp;C$2&amp;C$1&amp;"P"&amp;$A6)*RTD("tos.rtd",,"LAST","."&amp;C$2&amp;C$1&amp;"P"&amp;$A6))/1000000),0),IF($A$2="DEX",IFERROR(IF($X$1="ABS",(100*RTD("tos.rtd",,"OPEN_INT","."&amp;C$2&amp;C$1&amp;"C"&amp;$A6)*RTD("tos.rtd",,"DELTA","."&amp;C$2&amp;C$1&amp;"C"&amp;$A6)+100*RTD("tos.rtd",,"OPEN_INT","."&amp;C$2&amp;C$1&amp;"P"&amp;$A6)*RTD("tos.rtd",,"DELTA","."&amp;C$2&amp;C$1&amp;"P"&amp;$A6))/1000,(100*RTD("tos.rtd",,"OPEN_INT","."&amp;C$2&amp;C$1&amp;"C"&amp;$A6)*RTD("tos.rtd",,"DELTA","."&amp;C$2&amp;C$1&amp;"C"&amp;$A6)-100*RTD("tos.rtd",,"OPEN_INT","."&amp;C$2&amp;C$1&amp;"P"&amp;$A6)*RTD("tos.rtd",,"DELTA","."&amp;C$2&amp;C$1&amp;"P"&amp;$A6))/1000),0),IF($A$2="VEX",IFERROR(IF($X$1="ABS",($A$4*$A$4*RTD("tos.rtd",,"VOLUME","."&amp;C$2&amp;C$1&amp;"C"&amp;$A6)*RTD("tos.rtd",,"GAMMA","."&amp;C$2&amp;C$1&amp;"C"&amp;$A6)+$A$4*$A$4*RTD("tos.rtd",,"VOLUME","."&amp;C$2&amp;C$1&amp;"P"&amp;$A6)*RTD("tos.rtd",,"GAMMA","."&amp;C$2&amp;C$1&amp;"P"&amp;$A6))/1000000,($A$4*$A$4*RTD("tos.rtd",,"VOLUME","."&amp;C$2&amp;C$1&amp;"C"&amp;$A6)*RTD("tos.rtd",,"GAMMA","."&amp;C$2&amp;C$1&amp;"C"&amp;$A6)-$A$4*$A$4*RTD("tos.rtd",,"VOLUME","."&amp;C$2&amp;C$1&amp;"P"&amp;$A6)*RTD("tos.rtd",,"GAMMA","."&amp;C$2&amp;C$1&amp;"P"&amp;$A6))/1000000),0),IF($A$2="GEX",IFERROR(IF($X$1="ABS",($A$4*$A$4*RTD("tos.rtd",,"OPEN_INT","."&amp;C$2&amp;C$1&amp;"C"&amp;$A6)*RTD("tos.rtd",,"GAMMA","."&amp;C$2&amp;C$1&amp;"C"&amp;$A6)+$A$4*$A$4*RTD("tos.rtd",,"OPEN_INT","."&amp;C$2&amp;C$1&amp;"P"&amp;$A6)*RTD("tos.rtd",,"GAMMA","."&amp;C$2&amp;C$1&amp;"P"&amp;$A6))/1000000,($A$4*$A$4*RTD("tos.rtd",,"OPEN_INT","."&amp;C$2&amp;C$1&amp;"C"&amp;$A6)*RTD("tos.rtd",,"GAMMA","."&amp;C$2&amp;C$1&amp;"C"&amp;$A6)-$A$4*$A$4*RTD("tos.rtd",,"OPEN_INT","."&amp;C$2&amp;C$1&amp;"P"&amp;$A6)*RTD("tos.rtd",,"GAMMA","."&amp;C$2&amp;C$1&amp;"P"&amp;$A6))/1000000),0),IF($A$2="SKEW",IFERROR(VALUE(IF(RTD("tos.rtd",,"IMPL_VOL","."&amp;C$2&amp;C$1&amp;"P"&amp;$A6)="N/A",0,RTD("tos.rtd",,"IMPL_VOL","."&amp;C$2&amp;C$1&amp;"P"&amp;$A6))),0)-IFERROR(VALUE(IF(RTD("tos.rtd",,"IMPL_VOL","."&amp;C$2&amp;C$1&amp;"C"&amp;$A6)="N/A",0,RTD("tos.rtd",,"IMPL_VOL","."&amp;C$2&amp;C$1&amp;"C"&amp;$A6))),0),IF($A$2="MAXPAIN",IF($A$4&gt;$A6,($A$4-$A6)*IF(RTD("tos.rtd",,"OPEN_INT","."&amp;C$2&amp;C$1&amp;"C"&amp;$A6)="N/A",0,RTD("tos.rtd",,"OPEN_INT","."&amp;C$2&amp;C$1&amp;"C"&amp;$A6)),0)+IF($A$4&lt;$A6,($A$5-$A$4)*IF(RTD("tos.rtd",,"OPEN_INT","."&amp;C$2&amp;C$1&amp;"P"&amp;$A6)="N/A",0,RTD("tos.rtd",,"OPEN_INT","."&amp;C$2&amp;C$1&amp;"P"&amp;$A6)),0),IF($X$1="ABS",IF(RTD("tos.rtd",,$A$2,"."&amp;C$2&amp;C$1&amp;"C"&amp;$A6)="N/A",0,RTD("tos.rtd",,$A$2,"."&amp;C$2&amp;C$1&amp;"C"&amp;$A6))+IF(RTD("tos.rtd",,$A$2,"."&amp;C$2&amp;C$1&amp;"P"&amp;$A6)="N/A",0,RTD("tos.rtd",,$A$2,"."&amp;C$2&amp;C$1&amp;"P"&amp;$A6)),IF(RTD("tos.rtd",,$A$2,"."&amp;C$2&amp;C$1&amp;"C"&amp;$A6)="N/A",0,RTD("tos.rtd",,$A$2,"."&amp;C$2&amp;C$1&amp;"C"&amp;$A6))-IF(RTD("tos.rtd",,$A$2,"."&amp;C$2&amp;C$1&amp;"P"&amp;$A6)="N/A",0,RTD("tos.rtd",,$A$2,"."&amp;C$2&amp;C$1&amp;"P"&amp;$A6))))))))))</f>
        <v>0</v>
      </c>
      <c r="D6" s="12">
        <f ca="1">IF($A$2="PREMIUM_OI",IFERROR(IF($X$1="ABS",(100*RTD("tos.rtd",,"OPEN_INT","."&amp;D$2&amp;D$1&amp;"C"&amp;$A6)*RTD("tos.rtd",,"LAST","."&amp;D$2&amp;D$1&amp;"C"&amp;$A6)+100*RTD("tos.rtd",,"OPEN_INT","."&amp;D$2&amp;D$1&amp;"P"&amp;$A6)*RTD("tos.rtd",,"LAST","."&amp;D$2&amp;D$1&amp;"P"&amp;$A6))/1000000,(100*RTD("tos.rtd",,"OPEN_INT","."&amp;D$2&amp;D$1&amp;"C"&amp;$A6)*RTD("tos.rtd",,"LAST","."&amp;D$2&amp;D$1&amp;"C"&amp;$A6)-100*RTD("tos.rtd",,"OPEN_INT","."&amp;D$2&amp;D$1&amp;"P"&amp;$A6)*RTD("tos.rtd",,"LAST","."&amp;D$2&amp;D$1&amp;"P"&amp;$A6))/1000000),0),IF($A$2="PREMIUM",IFERROR(IF($X$1="ABS",(100*RTD("tos.rtd",,"VOLUME","."&amp;D$2&amp;D$1&amp;"C"&amp;$A6)*RTD("tos.rtd",,"LAST","."&amp;D$2&amp;D$1&amp;"C"&amp;$A6)+100*RTD("tos.rtd",,"VOLUME","."&amp;D$2&amp;D$1&amp;"P"&amp;$A6)*RTD("tos.rtd",,"LAST","."&amp;D$2&amp;D$1&amp;"P"&amp;$A6))/1000000,(100*RTD("tos.rtd",,"VOLUME","."&amp;D$2&amp;D$1&amp;"C"&amp;$A6)*RTD("tos.rtd",,"LAST","."&amp;D$2&amp;D$1&amp;"C"&amp;$A6)-100*RTD("tos.rtd",,"VOLUME","."&amp;D$2&amp;D$1&amp;"P"&amp;$A6)*RTD("tos.rtd",,"LAST","."&amp;D$2&amp;D$1&amp;"P"&amp;$A6))/1000000),0),IF($A$2="DEX",IFERROR(IF($X$1="ABS",(100*RTD("tos.rtd",,"OPEN_INT","."&amp;D$2&amp;D$1&amp;"C"&amp;$A6)*RTD("tos.rtd",,"DELTA","."&amp;D$2&amp;D$1&amp;"C"&amp;$A6)+100*RTD("tos.rtd",,"OPEN_INT","."&amp;D$2&amp;D$1&amp;"P"&amp;$A6)*RTD("tos.rtd",,"DELTA","."&amp;D$2&amp;D$1&amp;"P"&amp;$A6))/1000,(100*RTD("tos.rtd",,"OPEN_INT","."&amp;D$2&amp;D$1&amp;"C"&amp;$A6)*RTD("tos.rtd",,"DELTA","."&amp;D$2&amp;D$1&amp;"C"&amp;$A6)-100*RTD("tos.rtd",,"OPEN_INT","."&amp;D$2&amp;D$1&amp;"P"&amp;$A6)*RTD("tos.rtd",,"DELTA","."&amp;D$2&amp;D$1&amp;"P"&amp;$A6))/1000),0),IF($A$2="VEX",IFERROR(IF($X$1="ABS",($A$4*$A$4*RTD("tos.rtd",,"VOLUME","."&amp;D$2&amp;D$1&amp;"C"&amp;$A6)*RTD("tos.rtd",,"GAMMA","."&amp;D$2&amp;D$1&amp;"C"&amp;$A6)+$A$4*$A$4*RTD("tos.rtd",,"VOLUME","."&amp;D$2&amp;D$1&amp;"P"&amp;$A6)*RTD("tos.rtd",,"GAMMA","."&amp;D$2&amp;D$1&amp;"P"&amp;$A6))/1000000,($A$4*$A$4*RTD("tos.rtd",,"VOLUME","."&amp;D$2&amp;D$1&amp;"C"&amp;$A6)*RTD("tos.rtd",,"GAMMA","."&amp;D$2&amp;D$1&amp;"C"&amp;$A6)-$A$4*$A$4*RTD("tos.rtd",,"VOLUME","."&amp;D$2&amp;D$1&amp;"P"&amp;$A6)*RTD("tos.rtd",,"GAMMA","."&amp;D$2&amp;D$1&amp;"P"&amp;$A6))/1000000),0),IF($A$2="GEX",IFERROR(IF($X$1="ABS",($A$4*$A$4*RTD("tos.rtd",,"OPEN_INT","."&amp;D$2&amp;D$1&amp;"C"&amp;$A6)*RTD("tos.rtd",,"GAMMA","."&amp;D$2&amp;D$1&amp;"C"&amp;$A6)+$A$4*$A$4*RTD("tos.rtd",,"OPEN_INT","."&amp;D$2&amp;D$1&amp;"P"&amp;$A6)*RTD("tos.rtd",,"GAMMA","."&amp;D$2&amp;D$1&amp;"P"&amp;$A6))/1000000,($A$4*$A$4*RTD("tos.rtd",,"OPEN_INT","."&amp;D$2&amp;D$1&amp;"C"&amp;$A6)*RTD("tos.rtd",,"GAMMA","."&amp;D$2&amp;D$1&amp;"C"&amp;$A6)-$A$4*$A$4*RTD("tos.rtd",,"OPEN_INT","."&amp;D$2&amp;D$1&amp;"P"&amp;$A6)*RTD("tos.rtd",,"GAMMA","."&amp;D$2&amp;D$1&amp;"P"&amp;$A6))/1000000),0),IF($A$2="SKEW",IFERROR(VALUE(IF(RTD("tos.rtd",,"IMPL_VOL","."&amp;D$2&amp;D$1&amp;"P"&amp;$A6)="N/A",0,RTD("tos.rtd",,"IMPL_VOL","."&amp;D$2&amp;D$1&amp;"P"&amp;$A6))),0)-IFERROR(VALUE(IF(RTD("tos.rtd",,"IMPL_VOL","."&amp;D$2&amp;D$1&amp;"C"&amp;$A6)="N/A",0,RTD("tos.rtd",,"IMPL_VOL","."&amp;D$2&amp;D$1&amp;"C"&amp;$A6))),0),IF($A$2="MAXPAIN",IF($A$4&gt;$A6,($A$4-$A6)*IF(RTD("tos.rtd",,"OPEN_INT","."&amp;D$2&amp;D$1&amp;"C"&amp;$A6)="N/A",0,RTD("tos.rtd",,"OPEN_INT","."&amp;D$2&amp;D$1&amp;"C"&amp;$A6)),0)+IF($A$4&lt;$A6,($A$5-$A$4)*IF(RTD("tos.rtd",,"OPEN_INT","."&amp;D$2&amp;D$1&amp;"P"&amp;$A6)="N/A",0,RTD("tos.rtd",,"OPEN_INT","."&amp;D$2&amp;D$1&amp;"P"&amp;$A6)),0),IF($X$1="ABS",IF(RTD("tos.rtd",,$A$2,"."&amp;D$2&amp;D$1&amp;"C"&amp;$A6)="N/A",0,RTD("tos.rtd",,$A$2,"."&amp;D$2&amp;D$1&amp;"C"&amp;$A6))+IF(RTD("tos.rtd",,$A$2,"."&amp;D$2&amp;D$1&amp;"P"&amp;$A6)="N/A",0,RTD("tos.rtd",,$A$2,"."&amp;D$2&amp;D$1&amp;"P"&amp;$A6)),IF(RTD("tos.rtd",,$A$2,"."&amp;D$2&amp;D$1&amp;"C"&amp;$A6)="N/A",0,RTD("tos.rtd",,$A$2,"."&amp;D$2&amp;D$1&amp;"C"&amp;$A6))-IF(RTD("tos.rtd",,$A$2,"."&amp;D$2&amp;D$1&amp;"P"&amp;$A6)="N/A",0,RTD("tos.rtd",,$A$2,"."&amp;D$2&amp;D$1&amp;"P"&amp;$A6))))))))))</f>
        <v>0</v>
      </c>
      <c r="E6" s="12">
        <f ca="1">IF($A$2="PREMIUM_OI",IFERROR(IF($X$1="ABS",(100*RTD("tos.rtd",,"OPEN_INT","."&amp;E$2&amp;E$1&amp;"C"&amp;$A6)*RTD("tos.rtd",,"LAST","."&amp;E$2&amp;E$1&amp;"C"&amp;$A6)+100*RTD("tos.rtd",,"OPEN_INT","."&amp;E$2&amp;E$1&amp;"P"&amp;$A6)*RTD("tos.rtd",,"LAST","."&amp;E$2&amp;E$1&amp;"P"&amp;$A6))/1000000,(100*RTD("tos.rtd",,"OPEN_INT","."&amp;E$2&amp;E$1&amp;"C"&amp;$A6)*RTD("tos.rtd",,"LAST","."&amp;E$2&amp;E$1&amp;"C"&amp;$A6)-100*RTD("tos.rtd",,"OPEN_INT","."&amp;E$2&amp;E$1&amp;"P"&amp;$A6)*RTD("tos.rtd",,"LAST","."&amp;E$2&amp;E$1&amp;"P"&amp;$A6))/1000000),0),IF($A$2="PREMIUM",IFERROR(IF($X$1="ABS",(100*RTD("tos.rtd",,"VOLUME","."&amp;E$2&amp;E$1&amp;"C"&amp;$A6)*RTD("tos.rtd",,"LAST","."&amp;E$2&amp;E$1&amp;"C"&amp;$A6)+100*RTD("tos.rtd",,"VOLUME","."&amp;E$2&amp;E$1&amp;"P"&amp;$A6)*RTD("tos.rtd",,"LAST","."&amp;E$2&amp;E$1&amp;"P"&amp;$A6))/1000000,(100*RTD("tos.rtd",,"VOLUME","."&amp;E$2&amp;E$1&amp;"C"&amp;$A6)*RTD("tos.rtd",,"LAST","."&amp;E$2&amp;E$1&amp;"C"&amp;$A6)-100*RTD("tos.rtd",,"VOLUME","."&amp;E$2&amp;E$1&amp;"P"&amp;$A6)*RTD("tos.rtd",,"LAST","."&amp;E$2&amp;E$1&amp;"P"&amp;$A6))/1000000),0),IF($A$2="DEX",IFERROR(IF($X$1="ABS",(100*RTD("tos.rtd",,"OPEN_INT","."&amp;E$2&amp;E$1&amp;"C"&amp;$A6)*RTD("tos.rtd",,"DELTA","."&amp;E$2&amp;E$1&amp;"C"&amp;$A6)+100*RTD("tos.rtd",,"OPEN_INT","."&amp;E$2&amp;E$1&amp;"P"&amp;$A6)*RTD("tos.rtd",,"DELTA","."&amp;E$2&amp;E$1&amp;"P"&amp;$A6))/1000,(100*RTD("tos.rtd",,"OPEN_INT","."&amp;E$2&amp;E$1&amp;"C"&amp;$A6)*RTD("tos.rtd",,"DELTA","."&amp;E$2&amp;E$1&amp;"C"&amp;$A6)-100*RTD("tos.rtd",,"OPEN_INT","."&amp;E$2&amp;E$1&amp;"P"&amp;$A6)*RTD("tos.rtd",,"DELTA","."&amp;E$2&amp;E$1&amp;"P"&amp;$A6))/1000),0),IF($A$2="VEX",IFERROR(IF($X$1="ABS",($A$4*$A$4*RTD("tos.rtd",,"VOLUME","."&amp;E$2&amp;E$1&amp;"C"&amp;$A6)*RTD("tos.rtd",,"GAMMA","."&amp;E$2&amp;E$1&amp;"C"&amp;$A6)+$A$4*$A$4*RTD("tos.rtd",,"VOLUME","."&amp;E$2&amp;E$1&amp;"P"&amp;$A6)*RTD("tos.rtd",,"GAMMA","."&amp;E$2&amp;E$1&amp;"P"&amp;$A6))/1000000,($A$4*$A$4*RTD("tos.rtd",,"VOLUME","."&amp;E$2&amp;E$1&amp;"C"&amp;$A6)*RTD("tos.rtd",,"GAMMA","."&amp;E$2&amp;E$1&amp;"C"&amp;$A6)-$A$4*$A$4*RTD("tos.rtd",,"VOLUME","."&amp;E$2&amp;E$1&amp;"P"&amp;$A6)*RTD("tos.rtd",,"GAMMA","."&amp;E$2&amp;E$1&amp;"P"&amp;$A6))/1000000),0),IF($A$2="GEX",IFERROR(IF($X$1="ABS",($A$4*$A$4*RTD("tos.rtd",,"OPEN_INT","."&amp;E$2&amp;E$1&amp;"C"&amp;$A6)*RTD("tos.rtd",,"GAMMA","."&amp;E$2&amp;E$1&amp;"C"&amp;$A6)+$A$4*$A$4*RTD("tos.rtd",,"OPEN_INT","."&amp;E$2&amp;E$1&amp;"P"&amp;$A6)*RTD("tos.rtd",,"GAMMA","."&amp;E$2&amp;E$1&amp;"P"&amp;$A6))/1000000,($A$4*$A$4*RTD("tos.rtd",,"OPEN_INT","."&amp;E$2&amp;E$1&amp;"C"&amp;$A6)*RTD("tos.rtd",,"GAMMA","."&amp;E$2&amp;E$1&amp;"C"&amp;$A6)-$A$4*$A$4*RTD("tos.rtd",,"OPEN_INT","."&amp;E$2&amp;E$1&amp;"P"&amp;$A6)*RTD("tos.rtd",,"GAMMA","."&amp;E$2&amp;E$1&amp;"P"&amp;$A6))/1000000),0),IF($A$2="SKEW",IFERROR(VALUE(IF(RTD("tos.rtd",,"IMPL_VOL","."&amp;E$2&amp;E$1&amp;"P"&amp;$A6)="N/A",0,RTD("tos.rtd",,"IMPL_VOL","."&amp;E$2&amp;E$1&amp;"P"&amp;$A6))),0)-IFERROR(VALUE(IF(RTD("tos.rtd",,"IMPL_VOL","."&amp;E$2&amp;E$1&amp;"C"&amp;$A6)="N/A",0,RTD("tos.rtd",,"IMPL_VOL","."&amp;E$2&amp;E$1&amp;"C"&amp;$A6))),0),IF($A$2="MAXPAIN",IF($A$4&gt;$A6,($A$4-$A6)*IF(RTD("tos.rtd",,"OPEN_INT","."&amp;E$2&amp;E$1&amp;"C"&amp;$A6)="N/A",0,RTD("tos.rtd",,"OPEN_INT","."&amp;E$2&amp;E$1&amp;"C"&amp;$A6)),0)+IF($A$4&lt;$A6,($A$5-$A$4)*IF(RTD("tos.rtd",,"OPEN_INT","."&amp;E$2&amp;E$1&amp;"P"&amp;$A6)="N/A",0,RTD("tos.rtd",,"OPEN_INT","."&amp;E$2&amp;E$1&amp;"P"&amp;$A6)),0),IF($X$1="ABS",IF(RTD("tos.rtd",,$A$2,"."&amp;E$2&amp;E$1&amp;"C"&amp;$A6)="N/A",0,RTD("tos.rtd",,$A$2,"."&amp;E$2&amp;E$1&amp;"C"&amp;$A6))+IF(RTD("tos.rtd",,$A$2,"."&amp;E$2&amp;E$1&amp;"P"&amp;$A6)="N/A",0,RTD("tos.rtd",,$A$2,"."&amp;E$2&amp;E$1&amp;"P"&amp;$A6)),IF(RTD("tos.rtd",,$A$2,"."&amp;E$2&amp;E$1&amp;"C"&amp;$A6)="N/A",0,RTD("tos.rtd",,$A$2,"."&amp;E$2&amp;E$1&amp;"C"&amp;$A6))-IF(RTD("tos.rtd",,$A$2,"."&amp;E$2&amp;E$1&amp;"P"&amp;$A6)="N/A",0,RTD("tos.rtd",,$A$2,"."&amp;E$2&amp;E$1&amp;"P"&amp;$A6))))))))))</f>
        <v>0</v>
      </c>
      <c r="F6" s="12">
        <f ca="1">IF($A$2="PREMIUM_OI",IFERROR(IF($X$1="ABS",(100*RTD("tos.rtd",,"OPEN_INT","."&amp;F$2&amp;F$1&amp;"C"&amp;$A6)*RTD("tos.rtd",,"LAST","."&amp;F$2&amp;F$1&amp;"C"&amp;$A6)+100*RTD("tos.rtd",,"OPEN_INT","."&amp;F$2&amp;F$1&amp;"P"&amp;$A6)*RTD("tos.rtd",,"LAST","."&amp;F$2&amp;F$1&amp;"P"&amp;$A6))/1000000,(100*RTD("tos.rtd",,"OPEN_INT","."&amp;F$2&amp;F$1&amp;"C"&amp;$A6)*RTD("tos.rtd",,"LAST","."&amp;F$2&amp;F$1&amp;"C"&amp;$A6)-100*RTD("tos.rtd",,"OPEN_INT","."&amp;F$2&amp;F$1&amp;"P"&amp;$A6)*RTD("tos.rtd",,"LAST","."&amp;F$2&amp;F$1&amp;"P"&amp;$A6))/1000000),0),IF($A$2="PREMIUM",IFERROR(IF($X$1="ABS",(100*RTD("tos.rtd",,"VOLUME","."&amp;F$2&amp;F$1&amp;"C"&amp;$A6)*RTD("tos.rtd",,"LAST","."&amp;F$2&amp;F$1&amp;"C"&amp;$A6)+100*RTD("tos.rtd",,"VOLUME","."&amp;F$2&amp;F$1&amp;"P"&amp;$A6)*RTD("tos.rtd",,"LAST","."&amp;F$2&amp;F$1&amp;"P"&amp;$A6))/1000000,(100*RTD("tos.rtd",,"VOLUME","."&amp;F$2&amp;F$1&amp;"C"&amp;$A6)*RTD("tos.rtd",,"LAST","."&amp;F$2&amp;F$1&amp;"C"&amp;$A6)-100*RTD("tos.rtd",,"VOLUME","."&amp;F$2&amp;F$1&amp;"P"&amp;$A6)*RTD("tos.rtd",,"LAST","."&amp;F$2&amp;F$1&amp;"P"&amp;$A6))/1000000),0),IF($A$2="DEX",IFERROR(IF($X$1="ABS",(100*RTD("tos.rtd",,"OPEN_INT","."&amp;F$2&amp;F$1&amp;"C"&amp;$A6)*RTD("tos.rtd",,"DELTA","."&amp;F$2&amp;F$1&amp;"C"&amp;$A6)+100*RTD("tos.rtd",,"OPEN_INT","."&amp;F$2&amp;F$1&amp;"P"&amp;$A6)*RTD("tos.rtd",,"DELTA","."&amp;F$2&amp;F$1&amp;"P"&amp;$A6))/1000,(100*RTD("tos.rtd",,"OPEN_INT","."&amp;F$2&amp;F$1&amp;"C"&amp;$A6)*RTD("tos.rtd",,"DELTA","."&amp;F$2&amp;F$1&amp;"C"&amp;$A6)-100*RTD("tos.rtd",,"OPEN_INT","."&amp;F$2&amp;F$1&amp;"P"&amp;$A6)*RTD("tos.rtd",,"DELTA","."&amp;F$2&amp;F$1&amp;"P"&amp;$A6))/1000),0),IF($A$2="VEX",IFERROR(IF($X$1="ABS",($A$4*$A$4*RTD("tos.rtd",,"VOLUME","."&amp;F$2&amp;F$1&amp;"C"&amp;$A6)*RTD("tos.rtd",,"GAMMA","."&amp;F$2&amp;F$1&amp;"C"&amp;$A6)+$A$4*$A$4*RTD("tos.rtd",,"VOLUME","."&amp;F$2&amp;F$1&amp;"P"&amp;$A6)*RTD("tos.rtd",,"GAMMA","."&amp;F$2&amp;F$1&amp;"P"&amp;$A6))/1000000,($A$4*$A$4*RTD("tos.rtd",,"VOLUME","."&amp;F$2&amp;F$1&amp;"C"&amp;$A6)*RTD("tos.rtd",,"GAMMA","."&amp;F$2&amp;F$1&amp;"C"&amp;$A6)-$A$4*$A$4*RTD("tos.rtd",,"VOLUME","."&amp;F$2&amp;F$1&amp;"P"&amp;$A6)*RTD("tos.rtd",,"GAMMA","."&amp;F$2&amp;F$1&amp;"P"&amp;$A6))/1000000),0),IF($A$2="GEX",IFERROR(IF($X$1="ABS",($A$4*$A$4*RTD("tos.rtd",,"OPEN_INT","."&amp;F$2&amp;F$1&amp;"C"&amp;$A6)*RTD("tos.rtd",,"GAMMA","."&amp;F$2&amp;F$1&amp;"C"&amp;$A6)+$A$4*$A$4*RTD("tos.rtd",,"OPEN_INT","."&amp;F$2&amp;F$1&amp;"P"&amp;$A6)*RTD("tos.rtd",,"GAMMA","."&amp;F$2&amp;F$1&amp;"P"&amp;$A6))/1000000,($A$4*$A$4*RTD("tos.rtd",,"OPEN_INT","."&amp;F$2&amp;F$1&amp;"C"&amp;$A6)*RTD("tos.rtd",,"GAMMA","."&amp;F$2&amp;F$1&amp;"C"&amp;$A6)-$A$4*$A$4*RTD("tos.rtd",,"OPEN_INT","."&amp;F$2&amp;F$1&amp;"P"&amp;$A6)*RTD("tos.rtd",,"GAMMA","."&amp;F$2&amp;F$1&amp;"P"&amp;$A6))/1000000),0),IF($A$2="SKEW",IFERROR(VALUE(IF(RTD("tos.rtd",,"IMPL_VOL","."&amp;F$2&amp;F$1&amp;"P"&amp;$A6)="N/A",0,RTD("tos.rtd",,"IMPL_VOL","."&amp;F$2&amp;F$1&amp;"P"&amp;$A6))),0)-IFERROR(VALUE(IF(RTD("tos.rtd",,"IMPL_VOL","."&amp;F$2&amp;F$1&amp;"C"&amp;$A6)="N/A",0,RTD("tos.rtd",,"IMPL_VOL","."&amp;F$2&amp;F$1&amp;"C"&amp;$A6))),0),IF($A$2="MAXPAIN",IF($A$4&gt;$A6,($A$4-$A6)*IF(RTD("tos.rtd",,"OPEN_INT","."&amp;F$2&amp;F$1&amp;"C"&amp;$A6)="N/A",0,RTD("tos.rtd",,"OPEN_INT","."&amp;F$2&amp;F$1&amp;"C"&amp;$A6)),0)+IF($A$4&lt;$A6,($A$5-$A$4)*IF(RTD("tos.rtd",,"OPEN_INT","."&amp;F$2&amp;F$1&amp;"P"&amp;$A6)="N/A",0,RTD("tos.rtd",,"OPEN_INT","."&amp;F$2&amp;F$1&amp;"P"&amp;$A6)),0),IF($X$1="ABS",IF(RTD("tos.rtd",,$A$2,"."&amp;F$2&amp;F$1&amp;"C"&amp;$A6)="N/A",0,RTD("tos.rtd",,$A$2,"."&amp;F$2&amp;F$1&amp;"C"&amp;$A6))+IF(RTD("tos.rtd",,$A$2,"."&amp;F$2&amp;F$1&amp;"P"&amp;$A6)="N/A",0,RTD("tos.rtd",,$A$2,"."&amp;F$2&amp;F$1&amp;"P"&amp;$A6)),IF(RTD("tos.rtd",,$A$2,"."&amp;F$2&amp;F$1&amp;"C"&amp;$A6)="N/A",0,RTD("tos.rtd",,$A$2,"."&amp;F$2&amp;F$1&amp;"C"&amp;$A6))-IF(RTD("tos.rtd",,$A$2,"."&amp;F$2&amp;F$1&amp;"P"&amp;$A6)="N/A",0,RTD("tos.rtd",,$A$2,"."&amp;F$2&amp;F$1&amp;"P"&amp;$A6))))))))))</f>
        <v>0</v>
      </c>
      <c r="G6" s="54">
        <f ca="1">IF($A$2="PREMIUM_OI",IFERROR(IF($X$1="ABS",(100*RTD("tos.rtd",,"OPEN_INT","."&amp;G$2&amp;G$1&amp;"C"&amp;$A6)*RTD("tos.rtd",,"LAST","."&amp;G$2&amp;G$1&amp;"C"&amp;$A6)+100*RTD("tos.rtd",,"OPEN_INT","."&amp;G$2&amp;G$1&amp;"P"&amp;$A6)*RTD("tos.rtd",,"LAST","."&amp;G$2&amp;G$1&amp;"P"&amp;$A6))/1000000,(100*RTD("tos.rtd",,"OPEN_INT","."&amp;G$2&amp;G$1&amp;"C"&amp;$A6)*RTD("tos.rtd",,"LAST","."&amp;G$2&amp;G$1&amp;"C"&amp;$A6)-100*RTD("tos.rtd",,"OPEN_INT","."&amp;G$2&amp;G$1&amp;"P"&amp;$A6)*RTD("tos.rtd",,"LAST","."&amp;G$2&amp;G$1&amp;"P"&amp;$A6))/1000000),0),IF($A$2="PREMIUM",IFERROR(IF($X$1="ABS",(100*RTD("tos.rtd",,"VOLUME","."&amp;G$2&amp;G$1&amp;"C"&amp;$A6)*RTD("tos.rtd",,"LAST","."&amp;G$2&amp;G$1&amp;"C"&amp;$A6)+100*RTD("tos.rtd",,"VOLUME","."&amp;G$2&amp;G$1&amp;"P"&amp;$A6)*RTD("tos.rtd",,"LAST","."&amp;G$2&amp;G$1&amp;"P"&amp;$A6))/1000000,(100*RTD("tos.rtd",,"VOLUME","."&amp;G$2&amp;G$1&amp;"C"&amp;$A6)*RTD("tos.rtd",,"LAST","."&amp;G$2&amp;G$1&amp;"C"&amp;$A6)-100*RTD("tos.rtd",,"VOLUME","."&amp;G$2&amp;G$1&amp;"P"&amp;$A6)*RTD("tos.rtd",,"LAST","."&amp;G$2&amp;G$1&amp;"P"&amp;$A6))/1000000),0),IF($A$2="DEX",IFERROR(IF($X$1="ABS",(100*RTD("tos.rtd",,"OPEN_INT","."&amp;G$2&amp;G$1&amp;"C"&amp;$A6)*RTD("tos.rtd",,"DELTA","."&amp;G$2&amp;G$1&amp;"C"&amp;$A6)+100*RTD("tos.rtd",,"OPEN_INT","."&amp;G$2&amp;G$1&amp;"P"&amp;$A6)*RTD("tos.rtd",,"DELTA","."&amp;G$2&amp;G$1&amp;"P"&amp;$A6))/1000,(100*RTD("tos.rtd",,"OPEN_INT","."&amp;G$2&amp;G$1&amp;"C"&amp;$A6)*RTD("tos.rtd",,"DELTA","."&amp;G$2&amp;G$1&amp;"C"&amp;$A6)-100*RTD("tos.rtd",,"OPEN_INT","."&amp;G$2&amp;G$1&amp;"P"&amp;$A6)*RTD("tos.rtd",,"DELTA","."&amp;G$2&amp;G$1&amp;"P"&amp;$A6))/1000),0),IF($A$2="VEX",IFERROR(IF($X$1="ABS",($A$4*$A$4*RTD("tos.rtd",,"VOLUME","."&amp;G$2&amp;G$1&amp;"C"&amp;$A6)*RTD("tos.rtd",,"GAMMA","."&amp;G$2&amp;G$1&amp;"C"&amp;$A6)+$A$4*$A$4*RTD("tos.rtd",,"VOLUME","."&amp;G$2&amp;G$1&amp;"P"&amp;$A6)*RTD("tos.rtd",,"GAMMA","."&amp;G$2&amp;G$1&amp;"P"&amp;$A6))/1000000,($A$4*$A$4*RTD("tos.rtd",,"VOLUME","."&amp;G$2&amp;G$1&amp;"C"&amp;$A6)*RTD("tos.rtd",,"GAMMA","."&amp;G$2&amp;G$1&amp;"C"&amp;$A6)-$A$4*$A$4*RTD("tos.rtd",,"VOLUME","."&amp;G$2&amp;G$1&amp;"P"&amp;$A6)*RTD("tos.rtd",,"GAMMA","."&amp;G$2&amp;G$1&amp;"P"&amp;$A6))/1000000),0),IF($A$2="GEX",IFERROR(IF($X$1="ABS",($A$4*$A$4*RTD("tos.rtd",,"OPEN_INT","."&amp;G$2&amp;G$1&amp;"C"&amp;$A6)*RTD("tos.rtd",,"GAMMA","."&amp;G$2&amp;G$1&amp;"C"&amp;$A6)+$A$4*$A$4*RTD("tos.rtd",,"OPEN_INT","."&amp;G$2&amp;G$1&amp;"P"&amp;$A6)*RTD("tos.rtd",,"GAMMA","."&amp;G$2&amp;G$1&amp;"P"&amp;$A6))/1000000,($A$4*$A$4*RTD("tos.rtd",,"OPEN_INT","."&amp;G$2&amp;G$1&amp;"C"&amp;$A6)*RTD("tos.rtd",,"GAMMA","."&amp;G$2&amp;G$1&amp;"C"&amp;$A6)-$A$4*$A$4*RTD("tos.rtd",,"OPEN_INT","."&amp;G$2&amp;G$1&amp;"P"&amp;$A6)*RTD("tos.rtd",,"GAMMA","."&amp;G$2&amp;G$1&amp;"P"&amp;$A6))/1000000),0),IF($A$2="SKEW",IFERROR(VALUE(IF(RTD("tos.rtd",,"IMPL_VOL","."&amp;G$2&amp;G$1&amp;"P"&amp;$A6)="N/A",0,RTD("tos.rtd",,"IMPL_VOL","."&amp;G$2&amp;G$1&amp;"P"&amp;$A6))),0)-IFERROR(VALUE(IF(RTD("tos.rtd",,"IMPL_VOL","."&amp;G$2&amp;G$1&amp;"C"&amp;$A6)="N/A",0,RTD("tos.rtd",,"IMPL_VOL","."&amp;G$2&amp;G$1&amp;"C"&amp;$A6))),0),IF($A$2="MAXPAIN",IF($A$4&gt;$A6,($A$4-$A6)*IF(RTD("tos.rtd",,"OPEN_INT","."&amp;G$2&amp;G$1&amp;"C"&amp;$A6)="N/A",0,RTD("tos.rtd",,"OPEN_INT","."&amp;G$2&amp;G$1&amp;"C"&amp;$A6)),0)+IF($A$4&lt;$A6,($A$5-$A$4)*IF(RTD("tos.rtd",,"OPEN_INT","."&amp;G$2&amp;G$1&amp;"P"&amp;$A6)="N/A",0,RTD("tos.rtd",,"OPEN_INT","."&amp;G$2&amp;G$1&amp;"P"&amp;$A6)),0),IF($X$1="ABS",IF(RTD("tos.rtd",,$A$2,"."&amp;G$2&amp;G$1&amp;"C"&amp;$A6)="N/A",0,RTD("tos.rtd",,$A$2,"."&amp;G$2&amp;G$1&amp;"C"&amp;$A6))+IF(RTD("tos.rtd",,$A$2,"."&amp;G$2&amp;G$1&amp;"P"&amp;$A6)="N/A",0,RTD("tos.rtd",,$A$2,"."&amp;G$2&amp;G$1&amp;"P"&amp;$A6)),IF(RTD("tos.rtd",,$A$2,"."&amp;G$2&amp;G$1&amp;"C"&amp;$A6)="N/A",0,RTD("tos.rtd",,$A$2,"."&amp;G$2&amp;G$1&amp;"C"&amp;$A6))-IF(RTD("tos.rtd",,$A$2,"."&amp;G$2&amp;G$1&amp;"P"&amp;$A6)="N/A",0,RTD("tos.rtd",,$A$2,"."&amp;G$2&amp;G$1&amp;"P"&amp;$A6))))))))))</f>
        <v>0</v>
      </c>
      <c r="H6" s="14">
        <f ca="1">IF($A$2="PREMIUM_OI",IFERROR(IF($X$1="ABS",(100*RTD("tos.rtd",,"OPEN_INT","."&amp;H$2&amp;H$1&amp;"C"&amp;$A6)*RTD("tos.rtd",,"LAST","."&amp;H$2&amp;H$1&amp;"C"&amp;$A6)+100*RTD("tos.rtd",,"OPEN_INT","."&amp;H$2&amp;H$1&amp;"P"&amp;$A6)*RTD("tos.rtd",,"LAST","."&amp;H$2&amp;H$1&amp;"P"&amp;$A6))/1000000,(100*RTD("tos.rtd",,"OPEN_INT","."&amp;H$2&amp;H$1&amp;"C"&amp;$A6)*RTD("tos.rtd",,"LAST","."&amp;H$2&amp;H$1&amp;"C"&amp;$A6)-100*RTD("tos.rtd",,"OPEN_INT","."&amp;H$2&amp;H$1&amp;"P"&amp;$A6)*RTD("tos.rtd",,"LAST","."&amp;H$2&amp;H$1&amp;"P"&amp;$A6))/1000000),0),IF($A$2="PREMIUM",IFERROR(IF($X$1="ABS",(100*RTD("tos.rtd",,"VOLUME","."&amp;H$2&amp;H$1&amp;"C"&amp;$A6)*RTD("tos.rtd",,"LAST","."&amp;H$2&amp;H$1&amp;"C"&amp;$A6)+100*RTD("tos.rtd",,"VOLUME","."&amp;H$2&amp;H$1&amp;"P"&amp;$A6)*RTD("tos.rtd",,"LAST","."&amp;H$2&amp;H$1&amp;"P"&amp;$A6))/1000000,(100*RTD("tos.rtd",,"VOLUME","."&amp;H$2&amp;H$1&amp;"C"&amp;$A6)*RTD("tos.rtd",,"LAST","."&amp;H$2&amp;H$1&amp;"C"&amp;$A6)-100*RTD("tos.rtd",,"VOLUME","."&amp;H$2&amp;H$1&amp;"P"&amp;$A6)*RTD("tos.rtd",,"LAST","."&amp;H$2&amp;H$1&amp;"P"&amp;$A6))/1000000),0),IF($A$2="DEX",IFERROR(IF($X$1="ABS",(100*RTD("tos.rtd",,"OPEN_INT","."&amp;H$2&amp;H$1&amp;"C"&amp;$A6)*RTD("tos.rtd",,"DELTA","."&amp;H$2&amp;H$1&amp;"C"&amp;$A6)+100*RTD("tos.rtd",,"OPEN_INT","."&amp;H$2&amp;H$1&amp;"P"&amp;$A6)*RTD("tos.rtd",,"DELTA","."&amp;H$2&amp;H$1&amp;"P"&amp;$A6))/1000,(100*RTD("tos.rtd",,"OPEN_INT","."&amp;H$2&amp;H$1&amp;"C"&amp;$A6)*RTD("tos.rtd",,"DELTA","."&amp;H$2&amp;H$1&amp;"C"&amp;$A6)-100*RTD("tos.rtd",,"OPEN_INT","."&amp;H$2&amp;H$1&amp;"P"&amp;$A6)*RTD("tos.rtd",,"DELTA","."&amp;H$2&amp;H$1&amp;"P"&amp;$A6))/1000),0),IF($A$2="VEX",IFERROR(IF($X$1="ABS",($A$4*$A$4*RTD("tos.rtd",,"VOLUME","."&amp;H$2&amp;H$1&amp;"C"&amp;$A6)*RTD("tos.rtd",,"GAMMA","."&amp;H$2&amp;H$1&amp;"C"&amp;$A6)+$A$4*$A$4*RTD("tos.rtd",,"VOLUME","."&amp;H$2&amp;H$1&amp;"P"&amp;$A6)*RTD("tos.rtd",,"GAMMA","."&amp;H$2&amp;H$1&amp;"P"&amp;$A6))/1000000,($A$4*$A$4*RTD("tos.rtd",,"VOLUME","."&amp;H$2&amp;H$1&amp;"C"&amp;$A6)*RTD("tos.rtd",,"GAMMA","."&amp;H$2&amp;H$1&amp;"C"&amp;$A6)-$A$4*$A$4*RTD("tos.rtd",,"VOLUME","."&amp;H$2&amp;H$1&amp;"P"&amp;$A6)*RTD("tos.rtd",,"GAMMA","."&amp;H$2&amp;H$1&amp;"P"&amp;$A6))/1000000),0),IF($A$2="GEX",IFERROR(IF($X$1="ABS",($A$4*$A$4*RTD("tos.rtd",,"OPEN_INT","."&amp;H$2&amp;H$1&amp;"C"&amp;$A6)*RTD("tos.rtd",,"GAMMA","."&amp;H$2&amp;H$1&amp;"C"&amp;$A6)+$A$4*$A$4*RTD("tos.rtd",,"OPEN_INT","."&amp;H$2&amp;H$1&amp;"P"&amp;$A6)*RTD("tos.rtd",,"GAMMA","."&amp;H$2&amp;H$1&amp;"P"&amp;$A6))/1000000,($A$4*$A$4*RTD("tos.rtd",,"OPEN_INT","."&amp;H$2&amp;H$1&amp;"C"&amp;$A6)*RTD("tos.rtd",,"GAMMA","."&amp;H$2&amp;H$1&amp;"C"&amp;$A6)-$A$4*$A$4*RTD("tos.rtd",,"OPEN_INT","."&amp;H$2&amp;H$1&amp;"P"&amp;$A6)*RTD("tos.rtd",,"GAMMA","."&amp;H$2&amp;H$1&amp;"P"&amp;$A6))/1000000),0),IF($A$2="SKEW",IFERROR(VALUE(IF(RTD("tos.rtd",,"IMPL_VOL","."&amp;H$2&amp;H$1&amp;"P"&amp;$A6)="N/A",0,RTD("tos.rtd",,"IMPL_VOL","."&amp;H$2&amp;H$1&amp;"P"&amp;$A6))),0)-IFERROR(VALUE(IF(RTD("tos.rtd",,"IMPL_VOL","."&amp;H$2&amp;H$1&amp;"C"&amp;$A6)="N/A",0,RTD("tos.rtd",,"IMPL_VOL","."&amp;H$2&amp;H$1&amp;"C"&amp;$A6))),0),IF($A$2="MAXPAIN",IF($A$4&gt;$A6,($A$4-$A6)*IF(RTD("tos.rtd",,"OPEN_INT","."&amp;H$2&amp;H$1&amp;"C"&amp;$A6)="N/A",0,RTD("tos.rtd",,"OPEN_INT","."&amp;H$2&amp;H$1&amp;"C"&amp;$A6)),0)+IF($A$4&lt;$A6,($A$5-$A$4)*IF(RTD("tos.rtd",,"OPEN_INT","."&amp;H$2&amp;H$1&amp;"P"&amp;$A6)="N/A",0,RTD("tos.rtd",,"OPEN_INT","."&amp;H$2&amp;H$1&amp;"P"&amp;$A6)),0),IF($X$1="ABS",IF(RTD("tos.rtd",,$A$2,"."&amp;H$2&amp;H$1&amp;"C"&amp;$A6)="N/A",0,RTD("tos.rtd",,$A$2,"."&amp;H$2&amp;H$1&amp;"C"&amp;$A6))+IF(RTD("tos.rtd",,$A$2,"."&amp;H$2&amp;H$1&amp;"P"&amp;$A6)="N/A",0,RTD("tos.rtd",,$A$2,"."&amp;H$2&amp;H$1&amp;"P"&amp;$A6)),IF(RTD("tos.rtd",,$A$2,"."&amp;H$2&amp;H$1&amp;"C"&amp;$A6)="N/A",0,RTD("tos.rtd",,$A$2,"."&amp;H$2&amp;H$1&amp;"C"&amp;$A6))-IF(RTD("tos.rtd",,$A$2,"."&amp;H$2&amp;H$1&amp;"P"&amp;$A6)="N/A",0,RTD("tos.rtd",,$A$2,"."&amp;H$2&amp;H$1&amp;"P"&amp;$A6))))))))))</f>
        <v>0</v>
      </c>
      <c r="I6" s="12">
        <f ca="1">IF($A$2="PREMIUM_OI",IFERROR(IF($X$1="ABS",(100*RTD("tos.rtd",,"OPEN_INT","."&amp;I$2&amp;I$1&amp;"C"&amp;$A6)*RTD("tos.rtd",,"LAST","."&amp;I$2&amp;I$1&amp;"C"&amp;$A6)+100*RTD("tos.rtd",,"OPEN_INT","."&amp;I$2&amp;I$1&amp;"P"&amp;$A6)*RTD("tos.rtd",,"LAST","."&amp;I$2&amp;I$1&amp;"P"&amp;$A6))/1000000,(100*RTD("tos.rtd",,"OPEN_INT","."&amp;I$2&amp;I$1&amp;"C"&amp;$A6)*RTD("tos.rtd",,"LAST","."&amp;I$2&amp;I$1&amp;"C"&amp;$A6)-100*RTD("tos.rtd",,"OPEN_INT","."&amp;I$2&amp;I$1&amp;"P"&amp;$A6)*RTD("tos.rtd",,"LAST","."&amp;I$2&amp;I$1&amp;"P"&amp;$A6))/1000000),0),IF($A$2="PREMIUM",IFERROR(IF($X$1="ABS",(100*RTD("tos.rtd",,"VOLUME","."&amp;I$2&amp;I$1&amp;"C"&amp;$A6)*RTD("tos.rtd",,"LAST","."&amp;I$2&amp;I$1&amp;"C"&amp;$A6)+100*RTD("tos.rtd",,"VOLUME","."&amp;I$2&amp;I$1&amp;"P"&amp;$A6)*RTD("tos.rtd",,"LAST","."&amp;I$2&amp;I$1&amp;"P"&amp;$A6))/1000000,(100*RTD("tos.rtd",,"VOLUME","."&amp;I$2&amp;I$1&amp;"C"&amp;$A6)*RTD("tos.rtd",,"LAST","."&amp;I$2&amp;I$1&amp;"C"&amp;$A6)-100*RTD("tos.rtd",,"VOLUME","."&amp;I$2&amp;I$1&amp;"P"&amp;$A6)*RTD("tos.rtd",,"LAST","."&amp;I$2&amp;I$1&amp;"P"&amp;$A6))/1000000),0),IF($A$2="DEX",IFERROR(IF($X$1="ABS",(100*RTD("tos.rtd",,"OPEN_INT","."&amp;I$2&amp;I$1&amp;"C"&amp;$A6)*RTD("tos.rtd",,"DELTA","."&amp;I$2&amp;I$1&amp;"C"&amp;$A6)+100*RTD("tos.rtd",,"OPEN_INT","."&amp;I$2&amp;I$1&amp;"P"&amp;$A6)*RTD("tos.rtd",,"DELTA","."&amp;I$2&amp;I$1&amp;"P"&amp;$A6))/1000,(100*RTD("tos.rtd",,"OPEN_INT","."&amp;I$2&amp;I$1&amp;"C"&amp;$A6)*RTD("tos.rtd",,"DELTA","."&amp;I$2&amp;I$1&amp;"C"&amp;$A6)-100*RTD("tos.rtd",,"OPEN_INT","."&amp;I$2&amp;I$1&amp;"P"&amp;$A6)*RTD("tos.rtd",,"DELTA","."&amp;I$2&amp;I$1&amp;"P"&amp;$A6))/1000),0),IF($A$2="VEX",IFERROR(IF($X$1="ABS",($A$4*$A$4*RTD("tos.rtd",,"VOLUME","."&amp;I$2&amp;I$1&amp;"C"&amp;$A6)*RTD("tos.rtd",,"GAMMA","."&amp;I$2&amp;I$1&amp;"C"&amp;$A6)+$A$4*$A$4*RTD("tos.rtd",,"VOLUME","."&amp;I$2&amp;I$1&amp;"P"&amp;$A6)*RTD("tos.rtd",,"GAMMA","."&amp;I$2&amp;I$1&amp;"P"&amp;$A6))/1000000,($A$4*$A$4*RTD("tos.rtd",,"VOLUME","."&amp;I$2&amp;I$1&amp;"C"&amp;$A6)*RTD("tos.rtd",,"GAMMA","."&amp;I$2&amp;I$1&amp;"C"&amp;$A6)-$A$4*$A$4*RTD("tos.rtd",,"VOLUME","."&amp;I$2&amp;I$1&amp;"P"&amp;$A6)*RTD("tos.rtd",,"GAMMA","."&amp;I$2&amp;I$1&amp;"P"&amp;$A6))/1000000),0),IF($A$2="GEX",IFERROR(IF($X$1="ABS",($A$4*$A$4*RTD("tos.rtd",,"OPEN_INT","."&amp;I$2&amp;I$1&amp;"C"&amp;$A6)*RTD("tos.rtd",,"GAMMA","."&amp;I$2&amp;I$1&amp;"C"&amp;$A6)+$A$4*$A$4*RTD("tos.rtd",,"OPEN_INT","."&amp;I$2&amp;I$1&amp;"P"&amp;$A6)*RTD("tos.rtd",,"GAMMA","."&amp;I$2&amp;I$1&amp;"P"&amp;$A6))/1000000,($A$4*$A$4*RTD("tos.rtd",,"OPEN_INT","."&amp;I$2&amp;I$1&amp;"C"&amp;$A6)*RTD("tos.rtd",,"GAMMA","."&amp;I$2&amp;I$1&amp;"C"&amp;$A6)-$A$4*$A$4*RTD("tos.rtd",,"OPEN_INT","."&amp;I$2&amp;I$1&amp;"P"&amp;$A6)*RTD("tos.rtd",,"GAMMA","."&amp;I$2&amp;I$1&amp;"P"&amp;$A6))/1000000),0),IF($A$2="SKEW",IFERROR(VALUE(IF(RTD("tos.rtd",,"IMPL_VOL","."&amp;I$2&amp;I$1&amp;"P"&amp;$A6)="N/A",0,RTD("tos.rtd",,"IMPL_VOL","."&amp;I$2&amp;I$1&amp;"P"&amp;$A6))),0)-IFERROR(VALUE(IF(RTD("tos.rtd",,"IMPL_VOL","."&amp;I$2&amp;I$1&amp;"C"&amp;$A6)="N/A",0,RTD("tos.rtd",,"IMPL_VOL","."&amp;I$2&amp;I$1&amp;"C"&amp;$A6))),0),IF($A$2="MAXPAIN",IF($A$4&gt;$A6,($A$4-$A6)*IF(RTD("tos.rtd",,"OPEN_INT","."&amp;I$2&amp;I$1&amp;"C"&amp;$A6)="N/A",0,RTD("tos.rtd",,"OPEN_INT","."&amp;I$2&amp;I$1&amp;"C"&amp;$A6)),0)+IF($A$4&lt;$A6,($A$5-$A$4)*IF(RTD("tos.rtd",,"OPEN_INT","."&amp;I$2&amp;I$1&amp;"P"&amp;$A6)="N/A",0,RTD("tos.rtd",,"OPEN_INT","."&amp;I$2&amp;I$1&amp;"P"&amp;$A6)),0),IF($X$1="ABS",IF(RTD("tos.rtd",,$A$2,"."&amp;I$2&amp;I$1&amp;"C"&amp;$A6)="N/A",0,RTD("tos.rtd",,$A$2,"."&amp;I$2&amp;I$1&amp;"C"&amp;$A6))+IF(RTD("tos.rtd",,$A$2,"."&amp;I$2&amp;I$1&amp;"P"&amp;$A6)="N/A",0,RTD("tos.rtd",,$A$2,"."&amp;I$2&amp;I$1&amp;"P"&amp;$A6)),IF(RTD("tos.rtd",,$A$2,"."&amp;I$2&amp;I$1&amp;"C"&amp;$A6)="N/A",0,RTD("tos.rtd",,$A$2,"."&amp;I$2&amp;I$1&amp;"C"&amp;$A6))-IF(RTD("tos.rtd",,$A$2,"."&amp;I$2&amp;I$1&amp;"P"&amp;$A6)="N/A",0,RTD("tos.rtd",,$A$2,"."&amp;I$2&amp;I$1&amp;"P"&amp;$A6))))))))))</f>
        <v>0</v>
      </c>
      <c r="J6" s="12">
        <f ca="1">IF($A$2="PREMIUM_OI",IFERROR(IF($X$1="ABS",(100*RTD("tos.rtd",,"OPEN_INT","."&amp;J$2&amp;J$1&amp;"C"&amp;$A6)*RTD("tos.rtd",,"LAST","."&amp;J$2&amp;J$1&amp;"C"&amp;$A6)+100*RTD("tos.rtd",,"OPEN_INT","."&amp;J$2&amp;J$1&amp;"P"&amp;$A6)*RTD("tos.rtd",,"LAST","."&amp;J$2&amp;J$1&amp;"P"&amp;$A6))/1000000,(100*RTD("tos.rtd",,"OPEN_INT","."&amp;J$2&amp;J$1&amp;"C"&amp;$A6)*RTD("tos.rtd",,"LAST","."&amp;J$2&amp;J$1&amp;"C"&amp;$A6)-100*RTD("tos.rtd",,"OPEN_INT","."&amp;J$2&amp;J$1&amp;"P"&amp;$A6)*RTD("tos.rtd",,"LAST","."&amp;J$2&amp;J$1&amp;"P"&amp;$A6))/1000000),0),IF($A$2="PREMIUM",IFERROR(IF($X$1="ABS",(100*RTD("tos.rtd",,"VOLUME","."&amp;J$2&amp;J$1&amp;"C"&amp;$A6)*RTD("tos.rtd",,"LAST","."&amp;J$2&amp;J$1&amp;"C"&amp;$A6)+100*RTD("tos.rtd",,"VOLUME","."&amp;J$2&amp;J$1&amp;"P"&amp;$A6)*RTD("tos.rtd",,"LAST","."&amp;J$2&amp;J$1&amp;"P"&amp;$A6))/1000000,(100*RTD("tos.rtd",,"VOLUME","."&amp;J$2&amp;J$1&amp;"C"&amp;$A6)*RTD("tos.rtd",,"LAST","."&amp;J$2&amp;J$1&amp;"C"&amp;$A6)-100*RTD("tos.rtd",,"VOLUME","."&amp;J$2&amp;J$1&amp;"P"&amp;$A6)*RTD("tos.rtd",,"LAST","."&amp;J$2&amp;J$1&amp;"P"&amp;$A6))/1000000),0),IF($A$2="DEX",IFERROR(IF($X$1="ABS",(100*RTD("tos.rtd",,"OPEN_INT","."&amp;J$2&amp;J$1&amp;"C"&amp;$A6)*RTD("tos.rtd",,"DELTA","."&amp;J$2&amp;J$1&amp;"C"&amp;$A6)+100*RTD("tos.rtd",,"OPEN_INT","."&amp;J$2&amp;J$1&amp;"P"&amp;$A6)*RTD("tos.rtd",,"DELTA","."&amp;J$2&amp;J$1&amp;"P"&amp;$A6))/1000,(100*RTD("tos.rtd",,"OPEN_INT","."&amp;J$2&amp;J$1&amp;"C"&amp;$A6)*RTD("tos.rtd",,"DELTA","."&amp;J$2&amp;J$1&amp;"C"&amp;$A6)-100*RTD("tos.rtd",,"OPEN_INT","."&amp;J$2&amp;J$1&amp;"P"&amp;$A6)*RTD("tos.rtd",,"DELTA","."&amp;J$2&amp;J$1&amp;"P"&amp;$A6))/1000),0),IF($A$2="VEX",IFERROR(IF($X$1="ABS",($A$4*$A$4*RTD("tos.rtd",,"VOLUME","."&amp;J$2&amp;J$1&amp;"C"&amp;$A6)*RTD("tos.rtd",,"GAMMA","."&amp;J$2&amp;J$1&amp;"C"&amp;$A6)+$A$4*$A$4*RTD("tos.rtd",,"VOLUME","."&amp;J$2&amp;J$1&amp;"P"&amp;$A6)*RTD("tos.rtd",,"GAMMA","."&amp;J$2&amp;J$1&amp;"P"&amp;$A6))/1000000,($A$4*$A$4*RTD("tos.rtd",,"VOLUME","."&amp;J$2&amp;J$1&amp;"C"&amp;$A6)*RTD("tos.rtd",,"GAMMA","."&amp;J$2&amp;J$1&amp;"C"&amp;$A6)-$A$4*$A$4*RTD("tos.rtd",,"VOLUME","."&amp;J$2&amp;J$1&amp;"P"&amp;$A6)*RTD("tos.rtd",,"GAMMA","."&amp;J$2&amp;J$1&amp;"P"&amp;$A6))/1000000),0),IF($A$2="GEX",IFERROR(IF($X$1="ABS",($A$4*$A$4*RTD("tos.rtd",,"OPEN_INT","."&amp;J$2&amp;J$1&amp;"C"&amp;$A6)*RTD("tos.rtd",,"GAMMA","."&amp;J$2&amp;J$1&amp;"C"&amp;$A6)+$A$4*$A$4*RTD("tos.rtd",,"OPEN_INT","."&amp;J$2&amp;J$1&amp;"P"&amp;$A6)*RTD("tos.rtd",,"GAMMA","."&amp;J$2&amp;J$1&amp;"P"&amp;$A6))/1000000,($A$4*$A$4*RTD("tos.rtd",,"OPEN_INT","."&amp;J$2&amp;J$1&amp;"C"&amp;$A6)*RTD("tos.rtd",,"GAMMA","."&amp;J$2&amp;J$1&amp;"C"&amp;$A6)-$A$4*$A$4*RTD("tos.rtd",,"OPEN_INT","."&amp;J$2&amp;J$1&amp;"P"&amp;$A6)*RTD("tos.rtd",,"GAMMA","."&amp;J$2&amp;J$1&amp;"P"&amp;$A6))/1000000),0),IF($A$2="SKEW",IFERROR(VALUE(IF(RTD("tos.rtd",,"IMPL_VOL","."&amp;J$2&amp;J$1&amp;"P"&amp;$A6)="N/A",0,RTD("tos.rtd",,"IMPL_VOL","."&amp;J$2&amp;J$1&amp;"P"&amp;$A6))),0)-IFERROR(VALUE(IF(RTD("tos.rtd",,"IMPL_VOL","."&amp;J$2&amp;J$1&amp;"C"&amp;$A6)="N/A",0,RTD("tos.rtd",,"IMPL_VOL","."&amp;J$2&amp;J$1&amp;"C"&amp;$A6))),0),IF($A$2="MAXPAIN",IF($A$4&gt;$A6,($A$4-$A6)*IF(RTD("tos.rtd",,"OPEN_INT","."&amp;J$2&amp;J$1&amp;"C"&amp;$A6)="N/A",0,RTD("tos.rtd",,"OPEN_INT","."&amp;J$2&amp;J$1&amp;"C"&amp;$A6)),0)+IF($A$4&lt;$A6,($A$5-$A$4)*IF(RTD("tos.rtd",,"OPEN_INT","."&amp;J$2&amp;J$1&amp;"P"&amp;$A6)="N/A",0,RTD("tos.rtd",,"OPEN_INT","."&amp;J$2&amp;J$1&amp;"P"&amp;$A6)),0),IF($X$1="ABS",IF(RTD("tos.rtd",,$A$2,"."&amp;J$2&amp;J$1&amp;"C"&amp;$A6)="N/A",0,RTD("tos.rtd",,$A$2,"."&amp;J$2&amp;J$1&amp;"C"&amp;$A6))+IF(RTD("tos.rtd",,$A$2,"."&amp;J$2&amp;J$1&amp;"P"&amp;$A6)="N/A",0,RTD("tos.rtd",,$A$2,"."&amp;J$2&amp;J$1&amp;"P"&amp;$A6)),IF(RTD("tos.rtd",,$A$2,"."&amp;J$2&amp;J$1&amp;"C"&amp;$A6)="N/A",0,RTD("tos.rtd",,$A$2,"."&amp;J$2&amp;J$1&amp;"C"&amp;$A6))-IF(RTD("tos.rtd",,$A$2,"."&amp;J$2&amp;J$1&amp;"P"&amp;$A6)="N/A",0,RTD("tos.rtd",,$A$2,"."&amp;J$2&amp;J$1&amp;"P"&amp;$A6))))))))))</f>
        <v>0</v>
      </c>
      <c r="K6" s="12">
        <f ca="1">IF($A$2="PREMIUM_OI",IFERROR(IF($X$1="ABS",(100*RTD("tos.rtd",,"OPEN_INT","."&amp;K$2&amp;K$1&amp;"C"&amp;$A6)*RTD("tos.rtd",,"LAST","."&amp;K$2&amp;K$1&amp;"C"&amp;$A6)+100*RTD("tos.rtd",,"OPEN_INT","."&amp;K$2&amp;K$1&amp;"P"&amp;$A6)*RTD("tos.rtd",,"LAST","."&amp;K$2&amp;K$1&amp;"P"&amp;$A6))/1000000,(100*RTD("tos.rtd",,"OPEN_INT","."&amp;K$2&amp;K$1&amp;"C"&amp;$A6)*RTD("tos.rtd",,"LAST","."&amp;K$2&amp;K$1&amp;"C"&amp;$A6)-100*RTD("tos.rtd",,"OPEN_INT","."&amp;K$2&amp;K$1&amp;"P"&amp;$A6)*RTD("tos.rtd",,"LAST","."&amp;K$2&amp;K$1&amp;"P"&amp;$A6))/1000000),0),IF($A$2="PREMIUM",IFERROR(IF($X$1="ABS",(100*RTD("tos.rtd",,"VOLUME","."&amp;K$2&amp;K$1&amp;"C"&amp;$A6)*RTD("tos.rtd",,"LAST","."&amp;K$2&amp;K$1&amp;"C"&amp;$A6)+100*RTD("tos.rtd",,"VOLUME","."&amp;K$2&amp;K$1&amp;"P"&amp;$A6)*RTD("tos.rtd",,"LAST","."&amp;K$2&amp;K$1&amp;"P"&amp;$A6))/1000000,(100*RTD("tos.rtd",,"VOLUME","."&amp;K$2&amp;K$1&amp;"C"&amp;$A6)*RTD("tos.rtd",,"LAST","."&amp;K$2&amp;K$1&amp;"C"&amp;$A6)-100*RTD("tos.rtd",,"VOLUME","."&amp;K$2&amp;K$1&amp;"P"&amp;$A6)*RTD("tos.rtd",,"LAST","."&amp;K$2&amp;K$1&amp;"P"&amp;$A6))/1000000),0),IF($A$2="DEX",IFERROR(IF($X$1="ABS",(100*RTD("tos.rtd",,"OPEN_INT","."&amp;K$2&amp;K$1&amp;"C"&amp;$A6)*RTD("tos.rtd",,"DELTA","."&amp;K$2&amp;K$1&amp;"C"&amp;$A6)+100*RTD("tos.rtd",,"OPEN_INT","."&amp;K$2&amp;K$1&amp;"P"&amp;$A6)*RTD("tos.rtd",,"DELTA","."&amp;K$2&amp;K$1&amp;"P"&amp;$A6))/1000,(100*RTD("tos.rtd",,"OPEN_INT","."&amp;K$2&amp;K$1&amp;"C"&amp;$A6)*RTD("tos.rtd",,"DELTA","."&amp;K$2&amp;K$1&amp;"C"&amp;$A6)-100*RTD("tos.rtd",,"OPEN_INT","."&amp;K$2&amp;K$1&amp;"P"&amp;$A6)*RTD("tos.rtd",,"DELTA","."&amp;K$2&amp;K$1&amp;"P"&amp;$A6))/1000),0),IF($A$2="VEX",IFERROR(IF($X$1="ABS",($A$4*$A$4*RTD("tos.rtd",,"VOLUME","."&amp;K$2&amp;K$1&amp;"C"&amp;$A6)*RTD("tos.rtd",,"GAMMA","."&amp;K$2&amp;K$1&amp;"C"&amp;$A6)+$A$4*$A$4*RTD("tos.rtd",,"VOLUME","."&amp;K$2&amp;K$1&amp;"P"&amp;$A6)*RTD("tos.rtd",,"GAMMA","."&amp;K$2&amp;K$1&amp;"P"&amp;$A6))/1000000,($A$4*$A$4*RTD("tos.rtd",,"VOLUME","."&amp;K$2&amp;K$1&amp;"C"&amp;$A6)*RTD("tos.rtd",,"GAMMA","."&amp;K$2&amp;K$1&amp;"C"&amp;$A6)-$A$4*$A$4*RTD("tos.rtd",,"VOLUME","."&amp;K$2&amp;K$1&amp;"P"&amp;$A6)*RTD("tos.rtd",,"GAMMA","."&amp;K$2&amp;K$1&amp;"P"&amp;$A6))/1000000),0),IF($A$2="GEX",IFERROR(IF($X$1="ABS",($A$4*$A$4*RTD("tos.rtd",,"OPEN_INT","."&amp;K$2&amp;K$1&amp;"C"&amp;$A6)*RTD("tos.rtd",,"GAMMA","."&amp;K$2&amp;K$1&amp;"C"&amp;$A6)+$A$4*$A$4*RTD("tos.rtd",,"OPEN_INT","."&amp;K$2&amp;K$1&amp;"P"&amp;$A6)*RTD("tos.rtd",,"GAMMA","."&amp;K$2&amp;K$1&amp;"P"&amp;$A6))/1000000,($A$4*$A$4*RTD("tos.rtd",,"OPEN_INT","."&amp;K$2&amp;K$1&amp;"C"&amp;$A6)*RTD("tos.rtd",,"GAMMA","."&amp;K$2&amp;K$1&amp;"C"&amp;$A6)-$A$4*$A$4*RTD("tos.rtd",,"OPEN_INT","."&amp;K$2&amp;K$1&amp;"P"&amp;$A6)*RTD("tos.rtd",,"GAMMA","."&amp;K$2&amp;K$1&amp;"P"&amp;$A6))/1000000),0),IF($A$2="SKEW",IFERROR(VALUE(IF(RTD("tos.rtd",,"IMPL_VOL","."&amp;K$2&amp;K$1&amp;"P"&amp;$A6)="N/A",0,RTD("tos.rtd",,"IMPL_VOL","."&amp;K$2&amp;K$1&amp;"P"&amp;$A6))),0)-IFERROR(VALUE(IF(RTD("tos.rtd",,"IMPL_VOL","."&amp;K$2&amp;K$1&amp;"C"&amp;$A6)="N/A",0,RTD("tos.rtd",,"IMPL_VOL","."&amp;K$2&amp;K$1&amp;"C"&amp;$A6))),0),IF($A$2="MAXPAIN",IF($A$4&gt;$A6,($A$4-$A6)*IF(RTD("tos.rtd",,"OPEN_INT","."&amp;K$2&amp;K$1&amp;"C"&amp;$A6)="N/A",0,RTD("tos.rtd",,"OPEN_INT","."&amp;K$2&amp;K$1&amp;"C"&amp;$A6)),0)+IF($A$4&lt;$A6,($A$5-$A$4)*IF(RTD("tos.rtd",,"OPEN_INT","."&amp;K$2&amp;K$1&amp;"P"&amp;$A6)="N/A",0,RTD("tos.rtd",,"OPEN_INT","."&amp;K$2&amp;K$1&amp;"P"&amp;$A6)),0),IF($X$1="ABS",IF(RTD("tos.rtd",,$A$2,"."&amp;K$2&amp;K$1&amp;"C"&amp;$A6)="N/A",0,RTD("tos.rtd",,$A$2,"."&amp;K$2&amp;K$1&amp;"C"&amp;$A6))+IF(RTD("tos.rtd",,$A$2,"."&amp;K$2&amp;K$1&amp;"P"&amp;$A6)="N/A",0,RTD("tos.rtd",,$A$2,"."&amp;K$2&amp;K$1&amp;"P"&amp;$A6)),IF(RTD("tos.rtd",,$A$2,"."&amp;K$2&amp;K$1&amp;"C"&amp;$A6)="N/A",0,RTD("tos.rtd",,$A$2,"."&amp;K$2&amp;K$1&amp;"C"&amp;$A6))-IF(RTD("tos.rtd",,$A$2,"."&amp;K$2&amp;K$1&amp;"P"&amp;$A6)="N/A",0,RTD("tos.rtd",,$A$2,"."&amp;K$2&amp;K$1&amp;"P"&amp;$A6))))))))))</f>
        <v>0</v>
      </c>
      <c r="L6" s="54">
        <f ca="1">IF($A$2="PREMIUM_OI",IFERROR(IF($X$1="ABS",(100*RTD("tos.rtd",,"OPEN_INT","."&amp;L$2&amp;L$1&amp;"C"&amp;$A6)*RTD("tos.rtd",,"LAST","."&amp;L$2&amp;L$1&amp;"C"&amp;$A6)+100*RTD("tos.rtd",,"OPEN_INT","."&amp;L$2&amp;L$1&amp;"P"&amp;$A6)*RTD("tos.rtd",,"LAST","."&amp;L$2&amp;L$1&amp;"P"&amp;$A6))/1000000,(100*RTD("tos.rtd",,"OPEN_INT","."&amp;L$2&amp;L$1&amp;"C"&amp;$A6)*RTD("tos.rtd",,"LAST","."&amp;L$2&amp;L$1&amp;"C"&amp;$A6)-100*RTD("tos.rtd",,"OPEN_INT","."&amp;L$2&amp;L$1&amp;"P"&amp;$A6)*RTD("tos.rtd",,"LAST","."&amp;L$2&amp;L$1&amp;"P"&amp;$A6))/1000000),0),IF($A$2="PREMIUM",IFERROR(IF($X$1="ABS",(100*RTD("tos.rtd",,"VOLUME","."&amp;L$2&amp;L$1&amp;"C"&amp;$A6)*RTD("tos.rtd",,"LAST","."&amp;L$2&amp;L$1&amp;"C"&amp;$A6)+100*RTD("tos.rtd",,"VOLUME","."&amp;L$2&amp;L$1&amp;"P"&amp;$A6)*RTD("tos.rtd",,"LAST","."&amp;L$2&amp;L$1&amp;"P"&amp;$A6))/1000000,(100*RTD("tos.rtd",,"VOLUME","."&amp;L$2&amp;L$1&amp;"C"&amp;$A6)*RTD("tos.rtd",,"LAST","."&amp;L$2&amp;L$1&amp;"C"&amp;$A6)-100*RTD("tos.rtd",,"VOLUME","."&amp;L$2&amp;L$1&amp;"P"&amp;$A6)*RTD("tos.rtd",,"LAST","."&amp;L$2&amp;L$1&amp;"P"&amp;$A6))/1000000),0),IF($A$2="DEX",IFERROR(IF($X$1="ABS",(100*RTD("tos.rtd",,"OPEN_INT","."&amp;L$2&amp;L$1&amp;"C"&amp;$A6)*RTD("tos.rtd",,"DELTA","."&amp;L$2&amp;L$1&amp;"C"&amp;$A6)+100*RTD("tos.rtd",,"OPEN_INT","."&amp;L$2&amp;L$1&amp;"P"&amp;$A6)*RTD("tos.rtd",,"DELTA","."&amp;L$2&amp;L$1&amp;"P"&amp;$A6))/1000,(100*RTD("tos.rtd",,"OPEN_INT","."&amp;L$2&amp;L$1&amp;"C"&amp;$A6)*RTD("tos.rtd",,"DELTA","."&amp;L$2&amp;L$1&amp;"C"&amp;$A6)-100*RTD("tos.rtd",,"OPEN_INT","."&amp;L$2&amp;L$1&amp;"P"&amp;$A6)*RTD("tos.rtd",,"DELTA","."&amp;L$2&amp;L$1&amp;"P"&amp;$A6))/1000),0),IF($A$2="VEX",IFERROR(IF($X$1="ABS",($A$4*$A$4*RTD("tos.rtd",,"VOLUME","."&amp;L$2&amp;L$1&amp;"C"&amp;$A6)*RTD("tos.rtd",,"GAMMA","."&amp;L$2&amp;L$1&amp;"C"&amp;$A6)+$A$4*$A$4*RTD("tos.rtd",,"VOLUME","."&amp;L$2&amp;L$1&amp;"P"&amp;$A6)*RTD("tos.rtd",,"GAMMA","."&amp;L$2&amp;L$1&amp;"P"&amp;$A6))/1000000,($A$4*$A$4*RTD("tos.rtd",,"VOLUME","."&amp;L$2&amp;L$1&amp;"C"&amp;$A6)*RTD("tos.rtd",,"GAMMA","."&amp;L$2&amp;L$1&amp;"C"&amp;$A6)-$A$4*$A$4*RTD("tos.rtd",,"VOLUME","."&amp;L$2&amp;L$1&amp;"P"&amp;$A6)*RTD("tos.rtd",,"GAMMA","."&amp;L$2&amp;L$1&amp;"P"&amp;$A6))/1000000),0),IF($A$2="GEX",IFERROR(IF($X$1="ABS",($A$4*$A$4*RTD("tos.rtd",,"OPEN_INT","."&amp;L$2&amp;L$1&amp;"C"&amp;$A6)*RTD("tos.rtd",,"GAMMA","."&amp;L$2&amp;L$1&amp;"C"&amp;$A6)+$A$4*$A$4*RTD("tos.rtd",,"OPEN_INT","."&amp;L$2&amp;L$1&amp;"P"&amp;$A6)*RTD("tos.rtd",,"GAMMA","."&amp;L$2&amp;L$1&amp;"P"&amp;$A6))/1000000,($A$4*$A$4*RTD("tos.rtd",,"OPEN_INT","."&amp;L$2&amp;L$1&amp;"C"&amp;$A6)*RTD("tos.rtd",,"GAMMA","."&amp;L$2&amp;L$1&amp;"C"&amp;$A6)-$A$4*$A$4*RTD("tos.rtd",,"OPEN_INT","."&amp;L$2&amp;L$1&amp;"P"&amp;$A6)*RTD("tos.rtd",,"GAMMA","."&amp;L$2&amp;L$1&amp;"P"&amp;$A6))/1000000),0),IF($A$2="SKEW",IFERROR(VALUE(IF(RTD("tos.rtd",,"IMPL_VOL","."&amp;L$2&amp;L$1&amp;"P"&amp;$A6)="N/A",0,RTD("tos.rtd",,"IMPL_VOL","."&amp;L$2&amp;L$1&amp;"P"&amp;$A6))),0)-IFERROR(VALUE(IF(RTD("tos.rtd",,"IMPL_VOL","."&amp;L$2&amp;L$1&amp;"C"&amp;$A6)="N/A",0,RTD("tos.rtd",,"IMPL_VOL","."&amp;L$2&amp;L$1&amp;"C"&amp;$A6))),0),IF($A$2="MAXPAIN",IF($A$4&gt;$A6,($A$4-$A6)*IF(RTD("tos.rtd",,"OPEN_INT","."&amp;L$2&amp;L$1&amp;"C"&amp;$A6)="N/A",0,RTD("tos.rtd",,"OPEN_INT","."&amp;L$2&amp;L$1&amp;"C"&amp;$A6)),0)+IF($A$4&lt;$A6,($A$5-$A$4)*IF(RTD("tos.rtd",,"OPEN_INT","."&amp;L$2&amp;L$1&amp;"P"&amp;$A6)="N/A",0,RTD("tos.rtd",,"OPEN_INT","."&amp;L$2&amp;L$1&amp;"P"&amp;$A6)),0),IF($X$1="ABS",IF(RTD("tos.rtd",,$A$2,"."&amp;L$2&amp;L$1&amp;"C"&amp;$A6)="N/A",0,RTD("tos.rtd",,$A$2,"."&amp;L$2&amp;L$1&amp;"C"&amp;$A6))+IF(RTD("tos.rtd",,$A$2,"."&amp;L$2&amp;L$1&amp;"P"&amp;$A6)="N/A",0,RTD("tos.rtd",,$A$2,"."&amp;L$2&amp;L$1&amp;"P"&amp;$A6)),IF(RTD("tos.rtd",,$A$2,"."&amp;L$2&amp;L$1&amp;"C"&amp;$A6)="N/A",0,RTD("tos.rtd",,$A$2,"."&amp;L$2&amp;L$1&amp;"C"&amp;$A6))-IF(RTD("tos.rtd",,$A$2,"."&amp;L$2&amp;L$1&amp;"P"&amp;$A6)="N/A",0,RTD("tos.rtd",,$A$2,"."&amp;L$2&amp;L$1&amp;"P"&amp;$A6))))))))))</f>
        <v>0</v>
      </c>
      <c r="M6" s="12">
        <f ca="1">IF($A$2="PREMIUM_OI",IFERROR(IF($X$1="ABS",(100*RTD("tos.rtd",,"OPEN_INT","."&amp;M$2&amp;M$1&amp;"C"&amp;$A6)*RTD("tos.rtd",,"LAST","."&amp;M$2&amp;M$1&amp;"C"&amp;$A6)+100*RTD("tos.rtd",,"OPEN_INT","."&amp;M$2&amp;M$1&amp;"P"&amp;$A6)*RTD("tos.rtd",,"LAST","."&amp;M$2&amp;M$1&amp;"P"&amp;$A6))/1000000,(100*RTD("tos.rtd",,"OPEN_INT","."&amp;M$2&amp;M$1&amp;"C"&amp;$A6)*RTD("tos.rtd",,"LAST","."&amp;M$2&amp;M$1&amp;"C"&amp;$A6)-100*RTD("tos.rtd",,"OPEN_INT","."&amp;M$2&amp;M$1&amp;"P"&amp;$A6)*RTD("tos.rtd",,"LAST","."&amp;M$2&amp;M$1&amp;"P"&amp;$A6))/1000000),0),IF($A$2="PREMIUM",IFERROR(IF($X$1="ABS",(100*RTD("tos.rtd",,"VOLUME","."&amp;M$2&amp;M$1&amp;"C"&amp;$A6)*RTD("tos.rtd",,"LAST","."&amp;M$2&amp;M$1&amp;"C"&amp;$A6)+100*RTD("tos.rtd",,"VOLUME","."&amp;M$2&amp;M$1&amp;"P"&amp;$A6)*RTD("tos.rtd",,"LAST","."&amp;M$2&amp;M$1&amp;"P"&amp;$A6))/1000000,(100*RTD("tos.rtd",,"VOLUME","."&amp;M$2&amp;M$1&amp;"C"&amp;$A6)*RTD("tos.rtd",,"LAST","."&amp;M$2&amp;M$1&amp;"C"&amp;$A6)-100*RTD("tos.rtd",,"VOLUME","."&amp;M$2&amp;M$1&amp;"P"&amp;$A6)*RTD("tos.rtd",,"LAST","."&amp;M$2&amp;M$1&amp;"P"&amp;$A6))/1000000),0),IF($A$2="DEX",IFERROR(IF($X$1="ABS",(100*RTD("tos.rtd",,"OPEN_INT","."&amp;M$2&amp;M$1&amp;"C"&amp;$A6)*RTD("tos.rtd",,"DELTA","."&amp;M$2&amp;M$1&amp;"C"&amp;$A6)+100*RTD("tos.rtd",,"OPEN_INT","."&amp;M$2&amp;M$1&amp;"P"&amp;$A6)*RTD("tos.rtd",,"DELTA","."&amp;M$2&amp;M$1&amp;"P"&amp;$A6))/1000,(100*RTD("tos.rtd",,"OPEN_INT","."&amp;M$2&amp;M$1&amp;"C"&amp;$A6)*RTD("tos.rtd",,"DELTA","."&amp;M$2&amp;M$1&amp;"C"&amp;$A6)-100*RTD("tos.rtd",,"OPEN_INT","."&amp;M$2&amp;M$1&amp;"P"&amp;$A6)*RTD("tos.rtd",,"DELTA","."&amp;M$2&amp;M$1&amp;"P"&amp;$A6))/1000),0),IF($A$2="VEX",IFERROR(IF($X$1="ABS",($A$4*$A$4*RTD("tos.rtd",,"VOLUME","."&amp;M$2&amp;M$1&amp;"C"&amp;$A6)*RTD("tos.rtd",,"GAMMA","."&amp;M$2&amp;M$1&amp;"C"&amp;$A6)+$A$4*$A$4*RTD("tos.rtd",,"VOLUME","."&amp;M$2&amp;M$1&amp;"P"&amp;$A6)*RTD("tos.rtd",,"GAMMA","."&amp;M$2&amp;M$1&amp;"P"&amp;$A6))/1000000,($A$4*$A$4*RTD("tos.rtd",,"VOLUME","."&amp;M$2&amp;M$1&amp;"C"&amp;$A6)*RTD("tos.rtd",,"GAMMA","."&amp;M$2&amp;M$1&amp;"C"&amp;$A6)-$A$4*$A$4*RTD("tos.rtd",,"VOLUME","."&amp;M$2&amp;M$1&amp;"P"&amp;$A6)*RTD("tos.rtd",,"GAMMA","."&amp;M$2&amp;M$1&amp;"P"&amp;$A6))/1000000),0),IF($A$2="GEX",IFERROR(IF($X$1="ABS",($A$4*$A$4*RTD("tos.rtd",,"OPEN_INT","."&amp;M$2&amp;M$1&amp;"C"&amp;$A6)*RTD("tos.rtd",,"GAMMA","."&amp;M$2&amp;M$1&amp;"C"&amp;$A6)+$A$4*$A$4*RTD("tos.rtd",,"OPEN_INT","."&amp;M$2&amp;M$1&amp;"P"&amp;$A6)*RTD("tos.rtd",,"GAMMA","."&amp;M$2&amp;M$1&amp;"P"&amp;$A6))/1000000,($A$4*$A$4*RTD("tos.rtd",,"OPEN_INT","."&amp;M$2&amp;M$1&amp;"C"&amp;$A6)*RTD("tos.rtd",,"GAMMA","."&amp;M$2&amp;M$1&amp;"C"&amp;$A6)-$A$4*$A$4*RTD("tos.rtd",,"OPEN_INT","."&amp;M$2&amp;M$1&amp;"P"&amp;$A6)*RTD("tos.rtd",,"GAMMA","."&amp;M$2&amp;M$1&amp;"P"&amp;$A6))/1000000),0),IF($A$2="SKEW",IFERROR(VALUE(IF(RTD("tos.rtd",,"IMPL_VOL","."&amp;M$2&amp;M$1&amp;"P"&amp;$A6)="N/A",0,RTD("tos.rtd",,"IMPL_VOL","."&amp;M$2&amp;M$1&amp;"P"&amp;$A6))),0)-IFERROR(VALUE(IF(RTD("tos.rtd",,"IMPL_VOL","."&amp;M$2&amp;M$1&amp;"C"&amp;$A6)="N/A",0,RTD("tos.rtd",,"IMPL_VOL","."&amp;M$2&amp;M$1&amp;"C"&amp;$A6))),0),IF($A$2="MAXPAIN",IF($A$4&gt;$A6,($A$4-$A6)*IF(RTD("tos.rtd",,"OPEN_INT","."&amp;M$2&amp;M$1&amp;"C"&amp;$A6)="N/A",0,RTD("tos.rtd",,"OPEN_INT","."&amp;M$2&amp;M$1&amp;"C"&amp;$A6)),0)+IF($A$4&lt;$A6,($A$5-$A$4)*IF(RTD("tos.rtd",,"OPEN_INT","."&amp;M$2&amp;M$1&amp;"P"&amp;$A6)="N/A",0,RTD("tos.rtd",,"OPEN_INT","."&amp;M$2&amp;M$1&amp;"P"&amp;$A6)),0),IF($X$1="ABS",IF(RTD("tos.rtd",,$A$2,"."&amp;M$2&amp;M$1&amp;"C"&amp;$A6)="N/A",0,RTD("tos.rtd",,$A$2,"."&amp;M$2&amp;M$1&amp;"C"&amp;$A6))+IF(RTD("tos.rtd",,$A$2,"."&amp;M$2&amp;M$1&amp;"P"&amp;$A6)="N/A",0,RTD("tos.rtd",,$A$2,"."&amp;M$2&amp;M$1&amp;"P"&amp;$A6)),IF(RTD("tos.rtd",,$A$2,"."&amp;M$2&amp;M$1&amp;"C"&amp;$A6)="N/A",0,RTD("tos.rtd",,$A$2,"."&amp;M$2&amp;M$1&amp;"C"&amp;$A6))-IF(RTD("tos.rtd",,$A$2,"."&amp;M$2&amp;M$1&amp;"P"&amp;$A6)="N/A",0,RTD("tos.rtd",,$A$2,"."&amp;M$2&amp;M$1&amp;"P"&amp;$A6))))))))))</f>
        <v>0</v>
      </c>
      <c r="N6" s="12">
        <f ca="1">IF($A$2="PREMIUM_OI",IFERROR(IF($X$1="ABS",(100*RTD("tos.rtd",,"OPEN_INT","."&amp;N$2&amp;N$1&amp;"C"&amp;$A6)*RTD("tos.rtd",,"LAST","."&amp;N$2&amp;N$1&amp;"C"&amp;$A6)+100*RTD("tos.rtd",,"OPEN_INT","."&amp;N$2&amp;N$1&amp;"P"&amp;$A6)*RTD("tos.rtd",,"LAST","."&amp;N$2&amp;N$1&amp;"P"&amp;$A6))/1000000,(100*RTD("tos.rtd",,"OPEN_INT","."&amp;N$2&amp;N$1&amp;"C"&amp;$A6)*RTD("tos.rtd",,"LAST","."&amp;N$2&amp;N$1&amp;"C"&amp;$A6)-100*RTD("tos.rtd",,"OPEN_INT","."&amp;N$2&amp;N$1&amp;"P"&amp;$A6)*RTD("tos.rtd",,"LAST","."&amp;N$2&amp;N$1&amp;"P"&amp;$A6))/1000000),0),IF($A$2="PREMIUM",IFERROR(IF($X$1="ABS",(100*RTD("tos.rtd",,"VOLUME","."&amp;N$2&amp;N$1&amp;"C"&amp;$A6)*RTD("tos.rtd",,"LAST","."&amp;N$2&amp;N$1&amp;"C"&amp;$A6)+100*RTD("tos.rtd",,"VOLUME","."&amp;N$2&amp;N$1&amp;"P"&amp;$A6)*RTD("tos.rtd",,"LAST","."&amp;N$2&amp;N$1&amp;"P"&amp;$A6))/1000000,(100*RTD("tos.rtd",,"VOLUME","."&amp;N$2&amp;N$1&amp;"C"&amp;$A6)*RTD("tos.rtd",,"LAST","."&amp;N$2&amp;N$1&amp;"C"&amp;$A6)-100*RTD("tos.rtd",,"VOLUME","."&amp;N$2&amp;N$1&amp;"P"&amp;$A6)*RTD("tos.rtd",,"LAST","."&amp;N$2&amp;N$1&amp;"P"&amp;$A6))/1000000),0),IF($A$2="DEX",IFERROR(IF($X$1="ABS",(100*RTD("tos.rtd",,"OPEN_INT","."&amp;N$2&amp;N$1&amp;"C"&amp;$A6)*RTD("tos.rtd",,"DELTA","."&amp;N$2&amp;N$1&amp;"C"&amp;$A6)+100*RTD("tos.rtd",,"OPEN_INT","."&amp;N$2&amp;N$1&amp;"P"&amp;$A6)*RTD("tos.rtd",,"DELTA","."&amp;N$2&amp;N$1&amp;"P"&amp;$A6))/1000,(100*RTD("tos.rtd",,"OPEN_INT","."&amp;N$2&amp;N$1&amp;"C"&amp;$A6)*RTD("tos.rtd",,"DELTA","."&amp;N$2&amp;N$1&amp;"C"&amp;$A6)-100*RTD("tos.rtd",,"OPEN_INT","."&amp;N$2&amp;N$1&amp;"P"&amp;$A6)*RTD("tos.rtd",,"DELTA","."&amp;N$2&amp;N$1&amp;"P"&amp;$A6))/1000),0),IF($A$2="VEX",IFERROR(IF($X$1="ABS",($A$4*$A$4*RTD("tos.rtd",,"VOLUME","."&amp;N$2&amp;N$1&amp;"C"&amp;$A6)*RTD("tos.rtd",,"GAMMA","."&amp;N$2&amp;N$1&amp;"C"&amp;$A6)+$A$4*$A$4*RTD("tos.rtd",,"VOLUME","."&amp;N$2&amp;N$1&amp;"P"&amp;$A6)*RTD("tos.rtd",,"GAMMA","."&amp;N$2&amp;N$1&amp;"P"&amp;$A6))/1000000,($A$4*$A$4*RTD("tos.rtd",,"VOLUME","."&amp;N$2&amp;N$1&amp;"C"&amp;$A6)*RTD("tos.rtd",,"GAMMA","."&amp;N$2&amp;N$1&amp;"C"&amp;$A6)-$A$4*$A$4*RTD("tos.rtd",,"VOLUME","."&amp;N$2&amp;N$1&amp;"P"&amp;$A6)*RTD("tos.rtd",,"GAMMA","."&amp;N$2&amp;N$1&amp;"P"&amp;$A6))/1000000),0),IF($A$2="GEX",IFERROR(IF($X$1="ABS",($A$4*$A$4*RTD("tos.rtd",,"OPEN_INT","."&amp;N$2&amp;N$1&amp;"C"&amp;$A6)*RTD("tos.rtd",,"GAMMA","."&amp;N$2&amp;N$1&amp;"C"&amp;$A6)+$A$4*$A$4*RTD("tos.rtd",,"OPEN_INT","."&amp;N$2&amp;N$1&amp;"P"&amp;$A6)*RTD("tos.rtd",,"GAMMA","."&amp;N$2&amp;N$1&amp;"P"&amp;$A6))/1000000,($A$4*$A$4*RTD("tos.rtd",,"OPEN_INT","."&amp;N$2&amp;N$1&amp;"C"&amp;$A6)*RTD("tos.rtd",,"GAMMA","."&amp;N$2&amp;N$1&amp;"C"&amp;$A6)-$A$4*$A$4*RTD("tos.rtd",,"OPEN_INT","."&amp;N$2&amp;N$1&amp;"P"&amp;$A6)*RTD("tos.rtd",,"GAMMA","."&amp;N$2&amp;N$1&amp;"P"&amp;$A6))/1000000),0),IF($A$2="SKEW",IFERROR(VALUE(IF(RTD("tos.rtd",,"IMPL_VOL","."&amp;N$2&amp;N$1&amp;"P"&amp;$A6)="N/A",0,RTD("tos.rtd",,"IMPL_VOL","."&amp;N$2&amp;N$1&amp;"P"&amp;$A6))),0)-IFERROR(VALUE(IF(RTD("tos.rtd",,"IMPL_VOL","."&amp;N$2&amp;N$1&amp;"C"&amp;$A6)="N/A",0,RTD("tos.rtd",,"IMPL_VOL","."&amp;N$2&amp;N$1&amp;"C"&amp;$A6))),0),IF($A$2="MAXPAIN",IF($A$4&gt;$A6,($A$4-$A6)*IF(RTD("tos.rtd",,"OPEN_INT","."&amp;N$2&amp;N$1&amp;"C"&amp;$A6)="N/A",0,RTD("tos.rtd",,"OPEN_INT","."&amp;N$2&amp;N$1&amp;"C"&amp;$A6)),0)+IF($A$4&lt;$A6,($A$5-$A$4)*IF(RTD("tos.rtd",,"OPEN_INT","."&amp;N$2&amp;N$1&amp;"P"&amp;$A6)="N/A",0,RTD("tos.rtd",,"OPEN_INT","."&amp;N$2&amp;N$1&amp;"P"&amp;$A6)),0),IF($X$1="ABS",IF(RTD("tos.rtd",,$A$2,"."&amp;N$2&amp;N$1&amp;"C"&amp;$A6)="N/A",0,RTD("tos.rtd",,$A$2,"."&amp;N$2&amp;N$1&amp;"C"&amp;$A6))+IF(RTD("tos.rtd",,$A$2,"."&amp;N$2&amp;N$1&amp;"P"&amp;$A6)="N/A",0,RTD("tos.rtd",,$A$2,"."&amp;N$2&amp;N$1&amp;"P"&amp;$A6)),IF(RTD("tos.rtd",,$A$2,"."&amp;N$2&amp;N$1&amp;"C"&amp;$A6)="N/A",0,RTD("tos.rtd",,$A$2,"."&amp;N$2&amp;N$1&amp;"C"&amp;$A6))-IF(RTD("tos.rtd",,$A$2,"."&amp;N$2&amp;N$1&amp;"P"&amp;$A6)="N/A",0,RTD("tos.rtd",,$A$2,"."&amp;N$2&amp;N$1&amp;"P"&amp;$A6))))))))))</f>
        <v>0</v>
      </c>
      <c r="O6" s="12">
        <f ca="1">IF($A$2="PREMIUM_OI",IFERROR(IF($X$1="ABS",(100*RTD("tos.rtd",,"OPEN_INT","."&amp;O$2&amp;O$1&amp;"C"&amp;$A6)*RTD("tos.rtd",,"LAST","."&amp;O$2&amp;O$1&amp;"C"&amp;$A6)+100*RTD("tos.rtd",,"OPEN_INT","."&amp;O$2&amp;O$1&amp;"P"&amp;$A6)*RTD("tos.rtd",,"LAST","."&amp;O$2&amp;O$1&amp;"P"&amp;$A6))/1000000,(100*RTD("tos.rtd",,"OPEN_INT","."&amp;O$2&amp;O$1&amp;"C"&amp;$A6)*RTD("tos.rtd",,"LAST","."&amp;O$2&amp;O$1&amp;"C"&amp;$A6)-100*RTD("tos.rtd",,"OPEN_INT","."&amp;O$2&amp;O$1&amp;"P"&amp;$A6)*RTD("tos.rtd",,"LAST","."&amp;O$2&amp;O$1&amp;"P"&amp;$A6))/1000000),0),IF($A$2="PREMIUM",IFERROR(IF($X$1="ABS",(100*RTD("tos.rtd",,"VOLUME","."&amp;O$2&amp;O$1&amp;"C"&amp;$A6)*RTD("tos.rtd",,"LAST","."&amp;O$2&amp;O$1&amp;"C"&amp;$A6)+100*RTD("tos.rtd",,"VOLUME","."&amp;O$2&amp;O$1&amp;"P"&amp;$A6)*RTD("tos.rtd",,"LAST","."&amp;O$2&amp;O$1&amp;"P"&amp;$A6))/1000000,(100*RTD("tos.rtd",,"VOLUME","."&amp;O$2&amp;O$1&amp;"C"&amp;$A6)*RTD("tos.rtd",,"LAST","."&amp;O$2&amp;O$1&amp;"C"&amp;$A6)-100*RTD("tos.rtd",,"VOLUME","."&amp;O$2&amp;O$1&amp;"P"&amp;$A6)*RTD("tos.rtd",,"LAST","."&amp;O$2&amp;O$1&amp;"P"&amp;$A6))/1000000),0),IF($A$2="DEX",IFERROR(IF($X$1="ABS",(100*RTD("tos.rtd",,"OPEN_INT","."&amp;O$2&amp;O$1&amp;"C"&amp;$A6)*RTD("tos.rtd",,"DELTA","."&amp;O$2&amp;O$1&amp;"C"&amp;$A6)+100*RTD("tos.rtd",,"OPEN_INT","."&amp;O$2&amp;O$1&amp;"P"&amp;$A6)*RTD("tos.rtd",,"DELTA","."&amp;O$2&amp;O$1&amp;"P"&amp;$A6))/1000,(100*RTD("tos.rtd",,"OPEN_INT","."&amp;O$2&amp;O$1&amp;"C"&amp;$A6)*RTD("tos.rtd",,"DELTA","."&amp;O$2&amp;O$1&amp;"C"&amp;$A6)-100*RTD("tos.rtd",,"OPEN_INT","."&amp;O$2&amp;O$1&amp;"P"&amp;$A6)*RTD("tos.rtd",,"DELTA","."&amp;O$2&amp;O$1&amp;"P"&amp;$A6))/1000),0),IF($A$2="VEX",IFERROR(IF($X$1="ABS",($A$4*$A$4*RTD("tos.rtd",,"VOLUME","."&amp;O$2&amp;O$1&amp;"C"&amp;$A6)*RTD("tos.rtd",,"GAMMA","."&amp;O$2&amp;O$1&amp;"C"&amp;$A6)+$A$4*$A$4*RTD("tos.rtd",,"VOLUME","."&amp;O$2&amp;O$1&amp;"P"&amp;$A6)*RTD("tos.rtd",,"GAMMA","."&amp;O$2&amp;O$1&amp;"P"&amp;$A6))/1000000,($A$4*$A$4*RTD("tos.rtd",,"VOLUME","."&amp;O$2&amp;O$1&amp;"C"&amp;$A6)*RTD("tos.rtd",,"GAMMA","."&amp;O$2&amp;O$1&amp;"C"&amp;$A6)-$A$4*$A$4*RTD("tos.rtd",,"VOLUME","."&amp;O$2&amp;O$1&amp;"P"&amp;$A6)*RTD("tos.rtd",,"GAMMA","."&amp;O$2&amp;O$1&amp;"P"&amp;$A6))/1000000),0),IF($A$2="GEX",IFERROR(IF($X$1="ABS",($A$4*$A$4*RTD("tos.rtd",,"OPEN_INT","."&amp;O$2&amp;O$1&amp;"C"&amp;$A6)*RTD("tos.rtd",,"GAMMA","."&amp;O$2&amp;O$1&amp;"C"&amp;$A6)+$A$4*$A$4*RTD("tos.rtd",,"OPEN_INT","."&amp;O$2&amp;O$1&amp;"P"&amp;$A6)*RTD("tos.rtd",,"GAMMA","."&amp;O$2&amp;O$1&amp;"P"&amp;$A6))/1000000,($A$4*$A$4*RTD("tos.rtd",,"OPEN_INT","."&amp;O$2&amp;O$1&amp;"C"&amp;$A6)*RTD("tos.rtd",,"GAMMA","."&amp;O$2&amp;O$1&amp;"C"&amp;$A6)-$A$4*$A$4*RTD("tos.rtd",,"OPEN_INT","."&amp;O$2&amp;O$1&amp;"P"&amp;$A6)*RTD("tos.rtd",,"GAMMA","."&amp;O$2&amp;O$1&amp;"P"&amp;$A6))/1000000),0),IF($A$2="SKEW",IFERROR(VALUE(IF(RTD("tos.rtd",,"IMPL_VOL","."&amp;O$2&amp;O$1&amp;"P"&amp;$A6)="N/A",0,RTD("tos.rtd",,"IMPL_VOL","."&amp;O$2&amp;O$1&amp;"P"&amp;$A6))),0)-IFERROR(VALUE(IF(RTD("tos.rtd",,"IMPL_VOL","."&amp;O$2&amp;O$1&amp;"C"&amp;$A6)="N/A",0,RTD("tos.rtd",,"IMPL_VOL","."&amp;O$2&amp;O$1&amp;"C"&amp;$A6))),0),IF($A$2="MAXPAIN",IF($A$4&gt;$A6,($A$4-$A6)*IF(RTD("tos.rtd",,"OPEN_INT","."&amp;O$2&amp;O$1&amp;"C"&amp;$A6)="N/A",0,RTD("tos.rtd",,"OPEN_INT","."&amp;O$2&amp;O$1&amp;"C"&amp;$A6)),0)+IF($A$4&lt;$A6,($A$5-$A$4)*IF(RTD("tos.rtd",,"OPEN_INT","."&amp;O$2&amp;O$1&amp;"P"&amp;$A6)="N/A",0,RTD("tos.rtd",,"OPEN_INT","."&amp;O$2&amp;O$1&amp;"P"&amp;$A6)),0),IF($X$1="ABS",IF(RTD("tos.rtd",,$A$2,"."&amp;O$2&amp;O$1&amp;"C"&amp;$A6)="N/A",0,RTD("tos.rtd",,$A$2,"."&amp;O$2&amp;O$1&amp;"C"&amp;$A6))+IF(RTD("tos.rtd",,$A$2,"."&amp;O$2&amp;O$1&amp;"P"&amp;$A6)="N/A",0,RTD("tos.rtd",,$A$2,"."&amp;O$2&amp;O$1&amp;"P"&amp;$A6)),IF(RTD("tos.rtd",,$A$2,"."&amp;O$2&amp;O$1&amp;"C"&amp;$A6)="N/A",0,RTD("tos.rtd",,$A$2,"."&amp;O$2&amp;O$1&amp;"C"&amp;$A6))-IF(RTD("tos.rtd",,$A$2,"."&amp;O$2&amp;O$1&amp;"P"&amp;$A6)="N/A",0,RTD("tos.rtd",,$A$2,"."&amp;O$2&amp;O$1&amp;"P"&amp;$A6))))))))))</f>
        <v>0</v>
      </c>
      <c r="P6" s="12">
        <f ca="1">IF($A$2="PREMIUM_OI",IFERROR(IF($X$1="ABS",(100*RTD("tos.rtd",,"OPEN_INT","."&amp;P$2&amp;P$1&amp;"C"&amp;$A6)*RTD("tos.rtd",,"LAST","."&amp;P$2&amp;P$1&amp;"C"&amp;$A6)+100*RTD("tos.rtd",,"OPEN_INT","."&amp;P$2&amp;P$1&amp;"P"&amp;$A6)*RTD("tos.rtd",,"LAST","."&amp;P$2&amp;P$1&amp;"P"&amp;$A6))/1000000,(100*RTD("tos.rtd",,"OPEN_INT","."&amp;P$2&amp;P$1&amp;"C"&amp;$A6)*RTD("tos.rtd",,"LAST","."&amp;P$2&amp;P$1&amp;"C"&amp;$A6)-100*RTD("tos.rtd",,"OPEN_INT","."&amp;P$2&amp;P$1&amp;"P"&amp;$A6)*RTD("tos.rtd",,"LAST","."&amp;P$2&amp;P$1&amp;"P"&amp;$A6))/1000000),0),IF($A$2="PREMIUM",IFERROR(IF($X$1="ABS",(100*RTD("tos.rtd",,"VOLUME","."&amp;P$2&amp;P$1&amp;"C"&amp;$A6)*RTD("tos.rtd",,"LAST","."&amp;P$2&amp;P$1&amp;"C"&amp;$A6)+100*RTD("tos.rtd",,"VOLUME","."&amp;P$2&amp;P$1&amp;"P"&amp;$A6)*RTD("tos.rtd",,"LAST","."&amp;P$2&amp;P$1&amp;"P"&amp;$A6))/1000000,(100*RTD("tos.rtd",,"VOLUME","."&amp;P$2&amp;P$1&amp;"C"&amp;$A6)*RTD("tos.rtd",,"LAST","."&amp;P$2&amp;P$1&amp;"C"&amp;$A6)-100*RTD("tos.rtd",,"VOLUME","."&amp;P$2&amp;P$1&amp;"P"&amp;$A6)*RTD("tos.rtd",,"LAST","."&amp;P$2&amp;P$1&amp;"P"&amp;$A6))/1000000),0),IF($A$2="DEX",IFERROR(IF($X$1="ABS",(100*RTD("tos.rtd",,"OPEN_INT","."&amp;P$2&amp;P$1&amp;"C"&amp;$A6)*RTD("tos.rtd",,"DELTA","."&amp;P$2&amp;P$1&amp;"C"&amp;$A6)+100*RTD("tos.rtd",,"OPEN_INT","."&amp;P$2&amp;P$1&amp;"P"&amp;$A6)*RTD("tos.rtd",,"DELTA","."&amp;P$2&amp;P$1&amp;"P"&amp;$A6))/1000,(100*RTD("tos.rtd",,"OPEN_INT","."&amp;P$2&amp;P$1&amp;"C"&amp;$A6)*RTD("tos.rtd",,"DELTA","."&amp;P$2&amp;P$1&amp;"C"&amp;$A6)-100*RTD("tos.rtd",,"OPEN_INT","."&amp;P$2&amp;P$1&amp;"P"&amp;$A6)*RTD("tos.rtd",,"DELTA","."&amp;P$2&amp;P$1&amp;"P"&amp;$A6))/1000),0),IF($A$2="VEX",IFERROR(IF($X$1="ABS",($A$4*$A$4*RTD("tos.rtd",,"VOLUME","."&amp;P$2&amp;P$1&amp;"C"&amp;$A6)*RTD("tos.rtd",,"GAMMA","."&amp;P$2&amp;P$1&amp;"C"&amp;$A6)+$A$4*$A$4*RTD("tos.rtd",,"VOLUME","."&amp;P$2&amp;P$1&amp;"P"&amp;$A6)*RTD("tos.rtd",,"GAMMA","."&amp;P$2&amp;P$1&amp;"P"&amp;$A6))/1000000,($A$4*$A$4*RTD("tos.rtd",,"VOLUME","."&amp;P$2&amp;P$1&amp;"C"&amp;$A6)*RTD("tos.rtd",,"GAMMA","."&amp;P$2&amp;P$1&amp;"C"&amp;$A6)-$A$4*$A$4*RTD("tos.rtd",,"VOLUME","."&amp;P$2&amp;P$1&amp;"P"&amp;$A6)*RTD("tos.rtd",,"GAMMA","."&amp;P$2&amp;P$1&amp;"P"&amp;$A6))/1000000),0),IF($A$2="GEX",IFERROR(IF($X$1="ABS",($A$4*$A$4*RTD("tos.rtd",,"OPEN_INT","."&amp;P$2&amp;P$1&amp;"C"&amp;$A6)*RTD("tos.rtd",,"GAMMA","."&amp;P$2&amp;P$1&amp;"C"&amp;$A6)+$A$4*$A$4*RTD("tos.rtd",,"OPEN_INT","."&amp;P$2&amp;P$1&amp;"P"&amp;$A6)*RTD("tos.rtd",,"GAMMA","."&amp;P$2&amp;P$1&amp;"P"&amp;$A6))/1000000,($A$4*$A$4*RTD("tos.rtd",,"OPEN_INT","."&amp;P$2&amp;P$1&amp;"C"&amp;$A6)*RTD("tos.rtd",,"GAMMA","."&amp;P$2&amp;P$1&amp;"C"&amp;$A6)-$A$4*$A$4*RTD("tos.rtd",,"OPEN_INT","."&amp;P$2&amp;P$1&amp;"P"&amp;$A6)*RTD("tos.rtd",,"GAMMA","."&amp;P$2&amp;P$1&amp;"P"&amp;$A6))/1000000),0),IF($A$2="SKEW",IFERROR(VALUE(IF(RTD("tos.rtd",,"IMPL_VOL","."&amp;P$2&amp;P$1&amp;"P"&amp;$A6)="N/A",0,RTD("tos.rtd",,"IMPL_VOL","."&amp;P$2&amp;P$1&amp;"P"&amp;$A6))),0)-IFERROR(VALUE(IF(RTD("tos.rtd",,"IMPL_VOL","."&amp;P$2&amp;P$1&amp;"C"&amp;$A6)="N/A",0,RTD("tos.rtd",,"IMPL_VOL","."&amp;P$2&amp;P$1&amp;"C"&amp;$A6))),0),IF($A$2="MAXPAIN",IF($A$4&gt;$A6,($A$4-$A6)*IF(RTD("tos.rtd",,"OPEN_INT","."&amp;P$2&amp;P$1&amp;"C"&amp;$A6)="N/A",0,RTD("tos.rtd",,"OPEN_INT","."&amp;P$2&amp;P$1&amp;"C"&amp;$A6)),0)+IF($A$4&lt;$A6,($A$5-$A$4)*IF(RTD("tos.rtd",,"OPEN_INT","."&amp;P$2&amp;P$1&amp;"P"&amp;$A6)="N/A",0,RTD("tos.rtd",,"OPEN_INT","."&amp;P$2&amp;P$1&amp;"P"&amp;$A6)),0),IF($X$1="ABS",IF(RTD("tos.rtd",,$A$2,"."&amp;P$2&amp;P$1&amp;"C"&amp;$A6)="N/A",0,RTD("tos.rtd",,$A$2,"."&amp;P$2&amp;P$1&amp;"C"&amp;$A6))+IF(RTD("tos.rtd",,$A$2,"."&amp;P$2&amp;P$1&amp;"P"&amp;$A6)="N/A",0,RTD("tos.rtd",,$A$2,"."&amp;P$2&amp;P$1&amp;"P"&amp;$A6)),IF(RTD("tos.rtd",,$A$2,"."&amp;P$2&amp;P$1&amp;"C"&amp;$A6)="N/A",0,RTD("tos.rtd",,$A$2,"."&amp;P$2&amp;P$1&amp;"C"&amp;$A6))-IF(RTD("tos.rtd",,$A$2,"."&amp;P$2&amp;P$1&amp;"P"&amp;$A6)="N/A",0,RTD("tos.rtd",,$A$2,"."&amp;P$2&amp;P$1&amp;"P"&amp;$A6))))))))))</f>
        <v>0</v>
      </c>
      <c r="Q6" s="12">
        <f ca="1">IF($A$2="PREMIUM_OI",IFERROR(IF($X$1="ABS",(100*RTD("tos.rtd",,"OPEN_INT","."&amp;Q$2&amp;Q$1&amp;"C"&amp;$A6)*RTD("tos.rtd",,"LAST","."&amp;Q$2&amp;Q$1&amp;"C"&amp;$A6)+100*RTD("tos.rtd",,"OPEN_INT","."&amp;Q$2&amp;Q$1&amp;"P"&amp;$A6)*RTD("tos.rtd",,"LAST","."&amp;Q$2&amp;Q$1&amp;"P"&amp;$A6))/1000000,(100*RTD("tos.rtd",,"OPEN_INT","."&amp;Q$2&amp;Q$1&amp;"C"&amp;$A6)*RTD("tos.rtd",,"LAST","."&amp;Q$2&amp;Q$1&amp;"C"&amp;$A6)-100*RTD("tos.rtd",,"OPEN_INT","."&amp;Q$2&amp;Q$1&amp;"P"&amp;$A6)*RTD("tos.rtd",,"LAST","."&amp;Q$2&amp;Q$1&amp;"P"&amp;$A6))/1000000),0),IF($A$2="PREMIUM",IFERROR(IF($X$1="ABS",(100*RTD("tos.rtd",,"VOLUME","."&amp;Q$2&amp;Q$1&amp;"C"&amp;$A6)*RTD("tos.rtd",,"LAST","."&amp;Q$2&amp;Q$1&amp;"C"&amp;$A6)+100*RTD("tos.rtd",,"VOLUME","."&amp;Q$2&amp;Q$1&amp;"P"&amp;$A6)*RTD("tos.rtd",,"LAST","."&amp;Q$2&amp;Q$1&amp;"P"&amp;$A6))/1000000,(100*RTD("tos.rtd",,"VOLUME","."&amp;Q$2&amp;Q$1&amp;"C"&amp;$A6)*RTD("tos.rtd",,"LAST","."&amp;Q$2&amp;Q$1&amp;"C"&amp;$A6)-100*RTD("tos.rtd",,"VOLUME","."&amp;Q$2&amp;Q$1&amp;"P"&amp;$A6)*RTD("tos.rtd",,"LAST","."&amp;Q$2&amp;Q$1&amp;"P"&amp;$A6))/1000000),0),IF($A$2="DEX",IFERROR(IF($X$1="ABS",(100*RTD("tos.rtd",,"OPEN_INT","."&amp;Q$2&amp;Q$1&amp;"C"&amp;$A6)*RTD("tos.rtd",,"DELTA","."&amp;Q$2&amp;Q$1&amp;"C"&amp;$A6)+100*RTD("tos.rtd",,"OPEN_INT","."&amp;Q$2&amp;Q$1&amp;"P"&amp;$A6)*RTD("tos.rtd",,"DELTA","."&amp;Q$2&amp;Q$1&amp;"P"&amp;$A6))/1000,(100*RTD("tos.rtd",,"OPEN_INT","."&amp;Q$2&amp;Q$1&amp;"C"&amp;$A6)*RTD("tos.rtd",,"DELTA","."&amp;Q$2&amp;Q$1&amp;"C"&amp;$A6)-100*RTD("tos.rtd",,"OPEN_INT","."&amp;Q$2&amp;Q$1&amp;"P"&amp;$A6)*RTD("tos.rtd",,"DELTA","."&amp;Q$2&amp;Q$1&amp;"P"&amp;$A6))/1000),0),IF($A$2="VEX",IFERROR(IF($X$1="ABS",($A$4*$A$4*RTD("tos.rtd",,"VOLUME","."&amp;Q$2&amp;Q$1&amp;"C"&amp;$A6)*RTD("tos.rtd",,"GAMMA","."&amp;Q$2&amp;Q$1&amp;"C"&amp;$A6)+$A$4*$A$4*RTD("tos.rtd",,"VOLUME","."&amp;Q$2&amp;Q$1&amp;"P"&amp;$A6)*RTD("tos.rtd",,"GAMMA","."&amp;Q$2&amp;Q$1&amp;"P"&amp;$A6))/1000000,($A$4*$A$4*RTD("tos.rtd",,"VOLUME","."&amp;Q$2&amp;Q$1&amp;"C"&amp;$A6)*RTD("tos.rtd",,"GAMMA","."&amp;Q$2&amp;Q$1&amp;"C"&amp;$A6)-$A$4*$A$4*RTD("tos.rtd",,"VOLUME","."&amp;Q$2&amp;Q$1&amp;"P"&amp;$A6)*RTD("tos.rtd",,"GAMMA","."&amp;Q$2&amp;Q$1&amp;"P"&amp;$A6))/1000000),0),IF($A$2="GEX",IFERROR(IF($X$1="ABS",($A$4*$A$4*RTD("tos.rtd",,"OPEN_INT","."&amp;Q$2&amp;Q$1&amp;"C"&amp;$A6)*RTD("tos.rtd",,"GAMMA","."&amp;Q$2&amp;Q$1&amp;"C"&amp;$A6)+$A$4*$A$4*RTD("tos.rtd",,"OPEN_INT","."&amp;Q$2&amp;Q$1&amp;"P"&amp;$A6)*RTD("tos.rtd",,"GAMMA","."&amp;Q$2&amp;Q$1&amp;"P"&amp;$A6))/1000000,($A$4*$A$4*RTD("tos.rtd",,"OPEN_INT","."&amp;Q$2&amp;Q$1&amp;"C"&amp;$A6)*RTD("tos.rtd",,"GAMMA","."&amp;Q$2&amp;Q$1&amp;"C"&amp;$A6)-$A$4*$A$4*RTD("tos.rtd",,"OPEN_INT","."&amp;Q$2&amp;Q$1&amp;"P"&amp;$A6)*RTD("tos.rtd",,"GAMMA","."&amp;Q$2&amp;Q$1&amp;"P"&amp;$A6))/1000000),0),IF($A$2="SKEW",IFERROR(VALUE(IF(RTD("tos.rtd",,"IMPL_VOL","."&amp;Q$2&amp;Q$1&amp;"P"&amp;$A6)="N/A",0,RTD("tos.rtd",,"IMPL_VOL","."&amp;Q$2&amp;Q$1&amp;"P"&amp;$A6))),0)-IFERROR(VALUE(IF(RTD("tos.rtd",,"IMPL_VOL","."&amp;Q$2&amp;Q$1&amp;"C"&amp;$A6)="N/A",0,RTD("tos.rtd",,"IMPL_VOL","."&amp;Q$2&amp;Q$1&amp;"C"&amp;$A6))),0),IF($A$2="MAXPAIN",IF($A$4&gt;$A6,($A$4-$A6)*IF(RTD("tos.rtd",,"OPEN_INT","."&amp;Q$2&amp;Q$1&amp;"C"&amp;$A6)="N/A",0,RTD("tos.rtd",,"OPEN_INT","."&amp;Q$2&amp;Q$1&amp;"C"&amp;$A6)),0)+IF($A$4&lt;$A6,($A$5-$A$4)*IF(RTD("tos.rtd",,"OPEN_INT","."&amp;Q$2&amp;Q$1&amp;"P"&amp;$A6)="N/A",0,RTD("tos.rtd",,"OPEN_INT","."&amp;Q$2&amp;Q$1&amp;"P"&amp;$A6)),0),IF($X$1="ABS",IF(RTD("tos.rtd",,$A$2,"."&amp;Q$2&amp;Q$1&amp;"C"&amp;$A6)="N/A",0,RTD("tos.rtd",,$A$2,"."&amp;Q$2&amp;Q$1&amp;"C"&amp;$A6))+IF(RTD("tos.rtd",,$A$2,"."&amp;Q$2&amp;Q$1&amp;"P"&amp;$A6)="N/A",0,RTD("tos.rtd",,$A$2,"."&amp;Q$2&amp;Q$1&amp;"P"&amp;$A6)),IF(RTD("tos.rtd",,$A$2,"."&amp;Q$2&amp;Q$1&amp;"C"&amp;$A6)="N/A",0,RTD("tos.rtd",,$A$2,"."&amp;Q$2&amp;Q$1&amp;"C"&amp;$A6))-IF(RTD("tos.rtd",,$A$2,"."&amp;Q$2&amp;Q$1&amp;"P"&amp;$A6)="N/A",0,RTD("tos.rtd",,$A$2,"."&amp;Q$2&amp;Q$1&amp;"P"&amp;$A6))))))))))</f>
        <v>0</v>
      </c>
      <c r="R6" s="12">
        <f ca="1">IF($A$2="PREMIUM_OI",IFERROR(IF($X$1="ABS",(100*RTD("tos.rtd",,"OPEN_INT","."&amp;R$2&amp;R$1&amp;"C"&amp;$A6)*RTD("tos.rtd",,"LAST","."&amp;R$2&amp;R$1&amp;"C"&amp;$A6)+100*RTD("tos.rtd",,"OPEN_INT","."&amp;R$2&amp;R$1&amp;"P"&amp;$A6)*RTD("tos.rtd",,"LAST","."&amp;R$2&amp;R$1&amp;"P"&amp;$A6))/1000000,(100*RTD("tos.rtd",,"OPEN_INT","."&amp;R$2&amp;R$1&amp;"C"&amp;$A6)*RTD("tos.rtd",,"LAST","."&amp;R$2&amp;R$1&amp;"C"&amp;$A6)-100*RTD("tos.rtd",,"OPEN_INT","."&amp;R$2&amp;R$1&amp;"P"&amp;$A6)*RTD("tos.rtd",,"LAST","."&amp;R$2&amp;R$1&amp;"P"&amp;$A6))/1000000),0),IF($A$2="PREMIUM",IFERROR(IF($X$1="ABS",(100*RTD("tos.rtd",,"VOLUME","."&amp;R$2&amp;R$1&amp;"C"&amp;$A6)*RTD("tos.rtd",,"LAST","."&amp;R$2&amp;R$1&amp;"C"&amp;$A6)+100*RTD("tos.rtd",,"VOLUME","."&amp;R$2&amp;R$1&amp;"P"&amp;$A6)*RTD("tos.rtd",,"LAST","."&amp;R$2&amp;R$1&amp;"P"&amp;$A6))/1000000,(100*RTD("tos.rtd",,"VOLUME","."&amp;R$2&amp;R$1&amp;"C"&amp;$A6)*RTD("tos.rtd",,"LAST","."&amp;R$2&amp;R$1&amp;"C"&amp;$A6)-100*RTD("tos.rtd",,"VOLUME","."&amp;R$2&amp;R$1&amp;"P"&amp;$A6)*RTD("tos.rtd",,"LAST","."&amp;R$2&amp;R$1&amp;"P"&amp;$A6))/1000000),0),IF($A$2="DEX",IFERROR(IF($X$1="ABS",(100*RTD("tos.rtd",,"OPEN_INT","."&amp;R$2&amp;R$1&amp;"C"&amp;$A6)*RTD("tos.rtd",,"DELTA","."&amp;R$2&amp;R$1&amp;"C"&amp;$A6)+100*RTD("tos.rtd",,"OPEN_INT","."&amp;R$2&amp;R$1&amp;"P"&amp;$A6)*RTD("tos.rtd",,"DELTA","."&amp;R$2&amp;R$1&amp;"P"&amp;$A6))/1000,(100*RTD("tos.rtd",,"OPEN_INT","."&amp;R$2&amp;R$1&amp;"C"&amp;$A6)*RTD("tos.rtd",,"DELTA","."&amp;R$2&amp;R$1&amp;"C"&amp;$A6)-100*RTD("tos.rtd",,"OPEN_INT","."&amp;R$2&amp;R$1&amp;"P"&amp;$A6)*RTD("tos.rtd",,"DELTA","."&amp;R$2&amp;R$1&amp;"P"&amp;$A6))/1000),0),IF($A$2="VEX",IFERROR(IF($X$1="ABS",($A$4*$A$4*RTD("tos.rtd",,"VOLUME","."&amp;R$2&amp;R$1&amp;"C"&amp;$A6)*RTD("tos.rtd",,"GAMMA","."&amp;R$2&amp;R$1&amp;"C"&amp;$A6)+$A$4*$A$4*RTD("tos.rtd",,"VOLUME","."&amp;R$2&amp;R$1&amp;"P"&amp;$A6)*RTD("tos.rtd",,"GAMMA","."&amp;R$2&amp;R$1&amp;"P"&amp;$A6))/1000000,($A$4*$A$4*RTD("tos.rtd",,"VOLUME","."&amp;R$2&amp;R$1&amp;"C"&amp;$A6)*RTD("tos.rtd",,"GAMMA","."&amp;R$2&amp;R$1&amp;"C"&amp;$A6)-$A$4*$A$4*RTD("tos.rtd",,"VOLUME","."&amp;R$2&amp;R$1&amp;"P"&amp;$A6)*RTD("tos.rtd",,"GAMMA","."&amp;R$2&amp;R$1&amp;"P"&amp;$A6))/1000000),0),IF($A$2="GEX",IFERROR(IF($X$1="ABS",($A$4*$A$4*RTD("tos.rtd",,"OPEN_INT","."&amp;R$2&amp;R$1&amp;"C"&amp;$A6)*RTD("tos.rtd",,"GAMMA","."&amp;R$2&amp;R$1&amp;"C"&amp;$A6)+$A$4*$A$4*RTD("tos.rtd",,"OPEN_INT","."&amp;R$2&amp;R$1&amp;"P"&amp;$A6)*RTD("tos.rtd",,"GAMMA","."&amp;R$2&amp;R$1&amp;"P"&amp;$A6))/1000000,($A$4*$A$4*RTD("tos.rtd",,"OPEN_INT","."&amp;R$2&amp;R$1&amp;"C"&amp;$A6)*RTD("tos.rtd",,"GAMMA","."&amp;R$2&amp;R$1&amp;"C"&amp;$A6)-$A$4*$A$4*RTD("tos.rtd",,"OPEN_INT","."&amp;R$2&amp;R$1&amp;"P"&amp;$A6)*RTD("tos.rtd",,"GAMMA","."&amp;R$2&amp;R$1&amp;"P"&amp;$A6))/1000000),0),IF($A$2="SKEW",IFERROR(VALUE(IF(RTD("tos.rtd",,"IMPL_VOL","."&amp;R$2&amp;R$1&amp;"P"&amp;$A6)="N/A",0,RTD("tos.rtd",,"IMPL_VOL","."&amp;R$2&amp;R$1&amp;"P"&amp;$A6))),0)-IFERROR(VALUE(IF(RTD("tos.rtd",,"IMPL_VOL","."&amp;R$2&amp;R$1&amp;"C"&amp;$A6)="N/A",0,RTD("tos.rtd",,"IMPL_VOL","."&amp;R$2&amp;R$1&amp;"C"&amp;$A6))),0),IF($A$2="MAXPAIN",IF($A$4&gt;$A6,($A$4-$A6)*IF(RTD("tos.rtd",,"OPEN_INT","."&amp;R$2&amp;R$1&amp;"C"&amp;$A6)="N/A",0,RTD("tos.rtd",,"OPEN_INT","."&amp;R$2&amp;R$1&amp;"C"&amp;$A6)),0)+IF($A$4&lt;$A6,($A$5-$A$4)*IF(RTD("tos.rtd",,"OPEN_INT","."&amp;R$2&amp;R$1&amp;"P"&amp;$A6)="N/A",0,RTD("tos.rtd",,"OPEN_INT","."&amp;R$2&amp;R$1&amp;"P"&amp;$A6)),0),IF($X$1="ABS",IF(RTD("tos.rtd",,$A$2,"."&amp;R$2&amp;R$1&amp;"C"&amp;$A6)="N/A",0,RTD("tos.rtd",,$A$2,"."&amp;R$2&amp;R$1&amp;"C"&amp;$A6))+IF(RTD("tos.rtd",,$A$2,"."&amp;R$2&amp;R$1&amp;"P"&amp;$A6)="N/A",0,RTD("tos.rtd",,$A$2,"."&amp;R$2&amp;R$1&amp;"P"&amp;$A6)),IF(RTD("tos.rtd",,$A$2,"."&amp;R$2&amp;R$1&amp;"C"&amp;$A6)="N/A",0,RTD("tos.rtd",,$A$2,"."&amp;R$2&amp;R$1&amp;"C"&amp;$A6))-IF(RTD("tos.rtd",,$A$2,"."&amp;R$2&amp;R$1&amp;"P"&amp;$A6)="N/A",0,RTD("tos.rtd",,$A$2,"."&amp;R$2&amp;R$1&amp;"P"&amp;$A6))))))))))</f>
        <v>0</v>
      </c>
      <c r="S6" s="12">
        <f ca="1">IF($A$2="PREMIUM_OI",IFERROR(IF($X$1="ABS",(100*RTD("tos.rtd",,"OPEN_INT","."&amp;S$2&amp;S$1&amp;"C"&amp;$A6)*RTD("tos.rtd",,"LAST","."&amp;S$2&amp;S$1&amp;"C"&amp;$A6)+100*RTD("tos.rtd",,"OPEN_INT","."&amp;S$2&amp;S$1&amp;"P"&amp;$A6)*RTD("tos.rtd",,"LAST","."&amp;S$2&amp;S$1&amp;"P"&amp;$A6))/1000000,(100*RTD("tos.rtd",,"OPEN_INT","."&amp;S$2&amp;S$1&amp;"C"&amp;$A6)*RTD("tos.rtd",,"LAST","."&amp;S$2&amp;S$1&amp;"C"&amp;$A6)-100*RTD("tos.rtd",,"OPEN_INT","."&amp;S$2&amp;S$1&amp;"P"&amp;$A6)*RTD("tos.rtd",,"LAST","."&amp;S$2&amp;S$1&amp;"P"&amp;$A6))/1000000),0),IF($A$2="PREMIUM",IFERROR(IF($X$1="ABS",(100*RTD("tos.rtd",,"VOLUME","."&amp;S$2&amp;S$1&amp;"C"&amp;$A6)*RTD("tos.rtd",,"LAST","."&amp;S$2&amp;S$1&amp;"C"&amp;$A6)+100*RTD("tos.rtd",,"VOLUME","."&amp;S$2&amp;S$1&amp;"P"&amp;$A6)*RTD("tos.rtd",,"LAST","."&amp;S$2&amp;S$1&amp;"P"&amp;$A6))/1000000,(100*RTD("tos.rtd",,"VOLUME","."&amp;S$2&amp;S$1&amp;"C"&amp;$A6)*RTD("tos.rtd",,"LAST","."&amp;S$2&amp;S$1&amp;"C"&amp;$A6)-100*RTD("tos.rtd",,"VOLUME","."&amp;S$2&amp;S$1&amp;"P"&amp;$A6)*RTD("tos.rtd",,"LAST","."&amp;S$2&amp;S$1&amp;"P"&amp;$A6))/1000000),0),IF($A$2="DEX",IFERROR(IF($X$1="ABS",(100*RTD("tos.rtd",,"OPEN_INT","."&amp;S$2&amp;S$1&amp;"C"&amp;$A6)*RTD("tos.rtd",,"DELTA","."&amp;S$2&amp;S$1&amp;"C"&amp;$A6)+100*RTD("tos.rtd",,"OPEN_INT","."&amp;S$2&amp;S$1&amp;"P"&amp;$A6)*RTD("tos.rtd",,"DELTA","."&amp;S$2&amp;S$1&amp;"P"&amp;$A6))/1000,(100*RTD("tos.rtd",,"OPEN_INT","."&amp;S$2&amp;S$1&amp;"C"&amp;$A6)*RTD("tos.rtd",,"DELTA","."&amp;S$2&amp;S$1&amp;"C"&amp;$A6)-100*RTD("tos.rtd",,"OPEN_INT","."&amp;S$2&amp;S$1&amp;"P"&amp;$A6)*RTD("tos.rtd",,"DELTA","."&amp;S$2&amp;S$1&amp;"P"&amp;$A6))/1000),0),IF($A$2="VEX",IFERROR(IF($X$1="ABS",($A$4*$A$4*RTD("tos.rtd",,"VOLUME","."&amp;S$2&amp;S$1&amp;"C"&amp;$A6)*RTD("tos.rtd",,"GAMMA","."&amp;S$2&amp;S$1&amp;"C"&amp;$A6)+$A$4*$A$4*RTD("tos.rtd",,"VOLUME","."&amp;S$2&amp;S$1&amp;"P"&amp;$A6)*RTD("tos.rtd",,"GAMMA","."&amp;S$2&amp;S$1&amp;"P"&amp;$A6))/1000000,($A$4*$A$4*RTD("tos.rtd",,"VOLUME","."&amp;S$2&amp;S$1&amp;"C"&amp;$A6)*RTD("tos.rtd",,"GAMMA","."&amp;S$2&amp;S$1&amp;"C"&amp;$A6)-$A$4*$A$4*RTD("tos.rtd",,"VOLUME","."&amp;S$2&amp;S$1&amp;"P"&amp;$A6)*RTD("tos.rtd",,"GAMMA","."&amp;S$2&amp;S$1&amp;"P"&amp;$A6))/1000000),0),IF($A$2="GEX",IFERROR(IF($X$1="ABS",($A$4*$A$4*RTD("tos.rtd",,"OPEN_INT","."&amp;S$2&amp;S$1&amp;"C"&amp;$A6)*RTD("tos.rtd",,"GAMMA","."&amp;S$2&amp;S$1&amp;"C"&amp;$A6)+$A$4*$A$4*RTD("tos.rtd",,"OPEN_INT","."&amp;S$2&amp;S$1&amp;"P"&amp;$A6)*RTD("tos.rtd",,"GAMMA","."&amp;S$2&amp;S$1&amp;"P"&amp;$A6))/1000000,($A$4*$A$4*RTD("tos.rtd",,"OPEN_INT","."&amp;S$2&amp;S$1&amp;"C"&amp;$A6)*RTD("tos.rtd",,"GAMMA","."&amp;S$2&amp;S$1&amp;"C"&amp;$A6)-$A$4*$A$4*RTD("tos.rtd",,"OPEN_INT","."&amp;S$2&amp;S$1&amp;"P"&amp;$A6)*RTD("tos.rtd",,"GAMMA","."&amp;S$2&amp;S$1&amp;"P"&amp;$A6))/1000000),0),IF($A$2="SKEW",IFERROR(VALUE(IF(RTD("tos.rtd",,"IMPL_VOL","."&amp;S$2&amp;S$1&amp;"P"&amp;$A6)="N/A",0,RTD("tos.rtd",,"IMPL_VOL","."&amp;S$2&amp;S$1&amp;"P"&amp;$A6))),0)-IFERROR(VALUE(IF(RTD("tos.rtd",,"IMPL_VOL","."&amp;S$2&amp;S$1&amp;"C"&amp;$A6)="N/A",0,RTD("tos.rtd",,"IMPL_VOL","."&amp;S$2&amp;S$1&amp;"C"&amp;$A6))),0),IF($A$2="MAXPAIN",IF($A$4&gt;$A6,($A$4-$A6)*IF(RTD("tos.rtd",,"OPEN_INT","."&amp;S$2&amp;S$1&amp;"C"&amp;$A6)="N/A",0,RTD("tos.rtd",,"OPEN_INT","."&amp;S$2&amp;S$1&amp;"C"&amp;$A6)),0)+IF($A$4&lt;$A6,($A$5-$A$4)*IF(RTD("tos.rtd",,"OPEN_INT","."&amp;S$2&amp;S$1&amp;"P"&amp;$A6)="N/A",0,RTD("tos.rtd",,"OPEN_INT","."&amp;S$2&amp;S$1&amp;"P"&amp;$A6)),0),IF($X$1="ABS",IF(RTD("tos.rtd",,$A$2,"."&amp;S$2&amp;S$1&amp;"C"&amp;$A6)="N/A",0,RTD("tos.rtd",,$A$2,"."&amp;S$2&amp;S$1&amp;"C"&amp;$A6))+IF(RTD("tos.rtd",,$A$2,"."&amp;S$2&amp;S$1&amp;"P"&amp;$A6)="N/A",0,RTD("tos.rtd",,$A$2,"."&amp;S$2&amp;S$1&amp;"P"&amp;$A6)),IF(RTD("tos.rtd",,$A$2,"."&amp;S$2&amp;S$1&amp;"C"&amp;$A6)="N/A",0,RTD("tos.rtd",,$A$2,"."&amp;S$2&amp;S$1&amp;"C"&amp;$A6))-IF(RTD("tos.rtd",,$A$2,"."&amp;S$2&amp;S$1&amp;"P"&amp;$A6)="N/A",0,RTD("tos.rtd",,$A$2,"."&amp;S$2&amp;S$1&amp;"P"&amp;$A6))))))))))</f>
        <v>0</v>
      </c>
      <c r="T6" s="12">
        <f ca="1">IF($A$2="PREMIUM_OI",IFERROR(IF($X$1="ABS",(100*RTD("tos.rtd",,"OPEN_INT","."&amp;T$2&amp;T$1&amp;"C"&amp;$A6)*RTD("tos.rtd",,"LAST","."&amp;T$2&amp;T$1&amp;"C"&amp;$A6)+100*RTD("tos.rtd",,"OPEN_INT","."&amp;T$2&amp;T$1&amp;"P"&amp;$A6)*RTD("tos.rtd",,"LAST","."&amp;T$2&amp;T$1&amp;"P"&amp;$A6))/1000000,(100*RTD("tos.rtd",,"OPEN_INT","."&amp;T$2&amp;T$1&amp;"C"&amp;$A6)*RTD("tos.rtd",,"LAST","."&amp;T$2&amp;T$1&amp;"C"&amp;$A6)-100*RTD("tos.rtd",,"OPEN_INT","."&amp;T$2&amp;T$1&amp;"P"&amp;$A6)*RTD("tos.rtd",,"LAST","."&amp;T$2&amp;T$1&amp;"P"&amp;$A6))/1000000),0),IF($A$2="PREMIUM",IFERROR(IF($X$1="ABS",(100*RTD("tos.rtd",,"VOLUME","."&amp;T$2&amp;T$1&amp;"C"&amp;$A6)*RTD("tos.rtd",,"LAST","."&amp;T$2&amp;T$1&amp;"C"&amp;$A6)+100*RTD("tos.rtd",,"VOLUME","."&amp;T$2&amp;T$1&amp;"P"&amp;$A6)*RTD("tos.rtd",,"LAST","."&amp;T$2&amp;T$1&amp;"P"&amp;$A6))/1000000,(100*RTD("tos.rtd",,"VOLUME","."&amp;T$2&amp;T$1&amp;"C"&amp;$A6)*RTD("tos.rtd",,"LAST","."&amp;T$2&amp;T$1&amp;"C"&amp;$A6)-100*RTD("tos.rtd",,"VOLUME","."&amp;T$2&amp;T$1&amp;"P"&amp;$A6)*RTD("tos.rtd",,"LAST","."&amp;T$2&amp;T$1&amp;"P"&amp;$A6))/1000000),0),IF($A$2="DEX",IFERROR(IF($X$1="ABS",(100*RTD("tos.rtd",,"OPEN_INT","."&amp;T$2&amp;T$1&amp;"C"&amp;$A6)*RTD("tos.rtd",,"DELTA","."&amp;T$2&amp;T$1&amp;"C"&amp;$A6)+100*RTD("tos.rtd",,"OPEN_INT","."&amp;T$2&amp;T$1&amp;"P"&amp;$A6)*RTD("tos.rtd",,"DELTA","."&amp;T$2&amp;T$1&amp;"P"&amp;$A6))/1000,(100*RTD("tos.rtd",,"OPEN_INT","."&amp;T$2&amp;T$1&amp;"C"&amp;$A6)*RTD("tos.rtd",,"DELTA","."&amp;T$2&amp;T$1&amp;"C"&amp;$A6)-100*RTD("tos.rtd",,"OPEN_INT","."&amp;T$2&amp;T$1&amp;"P"&amp;$A6)*RTD("tos.rtd",,"DELTA","."&amp;T$2&amp;T$1&amp;"P"&amp;$A6))/1000),0),IF($A$2="VEX",IFERROR(IF($X$1="ABS",($A$4*$A$4*RTD("tos.rtd",,"VOLUME","."&amp;T$2&amp;T$1&amp;"C"&amp;$A6)*RTD("tos.rtd",,"GAMMA","."&amp;T$2&amp;T$1&amp;"C"&amp;$A6)+$A$4*$A$4*RTD("tos.rtd",,"VOLUME","."&amp;T$2&amp;T$1&amp;"P"&amp;$A6)*RTD("tos.rtd",,"GAMMA","."&amp;T$2&amp;T$1&amp;"P"&amp;$A6))/1000000,($A$4*$A$4*RTD("tos.rtd",,"VOLUME","."&amp;T$2&amp;T$1&amp;"C"&amp;$A6)*RTD("tos.rtd",,"GAMMA","."&amp;T$2&amp;T$1&amp;"C"&amp;$A6)-$A$4*$A$4*RTD("tos.rtd",,"VOLUME","."&amp;T$2&amp;T$1&amp;"P"&amp;$A6)*RTD("tos.rtd",,"GAMMA","."&amp;T$2&amp;T$1&amp;"P"&amp;$A6))/1000000),0),IF($A$2="GEX",IFERROR(IF($X$1="ABS",($A$4*$A$4*RTD("tos.rtd",,"OPEN_INT","."&amp;T$2&amp;T$1&amp;"C"&amp;$A6)*RTD("tos.rtd",,"GAMMA","."&amp;T$2&amp;T$1&amp;"C"&amp;$A6)+$A$4*$A$4*RTD("tos.rtd",,"OPEN_INT","."&amp;T$2&amp;T$1&amp;"P"&amp;$A6)*RTD("tos.rtd",,"GAMMA","."&amp;T$2&amp;T$1&amp;"P"&amp;$A6))/1000000,($A$4*$A$4*RTD("tos.rtd",,"OPEN_INT","."&amp;T$2&amp;T$1&amp;"C"&amp;$A6)*RTD("tos.rtd",,"GAMMA","."&amp;T$2&amp;T$1&amp;"C"&amp;$A6)-$A$4*$A$4*RTD("tos.rtd",,"OPEN_INT","."&amp;T$2&amp;T$1&amp;"P"&amp;$A6)*RTD("tos.rtd",,"GAMMA","."&amp;T$2&amp;T$1&amp;"P"&amp;$A6))/1000000),0),IF($A$2="SKEW",IFERROR(VALUE(IF(RTD("tos.rtd",,"IMPL_VOL","."&amp;T$2&amp;T$1&amp;"P"&amp;$A6)="N/A",0,RTD("tos.rtd",,"IMPL_VOL","."&amp;T$2&amp;T$1&amp;"P"&amp;$A6))),0)-IFERROR(VALUE(IF(RTD("tos.rtd",,"IMPL_VOL","."&amp;T$2&amp;T$1&amp;"C"&amp;$A6)="N/A",0,RTD("tos.rtd",,"IMPL_VOL","."&amp;T$2&amp;T$1&amp;"C"&amp;$A6))),0),IF($A$2="MAXPAIN",IF($A$4&gt;$A6,($A$4-$A6)*IF(RTD("tos.rtd",,"OPEN_INT","."&amp;T$2&amp;T$1&amp;"C"&amp;$A6)="N/A",0,RTD("tos.rtd",,"OPEN_INT","."&amp;T$2&amp;T$1&amp;"C"&amp;$A6)),0)+IF($A$4&lt;$A6,($A$5-$A$4)*IF(RTD("tos.rtd",,"OPEN_INT","."&amp;T$2&amp;T$1&amp;"P"&amp;$A6)="N/A",0,RTD("tos.rtd",,"OPEN_INT","."&amp;T$2&amp;T$1&amp;"P"&amp;$A6)),0),IF($X$1="ABS",IF(RTD("tos.rtd",,$A$2,"."&amp;T$2&amp;T$1&amp;"C"&amp;$A6)="N/A",0,RTD("tos.rtd",,$A$2,"."&amp;T$2&amp;T$1&amp;"C"&amp;$A6))+IF(RTD("tos.rtd",,$A$2,"."&amp;T$2&amp;T$1&amp;"P"&amp;$A6)="N/A",0,RTD("tos.rtd",,$A$2,"."&amp;T$2&amp;T$1&amp;"P"&amp;$A6)),IF(RTD("tos.rtd",,$A$2,"."&amp;T$2&amp;T$1&amp;"C"&amp;$A6)="N/A",0,RTD("tos.rtd",,$A$2,"."&amp;T$2&amp;T$1&amp;"C"&amp;$A6))-IF(RTD("tos.rtd",,$A$2,"."&amp;T$2&amp;T$1&amp;"P"&amp;$A6)="N/A",0,RTD("tos.rtd",,$A$2,"."&amp;T$2&amp;T$1&amp;"P"&amp;$A6))))))))))</f>
        <v>0</v>
      </c>
      <c r="U6" s="12">
        <f ca="1">IF($A$2="PREMIUM_OI",IFERROR(IF($X$1="ABS",(100*RTD("tos.rtd",,"OPEN_INT","."&amp;U$2&amp;U$1&amp;"C"&amp;$A6)*RTD("tos.rtd",,"LAST","."&amp;U$2&amp;U$1&amp;"C"&amp;$A6)+100*RTD("tos.rtd",,"OPEN_INT","."&amp;U$2&amp;U$1&amp;"P"&amp;$A6)*RTD("tos.rtd",,"LAST","."&amp;U$2&amp;U$1&amp;"P"&amp;$A6))/1000000,(100*RTD("tos.rtd",,"OPEN_INT","."&amp;U$2&amp;U$1&amp;"C"&amp;$A6)*RTD("tos.rtd",,"LAST","."&amp;U$2&amp;U$1&amp;"C"&amp;$A6)-100*RTD("tos.rtd",,"OPEN_INT","."&amp;U$2&amp;U$1&amp;"P"&amp;$A6)*RTD("tos.rtd",,"LAST","."&amp;U$2&amp;U$1&amp;"P"&amp;$A6))/1000000),0),IF($A$2="PREMIUM",IFERROR(IF($X$1="ABS",(100*RTD("tos.rtd",,"VOLUME","."&amp;U$2&amp;U$1&amp;"C"&amp;$A6)*RTD("tos.rtd",,"LAST","."&amp;U$2&amp;U$1&amp;"C"&amp;$A6)+100*RTD("tos.rtd",,"VOLUME","."&amp;U$2&amp;U$1&amp;"P"&amp;$A6)*RTD("tos.rtd",,"LAST","."&amp;U$2&amp;U$1&amp;"P"&amp;$A6))/1000000,(100*RTD("tos.rtd",,"VOLUME","."&amp;U$2&amp;U$1&amp;"C"&amp;$A6)*RTD("tos.rtd",,"LAST","."&amp;U$2&amp;U$1&amp;"C"&amp;$A6)-100*RTD("tos.rtd",,"VOLUME","."&amp;U$2&amp;U$1&amp;"P"&amp;$A6)*RTD("tos.rtd",,"LAST","."&amp;U$2&amp;U$1&amp;"P"&amp;$A6))/1000000),0),IF($A$2="DEX",IFERROR(IF($X$1="ABS",(100*RTD("tos.rtd",,"OPEN_INT","."&amp;U$2&amp;U$1&amp;"C"&amp;$A6)*RTD("tos.rtd",,"DELTA","."&amp;U$2&amp;U$1&amp;"C"&amp;$A6)+100*RTD("tos.rtd",,"OPEN_INT","."&amp;U$2&amp;U$1&amp;"P"&amp;$A6)*RTD("tos.rtd",,"DELTA","."&amp;U$2&amp;U$1&amp;"P"&amp;$A6))/1000,(100*RTD("tos.rtd",,"OPEN_INT","."&amp;U$2&amp;U$1&amp;"C"&amp;$A6)*RTD("tos.rtd",,"DELTA","."&amp;U$2&amp;U$1&amp;"C"&amp;$A6)-100*RTD("tos.rtd",,"OPEN_INT","."&amp;U$2&amp;U$1&amp;"P"&amp;$A6)*RTD("tos.rtd",,"DELTA","."&amp;U$2&amp;U$1&amp;"P"&amp;$A6))/1000),0),IF($A$2="VEX",IFERROR(IF($X$1="ABS",($A$4*$A$4*RTD("tos.rtd",,"VOLUME","."&amp;U$2&amp;U$1&amp;"C"&amp;$A6)*RTD("tos.rtd",,"GAMMA","."&amp;U$2&amp;U$1&amp;"C"&amp;$A6)+$A$4*$A$4*RTD("tos.rtd",,"VOLUME","."&amp;U$2&amp;U$1&amp;"P"&amp;$A6)*RTD("tos.rtd",,"GAMMA","."&amp;U$2&amp;U$1&amp;"P"&amp;$A6))/1000000,($A$4*$A$4*RTD("tos.rtd",,"VOLUME","."&amp;U$2&amp;U$1&amp;"C"&amp;$A6)*RTD("tos.rtd",,"GAMMA","."&amp;U$2&amp;U$1&amp;"C"&amp;$A6)-$A$4*$A$4*RTD("tos.rtd",,"VOLUME","."&amp;U$2&amp;U$1&amp;"P"&amp;$A6)*RTD("tos.rtd",,"GAMMA","."&amp;U$2&amp;U$1&amp;"P"&amp;$A6))/1000000),0),IF($A$2="GEX",IFERROR(IF($X$1="ABS",($A$4*$A$4*RTD("tos.rtd",,"OPEN_INT","."&amp;U$2&amp;U$1&amp;"C"&amp;$A6)*RTD("tos.rtd",,"GAMMA","."&amp;U$2&amp;U$1&amp;"C"&amp;$A6)+$A$4*$A$4*RTD("tos.rtd",,"OPEN_INT","."&amp;U$2&amp;U$1&amp;"P"&amp;$A6)*RTD("tos.rtd",,"GAMMA","."&amp;U$2&amp;U$1&amp;"P"&amp;$A6))/1000000,($A$4*$A$4*RTD("tos.rtd",,"OPEN_INT","."&amp;U$2&amp;U$1&amp;"C"&amp;$A6)*RTD("tos.rtd",,"GAMMA","."&amp;U$2&amp;U$1&amp;"C"&amp;$A6)-$A$4*$A$4*RTD("tos.rtd",,"OPEN_INT","."&amp;U$2&amp;U$1&amp;"P"&amp;$A6)*RTD("tos.rtd",,"GAMMA","."&amp;U$2&amp;U$1&amp;"P"&amp;$A6))/1000000),0),IF($A$2="SKEW",IFERROR(VALUE(IF(RTD("tos.rtd",,"IMPL_VOL","."&amp;U$2&amp;U$1&amp;"P"&amp;$A6)="N/A",0,RTD("tos.rtd",,"IMPL_VOL","."&amp;U$2&amp;U$1&amp;"P"&amp;$A6))),0)-IFERROR(VALUE(IF(RTD("tos.rtd",,"IMPL_VOL","."&amp;U$2&amp;U$1&amp;"C"&amp;$A6)="N/A",0,RTD("tos.rtd",,"IMPL_VOL","."&amp;U$2&amp;U$1&amp;"C"&amp;$A6))),0),IF($A$2="MAXPAIN",IF($A$4&gt;$A6,($A$4-$A6)*IF(RTD("tos.rtd",,"OPEN_INT","."&amp;U$2&amp;U$1&amp;"C"&amp;$A6)="N/A",0,RTD("tos.rtd",,"OPEN_INT","."&amp;U$2&amp;U$1&amp;"C"&amp;$A6)),0)+IF($A$4&lt;$A6,($A$5-$A$4)*IF(RTD("tos.rtd",,"OPEN_INT","."&amp;U$2&amp;U$1&amp;"P"&amp;$A6)="N/A",0,RTD("tos.rtd",,"OPEN_INT","."&amp;U$2&amp;U$1&amp;"P"&amp;$A6)),0),IF($X$1="ABS",IF(RTD("tos.rtd",,$A$2,"."&amp;U$2&amp;U$1&amp;"C"&amp;$A6)="N/A",0,RTD("tos.rtd",,$A$2,"."&amp;U$2&amp;U$1&amp;"C"&amp;$A6))+IF(RTD("tos.rtd",,$A$2,"."&amp;U$2&amp;U$1&amp;"P"&amp;$A6)="N/A",0,RTD("tos.rtd",,$A$2,"."&amp;U$2&amp;U$1&amp;"P"&amp;$A6)),IF(RTD("tos.rtd",,$A$2,"."&amp;U$2&amp;U$1&amp;"C"&amp;$A6)="N/A",0,RTD("tos.rtd",,$A$2,"."&amp;U$2&amp;U$1&amp;"C"&amp;$A6))-IF(RTD("tos.rtd",,$A$2,"."&amp;U$2&amp;U$1&amp;"P"&amp;$A6)="N/A",0,RTD("tos.rtd",,$A$2,"."&amp;U$2&amp;U$1&amp;"P"&amp;$A6))))))))))</f>
        <v>0</v>
      </c>
      <c r="V6" s="12">
        <f ca="1">IF($A$2="PREMIUM_OI",IFERROR(IF($X$1="ABS",(100*RTD("tos.rtd",,"OPEN_INT","."&amp;V$2&amp;V$1&amp;"C"&amp;$A6)*RTD("tos.rtd",,"LAST","."&amp;V$2&amp;V$1&amp;"C"&amp;$A6)+100*RTD("tos.rtd",,"OPEN_INT","."&amp;V$2&amp;V$1&amp;"P"&amp;$A6)*RTD("tos.rtd",,"LAST","."&amp;V$2&amp;V$1&amp;"P"&amp;$A6))/1000000,(100*RTD("tos.rtd",,"OPEN_INT","."&amp;V$2&amp;V$1&amp;"C"&amp;$A6)*RTD("tos.rtd",,"LAST","."&amp;V$2&amp;V$1&amp;"C"&amp;$A6)-100*RTD("tos.rtd",,"OPEN_INT","."&amp;V$2&amp;V$1&amp;"P"&amp;$A6)*RTD("tos.rtd",,"LAST","."&amp;V$2&amp;V$1&amp;"P"&amp;$A6))/1000000),0),IF($A$2="PREMIUM",IFERROR(IF($X$1="ABS",(100*RTD("tos.rtd",,"VOLUME","."&amp;V$2&amp;V$1&amp;"C"&amp;$A6)*RTD("tos.rtd",,"LAST","."&amp;V$2&amp;V$1&amp;"C"&amp;$A6)+100*RTD("tos.rtd",,"VOLUME","."&amp;V$2&amp;V$1&amp;"P"&amp;$A6)*RTD("tos.rtd",,"LAST","."&amp;V$2&amp;V$1&amp;"P"&amp;$A6))/1000000,(100*RTD("tos.rtd",,"VOLUME","."&amp;V$2&amp;V$1&amp;"C"&amp;$A6)*RTD("tos.rtd",,"LAST","."&amp;V$2&amp;V$1&amp;"C"&amp;$A6)-100*RTD("tos.rtd",,"VOLUME","."&amp;V$2&amp;V$1&amp;"P"&amp;$A6)*RTD("tos.rtd",,"LAST","."&amp;V$2&amp;V$1&amp;"P"&amp;$A6))/1000000),0),IF($A$2="DEX",IFERROR(IF($X$1="ABS",(100*RTD("tos.rtd",,"OPEN_INT","."&amp;V$2&amp;V$1&amp;"C"&amp;$A6)*RTD("tos.rtd",,"DELTA","."&amp;V$2&amp;V$1&amp;"C"&amp;$A6)+100*RTD("tos.rtd",,"OPEN_INT","."&amp;V$2&amp;V$1&amp;"P"&amp;$A6)*RTD("tos.rtd",,"DELTA","."&amp;V$2&amp;V$1&amp;"P"&amp;$A6))/1000,(100*RTD("tos.rtd",,"OPEN_INT","."&amp;V$2&amp;V$1&amp;"C"&amp;$A6)*RTD("tos.rtd",,"DELTA","."&amp;V$2&amp;V$1&amp;"C"&amp;$A6)-100*RTD("tos.rtd",,"OPEN_INT","."&amp;V$2&amp;V$1&amp;"P"&amp;$A6)*RTD("tos.rtd",,"DELTA","."&amp;V$2&amp;V$1&amp;"P"&amp;$A6))/1000),0),IF($A$2="VEX",IFERROR(IF($X$1="ABS",($A$4*$A$4*RTD("tos.rtd",,"VOLUME","."&amp;V$2&amp;V$1&amp;"C"&amp;$A6)*RTD("tos.rtd",,"GAMMA","."&amp;V$2&amp;V$1&amp;"C"&amp;$A6)+$A$4*$A$4*RTD("tos.rtd",,"VOLUME","."&amp;V$2&amp;V$1&amp;"P"&amp;$A6)*RTD("tos.rtd",,"GAMMA","."&amp;V$2&amp;V$1&amp;"P"&amp;$A6))/1000000,($A$4*$A$4*RTD("tos.rtd",,"VOLUME","."&amp;V$2&amp;V$1&amp;"C"&amp;$A6)*RTD("tos.rtd",,"GAMMA","."&amp;V$2&amp;V$1&amp;"C"&amp;$A6)-$A$4*$A$4*RTD("tos.rtd",,"VOLUME","."&amp;V$2&amp;V$1&amp;"P"&amp;$A6)*RTD("tos.rtd",,"GAMMA","."&amp;V$2&amp;V$1&amp;"P"&amp;$A6))/1000000),0),IF($A$2="GEX",IFERROR(IF($X$1="ABS",($A$4*$A$4*RTD("tos.rtd",,"OPEN_INT","."&amp;V$2&amp;V$1&amp;"C"&amp;$A6)*RTD("tos.rtd",,"GAMMA","."&amp;V$2&amp;V$1&amp;"C"&amp;$A6)+$A$4*$A$4*RTD("tos.rtd",,"OPEN_INT","."&amp;V$2&amp;V$1&amp;"P"&amp;$A6)*RTD("tos.rtd",,"GAMMA","."&amp;V$2&amp;V$1&amp;"P"&amp;$A6))/1000000,($A$4*$A$4*RTD("tos.rtd",,"OPEN_INT","."&amp;V$2&amp;V$1&amp;"C"&amp;$A6)*RTD("tos.rtd",,"GAMMA","."&amp;V$2&amp;V$1&amp;"C"&amp;$A6)-$A$4*$A$4*RTD("tos.rtd",,"OPEN_INT","."&amp;V$2&amp;V$1&amp;"P"&amp;$A6)*RTD("tos.rtd",,"GAMMA","."&amp;V$2&amp;V$1&amp;"P"&amp;$A6))/1000000),0),IF($A$2="SKEW",IFERROR(VALUE(IF(RTD("tos.rtd",,"IMPL_VOL","."&amp;V$2&amp;V$1&amp;"P"&amp;$A6)="N/A",0,RTD("tos.rtd",,"IMPL_VOL","."&amp;V$2&amp;V$1&amp;"P"&amp;$A6))),0)-IFERROR(VALUE(IF(RTD("tos.rtd",,"IMPL_VOL","."&amp;V$2&amp;V$1&amp;"C"&amp;$A6)="N/A",0,RTD("tos.rtd",,"IMPL_VOL","."&amp;V$2&amp;V$1&amp;"C"&amp;$A6))),0),IF($A$2="MAXPAIN",IF($A$4&gt;$A6,($A$4-$A6)*IF(RTD("tos.rtd",,"OPEN_INT","."&amp;V$2&amp;V$1&amp;"C"&amp;$A6)="N/A",0,RTD("tos.rtd",,"OPEN_INT","."&amp;V$2&amp;V$1&amp;"C"&amp;$A6)),0)+IF($A$4&lt;$A6,($A$5-$A$4)*IF(RTD("tos.rtd",,"OPEN_INT","."&amp;V$2&amp;V$1&amp;"P"&amp;$A6)="N/A",0,RTD("tos.rtd",,"OPEN_INT","."&amp;V$2&amp;V$1&amp;"P"&amp;$A6)),0),IF($X$1="ABS",IF(RTD("tos.rtd",,$A$2,"."&amp;V$2&amp;V$1&amp;"C"&amp;$A6)="N/A",0,RTD("tos.rtd",,$A$2,"."&amp;V$2&amp;V$1&amp;"C"&amp;$A6))+IF(RTD("tos.rtd",,$A$2,"."&amp;V$2&amp;V$1&amp;"P"&amp;$A6)="N/A",0,RTD("tos.rtd",,$A$2,"."&amp;V$2&amp;V$1&amp;"P"&amp;$A6)),IF(RTD("tos.rtd",,$A$2,"."&amp;V$2&amp;V$1&amp;"C"&amp;$A6)="N/A",0,RTD("tos.rtd",,$A$2,"."&amp;V$2&amp;V$1&amp;"C"&amp;$A6))-IF(RTD("tos.rtd",,$A$2,"."&amp;V$2&amp;V$1&amp;"P"&amp;$A6)="N/A",0,RTD("tos.rtd",,$A$2,"."&amp;V$2&amp;V$1&amp;"P"&amp;$A6))))))))))</f>
        <v>0</v>
      </c>
      <c r="W6" s="54">
        <f ca="1">IF($A$2="PREMIUM_OI",IFERROR(IF($X$1="ABS",(100*RTD("tos.rtd",,"OPEN_INT","."&amp;W$2&amp;W$1&amp;"C"&amp;$A6)*RTD("tos.rtd",,"LAST","."&amp;W$2&amp;W$1&amp;"C"&amp;$A6)+100*RTD("tos.rtd",,"OPEN_INT","."&amp;W$2&amp;W$1&amp;"P"&amp;$A6)*RTD("tos.rtd",,"LAST","."&amp;W$2&amp;W$1&amp;"P"&amp;$A6))/1000000,(100*RTD("tos.rtd",,"OPEN_INT","."&amp;W$2&amp;W$1&amp;"C"&amp;$A6)*RTD("tos.rtd",,"LAST","."&amp;W$2&amp;W$1&amp;"C"&amp;$A6)-100*RTD("tos.rtd",,"OPEN_INT","."&amp;W$2&amp;W$1&amp;"P"&amp;$A6)*RTD("tos.rtd",,"LAST","."&amp;W$2&amp;W$1&amp;"P"&amp;$A6))/1000000),0),IF($A$2="PREMIUM",IFERROR(IF($X$1="ABS",(100*RTD("tos.rtd",,"VOLUME","."&amp;W$2&amp;W$1&amp;"C"&amp;$A6)*RTD("tos.rtd",,"LAST","."&amp;W$2&amp;W$1&amp;"C"&amp;$A6)+100*RTD("tos.rtd",,"VOLUME","."&amp;W$2&amp;W$1&amp;"P"&amp;$A6)*RTD("tos.rtd",,"LAST","."&amp;W$2&amp;W$1&amp;"P"&amp;$A6))/1000000,(100*RTD("tos.rtd",,"VOLUME","."&amp;W$2&amp;W$1&amp;"C"&amp;$A6)*RTD("tos.rtd",,"LAST","."&amp;W$2&amp;W$1&amp;"C"&amp;$A6)-100*RTD("tos.rtd",,"VOLUME","."&amp;W$2&amp;W$1&amp;"P"&amp;$A6)*RTD("tos.rtd",,"LAST","."&amp;W$2&amp;W$1&amp;"P"&amp;$A6))/1000000),0),IF($A$2="DEX",IFERROR(IF($X$1="ABS",(100*RTD("tos.rtd",,"OPEN_INT","."&amp;W$2&amp;W$1&amp;"C"&amp;$A6)*RTD("tos.rtd",,"DELTA","."&amp;W$2&amp;W$1&amp;"C"&amp;$A6)+100*RTD("tos.rtd",,"OPEN_INT","."&amp;W$2&amp;W$1&amp;"P"&amp;$A6)*RTD("tos.rtd",,"DELTA","."&amp;W$2&amp;W$1&amp;"P"&amp;$A6))/1000,(100*RTD("tos.rtd",,"OPEN_INT","."&amp;W$2&amp;W$1&amp;"C"&amp;$A6)*RTD("tos.rtd",,"DELTA","."&amp;W$2&amp;W$1&amp;"C"&amp;$A6)-100*RTD("tos.rtd",,"OPEN_INT","."&amp;W$2&amp;W$1&amp;"P"&amp;$A6)*RTD("tos.rtd",,"DELTA","."&amp;W$2&amp;W$1&amp;"P"&amp;$A6))/1000),0),IF($A$2="VEX",IFERROR(IF($X$1="ABS",($A$4*$A$4*RTD("tos.rtd",,"VOLUME","."&amp;W$2&amp;W$1&amp;"C"&amp;$A6)*RTD("tos.rtd",,"GAMMA","."&amp;W$2&amp;W$1&amp;"C"&amp;$A6)+$A$4*$A$4*RTD("tos.rtd",,"VOLUME","."&amp;W$2&amp;W$1&amp;"P"&amp;$A6)*RTD("tos.rtd",,"GAMMA","."&amp;W$2&amp;W$1&amp;"P"&amp;$A6))/1000000,($A$4*$A$4*RTD("tos.rtd",,"VOLUME","."&amp;W$2&amp;W$1&amp;"C"&amp;$A6)*RTD("tos.rtd",,"GAMMA","."&amp;W$2&amp;W$1&amp;"C"&amp;$A6)-$A$4*$A$4*RTD("tos.rtd",,"VOLUME","."&amp;W$2&amp;W$1&amp;"P"&amp;$A6)*RTD("tos.rtd",,"GAMMA","."&amp;W$2&amp;W$1&amp;"P"&amp;$A6))/1000000),0),IF($A$2="GEX",IFERROR(IF($X$1="ABS",($A$4*$A$4*RTD("tos.rtd",,"OPEN_INT","."&amp;W$2&amp;W$1&amp;"C"&amp;$A6)*RTD("tos.rtd",,"GAMMA","."&amp;W$2&amp;W$1&amp;"C"&amp;$A6)+$A$4*$A$4*RTD("tos.rtd",,"OPEN_INT","."&amp;W$2&amp;W$1&amp;"P"&amp;$A6)*RTD("tos.rtd",,"GAMMA","."&amp;W$2&amp;W$1&amp;"P"&amp;$A6))/1000000,($A$4*$A$4*RTD("tos.rtd",,"OPEN_INT","."&amp;W$2&amp;W$1&amp;"C"&amp;$A6)*RTD("tos.rtd",,"GAMMA","."&amp;W$2&amp;W$1&amp;"C"&amp;$A6)-$A$4*$A$4*RTD("tos.rtd",,"OPEN_INT","."&amp;W$2&amp;W$1&amp;"P"&amp;$A6)*RTD("tos.rtd",,"GAMMA","."&amp;W$2&amp;W$1&amp;"P"&amp;$A6))/1000000),0),IF($A$2="SKEW",IFERROR(VALUE(IF(RTD("tos.rtd",,"IMPL_VOL","."&amp;W$2&amp;W$1&amp;"P"&amp;$A6)="N/A",0,RTD("tos.rtd",,"IMPL_VOL","."&amp;W$2&amp;W$1&amp;"P"&amp;$A6))),0)-IFERROR(VALUE(IF(RTD("tos.rtd",,"IMPL_VOL","."&amp;W$2&amp;W$1&amp;"C"&amp;$A6)="N/A",0,RTD("tos.rtd",,"IMPL_VOL","."&amp;W$2&amp;W$1&amp;"C"&amp;$A6))),0),IF($A$2="MAXPAIN",IF($A$4&gt;$A6,($A$4-$A6)*IF(RTD("tos.rtd",,"OPEN_INT","."&amp;W$2&amp;W$1&amp;"C"&amp;$A6)="N/A",0,RTD("tos.rtd",,"OPEN_INT","."&amp;W$2&amp;W$1&amp;"C"&amp;$A6)),0)+IF($A$4&lt;$A6,($A$5-$A$4)*IF(RTD("tos.rtd",,"OPEN_INT","."&amp;W$2&amp;W$1&amp;"P"&amp;$A6)="N/A",0,RTD("tos.rtd",,"OPEN_INT","."&amp;W$2&amp;W$1&amp;"P"&amp;$A6)),0),IF($X$1="ABS",IF(RTD("tos.rtd",,$A$2,"."&amp;W$2&amp;W$1&amp;"C"&amp;$A6)="N/A",0,RTD("tos.rtd",,$A$2,"."&amp;W$2&amp;W$1&amp;"C"&amp;$A6))+IF(RTD("tos.rtd",,$A$2,"."&amp;W$2&amp;W$1&amp;"P"&amp;$A6)="N/A",0,RTD("tos.rtd",,$A$2,"."&amp;W$2&amp;W$1&amp;"P"&amp;$A6)),IF(RTD("tos.rtd",,$A$2,"."&amp;W$2&amp;W$1&amp;"C"&amp;$A6)="N/A",0,RTD("tos.rtd",,$A$2,"."&amp;W$2&amp;W$1&amp;"C"&amp;$A6))-IF(RTD("tos.rtd",,$A$2,"."&amp;W$2&amp;W$1&amp;"P"&amp;$A6)="N/A",0,RTD("tos.rtd",,$A$2,"."&amp;W$2&amp;W$1&amp;"P"&amp;$A6))))))))))</f>
        <v>0</v>
      </c>
      <c r="X6" s="57">
        <f t="shared" ref="X6:X51" ca="1" si="8">SUMPRODUCT(B6:W6,$B$52:$W$52)</f>
        <v>0</v>
      </c>
      <c r="Y6" s="27">
        <f t="shared" ref="Y6:Y51" ca="1" si="9">+X6</f>
        <v>0</v>
      </c>
      <c r="Z6" s="27">
        <f ca="1">+'OI-VOL'!Y6</f>
        <v>69094</v>
      </c>
      <c r="AA6" s="27" t="b">
        <f t="shared" ref="AA6:AA51" ca="1" si="10">IF(AND(A6&gt;$Y$52,A6&lt;$Y$4),ABS(AVERAGE(Y5:Y7)))</f>
        <v>0</v>
      </c>
      <c r="AB6" s="27">
        <f t="shared" ref="AB6:AB51" si="11">SUM(AC6:BW6)</f>
        <v>250617150</v>
      </c>
      <c r="AC6" s="18">
        <f>MAX(0, $A6-AC$4)*IF(RTD("tos.rtd",,"OPEN_INT","."&amp;$AB$3&amp;$AB$4&amp;"C"&amp;AC$4)="N/A",0,RTD("tos.rtd",,"OPEN_INT","."&amp;$AB$3&amp;$AB$4&amp;"C"&amp;AC$4))*100 + MAX(0, AC$4-$A6)*IF(RTD("tos.rtd",,"OPEN_INT","."&amp;$AB$3&amp;$AB$4&amp;"P"&amp;AC$4)="N/A",0,RTD("tos.rtd",,"OPEN_INT","."&amp;$AB$3&amp;$AB$4&amp;"P"&amp;AC$4))*100</f>
        <v>0</v>
      </c>
      <c r="AD6" s="18">
        <f>MAX(0, $A6-AD$4)*IF(RTD("tos.rtd",,"OPEN_INT","."&amp;$AB$3&amp;$AB$4&amp;"C"&amp;AD$4)="N/A",0,RTD("tos.rtd",,"OPEN_INT","."&amp;$AB$3&amp;$AB$4&amp;"C"&amp;AD$4))*100 + MAX(0, AD$4-$A6)*IF(RTD("tos.rtd",,"OPEN_INT","."&amp;$AB$3&amp;$AB$4&amp;"P"&amp;AD$4)="N/A",0,RTD("tos.rtd",,"OPEN_INT","."&amp;$AB$3&amp;$AB$4&amp;"P"&amp;AD$4))*100</f>
        <v>0</v>
      </c>
      <c r="AE6" s="18">
        <f>MAX(0, $A6-AE$4)*IF(RTD("tos.rtd",,"OPEN_INT","."&amp;$AB$3&amp;$AB$4&amp;"C"&amp;AE$4)="N/A",0,RTD("tos.rtd",,"OPEN_INT","."&amp;$AB$3&amp;$AB$4&amp;"C"&amp;AE$4))*100 + MAX(0, AE$4-$A6)*IF(RTD("tos.rtd",,"OPEN_INT","."&amp;$AB$3&amp;$AB$4&amp;"P"&amp;AE$4)="N/A",0,RTD("tos.rtd",,"OPEN_INT","."&amp;$AB$3&amp;$AB$4&amp;"P"&amp;AE$4))*100</f>
        <v>0</v>
      </c>
      <c r="AF6" s="18">
        <f>MAX(0, $A6-AF$4)*IF(RTD("tos.rtd",,"OPEN_INT","."&amp;$AB$3&amp;$AB$4&amp;"C"&amp;AF$4)="N/A",0,RTD("tos.rtd",,"OPEN_INT","."&amp;$AB$3&amp;$AB$4&amp;"C"&amp;AF$4))*100 + MAX(0, AF$4-$A6)*IF(RTD("tos.rtd",,"OPEN_INT","."&amp;$AB$3&amp;$AB$4&amp;"P"&amp;AF$4)="N/A",0,RTD("tos.rtd",,"OPEN_INT","."&amp;$AB$3&amp;$AB$4&amp;"P"&amp;AF$4))*100</f>
        <v>0</v>
      </c>
      <c r="AG6" s="18">
        <f>MAX(0, $A6-AG$4)*IF(RTD("tos.rtd",,"OPEN_INT","."&amp;$AB$3&amp;$AB$4&amp;"C"&amp;AG$4)="N/A",0,RTD("tos.rtd",,"OPEN_INT","."&amp;$AB$3&amp;$AB$4&amp;"C"&amp;AG$4))*100 + MAX(0, AG$4-$A6)*IF(RTD("tos.rtd",,"OPEN_INT","."&amp;$AB$3&amp;$AB$4&amp;"P"&amp;AG$4)="N/A",0,RTD("tos.rtd",,"OPEN_INT","."&amp;$AB$3&amp;$AB$4&amp;"P"&amp;AG$4))*100</f>
        <v>0</v>
      </c>
      <c r="AH6" s="18">
        <f>MAX(0, $A6-AH$4)*IF(RTD("tos.rtd",,"OPEN_INT","."&amp;$AB$3&amp;$AB$4&amp;"C"&amp;AH$4)="N/A",0,RTD("tos.rtd",,"OPEN_INT","."&amp;$AB$3&amp;$AB$4&amp;"C"&amp;AH$4))*100 + MAX(0, AH$4-$A6)*IF(RTD("tos.rtd",,"OPEN_INT","."&amp;$AB$3&amp;$AB$4&amp;"P"&amp;AH$4)="N/A",0,RTD("tos.rtd",,"OPEN_INT","."&amp;$AB$3&amp;$AB$4&amp;"P"&amp;AH$4))*100</f>
        <v>0</v>
      </c>
      <c r="AI6" s="18">
        <f>MAX(0, $A6-AI$4)*IF(RTD("tos.rtd",,"OPEN_INT","."&amp;$AB$3&amp;$AB$4&amp;"C"&amp;AI$4)="N/A",0,RTD("tos.rtd",,"OPEN_INT","."&amp;$AB$3&amp;$AB$4&amp;"C"&amp;AI$4))*100 + MAX(0, AI$4-$A6)*IF(RTD("tos.rtd",,"OPEN_INT","."&amp;$AB$3&amp;$AB$4&amp;"P"&amp;AI$4)="N/A",0,RTD("tos.rtd",,"OPEN_INT","."&amp;$AB$3&amp;$AB$4&amp;"P"&amp;AI$4))*100</f>
        <v>0</v>
      </c>
      <c r="AJ6" s="18">
        <f>MAX(0, $A6-AJ$4)*IF(RTD("tos.rtd",,"OPEN_INT","."&amp;$AB$3&amp;$AB$4&amp;"C"&amp;AJ$4)="N/A",0,RTD("tos.rtd",,"OPEN_INT","."&amp;$AB$3&amp;$AB$4&amp;"C"&amp;AJ$4))*100 + MAX(0, AJ$4-$A6)*IF(RTD("tos.rtd",,"OPEN_INT","."&amp;$AB$3&amp;$AB$4&amp;"P"&amp;AJ$4)="N/A",0,RTD("tos.rtd",,"OPEN_INT","."&amp;$AB$3&amp;$AB$4&amp;"P"&amp;AJ$4))*100</f>
        <v>814800</v>
      </c>
      <c r="AK6" s="18">
        <f>MAX(0, $A6-AK$4)*IF(RTD("tos.rtd",,"OPEN_INT","."&amp;$AB$3&amp;$AB$4&amp;"C"&amp;AK$4)="N/A",0,RTD("tos.rtd",,"OPEN_INT","."&amp;$AB$3&amp;$AB$4&amp;"C"&amp;AK$4))*100 + MAX(0, AK$4-$A6)*IF(RTD("tos.rtd",,"OPEN_INT","."&amp;$AB$3&amp;$AB$4&amp;"P"&amp;AK$4)="N/A",0,RTD("tos.rtd",,"OPEN_INT","."&amp;$AB$3&amp;$AB$4&amp;"P"&amp;AK$4))*100</f>
        <v>94150</v>
      </c>
      <c r="AL6" s="18">
        <f>MAX(0, $A6-AL$4)*IF(RTD("tos.rtd",,"OPEN_INT","."&amp;$AB$3&amp;$AB$4&amp;"C"&amp;AL$4)="N/A",0,RTD("tos.rtd",,"OPEN_INT","."&amp;$AB$3&amp;$AB$4&amp;"C"&amp;AL$4))*100 + MAX(0, AL$4-$A6)*IF(RTD("tos.rtd",,"OPEN_INT","."&amp;$AB$3&amp;$AB$4&amp;"P"&amp;AL$4)="N/A",0,RTD("tos.rtd",,"OPEN_INT","."&amp;$AB$3&amp;$AB$4&amp;"P"&amp;AL$4))*100</f>
        <v>1125200</v>
      </c>
      <c r="AM6" s="18">
        <f>MAX(0, $A6-AM$4)*IF(RTD("tos.rtd",,"OPEN_INT","."&amp;$AB$3&amp;$AB$4&amp;"C"&amp;AM$4)="N/A",0,RTD("tos.rtd",,"OPEN_INT","."&amp;$AB$3&amp;$AB$4&amp;"C"&amp;AM$4))*100 + MAX(0, AM$4-$A6)*IF(RTD("tos.rtd",,"OPEN_INT","."&amp;$AB$3&amp;$AB$4&amp;"P"&amp;AM$4)="N/A",0,RTD("tos.rtd",,"OPEN_INT","."&amp;$AB$3&amp;$AB$4&amp;"P"&amp;AM$4))*100</f>
        <v>0</v>
      </c>
      <c r="AN6" s="18">
        <f>MAX(0, $A6-AN$4)*IF(RTD("tos.rtd",,"OPEN_INT","."&amp;$AB$3&amp;$AB$4&amp;"C"&amp;AN$4)="N/A",0,RTD("tos.rtd",,"OPEN_INT","."&amp;$AB$3&amp;$AB$4&amp;"C"&amp;AN$4))*100 + MAX(0, AN$4-$A6)*IF(RTD("tos.rtd",,"OPEN_INT","."&amp;$AB$3&amp;$AB$4&amp;"P"&amp;AN$4)="N/A",0,RTD("tos.rtd",,"OPEN_INT","."&amp;$AB$3&amp;$AB$4&amp;"P"&amp;AN$4))*100</f>
        <v>1182500</v>
      </c>
      <c r="AO6" s="18">
        <f>MAX(0, $A6-AO$4)*IF(RTD("tos.rtd",,"OPEN_INT","."&amp;$AB$3&amp;$AB$4&amp;"C"&amp;AO$4)="N/A",0,RTD("tos.rtd",,"OPEN_INT","."&amp;$AB$3&amp;$AB$4&amp;"C"&amp;AO$4))*100 + MAX(0, AO$4-$A6)*IF(RTD("tos.rtd",,"OPEN_INT","."&amp;$AB$3&amp;$AB$4&amp;"P"&amp;AO$4)="N/A",0,RTD("tos.rtd",,"OPEN_INT","."&amp;$AB$3&amp;$AB$4&amp;"P"&amp;AO$4))*100</f>
        <v>0</v>
      </c>
      <c r="AP6" s="18">
        <f>MAX(0, $A6-AP$4)*IF(RTD("tos.rtd",,"OPEN_INT","."&amp;$AB$3&amp;$AB$4&amp;"C"&amp;AP$4)="N/A",0,RTD("tos.rtd",,"OPEN_INT","."&amp;$AB$3&amp;$AB$4&amp;"C"&amp;AP$4))*100 + MAX(0, AP$4-$A6)*IF(RTD("tos.rtd",,"OPEN_INT","."&amp;$AB$3&amp;$AB$4&amp;"P"&amp;AP$4)="N/A",0,RTD("tos.rtd",,"OPEN_INT","."&amp;$AB$3&amp;$AB$4&amp;"P"&amp;AP$4))*100</f>
        <v>413400</v>
      </c>
      <c r="AQ6" s="18">
        <f>MAX(0, $A6-AQ$4)*IF(RTD("tos.rtd",,"OPEN_INT","."&amp;$AB$3&amp;$AB$4&amp;"C"&amp;AQ$4)="N/A",0,RTD("tos.rtd",,"OPEN_INT","."&amp;$AB$3&amp;$AB$4&amp;"C"&amp;AQ$4))*100 + MAX(0, AQ$4-$A6)*IF(RTD("tos.rtd",,"OPEN_INT","."&amp;$AB$3&amp;$AB$4&amp;"P"&amp;AQ$4)="N/A",0,RTD("tos.rtd",,"OPEN_INT","."&amp;$AB$3&amp;$AB$4&amp;"P"&amp;AQ$4))*100</f>
        <v>0</v>
      </c>
      <c r="AR6" s="18">
        <f>MAX(0, $A6-AR$4)*IF(RTD("tos.rtd",,"OPEN_INT","."&amp;$AB$3&amp;$AB$4&amp;"C"&amp;AR$4)="N/A",0,RTD("tos.rtd",,"OPEN_INT","."&amp;$AB$3&amp;$AB$4&amp;"C"&amp;AR$4))*100 + MAX(0, AR$4-$A6)*IF(RTD("tos.rtd",,"OPEN_INT","."&amp;$AB$3&amp;$AB$4&amp;"P"&amp;AR$4)="N/A",0,RTD("tos.rtd",,"OPEN_INT","."&amp;$AB$3&amp;$AB$4&amp;"P"&amp;AR$4))*100</f>
        <v>448000</v>
      </c>
      <c r="AS6" s="18">
        <f>MAX(0, $A6-AS$4)*IF(RTD("tos.rtd",,"OPEN_INT","."&amp;$AB$3&amp;$AB$4&amp;"C"&amp;AS$4)="N/A",0,RTD("tos.rtd",,"OPEN_INT","."&amp;$AB$3&amp;$AB$4&amp;"C"&amp;AS$4))*100 + MAX(0, AS$4-$A6)*IF(RTD("tos.rtd",,"OPEN_INT","."&amp;$AB$3&amp;$AB$4&amp;"P"&amp;AS$4)="N/A",0,RTD("tos.rtd",,"OPEN_INT","."&amp;$AB$3&amp;$AB$4&amp;"P"&amp;AS$4))*100</f>
        <v>750</v>
      </c>
      <c r="AT6" s="18">
        <f>MAX(0, $A6-AT$4)*IF(RTD("tos.rtd",,"OPEN_INT","."&amp;$AB$3&amp;$AB$4&amp;"C"&amp;AT$4)="N/A",0,RTD("tos.rtd",,"OPEN_INT","."&amp;$AB$3&amp;$AB$4&amp;"C"&amp;AT$4))*100 + MAX(0, AT$4-$A6)*IF(RTD("tos.rtd",,"OPEN_INT","."&amp;$AB$3&amp;$AB$4&amp;"P"&amp;AT$4)="N/A",0,RTD("tos.rtd",,"OPEN_INT","."&amp;$AB$3&amp;$AB$4&amp;"P"&amp;AT$4))*100</f>
        <v>689600</v>
      </c>
      <c r="AU6" s="18">
        <f>MAX(0, $A6-AU$4)*IF(RTD("tos.rtd",,"OPEN_INT","."&amp;$AB$3&amp;$AB$4&amp;"C"&amp;AU$4)="N/A",0,RTD("tos.rtd",,"OPEN_INT","."&amp;$AB$3&amp;$AB$4&amp;"C"&amp;AU$4))*100 + MAX(0, AU$4-$A6)*IF(RTD("tos.rtd",,"OPEN_INT","."&amp;$AB$3&amp;$AB$4&amp;"P"&amp;AU$4)="N/A",0,RTD("tos.rtd",,"OPEN_INT","."&amp;$AB$3&amp;$AB$4&amp;"P"&amp;AU$4))*100</f>
        <v>1191700</v>
      </c>
      <c r="AV6" s="18">
        <f>MAX(0, $A6-AV$4)*IF(RTD("tos.rtd",,"OPEN_INT","."&amp;$AB$3&amp;$AB$4&amp;"C"&amp;AV$4)="N/A",0,RTD("tos.rtd",,"OPEN_INT","."&amp;$AB$3&amp;$AB$4&amp;"C"&amp;AV$4))*100 + MAX(0, AV$4-$A6)*IF(RTD("tos.rtd",,"OPEN_INT","."&amp;$AB$3&amp;$AB$4&amp;"P"&amp;AV$4)="N/A",0,RTD("tos.rtd",,"OPEN_INT","."&amp;$AB$3&amp;$AB$4&amp;"P"&amp;AV$4))*100</f>
        <v>1514700</v>
      </c>
      <c r="AW6" s="18">
        <f>MAX(0, $A6-AW$4)*IF(RTD("tos.rtd",,"OPEN_INT","."&amp;$AB$3&amp;$AB$4&amp;"C"&amp;AW$4)="N/A",0,RTD("tos.rtd",,"OPEN_INT","."&amp;$AB$3&amp;$AB$4&amp;"C"&amp;AW$4))*100 + MAX(0, AW$4-$A6)*IF(RTD("tos.rtd",,"OPEN_INT","."&amp;$AB$3&amp;$AB$4&amp;"P"&amp;AW$4)="N/A",0,RTD("tos.rtd",,"OPEN_INT","."&amp;$AB$3&amp;$AB$4&amp;"P"&amp;AW$4))*100</f>
        <v>1793600</v>
      </c>
      <c r="AX6" s="18">
        <f>MAX(0, $A6-AX$4)*IF(RTD("tos.rtd",,"OPEN_INT","."&amp;$AB$3&amp;$AB$4&amp;"C"&amp;AX$4)="N/A",0,RTD("tos.rtd",,"OPEN_INT","."&amp;$AB$3&amp;$AB$4&amp;"C"&amp;AX$4))*100 + MAX(0, AX$4-$A6)*IF(RTD("tos.rtd",,"OPEN_INT","."&amp;$AB$3&amp;$AB$4&amp;"P"&amp;AX$4)="N/A",0,RTD("tos.rtd",,"OPEN_INT","."&amp;$AB$3&amp;$AB$4&amp;"P"&amp;AX$4))*100</f>
        <v>3075000</v>
      </c>
      <c r="AY6" s="18">
        <f>MAX(0, $A6-AY$4)*IF(RTD("tos.rtd",,"OPEN_INT","."&amp;$AB$3&amp;$AB$4&amp;"C"&amp;AY$4)="N/A",0,RTD("tos.rtd",,"OPEN_INT","."&amp;$AB$3&amp;$AB$4&amp;"C"&amp;AY$4))*100 + MAX(0, AY$4-$A6)*IF(RTD("tos.rtd",,"OPEN_INT","."&amp;$AB$3&amp;$AB$4&amp;"P"&amp;AY$4)="N/A",0,RTD("tos.rtd",,"OPEN_INT","."&amp;$AB$3&amp;$AB$4&amp;"P"&amp;AY$4))*100</f>
        <v>4465650</v>
      </c>
      <c r="AZ6" s="18">
        <f>MAX(0, $A6-AZ$4)*IF(RTD("tos.rtd",,"OPEN_INT","."&amp;$AB$3&amp;$AB$4&amp;"C"&amp;AZ$4)="N/A",0,RTD("tos.rtd",,"OPEN_INT","."&amp;$AB$3&amp;$AB$4&amp;"C"&amp;AZ$4))*100 + MAX(0, AZ$4-$A6)*IF(RTD("tos.rtd",,"OPEN_INT","."&amp;$AB$3&amp;$AB$4&amp;"P"&amp;AZ$4)="N/A",0,RTD("tos.rtd",,"OPEN_INT","."&amp;$AB$3&amp;$AB$4&amp;"P"&amp;AZ$4))*100</f>
        <v>21502800</v>
      </c>
      <c r="BA6" s="18">
        <f>MAX(0, $A6-BA$4)*IF(RTD("tos.rtd",,"OPEN_INT","."&amp;$AB$3&amp;$AB$4&amp;"C"&amp;BA$4)="N/A",0,RTD("tos.rtd",,"OPEN_INT","."&amp;$AB$3&amp;$AB$4&amp;"C"&amp;BA$4))*100 + MAX(0, BA$4-$A6)*IF(RTD("tos.rtd",,"OPEN_INT","."&amp;$AB$3&amp;$AB$4&amp;"P"&amp;BA$4)="N/A",0,RTD("tos.rtd",,"OPEN_INT","."&amp;$AB$3&amp;$AB$4&amp;"P"&amp;BA$4))*100</f>
        <v>11327500</v>
      </c>
      <c r="BB6" s="18">
        <f>MAX(0, $A6-BB$4)*IF(RTD("tos.rtd",,"OPEN_INT","."&amp;$AB$3&amp;$AB$4&amp;"C"&amp;BB$4)="N/A",0,RTD("tos.rtd",,"OPEN_INT","."&amp;$AB$3&amp;$AB$4&amp;"C"&amp;BB$4))*100 + MAX(0, BB$4-$A6)*IF(RTD("tos.rtd",,"OPEN_INT","."&amp;$AB$3&amp;$AB$4&amp;"P"&amp;BB$4)="N/A",0,RTD("tos.rtd",,"OPEN_INT","."&amp;$AB$3&amp;$AB$4&amp;"P"&amp;BB$4))*100</f>
        <v>36968400</v>
      </c>
      <c r="BC6" s="18">
        <f>MAX(0, $A6-BC$4)*IF(RTD("tos.rtd",,"OPEN_INT","."&amp;$AB$3&amp;$AB$4&amp;"C"&amp;BC$4)="N/A",0,RTD("tos.rtd",,"OPEN_INT","."&amp;$AB$3&amp;$AB$4&amp;"C"&amp;BC$4))*100 + MAX(0, BC$4-$A6)*IF(RTD("tos.rtd",,"OPEN_INT","."&amp;$AB$3&amp;$AB$4&amp;"P"&amp;BC$4)="N/A",0,RTD("tos.rtd",,"OPEN_INT","."&amp;$AB$3&amp;$AB$4&amp;"P"&amp;BC$4))*100</f>
        <v>35822500</v>
      </c>
      <c r="BD6" s="18">
        <f>MAX(0, $A6-BD$4)*IF(RTD("tos.rtd",,"OPEN_INT","."&amp;$AB$3&amp;$AB$4&amp;"C"&amp;BD$4)="N/A",0,RTD("tos.rtd",,"OPEN_INT","."&amp;$AB$3&amp;$AB$4&amp;"C"&amp;BD$4))*100 + MAX(0, BD$4-$A6)*IF(RTD("tos.rtd",,"OPEN_INT","."&amp;$AB$3&amp;$AB$4&amp;"P"&amp;BD$4)="N/A",0,RTD("tos.rtd",,"OPEN_INT","."&amp;$AB$3&amp;$AB$4&amp;"P"&amp;BD$4))*100</f>
        <v>52926900</v>
      </c>
      <c r="BE6" s="18">
        <f>MAX(0, $A6-BE$4)*IF(RTD("tos.rtd",,"OPEN_INT","."&amp;$AB$3&amp;$AB$4&amp;"C"&amp;BE$4)="N/A",0,RTD("tos.rtd",,"OPEN_INT","."&amp;$AB$3&amp;$AB$4&amp;"C"&amp;BE$4))*100 + MAX(0, BE$4-$A6)*IF(RTD("tos.rtd",,"OPEN_INT","."&amp;$AB$3&amp;$AB$4&amp;"P"&amp;BE$4)="N/A",0,RTD("tos.rtd",,"OPEN_INT","."&amp;$AB$3&amp;$AB$4&amp;"P"&amp;BE$4))*100</f>
        <v>25056000</v>
      </c>
      <c r="BF6" s="18">
        <f>MAX(0, $A6-BF$4)*IF(RTD("tos.rtd",,"OPEN_INT","."&amp;$AB$3&amp;$AB$4&amp;"C"&amp;BF$4)="N/A",0,RTD("tos.rtd",,"OPEN_INT","."&amp;$AB$3&amp;$AB$4&amp;"C"&amp;BF$4))*100 + MAX(0, BF$4-$A6)*IF(RTD("tos.rtd",,"OPEN_INT","."&amp;$AB$3&amp;$AB$4&amp;"P"&amp;BF$4)="N/A",0,RTD("tos.rtd",,"OPEN_INT","."&amp;$AB$3&amp;$AB$4&amp;"P"&amp;BF$4))*100</f>
        <v>24189200</v>
      </c>
      <c r="BG6" s="18">
        <f>MAX(0, $A6-BG$4)*IF(RTD("tos.rtd",,"OPEN_INT","."&amp;$AB$3&amp;$AB$4&amp;"C"&amp;BG$4)="N/A",0,RTD("tos.rtd",,"OPEN_INT","."&amp;$AB$3&amp;$AB$4&amp;"C"&amp;BG$4))*100 + MAX(0, BG$4-$A6)*IF(RTD("tos.rtd",,"OPEN_INT","."&amp;$AB$3&amp;$AB$4&amp;"P"&amp;BG$4)="N/A",0,RTD("tos.rtd",,"OPEN_INT","."&amp;$AB$3&amp;$AB$4&amp;"P"&amp;BG$4))*100</f>
        <v>12190150</v>
      </c>
      <c r="BH6" s="18">
        <f>MAX(0, $A6-BH$4)*IF(RTD("tos.rtd",,"OPEN_INT","."&amp;$AB$3&amp;$AB$4&amp;"C"&amp;BH$4)="N/A",0,RTD("tos.rtd",,"OPEN_INT","."&amp;$AB$3&amp;$AB$4&amp;"C"&amp;BH$4))*100 + MAX(0, BH$4-$A6)*IF(RTD("tos.rtd",,"OPEN_INT","."&amp;$AB$3&amp;$AB$4&amp;"P"&amp;BH$4)="N/A",0,RTD("tos.rtd",,"OPEN_INT","."&amp;$AB$3&amp;$AB$4&amp;"P"&amp;BH$4))*100</f>
        <v>8601000</v>
      </c>
      <c r="BI6" s="18">
        <f>MAX(0, $A6-BI$4)*IF(RTD("tos.rtd",,"OPEN_INT","."&amp;$AB$3&amp;$AB$4&amp;"C"&amp;BI$4)="N/A",0,RTD("tos.rtd",,"OPEN_INT","."&amp;$AB$3&amp;$AB$4&amp;"C"&amp;BI$4))*100 + MAX(0, BI$4-$A6)*IF(RTD("tos.rtd",,"OPEN_INT","."&amp;$AB$3&amp;$AB$4&amp;"P"&amp;BI$4)="N/A",0,RTD("tos.rtd",,"OPEN_INT","."&amp;$AB$3&amp;$AB$4&amp;"P"&amp;BI$4))*100</f>
        <v>3011650</v>
      </c>
      <c r="BJ6" s="18">
        <f>MAX(0, $A6-BJ$4)*IF(RTD("tos.rtd",,"OPEN_INT","."&amp;$AB$3&amp;$AB$4&amp;"C"&amp;BJ$4)="N/A",0,RTD("tos.rtd",,"OPEN_INT","."&amp;$AB$3&amp;$AB$4&amp;"C"&amp;BJ$4))*100 + MAX(0, BJ$4-$A6)*IF(RTD("tos.rtd",,"OPEN_INT","."&amp;$AB$3&amp;$AB$4&amp;"P"&amp;BJ$4)="N/A",0,RTD("tos.rtd",,"OPEN_INT","."&amp;$AB$3&amp;$AB$4&amp;"P"&amp;BJ$4))*100</f>
        <v>1347200</v>
      </c>
      <c r="BK6" s="18">
        <f>MAX(0, $A6-BK$4)*IF(RTD("tos.rtd",,"OPEN_INT","."&amp;$AB$3&amp;$AB$4&amp;"C"&amp;BK$4)="N/A",0,RTD("tos.rtd",,"OPEN_INT","."&amp;$AB$3&amp;$AB$4&amp;"C"&amp;BK$4))*100 + MAX(0, BK$4-$A6)*IF(RTD("tos.rtd",,"OPEN_INT","."&amp;$AB$3&amp;$AB$4&amp;"P"&amp;BK$4)="N/A",0,RTD("tos.rtd",,"OPEN_INT","."&amp;$AB$3&amp;$AB$4&amp;"P"&amp;BK$4))*100</f>
        <v>249150</v>
      </c>
      <c r="BL6" s="18">
        <f>MAX(0, $A6-BL$4)*IF(RTD("tos.rtd",,"OPEN_INT","."&amp;$AB$3&amp;$AB$4&amp;"C"&amp;BL$4)="N/A",0,RTD("tos.rtd",,"OPEN_INT","."&amp;$AB$3&amp;$AB$4&amp;"C"&amp;BL$4))*100 + MAX(0, BL$4-$A6)*IF(RTD("tos.rtd",,"OPEN_INT","."&amp;$AB$3&amp;$AB$4&amp;"P"&amp;BL$4)="N/A",0,RTD("tos.rtd",,"OPEN_INT","."&amp;$AB$3&amp;$AB$4&amp;"P"&amp;BL$4))*100</f>
        <v>443700</v>
      </c>
      <c r="BM6" s="18">
        <f>MAX(0, $A6-BM$4)*IF(RTD("tos.rtd",,"OPEN_INT","."&amp;$AB$3&amp;$AB$4&amp;"C"&amp;BM$4)="N/A",0,RTD("tos.rtd",,"OPEN_INT","."&amp;$AB$3&amp;$AB$4&amp;"C"&amp;BM$4))*100 + MAX(0, BM$4-$A6)*IF(RTD("tos.rtd",,"OPEN_INT","."&amp;$AB$3&amp;$AB$4&amp;"P"&amp;BM$4)="N/A",0,RTD("tos.rtd",,"OPEN_INT","."&amp;$AB$3&amp;$AB$4&amp;"P"&amp;BM$4))*100</f>
        <v>28000</v>
      </c>
      <c r="BN6" s="18">
        <f>MAX(0, $A6-BN$4)*IF(RTD("tos.rtd",,"OPEN_INT","."&amp;$AB$3&amp;$AB$4&amp;"C"&amp;BN$4)="N/A",0,RTD("tos.rtd",,"OPEN_INT","."&amp;$AB$3&amp;$AB$4&amp;"C"&amp;BN$4))*100 + MAX(0, BN$4-$A6)*IF(RTD("tos.rtd",,"OPEN_INT","."&amp;$AB$3&amp;$AB$4&amp;"P"&amp;BN$4)="N/A",0,RTD("tos.rtd",,"OPEN_INT","."&amp;$AB$3&amp;$AB$4&amp;"P"&amp;BN$4))*100</f>
        <v>14400</v>
      </c>
      <c r="BO6" s="18">
        <f>MAX(0, $A6-BO$4)*IF(RTD("tos.rtd",,"OPEN_INT","."&amp;$AB$3&amp;$AB$4&amp;"C"&amp;BO$4)="N/A",0,RTD("tos.rtd",,"OPEN_INT","."&amp;$AB$3&amp;$AB$4&amp;"C"&amp;BO$4))*100 + MAX(0, BO$4-$A6)*IF(RTD("tos.rtd",,"OPEN_INT","."&amp;$AB$3&amp;$AB$4&amp;"P"&amp;BO$4)="N/A",0,RTD("tos.rtd",,"OPEN_INT","."&amp;$AB$3&amp;$AB$4&amp;"P"&amp;BO$4))*100</f>
        <v>57350</v>
      </c>
      <c r="BP6" s="18">
        <f>MAX(0, $A6-BP$4)*IF(RTD("tos.rtd",,"OPEN_INT","."&amp;$AB$3&amp;$AB$4&amp;"C"&amp;BP$4)="N/A",0,RTD("tos.rtd",,"OPEN_INT","."&amp;$AB$3&amp;$AB$4&amp;"C"&amp;BP$4))*100 + MAX(0, BP$4-$A6)*IF(RTD("tos.rtd",,"OPEN_INT","."&amp;$AB$3&amp;$AB$4&amp;"P"&amp;BP$4)="N/A",0,RTD("tos.rtd",,"OPEN_INT","."&amp;$AB$3&amp;$AB$4&amp;"P"&amp;BP$4))*100</f>
        <v>72200</v>
      </c>
      <c r="BQ6" s="18">
        <f>MAX(0, $A6-BQ$4)*IF(RTD("tos.rtd",,"OPEN_INT","."&amp;$AB$3&amp;$AB$4&amp;"C"&amp;BQ$4)="N/A",0,RTD("tos.rtd",,"OPEN_INT","."&amp;$AB$3&amp;$AB$4&amp;"C"&amp;BQ$4))*100 + MAX(0, BQ$4-$A6)*IF(RTD("tos.rtd",,"OPEN_INT","."&amp;$AB$3&amp;$AB$4&amp;"P"&amp;BQ$4)="N/A",0,RTD("tos.rtd",,"OPEN_INT","."&amp;$AB$3&amp;$AB$4&amp;"P"&amp;BQ$4))*100</f>
        <v>0</v>
      </c>
      <c r="BR6" s="18">
        <f>MAX(0, $A6-BR$4)*IF(RTD("tos.rtd",,"OPEN_INT","."&amp;$AB$3&amp;$AB$4&amp;"C"&amp;BR$4)="N/A",0,RTD("tos.rtd",,"OPEN_INT","."&amp;$AB$3&amp;$AB$4&amp;"C"&amp;BR$4))*100 + MAX(0, BR$4-$A6)*IF(RTD("tos.rtd",,"OPEN_INT","."&amp;$AB$3&amp;$AB$4&amp;"P"&amp;BR$4)="N/A",0,RTD("tos.rtd",,"OPEN_INT","."&amp;$AB$3&amp;$AB$4&amp;"P"&amp;BR$4))*100</f>
        <v>0</v>
      </c>
      <c r="BS6" s="18">
        <f>MAX(0, $A6-BS$4)*IF(RTD("tos.rtd",,"OPEN_INT","."&amp;$AB$3&amp;$AB$4&amp;"C"&amp;BS$4)="N/A",0,RTD("tos.rtd",,"OPEN_INT","."&amp;$AB$3&amp;$AB$4&amp;"C"&amp;BS$4))*100 + MAX(0, BS$4-$A6)*IF(RTD("tos.rtd",,"OPEN_INT","."&amp;$AB$3&amp;$AB$4&amp;"P"&amp;BS$4)="N/A",0,RTD("tos.rtd",,"OPEN_INT","."&amp;$AB$3&amp;$AB$4&amp;"P"&amp;BS$4))*100</f>
        <v>0</v>
      </c>
      <c r="BT6" s="18">
        <f>MAX(0, $A6-BT$4)*IF(RTD("tos.rtd",,"OPEN_INT","."&amp;$AB$3&amp;$AB$4&amp;"C"&amp;BT$4)="N/A",0,RTD("tos.rtd",,"OPEN_INT","."&amp;$AB$3&amp;$AB$4&amp;"C"&amp;BT$4))*100 + MAX(0, BT$4-$A6)*IF(RTD("tos.rtd",,"OPEN_INT","."&amp;$AB$3&amp;$AB$4&amp;"P"&amp;BT$4)="N/A",0,RTD("tos.rtd",,"OPEN_INT","."&amp;$AB$3&amp;$AB$4&amp;"P"&amp;BT$4))*100</f>
        <v>0</v>
      </c>
      <c r="BU6" s="18">
        <f>MAX(0, $A6-BU$4)*IF(RTD("tos.rtd",,"OPEN_INT","."&amp;$AB$3&amp;$AB$4&amp;"C"&amp;BU$4)="N/A",0,RTD("tos.rtd",,"OPEN_INT","."&amp;$AB$3&amp;$AB$4&amp;"C"&amp;BU$4))*100 + MAX(0, BU$4-$A6)*IF(RTD("tos.rtd",,"OPEN_INT","."&amp;$AB$3&amp;$AB$4&amp;"P"&amp;BU$4)="N/A",0,RTD("tos.rtd",,"OPEN_INT","."&amp;$AB$3&amp;$AB$4&amp;"P"&amp;BU$4))*100</f>
        <v>0</v>
      </c>
      <c r="BV6" s="18">
        <f>MAX(0, $A6-BV$4)*IF(RTD("tos.rtd",,"OPEN_INT","."&amp;$AB$3&amp;$AB$4&amp;"C"&amp;BV$4)="N/A",0,RTD("tos.rtd",,"OPEN_INT","."&amp;$AB$3&amp;$AB$4&amp;"C"&amp;BV$4))*100 + MAX(0, BV$4-$A6)*IF(RTD("tos.rtd",,"OPEN_INT","."&amp;$AB$3&amp;$AB$4&amp;"P"&amp;BV$4)="N/A",0,RTD("tos.rtd",,"OPEN_INT","."&amp;$AB$3&amp;$AB$4&amp;"P"&amp;BV$4))*100</f>
        <v>0</v>
      </c>
      <c r="BW6" s="18">
        <f>MAX(0, $A6-BW$4)*IF(RTD("tos.rtd",,"OPEN_INT","."&amp;$AB$3&amp;$AB$4&amp;"C"&amp;BW$4)="N/A",0,RTD("tos.rtd",,"OPEN_INT","."&amp;$AB$3&amp;$AB$4&amp;"C"&amp;BW$4))*100 + MAX(0, BW$4-$A6)*IF(RTD("tos.rtd",,"OPEN_INT","."&amp;$AB$3&amp;$AB$4&amp;"P"&amp;BW$4)="N/A",0,RTD("tos.rtd",,"OPEN_INT","."&amp;$AB$3&amp;$AB$4&amp;"P"&amp;BW$4))*100</f>
        <v>0</v>
      </c>
    </row>
    <row r="7" spans="1:75" s="19" customFormat="1" ht="11.1" customHeight="1" thickBot="1" x14ac:dyDescent="0.3">
      <c r="A7" s="23">
        <f t="shared" si="7"/>
        <v>20.5</v>
      </c>
      <c r="B7" s="14">
        <f ca="1">IF($A$2="PREMIUM_OI",IFERROR(IF($X$1="ABS",(100*RTD("tos.rtd",,"OPEN_INT","."&amp;B$2&amp;B$1&amp;"C"&amp;$A7)*RTD("tos.rtd",,"LAST","."&amp;B$2&amp;B$1&amp;"C"&amp;$A7)+100*RTD("tos.rtd",,"OPEN_INT","."&amp;B$2&amp;B$1&amp;"P"&amp;$A7)*RTD("tos.rtd",,"LAST","."&amp;B$2&amp;B$1&amp;"P"&amp;$A7))/1000000,(100*RTD("tos.rtd",,"OPEN_INT","."&amp;B$2&amp;B$1&amp;"C"&amp;$A7)*RTD("tos.rtd",,"LAST","."&amp;B$2&amp;B$1&amp;"C"&amp;$A7)-100*RTD("tos.rtd",,"OPEN_INT","."&amp;B$2&amp;B$1&amp;"P"&amp;$A7)*RTD("tos.rtd",,"LAST","."&amp;B$2&amp;B$1&amp;"P"&amp;$A7))/1000000),0),IF($A$2="PREMIUM",IFERROR(IF($X$1="ABS",(100*RTD("tos.rtd",,"VOLUME","."&amp;B$2&amp;B$1&amp;"C"&amp;$A7)*RTD("tos.rtd",,"LAST","."&amp;B$2&amp;B$1&amp;"C"&amp;$A7)+100*RTD("tos.rtd",,"VOLUME","."&amp;B$2&amp;B$1&amp;"P"&amp;$A7)*RTD("tos.rtd",,"LAST","."&amp;B$2&amp;B$1&amp;"P"&amp;$A7))/1000000,(100*RTD("tos.rtd",,"VOLUME","."&amp;B$2&amp;B$1&amp;"C"&amp;$A7)*RTD("tos.rtd",,"LAST","."&amp;B$2&amp;B$1&amp;"C"&amp;$A7)-100*RTD("tos.rtd",,"VOLUME","."&amp;B$2&amp;B$1&amp;"P"&amp;$A7)*RTD("tos.rtd",,"LAST","."&amp;B$2&amp;B$1&amp;"P"&amp;$A7))/1000000),0),IF($A$2="DEX",IFERROR(IF($X$1="ABS",(100*RTD("tos.rtd",,"OPEN_INT","."&amp;B$2&amp;B$1&amp;"C"&amp;$A7)*RTD("tos.rtd",,"DELTA","."&amp;B$2&amp;B$1&amp;"C"&amp;$A7)+100*RTD("tos.rtd",,"OPEN_INT","."&amp;B$2&amp;B$1&amp;"P"&amp;$A7)*RTD("tos.rtd",,"DELTA","."&amp;B$2&amp;B$1&amp;"P"&amp;$A7))/1000,(100*RTD("tos.rtd",,"OPEN_INT","."&amp;B$2&amp;B$1&amp;"C"&amp;$A7)*RTD("tos.rtd",,"DELTA","."&amp;B$2&amp;B$1&amp;"C"&amp;$A7)-100*RTD("tos.rtd",,"OPEN_INT","."&amp;B$2&amp;B$1&amp;"P"&amp;$A7)*RTD("tos.rtd",,"DELTA","."&amp;B$2&amp;B$1&amp;"P"&amp;$A7))/1000),0),IF($A$2="VEX",IFERROR(IF($X$1="ABS",($A$4*$A$4*RTD("tos.rtd",,"VOLUME","."&amp;B$2&amp;B$1&amp;"C"&amp;$A7)*RTD("tos.rtd",,"GAMMA","."&amp;B$2&amp;B$1&amp;"C"&amp;$A7)+$A$4*$A$4*RTD("tos.rtd",,"VOLUME","."&amp;B$2&amp;B$1&amp;"P"&amp;$A7)*RTD("tos.rtd",,"GAMMA","."&amp;B$2&amp;B$1&amp;"P"&amp;$A7))/1000000,($A$4*$A$4*RTD("tos.rtd",,"VOLUME","."&amp;B$2&amp;B$1&amp;"C"&amp;$A7)*RTD("tos.rtd",,"GAMMA","."&amp;B$2&amp;B$1&amp;"C"&amp;$A7)-$A$4*$A$4*RTD("tos.rtd",,"VOLUME","."&amp;B$2&amp;B$1&amp;"P"&amp;$A7)*RTD("tos.rtd",,"GAMMA","."&amp;B$2&amp;B$1&amp;"P"&amp;$A7))/1000000),0),IF($A$2="GEX",IFERROR(IF($X$1="ABS",($A$4*$A$4*RTD("tos.rtd",,"OPEN_INT","."&amp;B$2&amp;B$1&amp;"C"&amp;$A7)*RTD("tos.rtd",,"GAMMA","."&amp;B$2&amp;B$1&amp;"C"&amp;$A7)+$A$4*$A$4*RTD("tos.rtd",,"OPEN_INT","."&amp;B$2&amp;B$1&amp;"P"&amp;$A7)*RTD("tos.rtd",,"GAMMA","."&amp;B$2&amp;B$1&amp;"P"&amp;$A7))/1000000,($A$4*$A$4*RTD("tos.rtd",,"OPEN_INT","."&amp;B$2&amp;B$1&amp;"C"&amp;$A7)*RTD("tos.rtd",,"GAMMA","."&amp;B$2&amp;B$1&amp;"C"&amp;$A7)-$A$4*$A$4*RTD("tos.rtd",,"OPEN_INT","."&amp;B$2&amp;B$1&amp;"P"&amp;$A7)*RTD("tos.rtd",,"GAMMA","."&amp;B$2&amp;B$1&amp;"P"&amp;$A7))/1000000),0),IF($A$2="SKEW",IFERROR(VALUE(IF(RTD("tos.rtd",,"IMPL_VOL","."&amp;B$2&amp;B$1&amp;"P"&amp;$A7)="N/A",0,RTD("tos.rtd",,"IMPL_VOL","."&amp;B$2&amp;B$1&amp;"P"&amp;$A7))),0)-IFERROR(VALUE(IF(RTD("tos.rtd",,"IMPL_VOL","."&amp;B$2&amp;B$1&amp;"C"&amp;$A7)="N/A",0,RTD("tos.rtd",,"IMPL_VOL","."&amp;B$2&amp;B$1&amp;"C"&amp;$A7))),0),IF($A$2="MAXPAIN",IF($A$4&gt;$A7,($A$4-$A7)*IF(RTD("tos.rtd",,"OPEN_INT","."&amp;B$2&amp;B$1&amp;"C"&amp;$A7)="N/A",0,RTD("tos.rtd",,"OPEN_INT","."&amp;B$2&amp;B$1&amp;"C"&amp;$A7)),0)+IF($A$4&lt;$A7,($A$5-$A$4)*IF(RTD("tos.rtd",,"OPEN_INT","."&amp;B$2&amp;B$1&amp;"P"&amp;$A7)="N/A",0,RTD("tos.rtd",,"OPEN_INT","."&amp;B$2&amp;B$1&amp;"P"&amp;$A7)),0),IF($X$1="ABS",IF(RTD("tos.rtd",,$A$2,"."&amp;B$2&amp;B$1&amp;"C"&amp;$A7)="N/A",0,RTD("tos.rtd",,$A$2,"."&amp;B$2&amp;B$1&amp;"C"&amp;$A7))+IF(RTD("tos.rtd",,$A$2,"."&amp;B$2&amp;B$1&amp;"P"&amp;$A7)="N/A",0,RTD("tos.rtd",,$A$2,"."&amp;B$2&amp;B$1&amp;"P"&amp;$A7)),IF(RTD("tos.rtd",,$A$2,"."&amp;B$2&amp;B$1&amp;"C"&amp;$A7)="N/A",0,RTD("tos.rtd",,$A$2,"."&amp;B$2&amp;B$1&amp;"C"&amp;$A7))-IF(RTD("tos.rtd",,$A$2,"."&amp;B$2&amp;B$1&amp;"P"&amp;$A7)="N/A",0,RTD("tos.rtd",,$A$2,"."&amp;B$2&amp;B$1&amp;"P"&amp;$A7))))))))))</f>
        <v>0</v>
      </c>
      <c r="C7" s="14">
        <f ca="1">IF($A$2="PREMIUM_OI",IFERROR(IF($X$1="ABS",(100*RTD("tos.rtd",,"OPEN_INT","."&amp;C$2&amp;C$1&amp;"C"&amp;$A7)*RTD("tos.rtd",,"LAST","."&amp;C$2&amp;C$1&amp;"C"&amp;$A7)+100*RTD("tos.rtd",,"OPEN_INT","."&amp;C$2&amp;C$1&amp;"P"&amp;$A7)*RTD("tos.rtd",,"LAST","."&amp;C$2&amp;C$1&amp;"P"&amp;$A7))/1000000,(100*RTD("tos.rtd",,"OPEN_INT","."&amp;C$2&amp;C$1&amp;"C"&amp;$A7)*RTD("tos.rtd",,"LAST","."&amp;C$2&amp;C$1&amp;"C"&amp;$A7)-100*RTD("tos.rtd",,"OPEN_INT","."&amp;C$2&amp;C$1&amp;"P"&amp;$A7)*RTD("tos.rtd",,"LAST","."&amp;C$2&amp;C$1&amp;"P"&amp;$A7))/1000000),0),IF($A$2="PREMIUM",IFERROR(IF($X$1="ABS",(100*RTD("tos.rtd",,"VOLUME","."&amp;C$2&amp;C$1&amp;"C"&amp;$A7)*RTD("tos.rtd",,"LAST","."&amp;C$2&amp;C$1&amp;"C"&amp;$A7)+100*RTD("tos.rtd",,"VOLUME","."&amp;C$2&amp;C$1&amp;"P"&amp;$A7)*RTD("tos.rtd",,"LAST","."&amp;C$2&amp;C$1&amp;"P"&amp;$A7))/1000000,(100*RTD("tos.rtd",,"VOLUME","."&amp;C$2&amp;C$1&amp;"C"&amp;$A7)*RTD("tos.rtd",,"LAST","."&amp;C$2&amp;C$1&amp;"C"&amp;$A7)-100*RTD("tos.rtd",,"VOLUME","."&amp;C$2&amp;C$1&amp;"P"&amp;$A7)*RTD("tos.rtd",,"LAST","."&amp;C$2&amp;C$1&amp;"P"&amp;$A7))/1000000),0),IF($A$2="DEX",IFERROR(IF($X$1="ABS",(100*RTD("tos.rtd",,"OPEN_INT","."&amp;C$2&amp;C$1&amp;"C"&amp;$A7)*RTD("tos.rtd",,"DELTA","."&amp;C$2&amp;C$1&amp;"C"&amp;$A7)+100*RTD("tos.rtd",,"OPEN_INT","."&amp;C$2&amp;C$1&amp;"P"&amp;$A7)*RTD("tos.rtd",,"DELTA","."&amp;C$2&amp;C$1&amp;"P"&amp;$A7))/1000,(100*RTD("tos.rtd",,"OPEN_INT","."&amp;C$2&amp;C$1&amp;"C"&amp;$A7)*RTD("tos.rtd",,"DELTA","."&amp;C$2&amp;C$1&amp;"C"&amp;$A7)-100*RTD("tos.rtd",,"OPEN_INT","."&amp;C$2&amp;C$1&amp;"P"&amp;$A7)*RTD("tos.rtd",,"DELTA","."&amp;C$2&amp;C$1&amp;"P"&amp;$A7))/1000),0),IF($A$2="VEX",IFERROR(IF($X$1="ABS",($A$4*$A$4*RTD("tos.rtd",,"VOLUME","."&amp;C$2&amp;C$1&amp;"C"&amp;$A7)*RTD("tos.rtd",,"GAMMA","."&amp;C$2&amp;C$1&amp;"C"&amp;$A7)+$A$4*$A$4*RTD("tos.rtd",,"VOLUME","."&amp;C$2&amp;C$1&amp;"P"&amp;$A7)*RTD("tos.rtd",,"GAMMA","."&amp;C$2&amp;C$1&amp;"P"&amp;$A7))/1000000,($A$4*$A$4*RTD("tos.rtd",,"VOLUME","."&amp;C$2&amp;C$1&amp;"C"&amp;$A7)*RTD("tos.rtd",,"GAMMA","."&amp;C$2&amp;C$1&amp;"C"&amp;$A7)-$A$4*$A$4*RTD("tos.rtd",,"VOLUME","."&amp;C$2&amp;C$1&amp;"P"&amp;$A7)*RTD("tos.rtd",,"GAMMA","."&amp;C$2&amp;C$1&amp;"P"&amp;$A7))/1000000),0),IF($A$2="GEX",IFERROR(IF($X$1="ABS",($A$4*$A$4*RTD("tos.rtd",,"OPEN_INT","."&amp;C$2&amp;C$1&amp;"C"&amp;$A7)*RTD("tos.rtd",,"GAMMA","."&amp;C$2&amp;C$1&amp;"C"&amp;$A7)+$A$4*$A$4*RTD("tos.rtd",,"OPEN_INT","."&amp;C$2&amp;C$1&amp;"P"&amp;$A7)*RTD("tos.rtd",,"GAMMA","."&amp;C$2&amp;C$1&amp;"P"&amp;$A7))/1000000,($A$4*$A$4*RTD("tos.rtd",,"OPEN_INT","."&amp;C$2&amp;C$1&amp;"C"&amp;$A7)*RTD("tos.rtd",,"GAMMA","."&amp;C$2&amp;C$1&amp;"C"&amp;$A7)-$A$4*$A$4*RTD("tos.rtd",,"OPEN_INT","."&amp;C$2&amp;C$1&amp;"P"&amp;$A7)*RTD("tos.rtd",,"GAMMA","."&amp;C$2&amp;C$1&amp;"P"&amp;$A7))/1000000),0),IF($A$2="SKEW",IFERROR(VALUE(IF(RTD("tos.rtd",,"IMPL_VOL","."&amp;C$2&amp;C$1&amp;"P"&amp;$A7)="N/A",0,RTD("tos.rtd",,"IMPL_VOL","."&amp;C$2&amp;C$1&amp;"P"&amp;$A7))),0)-IFERROR(VALUE(IF(RTD("tos.rtd",,"IMPL_VOL","."&amp;C$2&amp;C$1&amp;"C"&amp;$A7)="N/A",0,RTD("tos.rtd",,"IMPL_VOL","."&amp;C$2&amp;C$1&amp;"C"&amp;$A7))),0),IF($A$2="MAXPAIN",IF($A$4&gt;$A7,($A$4-$A7)*IF(RTD("tos.rtd",,"OPEN_INT","."&amp;C$2&amp;C$1&amp;"C"&amp;$A7)="N/A",0,RTD("tos.rtd",,"OPEN_INT","."&amp;C$2&amp;C$1&amp;"C"&amp;$A7)),0)+IF($A$4&lt;$A7,($A$5-$A$4)*IF(RTD("tos.rtd",,"OPEN_INT","."&amp;C$2&amp;C$1&amp;"P"&amp;$A7)="N/A",0,RTD("tos.rtd",,"OPEN_INT","."&amp;C$2&amp;C$1&amp;"P"&amp;$A7)),0),IF($X$1="ABS",IF(RTD("tos.rtd",,$A$2,"."&amp;C$2&amp;C$1&amp;"C"&amp;$A7)="N/A",0,RTD("tos.rtd",,$A$2,"."&amp;C$2&amp;C$1&amp;"C"&amp;$A7))+IF(RTD("tos.rtd",,$A$2,"."&amp;C$2&amp;C$1&amp;"P"&amp;$A7)="N/A",0,RTD("tos.rtd",,$A$2,"."&amp;C$2&amp;C$1&amp;"P"&amp;$A7)),IF(RTD("tos.rtd",,$A$2,"."&amp;C$2&amp;C$1&amp;"C"&amp;$A7)="N/A",0,RTD("tos.rtd",,$A$2,"."&amp;C$2&amp;C$1&amp;"C"&amp;$A7))-IF(RTD("tos.rtd",,$A$2,"."&amp;C$2&amp;C$1&amp;"P"&amp;$A7)="N/A",0,RTD("tos.rtd",,$A$2,"."&amp;C$2&amp;C$1&amp;"P"&amp;$A7))))))))))</f>
        <v>0</v>
      </c>
      <c r="D7" s="12">
        <f ca="1">IF($A$2="PREMIUM_OI",IFERROR(IF($X$1="ABS",(100*RTD("tos.rtd",,"OPEN_INT","."&amp;D$2&amp;D$1&amp;"C"&amp;$A7)*RTD("tos.rtd",,"LAST","."&amp;D$2&amp;D$1&amp;"C"&amp;$A7)+100*RTD("tos.rtd",,"OPEN_INT","."&amp;D$2&amp;D$1&amp;"P"&amp;$A7)*RTD("tos.rtd",,"LAST","."&amp;D$2&amp;D$1&amp;"P"&amp;$A7))/1000000,(100*RTD("tos.rtd",,"OPEN_INT","."&amp;D$2&amp;D$1&amp;"C"&amp;$A7)*RTD("tos.rtd",,"LAST","."&amp;D$2&amp;D$1&amp;"C"&amp;$A7)-100*RTD("tos.rtd",,"OPEN_INT","."&amp;D$2&amp;D$1&amp;"P"&amp;$A7)*RTD("tos.rtd",,"LAST","."&amp;D$2&amp;D$1&amp;"P"&amp;$A7))/1000000),0),IF($A$2="PREMIUM",IFERROR(IF($X$1="ABS",(100*RTD("tos.rtd",,"VOLUME","."&amp;D$2&amp;D$1&amp;"C"&amp;$A7)*RTD("tos.rtd",,"LAST","."&amp;D$2&amp;D$1&amp;"C"&amp;$A7)+100*RTD("tos.rtd",,"VOLUME","."&amp;D$2&amp;D$1&amp;"P"&amp;$A7)*RTD("tos.rtd",,"LAST","."&amp;D$2&amp;D$1&amp;"P"&amp;$A7))/1000000,(100*RTD("tos.rtd",,"VOLUME","."&amp;D$2&amp;D$1&amp;"C"&amp;$A7)*RTD("tos.rtd",,"LAST","."&amp;D$2&amp;D$1&amp;"C"&amp;$A7)-100*RTD("tos.rtd",,"VOLUME","."&amp;D$2&amp;D$1&amp;"P"&amp;$A7)*RTD("tos.rtd",,"LAST","."&amp;D$2&amp;D$1&amp;"P"&amp;$A7))/1000000),0),IF($A$2="DEX",IFERROR(IF($X$1="ABS",(100*RTD("tos.rtd",,"OPEN_INT","."&amp;D$2&amp;D$1&amp;"C"&amp;$A7)*RTD("tos.rtd",,"DELTA","."&amp;D$2&amp;D$1&amp;"C"&amp;$A7)+100*RTD("tos.rtd",,"OPEN_INT","."&amp;D$2&amp;D$1&amp;"P"&amp;$A7)*RTD("tos.rtd",,"DELTA","."&amp;D$2&amp;D$1&amp;"P"&amp;$A7))/1000,(100*RTD("tos.rtd",,"OPEN_INT","."&amp;D$2&amp;D$1&amp;"C"&amp;$A7)*RTD("tos.rtd",,"DELTA","."&amp;D$2&amp;D$1&amp;"C"&amp;$A7)-100*RTD("tos.rtd",,"OPEN_INT","."&amp;D$2&amp;D$1&amp;"P"&amp;$A7)*RTD("tos.rtd",,"DELTA","."&amp;D$2&amp;D$1&amp;"P"&amp;$A7))/1000),0),IF($A$2="VEX",IFERROR(IF($X$1="ABS",($A$4*$A$4*RTD("tos.rtd",,"VOLUME","."&amp;D$2&amp;D$1&amp;"C"&amp;$A7)*RTD("tos.rtd",,"GAMMA","."&amp;D$2&amp;D$1&amp;"C"&amp;$A7)+$A$4*$A$4*RTD("tos.rtd",,"VOLUME","."&amp;D$2&amp;D$1&amp;"P"&amp;$A7)*RTD("tos.rtd",,"GAMMA","."&amp;D$2&amp;D$1&amp;"P"&amp;$A7))/1000000,($A$4*$A$4*RTD("tos.rtd",,"VOLUME","."&amp;D$2&amp;D$1&amp;"C"&amp;$A7)*RTD("tos.rtd",,"GAMMA","."&amp;D$2&amp;D$1&amp;"C"&amp;$A7)-$A$4*$A$4*RTD("tos.rtd",,"VOLUME","."&amp;D$2&amp;D$1&amp;"P"&amp;$A7)*RTD("tos.rtd",,"GAMMA","."&amp;D$2&amp;D$1&amp;"P"&amp;$A7))/1000000),0),IF($A$2="GEX",IFERROR(IF($X$1="ABS",($A$4*$A$4*RTD("tos.rtd",,"OPEN_INT","."&amp;D$2&amp;D$1&amp;"C"&amp;$A7)*RTD("tos.rtd",,"GAMMA","."&amp;D$2&amp;D$1&amp;"C"&amp;$A7)+$A$4*$A$4*RTD("tos.rtd",,"OPEN_INT","."&amp;D$2&amp;D$1&amp;"P"&amp;$A7)*RTD("tos.rtd",,"GAMMA","."&amp;D$2&amp;D$1&amp;"P"&amp;$A7))/1000000,($A$4*$A$4*RTD("tos.rtd",,"OPEN_INT","."&amp;D$2&amp;D$1&amp;"C"&amp;$A7)*RTD("tos.rtd",,"GAMMA","."&amp;D$2&amp;D$1&amp;"C"&amp;$A7)-$A$4*$A$4*RTD("tos.rtd",,"OPEN_INT","."&amp;D$2&amp;D$1&amp;"P"&amp;$A7)*RTD("tos.rtd",,"GAMMA","."&amp;D$2&amp;D$1&amp;"P"&amp;$A7))/1000000),0),IF($A$2="SKEW",IFERROR(VALUE(IF(RTD("tos.rtd",,"IMPL_VOL","."&amp;D$2&amp;D$1&amp;"P"&amp;$A7)="N/A",0,RTD("tos.rtd",,"IMPL_VOL","."&amp;D$2&amp;D$1&amp;"P"&amp;$A7))),0)-IFERROR(VALUE(IF(RTD("tos.rtd",,"IMPL_VOL","."&amp;D$2&amp;D$1&amp;"C"&amp;$A7)="N/A",0,RTD("tos.rtd",,"IMPL_VOL","."&amp;D$2&amp;D$1&amp;"C"&amp;$A7))),0),IF($A$2="MAXPAIN",IF($A$4&gt;$A7,($A$4-$A7)*IF(RTD("tos.rtd",,"OPEN_INT","."&amp;D$2&amp;D$1&amp;"C"&amp;$A7)="N/A",0,RTD("tos.rtd",,"OPEN_INT","."&amp;D$2&amp;D$1&amp;"C"&amp;$A7)),0)+IF($A$4&lt;$A7,($A$5-$A$4)*IF(RTD("tos.rtd",,"OPEN_INT","."&amp;D$2&amp;D$1&amp;"P"&amp;$A7)="N/A",0,RTD("tos.rtd",,"OPEN_INT","."&amp;D$2&amp;D$1&amp;"P"&amp;$A7)),0),IF($X$1="ABS",IF(RTD("tos.rtd",,$A$2,"."&amp;D$2&amp;D$1&amp;"C"&amp;$A7)="N/A",0,RTD("tos.rtd",,$A$2,"."&amp;D$2&amp;D$1&amp;"C"&amp;$A7))+IF(RTD("tos.rtd",,$A$2,"."&amp;D$2&amp;D$1&amp;"P"&amp;$A7)="N/A",0,RTD("tos.rtd",,$A$2,"."&amp;D$2&amp;D$1&amp;"P"&amp;$A7)),IF(RTD("tos.rtd",,$A$2,"."&amp;D$2&amp;D$1&amp;"C"&amp;$A7)="N/A",0,RTD("tos.rtd",,$A$2,"."&amp;D$2&amp;D$1&amp;"C"&amp;$A7))-IF(RTD("tos.rtd",,$A$2,"."&amp;D$2&amp;D$1&amp;"P"&amp;$A7)="N/A",0,RTD("tos.rtd",,$A$2,"."&amp;D$2&amp;D$1&amp;"P"&amp;$A7))))))))))</f>
        <v>0</v>
      </c>
      <c r="E7" s="12">
        <f ca="1">IF($A$2="PREMIUM_OI",IFERROR(IF($X$1="ABS",(100*RTD("tos.rtd",,"OPEN_INT","."&amp;E$2&amp;E$1&amp;"C"&amp;$A7)*RTD("tos.rtd",,"LAST","."&amp;E$2&amp;E$1&amp;"C"&amp;$A7)+100*RTD("tos.rtd",,"OPEN_INT","."&amp;E$2&amp;E$1&amp;"P"&amp;$A7)*RTD("tos.rtd",,"LAST","."&amp;E$2&amp;E$1&amp;"P"&amp;$A7))/1000000,(100*RTD("tos.rtd",,"OPEN_INT","."&amp;E$2&amp;E$1&amp;"C"&amp;$A7)*RTD("tos.rtd",,"LAST","."&amp;E$2&amp;E$1&amp;"C"&amp;$A7)-100*RTD("tos.rtd",,"OPEN_INT","."&amp;E$2&amp;E$1&amp;"P"&amp;$A7)*RTD("tos.rtd",,"LAST","."&amp;E$2&amp;E$1&amp;"P"&amp;$A7))/1000000),0),IF($A$2="PREMIUM",IFERROR(IF($X$1="ABS",(100*RTD("tos.rtd",,"VOLUME","."&amp;E$2&amp;E$1&amp;"C"&amp;$A7)*RTD("tos.rtd",,"LAST","."&amp;E$2&amp;E$1&amp;"C"&amp;$A7)+100*RTD("tos.rtd",,"VOLUME","."&amp;E$2&amp;E$1&amp;"P"&amp;$A7)*RTD("tos.rtd",,"LAST","."&amp;E$2&amp;E$1&amp;"P"&amp;$A7))/1000000,(100*RTD("tos.rtd",,"VOLUME","."&amp;E$2&amp;E$1&amp;"C"&amp;$A7)*RTD("tos.rtd",,"LAST","."&amp;E$2&amp;E$1&amp;"C"&amp;$A7)-100*RTD("tos.rtd",,"VOLUME","."&amp;E$2&amp;E$1&amp;"P"&amp;$A7)*RTD("tos.rtd",,"LAST","."&amp;E$2&amp;E$1&amp;"P"&amp;$A7))/1000000),0),IF($A$2="DEX",IFERROR(IF($X$1="ABS",(100*RTD("tos.rtd",,"OPEN_INT","."&amp;E$2&amp;E$1&amp;"C"&amp;$A7)*RTD("tos.rtd",,"DELTA","."&amp;E$2&amp;E$1&amp;"C"&amp;$A7)+100*RTD("tos.rtd",,"OPEN_INT","."&amp;E$2&amp;E$1&amp;"P"&amp;$A7)*RTD("tos.rtd",,"DELTA","."&amp;E$2&amp;E$1&amp;"P"&amp;$A7))/1000,(100*RTD("tos.rtd",,"OPEN_INT","."&amp;E$2&amp;E$1&amp;"C"&amp;$A7)*RTD("tos.rtd",,"DELTA","."&amp;E$2&amp;E$1&amp;"C"&amp;$A7)-100*RTD("tos.rtd",,"OPEN_INT","."&amp;E$2&amp;E$1&amp;"P"&amp;$A7)*RTD("tos.rtd",,"DELTA","."&amp;E$2&amp;E$1&amp;"P"&amp;$A7))/1000),0),IF($A$2="VEX",IFERROR(IF($X$1="ABS",($A$4*$A$4*RTD("tos.rtd",,"VOLUME","."&amp;E$2&amp;E$1&amp;"C"&amp;$A7)*RTD("tos.rtd",,"GAMMA","."&amp;E$2&amp;E$1&amp;"C"&amp;$A7)+$A$4*$A$4*RTD("tos.rtd",,"VOLUME","."&amp;E$2&amp;E$1&amp;"P"&amp;$A7)*RTD("tos.rtd",,"GAMMA","."&amp;E$2&amp;E$1&amp;"P"&amp;$A7))/1000000,($A$4*$A$4*RTD("tos.rtd",,"VOLUME","."&amp;E$2&amp;E$1&amp;"C"&amp;$A7)*RTD("tos.rtd",,"GAMMA","."&amp;E$2&amp;E$1&amp;"C"&amp;$A7)-$A$4*$A$4*RTD("tos.rtd",,"VOLUME","."&amp;E$2&amp;E$1&amp;"P"&amp;$A7)*RTD("tos.rtd",,"GAMMA","."&amp;E$2&amp;E$1&amp;"P"&amp;$A7))/1000000),0),IF($A$2="GEX",IFERROR(IF($X$1="ABS",($A$4*$A$4*RTD("tos.rtd",,"OPEN_INT","."&amp;E$2&amp;E$1&amp;"C"&amp;$A7)*RTD("tos.rtd",,"GAMMA","."&amp;E$2&amp;E$1&amp;"C"&amp;$A7)+$A$4*$A$4*RTD("tos.rtd",,"OPEN_INT","."&amp;E$2&amp;E$1&amp;"P"&amp;$A7)*RTD("tos.rtd",,"GAMMA","."&amp;E$2&amp;E$1&amp;"P"&amp;$A7))/1000000,($A$4*$A$4*RTD("tos.rtd",,"OPEN_INT","."&amp;E$2&amp;E$1&amp;"C"&amp;$A7)*RTD("tos.rtd",,"GAMMA","."&amp;E$2&amp;E$1&amp;"C"&amp;$A7)-$A$4*$A$4*RTD("tos.rtd",,"OPEN_INT","."&amp;E$2&amp;E$1&amp;"P"&amp;$A7)*RTD("tos.rtd",,"GAMMA","."&amp;E$2&amp;E$1&amp;"P"&amp;$A7))/1000000),0),IF($A$2="SKEW",IFERROR(VALUE(IF(RTD("tos.rtd",,"IMPL_VOL","."&amp;E$2&amp;E$1&amp;"P"&amp;$A7)="N/A",0,RTD("tos.rtd",,"IMPL_VOL","."&amp;E$2&amp;E$1&amp;"P"&amp;$A7))),0)-IFERROR(VALUE(IF(RTD("tos.rtd",,"IMPL_VOL","."&amp;E$2&amp;E$1&amp;"C"&amp;$A7)="N/A",0,RTD("tos.rtd",,"IMPL_VOL","."&amp;E$2&amp;E$1&amp;"C"&amp;$A7))),0),IF($A$2="MAXPAIN",IF($A$4&gt;$A7,($A$4-$A7)*IF(RTD("tos.rtd",,"OPEN_INT","."&amp;E$2&amp;E$1&amp;"C"&amp;$A7)="N/A",0,RTD("tos.rtd",,"OPEN_INT","."&amp;E$2&amp;E$1&amp;"C"&amp;$A7)),0)+IF($A$4&lt;$A7,($A$5-$A$4)*IF(RTD("tos.rtd",,"OPEN_INT","."&amp;E$2&amp;E$1&amp;"P"&amp;$A7)="N/A",0,RTD("tos.rtd",,"OPEN_INT","."&amp;E$2&amp;E$1&amp;"P"&amp;$A7)),0),IF($X$1="ABS",IF(RTD("tos.rtd",,$A$2,"."&amp;E$2&amp;E$1&amp;"C"&amp;$A7)="N/A",0,RTD("tos.rtd",,$A$2,"."&amp;E$2&amp;E$1&amp;"C"&amp;$A7))+IF(RTD("tos.rtd",,$A$2,"."&amp;E$2&amp;E$1&amp;"P"&amp;$A7)="N/A",0,RTD("tos.rtd",,$A$2,"."&amp;E$2&amp;E$1&amp;"P"&amp;$A7)),IF(RTD("tos.rtd",,$A$2,"."&amp;E$2&amp;E$1&amp;"C"&amp;$A7)="N/A",0,RTD("tos.rtd",,$A$2,"."&amp;E$2&amp;E$1&amp;"C"&amp;$A7))-IF(RTD("tos.rtd",,$A$2,"."&amp;E$2&amp;E$1&amp;"P"&amp;$A7)="N/A",0,RTD("tos.rtd",,$A$2,"."&amp;E$2&amp;E$1&amp;"P"&amp;$A7))))))))))</f>
        <v>0</v>
      </c>
      <c r="F7" s="12">
        <f ca="1">IF($A$2="PREMIUM_OI",IFERROR(IF($X$1="ABS",(100*RTD("tos.rtd",,"OPEN_INT","."&amp;F$2&amp;F$1&amp;"C"&amp;$A7)*RTD("tos.rtd",,"LAST","."&amp;F$2&amp;F$1&amp;"C"&amp;$A7)+100*RTD("tos.rtd",,"OPEN_INT","."&amp;F$2&amp;F$1&amp;"P"&amp;$A7)*RTD("tos.rtd",,"LAST","."&amp;F$2&amp;F$1&amp;"P"&amp;$A7))/1000000,(100*RTD("tos.rtd",,"OPEN_INT","."&amp;F$2&amp;F$1&amp;"C"&amp;$A7)*RTD("tos.rtd",,"LAST","."&amp;F$2&amp;F$1&amp;"C"&amp;$A7)-100*RTD("tos.rtd",,"OPEN_INT","."&amp;F$2&amp;F$1&amp;"P"&amp;$A7)*RTD("tos.rtd",,"LAST","."&amp;F$2&amp;F$1&amp;"P"&amp;$A7))/1000000),0),IF($A$2="PREMIUM",IFERROR(IF($X$1="ABS",(100*RTD("tos.rtd",,"VOLUME","."&amp;F$2&amp;F$1&amp;"C"&amp;$A7)*RTD("tos.rtd",,"LAST","."&amp;F$2&amp;F$1&amp;"C"&amp;$A7)+100*RTD("tos.rtd",,"VOLUME","."&amp;F$2&amp;F$1&amp;"P"&amp;$A7)*RTD("tos.rtd",,"LAST","."&amp;F$2&amp;F$1&amp;"P"&amp;$A7))/1000000,(100*RTD("tos.rtd",,"VOLUME","."&amp;F$2&amp;F$1&amp;"C"&amp;$A7)*RTD("tos.rtd",,"LAST","."&amp;F$2&amp;F$1&amp;"C"&amp;$A7)-100*RTD("tos.rtd",,"VOLUME","."&amp;F$2&amp;F$1&amp;"P"&amp;$A7)*RTD("tos.rtd",,"LAST","."&amp;F$2&amp;F$1&amp;"P"&amp;$A7))/1000000),0),IF($A$2="DEX",IFERROR(IF($X$1="ABS",(100*RTD("tos.rtd",,"OPEN_INT","."&amp;F$2&amp;F$1&amp;"C"&amp;$A7)*RTD("tos.rtd",,"DELTA","."&amp;F$2&amp;F$1&amp;"C"&amp;$A7)+100*RTD("tos.rtd",,"OPEN_INT","."&amp;F$2&amp;F$1&amp;"P"&amp;$A7)*RTD("tos.rtd",,"DELTA","."&amp;F$2&amp;F$1&amp;"P"&amp;$A7))/1000,(100*RTD("tos.rtd",,"OPEN_INT","."&amp;F$2&amp;F$1&amp;"C"&amp;$A7)*RTD("tos.rtd",,"DELTA","."&amp;F$2&amp;F$1&amp;"C"&amp;$A7)-100*RTD("tos.rtd",,"OPEN_INT","."&amp;F$2&amp;F$1&amp;"P"&amp;$A7)*RTD("tos.rtd",,"DELTA","."&amp;F$2&amp;F$1&amp;"P"&amp;$A7))/1000),0),IF($A$2="VEX",IFERROR(IF($X$1="ABS",($A$4*$A$4*RTD("tos.rtd",,"VOLUME","."&amp;F$2&amp;F$1&amp;"C"&amp;$A7)*RTD("tos.rtd",,"GAMMA","."&amp;F$2&amp;F$1&amp;"C"&amp;$A7)+$A$4*$A$4*RTD("tos.rtd",,"VOLUME","."&amp;F$2&amp;F$1&amp;"P"&amp;$A7)*RTD("tos.rtd",,"GAMMA","."&amp;F$2&amp;F$1&amp;"P"&amp;$A7))/1000000,($A$4*$A$4*RTD("tos.rtd",,"VOLUME","."&amp;F$2&amp;F$1&amp;"C"&amp;$A7)*RTD("tos.rtd",,"GAMMA","."&amp;F$2&amp;F$1&amp;"C"&amp;$A7)-$A$4*$A$4*RTD("tos.rtd",,"VOLUME","."&amp;F$2&amp;F$1&amp;"P"&amp;$A7)*RTD("tos.rtd",,"GAMMA","."&amp;F$2&amp;F$1&amp;"P"&amp;$A7))/1000000),0),IF($A$2="GEX",IFERROR(IF($X$1="ABS",($A$4*$A$4*RTD("tos.rtd",,"OPEN_INT","."&amp;F$2&amp;F$1&amp;"C"&amp;$A7)*RTD("tos.rtd",,"GAMMA","."&amp;F$2&amp;F$1&amp;"C"&amp;$A7)+$A$4*$A$4*RTD("tos.rtd",,"OPEN_INT","."&amp;F$2&amp;F$1&amp;"P"&amp;$A7)*RTD("tos.rtd",,"GAMMA","."&amp;F$2&amp;F$1&amp;"P"&amp;$A7))/1000000,($A$4*$A$4*RTD("tos.rtd",,"OPEN_INT","."&amp;F$2&amp;F$1&amp;"C"&amp;$A7)*RTD("tos.rtd",,"GAMMA","."&amp;F$2&amp;F$1&amp;"C"&amp;$A7)-$A$4*$A$4*RTD("tos.rtd",,"OPEN_INT","."&amp;F$2&amp;F$1&amp;"P"&amp;$A7)*RTD("tos.rtd",,"GAMMA","."&amp;F$2&amp;F$1&amp;"P"&amp;$A7))/1000000),0),IF($A$2="SKEW",IFERROR(VALUE(IF(RTD("tos.rtd",,"IMPL_VOL","."&amp;F$2&amp;F$1&amp;"P"&amp;$A7)="N/A",0,RTD("tos.rtd",,"IMPL_VOL","."&amp;F$2&amp;F$1&amp;"P"&amp;$A7))),0)-IFERROR(VALUE(IF(RTD("tos.rtd",,"IMPL_VOL","."&amp;F$2&amp;F$1&amp;"C"&amp;$A7)="N/A",0,RTD("tos.rtd",,"IMPL_VOL","."&amp;F$2&amp;F$1&amp;"C"&amp;$A7))),0),IF($A$2="MAXPAIN",IF($A$4&gt;$A7,($A$4-$A7)*IF(RTD("tos.rtd",,"OPEN_INT","."&amp;F$2&amp;F$1&amp;"C"&amp;$A7)="N/A",0,RTD("tos.rtd",,"OPEN_INT","."&amp;F$2&amp;F$1&amp;"C"&amp;$A7)),0)+IF($A$4&lt;$A7,($A$5-$A$4)*IF(RTD("tos.rtd",,"OPEN_INT","."&amp;F$2&amp;F$1&amp;"P"&amp;$A7)="N/A",0,RTD("tos.rtd",,"OPEN_INT","."&amp;F$2&amp;F$1&amp;"P"&amp;$A7)),0),IF($X$1="ABS",IF(RTD("tos.rtd",,$A$2,"."&amp;F$2&amp;F$1&amp;"C"&amp;$A7)="N/A",0,RTD("tos.rtd",,$A$2,"."&amp;F$2&amp;F$1&amp;"C"&amp;$A7))+IF(RTD("tos.rtd",,$A$2,"."&amp;F$2&amp;F$1&amp;"P"&amp;$A7)="N/A",0,RTD("tos.rtd",,$A$2,"."&amp;F$2&amp;F$1&amp;"P"&amp;$A7)),IF(RTD("tos.rtd",,$A$2,"."&amp;F$2&amp;F$1&amp;"C"&amp;$A7)="N/A",0,RTD("tos.rtd",,$A$2,"."&amp;F$2&amp;F$1&amp;"C"&amp;$A7))-IF(RTD("tos.rtd",,$A$2,"."&amp;F$2&amp;F$1&amp;"P"&amp;$A7)="N/A",0,RTD("tos.rtd",,$A$2,"."&amp;F$2&amp;F$1&amp;"P"&amp;$A7))))))))))</f>
        <v>0</v>
      </c>
      <c r="G7" s="54">
        <f ca="1">IF($A$2="PREMIUM_OI",IFERROR(IF($X$1="ABS",(100*RTD("tos.rtd",,"OPEN_INT","."&amp;G$2&amp;G$1&amp;"C"&amp;$A7)*RTD("tos.rtd",,"LAST","."&amp;G$2&amp;G$1&amp;"C"&amp;$A7)+100*RTD("tos.rtd",,"OPEN_INT","."&amp;G$2&amp;G$1&amp;"P"&amp;$A7)*RTD("tos.rtd",,"LAST","."&amp;G$2&amp;G$1&amp;"P"&amp;$A7))/1000000,(100*RTD("tos.rtd",,"OPEN_INT","."&amp;G$2&amp;G$1&amp;"C"&amp;$A7)*RTD("tos.rtd",,"LAST","."&amp;G$2&amp;G$1&amp;"C"&amp;$A7)-100*RTD("tos.rtd",,"OPEN_INT","."&amp;G$2&amp;G$1&amp;"P"&amp;$A7)*RTD("tos.rtd",,"LAST","."&amp;G$2&amp;G$1&amp;"P"&amp;$A7))/1000000),0),IF($A$2="PREMIUM",IFERROR(IF($X$1="ABS",(100*RTD("tos.rtd",,"VOLUME","."&amp;G$2&amp;G$1&amp;"C"&amp;$A7)*RTD("tos.rtd",,"LAST","."&amp;G$2&amp;G$1&amp;"C"&amp;$A7)+100*RTD("tos.rtd",,"VOLUME","."&amp;G$2&amp;G$1&amp;"P"&amp;$A7)*RTD("tos.rtd",,"LAST","."&amp;G$2&amp;G$1&amp;"P"&amp;$A7))/1000000,(100*RTD("tos.rtd",,"VOLUME","."&amp;G$2&amp;G$1&amp;"C"&amp;$A7)*RTD("tos.rtd",,"LAST","."&amp;G$2&amp;G$1&amp;"C"&amp;$A7)-100*RTD("tos.rtd",,"VOLUME","."&amp;G$2&amp;G$1&amp;"P"&amp;$A7)*RTD("tos.rtd",,"LAST","."&amp;G$2&amp;G$1&amp;"P"&amp;$A7))/1000000),0),IF($A$2="DEX",IFERROR(IF($X$1="ABS",(100*RTD("tos.rtd",,"OPEN_INT","."&amp;G$2&amp;G$1&amp;"C"&amp;$A7)*RTD("tos.rtd",,"DELTA","."&amp;G$2&amp;G$1&amp;"C"&amp;$A7)+100*RTD("tos.rtd",,"OPEN_INT","."&amp;G$2&amp;G$1&amp;"P"&amp;$A7)*RTD("tos.rtd",,"DELTA","."&amp;G$2&amp;G$1&amp;"P"&amp;$A7))/1000,(100*RTD("tos.rtd",,"OPEN_INT","."&amp;G$2&amp;G$1&amp;"C"&amp;$A7)*RTD("tos.rtd",,"DELTA","."&amp;G$2&amp;G$1&amp;"C"&amp;$A7)-100*RTD("tos.rtd",,"OPEN_INT","."&amp;G$2&amp;G$1&amp;"P"&amp;$A7)*RTD("tos.rtd",,"DELTA","."&amp;G$2&amp;G$1&amp;"P"&amp;$A7))/1000),0),IF($A$2="VEX",IFERROR(IF($X$1="ABS",($A$4*$A$4*RTD("tos.rtd",,"VOLUME","."&amp;G$2&amp;G$1&amp;"C"&amp;$A7)*RTD("tos.rtd",,"GAMMA","."&amp;G$2&amp;G$1&amp;"C"&amp;$A7)+$A$4*$A$4*RTD("tos.rtd",,"VOLUME","."&amp;G$2&amp;G$1&amp;"P"&amp;$A7)*RTD("tos.rtd",,"GAMMA","."&amp;G$2&amp;G$1&amp;"P"&amp;$A7))/1000000,($A$4*$A$4*RTD("tos.rtd",,"VOLUME","."&amp;G$2&amp;G$1&amp;"C"&amp;$A7)*RTD("tos.rtd",,"GAMMA","."&amp;G$2&amp;G$1&amp;"C"&amp;$A7)-$A$4*$A$4*RTD("tos.rtd",,"VOLUME","."&amp;G$2&amp;G$1&amp;"P"&amp;$A7)*RTD("tos.rtd",,"GAMMA","."&amp;G$2&amp;G$1&amp;"P"&amp;$A7))/1000000),0),IF($A$2="GEX",IFERROR(IF($X$1="ABS",($A$4*$A$4*RTD("tos.rtd",,"OPEN_INT","."&amp;G$2&amp;G$1&amp;"C"&amp;$A7)*RTD("tos.rtd",,"GAMMA","."&amp;G$2&amp;G$1&amp;"C"&amp;$A7)+$A$4*$A$4*RTD("tos.rtd",,"OPEN_INT","."&amp;G$2&amp;G$1&amp;"P"&amp;$A7)*RTD("tos.rtd",,"GAMMA","."&amp;G$2&amp;G$1&amp;"P"&amp;$A7))/1000000,($A$4*$A$4*RTD("tos.rtd",,"OPEN_INT","."&amp;G$2&amp;G$1&amp;"C"&amp;$A7)*RTD("tos.rtd",,"GAMMA","."&amp;G$2&amp;G$1&amp;"C"&amp;$A7)-$A$4*$A$4*RTD("tos.rtd",,"OPEN_INT","."&amp;G$2&amp;G$1&amp;"P"&amp;$A7)*RTD("tos.rtd",,"GAMMA","."&amp;G$2&amp;G$1&amp;"P"&amp;$A7))/1000000),0),IF($A$2="SKEW",IFERROR(VALUE(IF(RTD("tos.rtd",,"IMPL_VOL","."&amp;G$2&amp;G$1&amp;"P"&amp;$A7)="N/A",0,RTD("tos.rtd",,"IMPL_VOL","."&amp;G$2&amp;G$1&amp;"P"&amp;$A7))),0)-IFERROR(VALUE(IF(RTD("tos.rtd",,"IMPL_VOL","."&amp;G$2&amp;G$1&amp;"C"&amp;$A7)="N/A",0,RTD("tos.rtd",,"IMPL_VOL","."&amp;G$2&amp;G$1&amp;"C"&amp;$A7))),0),IF($A$2="MAXPAIN",IF($A$4&gt;$A7,($A$4-$A7)*IF(RTD("tos.rtd",,"OPEN_INT","."&amp;G$2&amp;G$1&amp;"C"&amp;$A7)="N/A",0,RTD("tos.rtd",,"OPEN_INT","."&amp;G$2&amp;G$1&amp;"C"&amp;$A7)),0)+IF($A$4&lt;$A7,($A$5-$A$4)*IF(RTD("tos.rtd",,"OPEN_INT","."&amp;G$2&amp;G$1&amp;"P"&amp;$A7)="N/A",0,RTD("tos.rtd",,"OPEN_INT","."&amp;G$2&amp;G$1&amp;"P"&amp;$A7)),0),IF($X$1="ABS",IF(RTD("tos.rtd",,$A$2,"."&amp;G$2&amp;G$1&amp;"C"&amp;$A7)="N/A",0,RTD("tos.rtd",,$A$2,"."&amp;G$2&amp;G$1&amp;"C"&amp;$A7))+IF(RTD("tos.rtd",,$A$2,"."&amp;G$2&amp;G$1&amp;"P"&amp;$A7)="N/A",0,RTD("tos.rtd",,$A$2,"."&amp;G$2&amp;G$1&amp;"P"&amp;$A7)),IF(RTD("tos.rtd",,$A$2,"."&amp;G$2&amp;G$1&amp;"C"&amp;$A7)="N/A",0,RTD("tos.rtd",,$A$2,"."&amp;G$2&amp;G$1&amp;"C"&amp;$A7))-IF(RTD("tos.rtd",,$A$2,"."&amp;G$2&amp;G$1&amp;"P"&amp;$A7)="N/A",0,RTD("tos.rtd",,$A$2,"."&amp;G$2&amp;G$1&amp;"P"&amp;$A7))))))))))</f>
        <v>0</v>
      </c>
      <c r="H7" s="14">
        <f ca="1">IF($A$2="PREMIUM_OI",IFERROR(IF($X$1="ABS",(100*RTD("tos.rtd",,"OPEN_INT","."&amp;H$2&amp;H$1&amp;"C"&amp;$A7)*RTD("tos.rtd",,"LAST","."&amp;H$2&amp;H$1&amp;"C"&amp;$A7)+100*RTD("tos.rtd",,"OPEN_INT","."&amp;H$2&amp;H$1&amp;"P"&amp;$A7)*RTD("tos.rtd",,"LAST","."&amp;H$2&amp;H$1&amp;"P"&amp;$A7))/1000000,(100*RTD("tos.rtd",,"OPEN_INT","."&amp;H$2&amp;H$1&amp;"C"&amp;$A7)*RTD("tos.rtd",,"LAST","."&amp;H$2&amp;H$1&amp;"C"&amp;$A7)-100*RTD("tos.rtd",,"OPEN_INT","."&amp;H$2&amp;H$1&amp;"P"&amp;$A7)*RTD("tos.rtd",,"LAST","."&amp;H$2&amp;H$1&amp;"P"&amp;$A7))/1000000),0),IF($A$2="PREMIUM",IFERROR(IF($X$1="ABS",(100*RTD("tos.rtd",,"VOLUME","."&amp;H$2&amp;H$1&amp;"C"&amp;$A7)*RTD("tos.rtd",,"LAST","."&amp;H$2&amp;H$1&amp;"C"&amp;$A7)+100*RTD("tos.rtd",,"VOLUME","."&amp;H$2&amp;H$1&amp;"P"&amp;$A7)*RTD("tos.rtd",,"LAST","."&amp;H$2&amp;H$1&amp;"P"&amp;$A7))/1000000,(100*RTD("tos.rtd",,"VOLUME","."&amp;H$2&amp;H$1&amp;"C"&amp;$A7)*RTD("tos.rtd",,"LAST","."&amp;H$2&amp;H$1&amp;"C"&amp;$A7)-100*RTD("tos.rtd",,"VOLUME","."&amp;H$2&amp;H$1&amp;"P"&amp;$A7)*RTD("tos.rtd",,"LAST","."&amp;H$2&amp;H$1&amp;"P"&amp;$A7))/1000000),0),IF($A$2="DEX",IFERROR(IF($X$1="ABS",(100*RTD("tos.rtd",,"OPEN_INT","."&amp;H$2&amp;H$1&amp;"C"&amp;$A7)*RTD("tos.rtd",,"DELTA","."&amp;H$2&amp;H$1&amp;"C"&amp;$A7)+100*RTD("tos.rtd",,"OPEN_INT","."&amp;H$2&amp;H$1&amp;"P"&amp;$A7)*RTD("tos.rtd",,"DELTA","."&amp;H$2&amp;H$1&amp;"P"&amp;$A7))/1000,(100*RTD("tos.rtd",,"OPEN_INT","."&amp;H$2&amp;H$1&amp;"C"&amp;$A7)*RTD("tos.rtd",,"DELTA","."&amp;H$2&amp;H$1&amp;"C"&amp;$A7)-100*RTD("tos.rtd",,"OPEN_INT","."&amp;H$2&amp;H$1&amp;"P"&amp;$A7)*RTD("tos.rtd",,"DELTA","."&amp;H$2&amp;H$1&amp;"P"&amp;$A7))/1000),0),IF($A$2="VEX",IFERROR(IF($X$1="ABS",($A$4*$A$4*RTD("tos.rtd",,"VOLUME","."&amp;H$2&amp;H$1&amp;"C"&amp;$A7)*RTD("tos.rtd",,"GAMMA","."&amp;H$2&amp;H$1&amp;"C"&amp;$A7)+$A$4*$A$4*RTD("tos.rtd",,"VOLUME","."&amp;H$2&amp;H$1&amp;"P"&amp;$A7)*RTD("tos.rtd",,"GAMMA","."&amp;H$2&amp;H$1&amp;"P"&amp;$A7))/1000000,($A$4*$A$4*RTD("tos.rtd",,"VOLUME","."&amp;H$2&amp;H$1&amp;"C"&amp;$A7)*RTD("tos.rtd",,"GAMMA","."&amp;H$2&amp;H$1&amp;"C"&amp;$A7)-$A$4*$A$4*RTD("tos.rtd",,"VOLUME","."&amp;H$2&amp;H$1&amp;"P"&amp;$A7)*RTD("tos.rtd",,"GAMMA","."&amp;H$2&amp;H$1&amp;"P"&amp;$A7))/1000000),0),IF($A$2="GEX",IFERROR(IF($X$1="ABS",($A$4*$A$4*RTD("tos.rtd",,"OPEN_INT","."&amp;H$2&amp;H$1&amp;"C"&amp;$A7)*RTD("tos.rtd",,"GAMMA","."&amp;H$2&amp;H$1&amp;"C"&amp;$A7)+$A$4*$A$4*RTD("tos.rtd",,"OPEN_INT","."&amp;H$2&amp;H$1&amp;"P"&amp;$A7)*RTD("tos.rtd",,"GAMMA","."&amp;H$2&amp;H$1&amp;"P"&amp;$A7))/1000000,($A$4*$A$4*RTD("tos.rtd",,"OPEN_INT","."&amp;H$2&amp;H$1&amp;"C"&amp;$A7)*RTD("tos.rtd",,"GAMMA","."&amp;H$2&amp;H$1&amp;"C"&amp;$A7)-$A$4*$A$4*RTD("tos.rtd",,"OPEN_INT","."&amp;H$2&amp;H$1&amp;"P"&amp;$A7)*RTD("tos.rtd",,"GAMMA","."&amp;H$2&amp;H$1&amp;"P"&amp;$A7))/1000000),0),IF($A$2="SKEW",IFERROR(VALUE(IF(RTD("tos.rtd",,"IMPL_VOL","."&amp;H$2&amp;H$1&amp;"P"&amp;$A7)="N/A",0,RTD("tos.rtd",,"IMPL_VOL","."&amp;H$2&amp;H$1&amp;"P"&amp;$A7))),0)-IFERROR(VALUE(IF(RTD("tos.rtd",,"IMPL_VOL","."&amp;H$2&amp;H$1&amp;"C"&amp;$A7)="N/A",0,RTD("tos.rtd",,"IMPL_VOL","."&amp;H$2&amp;H$1&amp;"C"&amp;$A7))),0),IF($A$2="MAXPAIN",IF($A$4&gt;$A7,($A$4-$A7)*IF(RTD("tos.rtd",,"OPEN_INT","."&amp;H$2&amp;H$1&amp;"C"&amp;$A7)="N/A",0,RTD("tos.rtd",,"OPEN_INT","."&amp;H$2&amp;H$1&amp;"C"&amp;$A7)),0)+IF($A$4&lt;$A7,($A$5-$A$4)*IF(RTD("tos.rtd",,"OPEN_INT","."&amp;H$2&amp;H$1&amp;"P"&amp;$A7)="N/A",0,RTD("tos.rtd",,"OPEN_INT","."&amp;H$2&amp;H$1&amp;"P"&amp;$A7)),0),IF($X$1="ABS",IF(RTD("tos.rtd",,$A$2,"."&amp;H$2&amp;H$1&amp;"C"&amp;$A7)="N/A",0,RTD("tos.rtd",,$A$2,"."&amp;H$2&amp;H$1&amp;"C"&amp;$A7))+IF(RTD("tos.rtd",,$A$2,"."&amp;H$2&amp;H$1&amp;"P"&amp;$A7)="N/A",0,RTD("tos.rtd",,$A$2,"."&amp;H$2&amp;H$1&amp;"P"&amp;$A7)),IF(RTD("tos.rtd",,$A$2,"."&amp;H$2&amp;H$1&amp;"C"&amp;$A7)="N/A",0,RTD("tos.rtd",,$A$2,"."&amp;H$2&amp;H$1&amp;"C"&amp;$A7))-IF(RTD("tos.rtd",,$A$2,"."&amp;H$2&amp;H$1&amp;"P"&amp;$A7)="N/A",0,RTD("tos.rtd",,$A$2,"."&amp;H$2&amp;H$1&amp;"P"&amp;$A7))))))))))</f>
        <v>0</v>
      </c>
      <c r="I7" s="12">
        <f ca="1">IF($A$2="PREMIUM_OI",IFERROR(IF($X$1="ABS",(100*RTD("tos.rtd",,"OPEN_INT","."&amp;I$2&amp;I$1&amp;"C"&amp;$A7)*RTD("tos.rtd",,"LAST","."&amp;I$2&amp;I$1&amp;"C"&amp;$A7)+100*RTD("tos.rtd",,"OPEN_INT","."&amp;I$2&amp;I$1&amp;"P"&amp;$A7)*RTD("tos.rtd",,"LAST","."&amp;I$2&amp;I$1&amp;"P"&amp;$A7))/1000000,(100*RTD("tos.rtd",,"OPEN_INT","."&amp;I$2&amp;I$1&amp;"C"&amp;$A7)*RTD("tos.rtd",,"LAST","."&amp;I$2&amp;I$1&amp;"C"&amp;$A7)-100*RTD("tos.rtd",,"OPEN_INT","."&amp;I$2&amp;I$1&amp;"P"&amp;$A7)*RTD("tos.rtd",,"LAST","."&amp;I$2&amp;I$1&amp;"P"&amp;$A7))/1000000),0),IF($A$2="PREMIUM",IFERROR(IF($X$1="ABS",(100*RTD("tos.rtd",,"VOLUME","."&amp;I$2&amp;I$1&amp;"C"&amp;$A7)*RTD("tos.rtd",,"LAST","."&amp;I$2&amp;I$1&amp;"C"&amp;$A7)+100*RTD("tos.rtd",,"VOLUME","."&amp;I$2&amp;I$1&amp;"P"&amp;$A7)*RTD("tos.rtd",,"LAST","."&amp;I$2&amp;I$1&amp;"P"&amp;$A7))/1000000,(100*RTD("tos.rtd",,"VOLUME","."&amp;I$2&amp;I$1&amp;"C"&amp;$A7)*RTD("tos.rtd",,"LAST","."&amp;I$2&amp;I$1&amp;"C"&amp;$A7)-100*RTD("tos.rtd",,"VOLUME","."&amp;I$2&amp;I$1&amp;"P"&amp;$A7)*RTD("tos.rtd",,"LAST","."&amp;I$2&amp;I$1&amp;"P"&amp;$A7))/1000000),0),IF($A$2="DEX",IFERROR(IF($X$1="ABS",(100*RTD("tos.rtd",,"OPEN_INT","."&amp;I$2&amp;I$1&amp;"C"&amp;$A7)*RTD("tos.rtd",,"DELTA","."&amp;I$2&amp;I$1&amp;"C"&amp;$A7)+100*RTD("tos.rtd",,"OPEN_INT","."&amp;I$2&amp;I$1&amp;"P"&amp;$A7)*RTD("tos.rtd",,"DELTA","."&amp;I$2&amp;I$1&amp;"P"&amp;$A7))/1000,(100*RTD("tos.rtd",,"OPEN_INT","."&amp;I$2&amp;I$1&amp;"C"&amp;$A7)*RTD("tos.rtd",,"DELTA","."&amp;I$2&amp;I$1&amp;"C"&amp;$A7)-100*RTD("tos.rtd",,"OPEN_INT","."&amp;I$2&amp;I$1&amp;"P"&amp;$A7)*RTD("tos.rtd",,"DELTA","."&amp;I$2&amp;I$1&amp;"P"&amp;$A7))/1000),0),IF($A$2="VEX",IFERROR(IF($X$1="ABS",($A$4*$A$4*RTD("tos.rtd",,"VOLUME","."&amp;I$2&amp;I$1&amp;"C"&amp;$A7)*RTD("tos.rtd",,"GAMMA","."&amp;I$2&amp;I$1&amp;"C"&amp;$A7)+$A$4*$A$4*RTD("tos.rtd",,"VOLUME","."&amp;I$2&amp;I$1&amp;"P"&amp;$A7)*RTD("tos.rtd",,"GAMMA","."&amp;I$2&amp;I$1&amp;"P"&amp;$A7))/1000000,($A$4*$A$4*RTD("tos.rtd",,"VOLUME","."&amp;I$2&amp;I$1&amp;"C"&amp;$A7)*RTD("tos.rtd",,"GAMMA","."&amp;I$2&amp;I$1&amp;"C"&amp;$A7)-$A$4*$A$4*RTD("tos.rtd",,"VOLUME","."&amp;I$2&amp;I$1&amp;"P"&amp;$A7)*RTD("tos.rtd",,"GAMMA","."&amp;I$2&amp;I$1&amp;"P"&amp;$A7))/1000000),0),IF($A$2="GEX",IFERROR(IF($X$1="ABS",($A$4*$A$4*RTD("tos.rtd",,"OPEN_INT","."&amp;I$2&amp;I$1&amp;"C"&amp;$A7)*RTD("tos.rtd",,"GAMMA","."&amp;I$2&amp;I$1&amp;"C"&amp;$A7)+$A$4*$A$4*RTD("tos.rtd",,"OPEN_INT","."&amp;I$2&amp;I$1&amp;"P"&amp;$A7)*RTD("tos.rtd",,"GAMMA","."&amp;I$2&amp;I$1&amp;"P"&amp;$A7))/1000000,($A$4*$A$4*RTD("tos.rtd",,"OPEN_INT","."&amp;I$2&amp;I$1&amp;"C"&amp;$A7)*RTD("tos.rtd",,"GAMMA","."&amp;I$2&amp;I$1&amp;"C"&amp;$A7)-$A$4*$A$4*RTD("tos.rtd",,"OPEN_INT","."&amp;I$2&amp;I$1&amp;"P"&amp;$A7)*RTD("tos.rtd",,"GAMMA","."&amp;I$2&amp;I$1&amp;"P"&amp;$A7))/1000000),0),IF($A$2="SKEW",IFERROR(VALUE(IF(RTD("tos.rtd",,"IMPL_VOL","."&amp;I$2&amp;I$1&amp;"P"&amp;$A7)="N/A",0,RTD("tos.rtd",,"IMPL_VOL","."&amp;I$2&amp;I$1&amp;"P"&amp;$A7))),0)-IFERROR(VALUE(IF(RTD("tos.rtd",,"IMPL_VOL","."&amp;I$2&amp;I$1&amp;"C"&amp;$A7)="N/A",0,RTD("tos.rtd",,"IMPL_VOL","."&amp;I$2&amp;I$1&amp;"C"&amp;$A7))),0),IF($A$2="MAXPAIN",IF($A$4&gt;$A7,($A$4-$A7)*IF(RTD("tos.rtd",,"OPEN_INT","."&amp;I$2&amp;I$1&amp;"C"&amp;$A7)="N/A",0,RTD("tos.rtd",,"OPEN_INT","."&amp;I$2&amp;I$1&amp;"C"&amp;$A7)),0)+IF($A$4&lt;$A7,($A$5-$A$4)*IF(RTD("tos.rtd",,"OPEN_INT","."&amp;I$2&amp;I$1&amp;"P"&amp;$A7)="N/A",0,RTD("tos.rtd",,"OPEN_INT","."&amp;I$2&amp;I$1&amp;"P"&amp;$A7)),0),IF($X$1="ABS",IF(RTD("tos.rtd",,$A$2,"."&amp;I$2&amp;I$1&amp;"C"&amp;$A7)="N/A",0,RTD("tos.rtd",,$A$2,"."&amp;I$2&amp;I$1&amp;"C"&amp;$A7))+IF(RTD("tos.rtd",,$A$2,"."&amp;I$2&amp;I$1&amp;"P"&amp;$A7)="N/A",0,RTD("tos.rtd",,$A$2,"."&amp;I$2&amp;I$1&amp;"P"&amp;$A7)),IF(RTD("tos.rtd",,$A$2,"."&amp;I$2&amp;I$1&amp;"C"&amp;$A7)="N/A",0,RTD("tos.rtd",,$A$2,"."&amp;I$2&amp;I$1&amp;"C"&amp;$A7))-IF(RTD("tos.rtd",,$A$2,"."&amp;I$2&amp;I$1&amp;"P"&amp;$A7)="N/A",0,RTD("tos.rtd",,$A$2,"."&amp;I$2&amp;I$1&amp;"P"&amp;$A7))))))))))</f>
        <v>0</v>
      </c>
      <c r="J7" s="12">
        <f ca="1">IF($A$2="PREMIUM_OI",IFERROR(IF($X$1="ABS",(100*RTD("tos.rtd",,"OPEN_INT","."&amp;J$2&amp;J$1&amp;"C"&amp;$A7)*RTD("tos.rtd",,"LAST","."&amp;J$2&amp;J$1&amp;"C"&amp;$A7)+100*RTD("tos.rtd",,"OPEN_INT","."&amp;J$2&amp;J$1&amp;"P"&amp;$A7)*RTD("tos.rtd",,"LAST","."&amp;J$2&amp;J$1&amp;"P"&amp;$A7))/1000000,(100*RTD("tos.rtd",,"OPEN_INT","."&amp;J$2&amp;J$1&amp;"C"&amp;$A7)*RTD("tos.rtd",,"LAST","."&amp;J$2&amp;J$1&amp;"C"&amp;$A7)-100*RTD("tos.rtd",,"OPEN_INT","."&amp;J$2&amp;J$1&amp;"P"&amp;$A7)*RTD("tos.rtd",,"LAST","."&amp;J$2&amp;J$1&amp;"P"&amp;$A7))/1000000),0),IF($A$2="PREMIUM",IFERROR(IF($X$1="ABS",(100*RTD("tos.rtd",,"VOLUME","."&amp;J$2&amp;J$1&amp;"C"&amp;$A7)*RTD("tos.rtd",,"LAST","."&amp;J$2&amp;J$1&amp;"C"&amp;$A7)+100*RTD("tos.rtd",,"VOLUME","."&amp;J$2&amp;J$1&amp;"P"&amp;$A7)*RTD("tos.rtd",,"LAST","."&amp;J$2&amp;J$1&amp;"P"&amp;$A7))/1000000,(100*RTD("tos.rtd",,"VOLUME","."&amp;J$2&amp;J$1&amp;"C"&amp;$A7)*RTD("tos.rtd",,"LAST","."&amp;J$2&amp;J$1&amp;"C"&amp;$A7)-100*RTD("tos.rtd",,"VOLUME","."&amp;J$2&amp;J$1&amp;"P"&amp;$A7)*RTD("tos.rtd",,"LAST","."&amp;J$2&amp;J$1&amp;"P"&amp;$A7))/1000000),0),IF($A$2="DEX",IFERROR(IF($X$1="ABS",(100*RTD("tos.rtd",,"OPEN_INT","."&amp;J$2&amp;J$1&amp;"C"&amp;$A7)*RTD("tos.rtd",,"DELTA","."&amp;J$2&amp;J$1&amp;"C"&amp;$A7)+100*RTD("tos.rtd",,"OPEN_INT","."&amp;J$2&amp;J$1&amp;"P"&amp;$A7)*RTD("tos.rtd",,"DELTA","."&amp;J$2&amp;J$1&amp;"P"&amp;$A7))/1000,(100*RTD("tos.rtd",,"OPEN_INT","."&amp;J$2&amp;J$1&amp;"C"&amp;$A7)*RTD("tos.rtd",,"DELTA","."&amp;J$2&amp;J$1&amp;"C"&amp;$A7)-100*RTD("tos.rtd",,"OPEN_INT","."&amp;J$2&amp;J$1&amp;"P"&amp;$A7)*RTD("tos.rtd",,"DELTA","."&amp;J$2&amp;J$1&amp;"P"&amp;$A7))/1000),0),IF($A$2="VEX",IFERROR(IF($X$1="ABS",($A$4*$A$4*RTD("tos.rtd",,"VOLUME","."&amp;J$2&amp;J$1&amp;"C"&amp;$A7)*RTD("tos.rtd",,"GAMMA","."&amp;J$2&amp;J$1&amp;"C"&amp;$A7)+$A$4*$A$4*RTD("tos.rtd",,"VOLUME","."&amp;J$2&amp;J$1&amp;"P"&amp;$A7)*RTD("tos.rtd",,"GAMMA","."&amp;J$2&amp;J$1&amp;"P"&amp;$A7))/1000000,($A$4*$A$4*RTD("tos.rtd",,"VOLUME","."&amp;J$2&amp;J$1&amp;"C"&amp;$A7)*RTD("tos.rtd",,"GAMMA","."&amp;J$2&amp;J$1&amp;"C"&amp;$A7)-$A$4*$A$4*RTD("tos.rtd",,"VOLUME","."&amp;J$2&amp;J$1&amp;"P"&amp;$A7)*RTD("tos.rtd",,"GAMMA","."&amp;J$2&amp;J$1&amp;"P"&amp;$A7))/1000000),0),IF($A$2="GEX",IFERROR(IF($X$1="ABS",($A$4*$A$4*RTD("tos.rtd",,"OPEN_INT","."&amp;J$2&amp;J$1&amp;"C"&amp;$A7)*RTD("tos.rtd",,"GAMMA","."&amp;J$2&amp;J$1&amp;"C"&amp;$A7)+$A$4*$A$4*RTD("tos.rtd",,"OPEN_INT","."&amp;J$2&amp;J$1&amp;"P"&amp;$A7)*RTD("tos.rtd",,"GAMMA","."&amp;J$2&amp;J$1&amp;"P"&amp;$A7))/1000000,($A$4*$A$4*RTD("tos.rtd",,"OPEN_INT","."&amp;J$2&amp;J$1&amp;"C"&amp;$A7)*RTD("tos.rtd",,"GAMMA","."&amp;J$2&amp;J$1&amp;"C"&amp;$A7)-$A$4*$A$4*RTD("tos.rtd",,"OPEN_INT","."&amp;J$2&amp;J$1&amp;"P"&amp;$A7)*RTD("tos.rtd",,"GAMMA","."&amp;J$2&amp;J$1&amp;"P"&amp;$A7))/1000000),0),IF($A$2="SKEW",IFERROR(VALUE(IF(RTD("tos.rtd",,"IMPL_VOL","."&amp;J$2&amp;J$1&amp;"P"&amp;$A7)="N/A",0,RTD("tos.rtd",,"IMPL_VOL","."&amp;J$2&amp;J$1&amp;"P"&amp;$A7))),0)-IFERROR(VALUE(IF(RTD("tos.rtd",,"IMPL_VOL","."&amp;J$2&amp;J$1&amp;"C"&amp;$A7)="N/A",0,RTD("tos.rtd",,"IMPL_VOL","."&amp;J$2&amp;J$1&amp;"C"&amp;$A7))),0),IF($A$2="MAXPAIN",IF($A$4&gt;$A7,($A$4-$A7)*IF(RTD("tos.rtd",,"OPEN_INT","."&amp;J$2&amp;J$1&amp;"C"&amp;$A7)="N/A",0,RTD("tos.rtd",,"OPEN_INT","."&amp;J$2&amp;J$1&amp;"C"&amp;$A7)),0)+IF($A$4&lt;$A7,($A$5-$A$4)*IF(RTD("tos.rtd",,"OPEN_INT","."&amp;J$2&amp;J$1&amp;"P"&amp;$A7)="N/A",0,RTD("tos.rtd",,"OPEN_INT","."&amp;J$2&amp;J$1&amp;"P"&amp;$A7)),0),IF($X$1="ABS",IF(RTD("tos.rtd",,$A$2,"."&amp;J$2&amp;J$1&amp;"C"&amp;$A7)="N/A",0,RTD("tos.rtd",,$A$2,"."&amp;J$2&amp;J$1&amp;"C"&amp;$A7))+IF(RTD("tos.rtd",,$A$2,"."&amp;J$2&amp;J$1&amp;"P"&amp;$A7)="N/A",0,RTD("tos.rtd",,$A$2,"."&amp;J$2&amp;J$1&amp;"P"&amp;$A7)),IF(RTD("tos.rtd",,$A$2,"."&amp;J$2&amp;J$1&amp;"C"&amp;$A7)="N/A",0,RTD("tos.rtd",,$A$2,"."&amp;J$2&amp;J$1&amp;"C"&amp;$A7))-IF(RTD("tos.rtd",,$A$2,"."&amp;J$2&amp;J$1&amp;"P"&amp;$A7)="N/A",0,RTD("tos.rtd",,$A$2,"."&amp;J$2&amp;J$1&amp;"P"&amp;$A7))))))))))</f>
        <v>0</v>
      </c>
      <c r="K7" s="12">
        <f ca="1">IF($A$2="PREMIUM_OI",IFERROR(IF($X$1="ABS",(100*RTD("tos.rtd",,"OPEN_INT","."&amp;K$2&amp;K$1&amp;"C"&amp;$A7)*RTD("tos.rtd",,"LAST","."&amp;K$2&amp;K$1&amp;"C"&amp;$A7)+100*RTD("tos.rtd",,"OPEN_INT","."&amp;K$2&amp;K$1&amp;"P"&amp;$A7)*RTD("tos.rtd",,"LAST","."&amp;K$2&amp;K$1&amp;"P"&amp;$A7))/1000000,(100*RTD("tos.rtd",,"OPEN_INT","."&amp;K$2&amp;K$1&amp;"C"&amp;$A7)*RTD("tos.rtd",,"LAST","."&amp;K$2&amp;K$1&amp;"C"&amp;$A7)-100*RTD("tos.rtd",,"OPEN_INT","."&amp;K$2&amp;K$1&amp;"P"&amp;$A7)*RTD("tos.rtd",,"LAST","."&amp;K$2&amp;K$1&amp;"P"&amp;$A7))/1000000),0),IF($A$2="PREMIUM",IFERROR(IF($X$1="ABS",(100*RTD("tos.rtd",,"VOLUME","."&amp;K$2&amp;K$1&amp;"C"&amp;$A7)*RTD("tos.rtd",,"LAST","."&amp;K$2&amp;K$1&amp;"C"&amp;$A7)+100*RTD("tos.rtd",,"VOLUME","."&amp;K$2&amp;K$1&amp;"P"&amp;$A7)*RTD("tos.rtd",,"LAST","."&amp;K$2&amp;K$1&amp;"P"&amp;$A7))/1000000,(100*RTD("tos.rtd",,"VOLUME","."&amp;K$2&amp;K$1&amp;"C"&amp;$A7)*RTD("tos.rtd",,"LAST","."&amp;K$2&amp;K$1&amp;"C"&amp;$A7)-100*RTD("tos.rtd",,"VOLUME","."&amp;K$2&amp;K$1&amp;"P"&amp;$A7)*RTD("tos.rtd",,"LAST","."&amp;K$2&amp;K$1&amp;"P"&amp;$A7))/1000000),0),IF($A$2="DEX",IFERROR(IF($X$1="ABS",(100*RTD("tos.rtd",,"OPEN_INT","."&amp;K$2&amp;K$1&amp;"C"&amp;$A7)*RTD("tos.rtd",,"DELTA","."&amp;K$2&amp;K$1&amp;"C"&amp;$A7)+100*RTD("tos.rtd",,"OPEN_INT","."&amp;K$2&amp;K$1&amp;"P"&amp;$A7)*RTD("tos.rtd",,"DELTA","."&amp;K$2&amp;K$1&amp;"P"&amp;$A7))/1000,(100*RTD("tos.rtd",,"OPEN_INT","."&amp;K$2&amp;K$1&amp;"C"&amp;$A7)*RTD("tos.rtd",,"DELTA","."&amp;K$2&amp;K$1&amp;"C"&amp;$A7)-100*RTD("tos.rtd",,"OPEN_INT","."&amp;K$2&amp;K$1&amp;"P"&amp;$A7)*RTD("tos.rtd",,"DELTA","."&amp;K$2&amp;K$1&amp;"P"&amp;$A7))/1000),0),IF($A$2="VEX",IFERROR(IF($X$1="ABS",($A$4*$A$4*RTD("tos.rtd",,"VOLUME","."&amp;K$2&amp;K$1&amp;"C"&amp;$A7)*RTD("tos.rtd",,"GAMMA","."&amp;K$2&amp;K$1&amp;"C"&amp;$A7)+$A$4*$A$4*RTD("tos.rtd",,"VOLUME","."&amp;K$2&amp;K$1&amp;"P"&amp;$A7)*RTD("tos.rtd",,"GAMMA","."&amp;K$2&amp;K$1&amp;"P"&amp;$A7))/1000000,($A$4*$A$4*RTD("tos.rtd",,"VOLUME","."&amp;K$2&amp;K$1&amp;"C"&amp;$A7)*RTD("tos.rtd",,"GAMMA","."&amp;K$2&amp;K$1&amp;"C"&amp;$A7)-$A$4*$A$4*RTD("tos.rtd",,"VOLUME","."&amp;K$2&amp;K$1&amp;"P"&amp;$A7)*RTD("tos.rtd",,"GAMMA","."&amp;K$2&amp;K$1&amp;"P"&amp;$A7))/1000000),0),IF($A$2="GEX",IFERROR(IF($X$1="ABS",($A$4*$A$4*RTD("tos.rtd",,"OPEN_INT","."&amp;K$2&amp;K$1&amp;"C"&amp;$A7)*RTD("tos.rtd",,"GAMMA","."&amp;K$2&amp;K$1&amp;"C"&amp;$A7)+$A$4*$A$4*RTD("tos.rtd",,"OPEN_INT","."&amp;K$2&amp;K$1&amp;"P"&amp;$A7)*RTD("tos.rtd",,"GAMMA","."&amp;K$2&amp;K$1&amp;"P"&amp;$A7))/1000000,($A$4*$A$4*RTD("tos.rtd",,"OPEN_INT","."&amp;K$2&amp;K$1&amp;"C"&amp;$A7)*RTD("tos.rtd",,"GAMMA","."&amp;K$2&amp;K$1&amp;"C"&amp;$A7)-$A$4*$A$4*RTD("tos.rtd",,"OPEN_INT","."&amp;K$2&amp;K$1&amp;"P"&amp;$A7)*RTD("tos.rtd",,"GAMMA","."&amp;K$2&amp;K$1&amp;"P"&amp;$A7))/1000000),0),IF($A$2="SKEW",IFERROR(VALUE(IF(RTD("tos.rtd",,"IMPL_VOL","."&amp;K$2&amp;K$1&amp;"P"&amp;$A7)="N/A",0,RTD("tos.rtd",,"IMPL_VOL","."&amp;K$2&amp;K$1&amp;"P"&amp;$A7))),0)-IFERROR(VALUE(IF(RTD("tos.rtd",,"IMPL_VOL","."&amp;K$2&amp;K$1&amp;"C"&amp;$A7)="N/A",0,RTD("tos.rtd",,"IMPL_VOL","."&amp;K$2&amp;K$1&amp;"C"&amp;$A7))),0),IF($A$2="MAXPAIN",IF($A$4&gt;$A7,($A$4-$A7)*IF(RTD("tos.rtd",,"OPEN_INT","."&amp;K$2&amp;K$1&amp;"C"&amp;$A7)="N/A",0,RTD("tos.rtd",,"OPEN_INT","."&amp;K$2&amp;K$1&amp;"C"&amp;$A7)),0)+IF($A$4&lt;$A7,($A$5-$A$4)*IF(RTD("tos.rtd",,"OPEN_INT","."&amp;K$2&amp;K$1&amp;"P"&amp;$A7)="N/A",0,RTD("tos.rtd",,"OPEN_INT","."&amp;K$2&amp;K$1&amp;"P"&amp;$A7)),0),IF($X$1="ABS",IF(RTD("tos.rtd",,$A$2,"."&amp;K$2&amp;K$1&amp;"C"&amp;$A7)="N/A",0,RTD("tos.rtd",,$A$2,"."&amp;K$2&amp;K$1&amp;"C"&amp;$A7))+IF(RTD("tos.rtd",,$A$2,"."&amp;K$2&amp;K$1&amp;"P"&amp;$A7)="N/A",0,RTD("tos.rtd",,$A$2,"."&amp;K$2&amp;K$1&amp;"P"&amp;$A7)),IF(RTD("tos.rtd",,$A$2,"."&amp;K$2&amp;K$1&amp;"C"&amp;$A7)="N/A",0,RTD("tos.rtd",,$A$2,"."&amp;K$2&amp;K$1&amp;"C"&amp;$A7))-IF(RTD("tos.rtd",,$A$2,"."&amp;K$2&amp;K$1&amp;"P"&amp;$A7)="N/A",0,RTD("tos.rtd",,$A$2,"."&amp;K$2&amp;K$1&amp;"P"&amp;$A7))))))))))</f>
        <v>0</v>
      </c>
      <c r="L7" s="54">
        <f ca="1">IF($A$2="PREMIUM_OI",IFERROR(IF($X$1="ABS",(100*RTD("tos.rtd",,"OPEN_INT","."&amp;L$2&amp;L$1&amp;"C"&amp;$A7)*RTD("tos.rtd",,"LAST","."&amp;L$2&amp;L$1&amp;"C"&amp;$A7)+100*RTD("tos.rtd",,"OPEN_INT","."&amp;L$2&amp;L$1&amp;"P"&amp;$A7)*RTD("tos.rtd",,"LAST","."&amp;L$2&amp;L$1&amp;"P"&amp;$A7))/1000000,(100*RTD("tos.rtd",,"OPEN_INT","."&amp;L$2&amp;L$1&amp;"C"&amp;$A7)*RTD("tos.rtd",,"LAST","."&amp;L$2&amp;L$1&amp;"C"&amp;$A7)-100*RTD("tos.rtd",,"OPEN_INT","."&amp;L$2&amp;L$1&amp;"P"&amp;$A7)*RTD("tos.rtd",,"LAST","."&amp;L$2&amp;L$1&amp;"P"&amp;$A7))/1000000),0),IF($A$2="PREMIUM",IFERROR(IF($X$1="ABS",(100*RTD("tos.rtd",,"VOLUME","."&amp;L$2&amp;L$1&amp;"C"&amp;$A7)*RTD("tos.rtd",,"LAST","."&amp;L$2&amp;L$1&amp;"C"&amp;$A7)+100*RTD("tos.rtd",,"VOLUME","."&amp;L$2&amp;L$1&amp;"P"&amp;$A7)*RTD("tos.rtd",,"LAST","."&amp;L$2&amp;L$1&amp;"P"&amp;$A7))/1000000,(100*RTD("tos.rtd",,"VOLUME","."&amp;L$2&amp;L$1&amp;"C"&amp;$A7)*RTD("tos.rtd",,"LAST","."&amp;L$2&amp;L$1&amp;"C"&amp;$A7)-100*RTD("tos.rtd",,"VOLUME","."&amp;L$2&amp;L$1&amp;"P"&amp;$A7)*RTD("tos.rtd",,"LAST","."&amp;L$2&amp;L$1&amp;"P"&amp;$A7))/1000000),0),IF($A$2="DEX",IFERROR(IF($X$1="ABS",(100*RTD("tos.rtd",,"OPEN_INT","."&amp;L$2&amp;L$1&amp;"C"&amp;$A7)*RTD("tos.rtd",,"DELTA","."&amp;L$2&amp;L$1&amp;"C"&amp;$A7)+100*RTD("tos.rtd",,"OPEN_INT","."&amp;L$2&amp;L$1&amp;"P"&amp;$A7)*RTD("tos.rtd",,"DELTA","."&amp;L$2&amp;L$1&amp;"P"&amp;$A7))/1000,(100*RTD("tos.rtd",,"OPEN_INT","."&amp;L$2&amp;L$1&amp;"C"&amp;$A7)*RTD("tos.rtd",,"DELTA","."&amp;L$2&amp;L$1&amp;"C"&amp;$A7)-100*RTD("tos.rtd",,"OPEN_INT","."&amp;L$2&amp;L$1&amp;"P"&amp;$A7)*RTD("tos.rtd",,"DELTA","."&amp;L$2&amp;L$1&amp;"P"&amp;$A7))/1000),0),IF($A$2="VEX",IFERROR(IF($X$1="ABS",($A$4*$A$4*RTD("tos.rtd",,"VOLUME","."&amp;L$2&amp;L$1&amp;"C"&amp;$A7)*RTD("tos.rtd",,"GAMMA","."&amp;L$2&amp;L$1&amp;"C"&amp;$A7)+$A$4*$A$4*RTD("tos.rtd",,"VOLUME","."&amp;L$2&amp;L$1&amp;"P"&amp;$A7)*RTD("tos.rtd",,"GAMMA","."&amp;L$2&amp;L$1&amp;"P"&amp;$A7))/1000000,($A$4*$A$4*RTD("tos.rtd",,"VOLUME","."&amp;L$2&amp;L$1&amp;"C"&amp;$A7)*RTD("tos.rtd",,"GAMMA","."&amp;L$2&amp;L$1&amp;"C"&amp;$A7)-$A$4*$A$4*RTD("tos.rtd",,"VOLUME","."&amp;L$2&amp;L$1&amp;"P"&amp;$A7)*RTD("tos.rtd",,"GAMMA","."&amp;L$2&amp;L$1&amp;"P"&amp;$A7))/1000000),0),IF($A$2="GEX",IFERROR(IF($X$1="ABS",($A$4*$A$4*RTD("tos.rtd",,"OPEN_INT","."&amp;L$2&amp;L$1&amp;"C"&amp;$A7)*RTD("tos.rtd",,"GAMMA","."&amp;L$2&amp;L$1&amp;"C"&amp;$A7)+$A$4*$A$4*RTD("tos.rtd",,"OPEN_INT","."&amp;L$2&amp;L$1&amp;"P"&amp;$A7)*RTD("tos.rtd",,"GAMMA","."&amp;L$2&amp;L$1&amp;"P"&amp;$A7))/1000000,($A$4*$A$4*RTD("tos.rtd",,"OPEN_INT","."&amp;L$2&amp;L$1&amp;"C"&amp;$A7)*RTD("tos.rtd",,"GAMMA","."&amp;L$2&amp;L$1&amp;"C"&amp;$A7)-$A$4*$A$4*RTD("tos.rtd",,"OPEN_INT","."&amp;L$2&amp;L$1&amp;"P"&amp;$A7)*RTD("tos.rtd",,"GAMMA","."&amp;L$2&amp;L$1&amp;"P"&amp;$A7))/1000000),0),IF($A$2="SKEW",IFERROR(VALUE(IF(RTD("tos.rtd",,"IMPL_VOL","."&amp;L$2&amp;L$1&amp;"P"&amp;$A7)="N/A",0,RTD("tos.rtd",,"IMPL_VOL","."&amp;L$2&amp;L$1&amp;"P"&amp;$A7))),0)-IFERROR(VALUE(IF(RTD("tos.rtd",,"IMPL_VOL","."&amp;L$2&amp;L$1&amp;"C"&amp;$A7)="N/A",0,RTD("tos.rtd",,"IMPL_VOL","."&amp;L$2&amp;L$1&amp;"C"&amp;$A7))),0),IF($A$2="MAXPAIN",IF($A$4&gt;$A7,($A$4-$A7)*IF(RTD("tos.rtd",,"OPEN_INT","."&amp;L$2&amp;L$1&amp;"C"&amp;$A7)="N/A",0,RTD("tos.rtd",,"OPEN_INT","."&amp;L$2&amp;L$1&amp;"C"&amp;$A7)),0)+IF($A$4&lt;$A7,($A$5-$A$4)*IF(RTD("tos.rtd",,"OPEN_INT","."&amp;L$2&amp;L$1&amp;"P"&amp;$A7)="N/A",0,RTD("tos.rtd",,"OPEN_INT","."&amp;L$2&amp;L$1&amp;"P"&amp;$A7)),0),IF($X$1="ABS",IF(RTD("tos.rtd",,$A$2,"."&amp;L$2&amp;L$1&amp;"C"&amp;$A7)="N/A",0,RTD("tos.rtd",,$A$2,"."&amp;L$2&amp;L$1&amp;"C"&amp;$A7))+IF(RTD("tos.rtd",,$A$2,"."&amp;L$2&amp;L$1&amp;"P"&amp;$A7)="N/A",0,RTD("tos.rtd",,$A$2,"."&amp;L$2&amp;L$1&amp;"P"&amp;$A7)),IF(RTD("tos.rtd",,$A$2,"."&amp;L$2&amp;L$1&amp;"C"&amp;$A7)="N/A",0,RTD("tos.rtd",,$A$2,"."&amp;L$2&amp;L$1&amp;"C"&amp;$A7))-IF(RTD("tos.rtd",,$A$2,"."&amp;L$2&amp;L$1&amp;"P"&amp;$A7)="N/A",0,RTD("tos.rtd",,$A$2,"."&amp;L$2&amp;L$1&amp;"P"&amp;$A7))))))))))</f>
        <v>0</v>
      </c>
      <c r="M7" s="12">
        <f ca="1">IF($A$2="PREMIUM_OI",IFERROR(IF($X$1="ABS",(100*RTD("tos.rtd",,"OPEN_INT","."&amp;M$2&amp;M$1&amp;"C"&amp;$A7)*RTD("tos.rtd",,"LAST","."&amp;M$2&amp;M$1&amp;"C"&amp;$A7)+100*RTD("tos.rtd",,"OPEN_INT","."&amp;M$2&amp;M$1&amp;"P"&amp;$A7)*RTD("tos.rtd",,"LAST","."&amp;M$2&amp;M$1&amp;"P"&amp;$A7))/1000000,(100*RTD("tos.rtd",,"OPEN_INT","."&amp;M$2&amp;M$1&amp;"C"&amp;$A7)*RTD("tos.rtd",,"LAST","."&amp;M$2&amp;M$1&amp;"C"&amp;$A7)-100*RTD("tos.rtd",,"OPEN_INT","."&amp;M$2&amp;M$1&amp;"P"&amp;$A7)*RTD("tos.rtd",,"LAST","."&amp;M$2&amp;M$1&amp;"P"&amp;$A7))/1000000),0),IF($A$2="PREMIUM",IFERROR(IF($X$1="ABS",(100*RTD("tos.rtd",,"VOLUME","."&amp;M$2&amp;M$1&amp;"C"&amp;$A7)*RTD("tos.rtd",,"LAST","."&amp;M$2&amp;M$1&amp;"C"&amp;$A7)+100*RTD("tos.rtd",,"VOLUME","."&amp;M$2&amp;M$1&amp;"P"&amp;$A7)*RTD("tos.rtd",,"LAST","."&amp;M$2&amp;M$1&amp;"P"&amp;$A7))/1000000,(100*RTD("tos.rtd",,"VOLUME","."&amp;M$2&amp;M$1&amp;"C"&amp;$A7)*RTD("tos.rtd",,"LAST","."&amp;M$2&amp;M$1&amp;"C"&amp;$A7)-100*RTD("tos.rtd",,"VOLUME","."&amp;M$2&amp;M$1&amp;"P"&amp;$A7)*RTD("tos.rtd",,"LAST","."&amp;M$2&amp;M$1&amp;"P"&amp;$A7))/1000000),0),IF($A$2="DEX",IFERROR(IF($X$1="ABS",(100*RTD("tos.rtd",,"OPEN_INT","."&amp;M$2&amp;M$1&amp;"C"&amp;$A7)*RTD("tos.rtd",,"DELTA","."&amp;M$2&amp;M$1&amp;"C"&amp;$A7)+100*RTD("tos.rtd",,"OPEN_INT","."&amp;M$2&amp;M$1&amp;"P"&amp;$A7)*RTD("tos.rtd",,"DELTA","."&amp;M$2&amp;M$1&amp;"P"&amp;$A7))/1000,(100*RTD("tos.rtd",,"OPEN_INT","."&amp;M$2&amp;M$1&amp;"C"&amp;$A7)*RTD("tos.rtd",,"DELTA","."&amp;M$2&amp;M$1&amp;"C"&amp;$A7)-100*RTD("tos.rtd",,"OPEN_INT","."&amp;M$2&amp;M$1&amp;"P"&amp;$A7)*RTD("tos.rtd",,"DELTA","."&amp;M$2&amp;M$1&amp;"P"&amp;$A7))/1000),0),IF($A$2="VEX",IFERROR(IF($X$1="ABS",($A$4*$A$4*RTD("tos.rtd",,"VOLUME","."&amp;M$2&amp;M$1&amp;"C"&amp;$A7)*RTD("tos.rtd",,"GAMMA","."&amp;M$2&amp;M$1&amp;"C"&amp;$A7)+$A$4*$A$4*RTD("tos.rtd",,"VOLUME","."&amp;M$2&amp;M$1&amp;"P"&amp;$A7)*RTD("tos.rtd",,"GAMMA","."&amp;M$2&amp;M$1&amp;"P"&amp;$A7))/1000000,($A$4*$A$4*RTD("tos.rtd",,"VOLUME","."&amp;M$2&amp;M$1&amp;"C"&amp;$A7)*RTD("tos.rtd",,"GAMMA","."&amp;M$2&amp;M$1&amp;"C"&amp;$A7)-$A$4*$A$4*RTD("tos.rtd",,"VOLUME","."&amp;M$2&amp;M$1&amp;"P"&amp;$A7)*RTD("tos.rtd",,"GAMMA","."&amp;M$2&amp;M$1&amp;"P"&amp;$A7))/1000000),0),IF($A$2="GEX",IFERROR(IF($X$1="ABS",($A$4*$A$4*RTD("tos.rtd",,"OPEN_INT","."&amp;M$2&amp;M$1&amp;"C"&amp;$A7)*RTD("tos.rtd",,"GAMMA","."&amp;M$2&amp;M$1&amp;"C"&amp;$A7)+$A$4*$A$4*RTD("tos.rtd",,"OPEN_INT","."&amp;M$2&amp;M$1&amp;"P"&amp;$A7)*RTD("tos.rtd",,"GAMMA","."&amp;M$2&amp;M$1&amp;"P"&amp;$A7))/1000000,($A$4*$A$4*RTD("tos.rtd",,"OPEN_INT","."&amp;M$2&amp;M$1&amp;"C"&amp;$A7)*RTD("tos.rtd",,"GAMMA","."&amp;M$2&amp;M$1&amp;"C"&amp;$A7)-$A$4*$A$4*RTD("tos.rtd",,"OPEN_INT","."&amp;M$2&amp;M$1&amp;"P"&amp;$A7)*RTD("tos.rtd",,"GAMMA","."&amp;M$2&amp;M$1&amp;"P"&amp;$A7))/1000000),0),IF($A$2="SKEW",IFERROR(VALUE(IF(RTD("tos.rtd",,"IMPL_VOL","."&amp;M$2&amp;M$1&amp;"P"&amp;$A7)="N/A",0,RTD("tos.rtd",,"IMPL_VOL","."&amp;M$2&amp;M$1&amp;"P"&amp;$A7))),0)-IFERROR(VALUE(IF(RTD("tos.rtd",,"IMPL_VOL","."&amp;M$2&amp;M$1&amp;"C"&amp;$A7)="N/A",0,RTD("tos.rtd",,"IMPL_VOL","."&amp;M$2&amp;M$1&amp;"C"&amp;$A7))),0),IF($A$2="MAXPAIN",IF($A$4&gt;$A7,($A$4-$A7)*IF(RTD("tos.rtd",,"OPEN_INT","."&amp;M$2&amp;M$1&amp;"C"&amp;$A7)="N/A",0,RTD("tos.rtd",,"OPEN_INT","."&amp;M$2&amp;M$1&amp;"C"&amp;$A7)),0)+IF($A$4&lt;$A7,($A$5-$A$4)*IF(RTD("tos.rtd",,"OPEN_INT","."&amp;M$2&amp;M$1&amp;"P"&amp;$A7)="N/A",0,RTD("tos.rtd",,"OPEN_INT","."&amp;M$2&amp;M$1&amp;"P"&amp;$A7)),0),IF($X$1="ABS",IF(RTD("tos.rtd",,$A$2,"."&amp;M$2&amp;M$1&amp;"C"&amp;$A7)="N/A",0,RTD("tos.rtd",,$A$2,"."&amp;M$2&amp;M$1&amp;"C"&amp;$A7))+IF(RTD("tos.rtd",,$A$2,"."&amp;M$2&amp;M$1&amp;"P"&amp;$A7)="N/A",0,RTD("tos.rtd",,$A$2,"."&amp;M$2&amp;M$1&amp;"P"&amp;$A7)),IF(RTD("tos.rtd",,$A$2,"."&amp;M$2&amp;M$1&amp;"C"&amp;$A7)="N/A",0,RTD("tos.rtd",,$A$2,"."&amp;M$2&amp;M$1&amp;"C"&amp;$A7))-IF(RTD("tos.rtd",,$A$2,"."&amp;M$2&amp;M$1&amp;"P"&amp;$A7)="N/A",0,RTD("tos.rtd",,$A$2,"."&amp;M$2&amp;M$1&amp;"P"&amp;$A7))))))))))</f>
        <v>0</v>
      </c>
      <c r="N7" s="12">
        <f ca="1">IF($A$2="PREMIUM_OI",IFERROR(IF($X$1="ABS",(100*RTD("tos.rtd",,"OPEN_INT","."&amp;N$2&amp;N$1&amp;"C"&amp;$A7)*RTD("tos.rtd",,"LAST","."&amp;N$2&amp;N$1&amp;"C"&amp;$A7)+100*RTD("tos.rtd",,"OPEN_INT","."&amp;N$2&amp;N$1&amp;"P"&amp;$A7)*RTD("tos.rtd",,"LAST","."&amp;N$2&amp;N$1&amp;"P"&amp;$A7))/1000000,(100*RTD("tos.rtd",,"OPEN_INT","."&amp;N$2&amp;N$1&amp;"C"&amp;$A7)*RTD("tos.rtd",,"LAST","."&amp;N$2&amp;N$1&amp;"C"&amp;$A7)-100*RTD("tos.rtd",,"OPEN_INT","."&amp;N$2&amp;N$1&amp;"P"&amp;$A7)*RTD("tos.rtd",,"LAST","."&amp;N$2&amp;N$1&amp;"P"&amp;$A7))/1000000),0),IF($A$2="PREMIUM",IFERROR(IF($X$1="ABS",(100*RTD("tos.rtd",,"VOLUME","."&amp;N$2&amp;N$1&amp;"C"&amp;$A7)*RTD("tos.rtd",,"LAST","."&amp;N$2&amp;N$1&amp;"C"&amp;$A7)+100*RTD("tos.rtd",,"VOLUME","."&amp;N$2&amp;N$1&amp;"P"&amp;$A7)*RTD("tos.rtd",,"LAST","."&amp;N$2&amp;N$1&amp;"P"&amp;$A7))/1000000,(100*RTD("tos.rtd",,"VOLUME","."&amp;N$2&amp;N$1&amp;"C"&amp;$A7)*RTD("tos.rtd",,"LAST","."&amp;N$2&amp;N$1&amp;"C"&amp;$A7)-100*RTD("tos.rtd",,"VOLUME","."&amp;N$2&amp;N$1&amp;"P"&amp;$A7)*RTD("tos.rtd",,"LAST","."&amp;N$2&amp;N$1&amp;"P"&amp;$A7))/1000000),0),IF($A$2="DEX",IFERROR(IF($X$1="ABS",(100*RTD("tos.rtd",,"OPEN_INT","."&amp;N$2&amp;N$1&amp;"C"&amp;$A7)*RTD("tos.rtd",,"DELTA","."&amp;N$2&amp;N$1&amp;"C"&amp;$A7)+100*RTD("tos.rtd",,"OPEN_INT","."&amp;N$2&amp;N$1&amp;"P"&amp;$A7)*RTD("tos.rtd",,"DELTA","."&amp;N$2&amp;N$1&amp;"P"&amp;$A7))/1000,(100*RTD("tos.rtd",,"OPEN_INT","."&amp;N$2&amp;N$1&amp;"C"&amp;$A7)*RTD("tos.rtd",,"DELTA","."&amp;N$2&amp;N$1&amp;"C"&amp;$A7)-100*RTD("tos.rtd",,"OPEN_INT","."&amp;N$2&amp;N$1&amp;"P"&amp;$A7)*RTD("tos.rtd",,"DELTA","."&amp;N$2&amp;N$1&amp;"P"&amp;$A7))/1000),0),IF($A$2="VEX",IFERROR(IF($X$1="ABS",($A$4*$A$4*RTD("tos.rtd",,"VOLUME","."&amp;N$2&amp;N$1&amp;"C"&amp;$A7)*RTD("tos.rtd",,"GAMMA","."&amp;N$2&amp;N$1&amp;"C"&amp;$A7)+$A$4*$A$4*RTD("tos.rtd",,"VOLUME","."&amp;N$2&amp;N$1&amp;"P"&amp;$A7)*RTD("tos.rtd",,"GAMMA","."&amp;N$2&amp;N$1&amp;"P"&amp;$A7))/1000000,($A$4*$A$4*RTD("tos.rtd",,"VOLUME","."&amp;N$2&amp;N$1&amp;"C"&amp;$A7)*RTD("tos.rtd",,"GAMMA","."&amp;N$2&amp;N$1&amp;"C"&amp;$A7)-$A$4*$A$4*RTD("tos.rtd",,"VOLUME","."&amp;N$2&amp;N$1&amp;"P"&amp;$A7)*RTD("tos.rtd",,"GAMMA","."&amp;N$2&amp;N$1&amp;"P"&amp;$A7))/1000000),0),IF($A$2="GEX",IFERROR(IF($X$1="ABS",($A$4*$A$4*RTD("tos.rtd",,"OPEN_INT","."&amp;N$2&amp;N$1&amp;"C"&amp;$A7)*RTD("tos.rtd",,"GAMMA","."&amp;N$2&amp;N$1&amp;"C"&amp;$A7)+$A$4*$A$4*RTD("tos.rtd",,"OPEN_INT","."&amp;N$2&amp;N$1&amp;"P"&amp;$A7)*RTD("tos.rtd",,"GAMMA","."&amp;N$2&amp;N$1&amp;"P"&amp;$A7))/1000000,($A$4*$A$4*RTD("tos.rtd",,"OPEN_INT","."&amp;N$2&amp;N$1&amp;"C"&amp;$A7)*RTD("tos.rtd",,"GAMMA","."&amp;N$2&amp;N$1&amp;"C"&amp;$A7)-$A$4*$A$4*RTD("tos.rtd",,"OPEN_INT","."&amp;N$2&amp;N$1&amp;"P"&amp;$A7)*RTD("tos.rtd",,"GAMMA","."&amp;N$2&amp;N$1&amp;"P"&amp;$A7))/1000000),0),IF($A$2="SKEW",IFERROR(VALUE(IF(RTD("tos.rtd",,"IMPL_VOL","."&amp;N$2&amp;N$1&amp;"P"&amp;$A7)="N/A",0,RTD("tos.rtd",,"IMPL_VOL","."&amp;N$2&amp;N$1&amp;"P"&amp;$A7))),0)-IFERROR(VALUE(IF(RTD("tos.rtd",,"IMPL_VOL","."&amp;N$2&amp;N$1&amp;"C"&amp;$A7)="N/A",0,RTD("tos.rtd",,"IMPL_VOL","."&amp;N$2&amp;N$1&amp;"C"&amp;$A7))),0),IF($A$2="MAXPAIN",IF($A$4&gt;$A7,($A$4-$A7)*IF(RTD("tos.rtd",,"OPEN_INT","."&amp;N$2&amp;N$1&amp;"C"&amp;$A7)="N/A",0,RTD("tos.rtd",,"OPEN_INT","."&amp;N$2&amp;N$1&amp;"C"&amp;$A7)),0)+IF($A$4&lt;$A7,($A$5-$A$4)*IF(RTD("tos.rtd",,"OPEN_INT","."&amp;N$2&amp;N$1&amp;"P"&amp;$A7)="N/A",0,RTD("tos.rtd",,"OPEN_INT","."&amp;N$2&amp;N$1&amp;"P"&amp;$A7)),0),IF($X$1="ABS",IF(RTD("tos.rtd",,$A$2,"."&amp;N$2&amp;N$1&amp;"C"&amp;$A7)="N/A",0,RTD("tos.rtd",,$A$2,"."&amp;N$2&amp;N$1&amp;"C"&amp;$A7))+IF(RTD("tos.rtd",,$A$2,"."&amp;N$2&amp;N$1&amp;"P"&amp;$A7)="N/A",0,RTD("tos.rtd",,$A$2,"."&amp;N$2&amp;N$1&amp;"P"&amp;$A7)),IF(RTD("tos.rtd",,$A$2,"."&amp;N$2&amp;N$1&amp;"C"&amp;$A7)="N/A",0,RTD("tos.rtd",,$A$2,"."&amp;N$2&amp;N$1&amp;"C"&amp;$A7))-IF(RTD("tos.rtd",,$A$2,"."&amp;N$2&amp;N$1&amp;"P"&amp;$A7)="N/A",0,RTD("tos.rtd",,$A$2,"."&amp;N$2&amp;N$1&amp;"P"&amp;$A7))))))))))</f>
        <v>0</v>
      </c>
      <c r="O7" s="12">
        <f ca="1">IF($A$2="PREMIUM_OI",IFERROR(IF($X$1="ABS",(100*RTD("tos.rtd",,"OPEN_INT","."&amp;O$2&amp;O$1&amp;"C"&amp;$A7)*RTD("tos.rtd",,"LAST","."&amp;O$2&amp;O$1&amp;"C"&amp;$A7)+100*RTD("tos.rtd",,"OPEN_INT","."&amp;O$2&amp;O$1&amp;"P"&amp;$A7)*RTD("tos.rtd",,"LAST","."&amp;O$2&amp;O$1&amp;"P"&amp;$A7))/1000000,(100*RTD("tos.rtd",,"OPEN_INT","."&amp;O$2&amp;O$1&amp;"C"&amp;$A7)*RTD("tos.rtd",,"LAST","."&amp;O$2&amp;O$1&amp;"C"&amp;$A7)-100*RTD("tos.rtd",,"OPEN_INT","."&amp;O$2&amp;O$1&amp;"P"&amp;$A7)*RTD("tos.rtd",,"LAST","."&amp;O$2&amp;O$1&amp;"P"&amp;$A7))/1000000),0),IF($A$2="PREMIUM",IFERROR(IF($X$1="ABS",(100*RTD("tos.rtd",,"VOLUME","."&amp;O$2&amp;O$1&amp;"C"&amp;$A7)*RTD("tos.rtd",,"LAST","."&amp;O$2&amp;O$1&amp;"C"&amp;$A7)+100*RTD("tos.rtd",,"VOLUME","."&amp;O$2&amp;O$1&amp;"P"&amp;$A7)*RTD("tos.rtd",,"LAST","."&amp;O$2&amp;O$1&amp;"P"&amp;$A7))/1000000,(100*RTD("tos.rtd",,"VOLUME","."&amp;O$2&amp;O$1&amp;"C"&amp;$A7)*RTD("tos.rtd",,"LAST","."&amp;O$2&amp;O$1&amp;"C"&amp;$A7)-100*RTD("tos.rtd",,"VOLUME","."&amp;O$2&amp;O$1&amp;"P"&amp;$A7)*RTD("tos.rtd",,"LAST","."&amp;O$2&amp;O$1&amp;"P"&amp;$A7))/1000000),0),IF($A$2="DEX",IFERROR(IF($X$1="ABS",(100*RTD("tos.rtd",,"OPEN_INT","."&amp;O$2&amp;O$1&amp;"C"&amp;$A7)*RTD("tos.rtd",,"DELTA","."&amp;O$2&amp;O$1&amp;"C"&amp;$A7)+100*RTD("tos.rtd",,"OPEN_INT","."&amp;O$2&amp;O$1&amp;"P"&amp;$A7)*RTD("tos.rtd",,"DELTA","."&amp;O$2&amp;O$1&amp;"P"&amp;$A7))/1000,(100*RTD("tos.rtd",,"OPEN_INT","."&amp;O$2&amp;O$1&amp;"C"&amp;$A7)*RTD("tos.rtd",,"DELTA","."&amp;O$2&amp;O$1&amp;"C"&amp;$A7)-100*RTD("tos.rtd",,"OPEN_INT","."&amp;O$2&amp;O$1&amp;"P"&amp;$A7)*RTD("tos.rtd",,"DELTA","."&amp;O$2&amp;O$1&amp;"P"&amp;$A7))/1000),0),IF($A$2="VEX",IFERROR(IF($X$1="ABS",($A$4*$A$4*RTD("tos.rtd",,"VOLUME","."&amp;O$2&amp;O$1&amp;"C"&amp;$A7)*RTD("tos.rtd",,"GAMMA","."&amp;O$2&amp;O$1&amp;"C"&amp;$A7)+$A$4*$A$4*RTD("tos.rtd",,"VOLUME","."&amp;O$2&amp;O$1&amp;"P"&amp;$A7)*RTD("tos.rtd",,"GAMMA","."&amp;O$2&amp;O$1&amp;"P"&amp;$A7))/1000000,($A$4*$A$4*RTD("tos.rtd",,"VOLUME","."&amp;O$2&amp;O$1&amp;"C"&amp;$A7)*RTD("tos.rtd",,"GAMMA","."&amp;O$2&amp;O$1&amp;"C"&amp;$A7)-$A$4*$A$4*RTD("tos.rtd",,"VOLUME","."&amp;O$2&amp;O$1&amp;"P"&amp;$A7)*RTD("tos.rtd",,"GAMMA","."&amp;O$2&amp;O$1&amp;"P"&amp;$A7))/1000000),0),IF($A$2="GEX",IFERROR(IF($X$1="ABS",($A$4*$A$4*RTD("tos.rtd",,"OPEN_INT","."&amp;O$2&amp;O$1&amp;"C"&amp;$A7)*RTD("tos.rtd",,"GAMMA","."&amp;O$2&amp;O$1&amp;"C"&amp;$A7)+$A$4*$A$4*RTD("tos.rtd",,"OPEN_INT","."&amp;O$2&amp;O$1&amp;"P"&amp;$A7)*RTD("tos.rtd",,"GAMMA","."&amp;O$2&amp;O$1&amp;"P"&amp;$A7))/1000000,($A$4*$A$4*RTD("tos.rtd",,"OPEN_INT","."&amp;O$2&amp;O$1&amp;"C"&amp;$A7)*RTD("tos.rtd",,"GAMMA","."&amp;O$2&amp;O$1&amp;"C"&amp;$A7)-$A$4*$A$4*RTD("tos.rtd",,"OPEN_INT","."&amp;O$2&amp;O$1&amp;"P"&amp;$A7)*RTD("tos.rtd",,"GAMMA","."&amp;O$2&amp;O$1&amp;"P"&amp;$A7))/1000000),0),IF($A$2="SKEW",IFERROR(VALUE(IF(RTD("tos.rtd",,"IMPL_VOL","."&amp;O$2&amp;O$1&amp;"P"&amp;$A7)="N/A",0,RTD("tos.rtd",,"IMPL_VOL","."&amp;O$2&amp;O$1&amp;"P"&amp;$A7))),0)-IFERROR(VALUE(IF(RTD("tos.rtd",,"IMPL_VOL","."&amp;O$2&amp;O$1&amp;"C"&amp;$A7)="N/A",0,RTD("tos.rtd",,"IMPL_VOL","."&amp;O$2&amp;O$1&amp;"C"&amp;$A7))),0),IF($A$2="MAXPAIN",IF($A$4&gt;$A7,($A$4-$A7)*IF(RTD("tos.rtd",,"OPEN_INT","."&amp;O$2&amp;O$1&amp;"C"&amp;$A7)="N/A",0,RTD("tos.rtd",,"OPEN_INT","."&amp;O$2&amp;O$1&amp;"C"&amp;$A7)),0)+IF($A$4&lt;$A7,($A$5-$A$4)*IF(RTD("tos.rtd",,"OPEN_INT","."&amp;O$2&amp;O$1&amp;"P"&amp;$A7)="N/A",0,RTD("tos.rtd",,"OPEN_INT","."&amp;O$2&amp;O$1&amp;"P"&amp;$A7)),0),IF($X$1="ABS",IF(RTD("tos.rtd",,$A$2,"."&amp;O$2&amp;O$1&amp;"C"&amp;$A7)="N/A",0,RTD("tos.rtd",,$A$2,"."&amp;O$2&amp;O$1&amp;"C"&amp;$A7))+IF(RTD("tos.rtd",,$A$2,"."&amp;O$2&amp;O$1&amp;"P"&amp;$A7)="N/A",0,RTD("tos.rtd",,$A$2,"."&amp;O$2&amp;O$1&amp;"P"&amp;$A7)),IF(RTD("tos.rtd",,$A$2,"."&amp;O$2&amp;O$1&amp;"C"&amp;$A7)="N/A",0,RTD("tos.rtd",,$A$2,"."&amp;O$2&amp;O$1&amp;"C"&amp;$A7))-IF(RTD("tos.rtd",,$A$2,"."&amp;O$2&amp;O$1&amp;"P"&amp;$A7)="N/A",0,RTD("tos.rtd",,$A$2,"."&amp;O$2&amp;O$1&amp;"P"&amp;$A7))))))))))</f>
        <v>0</v>
      </c>
      <c r="P7" s="12">
        <f ca="1">IF($A$2="PREMIUM_OI",IFERROR(IF($X$1="ABS",(100*RTD("tos.rtd",,"OPEN_INT","."&amp;P$2&amp;P$1&amp;"C"&amp;$A7)*RTD("tos.rtd",,"LAST","."&amp;P$2&amp;P$1&amp;"C"&amp;$A7)+100*RTD("tos.rtd",,"OPEN_INT","."&amp;P$2&amp;P$1&amp;"P"&amp;$A7)*RTD("tos.rtd",,"LAST","."&amp;P$2&amp;P$1&amp;"P"&amp;$A7))/1000000,(100*RTD("tos.rtd",,"OPEN_INT","."&amp;P$2&amp;P$1&amp;"C"&amp;$A7)*RTD("tos.rtd",,"LAST","."&amp;P$2&amp;P$1&amp;"C"&amp;$A7)-100*RTD("tos.rtd",,"OPEN_INT","."&amp;P$2&amp;P$1&amp;"P"&amp;$A7)*RTD("tos.rtd",,"LAST","."&amp;P$2&amp;P$1&amp;"P"&amp;$A7))/1000000),0),IF($A$2="PREMIUM",IFERROR(IF($X$1="ABS",(100*RTD("tos.rtd",,"VOLUME","."&amp;P$2&amp;P$1&amp;"C"&amp;$A7)*RTD("tos.rtd",,"LAST","."&amp;P$2&amp;P$1&amp;"C"&amp;$A7)+100*RTD("tos.rtd",,"VOLUME","."&amp;P$2&amp;P$1&amp;"P"&amp;$A7)*RTD("tos.rtd",,"LAST","."&amp;P$2&amp;P$1&amp;"P"&amp;$A7))/1000000,(100*RTD("tos.rtd",,"VOLUME","."&amp;P$2&amp;P$1&amp;"C"&amp;$A7)*RTD("tos.rtd",,"LAST","."&amp;P$2&amp;P$1&amp;"C"&amp;$A7)-100*RTD("tos.rtd",,"VOLUME","."&amp;P$2&amp;P$1&amp;"P"&amp;$A7)*RTD("tos.rtd",,"LAST","."&amp;P$2&amp;P$1&amp;"P"&amp;$A7))/1000000),0),IF($A$2="DEX",IFERROR(IF($X$1="ABS",(100*RTD("tos.rtd",,"OPEN_INT","."&amp;P$2&amp;P$1&amp;"C"&amp;$A7)*RTD("tos.rtd",,"DELTA","."&amp;P$2&amp;P$1&amp;"C"&amp;$A7)+100*RTD("tos.rtd",,"OPEN_INT","."&amp;P$2&amp;P$1&amp;"P"&amp;$A7)*RTD("tos.rtd",,"DELTA","."&amp;P$2&amp;P$1&amp;"P"&amp;$A7))/1000,(100*RTD("tos.rtd",,"OPEN_INT","."&amp;P$2&amp;P$1&amp;"C"&amp;$A7)*RTD("tos.rtd",,"DELTA","."&amp;P$2&amp;P$1&amp;"C"&amp;$A7)-100*RTD("tos.rtd",,"OPEN_INT","."&amp;P$2&amp;P$1&amp;"P"&amp;$A7)*RTD("tos.rtd",,"DELTA","."&amp;P$2&amp;P$1&amp;"P"&amp;$A7))/1000),0),IF($A$2="VEX",IFERROR(IF($X$1="ABS",($A$4*$A$4*RTD("tos.rtd",,"VOLUME","."&amp;P$2&amp;P$1&amp;"C"&amp;$A7)*RTD("tos.rtd",,"GAMMA","."&amp;P$2&amp;P$1&amp;"C"&amp;$A7)+$A$4*$A$4*RTD("tos.rtd",,"VOLUME","."&amp;P$2&amp;P$1&amp;"P"&amp;$A7)*RTD("tos.rtd",,"GAMMA","."&amp;P$2&amp;P$1&amp;"P"&amp;$A7))/1000000,($A$4*$A$4*RTD("tos.rtd",,"VOLUME","."&amp;P$2&amp;P$1&amp;"C"&amp;$A7)*RTD("tos.rtd",,"GAMMA","."&amp;P$2&amp;P$1&amp;"C"&amp;$A7)-$A$4*$A$4*RTD("tos.rtd",,"VOLUME","."&amp;P$2&amp;P$1&amp;"P"&amp;$A7)*RTD("tos.rtd",,"GAMMA","."&amp;P$2&amp;P$1&amp;"P"&amp;$A7))/1000000),0),IF($A$2="GEX",IFERROR(IF($X$1="ABS",($A$4*$A$4*RTD("tos.rtd",,"OPEN_INT","."&amp;P$2&amp;P$1&amp;"C"&amp;$A7)*RTD("tos.rtd",,"GAMMA","."&amp;P$2&amp;P$1&amp;"C"&amp;$A7)+$A$4*$A$4*RTD("tos.rtd",,"OPEN_INT","."&amp;P$2&amp;P$1&amp;"P"&amp;$A7)*RTD("tos.rtd",,"GAMMA","."&amp;P$2&amp;P$1&amp;"P"&amp;$A7))/1000000,($A$4*$A$4*RTD("tos.rtd",,"OPEN_INT","."&amp;P$2&amp;P$1&amp;"C"&amp;$A7)*RTD("tos.rtd",,"GAMMA","."&amp;P$2&amp;P$1&amp;"C"&amp;$A7)-$A$4*$A$4*RTD("tos.rtd",,"OPEN_INT","."&amp;P$2&amp;P$1&amp;"P"&amp;$A7)*RTD("tos.rtd",,"GAMMA","."&amp;P$2&amp;P$1&amp;"P"&amp;$A7))/1000000),0),IF($A$2="SKEW",IFERROR(VALUE(IF(RTD("tos.rtd",,"IMPL_VOL","."&amp;P$2&amp;P$1&amp;"P"&amp;$A7)="N/A",0,RTD("tos.rtd",,"IMPL_VOL","."&amp;P$2&amp;P$1&amp;"P"&amp;$A7))),0)-IFERROR(VALUE(IF(RTD("tos.rtd",,"IMPL_VOL","."&amp;P$2&amp;P$1&amp;"C"&amp;$A7)="N/A",0,RTD("tos.rtd",,"IMPL_VOL","."&amp;P$2&amp;P$1&amp;"C"&amp;$A7))),0),IF($A$2="MAXPAIN",IF($A$4&gt;$A7,($A$4-$A7)*IF(RTD("tos.rtd",,"OPEN_INT","."&amp;P$2&amp;P$1&amp;"C"&amp;$A7)="N/A",0,RTD("tos.rtd",,"OPEN_INT","."&amp;P$2&amp;P$1&amp;"C"&amp;$A7)),0)+IF($A$4&lt;$A7,($A$5-$A$4)*IF(RTD("tos.rtd",,"OPEN_INT","."&amp;P$2&amp;P$1&amp;"P"&amp;$A7)="N/A",0,RTD("tos.rtd",,"OPEN_INT","."&amp;P$2&amp;P$1&amp;"P"&amp;$A7)),0),IF($X$1="ABS",IF(RTD("tos.rtd",,$A$2,"."&amp;P$2&amp;P$1&amp;"C"&amp;$A7)="N/A",0,RTD("tos.rtd",,$A$2,"."&amp;P$2&amp;P$1&amp;"C"&amp;$A7))+IF(RTD("tos.rtd",,$A$2,"."&amp;P$2&amp;P$1&amp;"P"&amp;$A7)="N/A",0,RTD("tos.rtd",,$A$2,"."&amp;P$2&amp;P$1&amp;"P"&amp;$A7)),IF(RTD("tos.rtd",,$A$2,"."&amp;P$2&amp;P$1&amp;"C"&amp;$A7)="N/A",0,RTD("tos.rtd",,$A$2,"."&amp;P$2&amp;P$1&amp;"C"&amp;$A7))-IF(RTD("tos.rtd",,$A$2,"."&amp;P$2&amp;P$1&amp;"P"&amp;$A7)="N/A",0,RTD("tos.rtd",,$A$2,"."&amp;P$2&amp;P$1&amp;"P"&amp;$A7))))))))))</f>
        <v>0</v>
      </c>
      <c r="Q7" s="12">
        <f ca="1">IF($A$2="PREMIUM_OI",IFERROR(IF($X$1="ABS",(100*RTD("tos.rtd",,"OPEN_INT","."&amp;Q$2&amp;Q$1&amp;"C"&amp;$A7)*RTD("tos.rtd",,"LAST","."&amp;Q$2&amp;Q$1&amp;"C"&amp;$A7)+100*RTD("tos.rtd",,"OPEN_INT","."&amp;Q$2&amp;Q$1&amp;"P"&amp;$A7)*RTD("tos.rtd",,"LAST","."&amp;Q$2&amp;Q$1&amp;"P"&amp;$A7))/1000000,(100*RTD("tos.rtd",,"OPEN_INT","."&amp;Q$2&amp;Q$1&amp;"C"&amp;$A7)*RTD("tos.rtd",,"LAST","."&amp;Q$2&amp;Q$1&amp;"C"&amp;$A7)-100*RTD("tos.rtd",,"OPEN_INT","."&amp;Q$2&amp;Q$1&amp;"P"&amp;$A7)*RTD("tos.rtd",,"LAST","."&amp;Q$2&amp;Q$1&amp;"P"&amp;$A7))/1000000),0),IF($A$2="PREMIUM",IFERROR(IF($X$1="ABS",(100*RTD("tos.rtd",,"VOLUME","."&amp;Q$2&amp;Q$1&amp;"C"&amp;$A7)*RTD("tos.rtd",,"LAST","."&amp;Q$2&amp;Q$1&amp;"C"&amp;$A7)+100*RTD("tos.rtd",,"VOLUME","."&amp;Q$2&amp;Q$1&amp;"P"&amp;$A7)*RTD("tos.rtd",,"LAST","."&amp;Q$2&amp;Q$1&amp;"P"&amp;$A7))/1000000,(100*RTD("tos.rtd",,"VOLUME","."&amp;Q$2&amp;Q$1&amp;"C"&amp;$A7)*RTD("tos.rtd",,"LAST","."&amp;Q$2&amp;Q$1&amp;"C"&amp;$A7)-100*RTD("tos.rtd",,"VOLUME","."&amp;Q$2&amp;Q$1&amp;"P"&amp;$A7)*RTD("tos.rtd",,"LAST","."&amp;Q$2&amp;Q$1&amp;"P"&amp;$A7))/1000000),0),IF($A$2="DEX",IFERROR(IF($X$1="ABS",(100*RTD("tos.rtd",,"OPEN_INT","."&amp;Q$2&amp;Q$1&amp;"C"&amp;$A7)*RTD("tos.rtd",,"DELTA","."&amp;Q$2&amp;Q$1&amp;"C"&amp;$A7)+100*RTD("tos.rtd",,"OPEN_INT","."&amp;Q$2&amp;Q$1&amp;"P"&amp;$A7)*RTD("tos.rtd",,"DELTA","."&amp;Q$2&amp;Q$1&amp;"P"&amp;$A7))/1000,(100*RTD("tos.rtd",,"OPEN_INT","."&amp;Q$2&amp;Q$1&amp;"C"&amp;$A7)*RTD("tos.rtd",,"DELTA","."&amp;Q$2&amp;Q$1&amp;"C"&amp;$A7)-100*RTD("tos.rtd",,"OPEN_INT","."&amp;Q$2&amp;Q$1&amp;"P"&amp;$A7)*RTD("tos.rtd",,"DELTA","."&amp;Q$2&amp;Q$1&amp;"P"&amp;$A7))/1000),0),IF($A$2="VEX",IFERROR(IF($X$1="ABS",($A$4*$A$4*RTD("tos.rtd",,"VOLUME","."&amp;Q$2&amp;Q$1&amp;"C"&amp;$A7)*RTD("tos.rtd",,"GAMMA","."&amp;Q$2&amp;Q$1&amp;"C"&amp;$A7)+$A$4*$A$4*RTD("tos.rtd",,"VOLUME","."&amp;Q$2&amp;Q$1&amp;"P"&amp;$A7)*RTD("tos.rtd",,"GAMMA","."&amp;Q$2&amp;Q$1&amp;"P"&amp;$A7))/1000000,($A$4*$A$4*RTD("tos.rtd",,"VOLUME","."&amp;Q$2&amp;Q$1&amp;"C"&amp;$A7)*RTD("tos.rtd",,"GAMMA","."&amp;Q$2&amp;Q$1&amp;"C"&amp;$A7)-$A$4*$A$4*RTD("tos.rtd",,"VOLUME","."&amp;Q$2&amp;Q$1&amp;"P"&amp;$A7)*RTD("tos.rtd",,"GAMMA","."&amp;Q$2&amp;Q$1&amp;"P"&amp;$A7))/1000000),0),IF($A$2="GEX",IFERROR(IF($X$1="ABS",($A$4*$A$4*RTD("tos.rtd",,"OPEN_INT","."&amp;Q$2&amp;Q$1&amp;"C"&amp;$A7)*RTD("tos.rtd",,"GAMMA","."&amp;Q$2&amp;Q$1&amp;"C"&amp;$A7)+$A$4*$A$4*RTD("tos.rtd",,"OPEN_INT","."&amp;Q$2&amp;Q$1&amp;"P"&amp;$A7)*RTD("tos.rtd",,"GAMMA","."&amp;Q$2&amp;Q$1&amp;"P"&amp;$A7))/1000000,($A$4*$A$4*RTD("tos.rtd",,"OPEN_INT","."&amp;Q$2&amp;Q$1&amp;"C"&amp;$A7)*RTD("tos.rtd",,"GAMMA","."&amp;Q$2&amp;Q$1&amp;"C"&amp;$A7)-$A$4*$A$4*RTD("tos.rtd",,"OPEN_INT","."&amp;Q$2&amp;Q$1&amp;"P"&amp;$A7)*RTD("tos.rtd",,"GAMMA","."&amp;Q$2&amp;Q$1&amp;"P"&amp;$A7))/1000000),0),IF($A$2="SKEW",IFERROR(VALUE(IF(RTD("tos.rtd",,"IMPL_VOL","."&amp;Q$2&amp;Q$1&amp;"P"&amp;$A7)="N/A",0,RTD("tos.rtd",,"IMPL_VOL","."&amp;Q$2&amp;Q$1&amp;"P"&amp;$A7))),0)-IFERROR(VALUE(IF(RTD("tos.rtd",,"IMPL_VOL","."&amp;Q$2&amp;Q$1&amp;"C"&amp;$A7)="N/A",0,RTD("tos.rtd",,"IMPL_VOL","."&amp;Q$2&amp;Q$1&amp;"C"&amp;$A7))),0),IF($A$2="MAXPAIN",IF($A$4&gt;$A7,($A$4-$A7)*IF(RTD("tos.rtd",,"OPEN_INT","."&amp;Q$2&amp;Q$1&amp;"C"&amp;$A7)="N/A",0,RTD("tos.rtd",,"OPEN_INT","."&amp;Q$2&amp;Q$1&amp;"C"&amp;$A7)),0)+IF($A$4&lt;$A7,($A$5-$A$4)*IF(RTD("tos.rtd",,"OPEN_INT","."&amp;Q$2&amp;Q$1&amp;"P"&amp;$A7)="N/A",0,RTD("tos.rtd",,"OPEN_INT","."&amp;Q$2&amp;Q$1&amp;"P"&amp;$A7)),0),IF($X$1="ABS",IF(RTD("tos.rtd",,$A$2,"."&amp;Q$2&amp;Q$1&amp;"C"&amp;$A7)="N/A",0,RTD("tos.rtd",,$A$2,"."&amp;Q$2&amp;Q$1&amp;"C"&amp;$A7))+IF(RTD("tos.rtd",,$A$2,"."&amp;Q$2&amp;Q$1&amp;"P"&amp;$A7)="N/A",0,RTD("tos.rtd",,$A$2,"."&amp;Q$2&amp;Q$1&amp;"P"&amp;$A7)),IF(RTD("tos.rtd",,$A$2,"."&amp;Q$2&amp;Q$1&amp;"C"&amp;$A7)="N/A",0,RTD("tos.rtd",,$A$2,"."&amp;Q$2&amp;Q$1&amp;"C"&amp;$A7))-IF(RTD("tos.rtd",,$A$2,"."&amp;Q$2&amp;Q$1&amp;"P"&amp;$A7)="N/A",0,RTD("tos.rtd",,$A$2,"."&amp;Q$2&amp;Q$1&amp;"P"&amp;$A7))))))))))</f>
        <v>0</v>
      </c>
      <c r="R7" s="12">
        <f ca="1">IF($A$2="PREMIUM_OI",IFERROR(IF($X$1="ABS",(100*RTD("tos.rtd",,"OPEN_INT","."&amp;R$2&amp;R$1&amp;"C"&amp;$A7)*RTD("tos.rtd",,"LAST","."&amp;R$2&amp;R$1&amp;"C"&amp;$A7)+100*RTD("tos.rtd",,"OPEN_INT","."&amp;R$2&amp;R$1&amp;"P"&amp;$A7)*RTD("tos.rtd",,"LAST","."&amp;R$2&amp;R$1&amp;"P"&amp;$A7))/1000000,(100*RTD("tos.rtd",,"OPEN_INT","."&amp;R$2&amp;R$1&amp;"C"&amp;$A7)*RTD("tos.rtd",,"LAST","."&amp;R$2&amp;R$1&amp;"C"&amp;$A7)-100*RTD("tos.rtd",,"OPEN_INT","."&amp;R$2&amp;R$1&amp;"P"&amp;$A7)*RTD("tos.rtd",,"LAST","."&amp;R$2&amp;R$1&amp;"P"&amp;$A7))/1000000),0),IF($A$2="PREMIUM",IFERROR(IF($X$1="ABS",(100*RTD("tos.rtd",,"VOLUME","."&amp;R$2&amp;R$1&amp;"C"&amp;$A7)*RTD("tos.rtd",,"LAST","."&amp;R$2&amp;R$1&amp;"C"&amp;$A7)+100*RTD("tos.rtd",,"VOLUME","."&amp;R$2&amp;R$1&amp;"P"&amp;$A7)*RTD("tos.rtd",,"LAST","."&amp;R$2&amp;R$1&amp;"P"&amp;$A7))/1000000,(100*RTD("tos.rtd",,"VOLUME","."&amp;R$2&amp;R$1&amp;"C"&amp;$A7)*RTD("tos.rtd",,"LAST","."&amp;R$2&amp;R$1&amp;"C"&amp;$A7)-100*RTD("tos.rtd",,"VOLUME","."&amp;R$2&amp;R$1&amp;"P"&amp;$A7)*RTD("tos.rtd",,"LAST","."&amp;R$2&amp;R$1&amp;"P"&amp;$A7))/1000000),0),IF($A$2="DEX",IFERROR(IF($X$1="ABS",(100*RTD("tos.rtd",,"OPEN_INT","."&amp;R$2&amp;R$1&amp;"C"&amp;$A7)*RTD("tos.rtd",,"DELTA","."&amp;R$2&amp;R$1&amp;"C"&amp;$A7)+100*RTD("tos.rtd",,"OPEN_INT","."&amp;R$2&amp;R$1&amp;"P"&amp;$A7)*RTD("tos.rtd",,"DELTA","."&amp;R$2&amp;R$1&amp;"P"&amp;$A7))/1000,(100*RTD("tos.rtd",,"OPEN_INT","."&amp;R$2&amp;R$1&amp;"C"&amp;$A7)*RTD("tos.rtd",,"DELTA","."&amp;R$2&amp;R$1&amp;"C"&amp;$A7)-100*RTD("tos.rtd",,"OPEN_INT","."&amp;R$2&amp;R$1&amp;"P"&amp;$A7)*RTD("tos.rtd",,"DELTA","."&amp;R$2&amp;R$1&amp;"P"&amp;$A7))/1000),0),IF($A$2="VEX",IFERROR(IF($X$1="ABS",($A$4*$A$4*RTD("tos.rtd",,"VOLUME","."&amp;R$2&amp;R$1&amp;"C"&amp;$A7)*RTD("tos.rtd",,"GAMMA","."&amp;R$2&amp;R$1&amp;"C"&amp;$A7)+$A$4*$A$4*RTD("tos.rtd",,"VOLUME","."&amp;R$2&amp;R$1&amp;"P"&amp;$A7)*RTD("tos.rtd",,"GAMMA","."&amp;R$2&amp;R$1&amp;"P"&amp;$A7))/1000000,($A$4*$A$4*RTD("tos.rtd",,"VOLUME","."&amp;R$2&amp;R$1&amp;"C"&amp;$A7)*RTD("tos.rtd",,"GAMMA","."&amp;R$2&amp;R$1&amp;"C"&amp;$A7)-$A$4*$A$4*RTD("tos.rtd",,"VOLUME","."&amp;R$2&amp;R$1&amp;"P"&amp;$A7)*RTD("tos.rtd",,"GAMMA","."&amp;R$2&amp;R$1&amp;"P"&amp;$A7))/1000000),0),IF($A$2="GEX",IFERROR(IF($X$1="ABS",($A$4*$A$4*RTD("tos.rtd",,"OPEN_INT","."&amp;R$2&amp;R$1&amp;"C"&amp;$A7)*RTD("tos.rtd",,"GAMMA","."&amp;R$2&amp;R$1&amp;"C"&amp;$A7)+$A$4*$A$4*RTD("tos.rtd",,"OPEN_INT","."&amp;R$2&amp;R$1&amp;"P"&amp;$A7)*RTD("tos.rtd",,"GAMMA","."&amp;R$2&amp;R$1&amp;"P"&amp;$A7))/1000000,($A$4*$A$4*RTD("tos.rtd",,"OPEN_INT","."&amp;R$2&amp;R$1&amp;"C"&amp;$A7)*RTD("tos.rtd",,"GAMMA","."&amp;R$2&amp;R$1&amp;"C"&amp;$A7)-$A$4*$A$4*RTD("tos.rtd",,"OPEN_INT","."&amp;R$2&amp;R$1&amp;"P"&amp;$A7)*RTD("tos.rtd",,"GAMMA","."&amp;R$2&amp;R$1&amp;"P"&amp;$A7))/1000000),0),IF($A$2="SKEW",IFERROR(VALUE(IF(RTD("tos.rtd",,"IMPL_VOL","."&amp;R$2&amp;R$1&amp;"P"&amp;$A7)="N/A",0,RTD("tos.rtd",,"IMPL_VOL","."&amp;R$2&amp;R$1&amp;"P"&amp;$A7))),0)-IFERROR(VALUE(IF(RTD("tos.rtd",,"IMPL_VOL","."&amp;R$2&amp;R$1&amp;"C"&amp;$A7)="N/A",0,RTD("tos.rtd",,"IMPL_VOL","."&amp;R$2&amp;R$1&amp;"C"&amp;$A7))),0),IF($A$2="MAXPAIN",IF($A$4&gt;$A7,($A$4-$A7)*IF(RTD("tos.rtd",,"OPEN_INT","."&amp;R$2&amp;R$1&amp;"C"&amp;$A7)="N/A",0,RTD("tos.rtd",,"OPEN_INT","."&amp;R$2&amp;R$1&amp;"C"&amp;$A7)),0)+IF($A$4&lt;$A7,($A$5-$A$4)*IF(RTD("tos.rtd",,"OPEN_INT","."&amp;R$2&amp;R$1&amp;"P"&amp;$A7)="N/A",0,RTD("tos.rtd",,"OPEN_INT","."&amp;R$2&amp;R$1&amp;"P"&amp;$A7)),0),IF($X$1="ABS",IF(RTD("tos.rtd",,$A$2,"."&amp;R$2&amp;R$1&amp;"C"&amp;$A7)="N/A",0,RTD("tos.rtd",,$A$2,"."&amp;R$2&amp;R$1&amp;"C"&amp;$A7))+IF(RTD("tos.rtd",,$A$2,"."&amp;R$2&amp;R$1&amp;"P"&amp;$A7)="N/A",0,RTD("tos.rtd",,$A$2,"."&amp;R$2&amp;R$1&amp;"P"&amp;$A7)),IF(RTD("tos.rtd",,$A$2,"."&amp;R$2&amp;R$1&amp;"C"&amp;$A7)="N/A",0,RTD("tos.rtd",,$A$2,"."&amp;R$2&amp;R$1&amp;"C"&amp;$A7))-IF(RTD("tos.rtd",,$A$2,"."&amp;R$2&amp;R$1&amp;"P"&amp;$A7)="N/A",0,RTD("tos.rtd",,$A$2,"."&amp;R$2&amp;R$1&amp;"P"&amp;$A7))))))))))</f>
        <v>0</v>
      </c>
      <c r="S7" s="12">
        <f ca="1">IF($A$2="PREMIUM_OI",IFERROR(IF($X$1="ABS",(100*RTD("tos.rtd",,"OPEN_INT","."&amp;S$2&amp;S$1&amp;"C"&amp;$A7)*RTD("tos.rtd",,"LAST","."&amp;S$2&amp;S$1&amp;"C"&amp;$A7)+100*RTD("tos.rtd",,"OPEN_INT","."&amp;S$2&amp;S$1&amp;"P"&amp;$A7)*RTD("tos.rtd",,"LAST","."&amp;S$2&amp;S$1&amp;"P"&amp;$A7))/1000000,(100*RTD("tos.rtd",,"OPEN_INT","."&amp;S$2&amp;S$1&amp;"C"&amp;$A7)*RTD("tos.rtd",,"LAST","."&amp;S$2&amp;S$1&amp;"C"&amp;$A7)-100*RTD("tos.rtd",,"OPEN_INT","."&amp;S$2&amp;S$1&amp;"P"&amp;$A7)*RTD("tos.rtd",,"LAST","."&amp;S$2&amp;S$1&amp;"P"&amp;$A7))/1000000),0),IF($A$2="PREMIUM",IFERROR(IF($X$1="ABS",(100*RTD("tos.rtd",,"VOLUME","."&amp;S$2&amp;S$1&amp;"C"&amp;$A7)*RTD("tos.rtd",,"LAST","."&amp;S$2&amp;S$1&amp;"C"&amp;$A7)+100*RTD("tos.rtd",,"VOLUME","."&amp;S$2&amp;S$1&amp;"P"&amp;$A7)*RTD("tos.rtd",,"LAST","."&amp;S$2&amp;S$1&amp;"P"&amp;$A7))/1000000,(100*RTD("tos.rtd",,"VOLUME","."&amp;S$2&amp;S$1&amp;"C"&amp;$A7)*RTD("tos.rtd",,"LAST","."&amp;S$2&amp;S$1&amp;"C"&amp;$A7)-100*RTD("tos.rtd",,"VOLUME","."&amp;S$2&amp;S$1&amp;"P"&amp;$A7)*RTD("tos.rtd",,"LAST","."&amp;S$2&amp;S$1&amp;"P"&amp;$A7))/1000000),0),IF($A$2="DEX",IFERROR(IF($X$1="ABS",(100*RTD("tos.rtd",,"OPEN_INT","."&amp;S$2&amp;S$1&amp;"C"&amp;$A7)*RTD("tos.rtd",,"DELTA","."&amp;S$2&amp;S$1&amp;"C"&amp;$A7)+100*RTD("tos.rtd",,"OPEN_INT","."&amp;S$2&amp;S$1&amp;"P"&amp;$A7)*RTD("tos.rtd",,"DELTA","."&amp;S$2&amp;S$1&amp;"P"&amp;$A7))/1000,(100*RTD("tos.rtd",,"OPEN_INT","."&amp;S$2&amp;S$1&amp;"C"&amp;$A7)*RTD("tos.rtd",,"DELTA","."&amp;S$2&amp;S$1&amp;"C"&amp;$A7)-100*RTD("tos.rtd",,"OPEN_INT","."&amp;S$2&amp;S$1&amp;"P"&amp;$A7)*RTD("tos.rtd",,"DELTA","."&amp;S$2&amp;S$1&amp;"P"&amp;$A7))/1000),0),IF($A$2="VEX",IFERROR(IF($X$1="ABS",($A$4*$A$4*RTD("tos.rtd",,"VOLUME","."&amp;S$2&amp;S$1&amp;"C"&amp;$A7)*RTD("tos.rtd",,"GAMMA","."&amp;S$2&amp;S$1&amp;"C"&amp;$A7)+$A$4*$A$4*RTD("tos.rtd",,"VOLUME","."&amp;S$2&amp;S$1&amp;"P"&amp;$A7)*RTD("tos.rtd",,"GAMMA","."&amp;S$2&amp;S$1&amp;"P"&amp;$A7))/1000000,($A$4*$A$4*RTD("tos.rtd",,"VOLUME","."&amp;S$2&amp;S$1&amp;"C"&amp;$A7)*RTD("tos.rtd",,"GAMMA","."&amp;S$2&amp;S$1&amp;"C"&amp;$A7)-$A$4*$A$4*RTD("tos.rtd",,"VOLUME","."&amp;S$2&amp;S$1&amp;"P"&amp;$A7)*RTD("tos.rtd",,"GAMMA","."&amp;S$2&amp;S$1&amp;"P"&amp;$A7))/1000000),0),IF($A$2="GEX",IFERROR(IF($X$1="ABS",($A$4*$A$4*RTD("tos.rtd",,"OPEN_INT","."&amp;S$2&amp;S$1&amp;"C"&amp;$A7)*RTD("tos.rtd",,"GAMMA","."&amp;S$2&amp;S$1&amp;"C"&amp;$A7)+$A$4*$A$4*RTD("tos.rtd",,"OPEN_INT","."&amp;S$2&amp;S$1&amp;"P"&amp;$A7)*RTD("tos.rtd",,"GAMMA","."&amp;S$2&amp;S$1&amp;"P"&amp;$A7))/1000000,($A$4*$A$4*RTD("tos.rtd",,"OPEN_INT","."&amp;S$2&amp;S$1&amp;"C"&amp;$A7)*RTD("tos.rtd",,"GAMMA","."&amp;S$2&amp;S$1&amp;"C"&amp;$A7)-$A$4*$A$4*RTD("tos.rtd",,"OPEN_INT","."&amp;S$2&amp;S$1&amp;"P"&amp;$A7)*RTD("tos.rtd",,"GAMMA","."&amp;S$2&amp;S$1&amp;"P"&amp;$A7))/1000000),0),IF($A$2="SKEW",IFERROR(VALUE(IF(RTD("tos.rtd",,"IMPL_VOL","."&amp;S$2&amp;S$1&amp;"P"&amp;$A7)="N/A",0,RTD("tos.rtd",,"IMPL_VOL","."&amp;S$2&amp;S$1&amp;"P"&amp;$A7))),0)-IFERROR(VALUE(IF(RTD("tos.rtd",,"IMPL_VOL","."&amp;S$2&amp;S$1&amp;"C"&amp;$A7)="N/A",0,RTD("tos.rtd",,"IMPL_VOL","."&amp;S$2&amp;S$1&amp;"C"&amp;$A7))),0),IF($A$2="MAXPAIN",IF($A$4&gt;$A7,($A$4-$A7)*IF(RTD("tos.rtd",,"OPEN_INT","."&amp;S$2&amp;S$1&amp;"C"&amp;$A7)="N/A",0,RTD("tos.rtd",,"OPEN_INT","."&amp;S$2&amp;S$1&amp;"C"&amp;$A7)),0)+IF($A$4&lt;$A7,($A$5-$A$4)*IF(RTD("tos.rtd",,"OPEN_INT","."&amp;S$2&amp;S$1&amp;"P"&amp;$A7)="N/A",0,RTD("tos.rtd",,"OPEN_INT","."&amp;S$2&amp;S$1&amp;"P"&amp;$A7)),0),IF($X$1="ABS",IF(RTD("tos.rtd",,$A$2,"."&amp;S$2&amp;S$1&amp;"C"&amp;$A7)="N/A",0,RTD("tos.rtd",,$A$2,"."&amp;S$2&amp;S$1&amp;"C"&amp;$A7))+IF(RTD("tos.rtd",,$A$2,"."&amp;S$2&amp;S$1&amp;"P"&amp;$A7)="N/A",0,RTD("tos.rtd",,$A$2,"."&amp;S$2&amp;S$1&amp;"P"&amp;$A7)),IF(RTD("tos.rtd",,$A$2,"."&amp;S$2&amp;S$1&amp;"C"&amp;$A7)="N/A",0,RTD("tos.rtd",,$A$2,"."&amp;S$2&amp;S$1&amp;"C"&amp;$A7))-IF(RTD("tos.rtd",,$A$2,"."&amp;S$2&amp;S$1&amp;"P"&amp;$A7)="N/A",0,RTD("tos.rtd",,$A$2,"."&amp;S$2&amp;S$1&amp;"P"&amp;$A7))))))))))</f>
        <v>0</v>
      </c>
      <c r="T7" s="12">
        <f ca="1">IF($A$2="PREMIUM_OI",IFERROR(IF($X$1="ABS",(100*RTD("tos.rtd",,"OPEN_INT","."&amp;T$2&amp;T$1&amp;"C"&amp;$A7)*RTD("tos.rtd",,"LAST","."&amp;T$2&amp;T$1&amp;"C"&amp;$A7)+100*RTD("tos.rtd",,"OPEN_INT","."&amp;T$2&amp;T$1&amp;"P"&amp;$A7)*RTD("tos.rtd",,"LAST","."&amp;T$2&amp;T$1&amp;"P"&amp;$A7))/1000000,(100*RTD("tos.rtd",,"OPEN_INT","."&amp;T$2&amp;T$1&amp;"C"&amp;$A7)*RTD("tos.rtd",,"LAST","."&amp;T$2&amp;T$1&amp;"C"&amp;$A7)-100*RTD("tos.rtd",,"OPEN_INT","."&amp;T$2&amp;T$1&amp;"P"&amp;$A7)*RTD("tos.rtd",,"LAST","."&amp;T$2&amp;T$1&amp;"P"&amp;$A7))/1000000),0),IF($A$2="PREMIUM",IFERROR(IF($X$1="ABS",(100*RTD("tos.rtd",,"VOLUME","."&amp;T$2&amp;T$1&amp;"C"&amp;$A7)*RTD("tos.rtd",,"LAST","."&amp;T$2&amp;T$1&amp;"C"&amp;$A7)+100*RTD("tos.rtd",,"VOLUME","."&amp;T$2&amp;T$1&amp;"P"&amp;$A7)*RTD("tos.rtd",,"LAST","."&amp;T$2&amp;T$1&amp;"P"&amp;$A7))/1000000,(100*RTD("tos.rtd",,"VOLUME","."&amp;T$2&amp;T$1&amp;"C"&amp;$A7)*RTD("tos.rtd",,"LAST","."&amp;T$2&amp;T$1&amp;"C"&amp;$A7)-100*RTD("tos.rtd",,"VOLUME","."&amp;T$2&amp;T$1&amp;"P"&amp;$A7)*RTD("tos.rtd",,"LAST","."&amp;T$2&amp;T$1&amp;"P"&amp;$A7))/1000000),0),IF($A$2="DEX",IFERROR(IF($X$1="ABS",(100*RTD("tos.rtd",,"OPEN_INT","."&amp;T$2&amp;T$1&amp;"C"&amp;$A7)*RTD("tos.rtd",,"DELTA","."&amp;T$2&amp;T$1&amp;"C"&amp;$A7)+100*RTD("tos.rtd",,"OPEN_INT","."&amp;T$2&amp;T$1&amp;"P"&amp;$A7)*RTD("tos.rtd",,"DELTA","."&amp;T$2&amp;T$1&amp;"P"&amp;$A7))/1000,(100*RTD("tos.rtd",,"OPEN_INT","."&amp;T$2&amp;T$1&amp;"C"&amp;$A7)*RTD("tos.rtd",,"DELTA","."&amp;T$2&amp;T$1&amp;"C"&amp;$A7)-100*RTD("tos.rtd",,"OPEN_INT","."&amp;T$2&amp;T$1&amp;"P"&amp;$A7)*RTD("tos.rtd",,"DELTA","."&amp;T$2&amp;T$1&amp;"P"&amp;$A7))/1000),0),IF($A$2="VEX",IFERROR(IF($X$1="ABS",($A$4*$A$4*RTD("tos.rtd",,"VOLUME","."&amp;T$2&amp;T$1&amp;"C"&amp;$A7)*RTD("tos.rtd",,"GAMMA","."&amp;T$2&amp;T$1&amp;"C"&amp;$A7)+$A$4*$A$4*RTD("tos.rtd",,"VOLUME","."&amp;T$2&amp;T$1&amp;"P"&amp;$A7)*RTD("tos.rtd",,"GAMMA","."&amp;T$2&amp;T$1&amp;"P"&amp;$A7))/1000000,($A$4*$A$4*RTD("tos.rtd",,"VOLUME","."&amp;T$2&amp;T$1&amp;"C"&amp;$A7)*RTD("tos.rtd",,"GAMMA","."&amp;T$2&amp;T$1&amp;"C"&amp;$A7)-$A$4*$A$4*RTD("tos.rtd",,"VOLUME","."&amp;T$2&amp;T$1&amp;"P"&amp;$A7)*RTD("tos.rtd",,"GAMMA","."&amp;T$2&amp;T$1&amp;"P"&amp;$A7))/1000000),0),IF($A$2="GEX",IFERROR(IF($X$1="ABS",($A$4*$A$4*RTD("tos.rtd",,"OPEN_INT","."&amp;T$2&amp;T$1&amp;"C"&amp;$A7)*RTD("tos.rtd",,"GAMMA","."&amp;T$2&amp;T$1&amp;"C"&amp;$A7)+$A$4*$A$4*RTD("tos.rtd",,"OPEN_INT","."&amp;T$2&amp;T$1&amp;"P"&amp;$A7)*RTD("tos.rtd",,"GAMMA","."&amp;T$2&amp;T$1&amp;"P"&amp;$A7))/1000000,($A$4*$A$4*RTD("tos.rtd",,"OPEN_INT","."&amp;T$2&amp;T$1&amp;"C"&amp;$A7)*RTD("tos.rtd",,"GAMMA","."&amp;T$2&amp;T$1&amp;"C"&amp;$A7)-$A$4*$A$4*RTD("tos.rtd",,"OPEN_INT","."&amp;T$2&amp;T$1&amp;"P"&amp;$A7)*RTD("tos.rtd",,"GAMMA","."&amp;T$2&amp;T$1&amp;"P"&amp;$A7))/1000000),0),IF($A$2="SKEW",IFERROR(VALUE(IF(RTD("tos.rtd",,"IMPL_VOL","."&amp;T$2&amp;T$1&amp;"P"&amp;$A7)="N/A",0,RTD("tos.rtd",,"IMPL_VOL","."&amp;T$2&amp;T$1&amp;"P"&amp;$A7))),0)-IFERROR(VALUE(IF(RTD("tos.rtd",,"IMPL_VOL","."&amp;T$2&amp;T$1&amp;"C"&amp;$A7)="N/A",0,RTD("tos.rtd",,"IMPL_VOL","."&amp;T$2&amp;T$1&amp;"C"&amp;$A7))),0),IF($A$2="MAXPAIN",IF($A$4&gt;$A7,($A$4-$A7)*IF(RTD("tos.rtd",,"OPEN_INT","."&amp;T$2&amp;T$1&amp;"C"&amp;$A7)="N/A",0,RTD("tos.rtd",,"OPEN_INT","."&amp;T$2&amp;T$1&amp;"C"&amp;$A7)),0)+IF($A$4&lt;$A7,($A$5-$A$4)*IF(RTD("tos.rtd",,"OPEN_INT","."&amp;T$2&amp;T$1&amp;"P"&amp;$A7)="N/A",0,RTD("tos.rtd",,"OPEN_INT","."&amp;T$2&amp;T$1&amp;"P"&amp;$A7)),0),IF($X$1="ABS",IF(RTD("tos.rtd",,$A$2,"."&amp;T$2&amp;T$1&amp;"C"&amp;$A7)="N/A",0,RTD("tos.rtd",,$A$2,"."&amp;T$2&amp;T$1&amp;"C"&amp;$A7))+IF(RTD("tos.rtd",,$A$2,"."&amp;T$2&amp;T$1&amp;"P"&amp;$A7)="N/A",0,RTD("tos.rtd",,$A$2,"."&amp;T$2&amp;T$1&amp;"P"&amp;$A7)),IF(RTD("tos.rtd",,$A$2,"."&amp;T$2&amp;T$1&amp;"C"&amp;$A7)="N/A",0,RTD("tos.rtd",,$A$2,"."&amp;T$2&amp;T$1&amp;"C"&amp;$A7))-IF(RTD("tos.rtd",,$A$2,"."&amp;T$2&amp;T$1&amp;"P"&amp;$A7)="N/A",0,RTD("tos.rtd",,$A$2,"."&amp;T$2&amp;T$1&amp;"P"&amp;$A7))))))))))</f>
        <v>0</v>
      </c>
      <c r="U7" s="12">
        <f ca="1">IF($A$2="PREMIUM_OI",IFERROR(IF($X$1="ABS",(100*RTD("tos.rtd",,"OPEN_INT","."&amp;U$2&amp;U$1&amp;"C"&amp;$A7)*RTD("tos.rtd",,"LAST","."&amp;U$2&amp;U$1&amp;"C"&amp;$A7)+100*RTD("tos.rtd",,"OPEN_INT","."&amp;U$2&amp;U$1&amp;"P"&amp;$A7)*RTD("tos.rtd",,"LAST","."&amp;U$2&amp;U$1&amp;"P"&amp;$A7))/1000000,(100*RTD("tos.rtd",,"OPEN_INT","."&amp;U$2&amp;U$1&amp;"C"&amp;$A7)*RTD("tos.rtd",,"LAST","."&amp;U$2&amp;U$1&amp;"C"&amp;$A7)-100*RTD("tos.rtd",,"OPEN_INT","."&amp;U$2&amp;U$1&amp;"P"&amp;$A7)*RTD("tos.rtd",,"LAST","."&amp;U$2&amp;U$1&amp;"P"&amp;$A7))/1000000),0),IF($A$2="PREMIUM",IFERROR(IF($X$1="ABS",(100*RTD("tos.rtd",,"VOLUME","."&amp;U$2&amp;U$1&amp;"C"&amp;$A7)*RTD("tos.rtd",,"LAST","."&amp;U$2&amp;U$1&amp;"C"&amp;$A7)+100*RTD("tos.rtd",,"VOLUME","."&amp;U$2&amp;U$1&amp;"P"&amp;$A7)*RTD("tos.rtd",,"LAST","."&amp;U$2&amp;U$1&amp;"P"&amp;$A7))/1000000,(100*RTD("tos.rtd",,"VOLUME","."&amp;U$2&amp;U$1&amp;"C"&amp;$A7)*RTD("tos.rtd",,"LAST","."&amp;U$2&amp;U$1&amp;"C"&amp;$A7)-100*RTD("tos.rtd",,"VOLUME","."&amp;U$2&amp;U$1&amp;"P"&amp;$A7)*RTD("tos.rtd",,"LAST","."&amp;U$2&amp;U$1&amp;"P"&amp;$A7))/1000000),0),IF($A$2="DEX",IFERROR(IF($X$1="ABS",(100*RTD("tos.rtd",,"OPEN_INT","."&amp;U$2&amp;U$1&amp;"C"&amp;$A7)*RTD("tos.rtd",,"DELTA","."&amp;U$2&amp;U$1&amp;"C"&amp;$A7)+100*RTD("tos.rtd",,"OPEN_INT","."&amp;U$2&amp;U$1&amp;"P"&amp;$A7)*RTD("tos.rtd",,"DELTA","."&amp;U$2&amp;U$1&amp;"P"&amp;$A7))/1000,(100*RTD("tos.rtd",,"OPEN_INT","."&amp;U$2&amp;U$1&amp;"C"&amp;$A7)*RTD("tos.rtd",,"DELTA","."&amp;U$2&amp;U$1&amp;"C"&amp;$A7)-100*RTD("tos.rtd",,"OPEN_INT","."&amp;U$2&amp;U$1&amp;"P"&amp;$A7)*RTD("tos.rtd",,"DELTA","."&amp;U$2&amp;U$1&amp;"P"&amp;$A7))/1000),0),IF($A$2="VEX",IFERROR(IF($X$1="ABS",($A$4*$A$4*RTD("tos.rtd",,"VOLUME","."&amp;U$2&amp;U$1&amp;"C"&amp;$A7)*RTD("tos.rtd",,"GAMMA","."&amp;U$2&amp;U$1&amp;"C"&amp;$A7)+$A$4*$A$4*RTD("tos.rtd",,"VOLUME","."&amp;U$2&amp;U$1&amp;"P"&amp;$A7)*RTD("tos.rtd",,"GAMMA","."&amp;U$2&amp;U$1&amp;"P"&amp;$A7))/1000000,($A$4*$A$4*RTD("tos.rtd",,"VOLUME","."&amp;U$2&amp;U$1&amp;"C"&amp;$A7)*RTD("tos.rtd",,"GAMMA","."&amp;U$2&amp;U$1&amp;"C"&amp;$A7)-$A$4*$A$4*RTD("tos.rtd",,"VOLUME","."&amp;U$2&amp;U$1&amp;"P"&amp;$A7)*RTD("tos.rtd",,"GAMMA","."&amp;U$2&amp;U$1&amp;"P"&amp;$A7))/1000000),0),IF($A$2="GEX",IFERROR(IF($X$1="ABS",($A$4*$A$4*RTD("tos.rtd",,"OPEN_INT","."&amp;U$2&amp;U$1&amp;"C"&amp;$A7)*RTD("tos.rtd",,"GAMMA","."&amp;U$2&amp;U$1&amp;"C"&amp;$A7)+$A$4*$A$4*RTD("tos.rtd",,"OPEN_INT","."&amp;U$2&amp;U$1&amp;"P"&amp;$A7)*RTD("tos.rtd",,"GAMMA","."&amp;U$2&amp;U$1&amp;"P"&amp;$A7))/1000000,($A$4*$A$4*RTD("tos.rtd",,"OPEN_INT","."&amp;U$2&amp;U$1&amp;"C"&amp;$A7)*RTD("tos.rtd",,"GAMMA","."&amp;U$2&amp;U$1&amp;"C"&amp;$A7)-$A$4*$A$4*RTD("tos.rtd",,"OPEN_INT","."&amp;U$2&amp;U$1&amp;"P"&amp;$A7)*RTD("tos.rtd",,"GAMMA","."&amp;U$2&amp;U$1&amp;"P"&amp;$A7))/1000000),0),IF($A$2="SKEW",IFERROR(VALUE(IF(RTD("tos.rtd",,"IMPL_VOL","."&amp;U$2&amp;U$1&amp;"P"&amp;$A7)="N/A",0,RTD("tos.rtd",,"IMPL_VOL","."&amp;U$2&amp;U$1&amp;"P"&amp;$A7))),0)-IFERROR(VALUE(IF(RTD("tos.rtd",,"IMPL_VOL","."&amp;U$2&amp;U$1&amp;"C"&amp;$A7)="N/A",0,RTD("tos.rtd",,"IMPL_VOL","."&amp;U$2&amp;U$1&amp;"C"&amp;$A7))),0),IF($A$2="MAXPAIN",IF($A$4&gt;$A7,($A$4-$A7)*IF(RTD("tos.rtd",,"OPEN_INT","."&amp;U$2&amp;U$1&amp;"C"&amp;$A7)="N/A",0,RTD("tos.rtd",,"OPEN_INT","."&amp;U$2&amp;U$1&amp;"C"&amp;$A7)),0)+IF($A$4&lt;$A7,($A$5-$A$4)*IF(RTD("tos.rtd",,"OPEN_INT","."&amp;U$2&amp;U$1&amp;"P"&amp;$A7)="N/A",0,RTD("tos.rtd",,"OPEN_INT","."&amp;U$2&amp;U$1&amp;"P"&amp;$A7)),0),IF($X$1="ABS",IF(RTD("tos.rtd",,$A$2,"."&amp;U$2&amp;U$1&amp;"C"&amp;$A7)="N/A",0,RTD("tos.rtd",,$A$2,"."&amp;U$2&amp;U$1&amp;"C"&amp;$A7))+IF(RTD("tos.rtd",,$A$2,"."&amp;U$2&amp;U$1&amp;"P"&amp;$A7)="N/A",0,RTD("tos.rtd",,$A$2,"."&amp;U$2&amp;U$1&amp;"P"&amp;$A7)),IF(RTD("tos.rtd",,$A$2,"."&amp;U$2&amp;U$1&amp;"C"&amp;$A7)="N/A",0,RTD("tos.rtd",,$A$2,"."&amp;U$2&amp;U$1&amp;"C"&amp;$A7))-IF(RTD("tos.rtd",,$A$2,"."&amp;U$2&amp;U$1&amp;"P"&amp;$A7)="N/A",0,RTD("tos.rtd",,$A$2,"."&amp;U$2&amp;U$1&amp;"P"&amp;$A7))))))))))</f>
        <v>0</v>
      </c>
      <c r="V7" s="12">
        <f ca="1">IF($A$2="PREMIUM_OI",IFERROR(IF($X$1="ABS",(100*RTD("tos.rtd",,"OPEN_INT","."&amp;V$2&amp;V$1&amp;"C"&amp;$A7)*RTD("tos.rtd",,"LAST","."&amp;V$2&amp;V$1&amp;"C"&amp;$A7)+100*RTD("tos.rtd",,"OPEN_INT","."&amp;V$2&amp;V$1&amp;"P"&amp;$A7)*RTD("tos.rtd",,"LAST","."&amp;V$2&amp;V$1&amp;"P"&amp;$A7))/1000000,(100*RTD("tos.rtd",,"OPEN_INT","."&amp;V$2&amp;V$1&amp;"C"&amp;$A7)*RTD("tos.rtd",,"LAST","."&amp;V$2&amp;V$1&amp;"C"&amp;$A7)-100*RTD("tos.rtd",,"OPEN_INT","."&amp;V$2&amp;V$1&amp;"P"&amp;$A7)*RTD("tos.rtd",,"LAST","."&amp;V$2&amp;V$1&amp;"P"&amp;$A7))/1000000),0),IF($A$2="PREMIUM",IFERROR(IF($X$1="ABS",(100*RTD("tos.rtd",,"VOLUME","."&amp;V$2&amp;V$1&amp;"C"&amp;$A7)*RTD("tos.rtd",,"LAST","."&amp;V$2&amp;V$1&amp;"C"&amp;$A7)+100*RTD("tos.rtd",,"VOLUME","."&amp;V$2&amp;V$1&amp;"P"&amp;$A7)*RTD("tos.rtd",,"LAST","."&amp;V$2&amp;V$1&amp;"P"&amp;$A7))/1000000,(100*RTD("tos.rtd",,"VOLUME","."&amp;V$2&amp;V$1&amp;"C"&amp;$A7)*RTD("tos.rtd",,"LAST","."&amp;V$2&amp;V$1&amp;"C"&amp;$A7)-100*RTD("tos.rtd",,"VOLUME","."&amp;V$2&amp;V$1&amp;"P"&amp;$A7)*RTD("tos.rtd",,"LAST","."&amp;V$2&amp;V$1&amp;"P"&amp;$A7))/1000000),0),IF($A$2="DEX",IFERROR(IF($X$1="ABS",(100*RTD("tos.rtd",,"OPEN_INT","."&amp;V$2&amp;V$1&amp;"C"&amp;$A7)*RTD("tos.rtd",,"DELTA","."&amp;V$2&amp;V$1&amp;"C"&amp;$A7)+100*RTD("tos.rtd",,"OPEN_INT","."&amp;V$2&amp;V$1&amp;"P"&amp;$A7)*RTD("tos.rtd",,"DELTA","."&amp;V$2&amp;V$1&amp;"P"&amp;$A7))/1000,(100*RTD("tos.rtd",,"OPEN_INT","."&amp;V$2&amp;V$1&amp;"C"&amp;$A7)*RTD("tos.rtd",,"DELTA","."&amp;V$2&amp;V$1&amp;"C"&amp;$A7)-100*RTD("tos.rtd",,"OPEN_INT","."&amp;V$2&amp;V$1&amp;"P"&amp;$A7)*RTD("tos.rtd",,"DELTA","."&amp;V$2&amp;V$1&amp;"P"&amp;$A7))/1000),0),IF($A$2="VEX",IFERROR(IF($X$1="ABS",($A$4*$A$4*RTD("tos.rtd",,"VOLUME","."&amp;V$2&amp;V$1&amp;"C"&amp;$A7)*RTD("tos.rtd",,"GAMMA","."&amp;V$2&amp;V$1&amp;"C"&amp;$A7)+$A$4*$A$4*RTD("tos.rtd",,"VOLUME","."&amp;V$2&amp;V$1&amp;"P"&amp;$A7)*RTD("tos.rtd",,"GAMMA","."&amp;V$2&amp;V$1&amp;"P"&amp;$A7))/1000000,($A$4*$A$4*RTD("tos.rtd",,"VOLUME","."&amp;V$2&amp;V$1&amp;"C"&amp;$A7)*RTD("tos.rtd",,"GAMMA","."&amp;V$2&amp;V$1&amp;"C"&amp;$A7)-$A$4*$A$4*RTD("tos.rtd",,"VOLUME","."&amp;V$2&amp;V$1&amp;"P"&amp;$A7)*RTD("tos.rtd",,"GAMMA","."&amp;V$2&amp;V$1&amp;"P"&amp;$A7))/1000000),0),IF($A$2="GEX",IFERROR(IF($X$1="ABS",($A$4*$A$4*RTD("tos.rtd",,"OPEN_INT","."&amp;V$2&amp;V$1&amp;"C"&amp;$A7)*RTD("tos.rtd",,"GAMMA","."&amp;V$2&amp;V$1&amp;"C"&amp;$A7)+$A$4*$A$4*RTD("tos.rtd",,"OPEN_INT","."&amp;V$2&amp;V$1&amp;"P"&amp;$A7)*RTD("tos.rtd",,"GAMMA","."&amp;V$2&amp;V$1&amp;"P"&amp;$A7))/1000000,($A$4*$A$4*RTD("tos.rtd",,"OPEN_INT","."&amp;V$2&amp;V$1&amp;"C"&amp;$A7)*RTD("tos.rtd",,"GAMMA","."&amp;V$2&amp;V$1&amp;"C"&amp;$A7)-$A$4*$A$4*RTD("tos.rtd",,"OPEN_INT","."&amp;V$2&amp;V$1&amp;"P"&amp;$A7)*RTD("tos.rtd",,"GAMMA","."&amp;V$2&amp;V$1&amp;"P"&amp;$A7))/1000000),0),IF($A$2="SKEW",IFERROR(VALUE(IF(RTD("tos.rtd",,"IMPL_VOL","."&amp;V$2&amp;V$1&amp;"P"&amp;$A7)="N/A",0,RTD("tos.rtd",,"IMPL_VOL","."&amp;V$2&amp;V$1&amp;"P"&amp;$A7))),0)-IFERROR(VALUE(IF(RTD("tos.rtd",,"IMPL_VOL","."&amp;V$2&amp;V$1&amp;"C"&amp;$A7)="N/A",0,RTD("tos.rtd",,"IMPL_VOL","."&amp;V$2&amp;V$1&amp;"C"&amp;$A7))),0),IF($A$2="MAXPAIN",IF($A$4&gt;$A7,($A$4-$A7)*IF(RTD("tos.rtd",,"OPEN_INT","."&amp;V$2&amp;V$1&amp;"C"&amp;$A7)="N/A",0,RTD("tos.rtd",,"OPEN_INT","."&amp;V$2&amp;V$1&amp;"C"&amp;$A7)),0)+IF($A$4&lt;$A7,($A$5-$A$4)*IF(RTD("tos.rtd",,"OPEN_INT","."&amp;V$2&amp;V$1&amp;"P"&amp;$A7)="N/A",0,RTD("tos.rtd",,"OPEN_INT","."&amp;V$2&amp;V$1&amp;"P"&amp;$A7)),0),IF($X$1="ABS",IF(RTD("tos.rtd",,$A$2,"."&amp;V$2&amp;V$1&amp;"C"&amp;$A7)="N/A",0,RTD("tos.rtd",,$A$2,"."&amp;V$2&amp;V$1&amp;"C"&amp;$A7))+IF(RTD("tos.rtd",,$A$2,"."&amp;V$2&amp;V$1&amp;"P"&amp;$A7)="N/A",0,RTD("tos.rtd",,$A$2,"."&amp;V$2&amp;V$1&amp;"P"&amp;$A7)),IF(RTD("tos.rtd",,$A$2,"."&amp;V$2&amp;V$1&amp;"C"&amp;$A7)="N/A",0,RTD("tos.rtd",,$A$2,"."&amp;V$2&amp;V$1&amp;"C"&amp;$A7))-IF(RTD("tos.rtd",,$A$2,"."&amp;V$2&amp;V$1&amp;"P"&amp;$A7)="N/A",0,RTD("tos.rtd",,$A$2,"."&amp;V$2&amp;V$1&amp;"P"&amp;$A7))))))))))</f>
        <v>0</v>
      </c>
      <c r="W7" s="54">
        <f ca="1">IF($A$2="PREMIUM_OI",IFERROR(IF($X$1="ABS",(100*RTD("tos.rtd",,"OPEN_INT","."&amp;W$2&amp;W$1&amp;"C"&amp;$A7)*RTD("tos.rtd",,"LAST","."&amp;W$2&amp;W$1&amp;"C"&amp;$A7)+100*RTD("tos.rtd",,"OPEN_INT","."&amp;W$2&amp;W$1&amp;"P"&amp;$A7)*RTD("tos.rtd",,"LAST","."&amp;W$2&amp;W$1&amp;"P"&amp;$A7))/1000000,(100*RTD("tos.rtd",,"OPEN_INT","."&amp;W$2&amp;W$1&amp;"C"&amp;$A7)*RTD("tos.rtd",,"LAST","."&amp;W$2&amp;W$1&amp;"C"&amp;$A7)-100*RTD("tos.rtd",,"OPEN_INT","."&amp;W$2&amp;W$1&amp;"P"&amp;$A7)*RTD("tos.rtd",,"LAST","."&amp;W$2&amp;W$1&amp;"P"&amp;$A7))/1000000),0),IF($A$2="PREMIUM",IFERROR(IF($X$1="ABS",(100*RTD("tos.rtd",,"VOLUME","."&amp;W$2&amp;W$1&amp;"C"&amp;$A7)*RTD("tos.rtd",,"LAST","."&amp;W$2&amp;W$1&amp;"C"&amp;$A7)+100*RTD("tos.rtd",,"VOLUME","."&amp;W$2&amp;W$1&amp;"P"&amp;$A7)*RTD("tos.rtd",,"LAST","."&amp;W$2&amp;W$1&amp;"P"&amp;$A7))/1000000,(100*RTD("tos.rtd",,"VOLUME","."&amp;W$2&amp;W$1&amp;"C"&amp;$A7)*RTD("tos.rtd",,"LAST","."&amp;W$2&amp;W$1&amp;"C"&amp;$A7)-100*RTD("tos.rtd",,"VOLUME","."&amp;W$2&amp;W$1&amp;"P"&amp;$A7)*RTD("tos.rtd",,"LAST","."&amp;W$2&amp;W$1&amp;"P"&amp;$A7))/1000000),0),IF($A$2="DEX",IFERROR(IF($X$1="ABS",(100*RTD("tos.rtd",,"OPEN_INT","."&amp;W$2&amp;W$1&amp;"C"&amp;$A7)*RTD("tos.rtd",,"DELTA","."&amp;W$2&amp;W$1&amp;"C"&amp;$A7)+100*RTD("tos.rtd",,"OPEN_INT","."&amp;W$2&amp;W$1&amp;"P"&amp;$A7)*RTD("tos.rtd",,"DELTA","."&amp;W$2&amp;W$1&amp;"P"&amp;$A7))/1000,(100*RTD("tos.rtd",,"OPEN_INT","."&amp;W$2&amp;W$1&amp;"C"&amp;$A7)*RTD("tos.rtd",,"DELTA","."&amp;W$2&amp;W$1&amp;"C"&amp;$A7)-100*RTD("tos.rtd",,"OPEN_INT","."&amp;W$2&amp;W$1&amp;"P"&amp;$A7)*RTD("tos.rtd",,"DELTA","."&amp;W$2&amp;W$1&amp;"P"&amp;$A7))/1000),0),IF($A$2="VEX",IFERROR(IF($X$1="ABS",($A$4*$A$4*RTD("tos.rtd",,"VOLUME","."&amp;W$2&amp;W$1&amp;"C"&amp;$A7)*RTD("tos.rtd",,"GAMMA","."&amp;W$2&amp;W$1&amp;"C"&amp;$A7)+$A$4*$A$4*RTD("tos.rtd",,"VOLUME","."&amp;W$2&amp;W$1&amp;"P"&amp;$A7)*RTD("tos.rtd",,"GAMMA","."&amp;W$2&amp;W$1&amp;"P"&amp;$A7))/1000000,($A$4*$A$4*RTD("tos.rtd",,"VOLUME","."&amp;W$2&amp;W$1&amp;"C"&amp;$A7)*RTD("tos.rtd",,"GAMMA","."&amp;W$2&amp;W$1&amp;"C"&amp;$A7)-$A$4*$A$4*RTD("tos.rtd",,"VOLUME","."&amp;W$2&amp;W$1&amp;"P"&amp;$A7)*RTD("tos.rtd",,"GAMMA","."&amp;W$2&amp;W$1&amp;"P"&amp;$A7))/1000000),0),IF($A$2="GEX",IFERROR(IF($X$1="ABS",($A$4*$A$4*RTD("tos.rtd",,"OPEN_INT","."&amp;W$2&amp;W$1&amp;"C"&amp;$A7)*RTD("tos.rtd",,"GAMMA","."&amp;W$2&amp;W$1&amp;"C"&amp;$A7)+$A$4*$A$4*RTD("tos.rtd",,"OPEN_INT","."&amp;W$2&amp;W$1&amp;"P"&amp;$A7)*RTD("tos.rtd",,"GAMMA","."&amp;W$2&amp;W$1&amp;"P"&amp;$A7))/1000000,($A$4*$A$4*RTD("tos.rtd",,"OPEN_INT","."&amp;W$2&amp;W$1&amp;"C"&amp;$A7)*RTD("tos.rtd",,"GAMMA","."&amp;W$2&amp;W$1&amp;"C"&amp;$A7)-$A$4*$A$4*RTD("tos.rtd",,"OPEN_INT","."&amp;W$2&amp;W$1&amp;"P"&amp;$A7)*RTD("tos.rtd",,"GAMMA","."&amp;W$2&amp;W$1&amp;"P"&amp;$A7))/1000000),0),IF($A$2="SKEW",IFERROR(VALUE(IF(RTD("tos.rtd",,"IMPL_VOL","."&amp;W$2&amp;W$1&amp;"P"&amp;$A7)="N/A",0,RTD("tos.rtd",,"IMPL_VOL","."&amp;W$2&amp;W$1&amp;"P"&amp;$A7))),0)-IFERROR(VALUE(IF(RTD("tos.rtd",,"IMPL_VOL","."&amp;W$2&amp;W$1&amp;"C"&amp;$A7)="N/A",0,RTD("tos.rtd",,"IMPL_VOL","."&amp;W$2&amp;W$1&amp;"C"&amp;$A7))),0),IF($A$2="MAXPAIN",IF($A$4&gt;$A7,($A$4-$A7)*IF(RTD("tos.rtd",,"OPEN_INT","."&amp;W$2&amp;W$1&amp;"C"&amp;$A7)="N/A",0,RTD("tos.rtd",,"OPEN_INT","."&amp;W$2&amp;W$1&amp;"C"&amp;$A7)),0)+IF($A$4&lt;$A7,($A$5-$A$4)*IF(RTD("tos.rtd",,"OPEN_INT","."&amp;W$2&amp;W$1&amp;"P"&amp;$A7)="N/A",0,RTD("tos.rtd",,"OPEN_INT","."&amp;W$2&amp;W$1&amp;"P"&amp;$A7)),0),IF($X$1="ABS",IF(RTD("tos.rtd",,$A$2,"."&amp;W$2&amp;W$1&amp;"C"&amp;$A7)="N/A",0,RTD("tos.rtd",,$A$2,"."&amp;W$2&amp;W$1&amp;"C"&amp;$A7))+IF(RTD("tos.rtd",,$A$2,"."&amp;W$2&amp;W$1&amp;"P"&amp;$A7)="N/A",0,RTD("tos.rtd",,$A$2,"."&amp;W$2&amp;W$1&amp;"P"&amp;$A7)),IF(RTD("tos.rtd",,$A$2,"."&amp;W$2&amp;W$1&amp;"C"&amp;$A7)="N/A",0,RTD("tos.rtd",,$A$2,"."&amp;W$2&amp;W$1&amp;"C"&amp;$A7))-IF(RTD("tos.rtd",,$A$2,"."&amp;W$2&amp;W$1&amp;"P"&amp;$A7)="N/A",0,RTD("tos.rtd",,$A$2,"."&amp;W$2&amp;W$1&amp;"P"&amp;$A7))))))))))</f>
        <v>0</v>
      </c>
      <c r="X7" s="57">
        <f t="shared" ca="1" si="8"/>
        <v>0</v>
      </c>
      <c r="Y7" s="27">
        <f t="shared" ca="1" si="9"/>
        <v>0</v>
      </c>
      <c r="Z7" s="27">
        <f ca="1">+'OI-VOL'!Y7</f>
        <v>0</v>
      </c>
      <c r="AA7" s="27" t="b">
        <f t="shared" ca="1" si="10"/>
        <v>0</v>
      </c>
      <c r="AB7" s="27">
        <f t="shared" si="11"/>
        <v>240342100</v>
      </c>
      <c r="AC7" s="18">
        <f>MAX(0, $A7-AC$4)*IF(RTD("tos.rtd",,"OPEN_INT","."&amp;$AB$3&amp;$AB$4&amp;"C"&amp;AC$4)="N/A",0,RTD("tos.rtd",,"OPEN_INT","."&amp;$AB$3&amp;$AB$4&amp;"C"&amp;AC$4))*100 + MAX(0, AC$4-$A7)*IF(RTD("tos.rtd",,"OPEN_INT","."&amp;$AB$3&amp;$AB$4&amp;"P"&amp;AC$4)="N/A",0,RTD("tos.rtd",,"OPEN_INT","."&amp;$AB$3&amp;$AB$4&amp;"P"&amp;AC$4))*100</f>
        <v>0</v>
      </c>
      <c r="AD7" s="18">
        <f>MAX(0, $A7-AD$4)*IF(RTD("tos.rtd",,"OPEN_INT","."&amp;$AB$3&amp;$AB$4&amp;"C"&amp;AD$4)="N/A",0,RTD("tos.rtd",,"OPEN_INT","."&amp;$AB$3&amp;$AB$4&amp;"C"&amp;AD$4))*100 + MAX(0, AD$4-$A7)*IF(RTD("tos.rtd",,"OPEN_INT","."&amp;$AB$3&amp;$AB$4&amp;"P"&amp;AD$4)="N/A",0,RTD("tos.rtd",,"OPEN_INT","."&amp;$AB$3&amp;$AB$4&amp;"P"&amp;AD$4))*100</f>
        <v>0</v>
      </c>
      <c r="AE7" s="18">
        <f>MAX(0, $A7-AE$4)*IF(RTD("tos.rtd",,"OPEN_INT","."&amp;$AB$3&amp;$AB$4&amp;"C"&amp;AE$4)="N/A",0,RTD("tos.rtd",,"OPEN_INT","."&amp;$AB$3&amp;$AB$4&amp;"C"&amp;AE$4))*100 + MAX(0, AE$4-$A7)*IF(RTD("tos.rtd",,"OPEN_INT","."&amp;$AB$3&amp;$AB$4&amp;"P"&amp;AE$4)="N/A",0,RTD("tos.rtd",,"OPEN_INT","."&amp;$AB$3&amp;$AB$4&amp;"P"&amp;AE$4))*100</f>
        <v>0</v>
      </c>
      <c r="AF7" s="18">
        <f>MAX(0, $A7-AF$4)*IF(RTD("tos.rtd",,"OPEN_INT","."&amp;$AB$3&amp;$AB$4&amp;"C"&amp;AF$4)="N/A",0,RTD("tos.rtd",,"OPEN_INT","."&amp;$AB$3&amp;$AB$4&amp;"C"&amp;AF$4))*100 + MAX(0, AF$4-$A7)*IF(RTD("tos.rtd",,"OPEN_INT","."&amp;$AB$3&amp;$AB$4&amp;"P"&amp;AF$4)="N/A",0,RTD("tos.rtd",,"OPEN_INT","."&amp;$AB$3&amp;$AB$4&amp;"P"&amp;AF$4))*100</f>
        <v>0</v>
      </c>
      <c r="AG7" s="18">
        <f>MAX(0, $A7-AG$4)*IF(RTD("tos.rtd",,"OPEN_INT","."&amp;$AB$3&amp;$AB$4&amp;"C"&amp;AG$4)="N/A",0,RTD("tos.rtd",,"OPEN_INT","."&amp;$AB$3&amp;$AB$4&amp;"C"&amp;AG$4))*100 + MAX(0, AG$4-$A7)*IF(RTD("tos.rtd",,"OPEN_INT","."&amp;$AB$3&amp;$AB$4&amp;"P"&amp;AG$4)="N/A",0,RTD("tos.rtd",,"OPEN_INT","."&amp;$AB$3&amp;$AB$4&amp;"P"&amp;AG$4))*100</f>
        <v>0</v>
      </c>
      <c r="AH7" s="18">
        <f>MAX(0, $A7-AH$4)*IF(RTD("tos.rtd",,"OPEN_INT","."&amp;$AB$3&amp;$AB$4&amp;"C"&amp;AH$4)="N/A",0,RTD("tos.rtd",,"OPEN_INT","."&amp;$AB$3&amp;$AB$4&amp;"C"&amp;AH$4))*100 + MAX(0, AH$4-$A7)*IF(RTD("tos.rtd",,"OPEN_INT","."&amp;$AB$3&amp;$AB$4&amp;"P"&amp;AH$4)="N/A",0,RTD("tos.rtd",,"OPEN_INT","."&amp;$AB$3&amp;$AB$4&amp;"P"&amp;AH$4))*100</f>
        <v>0</v>
      </c>
      <c r="AI7" s="18">
        <f>MAX(0, $A7-AI$4)*IF(RTD("tos.rtd",,"OPEN_INT","."&amp;$AB$3&amp;$AB$4&amp;"C"&amp;AI$4)="N/A",0,RTD("tos.rtd",,"OPEN_INT","."&amp;$AB$3&amp;$AB$4&amp;"C"&amp;AI$4))*100 + MAX(0, AI$4-$A7)*IF(RTD("tos.rtd",,"OPEN_INT","."&amp;$AB$3&amp;$AB$4&amp;"P"&amp;AI$4)="N/A",0,RTD("tos.rtd",,"OPEN_INT","."&amp;$AB$3&amp;$AB$4&amp;"P"&amp;AI$4))*100</f>
        <v>0</v>
      </c>
      <c r="AJ7" s="18">
        <f>MAX(0, $A7-AJ$4)*IF(RTD("tos.rtd",,"OPEN_INT","."&amp;$AB$3&amp;$AB$4&amp;"C"&amp;AJ$4)="N/A",0,RTD("tos.rtd",,"OPEN_INT","."&amp;$AB$3&amp;$AB$4&amp;"C"&amp;AJ$4))*100 + MAX(0, AJ$4-$A7)*IF(RTD("tos.rtd",,"OPEN_INT","."&amp;$AB$3&amp;$AB$4&amp;"P"&amp;AJ$4)="N/A",0,RTD("tos.rtd",,"OPEN_INT","."&amp;$AB$3&amp;$AB$4&amp;"P"&amp;AJ$4))*100</f>
        <v>679000</v>
      </c>
      <c r="AK7" s="18">
        <f>MAX(0, $A7-AK$4)*IF(RTD("tos.rtd",,"OPEN_INT","."&amp;$AB$3&amp;$AB$4&amp;"C"&amp;AK$4)="N/A",0,RTD("tos.rtd",,"OPEN_INT","."&amp;$AB$3&amp;$AB$4&amp;"C"&amp;AK$4))*100 + MAX(0, AK$4-$A7)*IF(RTD("tos.rtd",,"OPEN_INT","."&amp;$AB$3&amp;$AB$4&amp;"P"&amp;AK$4)="N/A",0,RTD("tos.rtd",,"OPEN_INT","."&amp;$AB$3&amp;$AB$4&amp;"P"&amp;AK$4))*100</f>
        <v>80700</v>
      </c>
      <c r="AL7" s="18">
        <f>MAX(0, $A7-AL$4)*IF(RTD("tos.rtd",,"OPEN_INT","."&amp;$AB$3&amp;$AB$4&amp;"C"&amp;AL$4)="N/A",0,RTD("tos.rtd",,"OPEN_INT","."&amp;$AB$3&amp;$AB$4&amp;"C"&amp;AL$4))*100 + MAX(0, AL$4-$A7)*IF(RTD("tos.rtd",,"OPEN_INT","."&amp;$AB$3&amp;$AB$4&amp;"P"&amp;AL$4)="N/A",0,RTD("tos.rtd",,"OPEN_INT","."&amp;$AB$3&amp;$AB$4&amp;"P"&amp;AL$4))*100</f>
        <v>984550</v>
      </c>
      <c r="AM7" s="18">
        <f>MAX(0, $A7-AM$4)*IF(RTD("tos.rtd",,"OPEN_INT","."&amp;$AB$3&amp;$AB$4&amp;"C"&amp;AM$4)="N/A",0,RTD("tos.rtd",,"OPEN_INT","."&amp;$AB$3&amp;$AB$4&amp;"C"&amp;AM$4))*100 + MAX(0, AM$4-$A7)*IF(RTD("tos.rtd",,"OPEN_INT","."&amp;$AB$3&amp;$AB$4&amp;"P"&amp;AM$4)="N/A",0,RTD("tos.rtd",,"OPEN_INT","."&amp;$AB$3&amp;$AB$4&amp;"P"&amp;AM$4))*100</f>
        <v>0</v>
      </c>
      <c r="AN7" s="18">
        <f>MAX(0, $A7-AN$4)*IF(RTD("tos.rtd",,"OPEN_INT","."&amp;$AB$3&amp;$AB$4&amp;"C"&amp;AN$4)="N/A",0,RTD("tos.rtd",,"OPEN_INT","."&amp;$AB$3&amp;$AB$4&amp;"C"&amp;AN$4))*100 + MAX(0, AN$4-$A7)*IF(RTD("tos.rtd",,"OPEN_INT","."&amp;$AB$3&amp;$AB$4&amp;"P"&amp;AN$4)="N/A",0,RTD("tos.rtd",,"OPEN_INT","."&amp;$AB$3&amp;$AB$4&amp;"P"&amp;AN$4))*100</f>
        <v>1064250</v>
      </c>
      <c r="AO7" s="18">
        <f>MAX(0, $A7-AO$4)*IF(RTD("tos.rtd",,"OPEN_INT","."&amp;$AB$3&amp;$AB$4&amp;"C"&amp;AO$4)="N/A",0,RTD("tos.rtd",,"OPEN_INT","."&amp;$AB$3&amp;$AB$4&amp;"C"&amp;AO$4))*100 + MAX(0, AO$4-$A7)*IF(RTD("tos.rtd",,"OPEN_INT","."&amp;$AB$3&amp;$AB$4&amp;"P"&amp;AO$4)="N/A",0,RTD("tos.rtd",,"OPEN_INT","."&amp;$AB$3&amp;$AB$4&amp;"P"&amp;AO$4))*100</f>
        <v>0</v>
      </c>
      <c r="AP7" s="18">
        <f>MAX(0, $A7-AP$4)*IF(RTD("tos.rtd",,"OPEN_INT","."&amp;$AB$3&amp;$AB$4&amp;"C"&amp;AP$4)="N/A",0,RTD("tos.rtd",,"OPEN_INT","."&amp;$AB$3&amp;$AB$4&amp;"C"&amp;AP$4))*100 + MAX(0, AP$4-$A7)*IF(RTD("tos.rtd",,"OPEN_INT","."&amp;$AB$3&amp;$AB$4&amp;"P"&amp;AP$4)="N/A",0,RTD("tos.rtd",,"OPEN_INT","."&amp;$AB$3&amp;$AB$4&amp;"P"&amp;AP$4))*100</f>
        <v>378950</v>
      </c>
      <c r="AQ7" s="18">
        <f>MAX(0, $A7-AQ$4)*IF(RTD("tos.rtd",,"OPEN_INT","."&amp;$AB$3&amp;$AB$4&amp;"C"&amp;AQ$4)="N/A",0,RTD("tos.rtd",,"OPEN_INT","."&amp;$AB$3&amp;$AB$4&amp;"C"&amp;AQ$4))*100 + MAX(0, AQ$4-$A7)*IF(RTD("tos.rtd",,"OPEN_INT","."&amp;$AB$3&amp;$AB$4&amp;"P"&amp;AQ$4)="N/A",0,RTD("tos.rtd",,"OPEN_INT","."&amp;$AB$3&amp;$AB$4&amp;"P"&amp;AQ$4))*100</f>
        <v>0</v>
      </c>
      <c r="AR7" s="18">
        <f>MAX(0, $A7-AR$4)*IF(RTD("tos.rtd",,"OPEN_INT","."&amp;$AB$3&amp;$AB$4&amp;"C"&amp;AR$4)="N/A",0,RTD("tos.rtd",,"OPEN_INT","."&amp;$AB$3&amp;$AB$4&amp;"C"&amp;AR$4))*100 + MAX(0, AR$4-$A7)*IF(RTD("tos.rtd",,"OPEN_INT","."&amp;$AB$3&amp;$AB$4&amp;"P"&amp;AR$4)="N/A",0,RTD("tos.rtd",,"OPEN_INT","."&amp;$AB$3&amp;$AB$4&amp;"P"&amp;AR$4))*100</f>
        <v>416000</v>
      </c>
      <c r="AS7" s="18">
        <f>MAX(0, $A7-AS$4)*IF(RTD("tos.rtd",,"OPEN_INT","."&amp;$AB$3&amp;$AB$4&amp;"C"&amp;AS$4)="N/A",0,RTD("tos.rtd",,"OPEN_INT","."&amp;$AB$3&amp;$AB$4&amp;"C"&amp;AS$4))*100 + MAX(0, AS$4-$A7)*IF(RTD("tos.rtd",,"OPEN_INT","."&amp;$AB$3&amp;$AB$4&amp;"P"&amp;AS$4)="N/A",0,RTD("tos.rtd",,"OPEN_INT","."&amp;$AB$3&amp;$AB$4&amp;"P"&amp;AS$4))*100</f>
        <v>700</v>
      </c>
      <c r="AT7" s="18">
        <f>MAX(0, $A7-AT$4)*IF(RTD("tos.rtd",,"OPEN_INT","."&amp;$AB$3&amp;$AB$4&amp;"C"&amp;AT$4)="N/A",0,RTD("tos.rtd",,"OPEN_INT","."&amp;$AB$3&amp;$AB$4&amp;"C"&amp;AT$4))*100 + MAX(0, AT$4-$A7)*IF(RTD("tos.rtd",,"OPEN_INT","."&amp;$AB$3&amp;$AB$4&amp;"P"&amp;AT$4)="N/A",0,RTD("tos.rtd",,"OPEN_INT","."&amp;$AB$3&amp;$AB$4&amp;"P"&amp;AT$4))*100</f>
        <v>646500</v>
      </c>
      <c r="AU7" s="18">
        <f>MAX(0, $A7-AU$4)*IF(RTD("tos.rtd",,"OPEN_INT","."&amp;$AB$3&amp;$AB$4&amp;"C"&amp;AU$4)="N/A",0,RTD("tos.rtd",,"OPEN_INT","."&amp;$AB$3&amp;$AB$4&amp;"C"&amp;AU$4))*100 + MAX(0, AU$4-$A7)*IF(RTD("tos.rtd",,"OPEN_INT","."&amp;$AB$3&amp;$AB$4&amp;"P"&amp;AU$4)="N/A",0,RTD("tos.rtd",,"OPEN_INT","."&amp;$AB$3&amp;$AB$4&amp;"P"&amp;AU$4))*100</f>
        <v>1121600</v>
      </c>
      <c r="AV7" s="18">
        <f>MAX(0, $A7-AV$4)*IF(RTD("tos.rtd",,"OPEN_INT","."&amp;$AB$3&amp;$AB$4&amp;"C"&amp;AV$4)="N/A",0,RTD("tos.rtd",,"OPEN_INT","."&amp;$AB$3&amp;$AB$4&amp;"C"&amp;AV$4))*100 + MAX(0, AV$4-$A7)*IF(RTD("tos.rtd",,"OPEN_INT","."&amp;$AB$3&amp;$AB$4&amp;"P"&amp;AV$4)="N/A",0,RTD("tos.rtd",,"OPEN_INT","."&amp;$AB$3&amp;$AB$4&amp;"P"&amp;AV$4))*100</f>
        <v>1430550</v>
      </c>
      <c r="AW7" s="18">
        <f>MAX(0, $A7-AW$4)*IF(RTD("tos.rtd",,"OPEN_INT","."&amp;$AB$3&amp;$AB$4&amp;"C"&amp;AW$4)="N/A",0,RTD("tos.rtd",,"OPEN_INT","."&amp;$AB$3&amp;$AB$4&amp;"C"&amp;AW$4))*100 + MAX(0, AW$4-$A7)*IF(RTD("tos.rtd",,"OPEN_INT","."&amp;$AB$3&amp;$AB$4&amp;"P"&amp;AW$4)="N/A",0,RTD("tos.rtd",,"OPEN_INT","."&amp;$AB$3&amp;$AB$4&amp;"P"&amp;AW$4))*100</f>
        <v>1699200</v>
      </c>
      <c r="AX7" s="18">
        <f>MAX(0, $A7-AX$4)*IF(RTD("tos.rtd",,"OPEN_INT","."&amp;$AB$3&amp;$AB$4&amp;"C"&amp;AX$4)="N/A",0,RTD("tos.rtd",,"OPEN_INT","."&amp;$AB$3&amp;$AB$4&amp;"C"&amp;AX$4))*100 + MAX(0, AX$4-$A7)*IF(RTD("tos.rtd",,"OPEN_INT","."&amp;$AB$3&amp;$AB$4&amp;"P"&amp;AX$4)="N/A",0,RTD("tos.rtd",,"OPEN_INT","."&amp;$AB$3&amp;$AB$4&amp;"P"&amp;AX$4))*100</f>
        <v>2921250</v>
      </c>
      <c r="AY7" s="18">
        <f>MAX(0, $A7-AY$4)*IF(RTD("tos.rtd",,"OPEN_INT","."&amp;$AB$3&amp;$AB$4&amp;"C"&amp;AY$4)="N/A",0,RTD("tos.rtd",,"OPEN_INT","."&amp;$AB$3&amp;$AB$4&amp;"C"&amp;AY$4))*100 + MAX(0, AY$4-$A7)*IF(RTD("tos.rtd",,"OPEN_INT","."&amp;$AB$3&amp;$AB$4&amp;"P"&amp;AY$4)="N/A",0,RTD("tos.rtd",,"OPEN_INT","."&amp;$AB$3&amp;$AB$4&amp;"P"&amp;AY$4))*100</f>
        <v>4253000</v>
      </c>
      <c r="AZ7" s="18">
        <f>MAX(0, $A7-AZ$4)*IF(RTD("tos.rtd",,"OPEN_INT","."&amp;$AB$3&amp;$AB$4&amp;"C"&amp;AZ$4)="N/A",0,RTD("tos.rtd",,"OPEN_INT","."&amp;$AB$3&amp;$AB$4&amp;"C"&amp;AZ$4))*100 + MAX(0, AZ$4-$A7)*IF(RTD("tos.rtd",,"OPEN_INT","."&amp;$AB$3&amp;$AB$4&amp;"P"&amp;AZ$4)="N/A",0,RTD("tos.rtd",,"OPEN_INT","."&amp;$AB$3&amp;$AB$4&amp;"P"&amp;AZ$4))*100</f>
        <v>20525400</v>
      </c>
      <c r="BA7" s="18">
        <f>MAX(0, $A7-BA$4)*IF(RTD("tos.rtd",,"OPEN_INT","."&amp;$AB$3&amp;$AB$4&amp;"C"&amp;BA$4)="N/A",0,RTD("tos.rtd",,"OPEN_INT","."&amp;$AB$3&amp;$AB$4&amp;"C"&amp;BA$4))*100 + MAX(0, BA$4-$A7)*IF(RTD("tos.rtd",,"OPEN_INT","."&amp;$AB$3&amp;$AB$4&amp;"P"&amp;BA$4)="N/A",0,RTD("tos.rtd",,"OPEN_INT","."&amp;$AB$3&amp;$AB$4&amp;"P"&amp;BA$4))*100</f>
        <v>10835000</v>
      </c>
      <c r="BB7" s="18">
        <f>MAX(0, $A7-BB$4)*IF(RTD("tos.rtd",,"OPEN_INT","."&amp;$AB$3&amp;$AB$4&amp;"C"&amp;BB$4)="N/A",0,RTD("tos.rtd",,"OPEN_INT","."&amp;$AB$3&amp;$AB$4&amp;"C"&amp;BB$4))*100 + MAX(0, BB$4-$A7)*IF(RTD("tos.rtd",,"OPEN_INT","."&amp;$AB$3&amp;$AB$4&amp;"P"&amp;BB$4)="N/A",0,RTD("tos.rtd",,"OPEN_INT","."&amp;$AB$3&amp;$AB$4&amp;"P"&amp;BB$4))*100</f>
        <v>35428050</v>
      </c>
      <c r="BC7" s="18">
        <f>MAX(0, $A7-BC$4)*IF(RTD("tos.rtd",,"OPEN_INT","."&amp;$AB$3&amp;$AB$4&amp;"C"&amp;BC$4)="N/A",0,RTD("tos.rtd",,"OPEN_INT","."&amp;$AB$3&amp;$AB$4&amp;"C"&amp;BC$4))*100 + MAX(0, BC$4-$A7)*IF(RTD("tos.rtd",,"OPEN_INT","."&amp;$AB$3&amp;$AB$4&amp;"P"&amp;BC$4)="N/A",0,RTD("tos.rtd",,"OPEN_INT","."&amp;$AB$3&amp;$AB$4&amp;"P"&amp;BC$4))*100</f>
        <v>34389600</v>
      </c>
      <c r="BD7" s="18">
        <f>MAX(0, $A7-BD$4)*IF(RTD("tos.rtd",,"OPEN_INT","."&amp;$AB$3&amp;$AB$4&amp;"C"&amp;BD$4)="N/A",0,RTD("tos.rtd",,"OPEN_INT","."&amp;$AB$3&amp;$AB$4&amp;"C"&amp;BD$4))*100 + MAX(0, BD$4-$A7)*IF(RTD("tos.rtd",,"OPEN_INT","."&amp;$AB$3&amp;$AB$4&amp;"P"&amp;BD$4)="N/A",0,RTD("tos.rtd",,"OPEN_INT","."&amp;$AB$3&amp;$AB$4&amp;"P"&amp;BD$4))*100</f>
        <v>50891250</v>
      </c>
      <c r="BE7" s="18">
        <f>MAX(0, $A7-BE$4)*IF(RTD("tos.rtd",,"OPEN_INT","."&amp;$AB$3&amp;$AB$4&amp;"C"&amp;BE$4)="N/A",0,RTD("tos.rtd",,"OPEN_INT","."&amp;$AB$3&amp;$AB$4&amp;"C"&amp;BE$4))*100 + MAX(0, BE$4-$A7)*IF(RTD("tos.rtd",,"OPEN_INT","."&amp;$AB$3&amp;$AB$4&amp;"P"&amp;BE$4)="N/A",0,RTD("tos.rtd",,"OPEN_INT","."&amp;$AB$3&amp;$AB$4&amp;"P"&amp;BE$4))*100</f>
        <v>24128000</v>
      </c>
      <c r="BF7" s="18">
        <f>MAX(0, $A7-BF$4)*IF(RTD("tos.rtd",,"OPEN_INT","."&amp;$AB$3&amp;$AB$4&amp;"C"&amp;BF$4)="N/A",0,RTD("tos.rtd",,"OPEN_INT","."&amp;$AB$3&amp;$AB$4&amp;"C"&amp;BF$4))*100 + MAX(0, BF$4-$A7)*IF(RTD("tos.rtd",,"OPEN_INT","."&amp;$AB$3&amp;$AB$4&amp;"P"&amp;BF$4)="N/A",0,RTD("tos.rtd",,"OPEN_INT","."&amp;$AB$3&amp;$AB$4&amp;"P"&amp;BF$4))*100</f>
        <v>23325300</v>
      </c>
      <c r="BG7" s="18">
        <f>MAX(0, $A7-BG$4)*IF(RTD("tos.rtd",,"OPEN_INT","."&amp;$AB$3&amp;$AB$4&amp;"C"&amp;BG$4)="N/A",0,RTD("tos.rtd",,"OPEN_INT","."&amp;$AB$3&amp;$AB$4&amp;"C"&amp;BG$4))*100 + MAX(0, BG$4-$A7)*IF(RTD("tos.rtd",,"OPEN_INT","."&amp;$AB$3&amp;$AB$4&amp;"P"&amp;BG$4)="N/A",0,RTD("tos.rtd",,"OPEN_INT","."&amp;$AB$3&amp;$AB$4&amp;"P"&amp;BG$4))*100</f>
        <v>11769800</v>
      </c>
      <c r="BH7" s="18">
        <f>MAX(0, $A7-BH$4)*IF(RTD("tos.rtd",,"OPEN_INT","."&amp;$AB$3&amp;$AB$4&amp;"C"&amp;BH$4)="N/A",0,RTD("tos.rtd",,"OPEN_INT","."&amp;$AB$3&amp;$AB$4&amp;"C"&amp;BH$4))*100 + MAX(0, BH$4-$A7)*IF(RTD("tos.rtd",,"OPEN_INT","."&amp;$AB$3&amp;$AB$4&amp;"P"&amp;BH$4)="N/A",0,RTD("tos.rtd",,"OPEN_INT","."&amp;$AB$3&amp;$AB$4&amp;"P"&amp;BH$4))*100</f>
        <v>8314300</v>
      </c>
      <c r="BI7" s="18">
        <f>MAX(0, $A7-BI$4)*IF(RTD("tos.rtd",,"OPEN_INT","."&amp;$AB$3&amp;$AB$4&amp;"C"&amp;BI$4)="N/A",0,RTD("tos.rtd",,"OPEN_INT","."&amp;$AB$3&amp;$AB$4&amp;"C"&amp;BI$4))*100 + MAX(0, BI$4-$A7)*IF(RTD("tos.rtd",,"OPEN_INT","."&amp;$AB$3&amp;$AB$4&amp;"P"&amp;BI$4)="N/A",0,RTD("tos.rtd",,"OPEN_INT","."&amp;$AB$3&amp;$AB$4&amp;"P"&amp;BI$4))*100</f>
        <v>2914500</v>
      </c>
      <c r="BJ7" s="18">
        <f>MAX(0, $A7-BJ$4)*IF(RTD("tos.rtd",,"OPEN_INT","."&amp;$AB$3&amp;$AB$4&amp;"C"&amp;BJ$4)="N/A",0,RTD("tos.rtd",,"OPEN_INT","."&amp;$AB$3&amp;$AB$4&amp;"C"&amp;BJ$4))*100 + MAX(0, BJ$4-$A7)*IF(RTD("tos.rtd",,"OPEN_INT","."&amp;$AB$3&amp;$AB$4&amp;"P"&amp;BJ$4)="N/A",0,RTD("tos.rtd",,"OPEN_INT","."&amp;$AB$3&amp;$AB$4&amp;"P"&amp;BJ$4))*100</f>
        <v>1305100</v>
      </c>
      <c r="BK7" s="18">
        <f>MAX(0, $A7-BK$4)*IF(RTD("tos.rtd",,"OPEN_INT","."&amp;$AB$3&amp;$AB$4&amp;"C"&amp;BK$4)="N/A",0,RTD("tos.rtd",,"OPEN_INT","."&amp;$AB$3&amp;$AB$4&amp;"C"&amp;BK$4))*100 + MAX(0, BK$4-$A7)*IF(RTD("tos.rtd",,"OPEN_INT","."&amp;$AB$3&amp;$AB$4&amp;"P"&amp;BK$4)="N/A",0,RTD("tos.rtd",,"OPEN_INT","."&amp;$AB$3&amp;$AB$4&amp;"P"&amp;BK$4))*100</f>
        <v>241600</v>
      </c>
      <c r="BL7" s="18">
        <f>MAX(0, $A7-BL$4)*IF(RTD("tos.rtd",,"OPEN_INT","."&amp;$AB$3&amp;$AB$4&amp;"C"&amp;BL$4)="N/A",0,RTD("tos.rtd",,"OPEN_INT","."&amp;$AB$3&amp;$AB$4&amp;"C"&amp;BL$4))*100 + MAX(0, BL$4-$A7)*IF(RTD("tos.rtd",,"OPEN_INT","."&amp;$AB$3&amp;$AB$4&amp;"P"&amp;BL$4)="N/A",0,RTD("tos.rtd",,"OPEN_INT","."&amp;$AB$3&amp;$AB$4&amp;"P"&amp;BL$4))*100</f>
        <v>430650</v>
      </c>
      <c r="BM7" s="18">
        <f>MAX(0, $A7-BM$4)*IF(RTD("tos.rtd",,"OPEN_INT","."&amp;$AB$3&amp;$AB$4&amp;"C"&amp;BM$4)="N/A",0,RTD("tos.rtd",,"OPEN_INT","."&amp;$AB$3&amp;$AB$4&amp;"C"&amp;BM$4))*100 + MAX(0, BM$4-$A7)*IF(RTD("tos.rtd",,"OPEN_INT","."&amp;$AB$3&amp;$AB$4&amp;"P"&amp;BM$4)="N/A",0,RTD("tos.rtd",,"OPEN_INT","."&amp;$AB$3&amp;$AB$4&amp;"P"&amp;BM$4))*100</f>
        <v>27200</v>
      </c>
      <c r="BN7" s="18">
        <f>MAX(0, $A7-BN$4)*IF(RTD("tos.rtd",,"OPEN_INT","."&amp;$AB$3&amp;$AB$4&amp;"C"&amp;BN$4)="N/A",0,RTD("tos.rtd",,"OPEN_INT","."&amp;$AB$3&amp;$AB$4&amp;"C"&amp;BN$4))*100 + MAX(0, BN$4-$A7)*IF(RTD("tos.rtd",,"OPEN_INT","."&amp;$AB$3&amp;$AB$4&amp;"P"&amp;BN$4)="N/A",0,RTD("tos.rtd",,"OPEN_INT","."&amp;$AB$3&amp;$AB$4&amp;"P"&amp;BN$4))*100</f>
        <v>14000</v>
      </c>
      <c r="BO7" s="18">
        <f>MAX(0, $A7-BO$4)*IF(RTD("tos.rtd",,"OPEN_INT","."&amp;$AB$3&amp;$AB$4&amp;"C"&amp;BO$4)="N/A",0,RTD("tos.rtd",,"OPEN_INT","."&amp;$AB$3&amp;$AB$4&amp;"C"&amp;BO$4))*100 + MAX(0, BO$4-$A7)*IF(RTD("tos.rtd",,"OPEN_INT","."&amp;$AB$3&amp;$AB$4&amp;"P"&amp;BO$4)="N/A",0,RTD("tos.rtd",,"OPEN_INT","."&amp;$AB$3&amp;$AB$4&amp;"P"&amp;BO$4))*100</f>
        <v>55800</v>
      </c>
      <c r="BP7" s="18">
        <f>MAX(0, $A7-BP$4)*IF(RTD("tos.rtd",,"OPEN_INT","."&amp;$AB$3&amp;$AB$4&amp;"C"&amp;BP$4)="N/A",0,RTD("tos.rtd",,"OPEN_INT","."&amp;$AB$3&amp;$AB$4&amp;"C"&amp;BP$4))*100 + MAX(0, BP$4-$A7)*IF(RTD("tos.rtd",,"OPEN_INT","."&amp;$AB$3&amp;$AB$4&amp;"P"&amp;BP$4)="N/A",0,RTD("tos.rtd",,"OPEN_INT","."&amp;$AB$3&amp;$AB$4&amp;"P"&amp;BP$4))*100</f>
        <v>70300</v>
      </c>
      <c r="BQ7" s="18">
        <f>MAX(0, $A7-BQ$4)*IF(RTD("tos.rtd",,"OPEN_INT","."&amp;$AB$3&amp;$AB$4&amp;"C"&amp;BQ$4)="N/A",0,RTD("tos.rtd",,"OPEN_INT","."&amp;$AB$3&amp;$AB$4&amp;"C"&amp;BQ$4))*100 + MAX(0, BQ$4-$A7)*IF(RTD("tos.rtd",,"OPEN_INT","."&amp;$AB$3&amp;$AB$4&amp;"P"&amp;BQ$4)="N/A",0,RTD("tos.rtd",,"OPEN_INT","."&amp;$AB$3&amp;$AB$4&amp;"P"&amp;BQ$4))*100</f>
        <v>0</v>
      </c>
      <c r="BR7" s="18">
        <f>MAX(0, $A7-BR$4)*IF(RTD("tos.rtd",,"OPEN_INT","."&amp;$AB$3&amp;$AB$4&amp;"C"&amp;BR$4)="N/A",0,RTD("tos.rtd",,"OPEN_INT","."&amp;$AB$3&amp;$AB$4&amp;"C"&amp;BR$4))*100 + MAX(0, BR$4-$A7)*IF(RTD("tos.rtd",,"OPEN_INT","."&amp;$AB$3&amp;$AB$4&amp;"P"&amp;BR$4)="N/A",0,RTD("tos.rtd",,"OPEN_INT","."&amp;$AB$3&amp;$AB$4&amp;"P"&amp;BR$4))*100</f>
        <v>0</v>
      </c>
      <c r="BS7" s="18">
        <f>MAX(0, $A7-BS$4)*IF(RTD("tos.rtd",,"OPEN_INT","."&amp;$AB$3&amp;$AB$4&amp;"C"&amp;BS$4)="N/A",0,RTD("tos.rtd",,"OPEN_INT","."&amp;$AB$3&amp;$AB$4&amp;"C"&amp;BS$4))*100 + MAX(0, BS$4-$A7)*IF(RTD("tos.rtd",,"OPEN_INT","."&amp;$AB$3&amp;$AB$4&amp;"P"&amp;BS$4)="N/A",0,RTD("tos.rtd",,"OPEN_INT","."&amp;$AB$3&amp;$AB$4&amp;"P"&amp;BS$4))*100</f>
        <v>0</v>
      </c>
      <c r="BT7" s="18">
        <f>MAX(0, $A7-BT$4)*IF(RTD("tos.rtd",,"OPEN_INT","."&amp;$AB$3&amp;$AB$4&amp;"C"&amp;BT$4)="N/A",0,RTD("tos.rtd",,"OPEN_INT","."&amp;$AB$3&amp;$AB$4&amp;"C"&amp;BT$4))*100 + MAX(0, BT$4-$A7)*IF(RTD("tos.rtd",,"OPEN_INT","."&amp;$AB$3&amp;$AB$4&amp;"P"&amp;BT$4)="N/A",0,RTD("tos.rtd",,"OPEN_INT","."&amp;$AB$3&amp;$AB$4&amp;"P"&amp;BT$4))*100</f>
        <v>0</v>
      </c>
      <c r="BU7" s="18">
        <f>MAX(0, $A7-BU$4)*IF(RTD("tos.rtd",,"OPEN_INT","."&amp;$AB$3&amp;$AB$4&amp;"C"&amp;BU$4)="N/A",0,RTD("tos.rtd",,"OPEN_INT","."&amp;$AB$3&amp;$AB$4&amp;"C"&amp;BU$4))*100 + MAX(0, BU$4-$A7)*IF(RTD("tos.rtd",,"OPEN_INT","."&amp;$AB$3&amp;$AB$4&amp;"P"&amp;BU$4)="N/A",0,RTD("tos.rtd",,"OPEN_INT","."&amp;$AB$3&amp;$AB$4&amp;"P"&amp;BU$4))*100</f>
        <v>0</v>
      </c>
      <c r="BV7" s="18">
        <f>MAX(0, $A7-BV$4)*IF(RTD("tos.rtd",,"OPEN_INT","."&amp;$AB$3&amp;$AB$4&amp;"C"&amp;BV$4)="N/A",0,RTD("tos.rtd",,"OPEN_INT","."&amp;$AB$3&amp;$AB$4&amp;"C"&amp;BV$4))*100 + MAX(0, BV$4-$A7)*IF(RTD("tos.rtd",,"OPEN_INT","."&amp;$AB$3&amp;$AB$4&amp;"P"&amp;BV$4)="N/A",0,RTD("tos.rtd",,"OPEN_INT","."&amp;$AB$3&amp;$AB$4&amp;"P"&amp;BV$4))*100</f>
        <v>0</v>
      </c>
      <c r="BW7" s="18">
        <f>MAX(0, $A7-BW$4)*IF(RTD("tos.rtd",,"OPEN_INT","."&amp;$AB$3&amp;$AB$4&amp;"C"&amp;BW$4)="N/A",0,RTD("tos.rtd",,"OPEN_INT","."&amp;$AB$3&amp;$AB$4&amp;"C"&amp;BW$4))*100 + MAX(0, BW$4-$A7)*IF(RTD("tos.rtd",,"OPEN_INT","."&amp;$AB$3&amp;$AB$4&amp;"P"&amp;BW$4)="N/A",0,RTD("tos.rtd",,"OPEN_INT","."&amp;$AB$3&amp;$AB$4&amp;"P"&amp;BW$4))*100</f>
        <v>0</v>
      </c>
    </row>
    <row r="8" spans="1:75" s="19" customFormat="1" ht="11.1" customHeight="1" thickBot="1" x14ac:dyDescent="0.3">
      <c r="A8" s="23">
        <f t="shared" si="7"/>
        <v>20</v>
      </c>
      <c r="B8" s="14">
        <f ca="1">IF($A$2="PREMIUM_OI",IFERROR(IF($X$1="ABS",(100*RTD("tos.rtd",,"OPEN_INT","."&amp;B$2&amp;B$1&amp;"C"&amp;$A8)*RTD("tos.rtd",,"LAST","."&amp;B$2&amp;B$1&amp;"C"&amp;$A8)+100*RTD("tos.rtd",,"OPEN_INT","."&amp;B$2&amp;B$1&amp;"P"&amp;$A8)*RTD("tos.rtd",,"LAST","."&amp;B$2&amp;B$1&amp;"P"&amp;$A8))/1000000,(100*RTD("tos.rtd",,"OPEN_INT","."&amp;B$2&amp;B$1&amp;"C"&amp;$A8)*RTD("tos.rtd",,"LAST","."&amp;B$2&amp;B$1&amp;"C"&amp;$A8)-100*RTD("tos.rtd",,"OPEN_INT","."&amp;B$2&amp;B$1&amp;"P"&amp;$A8)*RTD("tos.rtd",,"LAST","."&amp;B$2&amp;B$1&amp;"P"&amp;$A8))/1000000),0),IF($A$2="PREMIUM",IFERROR(IF($X$1="ABS",(100*RTD("tos.rtd",,"VOLUME","."&amp;B$2&amp;B$1&amp;"C"&amp;$A8)*RTD("tos.rtd",,"LAST","."&amp;B$2&amp;B$1&amp;"C"&amp;$A8)+100*RTD("tos.rtd",,"VOLUME","."&amp;B$2&amp;B$1&amp;"P"&amp;$A8)*RTD("tos.rtd",,"LAST","."&amp;B$2&amp;B$1&amp;"P"&amp;$A8))/1000000,(100*RTD("tos.rtd",,"VOLUME","."&amp;B$2&amp;B$1&amp;"C"&amp;$A8)*RTD("tos.rtd",,"LAST","."&amp;B$2&amp;B$1&amp;"C"&amp;$A8)-100*RTD("tos.rtd",,"VOLUME","."&amp;B$2&amp;B$1&amp;"P"&amp;$A8)*RTD("tos.rtd",,"LAST","."&amp;B$2&amp;B$1&amp;"P"&amp;$A8))/1000000),0),IF($A$2="DEX",IFERROR(IF($X$1="ABS",(100*RTD("tos.rtd",,"OPEN_INT","."&amp;B$2&amp;B$1&amp;"C"&amp;$A8)*RTD("tos.rtd",,"DELTA","."&amp;B$2&amp;B$1&amp;"C"&amp;$A8)+100*RTD("tos.rtd",,"OPEN_INT","."&amp;B$2&amp;B$1&amp;"P"&amp;$A8)*RTD("tos.rtd",,"DELTA","."&amp;B$2&amp;B$1&amp;"P"&amp;$A8))/1000,(100*RTD("tos.rtd",,"OPEN_INT","."&amp;B$2&amp;B$1&amp;"C"&amp;$A8)*RTD("tos.rtd",,"DELTA","."&amp;B$2&amp;B$1&amp;"C"&amp;$A8)-100*RTD("tos.rtd",,"OPEN_INT","."&amp;B$2&amp;B$1&amp;"P"&amp;$A8)*RTD("tos.rtd",,"DELTA","."&amp;B$2&amp;B$1&amp;"P"&amp;$A8))/1000),0),IF($A$2="VEX",IFERROR(IF($X$1="ABS",($A$4*$A$4*RTD("tos.rtd",,"VOLUME","."&amp;B$2&amp;B$1&amp;"C"&amp;$A8)*RTD("tos.rtd",,"GAMMA","."&amp;B$2&amp;B$1&amp;"C"&amp;$A8)+$A$4*$A$4*RTD("tos.rtd",,"VOLUME","."&amp;B$2&amp;B$1&amp;"P"&amp;$A8)*RTD("tos.rtd",,"GAMMA","."&amp;B$2&amp;B$1&amp;"P"&amp;$A8))/1000000,($A$4*$A$4*RTD("tos.rtd",,"VOLUME","."&amp;B$2&amp;B$1&amp;"C"&amp;$A8)*RTD("tos.rtd",,"GAMMA","."&amp;B$2&amp;B$1&amp;"C"&amp;$A8)-$A$4*$A$4*RTD("tos.rtd",,"VOLUME","."&amp;B$2&amp;B$1&amp;"P"&amp;$A8)*RTD("tos.rtd",,"GAMMA","."&amp;B$2&amp;B$1&amp;"P"&amp;$A8))/1000000),0),IF($A$2="GEX",IFERROR(IF($X$1="ABS",($A$4*$A$4*RTD("tos.rtd",,"OPEN_INT","."&amp;B$2&amp;B$1&amp;"C"&amp;$A8)*RTD("tos.rtd",,"GAMMA","."&amp;B$2&amp;B$1&amp;"C"&amp;$A8)+$A$4*$A$4*RTD("tos.rtd",,"OPEN_INT","."&amp;B$2&amp;B$1&amp;"P"&amp;$A8)*RTD("tos.rtd",,"GAMMA","."&amp;B$2&amp;B$1&amp;"P"&amp;$A8))/1000000,($A$4*$A$4*RTD("tos.rtd",,"OPEN_INT","."&amp;B$2&amp;B$1&amp;"C"&amp;$A8)*RTD("tos.rtd",,"GAMMA","."&amp;B$2&amp;B$1&amp;"C"&amp;$A8)-$A$4*$A$4*RTD("tos.rtd",,"OPEN_INT","."&amp;B$2&amp;B$1&amp;"P"&amp;$A8)*RTD("tos.rtd",,"GAMMA","."&amp;B$2&amp;B$1&amp;"P"&amp;$A8))/1000000),0),IF($A$2="SKEW",IFERROR(VALUE(IF(RTD("tos.rtd",,"IMPL_VOL","."&amp;B$2&amp;B$1&amp;"P"&amp;$A8)="N/A",0,RTD("tos.rtd",,"IMPL_VOL","."&amp;B$2&amp;B$1&amp;"P"&amp;$A8))),0)-IFERROR(VALUE(IF(RTD("tos.rtd",,"IMPL_VOL","."&amp;B$2&amp;B$1&amp;"C"&amp;$A8)="N/A",0,RTD("tos.rtd",,"IMPL_VOL","."&amp;B$2&amp;B$1&amp;"C"&amp;$A8))),0),IF($A$2="MAXPAIN",IF($A$4&gt;$A8,($A$4-$A8)*IF(RTD("tos.rtd",,"OPEN_INT","."&amp;B$2&amp;B$1&amp;"C"&amp;$A8)="N/A",0,RTD("tos.rtd",,"OPEN_INT","."&amp;B$2&amp;B$1&amp;"C"&amp;$A8)),0)+IF($A$4&lt;$A8,($A$5-$A$4)*IF(RTD("tos.rtd",,"OPEN_INT","."&amp;B$2&amp;B$1&amp;"P"&amp;$A8)="N/A",0,RTD("tos.rtd",,"OPEN_INT","."&amp;B$2&amp;B$1&amp;"P"&amp;$A8)),0),IF($X$1="ABS",IF(RTD("tos.rtd",,$A$2,"."&amp;B$2&amp;B$1&amp;"C"&amp;$A8)="N/A",0,RTD("tos.rtd",,$A$2,"."&amp;B$2&amp;B$1&amp;"C"&amp;$A8))+IF(RTD("tos.rtd",,$A$2,"."&amp;B$2&amp;B$1&amp;"P"&amp;$A8)="N/A",0,RTD("tos.rtd",,$A$2,"."&amp;B$2&amp;B$1&amp;"P"&amp;$A8)),IF(RTD("tos.rtd",,$A$2,"."&amp;B$2&amp;B$1&amp;"C"&amp;$A8)="N/A",0,RTD("tos.rtd",,$A$2,"."&amp;B$2&amp;B$1&amp;"C"&amp;$A8))-IF(RTD("tos.rtd",,$A$2,"."&amp;B$2&amp;B$1&amp;"P"&amp;$A8)="N/A",0,RTD("tos.rtd",,$A$2,"."&amp;B$2&amp;B$1&amp;"P"&amp;$A8))))))))))</f>
        <v>0</v>
      </c>
      <c r="C8" s="14">
        <f ca="1">IF($A$2="PREMIUM_OI",IFERROR(IF($X$1="ABS",(100*RTD("tos.rtd",,"OPEN_INT","."&amp;C$2&amp;C$1&amp;"C"&amp;$A8)*RTD("tos.rtd",,"LAST","."&amp;C$2&amp;C$1&amp;"C"&amp;$A8)+100*RTD("tos.rtd",,"OPEN_INT","."&amp;C$2&amp;C$1&amp;"P"&amp;$A8)*RTD("tos.rtd",,"LAST","."&amp;C$2&amp;C$1&amp;"P"&amp;$A8))/1000000,(100*RTD("tos.rtd",,"OPEN_INT","."&amp;C$2&amp;C$1&amp;"C"&amp;$A8)*RTD("tos.rtd",,"LAST","."&amp;C$2&amp;C$1&amp;"C"&amp;$A8)-100*RTD("tos.rtd",,"OPEN_INT","."&amp;C$2&amp;C$1&amp;"P"&amp;$A8)*RTD("tos.rtd",,"LAST","."&amp;C$2&amp;C$1&amp;"P"&amp;$A8))/1000000),0),IF($A$2="PREMIUM",IFERROR(IF($X$1="ABS",(100*RTD("tos.rtd",,"VOLUME","."&amp;C$2&amp;C$1&amp;"C"&amp;$A8)*RTD("tos.rtd",,"LAST","."&amp;C$2&amp;C$1&amp;"C"&amp;$A8)+100*RTD("tos.rtd",,"VOLUME","."&amp;C$2&amp;C$1&amp;"P"&amp;$A8)*RTD("tos.rtd",,"LAST","."&amp;C$2&amp;C$1&amp;"P"&amp;$A8))/1000000,(100*RTD("tos.rtd",,"VOLUME","."&amp;C$2&amp;C$1&amp;"C"&amp;$A8)*RTD("tos.rtd",,"LAST","."&amp;C$2&amp;C$1&amp;"C"&amp;$A8)-100*RTD("tos.rtd",,"VOLUME","."&amp;C$2&amp;C$1&amp;"P"&amp;$A8)*RTD("tos.rtd",,"LAST","."&amp;C$2&amp;C$1&amp;"P"&amp;$A8))/1000000),0),IF($A$2="DEX",IFERROR(IF($X$1="ABS",(100*RTD("tos.rtd",,"OPEN_INT","."&amp;C$2&amp;C$1&amp;"C"&amp;$A8)*RTD("tos.rtd",,"DELTA","."&amp;C$2&amp;C$1&amp;"C"&amp;$A8)+100*RTD("tos.rtd",,"OPEN_INT","."&amp;C$2&amp;C$1&amp;"P"&amp;$A8)*RTD("tos.rtd",,"DELTA","."&amp;C$2&amp;C$1&amp;"P"&amp;$A8))/1000,(100*RTD("tos.rtd",,"OPEN_INT","."&amp;C$2&amp;C$1&amp;"C"&amp;$A8)*RTD("tos.rtd",,"DELTA","."&amp;C$2&amp;C$1&amp;"C"&amp;$A8)-100*RTD("tos.rtd",,"OPEN_INT","."&amp;C$2&amp;C$1&amp;"P"&amp;$A8)*RTD("tos.rtd",,"DELTA","."&amp;C$2&amp;C$1&amp;"P"&amp;$A8))/1000),0),IF($A$2="VEX",IFERROR(IF($X$1="ABS",($A$4*$A$4*RTD("tos.rtd",,"VOLUME","."&amp;C$2&amp;C$1&amp;"C"&amp;$A8)*RTD("tos.rtd",,"GAMMA","."&amp;C$2&amp;C$1&amp;"C"&amp;$A8)+$A$4*$A$4*RTD("tos.rtd",,"VOLUME","."&amp;C$2&amp;C$1&amp;"P"&amp;$A8)*RTD("tos.rtd",,"GAMMA","."&amp;C$2&amp;C$1&amp;"P"&amp;$A8))/1000000,($A$4*$A$4*RTD("tos.rtd",,"VOLUME","."&amp;C$2&amp;C$1&amp;"C"&amp;$A8)*RTD("tos.rtd",,"GAMMA","."&amp;C$2&amp;C$1&amp;"C"&amp;$A8)-$A$4*$A$4*RTD("tos.rtd",,"VOLUME","."&amp;C$2&amp;C$1&amp;"P"&amp;$A8)*RTD("tos.rtd",,"GAMMA","."&amp;C$2&amp;C$1&amp;"P"&amp;$A8))/1000000),0),IF($A$2="GEX",IFERROR(IF($X$1="ABS",($A$4*$A$4*RTD("tos.rtd",,"OPEN_INT","."&amp;C$2&amp;C$1&amp;"C"&amp;$A8)*RTD("tos.rtd",,"GAMMA","."&amp;C$2&amp;C$1&amp;"C"&amp;$A8)+$A$4*$A$4*RTD("tos.rtd",,"OPEN_INT","."&amp;C$2&amp;C$1&amp;"P"&amp;$A8)*RTD("tos.rtd",,"GAMMA","."&amp;C$2&amp;C$1&amp;"P"&amp;$A8))/1000000,($A$4*$A$4*RTD("tos.rtd",,"OPEN_INT","."&amp;C$2&amp;C$1&amp;"C"&amp;$A8)*RTD("tos.rtd",,"GAMMA","."&amp;C$2&amp;C$1&amp;"C"&amp;$A8)-$A$4*$A$4*RTD("tos.rtd",,"OPEN_INT","."&amp;C$2&amp;C$1&amp;"P"&amp;$A8)*RTD("tos.rtd",,"GAMMA","."&amp;C$2&amp;C$1&amp;"P"&amp;$A8))/1000000),0),IF($A$2="SKEW",IFERROR(VALUE(IF(RTD("tos.rtd",,"IMPL_VOL","."&amp;C$2&amp;C$1&amp;"P"&amp;$A8)="N/A",0,RTD("tos.rtd",,"IMPL_VOL","."&amp;C$2&amp;C$1&amp;"P"&amp;$A8))),0)-IFERROR(VALUE(IF(RTD("tos.rtd",,"IMPL_VOL","."&amp;C$2&amp;C$1&amp;"C"&amp;$A8)="N/A",0,RTD("tos.rtd",,"IMPL_VOL","."&amp;C$2&amp;C$1&amp;"C"&amp;$A8))),0),IF($A$2="MAXPAIN",IF($A$4&gt;$A8,($A$4-$A8)*IF(RTD("tos.rtd",,"OPEN_INT","."&amp;C$2&amp;C$1&amp;"C"&amp;$A8)="N/A",0,RTD("tos.rtd",,"OPEN_INT","."&amp;C$2&amp;C$1&amp;"C"&amp;$A8)),0)+IF($A$4&lt;$A8,($A$5-$A$4)*IF(RTD("tos.rtd",,"OPEN_INT","."&amp;C$2&amp;C$1&amp;"P"&amp;$A8)="N/A",0,RTD("tos.rtd",,"OPEN_INT","."&amp;C$2&amp;C$1&amp;"P"&amp;$A8)),0),IF($X$1="ABS",IF(RTD("tos.rtd",,$A$2,"."&amp;C$2&amp;C$1&amp;"C"&amp;$A8)="N/A",0,RTD("tos.rtd",,$A$2,"."&amp;C$2&amp;C$1&amp;"C"&amp;$A8))+IF(RTD("tos.rtd",,$A$2,"."&amp;C$2&amp;C$1&amp;"P"&amp;$A8)="N/A",0,RTD("tos.rtd",,$A$2,"."&amp;C$2&amp;C$1&amp;"P"&amp;$A8)),IF(RTD("tos.rtd",,$A$2,"."&amp;C$2&amp;C$1&amp;"C"&amp;$A8)="N/A",0,RTD("tos.rtd",,$A$2,"."&amp;C$2&amp;C$1&amp;"C"&amp;$A8))-IF(RTD("tos.rtd",,$A$2,"."&amp;C$2&amp;C$1&amp;"P"&amp;$A8)="N/A",0,RTD("tos.rtd",,$A$2,"."&amp;C$2&amp;C$1&amp;"P"&amp;$A8))))))))))</f>
        <v>0</v>
      </c>
      <c r="D8" s="12">
        <f ca="1">IF($A$2="PREMIUM_OI",IFERROR(IF($X$1="ABS",(100*RTD("tos.rtd",,"OPEN_INT","."&amp;D$2&amp;D$1&amp;"C"&amp;$A8)*RTD("tos.rtd",,"LAST","."&amp;D$2&amp;D$1&amp;"C"&amp;$A8)+100*RTD("tos.rtd",,"OPEN_INT","."&amp;D$2&amp;D$1&amp;"P"&amp;$A8)*RTD("tos.rtd",,"LAST","."&amp;D$2&amp;D$1&amp;"P"&amp;$A8))/1000000,(100*RTD("tos.rtd",,"OPEN_INT","."&amp;D$2&amp;D$1&amp;"C"&amp;$A8)*RTD("tos.rtd",,"LAST","."&amp;D$2&amp;D$1&amp;"C"&amp;$A8)-100*RTD("tos.rtd",,"OPEN_INT","."&amp;D$2&amp;D$1&amp;"P"&amp;$A8)*RTD("tos.rtd",,"LAST","."&amp;D$2&amp;D$1&amp;"P"&amp;$A8))/1000000),0),IF($A$2="PREMIUM",IFERROR(IF($X$1="ABS",(100*RTD("tos.rtd",,"VOLUME","."&amp;D$2&amp;D$1&amp;"C"&amp;$A8)*RTD("tos.rtd",,"LAST","."&amp;D$2&amp;D$1&amp;"C"&amp;$A8)+100*RTD("tos.rtd",,"VOLUME","."&amp;D$2&amp;D$1&amp;"P"&amp;$A8)*RTD("tos.rtd",,"LAST","."&amp;D$2&amp;D$1&amp;"P"&amp;$A8))/1000000,(100*RTD("tos.rtd",,"VOLUME","."&amp;D$2&amp;D$1&amp;"C"&amp;$A8)*RTD("tos.rtd",,"LAST","."&amp;D$2&amp;D$1&amp;"C"&amp;$A8)-100*RTD("tos.rtd",,"VOLUME","."&amp;D$2&amp;D$1&amp;"P"&amp;$A8)*RTD("tos.rtd",,"LAST","."&amp;D$2&amp;D$1&amp;"P"&amp;$A8))/1000000),0),IF($A$2="DEX",IFERROR(IF($X$1="ABS",(100*RTD("tos.rtd",,"OPEN_INT","."&amp;D$2&amp;D$1&amp;"C"&amp;$A8)*RTD("tos.rtd",,"DELTA","."&amp;D$2&amp;D$1&amp;"C"&amp;$A8)+100*RTD("tos.rtd",,"OPEN_INT","."&amp;D$2&amp;D$1&amp;"P"&amp;$A8)*RTD("tos.rtd",,"DELTA","."&amp;D$2&amp;D$1&amp;"P"&amp;$A8))/1000,(100*RTD("tos.rtd",,"OPEN_INT","."&amp;D$2&amp;D$1&amp;"C"&amp;$A8)*RTD("tos.rtd",,"DELTA","."&amp;D$2&amp;D$1&amp;"C"&amp;$A8)-100*RTD("tos.rtd",,"OPEN_INT","."&amp;D$2&amp;D$1&amp;"P"&amp;$A8)*RTD("tos.rtd",,"DELTA","."&amp;D$2&amp;D$1&amp;"P"&amp;$A8))/1000),0),IF($A$2="VEX",IFERROR(IF($X$1="ABS",($A$4*$A$4*RTD("tos.rtd",,"VOLUME","."&amp;D$2&amp;D$1&amp;"C"&amp;$A8)*RTD("tos.rtd",,"GAMMA","."&amp;D$2&amp;D$1&amp;"C"&amp;$A8)+$A$4*$A$4*RTD("tos.rtd",,"VOLUME","."&amp;D$2&amp;D$1&amp;"P"&amp;$A8)*RTD("tos.rtd",,"GAMMA","."&amp;D$2&amp;D$1&amp;"P"&amp;$A8))/1000000,($A$4*$A$4*RTD("tos.rtd",,"VOLUME","."&amp;D$2&amp;D$1&amp;"C"&amp;$A8)*RTD("tos.rtd",,"GAMMA","."&amp;D$2&amp;D$1&amp;"C"&amp;$A8)-$A$4*$A$4*RTD("tos.rtd",,"VOLUME","."&amp;D$2&amp;D$1&amp;"P"&amp;$A8)*RTD("tos.rtd",,"GAMMA","."&amp;D$2&amp;D$1&amp;"P"&amp;$A8))/1000000),0),IF($A$2="GEX",IFERROR(IF($X$1="ABS",($A$4*$A$4*RTD("tos.rtd",,"OPEN_INT","."&amp;D$2&amp;D$1&amp;"C"&amp;$A8)*RTD("tos.rtd",,"GAMMA","."&amp;D$2&amp;D$1&amp;"C"&amp;$A8)+$A$4*$A$4*RTD("tos.rtd",,"OPEN_INT","."&amp;D$2&amp;D$1&amp;"P"&amp;$A8)*RTD("tos.rtd",,"GAMMA","."&amp;D$2&amp;D$1&amp;"P"&amp;$A8))/1000000,($A$4*$A$4*RTD("tos.rtd",,"OPEN_INT","."&amp;D$2&amp;D$1&amp;"C"&amp;$A8)*RTD("tos.rtd",,"GAMMA","."&amp;D$2&amp;D$1&amp;"C"&amp;$A8)-$A$4*$A$4*RTD("tos.rtd",,"OPEN_INT","."&amp;D$2&amp;D$1&amp;"P"&amp;$A8)*RTD("tos.rtd",,"GAMMA","."&amp;D$2&amp;D$1&amp;"P"&amp;$A8))/1000000),0),IF($A$2="SKEW",IFERROR(VALUE(IF(RTD("tos.rtd",,"IMPL_VOL","."&amp;D$2&amp;D$1&amp;"P"&amp;$A8)="N/A",0,RTD("tos.rtd",,"IMPL_VOL","."&amp;D$2&amp;D$1&amp;"P"&amp;$A8))),0)-IFERROR(VALUE(IF(RTD("tos.rtd",,"IMPL_VOL","."&amp;D$2&amp;D$1&amp;"C"&amp;$A8)="N/A",0,RTD("tos.rtd",,"IMPL_VOL","."&amp;D$2&amp;D$1&amp;"C"&amp;$A8))),0),IF($A$2="MAXPAIN",IF($A$4&gt;$A8,($A$4-$A8)*IF(RTD("tos.rtd",,"OPEN_INT","."&amp;D$2&amp;D$1&amp;"C"&amp;$A8)="N/A",0,RTD("tos.rtd",,"OPEN_INT","."&amp;D$2&amp;D$1&amp;"C"&amp;$A8)),0)+IF($A$4&lt;$A8,($A$5-$A$4)*IF(RTD("tos.rtd",,"OPEN_INT","."&amp;D$2&amp;D$1&amp;"P"&amp;$A8)="N/A",0,RTD("tos.rtd",,"OPEN_INT","."&amp;D$2&amp;D$1&amp;"P"&amp;$A8)),0),IF($X$1="ABS",IF(RTD("tos.rtd",,$A$2,"."&amp;D$2&amp;D$1&amp;"C"&amp;$A8)="N/A",0,RTD("tos.rtd",,$A$2,"."&amp;D$2&amp;D$1&amp;"C"&amp;$A8))+IF(RTD("tos.rtd",,$A$2,"."&amp;D$2&amp;D$1&amp;"P"&amp;$A8)="N/A",0,RTD("tos.rtd",,$A$2,"."&amp;D$2&amp;D$1&amp;"P"&amp;$A8)),IF(RTD("tos.rtd",,$A$2,"."&amp;D$2&amp;D$1&amp;"C"&amp;$A8)="N/A",0,RTD("tos.rtd",,$A$2,"."&amp;D$2&amp;D$1&amp;"C"&amp;$A8))-IF(RTD("tos.rtd",,$A$2,"."&amp;D$2&amp;D$1&amp;"P"&amp;$A8)="N/A",0,RTD("tos.rtd",,$A$2,"."&amp;D$2&amp;D$1&amp;"P"&amp;$A8))))))))))</f>
        <v>0</v>
      </c>
      <c r="E8" s="12">
        <f ca="1">IF($A$2="PREMIUM_OI",IFERROR(IF($X$1="ABS",(100*RTD("tos.rtd",,"OPEN_INT","."&amp;E$2&amp;E$1&amp;"C"&amp;$A8)*RTD("tos.rtd",,"LAST","."&amp;E$2&amp;E$1&amp;"C"&amp;$A8)+100*RTD("tos.rtd",,"OPEN_INT","."&amp;E$2&amp;E$1&amp;"P"&amp;$A8)*RTD("tos.rtd",,"LAST","."&amp;E$2&amp;E$1&amp;"P"&amp;$A8))/1000000,(100*RTD("tos.rtd",,"OPEN_INT","."&amp;E$2&amp;E$1&amp;"C"&amp;$A8)*RTD("tos.rtd",,"LAST","."&amp;E$2&amp;E$1&amp;"C"&amp;$A8)-100*RTD("tos.rtd",,"OPEN_INT","."&amp;E$2&amp;E$1&amp;"P"&amp;$A8)*RTD("tos.rtd",,"LAST","."&amp;E$2&amp;E$1&amp;"P"&amp;$A8))/1000000),0),IF($A$2="PREMIUM",IFERROR(IF($X$1="ABS",(100*RTD("tos.rtd",,"VOLUME","."&amp;E$2&amp;E$1&amp;"C"&amp;$A8)*RTD("tos.rtd",,"LAST","."&amp;E$2&amp;E$1&amp;"C"&amp;$A8)+100*RTD("tos.rtd",,"VOLUME","."&amp;E$2&amp;E$1&amp;"P"&amp;$A8)*RTD("tos.rtd",,"LAST","."&amp;E$2&amp;E$1&amp;"P"&amp;$A8))/1000000,(100*RTD("tos.rtd",,"VOLUME","."&amp;E$2&amp;E$1&amp;"C"&amp;$A8)*RTD("tos.rtd",,"LAST","."&amp;E$2&amp;E$1&amp;"C"&amp;$A8)-100*RTD("tos.rtd",,"VOLUME","."&amp;E$2&amp;E$1&amp;"P"&amp;$A8)*RTD("tos.rtd",,"LAST","."&amp;E$2&amp;E$1&amp;"P"&amp;$A8))/1000000),0),IF($A$2="DEX",IFERROR(IF($X$1="ABS",(100*RTD("tos.rtd",,"OPEN_INT","."&amp;E$2&amp;E$1&amp;"C"&amp;$A8)*RTD("tos.rtd",,"DELTA","."&amp;E$2&amp;E$1&amp;"C"&amp;$A8)+100*RTD("tos.rtd",,"OPEN_INT","."&amp;E$2&amp;E$1&amp;"P"&amp;$A8)*RTD("tos.rtd",,"DELTA","."&amp;E$2&amp;E$1&amp;"P"&amp;$A8))/1000,(100*RTD("tos.rtd",,"OPEN_INT","."&amp;E$2&amp;E$1&amp;"C"&amp;$A8)*RTD("tos.rtd",,"DELTA","."&amp;E$2&amp;E$1&amp;"C"&amp;$A8)-100*RTD("tos.rtd",,"OPEN_INT","."&amp;E$2&amp;E$1&amp;"P"&amp;$A8)*RTD("tos.rtd",,"DELTA","."&amp;E$2&amp;E$1&amp;"P"&amp;$A8))/1000),0),IF($A$2="VEX",IFERROR(IF($X$1="ABS",($A$4*$A$4*RTD("tos.rtd",,"VOLUME","."&amp;E$2&amp;E$1&amp;"C"&amp;$A8)*RTD("tos.rtd",,"GAMMA","."&amp;E$2&amp;E$1&amp;"C"&amp;$A8)+$A$4*$A$4*RTD("tos.rtd",,"VOLUME","."&amp;E$2&amp;E$1&amp;"P"&amp;$A8)*RTD("tos.rtd",,"GAMMA","."&amp;E$2&amp;E$1&amp;"P"&amp;$A8))/1000000,($A$4*$A$4*RTD("tos.rtd",,"VOLUME","."&amp;E$2&amp;E$1&amp;"C"&amp;$A8)*RTD("tos.rtd",,"GAMMA","."&amp;E$2&amp;E$1&amp;"C"&amp;$A8)-$A$4*$A$4*RTD("tos.rtd",,"VOLUME","."&amp;E$2&amp;E$1&amp;"P"&amp;$A8)*RTD("tos.rtd",,"GAMMA","."&amp;E$2&amp;E$1&amp;"P"&amp;$A8))/1000000),0),IF($A$2="GEX",IFERROR(IF($X$1="ABS",($A$4*$A$4*RTD("tos.rtd",,"OPEN_INT","."&amp;E$2&amp;E$1&amp;"C"&amp;$A8)*RTD("tos.rtd",,"GAMMA","."&amp;E$2&amp;E$1&amp;"C"&amp;$A8)+$A$4*$A$4*RTD("tos.rtd",,"OPEN_INT","."&amp;E$2&amp;E$1&amp;"P"&amp;$A8)*RTD("tos.rtd",,"GAMMA","."&amp;E$2&amp;E$1&amp;"P"&amp;$A8))/1000000,($A$4*$A$4*RTD("tos.rtd",,"OPEN_INT","."&amp;E$2&amp;E$1&amp;"C"&amp;$A8)*RTD("tos.rtd",,"GAMMA","."&amp;E$2&amp;E$1&amp;"C"&amp;$A8)-$A$4*$A$4*RTD("tos.rtd",,"OPEN_INT","."&amp;E$2&amp;E$1&amp;"P"&amp;$A8)*RTD("tos.rtd",,"GAMMA","."&amp;E$2&amp;E$1&amp;"P"&amp;$A8))/1000000),0),IF($A$2="SKEW",IFERROR(VALUE(IF(RTD("tos.rtd",,"IMPL_VOL","."&amp;E$2&amp;E$1&amp;"P"&amp;$A8)="N/A",0,RTD("tos.rtd",,"IMPL_VOL","."&amp;E$2&amp;E$1&amp;"P"&amp;$A8))),0)-IFERROR(VALUE(IF(RTD("tos.rtd",,"IMPL_VOL","."&amp;E$2&amp;E$1&amp;"C"&amp;$A8)="N/A",0,RTD("tos.rtd",,"IMPL_VOL","."&amp;E$2&amp;E$1&amp;"C"&amp;$A8))),0),IF($A$2="MAXPAIN",IF($A$4&gt;$A8,($A$4-$A8)*IF(RTD("tos.rtd",,"OPEN_INT","."&amp;E$2&amp;E$1&amp;"C"&amp;$A8)="N/A",0,RTD("tos.rtd",,"OPEN_INT","."&amp;E$2&amp;E$1&amp;"C"&amp;$A8)),0)+IF($A$4&lt;$A8,($A$5-$A$4)*IF(RTD("tos.rtd",,"OPEN_INT","."&amp;E$2&amp;E$1&amp;"P"&amp;$A8)="N/A",0,RTD("tos.rtd",,"OPEN_INT","."&amp;E$2&amp;E$1&amp;"P"&amp;$A8)),0),IF($X$1="ABS",IF(RTD("tos.rtd",,$A$2,"."&amp;E$2&amp;E$1&amp;"C"&amp;$A8)="N/A",0,RTD("tos.rtd",,$A$2,"."&amp;E$2&amp;E$1&amp;"C"&amp;$A8))+IF(RTD("tos.rtd",,$A$2,"."&amp;E$2&amp;E$1&amp;"P"&amp;$A8)="N/A",0,RTD("tos.rtd",,$A$2,"."&amp;E$2&amp;E$1&amp;"P"&amp;$A8)),IF(RTD("tos.rtd",,$A$2,"."&amp;E$2&amp;E$1&amp;"C"&amp;$A8)="N/A",0,RTD("tos.rtd",,$A$2,"."&amp;E$2&amp;E$1&amp;"C"&amp;$A8))-IF(RTD("tos.rtd",,$A$2,"."&amp;E$2&amp;E$1&amp;"P"&amp;$A8)="N/A",0,RTD("tos.rtd",,$A$2,"."&amp;E$2&amp;E$1&amp;"P"&amp;$A8))))))))))</f>
        <v>0</v>
      </c>
      <c r="F8" s="12">
        <f ca="1">IF($A$2="PREMIUM_OI",IFERROR(IF($X$1="ABS",(100*RTD("tos.rtd",,"OPEN_INT","."&amp;F$2&amp;F$1&amp;"C"&amp;$A8)*RTD("tos.rtd",,"LAST","."&amp;F$2&amp;F$1&amp;"C"&amp;$A8)+100*RTD("tos.rtd",,"OPEN_INT","."&amp;F$2&amp;F$1&amp;"P"&amp;$A8)*RTD("tos.rtd",,"LAST","."&amp;F$2&amp;F$1&amp;"P"&amp;$A8))/1000000,(100*RTD("tos.rtd",,"OPEN_INT","."&amp;F$2&amp;F$1&amp;"C"&amp;$A8)*RTD("tos.rtd",,"LAST","."&amp;F$2&amp;F$1&amp;"C"&amp;$A8)-100*RTD("tos.rtd",,"OPEN_INT","."&amp;F$2&amp;F$1&amp;"P"&amp;$A8)*RTD("tos.rtd",,"LAST","."&amp;F$2&amp;F$1&amp;"P"&amp;$A8))/1000000),0),IF($A$2="PREMIUM",IFERROR(IF($X$1="ABS",(100*RTD("tos.rtd",,"VOLUME","."&amp;F$2&amp;F$1&amp;"C"&amp;$A8)*RTD("tos.rtd",,"LAST","."&amp;F$2&amp;F$1&amp;"C"&amp;$A8)+100*RTD("tos.rtd",,"VOLUME","."&amp;F$2&amp;F$1&amp;"P"&amp;$A8)*RTD("tos.rtd",,"LAST","."&amp;F$2&amp;F$1&amp;"P"&amp;$A8))/1000000,(100*RTD("tos.rtd",,"VOLUME","."&amp;F$2&amp;F$1&amp;"C"&amp;$A8)*RTD("tos.rtd",,"LAST","."&amp;F$2&amp;F$1&amp;"C"&amp;$A8)-100*RTD("tos.rtd",,"VOLUME","."&amp;F$2&amp;F$1&amp;"P"&amp;$A8)*RTD("tos.rtd",,"LAST","."&amp;F$2&amp;F$1&amp;"P"&amp;$A8))/1000000),0),IF($A$2="DEX",IFERROR(IF($X$1="ABS",(100*RTD("tos.rtd",,"OPEN_INT","."&amp;F$2&amp;F$1&amp;"C"&amp;$A8)*RTD("tos.rtd",,"DELTA","."&amp;F$2&amp;F$1&amp;"C"&amp;$A8)+100*RTD("tos.rtd",,"OPEN_INT","."&amp;F$2&amp;F$1&amp;"P"&amp;$A8)*RTD("tos.rtd",,"DELTA","."&amp;F$2&amp;F$1&amp;"P"&amp;$A8))/1000,(100*RTD("tos.rtd",,"OPEN_INT","."&amp;F$2&amp;F$1&amp;"C"&amp;$A8)*RTD("tos.rtd",,"DELTA","."&amp;F$2&amp;F$1&amp;"C"&amp;$A8)-100*RTD("tos.rtd",,"OPEN_INT","."&amp;F$2&amp;F$1&amp;"P"&amp;$A8)*RTD("tos.rtd",,"DELTA","."&amp;F$2&amp;F$1&amp;"P"&amp;$A8))/1000),0),IF($A$2="VEX",IFERROR(IF($X$1="ABS",($A$4*$A$4*RTD("tos.rtd",,"VOLUME","."&amp;F$2&amp;F$1&amp;"C"&amp;$A8)*RTD("tos.rtd",,"GAMMA","."&amp;F$2&amp;F$1&amp;"C"&amp;$A8)+$A$4*$A$4*RTD("tos.rtd",,"VOLUME","."&amp;F$2&amp;F$1&amp;"P"&amp;$A8)*RTD("tos.rtd",,"GAMMA","."&amp;F$2&amp;F$1&amp;"P"&amp;$A8))/1000000,($A$4*$A$4*RTD("tos.rtd",,"VOLUME","."&amp;F$2&amp;F$1&amp;"C"&amp;$A8)*RTD("tos.rtd",,"GAMMA","."&amp;F$2&amp;F$1&amp;"C"&amp;$A8)-$A$4*$A$4*RTD("tos.rtd",,"VOLUME","."&amp;F$2&amp;F$1&amp;"P"&amp;$A8)*RTD("tos.rtd",,"GAMMA","."&amp;F$2&amp;F$1&amp;"P"&amp;$A8))/1000000),0),IF($A$2="GEX",IFERROR(IF($X$1="ABS",($A$4*$A$4*RTD("tos.rtd",,"OPEN_INT","."&amp;F$2&amp;F$1&amp;"C"&amp;$A8)*RTD("tos.rtd",,"GAMMA","."&amp;F$2&amp;F$1&amp;"C"&amp;$A8)+$A$4*$A$4*RTD("tos.rtd",,"OPEN_INT","."&amp;F$2&amp;F$1&amp;"P"&amp;$A8)*RTD("tos.rtd",,"GAMMA","."&amp;F$2&amp;F$1&amp;"P"&amp;$A8))/1000000,($A$4*$A$4*RTD("tos.rtd",,"OPEN_INT","."&amp;F$2&amp;F$1&amp;"C"&amp;$A8)*RTD("tos.rtd",,"GAMMA","."&amp;F$2&amp;F$1&amp;"C"&amp;$A8)-$A$4*$A$4*RTD("tos.rtd",,"OPEN_INT","."&amp;F$2&amp;F$1&amp;"P"&amp;$A8)*RTD("tos.rtd",,"GAMMA","."&amp;F$2&amp;F$1&amp;"P"&amp;$A8))/1000000),0),IF($A$2="SKEW",IFERROR(VALUE(IF(RTD("tos.rtd",,"IMPL_VOL","."&amp;F$2&amp;F$1&amp;"P"&amp;$A8)="N/A",0,RTD("tos.rtd",,"IMPL_VOL","."&amp;F$2&amp;F$1&amp;"P"&amp;$A8))),0)-IFERROR(VALUE(IF(RTD("tos.rtd",,"IMPL_VOL","."&amp;F$2&amp;F$1&amp;"C"&amp;$A8)="N/A",0,RTD("tos.rtd",,"IMPL_VOL","."&amp;F$2&amp;F$1&amp;"C"&amp;$A8))),0),IF($A$2="MAXPAIN",IF($A$4&gt;$A8,($A$4-$A8)*IF(RTD("tos.rtd",,"OPEN_INT","."&amp;F$2&amp;F$1&amp;"C"&amp;$A8)="N/A",0,RTD("tos.rtd",,"OPEN_INT","."&amp;F$2&amp;F$1&amp;"C"&amp;$A8)),0)+IF($A$4&lt;$A8,($A$5-$A$4)*IF(RTD("tos.rtd",,"OPEN_INT","."&amp;F$2&amp;F$1&amp;"P"&amp;$A8)="N/A",0,RTD("tos.rtd",,"OPEN_INT","."&amp;F$2&amp;F$1&amp;"P"&amp;$A8)),0),IF($X$1="ABS",IF(RTD("tos.rtd",,$A$2,"."&amp;F$2&amp;F$1&amp;"C"&amp;$A8)="N/A",0,RTD("tos.rtd",,$A$2,"."&amp;F$2&amp;F$1&amp;"C"&amp;$A8))+IF(RTD("tos.rtd",,$A$2,"."&amp;F$2&amp;F$1&amp;"P"&amp;$A8)="N/A",0,RTD("tos.rtd",,$A$2,"."&amp;F$2&amp;F$1&amp;"P"&amp;$A8)),IF(RTD("tos.rtd",,$A$2,"."&amp;F$2&amp;F$1&amp;"C"&amp;$A8)="N/A",0,RTD("tos.rtd",,$A$2,"."&amp;F$2&amp;F$1&amp;"C"&amp;$A8))-IF(RTD("tos.rtd",,$A$2,"."&amp;F$2&amp;F$1&amp;"P"&amp;$A8)="N/A",0,RTD("tos.rtd",,$A$2,"."&amp;F$2&amp;F$1&amp;"P"&amp;$A8))))))))))</f>
        <v>0</v>
      </c>
      <c r="G8" s="54">
        <f ca="1">IF($A$2="PREMIUM_OI",IFERROR(IF($X$1="ABS",(100*RTD("tos.rtd",,"OPEN_INT","."&amp;G$2&amp;G$1&amp;"C"&amp;$A8)*RTD("tos.rtd",,"LAST","."&amp;G$2&amp;G$1&amp;"C"&amp;$A8)+100*RTD("tos.rtd",,"OPEN_INT","."&amp;G$2&amp;G$1&amp;"P"&amp;$A8)*RTD("tos.rtd",,"LAST","."&amp;G$2&amp;G$1&amp;"P"&amp;$A8))/1000000,(100*RTD("tos.rtd",,"OPEN_INT","."&amp;G$2&amp;G$1&amp;"C"&amp;$A8)*RTD("tos.rtd",,"LAST","."&amp;G$2&amp;G$1&amp;"C"&amp;$A8)-100*RTD("tos.rtd",,"OPEN_INT","."&amp;G$2&amp;G$1&amp;"P"&amp;$A8)*RTD("tos.rtd",,"LAST","."&amp;G$2&amp;G$1&amp;"P"&amp;$A8))/1000000),0),IF($A$2="PREMIUM",IFERROR(IF($X$1="ABS",(100*RTD("tos.rtd",,"VOLUME","."&amp;G$2&amp;G$1&amp;"C"&amp;$A8)*RTD("tos.rtd",,"LAST","."&amp;G$2&amp;G$1&amp;"C"&amp;$A8)+100*RTD("tos.rtd",,"VOLUME","."&amp;G$2&amp;G$1&amp;"P"&amp;$A8)*RTD("tos.rtd",,"LAST","."&amp;G$2&amp;G$1&amp;"P"&amp;$A8))/1000000,(100*RTD("tos.rtd",,"VOLUME","."&amp;G$2&amp;G$1&amp;"C"&amp;$A8)*RTD("tos.rtd",,"LAST","."&amp;G$2&amp;G$1&amp;"C"&amp;$A8)-100*RTD("tos.rtd",,"VOLUME","."&amp;G$2&amp;G$1&amp;"P"&amp;$A8)*RTD("tos.rtd",,"LAST","."&amp;G$2&amp;G$1&amp;"P"&amp;$A8))/1000000),0),IF($A$2="DEX",IFERROR(IF($X$1="ABS",(100*RTD("tos.rtd",,"OPEN_INT","."&amp;G$2&amp;G$1&amp;"C"&amp;$A8)*RTD("tos.rtd",,"DELTA","."&amp;G$2&amp;G$1&amp;"C"&amp;$A8)+100*RTD("tos.rtd",,"OPEN_INT","."&amp;G$2&amp;G$1&amp;"P"&amp;$A8)*RTD("tos.rtd",,"DELTA","."&amp;G$2&amp;G$1&amp;"P"&amp;$A8))/1000,(100*RTD("tos.rtd",,"OPEN_INT","."&amp;G$2&amp;G$1&amp;"C"&amp;$A8)*RTD("tos.rtd",,"DELTA","."&amp;G$2&amp;G$1&amp;"C"&amp;$A8)-100*RTD("tos.rtd",,"OPEN_INT","."&amp;G$2&amp;G$1&amp;"P"&amp;$A8)*RTD("tos.rtd",,"DELTA","."&amp;G$2&amp;G$1&amp;"P"&amp;$A8))/1000),0),IF($A$2="VEX",IFERROR(IF($X$1="ABS",($A$4*$A$4*RTD("tos.rtd",,"VOLUME","."&amp;G$2&amp;G$1&amp;"C"&amp;$A8)*RTD("tos.rtd",,"GAMMA","."&amp;G$2&amp;G$1&amp;"C"&amp;$A8)+$A$4*$A$4*RTD("tos.rtd",,"VOLUME","."&amp;G$2&amp;G$1&amp;"P"&amp;$A8)*RTD("tos.rtd",,"GAMMA","."&amp;G$2&amp;G$1&amp;"P"&amp;$A8))/1000000,($A$4*$A$4*RTD("tos.rtd",,"VOLUME","."&amp;G$2&amp;G$1&amp;"C"&amp;$A8)*RTD("tos.rtd",,"GAMMA","."&amp;G$2&amp;G$1&amp;"C"&amp;$A8)-$A$4*$A$4*RTD("tos.rtd",,"VOLUME","."&amp;G$2&amp;G$1&amp;"P"&amp;$A8)*RTD("tos.rtd",,"GAMMA","."&amp;G$2&amp;G$1&amp;"P"&amp;$A8))/1000000),0),IF($A$2="GEX",IFERROR(IF($X$1="ABS",($A$4*$A$4*RTD("tos.rtd",,"OPEN_INT","."&amp;G$2&amp;G$1&amp;"C"&amp;$A8)*RTD("tos.rtd",,"GAMMA","."&amp;G$2&amp;G$1&amp;"C"&amp;$A8)+$A$4*$A$4*RTD("tos.rtd",,"OPEN_INT","."&amp;G$2&amp;G$1&amp;"P"&amp;$A8)*RTD("tos.rtd",,"GAMMA","."&amp;G$2&amp;G$1&amp;"P"&amp;$A8))/1000000,($A$4*$A$4*RTD("tos.rtd",,"OPEN_INT","."&amp;G$2&amp;G$1&amp;"C"&amp;$A8)*RTD("tos.rtd",,"GAMMA","."&amp;G$2&amp;G$1&amp;"C"&amp;$A8)-$A$4*$A$4*RTD("tos.rtd",,"OPEN_INT","."&amp;G$2&amp;G$1&amp;"P"&amp;$A8)*RTD("tos.rtd",,"GAMMA","."&amp;G$2&amp;G$1&amp;"P"&amp;$A8))/1000000),0),IF($A$2="SKEW",IFERROR(VALUE(IF(RTD("tos.rtd",,"IMPL_VOL","."&amp;G$2&amp;G$1&amp;"P"&amp;$A8)="N/A",0,RTD("tos.rtd",,"IMPL_VOL","."&amp;G$2&amp;G$1&amp;"P"&amp;$A8))),0)-IFERROR(VALUE(IF(RTD("tos.rtd",,"IMPL_VOL","."&amp;G$2&amp;G$1&amp;"C"&amp;$A8)="N/A",0,RTD("tos.rtd",,"IMPL_VOL","."&amp;G$2&amp;G$1&amp;"C"&amp;$A8))),0),IF($A$2="MAXPAIN",IF($A$4&gt;$A8,($A$4-$A8)*IF(RTD("tos.rtd",,"OPEN_INT","."&amp;G$2&amp;G$1&amp;"C"&amp;$A8)="N/A",0,RTD("tos.rtd",,"OPEN_INT","."&amp;G$2&amp;G$1&amp;"C"&amp;$A8)),0)+IF($A$4&lt;$A8,($A$5-$A$4)*IF(RTD("tos.rtd",,"OPEN_INT","."&amp;G$2&amp;G$1&amp;"P"&amp;$A8)="N/A",0,RTD("tos.rtd",,"OPEN_INT","."&amp;G$2&amp;G$1&amp;"P"&amp;$A8)),0),IF($X$1="ABS",IF(RTD("tos.rtd",,$A$2,"."&amp;G$2&amp;G$1&amp;"C"&amp;$A8)="N/A",0,RTD("tos.rtd",,$A$2,"."&amp;G$2&amp;G$1&amp;"C"&amp;$A8))+IF(RTD("tos.rtd",,$A$2,"."&amp;G$2&amp;G$1&amp;"P"&amp;$A8)="N/A",0,RTD("tos.rtd",,$A$2,"."&amp;G$2&amp;G$1&amp;"P"&amp;$A8)),IF(RTD("tos.rtd",,$A$2,"."&amp;G$2&amp;G$1&amp;"C"&amp;$A8)="N/A",0,RTD("tos.rtd",,$A$2,"."&amp;G$2&amp;G$1&amp;"C"&amp;$A8))-IF(RTD("tos.rtd",,$A$2,"."&amp;G$2&amp;G$1&amp;"P"&amp;$A8)="N/A",0,RTD("tos.rtd",,$A$2,"."&amp;G$2&amp;G$1&amp;"P"&amp;$A8))))))))))</f>
        <v>0</v>
      </c>
      <c r="H8" s="14">
        <f ca="1">IF($A$2="PREMIUM_OI",IFERROR(IF($X$1="ABS",(100*RTD("tos.rtd",,"OPEN_INT","."&amp;H$2&amp;H$1&amp;"C"&amp;$A8)*RTD("tos.rtd",,"LAST","."&amp;H$2&amp;H$1&amp;"C"&amp;$A8)+100*RTD("tos.rtd",,"OPEN_INT","."&amp;H$2&amp;H$1&amp;"P"&amp;$A8)*RTD("tos.rtd",,"LAST","."&amp;H$2&amp;H$1&amp;"P"&amp;$A8))/1000000,(100*RTD("tos.rtd",,"OPEN_INT","."&amp;H$2&amp;H$1&amp;"C"&amp;$A8)*RTD("tos.rtd",,"LAST","."&amp;H$2&amp;H$1&amp;"C"&amp;$A8)-100*RTD("tos.rtd",,"OPEN_INT","."&amp;H$2&amp;H$1&amp;"P"&amp;$A8)*RTD("tos.rtd",,"LAST","."&amp;H$2&amp;H$1&amp;"P"&amp;$A8))/1000000),0),IF($A$2="PREMIUM",IFERROR(IF($X$1="ABS",(100*RTD("tos.rtd",,"VOLUME","."&amp;H$2&amp;H$1&amp;"C"&amp;$A8)*RTD("tos.rtd",,"LAST","."&amp;H$2&amp;H$1&amp;"C"&amp;$A8)+100*RTD("tos.rtd",,"VOLUME","."&amp;H$2&amp;H$1&amp;"P"&amp;$A8)*RTD("tos.rtd",,"LAST","."&amp;H$2&amp;H$1&amp;"P"&amp;$A8))/1000000,(100*RTD("tos.rtd",,"VOLUME","."&amp;H$2&amp;H$1&amp;"C"&amp;$A8)*RTD("tos.rtd",,"LAST","."&amp;H$2&amp;H$1&amp;"C"&amp;$A8)-100*RTD("tos.rtd",,"VOLUME","."&amp;H$2&amp;H$1&amp;"P"&amp;$A8)*RTD("tos.rtd",,"LAST","."&amp;H$2&amp;H$1&amp;"P"&amp;$A8))/1000000),0),IF($A$2="DEX",IFERROR(IF($X$1="ABS",(100*RTD("tos.rtd",,"OPEN_INT","."&amp;H$2&amp;H$1&amp;"C"&amp;$A8)*RTD("tos.rtd",,"DELTA","."&amp;H$2&amp;H$1&amp;"C"&amp;$A8)+100*RTD("tos.rtd",,"OPEN_INT","."&amp;H$2&amp;H$1&amp;"P"&amp;$A8)*RTD("tos.rtd",,"DELTA","."&amp;H$2&amp;H$1&amp;"P"&amp;$A8))/1000,(100*RTD("tos.rtd",,"OPEN_INT","."&amp;H$2&amp;H$1&amp;"C"&amp;$A8)*RTD("tos.rtd",,"DELTA","."&amp;H$2&amp;H$1&amp;"C"&amp;$A8)-100*RTD("tos.rtd",,"OPEN_INT","."&amp;H$2&amp;H$1&amp;"P"&amp;$A8)*RTD("tos.rtd",,"DELTA","."&amp;H$2&amp;H$1&amp;"P"&amp;$A8))/1000),0),IF($A$2="VEX",IFERROR(IF($X$1="ABS",($A$4*$A$4*RTD("tos.rtd",,"VOLUME","."&amp;H$2&amp;H$1&amp;"C"&amp;$A8)*RTD("tos.rtd",,"GAMMA","."&amp;H$2&amp;H$1&amp;"C"&amp;$A8)+$A$4*$A$4*RTD("tos.rtd",,"VOLUME","."&amp;H$2&amp;H$1&amp;"P"&amp;$A8)*RTD("tos.rtd",,"GAMMA","."&amp;H$2&amp;H$1&amp;"P"&amp;$A8))/1000000,($A$4*$A$4*RTD("tos.rtd",,"VOLUME","."&amp;H$2&amp;H$1&amp;"C"&amp;$A8)*RTD("tos.rtd",,"GAMMA","."&amp;H$2&amp;H$1&amp;"C"&amp;$A8)-$A$4*$A$4*RTD("tos.rtd",,"VOLUME","."&amp;H$2&amp;H$1&amp;"P"&amp;$A8)*RTD("tos.rtd",,"GAMMA","."&amp;H$2&amp;H$1&amp;"P"&amp;$A8))/1000000),0),IF($A$2="GEX",IFERROR(IF($X$1="ABS",($A$4*$A$4*RTD("tos.rtd",,"OPEN_INT","."&amp;H$2&amp;H$1&amp;"C"&amp;$A8)*RTD("tos.rtd",,"GAMMA","."&amp;H$2&amp;H$1&amp;"C"&amp;$A8)+$A$4*$A$4*RTD("tos.rtd",,"OPEN_INT","."&amp;H$2&amp;H$1&amp;"P"&amp;$A8)*RTD("tos.rtd",,"GAMMA","."&amp;H$2&amp;H$1&amp;"P"&amp;$A8))/1000000,($A$4*$A$4*RTD("tos.rtd",,"OPEN_INT","."&amp;H$2&amp;H$1&amp;"C"&amp;$A8)*RTD("tos.rtd",,"GAMMA","."&amp;H$2&amp;H$1&amp;"C"&amp;$A8)-$A$4*$A$4*RTD("tos.rtd",,"OPEN_INT","."&amp;H$2&amp;H$1&amp;"P"&amp;$A8)*RTD("tos.rtd",,"GAMMA","."&amp;H$2&amp;H$1&amp;"P"&amp;$A8))/1000000),0),IF($A$2="SKEW",IFERROR(VALUE(IF(RTD("tos.rtd",,"IMPL_VOL","."&amp;H$2&amp;H$1&amp;"P"&amp;$A8)="N/A",0,RTD("tos.rtd",,"IMPL_VOL","."&amp;H$2&amp;H$1&amp;"P"&amp;$A8))),0)-IFERROR(VALUE(IF(RTD("tos.rtd",,"IMPL_VOL","."&amp;H$2&amp;H$1&amp;"C"&amp;$A8)="N/A",0,RTD("tos.rtd",,"IMPL_VOL","."&amp;H$2&amp;H$1&amp;"C"&amp;$A8))),0),IF($A$2="MAXPAIN",IF($A$4&gt;$A8,($A$4-$A8)*IF(RTD("tos.rtd",,"OPEN_INT","."&amp;H$2&amp;H$1&amp;"C"&amp;$A8)="N/A",0,RTD("tos.rtd",,"OPEN_INT","."&amp;H$2&amp;H$1&amp;"C"&amp;$A8)),0)+IF($A$4&lt;$A8,($A$5-$A$4)*IF(RTD("tos.rtd",,"OPEN_INT","."&amp;H$2&amp;H$1&amp;"P"&amp;$A8)="N/A",0,RTD("tos.rtd",,"OPEN_INT","."&amp;H$2&amp;H$1&amp;"P"&amp;$A8)),0),IF($X$1="ABS",IF(RTD("tos.rtd",,$A$2,"."&amp;H$2&amp;H$1&amp;"C"&amp;$A8)="N/A",0,RTD("tos.rtd",,$A$2,"."&amp;H$2&amp;H$1&amp;"C"&amp;$A8))+IF(RTD("tos.rtd",,$A$2,"."&amp;H$2&amp;H$1&amp;"P"&amp;$A8)="N/A",0,RTD("tos.rtd",,$A$2,"."&amp;H$2&amp;H$1&amp;"P"&amp;$A8)),IF(RTD("tos.rtd",,$A$2,"."&amp;H$2&amp;H$1&amp;"C"&amp;$A8)="N/A",0,RTD("tos.rtd",,$A$2,"."&amp;H$2&amp;H$1&amp;"C"&amp;$A8))-IF(RTD("tos.rtd",,$A$2,"."&amp;H$2&amp;H$1&amp;"P"&amp;$A8)="N/A",0,RTD("tos.rtd",,$A$2,"."&amp;H$2&amp;H$1&amp;"P"&amp;$A8))))))))))</f>
        <v>0</v>
      </c>
      <c r="I8" s="12">
        <f ca="1">IF($A$2="PREMIUM_OI",IFERROR(IF($X$1="ABS",(100*RTD("tos.rtd",,"OPEN_INT","."&amp;I$2&amp;I$1&amp;"C"&amp;$A8)*RTD("tos.rtd",,"LAST","."&amp;I$2&amp;I$1&amp;"C"&amp;$A8)+100*RTD("tos.rtd",,"OPEN_INT","."&amp;I$2&amp;I$1&amp;"P"&amp;$A8)*RTD("tos.rtd",,"LAST","."&amp;I$2&amp;I$1&amp;"P"&amp;$A8))/1000000,(100*RTD("tos.rtd",,"OPEN_INT","."&amp;I$2&amp;I$1&amp;"C"&amp;$A8)*RTD("tos.rtd",,"LAST","."&amp;I$2&amp;I$1&amp;"C"&amp;$A8)-100*RTD("tos.rtd",,"OPEN_INT","."&amp;I$2&amp;I$1&amp;"P"&amp;$A8)*RTD("tos.rtd",,"LAST","."&amp;I$2&amp;I$1&amp;"P"&amp;$A8))/1000000),0),IF($A$2="PREMIUM",IFERROR(IF($X$1="ABS",(100*RTD("tos.rtd",,"VOLUME","."&amp;I$2&amp;I$1&amp;"C"&amp;$A8)*RTD("tos.rtd",,"LAST","."&amp;I$2&amp;I$1&amp;"C"&amp;$A8)+100*RTD("tos.rtd",,"VOLUME","."&amp;I$2&amp;I$1&amp;"P"&amp;$A8)*RTD("tos.rtd",,"LAST","."&amp;I$2&amp;I$1&amp;"P"&amp;$A8))/1000000,(100*RTD("tos.rtd",,"VOLUME","."&amp;I$2&amp;I$1&amp;"C"&amp;$A8)*RTD("tos.rtd",,"LAST","."&amp;I$2&amp;I$1&amp;"C"&amp;$A8)-100*RTD("tos.rtd",,"VOLUME","."&amp;I$2&amp;I$1&amp;"P"&amp;$A8)*RTD("tos.rtd",,"LAST","."&amp;I$2&amp;I$1&amp;"P"&amp;$A8))/1000000),0),IF($A$2="DEX",IFERROR(IF($X$1="ABS",(100*RTD("tos.rtd",,"OPEN_INT","."&amp;I$2&amp;I$1&amp;"C"&amp;$A8)*RTD("tos.rtd",,"DELTA","."&amp;I$2&amp;I$1&amp;"C"&amp;$A8)+100*RTD("tos.rtd",,"OPEN_INT","."&amp;I$2&amp;I$1&amp;"P"&amp;$A8)*RTD("tos.rtd",,"DELTA","."&amp;I$2&amp;I$1&amp;"P"&amp;$A8))/1000,(100*RTD("tos.rtd",,"OPEN_INT","."&amp;I$2&amp;I$1&amp;"C"&amp;$A8)*RTD("tos.rtd",,"DELTA","."&amp;I$2&amp;I$1&amp;"C"&amp;$A8)-100*RTD("tos.rtd",,"OPEN_INT","."&amp;I$2&amp;I$1&amp;"P"&amp;$A8)*RTD("tos.rtd",,"DELTA","."&amp;I$2&amp;I$1&amp;"P"&amp;$A8))/1000),0),IF($A$2="VEX",IFERROR(IF($X$1="ABS",($A$4*$A$4*RTD("tos.rtd",,"VOLUME","."&amp;I$2&amp;I$1&amp;"C"&amp;$A8)*RTD("tos.rtd",,"GAMMA","."&amp;I$2&amp;I$1&amp;"C"&amp;$A8)+$A$4*$A$4*RTD("tos.rtd",,"VOLUME","."&amp;I$2&amp;I$1&amp;"P"&amp;$A8)*RTD("tos.rtd",,"GAMMA","."&amp;I$2&amp;I$1&amp;"P"&amp;$A8))/1000000,($A$4*$A$4*RTD("tos.rtd",,"VOLUME","."&amp;I$2&amp;I$1&amp;"C"&amp;$A8)*RTD("tos.rtd",,"GAMMA","."&amp;I$2&amp;I$1&amp;"C"&amp;$A8)-$A$4*$A$4*RTD("tos.rtd",,"VOLUME","."&amp;I$2&amp;I$1&amp;"P"&amp;$A8)*RTD("tos.rtd",,"GAMMA","."&amp;I$2&amp;I$1&amp;"P"&amp;$A8))/1000000),0),IF($A$2="GEX",IFERROR(IF($X$1="ABS",($A$4*$A$4*RTD("tos.rtd",,"OPEN_INT","."&amp;I$2&amp;I$1&amp;"C"&amp;$A8)*RTD("tos.rtd",,"GAMMA","."&amp;I$2&amp;I$1&amp;"C"&amp;$A8)+$A$4*$A$4*RTD("tos.rtd",,"OPEN_INT","."&amp;I$2&amp;I$1&amp;"P"&amp;$A8)*RTD("tos.rtd",,"GAMMA","."&amp;I$2&amp;I$1&amp;"P"&amp;$A8))/1000000,($A$4*$A$4*RTD("tos.rtd",,"OPEN_INT","."&amp;I$2&amp;I$1&amp;"C"&amp;$A8)*RTD("tos.rtd",,"GAMMA","."&amp;I$2&amp;I$1&amp;"C"&amp;$A8)-$A$4*$A$4*RTD("tos.rtd",,"OPEN_INT","."&amp;I$2&amp;I$1&amp;"P"&amp;$A8)*RTD("tos.rtd",,"GAMMA","."&amp;I$2&amp;I$1&amp;"P"&amp;$A8))/1000000),0),IF($A$2="SKEW",IFERROR(VALUE(IF(RTD("tos.rtd",,"IMPL_VOL","."&amp;I$2&amp;I$1&amp;"P"&amp;$A8)="N/A",0,RTD("tos.rtd",,"IMPL_VOL","."&amp;I$2&amp;I$1&amp;"P"&amp;$A8))),0)-IFERROR(VALUE(IF(RTD("tos.rtd",,"IMPL_VOL","."&amp;I$2&amp;I$1&amp;"C"&amp;$A8)="N/A",0,RTD("tos.rtd",,"IMPL_VOL","."&amp;I$2&amp;I$1&amp;"C"&amp;$A8))),0),IF($A$2="MAXPAIN",IF($A$4&gt;$A8,($A$4-$A8)*IF(RTD("tos.rtd",,"OPEN_INT","."&amp;I$2&amp;I$1&amp;"C"&amp;$A8)="N/A",0,RTD("tos.rtd",,"OPEN_INT","."&amp;I$2&amp;I$1&amp;"C"&amp;$A8)),0)+IF($A$4&lt;$A8,($A$5-$A$4)*IF(RTD("tos.rtd",,"OPEN_INT","."&amp;I$2&amp;I$1&amp;"P"&amp;$A8)="N/A",0,RTD("tos.rtd",,"OPEN_INT","."&amp;I$2&amp;I$1&amp;"P"&amp;$A8)),0),IF($X$1="ABS",IF(RTD("tos.rtd",,$A$2,"."&amp;I$2&amp;I$1&amp;"C"&amp;$A8)="N/A",0,RTD("tos.rtd",,$A$2,"."&amp;I$2&amp;I$1&amp;"C"&amp;$A8))+IF(RTD("tos.rtd",,$A$2,"."&amp;I$2&amp;I$1&amp;"P"&amp;$A8)="N/A",0,RTD("tos.rtd",,$A$2,"."&amp;I$2&amp;I$1&amp;"P"&amp;$A8)),IF(RTD("tos.rtd",,$A$2,"."&amp;I$2&amp;I$1&amp;"C"&amp;$A8)="N/A",0,RTD("tos.rtd",,$A$2,"."&amp;I$2&amp;I$1&amp;"C"&amp;$A8))-IF(RTD("tos.rtd",,$A$2,"."&amp;I$2&amp;I$1&amp;"P"&amp;$A8)="N/A",0,RTD("tos.rtd",,$A$2,"."&amp;I$2&amp;I$1&amp;"P"&amp;$A8))))))))))</f>
        <v>0</v>
      </c>
      <c r="J8" s="12">
        <f ca="1">IF($A$2="PREMIUM_OI",IFERROR(IF($X$1="ABS",(100*RTD("tos.rtd",,"OPEN_INT","."&amp;J$2&amp;J$1&amp;"C"&amp;$A8)*RTD("tos.rtd",,"LAST","."&amp;J$2&amp;J$1&amp;"C"&amp;$A8)+100*RTD("tos.rtd",,"OPEN_INT","."&amp;J$2&amp;J$1&amp;"P"&amp;$A8)*RTD("tos.rtd",,"LAST","."&amp;J$2&amp;J$1&amp;"P"&amp;$A8))/1000000,(100*RTD("tos.rtd",,"OPEN_INT","."&amp;J$2&amp;J$1&amp;"C"&amp;$A8)*RTD("tos.rtd",,"LAST","."&amp;J$2&amp;J$1&amp;"C"&amp;$A8)-100*RTD("tos.rtd",,"OPEN_INT","."&amp;J$2&amp;J$1&amp;"P"&amp;$A8)*RTD("tos.rtd",,"LAST","."&amp;J$2&amp;J$1&amp;"P"&amp;$A8))/1000000),0),IF($A$2="PREMIUM",IFERROR(IF($X$1="ABS",(100*RTD("tos.rtd",,"VOLUME","."&amp;J$2&amp;J$1&amp;"C"&amp;$A8)*RTD("tos.rtd",,"LAST","."&amp;J$2&amp;J$1&amp;"C"&amp;$A8)+100*RTD("tos.rtd",,"VOLUME","."&amp;J$2&amp;J$1&amp;"P"&amp;$A8)*RTD("tos.rtd",,"LAST","."&amp;J$2&amp;J$1&amp;"P"&amp;$A8))/1000000,(100*RTD("tos.rtd",,"VOLUME","."&amp;J$2&amp;J$1&amp;"C"&amp;$A8)*RTD("tos.rtd",,"LAST","."&amp;J$2&amp;J$1&amp;"C"&amp;$A8)-100*RTD("tos.rtd",,"VOLUME","."&amp;J$2&amp;J$1&amp;"P"&amp;$A8)*RTD("tos.rtd",,"LAST","."&amp;J$2&amp;J$1&amp;"P"&amp;$A8))/1000000),0),IF($A$2="DEX",IFERROR(IF($X$1="ABS",(100*RTD("tos.rtd",,"OPEN_INT","."&amp;J$2&amp;J$1&amp;"C"&amp;$A8)*RTD("tos.rtd",,"DELTA","."&amp;J$2&amp;J$1&amp;"C"&amp;$A8)+100*RTD("tos.rtd",,"OPEN_INT","."&amp;J$2&amp;J$1&amp;"P"&amp;$A8)*RTD("tos.rtd",,"DELTA","."&amp;J$2&amp;J$1&amp;"P"&amp;$A8))/1000,(100*RTD("tos.rtd",,"OPEN_INT","."&amp;J$2&amp;J$1&amp;"C"&amp;$A8)*RTD("tos.rtd",,"DELTA","."&amp;J$2&amp;J$1&amp;"C"&amp;$A8)-100*RTD("tos.rtd",,"OPEN_INT","."&amp;J$2&amp;J$1&amp;"P"&amp;$A8)*RTD("tos.rtd",,"DELTA","."&amp;J$2&amp;J$1&amp;"P"&amp;$A8))/1000),0),IF($A$2="VEX",IFERROR(IF($X$1="ABS",($A$4*$A$4*RTD("tos.rtd",,"VOLUME","."&amp;J$2&amp;J$1&amp;"C"&amp;$A8)*RTD("tos.rtd",,"GAMMA","."&amp;J$2&amp;J$1&amp;"C"&amp;$A8)+$A$4*$A$4*RTD("tos.rtd",,"VOLUME","."&amp;J$2&amp;J$1&amp;"P"&amp;$A8)*RTD("tos.rtd",,"GAMMA","."&amp;J$2&amp;J$1&amp;"P"&amp;$A8))/1000000,($A$4*$A$4*RTD("tos.rtd",,"VOLUME","."&amp;J$2&amp;J$1&amp;"C"&amp;$A8)*RTD("tos.rtd",,"GAMMA","."&amp;J$2&amp;J$1&amp;"C"&amp;$A8)-$A$4*$A$4*RTD("tos.rtd",,"VOLUME","."&amp;J$2&amp;J$1&amp;"P"&amp;$A8)*RTD("tos.rtd",,"GAMMA","."&amp;J$2&amp;J$1&amp;"P"&amp;$A8))/1000000),0),IF($A$2="GEX",IFERROR(IF($X$1="ABS",($A$4*$A$4*RTD("tos.rtd",,"OPEN_INT","."&amp;J$2&amp;J$1&amp;"C"&amp;$A8)*RTD("tos.rtd",,"GAMMA","."&amp;J$2&amp;J$1&amp;"C"&amp;$A8)+$A$4*$A$4*RTD("tos.rtd",,"OPEN_INT","."&amp;J$2&amp;J$1&amp;"P"&amp;$A8)*RTD("tos.rtd",,"GAMMA","."&amp;J$2&amp;J$1&amp;"P"&amp;$A8))/1000000,($A$4*$A$4*RTD("tos.rtd",,"OPEN_INT","."&amp;J$2&amp;J$1&amp;"C"&amp;$A8)*RTD("tos.rtd",,"GAMMA","."&amp;J$2&amp;J$1&amp;"C"&amp;$A8)-$A$4*$A$4*RTD("tos.rtd",,"OPEN_INT","."&amp;J$2&amp;J$1&amp;"P"&amp;$A8)*RTD("tos.rtd",,"GAMMA","."&amp;J$2&amp;J$1&amp;"P"&amp;$A8))/1000000),0),IF($A$2="SKEW",IFERROR(VALUE(IF(RTD("tos.rtd",,"IMPL_VOL","."&amp;J$2&amp;J$1&amp;"P"&amp;$A8)="N/A",0,RTD("tos.rtd",,"IMPL_VOL","."&amp;J$2&amp;J$1&amp;"P"&amp;$A8))),0)-IFERROR(VALUE(IF(RTD("tos.rtd",,"IMPL_VOL","."&amp;J$2&amp;J$1&amp;"C"&amp;$A8)="N/A",0,RTD("tos.rtd",,"IMPL_VOL","."&amp;J$2&amp;J$1&amp;"C"&amp;$A8))),0),IF($A$2="MAXPAIN",IF($A$4&gt;$A8,($A$4-$A8)*IF(RTD("tos.rtd",,"OPEN_INT","."&amp;J$2&amp;J$1&amp;"C"&amp;$A8)="N/A",0,RTD("tos.rtd",,"OPEN_INT","."&amp;J$2&amp;J$1&amp;"C"&amp;$A8)),0)+IF($A$4&lt;$A8,($A$5-$A$4)*IF(RTD("tos.rtd",,"OPEN_INT","."&amp;J$2&amp;J$1&amp;"P"&amp;$A8)="N/A",0,RTD("tos.rtd",,"OPEN_INT","."&amp;J$2&amp;J$1&amp;"P"&amp;$A8)),0),IF($X$1="ABS",IF(RTD("tos.rtd",,$A$2,"."&amp;J$2&amp;J$1&amp;"C"&amp;$A8)="N/A",0,RTD("tos.rtd",,$A$2,"."&amp;J$2&amp;J$1&amp;"C"&amp;$A8))+IF(RTD("tos.rtd",,$A$2,"."&amp;J$2&amp;J$1&amp;"P"&amp;$A8)="N/A",0,RTD("tos.rtd",,$A$2,"."&amp;J$2&amp;J$1&amp;"P"&amp;$A8)),IF(RTD("tos.rtd",,$A$2,"."&amp;J$2&amp;J$1&amp;"C"&amp;$A8)="N/A",0,RTD("tos.rtd",,$A$2,"."&amp;J$2&amp;J$1&amp;"C"&amp;$A8))-IF(RTD("tos.rtd",,$A$2,"."&amp;J$2&amp;J$1&amp;"P"&amp;$A8)="N/A",0,RTD("tos.rtd",,$A$2,"."&amp;J$2&amp;J$1&amp;"P"&amp;$A8))))))))))</f>
        <v>0</v>
      </c>
      <c r="K8" s="12">
        <f ca="1">IF($A$2="PREMIUM_OI",IFERROR(IF($X$1="ABS",(100*RTD("tos.rtd",,"OPEN_INT","."&amp;K$2&amp;K$1&amp;"C"&amp;$A8)*RTD("tos.rtd",,"LAST","."&amp;K$2&amp;K$1&amp;"C"&amp;$A8)+100*RTD("tos.rtd",,"OPEN_INT","."&amp;K$2&amp;K$1&amp;"P"&amp;$A8)*RTD("tos.rtd",,"LAST","."&amp;K$2&amp;K$1&amp;"P"&amp;$A8))/1000000,(100*RTD("tos.rtd",,"OPEN_INT","."&amp;K$2&amp;K$1&amp;"C"&amp;$A8)*RTD("tos.rtd",,"LAST","."&amp;K$2&amp;K$1&amp;"C"&amp;$A8)-100*RTD("tos.rtd",,"OPEN_INT","."&amp;K$2&amp;K$1&amp;"P"&amp;$A8)*RTD("tos.rtd",,"LAST","."&amp;K$2&amp;K$1&amp;"P"&amp;$A8))/1000000),0),IF($A$2="PREMIUM",IFERROR(IF($X$1="ABS",(100*RTD("tos.rtd",,"VOLUME","."&amp;K$2&amp;K$1&amp;"C"&amp;$A8)*RTD("tos.rtd",,"LAST","."&amp;K$2&amp;K$1&amp;"C"&amp;$A8)+100*RTD("tos.rtd",,"VOLUME","."&amp;K$2&amp;K$1&amp;"P"&amp;$A8)*RTD("tos.rtd",,"LAST","."&amp;K$2&amp;K$1&amp;"P"&amp;$A8))/1000000,(100*RTD("tos.rtd",,"VOLUME","."&amp;K$2&amp;K$1&amp;"C"&amp;$A8)*RTD("tos.rtd",,"LAST","."&amp;K$2&amp;K$1&amp;"C"&amp;$A8)-100*RTD("tos.rtd",,"VOLUME","."&amp;K$2&amp;K$1&amp;"P"&amp;$A8)*RTD("tos.rtd",,"LAST","."&amp;K$2&amp;K$1&amp;"P"&amp;$A8))/1000000),0),IF($A$2="DEX",IFERROR(IF($X$1="ABS",(100*RTD("tos.rtd",,"OPEN_INT","."&amp;K$2&amp;K$1&amp;"C"&amp;$A8)*RTD("tos.rtd",,"DELTA","."&amp;K$2&amp;K$1&amp;"C"&amp;$A8)+100*RTD("tos.rtd",,"OPEN_INT","."&amp;K$2&amp;K$1&amp;"P"&amp;$A8)*RTD("tos.rtd",,"DELTA","."&amp;K$2&amp;K$1&amp;"P"&amp;$A8))/1000,(100*RTD("tos.rtd",,"OPEN_INT","."&amp;K$2&amp;K$1&amp;"C"&amp;$A8)*RTD("tos.rtd",,"DELTA","."&amp;K$2&amp;K$1&amp;"C"&amp;$A8)-100*RTD("tos.rtd",,"OPEN_INT","."&amp;K$2&amp;K$1&amp;"P"&amp;$A8)*RTD("tos.rtd",,"DELTA","."&amp;K$2&amp;K$1&amp;"P"&amp;$A8))/1000),0),IF($A$2="VEX",IFERROR(IF($X$1="ABS",($A$4*$A$4*RTD("tos.rtd",,"VOLUME","."&amp;K$2&amp;K$1&amp;"C"&amp;$A8)*RTD("tos.rtd",,"GAMMA","."&amp;K$2&amp;K$1&amp;"C"&amp;$A8)+$A$4*$A$4*RTD("tos.rtd",,"VOLUME","."&amp;K$2&amp;K$1&amp;"P"&amp;$A8)*RTD("tos.rtd",,"GAMMA","."&amp;K$2&amp;K$1&amp;"P"&amp;$A8))/1000000,($A$4*$A$4*RTD("tos.rtd",,"VOLUME","."&amp;K$2&amp;K$1&amp;"C"&amp;$A8)*RTD("tos.rtd",,"GAMMA","."&amp;K$2&amp;K$1&amp;"C"&amp;$A8)-$A$4*$A$4*RTD("tos.rtd",,"VOLUME","."&amp;K$2&amp;K$1&amp;"P"&amp;$A8)*RTD("tos.rtd",,"GAMMA","."&amp;K$2&amp;K$1&amp;"P"&amp;$A8))/1000000),0),IF($A$2="GEX",IFERROR(IF($X$1="ABS",($A$4*$A$4*RTD("tos.rtd",,"OPEN_INT","."&amp;K$2&amp;K$1&amp;"C"&amp;$A8)*RTD("tos.rtd",,"GAMMA","."&amp;K$2&amp;K$1&amp;"C"&amp;$A8)+$A$4*$A$4*RTD("tos.rtd",,"OPEN_INT","."&amp;K$2&amp;K$1&amp;"P"&amp;$A8)*RTD("tos.rtd",,"GAMMA","."&amp;K$2&amp;K$1&amp;"P"&amp;$A8))/1000000,($A$4*$A$4*RTD("tos.rtd",,"OPEN_INT","."&amp;K$2&amp;K$1&amp;"C"&amp;$A8)*RTD("tos.rtd",,"GAMMA","."&amp;K$2&amp;K$1&amp;"C"&amp;$A8)-$A$4*$A$4*RTD("tos.rtd",,"OPEN_INT","."&amp;K$2&amp;K$1&amp;"P"&amp;$A8)*RTD("tos.rtd",,"GAMMA","."&amp;K$2&amp;K$1&amp;"P"&amp;$A8))/1000000),0),IF($A$2="SKEW",IFERROR(VALUE(IF(RTD("tos.rtd",,"IMPL_VOL","."&amp;K$2&amp;K$1&amp;"P"&amp;$A8)="N/A",0,RTD("tos.rtd",,"IMPL_VOL","."&amp;K$2&amp;K$1&amp;"P"&amp;$A8))),0)-IFERROR(VALUE(IF(RTD("tos.rtd",,"IMPL_VOL","."&amp;K$2&amp;K$1&amp;"C"&amp;$A8)="N/A",0,RTD("tos.rtd",,"IMPL_VOL","."&amp;K$2&amp;K$1&amp;"C"&amp;$A8))),0),IF($A$2="MAXPAIN",IF($A$4&gt;$A8,($A$4-$A8)*IF(RTD("tos.rtd",,"OPEN_INT","."&amp;K$2&amp;K$1&amp;"C"&amp;$A8)="N/A",0,RTD("tos.rtd",,"OPEN_INT","."&amp;K$2&amp;K$1&amp;"C"&amp;$A8)),0)+IF($A$4&lt;$A8,($A$5-$A$4)*IF(RTD("tos.rtd",,"OPEN_INT","."&amp;K$2&amp;K$1&amp;"P"&amp;$A8)="N/A",0,RTD("tos.rtd",,"OPEN_INT","."&amp;K$2&amp;K$1&amp;"P"&amp;$A8)),0),IF($X$1="ABS",IF(RTD("tos.rtd",,$A$2,"."&amp;K$2&amp;K$1&amp;"C"&amp;$A8)="N/A",0,RTD("tos.rtd",,$A$2,"."&amp;K$2&amp;K$1&amp;"C"&amp;$A8))+IF(RTD("tos.rtd",,$A$2,"."&amp;K$2&amp;K$1&amp;"P"&amp;$A8)="N/A",0,RTD("tos.rtd",,$A$2,"."&amp;K$2&amp;K$1&amp;"P"&amp;$A8)),IF(RTD("tos.rtd",,$A$2,"."&amp;K$2&amp;K$1&amp;"C"&amp;$A8)="N/A",0,RTD("tos.rtd",,$A$2,"."&amp;K$2&amp;K$1&amp;"C"&amp;$A8))-IF(RTD("tos.rtd",,$A$2,"."&amp;K$2&amp;K$1&amp;"P"&amp;$A8)="N/A",0,RTD("tos.rtd",,$A$2,"."&amp;K$2&amp;K$1&amp;"P"&amp;$A8))))))))))</f>
        <v>0</v>
      </c>
      <c r="L8" s="54">
        <f ca="1">IF($A$2="PREMIUM_OI",IFERROR(IF($X$1="ABS",(100*RTD("tos.rtd",,"OPEN_INT","."&amp;L$2&amp;L$1&amp;"C"&amp;$A8)*RTD("tos.rtd",,"LAST","."&amp;L$2&amp;L$1&amp;"C"&amp;$A8)+100*RTD("tos.rtd",,"OPEN_INT","."&amp;L$2&amp;L$1&amp;"P"&amp;$A8)*RTD("tos.rtd",,"LAST","."&amp;L$2&amp;L$1&amp;"P"&amp;$A8))/1000000,(100*RTD("tos.rtd",,"OPEN_INT","."&amp;L$2&amp;L$1&amp;"C"&amp;$A8)*RTD("tos.rtd",,"LAST","."&amp;L$2&amp;L$1&amp;"C"&amp;$A8)-100*RTD("tos.rtd",,"OPEN_INT","."&amp;L$2&amp;L$1&amp;"P"&amp;$A8)*RTD("tos.rtd",,"LAST","."&amp;L$2&amp;L$1&amp;"P"&amp;$A8))/1000000),0),IF($A$2="PREMIUM",IFERROR(IF($X$1="ABS",(100*RTD("tos.rtd",,"VOLUME","."&amp;L$2&amp;L$1&amp;"C"&amp;$A8)*RTD("tos.rtd",,"LAST","."&amp;L$2&amp;L$1&amp;"C"&amp;$A8)+100*RTD("tos.rtd",,"VOLUME","."&amp;L$2&amp;L$1&amp;"P"&amp;$A8)*RTD("tos.rtd",,"LAST","."&amp;L$2&amp;L$1&amp;"P"&amp;$A8))/1000000,(100*RTD("tos.rtd",,"VOLUME","."&amp;L$2&amp;L$1&amp;"C"&amp;$A8)*RTD("tos.rtd",,"LAST","."&amp;L$2&amp;L$1&amp;"C"&amp;$A8)-100*RTD("tos.rtd",,"VOLUME","."&amp;L$2&amp;L$1&amp;"P"&amp;$A8)*RTD("tos.rtd",,"LAST","."&amp;L$2&amp;L$1&amp;"P"&amp;$A8))/1000000),0),IF($A$2="DEX",IFERROR(IF($X$1="ABS",(100*RTD("tos.rtd",,"OPEN_INT","."&amp;L$2&amp;L$1&amp;"C"&amp;$A8)*RTD("tos.rtd",,"DELTA","."&amp;L$2&amp;L$1&amp;"C"&amp;$A8)+100*RTD("tos.rtd",,"OPEN_INT","."&amp;L$2&amp;L$1&amp;"P"&amp;$A8)*RTD("tos.rtd",,"DELTA","."&amp;L$2&amp;L$1&amp;"P"&amp;$A8))/1000,(100*RTD("tos.rtd",,"OPEN_INT","."&amp;L$2&amp;L$1&amp;"C"&amp;$A8)*RTD("tos.rtd",,"DELTA","."&amp;L$2&amp;L$1&amp;"C"&amp;$A8)-100*RTD("tos.rtd",,"OPEN_INT","."&amp;L$2&amp;L$1&amp;"P"&amp;$A8)*RTD("tos.rtd",,"DELTA","."&amp;L$2&amp;L$1&amp;"P"&amp;$A8))/1000),0),IF($A$2="VEX",IFERROR(IF($X$1="ABS",($A$4*$A$4*RTD("tos.rtd",,"VOLUME","."&amp;L$2&amp;L$1&amp;"C"&amp;$A8)*RTD("tos.rtd",,"GAMMA","."&amp;L$2&amp;L$1&amp;"C"&amp;$A8)+$A$4*$A$4*RTD("tos.rtd",,"VOLUME","."&amp;L$2&amp;L$1&amp;"P"&amp;$A8)*RTD("tos.rtd",,"GAMMA","."&amp;L$2&amp;L$1&amp;"P"&amp;$A8))/1000000,($A$4*$A$4*RTD("tos.rtd",,"VOLUME","."&amp;L$2&amp;L$1&amp;"C"&amp;$A8)*RTD("tos.rtd",,"GAMMA","."&amp;L$2&amp;L$1&amp;"C"&amp;$A8)-$A$4*$A$4*RTD("tos.rtd",,"VOLUME","."&amp;L$2&amp;L$1&amp;"P"&amp;$A8)*RTD("tos.rtd",,"GAMMA","."&amp;L$2&amp;L$1&amp;"P"&amp;$A8))/1000000),0),IF($A$2="GEX",IFERROR(IF($X$1="ABS",($A$4*$A$4*RTD("tos.rtd",,"OPEN_INT","."&amp;L$2&amp;L$1&amp;"C"&amp;$A8)*RTD("tos.rtd",,"GAMMA","."&amp;L$2&amp;L$1&amp;"C"&amp;$A8)+$A$4*$A$4*RTD("tos.rtd",,"OPEN_INT","."&amp;L$2&amp;L$1&amp;"P"&amp;$A8)*RTD("tos.rtd",,"GAMMA","."&amp;L$2&amp;L$1&amp;"P"&amp;$A8))/1000000,($A$4*$A$4*RTD("tos.rtd",,"OPEN_INT","."&amp;L$2&amp;L$1&amp;"C"&amp;$A8)*RTD("tos.rtd",,"GAMMA","."&amp;L$2&amp;L$1&amp;"C"&amp;$A8)-$A$4*$A$4*RTD("tos.rtd",,"OPEN_INT","."&amp;L$2&amp;L$1&amp;"P"&amp;$A8)*RTD("tos.rtd",,"GAMMA","."&amp;L$2&amp;L$1&amp;"P"&amp;$A8))/1000000),0),IF($A$2="SKEW",IFERROR(VALUE(IF(RTD("tos.rtd",,"IMPL_VOL","."&amp;L$2&amp;L$1&amp;"P"&amp;$A8)="N/A",0,RTD("tos.rtd",,"IMPL_VOL","."&amp;L$2&amp;L$1&amp;"P"&amp;$A8))),0)-IFERROR(VALUE(IF(RTD("tos.rtd",,"IMPL_VOL","."&amp;L$2&amp;L$1&amp;"C"&amp;$A8)="N/A",0,RTD("tos.rtd",,"IMPL_VOL","."&amp;L$2&amp;L$1&amp;"C"&amp;$A8))),0),IF($A$2="MAXPAIN",IF($A$4&gt;$A8,($A$4-$A8)*IF(RTD("tos.rtd",,"OPEN_INT","."&amp;L$2&amp;L$1&amp;"C"&amp;$A8)="N/A",0,RTD("tos.rtd",,"OPEN_INT","."&amp;L$2&amp;L$1&amp;"C"&amp;$A8)),0)+IF($A$4&lt;$A8,($A$5-$A$4)*IF(RTD("tos.rtd",,"OPEN_INT","."&amp;L$2&amp;L$1&amp;"P"&amp;$A8)="N/A",0,RTD("tos.rtd",,"OPEN_INT","."&amp;L$2&amp;L$1&amp;"P"&amp;$A8)),0),IF($X$1="ABS",IF(RTD("tos.rtd",,$A$2,"."&amp;L$2&amp;L$1&amp;"C"&amp;$A8)="N/A",0,RTD("tos.rtd",,$A$2,"."&amp;L$2&amp;L$1&amp;"C"&amp;$A8))+IF(RTD("tos.rtd",,$A$2,"."&amp;L$2&amp;L$1&amp;"P"&amp;$A8)="N/A",0,RTD("tos.rtd",,$A$2,"."&amp;L$2&amp;L$1&amp;"P"&amp;$A8)),IF(RTD("tos.rtd",,$A$2,"."&amp;L$2&amp;L$1&amp;"C"&amp;$A8)="N/A",0,RTD("tos.rtd",,$A$2,"."&amp;L$2&amp;L$1&amp;"C"&amp;$A8))-IF(RTD("tos.rtd",,$A$2,"."&amp;L$2&amp;L$1&amp;"P"&amp;$A8)="N/A",0,RTD("tos.rtd",,$A$2,"."&amp;L$2&amp;L$1&amp;"P"&amp;$A8))))))))))</f>
        <v>0</v>
      </c>
      <c r="M8" s="12">
        <f ca="1">IF($A$2="PREMIUM_OI",IFERROR(IF($X$1="ABS",(100*RTD("tos.rtd",,"OPEN_INT","."&amp;M$2&amp;M$1&amp;"C"&amp;$A8)*RTD("tos.rtd",,"LAST","."&amp;M$2&amp;M$1&amp;"C"&amp;$A8)+100*RTD("tos.rtd",,"OPEN_INT","."&amp;M$2&amp;M$1&amp;"P"&amp;$A8)*RTD("tos.rtd",,"LAST","."&amp;M$2&amp;M$1&amp;"P"&amp;$A8))/1000000,(100*RTD("tos.rtd",,"OPEN_INT","."&amp;M$2&amp;M$1&amp;"C"&amp;$A8)*RTD("tos.rtd",,"LAST","."&amp;M$2&amp;M$1&amp;"C"&amp;$A8)-100*RTD("tos.rtd",,"OPEN_INT","."&amp;M$2&amp;M$1&amp;"P"&amp;$A8)*RTD("tos.rtd",,"LAST","."&amp;M$2&amp;M$1&amp;"P"&amp;$A8))/1000000),0),IF($A$2="PREMIUM",IFERROR(IF($X$1="ABS",(100*RTD("tos.rtd",,"VOLUME","."&amp;M$2&amp;M$1&amp;"C"&amp;$A8)*RTD("tos.rtd",,"LAST","."&amp;M$2&amp;M$1&amp;"C"&amp;$A8)+100*RTD("tos.rtd",,"VOLUME","."&amp;M$2&amp;M$1&amp;"P"&amp;$A8)*RTD("tos.rtd",,"LAST","."&amp;M$2&amp;M$1&amp;"P"&amp;$A8))/1000000,(100*RTD("tos.rtd",,"VOLUME","."&amp;M$2&amp;M$1&amp;"C"&amp;$A8)*RTD("tos.rtd",,"LAST","."&amp;M$2&amp;M$1&amp;"C"&amp;$A8)-100*RTD("tos.rtd",,"VOLUME","."&amp;M$2&amp;M$1&amp;"P"&amp;$A8)*RTD("tos.rtd",,"LAST","."&amp;M$2&amp;M$1&amp;"P"&amp;$A8))/1000000),0),IF($A$2="DEX",IFERROR(IF($X$1="ABS",(100*RTD("tos.rtd",,"OPEN_INT","."&amp;M$2&amp;M$1&amp;"C"&amp;$A8)*RTD("tos.rtd",,"DELTA","."&amp;M$2&amp;M$1&amp;"C"&amp;$A8)+100*RTD("tos.rtd",,"OPEN_INT","."&amp;M$2&amp;M$1&amp;"P"&amp;$A8)*RTD("tos.rtd",,"DELTA","."&amp;M$2&amp;M$1&amp;"P"&amp;$A8))/1000,(100*RTD("tos.rtd",,"OPEN_INT","."&amp;M$2&amp;M$1&amp;"C"&amp;$A8)*RTD("tos.rtd",,"DELTA","."&amp;M$2&amp;M$1&amp;"C"&amp;$A8)-100*RTD("tos.rtd",,"OPEN_INT","."&amp;M$2&amp;M$1&amp;"P"&amp;$A8)*RTD("tos.rtd",,"DELTA","."&amp;M$2&amp;M$1&amp;"P"&amp;$A8))/1000),0),IF($A$2="VEX",IFERROR(IF($X$1="ABS",($A$4*$A$4*RTD("tos.rtd",,"VOLUME","."&amp;M$2&amp;M$1&amp;"C"&amp;$A8)*RTD("tos.rtd",,"GAMMA","."&amp;M$2&amp;M$1&amp;"C"&amp;$A8)+$A$4*$A$4*RTD("tos.rtd",,"VOLUME","."&amp;M$2&amp;M$1&amp;"P"&amp;$A8)*RTD("tos.rtd",,"GAMMA","."&amp;M$2&amp;M$1&amp;"P"&amp;$A8))/1000000,($A$4*$A$4*RTD("tos.rtd",,"VOLUME","."&amp;M$2&amp;M$1&amp;"C"&amp;$A8)*RTD("tos.rtd",,"GAMMA","."&amp;M$2&amp;M$1&amp;"C"&amp;$A8)-$A$4*$A$4*RTD("tos.rtd",,"VOLUME","."&amp;M$2&amp;M$1&amp;"P"&amp;$A8)*RTD("tos.rtd",,"GAMMA","."&amp;M$2&amp;M$1&amp;"P"&amp;$A8))/1000000),0),IF($A$2="GEX",IFERROR(IF($X$1="ABS",($A$4*$A$4*RTD("tos.rtd",,"OPEN_INT","."&amp;M$2&amp;M$1&amp;"C"&amp;$A8)*RTD("tos.rtd",,"GAMMA","."&amp;M$2&amp;M$1&amp;"C"&amp;$A8)+$A$4*$A$4*RTD("tos.rtd",,"OPEN_INT","."&amp;M$2&amp;M$1&amp;"P"&amp;$A8)*RTD("tos.rtd",,"GAMMA","."&amp;M$2&amp;M$1&amp;"P"&amp;$A8))/1000000,($A$4*$A$4*RTD("tos.rtd",,"OPEN_INT","."&amp;M$2&amp;M$1&amp;"C"&amp;$A8)*RTD("tos.rtd",,"GAMMA","."&amp;M$2&amp;M$1&amp;"C"&amp;$A8)-$A$4*$A$4*RTD("tos.rtd",,"OPEN_INT","."&amp;M$2&amp;M$1&amp;"P"&amp;$A8)*RTD("tos.rtd",,"GAMMA","."&amp;M$2&amp;M$1&amp;"P"&amp;$A8))/1000000),0),IF($A$2="SKEW",IFERROR(VALUE(IF(RTD("tos.rtd",,"IMPL_VOL","."&amp;M$2&amp;M$1&amp;"P"&amp;$A8)="N/A",0,RTD("tos.rtd",,"IMPL_VOL","."&amp;M$2&amp;M$1&amp;"P"&amp;$A8))),0)-IFERROR(VALUE(IF(RTD("tos.rtd",,"IMPL_VOL","."&amp;M$2&amp;M$1&amp;"C"&amp;$A8)="N/A",0,RTD("tos.rtd",,"IMPL_VOL","."&amp;M$2&amp;M$1&amp;"C"&amp;$A8))),0),IF($A$2="MAXPAIN",IF($A$4&gt;$A8,($A$4-$A8)*IF(RTD("tos.rtd",,"OPEN_INT","."&amp;M$2&amp;M$1&amp;"C"&amp;$A8)="N/A",0,RTD("tos.rtd",,"OPEN_INT","."&amp;M$2&amp;M$1&amp;"C"&amp;$A8)),0)+IF($A$4&lt;$A8,($A$5-$A$4)*IF(RTD("tos.rtd",,"OPEN_INT","."&amp;M$2&amp;M$1&amp;"P"&amp;$A8)="N/A",0,RTD("tos.rtd",,"OPEN_INT","."&amp;M$2&amp;M$1&amp;"P"&amp;$A8)),0),IF($X$1="ABS",IF(RTD("tos.rtd",,$A$2,"."&amp;M$2&amp;M$1&amp;"C"&amp;$A8)="N/A",0,RTD("tos.rtd",,$A$2,"."&amp;M$2&amp;M$1&amp;"C"&amp;$A8))+IF(RTD("tos.rtd",,$A$2,"."&amp;M$2&amp;M$1&amp;"P"&amp;$A8)="N/A",0,RTD("tos.rtd",,$A$2,"."&amp;M$2&amp;M$1&amp;"P"&amp;$A8)),IF(RTD("tos.rtd",,$A$2,"."&amp;M$2&amp;M$1&amp;"C"&amp;$A8)="N/A",0,RTD("tos.rtd",,$A$2,"."&amp;M$2&amp;M$1&amp;"C"&amp;$A8))-IF(RTD("tos.rtd",,$A$2,"."&amp;M$2&amp;M$1&amp;"P"&amp;$A8)="N/A",0,RTD("tos.rtd",,$A$2,"."&amp;M$2&amp;M$1&amp;"P"&amp;$A8))))))))))</f>
        <v>0</v>
      </c>
      <c r="N8" s="12">
        <f ca="1">IF($A$2="PREMIUM_OI",IFERROR(IF($X$1="ABS",(100*RTD("tos.rtd",,"OPEN_INT","."&amp;N$2&amp;N$1&amp;"C"&amp;$A8)*RTD("tos.rtd",,"LAST","."&amp;N$2&amp;N$1&amp;"C"&amp;$A8)+100*RTD("tos.rtd",,"OPEN_INT","."&amp;N$2&amp;N$1&amp;"P"&amp;$A8)*RTD("tos.rtd",,"LAST","."&amp;N$2&amp;N$1&amp;"P"&amp;$A8))/1000000,(100*RTD("tos.rtd",,"OPEN_INT","."&amp;N$2&amp;N$1&amp;"C"&amp;$A8)*RTD("tos.rtd",,"LAST","."&amp;N$2&amp;N$1&amp;"C"&amp;$A8)-100*RTD("tos.rtd",,"OPEN_INT","."&amp;N$2&amp;N$1&amp;"P"&amp;$A8)*RTD("tos.rtd",,"LAST","."&amp;N$2&amp;N$1&amp;"P"&amp;$A8))/1000000),0),IF($A$2="PREMIUM",IFERROR(IF($X$1="ABS",(100*RTD("tos.rtd",,"VOLUME","."&amp;N$2&amp;N$1&amp;"C"&amp;$A8)*RTD("tos.rtd",,"LAST","."&amp;N$2&amp;N$1&amp;"C"&amp;$A8)+100*RTD("tos.rtd",,"VOLUME","."&amp;N$2&amp;N$1&amp;"P"&amp;$A8)*RTD("tos.rtd",,"LAST","."&amp;N$2&amp;N$1&amp;"P"&amp;$A8))/1000000,(100*RTD("tos.rtd",,"VOLUME","."&amp;N$2&amp;N$1&amp;"C"&amp;$A8)*RTD("tos.rtd",,"LAST","."&amp;N$2&amp;N$1&amp;"C"&amp;$A8)-100*RTD("tos.rtd",,"VOLUME","."&amp;N$2&amp;N$1&amp;"P"&amp;$A8)*RTD("tos.rtd",,"LAST","."&amp;N$2&amp;N$1&amp;"P"&amp;$A8))/1000000),0),IF($A$2="DEX",IFERROR(IF($X$1="ABS",(100*RTD("tos.rtd",,"OPEN_INT","."&amp;N$2&amp;N$1&amp;"C"&amp;$A8)*RTD("tos.rtd",,"DELTA","."&amp;N$2&amp;N$1&amp;"C"&amp;$A8)+100*RTD("tos.rtd",,"OPEN_INT","."&amp;N$2&amp;N$1&amp;"P"&amp;$A8)*RTD("tos.rtd",,"DELTA","."&amp;N$2&amp;N$1&amp;"P"&amp;$A8))/1000,(100*RTD("tos.rtd",,"OPEN_INT","."&amp;N$2&amp;N$1&amp;"C"&amp;$A8)*RTD("tos.rtd",,"DELTA","."&amp;N$2&amp;N$1&amp;"C"&amp;$A8)-100*RTD("tos.rtd",,"OPEN_INT","."&amp;N$2&amp;N$1&amp;"P"&amp;$A8)*RTD("tos.rtd",,"DELTA","."&amp;N$2&amp;N$1&amp;"P"&amp;$A8))/1000),0),IF($A$2="VEX",IFERROR(IF($X$1="ABS",($A$4*$A$4*RTD("tos.rtd",,"VOLUME","."&amp;N$2&amp;N$1&amp;"C"&amp;$A8)*RTD("tos.rtd",,"GAMMA","."&amp;N$2&amp;N$1&amp;"C"&amp;$A8)+$A$4*$A$4*RTD("tos.rtd",,"VOLUME","."&amp;N$2&amp;N$1&amp;"P"&amp;$A8)*RTD("tos.rtd",,"GAMMA","."&amp;N$2&amp;N$1&amp;"P"&amp;$A8))/1000000,($A$4*$A$4*RTD("tos.rtd",,"VOLUME","."&amp;N$2&amp;N$1&amp;"C"&amp;$A8)*RTD("tos.rtd",,"GAMMA","."&amp;N$2&amp;N$1&amp;"C"&amp;$A8)-$A$4*$A$4*RTD("tos.rtd",,"VOLUME","."&amp;N$2&amp;N$1&amp;"P"&amp;$A8)*RTD("tos.rtd",,"GAMMA","."&amp;N$2&amp;N$1&amp;"P"&amp;$A8))/1000000),0),IF($A$2="GEX",IFERROR(IF($X$1="ABS",($A$4*$A$4*RTD("tos.rtd",,"OPEN_INT","."&amp;N$2&amp;N$1&amp;"C"&amp;$A8)*RTD("tos.rtd",,"GAMMA","."&amp;N$2&amp;N$1&amp;"C"&amp;$A8)+$A$4*$A$4*RTD("tos.rtd",,"OPEN_INT","."&amp;N$2&amp;N$1&amp;"P"&amp;$A8)*RTD("tos.rtd",,"GAMMA","."&amp;N$2&amp;N$1&amp;"P"&amp;$A8))/1000000,($A$4*$A$4*RTD("tos.rtd",,"OPEN_INT","."&amp;N$2&amp;N$1&amp;"C"&amp;$A8)*RTD("tos.rtd",,"GAMMA","."&amp;N$2&amp;N$1&amp;"C"&amp;$A8)-$A$4*$A$4*RTD("tos.rtd",,"OPEN_INT","."&amp;N$2&amp;N$1&amp;"P"&amp;$A8)*RTD("tos.rtd",,"GAMMA","."&amp;N$2&amp;N$1&amp;"P"&amp;$A8))/1000000),0),IF($A$2="SKEW",IFERROR(VALUE(IF(RTD("tos.rtd",,"IMPL_VOL","."&amp;N$2&amp;N$1&amp;"P"&amp;$A8)="N/A",0,RTD("tos.rtd",,"IMPL_VOL","."&amp;N$2&amp;N$1&amp;"P"&amp;$A8))),0)-IFERROR(VALUE(IF(RTD("tos.rtd",,"IMPL_VOL","."&amp;N$2&amp;N$1&amp;"C"&amp;$A8)="N/A",0,RTD("tos.rtd",,"IMPL_VOL","."&amp;N$2&amp;N$1&amp;"C"&amp;$A8))),0),IF($A$2="MAXPAIN",IF($A$4&gt;$A8,($A$4-$A8)*IF(RTD("tos.rtd",,"OPEN_INT","."&amp;N$2&amp;N$1&amp;"C"&amp;$A8)="N/A",0,RTD("tos.rtd",,"OPEN_INT","."&amp;N$2&amp;N$1&amp;"C"&amp;$A8)),0)+IF($A$4&lt;$A8,($A$5-$A$4)*IF(RTD("tos.rtd",,"OPEN_INT","."&amp;N$2&amp;N$1&amp;"P"&amp;$A8)="N/A",0,RTD("tos.rtd",,"OPEN_INT","."&amp;N$2&amp;N$1&amp;"P"&amp;$A8)),0),IF($X$1="ABS",IF(RTD("tos.rtd",,$A$2,"."&amp;N$2&amp;N$1&amp;"C"&amp;$A8)="N/A",0,RTD("tos.rtd",,$A$2,"."&amp;N$2&amp;N$1&amp;"C"&amp;$A8))+IF(RTD("tos.rtd",,$A$2,"."&amp;N$2&amp;N$1&amp;"P"&amp;$A8)="N/A",0,RTD("tos.rtd",,$A$2,"."&amp;N$2&amp;N$1&amp;"P"&amp;$A8)),IF(RTD("tos.rtd",,$A$2,"."&amp;N$2&amp;N$1&amp;"C"&amp;$A8)="N/A",0,RTD("tos.rtd",,$A$2,"."&amp;N$2&amp;N$1&amp;"C"&amp;$A8))-IF(RTD("tos.rtd",,$A$2,"."&amp;N$2&amp;N$1&amp;"P"&amp;$A8)="N/A",0,RTD("tos.rtd",,$A$2,"."&amp;N$2&amp;N$1&amp;"P"&amp;$A8))))))))))</f>
        <v>0</v>
      </c>
      <c r="O8" s="12">
        <f ca="1">IF($A$2="PREMIUM_OI",IFERROR(IF($X$1="ABS",(100*RTD("tos.rtd",,"OPEN_INT","."&amp;O$2&amp;O$1&amp;"C"&amp;$A8)*RTD("tos.rtd",,"LAST","."&amp;O$2&amp;O$1&amp;"C"&amp;$A8)+100*RTD("tos.rtd",,"OPEN_INT","."&amp;O$2&amp;O$1&amp;"P"&amp;$A8)*RTD("tos.rtd",,"LAST","."&amp;O$2&amp;O$1&amp;"P"&amp;$A8))/1000000,(100*RTD("tos.rtd",,"OPEN_INT","."&amp;O$2&amp;O$1&amp;"C"&amp;$A8)*RTD("tos.rtd",,"LAST","."&amp;O$2&amp;O$1&amp;"C"&amp;$A8)-100*RTD("tos.rtd",,"OPEN_INT","."&amp;O$2&amp;O$1&amp;"P"&amp;$A8)*RTD("tos.rtd",,"LAST","."&amp;O$2&amp;O$1&amp;"P"&amp;$A8))/1000000),0),IF($A$2="PREMIUM",IFERROR(IF($X$1="ABS",(100*RTD("tos.rtd",,"VOLUME","."&amp;O$2&amp;O$1&amp;"C"&amp;$A8)*RTD("tos.rtd",,"LAST","."&amp;O$2&amp;O$1&amp;"C"&amp;$A8)+100*RTD("tos.rtd",,"VOLUME","."&amp;O$2&amp;O$1&amp;"P"&amp;$A8)*RTD("tos.rtd",,"LAST","."&amp;O$2&amp;O$1&amp;"P"&amp;$A8))/1000000,(100*RTD("tos.rtd",,"VOLUME","."&amp;O$2&amp;O$1&amp;"C"&amp;$A8)*RTD("tos.rtd",,"LAST","."&amp;O$2&amp;O$1&amp;"C"&amp;$A8)-100*RTD("tos.rtd",,"VOLUME","."&amp;O$2&amp;O$1&amp;"P"&amp;$A8)*RTD("tos.rtd",,"LAST","."&amp;O$2&amp;O$1&amp;"P"&amp;$A8))/1000000),0),IF($A$2="DEX",IFERROR(IF($X$1="ABS",(100*RTD("tos.rtd",,"OPEN_INT","."&amp;O$2&amp;O$1&amp;"C"&amp;$A8)*RTD("tos.rtd",,"DELTA","."&amp;O$2&amp;O$1&amp;"C"&amp;$A8)+100*RTD("tos.rtd",,"OPEN_INT","."&amp;O$2&amp;O$1&amp;"P"&amp;$A8)*RTD("tos.rtd",,"DELTA","."&amp;O$2&amp;O$1&amp;"P"&amp;$A8))/1000,(100*RTD("tos.rtd",,"OPEN_INT","."&amp;O$2&amp;O$1&amp;"C"&amp;$A8)*RTD("tos.rtd",,"DELTA","."&amp;O$2&amp;O$1&amp;"C"&amp;$A8)-100*RTD("tos.rtd",,"OPEN_INT","."&amp;O$2&amp;O$1&amp;"P"&amp;$A8)*RTD("tos.rtd",,"DELTA","."&amp;O$2&amp;O$1&amp;"P"&amp;$A8))/1000),0),IF($A$2="VEX",IFERROR(IF($X$1="ABS",($A$4*$A$4*RTD("tos.rtd",,"VOLUME","."&amp;O$2&amp;O$1&amp;"C"&amp;$A8)*RTD("tos.rtd",,"GAMMA","."&amp;O$2&amp;O$1&amp;"C"&amp;$A8)+$A$4*$A$4*RTD("tos.rtd",,"VOLUME","."&amp;O$2&amp;O$1&amp;"P"&amp;$A8)*RTD("tos.rtd",,"GAMMA","."&amp;O$2&amp;O$1&amp;"P"&amp;$A8))/1000000,($A$4*$A$4*RTD("tos.rtd",,"VOLUME","."&amp;O$2&amp;O$1&amp;"C"&amp;$A8)*RTD("tos.rtd",,"GAMMA","."&amp;O$2&amp;O$1&amp;"C"&amp;$A8)-$A$4*$A$4*RTD("tos.rtd",,"VOLUME","."&amp;O$2&amp;O$1&amp;"P"&amp;$A8)*RTD("tos.rtd",,"GAMMA","."&amp;O$2&amp;O$1&amp;"P"&amp;$A8))/1000000),0),IF($A$2="GEX",IFERROR(IF($X$1="ABS",($A$4*$A$4*RTD("tos.rtd",,"OPEN_INT","."&amp;O$2&amp;O$1&amp;"C"&amp;$A8)*RTD("tos.rtd",,"GAMMA","."&amp;O$2&amp;O$1&amp;"C"&amp;$A8)+$A$4*$A$4*RTD("tos.rtd",,"OPEN_INT","."&amp;O$2&amp;O$1&amp;"P"&amp;$A8)*RTD("tos.rtd",,"GAMMA","."&amp;O$2&amp;O$1&amp;"P"&amp;$A8))/1000000,($A$4*$A$4*RTD("tos.rtd",,"OPEN_INT","."&amp;O$2&amp;O$1&amp;"C"&amp;$A8)*RTD("tos.rtd",,"GAMMA","."&amp;O$2&amp;O$1&amp;"C"&amp;$A8)-$A$4*$A$4*RTD("tos.rtd",,"OPEN_INT","."&amp;O$2&amp;O$1&amp;"P"&amp;$A8)*RTD("tos.rtd",,"GAMMA","."&amp;O$2&amp;O$1&amp;"P"&amp;$A8))/1000000),0),IF($A$2="SKEW",IFERROR(VALUE(IF(RTD("tos.rtd",,"IMPL_VOL","."&amp;O$2&amp;O$1&amp;"P"&amp;$A8)="N/A",0,RTD("tos.rtd",,"IMPL_VOL","."&amp;O$2&amp;O$1&amp;"P"&amp;$A8))),0)-IFERROR(VALUE(IF(RTD("tos.rtd",,"IMPL_VOL","."&amp;O$2&amp;O$1&amp;"C"&amp;$A8)="N/A",0,RTD("tos.rtd",,"IMPL_VOL","."&amp;O$2&amp;O$1&amp;"C"&amp;$A8))),0),IF($A$2="MAXPAIN",IF($A$4&gt;$A8,($A$4-$A8)*IF(RTD("tos.rtd",,"OPEN_INT","."&amp;O$2&amp;O$1&amp;"C"&amp;$A8)="N/A",0,RTD("tos.rtd",,"OPEN_INT","."&amp;O$2&amp;O$1&amp;"C"&amp;$A8)),0)+IF($A$4&lt;$A8,($A$5-$A$4)*IF(RTD("tos.rtd",,"OPEN_INT","."&amp;O$2&amp;O$1&amp;"P"&amp;$A8)="N/A",0,RTD("tos.rtd",,"OPEN_INT","."&amp;O$2&amp;O$1&amp;"P"&amp;$A8)),0),IF($X$1="ABS",IF(RTD("tos.rtd",,$A$2,"."&amp;O$2&amp;O$1&amp;"C"&amp;$A8)="N/A",0,RTD("tos.rtd",,$A$2,"."&amp;O$2&amp;O$1&amp;"C"&amp;$A8))+IF(RTD("tos.rtd",,$A$2,"."&amp;O$2&amp;O$1&amp;"P"&amp;$A8)="N/A",0,RTD("tos.rtd",,$A$2,"."&amp;O$2&amp;O$1&amp;"P"&amp;$A8)),IF(RTD("tos.rtd",,$A$2,"."&amp;O$2&amp;O$1&amp;"C"&amp;$A8)="N/A",0,RTD("tos.rtd",,$A$2,"."&amp;O$2&amp;O$1&amp;"C"&amp;$A8))-IF(RTD("tos.rtd",,$A$2,"."&amp;O$2&amp;O$1&amp;"P"&amp;$A8)="N/A",0,RTD("tos.rtd",,$A$2,"."&amp;O$2&amp;O$1&amp;"P"&amp;$A8))))))))))</f>
        <v>0</v>
      </c>
      <c r="P8" s="12">
        <f ca="1">IF($A$2="PREMIUM_OI",IFERROR(IF($X$1="ABS",(100*RTD("tos.rtd",,"OPEN_INT","."&amp;P$2&amp;P$1&amp;"C"&amp;$A8)*RTD("tos.rtd",,"LAST","."&amp;P$2&amp;P$1&amp;"C"&amp;$A8)+100*RTD("tos.rtd",,"OPEN_INT","."&amp;P$2&amp;P$1&amp;"P"&amp;$A8)*RTD("tos.rtd",,"LAST","."&amp;P$2&amp;P$1&amp;"P"&amp;$A8))/1000000,(100*RTD("tos.rtd",,"OPEN_INT","."&amp;P$2&amp;P$1&amp;"C"&amp;$A8)*RTD("tos.rtd",,"LAST","."&amp;P$2&amp;P$1&amp;"C"&amp;$A8)-100*RTD("tos.rtd",,"OPEN_INT","."&amp;P$2&amp;P$1&amp;"P"&amp;$A8)*RTD("tos.rtd",,"LAST","."&amp;P$2&amp;P$1&amp;"P"&amp;$A8))/1000000),0),IF($A$2="PREMIUM",IFERROR(IF($X$1="ABS",(100*RTD("tos.rtd",,"VOLUME","."&amp;P$2&amp;P$1&amp;"C"&amp;$A8)*RTD("tos.rtd",,"LAST","."&amp;P$2&amp;P$1&amp;"C"&amp;$A8)+100*RTD("tos.rtd",,"VOLUME","."&amp;P$2&amp;P$1&amp;"P"&amp;$A8)*RTD("tos.rtd",,"LAST","."&amp;P$2&amp;P$1&amp;"P"&amp;$A8))/1000000,(100*RTD("tos.rtd",,"VOLUME","."&amp;P$2&amp;P$1&amp;"C"&amp;$A8)*RTD("tos.rtd",,"LAST","."&amp;P$2&amp;P$1&amp;"C"&amp;$A8)-100*RTD("tos.rtd",,"VOLUME","."&amp;P$2&amp;P$1&amp;"P"&amp;$A8)*RTD("tos.rtd",,"LAST","."&amp;P$2&amp;P$1&amp;"P"&amp;$A8))/1000000),0),IF($A$2="DEX",IFERROR(IF($X$1="ABS",(100*RTD("tos.rtd",,"OPEN_INT","."&amp;P$2&amp;P$1&amp;"C"&amp;$A8)*RTD("tos.rtd",,"DELTA","."&amp;P$2&amp;P$1&amp;"C"&amp;$A8)+100*RTD("tos.rtd",,"OPEN_INT","."&amp;P$2&amp;P$1&amp;"P"&amp;$A8)*RTD("tos.rtd",,"DELTA","."&amp;P$2&amp;P$1&amp;"P"&amp;$A8))/1000,(100*RTD("tos.rtd",,"OPEN_INT","."&amp;P$2&amp;P$1&amp;"C"&amp;$A8)*RTD("tos.rtd",,"DELTA","."&amp;P$2&amp;P$1&amp;"C"&amp;$A8)-100*RTD("tos.rtd",,"OPEN_INT","."&amp;P$2&amp;P$1&amp;"P"&amp;$A8)*RTD("tos.rtd",,"DELTA","."&amp;P$2&amp;P$1&amp;"P"&amp;$A8))/1000),0),IF($A$2="VEX",IFERROR(IF($X$1="ABS",($A$4*$A$4*RTD("tos.rtd",,"VOLUME","."&amp;P$2&amp;P$1&amp;"C"&amp;$A8)*RTD("tos.rtd",,"GAMMA","."&amp;P$2&amp;P$1&amp;"C"&amp;$A8)+$A$4*$A$4*RTD("tos.rtd",,"VOLUME","."&amp;P$2&amp;P$1&amp;"P"&amp;$A8)*RTD("tos.rtd",,"GAMMA","."&amp;P$2&amp;P$1&amp;"P"&amp;$A8))/1000000,($A$4*$A$4*RTD("tos.rtd",,"VOLUME","."&amp;P$2&amp;P$1&amp;"C"&amp;$A8)*RTD("tos.rtd",,"GAMMA","."&amp;P$2&amp;P$1&amp;"C"&amp;$A8)-$A$4*$A$4*RTD("tos.rtd",,"VOLUME","."&amp;P$2&amp;P$1&amp;"P"&amp;$A8)*RTD("tos.rtd",,"GAMMA","."&amp;P$2&amp;P$1&amp;"P"&amp;$A8))/1000000),0),IF($A$2="GEX",IFERROR(IF($X$1="ABS",($A$4*$A$4*RTD("tos.rtd",,"OPEN_INT","."&amp;P$2&amp;P$1&amp;"C"&amp;$A8)*RTD("tos.rtd",,"GAMMA","."&amp;P$2&amp;P$1&amp;"C"&amp;$A8)+$A$4*$A$4*RTD("tos.rtd",,"OPEN_INT","."&amp;P$2&amp;P$1&amp;"P"&amp;$A8)*RTD("tos.rtd",,"GAMMA","."&amp;P$2&amp;P$1&amp;"P"&amp;$A8))/1000000,($A$4*$A$4*RTD("tos.rtd",,"OPEN_INT","."&amp;P$2&amp;P$1&amp;"C"&amp;$A8)*RTD("tos.rtd",,"GAMMA","."&amp;P$2&amp;P$1&amp;"C"&amp;$A8)-$A$4*$A$4*RTD("tos.rtd",,"OPEN_INT","."&amp;P$2&amp;P$1&amp;"P"&amp;$A8)*RTD("tos.rtd",,"GAMMA","."&amp;P$2&amp;P$1&amp;"P"&amp;$A8))/1000000),0),IF($A$2="SKEW",IFERROR(VALUE(IF(RTD("tos.rtd",,"IMPL_VOL","."&amp;P$2&amp;P$1&amp;"P"&amp;$A8)="N/A",0,RTD("tos.rtd",,"IMPL_VOL","."&amp;P$2&amp;P$1&amp;"P"&amp;$A8))),0)-IFERROR(VALUE(IF(RTD("tos.rtd",,"IMPL_VOL","."&amp;P$2&amp;P$1&amp;"C"&amp;$A8)="N/A",0,RTD("tos.rtd",,"IMPL_VOL","."&amp;P$2&amp;P$1&amp;"C"&amp;$A8))),0),IF($A$2="MAXPAIN",IF($A$4&gt;$A8,($A$4-$A8)*IF(RTD("tos.rtd",,"OPEN_INT","."&amp;P$2&amp;P$1&amp;"C"&amp;$A8)="N/A",0,RTD("tos.rtd",,"OPEN_INT","."&amp;P$2&amp;P$1&amp;"C"&amp;$A8)),0)+IF($A$4&lt;$A8,($A$5-$A$4)*IF(RTD("tos.rtd",,"OPEN_INT","."&amp;P$2&amp;P$1&amp;"P"&amp;$A8)="N/A",0,RTD("tos.rtd",,"OPEN_INT","."&amp;P$2&amp;P$1&amp;"P"&amp;$A8)),0),IF($X$1="ABS",IF(RTD("tos.rtd",,$A$2,"."&amp;P$2&amp;P$1&amp;"C"&amp;$A8)="N/A",0,RTD("tos.rtd",,$A$2,"."&amp;P$2&amp;P$1&amp;"C"&amp;$A8))+IF(RTD("tos.rtd",,$A$2,"."&amp;P$2&amp;P$1&amp;"P"&amp;$A8)="N/A",0,RTD("tos.rtd",,$A$2,"."&amp;P$2&amp;P$1&amp;"P"&amp;$A8)),IF(RTD("tos.rtd",,$A$2,"."&amp;P$2&amp;P$1&amp;"C"&amp;$A8)="N/A",0,RTD("tos.rtd",,$A$2,"."&amp;P$2&amp;P$1&amp;"C"&amp;$A8))-IF(RTD("tos.rtd",,$A$2,"."&amp;P$2&amp;P$1&amp;"P"&amp;$A8)="N/A",0,RTD("tos.rtd",,$A$2,"."&amp;P$2&amp;P$1&amp;"P"&amp;$A8))))))))))</f>
        <v>0</v>
      </c>
      <c r="Q8" s="12">
        <f ca="1">IF($A$2="PREMIUM_OI",IFERROR(IF($X$1="ABS",(100*RTD("tos.rtd",,"OPEN_INT","."&amp;Q$2&amp;Q$1&amp;"C"&amp;$A8)*RTD("tos.rtd",,"LAST","."&amp;Q$2&amp;Q$1&amp;"C"&amp;$A8)+100*RTD("tos.rtd",,"OPEN_INT","."&amp;Q$2&amp;Q$1&amp;"P"&amp;$A8)*RTD("tos.rtd",,"LAST","."&amp;Q$2&amp;Q$1&amp;"P"&amp;$A8))/1000000,(100*RTD("tos.rtd",,"OPEN_INT","."&amp;Q$2&amp;Q$1&amp;"C"&amp;$A8)*RTD("tos.rtd",,"LAST","."&amp;Q$2&amp;Q$1&amp;"C"&amp;$A8)-100*RTD("tos.rtd",,"OPEN_INT","."&amp;Q$2&amp;Q$1&amp;"P"&amp;$A8)*RTD("tos.rtd",,"LAST","."&amp;Q$2&amp;Q$1&amp;"P"&amp;$A8))/1000000),0),IF($A$2="PREMIUM",IFERROR(IF($X$1="ABS",(100*RTD("tos.rtd",,"VOLUME","."&amp;Q$2&amp;Q$1&amp;"C"&amp;$A8)*RTD("tos.rtd",,"LAST","."&amp;Q$2&amp;Q$1&amp;"C"&amp;$A8)+100*RTD("tos.rtd",,"VOLUME","."&amp;Q$2&amp;Q$1&amp;"P"&amp;$A8)*RTD("tos.rtd",,"LAST","."&amp;Q$2&amp;Q$1&amp;"P"&amp;$A8))/1000000,(100*RTD("tos.rtd",,"VOLUME","."&amp;Q$2&amp;Q$1&amp;"C"&amp;$A8)*RTD("tos.rtd",,"LAST","."&amp;Q$2&amp;Q$1&amp;"C"&amp;$A8)-100*RTD("tos.rtd",,"VOLUME","."&amp;Q$2&amp;Q$1&amp;"P"&amp;$A8)*RTD("tos.rtd",,"LAST","."&amp;Q$2&amp;Q$1&amp;"P"&amp;$A8))/1000000),0),IF($A$2="DEX",IFERROR(IF($X$1="ABS",(100*RTD("tos.rtd",,"OPEN_INT","."&amp;Q$2&amp;Q$1&amp;"C"&amp;$A8)*RTD("tos.rtd",,"DELTA","."&amp;Q$2&amp;Q$1&amp;"C"&amp;$A8)+100*RTD("tos.rtd",,"OPEN_INT","."&amp;Q$2&amp;Q$1&amp;"P"&amp;$A8)*RTD("tos.rtd",,"DELTA","."&amp;Q$2&amp;Q$1&amp;"P"&amp;$A8))/1000,(100*RTD("tos.rtd",,"OPEN_INT","."&amp;Q$2&amp;Q$1&amp;"C"&amp;$A8)*RTD("tos.rtd",,"DELTA","."&amp;Q$2&amp;Q$1&amp;"C"&amp;$A8)-100*RTD("tos.rtd",,"OPEN_INT","."&amp;Q$2&amp;Q$1&amp;"P"&amp;$A8)*RTD("tos.rtd",,"DELTA","."&amp;Q$2&amp;Q$1&amp;"P"&amp;$A8))/1000),0),IF($A$2="VEX",IFERROR(IF($X$1="ABS",($A$4*$A$4*RTD("tos.rtd",,"VOLUME","."&amp;Q$2&amp;Q$1&amp;"C"&amp;$A8)*RTD("tos.rtd",,"GAMMA","."&amp;Q$2&amp;Q$1&amp;"C"&amp;$A8)+$A$4*$A$4*RTD("tos.rtd",,"VOLUME","."&amp;Q$2&amp;Q$1&amp;"P"&amp;$A8)*RTD("tos.rtd",,"GAMMA","."&amp;Q$2&amp;Q$1&amp;"P"&amp;$A8))/1000000,($A$4*$A$4*RTD("tos.rtd",,"VOLUME","."&amp;Q$2&amp;Q$1&amp;"C"&amp;$A8)*RTD("tos.rtd",,"GAMMA","."&amp;Q$2&amp;Q$1&amp;"C"&amp;$A8)-$A$4*$A$4*RTD("tos.rtd",,"VOLUME","."&amp;Q$2&amp;Q$1&amp;"P"&amp;$A8)*RTD("tos.rtd",,"GAMMA","."&amp;Q$2&amp;Q$1&amp;"P"&amp;$A8))/1000000),0),IF($A$2="GEX",IFERROR(IF($X$1="ABS",($A$4*$A$4*RTD("tos.rtd",,"OPEN_INT","."&amp;Q$2&amp;Q$1&amp;"C"&amp;$A8)*RTD("tos.rtd",,"GAMMA","."&amp;Q$2&amp;Q$1&amp;"C"&amp;$A8)+$A$4*$A$4*RTD("tos.rtd",,"OPEN_INT","."&amp;Q$2&amp;Q$1&amp;"P"&amp;$A8)*RTD("tos.rtd",,"GAMMA","."&amp;Q$2&amp;Q$1&amp;"P"&amp;$A8))/1000000,($A$4*$A$4*RTD("tos.rtd",,"OPEN_INT","."&amp;Q$2&amp;Q$1&amp;"C"&amp;$A8)*RTD("tos.rtd",,"GAMMA","."&amp;Q$2&amp;Q$1&amp;"C"&amp;$A8)-$A$4*$A$4*RTD("tos.rtd",,"OPEN_INT","."&amp;Q$2&amp;Q$1&amp;"P"&amp;$A8)*RTD("tos.rtd",,"GAMMA","."&amp;Q$2&amp;Q$1&amp;"P"&amp;$A8))/1000000),0),IF($A$2="SKEW",IFERROR(VALUE(IF(RTD("tos.rtd",,"IMPL_VOL","."&amp;Q$2&amp;Q$1&amp;"P"&amp;$A8)="N/A",0,RTD("tos.rtd",,"IMPL_VOL","."&amp;Q$2&amp;Q$1&amp;"P"&amp;$A8))),0)-IFERROR(VALUE(IF(RTD("tos.rtd",,"IMPL_VOL","."&amp;Q$2&amp;Q$1&amp;"C"&amp;$A8)="N/A",0,RTD("tos.rtd",,"IMPL_VOL","."&amp;Q$2&amp;Q$1&amp;"C"&amp;$A8))),0),IF($A$2="MAXPAIN",IF($A$4&gt;$A8,($A$4-$A8)*IF(RTD("tos.rtd",,"OPEN_INT","."&amp;Q$2&amp;Q$1&amp;"C"&amp;$A8)="N/A",0,RTD("tos.rtd",,"OPEN_INT","."&amp;Q$2&amp;Q$1&amp;"C"&amp;$A8)),0)+IF($A$4&lt;$A8,($A$5-$A$4)*IF(RTD("tos.rtd",,"OPEN_INT","."&amp;Q$2&amp;Q$1&amp;"P"&amp;$A8)="N/A",0,RTD("tos.rtd",,"OPEN_INT","."&amp;Q$2&amp;Q$1&amp;"P"&amp;$A8)),0),IF($X$1="ABS",IF(RTD("tos.rtd",,$A$2,"."&amp;Q$2&amp;Q$1&amp;"C"&amp;$A8)="N/A",0,RTD("tos.rtd",,$A$2,"."&amp;Q$2&amp;Q$1&amp;"C"&amp;$A8))+IF(RTD("tos.rtd",,$A$2,"."&amp;Q$2&amp;Q$1&amp;"P"&amp;$A8)="N/A",0,RTD("tos.rtd",,$A$2,"."&amp;Q$2&amp;Q$1&amp;"P"&amp;$A8)),IF(RTD("tos.rtd",,$A$2,"."&amp;Q$2&amp;Q$1&amp;"C"&amp;$A8)="N/A",0,RTD("tos.rtd",,$A$2,"."&amp;Q$2&amp;Q$1&amp;"C"&amp;$A8))-IF(RTD("tos.rtd",,$A$2,"."&amp;Q$2&amp;Q$1&amp;"P"&amp;$A8)="N/A",0,RTD("tos.rtd",,$A$2,"."&amp;Q$2&amp;Q$1&amp;"P"&amp;$A8))))))))))</f>
        <v>0</v>
      </c>
      <c r="R8" s="12">
        <f ca="1">IF($A$2="PREMIUM_OI",IFERROR(IF($X$1="ABS",(100*RTD("tos.rtd",,"OPEN_INT","."&amp;R$2&amp;R$1&amp;"C"&amp;$A8)*RTD("tos.rtd",,"LAST","."&amp;R$2&amp;R$1&amp;"C"&amp;$A8)+100*RTD("tos.rtd",,"OPEN_INT","."&amp;R$2&amp;R$1&amp;"P"&amp;$A8)*RTD("tos.rtd",,"LAST","."&amp;R$2&amp;R$1&amp;"P"&amp;$A8))/1000000,(100*RTD("tos.rtd",,"OPEN_INT","."&amp;R$2&amp;R$1&amp;"C"&amp;$A8)*RTD("tos.rtd",,"LAST","."&amp;R$2&amp;R$1&amp;"C"&amp;$A8)-100*RTD("tos.rtd",,"OPEN_INT","."&amp;R$2&amp;R$1&amp;"P"&amp;$A8)*RTD("tos.rtd",,"LAST","."&amp;R$2&amp;R$1&amp;"P"&amp;$A8))/1000000),0),IF($A$2="PREMIUM",IFERROR(IF($X$1="ABS",(100*RTD("tos.rtd",,"VOLUME","."&amp;R$2&amp;R$1&amp;"C"&amp;$A8)*RTD("tos.rtd",,"LAST","."&amp;R$2&amp;R$1&amp;"C"&amp;$A8)+100*RTD("tos.rtd",,"VOLUME","."&amp;R$2&amp;R$1&amp;"P"&amp;$A8)*RTD("tos.rtd",,"LAST","."&amp;R$2&amp;R$1&amp;"P"&amp;$A8))/1000000,(100*RTD("tos.rtd",,"VOLUME","."&amp;R$2&amp;R$1&amp;"C"&amp;$A8)*RTD("tos.rtd",,"LAST","."&amp;R$2&amp;R$1&amp;"C"&amp;$A8)-100*RTD("tos.rtd",,"VOLUME","."&amp;R$2&amp;R$1&amp;"P"&amp;$A8)*RTD("tos.rtd",,"LAST","."&amp;R$2&amp;R$1&amp;"P"&amp;$A8))/1000000),0),IF($A$2="DEX",IFERROR(IF($X$1="ABS",(100*RTD("tos.rtd",,"OPEN_INT","."&amp;R$2&amp;R$1&amp;"C"&amp;$A8)*RTD("tos.rtd",,"DELTA","."&amp;R$2&amp;R$1&amp;"C"&amp;$A8)+100*RTD("tos.rtd",,"OPEN_INT","."&amp;R$2&amp;R$1&amp;"P"&amp;$A8)*RTD("tos.rtd",,"DELTA","."&amp;R$2&amp;R$1&amp;"P"&amp;$A8))/1000,(100*RTD("tos.rtd",,"OPEN_INT","."&amp;R$2&amp;R$1&amp;"C"&amp;$A8)*RTD("tos.rtd",,"DELTA","."&amp;R$2&amp;R$1&amp;"C"&amp;$A8)-100*RTD("tos.rtd",,"OPEN_INT","."&amp;R$2&amp;R$1&amp;"P"&amp;$A8)*RTD("tos.rtd",,"DELTA","."&amp;R$2&amp;R$1&amp;"P"&amp;$A8))/1000),0),IF($A$2="VEX",IFERROR(IF($X$1="ABS",($A$4*$A$4*RTD("tos.rtd",,"VOLUME","."&amp;R$2&amp;R$1&amp;"C"&amp;$A8)*RTD("tos.rtd",,"GAMMA","."&amp;R$2&amp;R$1&amp;"C"&amp;$A8)+$A$4*$A$4*RTD("tos.rtd",,"VOLUME","."&amp;R$2&amp;R$1&amp;"P"&amp;$A8)*RTD("tos.rtd",,"GAMMA","."&amp;R$2&amp;R$1&amp;"P"&amp;$A8))/1000000,($A$4*$A$4*RTD("tos.rtd",,"VOLUME","."&amp;R$2&amp;R$1&amp;"C"&amp;$A8)*RTD("tos.rtd",,"GAMMA","."&amp;R$2&amp;R$1&amp;"C"&amp;$A8)-$A$4*$A$4*RTD("tos.rtd",,"VOLUME","."&amp;R$2&amp;R$1&amp;"P"&amp;$A8)*RTD("tos.rtd",,"GAMMA","."&amp;R$2&amp;R$1&amp;"P"&amp;$A8))/1000000),0),IF($A$2="GEX",IFERROR(IF($X$1="ABS",($A$4*$A$4*RTD("tos.rtd",,"OPEN_INT","."&amp;R$2&amp;R$1&amp;"C"&amp;$A8)*RTD("tos.rtd",,"GAMMA","."&amp;R$2&amp;R$1&amp;"C"&amp;$A8)+$A$4*$A$4*RTD("tos.rtd",,"OPEN_INT","."&amp;R$2&amp;R$1&amp;"P"&amp;$A8)*RTD("tos.rtd",,"GAMMA","."&amp;R$2&amp;R$1&amp;"P"&amp;$A8))/1000000,($A$4*$A$4*RTD("tos.rtd",,"OPEN_INT","."&amp;R$2&amp;R$1&amp;"C"&amp;$A8)*RTD("tos.rtd",,"GAMMA","."&amp;R$2&amp;R$1&amp;"C"&amp;$A8)-$A$4*$A$4*RTD("tos.rtd",,"OPEN_INT","."&amp;R$2&amp;R$1&amp;"P"&amp;$A8)*RTD("tos.rtd",,"GAMMA","."&amp;R$2&amp;R$1&amp;"P"&amp;$A8))/1000000),0),IF($A$2="SKEW",IFERROR(VALUE(IF(RTD("tos.rtd",,"IMPL_VOL","."&amp;R$2&amp;R$1&amp;"P"&amp;$A8)="N/A",0,RTD("tos.rtd",,"IMPL_VOL","."&amp;R$2&amp;R$1&amp;"P"&amp;$A8))),0)-IFERROR(VALUE(IF(RTD("tos.rtd",,"IMPL_VOL","."&amp;R$2&amp;R$1&amp;"C"&amp;$A8)="N/A",0,RTD("tos.rtd",,"IMPL_VOL","."&amp;R$2&amp;R$1&amp;"C"&amp;$A8))),0),IF($A$2="MAXPAIN",IF($A$4&gt;$A8,($A$4-$A8)*IF(RTD("tos.rtd",,"OPEN_INT","."&amp;R$2&amp;R$1&amp;"C"&amp;$A8)="N/A",0,RTD("tos.rtd",,"OPEN_INT","."&amp;R$2&amp;R$1&amp;"C"&amp;$A8)),0)+IF($A$4&lt;$A8,($A$5-$A$4)*IF(RTD("tos.rtd",,"OPEN_INT","."&amp;R$2&amp;R$1&amp;"P"&amp;$A8)="N/A",0,RTD("tos.rtd",,"OPEN_INT","."&amp;R$2&amp;R$1&amp;"P"&amp;$A8)),0),IF($X$1="ABS",IF(RTD("tos.rtd",,$A$2,"."&amp;R$2&amp;R$1&amp;"C"&amp;$A8)="N/A",0,RTD("tos.rtd",,$A$2,"."&amp;R$2&amp;R$1&amp;"C"&amp;$A8))+IF(RTD("tos.rtd",,$A$2,"."&amp;R$2&amp;R$1&amp;"P"&amp;$A8)="N/A",0,RTD("tos.rtd",,$A$2,"."&amp;R$2&amp;R$1&amp;"P"&amp;$A8)),IF(RTD("tos.rtd",,$A$2,"."&amp;R$2&amp;R$1&amp;"C"&amp;$A8)="N/A",0,RTD("tos.rtd",,$A$2,"."&amp;R$2&amp;R$1&amp;"C"&amp;$A8))-IF(RTD("tos.rtd",,$A$2,"."&amp;R$2&amp;R$1&amp;"P"&amp;$A8)="N/A",0,RTD("tos.rtd",,$A$2,"."&amp;R$2&amp;R$1&amp;"P"&amp;$A8))))))))))</f>
        <v>0</v>
      </c>
      <c r="S8" s="12">
        <f ca="1">IF($A$2="PREMIUM_OI",IFERROR(IF($X$1="ABS",(100*RTD("tos.rtd",,"OPEN_INT","."&amp;S$2&amp;S$1&amp;"C"&amp;$A8)*RTD("tos.rtd",,"LAST","."&amp;S$2&amp;S$1&amp;"C"&amp;$A8)+100*RTD("tos.rtd",,"OPEN_INT","."&amp;S$2&amp;S$1&amp;"P"&amp;$A8)*RTD("tos.rtd",,"LAST","."&amp;S$2&amp;S$1&amp;"P"&amp;$A8))/1000000,(100*RTD("tos.rtd",,"OPEN_INT","."&amp;S$2&amp;S$1&amp;"C"&amp;$A8)*RTD("tos.rtd",,"LAST","."&amp;S$2&amp;S$1&amp;"C"&amp;$A8)-100*RTD("tos.rtd",,"OPEN_INT","."&amp;S$2&amp;S$1&amp;"P"&amp;$A8)*RTD("tos.rtd",,"LAST","."&amp;S$2&amp;S$1&amp;"P"&amp;$A8))/1000000),0),IF($A$2="PREMIUM",IFERROR(IF($X$1="ABS",(100*RTD("tos.rtd",,"VOLUME","."&amp;S$2&amp;S$1&amp;"C"&amp;$A8)*RTD("tos.rtd",,"LAST","."&amp;S$2&amp;S$1&amp;"C"&amp;$A8)+100*RTD("tos.rtd",,"VOLUME","."&amp;S$2&amp;S$1&amp;"P"&amp;$A8)*RTD("tos.rtd",,"LAST","."&amp;S$2&amp;S$1&amp;"P"&amp;$A8))/1000000,(100*RTD("tos.rtd",,"VOLUME","."&amp;S$2&amp;S$1&amp;"C"&amp;$A8)*RTD("tos.rtd",,"LAST","."&amp;S$2&amp;S$1&amp;"C"&amp;$A8)-100*RTD("tos.rtd",,"VOLUME","."&amp;S$2&amp;S$1&amp;"P"&amp;$A8)*RTD("tos.rtd",,"LAST","."&amp;S$2&amp;S$1&amp;"P"&amp;$A8))/1000000),0),IF($A$2="DEX",IFERROR(IF($X$1="ABS",(100*RTD("tos.rtd",,"OPEN_INT","."&amp;S$2&amp;S$1&amp;"C"&amp;$A8)*RTD("tos.rtd",,"DELTA","."&amp;S$2&amp;S$1&amp;"C"&amp;$A8)+100*RTD("tos.rtd",,"OPEN_INT","."&amp;S$2&amp;S$1&amp;"P"&amp;$A8)*RTD("tos.rtd",,"DELTA","."&amp;S$2&amp;S$1&amp;"P"&amp;$A8))/1000,(100*RTD("tos.rtd",,"OPEN_INT","."&amp;S$2&amp;S$1&amp;"C"&amp;$A8)*RTD("tos.rtd",,"DELTA","."&amp;S$2&amp;S$1&amp;"C"&amp;$A8)-100*RTD("tos.rtd",,"OPEN_INT","."&amp;S$2&amp;S$1&amp;"P"&amp;$A8)*RTD("tos.rtd",,"DELTA","."&amp;S$2&amp;S$1&amp;"P"&amp;$A8))/1000),0),IF($A$2="VEX",IFERROR(IF($X$1="ABS",($A$4*$A$4*RTD("tos.rtd",,"VOLUME","."&amp;S$2&amp;S$1&amp;"C"&amp;$A8)*RTD("tos.rtd",,"GAMMA","."&amp;S$2&amp;S$1&amp;"C"&amp;$A8)+$A$4*$A$4*RTD("tos.rtd",,"VOLUME","."&amp;S$2&amp;S$1&amp;"P"&amp;$A8)*RTD("tos.rtd",,"GAMMA","."&amp;S$2&amp;S$1&amp;"P"&amp;$A8))/1000000,($A$4*$A$4*RTD("tos.rtd",,"VOLUME","."&amp;S$2&amp;S$1&amp;"C"&amp;$A8)*RTD("tos.rtd",,"GAMMA","."&amp;S$2&amp;S$1&amp;"C"&amp;$A8)-$A$4*$A$4*RTD("tos.rtd",,"VOLUME","."&amp;S$2&amp;S$1&amp;"P"&amp;$A8)*RTD("tos.rtd",,"GAMMA","."&amp;S$2&amp;S$1&amp;"P"&amp;$A8))/1000000),0),IF($A$2="GEX",IFERROR(IF($X$1="ABS",($A$4*$A$4*RTD("tos.rtd",,"OPEN_INT","."&amp;S$2&amp;S$1&amp;"C"&amp;$A8)*RTD("tos.rtd",,"GAMMA","."&amp;S$2&amp;S$1&amp;"C"&amp;$A8)+$A$4*$A$4*RTD("tos.rtd",,"OPEN_INT","."&amp;S$2&amp;S$1&amp;"P"&amp;$A8)*RTD("tos.rtd",,"GAMMA","."&amp;S$2&amp;S$1&amp;"P"&amp;$A8))/1000000,($A$4*$A$4*RTD("tos.rtd",,"OPEN_INT","."&amp;S$2&amp;S$1&amp;"C"&amp;$A8)*RTD("tos.rtd",,"GAMMA","."&amp;S$2&amp;S$1&amp;"C"&amp;$A8)-$A$4*$A$4*RTD("tos.rtd",,"OPEN_INT","."&amp;S$2&amp;S$1&amp;"P"&amp;$A8)*RTD("tos.rtd",,"GAMMA","."&amp;S$2&amp;S$1&amp;"P"&amp;$A8))/1000000),0),IF($A$2="SKEW",IFERROR(VALUE(IF(RTD("tos.rtd",,"IMPL_VOL","."&amp;S$2&amp;S$1&amp;"P"&amp;$A8)="N/A",0,RTD("tos.rtd",,"IMPL_VOL","."&amp;S$2&amp;S$1&amp;"P"&amp;$A8))),0)-IFERROR(VALUE(IF(RTD("tos.rtd",,"IMPL_VOL","."&amp;S$2&amp;S$1&amp;"C"&amp;$A8)="N/A",0,RTD("tos.rtd",,"IMPL_VOL","."&amp;S$2&amp;S$1&amp;"C"&amp;$A8))),0),IF($A$2="MAXPAIN",IF($A$4&gt;$A8,($A$4-$A8)*IF(RTD("tos.rtd",,"OPEN_INT","."&amp;S$2&amp;S$1&amp;"C"&amp;$A8)="N/A",0,RTD("tos.rtd",,"OPEN_INT","."&amp;S$2&amp;S$1&amp;"C"&amp;$A8)),0)+IF($A$4&lt;$A8,($A$5-$A$4)*IF(RTD("tos.rtd",,"OPEN_INT","."&amp;S$2&amp;S$1&amp;"P"&amp;$A8)="N/A",0,RTD("tos.rtd",,"OPEN_INT","."&amp;S$2&amp;S$1&amp;"P"&amp;$A8)),0),IF($X$1="ABS",IF(RTD("tos.rtd",,$A$2,"."&amp;S$2&amp;S$1&amp;"C"&amp;$A8)="N/A",0,RTD("tos.rtd",,$A$2,"."&amp;S$2&amp;S$1&amp;"C"&amp;$A8))+IF(RTD("tos.rtd",,$A$2,"."&amp;S$2&amp;S$1&amp;"P"&amp;$A8)="N/A",0,RTD("tos.rtd",,$A$2,"."&amp;S$2&amp;S$1&amp;"P"&amp;$A8)),IF(RTD("tos.rtd",,$A$2,"."&amp;S$2&amp;S$1&amp;"C"&amp;$A8)="N/A",0,RTD("tos.rtd",,$A$2,"."&amp;S$2&amp;S$1&amp;"C"&amp;$A8))-IF(RTD("tos.rtd",,$A$2,"."&amp;S$2&amp;S$1&amp;"P"&amp;$A8)="N/A",0,RTD("tos.rtd",,$A$2,"."&amp;S$2&amp;S$1&amp;"P"&amp;$A8))))))))))</f>
        <v>0</v>
      </c>
      <c r="T8" s="12">
        <f ca="1">IF($A$2="PREMIUM_OI",IFERROR(IF($X$1="ABS",(100*RTD("tos.rtd",,"OPEN_INT","."&amp;T$2&amp;T$1&amp;"C"&amp;$A8)*RTD("tos.rtd",,"LAST","."&amp;T$2&amp;T$1&amp;"C"&amp;$A8)+100*RTD("tos.rtd",,"OPEN_INT","."&amp;T$2&amp;T$1&amp;"P"&amp;$A8)*RTD("tos.rtd",,"LAST","."&amp;T$2&amp;T$1&amp;"P"&amp;$A8))/1000000,(100*RTD("tos.rtd",,"OPEN_INT","."&amp;T$2&amp;T$1&amp;"C"&amp;$A8)*RTD("tos.rtd",,"LAST","."&amp;T$2&amp;T$1&amp;"C"&amp;$A8)-100*RTD("tos.rtd",,"OPEN_INT","."&amp;T$2&amp;T$1&amp;"P"&amp;$A8)*RTD("tos.rtd",,"LAST","."&amp;T$2&amp;T$1&amp;"P"&amp;$A8))/1000000),0),IF($A$2="PREMIUM",IFERROR(IF($X$1="ABS",(100*RTD("tos.rtd",,"VOLUME","."&amp;T$2&amp;T$1&amp;"C"&amp;$A8)*RTD("tos.rtd",,"LAST","."&amp;T$2&amp;T$1&amp;"C"&amp;$A8)+100*RTD("tos.rtd",,"VOLUME","."&amp;T$2&amp;T$1&amp;"P"&amp;$A8)*RTD("tos.rtd",,"LAST","."&amp;T$2&amp;T$1&amp;"P"&amp;$A8))/1000000,(100*RTD("tos.rtd",,"VOLUME","."&amp;T$2&amp;T$1&amp;"C"&amp;$A8)*RTD("tos.rtd",,"LAST","."&amp;T$2&amp;T$1&amp;"C"&amp;$A8)-100*RTD("tos.rtd",,"VOLUME","."&amp;T$2&amp;T$1&amp;"P"&amp;$A8)*RTD("tos.rtd",,"LAST","."&amp;T$2&amp;T$1&amp;"P"&amp;$A8))/1000000),0),IF($A$2="DEX",IFERROR(IF($X$1="ABS",(100*RTD("tos.rtd",,"OPEN_INT","."&amp;T$2&amp;T$1&amp;"C"&amp;$A8)*RTD("tos.rtd",,"DELTA","."&amp;T$2&amp;T$1&amp;"C"&amp;$A8)+100*RTD("tos.rtd",,"OPEN_INT","."&amp;T$2&amp;T$1&amp;"P"&amp;$A8)*RTD("tos.rtd",,"DELTA","."&amp;T$2&amp;T$1&amp;"P"&amp;$A8))/1000,(100*RTD("tos.rtd",,"OPEN_INT","."&amp;T$2&amp;T$1&amp;"C"&amp;$A8)*RTD("tos.rtd",,"DELTA","."&amp;T$2&amp;T$1&amp;"C"&amp;$A8)-100*RTD("tos.rtd",,"OPEN_INT","."&amp;T$2&amp;T$1&amp;"P"&amp;$A8)*RTD("tos.rtd",,"DELTA","."&amp;T$2&amp;T$1&amp;"P"&amp;$A8))/1000),0),IF($A$2="VEX",IFERROR(IF($X$1="ABS",($A$4*$A$4*RTD("tos.rtd",,"VOLUME","."&amp;T$2&amp;T$1&amp;"C"&amp;$A8)*RTD("tos.rtd",,"GAMMA","."&amp;T$2&amp;T$1&amp;"C"&amp;$A8)+$A$4*$A$4*RTD("tos.rtd",,"VOLUME","."&amp;T$2&amp;T$1&amp;"P"&amp;$A8)*RTD("tos.rtd",,"GAMMA","."&amp;T$2&amp;T$1&amp;"P"&amp;$A8))/1000000,($A$4*$A$4*RTD("tos.rtd",,"VOLUME","."&amp;T$2&amp;T$1&amp;"C"&amp;$A8)*RTD("tos.rtd",,"GAMMA","."&amp;T$2&amp;T$1&amp;"C"&amp;$A8)-$A$4*$A$4*RTD("tos.rtd",,"VOLUME","."&amp;T$2&amp;T$1&amp;"P"&amp;$A8)*RTD("tos.rtd",,"GAMMA","."&amp;T$2&amp;T$1&amp;"P"&amp;$A8))/1000000),0),IF($A$2="GEX",IFERROR(IF($X$1="ABS",($A$4*$A$4*RTD("tos.rtd",,"OPEN_INT","."&amp;T$2&amp;T$1&amp;"C"&amp;$A8)*RTD("tos.rtd",,"GAMMA","."&amp;T$2&amp;T$1&amp;"C"&amp;$A8)+$A$4*$A$4*RTD("tos.rtd",,"OPEN_INT","."&amp;T$2&amp;T$1&amp;"P"&amp;$A8)*RTD("tos.rtd",,"GAMMA","."&amp;T$2&amp;T$1&amp;"P"&amp;$A8))/1000000,($A$4*$A$4*RTD("tos.rtd",,"OPEN_INT","."&amp;T$2&amp;T$1&amp;"C"&amp;$A8)*RTD("tos.rtd",,"GAMMA","."&amp;T$2&amp;T$1&amp;"C"&amp;$A8)-$A$4*$A$4*RTD("tos.rtd",,"OPEN_INT","."&amp;T$2&amp;T$1&amp;"P"&amp;$A8)*RTD("tos.rtd",,"GAMMA","."&amp;T$2&amp;T$1&amp;"P"&amp;$A8))/1000000),0),IF($A$2="SKEW",IFERROR(VALUE(IF(RTD("tos.rtd",,"IMPL_VOL","."&amp;T$2&amp;T$1&amp;"P"&amp;$A8)="N/A",0,RTD("tos.rtd",,"IMPL_VOL","."&amp;T$2&amp;T$1&amp;"P"&amp;$A8))),0)-IFERROR(VALUE(IF(RTD("tos.rtd",,"IMPL_VOL","."&amp;T$2&amp;T$1&amp;"C"&amp;$A8)="N/A",0,RTD("tos.rtd",,"IMPL_VOL","."&amp;T$2&amp;T$1&amp;"C"&amp;$A8))),0),IF($A$2="MAXPAIN",IF($A$4&gt;$A8,($A$4-$A8)*IF(RTD("tos.rtd",,"OPEN_INT","."&amp;T$2&amp;T$1&amp;"C"&amp;$A8)="N/A",0,RTD("tos.rtd",,"OPEN_INT","."&amp;T$2&amp;T$1&amp;"C"&amp;$A8)),0)+IF($A$4&lt;$A8,($A$5-$A$4)*IF(RTD("tos.rtd",,"OPEN_INT","."&amp;T$2&amp;T$1&amp;"P"&amp;$A8)="N/A",0,RTD("tos.rtd",,"OPEN_INT","."&amp;T$2&amp;T$1&amp;"P"&amp;$A8)),0),IF($X$1="ABS",IF(RTD("tos.rtd",,$A$2,"."&amp;T$2&amp;T$1&amp;"C"&amp;$A8)="N/A",0,RTD("tos.rtd",,$A$2,"."&amp;T$2&amp;T$1&amp;"C"&amp;$A8))+IF(RTD("tos.rtd",,$A$2,"."&amp;T$2&amp;T$1&amp;"P"&amp;$A8)="N/A",0,RTD("tos.rtd",,$A$2,"."&amp;T$2&amp;T$1&amp;"P"&amp;$A8)),IF(RTD("tos.rtd",,$A$2,"."&amp;T$2&amp;T$1&amp;"C"&amp;$A8)="N/A",0,RTD("tos.rtd",,$A$2,"."&amp;T$2&amp;T$1&amp;"C"&amp;$A8))-IF(RTD("tos.rtd",,$A$2,"."&amp;T$2&amp;T$1&amp;"P"&amp;$A8)="N/A",0,RTD("tos.rtd",,$A$2,"."&amp;T$2&amp;T$1&amp;"P"&amp;$A8))))))))))</f>
        <v>0</v>
      </c>
      <c r="U8" s="12">
        <f ca="1">IF($A$2="PREMIUM_OI",IFERROR(IF($X$1="ABS",(100*RTD("tos.rtd",,"OPEN_INT","."&amp;U$2&amp;U$1&amp;"C"&amp;$A8)*RTD("tos.rtd",,"LAST","."&amp;U$2&amp;U$1&amp;"C"&amp;$A8)+100*RTD("tos.rtd",,"OPEN_INT","."&amp;U$2&amp;U$1&amp;"P"&amp;$A8)*RTD("tos.rtd",,"LAST","."&amp;U$2&amp;U$1&amp;"P"&amp;$A8))/1000000,(100*RTD("tos.rtd",,"OPEN_INT","."&amp;U$2&amp;U$1&amp;"C"&amp;$A8)*RTD("tos.rtd",,"LAST","."&amp;U$2&amp;U$1&amp;"C"&amp;$A8)-100*RTD("tos.rtd",,"OPEN_INT","."&amp;U$2&amp;U$1&amp;"P"&amp;$A8)*RTD("tos.rtd",,"LAST","."&amp;U$2&amp;U$1&amp;"P"&amp;$A8))/1000000),0),IF($A$2="PREMIUM",IFERROR(IF($X$1="ABS",(100*RTD("tos.rtd",,"VOLUME","."&amp;U$2&amp;U$1&amp;"C"&amp;$A8)*RTD("tos.rtd",,"LAST","."&amp;U$2&amp;U$1&amp;"C"&amp;$A8)+100*RTD("tos.rtd",,"VOLUME","."&amp;U$2&amp;U$1&amp;"P"&amp;$A8)*RTD("tos.rtd",,"LAST","."&amp;U$2&amp;U$1&amp;"P"&amp;$A8))/1000000,(100*RTD("tos.rtd",,"VOLUME","."&amp;U$2&amp;U$1&amp;"C"&amp;$A8)*RTD("tos.rtd",,"LAST","."&amp;U$2&amp;U$1&amp;"C"&amp;$A8)-100*RTD("tos.rtd",,"VOLUME","."&amp;U$2&amp;U$1&amp;"P"&amp;$A8)*RTD("tos.rtd",,"LAST","."&amp;U$2&amp;U$1&amp;"P"&amp;$A8))/1000000),0),IF($A$2="DEX",IFERROR(IF($X$1="ABS",(100*RTD("tos.rtd",,"OPEN_INT","."&amp;U$2&amp;U$1&amp;"C"&amp;$A8)*RTD("tos.rtd",,"DELTA","."&amp;U$2&amp;U$1&amp;"C"&amp;$A8)+100*RTD("tos.rtd",,"OPEN_INT","."&amp;U$2&amp;U$1&amp;"P"&amp;$A8)*RTD("tos.rtd",,"DELTA","."&amp;U$2&amp;U$1&amp;"P"&amp;$A8))/1000,(100*RTD("tos.rtd",,"OPEN_INT","."&amp;U$2&amp;U$1&amp;"C"&amp;$A8)*RTD("tos.rtd",,"DELTA","."&amp;U$2&amp;U$1&amp;"C"&amp;$A8)-100*RTD("tos.rtd",,"OPEN_INT","."&amp;U$2&amp;U$1&amp;"P"&amp;$A8)*RTD("tos.rtd",,"DELTA","."&amp;U$2&amp;U$1&amp;"P"&amp;$A8))/1000),0),IF($A$2="VEX",IFERROR(IF($X$1="ABS",($A$4*$A$4*RTD("tos.rtd",,"VOLUME","."&amp;U$2&amp;U$1&amp;"C"&amp;$A8)*RTD("tos.rtd",,"GAMMA","."&amp;U$2&amp;U$1&amp;"C"&amp;$A8)+$A$4*$A$4*RTD("tos.rtd",,"VOLUME","."&amp;U$2&amp;U$1&amp;"P"&amp;$A8)*RTD("tos.rtd",,"GAMMA","."&amp;U$2&amp;U$1&amp;"P"&amp;$A8))/1000000,($A$4*$A$4*RTD("tos.rtd",,"VOLUME","."&amp;U$2&amp;U$1&amp;"C"&amp;$A8)*RTD("tos.rtd",,"GAMMA","."&amp;U$2&amp;U$1&amp;"C"&amp;$A8)-$A$4*$A$4*RTD("tos.rtd",,"VOLUME","."&amp;U$2&amp;U$1&amp;"P"&amp;$A8)*RTD("tos.rtd",,"GAMMA","."&amp;U$2&amp;U$1&amp;"P"&amp;$A8))/1000000),0),IF($A$2="GEX",IFERROR(IF($X$1="ABS",($A$4*$A$4*RTD("tos.rtd",,"OPEN_INT","."&amp;U$2&amp;U$1&amp;"C"&amp;$A8)*RTD("tos.rtd",,"GAMMA","."&amp;U$2&amp;U$1&amp;"C"&amp;$A8)+$A$4*$A$4*RTD("tos.rtd",,"OPEN_INT","."&amp;U$2&amp;U$1&amp;"P"&amp;$A8)*RTD("tos.rtd",,"GAMMA","."&amp;U$2&amp;U$1&amp;"P"&amp;$A8))/1000000,($A$4*$A$4*RTD("tos.rtd",,"OPEN_INT","."&amp;U$2&amp;U$1&amp;"C"&amp;$A8)*RTD("tos.rtd",,"GAMMA","."&amp;U$2&amp;U$1&amp;"C"&amp;$A8)-$A$4*$A$4*RTD("tos.rtd",,"OPEN_INT","."&amp;U$2&amp;U$1&amp;"P"&amp;$A8)*RTD("tos.rtd",,"GAMMA","."&amp;U$2&amp;U$1&amp;"P"&amp;$A8))/1000000),0),IF($A$2="SKEW",IFERROR(VALUE(IF(RTD("tos.rtd",,"IMPL_VOL","."&amp;U$2&amp;U$1&amp;"P"&amp;$A8)="N/A",0,RTD("tos.rtd",,"IMPL_VOL","."&amp;U$2&amp;U$1&amp;"P"&amp;$A8))),0)-IFERROR(VALUE(IF(RTD("tos.rtd",,"IMPL_VOL","."&amp;U$2&amp;U$1&amp;"C"&amp;$A8)="N/A",0,RTD("tos.rtd",,"IMPL_VOL","."&amp;U$2&amp;U$1&amp;"C"&amp;$A8))),0),IF($A$2="MAXPAIN",IF($A$4&gt;$A8,($A$4-$A8)*IF(RTD("tos.rtd",,"OPEN_INT","."&amp;U$2&amp;U$1&amp;"C"&amp;$A8)="N/A",0,RTD("tos.rtd",,"OPEN_INT","."&amp;U$2&amp;U$1&amp;"C"&amp;$A8)),0)+IF($A$4&lt;$A8,($A$5-$A$4)*IF(RTD("tos.rtd",,"OPEN_INT","."&amp;U$2&amp;U$1&amp;"P"&amp;$A8)="N/A",0,RTD("tos.rtd",,"OPEN_INT","."&amp;U$2&amp;U$1&amp;"P"&amp;$A8)),0),IF($X$1="ABS",IF(RTD("tos.rtd",,$A$2,"."&amp;U$2&amp;U$1&amp;"C"&amp;$A8)="N/A",0,RTD("tos.rtd",,$A$2,"."&amp;U$2&amp;U$1&amp;"C"&amp;$A8))+IF(RTD("tos.rtd",,$A$2,"."&amp;U$2&amp;U$1&amp;"P"&amp;$A8)="N/A",0,RTD("tos.rtd",,$A$2,"."&amp;U$2&amp;U$1&amp;"P"&amp;$A8)),IF(RTD("tos.rtd",,$A$2,"."&amp;U$2&amp;U$1&amp;"C"&amp;$A8)="N/A",0,RTD("tos.rtd",,$A$2,"."&amp;U$2&amp;U$1&amp;"C"&amp;$A8))-IF(RTD("tos.rtd",,$A$2,"."&amp;U$2&amp;U$1&amp;"P"&amp;$A8)="N/A",0,RTD("tos.rtd",,$A$2,"."&amp;U$2&amp;U$1&amp;"P"&amp;$A8))))))))))</f>
        <v>0</v>
      </c>
      <c r="V8" s="12">
        <f ca="1">IF($A$2="PREMIUM_OI",IFERROR(IF($X$1="ABS",(100*RTD("tos.rtd",,"OPEN_INT","."&amp;V$2&amp;V$1&amp;"C"&amp;$A8)*RTD("tos.rtd",,"LAST","."&amp;V$2&amp;V$1&amp;"C"&amp;$A8)+100*RTD("tos.rtd",,"OPEN_INT","."&amp;V$2&amp;V$1&amp;"P"&amp;$A8)*RTD("tos.rtd",,"LAST","."&amp;V$2&amp;V$1&amp;"P"&amp;$A8))/1000000,(100*RTD("tos.rtd",,"OPEN_INT","."&amp;V$2&amp;V$1&amp;"C"&amp;$A8)*RTD("tos.rtd",,"LAST","."&amp;V$2&amp;V$1&amp;"C"&amp;$A8)-100*RTD("tos.rtd",,"OPEN_INT","."&amp;V$2&amp;V$1&amp;"P"&amp;$A8)*RTD("tos.rtd",,"LAST","."&amp;V$2&amp;V$1&amp;"P"&amp;$A8))/1000000),0),IF($A$2="PREMIUM",IFERROR(IF($X$1="ABS",(100*RTD("tos.rtd",,"VOLUME","."&amp;V$2&amp;V$1&amp;"C"&amp;$A8)*RTD("tos.rtd",,"LAST","."&amp;V$2&amp;V$1&amp;"C"&amp;$A8)+100*RTD("tos.rtd",,"VOLUME","."&amp;V$2&amp;V$1&amp;"P"&amp;$A8)*RTD("tos.rtd",,"LAST","."&amp;V$2&amp;V$1&amp;"P"&amp;$A8))/1000000,(100*RTD("tos.rtd",,"VOLUME","."&amp;V$2&amp;V$1&amp;"C"&amp;$A8)*RTD("tos.rtd",,"LAST","."&amp;V$2&amp;V$1&amp;"C"&amp;$A8)-100*RTD("tos.rtd",,"VOLUME","."&amp;V$2&amp;V$1&amp;"P"&amp;$A8)*RTD("tos.rtd",,"LAST","."&amp;V$2&amp;V$1&amp;"P"&amp;$A8))/1000000),0),IF($A$2="DEX",IFERROR(IF($X$1="ABS",(100*RTD("tos.rtd",,"OPEN_INT","."&amp;V$2&amp;V$1&amp;"C"&amp;$A8)*RTD("tos.rtd",,"DELTA","."&amp;V$2&amp;V$1&amp;"C"&amp;$A8)+100*RTD("tos.rtd",,"OPEN_INT","."&amp;V$2&amp;V$1&amp;"P"&amp;$A8)*RTD("tos.rtd",,"DELTA","."&amp;V$2&amp;V$1&amp;"P"&amp;$A8))/1000,(100*RTD("tos.rtd",,"OPEN_INT","."&amp;V$2&amp;V$1&amp;"C"&amp;$A8)*RTD("tos.rtd",,"DELTA","."&amp;V$2&amp;V$1&amp;"C"&amp;$A8)-100*RTD("tos.rtd",,"OPEN_INT","."&amp;V$2&amp;V$1&amp;"P"&amp;$A8)*RTD("tos.rtd",,"DELTA","."&amp;V$2&amp;V$1&amp;"P"&amp;$A8))/1000),0),IF($A$2="VEX",IFERROR(IF($X$1="ABS",($A$4*$A$4*RTD("tos.rtd",,"VOLUME","."&amp;V$2&amp;V$1&amp;"C"&amp;$A8)*RTD("tos.rtd",,"GAMMA","."&amp;V$2&amp;V$1&amp;"C"&amp;$A8)+$A$4*$A$4*RTD("tos.rtd",,"VOLUME","."&amp;V$2&amp;V$1&amp;"P"&amp;$A8)*RTD("tos.rtd",,"GAMMA","."&amp;V$2&amp;V$1&amp;"P"&amp;$A8))/1000000,($A$4*$A$4*RTD("tos.rtd",,"VOLUME","."&amp;V$2&amp;V$1&amp;"C"&amp;$A8)*RTD("tos.rtd",,"GAMMA","."&amp;V$2&amp;V$1&amp;"C"&amp;$A8)-$A$4*$A$4*RTD("tos.rtd",,"VOLUME","."&amp;V$2&amp;V$1&amp;"P"&amp;$A8)*RTD("tos.rtd",,"GAMMA","."&amp;V$2&amp;V$1&amp;"P"&amp;$A8))/1000000),0),IF($A$2="GEX",IFERROR(IF($X$1="ABS",($A$4*$A$4*RTD("tos.rtd",,"OPEN_INT","."&amp;V$2&amp;V$1&amp;"C"&amp;$A8)*RTD("tos.rtd",,"GAMMA","."&amp;V$2&amp;V$1&amp;"C"&amp;$A8)+$A$4*$A$4*RTD("tos.rtd",,"OPEN_INT","."&amp;V$2&amp;V$1&amp;"P"&amp;$A8)*RTD("tos.rtd",,"GAMMA","."&amp;V$2&amp;V$1&amp;"P"&amp;$A8))/1000000,($A$4*$A$4*RTD("tos.rtd",,"OPEN_INT","."&amp;V$2&amp;V$1&amp;"C"&amp;$A8)*RTD("tos.rtd",,"GAMMA","."&amp;V$2&amp;V$1&amp;"C"&amp;$A8)-$A$4*$A$4*RTD("tos.rtd",,"OPEN_INT","."&amp;V$2&amp;V$1&amp;"P"&amp;$A8)*RTD("tos.rtd",,"GAMMA","."&amp;V$2&amp;V$1&amp;"P"&amp;$A8))/1000000),0),IF($A$2="SKEW",IFERROR(VALUE(IF(RTD("tos.rtd",,"IMPL_VOL","."&amp;V$2&amp;V$1&amp;"P"&amp;$A8)="N/A",0,RTD("tos.rtd",,"IMPL_VOL","."&amp;V$2&amp;V$1&amp;"P"&amp;$A8))),0)-IFERROR(VALUE(IF(RTD("tos.rtd",,"IMPL_VOL","."&amp;V$2&amp;V$1&amp;"C"&amp;$A8)="N/A",0,RTD("tos.rtd",,"IMPL_VOL","."&amp;V$2&amp;V$1&amp;"C"&amp;$A8))),0),IF($A$2="MAXPAIN",IF($A$4&gt;$A8,($A$4-$A8)*IF(RTD("tos.rtd",,"OPEN_INT","."&amp;V$2&amp;V$1&amp;"C"&amp;$A8)="N/A",0,RTD("tos.rtd",,"OPEN_INT","."&amp;V$2&amp;V$1&amp;"C"&amp;$A8)),0)+IF($A$4&lt;$A8,($A$5-$A$4)*IF(RTD("tos.rtd",,"OPEN_INT","."&amp;V$2&amp;V$1&amp;"P"&amp;$A8)="N/A",0,RTD("tos.rtd",,"OPEN_INT","."&amp;V$2&amp;V$1&amp;"P"&amp;$A8)),0),IF($X$1="ABS",IF(RTD("tos.rtd",,$A$2,"."&amp;V$2&amp;V$1&amp;"C"&amp;$A8)="N/A",0,RTD("tos.rtd",,$A$2,"."&amp;V$2&amp;V$1&amp;"C"&amp;$A8))+IF(RTD("tos.rtd",,$A$2,"."&amp;V$2&amp;V$1&amp;"P"&amp;$A8)="N/A",0,RTD("tos.rtd",,$A$2,"."&amp;V$2&amp;V$1&amp;"P"&amp;$A8)),IF(RTD("tos.rtd",,$A$2,"."&amp;V$2&amp;V$1&amp;"C"&amp;$A8)="N/A",0,RTD("tos.rtd",,$A$2,"."&amp;V$2&amp;V$1&amp;"C"&amp;$A8))-IF(RTD("tos.rtd",,$A$2,"."&amp;V$2&amp;V$1&amp;"P"&amp;$A8)="N/A",0,RTD("tos.rtd",,$A$2,"."&amp;V$2&amp;V$1&amp;"P"&amp;$A8))))))))))</f>
        <v>0</v>
      </c>
      <c r="W8" s="54">
        <f ca="1">IF($A$2="PREMIUM_OI",IFERROR(IF($X$1="ABS",(100*RTD("tos.rtd",,"OPEN_INT","."&amp;W$2&amp;W$1&amp;"C"&amp;$A8)*RTD("tos.rtd",,"LAST","."&amp;W$2&amp;W$1&amp;"C"&amp;$A8)+100*RTD("tos.rtd",,"OPEN_INT","."&amp;W$2&amp;W$1&amp;"P"&amp;$A8)*RTD("tos.rtd",,"LAST","."&amp;W$2&amp;W$1&amp;"P"&amp;$A8))/1000000,(100*RTD("tos.rtd",,"OPEN_INT","."&amp;W$2&amp;W$1&amp;"C"&amp;$A8)*RTD("tos.rtd",,"LAST","."&amp;W$2&amp;W$1&amp;"C"&amp;$A8)-100*RTD("tos.rtd",,"OPEN_INT","."&amp;W$2&amp;W$1&amp;"P"&amp;$A8)*RTD("tos.rtd",,"LAST","."&amp;W$2&amp;W$1&amp;"P"&amp;$A8))/1000000),0),IF($A$2="PREMIUM",IFERROR(IF($X$1="ABS",(100*RTD("tos.rtd",,"VOLUME","."&amp;W$2&amp;W$1&amp;"C"&amp;$A8)*RTD("tos.rtd",,"LAST","."&amp;W$2&amp;W$1&amp;"C"&amp;$A8)+100*RTD("tos.rtd",,"VOLUME","."&amp;W$2&amp;W$1&amp;"P"&amp;$A8)*RTD("tos.rtd",,"LAST","."&amp;W$2&amp;W$1&amp;"P"&amp;$A8))/1000000,(100*RTD("tos.rtd",,"VOLUME","."&amp;W$2&amp;W$1&amp;"C"&amp;$A8)*RTD("tos.rtd",,"LAST","."&amp;W$2&amp;W$1&amp;"C"&amp;$A8)-100*RTD("tos.rtd",,"VOLUME","."&amp;W$2&amp;W$1&amp;"P"&amp;$A8)*RTD("tos.rtd",,"LAST","."&amp;W$2&amp;W$1&amp;"P"&amp;$A8))/1000000),0),IF($A$2="DEX",IFERROR(IF($X$1="ABS",(100*RTD("tos.rtd",,"OPEN_INT","."&amp;W$2&amp;W$1&amp;"C"&amp;$A8)*RTD("tos.rtd",,"DELTA","."&amp;W$2&amp;W$1&amp;"C"&amp;$A8)+100*RTD("tos.rtd",,"OPEN_INT","."&amp;W$2&amp;W$1&amp;"P"&amp;$A8)*RTD("tos.rtd",,"DELTA","."&amp;W$2&amp;W$1&amp;"P"&amp;$A8))/1000,(100*RTD("tos.rtd",,"OPEN_INT","."&amp;W$2&amp;W$1&amp;"C"&amp;$A8)*RTD("tos.rtd",,"DELTA","."&amp;W$2&amp;W$1&amp;"C"&amp;$A8)-100*RTD("tos.rtd",,"OPEN_INT","."&amp;W$2&amp;W$1&amp;"P"&amp;$A8)*RTD("tos.rtd",,"DELTA","."&amp;W$2&amp;W$1&amp;"P"&amp;$A8))/1000),0),IF($A$2="VEX",IFERROR(IF($X$1="ABS",($A$4*$A$4*RTD("tos.rtd",,"VOLUME","."&amp;W$2&amp;W$1&amp;"C"&amp;$A8)*RTD("tos.rtd",,"GAMMA","."&amp;W$2&amp;W$1&amp;"C"&amp;$A8)+$A$4*$A$4*RTD("tos.rtd",,"VOLUME","."&amp;W$2&amp;W$1&amp;"P"&amp;$A8)*RTD("tos.rtd",,"GAMMA","."&amp;W$2&amp;W$1&amp;"P"&amp;$A8))/1000000,($A$4*$A$4*RTD("tos.rtd",,"VOLUME","."&amp;W$2&amp;W$1&amp;"C"&amp;$A8)*RTD("tos.rtd",,"GAMMA","."&amp;W$2&amp;W$1&amp;"C"&amp;$A8)-$A$4*$A$4*RTD("tos.rtd",,"VOLUME","."&amp;W$2&amp;W$1&amp;"P"&amp;$A8)*RTD("tos.rtd",,"GAMMA","."&amp;W$2&amp;W$1&amp;"P"&amp;$A8))/1000000),0),IF($A$2="GEX",IFERROR(IF($X$1="ABS",($A$4*$A$4*RTD("tos.rtd",,"OPEN_INT","."&amp;W$2&amp;W$1&amp;"C"&amp;$A8)*RTD("tos.rtd",,"GAMMA","."&amp;W$2&amp;W$1&amp;"C"&amp;$A8)+$A$4*$A$4*RTD("tos.rtd",,"OPEN_INT","."&amp;W$2&amp;W$1&amp;"P"&amp;$A8)*RTD("tos.rtd",,"GAMMA","."&amp;W$2&amp;W$1&amp;"P"&amp;$A8))/1000000,($A$4*$A$4*RTD("tos.rtd",,"OPEN_INT","."&amp;W$2&amp;W$1&amp;"C"&amp;$A8)*RTD("tos.rtd",,"GAMMA","."&amp;W$2&amp;W$1&amp;"C"&amp;$A8)-$A$4*$A$4*RTD("tos.rtd",,"OPEN_INT","."&amp;W$2&amp;W$1&amp;"P"&amp;$A8)*RTD("tos.rtd",,"GAMMA","."&amp;W$2&amp;W$1&amp;"P"&amp;$A8))/1000000),0),IF($A$2="SKEW",IFERROR(VALUE(IF(RTD("tos.rtd",,"IMPL_VOL","."&amp;W$2&amp;W$1&amp;"P"&amp;$A8)="N/A",0,RTD("tos.rtd",,"IMPL_VOL","."&amp;W$2&amp;W$1&amp;"P"&amp;$A8))),0)-IFERROR(VALUE(IF(RTD("tos.rtd",,"IMPL_VOL","."&amp;W$2&amp;W$1&amp;"C"&amp;$A8)="N/A",0,RTD("tos.rtd",,"IMPL_VOL","."&amp;W$2&amp;W$1&amp;"C"&amp;$A8))),0),IF($A$2="MAXPAIN",IF($A$4&gt;$A8,($A$4-$A8)*IF(RTD("tos.rtd",,"OPEN_INT","."&amp;W$2&amp;W$1&amp;"C"&amp;$A8)="N/A",0,RTD("tos.rtd",,"OPEN_INT","."&amp;W$2&amp;W$1&amp;"C"&amp;$A8)),0)+IF($A$4&lt;$A8,($A$5-$A$4)*IF(RTD("tos.rtd",,"OPEN_INT","."&amp;W$2&amp;W$1&amp;"P"&amp;$A8)="N/A",0,RTD("tos.rtd",,"OPEN_INT","."&amp;W$2&amp;W$1&amp;"P"&amp;$A8)),0),IF($X$1="ABS",IF(RTD("tos.rtd",,$A$2,"."&amp;W$2&amp;W$1&amp;"C"&amp;$A8)="N/A",0,RTD("tos.rtd",,$A$2,"."&amp;W$2&amp;W$1&amp;"C"&amp;$A8))+IF(RTD("tos.rtd",,$A$2,"."&amp;W$2&amp;W$1&amp;"P"&amp;$A8)="N/A",0,RTD("tos.rtd",,$A$2,"."&amp;W$2&amp;W$1&amp;"P"&amp;$A8)),IF(RTD("tos.rtd",,$A$2,"."&amp;W$2&amp;W$1&amp;"C"&amp;$A8)="N/A",0,RTD("tos.rtd",,$A$2,"."&amp;W$2&amp;W$1&amp;"C"&amp;$A8))-IF(RTD("tos.rtd",,$A$2,"."&amp;W$2&amp;W$1&amp;"P"&amp;$A8)="N/A",0,RTD("tos.rtd",,$A$2,"."&amp;W$2&amp;W$1&amp;"P"&amp;$A8))))))))))</f>
        <v>0</v>
      </c>
      <c r="X8" s="57">
        <f t="shared" ca="1" si="8"/>
        <v>0</v>
      </c>
      <c r="Y8" s="27">
        <f t="shared" ca="1" si="9"/>
        <v>0</v>
      </c>
      <c r="Z8" s="27">
        <f ca="1">+'OI-VOL'!Y8</f>
        <v>24616</v>
      </c>
      <c r="AA8" s="27" t="b">
        <f t="shared" ca="1" si="10"/>
        <v>0</v>
      </c>
      <c r="AB8" s="27">
        <f t="shared" si="11"/>
        <v>230067050</v>
      </c>
      <c r="AC8" s="18">
        <f>MAX(0, $A8-AC$4)*IF(RTD("tos.rtd",,"OPEN_INT","."&amp;$AB$3&amp;$AB$4&amp;"C"&amp;AC$4)="N/A",0,RTD("tos.rtd",,"OPEN_INT","."&amp;$AB$3&amp;$AB$4&amp;"C"&amp;AC$4))*100 + MAX(0, AC$4-$A8)*IF(RTD("tos.rtd",,"OPEN_INT","."&amp;$AB$3&amp;$AB$4&amp;"P"&amp;AC$4)="N/A",0,RTD("tos.rtd",,"OPEN_INT","."&amp;$AB$3&amp;$AB$4&amp;"P"&amp;AC$4))*100</f>
        <v>0</v>
      </c>
      <c r="AD8" s="18">
        <f>MAX(0, $A8-AD$4)*IF(RTD("tos.rtd",,"OPEN_INT","."&amp;$AB$3&amp;$AB$4&amp;"C"&amp;AD$4)="N/A",0,RTD("tos.rtd",,"OPEN_INT","."&amp;$AB$3&amp;$AB$4&amp;"C"&amp;AD$4))*100 + MAX(0, AD$4-$A8)*IF(RTD("tos.rtd",,"OPEN_INT","."&amp;$AB$3&amp;$AB$4&amp;"P"&amp;AD$4)="N/A",0,RTD("tos.rtd",,"OPEN_INT","."&amp;$AB$3&amp;$AB$4&amp;"P"&amp;AD$4))*100</f>
        <v>0</v>
      </c>
      <c r="AE8" s="18">
        <f>MAX(0, $A8-AE$4)*IF(RTD("tos.rtd",,"OPEN_INT","."&amp;$AB$3&amp;$AB$4&amp;"C"&amp;AE$4)="N/A",0,RTD("tos.rtd",,"OPEN_INT","."&amp;$AB$3&amp;$AB$4&amp;"C"&amp;AE$4))*100 + MAX(0, AE$4-$A8)*IF(RTD("tos.rtd",,"OPEN_INT","."&amp;$AB$3&amp;$AB$4&amp;"P"&amp;AE$4)="N/A",0,RTD("tos.rtd",,"OPEN_INT","."&amp;$AB$3&amp;$AB$4&amp;"P"&amp;AE$4))*100</f>
        <v>0</v>
      </c>
      <c r="AF8" s="18">
        <f>MAX(0, $A8-AF$4)*IF(RTD("tos.rtd",,"OPEN_INT","."&amp;$AB$3&amp;$AB$4&amp;"C"&amp;AF$4)="N/A",0,RTD("tos.rtd",,"OPEN_INT","."&amp;$AB$3&amp;$AB$4&amp;"C"&amp;AF$4))*100 + MAX(0, AF$4-$A8)*IF(RTD("tos.rtd",,"OPEN_INT","."&amp;$AB$3&amp;$AB$4&amp;"P"&amp;AF$4)="N/A",0,RTD("tos.rtd",,"OPEN_INT","."&amp;$AB$3&amp;$AB$4&amp;"P"&amp;AF$4))*100</f>
        <v>0</v>
      </c>
      <c r="AG8" s="18">
        <f>MAX(0, $A8-AG$4)*IF(RTD("tos.rtd",,"OPEN_INT","."&amp;$AB$3&amp;$AB$4&amp;"C"&amp;AG$4)="N/A",0,RTD("tos.rtd",,"OPEN_INT","."&amp;$AB$3&amp;$AB$4&amp;"C"&amp;AG$4))*100 + MAX(0, AG$4-$A8)*IF(RTD("tos.rtd",,"OPEN_INT","."&amp;$AB$3&amp;$AB$4&amp;"P"&amp;AG$4)="N/A",0,RTD("tos.rtd",,"OPEN_INT","."&amp;$AB$3&amp;$AB$4&amp;"P"&amp;AG$4))*100</f>
        <v>0</v>
      </c>
      <c r="AH8" s="18">
        <f>MAX(0, $A8-AH$4)*IF(RTD("tos.rtd",,"OPEN_INT","."&amp;$AB$3&amp;$AB$4&amp;"C"&amp;AH$4)="N/A",0,RTD("tos.rtd",,"OPEN_INT","."&amp;$AB$3&amp;$AB$4&amp;"C"&amp;AH$4))*100 + MAX(0, AH$4-$A8)*IF(RTD("tos.rtd",,"OPEN_INT","."&amp;$AB$3&amp;$AB$4&amp;"P"&amp;AH$4)="N/A",0,RTD("tos.rtd",,"OPEN_INT","."&amp;$AB$3&amp;$AB$4&amp;"P"&amp;AH$4))*100</f>
        <v>0</v>
      </c>
      <c r="AI8" s="18">
        <f>MAX(0, $A8-AI$4)*IF(RTD("tos.rtd",,"OPEN_INT","."&amp;$AB$3&amp;$AB$4&amp;"C"&amp;AI$4)="N/A",0,RTD("tos.rtd",,"OPEN_INT","."&amp;$AB$3&amp;$AB$4&amp;"C"&amp;AI$4))*100 + MAX(0, AI$4-$A8)*IF(RTD("tos.rtd",,"OPEN_INT","."&amp;$AB$3&amp;$AB$4&amp;"P"&amp;AI$4)="N/A",0,RTD("tos.rtd",,"OPEN_INT","."&amp;$AB$3&amp;$AB$4&amp;"P"&amp;AI$4))*100</f>
        <v>0</v>
      </c>
      <c r="AJ8" s="18">
        <f>MAX(0, $A8-AJ$4)*IF(RTD("tos.rtd",,"OPEN_INT","."&amp;$AB$3&amp;$AB$4&amp;"C"&amp;AJ$4)="N/A",0,RTD("tos.rtd",,"OPEN_INT","."&amp;$AB$3&amp;$AB$4&amp;"C"&amp;AJ$4))*100 + MAX(0, AJ$4-$A8)*IF(RTD("tos.rtd",,"OPEN_INT","."&amp;$AB$3&amp;$AB$4&amp;"P"&amp;AJ$4)="N/A",0,RTD("tos.rtd",,"OPEN_INT","."&amp;$AB$3&amp;$AB$4&amp;"P"&amp;AJ$4))*100</f>
        <v>543200</v>
      </c>
      <c r="AK8" s="18">
        <f>MAX(0, $A8-AK$4)*IF(RTD("tos.rtd",,"OPEN_INT","."&amp;$AB$3&amp;$AB$4&amp;"C"&amp;AK$4)="N/A",0,RTD("tos.rtd",,"OPEN_INT","."&amp;$AB$3&amp;$AB$4&amp;"C"&amp;AK$4))*100 + MAX(0, AK$4-$A8)*IF(RTD("tos.rtd",,"OPEN_INT","."&amp;$AB$3&amp;$AB$4&amp;"P"&amp;AK$4)="N/A",0,RTD("tos.rtd",,"OPEN_INT","."&amp;$AB$3&amp;$AB$4&amp;"P"&amp;AK$4))*100</f>
        <v>67250</v>
      </c>
      <c r="AL8" s="18">
        <f>MAX(0, $A8-AL$4)*IF(RTD("tos.rtd",,"OPEN_INT","."&amp;$AB$3&amp;$AB$4&amp;"C"&amp;AL$4)="N/A",0,RTD("tos.rtd",,"OPEN_INT","."&amp;$AB$3&amp;$AB$4&amp;"C"&amp;AL$4))*100 + MAX(0, AL$4-$A8)*IF(RTD("tos.rtd",,"OPEN_INT","."&amp;$AB$3&amp;$AB$4&amp;"P"&amp;AL$4)="N/A",0,RTD("tos.rtd",,"OPEN_INT","."&amp;$AB$3&amp;$AB$4&amp;"P"&amp;AL$4))*100</f>
        <v>843900</v>
      </c>
      <c r="AM8" s="18">
        <f>MAX(0, $A8-AM$4)*IF(RTD("tos.rtd",,"OPEN_INT","."&amp;$AB$3&amp;$AB$4&amp;"C"&amp;AM$4)="N/A",0,RTD("tos.rtd",,"OPEN_INT","."&amp;$AB$3&amp;$AB$4&amp;"C"&amp;AM$4))*100 + MAX(0, AM$4-$A8)*IF(RTD("tos.rtd",,"OPEN_INT","."&amp;$AB$3&amp;$AB$4&amp;"P"&amp;AM$4)="N/A",0,RTD("tos.rtd",,"OPEN_INT","."&amp;$AB$3&amp;$AB$4&amp;"P"&amp;AM$4))*100</f>
        <v>0</v>
      </c>
      <c r="AN8" s="18">
        <f>MAX(0, $A8-AN$4)*IF(RTD("tos.rtd",,"OPEN_INT","."&amp;$AB$3&amp;$AB$4&amp;"C"&amp;AN$4)="N/A",0,RTD("tos.rtd",,"OPEN_INT","."&amp;$AB$3&amp;$AB$4&amp;"C"&amp;AN$4))*100 + MAX(0, AN$4-$A8)*IF(RTD("tos.rtd",,"OPEN_INT","."&amp;$AB$3&amp;$AB$4&amp;"P"&amp;AN$4)="N/A",0,RTD("tos.rtd",,"OPEN_INT","."&amp;$AB$3&amp;$AB$4&amp;"P"&amp;AN$4))*100</f>
        <v>946000</v>
      </c>
      <c r="AO8" s="18">
        <f>MAX(0, $A8-AO$4)*IF(RTD("tos.rtd",,"OPEN_INT","."&amp;$AB$3&amp;$AB$4&amp;"C"&amp;AO$4)="N/A",0,RTD("tos.rtd",,"OPEN_INT","."&amp;$AB$3&amp;$AB$4&amp;"C"&amp;AO$4))*100 + MAX(0, AO$4-$A8)*IF(RTD("tos.rtd",,"OPEN_INT","."&amp;$AB$3&amp;$AB$4&amp;"P"&amp;AO$4)="N/A",0,RTD("tos.rtd",,"OPEN_INT","."&amp;$AB$3&amp;$AB$4&amp;"P"&amp;AO$4))*100</f>
        <v>0</v>
      </c>
      <c r="AP8" s="18">
        <f>MAX(0, $A8-AP$4)*IF(RTD("tos.rtd",,"OPEN_INT","."&amp;$AB$3&amp;$AB$4&amp;"C"&amp;AP$4)="N/A",0,RTD("tos.rtd",,"OPEN_INT","."&amp;$AB$3&amp;$AB$4&amp;"C"&amp;AP$4))*100 + MAX(0, AP$4-$A8)*IF(RTD("tos.rtd",,"OPEN_INT","."&amp;$AB$3&amp;$AB$4&amp;"P"&amp;AP$4)="N/A",0,RTD("tos.rtd",,"OPEN_INT","."&amp;$AB$3&amp;$AB$4&amp;"P"&amp;AP$4))*100</f>
        <v>344500</v>
      </c>
      <c r="AQ8" s="18">
        <f>MAX(0, $A8-AQ$4)*IF(RTD("tos.rtd",,"OPEN_INT","."&amp;$AB$3&amp;$AB$4&amp;"C"&amp;AQ$4)="N/A",0,RTD("tos.rtd",,"OPEN_INT","."&amp;$AB$3&amp;$AB$4&amp;"C"&amp;AQ$4))*100 + MAX(0, AQ$4-$A8)*IF(RTD("tos.rtd",,"OPEN_INT","."&amp;$AB$3&amp;$AB$4&amp;"P"&amp;AQ$4)="N/A",0,RTD("tos.rtd",,"OPEN_INT","."&amp;$AB$3&amp;$AB$4&amp;"P"&amp;AQ$4))*100</f>
        <v>0</v>
      </c>
      <c r="AR8" s="18">
        <f>MAX(0, $A8-AR$4)*IF(RTD("tos.rtd",,"OPEN_INT","."&amp;$AB$3&amp;$AB$4&amp;"C"&amp;AR$4)="N/A",0,RTD("tos.rtd",,"OPEN_INT","."&amp;$AB$3&amp;$AB$4&amp;"C"&amp;AR$4))*100 + MAX(0, AR$4-$A8)*IF(RTD("tos.rtd",,"OPEN_INT","."&amp;$AB$3&amp;$AB$4&amp;"P"&amp;AR$4)="N/A",0,RTD("tos.rtd",,"OPEN_INT","."&amp;$AB$3&amp;$AB$4&amp;"P"&amp;AR$4))*100</f>
        <v>384000</v>
      </c>
      <c r="AS8" s="18">
        <f>MAX(0, $A8-AS$4)*IF(RTD("tos.rtd",,"OPEN_INT","."&amp;$AB$3&amp;$AB$4&amp;"C"&amp;AS$4)="N/A",0,RTD("tos.rtd",,"OPEN_INT","."&amp;$AB$3&amp;$AB$4&amp;"C"&amp;AS$4))*100 + MAX(0, AS$4-$A8)*IF(RTD("tos.rtd",,"OPEN_INT","."&amp;$AB$3&amp;$AB$4&amp;"P"&amp;AS$4)="N/A",0,RTD("tos.rtd",,"OPEN_INT","."&amp;$AB$3&amp;$AB$4&amp;"P"&amp;AS$4))*100</f>
        <v>650</v>
      </c>
      <c r="AT8" s="18">
        <f>MAX(0, $A8-AT$4)*IF(RTD("tos.rtd",,"OPEN_INT","."&amp;$AB$3&amp;$AB$4&amp;"C"&amp;AT$4)="N/A",0,RTD("tos.rtd",,"OPEN_INT","."&amp;$AB$3&amp;$AB$4&amp;"C"&amp;AT$4))*100 + MAX(0, AT$4-$A8)*IF(RTD("tos.rtd",,"OPEN_INT","."&amp;$AB$3&amp;$AB$4&amp;"P"&amp;AT$4)="N/A",0,RTD("tos.rtd",,"OPEN_INT","."&amp;$AB$3&amp;$AB$4&amp;"P"&amp;AT$4))*100</f>
        <v>603400</v>
      </c>
      <c r="AU8" s="18">
        <f>MAX(0, $A8-AU$4)*IF(RTD("tos.rtd",,"OPEN_INT","."&amp;$AB$3&amp;$AB$4&amp;"C"&amp;AU$4)="N/A",0,RTD("tos.rtd",,"OPEN_INT","."&amp;$AB$3&amp;$AB$4&amp;"C"&amp;AU$4))*100 + MAX(0, AU$4-$A8)*IF(RTD("tos.rtd",,"OPEN_INT","."&amp;$AB$3&amp;$AB$4&amp;"P"&amp;AU$4)="N/A",0,RTD("tos.rtd",,"OPEN_INT","."&amp;$AB$3&amp;$AB$4&amp;"P"&amp;AU$4))*100</f>
        <v>1051500</v>
      </c>
      <c r="AV8" s="18">
        <f>MAX(0, $A8-AV$4)*IF(RTD("tos.rtd",,"OPEN_INT","."&amp;$AB$3&amp;$AB$4&amp;"C"&amp;AV$4)="N/A",0,RTD("tos.rtd",,"OPEN_INT","."&amp;$AB$3&amp;$AB$4&amp;"C"&amp;AV$4))*100 + MAX(0, AV$4-$A8)*IF(RTD("tos.rtd",,"OPEN_INT","."&amp;$AB$3&amp;$AB$4&amp;"P"&amp;AV$4)="N/A",0,RTD("tos.rtd",,"OPEN_INT","."&amp;$AB$3&amp;$AB$4&amp;"P"&amp;AV$4))*100</f>
        <v>1346400</v>
      </c>
      <c r="AW8" s="18">
        <f>MAX(0, $A8-AW$4)*IF(RTD("tos.rtd",,"OPEN_INT","."&amp;$AB$3&amp;$AB$4&amp;"C"&amp;AW$4)="N/A",0,RTD("tos.rtd",,"OPEN_INT","."&amp;$AB$3&amp;$AB$4&amp;"C"&amp;AW$4))*100 + MAX(0, AW$4-$A8)*IF(RTD("tos.rtd",,"OPEN_INT","."&amp;$AB$3&amp;$AB$4&amp;"P"&amp;AW$4)="N/A",0,RTD("tos.rtd",,"OPEN_INT","."&amp;$AB$3&amp;$AB$4&amp;"P"&amp;AW$4))*100</f>
        <v>1604800</v>
      </c>
      <c r="AX8" s="18">
        <f>MAX(0, $A8-AX$4)*IF(RTD("tos.rtd",,"OPEN_INT","."&amp;$AB$3&amp;$AB$4&amp;"C"&amp;AX$4)="N/A",0,RTD("tos.rtd",,"OPEN_INT","."&amp;$AB$3&amp;$AB$4&amp;"C"&amp;AX$4))*100 + MAX(0, AX$4-$A8)*IF(RTD("tos.rtd",,"OPEN_INT","."&amp;$AB$3&amp;$AB$4&amp;"P"&amp;AX$4)="N/A",0,RTD("tos.rtd",,"OPEN_INT","."&amp;$AB$3&amp;$AB$4&amp;"P"&amp;AX$4))*100</f>
        <v>2767500</v>
      </c>
      <c r="AY8" s="18">
        <f>MAX(0, $A8-AY$4)*IF(RTD("tos.rtd",,"OPEN_INT","."&amp;$AB$3&amp;$AB$4&amp;"C"&amp;AY$4)="N/A",0,RTD("tos.rtd",,"OPEN_INT","."&amp;$AB$3&amp;$AB$4&amp;"C"&amp;AY$4))*100 + MAX(0, AY$4-$A8)*IF(RTD("tos.rtd",,"OPEN_INT","."&amp;$AB$3&amp;$AB$4&amp;"P"&amp;AY$4)="N/A",0,RTD("tos.rtd",,"OPEN_INT","."&amp;$AB$3&amp;$AB$4&amp;"P"&amp;AY$4))*100</f>
        <v>4040350</v>
      </c>
      <c r="AZ8" s="18">
        <f>MAX(0, $A8-AZ$4)*IF(RTD("tos.rtd",,"OPEN_INT","."&amp;$AB$3&amp;$AB$4&amp;"C"&amp;AZ$4)="N/A",0,RTD("tos.rtd",,"OPEN_INT","."&amp;$AB$3&amp;$AB$4&amp;"C"&amp;AZ$4))*100 + MAX(0, AZ$4-$A8)*IF(RTD("tos.rtd",,"OPEN_INT","."&amp;$AB$3&amp;$AB$4&amp;"P"&amp;AZ$4)="N/A",0,RTD("tos.rtd",,"OPEN_INT","."&amp;$AB$3&amp;$AB$4&amp;"P"&amp;AZ$4))*100</f>
        <v>19548000</v>
      </c>
      <c r="BA8" s="18">
        <f>MAX(0, $A8-BA$4)*IF(RTD("tos.rtd",,"OPEN_INT","."&amp;$AB$3&amp;$AB$4&amp;"C"&amp;BA$4)="N/A",0,RTD("tos.rtd",,"OPEN_INT","."&amp;$AB$3&amp;$AB$4&amp;"C"&amp;BA$4))*100 + MAX(0, BA$4-$A8)*IF(RTD("tos.rtd",,"OPEN_INT","."&amp;$AB$3&amp;$AB$4&amp;"P"&amp;BA$4)="N/A",0,RTD("tos.rtd",,"OPEN_INT","."&amp;$AB$3&amp;$AB$4&amp;"P"&amp;BA$4))*100</f>
        <v>10342500</v>
      </c>
      <c r="BB8" s="18">
        <f>MAX(0, $A8-BB$4)*IF(RTD("tos.rtd",,"OPEN_INT","."&amp;$AB$3&amp;$AB$4&amp;"C"&amp;BB$4)="N/A",0,RTD("tos.rtd",,"OPEN_INT","."&amp;$AB$3&amp;$AB$4&amp;"C"&amp;BB$4))*100 + MAX(0, BB$4-$A8)*IF(RTD("tos.rtd",,"OPEN_INT","."&amp;$AB$3&amp;$AB$4&amp;"P"&amp;BB$4)="N/A",0,RTD("tos.rtd",,"OPEN_INT","."&amp;$AB$3&amp;$AB$4&amp;"P"&amp;BB$4))*100</f>
        <v>33887700</v>
      </c>
      <c r="BC8" s="18">
        <f>MAX(0, $A8-BC$4)*IF(RTD("tos.rtd",,"OPEN_INT","."&amp;$AB$3&amp;$AB$4&amp;"C"&amp;BC$4)="N/A",0,RTD("tos.rtd",,"OPEN_INT","."&amp;$AB$3&amp;$AB$4&amp;"C"&amp;BC$4))*100 + MAX(0, BC$4-$A8)*IF(RTD("tos.rtd",,"OPEN_INT","."&amp;$AB$3&amp;$AB$4&amp;"P"&amp;BC$4)="N/A",0,RTD("tos.rtd",,"OPEN_INT","."&amp;$AB$3&amp;$AB$4&amp;"P"&amp;BC$4))*100</f>
        <v>32956700</v>
      </c>
      <c r="BD8" s="18">
        <f>MAX(0, $A8-BD$4)*IF(RTD("tos.rtd",,"OPEN_INT","."&amp;$AB$3&amp;$AB$4&amp;"C"&amp;BD$4)="N/A",0,RTD("tos.rtd",,"OPEN_INT","."&amp;$AB$3&amp;$AB$4&amp;"C"&amp;BD$4))*100 + MAX(0, BD$4-$A8)*IF(RTD("tos.rtd",,"OPEN_INT","."&amp;$AB$3&amp;$AB$4&amp;"P"&amp;BD$4)="N/A",0,RTD("tos.rtd",,"OPEN_INT","."&amp;$AB$3&amp;$AB$4&amp;"P"&amp;BD$4))*100</f>
        <v>48855600</v>
      </c>
      <c r="BE8" s="18">
        <f>MAX(0, $A8-BE$4)*IF(RTD("tos.rtd",,"OPEN_INT","."&amp;$AB$3&amp;$AB$4&amp;"C"&amp;BE$4)="N/A",0,RTD("tos.rtd",,"OPEN_INT","."&amp;$AB$3&amp;$AB$4&amp;"C"&amp;BE$4))*100 + MAX(0, BE$4-$A8)*IF(RTD("tos.rtd",,"OPEN_INT","."&amp;$AB$3&amp;$AB$4&amp;"P"&amp;BE$4)="N/A",0,RTD("tos.rtd",,"OPEN_INT","."&amp;$AB$3&amp;$AB$4&amp;"P"&amp;BE$4))*100</f>
        <v>23200000</v>
      </c>
      <c r="BF8" s="18">
        <f>MAX(0, $A8-BF$4)*IF(RTD("tos.rtd",,"OPEN_INT","."&amp;$AB$3&amp;$AB$4&amp;"C"&amp;BF$4)="N/A",0,RTD("tos.rtd",,"OPEN_INT","."&amp;$AB$3&amp;$AB$4&amp;"C"&amp;BF$4))*100 + MAX(0, BF$4-$A8)*IF(RTD("tos.rtd",,"OPEN_INT","."&amp;$AB$3&amp;$AB$4&amp;"P"&amp;BF$4)="N/A",0,RTD("tos.rtd",,"OPEN_INT","."&amp;$AB$3&amp;$AB$4&amp;"P"&amp;BF$4))*100</f>
        <v>22461400</v>
      </c>
      <c r="BG8" s="18">
        <f>MAX(0, $A8-BG$4)*IF(RTD("tos.rtd",,"OPEN_INT","."&amp;$AB$3&amp;$AB$4&amp;"C"&amp;BG$4)="N/A",0,RTD("tos.rtd",,"OPEN_INT","."&amp;$AB$3&amp;$AB$4&amp;"C"&amp;BG$4))*100 + MAX(0, BG$4-$A8)*IF(RTD("tos.rtd",,"OPEN_INT","."&amp;$AB$3&amp;$AB$4&amp;"P"&amp;BG$4)="N/A",0,RTD("tos.rtd",,"OPEN_INT","."&amp;$AB$3&amp;$AB$4&amp;"P"&amp;BG$4))*100</f>
        <v>11349450</v>
      </c>
      <c r="BH8" s="18">
        <f>MAX(0, $A8-BH$4)*IF(RTD("tos.rtd",,"OPEN_INT","."&amp;$AB$3&amp;$AB$4&amp;"C"&amp;BH$4)="N/A",0,RTD("tos.rtd",,"OPEN_INT","."&amp;$AB$3&amp;$AB$4&amp;"C"&amp;BH$4))*100 + MAX(0, BH$4-$A8)*IF(RTD("tos.rtd",,"OPEN_INT","."&amp;$AB$3&amp;$AB$4&amp;"P"&amp;BH$4)="N/A",0,RTD("tos.rtd",,"OPEN_INT","."&amp;$AB$3&amp;$AB$4&amp;"P"&amp;BH$4))*100</f>
        <v>8027600</v>
      </c>
      <c r="BI8" s="18">
        <f>MAX(0, $A8-BI$4)*IF(RTD("tos.rtd",,"OPEN_INT","."&amp;$AB$3&amp;$AB$4&amp;"C"&amp;BI$4)="N/A",0,RTD("tos.rtd",,"OPEN_INT","."&amp;$AB$3&amp;$AB$4&amp;"C"&amp;BI$4))*100 + MAX(0, BI$4-$A8)*IF(RTD("tos.rtd",,"OPEN_INT","."&amp;$AB$3&amp;$AB$4&amp;"P"&amp;BI$4)="N/A",0,RTD("tos.rtd",,"OPEN_INT","."&amp;$AB$3&amp;$AB$4&amp;"P"&amp;BI$4))*100</f>
        <v>2817350</v>
      </c>
      <c r="BJ8" s="18">
        <f>MAX(0, $A8-BJ$4)*IF(RTD("tos.rtd",,"OPEN_INT","."&amp;$AB$3&amp;$AB$4&amp;"C"&amp;BJ$4)="N/A",0,RTD("tos.rtd",,"OPEN_INT","."&amp;$AB$3&amp;$AB$4&amp;"C"&amp;BJ$4))*100 + MAX(0, BJ$4-$A8)*IF(RTD("tos.rtd",,"OPEN_INT","."&amp;$AB$3&amp;$AB$4&amp;"P"&amp;BJ$4)="N/A",0,RTD("tos.rtd",,"OPEN_INT","."&amp;$AB$3&amp;$AB$4&amp;"P"&amp;BJ$4))*100</f>
        <v>1263000</v>
      </c>
      <c r="BK8" s="18">
        <f>MAX(0, $A8-BK$4)*IF(RTD("tos.rtd",,"OPEN_INT","."&amp;$AB$3&amp;$AB$4&amp;"C"&amp;BK$4)="N/A",0,RTD("tos.rtd",,"OPEN_INT","."&amp;$AB$3&amp;$AB$4&amp;"C"&amp;BK$4))*100 + MAX(0, BK$4-$A8)*IF(RTD("tos.rtd",,"OPEN_INT","."&amp;$AB$3&amp;$AB$4&amp;"P"&amp;BK$4)="N/A",0,RTD("tos.rtd",,"OPEN_INT","."&amp;$AB$3&amp;$AB$4&amp;"P"&amp;BK$4))*100</f>
        <v>234050</v>
      </c>
      <c r="BL8" s="18">
        <f>MAX(0, $A8-BL$4)*IF(RTD("tos.rtd",,"OPEN_INT","."&amp;$AB$3&amp;$AB$4&amp;"C"&amp;BL$4)="N/A",0,RTD("tos.rtd",,"OPEN_INT","."&amp;$AB$3&amp;$AB$4&amp;"C"&amp;BL$4))*100 + MAX(0, BL$4-$A8)*IF(RTD("tos.rtd",,"OPEN_INT","."&amp;$AB$3&amp;$AB$4&amp;"P"&amp;BL$4)="N/A",0,RTD("tos.rtd",,"OPEN_INT","."&amp;$AB$3&amp;$AB$4&amp;"P"&amp;BL$4))*100</f>
        <v>417600</v>
      </c>
      <c r="BM8" s="18">
        <f>MAX(0, $A8-BM$4)*IF(RTD("tos.rtd",,"OPEN_INT","."&amp;$AB$3&amp;$AB$4&amp;"C"&amp;BM$4)="N/A",0,RTD("tos.rtd",,"OPEN_INT","."&amp;$AB$3&amp;$AB$4&amp;"C"&amp;BM$4))*100 + MAX(0, BM$4-$A8)*IF(RTD("tos.rtd",,"OPEN_INT","."&amp;$AB$3&amp;$AB$4&amp;"P"&amp;BM$4)="N/A",0,RTD("tos.rtd",,"OPEN_INT","."&amp;$AB$3&amp;$AB$4&amp;"P"&amp;BM$4))*100</f>
        <v>26400</v>
      </c>
      <c r="BN8" s="18">
        <f>MAX(0, $A8-BN$4)*IF(RTD("tos.rtd",,"OPEN_INT","."&amp;$AB$3&amp;$AB$4&amp;"C"&amp;BN$4)="N/A",0,RTD("tos.rtd",,"OPEN_INT","."&amp;$AB$3&amp;$AB$4&amp;"C"&amp;BN$4))*100 + MAX(0, BN$4-$A8)*IF(RTD("tos.rtd",,"OPEN_INT","."&amp;$AB$3&amp;$AB$4&amp;"P"&amp;BN$4)="N/A",0,RTD("tos.rtd",,"OPEN_INT","."&amp;$AB$3&amp;$AB$4&amp;"P"&amp;BN$4))*100</f>
        <v>13600</v>
      </c>
      <c r="BO8" s="18">
        <f>MAX(0, $A8-BO$4)*IF(RTD("tos.rtd",,"OPEN_INT","."&amp;$AB$3&amp;$AB$4&amp;"C"&amp;BO$4)="N/A",0,RTD("tos.rtd",,"OPEN_INT","."&amp;$AB$3&amp;$AB$4&amp;"C"&amp;BO$4))*100 + MAX(0, BO$4-$A8)*IF(RTD("tos.rtd",,"OPEN_INT","."&amp;$AB$3&amp;$AB$4&amp;"P"&amp;BO$4)="N/A",0,RTD("tos.rtd",,"OPEN_INT","."&amp;$AB$3&amp;$AB$4&amp;"P"&amp;BO$4))*100</f>
        <v>54250</v>
      </c>
      <c r="BP8" s="18">
        <f>MAX(0, $A8-BP$4)*IF(RTD("tos.rtd",,"OPEN_INT","."&amp;$AB$3&amp;$AB$4&amp;"C"&amp;BP$4)="N/A",0,RTD("tos.rtd",,"OPEN_INT","."&amp;$AB$3&amp;$AB$4&amp;"C"&amp;BP$4))*100 + MAX(0, BP$4-$A8)*IF(RTD("tos.rtd",,"OPEN_INT","."&amp;$AB$3&amp;$AB$4&amp;"P"&amp;BP$4)="N/A",0,RTD("tos.rtd",,"OPEN_INT","."&amp;$AB$3&amp;$AB$4&amp;"P"&amp;BP$4))*100</f>
        <v>68400</v>
      </c>
      <c r="BQ8" s="18">
        <f>MAX(0, $A8-BQ$4)*IF(RTD("tos.rtd",,"OPEN_INT","."&amp;$AB$3&amp;$AB$4&amp;"C"&amp;BQ$4)="N/A",0,RTD("tos.rtd",,"OPEN_INT","."&amp;$AB$3&amp;$AB$4&amp;"C"&amp;BQ$4))*100 + MAX(0, BQ$4-$A8)*IF(RTD("tos.rtd",,"OPEN_INT","."&amp;$AB$3&amp;$AB$4&amp;"P"&amp;BQ$4)="N/A",0,RTD("tos.rtd",,"OPEN_INT","."&amp;$AB$3&amp;$AB$4&amp;"P"&amp;BQ$4))*100</f>
        <v>0</v>
      </c>
      <c r="BR8" s="18">
        <f>MAX(0, $A8-BR$4)*IF(RTD("tos.rtd",,"OPEN_INT","."&amp;$AB$3&amp;$AB$4&amp;"C"&amp;BR$4)="N/A",0,RTD("tos.rtd",,"OPEN_INT","."&amp;$AB$3&amp;$AB$4&amp;"C"&amp;BR$4))*100 + MAX(0, BR$4-$A8)*IF(RTD("tos.rtd",,"OPEN_INT","."&amp;$AB$3&amp;$AB$4&amp;"P"&amp;BR$4)="N/A",0,RTD("tos.rtd",,"OPEN_INT","."&amp;$AB$3&amp;$AB$4&amp;"P"&amp;BR$4))*100</f>
        <v>0</v>
      </c>
      <c r="BS8" s="18">
        <f>MAX(0, $A8-BS$4)*IF(RTD("tos.rtd",,"OPEN_INT","."&amp;$AB$3&amp;$AB$4&amp;"C"&amp;BS$4)="N/A",0,RTD("tos.rtd",,"OPEN_INT","."&amp;$AB$3&amp;$AB$4&amp;"C"&amp;BS$4))*100 + MAX(0, BS$4-$A8)*IF(RTD("tos.rtd",,"OPEN_INT","."&amp;$AB$3&amp;$AB$4&amp;"P"&amp;BS$4)="N/A",0,RTD("tos.rtd",,"OPEN_INT","."&amp;$AB$3&amp;$AB$4&amp;"P"&amp;BS$4))*100</f>
        <v>0</v>
      </c>
      <c r="BT8" s="18">
        <f>MAX(0, $A8-BT$4)*IF(RTD("tos.rtd",,"OPEN_INT","."&amp;$AB$3&amp;$AB$4&amp;"C"&amp;BT$4)="N/A",0,RTD("tos.rtd",,"OPEN_INT","."&amp;$AB$3&amp;$AB$4&amp;"C"&amp;BT$4))*100 + MAX(0, BT$4-$A8)*IF(RTD("tos.rtd",,"OPEN_INT","."&amp;$AB$3&amp;$AB$4&amp;"P"&amp;BT$4)="N/A",0,RTD("tos.rtd",,"OPEN_INT","."&amp;$AB$3&amp;$AB$4&amp;"P"&amp;BT$4))*100</f>
        <v>0</v>
      </c>
      <c r="BU8" s="18">
        <f>MAX(0, $A8-BU$4)*IF(RTD("tos.rtd",,"OPEN_INT","."&amp;$AB$3&amp;$AB$4&amp;"C"&amp;BU$4)="N/A",0,RTD("tos.rtd",,"OPEN_INT","."&amp;$AB$3&amp;$AB$4&amp;"C"&amp;BU$4))*100 + MAX(0, BU$4-$A8)*IF(RTD("tos.rtd",,"OPEN_INT","."&amp;$AB$3&amp;$AB$4&amp;"P"&amp;BU$4)="N/A",0,RTD("tos.rtd",,"OPEN_INT","."&amp;$AB$3&amp;$AB$4&amp;"P"&amp;BU$4))*100</f>
        <v>0</v>
      </c>
      <c r="BV8" s="18">
        <f>MAX(0, $A8-BV$4)*IF(RTD("tos.rtd",,"OPEN_INT","."&amp;$AB$3&amp;$AB$4&amp;"C"&amp;BV$4)="N/A",0,RTD("tos.rtd",,"OPEN_INT","."&amp;$AB$3&amp;$AB$4&amp;"C"&amp;BV$4))*100 + MAX(0, BV$4-$A8)*IF(RTD("tos.rtd",,"OPEN_INT","."&amp;$AB$3&amp;$AB$4&amp;"P"&amp;BV$4)="N/A",0,RTD("tos.rtd",,"OPEN_INT","."&amp;$AB$3&amp;$AB$4&amp;"P"&amp;BV$4))*100</f>
        <v>0</v>
      </c>
      <c r="BW8" s="18">
        <f>MAX(0, $A8-BW$4)*IF(RTD("tos.rtd",,"OPEN_INT","."&amp;$AB$3&amp;$AB$4&amp;"C"&amp;BW$4)="N/A",0,RTD("tos.rtd",,"OPEN_INT","."&amp;$AB$3&amp;$AB$4&amp;"C"&amp;BW$4))*100 + MAX(0, BW$4-$A8)*IF(RTD("tos.rtd",,"OPEN_INT","."&amp;$AB$3&amp;$AB$4&amp;"P"&amp;BW$4)="N/A",0,RTD("tos.rtd",,"OPEN_INT","."&amp;$AB$3&amp;$AB$4&amp;"P"&amp;BW$4))*100</f>
        <v>0</v>
      </c>
    </row>
    <row r="9" spans="1:75" s="19" customFormat="1" ht="11.1" customHeight="1" thickBot="1" x14ac:dyDescent="0.3">
      <c r="A9" s="23">
        <f t="shared" si="7"/>
        <v>19.5</v>
      </c>
      <c r="B9" s="14">
        <f ca="1">IF($A$2="PREMIUM_OI",IFERROR(IF($X$1="ABS",(100*RTD("tos.rtd",,"OPEN_INT","."&amp;B$2&amp;B$1&amp;"C"&amp;$A9)*RTD("tos.rtd",,"LAST","."&amp;B$2&amp;B$1&amp;"C"&amp;$A9)+100*RTD("tos.rtd",,"OPEN_INT","."&amp;B$2&amp;B$1&amp;"P"&amp;$A9)*RTD("tos.rtd",,"LAST","."&amp;B$2&amp;B$1&amp;"P"&amp;$A9))/1000000,(100*RTD("tos.rtd",,"OPEN_INT","."&amp;B$2&amp;B$1&amp;"C"&amp;$A9)*RTD("tos.rtd",,"LAST","."&amp;B$2&amp;B$1&amp;"C"&amp;$A9)-100*RTD("tos.rtd",,"OPEN_INT","."&amp;B$2&amp;B$1&amp;"P"&amp;$A9)*RTD("tos.rtd",,"LAST","."&amp;B$2&amp;B$1&amp;"P"&amp;$A9))/1000000),0),IF($A$2="PREMIUM",IFERROR(IF($X$1="ABS",(100*RTD("tos.rtd",,"VOLUME","."&amp;B$2&amp;B$1&amp;"C"&amp;$A9)*RTD("tos.rtd",,"LAST","."&amp;B$2&amp;B$1&amp;"C"&amp;$A9)+100*RTD("tos.rtd",,"VOLUME","."&amp;B$2&amp;B$1&amp;"P"&amp;$A9)*RTD("tos.rtd",,"LAST","."&amp;B$2&amp;B$1&amp;"P"&amp;$A9))/1000000,(100*RTD("tos.rtd",,"VOLUME","."&amp;B$2&amp;B$1&amp;"C"&amp;$A9)*RTD("tos.rtd",,"LAST","."&amp;B$2&amp;B$1&amp;"C"&amp;$A9)-100*RTD("tos.rtd",,"VOLUME","."&amp;B$2&amp;B$1&amp;"P"&amp;$A9)*RTD("tos.rtd",,"LAST","."&amp;B$2&amp;B$1&amp;"P"&amp;$A9))/1000000),0),IF($A$2="DEX",IFERROR(IF($X$1="ABS",(100*RTD("tos.rtd",,"OPEN_INT","."&amp;B$2&amp;B$1&amp;"C"&amp;$A9)*RTD("tos.rtd",,"DELTA","."&amp;B$2&amp;B$1&amp;"C"&amp;$A9)+100*RTD("tos.rtd",,"OPEN_INT","."&amp;B$2&amp;B$1&amp;"P"&amp;$A9)*RTD("tos.rtd",,"DELTA","."&amp;B$2&amp;B$1&amp;"P"&amp;$A9))/1000,(100*RTD("tos.rtd",,"OPEN_INT","."&amp;B$2&amp;B$1&amp;"C"&amp;$A9)*RTD("tos.rtd",,"DELTA","."&amp;B$2&amp;B$1&amp;"C"&amp;$A9)-100*RTD("tos.rtd",,"OPEN_INT","."&amp;B$2&amp;B$1&amp;"P"&amp;$A9)*RTD("tos.rtd",,"DELTA","."&amp;B$2&amp;B$1&amp;"P"&amp;$A9))/1000),0),IF($A$2="VEX",IFERROR(IF($X$1="ABS",($A$4*$A$4*RTD("tos.rtd",,"VOLUME","."&amp;B$2&amp;B$1&amp;"C"&amp;$A9)*RTD("tos.rtd",,"GAMMA","."&amp;B$2&amp;B$1&amp;"C"&amp;$A9)+$A$4*$A$4*RTD("tos.rtd",,"VOLUME","."&amp;B$2&amp;B$1&amp;"P"&amp;$A9)*RTD("tos.rtd",,"GAMMA","."&amp;B$2&amp;B$1&amp;"P"&amp;$A9))/1000000,($A$4*$A$4*RTD("tos.rtd",,"VOLUME","."&amp;B$2&amp;B$1&amp;"C"&amp;$A9)*RTD("tos.rtd",,"GAMMA","."&amp;B$2&amp;B$1&amp;"C"&amp;$A9)-$A$4*$A$4*RTD("tos.rtd",,"VOLUME","."&amp;B$2&amp;B$1&amp;"P"&amp;$A9)*RTD("tos.rtd",,"GAMMA","."&amp;B$2&amp;B$1&amp;"P"&amp;$A9))/1000000),0),IF($A$2="GEX",IFERROR(IF($X$1="ABS",($A$4*$A$4*RTD("tos.rtd",,"OPEN_INT","."&amp;B$2&amp;B$1&amp;"C"&amp;$A9)*RTD("tos.rtd",,"GAMMA","."&amp;B$2&amp;B$1&amp;"C"&amp;$A9)+$A$4*$A$4*RTD("tos.rtd",,"OPEN_INT","."&amp;B$2&amp;B$1&amp;"P"&amp;$A9)*RTD("tos.rtd",,"GAMMA","."&amp;B$2&amp;B$1&amp;"P"&amp;$A9))/1000000,($A$4*$A$4*RTD("tos.rtd",,"OPEN_INT","."&amp;B$2&amp;B$1&amp;"C"&amp;$A9)*RTD("tos.rtd",,"GAMMA","."&amp;B$2&amp;B$1&amp;"C"&amp;$A9)-$A$4*$A$4*RTD("tos.rtd",,"OPEN_INT","."&amp;B$2&amp;B$1&amp;"P"&amp;$A9)*RTD("tos.rtd",,"GAMMA","."&amp;B$2&amp;B$1&amp;"P"&amp;$A9))/1000000),0),IF($A$2="SKEW",IFERROR(VALUE(IF(RTD("tos.rtd",,"IMPL_VOL","."&amp;B$2&amp;B$1&amp;"P"&amp;$A9)="N/A",0,RTD("tos.rtd",,"IMPL_VOL","."&amp;B$2&amp;B$1&amp;"P"&amp;$A9))),0)-IFERROR(VALUE(IF(RTD("tos.rtd",,"IMPL_VOL","."&amp;B$2&amp;B$1&amp;"C"&amp;$A9)="N/A",0,RTD("tos.rtd",,"IMPL_VOL","."&amp;B$2&amp;B$1&amp;"C"&amp;$A9))),0),IF($A$2="MAXPAIN",IF($A$4&gt;$A9,($A$4-$A9)*IF(RTD("tos.rtd",,"OPEN_INT","."&amp;B$2&amp;B$1&amp;"C"&amp;$A9)="N/A",0,RTD("tos.rtd",,"OPEN_INT","."&amp;B$2&amp;B$1&amp;"C"&amp;$A9)),0)+IF($A$4&lt;$A9,($A$5-$A$4)*IF(RTD("tos.rtd",,"OPEN_INT","."&amp;B$2&amp;B$1&amp;"P"&amp;$A9)="N/A",0,RTD("tos.rtd",,"OPEN_INT","."&amp;B$2&amp;B$1&amp;"P"&amp;$A9)),0),IF($X$1="ABS",IF(RTD("tos.rtd",,$A$2,"."&amp;B$2&amp;B$1&amp;"C"&amp;$A9)="N/A",0,RTD("tos.rtd",,$A$2,"."&amp;B$2&amp;B$1&amp;"C"&amp;$A9))+IF(RTD("tos.rtd",,$A$2,"."&amp;B$2&amp;B$1&amp;"P"&amp;$A9)="N/A",0,RTD("tos.rtd",,$A$2,"."&amp;B$2&amp;B$1&amp;"P"&amp;$A9)),IF(RTD("tos.rtd",,$A$2,"."&amp;B$2&amp;B$1&amp;"C"&amp;$A9)="N/A",0,RTD("tos.rtd",,$A$2,"."&amp;B$2&amp;B$1&amp;"C"&amp;$A9))-IF(RTD("tos.rtd",,$A$2,"."&amp;B$2&amp;B$1&amp;"P"&amp;$A9)="N/A",0,RTD("tos.rtd",,$A$2,"."&amp;B$2&amp;B$1&amp;"P"&amp;$A9))))))))))</f>
        <v>0</v>
      </c>
      <c r="C9" s="14">
        <f ca="1">IF($A$2="PREMIUM_OI",IFERROR(IF($X$1="ABS",(100*RTD("tos.rtd",,"OPEN_INT","."&amp;C$2&amp;C$1&amp;"C"&amp;$A9)*RTD("tos.rtd",,"LAST","."&amp;C$2&amp;C$1&amp;"C"&amp;$A9)+100*RTD("tos.rtd",,"OPEN_INT","."&amp;C$2&amp;C$1&amp;"P"&amp;$A9)*RTD("tos.rtd",,"LAST","."&amp;C$2&amp;C$1&amp;"P"&amp;$A9))/1000000,(100*RTD("tos.rtd",,"OPEN_INT","."&amp;C$2&amp;C$1&amp;"C"&amp;$A9)*RTD("tos.rtd",,"LAST","."&amp;C$2&amp;C$1&amp;"C"&amp;$A9)-100*RTD("tos.rtd",,"OPEN_INT","."&amp;C$2&amp;C$1&amp;"P"&amp;$A9)*RTD("tos.rtd",,"LAST","."&amp;C$2&amp;C$1&amp;"P"&amp;$A9))/1000000),0),IF($A$2="PREMIUM",IFERROR(IF($X$1="ABS",(100*RTD("tos.rtd",,"VOLUME","."&amp;C$2&amp;C$1&amp;"C"&amp;$A9)*RTD("tos.rtd",,"LAST","."&amp;C$2&amp;C$1&amp;"C"&amp;$A9)+100*RTD("tos.rtd",,"VOLUME","."&amp;C$2&amp;C$1&amp;"P"&amp;$A9)*RTD("tos.rtd",,"LAST","."&amp;C$2&amp;C$1&amp;"P"&amp;$A9))/1000000,(100*RTD("tos.rtd",,"VOLUME","."&amp;C$2&amp;C$1&amp;"C"&amp;$A9)*RTD("tos.rtd",,"LAST","."&amp;C$2&amp;C$1&amp;"C"&amp;$A9)-100*RTD("tos.rtd",,"VOLUME","."&amp;C$2&amp;C$1&amp;"P"&amp;$A9)*RTD("tos.rtd",,"LAST","."&amp;C$2&amp;C$1&amp;"P"&amp;$A9))/1000000),0),IF($A$2="DEX",IFERROR(IF($X$1="ABS",(100*RTD("tos.rtd",,"OPEN_INT","."&amp;C$2&amp;C$1&amp;"C"&amp;$A9)*RTD("tos.rtd",,"DELTA","."&amp;C$2&amp;C$1&amp;"C"&amp;$A9)+100*RTD("tos.rtd",,"OPEN_INT","."&amp;C$2&amp;C$1&amp;"P"&amp;$A9)*RTD("tos.rtd",,"DELTA","."&amp;C$2&amp;C$1&amp;"P"&amp;$A9))/1000,(100*RTD("tos.rtd",,"OPEN_INT","."&amp;C$2&amp;C$1&amp;"C"&amp;$A9)*RTD("tos.rtd",,"DELTA","."&amp;C$2&amp;C$1&amp;"C"&amp;$A9)-100*RTD("tos.rtd",,"OPEN_INT","."&amp;C$2&amp;C$1&amp;"P"&amp;$A9)*RTD("tos.rtd",,"DELTA","."&amp;C$2&amp;C$1&amp;"P"&amp;$A9))/1000),0),IF($A$2="VEX",IFERROR(IF($X$1="ABS",($A$4*$A$4*RTD("tos.rtd",,"VOLUME","."&amp;C$2&amp;C$1&amp;"C"&amp;$A9)*RTD("tos.rtd",,"GAMMA","."&amp;C$2&amp;C$1&amp;"C"&amp;$A9)+$A$4*$A$4*RTD("tos.rtd",,"VOLUME","."&amp;C$2&amp;C$1&amp;"P"&amp;$A9)*RTD("tos.rtd",,"GAMMA","."&amp;C$2&amp;C$1&amp;"P"&amp;$A9))/1000000,($A$4*$A$4*RTD("tos.rtd",,"VOLUME","."&amp;C$2&amp;C$1&amp;"C"&amp;$A9)*RTD("tos.rtd",,"GAMMA","."&amp;C$2&amp;C$1&amp;"C"&amp;$A9)-$A$4*$A$4*RTD("tos.rtd",,"VOLUME","."&amp;C$2&amp;C$1&amp;"P"&amp;$A9)*RTD("tos.rtd",,"GAMMA","."&amp;C$2&amp;C$1&amp;"P"&amp;$A9))/1000000),0),IF($A$2="GEX",IFERROR(IF($X$1="ABS",($A$4*$A$4*RTD("tos.rtd",,"OPEN_INT","."&amp;C$2&amp;C$1&amp;"C"&amp;$A9)*RTD("tos.rtd",,"GAMMA","."&amp;C$2&amp;C$1&amp;"C"&amp;$A9)+$A$4*$A$4*RTD("tos.rtd",,"OPEN_INT","."&amp;C$2&amp;C$1&amp;"P"&amp;$A9)*RTD("tos.rtd",,"GAMMA","."&amp;C$2&amp;C$1&amp;"P"&amp;$A9))/1000000,($A$4*$A$4*RTD("tos.rtd",,"OPEN_INT","."&amp;C$2&amp;C$1&amp;"C"&amp;$A9)*RTD("tos.rtd",,"GAMMA","."&amp;C$2&amp;C$1&amp;"C"&amp;$A9)-$A$4*$A$4*RTD("tos.rtd",,"OPEN_INT","."&amp;C$2&amp;C$1&amp;"P"&amp;$A9)*RTD("tos.rtd",,"GAMMA","."&amp;C$2&amp;C$1&amp;"P"&amp;$A9))/1000000),0),IF($A$2="SKEW",IFERROR(VALUE(IF(RTD("tos.rtd",,"IMPL_VOL","."&amp;C$2&amp;C$1&amp;"P"&amp;$A9)="N/A",0,RTD("tos.rtd",,"IMPL_VOL","."&amp;C$2&amp;C$1&amp;"P"&amp;$A9))),0)-IFERROR(VALUE(IF(RTD("tos.rtd",,"IMPL_VOL","."&amp;C$2&amp;C$1&amp;"C"&amp;$A9)="N/A",0,RTD("tos.rtd",,"IMPL_VOL","."&amp;C$2&amp;C$1&amp;"C"&amp;$A9))),0),IF($A$2="MAXPAIN",IF($A$4&gt;$A9,($A$4-$A9)*IF(RTD("tos.rtd",,"OPEN_INT","."&amp;C$2&amp;C$1&amp;"C"&amp;$A9)="N/A",0,RTD("tos.rtd",,"OPEN_INT","."&amp;C$2&amp;C$1&amp;"C"&amp;$A9)),0)+IF($A$4&lt;$A9,($A$5-$A$4)*IF(RTD("tos.rtd",,"OPEN_INT","."&amp;C$2&amp;C$1&amp;"P"&amp;$A9)="N/A",0,RTD("tos.rtd",,"OPEN_INT","."&amp;C$2&amp;C$1&amp;"P"&amp;$A9)),0),IF($X$1="ABS",IF(RTD("tos.rtd",,$A$2,"."&amp;C$2&amp;C$1&amp;"C"&amp;$A9)="N/A",0,RTD("tos.rtd",,$A$2,"."&amp;C$2&amp;C$1&amp;"C"&amp;$A9))+IF(RTD("tos.rtd",,$A$2,"."&amp;C$2&amp;C$1&amp;"P"&amp;$A9)="N/A",0,RTD("tos.rtd",,$A$2,"."&amp;C$2&amp;C$1&amp;"P"&amp;$A9)),IF(RTD("tos.rtd",,$A$2,"."&amp;C$2&amp;C$1&amp;"C"&amp;$A9)="N/A",0,RTD("tos.rtd",,$A$2,"."&amp;C$2&amp;C$1&amp;"C"&amp;$A9))-IF(RTD("tos.rtd",,$A$2,"."&amp;C$2&amp;C$1&amp;"P"&amp;$A9)="N/A",0,RTD("tos.rtd",,$A$2,"."&amp;C$2&amp;C$1&amp;"P"&amp;$A9))))))))))</f>
        <v>0</v>
      </c>
      <c r="D9" s="12">
        <f ca="1">IF($A$2="PREMIUM_OI",IFERROR(IF($X$1="ABS",(100*RTD("tos.rtd",,"OPEN_INT","."&amp;D$2&amp;D$1&amp;"C"&amp;$A9)*RTD("tos.rtd",,"LAST","."&amp;D$2&amp;D$1&amp;"C"&amp;$A9)+100*RTD("tos.rtd",,"OPEN_INT","."&amp;D$2&amp;D$1&amp;"P"&amp;$A9)*RTD("tos.rtd",,"LAST","."&amp;D$2&amp;D$1&amp;"P"&amp;$A9))/1000000,(100*RTD("tos.rtd",,"OPEN_INT","."&amp;D$2&amp;D$1&amp;"C"&amp;$A9)*RTD("tos.rtd",,"LAST","."&amp;D$2&amp;D$1&amp;"C"&amp;$A9)-100*RTD("tos.rtd",,"OPEN_INT","."&amp;D$2&amp;D$1&amp;"P"&amp;$A9)*RTD("tos.rtd",,"LAST","."&amp;D$2&amp;D$1&amp;"P"&amp;$A9))/1000000),0),IF($A$2="PREMIUM",IFERROR(IF($X$1="ABS",(100*RTD("tos.rtd",,"VOLUME","."&amp;D$2&amp;D$1&amp;"C"&amp;$A9)*RTD("tos.rtd",,"LAST","."&amp;D$2&amp;D$1&amp;"C"&amp;$A9)+100*RTD("tos.rtd",,"VOLUME","."&amp;D$2&amp;D$1&amp;"P"&amp;$A9)*RTD("tos.rtd",,"LAST","."&amp;D$2&amp;D$1&amp;"P"&amp;$A9))/1000000,(100*RTD("tos.rtd",,"VOLUME","."&amp;D$2&amp;D$1&amp;"C"&amp;$A9)*RTD("tos.rtd",,"LAST","."&amp;D$2&amp;D$1&amp;"C"&amp;$A9)-100*RTD("tos.rtd",,"VOLUME","."&amp;D$2&amp;D$1&amp;"P"&amp;$A9)*RTD("tos.rtd",,"LAST","."&amp;D$2&amp;D$1&amp;"P"&amp;$A9))/1000000),0),IF($A$2="DEX",IFERROR(IF($X$1="ABS",(100*RTD("tos.rtd",,"OPEN_INT","."&amp;D$2&amp;D$1&amp;"C"&amp;$A9)*RTD("tos.rtd",,"DELTA","."&amp;D$2&amp;D$1&amp;"C"&amp;$A9)+100*RTD("tos.rtd",,"OPEN_INT","."&amp;D$2&amp;D$1&amp;"P"&amp;$A9)*RTD("tos.rtd",,"DELTA","."&amp;D$2&amp;D$1&amp;"P"&amp;$A9))/1000,(100*RTD("tos.rtd",,"OPEN_INT","."&amp;D$2&amp;D$1&amp;"C"&amp;$A9)*RTD("tos.rtd",,"DELTA","."&amp;D$2&amp;D$1&amp;"C"&amp;$A9)-100*RTD("tos.rtd",,"OPEN_INT","."&amp;D$2&amp;D$1&amp;"P"&amp;$A9)*RTD("tos.rtd",,"DELTA","."&amp;D$2&amp;D$1&amp;"P"&amp;$A9))/1000),0),IF($A$2="VEX",IFERROR(IF($X$1="ABS",($A$4*$A$4*RTD("tos.rtd",,"VOLUME","."&amp;D$2&amp;D$1&amp;"C"&amp;$A9)*RTD("tos.rtd",,"GAMMA","."&amp;D$2&amp;D$1&amp;"C"&amp;$A9)+$A$4*$A$4*RTD("tos.rtd",,"VOLUME","."&amp;D$2&amp;D$1&amp;"P"&amp;$A9)*RTD("tos.rtd",,"GAMMA","."&amp;D$2&amp;D$1&amp;"P"&amp;$A9))/1000000,($A$4*$A$4*RTD("tos.rtd",,"VOLUME","."&amp;D$2&amp;D$1&amp;"C"&amp;$A9)*RTD("tos.rtd",,"GAMMA","."&amp;D$2&amp;D$1&amp;"C"&amp;$A9)-$A$4*$A$4*RTD("tos.rtd",,"VOLUME","."&amp;D$2&amp;D$1&amp;"P"&amp;$A9)*RTD("tos.rtd",,"GAMMA","."&amp;D$2&amp;D$1&amp;"P"&amp;$A9))/1000000),0),IF($A$2="GEX",IFERROR(IF($X$1="ABS",($A$4*$A$4*RTD("tos.rtd",,"OPEN_INT","."&amp;D$2&amp;D$1&amp;"C"&amp;$A9)*RTD("tos.rtd",,"GAMMA","."&amp;D$2&amp;D$1&amp;"C"&amp;$A9)+$A$4*$A$4*RTD("tos.rtd",,"OPEN_INT","."&amp;D$2&amp;D$1&amp;"P"&amp;$A9)*RTD("tos.rtd",,"GAMMA","."&amp;D$2&amp;D$1&amp;"P"&amp;$A9))/1000000,($A$4*$A$4*RTD("tos.rtd",,"OPEN_INT","."&amp;D$2&amp;D$1&amp;"C"&amp;$A9)*RTD("tos.rtd",,"GAMMA","."&amp;D$2&amp;D$1&amp;"C"&amp;$A9)-$A$4*$A$4*RTD("tos.rtd",,"OPEN_INT","."&amp;D$2&amp;D$1&amp;"P"&amp;$A9)*RTD("tos.rtd",,"GAMMA","."&amp;D$2&amp;D$1&amp;"P"&amp;$A9))/1000000),0),IF($A$2="SKEW",IFERROR(VALUE(IF(RTD("tos.rtd",,"IMPL_VOL","."&amp;D$2&amp;D$1&amp;"P"&amp;$A9)="N/A",0,RTD("tos.rtd",,"IMPL_VOL","."&amp;D$2&amp;D$1&amp;"P"&amp;$A9))),0)-IFERROR(VALUE(IF(RTD("tos.rtd",,"IMPL_VOL","."&amp;D$2&amp;D$1&amp;"C"&amp;$A9)="N/A",0,RTD("tos.rtd",,"IMPL_VOL","."&amp;D$2&amp;D$1&amp;"C"&amp;$A9))),0),IF($A$2="MAXPAIN",IF($A$4&gt;$A9,($A$4-$A9)*IF(RTD("tos.rtd",,"OPEN_INT","."&amp;D$2&amp;D$1&amp;"C"&amp;$A9)="N/A",0,RTD("tos.rtd",,"OPEN_INT","."&amp;D$2&amp;D$1&amp;"C"&amp;$A9)),0)+IF($A$4&lt;$A9,($A$5-$A$4)*IF(RTD("tos.rtd",,"OPEN_INT","."&amp;D$2&amp;D$1&amp;"P"&amp;$A9)="N/A",0,RTD("tos.rtd",,"OPEN_INT","."&amp;D$2&amp;D$1&amp;"P"&amp;$A9)),0),IF($X$1="ABS",IF(RTD("tos.rtd",,$A$2,"."&amp;D$2&amp;D$1&amp;"C"&amp;$A9)="N/A",0,RTD("tos.rtd",,$A$2,"."&amp;D$2&amp;D$1&amp;"C"&amp;$A9))+IF(RTD("tos.rtd",,$A$2,"."&amp;D$2&amp;D$1&amp;"P"&amp;$A9)="N/A",0,RTD("tos.rtd",,$A$2,"."&amp;D$2&amp;D$1&amp;"P"&amp;$A9)),IF(RTD("tos.rtd",,$A$2,"."&amp;D$2&amp;D$1&amp;"C"&amp;$A9)="N/A",0,RTD("tos.rtd",,$A$2,"."&amp;D$2&amp;D$1&amp;"C"&amp;$A9))-IF(RTD("tos.rtd",,$A$2,"."&amp;D$2&amp;D$1&amp;"P"&amp;$A9)="N/A",0,RTD("tos.rtd",,$A$2,"."&amp;D$2&amp;D$1&amp;"P"&amp;$A9))))))))))</f>
        <v>0</v>
      </c>
      <c r="E9" s="12">
        <f ca="1">IF($A$2="PREMIUM_OI",IFERROR(IF($X$1="ABS",(100*RTD("tos.rtd",,"OPEN_INT","."&amp;E$2&amp;E$1&amp;"C"&amp;$A9)*RTD("tos.rtd",,"LAST","."&amp;E$2&amp;E$1&amp;"C"&amp;$A9)+100*RTD("tos.rtd",,"OPEN_INT","."&amp;E$2&amp;E$1&amp;"P"&amp;$A9)*RTD("tos.rtd",,"LAST","."&amp;E$2&amp;E$1&amp;"P"&amp;$A9))/1000000,(100*RTD("tos.rtd",,"OPEN_INT","."&amp;E$2&amp;E$1&amp;"C"&amp;$A9)*RTD("tos.rtd",,"LAST","."&amp;E$2&amp;E$1&amp;"C"&amp;$A9)-100*RTD("tos.rtd",,"OPEN_INT","."&amp;E$2&amp;E$1&amp;"P"&amp;$A9)*RTD("tos.rtd",,"LAST","."&amp;E$2&amp;E$1&amp;"P"&amp;$A9))/1000000),0),IF($A$2="PREMIUM",IFERROR(IF($X$1="ABS",(100*RTD("tos.rtd",,"VOLUME","."&amp;E$2&amp;E$1&amp;"C"&amp;$A9)*RTD("tos.rtd",,"LAST","."&amp;E$2&amp;E$1&amp;"C"&amp;$A9)+100*RTD("tos.rtd",,"VOLUME","."&amp;E$2&amp;E$1&amp;"P"&amp;$A9)*RTD("tos.rtd",,"LAST","."&amp;E$2&amp;E$1&amp;"P"&amp;$A9))/1000000,(100*RTD("tos.rtd",,"VOLUME","."&amp;E$2&amp;E$1&amp;"C"&amp;$A9)*RTD("tos.rtd",,"LAST","."&amp;E$2&amp;E$1&amp;"C"&amp;$A9)-100*RTD("tos.rtd",,"VOLUME","."&amp;E$2&amp;E$1&amp;"P"&amp;$A9)*RTD("tos.rtd",,"LAST","."&amp;E$2&amp;E$1&amp;"P"&amp;$A9))/1000000),0),IF($A$2="DEX",IFERROR(IF($X$1="ABS",(100*RTD("tos.rtd",,"OPEN_INT","."&amp;E$2&amp;E$1&amp;"C"&amp;$A9)*RTD("tos.rtd",,"DELTA","."&amp;E$2&amp;E$1&amp;"C"&amp;$A9)+100*RTD("tos.rtd",,"OPEN_INT","."&amp;E$2&amp;E$1&amp;"P"&amp;$A9)*RTD("tos.rtd",,"DELTA","."&amp;E$2&amp;E$1&amp;"P"&amp;$A9))/1000,(100*RTD("tos.rtd",,"OPEN_INT","."&amp;E$2&amp;E$1&amp;"C"&amp;$A9)*RTD("tos.rtd",,"DELTA","."&amp;E$2&amp;E$1&amp;"C"&amp;$A9)-100*RTD("tos.rtd",,"OPEN_INT","."&amp;E$2&amp;E$1&amp;"P"&amp;$A9)*RTD("tos.rtd",,"DELTA","."&amp;E$2&amp;E$1&amp;"P"&amp;$A9))/1000),0),IF($A$2="VEX",IFERROR(IF($X$1="ABS",($A$4*$A$4*RTD("tos.rtd",,"VOLUME","."&amp;E$2&amp;E$1&amp;"C"&amp;$A9)*RTD("tos.rtd",,"GAMMA","."&amp;E$2&amp;E$1&amp;"C"&amp;$A9)+$A$4*$A$4*RTD("tos.rtd",,"VOLUME","."&amp;E$2&amp;E$1&amp;"P"&amp;$A9)*RTD("tos.rtd",,"GAMMA","."&amp;E$2&amp;E$1&amp;"P"&amp;$A9))/1000000,($A$4*$A$4*RTD("tos.rtd",,"VOLUME","."&amp;E$2&amp;E$1&amp;"C"&amp;$A9)*RTD("tos.rtd",,"GAMMA","."&amp;E$2&amp;E$1&amp;"C"&amp;$A9)-$A$4*$A$4*RTD("tos.rtd",,"VOLUME","."&amp;E$2&amp;E$1&amp;"P"&amp;$A9)*RTD("tos.rtd",,"GAMMA","."&amp;E$2&amp;E$1&amp;"P"&amp;$A9))/1000000),0),IF($A$2="GEX",IFERROR(IF($X$1="ABS",($A$4*$A$4*RTD("tos.rtd",,"OPEN_INT","."&amp;E$2&amp;E$1&amp;"C"&amp;$A9)*RTD("tos.rtd",,"GAMMA","."&amp;E$2&amp;E$1&amp;"C"&amp;$A9)+$A$4*$A$4*RTD("tos.rtd",,"OPEN_INT","."&amp;E$2&amp;E$1&amp;"P"&amp;$A9)*RTD("tos.rtd",,"GAMMA","."&amp;E$2&amp;E$1&amp;"P"&amp;$A9))/1000000,($A$4*$A$4*RTD("tos.rtd",,"OPEN_INT","."&amp;E$2&amp;E$1&amp;"C"&amp;$A9)*RTD("tos.rtd",,"GAMMA","."&amp;E$2&amp;E$1&amp;"C"&amp;$A9)-$A$4*$A$4*RTD("tos.rtd",,"OPEN_INT","."&amp;E$2&amp;E$1&amp;"P"&amp;$A9)*RTD("tos.rtd",,"GAMMA","."&amp;E$2&amp;E$1&amp;"P"&amp;$A9))/1000000),0),IF($A$2="SKEW",IFERROR(VALUE(IF(RTD("tos.rtd",,"IMPL_VOL","."&amp;E$2&amp;E$1&amp;"P"&amp;$A9)="N/A",0,RTD("tos.rtd",,"IMPL_VOL","."&amp;E$2&amp;E$1&amp;"P"&amp;$A9))),0)-IFERROR(VALUE(IF(RTD("tos.rtd",,"IMPL_VOL","."&amp;E$2&amp;E$1&amp;"C"&amp;$A9)="N/A",0,RTD("tos.rtd",,"IMPL_VOL","."&amp;E$2&amp;E$1&amp;"C"&amp;$A9))),0),IF($A$2="MAXPAIN",IF($A$4&gt;$A9,($A$4-$A9)*IF(RTD("tos.rtd",,"OPEN_INT","."&amp;E$2&amp;E$1&amp;"C"&amp;$A9)="N/A",0,RTD("tos.rtd",,"OPEN_INT","."&amp;E$2&amp;E$1&amp;"C"&amp;$A9)),0)+IF($A$4&lt;$A9,($A$5-$A$4)*IF(RTD("tos.rtd",,"OPEN_INT","."&amp;E$2&amp;E$1&amp;"P"&amp;$A9)="N/A",0,RTD("tos.rtd",,"OPEN_INT","."&amp;E$2&amp;E$1&amp;"P"&amp;$A9)),0),IF($X$1="ABS",IF(RTD("tos.rtd",,$A$2,"."&amp;E$2&amp;E$1&amp;"C"&amp;$A9)="N/A",0,RTD("tos.rtd",,$A$2,"."&amp;E$2&amp;E$1&amp;"C"&amp;$A9))+IF(RTD("tos.rtd",,$A$2,"."&amp;E$2&amp;E$1&amp;"P"&amp;$A9)="N/A",0,RTD("tos.rtd",,$A$2,"."&amp;E$2&amp;E$1&amp;"P"&amp;$A9)),IF(RTD("tos.rtd",,$A$2,"."&amp;E$2&amp;E$1&amp;"C"&amp;$A9)="N/A",0,RTD("tos.rtd",,$A$2,"."&amp;E$2&amp;E$1&amp;"C"&amp;$A9))-IF(RTD("tos.rtd",,$A$2,"."&amp;E$2&amp;E$1&amp;"P"&amp;$A9)="N/A",0,RTD("tos.rtd",,$A$2,"."&amp;E$2&amp;E$1&amp;"P"&amp;$A9))))))))))</f>
        <v>0</v>
      </c>
      <c r="F9" s="12">
        <f ca="1">IF($A$2="PREMIUM_OI",IFERROR(IF($X$1="ABS",(100*RTD("tos.rtd",,"OPEN_INT","."&amp;F$2&amp;F$1&amp;"C"&amp;$A9)*RTD("tos.rtd",,"LAST","."&amp;F$2&amp;F$1&amp;"C"&amp;$A9)+100*RTD("tos.rtd",,"OPEN_INT","."&amp;F$2&amp;F$1&amp;"P"&amp;$A9)*RTD("tos.rtd",,"LAST","."&amp;F$2&amp;F$1&amp;"P"&amp;$A9))/1000000,(100*RTD("tos.rtd",,"OPEN_INT","."&amp;F$2&amp;F$1&amp;"C"&amp;$A9)*RTD("tos.rtd",,"LAST","."&amp;F$2&amp;F$1&amp;"C"&amp;$A9)-100*RTD("tos.rtd",,"OPEN_INT","."&amp;F$2&amp;F$1&amp;"P"&amp;$A9)*RTD("tos.rtd",,"LAST","."&amp;F$2&amp;F$1&amp;"P"&amp;$A9))/1000000),0),IF($A$2="PREMIUM",IFERROR(IF($X$1="ABS",(100*RTD("tos.rtd",,"VOLUME","."&amp;F$2&amp;F$1&amp;"C"&amp;$A9)*RTD("tos.rtd",,"LAST","."&amp;F$2&amp;F$1&amp;"C"&amp;$A9)+100*RTD("tos.rtd",,"VOLUME","."&amp;F$2&amp;F$1&amp;"P"&amp;$A9)*RTD("tos.rtd",,"LAST","."&amp;F$2&amp;F$1&amp;"P"&amp;$A9))/1000000,(100*RTD("tos.rtd",,"VOLUME","."&amp;F$2&amp;F$1&amp;"C"&amp;$A9)*RTD("tos.rtd",,"LAST","."&amp;F$2&amp;F$1&amp;"C"&amp;$A9)-100*RTD("tos.rtd",,"VOLUME","."&amp;F$2&amp;F$1&amp;"P"&amp;$A9)*RTD("tos.rtd",,"LAST","."&amp;F$2&amp;F$1&amp;"P"&amp;$A9))/1000000),0),IF($A$2="DEX",IFERROR(IF($X$1="ABS",(100*RTD("tos.rtd",,"OPEN_INT","."&amp;F$2&amp;F$1&amp;"C"&amp;$A9)*RTD("tos.rtd",,"DELTA","."&amp;F$2&amp;F$1&amp;"C"&amp;$A9)+100*RTD("tos.rtd",,"OPEN_INT","."&amp;F$2&amp;F$1&amp;"P"&amp;$A9)*RTD("tos.rtd",,"DELTA","."&amp;F$2&amp;F$1&amp;"P"&amp;$A9))/1000,(100*RTD("tos.rtd",,"OPEN_INT","."&amp;F$2&amp;F$1&amp;"C"&amp;$A9)*RTD("tos.rtd",,"DELTA","."&amp;F$2&amp;F$1&amp;"C"&amp;$A9)-100*RTD("tos.rtd",,"OPEN_INT","."&amp;F$2&amp;F$1&amp;"P"&amp;$A9)*RTD("tos.rtd",,"DELTA","."&amp;F$2&amp;F$1&amp;"P"&amp;$A9))/1000),0),IF($A$2="VEX",IFERROR(IF($X$1="ABS",($A$4*$A$4*RTD("tos.rtd",,"VOLUME","."&amp;F$2&amp;F$1&amp;"C"&amp;$A9)*RTD("tos.rtd",,"GAMMA","."&amp;F$2&amp;F$1&amp;"C"&amp;$A9)+$A$4*$A$4*RTD("tos.rtd",,"VOLUME","."&amp;F$2&amp;F$1&amp;"P"&amp;$A9)*RTD("tos.rtd",,"GAMMA","."&amp;F$2&amp;F$1&amp;"P"&amp;$A9))/1000000,($A$4*$A$4*RTD("tos.rtd",,"VOLUME","."&amp;F$2&amp;F$1&amp;"C"&amp;$A9)*RTD("tos.rtd",,"GAMMA","."&amp;F$2&amp;F$1&amp;"C"&amp;$A9)-$A$4*$A$4*RTD("tos.rtd",,"VOLUME","."&amp;F$2&amp;F$1&amp;"P"&amp;$A9)*RTD("tos.rtd",,"GAMMA","."&amp;F$2&amp;F$1&amp;"P"&amp;$A9))/1000000),0),IF($A$2="GEX",IFERROR(IF($X$1="ABS",($A$4*$A$4*RTD("tos.rtd",,"OPEN_INT","."&amp;F$2&amp;F$1&amp;"C"&amp;$A9)*RTD("tos.rtd",,"GAMMA","."&amp;F$2&amp;F$1&amp;"C"&amp;$A9)+$A$4*$A$4*RTD("tos.rtd",,"OPEN_INT","."&amp;F$2&amp;F$1&amp;"P"&amp;$A9)*RTD("tos.rtd",,"GAMMA","."&amp;F$2&amp;F$1&amp;"P"&amp;$A9))/1000000,($A$4*$A$4*RTD("tos.rtd",,"OPEN_INT","."&amp;F$2&amp;F$1&amp;"C"&amp;$A9)*RTD("tos.rtd",,"GAMMA","."&amp;F$2&amp;F$1&amp;"C"&amp;$A9)-$A$4*$A$4*RTD("tos.rtd",,"OPEN_INT","."&amp;F$2&amp;F$1&amp;"P"&amp;$A9)*RTD("tos.rtd",,"GAMMA","."&amp;F$2&amp;F$1&amp;"P"&amp;$A9))/1000000),0),IF($A$2="SKEW",IFERROR(VALUE(IF(RTD("tos.rtd",,"IMPL_VOL","."&amp;F$2&amp;F$1&amp;"P"&amp;$A9)="N/A",0,RTD("tos.rtd",,"IMPL_VOL","."&amp;F$2&amp;F$1&amp;"P"&amp;$A9))),0)-IFERROR(VALUE(IF(RTD("tos.rtd",,"IMPL_VOL","."&amp;F$2&amp;F$1&amp;"C"&amp;$A9)="N/A",0,RTD("tos.rtd",,"IMPL_VOL","."&amp;F$2&amp;F$1&amp;"C"&amp;$A9))),0),IF($A$2="MAXPAIN",IF($A$4&gt;$A9,($A$4-$A9)*IF(RTD("tos.rtd",,"OPEN_INT","."&amp;F$2&amp;F$1&amp;"C"&amp;$A9)="N/A",0,RTD("tos.rtd",,"OPEN_INT","."&amp;F$2&amp;F$1&amp;"C"&amp;$A9)),0)+IF($A$4&lt;$A9,($A$5-$A$4)*IF(RTD("tos.rtd",,"OPEN_INT","."&amp;F$2&amp;F$1&amp;"P"&amp;$A9)="N/A",0,RTD("tos.rtd",,"OPEN_INT","."&amp;F$2&amp;F$1&amp;"P"&amp;$A9)),0),IF($X$1="ABS",IF(RTD("tos.rtd",,$A$2,"."&amp;F$2&amp;F$1&amp;"C"&amp;$A9)="N/A",0,RTD("tos.rtd",,$A$2,"."&amp;F$2&amp;F$1&amp;"C"&amp;$A9))+IF(RTD("tos.rtd",,$A$2,"."&amp;F$2&amp;F$1&amp;"P"&amp;$A9)="N/A",0,RTD("tos.rtd",,$A$2,"."&amp;F$2&amp;F$1&amp;"P"&amp;$A9)),IF(RTD("tos.rtd",,$A$2,"."&amp;F$2&amp;F$1&amp;"C"&amp;$A9)="N/A",0,RTD("tos.rtd",,$A$2,"."&amp;F$2&amp;F$1&amp;"C"&amp;$A9))-IF(RTD("tos.rtd",,$A$2,"."&amp;F$2&amp;F$1&amp;"P"&amp;$A9)="N/A",0,RTD("tos.rtd",,$A$2,"."&amp;F$2&amp;F$1&amp;"P"&amp;$A9))))))))))</f>
        <v>0</v>
      </c>
      <c r="G9" s="54">
        <f ca="1">IF($A$2="PREMIUM_OI",IFERROR(IF($X$1="ABS",(100*RTD("tos.rtd",,"OPEN_INT","."&amp;G$2&amp;G$1&amp;"C"&amp;$A9)*RTD("tos.rtd",,"LAST","."&amp;G$2&amp;G$1&amp;"C"&amp;$A9)+100*RTD("tos.rtd",,"OPEN_INT","."&amp;G$2&amp;G$1&amp;"P"&amp;$A9)*RTD("tos.rtd",,"LAST","."&amp;G$2&amp;G$1&amp;"P"&amp;$A9))/1000000,(100*RTD("tos.rtd",,"OPEN_INT","."&amp;G$2&amp;G$1&amp;"C"&amp;$A9)*RTD("tos.rtd",,"LAST","."&amp;G$2&amp;G$1&amp;"C"&amp;$A9)-100*RTD("tos.rtd",,"OPEN_INT","."&amp;G$2&amp;G$1&amp;"P"&amp;$A9)*RTD("tos.rtd",,"LAST","."&amp;G$2&amp;G$1&amp;"P"&amp;$A9))/1000000),0),IF($A$2="PREMIUM",IFERROR(IF($X$1="ABS",(100*RTD("tos.rtd",,"VOLUME","."&amp;G$2&amp;G$1&amp;"C"&amp;$A9)*RTD("tos.rtd",,"LAST","."&amp;G$2&amp;G$1&amp;"C"&amp;$A9)+100*RTD("tos.rtd",,"VOLUME","."&amp;G$2&amp;G$1&amp;"P"&amp;$A9)*RTD("tos.rtd",,"LAST","."&amp;G$2&amp;G$1&amp;"P"&amp;$A9))/1000000,(100*RTD("tos.rtd",,"VOLUME","."&amp;G$2&amp;G$1&amp;"C"&amp;$A9)*RTD("tos.rtd",,"LAST","."&amp;G$2&amp;G$1&amp;"C"&amp;$A9)-100*RTD("tos.rtd",,"VOLUME","."&amp;G$2&amp;G$1&amp;"P"&amp;$A9)*RTD("tos.rtd",,"LAST","."&amp;G$2&amp;G$1&amp;"P"&amp;$A9))/1000000),0),IF($A$2="DEX",IFERROR(IF($X$1="ABS",(100*RTD("tos.rtd",,"OPEN_INT","."&amp;G$2&amp;G$1&amp;"C"&amp;$A9)*RTD("tos.rtd",,"DELTA","."&amp;G$2&amp;G$1&amp;"C"&amp;$A9)+100*RTD("tos.rtd",,"OPEN_INT","."&amp;G$2&amp;G$1&amp;"P"&amp;$A9)*RTD("tos.rtd",,"DELTA","."&amp;G$2&amp;G$1&amp;"P"&amp;$A9))/1000,(100*RTD("tos.rtd",,"OPEN_INT","."&amp;G$2&amp;G$1&amp;"C"&amp;$A9)*RTD("tos.rtd",,"DELTA","."&amp;G$2&amp;G$1&amp;"C"&amp;$A9)-100*RTD("tos.rtd",,"OPEN_INT","."&amp;G$2&amp;G$1&amp;"P"&amp;$A9)*RTD("tos.rtd",,"DELTA","."&amp;G$2&amp;G$1&amp;"P"&amp;$A9))/1000),0),IF($A$2="VEX",IFERROR(IF($X$1="ABS",($A$4*$A$4*RTD("tos.rtd",,"VOLUME","."&amp;G$2&amp;G$1&amp;"C"&amp;$A9)*RTD("tos.rtd",,"GAMMA","."&amp;G$2&amp;G$1&amp;"C"&amp;$A9)+$A$4*$A$4*RTD("tos.rtd",,"VOLUME","."&amp;G$2&amp;G$1&amp;"P"&amp;$A9)*RTD("tos.rtd",,"GAMMA","."&amp;G$2&amp;G$1&amp;"P"&amp;$A9))/1000000,($A$4*$A$4*RTD("tos.rtd",,"VOLUME","."&amp;G$2&amp;G$1&amp;"C"&amp;$A9)*RTD("tos.rtd",,"GAMMA","."&amp;G$2&amp;G$1&amp;"C"&amp;$A9)-$A$4*$A$4*RTD("tos.rtd",,"VOLUME","."&amp;G$2&amp;G$1&amp;"P"&amp;$A9)*RTD("tos.rtd",,"GAMMA","."&amp;G$2&amp;G$1&amp;"P"&amp;$A9))/1000000),0),IF($A$2="GEX",IFERROR(IF($X$1="ABS",($A$4*$A$4*RTD("tos.rtd",,"OPEN_INT","."&amp;G$2&amp;G$1&amp;"C"&amp;$A9)*RTD("tos.rtd",,"GAMMA","."&amp;G$2&amp;G$1&amp;"C"&amp;$A9)+$A$4*$A$4*RTD("tos.rtd",,"OPEN_INT","."&amp;G$2&amp;G$1&amp;"P"&amp;$A9)*RTD("tos.rtd",,"GAMMA","."&amp;G$2&amp;G$1&amp;"P"&amp;$A9))/1000000,($A$4*$A$4*RTD("tos.rtd",,"OPEN_INT","."&amp;G$2&amp;G$1&amp;"C"&amp;$A9)*RTD("tos.rtd",,"GAMMA","."&amp;G$2&amp;G$1&amp;"C"&amp;$A9)-$A$4*$A$4*RTD("tos.rtd",,"OPEN_INT","."&amp;G$2&amp;G$1&amp;"P"&amp;$A9)*RTD("tos.rtd",,"GAMMA","."&amp;G$2&amp;G$1&amp;"P"&amp;$A9))/1000000),0),IF($A$2="SKEW",IFERROR(VALUE(IF(RTD("tos.rtd",,"IMPL_VOL","."&amp;G$2&amp;G$1&amp;"P"&amp;$A9)="N/A",0,RTD("tos.rtd",,"IMPL_VOL","."&amp;G$2&amp;G$1&amp;"P"&amp;$A9))),0)-IFERROR(VALUE(IF(RTD("tos.rtd",,"IMPL_VOL","."&amp;G$2&amp;G$1&amp;"C"&amp;$A9)="N/A",0,RTD("tos.rtd",,"IMPL_VOL","."&amp;G$2&amp;G$1&amp;"C"&amp;$A9))),0),IF($A$2="MAXPAIN",IF($A$4&gt;$A9,($A$4-$A9)*IF(RTD("tos.rtd",,"OPEN_INT","."&amp;G$2&amp;G$1&amp;"C"&amp;$A9)="N/A",0,RTD("tos.rtd",,"OPEN_INT","."&amp;G$2&amp;G$1&amp;"C"&amp;$A9)),0)+IF($A$4&lt;$A9,($A$5-$A$4)*IF(RTD("tos.rtd",,"OPEN_INT","."&amp;G$2&amp;G$1&amp;"P"&amp;$A9)="N/A",0,RTD("tos.rtd",,"OPEN_INT","."&amp;G$2&amp;G$1&amp;"P"&amp;$A9)),0),IF($X$1="ABS",IF(RTD("tos.rtd",,$A$2,"."&amp;G$2&amp;G$1&amp;"C"&amp;$A9)="N/A",0,RTD("tos.rtd",,$A$2,"."&amp;G$2&amp;G$1&amp;"C"&amp;$A9))+IF(RTD("tos.rtd",,$A$2,"."&amp;G$2&amp;G$1&amp;"P"&amp;$A9)="N/A",0,RTD("tos.rtd",,$A$2,"."&amp;G$2&amp;G$1&amp;"P"&amp;$A9)),IF(RTD("tos.rtd",,$A$2,"."&amp;G$2&amp;G$1&amp;"C"&amp;$A9)="N/A",0,RTD("tos.rtd",,$A$2,"."&amp;G$2&amp;G$1&amp;"C"&amp;$A9))-IF(RTD("tos.rtd",,$A$2,"."&amp;G$2&amp;G$1&amp;"P"&amp;$A9)="N/A",0,RTD("tos.rtd",,$A$2,"."&amp;G$2&amp;G$1&amp;"P"&amp;$A9))))))))))</f>
        <v>0</v>
      </c>
      <c r="H9" s="14">
        <f ca="1">IF($A$2="PREMIUM_OI",IFERROR(IF($X$1="ABS",(100*RTD("tos.rtd",,"OPEN_INT","."&amp;H$2&amp;H$1&amp;"C"&amp;$A9)*RTD("tos.rtd",,"LAST","."&amp;H$2&amp;H$1&amp;"C"&amp;$A9)+100*RTD("tos.rtd",,"OPEN_INT","."&amp;H$2&amp;H$1&amp;"P"&amp;$A9)*RTD("tos.rtd",,"LAST","."&amp;H$2&amp;H$1&amp;"P"&amp;$A9))/1000000,(100*RTD("tos.rtd",,"OPEN_INT","."&amp;H$2&amp;H$1&amp;"C"&amp;$A9)*RTD("tos.rtd",,"LAST","."&amp;H$2&amp;H$1&amp;"C"&amp;$A9)-100*RTD("tos.rtd",,"OPEN_INT","."&amp;H$2&amp;H$1&amp;"P"&amp;$A9)*RTD("tos.rtd",,"LAST","."&amp;H$2&amp;H$1&amp;"P"&amp;$A9))/1000000),0),IF($A$2="PREMIUM",IFERROR(IF($X$1="ABS",(100*RTD("tos.rtd",,"VOLUME","."&amp;H$2&amp;H$1&amp;"C"&amp;$A9)*RTD("tos.rtd",,"LAST","."&amp;H$2&amp;H$1&amp;"C"&amp;$A9)+100*RTD("tos.rtd",,"VOLUME","."&amp;H$2&amp;H$1&amp;"P"&amp;$A9)*RTD("tos.rtd",,"LAST","."&amp;H$2&amp;H$1&amp;"P"&amp;$A9))/1000000,(100*RTD("tos.rtd",,"VOLUME","."&amp;H$2&amp;H$1&amp;"C"&amp;$A9)*RTD("tos.rtd",,"LAST","."&amp;H$2&amp;H$1&amp;"C"&amp;$A9)-100*RTD("tos.rtd",,"VOLUME","."&amp;H$2&amp;H$1&amp;"P"&amp;$A9)*RTD("tos.rtd",,"LAST","."&amp;H$2&amp;H$1&amp;"P"&amp;$A9))/1000000),0),IF($A$2="DEX",IFERROR(IF($X$1="ABS",(100*RTD("tos.rtd",,"OPEN_INT","."&amp;H$2&amp;H$1&amp;"C"&amp;$A9)*RTD("tos.rtd",,"DELTA","."&amp;H$2&amp;H$1&amp;"C"&amp;$A9)+100*RTD("tos.rtd",,"OPEN_INT","."&amp;H$2&amp;H$1&amp;"P"&amp;$A9)*RTD("tos.rtd",,"DELTA","."&amp;H$2&amp;H$1&amp;"P"&amp;$A9))/1000,(100*RTD("tos.rtd",,"OPEN_INT","."&amp;H$2&amp;H$1&amp;"C"&amp;$A9)*RTD("tos.rtd",,"DELTA","."&amp;H$2&amp;H$1&amp;"C"&amp;$A9)-100*RTD("tos.rtd",,"OPEN_INT","."&amp;H$2&amp;H$1&amp;"P"&amp;$A9)*RTD("tos.rtd",,"DELTA","."&amp;H$2&amp;H$1&amp;"P"&amp;$A9))/1000),0),IF($A$2="VEX",IFERROR(IF($X$1="ABS",($A$4*$A$4*RTD("tos.rtd",,"VOLUME","."&amp;H$2&amp;H$1&amp;"C"&amp;$A9)*RTD("tos.rtd",,"GAMMA","."&amp;H$2&amp;H$1&amp;"C"&amp;$A9)+$A$4*$A$4*RTD("tos.rtd",,"VOLUME","."&amp;H$2&amp;H$1&amp;"P"&amp;$A9)*RTD("tos.rtd",,"GAMMA","."&amp;H$2&amp;H$1&amp;"P"&amp;$A9))/1000000,($A$4*$A$4*RTD("tos.rtd",,"VOLUME","."&amp;H$2&amp;H$1&amp;"C"&amp;$A9)*RTD("tos.rtd",,"GAMMA","."&amp;H$2&amp;H$1&amp;"C"&amp;$A9)-$A$4*$A$4*RTD("tos.rtd",,"VOLUME","."&amp;H$2&amp;H$1&amp;"P"&amp;$A9)*RTD("tos.rtd",,"GAMMA","."&amp;H$2&amp;H$1&amp;"P"&amp;$A9))/1000000),0),IF($A$2="GEX",IFERROR(IF($X$1="ABS",($A$4*$A$4*RTD("tos.rtd",,"OPEN_INT","."&amp;H$2&amp;H$1&amp;"C"&amp;$A9)*RTD("tos.rtd",,"GAMMA","."&amp;H$2&amp;H$1&amp;"C"&amp;$A9)+$A$4*$A$4*RTD("tos.rtd",,"OPEN_INT","."&amp;H$2&amp;H$1&amp;"P"&amp;$A9)*RTD("tos.rtd",,"GAMMA","."&amp;H$2&amp;H$1&amp;"P"&amp;$A9))/1000000,($A$4*$A$4*RTD("tos.rtd",,"OPEN_INT","."&amp;H$2&amp;H$1&amp;"C"&amp;$A9)*RTD("tos.rtd",,"GAMMA","."&amp;H$2&amp;H$1&amp;"C"&amp;$A9)-$A$4*$A$4*RTD("tos.rtd",,"OPEN_INT","."&amp;H$2&amp;H$1&amp;"P"&amp;$A9)*RTD("tos.rtd",,"GAMMA","."&amp;H$2&amp;H$1&amp;"P"&amp;$A9))/1000000),0),IF($A$2="SKEW",IFERROR(VALUE(IF(RTD("tos.rtd",,"IMPL_VOL","."&amp;H$2&amp;H$1&amp;"P"&amp;$A9)="N/A",0,RTD("tos.rtd",,"IMPL_VOL","."&amp;H$2&amp;H$1&amp;"P"&amp;$A9))),0)-IFERROR(VALUE(IF(RTD("tos.rtd",,"IMPL_VOL","."&amp;H$2&amp;H$1&amp;"C"&amp;$A9)="N/A",0,RTD("tos.rtd",,"IMPL_VOL","."&amp;H$2&amp;H$1&amp;"C"&amp;$A9))),0),IF($A$2="MAXPAIN",IF($A$4&gt;$A9,($A$4-$A9)*IF(RTD("tos.rtd",,"OPEN_INT","."&amp;H$2&amp;H$1&amp;"C"&amp;$A9)="N/A",0,RTD("tos.rtd",,"OPEN_INT","."&amp;H$2&amp;H$1&amp;"C"&amp;$A9)),0)+IF($A$4&lt;$A9,($A$5-$A$4)*IF(RTD("tos.rtd",,"OPEN_INT","."&amp;H$2&amp;H$1&amp;"P"&amp;$A9)="N/A",0,RTD("tos.rtd",,"OPEN_INT","."&amp;H$2&amp;H$1&amp;"P"&amp;$A9)),0),IF($X$1="ABS",IF(RTD("tos.rtd",,$A$2,"."&amp;H$2&amp;H$1&amp;"C"&amp;$A9)="N/A",0,RTD("tos.rtd",,$A$2,"."&amp;H$2&amp;H$1&amp;"C"&amp;$A9))+IF(RTD("tos.rtd",,$A$2,"."&amp;H$2&amp;H$1&amp;"P"&amp;$A9)="N/A",0,RTD("tos.rtd",,$A$2,"."&amp;H$2&amp;H$1&amp;"P"&amp;$A9)),IF(RTD("tos.rtd",,$A$2,"."&amp;H$2&amp;H$1&amp;"C"&amp;$A9)="N/A",0,RTD("tos.rtd",,$A$2,"."&amp;H$2&amp;H$1&amp;"C"&amp;$A9))-IF(RTD("tos.rtd",,$A$2,"."&amp;H$2&amp;H$1&amp;"P"&amp;$A9)="N/A",0,RTD("tos.rtd",,$A$2,"."&amp;H$2&amp;H$1&amp;"P"&amp;$A9))))))))))</f>
        <v>0</v>
      </c>
      <c r="I9" s="12">
        <f ca="1">IF($A$2="PREMIUM_OI",IFERROR(IF($X$1="ABS",(100*RTD("tos.rtd",,"OPEN_INT","."&amp;I$2&amp;I$1&amp;"C"&amp;$A9)*RTD("tos.rtd",,"LAST","."&amp;I$2&amp;I$1&amp;"C"&amp;$A9)+100*RTD("tos.rtd",,"OPEN_INT","."&amp;I$2&amp;I$1&amp;"P"&amp;$A9)*RTD("tos.rtd",,"LAST","."&amp;I$2&amp;I$1&amp;"P"&amp;$A9))/1000000,(100*RTD("tos.rtd",,"OPEN_INT","."&amp;I$2&amp;I$1&amp;"C"&amp;$A9)*RTD("tos.rtd",,"LAST","."&amp;I$2&amp;I$1&amp;"C"&amp;$A9)-100*RTD("tos.rtd",,"OPEN_INT","."&amp;I$2&amp;I$1&amp;"P"&amp;$A9)*RTD("tos.rtd",,"LAST","."&amp;I$2&amp;I$1&amp;"P"&amp;$A9))/1000000),0),IF($A$2="PREMIUM",IFERROR(IF($X$1="ABS",(100*RTD("tos.rtd",,"VOLUME","."&amp;I$2&amp;I$1&amp;"C"&amp;$A9)*RTD("tos.rtd",,"LAST","."&amp;I$2&amp;I$1&amp;"C"&amp;$A9)+100*RTD("tos.rtd",,"VOLUME","."&amp;I$2&amp;I$1&amp;"P"&amp;$A9)*RTD("tos.rtd",,"LAST","."&amp;I$2&amp;I$1&amp;"P"&amp;$A9))/1000000,(100*RTD("tos.rtd",,"VOLUME","."&amp;I$2&amp;I$1&amp;"C"&amp;$A9)*RTD("tos.rtd",,"LAST","."&amp;I$2&amp;I$1&amp;"C"&amp;$A9)-100*RTD("tos.rtd",,"VOLUME","."&amp;I$2&amp;I$1&amp;"P"&amp;$A9)*RTD("tos.rtd",,"LAST","."&amp;I$2&amp;I$1&amp;"P"&amp;$A9))/1000000),0),IF($A$2="DEX",IFERROR(IF($X$1="ABS",(100*RTD("tos.rtd",,"OPEN_INT","."&amp;I$2&amp;I$1&amp;"C"&amp;$A9)*RTD("tos.rtd",,"DELTA","."&amp;I$2&amp;I$1&amp;"C"&amp;$A9)+100*RTD("tos.rtd",,"OPEN_INT","."&amp;I$2&amp;I$1&amp;"P"&amp;$A9)*RTD("tos.rtd",,"DELTA","."&amp;I$2&amp;I$1&amp;"P"&amp;$A9))/1000,(100*RTD("tos.rtd",,"OPEN_INT","."&amp;I$2&amp;I$1&amp;"C"&amp;$A9)*RTD("tos.rtd",,"DELTA","."&amp;I$2&amp;I$1&amp;"C"&amp;$A9)-100*RTD("tos.rtd",,"OPEN_INT","."&amp;I$2&amp;I$1&amp;"P"&amp;$A9)*RTD("tos.rtd",,"DELTA","."&amp;I$2&amp;I$1&amp;"P"&amp;$A9))/1000),0),IF($A$2="VEX",IFERROR(IF($X$1="ABS",($A$4*$A$4*RTD("tos.rtd",,"VOLUME","."&amp;I$2&amp;I$1&amp;"C"&amp;$A9)*RTD("tos.rtd",,"GAMMA","."&amp;I$2&amp;I$1&amp;"C"&amp;$A9)+$A$4*$A$4*RTD("tos.rtd",,"VOLUME","."&amp;I$2&amp;I$1&amp;"P"&amp;$A9)*RTD("tos.rtd",,"GAMMA","."&amp;I$2&amp;I$1&amp;"P"&amp;$A9))/1000000,($A$4*$A$4*RTD("tos.rtd",,"VOLUME","."&amp;I$2&amp;I$1&amp;"C"&amp;$A9)*RTD("tos.rtd",,"GAMMA","."&amp;I$2&amp;I$1&amp;"C"&amp;$A9)-$A$4*$A$4*RTD("tos.rtd",,"VOLUME","."&amp;I$2&amp;I$1&amp;"P"&amp;$A9)*RTD("tos.rtd",,"GAMMA","."&amp;I$2&amp;I$1&amp;"P"&amp;$A9))/1000000),0),IF($A$2="GEX",IFERROR(IF($X$1="ABS",($A$4*$A$4*RTD("tos.rtd",,"OPEN_INT","."&amp;I$2&amp;I$1&amp;"C"&amp;$A9)*RTD("tos.rtd",,"GAMMA","."&amp;I$2&amp;I$1&amp;"C"&amp;$A9)+$A$4*$A$4*RTD("tos.rtd",,"OPEN_INT","."&amp;I$2&amp;I$1&amp;"P"&amp;$A9)*RTD("tos.rtd",,"GAMMA","."&amp;I$2&amp;I$1&amp;"P"&amp;$A9))/1000000,($A$4*$A$4*RTD("tos.rtd",,"OPEN_INT","."&amp;I$2&amp;I$1&amp;"C"&amp;$A9)*RTD("tos.rtd",,"GAMMA","."&amp;I$2&amp;I$1&amp;"C"&amp;$A9)-$A$4*$A$4*RTD("tos.rtd",,"OPEN_INT","."&amp;I$2&amp;I$1&amp;"P"&amp;$A9)*RTD("tos.rtd",,"GAMMA","."&amp;I$2&amp;I$1&amp;"P"&amp;$A9))/1000000),0),IF($A$2="SKEW",IFERROR(VALUE(IF(RTD("tos.rtd",,"IMPL_VOL","."&amp;I$2&amp;I$1&amp;"P"&amp;$A9)="N/A",0,RTD("tos.rtd",,"IMPL_VOL","."&amp;I$2&amp;I$1&amp;"P"&amp;$A9))),0)-IFERROR(VALUE(IF(RTD("tos.rtd",,"IMPL_VOL","."&amp;I$2&amp;I$1&amp;"C"&amp;$A9)="N/A",0,RTD("tos.rtd",,"IMPL_VOL","."&amp;I$2&amp;I$1&amp;"C"&amp;$A9))),0),IF($A$2="MAXPAIN",IF($A$4&gt;$A9,($A$4-$A9)*IF(RTD("tos.rtd",,"OPEN_INT","."&amp;I$2&amp;I$1&amp;"C"&amp;$A9)="N/A",0,RTD("tos.rtd",,"OPEN_INT","."&amp;I$2&amp;I$1&amp;"C"&amp;$A9)),0)+IF($A$4&lt;$A9,($A$5-$A$4)*IF(RTD("tos.rtd",,"OPEN_INT","."&amp;I$2&amp;I$1&amp;"P"&amp;$A9)="N/A",0,RTD("tos.rtd",,"OPEN_INT","."&amp;I$2&amp;I$1&amp;"P"&amp;$A9)),0),IF($X$1="ABS",IF(RTD("tos.rtd",,$A$2,"."&amp;I$2&amp;I$1&amp;"C"&amp;$A9)="N/A",0,RTD("tos.rtd",,$A$2,"."&amp;I$2&amp;I$1&amp;"C"&amp;$A9))+IF(RTD("tos.rtd",,$A$2,"."&amp;I$2&amp;I$1&amp;"P"&amp;$A9)="N/A",0,RTD("tos.rtd",,$A$2,"."&amp;I$2&amp;I$1&amp;"P"&amp;$A9)),IF(RTD("tos.rtd",,$A$2,"."&amp;I$2&amp;I$1&amp;"C"&amp;$A9)="N/A",0,RTD("tos.rtd",,$A$2,"."&amp;I$2&amp;I$1&amp;"C"&amp;$A9))-IF(RTD("tos.rtd",,$A$2,"."&amp;I$2&amp;I$1&amp;"P"&amp;$A9)="N/A",0,RTD("tos.rtd",,$A$2,"."&amp;I$2&amp;I$1&amp;"P"&amp;$A9))))))))))</f>
        <v>0</v>
      </c>
      <c r="J9" s="12">
        <f ca="1">IF($A$2="PREMIUM_OI",IFERROR(IF($X$1="ABS",(100*RTD("tos.rtd",,"OPEN_INT","."&amp;J$2&amp;J$1&amp;"C"&amp;$A9)*RTD("tos.rtd",,"LAST","."&amp;J$2&amp;J$1&amp;"C"&amp;$A9)+100*RTD("tos.rtd",,"OPEN_INT","."&amp;J$2&amp;J$1&amp;"P"&amp;$A9)*RTD("tos.rtd",,"LAST","."&amp;J$2&amp;J$1&amp;"P"&amp;$A9))/1000000,(100*RTD("tos.rtd",,"OPEN_INT","."&amp;J$2&amp;J$1&amp;"C"&amp;$A9)*RTD("tos.rtd",,"LAST","."&amp;J$2&amp;J$1&amp;"C"&amp;$A9)-100*RTD("tos.rtd",,"OPEN_INT","."&amp;J$2&amp;J$1&amp;"P"&amp;$A9)*RTD("tos.rtd",,"LAST","."&amp;J$2&amp;J$1&amp;"P"&amp;$A9))/1000000),0),IF($A$2="PREMIUM",IFERROR(IF($X$1="ABS",(100*RTD("tos.rtd",,"VOLUME","."&amp;J$2&amp;J$1&amp;"C"&amp;$A9)*RTD("tos.rtd",,"LAST","."&amp;J$2&amp;J$1&amp;"C"&amp;$A9)+100*RTD("tos.rtd",,"VOLUME","."&amp;J$2&amp;J$1&amp;"P"&amp;$A9)*RTD("tos.rtd",,"LAST","."&amp;J$2&amp;J$1&amp;"P"&amp;$A9))/1000000,(100*RTD("tos.rtd",,"VOLUME","."&amp;J$2&amp;J$1&amp;"C"&amp;$A9)*RTD("tos.rtd",,"LAST","."&amp;J$2&amp;J$1&amp;"C"&amp;$A9)-100*RTD("tos.rtd",,"VOLUME","."&amp;J$2&amp;J$1&amp;"P"&amp;$A9)*RTD("tos.rtd",,"LAST","."&amp;J$2&amp;J$1&amp;"P"&amp;$A9))/1000000),0),IF($A$2="DEX",IFERROR(IF($X$1="ABS",(100*RTD("tos.rtd",,"OPEN_INT","."&amp;J$2&amp;J$1&amp;"C"&amp;$A9)*RTD("tos.rtd",,"DELTA","."&amp;J$2&amp;J$1&amp;"C"&amp;$A9)+100*RTD("tos.rtd",,"OPEN_INT","."&amp;J$2&amp;J$1&amp;"P"&amp;$A9)*RTD("tos.rtd",,"DELTA","."&amp;J$2&amp;J$1&amp;"P"&amp;$A9))/1000,(100*RTD("tos.rtd",,"OPEN_INT","."&amp;J$2&amp;J$1&amp;"C"&amp;$A9)*RTD("tos.rtd",,"DELTA","."&amp;J$2&amp;J$1&amp;"C"&amp;$A9)-100*RTD("tos.rtd",,"OPEN_INT","."&amp;J$2&amp;J$1&amp;"P"&amp;$A9)*RTD("tos.rtd",,"DELTA","."&amp;J$2&amp;J$1&amp;"P"&amp;$A9))/1000),0),IF($A$2="VEX",IFERROR(IF($X$1="ABS",($A$4*$A$4*RTD("tos.rtd",,"VOLUME","."&amp;J$2&amp;J$1&amp;"C"&amp;$A9)*RTD("tos.rtd",,"GAMMA","."&amp;J$2&amp;J$1&amp;"C"&amp;$A9)+$A$4*$A$4*RTD("tos.rtd",,"VOLUME","."&amp;J$2&amp;J$1&amp;"P"&amp;$A9)*RTD("tos.rtd",,"GAMMA","."&amp;J$2&amp;J$1&amp;"P"&amp;$A9))/1000000,($A$4*$A$4*RTD("tos.rtd",,"VOLUME","."&amp;J$2&amp;J$1&amp;"C"&amp;$A9)*RTD("tos.rtd",,"GAMMA","."&amp;J$2&amp;J$1&amp;"C"&amp;$A9)-$A$4*$A$4*RTD("tos.rtd",,"VOLUME","."&amp;J$2&amp;J$1&amp;"P"&amp;$A9)*RTD("tos.rtd",,"GAMMA","."&amp;J$2&amp;J$1&amp;"P"&amp;$A9))/1000000),0),IF($A$2="GEX",IFERROR(IF($X$1="ABS",($A$4*$A$4*RTD("tos.rtd",,"OPEN_INT","."&amp;J$2&amp;J$1&amp;"C"&amp;$A9)*RTD("tos.rtd",,"GAMMA","."&amp;J$2&amp;J$1&amp;"C"&amp;$A9)+$A$4*$A$4*RTD("tos.rtd",,"OPEN_INT","."&amp;J$2&amp;J$1&amp;"P"&amp;$A9)*RTD("tos.rtd",,"GAMMA","."&amp;J$2&amp;J$1&amp;"P"&amp;$A9))/1000000,($A$4*$A$4*RTD("tos.rtd",,"OPEN_INT","."&amp;J$2&amp;J$1&amp;"C"&amp;$A9)*RTD("tos.rtd",,"GAMMA","."&amp;J$2&amp;J$1&amp;"C"&amp;$A9)-$A$4*$A$4*RTD("tos.rtd",,"OPEN_INT","."&amp;J$2&amp;J$1&amp;"P"&amp;$A9)*RTD("tos.rtd",,"GAMMA","."&amp;J$2&amp;J$1&amp;"P"&amp;$A9))/1000000),0),IF($A$2="SKEW",IFERROR(VALUE(IF(RTD("tos.rtd",,"IMPL_VOL","."&amp;J$2&amp;J$1&amp;"P"&amp;$A9)="N/A",0,RTD("tos.rtd",,"IMPL_VOL","."&amp;J$2&amp;J$1&amp;"P"&amp;$A9))),0)-IFERROR(VALUE(IF(RTD("tos.rtd",,"IMPL_VOL","."&amp;J$2&amp;J$1&amp;"C"&amp;$A9)="N/A",0,RTD("tos.rtd",,"IMPL_VOL","."&amp;J$2&amp;J$1&amp;"C"&amp;$A9))),0),IF($A$2="MAXPAIN",IF($A$4&gt;$A9,($A$4-$A9)*IF(RTD("tos.rtd",,"OPEN_INT","."&amp;J$2&amp;J$1&amp;"C"&amp;$A9)="N/A",0,RTD("tos.rtd",,"OPEN_INT","."&amp;J$2&amp;J$1&amp;"C"&amp;$A9)),0)+IF($A$4&lt;$A9,($A$5-$A$4)*IF(RTD("tos.rtd",,"OPEN_INT","."&amp;J$2&amp;J$1&amp;"P"&amp;$A9)="N/A",0,RTD("tos.rtd",,"OPEN_INT","."&amp;J$2&amp;J$1&amp;"P"&amp;$A9)),0),IF($X$1="ABS",IF(RTD("tos.rtd",,$A$2,"."&amp;J$2&amp;J$1&amp;"C"&amp;$A9)="N/A",0,RTD("tos.rtd",,$A$2,"."&amp;J$2&amp;J$1&amp;"C"&amp;$A9))+IF(RTD("tos.rtd",,$A$2,"."&amp;J$2&amp;J$1&amp;"P"&amp;$A9)="N/A",0,RTD("tos.rtd",,$A$2,"."&amp;J$2&amp;J$1&amp;"P"&amp;$A9)),IF(RTD("tos.rtd",,$A$2,"."&amp;J$2&amp;J$1&amp;"C"&amp;$A9)="N/A",0,RTD("tos.rtd",,$A$2,"."&amp;J$2&amp;J$1&amp;"C"&amp;$A9))-IF(RTD("tos.rtd",,$A$2,"."&amp;J$2&amp;J$1&amp;"P"&amp;$A9)="N/A",0,RTD("tos.rtd",,$A$2,"."&amp;J$2&amp;J$1&amp;"P"&amp;$A9))))))))))</f>
        <v>0</v>
      </c>
      <c r="K9" s="12">
        <f ca="1">IF($A$2="PREMIUM_OI",IFERROR(IF($X$1="ABS",(100*RTD("tos.rtd",,"OPEN_INT","."&amp;K$2&amp;K$1&amp;"C"&amp;$A9)*RTD("tos.rtd",,"LAST","."&amp;K$2&amp;K$1&amp;"C"&amp;$A9)+100*RTD("tos.rtd",,"OPEN_INT","."&amp;K$2&amp;K$1&amp;"P"&amp;$A9)*RTD("tos.rtd",,"LAST","."&amp;K$2&amp;K$1&amp;"P"&amp;$A9))/1000000,(100*RTD("tos.rtd",,"OPEN_INT","."&amp;K$2&amp;K$1&amp;"C"&amp;$A9)*RTD("tos.rtd",,"LAST","."&amp;K$2&amp;K$1&amp;"C"&amp;$A9)-100*RTD("tos.rtd",,"OPEN_INT","."&amp;K$2&amp;K$1&amp;"P"&amp;$A9)*RTD("tos.rtd",,"LAST","."&amp;K$2&amp;K$1&amp;"P"&amp;$A9))/1000000),0),IF($A$2="PREMIUM",IFERROR(IF($X$1="ABS",(100*RTD("tos.rtd",,"VOLUME","."&amp;K$2&amp;K$1&amp;"C"&amp;$A9)*RTD("tos.rtd",,"LAST","."&amp;K$2&amp;K$1&amp;"C"&amp;$A9)+100*RTD("tos.rtd",,"VOLUME","."&amp;K$2&amp;K$1&amp;"P"&amp;$A9)*RTD("tos.rtd",,"LAST","."&amp;K$2&amp;K$1&amp;"P"&amp;$A9))/1000000,(100*RTD("tos.rtd",,"VOLUME","."&amp;K$2&amp;K$1&amp;"C"&amp;$A9)*RTD("tos.rtd",,"LAST","."&amp;K$2&amp;K$1&amp;"C"&amp;$A9)-100*RTD("tos.rtd",,"VOLUME","."&amp;K$2&amp;K$1&amp;"P"&amp;$A9)*RTD("tos.rtd",,"LAST","."&amp;K$2&amp;K$1&amp;"P"&amp;$A9))/1000000),0),IF($A$2="DEX",IFERROR(IF($X$1="ABS",(100*RTD("tos.rtd",,"OPEN_INT","."&amp;K$2&amp;K$1&amp;"C"&amp;$A9)*RTD("tos.rtd",,"DELTA","."&amp;K$2&amp;K$1&amp;"C"&amp;$A9)+100*RTD("tos.rtd",,"OPEN_INT","."&amp;K$2&amp;K$1&amp;"P"&amp;$A9)*RTD("tos.rtd",,"DELTA","."&amp;K$2&amp;K$1&amp;"P"&amp;$A9))/1000,(100*RTD("tos.rtd",,"OPEN_INT","."&amp;K$2&amp;K$1&amp;"C"&amp;$A9)*RTD("tos.rtd",,"DELTA","."&amp;K$2&amp;K$1&amp;"C"&amp;$A9)-100*RTD("tos.rtd",,"OPEN_INT","."&amp;K$2&amp;K$1&amp;"P"&amp;$A9)*RTD("tos.rtd",,"DELTA","."&amp;K$2&amp;K$1&amp;"P"&amp;$A9))/1000),0),IF($A$2="VEX",IFERROR(IF($X$1="ABS",($A$4*$A$4*RTD("tos.rtd",,"VOLUME","."&amp;K$2&amp;K$1&amp;"C"&amp;$A9)*RTD("tos.rtd",,"GAMMA","."&amp;K$2&amp;K$1&amp;"C"&amp;$A9)+$A$4*$A$4*RTD("tos.rtd",,"VOLUME","."&amp;K$2&amp;K$1&amp;"P"&amp;$A9)*RTD("tos.rtd",,"GAMMA","."&amp;K$2&amp;K$1&amp;"P"&amp;$A9))/1000000,($A$4*$A$4*RTD("tos.rtd",,"VOLUME","."&amp;K$2&amp;K$1&amp;"C"&amp;$A9)*RTD("tos.rtd",,"GAMMA","."&amp;K$2&amp;K$1&amp;"C"&amp;$A9)-$A$4*$A$4*RTD("tos.rtd",,"VOLUME","."&amp;K$2&amp;K$1&amp;"P"&amp;$A9)*RTD("tos.rtd",,"GAMMA","."&amp;K$2&amp;K$1&amp;"P"&amp;$A9))/1000000),0),IF($A$2="GEX",IFERROR(IF($X$1="ABS",($A$4*$A$4*RTD("tos.rtd",,"OPEN_INT","."&amp;K$2&amp;K$1&amp;"C"&amp;$A9)*RTD("tos.rtd",,"GAMMA","."&amp;K$2&amp;K$1&amp;"C"&amp;$A9)+$A$4*$A$4*RTD("tos.rtd",,"OPEN_INT","."&amp;K$2&amp;K$1&amp;"P"&amp;$A9)*RTD("tos.rtd",,"GAMMA","."&amp;K$2&amp;K$1&amp;"P"&amp;$A9))/1000000,($A$4*$A$4*RTD("tos.rtd",,"OPEN_INT","."&amp;K$2&amp;K$1&amp;"C"&amp;$A9)*RTD("tos.rtd",,"GAMMA","."&amp;K$2&amp;K$1&amp;"C"&amp;$A9)-$A$4*$A$4*RTD("tos.rtd",,"OPEN_INT","."&amp;K$2&amp;K$1&amp;"P"&amp;$A9)*RTD("tos.rtd",,"GAMMA","."&amp;K$2&amp;K$1&amp;"P"&amp;$A9))/1000000),0),IF($A$2="SKEW",IFERROR(VALUE(IF(RTD("tos.rtd",,"IMPL_VOL","."&amp;K$2&amp;K$1&amp;"P"&amp;$A9)="N/A",0,RTD("tos.rtd",,"IMPL_VOL","."&amp;K$2&amp;K$1&amp;"P"&amp;$A9))),0)-IFERROR(VALUE(IF(RTD("tos.rtd",,"IMPL_VOL","."&amp;K$2&amp;K$1&amp;"C"&amp;$A9)="N/A",0,RTD("tos.rtd",,"IMPL_VOL","."&amp;K$2&amp;K$1&amp;"C"&amp;$A9))),0),IF($A$2="MAXPAIN",IF($A$4&gt;$A9,($A$4-$A9)*IF(RTD("tos.rtd",,"OPEN_INT","."&amp;K$2&amp;K$1&amp;"C"&amp;$A9)="N/A",0,RTD("tos.rtd",,"OPEN_INT","."&amp;K$2&amp;K$1&amp;"C"&amp;$A9)),0)+IF($A$4&lt;$A9,($A$5-$A$4)*IF(RTD("tos.rtd",,"OPEN_INT","."&amp;K$2&amp;K$1&amp;"P"&amp;$A9)="N/A",0,RTD("tos.rtd",,"OPEN_INT","."&amp;K$2&amp;K$1&amp;"P"&amp;$A9)),0),IF($X$1="ABS",IF(RTD("tos.rtd",,$A$2,"."&amp;K$2&amp;K$1&amp;"C"&amp;$A9)="N/A",0,RTD("tos.rtd",,$A$2,"."&amp;K$2&amp;K$1&amp;"C"&amp;$A9))+IF(RTD("tos.rtd",,$A$2,"."&amp;K$2&amp;K$1&amp;"P"&amp;$A9)="N/A",0,RTD("tos.rtd",,$A$2,"."&amp;K$2&amp;K$1&amp;"P"&amp;$A9)),IF(RTD("tos.rtd",,$A$2,"."&amp;K$2&amp;K$1&amp;"C"&amp;$A9)="N/A",0,RTD("tos.rtd",,$A$2,"."&amp;K$2&amp;K$1&amp;"C"&amp;$A9))-IF(RTD("tos.rtd",,$A$2,"."&amp;K$2&amp;K$1&amp;"P"&amp;$A9)="N/A",0,RTD("tos.rtd",,$A$2,"."&amp;K$2&amp;K$1&amp;"P"&amp;$A9))))))))))</f>
        <v>0</v>
      </c>
      <c r="L9" s="54">
        <f ca="1">IF($A$2="PREMIUM_OI",IFERROR(IF($X$1="ABS",(100*RTD("tos.rtd",,"OPEN_INT","."&amp;L$2&amp;L$1&amp;"C"&amp;$A9)*RTD("tos.rtd",,"LAST","."&amp;L$2&amp;L$1&amp;"C"&amp;$A9)+100*RTD("tos.rtd",,"OPEN_INT","."&amp;L$2&amp;L$1&amp;"P"&amp;$A9)*RTD("tos.rtd",,"LAST","."&amp;L$2&amp;L$1&amp;"P"&amp;$A9))/1000000,(100*RTD("tos.rtd",,"OPEN_INT","."&amp;L$2&amp;L$1&amp;"C"&amp;$A9)*RTD("tos.rtd",,"LAST","."&amp;L$2&amp;L$1&amp;"C"&amp;$A9)-100*RTD("tos.rtd",,"OPEN_INT","."&amp;L$2&amp;L$1&amp;"P"&amp;$A9)*RTD("tos.rtd",,"LAST","."&amp;L$2&amp;L$1&amp;"P"&amp;$A9))/1000000),0),IF($A$2="PREMIUM",IFERROR(IF($X$1="ABS",(100*RTD("tos.rtd",,"VOLUME","."&amp;L$2&amp;L$1&amp;"C"&amp;$A9)*RTD("tos.rtd",,"LAST","."&amp;L$2&amp;L$1&amp;"C"&amp;$A9)+100*RTD("tos.rtd",,"VOLUME","."&amp;L$2&amp;L$1&amp;"P"&amp;$A9)*RTD("tos.rtd",,"LAST","."&amp;L$2&amp;L$1&amp;"P"&amp;$A9))/1000000,(100*RTD("tos.rtd",,"VOLUME","."&amp;L$2&amp;L$1&amp;"C"&amp;$A9)*RTD("tos.rtd",,"LAST","."&amp;L$2&amp;L$1&amp;"C"&amp;$A9)-100*RTD("tos.rtd",,"VOLUME","."&amp;L$2&amp;L$1&amp;"P"&amp;$A9)*RTD("tos.rtd",,"LAST","."&amp;L$2&amp;L$1&amp;"P"&amp;$A9))/1000000),0),IF($A$2="DEX",IFERROR(IF($X$1="ABS",(100*RTD("tos.rtd",,"OPEN_INT","."&amp;L$2&amp;L$1&amp;"C"&amp;$A9)*RTD("tos.rtd",,"DELTA","."&amp;L$2&amp;L$1&amp;"C"&amp;$A9)+100*RTD("tos.rtd",,"OPEN_INT","."&amp;L$2&amp;L$1&amp;"P"&amp;$A9)*RTD("tos.rtd",,"DELTA","."&amp;L$2&amp;L$1&amp;"P"&amp;$A9))/1000,(100*RTD("tos.rtd",,"OPEN_INT","."&amp;L$2&amp;L$1&amp;"C"&amp;$A9)*RTD("tos.rtd",,"DELTA","."&amp;L$2&amp;L$1&amp;"C"&amp;$A9)-100*RTD("tos.rtd",,"OPEN_INT","."&amp;L$2&amp;L$1&amp;"P"&amp;$A9)*RTD("tos.rtd",,"DELTA","."&amp;L$2&amp;L$1&amp;"P"&amp;$A9))/1000),0),IF($A$2="VEX",IFERROR(IF($X$1="ABS",($A$4*$A$4*RTD("tos.rtd",,"VOLUME","."&amp;L$2&amp;L$1&amp;"C"&amp;$A9)*RTD("tos.rtd",,"GAMMA","."&amp;L$2&amp;L$1&amp;"C"&amp;$A9)+$A$4*$A$4*RTD("tos.rtd",,"VOLUME","."&amp;L$2&amp;L$1&amp;"P"&amp;$A9)*RTD("tos.rtd",,"GAMMA","."&amp;L$2&amp;L$1&amp;"P"&amp;$A9))/1000000,($A$4*$A$4*RTD("tos.rtd",,"VOLUME","."&amp;L$2&amp;L$1&amp;"C"&amp;$A9)*RTD("tos.rtd",,"GAMMA","."&amp;L$2&amp;L$1&amp;"C"&amp;$A9)-$A$4*$A$4*RTD("tos.rtd",,"VOLUME","."&amp;L$2&amp;L$1&amp;"P"&amp;$A9)*RTD("tos.rtd",,"GAMMA","."&amp;L$2&amp;L$1&amp;"P"&amp;$A9))/1000000),0),IF($A$2="GEX",IFERROR(IF($X$1="ABS",($A$4*$A$4*RTD("tos.rtd",,"OPEN_INT","."&amp;L$2&amp;L$1&amp;"C"&amp;$A9)*RTD("tos.rtd",,"GAMMA","."&amp;L$2&amp;L$1&amp;"C"&amp;$A9)+$A$4*$A$4*RTD("tos.rtd",,"OPEN_INT","."&amp;L$2&amp;L$1&amp;"P"&amp;$A9)*RTD("tos.rtd",,"GAMMA","."&amp;L$2&amp;L$1&amp;"P"&amp;$A9))/1000000,($A$4*$A$4*RTD("tos.rtd",,"OPEN_INT","."&amp;L$2&amp;L$1&amp;"C"&amp;$A9)*RTD("tos.rtd",,"GAMMA","."&amp;L$2&amp;L$1&amp;"C"&amp;$A9)-$A$4*$A$4*RTD("tos.rtd",,"OPEN_INT","."&amp;L$2&amp;L$1&amp;"P"&amp;$A9)*RTD("tos.rtd",,"GAMMA","."&amp;L$2&amp;L$1&amp;"P"&amp;$A9))/1000000),0),IF($A$2="SKEW",IFERROR(VALUE(IF(RTD("tos.rtd",,"IMPL_VOL","."&amp;L$2&amp;L$1&amp;"P"&amp;$A9)="N/A",0,RTD("tos.rtd",,"IMPL_VOL","."&amp;L$2&amp;L$1&amp;"P"&amp;$A9))),0)-IFERROR(VALUE(IF(RTD("tos.rtd",,"IMPL_VOL","."&amp;L$2&amp;L$1&amp;"C"&amp;$A9)="N/A",0,RTD("tos.rtd",,"IMPL_VOL","."&amp;L$2&amp;L$1&amp;"C"&amp;$A9))),0),IF($A$2="MAXPAIN",IF($A$4&gt;$A9,($A$4-$A9)*IF(RTD("tos.rtd",,"OPEN_INT","."&amp;L$2&amp;L$1&amp;"C"&amp;$A9)="N/A",0,RTD("tos.rtd",,"OPEN_INT","."&amp;L$2&amp;L$1&amp;"C"&amp;$A9)),0)+IF($A$4&lt;$A9,($A$5-$A$4)*IF(RTD("tos.rtd",,"OPEN_INT","."&amp;L$2&amp;L$1&amp;"P"&amp;$A9)="N/A",0,RTD("tos.rtd",,"OPEN_INT","."&amp;L$2&amp;L$1&amp;"P"&amp;$A9)),0),IF($X$1="ABS",IF(RTD("tos.rtd",,$A$2,"."&amp;L$2&amp;L$1&amp;"C"&amp;$A9)="N/A",0,RTD("tos.rtd",,$A$2,"."&amp;L$2&amp;L$1&amp;"C"&amp;$A9))+IF(RTD("tos.rtd",,$A$2,"."&amp;L$2&amp;L$1&amp;"P"&amp;$A9)="N/A",0,RTD("tos.rtd",,$A$2,"."&amp;L$2&amp;L$1&amp;"P"&amp;$A9)),IF(RTD("tos.rtd",,$A$2,"."&amp;L$2&amp;L$1&amp;"C"&amp;$A9)="N/A",0,RTD("tos.rtd",,$A$2,"."&amp;L$2&amp;L$1&amp;"C"&amp;$A9))-IF(RTD("tos.rtd",,$A$2,"."&amp;L$2&amp;L$1&amp;"P"&amp;$A9)="N/A",0,RTD("tos.rtd",,$A$2,"."&amp;L$2&amp;L$1&amp;"P"&amp;$A9))))))))))</f>
        <v>0</v>
      </c>
      <c r="M9" s="12">
        <f ca="1">IF($A$2="PREMIUM_OI",IFERROR(IF($X$1="ABS",(100*RTD("tos.rtd",,"OPEN_INT","."&amp;M$2&amp;M$1&amp;"C"&amp;$A9)*RTD("tos.rtd",,"LAST","."&amp;M$2&amp;M$1&amp;"C"&amp;$A9)+100*RTD("tos.rtd",,"OPEN_INT","."&amp;M$2&amp;M$1&amp;"P"&amp;$A9)*RTD("tos.rtd",,"LAST","."&amp;M$2&amp;M$1&amp;"P"&amp;$A9))/1000000,(100*RTD("tos.rtd",,"OPEN_INT","."&amp;M$2&amp;M$1&amp;"C"&amp;$A9)*RTD("tos.rtd",,"LAST","."&amp;M$2&amp;M$1&amp;"C"&amp;$A9)-100*RTD("tos.rtd",,"OPEN_INT","."&amp;M$2&amp;M$1&amp;"P"&amp;$A9)*RTD("tos.rtd",,"LAST","."&amp;M$2&amp;M$1&amp;"P"&amp;$A9))/1000000),0),IF($A$2="PREMIUM",IFERROR(IF($X$1="ABS",(100*RTD("tos.rtd",,"VOLUME","."&amp;M$2&amp;M$1&amp;"C"&amp;$A9)*RTD("tos.rtd",,"LAST","."&amp;M$2&amp;M$1&amp;"C"&amp;$A9)+100*RTD("tos.rtd",,"VOLUME","."&amp;M$2&amp;M$1&amp;"P"&amp;$A9)*RTD("tos.rtd",,"LAST","."&amp;M$2&amp;M$1&amp;"P"&amp;$A9))/1000000,(100*RTD("tos.rtd",,"VOLUME","."&amp;M$2&amp;M$1&amp;"C"&amp;$A9)*RTD("tos.rtd",,"LAST","."&amp;M$2&amp;M$1&amp;"C"&amp;$A9)-100*RTD("tos.rtd",,"VOLUME","."&amp;M$2&amp;M$1&amp;"P"&amp;$A9)*RTD("tos.rtd",,"LAST","."&amp;M$2&amp;M$1&amp;"P"&amp;$A9))/1000000),0),IF($A$2="DEX",IFERROR(IF($X$1="ABS",(100*RTD("tos.rtd",,"OPEN_INT","."&amp;M$2&amp;M$1&amp;"C"&amp;$A9)*RTD("tos.rtd",,"DELTA","."&amp;M$2&amp;M$1&amp;"C"&amp;$A9)+100*RTD("tos.rtd",,"OPEN_INT","."&amp;M$2&amp;M$1&amp;"P"&amp;$A9)*RTD("tos.rtd",,"DELTA","."&amp;M$2&amp;M$1&amp;"P"&amp;$A9))/1000,(100*RTD("tos.rtd",,"OPEN_INT","."&amp;M$2&amp;M$1&amp;"C"&amp;$A9)*RTD("tos.rtd",,"DELTA","."&amp;M$2&amp;M$1&amp;"C"&amp;$A9)-100*RTD("tos.rtd",,"OPEN_INT","."&amp;M$2&amp;M$1&amp;"P"&amp;$A9)*RTD("tos.rtd",,"DELTA","."&amp;M$2&amp;M$1&amp;"P"&amp;$A9))/1000),0),IF($A$2="VEX",IFERROR(IF($X$1="ABS",($A$4*$A$4*RTD("tos.rtd",,"VOLUME","."&amp;M$2&amp;M$1&amp;"C"&amp;$A9)*RTD("tos.rtd",,"GAMMA","."&amp;M$2&amp;M$1&amp;"C"&amp;$A9)+$A$4*$A$4*RTD("tos.rtd",,"VOLUME","."&amp;M$2&amp;M$1&amp;"P"&amp;$A9)*RTD("tos.rtd",,"GAMMA","."&amp;M$2&amp;M$1&amp;"P"&amp;$A9))/1000000,($A$4*$A$4*RTD("tos.rtd",,"VOLUME","."&amp;M$2&amp;M$1&amp;"C"&amp;$A9)*RTD("tos.rtd",,"GAMMA","."&amp;M$2&amp;M$1&amp;"C"&amp;$A9)-$A$4*$A$4*RTD("tos.rtd",,"VOLUME","."&amp;M$2&amp;M$1&amp;"P"&amp;$A9)*RTD("tos.rtd",,"GAMMA","."&amp;M$2&amp;M$1&amp;"P"&amp;$A9))/1000000),0),IF($A$2="GEX",IFERROR(IF($X$1="ABS",($A$4*$A$4*RTD("tos.rtd",,"OPEN_INT","."&amp;M$2&amp;M$1&amp;"C"&amp;$A9)*RTD("tos.rtd",,"GAMMA","."&amp;M$2&amp;M$1&amp;"C"&amp;$A9)+$A$4*$A$4*RTD("tos.rtd",,"OPEN_INT","."&amp;M$2&amp;M$1&amp;"P"&amp;$A9)*RTD("tos.rtd",,"GAMMA","."&amp;M$2&amp;M$1&amp;"P"&amp;$A9))/1000000,($A$4*$A$4*RTD("tos.rtd",,"OPEN_INT","."&amp;M$2&amp;M$1&amp;"C"&amp;$A9)*RTD("tos.rtd",,"GAMMA","."&amp;M$2&amp;M$1&amp;"C"&amp;$A9)-$A$4*$A$4*RTD("tos.rtd",,"OPEN_INT","."&amp;M$2&amp;M$1&amp;"P"&amp;$A9)*RTD("tos.rtd",,"GAMMA","."&amp;M$2&amp;M$1&amp;"P"&amp;$A9))/1000000),0),IF($A$2="SKEW",IFERROR(VALUE(IF(RTD("tos.rtd",,"IMPL_VOL","."&amp;M$2&amp;M$1&amp;"P"&amp;$A9)="N/A",0,RTD("tos.rtd",,"IMPL_VOL","."&amp;M$2&amp;M$1&amp;"P"&amp;$A9))),0)-IFERROR(VALUE(IF(RTD("tos.rtd",,"IMPL_VOL","."&amp;M$2&amp;M$1&amp;"C"&amp;$A9)="N/A",0,RTD("tos.rtd",,"IMPL_VOL","."&amp;M$2&amp;M$1&amp;"C"&amp;$A9))),0),IF($A$2="MAXPAIN",IF($A$4&gt;$A9,($A$4-$A9)*IF(RTD("tos.rtd",,"OPEN_INT","."&amp;M$2&amp;M$1&amp;"C"&amp;$A9)="N/A",0,RTD("tos.rtd",,"OPEN_INT","."&amp;M$2&amp;M$1&amp;"C"&amp;$A9)),0)+IF($A$4&lt;$A9,($A$5-$A$4)*IF(RTD("tos.rtd",,"OPEN_INT","."&amp;M$2&amp;M$1&amp;"P"&amp;$A9)="N/A",0,RTD("tos.rtd",,"OPEN_INT","."&amp;M$2&amp;M$1&amp;"P"&amp;$A9)),0),IF($X$1="ABS",IF(RTD("tos.rtd",,$A$2,"."&amp;M$2&amp;M$1&amp;"C"&amp;$A9)="N/A",0,RTD("tos.rtd",,$A$2,"."&amp;M$2&amp;M$1&amp;"C"&amp;$A9))+IF(RTD("tos.rtd",,$A$2,"."&amp;M$2&amp;M$1&amp;"P"&amp;$A9)="N/A",0,RTD("tos.rtd",,$A$2,"."&amp;M$2&amp;M$1&amp;"P"&amp;$A9)),IF(RTD("tos.rtd",,$A$2,"."&amp;M$2&amp;M$1&amp;"C"&amp;$A9)="N/A",0,RTD("tos.rtd",,$A$2,"."&amp;M$2&amp;M$1&amp;"C"&amp;$A9))-IF(RTD("tos.rtd",,$A$2,"."&amp;M$2&amp;M$1&amp;"P"&amp;$A9)="N/A",0,RTD("tos.rtd",,$A$2,"."&amp;M$2&amp;M$1&amp;"P"&amp;$A9))))))))))</f>
        <v>0</v>
      </c>
      <c r="N9" s="12">
        <f ca="1">IF($A$2="PREMIUM_OI",IFERROR(IF($X$1="ABS",(100*RTD("tos.rtd",,"OPEN_INT","."&amp;N$2&amp;N$1&amp;"C"&amp;$A9)*RTD("tos.rtd",,"LAST","."&amp;N$2&amp;N$1&amp;"C"&amp;$A9)+100*RTD("tos.rtd",,"OPEN_INT","."&amp;N$2&amp;N$1&amp;"P"&amp;$A9)*RTD("tos.rtd",,"LAST","."&amp;N$2&amp;N$1&amp;"P"&amp;$A9))/1000000,(100*RTD("tos.rtd",,"OPEN_INT","."&amp;N$2&amp;N$1&amp;"C"&amp;$A9)*RTD("tos.rtd",,"LAST","."&amp;N$2&amp;N$1&amp;"C"&amp;$A9)-100*RTD("tos.rtd",,"OPEN_INT","."&amp;N$2&amp;N$1&amp;"P"&amp;$A9)*RTD("tos.rtd",,"LAST","."&amp;N$2&amp;N$1&amp;"P"&amp;$A9))/1000000),0),IF($A$2="PREMIUM",IFERROR(IF($X$1="ABS",(100*RTD("tos.rtd",,"VOLUME","."&amp;N$2&amp;N$1&amp;"C"&amp;$A9)*RTD("tos.rtd",,"LAST","."&amp;N$2&amp;N$1&amp;"C"&amp;$A9)+100*RTD("tos.rtd",,"VOLUME","."&amp;N$2&amp;N$1&amp;"P"&amp;$A9)*RTD("tos.rtd",,"LAST","."&amp;N$2&amp;N$1&amp;"P"&amp;$A9))/1000000,(100*RTD("tos.rtd",,"VOLUME","."&amp;N$2&amp;N$1&amp;"C"&amp;$A9)*RTD("tos.rtd",,"LAST","."&amp;N$2&amp;N$1&amp;"C"&amp;$A9)-100*RTD("tos.rtd",,"VOLUME","."&amp;N$2&amp;N$1&amp;"P"&amp;$A9)*RTD("tos.rtd",,"LAST","."&amp;N$2&amp;N$1&amp;"P"&amp;$A9))/1000000),0),IF($A$2="DEX",IFERROR(IF($X$1="ABS",(100*RTD("tos.rtd",,"OPEN_INT","."&amp;N$2&amp;N$1&amp;"C"&amp;$A9)*RTD("tos.rtd",,"DELTA","."&amp;N$2&amp;N$1&amp;"C"&amp;$A9)+100*RTD("tos.rtd",,"OPEN_INT","."&amp;N$2&amp;N$1&amp;"P"&amp;$A9)*RTD("tos.rtd",,"DELTA","."&amp;N$2&amp;N$1&amp;"P"&amp;$A9))/1000,(100*RTD("tos.rtd",,"OPEN_INT","."&amp;N$2&amp;N$1&amp;"C"&amp;$A9)*RTD("tos.rtd",,"DELTA","."&amp;N$2&amp;N$1&amp;"C"&amp;$A9)-100*RTD("tos.rtd",,"OPEN_INT","."&amp;N$2&amp;N$1&amp;"P"&amp;$A9)*RTD("tos.rtd",,"DELTA","."&amp;N$2&amp;N$1&amp;"P"&amp;$A9))/1000),0),IF($A$2="VEX",IFERROR(IF($X$1="ABS",($A$4*$A$4*RTD("tos.rtd",,"VOLUME","."&amp;N$2&amp;N$1&amp;"C"&amp;$A9)*RTD("tos.rtd",,"GAMMA","."&amp;N$2&amp;N$1&amp;"C"&amp;$A9)+$A$4*$A$4*RTD("tos.rtd",,"VOLUME","."&amp;N$2&amp;N$1&amp;"P"&amp;$A9)*RTD("tos.rtd",,"GAMMA","."&amp;N$2&amp;N$1&amp;"P"&amp;$A9))/1000000,($A$4*$A$4*RTD("tos.rtd",,"VOLUME","."&amp;N$2&amp;N$1&amp;"C"&amp;$A9)*RTD("tos.rtd",,"GAMMA","."&amp;N$2&amp;N$1&amp;"C"&amp;$A9)-$A$4*$A$4*RTD("tos.rtd",,"VOLUME","."&amp;N$2&amp;N$1&amp;"P"&amp;$A9)*RTD("tos.rtd",,"GAMMA","."&amp;N$2&amp;N$1&amp;"P"&amp;$A9))/1000000),0),IF($A$2="GEX",IFERROR(IF($X$1="ABS",($A$4*$A$4*RTD("tos.rtd",,"OPEN_INT","."&amp;N$2&amp;N$1&amp;"C"&amp;$A9)*RTD("tos.rtd",,"GAMMA","."&amp;N$2&amp;N$1&amp;"C"&amp;$A9)+$A$4*$A$4*RTD("tos.rtd",,"OPEN_INT","."&amp;N$2&amp;N$1&amp;"P"&amp;$A9)*RTD("tos.rtd",,"GAMMA","."&amp;N$2&amp;N$1&amp;"P"&amp;$A9))/1000000,($A$4*$A$4*RTD("tos.rtd",,"OPEN_INT","."&amp;N$2&amp;N$1&amp;"C"&amp;$A9)*RTD("tos.rtd",,"GAMMA","."&amp;N$2&amp;N$1&amp;"C"&amp;$A9)-$A$4*$A$4*RTD("tos.rtd",,"OPEN_INT","."&amp;N$2&amp;N$1&amp;"P"&amp;$A9)*RTD("tos.rtd",,"GAMMA","."&amp;N$2&amp;N$1&amp;"P"&amp;$A9))/1000000),0),IF($A$2="SKEW",IFERROR(VALUE(IF(RTD("tos.rtd",,"IMPL_VOL","."&amp;N$2&amp;N$1&amp;"P"&amp;$A9)="N/A",0,RTD("tos.rtd",,"IMPL_VOL","."&amp;N$2&amp;N$1&amp;"P"&amp;$A9))),0)-IFERROR(VALUE(IF(RTD("tos.rtd",,"IMPL_VOL","."&amp;N$2&amp;N$1&amp;"C"&amp;$A9)="N/A",0,RTD("tos.rtd",,"IMPL_VOL","."&amp;N$2&amp;N$1&amp;"C"&amp;$A9))),0),IF($A$2="MAXPAIN",IF($A$4&gt;$A9,($A$4-$A9)*IF(RTD("tos.rtd",,"OPEN_INT","."&amp;N$2&amp;N$1&amp;"C"&amp;$A9)="N/A",0,RTD("tos.rtd",,"OPEN_INT","."&amp;N$2&amp;N$1&amp;"C"&amp;$A9)),0)+IF($A$4&lt;$A9,($A$5-$A$4)*IF(RTD("tos.rtd",,"OPEN_INT","."&amp;N$2&amp;N$1&amp;"P"&amp;$A9)="N/A",0,RTD("tos.rtd",,"OPEN_INT","."&amp;N$2&amp;N$1&amp;"P"&amp;$A9)),0),IF($X$1="ABS",IF(RTD("tos.rtd",,$A$2,"."&amp;N$2&amp;N$1&amp;"C"&amp;$A9)="N/A",0,RTD("tos.rtd",,$A$2,"."&amp;N$2&amp;N$1&amp;"C"&amp;$A9))+IF(RTD("tos.rtd",,$A$2,"."&amp;N$2&amp;N$1&amp;"P"&amp;$A9)="N/A",0,RTD("tos.rtd",,$A$2,"."&amp;N$2&amp;N$1&amp;"P"&amp;$A9)),IF(RTD("tos.rtd",,$A$2,"."&amp;N$2&amp;N$1&amp;"C"&amp;$A9)="N/A",0,RTD("tos.rtd",,$A$2,"."&amp;N$2&amp;N$1&amp;"C"&amp;$A9))-IF(RTD("tos.rtd",,$A$2,"."&amp;N$2&amp;N$1&amp;"P"&amp;$A9)="N/A",0,RTD("tos.rtd",,$A$2,"."&amp;N$2&amp;N$1&amp;"P"&amp;$A9))))))))))</f>
        <v>0</v>
      </c>
      <c r="O9" s="12">
        <f ca="1">IF($A$2="PREMIUM_OI",IFERROR(IF($X$1="ABS",(100*RTD("tos.rtd",,"OPEN_INT","."&amp;O$2&amp;O$1&amp;"C"&amp;$A9)*RTD("tos.rtd",,"LAST","."&amp;O$2&amp;O$1&amp;"C"&amp;$A9)+100*RTD("tos.rtd",,"OPEN_INT","."&amp;O$2&amp;O$1&amp;"P"&amp;$A9)*RTD("tos.rtd",,"LAST","."&amp;O$2&amp;O$1&amp;"P"&amp;$A9))/1000000,(100*RTD("tos.rtd",,"OPEN_INT","."&amp;O$2&amp;O$1&amp;"C"&amp;$A9)*RTD("tos.rtd",,"LAST","."&amp;O$2&amp;O$1&amp;"C"&amp;$A9)-100*RTD("tos.rtd",,"OPEN_INT","."&amp;O$2&amp;O$1&amp;"P"&amp;$A9)*RTD("tos.rtd",,"LAST","."&amp;O$2&amp;O$1&amp;"P"&amp;$A9))/1000000),0),IF($A$2="PREMIUM",IFERROR(IF($X$1="ABS",(100*RTD("tos.rtd",,"VOLUME","."&amp;O$2&amp;O$1&amp;"C"&amp;$A9)*RTD("tos.rtd",,"LAST","."&amp;O$2&amp;O$1&amp;"C"&amp;$A9)+100*RTD("tos.rtd",,"VOLUME","."&amp;O$2&amp;O$1&amp;"P"&amp;$A9)*RTD("tos.rtd",,"LAST","."&amp;O$2&amp;O$1&amp;"P"&amp;$A9))/1000000,(100*RTD("tos.rtd",,"VOLUME","."&amp;O$2&amp;O$1&amp;"C"&amp;$A9)*RTD("tos.rtd",,"LAST","."&amp;O$2&amp;O$1&amp;"C"&amp;$A9)-100*RTD("tos.rtd",,"VOLUME","."&amp;O$2&amp;O$1&amp;"P"&amp;$A9)*RTD("tos.rtd",,"LAST","."&amp;O$2&amp;O$1&amp;"P"&amp;$A9))/1000000),0),IF($A$2="DEX",IFERROR(IF($X$1="ABS",(100*RTD("tos.rtd",,"OPEN_INT","."&amp;O$2&amp;O$1&amp;"C"&amp;$A9)*RTD("tos.rtd",,"DELTA","."&amp;O$2&amp;O$1&amp;"C"&amp;$A9)+100*RTD("tos.rtd",,"OPEN_INT","."&amp;O$2&amp;O$1&amp;"P"&amp;$A9)*RTD("tos.rtd",,"DELTA","."&amp;O$2&amp;O$1&amp;"P"&amp;$A9))/1000,(100*RTD("tos.rtd",,"OPEN_INT","."&amp;O$2&amp;O$1&amp;"C"&amp;$A9)*RTD("tos.rtd",,"DELTA","."&amp;O$2&amp;O$1&amp;"C"&amp;$A9)-100*RTD("tos.rtd",,"OPEN_INT","."&amp;O$2&amp;O$1&amp;"P"&amp;$A9)*RTD("tos.rtd",,"DELTA","."&amp;O$2&amp;O$1&amp;"P"&amp;$A9))/1000),0),IF($A$2="VEX",IFERROR(IF($X$1="ABS",($A$4*$A$4*RTD("tos.rtd",,"VOLUME","."&amp;O$2&amp;O$1&amp;"C"&amp;$A9)*RTD("tos.rtd",,"GAMMA","."&amp;O$2&amp;O$1&amp;"C"&amp;$A9)+$A$4*$A$4*RTD("tos.rtd",,"VOLUME","."&amp;O$2&amp;O$1&amp;"P"&amp;$A9)*RTD("tos.rtd",,"GAMMA","."&amp;O$2&amp;O$1&amp;"P"&amp;$A9))/1000000,($A$4*$A$4*RTD("tos.rtd",,"VOLUME","."&amp;O$2&amp;O$1&amp;"C"&amp;$A9)*RTD("tos.rtd",,"GAMMA","."&amp;O$2&amp;O$1&amp;"C"&amp;$A9)-$A$4*$A$4*RTD("tos.rtd",,"VOLUME","."&amp;O$2&amp;O$1&amp;"P"&amp;$A9)*RTD("tos.rtd",,"GAMMA","."&amp;O$2&amp;O$1&amp;"P"&amp;$A9))/1000000),0),IF($A$2="GEX",IFERROR(IF($X$1="ABS",($A$4*$A$4*RTD("tos.rtd",,"OPEN_INT","."&amp;O$2&amp;O$1&amp;"C"&amp;$A9)*RTD("tos.rtd",,"GAMMA","."&amp;O$2&amp;O$1&amp;"C"&amp;$A9)+$A$4*$A$4*RTD("tos.rtd",,"OPEN_INT","."&amp;O$2&amp;O$1&amp;"P"&amp;$A9)*RTD("tos.rtd",,"GAMMA","."&amp;O$2&amp;O$1&amp;"P"&amp;$A9))/1000000,($A$4*$A$4*RTD("tos.rtd",,"OPEN_INT","."&amp;O$2&amp;O$1&amp;"C"&amp;$A9)*RTD("tos.rtd",,"GAMMA","."&amp;O$2&amp;O$1&amp;"C"&amp;$A9)-$A$4*$A$4*RTD("tos.rtd",,"OPEN_INT","."&amp;O$2&amp;O$1&amp;"P"&amp;$A9)*RTD("tos.rtd",,"GAMMA","."&amp;O$2&amp;O$1&amp;"P"&amp;$A9))/1000000),0),IF($A$2="SKEW",IFERROR(VALUE(IF(RTD("tos.rtd",,"IMPL_VOL","."&amp;O$2&amp;O$1&amp;"P"&amp;$A9)="N/A",0,RTD("tos.rtd",,"IMPL_VOL","."&amp;O$2&amp;O$1&amp;"P"&amp;$A9))),0)-IFERROR(VALUE(IF(RTD("tos.rtd",,"IMPL_VOL","."&amp;O$2&amp;O$1&amp;"C"&amp;$A9)="N/A",0,RTD("tos.rtd",,"IMPL_VOL","."&amp;O$2&amp;O$1&amp;"C"&amp;$A9))),0),IF($A$2="MAXPAIN",IF($A$4&gt;$A9,($A$4-$A9)*IF(RTD("tos.rtd",,"OPEN_INT","."&amp;O$2&amp;O$1&amp;"C"&amp;$A9)="N/A",0,RTD("tos.rtd",,"OPEN_INT","."&amp;O$2&amp;O$1&amp;"C"&amp;$A9)),0)+IF($A$4&lt;$A9,($A$5-$A$4)*IF(RTD("tos.rtd",,"OPEN_INT","."&amp;O$2&amp;O$1&amp;"P"&amp;$A9)="N/A",0,RTD("tos.rtd",,"OPEN_INT","."&amp;O$2&amp;O$1&amp;"P"&amp;$A9)),0),IF($X$1="ABS",IF(RTD("tos.rtd",,$A$2,"."&amp;O$2&amp;O$1&amp;"C"&amp;$A9)="N/A",0,RTD("tos.rtd",,$A$2,"."&amp;O$2&amp;O$1&amp;"C"&amp;$A9))+IF(RTD("tos.rtd",,$A$2,"."&amp;O$2&amp;O$1&amp;"P"&amp;$A9)="N/A",0,RTD("tos.rtd",,$A$2,"."&amp;O$2&amp;O$1&amp;"P"&amp;$A9)),IF(RTD("tos.rtd",,$A$2,"."&amp;O$2&amp;O$1&amp;"C"&amp;$A9)="N/A",0,RTD("tos.rtd",,$A$2,"."&amp;O$2&amp;O$1&amp;"C"&amp;$A9))-IF(RTD("tos.rtd",,$A$2,"."&amp;O$2&amp;O$1&amp;"P"&amp;$A9)="N/A",0,RTD("tos.rtd",,$A$2,"."&amp;O$2&amp;O$1&amp;"P"&amp;$A9))))))))))</f>
        <v>0</v>
      </c>
      <c r="P9" s="12">
        <f ca="1">IF($A$2="PREMIUM_OI",IFERROR(IF($X$1="ABS",(100*RTD("tos.rtd",,"OPEN_INT","."&amp;P$2&amp;P$1&amp;"C"&amp;$A9)*RTD("tos.rtd",,"LAST","."&amp;P$2&amp;P$1&amp;"C"&amp;$A9)+100*RTD("tos.rtd",,"OPEN_INT","."&amp;P$2&amp;P$1&amp;"P"&amp;$A9)*RTD("tos.rtd",,"LAST","."&amp;P$2&amp;P$1&amp;"P"&amp;$A9))/1000000,(100*RTD("tos.rtd",,"OPEN_INT","."&amp;P$2&amp;P$1&amp;"C"&amp;$A9)*RTD("tos.rtd",,"LAST","."&amp;P$2&amp;P$1&amp;"C"&amp;$A9)-100*RTD("tos.rtd",,"OPEN_INT","."&amp;P$2&amp;P$1&amp;"P"&amp;$A9)*RTD("tos.rtd",,"LAST","."&amp;P$2&amp;P$1&amp;"P"&amp;$A9))/1000000),0),IF($A$2="PREMIUM",IFERROR(IF($X$1="ABS",(100*RTD("tos.rtd",,"VOLUME","."&amp;P$2&amp;P$1&amp;"C"&amp;$A9)*RTD("tos.rtd",,"LAST","."&amp;P$2&amp;P$1&amp;"C"&amp;$A9)+100*RTD("tos.rtd",,"VOLUME","."&amp;P$2&amp;P$1&amp;"P"&amp;$A9)*RTD("tos.rtd",,"LAST","."&amp;P$2&amp;P$1&amp;"P"&amp;$A9))/1000000,(100*RTD("tos.rtd",,"VOLUME","."&amp;P$2&amp;P$1&amp;"C"&amp;$A9)*RTD("tos.rtd",,"LAST","."&amp;P$2&amp;P$1&amp;"C"&amp;$A9)-100*RTD("tos.rtd",,"VOLUME","."&amp;P$2&amp;P$1&amp;"P"&amp;$A9)*RTD("tos.rtd",,"LAST","."&amp;P$2&amp;P$1&amp;"P"&amp;$A9))/1000000),0),IF($A$2="DEX",IFERROR(IF($X$1="ABS",(100*RTD("tos.rtd",,"OPEN_INT","."&amp;P$2&amp;P$1&amp;"C"&amp;$A9)*RTD("tos.rtd",,"DELTA","."&amp;P$2&amp;P$1&amp;"C"&amp;$A9)+100*RTD("tos.rtd",,"OPEN_INT","."&amp;P$2&amp;P$1&amp;"P"&amp;$A9)*RTD("tos.rtd",,"DELTA","."&amp;P$2&amp;P$1&amp;"P"&amp;$A9))/1000,(100*RTD("tos.rtd",,"OPEN_INT","."&amp;P$2&amp;P$1&amp;"C"&amp;$A9)*RTD("tos.rtd",,"DELTA","."&amp;P$2&amp;P$1&amp;"C"&amp;$A9)-100*RTD("tos.rtd",,"OPEN_INT","."&amp;P$2&amp;P$1&amp;"P"&amp;$A9)*RTD("tos.rtd",,"DELTA","."&amp;P$2&amp;P$1&amp;"P"&amp;$A9))/1000),0),IF($A$2="VEX",IFERROR(IF($X$1="ABS",($A$4*$A$4*RTD("tos.rtd",,"VOLUME","."&amp;P$2&amp;P$1&amp;"C"&amp;$A9)*RTD("tos.rtd",,"GAMMA","."&amp;P$2&amp;P$1&amp;"C"&amp;$A9)+$A$4*$A$4*RTD("tos.rtd",,"VOLUME","."&amp;P$2&amp;P$1&amp;"P"&amp;$A9)*RTD("tos.rtd",,"GAMMA","."&amp;P$2&amp;P$1&amp;"P"&amp;$A9))/1000000,($A$4*$A$4*RTD("tos.rtd",,"VOLUME","."&amp;P$2&amp;P$1&amp;"C"&amp;$A9)*RTD("tos.rtd",,"GAMMA","."&amp;P$2&amp;P$1&amp;"C"&amp;$A9)-$A$4*$A$4*RTD("tos.rtd",,"VOLUME","."&amp;P$2&amp;P$1&amp;"P"&amp;$A9)*RTD("tos.rtd",,"GAMMA","."&amp;P$2&amp;P$1&amp;"P"&amp;$A9))/1000000),0),IF($A$2="GEX",IFERROR(IF($X$1="ABS",($A$4*$A$4*RTD("tos.rtd",,"OPEN_INT","."&amp;P$2&amp;P$1&amp;"C"&amp;$A9)*RTD("tos.rtd",,"GAMMA","."&amp;P$2&amp;P$1&amp;"C"&amp;$A9)+$A$4*$A$4*RTD("tos.rtd",,"OPEN_INT","."&amp;P$2&amp;P$1&amp;"P"&amp;$A9)*RTD("tos.rtd",,"GAMMA","."&amp;P$2&amp;P$1&amp;"P"&amp;$A9))/1000000,($A$4*$A$4*RTD("tos.rtd",,"OPEN_INT","."&amp;P$2&amp;P$1&amp;"C"&amp;$A9)*RTD("tos.rtd",,"GAMMA","."&amp;P$2&amp;P$1&amp;"C"&amp;$A9)-$A$4*$A$4*RTD("tos.rtd",,"OPEN_INT","."&amp;P$2&amp;P$1&amp;"P"&amp;$A9)*RTD("tos.rtd",,"GAMMA","."&amp;P$2&amp;P$1&amp;"P"&amp;$A9))/1000000),0),IF($A$2="SKEW",IFERROR(VALUE(IF(RTD("tos.rtd",,"IMPL_VOL","."&amp;P$2&amp;P$1&amp;"P"&amp;$A9)="N/A",0,RTD("tos.rtd",,"IMPL_VOL","."&amp;P$2&amp;P$1&amp;"P"&amp;$A9))),0)-IFERROR(VALUE(IF(RTD("tos.rtd",,"IMPL_VOL","."&amp;P$2&amp;P$1&amp;"C"&amp;$A9)="N/A",0,RTD("tos.rtd",,"IMPL_VOL","."&amp;P$2&amp;P$1&amp;"C"&amp;$A9))),0),IF($A$2="MAXPAIN",IF($A$4&gt;$A9,($A$4-$A9)*IF(RTD("tos.rtd",,"OPEN_INT","."&amp;P$2&amp;P$1&amp;"C"&amp;$A9)="N/A",0,RTD("tos.rtd",,"OPEN_INT","."&amp;P$2&amp;P$1&amp;"C"&amp;$A9)),0)+IF($A$4&lt;$A9,($A$5-$A$4)*IF(RTD("tos.rtd",,"OPEN_INT","."&amp;P$2&amp;P$1&amp;"P"&amp;$A9)="N/A",0,RTD("tos.rtd",,"OPEN_INT","."&amp;P$2&amp;P$1&amp;"P"&amp;$A9)),0),IF($X$1="ABS",IF(RTD("tos.rtd",,$A$2,"."&amp;P$2&amp;P$1&amp;"C"&amp;$A9)="N/A",0,RTD("tos.rtd",,$A$2,"."&amp;P$2&amp;P$1&amp;"C"&amp;$A9))+IF(RTD("tos.rtd",,$A$2,"."&amp;P$2&amp;P$1&amp;"P"&amp;$A9)="N/A",0,RTD("tos.rtd",,$A$2,"."&amp;P$2&amp;P$1&amp;"P"&amp;$A9)),IF(RTD("tos.rtd",,$A$2,"."&amp;P$2&amp;P$1&amp;"C"&amp;$A9)="N/A",0,RTD("tos.rtd",,$A$2,"."&amp;P$2&amp;P$1&amp;"C"&amp;$A9))-IF(RTD("tos.rtd",,$A$2,"."&amp;P$2&amp;P$1&amp;"P"&amp;$A9)="N/A",0,RTD("tos.rtd",,$A$2,"."&amp;P$2&amp;P$1&amp;"P"&amp;$A9))))))))))</f>
        <v>0</v>
      </c>
      <c r="Q9" s="12">
        <f ca="1">IF($A$2="PREMIUM_OI",IFERROR(IF($X$1="ABS",(100*RTD("tos.rtd",,"OPEN_INT","."&amp;Q$2&amp;Q$1&amp;"C"&amp;$A9)*RTD("tos.rtd",,"LAST","."&amp;Q$2&amp;Q$1&amp;"C"&amp;$A9)+100*RTD("tos.rtd",,"OPEN_INT","."&amp;Q$2&amp;Q$1&amp;"P"&amp;$A9)*RTD("tos.rtd",,"LAST","."&amp;Q$2&amp;Q$1&amp;"P"&amp;$A9))/1000000,(100*RTD("tos.rtd",,"OPEN_INT","."&amp;Q$2&amp;Q$1&amp;"C"&amp;$A9)*RTD("tos.rtd",,"LAST","."&amp;Q$2&amp;Q$1&amp;"C"&amp;$A9)-100*RTD("tos.rtd",,"OPEN_INT","."&amp;Q$2&amp;Q$1&amp;"P"&amp;$A9)*RTD("tos.rtd",,"LAST","."&amp;Q$2&amp;Q$1&amp;"P"&amp;$A9))/1000000),0),IF($A$2="PREMIUM",IFERROR(IF($X$1="ABS",(100*RTD("tos.rtd",,"VOLUME","."&amp;Q$2&amp;Q$1&amp;"C"&amp;$A9)*RTD("tos.rtd",,"LAST","."&amp;Q$2&amp;Q$1&amp;"C"&amp;$A9)+100*RTD("tos.rtd",,"VOLUME","."&amp;Q$2&amp;Q$1&amp;"P"&amp;$A9)*RTD("tos.rtd",,"LAST","."&amp;Q$2&amp;Q$1&amp;"P"&amp;$A9))/1000000,(100*RTD("tos.rtd",,"VOLUME","."&amp;Q$2&amp;Q$1&amp;"C"&amp;$A9)*RTD("tos.rtd",,"LAST","."&amp;Q$2&amp;Q$1&amp;"C"&amp;$A9)-100*RTD("tos.rtd",,"VOLUME","."&amp;Q$2&amp;Q$1&amp;"P"&amp;$A9)*RTD("tos.rtd",,"LAST","."&amp;Q$2&amp;Q$1&amp;"P"&amp;$A9))/1000000),0),IF($A$2="DEX",IFERROR(IF($X$1="ABS",(100*RTD("tos.rtd",,"OPEN_INT","."&amp;Q$2&amp;Q$1&amp;"C"&amp;$A9)*RTD("tos.rtd",,"DELTA","."&amp;Q$2&amp;Q$1&amp;"C"&amp;$A9)+100*RTD("tos.rtd",,"OPEN_INT","."&amp;Q$2&amp;Q$1&amp;"P"&amp;$A9)*RTD("tos.rtd",,"DELTA","."&amp;Q$2&amp;Q$1&amp;"P"&amp;$A9))/1000,(100*RTD("tos.rtd",,"OPEN_INT","."&amp;Q$2&amp;Q$1&amp;"C"&amp;$A9)*RTD("tos.rtd",,"DELTA","."&amp;Q$2&amp;Q$1&amp;"C"&amp;$A9)-100*RTD("tos.rtd",,"OPEN_INT","."&amp;Q$2&amp;Q$1&amp;"P"&amp;$A9)*RTD("tos.rtd",,"DELTA","."&amp;Q$2&amp;Q$1&amp;"P"&amp;$A9))/1000),0),IF($A$2="VEX",IFERROR(IF($X$1="ABS",($A$4*$A$4*RTD("tos.rtd",,"VOLUME","."&amp;Q$2&amp;Q$1&amp;"C"&amp;$A9)*RTD("tos.rtd",,"GAMMA","."&amp;Q$2&amp;Q$1&amp;"C"&amp;$A9)+$A$4*$A$4*RTD("tos.rtd",,"VOLUME","."&amp;Q$2&amp;Q$1&amp;"P"&amp;$A9)*RTD("tos.rtd",,"GAMMA","."&amp;Q$2&amp;Q$1&amp;"P"&amp;$A9))/1000000,($A$4*$A$4*RTD("tos.rtd",,"VOLUME","."&amp;Q$2&amp;Q$1&amp;"C"&amp;$A9)*RTD("tos.rtd",,"GAMMA","."&amp;Q$2&amp;Q$1&amp;"C"&amp;$A9)-$A$4*$A$4*RTD("tos.rtd",,"VOLUME","."&amp;Q$2&amp;Q$1&amp;"P"&amp;$A9)*RTD("tos.rtd",,"GAMMA","."&amp;Q$2&amp;Q$1&amp;"P"&amp;$A9))/1000000),0),IF($A$2="GEX",IFERROR(IF($X$1="ABS",($A$4*$A$4*RTD("tos.rtd",,"OPEN_INT","."&amp;Q$2&amp;Q$1&amp;"C"&amp;$A9)*RTD("tos.rtd",,"GAMMA","."&amp;Q$2&amp;Q$1&amp;"C"&amp;$A9)+$A$4*$A$4*RTD("tos.rtd",,"OPEN_INT","."&amp;Q$2&amp;Q$1&amp;"P"&amp;$A9)*RTD("tos.rtd",,"GAMMA","."&amp;Q$2&amp;Q$1&amp;"P"&amp;$A9))/1000000,($A$4*$A$4*RTD("tos.rtd",,"OPEN_INT","."&amp;Q$2&amp;Q$1&amp;"C"&amp;$A9)*RTD("tos.rtd",,"GAMMA","."&amp;Q$2&amp;Q$1&amp;"C"&amp;$A9)-$A$4*$A$4*RTD("tos.rtd",,"OPEN_INT","."&amp;Q$2&amp;Q$1&amp;"P"&amp;$A9)*RTD("tos.rtd",,"GAMMA","."&amp;Q$2&amp;Q$1&amp;"P"&amp;$A9))/1000000),0),IF($A$2="SKEW",IFERROR(VALUE(IF(RTD("tos.rtd",,"IMPL_VOL","."&amp;Q$2&amp;Q$1&amp;"P"&amp;$A9)="N/A",0,RTD("tos.rtd",,"IMPL_VOL","."&amp;Q$2&amp;Q$1&amp;"P"&amp;$A9))),0)-IFERROR(VALUE(IF(RTD("tos.rtd",,"IMPL_VOL","."&amp;Q$2&amp;Q$1&amp;"C"&amp;$A9)="N/A",0,RTD("tos.rtd",,"IMPL_VOL","."&amp;Q$2&amp;Q$1&amp;"C"&amp;$A9))),0),IF($A$2="MAXPAIN",IF($A$4&gt;$A9,($A$4-$A9)*IF(RTD("tos.rtd",,"OPEN_INT","."&amp;Q$2&amp;Q$1&amp;"C"&amp;$A9)="N/A",0,RTD("tos.rtd",,"OPEN_INT","."&amp;Q$2&amp;Q$1&amp;"C"&amp;$A9)),0)+IF($A$4&lt;$A9,($A$5-$A$4)*IF(RTD("tos.rtd",,"OPEN_INT","."&amp;Q$2&amp;Q$1&amp;"P"&amp;$A9)="N/A",0,RTD("tos.rtd",,"OPEN_INT","."&amp;Q$2&amp;Q$1&amp;"P"&amp;$A9)),0),IF($X$1="ABS",IF(RTD("tos.rtd",,$A$2,"."&amp;Q$2&amp;Q$1&amp;"C"&amp;$A9)="N/A",0,RTD("tos.rtd",,$A$2,"."&amp;Q$2&amp;Q$1&amp;"C"&amp;$A9))+IF(RTD("tos.rtd",,$A$2,"."&amp;Q$2&amp;Q$1&amp;"P"&amp;$A9)="N/A",0,RTD("tos.rtd",,$A$2,"."&amp;Q$2&amp;Q$1&amp;"P"&amp;$A9)),IF(RTD("tos.rtd",,$A$2,"."&amp;Q$2&amp;Q$1&amp;"C"&amp;$A9)="N/A",0,RTD("tos.rtd",,$A$2,"."&amp;Q$2&amp;Q$1&amp;"C"&amp;$A9))-IF(RTD("tos.rtd",,$A$2,"."&amp;Q$2&amp;Q$1&amp;"P"&amp;$A9)="N/A",0,RTD("tos.rtd",,$A$2,"."&amp;Q$2&amp;Q$1&amp;"P"&amp;$A9))))))))))</f>
        <v>0</v>
      </c>
      <c r="R9" s="12">
        <f ca="1">IF($A$2="PREMIUM_OI",IFERROR(IF($X$1="ABS",(100*RTD("tos.rtd",,"OPEN_INT","."&amp;R$2&amp;R$1&amp;"C"&amp;$A9)*RTD("tos.rtd",,"LAST","."&amp;R$2&amp;R$1&amp;"C"&amp;$A9)+100*RTD("tos.rtd",,"OPEN_INT","."&amp;R$2&amp;R$1&amp;"P"&amp;$A9)*RTD("tos.rtd",,"LAST","."&amp;R$2&amp;R$1&amp;"P"&amp;$A9))/1000000,(100*RTD("tos.rtd",,"OPEN_INT","."&amp;R$2&amp;R$1&amp;"C"&amp;$A9)*RTD("tos.rtd",,"LAST","."&amp;R$2&amp;R$1&amp;"C"&amp;$A9)-100*RTD("tos.rtd",,"OPEN_INT","."&amp;R$2&amp;R$1&amp;"P"&amp;$A9)*RTD("tos.rtd",,"LAST","."&amp;R$2&amp;R$1&amp;"P"&amp;$A9))/1000000),0),IF($A$2="PREMIUM",IFERROR(IF($X$1="ABS",(100*RTD("tos.rtd",,"VOLUME","."&amp;R$2&amp;R$1&amp;"C"&amp;$A9)*RTD("tos.rtd",,"LAST","."&amp;R$2&amp;R$1&amp;"C"&amp;$A9)+100*RTD("tos.rtd",,"VOLUME","."&amp;R$2&amp;R$1&amp;"P"&amp;$A9)*RTD("tos.rtd",,"LAST","."&amp;R$2&amp;R$1&amp;"P"&amp;$A9))/1000000,(100*RTD("tos.rtd",,"VOLUME","."&amp;R$2&amp;R$1&amp;"C"&amp;$A9)*RTD("tos.rtd",,"LAST","."&amp;R$2&amp;R$1&amp;"C"&amp;$A9)-100*RTD("tos.rtd",,"VOLUME","."&amp;R$2&amp;R$1&amp;"P"&amp;$A9)*RTD("tos.rtd",,"LAST","."&amp;R$2&amp;R$1&amp;"P"&amp;$A9))/1000000),0),IF($A$2="DEX",IFERROR(IF($X$1="ABS",(100*RTD("tos.rtd",,"OPEN_INT","."&amp;R$2&amp;R$1&amp;"C"&amp;$A9)*RTD("tos.rtd",,"DELTA","."&amp;R$2&amp;R$1&amp;"C"&amp;$A9)+100*RTD("tos.rtd",,"OPEN_INT","."&amp;R$2&amp;R$1&amp;"P"&amp;$A9)*RTD("tos.rtd",,"DELTA","."&amp;R$2&amp;R$1&amp;"P"&amp;$A9))/1000,(100*RTD("tos.rtd",,"OPEN_INT","."&amp;R$2&amp;R$1&amp;"C"&amp;$A9)*RTD("tos.rtd",,"DELTA","."&amp;R$2&amp;R$1&amp;"C"&amp;$A9)-100*RTD("tos.rtd",,"OPEN_INT","."&amp;R$2&amp;R$1&amp;"P"&amp;$A9)*RTD("tos.rtd",,"DELTA","."&amp;R$2&amp;R$1&amp;"P"&amp;$A9))/1000),0),IF($A$2="VEX",IFERROR(IF($X$1="ABS",($A$4*$A$4*RTD("tos.rtd",,"VOLUME","."&amp;R$2&amp;R$1&amp;"C"&amp;$A9)*RTD("tos.rtd",,"GAMMA","."&amp;R$2&amp;R$1&amp;"C"&amp;$A9)+$A$4*$A$4*RTD("tos.rtd",,"VOLUME","."&amp;R$2&amp;R$1&amp;"P"&amp;$A9)*RTD("tos.rtd",,"GAMMA","."&amp;R$2&amp;R$1&amp;"P"&amp;$A9))/1000000,($A$4*$A$4*RTD("tos.rtd",,"VOLUME","."&amp;R$2&amp;R$1&amp;"C"&amp;$A9)*RTD("tos.rtd",,"GAMMA","."&amp;R$2&amp;R$1&amp;"C"&amp;$A9)-$A$4*$A$4*RTD("tos.rtd",,"VOLUME","."&amp;R$2&amp;R$1&amp;"P"&amp;$A9)*RTD("tos.rtd",,"GAMMA","."&amp;R$2&amp;R$1&amp;"P"&amp;$A9))/1000000),0),IF($A$2="GEX",IFERROR(IF($X$1="ABS",($A$4*$A$4*RTD("tos.rtd",,"OPEN_INT","."&amp;R$2&amp;R$1&amp;"C"&amp;$A9)*RTD("tos.rtd",,"GAMMA","."&amp;R$2&amp;R$1&amp;"C"&amp;$A9)+$A$4*$A$4*RTD("tos.rtd",,"OPEN_INT","."&amp;R$2&amp;R$1&amp;"P"&amp;$A9)*RTD("tos.rtd",,"GAMMA","."&amp;R$2&amp;R$1&amp;"P"&amp;$A9))/1000000,($A$4*$A$4*RTD("tos.rtd",,"OPEN_INT","."&amp;R$2&amp;R$1&amp;"C"&amp;$A9)*RTD("tos.rtd",,"GAMMA","."&amp;R$2&amp;R$1&amp;"C"&amp;$A9)-$A$4*$A$4*RTD("tos.rtd",,"OPEN_INT","."&amp;R$2&amp;R$1&amp;"P"&amp;$A9)*RTD("tos.rtd",,"GAMMA","."&amp;R$2&amp;R$1&amp;"P"&amp;$A9))/1000000),0),IF($A$2="SKEW",IFERROR(VALUE(IF(RTD("tos.rtd",,"IMPL_VOL","."&amp;R$2&amp;R$1&amp;"P"&amp;$A9)="N/A",0,RTD("tos.rtd",,"IMPL_VOL","."&amp;R$2&amp;R$1&amp;"P"&amp;$A9))),0)-IFERROR(VALUE(IF(RTD("tos.rtd",,"IMPL_VOL","."&amp;R$2&amp;R$1&amp;"C"&amp;$A9)="N/A",0,RTD("tos.rtd",,"IMPL_VOL","."&amp;R$2&amp;R$1&amp;"C"&amp;$A9))),0),IF($A$2="MAXPAIN",IF($A$4&gt;$A9,($A$4-$A9)*IF(RTD("tos.rtd",,"OPEN_INT","."&amp;R$2&amp;R$1&amp;"C"&amp;$A9)="N/A",0,RTD("tos.rtd",,"OPEN_INT","."&amp;R$2&amp;R$1&amp;"C"&amp;$A9)),0)+IF($A$4&lt;$A9,($A$5-$A$4)*IF(RTD("tos.rtd",,"OPEN_INT","."&amp;R$2&amp;R$1&amp;"P"&amp;$A9)="N/A",0,RTD("tos.rtd",,"OPEN_INT","."&amp;R$2&amp;R$1&amp;"P"&amp;$A9)),0),IF($X$1="ABS",IF(RTD("tos.rtd",,$A$2,"."&amp;R$2&amp;R$1&amp;"C"&amp;$A9)="N/A",0,RTD("tos.rtd",,$A$2,"."&amp;R$2&amp;R$1&amp;"C"&amp;$A9))+IF(RTD("tos.rtd",,$A$2,"."&amp;R$2&amp;R$1&amp;"P"&amp;$A9)="N/A",0,RTD("tos.rtd",,$A$2,"."&amp;R$2&amp;R$1&amp;"P"&amp;$A9)),IF(RTD("tos.rtd",,$A$2,"."&amp;R$2&amp;R$1&amp;"C"&amp;$A9)="N/A",0,RTD("tos.rtd",,$A$2,"."&amp;R$2&amp;R$1&amp;"C"&amp;$A9))-IF(RTD("tos.rtd",,$A$2,"."&amp;R$2&amp;R$1&amp;"P"&amp;$A9)="N/A",0,RTD("tos.rtd",,$A$2,"."&amp;R$2&amp;R$1&amp;"P"&amp;$A9))))))))))</f>
        <v>0</v>
      </c>
      <c r="S9" s="12">
        <f ca="1">IF($A$2="PREMIUM_OI",IFERROR(IF($X$1="ABS",(100*RTD("tos.rtd",,"OPEN_INT","."&amp;S$2&amp;S$1&amp;"C"&amp;$A9)*RTD("tos.rtd",,"LAST","."&amp;S$2&amp;S$1&amp;"C"&amp;$A9)+100*RTD("tos.rtd",,"OPEN_INT","."&amp;S$2&amp;S$1&amp;"P"&amp;$A9)*RTD("tos.rtd",,"LAST","."&amp;S$2&amp;S$1&amp;"P"&amp;$A9))/1000000,(100*RTD("tos.rtd",,"OPEN_INT","."&amp;S$2&amp;S$1&amp;"C"&amp;$A9)*RTD("tos.rtd",,"LAST","."&amp;S$2&amp;S$1&amp;"C"&amp;$A9)-100*RTD("tos.rtd",,"OPEN_INT","."&amp;S$2&amp;S$1&amp;"P"&amp;$A9)*RTD("tos.rtd",,"LAST","."&amp;S$2&amp;S$1&amp;"P"&amp;$A9))/1000000),0),IF($A$2="PREMIUM",IFERROR(IF($X$1="ABS",(100*RTD("tos.rtd",,"VOLUME","."&amp;S$2&amp;S$1&amp;"C"&amp;$A9)*RTD("tos.rtd",,"LAST","."&amp;S$2&amp;S$1&amp;"C"&amp;$A9)+100*RTD("tos.rtd",,"VOLUME","."&amp;S$2&amp;S$1&amp;"P"&amp;$A9)*RTD("tos.rtd",,"LAST","."&amp;S$2&amp;S$1&amp;"P"&amp;$A9))/1000000,(100*RTD("tos.rtd",,"VOLUME","."&amp;S$2&amp;S$1&amp;"C"&amp;$A9)*RTD("tos.rtd",,"LAST","."&amp;S$2&amp;S$1&amp;"C"&amp;$A9)-100*RTD("tos.rtd",,"VOLUME","."&amp;S$2&amp;S$1&amp;"P"&amp;$A9)*RTD("tos.rtd",,"LAST","."&amp;S$2&amp;S$1&amp;"P"&amp;$A9))/1000000),0),IF($A$2="DEX",IFERROR(IF($X$1="ABS",(100*RTD("tos.rtd",,"OPEN_INT","."&amp;S$2&amp;S$1&amp;"C"&amp;$A9)*RTD("tos.rtd",,"DELTA","."&amp;S$2&amp;S$1&amp;"C"&amp;$A9)+100*RTD("tos.rtd",,"OPEN_INT","."&amp;S$2&amp;S$1&amp;"P"&amp;$A9)*RTD("tos.rtd",,"DELTA","."&amp;S$2&amp;S$1&amp;"P"&amp;$A9))/1000,(100*RTD("tos.rtd",,"OPEN_INT","."&amp;S$2&amp;S$1&amp;"C"&amp;$A9)*RTD("tos.rtd",,"DELTA","."&amp;S$2&amp;S$1&amp;"C"&amp;$A9)-100*RTD("tos.rtd",,"OPEN_INT","."&amp;S$2&amp;S$1&amp;"P"&amp;$A9)*RTD("tos.rtd",,"DELTA","."&amp;S$2&amp;S$1&amp;"P"&amp;$A9))/1000),0),IF($A$2="VEX",IFERROR(IF($X$1="ABS",($A$4*$A$4*RTD("tos.rtd",,"VOLUME","."&amp;S$2&amp;S$1&amp;"C"&amp;$A9)*RTD("tos.rtd",,"GAMMA","."&amp;S$2&amp;S$1&amp;"C"&amp;$A9)+$A$4*$A$4*RTD("tos.rtd",,"VOLUME","."&amp;S$2&amp;S$1&amp;"P"&amp;$A9)*RTD("tos.rtd",,"GAMMA","."&amp;S$2&amp;S$1&amp;"P"&amp;$A9))/1000000,($A$4*$A$4*RTD("tos.rtd",,"VOLUME","."&amp;S$2&amp;S$1&amp;"C"&amp;$A9)*RTD("tos.rtd",,"GAMMA","."&amp;S$2&amp;S$1&amp;"C"&amp;$A9)-$A$4*$A$4*RTD("tos.rtd",,"VOLUME","."&amp;S$2&amp;S$1&amp;"P"&amp;$A9)*RTD("tos.rtd",,"GAMMA","."&amp;S$2&amp;S$1&amp;"P"&amp;$A9))/1000000),0),IF($A$2="GEX",IFERROR(IF($X$1="ABS",($A$4*$A$4*RTD("tos.rtd",,"OPEN_INT","."&amp;S$2&amp;S$1&amp;"C"&amp;$A9)*RTD("tos.rtd",,"GAMMA","."&amp;S$2&amp;S$1&amp;"C"&amp;$A9)+$A$4*$A$4*RTD("tos.rtd",,"OPEN_INT","."&amp;S$2&amp;S$1&amp;"P"&amp;$A9)*RTD("tos.rtd",,"GAMMA","."&amp;S$2&amp;S$1&amp;"P"&amp;$A9))/1000000,($A$4*$A$4*RTD("tos.rtd",,"OPEN_INT","."&amp;S$2&amp;S$1&amp;"C"&amp;$A9)*RTD("tos.rtd",,"GAMMA","."&amp;S$2&amp;S$1&amp;"C"&amp;$A9)-$A$4*$A$4*RTD("tos.rtd",,"OPEN_INT","."&amp;S$2&amp;S$1&amp;"P"&amp;$A9)*RTD("tos.rtd",,"GAMMA","."&amp;S$2&amp;S$1&amp;"P"&amp;$A9))/1000000),0),IF($A$2="SKEW",IFERROR(VALUE(IF(RTD("tos.rtd",,"IMPL_VOL","."&amp;S$2&amp;S$1&amp;"P"&amp;$A9)="N/A",0,RTD("tos.rtd",,"IMPL_VOL","."&amp;S$2&amp;S$1&amp;"P"&amp;$A9))),0)-IFERROR(VALUE(IF(RTD("tos.rtd",,"IMPL_VOL","."&amp;S$2&amp;S$1&amp;"C"&amp;$A9)="N/A",0,RTD("tos.rtd",,"IMPL_VOL","."&amp;S$2&amp;S$1&amp;"C"&amp;$A9))),0),IF($A$2="MAXPAIN",IF($A$4&gt;$A9,($A$4-$A9)*IF(RTD("tos.rtd",,"OPEN_INT","."&amp;S$2&amp;S$1&amp;"C"&amp;$A9)="N/A",0,RTD("tos.rtd",,"OPEN_INT","."&amp;S$2&amp;S$1&amp;"C"&amp;$A9)),0)+IF($A$4&lt;$A9,($A$5-$A$4)*IF(RTD("tos.rtd",,"OPEN_INT","."&amp;S$2&amp;S$1&amp;"P"&amp;$A9)="N/A",0,RTD("tos.rtd",,"OPEN_INT","."&amp;S$2&amp;S$1&amp;"P"&amp;$A9)),0),IF($X$1="ABS",IF(RTD("tos.rtd",,$A$2,"."&amp;S$2&amp;S$1&amp;"C"&amp;$A9)="N/A",0,RTD("tos.rtd",,$A$2,"."&amp;S$2&amp;S$1&amp;"C"&amp;$A9))+IF(RTD("tos.rtd",,$A$2,"."&amp;S$2&amp;S$1&amp;"P"&amp;$A9)="N/A",0,RTD("tos.rtd",,$A$2,"."&amp;S$2&amp;S$1&amp;"P"&amp;$A9)),IF(RTD("tos.rtd",,$A$2,"."&amp;S$2&amp;S$1&amp;"C"&amp;$A9)="N/A",0,RTD("tos.rtd",,$A$2,"."&amp;S$2&amp;S$1&amp;"C"&amp;$A9))-IF(RTD("tos.rtd",,$A$2,"."&amp;S$2&amp;S$1&amp;"P"&amp;$A9)="N/A",0,RTD("tos.rtd",,$A$2,"."&amp;S$2&amp;S$1&amp;"P"&amp;$A9))))))))))</f>
        <v>0</v>
      </c>
      <c r="T9" s="12">
        <f ca="1">IF($A$2="PREMIUM_OI",IFERROR(IF($X$1="ABS",(100*RTD("tos.rtd",,"OPEN_INT","."&amp;T$2&amp;T$1&amp;"C"&amp;$A9)*RTD("tos.rtd",,"LAST","."&amp;T$2&amp;T$1&amp;"C"&amp;$A9)+100*RTD("tos.rtd",,"OPEN_INT","."&amp;T$2&amp;T$1&amp;"P"&amp;$A9)*RTD("tos.rtd",,"LAST","."&amp;T$2&amp;T$1&amp;"P"&amp;$A9))/1000000,(100*RTD("tos.rtd",,"OPEN_INT","."&amp;T$2&amp;T$1&amp;"C"&amp;$A9)*RTD("tos.rtd",,"LAST","."&amp;T$2&amp;T$1&amp;"C"&amp;$A9)-100*RTD("tos.rtd",,"OPEN_INT","."&amp;T$2&amp;T$1&amp;"P"&amp;$A9)*RTD("tos.rtd",,"LAST","."&amp;T$2&amp;T$1&amp;"P"&amp;$A9))/1000000),0),IF($A$2="PREMIUM",IFERROR(IF($X$1="ABS",(100*RTD("tos.rtd",,"VOLUME","."&amp;T$2&amp;T$1&amp;"C"&amp;$A9)*RTD("tos.rtd",,"LAST","."&amp;T$2&amp;T$1&amp;"C"&amp;$A9)+100*RTD("tos.rtd",,"VOLUME","."&amp;T$2&amp;T$1&amp;"P"&amp;$A9)*RTD("tos.rtd",,"LAST","."&amp;T$2&amp;T$1&amp;"P"&amp;$A9))/1000000,(100*RTD("tos.rtd",,"VOLUME","."&amp;T$2&amp;T$1&amp;"C"&amp;$A9)*RTD("tos.rtd",,"LAST","."&amp;T$2&amp;T$1&amp;"C"&amp;$A9)-100*RTD("tos.rtd",,"VOLUME","."&amp;T$2&amp;T$1&amp;"P"&amp;$A9)*RTD("tos.rtd",,"LAST","."&amp;T$2&amp;T$1&amp;"P"&amp;$A9))/1000000),0),IF($A$2="DEX",IFERROR(IF($X$1="ABS",(100*RTD("tos.rtd",,"OPEN_INT","."&amp;T$2&amp;T$1&amp;"C"&amp;$A9)*RTD("tos.rtd",,"DELTA","."&amp;T$2&amp;T$1&amp;"C"&amp;$A9)+100*RTD("tos.rtd",,"OPEN_INT","."&amp;T$2&amp;T$1&amp;"P"&amp;$A9)*RTD("tos.rtd",,"DELTA","."&amp;T$2&amp;T$1&amp;"P"&amp;$A9))/1000,(100*RTD("tos.rtd",,"OPEN_INT","."&amp;T$2&amp;T$1&amp;"C"&amp;$A9)*RTD("tos.rtd",,"DELTA","."&amp;T$2&amp;T$1&amp;"C"&amp;$A9)-100*RTD("tos.rtd",,"OPEN_INT","."&amp;T$2&amp;T$1&amp;"P"&amp;$A9)*RTD("tos.rtd",,"DELTA","."&amp;T$2&amp;T$1&amp;"P"&amp;$A9))/1000),0),IF($A$2="VEX",IFERROR(IF($X$1="ABS",($A$4*$A$4*RTD("tos.rtd",,"VOLUME","."&amp;T$2&amp;T$1&amp;"C"&amp;$A9)*RTD("tos.rtd",,"GAMMA","."&amp;T$2&amp;T$1&amp;"C"&amp;$A9)+$A$4*$A$4*RTD("tos.rtd",,"VOLUME","."&amp;T$2&amp;T$1&amp;"P"&amp;$A9)*RTD("tos.rtd",,"GAMMA","."&amp;T$2&amp;T$1&amp;"P"&amp;$A9))/1000000,($A$4*$A$4*RTD("tos.rtd",,"VOLUME","."&amp;T$2&amp;T$1&amp;"C"&amp;$A9)*RTD("tos.rtd",,"GAMMA","."&amp;T$2&amp;T$1&amp;"C"&amp;$A9)-$A$4*$A$4*RTD("tos.rtd",,"VOLUME","."&amp;T$2&amp;T$1&amp;"P"&amp;$A9)*RTD("tos.rtd",,"GAMMA","."&amp;T$2&amp;T$1&amp;"P"&amp;$A9))/1000000),0),IF($A$2="GEX",IFERROR(IF($X$1="ABS",($A$4*$A$4*RTD("tos.rtd",,"OPEN_INT","."&amp;T$2&amp;T$1&amp;"C"&amp;$A9)*RTD("tos.rtd",,"GAMMA","."&amp;T$2&amp;T$1&amp;"C"&amp;$A9)+$A$4*$A$4*RTD("tos.rtd",,"OPEN_INT","."&amp;T$2&amp;T$1&amp;"P"&amp;$A9)*RTD("tos.rtd",,"GAMMA","."&amp;T$2&amp;T$1&amp;"P"&amp;$A9))/1000000,($A$4*$A$4*RTD("tos.rtd",,"OPEN_INT","."&amp;T$2&amp;T$1&amp;"C"&amp;$A9)*RTD("tos.rtd",,"GAMMA","."&amp;T$2&amp;T$1&amp;"C"&amp;$A9)-$A$4*$A$4*RTD("tos.rtd",,"OPEN_INT","."&amp;T$2&amp;T$1&amp;"P"&amp;$A9)*RTD("tos.rtd",,"GAMMA","."&amp;T$2&amp;T$1&amp;"P"&amp;$A9))/1000000),0),IF($A$2="SKEW",IFERROR(VALUE(IF(RTD("tos.rtd",,"IMPL_VOL","."&amp;T$2&amp;T$1&amp;"P"&amp;$A9)="N/A",0,RTD("tos.rtd",,"IMPL_VOL","."&amp;T$2&amp;T$1&amp;"P"&amp;$A9))),0)-IFERROR(VALUE(IF(RTD("tos.rtd",,"IMPL_VOL","."&amp;T$2&amp;T$1&amp;"C"&amp;$A9)="N/A",0,RTD("tos.rtd",,"IMPL_VOL","."&amp;T$2&amp;T$1&amp;"C"&amp;$A9))),0),IF($A$2="MAXPAIN",IF($A$4&gt;$A9,($A$4-$A9)*IF(RTD("tos.rtd",,"OPEN_INT","."&amp;T$2&amp;T$1&amp;"C"&amp;$A9)="N/A",0,RTD("tos.rtd",,"OPEN_INT","."&amp;T$2&amp;T$1&amp;"C"&amp;$A9)),0)+IF($A$4&lt;$A9,($A$5-$A$4)*IF(RTD("tos.rtd",,"OPEN_INT","."&amp;T$2&amp;T$1&amp;"P"&amp;$A9)="N/A",0,RTD("tos.rtd",,"OPEN_INT","."&amp;T$2&amp;T$1&amp;"P"&amp;$A9)),0),IF($X$1="ABS",IF(RTD("tos.rtd",,$A$2,"."&amp;T$2&amp;T$1&amp;"C"&amp;$A9)="N/A",0,RTD("tos.rtd",,$A$2,"."&amp;T$2&amp;T$1&amp;"C"&amp;$A9))+IF(RTD("tos.rtd",,$A$2,"."&amp;T$2&amp;T$1&amp;"P"&amp;$A9)="N/A",0,RTD("tos.rtd",,$A$2,"."&amp;T$2&amp;T$1&amp;"P"&amp;$A9)),IF(RTD("tos.rtd",,$A$2,"."&amp;T$2&amp;T$1&amp;"C"&amp;$A9)="N/A",0,RTD("tos.rtd",,$A$2,"."&amp;T$2&amp;T$1&amp;"C"&amp;$A9))-IF(RTD("tos.rtd",,$A$2,"."&amp;T$2&amp;T$1&amp;"P"&amp;$A9)="N/A",0,RTD("tos.rtd",,$A$2,"."&amp;T$2&amp;T$1&amp;"P"&amp;$A9))))))))))</f>
        <v>0</v>
      </c>
      <c r="U9" s="12">
        <f ca="1">IF($A$2="PREMIUM_OI",IFERROR(IF($X$1="ABS",(100*RTD("tos.rtd",,"OPEN_INT","."&amp;U$2&amp;U$1&amp;"C"&amp;$A9)*RTD("tos.rtd",,"LAST","."&amp;U$2&amp;U$1&amp;"C"&amp;$A9)+100*RTD("tos.rtd",,"OPEN_INT","."&amp;U$2&amp;U$1&amp;"P"&amp;$A9)*RTD("tos.rtd",,"LAST","."&amp;U$2&amp;U$1&amp;"P"&amp;$A9))/1000000,(100*RTD("tos.rtd",,"OPEN_INT","."&amp;U$2&amp;U$1&amp;"C"&amp;$A9)*RTD("tos.rtd",,"LAST","."&amp;U$2&amp;U$1&amp;"C"&amp;$A9)-100*RTD("tos.rtd",,"OPEN_INT","."&amp;U$2&amp;U$1&amp;"P"&amp;$A9)*RTD("tos.rtd",,"LAST","."&amp;U$2&amp;U$1&amp;"P"&amp;$A9))/1000000),0),IF($A$2="PREMIUM",IFERROR(IF($X$1="ABS",(100*RTD("tos.rtd",,"VOLUME","."&amp;U$2&amp;U$1&amp;"C"&amp;$A9)*RTD("tos.rtd",,"LAST","."&amp;U$2&amp;U$1&amp;"C"&amp;$A9)+100*RTD("tos.rtd",,"VOLUME","."&amp;U$2&amp;U$1&amp;"P"&amp;$A9)*RTD("tos.rtd",,"LAST","."&amp;U$2&amp;U$1&amp;"P"&amp;$A9))/1000000,(100*RTD("tos.rtd",,"VOLUME","."&amp;U$2&amp;U$1&amp;"C"&amp;$A9)*RTD("tos.rtd",,"LAST","."&amp;U$2&amp;U$1&amp;"C"&amp;$A9)-100*RTD("tos.rtd",,"VOLUME","."&amp;U$2&amp;U$1&amp;"P"&amp;$A9)*RTD("tos.rtd",,"LAST","."&amp;U$2&amp;U$1&amp;"P"&amp;$A9))/1000000),0),IF($A$2="DEX",IFERROR(IF($X$1="ABS",(100*RTD("tos.rtd",,"OPEN_INT","."&amp;U$2&amp;U$1&amp;"C"&amp;$A9)*RTD("tos.rtd",,"DELTA","."&amp;U$2&amp;U$1&amp;"C"&amp;$A9)+100*RTD("tos.rtd",,"OPEN_INT","."&amp;U$2&amp;U$1&amp;"P"&amp;$A9)*RTD("tos.rtd",,"DELTA","."&amp;U$2&amp;U$1&amp;"P"&amp;$A9))/1000,(100*RTD("tos.rtd",,"OPEN_INT","."&amp;U$2&amp;U$1&amp;"C"&amp;$A9)*RTD("tos.rtd",,"DELTA","."&amp;U$2&amp;U$1&amp;"C"&amp;$A9)-100*RTD("tos.rtd",,"OPEN_INT","."&amp;U$2&amp;U$1&amp;"P"&amp;$A9)*RTD("tos.rtd",,"DELTA","."&amp;U$2&amp;U$1&amp;"P"&amp;$A9))/1000),0),IF($A$2="VEX",IFERROR(IF($X$1="ABS",($A$4*$A$4*RTD("tos.rtd",,"VOLUME","."&amp;U$2&amp;U$1&amp;"C"&amp;$A9)*RTD("tos.rtd",,"GAMMA","."&amp;U$2&amp;U$1&amp;"C"&amp;$A9)+$A$4*$A$4*RTD("tos.rtd",,"VOLUME","."&amp;U$2&amp;U$1&amp;"P"&amp;$A9)*RTD("tos.rtd",,"GAMMA","."&amp;U$2&amp;U$1&amp;"P"&amp;$A9))/1000000,($A$4*$A$4*RTD("tos.rtd",,"VOLUME","."&amp;U$2&amp;U$1&amp;"C"&amp;$A9)*RTD("tos.rtd",,"GAMMA","."&amp;U$2&amp;U$1&amp;"C"&amp;$A9)-$A$4*$A$4*RTD("tos.rtd",,"VOLUME","."&amp;U$2&amp;U$1&amp;"P"&amp;$A9)*RTD("tos.rtd",,"GAMMA","."&amp;U$2&amp;U$1&amp;"P"&amp;$A9))/1000000),0),IF($A$2="GEX",IFERROR(IF($X$1="ABS",($A$4*$A$4*RTD("tos.rtd",,"OPEN_INT","."&amp;U$2&amp;U$1&amp;"C"&amp;$A9)*RTD("tos.rtd",,"GAMMA","."&amp;U$2&amp;U$1&amp;"C"&amp;$A9)+$A$4*$A$4*RTD("tos.rtd",,"OPEN_INT","."&amp;U$2&amp;U$1&amp;"P"&amp;$A9)*RTD("tos.rtd",,"GAMMA","."&amp;U$2&amp;U$1&amp;"P"&amp;$A9))/1000000,($A$4*$A$4*RTD("tos.rtd",,"OPEN_INT","."&amp;U$2&amp;U$1&amp;"C"&amp;$A9)*RTD("tos.rtd",,"GAMMA","."&amp;U$2&amp;U$1&amp;"C"&amp;$A9)-$A$4*$A$4*RTD("tos.rtd",,"OPEN_INT","."&amp;U$2&amp;U$1&amp;"P"&amp;$A9)*RTD("tos.rtd",,"GAMMA","."&amp;U$2&amp;U$1&amp;"P"&amp;$A9))/1000000),0),IF($A$2="SKEW",IFERROR(VALUE(IF(RTD("tos.rtd",,"IMPL_VOL","."&amp;U$2&amp;U$1&amp;"P"&amp;$A9)="N/A",0,RTD("tos.rtd",,"IMPL_VOL","."&amp;U$2&amp;U$1&amp;"P"&amp;$A9))),0)-IFERROR(VALUE(IF(RTD("tos.rtd",,"IMPL_VOL","."&amp;U$2&amp;U$1&amp;"C"&amp;$A9)="N/A",0,RTD("tos.rtd",,"IMPL_VOL","."&amp;U$2&amp;U$1&amp;"C"&amp;$A9))),0),IF($A$2="MAXPAIN",IF($A$4&gt;$A9,($A$4-$A9)*IF(RTD("tos.rtd",,"OPEN_INT","."&amp;U$2&amp;U$1&amp;"C"&amp;$A9)="N/A",0,RTD("tos.rtd",,"OPEN_INT","."&amp;U$2&amp;U$1&amp;"C"&amp;$A9)),0)+IF($A$4&lt;$A9,($A$5-$A$4)*IF(RTD("tos.rtd",,"OPEN_INT","."&amp;U$2&amp;U$1&amp;"P"&amp;$A9)="N/A",0,RTD("tos.rtd",,"OPEN_INT","."&amp;U$2&amp;U$1&amp;"P"&amp;$A9)),0),IF($X$1="ABS",IF(RTD("tos.rtd",,$A$2,"."&amp;U$2&amp;U$1&amp;"C"&amp;$A9)="N/A",0,RTD("tos.rtd",,$A$2,"."&amp;U$2&amp;U$1&amp;"C"&amp;$A9))+IF(RTD("tos.rtd",,$A$2,"."&amp;U$2&amp;U$1&amp;"P"&amp;$A9)="N/A",0,RTD("tos.rtd",,$A$2,"."&amp;U$2&amp;U$1&amp;"P"&amp;$A9)),IF(RTD("tos.rtd",,$A$2,"."&amp;U$2&amp;U$1&amp;"C"&amp;$A9)="N/A",0,RTD("tos.rtd",,$A$2,"."&amp;U$2&amp;U$1&amp;"C"&amp;$A9))-IF(RTD("tos.rtd",,$A$2,"."&amp;U$2&amp;U$1&amp;"P"&amp;$A9)="N/A",0,RTD("tos.rtd",,$A$2,"."&amp;U$2&amp;U$1&amp;"P"&amp;$A9))))))))))</f>
        <v>0</v>
      </c>
      <c r="V9" s="12">
        <f ca="1">IF($A$2="PREMIUM_OI",IFERROR(IF($X$1="ABS",(100*RTD("tos.rtd",,"OPEN_INT","."&amp;V$2&amp;V$1&amp;"C"&amp;$A9)*RTD("tos.rtd",,"LAST","."&amp;V$2&amp;V$1&amp;"C"&amp;$A9)+100*RTD("tos.rtd",,"OPEN_INT","."&amp;V$2&amp;V$1&amp;"P"&amp;$A9)*RTD("tos.rtd",,"LAST","."&amp;V$2&amp;V$1&amp;"P"&amp;$A9))/1000000,(100*RTD("tos.rtd",,"OPEN_INT","."&amp;V$2&amp;V$1&amp;"C"&amp;$A9)*RTD("tos.rtd",,"LAST","."&amp;V$2&amp;V$1&amp;"C"&amp;$A9)-100*RTD("tos.rtd",,"OPEN_INT","."&amp;V$2&amp;V$1&amp;"P"&amp;$A9)*RTD("tos.rtd",,"LAST","."&amp;V$2&amp;V$1&amp;"P"&amp;$A9))/1000000),0),IF($A$2="PREMIUM",IFERROR(IF($X$1="ABS",(100*RTD("tos.rtd",,"VOLUME","."&amp;V$2&amp;V$1&amp;"C"&amp;$A9)*RTD("tos.rtd",,"LAST","."&amp;V$2&amp;V$1&amp;"C"&amp;$A9)+100*RTD("tos.rtd",,"VOLUME","."&amp;V$2&amp;V$1&amp;"P"&amp;$A9)*RTD("tos.rtd",,"LAST","."&amp;V$2&amp;V$1&amp;"P"&amp;$A9))/1000000,(100*RTD("tos.rtd",,"VOLUME","."&amp;V$2&amp;V$1&amp;"C"&amp;$A9)*RTD("tos.rtd",,"LAST","."&amp;V$2&amp;V$1&amp;"C"&amp;$A9)-100*RTD("tos.rtd",,"VOLUME","."&amp;V$2&amp;V$1&amp;"P"&amp;$A9)*RTD("tos.rtd",,"LAST","."&amp;V$2&amp;V$1&amp;"P"&amp;$A9))/1000000),0),IF($A$2="DEX",IFERROR(IF($X$1="ABS",(100*RTD("tos.rtd",,"OPEN_INT","."&amp;V$2&amp;V$1&amp;"C"&amp;$A9)*RTD("tos.rtd",,"DELTA","."&amp;V$2&amp;V$1&amp;"C"&amp;$A9)+100*RTD("tos.rtd",,"OPEN_INT","."&amp;V$2&amp;V$1&amp;"P"&amp;$A9)*RTD("tos.rtd",,"DELTA","."&amp;V$2&amp;V$1&amp;"P"&amp;$A9))/1000,(100*RTD("tos.rtd",,"OPEN_INT","."&amp;V$2&amp;V$1&amp;"C"&amp;$A9)*RTD("tos.rtd",,"DELTA","."&amp;V$2&amp;V$1&amp;"C"&amp;$A9)-100*RTD("tos.rtd",,"OPEN_INT","."&amp;V$2&amp;V$1&amp;"P"&amp;$A9)*RTD("tos.rtd",,"DELTA","."&amp;V$2&amp;V$1&amp;"P"&amp;$A9))/1000),0),IF($A$2="VEX",IFERROR(IF($X$1="ABS",($A$4*$A$4*RTD("tos.rtd",,"VOLUME","."&amp;V$2&amp;V$1&amp;"C"&amp;$A9)*RTD("tos.rtd",,"GAMMA","."&amp;V$2&amp;V$1&amp;"C"&amp;$A9)+$A$4*$A$4*RTD("tos.rtd",,"VOLUME","."&amp;V$2&amp;V$1&amp;"P"&amp;$A9)*RTD("tos.rtd",,"GAMMA","."&amp;V$2&amp;V$1&amp;"P"&amp;$A9))/1000000,($A$4*$A$4*RTD("tos.rtd",,"VOLUME","."&amp;V$2&amp;V$1&amp;"C"&amp;$A9)*RTD("tos.rtd",,"GAMMA","."&amp;V$2&amp;V$1&amp;"C"&amp;$A9)-$A$4*$A$4*RTD("tos.rtd",,"VOLUME","."&amp;V$2&amp;V$1&amp;"P"&amp;$A9)*RTD("tos.rtd",,"GAMMA","."&amp;V$2&amp;V$1&amp;"P"&amp;$A9))/1000000),0),IF($A$2="GEX",IFERROR(IF($X$1="ABS",($A$4*$A$4*RTD("tos.rtd",,"OPEN_INT","."&amp;V$2&amp;V$1&amp;"C"&amp;$A9)*RTD("tos.rtd",,"GAMMA","."&amp;V$2&amp;V$1&amp;"C"&amp;$A9)+$A$4*$A$4*RTD("tos.rtd",,"OPEN_INT","."&amp;V$2&amp;V$1&amp;"P"&amp;$A9)*RTD("tos.rtd",,"GAMMA","."&amp;V$2&amp;V$1&amp;"P"&amp;$A9))/1000000,($A$4*$A$4*RTD("tos.rtd",,"OPEN_INT","."&amp;V$2&amp;V$1&amp;"C"&amp;$A9)*RTD("tos.rtd",,"GAMMA","."&amp;V$2&amp;V$1&amp;"C"&amp;$A9)-$A$4*$A$4*RTD("tos.rtd",,"OPEN_INT","."&amp;V$2&amp;V$1&amp;"P"&amp;$A9)*RTD("tos.rtd",,"GAMMA","."&amp;V$2&amp;V$1&amp;"P"&amp;$A9))/1000000),0),IF($A$2="SKEW",IFERROR(VALUE(IF(RTD("tos.rtd",,"IMPL_VOL","."&amp;V$2&amp;V$1&amp;"P"&amp;$A9)="N/A",0,RTD("tos.rtd",,"IMPL_VOL","."&amp;V$2&amp;V$1&amp;"P"&amp;$A9))),0)-IFERROR(VALUE(IF(RTD("tos.rtd",,"IMPL_VOL","."&amp;V$2&amp;V$1&amp;"C"&amp;$A9)="N/A",0,RTD("tos.rtd",,"IMPL_VOL","."&amp;V$2&amp;V$1&amp;"C"&amp;$A9))),0),IF($A$2="MAXPAIN",IF($A$4&gt;$A9,($A$4-$A9)*IF(RTD("tos.rtd",,"OPEN_INT","."&amp;V$2&amp;V$1&amp;"C"&amp;$A9)="N/A",0,RTD("tos.rtd",,"OPEN_INT","."&amp;V$2&amp;V$1&amp;"C"&amp;$A9)),0)+IF($A$4&lt;$A9,($A$5-$A$4)*IF(RTD("tos.rtd",,"OPEN_INT","."&amp;V$2&amp;V$1&amp;"P"&amp;$A9)="N/A",0,RTD("tos.rtd",,"OPEN_INT","."&amp;V$2&amp;V$1&amp;"P"&amp;$A9)),0),IF($X$1="ABS",IF(RTD("tos.rtd",,$A$2,"."&amp;V$2&amp;V$1&amp;"C"&amp;$A9)="N/A",0,RTD("tos.rtd",,$A$2,"."&amp;V$2&amp;V$1&amp;"C"&amp;$A9))+IF(RTD("tos.rtd",,$A$2,"."&amp;V$2&amp;V$1&amp;"P"&amp;$A9)="N/A",0,RTD("tos.rtd",,$A$2,"."&amp;V$2&amp;V$1&amp;"P"&amp;$A9)),IF(RTD("tos.rtd",,$A$2,"."&amp;V$2&amp;V$1&amp;"C"&amp;$A9)="N/A",0,RTD("tos.rtd",,$A$2,"."&amp;V$2&amp;V$1&amp;"C"&amp;$A9))-IF(RTD("tos.rtd",,$A$2,"."&amp;V$2&amp;V$1&amp;"P"&amp;$A9)="N/A",0,RTD("tos.rtd",,$A$2,"."&amp;V$2&amp;V$1&amp;"P"&amp;$A9))))))))))</f>
        <v>0</v>
      </c>
      <c r="W9" s="54">
        <f ca="1">IF($A$2="PREMIUM_OI",IFERROR(IF($X$1="ABS",(100*RTD("tos.rtd",,"OPEN_INT","."&amp;W$2&amp;W$1&amp;"C"&amp;$A9)*RTD("tos.rtd",,"LAST","."&amp;W$2&amp;W$1&amp;"C"&amp;$A9)+100*RTD("tos.rtd",,"OPEN_INT","."&amp;W$2&amp;W$1&amp;"P"&amp;$A9)*RTD("tos.rtd",,"LAST","."&amp;W$2&amp;W$1&amp;"P"&amp;$A9))/1000000,(100*RTD("tos.rtd",,"OPEN_INT","."&amp;W$2&amp;W$1&amp;"C"&amp;$A9)*RTD("tos.rtd",,"LAST","."&amp;W$2&amp;W$1&amp;"C"&amp;$A9)-100*RTD("tos.rtd",,"OPEN_INT","."&amp;W$2&amp;W$1&amp;"P"&amp;$A9)*RTD("tos.rtd",,"LAST","."&amp;W$2&amp;W$1&amp;"P"&amp;$A9))/1000000),0),IF($A$2="PREMIUM",IFERROR(IF($X$1="ABS",(100*RTD("tos.rtd",,"VOLUME","."&amp;W$2&amp;W$1&amp;"C"&amp;$A9)*RTD("tos.rtd",,"LAST","."&amp;W$2&amp;W$1&amp;"C"&amp;$A9)+100*RTD("tos.rtd",,"VOLUME","."&amp;W$2&amp;W$1&amp;"P"&amp;$A9)*RTD("tos.rtd",,"LAST","."&amp;W$2&amp;W$1&amp;"P"&amp;$A9))/1000000,(100*RTD("tos.rtd",,"VOLUME","."&amp;W$2&amp;W$1&amp;"C"&amp;$A9)*RTD("tos.rtd",,"LAST","."&amp;W$2&amp;W$1&amp;"C"&amp;$A9)-100*RTD("tos.rtd",,"VOLUME","."&amp;W$2&amp;W$1&amp;"P"&amp;$A9)*RTD("tos.rtd",,"LAST","."&amp;W$2&amp;W$1&amp;"P"&amp;$A9))/1000000),0),IF($A$2="DEX",IFERROR(IF($X$1="ABS",(100*RTD("tos.rtd",,"OPEN_INT","."&amp;W$2&amp;W$1&amp;"C"&amp;$A9)*RTD("tos.rtd",,"DELTA","."&amp;W$2&amp;W$1&amp;"C"&amp;$A9)+100*RTD("tos.rtd",,"OPEN_INT","."&amp;W$2&amp;W$1&amp;"P"&amp;$A9)*RTD("tos.rtd",,"DELTA","."&amp;W$2&amp;W$1&amp;"P"&amp;$A9))/1000,(100*RTD("tos.rtd",,"OPEN_INT","."&amp;W$2&amp;W$1&amp;"C"&amp;$A9)*RTD("tos.rtd",,"DELTA","."&amp;W$2&amp;W$1&amp;"C"&amp;$A9)-100*RTD("tos.rtd",,"OPEN_INT","."&amp;W$2&amp;W$1&amp;"P"&amp;$A9)*RTD("tos.rtd",,"DELTA","."&amp;W$2&amp;W$1&amp;"P"&amp;$A9))/1000),0),IF($A$2="VEX",IFERROR(IF($X$1="ABS",($A$4*$A$4*RTD("tos.rtd",,"VOLUME","."&amp;W$2&amp;W$1&amp;"C"&amp;$A9)*RTD("tos.rtd",,"GAMMA","."&amp;W$2&amp;W$1&amp;"C"&amp;$A9)+$A$4*$A$4*RTD("tos.rtd",,"VOLUME","."&amp;W$2&amp;W$1&amp;"P"&amp;$A9)*RTD("tos.rtd",,"GAMMA","."&amp;W$2&amp;W$1&amp;"P"&amp;$A9))/1000000,($A$4*$A$4*RTD("tos.rtd",,"VOLUME","."&amp;W$2&amp;W$1&amp;"C"&amp;$A9)*RTD("tos.rtd",,"GAMMA","."&amp;W$2&amp;W$1&amp;"C"&amp;$A9)-$A$4*$A$4*RTD("tos.rtd",,"VOLUME","."&amp;W$2&amp;W$1&amp;"P"&amp;$A9)*RTD("tos.rtd",,"GAMMA","."&amp;W$2&amp;W$1&amp;"P"&amp;$A9))/1000000),0),IF($A$2="GEX",IFERROR(IF($X$1="ABS",($A$4*$A$4*RTD("tos.rtd",,"OPEN_INT","."&amp;W$2&amp;W$1&amp;"C"&amp;$A9)*RTD("tos.rtd",,"GAMMA","."&amp;W$2&amp;W$1&amp;"C"&amp;$A9)+$A$4*$A$4*RTD("tos.rtd",,"OPEN_INT","."&amp;W$2&amp;W$1&amp;"P"&amp;$A9)*RTD("tos.rtd",,"GAMMA","."&amp;W$2&amp;W$1&amp;"P"&amp;$A9))/1000000,($A$4*$A$4*RTD("tos.rtd",,"OPEN_INT","."&amp;W$2&amp;W$1&amp;"C"&amp;$A9)*RTD("tos.rtd",,"GAMMA","."&amp;W$2&amp;W$1&amp;"C"&amp;$A9)-$A$4*$A$4*RTD("tos.rtd",,"OPEN_INT","."&amp;W$2&amp;W$1&amp;"P"&amp;$A9)*RTD("tos.rtd",,"GAMMA","."&amp;W$2&amp;W$1&amp;"P"&amp;$A9))/1000000),0),IF($A$2="SKEW",IFERROR(VALUE(IF(RTD("tos.rtd",,"IMPL_VOL","."&amp;W$2&amp;W$1&amp;"P"&amp;$A9)="N/A",0,RTD("tos.rtd",,"IMPL_VOL","."&amp;W$2&amp;W$1&amp;"P"&amp;$A9))),0)-IFERROR(VALUE(IF(RTD("tos.rtd",,"IMPL_VOL","."&amp;W$2&amp;W$1&amp;"C"&amp;$A9)="N/A",0,RTD("tos.rtd",,"IMPL_VOL","."&amp;W$2&amp;W$1&amp;"C"&amp;$A9))),0),IF($A$2="MAXPAIN",IF($A$4&gt;$A9,($A$4-$A9)*IF(RTD("tos.rtd",,"OPEN_INT","."&amp;W$2&amp;W$1&amp;"C"&amp;$A9)="N/A",0,RTD("tos.rtd",,"OPEN_INT","."&amp;W$2&amp;W$1&amp;"C"&amp;$A9)),0)+IF($A$4&lt;$A9,($A$5-$A$4)*IF(RTD("tos.rtd",,"OPEN_INT","."&amp;W$2&amp;W$1&amp;"P"&amp;$A9)="N/A",0,RTD("tos.rtd",,"OPEN_INT","."&amp;W$2&amp;W$1&amp;"P"&amp;$A9)),0),IF($X$1="ABS",IF(RTD("tos.rtd",,$A$2,"."&amp;W$2&amp;W$1&amp;"C"&amp;$A9)="N/A",0,RTD("tos.rtd",,$A$2,"."&amp;W$2&amp;W$1&amp;"C"&amp;$A9))+IF(RTD("tos.rtd",,$A$2,"."&amp;W$2&amp;W$1&amp;"P"&amp;$A9)="N/A",0,RTD("tos.rtd",,$A$2,"."&amp;W$2&amp;W$1&amp;"P"&amp;$A9)),IF(RTD("tos.rtd",,$A$2,"."&amp;W$2&amp;W$1&amp;"C"&amp;$A9)="N/A",0,RTD("tos.rtd",,$A$2,"."&amp;W$2&amp;W$1&amp;"C"&amp;$A9))-IF(RTD("tos.rtd",,$A$2,"."&amp;W$2&amp;W$1&amp;"P"&amp;$A9)="N/A",0,RTD("tos.rtd",,$A$2,"."&amp;W$2&amp;W$1&amp;"P"&amp;$A9))))))))))</f>
        <v>0</v>
      </c>
      <c r="X9" s="57">
        <f t="shared" ca="1" si="8"/>
        <v>0</v>
      </c>
      <c r="Y9" s="27">
        <f t="shared" ca="1" si="9"/>
        <v>0</v>
      </c>
      <c r="Z9" s="27">
        <f ca="1">+'OI-VOL'!Y9</f>
        <v>0</v>
      </c>
      <c r="AA9" s="27" t="b">
        <f t="shared" ca="1" si="10"/>
        <v>0</v>
      </c>
      <c r="AB9" s="27">
        <f t="shared" si="11"/>
        <v>219792000</v>
      </c>
      <c r="AC9" s="18">
        <f>MAX(0, $A9-AC$4)*IF(RTD("tos.rtd",,"OPEN_INT","."&amp;$AB$3&amp;$AB$4&amp;"C"&amp;AC$4)="N/A",0,RTD("tos.rtd",,"OPEN_INT","."&amp;$AB$3&amp;$AB$4&amp;"C"&amp;AC$4))*100 + MAX(0, AC$4-$A9)*IF(RTD("tos.rtd",,"OPEN_INT","."&amp;$AB$3&amp;$AB$4&amp;"P"&amp;AC$4)="N/A",0,RTD("tos.rtd",,"OPEN_INT","."&amp;$AB$3&amp;$AB$4&amp;"P"&amp;AC$4))*100</f>
        <v>0</v>
      </c>
      <c r="AD9" s="18">
        <f>MAX(0, $A9-AD$4)*IF(RTD("tos.rtd",,"OPEN_INT","."&amp;$AB$3&amp;$AB$4&amp;"C"&amp;AD$4)="N/A",0,RTD("tos.rtd",,"OPEN_INT","."&amp;$AB$3&amp;$AB$4&amp;"C"&amp;AD$4))*100 + MAX(0, AD$4-$A9)*IF(RTD("tos.rtd",,"OPEN_INT","."&amp;$AB$3&amp;$AB$4&amp;"P"&amp;AD$4)="N/A",0,RTD("tos.rtd",,"OPEN_INT","."&amp;$AB$3&amp;$AB$4&amp;"P"&amp;AD$4))*100</f>
        <v>0</v>
      </c>
      <c r="AE9" s="18">
        <f>MAX(0, $A9-AE$4)*IF(RTD("tos.rtd",,"OPEN_INT","."&amp;$AB$3&amp;$AB$4&amp;"C"&amp;AE$4)="N/A",0,RTD("tos.rtd",,"OPEN_INT","."&amp;$AB$3&amp;$AB$4&amp;"C"&amp;AE$4))*100 + MAX(0, AE$4-$A9)*IF(RTD("tos.rtd",,"OPEN_INT","."&amp;$AB$3&amp;$AB$4&amp;"P"&amp;AE$4)="N/A",0,RTD("tos.rtd",,"OPEN_INT","."&amp;$AB$3&amp;$AB$4&amp;"P"&amp;AE$4))*100</f>
        <v>0</v>
      </c>
      <c r="AF9" s="18">
        <f>MAX(0, $A9-AF$4)*IF(RTD("tos.rtd",,"OPEN_INT","."&amp;$AB$3&amp;$AB$4&amp;"C"&amp;AF$4)="N/A",0,RTD("tos.rtd",,"OPEN_INT","."&amp;$AB$3&amp;$AB$4&amp;"C"&amp;AF$4))*100 + MAX(0, AF$4-$A9)*IF(RTD("tos.rtd",,"OPEN_INT","."&amp;$AB$3&amp;$AB$4&amp;"P"&amp;AF$4)="N/A",0,RTD("tos.rtd",,"OPEN_INT","."&amp;$AB$3&amp;$AB$4&amp;"P"&amp;AF$4))*100</f>
        <v>0</v>
      </c>
      <c r="AG9" s="18">
        <f>MAX(0, $A9-AG$4)*IF(RTD("tos.rtd",,"OPEN_INT","."&amp;$AB$3&amp;$AB$4&amp;"C"&amp;AG$4)="N/A",0,RTD("tos.rtd",,"OPEN_INT","."&amp;$AB$3&amp;$AB$4&amp;"C"&amp;AG$4))*100 + MAX(0, AG$4-$A9)*IF(RTD("tos.rtd",,"OPEN_INT","."&amp;$AB$3&amp;$AB$4&amp;"P"&amp;AG$4)="N/A",0,RTD("tos.rtd",,"OPEN_INT","."&amp;$AB$3&amp;$AB$4&amp;"P"&amp;AG$4))*100</f>
        <v>0</v>
      </c>
      <c r="AH9" s="18">
        <f>MAX(0, $A9-AH$4)*IF(RTD("tos.rtd",,"OPEN_INT","."&amp;$AB$3&amp;$AB$4&amp;"C"&amp;AH$4)="N/A",0,RTD("tos.rtd",,"OPEN_INT","."&amp;$AB$3&amp;$AB$4&amp;"C"&amp;AH$4))*100 + MAX(0, AH$4-$A9)*IF(RTD("tos.rtd",,"OPEN_INT","."&amp;$AB$3&amp;$AB$4&amp;"P"&amp;AH$4)="N/A",0,RTD("tos.rtd",,"OPEN_INT","."&amp;$AB$3&amp;$AB$4&amp;"P"&amp;AH$4))*100</f>
        <v>0</v>
      </c>
      <c r="AI9" s="18">
        <f>MAX(0, $A9-AI$4)*IF(RTD("tos.rtd",,"OPEN_INT","."&amp;$AB$3&amp;$AB$4&amp;"C"&amp;AI$4)="N/A",0,RTD("tos.rtd",,"OPEN_INT","."&amp;$AB$3&amp;$AB$4&amp;"C"&amp;AI$4))*100 + MAX(0, AI$4-$A9)*IF(RTD("tos.rtd",,"OPEN_INT","."&amp;$AB$3&amp;$AB$4&amp;"P"&amp;AI$4)="N/A",0,RTD("tos.rtd",,"OPEN_INT","."&amp;$AB$3&amp;$AB$4&amp;"P"&amp;AI$4))*100</f>
        <v>0</v>
      </c>
      <c r="AJ9" s="18">
        <f>MAX(0, $A9-AJ$4)*IF(RTD("tos.rtd",,"OPEN_INT","."&amp;$AB$3&amp;$AB$4&amp;"C"&amp;AJ$4)="N/A",0,RTD("tos.rtd",,"OPEN_INT","."&amp;$AB$3&amp;$AB$4&amp;"C"&amp;AJ$4))*100 + MAX(0, AJ$4-$A9)*IF(RTD("tos.rtd",,"OPEN_INT","."&amp;$AB$3&amp;$AB$4&amp;"P"&amp;AJ$4)="N/A",0,RTD("tos.rtd",,"OPEN_INT","."&amp;$AB$3&amp;$AB$4&amp;"P"&amp;AJ$4))*100</f>
        <v>407400</v>
      </c>
      <c r="AK9" s="18">
        <f>MAX(0, $A9-AK$4)*IF(RTD("tos.rtd",,"OPEN_INT","."&amp;$AB$3&amp;$AB$4&amp;"C"&amp;AK$4)="N/A",0,RTD("tos.rtd",,"OPEN_INT","."&amp;$AB$3&amp;$AB$4&amp;"C"&amp;AK$4))*100 + MAX(0, AK$4-$A9)*IF(RTD("tos.rtd",,"OPEN_INT","."&amp;$AB$3&amp;$AB$4&amp;"P"&amp;AK$4)="N/A",0,RTD("tos.rtd",,"OPEN_INT","."&amp;$AB$3&amp;$AB$4&amp;"P"&amp;AK$4))*100</f>
        <v>53800</v>
      </c>
      <c r="AL9" s="18">
        <f>MAX(0, $A9-AL$4)*IF(RTD("tos.rtd",,"OPEN_INT","."&amp;$AB$3&amp;$AB$4&amp;"C"&amp;AL$4)="N/A",0,RTD("tos.rtd",,"OPEN_INT","."&amp;$AB$3&amp;$AB$4&amp;"C"&amp;AL$4))*100 + MAX(0, AL$4-$A9)*IF(RTD("tos.rtd",,"OPEN_INT","."&amp;$AB$3&amp;$AB$4&amp;"P"&amp;AL$4)="N/A",0,RTD("tos.rtd",,"OPEN_INT","."&amp;$AB$3&amp;$AB$4&amp;"P"&amp;AL$4))*100</f>
        <v>703250</v>
      </c>
      <c r="AM9" s="18">
        <f>MAX(0, $A9-AM$4)*IF(RTD("tos.rtd",,"OPEN_INT","."&amp;$AB$3&amp;$AB$4&amp;"C"&amp;AM$4)="N/A",0,RTD("tos.rtd",,"OPEN_INT","."&amp;$AB$3&amp;$AB$4&amp;"C"&amp;AM$4))*100 + MAX(0, AM$4-$A9)*IF(RTD("tos.rtd",,"OPEN_INT","."&amp;$AB$3&amp;$AB$4&amp;"P"&amp;AM$4)="N/A",0,RTD("tos.rtd",,"OPEN_INT","."&amp;$AB$3&amp;$AB$4&amp;"P"&amp;AM$4))*100</f>
        <v>0</v>
      </c>
      <c r="AN9" s="18">
        <f>MAX(0, $A9-AN$4)*IF(RTD("tos.rtd",,"OPEN_INT","."&amp;$AB$3&amp;$AB$4&amp;"C"&amp;AN$4)="N/A",0,RTD("tos.rtd",,"OPEN_INT","."&amp;$AB$3&amp;$AB$4&amp;"C"&amp;AN$4))*100 + MAX(0, AN$4-$A9)*IF(RTD("tos.rtd",,"OPEN_INT","."&amp;$AB$3&amp;$AB$4&amp;"P"&amp;AN$4)="N/A",0,RTD("tos.rtd",,"OPEN_INT","."&amp;$AB$3&amp;$AB$4&amp;"P"&amp;AN$4))*100</f>
        <v>827750</v>
      </c>
      <c r="AO9" s="18">
        <f>MAX(0, $A9-AO$4)*IF(RTD("tos.rtd",,"OPEN_INT","."&amp;$AB$3&amp;$AB$4&amp;"C"&amp;AO$4)="N/A",0,RTD("tos.rtd",,"OPEN_INT","."&amp;$AB$3&amp;$AB$4&amp;"C"&amp;AO$4))*100 + MAX(0, AO$4-$A9)*IF(RTD("tos.rtd",,"OPEN_INT","."&amp;$AB$3&amp;$AB$4&amp;"P"&amp;AO$4)="N/A",0,RTD("tos.rtd",,"OPEN_INT","."&amp;$AB$3&amp;$AB$4&amp;"P"&amp;AO$4))*100</f>
        <v>0</v>
      </c>
      <c r="AP9" s="18">
        <f>MAX(0, $A9-AP$4)*IF(RTD("tos.rtd",,"OPEN_INT","."&amp;$AB$3&amp;$AB$4&amp;"C"&amp;AP$4)="N/A",0,RTD("tos.rtd",,"OPEN_INT","."&amp;$AB$3&amp;$AB$4&amp;"C"&amp;AP$4))*100 + MAX(0, AP$4-$A9)*IF(RTD("tos.rtd",,"OPEN_INT","."&amp;$AB$3&amp;$AB$4&amp;"P"&amp;AP$4)="N/A",0,RTD("tos.rtd",,"OPEN_INT","."&amp;$AB$3&amp;$AB$4&amp;"P"&amp;AP$4))*100</f>
        <v>310050</v>
      </c>
      <c r="AQ9" s="18">
        <f>MAX(0, $A9-AQ$4)*IF(RTD("tos.rtd",,"OPEN_INT","."&amp;$AB$3&amp;$AB$4&amp;"C"&amp;AQ$4)="N/A",0,RTD("tos.rtd",,"OPEN_INT","."&amp;$AB$3&amp;$AB$4&amp;"C"&amp;AQ$4))*100 + MAX(0, AQ$4-$A9)*IF(RTD("tos.rtd",,"OPEN_INT","."&amp;$AB$3&amp;$AB$4&amp;"P"&amp;AQ$4)="N/A",0,RTD("tos.rtd",,"OPEN_INT","."&amp;$AB$3&amp;$AB$4&amp;"P"&amp;AQ$4))*100</f>
        <v>0</v>
      </c>
      <c r="AR9" s="18">
        <f>MAX(0, $A9-AR$4)*IF(RTD("tos.rtd",,"OPEN_INT","."&amp;$AB$3&amp;$AB$4&amp;"C"&amp;AR$4)="N/A",0,RTD("tos.rtd",,"OPEN_INT","."&amp;$AB$3&amp;$AB$4&amp;"C"&amp;AR$4))*100 + MAX(0, AR$4-$A9)*IF(RTD("tos.rtd",,"OPEN_INT","."&amp;$AB$3&amp;$AB$4&amp;"P"&amp;AR$4)="N/A",0,RTD("tos.rtd",,"OPEN_INT","."&amp;$AB$3&amp;$AB$4&amp;"P"&amp;AR$4))*100</f>
        <v>352000</v>
      </c>
      <c r="AS9" s="18">
        <f>MAX(0, $A9-AS$4)*IF(RTD("tos.rtd",,"OPEN_INT","."&amp;$AB$3&amp;$AB$4&amp;"C"&amp;AS$4)="N/A",0,RTD("tos.rtd",,"OPEN_INT","."&amp;$AB$3&amp;$AB$4&amp;"C"&amp;AS$4))*100 + MAX(0, AS$4-$A9)*IF(RTD("tos.rtd",,"OPEN_INT","."&amp;$AB$3&amp;$AB$4&amp;"P"&amp;AS$4)="N/A",0,RTD("tos.rtd",,"OPEN_INT","."&amp;$AB$3&amp;$AB$4&amp;"P"&amp;AS$4))*100</f>
        <v>600</v>
      </c>
      <c r="AT9" s="18">
        <f>MAX(0, $A9-AT$4)*IF(RTD("tos.rtd",,"OPEN_INT","."&amp;$AB$3&amp;$AB$4&amp;"C"&amp;AT$4)="N/A",0,RTD("tos.rtd",,"OPEN_INT","."&amp;$AB$3&amp;$AB$4&amp;"C"&amp;AT$4))*100 + MAX(0, AT$4-$A9)*IF(RTD("tos.rtd",,"OPEN_INT","."&amp;$AB$3&amp;$AB$4&amp;"P"&amp;AT$4)="N/A",0,RTD("tos.rtd",,"OPEN_INT","."&amp;$AB$3&amp;$AB$4&amp;"P"&amp;AT$4))*100</f>
        <v>560300</v>
      </c>
      <c r="AU9" s="18">
        <f>MAX(0, $A9-AU$4)*IF(RTD("tos.rtd",,"OPEN_INT","."&amp;$AB$3&amp;$AB$4&amp;"C"&amp;AU$4)="N/A",0,RTD("tos.rtd",,"OPEN_INT","."&amp;$AB$3&amp;$AB$4&amp;"C"&amp;AU$4))*100 + MAX(0, AU$4-$A9)*IF(RTD("tos.rtd",,"OPEN_INT","."&amp;$AB$3&amp;$AB$4&amp;"P"&amp;AU$4)="N/A",0,RTD("tos.rtd",,"OPEN_INT","."&amp;$AB$3&amp;$AB$4&amp;"P"&amp;AU$4))*100</f>
        <v>981400</v>
      </c>
      <c r="AV9" s="18">
        <f>MAX(0, $A9-AV$4)*IF(RTD("tos.rtd",,"OPEN_INT","."&amp;$AB$3&amp;$AB$4&amp;"C"&amp;AV$4)="N/A",0,RTD("tos.rtd",,"OPEN_INT","."&amp;$AB$3&amp;$AB$4&amp;"C"&amp;AV$4))*100 + MAX(0, AV$4-$A9)*IF(RTD("tos.rtd",,"OPEN_INT","."&amp;$AB$3&amp;$AB$4&amp;"P"&amp;AV$4)="N/A",0,RTD("tos.rtd",,"OPEN_INT","."&amp;$AB$3&amp;$AB$4&amp;"P"&amp;AV$4))*100</f>
        <v>1262250</v>
      </c>
      <c r="AW9" s="18">
        <f>MAX(0, $A9-AW$4)*IF(RTD("tos.rtd",,"OPEN_INT","."&amp;$AB$3&amp;$AB$4&amp;"C"&amp;AW$4)="N/A",0,RTD("tos.rtd",,"OPEN_INT","."&amp;$AB$3&amp;$AB$4&amp;"C"&amp;AW$4))*100 + MAX(0, AW$4-$A9)*IF(RTD("tos.rtd",,"OPEN_INT","."&amp;$AB$3&amp;$AB$4&amp;"P"&amp;AW$4)="N/A",0,RTD("tos.rtd",,"OPEN_INT","."&amp;$AB$3&amp;$AB$4&amp;"P"&amp;AW$4))*100</f>
        <v>1510400</v>
      </c>
      <c r="AX9" s="18">
        <f>MAX(0, $A9-AX$4)*IF(RTD("tos.rtd",,"OPEN_INT","."&amp;$AB$3&amp;$AB$4&amp;"C"&amp;AX$4)="N/A",0,RTD("tos.rtd",,"OPEN_INT","."&amp;$AB$3&amp;$AB$4&amp;"C"&amp;AX$4))*100 + MAX(0, AX$4-$A9)*IF(RTD("tos.rtd",,"OPEN_INT","."&amp;$AB$3&amp;$AB$4&amp;"P"&amp;AX$4)="N/A",0,RTD("tos.rtd",,"OPEN_INT","."&amp;$AB$3&amp;$AB$4&amp;"P"&amp;AX$4))*100</f>
        <v>2613750</v>
      </c>
      <c r="AY9" s="18">
        <f>MAX(0, $A9-AY$4)*IF(RTD("tos.rtd",,"OPEN_INT","."&amp;$AB$3&amp;$AB$4&amp;"C"&amp;AY$4)="N/A",0,RTD("tos.rtd",,"OPEN_INT","."&amp;$AB$3&amp;$AB$4&amp;"C"&amp;AY$4))*100 + MAX(0, AY$4-$A9)*IF(RTD("tos.rtd",,"OPEN_INT","."&amp;$AB$3&amp;$AB$4&amp;"P"&amp;AY$4)="N/A",0,RTD("tos.rtd",,"OPEN_INT","."&amp;$AB$3&amp;$AB$4&amp;"P"&amp;AY$4))*100</f>
        <v>3827700</v>
      </c>
      <c r="AZ9" s="18">
        <f>MAX(0, $A9-AZ$4)*IF(RTD("tos.rtd",,"OPEN_INT","."&amp;$AB$3&amp;$AB$4&amp;"C"&amp;AZ$4)="N/A",0,RTD("tos.rtd",,"OPEN_INT","."&amp;$AB$3&amp;$AB$4&amp;"C"&amp;AZ$4))*100 + MAX(0, AZ$4-$A9)*IF(RTD("tos.rtd",,"OPEN_INT","."&amp;$AB$3&amp;$AB$4&amp;"P"&amp;AZ$4)="N/A",0,RTD("tos.rtd",,"OPEN_INT","."&amp;$AB$3&amp;$AB$4&amp;"P"&amp;AZ$4))*100</f>
        <v>18570600</v>
      </c>
      <c r="BA9" s="18">
        <f>MAX(0, $A9-BA$4)*IF(RTD("tos.rtd",,"OPEN_INT","."&amp;$AB$3&amp;$AB$4&amp;"C"&amp;BA$4)="N/A",0,RTD("tos.rtd",,"OPEN_INT","."&amp;$AB$3&amp;$AB$4&amp;"C"&amp;BA$4))*100 + MAX(0, BA$4-$A9)*IF(RTD("tos.rtd",,"OPEN_INT","."&amp;$AB$3&amp;$AB$4&amp;"P"&amp;BA$4)="N/A",0,RTD("tos.rtd",,"OPEN_INT","."&amp;$AB$3&amp;$AB$4&amp;"P"&amp;BA$4))*100</f>
        <v>9850000</v>
      </c>
      <c r="BB9" s="18">
        <f>MAX(0, $A9-BB$4)*IF(RTD("tos.rtd",,"OPEN_INT","."&amp;$AB$3&amp;$AB$4&amp;"C"&amp;BB$4)="N/A",0,RTD("tos.rtd",,"OPEN_INT","."&amp;$AB$3&amp;$AB$4&amp;"C"&amp;BB$4))*100 + MAX(0, BB$4-$A9)*IF(RTD("tos.rtd",,"OPEN_INT","."&amp;$AB$3&amp;$AB$4&amp;"P"&amp;BB$4)="N/A",0,RTD("tos.rtd",,"OPEN_INT","."&amp;$AB$3&amp;$AB$4&amp;"P"&amp;BB$4))*100</f>
        <v>32347350</v>
      </c>
      <c r="BC9" s="18">
        <f>MAX(0, $A9-BC$4)*IF(RTD("tos.rtd",,"OPEN_INT","."&amp;$AB$3&amp;$AB$4&amp;"C"&amp;BC$4)="N/A",0,RTD("tos.rtd",,"OPEN_INT","."&amp;$AB$3&amp;$AB$4&amp;"C"&amp;BC$4))*100 + MAX(0, BC$4-$A9)*IF(RTD("tos.rtd",,"OPEN_INT","."&amp;$AB$3&amp;$AB$4&amp;"P"&amp;BC$4)="N/A",0,RTD("tos.rtd",,"OPEN_INT","."&amp;$AB$3&amp;$AB$4&amp;"P"&amp;BC$4))*100</f>
        <v>31523800</v>
      </c>
      <c r="BD9" s="18">
        <f>MAX(0, $A9-BD$4)*IF(RTD("tos.rtd",,"OPEN_INT","."&amp;$AB$3&amp;$AB$4&amp;"C"&amp;BD$4)="N/A",0,RTD("tos.rtd",,"OPEN_INT","."&amp;$AB$3&amp;$AB$4&amp;"C"&amp;BD$4))*100 + MAX(0, BD$4-$A9)*IF(RTD("tos.rtd",,"OPEN_INT","."&amp;$AB$3&amp;$AB$4&amp;"P"&amp;BD$4)="N/A",0,RTD("tos.rtd",,"OPEN_INT","."&amp;$AB$3&amp;$AB$4&amp;"P"&amp;BD$4))*100</f>
        <v>46819950</v>
      </c>
      <c r="BE9" s="18">
        <f>MAX(0, $A9-BE$4)*IF(RTD("tos.rtd",,"OPEN_INT","."&amp;$AB$3&amp;$AB$4&amp;"C"&amp;BE$4)="N/A",0,RTD("tos.rtd",,"OPEN_INT","."&amp;$AB$3&amp;$AB$4&amp;"C"&amp;BE$4))*100 + MAX(0, BE$4-$A9)*IF(RTD("tos.rtd",,"OPEN_INT","."&amp;$AB$3&amp;$AB$4&amp;"P"&amp;BE$4)="N/A",0,RTD("tos.rtd",,"OPEN_INT","."&amp;$AB$3&amp;$AB$4&amp;"P"&amp;BE$4))*100</f>
        <v>22272000</v>
      </c>
      <c r="BF9" s="18">
        <f>MAX(0, $A9-BF$4)*IF(RTD("tos.rtd",,"OPEN_INT","."&amp;$AB$3&amp;$AB$4&amp;"C"&amp;BF$4)="N/A",0,RTD("tos.rtd",,"OPEN_INT","."&amp;$AB$3&amp;$AB$4&amp;"C"&amp;BF$4))*100 + MAX(0, BF$4-$A9)*IF(RTD("tos.rtd",,"OPEN_INT","."&amp;$AB$3&amp;$AB$4&amp;"P"&amp;BF$4)="N/A",0,RTD("tos.rtd",,"OPEN_INT","."&amp;$AB$3&amp;$AB$4&amp;"P"&amp;BF$4))*100</f>
        <v>21597500</v>
      </c>
      <c r="BG9" s="18">
        <f>MAX(0, $A9-BG$4)*IF(RTD("tos.rtd",,"OPEN_INT","."&amp;$AB$3&amp;$AB$4&amp;"C"&amp;BG$4)="N/A",0,RTD("tos.rtd",,"OPEN_INT","."&amp;$AB$3&amp;$AB$4&amp;"C"&amp;BG$4))*100 + MAX(0, BG$4-$A9)*IF(RTD("tos.rtd",,"OPEN_INT","."&amp;$AB$3&amp;$AB$4&amp;"P"&amp;BG$4)="N/A",0,RTD("tos.rtd",,"OPEN_INT","."&amp;$AB$3&amp;$AB$4&amp;"P"&amp;BG$4))*100</f>
        <v>10929100</v>
      </c>
      <c r="BH9" s="18">
        <f>MAX(0, $A9-BH$4)*IF(RTD("tos.rtd",,"OPEN_INT","."&amp;$AB$3&amp;$AB$4&amp;"C"&amp;BH$4)="N/A",0,RTD("tos.rtd",,"OPEN_INT","."&amp;$AB$3&amp;$AB$4&amp;"C"&amp;BH$4))*100 + MAX(0, BH$4-$A9)*IF(RTD("tos.rtd",,"OPEN_INT","."&amp;$AB$3&amp;$AB$4&amp;"P"&amp;BH$4)="N/A",0,RTD("tos.rtd",,"OPEN_INT","."&amp;$AB$3&amp;$AB$4&amp;"P"&amp;BH$4))*100</f>
        <v>7740900</v>
      </c>
      <c r="BI9" s="18">
        <f>MAX(0, $A9-BI$4)*IF(RTD("tos.rtd",,"OPEN_INT","."&amp;$AB$3&amp;$AB$4&amp;"C"&amp;BI$4)="N/A",0,RTD("tos.rtd",,"OPEN_INT","."&amp;$AB$3&amp;$AB$4&amp;"C"&amp;BI$4))*100 + MAX(0, BI$4-$A9)*IF(RTD("tos.rtd",,"OPEN_INT","."&amp;$AB$3&amp;$AB$4&amp;"P"&amp;BI$4)="N/A",0,RTD("tos.rtd",,"OPEN_INT","."&amp;$AB$3&amp;$AB$4&amp;"P"&amp;BI$4))*100</f>
        <v>2720200</v>
      </c>
      <c r="BJ9" s="18">
        <f>MAX(0, $A9-BJ$4)*IF(RTD("tos.rtd",,"OPEN_INT","."&amp;$AB$3&amp;$AB$4&amp;"C"&amp;BJ$4)="N/A",0,RTD("tos.rtd",,"OPEN_INT","."&amp;$AB$3&amp;$AB$4&amp;"C"&amp;BJ$4))*100 + MAX(0, BJ$4-$A9)*IF(RTD("tos.rtd",,"OPEN_INT","."&amp;$AB$3&amp;$AB$4&amp;"P"&amp;BJ$4)="N/A",0,RTD("tos.rtd",,"OPEN_INT","."&amp;$AB$3&amp;$AB$4&amp;"P"&amp;BJ$4))*100</f>
        <v>1220900</v>
      </c>
      <c r="BK9" s="18">
        <f>MAX(0, $A9-BK$4)*IF(RTD("tos.rtd",,"OPEN_INT","."&amp;$AB$3&amp;$AB$4&amp;"C"&amp;BK$4)="N/A",0,RTD("tos.rtd",,"OPEN_INT","."&amp;$AB$3&amp;$AB$4&amp;"C"&amp;BK$4))*100 + MAX(0, BK$4-$A9)*IF(RTD("tos.rtd",,"OPEN_INT","."&amp;$AB$3&amp;$AB$4&amp;"P"&amp;BK$4)="N/A",0,RTD("tos.rtd",,"OPEN_INT","."&amp;$AB$3&amp;$AB$4&amp;"P"&amp;BK$4))*100</f>
        <v>226500</v>
      </c>
      <c r="BL9" s="18">
        <f>MAX(0, $A9-BL$4)*IF(RTD("tos.rtd",,"OPEN_INT","."&amp;$AB$3&amp;$AB$4&amp;"C"&amp;BL$4)="N/A",0,RTD("tos.rtd",,"OPEN_INT","."&amp;$AB$3&amp;$AB$4&amp;"C"&amp;BL$4))*100 + MAX(0, BL$4-$A9)*IF(RTD("tos.rtd",,"OPEN_INT","."&amp;$AB$3&amp;$AB$4&amp;"P"&amp;BL$4)="N/A",0,RTD("tos.rtd",,"OPEN_INT","."&amp;$AB$3&amp;$AB$4&amp;"P"&amp;BL$4))*100</f>
        <v>404550</v>
      </c>
      <c r="BM9" s="18">
        <f>MAX(0, $A9-BM$4)*IF(RTD("tos.rtd",,"OPEN_INT","."&amp;$AB$3&amp;$AB$4&amp;"C"&amp;BM$4)="N/A",0,RTD("tos.rtd",,"OPEN_INT","."&amp;$AB$3&amp;$AB$4&amp;"C"&amp;BM$4))*100 + MAX(0, BM$4-$A9)*IF(RTD("tos.rtd",,"OPEN_INT","."&amp;$AB$3&amp;$AB$4&amp;"P"&amp;BM$4)="N/A",0,RTD("tos.rtd",,"OPEN_INT","."&amp;$AB$3&amp;$AB$4&amp;"P"&amp;BM$4))*100</f>
        <v>25600</v>
      </c>
      <c r="BN9" s="18">
        <f>MAX(0, $A9-BN$4)*IF(RTD("tos.rtd",,"OPEN_INT","."&amp;$AB$3&amp;$AB$4&amp;"C"&amp;BN$4)="N/A",0,RTD("tos.rtd",,"OPEN_INT","."&amp;$AB$3&amp;$AB$4&amp;"C"&amp;BN$4))*100 + MAX(0, BN$4-$A9)*IF(RTD("tos.rtd",,"OPEN_INT","."&amp;$AB$3&amp;$AB$4&amp;"P"&amp;BN$4)="N/A",0,RTD("tos.rtd",,"OPEN_INT","."&amp;$AB$3&amp;$AB$4&amp;"P"&amp;BN$4))*100</f>
        <v>13200</v>
      </c>
      <c r="BO9" s="18">
        <f>MAX(0, $A9-BO$4)*IF(RTD("tos.rtd",,"OPEN_INT","."&amp;$AB$3&amp;$AB$4&amp;"C"&amp;BO$4)="N/A",0,RTD("tos.rtd",,"OPEN_INT","."&amp;$AB$3&amp;$AB$4&amp;"C"&amp;BO$4))*100 + MAX(0, BO$4-$A9)*IF(RTD("tos.rtd",,"OPEN_INT","."&amp;$AB$3&amp;$AB$4&amp;"P"&amp;BO$4)="N/A",0,RTD("tos.rtd",,"OPEN_INT","."&amp;$AB$3&amp;$AB$4&amp;"P"&amp;BO$4))*100</f>
        <v>52700</v>
      </c>
      <c r="BP9" s="18">
        <f>MAX(0, $A9-BP$4)*IF(RTD("tos.rtd",,"OPEN_INT","."&amp;$AB$3&amp;$AB$4&amp;"C"&amp;BP$4)="N/A",0,RTD("tos.rtd",,"OPEN_INT","."&amp;$AB$3&amp;$AB$4&amp;"C"&amp;BP$4))*100 + MAX(0, BP$4-$A9)*IF(RTD("tos.rtd",,"OPEN_INT","."&amp;$AB$3&amp;$AB$4&amp;"P"&amp;BP$4)="N/A",0,RTD("tos.rtd",,"OPEN_INT","."&amp;$AB$3&amp;$AB$4&amp;"P"&amp;BP$4))*100</f>
        <v>66500</v>
      </c>
      <c r="BQ9" s="18">
        <f>MAX(0, $A9-BQ$4)*IF(RTD("tos.rtd",,"OPEN_INT","."&amp;$AB$3&amp;$AB$4&amp;"C"&amp;BQ$4)="N/A",0,RTD("tos.rtd",,"OPEN_INT","."&amp;$AB$3&amp;$AB$4&amp;"C"&amp;BQ$4))*100 + MAX(0, BQ$4-$A9)*IF(RTD("tos.rtd",,"OPEN_INT","."&amp;$AB$3&amp;$AB$4&amp;"P"&amp;BQ$4)="N/A",0,RTD("tos.rtd",,"OPEN_INT","."&amp;$AB$3&amp;$AB$4&amp;"P"&amp;BQ$4))*100</f>
        <v>0</v>
      </c>
      <c r="BR9" s="18">
        <f>MAX(0, $A9-BR$4)*IF(RTD("tos.rtd",,"OPEN_INT","."&amp;$AB$3&amp;$AB$4&amp;"C"&amp;BR$4)="N/A",0,RTD("tos.rtd",,"OPEN_INT","."&amp;$AB$3&amp;$AB$4&amp;"C"&amp;BR$4))*100 + MAX(0, BR$4-$A9)*IF(RTD("tos.rtd",,"OPEN_INT","."&amp;$AB$3&amp;$AB$4&amp;"P"&amp;BR$4)="N/A",0,RTD("tos.rtd",,"OPEN_INT","."&amp;$AB$3&amp;$AB$4&amp;"P"&amp;BR$4))*100</f>
        <v>0</v>
      </c>
      <c r="BS9" s="18">
        <f>MAX(0, $A9-BS$4)*IF(RTD("tos.rtd",,"OPEN_INT","."&amp;$AB$3&amp;$AB$4&amp;"C"&amp;BS$4)="N/A",0,RTD("tos.rtd",,"OPEN_INT","."&amp;$AB$3&amp;$AB$4&amp;"C"&amp;BS$4))*100 + MAX(0, BS$4-$A9)*IF(RTD("tos.rtd",,"OPEN_INT","."&amp;$AB$3&amp;$AB$4&amp;"P"&amp;BS$4)="N/A",0,RTD("tos.rtd",,"OPEN_INT","."&amp;$AB$3&amp;$AB$4&amp;"P"&amp;BS$4))*100</f>
        <v>0</v>
      </c>
      <c r="BT9" s="18">
        <f>MAX(0, $A9-BT$4)*IF(RTD("tos.rtd",,"OPEN_INT","."&amp;$AB$3&amp;$AB$4&amp;"C"&amp;BT$4)="N/A",0,RTD("tos.rtd",,"OPEN_INT","."&amp;$AB$3&amp;$AB$4&amp;"C"&amp;BT$4))*100 + MAX(0, BT$4-$A9)*IF(RTD("tos.rtd",,"OPEN_INT","."&amp;$AB$3&amp;$AB$4&amp;"P"&amp;BT$4)="N/A",0,RTD("tos.rtd",,"OPEN_INT","."&amp;$AB$3&amp;$AB$4&amp;"P"&amp;BT$4))*100</f>
        <v>0</v>
      </c>
      <c r="BU9" s="18">
        <f>MAX(0, $A9-BU$4)*IF(RTD("tos.rtd",,"OPEN_INT","."&amp;$AB$3&amp;$AB$4&amp;"C"&amp;BU$4)="N/A",0,RTD("tos.rtd",,"OPEN_INT","."&amp;$AB$3&amp;$AB$4&amp;"C"&amp;BU$4))*100 + MAX(0, BU$4-$A9)*IF(RTD("tos.rtd",,"OPEN_INT","."&amp;$AB$3&amp;$AB$4&amp;"P"&amp;BU$4)="N/A",0,RTD("tos.rtd",,"OPEN_INT","."&amp;$AB$3&amp;$AB$4&amp;"P"&amp;BU$4))*100</f>
        <v>0</v>
      </c>
      <c r="BV9" s="18">
        <f>MAX(0, $A9-BV$4)*IF(RTD("tos.rtd",,"OPEN_INT","."&amp;$AB$3&amp;$AB$4&amp;"C"&amp;BV$4)="N/A",0,RTD("tos.rtd",,"OPEN_INT","."&amp;$AB$3&amp;$AB$4&amp;"C"&amp;BV$4))*100 + MAX(0, BV$4-$A9)*IF(RTD("tos.rtd",,"OPEN_INT","."&amp;$AB$3&amp;$AB$4&amp;"P"&amp;BV$4)="N/A",0,RTD("tos.rtd",,"OPEN_INT","."&amp;$AB$3&amp;$AB$4&amp;"P"&amp;BV$4))*100</f>
        <v>0</v>
      </c>
      <c r="BW9" s="18">
        <f>MAX(0, $A9-BW$4)*IF(RTD("tos.rtd",,"OPEN_INT","."&amp;$AB$3&amp;$AB$4&amp;"C"&amp;BW$4)="N/A",0,RTD("tos.rtd",,"OPEN_INT","."&amp;$AB$3&amp;$AB$4&amp;"C"&amp;BW$4))*100 + MAX(0, BW$4-$A9)*IF(RTD("tos.rtd",,"OPEN_INT","."&amp;$AB$3&amp;$AB$4&amp;"P"&amp;BW$4)="N/A",0,RTD("tos.rtd",,"OPEN_INT","."&amp;$AB$3&amp;$AB$4&amp;"P"&amp;BW$4))*100</f>
        <v>0</v>
      </c>
    </row>
    <row r="10" spans="1:75" s="19" customFormat="1" ht="11.1" customHeight="1" thickBot="1" x14ac:dyDescent="0.3">
      <c r="A10" s="23">
        <f t="shared" si="7"/>
        <v>19</v>
      </c>
      <c r="B10" s="14">
        <f ca="1">IF($A$2="PREMIUM_OI",IFERROR(IF($X$1="ABS",(100*RTD("tos.rtd",,"OPEN_INT","."&amp;B$2&amp;B$1&amp;"C"&amp;$A10)*RTD("tos.rtd",,"LAST","."&amp;B$2&amp;B$1&amp;"C"&amp;$A10)+100*RTD("tos.rtd",,"OPEN_INT","."&amp;B$2&amp;B$1&amp;"P"&amp;$A10)*RTD("tos.rtd",,"LAST","."&amp;B$2&amp;B$1&amp;"P"&amp;$A10))/1000000,(100*RTD("tos.rtd",,"OPEN_INT","."&amp;B$2&amp;B$1&amp;"C"&amp;$A10)*RTD("tos.rtd",,"LAST","."&amp;B$2&amp;B$1&amp;"C"&amp;$A10)-100*RTD("tos.rtd",,"OPEN_INT","."&amp;B$2&amp;B$1&amp;"P"&amp;$A10)*RTD("tos.rtd",,"LAST","."&amp;B$2&amp;B$1&amp;"P"&amp;$A10))/1000000),0),IF($A$2="PREMIUM",IFERROR(IF($X$1="ABS",(100*RTD("tos.rtd",,"VOLUME","."&amp;B$2&amp;B$1&amp;"C"&amp;$A10)*RTD("tos.rtd",,"LAST","."&amp;B$2&amp;B$1&amp;"C"&amp;$A10)+100*RTD("tos.rtd",,"VOLUME","."&amp;B$2&amp;B$1&amp;"P"&amp;$A10)*RTD("tos.rtd",,"LAST","."&amp;B$2&amp;B$1&amp;"P"&amp;$A10))/1000000,(100*RTD("tos.rtd",,"VOLUME","."&amp;B$2&amp;B$1&amp;"C"&amp;$A10)*RTD("tos.rtd",,"LAST","."&amp;B$2&amp;B$1&amp;"C"&amp;$A10)-100*RTD("tos.rtd",,"VOLUME","."&amp;B$2&amp;B$1&amp;"P"&amp;$A10)*RTD("tos.rtd",,"LAST","."&amp;B$2&amp;B$1&amp;"P"&amp;$A10))/1000000),0),IF($A$2="DEX",IFERROR(IF($X$1="ABS",(100*RTD("tos.rtd",,"OPEN_INT","."&amp;B$2&amp;B$1&amp;"C"&amp;$A10)*RTD("tos.rtd",,"DELTA","."&amp;B$2&amp;B$1&amp;"C"&amp;$A10)+100*RTD("tos.rtd",,"OPEN_INT","."&amp;B$2&amp;B$1&amp;"P"&amp;$A10)*RTD("tos.rtd",,"DELTA","."&amp;B$2&amp;B$1&amp;"P"&amp;$A10))/1000,(100*RTD("tos.rtd",,"OPEN_INT","."&amp;B$2&amp;B$1&amp;"C"&amp;$A10)*RTD("tos.rtd",,"DELTA","."&amp;B$2&amp;B$1&amp;"C"&amp;$A10)-100*RTD("tos.rtd",,"OPEN_INT","."&amp;B$2&amp;B$1&amp;"P"&amp;$A10)*RTD("tos.rtd",,"DELTA","."&amp;B$2&amp;B$1&amp;"P"&amp;$A10))/1000),0),IF($A$2="VEX",IFERROR(IF($X$1="ABS",($A$4*$A$4*RTD("tos.rtd",,"VOLUME","."&amp;B$2&amp;B$1&amp;"C"&amp;$A10)*RTD("tos.rtd",,"GAMMA","."&amp;B$2&amp;B$1&amp;"C"&amp;$A10)+$A$4*$A$4*RTD("tos.rtd",,"VOLUME","."&amp;B$2&amp;B$1&amp;"P"&amp;$A10)*RTD("tos.rtd",,"GAMMA","."&amp;B$2&amp;B$1&amp;"P"&amp;$A10))/1000000,($A$4*$A$4*RTD("tos.rtd",,"VOLUME","."&amp;B$2&amp;B$1&amp;"C"&amp;$A10)*RTD("tos.rtd",,"GAMMA","."&amp;B$2&amp;B$1&amp;"C"&amp;$A10)-$A$4*$A$4*RTD("tos.rtd",,"VOLUME","."&amp;B$2&amp;B$1&amp;"P"&amp;$A10)*RTD("tos.rtd",,"GAMMA","."&amp;B$2&amp;B$1&amp;"P"&amp;$A10))/1000000),0),IF($A$2="GEX",IFERROR(IF($X$1="ABS",($A$4*$A$4*RTD("tos.rtd",,"OPEN_INT","."&amp;B$2&amp;B$1&amp;"C"&amp;$A10)*RTD("tos.rtd",,"GAMMA","."&amp;B$2&amp;B$1&amp;"C"&amp;$A10)+$A$4*$A$4*RTD("tos.rtd",,"OPEN_INT","."&amp;B$2&amp;B$1&amp;"P"&amp;$A10)*RTD("tos.rtd",,"GAMMA","."&amp;B$2&amp;B$1&amp;"P"&amp;$A10))/1000000,($A$4*$A$4*RTD("tos.rtd",,"OPEN_INT","."&amp;B$2&amp;B$1&amp;"C"&amp;$A10)*RTD("tos.rtd",,"GAMMA","."&amp;B$2&amp;B$1&amp;"C"&amp;$A10)-$A$4*$A$4*RTD("tos.rtd",,"OPEN_INT","."&amp;B$2&amp;B$1&amp;"P"&amp;$A10)*RTD("tos.rtd",,"GAMMA","."&amp;B$2&amp;B$1&amp;"P"&amp;$A10))/1000000),0),IF($A$2="SKEW",IFERROR(VALUE(IF(RTD("tos.rtd",,"IMPL_VOL","."&amp;B$2&amp;B$1&amp;"P"&amp;$A10)="N/A",0,RTD("tos.rtd",,"IMPL_VOL","."&amp;B$2&amp;B$1&amp;"P"&amp;$A10))),0)-IFERROR(VALUE(IF(RTD("tos.rtd",,"IMPL_VOL","."&amp;B$2&amp;B$1&amp;"C"&amp;$A10)="N/A",0,RTD("tos.rtd",,"IMPL_VOL","."&amp;B$2&amp;B$1&amp;"C"&amp;$A10))),0),IF($A$2="MAXPAIN",IF($A$4&gt;$A10,($A$4-$A10)*IF(RTD("tos.rtd",,"OPEN_INT","."&amp;B$2&amp;B$1&amp;"C"&amp;$A10)="N/A",0,RTD("tos.rtd",,"OPEN_INT","."&amp;B$2&amp;B$1&amp;"C"&amp;$A10)),0)+IF($A$4&lt;$A10,($A$5-$A$4)*IF(RTD("tos.rtd",,"OPEN_INT","."&amp;B$2&amp;B$1&amp;"P"&amp;$A10)="N/A",0,RTD("tos.rtd",,"OPEN_INT","."&amp;B$2&amp;B$1&amp;"P"&amp;$A10)),0),IF($X$1="ABS",IF(RTD("tos.rtd",,$A$2,"."&amp;B$2&amp;B$1&amp;"C"&amp;$A10)="N/A",0,RTD("tos.rtd",,$A$2,"."&amp;B$2&amp;B$1&amp;"C"&amp;$A10))+IF(RTD("tos.rtd",,$A$2,"."&amp;B$2&amp;B$1&amp;"P"&amp;$A10)="N/A",0,RTD("tos.rtd",,$A$2,"."&amp;B$2&amp;B$1&amp;"P"&amp;$A10)),IF(RTD("tos.rtd",,$A$2,"."&amp;B$2&amp;B$1&amp;"C"&amp;$A10)="N/A",0,RTD("tos.rtd",,$A$2,"."&amp;B$2&amp;B$1&amp;"C"&amp;$A10))-IF(RTD("tos.rtd",,$A$2,"."&amp;B$2&amp;B$1&amp;"P"&amp;$A10)="N/A",0,RTD("tos.rtd",,$A$2,"."&amp;B$2&amp;B$1&amp;"P"&amp;$A10))))))))))</f>
        <v>0</v>
      </c>
      <c r="C10" s="14">
        <f ca="1">IF($A$2="PREMIUM_OI",IFERROR(IF($X$1="ABS",(100*RTD("tos.rtd",,"OPEN_INT","."&amp;C$2&amp;C$1&amp;"C"&amp;$A10)*RTD("tos.rtd",,"LAST","."&amp;C$2&amp;C$1&amp;"C"&amp;$A10)+100*RTD("tos.rtd",,"OPEN_INT","."&amp;C$2&amp;C$1&amp;"P"&amp;$A10)*RTD("tos.rtd",,"LAST","."&amp;C$2&amp;C$1&amp;"P"&amp;$A10))/1000000,(100*RTD("tos.rtd",,"OPEN_INT","."&amp;C$2&amp;C$1&amp;"C"&amp;$A10)*RTD("tos.rtd",,"LAST","."&amp;C$2&amp;C$1&amp;"C"&amp;$A10)-100*RTD("tos.rtd",,"OPEN_INT","."&amp;C$2&amp;C$1&amp;"P"&amp;$A10)*RTD("tos.rtd",,"LAST","."&amp;C$2&amp;C$1&amp;"P"&amp;$A10))/1000000),0),IF($A$2="PREMIUM",IFERROR(IF($X$1="ABS",(100*RTD("tos.rtd",,"VOLUME","."&amp;C$2&amp;C$1&amp;"C"&amp;$A10)*RTD("tos.rtd",,"LAST","."&amp;C$2&amp;C$1&amp;"C"&amp;$A10)+100*RTD("tos.rtd",,"VOLUME","."&amp;C$2&amp;C$1&amp;"P"&amp;$A10)*RTD("tos.rtd",,"LAST","."&amp;C$2&amp;C$1&amp;"P"&amp;$A10))/1000000,(100*RTD("tos.rtd",,"VOLUME","."&amp;C$2&amp;C$1&amp;"C"&amp;$A10)*RTD("tos.rtd",,"LAST","."&amp;C$2&amp;C$1&amp;"C"&amp;$A10)-100*RTD("tos.rtd",,"VOLUME","."&amp;C$2&amp;C$1&amp;"P"&amp;$A10)*RTD("tos.rtd",,"LAST","."&amp;C$2&amp;C$1&amp;"P"&amp;$A10))/1000000),0),IF($A$2="DEX",IFERROR(IF($X$1="ABS",(100*RTD("tos.rtd",,"OPEN_INT","."&amp;C$2&amp;C$1&amp;"C"&amp;$A10)*RTD("tos.rtd",,"DELTA","."&amp;C$2&amp;C$1&amp;"C"&amp;$A10)+100*RTD("tos.rtd",,"OPEN_INT","."&amp;C$2&amp;C$1&amp;"P"&amp;$A10)*RTD("tos.rtd",,"DELTA","."&amp;C$2&amp;C$1&amp;"P"&amp;$A10))/1000,(100*RTD("tos.rtd",,"OPEN_INT","."&amp;C$2&amp;C$1&amp;"C"&amp;$A10)*RTD("tos.rtd",,"DELTA","."&amp;C$2&amp;C$1&amp;"C"&amp;$A10)-100*RTD("tos.rtd",,"OPEN_INT","."&amp;C$2&amp;C$1&amp;"P"&amp;$A10)*RTD("tos.rtd",,"DELTA","."&amp;C$2&amp;C$1&amp;"P"&amp;$A10))/1000),0),IF($A$2="VEX",IFERROR(IF($X$1="ABS",($A$4*$A$4*RTD("tos.rtd",,"VOLUME","."&amp;C$2&amp;C$1&amp;"C"&amp;$A10)*RTD("tos.rtd",,"GAMMA","."&amp;C$2&amp;C$1&amp;"C"&amp;$A10)+$A$4*$A$4*RTD("tos.rtd",,"VOLUME","."&amp;C$2&amp;C$1&amp;"P"&amp;$A10)*RTD("tos.rtd",,"GAMMA","."&amp;C$2&amp;C$1&amp;"P"&amp;$A10))/1000000,($A$4*$A$4*RTD("tos.rtd",,"VOLUME","."&amp;C$2&amp;C$1&amp;"C"&amp;$A10)*RTD("tos.rtd",,"GAMMA","."&amp;C$2&amp;C$1&amp;"C"&amp;$A10)-$A$4*$A$4*RTD("tos.rtd",,"VOLUME","."&amp;C$2&amp;C$1&amp;"P"&amp;$A10)*RTD("tos.rtd",,"GAMMA","."&amp;C$2&amp;C$1&amp;"P"&amp;$A10))/1000000),0),IF($A$2="GEX",IFERROR(IF($X$1="ABS",($A$4*$A$4*RTD("tos.rtd",,"OPEN_INT","."&amp;C$2&amp;C$1&amp;"C"&amp;$A10)*RTD("tos.rtd",,"GAMMA","."&amp;C$2&amp;C$1&amp;"C"&amp;$A10)+$A$4*$A$4*RTD("tos.rtd",,"OPEN_INT","."&amp;C$2&amp;C$1&amp;"P"&amp;$A10)*RTD("tos.rtd",,"GAMMA","."&amp;C$2&amp;C$1&amp;"P"&amp;$A10))/1000000,($A$4*$A$4*RTD("tos.rtd",,"OPEN_INT","."&amp;C$2&amp;C$1&amp;"C"&amp;$A10)*RTD("tos.rtd",,"GAMMA","."&amp;C$2&amp;C$1&amp;"C"&amp;$A10)-$A$4*$A$4*RTD("tos.rtd",,"OPEN_INT","."&amp;C$2&amp;C$1&amp;"P"&amp;$A10)*RTD("tos.rtd",,"GAMMA","."&amp;C$2&amp;C$1&amp;"P"&amp;$A10))/1000000),0),IF($A$2="SKEW",IFERROR(VALUE(IF(RTD("tos.rtd",,"IMPL_VOL","."&amp;C$2&amp;C$1&amp;"P"&amp;$A10)="N/A",0,RTD("tos.rtd",,"IMPL_VOL","."&amp;C$2&amp;C$1&amp;"P"&amp;$A10))),0)-IFERROR(VALUE(IF(RTD("tos.rtd",,"IMPL_VOL","."&amp;C$2&amp;C$1&amp;"C"&amp;$A10)="N/A",0,RTD("tos.rtd",,"IMPL_VOL","."&amp;C$2&amp;C$1&amp;"C"&amp;$A10))),0),IF($A$2="MAXPAIN",IF($A$4&gt;$A10,($A$4-$A10)*IF(RTD("tos.rtd",,"OPEN_INT","."&amp;C$2&amp;C$1&amp;"C"&amp;$A10)="N/A",0,RTD("tos.rtd",,"OPEN_INT","."&amp;C$2&amp;C$1&amp;"C"&amp;$A10)),0)+IF($A$4&lt;$A10,($A$5-$A$4)*IF(RTD("tos.rtd",,"OPEN_INT","."&amp;C$2&amp;C$1&amp;"P"&amp;$A10)="N/A",0,RTD("tos.rtd",,"OPEN_INT","."&amp;C$2&amp;C$1&amp;"P"&amp;$A10)),0),IF($X$1="ABS",IF(RTD("tos.rtd",,$A$2,"."&amp;C$2&amp;C$1&amp;"C"&amp;$A10)="N/A",0,RTD("tos.rtd",,$A$2,"."&amp;C$2&amp;C$1&amp;"C"&amp;$A10))+IF(RTD("tos.rtd",,$A$2,"."&amp;C$2&amp;C$1&amp;"P"&amp;$A10)="N/A",0,RTD("tos.rtd",,$A$2,"."&amp;C$2&amp;C$1&amp;"P"&amp;$A10)),IF(RTD("tos.rtd",,$A$2,"."&amp;C$2&amp;C$1&amp;"C"&amp;$A10)="N/A",0,RTD("tos.rtd",,$A$2,"."&amp;C$2&amp;C$1&amp;"C"&amp;$A10))-IF(RTD("tos.rtd",,$A$2,"."&amp;C$2&amp;C$1&amp;"P"&amp;$A10)="N/A",0,RTD("tos.rtd",,$A$2,"."&amp;C$2&amp;C$1&amp;"P"&amp;$A10))))))))))</f>
        <v>0</v>
      </c>
      <c r="D10" s="12">
        <f ca="1">IF($A$2="PREMIUM_OI",IFERROR(IF($X$1="ABS",(100*RTD("tos.rtd",,"OPEN_INT","."&amp;D$2&amp;D$1&amp;"C"&amp;$A10)*RTD("tos.rtd",,"LAST","."&amp;D$2&amp;D$1&amp;"C"&amp;$A10)+100*RTD("tos.rtd",,"OPEN_INT","."&amp;D$2&amp;D$1&amp;"P"&amp;$A10)*RTD("tos.rtd",,"LAST","."&amp;D$2&amp;D$1&amp;"P"&amp;$A10))/1000000,(100*RTD("tos.rtd",,"OPEN_INT","."&amp;D$2&amp;D$1&amp;"C"&amp;$A10)*RTD("tos.rtd",,"LAST","."&amp;D$2&amp;D$1&amp;"C"&amp;$A10)-100*RTD("tos.rtd",,"OPEN_INT","."&amp;D$2&amp;D$1&amp;"P"&amp;$A10)*RTD("tos.rtd",,"LAST","."&amp;D$2&amp;D$1&amp;"P"&amp;$A10))/1000000),0),IF($A$2="PREMIUM",IFERROR(IF($X$1="ABS",(100*RTD("tos.rtd",,"VOLUME","."&amp;D$2&amp;D$1&amp;"C"&amp;$A10)*RTD("tos.rtd",,"LAST","."&amp;D$2&amp;D$1&amp;"C"&amp;$A10)+100*RTD("tos.rtd",,"VOLUME","."&amp;D$2&amp;D$1&amp;"P"&amp;$A10)*RTD("tos.rtd",,"LAST","."&amp;D$2&amp;D$1&amp;"P"&amp;$A10))/1000000,(100*RTD("tos.rtd",,"VOLUME","."&amp;D$2&amp;D$1&amp;"C"&amp;$A10)*RTD("tos.rtd",,"LAST","."&amp;D$2&amp;D$1&amp;"C"&amp;$A10)-100*RTD("tos.rtd",,"VOLUME","."&amp;D$2&amp;D$1&amp;"P"&amp;$A10)*RTD("tos.rtd",,"LAST","."&amp;D$2&amp;D$1&amp;"P"&amp;$A10))/1000000),0),IF($A$2="DEX",IFERROR(IF($X$1="ABS",(100*RTD("tos.rtd",,"OPEN_INT","."&amp;D$2&amp;D$1&amp;"C"&amp;$A10)*RTD("tos.rtd",,"DELTA","."&amp;D$2&amp;D$1&amp;"C"&amp;$A10)+100*RTD("tos.rtd",,"OPEN_INT","."&amp;D$2&amp;D$1&amp;"P"&amp;$A10)*RTD("tos.rtd",,"DELTA","."&amp;D$2&amp;D$1&amp;"P"&amp;$A10))/1000,(100*RTD("tos.rtd",,"OPEN_INT","."&amp;D$2&amp;D$1&amp;"C"&amp;$A10)*RTD("tos.rtd",,"DELTA","."&amp;D$2&amp;D$1&amp;"C"&amp;$A10)-100*RTD("tos.rtd",,"OPEN_INT","."&amp;D$2&amp;D$1&amp;"P"&amp;$A10)*RTD("tos.rtd",,"DELTA","."&amp;D$2&amp;D$1&amp;"P"&amp;$A10))/1000),0),IF($A$2="VEX",IFERROR(IF($X$1="ABS",($A$4*$A$4*RTD("tos.rtd",,"VOLUME","."&amp;D$2&amp;D$1&amp;"C"&amp;$A10)*RTD("tos.rtd",,"GAMMA","."&amp;D$2&amp;D$1&amp;"C"&amp;$A10)+$A$4*$A$4*RTD("tos.rtd",,"VOLUME","."&amp;D$2&amp;D$1&amp;"P"&amp;$A10)*RTD("tos.rtd",,"GAMMA","."&amp;D$2&amp;D$1&amp;"P"&amp;$A10))/1000000,($A$4*$A$4*RTD("tos.rtd",,"VOLUME","."&amp;D$2&amp;D$1&amp;"C"&amp;$A10)*RTD("tos.rtd",,"GAMMA","."&amp;D$2&amp;D$1&amp;"C"&amp;$A10)-$A$4*$A$4*RTD("tos.rtd",,"VOLUME","."&amp;D$2&amp;D$1&amp;"P"&amp;$A10)*RTD("tos.rtd",,"GAMMA","."&amp;D$2&amp;D$1&amp;"P"&amp;$A10))/1000000),0),IF($A$2="GEX",IFERROR(IF($X$1="ABS",($A$4*$A$4*RTD("tos.rtd",,"OPEN_INT","."&amp;D$2&amp;D$1&amp;"C"&amp;$A10)*RTD("tos.rtd",,"GAMMA","."&amp;D$2&amp;D$1&amp;"C"&amp;$A10)+$A$4*$A$4*RTD("tos.rtd",,"OPEN_INT","."&amp;D$2&amp;D$1&amp;"P"&amp;$A10)*RTD("tos.rtd",,"GAMMA","."&amp;D$2&amp;D$1&amp;"P"&amp;$A10))/1000000,($A$4*$A$4*RTD("tos.rtd",,"OPEN_INT","."&amp;D$2&amp;D$1&amp;"C"&amp;$A10)*RTD("tos.rtd",,"GAMMA","."&amp;D$2&amp;D$1&amp;"C"&amp;$A10)-$A$4*$A$4*RTD("tos.rtd",,"OPEN_INT","."&amp;D$2&amp;D$1&amp;"P"&amp;$A10)*RTD("tos.rtd",,"GAMMA","."&amp;D$2&amp;D$1&amp;"P"&amp;$A10))/1000000),0),IF($A$2="SKEW",IFERROR(VALUE(IF(RTD("tos.rtd",,"IMPL_VOL","."&amp;D$2&amp;D$1&amp;"P"&amp;$A10)="N/A",0,RTD("tos.rtd",,"IMPL_VOL","."&amp;D$2&amp;D$1&amp;"P"&amp;$A10))),0)-IFERROR(VALUE(IF(RTD("tos.rtd",,"IMPL_VOL","."&amp;D$2&amp;D$1&amp;"C"&amp;$A10)="N/A",0,RTD("tos.rtd",,"IMPL_VOL","."&amp;D$2&amp;D$1&amp;"C"&amp;$A10))),0),IF($A$2="MAXPAIN",IF($A$4&gt;$A10,($A$4-$A10)*IF(RTD("tos.rtd",,"OPEN_INT","."&amp;D$2&amp;D$1&amp;"C"&amp;$A10)="N/A",0,RTD("tos.rtd",,"OPEN_INT","."&amp;D$2&amp;D$1&amp;"C"&amp;$A10)),0)+IF($A$4&lt;$A10,($A$5-$A$4)*IF(RTD("tos.rtd",,"OPEN_INT","."&amp;D$2&amp;D$1&amp;"P"&amp;$A10)="N/A",0,RTD("tos.rtd",,"OPEN_INT","."&amp;D$2&amp;D$1&amp;"P"&amp;$A10)),0),IF($X$1="ABS",IF(RTD("tos.rtd",,$A$2,"."&amp;D$2&amp;D$1&amp;"C"&amp;$A10)="N/A",0,RTD("tos.rtd",,$A$2,"."&amp;D$2&amp;D$1&amp;"C"&amp;$A10))+IF(RTD("tos.rtd",,$A$2,"."&amp;D$2&amp;D$1&amp;"P"&amp;$A10)="N/A",0,RTD("tos.rtd",,$A$2,"."&amp;D$2&amp;D$1&amp;"P"&amp;$A10)),IF(RTD("tos.rtd",,$A$2,"."&amp;D$2&amp;D$1&amp;"C"&amp;$A10)="N/A",0,RTD("tos.rtd",,$A$2,"."&amp;D$2&amp;D$1&amp;"C"&amp;$A10))-IF(RTD("tos.rtd",,$A$2,"."&amp;D$2&amp;D$1&amp;"P"&amp;$A10)="N/A",0,RTD("tos.rtd",,$A$2,"."&amp;D$2&amp;D$1&amp;"P"&amp;$A10))))))))))</f>
        <v>0</v>
      </c>
      <c r="E10" s="12">
        <f ca="1">IF($A$2="PREMIUM_OI",IFERROR(IF($X$1="ABS",(100*RTD("tos.rtd",,"OPEN_INT","."&amp;E$2&amp;E$1&amp;"C"&amp;$A10)*RTD("tos.rtd",,"LAST","."&amp;E$2&amp;E$1&amp;"C"&amp;$A10)+100*RTD("tos.rtd",,"OPEN_INT","."&amp;E$2&amp;E$1&amp;"P"&amp;$A10)*RTD("tos.rtd",,"LAST","."&amp;E$2&amp;E$1&amp;"P"&amp;$A10))/1000000,(100*RTD("tos.rtd",,"OPEN_INT","."&amp;E$2&amp;E$1&amp;"C"&amp;$A10)*RTD("tos.rtd",,"LAST","."&amp;E$2&amp;E$1&amp;"C"&amp;$A10)-100*RTD("tos.rtd",,"OPEN_INT","."&amp;E$2&amp;E$1&amp;"P"&amp;$A10)*RTD("tos.rtd",,"LAST","."&amp;E$2&amp;E$1&amp;"P"&amp;$A10))/1000000),0),IF($A$2="PREMIUM",IFERROR(IF($X$1="ABS",(100*RTD("tos.rtd",,"VOLUME","."&amp;E$2&amp;E$1&amp;"C"&amp;$A10)*RTD("tos.rtd",,"LAST","."&amp;E$2&amp;E$1&amp;"C"&amp;$A10)+100*RTD("tos.rtd",,"VOLUME","."&amp;E$2&amp;E$1&amp;"P"&amp;$A10)*RTD("tos.rtd",,"LAST","."&amp;E$2&amp;E$1&amp;"P"&amp;$A10))/1000000,(100*RTD("tos.rtd",,"VOLUME","."&amp;E$2&amp;E$1&amp;"C"&amp;$A10)*RTD("tos.rtd",,"LAST","."&amp;E$2&amp;E$1&amp;"C"&amp;$A10)-100*RTD("tos.rtd",,"VOLUME","."&amp;E$2&amp;E$1&amp;"P"&amp;$A10)*RTD("tos.rtd",,"LAST","."&amp;E$2&amp;E$1&amp;"P"&amp;$A10))/1000000),0),IF($A$2="DEX",IFERROR(IF($X$1="ABS",(100*RTD("tos.rtd",,"OPEN_INT","."&amp;E$2&amp;E$1&amp;"C"&amp;$A10)*RTD("tos.rtd",,"DELTA","."&amp;E$2&amp;E$1&amp;"C"&amp;$A10)+100*RTD("tos.rtd",,"OPEN_INT","."&amp;E$2&amp;E$1&amp;"P"&amp;$A10)*RTD("tos.rtd",,"DELTA","."&amp;E$2&amp;E$1&amp;"P"&amp;$A10))/1000,(100*RTD("tos.rtd",,"OPEN_INT","."&amp;E$2&amp;E$1&amp;"C"&amp;$A10)*RTD("tos.rtd",,"DELTA","."&amp;E$2&amp;E$1&amp;"C"&amp;$A10)-100*RTD("tos.rtd",,"OPEN_INT","."&amp;E$2&amp;E$1&amp;"P"&amp;$A10)*RTD("tos.rtd",,"DELTA","."&amp;E$2&amp;E$1&amp;"P"&amp;$A10))/1000),0),IF($A$2="VEX",IFERROR(IF($X$1="ABS",($A$4*$A$4*RTD("tos.rtd",,"VOLUME","."&amp;E$2&amp;E$1&amp;"C"&amp;$A10)*RTD("tos.rtd",,"GAMMA","."&amp;E$2&amp;E$1&amp;"C"&amp;$A10)+$A$4*$A$4*RTD("tos.rtd",,"VOLUME","."&amp;E$2&amp;E$1&amp;"P"&amp;$A10)*RTD("tos.rtd",,"GAMMA","."&amp;E$2&amp;E$1&amp;"P"&amp;$A10))/1000000,($A$4*$A$4*RTD("tos.rtd",,"VOLUME","."&amp;E$2&amp;E$1&amp;"C"&amp;$A10)*RTD("tos.rtd",,"GAMMA","."&amp;E$2&amp;E$1&amp;"C"&amp;$A10)-$A$4*$A$4*RTD("tos.rtd",,"VOLUME","."&amp;E$2&amp;E$1&amp;"P"&amp;$A10)*RTD("tos.rtd",,"GAMMA","."&amp;E$2&amp;E$1&amp;"P"&amp;$A10))/1000000),0),IF($A$2="GEX",IFERROR(IF($X$1="ABS",($A$4*$A$4*RTD("tos.rtd",,"OPEN_INT","."&amp;E$2&amp;E$1&amp;"C"&amp;$A10)*RTD("tos.rtd",,"GAMMA","."&amp;E$2&amp;E$1&amp;"C"&amp;$A10)+$A$4*$A$4*RTD("tos.rtd",,"OPEN_INT","."&amp;E$2&amp;E$1&amp;"P"&amp;$A10)*RTD("tos.rtd",,"GAMMA","."&amp;E$2&amp;E$1&amp;"P"&amp;$A10))/1000000,($A$4*$A$4*RTD("tos.rtd",,"OPEN_INT","."&amp;E$2&amp;E$1&amp;"C"&amp;$A10)*RTD("tos.rtd",,"GAMMA","."&amp;E$2&amp;E$1&amp;"C"&amp;$A10)-$A$4*$A$4*RTD("tos.rtd",,"OPEN_INT","."&amp;E$2&amp;E$1&amp;"P"&amp;$A10)*RTD("tos.rtd",,"GAMMA","."&amp;E$2&amp;E$1&amp;"P"&amp;$A10))/1000000),0),IF($A$2="SKEW",IFERROR(VALUE(IF(RTD("tos.rtd",,"IMPL_VOL","."&amp;E$2&amp;E$1&amp;"P"&amp;$A10)="N/A",0,RTD("tos.rtd",,"IMPL_VOL","."&amp;E$2&amp;E$1&amp;"P"&amp;$A10))),0)-IFERROR(VALUE(IF(RTD("tos.rtd",,"IMPL_VOL","."&amp;E$2&amp;E$1&amp;"C"&amp;$A10)="N/A",0,RTD("tos.rtd",,"IMPL_VOL","."&amp;E$2&amp;E$1&amp;"C"&amp;$A10))),0),IF($A$2="MAXPAIN",IF($A$4&gt;$A10,($A$4-$A10)*IF(RTD("tos.rtd",,"OPEN_INT","."&amp;E$2&amp;E$1&amp;"C"&amp;$A10)="N/A",0,RTD("tos.rtd",,"OPEN_INT","."&amp;E$2&amp;E$1&amp;"C"&amp;$A10)),0)+IF($A$4&lt;$A10,($A$5-$A$4)*IF(RTD("tos.rtd",,"OPEN_INT","."&amp;E$2&amp;E$1&amp;"P"&amp;$A10)="N/A",0,RTD("tos.rtd",,"OPEN_INT","."&amp;E$2&amp;E$1&amp;"P"&amp;$A10)),0),IF($X$1="ABS",IF(RTD("tos.rtd",,$A$2,"."&amp;E$2&amp;E$1&amp;"C"&amp;$A10)="N/A",0,RTD("tos.rtd",,$A$2,"."&amp;E$2&amp;E$1&amp;"C"&amp;$A10))+IF(RTD("tos.rtd",,$A$2,"."&amp;E$2&amp;E$1&amp;"P"&amp;$A10)="N/A",0,RTD("tos.rtd",,$A$2,"."&amp;E$2&amp;E$1&amp;"P"&amp;$A10)),IF(RTD("tos.rtd",,$A$2,"."&amp;E$2&amp;E$1&amp;"C"&amp;$A10)="N/A",0,RTD("tos.rtd",,$A$2,"."&amp;E$2&amp;E$1&amp;"C"&amp;$A10))-IF(RTD("tos.rtd",,$A$2,"."&amp;E$2&amp;E$1&amp;"P"&amp;$A10)="N/A",0,RTD("tos.rtd",,$A$2,"."&amp;E$2&amp;E$1&amp;"P"&amp;$A10))))))))))</f>
        <v>0</v>
      </c>
      <c r="F10" s="12">
        <f ca="1">IF($A$2="PREMIUM_OI",IFERROR(IF($X$1="ABS",(100*RTD("tos.rtd",,"OPEN_INT","."&amp;F$2&amp;F$1&amp;"C"&amp;$A10)*RTD("tos.rtd",,"LAST","."&amp;F$2&amp;F$1&amp;"C"&amp;$A10)+100*RTD("tos.rtd",,"OPEN_INT","."&amp;F$2&amp;F$1&amp;"P"&amp;$A10)*RTD("tos.rtd",,"LAST","."&amp;F$2&amp;F$1&amp;"P"&amp;$A10))/1000000,(100*RTD("tos.rtd",,"OPEN_INT","."&amp;F$2&amp;F$1&amp;"C"&amp;$A10)*RTD("tos.rtd",,"LAST","."&amp;F$2&amp;F$1&amp;"C"&amp;$A10)-100*RTD("tos.rtd",,"OPEN_INT","."&amp;F$2&amp;F$1&amp;"P"&amp;$A10)*RTD("tos.rtd",,"LAST","."&amp;F$2&amp;F$1&amp;"P"&amp;$A10))/1000000),0),IF($A$2="PREMIUM",IFERROR(IF($X$1="ABS",(100*RTD("tos.rtd",,"VOLUME","."&amp;F$2&amp;F$1&amp;"C"&amp;$A10)*RTD("tos.rtd",,"LAST","."&amp;F$2&amp;F$1&amp;"C"&amp;$A10)+100*RTD("tos.rtd",,"VOLUME","."&amp;F$2&amp;F$1&amp;"P"&amp;$A10)*RTD("tos.rtd",,"LAST","."&amp;F$2&amp;F$1&amp;"P"&amp;$A10))/1000000,(100*RTD("tos.rtd",,"VOLUME","."&amp;F$2&amp;F$1&amp;"C"&amp;$A10)*RTD("tos.rtd",,"LAST","."&amp;F$2&amp;F$1&amp;"C"&amp;$A10)-100*RTD("tos.rtd",,"VOLUME","."&amp;F$2&amp;F$1&amp;"P"&amp;$A10)*RTD("tos.rtd",,"LAST","."&amp;F$2&amp;F$1&amp;"P"&amp;$A10))/1000000),0),IF($A$2="DEX",IFERROR(IF($X$1="ABS",(100*RTD("tos.rtd",,"OPEN_INT","."&amp;F$2&amp;F$1&amp;"C"&amp;$A10)*RTD("tos.rtd",,"DELTA","."&amp;F$2&amp;F$1&amp;"C"&amp;$A10)+100*RTD("tos.rtd",,"OPEN_INT","."&amp;F$2&amp;F$1&amp;"P"&amp;$A10)*RTD("tos.rtd",,"DELTA","."&amp;F$2&amp;F$1&amp;"P"&amp;$A10))/1000,(100*RTD("tos.rtd",,"OPEN_INT","."&amp;F$2&amp;F$1&amp;"C"&amp;$A10)*RTD("tos.rtd",,"DELTA","."&amp;F$2&amp;F$1&amp;"C"&amp;$A10)-100*RTD("tos.rtd",,"OPEN_INT","."&amp;F$2&amp;F$1&amp;"P"&amp;$A10)*RTD("tos.rtd",,"DELTA","."&amp;F$2&amp;F$1&amp;"P"&amp;$A10))/1000),0),IF($A$2="VEX",IFERROR(IF($X$1="ABS",($A$4*$A$4*RTD("tos.rtd",,"VOLUME","."&amp;F$2&amp;F$1&amp;"C"&amp;$A10)*RTD("tos.rtd",,"GAMMA","."&amp;F$2&amp;F$1&amp;"C"&amp;$A10)+$A$4*$A$4*RTD("tos.rtd",,"VOLUME","."&amp;F$2&amp;F$1&amp;"P"&amp;$A10)*RTD("tos.rtd",,"GAMMA","."&amp;F$2&amp;F$1&amp;"P"&amp;$A10))/1000000,($A$4*$A$4*RTD("tos.rtd",,"VOLUME","."&amp;F$2&amp;F$1&amp;"C"&amp;$A10)*RTD("tos.rtd",,"GAMMA","."&amp;F$2&amp;F$1&amp;"C"&amp;$A10)-$A$4*$A$4*RTD("tos.rtd",,"VOLUME","."&amp;F$2&amp;F$1&amp;"P"&amp;$A10)*RTD("tos.rtd",,"GAMMA","."&amp;F$2&amp;F$1&amp;"P"&amp;$A10))/1000000),0),IF($A$2="GEX",IFERROR(IF($X$1="ABS",($A$4*$A$4*RTD("tos.rtd",,"OPEN_INT","."&amp;F$2&amp;F$1&amp;"C"&amp;$A10)*RTD("tos.rtd",,"GAMMA","."&amp;F$2&amp;F$1&amp;"C"&amp;$A10)+$A$4*$A$4*RTD("tos.rtd",,"OPEN_INT","."&amp;F$2&amp;F$1&amp;"P"&amp;$A10)*RTD("tos.rtd",,"GAMMA","."&amp;F$2&amp;F$1&amp;"P"&amp;$A10))/1000000,($A$4*$A$4*RTD("tos.rtd",,"OPEN_INT","."&amp;F$2&amp;F$1&amp;"C"&amp;$A10)*RTD("tos.rtd",,"GAMMA","."&amp;F$2&amp;F$1&amp;"C"&amp;$A10)-$A$4*$A$4*RTD("tos.rtd",,"OPEN_INT","."&amp;F$2&amp;F$1&amp;"P"&amp;$A10)*RTD("tos.rtd",,"GAMMA","."&amp;F$2&amp;F$1&amp;"P"&amp;$A10))/1000000),0),IF($A$2="SKEW",IFERROR(VALUE(IF(RTD("tos.rtd",,"IMPL_VOL","."&amp;F$2&amp;F$1&amp;"P"&amp;$A10)="N/A",0,RTD("tos.rtd",,"IMPL_VOL","."&amp;F$2&amp;F$1&amp;"P"&amp;$A10))),0)-IFERROR(VALUE(IF(RTD("tos.rtd",,"IMPL_VOL","."&amp;F$2&amp;F$1&amp;"C"&amp;$A10)="N/A",0,RTD("tos.rtd",,"IMPL_VOL","."&amp;F$2&amp;F$1&amp;"C"&amp;$A10))),0),IF($A$2="MAXPAIN",IF($A$4&gt;$A10,($A$4-$A10)*IF(RTD("tos.rtd",,"OPEN_INT","."&amp;F$2&amp;F$1&amp;"C"&amp;$A10)="N/A",0,RTD("tos.rtd",,"OPEN_INT","."&amp;F$2&amp;F$1&amp;"C"&amp;$A10)),0)+IF($A$4&lt;$A10,($A$5-$A$4)*IF(RTD("tos.rtd",,"OPEN_INT","."&amp;F$2&amp;F$1&amp;"P"&amp;$A10)="N/A",0,RTD("tos.rtd",,"OPEN_INT","."&amp;F$2&amp;F$1&amp;"P"&amp;$A10)),0),IF($X$1="ABS",IF(RTD("tos.rtd",,$A$2,"."&amp;F$2&amp;F$1&amp;"C"&amp;$A10)="N/A",0,RTD("tos.rtd",,$A$2,"."&amp;F$2&amp;F$1&amp;"C"&amp;$A10))+IF(RTD("tos.rtd",,$A$2,"."&amp;F$2&amp;F$1&amp;"P"&amp;$A10)="N/A",0,RTD("tos.rtd",,$A$2,"."&amp;F$2&amp;F$1&amp;"P"&amp;$A10)),IF(RTD("tos.rtd",,$A$2,"."&amp;F$2&amp;F$1&amp;"C"&amp;$A10)="N/A",0,RTD("tos.rtd",,$A$2,"."&amp;F$2&amp;F$1&amp;"C"&amp;$A10))-IF(RTD("tos.rtd",,$A$2,"."&amp;F$2&amp;F$1&amp;"P"&amp;$A10)="N/A",0,RTD("tos.rtd",,$A$2,"."&amp;F$2&amp;F$1&amp;"P"&amp;$A10))))))))))</f>
        <v>0</v>
      </c>
      <c r="G10" s="54">
        <f ca="1">IF($A$2="PREMIUM_OI",IFERROR(IF($X$1="ABS",(100*RTD("tos.rtd",,"OPEN_INT","."&amp;G$2&amp;G$1&amp;"C"&amp;$A10)*RTD("tos.rtd",,"LAST","."&amp;G$2&amp;G$1&amp;"C"&amp;$A10)+100*RTD("tos.rtd",,"OPEN_INT","."&amp;G$2&amp;G$1&amp;"P"&amp;$A10)*RTD("tos.rtd",,"LAST","."&amp;G$2&amp;G$1&amp;"P"&amp;$A10))/1000000,(100*RTD("tos.rtd",,"OPEN_INT","."&amp;G$2&amp;G$1&amp;"C"&amp;$A10)*RTD("tos.rtd",,"LAST","."&amp;G$2&amp;G$1&amp;"C"&amp;$A10)-100*RTD("tos.rtd",,"OPEN_INT","."&amp;G$2&amp;G$1&amp;"P"&amp;$A10)*RTD("tos.rtd",,"LAST","."&amp;G$2&amp;G$1&amp;"P"&amp;$A10))/1000000),0),IF($A$2="PREMIUM",IFERROR(IF($X$1="ABS",(100*RTD("tos.rtd",,"VOLUME","."&amp;G$2&amp;G$1&amp;"C"&amp;$A10)*RTD("tos.rtd",,"LAST","."&amp;G$2&amp;G$1&amp;"C"&amp;$A10)+100*RTD("tos.rtd",,"VOLUME","."&amp;G$2&amp;G$1&amp;"P"&amp;$A10)*RTD("tos.rtd",,"LAST","."&amp;G$2&amp;G$1&amp;"P"&amp;$A10))/1000000,(100*RTD("tos.rtd",,"VOLUME","."&amp;G$2&amp;G$1&amp;"C"&amp;$A10)*RTD("tos.rtd",,"LAST","."&amp;G$2&amp;G$1&amp;"C"&amp;$A10)-100*RTD("tos.rtd",,"VOLUME","."&amp;G$2&amp;G$1&amp;"P"&amp;$A10)*RTD("tos.rtd",,"LAST","."&amp;G$2&amp;G$1&amp;"P"&amp;$A10))/1000000),0),IF($A$2="DEX",IFERROR(IF($X$1="ABS",(100*RTD("tos.rtd",,"OPEN_INT","."&amp;G$2&amp;G$1&amp;"C"&amp;$A10)*RTD("tos.rtd",,"DELTA","."&amp;G$2&amp;G$1&amp;"C"&amp;$A10)+100*RTD("tos.rtd",,"OPEN_INT","."&amp;G$2&amp;G$1&amp;"P"&amp;$A10)*RTD("tos.rtd",,"DELTA","."&amp;G$2&amp;G$1&amp;"P"&amp;$A10))/1000,(100*RTD("tos.rtd",,"OPEN_INT","."&amp;G$2&amp;G$1&amp;"C"&amp;$A10)*RTD("tos.rtd",,"DELTA","."&amp;G$2&amp;G$1&amp;"C"&amp;$A10)-100*RTD("tos.rtd",,"OPEN_INT","."&amp;G$2&amp;G$1&amp;"P"&amp;$A10)*RTD("tos.rtd",,"DELTA","."&amp;G$2&amp;G$1&amp;"P"&amp;$A10))/1000),0),IF($A$2="VEX",IFERROR(IF($X$1="ABS",($A$4*$A$4*RTD("tos.rtd",,"VOLUME","."&amp;G$2&amp;G$1&amp;"C"&amp;$A10)*RTD("tos.rtd",,"GAMMA","."&amp;G$2&amp;G$1&amp;"C"&amp;$A10)+$A$4*$A$4*RTD("tos.rtd",,"VOLUME","."&amp;G$2&amp;G$1&amp;"P"&amp;$A10)*RTD("tos.rtd",,"GAMMA","."&amp;G$2&amp;G$1&amp;"P"&amp;$A10))/1000000,($A$4*$A$4*RTD("tos.rtd",,"VOLUME","."&amp;G$2&amp;G$1&amp;"C"&amp;$A10)*RTD("tos.rtd",,"GAMMA","."&amp;G$2&amp;G$1&amp;"C"&amp;$A10)-$A$4*$A$4*RTD("tos.rtd",,"VOLUME","."&amp;G$2&amp;G$1&amp;"P"&amp;$A10)*RTD("tos.rtd",,"GAMMA","."&amp;G$2&amp;G$1&amp;"P"&amp;$A10))/1000000),0),IF($A$2="GEX",IFERROR(IF($X$1="ABS",($A$4*$A$4*RTD("tos.rtd",,"OPEN_INT","."&amp;G$2&amp;G$1&amp;"C"&amp;$A10)*RTD("tos.rtd",,"GAMMA","."&amp;G$2&amp;G$1&amp;"C"&amp;$A10)+$A$4*$A$4*RTD("tos.rtd",,"OPEN_INT","."&amp;G$2&amp;G$1&amp;"P"&amp;$A10)*RTD("tos.rtd",,"GAMMA","."&amp;G$2&amp;G$1&amp;"P"&amp;$A10))/1000000,($A$4*$A$4*RTD("tos.rtd",,"OPEN_INT","."&amp;G$2&amp;G$1&amp;"C"&amp;$A10)*RTD("tos.rtd",,"GAMMA","."&amp;G$2&amp;G$1&amp;"C"&amp;$A10)-$A$4*$A$4*RTD("tos.rtd",,"OPEN_INT","."&amp;G$2&amp;G$1&amp;"P"&amp;$A10)*RTD("tos.rtd",,"GAMMA","."&amp;G$2&amp;G$1&amp;"P"&amp;$A10))/1000000),0),IF($A$2="SKEW",IFERROR(VALUE(IF(RTD("tos.rtd",,"IMPL_VOL","."&amp;G$2&amp;G$1&amp;"P"&amp;$A10)="N/A",0,RTD("tos.rtd",,"IMPL_VOL","."&amp;G$2&amp;G$1&amp;"P"&amp;$A10))),0)-IFERROR(VALUE(IF(RTD("tos.rtd",,"IMPL_VOL","."&amp;G$2&amp;G$1&amp;"C"&amp;$A10)="N/A",0,RTD("tos.rtd",,"IMPL_VOL","."&amp;G$2&amp;G$1&amp;"C"&amp;$A10))),0),IF($A$2="MAXPAIN",IF($A$4&gt;$A10,($A$4-$A10)*IF(RTD("tos.rtd",,"OPEN_INT","."&amp;G$2&amp;G$1&amp;"C"&amp;$A10)="N/A",0,RTD("tos.rtd",,"OPEN_INT","."&amp;G$2&amp;G$1&amp;"C"&amp;$A10)),0)+IF($A$4&lt;$A10,($A$5-$A$4)*IF(RTD("tos.rtd",,"OPEN_INT","."&amp;G$2&amp;G$1&amp;"P"&amp;$A10)="N/A",0,RTD("tos.rtd",,"OPEN_INT","."&amp;G$2&amp;G$1&amp;"P"&amp;$A10)),0),IF($X$1="ABS",IF(RTD("tos.rtd",,$A$2,"."&amp;G$2&amp;G$1&amp;"C"&amp;$A10)="N/A",0,RTD("tos.rtd",,$A$2,"."&amp;G$2&amp;G$1&amp;"C"&amp;$A10))+IF(RTD("tos.rtd",,$A$2,"."&amp;G$2&amp;G$1&amp;"P"&amp;$A10)="N/A",0,RTD("tos.rtd",,$A$2,"."&amp;G$2&amp;G$1&amp;"P"&amp;$A10)),IF(RTD("tos.rtd",,$A$2,"."&amp;G$2&amp;G$1&amp;"C"&amp;$A10)="N/A",0,RTD("tos.rtd",,$A$2,"."&amp;G$2&amp;G$1&amp;"C"&amp;$A10))-IF(RTD("tos.rtd",,$A$2,"."&amp;G$2&amp;G$1&amp;"P"&amp;$A10)="N/A",0,RTD("tos.rtd",,$A$2,"."&amp;G$2&amp;G$1&amp;"P"&amp;$A10))))))))))</f>
        <v>0</v>
      </c>
      <c r="H10" s="14">
        <f ca="1">IF($A$2="PREMIUM_OI",IFERROR(IF($X$1="ABS",(100*RTD("tos.rtd",,"OPEN_INT","."&amp;H$2&amp;H$1&amp;"C"&amp;$A10)*RTD("tos.rtd",,"LAST","."&amp;H$2&amp;H$1&amp;"C"&amp;$A10)+100*RTD("tos.rtd",,"OPEN_INT","."&amp;H$2&amp;H$1&amp;"P"&amp;$A10)*RTD("tos.rtd",,"LAST","."&amp;H$2&amp;H$1&amp;"P"&amp;$A10))/1000000,(100*RTD("tos.rtd",,"OPEN_INT","."&amp;H$2&amp;H$1&amp;"C"&amp;$A10)*RTD("tos.rtd",,"LAST","."&amp;H$2&amp;H$1&amp;"C"&amp;$A10)-100*RTD("tos.rtd",,"OPEN_INT","."&amp;H$2&amp;H$1&amp;"P"&amp;$A10)*RTD("tos.rtd",,"LAST","."&amp;H$2&amp;H$1&amp;"P"&amp;$A10))/1000000),0),IF($A$2="PREMIUM",IFERROR(IF($X$1="ABS",(100*RTD("tos.rtd",,"VOLUME","."&amp;H$2&amp;H$1&amp;"C"&amp;$A10)*RTD("tos.rtd",,"LAST","."&amp;H$2&amp;H$1&amp;"C"&amp;$A10)+100*RTD("tos.rtd",,"VOLUME","."&amp;H$2&amp;H$1&amp;"P"&amp;$A10)*RTD("tos.rtd",,"LAST","."&amp;H$2&amp;H$1&amp;"P"&amp;$A10))/1000000,(100*RTD("tos.rtd",,"VOLUME","."&amp;H$2&amp;H$1&amp;"C"&amp;$A10)*RTD("tos.rtd",,"LAST","."&amp;H$2&amp;H$1&amp;"C"&amp;$A10)-100*RTD("tos.rtd",,"VOLUME","."&amp;H$2&amp;H$1&amp;"P"&amp;$A10)*RTD("tos.rtd",,"LAST","."&amp;H$2&amp;H$1&amp;"P"&amp;$A10))/1000000),0),IF($A$2="DEX",IFERROR(IF($X$1="ABS",(100*RTD("tos.rtd",,"OPEN_INT","."&amp;H$2&amp;H$1&amp;"C"&amp;$A10)*RTD("tos.rtd",,"DELTA","."&amp;H$2&amp;H$1&amp;"C"&amp;$A10)+100*RTD("tos.rtd",,"OPEN_INT","."&amp;H$2&amp;H$1&amp;"P"&amp;$A10)*RTD("tos.rtd",,"DELTA","."&amp;H$2&amp;H$1&amp;"P"&amp;$A10))/1000,(100*RTD("tos.rtd",,"OPEN_INT","."&amp;H$2&amp;H$1&amp;"C"&amp;$A10)*RTD("tos.rtd",,"DELTA","."&amp;H$2&amp;H$1&amp;"C"&amp;$A10)-100*RTD("tos.rtd",,"OPEN_INT","."&amp;H$2&amp;H$1&amp;"P"&amp;$A10)*RTD("tos.rtd",,"DELTA","."&amp;H$2&amp;H$1&amp;"P"&amp;$A10))/1000),0),IF($A$2="VEX",IFERROR(IF($X$1="ABS",($A$4*$A$4*RTD("tos.rtd",,"VOLUME","."&amp;H$2&amp;H$1&amp;"C"&amp;$A10)*RTD("tos.rtd",,"GAMMA","."&amp;H$2&amp;H$1&amp;"C"&amp;$A10)+$A$4*$A$4*RTD("tos.rtd",,"VOLUME","."&amp;H$2&amp;H$1&amp;"P"&amp;$A10)*RTD("tos.rtd",,"GAMMA","."&amp;H$2&amp;H$1&amp;"P"&amp;$A10))/1000000,($A$4*$A$4*RTD("tos.rtd",,"VOLUME","."&amp;H$2&amp;H$1&amp;"C"&amp;$A10)*RTD("tos.rtd",,"GAMMA","."&amp;H$2&amp;H$1&amp;"C"&amp;$A10)-$A$4*$A$4*RTD("tos.rtd",,"VOLUME","."&amp;H$2&amp;H$1&amp;"P"&amp;$A10)*RTD("tos.rtd",,"GAMMA","."&amp;H$2&amp;H$1&amp;"P"&amp;$A10))/1000000),0),IF($A$2="GEX",IFERROR(IF($X$1="ABS",($A$4*$A$4*RTD("tos.rtd",,"OPEN_INT","."&amp;H$2&amp;H$1&amp;"C"&amp;$A10)*RTD("tos.rtd",,"GAMMA","."&amp;H$2&amp;H$1&amp;"C"&amp;$A10)+$A$4*$A$4*RTD("tos.rtd",,"OPEN_INT","."&amp;H$2&amp;H$1&amp;"P"&amp;$A10)*RTD("tos.rtd",,"GAMMA","."&amp;H$2&amp;H$1&amp;"P"&amp;$A10))/1000000,($A$4*$A$4*RTD("tos.rtd",,"OPEN_INT","."&amp;H$2&amp;H$1&amp;"C"&amp;$A10)*RTD("tos.rtd",,"GAMMA","."&amp;H$2&amp;H$1&amp;"C"&amp;$A10)-$A$4*$A$4*RTD("tos.rtd",,"OPEN_INT","."&amp;H$2&amp;H$1&amp;"P"&amp;$A10)*RTD("tos.rtd",,"GAMMA","."&amp;H$2&amp;H$1&amp;"P"&amp;$A10))/1000000),0),IF($A$2="SKEW",IFERROR(VALUE(IF(RTD("tos.rtd",,"IMPL_VOL","."&amp;H$2&amp;H$1&amp;"P"&amp;$A10)="N/A",0,RTD("tos.rtd",,"IMPL_VOL","."&amp;H$2&amp;H$1&amp;"P"&amp;$A10))),0)-IFERROR(VALUE(IF(RTD("tos.rtd",,"IMPL_VOL","."&amp;H$2&amp;H$1&amp;"C"&amp;$A10)="N/A",0,RTD("tos.rtd",,"IMPL_VOL","."&amp;H$2&amp;H$1&amp;"C"&amp;$A10))),0),IF($A$2="MAXPAIN",IF($A$4&gt;$A10,($A$4-$A10)*IF(RTD("tos.rtd",,"OPEN_INT","."&amp;H$2&amp;H$1&amp;"C"&amp;$A10)="N/A",0,RTD("tos.rtd",,"OPEN_INT","."&amp;H$2&amp;H$1&amp;"C"&amp;$A10)),0)+IF($A$4&lt;$A10,($A$5-$A$4)*IF(RTD("tos.rtd",,"OPEN_INT","."&amp;H$2&amp;H$1&amp;"P"&amp;$A10)="N/A",0,RTD("tos.rtd",,"OPEN_INT","."&amp;H$2&amp;H$1&amp;"P"&amp;$A10)),0),IF($X$1="ABS",IF(RTD("tos.rtd",,$A$2,"."&amp;H$2&amp;H$1&amp;"C"&amp;$A10)="N/A",0,RTD("tos.rtd",,$A$2,"."&amp;H$2&amp;H$1&amp;"C"&amp;$A10))+IF(RTD("tos.rtd",,$A$2,"."&amp;H$2&amp;H$1&amp;"P"&amp;$A10)="N/A",0,RTD("tos.rtd",,$A$2,"."&amp;H$2&amp;H$1&amp;"P"&amp;$A10)),IF(RTD("tos.rtd",,$A$2,"."&amp;H$2&amp;H$1&amp;"C"&amp;$A10)="N/A",0,RTD("tos.rtd",,$A$2,"."&amp;H$2&amp;H$1&amp;"C"&amp;$A10))-IF(RTD("tos.rtd",,$A$2,"."&amp;H$2&amp;H$1&amp;"P"&amp;$A10)="N/A",0,RTD("tos.rtd",,$A$2,"."&amp;H$2&amp;H$1&amp;"P"&amp;$A10))))))))))</f>
        <v>0</v>
      </c>
      <c r="I10" s="12">
        <f ca="1">IF($A$2="PREMIUM_OI",IFERROR(IF($X$1="ABS",(100*RTD("tos.rtd",,"OPEN_INT","."&amp;I$2&amp;I$1&amp;"C"&amp;$A10)*RTD("tos.rtd",,"LAST","."&amp;I$2&amp;I$1&amp;"C"&amp;$A10)+100*RTD("tos.rtd",,"OPEN_INT","."&amp;I$2&amp;I$1&amp;"P"&amp;$A10)*RTD("tos.rtd",,"LAST","."&amp;I$2&amp;I$1&amp;"P"&amp;$A10))/1000000,(100*RTD("tos.rtd",,"OPEN_INT","."&amp;I$2&amp;I$1&amp;"C"&amp;$A10)*RTD("tos.rtd",,"LAST","."&amp;I$2&amp;I$1&amp;"C"&amp;$A10)-100*RTD("tos.rtd",,"OPEN_INT","."&amp;I$2&amp;I$1&amp;"P"&amp;$A10)*RTD("tos.rtd",,"LAST","."&amp;I$2&amp;I$1&amp;"P"&amp;$A10))/1000000),0),IF($A$2="PREMIUM",IFERROR(IF($X$1="ABS",(100*RTD("tos.rtd",,"VOLUME","."&amp;I$2&amp;I$1&amp;"C"&amp;$A10)*RTD("tos.rtd",,"LAST","."&amp;I$2&amp;I$1&amp;"C"&amp;$A10)+100*RTD("tos.rtd",,"VOLUME","."&amp;I$2&amp;I$1&amp;"P"&amp;$A10)*RTD("tos.rtd",,"LAST","."&amp;I$2&amp;I$1&amp;"P"&amp;$A10))/1000000,(100*RTD("tos.rtd",,"VOLUME","."&amp;I$2&amp;I$1&amp;"C"&amp;$A10)*RTD("tos.rtd",,"LAST","."&amp;I$2&amp;I$1&amp;"C"&amp;$A10)-100*RTD("tos.rtd",,"VOLUME","."&amp;I$2&amp;I$1&amp;"P"&amp;$A10)*RTD("tos.rtd",,"LAST","."&amp;I$2&amp;I$1&amp;"P"&amp;$A10))/1000000),0),IF($A$2="DEX",IFERROR(IF($X$1="ABS",(100*RTD("tos.rtd",,"OPEN_INT","."&amp;I$2&amp;I$1&amp;"C"&amp;$A10)*RTD("tos.rtd",,"DELTA","."&amp;I$2&amp;I$1&amp;"C"&amp;$A10)+100*RTD("tos.rtd",,"OPEN_INT","."&amp;I$2&amp;I$1&amp;"P"&amp;$A10)*RTD("tos.rtd",,"DELTA","."&amp;I$2&amp;I$1&amp;"P"&amp;$A10))/1000,(100*RTD("tos.rtd",,"OPEN_INT","."&amp;I$2&amp;I$1&amp;"C"&amp;$A10)*RTD("tos.rtd",,"DELTA","."&amp;I$2&amp;I$1&amp;"C"&amp;$A10)-100*RTD("tos.rtd",,"OPEN_INT","."&amp;I$2&amp;I$1&amp;"P"&amp;$A10)*RTD("tos.rtd",,"DELTA","."&amp;I$2&amp;I$1&amp;"P"&amp;$A10))/1000),0),IF($A$2="VEX",IFERROR(IF($X$1="ABS",($A$4*$A$4*RTD("tos.rtd",,"VOLUME","."&amp;I$2&amp;I$1&amp;"C"&amp;$A10)*RTD("tos.rtd",,"GAMMA","."&amp;I$2&amp;I$1&amp;"C"&amp;$A10)+$A$4*$A$4*RTD("tos.rtd",,"VOLUME","."&amp;I$2&amp;I$1&amp;"P"&amp;$A10)*RTD("tos.rtd",,"GAMMA","."&amp;I$2&amp;I$1&amp;"P"&amp;$A10))/1000000,($A$4*$A$4*RTD("tos.rtd",,"VOLUME","."&amp;I$2&amp;I$1&amp;"C"&amp;$A10)*RTD("tos.rtd",,"GAMMA","."&amp;I$2&amp;I$1&amp;"C"&amp;$A10)-$A$4*$A$4*RTD("tos.rtd",,"VOLUME","."&amp;I$2&amp;I$1&amp;"P"&amp;$A10)*RTD("tos.rtd",,"GAMMA","."&amp;I$2&amp;I$1&amp;"P"&amp;$A10))/1000000),0),IF($A$2="GEX",IFERROR(IF($X$1="ABS",($A$4*$A$4*RTD("tos.rtd",,"OPEN_INT","."&amp;I$2&amp;I$1&amp;"C"&amp;$A10)*RTD("tos.rtd",,"GAMMA","."&amp;I$2&amp;I$1&amp;"C"&amp;$A10)+$A$4*$A$4*RTD("tos.rtd",,"OPEN_INT","."&amp;I$2&amp;I$1&amp;"P"&amp;$A10)*RTD("tos.rtd",,"GAMMA","."&amp;I$2&amp;I$1&amp;"P"&amp;$A10))/1000000,($A$4*$A$4*RTD("tos.rtd",,"OPEN_INT","."&amp;I$2&amp;I$1&amp;"C"&amp;$A10)*RTD("tos.rtd",,"GAMMA","."&amp;I$2&amp;I$1&amp;"C"&amp;$A10)-$A$4*$A$4*RTD("tos.rtd",,"OPEN_INT","."&amp;I$2&amp;I$1&amp;"P"&amp;$A10)*RTD("tos.rtd",,"GAMMA","."&amp;I$2&amp;I$1&amp;"P"&amp;$A10))/1000000),0),IF($A$2="SKEW",IFERROR(VALUE(IF(RTD("tos.rtd",,"IMPL_VOL","."&amp;I$2&amp;I$1&amp;"P"&amp;$A10)="N/A",0,RTD("tos.rtd",,"IMPL_VOL","."&amp;I$2&amp;I$1&amp;"P"&amp;$A10))),0)-IFERROR(VALUE(IF(RTD("tos.rtd",,"IMPL_VOL","."&amp;I$2&amp;I$1&amp;"C"&amp;$A10)="N/A",0,RTD("tos.rtd",,"IMPL_VOL","."&amp;I$2&amp;I$1&amp;"C"&amp;$A10))),0),IF($A$2="MAXPAIN",IF($A$4&gt;$A10,($A$4-$A10)*IF(RTD("tos.rtd",,"OPEN_INT","."&amp;I$2&amp;I$1&amp;"C"&amp;$A10)="N/A",0,RTD("tos.rtd",,"OPEN_INT","."&amp;I$2&amp;I$1&amp;"C"&amp;$A10)),0)+IF($A$4&lt;$A10,($A$5-$A$4)*IF(RTD("tos.rtd",,"OPEN_INT","."&amp;I$2&amp;I$1&amp;"P"&amp;$A10)="N/A",0,RTD("tos.rtd",,"OPEN_INT","."&amp;I$2&amp;I$1&amp;"P"&amp;$A10)),0),IF($X$1="ABS",IF(RTD("tos.rtd",,$A$2,"."&amp;I$2&amp;I$1&amp;"C"&amp;$A10)="N/A",0,RTD("tos.rtd",,$A$2,"."&amp;I$2&amp;I$1&amp;"C"&amp;$A10))+IF(RTD("tos.rtd",,$A$2,"."&amp;I$2&amp;I$1&amp;"P"&amp;$A10)="N/A",0,RTD("tos.rtd",,$A$2,"."&amp;I$2&amp;I$1&amp;"P"&amp;$A10)),IF(RTD("tos.rtd",,$A$2,"."&amp;I$2&amp;I$1&amp;"C"&amp;$A10)="N/A",0,RTD("tos.rtd",,$A$2,"."&amp;I$2&amp;I$1&amp;"C"&amp;$A10))-IF(RTD("tos.rtd",,$A$2,"."&amp;I$2&amp;I$1&amp;"P"&amp;$A10)="N/A",0,RTD("tos.rtd",,$A$2,"."&amp;I$2&amp;I$1&amp;"P"&amp;$A10))))))))))</f>
        <v>0</v>
      </c>
      <c r="J10" s="12">
        <f ca="1">IF($A$2="PREMIUM_OI",IFERROR(IF($X$1="ABS",(100*RTD("tos.rtd",,"OPEN_INT","."&amp;J$2&amp;J$1&amp;"C"&amp;$A10)*RTD("tos.rtd",,"LAST","."&amp;J$2&amp;J$1&amp;"C"&amp;$A10)+100*RTD("tos.rtd",,"OPEN_INT","."&amp;J$2&amp;J$1&amp;"P"&amp;$A10)*RTD("tos.rtd",,"LAST","."&amp;J$2&amp;J$1&amp;"P"&amp;$A10))/1000000,(100*RTD("tos.rtd",,"OPEN_INT","."&amp;J$2&amp;J$1&amp;"C"&amp;$A10)*RTD("tos.rtd",,"LAST","."&amp;J$2&amp;J$1&amp;"C"&amp;$A10)-100*RTD("tos.rtd",,"OPEN_INT","."&amp;J$2&amp;J$1&amp;"P"&amp;$A10)*RTD("tos.rtd",,"LAST","."&amp;J$2&amp;J$1&amp;"P"&amp;$A10))/1000000),0),IF($A$2="PREMIUM",IFERROR(IF($X$1="ABS",(100*RTD("tos.rtd",,"VOLUME","."&amp;J$2&amp;J$1&amp;"C"&amp;$A10)*RTD("tos.rtd",,"LAST","."&amp;J$2&amp;J$1&amp;"C"&amp;$A10)+100*RTD("tos.rtd",,"VOLUME","."&amp;J$2&amp;J$1&amp;"P"&amp;$A10)*RTD("tos.rtd",,"LAST","."&amp;J$2&amp;J$1&amp;"P"&amp;$A10))/1000000,(100*RTD("tos.rtd",,"VOLUME","."&amp;J$2&amp;J$1&amp;"C"&amp;$A10)*RTD("tos.rtd",,"LAST","."&amp;J$2&amp;J$1&amp;"C"&amp;$A10)-100*RTD("tos.rtd",,"VOLUME","."&amp;J$2&amp;J$1&amp;"P"&amp;$A10)*RTD("tos.rtd",,"LAST","."&amp;J$2&amp;J$1&amp;"P"&amp;$A10))/1000000),0),IF($A$2="DEX",IFERROR(IF($X$1="ABS",(100*RTD("tos.rtd",,"OPEN_INT","."&amp;J$2&amp;J$1&amp;"C"&amp;$A10)*RTD("tos.rtd",,"DELTA","."&amp;J$2&amp;J$1&amp;"C"&amp;$A10)+100*RTD("tos.rtd",,"OPEN_INT","."&amp;J$2&amp;J$1&amp;"P"&amp;$A10)*RTD("tos.rtd",,"DELTA","."&amp;J$2&amp;J$1&amp;"P"&amp;$A10))/1000,(100*RTD("tos.rtd",,"OPEN_INT","."&amp;J$2&amp;J$1&amp;"C"&amp;$A10)*RTD("tos.rtd",,"DELTA","."&amp;J$2&amp;J$1&amp;"C"&amp;$A10)-100*RTD("tos.rtd",,"OPEN_INT","."&amp;J$2&amp;J$1&amp;"P"&amp;$A10)*RTD("tos.rtd",,"DELTA","."&amp;J$2&amp;J$1&amp;"P"&amp;$A10))/1000),0),IF($A$2="VEX",IFERROR(IF($X$1="ABS",($A$4*$A$4*RTD("tos.rtd",,"VOLUME","."&amp;J$2&amp;J$1&amp;"C"&amp;$A10)*RTD("tos.rtd",,"GAMMA","."&amp;J$2&amp;J$1&amp;"C"&amp;$A10)+$A$4*$A$4*RTD("tos.rtd",,"VOLUME","."&amp;J$2&amp;J$1&amp;"P"&amp;$A10)*RTD("tos.rtd",,"GAMMA","."&amp;J$2&amp;J$1&amp;"P"&amp;$A10))/1000000,($A$4*$A$4*RTD("tos.rtd",,"VOLUME","."&amp;J$2&amp;J$1&amp;"C"&amp;$A10)*RTD("tos.rtd",,"GAMMA","."&amp;J$2&amp;J$1&amp;"C"&amp;$A10)-$A$4*$A$4*RTD("tos.rtd",,"VOLUME","."&amp;J$2&amp;J$1&amp;"P"&amp;$A10)*RTD("tos.rtd",,"GAMMA","."&amp;J$2&amp;J$1&amp;"P"&amp;$A10))/1000000),0),IF($A$2="GEX",IFERROR(IF($X$1="ABS",($A$4*$A$4*RTD("tos.rtd",,"OPEN_INT","."&amp;J$2&amp;J$1&amp;"C"&amp;$A10)*RTD("tos.rtd",,"GAMMA","."&amp;J$2&amp;J$1&amp;"C"&amp;$A10)+$A$4*$A$4*RTD("tos.rtd",,"OPEN_INT","."&amp;J$2&amp;J$1&amp;"P"&amp;$A10)*RTD("tos.rtd",,"GAMMA","."&amp;J$2&amp;J$1&amp;"P"&amp;$A10))/1000000,($A$4*$A$4*RTD("tos.rtd",,"OPEN_INT","."&amp;J$2&amp;J$1&amp;"C"&amp;$A10)*RTD("tos.rtd",,"GAMMA","."&amp;J$2&amp;J$1&amp;"C"&amp;$A10)-$A$4*$A$4*RTD("tos.rtd",,"OPEN_INT","."&amp;J$2&amp;J$1&amp;"P"&amp;$A10)*RTD("tos.rtd",,"GAMMA","."&amp;J$2&amp;J$1&amp;"P"&amp;$A10))/1000000),0),IF($A$2="SKEW",IFERROR(VALUE(IF(RTD("tos.rtd",,"IMPL_VOL","."&amp;J$2&amp;J$1&amp;"P"&amp;$A10)="N/A",0,RTD("tos.rtd",,"IMPL_VOL","."&amp;J$2&amp;J$1&amp;"P"&amp;$A10))),0)-IFERROR(VALUE(IF(RTD("tos.rtd",,"IMPL_VOL","."&amp;J$2&amp;J$1&amp;"C"&amp;$A10)="N/A",0,RTD("tos.rtd",,"IMPL_VOL","."&amp;J$2&amp;J$1&amp;"C"&amp;$A10))),0),IF($A$2="MAXPAIN",IF($A$4&gt;$A10,($A$4-$A10)*IF(RTD("tos.rtd",,"OPEN_INT","."&amp;J$2&amp;J$1&amp;"C"&amp;$A10)="N/A",0,RTD("tos.rtd",,"OPEN_INT","."&amp;J$2&amp;J$1&amp;"C"&amp;$A10)),0)+IF($A$4&lt;$A10,($A$5-$A$4)*IF(RTD("tos.rtd",,"OPEN_INT","."&amp;J$2&amp;J$1&amp;"P"&amp;$A10)="N/A",0,RTD("tos.rtd",,"OPEN_INT","."&amp;J$2&amp;J$1&amp;"P"&amp;$A10)),0),IF($X$1="ABS",IF(RTD("tos.rtd",,$A$2,"."&amp;J$2&amp;J$1&amp;"C"&amp;$A10)="N/A",0,RTD("tos.rtd",,$A$2,"."&amp;J$2&amp;J$1&amp;"C"&amp;$A10))+IF(RTD("tos.rtd",,$A$2,"."&amp;J$2&amp;J$1&amp;"P"&amp;$A10)="N/A",0,RTD("tos.rtd",,$A$2,"."&amp;J$2&amp;J$1&amp;"P"&amp;$A10)),IF(RTD("tos.rtd",,$A$2,"."&amp;J$2&amp;J$1&amp;"C"&amp;$A10)="N/A",0,RTD("tos.rtd",,$A$2,"."&amp;J$2&amp;J$1&amp;"C"&amp;$A10))-IF(RTD("tos.rtd",,$A$2,"."&amp;J$2&amp;J$1&amp;"P"&amp;$A10)="N/A",0,RTD("tos.rtd",,$A$2,"."&amp;J$2&amp;J$1&amp;"P"&amp;$A10))))))))))</f>
        <v>0</v>
      </c>
      <c r="K10" s="12">
        <f ca="1">IF($A$2="PREMIUM_OI",IFERROR(IF($X$1="ABS",(100*RTD("tos.rtd",,"OPEN_INT","."&amp;K$2&amp;K$1&amp;"C"&amp;$A10)*RTD("tos.rtd",,"LAST","."&amp;K$2&amp;K$1&amp;"C"&amp;$A10)+100*RTD("tos.rtd",,"OPEN_INT","."&amp;K$2&amp;K$1&amp;"P"&amp;$A10)*RTD("tos.rtd",,"LAST","."&amp;K$2&amp;K$1&amp;"P"&amp;$A10))/1000000,(100*RTD("tos.rtd",,"OPEN_INT","."&amp;K$2&amp;K$1&amp;"C"&amp;$A10)*RTD("tos.rtd",,"LAST","."&amp;K$2&amp;K$1&amp;"C"&amp;$A10)-100*RTD("tos.rtd",,"OPEN_INT","."&amp;K$2&amp;K$1&amp;"P"&amp;$A10)*RTD("tos.rtd",,"LAST","."&amp;K$2&amp;K$1&amp;"P"&amp;$A10))/1000000),0),IF($A$2="PREMIUM",IFERROR(IF($X$1="ABS",(100*RTD("tos.rtd",,"VOLUME","."&amp;K$2&amp;K$1&amp;"C"&amp;$A10)*RTD("tos.rtd",,"LAST","."&amp;K$2&amp;K$1&amp;"C"&amp;$A10)+100*RTD("tos.rtd",,"VOLUME","."&amp;K$2&amp;K$1&amp;"P"&amp;$A10)*RTD("tos.rtd",,"LAST","."&amp;K$2&amp;K$1&amp;"P"&amp;$A10))/1000000,(100*RTD("tos.rtd",,"VOLUME","."&amp;K$2&amp;K$1&amp;"C"&amp;$A10)*RTD("tos.rtd",,"LAST","."&amp;K$2&amp;K$1&amp;"C"&amp;$A10)-100*RTD("tos.rtd",,"VOLUME","."&amp;K$2&amp;K$1&amp;"P"&amp;$A10)*RTD("tos.rtd",,"LAST","."&amp;K$2&amp;K$1&amp;"P"&amp;$A10))/1000000),0),IF($A$2="DEX",IFERROR(IF($X$1="ABS",(100*RTD("tos.rtd",,"OPEN_INT","."&amp;K$2&amp;K$1&amp;"C"&amp;$A10)*RTD("tos.rtd",,"DELTA","."&amp;K$2&amp;K$1&amp;"C"&amp;$A10)+100*RTD("tos.rtd",,"OPEN_INT","."&amp;K$2&amp;K$1&amp;"P"&amp;$A10)*RTD("tos.rtd",,"DELTA","."&amp;K$2&amp;K$1&amp;"P"&amp;$A10))/1000,(100*RTD("tos.rtd",,"OPEN_INT","."&amp;K$2&amp;K$1&amp;"C"&amp;$A10)*RTD("tos.rtd",,"DELTA","."&amp;K$2&amp;K$1&amp;"C"&amp;$A10)-100*RTD("tos.rtd",,"OPEN_INT","."&amp;K$2&amp;K$1&amp;"P"&amp;$A10)*RTD("tos.rtd",,"DELTA","."&amp;K$2&amp;K$1&amp;"P"&amp;$A10))/1000),0),IF($A$2="VEX",IFERROR(IF($X$1="ABS",($A$4*$A$4*RTD("tos.rtd",,"VOLUME","."&amp;K$2&amp;K$1&amp;"C"&amp;$A10)*RTD("tos.rtd",,"GAMMA","."&amp;K$2&amp;K$1&amp;"C"&amp;$A10)+$A$4*$A$4*RTD("tos.rtd",,"VOLUME","."&amp;K$2&amp;K$1&amp;"P"&amp;$A10)*RTD("tos.rtd",,"GAMMA","."&amp;K$2&amp;K$1&amp;"P"&amp;$A10))/1000000,($A$4*$A$4*RTD("tos.rtd",,"VOLUME","."&amp;K$2&amp;K$1&amp;"C"&amp;$A10)*RTD("tos.rtd",,"GAMMA","."&amp;K$2&amp;K$1&amp;"C"&amp;$A10)-$A$4*$A$4*RTD("tos.rtd",,"VOLUME","."&amp;K$2&amp;K$1&amp;"P"&amp;$A10)*RTD("tos.rtd",,"GAMMA","."&amp;K$2&amp;K$1&amp;"P"&amp;$A10))/1000000),0),IF($A$2="GEX",IFERROR(IF($X$1="ABS",($A$4*$A$4*RTD("tos.rtd",,"OPEN_INT","."&amp;K$2&amp;K$1&amp;"C"&amp;$A10)*RTD("tos.rtd",,"GAMMA","."&amp;K$2&amp;K$1&amp;"C"&amp;$A10)+$A$4*$A$4*RTD("tos.rtd",,"OPEN_INT","."&amp;K$2&amp;K$1&amp;"P"&amp;$A10)*RTD("tos.rtd",,"GAMMA","."&amp;K$2&amp;K$1&amp;"P"&amp;$A10))/1000000,($A$4*$A$4*RTD("tos.rtd",,"OPEN_INT","."&amp;K$2&amp;K$1&amp;"C"&amp;$A10)*RTD("tos.rtd",,"GAMMA","."&amp;K$2&amp;K$1&amp;"C"&amp;$A10)-$A$4*$A$4*RTD("tos.rtd",,"OPEN_INT","."&amp;K$2&amp;K$1&amp;"P"&amp;$A10)*RTD("tos.rtd",,"GAMMA","."&amp;K$2&amp;K$1&amp;"P"&amp;$A10))/1000000),0),IF($A$2="SKEW",IFERROR(VALUE(IF(RTD("tos.rtd",,"IMPL_VOL","."&amp;K$2&amp;K$1&amp;"P"&amp;$A10)="N/A",0,RTD("tos.rtd",,"IMPL_VOL","."&amp;K$2&amp;K$1&amp;"P"&amp;$A10))),0)-IFERROR(VALUE(IF(RTD("tos.rtd",,"IMPL_VOL","."&amp;K$2&amp;K$1&amp;"C"&amp;$A10)="N/A",0,RTD("tos.rtd",,"IMPL_VOL","."&amp;K$2&amp;K$1&amp;"C"&amp;$A10))),0),IF($A$2="MAXPAIN",IF($A$4&gt;$A10,($A$4-$A10)*IF(RTD("tos.rtd",,"OPEN_INT","."&amp;K$2&amp;K$1&amp;"C"&amp;$A10)="N/A",0,RTD("tos.rtd",,"OPEN_INT","."&amp;K$2&amp;K$1&amp;"C"&amp;$A10)),0)+IF($A$4&lt;$A10,($A$5-$A$4)*IF(RTD("tos.rtd",,"OPEN_INT","."&amp;K$2&amp;K$1&amp;"P"&amp;$A10)="N/A",0,RTD("tos.rtd",,"OPEN_INT","."&amp;K$2&amp;K$1&amp;"P"&amp;$A10)),0),IF($X$1="ABS",IF(RTD("tos.rtd",,$A$2,"."&amp;K$2&amp;K$1&amp;"C"&amp;$A10)="N/A",0,RTD("tos.rtd",,$A$2,"."&amp;K$2&amp;K$1&amp;"C"&amp;$A10))+IF(RTD("tos.rtd",,$A$2,"."&amp;K$2&amp;K$1&amp;"P"&amp;$A10)="N/A",0,RTD("tos.rtd",,$A$2,"."&amp;K$2&amp;K$1&amp;"P"&amp;$A10)),IF(RTD("tos.rtd",,$A$2,"."&amp;K$2&amp;K$1&amp;"C"&amp;$A10)="N/A",0,RTD("tos.rtd",,$A$2,"."&amp;K$2&amp;K$1&amp;"C"&amp;$A10))-IF(RTD("tos.rtd",,$A$2,"."&amp;K$2&amp;K$1&amp;"P"&amp;$A10)="N/A",0,RTD("tos.rtd",,$A$2,"."&amp;K$2&amp;K$1&amp;"P"&amp;$A10))))))))))</f>
        <v>0</v>
      </c>
      <c r="L10" s="54">
        <f ca="1">IF($A$2="PREMIUM_OI",IFERROR(IF($X$1="ABS",(100*RTD("tos.rtd",,"OPEN_INT","."&amp;L$2&amp;L$1&amp;"C"&amp;$A10)*RTD("tos.rtd",,"LAST","."&amp;L$2&amp;L$1&amp;"C"&amp;$A10)+100*RTD("tos.rtd",,"OPEN_INT","."&amp;L$2&amp;L$1&amp;"P"&amp;$A10)*RTD("tos.rtd",,"LAST","."&amp;L$2&amp;L$1&amp;"P"&amp;$A10))/1000000,(100*RTD("tos.rtd",,"OPEN_INT","."&amp;L$2&amp;L$1&amp;"C"&amp;$A10)*RTD("tos.rtd",,"LAST","."&amp;L$2&amp;L$1&amp;"C"&amp;$A10)-100*RTD("tos.rtd",,"OPEN_INT","."&amp;L$2&amp;L$1&amp;"P"&amp;$A10)*RTD("tos.rtd",,"LAST","."&amp;L$2&amp;L$1&amp;"P"&amp;$A10))/1000000),0),IF($A$2="PREMIUM",IFERROR(IF($X$1="ABS",(100*RTD("tos.rtd",,"VOLUME","."&amp;L$2&amp;L$1&amp;"C"&amp;$A10)*RTD("tos.rtd",,"LAST","."&amp;L$2&amp;L$1&amp;"C"&amp;$A10)+100*RTD("tos.rtd",,"VOLUME","."&amp;L$2&amp;L$1&amp;"P"&amp;$A10)*RTD("tos.rtd",,"LAST","."&amp;L$2&amp;L$1&amp;"P"&amp;$A10))/1000000,(100*RTD("tos.rtd",,"VOLUME","."&amp;L$2&amp;L$1&amp;"C"&amp;$A10)*RTD("tos.rtd",,"LAST","."&amp;L$2&amp;L$1&amp;"C"&amp;$A10)-100*RTD("tos.rtd",,"VOLUME","."&amp;L$2&amp;L$1&amp;"P"&amp;$A10)*RTD("tos.rtd",,"LAST","."&amp;L$2&amp;L$1&amp;"P"&amp;$A10))/1000000),0),IF($A$2="DEX",IFERROR(IF($X$1="ABS",(100*RTD("tos.rtd",,"OPEN_INT","."&amp;L$2&amp;L$1&amp;"C"&amp;$A10)*RTD("tos.rtd",,"DELTA","."&amp;L$2&amp;L$1&amp;"C"&amp;$A10)+100*RTD("tos.rtd",,"OPEN_INT","."&amp;L$2&amp;L$1&amp;"P"&amp;$A10)*RTD("tos.rtd",,"DELTA","."&amp;L$2&amp;L$1&amp;"P"&amp;$A10))/1000,(100*RTD("tos.rtd",,"OPEN_INT","."&amp;L$2&amp;L$1&amp;"C"&amp;$A10)*RTD("tos.rtd",,"DELTA","."&amp;L$2&amp;L$1&amp;"C"&amp;$A10)-100*RTD("tos.rtd",,"OPEN_INT","."&amp;L$2&amp;L$1&amp;"P"&amp;$A10)*RTD("tos.rtd",,"DELTA","."&amp;L$2&amp;L$1&amp;"P"&amp;$A10))/1000),0),IF($A$2="VEX",IFERROR(IF($X$1="ABS",($A$4*$A$4*RTD("tos.rtd",,"VOLUME","."&amp;L$2&amp;L$1&amp;"C"&amp;$A10)*RTD("tos.rtd",,"GAMMA","."&amp;L$2&amp;L$1&amp;"C"&amp;$A10)+$A$4*$A$4*RTD("tos.rtd",,"VOLUME","."&amp;L$2&amp;L$1&amp;"P"&amp;$A10)*RTD("tos.rtd",,"GAMMA","."&amp;L$2&amp;L$1&amp;"P"&amp;$A10))/1000000,($A$4*$A$4*RTD("tos.rtd",,"VOLUME","."&amp;L$2&amp;L$1&amp;"C"&amp;$A10)*RTD("tos.rtd",,"GAMMA","."&amp;L$2&amp;L$1&amp;"C"&amp;$A10)-$A$4*$A$4*RTD("tos.rtd",,"VOLUME","."&amp;L$2&amp;L$1&amp;"P"&amp;$A10)*RTD("tos.rtd",,"GAMMA","."&amp;L$2&amp;L$1&amp;"P"&amp;$A10))/1000000),0),IF($A$2="GEX",IFERROR(IF($X$1="ABS",($A$4*$A$4*RTD("tos.rtd",,"OPEN_INT","."&amp;L$2&amp;L$1&amp;"C"&amp;$A10)*RTD("tos.rtd",,"GAMMA","."&amp;L$2&amp;L$1&amp;"C"&amp;$A10)+$A$4*$A$4*RTD("tos.rtd",,"OPEN_INT","."&amp;L$2&amp;L$1&amp;"P"&amp;$A10)*RTD("tos.rtd",,"GAMMA","."&amp;L$2&amp;L$1&amp;"P"&amp;$A10))/1000000,($A$4*$A$4*RTD("tos.rtd",,"OPEN_INT","."&amp;L$2&amp;L$1&amp;"C"&amp;$A10)*RTD("tos.rtd",,"GAMMA","."&amp;L$2&amp;L$1&amp;"C"&amp;$A10)-$A$4*$A$4*RTD("tos.rtd",,"OPEN_INT","."&amp;L$2&amp;L$1&amp;"P"&amp;$A10)*RTD("tos.rtd",,"GAMMA","."&amp;L$2&amp;L$1&amp;"P"&amp;$A10))/1000000),0),IF($A$2="SKEW",IFERROR(VALUE(IF(RTD("tos.rtd",,"IMPL_VOL","."&amp;L$2&amp;L$1&amp;"P"&amp;$A10)="N/A",0,RTD("tos.rtd",,"IMPL_VOL","."&amp;L$2&amp;L$1&amp;"P"&amp;$A10))),0)-IFERROR(VALUE(IF(RTD("tos.rtd",,"IMPL_VOL","."&amp;L$2&amp;L$1&amp;"C"&amp;$A10)="N/A",0,RTD("tos.rtd",,"IMPL_VOL","."&amp;L$2&amp;L$1&amp;"C"&amp;$A10))),0),IF($A$2="MAXPAIN",IF($A$4&gt;$A10,($A$4-$A10)*IF(RTD("tos.rtd",,"OPEN_INT","."&amp;L$2&amp;L$1&amp;"C"&amp;$A10)="N/A",0,RTD("tos.rtd",,"OPEN_INT","."&amp;L$2&amp;L$1&amp;"C"&amp;$A10)),0)+IF($A$4&lt;$A10,($A$5-$A$4)*IF(RTD("tos.rtd",,"OPEN_INT","."&amp;L$2&amp;L$1&amp;"P"&amp;$A10)="N/A",0,RTD("tos.rtd",,"OPEN_INT","."&amp;L$2&amp;L$1&amp;"P"&amp;$A10)),0),IF($X$1="ABS",IF(RTD("tos.rtd",,$A$2,"."&amp;L$2&amp;L$1&amp;"C"&amp;$A10)="N/A",0,RTD("tos.rtd",,$A$2,"."&amp;L$2&amp;L$1&amp;"C"&amp;$A10))+IF(RTD("tos.rtd",,$A$2,"."&amp;L$2&amp;L$1&amp;"P"&amp;$A10)="N/A",0,RTD("tos.rtd",,$A$2,"."&amp;L$2&amp;L$1&amp;"P"&amp;$A10)),IF(RTD("tos.rtd",,$A$2,"."&amp;L$2&amp;L$1&amp;"C"&amp;$A10)="N/A",0,RTD("tos.rtd",,$A$2,"."&amp;L$2&amp;L$1&amp;"C"&amp;$A10))-IF(RTD("tos.rtd",,$A$2,"."&amp;L$2&amp;L$1&amp;"P"&amp;$A10)="N/A",0,RTD("tos.rtd",,$A$2,"."&amp;L$2&amp;L$1&amp;"P"&amp;$A10))))))))))</f>
        <v>0</v>
      </c>
      <c r="M10" s="12">
        <f ca="1">IF($A$2="PREMIUM_OI",IFERROR(IF($X$1="ABS",(100*RTD("tos.rtd",,"OPEN_INT","."&amp;M$2&amp;M$1&amp;"C"&amp;$A10)*RTD("tos.rtd",,"LAST","."&amp;M$2&amp;M$1&amp;"C"&amp;$A10)+100*RTD("tos.rtd",,"OPEN_INT","."&amp;M$2&amp;M$1&amp;"P"&amp;$A10)*RTD("tos.rtd",,"LAST","."&amp;M$2&amp;M$1&amp;"P"&amp;$A10))/1000000,(100*RTD("tos.rtd",,"OPEN_INT","."&amp;M$2&amp;M$1&amp;"C"&amp;$A10)*RTD("tos.rtd",,"LAST","."&amp;M$2&amp;M$1&amp;"C"&amp;$A10)-100*RTD("tos.rtd",,"OPEN_INT","."&amp;M$2&amp;M$1&amp;"P"&amp;$A10)*RTD("tos.rtd",,"LAST","."&amp;M$2&amp;M$1&amp;"P"&amp;$A10))/1000000),0),IF($A$2="PREMIUM",IFERROR(IF($X$1="ABS",(100*RTD("tos.rtd",,"VOLUME","."&amp;M$2&amp;M$1&amp;"C"&amp;$A10)*RTD("tos.rtd",,"LAST","."&amp;M$2&amp;M$1&amp;"C"&amp;$A10)+100*RTD("tos.rtd",,"VOLUME","."&amp;M$2&amp;M$1&amp;"P"&amp;$A10)*RTD("tos.rtd",,"LAST","."&amp;M$2&amp;M$1&amp;"P"&amp;$A10))/1000000,(100*RTD("tos.rtd",,"VOLUME","."&amp;M$2&amp;M$1&amp;"C"&amp;$A10)*RTD("tos.rtd",,"LAST","."&amp;M$2&amp;M$1&amp;"C"&amp;$A10)-100*RTD("tos.rtd",,"VOLUME","."&amp;M$2&amp;M$1&amp;"P"&amp;$A10)*RTD("tos.rtd",,"LAST","."&amp;M$2&amp;M$1&amp;"P"&amp;$A10))/1000000),0),IF($A$2="DEX",IFERROR(IF($X$1="ABS",(100*RTD("tos.rtd",,"OPEN_INT","."&amp;M$2&amp;M$1&amp;"C"&amp;$A10)*RTD("tos.rtd",,"DELTA","."&amp;M$2&amp;M$1&amp;"C"&amp;$A10)+100*RTD("tos.rtd",,"OPEN_INT","."&amp;M$2&amp;M$1&amp;"P"&amp;$A10)*RTD("tos.rtd",,"DELTA","."&amp;M$2&amp;M$1&amp;"P"&amp;$A10))/1000,(100*RTD("tos.rtd",,"OPEN_INT","."&amp;M$2&amp;M$1&amp;"C"&amp;$A10)*RTD("tos.rtd",,"DELTA","."&amp;M$2&amp;M$1&amp;"C"&amp;$A10)-100*RTD("tos.rtd",,"OPEN_INT","."&amp;M$2&amp;M$1&amp;"P"&amp;$A10)*RTD("tos.rtd",,"DELTA","."&amp;M$2&amp;M$1&amp;"P"&amp;$A10))/1000),0),IF($A$2="VEX",IFERROR(IF($X$1="ABS",($A$4*$A$4*RTD("tos.rtd",,"VOLUME","."&amp;M$2&amp;M$1&amp;"C"&amp;$A10)*RTD("tos.rtd",,"GAMMA","."&amp;M$2&amp;M$1&amp;"C"&amp;$A10)+$A$4*$A$4*RTD("tos.rtd",,"VOLUME","."&amp;M$2&amp;M$1&amp;"P"&amp;$A10)*RTD("tos.rtd",,"GAMMA","."&amp;M$2&amp;M$1&amp;"P"&amp;$A10))/1000000,($A$4*$A$4*RTD("tos.rtd",,"VOLUME","."&amp;M$2&amp;M$1&amp;"C"&amp;$A10)*RTD("tos.rtd",,"GAMMA","."&amp;M$2&amp;M$1&amp;"C"&amp;$A10)-$A$4*$A$4*RTD("tos.rtd",,"VOLUME","."&amp;M$2&amp;M$1&amp;"P"&amp;$A10)*RTD("tos.rtd",,"GAMMA","."&amp;M$2&amp;M$1&amp;"P"&amp;$A10))/1000000),0),IF($A$2="GEX",IFERROR(IF($X$1="ABS",($A$4*$A$4*RTD("tos.rtd",,"OPEN_INT","."&amp;M$2&amp;M$1&amp;"C"&amp;$A10)*RTD("tos.rtd",,"GAMMA","."&amp;M$2&amp;M$1&amp;"C"&amp;$A10)+$A$4*$A$4*RTD("tos.rtd",,"OPEN_INT","."&amp;M$2&amp;M$1&amp;"P"&amp;$A10)*RTD("tos.rtd",,"GAMMA","."&amp;M$2&amp;M$1&amp;"P"&amp;$A10))/1000000,($A$4*$A$4*RTD("tos.rtd",,"OPEN_INT","."&amp;M$2&amp;M$1&amp;"C"&amp;$A10)*RTD("tos.rtd",,"GAMMA","."&amp;M$2&amp;M$1&amp;"C"&amp;$A10)-$A$4*$A$4*RTD("tos.rtd",,"OPEN_INT","."&amp;M$2&amp;M$1&amp;"P"&amp;$A10)*RTD("tos.rtd",,"GAMMA","."&amp;M$2&amp;M$1&amp;"P"&amp;$A10))/1000000),0),IF($A$2="SKEW",IFERROR(VALUE(IF(RTD("tos.rtd",,"IMPL_VOL","."&amp;M$2&amp;M$1&amp;"P"&amp;$A10)="N/A",0,RTD("tos.rtd",,"IMPL_VOL","."&amp;M$2&amp;M$1&amp;"P"&amp;$A10))),0)-IFERROR(VALUE(IF(RTD("tos.rtd",,"IMPL_VOL","."&amp;M$2&amp;M$1&amp;"C"&amp;$A10)="N/A",0,RTD("tos.rtd",,"IMPL_VOL","."&amp;M$2&amp;M$1&amp;"C"&amp;$A10))),0),IF($A$2="MAXPAIN",IF($A$4&gt;$A10,($A$4-$A10)*IF(RTD("tos.rtd",,"OPEN_INT","."&amp;M$2&amp;M$1&amp;"C"&amp;$A10)="N/A",0,RTD("tos.rtd",,"OPEN_INT","."&amp;M$2&amp;M$1&amp;"C"&amp;$A10)),0)+IF($A$4&lt;$A10,($A$5-$A$4)*IF(RTD("tos.rtd",,"OPEN_INT","."&amp;M$2&amp;M$1&amp;"P"&amp;$A10)="N/A",0,RTD("tos.rtd",,"OPEN_INT","."&amp;M$2&amp;M$1&amp;"P"&amp;$A10)),0),IF($X$1="ABS",IF(RTD("tos.rtd",,$A$2,"."&amp;M$2&amp;M$1&amp;"C"&amp;$A10)="N/A",0,RTD("tos.rtd",,$A$2,"."&amp;M$2&amp;M$1&amp;"C"&amp;$A10))+IF(RTD("tos.rtd",,$A$2,"."&amp;M$2&amp;M$1&amp;"P"&amp;$A10)="N/A",0,RTD("tos.rtd",,$A$2,"."&amp;M$2&amp;M$1&amp;"P"&amp;$A10)),IF(RTD("tos.rtd",,$A$2,"."&amp;M$2&amp;M$1&amp;"C"&amp;$A10)="N/A",0,RTD("tos.rtd",,$A$2,"."&amp;M$2&amp;M$1&amp;"C"&amp;$A10))-IF(RTD("tos.rtd",,$A$2,"."&amp;M$2&amp;M$1&amp;"P"&amp;$A10)="N/A",0,RTD("tos.rtd",,$A$2,"."&amp;M$2&amp;M$1&amp;"P"&amp;$A10))))))))))</f>
        <v>0</v>
      </c>
      <c r="N10" s="12">
        <f ca="1">IF($A$2="PREMIUM_OI",IFERROR(IF($X$1="ABS",(100*RTD("tos.rtd",,"OPEN_INT","."&amp;N$2&amp;N$1&amp;"C"&amp;$A10)*RTD("tos.rtd",,"LAST","."&amp;N$2&amp;N$1&amp;"C"&amp;$A10)+100*RTD("tos.rtd",,"OPEN_INT","."&amp;N$2&amp;N$1&amp;"P"&amp;$A10)*RTD("tos.rtd",,"LAST","."&amp;N$2&amp;N$1&amp;"P"&amp;$A10))/1000000,(100*RTD("tos.rtd",,"OPEN_INT","."&amp;N$2&amp;N$1&amp;"C"&amp;$A10)*RTD("tos.rtd",,"LAST","."&amp;N$2&amp;N$1&amp;"C"&amp;$A10)-100*RTD("tos.rtd",,"OPEN_INT","."&amp;N$2&amp;N$1&amp;"P"&amp;$A10)*RTD("tos.rtd",,"LAST","."&amp;N$2&amp;N$1&amp;"P"&amp;$A10))/1000000),0),IF($A$2="PREMIUM",IFERROR(IF($X$1="ABS",(100*RTD("tos.rtd",,"VOLUME","."&amp;N$2&amp;N$1&amp;"C"&amp;$A10)*RTD("tos.rtd",,"LAST","."&amp;N$2&amp;N$1&amp;"C"&amp;$A10)+100*RTD("tos.rtd",,"VOLUME","."&amp;N$2&amp;N$1&amp;"P"&amp;$A10)*RTD("tos.rtd",,"LAST","."&amp;N$2&amp;N$1&amp;"P"&amp;$A10))/1000000,(100*RTD("tos.rtd",,"VOLUME","."&amp;N$2&amp;N$1&amp;"C"&amp;$A10)*RTD("tos.rtd",,"LAST","."&amp;N$2&amp;N$1&amp;"C"&amp;$A10)-100*RTD("tos.rtd",,"VOLUME","."&amp;N$2&amp;N$1&amp;"P"&amp;$A10)*RTD("tos.rtd",,"LAST","."&amp;N$2&amp;N$1&amp;"P"&amp;$A10))/1000000),0),IF($A$2="DEX",IFERROR(IF($X$1="ABS",(100*RTD("tos.rtd",,"OPEN_INT","."&amp;N$2&amp;N$1&amp;"C"&amp;$A10)*RTD("tos.rtd",,"DELTA","."&amp;N$2&amp;N$1&amp;"C"&amp;$A10)+100*RTD("tos.rtd",,"OPEN_INT","."&amp;N$2&amp;N$1&amp;"P"&amp;$A10)*RTD("tos.rtd",,"DELTA","."&amp;N$2&amp;N$1&amp;"P"&amp;$A10))/1000,(100*RTD("tos.rtd",,"OPEN_INT","."&amp;N$2&amp;N$1&amp;"C"&amp;$A10)*RTD("tos.rtd",,"DELTA","."&amp;N$2&amp;N$1&amp;"C"&amp;$A10)-100*RTD("tos.rtd",,"OPEN_INT","."&amp;N$2&amp;N$1&amp;"P"&amp;$A10)*RTD("tos.rtd",,"DELTA","."&amp;N$2&amp;N$1&amp;"P"&amp;$A10))/1000),0),IF($A$2="VEX",IFERROR(IF($X$1="ABS",($A$4*$A$4*RTD("tos.rtd",,"VOLUME","."&amp;N$2&amp;N$1&amp;"C"&amp;$A10)*RTD("tos.rtd",,"GAMMA","."&amp;N$2&amp;N$1&amp;"C"&amp;$A10)+$A$4*$A$4*RTD("tos.rtd",,"VOLUME","."&amp;N$2&amp;N$1&amp;"P"&amp;$A10)*RTD("tos.rtd",,"GAMMA","."&amp;N$2&amp;N$1&amp;"P"&amp;$A10))/1000000,($A$4*$A$4*RTD("tos.rtd",,"VOLUME","."&amp;N$2&amp;N$1&amp;"C"&amp;$A10)*RTD("tos.rtd",,"GAMMA","."&amp;N$2&amp;N$1&amp;"C"&amp;$A10)-$A$4*$A$4*RTD("tos.rtd",,"VOLUME","."&amp;N$2&amp;N$1&amp;"P"&amp;$A10)*RTD("tos.rtd",,"GAMMA","."&amp;N$2&amp;N$1&amp;"P"&amp;$A10))/1000000),0),IF($A$2="GEX",IFERROR(IF($X$1="ABS",($A$4*$A$4*RTD("tos.rtd",,"OPEN_INT","."&amp;N$2&amp;N$1&amp;"C"&amp;$A10)*RTD("tos.rtd",,"GAMMA","."&amp;N$2&amp;N$1&amp;"C"&amp;$A10)+$A$4*$A$4*RTD("tos.rtd",,"OPEN_INT","."&amp;N$2&amp;N$1&amp;"P"&amp;$A10)*RTD("tos.rtd",,"GAMMA","."&amp;N$2&amp;N$1&amp;"P"&amp;$A10))/1000000,($A$4*$A$4*RTD("tos.rtd",,"OPEN_INT","."&amp;N$2&amp;N$1&amp;"C"&amp;$A10)*RTD("tos.rtd",,"GAMMA","."&amp;N$2&amp;N$1&amp;"C"&amp;$A10)-$A$4*$A$4*RTD("tos.rtd",,"OPEN_INT","."&amp;N$2&amp;N$1&amp;"P"&amp;$A10)*RTD("tos.rtd",,"GAMMA","."&amp;N$2&amp;N$1&amp;"P"&amp;$A10))/1000000),0),IF($A$2="SKEW",IFERROR(VALUE(IF(RTD("tos.rtd",,"IMPL_VOL","."&amp;N$2&amp;N$1&amp;"P"&amp;$A10)="N/A",0,RTD("tos.rtd",,"IMPL_VOL","."&amp;N$2&amp;N$1&amp;"P"&amp;$A10))),0)-IFERROR(VALUE(IF(RTD("tos.rtd",,"IMPL_VOL","."&amp;N$2&amp;N$1&amp;"C"&amp;$A10)="N/A",0,RTD("tos.rtd",,"IMPL_VOL","."&amp;N$2&amp;N$1&amp;"C"&amp;$A10))),0),IF($A$2="MAXPAIN",IF($A$4&gt;$A10,($A$4-$A10)*IF(RTD("tos.rtd",,"OPEN_INT","."&amp;N$2&amp;N$1&amp;"C"&amp;$A10)="N/A",0,RTD("tos.rtd",,"OPEN_INT","."&amp;N$2&amp;N$1&amp;"C"&amp;$A10)),0)+IF($A$4&lt;$A10,($A$5-$A$4)*IF(RTD("tos.rtd",,"OPEN_INT","."&amp;N$2&amp;N$1&amp;"P"&amp;$A10)="N/A",0,RTD("tos.rtd",,"OPEN_INT","."&amp;N$2&amp;N$1&amp;"P"&amp;$A10)),0),IF($X$1="ABS",IF(RTD("tos.rtd",,$A$2,"."&amp;N$2&amp;N$1&amp;"C"&amp;$A10)="N/A",0,RTD("tos.rtd",,$A$2,"."&amp;N$2&amp;N$1&amp;"C"&amp;$A10))+IF(RTD("tos.rtd",,$A$2,"."&amp;N$2&amp;N$1&amp;"P"&amp;$A10)="N/A",0,RTD("tos.rtd",,$A$2,"."&amp;N$2&amp;N$1&amp;"P"&amp;$A10)),IF(RTD("tos.rtd",,$A$2,"."&amp;N$2&amp;N$1&amp;"C"&amp;$A10)="N/A",0,RTD("tos.rtd",,$A$2,"."&amp;N$2&amp;N$1&amp;"C"&amp;$A10))-IF(RTD("tos.rtd",,$A$2,"."&amp;N$2&amp;N$1&amp;"P"&amp;$A10)="N/A",0,RTD("tos.rtd",,$A$2,"."&amp;N$2&amp;N$1&amp;"P"&amp;$A10))))))))))</f>
        <v>0</v>
      </c>
      <c r="O10" s="12">
        <f ca="1">IF($A$2="PREMIUM_OI",IFERROR(IF($X$1="ABS",(100*RTD("tos.rtd",,"OPEN_INT","."&amp;O$2&amp;O$1&amp;"C"&amp;$A10)*RTD("tos.rtd",,"LAST","."&amp;O$2&amp;O$1&amp;"C"&amp;$A10)+100*RTD("tos.rtd",,"OPEN_INT","."&amp;O$2&amp;O$1&amp;"P"&amp;$A10)*RTD("tos.rtd",,"LAST","."&amp;O$2&amp;O$1&amp;"P"&amp;$A10))/1000000,(100*RTD("tos.rtd",,"OPEN_INT","."&amp;O$2&amp;O$1&amp;"C"&amp;$A10)*RTD("tos.rtd",,"LAST","."&amp;O$2&amp;O$1&amp;"C"&amp;$A10)-100*RTD("tos.rtd",,"OPEN_INT","."&amp;O$2&amp;O$1&amp;"P"&amp;$A10)*RTD("tos.rtd",,"LAST","."&amp;O$2&amp;O$1&amp;"P"&amp;$A10))/1000000),0),IF($A$2="PREMIUM",IFERROR(IF($X$1="ABS",(100*RTD("tos.rtd",,"VOLUME","."&amp;O$2&amp;O$1&amp;"C"&amp;$A10)*RTD("tos.rtd",,"LAST","."&amp;O$2&amp;O$1&amp;"C"&amp;$A10)+100*RTD("tos.rtd",,"VOLUME","."&amp;O$2&amp;O$1&amp;"P"&amp;$A10)*RTD("tos.rtd",,"LAST","."&amp;O$2&amp;O$1&amp;"P"&amp;$A10))/1000000,(100*RTD("tos.rtd",,"VOLUME","."&amp;O$2&amp;O$1&amp;"C"&amp;$A10)*RTD("tos.rtd",,"LAST","."&amp;O$2&amp;O$1&amp;"C"&amp;$A10)-100*RTD("tos.rtd",,"VOLUME","."&amp;O$2&amp;O$1&amp;"P"&amp;$A10)*RTD("tos.rtd",,"LAST","."&amp;O$2&amp;O$1&amp;"P"&amp;$A10))/1000000),0),IF($A$2="DEX",IFERROR(IF($X$1="ABS",(100*RTD("tos.rtd",,"OPEN_INT","."&amp;O$2&amp;O$1&amp;"C"&amp;$A10)*RTD("tos.rtd",,"DELTA","."&amp;O$2&amp;O$1&amp;"C"&amp;$A10)+100*RTD("tos.rtd",,"OPEN_INT","."&amp;O$2&amp;O$1&amp;"P"&amp;$A10)*RTD("tos.rtd",,"DELTA","."&amp;O$2&amp;O$1&amp;"P"&amp;$A10))/1000,(100*RTD("tos.rtd",,"OPEN_INT","."&amp;O$2&amp;O$1&amp;"C"&amp;$A10)*RTD("tos.rtd",,"DELTA","."&amp;O$2&amp;O$1&amp;"C"&amp;$A10)-100*RTD("tos.rtd",,"OPEN_INT","."&amp;O$2&amp;O$1&amp;"P"&amp;$A10)*RTD("tos.rtd",,"DELTA","."&amp;O$2&amp;O$1&amp;"P"&amp;$A10))/1000),0),IF($A$2="VEX",IFERROR(IF($X$1="ABS",($A$4*$A$4*RTD("tos.rtd",,"VOLUME","."&amp;O$2&amp;O$1&amp;"C"&amp;$A10)*RTD("tos.rtd",,"GAMMA","."&amp;O$2&amp;O$1&amp;"C"&amp;$A10)+$A$4*$A$4*RTD("tos.rtd",,"VOLUME","."&amp;O$2&amp;O$1&amp;"P"&amp;$A10)*RTD("tos.rtd",,"GAMMA","."&amp;O$2&amp;O$1&amp;"P"&amp;$A10))/1000000,($A$4*$A$4*RTD("tos.rtd",,"VOLUME","."&amp;O$2&amp;O$1&amp;"C"&amp;$A10)*RTD("tos.rtd",,"GAMMA","."&amp;O$2&amp;O$1&amp;"C"&amp;$A10)-$A$4*$A$4*RTD("tos.rtd",,"VOLUME","."&amp;O$2&amp;O$1&amp;"P"&amp;$A10)*RTD("tos.rtd",,"GAMMA","."&amp;O$2&amp;O$1&amp;"P"&amp;$A10))/1000000),0),IF($A$2="GEX",IFERROR(IF($X$1="ABS",($A$4*$A$4*RTD("tos.rtd",,"OPEN_INT","."&amp;O$2&amp;O$1&amp;"C"&amp;$A10)*RTD("tos.rtd",,"GAMMA","."&amp;O$2&amp;O$1&amp;"C"&amp;$A10)+$A$4*$A$4*RTD("tos.rtd",,"OPEN_INT","."&amp;O$2&amp;O$1&amp;"P"&amp;$A10)*RTD("tos.rtd",,"GAMMA","."&amp;O$2&amp;O$1&amp;"P"&amp;$A10))/1000000,($A$4*$A$4*RTD("tos.rtd",,"OPEN_INT","."&amp;O$2&amp;O$1&amp;"C"&amp;$A10)*RTD("tos.rtd",,"GAMMA","."&amp;O$2&amp;O$1&amp;"C"&amp;$A10)-$A$4*$A$4*RTD("tos.rtd",,"OPEN_INT","."&amp;O$2&amp;O$1&amp;"P"&amp;$A10)*RTD("tos.rtd",,"GAMMA","."&amp;O$2&amp;O$1&amp;"P"&amp;$A10))/1000000),0),IF($A$2="SKEW",IFERROR(VALUE(IF(RTD("tos.rtd",,"IMPL_VOL","."&amp;O$2&amp;O$1&amp;"P"&amp;$A10)="N/A",0,RTD("tos.rtd",,"IMPL_VOL","."&amp;O$2&amp;O$1&amp;"P"&amp;$A10))),0)-IFERROR(VALUE(IF(RTD("tos.rtd",,"IMPL_VOL","."&amp;O$2&amp;O$1&amp;"C"&amp;$A10)="N/A",0,RTD("tos.rtd",,"IMPL_VOL","."&amp;O$2&amp;O$1&amp;"C"&amp;$A10))),0),IF($A$2="MAXPAIN",IF($A$4&gt;$A10,($A$4-$A10)*IF(RTD("tos.rtd",,"OPEN_INT","."&amp;O$2&amp;O$1&amp;"C"&amp;$A10)="N/A",0,RTD("tos.rtd",,"OPEN_INT","."&amp;O$2&amp;O$1&amp;"C"&amp;$A10)),0)+IF($A$4&lt;$A10,($A$5-$A$4)*IF(RTD("tos.rtd",,"OPEN_INT","."&amp;O$2&amp;O$1&amp;"P"&amp;$A10)="N/A",0,RTD("tos.rtd",,"OPEN_INT","."&amp;O$2&amp;O$1&amp;"P"&amp;$A10)),0),IF($X$1="ABS",IF(RTD("tos.rtd",,$A$2,"."&amp;O$2&amp;O$1&amp;"C"&amp;$A10)="N/A",0,RTD("tos.rtd",,$A$2,"."&amp;O$2&amp;O$1&amp;"C"&amp;$A10))+IF(RTD("tos.rtd",,$A$2,"."&amp;O$2&amp;O$1&amp;"P"&amp;$A10)="N/A",0,RTD("tos.rtd",,$A$2,"."&amp;O$2&amp;O$1&amp;"P"&amp;$A10)),IF(RTD("tos.rtd",,$A$2,"."&amp;O$2&amp;O$1&amp;"C"&amp;$A10)="N/A",0,RTD("tos.rtd",,$A$2,"."&amp;O$2&amp;O$1&amp;"C"&amp;$A10))-IF(RTD("tos.rtd",,$A$2,"."&amp;O$2&amp;O$1&amp;"P"&amp;$A10)="N/A",0,RTD("tos.rtd",,$A$2,"."&amp;O$2&amp;O$1&amp;"P"&amp;$A10))))))))))</f>
        <v>0</v>
      </c>
      <c r="P10" s="12">
        <f ca="1">IF($A$2="PREMIUM_OI",IFERROR(IF($X$1="ABS",(100*RTD("tos.rtd",,"OPEN_INT","."&amp;P$2&amp;P$1&amp;"C"&amp;$A10)*RTD("tos.rtd",,"LAST","."&amp;P$2&amp;P$1&amp;"C"&amp;$A10)+100*RTD("tos.rtd",,"OPEN_INT","."&amp;P$2&amp;P$1&amp;"P"&amp;$A10)*RTD("tos.rtd",,"LAST","."&amp;P$2&amp;P$1&amp;"P"&amp;$A10))/1000000,(100*RTD("tos.rtd",,"OPEN_INT","."&amp;P$2&amp;P$1&amp;"C"&amp;$A10)*RTD("tos.rtd",,"LAST","."&amp;P$2&amp;P$1&amp;"C"&amp;$A10)-100*RTD("tos.rtd",,"OPEN_INT","."&amp;P$2&amp;P$1&amp;"P"&amp;$A10)*RTD("tos.rtd",,"LAST","."&amp;P$2&amp;P$1&amp;"P"&amp;$A10))/1000000),0),IF($A$2="PREMIUM",IFERROR(IF($X$1="ABS",(100*RTD("tos.rtd",,"VOLUME","."&amp;P$2&amp;P$1&amp;"C"&amp;$A10)*RTD("tos.rtd",,"LAST","."&amp;P$2&amp;P$1&amp;"C"&amp;$A10)+100*RTD("tos.rtd",,"VOLUME","."&amp;P$2&amp;P$1&amp;"P"&amp;$A10)*RTD("tos.rtd",,"LAST","."&amp;P$2&amp;P$1&amp;"P"&amp;$A10))/1000000,(100*RTD("tos.rtd",,"VOLUME","."&amp;P$2&amp;P$1&amp;"C"&amp;$A10)*RTD("tos.rtd",,"LAST","."&amp;P$2&amp;P$1&amp;"C"&amp;$A10)-100*RTD("tos.rtd",,"VOLUME","."&amp;P$2&amp;P$1&amp;"P"&amp;$A10)*RTD("tos.rtd",,"LAST","."&amp;P$2&amp;P$1&amp;"P"&amp;$A10))/1000000),0),IF($A$2="DEX",IFERROR(IF($X$1="ABS",(100*RTD("tos.rtd",,"OPEN_INT","."&amp;P$2&amp;P$1&amp;"C"&amp;$A10)*RTD("tos.rtd",,"DELTA","."&amp;P$2&amp;P$1&amp;"C"&amp;$A10)+100*RTD("tos.rtd",,"OPEN_INT","."&amp;P$2&amp;P$1&amp;"P"&amp;$A10)*RTD("tos.rtd",,"DELTA","."&amp;P$2&amp;P$1&amp;"P"&amp;$A10))/1000,(100*RTD("tos.rtd",,"OPEN_INT","."&amp;P$2&amp;P$1&amp;"C"&amp;$A10)*RTD("tos.rtd",,"DELTA","."&amp;P$2&amp;P$1&amp;"C"&amp;$A10)-100*RTD("tos.rtd",,"OPEN_INT","."&amp;P$2&amp;P$1&amp;"P"&amp;$A10)*RTD("tos.rtd",,"DELTA","."&amp;P$2&amp;P$1&amp;"P"&amp;$A10))/1000),0),IF($A$2="VEX",IFERROR(IF($X$1="ABS",($A$4*$A$4*RTD("tos.rtd",,"VOLUME","."&amp;P$2&amp;P$1&amp;"C"&amp;$A10)*RTD("tos.rtd",,"GAMMA","."&amp;P$2&amp;P$1&amp;"C"&amp;$A10)+$A$4*$A$4*RTD("tos.rtd",,"VOLUME","."&amp;P$2&amp;P$1&amp;"P"&amp;$A10)*RTD("tos.rtd",,"GAMMA","."&amp;P$2&amp;P$1&amp;"P"&amp;$A10))/1000000,($A$4*$A$4*RTD("tos.rtd",,"VOLUME","."&amp;P$2&amp;P$1&amp;"C"&amp;$A10)*RTD("tos.rtd",,"GAMMA","."&amp;P$2&amp;P$1&amp;"C"&amp;$A10)-$A$4*$A$4*RTD("tos.rtd",,"VOLUME","."&amp;P$2&amp;P$1&amp;"P"&amp;$A10)*RTD("tos.rtd",,"GAMMA","."&amp;P$2&amp;P$1&amp;"P"&amp;$A10))/1000000),0),IF($A$2="GEX",IFERROR(IF($X$1="ABS",($A$4*$A$4*RTD("tos.rtd",,"OPEN_INT","."&amp;P$2&amp;P$1&amp;"C"&amp;$A10)*RTD("tos.rtd",,"GAMMA","."&amp;P$2&amp;P$1&amp;"C"&amp;$A10)+$A$4*$A$4*RTD("tos.rtd",,"OPEN_INT","."&amp;P$2&amp;P$1&amp;"P"&amp;$A10)*RTD("tos.rtd",,"GAMMA","."&amp;P$2&amp;P$1&amp;"P"&amp;$A10))/1000000,($A$4*$A$4*RTD("tos.rtd",,"OPEN_INT","."&amp;P$2&amp;P$1&amp;"C"&amp;$A10)*RTD("tos.rtd",,"GAMMA","."&amp;P$2&amp;P$1&amp;"C"&amp;$A10)-$A$4*$A$4*RTD("tos.rtd",,"OPEN_INT","."&amp;P$2&amp;P$1&amp;"P"&amp;$A10)*RTD("tos.rtd",,"GAMMA","."&amp;P$2&amp;P$1&amp;"P"&amp;$A10))/1000000),0),IF($A$2="SKEW",IFERROR(VALUE(IF(RTD("tos.rtd",,"IMPL_VOL","."&amp;P$2&amp;P$1&amp;"P"&amp;$A10)="N/A",0,RTD("tos.rtd",,"IMPL_VOL","."&amp;P$2&amp;P$1&amp;"P"&amp;$A10))),0)-IFERROR(VALUE(IF(RTD("tos.rtd",,"IMPL_VOL","."&amp;P$2&amp;P$1&amp;"C"&amp;$A10)="N/A",0,RTD("tos.rtd",,"IMPL_VOL","."&amp;P$2&amp;P$1&amp;"C"&amp;$A10))),0),IF($A$2="MAXPAIN",IF($A$4&gt;$A10,($A$4-$A10)*IF(RTD("tos.rtd",,"OPEN_INT","."&amp;P$2&amp;P$1&amp;"C"&amp;$A10)="N/A",0,RTD("tos.rtd",,"OPEN_INT","."&amp;P$2&amp;P$1&amp;"C"&amp;$A10)),0)+IF($A$4&lt;$A10,($A$5-$A$4)*IF(RTD("tos.rtd",,"OPEN_INT","."&amp;P$2&amp;P$1&amp;"P"&amp;$A10)="N/A",0,RTD("tos.rtd",,"OPEN_INT","."&amp;P$2&amp;P$1&amp;"P"&amp;$A10)),0),IF($X$1="ABS",IF(RTD("tos.rtd",,$A$2,"."&amp;P$2&amp;P$1&amp;"C"&amp;$A10)="N/A",0,RTD("tos.rtd",,$A$2,"."&amp;P$2&amp;P$1&amp;"C"&amp;$A10))+IF(RTD("tos.rtd",,$A$2,"."&amp;P$2&amp;P$1&amp;"P"&amp;$A10)="N/A",0,RTD("tos.rtd",,$A$2,"."&amp;P$2&amp;P$1&amp;"P"&amp;$A10)),IF(RTD("tos.rtd",,$A$2,"."&amp;P$2&amp;P$1&amp;"C"&amp;$A10)="N/A",0,RTD("tos.rtd",,$A$2,"."&amp;P$2&amp;P$1&amp;"C"&amp;$A10))-IF(RTD("tos.rtd",,$A$2,"."&amp;P$2&amp;P$1&amp;"P"&amp;$A10)="N/A",0,RTD("tos.rtd",,$A$2,"."&amp;P$2&amp;P$1&amp;"P"&amp;$A10))))))))))</f>
        <v>0</v>
      </c>
      <c r="Q10" s="12">
        <f ca="1">IF($A$2="PREMIUM_OI",IFERROR(IF($X$1="ABS",(100*RTD("tos.rtd",,"OPEN_INT","."&amp;Q$2&amp;Q$1&amp;"C"&amp;$A10)*RTD("tos.rtd",,"LAST","."&amp;Q$2&amp;Q$1&amp;"C"&amp;$A10)+100*RTD("tos.rtd",,"OPEN_INT","."&amp;Q$2&amp;Q$1&amp;"P"&amp;$A10)*RTD("tos.rtd",,"LAST","."&amp;Q$2&amp;Q$1&amp;"P"&amp;$A10))/1000000,(100*RTD("tos.rtd",,"OPEN_INT","."&amp;Q$2&amp;Q$1&amp;"C"&amp;$A10)*RTD("tos.rtd",,"LAST","."&amp;Q$2&amp;Q$1&amp;"C"&amp;$A10)-100*RTD("tos.rtd",,"OPEN_INT","."&amp;Q$2&amp;Q$1&amp;"P"&amp;$A10)*RTD("tos.rtd",,"LAST","."&amp;Q$2&amp;Q$1&amp;"P"&amp;$A10))/1000000),0),IF($A$2="PREMIUM",IFERROR(IF($X$1="ABS",(100*RTD("tos.rtd",,"VOLUME","."&amp;Q$2&amp;Q$1&amp;"C"&amp;$A10)*RTD("tos.rtd",,"LAST","."&amp;Q$2&amp;Q$1&amp;"C"&amp;$A10)+100*RTD("tos.rtd",,"VOLUME","."&amp;Q$2&amp;Q$1&amp;"P"&amp;$A10)*RTD("tos.rtd",,"LAST","."&amp;Q$2&amp;Q$1&amp;"P"&amp;$A10))/1000000,(100*RTD("tos.rtd",,"VOLUME","."&amp;Q$2&amp;Q$1&amp;"C"&amp;$A10)*RTD("tos.rtd",,"LAST","."&amp;Q$2&amp;Q$1&amp;"C"&amp;$A10)-100*RTD("tos.rtd",,"VOLUME","."&amp;Q$2&amp;Q$1&amp;"P"&amp;$A10)*RTD("tos.rtd",,"LAST","."&amp;Q$2&amp;Q$1&amp;"P"&amp;$A10))/1000000),0),IF($A$2="DEX",IFERROR(IF($X$1="ABS",(100*RTD("tos.rtd",,"OPEN_INT","."&amp;Q$2&amp;Q$1&amp;"C"&amp;$A10)*RTD("tos.rtd",,"DELTA","."&amp;Q$2&amp;Q$1&amp;"C"&amp;$A10)+100*RTD("tos.rtd",,"OPEN_INT","."&amp;Q$2&amp;Q$1&amp;"P"&amp;$A10)*RTD("tos.rtd",,"DELTA","."&amp;Q$2&amp;Q$1&amp;"P"&amp;$A10))/1000,(100*RTD("tos.rtd",,"OPEN_INT","."&amp;Q$2&amp;Q$1&amp;"C"&amp;$A10)*RTD("tos.rtd",,"DELTA","."&amp;Q$2&amp;Q$1&amp;"C"&amp;$A10)-100*RTD("tos.rtd",,"OPEN_INT","."&amp;Q$2&amp;Q$1&amp;"P"&amp;$A10)*RTD("tos.rtd",,"DELTA","."&amp;Q$2&amp;Q$1&amp;"P"&amp;$A10))/1000),0),IF($A$2="VEX",IFERROR(IF($X$1="ABS",($A$4*$A$4*RTD("tos.rtd",,"VOLUME","."&amp;Q$2&amp;Q$1&amp;"C"&amp;$A10)*RTD("tos.rtd",,"GAMMA","."&amp;Q$2&amp;Q$1&amp;"C"&amp;$A10)+$A$4*$A$4*RTD("tos.rtd",,"VOLUME","."&amp;Q$2&amp;Q$1&amp;"P"&amp;$A10)*RTD("tos.rtd",,"GAMMA","."&amp;Q$2&amp;Q$1&amp;"P"&amp;$A10))/1000000,($A$4*$A$4*RTD("tos.rtd",,"VOLUME","."&amp;Q$2&amp;Q$1&amp;"C"&amp;$A10)*RTD("tos.rtd",,"GAMMA","."&amp;Q$2&amp;Q$1&amp;"C"&amp;$A10)-$A$4*$A$4*RTD("tos.rtd",,"VOLUME","."&amp;Q$2&amp;Q$1&amp;"P"&amp;$A10)*RTD("tos.rtd",,"GAMMA","."&amp;Q$2&amp;Q$1&amp;"P"&amp;$A10))/1000000),0),IF($A$2="GEX",IFERROR(IF($X$1="ABS",($A$4*$A$4*RTD("tos.rtd",,"OPEN_INT","."&amp;Q$2&amp;Q$1&amp;"C"&amp;$A10)*RTD("tos.rtd",,"GAMMA","."&amp;Q$2&amp;Q$1&amp;"C"&amp;$A10)+$A$4*$A$4*RTD("tos.rtd",,"OPEN_INT","."&amp;Q$2&amp;Q$1&amp;"P"&amp;$A10)*RTD("tos.rtd",,"GAMMA","."&amp;Q$2&amp;Q$1&amp;"P"&amp;$A10))/1000000,($A$4*$A$4*RTD("tos.rtd",,"OPEN_INT","."&amp;Q$2&amp;Q$1&amp;"C"&amp;$A10)*RTD("tos.rtd",,"GAMMA","."&amp;Q$2&amp;Q$1&amp;"C"&amp;$A10)-$A$4*$A$4*RTD("tos.rtd",,"OPEN_INT","."&amp;Q$2&amp;Q$1&amp;"P"&amp;$A10)*RTD("tos.rtd",,"GAMMA","."&amp;Q$2&amp;Q$1&amp;"P"&amp;$A10))/1000000),0),IF($A$2="SKEW",IFERROR(VALUE(IF(RTD("tos.rtd",,"IMPL_VOL","."&amp;Q$2&amp;Q$1&amp;"P"&amp;$A10)="N/A",0,RTD("tos.rtd",,"IMPL_VOL","."&amp;Q$2&amp;Q$1&amp;"P"&amp;$A10))),0)-IFERROR(VALUE(IF(RTD("tos.rtd",,"IMPL_VOL","."&amp;Q$2&amp;Q$1&amp;"C"&amp;$A10)="N/A",0,RTD("tos.rtd",,"IMPL_VOL","."&amp;Q$2&amp;Q$1&amp;"C"&amp;$A10))),0),IF($A$2="MAXPAIN",IF($A$4&gt;$A10,($A$4-$A10)*IF(RTD("tos.rtd",,"OPEN_INT","."&amp;Q$2&amp;Q$1&amp;"C"&amp;$A10)="N/A",0,RTD("tos.rtd",,"OPEN_INT","."&amp;Q$2&amp;Q$1&amp;"C"&amp;$A10)),0)+IF($A$4&lt;$A10,($A$5-$A$4)*IF(RTD("tos.rtd",,"OPEN_INT","."&amp;Q$2&amp;Q$1&amp;"P"&amp;$A10)="N/A",0,RTD("tos.rtd",,"OPEN_INT","."&amp;Q$2&amp;Q$1&amp;"P"&amp;$A10)),0),IF($X$1="ABS",IF(RTD("tos.rtd",,$A$2,"."&amp;Q$2&amp;Q$1&amp;"C"&amp;$A10)="N/A",0,RTD("tos.rtd",,$A$2,"."&amp;Q$2&amp;Q$1&amp;"C"&amp;$A10))+IF(RTD("tos.rtd",,$A$2,"."&amp;Q$2&amp;Q$1&amp;"P"&amp;$A10)="N/A",0,RTD("tos.rtd",,$A$2,"."&amp;Q$2&amp;Q$1&amp;"P"&amp;$A10)),IF(RTD("tos.rtd",,$A$2,"."&amp;Q$2&amp;Q$1&amp;"C"&amp;$A10)="N/A",0,RTD("tos.rtd",,$A$2,"."&amp;Q$2&amp;Q$1&amp;"C"&amp;$A10))-IF(RTD("tos.rtd",,$A$2,"."&amp;Q$2&amp;Q$1&amp;"P"&amp;$A10)="N/A",0,RTD("tos.rtd",,$A$2,"."&amp;Q$2&amp;Q$1&amp;"P"&amp;$A10))))))))))</f>
        <v>0</v>
      </c>
      <c r="R10" s="12">
        <f ca="1">IF($A$2="PREMIUM_OI",IFERROR(IF($X$1="ABS",(100*RTD("tos.rtd",,"OPEN_INT","."&amp;R$2&amp;R$1&amp;"C"&amp;$A10)*RTD("tos.rtd",,"LAST","."&amp;R$2&amp;R$1&amp;"C"&amp;$A10)+100*RTD("tos.rtd",,"OPEN_INT","."&amp;R$2&amp;R$1&amp;"P"&amp;$A10)*RTD("tos.rtd",,"LAST","."&amp;R$2&amp;R$1&amp;"P"&amp;$A10))/1000000,(100*RTD("tos.rtd",,"OPEN_INT","."&amp;R$2&amp;R$1&amp;"C"&amp;$A10)*RTD("tos.rtd",,"LAST","."&amp;R$2&amp;R$1&amp;"C"&amp;$A10)-100*RTD("tos.rtd",,"OPEN_INT","."&amp;R$2&amp;R$1&amp;"P"&amp;$A10)*RTD("tos.rtd",,"LAST","."&amp;R$2&amp;R$1&amp;"P"&amp;$A10))/1000000),0),IF($A$2="PREMIUM",IFERROR(IF($X$1="ABS",(100*RTD("tos.rtd",,"VOLUME","."&amp;R$2&amp;R$1&amp;"C"&amp;$A10)*RTD("tos.rtd",,"LAST","."&amp;R$2&amp;R$1&amp;"C"&amp;$A10)+100*RTD("tos.rtd",,"VOLUME","."&amp;R$2&amp;R$1&amp;"P"&amp;$A10)*RTD("tos.rtd",,"LAST","."&amp;R$2&amp;R$1&amp;"P"&amp;$A10))/1000000,(100*RTD("tos.rtd",,"VOLUME","."&amp;R$2&amp;R$1&amp;"C"&amp;$A10)*RTD("tos.rtd",,"LAST","."&amp;R$2&amp;R$1&amp;"C"&amp;$A10)-100*RTD("tos.rtd",,"VOLUME","."&amp;R$2&amp;R$1&amp;"P"&amp;$A10)*RTD("tos.rtd",,"LAST","."&amp;R$2&amp;R$1&amp;"P"&amp;$A10))/1000000),0),IF($A$2="DEX",IFERROR(IF($X$1="ABS",(100*RTD("tos.rtd",,"OPEN_INT","."&amp;R$2&amp;R$1&amp;"C"&amp;$A10)*RTD("tos.rtd",,"DELTA","."&amp;R$2&amp;R$1&amp;"C"&amp;$A10)+100*RTD("tos.rtd",,"OPEN_INT","."&amp;R$2&amp;R$1&amp;"P"&amp;$A10)*RTD("tos.rtd",,"DELTA","."&amp;R$2&amp;R$1&amp;"P"&amp;$A10))/1000,(100*RTD("tos.rtd",,"OPEN_INT","."&amp;R$2&amp;R$1&amp;"C"&amp;$A10)*RTD("tos.rtd",,"DELTA","."&amp;R$2&amp;R$1&amp;"C"&amp;$A10)-100*RTD("tos.rtd",,"OPEN_INT","."&amp;R$2&amp;R$1&amp;"P"&amp;$A10)*RTD("tos.rtd",,"DELTA","."&amp;R$2&amp;R$1&amp;"P"&amp;$A10))/1000),0),IF($A$2="VEX",IFERROR(IF($X$1="ABS",($A$4*$A$4*RTD("tos.rtd",,"VOLUME","."&amp;R$2&amp;R$1&amp;"C"&amp;$A10)*RTD("tos.rtd",,"GAMMA","."&amp;R$2&amp;R$1&amp;"C"&amp;$A10)+$A$4*$A$4*RTD("tos.rtd",,"VOLUME","."&amp;R$2&amp;R$1&amp;"P"&amp;$A10)*RTD("tos.rtd",,"GAMMA","."&amp;R$2&amp;R$1&amp;"P"&amp;$A10))/1000000,($A$4*$A$4*RTD("tos.rtd",,"VOLUME","."&amp;R$2&amp;R$1&amp;"C"&amp;$A10)*RTD("tos.rtd",,"GAMMA","."&amp;R$2&amp;R$1&amp;"C"&amp;$A10)-$A$4*$A$4*RTD("tos.rtd",,"VOLUME","."&amp;R$2&amp;R$1&amp;"P"&amp;$A10)*RTD("tos.rtd",,"GAMMA","."&amp;R$2&amp;R$1&amp;"P"&amp;$A10))/1000000),0),IF($A$2="GEX",IFERROR(IF($X$1="ABS",($A$4*$A$4*RTD("tos.rtd",,"OPEN_INT","."&amp;R$2&amp;R$1&amp;"C"&amp;$A10)*RTD("tos.rtd",,"GAMMA","."&amp;R$2&amp;R$1&amp;"C"&amp;$A10)+$A$4*$A$4*RTD("tos.rtd",,"OPEN_INT","."&amp;R$2&amp;R$1&amp;"P"&amp;$A10)*RTD("tos.rtd",,"GAMMA","."&amp;R$2&amp;R$1&amp;"P"&amp;$A10))/1000000,($A$4*$A$4*RTD("tos.rtd",,"OPEN_INT","."&amp;R$2&amp;R$1&amp;"C"&amp;$A10)*RTD("tos.rtd",,"GAMMA","."&amp;R$2&amp;R$1&amp;"C"&amp;$A10)-$A$4*$A$4*RTD("tos.rtd",,"OPEN_INT","."&amp;R$2&amp;R$1&amp;"P"&amp;$A10)*RTD("tos.rtd",,"GAMMA","."&amp;R$2&amp;R$1&amp;"P"&amp;$A10))/1000000),0),IF($A$2="SKEW",IFERROR(VALUE(IF(RTD("tos.rtd",,"IMPL_VOL","."&amp;R$2&amp;R$1&amp;"P"&amp;$A10)="N/A",0,RTD("tos.rtd",,"IMPL_VOL","."&amp;R$2&amp;R$1&amp;"P"&amp;$A10))),0)-IFERROR(VALUE(IF(RTD("tos.rtd",,"IMPL_VOL","."&amp;R$2&amp;R$1&amp;"C"&amp;$A10)="N/A",0,RTD("tos.rtd",,"IMPL_VOL","."&amp;R$2&amp;R$1&amp;"C"&amp;$A10))),0),IF($A$2="MAXPAIN",IF($A$4&gt;$A10,($A$4-$A10)*IF(RTD("tos.rtd",,"OPEN_INT","."&amp;R$2&amp;R$1&amp;"C"&amp;$A10)="N/A",0,RTD("tos.rtd",,"OPEN_INT","."&amp;R$2&amp;R$1&amp;"C"&amp;$A10)),0)+IF($A$4&lt;$A10,($A$5-$A$4)*IF(RTD("tos.rtd",,"OPEN_INT","."&amp;R$2&amp;R$1&amp;"P"&amp;$A10)="N/A",0,RTD("tos.rtd",,"OPEN_INT","."&amp;R$2&amp;R$1&amp;"P"&amp;$A10)),0),IF($X$1="ABS",IF(RTD("tos.rtd",,$A$2,"."&amp;R$2&amp;R$1&amp;"C"&amp;$A10)="N/A",0,RTD("tos.rtd",,$A$2,"."&amp;R$2&amp;R$1&amp;"C"&amp;$A10))+IF(RTD("tos.rtd",,$A$2,"."&amp;R$2&amp;R$1&amp;"P"&amp;$A10)="N/A",0,RTD("tos.rtd",,$A$2,"."&amp;R$2&amp;R$1&amp;"P"&amp;$A10)),IF(RTD("tos.rtd",,$A$2,"."&amp;R$2&amp;R$1&amp;"C"&amp;$A10)="N/A",0,RTD("tos.rtd",,$A$2,"."&amp;R$2&amp;R$1&amp;"C"&amp;$A10))-IF(RTD("tos.rtd",,$A$2,"."&amp;R$2&amp;R$1&amp;"P"&amp;$A10)="N/A",0,RTD("tos.rtd",,$A$2,"."&amp;R$2&amp;R$1&amp;"P"&amp;$A10))))))))))</f>
        <v>0</v>
      </c>
      <c r="S10" s="12">
        <f ca="1">IF($A$2="PREMIUM_OI",IFERROR(IF($X$1="ABS",(100*RTD("tos.rtd",,"OPEN_INT","."&amp;S$2&amp;S$1&amp;"C"&amp;$A10)*RTD("tos.rtd",,"LAST","."&amp;S$2&amp;S$1&amp;"C"&amp;$A10)+100*RTD("tos.rtd",,"OPEN_INT","."&amp;S$2&amp;S$1&amp;"P"&amp;$A10)*RTD("tos.rtd",,"LAST","."&amp;S$2&amp;S$1&amp;"P"&amp;$A10))/1000000,(100*RTD("tos.rtd",,"OPEN_INT","."&amp;S$2&amp;S$1&amp;"C"&amp;$A10)*RTD("tos.rtd",,"LAST","."&amp;S$2&amp;S$1&amp;"C"&amp;$A10)-100*RTD("tos.rtd",,"OPEN_INT","."&amp;S$2&amp;S$1&amp;"P"&amp;$A10)*RTD("tos.rtd",,"LAST","."&amp;S$2&amp;S$1&amp;"P"&amp;$A10))/1000000),0),IF($A$2="PREMIUM",IFERROR(IF($X$1="ABS",(100*RTD("tos.rtd",,"VOLUME","."&amp;S$2&amp;S$1&amp;"C"&amp;$A10)*RTD("tos.rtd",,"LAST","."&amp;S$2&amp;S$1&amp;"C"&amp;$A10)+100*RTD("tos.rtd",,"VOLUME","."&amp;S$2&amp;S$1&amp;"P"&amp;$A10)*RTD("tos.rtd",,"LAST","."&amp;S$2&amp;S$1&amp;"P"&amp;$A10))/1000000,(100*RTD("tos.rtd",,"VOLUME","."&amp;S$2&amp;S$1&amp;"C"&amp;$A10)*RTD("tos.rtd",,"LAST","."&amp;S$2&amp;S$1&amp;"C"&amp;$A10)-100*RTD("tos.rtd",,"VOLUME","."&amp;S$2&amp;S$1&amp;"P"&amp;$A10)*RTD("tos.rtd",,"LAST","."&amp;S$2&amp;S$1&amp;"P"&amp;$A10))/1000000),0),IF($A$2="DEX",IFERROR(IF($X$1="ABS",(100*RTD("tos.rtd",,"OPEN_INT","."&amp;S$2&amp;S$1&amp;"C"&amp;$A10)*RTD("tos.rtd",,"DELTA","."&amp;S$2&amp;S$1&amp;"C"&amp;$A10)+100*RTD("tos.rtd",,"OPEN_INT","."&amp;S$2&amp;S$1&amp;"P"&amp;$A10)*RTD("tos.rtd",,"DELTA","."&amp;S$2&amp;S$1&amp;"P"&amp;$A10))/1000,(100*RTD("tos.rtd",,"OPEN_INT","."&amp;S$2&amp;S$1&amp;"C"&amp;$A10)*RTD("tos.rtd",,"DELTA","."&amp;S$2&amp;S$1&amp;"C"&amp;$A10)-100*RTD("tos.rtd",,"OPEN_INT","."&amp;S$2&amp;S$1&amp;"P"&amp;$A10)*RTD("tos.rtd",,"DELTA","."&amp;S$2&amp;S$1&amp;"P"&amp;$A10))/1000),0),IF($A$2="VEX",IFERROR(IF($X$1="ABS",($A$4*$A$4*RTD("tos.rtd",,"VOLUME","."&amp;S$2&amp;S$1&amp;"C"&amp;$A10)*RTD("tos.rtd",,"GAMMA","."&amp;S$2&amp;S$1&amp;"C"&amp;$A10)+$A$4*$A$4*RTD("tos.rtd",,"VOLUME","."&amp;S$2&amp;S$1&amp;"P"&amp;$A10)*RTD("tos.rtd",,"GAMMA","."&amp;S$2&amp;S$1&amp;"P"&amp;$A10))/1000000,($A$4*$A$4*RTD("tos.rtd",,"VOLUME","."&amp;S$2&amp;S$1&amp;"C"&amp;$A10)*RTD("tos.rtd",,"GAMMA","."&amp;S$2&amp;S$1&amp;"C"&amp;$A10)-$A$4*$A$4*RTD("tos.rtd",,"VOLUME","."&amp;S$2&amp;S$1&amp;"P"&amp;$A10)*RTD("tos.rtd",,"GAMMA","."&amp;S$2&amp;S$1&amp;"P"&amp;$A10))/1000000),0),IF($A$2="GEX",IFERROR(IF($X$1="ABS",($A$4*$A$4*RTD("tos.rtd",,"OPEN_INT","."&amp;S$2&amp;S$1&amp;"C"&amp;$A10)*RTD("tos.rtd",,"GAMMA","."&amp;S$2&amp;S$1&amp;"C"&amp;$A10)+$A$4*$A$4*RTD("tos.rtd",,"OPEN_INT","."&amp;S$2&amp;S$1&amp;"P"&amp;$A10)*RTD("tos.rtd",,"GAMMA","."&amp;S$2&amp;S$1&amp;"P"&amp;$A10))/1000000,($A$4*$A$4*RTD("tos.rtd",,"OPEN_INT","."&amp;S$2&amp;S$1&amp;"C"&amp;$A10)*RTD("tos.rtd",,"GAMMA","."&amp;S$2&amp;S$1&amp;"C"&amp;$A10)-$A$4*$A$4*RTD("tos.rtd",,"OPEN_INT","."&amp;S$2&amp;S$1&amp;"P"&amp;$A10)*RTD("tos.rtd",,"GAMMA","."&amp;S$2&amp;S$1&amp;"P"&amp;$A10))/1000000),0),IF($A$2="SKEW",IFERROR(VALUE(IF(RTD("tos.rtd",,"IMPL_VOL","."&amp;S$2&amp;S$1&amp;"P"&amp;$A10)="N/A",0,RTD("tos.rtd",,"IMPL_VOL","."&amp;S$2&amp;S$1&amp;"P"&amp;$A10))),0)-IFERROR(VALUE(IF(RTD("tos.rtd",,"IMPL_VOL","."&amp;S$2&amp;S$1&amp;"C"&amp;$A10)="N/A",0,RTD("tos.rtd",,"IMPL_VOL","."&amp;S$2&amp;S$1&amp;"C"&amp;$A10))),0),IF($A$2="MAXPAIN",IF($A$4&gt;$A10,($A$4-$A10)*IF(RTD("tos.rtd",,"OPEN_INT","."&amp;S$2&amp;S$1&amp;"C"&amp;$A10)="N/A",0,RTD("tos.rtd",,"OPEN_INT","."&amp;S$2&amp;S$1&amp;"C"&amp;$A10)),0)+IF($A$4&lt;$A10,($A$5-$A$4)*IF(RTD("tos.rtd",,"OPEN_INT","."&amp;S$2&amp;S$1&amp;"P"&amp;$A10)="N/A",0,RTD("tos.rtd",,"OPEN_INT","."&amp;S$2&amp;S$1&amp;"P"&amp;$A10)),0),IF($X$1="ABS",IF(RTD("tos.rtd",,$A$2,"."&amp;S$2&amp;S$1&amp;"C"&amp;$A10)="N/A",0,RTD("tos.rtd",,$A$2,"."&amp;S$2&amp;S$1&amp;"C"&amp;$A10))+IF(RTD("tos.rtd",,$A$2,"."&amp;S$2&amp;S$1&amp;"P"&amp;$A10)="N/A",0,RTD("tos.rtd",,$A$2,"."&amp;S$2&amp;S$1&amp;"P"&amp;$A10)),IF(RTD("tos.rtd",,$A$2,"."&amp;S$2&amp;S$1&amp;"C"&amp;$A10)="N/A",0,RTD("tos.rtd",,$A$2,"."&amp;S$2&amp;S$1&amp;"C"&amp;$A10))-IF(RTD("tos.rtd",,$A$2,"."&amp;S$2&amp;S$1&amp;"P"&amp;$A10)="N/A",0,RTD("tos.rtd",,$A$2,"."&amp;S$2&amp;S$1&amp;"P"&amp;$A10))))))))))</f>
        <v>0</v>
      </c>
      <c r="T10" s="12">
        <f ca="1">IF($A$2="PREMIUM_OI",IFERROR(IF($X$1="ABS",(100*RTD("tos.rtd",,"OPEN_INT","."&amp;T$2&amp;T$1&amp;"C"&amp;$A10)*RTD("tos.rtd",,"LAST","."&amp;T$2&amp;T$1&amp;"C"&amp;$A10)+100*RTD("tos.rtd",,"OPEN_INT","."&amp;T$2&amp;T$1&amp;"P"&amp;$A10)*RTD("tos.rtd",,"LAST","."&amp;T$2&amp;T$1&amp;"P"&amp;$A10))/1000000,(100*RTD("tos.rtd",,"OPEN_INT","."&amp;T$2&amp;T$1&amp;"C"&amp;$A10)*RTD("tos.rtd",,"LAST","."&amp;T$2&amp;T$1&amp;"C"&amp;$A10)-100*RTD("tos.rtd",,"OPEN_INT","."&amp;T$2&amp;T$1&amp;"P"&amp;$A10)*RTD("tos.rtd",,"LAST","."&amp;T$2&amp;T$1&amp;"P"&amp;$A10))/1000000),0),IF($A$2="PREMIUM",IFERROR(IF($X$1="ABS",(100*RTD("tos.rtd",,"VOLUME","."&amp;T$2&amp;T$1&amp;"C"&amp;$A10)*RTD("tos.rtd",,"LAST","."&amp;T$2&amp;T$1&amp;"C"&amp;$A10)+100*RTD("tos.rtd",,"VOLUME","."&amp;T$2&amp;T$1&amp;"P"&amp;$A10)*RTD("tos.rtd",,"LAST","."&amp;T$2&amp;T$1&amp;"P"&amp;$A10))/1000000,(100*RTD("tos.rtd",,"VOLUME","."&amp;T$2&amp;T$1&amp;"C"&amp;$A10)*RTD("tos.rtd",,"LAST","."&amp;T$2&amp;T$1&amp;"C"&amp;$A10)-100*RTD("tos.rtd",,"VOLUME","."&amp;T$2&amp;T$1&amp;"P"&amp;$A10)*RTD("tos.rtd",,"LAST","."&amp;T$2&amp;T$1&amp;"P"&amp;$A10))/1000000),0),IF($A$2="DEX",IFERROR(IF($X$1="ABS",(100*RTD("tos.rtd",,"OPEN_INT","."&amp;T$2&amp;T$1&amp;"C"&amp;$A10)*RTD("tos.rtd",,"DELTA","."&amp;T$2&amp;T$1&amp;"C"&amp;$A10)+100*RTD("tos.rtd",,"OPEN_INT","."&amp;T$2&amp;T$1&amp;"P"&amp;$A10)*RTD("tos.rtd",,"DELTA","."&amp;T$2&amp;T$1&amp;"P"&amp;$A10))/1000,(100*RTD("tos.rtd",,"OPEN_INT","."&amp;T$2&amp;T$1&amp;"C"&amp;$A10)*RTD("tos.rtd",,"DELTA","."&amp;T$2&amp;T$1&amp;"C"&amp;$A10)-100*RTD("tos.rtd",,"OPEN_INT","."&amp;T$2&amp;T$1&amp;"P"&amp;$A10)*RTD("tos.rtd",,"DELTA","."&amp;T$2&amp;T$1&amp;"P"&amp;$A10))/1000),0),IF($A$2="VEX",IFERROR(IF($X$1="ABS",($A$4*$A$4*RTD("tos.rtd",,"VOLUME","."&amp;T$2&amp;T$1&amp;"C"&amp;$A10)*RTD("tos.rtd",,"GAMMA","."&amp;T$2&amp;T$1&amp;"C"&amp;$A10)+$A$4*$A$4*RTD("tos.rtd",,"VOLUME","."&amp;T$2&amp;T$1&amp;"P"&amp;$A10)*RTD("tos.rtd",,"GAMMA","."&amp;T$2&amp;T$1&amp;"P"&amp;$A10))/1000000,($A$4*$A$4*RTD("tos.rtd",,"VOLUME","."&amp;T$2&amp;T$1&amp;"C"&amp;$A10)*RTD("tos.rtd",,"GAMMA","."&amp;T$2&amp;T$1&amp;"C"&amp;$A10)-$A$4*$A$4*RTD("tos.rtd",,"VOLUME","."&amp;T$2&amp;T$1&amp;"P"&amp;$A10)*RTD("tos.rtd",,"GAMMA","."&amp;T$2&amp;T$1&amp;"P"&amp;$A10))/1000000),0),IF($A$2="GEX",IFERROR(IF($X$1="ABS",($A$4*$A$4*RTD("tos.rtd",,"OPEN_INT","."&amp;T$2&amp;T$1&amp;"C"&amp;$A10)*RTD("tos.rtd",,"GAMMA","."&amp;T$2&amp;T$1&amp;"C"&amp;$A10)+$A$4*$A$4*RTD("tos.rtd",,"OPEN_INT","."&amp;T$2&amp;T$1&amp;"P"&amp;$A10)*RTD("tos.rtd",,"GAMMA","."&amp;T$2&amp;T$1&amp;"P"&amp;$A10))/1000000,($A$4*$A$4*RTD("tos.rtd",,"OPEN_INT","."&amp;T$2&amp;T$1&amp;"C"&amp;$A10)*RTD("tos.rtd",,"GAMMA","."&amp;T$2&amp;T$1&amp;"C"&amp;$A10)-$A$4*$A$4*RTD("tos.rtd",,"OPEN_INT","."&amp;T$2&amp;T$1&amp;"P"&amp;$A10)*RTD("tos.rtd",,"GAMMA","."&amp;T$2&amp;T$1&amp;"P"&amp;$A10))/1000000),0),IF($A$2="SKEW",IFERROR(VALUE(IF(RTD("tos.rtd",,"IMPL_VOL","."&amp;T$2&amp;T$1&amp;"P"&amp;$A10)="N/A",0,RTD("tos.rtd",,"IMPL_VOL","."&amp;T$2&amp;T$1&amp;"P"&amp;$A10))),0)-IFERROR(VALUE(IF(RTD("tos.rtd",,"IMPL_VOL","."&amp;T$2&amp;T$1&amp;"C"&amp;$A10)="N/A",0,RTD("tos.rtd",,"IMPL_VOL","."&amp;T$2&amp;T$1&amp;"C"&amp;$A10))),0),IF($A$2="MAXPAIN",IF($A$4&gt;$A10,($A$4-$A10)*IF(RTD("tos.rtd",,"OPEN_INT","."&amp;T$2&amp;T$1&amp;"C"&amp;$A10)="N/A",0,RTD("tos.rtd",,"OPEN_INT","."&amp;T$2&amp;T$1&amp;"C"&amp;$A10)),0)+IF($A$4&lt;$A10,($A$5-$A$4)*IF(RTD("tos.rtd",,"OPEN_INT","."&amp;T$2&amp;T$1&amp;"P"&amp;$A10)="N/A",0,RTD("tos.rtd",,"OPEN_INT","."&amp;T$2&amp;T$1&amp;"P"&amp;$A10)),0),IF($X$1="ABS",IF(RTD("tos.rtd",,$A$2,"."&amp;T$2&amp;T$1&amp;"C"&amp;$A10)="N/A",0,RTD("tos.rtd",,$A$2,"."&amp;T$2&amp;T$1&amp;"C"&amp;$A10))+IF(RTD("tos.rtd",,$A$2,"."&amp;T$2&amp;T$1&amp;"P"&amp;$A10)="N/A",0,RTD("tos.rtd",,$A$2,"."&amp;T$2&amp;T$1&amp;"P"&amp;$A10)),IF(RTD("tos.rtd",,$A$2,"."&amp;T$2&amp;T$1&amp;"C"&amp;$A10)="N/A",0,RTD("tos.rtd",,$A$2,"."&amp;T$2&amp;T$1&amp;"C"&amp;$A10))-IF(RTD("tos.rtd",,$A$2,"."&amp;T$2&amp;T$1&amp;"P"&amp;$A10)="N/A",0,RTD("tos.rtd",,$A$2,"."&amp;T$2&amp;T$1&amp;"P"&amp;$A10))))))))))</f>
        <v>0</v>
      </c>
      <c r="U10" s="12">
        <f ca="1">IF($A$2="PREMIUM_OI",IFERROR(IF($X$1="ABS",(100*RTD("tos.rtd",,"OPEN_INT","."&amp;U$2&amp;U$1&amp;"C"&amp;$A10)*RTD("tos.rtd",,"LAST","."&amp;U$2&amp;U$1&amp;"C"&amp;$A10)+100*RTD("tos.rtd",,"OPEN_INT","."&amp;U$2&amp;U$1&amp;"P"&amp;$A10)*RTD("tos.rtd",,"LAST","."&amp;U$2&amp;U$1&amp;"P"&amp;$A10))/1000000,(100*RTD("tos.rtd",,"OPEN_INT","."&amp;U$2&amp;U$1&amp;"C"&amp;$A10)*RTD("tos.rtd",,"LAST","."&amp;U$2&amp;U$1&amp;"C"&amp;$A10)-100*RTD("tos.rtd",,"OPEN_INT","."&amp;U$2&amp;U$1&amp;"P"&amp;$A10)*RTD("tos.rtd",,"LAST","."&amp;U$2&amp;U$1&amp;"P"&amp;$A10))/1000000),0),IF($A$2="PREMIUM",IFERROR(IF($X$1="ABS",(100*RTD("tos.rtd",,"VOLUME","."&amp;U$2&amp;U$1&amp;"C"&amp;$A10)*RTD("tos.rtd",,"LAST","."&amp;U$2&amp;U$1&amp;"C"&amp;$A10)+100*RTD("tos.rtd",,"VOLUME","."&amp;U$2&amp;U$1&amp;"P"&amp;$A10)*RTD("tos.rtd",,"LAST","."&amp;U$2&amp;U$1&amp;"P"&amp;$A10))/1000000,(100*RTD("tos.rtd",,"VOLUME","."&amp;U$2&amp;U$1&amp;"C"&amp;$A10)*RTD("tos.rtd",,"LAST","."&amp;U$2&amp;U$1&amp;"C"&amp;$A10)-100*RTD("tos.rtd",,"VOLUME","."&amp;U$2&amp;U$1&amp;"P"&amp;$A10)*RTD("tos.rtd",,"LAST","."&amp;U$2&amp;U$1&amp;"P"&amp;$A10))/1000000),0),IF($A$2="DEX",IFERROR(IF($X$1="ABS",(100*RTD("tos.rtd",,"OPEN_INT","."&amp;U$2&amp;U$1&amp;"C"&amp;$A10)*RTD("tos.rtd",,"DELTA","."&amp;U$2&amp;U$1&amp;"C"&amp;$A10)+100*RTD("tos.rtd",,"OPEN_INT","."&amp;U$2&amp;U$1&amp;"P"&amp;$A10)*RTD("tos.rtd",,"DELTA","."&amp;U$2&amp;U$1&amp;"P"&amp;$A10))/1000,(100*RTD("tos.rtd",,"OPEN_INT","."&amp;U$2&amp;U$1&amp;"C"&amp;$A10)*RTD("tos.rtd",,"DELTA","."&amp;U$2&amp;U$1&amp;"C"&amp;$A10)-100*RTD("tos.rtd",,"OPEN_INT","."&amp;U$2&amp;U$1&amp;"P"&amp;$A10)*RTD("tos.rtd",,"DELTA","."&amp;U$2&amp;U$1&amp;"P"&amp;$A10))/1000),0),IF($A$2="VEX",IFERROR(IF($X$1="ABS",($A$4*$A$4*RTD("tos.rtd",,"VOLUME","."&amp;U$2&amp;U$1&amp;"C"&amp;$A10)*RTD("tos.rtd",,"GAMMA","."&amp;U$2&amp;U$1&amp;"C"&amp;$A10)+$A$4*$A$4*RTD("tos.rtd",,"VOLUME","."&amp;U$2&amp;U$1&amp;"P"&amp;$A10)*RTD("tos.rtd",,"GAMMA","."&amp;U$2&amp;U$1&amp;"P"&amp;$A10))/1000000,($A$4*$A$4*RTD("tos.rtd",,"VOLUME","."&amp;U$2&amp;U$1&amp;"C"&amp;$A10)*RTD("tos.rtd",,"GAMMA","."&amp;U$2&amp;U$1&amp;"C"&amp;$A10)-$A$4*$A$4*RTD("tos.rtd",,"VOLUME","."&amp;U$2&amp;U$1&amp;"P"&amp;$A10)*RTD("tos.rtd",,"GAMMA","."&amp;U$2&amp;U$1&amp;"P"&amp;$A10))/1000000),0),IF($A$2="GEX",IFERROR(IF($X$1="ABS",($A$4*$A$4*RTD("tos.rtd",,"OPEN_INT","."&amp;U$2&amp;U$1&amp;"C"&amp;$A10)*RTD("tos.rtd",,"GAMMA","."&amp;U$2&amp;U$1&amp;"C"&amp;$A10)+$A$4*$A$4*RTD("tos.rtd",,"OPEN_INT","."&amp;U$2&amp;U$1&amp;"P"&amp;$A10)*RTD("tos.rtd",,"GAMMA","."&amp;U$2&amp;U$1&amp;"P"&amp;$A10))/1000000,($A$4*$A$4*RTD("tos.rtd",,"OPEN_INT","."&amp;U$2&amp;U$1&amp;"C"&amp;$A10)*RTD("tos.rtd",,"GAMMA","."&amp;U$2&amp;U$1&amp;"C"&amp;$A10)-$A$4*$A$4*RTD("tos.rtd",,"OPEN_INT","."&amp;U$2&amp;U$1&amp;"P"&amp;$A10)*RTD("tos.rtd",,"GAMMA","."&amp;U$2&amp;U$1&amp;"P"&amp;$A10))/1000000),0),IF($A$2="SKEW",IFERROR(VALUE(IF(RTD("tos.rtd",,"IMPL_VOL","."&amp;U$2&amp;U$1&amp;"P"&amp;$A10)="N/A",0,RTD("tos.rtd",,"IMPL_VOL","."&amp;U$2&amp;U$1&amp;"P"&amp;$A10))),0)-IFERROR(VALUE(IF(RTD("tos.rtd",,"IMPL_VOL","."&amp;U$2&amp;U$1&amp;"C"&amp;$A10)="N/A",0,RTD("tos.rtd",,"IMPL_VOL","."&amp;U$2&amp;U$1&amp;"C"&amp;$A10))),0),IF($A$2="MAXPAIN",IF($A$4&gt;$A10,($A$4-$A10)*IF(RTD("tos.rtd",,"OPEN_INT","."&amp;U$2&amp;U$1&amp;"C"&amp;$A10)="N/A",0,RTD("tos.rtd",,"OPEN_INT","."&amp;U$2&amp;U$1&amp;"C"&amp;$A10)),0)+IF($A$4&lt;$A10,($A$5-$A$4)*IF(RTD("tos.rtd",,"OPEN_INT","."&amp;U$2&amp;U$1&amp;"P"&amp;$A10)="N/A",0,RTD("tos.rtd",,"OPEN_INT","."&amp;U$2&amp;U$1&amp;"P"&amp;$A10)),0),IF($X$1="ABS",IF(RTD("tos.rtd",,$A$2,"."&amp;U$2&amp;U$1&amp;"C"&amp;$A10)="N/A",0,RTD("tos.rtd",,$A$2,"."&amp;U$2&amp;U$1&amp;"C"&amp;$A10))+IF(RTD("tos.rtd",,$A$2,"."&amp;U$2&amp;U$1&amp;"P"&amp;$A10)="N/A",0,RTD("tos.rtd",,$A$2,"."&amp;U$2&amp;U$1&amp;"P"&amp;$A10)),IF(RTD("tos.rtd",,$A$2,"."&amp;U$2&amp;U$1&amp;"C"&amp;$A10)="N/A",0,RTD("tos.rtd",,$A$2,"."&amp;U$2&amp;U$1&amp;"C"&amp;$A10))-IF(RTD("tos.rtd",,$A$2,"."&amp;U$2&amp;U$1&amp;"P"&amp;$A10)="N/A",0,RTD("tos.rtd",,$A$2,"."&amp;U$2&amp;U$1&amp;"P"&amp;$A10))))))))))</f>
        <v>0</v>
      </c>
      <c r="V10" s="12">
        <f ca="1">IF($A$2="PREMIUM_OI",IFERROR(IF($X$1="ABS",(100*RTD("tos.rtd",,"OPEN_INT","."&amp;V$2&amp;V$1&amp;"C"&amp;$A10)*RTD("tos.rtd",,"LAST","."&amp;V$2&amp;V$1&amp;"C"&amp;$A10)+100*RTD("tos.rtd",,"OPEN_INT","."&amp;V$2&amp;V$1&amp;"P"&amp;$A10)*RTD("tos.rtd",,"LAST","."&amp;V$2&amp;V$1&amp;"P"&amp;$A10))/1000000,(100*RTD("tos.rtd",,"OPEN_INT","."&amp;V$2&amp;V$1&amp;"C"&amp;$A10)*RTD("tos.rtd",,"LAST","."&amp;V$2&amp;V$1&amp;"C"&amp;$A10)-100*RTD("tos.rtd",,"OPEN_INT","."&amp;V$2&amp;V$1&amp;"P"&amp;$A10)*RTD("tos.rtd",,"LAST","."&amp;V$2&amp;V$1&amp;"P"&amp;$A10))/1000000),0),IF($A$2="PREMIUM",IFERROR(IF($X$1="ABS",(100*RTD("tos.rtd",,"VOLUME","."&amp;V$2&amp;V$1&amp;"C"&amp;$A10)*RTD("tos.rtd",,"LAST","."&amp;V$2&amp;V$1&amp;"C"&amp;$A10)+100*RTD("tos.rtd",,"VOLUME","."&amp;V$2&amp;V$1&amp;"P"&amp;$A10)*RTD("tos.rtd",,"LAST","."&amp;V$2&amp;V$1&amp;"P"&amp;$A10))/1000000,(100*RTD("tos.rtd",,"VOLUME","."&amp;V$2&amp;V$1&amp;"C"&amp;$A10)*RTD("tos.rtd",,"LAST","."&amp;V$2&amp;V$1&amp;"C"&amp;$A10)-100*RTD("tos.rtd",,"VOLUME","."&amp;V$2&amp;V$1&amp;"P"&amp;$A10)*RTD("tos.rtd",,"LAST","."&amp;V$2&amp;V$1&amp;"P"&amp;$A10))/1000000),0),IF($A$2="DEX",IFERROR(IF($X$1="ABS",(100*RTD("tos.rtd",,"OPEN_INT","."&amp;V$2&amp;V$1&amp;"C"&amp;$A10)*RTD("tos.rtd",,"DELTA","."&amp;V$2&amp;V$1&amp;"C"&amp;$A10)+100*RTD("tos.rtd",,"OPEN_INT","."&amp;V$2&amp;V$1&amp;"P"&amp;$A10)*RTD("tos.rtd",,"DELTA","."&amp;V$2&amp;V$1&amp;"P"&amp;$A10))/1000,(100*RTD("tos.rtd",,"OPEN_INT","."&amp;V$2&amp;V$1&amp;"C"&amp;$A10)*RTD("tos.rtd",,"DELTA","."&amp;V$2&amp;V$1&amp;"C"&amp;$A10)-100*RTD("tos.rtd",,"OPEN_INT","."&amp;V$2&amp;V$1&amp;"P"&amp;$A10)*RTD("tos.rtd",,"DELTA","."&amp;V$2&amp;V$1&amp;"P"&amp;$A10))/1000),0),IF($A$2="VEX",IFERROR(IF($X$1="ABS",($A$4*$A$4*RTD("tos.rtd",,"VOLUME","."&amp;V$2&amp;V$1&amp;"C"&amp;$A10)*RTD("tos.rtd",,"GAMMA","."&amp;V$2&amp;V$1&amp;"C"&amp;$A10)+$A$4*$A$4*RTD("tos.rtd",,"VOLUME","."&amp;V$2&amp;V$1&amp;"P"&amp;$A10)*RTD("tos.rtd",,"GAMMA","."&amp;V$2&amp;V$1&amp;"P"&amp;$A10))/1000000,($A$4*$A$4*RTD("tos.rtd",,"VOLUME","."&amp;V$2&amp;V$1&amp;"C"&amp;$A10)*RTD("tos.rtd",,"GAMMA","."&amp;V$2&amp;V$1&amp;"C"&amp;$A10)-$A$4*$A$4*RTD("tos.rtd",,"VOLUME","."&amp;V$2&amp;V$1&amp;"P"&amp;$A10)*RTD("tos.rtd",,"GAMMA","."&amp;V$2&amp;V$1&amp;"P"&amp;$A10))/1000000),0),IF($A$2="GEX",IFERROR(IF($X$1="ABS",($A$4*$A$4*RTD("tos.rtd",,"OPEN_INT","."&amp;V$2&amp;V$1&amp;"C"&amp;$A10)*RTD("tos.rtd",,"GAMMA","."&amp;V$2&amp;V$1&amp;"C"&amp;$A10)+$A$4*$A$4*RTD("tos.rtd",,"OPEN_INT","."&amp;V$2&amp;V$1&amp;"P"&amp;$A10)*RTD("tos.rtd",,"GAMMA","."&amp;V$2&amp;V$1&amp;"P"&amp;$A10))/1000000,($A$4*$A$4*RTD("tos.rtd",,"OPEN_INT","."&amp;V$2&amp;V$1&amp;"C"&amp;$A10)*RTD("tos.rtd",,"GAMMA","."&amp;V$2&amp;V$1&amp;"C"&amp;$A10)-$A$4*$A$4*RTD("tos.rtd",,"OPEN_INT","."&amp;V$2&amp;V$1&amp;"P"&amp;$A10)*RTD("tos.rtd",,"GAMMA","."&amp;V$2&amp;V$1&amp;"P"&amp;$A10))/1000000),0),IF($A$2="SKEW",IFERROR(VALUE(IF(RTD("tos.rtd",,"IMPL_VOL","."&amp;V$2&amp;V$1&amp;"P"&amp;$A10)="N/A",0,RTD("tos.rtd",,"IMPL_VOL","."&amp;V$2&amp;V$1&amp;"P"&amp;$A10))),0)-IFERROR(VALUE(IF(RTD("tos.rtd",,"IMPL_VOL","."&amp;V$2&amp;V$1&amp;"C"&amp;$A10)="N/A",0,RTD("tos.rtd",,"IMPL_VOL","."&amp;V$2&amp;V$1&amp;"C"&amp;$A10))),0),IF($A$2="MAXPAIN",IF($A$4&gt;$A10,($A$4-$A10)*IF(RTD("tos.rtd",,"OPEN_INT","."&amp;V$2&amp;V$1&amp;"C"&amp;$A10)="N/A",0,RTD("tos.rtd",,"OPEN_INT","."&amp;V$2&amp;V$1&amp;"C"&amp;$A10)),0)+IF($A$4&lt;$A10,($A$5-$A$4)*IF(RTD("tos.rtd",,"OPEN_INT","."&amp;V$2&amp;V$1&amp;"P"&amp;$A10)="N/A",0,RTD("tos.rtd",,"OPEN_INT","."&amp;V$2&amp;V$1&amp;"P"&amp;$A10)),0),IF($X$1="ABS",IF(RTD("tos.rtd",,$A$2,"."&amp;V$2&amp;V$1&amp;"C"&amp;$A10)="N/A",0,RTD("tos.rtd",,$A$2,"."&amp;V$2&amp;V$1&amp;"C"&amp;$A10))+IF(RTD("tos.rtd",,$A$2,"."&amp;V$2&amp;V$1&amp;"P"&amp;$A10)="N/A",0,RTD("tos.rtd",,$A$2,"."&amp;V$2&amp;V$1&amp;"P"&amp;$A10)),IF(RTD("tos.rtd",,$A$2,"."&amp;V$2&amp;V$1&amp;"C"&amp;$A10)="N/A",0,RTD("tos.rtd",,$A$2,"."&amp;V$2&amp;V$1&amp;"C"&amp;$A10))-IF(RTD("tos.rtd",,$A$2,"."&amp;V$2&amp;V$1&amp;"P"&amp;$A10)="N/A",0,RTD("tos.rtd",,$A$2,"."&amp;V$2&amp;V$1&amp;"P"&amp;$A10))))))))))</f>
        <v>0</v>
      </c>
      <c r="W10" s="54">
        <f ca="1">IF($A$2="PREMIUM_OI",IFERROR(IF($X$1="ABS",(100*RTD("tos.rtd",,"OPEN_INT","."&amp;W$2&amp;W$1&amp;"C"&amp;$A10)*RTD("tos.rtd",,"LAST","."&amp;W$2&amp;W$1&amp;"C"&amp;$A10)+100*RTD("tos.rtd",,"OPEN_INT","."&amp;W$2&amp;W$1&amp;"P"&amp;$A10)*RTD("tos.rtd",,"LAST","."&amp;W$2&amp;W$1&amp;"P"&amp;$A10))/1000000,(100*RTD("tos.rtd",,"OPEN_INT","."&amp;W$2&amp;W$1&amp;"C"&amp;$A10)*RTD("tos.rtd",,"LAST","."&amp;W$2&amp;W$1&amp;"C"&amp;$A10)-100*RTD("tos.rtd",,"OPEN_INT","."&amp;W$2&amp;W$1&amp;"P"&amp;$A10)*RTD("tos.rtd",,"LAST","."&amp;W$2&amp;W$1&amp;"P"&amp;$A10))/1000000),0),IF($A$2="PREMIUM",IFERROR(IF($X$1="ABS",(100*RTD("tos.rtd",,"VOLUME","."&amp;W$2&amp;W$1&amp;"C"&amp;$A10)*RTD("tos.rtd",,"LAST","."&amp;W$2&amp;W$1&amp;"C"&amp;$A10)+100*RTD("tos.rtd",,"VOLUME","."&amp;W$2&amp;W$1&amp;"P"&amp;$A10)*RTD("tos.rtd",,"LAST","."&amp;W$2&amp;W$1&amp;"P"&amp;$A10))/1000000,(100*RTD("tos.rtd",,"VOLUME","."&amp;W$2&amp;W$1&amp;"C"&amp;$A10)*RTD("tos.rtd",,"LAST","."&amp;W$2&amp;W$1&amp;"C"&amp;$A10)-100*RTD("tos.rtd",,"VOLUME","."&amp;W$2&amp;W$1&amp;"P"&amp;$A10)*RTD("tos.rtd",,"LAST","."&amp;W$2&amp;W$1&amp;"P"&amp;$A10))/1000000),0),IF($A$2="DEX",IFERROR(IF($X$1="ABS",(100*RTD("tos.rtd",,"OPEN_INT","."&amp;W$2&amp;W$1&amp;"C"&amp;$A10)*RTD("tos.rtd",,"DELTA","."&amp;W$2&amp;W$1&amp;"C"&amp;$A10)+100*RTD("tos.rtd",,"OPEN_INT","."&amp;W$2&amp;W$1&amp;"P"&amp;$A10)*RTD("tos.rtd",,"DELTA","."&amp;W$2&amp;W$1&amp;"P"&amp;$A10))/1000,(100*RTD("tos.rtd",,"OPEN_INT","."&amp;W$2&amp;W$1&amp;"C"&amp;$A10)*RTD("tos.rtd",,"DELTA","."&amp;W$2&amp;W$1&amp;"C"&amp;$A10)-100*RTD("tos.rtd",,"OPEN_INT","."&amp;W$2&amp;W$1&amp;"P"&amp;$A10)*RTD("tos.rtd",,"DELTA","."&amp;W$2&amp;W$1&amp;"P"&amp;$A10))/1000),0),IF($A$2="VEX",IFERROR(IF($X$1="ABS",($A$4*$A$4*RTD("tos.rtd",,"VOLUME","."&amp;W$2&amp;W$1&amp;"C"&amp;$A10)*RTD("tos.rtd",,"GAMMA","."&amp;W$2&amp;W$1&amp;"C"&amp;$A10)+$A$4*$A$4*RTD("tos.rtd",,"VOLUME","."&amp;W$2&amp;W$1&amp;"P"&amp;$A10)*RTD("tos.rtd",,"GAMMA","."&amp;W$2&amp;W$1&amp;"P"&amp;$A10))/1000000,($A$4*$A$4*RTD("tos.rtd",,"VOLUME","."&amp;W$2&amp;W$1&amp;"C"&amp;$A10)*RTD("tos.rtd",,"GAMMA","."&amp;W$2&amp;W$1&amp;"C"&amp;$A10)-$A$4*$A$4*RTD("tos.rtd",,"VOLUME","."&amp;W$2&amp;W$1&amp;"P"&amp;$A10)*RTD("tos.rtd",,"GAMMA","."&amp;W$2&amp;W$1&amp;"P"&amp;$A10))/1000000),0),IF($A$2="GEX",IFERROR(IF($X$1="ABS",($A$4*$A$4*RTD("tos.rtd",,"OPEN_INT","."&amp;W$2&amp;W$1&amp;"C"&amp;$A10)*RTD("tos.rtd",,"GAMMA","."&amp;W$2&amp;W$1&amp;"C"&amp;$A10)+$A$4*$A$4*RTD("tos.rtd",,"OPEN_INT","."&amp;W$2&amp;W$1&amp;"P"&amp;$A10)*RTD("tos.rtd",,"GAMMA","."&amp;W$2&amp;W$1&amp;"P"&amp;$A10))/1000000,($A$4*$A$4*RTD("tos.rtd",,"OPEN_INT","."&amp;W$2&amp;W$1&amp;"C"&amp;$A10)*RTD("tos.rtd",,"GAMMA","."&amp;W$2&amp;W$1&amp;"C"&amp;$A10)-$A$4*$A$4*RTD("tos.rtd",,"OPEN_INT","."&amp;W$2&amp;W$1&amp;"P"&amp;$A10)*RTD("tos.rtd",,"GAMMA","."&amp;W$2&amp;W$1&amp;"P"&amp;$A10))/1000000),0),IF($A$2="SKEW",IFERROR(VALUE(IF(RTD("tos.rtd",,"IMPL_VOL","."&amp;W$2&amp;W$1&amp;"P"&amp;$A10)="N/A",0,RTD("tos.rtd",,"IMPL_VOL","."&amp;W$2&amp;W$1&amp;"P"&amp;$A10))),0)-IFERROR(VALUE(IF(RTD("tos.rtd",,"IMPL_VOL","."&amp;W$2&amp;W$1&amp;"C"&amp;$A10)="N/A",0,RTD("tos.rtd",,"IMPL_VOL","."&amp;W$2&amp;W$1&amp;"C"&amp;$A10))),0),IF($A$2="MAXPAIN",IF($A$4&gt;$A10,($A$4-$A10)*IF(RTD("tos.rtd",,"OPEN_INT","."&amp;W$2&amp;W$1&amp;"C"&amp;$A10)="N/A",0,RTD("tos.rtd",,"OPEN_INT","."&amp;W$2&amp;W$1&amp;"C"&amp;$A10)),0)+IF($A$4&lt;$A10,($A$5-$A$4)*IF(RTD("tos.rtd",,"OPEN_INT","."&amp;W$2&amp;W$1&amp;"P"&amp;$A10)="N/A",0,RTD("tos.rtd",,"OPEN_INT","."&amp;W$2&amp;W$1&amp;"P"&amp;$A10)),0),IF($X$1="ABS",IF(RTD("tos.rtd",,$A$2,"."&amp;W$2&amp;W$1&amp;"C"&amp;$A10)="N/A",0,RTD("tos.rtd",,$A$2,"."&amp;W$2&amp;W$1&amp;"C"&amp;$A10))+IF(RTD("tos.rtd",,$A$2,"."&amp;W$2&amp;W$1&amp;"P"&amp;$A10)="N/A",0,RTD("tos.rtd",,$A$2,"."&amp;W$2&amp;W$1&amp;"P"&amp;$A10)),IF(RTD("tos.rtd",,$A$2,"."&amp;W$2&amp;W$1&amp;"C"&amp;$A10)="N/A",0,RTD("tos.rtd",,$A$2,"."&amp;W$2&amp;W$1&amp;"C"&amp;$A10))-IF(RTD("tos.rtd",,$A$2,"."&amp;W$2&amp;W$1&amp;"P"&amp;$A10)="N/A",0,RTD("tos.rtd",,$A$2,"."&amp;W$2&amp;W$1&amp;"P"&amp;$A10))))))))))</f>
        <v>0</v>
      </c>
      <c r="X10" s="57">
        <f t="shared" ca="1" si="8"/>
        <v>0</v>
      </c>
      <c r="Y10" s="27">
        <f t="shared" ca="1" si="9"/>
        <v>0</v>
      </c>
      <c r="Z10" s="27">
        <f ca="1">+'OI-VOL'!Y10</f>
        <v>1549</v>
      </c>
      <c r="AA10" s="27" t="b">
        <f t="shared" ca="1" si="10"/>
        <v>0</v>
      </c>
      <c r="AB10" s="27">
        <f t="shared" si="11"/>
        <v>209516950</v>
      </c>
      <c r="AC10" s="18">
        <f>MAX(0, $A10-AC$4)*IF(RTD("tos.rtd",,"OPEN_INT","."&amp;$AB$3&amp;$AB$4&amp;"C"&amp;AC$4)="N/A",0,RTD("tos.rtd",,"OPEN_INT","."&amp;$AB$3&amp;$AB$4&amp;"C"&amp;AC$4))*100 + MAX(0, AC$4-$A10)*IF(RTD("tos.rtd",,"OPEN_INT","."&amp;$AB$3&amp;$AB$4&amp;"P"&amp;AC$4)="N/A",0,RTD("tos.rtd",,"OPEN_INT","."&amp;$AB$3&amp;$AB$4&amp;"P"&amp;AC$4))*100</f>
        <v>0</v>
      </c>
      <c r="AD10" s="18">
        <f>MAX(0, $A10-AD$4)*IF(RTD("tos.rtd",,"OPEN_INT","."&amp;$AB$3&amp;$AB$4&amp;"C"&amp;AD$4)="N/A",0,RTD("tos.rtd",,"OPEN_INT","."&amp;$AB$3&amp;$AB$4&amp;"C"&amp;AD$4))*100 + MAX(0, AD$4-$A10)*IF(RTD("tos.rtd",,"OPEN_INT","."&amp;$AB$3&amp;$AB$4&amp;"P"&amp;AD$4)="N/A",0,RTD("tos.rtd",,"OPEN_INT","."&amp;$AB$3&amp;$AB$4&amp;"P"&amp;AD$4))*100</f>
        <v>0</v>
      </c>
      <c r="AE10" s="18">
        <f>MAX(0, $A10-AE$4)*IF(RTD("tos.rtd",,"OPEN_INT","."&amp;$AB$3&amp;$AB$4&amp;"C"&amp;AE$4)="N/A",0,RTD("tos.rtd",,"OPEN_INT","."&amp;$AB$3&amp;$AB$4&amp;"C"&amp;AE$4))*100 + MAX(0, AE$4-$A10)*IF(RTD("tos.rtd",,"OPEN_INT","."&amp;$AB$3&amp;$AB$4&amp;"P"&amp;AE$4)="N/A",0,RTD("tos.rtd",,"OPEN_INT","."&amp;$AB$3&amp;$AB$4&amp;"P"&amp;AE$4))*100</f>
        <v>0</v>
      </c>
      <c r="AF10" s="18">
        <f>MAX(0, $A10-AF$4)*IF(RTD("tos.rtd",,"OPEN_INT","."&amp;$AB$3&amp;$AB$4&amp;"C"&amp;AF$4)="N/A",0,RTD("tos.rtd",,"OPEN_INT","."&amp;$AB$3&amp;$AB$4&amp;"C"&amp;AF$4))*100 + MAX(0, AF$4-$A10)*IF(RTD("tos.rtd",,"OPEN_INT","."&amp;$AB$3&amp;$AB$4&amp;"P"&amp;AF$4)="N/A",0,RTD("tos.rtd",,"OPEN_INT","."&amp;$AB$3&amp;$AB$4&amp;"P"&amp;AF$4))*100</f>
        <v>0</v>
      </c>
      <c r="AG10" s="18">
        <f>MAX(0, $A10-AG$4)*IF(RTD("tos.rtd",,"OPEN_INT","."&amp;$AB$3&amp;$AB$4&amp;"C"&amp;AG$4)="N/A",0,RTD("tos.rtd",,"OPEN_INT","."&amp;$AB$3&amp;$AB$4&amp;"C"&amp;AG$4))*100 + MAX(0, AG$4-$A10)*IF(RTD("tos.rtd",,"OPEN_INT","."&amp;$AB$3&amp;$AB$4&amp;"P"&amp;AG$4)="N/A",0,RTD("tos.rtd",,"OPEN_INT","."&amp;$AB$3&amp;$AB$4&amp;"P"&amp;AG$4))*100</f>
        <v>0</v>
      </c>
      <c r="AH10" s="18">
        <f>MAX(0, $A10-AH$4)*IF(RTD("tos.rtd",,"OPEN_INT","."&amp;$AB$3&amp;$AB$4&amp;"C"&amp;AH$4)="N/A",0,RTD("tos.rtd",,"OPEN_INT","."&amp;$AB$3&amp;$AB$4&amp;"C"&amp;AH$4))*100 + MAX(0, AH$4-$A10)*IF(RTD("tos.rtd",,"OPEN_INT","."&amp;$AB$3&amp;$AB$4&amp;"P"&amp;AH$4)="N/A",0,RTD("tos.rtd",,"OPEN_INT","."&amp;$AB$3&amp;$AB$4&amp;"P"&amp;AH$4))*100</f>
        <v>0</v>
      </c>
      <c r="AI10" s="18">
        <f>MAX(0, $A10-AI$4)*IF(RTD("tos.rtd",,"OPEN_INT","."&amp;$AB$3&amp;$AB$4&amp;"C"&amp;AI$4)="N/A",0,RTD("tos.rtd",,"OPEN_INT","."&amp;$AB$3&amp;$AB$4&amp;"C"&amp;AI$4))*100 + MAX(0, AI$4-$A10)*IF(RTD("tos.rtd",,"OPEN_INT","."&amp;$AB$3&amp;$AB$4&amp;"P"&amp;AI$4)="N/A",0,RTD("tos.rtd",,"OPEN_INT","."&amp;$AB$3&amp;$AB$4&amp;"P"&amp;AI$4))*100</f>
        <v>0</v>
      </c>
      <c r="AJ10" s="18">
        <f>MAX(0, $A10-AJ$4)*IF(RTD("tos.rtd",,"OPEN_INT","."&amp;$AB$3&amp;$AB$4&amp;"C"&amp;AJ$4)="N/A",0,RTD("tos.rtd",,"OPEN_INT","."&amp;$AB$3&amp;$AB$4&amp;"C"&amp;AJ$4))*100 + MAX(0, AJ$4-$A10)*IF(RTD("tos.rtd",,"OPEN_INT","."&amp;$AB$3&amp;$AB$4&amp;"P"&amp;AJ$4)="N/A",0,RTD("tos.rtd",,"OPEN_INT","."&amp;$AB$3&amp;$AB$4&amp;"P"&amp;AJ$4))*100</f>
        <v>271600</v>
      </c>
      <c r="AK10" s="18">
        <f>MAX(0, $A10-AK$4)*IF(RTD("tos.rtd",,"OPEN_INT","."&amp;$AB$3&amp;$AB$4&amp;"C"&amp;AK$4)="N/A",0,RTD("tos.rtd",,"OPEN_INT","."&amp;$AB$3&amp;$AB$4&amp;"C"&amp;AK$4))*100 + MAX(0, AK$4-$A10)*IF(RTD("tos.rtd",,"OPEN_INT","."&amp;$AB$3&amp;$AB$4&amp;"P"&amp;AK$4)="N/A",0,RTD("tos.rtd",,"OPEN_INT","."&amp;$AB$3&amp;$AB$4&amp;"P"&amp;AK$4))*100</f>
        <v>40350</v>
      </c>
      <c r="AL10" s="18">
        <f>MAX(0, $A10-AL$4)*IF(RTD("tos.rtd",,"OPEN_INT","."&amp;$AB$3&amp;$AB$4&amp;"C"&amp;AL$4)="N/A",0,RTD("tos.rtd",,"OPEN_INT","."&amp;$AB$3&amp;$AB$4&amp;"C"&amp;AL$4))*100 + MAX(0, AL$4-$A10)*IF(RTD("tos.rtd",,"OPEN_INT","."&amp;$AB$3&amp;$AB$4&amp;"P"&amp;AL$4)="N/A",0,RTD("tos.rtd",,"OPEN_INT","."&amp;$AB$3&amp;$AB$4&amp;"P"&amp;AL$4))*100</f>
        <v>562600</v>
      </c>
      <c r="AM10" s="18">
        <f>MAX(0, $A10-AM$4)*IF(RTD("tos.rtd",,"OPEN_INT","."&amp;$AB$3&amp;$AB$4&amp;"C"&amp;AM$4)="N/A",0,RTD("tos.rtd",,"OPEN_INT","."&amp;$AB$3&amp;$AB$4&amp;"C"&amp;AM$4))*100 + MAX(0, AM$4-$A10)*IF(RTD("tos.rtd",,"OPEN_INT","."&amp;$AB$3&amp;$AB$4&amp;"P"&amp;AM$4)="N/A",0,RTD("tos.rtd",,"OPEN_INT","."&amp;$AB$3&amp;$AB$4&amp;"P"&amp;AM$4))*100</f>
        <v>0</v>
      </c>
      <c r="AN10" s="18">
        <f>MAX(0, $A10-AN$4)*IF(RTD("tos.rtd",,"OPEN_INT","."&amp;$AB$3&amp;$AB$4&amp;"C"&amp;AN$4)="N/A",0,RTD("tos.rtd",,"OPEN_INT","."&amp;$AB$3&amp;$AB$4&amp;"C"&amp;AN$4))*100 + MAX(0, AN$4-$A10)*IF(RTD("tos.rtd",,"OPEN_INT","."&amp;$AB$3&amp;$AB$4&amp;"P"&amp;AN$4)="N/A",0,RTD("tos.rtd",,"OPEN_INT","."&amp;$AB$3&amp;$AB$4&amp;"P"&amp;AN$4))*100</f>
        <v>709500</v>
      </c>
      <c r="AO10" s="18">
        <f>MAX(0, $A10-AO$4)*IF(RTD("tos.rtd",,"OPEN_INT","."&amp;$AB$3&amp;$AB$4&amp;"C"&amp;AO$4)="N/A",0,RTD("tos.rtd",,"OPEN_INT","."&amp;$AB$3&amp;$AB$4&amp;"C"&amp;AO$4))*100 + MAX(0, AO$4-$A10)*IF(RTD("tos.rtd",,"OPEN_INT","."&amp;$AB$3&amp;$AB$4&amp;"P"&amp;AO$4)="N/A",0,RTD("tos.rtd",,"OPEN_INT","."&amp;$AB$3&amp;$AB$4&amp;"P"&amp;AO$4))*100</f>
        <v>0</v>
      </c>
      <c r="AP10" s="18">
        <f>MAX(0, $A10-AP$4)*IF(RTD("tos.rtd",,"OPEN_INT","."&amp;$AB$3&amp;$AB$4&amp;"C"&amp;AP$4)="N/A",0,RTD("tos.rtd",,"OPEN_INT","."&amp;$AB$3&amp;$AB$4&amp;"C"&amp;AP$4))*100 + MAX(0, AP$4-$A10)*IF(RTD("tos.rtd",,"OPEN_INT","."&amp;$AB$3&amp;$AB$4&amp;"P"&amp;AP$4)="N/A",0,RTD("tos.rtd",,"OPEN_INT","."&amp;$AB$3&amp;$AB$4&amp;"P"&amp;AP$4))*100</f>
        <v>275600</v>
      </c>
      <c r="AQ10" s="18">
        <f>MAX(0, $A10-AQ$4)*IF(RTD("tos.rtd",,"OPEN_INT","."&amp;$AB$3&amp;$AB$4&amp;"C"&amp;AQ$4)="N/A",0,RTD("tos.rtd",,"OPEN_INT","."&amp;$AB$3&amp;$AB$4&amp;"C"&amp;AQ$4))*100 + MAX(0, AQ$4-$A10)*IF(RTD("tos.rtd",,"OPEN_INT","."&amp;$AB$3&amp;$AB$4&amp;"P"&amp;AQ$4)="N/A",0,RTD("tos.rtd",,"OPEN_INT","."&amp;$AB$3&amp;$AB$4&amp;"P"&amp;AQ$4))*100</f>
        <v>0</v>
      </c>
      <c r="AR10" s="18">
        <f>MAX(0, $A10-AR$4)*IF(RTD("tos.rtd",,"OPEN_INT","."&amp;$AB$3&amp;$AB$4&amp;"C"&amp;AR$4)="N/A",0,RTD("tos.rtd",,"OPEN_INT","."&amp;$AB$3&amp;$AB$4&amp;"C"&amp;AR$4))*100 + MAX(0, AR$4-$A10)*IF(RTD("tos.rtd",,"OPEN_INT","."&amp;$AB$3&amp;$AB$4&amp;"P"&amp;AR$4)="N/A",0,RTD("tos.rtd",,"OPEN_INT","."&amp;$AB$3&amp;$AB$4&amp;"P"&amp;AR$4))*100</f>
        <v>320000</v>
      </c>
      <c r="AS10" s="18">
        <f>MAX(0, $A10-AS$4)*IF(RTD("tos.rtd",,"OPEN_INT","."&amp;$AB$3&amp;$AB$4&amp;"C"&amp;AS$4)="N/A",0,RTD("tos.rtd",,"OPEN_INT","."&amp;$AB$3&amp;$AB$4&amp;"C"&amp;AS$4))*100 + MAX(0, AS$4-$A10)*IF(RTD("tos.rtd",,"OPEN_INT","."&amp;$AB$3&amp;$AB$4&amp;"P"&amp;AS$4)="N/A",0,RTD("tos.rtd",,"OPEN_INT","."&amp;$AB$3&amp;$AB$4&amp;"P"&amp;AS$4))*100</f>
        <v>550</v>
      </c>
      <c r="AT10" s="18">
        <f>MAX(0, $A10-AT$4)*IF(RTD("tos.rtd",,"OPEN_INT","."&amp;$AB$3&amp;$AB$4&amp;"C"&amp;AT$4)="N/A",0,RTD("tos.rtd",,"OPEN_INT","."&amp;$AB$3&amp;$AB$4&amp;"C"&amp;AT$4))*100 + MAX(0, AT$4-$A10)*IF(RTD("tos.rtd",,"OPEN_INT","."&amp;$AB$3&amp;$AB$4&amp;"P"&amp;AT$4)="N/A",0,RTD("tos.rtd",,"OPEN_INT","."&amp;$AB$3&amp;$AB$4&amp;"P"&amp;AT$4))*100</f>
        <v>517200</v>
      </c>
      <c r="AU10" s="18">
        <f>MAX(0, $A10-AU$4)*IF(RTD("tos.rtd",,"OPEN_INT","."&amp;$AB$3&amp;$AB$4&amp;"C"&amp;AU$4)="N/A",0,RTD("tos.rtd",,"OPEN_INT","."&amp;$AB$3&amp;$AB$4&amp;"C"&amp;AU$4))*100 + MAX(0, AU$4-$A10)*IF(RTD("tos.rtd",,"OPEN_INT","."&amp;$AB$3&amp;$AB$4&amp;"P"&amp;AU$4)="N/A",0,RTD("tos.rtd",,"OPEN_INT","."&amp;$AB$3&amp;$AB$4&amp;"P"&amp;AU$4))*100</f>
        <v>911300</v>
      </c>
      <c r="AV10" s="18">
        <f>MAX(0, $A10-AV$4)*IF(RTD("tos.rtd",,"OPEN_INT","."&amp;$AB$3&amp;$AB$4&amp;"C"&amp;AV$4)="N/A",0,RTD("tos.rtd",,"OPEN_INT","."&amp;$AB$3&amp;$AB$4&amp;"C"&amp;AV$4))*100 + MAX(0, AV$4-$A10)*IF(RTD("tos.rtd",,"OPEN_INT","."&amp;$AB$3&amp;$AB$4&amp;"P"&amp;AV$4)="N/A",0,RTD("tos.rtd",,"OPEN_INT","."&amp;$AB$3&amp;$AB$4&amp;"P"&amp;AV$4))*100</f>
        <v>1178100</v>
      </c>
      <c r="AW10" s="18">
        <f>MAX(0, $A10-AW$4)*IF(RTD("tos.rtd",,"OPEN_INT","."&amp;$AB$3&amp;$AB$4&amp;"C"&amp;AW$4)="N/A",0,RTD("tos.rtd",,"OPEN_INT","."&amp;$AB$3&amp;$AB$4&amp;"C"&amp;AW$4))*100 + MAX(0, AW$4-$A10)*IF(RTD("tos.rtd",,"OPEN_INT","."&amp;$AB$3&amp;$AB$4&amp;"P"&amp;AW$4)="N/A",0,RTD("tos.rtd",,"OPEN_INT","."&amp;$AB$3&amp;$AB$4&amp;"P"&amp;AW$4))*100</f>
        <v>1416000</v>
      </c>
      <c r="AX10" s="18">
        <f>MAX(0, $A10-AX$4)*IF(RTD("tos.rtd",,"OPEN_INT","."&amp;$AB$3&amp;$AB$4&amp;"C"&amp;AX$4)="N/A",0,RTD("tos.rtd",,"OPEN_INT","."&amp;$AB$3&amp;$AB$4&amp;"C"&amp;AX$4))*100 + MAX(0, AX$4-$A10)*IF(RTD("tos.rtd",,"OPEN_INT","."&amp;$AB$3&amp;$AB$4&amp;"P"&amp;AX$4)="N/A",0,RTD("tos.rtd",,"OPEN_INT","."&amp;$AB$3&amp;$AB$4&amp;"P"&amp;AX$4))*100</f>
        <v>2460000</v>
      </c>
      <c r="AY10" s="18">
        <f>MAX(0, $A10-AY$4)*IF(RTD("tos.rtd",,"OPEN_INT","."&amp;$AB$3&amp;$AB$4&amp;"C"&amp;AY$4)="N/A",0,RTD("tos.rtd",,"OPEN_INT","."&amp;$AB$3&amp;$AB$4&amp;"C"&amp;AY$4))*100 + MAX(0, AY$4-$A10)*IF(RTD("tos.rtd",,"OPEN_INT","."&amp;$AB$3&amp;$AB$4&amp;"P"&amp;AY$4)="N/A",0,RTD("tos.rtd",,"OPEN_INT","."&amp;$AB$3&amp;$AB$4&amp;"P"&amp;AY$4))*100</f>
        <v>3615050</v>
      </c>
      <c r="AZ10" s="18">
        <f>MAX(0, $A10-AZ$4)*IF(RTD("tos.rtd",,"OPEN_INT","."&amp;$AB$3&amp;$AB$4&amp;"C"&amp;AZ$4)="N/A",0,RTD("tos.rtd",,"OPEN_INT","."&amp;$AB$3&amp;$AB$4&amp;"C"&amp;AZ$4))*100 + MAX(0, AZ$4-$A10)*IF(RTD("tos.rtd",,"OPEN_INT","."&amp;$AB$3&amp;$AB$4&amp;"P"&amp;AZ$4)="N/A",0,RTD("tos.rtd",,"OPEN_INT","."&amp;$AB$3&amp;$AB$4&amp;"P"&amp;AZ$4))*100</f>
        <v>17593200</v>
      </c>
      <c r="BA10" s="18">
        <f>MAX(0, $A10-BA$4)*IF(RTD("tos.rtd",,"OPEN_INT","."&amp;$AB$3&amp;$AB$4&amp;"C"&amp;BA$4)="N/A",0,RTD("tos.rtd",,"OPEN_INT","."&amp;$AB$3&amp;$AB$4&amp;"C"&amp;BA$4))*100 + MAX(0, BA$4-$A10)*IF(RTD("tos.rtd",,"OPEN_INT","."&amp;$AB$3&amp;$AB$4&amp;"P"&amp;BA$4)="N/A",0,RTD("tos.rtd",,"OPEN_INT","."&amp;$AB$3&amp;$AB$4&amp;"P"&amp;BA$4))*100</f>
        <v>9357500</v>
      </c>
      <c r="BB10" s="18">
        <f>MAX(0, $A10-BB$4)*IF(RTD("tos.rtd",,"OPEN_INT","."&amp;$AB$3&amp;$AB$4&amp;"C"&amp;BB$4)="N/A",0,RTD("tos.rtd",,"OPEN_INT","."&amp;$AB$3&amp;$AB$4&amp;"C"&amp;BB$4))*100 + MAX(0, BB$4-$A10)*IF(RTD("tos.rtd",,"OPEN_INT","."&amp;$AB$3&amp;$AB$4&amp;"P"&amp;BB$4)="N/A",0,RTD("tos.rtd",,"OPEN_INT","."&amp;$AB$3&amp;$AB$4&amp;"P"&amp;BB$4))*100</f>
        <v>30807000</v>
      </c>
      <c r="BC10" s="18">
        <f>MAX(0, $A10-BC$4)*IF(RTD("tos.rtd",,"OPEN_INT","."&amp;$AB$3&amp;$AB$4&amp;"C"&amp;BC$4)="N/A",0,RTD("tos.rtd",,"OPEN_INT","."&amp;$AB$3&amp;$AB$4&amp;"C"&amp;BC$4))*100 + MAX(0, BC$4-$A10)*IF(RTD("tos.rtd",,"OPEN_INT","."&amp;$AB$3&amp;$AB$4&amp;"P"&amp;BC$4)="N/A",0,RTD("tos.rtd",,"OPEN_INT","."&amp;$AB$3&amp;$AB$4&amp;"P"&amp;BC$4))*100</f>
        <v>30090900</v>
      </c>
      <c r="BD10" s="18">
        <f>MAX(0, $A10-BD$4)*IF(RTD("tos.rtd",,"OPEN_INT","."&amp;$AB$3&amp;$AB$4&amp;"C"&amp;BD$4)="N/A",0,RTD("tos.rtd",,"OPEN_INT","."&amp;$AB$3&amp;$AB$4&amp;"C"&amp;BD$4))*100 + MAX(0, BD$4-$A10)*IF(RTD("tos.rtd",,"OPEN_INT","."&amp;$AB$3&amp;$AB$4&amp;"P"&amp;BD$4)="N/A",0,RTD("tos.rtd",,"OPEN_INT","."&amp;$AB$3&amp;$AB$4&amp;"P"&amp;BD$4))*100</f>
        <v>44784300</v>
      </c>
      <c r="BE10" s="18">
        <f>MAX(0, $A10-BE$4)*IF(RTD("tos.rtd",,"OPEN_INT","."&amp;$AB$3&amp;$AB$4&amp;"C"&amp;BE$4)="N/A",0,RTD("tos.rtd",,"OPEN_INT","."&amp;$AB$3&amp;$AB$4&amp;"C"&amp;BE$4))*100 + MAX(0, BE$4-$A10)*IF(RTD("tos.rtd",,"OPEN_INT","."&amp;$AB$3&amp;$AB$4&amp;"P"&amp;BE$4)="N/A",0,RTD("tos.rtd",,"OPEN_INT","."&amp;$AB$3&amp;$AB$4&amp;"P"&amp;BE$4))*100</f>
        <v>21344000</v>
      </c>
      <c r="BF10" s="18">
        <f>MAX(0, $A10-BF$4)*IF(RTD("tos.rtd",,"OPEN_INT","."&amp;$AB$3&amp;$AB$4&amp;"C"&amp;BF$4)="N/A",0,RTD("tos.rtd",,"OPEN_INT","."&amp;$AB$3&amp;$AB$4&amp;"C"&amp;BF$4))*100 + MAX(0, BF$4-$A10)*IF(RTD("tos.rtd",,"OPEN_INT","."&amp;$AB$3&amp;$AB$4&amp;"P"&amp;BF$4)="N/A",0,RTD("tos.rtd",,"OPEN_INT","."&amp;$AB$3&amp;$AB$4&amp;"P"&amp;BF$4))*100</f>
        <v>20733600</v>
      </c>
      <c r="BG10" s="18">
        <f>MAX(0, $A10-BG$4)*IF(RTD("tos.rtd",,"OPEN_INT","."&amp;$AB$3&amp;$AB$4&amp;"C"&amp;BG$4)="N/A",0,RTD("tos.rtd",,"OPEN_INT","."&amp;$AB$3&amp;$AB$4&amp;"C"&amp;BG$4))*100 + MAX(0, BG$4-$A10)*IF(RTD("tos.rtd",,"OPEN_INT","."&amp;$AB$3&amp;$AB$4&amp;"P"&amp;BG$4)="N/A",0,RTD("tos.rtd",,"OPEN_INT","."&amp;$AB$3&amp;$AB$4&amp;"P"&amp;BG$4))*100</f>
        <v>10508750</v>
      </c>
      <c r="BH10" s="18">
        <f>MAX(0, $A10-BH$4)*IF(RTD("tos.rtd",,"OPEN_INT","."&amp;$AB$3&amp;$AB$4&amp;"C"&amp;BH$4)="N/A",0,RTD("tos.rtd",,"OPEN_INT","."&amp;$AB$3&amp;$AB$4&amp;"C"&amp;BH$4))*100 + MAX(0, BH$4-$A10)*IF(RTD("tos.rtd",,"OPEN_INT","."&amp;$AB$3&amp;$AB$4&amp;"P"&amp;BH$4)="N/A",0,RTD("tos.rtd",,"OPEN_INT","."&amp;$AB$3&amp;$AB$4&amp;"P"&amp;BH$4))*100</f>
        <v>7454200</v>
      </c>
      <c r="BI10" s="18">
        <f>MAX(0, $A10-BI$4)*IF(RTD("tos.rtd",,"OPEN_INT","."&amp;$AB$3&amp;$AB$4&amp;"C"&amp;BI$4)="N/A",0,RTD("tos.rtd",,"OPEN_INT","."&amp;$AB$3&amp;$AB$4&amp;"C"&amp;BI$4))*100 + MAX(0, BI$4-$A10)*IF(RTD("tos.rtd",,"OPEN_INT","."&amp;$AB$3&amp;$AB$4&amp;"P"&amp;BI$4)="N/A",0,RTD("tos.rtd",,"OPEN_INT","."&amp;$AB$3&amp;$AB$4&amp;"P"&amp;BI$4))*100</f>
        <v>2623050</v>
      </c>
      <c r="BJ10" s="18">
        <f>MAX(0, $A10-BJ$4)*IF(RTD("tos.rtd",,"OPEN_INT","."&amp;$AB$3&amp;$AB$4&amp;"C"&amp;BJ$4)="N/A",0,RTD("tos.rtd",,"OPEN_INT","."&amp;$AB$3&amp;$AB$4&amp;"C"&amp;BJ$4))*100 + MAX(0, BJ$4-$A10)*IF(RTD("tos.rtd",,"OPEN_INT","."&amp;$AB$3&amp;$AB$4&amp;"P"&amp;BJ$4)="N/A",0,RTD("tos.rtd",,"OPEN_INT","."&amp;$AB$3&amp;$AB$4&amp;"P"&amp;BJ$4))*100</f>
        <v>1178800</v>
      </c>
      <c r="BK10" s="18">
        <f>MAX(0, $A10-BK$4)*IF(RTD("tos.rtd",,"OPEN_INT","."&amp;$AB$3&amp;$AB$4&amp;"C"&amp;BK$4)="N/A",0,RTD("tos.rtd",,"OPEN_INT","."&amp;$AB$3&amp;$AB$4&amp;"C"&amp;BK$4))*100 + MAX(0, BK$4-$A10)*IF(RTD("tos.rtd",,"OPEN_INT","."&amp;$AB$3&amp;$AB$4&amp;"P"&amp;BK$4)="N/A",0,RTD("tos.rtd",,"OPEN_INT","."&amp;$AB$3&amp;$AB$4&amp;"P"&amp;BK$4))*100</f>
        <v>218950</v>
      </c>
      <c r="BL10" s="18">
        <f>MAX(0, $A10-BL$4)*IF(RTD("tos.rtd",,"OPEN_INT","."&amp;$AB$3&amp;$AB$4&amp;"C"&amp;BL$4)="N/A",0,RTD("tos.rtd",,"OPEN_INT","."&amp;$AB$3&amp;$AB$4&amp;"C"&amp;BL$4))*100 + MAX(0, BL$4-$A10)*IF(RTD("tos.rtd",,"OPEN_INT","."&amp;$AB$3&amp;$AB$4&amp;"P"&amp;BL$4)="N/A",0,RTD("tos.rtd",,"OPEN_INT","."&amp;$AB$3&amp;$AB$4&amp;"P"&amp;BL$4))*100</f>
        <v>391500</v>
      </c>
      <c r="BM10" s="18">
        <f>MAX(0, $A10-BM$4)*IF(RTD("tos.rtd",,"OPEN_INT","."&amp;$AB$3&amp;$AB$4&amp;"C"&amp;BM$4)="N/A",0,RTD("tos.rtd",,"OPEN_INT","."&amp;$AB$3&amp;$AB$4&amp;"C"&amp;BM$4))*100 + MAX(0, BM$4-$A10)*IF(RTD("tos.rtd",,"OPEN_INT","."&amp;$AB$3&amp;$AB$4&amp;"P"&amp;BM$4)="N/A",0,RTD("tos.rtd",,"OPEN_INT","."&amp;$AB$3&amp;$AB$4&amp;"P"&amp;BM$4))*100</f>
        <v>24800</v>
      </c>
      <c r="BN10" s="18">
        <f>MAX(0, $A10-BN$4)*IF(RTD("tos.rtd",,"OPEN_INT","."&amp;$AB$3&amp;$AB$4&amp;"C"&amp;BN$4)="N/A",0,RTD("tos.rtd",,"OPEN_INT","."&amp;$AB$3&amp;$AB$4&amp;"C"&amp;BN$4))*100 + MAX(0, BN$4-$A10)*IF(RTD("tos.rtd",,"OPEN_INT","."&amp;$AB$3&amp;$AB$4&amp;"P"&amp;BN$4)="N/A",0,RTD("tos.rtd",,"OPEN_INT","."&amp;$AB$3&amp;$AB$4&amp;"P"&amp;BN$4))*100</f>
        <v>12800</v>
      </c>
      <c r="BO10" s="18">
        <f>MAX(0, $A10-BO$4)*IF(RTD("tos.rtd",,"OPEN_INT","."&amp;$AB$3&amp;$AB$4&amp;"C"&amp;BO$4)="N/A",0,RTD("tos.rtd",,"OPEN_INT","."&amp;$AB$3&amp;$AB$4&amp;"C"&amp;BO$4))*100 + MAX(0, BO$4-$A10)*IF(RTD("tos.rtd",,"OPEN_INT","."&amp;$AB$3&amp;$AB$4&amp;"P"&amp;BO$4)="N/A",0,RTD("tos.rtd",,"OPEN_INT","."&amp;$AB$3&amp;$AB$4&amp;"P"&amp;BO$4))*100</f>
        <v>51150</v>
      </c>
      <c r="BP10" s="18">
        <f>MAX(0, $A10-BP$4)*IF(RTD("tos.rtd",,"OPEN_INT","."&amp;$AB$3&amp;$AB$4&amp;"C"&amp;BP$4)="N/A",0,RTD("tos.rtd",,"OPEN_INT","."&amp;$AB$3&amp;$AB$4&amp;"C"&amp;BP$4))*100 + MAX(0, BP$4-$A10)*IF(RTD("tos.rtd",,"OPEN_INT","."&amp;$AB$3&amp;$AB$4&amp;"P"&amp;BP$4)="N/A",0,RTD("tos.rtd",,"OPEN_INT","."&amp;$AB$3&amp;$AB$4&amp;"P"&amp;BP$4))*100</f>
        <v>64600</v>
      </c>
      <c r="BQ10" s="18">
        <f>MAX(0, $A10-BQ$4)*IF(RTD("tos.rtd",,"OPEN_INT","."&amp;$AB$3&amp;$AB$4&amp;"C"&amp;BQ$4)="N/A",0,RTD("tos.rtd",,"OPEN_INT","."&amp;$AB$3&amp;$AB$4&amp;"C"&amp;BQ$4))*100 + MAX(0, BQ$4-$A10)*IF(RTD("tos.rtd",,"OPEN_INT","."&amp;$AB$3&amp;$AB$4&amp;"P"&amp;BQ$4)="N/A",0,RTD("tos.rtd",,"OPEN_INT","."&amp;$AB$3&amp;$AB$4&amp;"P"&amp;BQ$4))*100</f>
        <v>0</v>
      </c>
      <c r="BR10" s="18">
        <f>MAX(0, $A10-BR$4)*IF(RTD("tos.rtd",,"OPEN_INT","."&amp;$AB$3&amp;$AB$4&amp;"C"&amp;BR$4)="N/A",0,RTD("tos.rtd",,"OPEN_INT","."&amp;$AB$3&amp;$AB$4&amp;"C"&amp;BR$4))*100 + MAX(0, BR$4-$A10)*IF(RTD("tos.rtd",,"OPEN_INT","."&amp;$AB$3&amp;$AB$4&amp;"P"&amp;BR$4)="N/A",0,RTD("tos.rtd",,"OPEN_INT","."&amp;$AB$3&amp;$AB$4&amp;"P"&amp;BR$4))*100</f>
        <v>0</v>
      </c>
      <c r="BS10" s="18">
        <f>MAX(0, $A10-BS$4)*IF(RTD("tos.rtd",,"OPEN_INT","."&amp;$AB$3&amp;$AB$4&amp;"C"&amp;BS$4)="N/A",0,RTD("tos.rtd",,"OPEN_INT","."&amp;$AB$3&amp;$AB$4&amp;"C"&amp;BS$4))*100 + MAX(0, BS$4-$A10)*IF(RTD("tos.rtd",,"OPEN_INT","."&amp;$AB$3&amp;$AB$4&amp;"P"&amp;BS$4)="N/A",0,RTD("tos.rtd",,"OPEN_INT","."&amp;$AB$3&amp;$AB$4&amp;"P"&amp;BS$4))*100</f>
        <v>0</v>
      </c>
      <c r="BT10" s="18">
        <f>MAX(0, $A10-BT$4)*IF(RTD("tos.rtd",,"OPEN_INT","."&amp;$AB$3&amp;$AB$4&amp;"C"&amp;BT$4)="N/A",0,RTD("tos.rtd",,"OPEN_INT","."&amp;$AB$3&amp;$AB$4&amp;"C"&amp;BT$4))*100 + MAX(0, BT$4-$A10)*IF(RTD("tos.rtd",,"OPEN_INT","."&amp;$AB$3&amp;$AB$4&amp;"P"&amp;BT$4)="N/A",0,RTD("tos.rtd",,"OPEN_INT","."&amp;$AB$3&amp;$AB$4&amp;"P"&amp;BT$4))*100</f>
        <v>0</v>
      </c>
      <c r="BU10" s="18">
        <f>MAX(0, $A10-BU$4)*IF(RTD("tos.rtd",,"OPEN_INT","."&amp;$AB$3&amp;$AB$4&amp;"C"&amp;BU$4)="N/A",0,RTD("tos.rtd",,"OPEN_INT","."&amp;$AB$3&amp;$AB$4&amp;"C"&amp;BU$4))*100 + MAX(0, BU$4-$A10)*IF(RTD("tos.rtd",,"OPEN_INT","."&amp;$AB$3&amp;$AB$4&amp;"P"&amp;BU$4)="N/A",0,RTD("tos.rtd",,"OPEN_INT","."&amp;$AB$3&amp;$AB$4&amp;"P"&amp;BU$4))*100</f>
        <v>0</v>
      </c>
      <c r="BV10" s="18">
        <f>MAX(0, $A10-BV$4)*IF(RTD("tos.rtd",,"OPEN_INT","."&amp;$AB$3&amp;$AB$4&amp;"C"&amp;BV$4)="N/A",0,RTD("tos.rtd",,"OPEN_INT","."&amp;$AB$3&amp;$AB$4&amp;"C"&amp;BV$4))*100 + MAX(0, BV$4-$A10)*IF(RTD("tos.rtd",,"OPEN_INT","."&amp;$AB$3&amp;$AB$4&amp;"P"&amp;BV$4)="N/A",0,RTD("tos.rtd",,"OPEN_INT","."&amp;$AB$3&amp;$AB$4&amp;"P"&amp;BV$4))*100</f>
        <v>0</v>
      </c>
      <c r="BW10" s="18">
        <f>MAX(0, $A10-BW$4)*IF(RTD("tos.rtd",,"OPEN_INT","."&amp;$AB$3&amp;$AB$4&amp;"C"&amp;BW$4)="N/A",0,RTD("tos.rtd",,"OPEN_INT","."&amp;$AB$3&amp;$AB$4&amp;"C"&amp;BW$4))*100 + MAX(0, BW$4-$A10)*IF(RTD("tos.rtd",,"OPEN_INT","."&amp;$AB$3&amp;$AB$4&amp;"P"&amp;BW$4)="N/A",0,RTD("tos.rtd",,"OPEN_INT","."&amp;$AB$3&amp;$AB$4&amp;"P"&amp;BW$4))*100</f>
        <v>0</v>
      </c>
    </row>
    <row r="11" spans="1:75" s="19" customFormat="1" ht="11.1" customHeight="1" thickBot="1" x14ac:dyDescent="0.3">
      <c r="A11" s="23">
        <f t="shared" si="7"/>
        <v>18.5</v>
      </c>
      <c r="B11" s="14">
        <f ca="1">IF($A$2="PREMIUM_OI",IFERROR(IF($X$1="ABS",(100*RTD("tos.rtd",,"OPEN_INT","."&amp;B$2&amp;B$1&amp;"C"&amp;$A11)*RTD("tos.rtd",,"LAST","."&amp;B$2&amp;B$1&amp;"C"&amp;$A11)+100*RTD("tos.rtd",,"OPEN_INT","."&amp;B$2&amp;B$1&amp;"P"&amp;$A11)*RTD("tos.rtd",,"LAST","."&amp;B$2&amp;B$1&amp;"P"&amp;$A11))/1000000,(100*RTD("tos.rtd",,"OPEN_INT","."&amp;B$2&amp;B$1&amp;"C"&amp;$A11)*RTD("tos.rtd",,"LAST","."&amp;B$2&amp;B$1&amp;"C"&amp;$A11)-100*RTD("tos.rtd",,"OPEN_INT","."&amp;B$2&amp;B$1&amp;"P"&amp;$A11)*RTD("tos.rtd",,"LAST","."&amp;B$2&amp;B$1&amp;"P"&amp;$A11))/1000000),0),IF($A$2="PREMIUM",IFERROR(IF($X$1="ABS",(100*RTD("tos.rtd",,"VOLUME","."&amp;B$2&amp;B$1&amp;"C"&amp;$A11)*RTD("tos.rtd",,"LAST","."&amp;B$2&amp;B$1&amp;"C"&amp;$A11)+100*RTD("tos.rtd",,"VOLUME","."&amp;B$2&amp;B$1&amp;"P"&amp;$A11)*RTD("tos.rtd",,"LAST","."&amp;B$2&amp;B$1&amp;"P"&amp;$A11))/1000000,(100*RTD("tos.rtd",,"VOLUME","."&amp;B$2&amp;B$1&amp;"C"&amp;$A11)*RTD("tos.rtd",,"LAST","."&amp;B$2&amp;B$1&amp;"C"&amp;$A11)-100*RTD("tos.rtd",,"VOLUME","."&amp;B$2&amp;B$1&amp;"P"&amp;$A11)*RTD("tos.rtd",,"LAST","."&amp;B$2&amp;B$1&amp;"P"&amp;$A11))/1000000),0),IF($A$2="DEX",IFERROR(IF($X$1="ABS",(100*RTD("tos.rtd",,"OPEN_INT","."&amp;B$2&amp;B$1&amp;"C"&amp;$A11)*RTD("tos.rtd",,"DELTA","."&amp;B$2&amp;B$1&amp;"C"&amp;$A11)+100*RTD("tos.rtd",,"OPEN_INT","."&amp;B$2&amp;B$1&amp;"P"&amp;$A11)*RTD("tos.rtd",,"DELTA","."&amp;B$2&amp;B$1&amp;"P"&amp;$A11))/1000,(100*RTD("tos.rtd",,"OPEN_INT","."&amp;B$2&amp;B$1&amp;"C"&amp;$A11)*RTD("tos.rtd",,"DELTA","."&amp;B$2&amp;B$1&amp;"C"&amp;$A11)-100*RTD("tos.rtd",,"OPEN_INT","."&amp;B$2&amp;B$1&amp;"P"&amp;$A11)*RTD("tos.rtd",,"DELTA","."&amp;B$2&amp;B$1&amp;"P"&amp;$A11))/1000),0),IF($A$2="VEX",IFERROR(IF($X$1="ABS",($A$4*$A$4*RTD("tos.rtd",,"VOLUME","."&amp;B$2&amp;B$1&amp;"C"&amp;$A11)*RTD("tos.rtd",,"GAMMA","."&amp;B$2&amp;B$1&amp;"C"&amp;$A11)+$A$4*$A$4*RTD("tos.rtd",,"VOLUME","."&amp;B$2&amp;B$1&amp;"P"&amp;$A11)*RTD("tos.rtd",,"GAMMA","."&amp;B$2&amp;B$1&amp;"P"&amp;$A11))/1000000,($A$4*$A$4*RTD("tos.rtd",,"VOLUME","."&amp;B$2&amp;B$1&amp;"C"&amp;$A11)*RTD("tos.rtd",,"GAMMA","."&amp;B$2&amp;B$1&amp;"C"&amp;$A11)-$A$4*$A$4*RTD("tos.rtd",,"VOLUME","."&amp;B$2&amp;B$1&amp;"P"&amp;$A11)*RTD("tos.rtd",,"GAMMA","."&amp;B$2&amp;B$1&amp;"P"&amp;$A11))/1000000),0),IF($A$2="GEX",IFERROR(IF($X$1="ABS",($A$4*$A$4*RTD("tos.rtd",,"OPEN_INT","."&amp;B$2&amp;B$1&amp;"C"&amp;$A11)*RTD("tos.rtd",,"GAMMA","."&amp;B$2&amp;B$1&amp;"C"&amp;$A11)+$A$4*$A$4*RTD("tos.rtd",,"OPEN_INT","."&amp;B$2&amp;B$1&amp;"P"&amp;$A11)*RTD("tos.rtd",,"GAMMA","."&amp;B$2&amp;B$1&amp;"P"&amp;$A11))/1000000,($A$4*$A$4*RTD("tos.rtd",,"OPEN_INT","."&amp;B$2&amp;B$1&amp;"C"&amp;$A11)*RTD("tos.rtd",,"GAMMA","."&amp;B$2&amp;B$1&amp;"C"&amp;$A11)-$A$4*$A$4*RTD("tos.rtd",,"OPEN_INT","."&amp;B$2&amp;B$1&amp;"P"&amp;$A11)*RTD("tos.rtd",,"GAMMA","."&amp;B$2&amp;B$1&amp;"P"&amp;$A11))/1000000),0),IF($A$2="SKEW",IFERROR(VALUE(IF(RTD("tos.rtd",,"IMPL_VOL","."&amp;B$2&amp;B$1&amp;"P"&amp;$A11)="N/A",0,RTD("tos.rtd",,"IMPL_VOL","."&amp;B$2&amp;B$1&amp;"P"&amp;$A11))),0)-IFERROR(VALUE(IF(RTD("tos.rtd",,"IMPL_VOL","."&amp;B$2&amp;B$1&amp;"C"&amp;$A11)="N/A",0,RTD("tos.rtd",,"IMPL_VOL","."&amp;B$2&amp;B$1&amp;"C"&amp;$A11))),0),IF($A$2="MAXPAIN",IF($A$4&gt;$A11,($A$4-$A11)*IF(RTD("tos.rtd",,"OPEN_INT","."&amp;B$2&amp;B$1&amp;"C"&amp;$A11)="N/A",0,RTD("tos.rtd",,"OPEN_INT","."&amp;B$2&amp;B$1&amp;"C"&amp;$A11)),0)+IF($A$4&lt;$A11,($A$5-$A$4)*IF(RTD("tos.rtd",,"OPEN_INT","."&amp;B$2&amp;B$1&amp;"P"&amp;$A11)="N/A",0,RTD("tos.rtd",,"OPEN_INT","."&amp;B$2&amp;B$1&amp;"P"&amp;$A11)),0),IF($X$1="ABS",IF(RTD("tos.rtd",,$A$2,"."&amp;B$2&amp;B$1&amp;"C"&amp;$A11)="N/A",0,RTD("tos.rtd",,$A$2,"."&amp;B$2&amp;B$1&amp;"C"&amp;$A11))+IF(RTD("tos.rtd",,$A$2,"."&amp;B$2&amp;B$1&amp;"P"&amp;$A11)="N/A",0,RTD("tos.rtd",,$A$2,"."&amp;B$2&amp;B$1&amp;"P"&amp;$A11)),IF(RTD("tos.rtd",,$A$2,"."&amp;B$2&amp;B$1&amp;"C"&amp;$A11)="N/A",0,RTD("tos.rtd",,$A$2,"."&amp;B$2&amp;B$1&amp;"C"&amp;$A11))-IF(RTD("tos.rtd",,$A$2,"."&amp;B$2&amp;B$1&amp;"P"&amp;$A11)="N/A",0,RTD("tos.rtd",,$A$2,"."&amp;B$2&amp;B$1&amp;"P"&amp;$A11))))))))))</f>
        <v>0</v>
      </c>
      <c r="C11" s="14">
        <f ca="1">IF($A$2="PREMIUM_OI",IFERROR(IF($X$1="ABS",(100*RTD("tos.rtd",,"OPEN_INT","."&amp;C$2&amp;C$1&amp;"C"&amp;$A11)*RTD("tos.rtd",,"LAST","."&amp;C$2&amp;C$1&amp;"C"&amp;$A11)+100*RTD("tos.rtd",,"OPEN_INT","."&amp;C$2&amp;C$1&amp;"P"&amp;$A11)*RTD("tos.rtd",,"LAST","."&amp;C$2&amp;C$1&amp;"P"&amp;$A11))/1000000,(100*RTD("tos.rtd",,"OPEN_INT","."&amp;C$2&amp;C$1&amp;"C"&amp;$A11)*RTD("tos.rtd",,"LAST","."&amp;C$2&amp;C$1&amp;"C"&amp;$A11)-100*RTD("tos.rtd",,"OPEN_INT","."&amp;C$2&amp;C$1&amp;"P"&amp;$A11)*RTD("tos.rtd",,"LAST","."&amp;C$2&amp;C$1&amp;"P"&amp;$A11))/1000000),0),IF($A$2="PREMIUM",IFERROR(IF($X$1="ABS",(100*RTD("tos.rtd",,"VOLUME","."&amp;C$2&amp;C$1&amp;"C"&amp;$A11)*RTD("tos.rtd",,"LAST","."&amp;C$2&amp;C$1&amp;"C"&amp;$A11)+100*RTD("tos.rtd",,"VOLUME","."&amp;C$2&amp;C$1&amp;"P"&amp;$A11)*RTD("tos.rtd",,"LAST","."&amp;C$2&amp;C$1&amp;"P"&amp;$A11))/1000000,(100*RTD("tos.rtd",,"VOLUME","."&amp;C$2&amp;C$1&amp;"C"&amp;$A11)*RTD("tos.rtd",,"LAST","."&amp;C$2&amp;C$1&amp;"C"&amp;$A11)-100*RTD("tos.rtd",,"VOLUME","."&amp;C$2&amp;C$1&amp;"P"&amp;$A11)*RTD("tos.rtd",,"LAST","."&amp;C$2&amp;C$1&amp;"P"&amp;$A11))/1000000),0),IF($A$2="DEX",IFERROR(IF($X$1="ABS",(100*RTD("tos.rtd",,"OPEN_INT","."&amp;C$2&amp;C$1&amp;"C"&amp;$A11)*RTD("tos.rtd",,"DELTA","."&amp;C$2&amp;C$1&amp;"C"&amp;$A11)+100*RTD("tos.rtd",,"OPEN_INT","."&amp;C$2&amp;C$1&amp;"P"&amp;$A11)*RTD("tos.rtd",,"DELTA","."&amp;C$2&amp;C$1&amp;"P"&amp;$A11))/1000,(100*RTD("tos.rtd",,"OPEN_INT","."&amp;C$2&amp;C$1&amp;"C"&amp;$A11)*RTD("tos.rtd",,"DELTA","."&amp;C$2&amp;C$1&amp;"C"&amp;$A11)-100*RTD("tos.rtd",,"OPEN_INT","."&amp;C$2&amp;C$1&amp;"P"&amp;$A11)*RTD("tos.rtd",,"DELTA","."&amp;C$2&amp;C$1&amp;"P"&amp;$A11))/1000),0),IF($A$2="VEX",IFERROR(IF($X$1="ABS",($A$4*$A$4*RTD("tos.rtd",,"VOLUME","."&amp;C$2&amp;C$1&amp;"C"&amp;$A11)*RTD("tos.rtd",,"GAMMA","."&amp;C$2&amp;C$1&amp;"C"&amp;$A11)+$A$4*$A$4*RTD("tos.rtd",,"VOLUME","."&amp;C$2&amp;C$1&amp;"P"&amp;$A11)*RTD("tos.rtd",,"GAMMA","."&amp;C$2&amp;C$1&amp;"P"&amp;$A11))/1000000,($A$4*$A$4*RTD("tos.rtd",,"VOLUME","."&amp;C$2&amp;C$1&amp;"C"&amp;$A11)*RTD("tos.rtd",,"GAMMA","."&amp;C$2&amp;C$1&amp;"C"&amp;$A11)-$A$4*$A$4*RTD("tos.rtd",,"VOLUME","."&amp;C$2&amp;C$1&amp;"P"&amp;$A11)*RTD("tos.rtd",,"GAMMA","."&amp;C$2&amp;C$1&amp;"P"&amp;$A11))/1000000),0),IF($A$2="GEX",IFERROR(IF($X$1="ABS",($A$4*$A$4*RTD("tos.rtd",,"OPEN_INT","."&amp;C$2&amp;C$1&amp;"C"&amp;$A11)*RTD("tos.rtd",,"GAMMA","."&amp;C$2&amp;C$1&amp;"C"&amp;$A11)+$A$4*$A$4*RTD("tos.rtd",,"OPEN_INT","."&amp;C$2&amp;C$1&amp;"P"&amp;$A11)*RTD("tos.rtd",,"GAMMA","."&amp;C$2&amp;C$1&amp;"P"&amp;$A11))/1000000,($A$4*$A$4*RTD("tos.rtd",,"OPEN_INT","."&amp;C$2&amp;C$1&amp;"C"&amp;$A11)*RTD("tos.rtd",,"GAMMA","."&amp;C$2&amp;C$1&amp;"C"&amp;$A11)-$A$4*$A$4*RTD("tos.rtd",,"OPEN_INT","."&amp;C$2&amp;C$1&amp;"P"&amp;$A11)*RTD("tos.rtd",,"GAMMA","."&amp;C$2&amp;C$1&amp;"P"&amp;$A11))/1000000),0),IF($A$2="SKEW",IFERROR(VALUE(IF(RTD("tos.rtd",,"IMPL_VOL","."&amp;C$2&amp;C$1&amp;"P"&amp;$A11)="N/A",0,RTD("tos.rtd",,"IMPL_VOL","."&amp;C$2&amp;C$1&amp;"P"&amp;$A11))),0)-IFERROR(VALUE(IF(RTD("tos.rtd",,"IMPL_VOL","."&amp;C$2&amp;C$1&amp;"C"&amp;$A11)="N/A",0,RTD("tos.rtd",,"IMPL_VOL","."&amp;C$2&amp;C$1&amp;"C"&amp;$A11))),0),IF($A$2="MAXPAIN",IF($A$4&gt;$A11,($A$4-$A11)*IF(RTD("tos.rtd",,"OPEN_INT","."&amp;C$2&amp;C$1&amp;"C"&amp;$A11)="N/A",0,RTD("tos.rtd",,"OPEN_INT","."&amp;C$2&amp;C$1&amp;"C"&amp;$A11)),0)+IF($A$4&lt;$A11,($A$5-$A$4)*IF(RTD("tos.rtd",,"OPEN_INT","."&amp;C$2&amp;C$1&amp;"P"&amp;$A11)="N/A",0,RTD("tos.rtd",,"OPEN_INT","."&amp;C$2&amp;C$1&amp;"P"&amp;$A11)),0),IF($X$1="ABS",IF(RTD("tos.rtd",,$A$2,"."&amp;C$2&amp;C$1&amp;"C"&amp;$A11)="N/A",0,RTD("tos.rtd",,$A$2,"."&amp;C$2&amp;C$1&amp;"C"&amp;$A11))+IF(RTD("tos.rtd",,$A$2,"."&amp;C$2&amp;C$1&amp;"P"&amp;$A11)="N/A",0,RTD("tos.rtd",,$A$2,"."&amp;C$2&amp;C$1&amp;"P"&amp;$A11)),IF(RTD("tos.rtd",,$A$2,"."&amp;C$2&amp;C$1&amp;"C"&amp;$A11)="N/A",0,RTD("tos.rtd",,$A$2,"."&amp;C$2&amp;C$1&amp;"C"&amp;$A11))-IF(RTD("tos.rtd",,$A$2,"."&amp;C$2&amp;C$1&amp;"P"&amp;$A11)="N/A",0,RTD("tos.rtd",,$A$2,"."&amp;C$2&amp;C$1&amp;"P"&amp;$A11))))))))))</f>
        <v>0</v>
      </c>
      <c r="D11" s="12">
        <f ca="1">IF($A$2="PREMIUM_OI",IFERROR(IF($X$1="ABS",(100*RTD("tos.rtd",,"OPEN_INT","."&amp;D$2&amp;D$1&amp;"C"&amp;$A11)*RTD("tos.rtd",,"LAST","."&amp;D$2&amp;D$1&amp;"C"&amp;$A11)+100*RTD("tos.rtd",,"OPEN_INT","."&amp;D$2&amp;D$1&amp;"P"&amp;$A11)*RTD("tos.rtd",,"LAST","."&amp;D$2&amp;D$1&amp;"P"&amp;$A11))/1000000,(100*RTD("tos.rtd",,"OPEN_INT","."&amp;D$2&amp;D$1&amp;"C"&amp;$A11)*RTD("tos.rtd",,"LAST","."&amp;D$2&amp;D$1&amp;"C"&amp;$A11)-100*RTD("tos.rtd",,"OPEN_INT","."&amp;D$2&amp;D$1&amp;"P"&amp;$A11)*RTD("tos.rtd",,"LAST","."&amp;D$2&amp;D$1&amp;"P"&amp;$A11))/1000000),0),IF($A$2="PREMIUM",IFERROR(IF($X$1="ABS",(100*RTD("tos.rtd",,"VOLUME","."&amp;D$2&amp;D$1&amp;"C"&amp;$A11)*RTD("tos.rtd",,"LAST","."&amp;D$2&amp;D$1&amp;"C"&amp;$A11)+100*RTD("tos.rtd",,"VOLUME","."&amp;D$2&amp;D$1&amp;"P"&amp;$A11)*RTD("tos.rtd",,"LAST","."&amp;D$2&amp;D$1&amp;"P"&amp;$A11))/1000000,(100*RTD("tos.rtd",,"VOLUME","."&amp;D$2&amp;D$1&amp;"C"&amp;$A11)*RTD("tos.rtd",,"LAST","."&amp;D$2&amp;D$1&amp;"C"&amp;$A11)-100*RTD("tos.rtd",,"VOLUME","."&amp;D$2&amp;D$1&amp;"P"&amp;$A11)*RTD("tos.rtd",,"LAST","."&amp;D$2&amp;D$1&amp;"P"&amp;$A11))/1000000),0),IF($A$2="DEX",IFERROR(IF($X$1="ABS",(100*RTD("tos.rtd",,"OPEN_INT","."&amp;D$2&amp;D$1&amp;"C"&amp;$A11)*RTD("tos.rtd",,"DELTA","."&amp;D$2&amp;D$1&amp;"C"&amp;$A11)+100*RTD("tos.rtd",,"OPEN_INT","."&amp;D$2&amp;D$1&amp;"P"&amp;$A11)*RTD("tos.rtd",,"DELTA","."&amp;D$2&amp;D$1&amp;"P"&amp;$A11))/1000,(100*RTD("tos.rtd",,"OPEN_INT","."&amp;D$2&amp;D$1&amp;"C"&amp;$A11)*RTD("tos.rtd",,"DELTA","."&amp;D$2&amp;D$1&amp;"C"&amp;$A11)-100*RTD("tos.rtd",,"OPEN_INT","."&amp;D$2&amp;D$1&amp;"P"&amp;$A11)*RTD("tos.rtd",,"DELTA","."&amp;D$2&amp;D$1&amp;"P"&amp;$A11))/1000),0),IF($A$2="VEX",IFERROR(IF($X$1="ABS",($A$4*$A$4*RTD("tos.rtd",,"VOLUME","."&amp;D$2&amp;D$1&amp;"C"&amp;$A11)*RTD("tos.rtd",,"GAMMA","."&amp;D$2&amp;D$1&amp;"C"&amp;$A11)+$A$4*$A$4*RTD("tos.rtd",,"VOLUME","."&amp;D$2&amp;D$1&amp;"P"&amp;$A11)*RTD("tos.rtd",,"GAMMA","."&amp;D$2&amp;D$1&amp;"P"&amp;$A11))/1000000,($A$4*$A$4*RTD("tos.rtd",,"VOLUME","."&amp;D$2&amp;D$1&amp;"C"&amp;$A11)*RTD("tos.rtd",,"GAMMA","."&amp;D$2&amp;D$1&amp;"C"&amp;$A11)-$A$4*$A$4*RTD("tos.rtd",,"VOLUME","."&amp;D$2&amp;D$1&amp;"P"&amp;$A11)*RTD("tos.rtd",,"GAMMA","."&amp;D$2&amp;D$1&amp;"P"&amp;$A11))/1000000),0),IF($A$2="GEX",IFERROR(IF($X$1="ABS",($A$4*$A$4*RTD("tos.rtd",,"OPEN_INT","."&amp;D$2&amp;D$1&amp;"C"&amp;$A11)*RTD("tos.rtd",,"GAMMA","."&amp;D$2&amp;D$1&amp;"C"&amp;$A11)+$A$4*$A$4*RTD("tos.rtd",,"OPEN_INT","."&amp;D$2&amp;D$1&amp;"P"&amp;$A11)*RTD("tos.rtd",,"GAMMA","."&amp;D$2&amp;D$1&amp;"P"&amp;$A11))/1000000,($A$4*$A$4*RTD("tos.rtd",,"OPEN_INT","."&amp;D$2&amp;D$1&amp;"C"&amp;$A11)*RTD("tos.rtd",,"GAMMA","."&amp;D$2&amp;D$1&amp;"C"&amp;$A11)-$A$4*$A$4*RTD("tos.rtd",,"OPEN_INT","."&amp;D$2&amp;D$1&amp;"P"&amp;$A11)*RTD("tos.rtd",,"GAMMA","."&amp;D$2&amp;D$1&amp;"P"&amp;$A11))/1000000),0),IF($A$2="SKEW",IFERROR(VALUE(IF(RTD("tos.rtd",,"IMPL_VOL","."&amp;D$2&amp;D$1&amp;"P"&amp;$A11)="N/A",0,RTD("tos.rtd",,"IMPL_VOL","."&amp;D$2&amp;D$1&amp;"P"&amp;$A11))),0)-IFERROR(VALUE(IF(RTD("tos.rtd",,"IMPL_VOL","."&amp;D$2&amp;D$1&amp;"C"&amp;$A11)="N/A",0,RTD("tos.rtd",,"IMPL_VOL","."&amp;D$2&amp;D$1&amp;"C"&amp;$A11))),0),IF($A$2="MAXPAIN",IF($A$4&gt;$A11,($A$4-$A11)*IF(RTD("tos.rtd",,"OPEN_INT","."&amp;D$2&amp;D$1&amp;"C"&amp;$A11)="N/A",0,RTD("tos.rtd",,"OPEN_INT","."&amp;D$2&amp;D$1&amp;"C"&amp;$A11)),0)+IF($A$4&lt;$A11,($A$5-$A$4)*IF(RTD("tos.rtd",,"OPEN_INT","."&amp;D$2&amp;D$1&amp;"P"&amp;$A11)="N/A",0,RTD("tos.rtd",,"OPEN_INT","."&amp;D$2&amp;D$1&amp;"P"&amp;$A11)),0),IF($X$1="ABS",IF(RTD("tos.rtd",,$A$2,"."&amp;D$2&amp;D$1&amp;"C"&amp;$A11)="N/A",0,RTD("tos.rtd",,$A$2,"."&amp;D$2&amp;D$1&amp;"C"&amp;$A11))+IF(RTD("tos.rtd",,$A$2,"."&amp;D$2&amp;D$1&amp;"P"&amp;$A11)="N/A",0,RTD("tos.rtd",,$A$2,"."&amp;D$2&amp;D$1&amp;"P"&amp;$A11)),IF(RTD("tos.rtd",,$A$2,"."&amp;D$2&amp;D$1&amp;"C"&amp;$A11)="N/A",0,RTD("tos.rtd",,$A$2,"."&amp;D$2&amp;D$1&amp;"C"&amp;$A11))-IF(RTD("tos.rtd",,$A$2,"."&amp;D$2&amp;D$1&amp;"P"&amp;$A11)="N/A",0,RTD("tos.rtd",,$A$2,"."&amp;D$2&amp;D$1&amp;"P"&amp;$A11))))))))))</f>
        <v>0</v>
      </c>
      <c r="E11" s="12">
        <f ca="1">IF($A$2="PREMIUM_OI",IFERROR(IF($X$1="ABS",(100*RTD("tos.rtd",,"OPEN_INT","."&amp;E$2&amp;E$1&amp;"C"&amp;$A11)*RTD("tos.rtd",,"LAST","."&amp;E$2&amp;E$1&amp;"C"&amp;$A11)+100*RTD("tos.rtd",,"OPEN_INT","."&amp;E$2&amp;E$1&amp;"P"&amp;$A11)*RTD("tos.rtd",,"LAST","."&amp;E$2&amp;E$1&amp;"P"&amp;$A11))/1000000,(100*RTD("tos.rtd",,"OPEN_INT","."&amp;E$2&amp;E$1&amp;"C"&amp;$A11)*RTD("tos.rtd",,"LAST","."&amp;E$2&amp;E$1&amp;"C"&amp;$A11)-100*RTD("tos.rtd",,"OPEN_INT","."&amp;E$2&amp;E$1&amp;"P"&amp;$A11)*RTD("tos.rtd",,"LAST","."&amp;E$2&amp;E$1&amp;"P"&amp;$A11))/1000000),0),IF($A$2="PREMIUM",IFERROR(IF($X$1="ABS",(100*RTD("tos.rtd",,"VOLUME","."&amp;E$2&amp;E$1&amp;"C"&amp;$A11)*RTD("tos.rtd",,"LAST","."&amp;E$2&amp;E$1&amp;"C"&amp;$A11)+100*RTD("tos.rtd",,"VOLUME","."&amp;E$2&amp;E$1&amp;"P"&amp;$A11)*RTD("tos.rtd",,"LAST","."&amp;E$2&amp;E$1&amp;"P"&amp;$A11))/1000000,(100*RTD("tos.rtd",,"VOLUME","."&amp;E$2&amp;E$1&amp;"C"&amp;$A11)*RTD("tos.rtd",,"LAST","."&amp;E$2&amp;E$1&amp;"C"&amp;$A11)-100*RTD("tos.rtd",,"VOLUME","."&amp;E$2&amp;E$1&amp;"P"&amp;$A11)*RTD("tos.rtd",,"LAST","."&amp;E$2&amp;E$1&amp;"P"&amp;$A11))/1000000),0),IF($A$2="DEX",IFERROR(IF($X$1="ABS",(100*RTD("tos.rtd",,"OPEN_INT","."&amp;E$2&amp;E$1&amp;"C"&amp;$A11)*RTD("tos.rtd",,"DELTA","."&amp;E$2&amp;E$1&amp;"C"&amp;$A11)+100*RTD("tos.rtd",,"OPEN_INT","."&amp;E$2&amp;E$1&amp;"P"&amp;$A11)*RTD("tos.rtd",,"DELTA","."&amp;E$2&amp;E$1&amp;"P"&amp;$A11))/1000,(100*RTD("tos.rtd",,"OPEN_INT","."&amp;E$2&amp;E$1&amp;"C"&amp;$A11)*RTD("tos.rtd",,"DELTA","."&amp;E$2&amp;E$1&amp;"C"&amp;$A11)-100*RTD("tos.rtd",,"OPEN_INT","."&amp;E$2&amp;E$1&amp;"P"&amp;$A11)*RTD("tos.rtd",,"DELTA","."&amp;E$2&amp;E$1&amp;"P"&amp;$A11))/1000),0),IF($A$2="VEX",IFERROR(IF($X$1="ABS",($A$4*$A$4*RTD("tos.rtd",,"VOLUME","."&amp;E$2&amp;E$1&amp;"C"&amp;$A11)*RTD("tos.rtd",,"GAMMA","."&amp;E$2&amp;E$1&amp;"C"&amp;$A11)+$A$4*$A$4*RTD("tos.rtd",,"VOLUME","."&amp;E$2&amp;E$1&amp;"P"&amp;$A11)*RTD("tos.rtd",,"GAMMA","."&amp;E$2&amp;E$1&amp;"P"&amp;$A11))/1000000,($A$4*$A$4*RTD("tos.rtd",,"VOLUME","."&amp;E$2&amp;E$1&amp;"C"&amp;$A11)*RTD("tos.rtd",,"GAMMA","."&amp;E$2&amp;E$1&amp;"C"&amp;$A11)-$A$4*$A$4*RTD("tos.rtd",,"VOLUME","."&amp;E$2&amp;E$1&amp;"P"&amp;$A11)*RTD("tos.rtd",,"GAMMA","."&amp;E$2&amp;E$1&amp;"P"&amp;$A11))/1000000),0),IF($A$2="GEX",IFERROR(IF($X$1="ABS",($A$4*$A$4*RTD("tos.rtd",,"OPEN_INT","."&amp;E$2&amp;E$1&amp;"C"&amp;$A11)*RTD("tos.rtd",,"GAMMA","."&amp;E$2&amp;E$1&amp;"C"&amp;$A11)+$A$4*$A$4*RTD("tos.rtd",,"OPEN_INT","."&amp;E$2&amp;E$1&amp;"P"&amp;$A11)*RTD("tos.rtd",,"GAMMA","."&amp;E$2&amp;E$1&amp;"P"&amp;$A11))/1000000,($A$4*$A$4*RTD("tos.rtd",,"OPEN_INT","."&amp;E$2&amp;E$1&amp;"C"&amp;$A11)*RTD("tos.rtd",,"GAMMA","."&amp;E$2&amp;E$1&amp;"C"&amp;$A11)-$A$4*$A$4*RTD("tos.rtd",,"OPEN_INT","."&amp;E$2&amp;E$1&amp;"P"&amp;$A11)*RTD("tos.rtd",,"GAMMA","."&amp;E$2&amp;E$1&amp;"P"&amp;$A11))/1000000),0),IF($A$2="SKEW",IFERROR(VALUE(IF(RTD("tos.rtd",,"IMPL_VOL","."&amp;E$2&amp;E$1&amp;"P"&amp;$A11)="N/A",0,RTD("tos.rtd",,"IMPL_VOL","."&amp;E$2&amp;E$1&amp;"P"&amp;$A11))),0)-IFERROR(VALUE(IF(RTD("tos.rtd",,"IMPL_VOL","."&amp;E$2&amp;E$1&amp;"C"&amp;$A11)="N/A",0,RTD("tos.rtd",,"IMPL_VOL","."&amp;E$2&amp;E$1&amp;"C"&amp;$A11))),0),IF($A$2="MAXPAIN",IF($A$4&gt;$A11,($A$4-$A11)*IF(RTD("tos.rtd",,"OPEN_INT","."&amp;E$2&amp;E$1&amp;"C"&amp;$A11)="N/A",0,RTD("tos.rtd",,"OPEN_INT","."&amp;E$2&amp;E$1&amp;"C"&amp;$A11)),0)+IF($A$4&lt;$A11,($A$5-$A$4)*IF(RTD("tos.rtd",,"OPEN_INT","."&amp;E$2&amp;E$1&amp;"P"&amp;$A11)="N/A",0,RTD("tos.rtd",,"OPEN_INT","."&amp;E$2&amp;E$1&amp;"P"&amp;$A11)),0),IF($X$1="ABS",IF(RTD("tos.rtd",,$A$2,"."&amp;E$2&amp;E$1&amp;"C"&amp;$A11)="N/A",0,RTD("tos.rtd",,$A$2,"."&amp;E$2&amp;E$1&amp;"C"&amp;$A11))+IF(RTD("tos.rtd",,$A$2,"."&amp;E$2&amp;E$1&amp;"P"&amp;$A11)="N/A",0,RTD("tos.rtd",,$A$2,"."&amp;E$2&amp;E$1&amp;"P"&amp;$A11)),IF(RTD("tos.rtd",,$A$2,"."&amp;E$2&amp;E$1&amp;"C"&amp;$A11)="N/A",0,RTD("tos.rtd",,$A$2,"."&amp;E$2&amp;E$1&amp;"C"&amp;$A11))-IF(RTD("tos.rtd",,$A$2,"."&amp;E$2&amp;E$1&amp;"P"&amp;$A11)="N/A",0,RTD("tos.rtd",,$A$2,"."&amp;E$2&amp;E$1&amp;"P"&amp;$A11))))))))))</f>
        <v>0</v>
      </c>
      <c r="F11" s="12">
        <f ca="1">IF($A$2="PREMIUM_OI",IFERROR(IF($X$1="ABS",(100*RTD("tos.rtd",,"OPEN_INT","."&amp;F$2&amp;F$1&amp;"C"&amp;$A11)*RTD("tos.rtd",,"LAST","."&amp;F$2&amp;F$1&amp;"C"&amp;$A11)+100*RTD("tos.rtd",,"OPEN_INT","."&amp;F$2&amp;F$1&amp;"P"&amp;$A11)*RTD("tos.rtd",,"LAST","."&amp;F$2&amp;F$1&amp;"P"&amp;$A11))/1000000,(100*RTD("tos.rtd",,"OPEN_INT","."&amp;F$2&amp;F$1&amp;"C"&amp;$A11)*RTD("tos.rtd",,"LAST","."&amp;F$2&amp;F$1&amp;"C"&amp;$A11)-100*RTD("tos.rtd",,"OPEN_INT","."&amp;F$2&amp;F$1&amp;"P"&amp;$A11)*RTD("tos.rtd",,"LAST","."&amp;F$2&amp;F$1&amp;"P"&amp;$A11))/1000000),0),IF($A$2="PREMIUM",IFERROR(IF($X$1="ABS",(100*RTD("tos.rtd",,"VOLUME","."&amp;F$2&amp;F$1&amp;"C"&amp;$A11)*RTD("tos.rtd",,"LAST","."&amp;F$2&amp;F$1&amp;"C"&amp;$A11)+100*RTD("tos.rtd",,"VOLUME","."&amp;F$2&amp;F$1&amp;"P"&amp;$A11)*RTD("tos.rtd",,"LAST","."&amp;F$2&amp;F$1&amp;"P"&amp;$A11))/1000000,(100*RTD("tos.rtd",,"VOLUME","."&amp;F$2&amp;F$1&amp;"C"&amp;$A11)*RTD("tos.rtd",,"LAST","."&amp;F$2&amp;F$1&amp;"C"&amp;$A11)-100*RTD("tos.rtd",,"VOLUME","."&amp;F$2&amp;F$1&amp;"P"&amp;$A11)*RTD("tos.rtd",,"LAST","."&amp;F$2&amp;F$1&amp;"P"&amp;$A11))/1000000),0),IF($A$2="DEX",IFERROR(IF($X$1="ABS",(100*RTD("tos.rtd",,"OPEN_INT","."&amp;F$2&amp;F$1&amp;"C"&amp;$A11)*RTD("tos.rtd",,"DELTA","."&amp;F$2&amp;F$1&amp;"C"&amp;$A11)+100*RTD("tos.rtd",,"OPEN_INT","."&amp;F$2&amp;F$1&amp;"P"&amp;$A11)*RTD("tos.rtd",,"DELTA","."&amp;F$2&amp;F$1&amp;"P"&amp;$A11))/1000,(100*RTD("tos.rtd",,"OPEN_INT","."&amp;F$2&amp;F$1&amp;"C"&amp;$A11)*RTD("tos.rtd",,"DELTA","."&amp;F$2&amp;F$1&amp;"C"&amp;$A11)-100*RTD("tos.rtd",,"OPEN_INT","."&amp;F$2&amp;F$1&amp;"P"&amp;$A11)*RTD("tos.rtd",,"DELTA","."&amp;F$2&amp;F$1&amp;"P"&amp;$A11))/1000),0),IF($A$2="VEX",IFERROR(IF($X$1="ABS",($A$4*$A$4*RTD("tos.rtd",,"VOLUME","."&amp;F$2&amp;F$1&amp;"C"&amp;$A11)*RTD("tos.rtd",,"GAMMA","."&amp;F$2&amp;F$1&amp;"C"&amp;$A11)+$A$4*$A$4*RTD("tos.rtd",,"VOLUME","."&amp;F$2&amp;F$1&amp;"P"&amp;$A11)*RTD("tos.rtd",,"GAMMA","."&amp;F$2&amp;F$1&amp;"P"&amp;$A11))/1000000,($A$4*$A$4*RTD("tos.rtd",,"VOLUME","."&amp;F$2&amp;F$1&amp;"C"&amp;$A11)*RTD("tos.rtd",,"GAMMA","."&amp;F$2&amp;F$1&amp;"C"&amp;$A11)-$A$4*$A$4*RTD("tos.rtd",,"VOLUME","."&amp;F$2&amp;F$1&amp;"P"&amp;$A11)*RTD("tos.rtd",,"GAMMA","."&amp;F$2&amp;F$1&amp;"P"&amp;$A11))/1000000),0),IF($A$2="GEX",IFERROR(IF($X$1="ABS",($A$4*$A$4*RTD("tos.rtd",,"OPEN_INT","."&amp;F$2&amp;F$1&amp;"C"&amp;$A11)*RTD("tos.rtd",,"GAMMA","."&amp;F$2&amp;F$1&amp;"C"&amp;$A11)+$A$4*$A$4*RTD("tos.rtd",,"OPEN_INT","."&amp;F$2&amp;F$1&amp;"P"&amp;$A11)*RTD("tos.rtd",,"GAMMA","."&amp;F$2&amp;F$1&amp;"P"&amp;$A11))/1000000,($A$4*$A$4*RTD("tos.rtd",,"OPEN_INT","."&amp;F$2&amp;F$1&amp;"C"&amp;$A11)*RTD("tos.rtd",,"GAMMA","."&amp;F$2&amp;F$1&amp;"C"&amp;$A11)-$A$4*$A$4*RTD("tos.rtd",,"OPEN_INT","."&amp;F$2&amp;F$1&amp;"P"&amp;$A11)*RTD("tos.rtd",,"GAMMA","."&amp;F$2&amp;F$1&amp;"P"&amp;$A11))/1000000),0),IF($A$2="SKEW",IFERROR(VALUE(IF(RTD("tos.rtd",,"IMPL_VOL","."&amp;F$2&amp;F$1&amp;"P"&amp;$A11)="N/A",0,RTD("tos.rtd",,"IMPL_VOL","."&amp;F$2&amp;F$1&amp;"P"&amp;$A11))),0)-IFERROR(VALUE(IF(RTD("tos.rtd",,"IMPL_VOL","."&amp;F$2&amp;F$1&amp;"C"&amp;$A11)="N/A",0,RTD("tos.rtd",,"IMPL_VOL","."&amp;F$2&amp;F$1&amp;"C"&amp;$A11))),0),IF($A$2="MAXPAIN",IF($A$4&gt;$A11,($A$4-$A11)*IF(RTD("tos.rtd",,"OPEN_INT","."&amp;F$2&amp;F$1&amp;"C"&amp;$A11)="N/A",0,RTD("tos.rtd",,"OPEN_INT","."&amp;F$2&amp;F$1&amp;"C"&amp;$A11)),0)+IF($A$4&lt;$A11,($A$5-$A$4)*IF(RTD("tos.rtd",,"OPEN_INT","."&amp;F$2&amp;F$1&amp;"P"&amp;$A11)="N/A",0,RTD("tos.rtd",,"OPEN_INT","."&amp;F$2&amp;F$1&amp;"P"&amp;$A11)),0),IF($X$1="ABS",IF(RTD("tos.rtd",,$A$2,"."&amp;F$2&amp;F$1&amp;"C"&amp;$A11)="N/A",0,RTD("tos.rtd",,$A$2,"."&amp;F$2&amp;F$1&amp;"C"&amp;$A11))+IF(RTD("tos.rtd",,$A$2,"."&amp;F$2&amp;F$1&amp;"P"&amp;$A11)="N/A",0,RTD("tos.rtd",,$A$2,"."&amp;F$2&amp;F$1&amp;"P"&amp;$A11)),IF(RTD("tos.rtd",,$A$2,"."&amp;F$2&amp;F$1&amp;"C"&amp;$A11)="N/A",0,RTD("tos.rtd",,$A$2,"."&amp;F$2&amp;F$1&amp;"C"&amp;$A11))-IF(RTD("tos.rtd",,$A$2,"."&amp;F$2&amp;F$1&amp;"P"&amp;$A11)="N/A",0,RTD("tos.rtd",,$A$2,"."&amp;F$2&amp;F$1&amp;"P"&amp;$A11))))))))))</f>
        <v>0</v>
      </c>
      <c r="G11" s="54">
        <f ca="1">IF($A$2="PREMIUM_OI",IFERROR(IF($X$1="ABS",(100*RTD("tos.rtd",,"OPEN_INT","."&amp;G$2&amp;G$1&amp;"C"&amp;$A11)*RTD("tos.rtd",,"LAST","."&amp;G$2&amp;G$1&amp;"C"&amp;$A11)+100*RTD("tos.rtd",,"OPEN_INT","."&amp;G$2&amp;G$1&amp;"P"&amp;$A11)*RTD("tos.rtd",,"LAST","."&amp;G$2&amp;G$1&amp;"P"&amp;$A11))/1000000,(100*RTD("tos.rtd",,"OPEN_INT","."&amp;G$2&amp;G$1&amp;"C"&amp;$A11)*RTD("tos.rtd",,"LAST","."&amp;G$2&amp;G$1&amp;"C"&amp;$A11)-100*RTD("tos.rtd",,"OPEN_INT","."&amp;G$2&amp;G$1&amp;"P"&amp;$A11)*RTD("tos.rtd",,"LAST","."&amp;G$2&amp;G$1&amp;"P"&amp;$A11))/1000000),0),IF($A$2="PREMIUM",IFERROR(IF($X$1="ABS",(100*RTD("tos.rtd",,"VOLUME","."&amp;G$2&amp;G$1&amp;"C"&amp;$A11)*RTD("tos.rtd",,"LAST","."&amp;G$2&amp;G$1&amp;"C"&amp;$A11)+100*RTD("tos.rtd",,"VOLUME","."&amp;G$2&amp;G$1&amp;"P"&amp;$A11)*RTD("tos.rtd",,"LAST","."&amp;G$2&amp;G$1&amp;"P"&amp;$A11))/1000000,(100*RTD("tos.rtd",,"VOLUME","."&amp;G$2&amp;G$1&amp;"C"&amp;$A11)*RTD("tos.rtd",,"LAST","."&amp;G$2&amp;G$1&amp;"C"&amp;$A11)-100*RTD("tos.rtd",,"VOLUME","."&amp;G$2&amp;G$1&amp;"P"&amp;$A11)*RTD("tos.rtd",,"LAST","."&amp;G$2&amp;G$1&amp;"P"&amp;$A11))/1000000),0),IF($A$2="DEX",IFERROR(IF($X$1="ABS",(100*RTD("tos.rtd",,"OPEN_INT","."&amp;G$2&amp;G$1&amp;"C"&amp;$A11)*RTD("tos.rtd",,"DELTA","."&amp;G$2&amp;G$1&amp;"C"&amp;$A11)+100*RTD("tos.rtd",,"OPEN_INT","."&amp;G$2&amp;G$1&amp;"P"&amp;$A11)*RTD("tos.rtd",,"DELTA","."&amp;G$2&amp;G$1&amp;"P"&amp;$A11))/1000,(100*RTD("tos.rtd",,"OPEN_INT","."&amp;G$2&amp;G$1&amp;"C"&amp;$A11)*RTD("tos.rtd",,"DELTA","."&amp;G$2&amp;G$1&amp;"C"&amp;$A11)-100*RTD("tos.rtd",,"OPEN_INT","."&amp;G$2&amp;G$1&amp;"P"&amp;$A11)*RTD("tos.rtd",,"DELTA","."&amp;G$2&amp;G$1&amp;"P"&amp;$A11))/1000),0),IF($A$2="VEX",IFERROR(IF($X$1="ABS",($A$4*$A$4*RTD("tos.rtd",,"VOLUME","."&amp;G$2&amp;G$1&amp;"C"&amp;$A11)*RTD("tos.rtd",,"GAMMA","."&amp;G$2&amp;G$1&amp;"C"&amp;$A11)+$A$4*$A$4*RTD("tos.rtd",,"VOLUME","."&amp;G$2&amp;G$1&amp;"P"&amp;$A11)*RTD("tos.rtd",,"GAMMA","."&amp;G$2&amp;G$1&amp;"P"&amp;$A11))/1000000,($A$4*$A$4*RTD("tos.rtd",,"VOLUME","."&amp;G$2&amp;G$1&amp;"C"&amp;$A11)*RTD("tos.rtd",,"GAMMA","."&amp;G$2&amp;G$1&amp;"C"&amp;$A11)-$A$4*$A$4*RTD("tos.rtd",,"VOLUME","."&amp;G$2&amp;G$1&amp;"P"&amp;$A11)*RTD("tos.rtd",,"GAMMA","."&amp;G$2&amp;G$1&amp;"P"&amp;$A11))/1000000),0),IF($A$2="GEX",IFERROR(IF($X$1="ABS",($A$4*$A$4*RTD("tos.rtd",,"OPEN_INT","."&amp;G$2&amp;G$1&amp;"C"&amp;$A11)*RTD("tos.rtd",,"GAMMA","."&amp;G$2&amp;G$1&amp;"C"&amp;$A11)+$A$4*$A$4*RTD("tos.rtd",,"OPEN_INT","."&amp;G$2&amp;G$1&amp;"P"&amp;$A11)*RTD("tos.rtd",,"GAMMA","."&amp;G$2&amp;G$1&amp;"P"&amp;$A11))/1000000,($A$4*$A$4*RTD("tos.rtd",,"OPEN_INT","."&amp;G$2&amp;G$1&amp;"C"&amp;$A11)*RTD("tos.rtd",,"GAMMA","."&amp;G$2&amp;G$1&amp;"C"&amp;$A11)-$A$4*$A$4*RTD("tos.rtd",,"OPEN_INT","."&amp;G$2&amp;G$1&amp;"P"&amp;$A11)*RTD("tos.rtd",,"GAMMA","."&amp;G$2&amp;G$1&amp;"P"&amp;$A11))/1000000),0),IF($A$2="SKEW",IFERROR(VALUE(IF(RTD("tos.rtd",,"IMPL_VOL","."&amp;G$2&amp;G$1&amp;"P"&amp;$A11)="N/A",0,RTD("tos.rtd",,"IMPL_VOL","."&amp;G$2&amp;G$1&amp;"P"&amp;$A11))),0)-IFERROR(VALUE(IF(RTD("tos.rtd",,"IMPL_VOL","."&amp;G$2&amp;G$1&amp;"C"&amp;$A11)="N/A",0,RTD("tos.rtd",,"IMPL_VOL","."&amp;G$2&amp;G$1&amp;"C"&amp;$A11))),0),IF($A$2="MAXPAIN",IF($A$4&gt;$A11,($A$4-$A11)*IF(RTD("tos.rtd",,"OPEN_INT","."&amp;G$2&amp;G$1&amp;"C"&amp;$A11)="N/A",0,RTD("tos.rtd",,"OPEN_INT","."&amp;G$2&amp;G$1&amp;"C"&amp;$A11)),0)+IF($A$4&lt;$A11,($A$5-$A$4)*IF(RTD("tos.rtd",,"OPEN_INT","."&amp;G$2&amp;G$1&amp;"P"&amp;$A11)="N/A",0,RTD("tos.rtd",,"OPEN_INT","."&amp;G$2&amp;G$1&amp;"P"&amp;$A11)),0),IF($X$1="ABS",IF(RTD("tos.rtd",,$A$2,"."&amp;G$2&amp;G$1&amp;"C"&amp;$A11)="N/A",0,RTD("tos.rtd",,$A$2,"."&amp;G$2&amp;G$1&amp;"C"&amp;$A11))+IF(RTD("tos.rtd",,$A$2,"."&amp;G$2&amp;G$1&amp;"P"&amp;$A11)="N/A",0,RTD("tos.rtd",,$A$2,"."&amp;G$2&amp;G$1&amp;"P"&amp;$A11)),IF(RTD("tos.rtd",,$A$2,"."&amp;G$2&amp;G$1&amp;"C"&amp;$A11)="N/A",0,RTD("tos.rtd",,$A$2,"."&amp;G$2&amp;G$1&amp;"C"&amp;$A11))-IF(RTD("tos.rtd",,$A$2,"."&amp;G$2&amp;G$1&amp;"P"&amp;$A11)="N/A",0,RTD("tos.rtd",,$A$2,"."&amp;G$2&amp;G$1&amp;"P"&amp;$A11))))))))))</f>
        <v>0</v>
      </c>
      <c r="H11" s="14">
        <f ca="1">IF($A$2="PREMIUM_OI",IFERROR(IF($X$1="ABS",(100*RTD("tos.rtd",,"OPEN_INT","."&amp;H$2&amp;H$1&amp;"C"&amp;$A11)*RTD("tos.rtd",,"LAST","."&amp;H$2&amp;H$1&amp;"C"&amp;$A11)+100*RTD("tos.rtd",,"OPEN_INT","."&amp;H$2&amp;H$1&amp;"P"&amp;$A11)*RTD("tos.rtd",,"LAST","."&amp;H$2&amp;H$1&amp;"P"&amp;$A11))/1000000,(100*RTD("tos.rtd",,"OPEN_INT","."&amp;H$2&amp;H$1&amp;"C"&amp;$A11)*RTD("tos.rtd",,"LAST","."&amp;H$2&amp;H$1&amp;"C"&amp;$A11)-100*RTD("tos.rtd",,"OPEN_INT","."&amp;H$2&amp;H$1&amp;"P"&amp;$A11)*RTD("tos.rtd",,"LAST","."&amp;H$2&amp;H$1&amp;"P"&amp;$A11))/1000000),0),IF($A$2="PREMIUM",IFERROR(IF($X$1="ABS",(100*RTD("tos.rtd",,"VOLUME","."&amp;H$2&amp;H$1&amp;"C"&amp;$A11)*RTD("tos.rtd",,"LAST","."&amp;H$2&amp;H$1&amp;"C"&amp;$A11)+100*RTD("tos.rtd",,"VOLUME","."&amp;H$2&amp;H$1&amp;"P"&amp;$A11)*RTD("tos.rtd",,"LAST","."&amp;H$2&amp;H$1&amp;"P"&amp;$A11))/1000000,(100*RTD("tos.rtd",,"VOLUME","."&amp;H$2&amp;H$1&amp;"C"&amp;$A11)*RTD("tos.rtd",,"LAST","."&amp;H$2&amp;H$1&amp;"C"&amp;$A11)-100*RTD("tos.rtd",,"VOLUME","."&amp;H$2&amp;H$1&amp;"P"&amp;$A11)*RTD("tos.rtd",,"LAST","."&amp;H$2&amp;H$1&amp;"P"&amp;$A11))/1000000),0),IF($A$2="DEX",IFERROR(IF($X$1="ABS",(100*RTD("tos.rtd",,"OPEN_INT","."&amp;H$2&amp;H$1&amp;"C"&amp;$A11)*RTD("tos.rtd",,"DELTA","."&amp;H$2&amp;H$1&amp;"C"&amp;$A11)+100*RTD("tos.rtd",,"OPEN_INT","."&amp;H$2&amp;H$1&amp;"P"&amp;$A11)*RTD("tos.rtd",,"DELTA","."&amp;H$2&amp;H$1&amp;"P"&amp;$A11))/1000,(100*RTD("tos.rtd",,"OPEN_INT","."&amp;H$2&amp;H$1&amp;"C"&amp;$A11)*RTD("tos.rtd",,"DELTA","."&amp;H$2&amp;H$1&amp;"C"&amp;$A11)-100*RTD("tos.rtd",,"OPEN_INT","."&amp;H$2&amp;H$1&amp;"P"&amp;$A11)*RTD("tos.rtd",,"DELTA","."&amp;H$2&amp;H$1&amp;"P"&amp;$A11))/1000),0),IF($A$2="VEX",IFERROR(IF($X$1="ABS",($A$4*$A$4*RTD("tos.rtd",,"VOLUME","."&amp;H$2&amp;H$1&amp;"C"&amp;$A11)*RTD("tos.rtd",,"GAMMA","."&amp;H$2&amp;H$1&amp;"C"&amp;$A11)+$A$4*$A$4*RTD("tos.rtd",,"VOLUME","."&amp;H$2&amp;H$1&amp;"P"&amp;$A11)*RTD("tos.rtd",,"GAMMA","."&amp;H$2&amp;H$1&amp;"P"&amp;$A11))/1000000,($A$4*$A$4*RTD("tos.rtd",,"VOLUME","."&amp;H$2&amp;H$1&amp;"C"&amp;$A11)*RTD("tos.rtd",,"GAMMA","."&amp;H$2&amp;H$1&amp;"C"&amp;$A11)-$A$4*$A$4*RTD("tos.rtd",,"VOLUME","."&amp;H$2&amp;H$1&amp;"P"&amp;$A11)*RTD("tos.rtd",,"GAMMA","."&amp;H$2&amp;H$1&amp;"P"&amp;$A11))/1000000),0),IF($A$2="GEX",IFERROR(IF($X$1="ABS",($A$4*$A$4*RTD("tos.rtd",,"OPEN_INT","."&amp;H$2&amp;H$1&amp;"C"&amp;$A11)*RTD("tos.rtd",,"GAMMA","."&amp;H$2&amp;H$1&amp;"C"&amp;$A11)+$A$4*$A$4*RTD("tos.rtd",,"OPEN_INT","."&amp;H$2&amp;H$1&amp;"P"&amp;$A11)*RTD("tos.rtd",,"GAMMA","."&amp;H$2&amp;H$1&amp;"P"&amp;$A11))/1000000,($A$4*$A$4*RTD("tos.rtd",,"OPEN_INT","."&amp;H$2&amp;H$1&amp;"C"&amp;$A11)*RTD("tos.rtd",,"GAMMA","."&amp;H$2&amp;H$1&amp;"C"&amp;$A11)-$A$4*$A$4*RTD("tos.rtd",,"OPEN_INT","."&amp;H$2&amp;H$1&amp;"P"&amp;$A11)*RTD("tos.rtd",,"GAMMA","."&amp;H$2&amp;H$1&amp;"P"&amp;$A11))/1000000),0),IF($A$2="SKEW",IFERROR(VALUE(IF(RTD("tos.rtd",,"IMPL_VOL","."&amp;H$2&amp;H$1&amp;"P"&amp;$A11)="N/A",0,RTD("tos.rtd",,"IMPL_VOL","."&amp;H$2&amp;H$1&amp;"P"&amp;$A11))),0)-IFERROR(VALUE(IF(RTD("tos.rtd",,"IMPL_VOL","."&amp;H$2&amp;H$1&amp;"C"&amp;$A11)="N/A",0,RTD("tos.rtd",,"IMPL_VOL","."&amp;H$2&amp;H$1&amp;"C"&amp;$A11))),0),IF($A$2="MAXPAIN",IF($A$4&gt;$A11,($A$4-$A11)*IF(RTD("tos.rtd",,"OPEN_INT","."&amp;H$2&amp;H$1&amp;"C"&amp;$A11)="N/A",0,RTD("tos.rtd",,"OPEN_INT","."&amp;H$2&amp;H$1&amp;"C"&amp;$A11)),0)+IF($A$4&lt;$A11,($A$5-$A$4)*IF(RTD("tos.rtd",,"OPEN_INT","."&amp;H$2&amp;H$1&amp;"P"&amp;$A11)="N/A",0,RTD("tos.rtd",,"OPEN_INT","."&amp;H$2&amp;H$1&amp;"P"&amp;$A11)),0),IF($X$1="ABS",IF(RTD("tos.rtd",,$A$2,"."&amp;H$2&amp;H$1&amp;"C"&amp;$A11)="N/A",0,RTD("tos.rtd",,$A$2,"."&amp;H$2&amp;H$1&amp;"C"&amp;$A11))+IF(RTD("tos.rtd",,$A$2,"."&amp;H$2&amp;H$1&amp;"P"&amp;$A11)="N/A",0,RTD("tos.rtd",,$A$2,"."&amp;H$2&amp;H$1&amp;"P"&amp;$A11)),IF(RTD("tos.rtd",,$A$2,"."&amp;H$2&amp;H$1&amp;"C"&amp;$A11)="N/A",0,RTD("tos.rtd",,$A$2,"."&amp;H$2&amp;H$1&amp;"C"&amp;$A11))-IF(RTD("tos.rtd",,$A$2,"."&amp;H$2&amp;H$1&amp;"P"&amp;$A11)="N/A",0,RTD("tos.rtd",,$A$2,"."&amp;H$2&amp;H$1&amp;"P"&amp;$A11))))))))))</f>
        <v>0</v>
      </c>
      <c r="I11" s="12">
        <f ca="1">IF($A$2="PREMIUM_OI",IFERROR(IF($X$1="ABS",(100*RTD("tos.rtd",,"OPEN_INT","."&amp;I$2&amp;I$1&amp;"C"&amp;$A11)*RTD("tos.rtd",,"LAST","."&amp;I$2&amp;I$1&amp;"C"&amp;$A11)+100*RTD("tos.rtd",,"OPEN_INT","."&amp;I$2&amp;I$1&amp;"P"&amp;$A11)*RTD("tos.rtd",,"LAST","."&amp;I$2&amp;I$1&amp;"P"&amp;$A11))/1000000,(100*RTD("tos.rtd",,"OPEN_INT","."&amp;I$2&amp;I$1&amp;"C"&amp;$A11)*RTD("tos.rtd",,"LAST","."&amp;I$2&amp;I$1&amp;"C"&amp;$A11)-100*RTD("tos.rtd",,"OPEN_INT","."&amp;I$2&amp;I$1&amp;"P"&amp;$A11)*RTD("tos.rtd",,"LAST","."&amp;I$2&amp;I$1&amp;"P"&amp;$A11))/1000000),0),IF($A$2="PREMIUM",IFERROR(IF($X$1="ABS",(100*RTD("tos.rtd",,"VOLUME","."&amp;I$2&amp;I$1&amp;"C"&amp;$A11)*RTD("tos.rtd",,"LAST","."&amp;I$2&amp;I$1&amp;"C"&amp;$A11)+100*RTD("tos.rtd",,"VOLUME","."&amp;I$2&amp;I$1&amp;"P"&amp;$A11)*RTD("tos.rtd",,"LAST","."&amp;I$2&amp;I$1&amp;"P"&amp;$A11))/1000000,(100*RTD("tos.rtd",,"VOLUME","."&amp;I$2&amp;I$1&amp;"C"&amp;$A11)*RTD("tos.rtd",,"LAST","."&amp;I$2&amp;I$1&amp;"C"&amp;$A11)-100*RTD("tos.rtd",,"VOLUME","."&amp;I$2&amp;I$1&amp;"P"&amp;$A11)*RTD("tos.rtd",,"LAST","."&amp;I$2&amp;I$1&amp;"P"&amp;$A11))/1000000),0),IF($A$2="DEX",IFERROR(IF($X$1="ABS",(100*RTD("tos.rtd",,"OPEN_INT","."&amp;I$2&amp;I$1&amp;"C"&amp;$A11)*RTD("tos.rtd",,"DELTA","."&amp;I$2&amp;I$1&amp;"C"&amp;$A11)+100*RTD("tos.rtd",,"OPEN_INT","."&amp;I$2&amp;I$1&amp;"P"&amp;$A11)*RTD("tos.rtd",,"DELTA","."&amp;I$2&amp;I$1&amp;"P"&amp;$A11))/1000,(100*RTD("tos.rtd",,"OPEN_INT","."&amp;I$2&amp;I$1&amp;"C"&amp;$A11)*RTD("tos.rtd",,"DELTA","."&amp;I$2&amp;I$1&amp;"C"&amp;$A11)-100*RTD("tos.rtd",,"OPEN_INT","."&amp;I$2&amp;I$1&amp;"P"&amp;$A11)*RTD("tos.rtd",,"DELTA","."&amp;I$2&amp;I$1&amp;"P"&amp;$A11))/1000),0),IF($A$2="VEX",IFERROR(IF($X$1="ABS",($A$4*$A$4*RTD("tos.rtd",,"VOLUME","."&amp;I$2&amp;I$1&amp;"C"&amp;$A11)*RTD("tos.rtd",,"GAMMA","."&amp;I$2&amp;I$1&amp;"C"&amp;$A11)+$A$4*$A$4*RTD("tos.rtd",,"VOLUME","."&amp;I$2&amp;I$1&amp;"P"&amp;$A11)*RTD("tos.rtd",,"GAMMA","."&amp;I$2&amp;I$1&amp;"P"&amp;$A11))/1000000,($A$4*$A$4*RTD("tos.rtd",,"VOLUME","."&amp;I$2&amp;I$1&amp;"C"&amp;$A11)*RTD("tos.rtd",,"GAMMA","."&amp;I$2&amp;I$1&amp;"C"&amp;$A11)-$A$4*$A$4*RTD("tos.rtd",,"VOLUME","."&amp;I$2&amp;I$1&amp;"P"&amp;$A11)*RTD("tos.rtd",,"GAMMA","."&amp;I$2&amp;I$1&amp;"P"&amp;$A11))/1000000),0),IF($A$2="GEX",IFERROR(IF($X$1="ABS",($A$4*$A$4*RTD("tos.rtd",,"OPEN_INT","."&amp;I$2&amp;I$1&amp;"C"&amp;$A11)*RTD("tos.rtd",,"GAMMA","."&amp;I$2&amp;I$1&amp;"C"&amp;$A11)+$A$4*$A$4*RTD("tos.rtd",,"OPEN_INT","."&amp;I$2&amp;I$1&amp;"P"&amp;$A11)*RTD("tos.rtd",,"GAMMA","."&amp;I$2&amp;I$1&amp;"P"&amp;$A11))/1000000,($A$4*$A$4*RTD("tos.rtd",,"OPEN_INT","."&amp;I$2&amp;I$1&amp;"C"&amp;$A11)*RTD("tos.rtd",,"GAMMA","."&amp;I$2&amp;I$1&amp;"C"&amp;$A11)-$A$4*$A$4*RTD("tos.rtd",,"OPEN_INT","."&amp;I$2&amp;I$1&amp;"P"&amp;$A11)*RTD("tos.rtd",,"GAMMA","."&amp;I$2&amp;I$1&amp;"P"&amp;$A11))/1000000),0),IF($A$2="SKEW",IFERROR(VALUE(IF(RTD("tos.rtd",,"IMPL_VOL","."&amp;I$2&amp;I$1&amp;"P"&amp;$A11)="N/A",0,RTD("tos.rtd",,"IMPL_VOL","."&amp;I$2&amp;I$1&amp;"P"&amp;$A11))),0)-IFERROR(VALUE(IF(RTD("tos.rtd",,"IMPL_VOL","."&amp;I$2&amp;I$1&amp;"C"&amp;$A11)="N/A",0,RTD("tos.rtd",,"IMPL_VOL","."&amp;I$2&amp;I$1&amp;"C"&amp;$A11))),0),IF($A$2="MAXPAIN",IF($A$4&gt;$A11,($A$4-$A11)*IF(RTD("tos.rtd",,"OPEN_INT","."&amp;I$2&amp;I$1&amp;"C"&amp;$A11)="N/A",0,RTD("tos.rtd",,"OPEN_INT","."&amp;I$2&amp;I$1&amp;"C"&amp;$A11)),0)+IF($A$4&lt;$A11,($A$5-$A$4)*IF(RTD("tos.rtd",,"OPEN_INT","."&amp;I$2&amp;I$1&amp;"P"&amp;$A11)="N/A",0,RTD("tos.rtd",,"OPEN_INT","."&amp;I$2&amp;I$1&amp;"P"&amp;$A11)),0),IF($X$1="ABS",IF(RTD("tos.rtd",,$A$2,"."&amp;I$2&amp;I$1&amp;"C"&amp;$A11)="N/A",0,RTD("tos.rtd",,$A$2,"."&amp;I$2&amp;I$1&amp;"C"&amp;$A11))+IF(RTD("tos.rtd",,$A$2,"."&amp;I$2&amp;I$1&amp;"P"&amp;$A11)="N/A",0,RTD("tos.rtd",,$A$2,"."&amp;I$2&amp;I$1&amp;"P"&amp;$A11)),IF(RTD("tos.rtd",,$A$2,"."&amp;I$2&amp;I$1&amp;"C"&amp;$A11)="N/A",0,RTD("tos.rtd",,$A$2,"."&amp;I$2&amp;I$1&amp;"C"&amp;$A11))-IF(RTD("tos.rtd",,$A$2,"."&amp;I$2&amp;I$1&amp;"P"&amp;$A11)="N/A",0,RTD("tos.rtd",,$A$2,"."&amp;I$2&amp;I$1&amp;"P"&amp;$A11))))))))))</f>
        <v>0</v>
      </c>
      <c r="J11" s="12">
        <f ca="1">IF($A$2="PREMIUM_OI",IFERROR(IF($X$1="ABS",(100*RTD("tos.rtd",,"OPEN_INT","."&amp;J$2&amp;J$1&amp;"C"&amp;$A11)*RTD("tos.rtd",,"LAST","."&amp;J$2&amp;J$1&amp;"C"&amp;$A11)+100*RTD("tos.rtd",,"OPEN_INT","."&amp;J$2&amp;J$1&amp;"P"&amp;$A11)*RTD("tos.rtd",,"LAST","."&amp;J$2&amp;J$1&amp;"P"&amp;$A11))/1000000,(100*RTD("tos.rtd",,"OPEN_INT","."&amp;J$2&amp;J$1&amp;"C"&amp;$A11)*RTD("tos.rtd",,"LAST","."&amp;J$2&amp;J$1&amp;"C"&amp;$A11)-100*RTD("tos.rtd",,"OPEN_INT","."&amp;J$2&amp;J$1&amp;"P"&amp;$A11)*RTD("tos.rtd",,"LAST","."&amp;J$2&amp;J$1&amp;"P"&amp;$A11))/1000000),0),IF($A$2="PREMIUM",IFERROR(IF($X$1="ABS",(100*RTD("tos.rtd",,"VOLUME","."&amp;J$2&amp;J$1&amp;"C"&amp;$A11)*RTD("tos.rtd",,"LAST","."&amp;J$2&amp;J$1&amp;"C"&amp;$A11)+100*RTD("tos.rtd",,"VOLUME","."&amp;J$2&amp;J$1&amp;"P"&amp;$A11)*RTD("tos.rtd",,"LAST","."&amp;J$2&amp;J$1&amp;"P"&amp;$A11))/1000000,(100*RTD("tos.rtd",,"VOLUME","."&amp;J$2&amp;J$1&amp;"C"&amp;$A11)*RTD("tos.rtd",,"LAST","."&amp;J$2&amp;J$1&amp;"C"&amp;$A11)-100*RTD("tos.rtd",,"VOLUME","."&amp;J$2&amp;J$1&amp;"P"&amp;$A11)*RTD("tos.rtd",,"LAST","."&amp;J$2&amp;J$1&amp;"P"&amp;$A11))/1000000),0),IF($A$2="DEX",IFERROR(IF($X$1="ABS",(100*RTD("tos.rtd",,"OPEN_INT","."&amp;J$2&amp;J$1&amp;"C"&amp;$A11)*RTD("tos.rtd",,"DELTA","."&amp;J$2&amp;J$1&amp;"C"&amp;$A11)+100*RTD("tos.rtd",,"OPEN_INT","."&amp;J$2&amp;J$1&amp;"P"&amp;$A11)*RTD("tos.rtd",,"DELTA","."&amp;J$2&amp;J$1&amp;"P"&amp;$A11))/1000,(100*RTD("tos.rtd",,"OPEN_INT","."&amp;J$2&amp;J$1&amp;"C"&amp;$A11)*RTD("tos.rtd",,"DELTA","."&amp;J$2&amp;J$1&amp;"C"&amp;$A11)-100*RTD("tos.rtd",,"OPEN_INT","."&amp;J$2&amp;J$1&amp;"P"&amp;$A11)*RTD("tos.rtd",,"DELTA","."&amp;J$2&amp;J$1&amp;"P"&amp;$A11))/1000),0),IF($A$2="VEX",IFERROR(IF($X$1="ABS",($A$4*$A$4*RTD("tos.rtd",,"VOLUME","."&amp;J$2&amp;J$1&amp;"C"&amp;$A11)*RTD("tos.rtd",,"GAMMA","."&amp;J$2&amp;J$1&amp;"C"&amp;$A11)+$A$4*$A$4*RTD("tos.rtd",,"VOLUME","."&amp;J$2&amp;J$1&amp;"P"&amp;$A11)*RTD("tos.rtd",,"GAMMA","."&amp;J$2&amp;J$1&amp;"P"&amp;$A11))/1000000,($A$4*$A$4*RTD("tos.rtd",,"VOLUME","."&amp;J$2&amp;J$1&amp;"C"&amp;$A11)*RTD("tos.rtd",,"GAMMA","."&amp;J$2&amp;J$1&amp;"C"&amp;$A11)-$A$4*$A$4*RTD("tos.rtd",,"VOLUME","."&amp;J$2&amp;J$1&amp;"P"&amp;$A11)*RTD("tos.rtd",,"GAMMA","."&amp;J$2&amp;J$1&amp;"P"&amp;$A11))/1000000),0),IF($A$2="GEX",IFERROR(IF($X$1="ABS",($A$4*$A$4*RTD("tos.rtd",,"OPEN_INT","."&amp;J$2&amp;J$1&amp;"C"&amp;$A11)*RTD("tos.rtd",,"GAMMA","."&amp;J$2&amp;J$1&amp;"C"&amp;$A11)+$A$4*$A$4*RTD("tos.rtd",,"OPEN_INT","."&amp;J$2&amp;J$1&amp;"P"&amp;$A11)*RTD("tos.rtd",,"GAMMA","."&amp;J$2&amp;J$1&amp;"P"&amp;$A11))/1000000,($A$4*$A$4*RTD("tos.rtd",,"OPEN_INT","."&amp;J$2&amp;J$1&amp;"C"&amp;$A11)*RTD("tos.rtd",,"GAMMA","."&amp;J$2&amp;J$1&amp;"C"&amp;$A11)-$A$4*$A$4*RTD("tos.rtd",,"OPEN_INT","."&amp;J$2&amp;J$1&amp;"P"&amp;$A11)*RTD("tos.rtd",,"GAMMA","."&amp;J$2&amp;J$1&amp;"P"&amp;$A11))/1000000),0),IF($A$2="SKEW",IFERROR(VALUE(IF(RTD("tos.rtd",,"IMPL_VOL","."&amp;J$2&amp;J$1&amp;"P"&amp;$A11)="N/A",0,RTD("tos.rtd",,"IMPL_VOL","."&amp;J$2&amp;J$1&amp;"P"&amp;$A11))),0)-IFERROR(VALUE(IF(RTD("tos.rtd",,"IMPL_VOL","."&amp;J$2&amp;J$1&amp;"C"&amp;$A11)="N/A",0,RTD("tos.rtd",,"IMPL_VOL","."&amp;J$2&amp;J$1&amp;"C"&amp;$A11))),0),IF($A$2="MAXPAIN",IF($A$4&gt;$A11,($A$4-$A11)*IF(RTD("tos.rtd",,"OPEN_INT","."&amp;J$2&amp;J$1&amp;"C"&amp;$A11)="N/A",0,RTD("tos.rtd",,"OPEN_INT","."&amp;J$2&amp;J$1&amp;"C"&amp;$A11)),0)+IF($A$4&lt;$A11,($A$5-$A$4)*IF(RTD("tos.rtd",,"OPEN_INT","."&amp;J$2&amp;J$1&amp;"P"&amp;$A11)="N/A",0,RTD("tos.rtd",,"OPEN_INT","."&amp;J$2&amp;J$1&amp;"P"&amp;$A11)),0),IF($X$1="ABS",IF(RTD("tos.rtd",,$A$2,"."&amp;J$2&amp;J$1&amp;"C"&amp;$A11)="N/A",0,RTD("tos.rtd",,$A$2,"."&amp;J$2&amp;J$1&amp;"C"&amp;$A11))+IF(RTD("tos.rtd",,$A$2,"."&amp;J$2&amp;J$1&amp;"P"&amp;$A11)="N/A",0,RTD("tos.rtd",,$A$2,"."&amp;J$2&amp;J$1&amp;"P"&amp;$A11)),IF(RTD("tos.rtd",,$A$2,"."&amp;J$2&amp;J$1&amp;"C"&amp;$A11)="N/A",0,RTD("tos.rtd",,$A$2,"."&amp;J$2&amp;J$1&amp;"C"&amp;$A11))-IF(RTD("tos.rtd",,$A$2,"."&amp;J$2&amp;J$1&amp;"P"&amp;$A11)="N/A",0,RTD("tos.rtd",,$A$2,"."&amp;J$2&amp;J$1&amp;"P"&amp;$A11))))))))))</f>
        <v>0</v>
      </c>
      <c r="K11" s="12">
        <f ca="1">IF($A$2="PREMIUM_OI",IFERROR(IF($X$1="ABS",(100*RTD("tos.rtd",,"OPEN_INT","."&amp;K$2&amp;K$1&amp;"C"&amp;$A11)*RTD("tos.rtd",,"LAST","."&amp;K$2&amp;K$1&amp;"C"&amp;$A11)+100*RTD("tos.rtd",,"OPEN_INT","."&amp;K$2&amp;K$1&amp;"P"&amp;$A11)*RTD("tos.rtd",,"LAST","."&amp;K$2&amp;K$1&amp;"P"&amp;$A11))/1000000,(100*RTD("tos.rtd",,"OPEN_INT","."&amp;K$2&amp;K$1&amp;"C"&amp;$A11)*RTD("tos.rtd",,"LAST","."&amp;K$2&amp;K$1&amp;"C"&amp;$A11)-100*RTD("tos.rtd",,"OPEN_INT","."&amp;K$2&amp;K$1&amp;"P"&amp;$A11)*RTD("tos.rtd",,"LAST","."&amp;K$2&amp;K$1&amp;"P"&amp;$A11))/1000000),0),IF($A$2="PREMIUM",IFERROR(IF($X$1="ABS",(100*RTD("tos.rtd",,"VOLUME","."&amp;K$2&amp;K$1&amp;"C"&amp;$A11)*RTD("tos.rtd",,"LAST","."&amp;K$2&amp;K$1&amp;"C"&amp;$A11)+100*RTD("tos.rtd",,"VOLUME","."&amp;K$2&amp;K$1&amp;"P"&amp;$A11)*RTD("tos.rtd",,"LAST","."&amp;K$2&amp;K$1&amp;"P"&amp;$A11))/1000000,(100*RTD("tos.rtd",,"VOLUME","."&amp;K$2&amp;K$1&amp;"C"&amp;$A11)*RTD("tos.rtd",,"LAST","."&amp;K$2&amp;K$1&amp;"C"&amp;$A11)-100*RTD("tos.rtd",,"VOLUME","."&amp;K$2&amp;K$1&amp;"P"&amp;$A11)*RTD("tos.rtd",,"LAST","."&amp;K$2&amp;K$1&amp;"P"&amp;$A11))/1000000),0),IF($A$2="DEX",IFERROR(IF($X$1="ABS",(100*RTD("tos.rtd",,"OPEN_INT","."&amp;K$2&amp;K$1&amp;"C"&amp;$A11)*RTD("tos.rtd",,"DELTA","."&amp;K$2&amp;K$1&amp;"C"&amp;$A11)+100*RTD("tos.rtd",,"OPEN_INT","."&amp;K$2&amp;K$1&amp;"P"&amp;$A11)*RTD("tos.rtd",,"DELTA","."&amp;K$2&amp;K$1&amp;"P"&amp;$A11))/1000,(100*RTD("tos.rtd",,"OPEN_INT","."&amp;K$2&amp;K$1&amp;"C"&amp;$A11)*RTD("tos.rtd",,"DELTA","."&amp;K$2&amp;K$1&amp;"C"&amp;$A11)-100*RTD("tos.rtd",,"OPEN_INT","."&amp;K$2&amp;K$1&amp;"P"&amp;$A11)*RTD("tos.rtd",,"DELTA","."&amp;K$2&amp;K$1&amp;"P"&amp;$A11))/1000),0),IF($A$2="VEX",IFERROR(IF($X$1="ABS",($A$4*$A$4*RTD("tos.rtd",,"VOLUME","."&amp;K$2&amp;K$1&amp;"C"&amp;$A11)*RTD("tos.rtd",,"GAMMA","."&amp;K$2&amp;K$1&amp;"C"&amp;$A11)+$A$4*$A$4*RTD("tos.rtd",,"VOLUME","."&amp;K$2&amp;K$1&amp;"P"&amp;$A11)*RTD("tos.rtd",,"GAMMA","."&amp;K$2&amp;K$1&amp;"P"&amp;$A11))/1000000,($A$4*$A$4*RTD("tos.rtd",,"VOLUME","."&amp;K$2&amp;K$1&amp;"C"&amp;$A11)*RTD("tos.rtd",,"GAMMA","."&amp;K$2&amp;K$1&amp;"C"&amp;$A11)-$A$4*$A$4*RTD("tos.rtd",,"VOLUME","."&amp;K$2&amp;K$1&amp;"P"&amp;$A11)*RTD("tos.rtd",,"GAMMA","."&amp;K$2&amp;K$1&amp;"P"&amp;$A11))/1000000),0),IF($A$2="GEX",IFERROR(IF($X$1="ABS",($A$4*$A$4*RTD("tos.rtd",,"OPEN_INT","."&amp;K$2&amp;K$1&amp;"C"&amp;$A11)*RTD("tos.rtd",,"GAMMA","."&amp;K$2&amp;K$1&amp;"C"&amp;$A11)+$A$4*$A$4*RTD("tos.rtd",,"OPEN_INT","."&amp;K$2&amp;K$1&amp;"P"&amp;$A11)*RTD("tos.rtd",,"GAMMA","."&amp;K$2&amp;K$1&amp;"P"&amp;$A11))/1000000,($A$4*$A$4*RTD("tos.rtd",,"OPEN_INT","."&amp;K$2&amp;K$1&amp;"C"&amp;$A11)*RTD("tos.rtd",,"GAMMA","."&amp;K$2&amp;K$1&amp;"C"&amp;$A11)-$A$4*$A$4*RTD("tos.rtd",,"OPEN_INT","."&amp;K$2&amp;K$1&amp;"P"&amp;$A11)*RTD("tos.rtd",,"GAMMA","."&amp;K$2&amp;K$1&amp;"P"&amp;$A11))/1000000),0),IF($A$2="SKEW",IFERROR(VALUE(IF(RTD("tos.rtd",,"IMPL_VOL","."&amp;K$2&amp;K$1&amp;"P"&amp;$A11)="N/A",0,RTD("tos.rtd",,"IMPL_VOL","."&amp;K$2&amp;K$1&amp;"P"&amp;$A11))),0)-IFERROR(VALUE(IF(RTD("tos.rtd",,"IMPL_VOL","."&amp;K$2&amp;K$1&amp;"C"&amp;$A11)="N/A",0,RTD("tos.rtd",,"IMPL_VOL","."&amp;K$2&amp;K$1&amp;"C"&amp;$A11))),0),IF($A$2="MAXPAIN",IF($A$4&gt;$A11,($A$4-$A11)*IF(RTD("tos.rtd",,"OPEN_INT","."&amp;K$2&amp;K$1&amp;"C"&amp;$A11)="N/A",0,RTD("tos.rtd",,"OPEN_INT","."&amp;K$2&amp;K$1&amp;"C"&amp;$A11)),0)+IF($A$4&lt;$A11,($A$5-$A$4)*IF(RTD("tos.rtd",,"OPEN_INT","."&amp;K$2&amp;K$1&amp;"P"&amp;$A11)="N/A",0,RTD("tos.rtd",,"OPEN_INT","."&amp;K$2&amp;K$1&amp;"P"&amp;$A11)),0),IF($X$1="ABS",IF(RTD("tos.rtd",,$A$2,"."&amp;K$2&amp;K$1&amp;"C"&amp;$A11)="N/A",0,RTD("tos.rtd",,$A$2,"."&amp;K$2&amp;K$1&amp;"C"&amp;$A11))+IF(RTD("tos.rtd",,$A$2,"."&amp;K$2&amp;K$1&amp;"P"&amp;$A11)="N/A",0,RTD("tos.rtd",,$A$2,"."&amp;K$2&amp;K$1&amp;"P"&amp;$A11)),IF(RTD("tos.rtd",,$A$2,"."&amp;K$2&amp;K$1&amp;"C"&amp;$A11)="N/A",0,RTD("tos.rtd",,$A$2,"."&amp;K$2&amp;K$1&amp;"C"&amp;$A11))-IF(RTD("tos.rtd",,$A$2,"."&amp;K$2&amp;K$1&amp;"P"&amp;$A11)="N/A",0,RTD("tos.rtd",,$A$2,"."&amp;K$2&amp;K$1&amp;"P"&amp;$A11))))))))))</f>
        <v>0</v>
      </c>
      <c r="L11" s="54">
        <f ca="1">IF($A$2="PREMIUM_OI",IFERROR(IF($X$1="ABS",(100*RTD("tos.rtd",,"OPEN_INT","."&amp;L$2&amp;L$1&amp;"C"&amp;$A11)*RTD("tos.rtd",,"LAST","."&amp;L$2&amp;L$1&amp;"C"&amp;$A11)+100*RTD("tos.rtd",,"OPEN_INT","."&amp;L$2&amp;L$1&amp;"P"&amp;$A11)*RTD("tos.rtd",,"LAST","."&amp;L$2&amp;L$1&amp;"P"&amp;$A11))/1000000,(100*RTD("tos.rtd",,"OPEN_INT","."&amp;L$2&amp;L$1&amp;"C"&amp;$A11)*RTD("tos.rtd",,"LAST","."&amp;L$2&amp;L$1&amp;"C"&amp;$A11)-100*RTD("tos.rtd",,"OPEN_INT","."&amp;L$2&amp;L$1&amp;"P"&amp;$A11)*RTD("tos.rtd",,"LAST","."&amp;L$2&amp;L$1&amp;"P"&amp;$A11))/1000000),0),IF($A$2="PREMIUM",IFERROR(IF($X$1="ABS",(100*RTD("tos.rtd",,"VOLUME","."&amp;L$2&amp;L$1&amp;"C"&amp;$A11)*RTD("tos.rtd",,"LAST","."&amp;L$2&amp;L$1&amp;"C"&amp;$A11)+100*RTD("tos.rtd",,"VOLUME","."&amp;L$2&amp;L$1&amp;"P"&amp;$A11)*RTD("tos.rtd",,"LAST","."&amp;L$2&amp;L$1&amp;"P"&amp;$A11))/1000000,(100*RTD("tos.rtd",,"VOLUME","."&amp;L$2&amp;L$1&amp;"C"&amp;$A11)*RTD("tos.rtd",,"LAST","."&amp;L$2&amp;L$1&amp;"C"&amp;$A11)-100*RTD("tos.rtd",,"VOLUME","."&amp;L$2&amp;L$1&amp;"P"&amp;$A11)*RTD("tos.rtd",,"LAST","."&amp;L$2&amp;L$1&amp;"P"&amp;$A11))/1000000),0),IF($A$2="DEX",IFERROR(IF($X$1="ABS",(100*RTD("tos.rtd",,"OPEN_INT","."&amp;L$2&amp;L$1&amp;"C"&amp;$A11)*RTD("tos.rtd",,"DELTA","."&amp;L$2&amp;L$1&amp;"C"&amp;$A11)+100*RTD("tos.rtd",,"OPEN_INT","."&amp;L$2&amp;L$1&amp;"P"&amp;$A11)*RTD("tos.rtd",,"DELTA","."&amp;L$2&amp;L$1&amp;"P"&amp;$A11))/1000,(100*RTD("tos.rtd",,"OPEN_INT","."&amp;L$2&amp;L$1&amp;"C"&amp;$A11)*RTD("tos.rtd",,"DELTA","."&amp;L$2&amp;L$1&amp;"C"&amp;$A11)-100*RTD("tos.rtd",,"OPEN_INT","."&amp;L$2&amp;L$1&amp;"P"&amp;$A11)*RTD("tos.rtd",,"DELTA","."&amp;L$2&amp;L$1&amp;"P"&amp;$A11))/1000),0),IF($A$2="VEX",IFERROR(IF($X$1="ABS",($A$4*$A$4*RTD("tos.rtd",,"VOLUME","."&amp;L$2&amp;L$1&amp;"C"&amp;$A11)*RTD("tos.rtd",,"GAMMA","."&amp;L$2&amp;L$1&amp;"C"&amp;$A11)+$A$4*$A$4*RTD("tos.rtd",,"VOLUME","."&amp;L$2&amp;L$1&amp;"P"&amp;$A11)*RTD("tos.rtd",,"GAMMA","."&amp;L$2&amp;L$1&amp;"P"&amp;$A11))/1000000,($A$4*$A$4*RTD("tos.rtd",,"VOLUME","."&amp;L$2&amp;L$1&amp;"C"&amp;$A11)*RTD("tos.rtd",,"GAMMA","."&amp;L$2&amp;L$1&amp;"C"&amp;$A11)-$A$4*$A$4*RTD("tos.rtd",,"VOLUME","."&amp;L$2&amp;L$1&amp;"P"&amp;$A11)*RTD("tos.rtd",,"GAMMA","."&amp;L$2&amp;L$1&amp;"P"&amp;$A11))/1000000),0),IF($A$2="GEX",IFERROR(IF($X$1="ABS",($A$4*$A$4*RTD("tos.rtd",,"OPEN_INT","."&amp;L$2&amp;L$1&amp;"C"&amp;$A11)*RTD("tos.rtd",,"GAMMA","."&amp;L$2&amp;L$1&amp;"C"&amp;$A11)+$A$4*$A$4*RTD("tos.rtd",,"OPEN_INT","."&amp;L$2&amp;L$1&amp;"P"&amp;$A11)*RTD("tos.rtd",,"GAMMA","."&amp;L$2&amp;L$1&amp;"P"&amp;$A11))/1000000,($A$4*$A$4*RTD("tos.rtd",,"OPEN_INT","."&amp;L$2&amp;L$1&amp;"C"&amp;$A11)*RTD("tos.rtd",,"GAMMA","."&amp;L$2&amp;L$1&amp;"C"&amp;$A11)-$A$4*$A$4*RTD("tos.rtd",,"OPEN_INT","."&amp;L$2&amp;L$1&amp;"P"&amp;$A11)*RTD("tos.rtd",,"GAMMA","."&amp;L$2&amp;L$1&amp;"P"&amp;$A11))/1000000),0),IF($A$2="SKEW",IFERROR(VALUE(IF(RTD("tos.rtd",,"IMPL_VOL","."&amp;L$2&amp;L$1&amp;"P"&amp;$A11)="N/A",0,RTD("tos.rtd",,"IMPL_VOL","."&amp;L$2&amp;L$1&amp;"P"&amp;$A11))),0)-IFERROR(VALUE(IF(RTD("tos.rtd",,"IMPL_VOL","."&amp;L$2&amp;L$1&amp;"C"&amp;$A11)="N/A",0,RTD("tos.rtd",,"IMPL_VOL","."&amp;L$2&amp;L$1&amp;"C"&amp;$A11))),0),IF($A$2="MAXPAIN",IF($A$4&gt;$A11,($A$4-$A11)*IF(RTD("tos.rtd",,"OPEN_INT","."&amp;L$2&amp;L$1&amp;"C"&amp;$A11)="N/A",0,RTD("tos.rtd",,"OPEN_INT","."&amp;L$2&amp;L$1&amp;"C"&amp;$A11)),0)+IF($A$4&lt;$A11,($A$5-$A$4)*IF(RTD("tos.rtd",,"OPEN_INT","."&amp;L$2&amp;L$1&amp;"P"&amp;$A11)="N/A",0,RTD("tos.rtd",,"OPEN_INT","."&amp;L$2&amp;L$1&amp;"P"&amp;$A11)),0),IF($X$1="ABS",IF(RTD("tos.rtd",,$A$2,"."&amp;L$2&amp;L$1&amp;"C"&amp;$A11)="N/A",0,RTD("tos.rtd",,$A$2,"."&amp;L$2&amp;L$1&amp;"C"&amp;$A11))+IF(RTD("tos.rtd",,$A$2,"."&amp;L$2&amp;L$1&amp;"P"&amp;$A11)="N/A",0,RTD("tos.rtd",,$A$2,"."&amp;L$2&amp;L$1&amp;"P"&amp;$A11)),IF(RTD("tos.rtd",,$A$2,"."&amp;L$2&amp;L$1&amp;"C"&amp;$A11)="N/A",0,RTD("tos.rtd",,$A$2,"."&amp;L$2&amp;L$1&amp;"C"&amp;$A11))-IF(RTD("tos.rtd",,$A$2,"."&amp;L$2&amp;L$1&amp;"P"&amp;$A11)="N/A",0,RTD("tos.rtd",,$A$2,"."&amp;L$2&amp;L$1&amp;"P"&amp;$A11))))))))))</f>
        <v>0</v>
      </c>
      <c r="M11" s="12">
        <f ca="1">IF($A$2="PREMIUM_OI",IFERROR(IF($X$1="ABS",(100*RTD("tos.rtd",,"OPEN_INT","."&amp;M$2&amp;M$1&amp;"C"&amp;$A11)*RTD("tos.rtd",,"LAST","."&amp;M$2&amp;M$1&amp;"C"&amp;$A11)+100*RTD("tos.rtd",,"OPEN_INT","."&amp;M$2&amp;M$1&amp;"P"&amp;$A11)*RTD("tos.rtd",,"LAST","."&amp;M$2&amp;M$1&amp;"P"&amp;$A11))/1000000,(100*RTD("tos.rtd",,"OPEN_INT","."&amp;M$2&amp;M$1&amp;"C"&amp;$A11)*RTD("tos.rtd",,"LAST","."&amp;M$2&amp;M$1&amp;"C"&amp;$A11)-100*RTD("tos.rtd",,"OPEN_INT","."&amp;M$2&amp;M$1&amp;"P"&amp;$A11)*RTD("tos.rtd",,"LAST","."&amp;M$2&amp;M$1&amp;"P"&amp;$A11))/1000000),0),IF($A$2="PREMIUM",IFERROR(IF($X$1="ABS",(100*RTD("tos.rtd",,"VOLUME","."&amp;M$2&amp;M$1&amp;"C"&amp;$A11)*RTD("tos.rtd",,"LAST","."&amp;M$2&amp;M$1&amp;"C"&amp;$A11)+100*RTD("tos.rtd",,"VOLUME","."&amp;M$2&amp;M$1&amp;"P"&amp;$A11)*RTD("tos.rtd",,"LAST","."&amp;M$2&amp;M$1&amp;"P"&amp;$A11))/1000000,(100*RTD("tos.rtd",,"VOLUME","."&amp;M$2&amp;M$1&amp;"C"&amp;$A11)*RTD("tos.rtd",,"LAST","."&amp;M$2&amp;M$1&amp;"C"&amp;$A11)-100*RTD("tos.rtd",,"VOLUME","."&amp;M$2&amp;M$1&amp;"P"&amp;$A11)*RTD("tos.rtd",,"LAST","."&amp;M$2&amp;M$1&amp;"P"&amp;$A11))/1000000),0),IF($A$2="DEX",IFERROR(IF($X$1="ABS",(100*RTD("tos.rtd",,"OPEN_INT","."&amp;M$2&amp;M$1&amp;"C"&amp;$A11)*RTD("tos.rtd",,"DELTA","."&amp;M$2&amp;M$1&amp;"C"&amp;$A11)+100*RTD("tos.rtd",,"OPEN_INT","."&amp;M$2&amp;M$1&amp;"P"&amp;$A11)*RTD("tos.rtd",,"DELTA","."&amp;M$2&amp;M$1&amp;"P"&amp;$A11))/1000,(100*RTD("tos.rtd",,"OPEN_INT","."&amp;M$2&amp;M$1&amp;"C"&amp;$A11)*RTD("tos.rtd",,"DELTA","."&amp;M$2&amp;M$1&amp;"C"&amp;$A11)-100*RTD("tos.rtd",,"OPEN_INT","."&amp;M$2&amp;M$1&amp;"P"&amp;$A11)*RTD("tos.rtd",,"DELTA","."&amp;M$2&amp;M$1&amp;"P"&amp;$A11))/1000),0),IF($A$2="VEX",IFERROR(IF($X$1="ABS",($A$4*$A$4*RTD("tos.rtd",,"VOLUME","."&amp;M$2&amp;M$1&amp;"C"&amp;$A11)*RTD("tos.rtd",,"GAMMA","."&amp;M$2&amp;M$1&amp;"C"&amp;$A11)+$A$4*$A$4*RTD("tos.rtd",,"VOLUME","."&amp;M$2&amp;M$1&amp;"P"&amp;$A11)*RTD("tos.rtd",,"GAMMA","."&amp;M$2&amp;M$1&amp;"P"&amp;$A11))/1000000,($A$4*$A$4*RTD("tos.rtd",,"VOLUME","."&amp;M$2&amp;M$1&amp;"C"&amp;$A11)*RTD("tos.rtd",,"GAMMA","."&amp;M$2&amp;M$1&amp;"C"&amp;$A11)-$A$4*$A$4*RTD("tos.rtd",,"VOLUME","."&amp;M$2&amp;M$1&amp;"P"&amp;$A11)*RTD("tos.rtd",,"GAMMA","."&amp;M$2&amp;M$1&amp;"P"&amp;$A11))/1000000),0),IF($A$2="GEX",IFERROR(IF($X$1="ABS",($A$4*$A$4*RTD("tos.rtd",,"OPEN_INT","."&amp;M$2&amp;M$1&amp;"C"&amp;$A11)*RTD("tos.rtd",,"GAMMA","."&amp;M$2&amp;M$1&amp;"C"&amp;$A11)+$A$4*$A$4*RTD("tos.rtd",,"OPEN_INT","."&amp;M$2&amp;M$1&amp;"P"&amp;$A11)*RTD("tos.rtd",,"GAMMA","."&amp;M$2&amp;M$1&amp;"P"&amp;$A11))/1000000,($A$4*$A$4*RTD("tos.rtd",,"OPEN_INT","."&amp;M$2&amp;M$1&amp;"C"&amp;$A11)*RTD("tos.rtd",,"GAMMA","."&amp;M$2&amp;M$1&amp;"C"&amp;$A11)-$A$4*$A$4*RTD("tos.rtd",,"OPEN_INT","."&amp;M$2&amp;M$1&amp;"P"&amp;$A11)*RTD("tos.rtd",,"GAMMA","."&amp;M$2&amp;M$1&amp;"P"&amp;$A11))/1000000),0),IF($A$2="SKEW",IFERROR(VALUE(IF(RTD("tos.rtd",,"IMPL_VOL","."&amp;M$2&amp;M$1&amp;"P"&amp;$A11)="N/A",0,RTD("tos.rtd",,"IMPL_VOL","."&amp;M$2&amp;M$1&amp;"P"&amp;$A11))),0)-IFERROR(VALUE(IF(RTD("tos.rtd",,"IMPL_VOL","."&amp;M$2&amp;M$1&amp;"C"&amp;$A11)="N/A",0,RTD("tos.rtd",,"IMPL_VOL","."&amp;M$2&amp;M$1&amp;"C"&amp;$A11))),0),IF($A$2="MAXPAIN",IF($A$4&gt;$A11,($A$4-$A11)*IF(RTD("tos.rtd",,"OPEN_INT","."&amp;M$2&amp;M$1&amp;"C"&amp;$A11)="N/A",0,RTD("tos.rtd",,"OPEN_INT","."&amp;M$2&amp;M$1&amp;"C"&amp;$A11)),0)+IF($A$4&lt;$A11,($A$5-$A$4)*IF(RTD("tos.rtd",,"OPEN_INT","."&amp;M$2&amp;M$1&amp;"P"&amp;$A11)="N/A",0,RTD("tos.rtd",,"OPEN_INT","."&amp;M$2&amp;M$1&amp;"P"&amp;$A11)),0),IF($X$1="ABS",IF(RTD("tos.rtd",,$A$2,"."&amp;M$2&amp;M$1&amp;"C"&amp;$A11)="N/A",0,RTD("tos.rtd",,$A$2,"."&amp;M$2&amp;M$1&amp;"C"&amp;$A11))+IF(RTD("tos.rtd",,$A$2,"."&amp;M$2&amp;M$1&amp;"P"&amp;$A11)="N/A",0,RTD("tos.rtd",,$A$2,"."&amp;M$2&amp;M$1&amp;"P"&amp;$A11)),IF(RTD("tos.rtd",,$A$2,"."&amp;M$2&amp;M$1&amp;"C"&amp;$A11)="N/A",0,RTD("tos.rtd",,$A$2,"."&amp;M$2&amp;M$1&amp;"C"&amp;$A11))-IF(RTD("tos.rtd",,$A$2,"."&amp;M$2&amp;M$1&amp;"P"&amp;$A11)="N/A",0,RTD("tos.rtd",,$A$2,"."&amp;M$2&amp;M$1&amp;"P"&amp;$A11))))))))))</f>
        <v>0</v>
      </c>
      <c r="N11" s="12">
        <f ca="1">IF($A$2="PREMIUM_OI",IFERROR(IF($X$1="ABS",(100*RTD("tos.rtd",,"OPEN_INT","."&amp;N$2&amp;N$1&amp;"C"&amp;$A11)*RTD("tos.rtd",,"LAST","."&amp;N$2&amp;N$1&amp;"C"&amp;$A11)+100*RTD("tos.rtd",,"OPEN_INT","."&amp;N$2&amp;N$1&amp;"P"&amp;$A11)*RTD("tos.rtd",,"LAST","."&amp;N$2&amp;N$1&amp;"P"&amp;$A11))/1000000,(100*RTD("tos.rtd",,"OPEN_INT","."&amp;N$2&amp;N$1&amp;"C"&amp;$A11)*RTD("tos.rtd",,"LAST","."&amp;N$2&amp;N$1&amp;"C"&amp;$A11)-100*RTD("tos.rtd",,"OPEN_INT","."&amp;N$2&amp;N$1&amp;"P"&amp;$A11)*RTD("tos.rtd",,"LAST","."&amp;N$2&amp;N$1&amp;"P"&amp;$A11))/1000000),0),IF($A$2="PREMIUM",IFERROR(IF($X$1="ABS",(100*RTD("tos.rtd",,"VOLUME","."&amp;N$2&amp;N$1&amp;"C"&amp;$A11)*RTD("tos.rtd",,"LAST","."&amp;N$2&amp;N$1&amp;"C"&amp;$A11)+100*RTD("tos.rtd",,"VOLUME","."&amp;N$2&amp;N$1&amp;"P"&amp;$A11)*RTD("tos.rtd",,"LAST","."&amp;N$2&amp;N$1&amp;"P"&amp;$A11))/1000000,(100*RTD("tos.rtd",,"VOLUME","."&amp;N$2&amp;N$1&amp;"C"&amp;$A11)*RTD("tos.rtd",,"LAST","."&amp;N$2&amp;N$1&amp;"C"&amp;$A11)-100*RTD("tos.rtd",,"VOLUME","."&amp;N$2&amp;N$1&amp;"P"&amp;$A11)*RTD("tos.rtd",,"LAST","."&amp;N$2&amp;N$1&amp;"P"&amp;$A11))/1000000),0),IF($A$2="DEX",IFERROR(IF($X$1="ABS",(100*RTD("tos.rtd",,"OPEN_INT","."&amp;N$2&amp;N$1&amp;"C"&amp;$A11)*RTD("tos.rtd",,"DELTA","."&amp;N$2&amp;N$1&amp;"C"&amp;$A11)+100*RTD("tos.rtd",,"OPEN_INT","."&amp;N$2&amp;N$1&amp;"P"&amp;$A11)*RTD("tos.rtd",,"DELTA","."&amp;N$2&amp;N$1&amp;"P"&amp;$A11))/1000,(100*RTD("tos.rtd",,"OPEN_INT","."&amp;N$2&amp;N$1&amp;"C"&amp;$A11)*RTD("tos.rtd",,"DELTA","."&amp;N$2&amp;N$1&amp;"C"&amp;$A11)-100*RTD("tos.rtd",,"OPEN_INT","."&amp;N$2&amp;N$1&amp;"P"&amp;$A11)*RTD("tos.rtd",,"DELTA","."&amp;N$2&amp;N$1&amp;"P"&amp;$A11))/1000),0),IF($A$2="VEX",IFERROR(IF($X$1="ABS",($A$4*$A$4*RTD("tos.rtd",,"VOLUME","."&amp;N$2&amp;N$1&amp;"C"&amp;$A11)*RTD("tos.rtd",,"GAMMA","."&amp;N$2&amp;N$1&amp;"C"&amp;$A11)+$A$4*$A$4*RTD("tos.rtd",,"VOLUME","."&amp;N$2&amp;N$1&amp;"P"&amp;$A11)*RTD("tos.rtd",,"GAMMA","."&amp;N$2&amp;N$1&amp;"P"&amp;$A11))/1000000,($A$4*$A$4*RTD("tos.rtd",,"VOLUME","."&amp;N$2&amp;N$1&amp;"C"&amp;$A11)*RTD("tos.rtd",,"GAMMA","."&amp;N$2&amp;N$1&amp;"C"&amp;$A11)-$A$4*$A$4*RTD("tos.rtd",,"VOLUME","."&amp;N$2&amp;N$1&amp;"P"&amp;$A11)*RTD("tos.rtd",,"GAMMA","."&amp;N$2&amp;N$1&amp;"P"&amp;$A11))/1000000),0),IF($A$2="GEX",IFERROR(IF($X$1="ABS",($A$4*$A$4*RTD("tos.rtd",,"OPEN_INT","."&amp;N$2&amp;N$1&amp;"C"&amp;$A11)*RTD("tos.rtd",,"GAMMA","."&amp;N$2&amp;N$1&amp;"C"&amp;$A11)+$A$4*$A$4*RTD("tos.rtd",,"OPEN_INT","."&amp;N$2&amp;N$1&amp;"P"&amp;$A11)*RTD("tos.rtd",,"GAMMA","."&amp;N$2&amp;N$1&amp;"P"&amp;$A11))/1000000,($A$4*$A$4*RTD("tos.rtd",,"OPEN_INT","."&amp;N$2&amp;N$1&amp;"C"&amp;$A11)*RTD("tos.rtd",,"GAMMA","."&amp;N$2&amp;N$1&amp;"C"&amp;$A11)-$A$4*$A$4*RTD("tos.rtd",,"OPEN_INT","."&amp;N$2&amp;N$1&amp;"P"&amp;$A11)*RTD("tos.rtd",,"GAMMA","."&amp;N$2&amp;N$1&amp;"P"&amp;$A11))/1000000),0),IF($A$2="SKEW",IFERROR(VALUE(IF(RTD("tos.rtd",,"IMPL_VOL","."&amp;N$2&amp;N$1&amp;"P"&amp;$A11)="N/A",0,RTD("tos.rtd",,"IMPL_VOL","."&amp;N$2&amp;N$1&amp;"P"&amp;$A11))),0)-IFERROR(VALUE(IF(RTD("tos.rtd",,"IMPL_VOL","."&amp;N$2&amp;N$1&amp;"C"&amp;$A11)="N/A",0,RTD("tos.rtd",,"IMPL_VOL","."&amp;N$2&amp;N$1&amp;"C"&amp;$A11))),0),IF($A$2="MAXPAIN",IF($A$4&gt;$A11,($A$4-$A11)*IF(RTD("tos.rtd",,"OPEN_INT","."&amp;N$2&amp;N$1&amp;"C"&amp;$A11)="N/A",0,RTD("tos.rtd",,"OPEN_INT","."&amp;N$2&amp;N$1&amp;"C"&amp;$A11)),0)+IF($A$4&lt;$A11,($A$5-$A$4)*IF(RTD("tos.rtd",,"OPEN_INT","."&amp;N$2&amp;N$1&amp;"P"&amp;$A11)="N/A",0,RTD("tos.rtd",,"OPEN_INT","."&amp;N$2&amp;N$1&amp;"P"&amp;$A11)),0),IF($X$1="ABS",IF(RTD("tos.rtd",,$A$2,"."&amp;N$2&amp;N$1&amp;"C"&amp;$A11)="N/A",0,RTD("tos.rtd",,$A$2,"."&amp;N$2&amp;N$1&amp;"C"&amp;$A11))+IF(RTD("tos.rtd",,$A$2,"."&amp;N$2&amp;N$1&amp;"P"&amp;$A11)="N/A",0,RTD("tos.rtd",,$A$2,"."&amp;N$2&amp;N$1&amp;"P"&amp;$A11)),IF(RTD("tos.rtd",,$A$2,"."&amp;N$2&amp;N$1&amp;"C"&amp;$A11)="N/A",0,RTD("tos.rtd",,$A$2,"."&amp;N$2&amp;N$1&amp;"C"&amp;$A11))-IF(RTD("tos.rtd",,$A$2,"."&amp;N$2&amp;N$1&amp;"P"&amp;$A11)="N/A",0,RTD("tos.rtd",,$A$2,"."&amp;N$2&amp;N$1&amp;"P"&amp;$A11))))))))))</f>
        <v>0</v>
      </c>
      <c r="O11" s="12">
        <f ca="1">IF($A$2="PREMIUM_OI",IFERROR(IF($X$1="ABS",(100*RTD("tos.rtd",,"OPEN_INT","."&amp;O$2&amp;O$1&amp;"C"&amp;$A11)*RTD("tos.rtd",,"LAST","."&amp;O$2&amp;O$1&amp;"C"&amp;$A11)+100*RTD("tos.rtd",,"OPEN_INT","."&amp;O$2&amp;O$1&amp;"P"&amp;$A11)*RTD("tos.rtd",,"LAST","."&amp;O$2&amp;O$1&amp;"P"&amp;$A11))/1000000,(100*RTD("tos.rtd",,"OPEN_INT","."&amp;O$2&amp;O$1&amp;"C"&amp;$A11)*RTD("tos.rtd",,"LAST","."&amp;O$2&amp;O$1&amp;"C"&amp;$A11)-100*RTD("tos.rtd",,"OPEN_INT","."&amp;O$2&amp;O$1&amp;"P"&amp;$A11)*RTD("tos.rtd",,"LAST","."&amp;O$2&amp;O$1&amp;"P"&amp;$A11))/1000000),0),IF($A$2="PREMIUM",IFERROR(IF($X$1="ABS",(100*RTD("tos.rtd",,"VOLUME","."&amp;O$2&amp;O$1&amp;"C"&amp;$A11)*RTD("tos.rtd",,"LAST","."&amp;O$2&amp;O$1&amp;"C"&amp;$A11)+100*RTD("tos.rtd",,"VOLUME","."&amp;O$2&amp;O$1&amp;"P"&amp;$A11)*RTD("tos.rtd",,"LAST","."&amp;O$2&amp;O$1&amp;"P"&amp;$A11))/1000000,(100*RTD("tos.rtd",,"VOLUME","."&amp;O$2&amp;O$1&amp;"C"&amp;$A11)*RTD("tos.rtd",,"LAST","."&amp;O$2&amp;O$1&amp;"C"&amp;$A11)-100*RTD("tos.rtd",,"VOLUME","."&amp;O$2&amp;O$1&amp;"P"&amp;$A11)*RTD("tos.rtd",,"LAST","."&amp;O$2&amp;O$1&amp;"P"&amp;$A11))/1000000),0),IF($A$2="DEX",IFERROR(IF($X$1="ABS",(100*RTD("tos.rtd",,"OPEN_INT","."&amp;O$2&amp;O$1&amp;"C"&amp;$A11)*RTD("tos.rtd",,"DELTA","."&amp;O$2&amp;O$1&amp;"C"&amp;$A11)+100*RTD("tos.rtd",,"OPEN_INT","."&amp;O$2&amp;O$1&amp;"P"&amp;$A11)*RTD("tos.rtd",,"DELTA","."&amp;O$2&amp;O$1&amp;"P"&amp;$A11))/1000,(100*RTD("tos.rtd",,"OPEN_INT","."&amp;O$2&amp;O$1&amp;"C"&amp;$A11)*RTD("tos.rtd",,"DELTA","."&amp;O$2&amp;O$1&amp;"C"&amp;$A11)-100*RTD("tos.rtd",,"OPEN_INT","."&amp;O$2&amp;O$1&amp;"P"&amp;$A11)*RTD("tos.rtd",,"DELTA","."&amp;O$2&amp;O$1&amp;"P"&amp;$A11))/1000),0),IF($A$2="VEX",IFERROR(IF($X$1="ABS",($A$4*$A$4*RTD("tos.rtd",,"VOLUME","."&amp;O$2&amp;O$1&amp;"C"&amp;$A11)*RTD("tos.rtd",,"GAMMA","."&amp;O$2&amp;O$1&amp;"C"&amp;$A11)+$A$4*$A$4*RTD("tos.rtd",,"VOLUME","."&amp;O$2&amp;O$1&amp;"P"&amp;$A11)*RTD("tos.rtd",,"GAMMA","."&amp;O$2&amp;O$1&amp;"P"&amp;$A11))/1000000,($A$4*$A$4*RTD("tos.rtd",,"VOLUME","."&amp;O$2&amp;O$1&amp;"C"&amp;$A11)*RTD("tos.rtd",,"GAMMA","."&amp;O$2&amp;O$1&amp;"C"&amp;$A11)-$A$4*$A$4*RTD("tos.rtd",,"VOLUME","."&amp;O$2&amp;O$1&amp;"P"&amp;$A11)*RTD("tos.rtd",,"GAMMA","."&amp;O$2&amp;O$1&amp;"P"&amp;$A11))/1000000),0),IF($A$2="GEX",IFERROR(IF($X$1="ABS",($A$4*$A$4*RTD("tos.rtd",,"OPEN_INT","."&amp;O$2&amp;O$1&amp;"C"&amp;$A11)*RTD("tos.rtd",,"GAMMA","."&amp;O$2&amp;O$1&amp;"C"&amp;$A11)+$A$4*$A$4*RTD("tos.rtd",,"OPEN_INT","."&amp;O$2&amp;O$1&amp;"P"&amp;$A11)*RTD("tos.rtd",,"GAMMA","."&amp;O$2&amp;O$1&amp;"P"&amp;$A11))/1000000,($A$4*$A$4*RTD("tos.rtd",,"OPEN_INT","."&amp;O$2&amp;O$1&amp;"C"&amp;$A11)*RTD("tos.rtd",,"GAMMA","."&amp;O$2&amp;O$1&amp;"C"&amp;$A11)-$A$4*$A$4*RTD("tos.rtd",,"OPEN_INT","."&amp;O$2&amp;O$1&amp;"P"&amp;$A11)*RTD("tos.rtd",,"GAMMA","."&amp;O$2&amp;O$1&amp;"P"&amp;$A11))/1000000),0),IF($A$2="SKEW",IFERROR(VALUE(IF(RTD("tos.rtd",,"IMPL_VOL","."&amp;O$2&amp;O$1&amp;"P"&amp;$A11)="N/A",0,RTD("tos.rtd",,"IMPL_VOL","."&amp;O$2&amp;O$1&amp;"P"&amp;$A11))),0)-IFERROR(VALUE(IF(RTD("tos.rtd",,"IMPL_VOL","."&amp;O$2&amp;O$1&amp;"C"&amp;$A11)="N/A",0,RTD("tos.rtd",,"IMPL_VOL","."&amp;O$2&amp;O$1&amp;"C"&amp;$A11))),0),IF($A$2="MAXPAIN",IF($A$4&gt;$A11,($A$4-$A11)*IF(RTD("tos.rtd",,"OPEN_INT","."&amp;O$2&amp;O$1&amp;"C"&amp;$A11)="N/A",0,RTD("tos.rtd",,"OPEN_INT","."&amp;O$2&amp;O$1&amp;"C"&amp;$A11)),0)+IF($A$4&lt;$A11,($A$5-$A$4)*IF(RTD("tos.rtd",,"OPEN_INT","."&amp;O$2&amp;O$1&amp;"P"&amp;$A11)="N/A",0,RTD("tos.rtd",,"OPEN_INT","."&amp;O$2&amp;O$1&amp;"P"&amp;$A11)),0),IF($X$1="ABS",IF(RTD("tos.rtd",,$A$2,"."&amp;O$2&amp;O$1&amp;"C"&amp;$A11)="N/A",0,RTD("tos.rtd",,$A$2,"."&amp;O$2&amp;O$1&amp;"C"&amp;$A11))+IF(RTD("tos.rtd",,$A$2,"."&amp;O$2&amp;O$1&amp;"P"&amp;$A11)="N/A",0,RTD("tos.rtd",,$A$2,"."&amp;O$2&amp;O$1&amp;"P"&amp;$A11)),IF(RTD("tos.rtd",,$A$2,"."&amp;O$2&amp;O$1&amp;"C"&amp;$A11)="N/A",0,RTD("tos.rtd",,$A$2,"."&amp;O$2&amp;O$1&amp;"C"&amp;$A11))-IF(RTD("tos.rtd",,$A$2,"."&amp;O$2&amp;O$1&amp;"P"&amp;$A11)="N/A",0,RTD("tos.rtd",,$A$2,"."&amp;O$2&amp;O$1&amp;"P"&amp;$A11))))))))))</f>
        <v>0</v>
      </c>
      <c r="P11" s="12">
        <f ca="1">IF($A$2="PREMIUM_OI",IFERROR(IF($X$1="ABS",(100*RTD("tos.rtd",,"OPEN_INT","."&amp;P$2&amp;P$1&amp;"C"&amp;$A11)*RTD("tos.rtd",,"LAST","."&amp;P$2&amp;P$1&amp;"C"&amp;$A11)+100*RTD("tos.rtd",,"OPEN_INT","."&amp;P$2&amp;P$1&amp;"P"&amp;$A11)*RTD("tos.rtd",,"LAST","."&amp;P$2&amp;P$1&amp;"P"&amp;$A11))/1000000,(100*RTD("tos.rtd",,"OPEN_INT","."&amp;P$2&amp;P$1&amp;"C"&amp;$A11)*RTD("tos.rtd",,"LAST","."&amp;P$2&amp;P$1&amp;"C"&amp;$A11)-100*RTD("tos.rtd",,"OPEN_INT","."&amp;P$2&amp;P$1&amp;"P"&amp;$A11)*RTD("tos.rtd",,"LAST","."&amp;P$2&amp;P$1&amp;"P"&amp;$A11))/1000000),0),IF($A$2="PREMIUM",IFERROR(IF($X$1="ABS",(100*RTD("tos.rtd",,"VOLUME","."&amp;P$2&amp;P$1&amp;"C"&amp;$A11)*RTD("tos.rtd",,"LAST","."&amp;P$2&amp;P$1&amp;"C"&amp;$A11)+100*RTD("tos.rtd",,"VOLUME","."&amp;P$2&amp;P$1&amp;"P"&amp;$A11)*RTD("tos.rtd",,"LAST","."&amp;P$2&amp;P$1&amp;"P"&amp;$A11))/1000000,(100*RTD("tos.rtd",,"VOLUME","."&amp;P$2&amp;P$1&amp;"C"&amp;$A11)*RTD("tos.rtd",,"LAST","."&amp;P$2&amp;P$1&amp;"C"&amp;$A11)-100*RTD("tos.rtd",,"VOLUME","."&amp;P$2&amp;P$1&amp;"P"&amp;$A11)*RTD("tos.rtd",,"LAST","."&amp;P$2&amp;P$1&amp;"P"&amp;$A11))/1000000),0),IF($A$2="DEX",IFERROR(IF($X$1="ABS",(100*RTD("tos.rtd",,"OPEN_INT","."&amp;P$2&amp;P$1&amp;"C"&amp;$A11)*RTD("tos.rtd",,"DELTA","."&amp;P$2&amp;P$1&amp;"C"&amp;$A11)+100*RTD("tos.rtd",,"OPEN_INT","."&amp;P$2&amp;P$1&amp;"P"&amp;$A11)*RTD("tos.rtd",,"DELTA","."&amp;P$2&amp;P$1&amp;"P"&amp;$A11))/1000,(100*RTD("tos.rtd",,"OPEN_INT","."&amp;P$2&amp;P$1&amp;"C"&amp;$A11)*RTD("tos.rtd",,"DELTA","."&amp;P$2&amp;P$1&amp;"C"&amp;$A11)-100*RTD("tos.rtd",,"OPEN_INT","."&amp;P$2&amp;P$1&amp;"P"&amp;$A11)*RTD("tos.rtd",,"DELTA","."&amp;P$2&amp;P$1&amp;"P"&amp;$A11))/1000),0),IF($A$2="VEX",IFERROR(IF($X$1="ABS",($A$4*$A$4*RTD("tos.rtd",,"VOLUME","."&amp;P$2&amp;P$1&amp;"C"&amp;$A11)*RTD("tos.rtd",,"GAMMA","."&amp;P$2&amp;P$1&amp;"C"&amp;$A11)+$A$4*$A$4*RTD("tos.rtd",,"VOLUME","."&amp;P$2&amp;P$1&amp;"P"&amp;$A11)*RTD("tos.rtd",,"GAMMA","."&amp;P$2&amp;P$1&amp;"P"&amp;$A11))/1000000,($A$4*$A$4*RTD("tos.rtd",,"VOLUME","."&amp;P$2&amp;P$1&amp;"C"&amp;$A11)*RTD("tos.rtd",,"GAMMA","."&amp;P$2&amp;P$1&amp;"C"&amp;$A11)-$A$4*$A$4*RTD("tos.rtd",,"VOLUME","."&amp;P$2&amp;P$1&amp;"P"&amp;$A11)*RTD("tos.rtd",,"GAMMA","."&amp;P$2&amp;P$1&amp;"P"&amp;$A11))/1000000),0),IF($A$2="GEX",IFERROR(IF($X$1="ABS",($A$4*$A$4*RTD("tos.rtd",,"OPEN_INT","."&amp;P$2&amp;P$1&amp;"C"&amp;$A11)*RTD("tos.rtd",,"GAMMA","."&amp;P$2&amp;P$1&amp;"C"&amp;$A11)+$A$4*$A$4*RTD("tos.rtd",,"OPEN_INT","."&amp;P$2&amp;P$1&amp;"P"&amp;$A11)*RTD("tos.rtd",,"GAMMA","."&amp;P$2&amp;P$1&amp;"P"&amp;$A11))/1000000,($A$4*$A$4*RTD("tos.rtd",,"OPEN_INT","."&amp;P$2&amp;P$1&amp;"C"&amp;$A11)*RTD("tos.rtd",,"GAMMA","."&amp;P$2&amp;P$1&amp;"C"&amp;$A11)-$A$4*$A$4*RTD("tos.rtd",,"OPEN_INT","."&amp;P$2&amp;P$1&amp;"P"&amp;$A11)*RTD("tos.rtd",,"GAMMA","."&amp;P$2&amp;P$1&amp;"P"&amp;$A11))/1000000),0),IF($A$2="SKEW",IFERROR(VALUE(IF(RTD("tos.rtd",,"IMPL_VOL","."&amp;P$2&amp;P$1&amp;"P"&amp;$A11)="N/A",0,RTD("tos.rtd",,"IMPL_VOL","."&amp;P$2&amp;P$1&amp;"P"&amp;$A11))),0)-IFERROR(VALUE(IF(RTD("tos.rtd",,"IMPL_VOL","."&amp;P$2&amp;P$1&amp;"C"&amp;$A11)="N/A",0,RTD("tos.rtd",,"IMPL_VOL","."&amp;P$2&amp;P$1&amp;"C"&amp;$A11))),0),IF($A$2="MAXPAIN",IF($A$4&gt;$A11,($A$4-$A11)*IF(RTD("tos.rtd",,"OPEN_INT","."&amp;P$2&amp;P$1&amp;"C"&amp;$A11)="N/A",0,RTD("tos.rtd",,"OPEN_INT","."&amp;P$2&amp;P$1&amp;"C"&amp;$A11)),0)+IF($A$4&lt;$A11,($A$5-$A$4)*IF(RTD("tos.rtd",,"OPEN_INT","."&amp;P$2&amp;P$1&amp;"P"&amp;$A11)="N/A",0,RTD("tos.rtd",,"OPEN_INT","."&amp;P$2&amp;P$1&amp;"P"&amp;$A11)),0),IF($X$1="ABS",IF(RTD("tos.rtd",,$A$2,"."&amp;P$2&amp;P$1&amp;"C"&amp;$A11)="N/A",0,RTD("tos.rtd",,$A$2,"."&amp;P$2&amp;P$1&amp;"C"&amp;$A11))+IF(RTD("tos.rtd",,$A$2,"."&amp;P$2&amp;P$1&amp;"P"&amp;$A11)="N/A",0,RTD("tos.rtd",,$A$2,"."&amp;P$2&amp;P$1&amp;"P"&amp;$A11)),IF(RTD("tos.rtd",,$A$2,"."&amp;P$2&amp;P$1&amp;"C"&amp;$A11)="N/A",0,RTD("tos.rtd",,$A$2,"."&amp;P$2&amp;P$1&amp;"C"&amp;$A11))-IF(RTD("tos.rtd",,$A$2,"."&amp;P$2&amp;P$1&amp;"P"&amp;$A11)="N/A",0,RTD("tos.rtd",,$A$2,"."&amp;P$2&amp;P$1&amp;"P"&amp;$A11))))))))))</f>
        <v>0</v>
      </c>
      <c r="Q11" s="12">
        <f ca="1">IF($A$2="PREMIUM_OI",IFERROR(IF($X$1="ABS",(100*RTD("tos.rtd",,"OPEN_INT","."&amp;Q$2&amp;Q$1&amp;"C"&amp;$A11)*RTD("tos.rtd",,"LAST","."&amp;Q$2&amp;Q$1&amp;"C"&amp;$A11)+100*RTD("tos.rtd",,"OPEN_INT","."&amp;Q$2&amp;Q$1&amp;"P"&amp;$A11)*RTD("tos.rtd",,"LAST","."&amp;Q$2&amp;Q$1&amp;"P"&amp;$A11))/1000000,(100*RTD("tos.rtd",,"OPEN_INT","."&amp;Q$2&amp;Q$1&amp;"C"&amp;$A11)*RTD("tos.rtd",,"LAST","."&amp;Q$2&amp;Q$1&amp;"C"&amp;$A11)-100*RTD("tos.rtd",,"OPEN_INT","."&amp;Q$2&amp;Q$1&amp;"P"&amp;$A11)*RTD("tos.rtd",,"LAST","."&amp;Q$2&amp;Q$1&amp;"P"&amp;$A11))/1000000),0),IF($A$2="PREMIUM",IFERROR(IF($X$1="ABS",(100*RTD("tos.rtd",,"VOLUME","."&amp;Q$2&amp;Q$1&amp;"C"&amp;$A11)*RTD("tos.rtd",,"LAST","."&amp;Q$2&amp;Q$1&amp;"C"&amp;$A11)+100*RTD("tos.rtd",,"VOLUME","."&amp;Q$2&amp;Q$1&amp;"P"&amp;$A11)*RTD("tos.rtd",,"LAST","."&amp;Q$2&amp;Q$1&amp;"P"&amp;$A11))/1000000,(100*RTD("tos.rtd",,"VOLUME","."&amp;Q$2&amp;Q$1&amp;"C"&amp;$A11)*RTD("tos.rtd",,"LAST","."&amp;Q$2&amp;Q$1&amp;"C"&amp;$A11)-100*RTD("tos.rtd",,"VOLUME","."&amp;Q$2&amp;Q$1&amp;"P"&amp;$A11)*RTD("tos.rtd",,"LAST","."&amp;Q$2&amp;Q$1&amp;"P"&amp;$A11))/1000000),0),IF($A$2="DEX",IFERROR(IF($X$1="ABS",(100*RTD("tos.rtd",,"OPEN_INT","."&amp;Q$2&amp;Q$1&amp;"C"&amp;$A11)*RTD("tos.rtd",,"DELTA","."&amp;Q$2&amp;Q$1&amp;"C"&amp;$A11)+100*RTD("tos.rtd",,"OPEN_INT","."&amp;Q$2&amp;Q$1&amp;"P"&amp;$A11)*RTD("tos.rtd",,"DELTA","."&amp;Q$2&amp;Q$1&amp;"P"&amp;$A11))/1000,(100*RTD("tos.rtd",,"OPEN_INT","."&amp;Q$2&amp;Q$1&amp;"C"&amp;$A11)*RTD("tos.rtd",,"DELTA","."&amp;Q$2&amp;Q$1&amp;"C"&amp;$A11)-100*RTD("tos.rtd",,"OPEN_INT","."&amp;Q$2&amp;Q$1&amp;"P"&amp;$A11)*RTD("tos.rtd",,"DELTA","."&amp;Q$2&amp;Q$1&amp;"P"&amp;$A11))/1000),0),IF($A$2="VEX",IFERROR(IF($X$1="ABS",($A$4*$A$4*RTD("tos.rtd",,"VOLUME","."&amp;Q$2&amp;Q$1&amp;"C"&amp;$A11)*RTD("tos.rtd",,"GAMMA","."&amp;Q$2&amp;Q$1&amp;"C"&amp;$A11)+$A$4*$A$4*RTD("tos.rtd",,"VOLUME","."&amp;Q$2&amp;Q$1&amp;"P"&amp;$A11)*RTD("tos.rtd",,"GAMMA","."&amp;Q$2&amp;Q$1&amp;"P"&amp;$A11))/1000000,($A$4*$A$4*RTD("tos.rtd",,"VOLUME","."&amp;Q$2&amp;Q$1&amp;"C"&amp;$A11)*RTD("tos.rtd",,"GAMMA","."&amp;Q$2&amp;Q$1&amp;"C"&amp;$A11)-$A$4*$A$4*RTD("tos.rtd",,"VOLUME","."&amp;Q$2&amp;Q$1&amp;"P"&amp;$A11)*RTD("tos.rtd",,"GAMMA","."&amp;Q$2&amp;Q$1&amp;"P"&amp;$A11))/1000000),0),IF($A$2="GEX",IFERROR(IF($X$1="ABS",($A$4*$A$4*RTD("tos.rtd",,"OPEN_INT","."&amp;Q$2&amp;Q$1&amp;"C"&amp;$A11)*RTD("tos.rtd",,"GAMMA","."&amp;Q$2&amp;Q$1&amp;"C"&amp;$A11)+$A$4*$A$4*RTD("tos.rtd",,"OPEN_INT","."&amp;Q$2&amp;Q$1&amp;"P"&amp;$A11)*RTD("tos.rtd",,"GAMMA","."&amp;Q$2&amp;Q$1&amp;"P"&amp;$A11))/1000000,($A$4*$A$4*RTD("tos.rtd",,"OPEN_INT","."&amp;Q$2&amp;Q$1&amp;"C"&amp;$A11)*RTD("tos.rtd",,"GAMMA","."&amp;Q$2&amp;Q$1&amp;"C"&amp;$A11)-$A$4*$A$4*RTD("tos.rtd",,"OPEN_INT","."&amp;Q$2&amp;Q$1&amp;"P"&amp;$A11)*RTD("tos.rtd",,"GAMMA","."&amp;Q$2&amp;Q$1&amp;"P"&amp;$A11))/1000000),0),IF($A$2="SKEW",IFERROR(VALUE(IF(RTD("tos.rtd",,"IMPL_VOL","."&amp;Q$2&amp;Q$1&amp;"P"&amp;$A11)="N/A",0,RTD("tos.rtd",,"IMPL_VOL","."&amp;Q$2&amp;Q$1&amp;"P"&amp;$A11))),0)-IFERROR(VALUE(IF(RTD("tos.rtd",,"IMPL_VOL","."&amp;Q$2&amp;Q$1&amp;"C"&amp;$A11)="N/A",0,RTD("tos.rtd",,"IMPL_VOL","."&amp;Q$2&amp;Q$1&amp;"C"&amp;$A11))),0),IF($A$2="MAXPAIN",IF($A$4&gt;$A11,($A$4-$A11)*IF(RTD("tos.rtd",,"OPEN_INT","."&amp;Q$2&amp;Q$1&amp;"C"&amp;$A11)="N/A",0,RTD("tos.rtd",,"OPEN_INT","."&amp;Q$2&amp;Q$1&amp;"C"&amp;$A11)),0)+IF($A$4&lt;$A11,($A$5-$A$4)*IF(RTD("tos.rtd",,"OPEN_INT","."&amp;Q$2&amp;Q$1&amp;"P"&amp;$A11)="N/A",0,RTD("tos.rtd",,"OPEN_INT","."&amp;Q$2&amp;Q$1&amp;"P"&amp;$A11)),0),IF($X$1="ABS",IF(RTD("tos.rtd",,$A$2,"."&amp;Q$2&amp;Q$1&amp;"C"&amp;$A11)="N/A",0,RTD("tos.rtd",,$A$2,"."&amp;Q$2&amp;Q$1&amp;"C"&amp;$A11))+IF(RTD("tos.rtd",,$A$2,"."&amp;Q$2&amp;Q$1&amp;"P"&amp;$A11)="N/A",0,RTD("tos.rtd",,$A$2,"."&amp;Q$2&amp;Q$1&amp;"P"&amp;$A11)),IF(RTD("tos.rtd",,$A$2,"."&amp;Q$2&amp;Q$1&amp;"C"&amp;$A11)="N/A",0,RTD("tos.rtd",,$A$2,"."&amp;Q$2&amp;Q$1&amp;"C"&amp;$A11))-IF(RTD("tos.rtd",,$A$2,"."&amp;Q$2&amp;Q$1&amp;"P"&amp;$A11)="N/A",0,RTD("tos.rtd",,$A$2,"."&amp;Q$2&amp;Q$1&amp;"P"&amp;$A11))))))))))</f>
        <v>0</v>
      </c>
      <c r="R11" s="12">
        <f ca="1">IF($A$2="PREMIUM_OI",IFERROR(IF($X$1="ABS",(100*RTD("tos.rtd",,"OPEN_INT","."&amp;R$2&amp;R$1&amp;"C"&amp;$A11)*RTD("tos.rtd",,"LAST","."&amp;R$2&amp;R$1&amp;"C"&amp;$A11)+100*RTD("tos.rtd",,"OPEN_INT","."&amp;R$2&amp;R$1&amp;"P"&amp;$A11)*RTD("tos.rtd",,"LAST","."&amp;R$2&amp;R$1&amp;"P"&amp;$A11))/1000000,(100*RTD("tos.rtd",,"OPEN_INT","."&amp;R$2&amp;R$1&amp;"C"&amp;$A11)*RTD("tos.rtd",,"LAST","."&amp;R$2&amp;R$1&amp;"C"&amp;$A11)-100*RTD("tos.rtd",,"OPEN_INT","."&amp;R$2&amp;R$1&amp;"P"&amp;$A11)*RTD("tos.rtd",,"LAST","."&amp;R$2&amp;R$1&amp;"P"&amp;$A11))/1000000),0),IF($A$2="PREMIUM",IFERROR(IF($X$1="ABS",(100*RTD("tos.rtd",,"VOLUME","."&amp;R$2&amp;R$1&amp;"C"&amp;$A11)*RTD("tos.rtd",,"LAST","."&amp;R$2&amp;R$1&amp;"C"&amp;$A11)+100*RTD("tos.rtd",,"VOLUME","."&amp;R$2&amp;R$1&amp;"P"&amp;$A11)*RTD("tos.rtd",,"LAST","."&amp;R$2&amp;R$1&amp;"P"&amp;$A11))/1000000,(100*RTD("tos.rtd",,"VOLUME","."&amp;R$2&amp;R$1&amp;"C"&amp;$A11)*RTD("tos.rtd",,"LAST","."&amp;R$2&amp;R$1&amp;"C"&amp;$A11)-100*RTD("tos.rtd",,"VOLUME","."&amp;R$2&amp;R$1&amp;"P"&amp;$A11)*RTD("tos.rtd",,"LAST","."&amp;R$2&amp;R$1&amp;"P"&amp;$A11))/1000000),0),IF($A$2="DEX",IFERROR(IF($X$1="ABS",(100*RTD("tos.rtd",,"OPEN_INT","."&amp;R$2&amp;R$1&amp;"C"&amp;$A11)*RTD("tos.rtd",,"DELTA","."&amp;R$2&amp;R$1&amp;"C"&amp;$A11)+100*RTD("tos.rtd",,"OPEN_INT","."&amp;R$2&amp;R$1&amp;"P"&amp;$A11)*RTD("tos.rtd",,"DELTA","."&amp;R$2&amp;R$1&amp;"P"&amp;$A11))/1000,(100*RTD("tos.rtd",,"OPEN_INT","."&amp;R$2&amp;R$1&amp;"C"&amp;$A11)*RTD("tos.rtd",,"DELTA","."&amp;R$2&amp;R$1&amp;"C"&amp;$A11)-100*RTD("tos.rtd",,"OPEN_INT","."&amp;R$2&amp;R$1&amp;"P"&amp;$A11)*RTD("tos.rtd",,"DELTA","."&amp;R$2&amp;R$1&amp;"P"&amp;$A11))/1000),0),IF($A$2="VEX",IFERROR(IF($X$1="ABS",($A$4*$A$4*RTD("tos.rtd",,"VOLUME","."&amp;R$2&amp;R$1&amp;"C"&amp;$A11)*RTD("tos.rtd",,"GAMMA","."&amp;R$2&amp;R$1&amp;"C"&amp;$A11)+$A$4*$A$4*RTD("tos.rtd",,"VOLUME","."&amp;R$2&amp;R$1&amp;"P"&amp;$A11)*RTD("tos.rtd",,"GAMMA","."&amp;R$2&amp;R$1&amp;"P"&amp;$A11))/1000000,($A$4*$A$4*RTD("tos.rtd",,"VOLUME","."&amp;R$2&amp;R$1&amp;"C"&amp;$A11)*RTD("tos.rtd",,"GAMMA","."&amp;R$2&amp;R$1&amp;"C"&amp;$A11)-$A$4*$A$4*RTD("tos.rtd",,"VOLUME","."&amp;R$2&amp;R$1&amp;"P"&amp;$A11)*RTD("tos.rtd",,"GAMMA","."&amp;R$2&amp;R$1&amp;"P"&amp;$A11))/1000000),0),IF($A$2="GEX",IFERROR(IF($X$1="ABS",($A$4*$A$4*RTD("tos.rtd",,"OPEN_INT","."&amp;R$2&amp;R$1&amp;"C"&amp;$A11)*RTD("tos.rtd",,"GAMMA","."&amp;R$2&amp;R$1&amp;"C"&amp;$A11)+$A$4*$A$4*RTD("tos.rtd",,"OPEN_INT","."&amp;R$2&amp;R$1&amp;"P"&amp;$A11)*RTD("tos.rtd",,"GAMMA","."&amp;R$2&amp;R$1&amp;"P"&amp;$A11))/1000000,($A$4*$A$4*RTD("tos.rtd",,"OPEN_INT","."&amp;R$2&amp;R$1&amp;"C"&amp;$A11)*RTD("tos.rtd",,"GAMMA","."&amp;R$2&amp;R$1&amp;"C"&amp;$A11)-$A$4*$A$4*RTD("tos.rtd",,"OPEN_INT","."&amp;R$2&amp;R$1&amp;"P"&amp;$A11)*RTD("tos.rtd",,"GAMMA","."&amp;R$2&amp;R$1&amp;"P"&amp;$A11))/1000000),0),IF($A$2="SKEW",IFERROR(VALUE(IF(RTD("tos.rtd",,"IMPL_VOL","."&amp;R$2&amp;R$1&amp;"P"&amp;$A11)="N/A",0,RTD("tos.rtd",,"IMPL_VOL","."&amp;R$2&amp;R$1&amp;"P"&amp;$A11))),0)-IFERROR(VALUE(IF(RTD("tos.rtd",,"IMPL_VOL","."&amp;R$2&amp;R$1&amp;"C"&amp;$A11)="N/A",0,RTD("tos.rtd",,"IMPL_VOL","."&amp;R$2&amp;R$1&amp;"C"&amp;$A11))),0),IF($A$2="MAXPAIN",IF($A$4&gt;$A11,($A$4-$A11)*IF(RTD("tos.rtd",,"OPEN_INT","."&amp;R$2&amp;R$1&amp;"C"&amp;$A11)="N/A",0,RTD("tos.rtd",,"OPEN_INT","."&amp;R$2&amp;R$1&amp;"C"&amp;$A11)),0)+IF($A$4&lt;$A11,($A$5-$A$4)*IF(RTD("tos.rtd",,"OPEN_INT","."&amp;R$2&amp;R$1&amp;"P"&amp;$A11)="N/A",0,RTD("tos.rtd",,"OPEN_INT","."&amp;R$2&amp;R$1&amp;"P"&amp;$A11)),0),IF($X$1="ABS",IF(RTD("tos.rtd",,$A$2,"."&amp;R$2&amp;R$1&amp;"C"&amp;$A11)="N/A",0,RTD("tos.rtd",,$A$2,"."&amp;R$2&amp;R$1&amp;"C"&amp;$A11))+IF(RTD("tos.rtd",,$A$2,"."&amp;R$2&amp;R$1&amp;"P"&amp;$A11)="N/A",0,RTD("tos.rtd",,$A$2,"."&amp;R$2&amp;R$1&amp;"P"&amp;$A11)),IF(RTD("tos.rtd",,$A$2,"."&amp;R$2&amp;R$1&amp;"C"&amp;$A11)="N/A",0,RTD("tos.rtd",,$A$2,"."&amp;R$2&amp;R$1&amp;"C"&amp;$A11))-IF(RTD("tos.rtd",,$A$2,"."&amp;R$2&amp;R$1&amp;"P"&amp;$A11)="N/A",0,RTD("tos.rtd",,$A$2,"."&amp;R$2&amp;R$1&amp;"P"&amp;$A11))))))))))</f>
        <v>0</v>
      </c>
      <c r="S11" s="12">
        <f ca="1">IF($A$2="PREMIUM_OI",IFERROR(IF($X$1="ABS",(100*RTD("tos.rtd",,"OPEN_INT","."&amp;S$2&amp;S$1&amp;"C"&amp;$A11)*RTD("tos.rtd",,"LAST","."&amp;S$2&amp;S$1&amp;"C"&amp;$A11)+100*RTD("tos.rtd",,"OPEN_INT","."&amp;S$2&amp;S$1&amp;"P"&amp;$A11)*RTD("tos.rtd",,"LAST","."&amp;S$2&amp;S$1&amp;"P"&amp;$A11))/1000000,(100*RTD("tos.rtd",,"OPEN_INT","."&amp;S$2&amp;S$1&amp;"C"&amp;$A11)*RTD("tos.rtd",,"LAST","."&amp;S$2&amp;S$1&amp;"C"&amp;$A11)-100*RTD("tos.rtd",,"OPEN_INT","."&amp;S$2&amp;S$1&amp;"P"&amp;$A11)*RTD("tos.rtd",,"LAST","."&amp;S$2&amp;S$1&amp;"P"&amp;$A11))/1000000),0),IF($A$2="PREMIUM",IFERROR(IF($X$1="ABS",(100*RTD("tos.rtd",,"VOLUME","."&amp;S$2&amp;S$1&amp;"C"&amp;$A11)*RTD("tos.rtd",,"LAST","."&amp;S$2&amp;S$1&amp;"C"&amp;$A11)+100*RTD("tos.rtd",,"VOLUME","."&amp;S$2&amp;S$1&amp;"P"&amp;$A11)*RTD("tos.rtd",,"LAST","."&amp;S$2&amp;S$1&amp;"P"&amp;$A11))/1000000,(100*RTD("tos.rtd",,"VOLUME","."&amp;S$2&amp;S$1&amp;"C"&amp;$A11)*RTD("tos.rtd",,"LAST","."&amp;S$2&amp;S$1&amp;"C"&amp;$A11)-100*RTD("tos.rtd",,"VOLUME","."&amp;S$2&amp;S$1&amp;"P"&amp;$A11)*RTD("tos.rtd",,"LAST","."&amp;S$2&amp;S$1&amp;"P"&amp;$A11))/1000000),0),IF($A$2="DEX",IFERROR(IF($X$1="ABS",(100*RTD("tos.rtd",,"OPEN_INT","."&amp;S$2&amp;S$1&amp;"C"&amp;$A11)*RTD("tos.rtd",,"DELTA","."&amp;S$2&amp;S$1&amp;"C"&amp;$A11)+100*RTD("tos.rtd",,"OPEN_INT","."&amp;S$2&amp;S$1&amp;"P"&amp;$A11)*RTD("tos.rtd",,"DELTA","."&amp;S$2&amp;S$1&amp;"P"&amp;$A11))/1000,(100*RTD("tos.rtd",,"OPEN_INT","."&amp;S$2&amp;S$1&amp;"C"&amp;$A11)*RTD("tos.rtd",,"DELTA","."&amp;S$2&amp;S$1&amp;"C"&amp;$A11)-100*RTD("tos.rtd",,"OPEN_INT","."&amp;S$2&amp;S$1&amp;"P"&amp;$A11)*RTD("tos.rtd",,"DELTA","."&amp;S$2&amp;S$1&amp;"P"&amp;$A11))/1000),0),IF($A$2="VEX",IFERROR(IF($X$1="ABS",($A$4*$A$4*RTD("tos.rtd",,"VOLUME","."&amp;S$2&amp;S$1&amp;"C"&amp;$A11)*RTD("tos.rtd",,"GAMMA","."&amp;S$2&amp;S$1&amp;"C"&amp;$A11)+$A$4*$A$4*RTD("tos.rtd",,"VOLUME","."&amp;S$2&amp;S$1&amp;"P"&amp;$A11)*RTD("tos.rtd",,"GAMMA","."&amp;S$2&amp;S$1&amp;"P"&amp;$A11))/1000000,($A$4*$A$4*RTD("tos.rtd",,"VOLUME","."&amp;S$2&amp;S$1&amp;"C"&amp;$A11)*RTD("tos.rtd",,"GAMMA","."&amp;S$2&amp;S$1&amp;"C"&amp;$A11)-$A$4*$A$4*RTD("tos.rtd",,"VOLUME","."&amp;S$2&amp;S$1&amp;"P"&amp;$A11)*RTD("tos.rtd",,"GAMMA","."&amp;S$2&amp;S$1&amp;"P"&amp;$A11))/1000000),0),IF($A$2="GEX",IFERROR(IF($X$1="ABS",($A$4*$A$4*RTD("tos.rtd",,"OPEN_INT","."&amp;S$2&amp;S$1&amp;"C"&amp;$A11)*RTD("tos.rtd",,"GAMMA","."&amp;S$2&amp;S$1&amp;"C"&amp;$A11)+$A$4*$A$4*RTD("tos.rtd",,"OPEN_INT","."&amp;S$2&amp;S$1&amp;"P"&amp;$A11)*RTD("tos.rtd",,"GAMMA","."&amp;S$2&amp;S$1&amp;"P"&amp;$A11))/1000000,($A$4*$A$4*RTD("tos.rtd",,"OPEN_INT","."&amp;S$2&amp;S$1&amp;"C"&amp;$A11)*RTD("tos.rtd",,"GAMMA","."&amp;S$2&amp;S$1&amp;"C"&amp;$A11)-$A$4*$A$4*RTD("tos.rtd",,"OPEN_INT","."&amp;S$2&amp;S$1&amp;"P"&amp;$A11)*RTD("tos.rtd",,"GAMMA","."&amp;S$2&amp;S$1&amp;"P"&amp;$A11))/1000000),0),IF($A$2="SKEW",IFERROR(VALUE(IF(RTD("tos.rtd",,"IMPL_VOL","."&amp;S$2&amp;S$1&amp;"P"&amp;$A11)="N/A",0,RTD("tos.rtd",,"IMPL_VOL","."&amp;S$2&amp;S$1&amp;"P"&amp;$A11))),0)-IFERROR(VALUE(IF(RTD("tos.rtd",,"IMPL_VOL","."&amp;S$2&amp;S$1&amp;"C"&amp;$A11)="N/A",0,RTD("tos.rtd",,"IMPL_VOL","."&amp;S$2&amp;S$1&amp;"C"&amp;$A11))),0),IF($A$2="MAXPAIN",IF($A$4&gt;$A11,($A$4-$A11)*IF(RTD("tos.rtd",,"OPEN_INT","."&amp;S$2&amp;S$1&amp;"C"&amp;$A11)="N/A",0,RTD("tos.rtd",,"OPEN_INT","."&amp;S$2&amp;S$1&amp;"C"&amp;$A11)),0)+IF($A$4&lt;$A11,($A$5-$A$4)*IF(RTD("tos.rtd",,"OPEN_INT","."&amp;S$2&amp;S$1&amp;"P"&amp;$A11)="N/A",0,RTD("tos.rtd",,"OPEN_INT","."&amp;S$2&amp;S$1&amp;"P"&amp;$A11)),0),IF($X$1="ABS",IF(RTD("tos.rtd",,$A$2,"."&amp;S$2&amp;S$1&amp;"C"&amp;$A11)="N/A",0,RTD("tos.rtd",,$A$2,"."&amp;S$2&amp;S$1&amp;"C"&amp;$A11))+IF(RTD("tos.rtd",,$A$2,"."&amp;S$2&amp;S$1&amp;"P"&amp;$A11)="N/A",0,RTD("tos.rtd",,$A$2,"."&amp;S$2&amp;S$1&amp;"P"&amp;$A11)),IF(RTD("tos.rtd",,$A$2,"."&amp;S$2&amp;S$1&amp;"C"&amp;$A11)="N/A",0,RTD("tos.rtd",,$A$2,"."&amp;S$2&amp;S$1&amp;"C"&amp;$A11))-IF(RTD("tos.rtd",,$A$2,"."&amp;S$2&amp;S$1&amp;"P"&amp;$A11)="N/A",0,RTD("tos.rtd",,$A$2,"."&amp;S$2&amp;S$1&amp;"P"&amp;$A11))))))))))</f>
        <v>0</v>
      </c>
      <c r="T11" s="12">
        <f ca="1">IF($A$2="PREMIUM_OI",IFERROR(IF($X$1="ABS",(100*RTD("tos.rtd",,"OPEN_INT","."&amp;T$2&amp;T$1&amp;"C"&amp;$A11)*RTD("tos.rtd",,"LAST","."&amp;T$2&amp;T$1&amp;"C"&amp;$A11)+100*RTD("tos.rtd",,"OPEN_INT","."&amp;T$2&amp;T$1&amp;"P"&amp;$A11)*RTD("tos.rtd",,"LAST","."&amp;T$2&amp;T$1&amp;"P"&amp;$A11))/1000000,(100*RTD("tos.rtd",,"OPEN_INT","."&amp;T$2&amp;T$1&amp;"C"&amp;$A11)*RTD("tos.rtd",,"LAST","."&amp;T$2&amp;T$1&amp;"C"&amp;$A11)-100*RTD("tos.rtd",,"OPEN_INT","."&amp;T$2&amp;T$1&amp;"P"&amp;$A11)*RTD("tos.rtd",,"LAST","."&amp;T$2&amp;T$1&amp;"P"&amp;$A11))/1000000),0),IF($A$2="PREMIUM",IFERROR(IF($X$1="ABS",(100*RTD("tos.rtd",,"VOLUME","."&amp;T$2&amp;T$1&amp;"C"&amp;$A11)*RTD("tos.rtd",,"LAST","."&amp;T$2&amp;T$1&amp;"C"&amp;$A11)+100*RTD("tos.rtd",,"VOLUME","."&amp;T$2&amp;T$1&amp;"P"&amp;$A11)*RTD("tos.rtd",,"LAST","."&amp;T$2&amp;T$1&amp;"P"&amp;$A11))/1000000,(100*RTD("tos.rtd",,"VOLUME","."&amp;T$2&amp;T$1&amp;"C"&amp;$A11)*RTD("tos.rtd",,"LAST","."&amp;T$2&amp;T$1&amp;"C"&amp;$A11)-100*RTD("tos.rtd",,"VOLUME","."&amp;T$2&amp;T$1&amp;"P"&amp;$A11)*RTD("tos.rtd",,"LAST","."&amp;T$2&amp;T$1&amp;"P"&amp;$A11))/1000000),0),IF($A$2="DEX",IFERROR(IF($X$1="ABS",(100*RTD("tos.rtd",,"OPEN_INT","."&amp;T$2&amp;T$1&amp;"C"&amp;$A11)*RTD("tos.rtd",,"DELTA","."&amp;T$2&amp;T$1&amp;"C"&amp;$A11)+100*RTD("tos.rtd",,"OPEN_INT","."&amp;T$2&amp;T$1&amp;"P"&amp;$A11)*RTD("tos.rtd",,"DELTA","."&amp;T$2&amp;T$1&amp;"P"&amp;$A11))/1000,(100*RTD("tos.rtd",,"OPEN_INT","."&amp;T$2&amp;T$1&amp;"C"&amp;$A11)*RTD("tos.rtd",,"DELTA","."&amp;T$2&amp;T$1&amp;"C"&amp;$A11)-100*RTD("tos.rtd",,"OPEN_INT","."&amp;T$2&amp;T$1&amp;"P"&amp;$A11)*RTD("tos.rtd",,"DELTA","."&amp;T$2&amp;T$1&amp;"P"&amp;$A11))/1000),0),IF($A$2="VEX",IFERROR(IF($X$1="ABS",($A$4*$A$4*RTD("tos.rtd",,"VOLUME","."&amp;T$2&amp;T$1&amp;"C"&amp;$A11)*RTD("tos.rtd",,"GAMMA","."&amp;T$2&amp;T$1&amp;"C"&amp;$A11)+$A$4*$A$4*RTD("tos.rtd",,"VOLUME","."&amp;T$2&amp;T$1&amp;"P"&amp;$A11)*RTD("tos.rtd",,"GAMMA","."&amp;T$2&amp;T$1&amp;"P"&amp;$A11))/1000000,($A$4*$A$4*RTD("tos.rtd",,"VOLUME","."&amp;T$2&amp;T$1&amp;"C"&amp;$A11)*RTD("tos.rtd",,"GAMMA","."&amp;T$2&amp;T$1&amp;"C"&amp;$A11)-$A$4*$A$4*RTD("tos.rtd",,"VOLUME","."&amp;T$2&amp;T$1&amp;"P"&amp;$A11)*RTD("tos.rtd",,"GAMMA","."&amp;T$2&amp;T$1&amp;"P"&amp;$A11))/1000000),0),IF($A$2="GEX",IFERROR(IF($X$1="ABS",($A$4*$A$4*RTD("tos.rtd",,"OPEN_INT","."&amp;T$2&amp;T$1&amp;"C"&amp;$A11)*RTD("tos.rtd",,"GAMMA","."&amp;T$2&amp;T$1&amp;"C"&amp;$A11)+$A$4*$A$4*RTD("tos.rtd",,"OPEN_INT","."&amp;T$2&amp;T$1&amp;"P"&amp;$A11)*RTD("tos.rtd",,"GAMMA","."&amp;T$2&amp;T$1&amp;"P"&amp;$A11))/1000000,($A$4*$A$4*RTD("tos.rtd",,"OPEN_INT","."&amp;T$2&amp;T$1&amp;"C"&amp;$A11)*RTD("tos.rtd",,"GAMMA","."&amp;T$2&amp;T$1&amp;"C"&amp;$A11)-$A$4*$A$4*RTD("tos.rtd",,"OPEN_INT","."&amp;T$2&amp;T$1&amp;"P"&amp;$A11)*RTD("tos.rtd",,"GAMMA","."&amp;T$2&amp;T$1&amp;"P"&amp;$A11))/1000000),0),IF($A$2="SKEW",IFERROR(VALUE(IF(RTD("tos.rtd",,"IMPL_VOL","."&amp;T$2&amp;T$1&amp;"P"&amp;$A11)="N/A",0,RTD("tos.rtd",,"IMPL_VOL","."&amp;T$2&amp;T$1&amp;"P"&amp;$A11))),0)-IFERROR(VALUE(IF(RTD("tos.rtd",,"IMPL_VOL","."&amp;T$2&amp;T$1&amp;"C"&amp;$A11)="N/A",0,RTD("tos.rtd",,"IMPL_VOL","."&amp;T$2&amp;T$1&amp;"C"&amp;$A11))),0),IF($A$2="MAXPAIN",IF($A$4&gt;$A11,($A$4-$A11)*IF(RTD("tos.rtd",,"OPEN_INT","."&amp;T$2&amp;T$1&amp;"C"&amp;$A11)="N/A",0,RTD("tos.rtd",,"OPEN_INT","."&amp;T$2&amp;T$1&amp;"C"&amp;$A11)),0)+IF($A$4&lt;$A11,($A$5-$A$4)*IF(RTD("tos.rtd",,"OPEN_INT","."&amp;T$2&amp;T$1&amp;"P"&amp;$A11)="N/A",0,RTD("tos.rtd",,"OPEN_INT","."&amp;T$2&amp;T$1&amp;"P"&amp;$A11)),0),IF($X$1="ABS",IF(RTD("tos.rtd",,$A$2,"."&amp;T$2&amp;T$1&amp;"C"&amp;$A11)="N/A",0,RTD("tos.rtd",,$A$2,"."&amp;T$2&amp;T$1&amp;"C"&amp;$A11))+IF(RTD("tos.rtd",,$A$2,"."&amp;T$2&amp;T$1&amp;"P"&amp;$A11)="N/A",0,RTD("tos.rtd",,$A$2,"."&amp;T$2&amp;T$1&amp;"P"&amp;$A11)),IF(RTD("tos.rtd",,$A$2,"."&amp;T$2&amp;T$1&amp;"C"&amp;$A11)="N/A",0,RTD("tos.rtd",,$A$2,"."&amp;T$2&amp;T$1&amp;"C"&amp;$A11))-IF(RTD("tos.rtd",,$A$2,"."&amp;T$2&amp;T$1&amp;"P"&amp;$A11)="N/A",0,RTD("tos.rtd",,$A$2,"."&amp;T$2&amp;T$1&amp;"P"&amp;$A11))))))))))</f>
        <v>0</v>
      </c>
      <c r="U11" s="12">
        <f ca="1">IF($A$2="PREMIUM_OI",IFERROR(IF($X$1="ABS",(100*RTD("tos.rtd",,"OPEN_INT","."&amp;U$2&amp;U$1&amp;"C"&amp;$A11)*RTD("tos.rtd",,"LAST","."&amp;U$2&amp;U$1&amp;"C"&amp;$A11)+100*RTD("tos.rtd",,"OPEN_INT","."&amp;U$2&amp;U$1&amp;"P"&amp;$A11)*RTD("tos.rtd",,"LAST","."&amp;U$2&amp;U$1&amp;"P"&amp;$A11))/1000000,(100*RTD("tos.rtd",,"OPEN_INT","."&amp;U$2&amp;U$1&amp;"C"&amp;$A11)*RTD("tos.rtd",,"LAST","."&amp;U$2&amp;U$1&amp;"C"&amp;$A11)-100*RTD("tos.rtd",,"OPEN_INT","."&amp;U$2&amp;U$1&amp;"P"&amp;$A11)*RTD("tos.rtd",,"LAST","."&amp;U$2&amp;U$1&amp;"P"&amp;$A11))/1000000),0),IF($A$2="PREMIUM",IFERROR(IF($X$1="ABS",(100*RTD("tos.rtd",,"VOLUME","."&amp;U$2&amp;U$1&amp;"C"&amp;$A11)*RTD("tos.rtd",,"LAST","."&amp;U$2&amp;U$1&amp;"C"&amp;$A11)+100*RTD("tos.rtd",,"VOLUME","."&amp;U$2&amp;U$1&amp;"P"&amp;$A11)*RTD("tos.rtd",,"LAST","."&amp;U$2&amp;U$1&amp;"P"&amp;$A11))/1000000,(100*RTD("tos.rtd",,"VOLUME","."&amp;U$2&amp;U$1&amp;"C"&amp;$A11)*RTD("tos.rtd",,"LAST","."&amp;U$2&amp;U$1&amp;"C"&amp;$A11)-100*RTD("tos.rtd",,"VOLUME","."&amp;U$2&amp;U$1&amp;"P"&amp;$A11)*RTD("tos.rtd",,"LAST","."&amp;U$2&amp;U$1&amp;"P"&amp;$A11))/1000000),0),IF($A$2="DEX",IFERROR(IF($X$1="ABS",(100*RTD("tos.rtd",,"OPEN_INT","."&amp;U$2&amp;U$1&amp;"C"&amp;$A11)*RTD("tos.rtd",,"DELTA","."&amp;U$2&amp;U$1&amp;"C"&amp;$A11)+100*RTD("tos.rtd",,"OPEN_INT","."&amp;U$2&amp;U$1&amp;"P"&amp;$A11)*RTD("tos.rtd",,"DELTA","."&amp;U$2&amp;U$1&amp;"P"&amp;$A11))/1000,(100*RTD("tos.rtd",,"OPEN_INT","."&amp;U$2&amp;U$1&amp;"C"&amp;$A11)*RTD("tos.rtd",,"DELTA","."&amp;U$2&amp;U$1&amp;"C"&amp;$A11)-100*RTD("tos.rtd",,"OPEN_INT","."&amp;U$2&amp;U$1&amp;"P"&amp;$A11)*RTD("tos.rtd",,"DELTA","."&amp;U$2&amp;U$1&amp;"P"&amp;$A11))/1000),0),IF($A$2="VEX",IFERROR(IF($X$1="ABS",($A$4*$A$4*RTD("tos.rtd",,"VOLUME","."&amp;U$2&amp;U$1&amp;"C"&amp;$A11)*RTD("tos.rtd",,"GAMMA","."&amp;U$2&amp;U$1&amp;"C"&amp;$A11)+$A$4*$A$4*RTD("tos.rtd",,"VOLUME","."&amp;U$2&amp;U$1&amp;"P"&amp;$A11)*RTD("tos.rtd",,"GAMMA","."&amp;U$2&amp;U$1&amp;"P"&amp;$A11))/1000000,($A$4*$A$4*RTD("tos.rtd",,"VOLUME","."&amp;U$2&amp;U$1&amp;"C"&amp;$A11)*RTD("tos.rtd",,"GAMMA","."&amp;U$2&amp;U$1&amp;"C"&amp;$A11)-$A$4*$A$4*RTD("tos.rtd",,"VOLUME","."&amp;U$2&amp;U$1&amp;"P"&amp;$A11)*RTD("tos.rtd",,"GAMMA","."&amp;U$2&amp;U$1&amp;"P"&amp;$A11))/1000000),0),IF($A$2="GEX",IFERROR(IF($X$1="ABS",($A$4*$A$4*RTD("tos.rtd",,"OPEN_INT","."&amp;U$2&amp;U$1&amp;"C"&amp;$A11)*RTD("tos.rtd",,"GAMMA","."&amp;U$2&amp;U$1&amp;"C"&amp;$A11)+$A$4*$A$4*RTD("tos.rtd",,"OPEN_INT","."&amp;U$2&amp;U$1&amp;"P"&amp;$A11)*RTD("tos.rtd",,"GAMMA","."&amp;U$2&amp;U$1&amp;"P"&amp;$A11))/1000000,($A$4*$A$4*RTD("tos.rtd",,"OPEN_INT","."&amp;U$2&amp;U$1&amp;"C"&amp;$A11)*RTD("tos.rtd",,"GAMMA","."&amp;U$2&amp;U$1&amp;"C"&amp;$A11)-$A$4*$A$4*RTD("tos.rtd",,"OPEN_INT","."&amp;U$2&amp;U$1&amp;"P"&amp;$A11)*RTD("tos.rtd",,"GAMMA","."&amp;U$2&amp;U$1&amp;"P"&amp;$A11))/1000000),0),IF($A$2="SKEW",IFERROR(VALUE(IF(RTD("tos.rtd",,"IMPL_VOL","."&amp;U$2&amp;U$1&amp;"P"&amp;$A11)="N/A",0,RTD("tos.rtd",,"IMPL_VOL","."&amp;U$2&amp;U$1&amp;"P"&amp;$A11))),0)-IFERROR(VALUE(IF(RTD("tos.rtd",,"IMPL_VOL","."&amp;U$2&amp;U$1&amp;"C"&amp;$A11)="N/A",0,RTD("tos.rtd",,"IMPL_VOL","."&amp;U$2&amp;U$1&amp;"C"&amp;$A11))),0),IF($A$2="MAXPAIN",IF($A$4&gt;$A11,($A$4-$A11)*IF(RTD("tos.rtd",,"OPEN_INT","."&amp;U$2&amp;U$1&amp;"C"&amp;$A11)="N/A",0,RTD("tos.rtd",,"OPEN_INT","."&amp;U$2&amp;U$1&amp;"C"&amp;$A11)),0)+IF($A$4&lt;$A11,($A$5-$A$4)*IF(RTD("tos.rtd",,"OPEN_INT","."&amp;U$2&amp;U$1&amp;"P"&amp;$A11)="N/A",0,RTD("tos.rtd",,"OPEN_INT","."&amp;U$2&amp;U$1&amp;"P"&amp;$A11)),0),IF($X$1="ABS",IF(RTD("tos.rtd",,$A$2,"."&amp;U$2&amp;U$1&amp;"C"&amp;$A11)="N/A",0,RTD("tos.rtd",,$A$2,"."&amp;U$2&amp;U$1&amp;"C"&amp;$A11))+IF(RTD("tos.rtd",,$A$2,"."&amp;U$2&amp;U$1&amp;"P"&amp;$A11)="N/A",0,RTD("tos.rtd",,$A$2,"."&amp;U$2&amp;U$1&amp;"P"&amp;$A11)),IF(RTD("tos.rtd",,$A$2,"."&amp;U$2&amp;U$1&amp;"C"&amp;$A11)="N/A",0,RTD("tos.rtd",,$A$2,"."&amp;U$2&amp;U$1&amp;"C"&amp;$A11))-IF(RTD("tos.rtd",,$A$2,"."&amp;U$2&amp;U$1&amp;"P"&amp;$A11)="N/A",0,RTD("tos.rtd",,$A$2,"."&amp;U$2&amp;U$1&amp;"P"&amp;$A11))))))))))</f>
        <v>0</v>
      </c>
      <c r="V11" s="12">
        <f ca="1">IF($A$2="PREMIUM_OI",IFERROR(IF($X$1="ABS",(100*RTD("tos.rtd",,"OPEN_INT","."&amp;V$2&amp;V$1&amp;"C"&amp;$A11)*RTD("tos.rtd",,"LAST","."&amp;V$2&amp;V$1&amp;"C"&amp;$A11)+100*RTD("tos.rtd",,"OPEN_INT","."&amp;V$2&amp;V$1&amp;"P"&amp;$A11)*RTD("tos.rtd",,"LAST","."&amp;V$2&amp;V$1&amp;"P"&amp;$A11))/1000000,(100*RTD("tos.rtd",,"OPEN_INT","."&amp;V$2&amp;V$1&amp;"C"&amp;$A11)*RTD("tos.rtd",,"LAST","."&amp;V$2&amp;V$1&amp;"C"&amp;$A11)-100*RTD("tos.rtd",,"OPEN_INT","."&amp;V$2&amp;V$1&amp;"P"&amp;$A11)*RTD("tos.rtd",,"LAST","."&amp;V$2&amp;V$1&amp;"P"&amp;$A11))/1000000),0),IF($A$2="PREMIUM",IFERROR(IF($X$1="ABS",(100*RTD("tos.rtd",,"VOLUME","."&amp;V$2&amp;V$1&amp;"C"&amp;$A11)*RTD("tos.rtd",,"LAST","."&amp;V$2&amp;V$1&amp;"C"&amp;$A11)+100*RTD("tos.rtd",,"VOLUME","."&amp;V$2&amp;V$1&amp;"P"&amp;$A11)*RTD("tos.rtd",,"LAST","."&amp;V$2&amp;V$1&amp;"P"&amp;$A11))/1000000,(100*RTD("tos.rtd",,"VOLUME","."&amp;V$2&amp;V$1&amp;"C"&amp;$A11)*RTD("tos.rtd",,"LAST","."&amp;V$2&amp;V$1&amp;"C"&amp;$A11)-100*RTD("tos.rtd",,"VOLUME","."&amp;V$2&amp;V$1&amp;"P"&amp;$A11)*RTD("tos.rtd",,"LAST","."&amp;V$2&amp;V$1&amp;"P"&amp;$A11))/1000000),0),IF($A$2="DEX",IFERROR(IF($X$1="ABS",(100*RTD("tos.rtd",,"OPEN_INT","."&amp;V$2&amp;V$1&amp;"C"&amp;$A11)*RTD("tos.rtd",,"DELTA","."&amp;V$2&amp;V$1&amp;"C"&amp;$A11)+100*RTD("tos.rtd",,"OPEN_INT","."&amp;V$2&amp;V$1&amp;"P"&amp;$A11)*RTD("tos.rtd",,"DELTA","."&amp;V$2&amp;V$1&amp;"P"&amp;$A11))/1000,(100*RTD("tos.rtd",,"OPEN_INT","."&amp;V$2&amp;V$1&amp;"C"&amp;$A11)*RTD("tos.rtd",,"DELTA","."&amp;V$2&amp;V$1&amp;"C"&amp;$A11)-100*RTD("tos.rtd",,"OPEN_INT","."&amp;V$2&amp;V$1&amp;"P"&amp;$A11)*RTD("tos.rtd",,"DELTA","."&amp;V$2&amp;V$1&amp;"P"&amp;$A11))/1000),0),IF($A$2="VEX",IFERROR(IF($X$1="ABS",($A$4*$A$4*RTD("tos.rtd",,"VOLUME","."&amp;V$2&amp;V$1&amp;"C"&amp;$A11)*RTD("tos.rtd",,"GAMMA","."&amp;V$2&amp;V$1&amp;"C"&amp;$A11)+$A$4*$A$4*RTD("tos.rtd",,"VOLUME","."&amp;V$2&amp;V$1&amp;"P"&amp;$A11)*RTD("tos.rtd",,"GAMMA","."&amp;V$2&amp;V$1&amp;"P"&amp;$A11))/1000000,($A$4*$A$4*RTD("tos.rtd",,"VOLUME","."&amp;V$2&amp;V$1&amp;"C"&amp;$A11)*RTD("tos.rtd",,"GAMMA","."&amp;V$2&amp;V$1&amp;"C"&amp;$A11)-$A$4*$A$4*RTD("tos.rtd",,"VOLUME","."&amp;V$2&amp;V$1&amp;"P"&amp;$A11)*RTD("tos.rtd",,"GAMMA","."&amp;V$2&amp;V$1&amp;"P"&amp;$A11))/1000000),0),IF($A$2="GEX",IFERROR(IF($X$1="ABS",($A$4*$A$4*RTD("tos.rtd",,"OPEN_INT","."&amp;V$2&amp;V$1&amp;"C"&amp;$A11)*RTD("tos.rtd",,"GAMMA","."&amp;V$2&amp;V$1&amp;"C"&amp;$A11)+$A$4*$A$4*RTD("tos.rtd",,"OPEN_INT","."&amp;V$2&amp;V$1&amp;"P"&amp;$A11)*RTD("tos.rtd",,"GAMMA","."&amp;V$2&amp;V$1&amp;"P"&amp;$A11))/1000000,($A$4*$A$4*RTD("tos.rtd",,"OPEN_INT","."&amp;V$2&amp;V$1&amp;"C"&amp;$A11)*RTD("tos.rtd",,"GAMMA","."&amp;V$2&amp;V$1&amp;"C"&amp;$A11)-$A$4*$A$4*RTD("tos.rtd",,"OPEN_INT","."&amp;V$2&amp;V$1&amp;"P"&amp;$A11)*RTD("tos.rtd",,"GAMMA","."&amp;V$2&amp;V$1&amp;"P"&amp;$A11))/1000000),0),IF($A$2="SKEW",IFERROR(VALUE(IF(RTD("tos.rtd",,"IMPL_VOL","."&amp;V$2&amp;V$1&amp;"P"&amp;$A11)="N/A",0,RTD("tos.rtd",,"IMPL_VOL","."&amp;V$2&amp;V$1&amp;"P"&amp;$A11))),0)-IFERROR(VALUE(IF(RTD("tos.rtd",,"IMPL_VOL","."&amp;V$2&amp;V$1&amp;"C"&amp;$A11)="N/A",0,RTD("tos.rtd",,"IMPL_VOL","."&amp;V$2&amp;V$1&amp;"C"&amp;$A11))),0),IF($A$2="MAXPAIN",IF($A$4&gt;$A11,($A$4-$A11)*IF(RTD("tos.rtd",,"OPEN_INT","."&amp;V$2&amp;V$1&amp;"C"&amp;$A11)="N/A",0,RTD("tos.rtd",,"OPEN_INT","."&amp;V$2&amp;V$1&amp;"C"&amp;$A11)),0)+IF($A$4&lt;$A11,($A$5-$A$4)*IF(RTD("tos.rtd",,"OPEN_INT","."&amp;V$2&amp;V$1&amp;"P"&amp;$A11)="N/A",0,RTD("tos.rtd",,"OPEN_INT","."&amp;V$2&amp;V$1&amp;"P"&amp;$A11)),0),IF($X$1="ABS",IF(RTD("tos.rtd",,$A$2,"."&amp;V$2&amp;V$1&amp;"C"&amp;$A11)="N/A",0,RTD("tos.rtd",,$A$2,"."&amp;V$2&amp;V$1&amp;"C"&amp;$A11))+IF(RTD("tos.rtd",,$A$2,"."&amp;V$2&amp;V$1&amp;"P"&amp;$A11)="N/A",0,RTD("tos.rtd",,$A$2,"."&amp;V$2&amp;V$1&amp;"P"&amp;$A11)),IF(RTD("tos.rtd",,$A$2,"."&amp;V$2&amp;V$1&amp;"C"&amp;$A11)="N/A",0,RTD("tos.rtd",,$A$2,"."&amp;V$2&amp;V$1&amp;"C"&amp;$A11))-IF(RTD("tos.rtd",,$A$2,"."&amp;V$2&amp;V$1&amp;"P"&amp;$A11)="N/A",0,RTD("tos.rtd",,$A$2,"."&amp;V$2&amp;V$1&amp;"P"&amp;$A11))))))))))</f>
        <v>0</v>
      </c>
      <c r="W11" s="54">
        <f ca="1">IF($A$2="PREMIUM_OI",IFERROR(IF($X$1="ABS",(100*RTD("tos.rtd",,"OPEN_INT","."&amp;W$2&amp;W$1&amp;"C"&amp;$A11)*RTD("tos.rtd",,"LAST","."&amp;W$2&amp;W$1&amp;"C"&amp;$A11)+100*RTD("tos.rtd",,"OPEN_INT","."&amp;W$2&amp;W$1&amp;"P"&amp;$A11)*RTD("tos.rtd",,"LAST","."&amp;W$2&amp;W$1&amp;"P"&amp;$A11))/1000000,(100*RTD("tos.rtd",,"OPEN_INT","."&amp;W$2&amp;W$1&amp;"C"&amp;$A11)*RTD("tos.rtd",,"LAST","."&amp;W$2&amp;W$1&amp;"C"&amp;$A11)-100*RTD("tos.rtd",,"OPEN_INT","."&amp;W$2&amp;W$1&amp;"P"&amp;$A11)*RTD("tos.rtd",,"LAST","."&amp;W$2&amp;W$1&amp;"P"&amp;$A11))/1000000),0),IF($A$2="PREMIUM",IFERROR(IF($X$1="ABS",(100*RTD("tos.rtd",,"VOLUME","."&amp;W$2&amp;W$1&amp;"C"&amp;$A11)*RTD("tos.rtd",,"LAST","."&amp;W$2&amp;W$1&amp;"C"&amp;$A11)+100*RTD("tos.rtd",,"VOLUME","."&amp;W$2&amp;W$1&amp;"P"&amp;$A11)*RTD("tos.rtd",,"LAST","."&amp;W$2&amp;W$1&amp;"P"&amp;$A11))/1000000,(100*RTD("tos.rtd",,"VOLUME","."&amp;W$2&amp;W$1&amp;"C"&amp;$A11)*RTD("tos.rtd",,"LAST","."&amp;W$2&amp;W$1&amp;"C"&amp;$A11)-100*RTD("tos.rtd",,"VOLUME","."&amp;W$2&amp;W$1&amp;"P"&amp;$A11)*RTD("tos.rtd",,"LAST","."&amp;W$2&amp;W$1&amp;"P"&amp;$A11))/1000000),0),IF($A$2="DEX",IFERROR(IF($X$1="ABS",(100*RTD("tos.rtd",,"OPEN_INT","."&amp;W$2&amp;W$1&amp;"C"&amp;$A11)*RTD("tos.rtd",,"DELTA","."&amp;W$2&amp;W$1&amp;"C"&amp;$A11)+100*RTD("tos.rtd",,"OPEN_INT","."&amp;W$2&amp;W$1&amp;"P"&amp;$A11)*RTD("tos.rtd",,"DELTA","."&amp;W$2&amp;W$1&amp;"P"&amp;$A11))/1000,(100*RTD("tos.rtd",,"OPEN_INT","."&amp;W$2&amp;W$1&amp;"C"&amp;$A11)*RTD("tos.rtd",,"DELTA","."&amp;W$2&amp;W$1&amp;"C"&amp;$A11)-100*RTD("tos.rtd",,"OPEN_INT","."&amp;W$2&amp;W$1&amp;"P"&amp;$A11)*RTD("tos.rtd",,"DELTA","."&amp;W$2&amp;W$1&amp;"P"&amp;$A11))/1000),0),IF($A$2="VEX",IFERROR(IF($X$1="ABS",($A$4*$A$4*RTD("tos.rtd",,"VOLUME","."&amp;W$2&amp;W$1&amp;"C"&amp;$A11)*RTD("tos.rtd",,"GAMMA","."&amp;W$2&amp;W$1&amp;"C"&amp;$A11)+$A$4*$A$4*RTD("tos.rtd",,"VOLUME","."&amp;W$2&amp;W$1&amp;"P"&amp;$A11)*RTD("tos.rtd",,"GAMMA","."&amp;W$2&amp;W$1&amp;"P"&amp;$A11))/1000000,($A$4*$A$4*RTD("tos.rtd",,"VOLUME","."&amp;W$2&amp;W$1&amp;"C"&amp;$A11)*RTD("tos.rtd",,"GAMMA","."&amp;W$2&amp;W$1&amp;"C"&amp;$A11)-$A$4*$A$4*RTD("tos.rtd",,"VOLUME","."&amp;W$2&amp;W$1&amp;"P"&amp;$A11)*RTD("tos.rtd",,"GAMMA","."&amp;W$2&amp;W$1&amp;"P"&amp;$A11))/1000000),0),IF($A$2="GEX",IFERROR(IF($X$1="ABS",($A$4*$A$4*RTD("tos.rtd",,"OPEN_INT","."&amp;W$2&amp;W$1&amp;"C"&amp;$A11)*RTD("tos.rtd",,"GAMMA","."&amp;W$2&amp;W$1&amp;"C"&amp;$A11)+$A$4*$A$4*RTD("tos.rtd",,"OPEN_INT","."&amp;W$2&amp;W$1&amp;"P"&amp;$A11)*RTD("tos.rtd",,"GAMMA","."&amp;W$2&amp;W$1&amp;"P"&amp;$A11))/1000000,($A$4*$A$4*RTD("tos.rtd",,"OPEN_INT","."&amp;W$2&amp;W$1&amp;"C"&amp;$A11)*RTD("tos.rtd",,"GAMMA","."&amp;W$2&amp;W$1&amp;"C"&amp;$A11)-$A$4*$A$4*RTD("tos.rtd",,"OPEN_INT","."&amp;W$2&amp;W$1&amp;"P"&amp;$A11)*RTD("tos.rtd",,"GAMMA","."&amp;W$2&amp;W$1&amp;"P"&amp;$A11))/1000000),0),IF($A$2="SKEW",IFERROR(VALUE(IF(RTD("tos.rtd",,"IMPL_VOL","."&amp;W$2&amp;W$1&amp;"P"&amp;$A11)="N/A",0,RTD("tos.rtd",,"IMPL_VOL","."&amp;W$2&amp;W$1&amp;"P"&amp;$A11))),0)-IFERROR(VALUE(IF(RTD("tos.rtd",,"IMPL_VOL","."&amp;W$2&amp;W$1&amp;"C"&amp;$A11)="N/A",0,RTD("tos.rtd",,"IMPL_VOL","."&amp;W$2&amp;W$1&amp;"C"&amp;$A11))),0),IF($A$2="MAXPAIN",IF($A$4&gt;$A11,($A$4-$A11)*IF(RTD("tos.rtd",,"OPEN_INT","."&amp;W$2&amp;W$1&amp;"C"&amp;$A11)="N/A",0,RTD("tos.rtd",,"OPEN_INT","."&amp;W$2&amp;W$1&amp;"C"&amp;$A11)),0)+IF($A$4&lt;$A11,($A$5-$A$4)*IF(RTD("tos.rtd",,"OPEN_INT","."&amp;W$2&amp;W$1&amp;"P"&amp;$A11)="N/A",0,RTD("tos.rtd",,"OPEN_INT","."&amp;W$2&amp;W$1&amp;"P"&amp;$A11)),0),IF($X$1="ABS",IF(RTD("tos.rtd",,$A$2,"."&amp;W$2&amp;W$1&amp;"C"&amp;$A11)="N/A",0,RTD("tos.rtd",,$A$2,"."&amp;W$2&amp;W$1&amp;"C"&amp;$A11))+IF(RTD("tos.rtd",,$A$2,"."&amp;W$2&amp;W$1&amp;"P"&amp;$A11)="N/A",0,RTD("tos.rtd",,$A$2,"."&amp;W$2&amp;W$1&amp;"P"&amp;$A11)),IF(RTD("tos.rtd",,$A$2,"."&amp;W$2&amp;W$1&amp;"C"&amp;$A11)="N/A",0,RTD("tos.rtd",,$A$2,"."&amp;W$2&amp;W$1&amp;"C"&amp;$A11))-IF(RTD("tos.rtd",,$A$2,"."&amp;W$2&amp;W$1&amp;"P"&amp;$A11)="N/A",0,RTD("tos.rtd",,$A$2,"."&amp;W$2&amp;W$1&amp;"P"&amp;$A11))))))))))</f>
        <v>0</v>
      </c>
      <c r="X11" s="57">
        <f t="shared" ca="1" si="8"/>
        <v>0</v>
      </c>
      <c r="Y11" s="27">
        <f t="shared" ca="1" si="9"/>
        <v>0</v>
      </c>
      <c r="Z11" s="27">
        <f ca="1">+'OI-VOL'!Y11</f>
        <v>0</v>
      </c>
      <c r="AA11" s="27" t="b">
        <f t="shared" ca="1" si="10"/>
        <v>0</v>
      </c>
      <c r="AB11" s="27">
        <f t="shared" si="11"/>
        <v>199241900</v>
      </c>
      <c r="AC11" s="18">
        <f>MAX(0, $A11-AC$4)*IF(RTD("tos.rtd",,"OPEN_INT","."&amp;$AB$3&amp;$AB$4&amp;"C"&amp;AC$4)="N/A",0,RTD("tos.rtd",,"OPEN_INT","."&amp;$AB$3&amp;$AB$4&amp;"C"&amp;AC$4))*100 + MAX(0, AC$4-$A11)*IF(RTD("tos.rtd",,"OPEN_INT","."&amp;$AB$3&amp;$AB$4&amp;"P"&amp;AC$4)="N/A",0,RTD("tos.rtd",,"OPEN_INT","."&amp;$AB$3&amp;$AB$4&amp;"P"&amp;AC$4))*100</f>
        <v>0</v>
      </c>
      <c r="AD11" s="18">
        <f>MAX(0, $A11-AD$4)*IF(RTD("tos.rtd",,"OPEN_INT","."&amp;$AB$3&amp;$AB$4&amp;"C"&amp;AD$4)="N/A",0,RTD("tos.rtd",,"OPEN_INT","."&amp;$AB$3&amp;$AB$4&amp;"C"&amp;AD$4))*100 + MAX(0, AD$4-$A11)*IF(RTD("tos.rtd",,"OPEN_INT","."&amp;$AB$3&amp;$AB$4&amp;"P"&amp;AD$4)="N/A",0,RTD("tos.rtd",,"OPEN_INT","."&amp;$AB$3&amp;$AB$4&amp;"P"&amp;AD$4))*100</f>
        <v>0</v>
      </c>
      <c r="AE11" s="18">
        <f>MAX(0, $A11-AE$4)*IF(RTD("tos.rtd",,"OPEN_INT","."&amp;$AB$3&amp;$AB$4&amp;"C"&amp;AE$4)="N/A",0,RTD("tos.rtd",,"OPEN_INT","."&amp;$AB$3&amp;$AB$4&amp;"C"&amp;AE$4))*100 + MAX(0, AE$4-$A11)*IF(RTD("tos.rtd",,"OPEN_INT","."&amp;$AB$3&amp;$AB$4&amp;"P"&amp;AE$4)="N/A",0,RTD("tos.rtd",,"OPEN_INT","."&amp;$AB$3&amp;$AB$4&amp;"P"&amp;AE$4))*100</f>
        <v>0</v>
      </c>
      <c r="AF11" s="18">
        <f>MAX(0, $A11-AF$4)*IF(RTD("tos.rtd",,"OPEN_INT","."&amp;$AB$3&amp;$AB$4&amp;"C"&amp;AF$4)="N/A",0,RTD("tos.rtd",,"OPEN_INT","."&amp;$AB$3&amp;$AB$4&amp;"C"&amp;AF$4))*100 + MAX(0, AF$4-$A11)*IF(RTD("tos.rtd",,"OPEN_INT","."&amp;$AB$3&amp;$AB$4&amp;"P"&amp;AF$4)="N/A",0,RTD("tos.rtd",,"OPEN_INT","."&amp;$AB$3&amp;$AB$4&amp;"P"&amp;AF$4))*100</f>
        <v>0</v>
      </c>
      <c r="AG11" s="18">
        <f>MAX(0, $A11-AG$4)*IF(RTD("tos.rtd",,"OPEN_INT","."&amp;$AB$3&amp;$AB$4&amp;"C"&amp;AG$4)="N/A",0,RTD("tos.rtd",,"OPEN_INT","."&amp;$AB$3&amp;$AB$4&amp;"C"&amp;AG$4))*100 + MAX(0, AG$4-$A11)*IF(RTD("tos.rtd",,"OPEN_INT","."&amp;$AB$3&amp;$AB$4&amp;"P"&amp;AG$4)="N/A",0,RTD("tos.rtd",,"OPEN_INT","."&amp;$AB$3&amp;$AB$4&amp;"P"&amp;AG$4))*100</f>
        <v>0</v>
      </c>
      <c r="AH11" s="18">
        <f>MAX(0, $A11-AH$4)*IF(RTD("tos.rtd",,"OPEN_INT","."&amp;$AB$3&amp;$AB$4&amp;"C"&amp;AH$4)="N/A",0,RTD("tos.rtd",,"OPEN_INT","."&amp;$AB$3&amp;$AB$4&amp;"C"&amp;AH$4))*100 + MAX(0, AH$4-$A11)*IF(RTD("tos.rtd",,"OPEN_INT","."&amp;$AB$3&amp;$AB$4&amp;"P"&amp;AH$4)="N/A",0,RTD("tos.rtd",,"OPEN_INT","."&amp;$AB$3&amp;$AB$4&amp;"P"&amp;AH$4))*100</f>
        <v>0</v>
      </c>
      <c r="AI11" s="18">
        <f>MAX(0, $A11-AI$4)*IF(RTD("tos.rtd",,"OPEN_INT","."&amp;$AB$3&amp;$AB$4&amp;"C"&amp;AI$4)="N/A",0,RTD("tos.rtd",,"OPEN_INT","."&amp;$AB$3&amp;$AB$4&amp;"C"&amp;AI$4))*100 + MAX(0, AI$4-$A11)*IF(RTD("tos.rtd",,"OPEN_INT","."&amp;$AB$3&amp;$AB$4&amp;"P"&amp;AI$4)="N/A",0,RTD("tos.rtd",,"OPEN_INT","."&amp;$AB$3&amp;$AB$4&amp;"P"&amp;AI$4))*100</f>
        <v>0</v>
      </c>
      <c r="AJ11" s="18">
        <f>MAX(0, $A11-AJ$4)*IF(RTD("tos.rtd",,"OPEN_INT","."&amp;$AB$3&amp;$AB$4&amp;"C"&amp;AJ$4)="N/A",0,RTD("tos.rtd",,"OPEN_INT","."&amp;$AB$3&amp;$AB$4&amp;"C"&amp;AJ$4))*100 + MAX(0, AJ$4-$A11)*IF(RTD("tos.rtd",,"OPEN_INT","."&amp;$AB$3&amp;$AB$4&amp;"P"&amp;AJ$4)="N/A",0,RTD("tos.rtd",,"OPEN_INT","."&amp;$AB$3&amp;$AB$4&amp;"P"&amp;AJ$4))*100</f>
        <v>135800</v>
      </c>
      <c r="AK11" s="18">
        <f>MAX(0, $A11-AK$4)*IF(RTD("tos.rtd",,"OPEN_INT","."&amp;$AB$3&amp;$AB$4&amp;"C"&amp;AK$4)="N/A",0,RTD("tos.rtd",,"OPEN_INT","."&amp;$AB$3&amp;$AB$4&amp;"C"&amp;AK$4))*100 + MAX(0, AK$4-$A11)*IF(RTD("tos.rtd",,"OPEN_INT","."&amp;$AB$3&amp;$AB$4&amp;"P"&amp;AK$4)="N/A",0,RTD("tos.rtd",,"OPEN_INT","."&amp;$AB$3&amp;$AB$4&amp;"P"&amp;AK$4))*100</f>
        <v>26900</v>
      </c>
      <c r="AL11" s="18">
        <f>MAX(0, $A11-AL$4)*IF(RTD("tos.rtd",,"OPEN_INT","."&amp;$AB$3&amp;$AB$4&amp;"C"&amp;AL$4)="N/A",0,RTD("tos.rtd",,"OPEN_INT","."&amp;$AB$3&amp;$AB$4&amp;"C"&amp;AL$4))*100 + MAX(0, AL$4-$A11)*IF(RTD("tos.rtd",,"OPEN_INT","."&amp;$AB$3&amp;$AB$4&amp;"P"&amp;AL$4)="N/A",0,RTD("tos.rtd",,"OPEN_INT","."&amp;$AB$3&amp;$AB$4&amp;"P"&amp;AL$4))*100</f>
        <v>421950</v>
      </c>
      <c r="AM11" s="18">
        <f>MAX(0, $A11-AM$4)*IF(RTD("tos.rtd",,"OPEN_INT","."&amp;$AB$3&amp;$AB$4&amp;"C"&amp;AM$4)="N/A",0,RTD("tos.rtd",,"OPEN_INT","."&amp;$AB$3&amp;$AB$4&amp;"C"&amp;AM$4))*100 + MAX(0, AM$4-$A11)*IF(RTD("tos.rtd",,"OPEN_INT","."&amp;$AB$3&amp;$AB$4&amp;"P"&amp;AM$4)="N/A",0,RTD("tos.rtd",,"OPEN_INT","."&amp;$AB$3&amp;$AB$4&amp;"P"&amp;AM$4))*100</f>
        <v>0</v>
      </c>
      <c r="AN11" s="18">
        <f>MAX(0, $A11-AN$4)*IF(RTD("tos.rtd",,"OPEN_INT","."&amp;$AB$3&amp;$AB$4&amp;"C"&amp;AN$4)="N/A",0,RTD("tos.rtd",,"OPEN_INT","."&amp;$AB$3&amp;$AB$4&amp;"C"&amp;AN$4))*100 + MAX(0, AN$4-$A11)*IF(RTD("tos.rtd",,"OPEN_INT","."&amp;$AB$3&amp;$AB$4&amp;"P"&amp;AN$4)="N/A",0,RTD("tos.rtd",,"OPEN_INT","."&amp;$AB$3&amp;$AB$4&amp;"P"&amp;AN$4))*100</f>
        <v>591250</v>
      </c>
      <c r="AO11" s="18">
        <f>MAX(0, $A11-AO$4)*IF(RTD("tos.rtd",,"OPEN_INT","."&amp;$AB$3&amp;$AB$4&amp;"C"&amp;AO$4)="N/A",0,RTD("tos.rtd",,"OPEN_INT","."&amp;$AB$3&amp;$AB$4&amp;"C"&amp;AO$4))*100 + MAX(0, AO$4-$A11)*IF(RTD("tos.rtd",,"OPEN_INT","."&amp;$AB$3&amp;$AB$4&amp;"P"&amp;AO$4)="N/A",0,RTD("tos.rtd",,"OPEN_INT","."&amp;$AB$3&amp;$AB$4&amp;"P"&amp;AO$4))*100</f>
        <v>0</v>
      </c>
      <c r="AP11" s="18">
        <f>MAX(0, $A11-AP$4)*IF(RTD("tos.rtd",,"OPEN_INT","."&amp;$AB$3&amp;$AB$4&amp;"C"&amp;AP$4)="N/A",0,RTD("tos.rtd",,"OPEN_INT","."&amp;$AB$3&amp;$AB$4&amp;"C"&amp;AP$4))*100 + MAX(0, AP$4-$A11)*IF(RTD("tos.rtd",,"OPEN_INT","."&amp;$AB$3&amp;$AB$4&amp;"P"&amp;AP$4)="N/A",0,RTD("tos.rtd",,"OPEN_INT","."&amp;$AB$3&amp;$AB$4&amp;"P"&amp;AP$4))*100</f>
        <v>241150</v>
      </c>
      <c r="AQ11" s="18">
        <f>MAX(0, $A11-AQ$4)*IF(RTD("tos.rtd",,"OPEN_INT","."&amp;$AB$3&amp;$AB$4&amp;"C"&amp;AQ$4)="N/A",0,RTD("tos.rtd",,"OPEN_INT","."&amp;$AB$3&amp;$AB$4&amp;"C"&amp;AQ$4))*100 + MAX(0, AQ$4-$A11)*IF(RTD("tos.rtd",,"OPEN_INT","."&amp;$AB$3&amp;$AB$4&amp;"P"&amp;AQ$4)="N/A",0,RTD("tos.rtd",,"OPEN_INT","."&amp;$AB$3&amp;$AB$4&amp;"P"&amp;AQ$4))*100</f>
        <v>0</v>
      </c>
      <c r="AR11" s="18">
        <f>MAX(0, $A11-AR$4)*IF(RTD("tos.rtd",,"OPEN_INT","."&amp;$AB$3&amp;$AB$4&amp;"C"&amp;AR$4)="N/A",0,RTD("tos.rtd",,"OPEN_INT","."&amp;$AB$3&amp;$AB$4&amp;"C"&amp;AR$4))*100 + MAX(0, AR$4-$A11)*IF(RTD("tos.rtd",,"OPEN_INT","."&amp;$AB$3&amp;$AB$4&amp;"P"&amp;AR$4)="N/A",0,RTD("tos.rtd",,"OPEN_INT","."&amp;$AB$3&amp;$AB$4&amp;"P"&amp;AR$4))*100</f>
        <v>288000</v>
      </c>
      <c r="AS11" s="18">
        <f>MAX(0, $A11-AS$4)*IF(RTD("tos.rtd",,"OPEN_INT","."&amp;$AB$3&amp;$AB$4&amp;"C"&amp;AS$4)="N/A",0,RTD("tos.rtd",,"OPEN_INT","."&amp;$AB$3&amp;$AB$4&amp;"C"&amp;AS$4))*100 + MAX(0, AS$4-$A11)*IF(RTD("tos.rtd",,"OPEN_INT","."&amp;$AB$3&amp;$AB$4&amp;"P"&amp;AS$4)="N/A",0,RTD("tos.rtd",,"OPEN_INT","."&amp;$AB$3&amp;$AB$4&amp;"P"&amp;AS$4))*100</f>
        <v>500</v>
      </c>
      <c r="AT11" s="18">
        <f>MAX(0, $A11-AT$4)*IF(RTD("tos.rtd",,"OPEN_INT","."&amp;$AB$3&amp;$AB$4&amp;"C"&amp;AT$4)="N/A",0,RTD("tos.rtd",,"OPEN_INT","."&amp;$AB$3&amp;$AB$4&amp;"C"&amp;AT$4))*100 + MAX(0, AT$4-$A11)*IF(RTD("tos.rtd",,"OPEN_INT","."&amp;$AB$3&amp;$AB$4&amp;"P"&amp;AT$4)="N/A",0,RTD("tos.rtd",,"OPEN_INT","."&amp;$AB$3&amp;$AB$4&amp;"P"&amp;AT$4))*100</f>
        <v>474100</v>
      </c>
      <c r="AU11" s="18">
        <f>MAX(0, $A11-AU$4)*IF(RTD("tos.rtd",,"OPEN_INT","."&amp;$AB$3&amp;$AB$4&amp;"C"&amp;AU$4)="N/A",0,RTD("tos.rtd",,"OPEN_INT","."&amp;$AB$3&amp;$AB$4&amp;"C"&amp;AU$4))*100 + MAX(0, AU$4-$A11)*IF(RTD("tos.rtd",,"OPEN_INT","."&amp;$AB$3&amp;$AB$4&amp;"P"&amp;AU$4)="N/A",0,RTD("tos.rtd",,"OPEN_INT","."&amp;$AB$3&amp;$AB$4&amp;"P"&amp;AU$4))*100</f>
        <v>841200</v>
      </c>
      <c r="AV11" s="18">
        <f>MAX(0, $A11-AV$4)*IF(RTD("tos.rtd",,"OPEN_INT","."&amp;$AB$3&amp;$AB$4&amp;"C"&amp;AV$4)="N/A",0,RTD("tos.rtd",,"OPEN_INT","."&amp;$AB$3&amp;$AB$4&amp;"C"&amp;AV$4))*100 + MAX(0, AV$4-$A11)*IF(RTD("tos.rtd",,"OPEN_INT","."&amp;$AB$3&amp;$AB$4&amp;"P"&amp;AV$4)="N/A",0,RTD("tos.rtd",,"OPEN_INT","."&amp;$AB$3&amp;$AB$4&amp;"P"&amp;AV$4))*100</f>
        <v>1093950</v>
      </c>
      <c r="AW11" s="18">
        <f>MAX(0, $A11-AW$4)*IF(RTD("tos.rtd",,"OPEN_INT","."&amp;$AB$3&amp;$AB$4&amp;"C"&amp;AW$4)="N/A",0,RTD("tos.rtd",,"OPEN_INT","."&amp;$AB$3&amp;$AB$4&amp;"C"&amp;AW$4))*100 + MAX(0, AW$4-$A11)*IF(RTD("tos.rtd",,"OPEN_INT","."&amp;$AB$3&amp;$AB$4&amp;"P"&amp;AW$4)="N/A",0,RTD("tos.rtd",,"OPEN_INT","."&amp;$AB$3&amp;$AB$4&amp;"P"&amp;AW$4))*100</f>
        <v>1321600</v>
      </c>
      <c r="AX11" s="18">
        <f>MAX(0, $A11-AX$4)*IF(RTD("tos.rtd",,"OPEN_INT","."&amp;$AB$3&amp;$AB$4&amp;"C"&amp;AX$4)="N/A",0,RTD("tos.rtd",,"OPEN_INT","."&amp;$AB$3&amp;$AB$4&amp;"C"&amp;AX$4))*100 + MAX(0, AX$4-$A11)*IF(RTD("tos.rtd",,"OPEN_INT","."&amp;$AB$3&amp;$AB$4&amp;"P"&amp;AX$4)="N/A",0,RTD("tos.rtd",,"OPEN_INT","."&amp;$AB$3&amp;$AB$4&amp;"P"&amp;AX$4))*100</f>
        <v>2306250</v>
      </c>
      <c r="AY11" s="18">
        <f>MAX(0, $A11-AY$4)*IF(RTD("tos.rtd",,"OPEN_INT","."&amp;$AB$3&amp;$AB$4&amp;"C"&amp;AY$4)="N/A",0,RTD("tos.rtd",,"OPEN_INT","."&amp;$AB$3&amp;$AB$4&amp;"C"&amp;AY$4))*100 + MAX(0, AY$4-$A11)*IF(RTD("tos.rtd",,"OPEN_INT","."&amp;$AB$3&amp;$AB$4&amp;"P"&amp;AY$4)="N/A",0,RTD("tos.rtd",,"OPEN_INT","."&amp;$AB$3&amp;$AB$4&amp;"P"&amp;AY$4))*100</f>
        <v>3402400</v>
      </c>
      <c r="AZ11" s="18">
        <f>MAX(0, $A11-AZ$4)*IF(RTD("tos.rtd",,"OPEN_INT","."&amp;$AB$3&amp;$AB$4&amp;"C"&amp;AZ$4)="N/A",0,RTD("tos.rtd",,"OPEN_INT","."&amp;$AB$3&amp;$AB$4&amp;"C"&amp;AZ$4))*100 + MAX(0, AZ$4-$A11)*IF(RTD("tos.rtd",,"OPEN_INT","."&amp;$AB$3&amp;$AB$4&amp;"P"&amp;AZ$4)="N/A",0,RTD("tos.rtd",,"OPEN_INT","."&amp;$AB$3&amp;$AB$4&amp;"P"&amp;AZ$4))*100</f>
        <v>16615800</v>
      </c>
      <c r="BA11" s="18">
        <f>MAX(0, $A11-BA$4)*IF(RTD("tos.rtd",,"OPEN_INT","."&amp;$AB$3&amp;$AB$4&amp;"C"&amp;BA$4)="N/A",0,RTD("tos.rtd",,"OPEN_INT","."&amp;$AB$3&amp;$AB$4&amp;"C"&amp;BA$4))*100 + MAX(0, BA$4-$A11)*IF(RTD("tos.rtd",,"OPEN_INT","."&amp;$AB$3&amp;$AB$4&amp;"P"&amp;BA$4)="N/A",0,RTD("tos.rtd",,"OPEN_INT","."&amp;$AB$3&amp;$AB$4&amp;"P"&amp;BA$4))*100</f>
        <v>8865000</v>
      </c>
      <c r="BB11" s="18">
        <f>MAX(0, $A11-BB$4)*IF(RTD("tos.rtd",,"OPEN_INT","."&amp;$AB$3&amp;$AB$4&amp;"C"&amp;BB$4)="N/A",0,RTD("tos.rtd",,"OPEN_INT","."&amp;$AB$3&amp;$AB$4&amp;"C"&amp;BB$4))*100 + MAX(0, BB$4-$A11)*IF(RTD("tos.rtd",,"OPEN_INT","."&amp;$AB$3&amp;$AB$4&amp;"P"&amp;BB$4)="N/A",0,RTD("tos.rtd",,"OPEN_INT","."&amp;$AB$3&amp;$AB$4&amp;"P"&amp;BB$4))*100</f>
        <v>29266650</v>
      </c>
      <c r="BC11" s="18">
        <f>MAX(0, $A11-BC$4)*IF(RTD("tos.rtd",,"OPEN_INT","."&amp;$AB$3&amp;$AB$4&amp;"C"&amp;BC$4)="N/A",0,RTD("tos.rtd",,"OPEN_INT","."&amp;$AB$3&amp;$AB$4&amp;"C"&amp;BC$4))*100 + MAX(0, BC$4-$A11)*IF(RTD("tos.rtd",,"OPEN_INT","."&amp;$AB$3&amp;$AB$4&amp;"P"&amp;BC$4)="N/A",0,RTD("tos.rtd",,"OPEN_INT","."&amp;$AB$3&amp;$AB$4&amp;"P"&amp;BC$4))*100</f>
        <v>28658000</v>
      </c>
      <c r="BD11" s="18">
        <f>MAX(0, $A11-BD$4)*IF(RTD("tos.rtd",,"OPEN_INT","."&amp;$AB$3&amp;$AB$4&amp;"C"&amp;BD$4)="N/A",0,RTD("tos.rtd",,"OPEN_INT","."&amp;$AB$3&amp;$AB$4&amp;"C"&amp;BD$4))*100 + MAX(0, BD$4-$A11)*IF(RTD("tos.rtd",,"OPEN_INT","."&amp;$AB$3&amp;$AB$4&amp;"P"&amp;BD$4)="N/A",0,RTD("tos.rtd",,"OPEN_INT","."&amp;$AB$3&amp;$AB$4&amp;"P"&amp;BD$4))*100</f>
        <v>42748650</v>
      </c>
      <c r="BE11" s="18">
        <f>MAX(0, $A11-BE$4)*IF(RTD("tos.rtd",,"OPEN_INT","."&amp;$AB$3&amp;$AB$4&amp;"C"&amp;BE$4)="N/A",0,RTD("tos.rtd",,"OPEN_INT","."&amp;$AB$3&amp;$AB$4&amp;"C"&amp;BE$4))*100 + MAX(0, BE$4-$A11)*IF(RTD("tos.rtd",,"OPEN_INT","."&amp;$AB$3&amp;$AB$4&amp;"P"&amp;BE$4)="N/A",0,RTD("tos.rtd",,"OPEN_INT","."&amp;$AB$3&amp;$AB$4&amp;"P"&amp;BE$4))*100</f>
        <v>20416000</v>
      </c>
      <c r="BF11" s="18">
        <f>MAX(0, $A11-BF$4)*IF(RTD("tos.rtd",,"OPEN_INT","."&amp;$AB$3&amp;$AB$4&amp;"C"&amp;BF$4)="N/A",0,RTD("tos.rtd",,"OPEN_INT","."&amp;$AB$3&amp;$AB$4&amp;"C"&amp;BF$4))*100 + MAX(0, BF$4-$A11)*IF(RTD("tos.rtd",,"OPEN_INT","."&amp;$AB$3&amp;$AB$4&amp;"P"&amp;BF$4)="N/A",0,RTD("tos.rtd",,"OPEN_INT","."&amp;$AB$3&amp;$AB$4&amp;"P"&amp;BF$4))*100</f>
        <v>19869700</v>
      </c>
      <c r="BG11" s="18">
        <f>MAX(0, $A11-BG$4)*IF(RTD("tos.rtd",,"OPEN_INT","."&amp;$AB$3&amp;$AB$4&amp;"C"&amp;BG$4)="N/A",0,RTD("tos.rtd",,"OPEN_INT","."&amp;$AB$3&amp;$AB$4&amp;"C"&amp;BG$4))*100 + MAX(0, BG$4-$A11)*IF(RTD("tos.rtd",,"OPEN_INT","."&amp;$AB$3&amp;$AB$4&amp;"P"&amp;BG$4)="N/A",0,RTD("tos.rtd",,"OPEN_INT","."&amp;$AB$3&amp;$AB$4&amp;"P"&amp;BG$4))*100</f>
        <v>10088400</v>
      </c>
      <c r="BH11" s="18">
        <f>MAX(0, $A11-BH$4)*IF(RTD("tos.rtd",,"OPEN_INT","."&amp;$AB$3&amp;$AB$4&amp;"C"&amp;BH$4)="N/A",0,RTD("tos.rtd",,"OPEN_INT","."&amp;$AB$3&amp;$AB$4&amp;"C"&amp;BH$4))*100 + MAX(0, BH$4-$A11)*IF(RTD("tos.rtd",,"OPEN_INT","."&amp;$AB$3&amp;$AB$4&amp;"P"&amp;BH$4)="N/A",0,RTD("tos.rtd",,"OPEN_INT","."&amp;$AB$3&amp;$AB$4&amp;"P"&amp;BH$4))*100</f>
        <v>7167500</v>
      </c>
      <c r="BI11" s="18">
        <f>MAX(0, $A11-BI$4)*IF(RTD("tos.rtd",,"OPEN_INT","."&amp;$AB$3&amp;$AB$4&amp;"C"&amp;BI$4)="N/A",0,RTD("tos.rtd",,"OPEN_INT","."&amp;$AB$3&amp;$AB$4&amp;"C"&amp;BI$4))*100 + MAX(0, BI$4-$A11)*IF(RTD("tos.rtd",,"OPEN_INT","."&amp;$AB$3&amp;$AB$4&amp;"P"&amp;BI$4)="N/A",0,RTD("tos.rtd",,"OPEN_INT","."&amp;$AB$3&amp;$AB$4&amp;"P"&amp;BI$4))*100</f>
        <v>2525900</v>
      </c>
      <c r="BJ11" s="18">
        <f>MAX(0, $A11-BJ$4)*IF(RTD("tos.rtd",,"OPEN_INT","."&amp;$AB$3&amp;$AB$4&amp;"C"&amp;BJ$4)="N/A",0,RTD("tos.rtd",,"OPEN_INT","."&amp;$AB$3&amp;$AB$4&amp;"C"&amp;BJ$4))*100 + MAX(0, BJ$4-$A11)*IF(RTD("tos.rtd",,"OPEN_INT","."&amp;$AB$3&amp;$AB$4&amp;"P"&amp;BJ$4)="N/A",0,RTD("tos.rtd",,"OPEN_INT","."&amp;$AB$3&amp;$AB$4&amp;"P"&amp;BJ$4))*100</f>
        <v>1136700</v>
      </c>
      <c r="BK11" s="18">
        <f>MAX(0, $A11-BK$4)*IF(RTD("tos.rtd",,"OPEN_INT","."&amp;$AB$3&amp;$AB$4&amp;"C"&amp;BK$4)="N/A",0,RTD("tos.rtd",,"OPEN_INT","."&amp;$AB$3&amp;$AB$4&amp;"C"&amp;BK$4))*100 + MAX(0, BK$4-$A11)*IF(RTD("tos.rtd",,"OPEN_INT","."&amp;$AB$3&amp;$AB$4&amp;"P"&amp;BK$4)="N/A",0,RTD("tos.rtd",,"OPEN_INT","."&amp;$AB$3&amp;$AB$4&amp;"P"&amp;BK$4))*100</f>
        <v>211400</v>
      </c>
      <c r="BL11" s="18">
        <f>MAX(0, $A11-BL$4)*IF(RTD("tos.rtd",,"OPEN_INT","."&amp;$AB$3&amp;$AB$4&amp;"C"&amp;BL$4)="N/A",0,RTD("tos.rtd",,"OPEN_INT","."&amp;$AB$3&amp;$AB$4&amp;"C"&amp;BL$4))*100 + MAX(0, BL$4-$A11)*IF(RTD("tos.rtd",,"OPEN_INT","."&amp;$AB$3&amp;$AB$4&amp;"P"&amp;BL$4)="N/A",0,RTD("tos.rtd",,"OPEN_INT","."&amp;$AB$3&amp;$AB$4&amp;"P"&amp;BL$4))*100</f>
        <v>378450</v>
      </c>
      <c r="BM11" s="18">
        <f>MAX(0, $A11-BM$4)*IF(RTD("tos.rtd",,"OPEN_INT","."&amp;$AB$3&amp;$AB$4&amp;"C"&amp;BM$4)="N/A",0,RTD("tos.rtd",,"OPEN_INT","."&amp;$AB$3&amp;$AB$4&amp;"C"&amp;BM$4))*100 + MAX(0, BM$4-$A11)*IF(RTD("tos.rtd",,"OPEN_INT","."&amp;$AB$3&amp;$AB$4&amp;"P"&amp;BM$4)="N/A",0,RTD("tos.rtd",,"OPEN_INT","."&amp;$AB$3&amp;$AB$4&amp;"P"&amp;BM$4))*100</f>
        <v>24000</v>
      </c>
      <c r="BN11" s="18">
        <f>MAX(0, $A11-BN$4)*IF(RTD("tos.rtd",,"OPEN_INT","."&amp;$AB$3&amp;$AB$4&amp;"C"&amp;BN$4)="N/A",0,RTD("tos.rtd",,"OPEN_INT","."&amp;$AB$3&amp;$AB$4&amp;"C"&amp;BN$4))*100 + MAX(0, BN$4-$A11)*IF(RTD("tos.rtd",,"OPEN_INT","."&amp;$AB$3&amp;$AB$4&amp;"P"&amp;BN$4)="N/A",0,RTD("tos.rtd",,"OPEN_INT","."&amp;$AB$3&amp;$AB$4&amp;"P"&amp;BN$4))*100</f>
        <v>12400</v>
      </c>
      <c r="BO11" s="18">
        <f>MAX(0, $A11-BO$4)*IF(RTD("tos.rtd",,"OPEN_INT","."&amp;$AB$3&amp;$AB$4&amp;"C"&amp;BO$4)="N/A",0,RTD("tos.rtd",,"OPEN_INT","."&amp;$AB$3&amp;$AB$4&amp;"C"&amp;BO$4))*100 + MAX(0, BO$4-$A11)*IF(RTD("tos.rtd",,"OPEN_INT","."&amp;$AB$3&amp;$AB$4&amp;"P"&amp;BO$4)="N/A",0,RTD("tos.rtd",,"OPEN_INT","."&amp;$AB$3&amp;$AB$4&amp;"P"&amp;BO$4))*100</f>
        <v>49600</v>
      </c>
      <c r="BP11" s="18">
        <f>MAX(0, $A11-BP$4)*IF(RTD("tos.rtd",,"OPEN_INT","."&amp;$AB$3&amp;$AB$4&amp;"C"&amp;BP$4)="N/A",0,RTD("tos.rtd",,"OPEN_INT","."&amp;$AB$3&amp;$AB$4&amp;"C"&amp;BP$4))*100 + MAX(0, BP$4-$A11)*IF(RTD("tos.rtd",,"OPEN_INT","."&amp;$AB$3&amp;$AB$4&amp;"P"&amp;BP$4)="N/A",0,RTD("tos.rtd",,"OPEN_INT","."&amp;$AB$3&amp;$AB$4&amp;"P"&amp;BP$4))*100</f>
        <v>62700</v>
      </c>
      <c r="BQ11" s="18">
        <f>MAX(0, $A11-BQ$4)*IF(RTD("tos.rtd",,"OPEN_INT","."&amp;$AB$3&amp;$AB$4&amp;"C"&amp;BQ$4)="N/A",0,RTD("tos.rtd",,"OPEN_INT","."&amp;$AB$3&amp;$AB$4&amp;"C"&amp;BQ$4))*100 + MAX(0, BQ$4-$A11)*IF(RTD("tos.rtd",,"OPEN_INT","."&amp;$AB$3&amp;$AB$4&amp;"P"&amp;BQ$4)="N/A",0,RTD("tos.rtd",,"OPEN_INT","."&amp;$AB$3&amp;$AB$4&amp;"P"&amp;BQ$4))*100</f>
        <v>0</v>
      </c>
      <c r="BR11" s="18">
        <f>MAX(0, $A11-BR$4)*IF(RTD("tos.rtd",,"OPEN_INT","."&amp;$AB$3&amp;$AB$4&amp;"C"&amp;BR$4)="N/A",0,RTD("tos.rtd",,"OPEN_INT","."&amp;$AB$3&amp;$AB$4&amp;"C"&amp;BR$4))*100 + MAX(0, BR$4-$A11)*IF(RTD("tos.rtd",,"OPEN_INT","."&amp;$AB$3&amp;$AB$4&amp;"P"&amp;BR$4)="N/A",0,RTD("tos.rtd",,"OPEN_INT","."&amp;$AB$3&amp;$AB$4&amp;"P"&amp;BR$4))*100</f>
        <v>0</v>
      </c>
      <c r="BS11" s="18">
        <f>MAX(0, $A11-BS$4)*IF(RTD("tos.rtd",,"OPEN_INT","."&amp;$AB$3&amp;$AB$4&amp;"C"&amp;BS$4)="N/A",0,RTD("tos.rtd",,"OPEN_INT","."&amp;$AB$3&amp;$AB$4&amp;"C"&amp;BS$4))*100 + MAX(0, BS$4-$A11)*IF(RTD("tos.rtd",,"OPEN_INT","."&amp;$AB$3&amp;$AB$4&amp;"P"&amp;BS$4)="N/A",0,RTD("tos.rtd",,"OPEN_INT","."&amp;$AB$3&amp;$AB$4&amp;"P"&amp;BS$4))*100</f>
        <v>0</v>
      </c>
      <c r="BT11" s="18">
        <f>MAX(0, $A11-BT$4)*IF(RTD("tos.rtd",,"OPEN_INT","."&amp;$AB$3&amp;$AB$4&amp;"C"&amp;BT$4)="N/A",0,RTD("tos.rtd",,"OPEN_INT","."&amp;$AB$3&amp;$AB$4&amp;"C"&amp;BT$4))*100 + MAX(0, BT$4-$A11)*IF(RTD("tos.rtd",,"OPEN_INT","."&amp;$AB$3&amp;$AB$4&amp;"P"&amp;BT$4)="N/A",0,RTD("tos.rtd",,"OPEN_INT","."&amp;$AB$3&amp;$AB$4&amp;"P"&amp;BT$4))*100</f>
        <v>0</v>
      </c>
      <c r="BU11" s="18">
        <f>MAX(0, $A11-BU$4)*IF(RTD("tos.rtd",,"OPEN_INT","."&amp;$AB$3&amp;$AB$4&amp;"C"&amp;BU$4)="N/A",0,RTD("tos.rtd",,"OPEN_INT","."&amp;$AB$3&amp;$AB$4&amp;"C"&amp;BU$4))*100 + MAX(0, BU$4-$A11)*IF(RTD("tos.rtd",,"OPEN_INT","."&amp;$AB$3&amp;$AB$4&amp;"P"&amp;BU$4)="N/A",0,RTD("tos.rtd",,"OPEN_INT","."&amp;$AB$3&amp;$AB$4&amp;"P"&amp;BU$4))*100</f>
        <v>0</v>
      </c>
      <c r="BV11" s="18">
        <f>MAX(0, $A11-BV$4)*IF(RTD("tos.rtd",,"OPEN_INT","."&amp;$AB$3&amp;$AB$4&amp;"C"&amp;BV$4)="N/A",0,RTD("tos.rtd",,"OPEN_INT","."&amp;$AB$3&amp;$AB$4&amp;"C"&amp;BV$4))*100 + MAX(0, BV$4-$A11)*IF(RTD("tos.rtd",,"OPEN_INT","."&amp;$AB$3&amp;$AB$4&amp;"P"&amp;BV$4)="N/A",0,RTD("tos.rtd",,"OPEN_INT","."&amp;$AB$3&amp;$AB$4&amp;"P"&amp;BV$4))*100</f>
        <v>0</v>
      </c>
      <c r="BW11" s="18">
        <f>MAX(0, $A11-BW$4)*IF(RTD("tos.rtd",,"OPEN_INT","."&amp;$AB$3&amp;$AB$4&amp;"C"&amp;BW$4)="N/A",0,RTD("tos.rtd",,"OPEN_INT","."&amp;$AB$3&amp;$AB$4&amp;"C"&amp;BW$4))*100 + MAX(0, BW$4-$A11)*IF(RTD("tos.rtd",,"OPEN_INT","."&amp;$AB$3&amp;$AB$4&amp;"P"&amp;BW$4)="N/A",0,RTD("tos.rtd",,"OPEN_INT","."&amp;$AB$3&amp;$AB$4&amp;"P"&amp;BW$4))*100</f>
        <v>0</v>
      </c>
    </row>
    <row r="12" spans="1:75" s="19" customFormat="1" ht="11.1" customHeight="1" thickBot="1" x14ac:dyDescent="0.3">
      <c r="A12" s="23">
        <f t="shared" si="7"/>
        <v>18</v>
      </c>
      <c r="B12" s="14">
        <f ca="1">IF($A$2="PREMIUM_OI",IFERROR(IF($X$1="ABS",(100*RTD("tos.rtd",,"OPEN_INT","."&amp;B$2&amp;B$1&amp;"C"&amp;$A12)*RTD("tos.rtd",,"LAST","."&amp;B$2&amp;B$1&amp;"C"&amp;$A12)+100*RTD("tos.rtd",,"OPEN_INT","."&amp;B$2&amp;B$1&amp;"P"&amp;$A12)*RTD("tos.rtd",,"LAST","."&amp;B$2&amp;B$1&amp;"P"&amp;$A12))/1000000,(100*RTD("tos.rtd",,"OPEN_INT","."&amp;B$2&amp;B$1&amp;"C"&amp;$A12)*RTD("tos.rtd",,"LAST","."&amp;B$2&amp;B$1&amp;"C"&amp;$A12)-100*RTD("tos.rtd",,"OPEN_INT","."&amp;B$2&amp;B$1&amp;"P"&amp;$A12)*RTD("tos.rtd",,"LAST","."&amp;B$2&amp;B$1&amp;"P"&amp;$A12))/1000000),0),IF($A$2="PREMIUM",IFERROR(IF($X$1="ABS",(100*RTD("tos.rtd",,"VOLUME","."&amp;B$2&amp;B$1&amp;"C"&amp;$A12)*RTD("tos.rtd",,"LAST","."&amp;B$2&amp;B$1&amp;"C"&amp;$A12)+100*RTD("tos.rtd",,"VOLUME","."&amp;B$2&amp;B$1&amp;"P"&amp;$A12)*RTD("tos.rtd",,"LAST","."&amp;B$2&amp;B$1&amp;"P"&amp;$A12))/1000000,(100*RTD("tos.rtd",,"VOLUME","."&amp;B$2&amp;B$1&amp;"C"&amp;$A12)*RTD("tos.rtd",,"LAST","."&amp;B$2&amp;B$1&amp;"C"&amp;$A12)-100*RTD("tos.rtd",,"VOLUME","."&amp;B$2&amp;B$1&amp;"P"&amp;$A12)*RTD("tos.rtd",,"LAST","."&amp;B$2&amp;B$1&amp;"P"&amp;$A12))/1000000),0),IF($A$2="DEX",IFERROR(IF($X$1="ABS",(100*RTD("tos.rtd",,"OPEN_INT","."&amp;B$2&amp;B$1&amp;"C"&amp;$A12)*RTD("tos.rtd",,"DELTA","."&amp;B$2&amp;B$1&amp;"C"&amp;$A12)+100*RTD("tos.rtd",,"OPEN_INT","."&amp;B$2&amp;B$1&amp;"P"&amp;$A12)*RTD("tos.rtd",,"DELTA","."&amp;B$2&amp;B$1&amp;"P"&amp;$A12))/1000,(100*RTD("tos.rtd",,"OPEN_INT","."&amp;B$2&amp;B$1&amp;"C"&amp;$A12)*RTD("tos.rtd",,"DELTA","."&amp;B$2&amp;B$1&amp;"C"&amp;$A12)-100*RTD("tos.rtd",,"OPEN_INT","."&amp;B$2&amp;B$1&amp;"P"&amp;$A12)*RTD("tos.rtd",,"DELTA","."&amp;B$2&amp;B$1&amp;"P"&amp;$A12))/1000),0),IF($A$2="VEX",IFERROR(IF($X$1="ABS",($A$4*$A$4*RTD("tos.rtd",,"VOLUME","."&amp;B$2&amp;B$1&amp;"C"&amp;$A12)*RTD("tos.rtd",,"GAMMA","."&amp;B$2&amp;B$1&amp;"C"&amp;$A12)+$A$4*$A$4*RTD("tos.rtd",,"VOLUME","."&amp;B$2&amp;B$1&amp;"P"&amp;$A12)*RTD("tos.rtd",,"GAMMA","."&amp;B$2&amp;B$1&amp;"P"&amp;$A12))/1000000,($A$4*$A$4*RTD("tos.rtd",,"VOLUME","."&amp;B$2&amp;B$1&amp;"C"&amp;$A12)*RTD("tos.rtd",,"GAMMA","."&amp;B$2&amp;B$1&amp;"C"&amp;$A12)-$A$4*$A$4*RTD("tos.rtd",,"VOLUME","."&amp;B$2&amp;B$1&amp;"P"&amp;$A12)*RTD("tos.rtd",,"GAMMA","."&amp;B$2&amp;B$1&amp;"P"&amp;$A12))/1000000),0),IF($A$2="GEX",IFERROR(IF($X$1="ABS",($A$4*$A$4*RTD("tos.rtd",,"OPEN_INT","."&amp;B$2&amp;B$1&amp;"C"&amp;$A12)*RTD("tos.rtd",,"GAMMA","."&amp;B$2&amp;B$1&amp;"C"&amp;$A12)+$A$4*$A$4*RTD("tos.rtd",,"OPEN_INT","."&amp;B$2&amp;B$1&amp;"P"&amp;$A12)*RTD("tos.rtd",,"GAMMA","."&amp;B$2&amp;B$1&amp;"P"&amp;$A12))/1000000,($A$4*$A$4*RTD("tos.rtd",,"OPEN_INT","."&amp;B$2&amp;B$1&amp;"C"&amp;$A12)*RTD("tos.rtd",,"GAMMA","."&amp;B$2&amp;B$1&amp;"C"&amp;$A12)-$A$4*$A$4*RTD("tos.rtd",,"OPEN_INT","."&amp;B$2&amp;B$1&amp;"P"&amp;$A12)*RTD("tos.rtd",,"GAMMA","."&amp;B$2&amp;B$1&amp;"P"&amp;$A12))/1000000),0),IF($A$2="SKEW",IFERROR(VALUE(IF(RTD("tos.rtd",,"IMPL_VOL","."&amp;B$2&amp;B$1&amp;"P"&amp;$A12)="N/A",0,RTD("tos.rtd",,"IMPL_VOL","."&amp;B$2&amp;B$1&amp;"P"&amp;$A12))),0)-IFERROR(VALUE(IF(RTD("tos.rtd",,"IMPL_VOL","."&amp;B$2&amp;B$1&amp;"C"&amp;$A12)="N/A",0,RTD("tos.rtd",,"IMPL_VOL","."&amp;B$2&amp;B$1&amp;"C"&amp;$A12))),0),IF($A$2="MAXPAIN",IF($A$4&gt;$A12,($A$4-$A12)*IF(RTD("tos.rtd",,"OPEN_INT","."&amp;B$2&amp;B$1&amp;"C"&amp;$A12)="N/A",0,RTD("tos.rtd",,"OPEN_INT","."&amp;B$2&amp;B$1&amp;"C"&amp;$A12)),0)+IF($A$4&lt;$A12,($A$5-$A$4)*IF(RTD("tos.rtd",,"OPEN_INT","."&amp;B$2&amp;B$1&amp;"P"&amp;$A12)="N/A",0,RTD("tos.rtd",,"OPEN_INT","."&amp;B$2&amp;B$1&amp;"P"&amp;$A12)),0),IF($X$1="ABS",IF(RTD("tos.rtd",,$A$2,"."&amp;B$2&amp;B$1&amp;"C"&amp;$A12)="N/A",0,RTD("tos.rtd",,$A$2,"."&amp;B$2&amp;B$1&amp;"C"&amp;$A12))+IF(RTD("tos.rtd",,$A$2,"."&amp;B$2&amp;B$1&amp;"P"&amp;$A12)="N/A",0,RTD("tos.rtd",,$A$2,"."&amp;B$2&amp;B$1&amp;"P"&amp;$A12)),IF(RTD("tos.rtd",,$A$2,"."&amp;B$2&amp;B$1&amp;"C"&amp;$A12)="N/A",0,RTD("tos.rtd",,$A$2,"."&amp;B$2&amp;B$1&amp;"C"&amp;$A12))-IF(RTD("tos.rtd",,$A$2,"."&amp;B$2&amp;B$1&amp;"P"&amp;$A12)="N/A",0,RTD("tos.rtd",,$A$2,"."&amp;B$2&amp;B$1&amp;"P"&amp;$A12))))))))))</f>
        <v>0</v>
      </c>
      <c r="C12" s="14">
        <f ca="1">IF($A$2="PREMIUM_OI",IFERROR(IF($X$1="ABS",(100*RTD("tos.rtd",,"OPEN_INT","."&amp;C$2&amp;C$1&amp;"C"&amp;$A12)*RTD("tos.rtd",,"LAST","."&amp;C$2&amp;C$1&amp;"C"&amp;$A12)+100*RTD("tos.rtd",,"OPEN_INT","."&amp;C$2&amp;C$1&amp;"P"&amp;$A12)*RTD("tos.rtd",,"LAST","."&amp;C$2&amp;C$1&amp;"P"&amp;$A12))/1000000,(100*RTD("tos.rtd",,"OPEN_INT","."&amp;C$2&amp;C$1&amp;"C"&amp;$A12)*RTD("tos.rtd",,"LAST","."&amp;C$2&amp;C$1&amp;"C"&amp;$A12)-100*RTD("tos.rtd",,"OPEN_INT","."&amp;C$2&amp;C$1&amp;"P"&amp;$A12)*RTD("tos.rtd",,"LAST","."&amp;C$2&amp;C$1&amp;"P"&amp;$A12))/1000000),0),IF($A$2="PREMIUM",IFERROR(IF($X$1="ABS",(100*RTD("tos.rtd",,"VOLUME","."&amp;C$2&amp;C$1&amp;"C"&amp;$A12)*RTD("tos.rtd",,"LAST","."&amp;C$2&amp;C$1&amp;"C"&amp;$A12)+100*RTD("tos.rtd",,"VOLUME","."&amp;C$2&amp;C$1&amp;"P"&amp;$A12)*RTD("tos.rtd",,"LAST","."&amp;C$2&amp;C$1&amp;"P"&amp;$A12))/1000000,(100*RTD("tos.rtd",,"VOLUME","."&amp;C$2&amp;C$1&amp;"C"&amp;$A12)*RTD("tos.rtd",,"LAST","."&amp;C$2&amp;C$1&amp;"C"&amp;$A12)-100*RTD("tos.rtd",,"VOLUME","."&amp;C$2&amp;C$1&amp;"P"&amp;$A12)*RTD("tos.rtd",,"LAST","."&amp;C$2&amp;C$1&amp;"P"&amp;$A12))/1000000),0),IF($A$2="DEX",IFERROR(IF($X$1="ABS",(100*RTD("tos.rtd",,"OPEN_INT","."&amp;C$2&amp;C$1&amp;"C"&amp;$A12)*RTD("tos.rtd",,"DELTA","."&amp;C$2&amp;C$1&amp;"C"&amp;$A12)+100*RTD("tos.rtd",,"OPEN_INT","."&amp;C$2&amp;C$1&amp;"P"&amp;$A12)*RTD("tos.rtd",,"DELTA","."&amp;C$2&amp;C$1&amp;"P"&amp;$A12))/1000,(100*RTD("tos.rtd",,"OPEN_INT","."&amp;C$2&amp;C$1&amp;"C"&amp;$A12)*RTD("tos.rtd",,"DELTA","."&amp;C$2&amp;C$1&amp;"C"&amp;$A12)-100*RTD("tos.rtd",,"OPEN_INT","."&amp;C$2&amp;C$1&amp;"P"&amp;$A12)*RTD("tos.rtd",,"DELTA","."&amp;C$2&amp;C$1&amp;"P"&amp;$A12))/1000),0),IF($A$2="VEX",IFERROR(IF($X$1="ABS",($A$4*$A$4*RTD("tos.rtd",,"VOLUME","."&amp;C$2&amp;C$1&amp;"C"&amp;$A12)*RTD("tos.rtd",,"GAMMA","."&amp;C$2&amp;C$1&amp;"C"&amp;$A12)+$A$4*$A$4*RTD("tos.rtd",,"VOLUME","."&amp;C$2&amp;C$1&amp;"P"&amp;$A12)*RTD("tos.rtd",,"GAMMA","."&amp;C$2&amp;C$1&amp;"P"&amp;$A12))/1000000,($A$4*$A$4*RTD("tos.rtd",,"VOLUME","."&amp;C$2&amp;C$1&amp;"C"&amp;$A12)*RTD("tos.rtd",,"GAMMA","."&amp;C$2&amp;C$1&amp;"C"&amp;$A12)-$A$4*$A$4*RTD("tos.rtd",,"VOLUME","."&amp;C$2&amp;C$1&amp;"P"&amp;$A12)*RTD("tos.rtd",,"GAMMA","."&amp;C$2&amp;C$1&amp;"P"&amp;$A12))/1000000),0),IF($A$2="GEX",IFERROR(IF($X$1="ABS",($A$4*$A$4*RTD("tos.rtd",,"OPEN_INT","."&amp;C$2&amp;C$1&amp;"C"&amp;$A12)*RTD("tos.rtd",,"GAMMA","."&amp;C$2&amp;C$1&amp;"C"&amp;$A12)+$A$4*$A$4*RTD("tos.rtd",,"OPEN_INT","."&amp;C$2&amp;C$1&amp;"P"&amp;$A12)*RTD("tos.rtd",,"GAMMA","."&amp;C$2&amp;C$1&amp;"P"&amp;$A12))/1000000,($A$4*$A$4*RTD("tos.rtd",,"OPEN_INT","."&amp;C$2&amp;C$1&amp;"C"&amp;$A12)*RTD("tos.rtd",,"GAMMA","."&amp;C$2&amp;C$1&amp;"C"&amp;$A12)-$A$4*$A$4*RTD("tos.rtd",,"OPEN_INT","."&amp;C$2&amp;C$1&amp;"P"&amp;$A12)*RTD("tos.rtd",,"GAMMA","."&amp;C$2&amp;C$1&amp;"P"&amp;$A12))/1000000),0),IF($A$2="SKEW",IFERROR(VALUE(IF(RTD("tos.rtd",,"IMPL_VOL","."&amp;C$2&amp;C$1&amp;"P"&amp;$A12)="N/A",0,RTD("tos.rtd",,"IMPL_VOL","."&amp;C$2&amp;C$1&amp;"P"&amp;$A12))),0)-IFERROR(VALUE(IF(RTD("tos.rtd",,"IMPL_VOL","."&amp;C$2&amp;C$1&amp;"C"&amp;$A12)="N/A",0,RTD("tos.rtd",,"IMPL_VOL","."&amp;C$2&amp;C$1&amp;"C"&amp;$A12))),0),IF($A$2="MAXPAIN",IF($A$4&gt;$A12,($A$4-$A12)*IF(RTD("tos.rtd",,"OPEN_INT","."&amp;C$2&amp;C$1&amp;"C"&amp;$A12)="N/A",0,RTD("tos.rtd",,"OPEN_INT","."&amp;C$2&amp;C$1&amp;"C"&amp;$A12)),0)+IF($A$4&lt;$A12,($A$5-$A$4)*IF(RTD("tos.rtd",,"OPEN_INT","."&amp;C$2&amp;C$1&amp;"P"&amp;$A12)="N/A",0,RTD("tos.rtd",,"OPEN_INT","."&amp;C$2&amp;C$1&amp;"P"&amp;$A12)),0),IF($X$1="ABS",IF(RTD("tos.rtd",,$A$2,"."&amp;C$2&amp;C$1&amp;"C"&amp;$A12)="N/A",0,RTD("tos.rtd",,$A$2,"."&amp;C$2&amp;C$1&amp;"C"&amp;$A12))+IF(RTD("tos.rtd",,$A$2,"."&amp;C$2&amp;C$1&amp;"P"&amp;$A12)="N/A",0,RTD("tos.rtd",,$A$2,"."&amp;C$2&amp;C$1&amp;"P"&amp;$A12)),IF(RTD("tos.rtd",,$A$2,"."&amp;C$2&amp;C$1&amp;"C"&amp;$A12)="N/A",0,RTD("tos.rtd",,$A$2,"."&amp;C$2&amp;C$1&amp;"C"&amp;$A12))-IF(RTD("tos.rtd",,$A$2,"."&amp;C$2&amp;C$1&amp;"P"&amp;$A12)="N/A",0,RTD("tos.rtd",,$A$2,"."&amp;C$2&amp;C$1&amp;"P"&amp;$A12))))))))))</f>
        <v>0</v>
      </c>
      <c r="D12" s="12">
        <f ca="1">IF($A$2="PREMIUM_OI",IFERROR(IF($X$1="ABS",(100*RTD("tos.rtd",,"OPEN_INT","."&amp;D$2&amp;D$1&amp;"C"&amp;$A12)*RTD("tos.rtd",,"LAST","."&amp;D$2&amp;D$1&amp;"C"&amp;$A12)+100*RTD("tos.rtd",,"OPEN_INT","."&amp;D$2&amp;D$1&amp;"P"&amp;$A12)*RTD("tos.rtd",,"LAST","."&amp;D$2&amp;D$1&amp;"P"&amp;$A12))/1000000,(100*RTD("tos.rtd",,"OPEN_INT","."&amp;D$2&amp;D$1&amp;"C"&amp;$A12)*RTD("tos.rtd",,"LAST","."&amp;D$2&amp;D$1&amp;"C"&amp;$A12)-100*RTD("tos.rtd",,"OPEN_INT","."&amp;D$2&amp;D$1&amp;"P"&amp;$A12)*RTD("tos.rtd",,"LAST","."&amp;D$2&amp;D$1&amp;"P"&amp;$A12))/1000000),0),IF($A$2="PREMIUM",IFERROR(IF($X$1="ABS",(100*RTD("tos.rtd",,"VOLUME","."&amp;D$2&amp;D$1&amp;"C"&amp;$A12)*RTD("tos.rtd",,"LAST","."&amp;D$2&amp;D$1&amp;"C"&amp;$A12)+100*RTD("tos.rtd",,"VOLUME","."&amp;D$2&amp;D$1&amp;"P"&amp;$A12)*RTD("tos.rtd",,"LAST","."&amp;D$2&amp;D$1&amp;"P"&amp;$A12))/1000000,(100*RTD("tos.rtd",,"VOLUME","."&amp;D$2&amp;D$1&amp;"C"&amp;$A12)*RTD("tos.rtd",,"LAST","."&amp;D$2&amp;D$1&amp;"C"&amp;$A12)-100*RTD("tos.rtd",,"VOLUME","."&amp;D$2&amp;D$1&amp;"P"&amp;$A12)*RTD("tos.rtd",,"LAST","."&amp;D$2&amp;D$1&amp;"P"&amp;$A12))/1000000),0),IF($A$2="DEX",IFERROR(IF($X$1="ABS",(100*RTD("tos.rtd",,"OPEN_INT","."&amp;D$2&amp;D$1&amp;"C"&amp;$A12)*RTD("tos.rtd",,"DELTA","."&amp;D$2&amp;D$1&amp;"C"&amp;$A12)+100*RTD("tos.rtd",,"OPEN_INT","."&amp;D$2&amp;D$1&amp;"P"&amp;$A12)*RTD("tos.rtd",,"DELTA","."&amp;D$2&amp;D$1&amp;"P"&amp;$A12))/1000,(100*RTD("tos.rtd",,"OPEN_INT","."&amp;D$2&amp;D$1&amp;"C"&amp;$A12)*RTD("tos.rtd",,"DELTA","."&amp;D$2&amp;D$1&amp;"C"&amp;$A12)-100*RTD("tos.rtd",,"OPEN_INT","."&amp;D$2&amp;D$1&amp;"P"&amp;$A12)*RTD("tos.rtd",,"DELTA","."&amp;D$2&amp;D$1&amp;"P"&amp;$A12))/1000),0),IF($A$2="VEX",IFERROR(IF($X$1="ABS",($A$4*$A$4*RTD("tos.rtd",,"VOLUME","."&amp;D$2&amp;D$1&amp;"C"&amp;$A12)*RTD("tos.rtd",,"GAMMA","."&amp;D$2&amp;D$1&amp;"C"&amp;$A12)+$A$4*$A$4*RTD("tos.rtd",,"VOLUME","."&amp;D$2&amp;D$1&amp;"P"&amp;$A12)*RTD("tos.rtd",,"GAMMA","."&amp;D$2&amp;D$1&amp;"P"&amp;$A12))/1000000,($A$4*$A$4*RTD("tos.rtd",,"VOLUME","."&amp;D$2&amp;D$1&amp;"C"&amp;$A12)*RTD("tos.rtd",,"GAMMA","."&amp;D$2&amp;D$1&amp;"C"&amp;$A12)-$A$4*$A$4*RTD("tos.rtd",,"VOLUME","."&amp;D$2&amp;D$1&amp;"P"&amp;$A12)*RTD("tos.rtd",,"GAMMA","."&amp;D$2&amp;D$1&amp;"P"&amp;$A12))/1000000),0),IF($A$2="GEX",IFERROR(IF($X$1="ABS",($A$4*$A$4*RTD("tos.rtd",,"OPEN_INT","."&amp;D$2&amp;D$1&amp;"C"&amp;$A12)*RTD("tos.rtd",,"GAMMA","."&amp;D$2&amp;D$1&amp;"C"&amp;$A12)+$A$4*$A$4*RTD("tos.rtd",,"OPEN_INT","."&amp;D$2&amp;D$1&amp;"P"&amp;$A12)*RTD("tos.rtd",,"GAMMA","."&amp;D$2&amp;D$1&amp;"P"&amp;$A12))/1000000,($A$4*$A$4*RTD("tos.rtd",,"OPEN_INT","."&amp;D$2&amp;D$1&amp;"C"&amp;$A12)*RTD("tos.rtd",,"GAMMA","."&amp;D$2&amp;D$1&amp;"C"&amp;$A12)-$A$4*$A$4*RTD("tos.rtd",,"OPEN_INT","."&amp;D$2&amp;D$1&amp;"P"&amp;$A12)*RTD("tos.rtd",,"GAMMA","."&amp;D$2&amp;D$1&amp;"P"&amp;$A12))/1000000),0),IF($A$2="SKEW",IFERROR(VALUE(IF(RTD("tos.rtd",,"IMPL_VOL","."&amp;D$2&amp;D$1&amp;"P"&amp;$A12)="N/A",0,RTD("tos.rtd",,"IMPL_VOL","."&amp;D$2&amp;D$1&amp;"P"&amp;$A12))),0)-IFERROR(VALUE(IF(RTD("tos.rtd",,"IMPL_VOL","."&amp;D$2&amp;D$1&amp;"C"&amp;$A12)="N/A",0,RTD("tos.rtd",,"IMPL_VOL","."&amp;D$2&amp;D$1&amp;"C"&amp;$A12))),0),IF($A$2="MAXPAIN",IF($A$4&gt;$A12,($A$4-$A12)*IF(RTD("tos.rtd",,"OPEN_INT","."&amp;D$2&amp;D$1&amp;"C"&amp;$A12)="N/A",0,RTD("tos.rtd",,"OPEN_INT","."&amp;D$2&amp;D$1&amp;"C"&amp;$A12)),0)+IF($A$4&lt;$A12,($A$5-$A$4)*IF(RTD("tos.rtd",,"OPEN_INT","."&amp;D$2&amp;D$1&amp;"P"&amp;$A12)="N/A",0,RTD("tos.rtd",,"OPEN_INT","."&amp;D$2&amp;D$1&amp;"P"&amp;$A12)),0),IF($X$1="ABS",IF(RTD("tos.rtd",,$A$2,"."&amp;D$2&amp;D$1&amp;"C"&amp;$A12)="N/A",0,RTD("tos.rtd",,$A$2,"."&amp;D$2&amp;D$1&amp;"C"&amp;$A12))+IF(RTD("tos.rtd",,$A$2,"."&amp;D$2&amp;D$1&amp;"P"&amp;$A12)="N/A",0,RTD("tos.rtd",,$A$2,"."&amp;D$2&amp;D$1&amp;"P"&amp;$A12)),IF(RTD("tos.rtd",,$A$2,"."&amp;D$2&amp;D$1&amp;"C"&amp;$A12)="N/A",0,RTD("tos.rtd",,$A$2,"."&amp;D$2&amp;D$1&amp;"C"&amp;$A12))-IF(RTD("tos.rtd",,$A$2,"."&amp;D$2&amp;D$1&amp;"P"&amp;$A12)="N/A",0,RTD("tos.rtd",,$A$2,"."&amp;D$2&amp;D$1&amp;"P"&amp;$A12))))))))))</f>
        <v>0</v>
      </c>
      <c r="E12" s="12">
        <f ca="1">IF($A$2="PREMIUM_OI",IFERROR(IF($X$1="ABS",(100*RTD("tos.rtd",,"OPEN_INT","."&amp;E$2&amp;E$1&amp;"C"&amp;$A12)*RTD("tos.rtd",,"LAST","."&amp;E$2&amp;E$1&amp;"C"&amp;$A12)+100*RTD("tos.rtd",,"OPEN_INT","."&amp;E$2&amp;E$1&amp;"P"&amp;$A12)*RTD("tos.rtd",,"LAST","."&amp;E$2&amp;E$1&amp;"P"&amp;$A12))/1000000,(100*RTD("tos.rtd",,"OPEN_INT","."&amp;E$2&amp;E$1&amp;"C"&amp;$A12)*RTD("tos.rtd",,"LAST","."&amp;E$2&amp;E$1&amp;"C"&amp;$A12)-100*RTD("tos.rtd",,"OPEN_INT","."&amp;E$2&amp;E$1&amp;"P"&amp;$A12)*RTD("tos.rtd",,"LAST","."&amp;E$2&amp;E$1&amp;"P"&amp;$A12))/1000000),0),IF($A$2="PREMIUM",IFERROR(IF($X$1="ABS",(100*RTD("tos.rtd",,"VOLUME","."&amp;E$2&amp;E$1&amp;"C"&amp;$A12)*RTD("tos.rtd",,"LAST","."&amp;E$2&amp;E$1&amp;"C"&amp;$A12)+100*RTD("tos.rtd",,"VOLUME","."&amp;E$2&amp;E$1&amp;"P"&amp;$A12)*RTD("tos.rtd",,"LAST","."&amp;E$2&amp;E$1&amp;"P"&amp;$A12))/1000000,(100*RTD("tos.rtd",,"VOLUME","."&amp;E$2&amp;E$1&amp;"C"&amp;$A12)*RTD("tos.rtd",,"LAST","."&amp;E$2&amp;E$1&amp;"C"&amp;$A12)-100*RTD("tos.rtd",,"VOLUME","."&amp;E$2&amp;E$1&amp;"P"&amp;$A12)*RTD("tos.rtd",,"LAST","."&amp;E$2&amp;E$1&amp;"P"&amp;$A12))/1000000),0),IF($A$2="DEX",IFERROR(IF($X$1="ABS",(100*RTD("tos.rtd",,"OPEN_INT","."&amp;E$2&amp;E$1&amp;"C"&amp;$A12)*RTD("tos.rtd",,"DELTA","."&amp;E$2&amp;E$1&amp;"C"&amp;$A12)+100*RTD("tos.rtd",,"OPEN_INT","."&amp;E$2&amp;E$1&amp;"P"&amp;$A12)*RTD("tos.rtd",,"DELTA","."&amp;E$2&amp;E$1&amp;"P"&amp;$A12))/1000,(100*RTD("tos.rtd",,"OPEN_INT","."&amp;E$2&amp;E$1&amp;"C"&amp;$A12)*RTD("tos.rtd",,"DELTA","."&amp;E$2&amp;E$1&amp;"C"&amp;$A12)-100*RTD("tos.rtd",,"OPEN_INT","."&amp;E$2&amp;E$1&amp;"P"&amp;$A12)*RTD("tos.rtd",,"DELTA","."&amp;E$2&amp;E$1&amp;"P"&amp;$A12))/1000),0),IF($A$2="VEX",IFERROR(IF($X$1="ABS",($A$4*$A$4*RTD("tos.rtd",,"VOLUME","."&amp;E$2&amp;E$1&amp;"C"&amp;$A12)*RTD("tos.rtd",,"GAMMA","."&amp;E$2&amp;E$1&amp;"C"&amp;$A12)+$A$4*$A$4*RTD("tos.rtd",,"VOLUME","."&amp;E$2&amp;E$1&amp;"P"&amp;$A12)*RTD("tos.rtd",,"GAMMA","."&amp;E$2&amp;E$1&amp;"P"&amp;$A12))/1000000,($A$4*$A$4*RTD("tos.rtd",,"VOLUME","."&amp;E$2&amp;E$1&amp;"C"&amp;$A12)*RTD("tos.rtd",,"GAMMA","."&amp;E$2&amp;E$1&amp;"C"&amp;$A12)-$A$4*$A$4*RTD("tos.rtd",,"VOLUME","."&amp;E$2&amp;E$1&amp;"P"&amp;$A12)*RTD("tos.rtd",,"GAMMA","."&amp;E$2&amp;E$1&amp;"P"&amp;$A12))/1000000),0),IF($A$2="GEX",IFERROR(IF($X$1="ABS",($A$4*$A$4*RTD("tos.rtd",,"OPEN_INT","."&amp;E$2&amp;E$1&amp;"C"&amp;$A12)*RTD("tos.rtd",,"GAMMA","."&amp;E$2&amp;E$1&amp;"C"&amp;$A12)+$A$4*$A$4*RTD("tos.rtd",,"OPEN_INT","."&amp;E$2&amp;E$1&amp;"P"&amp;$A12)*RTD("tos.rtd",,"GAMMA","."&amp;E$2&amp;E$1&amp;"P"&amp;$A12))/1000000,($A$4*$A$4*RTD("tos.rtd",,"OPEN_INT","."&amp;E$2&amp;E$1&amp;"C"&amp;$A12)*RTD("tos.rtd",,"GAMMA","."&amp;E$2&amp;E$1&amp;"C"&amp;$A12)-$A$4*$A$4*RTD("tos.rtd",,"OPEN_INT","."&amp;E$2&amp;E$1&amp;"P"&amp;$A12)*RTD("tos.rtd",,"GAMMA","."&amp;E$2&amp;E$1&amp;"P"&amp;$A12))/1000000),0),IF($A$2="SKEW",IFERROR(VALUE(IF(RTD("tos.rtd",,"IMPL_VOL","."&amp;E$2&amp;E$1&amp;"P"&amp;$A12)="N/A",0,RTD("tos.rtd",,"IMPL_VOL","."&amp;E$2&amp;E$1&amp;"P"&amp;$A12))),0)-IFERROR(VALUE(IF(RTD("tos.rtd",,"IMPL_VOL","."&amp;E$2&amp;E$1&amp;"C"&amp;$A12)="N/A",0,RTD("tos.rtd",,"IMPL_VOL","."&amp;E$2&amp;E$1&amp;"C"&amp;$A12))),0),IF($A$2="MAXPAIN",IF($A$4&gt;$A12,($A$4-$A12)*IF(RTD("tos.rtd",,"OPEN_INT","."&amp;E$2&amp;E$1&amp;"C"&amp;$A12)="N/A",0,RTD("tos.rtd",,"OPEN_INT","."&amp;E$2&amp;E$1&amp;"C"&amp;$A12)),0)+IF($A$4&lt;$A12,($A$5-$A$4)*IF(RTD("tos.rtd",,"OPEN_INT","."&amp;E$2&amp;E$1&amp;"P"&amp;$A12)="N/A",0,RTD("tos.rtd",,"OPEN_INT","."&amp;E$2&amp;E$1&amp;"P"&amp;$A12)),0),IF($X$1="ABS",IF(RTD("tos.rtd",,$A$2,"."&amp;E$2&amp;E$1&amp;"C"&amp;$A12)="N/A",0,RTD("tos.rtd",,$A$2,"."&amp;E$2&amp;E$1&amp;"C"&amp;$A12))+IF(RTD("tos.rtd",,$A$2,"."&amp;E$2&amp;E$1&amp;"P"&amp;$A12)="N/A",0,RTD("tos.rtd",,$A$2,"."&amp;E$2&amp;E$1&amp;"P"&amp;$A12)),IF(RTD("tos.rtd",,$A$2,"."&amp;E$2&amp;E$1&amp;"C"&amp;$A12)="N/A",0,RTD("tos.rtd",,$A$2,"."&amp;E$2&amp;E$1&amp;"C"&amp;$A12))-IF(RTD("tos.rtd",,$A$2,"."&amp;E$2&amp;E$1&amp;"P"&amp;$A12)="N/A",0,RTD("tos.rtd",,$A$2,"."&amp;E$2&amp;E$1&amp;"P"&amp;$A12))))))))))</f>
        <v>0</v>
      </c>
      <c r="F12" s="12">
        <f ca="1">IF($A$2="PREMIUM_OI",IFERROR(IF($X$1="ABS",(100*RTD("tos.rtd",,"OPEN_INT","."&amp;F$2&amp;F$1&amp;"C"&amp;$A12)*RTD("tos.rtd",,"LAST","."&amp;F$2&amp;F$1&amp;"C"&amp;$A12)+100*RTD("tos.rtd",,"OPEN_INT","."&amp;F$2&amp;F$1&amp;"P"&amp;$A12)*RTD("tos.rtd",,"LAST","."&amp;F$2&amp;F$1&amp;"P"&amp;$A12))/1000000,(100*RTD("tos.rtd",,"OPEN_INT","."&amp;F$2&amp;F$1&amp;"C"&amp;$A12)*RTD("tos.rtd",,"LAST","."&amp;F$2&amp;F$1&amp;"C"&amp;$A12)-100*RTD("tos.rtd",,"OPEN_INT","."&amp;F$2&amp;F$1&amp;"P"&amp;$A12)*RTD("tos.rtd",,"LAST","."&amp;F$2&amp;F$1&amp;"P"&amp;$A12))/1000000),0),IF($A$2="PREMIUM",IFERROR(IF($X$1="ABS",(100*RTD("tos.rtd",,"VOLUME","."&amp;F$2&amp;F$1&amp;"C"&amp;$A12)*RTD("tos.rtd",,"LAST","."&amp;F$2&amp;F$1&amp;"C"&amp;$A12)+100*RTD("tos.rtd",,"VOLUME","."&amp;F$2&amp;F$1&amp;"P"&amp;$A12)*RTD("tos.rtd",,"LAST","."&amp;F$2&amp;F$1&amp;"P"&amp;$A12))/1000000,(100*RTD("tos.rtd",,"VOLUME","."&amp;F$2&amp;F$1&amp;"C"&amp;$A12)*RTD("tos.rtd",,"LAST","."&amp;F$2&amp;F$1&amp;"C"&amp;$A12)-100*RTD("tos.rtd",,"VOLUME","."&amp;F$2&amp;F$1&amp;"P"&amp;$A12)*RTD("tos.rtd",,"LAST","."&amp;F$2&amp;F$1&amp;"P"&amp;$A12))/1000000),0),IF($A$2="DEX",IFERROR(IF($X$1="ABS",(100*RTD("tos.rtd",,"OPEN_INT","."&amp;F$2&amp;F$1&amp;"C"&amp;$A12)*RTD("tos.rtd",,"DELTA","."&amp;F$2&amp;F$1&amp;"C"&amp;$A12)+100*RTD("tos.rtd",,"OPEN_INT","."&amp;F$2&amp;F$1&amp;"P"&amp;$A12)*RTD("tos.rtd",,"DELTA","."&amp;F$2&amp;F$1&amp;"P"&amp;$A12))/1000,(100*RTD("tos.rtd",,"OPEN_INT","."&amp;F$2&amp;F$1&amp;"C"&amp;$A12)*RTD("tos.rtd",,"DELTA","."&amp;F$2&amp;F$1&amp;"C"&amp;$A12)-100*RTD("tos.rtd",,"OPEN_INT","."&amp;F$2&amp;F$1&amp;"P"&amp;$A12)*RTD("tos.rtd",,"DELTA","."&amp;F$2&amp;F$1&amp;"P"&amp;$A12))/1000),0),IF($A$2="VEX",IFERROR(IF($X$1="ABS",($A$4*$A$4*RTD("tos.rtd",,"VOLUME","."&amp;F$2&amp;F$1&amp;"C"&amp;$A12)*RTD("tos.rtd",,"GAMMA","."&amp;F$2&amp;F$1&amp;"C"&amp;$A12)+$A$4*$A$4*RTD("tos.rtd",,"VOLUME","."&amp;F$2&amp;F$1&amp;"P"&amp;$A12)*RTD("tos.rtd",,"GAMMA","."&amp;F$2&amp;F$1&amp;"P"&amp;$A12))/1000000,($A$4*$A$4*RTD("tos.rtd",,"VOLUME","."&amp;F$2&amp;F$1&amp;"C"&amp;$A12)*RTD("tos.rtd",,"GAMMA","."&amp;F$2&amp;F$1&amp;"C"&amp;$A12)-$A$4*$A$4*RTD("tos.rtd",,"VOLUME","."&amp;F$2&amp;F$1&amp;"P"&amp;$A12)*RTD("tos.rtd",,"GAMMA","."&amp;F$2&amp;F$1&amp;"P"&amp;$A12))/1000000),0),IF($A$2="GEX",IFERROR(IF($X$1="ABS",($A$4*$A$4*RTD("tos.rtd",,"OPEN_INT","."&amp;F$2&amp;F$1&amp;"C"&amp;$A12)*RTD("tos.rtd",,"GAMMA","."&amp;F$2&amp;F$1&amp;"C"&amp;$A12)+$A$4*$A$4*RTD("tos.rtd",,"OPEN_INT","."&amp;F$2&amp;F$1&amp;"P"&amp;$A12)*RTD("tos.rtd",,"GAMMA","."&amp;F$2&amp;F$1&amp;"P"&amp;$A12))/1000000,($A$4*$A$4*RTD("tos.rtd",,"OPEN_INT","."&amp;F$2&amp;F$1&amp;"C"&amp;$A12)*RTD("tos.rtd",,"GAMMA","."&amp;F$2&amp;F$1&amp;"C"&amp;$A12)-$A$4*$A$4*RTD("tos.rtd",,"OPEN_INT","."&amp;F$2&amp;F$1&amp;"P"&amp;$A12)*RTD("tos.rtd",,"GAMMA","."&amp;F$2&amp;F$1&amp;"P"&amp;$A12))/1000000),0),IF($A$2="SKEW",IFERROR(VALUE(IF(RTD("tos.rtd",,"IMPL_VOL","."&amp;F$2&amp;F$1&amp;"P"&amp;$A12)="N/A",0,RTD("tos.rtd",,"IMPL_VOL","."&amp;F$2&amp;F$1&amp;"P"&amp;$A12))),0)-IFERROR(VALUE(IF(RTD("tos.rtd",,"IMPL_VOL","."&amp;F$2&amp;F$1&amp;"C"&amp;$A12)="N/A",0,RTD("tos.rtd",,"IMPL_VOL","."&amp;F$2&amp;F$1&amp;"C"&amp;$A12))),0),IF($A$2="MAXPAIN",IF($A$4&gt;$A12,($A$4-$A12)*IF(RTD("tos.rtd",,"OPEN_INT","."&amp;F$2&amp;F$1&amp;"C"&amp;$A12)="N/A",0,RTD("tos.rtd",,"OPEN_INT","."&amp;F$2&amp;F$1&amp;"C"&amp;$A12)),0)+IF($A$4&lt;$A12,($A$5-$A$4)*IF(RTD("tos.rtd",,"OPEN_INT","."&amp;F$2&amp;F$1&amp;"P"&amp;$A12)="N/A",0,RTD("tos.rtd",,"OPEN_INT","."&amp;F$2&amp;F$1&amp;"P"&amp;$A12)),0),IF($X$1="ABS",IF(RTD("tos.rtd",,$A$2,"."&amp;F$2&amp;F$1&amp;"C"&amp;$A12)="N/A",0,RTD("tos.rtd",,$A$2,"."&amp;F$2&amp;F$1&amp;"C"&amp;$A12))+IF(RTD("tos.rtd",,$A$2,"."&amp;F$2&amp;F$1&amp;"P"&amp;$A12)="N/A",0,RTD("tos.rtd",,$A$2,"."&amp;F$2&amp;F$1&amp;"P"&amp;$A12)),IF(RTD("tos.rtd",,$A$2,"."&amp;F$2&amp;F$1&amp;"C"&amp;$A12)="N/A",0,RTD("tos.rtd",,$A$2,"."&amp;F$2&amp;F$1&amp;"C"&amp;$A12))-IF(RTD("tos.rtd",,$A$2,"."&amp;F$2&amp;F$1&amp;"P"&amp;$A12)="N/A",0,RTD("tos.rtd",,$A$2,"."&amp;F$2&amp;F$1&amp;"P"&amp;$A12))))))))))</f>
        <v>0</v>
      </c>
      <c r="G12" s="54">
        <f ca="1">IF($A$2="PREMIUM_OI",IFERROR(IF($X$1="ABS",(100*RTD("tos.rtd",,"OPEN_INT","."&amp;G$2&amp;G$1&amp;"C"&amp;$A12)*RTD("tos.rtd",,"LAST","."&amp;G$2&amp;G$1&amp;"C"&amp;$A12)+100*RTD("tos.rtd",,"OPEN_INT","."&amp;G$2&amp;G$1&amp;"P"&amp;$A12)*RTD("tos.rtd",,"LAST","."&amp;G$2&amp;G$1&amp;"P"&amp;$A12))/1000000,(100*RTD("tos.rtd",,"OPEN_INT","."&amp;G$2&amp;G$1&amp;"C"&amp;$A12)*RTD("tos.rtd",,"LAST","."&amp;G$2&amp;G$1&amp;"C"&amp;$A12)-100*RTD("tos.rtd",,"OPEN_INT","."&amp;G$2&amp;G$1&amp;"P"&amp;$A12)*RTD("tos.rtd",,"LAST","."&amp;G$2&amp;G$1&amp;"P"&amp;$A12))/1000000),0),IF($A$2="PREMIUM",IFERROR(IF($X$1="ABS",(100*RTD("tos.rtd",,"VOLUME","."&amp;G$2&amp;G$1&amp;"C"&amp;$A12)*RTD("tos.rtd",,"LAST","."&amp;G$2&amp;G$1&amp;"C"&amp;$A12)+100*RTD("tos.rtd",,"VOLUME","."&amp;G$2&amp;G$1&amp;"P"&amp;$A12)*RTD("tos.rtd",,"LAST","."&amp;G$2&amp;G$1&amp;"P"&amp;$A12))/1000000,(100*RTD("tos.rtd",,"VOLUME","."&amp;G$2&amp;G$1&amp;"C"&amp;$A12)*RTD("tos.rtd",,"LAST","."&amp;G$2&amp;G$1&amp;"C"&amp;$A12)-100*RTD("tos.rtd",,"VOLUME","."&amp;G$2&amp;G$1&amp;"P"&amp;$A12)*RTD("tos.rtd",,"LAST","."&amp;G$2&amp;G$1&amp;"P"&amp;$A12))/1000000),0),IF($A$2="DEX",IFERROR(IF($X$1="ABS",(100*RTD("tos.rtd",,"OPEN_INT","."&amp;G$2&amp;G$1&amp;"C"&amp;$A12)*RTD("tos.rtd",,"DELTA","."&amp;G$2&amp;G$1&amp;"C"&amp;$A12)+100*RTD("tos.rtd",,"OPEN_INT","."&amp;G$2&amp;G$1&amp;"P"&amp;$A12)*RTD("tos.rtd",,"DELTA","."&amp;G$2&amp;G$1&amp;"P"&amp;$A12))/1000,(100*RTD("tos.rtd",,"OPEN_INT","."&amp;G$2&amp;G$1&amp;"C"&amp;$A12)*RTD("tos.rtd",,"DELTA","."&amp;G$2&amp;G$1&amp;"C"&amp;$A12)-100*RTD("tos.rtd",,"OPEN_INT","."&amp;G$2&amp;G$1&amp;"P"&amp;$A12)*RTD("tos.rtd",,"DELTA","."&amp;G$2&amp;G$1&amp;"P"&amp;$A12))/1000),0),IF($A$2="VEX",IFERROR(IF($X$1="ABS",($A$4*$A$4*RTD("tos.rtd",,"VOLUME","."&amp;G$2&amp;G$1&amp;"C"&amp;$A12)*RTD("tos.rtd",,"GAMMA","."&amp;G$2&amp;G$1&amp;"C"&amp;$A12)+$A$4*$A$4*RTD("tos.rtd",,"VOLUME","."&amp;G$2&amp;G$1&amp;"P"&amp;$A12)*RTD("tos.rtd",,"GAMMA","."&amp;G$2&amp;G$1&amp;"P"&amp;$A12))/1000000,($A$4*$A$4*RTD("tos.rtd",,"VOLUME","."&amp;G$2&amp;G$1&amp;"C"&amp;$A12)*RTD("tos.rtd",,"GAMMA","."&amp;G$2&amp;G$1&amp;"C"&amp;$A12)-$A$4*$A$4*RTD("tos.rtd",,"VOLUME","."&amp;G$2&amp;G$1&amp;"P"&amp;$A12)*RTD("tos.rtd",,"GAMMA","."&amp;G$2&amp;G$1&amp;"P"&amp;$A12))/1000000),0),IF($A$2="GEX",IFERROR(IF($X$1="ABS",($A$4*$A$4*RTD("tos.rtd",,"OPEN_INT","."&amp;G$2&amp;G$1&amp;"C"&amp;$A12)*RTD("tos.rtd",,"GAMMA","."&amp;G$2&amp;G$1&amp;"C"&amp;$A12)+$A$4*$A$4*RTD("tos.rtd",,"OPEN_INT","."&amp;G$2&amp;G$1&amp;"P"&amp;$A12)*RTD("tos.rtd",,"GAMMA","."&amp;G$2&amp;G$1&amp;"P"&amp;$A12))/1000000,($A$4*$A$4*RTD("tos.rtd",,"OPEN_INT","."&amp;G$2&amp;G$1&amp;"C"&amp;$A12)*RTD("tos.rtd",,"GAMMA","."&amp;G$2&amp;G$1&amp;"C"&amp;$A12)-$A$4*$A$4*RTD("tos.rtd",,"OPEN_INT","."&amp;G$2&amp;G$1&amp;"P"&amp;$A12)*RTD("tos.rtd",,"GAMMA","."&amp;G$2&amp;G$1&amp;"P"&amp;$A12))/1000000),0),IF($A$2="SKEW",IFERROR(VALUE(IF(RTD("tos.rtd",,"IMPL_VOL","."&amp;G$2&amp;G$1&amp;"P"&amp;$A12)="N/A",0,RTD("tos.rtd",,"IMPL_VOL","."&amp;G$2&amp;G$1&amp;"P"&amp;$A12))),0)-IFERROR(VALUE(IF(RTD("tos.rtd",,"IMPL_VOL","."&amp;G$2&amp;G$1&amp;"C"&amp;$A12)="N/A",0,RTD("tos.rtd",,"IMPL_VOL","."&amp;G$2&amp;G$1&amp;"C"&amp;$A12))),0),IF($A$2="MAXPAIN",IF($A$4&gt;$A12,($A$4-$A12)*IF(RTD("tos.rtd",,"OPEN_INT","."&amp;G$2&amp;G$1&amp;"C"&amp;$A12)="N/A",0,RTD("tos.rtd",,"OPEN_INT","."&amp;G$2&amp;G$1&amp;"C"&amp;$A12)),0)+IF($A$4&lt;$A12,($A$5-$A$4)*IF(RTD("tos.rtd",,"OPEN_INT","."&amp;G$2&amp;G$1&amp;"P"&amp;$A12)="N/A",0,RTD("tos.rtd",,"OPEN_INT","."&amp;G$2&amp;G$1&amp;"P"&amp;$A12)),0),IF($X$1="ABS",IF(RTD("tos.rtd",,$A$2,"."&amp;G$2&amp;G$1&amp;"C"&amp;$A12)="N/A",0,RTD("tos.rtd",,$A$2,"."&amp;G$2&amp;G$1&amp;"C"&amp;$A12))+IF(RTD("tos.rtd",,$A$2,"."&amp;G$2&amp;G$1&amp;"P"&amp;$A12)="N/A",0,RTD("tos.rtd",,$A$2,"."&amp;G$2&amp;G$1&amp;"P"&amp;$A12)),IF(RTD("tos.rtd",,$A$2,"."&amp;G$2&amp;G$1&amp;"C"&amp;$A12)="N/A",0,RTD("tos.rtd",,$A$2,"."&amp;G$2&amp;G$1&amp;"C"&amp;$A12))-IF(RTD("tos.rtd",,$A$2,"."&amp;G$2&amp;G$1&amp;"P"&amp;$A12)="N/A",0,RTD("tos.rtd",,$A$2,"."&amp;G$2&amp;G$1&amp;"P"&amp;$A12))))))))))</f>
        <v>0</v>
      </c>
      <c r="H12" s="14">
        <f ca="1">IF($A$2="PREMIUM_OI",IFERROR(IF($X$1="ABS",(100*RTD("tos.rtd",,"OPEN_INT","."&amp;H$2&amp;H$1&amp;"C"&amp;$A12)*RTD("tos.rtd",,"LAST","."&amp;H$2&amp;H$1&amp;"C"&amp;$A12)+100*RTD("tos.rtd",,"OPEN_INT","."&amp;H$2&amp;H$1&amp;"P"&amp;$A12)*RTD("tos.rtd",,"LAST","."&amp;H$2&amp;H$1&amp;"P"&amp;$A12))/1000000,(100*RTD("tos.rtd",,"OPEN_INT","."&amp;H$2&amp;H$1&amp;"C"&amp;$A12)*RTD("tos.rtd",,"LAST","."&amp;H$2&amp;H$1&amp;"C"&amp;$A12)-100*RTD("tos.rtd",,"OPEN_INT","."&amp;H$2&amp;H$1&amp;"P"&amp;$A12)*RTD("tos.rtd",,"LAST","."&amp;H$2&amp;H$1&amp;"P"&amp;$A12))/1000000),0),IF($A$2="PREMIUM",IFERROR(IF($X$1="ABS",(100*RTD("tos.rtd",,"VOLUME","."&amp;H$2&amp;H$1&amp;"C"&amp;$A12)*RTD("tos.rtd",,"LAST","."&amp;H$2&amp;H$1&amp;"C"&amp;$A12)+100*RTD("tos.rtd",,"VOLUME","."&amp;H$2&amp;H$1&amp;"P"&amp;$A12)*RTD("tos.rtd",,"LAST","."&amp;H$2&amp;H$1&amp;"P"&amp;$A12))/1000000,(100*RTD("tos.rtd",,"VOLUME","."&amp;H$2&amp;H$1&amp;"C"&amp;$A12)*RTD("tos.rtd",,"LAST","."&amp;H$2&amp;H$1&amp;"C"&amp;$A12)-100*RTD("tos.rtd",,"VOLUME","."&amp;H$2&amp;H$1&amp;"P"&amp;$A12)*RTD("tos.rtd",,"LAST","."&amp;H$2&amp;H$1&amp;"P"&amp;$A12))/1000000),0),IF($A$2="DEX",IFERROR(IF($X$1="ABS",(100*RTD("tos.rtd",,"OPEN_INT","."&amp;H$2&amp;H$1&amp;"C"&amp;$A12)*RTD("tos.rtd",,"DELTA","."&amp;H$2&amp;H$1&amp;"C"&amp;$A12)+100*RTD("tos.rtd",,"OPEN_INT","."&amp;H$2&amp;H$1&amp;"P"&amp;$A12)*RTD("tos.rtd",,"DELTA","."&amp;H$2&amp;H$1&amp;"P"&amp;$A12))/1000,(100*RTD("tos.rtd",,"OPEN_INT","."&amp;H$2&amp;H$1&amp;"C"&amp;$A12)*RTD("tos.rtd",,"DELTA","."&amp;H$2&amp;H$1&amp;"C"&amp;$A12)-100*RTD("tos.rtd",,"OPEN_INT","."&amp;H$2&amp;H$1&amp;"P"&amp;$A12)*RTD("tos.rtd",,"DELTA","."&amp;H$2&amp;H$1&amp;"P"&amp;$A12))/1000),0),IF($A$2="VEX",IFERROR(IF($X$1="ABS",($A$4*$A$4*RTD("tos.rtd",,"VOLUME","."&amp;H$2&amp;H$1&amp;"C"&amp;$A12)*RTD("tos.rtd",,"GAMMA","."&amp;H$2&amp;H$1&amp;"C"&amp;$A12)+$A$4*$A$4*RTD("tos.rtd",,"VOLUME","."&amp;H$2&amp;H$1&amp;"P"&amp;$A12)*RTD("tos.rtd",,"GAMMA","."&amp;H$2&amp;H$1&amp;"P"&amp;$A12))/1000000,($A$4*$A$4*RTD("tos.rtd",,"VOLUME","."&amp;H$2&amp;H$1&amp;"C"&amp;$A12)*RTD("tos.rtd",,"GAMMA","."&amp;H$2&amp;H$1&amp;"C"&amp;$A12)-$A$4*$A$4*RTD("tos.rtd",,"VOLUME","."&amp;H$2&amp;H$1&amp;"P"&amp;$A12)*RTD("tos.rtd",,"GAMMA","."&amp;H$2&amp;H$1&amp;"P"&amp;$A12))/1000000),0),IF($A$2="GEX",IFERROR(IF($X$1="ABS",($A$4*$A$4*RTD("tos.rtd",,"OPEN_INT","."&amp;H$2&amp;H$1&amp;"C"&amp;$A12)*RTD("tos.rtd",,"GAMMA","."&amp;H$2&amp;H$1&amp;"C"&amp;$A12)+$A$4*$A$4*RTD("tos.rtd",,"OPEN_INT","."&amp;H$2&amp;H$1&amp;"P"&amp;$A12)*RTD("tos.rtd",,"GAMMA","."&amp;H$2&amp;H$1&amp;"P"&amp;$A12))/1000000,($A$4*$A$4*RTD("tos.rtd",,"OPEN_INT","."&amp;H$2&amp;H$1&amp;"C"&amp;$A12)*RTD("tos.rtd",,"GAMMA","."&amp;H$2&amp;H$1&amp;"C"&amp;$A12)-$A$4*$A$4*RTD("tos.rtd",,"OPEN_INT","."&amp;H$2&amp;H$1&amp;"P"&amp;$A12)*RTD("tos.rtd",,"GAMMA","."&amp;H$2&amp;H$1&amp;"P"&amp;$A12))/1000000),0),IF($A$2="SKEW",IFERROR(VALUE(IF(RTD("tos.rtd",,"IMPL_VOL","."&amp;H$2&amp;H$1&amp;"P"&amp;$A12)="N/A",0,RTD("tos.rtd",,"IMPL_VOL","."&amp;H$2&amp;H$1&amp;"P"&amp;$A12))),0)-IFERROR(VALUE(IF(RTD("tos.rtd",,"IMPL_VOL","."&amp;H$2&amp;H$1&amp;"C"&amp;$A12)="N/A",0,RTD("tos.rtd",,"IMPL_VOL","."&amp;H$2&amp;H$1&amp;"C"&amp;$A12))),0),IF($A$2="MAXPAIN",IF($A$4&gt;$A12,($A$4-$A12)*IF(RTD("tos.rtd",,"OPEN_INT","."&amp;H$2&amp;H$1&amp;"C"&amp;$A12)="N/A",0,RTD("tos.rtd",,"OPEN_INT","."&amp;H$2&amp;H$1&amp;"C"&amp;$A12)),0)+IF($A$4&lt;$A12,($A$5-$A$4)*IF(RTD("tos.rtd",,"OPEN_INT","."&amp;H$2&amp;H$1&amp;"P"&amp;$A12)="N/A",0,RTD("tos.rtd",,"OPEN_INT","."&amp;H$2&amp;H$1&amp;"P"&amp;$A12)),0),IF($X$1="ABS",IF(RTD("tos.rtd",,$A$2,"."&amp;H$2&amp;H$1&amp;"C"&amp;$A12)="N/A",0,RTD("tos.rtd",,$A$2,"."&amp;H$2&amp;H$1&amp;"C"&amp;$A12))+IF(RTD("tos.rtd",,$A$2,"."&amp;H$2&amp;H$1&amp;"P"&amp;$A12)="N/A",0,RTD("tos.rtd",,$A$2,"."&amp;H$2&amp;H$1&amp;"P"&amp;$A12)),IF(RTD("tos.rtd",,$A$2,"."&amp;H$2&amp;H$1&amp;"C"&amp;$A12)="N/A",0,RTD("tos.rtd",,$A$2,"."&amp;H$2&amp;H$1&amp;"C"&amp;$A12))-IF(RTD("tos.rtd",,$A$2,"."&amp;H$2&amp;H$1&amp;"P"&amp;$A12)="N/A",0,RTD("tos.rtd",,$A$2,"."&amp;H$2&amp;H$1&amp;"P"&amp;$A12))))))))))</f>
        <v>0</v>
      </c>
      <c r="I12" s="12">
        <f ca="1">IF($A$2="PREMIUM_OI",IFERROR(IF($X$1="ABS",(100*RTD("tos.rtd",,"OPEN_INT","."&amp;I$2&amp;I$1&amp;"C"&amp;$A12)*RTD("tos.rtd",,"LAST","."&amp;I$2&amp;I$1&amp;"C"&amp;$A12)+100*RTD("tos.rtd",,"OPEN_INT","."&amp;I$2&amp;I$1&amp;"P"&amp;$A12)*RTD("tos.rtd",,"LAST","."&amp;I$2&amp;I$1&amp;"P"&amp;$A12))/1000000,(100*RTD("tos.rtd",,"OPEN_INT","."&amp;I$2&amp;I$1&amp;"C"&amp;$A12)*RTD("tos.rtd",,"LAST","."&amp;I$2&amp;I$1&amp;"C"&amp;$A12)-100*RTD("tos.rtd",,"OPEN_INT","."&amp;I$2&amp;I$1&amp;"P"&amp;$A12)*RTD("tos.rtd",,"LAST","."&amp;I$2&amp;I$1&amp;"P"&amp;$A12))/1000000),0),IF($A$2="PREMIUM",IFERROR(IF($X$1="ABS",(100*RTD("tos.rtd",,"VOLUME","."&amp;I$2&amp;I$1&amp;"C"&amp;$A12)*RTD("tos.rtd",,"LAST","."&amp;I$2&amp;I$1&amp;"C"&amp;$A12)+100*RTD("tos.rtd",,"VOLUME","."&amp;I$2&amp;I$1&amp;"P"&amp;$A12)*RTD("tos.rtd",,"LAST","."&amp;I$2&amp;I$1&amp;"P"&amp;$A12))/1000000,(100*RTD("tos.rtd",,"VOLUME","."&amp;I$2&amp;I$1&amp;"C"&amp;$A12)*RTD("tos.rtd",,"LAST","."&amp;I$2&amp;I$1&amp;"C"&amp;$A12)-100*RTD("tos.rtd",,"VOLUME","."&amp;I$2&amp;I$1&amp;"P"&amp;$A12)*RTD("tos.rtd",,"LAST","."&amp;I$2&amp;I$1&amp;"P"&amp;$A12))/1000000),0),IF($A$2="DEX",IFERROR(IF($X$1="ABS",(100*RTD("tos.rtd",,"OPEN_INT","."&amp;I$2&amp;I$1&amp;"C"&amp;$A12)*RTD("tos.rtd",,"DELTA","."&amp;I$2&amp;I$1&amp;"C"&amp;$A12)+100*RTD("tos.rtd",,"OPEN_INT","."&amp;I$2&amp;I$1&amp;"P"&amp;$A12)*RTD("tos.rtd",,"DELTA","."&amp;I$2&amp;I$1&amp;"P"&amp;$A12))/1000,(100*RTD("tos.rtd",,"OPEN_INT","."&amp;I$2&amp;I$1&amp;"C"&amp;$A12)*RTD("tos.rtd",,"DELTA","."&amp;I$2&amp;I$1&amp;"C"&amp;$A12)-100*RTD("tos.rtd",,"OPEN_INT","."&amp;I$2&amp;I$1&amp;"P"&amp;$A12)*RTD("tos.rtd",,"DELTA","."&amp;I$2&amp;I$1&amp;"P"&amp;$A12))/1000),0),IF($A$2="VEX",IFERROR(IF($X$1="ABS",($A$4*$A$4*RTD("tos.rtd",,"VOLUME","."&amp;I$2&amp;I$1&amp;"C"&amp;$A12)*RTD("tos.rtd",,"GAMMA","."&amp;I$2&amp;I$1&amp;"C"&amp;$A12)+$A$4*$A$4*RTD("tos.rtd",,"VOLUME","."&amp;I$2&amp;I$1&amp;"P"&amp;$A12)*RTD("tos.rtd",,"GAMMA","."&amp;I$2&amp;I$1&amp;"P"&amp;$A12))/1000000,($A$4*$A$4*RTD("tos.rtd",,"VOLUME","."&amp;I$2&amp;I$1&amp;"C"&amp;$A12)*RTD("tos.rtd",,"GAMMA","."&amp;I$2&amp;I$1&amp;"C"&amp;$A12)-$A$4*$A$4*RTD("tos.rtd",,"VOLUME","."&amp;I$2&amp;I$1&amp;"P"&amp;$A12)*RTD("tos.rtd",,"GAMMA","."&amp;I$2&amp;I$1&amp;"P"&amp;$A12))/1000000),0),IF($A$2="GEX",IFERROR(IF($X$1="ABS",($A$4*$A$4*RTD("tos.rtd",,"OPEN_INT","."&amp;I$2&amp;I$1&amp;"C"&amp;$A12)*RTD("tos.rtd",,"GAMMA","."&amp;I$2&amp;I$1&amp;"C"&amp;$A12)+$A$4*$A$4*RTD("tos.rtd",,"OPEN_INT","."&amp;I$2&amp;I$1&amp;"P"&amp;$A12)*RTD("tos.rtd",,"GAMMA","."&amp;I$2&amp;I$1&amp;"P"&amp;$A12))/1000000,($A$4*$A$4*RTD("tos.rtd",,"OPEN_INT","."&amp;I$2&amp;I$1&amp;"C"&amp;$A12)*RTD("tos.rtd",,"GAMMA","."&amp;I$2&amp;I$1&amp;"C"&amp;$A12)-$A$4*$A$4*RTD("tos.rtd",,"OPEN_INT","."&amp;I$2&amp;I$1&amp;"P"&amp;$A12)*RTD("tos.rtd",,"GAMMA","."&amp;I$2&amp;I$1&amp;"P"&amp;$A12))/1000000),0),IF($A$2="SKEW",IFERROR(VALUE(IF(RTD("tos.rtd",,"IMPL_VOL","."&amp;I$2&amp;I$1&amp;"P"&amp;$A12)="N/A",0,RTD("tos.rtd",,"IMPL_VOL","."&amp;I$2&amp;I$1&amp;"P"&amp;$A12))),0)-IFERROR(VALUE(IF(RTD("tos.rtd",,"IMPL_VOL","."&amp;I$2&amp;I$1&amp;"C"&amp;$A12)="N/A",0,RTD("tos.rtd",,"IMPL_VOL","."&amp;I$2&amp;I$1&amp;"C"&amp;$A12))),0),IF($A$2="MAXPAIN",IF($A$4&gt;$A12,($A$4-$A12)*IF(RTD("tos.rtd",,"OPEN_INT","."&amp;I$2&amp;I$1&amp;"C"&amp;$A12)="N/A",0,RTD("tos.rtd",,"OPEN_INT","."&amp;I$2&amp;I$1&amp;"C"&amp;$A12)),0)+IF($A$4&lt;$A12,($A$5-$A$4)*IF(RTD("tos.rtd",,"OPEN_INT","."&amp;I$2&amp;I$1&amp;"P"&amp;$A12)="N/A",0,RTD("tos.rtd",,"OPEN_INT","."&amp;I$2&amp;I$1&amp;"P"&amp;$A12)),0),IF($X$1="ABS",IF(RTD("tos.rtd",,$A$2,"."&amp;I$2&amp;I$1&amp;"C"&amp;$A12)="N/A",0,RTD("tos.rtd",,$A$2,"."&amp;I$2&amp;I$1&amp;"C"&amp;$A12))+IF(RTD("tos.rtd",,$A$2,"."&amp;I$2&amp;I$1&amp;"P"&amp;$A12)="N/A",0,RTD("tos.rtd",,$A$2,"."&amp;I$2&amp;I$1&amp;"P"&amp;$A12)),IF(RTD("tos.rtd",,$A$2,"."&amp;I$2&amp;I$1&amp;"C"&amp;$A12)="N/A",0,RTD("tos.rtd",,$A$2,"."&amp;I$2&amp;I$1&amp;"C"&amp;$A12))-IF(RTD("tos.rtd",,$A$2,"."&amp;I$2&amp;I$1&amp;"P"&amp;$A12)="N/A",0,RTD("tos.rtd",,$A$2,"."&amp;I$2&amp;I$1&amp;"P"&amp;$A12))))))))))</f>
        <v>0</v>
      </c>
      <c r="J12" s="12">
        <f ca="1">IF($A$2="PREMIUM_OI",IFERROR(IF($X$1="ABS",(100*RTD("tos.rtd",,"OPEN_INT","."&amp;J$2&amp;J$1&amp;"C"&amp;$A12)*RTD("tos.rtd",,"LAST","."&amp;J$2&amp;J$1&amp;"C"&amp;$A12)+100*RTD("tos.rtd",,"OPEN_INT","."&amp;J$2&amp;J$1&amp;"P"&amp;$A12)*RTD("tos.rtd",,"LAST","."&amp;J$2&amp;J$1&amp;"P"&amp;$A12))/1000000,(100*RTD("tos.rtd",,"OPEN_INT","."&amp;J$2&amp;J$1&amp;"C"&amp;$A12)*RTD("tos.rtd",,"LAST","."&amp;J$2&amp;J$1&amp;"C"&amp;$A12)-100*RTD("tos.rtd",,"OPEN_INT","."&amp;J$2&amp;J$1&amp;"P"&amp;$A12)*RTD("tos.rtd",,"LAST","."&amp;J$2&amp;J$1&amp;"P"&amp;$A12))/1000000),0),IF($A$2="PREMIUM",IFERROR(IF($X$1="ABS",(100*RTD("tos.rtd",,"VOLUME","."&amp;J$2&amp;J$1&amp;"C"&amp;$A12)*RTD("tos.rtd",,"LAST","."&amp;J$2&amp;J$1&amp;"C"&amp;$A12)+100*RTD("tos.rtd",,"VOLUME","."&amp;J$2&amp;J$1&amp;"P"&amp;$A12)*RTD("tos.rtd",,"LAST","."&amp;J$2&amp;J$1&amp;"P"&amp;$A12))/1000000,(100*RTD("tos.rtd",,"VOLUME","."&amp;J$2&amp;J$1&amp;"C"&amp;$A12)*RTD("tos.rtd",,"LAST","."&amp;J$2&amp;J$1&amp;"C"&amp;$A12)-100*RTD("tos.rtd",,"VOLUME","."&amp;J$2&amp;J$1&amp;"P"&amp;$A12)*RTD("tos.rtd",,"LAST","."&amp;J$2&amp;J$1&amp;"P"&amp;$A12))/1000000),0),IF($A$2="DEX",IFERROR(IF($X$1="ABS",(100*RTD("tos.rtd",,"OPEN_INT","."&amp;J$2&amp;J$1&amp;"C"&amp;$A12)*RTD("tos.rtd",,"DELTA","."&amp;J$2&amp;J$1&amp;"C"&amp;$A12)+100*RTD("tos.rtd",,"OPEN_INT","."&amp;J$2&amp;J$1&amp;"P"&amp;$A12)*RTD("tos.rtd",,"DELTA","."&amp;J$2&amp;J$1&amp;"P"&amp;$A12))/1000,(100*RTD("tos.rtd",,"OPEN_INT","."&amp;J$2&amp;J$1&amp;"C"&amp;$A12)*RTD("tos.rtd",,"DELTA","."&amp;J$2&amp;J$1&amp;"C"&amp;$A12)-100*RTD("tos.rtd",,"OPEN_INT","."&amp;J$2&amp;J$1&amp;"P"&amp;$A12)*RTD("tos.rtd",,"DELTA","."&amp;J$2&amp;J$1&amp;"P"&amp;$A12))/1000),0),IF($A$2="VEX",IFERROR(IF($X$1="ABS",($A$4*$A$4*RTD("tos.rtd",,"VOLUME","."&amp;J$2&amp;J$1&amp;"C"&amp;$A12)*RTD("tos.rtd",,"GAMMA","."&amp;J$2&amp;J$1&amp;"C"&amp;$A12)+$A$4*$A$4*RTD("tos.rtd",,"VOLUME","."&amp;J$2&amp;J$1&amp;"P"&amp;$A12)*RTD("tos.rtd",,"GAMMA","."&amp;J$2&amp;J$1&amp;"P"&amp;$A12))/1000000,($A$4*$A$4*RTD("tos.rtd",,"VOLUME","."&amp;J$2&amp;J$1&amp;"C"&amp;$A12)*RTD("tos.rtd",,"GAMMA","."&amp;J$2&amp;J$1&amp;"C"&amp;$A12)-$A$4*$A$4*RTD("tos.rtd",,"VOLUME","."&amp;J$2&amp;J$1&amp;"P"&amp;$A12)*RTD("tos.rtd",,"GAMMA","."&amp;J$2&amp;J$1&amp;"P"&amp;$A12))/1000000),0),IF($A$2="GEX",IFERROR(IF($X$1="ABS",($A$4*$A$4*RTD("tos.rtd",,"OPEN_INT","."&amp;J$2&amp;J$1&amp;"C"&amp;$A12)*RTD("tos.rtd",,"GAMMA","."&amp;J$2&amp;J$1&amp;"C"&amp;$A12)+$A$4*$A$4*RTD("tos.rtd",,"OPEN_INT","."&amp;J$2&amp;J$1&amp;"P"&amp;$A12)*RTD("tos.rtd",,"GAMMA","."&amp;J$2&amp;J$1&amp;"P"&amp;$A12))/1000000,($A$4*$A$4*RTD("tos.rtd",,"OPEN_INT","."&amp;J$2&amp;J$1&amp;"C"&amp;$A12)*RTD("tos.rtd",,"GAMMA","."&amp;J$2&amp;J$1&amp;"C"&amp;$A12)-$A$4*$A$4*RTD("tos.rtd",,"OPEN_INT","."&amp;J$2&amp;J$1&amp;"P"&amp;$A12)*RTD("tos.rtd",,"GAMMA","."&amp;J$2&amp;J$1&amp;"P"&amp;$A12))/1000000),0),IF($A$2="SKEW",IFERROR(VALUE(IF(RTD("tos.rtd",,"IMPL_VOL","."&amp;J$2&amp;J$1&amp;"P"&amp;$A12)="N/A",0,RTD("tos.rtd",,"IMPL_VOL","."&amp;J$2&amp;J$1&amp;"P"&amp;$A12))),0)-IFERROR(VALUE(IF(RTD("tos.rtd",,"IMPL_VOL","."&amp;J$2&amp;J$1&amp;"C"&amp;$A12)="N/A",0,RTD("tos.rtd",,"IMPL_VOL","."&amp;J$2&amp;J$1&amp;"C"&amp;$A12))),0),IF($A$2="MAXPAIN",IF($A$4&gt;$A12,($A$4-$A12)*IF(RTD("tos.rtd",,"OPEN_INT","."&amp;J$2&amp;J$1&amp;"C"&amp;$A12)="N/A",0,RTD("tos.rtd",,"OPEN_INT","."&amp;J$2&amp;J$1&amp;"C"&amp;$A12)),0)+IF($A$4&lt;$A12,($A$5-$A$4)*IF(RTD("tos.rtd",,"OPEN_INT","."&amp;J$2&amp;J$1&amp;"P"&amp;$A12)="N/A",0,RTD("tos.rtd",,"OPEN_INT","."&amp;J$2&amp;J$1&amp;"P"&amp;$A12)),0),IF($X$1="ABS",IF(RTD("tos.rtd",,$A$2,"."&amp;J$2&amp;J$1&amp;"C"&amp;$A12)="N/A",0,RTD("tos.rtd",,$A$2,"."&amp;J$2&amp;J$1&amp;"C"&amp;$A12))+IF(RTD("tos.rtd",,$A$2,"."&amp;J$2&amp;J$1&amp;"P"&amp;$A12)="N/A",0,RTD("tos.rtd",,$A$2,"."&amp;J$2&amp;J$1&amp;"P"&amp;$A12)),IF(RTD("tos.rtd",,$A$2,"."&amp;J$2&amp;J$1&amp;"C"&amp;$A12)="N/A",0,RTD("tos.rtd",,$A$2,"."&amp;J$2&amp;J$1&amp;"C"&amp;$A12))-IF(RTD("tos.rtd",,$A$2,"."&amp;J$2&amp;J$1&amp;"P"&amp;$A12)="N/A",0,RTD("tos.rtd",,$A$2,"."&amp;J$2&amp;J$1&amp;"P"&amp;$A12))))))))))</f>
        <v>0</v>
      </c>
      <c r="K12" s="12">
        <f ca="1">IF($A$2="PREMIUM_OI",IFERROR(IF($X$1="ABS",(100*RTD("tos.rtd",,"OPEN_INT","."&amp;K$2&amp;K$1&amp;"C"&amp;$A12)*RTD("tos.rtd",,"LAST","."&amp;K$2&amp;K$1&amp;"C"&amp;$A12)+100*RTD("tos.rtd",,"OPEN_INT","."&amp;K$2&amp;K$1&amp;"P"&amp;$A12)*RTD("tos.rtd",,"LAST","."&amp;K$2&amp;K$1&amp;"P"&amp;$A12))/1000000,(100*RTD("tos.rtd",,"OPEN_INT","."&amp;K$2&amp;K$1&amp;"C"&amp;$A12)*RTD("tos.rtd",,"LAST","."&amp;K$2&amp;K$1&amp;"C"&amp;$A12)-100*RTD("tos.rtd",,"OPEN_INT","."&amp;K$2&amp;K$1&amp;"P"&amp;$A12)*RTD("tos.rtd",,"LAST","."&amp;K$2&amp;K$1&amp;"P"&amp;$A12))/1000000),0),IF($A$2="PREMIUM",IFERROR(IF($X$1="ABS",(100*RTD("tos.rtd",,"VOLUME","."&amp;K$2&amp;K$1&amp;"C"&amp;$A12)*RTD("tos.rtd",,"LAST","."&amp;K$2&amp;K$1&amp;"C"&amp;$A12)+100*RTD("tos.rtd",,"VOLUME","."&amp;K$2&amp;K$1&amp;"P"&amp;$A12)*RTD("tos.rtd",,"LAST","."&amp;K$2&amp;K$1&amp;"P"&amp;$A12))/1000000,(100*RTD("tos.rtd",,"VOLUME","."&amp;K$2&amp;K$1&amp;"C"&amp;$A12)*RTD("tos.rtd",,"LAST","."&amp;K$2&amp;K$1&amp;"C"&amp;$A12)-100*RTD("tos.rtd",,"VOLUME","."&amp;K$2&amp;K$1&amp;"P"&amp;$A12)*RTD("tos.rtd",,"LAST","."&amp;K$2&amp;K$1&amp;"P"&amp;$A12))/1000000),0),IF($A$2="DEX",IFERROR(IF($X$1="ABS",(100*RTD("tos.rtd",,"OPEN_INT","."&amp;K$2&amp;K$1&amp;"C"&amp;$A12)*RTD("tos.rtd",,"DELTA","."&amp;K$2&amp;K$1&amp;"C"&amp;$A12)+100*RTD("tos.rtd",,"OPEN_INT","."&amp;K$2&amp;K$1&amp;"P"&amp;$A12)*RTD("tos.rtd",,"DELTA","."&amp;K$2&amp;K$1&amp;"P"&amp;$A12))/1000,(100*RTD("tos.rtd",,"OPEN_INT","."&amp;K$2&amp;K$1&amp;"C"&amp;$A12)*RTD("tos.rtd",,"DELTA","."&amp;K$2&amp;K$1&amp;"C"&amp;$A12)-100*RTD("tos.rtd",,"OPEN_INT","."&amp;K$2&amp;K$1&amp;"P"&amp;$A12)*RTD("tos.rtd",,"DELTA","."&amp;K$2&amp;K$1&amp;"P"&amp;$A12))/1000),0),IF($A$2="VEX",IFERROR(IF($X$1="ABS",($A$4*$A$4*RTD("tos.rtd",,"VOLUME","."&amp;K$2&amp;K$1&amp;"C"&amp;$A12)*RTD("tos.rtd",,"GAMMA","."&amp;K$2&amp;K$1&amp;"C"&amp;$A12)+$A$4*$A$4*RTD("tos.rtd",,"VOLUME","."&amp;K$2&amp;K$1&amp;"P"&amp;$A12)*RTD("tos.rtd",,"GAMMA","."&amp;K$2&amp;K$1&amp;"P"&amp;$A12))/1000000,($A$4*$A$4*RTD("tos.rtd",,"VOLUME","."&amp;K$2&amp;K$1&amp;"C"&amp;$A12)*RTD("tos.rtd",,"GAMMA","."&amp;K$2&amp;K$1&amp;"C"&amp;$A12)-$A$4*$A$4*RTD("tos.rtd",,"VOLUME","."&amp;K$2&amp;K$1&amp;"P"&amp;$A12)*RTD("tos.rtd",,"GAMMA","."&amp;K$2&amp;K$1&amp;"P"&amp;$A12))/1000000),0),IF($A$2="GEX",IFERROR(IF($X$1="ABS",($A$4*$A$4*RTD("tos.rtd",,"OPEN_INT","."&amp;K$2&amp;K$1&amp;"C"&amp;$A12)*RTD("tos.rtd",,"GAMMA","."&amp;K$2&amp;K$1&amp;"C"&amp;$A12)+$A$4*$A$4*RTD("tos.rtd",,"OPEN_INT","."&amp;K$2&amp;K$1&amp;"P"&amp;$A12)*RTD("tos.rtd",,"GAMMA","."&amp;K$2&amp;K$1&amp;"P"&amp;$A12))/1000000,($A$4*$A$4*RTD("tos.rtd",,"OPEN_INT","."&amp;K$2&amp;K$1&amp;"C"&amp;$A12)*RTD("tos.rtd",,"GAMMA","."&amp;K$2&amp;K$1&amp;"C"&amp;$A12)-$A$4*$A$4*RTD("tos.rtd",,"OPEN_INT","."&amp;K$2&amp;K$1&amp;"P"&amp;$A12)*RTD("tos.rtd",,"GAMMA","."&amp;K$2&amp;K$1&amp;"P"&amp;$A12))/1000000),0),IF($A$2="SKEW",IFERROR(VALUE(IF(RTD("tos.rtd",,"IMPL_VOL","."&amp;K$2&amp;K$1&amp;"P"&amp;$A12)="N/A",0,RTD("tos.rtd",,"IMPL_VOL","."&amp;K$2&amp;K$1&amp;"P"&amp;$A12))),0)-IFERROR(VALUE(IF(RTD("tos.rtd",,"IMPL_VOL","."&amp;K$2&amp;K$1&amp;"C"&amp;$A12)="N/A",0,RTD("tos.rtd",,"IMPL_VOL","."&amp;K$2&amp;K$1&amp;"C"&amp;$A12))),0),IF($A$2="MAXPAIN",IF($A$4&gt;$A12,($A$4-$A12)*IF(RTD("tos.rtd",,"OPEN_INT","."&amp;K$2&amp;K$1&amp;"C"&amp;$A12)="N/A",0,RTD("tos.rtd",,"OPEN_INT","."&amp;K$2&amp;K$1&amp;"C"&amp;$A12)),0)+IF($A$4&lt;$A12,($A$5-$A$4)*IF(RTD("tos.rtd",,"OPEN_INT","."&amp;K$2&amp;K$1&amp;"P"&amp;$A12)="N/A",0,RTD("tos.rtd",,"OPEN_INT","."&amp;K$2&amp;K$1&amp;"P"&amp;$A12)),0),IF($X$1="ABS",IF(RTD("tos.rtd",,$A$2,"."&amp;K$2&amp;K$1&amp;"C"&amp;$A12)="N/A",0,RTD("tos.rtd",,$A$2,"."&amp;K$2&amp;K$1&amp;"C"&amp;$A12))+IF(RTD("tos.rtd",,$A$2,"."&amp;K$2&amp;K$1&amp;"P"&amp;$A12)="N/A",0,RTD("tos.rtd",,$A$2,"."&amp;K$2&amp;K$1&amp;"P"&amp;$A12)),IF(RTD("tos.rtd",,$A$2,"."&amp;K$2&amp;K$1&amp;"C"&amp;$A12)="N/A",0,RTD("tos.rtd",,$A$2,"."&amp;K$2&amp;K$1&amp;"C"&amp;$A12))-IF(RTD("tos.rtd",,$A$2,"."&amp;K$2&amp;K$1&amp;"P"&amp;$A12)="N/A",0,RTD("tos.rtd",,$A$2,"."&amp;K$2&amp;K$1&amp;"P"&amp;$A12))))))))))</f>
        <v>0</v>
      </c>
      <c r="L12" s="54">
        <f ca="1">IF($A$2="PREMIUM_OI",IFERROR(IF($X$1="ABS",(100*RTD("tos.rtd",,"OPEN_INT","."&amp;L$2&amp;L$1&amp;"C"&amp;$A12)*RTD("tos.rtd",,"LAST","."&amp;L$2&amp;L$1&amp;"C"&amp;$A12)+100*RTD("tos.rtd",,"OPEN_INT","."&amp;L$2&amp;L$1&amp;"P"&amp;$A12)*RTD("tos.rtd",,"LAST","."&amp;L$2&amp;L$1&amp;"P"&amp;$A12))/1000000,(100*RTD("tos.rtd",,"OPEN_INT","."&amp;L$2&amp;L$1&amp;"C"&amp;$A12)*RTD("tos.rtd",,"LAST","."&amp;L$2&amp;L$1&amp;"C"&amp;$A12)-100*RTD("tos.rtd",,"OPEN_INT","."&amp;L$2&amp;L$1&amp;"P"&amp;$A12)*RTD("tos.rtd",,"LAST","."&amp;L$2&amp;L$1&amp;"P"&amp;$A12))/1000000),0),IF($A$2="PREMIUM",IFERROR(IF($X$1="ABS",(100*RTD("tos.rtd",,"VOLUME","."&amp;L$2&amp;L$1&amp;"C"&amp;$A12)*RTD("tos.rtd",,"LAST","."&amp;L$2&amp;L$1&amp;"C"&amp;$A12)+100*RTD("tos.rtd",,"VOLUME","."&amp;L$2&amp;L$1&amp;"P"&amp;$A12)*RTD("tos.rtd",,"LAST","."&amp;L$2&amp;L$1&amp;"P"&amp;$A12))/1000000,(100*RTD("tos.rtd",,"VOLUME","."&amp;L$2&amp;L$1&amp;"C"&amp;$A12)*RTD("tos.rtd",,"LAST","."&amp;L$2&amp;L$1&amp;"C"&amp;$A12)-100*RTD("tos.rtd",,"VOLUME","."&amp;L$2&amp;L$1&amp;"P"&amp;$A12)*RTD("tos.rtd",,"LAST","."&amp;L$2&amp;L$1&amp;"P"&amp;$A12))/1000000),0),IF($A$2="DEX",IFERROR(IF($X$1="ABS",(100*RTD("tos.rtd",,"OPEN_INT","."&amp;L$2&amp;L$1&amp;"C"&amp;$A12)*RTD("tos.rtd",,"DELTA","."&amp;L$2&amp;L$1&amp;"C"&amp;$A12)+100*RTD("tos.rtd",,"OPEN_INT","."&amp;L$2&amp;L$1&amp;"P"&amp;$A12)*RTD("tos.rtd",,"DELTA","."&amp;L$2&amp;L$1&amp;"P"&amp;$A12))/1000,(100*RTD("tos.rtd",,"OPEN_INT","."&amp;L$2&amp;L$1&amp;"C"&amp;$A12)*RTD("tos.rtd",,"DELTA","."&amp;L$2&amp;L$1&amp;"C"&amp;$A12)-100*RTD("tos.rtd",,"OPEN_INT","."&amp;L$2&amp;L$1&amp;"P"&amp;$A12)*RTD("tos.rtd",,"DELTA","."&amp;L$2&amp;L$1&amp;"P"&amp;$A12))/1000),0),IF($A$2="VEX",IFERROR(IF($X$1="ABS",($A$4*$A$4*RTD("tos.rtd",,"VOLUME","."&amp;L$2&amp;L$1&amp;"C"&amp;$A12)*RTD("tos.rtd",,"GAMMA","."&amp;L$2&amp;L$1&amp;"C"&amp;$A12)+$A$4*$A$4*RTD("tos.rtd",,"VOLUME","."&amp;L$2&amp;L$1&amp;"P"&amp;$A12)*RTD("tos.rtd",,"GAMMA","."&amp;L$2&amp;L$1&amp;"P"&amp;$A12))/1000000,($A$4*$A$4*RTD("tos.rtd",,"VOLUME","."&amp;L$2&amp;L$1&amp;"C"&amp;$A12)*RTD("tos.rtd",,"GAMMA","."&amp;L$2&amp;L$1&amp;"C"&amp;$A12)-$A$4*$A$4*RTD("tos.rtd",,"VOLUME","."&amp;L$2&amp;L$1&amp;"P"&amp;$A12)*RTD("tos.rtd",,"GAMMA","."&amp;L$2&amp;L$1&amp;"P"&amp;$A12))/1000000),0),IF($A$2="GEX",IFERROR(IF($X$1="ABS",($A$4*$A$4*RTD("tos.rtd",,"OPEN_INT","."&amp;L$2&amp;L$1&amp;"C"&amp;$A12)*RTD("tos.rtd",,"GAMMA","."&amp;L$2&amp;L$1&amp;"C"&amp;$A12)+$A$4*$A$4*RTD("tos.rtd",,"OPEN_INT","."&amp;L$2&amp;L$1&amp;"P"&amp;$A12)*RTD("tos.rtd",,"GAMMA","."&amp;L$2&amp;L$1&amp;"P"&amp;$A12))/1000000,($A$4*$A$4*RTD("tos.rtd",,"OPEN_INT","."&amp;L$2&amp;L$1&amp;"C"&amp;$A12)*RTD("tos.rtd",,"GAMMA","."&amp;L$2&amp;L$1&amp;"C"&amp;$A12)-$A$4*$A$4*RTD("tos.rtd",,"OPEN_INT","."&amp;L$2&amp;L$1&amp;"P"&amp;$A12)*RTD("tos.rtd",,"GAMMA","."&amp;L$2&amp;L$1&amp;"P"&amp;$A12))/1000000),0),IF($A$2="SKEW",IFERROR(VALUE(IF(RTD("tos.rtd",,"IMPL_VOL","."&amp;L$2&amp;L$1&amp;"P"&amp;$A12)="N/A",0,RTD("tos.rtd",,"IMPL_VOL","."&amp;L$2&amp;L$1&amp;"P"&amp;$A12))),0)-IFERROR(VALUE(IF(RTD("tos.rtd",,"IMPL_VOL","."&amp;L$2&amp;L$1&amp;"C"&amp;$A12)="N/A",0,RTD("tos.rtd",,"IMPL_VOL","."&amp;L$2&amp;L$1&amp;"C"&amp;$A12))),0),IF($A$2="MAXPAIN",IF($A$4&gt;$A12,($A$4-$A12)*IF(RTD("tos.rtd",,"OPEN_INT","."&amp;L$2&amp;L$1&amp;"C"&amp;$A12)="N/A",0,RTD("tos.rtd",,"OPEN_INT","."&amp;L$2&amp;L$1&amp;"C"&amp;$A12)),0)+IF($A$4&lt;$A12,($A$5-$A$4)*IF(RTD("tos.rtd",,"OPEN_INT","."&amp;L$2&amp;L$1&amp;"P"&amp;$A12)="N/A",0,RTD("tos.rtd",,"OPEN_INT","."&amp;L$2&amp;L$1&amp;"P"&amp;$A12)),0),IF($X$1="ABS",IF(RTD("tos.rtd",,$A$2,"."&amp;L$2&amp;L$1&amp;"C"&amp;$A12)="N/A",0,RTD("tos.rtd",,$A$2,"."&amp;L$2&amp;L$1&amp;"C"&amp;$A12))+IF(RTD("tos.rtd",,$A$2,"."&amp;L$2&amp;L$1&amp;"P"&amp;$A12)="N/A",0,RTD("tos.rtd",,$A$2,"."&amp;L$2&amp;L$1&amp;"P"&amp;$A12)),IF(RTD("tos.rtd",,$A$2,"."&amp;L$2&amp;L$1&amp;"C"&amp;$A12)="N/A",0,RTD("tos.rtd",,$A$2,"."&amp;L$2&amp;L$1&amp;"C"&amp;$A12))-IF(RTD("tos.rtd",,$A$2,"."&amp;L$2&amp;L$1&amp;"P"&amp;$A12)="N/A",0,RTD("tos.rtd",,$A$2,"."&amp;L$2&amp;L$1&amp;"P"&amp;$A12))))))))))</f>
        <v>0</v>
      </c>
      <c r="M12" s="12">
        <f ca="1">IF($A$2="PREMIUM_OI",IFERROR(IF($X$1="ABS",(100*RTD("tos.rtd",,"OPEN_INT","."&amp;M$2&amp;M$1&amp;"C"&amp;$A12)*RTD("tos.rtd",,"LAST","."&amp;M$2&amp;M$1&amp;"C"&amp;$A12)+100*RTD("tos.rtd",,"OPEN_INT","."&amp;M$2&amp;M$1&amp;"P"&amp;$A12)*RTD("tos.rtd",,"LAST","."&amp;M$2&amp;M$1&amp;"P"&amp;$A12))/1000000,(100*RTD("tos.rtd",,"OPEN_INT","."&amp;M$2&amp;M$1&amp;"C"&amp;$A12)*RTD("tos.rtd",,"LAST","."&amp;M$2&amp;M$1&amp;"C"&amp;$A12)-100*RTD("tos.rtd",,"OPEN_INT","."&amp;M$2&amp;M$1&amp;"P"&amp;$A12)*RTD("tos.rtd",,"LAST","."&amp;M$2&amp;M$1&amp;"P"&amp;$A12))/1000000),0),IF($A$2="PREMIUM",IFERROR(IF($X$1="ABS",(100*RTD("tos.rtd",,"VOLUME","."&amp;M$2&amp;M$1&amp;"C"&amp;$A12)*RTD("tos.rtd",,"LAST","."&amp;M$2&amp;M$1&amp;"C"&amp;$A12)+100*RTD("tos.rtd",,"VOLUME","."&amp;M$2&amp;M$1&amp;"P"&amp;$A12)*RTD("tos.rtd",,"LAST","."&amp;M$2&amp;M$1&amp;"P"&amp;$A12))/1000000,(100*RTD("tos.rtd",,"VOLUME","."&amp;M$2&amp;M$1&amp;"C"&amp;$A12)*RTD("tos.rtd",,"LAST","."&amp;M$2&amp;M$1&amp;"C"&amp;$A12)-100*RTD("tos.rtd",,"VOLUME","."&amp;M$2&amp;M$1&amp;"P"&amp;$A12)*RTD("tos.rtd",,"LAST","."&amp;M$2&amp;M$1&amp;"P"&amp;$A12))/1000000),0),IF($A$2="DEX",IFERROR(IF($X$1="ABS",(100*RTD("tos.rtd",,"OPEN_INT","."&amp;M$2&amp;M$1&amp;"C"&amp;$A12)*RTD("tos.rtd",,"DELTA","."&amp;M$2&amp;M$1&amp;"C"&amp;$A12)+100*RTD("tos.rtd",,"OPEN_INT","."&amp;M$2&amp;M$1&amp;"P"&amp;$A12)*RTD("tos.rtd",,"DELTA","."&amp;M$2&amp;M$1&amp;"P"&amp;$A12))/1000,(100*RTD("tos.rtd",,"OPEN_INT","."&amp;M$2&amp;M$1&amp;"C"&amp;$A12)*RTD("tos.rtd",,"DELTA","."&amp;M$2&amp;M$1&amp;"C"&amp;$A12)-100*RTD("tos.rtd",,"OPEN_INT","."&amp;M$2&amp;M$1&amp;"P"&amp;$A12)*RTD("tos.rtd",,"DELTA","."&amp;M$2&amp;M$1&amp;"P"&amp;$A12))/1000),0),IF($A$2="VEX",IFERROR(IF($X$1="ABS",($A$4*$A$4*RTD("tos.rtd",,"VOLUME","."&amp;M$2&amp;M$1&amp;"C"&amp;$A12)*RTD("tos.rtd",,"GAMMA","."&amp;M$2&amp;M$1&amp;"C"&amp;$A12)+$A$4*$A$4*RTD("tos.rtd",,"VOLUME","."&amp;M$2&amp;M$1&amp;"P"&amp;$A12)*RTD("tos.rtd",,"GAMMA","."&amp;M$2&amp;M$1&amp;"P"&amp;$A12))/1000000,($A$4*$A$4*RTD("tos.rtd",,"VOLUME","."&amp;M$2&amp;M$1&amp;"C"&amp;$A12)*RTD("tos.rtd",,"GAMMA","."&amp;M$2&amp;M$1&amp;"C"&amp;$A12)-$A$4*$A$4*RTD("tos.rtd",,"VOLUME","."&amp;M$2&amp;M$1&amp;"P"&amp;$A12)*RTD("tos.rtd",,"GAMMA","."&amp;M$2&amp;M$1&amp;"P"&amp;$A12))/1000000),0),IF($A$2="GEX",IFERROR(IF($X$1="ABS",($A$4*$A$4*RTD("tos.rtd",,"OPEN_INT","."&amp;M$2&amp;M$1&amp;"C"&amp;$A12)*RTD("tos.rtd",,"GAMMA","."&amp;M$2&amp;M$1&amp;"C"&amp;$A12)+$A$4*$A$4*RTD("tos.rtd",,"OPEN_INT","."&amp;M$2&amp;M$1&amp;"P"&amp;$A12)*RTD("tos.rtd",,"GAMMA","."&amp;M$2&amp;M$1&amp;"P"&amp;$A12))/1000000,($A$4*$A$4*RTD("tos.rtd",,"OPEN_INT","."&amp;M$2&amp;M$1&amp;"C"&amp;$A12)*RTD("tos.rtd",,"GAMMA","."&amp;M$2&amp;M$1&amp;"C"&amp;$A12)-$A$4*$A$4*RTD("tos.rtd",,"OPEN_INT","."&amp;M$2&amp;M$1&amp;"P"&amp;$A12)*RTD("tos.rtd",,"GAMMA","."&amp;M$2&amp;M$1&amp;"P"&amp;$A12))/1000000),0),IF($A$2="SKEW",IFERROR(VALUE(IF(RTD("tos.rtd",,"IMPL_VOL","."&amp;M$2&amp;M$1&amp;"P"&amp;$A12)="N/A",0,RTD("tos.rtd",,"IMPL_VOL","."&amp;M$2&amp;M$1&amp;"P"&amp;$A12))),0)-IFERROR(VALUE(IF(RTD("tos.rtd",,"IMPL_VOL","."&amp;M$2&amp;M$1&amp;"C"&amp;$A12)="N/A",0,RTD("tos.rtd",,"IMPL_VOL","."&amp;M$2&amp;M$1&amp;"C"&amp;$A12))),0),IF($A$2="MAXPAIN",IF($A$4&gt;$A12,($A$4-$A12)*IF(RTD("tos.rtd",,"OPEN_INT","."&amp;M$2&amp;M$1&amp;"C"&amp;$A12)="N/A",0,RTD("tos.rtd",,"OPEN_INT","."&amp;M$2&amp;M$1&amp;"C"&amp;$A12)),0)+IF($A$4&lt;$A12,($A$5-$A$4)*IF(RTD("tos.rtd",,"OPEN_INT","."&amp;M$2&amp;M$1&amp;"P"&amp;$A12)="N/A",0,RTD("tos.rtd",,"OPEN_INT","."&amp;M$2&amp;M$1&amp;"P"&amp;$A12)),0),IF($X$1="ABS",IF(RTD("tos.rtd",,$A$2,"."&amp;M$2&amp;M$1&amp;"C"&amp;$A12)="N/A",0,RTD("tos.rtd",,$A$2,"."&amp;M$2&amp;M$1&amp;"C"&amp;$A12))+IF(RTD("tos.rtd",,$A$2,"."&amp;M$2&amp;M$1&amp;"P"&amp;$A12)="N/A",0,RTD("tos.rtd",,$A$2,"."&amp;M$2&amp;M$1&amp;"P"&amp;$A12)),IF(RTD("tos.rtd",,$A$2,"."&amp;M$2&amp;M$1&amp;"C"&amp;$A12)="N/A",0,RTD("tos.rtd",,$A$2,"."&amp;M$2&amp;M$1&amp;"C"&amp;$A12))-IF(RTD("tos.rtd",,$A$2,"."&amp;M$2&amp;M$1&amp;"P"&amp;$A12)="N/A",0,RTD("tos.rtd",,$A$2,"."&amp;M$2&amp;M$1&amp;"P"&amp;$A12))))))))))</f>
        <v>0</v>
      </c>
      <c r="N12" s="12">
        <f ca="1">IF($A$2="PREMIUM_OI",IFERROR(IF($X$1="ABS",(100*RTD("tos.rtd",,"OPEN_INT","."&amp;N$2&amp;N$1&amp;"C"&amp;$A12)*RTD("tos.rtd",,"LAST","."&amp;N$2&amp;N$1&amp;"C"&amp;$A12)+100*RTD("tos.rtd",,"OPEN_INT","."&amp;N$2&amp;N$1&amp;"P"&amp;$A12)*RTD("tos.rtd",,"LAST","."&amp;N$2&amp;N$1&amp;"P"&amp;$A12))/1000000,(100*RTD("tos.rtd",,"OPEN_INT","."&amp;N$2&amp;N$1&amp;"C"&amp;$A12)*RTD("tos.rtd",,"LAST","."&amp;N$2&amp;N$1&amp;"C"&amp;$A12)-100*RTD("tos.rtd",,"OPEN_INT","."&amp;N$2&amp;N$1&amp;"P"&amp;$A12)*RTD("tos.rtd",,"LAST","."&amp;N$2&amp;N$1&amp;"P"&amp;$A12))/1000000),0),IF($A$2="PREMIUM",IFERROR(IF($X$1="ABS",(100*RTD("tos.rtd",,"VOLUME","."&amp;N$2&amp;N$1&amp;"C"&amp;$A12)*RTD("tos.rtd",,"LAST","."&amp;N$2&amp;N$1&amp;"C"&amp;$A12)+100*RTD("tos.rtd",,"VOLUME","."&amp;N$2&amp;N$1&amp;"P"&amp;$A12)*RTD("tos.rtd",,"LAST","."&amp;N$2&amp;N$1&amp;"P"&amp;$A12))/1000000,(100*RTD("tos.rtd",,"VOLUME","."&amp;N$2&amp;N$1&amp;"C"&amp;$A12)*RTD("tos.rtd",,"LAST","."&amp;N$2&amp;N$1&amp;"C"&amp;$A12)-100*RTD("tos.rtd",,"VOLUME","."&amp;N$2&amp;N$1&amp;"P"&amp;$A12)*RTD("tos.rtd",,"LAST","."&amp;N$2&amp;N$1&amp;"P"&amp;$A12))/1000000),0),IF($A$2="DEX",IFERROR(IF($X$1="ABS",(100*RTD("tos.rtd",,"OPEN_INT","."&amp;N$2&amp;N$1&amp;"C"&amp;$A12)*RTD("tos.rtd",,"DELTA","."&amp;N$2&amp;N$1&amp;"C"&amp;$A12)+100*RTD("tos.rtd",,"OPEN_INT","."&amp;N$2&amp;N$1&amp;"P"&amp;$A12)*RTD("tos.rtd",,"DELTA","."&amp;N$2&amp;N$1&amp;"P"&amp;$A12))/1000,(100*RTD("tos.rtd",,"OPEN_INT","."&amp;N$2&amp;N$1&amp;"C"&amp;$A12)*RTD("tos.rtd",,"DELTA","."&amp;N$2&amp;N$1&amp;"C"&amp;$A12)-100*RTD("tos.rtd",,"OPEN_INT","."&amp;N$2&amp;N$1&amp;"P"&amp;$A12)*RTD("tos.rtd",,"DELTA","."&amp;N$2&amp;N$1&amp;"P"&amp;$A12))/1000),0),IF($A$2="VEX",IFERROR(IF($X$1="ABS",($A$4*$A$4*RTD("tos.rtd",,"VOLUME","."&amp;N$2&amp;N$1&amp;"C"&amp;$A12)*RTD("tos.rtd",,"GAMMA","."&amp;N$2&amp;N$1&amp;"C"&amp;$A12)+$A$4*$A$4*RTD("tos.rtd",,"VOLUME","."&amp;N$2&amp;N$1&amp;"P"&amp;$A12)*RTD("tos.rtd",,"GAMMA","."&amp;N$2&amp;N$1&amp;"P"&amp;$A12))/1000000,($A$4*$A$4*RTD("tos.rtd",,"VOLUME","."&amp;N$2&amp;N$1&amp;"C"&amp;$A12)*RTD("tos.rtd",,"GAMMA","."&amp;N$2&amp;N$1&amp;"C"&amp;$A12)-$A$4*$A$4*RTD("tos.rtd",,"VOLUME","."&amp;N$2&amp;N$1&amp;"P"&amp;$A12)*RTD("tos.rtd",,"GAMMA","."&amp;N$2&amp;N$1&amp;"P"&amp;$A12))/1000000),0),IF($A$2="GEX",IFERROR(IF($X$1="ABS",($A$4*$A$4*RTD("tos.rtd",,"OPEN_INT","."&amp;N$2&amp;N$1&amp;"C"&amp;$A12)*RTD("tos.rtd",,"GAMMA","."&amp;N$2&amp;N$1&amp;"C"&amp;$A12)+$A$4*$A$4*RTD("tos.rtd",,"OPEN_INT","."&amp;N$2&amp;N$1&amp;"P"&amp;$A12)*RTD("tos.rtd",,"GAMMA","."&amp;N$2&amp;N$1&amp;"P"&amp;$A12))/1000000,($A$4*$A$4*RTD("tos.rtd",,"OPEN_INT","."&amp;N$2&amp;N$1&amp;"C"&amp;$A12)*RTD("tos.rtd",,"GAMMA","."&amp;N$2&amp;N$1&amp;"C"&amp;$A12)-$A$4*$A$4*RTD("tos.rtd",,"OPEN_INT","."&amp;N$2&amp;N$1&amp;"P"&amp;$A12)*RTD("tos.rtd",,"GAMMA","."&amp;N$2&amp;N$1&amp;"P"&amp;$A12))/1000000),0),IF($A$2="SKEW",IFERROR(VALUE(IF(RTD("tos.rtd",,"IMPL_VOL","."&amp;N$2&amp;N$1&amp;"P"&amp;$A12)="N/A",0,RTD("tos.rtd",,"IMPL_VOL","."&amp;N$2&amp;N$1&amp;"P"&amp;$A12))),0)-IFERROR(VALUE(IF(RTD("tos.rtd",,"IMPL_VOL","."&amp;N$2&amp;N$1&amp;"C"&amp;$A12)="N/A",0,RTD("tos.rtd",,"IMPL_VOL","."&amp;N$2&amp;N$1&amp;"C"&amp;$A12))),0),IF($A$2="MAXPAIN",IF($A$4&gt;$A12,($A$4-$A12)*IF(RTD("tos.rtd",,"OPEN_INT","."&amp;N$2&amp;N$1&amp;"C"&amp;$A12)="N/A",0,RTD("tos.rtd",,"OPEN_INT","."&amp;N$2&amp;N$1&amp;"C"&amp;$A12)),0)+IF($A$4&lt;$A12,($A$5-$A$4)*IF(RTD("tos.rtd",,"OPEN_INT","."&amp;N$2&amp;N$1&amp;"P"&amp;$A12)="N/A",0,RTD("tos.rtd",,"OPEN_INT","."&amp;N$2&amp;N$1&amp;"P"&amp;$A12)),0),IF($X$1="ABS",IF(RTD("tos.rtd",,$A$2,"."&amp;N$2&amp;N$1&amp;"C"&amp;$A12)="N/A",0,RTD("tos.rtd",,$A$2,"."&amp;N$2&amp;N$1&amp;"C"&amp;$A12))+IF(RTD("tos.rtd",,$A$2,"."&amp;N$2&amp;N$1&amp;"P"&amp;$A12)="N/A",0,RTD("tos.rtd",,$A$2,"."&amp;N$2&amp;N$1&amp;"P"&amp;$A12)),IF(RTD("tos.rtd",,$A$2,"."&amp;N$2&amp;N$1&amp;"C"&amp;$A12)="N/A",0,RTD("tos.rtd",,$A$2,"."&amp;N$2&amp;N$1&amp;"C"&amp;$A12))-IF(RTD("tos.rtd",,$A$2,"."&amp;N$2&amp;N$1&amp;"P"&amp;$A12)="N/A",0,RTD("tos.rtd",,$A$2,"."&amp;N$2&amp;N$1&amp;"P"&amp;$A12))))))))))</f>
        <v>0</v>
      </c>
      <c r="O12" s="12">
        <f ca="1">IF($A$2="PREMIUM_OI",IFERROR(IF($X$1="ABS",(100*RTD("tos.rtd",,"OPEN_INT","."&amp;O$2&amp;O$1&amp;"C"&amp;$A12)*RTD("tos.rtd",,"LAST","."&amp;O$2&amp;O$1&amp;"C"&amp;$A12)+100*RTD("tos.rtd",,"OPEN_INT","."&amp;O$2&amp;O$1&amp;"P"&amp;$A12)*RTD("tos.rtd",,"LAST","."&amp;O$2&amp;O$1&amp;"P"&amp;$A12))/1000000,(100*RTD("tos.rtd",,"OPEN_INT","."&amp;O$2&amp;O$1&amp;"C"&amp;$A12)*RTD("tos.rtd",,"LAST","."&amp;O$2&amp;O$1&amp;"C"&amp;$A12)-100*RTD("tos.rtd",,"OPEN_INT","."&amp;O$2&amp;O$1&amp;"P"&amp;$A12)*RTD("tos.rtd",,"LAST","."&amp;O$2&amp;O$1&amp;"P"&amp;$A12))/1000000),0),IF($A$2="PREMIUM",IFERROR(IF($X$1="ABS",(100*RTD("tos.rtd",,"VOLUME","."&amp;O$2&amp;O$1&amp;"C"&amp;$A12)*RTD("tos.rtd",,"LAST","."&amp;O$2&amp;O$1&amp;"C"&amp;$A12)+100*RTD("tos.rtd",,"VOLUME","."&amp;O$2&amp;O$1&amp;"P"&amp;$A12)*RTD("tos.rtd",,"LAST","."&amp;O$2&amp;O$1&amp;"P"&amp;$A12))/1000000,(100*RTD("tos.rtd",,"VOLUME","."&amp;O$2&amp;O$1&amp;"C"&amp;$A12)*RTD("tos.rtd",,"LAST","."&amp;O$2&amp;O$1&amp;"C"&amp;$A12)-100*RTD("tos.rtd",,"VOLUME","."&amp;O$2&amp;O$1&amp;"P"&amp;$A12)*RTD("tos.rtd",,"LAST","."&amp;O$2&amp;O$1&amp;"P"&amp;$A12))/1000000),0),IF($A$2="DEX",IFERROR(IF($X$1="ABS",(100*RTD("tos.rtd",,"OPEN_INT","."&amp;O$2&amp;O$1&amp;"C"&amp;$A12)*RTD("tos.rtd",,"DELTA","."&amp;O$2&amp;O$1&amp;"C"&amp;$A12)+100*RTD("tos.rtd",,"OPEN_INT","."&amp;O$2&amp;O$1&amp;"P"&amp;$A12)*RTD("tos.rtd",,"DELTA","."&amp;O$2&amp;O$1&amp;"P"&amp;$A12))/1000,(100*RTD("tos.rtd",,"OPEN_INT","."&amp;O$2&amp;O$1&amp;"C"&amp;$A12)*RTD("tos.rtd",,"DELTA","."&amp;O$2&amp;O$1&amp;"C"&amp;$A12)-100*RTD("tos.rtd",,"OPEN_INT","."&amp;O$2&amp;O$1&amp;"P"&amp;$A12)*RTD("tos.rtd",,"DELTA","."&amp;O$2&amp;O$1&amp;"P"&amp;$A12))/1000),0),IF($A$2="VEX",IFERROR(IF($X$1="ABS",($A$4*$A$4*RTD("tos.rtd",,"VOLUME","."&amp;O$2&amp;O$1&amp;"C"&amp;$A12)*RTD("tos.rtd",,"GAMMA","."&amp;O$2&amp;O$1&amp;"C"&amp;$A12)+$A$4*$A$4*RTD("tos.rtd",,"VOLUME","."&amp;O$2&amp;O$1&amp;"P"&amp;$A12)*RTD("tos.rtd",,"GAMMA","."&amp;O$2&amp;O$1&amp;"P"&amp;$A12))/1000000,($A$4*$A$4*RTD("tos.rtd",,"VOLUME","."&amp;O$2&amp;O$1&amp;"C"&amp;$A12)*RTD("tos.rtd",,"GAMMA","."&amp;O$2&amp;O$1&amp;"C"&amp;$A12)-$A$4*$A$4*RTD("tos.rtd",,"VOLUME","."&amp;O$2&amp;O$1&amp;"P"&amp;$A12)*RTD("tos.rtd",,"GAMMA","."&amp;O$2&amp;O$1&amp;"P"&amp;$A12))/1000000),0),IF($A$2="GEX",IFERROR(IF($X$1="ABS",($A$4*$A$4*RTD("tos.rtd",,"OPEN_INT","."&amp;O$2&amp;O$1&amp;"C"&amp;$A12)*RTD("tos.rtd",,"GAMMA","."&amp;O$2&amp;O$1&amp;"C"&amp;$A12)+$A$4*$A$4*RTD("tos.rtd",,"OPEN_INT","."&amp;O$2&amp;O$1&amp;"P"&amp;$A12)*RTD("tos.rtd",,"GAMMA","."&amp;O$2&amp;O$1&amp;"P"&amp;$A12))/1000000,($A$4*$A$4*RTD("tos.rtd",,"OPEN_INT","."&amp;O$2&amp;O$1&amp;"C"&amp;$A12)*RTD("tos.rtd",,"GAMMA","."&amp;O$2&amp;O$1&amp;"C"&amp;$A12)-$A$4*$A$4*RTD("tos.rtd",,"OPEN_INT","."&amp;O$2&amp;O$1&amp;"P"&amp;$A12)*RTD("tos.rtd",,"GAMMA","."&amp;O$2&amp;O$1&amp;"P"&amp;$A12))/1000000),0),IF($A$2="SKEW",IFERROR(VALUE(IF(RTD("tos.rtd",,"IMPL_VOL","."&amp;O$2&amp;O$1&amp;"P"&amp;$A12)="N/A",0,RTD("tos.rtd",,"IMPL_VOL","."&amp;O$2&amp;O$1&amp;"P"&amp;$A12))),0)-IFERROR(VALUE(IF(RTD("tos.rtd",,"IMPL_VOL","."&amp;O$2&amp;O$1&amp;"C"&amp;$A12)="N/A",0,RTD("tos.rtd",,"IMPL_VOL","."&amp;O$2&amp;O$1&amp;"C"&amp;$A12))),0),IF($A$2="MAXPAIN",IF($A$4&gt;$A12,($A$4-$A12)*IF(RTD("tos.rtd",,"OPEN_INT","."&amp;O$2&amp;O$1&amp;"C"&amp;$A12)="N/A",0,RTD("tos.rtd",,"OPEN_INT","."&amp;O$2&amp;O$1&amp;"C"&amp;$A12)),0)+IF($A$4&lt;$A12,($A$5-$A$4)*IF(RTD("tos.rtd",,"OPEN_INT","."&amp;O$2&amp;O$1&amp;"P"&amp;$A12)="N/A",0,RTD("tos.rtd",,"OPEN_INT","."&amp;O$2&amp;O$1&amp;"P"&amp;$A12)),0),IF($X$1="ABS",IF(RTD("tos.rtd",,$A$2,"."&amp;O$2&amp;O$1&amp;"C"&amp;$A12)="N/A",0,RTD("tos.rtd",,$A$2,"."&amp;O$2&amp;O$1&amp;"C"&amp;$A12))+IF(RTD("tos.rtd",,$A$2,"."&amp;O$2&amp;O$1&amp;"P"&amp;$A12)="N/A",0,RTD("tos.rtd",,$A$2,"."&amp;O$2&amp;O$1&amp;"P"&amp;$A12)),IF(RTD("tos.rtd",,$A$2,"."&amp;O$2&amp;O$1&amp;"C"&amp;$A12)="N/A",0,RTD("tos.rtd",,$A$2,"."&amp;O$2&amp;O$1&amp;"C"&amp;$A12))-IF(RTD("tos.rtd",,$A$2,"."&amp;O$2&amp;O$1&amp;"P"&amp;$A12)="N/A",0,RTD("tos.rtd",,$A$2,"."&amp;O$2&amp;O$1&amp;"P"&amp;$A12))))))))))</f>
        <v>0</v>
      </c>
      <c r="P12" s="12">
        <f ca="1">IF($A$2="PREMIUM_OI",IFERROR(IF($X$1="ABS",(100*RTD("tos.rtd",,"OPEN_INT","."&amp;P$2&amp;P$1&amp;"C"&amp;$A12)*RTD("tos.rtd",,"LAST","."&amp;P$2&amp;P$1&amp;"C"&amp;$A12)+100*RTD("tos.rtd",,"OPEN_INT","."&amp;P$2&amp;P$1&amp;"P"&amp;$A12)*RTD("tos.rtd",,"LAST","."&amp;P$2&amp;P$1&amp;"P"&amp;$A12))/1000000,(100*RTD("tos.rtd",,"OPEN_INT","."&amp;P$2&amp;P$1&amp;"C"&amp;$A12)*RTD("tos.rtd",,"LAST","."&amp;P$2&amp;P$1&amp;"C"&amp;$A12)-100*RTD("tos.rtd",,"OPEN_INT","."&amp;P$2&amp;P$1&amp;"P"&amp;$A12)*RTD("tos.rtd",,"LAST","."&amp;P$2&amp;P$1&amp;"P"&amp;$A12))/1000000),0),IF($A$2="PREMIUM",IFERROR(IF($X$1="ABS",(100*RTD("tos.rtd",,"VOLUME","."&amp;P$2&amp;P$1&amp;"C"&amp;$A12)*RTD("tos.rtd",,"LAST","."&amp;P$2&amp;P$1&amp;"C"&amp;$A12)+100*RTD("tos.rtd",,"VOLUME","."&amp;P$2&amp;P$1&amp;"P"&amp;$A12)*RTD("tos.rtd",,"LAST","."&amp;P$2&amp;P$1&amp;"P"&amp;$A12))/1000000,(100*RTD("tos.rtd",,"VOLUME","."&amp;P$2&amp;P$1&amp;"C"&amp;$A12)*RTD("tos.rtd",,"LAST","."&amp;P$2&amp;P$1&amp;"C"&amp;$A12)-100*RTD("tos.rtd",,"VOLUME","."&amp;P$2&amp;P$1&amp;"P"&amp;$A12)*RTD("tos.rtd",,"LAST","."&amp;P$2&amp;P$1&amp;"P"&amp;$A12))/1000000),0),IF($A$2="DEX",IFERROR(IF($X$1="ABS",(100*RTD("tos.rtd",,"OPEN_INT","."&amp;P$2&amp;P$1&amp;"C"&amp;$A12)*RTD("tos.rtd",,"DELTA","."&amp;P$2&amp;P$1&amp;"C"&amp;$A12)+100*RTD("tos.rtd",,"OPEN_INT","."&amp;P$2&amp;P$1&amp;"P"&amp;$A12)*RTD("tos.rtd",,"DELTA","."&amp;P$2&amp;P$1&amp;"P"&amp;$A12))/1000,(100*RTD("tos.rtd",,"OPEN_INT","."&amp;P$2&amp;P$1&amp;"C"&amp;$A12)*RTD("tos.rtd",,"DELTA","."&amp;P$2&amp;P$1&amp;"C"&amp;$A12)-100*RTD("tos.rtd",,"OPEN_INT","."&amp;P$2&amp;P$1&amp;"P"&amp;$A12)*RTD("tos.rtd",,"DELTA","."&amp;P$2&amp;P$1&amp;"P"&amp;$A12))/1000),0),IF($A$2="VEX",IFERROR(IF($X$1="ABS",($A$4*$A$4*RTD("tos.rtd",,"VOLUME","."&amp;P$2&amp;P$1&amp;"C"&amp;$A12)*RTD("tos.rtd",,"GAMMA","."&amp;P$2&amp;P$1&amp;"C"&amp;$A12)+$A$4*$A$4*RTD("tos.rtd",,"VOLUME","."&amp;P$2&amp;P$1&amp;"P"&amp;$A12)*RTD("tos.rtd",,"GAMMA","."&amp;P$2&amp;P$1&amp;"P"&amp;$A12))/1000000,($A$4*$A$4*RTD("tos.rtd",,"VOLUME","."&amp;P$2&amp;P$1&amp;"C"&amp;$A12)*RTD("tos.rtd",,"GAMMA","."&amp;P$2&amp;P$1&amp;"C"&amp;$A12)-$A$4*$A$4*RTD("tos.rtd",,"VOLUME","."&amp;P$2&amp;P$1&amp;"P"&amp;$A12)*RTD("tos.rtd",,"GAMMA","."&amp;P$2&amp;P$1&amp;"P"&amp;$A12))/1000000),0),IF($A$2="GEX",IFERROR(IF($X$1="ABS",($A$4*$A$4*RTD("tos.rtd",,"OPEN_INT","."&amp;P$2&amp;P$1&amp;"C"&amp;$A12)*RTD("tos.rtd",,"GAMMA","."&amp;P$2&amp;P$1&amp;"C"&amp;$A12)+$A$4*$A$4*RTD("tos.rtd",,"OPEN_INT","."&amp;P$2&amp;P$1&amp;"P"&amp;$A12)*RTD("tos.rtd",,"GAMMA","."&amp;P$2&amp;P$1&amp;"P"&amp;$A12))/1000000,($A$4*$A$4*RTD("tos.rtd",,"OPEN_INT","."&amp;P$2&amp;P$1&amp;"C"&amp;$A12)*RTD("tos.rtd",,"GAMMA","."&amp;P$2&amp;P$1&amp;"C"&amp;$A12)-$A$4*$A$4*RTD("tos.rtd",,"OPEN_INT","."&amp;P$2&amp;P$1&amp;"P"&amp;$A12)*RTD("tos.rtd",,"GAMMA","."&amp;P$2&amp;P$1&amp;"P"&amp;$A12))/1000000),0),IF($A$2="SKEW",IFERROR(VALUE(IF(RTD("tos.rtd",,"IMPL_VOL","."&amp;P$2&amp;P$1&amp;"P"&amp;$A12)="N/A",0,RTD("tos.rtd",,"IMPL_VOL","."&amp;P$2&amp;P$1&amp;"P"&amp;$A12))),0)-IFERROR(VALUE(IF(RTD("tos.rtd",,"IMPL_VOL","."&amp;P$2&amp;P$1&amp;"C"&amp;$A12)="N/A",0,RTD("tos.rtd",,"IMPL_VOL","."&amp;P$2&amp;P$1&amp;"C"&amp;$A12))),0),IF($A$2="MAXPAIN",IF($A$4&gt;$A12,($A$4-$A12)*IF(RTD("tos.rtd",,"OPEN_INT","."&amp;P$2&amp;P$1&amp;"C"&amp;$A12)="N/A",0,RTD("tos.rtd",,"OPEN_INT","."&amp;P$2&amp;P$1&amp;"C"&amp;$A12)),0)+IF($A$4&lt;$A12,($A$5-$A$4)*IF(RTD("tos.rtd",,"OPEN_INT","."&amp;P$2&amp;P$1&amp;"P"&amp;$A12)="N/A",0,RTD("tos.rtd",,"OPEN_INT","."&amp;P$2&amp;P$1&amp;"P"&amp;$A12)),0),IF($X$1="ABS",IF(RTD("tos.rtd",,$A$2,"."&amp;P$2&amp;P$1&amp;"C"&amp;$A12)="N/A",0,RTD("tos.rtd",,$A$2,"."&amp;P$2&amp;P$1&amp;"C"&amp;$A12))+IF(RTD("tos.rtd",,$A$2,"."&amp;P$2&amp;P$1&amp;"P"&amp;$A12)="N/A",0,RTD("tos.rtd",,$A$2,"."&amp;P$2&amp;P$1&amp;"P"&amp;$A12)),IF(RTD("tos.rtd",,$A$2,"."&amp;P$2&amp;P$1&amp;"C"&amp;$A12)="N/A",0,RTD("tos.rtd",,$A$2,"."&amp;P$2&amp;P$1&amp;"C"&amp;$A12))-IF(RTD("tos.rtd",,$A$2,"."&amp;P$2&amp;P$1&amp;"P"&amp;$A12)="N/A",0,RTD("tos.rtd",,$A$2,"."&amp;P$2&amp;P$1&amp;"P"&amp;$A12))))))))))</f>
        <v>0</v>
      </c>
      <c r="Q12" s="12">
        <f ca="1">IF($A$2="PREMIUM_OI",IFERROR(IF($X$1="ABS",(100*RTD("tos.rtd",,"OPEN_INT","."&amp;Q$2&amp;Q$1&amp;"C"&amp;$A12)*RTD("tos.rtd",,"LAST","."&amp;Q$2&amp;Q$1&amp;"C"&amp;$A12)+100*RTD("tos.rtd",,"OPEN_INT","."&amp;Q$2&amp;Q$1&amp;"P"&amp;$A12)*RTD("tos.rtd",,"LAST","."&amp;Q$2&amp;Q$1&amp;"P"&amp;$A12))/1000000,(100*RTD("tos.rtd",,"OPEN_INT","."&amp;Q$2&amp;Q$1&amp;"C"&amp;$A12)*RTD("tos.rtd",,"LAST","."&amp;Q$2&amp;Q$1&amp;"C"&amp;$A12)-100*RTD("tos.rtd",,"OPEN_INT","."&amp;Q$2&amp;Q$1&amp;"P"&amp;$A12)*RTD("tos.rtd",,"LAST","."&amp;Q$2&amp;Q$1&amp;"P"&amp;$A12))/1000000),0),IF($A$2="PREMIUM",IFERROR(IF($X$1="ABS",(100*RTD("tos.rtd",,"VOLUME","."&amp;Q$2&amp;Q$1&amp;"C"&amp;$A12)*RTD("tos.rtd",,"LAST","."&amp;Q$2&amp;Q$1&amp;"C"&amp;$A12)+100*RTD("tos.rtd",,"VOLUME","."&amp;Q$2&amp;Q$1&amp;"P"&amp;$A12)*RTD("tos.rtd",,"LAST","."&amp;Q$2&amp;Q$1&amp;"P"&amp;$A12))/1000000,(100*RTD("tos.rtd",,"VOLUME","."&amp;Q$2&amp;Q$1&amp;"C"&amp;$A12)*RTD("tos.rtd",,"LAST","."&amp;Q$2&amp;Q$1&amp;"C"&amp;$A12)-100*RTD("tos.rtd",,"VOLUME","."&amp;Q$2&amp;Q$1&amp;"P"&amp;$A12)*RTD("tos.rtd",,"LAST","."&amp;Q$2&amp;Q$1&amp;"P"&amp;$A12))/1000000),0),IF($A$2="DEX",IFERROR(IF($X$1="ABS",(100*RTD("tos.rtd",,"OPEN_INT","."&amp;Q$2&amp;Q$1&amp;"C"&amp;$A12)*RTD("tos.rtd",,"DELTA","."&amp;Q$2&amp;Q$1&amp;"C"&amp;$A12)+100*RTD("tos.rtd",,"OPEN_INT","."&amp;Q$2&amp;Q$1&amp;"P"&amp;$A12)*RTD("tos.rtd",,"DELTA","."&amp;Q$2&amp;Q$1&amp;"P"&amp;$A12))/1000,(100*RTD("tos.rtd",,"OPEN_INT","."&amp;Q$2&amp;Q$1&amp;"C"&amp;$A12)*RTD("tos.rtd",,"DELTA","."&amp;Q$2&amp;Q$1&amp;"C"&amp;$A12)-100*RTD("tos.rtd",,"OPEN_INT","."&amp;Q$2&amp;Q$1&amp;"P"&amp;$A12)*RTD("tos.rtd",,"DELTA","."&amp;Q$2&amp;Q$1&amp;"P"&amp;$A12))/1000),0),IF($A$2="VEX",IFERROR(IF($X$1="ABS",($A$4*$A$4*RTD("tos.rtd",,"VOLUME","."&amp;Q$2&amp;Q$1&amp;"C"&amp;$A12)*RTD("tos.rtd",,"GAMMA","."&amp;Q$2&amp;Q$1&amp;"C"&amp;$A12)+$A$4*$A$4*RTD("tos.rtd",,"VOLUME","."&amp;Q$2&amp;Q$1&amp;"P"&amp;$A12)*RTD("tos.rtd",,"GAMMA","."&amp;Q$2&amp;Q$1&amp;"P"&amp;$A12))/1000000,($A$4*$A$4*RTD("tos.rtd",,"VOLUME","."&amp;Q$2&amp;Q$1&amp;"C"&amp;$A12)*RTD("tos.rtd",,"GAMMA","."&amp;Q$2&amp;Q$1&amp;"C"&amp;$A12)-$A$4*$A$4*RTD("tos.rtd",,"VOLUME","."&amp;Q$2&amp;Q$1&amp;"P"&amp;$A12)*RTD("tos.rtd",,"GAMMA","."&amp;Q$2&amp;Q$1&amp;"P"&amp;$A12))/1000000),0),IF($A$2="GEX",IFERROR(IF($X$1="ABS",($A$4*$A$4*RTD("tos.rtd",,"OPEN_INT","."&amp;Q$2&amp;Q$1&amp;"C"&amp;$A12)*RTD("tos.rtd",,"GAMMA","."&amp;Q$2&amp;Q$1&amp;"C"&amp;$A12)+$A$4*$A$4*RTD("tos.rtd",,"OPEN_INT","."&amp;Q$2&amp;Q$1&amp;"P"&amp;$A12)*RTD("tos.rtd",,"GAMMA","."&amp;Q$2&amp;Q$1&amp;"P"&amp;$A12))/1000000,($A$4*$A$4*RTD("tos.rtd",,"OPEN_INT","."&amp;Q$2&amp;Q$1&amp;"C"&amp;$A12)*RTD("tos.rtd",,"GAMMA","."&amp;Q$2&amp;Q$1&amp;"C"&amp;$A12)-$A$4*$A$4*RTD("tos.rtd",,"OPEN_INT","."&amp;Q$2&amp;Q$1&amp;"P"&amp;$A12)*RTD("tos.rtd",,"GAMMA","."&amp;Q$2&amp;Q$1&amp;"P"&amp;$A12))/1000000),0),IF($A$2="SKEW",IFERROR(VALUE(IF(RTD("tos.rtd",,"IMPL_VOL","."&amp;Q$2&amp;Q$1&amp;"P"&amp;$A12)="N/A",0,RTD("tos.rtd",,"IMPL_VOL","."&amp;Q$2&amp;Q$1&amp;"P"&amp;$A12))),0)-IFERROR(VALUE(IF(RTD("tos.rtd",,"IMPL_VOL","."&amp;Q$2&amp;Q$1&amp;"C"&amp;$A12)="N/A",0,RTD("tos.rtd",,"IMPL_VOL","."&amp;Q$2&amp;Q$1&amp;"C"&amp;$A12))),0),IF($A$2="MAXPAIN",IF($A$4&gt;$A12,($A$4-$A12)*IF(RTD("tos.rtd",,"OPEN_INT","."&amp;Q$2&amp;Q$1&amp;"C"&amp;$A12)="N/A",0,RTD("tos.rtd",,"OPEN_INT","."&amp;Q$2&amp;Q$1&amp;"C"&amp;$A12)),0)+IF($A$4&lt;$A12,($A$5-$A$4)*IF(RTD("tos.rtd",,"OPEN_INT","."&amp;Q$2&amp;Q$1&amp;"P"&amp;$A12)="N/A",0,RTD("tos.rtd",,"OPEN_INT","."&amp;Q$2&amp;Q$1&amp;"P"&amp;$A12)),0),IF($X$1="ABS",IF(RTD("tos.rtd",,$A$2,"."&amp;Q$2&amp;Q$1&amp;"C"&amp;$A12)="N/A",0,RTD("tos.rtd",,$A$2,"."&amp;Q$2&amp;Q$1&amp;"C"&amp;$A12))+IF(RTD("tos.rtd",,$A$2,"."&amp;Q$2&amp;Q$1&amp;"P"&amp;$A12)="N/A",0,RTD("tos.rtd",,$A$2,"."&amp;Q$2&amp;Q$1&amp;"P"&amp;$A12)),IF(RTD("tos.rtd",,$A$2,"."&amp;Q$2&amp;Q$1&amp;"C"&amp;$A12)="N/A",0,RTD("tos.rtd",,$A$2,"."&amp;Q$2&amp;Q$1&amp;"C"&amp;$A12))-IF(RTD("tos.rtd",,$A$2,"."&amp;Q$2&amp;Q$1&amp;"P"&amp;$A12)="N/A",0,RTD("tos.rtd",,$A$2,"."&amp;Q$2&amp;Q$1&amp;"P"&amp;$A12))))))))))</f>
        <v>0</v>
      </c>
      <c r="R12" s="12">
        <f ca="1">IF($A$2="PREMIUM_OI",IFERROR(IF($X$1="ABS",(100*RTD("tos.rtd",,"OPEN_INT","."&amp;R$2&amp;R$1&amp;"C"&amp;$A12)*RTD("tos.rtd",,"LAST","."&amp;R$2&amp;R$1&amp;"C"&amp;$A12)+100*RTD("tos.rtd",,"OPEN_INT","."&amp;R$2&amp;R$1&amp;"P"&amp;$A12)*RTD("tos.rtd",,"LAST","."&amp;R$2&amp;R$1&amp;"P"&amp;$A12))/1000000,(100*RTD("tos.rtd",,"OPEN_INT","."&amp;R$2&amp;R$1&amp;"C"&amp;$A12)*RTD("tos.rtd",,"LAST","."&amp;R$2&amp;R$1&amp;"C"&amp;$A12)-100*RTD("tos.rtd",,"OPEN_INT","."&amp;R$2&amp;R$1&amp;"P"&amp;$A12)*RTD("tos.rtd",,"LAST","."&amp;R$2&amp;R$1&amp;"P"&amp;$A12))/1000000),0),IF($A$2="PREMIUM",IFERROR(IF($X$1="ABS",(100*RTD("tos.rtd",,"VOLUME","."&amp;R$2&amp;R$1&amp;"C"&amp;$A12)*RTD("tos.rtd",,"LAST","."&amp;R$2&amp;R$1&amp;"C"&amp;$A12)+100*RTD("tos.rtd",,"VOLUME","."&amp;R$2&amp;R$1&amp;"P"&amp;$A12)*RTD("tos.rtd",,"LAST","."&amp;R$2&amp;R$1&amp;"P"&amp;$A12))/1000000,(100*RTD("tos.rtd",,"VOLUME","."&amp;R$2&amp;R$1&amp;"C"&amp;$A12)*RTD("tos.rtd",,"LAST","."&amp;R$2&amp;R$1&amp;"C"&amp;$A12)-100*RTD("tos.rtd",,"VOLUME","."&amp;R$2&amp;R$1&amp;"P"&amp;$A12)*RTD("tos.rtd",,"LAST","."&amp;R$2&amp;R$1&amp;"P"&amp;$A12))/1000000),0),IF($A$2="DEX",IFERROR(IF($X$1="ABS",(100*RTD("tos.rtd",,"OPEN_INT","."&amp;R$2&amp;R$1&amp;"C"&amp;$A12)*RTD("tos.rtd",,"DELTA","."&amp;R$2&amp;R$1&amp;"C"&amp;$A12)+100*RTD("tos.rtd",,"OPEN_INT","."&amp;R$2&amp;R$1&amp;"P"&amp;$A12)*RTD("tos.rtd",,"DELTA","."&amp;R$2&amp;R$1&amp;"P"&amp;$A12))/1000,(100*RTD("tos.rtd",,"OPEN_INT","."&amp;R$2&amp;R$1&amp;"C"&amp;$A12)*RTD("tos.rtd",,"DELTA","."&amp;R$2&amp;R$1&amp;"C"&amp;$A12)-100*RTD("tos.rtd",,"OPEN_INT","."&amp;R$2&amp;R$1&amp;"P"&amp;$A12)*RTD("tos.rtd",,"DELTA","."&amp;R$2&amp;R$1&amp;"P"&amp;$A12))/1000),0),IF($A$2="VEX",IFERROR(IF($X$1="ABS",($A$4*$A$4*RTD("tos.rtd",,"VOLUME","."&amp;R$2&amp;R$1&amp;"C"&amp;$A12)*RTD("tos.rtd",,"GAMMA","."&amp;R$2&amp;R$1&amp;"C"&amp;$A12)+$A$4*$A$4*RTD("tos.rtd",,"VOLUME","."&amp;R$2&amp;R$1&amp;"P"&amp;$A12)*RTD("tos.rtd",,"GAMMA","."&amp;R$2&amp;R$1&amp;"P"&amp;$A12))/1000000,($A$4*$A$4*RTD("tos.rtd",,"VOLUME","."&amp;R$2&amp;R$1&amp;"C"&amp;$A12)*RTD("tos.rtd",,"GAMMA","."&amp;R$2&amp;R$1&amp;"C"&amp;$A12)-$A$4*$A$4*RTD("tos.rtd",,"VOLUME","."&amp;R$2&amp;R$1&amp;"P"&amp;$A12)*RTD("tos.rtd",,"GAMMA","."&amp;R$2&amp;R$1&amp;"P"&amp;$A12))/1000000),0),IF($A$2="GEX",IFERROR(IF($X$1="ABS",($A$4*$A$4*RTD("tos.rtd",,"OPEN_INT","."&amp;R$2&amp;R$1&amp;"C"&amp;$A12)*RTD("tos.rtd",,"GAMMA","."&amp;R$2&amp;R$1&amp;"C"&amp;$A12)+$A$4*$A$4*RTD("tos.rtd",,"OPEN_INT","."&amp;R$2&amp;R$1&amp;"P"&amp;$A12)*RTD("tos.rtd",,"GAMMA","."&amp;R$2&amp;R$1&amp;"P"&amp;$A12))/1000000,($A$4*$A$4*RTD("tos.rtd",,"OPEN_INT","."&amp;R$2&amp;R$1&amp;"C"&amp;$A12)*RTD("tos.rtd",,"GAMMA","."&amp;R$2&amp;R$1&amp;"C"&amp;$A12)-$A$4*$A$4*RTD("tos.rtd",,"OPEN_INT","."&amp;R$2&amp;R$1&amp;"P"&amp;$A12)*RTD("tos.rtd",,"GAMMA","."&amp;R$2&amp;R$1&amp;"P"&amp;$A12))/1000000),0),IF($A$2="SKEW",IFERROR(VALUE(IF(RTD("tos.rtd",,"IMPL_VOL","."&amp;R$2&amp;R$1&amp;"P"&amp;$A12)="N/A",0,RTD("tos.rtd",,"IMPL_VOL","."&amp;R$2&amp;R$1&amp;"P"&amp;$A12))),0)-IFERROR(VALUE(IF(RTD("tos.rtd",,"IMPL_VOL","."&amp;R$2&amp;R$1&amp;"C"&amp;$A12)="N/A",0,RTD("tos.rtd",,"IMPL_VOL","."&amp;R$2&amp;R$1&amp;"C"&amp;$A12))),0),IF($A$2="MAXPAIN",IF($A$4&gt;$A12,($A$4-$A12)*IF(RTD("tos.rtd",,"OPEN_INT","."&amp;R$2&amp;R$1&amp;"C"&amp;$A12)="N/A",0,RTD("tos.rtd",,"OPEN_INT","."&amp;R$2&amp;R$1&amp;"C"&amp;$A12)),0)+IF($A$4&lt;$A12,($A$5-$A$4)*IF(RTD("tos.rtd",,"OPEN_INT","."&amp;R$2&amp;R$1&amp;"P"&amp;$A12)="N/A",0,RTD("tos.rtd",,"OPEN_INT","."&amp;R$2&amp;R$1&amp;"P"&amp;$A12)),0),IF($X$1="ABS",IF(RTD("tos.rtd",,$A$2,"."&amp;R$2&amp;R$1&amp;"C"&amp;$A12)="N/A",0,RTD("tos.rtd",,$A$2,"."&amp;R$2&amp;R$1&amp;"C"&amp;$A12))+IF(RTD("tos.rtd",,$A$2,"."&amp;R$2&amp;R$1&amp;"P"&amp;$A12)="N/A",0,RTD("tos.rtd",,$A$2,"."&amp;R$2&amp;R$1&amp;"P"&amp;$A12)),IF(RTD("tos.rtd",,$A$2,"."&amp;R$2&amp;R$1&amp;"C"&amp;$A12)="N/A",0,RTD("tos.rtd",,$A$2,"."&amp;R$2&amp;R$1&amp;"C"&amp;$A12))-IF(RTD("tos.rtd",,$A$2,"."&amp;R$2&amp;R$1&amp;"P"&amp;$A12)="N/A",0,RTD("tos.rtd",,$A$2,"."&amp;R$2&amp;R$1&amp;"P"&amp;$A12))))))))))</f>
        <v>0</v>
      </c>
      <c r="S12" s="12">
        <f ca="1">IF($A$2="PREMIUM_OI",IFERROR(IF($X$1="ABS",(100*RTD("tos.rtd",,"OPEN_INT","."&amp;S$2&amp;S$1&amp;"C"&amp;$A12)*RTD("tos.rtd",,"LAST","."&amp;S$2&amp;S$1&amp;"C"&amp;$A12)+100*RTD("tos.rtd",,"OPEN_INT","."&amp;S$2&amp;S$1&amp;"P"&amp;$A12)*RTD("tos.rtd",,"LAST","."&amp;S$2&amp;S$1&amp;"P"&amp;$A12))/1000000,(100*RTD("tos.rtd",,"OPEN_INT","."&amp;S$2&amp;S$1&amp;"C"&amp;$A12)*RTD("tos.rtd",,"LAST","."&amp;S$2&amp;S$1&amp;"C"&amp;$A12)-100*RTD("tos.rtd",,"OPEN_INT","."&amp;S$2&amp;S$1&amp;"P"&amp;$A12)*RTD("tos.rtd",,"LAST","."&amp;S$2&amp;S$1&amp;"P"&amp;$A12))/1000000),0),IF($A$2="PREMIUM",IFERROR(IF($X$1="ABS",(100*RTD("tos.rtd",,"VOLUME","."&amp;S$2&amp;S$1&amp;"C"&amp;$A12)*RTD("tos.rtd",,"LAST","."&amp;S$2&amp;S$1&amp;"C"&amp;$A12)+100*RTD("tos.rtd",,"VOLUME","."&amp;S$2&amp;S$1&amp;"P"&amp;$A12)*RTD("tos.rtd",,"LAST","."&amp;S$2&amp;S$1&amp;"P"&amp;$A12))/1000000,(100*RTD("tos.rtd",,"VOLUME","."&amp;S$2&amp;S$1&amp;"C"&amp;$A12)*RTD("tos.rtd",,"LAST","."&amp;S$2&amp;S$1&amp;"C"&amp;$A12)-100*RTD("tos.rtd",,"VOLUME","."&amp;S$2&amp;S$1&amp;"P"&amp;$A12)*RTD("tos.rtd",,"LAST","."&amp;S$2&amp;S$1&amp;"P"&amp;$A12))/1000000),0),IF($A$2="DEX",IFERROR(IF($X$1="ABS",(100*RTD("tos.rtd",,"OPEN_INT","."&amp;S$2&amp;S$1&amp;"C"&amp;$A12)*RTD("tos.rtd",,"DELTA","."&amp;S$2&amp;S$1&amp;"C"&amp;$A12)+100*RTD("tos.rtd",,"OPEN_INT","."&amp;S$2&amp;S$1&amp;"P"&amp;$A12)*RTD("tos.rtd",,"DELTA","."&amp;S$2&amp;S$1&amp;"P"&amp;$A12))/1000,(100*RTD("tos.rtd",,"OPEN_INT","."&amp;S$2&amp;S$1&amp;"C"&amp;$A12)*RTD("tos.rtd",,"DELTA","."&amp;S$2&amp;S$1&amp;"C"&amp;$A12)-100*RTD("tos.rtd",,"OPEN_INT","."&amp;S$2&amp;S$1&amp;"P"&amp;$A12)*RTD("tos.rtd",,"DELTA","."&amp;S$2&amp;S$1&amp;"P"&amp;$A12))/1000),0),IF($A$2="VEX",IFERROR(IF($X$1="ABS",($A$4*$A$4*RTD("tos.rtd",,"VOLUME","."&amp;S$2&amp;S$1&amp;"C"&amp;$A12)*RTD("tos.rtd",,"GAMMA","."&amp;S$2&amp;S$1&amp;"C"&amp;$A12)+$A$4*$A$4*RTD("tos.rtd",,"VOLUME","."&amp;S$2&amp;S$1&amp;"P"&amp;$A12)*RTD("tos.rtd",,"GAMMA","."&amp;S$2&amp;S$1&amp;"P"&amp;$A12))/1000000,($A$4*$A$4*RTD("tos.rtd",,"VOLUME","."&amp;S$2&amp;S$1&amp;"C"&amp;$A12)*RTD("tos.rtd",,"GAMMA","."&amp;S$2&amp;S$1&amp;"C"&amp;$A12)-$A$4*$A$4*RTD("tos.rtd",,"VOLUME","."&amp;S$2&amp;S$1&amp;"P"&amp;$A12)*RTD("tos.rtd",,"GAMMA","."&amp;S$2&amp;S$1&amp;"P"&amp;$A12))/1000000),0),IF($A$2="GEX",IFERROR(IF($X$1="ABS",($A$4*$A$4*RTD("tos.rtd",,"OPEN_INT","."&amp;S$2&amp;S$1&amp;"C"&amp;$A12)*RTD("tos.rtd",,"GAMMA","."&amp;S$2&amp;S$1&amp;"C"&amp;$A12)+$A$4*$A$4*RTD("tos.rtd",,"OPEN_INT","."&amp;S$2&amp;S$1&amp;"P"&amp;$A12)*RTD("tos.rtd",,"GAMMA","."&amp;S$2&amp;S$1&amp;"P"&amp;$A12))/1000000,($A$4*$A$4*RTD("tos.rtd",,"OPEN_INT","."&amp;S$2&amp;S$1&amp;"C"&amp;$A12)*RTD("tos.rtd",,"GAMMA","."&amp;S$2&amp;S$1&amp;"C"&amp;$A12)-$A$4*$A$4*RTD("tos.rtd",,"OPEN_INT","."&amp;S$2&amp;S$1&amp;"P"&amp;$A12)*RTD("tos.rtd",,"GAMMA","."&amp;S$2&amp;S$1&amp;"P"&amp;$A12))/1000000),0),IF($A$2="SKEW",IFERROR(VALUE(IF(RTD("tos.rtd",,"IMPL_VOL","."&amp;S$2&amp;S$1&amp;"P"&amp;$A12)="N/A",0,RTD("tos.rtd",,"IMPL_VOL","."&amp;S$2&amp;S$1&amp;"P"&amp;$A12))),0)-IFERROR(VALUE(IF(RTD("tos.rtd",,"IMPL_VOL","."&amp;S$2&amp;S$1&amp;"C"&amp;$A12)="N/A",0,RTD("tos.rtd",,"IMPL_VOL","."&amp;S$2&amp;S$1&amp;"C"&amp;$A12))),0),IF($A$2="MAXPAIN",IF($A$4&gt;$A12,($A$4-$A12)*IF(RTD("tos.rtd",,"OPEN_INT","."&amp;S$2&amp;S$1&amp;"C"&amp;$A12)="N/A",0,RTD("tos.rtd",,"OPEN_INT","."&amp;S$2&amp;S$1&amp;"C"&amp;$A12)),0)+IF($A$4&lt;$A12,($A$5-$A$4)*IF(RTD("tos.rtd",,"OPEN_INT","."&amp;S$2&amp;S$1&amp;"P"&amp;$A12)="N/A",0,RTD("tos.rtd",,"OPEN_INT","."&amp;S$2&amp;S$1&amp;"P"&amp;$A12)),0),IF($X$1="ABS",IF(RTD("tos.rtd",,$A$2,"."&amp;S$2&amp;S$1&amp;"C"&amp;$A12)="N/A",0,RTD("tos.rtd",,$A$2,"."&amp;S$2&amp;S$1&amp;"C"&amp;$A12))+IF(RTD("tos.rtd",,$A$2,"."&amp;S$2&amp;S$1&amp;"P"&amp;$A12)="N/A",0,RTD("tos.rtd",,$A$2,"."&amp;S$2&amp;S$1&amp;"P"&amp;$A12)),IF(RTD("tos.rtd",,$A$2,"."&amp;S$2&amp;S$1&amp;"C"&amp;$A12)="N/A",0,RTD("tos.rtd",,$A$2,"."&amp;S$2&amp;S$1&amp;"C"&amp;$A12))-IF(RTD("tos.rtd",,$A$2,"."&amp;S$2&amp;S$1&amp;"P"&amp;$A12)="N/A",0,RTD("tos.rtd",,$A$2,"."&amp;S$2&amp;S$1&amp;"P"&amp;$A12))))))))))</f>
        <v>0</v>
      </c>
      <c r="T12" s="12">
        <f ca="1">IF($A$2="PREMIUM_OI",IFERROR(IF($X$1="ABS",(100*RTD("tos.rtd",,"OPEN_INT","."&amp;T$2&amp;T$1&amp;"C"&amp;$A12)*RTD("tos.rtd",,"LAST","."&amp;T$2&amp;T$1&amp;"C"&amp;$A12)+100*RTD("tos.rtd",,"OPEN_INT","."&amp;T$2&amp;T$1&amp;"P"&amp;$A12)*RTD("tos.rtd",,"LAST","."&amp;T$2&amp;T$1&amp;"P"&amp;$A12))/1000000,(100*RTD("tos.rtd",,"OPEN_INT","."&amp;T$2&amp;T$1&amp;"C"&amp;$A12)*RTD("tos.rtd",,"LAST","."&amp;T$2&amp;T$1&amp;"C"&amp;$A12)-100*RTD("tos.rtd",,"OPEN_INT","."&amp;T$2&amp;T$1&amp;"P"&amp;$A12)*RTD("tos.rtd",,"LAST","."&amp;T$2&amp;T$1&amp;"P"&amp;$A12))/1000000),0),IF($A$2="PREMIUM",IFERROR(IF($X$1="ABS",(100*RTD("tos.rtd",,"VOLUME","."&amp;T$2&amp;T$1&amp;"C"&amp;$A12)*RTD("tos.rtd",,"LAST","."&amp;T$2&amp;T$1&amp;"C"&amp;$A12)+100*RTD("tos.rtd",,"VOLUME","."&amp;T$2&amp;T$1&amp;"P"&amp;$A12)*RTD("tos.rtd",,"LAST","."&amp;T$2&amp;T$1&amp;"P"&amp;$A12))/1000000,(100*RTD("tos.rtd",,"VOLUME","."&amp;T$2&amp;T$1&amp;"C"&amp;$A12)*RTD("tos.rtd",,"LAST","."&amp;T$2&amp;T$1&amp;"C"&amp;$A12)-100*RTD("tos.rtd",,"VOLUME","."&amp;T$2&amp;T$1&amp;"P"&amp;$A12)*RTD("tos.rtd",,"LAST","."&amp;T$2&amp;T$1&amp;"P"&amp;$A12))/1000000),0),IF($A$2="DEX",IFERROR(IF($X$1="ABS",(100*RTD("tos.rtd",,"OPEN_INT","."&amp;T$2&amp;T$1&amp;"C"&amp;$A12)*RTD("tos.rtd",,"DELTA","."&amp;T$2&amp;T$1&amp;"C"&amp;$A12)+100*RTD("tos.rtd",,"OPEN_INT","."&amp;T$2&amp;T$1&amp;"P"&amp;$A12)*RTD("tos.rtd",,"DELTA","."&amp;T$2&amp;T$1&amp;"P"&amp;$A12))/1000,(100*RTD("tos.rtd",,"OPEN_INT","."&amp;T$2&amp;T$1&amp;"C"&amp;$A12)*RTD("tos.rtd",,"DELTA","."&amp;T$2&amp;T$1&amp;"C"&amp;$A12)-100*RTD("tos.rtd",,"OPEN_INT","."&amp;T$2&amp;T$1&amp;"P"&amp;$A12)*RTD("tos.rtd",,"DELTA","."&amp;T$2&amp;T$1&amp;"P"&amp;$A12))/1000),0),IF($A$2="VEX",IFERROR(IF($X$1="ABS",($A$4*$A$4*RTD("tos.rtd",,"VOLUME","."&amp;T$2&amp;T$1&amp;"C"&amp;$A12)*RTD("tos.rtd",,"GAMMA","."&amp;T$2&amp;T$1&amp;"C"&amp;$A12)+$A$4*$A$4*RTD("tos.rtd",,"VOLUME","."&amp;T$2&amp;T$1&amp;"P"&amp;$A12)*RTD("tos.rtd",,"GAMMA","."&amp;T$2&amp;T$1&amp;"P"&amp;$A12))/1000000,($A$4*$A$4*RTD("tos.rtd",,"VOLUME","."&amp;T$2&amp;T$1&amp;"C"&amp;$A12)*RTD("tos.rtd",,"GAMMA","."&amp;T$2&amp;T$1&amp;"C"&amp;$A12)-$A$4*$A$4*RTD("tos.rtd",,"VOLUME","."&amp;T$2&amp;T$1&amp;"P"&amp;$A12)*RTD("tos.rtd",,"GAMMA","."&amp;T$2&amp;T$1&amp;"P"&amp;$A12))/1000000),0),IF($A$2="GEX",IFERROR(IF($X$1="ABS",($A$4*$A$4*RTD("tos.rtd",,"OPEN_INT","."&amp;T$2&amp;T$1&amp;"C"&amp;$A12)*RTD("tos.rtd",,"GAMMA","."&amp;T$2&amp;T$1&amp;"C"&amp;$A12)+$A$4*$A$4*RTD("tos.rtd",,"OPEN_INT","."&amp;T$2&amp;T$1&amp;"P"&amp;$A12)*RTD("tos.rtd",,"GAMMA","."&amp;T$2&amp;T$1&amp;"P"&amp;$A12))/1000000,($A$4*$A$4*RTD("tos.rtd",,"OPEN_INT","."&amp;T$2&amp;T$1&amp;"C"&amp;$A12)*RTD("tos.rtd",,"GAMMA","."&amp;T$2&amp;T$1&amp;"C"&amp;$A12)-$A$4*$A$4*RTD("tos.rtd",,"OPEN_INT","."&amp;T$2&amp;T$1&amp;"P"&amp;$A12)*RTD("tos.rtd",,"GAMMA","."&amp;T$2&amp;T$1&amp;"P"&amp;$A12))/1000000),0),IF($A$2="SKEW",IFERROR(VALUE(IF(RTD("tos.rtd",,"IMPL_VOL","."&amp;T$2&amp;T$1&amp;"P"&amp;$A12)="N/A",0,RTD("tos.rtd",,"IMPL_VOL","."&amp;T$2&amp;T$1&amp;"P"&amp;$A12))),0)-IFERROR(VALUE(IF(RTD("tos.rtd",,"IMPL_VOL","."&amp;T$2&amp;T$1&amp;"C"&amp;$A12)="N/A",0,RTD("tos.rtd",,"IMPL_VOL","."&amp;T$2&amp;T$1&amp;"C"&amp;$A12))),0),IF($A$2="MAXPAIN",IF($A$4&gt;$A12,($A$4-$A12)*IF(RTD("tos.rtd",,"OPEN_INT","."&amp;T$2&amp;T$1&amp;"C"&amp;$A12)="N/A",0,RTD("tos.rtd",,"OPEN_INT","."&amp;T$2&amp;T$1&amp;"C"&amp;$A12)),0)+IF($A$4&lt;$A12,($A$5-$A$4)*IF(RTD("tos.rtd",,"OPEN_INT","."&amp;T$2&amp;T$1&amp;"P"&amp;$A12)="N/A",0,RTD("tos.rtd",,"OPEN_INT","."&amp;T$2&amp;T$1&amp;"P"&amp;$A12)),0),IF($X$1="ABS",IF(RTD("tos.rtd",,$A$2,"."&amp;T$2&amp;T$1&amp;"C"&amp;$A12)="N/A",0,RTD("tos.rtd",,$A$2,"."&amp;T$2&amp;T$1&amp;"C"&amp;$A12))+IF(RTD("tos.rtd",,$A$2,"."&amp;T$2&amp;T$1&amp;"P"&amp;$A12)="N/A",0,RTD("tos.rtd",,$A$2,"."&amp;T$2&amp;T$1&amp;"P"&amp;$A12)),IF(RTD("tos.rtd",,$A$2,"."&amp;T$2&amp;T$1&amp;"C"&amp;$A12)="N/A",0,RTD("tos.rtd",,$A$2,"."&amp;T$2&amp;T$1&amp;"C"&amp;$A12))-IF(RTD("tos.rtd",,$A$2,"."&amp;T$2&amp;T$1&amp;"P"&amp;$A12)="N/A",0,RTD("tos.rtd",,$A$2,"."&amp;T$2&amp;T$1&amp;"P"&amp;$A12))))))))))</f>
        <v>0</v>
      </c>
      <c r="U12" s="12">
        <f ca="1">IF($A$2="PREMIUM_OI",IFERROR(IF($X$1="ABS",(100*RTD("tos.rtd",,"OPEN_INT","."&amp;U$2&amp;U$1&amp;"C"&amp;$A12)*RTD("tos.rtd",,"LAST","."&amp;U$2&amp;U$1&amp;"C"&amp;$A12)+100*RTD("tos.rtd",,"OPEN_INT","."&amp;U$2&amp;U$1&amp;"P"&amp;$A12)*RTD("tos.rtd",,"LAST","."&amp;U$2&amp;U$1&amp;"P"&amp;$A12))/1000000,(100*RTD("tos.rtd",,"OPEN_INT","."&amp;U$2&amp;U$1&amp;"C"&amp;$A12)*RTD("tos.rtd",,"LAST","."&amp;U$2&amp;U$1&amp;"C"&amp;$A12)-100*RTD("tos.rtd",,"OPEN_INT","."&amp;U$2&amp;U$1&amp;"P"&amp;$A12)*RTD("tos.rtd",,"LAST","."&amp;U$2&amp;U$1&amp;"P"&amp;$A12))/1000000),0),IF($A$2="PREMIUM",IFERROR(IF($X$1="ABS",(100*RTD("tos.rtd",,"VOLUME","."&amp;U$2&amp;U$1&amp;"C"&amp;$A12)*RTD("tos.rtd",,"LAST","."&amp;U$2&amp;U$1&amp;"C"&amp;$A12)+100*RTD("tos.rtd",,"VOLUME","."&amp;U$2&amp;U$1&amp;"P"&amp;$A12)*RTD("tos.rtd",,"LAST","."&amp;U$2&amp;U$1&amp;"P"&amp;$A12))/1000000,(100*RTD("tos.rtd",,"VOLUME","."&amp;U$2&amp;U$1&amp;"C"&amp;$A12)*RTD("tos.rtd",,"LAST","."&amp;U$2&amp;U$1&amp;"C"&amp;$A12)-100*RTD("tos.rtd",,"VOLUME","."&amp;U$2&amp;U$1&amp;"P"&amp;$A12)*RTD("tos.rtd",,"LAST","."&amp;U$2&amp;U$1&amp;"P"&amp;$A12))/1000000),0),IF($A$2="DEX",IFERROR(IF($X$1="ABS",(100*RTD("tos.rtd",,"OPEN_INT","."&amp;U$2&amp;U$1&amp;"C"&amp;$A12)*RTD("tos.rtd",,"DELTA","."&amp;U$2&amp;U$1&amp;"C"&amp;$A12)+100*RTD("tos.rtd",,"OPEN_INT","."&amp;U$2&amp;U$1&amp;"P"&amp;$A12)*RTD("tos.rtd",,"DELTA","."&amp;U$2&amp;U$1&amp;"P"&amp;$A12))/1000,(100*RTD("tos.rtd",,"OPEN_INT","."&amp;U$2&amp;U$1&amp;"C"&amp;$A12)*RTD("tos.rtd",,"DELTA","."&amp;U$2&amp;U$1&amp;"C"&amp;$A12)-100*RTD("tos.rtd",,"OPEN_INT","."&amp;U$2&amp;U$1&amp;"P"&amp;$A12)*RTD("tos.rtd",,"DELTA","."&amp;U$2&amp;U$1&amp;"P"&amp;$A12))/1000),0),IF($A$2="VEX",IFERROR(IF($X$1="ABS",($A$4*$A$4*RTD("tos.rtd",,"VOLUME","."&amp;U$2&amp;U$1&amp;"C"&amp;$A12)*RTD("tos.rtd",,"GAMMA","."&amp;U$2&amp;U$1&amp;"C"&amp;$A12)+$A$4*$A$4*RTD("tos.rtd",,"VOLUME","."&amp;U$2&amp;U$1&amp;"P"&amp;$A12)*RTD("tos.rtd",,"GAMMA","."&amp;U$2&amp;U$1&amp;"P"&amp;$A12))/1000000,($A$4*$A$4*RTD("tos.rtd",,"VOLUME","."&amp;U$2&amp;U$1&amp;"C"&amp;$A12)*RTD("tos.rtd",,"GAMMA","."&amp;U$2&amp;U$1&amp;"C"&amp;$A12)-$A$4*$A$4*RTD("tos.rtd",,"VOLUME","."&amp;U$2&amp;U$1&amp;"P"&amp;$A12)*RTD("tos.rtd",,"GAMMA","."&amp;U$2&amp;U$1&amp;"P"&amp;$A12))/1000000),0),IF($A$2="GEX",IFERROR(IF($X$1="ABS",($A$4*$A$4*RTD("tos.rtd",,"OPEN_INT","."&amp;U$2&amp;U$1&amp;"C"&amp;$A12)*RTD("tos.rtd",,"GAMMA","."&amp;U$2&amp;U$1&amp;"C"&amp;$A12)+$A$4*$A$4*RTD("tos.rtd",,"OPEN_INT","."&amp;U$2&amp;U$1&amp;"P"&amp;$A12)*RTD("tos.rtd",,"GAMMA","."&amp;U$2&amp;U$1&amp;"P"&amp;$A12))/1000000,($A$4*$A$4*RTD("tos.rtd",,"OPEN_INT","."&amp;U$2&amp;U$1&amp;"C"&amp;$A12)*RTD("tos.rtd",,"GAMMA","."&amp;U$2&amp;U$1&amp;"C"&amp;$A12)-$A$4*$A$4*RTD("tos.rtd",,"OPEN_INT","."&amp;U$2&amp;U$1&amp;"P"&amp;$A12)*RTD("tos.rtd",,"GAMMA","."&amp;U$2&amp;U$1&amp;"P"&amp;$A12))/1000000),0),IF($A$2="SKEW",IFERROR(VALUE(IF(RTD("tos.rtd",,"IMPL_VOL","."&amp;U$2&amp;U$1&amp;"P"&amp;$A12)="N/A",0,RTD("tos.rtd",,"IMPL_VOL","."&amp;U$2&amp;U$1&amp;"P"&amp;$A12))),0)-IFERROR(VALUE(IF(RTD("tos.rtd",,"IMPL_VOL","."&amp;U$2&amp;U$1&amp;"C"&amp;$A12)="N/A",0,RTD("tos.rtd",,"IMPL_VOL","."&amp;U$2&amp;U$1&amp;"C"&amp;$A12))),0),IF($A$2="MAXPAIN",IF($A$4&gt;$A12,($A$4-$A12)*IF(RTD("tos.rtd",,"OPEN_INT","."&amp;U$2&amp;U$1&amp;"C"&amp;$A12)="N/A",0,RTD("tos.rtd",,"OPEN_INT","."&amp;U$2&amp;U$1&amp;"C"&amp;$A12)),0)+IF($A$4&lt;$A12,($A$5-$A$4)*IF(RTD("tos.rtd",,"OPEN_INT","."&amp;U$2&amp;U$1&amp;"P"&amp;$A12)="N/A",0,RTD("tos.rtd",,"OPEN_INT","."&amp;U$2&amp;U$1&amp;"P"&amp;$A12)),0),IF($X$1="ABS",IF(RTD("tos.rtd",,$A$2,"."&amp;U$2&amp;U$1&amp;"C"&amp;$A12)="N/A",0,RTD("tos.rtd",,$A$2,"."&amp;U$2&amp;U$1&amp;"C"&amp;$A12))+IF(RTD("tos.rtd",,$A$2,"."&amp;U$2&amp;U$1&amp;"P"&amp;$A12)="N/A",0,RTD("tos.rtd",,$A$2,"."&amp;U$2&amp;U$1&amp;"P"&amp;$A12)),IF(RTD("tos.rtd",,$A$2,"."&amp;U$2&amp;U$1&amp;"C"&amp;$A12)="N/A",0,RTD("tos.rtd",,$A$2,"."&amp;U$2&amp;U$1&amp;"C"&amp;$A12))-IF(RTD("tos.rtd",,$A$2,"."&amp;U$2&amp;U$1&amp;"P"&amp;$A12)="N/A",0,RTD("tos.rtd",,$A$2,"."&amp;U$2&amp;U$1&amp;"P"&amp;$A12))))))))))</f>
        <v>0</v>
      </c>
      <c r="V12" s="12">
        <f ca="1">IF($A$2="PREMIUM_OI",IFERROR(IF($X$1="ABS",(100*RTD("tos.rtd",,"OPEN_INT","."&amp;V$2&amp;V$1&amp;"C"&amp;$A12)*RTD("tos.rtd",,"LAST","."&amp;V$2&amp;V$1&amp;"C"&amp;$A12)+100*RTD("tos.rtd",,"OPEN_INT","."&amp;V$2&amp;V$1&amp;"P"&amp;$A12)*RTD("tos.rtd",,"LAST","."&amp;V$2&amp;V$1&amp;"P"&amp;$A12))/1000000,(100*RTD("tos.rtd",,"OPEN_INT","."&amp;V$2&amp;V$1&amp;"C"&amp;$A12)*RTD("tos.rtd",,"LAST","."&amp;V$2&amp;V$1&amp;"C"&amp;$A12)-100*RTD("tos.rtd",,"OPEN_INT","."&amp;V$2&amp;V$1&amp;"P"&amp;$A12)*RTD("tos.rtd",,"LAST","."&amp;V$2&amp;V$1&amp;"P"&amp;$A12))/1000000),0),IF($A$2="PREMIUM",IFERROR(IF($X$1="ABS",(100*RTD("tos.rtd",,"VOLUME","."&amp;V$2&amp;V$1&amp;"C"&amp;$A12)*RTD("tos.rtd",,"LAST","."&amp;V$2&amp;V$1&amp;"C"&amp;$A12)+100*RTD("tos.rtd",,"VOLUME","."&amp;V$2&amp;V$1&amp;"P"&amp;$A12)*RTD("tos.rtd",,"LAST","."&amp;V$2&amp;V$1&amp;"P"&amp;$A12))/1000000,(100*RTD("tos.rtd",,"VOLUME","."&amp;V$2&amp;V$1&amp;"C"&amp;$A12)*RTD("tos.rtd",,"LAST","."&amp;V$2&amp;V$1&amp;"C"&amp;$A12)-100*RTD("tos.rtd",,"VOLUME","."&amp;V$2&amp;V$1&amp;"P"&amp;$A12)*RTD("tos.rtd",,"LAST","."&amp;V$2&amp;V$1&amp;"P"&amp;$A12))/1000000),0),IF($A$2="DEX",IFERROR(IF($X$1="ABS",(100*RTD("tos.rtd",,"OPEN_INT","."&amp;V$2&amp;V$1&amp;"C"&amp;$A12)*RTD("tos.rtd",,"DELTA","."&amp;V$2&amp;V$1&amp;"C"&amp;$A12)+100*RTD("tos.rtd",,"OPEN_INT","."&amp;V$2&amp;V$1&amp;"P"&amp;$A12)*RTD("tos.rtd",,"DELTA","."&amp;V$2&amp;V$1&amp;"P"&amp;$A12))/1000,(100*RTD("tos.rtd",,"OPEN_INT","."&amp;V$2&amp;V$1&amp;"C"&amp;$A12)*RTD("tos.rtd",,"DELTA","."&amp;V$2&amp;V$1&amp;"C"&amp;$A12)-100*RTD("tos.rtd",,"OPEN_INT","."&amp;V$2&amp;V$1&amp;"P"&amp;$A12)*RTD("tos.rtd",,"DELTA","."&amp;V$2&amp;V$1&amp;"P"&amp;$A12))/1000),0),IF($A$2="VEX",IFERROR(IF($X$1="ABS",($A$4*$A$4*RTD("tos.rtd",,"VOLUME","."&amp;V$2&amp;V$1&amp;"C"&amp;$A12)*RTD("tos.rtd",,"GAMMA","."&amp;V$2&amp;V$1&amp;"C"&amp;$A12)+$A$4*$A$4*RTD("tos.rtd",,"VOLUME","."&amp;V$2&amp;V$1&amp;"P"&amp;$A12)*RTD("tos.rtd",,"GAMMA","."&amp;V$2&amp;V$1&amp;"P"&amp;$A12))/1000000,($A$4*$A$4*RTD("tos.rtd",,"VOLUME","."&amp;V$2&amp;V$1&amp;"C"&amp;$A12)*RTD("tos.rtd",,"GAMMA","."&amp;V$2&amp;V$1&amp;"C"&amp;$A12)-$A$4*$A$4*RTD("tos.rtd",,"VOLUME","."&amp;V$2&amp;V$1&amp;"P"&amp;$A12)*RTD("tos.rtd",,"GAMMA","."&amp;V$2&amp;V$1&amp;"P"&amp;$A12))/1000000),0),IF($A$2="GEX",IFERROR(IF($X$1="ABS",($A$4*$A$4*RTD("tos.rtd",,"OPEN_INT","."&amp;V$2&amp;V$1&amp;"C"&amp;$A12)*RTD("tos.rtd",,"GAMMA","."&amp;V$2&amp;V$1&amp;"C"&amp;$A12)+$A$4*$A$4*RTD("tos.rtd",,"OPEN_INT","."&amp;V$2&amp;V$1&amp;"P"&amp;$A12)*RTD("tos.rtd",,"GAMMA","."&amp;V$2&amp;V$1&amp;"P"&amp;$A12))/1000000,($A$4*$A$4*RTD("tos.rtd",,"OPEN_INT","."&amp;V$2&amp;V$1&amp;"C"&amp;$A12)*RTD("tos.rtd",,"GAMMA","."&amp;V$2&amp;V$1&amp;"C"&amp;$A12)-$A$4*$A$4*RTD("tos.rtd",,"OPEN_INT","."&amp;V$2&amp;V$1&amp;"P"&amp;$A12)*RTD("tos.rtd",,"GAMMA","."&amp;V$2&amp;V$1&amp;"P"&amp;$A12))/1000000),0),IF($A$2="SKEW",IFERROR(VALUE(IF(RTD("tos.rtd",,"IMPL_VOL","."&amp;V$2&amp;V$1&amp;"P"&amp;$A12)="N/A",0,RTD("tos.rtd",,"IMPL_VOL","."&amp;V$2&amp;V$1&amp;"P"&amp;$A12))),0)-IFERROR(VALUE(IF(RTD("tos.rtd",,"IMPL_VOL","."&amp;V$2&amp;V$1&amp;"C"&amp;$A12)="N/A",0,RTD("tos.rtd",,"IMPL_VOL","."&amp;V$2&amp;V$1&amp;"C"&amp;$A12))),0),IF($A$2="MAXPAIN",IF($A$4&gt;$A12,($A$4-$A12)*IF(RTD("tos.rtd",,"OPEN_INT","."&amp;V$2&amp;V$1&amp;"C"&amp;$A12)="N/A",0,RTD("tos.rtd",,"OPEN_INT","."&amp;V$2&amp;V$1&amp;"C"&amp;$A12)),0)+IF($A$4&lt;$A12,($A$5-$A$4)*IF(RTD("tos.rtd",,"OPEN_INT","."&amp;V$2&amp;V$1&amp;"P"&amp;$A12)="N/A",0,RTD("tos.rtd",,"OPEN_INT","."&amp;V$2&amp;V$1&amp;"P"&amp;$A12)),0),IF($X$1="ABS",IF(RTD("tos.rtd",,$A$2,"."&amp;V$2&amp;V$1&amp;"C"&amp;$A12)="N/A",0,RTD("tos.rtd",,$A$2,"."&amp;V$2&amp;V$1&amp;"C"&amp;$A12))+IF(RTD("tos.rtd",,$A$2,"."&amp;V$2&amp;V$1&amp;"P"&amp;$A12)="N/A",0,RTD("tos.rtd",,$A$2,"."&amp;V$2&amp;V$1&amp;"P"&amp;$A12)),IF(RTD("tos.rtd",,$A$2,"."&amp;V$2&amp;V$1&amp;"C"&amp;$A12)="N/A",0,RTD("tos.rtd",,$A$2,"."&amp;V$2&amp;V$1&amp;"C"&amp;$A12))-IF(RTD("tos.rtd",,$A$2,"."&amp;V$2&amp;V$1&amp;"P"&amp;$A12)="N/A",0,RTD("tos.rtd",,$A$2,"."&amp;V$2&amp;V$1&amp;"P"&amp;$A12))))))))))</f>
        <v>0</v>
      </c>
      <c r="W12" s="54">
        <f ca="1">IF($A$2="PREMIUM_OI",IFERROR(IF($X$1="ABS",(100*RTD("tos.rtd",,"OPEN_INT","."&amp;W$2&amp;W$1&amp;"C"&amp;$A12)*RTD("tos.rtd",,"LAST","."&amp;W$2&amp;W$1&amp;"C"&amp;$A12)+100*RTD("tos.rtd",,"OPEN_INT","."&amp;W$2&amp;W$1&amp;"P"&amp;$A12)*RTD("tos.rtd",,"LAST","."&amp;W$2&amp;W$1&amp;"P"&amp;$A12))/1000000,(100*RTD("tos.rtd",,"OPEN_INT","."&amp;W$2&amp;W$1&amp;"C"&amp;$A12)*RTD("tos.rtd",,"LAST","."&amp;W$2&amp;W$1&amp;"C"&amp;$A12)-100*RTD("tos.rtd",,"OPEN_INT","."&amp;W$2&amp;W$1&amp;"P"&amp;$A12)*RTD("tos.rtd",,"LAST","."&amp;W$2&amp;W$1&amp;"P"&amp;$A12))/1000000),0),IF($A$2="PREMIUM",IFERROR(IF($X$1="ABS",(100*RTD("tos.rtd",,"VOLUME","."&amp;W$2&amp;W$1&amp;"C"&amp;$A12)*RTD("tos.rtd",,"LAST","."&amp;W$2&amp;W$1&amp;"C"&amp;$A12)+100*RTD("tos.rtd",,"VOLUME","."&amp;W$2&amp;W$1&amp;"P"&amp;$A12)*RTD("tos.rtd",,"LAST","."&amp;W$2&amp;W$1&amp;"P"&amp;$A12))/1000000,(100*RTD("tos.rtd",,"VOLUME","."&amp;W$2&amp;W$1&amp;"C"&amp;$A12)*RTD("tos.rtd",,"LAST","."&amp;W$2&amp;W$1&amp;"C"&amp;$A12)-100*RTD("tos.rtd",,"VOLUME","."&amp;W$2&amp;W$1&amp;"P"&amp;$A12)*RTD("tos.rtd",,"LAST","."&amp;W$2&amp;W$1&amp;"P"&amp;$A12))/1000000),0),IF($A$2="DEX",IFERROR(IF($X$1="ABS",(100*RTD("tos.rtd",,"OPEN_INT","."&amp;W$2&amp;W$1&amp;"C"&amp;$A12)*RTD("tos.rtd",,"DELTA","."&amp;W$2&amp;W$1&amp;"C"&amp;$A12)+100*RTD("tos.rtd",,"OPEN_INT","."&amp;W$2&amp;W$1&amp;"P"&amp;$A12)*RTD("tos.rtd",,"DELTA","."&amp;W$2&amp;W$1&amp;"P"&amp;$A12))/1000,(100*RTD("tos.rtd",,"OPEN_INT","."&amp;W$2&amp;W$1&amp;"C"&amp;$A12)*RTD("tos.rtd",,"DELTA","."&amp;W$2&amp;W$1&amp;"C"&amp;$A12)-100*RTD("tos.rtd",,"OPEN_INT","."&amp;W$2&amp;W$1&amp;"P"&amp;$A12)*RTD("tos.rtd",,"DELTA","."&amp;W$2&amp;W$1&amp;"P"&amp;$A12))/1000),0),IF($A$2="VEX",IFERROR(IF($X$1="ABS",($A$4*$A$4*RTD("tos.rtd",,"VOLUME","."&amp;W$2&amp;W$1&amp;"C"&amp;$A12)*RTD("tos.rtd",,"GAMMA","."&amp;W$2&amp;W$1&amp;"C"&amp;$A12)+$A$4*$A$4*RTD("tos.rtd",,"VOLUME","."&amp;W$2&amp;W$1&amp;"P"&amp;$A12)*RTD("tos.rtd",,"GAMMA","."&amp;W$2&amp;W$1&amp;"P"&amp;$A12))/1000000,($A$4*$A$4*RTD("tos.rtd",,"VOLUME","."&amp;W$2&amp;W$1&amp;"C"&amp;$A12)*RTD("tos.rtd",,"GAMMA","."&amp;W$2&amp;W$1&amp;"C"&amp;$A12)-$A$4*$A$4*RTD("tos.rtd",,"VOLUME","."&amp;W$2&amp;W$1&amp;"P"&amp;$A12)*RTD("tos.rtd",,"GAMMA","."&amp;W$2&amp;W$1&amp;"P"&amp;$A12))/1000000),0),IF($A$2="GEX",IFERROR(IF($X$1="ABS",($A$4*$A$4*RTD("tos.rtd",,"OPEN_INT","."&amp;W$2&amp;W$1&amp;"C"&amp;$A12)*RTD("tos.rtd",,"GAMMA","."&amp;W$2&amp;W$1&amp;"C"&amp;$A12)+$A$4*$A$4*RTD("tos.rtd",,"OPEN_INT","."&amp;W$2&amp;W$1&amp;"P"&amp;$A12)*RTD("tos.rtd",,"GAMMA","."&amp;W$2&amp;W$1&amp;"P"&amp;$A12))/1000000,($A$4*$A$4*RTD("tos.rtd",,"OPEN_INT","."&amp;W$2&amp;W$1&amp;"C"&amp;$A12)*RTD("tos.rtd",,"GAMMA","."&amp;W$2&amp;W$1&amp;"C"&amp;$A12)-$A$4*$A$4*RTD("tos.rtd",,"OPEN_INT","."&amp;W$2&amp;W$1&amp;"P"&amp;$A12)*RTD("tos.rtd",,"GAMMA","."&amp;W$2&amp;W$1&amp;"P"&amp;$A12))/1000000),0),IF($A$2="SKEW",IFERROR(VALUE(IF(RTD("tos.rtd",,"IMPL_VOL","."&amp;W$2&amp;W$1&amp;"P"&amp;$A12)="N/A",0,RTD("tos.rtd",,"IMPL_VOL","."&amp;W$2&amp;W$1&amp;"P"&amp;$A12))),0)-IFERROR(VALUE(IF(RTD("tos.rtd",,"IMPL_VOL","."&amp;W$2&amp;W$1&amp;"C"&amp;$A12)="N/A",0,RTD("tos.rtd",,"IMPL_VOL","."&amp;W$2&amp;W$1&amp;"C"&amp;$A12))),0),IF($A$2="MAXPAIN",IF($A$4&gt;$A12,($A$4-$A12)*IF(RTD("tos.rtd",,"OPEN_INT","."&amp;W$2&amp;W$1&amp;"C"&amp;$A12)="N/A",0,RTD("tos.rtd",,"OPEN_INT","."&amp;W$2&amp;W$1&amp;"C"&amp;$A12)),0)+IF($A$4&lt;$A12,($A$5-$A$4)*IF(RTD("tos.rtd",,"OPEN_INT","."&amp;W$2&amp;W$1&amp;"P"&amp;$A12)="N/A",0,RTD("tos.rtd",,"OPEN_INT","."&amp;W$2&amp;W$1&amp;"P"&amp;$A12)),0),IF($X$1="ABS",IF(RTD("tos.rtd",,$A$2,"."&amp;W$2&amp;W$1&amp;"C"&amp;$A12)="N/A",0,RTD("tos.rtd",,$A$2,"."&amp;W$2&amp;W$1&amp;"C"&amp;$A12))+IF(RTD("tos.rtd",,$A$2,"."&amp;W$2&amp;W$1&amp;"P"&amp;$A12)="N/A",0,RTD("tos.rtd",,$A$2,"."&amp;W$2&amp;W$1&amp;"P"&amp;$A12)),IF(RTD("tos.rtd",,$A$2,"."&amp;W$2&amp;W$1&amp;"C"&amp;$A12)="N/A",0,RTD("tos.rtd",,$A$2,"."&amp;W$2&amp;W$1&amp;"C"&amp;$A12))-IF(RTD("tos.rtd",,$A$2,"."&amp;W$2&amp;W$1&amp;"P"&amp;$A12)="N/A",0,RTD("tos.rtd",,$A$2,"."&amp;W$2&amp;W$1&amp;"P"&amp;$A12))))))))))</f>
        <v>0</v>
      </c>
      <c r="X12" s="57">
        <f t="shared" ca="1" si="8"/>
        <v>0</v>
      </c>
      <c r="Y12" s="27">
        <f t="shared" ca="1" si="9"/>
        <v>0</v>
      </c>
      <c r="Z12" s="27">
        <f ca="1">+'OI-VOL'!Y12</f>
        <v>8155</v>
      </c>
      <c r="AA12" s="27" t="b">
        <f t="shared" ca="1" si="10"/>
        <v>0</v>
      </c>
      <c r="AB12" s="27">
        <f t="shared" si="11"/>
        <v>188966850</v>
      </c>
      <c r="AC12" s="18">
        <f>MAX(0, $A12-AC$4)*IF(RTD("tos.rtd",,"OPEN_INT","."&amp;$AB$3&amp;$AB$4&amp;"C"&amp;AC$4)="N/A",0,RTD("tos.rtd",,"OPEN_INT","."&amp;$AB$3&amp;$AB$4&amp;"C"&amp;AC$4))*100 + MAX(0, AC$4-$A12)*IF(RTD("tos.rtd",,"OPEN_INT","."&amp;$AB$3&amp;$AB$4&amp;"P"&amp;AC$4)="N/A",0,RTD("tos.rtd",,"OPEN_INT","."&amp;$AB$3&amp;$AB$4&amp;"P"&amp;AC$4))*100</f>
        <v>0</v>
      </c>
      <c r="AD12" s="18">
        <f>MAX(0, $A12-AD$4)*IF(RTD("tos.rtd",,"OPEN_INT","."&amp;$AB$3&amp;$AB$4&amp;"C"&amp;AD$4)="N/A",0,RTD("tos.rtd",,"OPEN_INT","."&amp;$AB$3&amp;$AB$4&amp;"C"&amp;AD$4))*100 + MAX(0, AD$4-$A12)*IF(RTD("tos.rtd",,"OPEN_INT","."&amp;$AB$3&amp;$AB$4&amp;"P"&amp;AD$4)="N/A",0,RTD("tos.rtd",,"OPEN_INT","."&amp;$AB$3&amp;$AB$4&amp;"P"&amp;AD$4))*100</f>
        <v>0</v>
      </c>
      <c r="AE12" s="18">
        <f>MAX(0, $A12-AE$4)*IF(RTD("tos.rtd",,"OPEN_INT","."&amp;$AB$3&amp;$AB$4&amp;"C"&amp;AE$4)="N/A",0,RTD("tos.rtd",,"OPEN_INT","."&amp;$AB$3&amp;$AB$4&amp;"C"&amp;AE$4))*100 + MAX(0, AE$4-$A12)*IF(RTD("tos.rtd",,"OPEN_INT","."&amp;$AB$3&amp;$AB$4&amp;"P"&amp;AE$4)="N/A",0,RTD("tos.rtd",,"OPEN_INT","."&amp;$AB$3&amp;$AB$4&amp;"P"&amp;AE$4))*100</f>
        <v>0</v>
      </c>
      <c r="AF12" s="18">
        <f>MAX(0, $A12-AF$4)*IF(RTD("tos.rtd",,"OPEN_INT","."&amp;$AB$3&amp;$AB$4&amp;"C"&amp;AF$4)="N/A",0,RTD("tos.rtd",,"OPEN_INT","."&amp;$AB$3&amp;$AB$4&amp;"C"&amp;AF$4))*100 + MAX(0, AF$4-$A12)*IF(RTD("tos.rtd",,"OPEN_INT","."&amp;$AB$3&amp;$AB$4&amp;"P"&amp;AF$4)="N/A",0,RTD("tos.rtd",,"OPEN_INT","."&amp;$AB$3&amp;$AB$4&amp;"P"&amp;AF$4))*100</f>
        <v>0</v>
      </c>
      <c r="AG12" s="18">
        <f>MAX(0, $A12-AG$4)*IF(RTD("tos.rtd",,"OPEN_INT","."&amp;$AB$3&amp;$AB$4&amp;"C"&amp;AG$4)="N/A",0,RTD("tos.rtd",,"OPEN_INT","."&amp;$AB$3&amp;$AB$4&amp;"C"&amp;AG$4))*100 + MAX(0, AG$4-$A12)*IF(RTD("tos.rtd",,"OPEN_INT","."&amp;$AB$3&amp;$AB$4&amp;"P"&amp;AG$4)="N/A",0,RTD("tos.rtd",,"OPEN_INT","."&amp;$AB$3&amp;$AB$4&amp;"P"&amp;AG$4))*100</f>
        <v>0</v>
      </c>
      <c r="AH12" s="18">
        <f>MAX(0, $A12-AH$4)*IF(RTD("tos.rtd",,"OPEN_INT","."&amp;$AB$3&amp;$AB$4&amp;"C"&amp;AH$4)="N/A",0,RTD("tos.rtd",,"OPEN_INT","."&amp;$AB$3&amp;$AB$4&amp;"C"&amp;AH$4))*100 + MAX(0, AH$4-$A12)*IF(RTD("tos.rtd",,"OPEN_INT","."&amp;$AB$3&amp;$AB$4&amp;"P"&amp;AH$4)="N/A",0,RTD("tos.rtd",,"OPEN_INT","."&amp;$AB$3&amp;$AB$4&amp;"P"&amp;AH$4))*100</f>
        <v>0</v>
      </c>
      <c r="AI12" s="18">
        <f>MAX(0, $A12-AI$4)*IF(RTD("tos.rtd",,"OPEN_INT","."&amp;$AB$3&amp;$AB$4&amp;"C"&amp;AI$4)="N/A",0,RTD("tos.rtd",,"OPEN_INT","."&amp;$AB$3&amp;$AB$4&amp;"C"&amp;AI$4))*100 + MAX(0, AI$4-$A12)*IF(RTD("tos.rtd",,"OPEN_INT","."&amp;$AB$3&amp;$AB$4&amp;"P"&amp;AI$4)="N/A",0,RTD("tos.rtd",,"OPEN_INT","."&amp;$AB$3&amp;$AB$4&amp;"P"&amp;AI$4))*100</f>
        <v>0</v>
      </c>
      <c r="AJ12" s="18">
        <f>MAX(0, $A12-AJ$4)*IF(RTD("tos.rtd",,"OPEN_INT","."&amp;$AB$3&amp;$AB$4&amp;"C"&amp;AJ$4)="N/A",0,RTD("tos.rtd",,"OPEN_INT","."&amp;$AB$3&amp;$AB$4&amp;"C"&amp;AJ$4))*100 + MAX(0, AJ$4-$A12)*IF(RTD("tos.rtd",,"OPEN_INT","."&amp;$AB$3&amp;$AB$4&amp;"P"&amp;AJ$4)="N/A",0,RTD("tos.rtd",,"OPEN_INT","."&amp;$AB$3&amp;$AB$4&amp;"P"&amp;AJ$4))*100</f>
        <v>0</v>
      </c>
      <c r="AK12" s="18">
        <f>MAX(0, $A12-AK$4)*IF(RTD("tos.rtd",,"OPEN_INT","."&amp;$AB$3&amp;$AB$4&amp;"C"&amp;AK$4)="N/A",0,RTD("tos.rtd",,"OPEN_INT","."&amp;$AB$3&amp;$AB$4&amp;"C"&amp;AK$4))*100 + MAX(0, AK$4-$A12)*IF(RTD("tos.rtd",,"OPEN_INT","."&amp;$AB$3&amp;$AB$4&amp;"P"&amp;AK$4)="N/A",0,RTD("tos.rtd",,"OPEN_INT","."&amp;$AB$3&amp;$AB$4&amp;"P"&amp;AK$4))*100</f>
        <v>13450</v>
      </c>
      <c r="AL12" s="18">
        <f>MAX(0, $A12-AL$4)*IF(RTD("tos.rtd",,"OPEN_INT","."&amp;$AB$3&amp;$AB$4&amp;"C"&amp;AL$4)="N/A",0,RTD("tos.rtd",,"OPEN_INT","."&amp;$AB$3&amp;$AB$4&amp;"C"&amp;AL$4))*100 + MAX(0, AL$4-$A12)*IF(RTD("tos.rtd",,"OPEN_INT","."&amp;$AB$3&amp;$AB$4&amp;"P"&amp;AL$4)="N/A",0,RTD("tos.rtd",,"OPEN_INT","."&amp;$AB$3&amp;$AB$4&amp;"P"&amp;AL$4))*100</f>
        <v>281300</v>
      </c>
      <c r="AM12" s="18">
        <f>MAX(0, $A12-AM$4)*IF(RTD("tos.rtd",,"OPEN_INT","."&amp;$AB$3&amp;$AB$4&amp;"C"&amp;AM$4)="N/A",0,RTD("tos.rtd",,"OPEN_INT","."&amp;$AB$3&amp;$AB$4&amp;"C"&amp;AM$4))*100 + MAX(0, AM$4-$A12)*IF(RTD("tos.rtd",,"OPEN_INT","."&amp;$AB$3&amp;$AB$4&amp;"P"&amp;AM$4)="N/A",0,RTD("tos.rtd",,"OPEN_INT","."&amp;$AB$3&amp;$AB$4&amp;"P"&amp;AM$4))*100</f>
        <v>0</v>
      </c>
      <c r="AN12" s="18">
        <f>MAX(0, $A12-AN$4)*IF(RTD("tos.rtd",,"OPEN_INT","."&amp;$AB$3&amp;$AB$4&amp;"C"&amp;AN$4)="N/A",0,RTD("tos.rtd",,"OPEN_INT","."&amp;$AB$3&amp;$AB$4&amp;"C"&amp;AN$4))*100 + MAX(0, AN$4-$A12)*IF(RTD("tos.rtd",,"OPEN_INT","."&amp;$AB$3&amp;$AB$4&amp;"P"&amp;AN$4)="N/A",0,RTD("tos.rtd",,"OPEN_INT","."&amp;$AB$3&amp;$AB$4&amp;"P"&amp;AN$4))*100</f>
        <v>473000</v>
      </c>
      <c r="AO12" s="18">
        <f>MAX(0, $A12-AO$4)*IF(RTD("tos.rtd",,"OPEN_INT","."&amp;$AB$3&amp;$AB$4&amp;"C"&amp;AO$4)="N/A",0,RTD("tos.rtd",,"OPEN_INT","."&amp;$AB$3&amp;$AB$4&amp;"C"&amp;AO$4))*100 + MAX(0, AO$4-$A12)*IF(RTD("tos.rtd",,"OPEN_INT","."&amp;$AB$3&amp;$AB$4&amp;"P"&amp;AO$4)="N/A",0,RTD("tos.rtd",,"OPEN_INT","."&amp;$AB$3&amp;$AB$4&amp;"P"&amp;AO$4))*100</f>
        <v>0</v>
      </c>
      <c r="AP12" s="18">
        <f>MAX(0, $A12-AP$4)*IF(RTD("tos.rtd",,"OPEN_INT","."&amp;$AB$3&amp;$AB$4&amp;"C"&amp;AP$4)="N/A",0,RTD("tos.rtd",,"OPEN_INT","."&amp;$AB$3&amp;$AB$4&amp;"C"&amp;AP$4))*100 + MAX(0, AP$4-$A12)*IF(RTD("tos.rtd",,"OPEN_INT","."&amp;$AB$3&amp;$AB$4&amp;"P"&amp;AP$4)="N/A",0,RTD("tos.rtd",,"OPEN_INT","."&amp;$AB$3&amp;$AB$4&amp;"P"&amp;AP$4))*100</f>
        <v>206700</v>
      </c>
      <c r="AQ12" s="18">
        <f>MAX(0, $A12-AQ$4)*IF(RTD("tos.rtd",,"OPEN_INT","."&amp;$AB$3&amp;$AB$4&amp;"C"&amp;AQ$4)="N/A",0,RTD("tos.rtd",,"OPEN_INT","."&amp;$AB$3&amp;$AB$4&amp;"C"&amp;AQ$4))*100 + MAX(0, AQ$4-$A12)*IF(RTD("tos.rtd",,"OPEN_INT","."&amp;$AB$3&amp;$AB$4&amp;"P"&amp;AQ$4)="N/A",0,RTD("tos.rtd",,"OPEN_INT","."&amp;$AB$3&amp;$AB$4&amp;"P"&amp;AQ$4))*100</f>
        <v>0</v>
      </c>
      <c r="AR12" s="18">
        <f>MAX(0, $A12-AR$4)*IF(RTD("tos.rtd",,"OPEN_INT","."&amp;$AB$3&amp;$AB$4&amp;"C"&amp;AR$4)="N/A",0,RTD("tos.rtd",,"OPEN_INT","."&amp;$AB$3&amp;$AB$4&amp;"C"&amp;AR$4))*100 + MAX(0, AR$4-$A12)*IF(RTD("tos.rtd",,"OPEN_INT","."&amp;$AB$3&amp;$AB$4&amp;"P"&amp;AR$4)="N/A",0,RTD("tos.rtd",,"OPEN_INT","."&amp;$AB$3&amp;$AB$4&amp;"P"&amp;AR$4))*100</f>
        <v>256000</v>
      </c>
      <c r="AS12" s="18">
        <f>MAX(0, $A12-AS$4)*IF(RTD("tos.rtd",,"OPEN_INT","."&amp;$AB$3&amp;$AB$4&amp;"C"&amp;AS$4)="N/A",0,RTD("tos.rtd",,"OPEN_INT","."&amp;$AB$3&amp;$AB$4&amp;"C"&amp;AS$4))*100 + MAX(0, AS$4-$A12)*IF(RTD("tos.rtd",,"OPEN_INT","."&amp;$AB$3&amp;$AB$4&amp;"P"&amp;AS$4)="N/A",0,RTD("tos.rtd",,"OPEN_INT","."&amp;$AB$3&amp;$AB$4&amp;"P"&amp;AS$4))*100</f>
        <v>450</v>
      </c>
      <c r="AT12" s="18">
        <f>MAX(0, $A12-AT$4)*IF(RTD("tos.rtd",,"OPEN_INT","."&amp;$AB$3&amp;$AB$4&amp;"C"&amp;AT$4)="N/A",0,RTD("tos.rtd",,"OPEN_INT","."&amp;$AB$3&amp;$AB$4&amp;"C"&amp;AT$4))*100 + MAX(0, AT$4-$A12)*IF(RTD("tos.rtd",,"OPEN_INT","."&amp;$AB$3&amp;$AB$4&amp;"P"&amp;AT$4)="N/A",0,RTD("tos.rtd",,"OPEN_INT","."&amp;$AB$3&amp;$AB$4&amp;"P"&amp;AT$4))*100</f>
        <v>431000</v>
      </c>
      <c r="AU12" s="18">
        <f>MAX(0, $A12-AU$4)*IF(RTD("tos.rtd",,"OPEN_INT","."&amp;$AB$3&amp;$AB$4&amp;"C"&amp;AU$4)="N/A",0,RTD("tos.rtd",,"OPEN_INT","."&amp;$AB$3&amp;$AB$4&amp;"C"&amp;AU$4))*100 + MAX(0, AU$4-$A12)*IF(RTD("tos.rtd",,"OPEN_INT","."&amp;$AB$3&amp;$AB$4&amp;"P"&amp;AU$4)="N/A",0,RTD("tos.rtd",,"OPEN_INT","."&amp;$AB$3&amp;$AB$4&amp;"P"&amp;AU$4))*100</f>
        <v>771100</v>
      </c>
      <c r="AV12" s="18">
        <f>MAX(0, $A12-AV$4)*IF(RTD("tos.rtd",,"OPEN_INT","."&amp;$AB$3&amp;$AB$4&amp;"C"&amp;AV$4)="N/A",0,RTD("tos.rtd",,"OPEN_INT","."&amp;$AB$3&amp;$AB$4&amp;"C"&amp;AV$4))*100 + MAX(0, AV$4-$A12)*IF(RTD("tos.rtd",,"OPEN_INT","."&amp;$AB$3&amp;$AB$4&amp;"P"&amp;AV$4)="N/A",0,RTD("tos.rtd",,"OPEN_INT","."&amp;$AB$3&amp;$AB$4&amp;"P"&amp;AV$4))*100</f>
        <v>1009800</v>
      </c>
      <c r="AW12" s="18">
        <f>MAX(0, $A12-AW$4)*IF(RTD("tos.rtd",,"OPEN_INT","."&amp;$AB$3&amp;$AB$4&amp;"C"&amp;AW$4)="N/A",0,RTD("tos.rtd",,"OPEN_INT","."&amp;$AB$3&amp;$AB$4&amp;"C"&amp;AW$4))*100 + MAX(0, AW$4-$A12)*IF(RTD("tos.rtd",,"OPEN_INT","."&amp;$AB$3&amp;$AB$4&amp;"P"&amp;AW$4)="N/A",0,RTD("tos.rtd",,"OPEN_INT","."&amp;$AB$3&amp;$AB$4&amp;"P"&amp;AW$4))*100</f>
        <v>1227200</v>
      </c>
      <c r="AX12" s="18">
        <f>MAX(0, $A12-AX$4)*IF(RTD("tos.rtd",,"OPEN_INT","."&amp;$AB$3&amp;$AB$4&amp;"C"&amp;AX$4)="N/A",0,RTD("tos.rtd",,"OPEN_INT","."&amp;$AB$3&amp;$AB$4&amp;"C"&amp;AX$4))*100 + MAX(0, AX$4-$A12)*IF(RTD("tos.rtd",,"OPEN_INT","."&amp;$AB$3&amp;$AB$4&amp;"P"&amp;AX$4)="N/A",0,RTD("tos.rtd",,"OPEN_INT","."&amp;$AB$3&amp;$AB$4&amp;"P"&amp;AX$4))*100</f>
        <v>2152500</v>
      </c>
      <c r="AY12" s="18">
        <f>MAX(0, $A12-AY$4)*IF(RTD("tos.rtd",,"OPEN_INT","."&amp;$AB$3&amp;$AB$4&amp;"C"&amp;AY$4)="N/A",0,RTD("tos.rtd",,"OPEN_INT","."&amp;$AB$3&amp;$AB$4&amp;"C"&amp;AY$4))*100 + MAX(0, AY$4-$A12)*IF(RTD("tos.rtd",,"OPEN_INT","."&amp;$AB$3&amp;$AB$4&amp;"P"&amp;AY$4)="N/A",0,RTD("tos.rtd",,"OPEN_INT","."&amp;$AB$3&amp;$AB$4&amp;"P"&amp;AY$4))*100</f>
        <v>3189750</v>
      </c>
      <c r="AZ12" s="18">
        <f>MAX(0, $A12-AZ$4)*IF(RTD("tos.rtd",,"OPEN_INT","."&amp;$AB$3&amp;$AB$4&amp;"C"&amp;AZ$4)="N/A",0,RTD("tos.rtd",,"OPEN_INT","."&amp;$AB$3&amp;$AB$4&amp;"C"&amp;AZ$4))*100 + MAX(0, AZ$4-$A12)*IF(RTD("tos.rtd",,"OPEN_INT","."&amp;$AB$3&amp;$AB$4&amp;"P"&amp;AZ$4)="N/A",0,RTD("tos.rtd",,"OPEN_INT","."&amp;$AB$3&amp;$AB$4&amp;"P"&amp;AZ$4))*100</f>
        <v>15638400</v>
      </c>
      <c r="BA12" s="18">
        <f>MAX(0, $A12-BA$4)*IF(RTD("tos.rtd",,"OPEN_INT","."&amp;$AB$3&amp;$AB$4&amp;"C"&amp;BA$4)="N/A",0,RTD("tos.rtd",,"OPEN_INT","."&amp;$AB$3&amp;$AB$4&amp;"C"&amp;BA$4))*100 + MAX(0, BA$4-$A12)*IF(RTD("tos.rtd",,"OPEN_INT","."&amp;$AB$3&amp;$AB$4&amp;"P"&amp;BA$4)="N/A",0,RTD("tos.rtd",,"OPEN_INT","."&amp;$AB$3&amp;$AB$4&amp;"P"&amp;BA$4))*100</f>
        <v>8372500</v>
      </c>
      <c r="BB12" s="18">
        <f>MAX(0, $A12-BB$4)*IF(RTD("tos.rtd",,"OPEN_INT","."&amp;$AB$3&amp;$AB$4&amp;"C"&amp;BB$4)="N/A",0,RTD("tos.rtd",,"OPEN_INT","."&amp;$AB$3&amp;$AB$4&amp;"C"&amp;BB$4))*100 + MAX(0, BB$4-$A12)*IF(RTD("tos.rtd",,"OPEN_INT","."&amp;$AB$3&amp;$AB$4&amp;"P"&amp;BB$4)="N/A",0,RTD("tos.rtd",,"OPEN_INT","."&amp;$AB$3&amp;$AB$4&amp;"P"&amp;BB$4))*100</f>
        <v>27726300</v>
      </c>
      <c r="BC12" s="18">
        <f>MAX(0, $A12-BC$4)*IF(RTD("tos.rtd",,"OPEN_INT","."&amp;$AB$3&amp;$AB$4&amp;"C"&amp;BC$4)="N/A",0,RTD("tos.rtd",,"OPEN_INT","."&amp;$AB$3&amp;$AB$4&amp;"C"&amp;BC$4))*100 + MAX(0, BC$4-$A12)*IF(RTD("tos.rtd",,"OPEN_INT","."&amp;$AB$3&amp;$AB$4&amp;"P"&amp;BC$4)="N/A",0,RTD("tos.rtd",,"OPEN_INT","."&amp;$AB$3&amp;$AB$4&amp;"P"&amp;BC$4))*100</f>
        <v>27225100</v>
      </c>
      <c r="BD12" s="18">
        <f>MAX(0, $A12-BD$4)*IF(RTD("tos.rtd",,"OPEN_INT","."&amp;$AB$3&amp;$AB$4&amp;"C"&amp;BD$4)="N/A",0,RTD("tos.rtd",,"OPEN_INT","."&amp;$AB$3&amp;$AB$4&amp;"C"&amp;BD$4))*100 + MAX(0, BD$4-$A12)*IF(RTD("tos.rtd",,"OPEN_INT","."&amp;$AB$3&amp;$AB$4&amp;"P"&amp;BD$4)="N/A",0,RTD("tos.rtd",,"OPEN_INT","."&amp;$AB$3&amp;$AB$4&amp;"P"&amp;BD$4))*100</f>
        <v>40713000</v>
      </c>
      <c r="BE12" s="18">
        <f>MAX(0, $A12-BE$4)*IF(RTD("tos.rtd",,"OPEN_INT","."&amp;$AB$3&amp;$AB$4&amp;"C"&amp;BE$4)="N/A",0,RTD("tos.rtd",,"OPEN_INT","."&amp;$AB$3&amp;$AB$4&amp;"C"&amp;BE$4))*100 + MAX(0, BE$4-$A12)*IF(RTD("tos.rtd",,"OPEN_INT","."&amp;$AB$3&amp;$AB$4&amp;"P"&amp;BE$4)="N/A",0,RTD("tos.rtd",,"OPEN_INT","."&amp;$AB$3&amp;$AB$4&amp;"P"&amp;BE$4))*100</f>
        <v>19488000</v>
      </c>
      <c r="BF12" s="18">
        <f>MAX(0, $A12-BF$4)*IF(RTD("tos.rtd",,"OPEN_INT","."&amp;$AB$3&amp;$AB$4&amp;"C"&amp;BF$4)="N/A",0,RTD("tos.rtd",,"OPEN_INT","."&amp;$AB$3&amp;$AB$4&amp;"C"&amp;BF$4))*100 + MAX(0, BF$4-$A12)*IF(RTD("tos.rtd",,"OPEN_INT","."&amp;$AB$3&amp;$AB$4&amp;"P"&amp;BF$4)="N/A",0,RTD("tos.rtd",,"OPEN_INT","."&amp;$AB$3&amp;$AB$4&amp;"P"&amp;BF$4))*100</f>
        <v>19005800</v>
      </c>
      <c r="BG12" s="18">
        <f>MAX(0, $A12-BG$4)*IF(RTD("tos.rtd",,"OPEN_INT","."&amp;$AB$3&amp;$AB$4&amp;"C"&amp;BG$4)="N/A",0,RTD("tos.rtd",,"OPEN_INT","."&amp;$AB$3&amp;$AB$4&amp;"C"&amp;BG$4))*100 + MAX(0, BG$4-$A12)*IF(RTD("tos.rtd",,"OPEN_INT","."&amp;$AB$3&amp;$AB$4&amp;"P"&amp;BG$4)="N/A",0,RTD("tos.rtd",,"OPEN_INT","."&amp;$AB$3&amp;$AB$4&amp;"P"&amp;BG$4))*100</f>
        <v>9668050</v>
      </c>
      <c r="BH12" s="18">
        <f>MAX(0, $A12-BH$4)*IF(RTD("tos.rtd",,"OPEN_INT","."&amp;$AB$3&amp;$AB$4&amp;"C"&amp;BH$4)="N/A",0,RTD("tos.rtd",,"OPEN_INT","."&amp;$AB$3&amp;$AB$4&amp;"C"&amp;BH$4))*100 + MAX(0, BH$4-$A12)*IF(RTD("tos.rtd",,"OPEN_INT","."&amp;$AB$3&amp;$AB$4&amp;"P"&amp;BH$4)="N/A",0,RTD("tos.rtd",,"OPEN_INT","."&amp;$AB$3&amp;$AB$4&amp;"P"&amp;BH$4))*100</f>
        <v>6880800</v>
      </c>
      <c r="BI12" s="18">
        <f>MAX(0, $A12-BI$4)*IF(RTD("tos.rtd",,"OPEN_INT","."&amp;$AB$3&amp;$AB$4&amp;"C"&amp;BI$4)="N/A",0,RTD("tos.rtd",,"OPEN_INT","."&amp;$AB$3&amp;$AB$4&amp;"C"&amp;BI$4))*100 + MAX(0, BI$4-$A12)*IF(RTD("tos.rtd",,"OPEN_INT","."&amp;$AB$3&amp;$AB$4&amp;"P"&amp;BI$4)="N/A",0,RTD("tos.rtd",,"OPEN_INT","."&amp;$AB$3&amp;$AB$4&amp;"P"&amp;BI$4))*100</f>
        <v>2428750</v>
      </c>
      <c r="BJ12" s="18">
        <f>MAX(0, $A12-BJ$4)*IF(RTD("tos.rtd",,"OPEN_INT","."&amp;$AB$3&amp;$AB$4&amp;"C"&amp;BJ$4)="N/A",0,RTD("tos.rtd",,"OPEN_INT","."&amp;$AB$3&amp;$AB$4&amp;"C"&amp;BJ$4))*100 + MAX(0, BJ$4-$A12)*IF(RTD("tos.rtd",,"OPEN_INT","."&amp;$AB$3&amp;$AB$4&amp;"P"&amp;BJ$4)="N/A",0,RTD("tos.rtd",,"OPEN_INT","."&amp;$AB$3&amp;$AB$4&amp;"P"&amp;BJ$4))*100</f>
        <v>1094600</v>
      </c>
      <c r="BK12" s="18">
        <f>MAX(0, $A12-BK$4)*IF(RTD("tos.rtd",,"OPEN_INT","."&amp;$AB$3&amp;$AB$4&amp;"C"&amp;BK$4)="N/A",0,RTD("tos.rtd",,"OPEN_INT","."&amp;$AB$3&amp;$AB$4&amp;"C"&amp;BK$4))*100 + MAX(0, BK$4-$A12)*IF(RTD("tos.rtd",,"OPEN_INT","."&amp;$AB$3&amp;$AB$4&amp;"P"&amp;BK$4)="N/A",0,RTD("tos.rtd",,"OPEN_INT","."&amp;$AB$3&amp;$AB$4&amp;"P"&amp;BK$4))*100</f>
        <v>203850</v>
      </c>
      <c r="BL12" s="18">
        <f>MAX(0, $A12-BL$4)*IF(RTD("tos.rtd",,"OPEN_INT","."&amp;$AB$3&amp;$AB$4&amp;"C"&amp;BL$4)="N/A",0,RTD("tos.rtd",,"OPEN_INT","."&amp;$AB$3&amp;$AB$4&amp;"C"&amp;BL$4))*100 + MAX(0, BL$4-$A12)*IF(RTD("tos.rtd",,"OPEN_INT","."&amp;$AB$3&amp;$AB$4&amp;"P"&amp;BL$4)="N/A",0,RTD("tos.rtd",,"OPEN_INT","."&amp;$AB$3&amp;$AB$4&amp;"P"&amp;BL$4))*100</f>
        <v>365400</v>
      </c>
      <c r="BM12" s="18">
        <f>MAX(0, $A12-BM$4)*IF(RTD("tos.rtd",,"OPEN_INT","."&amp;$AB$3&amp;$AB$4&amp;"C"&amp;BM$4)="N/A",0,RTD("tos.rtd",,"OPEN_INT","."&amp;$AB$3&amp;$AB$4&amp;"C"&amp;BM$4))*100 + MAX(0, BM$4-$A12)*IF(RTD("tos.rtd",,"OPEN_INT","."&amp;$AB$3&amp;$AB$4&amp;"P"&amp;BM$4)="N/A",0,RTD("tos.rtd",,"OPEN_INT","."&amp;$AB$3&amp;$AB$4&amp;"P"&amp;BM$4))*100</f>
        <v>23200</v>
      </c>
      <c r="BN12" s="18">
        <f>MAX(0, $A12-BN$4)*IF(RTD("tos.rtd",,"OPEN_INT","."&amp;$AB$3&amp;$AB$4&amp;"C"&amp;BN$4)="N/A",0,RTD("tos.rtd",,"OPEN_INT","."&amp;$AB$3&amp;$AB$4&amp;"C"&amp;BN$4))*100 + MAX(0, BN$4-$A12)*IF(RTD("tos.rtd",,"OPEN_INT","."&amp;$AB$3&amp;$AB$4&amp;"P"&amp;BN$4)="N/A",0,RTD("tos.rtd",,"OPEN_INT","."&amp;$AB$3&amp;$AB$4&amp;"P"&amp;BN$4))*100</f>
        <v>12000</v>
      </c>
      <c r="BO12" s="18">
        <f>MAX(0, $A12-BO$4)*IF(RTD("tos.rtd",,"OPEN_INT","."&amp;$AB$3&amp;$AB$4&amp;"C"&amp;BO$4)="N/A",0,RTD("tos.rtd",,"OPEN_INT","."&amp;$AB$3&amp;$AB$4&amp;"C"&amp;BO$4))*100 + MAX(0, BO$4-$A12)*IF(RTD("tos.rtd",,"OPEN_INT","."&amp;$AB$3&amp;$AB$4&amp;"P"&amp;BO$4)="N/A",0,RTD("tos.rtd",,"OPEN_INT","."&amp;$AB$3&amp;$AB$4&amp;"P"&amp;BO$4))*100</f>
        <v>48050</v>
      </c>
      <c r="BP12" s="18">
        <f>MAX(0, $A12-BP$4)*IF(RTD("tos.rtd",,"OPEN_INT","."&amp;$AB$3&amp;$AB$4&amp;"C"&amp;BP$4)="N/A",0,RTD("tos.rtd",,"OPEN_INT","."&amp;$AB$3&amp;$AB$4&amp;"C"&amp;BP$4))*100 + MAX(0, BP$4-$A12)*IF(RTD("tos.rtd",,"OPEN_INT","."&amp;$AB$3&amp;$AB$4&amp;"P"&amp;BP$4)="N/A",0,RTD("tos.rtd",,"OPEN_INT","."&amp;$AB$3&amp;$AB$4&amp;"P"&amp;BP$4))*100</f>
        <v>60800</v>
      </c>
      <c r="BQ12" s="18">
        <f>MAX(0, $A12-BQ$4)*IF(RTD("tos.rtd",,"OPEN_INT","."&amp;$AB$3&amp;$AB$4&amp;"C"&amp;BQ$4)="N/A",0,RTD("tos.rtd",,"OPEN_INT","."&amp;$AB$3&amp;$AB$4&amp;"C"&amp;BQ$4))*100 + MAX(0, BQ$4-$A12)*IF(RTD("tos.rtd",,"OPEN_INT","."&amp;$AB$3&amp;$AB$4&amp;"P"&amp;BQ$4)="N/A",0,RTD("tos.rtd",,"OPEN_INT","."&amp;$AB$3&amp;$AB$4&amp;"P"&amp;BQ$4))*100</f>
        <v>0</v>
      </c>
      <c r="BR12" s="18">
        <f>MAX(0, $A12-BR$4)*IF(RTD("tos.rtd",,"OPEN_INT","."&amp;$AB$3&amp;$AB$4&amp;"C"&amp;BR$4)="N/A",0,RTD("tos.rtd",,"OPEN_INT","."&amp;$AB$3&amp;$AB$4&amp;"C"&amp;BR$4))*100 + MAX(0, BR$4-$A12)*IF(RTD("tos.rtd",,"OPEN_INT","."&amp;$AB$3&amp;$AB$4&amp;"P"&amp;BR$4)="N/A",0,RTD("tos.rtd",,"OPEN_INT","."&amp;$AB$3&amp;$AB$4&amp;"P"&amp;BR$4))*100</f>
        <v>0</v>
      </c>
      <c r="BS12" s="18">
        <f>MAX(0, $A12-BS$4)*IF(RTD("tos.rtd",,"OPEN_INT","."&amp;$AB$3&amp;$AB$4&amp;"C"&amp;BS$4)="N/A",0,RTD("tos.rtd",,"OPEN_INT","."&amp;$AB$3&amp;$AB$4&amp;"C"&amp;BS$4))*100 + MAX(0, BS$4-$A12)*IF(RTD("tos.rtd",,"OPEN_INT","."&amp;$AB$3&amp;$AB$4&amp;"P"&amp;BS$4)="N/A",0,RTD("tos.rtd",,"OPEN_INT","."&amp;$AB$3&amp;$AB$4&amp;"P"&amp;BS$4))*100</f>
        <v>0</v>
      </c>
      <c r="BT12" s="18">
        <f>MAX(0, $A12-BT$4)*IF(RTD("tos.rtd",,"OPEN_INT","."&amp;$AB$3&amp;$AB$4&amp;"C"&amp;BT$4)="N/A",0,RTD("tos.rtd",,"OPEN_INT","."&amp;$AB$3&amp;$AB$4&amp;"C"&amp;BT$4))*100 + MAX(0, BT$4-$A12)*IF(RTD("tos.rtd",,"OPEN_INT","."&amp;$AB$3&amp;$AB$4&amp;"P"&amp;BT$4)="N/A",0,RTD("tos.rtd",,"OPEN_INT","."&amp;$AB$3&amp;$AB$4&amp;"P"&amp;BT$4))*100</f>
        <v>0</v>
      </c>
      <c r="BU12" s="18">
        <f>MAX(0, $A12-BU$4)*IF(RTD("tos.rtd",,"OPEN_INT","."&amp;$AB$3&amp;$AB$4&amp;"C"&amp;BU$4)="N/A",0,RTD("tos.rtd",,"OPEN_INT","."&amp;$AB$3&amp;$AB$4&amp;"C"&amp;BU$4))*100 + MAX(0, BU$4-$A12)*IF(RTD("tos.rtd",,"OPEN_INT","."&amp;$AB$3&amp;$AB$4&amp;"P"&amp;BU$4)="N/A",0,RTD("tos.rtd",,"OPEN_INT","."&amp;$AB$3&amp;$AB$4&amp;"P"&amp;BU$4))*100</f>
        <v>0</v>
      </c>
      <c r="BV12" s="18">
        <f>MAX(0, $A12-BV$4)*IF(RTD("tos.rtd",,"OPEN_INT","."&amp;$AB$3&amp;$AB$4&amp;"C"&amp;BV$4)="N/A",0,RTD("tos.rtd",,"OPEN_INT","."&amp;$AB$3&amp;$AB$4&amp;"C"&amp;BV$4))*100 + MAX(0, BV$4-$A12)*IF(RTD("tos.rtd",,"OPEN_INT","."&amp;$AB$3&amp;$AB$4&amp;"P"&amp;BV$4)="N/A",0,RTD("tos.rtd",,"OPEN_INT","."&amp;$AB$3&amp;$AB$4&amp;"P"&amp;BV$4))*100</f>
        <v>0</v>
      </c>
      <c r="BW12" s="18">
        <f>MAX(0, $A12-BW$4)*IF(RTD("tos.rtd",,"OPEN_INT","."&amp;$AB$3&amp;$AB$4&amp;"C"&amp;BW$4)="N/A",0,RTD("tos.rtd",,"OPEN_INT","."&amp;$AB$3&amp;$AB$4&amp;"C"&amp;BW$4))*100 + MAX(0, BW$4-$A12)*IF(RTD("tos.rtd",,"OPEN_INT","."&amp;$AB$3&amp;$AB$4&amp;"P"&amp;BW$4)="N/A",0,RTD("tos.rtd",,"OPEN_INT","."&amp;$AB$3&amp;$AB$4&amp;"P"&amp;BW$4))*100</f>
        <v>0</v>
      </c>
    </row>
    <row r="13" spans="1:75" s="19" customFormat="1" ht="11.1" customHeight="1" thickBot="1" x14ac:dyDescent="0.3">
      <c r="A13" s="23">
        <f t="shared" si="7"/>
        <v>17.5</v>
      </c>
      <c r="B13" s="14">
        <f ca="1">IF($A$2="PREMIUM_OI",IFERROR(IF($X$1="ABS",(100*RTD("tos.rtd",,"OPEN_INT","."&amp;B$2&amp;B$1&amp;"C"&amp;$A13)*RTD("tos.rtd",,"LAST","."&amp;B$2&amp;B$1&amp;"C"&amp;$A13)+100*RTD("tos.rtd",,"OPEN_INT","."&amp;B$2&amp;B$1&amp;"P"&amp;$A13)*RTD("tos.rtd",,"LAST","."&amp;B$2&amp;B$1&amp;"P"&amp;$A13))/1000000,(100*RTD("tos.rtd",,"OPEN_INT","."&amp;B$2&amp;B$1&amp;"C"&amp;$A13)*RTD("tos.rtd",,"LAST","."&amp;B$2&amp;B$1&amp;"C"&amp;$A13)-100*RTD("tos.rtd",,"OPEN_INT","."&amp;B$2&amp;B$1&amp;"P"&amp;$A13)*RTD("tos.rtd",,"LAST","."&amp;B$2&amp;B$1&amp;"P"&amp;$A13))/1000000),0),IF($A$2="PREMIUM",IFERROR(IF($X$1="ABS",(100*RTD("tos.rtd",,"VOLUME","."&amp;B$2&amp;B$1&amp;"C"&amp;$A13)*RTD("tos.rtd",,"LAST","."&amp;B$2&amp;B$1&amp;"C"&amp;$A13)+100*RTD("tos.rtd",,"VOLUME","."&amp;B$2&amp;B$1&amp;"P"&amp;$A13)*RTD("tos.rtd",,"LAST","."&amp;B$2&amp;B$1&amp;"P"&amp;$A13))/1000000,(100*RTD("tos.rtd",,"VOLUME","."&amp;B$2&amp;B$1&amp;"C"&amp;$A13)*RTD("tos.rtd",,"LAST","."&amp;B$2&amp;B$1&amp;"C"&amp;$A13)-100*RTD("tos.rtd",,"VOLUME","."&amp;B$2&amp;B$1&amp;"P"&amp;$A13)*RTD("tos.rtd",,"LAST","."&amp;B$2&amp;B$1&amp;"P"&amp;$A13))/1000000),0),IF($A$2="DEX",IFERROR(IF($X$1="ABS",(100*RTD("tos.rtd",,"OPEN_INT","."&amp;B$2&amp;B$1&amp;"C"&amp;$A13)*RTD("tos.rtd",,"DELTA","."&amp;B$2&amp;B$1&amp;"C"&amp;$A13)+100*RTD("tos.rtd",,"OPEN_INT","."&amp;B$2&amp;B$1&amp;"P"&amp;$A13)*RTD("tos.rtd",,"DELTA","."&amp;B$2&amp;B$1&amp;"P"&amp;$A13))/1000,(100*RTD("tos.rtd",,"OPEN_INT","."&amp;B$2&amp;B$1&amp;"C"&amp;$A13)*RTD("tos.rtd",,"DELTA","."&amp;B$2&amp;B$1&amp;"C"&amp;$A13)-100*RTD("tos.rtd",,"OPEN_INT","."&amp;B$2&amp;B$1&amp;"P"&amp;$A13)*RTD("tos.rtd",,"DELTA","."&amp;B$2&amp;B$1&amp;"P"&amp;$A13))/1000),0),IF($A$2="VEX",IFERROR(IF($X$1="ABS",($A$4*$A$4*RTD("tos.rtd",,"VOLUME","."&amp;B$2&amp;B$1&amp;"C"&amp;$A13)*RTD("tos.rtd",,"GAMMA","."&amp;B$2&amp;B$1&amp;"C"&amp;$A13)+$A$4*$A$4*RTD("tos.rtd",,"VOLUME","."&amp;B$2&amp;B$1&amp;"P"&amp;$A13)*RTD("tos.rtd",,"GAMMA","."&amp;B$2&amp;B$1&amp;"P"&amp;$A13))/1000000,($A$4*$A$4*RTD("tos.rtd",,"VOLUME","."&amp;B$2&amp;B$1&amp;"C"&amp;$A13)*RTD("tos.rtd",,"GAMMA","."&amp;B$2&amp;B$1&amp;"C"&amp;$A13)-$A$4*$A$4*RTD("tos.rtd",,"VOLUME","."&amp;B$2&amp;B$1&amp;"P"&amp;$A13)*RTD("tos.rtd",,"GAMMA","."&amp;B$2&amp;B$1&amp;"P"&amp;$A13))/1000000),0),IF($A$2="GEX",IFERROR(IF($X$1="ABS",($A$4*$A$4*RTD("tos.rtd",,"OPEN_INT","."&amp;B$2&amp;B$1&amp;"C"&amp;$A13)*RTD("tos.rtd",,"GAMMA","."&amp;B$2&amp;B$1&amp;"C"&amp;$A13)+$A$4*$A$4*RTD("tos.rtd",,"OPEN_INT","."&amp;B$2&amp;B$1&amp;"P"&amp;$A13)*RTD("tos.rtd",,"GAMMA","."&amp;B$2&amp;B$1&amp;"P"&amp;$A13))/1000000,($A$4*$A$4*RTD("tos.rtd",,"OPEN_INT","."&amp;B$2&amp;B$1&amp;"C"&amp;$A13)*RTD("tos.rtd",,"GAMMA","."&amp;B$2&amp;B$1&amp;"C"&amp;$A13)-$A$4*$A$4*RTD("tos.rtd",,"OPEN_INT","."&amp;B$2&amp;B$1&amp;"P"&amp;$A13)*RTD("tos.rtd",,"GAMMA","."&amp;B$2&amp;B$1&amp;"P"&amp;$A13))/1000000),0),IF($A$2="SKEW",IFERROR(VALUE(IF(RTD("tos.rtd",,"IMPL_VOL","."&amp;B$2&amp;B$1&amp;"P"&amp;$A13)="N/A",0,RTD("tos.rtd",,"IMPL_VOL","."&amp;B$2&amp;B$1&amp;"P"&amp;$A13))),0)-IFERROR(VALUE(IF(RTD("tos.rtd",,"IMPL_VOL","."&amp;B$2&amp;B$1&amp;"C"&amp;$A13)="N/A",0,RTD("tos.rtd",,"IMPL_VOL","."&amp;B$2&amp;B$1&amp;"C"&amp;$A13))),0),IF($A$2="MAXPAIN",IF($A$4&gt;$A13,($A$4-$A13)*IF(RTD("tos.rtd",,"OPEN_INT","."&amp;B$2&amp;B$1&amp;"C"&amp;$A13)="N/A",0,RTD("tos.rtd",,"OPEN_INT","."&amp;B$2&amp;B$1&amp;"C"&amp;$A13)),0)+IF($A$4&lt;$A13,($A$5-$A$4)*IF(RTD("tos.rtd",,"OPEN_INT","."&amp;B$2&amp;B$1&amp;"P"&amp;$A13)="N/A",0,RTD("tos.rtd",,"OPEN_INT","."&amp;B$2&amp;B$1&amp;"P"&amp;$A13)),0),IF($X$1="ABS",IF(RTD("tos.rtd",,$A$2,"."&amp;B$2&amp;B$1&amp;"C"&amp;$A13)="N/A",0,RTD("tos.rtd",,$A$2,"."&amp;B$2&amp;B$1&amp;"C"&amp;$A13))+IF(RTD("tos.rtd",,$A$2,"."&amp;B$2&amp;B$1&amp;"P"&amp;$A13)="N/A",0,RTD("tos.rtd",,$A$2,"."&amp;B$2&amp;B$1&amp;"P"&amp;$A13)),IF(RTD("tos.rtd",,$A$2,"."&amp;B$2&amp;B$1&amp;"C"&amp;$A13)="N/A",0,RTD("tos.rtd",,$A$2,"."&amp;B$2&amp;B$1&amp;"C"&amp;$A13))-IF(RTD("tos.rtd",,$A$2,"."&amp;B$2&amp;B$1&amp;"P"&amp;$A13)="N/A",0,RTD("tos.rtd",,$A$2,"."&amp;B$2&amp;B$1&amp;"P"&amp;$A13))))))))))</f>
        <v>0</v>
      </c>
      <c r="C13" s="14">
        <f ca="1">IF($A$2="PREMIUM_OI",IFERROR(IF($X$1="ABS",(100*RTD("tos.rtd",,"OPEN_INT","."&amp;C$2&amp;C$1&amp;"C"&amp;$A13)*RTD("tos.rtd",,"LAST","."&amp;C$2&amp;C$1&amp;"C"&amp;$A13)+100*RTD("tos.rtd",,"OPEN_INT","."&amp;C$2&amp;C$1&amp;"P"&amp;$A13)*RTD("tos.rtd",,"LAST","."&amp;C$2&amp;C$1&amp;"P"&amp;$A13))/1000000,(100*RTD("tos.rtd",,"OPEN_INT","."&amp;C$2&amp;C$1&amp;"C"&amp;$A13)*RTD("tos.rtd",,"LAST","."&amp;C$2&amp;C$1&amp;"C"&amp;$A13)-100*RTD("tos.rtd",,"OPEN_INT","."&amp;C$2&amp;C$1&amp;"P"&amp;$A13)*RTD("tos.rtd",,"LAST","."&amp;C$2&amp;C$1&amp;"P"&amp;$A13))/1000000),0),IF($A$2="PREMIUM",IFERROR(IF($X$1="ABS",(100*RTD("tos.rtd",,"VOLUME","."&amp;C$2&amp;C$1&amp;"C"&amp;$A13)*RTD("tos.rtd",,"LAST","."&amp;C$2&amp;C$1&amp;"C"&amp;$A13)+100*RTD("tos.rtd",,"VOLUME","."&amp;C$2&amp;C$1&amp;"P"&amp;$A13)*RTD("tos.rtd",,"LAST","."&amp;C$2&amp;C$1&amp;"P"&amp;$A13))/1000000,(100*RTD("tos.rtd",,"VOLUME","."&amp;C$2&amp;C$1&amp;"C"&amp;$A13)*RTD("tos.rtd",,"LAST","."&amp;C$2&amp;C$1&amp;"C"&amp;$A13)-100*RTD("tos.rtd",,"VOLUME","."&amp;C$2&amp;C$1&amp;"P"&amp;$A13)*RTD("tos.rtd",,"LAST","."&amp;C$2&amp;C$1&amp;"P"&amp;$A13))/1000000),0),IF($A$2="DEX",IFERROR(IF($X$1="ABS",(100*RTD("tos.rtd",,"OPEN_INT","."&amp;C$2&amp;C$1&amp;"C"&amp;$A13)*RTD("tos.rtd",,"DELTA","."&amp;C$2&amp;C$1&amp;"C"&amp;$A13)+100*RTD("tos.rtd",,"OPEN_INT","."&amp;C$2&amp;C$1&amp;"P"&amp;$A13)*RTD("tos.rtd",,"DELTA","."&amp;C$2&amp;C$1&amp;"P"&amp;$A13))/1000,(100*RTD("tos.rtd",,"OPEN_INT","."&amp;C$2&amp;C$1&amp;"C"&amp;$A13)*RTD("tos.rtd",,"DELTA","."&amp;C$2&amp;C$1&amp;"C"&amp;$A13)-100*RTD("tos.rtd",,"OPEN_INT","."&amp;C$2&amp;C$1&amp;"P"&amp;$A13)*RTD("tos.rtd",,"DELTA","."&amp;C$2&amp;C$1&amp;"P"&amp;$A13))/1000),0),IF($A$2="VEX",IFERROR(IF($X$1="ABS",($A$4*$A$4*RTD("tos.rtd",,"VOLUME","."&amp;C$2&amp;C$1&amp;"C"&amp;$A13)*RTD("tos.rtd",,"GAMMA","."&amp;C$2&amp;C$1&amp;"C"&amp;$A13)+$A$4*$A$4*RTD("tos.rtd",,"VOLUME","."&amp;C$2&amp;C$1&amp;"P"&amp;$A13)*RTD("tos.rtd",,"GAMMA","."&amp;C$2&amp;C$1&amp;"P"&amp;$A13))/1000000,($A$4*$A$4*RTD("tos.rtd",,"VOLUME","."&amp;C$2&amp;C$1&amp;"C"&amp;$A13)*RTD("tos.rtd",,"GAMMA","."&amp;C$2&amp;C$1&amp;"C"&amp;$A13)-$A$4*$A$4*RTD("tos.rtd",,"VOLUME","."&amp;C$2&amp;C$1&amp;"P"&amp;$A13)*RTD("tos.rtd",,"GAMMA","."&amp;C$2&amp;C$1&amp;"P"&amp;$A13))/1000000),0),IF($A$2="GEX",IFERROR(IF($X$1="ABS",($A$4*$A$4*RTD("tos.rtd",,"OPEN_INT","."&amp;C$2&amp;C$1&amp;"C"&amp;$A13)*RTD("tos.rtd",,"GAMMA","."&amp;C$2&amp;C$1&amp;"C"&amp;$A13)+$A$4*$A$4*RTD("tos.rtd",,"OPEN_INT","."&amp;C$2&amp;C$1&amp;"P"&amp;$A13)*RTD("tos.rtd",,"GAMMA","."&amp;C$2&amp;C$1&amp;"P"&amp;$A13))/1000000,($A$4*$A$4*RTD("tos.rtd",,"OPEN_INT","."&amp;C$2&amp;C$1&amp;"C"&amp;$A13)*RTD("tos.rtd",,"GAMMA","."&amp;C$2&amp;C$1&amp;"C"&amp;$A13)-$A$4*$A$4*RTD("tos.rtd",,"OPEN_INT","."&amp;C$2&amp;C$1&amp;"P"&amp;$A13)*RTD("tos.rtd",,"GAMMA","."&amp;C$2&amp;C$1&amp;"P"&amp;$A13))/1000000),0),IF($A$2="SKEW",IFERROR(VALUE(IF(RTD("tos.rtd",,"IMPL_VOL","."&amp;C$2&amp;C$1&amp;"P"&amp;$A13)="N/A",0,RTD("tos.rtd",,"IMPL_VOL","."&amp;C$2&amp;C$1&amp;"P"&amp;$A13))),0)-IFERROR(VALUE(IF(RTD("tos.rtd",,"IMPL_VOL","."&amp;C$2&amp;C$1&amp;"C"&amp;$A13)="N/A",0,RTD("tos.rtd",,"IMPL_VOL","."&amp;C$2&amp;C$1&amp;"C"&amp;$A13))),0),IF($A$2="MAXPAIN",IF($A$4&gt;$A13,($A$4-$A13)*IF(RTD("tos.rtd",,"OPEN_INT","."&amp;C$2&amp;C$1&amp;"C"&amp;$A13)="N/A",0,RTD("tos.rtd",,"OPEN_INT","."&amp;C$2&amp;C$1&amp;"C"&amp;$A13)),0)+IF($A$4&lt;$A13,($A$5-$A$4)*IF(RTD("tos.rtd",,"OPEN_INT","."&amp;C$2&amp;C$1&amp;"P"&amp;$A13)="N/A",0,RTD("tos.rtd",,"OPEN_INT","."&amp;C$2&amp;C$1&amp;"P"&amp;$A13)),0),IF($X$1="ABS",IF(RTD("tos.rtd",,$A$2,"."&amp;C$2&amp;C$1&amp;"C"&amp;$A13)="N/A",0,RTD("tos.rtd",,$A$2,"."&amp;C$2&amp;C$1&amp;"C"&amp;$A13))+IF(RTD("tos.rtd",,$A$2,"."&amp;C$2&amp;C$1&amp;"P"&amp;$A13)="N/A",0,RTD("tos.rtd",,$A$2,"."&amp;C$2&amp;C$1&amp;"P"&amp;$A13)),IF(RTD("tos.rtd",,$A$2,"."&amp;C$2&amp;C$1&amp;"C"&amp;$A13)="N/A",0,RTD("tos.rtd",,$A$2,"."&amp;C$2&amp;C$1&amp;"C"&amp;$A13))-IF(RTD("tos.rtd",,$A$2,"."&amp;C$2&amp;C$1&amp;"P"&amp;$A13)="N/A",0,RTD("tos.rtd",,$A$2,"."&amp;C$2&amp;C$1&amp;"P"&amp;$A13))))))))))</f>
        <v>0</v>
      </c>
      <c r="D13" s="12">
        <f ca="1">IF($A$2="PREMIUM_OI",IFERROR(IF($X$1="ABS",(100*RTD("tos.rtd",,"OPEN_INT","."&amp;D$2&amp;D$1&amp;"C"&amp;$A13)*RTD("tos.rtd",,"LAST","."&amp;D$2&amp;D$1&amp;"C"&amp;$A13)+100*RTD("tos.rtd",,"OPEN_INT","."&amp;D$2&amp;D$1&amp;"P"&amp;$A13)*RTD("tos.rtd",,"LAST","."&amp;D$2&amp;D$1&amp;"P"&amp;$A13))/1000000,(100*RTD("tos.rtd",,"OPEN_INT","."&amp;D$2&amp;D$1&amp;"C"&amp;$A13)*RTD("tos.rtd",,"LAST","."&amp;D$2&amp;D$1&amp;"C"&amp;$A13)-100*RTD("tos.rtd",,"OPEN_INT","."&amp;D$2&amp;D$1&amp;"P"&amp;$A13)*RTD("tos.rtd",,"LAST","."&amp;D$2&amp;D$1&amp;"P"&amp;$A13))/1000000),0),IF($A$2="PREMIUM",IFERROR(IF($X$1="ABS",(100*RTD("tos.rtd",,"VOLUME","."&amp;D$2&amp;D$1&amp;"C"&amp;$A13)*RTD("tos.rtd",,"LAST","."&amp;D$2&amp;D$1&amp;"C"&amp;$A13)+100*RTD("tos.rtd",,"VOLUME","."&amp;D$2&amp;D$1&amp;"P"&amp;$A13)*RTD("tos.rtd",,"LAST","."&amp;D$2&amp;D$1&amp;"P"&amp;$A13))/1000000,(100*RTD("tos.rtd",,"VOLUME","."&amp;D$2&amp;D$1&amp;"C"&amp;$A13)*RTD("tos.rtd",,"LAST","."&amp;D$2&amp;D$1&amp;"C"&amp;$A13)-100*RTD("tos.rtd",,"VOLUME","."&amp;D$2&amp;D$1&amp;"P"&amp;$A13)*RTD("tos.rtd",,"LAST","."&amp;D$2&amp;D$1&amp;"P"&amp;$A13))/1000000),0),IF($A$2="DEX",IFERROR(IF($X$1="ABS",(100*RTD("tos.rtd",,"OPEN_INT","."&amp;D$2&amp;D$1&amp;"C"&amp;$A13)*RTD("tos.rtd",,"DELTA","."&amp;D$2&amp;D$1&amp;"C"&amp;$A13)+100*RTD("tos.rtd",,"OPEN_INT","."&amp;D$2&amp;D$1&amp;"P"&amp;$A13)*RTD("tos.rtd",,"DELTA","."&amp;D$2&amp;D$1&amp;"P"&amp;$A13))/1000,(100*RTD("tos.rtd",,"OPEN_INT","."&amp;D$2&amp;D$1&amp;"C"&amp;$A13)*RTD("tos.rtd",,"DELTA","."&amp;D$2&amp;D$1&amp;"C"&amp;$A13)-100*RTD("tos.rtd",,"OPEN_INT","."&amp;D$2&amp;D$1&amp;"P"&amp;$A13)*RTD("tos.rtd",,"DELTA","."&amp;D$2&amp;D$1&amp;"P"&amp;$A13))/1000),0),IF($A$2="VEX",IFERROR(IF($X$1="ABS",($A$4*$A$4*RTD("tos.rtd",,"VOLUME","."&amp;D$2&amp;D$1&amp;"C"&amp;$A13)*RTD("tos.rtd",,"GAMMA","."&amp;D$2&amp;D$1&amp;"C"&amp;$A13)+$A$4*$A$4*RTD("tos.rtd",,"VOLUME","."&amp;D$2&amp;D$1&amp;"P"&amp;$A13)*RTD("tos.rtd",,"GAMMA","."&amp;D$2&amp;D$1&amp;"P"&amp;$A13))/1000000,($A$4*$A$4*RTD("tos.rtd",,"VOLUME","."&amp;D$2&amp;D$1&amp;"C"&amp;$A13)*RTD("tos.rtd",,"GAMMA","."&amp;D$2&amp;D$1&amp;"C"&amp;$A13)-$A$4*$A$4*RTD("tos.rtd",,"VOLUME","."&amp;D$2&amp;D$1&amp;"P"&amp;$A13)*RTD("tos.rtd",,"GAMMA","."&amp;D$2&amp;D$1&amp;"P"&amp;$A13))/1000000),0),IF($A$2="GEX",IFERROR(IF($X$1="ABS",($A$4*$A$4*RTD("tos.rtd",,"OPEN_INT","."&amp;D$2&amp;D$1&amp;"C"&amp;$A13)*RTD("tos.rtd",,"GAMMA","."&amp;D$2&amp;D$1&amp;"C"&amp;$A13)+$A$4*$A$4*RTD("tos.rtd",,"OPEN_INT","."&amp;D$2&amp;D$1&amp;"P"&amp;$A13)*RTD("tos.rtd",,"GAMMA","."&amp;D$2&amp;D$1&amp;"P"&amp;$A13))/1000000,($A$4*$A$4*RTD("tos.rtd",,"OPEN_INT","."&amp;D$2&amp;D$1&amp;"C"&amp;$A13)*RTD("tos.rtd",,"GAMMA","."&amp;D$2&amp;D$1&amp;"C"&amp;$A13)-$A$4*$A$4*RTD("tos.rtd",,"OPEN_INT","."&amp;D$2&amp;D$1&amp;"P"&amp;$A13)*RTD("tos.rtd",,"GAMMA","."&amp;D$2&amp;D$1&amp;"P"&amp;$A13))/1000000),0),IF($A$2="SKEW",IFERROR(VALUE(IF(RTD("tos.rtd",,"IMPL_VOL","."&amp;D$2&amp;D$1&amp;"P"&amp;$A13)="N/A",0,RTD("tos.rtd",,"IMPL_VOL","."&amp;D$2&amp;D$1&amp;"P"&amp;$A13))),0)-IFERROR(VALUE(IF(RTD("tos.rtd",,"IMPL_VOL","."&amp;D$2&amp;D$1&amp;"C"&amp;$A13)="N/A",0,RTD("tos.rtd",,"IMPL_VOL","."&amp;D$2&amp;D$1&amp;"C"&amp;$A13))),0),IF($A$2="MAXPAIN",IF($A$4&gt;$A13,($A$4-$A13)*IF(RTD("tos.rtd",,"OPEN_INT","."&amp;D$2&amp;D$1&amp;"C"&amp;$A13)="N/A",0,RTD("tos.rtd",,"OPEN_INT","."&amp;D$2&amp;D$1&amp;"C"&amp;$A13)),0)+IF($A$4&lt;$A13,($A$5-$A$4)*IF(RTD("tos.rtd",,"OPEN_INT","."&amp;D$2&amp;D$1&amp;"P"&amp;$A13)="N/A",0,RTD("tos.rtd",,"OPEN_INT","."&amp;D$2&amp;D$1&amp;"P"&amp;$A13)),0),IF($X$1="ABS",IF(RTD("tos.rtd",,$A$2,"."&amp;D$2&amp;D$1&amp;"C"&amp;$A13)="N/A",0,RTD("tos.rtd",,$A$2,"."&amp;D$2&amp;D$1&amp;"C"&amp;$A13))+IF(RTD("tos.rtd",,$A$2,"."&amp;D$2&amp;D$1&amp;"P"&amp;$A13)="N/A",0,RTD("tos.rtd",,$A$2,"."&amp;D$2&amp;D$1&amp;"P"&amp;$A13)),IF(RTD("tos.rtd",,$A$2,"."&amp;D$2&amp;D$1&amp;"C"&amp;$A13)="N/A",0,RTD("tos.rtd",,$A$2,"."&amp;D$2&amp;D$1&amp;"C"&amp;$A13))-IF(RTD("tos.rtd",,$A$2,"."&amp;D$2&amp;D$1&amp;"P"&amp;$A13)="N/A",0,RTD("tos.rtd",,$A$2,"."&amp;D$2&amp;D$1&amp;"P"&amp;$A13))))))))))</f>
        <v>0</v>
      </c>
      <c r="E13" s="12">
        <f ca="1">IF($A$2="PREMIUM_OI",IFERROR(IF($X$1="ABS",(100*RTD("tos.rtd",,"OPEN_INT","."&amp;E$2&amp;E$1&amp;"C"&amp;$A13)*RTD("tos.rtd",,"LAST","."&amp;E$2&amp;E$1&amp;"C"&amp;$A13)+100*RTD("tos.rtd",,"OPEN_INT","."&amp;E$2&amp;E$1&amp;"P"&amp;$A13)*RTD("tos.rtd",,"LAST","."&amp;E$2&amp;E$1&amp;"P"&amp;$A13))/1000000,(100*RTD("tos.rtd",,"OPEN_INT","."&amp;E$2&amp;E$1&amp;"C"&amp;$A13)*RTD("tos.rtd",,"LAST","."&amp;E$2&amp;E$1&amp;"C"&amp;$A13)-100*RTD("tos.rtd",,"OPEN_INT","."&amp;E$2&amp;E$1&amp;"P"&amp;$A13)*RTD("tos.rtd",,"LAST","."&amp;E$2&amp;E$1&amp;"P"&amp;$A13))/1000000),0),IF($A$2="PREMIUM",IFERROR(IF($X$1="ABS",(100*RTD("tos.rtd",,"VOLUME","."&amp;E$2&amp;E$1&amp;"C"&amp;$A13)*RTD("tos.rtd",,"LAST","."&amp;E$2&amp;E$1&amp;"C"&amp;$A13)+100*RTD("tos.rtd",,"VOLUME","."&amp;E$2&amp;E$1&amp;"P"&amp;$A13)*RTD("tos.rtd",,"LAST","."&amp;E$2&amp;E$1&amp;"P"&amp;$A13))/1000000,(100*RTD("tos.rtd",,"VOLUME","."&amp;E$2&amp;E$1&amp;"C"&amp;$A13)*RTD("tos.rtd",,"LAST","."&amp;E$2&amp;E$1&amp;"C"&amp;$A13)-100*RTD("tos.rtd",,"VOLUME","."&amp;E$2&amp;E$1&amp;"P"&amp;$A13)*RTD("tos.rtd",,"LAST","."&amp;E$2&amp;E$1&amp;"P"&amp;$A13))/1000000),0),IF($A$2="DEX",IFERROR(IF($X$1="ABS",(100*RTD("tos.rtd",,"OPEN_INT","."&amp;E$2&amp;E$1&amp;"C"&amp;$A13)*RTD("tos.rtd",,"DELTA","."&amp;E$2&amp;E$1&amp;"C"&amp;$A13)+100*RTD("tos.rtd",,"OPEN_INT","."&amp;E$2&amp;E$1&amp;"P"&amp;$A13)*RTD("tos.rtd",,"DELTA","."&amp;E$2&amp;E$1&amp;"P"&amp;$A13))/1000,(100*RTD("tos.rtd",,"OPEN_INT","."&amp;E$2&amp;E$1&amp;"C"&amp;$A13)*RTD("tos.rtd",,"DELTA","."&amp;E$2&amp;E$1&amp;"C"&amp;$A13)-100*RTD("tos.rtd",,"OPEN_INT","."&amp;E$2&amp;E$1&amp;"P"&amp;$A13)*RTD("tos.rtd",,"DELTA","."&amp;E$2&amp;E$1&amp;"P"&amp;$A13))/1000),0),IF($A$2="VEX",IFERROR(IF($X$1="ABS",($A$4*$A$4*RTD("tos.rtd",,"VOLUME","."&amp;E$2&amp;E$1&amp;"C"&amp;$A13)*RTD("tos.rtd",,"GAMMA","."&amp;E$2&amp;E$1&amp;"C"&amp;$A13)+$A$4*$A$4*RTD("tos.rtd",,"VOLUME","."&amp;E$2&amp;E$1&amp;"P"&amp;$A13)*RTD("tos.rtd",,"GAMMA","."&amp;E$2&amp;E$1&amp;"P"&amp;$A13))/1000000,($A$4*$A$4*RTD("tos.rtd",,"VOLUME","."&amp;E$2&amp;E$1&amp;"C"&amp;$A13)*RTD("tos.rtd",,"GAMMA","."&amp;E$2&amp;E$1&amp;"C"&amp;$A13)-$A$4*$A$4*RTD("tos.rtd",,"VOLUME","."&amp;E$2&amp;E$1&amp;"P"&amp;$A13)*RTD("tos.rtd",,"GAMMA","."&amp;E$2&amp;E$1&amp;"P"&amp;$A13))/1000000),0),IF($A$2="GEX",IFERROR(IF($X$1="ABS",($A$4*$A$4*RTD("tos.rtd",,"OPEN_INT","."&amp;E$2&amp;E$1&amp;"C"&amp;$A13)*RTD("tos.rtd",,"GAMMA","."&amp;E$2&amp;E$1&amp;"C"&amp;$A13)+$A$4*$A$4*RTD("tos.rtd",,"OPEN_INT","."&amp;E$2&amp;E$1&amp;"P"&amp;$A13)*RTD("tos.rtd",,"GAMMA","."&amp;E$2&amp;E$1&amp;"P"&amp;$A13))/1000000,($A$4*$A$4*RTD("tos.rtd",,"OPEN_INT","."&amp;E$2&amp;E$1&amp;"C"&amp;$A13)*RTD("tos.rtd",,"GAMMA","."&amp;E$2&amp;E$1&amp;"C"&amp;$A13)-$A$4*$A$4*RTD("tos.rtd",,"OPEN_INT","."&amp;E$2&amp;E$1&amp;"P"&amp;$A13)*RTD("tos.rtd",,"GAMMA","."&amp;E$2&amp;E$1&amp;"P"&amp;$A13))/1000000),0),IF($A$2="SKEW",IFERROR(VALUE(IF(RTD("tos.rtd",,"IMPL_VOL","."&amp;E$2&amp;E$1&amp;"P"&amp;$A13)="N/A",0,RTD("tos.rtd",,"IMPL_VOL","."&amp;E$2&amp;E$1&amp;"P"&amp;$A13))),0)-IFERROR(VALUE(IF(RTD("tos.rtd",,"IMPL_VOL","."&amp;E$2&amp;E$1&amp;"C"&amp;$A13)="N/A",0,RTD("tos.rtd",,"IMPL_VOL","."&amp;E$2&amp;E$1&amp;"C"&amp;$A13))),0),IF($A$2="MAXPAIN",IF($A$4&gt;$A13,($A$4-$A13)*IF(RTD("tos.rtd",,"OPEN_INT","."&amp;E$2&amp;E$1&amp;"C"&amp;$A13)="N/A",0,RTD("tos.rtd",,"OPEN_INT","."&amp;E$2&amp;E$1&amp;"C"&amp;$A13)),0)+IF($A$4&lt;$A13,($A$5-$A$4)*IF(RTD("tos.rtd",,"OPEN_INT","."&amp;E$2&amp;E$1&amp;"P"&amp;$A13)="N/A",0,RTD("tos.rtd",,"OPEN_INT","."&amp;E$2&amp;E$1&amp;"P"&amp;$A13)),0),IF($X$1="ABS",IF(RTD("tos.rtd",,$A$2,"."&amp;E$2&amp;E$1&amp;"C"&amp;$A13)="N/A",0,RTD("tos.rtd",,$A$2,"."&amp;E$2&amp;E$1&amp;"C"&amp;$A13))+IF(RTD("tos.rtd",,$A$2,"."&amp;E$2&amp;E$1&amp;"P"&amp;$A13)="N/A",0,RTD("tos.rtd",,$A$2,"."&amp;E$2&amp;E$1&amp;"P"&amp;$A13)),IF(RTD("tos.rtd",,$A$2,"."&amp;E$2&amp;E$1&amp;"C"&amp;$A13)="N/A",0,RTD("tos.rtd",,$A$2,"."&amp;E$2&amp;E$1&amp;"C"&amp;$A13))-IF(RTD("tos.rtd",,$A$2,"."&amp;E$2&amp;E$1&amp;"P"&amp;$A13)="N/A",0,RTD("tos.rtd",,$A$2,"."&amp;E$2&amp;E$1&amp;"P"&amp;$A13))))))))))</f>
        <v>0</v>
      </c>
      <c r="F13" s="12">
        <f ca="1">IF($A$2="PREMIUM_OI",IFERROR(IF($X$1="ABS",(100*RTD("tos.rtd",,"OPEN_INT","."&amp;F$2&amp;F$1&amp;"C"&amp;$A13)*RTD("tos.rtd",,"LAST","."&amp;F$2&amp;F$1&amp;"C"&amp;$A13)+100*RTD("tos.rtd",,"OPEN_INT","."&amp;F$2&amp;F$1&amp;"P"&amp;$A13)*RTD("tos.rtd",,"LAST","."&amp;F$2&amp;F$1&amp;"P"&amp;$A13))/1000000,(100*RTD("tos.rtd",,"OPEN_INT","."&amp;F$2&amp;F$1&amp;"C"&amp;$A13)*RTD("tos.rtd",,"LAST","."&amp;F$2&amp;F$1&amp;"C"&amp;$A13)-100*RTD("tos.rtd",,"OPEN_INT","."&amp;F$2&amp;F$1&amp;"P"&amp;$A13)*RTD("tos.rtd",,"LAST","."&amp;F$2&amp;F$1&amp;"P"&amp;$A13))/1000000),0),IF($A$2="PREMIUM",IFERROR(IF($X$1="ABS",(100*RTD("tos.rtd",,"VOLUME","."&amp;F$2&amp;F$1&amp;"C"&amp;$A13)*RTD("tos.rtd",,"LAST","."&amp;F$2&amp;F$1&amp;"C"&amp;$A13)+100*RTD("tos.rtd",,"VOLUME","."&amp;F$2&amp;F$1&amp;"P"&amp;$A13)*RTD("tos.rtd",,"LAST","."&amp;F$2&amp;F$1&amp;"P"&amp;$A13))/1000000,(100*RTD("tos.rtd",,"VOLUME","."&amp;F$2&amp;F$1&amp;"C"&amp;$A13)*RTD("tos.rtd",,"LAST","."&amp;F$2&amp;F$1&amp;"C"&amp;$A13)-100*RTD("tos.rtd",,"VOLUME","."&amp;F$2&amp;F$1&amp;"P"&amp;$A13)*RTD("tos.rtd",,"LAST","."&amp;F$2&amp;F$1&amp;"P"&amp;$A13))/1000000),0),IF($A$2="DEX",IFERROR(IF($X$1="ABS",(100*RTD("tos.rtd",,"OPEN_INT","."&amp;F$2&amp;F$1&amp;"C"&amp;$A13)*RTD("tos.rtd",,"DELTA","."&amp;F$2&amp;F$1&amp;"C"&amp;$A13)+100*RTD("tos.rtd",,"OPEN_INT","."&amp;F$2&amp;F$1&amp;"P"&amp;$A13)*RTD("tos.rtd",,"DELTA","."&amp;F$2&amp;F$1&amp;"P"&amp;$A13))/1000,(100*RTD("tos.rtd",,"OPEN_INT","."&amp;F$2&amp;F$1&amp;"C"&amp;$A13)*RTD("tos.rtd",,"DELTA","."&amp;F$2&amp;F$1&amp;"C"&amp;$A13)-100*RTD("tos.rtd",,"OPEN_INT","."&amp;F$2&amp;F$1&amp;"P"&amp;$A13)*RTD("tos.rtd",,"DELTA","."&amp;F$2&amp;F$1&amp;"P"&amp;$A13))/1000),0),IF($A$2="VEX",IFERROR(IF($X$1="ABS",($A$4*$A$4*RTD("tos.rtd",,"VOLUME","."&amp;F$2&amp;F$1&amp;"C"&amp;$A13)*RTD("tos.rtd",,"GAMMA","."&amp;F$2&amp;F$1&amp;"C"&amp;$A13)+$A$4*$A$4*RTD("tos.rtd",,"VOLUME","."&amp;F$2&amp;F$1&amp;"P"&amp;$A13)*RTD("tos.rtd",,"GAMMA","."&amp;F$2&amp;F$1&amp;"P"&amp;$A13))/1000000,($A$4*$A$4*RTD("tos.rtd",,"VOLUME","."&amp;F$2&amp;F$1&amp;"C"&amp;$A13)*RTD("tos.rtd",,"GAMMA","."&amp;F$2&amp;F$1&amp;"C"&amp;$A13)-$A$4*$A$4*RTD("tos.rtd",,"VOLUME","."&amp;F$2&amp;F$1&amp;"P"&amp;$A13)*RTD("tos.rtd",,"GAMMA","."&amp;F$2&amp;F$1&amp;"P"&amp;$A13))/1000000),0),IF($A$2="GEX",IFERROR(IF($X$1="ABS",($A$4*$A$4*RTD("tos.rtd",,"OPEN_INT","."&amp;F$2&amp;F$1&amp;"C"&amp;$A13)*RTD("tos.rtd",,"GAMMA","."&amp;F$2&amp;F$1&amp;"C"&amp;$A13)+$A$4*$A$4*RTD("tos.rtd",,"OPEN_INT","."&amp;F$2&amp;F$1&amp;"P"&amp;$A13)*RTD("tos.rtd",,"GAMMA","."&amp;F$2&amp;F$1&amp;"P"&amp;$A13))/1000000,($A$4*$A$4*RTD("tos.rtd",,"OPEN_INT","."&amp;F$2&amp;F$1&amp;"C"&amp;$A13)*RTD("tos.rtd",,"GAMMA","."&amp;F$2&amp;F$1&amp;"C"&amp;$A13)-$A$4*$A$4*RTD("tos.rtd",,"OPEN_INT","."&amp;F$2&amp;F$1&amp;"P"&amp;$A13)*RTD("tos.rtd",,"GAMMA","."&amp;F$2&amp;F$1&amp;"P"&amp;$A13))/1000000),0),IF($A$2="SKEW",IFERROR(VALUE(IF(RTD("tos.rtd",,"IMPL_VOL","."&amp;F$2&amp;F$1&amp;"P"&amp;$A13)="N/A",0,RTD("tos.rtd",,"IMPL_VOL","."&amp;F$2&amp;F$1&amp;"P"&amp;$A13))),0)-IFERROR(VALUE(IF(RTD("tos.rtd",,"IMPL_VOL","."&amp;F$2&amp;F$1&amp;"C"&amp;$A13)="N/A",0,RTD("tos.rtd",,"IMPL_VOL","."&amp;F$2&amp;F$1&amp;"C"&amp;$A13))),0),IF($A$2="MAXPAIN",IF($A$4&gt;$A13,($A$4-$A13)*IF(RTD("tos.rtd",,"OPEN_INT","."&amp;F$2&amp;F$1&amp;"C"&amp;$A13)="N/A",0,RTD("tos.rtd",,"OPEN_INT","."&amp;F$2&amp;F$1&amp;"C"&amp;$A13)),0)+IF($A$4&lt;$A13,($A$5-$A$4)*IF(RTD("tos.rtd",,"OPEN_INT","."&amp;F$2&amp;F$1&amp;"P"&amp;$A13)="N/A",0,RTD("tos.rtd",,"OPEN_INT","."&amp;F$2&amp;F$1&amp;"P"&amp;$A13)),0),IF($X$1="ABS",IF(RTD("tos.rtd",,$A$2,"."&amp;F$2&amp;F$1&amp;"C"&amp;$A13)="N/A",0,RTD("tos.rtd",,$A$2,"."&amp;F$2&amp;F$1&amp;"C"&amp;$A13))+IF(RTD("tos.rtd",,$A$2,"."&amp;F$2&amp;F$1&amp;"P"&amp;$A13)="N/A",0,RTD("tos.rtd",,$A$2,"."&amp;F$2&amp;F$1&amp;"P"&amp;$A13)),IF(RTD("tos.rtd",,$A$2,"."&amp;F$2&amp;F$1&amp;"C"&amp;$A13)="N/A",0,RTD("tos.rtd",,$A$2,"."&amp;F$2&amp;F$1&amp;"C"&amp;$A13))-IF(RTD("tos.rtd",,$A$2,"."&amp;F$2&amp;F$1&amp;"P"&amp;$A13)="N/A",0,RTD("tos.rtd",,$A$2,"."&amp;F$2&amp;F$1&amp;"P"&amp;$A13))))))))))</f>
        <v>0</v>
      </c>
      <c r="G13" s="54">
        <f ca="1">IF($A$2="PREMIUM_OI",IFERROR(IF($X$1="ABS",(100*RTD("tos.rtd",,"OPEN_INT","."&amp;G$2&amp;G$1&amp;"C"&amp;$A13)*RTD("tos.rtd",,"LAST","."&amp;G$2&amp;G$1&amp;"C"&amp;$A13)+100*RTD("tos.rtd",,"OPEN_INT","."&amp;G$2&amp;G$1&amp;"P"&amp;$A13)*RTD("tos.rtd",,"LAST","."&amp;G$2&amp;G$1&amp;"P"&amp;$A13))/1000000,(100*RTD("tos.rtd",,"OPEN_INT","."&amp;G$2&amp;G$1&amp;"C"&amp;$A13)*RTD("tos.rtd",,"LAST","."&amp;G$2&amp;G$1&amp;"C"&amp;$A13)-100*RTD("tos.rtd",,"OPEN_INT","."&amp;G$2&amp;G$1&amp;"P"&amp;$A13)*RTD("tos.rtd",,"LAST","."&amp;G$2&amp;G$1&amp;"P"&amp;$A13))/1000000),0),IF($A$2="PREMIUM",IFERROR(IF($X$1="ABS",(100*RTD("tos.rtd",,"VOLUME","."&amp;G$2&amp;G$1&amp;"C"&amp;$A13)*RTD("tos.rtd",,"LAST","."&amp;G$2&amp;G$1&amp;"C"&amp;$A13)+100*RTD("tos.rtd",,"VOLUME","."&amp;G$2&amp;G$1&amp;"P"&amp;$A13)*RTD("tos.rtd",,"LAST","."&amp;G$2&amp;G$1&amp;"P"&amp;$A13))/1000000,(100*RTD("tos.rtd",,"VOLUME","."&amp;G$2&amp;G$1&amp;"C"&amp;$A13)*RTD("tos.rtd",,"LAST","."&amp;G$2&amp;G$1&amp;"C"&amp;$A13)-100*RTD("tos.rtd",,"VOLUME","."&amp;G$2&amp;G$1&amp;"P"&amp;$A13)*RTD("tos.rtd",,"LAST","."&amp;G$2&amp;G$1&amp;"P"&amp;$A13))/1000000),0),IF($A$2="DEX",IFERROR(IF($X$1="ABS",(100*RTD("tos.rtd",,"OPEN_INT","."&amp;G$2&amp;G$1&amp;"C"&amp;$A13)*RTD("tos.rtd",,"DELTA","."&amp;G$2&amp;G$1&amp;"C"&amp;$A13)+100*RTD("tos.rtd",,"OPEN_INT","."&amp;G$2&amp;G$1&amp;"P"&amp;$A13)*RTD("tos.rtd",,"DELTA","."&amp;G$2&amp;G$1&amp;"P"&amp;$A13))/1000,(100*RTD("tos.rtd",,"OPEN_INT","."&amp;G$2&amp;G$1&amp;"C"&amp;$A13)*RTD("tos.rtd",,"DELTA","."&amp;G$2&amp;G$1&amp;"C"&amp;$A13)-100*RTD("tos.rtd",,"OPEN_INT","."&amp;G$2&amp;G$1&amp;"P"&amp;$A13)*RTD("tos.rtd",,"DELTA","."&amp;G$2&amp;G$1&amp;"P"&amp;$A13))/1000),0),IF($A$2="VEX",IFERROR(IF($X$1="ABS",($A$4*$A$4*RTD("tos.rtd",,"VOLUME","."&amp;G$2&amp;G$1&amp;"C"&amp;$A13)*RTD("tos.rtd",,"GAMMA","."&amp;G$2&amp;G$1&amp;"C"&amp;$A13)+$A$4*$A$4*RTD("tos.rtd",,"VOLUME","."&amp;G$2&amp;G$1&amp;"P"&amp;$A13)*RTD("tos.rtd",,"GAMMA","."&amp;G$2&amp;G$1&amp;"P"&amp;$A13))/1000000,($A$4*$A$4*RTD("tos.rtd",,"VOLUME","."&amp;G$2&amp;G$1&amp;"C"&amp;$A13)*RTD("tos.rtd",,"GAMMA","."&amp;G$2&amp;G$1&amp;"C"&amp;$A13)-$A$4*$A$4*RTD("tos.rtd",,"VOLUME","."&amp;G$2&amp;G$1&amp;"P"&amp;$A13)*RTD("tos.rtd",,"GAMMA","."&amp;G$2&amp;G$1&amp;"P"&amp;$A13))/1000000),0),IF($A$2="GEX",IFERROR(IF($X$1="ABS",($A$4*$A$4*RTD("tos.rtd",,"OPEN_INT","."&amp;G$2&amp;G$1&amp;"C"&amp;$A13)*RTD("tos.rtd",,"GAMMA","."&amp;G$2&amp;G$1&amp;"C"&amp;$A13)+$A$4*$A$4*RTD("tos.rtd",,"OPEN_INT","."&amp;G$2&amp;G$1&amp;"P"&amp;$A13)*RTD("tos.rtd",,"GAMMA","."&amp;G$2&amp;G$1&amp;"P"&amp;$A13))/1000000,($A$4*$A$4*RTD("tos.rtd",,"OPEN_INT","."&amp;G$2&amp;G$1&amp;"C"&amp;$A13)*RTD("tos.rtd",,"GAMMA","."&amp;G$2&amp;G$1&amp;"C"&amp;$A13)-$A$4*$A$4*RTD("tos.rtd",,"OPEN_INT","."&amp;G$2&amp;G$1&amp;"P"&amp;$A13)*RTD("tos.rtd",,"GAMMA","."&amp;G$2&amp;G$1&amp;"P"&amp;$A13))/1000000),0),IF($A$2="SKEW",IFERROR(VALUE(IF(RTD("tos.rtd",,"IMPL_VOL","."&amp;G$2&amp;G$1&amp;"P"&amp;$A13)="N/A",0,RTD("tos.rtd",,"IMPL_VOL","."&amp;G$2&amp;G$1&amp;"P"&amp;$A13))),0)-IFERROR(VALUE(IF(RTD("tos.rtd",,"IMPL_VOL","."&amp;G$2&amp;G$1&amp;"C"&amp;$A13)="N/A",0,RTD("tos.rtd",,"IMPL_VOL","."&amp;G$2&amp;G$1&amp;"C"&amp;$A13))),0),IF($A$2="MAXPAIN",IF($A$4&gt;$A13,($A$4-$A13)*IF(RTD("tos.rtd",,"OPEN_INT","."&amp;G$2&amp;G$1&amp;"C"&amp;$A13)="N/A",0,RTD("tos.rtd",,"OPEN_INT","."&amp;G$2&amp;G$1&amp;"C"&amp;$A13)),0)+IF($A$4&lt;$A13,($A$5-$A$4)*IF(RTD("tos.rtd",,"OPEN_INT","."&amp;G$2&amp;G$1&amp;"P"&amp;$A13)="N/A",0,RTD("tos.rtd",,"OPEN_INT","."&amp;G$2&amp;G$1&amp;"P"&amp;$A13)),0),IF($X$1="ABS",IF(RTD("tos.rtd",,$A$2,"."&amp;G$2&amp;G$1&amp;"C"&amp;$A13)="N/A",0,RTD("tos.rtd",,$A$2,"."&amp;G$2&amp;G$1&amp;"C"&amp;$A13))+IF(RTD("tos.rtd",,$A$2,"."&amp;G$2&amp;G$1&amp;"P"&amp;$A13)="N/A",0,RTD("tos.rtd",,$A$2,"."&amp;G$2&amp;G$1&amp;"P"&amp;$A13)),IF(RTD("tos.rtd",,$A$2,"."&amp;G$2&amp;G$1&amp;"C"&amp;$A13)="N/A",0,RTD("tos.rtd",,$A$2,"."&amp;G$2&amp;G$1&amp;"C"&amp;$A13))-IF(RTD("tos.rtd",,$A$2,"."&amp;G$2&amp;G$1&amp;"P"&amp;$A13)="N/A",0,RTD("tos.rtd",,$A$2,"."&amp;G$2&amp;G$1&amp;"P"&amp;$A13))))))))))</f>
        <v>0</v>
      </c>
      <c r="H13" s="14">
        <f ca="1">IF($A$2="PREMIUM_OI",IFERROR(IF($X$1="ABS",(100*RTD("tos.rtd",,"OPEN_INT","."&amp;H$2&amp;H$1&amp;"C"&amp;$A13)*RTD("tos.rtd",,"LAST","."&amp;H$2&amp;H$1&amp;"C"&amp;$A13)+100*RTD("tos.rtd",,"OPEN_INT","."&amp;H$2&amp;H$1&amp;"P"&amp;$A13)*RTD("tos.rtd",,"LAST","."&amp;H$2&amp;H$1&amp;"P"&amp;$A13))/1000000,(100*RTD("tos.rtd",,"OPEN_INT","."&amp;H$2&amp;H$1&amp;"C"&amp;$A13)*RTD("tos.rtd",,"LAST","."&amp;H$2&amp;H$1&amp;"C"&amp;$A13)-100*RTD("tos.rtd",,"OPEN_INT","."&amp;H$2&amp;H$1&amp;"P"&amp;$A13)*RTD("tos.rtd",,"LAST","."&amp;H$2&amp;H$1&amp;"P"&amp;$A13))/1000000),0),IF($A$2="PREMIUM",IFERROR(IF($X$1="ABS",(100*RTD("tos.rtd",,"VOLUME","."&amp;H$2&amp;H$1&amp;"C"&amp;$A13)*RTD("tos.rtd",,"LAST","."&amp;H$2&amp;H$1&amp;"C"&amp;$A13)+100*RTD("tos.rtd",,"VOLUME","."&amp;H$2&amp;H$1&amp;"P"&amp;$A13)*RTD("tos.rtd",,"LAST","."&amp;H$2&amp;H$1&amp;"P"&amp;$A13))/1000000,(100*RTD("tos.rtd",,"VOLUME","."&amp;H$2&amp;H$1&amp;"C"&amp;$A13)*RTD("tos.rtd",,"LAST","."&amp;H$2&amp;H$1&amp;"C"&amp;$A13)-100*RTD("tos.rtd",,"VOLUME","."&amp;H$2&amp;H$1&amp;"P"&amp;$A13)*RTD("tos.rtd",,"LAST","."&amp;H$2&amp;H$1&amp;"P"&amp;$A13))/1000000),0),IF($A$2="DEX",IFERROR(IF($X$1="ABS",(100*RTD("tos.rtd",,"OPEN_INT","."&amp;H$2&amp;H$1&amp;"C"&amp;$A13)*RTD("tos.rtd",,"DELTA","."&amp;H$2&amp;H$1&amp;"C"&amp;$A13)+100*RTD("tos.rtd",,"OPEN_INT","."&amp;H$2&amp;H$1&amp;"P"&amp;$A13)*RTD("tos.rtd",,"DELTA","."&amp;H$2&amp;H$1&amp;"P"&amp;$A13))/1000,(100*RTD("tos.rtd",,"OPEN_INT","."&amp;H$2&amp;H$1&amp;"C"&amp;$A13)*RTD("tos.rtd",,"DELTA","."&amp;H$2&amp;H$1&amp;"C"&amp;$A13)-100*RTD("tos.rtd",,"OPEN_INT","."&amp;H$2&amp;H$1&amp;"P"&amp;$A13)*RTD("tos.rtd",,"DELTA","."&amp;H$2&amp;H$1&amp;"P"&amp;$A13))/1000),0),IF($A$2="VEX",IFERROR(IF($X$1="ABS",($A$4*$A$4*RTD("tos.rtd",,"VOLUME","."&amp;H$2&amp;H$1&amp;"C"&amp;$A13)*RTD("tos.rtd",,"GAMMA","."&amp;H$2&amp;H$1&amp;"C"&amp;$A13)+$A$4*$A$4*RTD("tos.rtd",,"VOLUME","."&amp;H$2&amp;H$1&amp;"P"&amp;$A13)*RTD("tos.rtd",,"GAMMA","."&amp;H$2&amp;H$1&amp;"P"&amp;$A13))/1000000,($A$4*$A$4*RTD("tos.rtd",,"VOLUME","."&amp;H$2&amp;H$1&amp;"C"&amp;$A13)*RTD("tos.rtd",,"GAMMA","."&amp;H$2&amp;H$1&amp;"C"&amp;$A13)-$A$4*$A$4*RTD("tos.rtd",,"VOLUME","."&amp;H$2&amp;H$1&amp;"P"&amp;$A13)*RTD("tos.rtd",,"GAMMA","."&amp;H$2&amp;H$1&amp;"P"&amp;$A13))/1000000),0),IF($A$2="GEX",IFERROR(IF($X$1="ABS",($A$4*$A$4*RTD("tos.rtd",,"OPEN_INT","."&amp;H$2&amp;H$1&amp;"C"&amp;$A13)*RTD("tos.rtd",,"GAMMA","."&amp;H$2&amp;H$1&amp;"C"&amp;$A13)+$A$4*$A$4*RTD("tos.rtd",,"OPEN_INT","."&amp;H$2&amp;H$1&amp;"P"&amp;$A13)*RTD("tos.rtd",,"GAMMA","."&amp;H$2&amp;H$1&amp;"P"&amp;$A13))/1000000,($A$4*$A$4*RTD("tos.rtd",,"OPEN_INT","."&amp;H$2&amp;H$1&amp;"C"&amp;$A13)*RTD("tos.rtd",,"GAMMA","."&amp;H$2&amp;H$1&amp;"C"&amp;$A13)-$A$4*$A$4*RTD("tos.rtd",,"OPEN_INT","."&amp;H$2&amp;H$1&amp;"P"&amp;$A13)*RTD("tos.rtd",,"GAMMA","."&amp;H$2&amp;H$1&amp;"P"&amp;$A13))/1000000),0),IF($A$2="SKEW",IFERROR(VALUE(IF(RTD("tos.rtd",,"IMPL_VOL","."&amp;H$2&amp;H$1&amp;"P"&amp;$A13)="N/A",0,RTD("tos.rtd",,"IMPL_VOL","."&amp;H$2&amp;H$1&amp;"P"&amp;$A13))),0)-IFERROR(VALUE(IF(RTD("tos.rtd",,"IMPL_VOL","."&amp;H$2&amp;H$1&amp;"C"&amp;$A13)="N/A",0,RTD("tos.rtd",,"IMPL_VOL","."&amp;H$2&amp;H$1&amp;"C"&amp;$A13))),0),IF($A$2="MAXPAIN",IF($A$4&gt;$A13,($A$4-$A13)*IF(RTD("tos.rtd",,"OPEN_INT","."&amp;H$2&amp;H$1&amp;"C"&amp;$A13)="N/A",0,RTD("tos.rtd",,"OPEN_INT","."&amp;H$2&amp;H$1&amp;"C"&amp;$A13)),0)+IF($A$4&lt;$A13,($A$5-$A$4)*IF(RTD("tos.rtd",,"OPEN_INT","."&amp;H$2&amp;H$1&amp;"P"&amp;$A13)="N/A",0,RTD("tos.rtd",,"OPEN_INT","."&amp;H$2&amp;H$1&amp;"P"&amp;$A13)),0),IF($X$1="ABS",IF(RTD("tos.rtd",,$A$2,"."&amp;H$2&amp;H$1&amp;"C"&amp;$A13)="N/A",0,RTD("tos.rtd",,$A$2,"."&amp;H$2&amp;H$1&amp;"C"&amp;$A13))+IF(RTD("tos.rtd",,$A$2,"."&amp;H$2&amp;H$1&amp;"P"&amp;$A13)="N/A",0,RTD("tos.rtd",,$A$2,"."&amp;H$2&amp;H$1&amp;"P"&amp;$A13)),IF(RTD("tos.rtd",,$A$2,"."&amp;H$2&amp;H$1&amp;"C"&amp;$A13)="N/A",0,RTD("tos.rtd",,$A$2,"."&amp;H$2&amp;H$1&amp;"C"&amp;$A13))-IF(RTD("tos.rtd",,$A$2,"."&amp;H$2&amp;H$1&amp;"P"&amp;$A13)="N/A",0,RTD("tos.rtd",,$A$2,"."&amp;H$2&amp;H$1&amp;"P"&amp;$A13))))))))))</f>
        <v>0</v>
      </c>
      <c r="I13" s="12">
        <f ca="1">IF($A$2="PREMIUM_OI",IFERROR(IF($X$1="ABS",(100*RTD("tos.rtd",,"OPEN_INT","."&amp;I$2&amp;I$1&amp;"C"&amp;$A13)*RTD("tos.rtd",,"LAST","."&amp;I$2&amp;I$1&amp;"C"&amp;$A13)+100*RTD("tos.rtd",,"OPEN_INT","."&amp;I$2&amp;I$1&amp;"P"&amp;$A13)*RTD("tos.rtd",,"LAST","."&amp;I$2&amp;I$1&amp;"P"&amp;$A13))/1000000,(100*RTD("tos.rtd",,"OPEN_INT","."&amp;I$2&amp;I$1&amp;"C"&amp;$A13)*RTD("tos.rtd",,"LAST","."&amp;I$2&amp;I$1&amp;"C"&amp;$A13)-100*RTD("tos.rtd",,"OPEN_INT","."&amp;I$2&amp;I$1&amp;"P"&amp;$A13)*RTD("tos.rtd",,"LAST","."&amp;I$2&amp;I$1&amp;"P"&amp;$A13))/1000000),0),IF($A$2="PREMIUM",IFERROR(IF($X$1="ABS",(100*RTD("tos.rtd",,"VOLUME","."&amp;I$2&amp;I$1&amp;"C"&amp;$A13)*RTD("tos.rtd",,"LAST","."&amp;I$2&amp;I$1&amp;"C"&amp;$A13)+100*RTD("tos.rtd",,"VOLUME","."&amp;I$2&amp;I$1&amp;"P"&amp;$A13)*RTD("tos.rtd",,"LAST","."&amp;I$2&amp;I$1&amp;"P"&amp;$A13))/1000000,(100*RTD("tos.rtd",,"VOLUME","."&amp;I$2&amp;I$1&amp;"C"&amp;$A13)*RTD("tos.rtd",,"LAST","."&amp;I$2&amp;I$1&amp;"C"&amp;$A13)-100*RTD("tos.rtd",,"VOLUME","."&amp;I$2&amp;I$1&amp;"P"&amp;$A13)*RTD("tos.rtd",,"LAST","."&amp;I$2&amp;I$1&amp;"P"&amp;$A13))/1000000),0),IF($A$2="DEX",IFERROR(IF($X$1="ABS",(100*RTD("tos.rtd",,"OPEN_INT","."&amp;I$2&amp;I$1&amp;"C"&amp;$A13)*RTD("tos.rtd",,"DELTA","."&amp;I$2&amp;I$1&amp;"C"&amp;$A13)+100*RTD("tos.rtd",,"OPEN_INT","."&amp;I$2&amp;I$1&amp;"P"&amp;$A13)*RTD("tos.rtd",,"DELTA","."&amp;I$2&amp;I$1&amp;"P"&amp;$A13))/1000,(100*RTD("tos.rtd",,"OPEN_INT","."&amp;I$2&amp;I$1&amp;"C"&amp;$A13)*RTD("tos.rtd",,"DELTA","."&amp;I$2&amp;I$1&amp;"C"&amp;$A13)-100*RTD("tos.rtd",,"OPEN_INT","."&amp;I$2&amp;I$1&amp;"P"&amp;$A13)*RTD("tos.rtd",,"DELTA","."&amp;I$2&amp;I$1&amp;"P"&amp;$A13))/1000),0),IF($A$2="VEX",IFERROR(IF($X$1="ABS",($A$4*$A$4*RTD("tos.rtd",,"VOLUME","."&amp;I$2&amp;I$1&amp;"C"&amp;$A13)*RTD("tos.rtd",,"GAMMA","."&amp;I$2&amp;I$1&amp;"C"&amp;$A13)+$A$4*$A$4*RTD("tos.rtd",,"VOLUME","."&amp;I$2&amp;I$1&amp;"P"&amp;$A13)*RTD("tos.rtd",,"GAMMA","."&amp;I$2&amp;I$1&amp;"P"&amp;$A13))/1000000,($A$4*$A$4*RTD("tos.rtd",,"VOLUME","."&amp;I$2&amp;I$1&amp;"C"&amp;$A13)*RTD("tos.rtd",,"GAMMA","."&amp;I$2&amp;I$1&amp;"C"&amp;$A13)-$A$4*$A$4*RTD("tos.rtd",,"VOLUME","."&amp;I$2&amp;I$1&amp;"P"&amp;$A13)*RTD("tos.rtd",,"GAMMA","."&amp;I$2&amp;I$1&amp;"P"&amp;$A13))/1000000),0),IF($A$2="GEX",IFERROR(IF($X$1="ABS",($A$4*$A$4*RTD("tos.rtd",,"OPEN_INT","."&amp;I$2&amp;I$1&amp;"C"&amp;$A13)*RTD("tos.rtd",,"GAMMA","."&amp;I$2&amp;I$1&amp;"C"&amp;$A13)+$A$4*$A$4*RTD("tos.rtd",,"OPEN_INT","."&amp;I$2&amp;I$1&amp;"P"&amp;$A13)*RTD("tos.rtd",,"GAMMA","."&amp;I$2&amp;I$1&amp;"P"&amp;$A13))/1000000,($A$4*$A$4*RTD("tos.rtd",,"OPEN_INT","."&amp;I$2&amp;I$1&amp;"C"&amp;$A13)*RTD("tos.rtd",,"GAMMA","."&amp;I$2&amp;I$1&amp;"C"&amp;$A13)-$A$4*$A$4*RTD("tos.rtd",,"OPEN_INT","."&amp;I$2&amp;I$1&amp;"P"&amp;$A13)*RTD("tos.rtd",,"GAMMA","."&amp;I$2&amp;I$1&amp;"P"&amp;$A13))/1000000),0),IF($A$2="SKEW",IFERROR(VALUE(IF(RTD("tos.rtd",,"IMPL_VOL","."&amp;I$2&amp;I$1&amp;"P"&amp;$A13)="N/A",0,RTD("tos.rtd",,"IMPL_VOL","."&amp;I$2&amp;I$1&amp;"P"&amp;$A13))),0)-IFERROR(VALUE(IF(RTD("tos.rtd",,"IMPL_VOL","."&amp;I$2&amp;I$1&amp;"C"&amp;$A13)="N/A",0,RTD("tos.rtd",,"IMPL_VOL","."&amp;I$2&amp;I$1&amp;"C"&amp;$A13))),0),IF($A$2="MAXPAIN",IF($A$4&gt;$A13,($A$4-$A13)*IF(RTD("tos.rtd",,"OPEN_INT","."&amp;I$2&amp;I$1&amp;"C"&amp;$A13)="N/A",0,RTD("tos.rtd",,"OPEN_INT","."&amp;I$2&amp;I$1&amp;"C"&amp;$A13)),0)+IF($A$4&lt;$A13,($A$5-$A$4)*IF(RTD("tos.rtd",,"OPEN_INT","."&amp;I$2&amp;I$1&amp;"P"&amp;$A13)="N/A",0,RTD("tos.rtd",,"OPEN_INT","."&amp;I$2&amp;I$1&amp;"P"&amp;$A13)),0),IF($X$1="ABS",IF(RTD("tos.rtd",,$A$2,"."&amp;I$2&amp;I$1&amp;"C"&amp;$A13)="N/A",0,RTD("tos.rtd",,$A$2,"."&amp;I$2&amp;I$1&amp;"C"&amp;$A13))+IF(RTD("tos.rtd",,$A$2,"."&amp;I$2&amp;I$1&amp;"P"&amp;$A13)="N/A",0,RTD("tos.rtd",,$A$2,"."&amp;I$2&amp;I$1&amp;"P"&amp;$A13)),IF(RTD("tos.rtd",,$A$2,"."&amp;I$2&amp;I$1&amp;"C"&amp;$A13)="N/A",0,RTD("tos.rtd",,$A$2,"."&amp;I$2&amp;I$1&amp;"C"&amp;$A13))-IF(RTD("tos.rtd",,$A$2,"."&amp;I$2&amp;I$1&amp;"P"&amp;$A13)="N/A",0,RTD("tos.rtd",,$A$2,"."&amp;I$2&amp;I$1&amp;"P"&amp;$A13))))))))))</f>
        <v>0</v>
      </c>
      <c r="J13" s="12">
        <f ca="1">IF($A$2="PREMIUM_OI",IFERROR(IF($X$1="ABS",(100*RTD("tos.rtd",,"OPEN_INT","."&amp;J$2&amp;J$1&amp;"C"&amp;$A13)*RTD("tos.rtd",,"LAST","."&amp;J$2&amp;J$1&amp;"C"&amp;$A13)+100*RTD("tos.rtd",,"OPEN_INT","."&amp;J$2&amp;J$1&amp;"P"&amp;$A13)*RTD("tos.rtd",,"LAST","."&amp;J$2&amp;J$1&amp;"P"&amp;$A13))/1000000,(100*RTD("tos.rtd",,"OPEN_INT","."&amp;J$2&amp;J$1&amp;"C"&amp;$A13)*RTD("tos.rtd",,"LAST","."&amp;J$2&amp;J$1&amp;"C"&amp;$A13)-100*RTD("tos.rtd",,"OPEN_INT","."&amp;J$2&amp;J$1&amp;"P"&amp;$A13)*RTD("tos.rtd",,"LAST","."&amp;J$2&amp;J$1&amp;"P"&amp;$A13))/1000000),0),IF($A$2="PREMIUM",IFERROR(IF($X$1="ABS",(100*RTD("tos.rtd",,"VOLUME","."&amp;J$2&amp;J$1&amp;"C"&amp;$A13)*RTD("tos.rtd",,"LAST","."&amp;J$2&amp;J$1&amp;"C"&amp;$A13)+100*RTD("tos.rtd",,"VOLUME","."&amp;J$2&amp;J$1&amp;"P"&amp;$A13)*RTD("tos.rtd",,"LAST","."&amp;J$2&amp;J$1&amp;"P"&amp;$A13))/1000000,(100*RTD("tos.rtd",,"VOLUME","."&amp;J$2&amp;J$1&amp;"C"&amp;$A13)*RTD("tos.rtd",,"LAST","."&amp;J$2&amp;J$1&amp;"C"&amp;$A13)-100*RTD("tos.rtd",,"VOLUME","."&amp;J$2&amp;J$1&amp;"P"&amp;$A13)*RTD("tos.rtd",,"LAST","."&amp;J$2&amp;J$1&amp;"P"&amp;$A13))/1000000),0),IF($A$2="DEX",IFERROR(IF($X$1="ABS",(100*RTD("tos.rtd",,"OPEN_INT","."&amp;J$2&amp;J$1&amp;"C"&amp;$A13)*RTD("tos.rtd",,"DELTA","."&amp;J$2&amp;J$1&amp;"C"&amp;$A13)+100*RTD("tos.rtd",,"OPEN_INT","."&amp;J$2&amp;J$1&amp;"P"&amp;$A13)*RTD("tos.rtd",,"DELTA","."&amp;J$2&amp;J$1&amp;"P"&amp;$A13))/1000,(100*RTD("tos.rtd",,"OPEN_INT","."&amp;J$2&amp;J$1&amp;"C"&amp;$A13)*RTD("tos.rtd",,"DELTA","."&amp;J$2&amp;J$1&amp;"C"&amp;$A13)-100*RTD("tos.rtd",,"OPEN_INT","."&amp;J$2&amp;J$1&amp;"P"&amp;$A13)*RTD("tos.rtd",,"DELTA","."&amp;J$2&amp;J$1&amp;"P"&amp;$A13))/1000),0),IF($A$2="VEX",IFERROR(IF($X$1="ABS",($A$4*$A$4*RTD("tos.rtd",,"VOLUME","."&amp;J$2&amp;J$1&amp;"C"&amp;$A13)*RTD("tos.rtd",,"GAMMA","."&amp;J$2&amp;J$1&amp;"C"&amp;$A13)+$A$4*$A$4*RTD("tos.rtd",,"VOLUME","."&amp;J$2&amp;J$1&amp;"P"&amp;$A13)*RTD("tos.rtd",,"GAMMA","."&amp;J$2&amp;J$1&amp;"P"&amp;$A13))/1000000,($A$4*$A$4*RTD("tos.rtd",,"VOLUME","."&amp;J$2&amp;J$1&amp;"C"&amp;$A13)*RTD("tos.rtd",,"GAMMA","."&amp;J$2&amp;J$1&amp;"C"&amp;$A13)-$A$4*$A$4*RTD("tos.rtd",,"VOLUME","."&amp;J$2&amp;J$1&amp;"P"&amp;$A13)*RTD("tos.rtd",,"GAMMA","."&amp;J$2&amp;J$1&amp;"P"&amp;$A13))/1000000),0),IF($A$2="GEX",IFERROR(IF($X$1="ABS",($A$4*$A$4*RTD("tos.rtd",,"OPEN_INT","."&amp;J$2&amp;J$1&amp;"C"&amp;$A13)*RTD("tos.rtd",,"GAMMA","."&amp;J$2&amp;J$1&amp;"C"&amp;$A13)+$A$4*$A$4*RTD("tos.rtd",,"OPEN_INT","."&amp;J$2&amp;J$1&amp;"P"&amp;$A13)*RTD("tos.rtd",,"GAMMA","."&amp;J$2&amp;J$1&amp;"P"&amp;$A13))/1000000,($A$4*$A$4*RTD("tos.rtd",,"OPEN_INT","."&amp;J$2&amp;J$1&amp;"C"&amp;$A13)*RTD("tos.rtd",,"GAMMA","."&amp;J$2&amp;J$1&amp;"C"&amp;$A13)-$A$4*$A$4*RTD("tos.rtd",,"OPEN_INT","."&amp;J$2&amp;J$1&amp;"P"&amp;$A13)*RTD("tos.rtd",,"GAMMA","."&amp;J$2&amp;J$1&amp;"P"&amp;$A13))/1000000),0),IF($A$2="SKEW",IFERROR(VALUE(IF(RTD("tos.rtd",,"IMPL_VOL","."&amp;J$2&amp;J$1&amp;"P"&amp;$A13)="N/A",0,RTD("tos.rtd",,"IMPL_VOL","."&amp;J$2&amp;J$1&amp;"P"&amp;$A13))),0)-IFERROR(VALUE(IF(RTD("tos.rtd",,"IMPL_VOL","."&amp;J$2&amp;J$1&amp;"C"&amp;$A13)="N/A",0,RTD("tos.rtd",,"IMPL_VOL","."&amp;J$2&amp;J$1&amp;"C"&amp;$A13))),0),IF($A$2="MAXPAIN",IF($A$4&gt;$A13,($A$4-$A13)*IF(RTD("tos.rtd",,"OPEN_INT","."&amp;J$2&amp;J$1&amp;"C"&amp;$A13)="N/A",0,RTD("tos.rtd",,"OPEN_INT","."&amp;J$2&amp;J$1&amp;"C"&amp;$A13)),0)+IF($A$4&lt;$A13,($A$5-$A$4)*IF(RTD("tos.rtd",,"OPEN_INT","."&amp;J$2&amp;J$1&amp;"P"&amp;$A13)="N/A",0,RTD("tos.rtd",,"OPEN_INT","."&amp;J$2&amp;J$1&amp;"P"&amp;$A13)),0),IF($X$1="ABS",IF(RTD("tos.rtd",,$A$2,"."&amp;J$2&amp;J$1&amp;"C"&amp;$A13)="N/A",0,RTD("tos.rtd",,$A$2,"."&amp;J$2&amp;J$1&amp;"C"&amp;$A13))+IF(RTD("tos.rtd",,$A$2,"."&amp;J$2&amp;J$1&amp;"P"&amp;$A13)="N/A",0,RTD("tos.rtd",,$A$2,"."&amp;J$2&amp;J$1&amp;"P"&amp;$A13)),IF(RTD("tos.rtd",,$A$2,"."&amp;J$2&amp;J$1&amp;"C"&amp;$A13)="N/A",0,RTD("tos.rtd",,$A$2,"."&amp;J$2&amp;J$1&amp;"C"&amp;$A13))-IF(RTD("tos.rtd",,$A$2,"."&amp;J$2&amp;J$1&amp;"P"&amp;$A13)="N/A",0,RTD("tos.rtd",,$A$2,"."&amp;J$2&amp;J$1&amp;"P"&amp;$A13))))))))))</f>
        <v>0</v>
      </c>
      <c r="K13" s="12">
        <f ca="1">IF($A$2="PREMIUM_OI",IFERROR(IF($X$1="ABS",(100*RTD("tos.rtd",,"OPEN_INT","."&amp;K$2&amp;K$1&amp;"C"&amp;$A13)*RTD("tos.rtd",,"LAST","."&amp;K$2&amp;K$1&amp;"C"&amp;$A13)+100*RTD("tos.rtd",,"OPEN_INT","."&amp;K$2&amp;K$1&amp;"P"&amp;$A13)*RTD("tos.rtd",,"LAST","."&amp;K$2&amp;K$1&amp;"P"&amp;$A13))/1000000,(100*RTD("tos.rtd",,"OPEN_INT","."&amp;K$2&amp;K$1&amp;"C"&amp;$A13)*RTD("tos.rtd",,"LAST","."&amp;K$2&amp;K$1&amp;"C"&amp;$A13)-100*RTD("tos.rtd",,"OPEN_INT","."&amp;K$2&amp;K$1&amp;"P"&amp;$A13)*RTD("tos.rtd",,"LAST","."&amp;K$2&amp;K$1&amp;"P"&amp;$A13))/1000000),0),IF($A$2="PREMIUM",IFERROR(IF($X$1="ABS",(100*RTD("tos.rtd",,"VOLUME","."&amp;K$2&amp;K$1&amp;"C"&amp;$A13)*RTD("tos.rtd",,"LAST","."&amp;K$2&amp;K$1&amp;"C"&amp;$A13)+100*RTD("tos.rtd",,"VOLUME","."&amp;K$2&amp;K$1&amp;"P"&amp;$A13)*RTD("tos.rtd",,"LAST","."&amp;K$2&amp;K$1&amp;"P"&amp;$A13))/1000000,(100*RTD("tos.rtd",,"VOLUME","."&amp;K$2&amp;K$1&amp;"C"&amp;$A13)*RTD("tos.rtd",,"LAST","."&amp;K$2&amp;K$1&amp;"C"&amp;$A13)-100*RTD("tos.rtd",,"VOLUME","."&amp;K$2&amp;K$1&amp;"P"&amp;$A13)*RTD("tos.rtd",,"LAST","."&amp;K$2&amp;K$1&amp;"P"&amp;$A13))/1000000),0),IF($A$2="DEX",IFERROR(IF($X$1="ABS",(100*RTD("tos.rtd",,"OPEN_INT","."&amp;K$2&amp;K$1&amp;"C"&amp;$A13)*RTD("tos.rtd",,"DELTA","."&amp;K$2&amp;K$1&amp;"C"&amp;$A13)+100*RTD("tos.rtd",,"OPEN_INT","."&amp;K$2&amp;K$1&amp;"P"&amp;$A13)*RTD("tos.rtd",,"DELTA","."&amp;K$2&amp;K$1&amp;"P"&amp;$A13))/1000,(100*RTD("tos.rtd",,"OPEN_INT","."&amp;K$2&amp;K$1&amp;"C"&amp;$A13)*RTD("tos.rtd",,"DELTA","."&amp;K$2&amp;K$1&amp;"C"&amp;$A13)-100*RTD("tos.rtd",,"OPEN_INT","."&amp;K$2&amp;K$1&amp;"P"&amp;$A13)*RTD("tos.rtd",,"DELTA","."&amp;K$2&amp;K$1&amp;"P"&amp;$A13))/1000),0),IF($A$2="VEX",IFERROR(IF($X$1="ABS",($A$4*$A$4*RTD("tos.rtd",,"VOLUME","."&amp;K$2&amp;K$1&amp;"C"&amp;$A13)*RTD("tos.rtd",,"GAMMA","."&amp;K$2&amp;K$1&amp;"C"&amp;$A13)+$A$4*$A$4*RTD("tos.rtd",,"VOLUME","."&amp;K$2&amp;K$1&amp;"P"&amp;$A13)*RTD("tos.rtd",,"GAMMA","."&amp;K$2&amp;K$1&amp;"P"&amp;$A13))/1000000,($A$4*$A$4*RTD("tos.rtd",,"VOLUME","."&amp;K$2&amp;K$1&amp;"C"&amp;$A13)*RTD("tos.rtd",,"GAMMA","."&amp;K$2&amp;K$1&amp;"C"&amp;$A13)-$A$4*$A$4*RTD("tos.rtd",,"VOLUME","."&amp;K$2&amp;K$1&amp;"P"&amp;$A13)*RTD("tos.rtd",,"GAMMA","."&amp;K$2&amp;K$1&amp;"P"&amp;$A13))/1000000),0),IF($A$2="GEX",IFERROR(IF($X$1="ABS",($A$4*$A$4*RTD("tos.rtd",,"OPEN_INT","."&amp;K$2&amp;K$1&amp;"C"&amp;$A13)*RTD("tos.rtd",,"GAMMA","."&amp;K$2&amp;K$1&amp;"C"&amp;$A13)+$A$4*$A$4*RTD("tos.rtd",,"OPEN_INT","."&amp;K$2&amp;K$1&amp;"P"&amp;$A13)*RTD("tos.rtd",,"GAMMA","."&amp;K$2&amp;K$1&amp;"P"&amp;$A13))/1000000,($A$4*$A$4*RTD("tos.rtd",,"OPEN_INT","."&amp;K$2&amp;K$1&amp;"C"&amp;$A13)*RTD("tos.rtd",,"GAMMA","."&amp;K$2&amp;K$1&amp;"C"&amp;$A13)-$A$4*$A$4*RTD("tos.rtd",,"OPEN_INT","."&amp;K$2&amp;K$1&amp;"P"&amp;$A13)*RTD("tos.rtd",,"GAMMA","."&amp;K$2&amp;K$1&amp;"P"&amp;$A13))/1000000),0),IF($A$2="SKEW",IFERROR(VALUE(IF(RTD("tos.rtd",,"IMPL_VOL","."&amp;K$2&amp;K$1&amp;"P"&amp;$A13)="N/A",0,RTD("tos.rtd",,"IMPL_VOL","."&amp;K$2&amp;K$1&amp;"P"&amp;$A13))),0)-IFERROR(VALUE(IF(RTD("tos.rtd",,"IMPL_VOL","."&amp;K$2&amp;K$1&amp;"C"&amp;$A13)="N/A",0,RTD("tos.rtd",,"IMPL_VOL","."&amp;K$2&amp;K$1&amp;"C"&amp;$A13))),0),IF($A$2="MAXPAIN",IF($A$4&gt;$A13,($A$4-$A13)*IF(RTD("tos.rtd",,"OPEN_INT","."&amp;K$2&amp;K$1&amp;"C"&amp;$A13)="N/A",0,RTD("tos.rtd",,"OPEN_INT","."&amp;K$2&amp;K$1&amp;"C"&amp;$A13)),0)+IF($A$4&lt;$A13,($A$5-$A$4)*IF(RTD("tos.rtd",,"OPEN_INT","."&amp;K$2&amp;K$1&amp;"P"&amp;$A13)="N/A",0,RTD("tos.rtd",,"OPEN_INT","."&amp;K$2&amp;K$1&amp;"P"&amp;$A13)),0),IF($X$1="ABS",IF(RTD("tos.rtd",,$A$2,"."&amp;K$2&amp;K$1&amp;"C"&amp;$A13)="N/A",0,RTD("tos.rtd",,$A$2,"."&amp;K$2&amp;K$1&amp;"C"&amp;$A13))+IF(RTD("tos.rtd",,$A$2,"."&amp;K$2&amp;K$1&amp;"P"&amp;$A13)="N/A",0,RTD("tos.rtd",,$A$2,"."&amp;K$2&amp;K$1&amp;"P"&amp;$A13)),IF(RTD("tos.rtd",,$A$2,"."&amp;K$2&amp;K$1&amp;"C"&amp;$A13)="N/A",0,RTD("tos.rtd",,$A$2,"."&amp;K$2&amp;K$1&amp;"C"&amp;$A13))-IF(RTD("tos.rtd",,$A$2,"."&amp;K$2&amp;K$1&amp;"P"&amp;$A13)="N/A",0,RTD("tos.rtd",,$A$2,"."&amp;K$2&amp;K$1&amp;"P"&amp;$A13))))))))))</f>
        <v>0</v>
      </c>
      <c r="L13" s="54">
        <f ca="1">IF($A$2="PREMIUM_OI",IFERROR(IF($X$1="ABS",(100*RTD("tos.rtd",,"OPEN_INT","."&amp;L$2&amp;L$1&amp;"C"&amp;$A13)*RTD("tos.rtd",,"LAST","."&amp;L$2&amp;L$1&amp;"C"&amp;$A13)+100*RTD("tos.rtd",,"OPEN_INT","."&amp;L$2&amp;L$1&amp;"P"&amp;$A13)*RTD("tos.rtd",,"LAST","."&amp;L$2&amp;L$1&amp;"P"&amp;$A13))/1000000,(100*RTD("tos.rtd",,"OPEN_INT","."&amp;L$2&amp;L$1&amp;"C"&amp;$A13)*RTD("tos.rtd",,"LAST","."&amp;L$2&amp;L$1&amp;"C"&amp;$A13)-100*RTD("tos.rtd",,"OPEN_INT","."&amp;L$2&amp;L$1&amp;"P"&amp;$A13)*RTD("tos.rtd",,"LAST","."&amp;L$2&amp;L$1&amp;"P"&amp;$A13))/1000000),0),IF($A$2="PREMIUM",IFERROR(IF($X$1="ABS",(100*RTD("tos.rtd",,"VOLUME","."&amp;L$2&amp;L$1&amp;"C"&amp;$A13)*RTD("tos.rtd",,"LAST","."&amp;L$2&amp;L$1&amp;"C"&amp;$A13)+100*RTD("tos.rtd",,"VOLUME","."&amp;L$2&amp;L$1&amp;"P"&amp;$A13)*RTD("tos.rtd",,"LAST","."&amp;L$2&amp;L$1&amp;"P"&amp;$A13))/1000000,(100*RTD("tos.rtd",,"VOLUME","."&amp;L$2&amp;L$1&amp;"C"&amp;$A13)*RTD("tos.rtd",,"LAST","."&amp;L$2&amp;L$1&amp;"C"&amp;$A13)-100*RTD("tos.rtd",,"VOLUME","."&amp;L$2&amp;L$1&amp;"P"&amp;$A13)*RTD("tos.rtd",,"LAST","."&amp;L$2&amp;L$1&amp;"P"&amp;$A13))/1000000),0),IF($A$2="DEX",IFERROR(IF($X$1="ABS",(100*RTD("tos.rtd",,"OPEN_INT","."&amp;L$2&amp;L$1&amp;"C"&amp;$A13)*RTD("tos.rtd",,"DELTA","."&amp;L$2&amp;L$1&amp;"C"&amp;$A13)+100*RTD("tos.rtd",,"OPEN_INT","."&amp;L$2&amp;L$1&amp;"P"&amp;$A13)*RTD("tos.rtd",,"DELTA","."&amp;L$2&amp;L$1&amp;"P"&amp;$A13))/1000,(100*RTD("tos.rtd",,"OPEN_INT","."&amp;L$2&amp;L$1&amp;"C"&amp;$A13)*RTD("tos.rtd",,"DELTA","."&amp;L$2&amp;L$1&amp;"C"&amp;$A13)-100*RTD("tos.rtd",,"OPEN_INT","."&amp;L$2&amp;L$1&amp;"P"&amp;$A13)*RTD("tos.rtd",,"DELTA","."&amp;L$2&amp;L$1&amp;"P"&amp;$A13))/1000),0),IF($A$2="VEX",IFERROR(IF($X$1="ABS",($A$4*$A$4*RTD("tos.rtd",,"VOLUME","."&amp;L$2&amp;L$1&amp;"C"&amp;$A13)*RTD("tos.rtd",,"GAMMA","."&amp;L$2&amp;L$1&amp;"C"&amp;$A13)+$A$4*$A$4*RTD("tos.rtd",,"VOLUME","."&amp;L$2&amp;L$1&amp;"P"&amp;$A13)*RTD("tos.rtd",,"GAMMA","."&amp;L$2&amp;L$1&amp;"P"&amp;$A13))/1000000,($A$4*$A$4*RTD("tos.rtd",,"VOLUME","."&amp;L$2&amp;L$1&amp;"C"&amp;$A13)*RTD("tos.rtd",,"GAMMA","."&amp;L$2&amp;L$1&amp;"C"&amp;$A13)-$A$4*$A$4*RTD("tos.rtd",,"VOLUME","."&amp;L$2&amp;L$1&amp;"P"&amp;$A13)*RTD("tos.rtd",,"GAMMA","."&amp;L$2&amp;L$1&amp;"P"&amp;$A13))/1000000),0),IF($A$2="GEX",IFERROR(IF($X$1="ABS",($A$4*$A$4*RTD("tos.rtd",,"OPEN_INT","."&amp;L$2&amp;L$1&amp;"C"&amp;$A13)*RTD("tos.rtd",,"GAMMA","."&amp;L$2&amp;L$1&amp;"C"&amp;$A13)+$A$4*$A$4*RTD("tos.rtd",,"OPEN_INT","."&amp;L$2&amp;L$1&amp;"P"&amp;$A13)*RTD("tos.rtd",,"GAMMA","."&amp;L$2&amp;L$1&amp;"P"&amp;$A13))/1000000,($A$4*$A$4*RTD("tos.rtd",,"OPEN_INT","."&amp;L$2&amp;L$1&amp;"C"&amp;$A13)*RTD("tos.rtd",,"GAMMA","."&amp;L$2&amp;L$1&amp;"C"&amp;$A13)-$A$4*$A$4*RTD("tos.rtd",,"OPEN_INT","."&amp;L$2&amp;L$1&amp;"P"&amp;$A13)*RTD("tos.rtd",,"GAMMA","."&amp;L$2&amp;L$1&amp;"P"&amp;$A13))/1000000),0),IF($A$2="SKEW",IFERROR(VALUE(IF(RTD("tos.rtd",,"IMPL_VOL","."&amp;L$2&amp;L$1&amp;"P"&amp;$A13)="N/A",0,RTD("tos.rtd",,"IMPL_VOL","."&amp;L$2&amp;L$1&amp;"P"&amp;$A13))),0)-IFERROR(VALUE(IF(RTD("tos.rtd",,"IMPL_VOL","."&amp;L$2&amp;L$1&amp;"C"&amp;$A13)="N/A",0,RTD("tos.rtd",,"IMPL_VOL","."&amp;L$2&amp;L$1&amp;"C"&amp;$A13))),0),IF($A$2="MAXPAIN",IF($A$4&gt;$A13,($A$4-$A13)*IF(RTD("tos.rtd",,"OPEN_INT","."&amp;L$2&amp;L$1&amp;"C"&amp;$A13)="N/A",0,RTD("tos.rtd",,"OPEN_INT","."&amp;L$2&amp;L$1&amp;"C"&amp;$A13)),0)+IF($A$4&lt;$A13,($A$5-$A$4)*IF(RTD("tos.rtd",,"OPEN_INT","."&amp;L$2&amp;L$1&amp;"P"&amp;$A13)="N/A",0,RTD("tos.rtd",,"OPEN_INT","."&amp;L$2&amp;L$1&amp;"P"&amp;$A13)),0),IF($X$1="ABS",IF(RTD("tos.rtd",,$A$2,"."&amp;L$2&amp;L$1&amp;"C"&amp;$A13)="N/A",0,RTD("tos.rtd",,$A$2,"."&amp;L$2&amp;L$1&amp;"C"&amp;$A13))+IF(RTD("tos.rtd",,$A$2,"."&amp;L$2&amp;L$1&amp;"P"&amp;$A13)="N/A",0,RTD("tos.rtd",,$A$2,"."&amp;L$2&amp;L$1&amp;"P"&amp;$A13)),IF(RTD("tos.rtd",,$A$2,"."&amp;L$2&amp;L$1&amp;"C"&amp;$A13)="N/A",0,RTD("tos.rtd",,$A$2,"."&amp;L$2&amp;L$1&amp;"C"&amp;$A13))-IF(RTD("tos.rtd",,$A$2,"."&amp;L$2&amp;L$1&amp;"P"&amp;$A13)="N/A",0,RTD("tos.rtd",,$A$2,"."&amp;L$2&amp;L$1&amp;"P"&amp;$A13))))))))))</f>
        <v>0</v>
      </c>
      <c r="M13" s="12">
        <f ca="1">IF($A$2="PREMIUM_OI",IFERROR(IF($X$1="ABS",(100*RTD("tos.rtd",,"OPEN_INT","."&amp;M$2&amp;M$1&amp;"C"&amp;$A13)*RTD("tos.rtd",,"LAST","."&amp;M$2&amp;M$1&amp;"C"&amp;$A13)+100*RTD("tos.rtd",,"OPEN_INT","."&amp;M$2&amp;M$1&amp;"P"&amp;$A13)*RTD("tos.rtd",,"LAST","."&amp;M$2&amp;M$1&amp;"P"&amp;$A13))/1000000,(100*RTD("tos.rtd",,"OPEN_INT","."&amp;M$2&amp;M$1&amp;"C"&amp;$A13)*RTD("tos.rtd",,"LAST","."&amp;M$2&amp;M$1&amp;"C"&amp;$A13)-100*RTD("tos.rtd",,"OPEN_INT","."&amp;M$2&amp;M$1&amp;"P"&amp;$A13)*RTD("tos.rtd",,"LAST","."&amp;M$2&amp;M$1&amp;"P"&amp;$A13))/1000000),0),IF($A$2="PREMIUM",IFERROR(IF($X$1="ABS",(100*RTD("tos.rtd",,"VOLUME","."&amp;M$2&amp;M$1&amp;"C"&amp;$A13)*RTD("tos.rtd",,"LAST","."&amp;M$2&amp;M$1&amp;"C"&amp;$A13)+100*RTD("tos.rtd",,"VOLUME","."&amp;M$2&amp;M$1&amp;"P"&amp;$A13)*RTD("tos.rtd",,"LAST","."&amp;M$2&amp;M$1&amp;"P"&amp;$A13))/1000000,(100*RTD("tos.rtd",,"VOLUME","."&amp;M$2&amp;M$1&amp;"C"&amp;$A13)*RTD("tos.rtd",,"LAST","."&amp;M$2&amp;M$1&amp;"C"&amp;$A13)-100*RTD("tos.rtd",,"VOLUME","."&amp;M$2&amp;M$1&amp;"P"&amp;$A13)*RTD("tos.rtd",,"LAST","."&amp;M$2&amp;M$1&amp;"P"&amp;$A13))/1000000),0),IF($A$2="DEX",IFERROR(IF($X$1="ABS",(100*RTD("tos.rtd",,"OPEN_INT","."&amp;M$2&amp;M$1&amp;"C"&amp;$A13)*RTD("tos.rtd",,"DELTA","."&amp;M$2&amp;M$1&amp;"C"&amp;$A13)+100*RTD("tos.rtd",,"OPEN_INT","."&amp;M$2&amp;M$1&amp;"P"&amp;$A13)*RTD("tos.rtd",,"DELTA","."&amp;M$2&amp;M$1&amp;"P"&amp;$A13))/1000,(100*RTD("tos.rtd",,"OPEN_INT","."&amp;M$2&amp;M$1&amp;"C"&amp;$A13)*RTD("tos.rtd",,"DELTA","."&amp;M$2&amp;M$1&amp;"C"&amp;$A13)-100*RTD("tos.rtd",,"OPEN_INT","."&amp;M$2&amp;M$1&amp;"P"&amp;$A13)*RTD("tos.rtd",,"DELTA","."&amp;M$2&amp;M$1&amp;"P"&amp;$A13))/1000),0),IF($A$2="VEX",IFERROR(IF($X$1="ABS",($A$4*$A$4*RTD("tos.rtd",,"VOLUME","."&amp;M$2&amp;M$1&amp;"C"&amp;$A13)*RTD("tos.rtd",,"GAMMA","."&amp;M$2&amp;M$1&amp;"C"&amp;$A13)+$A$4*$A$4*RTD("tos.rtd",,"VOLUME","."&amp;M$2&amp;M$1&amp;"P"&amp;$A13)*RTD("tos.rtd",,"GAMMA","."&amp;M$2&amp;M$1&amp;"P"&amp;$A13))/1000000,($A$4*$A$4*RTD("tos.rtd",,"VOLUME","."&amp;M$2&amp;M$1&amp;"C"&amp;$A13)*RTD("tos.rtd",,"GAMMA","."&amp;M$2&amp;M$1&amp;"C"&amp;$A13)-$A$4*$A$4*RTD("tos.rtd",,"VOLUME","."&amp;M$2&amp;M$1&amp;"P"&amp;$A13)*RTD("tos.rtd",,"GAMMA","."&amp;M$2&amp;M$1&amp;"P"&amp;$A13))/1000000),0),IF($A$2="GEX",IFERROR(IF($X$1="ABS",($A$4*$A$4*RTD("tos.rtd",,"OPEN_INT","."&amp;M$2&amp;M$1&amp;"C"&amp;$A13)*RTD("tos.rtd",,"GAMMA","."&amp;M$2&amp;M$1&amp;"C"&amp;$A13)+$A$4*$A$4*RTD("tos.rtd",,"OPEN_INT","."&amp;M$2&amp;M$1&amp;"P"&amp;$A13)*RTD("tos.rtd",,"GAMMA","."&amp;M$2&amp;M$1&amp;"P"&amp;$A13))/1000000,($A$4*$A$4*RTD("tos.rtd",,"OPEN_INT","."&amp;M$2&amp;M$1&amp;"C"&amp;$A13)*RTD("tos.rtd",,"GAMMA","."&amp;M$2&amp;M$1&amp;"C"&amp;$A13)-$A$4*$A$4*RTD("tos.rtd",,"OPEN_INT","."&amp;M$2&amp;M$1&amp;"P"&amp;$A13)*RTD("tos.rtd",,"GAMMA","."&amp;M$2&amp;M$1&amp;"P"&amp;$A13))/1000000),0),IF($A$2="SKEW",IFERROR(VALUE(IF(RTD("tos.rtd",,"IMPL_VOL","."&amp;M$2&amp;M$1&amp;"P"&amp;$A13)="N/A",0,RTD("tos.rtd",,"IMPL_VOL","."&amp;M$2&amp;M$1&amp;"P"&amp;$A13))),0)-IFERROR(VALUE(IF(RTD("tos.rtd",,"IMPL_VOL","."&amp;M$2&amp;M$1&amp;"C"&amp;$A13)="N/A",0,RTD("tos.rtd",,"IMPL_VOL","."&amp;M$2&amp;M$1&amp;"C"&amp;$A13))),0),IF($A$2="MAXPAIN",IF($A$4&gt;$A13,($A$4-$A13)*IF(RTD("tos.rtd",,"OPEN_INT","."&amp;M$2&amp;M$1&amp;"C"&amp;$A13)="N/A",0,RTD("tos.rtd",,"OPEN_INT","."&amp;M$2&amp;M$1&amp;"C"&amp;$A13)),0)+IF($A$4&lt;$A13,($A$5-$A$4)*IF(RTD("tos.rtd",,"OPEN_INT","."&amp;M$2&amp;M$1&amp;"P"&amp;$A13)="N/A",0,RTD("tos.rtd",,"OPEN_INT","."&amp;M$2&amp;M$1&amp;"P"&amp;$A13)),0),IF($X$1="ABS",IF(RTD("tos.rtd",,$A$2,"."&amp;M$2&amp;M$1&amp;"C"&amp;$A13)="N/A",0,RTD("tos.rtd",,$A$2,"."&amp;M$2&amp;M$1&amp;"C"&amp;$A13))+IF(RTD("tos.rtd",,$A$2,"."&amp;M$2&amp;M$1&amp;"P"&amp;$A13)="N/A",0,RTD("tos.rtd",,$A$2,"."&amp;M$2&amp;M$1&amp;"P"&amp;$A13)),IF(RTD("tos.rtd",,$A$2,"."&amp;M$2&amp;M$1&amp;"C"&amp;$A13)="N/A",0,RTD("tos.rtd",,$A$2,"."&amp;M$2&amp;M$1&amp;"C"&amp;$A13))-IF(RTD("tos.rtd",,$A$2,"."&amp;M$2&amp;M$1&amp;"P"&amp;$A13)="N/A",0,RTD("tos.rtd",,$A$2,"."&amp;M$2&amp;M$1&amp;"P"&amp;$A13))))))))))</f>
        <v>0</v>
      </c>
      <c r="N13" s="12">
        <f ca="1">IF($A$2="PREMIUM_OI",IFERROR(IF($X$1="ABS",(100*RTD("tos.rtd",,"OPEN_INT","."&amp;N$2&amp;N$1&amp;"C"&amp;$A13)*RTD("tos.rtd",,"LAST","."&amp;N$2&amp;N$1&amp;"C"&amp;$A13)+100*RTD("tos.rtd",,"OPEN_INT","."&amp;N$2&amp;N$1&amp;"P"&amp;$A13)*RTD("tos.rtd",,"LAST","."&amp;N$2&amp;N$1&amp;"P"&amp;$A13))/1000000,(100*RTD("tos.rtd",,"OPEN_INT","."&amp;N$2&amp;N$1&amp;"C"&amp;$A13)*RTD("tos.rtd",,"LAST","."&amp;N$2&amp;N$1&amp;"C"&amp;$A13)-100*RTD("tos.rtd",,"OPEN_INT","."&amp;N$2&amp;N$1&amp;"P"&amp;$A13)*RTD("tos.rtd",,"LAST","."&amp;N$2&amp;N$1&amp;"P"&amp;$A13))/1000000),0),IF($A$2="PREMIUM",IFERROR(IF($X$1="ABS",(100*RTD("tos.rtd",,"VOLUME","."&amp;N$2&amp;N$1&amp;"C"&amp;$A13)*RTD("tos.rtd",,"LAST","."&amp;N$2&amp;N$1&amp;"C"&amp;$A13)+100*RTD("tos.rtd",,"VOLUME","."&amp;N$2&amp;N$1&amp;"P"&amp;$A13)*RTD("tos.rtd",,"LAST","."&amp;N$2&amp;N$1&amp;"P"&amp;$A13))/1000000,(100*RTD("tos.rtd",,"VOLUME","."&amp;N$2&amp;N$1&amp;"C"&amp;$A13)*RTD("tos.rtd",,"LAST","."&amp;N$2&amp;N$1&amp;"C"&amp;$A13)-100*RTD("tos.rtd",,"VOLUME","."&amp;N$2&amp;N$1&amp;"P"&amp;$A13)*RTD("tos.rtd",,"LAST","."&amp;N$2&amp;N$1&amp;"P"&amp;$A13))/1000000),0),IF($A$2="DEX",IFERROR(IF($X$1="ABS",(100*RTD("tos.rtd",,"OPEN_INT","."&amp;N$2&amp;N$1&amp;"C"&amp;$A13)*RTD("tos.rtd",,"DELTA","."&amp;N$2&amp;N$1&amp;"C"&amp;$A13)+100*RTD("tos.rtd",,"OPEN_INT","."&amp;N$2&amp;N$1&amp;"P"&amp;$A13)*RTD("tos.rtd",,"DELTA","."&amp;N$2&amp;N$1&amp;"P"&amp;$A13))/1000,(100*RTD("tos.rtd",,"OPEN_INT","."&amp;N$2&amp;N$1&amp;"C"&amp;$A13)*RTD("tos.rtd",,"DELTA","."&amp;N$2&amp;N$1&amp;"C"&amp;$A13)-100*RTD("tos.rtd",,"OPEN_INT","."&amp;N$2&amp;N$1&amp;"P"&amp;$A13)*RTD("tos.rtd",,"DELTA","."&amp;N$2&amp;N$1&amp;"P"&amp;$A13))/1000),0),IF($A$2="VEX",IFERROR(IF($X$1="ABS",($A$4*$A$4*RTD("tos.rtd",,"VOLUME","."&amp;N$2&amp;N$1&amp;"C"&amp;$A13)*RTD("tos.rtd",,"GAMMA","."&amp;N$2&amp;N$1&amp;"C"&amp;$A13)+$A$4*$A$4*RTD("tos.rtd",,"VOLUME","."&amp;N$2&amp;N$1&amp;"P"&amp;$A13)*RTD("tos.rtd",,"GAMMA","."&amp;N$2&amp;N$1&amp;"P"&amp;$A13))/1000000,($A$4*$A$4*RTD("tos.rtd",,"VOLUME","."&amp;N$2&amp;N$1&amp;"C"&amp;$A13)*RTD("tos.rtd",,"GAMMA","."&amp;N$2&amp;N$1&amp;"C"&amp;$A13)-$A$4*$A$4*RTD("tos.rtd",,"VOLUME","."&amp;N$2&amp;N$1&amp;"P"&amp;$A13)*RTD("tos.rtd",,"GAMMA","."&amp;N$2&amp;N$1&amp;"P"&amp;$A13))/1000000),0),IF($A$2="GEX",IFERROR(IF($X$1="ABS",($A$4*$A$4*RTD("tos.rtd",,"OPEN_INT","."&amp;N$2&amp;N$1&amp;"C"&amp;$A13)*RTD("tos.rtd",,"GAMMA","."&amp;N$2&amp;N$1&amp;"C"&amp;$A13)+$A$4*$A$4*RTD("tos.rtd",,"OPEN_INT","."&amp;N$2&amp;N$1&amp;"P"&amp;$A13)*RTD("tos.rtd",,"GAMMA","."&amp;N$2&amp;N$1&amp;"P"&amp;$A13))/1000000,($A$4*$A$4*RTD("tos.rtd",,"OPEN_INT","."&amp;N$2&amp;N$1&amp;"C"&amp;$A13)*RTD("tos.rtd",,"GAMMA","."&amp;N$2&amp;N$1&amp;"C"&amp;$A13)-$A$4*$A$4*RTD("tos.rtd",,"OPEN_INT","."&amp;N$2&amp;N$1&amp;"P"&amp;$A13)*RTD("tos.rtd",,"GAMMA","."&amp;N$2&amp;N$1&amp;"P"&amp;$A13))/1000000),0),IF($A$2="SKEW",IFERROR(VALUE(IF(RTD("tos.rtd",,"IMPL_VOL","."&amp;N$2&amp;N$1&amp;"P"&amp;$A13)="N/A",0,RTD("tos.rtd",,"IMPL_VOL","."&amp;N$2&amp;N$1&amp;"P"&amp;$A13))),0)-IFERROR(VALUE(IF(RTD("tos.rtd",,"IMPL_VOL","."&amp;N$2&amp;N$1&amp;"C"&amp;$A13)="N/A",0,RTD("tos.rtd",,"IMPL_VOL","."&amp;N$2&amp;N$1&amp;"C"&amp;$A13))),0),IF($A$2="MAXPAIN",IF($A$4&gt;$A13,($A$4-$A13)*IF(RTD("tos.rtd",,"OPEN_INT","."&amp;N$2&amp;N$1&amp;"C"&amp;$A13)="N/A",0,RTD("tos.rtd",,"OPEN_INT","."&amp;N$2&amp;N$1&amp;"C"&amp;$A13)),0)+IF($A$4&lt;$A13,($A$5-$A$4)*IF(RTD("tos.rtd",,"OPEN_INT","."&amp;N$2&amp;N$1&amp;"P"&amp;$A13)="N/A",0,RTD("tos.rtd",,"OPEN_INT","."&amp;N$2&amp;N$1&amp;"P"&amp;$A13)),0),IF($X$1="ABS",IF(RTD("tos.rtd",,$A$2,"."&amp;N$2&amp;N$1&amp;"C"&amp;$A13)="N/A",0,RTD("tos.rtd",,$A$2,"."&amp;N$2&amp;N$1&amp;"C"&amp;$A13))+IF(RTD("tos.rtd",,$A$2,"."&amp;N$2&amp;N$1&amp;"P"&amp;$A13)="N/A",0,RTD("tos.rtd",,$A$2,"."&amp;N$2&amp;N$1&amp;"P"&amp;$A13)),IF(RTD("tos.rtd",,$A$2,"."&amp;N$2&amp;N$1&amp;"C"&amp;$A13)="N/A",0,RTD("tos.rtd",,$A$2,"."&amp;N$2&amp;N$1&amp;"C"&amp;$A13))-IF(RTD("tos.rtd",,$A$2,"."&amp;N$2&amp;N$1&amp;"P"&amp;$A13)="N/A",0,RTD("tos.rtd",,$A$2,"."&amp;N$2&amp;N$1&amp;"P"&amp;$A13))))))))))</f>
        <v>0</v>
      </c>
      <c r="O13" s="12">
        <f ca="1">IF($A$2="PREMIUM_OI",IFERROR(IF($X$1="ABS",(100*RTD("tos.rtd",,"OPEN_INT","."&amp;O$2&amp;O$1&amp;"C"&amp;$A13)*RTD("tos.rtd",,"LAST","."&amp;O$2&amp;O$1&amp;"C"&amp;$A13)+100*RTD("tos.rtd",,"OPEN_INT","."&amp;O$2&amp;O$1&amp;"P"&amp;$A13)*RTD("tos.rtd",,"LAST","."&amp;O$2&amp;O$1&amp;"P"&amp;$A13))/1000000,(100*RTD("tos.rtd",,"OPEN_INT","."&amp;O$2&amp;O$1&amp;"C"&amp;$A13)*RTD("tos.rtd",,"LAST","."&amp;O$2&amp;O$1&amp;"C"&amp;$A13)-100*RTD("tos.rtd",,"OPEN_INT","."&amp;O$2&amp;O$1&amp;"P"&amp;$A13)*RTD("tos.rtd",,"LAST","."&amp;O$2&amp;O$1&amp;"P"&amp;$A13))/1000000),0),IF($A$2="PREMIUM",IFERROR(IF($X$1="ABS",(100*RTD("tos.rtd",,"VOLUME","."&amp;O$2&amp;O$1&amp;"C"&amp;$A13)*RTD("tos.rtd",,"LAST","."&amp;O$2&amp;O$1&amp;"C"&amp;$A13)+100*RTD("tos.rtd",,"VOLUME","."&amp;O$2&amp;O$1&amp;"P"&amp;$A13)*RTD("tos.rtd",,"LAST","."&amp;O$2&amp;O$1&amp;"P"&amp;$A13))/1000000,(100*RTD("tos.rtd",,"VOLUME","."&amp;O$2&amp;O$1&amp;"C"&amp;$A13)*RTD("tos.rtd",,"LAST","."&amp;O$2&amp;O$1&amp;"C"&amp;$A13)-100*RTD("tos.rtd",,"VOLUME","."&amp;O$2&amp;O$1&amp;"P"&amp;$A13)*RTD("tos.rtd",,"LAST","."&amp;O$2&amp;O$1&amp;"P"&amp;$A13))/1000000),0),IF($A$2="DEX",IFERROR(IF($X$1="ABS",(100*RTD("tos.rtd",,"OPEN_INT","."&amp;O$2&amp;O$1&amp;"C"&amp;$A13)*RTD("tos.rtd",,"DELTA","."&amp;O$2&amp;O$1&amp;"C"&amp;$A13)+100*RTD("tos.rtd",,"OPEN_INT","."&amp;O$2&amp;O$1&amp;"P"&amp;$A13)*RTD("tos.rtd",,"DELTA","."&amp;O$2&amp;O$1&amp;"P"&amp;$A13))/1000,(100*RTD("tos.rtd",,"OPEN_INT","."&amp;O$2&amp;O$1&amp;"C"&amp;$A13)*RTD("tos.rtd",,"DELTA","."&amp;O$2&amp;O$1&amp;"C"&amp;$A13)-100*RTD("tos.rtd",,"OPEN_INT","."&amp;O$2&amp;O$1&amp;"P"&amp;$A13)*RTD("tos.rtd",,"DELTA","."&amp;O$2&amp;O$1&amp;"P"&amp;$A13))/1000),0),IF($A$2="VEX",IFERROR(IF($X$1="ABS",($A$4*$A$4*RTD("tos.rtd",,"VOLUME","."&amp;O$2&amp;O$1&amp;"C"&amp;$A13)*RTD("tos.rtd",,"GAMMA","."&amp;O$2&amp;O$1&amp;"C"&amp;$A13)+$A$4*$A$4*RTD("tos.rtd",,"VOLUME","."&amp;O$2&amp;O$1&amp;"P"&amp;$A13)*RTD("tos.rtd",,"GAMMA","."&amp;O$2&amp;O$1&amp;"P"&amp;$A13))/1000000,($A$4*$A$4*RTD("tos.rtd",,"VOLUME","."&amp;O$2&amp;O$1&amp;"C"&amp;$A13)*RTD("tos.rtd",,"GAMMA","."&amp;O$2&amp;O$1&amp;"C"&amp;$A13)-$A$4*$A$4*RTD("tos.rtd",,"VOLUME","."&amp;O$2&amp;O$1&amp;"P"&amp;$A13)*RTD("tos.rtd",,"GAMMA","."&amp;O$2&amp;O$1&amp;"P"&amp;$A13))/1000000),0),IF($A$2="GEX",IFERROR(IF($X$1="ABS",($A$4*$A$4*RTD("tos.rtd",,"OPEN_INT","."&amp;O$2&amp;O$1&amp;"C"&amp;$A13)*RTD("tos.rtd",,"GAMMA","."&amp;O$2&amp;O$1&amp;"C"&amp;$A13)+$A$4*$A$4*RTD("tos.rtd",,"OPEN_INT","."&amp;O$2&amp;O$1&amp;"P"&amp;$A13)*RTD("tos.rtd",,"GAMMA","."&amp;O$2&amp;O$1&amp;"P"&amp;$A13))/1000000,($A$4*$A$4*RTD("tos.rtd",,"OPEN_INT","."&amp;O$2&amp;O$1&amp;"C"&amp;$A13)*RTD("tos.rtd",,"GAMMA","."&amp;O$2&amp;O$1&amp;"C"&amp;$A13)-$A$4*$A$4*RTD("tos.rtd",,"OPEN_INT","."&amp;O$2&amp;O$1&amp;"P"&amp;$A13)*RTD("tos.rtd",,"GAMMA","."&amp;O$2&amp;O$1&amp;"P"&amp;$A13))/1000000),0),IF($A$2="SKEW",IFERROR(VALUE(IF(RTD("tos.rtd",,"IMPL_VOL","."&amp;O$2&amp;O$1&amp;"P"&amp;$A13)="N/A",0,RTD("tos.rtd",,"IMPL_VOL","."&amp;O$2&amp;O$1&amp;"P"&amp;$A13))),0)-IFERROR(VALUE(IF(RTD("tos.rtd",,"IMPL_VOL","."&amp;O$2&amp;O$1&amp;"C"&amp;$A13)="N/A",0,RTD("tos.rtd",,"IMPL_VOL","."&amp;O$2&amp;O$1&amp;"C"&amp;$A13))),0),IF($A$2="MAXPAIN",IF($A$4&gt;$A13,($A$4-$A13)*IF(RTD("tos.rtd",,"OPEN_INT","."&amp;O$2&amp;O$1&amp;"C"&amp;$A13)="N/A",0,RTD("tos.rtd",,"OPEN_INT","."&amp;O$2&amp;O$1&amp;"C"&amp;$A13)),0)+IF($A$4&lt;$A13,($A$5-$A$4)*IF(RTD("tos.rtd",,"OPEN_INT","."&amp;O$2&amp;O$1&amp;"P"&amp;$A13)="N/A",0,RTD("tos.rtd",,"OPEN_INT","."&amp;O$2&amp;O$1&amp;"P"&amp;$A13)),0),IF($X$1="ABS",IF(RTD("tos.rtd",,$A$2,"."&amp;O$2&amp;O$1&amp;"C"&amp;$A13)="N/A",0,RTD("tos.rtd",,$A$2,"."&amp;O$2&amp;O$1&amp;"C"&amp;$A13))+IF(RTD("tos.rtd",,$A$2,"."&amp;O$2&amp;O$1&amp;"P"&amp;$A13)="N/A",0,RTD("tos.rtd",,$A$2,"."&amp;O$2&amp;O$1&amp;"P"&amp;$A13)),IF(RTD("tos.rtd",,$A$2,"."&amp;O$2&amp;O$1&amp;"C"&amp;$A13)="N/A",0,RTD("tos.rtd",,$A$2,"."&amp;O$2&amp;O$1&amp;"C"&amp;$A13))-IF(RTD("tos.rtd",,$A$2,"."&amp;O$2&amp;O$1&amp;"P"&amp;$A13)="N/A",0,RTD("tos.rtd",,$A$2,"."&amp;O$2&amp;O$1&amp;"P"&amp;$A13))))))))))</f>
        <v>0</v>
      </c>
      <c r="P13" s="12">
        <f ca="1">IF($A$2="PREMIUM_OI",IFERROR(IF($X$1="ABS",(100*RTD("tos.rtd",,"OPEN_INT","."&amp;P$2&amp;P$1&amp;"C"&amp;$A13)*RTD("tos.rtd",,"LAST","."&amp;P$2&amp;P$1&amp;"C"&amp;$A13)+100*RTD("tos.rtd",,"OPEN_INT","."&amp;P$2&amp;P$1&amp;"P"&amp;$A13)*RTD("tos.rtd",,"LAST","."&amp;P$2&amp;P$1&amp;"P"&amp;$A13))/1000000,(100*RTD("tos.rtd",,"OPEN_INT","."&amp;P$2&amp;P$1&amp;"C"&amp;$A13)*RTD("tos.rtd",,"LAST","."&amp;P$2&amp;P$1&amp;"C"&amp;$A13)-100*RTD("tos.rtd",,"OPEN_INT","."&amp;P$2&amp;P$1&amp;"P"&amp;$A13)*RTD("tos.rtd",,"LAST","."&amp;P$2&amp;P$1&amp;"P"&amp;$A13))/1000000),0),IF($A$2="PREMIUM",IFERROR(IF($X$1="ABS",(100*RTD("tos.rtd",,"VOLUME","."&amp;P$2&amp;P$1&amp;"C"&amp;$A13)*RTD("tos.rtd",,"LAST","."&amp;P$2&amp;P$1&amp;"C"&amp;$A13)+100*RTD("tos.rtd",,"VOLUME","."&amp;P$2&amp;P$1&amp;"P"&amp;$A13)*RTD("tos.rtd",,"LAST","."&amp;P$2&amp;P$1&amp;"P"&amp;$A13))/1000000,(100*RTD("tos.rtd",,"VOLUME","."&amp;P$2&amp;P$1&amp;"C"&amp;$A13)*RTD("tos.rtd",,"LAST","."&amp;P$2&amp;P$1&amp;"C"&amp;$A13)-100*RTD("tos.rtd",,"VOLUME","."&amp;P$2&amp;P$1&amp;"P"&amp;$A13)*RTD("tos.rtd",,"LAST","."&amp;P$2&amp;P$1&amp;"P"&amp;$A13))/1000000),0),IF($A$2="DEX",IFERROR(IF($X$1="ABS",(100*RTD("tos.rtd",,"OPEN_INT","."&amp;P$2&amp;P$1&amp;"C"&amp;$A13)*RTD("tos.rtd",,"DELTA","."&amp;P$2&amp;P$1&amp;"C"&amp;$A13)+100*RTD("tos.rtd",,"OPEN_INT","."&amp;P$2&amp;P$1&amp;"P"&amp;$A13)*RTD("tos.rtd",,"DELTA","."&amp;P$2&amp;P$1&amp;"P"&amp;$A13))/1000,(100*RTD("tos.rtd",,"OPEN_INT","."&amp;P$2&amp;P$1&amp;"C"&amp;$A13)*RTD("tos.rtd",,"DELTA","."&amp;P$2&amp;P$1&amp;"C"&amp;$A13)-100*RTD("tos.rtd",,"OPEN_INT","."&amp;P$2&amp;P$1&amp;"P"&amp;$A13)*RTD("tos.rtd",,"DELTA","."&amp;P$2&amp;P$1&amp;"P"&amp;$A13))/1000),0),IF($A$2="VEX",IFERROR(IF($X$1="ABS",($A$4*$A$4*RTD("tos.rtd",,"VOLUME","."&amp;P$2&amp;P$1&amp;"C"&amp;$A13)*RTD("tos.rtd",,"GAMMA","."&amp;P$2&amp;P$1&amp;"C"&amp;$A13)+$A$4*$A$4*RTD("tos.rtd",,"VOLUME","."&amp;P$2&amp;P$1&amp;"P"&amp;$A13)*RTD("tos.rtd",,"GAMMA","."&amp;P$2&amp;P$1&amp;"P"&amp;$A13))/1000000,($A$4*$A$4*RTD("tos.rtd",,"VOLUME","."&amp;P$2&amp;P$1&amp;"C"&amp;$A13)*RTD("tos.rtd",,"GAMMA","."&amp;P$2&amp;P$1&amp;"C"&amp;$A13)-$A$4*$A$4*RTD("tos.rtd",,"VOLUME","."&amp;P$2&amp;P$1&amp;"P"&amp;$A13)*RTD("tos.rtd",,"GAMMA","."&amp;P$2&amp;P$1&amp;"P"&amp;$A13))/1000000),0),IF($A$2="GEX",IFERROR(IF($X$1="ABS",($A$4*$A$4*RTD("tos.rtd",,"OPEN_INT","."&amp;P$2&amp;P$1&amp;"C"&amp;$A13)*RTD("tos.rtd",,"GAMMA","."&amp;P$2&amp;P$1&amp;"C"&amp;$A13)+$A$4*$A$4*RTD("tos.rtd",,"OPEN_INT","."&amp;P$2&amp;P$1&amp;"P"&amp;$A13)*RTD("tos.rtd",,"GAMMA","."&amp;P$2&amp;P$1&amp;"P"&amp;$A13))/1000000,($A$4*$A$4*RTD("tos.rtd",,"OPEN_INT","."&amp;P$2&amp;P$1&amp;"C"&amp;$A13)*RTD("tos.rtd",,"GAMMA","."&amp;P$2&amp;P$1&amp;"C"&amp;$A13)-$A$4*$A$4*RTD("tos.rtd",,"OPEN_INT","."&amp;P$2&amp;P$1&amp;"P"&amp;$A13)*RTD("tos.rtd",,"GAMMA","."&amp;P$2&amp;P$1&amp;"P"&amp;$A13))/1000000),0),IF($A$2="SKEW",IFERROR(VALUE(IF(RTD("tos.rtd",,"IMPL_VOL","."&amp;P$2&amp;P$1&amp;"P"&amp;$A13)="N/A",0,RTD("tos.rtd",,"IMPL_VOL","."&amp;P$2&amp;P$1&amp;"P"&amp;$A13))),0)-IFERROR(VALUE(IF(RTD("tos.rtd",,"IMPL_VOL","."&amp;P$2&amp;P$1&amp;"C"&amp;$A13)="N/A",0,RTD("tos.rtd",,"IMPL_VOL","."&amp;P$2&amp;P$1&amp;"C"&amp;$A13))),0),IF($A$2="MAXPAIN",IF($A$4&gt;$A13,($A$4-$A13)*IF(RTD("tos.rtd",,"OPEN_INT","."&amp;P$2&amp;P$1&amp;"C"&amp;$A13)="N/A",0,RTD("tos.rtd",,"OPEN_INT","."&amp;P$2&amp;P$1&amp;"C"&amp;$A13)),0)+IF($A$4&lt;$A13,($A$5-$A$4)*IF(RTD("tos.rtd",,"OPEN_INT","."&amp;P$2&amp;P$1&amp;"P"&amp;$A13)="N/A",0,RTD("tos.rtd",,"OPEN_INT","."&amp;P$2&amp;P$1&amp;"P"&amp;$A13)),0),IF($X$1="ABS",IF(RTD("tos.rtd",,$A$2,"."&amp;P$2&amp;P$1&amp;"C"&amp;$A13)="N/A",0,RTD("tos.rtd",,$A$2,"."&amp;P$2&amp;P$1&amp;"C"&amp;$A13))+IF(RTD("tos.rtd",,$A$2,"."&amp;P$2&amp;P$1&amp;"P"&amp;$A13)="N/A",0,RTD("tos.rtd",,$A$2,"."&amp;P$2&amp;P$1&amp;"P"&amp;$A13)),IF(RTD("tos.rtd",,$A$2,"."&amp;P$2&amp;P$1&amp;"C"&amp;$A13)="N/A",0,RTD("tos.rtd",,$A$2,"."&amp;P$2&amp;P$1&amp;"C"&amp;$A13))-IF(RTD("tos.rtd",,$A$2,"."&amp;P$2&amp;P$1&amp;"P"&amp;$A13)="N/A",0,RTD("tos.rtd",,$A$2,"."&amp;P$2&amp;P$1&amp;"P"&amp;$A13))))))))))</f>
        <v>0</v>
      </c>
      <c r="Q13" s="12">
        <f ca="1">IF($A$2="PREMIUM_OI",IFERROR(IF($X$1="ABS",(100*RTD("tos.rtd",,"OPEN_INT","."&amp;Q$2&amp;Q$1&amp;"C"&amp;$A13)*RTD("tos.rtd",,"LAST","."&amp;Q$2&amp;Q$1&amp;"C"&amp;$A13)+100*RTD("tos.rtd",,"OPEN_INT","."&amp;Q$2&amp;Q$1&amp;"P"&amp;$A13)*RTD("tos.rtd",,"LAST","."&amp;Q$2&amp;Q$1&amp;"P"&amp;$A13))/1000000,(100*RTD("tos.rtd",,"OPEN_INT","."&amp;Q$2&amp;Q$1&amp;"C"&amp;$A13)*RTD("tos.rtd",,"LAST","."&amp;Q$2&amp;Q$1&amp;"C"&amp;$A13)-100*RTD("tos.rtd",,"OPEN_INT","."&amp;Q$2&amp;Q$1&amp;"P"&amp;$A13)*RTD("tos.rtd",,"LAST","."&amp;Q$2&amp;Q$1&amp;"P"&amp;$A13))/1000000),0),IF($A$2="PREMIUM",IFERROR(IF($X$1="ABS",(100*RTD("tos.rtd",,"VOLUME","."&amp;Q$2&amp;Q$1&amp;"C"&amp;$A13)*RTD("tos.rtd",,"LAST","."&amp;Q$2&amp;Q$1&amp;"C"&amp;$A13)+100*RTD("tos.rtd",,"VOLUME","."&amp;Q$2&amp;Q$1&amp;"P"&amp;$A13)*RTD("tos.rtd",,"LAST","."&amp;Q$2&amp;Q$1&amp;"P"&amp;$A13))/1000000,(100*RTD("tos.rtd",,"VOLUME","."&amp;Q$2&amp;Q$1&amp;"C"&amp;$A13)*RTD("tos.rtd",,"LAST","."&amp;Q$2&amp;Q$1&amp;"C"&amp;$A13)-100*RTD("tos.rtd",,"VOLUME","."&amp;Q$2&amp;Q$1&amp;"P"&amp;$A13)*RTD("tos.rtd",,"LAST","."&amp;Q$2&amp;Q$1&amp;"P"&amp;$A13))/1000000),0),IF($A$2="DEX",IFERROR(IF($X$1="ABS",(100*RTD("tos.rtd",,"OPEN_INT","."&amp;Q$2&amp;Q$1&amp;"C"&amp;$A13)*RTD("tos.rtd",,"DELTA","."&amp;Q$2&amp;Q$1&amp;"C"&amp;$A13)+100*RTD("tos.rtd",,"OPEN_INT","."&amp;Q$2&amp;Q$1&amp;"P"&amp;$A13)*RTD("tos.rtd",,"DELTA","."&amp;Q$2&amp;Q$1&amp;"P"&amp;$A13))/1000,(100*RTD("tos.rtd",,"OPEN_INT","."&amp;Q$2&amp;Q$1&amp;"C"&amp;$A13)*RTD("tos.rtd",,"DELTA","."&amp;Q$2&amp;Q$1&amp;"C"&amp;$A13)-100*RTD("tos.rtd",,"OPEN_INT","."&amp;Q$2&amp;Q$1&amp;"P"&amp;$A13)*RTD("tos.rtd",,"DELTA","."&amp;Q$2&amp;Q$1&amp;"P"&amp;$A13))/1000),0),IF($A$2="VEX",IFERROR(IF($X$1="ABS",($A$4*$A$4*RTD("tos.rtd",,"VOLUME","."&amp;Q$2&amp;Q$1&amp;"C"&amp;$A13)*RTD("tos.rtd",,"GAMMA","."&amp;Q$2&amp;Q$1&amp;"C"&amp;$A13)+$A$4*$A$4*RTD("tos.rtd",,"VOLUME","."&amp;Q$2&amp;Q$1&amp;"P"&amp;$A13)*RTD("tos.rtd",,"GAMMA","."&amp;Q$2&amp;Q$1&amp;"P"&amp;$A13))/1000000,($A$4*$A$4*RTD("tos.rtd",,"VOLUME","."&amp;Q$2&amp;Q$1&amp;"C"&amp;$A13)*RTD("tos.rtd",,"GAMMA","."&amp;Q$2&amp;Q$1&amp;"C"&amp;$A13)-$A$4*$A$4*RTD("tos.rtd",,"VOLUME","."&amp;Q$2&amp;Q$1&amp;"P"&amp;$A13)*RTD("tos.rtd",,"GAMMA","."&amp;Q$2&amp;Q$1&amp;"P"&amp;$A13))/1000000),0),IF($A$2="GEX",IFERROR(IF($X$1="ABS",($A$4*$A$4*RTD("tos.rtd",,"OPEN_INT","."&amp;Q$2&amp;Q$1&amp;"C"&amp;$A13)*RTD("tos.rtd",,"GAMMA","."&amp;Q$2&amp;Q$1&amp;"C"&amp;$A13)+$A$4*$A$4*RTD("tos.rtd",,"OPEN_INT","."&amp;Q$2&amp;Q$1&amp;"P"&amp;$A13)*RTD("tos.rtd",,"GAMMA","."&amp;Q$2&amp;Q$1&amp;"P"&amp;$A13))/1000000,($A$4*$A$4*RTD("tos.rtd",,"OPEN_INT","."&amp;Q$2&amp;Q$1&amp;"C"&amp;$A13)*RTD("tos.rtd",,"GAMMA","."&amp;Q$2&amp;Q$1&amp;"C"&amp;$A13)-$A$4*$A$4*RTD("tos.rtd",,"OPEN_INT","."&amp;Q$2&amp;Q$1&amp;"P"&amp;$A13)*RTD("tos.rtd",,"GAMMA","."&amp;Q$2&amp;Q$1&amp;"P"&amp;$A13))/1000000),0),IF($A$2="SKEW",IFERROR(VALUE(IF(RTD("tos.rtd",,"IMPL_VOL","."&amp;Q$2&amp;Q$1&amp;"P"&amp;$A13)="N/A",0,RTD("tos.rtd",,"IMPL_VOL","."&amp;Q$2&amp;Q$1&amp;"P"&amp;$A13))),0)-IFERROR(VALUE(IF(RTD("tos.rtd",,"IMPL_VOL","."&amp;Q$2&amp;Q$1&amp;"C"&amp;$A13)="N/A",0,RTD("tos.rtd",,"IMPL_VOL","."&amp;Q$2&amp;Q$1&amp;"C"&amp;$A13))),0),IF($A$2="MAXPAIN",IF($A$4&gt;$A13,($A$4-$A13)*IF(RTD("tos.rtd",,"OPEN_INT","."&amp;Q$2&amp;Q$1&amp;"C"&amp;$A13)="N/A",0,RTD("tos.rtd",,"OPEN_INT","."&amp;Q$2&amp;Q$1&amp;"C"&amp;$A13)),0)+IF($A$4&lt;$A13,($A$5-$A$4)*IF(RTD("tos.rtd",,"OPEN_INT","."&amp;Q$2&amp;Q$1&amp;"P"&amp;$A13)="N/A",0,RTD("tos.rtd",,"OPEN_INT","."&amp;Q$2&amp;Q$1&amp;"P"&amp;$A13)),0),IF($X$1="ABS",IF(RTD("tos.rtd",,$A$2,"."&amp;Q$2&amp;Q$1&amp;"C"&amp;$A13)="N/A",0,RTD("tos.rtd",,$A$2,"."&amp;Q$2&amp;Q$1&amp;"C"&amp;$A13))+IF(RTD("tos.rtd",,$A$2,"."&amp;Q$2&amp;Q$1&amp;"P"&amp;$A13)="N/A",0,RTD("tos.rtd",,$A$2,"."&amp;Q$2&amp;Q$1&amp;"P"&amp;$A13)),IF(RTD("tos.rtd",,$A$2,"."&amp;Q$2&amp;Q$1&amp;"C"&amp;$A13)="N/A",0,RTD("tos.rtd",,$A$2,"."&amp;Q$2&amp;Q$1&amp;"C"&amp;$A13))-IF(RTD("tos.rtd",,$A$2,"."&amp;Q$2&amp;Q$1&amp;"P"&amp;$A13)="N/A",0,RTD("tos.rtd",,$A$2,"."&amp;Q$2&amp;Q$1&amp;"P"&amp;$A13))))))))))</f>
        <v>0</v>
      </c>
      <c r="R13" s="12">
        <f ca="1">IF($A$2="PREMIUM_OI",IFERROR(IF($X$1="ABS",(100*RTD("tos.rtd",,"OPEN_INT","."&amp;R$2&amp;R$1&amp;"C"&amp;$A13)*RTD("tos.rtd",,"LAST","."&amp;R$2&amp;R$1&amp;"C"&amp;$A13)+100*RTD("tos.rtd",,"OPEN_INT","."&amp;R$2&amp;R$1&amp;"P"&amp;$A13)*RTD("tos.rtd",,"LAST","."&amp;R$2&amp;R$1&amp;"P"&amp;$A13))/1000000,(100*RTD("tos.rtd",,"OPEN_INT","."&amp;R$2&amp;R$1&amp;"C"&amp;$A13)*RTD("tos.rtd",,"LAST","."&amp;R$2&amp;R$1&amp;"C"&amp;$A13)-100*RTD("tos.rtd",,"OPEN_INT","."&amp;R$2&amp;R$1&amp;"P"&amp;$A13)*RTD("tos.rtd",,"LAST","."&amp;R$2&amp;R$1&amp;"P"&amp;$A13))/1000000),0),IF($A$2="PREMIUM",IFERROR(IF($X$1="ABS",(100*RTD("tos.rtd",,"VOLUME","."&amp;R$2&amp;R$1&amp;"C"&amp;$A13)*RTD("tos.rtd",,"LAST","."&amp;R$2&amp;R$1&amp;"C"&amp;$A13)+100*RTD("tos.rtd",,"VOLUME","."&amp;R$2&amp;R$1&amp;"P"&amp;$A13)*RTD("tos.rtd",,"LAST","."&amp;R$2&amp;R$1&amp;"P"&amp;$A13))/1000000,(100*RTD("tos.rtd",,"VOLUME","."&amp;R$2&amp;R$1&amp;"C"&amp;$A13)*RTD("tos.rtd",,"LAST","."&amp;R$2&amp;R$1&amp;"C"&amp;$A13)-100*RTD("tos.rtd",,"VOLUME","."&amp;R$2&amp;R$1&amp;"P"&amp;$A13)*RTD("tos.rtd",,"LAST","."&amp;R$2&amp;R$1&amp;"P"&amp;$A13))/1000000),0),IF($A$2="DEX",IFERROR(IF($X$1="ABS",(100*RTD("tos.rtd",,"OPEN_INT","."&amp;R$2&amp;R$1&amp;"C"&amp;$A13)*RTD("tos.rtd",,"DELTA","."&amp;R$2&amp;R$1&amp;"C"&amp;$A13)+100*RTD("tos.rtd",,"OPEN_INT","."&amp;R$2&amp;R$1&amp;"P"&amp;$A13)*RTD("tos.rtd",,"DELTA","."&amp;R$2&amp;R$1&amp;"P"&amp;$A13))/1000,(100*RTD("tos.rtd",,"OPEN_INT","."&amp;R$2&amp;R$1&amp;"C"&amp;$A13)*RTD("tos.rtd",,"DELTA","."&amp;R$2&amp;R$1&amp;"C"&amp;$A13)-100*RTD("tos.rtd",,"OPEN_INT","."&amp;R$2&amp;R$1&amp;"P"&amp;$A13)*RTD("tos.rtd",,"DELTA","."&amp;R$2&amp;R$1&amp;"P"&amp;$A13))/1000),0),IF($A$2="VEX",IFERROR(IF($X$1="ABS",($A$4*$A$4*RTD("tos.rtd",,"VOLUME","."&amp;R$2&amp;R$1&amp;"C"&amp;$A13)*RTD("tos.rtd",,"GAMMA","."&amp;R$2&amp;R$1&amp;"C"&amp;$A13)+$A$4*$A$4*RTD("tos.rtd",,"VOLUME","."&amp;R$2&amp;R$1&amp;"P"&amp;$A13)*RTD("tos.rtd",,"GAMMA","."&amp;R$2&amp;R$1&amp;"P"&amp;$A13))/1000000,($A$4*$A$4*RTD("tos.rtd",,"VOLUME","."&amp;R$2&amp;R$1&amp;"C"&amp;$A13)*RTD("tos.rtd",,"GAMMA","."&amp;R$2&amp;R$1&amp;"C"&amp;$A13)-$A$4*$A$4*RTD("tos.rtd",,"VOLUME","."&amp;R$2&amp;R$1&amp;"P"&amp;$A13)*RTD("tos.rtd",,"GAMMA","."&amp;R$2&amp;R$1&amp;"P"&amp;$A13))/1000000),0),IF($A$2="GEX",IFERROR(IF($X$1="ABS",($A$4*$A$4*RTD("tos.rtd",,"OPEN_INT","."&amp;R$2&amp;R$1&amp;"C"&amp;$A13)*RTD("tos.rtd",,"GAMMA","."&amp;R$2&amp;R$1&amp;"C"&amp;$A13)+$A$4*$A$4*RTD("tos.rtd",,"OPEN_INT","."&amp;R$2&amp;R$1&amp;"P"&amp;$A13)*RTD("tos.rtd",,"GAMMA","."&amp;R$2&amp;R$1&amp;"P"&amp;$A13))/1000000,($A$4*$A$4*RTD("tos.rtd",,"OPEN_INT","."&amp;R$2&amp;R$1&amp;"C"&amp;$A13)*RTD("tos.rtd",,"GAMMA","."&amp;R$2&amp;R$1&amp;"C"&amp;$A13)-$A$4*$A$4*RTD("tos.rtd",,"OPEN_INT","."&amp;R$2&amp;R$1&amp;"P"&amp;$A13)*RTD("tos.rtd",,"GAMMA","."&amp;R$2&amp;R$1&amp;"P"&amp;$A13))/1000000),0),IF($A$2="SKEW",IFERROR(VALUE(IF(RTD("tos.rtd",,"IMPL_VOL","."&amp;R$2&amp;R$1&amp;"P"&amp;$A13)="N/A",0,RTD("tos.rtd",,"IMPL_VOL","."&amp;R$2&amp;R$1&amp;"P"&amp;$A13))),0)-IFERROR(VALUE(IF(RTD("tos.rtd",,"IMPL_VOL","."&amp;R$2&amp;R$1&amp;"C"&amp;$A13)="N/A",0,RTD("tos.rtd",,"IMPL_VOL","."&amp;R$2&amp;R$1&amp;"C"&amp;$A13))),0),IF($A$2="MAXPAIN",IF($A$4&gt;$A13,($A$4-$A13)*IF(RTD("tos.rtd",,"OPEN_INT","."&amp;R$2&amp;R$1&amp;"C"&amp;$A13)="N/A",0,RTD("tos.rtd",,"OPEN_INT","."&amp;R$2&amp;R$1&amp;"C"&amp;$A13)),0)+IF($A$4&lt;$A13,($A$5-$A$4)*IF(RTD("tos.rtd",,"OPEN_INT","."&amp;R$2&amp;R$1&amp;"P"&amp;$A13)="N/A",0,RTD("tos.rtd",,"OPEN_INT","."&amp;R$2&amp;R$1&amp;"P"&amp;$A13)),0),IF($X$1="ABS",IF(RTD("tos.rtd",,$A$2,"."&amp;R$2&amp;R$1&amp;"C"&amp;$A13)="N/A",0,RTD("tos.rtd",,$A$2,"."&amp;R$2&amp;R$1&amp;"C"&amp;$A13))+IF(RTD("tos.rtd",,$A$2,"."&amp;R$2&amp;R$1&amp;"P"&amp;$A13)="N/A",0,RTD("tos.rtd",,$A$2,"."&amp;R$2&amp;R$1&amp;"P"&amp;$A13)),IF(RTD("tos.rtd",,$A$2,"."&amp;R$2&amp;R$1&amp;"C"&amp;$A13)="N/A",0,RTD("tos.rtd",,$A$2,"."&amp;R$2&amp;R$1&amp;"C"&amp;$A13))-IF(RTD("tos.rtd",,$A$2,"."&amp;R$2&amp;R$1&amp;"P"&amp;$A13)="N/A",0,RTD("tos.rtd",,$A$2,"."&amp;R$2&amp;R$1&amp;"P"&amp;$A13))))))))))</f>
        <v>0</v>
      </c>
      <c r="S13" s="12">
        <f ca="1">IF($A$2="PREMIUM_OI",IFERROR(IF($X$1="ABS",(100*RTD("tos.rtd",,"OPEN_INT","."&amp;S$2&amp;S$1&amp;"C"&amp;$A13)*RTD("tos.rtd",,"LAST","."&amp;S$2&amp;S$1&amp;"C"&amp;$A13)+100*RTD("tos.rtd",,"OPEN_INT","."&amp;S$2&amp;S$1&amp;"P"&amp;$A13)*RTD("tos.rtd",,"LAST","."&amp;S$2&amp;S$1&amp;"P"&amp;$A13))/1000000,(100*RTD("tos.rtd",,"OPEN_INT","."&amp;S$2&amp;S$1&amp;"C"&amp;$A13)*RTD("tos.rtd",,"LAST","."&amp;S$2&amp;S$1&amp;"C"&amp;$A13)-100*RTD("tos.rtd",,"OPEN_INT","."&amp;S$2&amp;S$1&amp;"P"&amp;$A13)*RTD("tos.rtd",,"LAST","."&amp;S$2&amp;S$1&amp;"P"&amp;$A13))/1000000),0),IF($A$2="PREMIUM",IFERROR(IF($X$1="ABS",(100*RTD("tos.rtd",,"VOLUME","."&amp;S$2&amp;S$1&amp;"C"&amp;$A13)*RTD("tos.rtd",,"LAST","."&amp;S$2&amp;S$1&amp;"C"&amp;$A13)+100*RTD("tos.rtd",,"VOLUME","."&amp;S$2&amp;S$1&amp;"P"&amp;$A13)*RTD("tos.rtd",,"LAST","."&amp;S$2&amp;S$1&amp;"P"&amp;$A13))/1000000,(100*RTD("tos.rtd",,"VOLUME","."&amp;S$2&amp;S$1&amp;"C"&amp;$A13)*RTD("tos.rtd",,"LAST","."&amp;S$2&amp;S$1&amp;"C"&amp;$A13)-100*RTD("tos.rtd",,"VOLUME","."&amp;S$2&amp;S$1&amp;"P"&amp;$A13)*RTD("tos.rtd",,"LAST","."&amp;S$2&amp;S$1&amp;"P"&amp;$A13))/1000000),0),IF($A$2="DEX",IFERROR(IF($X$1="ABS",(100*RTD("tos.rtd",,"OPEN_INT","."&amp;S$2&amp;S$1&amp;"C"&amp;$A13)*RTD("tos.rtd",,"DELTA","."&amp;S$2&amp;S$1&amp;"C"&amp;$A13)+100*RTD("tos.rtd",,"OPEN_INT","."&amp;S$2&amp;S$1&amp;"P"&amp;$A13)*RTD("tos.rtd",,"DELTA","."&amp;S$2&amp;S$1&amp;"P"&amp;$A13))/1000,(100*RTD("tos.rtd",,"OPEN_INT","."&amp;S$2&amp;S$1&amp;"C"&amp;$A13)*RTD("tos.rtd",,"DELTA","."&amp;S$2&amp;S$1&amp;"C"&amp;$A13)-100*RTD("tos.rtd",,"OPEN_INT","."&amp;S$2&amp;S$1&amp;"P"&amp;$A13)*RTD("tos.rtd",,"DELTA","."&amp;S$2&amp;S$1&amp;"P"&amp;$A13))/1000),0),IF($A$2="VEX",IFERROR(IF($X$1="ABS",($A$4*$A$4*RTD("tos.rtd",,"VOLUME","."&amp;S$2&amp;S$1&amp;"C"&amp;$A13)*RTD("tos.rtd",,"GAMMA","."&amp;S$2&amp;S$1&amp;"C"&amp;$A13)+$A$4*$A$4*RTD("tos.rtd",,"VOLUME","."&amp;S$2&amp;S$1&amp;"P"&amp;$A13)*RTD("tos.rtd",,"GAMMA","."&amp;S$2&amp;S$1&amp;"P"&amp;$A13))/1000000,($A$4*$A$4*RTD("tos.rtd",,"VOLUME","."&amp;S$2&amp;S$1&amp;"C"&amp;$A13)*RTD("tos.rtd",,"GAMMA","."&amp;S$2&amp;S$1&amp;"C"&amp;$A13)-$A$4*$A$4*RTD("tos.rtd",,"VOLUME","."&amp;S$2&amp;S$1&amp;"P"&amp;$A13)*RTD("tos.rtd",,"GAMMA","."&amp;S$2&amp;S$1&amp;"P"&amp;$A13))/1000000),0),IF($A$2="GEX",IFERROR(IF($X$1="ABS",($A$4*$A$4*RTD("tos.rtd",,"OPEN_INT","."&amp;S$2&amp;S$1&amp;"C"&amp;$A13)*RTD("tos.rtd",,"GAMMA","."&amp;S$2&amp;S$1&amp;"C"&amp;$A13)+$A$4*$A$4*RTD("tos.rtd",,"OPEN_INT","."&amp;S$2&amp;S$1&amp;"P"&amp;$A13)*RTD("tos.rtd",,"GAMMA","."&amp;S$2&amp;S$1&amp;"P"&amp;$A13))/1000000,($A$4*$A$4*RTD("tos.rtd",,"OPEN_INT","."&amp;S$2&amp;S$1&amp;"C"&amp;$A13)*RTD("tos.rtd",,"GAMMA","."&amp;S$2&amp;S$1&amp;"C"&amp;$A13)-$A$4*$A$4*RTD("tos.rtd",,"OPEN_INT","."&amp;S$2&amp;S$1&amp;"P"&amp;$A13)*RTD("tos.rtd",,"GAMMA","."&amp;S$2&amp;S$1&amp;"P"&amp;$A13))/1000000),0),IF($A$2="SKEW",IFERROR(VALUE(IF(RTD("tos.rtd",,"IMPL_VOL","."&amp;S$2&amp;S$1&amp;"P"&amp;$A13)="N/A",0,RTD("tos.rtd",,"IMPL_VOL","."&amp;S$2&amp;S$1&amp;"P"&amp;$A13))),0)-IFERROR(VALUE(IF(RTD("tos.rtd",,"IMPL_VOL","."&amp;S$2&amp;S$1&amp;"C"&amp;$A13)="N/A",0,RTD("tos.rtd",,"IMPL_VOL","."&amp;S$2&amp;S$1&amp;"C"&amp;$A13))),0),IF($A$2="MAXPAIN",IF($A$4&gt;$A13,($A$4-$A13)*IF(RTD("tos.rtd",,"OPEN_INT","."&amp;S$2&amp;S$1&amp;"C"&amp;$A13)="N/A",0,RTD("tos.rtd",,"OPEN_INT","."&amp;S$2&amp;S$1&amp;"C"&amp;$A13)),0)+IF($A$4&lt;$A13,($A$5-$A$4)*IF(RTD("tos.rtd",,"OPEN_INT","."&amp;S$2&amp;S$1&amp;"P"&amp;$A13)="N/A",0,RTD("tos.rtd",,"OPEN_INT","."&amp;S$2&amp;S$1&amp;"P"&amp;$A13)),0),IF($X$1="ABS",IF(RTD("tos.rtd",,$A$2,"."&amp;S$2&amp;S$1&amp;"C"&amp;$A13)="N/A",0,RTD("tos.rtd",,$A$2,"."&amp;S$2&amp;S$1&amp;"C"&amp;$A13))+IF(RTD("tos.rtd",,$A$2,"."&amp;S$2&amp;S$1&amp;"P"&amp;$A13)="N/A",0,RTD("tos.rtd",,$A$2,"."&amp;S$2&amp;S$1&amp;"P"&amp;$A13)),IF(RTD("tos.rtd",,$A$2,"."&amp;S$2&amp;S$1&amp;"C"&amp;$A13)="N/A",0,RTD("tos.rtd",,$A$2,"."&amp;S$2&amp;S$1&amp;"C"&amp;$A13))-IF(RTD("tos.rtd",,$A$2,"."&amp;S$2&amp;S$1&amp;"P"&amp;$A13)="N/A",0,RTD("tos.rtd",,$A$2,"."&amp;S$2&amp;S$1&amp;"P"&amp;$A13))))))))))</f>
        <v>0</v>
      </c>
      <c r="T13" s="12">
        <f ca="1">IF($A$2="PREMIUM_OI",IFERROR(IF($X$1="ABS",(100*RTD("tos.rtd",,"OPEN_INT","."&amp;T$2&amp;T$1&amp;"C"&amp;$A13)*RTD("tos.rtd",,"LAST","."&amp;T$2&amp;T$1&amp;"C"&amp;$A13)+100*RTD("tos.rtd",,"OPEN_INT","."&amp;T$2&amp;T$1&amp;"P"&amp;$A13)*RTD("tos.rtd",,"LAST","."&amp;T$2&amp;T$1&amp;"P"&amp;$A13))/1000000,(100*RTD("tos.rtd",,"OPEN_INT","."&amp;T$2&amp;T$1&amp;"C"&amp;$A13)*RTD("tos.rtd",,"LAST","."&amp;T$2&amp;T$1&amp;"C"&amp;$A13)-100*RTD("tos.rtd",,"OPEN_INT","."&amp;T$2&amp;T$1&amp;"P"&amp;$A13)*RTD("tos.rtd",,"LAST","."&amp;T$2&amp;T$1&amp;"P"&amp;$A13))/1000000),0),IF($A$2="PREMIUM",IFERROR(IF($X$1="ABS",(100*RTD("tos.rtd",,"VOLUME","."&amp;T$2&amp;T$1&amp;"C"&amp;$A13)*RTD("tos.rtd",,"LAST","."&amp;T$2&amp;T$1&amp;"C"&amp;$A13)+100*RTD("tos.rtd",,"VOLUME","."&amp;T$2&amp;T$1&amp;"P"&amp;$A13)*RTD("tos.rtd",,"LAST","."&amp;T$2&amp;T$1&amp;"P"&amp;$A13))/1000000,(100*RTD("tos.rtd",,"VOLUME","."&amp;T$2&amp;T$1&amp;"C"&amp;$A13)*RTD("tos.rtd",,"LAST","."&amp;T$2&amp;T$1&amp;"C"&amp;$A13)-100*RTD("tos.rtd",,"VOLUME","."&amp;T$2&amp;T$1&amp;"P"&amp;$A13)*RTD("tos.rtd",,"LAST","."&amp;T$2&amp;T$1&amp;"P"&amp;$A13))/1000000),0),IF($A$2="DEX",IFERROR(IF($X$1="ABS",(100*RTD("tos.rtd",,"OPEN_INT","."&amp;T$2&amp;T$1&amp;"C"&amp;$A13)*RTD("tos.rtd",,"DELTA","."&amp;T$2&amp;T$1&amp;"C"&amp;$A13)+100*RTD("tos.rtd",,"OPEN_INT","."&amp;T$2&amp;T$1&amp;"P"&amp;$A13)*RTD("tos.rtd",,"DELTA","."&amp;T$2&amp;T$1&amp;"P"&amp;$A13))/1000,(100*RTD("tos.rtd",,"OPEN_INT","."&amp;T$2&amp;T$1&amp;"C"&amp;$A13)*RTD("tos.rtd",,"DELTA","."&amp;T$2&amp;T$1&amp;"C"&amp;$A13)-100*RTD("tos.rtd",,"OPEN_INT","."&amp;T$2&amp;T$1&amp;"P"&amp;$A13)*RTD("tos.rtd",,"DELTA","."&amp;T$2&amp;T$1&amp;"P"&amp;$A13))/1000),0),IF($A$2="VEX",IFERROR(IF($X$1="ABS",($A$4*$A$4*RTD("tos.rtd",,"VOLUME","."&amp;T$2&amp;T$1&amp;"C"&amp;$A13)*RTD("tos.rtd",,"GAMMA","."&amp;T$2&amp;T$1&amp;"C"&amp;$A13)+$A$4*$A$4*RTD("tos.rtd",,"VOLUME","."&amp;T$2&amp;T$1&amp;"P"&amp;$A13)*RTD("tos.rtd",,"GAMMA","."&amp;T$2&amp;T$1&amp;"P"&amp;$A13))/1000000,($A$4*$A$4*RTD("tos.rtd",,"VOLUME","."&amp;T$2&amp;T$1&amp;"C"&amp;$A13)*RTD("tos.rtd",,"GAMMA","."&amp;T$2&amp;T$1&amp;"C"&amp;$A13)-$A$4*$A$4*RTD("tos.rtd",,"VOLUME","."&amp;T$2&amp;T$1&amp;"P"&amp;$A13)*RTD("tos.rtd",,"GAMMA","."&amp;T$2&amp;T$1&amp;"P"&amp;$A13))/1000000),0),IF($A$2="GEX",IFERROR(IF($X$1="ABS",($A$4*$A$4*RTD("tos.rtd",,"OPEN_INT","."&amp;T$2&amp;T$1&amp;"C"&amp;$A13)*RTD("tos.rtd",,"GAMMA","."&amp;T$2&amp;T$1&amp;"C"&amp;$A13)+$A$4*$A$4*RTD("tos.rtd",,"OPEN_INT","."&amp;T$2&amp;T$1&amp;"P"&amp;$A13)*RTD("tos.rtd",,"GAMMA","."&amp;T$2&amp;T$1&amp;"P"&amp;$A13))/1000000,($A$4*$A$4*RTD("tos.rtd",,"OPEN_INT","."&amp;T$2&amp;T$1&amp;"C"&amp;$A13)*RTD("tos.rtd",,"GAMMA","."&amp;T$2&amp;T$1&amp;"C"&amp;$A13)-$A$4*$A$4*RTD("tos.rtd",,"OPEN_INT","."&amp;T$2&amp;T$1&amp;"P"&amp;$A13)*RTD("tos.rtd",,"GAMMA","."&amp;T$2&amp;T$1&amp;"P"&amp;$A13))/1000000),0),IF($A$2="SKEW",IFERROR(VALUE(IF(RTD("tos.rtd",,"IMPL_VOL","."&amp;T$2&amp;T$1&amp;"P"&amp;$A13)="N/A",0,RTD("tos.rtd",,"IMPL_VOL","."&amp;T$2&amp;T$1&amp;"P"&amp;$A13))),0)-IFERROR(VALUE(IF(RTD("tos.rtd",,"IMPL_VOL","."&amp;T$2&amp;T$1&amp;"C"&amp;$A13)="N/A",0,RTD("tos.rtd",,"IMPL_VOL","."&amp;T$2&amp;T$1&amp;"C"&amp;$A13))),0),IF($A$2="MAXPAIN",IF($A$4&gt;$A13,($A$4-$A13)*IF(RTD("tos.rtd",,"OPEN_INT","."&amp;T$2&amp;T$1&amp;"C"&amp;$A13)="N/A",0,RTD("tos.rtd",,"OPEN_INT","."&amp;T$2&amp;T$1&amp;"C"&amp;$A13)),0)+IF($A$4&lt;$A13,($A$5-$A$4)*IF(RTD("tos.rtd",,"OPEN_INT","."&amp;T$2&amp;T$1&amp;"P"&amp;$A13)="N/A",0,RTD("tos.rtd",,"OPEN_INT","."&amp;T$2&amp;T$1&amp;"P"&amp;$A13)),0),IF($X$1="ABS",IF(RTD("tos.rtd",,$A$2,"."&amp;T$2&amp;T$1&amp;"C"&amp;$A13)="N/A",0,RTD("tos.rtd",,$A$2,"."&amp;T$2&amp;T$1&amp;"C"&amp;$A13))+IF(RTD("tos.rtd",,$A$2,"."&amp;T$2&amp;T$1&amp;"P"&amp;$A13)="N/A",0,RTD("tos.rtd",,$A$2,"."&amp;T$2&amp;T$1&amp;"P"&amp;$A13)),IF(RTD("tos.rtd",,$A$2,"."&amp;T$2&amp;T$1&amp;"C"&amp;$A13)="N/A",0,RTD("tos.rtd",,$A$2,"."&amp;T$2&amp;T$1&amp;"C"&amp;$A13))-IF(RTD("tos.rtd",,$A$2,"."&amp;T$2&amp;T$1&amp;"P"&amp;$A13)="N/A",0,RTD("tos.rtd",,$A$2,"."&amp;T$2&amp;T$1&amp;"P"&amp;$A13))))))))))</f>
        <v>0</v>
      </c>
      <c r="U13" s="12">
        <f ca="1">IF($A$2="PREMIUM_OI",IFERROR(IF($X$1="ABS",(100*RTD("tos.rtd",,"OPEN_INT","."&amp;U$2&amp;U$1&amp;"C"&amp;$A13)*RTD("tos.rtd",,"LAST","."&amp;U$2&amp;U$1&amp;"C"&amp;$A13)+100*RTD("tos.rtd",,"OPEN_INT","."&amp;U$2&amp;U$1&amp;"P"&amp;$A13)*RTD("tos.rtd",,"LAST","."&amp;U$2&amp;U$1&amp;"P"&amp;$A13))/1000000,(100*RTD("tos.rtd",,"OPEN_INT","."&amp;U$2&amp;U$1&amp;"C"&amp;$A13)*RTD("tos.rtd",,"LAST","."&amp;U$2&amp;U$1&amp;"C"&amp;$A13)-100*RTD("tos.rtd",,"OPEN_INT","."&amp;U$2&amp;U$1&amp;"P"&amp;$A13)*RTD("tos.rtd",,"LAST","."&amp;U$2&amp;U$1&amp;"P"&amp;$A13))/1000000),0),IF($A$2="PREMIUM",IFERROR(IF($X$1="ABS",(100*RTD("tos.rtd",,"VOLUME","."&amp;U$2&amp;U$1&amp;"C"&amp;$A13)*RTD("tos.rtd",,"LAST","."&amp;U$2&amp;U$1&amp;"C"&amp;$A13)+100*RTD("tos.rtd",,"VOLUME","."&amp;U$2&amp;U$1&amp;"P"&amp;$A13)*RTD("tos.rtd",,"LAST","."&amp;U$2&amp;U$1&amp;"P"&amp;$A13))/1000000,(100*RTD("tos.rtd",,"VOLUME","."&amp;U$2&amp;U$1&amp;"C"&amp;$A13)*RTD("tos.rtd",,"LAST","."&amp;U$2&amp;U$1&amp;"C"&amp;$A13)-100*RTD("tos.rtd",,"VOLUME","."&amp;U$2&amp;U$1&amp;"P"&amp;$A13)*RTD("tos.rtd",,"LAST","."&amp;U$2&amp;U$1&amp;"P"&amp;$A13))/1000000),0),IF($A$2="DEX",IFERROR(IF($X$1="ABS",(100*RTD("tos.rtd",,"OPEN_INT","."&amp;U$2&amp;U$1&amp;"C"&amp;$A13)*RTD("tos.rtd",,"DELTA","."&amp;U$2&amp;U$1&amp;"C"&amp;$A13)+100*RTD("tos.rtd",,"OPEN_INT","."&amp;U$2&amp;U$1&amp;"P"&amp;$A13)*RTD("tos.rtd",,"DELTA","."&amp;U$2&amp;U$1&amp;"P"&amp;$A13))/1000,(100*RTD("tos.rtd",,"OPEN_INT","."&amp;U$2&amp;U$1&amp;"C"&amp;$A13)*RTD("tos.rtd",,"DELTA","."&amp;U$2&amp;U$1&amp;"C"&amp;$A13)-100*RTD("tos.rtd",,"OPEN_INT","."&amp;U$2&amp;U$1&amp;"P"&amp;$A13)*RTD("tos.rtd",,"DELTA","."&amp;U$2&amp;U$1&amp;"P"&amp;$A13))/1000),0),IF($A$2="VEX",IFERROR(IF($X$1="ABS",($A$4*$A$4*RTD("tos.rtd",,"VOLUME","."&amp;U$2&amp;U$1&amp;"C"&amp;$A13)*RTD("tos.rtd",,"GAMMA","."&amp;U$2&amp;U$1&amp;"C"&amp;$A13)+$A$4*$A$4*RTD("tos.rtd",,"VOLUME","."&amp;U$2&amp;U$1&amp;"P"&amp;$A13)*RTD("tos.rtd",,"GAMMA","."&amp;U$2&amp;U$1&amp;"P"&amp;$A13))/1000000,($A$4*$A$4*RTD("tos.rtd",,"VOLUME","."&amp;U$2&amp;U$1&amp;"C"&amp;$A13)*RTD("tos.rtd",,"GAMMA","."&amp;U$2&amp;U$1&amp;"C"&amp;$A13)-$A$4*$A$4*RTD("tos.rtd",,"VOLUME","."&amp;U$2&amp;U$1&amp;"P"&amp;$A13)*RTD("tos.rtd",,"GAMMA","."&amp;U$2&amp;U$1&amp;"P"&amp;$A13))/1000000),0),IF($A$2="GEX",IFERROR(IF($X$1="ABS",($A$4*$A$4*RTD("tos.rtd",,"OPEN_INT","."&amp;U$2&amp;U$1&amp;"C"&amp;$A13)*RTD("tos.rtd",,"GAMMA","."&amp;U$2&amp;U$1&amp;"C"&amp;$A13)+$A$4*$A$4*RTD("tos.rtd",,"OPEN_INT","."&amp;U$2&amp;U$1&amp;"P"&amp;$A13)*RTD("tos.rtd",,"GAMMA","."&amp;U$2&amp;U$1&amp;"P"&amp;$A13))/1000000,($A$4*$A$4*RTD("tos.rtd",,"OPEN_INT","."&amp;U$2&amp;U$1&amp;"C"&amp;$A13)*RTD("tos.rtd",,"GAMMA","."&amp;U$2&amp;U$1&amp;"C"&amp;$A13)-$A$4*$A$4*RTD("tos.rtd",,"OPEN_INT","."&amp;U$2&amp;U$1&amp;"P"&amp;$A13)*RTD("tos.rtd",,"GAMMA","."&amp;U$2&amp;U$1&amp;"P"&amp;$A13))/1000000),0),IF($A$2="SKEW",IFERROR(VALUE(IF(RTD("tos.rtd",,"IMPL_VOL","."&amp;U$2&amp;U$1&amp;"P"&amp;$A13)="N/A",0,RTD("tos.rtd",,"IMPL_VOL","."&amp;U$2&amp;U$1&amp;"P"&amp;$A13))),0)-IFERROR(VALUE(IF(RTD("tos.rtd",,"IMPL_VOL","."&amp;U$2&amp;U$1&amp;"C"&amp;$A13)="N/A",0,RTD("tos.rtd",,"IMPL_VOL","."&amp;U$2&amp;U$1&amp;"C"&amp;$A13))),0),IF($A$2="MAXPAIN",IF($A$4&gt;$A13,($A$4-$A13)*IF(RTD("tos.rtd",,"OPEN_INT","."&amp;U$2&amp;U$1&amp;"C"&amp;$A13)="N/A",0,RTD("tos.rtd",,"OPEN_INT","."&amp;U$2&amp;U$1&amp;"C"&amp;$A13)),0)+IF($A$4&lt;$A13,($A$5-$A$4)*IF(RTD("tos.rtd",,"OPEN_INT","."&amp;U$2&amp;U$1&amp;"P"&amp;$A13)="N/A",0,RTD("tos.rtd",,"OPEN_INT","."&amp;U$2&amp;U$1&amp;"P"&amp;$A13)),0),IF($X$1="ABS",IF(RTD("tos.rtd",,$A$2,"."&amp;U$2&amp;U$1&amp;"C"&amp;$A13)="N/A",0,RTD("tos.rtd",,$A$2,"."&amp;U$2&amp;U$1&amp;"C"&amp;$A13))+IF(RTD("tos.rtd",,$A$2,"."&amp;U$2&amp;U$1&amp;"P"&amp;$A13)="N/A",0,RTD("tos.rtd",,$A$2,"."&amp;U$2&amp;U$1&amp;"P"&amp;$A13)),IF(RTD("tos.rtd",,$A$2,"."&amp;U$2&amp;U$1&amp;"C"&amp;$A13)="N/A",0,RTD("tos.rtd",,$A$2,"."&amp;U$2&amp;U$1&amp;"C"&amp;$A13))-IF(RTD("tos.rtd",,$A$2,"."&amp;U$2&amp;U$1&amp;"P"&amp;$A13)="N/A",0,RTD("tos.rtd",,$A$2,"."&amp;U$2&amp;U$1&amp;"P"&amp;$A13))))))))))</f>
        <v>0</v>
      </c>
      <c r="V13" s="12">
        <f ca="1">IF($A$2="PREMIUM_OI",IFERROR(IF($X$1="ABS",(100*RTD("tos.rtd",,"OPEN_INT","."&amp;V$2&amp;V$1&amp;"C"&amp;$A13)*RTD("tos.rtd",,"LAST","."&amp;V$2&amp;V$1&amp;"C"&amp;$A13)+100*RTD("tos.rtd",,"OPEN_INT","."&amp;V$2&amp;V$1&amp;"P"&amp;$A13)*RTD("tos.rtd",,"LAST","."&amp;V$2&amp;V$1&amp;"P"&amp;$A13))/1000000,(100*RTD("tos.rtd",,"OPEN_INT","."&amp;V$2&amp;V$1&amp;"C"&amp;$A13)*RTD("tos.rtd",,"LAST","."&amp;V$2&amp;V$1&amp;"C"&amp;$A13)-100*RTD("tos.rtd",,"OPEN_INT","."&amp;V$2&amp;V$1&amp;"P"&amp;$A13)*RTD("tos.rtd",,"LAST","."&amp;V$2&amp;V$1&amp;"P"&amp;$A13))/1000000),0),IF($A$2="PREMIUM",IFERROR(IF($X$1="ABS",(100*RTD("tos.rtd",,"VOLUME","."&amp;V$2&amp;V$1&amp;"C"&amp;$A13)*RTD("tos.rtd",,"LAST","."&amp;V$2&amp;V$1&amp;"C"&amp;$A13)+100*RTD("tos.rtd",,"VOLUME","."&amp;V$2&amp;V$1&amp;"P"&amp;$A13)*RTD("tos.rtd",,"LAST","."&amp;V$2&amp;V$1&amp;"P"&amp;$A13))/1000000,(100*RTD("tos.rtd",,"VOLUME","."&amp;V$2&amp;V$1&amp;"C"&amp;$A13)*RTD("tos.rtd",,"LAST","."&amp;V$2&amp;V$1&amp;"C"&amp;$A13)-100*RTD("tos.rtd",,"VOLUME","."&amp;V$2&amp;V$1&amp;"P"&amp;$A13)*RTD("tos.rtd",,"LAST","."&amp;V$2&amp;V$1&amp;"P"&amp;$A13))/1000000),0),IF($A$2="DEX",IFERROR(IF($X$1="ABS",(100*RTD("tos.rtd",,"OPEN_INT","."&amp;V$2&amp;V$1&amp;"C"&amp;$A13)*RTD("tos.rtd",,"DELTA","."&amp;V$2&amp;V$1&amp;"C"&amp;$A13)+100*RTD("tos.rtd",,"OPEN_INT","."&amp;V$2&amp;V$1&amp;"P"&amp;$A13)*RTD("tos.rtd",,"DELTA","."&amp;V$2&amp;V$1&amp;"P"&amp;$A13))/1000,(100*RTD("tos.rtd",,"OPEN_INT","."&amp;V$2&amp;V$1&amp;"C"&amp;$A13)*RTD("tos.rtd",,"DELTA","."&amp;V$2&amp;V$1&amp;"C"&amp;$A13)-100*RTD("tos.rtd",,"OPEN_INT","."&amp;V$2&amp;V$1&amp;"P"&amp;$A13)*RTD("tos.rtd",,"DELTA","."&amp;V$2&amp;V$1&amp;"P"&amp;$A13))/1000),0),IF($A$2="VEX",IFERROR(IF($X$1="ABS",($A$4*$A$4*RTD("tos.rtd",,"VOLUME","."&amp;V$2&amp;V$1&amp;"C"&amp;$A13)*RTD("tos.rtd",,"GAMMA","."&amp;V$2&amp;V$1&amp;"C"&amp;$A13)+$A$4*$A$4*RTD("tos.rtd",,"VOLUME","."&amp;V$2&amp;V$1&amp;"P"&amp;$A13)*RTD("tos.rtd",,"GAMMA","."&amp;V$2&amp;V$1&amp;"P"&amp;$A13))/1000000,($A$4*$A$4*RTD("tos.rtd",,"VOLUME","."&amp;V$2&amp;V$1&amp;"C"&amp;$A13)*RTD("tos.rtd",,"GAMMA","."&amp;V$2&amp;V$1&amp;"C"&amp;$A13)-$A$4*$A$4*RTD("tos.rtd",,"VOLUME","."&amp;V$2&amp;V$1&amp;"P"&amp;$A13)*RTD("tos.rtd",,"GAMMA","."&amp;V$2&amp;V$1&amp;"P"&amp;$A13))/1000000),0),IF($A$2="GEX",IFERROR(IF($X$1="ABS",($A$4*$A$4*RTD("tos.rtd",,"OPEN_INT","."&amp;V$2&amp;V$1&amp;"C"&amp;$A13)*RTD("tos.rtd",,"GAMMA","."&amp;V$2&amp;V$1&amp;"C"&amp;$A13)+$A$4*$A$4*RTD("tos.rtd",,"OPEN_INT","."&amp;V$2&amp;V$1&amp;"P"&amp;$A13)*RTD("tos.rtd",,"GAMMA","."&amp;V$2&amp;V$1&amp;"P"&amp;$A13))/1000000,($A$4*$A$4*RTD("tos.rtd",,"OPEN_INT","."&amp;V$2&amp;V$1&amp;"C"&amp;$A13)*RTD("tos.rtd",,"GAMMA","."&amp;V$2&amp;V$1&amp;"C"&amp;$A13)-$A$4*$A$4*RTD("tos.rtd",,"OPEN_INT","."&amp;V$2&amp;V$1&amp;"P"&amp;$A13)*RTD("tos.rtd",,"GAMMA","."&amp;V$2&amp;V$1&amp;"P"&amp;$A13))/1000000),0),IF($A$2="SKEW",IFERROR(VALUE(IF(RTD("tos.rtd",,"IMPL_VOL","."&amp;V$2&amp;V$1&amp;"P"&amp;$A13)="N/A",0,RTD("tos.rtd",,"IMPL_VOL","."&amp;V$2&amp;V$1&amp;"P"&amp;$A13))),0)-IFERROR(VALUE(IF(RTD("tos.rtd",,"IMPL_VOL","."&amp;V$2&amp;V$1&amp;"C"&amp;$A13)="N/A",0,RTD("tos.rtd",,"IMPL_VOL","."&amp;V$2&amp;V$1&amp;"C"&amp;$A13))),0),IF($A$2="MAXPAIN",IF($A$4&gt;$A13,($A$4-$A13)*IF(RTD("tos.rtd",,"OPEN_INT","."&amp;V$2&amp;V$1&amp;"C"&amp;$A13)="N/A",0,RTD("tos.rtd",,"OPEN_INT","."&amp;V$2&amp;V$1&amp;"C"&amp;$A13)),0)+IF($A$4&lt;$A13,($A$5-$A$4)*IF(RTD("tos.rtd",,"OPEN_INT","."&amp;V$2&amp;V$1&amp;"P"&amp;$A13)="N/A",0,RTD("tos.rtd",,"OPEN_INT","."&amp;V$2&amp;V$1&amp;"P"&amp;$A13)),0),IF($X$1="ABS",IF(RTD("tos.rtd",,$A$2,"."&amp;V$2&amp;V$1&amp;"C"&amp;$A13)="N/A",0,RTD("tos.rtd",,$A$2,"."&amp;V$2&amp;V$1&amp;"C"&amp;$A13))+IF(RTD("tos.rtd",,$A$2,"."&amp;V$2&amp;V$1&amp;"P"&amp;$A13)="N/A",0,RTD("tos.rtd",,$A$2,"."&amp;V$2&amp;V$1&amp;"P"&amp;$A13)),IF(RTD("tos.rtd",,$A$2,"."&amp;V$2&amp;V$1&amp;"C"&amp;$A13)="N/A",0,RTD("tos.rtd",,$A$2,"."&amp;V$2&amp;V$1&amp;"C"&amp;$A13))-IF(RTD("tos.rtd",,$A$2,"."&amp;V$2&amp;V$1&amp;"P"&amp;$A13)="N/A",0,RTD("tos.rtd",,$A$2,"."&amp;V$2&amp;V$1&amp;"P"&amp;$A13))))))))))</f>
        <v>0</v>
      </c>
      <c r="W13" s="54">
        <f ca="1">IF($A$2="PREMIUM_OI",IFERROR(IF($X$1="ABS",(100*RTD("tos.rtd",,"OPEN_INT","."&amp;W$2&amp;W$1&amp;"C"&amp;$A13)*RTD("tos.rtd",,"LAST","."&amp;W$2&amp;W$1&amp;"C"&amp;$A13)+100*RTD("tos.rtd",,"OPEN_INT","."&amp;W$2&amp;W$1&amp;"P"&amp;$A13)*RTD("tos.rtd",,"LAST","."&amp;W$2&amp;W$1&amp;"P"&amp;$A13))/1000000,(100*RTD("tos.rtd",,"OPEN_INT","."&amp;W$2&amp;W$1&amp;"C"&amp;$A13)*RTD("tos.rtd",,"LAST","."&amp;W$2&amp;W$1&amp;"C"&amp;$A13)-100*RTD("tos.rtd",,"OPEN_INT","."&amp;W$2&amp;W$1&amp;"P"&amp;$A13)*RTD("tos.rtd",,"LAST","."&amp;W$2&amp;W$1&amp;"P"&amp;$A13))/1000000),0),IF($A$2="PREMIUM",IFERROR(IF($X$1="ABS",(100*RTD("tos.rtd",,"VOLUME","."&amp;W$2&amp;W$1&amp;"C"&amp;$A13)*RTD("tos.rtd",,"LAST","."&amp;W$2&amp;W$1&amp;"C"&amp;$A13)+100*RTD("tos.rtd",,"VOLUME","."&amp;W$2&amp;W$1&amp;"P"&amp;$A13)*RTD("tos.rtd",,"LAST","."&amp;W$2&amp;W$1&amp;"P"&amp;$A13))/1000000,(100*RTD("tos.rtd",,"VOLUME","."&amp;W$2&amp;W$1&amp;"C"&amp;$A13)*RTD("tos.rtd",,"LAST","."&amp;W$2&amp;W$1&amp;"C"&amp;$A13)-100*RTD("tos.rtd",,"VOLUME","."&amp;W$2&amp;W$1&amp;"P"&amp;$A13)*RTD("tos.rtd",,"LAST","."&amp;W$2&amp;W$1&amp;"P"&amp;$A13))/1000000),0),IF($A$2="DEX",IFERROR(IF($X$1="ABS",(100*RTD("tos.rtd",,"OPEN_INT","."&amp;W$2&amp;W$1&amp;"C"&amp;$A13)*RTD("tos.rtd",,"DELTA","."&amp;W$2&amp;W$1&amp;"C"&amp;$A13)+100*RTD("tos.rtd",,"OPEN_INT","."&amp;W$2&amp;W$1&amp;"P"&amp;$A13)*RTD("tos.rtd",,"DELTA","."&amp;W$2&amp;W$1&amp;"P"&amp;$A13))/1000,(100*RTD("tos.rtd",,"OPEN_INT","."&amp;W$2&amp;W$1&amp;"C"&amp;$A13)*RTD("tos.rtd",,"DELTA","."&amp;W$2&amp;W$1&amp;"C"&amp;$A13)-100*RTD("tos.rtd",,"OPEN_INT","."&amp;W$2&amp;W$1&amp;"P"&amp;$A13)*RTD("tos.rtd",,"DELTA","."&amp;W$2&amp;W$1&amp;"P"&amp;$A13))/1000),0),IF($A$2="VEX",IFERROR(IF($X$1="ABS",($A$4*$A$4*RTD("tos.rtd",,"VOLUME","."&amp;W$2&amp;W$1&amp;"C"&amp;$A13)*RTD("tos.rtd",,"GAMMA","."&amp;W$2&amp;W$1&amp;"C"&amp;$A13)+$A$4*$A$4*RTD("tos.rtd",,"VOLUME","."&amp;W$2&amp;W$1&amp;"P"&amp;$A13)*RTD("tos.rtd",,"GAMMA","."&amp;W$2&amp;W$1&amp;"P"&amp;$A13))/1000000,($A$4*$A$4*RTD("tos.rtd",,"VOLUME","."&amp;W$2&amp;W$1&amp;"C"&amp;$A13)*RTD("tos.rtd",,"GAMMA","."&amp;W$2&amp;W$1&amp;"C"&amp;$A13)-$A$4*$A$4*RTD("tos.rtd",,"VOLUME","."&amp;W$2&amp;W$1&amp;"P"&amp;$A13)*RTD("tos.rtd",,"GAMMA","."&amp;W$2&amp;W$1&amp;"P"&amp;$A13))/1000000),0),IF($A$2="GEX",IFERROR(IF($X$1="ABS",($A$4*$A$4*RTD("tos.rtd",,"OPEN_INT","."&amp;W$2&amp;W$1&amp;"C"&amp;$A13)*RTD("tos.rtd",,"GAMMA","."&amp;W$2&amp;W$1&amp;"C"&amp;$A13)+$A$4*$A$4*RTD("tos.rtd",,"OPEN_INT","."&amp;W$2&amp;W$1&amp;"P"&amp;$A13)*RTD("tos.rtd",,"GAMMA","."&amp;W$2&amp;W$1&amp;"P"&amp;$A13))/1000000,($A$4*$A$4*RTD("tos.rtd",,"OPEN_INT","."&amp;W$2&amp;W$1&amp;"C"&amp;$A13)*RTD("tos.rtd",,"GAMMA","."&amp;W$2&amp;W$1&amp;"C"&amp;$A13)-$A$4*$A$4*RTD("tos.rtd",,"OPEN_INT","."&amp;W$2&amp;W$1&amp;"P"&amp;$A13)*RTD("tos.rtd",,"GAMMA","."&amp;W$2&amp;W$1&amp;"P"&amp;$A13))/1000000),0),IF($A$2="SKEW",IFERROR(VALUE(IF(RTD("tos.rtd",,"IMPL_VOL","."&amp;W$2&amp;W$1&amp;"P"&amp;$A13)="N/A",0,RTD("tos.rtd",,"IMPL_VOL","."&amp;W$2&amp;W$1&amp;"P"&amp;$A13))),0)-IFERROR(VALUE(IF(RTD("tos.rtd",,"IMPL_VOL","."&amp;W$2&amp;W$1&amp;"C"&amp;$A13)="N/A",0,RTD("tos.rtd",,"IMPL_VOL","."&amp;W$2&amp;W$1&amp;"C"&amp;$A13))),0),IF($A$2="MAXPAIN",IF($A$4&gt;$A13,($A$4-$A13)*IF(RTD("tos.rtd",,"OPEN_INT","."&amp;W$2&amp;W$1&amp;"C"&amp;$A13)="N/A",0,RTD("tos.rtd",,"OPEN_INT","."&amp;W$2&amp;W$1&amp;"C"&amp;$A13)),0)+IF($A$4&lt;$A13,($A$5-$A$4)*IF(RTD("tos.rtd",,"OPEN_INT","."&amp;W$2&amp;W$1&amp;"P"&amp;$A13)="N/A",0,RTD("tos.rtd",,"OPEN_INT","."&amp;W$2&amp;W$1&amp;"P"&amp;$A13)),0),IF($X$1="ABS",IF(RTD("tos.rtd",,$A$2,"."&amp;W$2&amp;W$1&amp;"C"&amp;$A13)="N/A",0,RTD("tos.rtd",,$A$2,"."&amp;W$2&amp;W$1&amp;"C"&amp;$A13))+IF(RTD("tos.rtd",,$A$2,"."&amp;W$2&amp;W$1&amp;"P"&amp;$A13)="N/A",0,RTD("tos.rtd",,$A$2,"."&amp;W$2&amp;W$1&amp;"P"&amp;$A13)),IF(RTD("tos.rtd",,$A$2,"."&amp;W$2&amp;W$1&amp;"C"&amp;$A13)="N/A",0,RTD("tos.rtd",,$A$2,"."&amp;W$2&amp;W$1&amp;"C"&amp;$A13))-IF(RTD("tos.rtd",,$A$2,"."&amp;W$2&amp;W$1&amp;"P"&amp;$A13)="N/A",0,RTD("tos.rtd",,$A$2,"."&amp;W$2&amp;W$1&amp;"P"&amp;$A13))))))))))</f>
        <v>0</v>
      </c>
      <c r="X13" s="57">
        <f t="shared" ca="1" si="8"/>
        <v>0</v>
      </c>
      <c r="Y13" s="27">
        <f t="shared" ca="1" si="9"/>
        <v>0</v>
      </c>
      <c r="Z13" s="27">
        <f ca="1">+'OI-VOL'!Y13</f>
        <v>261</v>
      </c>
      <c r="AA13" s="27" t="b">
        <f t="shared" ca="1" si="10"/>
        <v>0</v>
      </c>
      <c r="AB13" s="27">
        <f t="shared" si="11"/>
        <v>178827750</v>
      </c>
      <c r="AC13" s="18">
        <f>MAX(0, $A13-AC$4)*IF(RTD("tos.rtd",,"OPEN_INT","."&amp;$AB$3&amp;$AB$4&amp;"C"&amp;AC$4)="N/A",0,RTD("tos.rtd",,"OPEN_INT","."&amp;$AB$3&amp;$AB$4&amp;"C"&amp;AC$4))*100 + MAX(0, AC$4-$A13)*IF(RTD("tos.rtd",,"OPEN_INT","."&amp;$AB$3&amp;$AB$4&amp;"P"&amp;AC$4)="N/A",0,RTD("tos.rtd",,"OPEN_INT","."&amp;$AB$3&amp;$AB$4&amp;"P"&amp;AC$4))*100</f>
        <v>0</v>
      </c>
      <c r="AD13" s="18">
        <f>MAX(0, $A13-AD$4)*IF(RTD("tos.rtd",,"OPEN_INT","."&amp;$AB$3&amp;$AB$4&amp;"C"&amp;AD$4)="N/A",0,RTD("tos.rtd",,"OPEN_INT","."&amp;$AB$3&amp;$AB$4&amp;"C"&amp;AD$4))*100 + MAX(0, AD$4-$A13)*IF(RTD("tos.rtd",,"OPEN_INT","."&amp;$AB$3&amp;$AB$4&amp;"P"&amp;AD$4)="N/A",0,RTD("tos.rtd",,"OPEN_INT","."&amp;$AB$3&amp;$AB$4&amp;"P"&amp;AD$4))*100</f>
        <v>0</v>
      </c>
      <c r="AE13" s="18">
        <f>MAX(0, $A13-AE$4)*IF(RTD("tos.rtd",,"OPEN_INT","."&amp;$AB$3&amp;$AB$4&amp;"C"&amp;AE$4)="N/A",0,RTD("tos.rtd",,"OPEN_INT","."&amp;$AB$3&amp;$AB$4&amp;"C"&amp;AE$4))*100 + MAX(0, AE$4-$A13)*IF(RTD("tos.rtd",,"OPEN_INT","."&amp;$AB$3&amp;$AB$4&amp;"P"&amp;AE$4)="N/A",0,RTD("tos.rtd",,"OPEN_INT","."&amp;$AB$3&amp;$AB$4&amp;"P"&amp;AE$4))*100</f>
        <v>0</v>
      </c>
      <c r="AF13" s="18">
        <f>MAX(0, $A13-AF$4)*IF(RTD("tos.rtd",,"OPEN_INT","."&amp;$AB$3&amp;$AB$4&amp;"C"&amp;AF$4)="N/A",0,RTD("tos.rtd",,"OPEN_INT","."&amp;$AB$3&amp;$AB$4&amp;"C"&amp;AF$4))*100 + MAX(0, AF$4-$A13)*IF(RTD("tos.rtd",,"OPEN_INT","."&amp;$AB$3&amp;$AB$4&amp;"P"&amp;AF$4)="N/A",0,RTD("tos.rtd",,"OPEN_INT","."&amp;$AB$3&amp;$AB$4&amp;"P"&amp;AF$4))*100</f>
        <v>0</v>
      </c>
      <c r="AG13" s="18">
        <f>MAX(0, $A13-AG$4)*IF(RTD("tos.rtd",,"OPEN_INT","."&amp;$AB$3&amp;$AB$4&amp;"C"&amp;AG$4)="N/A",0,RTD("tos.rtd",,"OPEN_INT","."&amp;$AB$3&amp;$AB$4&amp;"C"&amp;AG$4))*100 + MAX(0, AG$4-$A13)*IF(RTD("tos.rtd",,"OPEN_INT","."&amp;$AB$3&amp;$AB$4&amp;"P"&amp;AG$4)="N/A",0,RTD("tos.rtd",,"OPEN_INT","."&amp;$AB$3&amp;$AB$4&amp;"P"&amp;AG$4))*100</f>
        <v>0</v>
      </c>
      <c r="AH13" s="18">
        <f>MAX(0, $A13-AH$4)*IF(RTD("tos.rtd",,"OPEN_INT","."&amp;$AB$3&amp;$AB$4&amp;"C"&amp;AH$4)="N/A",0,RTD("tos.rtd",,"OPEN_INT","."&amp;$AB$3&amp;$AB$4&amp;"C"&amp;AH$4))*100 + MAX(0, AH$4-$A13)*IF(RTD("tos.rtd",,"OPEN_INT","."&amp;$AB$3&amp;$AB$4&amp;"P"&amp;AH$4)="N/A",0,RTD("tos.rtd",,"OPEN_INT","."&amp;$AB$3&amp;$AB$4&amp;"P"&amp;AH$4))*100</f>
        <v>0</v>
      </c>
      <c r="AI13" s="18">
        <f>MAX(0, $A13-AI$4)*IF(RTD("tos.rtd",,"OPEN_INT","."&amp;$AB$3&amp;$AB$4&amp;"C"&amp;AI$4)="N/A",0,RTD("tos.rtd",,"OPEN_INT","."&amp;$AB$3&amp;$AB$4&amp;"C"&amp;AI$4))*100 + MAX(0, AI$4-$A13)*IF(RTD("tos.rtd",,"OPEN_INT","."&amp;$AB$3&amp;$AB$4&amp;"P"&amp;AI$4)="N/A",0,RTD("tos.rtd",,"OPEN_INT","."&amp;$AB$3&amp;$AB$4&amp;"P"&amp;AI$4))*100</f>
        <v>0</v>
      </c>
      <c r="AJ13" s="18">
        <f>MAX(0, $A13-AJ$4)*IF(RTD("tos.rtd",,"OPEN_INT","."&amp;$AB$3&amp;$AB$4&amp;"C"&amp;AJ$4)="N/A",0,RTD("tos.rtd",,"OPEN_INT","."&amp;$AB$3&amp;$AB$4&amp;"C"&amp;AJ$4))*100 + MAX(0, AJ$4-$A13)*IF(RTD("tos.rtd",,"OPEN_INT","."&amp;$AB$3&amp;$AB$4&amp;"P"&amp;AJ$4)="N/A",0,RTD("tos.rtd",,"OPEN_INT","."&amp;$AB$3&amp;$AB$4&amp;"P"&amp;AJ$4))*100</f>
        <v>150</v>
      </c>
      <c r="AK13" s="18">
        <f>MAX(0, $A13-AK$4)*IF(RTD("tos.rtd",,"OPEN_INT","."&amp;$AB$3&amp;$AB$4&amp;"C"&amp;AK$4)="N/A",0,RTD("tos.rtd",,"OPEN_INT","."&amp;$AB$3&amp;$AB$4&amp;"C"&amp;AK$4))*100 + MAX(0, AK$4-$A13)*IF(RTD("tos.rtd",,"OPEN_INT","."&amp;$AB$3&amp;$AB$4&amp;"P"&amp;AK$4)="N/A",0,RTD("tos.rtd",,"OPEN_INT","."&amp;$AB$3&amp;$AB$4&amp;"P"&amp;AK$4))*100</f>
        <v>0</v>
      </c>
      <c r="AL13" s="18">
        <f>MAX(0, $A13-AL$4)*IF(RTD("tos.rtd",,"OPEN_INT","."&amp;$AB$3&amp;$AB$4&amp;"C"&amp;AL$4)="N/A",0,RTD("tos.rtd",,"OPEN_INT","."&amp;$AB$3&amp;$AB$4&amp;"C"&amp;AL$4))*100 + MAX(0, AL$4-$A13)*IF(RTD("tos.rtd",,"OPEN_INT","."&amp;$AB$3&amp;$AB$4&amp;"P"&amp;AL$4)="N/A",0,RTD("tos.rtd",,"OPEN_INT","."&amp;$AB$3&amp;$AB$4&amp;"P"&amp;AL$4))*100</f>
        <v>140650</v>
      </c>
      <c r="AM13" s="18">
        <f>MAX(0, $A13-AM$4)*IF(RTD("tos.rtd",,"OPEN_INT","."&amp;$AB$3&amp;$AB$4&amp;"C"&amp;AM$4)="N/A",0,RTD("tos.rtd",,"OPEN_INT","."&amp;$AB$3&amp;$AB$4&amp;"C"&amp;AM$4))*100 + MAX(0, AM$4-$A13)*IF(RTD("tos.rtd",,"OPEN_INT","."&amp;$AB$3&amp;$AB$4&amp;"P"&amp;AM$4)="N/A",0,RTD("tos.rtd",,"OPEN_INT","."&amp;$AB$3&amp;$AB$4&amp;"P"&amp;AM$4))*100</f>
        <v>0</v>
      </c>
      <c r="AN13" s="18">
        <f>MAX(0, $A13-AN$4)*IF(RTD("tos.rtd",,"OPEN_INT","."&amp;$AB$3&amp;$AB$4&amp;"C"&amp;AN$4)="N/A",0,RTD("tos.rtd",,"OPEN_INT","."&amp;$AB$3&amp;$AB$4&amp;"C"&amp;AN$4))*100 + MAX(0, AN$4-$A13)*IF(RTD("tos.rtd",,"OPEN_INT","."&amp;$AB$3&amp;$AB$4&amp;"P"&amp;AN$4)="N/A",0,RTD("tos.rtd",,"OPEN_INT","."&amp;$AB$3&amp;$AB$4&amp;"P"&amp;AN$4))*100</f>
        <v>354750</v>
      </c>
      <c r="AO13" s="18">
        <f>MAX(0, $A13-AO$4)*IF(RTD("tos.rtd",,"OPEN_INT","."&amp;$AB$3&amp;$AB$4&amp;"C"&amp;AO$4)="N/A",0,RTD("tos.rtd",,"OPEN_INT","."&amp;$AB$3&amp;$AB$4&amp;"C"&amp;AO$4))*100 + MAX(0, AO$4-$A13)*IF(RTD("tos.rtd",,"OPEN_INT","."&amp;$AB$3&amp;$AB$4&amp;"P"&amp;AO$4)="N/A",0,RTD("tos.rtd",,"OPEN_INT","."&amp;$AB$3&amp;$AB$4&amp;"P"&amp;AO$4))*100</f>
        <v>0</v>
      </c>
      <c r="AP13" s="18">
        <f>MAX(0, $A13-AP$4)*IF(RTD("tos.rtd",,"OPEN_INT","."&amp;$AB$3&amp;$AB$4&amp;"C"&amp;AP$4)="N/A",0,RTD("tos.rtd",,"OPEN_INT","."&amp;$AB$3&amp;$AB$4&amp;"C"&amp;AP$4))*100 + MAX(0, AP$4-$A13)*IF(RTD("tos.rtd",,"OPEN_INT","."&amp;$AB$3&amp;$AB$4&amp;"P"&amp;AP$4)="N/A",0,RTD("tos.rtd",,"OPEN_INT","."&amp;$AB$3&amp;$AB$4&amp;"P"&amp;AP$4))*100</f>
        <v>172250</v>
      </c>
      <c r="AQ13" s="18">
        <f>MAX(0, $A13-AQ$4)*IF(RTD("tos.rtd",,"OPEN_INT","."&amp;$AB$3&amp;$AB$4&amp;"C"&amp;AQ$4)="N/A",0,RTD("tos.rtd",,"OPEN_INT","."&amp;$AB$3&amp;$AB$4&amp;"C"&amp;AQ$4))*100 + MAX(0, AQ$4-$A13)*IF(RTD("tos.rtd",,"OPEN_INT","."&amp;$AB$3&amp;$AB$4&amp;"P"&amp;AQ$4)="N/A",0,RTD("tos.rtd",,"OPEN_INT","."&amp;$AB$3&amp;$AB$4&amp;"P"&amp;AQ$4))*100</f>
        <v>0</v>
      </c>
      <c r="AR13" s="18">
        <f>MAX(0, $A13-AR$4)*IF(RTD("tos.rtd",,"OPEN_INT","."&amp;$AB$3&amp;$AB$4&amp;"C"&amp;AR$4)="N/A",0,RTD("tos.rtd",,"OPEN_INT","."&amp;$AB$3&amp;$AB$4&amp;"C"&amp;AR$4))*100 + MAX(0, AR$4-$A13)*IF(RTD("tos.rtd",,"OPEN_INT","."&amp;$AB$3&amp;$AB$4&amp;"P"&amp;AR$4)="N/A",0,RTD("tos.rtd",,"OPEN_INT","."&amp;$AB$3&amp;$AB$4&amp;"P"&amp;AR$4))*100</f>
        <v>224000</v>
      </c>
      <c r="AS13" s="18">
        <f>MAX(0, $A13-AS$4)*IF(RTD("tos.rtd",,"OPEN_INT","."&amp;$AB$3&amp;$AB$4&amp;"C"&amp;AS$4)="N/A",0,RTD("tos.rtd",,"OPEN_INT","."&amp;$AB$3&amp;$AB$4&amp;"C"&amp;AS$4))*100 + MAX(0, AS$4-$A13)*IF(RTD("tos.rtd",,"OPEN_INT","."&amp;$AB$3&amp;$AB$4&amp;"P"&amp;AS$4)="N/A",0,RTD("tos.rtd",,"OPEN_INT","."&amp;$AB$3&amp;$AB$4&amp;"P"&amp;AS$4))*100</f>
        <v>400</v>
      </c>
      <c r="AT13" s="18">
        <f>MAX(0, $A13-AT$4)*IF(RTD("tos.rtd",,"OPEN_INT","."&amp;$AB$3&amp;$AB$4&amp;"C"&amp;AT$4)="N/A",0,RTD("tos.rtd",,"OPEN_INT","."&amp;$AB$3&amp;$AB$4&amp;"C"&amp;AT$4))*100 + MAX(0, AT$4-$A13)*IF(RTD("tos.rtd",,"OPEN_INT","."&amp;$AB$3&amp;$AB$4&amp;"P"&amp;AT$4)="N/A",0,RTD("tos.rtd",,"OPEN_INT","."&amp;$AB$3&amp;$AB$4&amp;"P"&amp;AT$4))*100</f>
        <v>387900</v>
      </c>
      <c r="AU13" s="18">
        <f>MAX(0, $A13-AU$4)*IF(RTD("tos.rtd",,"OPEN_INT","."&amp;$AB$3&amp;$AB$4&amp;"C"&amp;AU$4)="N/A",0,RTD("tos.rtd",,"OPEN_INT","."&amp;$AB$3&amp;$AB$4&amp;"C"&amp;AU$4))*100 + MAX(0, AU$4-$A13)*IF(RTD("tos.rtd",,"OPEN_INT","."&amp;$AB$3&amp;$AB$4&amp;"P"&amp;AU$4)="N/A",0,RTD("tos.rtd",,"OPEN_INT","."&amp;$AB$3&amp;$AB$4&amp;"P"&amp;AU$4))*100</f>
        <v>701000</v>
      </c>
      <c r="AV13" s="18">
        <f>MAX(0, $A13-AV$4)*IF(RTD("tos.rtd",,"OPEN_INT","."&amp;$AB$3&amp;$AB$4&amp;"C"&amp;AV$4)="N/A",0,RTD("tos.rtd",,"OPEN_INT","."&amp;$AB$3&amp;$AB$4&amp;"C"&amp;AV$4))*100 + MAX(0, AV$4-$A13)*IF(RTD("tos.rtd",,"OPEN_INT","."&amp;$AB$3&amp;$AB$4&amp;"P"&amp;AV$4)="N/A",0,RTD("tos.rtd",,"OPEN_INT","."&amp;$AB$3&amp;$AB$4&amp;"P"&amp;AV$4))*100</f>
        <v>925650</v>
      </c>
      <c r="AW13" s="18">
        <f>MAX(0, $A13-AW$4)*IF(RTD("tos.rtd",,"OPEN_INT","."&amp;$AB$3&amp;$AB$4&amp;"C"&amp;AW$4)="N/A",0,RTD("tos.rtd",,"OPEN_INT","."&amp;$AB$3&amp;$AB$4&amp;"C"&amp;AW$4))*100 + MAX(0, AW$4-$A13)*IF(RTD("tos.rtd",,"OPEN_INT","."&amp;$AB$3&amp;$AB$4&amp;"P"&amp;AW$4)="N/A",0,RTD("tos.rtd",,"OPEN_INT","."&amp;$AB$3&amp;$AB$4&amp;"P"&amp;AW$4))*100</f>
        <v>1132800</v>
      </c>
      <c r="AX13" s="18">
        <f>MAX(0, $A13-AX$4)*IF(RTD("tos.rtd",,"OPEN_INT","."&amp;$AB$3&amp;$AB$4&amp;"C"&amp;AX$4)="N/A",0,RTD("tos.rtd",,"OPEN_INT","."&amp;$AB$3&amp;$AB$4&amp;"C"&amp;AX$4))*100 + MAX(0, AX$4-$A13)*IF(RTD("tos.rtd",,"OPEN_INT","."&amp;$AB$3&amp;$AB$4&amp;"P"&amp;AX$4)="N/A",0,RTD("tos.rtd",,"OPEN_INT","."&amp;$AB$3&amp;$AB$4&amp;"P"&amp;AX$4))*100</f>
        <v>1998750</v>
      </c>
      <c r="AY13" s="18">
        <f>MAX(0, $A13-AY$4)*IF(RTD("tos.rtd",,"OPEN_INT","."&amp;$AB$3&amp;$AB$4&amp;"C"&amp;AY$4)="N/A",0,RTD("tos.rtd",,"OPEN_INT","."&amp;$AB$3&amp;$AB$4&amp;"C"&amp;AY$4))*100 + MAX(0, AY$4-$A13)*IF(RTD("tos.rtd",,"OPEN_INT","."&amp;$AB$3&amp;$AB$4&amp;"P"&amp;AY$4)="N/A",0,RTD("tos.rtd",,"OPEN_INT","."&amp;$AB$3&amp;$AB$4&amp;"P"&amp;AY$4))*100</f>
        <v>2977100</v>
      </c>
      <c r="AZ13" s="18">
        <f>MAX(0, $A13-AZ$4)*IF(RTD("tos.rtd",,"OPEN_INT","."&amp;$AB$3&amp;$AB$4&amp;"C"&amp;AZ$4)="N/A",0,RTD("tos.rtd",,"OPEN_INT","."&amp;$AB$3&amp;$AB$4&amp;"C"&amp;AZ$4))*100 + MAX(0, AZ$4-$A13)*IF(RTD("tos.rtd",,"OPEN_INT","."&amp;$AB$3&amp;$AB$4&amp;"P"&amp;AZ$4)="N/A",0,RTD("tos.rtd",,"OPEN_INT","."&amp;$AB$3&amp;$AB$4&amp;"P"&amp;AZ$4))*100</f>
        <v>14661000</v>
      </c>
      <c r="BA13" s="18">
        <f>MAX(0, $A13-BA$4)*IF(RTD("tos.rtd",,"OPEN_INT","."&amp;$AB$3&amp;$AB$4&amp;"C"&amp;BA$4)="N/A",0,RTD("tos.rtd",,"OPEN_INT","."&amp;$AB$3&amp;$AB$4&amp;"C"&amp;BA$4))*100 + MAX(0, BA$4-$A13)*IF(RTD("tos.rtd",,"OPEN_INT","."&amp;$AB$3&amp;$AB$4&amp;"P"&amp;BA$4)="N/A",0,RTD("tos.rtd",,"OPEN_INT","."&amp;$AB$3&amp;$AB$4&amp;"P"&amp;BA$4))*100</f>
        <v>7880000</v>
      </c>
      <c r="BB13" s="18">
        <f>MAX(0, $A13-BB$4)*IF(RTD("tos.rtd",,"OPEN_INT","."&amp;$AB$3&amp;$AB$4&amp;"C"&amp;BB$4)="N/A",0,RTD("tos.rtd",,"OPEN_INT","."&amp;$AB$3&amp;$AB$4&amp;"C"&amp;BB$4))*100 + MAX(0, BB$4-$A13)*IF(RTD("tos.rtd",,"OPEN_INT","."&amp;$AB$3&amp;$AB$4&amp;"P"&amp;BB$4)="N/A",0,RTD("tos.rtd",,"OPEN_INT","."&amp;$AB$3&amp;$AB$4&amp;"P"&amp;BB$4))*100</f>
        <v>26185950</v>
      </c>
      <c r="BC13" s="18">
        <f>MAX(0, $A13-BC$4)*IF(RTD("tos.rtd",,"OPEN_INT","."&amp;$AB$3&amp;$AB$4&amp;"C"&amp;BC$4)="N/A",0,RTD("tos.rtd",,"OPEN_INT","."&amp;$AB$3&amp;$AB$4&amp;"C"&amp;BC$4))*100 + MAX(0, BC$4-$A13)*IF(RTD("tos.rtd",,"OPEN_INT","."&amp;$AB$3&amp;$AB$4&amp;"P"&amp;BC$4)="N/A",0,RTD("tos.rtd",,"OPEN_INT","."&amp;$AB$3&amp;$AB$4&amp;"P"&amp;BC$4))*100</f>
        <v>25792200</v>
      </c>
      <c r="BD13" s="18">
        <f>MAX(0, $A13-BD$4)*IF(RTD("tos.rtd",,"OPEN_INT","."&amp;$AB$3&amp;$AB$4&amp;"C"&amp;BD$4)="N/A",0,RTD("tos.rtd",,"OPEN_INT","."&amp;$AB$3&amp;$AB$4&amp;"C"&amp;BD$4))*100 + MAX(0, BD$4-$A13)*IF(RTD("tos.rtd",,"OPEN_INT","."&amp;$AB$3&amp;$AB$4&amp;"P"&amp;BD$4)="N/A",0,RTD("tos.rtd",,"OPEN_INT","."&amp;$AB$3&amp;$AB$4&amp;"P"&amp;BD$4))*100</f>
        <v>38677350</v>
      </c>
      <c r="BE13" s="18">
        <f>MAX(0, $A13-BE$4)*IF(RTD("tos.rtd",,"OPEN_INT","."&amp;$AB$3&amp;$AB$4&amp;"C"&amp;BE$4)="N/A",0,RTD("tos.rtd",,"OPEN_INT","."&amp;$AB$3&amp;$AB$4&amp;"C"&amp;BE$4))*100 + MAX(0, BE$4-$A13)*IF(RTD("tos.rtd",,"OPEN_INT","."&amp;$AB$3&amp;$AB$4&amp;"P"&amp;BE$4)="N/A",0,RTD("tos.rtd",,"OPEN_INT","."&amp;$AB$3&amp;$AB$4&amp;"P"&amp;BE$4))*100</f>
        <v>18560000</v>
      </c>
      <c r="BF13" s="18">
        <f>MAX(0, $A13-BF$4)*IF(RTD("tos.rtd",,"OPEN_INT","."&amp;$AB$3&amp;$AB$4&amp;"C"&amp;BF$4)="N/A",0,RTD("tos.rtd",,"OPEN_INT","."&amp;$AB$3&amp;$AB$4&amp;"C"&amp;BF$4))*100 + MAX(0, BF$4-$A13)*IF(RTD("tos.rtd",,"OPEN_INT","."&amp;$AB$3&amp;$AB$4&amp;"P"&amp;BF$4)="N/A",0,RTD("tos.rtd",,"OPEN_INT","."&amp;$AB$3&amp;$AB$4&amp;"P"&amp;BF$4))*100</f>
        <v>18141900</v>
      </c>
      <c r="BG13" s="18">
        <f>MAX(0, $A13-BG$4)*IF(RTD("tos.rtd",,"OPEN_INT","."&amp;$AB$3&amp;$AB$4&amp;"C"&amp;BG$4)="N/A",0,RTD("tos.rtd",,"OPEN_INT","."&amp;$AB$3&amp;$AB$4&amp;"C"&amp;BG$4))*100 + MAX(0, BG$4-$A13)*IF(RTD("tos.rtd",,"OPEN_INT","."&amp;$AB$3&amp;$AB$4&amp;"P"&amp;BG$4)="N/A",0,RTD("tos.rtd",,"OPEN_INT","."&amp;$AB$3&amp;$AB$4&amp;"P"&amp;BG$4))*100</f>
        <v>9247700</v>
      </c>
      <c r="BH13" s="18">
        <f>MAX(0, $A13-BH$4)*IF(RTD("tos.rtd",,"OPEN_INT","."&amp;$AB$3&amp;$AB$4&amp;"C"&amp;BH$4)="N/A",0,RTD("tos.rtd",,"OPEN_INT","."&amp;$AB$3&amp;$AB$4&amp;"C"&amp;BH$4))*100 + MAX(0, BH$4-$A13)*IF(RTD("tos.rtd",,"OPEN_INT","."&amp;$AB$3&amp;$AB$4&amp;"P"&amp;BH$4)="N/A",0,RTD("tos.rtd",,"OPEN_INT","."&amp;$AB$3&amp;$AB$4&amp;"P"&amp;BH$4))*100</f>
        <v>6594100</v>
      </c>
      <c r="BI13" s="18">
        <f>MAX(0, $A13-BI$4)*IF(RTD("tos.rtd",,"OPEN_INT","."&amp;$AB$3&amp;$AB$4&amp;"C"&amp;BI$4)="N/A",0,RTD("tos.rtd",,"OPEN_INT","."&amp;$AB$3&amp;$AB$4&amp;"C"&amp;BI$4))*100 + MAX(0, BI$4-$A13)*IF(RTD("tos.rtd",,"OPEN_INT","."&amp;$AB$3&amp;$AB$4&amp;"P"&amp;BI$4)="N/A",0,RTD("tos.rtd",,"OPEN_INT","."&amp;$AB$3&amp;$AB$4&amp;"P"&amp;BI$4))*100</f>
        <v>2331600</v>
      </c>
      <c r="BJ13" s="18">
        <f>MAX(0, $A13-BJ$4)*IF(RTD("tos.rtd",,"OPEN_INT","."&amp;$AB$3&amp;$AB$4&amp;"C"&amp;BJ$4)="N/A",0,RTD("tos.rtd",,"OPEN_INT","."&amp;$AB$3&amp;$AB$4&amp;"C"&amp;BJ$4))*100 + MAX(0, BJ$4-$A13)*IF(RTD("tos.rtd",,"OPEN_INT","."&amp;$AB$3&amp;$AB$4&amp;"P"&amp;BJ$4)="N/A",0,RTD("tos.rtd",,"OPEN_INT","."&amp;$AB$3&amp;$AB$4&amp;"P"&amp;BJ$4))*100</f>
        <v>1052500</v>
      </c>
      <c r="BK13" s="18">
        <f>MAX(0, $A13-BK$4)*IF(RTD("tos.rtd",,"OPEN_INT","."&amp;$AB$3&amp;$AB$4&amp;"C"&amp;BK$4)="N/A",0,RTD("tos.rtd",,"OPEN_INT","."&amp;$AB$3&amp;$AB$4&amp;"C"&amp;BK$4))*100 + MAX(0, BK$4-$A13)*IF(RTD("tos.rtd",,"OPEN_INT","."&amp;$AB$3&amp;$AB$4&amp;"P"&amp;BK$4)="N/A",0,RTD("tos.rtd",,"OPEN_INT","."&amp;$AB$3&amp;$AB$4&amp;"P"&amp;BK$4))*100</f>
        <v>196300</v>
      </c>
      <c r="BL13" s="18">
        <f>MAX(0, $A13-BL$4)*IF(RTD("tos.rtd",,"OPEN_INT","."&amp;$AB$3&amp;$AB$4&amp;"C"&amp;BL$4)="N/A",0,RTD("tos.rtd",,"OPEN_INT","."&amp;$AB$3&amp;$AB$4&amp;"C"&amp;BL$4))*100 + MAX(0, BL$4-$A13)*IF(RTD("tos.rtd",,"OPEN_INT","."&amp;$AB$3&amp;$AB$4&amp;"P"&amp;BL$4)="N/A",0,RTD("tos.rtd",,"OPEN_INT","."&amp;$AB$3&amp;$AB$4&amp;"P"&amp;BL$4))*100</f>
        <v>352350</v>
      </c>
      <c r="BM13" s="18">
        <f>MAX(0, $A13-BM$4)*IF(RTD("tos.rtd",,"OPEN_INT","."&amp;$AB$3&amp;$AB$4&amp;"C"&amp;BM$4)="N/A",0,RTD("tos.rtd",,"OPEN_INT","."&amp;$AB$3&amp;$AB$4&amp;"C"&amp;BM$4))*100 + MAX(0, BM$4-$A13)*IF(RTD("tos.rtd",,"OPEN_INT","."&amp;$AB$3&amp;$AB$4&amp;"P"&amp;BM$4)="N/A",0,RTD("tos.rtd",,"OPEN_INT","."&amp;$AB$3&amp;$AB$4&amp;"P"&amp;BM$4))*100</f>
        <v>22400</v>
      </c>
      <c r="BN13" s="18">
        <f>MAX(0, $A13-BN$4)*IF(RTD("tos.rtd",,"OPEN_INT","."&amp;$AB$3&amp;$AB$4&amp;"C"&amp;BN$4)="N/A",0,RTD("tos.rtd",,"OPEN_INT","."&amp;$AB$3&amp;$AB$4&amp;"C"&amp;BN$4))*100 + MAX(0, BN$4-$A13)*IF(RTD("tos.rtd",,"OPEN_INT","."&amp;$AB$3&amp;$AB$4&amp;"P"&amp;BN$4)="N/A",0,RTD("tos.rtd",,"OPEN_INT","."&amp;$AB$3&amp;$AB$4&amp;"P"&amp;BN$4))*100</f>
        <v>11600</v>
      </c>
      <c r="BO13" s="18">
        <f>MAX(0, $A13-BO$4)*IF(RTD("tos.rtd",,"OPEN_INT","."&amp;$AB$3&amp;$AB$4&amp;"C"&amp;BO$4)="N/A",0,RTD("tos.rtd",,"OPEN_INT","."&amp;$AB$3&amp;$AB$4&amp;"C"&amp;BO$4))*100 + MAX(0, BO$4-$A13)*IF(RTD("tos.rtd",,"OPEN_INT","."&amp;$AB$3&amp;$AB$4&amp;"P"&amp;BO$4)="N/A",0,RTD("tos.rtd",,"OPEN_INT","."&amp;$AB$3&amp;$AB$4&amp;"P"&amp;BO$4))*100</f>
        <v>46500</v>
      </c>
      <c r="BP13" s="18">
        <f>MAX(0, $A13-BP$4)*IF(RTD("tos.rtd",,"OPEN_INT","."&amp;$AB$3&amp;$AB$4&amp;"C"&amp;BP$4)="N/A",0,RTD("tos.rtd",,"OPEN_INT","."&amp;$AB$3&amp;$AB$4&amp;"C"&amp;BP$4))*100 + MAX(0, BP$4-$A13)*IF(RTD("tos.rtd",,"OPEN_INT","."&amp;$AB$3&amp;$AB$4&amp;"P"&amp;BP$4)="N/A",0,RTD("tos.rtd",,"OPEN_INT","."&amp;$AB$3&amp;$AB$4&amp;"P"&amp;BP$4))*100</f>
        <v>58900</v>
      </c>
      <c r="BQ13" s="18">
        <f>MAX(0, $A13-BQ$4)*IF(RTD("tos.rtd",,"OPEN_INT","."&amp;$AB$3&amp;$AB$4&amp;"C"&amp;BQ$4)="N/A",0,RTD("tos.rtd",,"OPEN_INT","."&amp;$AB$3&amp;$AB$4&amp;"C"&amp;BQ$4))*100 + MAX(0, BQ$4-$A13)*IF(RTD("tos.rtd",,"OPEN_INT","."&amp;$AB$3&amp;$AB$4&amp;"P"&amp;BQ$4)="N/A",0,RTD("tos.rtd",,"OPEN_INT","."&amp;$AB$3&amp;$AB$4&amp;"P"&amp;BQ$4))*100</f>
        <v>0</v>
      </c>
      <c r="BR13" s="18">
        <f>MAX(0, $A13-BR$4)*IF(RTD("tos.rtd",,"OPEN_INT","."&amp;$AB$3&amp;$AB$4&amp;"C"&amp;BR$4)="N/A",0,RTD("tos.rtd",,"OPEN_INT","."&amp;$AB$3&amp;$AB$4&amp;"C"&amp;BR$4))*100 + MAX(0, BR$4-$A13)*IF(RTD("tos.rtd",,"OPEN_INT","."&amp;$AB$3&amp;$AB$4&amp;"P"&amp;BR$4)="N/A",0,RTD("tos.rtd",,"OPEN_INT","."&amp;$AB$3&amp;$AB$4&amp;"P"&amp;BR$4))*100</f>
        <v>0</v>
      </c>
      <c r="BS13" s="18">
        <f>MAX(0, $A13-BS$4)*IF(RTD("tos.rtd",,"OPEN_INT","."&amp;$AB$3&amp;$AB$4&amp;"C"&amp;BS$4)="N/A",0,RTD("tos.rtd",,"OPEN_INT","."&amp;$AB$3&amp;$AB$4&amp;"C"&amp;BS$4))*100 + MAX(0, BS$4-$A13)*IF(RTD("tos.rtd",,"OPEN_INT","."&amp;$AB$3&amp;$AB$4&amp;"P"&amp;BS$4)="N/A",0,RTD("tos.rtd",,"OPEN_INT","."&amp;$AB$3&amp;$AB$4&amp;"P"&amp;BS$4))*100</f>
        <v>0</v>
      </c>
      <c r="BT13" s="18">
        <f>MAX(0, $A13-BT$4)*IF(RTD("tos.rtd",,"OPEN_INT","."&amp;$AB$3&amp;$AB$4&amp;"C"&amp;BT$4)="N/A",0,RTD("tos.rtd",,"OPEN_INT","."&amp;$AB$3&amp;$AB$4&amp;"C"&amp;BT$4))*100 + MAX(0, BT$4-$A13)*IF(RTD("tos.rtd",,"OPEN_INT","."&amp;$AB$3&amp;$AB$4&amp;"P"&amp;BT$4)="N/A",0,RTD("tos.rtd",,"OPEN_INT","."&amp;$AB$3&amp;$AB$4&amp;"P"&amp;BT$4))*100</f>
        <v>0</v>
      </c>
      <c r="BU13" s="18">
        <f>MAX(0, $A13-BU$4)*IF(RTD("tos.rtd",,"OPEN_INT","."&amp;$AB$3&amp;$AB$4&amp;"C"&amp;BU$4)="N/A",0,RTD("tos.rtd",,"OPEN_INT","."&amp;$AB$3&amp;$AB$4&amp;"C"&amp;BU$4))*100 + MAX(0, BU$4-$A13)*IF(RTD("tos.rtd",,"OPEN_INT","."&amp;$AB$3&amp;$AB$4&amp;"P"&amp;BU$4)="N/A",0,RTD("tos.rtd",,"OPEN_INT","."&amp;$AB$3&amp;$AB$4&amp;"P"&amp;BU$4))*100</f>
        <v>0</v>
      </c>
      <c r="BV13" s="18">
        <f>MAX(0, $A13-BV$4)*IF(RTD("tos.rtd",,"OPEN_INT","."&amp;$AB$3&amp;$AB$4&amp;"C"&amp;BV$4)="N/A",0,RTD("tos.rtd",,"OPEN_INT","."&amp;$AB$3&amp;$AB$4&amp;"C"&amp;BV$4))*100 + MAX(0, BV$4-$A13)*IF(RTD("tos.rtd",,"OPEN_INT","."&amp;$AB$3&amp;$AB$4&amp;"P"&amp;BV$4)="N/A",0,RTD("tos.rtd",,"OPEN_INT","."&amp;$AB$3&amp;$AB$4&amp;"P"&amp;BV$4))*100</f>
        <v>0</v>
      </c>
      <c r="BW13" s="18">
        <f>MAX(0, $A13-BW$4)*IF(RTD("tos.rtd",,"OPEN_INT","."&amp;$AB$3&amp;$AB$4&amp;"C"&amp;BW$4)="N/A",0,RTD("tos.rtd",,"OPEN_INT","."&amp;$AB$3&amp;$AB$4&amp;"C"&amp;BW$4))*100 + MAX(0, BW$4-$A13)*IF(RTD("tos.rtd",,"OPEN_INT","."&amp;$AB$3&amp;$AB$4&amp;"P"&amp;BW$4)="N/A",0,RTD("tos.rtd",,"OPEN_INT","."&amp;$AB$3&amp;$AB$4&amp;"P"&amp;BW$4))*100</f>
        <v>0</v>
      </c>
    </row>
    <row r="14" spans="1:75" s="19" customFormat="1" ht="11.1" customHeight="1" thickBot="1" x14ac:dyDescent="0.3">
      <c r="A14" s="23">
        <f t="shared" si="7"/>
        <v>17</v>
      </c>
      <c r="B14" s="14">
        <f ca="1">IF($A$2="PREMIUM_OI",IFERROR(IF($X$1="ABS",(100*RTD("tos.rtd",,"OPEN_INT","."&amp;B$2&amp;B$1&amp;"C"&amp;$A14)*RTD("tos.rtd",,"LAST","."&amp;B$2&amp;B$1&amp;"C"&amp;$A14)+100*RTD("tos.rtd",,"OPEN_INT","."&amp;B$2&amp;B$1&amp;"P"&amp;$A14)*RTD("tos.rtd",,"LAST","."&amp;B$2&amp;B$1&amp;"P"&amp;$A14))/1000000,(100*RTD("tos.rtd",,"OPEN_INT","."&amp;B$2&amp;B$1&amp;"C"&amp;$A14)*RTD("tos.rtd",,"LAST","."&amp;B$2&amp;B$1&amp;"C"&amp;$A14)-100*RTD("tos.rtd",,"OPEN_INT","."&amp;B$2&amp;B$1&amp;"P"&amp;$A14)*RTD("tos.rtd",,"LAST","."&amp;B$2&amp;B$1&amp;"P"&amp;$A14))/1000000),0),IF($A$2="PREMIUM",IFERROR(IF($X$1="ABS",(100*RTD("tos.rtd",,"VOLUME","."&amp;B$2&amp;B$1&amp;"C"&amp;$A14)*RTD("tos.rtd",,"LAST","."&amp;B$2&amp;B$1&amp;"C"&amp;$A14)+100*RTD("tos.rtd",,"VOLUME","."&amp;B$2&amp;B$1&amp;"P"&amp;$A14)*RTD("tos.rtd",,"LAST","."&amp;B$2&amp;B$1&amp;"P"&amp;$A14))/1000000,(100*RTD("tos.rtd",,"VOLUME","."&amp;B$2&amp;B$1&amp;"C"&amp;$A14)*RTD("tos.rtd",,"LAST","."&amp;B$2&amp;B$1&amp;"C"&amp;$A14)-100*RTD("tos.rtd",,"VOLUME","."&amp;B$2&amp;B$1&amp;"P"&amp;$A14)*RTD("tos.rtd",,"LAST","."&amp;B$2&amp;B$1&amp;"P"&amp;$A14))/1000000),0),IF($A$2="DEX",IFERROR(IF($X$1="ABS",(100*RTD("tos.rtd",,"OPEN_INT","."&amp;B$2&amp;B$1&amp;"C"&amp;$A14)*RTD("tos.rtd",,"DELTA","."&amp;B$2&amp;B$1&amp;"C"&amp;$A14)+100*RTD("tos.rtd",,"OPEN_INT","."&amp;B$2&amp;B$1&amp;"P"&amp;$A14)*RTD("tos.rtd",,"DELTA","."&amp;B$2&amp;B$1&amp;"P"&amp;$A14))/1000,(100*RTD("tos.rtd",,"OPEN_INT","."&amp;B$2&amp;B$1&amp;"C"&amp;$A14)*RTD("tos.rtd",,"DELTA","."&amp;B$2&amp;B$1&amp;"C"&amp;$A14)-100*RTD("tos.rtd",,"OPEN_INT","."&amp;B$2&amp;B$1&amp;"P"&amp;$A14)*RTD("tos.rtd",,"DELTA","."&amp;B$2&amp;B$1&amp;"P"&amp;$A14))/1000),0),IF($A$2="VEX",IFERROR(IF($X$1="ABS",($A$4*$A$4*RTD("tos.rtd",,"VOLUME","."&amp;B$2&amp;B$1&amp;"C"&amp;$A14)*RTD("tos.rtd",,"GAMMA","."&amp;B$2&amp;B$1&amp;"C"&amp;$A14)+$A$4*$A$4*RTD("tos.rtd",,"VOLUME","."&amp;B$2&amp;B$1&amp;"P"&amp;$A14)*RTD("tos.rtd",,"GAMMA","."&amp;B$2&amp;B$1&amp;"P"&amp;$A14))/1000000,($A$4*$A$4*RTD("tos.rtd",,"VOLUME","."&amp;B$2&amp;B$1&amp;"C"&amp;$A14)*RTD("tos.rtd",,"GAMMA","."&amp;B$2&amp;B$1&amp;"C"&amp;$A14)-$A$4*$A$4*RTD("tos.rtd",,"VOLUME","."&amp;B$2&amp;B$1&amp;"P"&amp;$A14)*RTD("tos.rtd",,"GAMMA","."&amp;B$2&amp;B$1&amp;"P"&amp;$A14))/1000000),0),IF($A$2="GEX",IFERROR(IF($X$1="ABS",($A$4*$A$4*RTD("tos.rtd",,"OPEN_INT","."&amp;B$2&amp;B$1&amp;"C"&amp;$A14)*RTD("tos.rtd",,"GAMMA","."&amp;B$2&amp;B$1&amp;"C"&amp;$A14)+$A$4*$A$4*RTD("tos.rtd",,"OPEN_INT","."&amp;B$2&amp;B$1&amp;"P"&amp;$A14)*RTD("tos.rtd",,"GAMMA","."&amp;B$2&amp;B$1&amp;"P"&amp;$A14))/1000000,($A$4*$A$4*RTD("tos.rtd",,"OPEN_INT","."&amp;B$2&amp;B$1&amp;"C"&amp;$A14)*RTD("tos.rtd",,"GAMMA","."&amp;B$2&amp;B$1&amp;"C"&amp;$A14)-$A$4*$A$4*RTD("tos.rtd",,"OPEN_INT","."&amp;B$2&amp;B$1&amp;"P"&amp;$A14)*RTD("tos.rtd",,"GAMMA","."&amp;B$2&amp;B$1&amp;"P"&amp;$A14))/1000000),0),IF($A$2="SKEW",IFERROR(VALUE(IF(RTD("tos.rtd",,"IMPL_VOL","."&amp;B$2&amp;B$1&amp;"P"&amp;$A14)="N/A",0,RTD("tos.rtd",,"IMPL_VOL","."&amp;B$2&amp;B$1&amp;"P"&amp;$A14))),0)-IFERROR(VALUE(IF(RTD("tos.rtd",,"IMPL_VOL","."&amp;B$2&amp;B$1&amp;"C"&amp;$A14)="N/A",0,RTD("tos.rtd",,"IMPL_VOL","."&amp;B$2&amp;B$1&amp;"C"&amp;$A14))),0),IF($A$2="MAXPAIN",IF($A$4&gt;$A14,($A$4-$A14)*IF(RTD("tos.rtd",,"OPEN_INT","."&amp;B$2&amp;B$1&amp;"C"&amp;$A14)="N/A",0,RTD("tos.rtd",,"OPEN_INT","."&amp;B$2&amp;B$1&amp;"C"&amp;$A14)),0)+IF($A$4&lt;$A14,($A$5-$A$4)*IF(RTD("tos.rtd",,"OPEN_INT","."&amp;B$2&amp;B$1&amp;"P"&amp;$A14)="N/A",0,RTD("tos.rtd",,"OPEN_INT","."&amp;B$2&amp;B$1&amp;"P"&amp;$A14)),0),IF($X$1="ABS",IF(RTD("tos.rtd",,$A$2,"."&amp;B$2&amp;B$1&amp;"C"&amp;$A14)="N/A",0,RTD("tos.rtd",,$A$2,"."&amp;B$2&amp;B$1&amp;"C"&amp;$A14))+IF(RTD("tos.rtd",,$A$2,"."&amp;B$2&amp;B$1&amp;"P"&amp;$A14)="N/A",0,RTD("tos.rtd",,$A$2,"."&amp;B$2&amp;B$1&amp;"P"&amp;$A14)),IF(RTD("tos.rtd",,$A$2,"."&amp;B$2&amp;B$1&amp;"C"&amp;$A14)="N/A",0,RTD("tos.rtd",,$A$2,"."&amp;B$2&amp;B$1&amp;"C"&amp;$A14))-IF(RTD("tos.rtd",,$A$2,"."&amp;B$2&amp;B$1&amp;"P"&amp;$A14)="N/A",0,RTD("tos.rtd",,$A$2,"."&amp;B$2&amp;B$1&amp;"P"&amp;$A14))))))))))</f>
        <v>0</v>
      </c>
      <c r="C14" s="14">
        <f ca="1">IF($A$2="PREMIUM_OI",IFERROR(IF($X$1="ABS",(100*RTD("tos.rtd",,"OPEN_INT","."&amp;C$2&amp;C$1&amp;"C"&amp;$A14)*RTD("tos.rtd",,"LAST","."&amp;C$2&amp;C$1&amp;"C"&amp;$A14)+100*RTD("tos.rtd",,"OPEN_INT","."&amp;C$2&amp;C$1&amp;"P"&amp;$A14)*RTD("tos.rtd",,"LAST","."&amp;C$2&amp;C$1&amp;"P"&amp;$A14))/1000000,(100*RTD("tos.rtd",,"OPEN_INT","."&amp;C$2&amp;C$1&amp;"C"&amp;$A14)*RTD("tos.rtd",,"LAST","."&amp;C$2&amp;C$1&amp;"C"&amp;$A14)-100*RTD("tos.rtd",,"OPEN_INT","."&amp;C$2&amp;C$1&amp;"P"&amp;$A14)*RTD("tos.rtd",,"LAST","."&amp;C$2&amp;C$1&amp;"P"&amp;$A14))/1000000),0),IF($A$2="PREMIUM",IFERROR(IF($X$1="ABS",(100*RTD("tos.rtd",,"VOLUME","."&amp;C$2&amp;C$1&amp;"C"&amp;$A14)*RTD("tos.rtd",,"LAST","."&amp;C$2&amp;C$1&amp;"C"&amp;$A14)+100*RTD("tos.rtd",,"VOLUME","."&amp;C$2&amp;C$1&amp;"P"&amp;$A14)*RTD("tos.rtd",,"LAST","."&amp;C$2&amp;C$1&amp;"P"&amp;$A14))/1000000,(100*RTD("tos.rtd",,"VOLUME","."&amp;C$2&amp;C$1&amp;"C"&amp;$A14)*RTD("tos.rtd",,"LAST","."&amp;C$2&amp;C$1&amp;"C"&amp;$A14)-100*RTD("tos.rtd",,"VOLUME","."&amp;C$2&amp;C$1&amp;"P"&amp;$A14)*RTD("tos.rtd",,"LAST","."&amp;C$2&amp;C$1&amp;"P"&amp;$A14))/1000000),0),IF($A$2="DEX",IFERROR(IF($X$1="ABS",(100*RTD("tos.rtd",,"OPEN_INT","."&amp;C$2&amp;C$1&amp;"C"&amp;$A14)*RTD("tos.rtd",,"DELTA","."&amp;C$2&amp;C$1&amp;"C"&amp;$A14)+100*RTD("tos.rtd",,"OPEN_INT","."&amp;C$2&amp;C$1&amp;"P"&amp;$A14)*RTD("tos.rtd",,"DELTA","."&amp;C$2&amp;C$1&amp;"P"&amp;$A14))/1000,(100*RTD("tos.rtd",,"OPEN_INT","."&amp;C$2&amp;C$1&amp;"C"&amp;$A14)*RTD("tos.rtd",,"DELTA","."&amp;C$2&amp;C$1&amp;"C"&amp;$A14)-100*RTD("tos.rtd",,"OPEN_INT","."&amp;C$2&amp;C$1&amp;"P"&amp;$A14)*RTD("tos.rtd",,"DELTA","."&amp;C$2&amp;C$1&amp;"P"&amp;$A14))/1000),0),IF($A$2="VEX",IFERROR(IF($X$1="ABS",($A$4*$A$4*RTD("tos.rtd",,"VOLUME","."&amp;C$2&amp;C$1&amp;"C"&amp;$A14)*RTD("tos.rtd",,"GAMMA","."&amp;C$2&amp;C$1&amp;"C"&amp;$A14)+$A$4*$A$4*RTD("tos.rtd",,"VOLUME","."&amp;C$2&amp;C$1&amp;"P"&amp;$A14)*RTD("tos.rtd",,"GAMMA","."&amp;C$2&amp;C$1&amp;"P"&amp;$A14))/1000000,($A$4*$A$4*RTD("tos.rtd",,"VOLUME","."&amp;C$2&amp;C$1&amp;"C"&amp;$A14)*RTD("tos.rtd",,"GAMMA","."&amp;C$2&amp;C$1&amp;"C"&amp;$A14)-$A$4*$A$4*RTD("tos.rtd",,"VOLUME","."&amp;C$2&amp;C$1&amp;"P"&amp;$A14)*RTD("tos.rtd",,"GAMMA","."&amp;C$2&amp;C$1&amp;"P"&amp;$A14))/1000000),0),IF($A$2="GEX",IFERROR(IF($X$1="ABS",($A$4*$A$4*RTD("tos.rtd",,"OPEN_INT","."&amp;C$2&amp;C$1&amp;"C"&amp;$A14)*RTD("tos.rtd",,"GAMMA","."&amp;C$2&amp;C$1&amp;"C"&amp;$A14)+$A$4*$A$4*RTD("tos.rtd",,"OPEN_INT","."&amp;C$2&amp;C$1&amp;"P"&amp;$A14)*RTD("tos.rtd",,"GAMMA","."&amp;C$2&amp;C$1&amp;"P"&amp;$A14))/1000000,($A$4*$A$4*RTD("tos.rtd",,"OPEN_INT","."&amp;C$2&amp;C$1&amp;"C"&amp;$A14)*RTD("tos.rtd",,"GAMMA","."&amp;C$2&amp;C$1&amp;"C"&amp;$A14)-$A$4*$A$4*RTD("tos.rtd",,"OPEN_INT","."&amp;C$2&amp;C$1&amp;"P"&amp;$A14)*RTD("tos.rtd",,"GAMMA","."&amp;C$2&amp;C$1&amp;"P"&amp;$A14))/1000000),0),IF($A$2="SKEW",IFERROR(VALUE(IF(RTD("tos.rtd",,"IMPL_VOL","."&amp;C$2&amp;C$1&amp;"P"&amp;$A14)="N/A",0,RTD("tos.rtd",,"IMPL_VOL","."&amp;C$2&amp;C$1&amp;"P"&amp;$A14))),0)-IFERROR(VALUE(IF(RTD("tos.rtd",,"IMPL_VOL","."&amp;C$2&amp;C$1&amp;"C"&amp;$A14)="N/A",0,RTD("tos.rtd",,"IMPL_VOL","."&amp;C$2&amp;C$1&amp;"C"&amp;$A14))),0),IF($A$2="MAXPAIN",IF($A$4&gt;$A14,($A$4-$A14)*IF(RTD("tos.rtd",,"OPEN_INT","."&amp;C$2&amp;C$1&amp;"C"&amp;$A14)="N/A",0,RTD("tos.rtd",,"OPEN_INT","."&amp;C$2&amp;C$1&amp;"C"&amp;$A14)),0)+IF($A$4&lt;$A14,($A$5-$A$4)*IF(RTD("tos.rtd",,"OPEN_INT","."&amp;C$2&amp;C$1&amp;"P"&amp;$A14)="N/A",0,RTD("tos.rtd",,"OPEN_INT","."&amp;C$2&amp;C$1&amp;"P"&amp;$A14)),0),IF($X$1="ABS",IF(RTD("tos.rtd",,$A$2,"."&amp;C$2&amp;C$1&amp;"C"&amp;$A14)="N/A",0,RTD("tos.rtd",,$A$2,"."&amp;C$2&amp;C$1&amp;"C"&amp;$A14))+IF(RTD("tos.rtd",,$A$2,"."&amp;C$2&amp;C$1&amp;"P"&amp;$A14)="N/A",0,RTD("tos.rtd",,$A$2,"."&amp;C$2&amp;C$1&amp;"P"&amp;$A14)),IF(RTD("tos.rtd",,$A$2,"."&amp;C$2&amp;C$1&amp;"C"&amp;$A14)="N/A",0,RTD("tos.rtd",,$A$2,"."&amp;C$2&amp;C$1&amp;"C"&amp;$A14))-IF(RTD("tos.rtd",,$A$2,"."&amp;C$2&amp;C$1&amp;"P"&amp;$A14)="N/A",0,RTD("tos.rtd",,$A$2,"."&amp;C$2&amp;C$1&amp;"P"&amp;$A14))))))))))</f>
        <v>0</v>
      </c>
      <c r="D14" s="12">
        <f ca="1">IF($A$2="PREMIUM_OI",IFERROR(IF($X$1="ABS",(100*RTD("tos.rtd",,"OPEN_INT","."&amp;D$2&amp;D$1&amp;"C"&amp;$A14)*RTD("tos.rtd",,"LAST","."&amp;D$2&amp;D$1&amp;"C"&amp;$A14)+100*RTD("tos.rtd",,"OPEN_INT","."&amp;D$2&amp;D$1&amp;"P"&amp;$A14)*RTD("tos.rtd",,"LAST","."&amp;D$2&amp;D$1&amp;"P"&amp;$A14))/1000000,(100*RTD("tos.rtd",,"OPEN_INT","."&amp;D$2&amp;D$1&amp;"C"&amp;$A14)*RTD("tos.rtd",,"LAST","."&amp;D$2&amp;D$1&amp;"C"&amp;$A14)-100*RTD("tos.rtd",,"OPEN_INT","."&amp;D$2&amp;D$1&amp;"P"&amp;$A14)*RTD("tos.rtd",,"LAST","."&amp;D$2&amp;D$1&amp;"P"&amp;$A14))/1000000),0),IF($A$2="PREMIUM",IFERROR(IF($X$1="ABS",(100*RTD("tos.rtd",,"VOLUME","."&amp;D$2&amp;D$1&amp;"C"&amp;$A14)*RTD("tos.rtd",,"LAST","."&amp;D$2&amp;D$1&amp;"C"&amp;$A14)+100*RTD("tos.rtd",,"VOLUME","."&amp;D$2&amp;D$1&amp;"P"&amp;$A14)*RTD("tos.rtd",,"LAST","."&amp;D$2&amp;D$1&amp;"P"&amp;$A14))/1000000,(100*RTD("tos.rtd",,"VOLUME","."&amp;D$2&amp;D$1&amp;"C"&amp;$A14)*RTD("tos.rtd",,"LAST","."&amp;D$2&amp;D$1&amp;"C"&amp;$A14)-100*RTD("tos.rtd",,"VOLUME","."&amp;D$2&amp;D$1&amp;"P"&amp;$A14)*RTD("tos.rtd",,"LAST","."&amp;D$2&amp;D$1&amp;"P"&amp;$A14))/1000000),0),IF($A$2="DEX",IFERROR(IF($X$1="ABS",(100*RTD("tos.rtd",,"OPEN_INT","."&amp;D$2&amp;D$1&amp;"C"&amp;$A14)*RTD("tos.rtd",,"DELTA","."&amp;D$2&amp;D$1&amp;"C"&amp;$A14)+100*RTD("tos.rtd",,"OPEN_INT","."&amp;D$2&amp;D$1&amp;"P"&amp;$A14)*RTD("tos.rtd",,"DELTA","."&amp;D$2&amp;D$1&amp;"P"&amp;$A14))/1000,(100*RTD("tos.rtd",,"OPEN_INT","."&amp;D$2&amp;D$1&amp;"C"&amp;$A14)*RTD("tos.rtd",,"DELTA","."&amp;D$2&amp;D$1&amp;"C"&amp;$A14)-100*RTD("tos.rtd",,"OPEN_INT","."&amp;D$2&amp;D$1&amp;"P"&amp;$A14)*RTD("tos.rtd",,"DELTA","."&amp;D$2&amp;D$1&amp;"P"&amp;$A14))/1000),0),IF($A$2="VEX",IFERROR(IF($X$1="ABS",($A$4*$A$4*RTD("tos.rtd",,"VOLUME","."&amp;D$2&amp;D$1&amp;"C"&amp;$A14)*RTD("tos.rtd",,"GAMMA","."&amp;D$2&amp;D$1&amp;"C"&amp;$A14)+$A$4*$A$4*RTD("tos.rtd",,"VOLUME","."&amp;D$2&amp;D$1&amp;"P"&amp;$A14)*RTD("tos.rtd",,"GAMMA","."&amp;D$2&amp;D$1&amp;"P"&amp;$A14))/1000000,($A$4*$A$4*RTD("tos.rtd",,"VOLUME","."&amp;D$2&amp;D$1&amp;"C"&amp;$A14)*RTD("tos.rtd",,"GAMMA","."&amp;D$2&amp;D$1&amp;"C"&amp;$A14)-$A$4*$A$4*RTD("tos.rtd",,"VOLUME","."&amp;D$2&amp;D$1&amp;"P"&amp;$A14)*RTD("tos.rtd",,"GAMMA","."&amp;D$2&amp;D$1&amp;"P"&amp;$A14))/1000000),0),IF($A$2="GEX",IFERROR(IF($X$1="ABS",($A$4*$A$4*RTD("tos.rtd",,"OPEN_INT","."&amp;D$2&amp;D$1&amp;"C"&amp;$A14)*RTD("tos.rtd",,"GAMMA","."&amp;D$2&amp;D$1&amp;"C"&amp;$A14)+$A$4*$A$4*RTD("tos.rtd",,"OPEN_INT","."&amp;D$2&amp;D$1&amp;"P"&amp;$A14)*RTD("tos.rtd",,"GAMMA","."&amp;D$2&amp;D$1&amp;"P"&amp;$A14))/1000000,($A$4*$A$4*RTD("tos.rtd",,"OPEN_INT","."&amp;D$2&amp;D$1&amp;"C"&amp;$A14)*RTD("tos.rtd",,"GAMMA","."&amp;D$2&amp;D$1&amp;"C"&amp;$A14)-$A$4*$A$4*RTD("tos.rtd",,"OPEN_INT","."&amp;D$2&amp;D$1&amp;"P"&amp;$A14)*RTD("tos.rtd",,"GAMMA","."&amp;D$2&amp;D$1&amp;"P"&amp;$A14))/1000000),0),IF($A$2="SKEW",IFERROR(VALUE(IF(RTD("tos.rtd",,"IMPL_VOL","."&amp;D$2&amp;D$1&amp;"P"&amp;$A14)="N/A",0,RTD("tos.rtd",,"IMPL_VOL","."&amp;D$2&amp;D$1&amp;"P"&amp;$A14))),0)-IFERROR(VALUE(IF(RTD("tos.rtd",,"IMPL_VOL","."&amp;D$2&amp;D$1&amp;"C"&amp;$A14)="N/A",0,RTD("tos.rtd",,"IMPL_VOL","."&amp;D$2&amp;D$1&amp;"C"&amp;$A14))),0),IF($A$2="MAXPAIN",IF($A$4&gt;$A14,($A$4-$A14)*IF(RTD("tos.rtd",,"OPEN_INT","."&amp;D$2&amp;D$1&amp;"C"&amp;$A14)="N/A",0,RTD("tos.rtd",,"OPEN_INT","."&amp;D$2&amp;D$1&amp;"C"&amp;$A14)),0)+IF($A$4&lt;$A14,($A$5-$A$4)*IF(RTD("tos.rtd",,"OPEN_INT","."&amp;D$2&amp;D$1&amp;"P"&amp;$A14)="N/A",0,RTD("tos.rtd",,"OPEN_INT","."&amp;D$2&amp;D$1&amp;"P"&amp;$A14)),0),IF($X$1="ABS",IF(RTD("tos.rtd",,$A$2,"."&amp;D$2&amp;D$1&amp;"C"&amp;$A14)="N/A",0,RTD("tos.rtd",,$A$2,"."&amp;D$2&amp;D$1&amp;"C"&amp;$A14))+IF(RTD("tos.rtd",,$A$2,"."&amp;D$2&amp;D$1&amp;"P"&amp;$A14)="N/A",0,RTD("tos.rtd",,$A$2,"."&amp;D$2&amp;D$1&amp;"P"&amp;$A14)),IF(RTD("tos.rtd",,$A$2,"."&amp;D$2&amp;D$1&amp;"C"&amp;$A14)="N/A",0,RTD("tos.rtd",,$A$2,"."&amp;D$2&amp;D$1&amp;"C"&amp;$A14))-IF(RTD("tos.rtd",,$A$2,"."&amp;D$2&amp;D$1&amp;"P"&amp;$A14)="N/A",0,RTD("tos.rtd",,$A$2,"."&amp;D$2&amp;D$1&amp;"P"&amp;$A14))))))))))</f>
        <v>0</v>
      </c>
      <c r="E14" s="12">
        <f ca="1">IF($A$2="PREMIUM_OI",IFERROR(IF($X$1="ABS",(100*RTD("tos.rtd",,"OPEN_INT","."&amp;E$2&amp;E$1&amp;"C"&amp;$A14)*RTD("tos.rtd",,"LAST","."&amp;E$2&amp;E$1&amp;"C"&amp;$A14)+100*RTD("tos.rtd",,"OPEN_INT","."&amp;E$2&amp;E$1&amp;"P"&amp;$A14)*RTD("tos.rtd",,"LAST","."&amp;E$2&amp;E$1&amp;"P"&amp;$A14))/1000000,(100*RTD("tos.rtd",,"OPEN_INT","."&amp;E$2&amp;E$1&amp;"C"&amp;$A14)*RTD("tos.rtd",,"LAST","."&amp;E$2&amp;E$1&amp;"C"&amp;$A14)-100*RTD("tos.rtd",,"OPEN_INT","."&amp;E$2&amp;E$1&amp;"P"&amp;$A14)*RTD("tos.rtd",,"LAST","."&amp;E$2&amp;E$1&amp;"P"&amp;$A14))/1000000),0),IF($A$2="PREMIUM",IFERROR(IF($X$1="ABS",(100*RTD("tos.rtd",,"VOLUME","."&amp;E$2&amp;E$1&amp;"C"&amp;$A14)*RTD("tos.rtd",,"LAST","."&amp;E$2&amp;E$1&amp;"C"&amp;$A14)+100*RTD("tos.rtd",,"VOLUME","."&amp;E$2&amp;E$1&amp;"P"&amp;$A14)*RTD("tos.rtd",,"LAST","."&amp;E$2&amp;E$1&amp;"P"&amp;$A14))/1000000,(100*RTD("tos.rtd",,"VOLUME","."&amp;E$2&amp;E$1&amp;"C"&amp;$A14)*RTD("tos.rtd",,"LAST","."&amp;E$2&amp;E$1&amp;"C"&amp;$A14)-100*RTD("tos.rtd",,"VOLUME","."&amp;E$2&amp;E$1&amp;"P"&amp;$A14)*RTD("tos.rtd",,"LAST","."&amp;E$2&amp;E$1&amp;"P"&amp;$A14))/1000000),0),IF($A$2="DEX",IFERROR(IF($X$1="ABS",(100*RTD("tos.rtd",,"OPEN_INT","."&amp;E$2&amp;E$1&amp;"C"&amp;$A14)*RTD("tos.rtd",,"DELTA","."&amp;E$2&amp;E$1&amp;"C"&amp;$A14)+100*RTD("tos.rtd",,"OPEN_INT","."&amp;E$2&amp;E$1&amp;"P"&amp;$A14)*RTD("tos.rtd",,"DELTA","."&amp;E$2&amp;E$1&amp;"P"&amp;$A14))/1000,(100*RTD("tos.rtd",,"OPEN_INT","."&amp;E$2&amp;E$1&amp;"C"&amp;$A14)*RTD("tos.rtd",,"DELTA","."&amp;E$2&amp;E$1&amp;"C"&amp;$A14)-100*RTD("tos.rtd",,"OPEN_INT","."&amp;E$2&amp;E$1&amp;"P"&amp;$A14)*RTD("tos.rtd",,"DELTA","."&amp;E$2&amp;E$1&amp;"P"&amp;$A14))/1000),0),IF($A$2="VEX",IFERROR(IF($X$1="ABS",($A$4*$A$4*RTD("tos.rtd",,"VOLUME","."&amp;E$2&amp;E$1&amp;"C"&amp;$A14)*RTD("tos.rtd",,"GAMMA","."&amp;E$2&amp;E$1&amp;"C"&amp;$A14)+$A$4*$A$4*RTD("tos.rtd",,"VOLUME","."&amp;E$2&amp;E$1&amp;"P"&amp;$A14)*RTD("tos.rtd",,"GAMMA","."&amp;E$2&amp;E$1&amp;"P"&amp;$A14))/1000000,($A$4*$A$4*RTD("tos.rtd",,"VOLUME","."&amp;E$2&amp;E$1&amp;"C"&amp;$A14)*RTD("tos.rtd",,"GAMMA","."&amp;E$2&amp;E$1&amp;"C"&amp;$A14)-$A$4*$A$4*RTD("tos.rtd",,"VOLUME","."&amp;E$2&amp;E$1&amp;"P"&amp;$A14)*RTD("tos.rtd",,"GAMMA","."&amp;E$2&amp;E$1&amp;"P"&amp;$A14))/1000000),0),IF($A$2="GEX",IFERROR(IF($X$1="ABS",($A$4*$A$4*RTD("tos.rtd",,"OPEN_INT","."&amp;E$2&amp;E$1&amp;"C"&amp;$A14)*RTD("tos.rtd",,"GAMMA","."&amp;E$2&amp;E$1&amp;"C"&amp;$A14)+$A$4*$A$4*RTD("tos.rtd",,"OPEN_INT","."&amp;E$2&amp;E$1&amp;"P"&amp;$A14)*RTD("tos.rtd",,"GAMMA","."&amp;E$2&amp;E$1&amp;"P"&amp;$A14))/1000000,($A$4*$A$4*RTD("tos.rtd",,"OPEN_INT","."&amp;E$2&amp;E$1&amp;"C"&amp;$A14)*RTD("tos.rtd",,"GAMMA","."&amp;E$2&amp;E$1&amp;"C"&amp;$A14)-$A$4*$A$4*RTD("tos.rtd",,"OPEN_INT","."&amp;E$2&amp;E$1&amp;"P"&amp;$A14)*RTD("tos.rtd",,"GAMMA","."&amp;E$2&amp;E$1&amp;"P"&amp;$A14))/1000000),0),IF($A$2="SKEW",IFERROR(VALUE(IF(RTD("tos.rtd",,"IMPL_VOL","."&amp;E$2&amp;E$1&amp;"P"&amp;$A14)="N/A",0,RTD("tos.rtd",,"IMPL_VOL","."&amp;E$2&amp;E$1&amp;"P"&amp;$A14))),0)-IFERROR(VALUE(IF(RTD("tos.rtd",,"IMPL_VOL","."&amp;E$2&amp;E$1&amp;"C"&amp;$A14)="N/A",0,RTD("tos.rtd",,"IMPL_VOL","."&amp;E$2&amp;E$1&amp;"C"&amp;$A14))),0),IF($A$2="MAXPAIN",IF($A$4&gt;$A14,($A$4-$A14)*IF(RTD("tos.rtd",,"OPEN_INT","."&amp;E$2&amp;E$1&amp;"C"&amp;$A14)="N/A",0,RTD("tos.rtd",,"OPEN_INT","."&amp;E$2&amp;E$1&amp;"C"&amp;$A14)),0)+IF($A$4&lt;$A14,($A$5-$A$4)*IF(RTD("tos.rtd",,"OPEN_INT","."&amp;E$2&amp;E$1&amp;"P"&amp;$A14)="N/A",0,RTD("tos.rtd",,"OPEN_INT","."&amp;E$2&amp;E$1&amp;"P"&amp;$A14)),0),IF($X$1="ABS",IF(RTD("tos.rtd",,$A$2,"."&amp;E$2&amp;E$1&amp;"C"&amp;$A14)="N/A",0,RTD("tos.rtd",,$A$2,"."&amp;E$2&amp;E$1&amp;"C"&amp;$A14))+IF(RTD("tos.rtd",,$A$2,"."&amp;E$2&amp;E$1&amp;"P"&amp;$A14)="N/A",0,RTD("tos.rtd",,$A$2,"."&amp;E$2&amp;E$1&amp;"P"&amp;$A14)),IF(RTD("tos.rtd",,$A$2,"."&amp;E$2&amp;E$1&amp;"C"&amp;$A14)="N/A",0,RTD("tos.rtd",,$A$2,"."&amp;E$2&amp;E$1&amp;"C"&amp;$A14))-IF(RTD("tos.rtd",,$A$2,"."&amp;E$2&amp;E$1&amp;"P"&amp;$A14)="N/A",0,RTD("tos.rtd",,$A$2,"."&amp;E$2&amp;E$1&amp;"P"&amp;$A14))))))))))</f>
        <v>0</v>
      </c>
      <c r="F14" s="12">
        <f ca="1">IF($A$2="PREMIUM_OI",IFERROR(IF($X$1="ABS",(100*RTD("tos.rtd",,"OPEN_INT","."&amp;F$2&amp;F$1&amp;"C"&amp;$A14)*RTD("tos.rtd",,"LAST","."&amp;F$2&amp;F$1&amp;"C"&amp;$A14)+100*RTD("tos.rtd",,"OPEN_INT","."&amp;F$2&amp;F$1&amp;"P"&amp;$A14)*RTD("tos.rtd",,"LAST","."&amp;F$2&amp;F$1&amp;"P"&amp;$A14))/1000000,(100*RTD("tos.rtd",,"OPEN_INT","."&amp;F$2&amp;F$1&amp;"C"&amp;$A14)*RTD("tos.rtd",,"LAST","."&amp;F$2&amp;F$1&amp;"C"&amp;$A14)-100*RTD("tos.rtd",,"OPEN_INT","."&amp;F$2&amp;F$1&amp;"P"&amp;$A14)*RTD("tos.rtd",,"LAST","."&amp;F$2&amp;F$1&amp;"P"&amp;$A14))/1000000),0),IF($A$2="PREMIUM",IFERROR(IF($X$1="ABS",(100*RTD("tos.rtd",,"VOLUME","."&amp;F$2&amp;F$1&amp;"C"&amp;$A14)*RTD("tos.rtd",,"LAST","."&amp;F$2&amp;F$1&amp;"C"&amp;$A14)+100*RTD("tos.rtd",,"VOLUME","."&amp;F$2&amp;F$1&amp;"P"&amp;$A14)*RTD("tos.rtd",,"LAST","."&amp;F$2&amp;F$1&amp;"P"&amp;$A14))/1000000,(100*RTD("tos.rtd",,"VOLUME","."&amp;F$2&amp;F$1&amp;"C"&amp;$A14)*RTD("tos.rtd",,"LAST","."&amp;F$2&amp;F$1&amp;"C"&amp;$A14)-100*RTD("tos.rtd",,"VOLUME","."&amp;F$2&amp;F$1&amp;"P"&amp;$A14)*RTD("tos.rtd",,"LAST","."&amp;F$2&amp;F$1&amp;"P"&amp;$A14))/1000000),0),IF($A$2="DEX",IFERROR(IF($X$1="ABS",(100*RTD("tos.rtd",,"OPEN_INT","."&amp;F$2&amp;F$1&amp;"C"&amp;$A14)*RTD("tos.rtd",,"DELTA","."&amp;F$2&amp;F$1&amp;"C"&amp;$A14)+100*RTD("tos.rtd",,"OPEN_INT","."&amp;F$2&amp;F$1&amp;"P"&amp;$A14)*RTD("tos.rtd",,"DELTA","."&amp;F$2&amp;F$1&amp;"P"&amp;$A14))/1000,(100*RTD("tos.rtd",,"OPEN_INT","."&amp;F$2&amp;F$1&amp;"C"&amp;$A14)*RTD("tos.rtd",,"DELTA","."&amp;F$2&amp;F$1&amp;"C"&amp;$A14)-100*RTD("tos.rtd",,"OPEN_INT","."&amp;F$2&amp;F$1&amp;"P"&amp;$A14)*RTD("tos.rtd",,"DELTA","."&amp;F$2&amp;F$1&amp;"P"&amp;$A14))/1000),0),IF($A$2="VEX",IFERROR(IF($X$1="ABS",($A$4*$A$4*RTD("tos.rtd",,"VOLUME","."&amp;F$2&amp;F$1&amp;"C"&amp;$A14)*RTD("tos.rtd",,"GAMMA","."&amp;F$2&amp;F$1&amp;"C"&amp;$A14)+$A$4*$A$4*RTD("tos.rtd",,"VOLUME","."&amp;F$2&amp;F$1&amp;"P"&amp;$A14)*RTD("tos.rtd",,"GAMMA","."&amp;F$2&amp;F$1&amp;"P"&amp;$A14))/1000000,($A$4*$A$4*RTD("tos.rtd",,"VOLUME","."&amp;F$2&amp;F$1&amp;"C"&amp;$A14)*RTD("tos.rtd",,"GAMMA","."&amp;F$2&amp;F$1&amp;"C"&amp;$A14)-$A$4*$A$4*RTD("tos.rtd",,"VOLUME","."&amp;F$2&amp;F$1&amp;"P"&amp;$A14)*RTD("tos.rtd",,"GAMMA","."&amp;F$2&amp;F$1&amp;"P"&amp;$A14))/1000000),0),IF($A$2="GEX",IFERROR(IF($X$1="ABS",($A$4*$A$4*RTD("tos.rtd",,"OPEN_INT","."&amp;F$2&amp;F$1&amp;"C"&amp;$A14)*RTD("tos.rtd",,"GAMMA","."&amp;F$2&amp;F$1&amp;"C"&amp;$A14)+$A$4*$A$4*RTD("tos.rtd",,"OPEN_INT","."&amp;F$2&amp;F$1&amp;"P"&amp;$A14)*RTD("tos.rtd",,"GAMMA","."&amp;F$2&amp;F$1&amp;"P"&amp;$A14))/1000000,($A$4*$A$4*RTD("tos.rtd",,"OPEN_INT","."&amp;F$2&amp;F$1&amp;"C"&amp;$A14)*RTD("tos.rtd",,"GAMMA","."&amp;F$2&amp;F$1&amp;"C"&amp;$A14)-$A$4*$A$4*RTD("tos.rtd",,"OPEN_INT","."&amp;F$2&amp;F$1&amp;"P"&amp;$A14)*RTD("tos.rtd",,"GAMMA","."&amp;F$2&amp;F$1&amp;"P"&amp;$A14))/1000000),0),IF($A$2="SKEW",IFERROR(VALUE(IF(RTD("tos.rtd",,"IMPL_VOL","."&amp;F$2&amp;F$1&amp;"P"&amp;$A14)="N/A",0,RTD("tos.rtd",,"IMPL_VOL","."&amp;F$2&amp;F$1&amp;"P"&amp;$A14))),0)-IFERROR(VALUE(IF(RTD("tos.rtd",,"IMPL_VOL","."&amp;F$2&amp;F$1&amp;"C"&amp;$A14)="N/A",0,RTD("tos.rtd",,"IMPL_VOL","."&amp;F$2&amp;F$1&amp;"C"&amp;$A14))),0),IF($A$2="MAXPAIN",IF($A$4&gt;$A14,($A$4-$A14)*IF(RTD("tos.rtd",,"OPEN_INT","."&amp;F$2&amp;F$1&amp;"C"&amp;$A14)="N/A",0,RTD("tos.rtd",,"OPEN_INT","."&amp;F$2&amp;F$1&amp;"C"&amp;$A14)),0)+IF($A$4&lt;$A14,($A$5-$A$4)*IF(RTD("tos.rtd",,"OPEN_INT","."&amp;F$2&amp;F$1&amp;"P"&amp;$A14)="N/A",0,RTD("tos.rtd",,"OPEN_INT","."&amp;F$2&amp;F$1&amp;"P"&amp;$A14)),0),IF($X$1="ABS",IF(RTD("tos.rtd",,$A$2,"."&amp;F$2&amp;F$1&amp;"C"&amp;$A14)="N/A",0,RTD("tos.rtd",,$A$2,"."&amp;F$2&amp;F$1&amp;"C"&amp;$A14))+IF(RTD("tos.rtd",,$A$2,"."&amp;F$2&amp;F$1&amp;"P"&amp;$A14)="N/A",0,RTD("tos.rtd",,$A$2,"."&amp;F$2&amp;F$1&amp;"P"&amp;$A14)),IF(RTD("tos.rtd",,$A$2,"."&amp;F$2&amp;F$1&amp;"C"&amp;$A14)="N/A",0,RTD("tos.rtd",,$A$2,"."&amp;F$2&amp;F$1&amp;"C"&amp;$A14))-IF(RTD("tos.rtd",,$A$2,"."&amp;F$2&amp;F$1&amp;"P"&amp;$A14)="N/A",0,RTD("tos.rtd",,$A$2,"."&amp;F$2&amp;F$1&amp;"P"&amp;$A14))))))))))</f>
        <v>0</v>
      </c>
      <c r="G14" s="54">
        <f ca="1">IF($A$2="PREMIUM_OI",IFERROR(IF($X$1="ABS",(100*RTD("tos.rtd",,"OPEN_INT","."&amp;G$2&amp;G$1&amp;"C"&amp;$A14)*RTD("tos.rtd",,"LAST","."&amp;G$2&amp;G$1&amp;"C"&amp;$A14)+100*RTD("tos.rtd",,"OPEN_INT","."&amp;G$2&amp;G$1&amp;"P"&amp;$A14)*RTD("tos.rtd",,"LAST","."&amp;G$2&amp;G$1&amp;"P"&amp;$A14))/1000000,(100*RTD("tos.rtd",,"OPEN_INT","."&amp;G$2&amp;G$1&amp;"C"&amp;$A14)*RTD("tos.rtd",,"LAST","."&amp;G$2&amp;G$1&amp;"C"&amp;$A14)-100*RTD("tos.rtd",,"OPEN_INT","."&amp;G$2&amp;G$1&amp;"P"&amp;$A14)*RTD("tos.rtd",,"LAST","."&amp;G$2&amp;G$1&amp;"P"&amp;$A14))/1000000),0),IF($A$2="PREMIUM",IFERROR(IF($X$1="ABS",(100*RTD("tos.rtd",,"VOLUME","."&amp;G$2&amp;G$1&amp;"C"&amp;$A14)*RTD("tos.rtd",,"LAST","."&amp;G$2&amp;G$1&amp;"C"&amp;$A14)+100*RTD("tos.rtd",,"VOLUME","."&amp;G$2&amp;G$1&amp;"P"&amp;$A14)*RTD("tos.rtd",,"LAST","."&amp;G$2&amp;G$1&amp;"P"&amp;$A14))/1000000,(100*RTD("tos.rtd",,"VOLUME","."&amp;G$2&amp;G$1&amp;"C"&amp;$A14)*RTD("tos.rtd",,"LAST","."&amp;G$2&amp;G$1&amp;"C"&amp;$A14)-100*RTD("tos.rtd",,"VOLUME","."&amp;G$2&amp;G$1&amp;"P"&amp;$A14)*RTD("tos.rtd",,"LAST","."&amp;G$2&amp;G$1&amp;"P"&amp;$A14))/1000000),0),IF($A$2="DEX",IFERROR(IF($X$1="ABS",(100*RTD("tos.rtd",,"OPEN_INT","."&amp;G$2&amp;G$1&amp;"C"&amp;$A14)*RTD("tos.rtd",,"DELTA","."&amp;G$2&amp;G$1&amp;"C"&amp;$A14)+100*RTD("tos.rtd",,"OPEN_INT","."&amp;G$2&amp;G$1&amp;"P"&amp;$A14)*RTD("tos.rtd",,"DELTA","."&amp;G$2&amp;G$1&amp;"P"&amp;$A14))/1000,(100*RTD("tos.rtd",,"OPEN_INT","."&amp;G$2&amp;G$1&amp;"C"&amp;$A14)*RTD("tos.rtd",,"DELTA","."&amp;G$2&amp;G$1&amp;"C"&amp;$A14)-100*RTD("tos.rtd",,"OPEN_INT","."&amp;G$2&amp;G$1&amp;"P"&amp;$A14)*RTD("tos.rtd",,"DELTA","."&amp;G$2&amp;G$1&amp;"P"&amp;$A14))/1000),0),IF($A$2="VEX",IFERROR(IF($X$1="ABS",($A$4*$A$4*RTD("tos.rtd",,"VOLUME","."&amp;G$2&amp;G$1&amp;"C"&amp;$A14)*RTD("tos.rtd",,"GAMMA","."&amp;G$2&amp;G$1&amp;"C"&amp;$A14)+$A$4*$A$4*RTD("tos.rtd",,"VOLUME","."&amp;G$2&amp;G$1&amp;"P"&amp;$A14)*RTD("tos.rtd",,"GAMMA","."&amp;G$2&amp;G$1&amp;"P"&amp;$A14))/1000000,($A$4*$A$4*RTD("tos.rtd",,"VOLUME","."&amp;G$2&amp;G$1&amp;"C"&amp;$A14)*RTD("tos.rtd",,"GAMMA","."&amp;G$2&amp;G$1&amp;"C"&amp;$A14)-$A$4*$A$4*RTD("tos.rtd",,"VOLUME","."&amp;G$2&amp;G$1&amp;"P"&amp;$A14)*RTD("tos.rtd",,"GAMMA","."&amp;G$2&amp;G$1&amp;"P"&amp;$A14))/1000000),0),IF($A$2="GEX",IFERROR(IF($X$1="ABS",($A$4*$A$4*RTD("tos.rtd",,"OPEN_INT","."&amp;G$2&amp;G$1&amp;"C"&amp;$A14)*RTD("tos.rtd",,"GAMMA","."&amp;G$2&amp;G$1&amp;"C"&amp;$A14)+$A$4*$A$4*RTD("tos.rtd",,"OPEN_INT","."&amp;G$2&amp;G$1&amp;"P"&amp;$A14)*RTD("tos.rtd",,"GAMMA","."&amp;G$2&amp;G$1&amp;"P"&amp;$A14))/1000000,($A$4*$A$4*RTD("tos.rtd",,"OPEN_INT","."&amp;G$2&amp;G$1&amp;"C"&amp;$A14)*RTD("tos.rtd",,"GAMMA","."&amp;G$2&amp;G$1&amp;"C"&amp;$A14)-$A$4*$A$4*RTD("tos.rtd",,"OPEN_INT","."&amp;G$2&amp;G$1&amp;"P"&amp;$A14)*RTD("tos.rtd",,"GAMMA","."&amp;G$2&amp;G$1&amp;"P"&amp;$A14))/1000000),0),IF($A$2="SKEW",IFERROR(VALUE(IF(RTD("tos.rtd",,"IMPL_VOL","."&amp;G$2&amp;G$1&amp;"P"&amp;$A14)="N/A",0,RTD("tos.rtd",,"IMPL_VOL","."&amp;G$2&amp;G$1&amp;"P"&amp;$A14))),0)-IFERROR(VALUE(IF(RTD("tos.rtd",,"IMPL_VOL","."&amp;G$2&amp;G$1&amp;"C"&amp;$A14)="N/A",0,RTD("tos.rtd",,"IMPL_VOL","."&amp;G$2&amp;G$1&amp;"C"&amp;$A14))),0),IF($A$2="MAXPAIN",IF($A$4&gt;$A14,($A$4-$A14)*IF(RTD("tos.rtd",,"OPEN_INT","."&amp;G$2&amp;G$1&amp;"C"&amp;$A14)="N/A",0,RTD("tos.rtd",,"OPEN_INT","."&amp;G$2&amp;G$1&amp;"C"&amp;$A14)),0)+IF($A$4&lt;$A14,($A$5-$A$4)*IF(RTD("tos.rtd",,"OPEN_INT","."&amp;G$2&amp;G$1&amp;"P"&amp;$A14)="N/A",0,RTD("tos.rtd",,"OPEN_INT","."&amp;G$2&amp;G$1&amp;"P"&amp;$A14)),0),IF($X$1="ABS",IF(RTD("tos.rtd",,$A$2,"."&amp;G$2&amp;G$1&amp;"C"&amp;$A14)="N/A",0,RTD("tos.rtd",,$A$2,"."&amp;G$2&amp;G$1&amp;"C"&amp;$A14))+IF(RTD("tos.rtd",,$A$2,"."&amp;G$2&amp;G$1&amp;"P"&amp;$A14)="N/A",0,RTD("tos.rtd",,$A$2,"."&amp;G$2&amp;G$1&amp;"P"&amp;$A14)),IF(RTD("tos.rtd",,$A$2,"."&amp;G$2&amp;G$1&amp;"C"&amp;$A14)="N/A",0,RTD("tos.rtd",,$A$2,"."&amp;G$2&amp;G$1&amp;"C"&amp;$A14))-IF(RTD("tos.rtd",,$A$2,"."&amp;G$2&amp;G$1&amp;"P"&amp;$A14)="N/A",0,RTD("tos.rtd",,$A$2,"."&amp;G$2&amp;G$1&amp;"P"&amp;$A14))))))))))</f>
        <v>0</v>
      </c>
      <c r="H14" s="14">
        <f ca="1">IF($A$2="PREMIUM_OI",IFERROR(IF($X$1="ABS",(100*RTD("tos.rtd",,"OPEN_INT","."&amp;H$2&amp;H$1&amp;"C"&amp;$A14)*RTD("tos.rtd",,"LAST","."&amp;H$2&amp;H$1&amp;"C"&amp;$A14)+100*RTD("tos.rtd",,"OPEN_INT","."&amp;H$2&amp;H$1&amp;"P"&amp;$A14)*RTD("tos.rtd",,"LAST","."&amp;H$2&amp;H$1&amp;"P"&amp;$A14))/1000000,(100*RTD("tos.rtd",,"OPEN_INT","."&amp;H$2&amp;H$1&amp;"C"&amp;$A14)*RTD("tos.rtd",,"LAST","."&amp;H$2&amp;H$1&amp;"C"&amp;$A14)-100*RTD("tos.rtd",,"OPEN_INT","."&amp;H$2&amp;H$1&amp;"P"&amp;$A14)*RTD("tos.rtd",,"LAST","."&amp;H$2&amp;H$1&amp;"P"&amp;$A14))/1000000),0),IF($A$2="PREMIUM",IFERROR(IF($X$1="ABS",(100*RTD("tos.rtd",,"VOLUME","."&amp;H$2&amp;H$1&amp;"C"&amp;$A14)*RTD("tos.rtd",,"LAST","."&amp;H$2&amp;H$1&amp;"C"&amp;$A14)+100*RTD("tos.rtd",,"VOLUME","."&amp;H$2&amp;H$1&amp;"P"&amp;$A14)*RTD("tos.rtd",,"LAST","."&amp;H$2&amp;H$1&amp;"P"&amp;$A14))/1000000,(100*RTD("tos.rtd",,"VOLUME","."&amp;H$2&amp;H$1&amp;"C"&amp;$A14)*RTD("tos.rtd",,"LAST","."&amp;H$2&amp;H$1&amp;"C"&amp;$A14)-100*RTD("tos.rtd",,"VOLUME","."&amp;H$2&amp;H$1&amp;"P"&amp;$A14)*RTD("tos.rtd",,"LAST","."&amp;H$2&amp;H$1&amp;"P"&amp;$A14))/1000000),0),IF($A$2="DEX",IFERROR(IF($X$1="ABS",(100*RTD("tos.rtd",,"OPEN_INT","."&amp;H$2&amp;H$1&amp;"C"&amp;$A14)*RTD("tos.rtd",,"DELTA","."&amp;H$2&amp;H$1&amp;"C"&amp;$A14)+100*RTD("tos.rtd",,"OPEN_INT","."&amp;H$2&amp;H$1&amp;"P"&amp;$A14)*RTD("tos.rtd",,"DELTA","."&amp;H$2&amp;H$1&amp;"P"&amp;$A14))/1000,(100*RTD("tos.rtd",,"OPEN_INT","."&amp;H$2&amp;H$1&amp;"C"&amp;$A14)*RTD("tos.rtd",,"DELTA","."&amp;H$2&amp;H$1&amp;"C"&amp;$A14)-100*RTD("tos.rtd",,"OPEN_INT","."&amp;H$2&amp;H$1&amp;"P"&amp;$A14)*RTD("tos.rtd",,"DELTA","."&amp;H$2&amp;H$1&amp;"P"&amp;$A14))/1000),0),IF($A$2="VEX",IFERROR(IF($X$1="ABS",($A$4*$A$4*RTD("tos.rtd",,"VOLUME","."&amp;H$2&amp;H$1&amp;"C"&amp;$A14)*RTD("tos.rtd",,"GAMMA","."&amp;H$2&amp;H$1&amp;"C"&amp;$A14)+$A$4*$A$4*RTD("tos.rtd",,"VOLUME","."&amp;H$2&amp;H$1&amp;"P"&amp;$A14)*RTD("tos.rtd",,"GAMMA","."&amp;H$2&amp;H$1&amp;"P"&amp;$A14))/1000000,($A$4*$A$4*RTD("tos.rtd",,"VOLUME","."&amp;H$2&amp;H$1&amp;"C"&amp;$A14)*RTD("tos.rtd",,"GAMMA","."&amp;H$2&amp;H$1&amp;"C"&amp;$A14)-$A$4*$A$4*RTD("tos.rtd",,"VOLUME","."&amp;H$2&amp;H$1&amp;"P"&amp;$A14)*RTD("tos.rtd",,"GAMMA","."&amp;H$2&amp;H$1&amp;"P"&amp;$A14))/1000000),0),IF($A$2="GEX",IFERROR(IF($X$1="ABS",($A$4*$A$4*RTD("tos.rtd",,"OPEN_INT","."&amp;H$2&amp;H$1&amp;"C"&amp;$A14)*RTD("tos.rtd",,"GAMMA","."&amp;H$2&amp;H$1&amp;"C"&amp;$A14)+$A$4*$A$4*RTD("tos.rtd",,"OPEN_INT","."&amp;H$2&amp;H$1&amp;"P"&amp;$A14)*RTD("tos.rtd",,"GAMMA","."&amp;H$2&amp;H$1&amp;"P"&amp;$A14))/1000000,($A$4*$A$4*RTD("tos.rtd",,"OPEN_INT","."&amp;H$2&amp;H$1&amp;"C"&amp;$A14)*RTD("tos.rtd",,"GAMMA","."&amp;H$2&amp;H$1&amp;"C"&amp;$A14)-$A$4*$A$4*RTD("tos.rtd",,"OPEN_INT","."&amp;H$2&amp;H$1&amp;"P"&amp;$A14)*RTD("tos.rtd",,"GAMMA","."&amp;H$2&amp;H$1&amp;"P"&amp;$A14))/1000000),0),IF($A$2="SKEW",IFERROR(VALUE(IF(RTD("tos.rtd",,"IMPL_VOL","."&amp;H$2&amp;H$1&amp;"P"&amp;$A14)="N/A",0,RTD("tos.rtd",,"IMPL_VOL","."&amp;H$2&amp;H$1&amp;"P"&amp;$A14))),0)-IFERROR(VALUE(IF(RTD("tos.rtd",,"IMPL_VOL","."&amp;H$2&amp;H$1&amp;"C"&amp;$A14)="N/A",0,RTD("tos.rtd",,"IMPL_VOL","."&amp;H$2&amp;H$1&amp;"C"&amp;$A14))),0),IF($A$2="MAXPAIN",IF($A$4&gt;$A14,($A$4-$A14)*IF(RTD("tos.rtd",,"OPEN_INT","."&amp;H$2&amp;H$1&amp;"C"&amp;$A14)="N/A",0,RTD("tos.rtd",,"OPEN_INT","."&amp;H$2&amp;H$1&amp;"C"&amp;$A14)),0)+IF($A$4&lt;$A14,($A$5-$A$4)*IF(RTD("tos.rtd",,"OPEN_INT","."&amp;H$2&amp;H$1&amp;"P"&amp;$A14)="N/A",0,RTD("tos.rtd",,"OPEN_INT","."&amp;H$2&amp;H$1&amp;"P"&amp;$A14)),0),IF($X$1="ABS",IF(RTD("tos.rtd",,$A$2,"."&amp;H$2&amp;H$1&amp;"C"&amp;$A14)="N/A",0,RTD("tos.rtd",,$A$2,"."&amp;H$2&amp;H$1&amp;"C"&amp;$A14))+IF(RTD("tos.rtd",,$A$2,"."&amp;H$2&amp;H$1&amp;"P"&amp;$A14)="N/A",0,RTD("tos.rtd",,$A$2,"."&amp;H$2&amp;H$1&amp;"P"&amp;$A14)),IF(RTD("tos.rtd",,$A$2,"."&amp;H$2&amp;H$1&amp;"C"&amp;$A14)="N/A",0,RTD("tos.rtd",,$A$2,"."&amp;H$2&amp;H$1&amp;"C"&amp;$A14))-IF(RTD("tos.rtd",,$A$2,"."&amp;H$2&amp;H$1&amp;"P"&amp;$A14)="N/A",0,RTD("tos.rtd",,$A$2,"."&amp;H$2&amp;H$1&amp;"P"&amp;$A14))))))))))</f>
        <v>0</v>
      </c>
      <c r="I14" s="12">
        <f ca="1">IF($A$2="PREMIUM_OI",IFERROR(IF($X$1="ABS",(100*RTD("tos.rtd",,"OPEN_INT","."&amp;I$2&amp;I$1&amp;"C"&amp;$A14)*RTD("tos.rtd",,"LAST","."&amp;I$2&amp;I$1&amp;"C"&amp;$A14)+100*RTD("tos.rtd",,"OPEN_INT","."&amp;I$2&amp;I$1&amp;"P"&amp;$A14)*RTD("tos.rtd",,"LAST","."&amp;I$2&amp;I$1&amp;"P"&amp;$A14))/1000000,(100*RTD("tos.rtd",,"OPEN_INT","."&amp;I$2&amp;I$1&amp;"C"&amp;$A14)*RTD("tos.rtd",,"LAST","."&amp;I$2&amp;I$1&amp;"C"&amp;$A14)-100*RTD("tos.rtd",,"OPEN_INT","."&amp;I$2&amp;I$1&amp;"P"&amp;$A14)*RTD("tos.rtd",,"LAST","."&amp;I$2&amp;I$1&amp;"P"&amp;$A14))/1000000),0),IF($A$2="PREMIUM",IFERROR(IF($X$1="ABS",(100*RTD("tos.rtd",,"VOLUME","."&amp;I$2&amp;I$1&amp;"C"&amp;$A14)*RTD("tos.rtd",,"LAST","."&amp;I$2&amp;I$1&amp;"C"&amp;$A14)+100*RTD("tos.rtd",,"VOLUME","."&amp;I$2&amp;I$1&amp;"P"&amp;$A14)*RTD("tos.rtd",,"LAST","."&amp;I$2&amp;I$1&amp;"P"&amp;$A14))/1000000,(100*RTD("tos.rtd",,"VOLUME","."&amp;I$2&amp;I$1&amp;"C"&amp;$A14)*RTD("tos.rtd",,"LAST","."&amp;I$2&amp;I$1&amp;"C"&amp;$A14)-100*RTD("tos.rtd",,"VOLUME","."&amp;I$2&amp;I$1&amp;"P"&amp;$A14)*RTD("tos.rtd",,"LAST","."&amp;I$2&amp;I$1&amp;"P"&amp;$A14))/1000000),0),IF($A$2="DEX",IFERROR(IF($X$1="ABS",(100*RTD("tos.rtd",,"OPEN_INT","."&amp;I$2&amp;I$1&amp;"C"&amp;$A14)*RTD("tos.rtd",,"DELTA","."&amp;I$2&amp;I$1&amp;"C"&amp;$A14)+100*RTD("tos.rtd",,"OPEN_INT","."&amp;I$2&amp;I$1&amp;"P"&amp;$A14)*RTD("tos.rtd",,"DELTA","."&amp;I$2&amp;I$1&amp;"P"&amp;$A14))/1000,(100*RTD("tos.rtd",,"OPEN_INT","."&amp;I$2&amp;I$1&amp;"C"&amp;$A14)*RTD("tos.rtd",,"DELTA","."&amp;I$2&amp;I$1&amp;"C"&amp;$A14)-100*RTD("tos.rtd",,"OPEN_INT","."&amp;I$2&amp;I$1&amp;"P"&amp;$A14)*RTD("tos.rtd",,"DELTA","."&amp;I$2&amp;I$1&amp;"P"&amp;$A14))/1000),0),IF($A$2="VEX",IFERROR(IF($X$1="ABS",($A$4*$A$4*RTD("tos.rtd",,"VOLUME","."&amp;I$2&amp;I$1&amp;"C"&amp;$A14)*RTD("tos.rtd",,"GAMMA","."&amp;I$2&amp;I$1&amp;"C"&amp;$A14)+$A$4*$A$4*RTD("tos.rtd",,"VOLUME","."&amp;I$2&amp;I$1&amp;"P"&amp;$A14)*RTD("tos.rtd",,"GAMMA","."&amp;I$2&amp;I$1&amp;"P"&amp;$A14))/1000000,($A$4*$A$4*RTD("tos.rtd",,"VOLUME","."&amp;I$2&amp;I$1&amp;"C"&amp;$A14)*RTD("tos.rtd",,"GAMMA","."&amp;I$2&amp;I$1&amp;"C"&amp;$A14)-$A$4*$A$4*RTD("tos.rtd",,"VOLUME","."&amp;I$2&amp;I$1&amp;"P"&amp;$A14)*RTD("tos.rtd",,"GAMMA","."&amp;I$2&amp;I$1&amp;"P"&amp;$A14))/1000000),0),IF($A$2="GEX",IFERROR(IF($X$1="ABS",($A$4*$A$4*RTD("tos.rtd",,"OPEN_INT","."&amp;I$2&amp;I$1&amp;"C"&amp;$A14)*RTD("tos.rtd",,"GAMMA","."&amp;I$2&amp;I$1&amp;"C"&amp;$A14)+$A$4*$A$4*RTD("tos.rtd",,"OPEN_INT","."&amp;I$2&amp;I$1&amp;"P"&amp;$A14)*RTD("tos.rtd",,"GAMMA","."&amp;I$2&amp;I$1&amp;"P"&amp;$A14))/1000000,($A$4*$A$4*RTD("tos.rtd",,"OPEN_INT","."&amp;I$2&amp;I$1&amp;"C"&amp;$A14)*RTD("tos.rtd",,"GAMMA","."&amp;I$2&amp;I$1&amp;"C"&amp;$A14)-$A$4*$A$4*RTD("tos.rtd",,"OPEN_INT","."&amp;I$2&amp;I$1&amp;"P"&amp;$A14)*RTD("tos.rtd",,"GAMMA","."&amp;I$2&amp;I$1&amp;"P"&amp;$A14))/1000000),0),IF($A$2="SKEW",IFERROR(VALUE(IF(RTD("tos.rtd",,"IMPL_VOL","."&amp;I$2&amp;I$1&amp;"P"&amp;$A14)="N/A",0,RTD("tos.rtd",,"IMPL_VOL","."&amp;I$2&amp;I$1&amp;"P"&amp;$A14))),0)-IFERROR(VALUE(IF(RTD("tos.rtd",,"IMPL_VOL","."&amp;I$2&amp;I$1&amp;"C"&amp;$A14)="N/A",0,RTD("tos.rtd",,"IMPL_VOL","."&amp;I$2&amp;I$1&amp;"C"&amp;$A14))),0),IF($A$2="MAXPAIN",IF($A$4&gt;$A14,($A$4-$A14)*IF(RTD("tos.rtd",,"OPEN_INT","."&amp;I$2&amp;I$1&amp;"C"&amp;$A14)="N/A",0,RTD("tos.rtd",,"OPEN_INT","."&amp;I$2&amp;I$1&amp;"C"&amp;$A14)),0)+IF($A$4&lt;$A14,($A$5-$A$4)*IF(RTD("tos.rtd",,"OPEN_INT","."&amp;I$2&amp;I$1&amp;"P"&amp;$A14)="N/A",0,RTD("tos.rtd",,"OPEN_INT","."&amp;I$2&amp;I$1&amp;"P"&amp;$A14)),0),IF($X$1="ABS",IF(RTD("tos.rtd",,$A$2,"."&amp;I$2&amp;I$1&amp;"C"&amp;$A14)="N/A",0,RTD("tos.rtd",,$A$2,"."&amp;I$2&amp;I$1&amp;"C"&amp;$A14))+IF(RTD("tos.rtd",,$A$2,"."&amp;I$2&amp;I$1&amp;"P"&amp;$A14)="N/A",0,RTD("tos.rtd",,$A$2,"."&amp;I$2&amp;I$1&amp;"P"&amp;$A14)),IF(RTD("tos.rtd",,$A$2,"."&amp;I$2&amp;I$1&amp;"C"&amp;$A14)="N/A",0,RTD("tos.rtd",,$A$2,"."&amp;I$2&amp;I$1&amp;"C"&amp;$A14))-IF(RTD("tos.rtd",,$A$2,"."&amp;I$2&amp;I$1&amp;"P"&amp;$A14)="N/A",0,RTD("tos.rtd",,$A$2,"."&amp;I$2&amp;I$1&amp;"P"&amp;$A14))))))))))</f>
        <v>0</v>
      </c>
      <c r="J14" s="12">
        <f ca="1">IF($A$2="PREMIUM_OI",IFERROR(IF($X$1="ABS",(100*RTD("tos.rtd",,"OPEN_INT","."&amp;J$2&amp;J$1&amp;"C"&amp;$A14)*RTD("tos.rtd",,"LAST","."&amp;J$2&amp;J$1&amp;"C"&amp;$A14)+100*RTD("tos.rtd",,"OPEN_INT","."&amp;J$2&amp;J$1&amp;"P"&amp;$A14)*RTD("tos.rtd",,"LAST","."&amp;J$2&amp;J$1&amp;"P"&amp;$A14))/1000000,(100*RTD("tos.rtd",,"OPEN_INT","."&amp;J$2&amp;J$1&amp;"C"&amp;$A14)*RTD("tos.rtd",,"LAST","."&amp;J$2&amp;J$1&amp;"C"&amp;$A14)-100*RTD("tos.rtd",,"OPEN_INT","."&amp;J$2&amp;J$1&amp;"P"&amp;$A14)*RTD("tos.rtd",,"LAST","."&amp;J$2&amp;J$1&amp;"P"&amp;$A14))/1000000),0),IF($A$2="PREMIUM",IFERROR(IF($X$1="ABS",(100*RTD("tos.rtd",,"VOLUME","."&amp;J$2&amp;J$1&amp;"C"&amp;$A14)*RTD("tos.rtd",,"LAST","."&amp;J$2&amp;J$1&amp;"C"&amp;$A14)+100*RTD("tos.rtd",,"VOLUME","."&amp;J$2&amp;J$1&amp;"P"&amp;$A14)*RTD("tos.rtd",,"LAST","."&amp;J$2&amp;J$1&amp;"P"&amp;$A14))/1000000,(100*RTD("tos.rtd",,"VOLUME","."&amp;J$2&amp;J$1&amp;"C"&amp;$A14)*RTD("tos.rtd",,"LAST","."&amp;J$2&amp;J$1&amp;"C"&amp;$A14)-100*RTD("tos.rtd",,"VOLUME","."&amp;J$2&amp;J$1&amp;"P"&amp;$A14)*RTD("tos.rtd",,"LAST","."&amp;J$2&amp;J$1&amp;"P"&amp;$A14))/1000000),0),IF($A$2="DEX",IFERROR(IF($X$1="ABS",(100*RTD("tos.rtd",,"OPEN_INT","."&amp;J$2&amp;J$1&amp;"C"&amp;$A14)*RTD("tos.rtd",,"DELTA","."&amp;J$2&amp;J$1&amp;"C"&amp;$A14)+100*RTD("tos.rtd",,"OPEN_INT","."&amp;J$2&amp;J$1&amp;"P"&amp;$A14)*RTD("tos.rtd",,"DELTA","."&amp;J$2&amp;J$1&amp;"P"&amp;$A14))/1000,(100*RTD("tos.rtd",,"OPEN_INT","."&amp;J$2&amp;J$1&amp;"C"&amp;$A14)*RTD("tos.rtd",,"DELTA","."&amp;J$2&amp;J$1&amp;"C"&amp;$A14)-100*RTD("tos.rtd",,"OPEN_INT","."&amp;J$2&amp;J$1&amp;"P"&amp;$A14)*RTD("tos.rtd",,"DELTA","."&amp;J$2&amp;J$1&amp;"P"&amp;$A14))/1000),0),IF($A$2="VEX",IFERROR(IF($X$1="ABS",($A$4*$A$4*RTD("tos.rtd",,"VOLUME","."&amp;J$2&amp;J$1&amp;"C"&amp;$A14)*RTD("tos.rtd",,"GAMMA","."&amp;J$2&amp;J$1&amp;"C"&amp;$A14)+$A$4*$A$4*RTD("tos.rtd",,"VOLUME","."&amp;J$2&amp;J$1&amp;"P"&amp;$A14)*RTD("tos.rtd",,"GAMMA","."&amp;J$2&amp;J$1&amp;"P"&amp;$A14))/1000000,($A$4*$A$4*RTD("tos.rtd",,"VOLUME","."&amp;J$2&amp;J$1&amp;"C"&amp;$A14)*RTD("tos.rtd",,"GAMMA","."&amp;J$2&amp;J$1&amp;"C"&amp;$A14)-$A$4*$A$4*RTD("tos.rtd",,"VOLUME","."&amp;J$2&amp;J$1&amp;"P"&amp;$A14)*RTD("tos.rtd",,"GAMMA","."&amp;J$2&amp;J$1&amp;"P"&amp;$A14))/1000000),0),IF($A$2="GEX",IFERROR(IF($X$1="ABS",($A$4*$A$4*RTD("tos.rtd",,"OPEN_INT","."&amp;J$2&amp;J$1&amp;"C"&amp;$A14)*RTD("tos.rtd",,"GAMMA","."&amp;J$2&amp;J$1&amp;"C"&amp;$A14)+$A$4*$A$4*RTD("tos.rtd",,"OPEN_INT","."&amp;J$2&amp;J$1&amp;"P"&amp;$A14)*RTD("tos.rtd",,"GAMMA","."&amp;J$2&amp;J$1&amp;"P"&amp;$A14))/1000000,($A$4*$A$4*RTD("tos.rtd",,"OPEN_INT","."&amp;J$2&amp;J$1&amp;"C"&amp;$A14)*RTD("tos.rtd",,"GAMMA","."&amp;J$2&amp;J$1&amp;"C"&amp;$A14)-$A$4*$A$4*RTD("tos.rtd",,"OPEN_INT","."&amp;J$2&amp;J$1&amp;"P"&amp;$A14)*RTD("tos.rtd",,"GAMMA","."&amp;J$2&amp;J$1&amp;"P"&amp;$A14))/1000000),0),IF($A$2="SKEW",IFERROR(VALUE(IF(RTD("tos.rtd",,"IMPL_VOL","."&amp;J$2&amp;J$1&amp;"P"&amp;$A14)="N/A",0,RTD("tos.rtd",,"IMPL_VOL","."&amp;J$2&amp;J$1&amp;"P"&amp;$A14))),0)-IFERROR(VALUE(IF(RTD("tos.rtd",,"IMPL_VOL","."&amp;J$2&amp;J$1&amp;"C"&amp;$A14)="N/A",0,RTD("tos.rtd",,"IMPL_VOL","."&amp;J$2&amp;J$1&amp;"C"&amp;$A14))),0),IF($A$2="MAXPAIN",IF($A$4&gt;$A14,($A$4-$A14)*IF(RTD("tos.rtd",,"OPEN_INT","."&amp;J$2&amp;J$1&amp;"C"&amp;$A14)="N/A",0,RTD("tos.rtd",,"OPEN_INT","."&amp;J$2&amp;J$1&amp;"C"&amp;$A14)),0)+IF($A$4&lt;$A14,($A$5-$A$4)*IF(RTD("tos.rtd",,"OPEN_INT","."&amp;J$2&amp;J$1&amp;"P"&amp;$A14)="N/A",0,RTD("tos.rtd",,"OPEN_INT","."&amp;J$2&amp;J$1&amp;"P"&amp;$A14)),0),IF($X$1="ABS",IF(RTD("tos.rtd",,$A$2,"."&amp;J$2&amp;J$1&amp;"C"&amp;$A14)="N/A",0,RTD("tos.rtd",,$A$2,"."&amp;J$2&amp;J$1&amp;"C"&amp;$A14))+IF(RTD("tos.rtd",,$A$2,"."&amp;J$2&amp;J$1&amp;"P"&amp;$A14)="N/A",0,RTD("tos.rtd",,$A$2,"."&amp;J$2&amp;J$1&amp;"P"&amp;$A14)),IF(RTD("tos.rtd",,$A$2,"."&amp;J$2&amp;J$1&amp;"C"&amp;$A14)="N/A",0,RTD("tos.rtd",,$A$2,"."&amp;J$2&amp;J$1&amp;"C"&amp;$A14))-IF(RTD("tos.rtd",,$A$2,"."&amp;J$2&amp;J$1&amp;"P"&amp;$A14)="N/A",0,RTD("tos.rtd",,$A$2,"."&amp;J$2&amp;J$1&amp;"P"&amp;$A14))))))))))</f>
        <v>0</v>
      </c>
      <c r="K14" s="12">
        <f ca="1">IF($A$2="PREMIUM_OI",IFERROR(IF($X$1="ABS",(100*RTD("tos.rtd",,"OPEN_INT","."&amp;K$2&amp;K$1&amp;"C"&amp;$A14)*RTD("tos.rtd",,"LAST","."&amp;K$2&amp;K$1&amp;"C"&amp;$A14)+100*RTD("tos.rtd",,"OPEN_INT","."&amp;K$2&amp;K$1&amp;"P"&amp;$A14)*RTD("tos.rtd",,"LAST","."&amp;K$2&amp;K$1&amp;"P"&amp;$A14))/1000000,(100*RTD("tos.rtd",,"OPEN_INT","."&amp;K$2&amp;K$1&amp;"C"&amp;$A14)*RTD("tos.rtd",,"LAST","."&amp;K$2&amp;K$1&amp;"C"&amp;$A14)-100*RTD("tos.rtd",,"OPEN_INT","."&amp;K$2&amp;K$1&amp;"P"&amp;$A14)*RTD("tos.rtd",,"LAST","."&amp;K$2&amp;K$1&amp;"P"&amp;$A14))/1000000),0),IF($A$2="PREMIUM",IFERROR(IF($X$1="ABS",(100*RTD("tos.rtd",,"VOLUME","."&amp;K$2&amp;K$1&amp;"C"&amp;$A14)*RTD("tos.rtd",,"LAST","."&amp;K$2&amp;K$1&amp;"C"&amp;$A14)+100*RTD("tos.rtd",,"VOLUME","."&amp;K$2&amp;K$1&amp;"P"&amp;$A14)*RTD("tos.rtd",,"LAST","."&amp;K$2&amp;K$1&amp;"P"&amp;$A14))/1000000,(100*RTD("tos.rtd",,"VOLUME","."&amp;K$2&amp;K$1&amp;"C"&amp;$A14)*RTD("tos.rtd",,"LAST","."&amp;K$2&amp;K$1&amp;"C"&amp;$A14)-100*RTD("tos.rtd",,"VOLUME","."&amp;K$2&amp;K$1&amp;"P"&amp;$A14)*RTD("tos.rtd",,"LAST","."&amp;K$2&amp;K$1&amp;"P"&amp;$A14))/1000000),0),IF($A$2="DEX",IFERROR(IF($X$1="ABS",(100*RTD("tos.rtd",,"OPEN_INT","."&amp;K$2&amp;K$1&amp;"C"&amp;$A14)*RTD("tos.rtd",,"DELTA","."&amp;K$2&amp;K$1&amp;"C"&amp;$A14)+100*RTD("tos.rtd",,"OPEN_INT","."&amp;K$2&amp;K$1&amp;"P"&amp;$A14)*RTD("tos.rtd",,"DELTA","."&amp;K$2&amp;K$1&amp;"P"&amp;$A14))/1000,(100*RTD("tos.rtd",,"OPEN_INT","."&amp;K$2&amp;K$1&amp;"C"&amp;$A14)*RTD("tos.rtd",,"DELTA","."&amp;K$2&amp;K$1&amp;"C"&amp;$A14)-100*RTD("tos.rtd",,"OPEN_INT","."&amp;K$2&amp;K$1&amp;"P"&amp;$A14)*RTD("tos.rtd",,"DELTA","."&amp;K$2&amp;K$1&amp;"P"&amp;$A14))/1000),0),IF($A$2="VEX",IFERROR(IF($X$1="ABS",($A$4*$A$4*RTD("tos.rtd",,"VOLUME","."&amp;K$2&amp;K$1&amp;"C"&amp;$A14)*RTD("tos.rtd",,"GAMMA","."&amp;K$2&amp;K$1&amp;"C"&amp;$A14)+$A$4*$A$4*RTD("tos.rtd",,"VOLUME","."&amp;K$2&amp;K$1&amp;"P"&amp;$A14)*RTD("tos.rtd",,"GAMMA","."&amp;K$2&amp;K$1&amp;"P"&amp;$A14))/1000000,($A$4*$A$4*RTD("tos.rtd",,"VOLUME","."&amp;K$2&amp;K$1&amp;"C"&amp;$A14)*RTD("tos.rtd",,"GAMMA","."&amp;K$2&amp;K$1&amp;"C"&amp;$A14)-$A$4*$A$4*RTD("tos.rtd",,"VOLUME","."&amp;K$2&amp;K$1&amp;"P"&amp;$A14)*RTD("tos.rtd",,"GAMMA","."&amp;K$2&amp;K$1&amp;"P"&amp;$A14))/1000000),0),IF($A$2="GEX",IFERROR(IF($X$1="ABS",($A$4*$A$4*RTD("tos.rtd",,"OPEN_INT","."&amp;K$2&amp;K$1&amp;"C"&amp;$A14)*RTD("tos.rtd",,"GAMMA","."&amp;K$2&amp;K$1&amp;"C"&amp;$A14)+$A$4*$A$4*RTD("tos.rtd",,"OPEN_INT","."&amp;K$2&amp;K$1&amp;"P"&amp;$A14)*RTD("tos.rtd",,"GAMMA","."&amp;K$2&amp;K$1&amp;"P"&amp;$A14))/1000000,($A$4*$A$4*RTD("tos.rtd",,"OPEN_INT","."&amp;K$2&amp;K$1&amp;"C"&amp;$A14)*RTD("tos.rtd",,"GAMMA","."&amp;K$2&amp;K$1&amp;"C"&amp;$A14)-$A$4*$A$4*RTD("tos.rtd",,"OPEN_INT","."&amp;K$2&amp;K$1&amp;"P"&amp;$A14)*RTD("tos.rtd",,"GAMMA","."&amp;K$2&amp;K$1&amp;"P"&amp;$A14))/1000000),0),IF($A$2="SKEW",IFERROR(VALUE(IF(RTD("tos.rtd",,"IMPL_VOL","."&amp;K$2&amp;K$1&amp;"P"&amp;$A14)="N/A",0,RTD("tos.rtd",,"IMPL_VOL","."&amp;K$2&amp;K$1&amp;"P"&amp;$A14))),0)-IFERROR(VALUE(IF(RTD("tos.rtd",,"IMPL_VOL","."&amp;K$2&amp;K$1&amp;"C"&amp;$A14)="N/A",0,RTD("tos.rtd",,"IMPL_VOL","."&amp;K$2&amp;K$1&amp;"C"&amp;$A14))),0),IF($A$2="MAXPAIN",IF($A$4&gt;$A14,($A$4-$A14)*IF(RTD("tos.rtd",,"OPEN_INT","."&amp;K$2&amp;K$1&amp;"C"&amp;$A14)="N/A",0,RTD("tos.rtd",,"OPEN_INT","."&amp;K$2&amp;K$1&amp;"C"&amp;$A14)),0)+IF($A$4&lt;$A14,($A$5-$A$4)*IF(RTD("tos.rtd",,"OPEN_INT","."&amp;K$2&amp;K$1&amp;"P"&amp;$A14)="N/A",0,RTD("tos.rtd",,"OPEN_INT","."&amp;K$2&amp;K$1&amp;"P"&amp;$A14)),0),IF($X$1="ABS",IF(RTD("tos.rtd",,$A$2,"."&amp;K$2&amp;K$1&amp;"C"&amp;$A14)="N/A",0,RTD("tos.rtd",,$A$2,"."&amp;K$2&amp;K$1&amp;"C"&amp;$A14))+IF(RTD("tos.rtd",,$A$2,"."&amp;K$2&amp;K$1&amp;"P"&amp;$A14)="N/A",0,RTD("tos.rtd",,$A$2,"."&amp;K$2&amp;K$1&amp;"P"&amp;$A14)),IF(RTD("tos.rtd",,$A$2,"."&amp;K$2&amp;K$1&amp;"C"&amp;$A14)="N/A",0,RTD("tos.rtd",,$A$2,"."&amp;K$2&amp;K$1&amp;"C"&amp;$A14))-IF(RTD("tos.rtd",,$A$2,"."&amp;K$2&amp;K$1&amp;"P"&amp;$A14)="N/A",0,RTD("tos.rtd",,$A$2,"."&amp;K$2&amp;K$1&amp;"P"&amp;$A14))))))))))</f>
        <v>0</v>
      </c>
      <c r="L14" s="54">
        <f ca="1">IF($A$2="PREMIUM_OI",IFERROR(IF($X$1="ABS",(100*RTD("tos.rtd",,"OPEN_INT","."&amp;L$2&amp;L$1&amp;"C"&amp;$A14)*RTD("tos.rtd",,"LAST","."&amp;L$2&amp;L$1&amp;"C"&amp;$A14)+100*RTD("tos.rtd",,"OPEN_INT","."&amp;L$2&amp;L$1&amp;"P"&amp;$A14)*RTD("tos.rtd",,"LAST","."&amp;L$2&amp;L$1&amp;"P"&amp;$A14))/1000000,(100*RTD("tos.rtd",,"OPEN_INT","."&amp;L$2&amp;L$1&amp;"C"&amp;$A14)*RTD("tos.rtd",,"LAST","."&amp;L$2&amp;L$1&amp;"C"&amp;$A14)-100*RTD("tos.rtd",,"OPEN_INT","."&amp;L$2&amp;L$1&amp;"P"&amp;$A14)*RTD("tos.rtd",,"LAST","."&amp;L$2&amp;L$1&amp;"P"&amp;$A14))/1000000),0),IF($A$2="PREMIUM",IFERROR(IF($X$1="ABS",(100*RTD("tos.rtd",,"VOLUME","."&amp;L$2&amp;L$1&amp;"C"&amp;$A14)*RTD("tos.rtd",,"LAST","."&amp;L$2&amp;L$1&amp;"C"&amp;$A14)+100*RTD("tos.rtd",,"VOLUME","."&amp;L$2&amp;L$1&amp;"P"&amp;$A14)*RTD("tos.rtd",,"LAST","."&amp;L$2&amp;L$1&amp;"P"&amp;$A14))/1000000,(100*RTD("tos.rtd",,"VOLUME","."&amp;L$2&amp;L$1&amp;"C"&amp;$A14)*RTD("tos.rtd",,"LAST","."&amp;L$2&amp;L$1&amp;"C"&amp;$A14)-100*RTD("tos.rtd",,"VOLUME","."&amp;L$2&amp;L$1&amp;"P"&amp;$A14)*RTD("tos.rtd",,"LAST","."&amp;L$2&amp;L$1&amp;"P"&amp;$A14))/1000000),0),IF($A$2="DEX",IFERROR(IF($X$1="ABS",(100*RTD("tos.rtd",,"OPEN_INT","."&amp;L$2&amp;L$1&amp;"C"&amp;$A14)*RTD("tos.rtd",,"DELTA","."&amp;L$2&amp;L$1&amp;"C"&amp;$A14)+100*RTD("tos.rtd",,"OPEN_INT","."&amp;L$2&amp;L$1&amp;"P"&amp;$A14)*RTD("tos.rtd",,"DELTA","."&amp;L$2&amp;L$1&amp;"P"&amp;$A14))/1000,(100*RTD("tos.rtd",,"OPEN_INT","."&amp;L$2&amp;L$1&amp;"C"&amp;$A14)*RTD("tos.rtd",,"DELTA","."&amp;L$2&amp;L$1&amp;"C"&amp;$A14)-100*RTD("tos.rtd",,"OPEN_INT","."&amp;L$2&amp;L$1&amp;"P"&amp;$A14)*RTD("tos.rtd",,"DELTA","."&amp;L$2&amp;L$1&amp;"P"&amp;$A14))/1000),0),IF($A$2="VEX",IFERROR(IF($X$1="ABS",($A$4*$A$4*RTD("tos.rtd",,"VOLUME","."&amp;L$2&amp;L$1&amp;"C"&amp;$A14)*RTD("tos.rtd",,"GAMMA","."&amp;L$2&amp;L$1&amp;"C"&amp;$A14)+$A$4*$A$4*RTD("tos.rtd",,"VOLUME","."&amp;L$2&amp;L$1&amp;"P"&amp;$A14)*RTD("tos.rtd",,"GAMMA","."&amp;L$2&amp;L$1&amp;"P"&amp;$A14))/1000000,($A$4*$A$4*RTD("tos.rtd",,"VOLUME","."&amp;L$2&amp;L$1&amp;"C"&amp;$A14)*RTD("tos.rtd",,"GAMMA","."&amp;L$2&amp;L$1&amp;"C"&amp;$A14)-$A$4*$A$4*RTD("tos.rtd",,"VOLUME","."&amp;L$2&amp;L$1&amp;"P"&amp;$A14)*RTD("tos.rtd",,"GAMMA","."&amp;L$2&amp;L$1&amp;"P"&amp;$A14))/1000000),0),IF($A$2="GEX",IFERROR(IF($X$1="ABS",($A$4*$A$4*RTD("tos.rtd",,"OPEN_INT","."&amp;L$2&amp;L$1&amp;"C"&amp;$A14)*RTD("tos.rtd",,"GAMMA","."&amp;L$2&amp;L$1&amp;"C"&amp;$A14)+$A$4*$A$4*RTD("tos.rtd",,"OPEN_INT","."&amp;L$2&amp;L$1&amp;"P"&amp;$A14)*RTD("tos.rtd",,"GAMMA","."&amp;L$2&amp;L$1&amp;"P"&amp;$A14))/1000000,($A$4*$A$4*RTD("tos.rtd",,"OPEN_INT","."&amp;L$2&amp;L$1&amp;"C"&amp;$A14)*RTD("tos.rtd",,"GAMMA","."&amp;L$2&amp;L$1&amp;"C"&amp;$A14)-$A$4*$A$4*RTD("tos.rtd",,"OPEN_INT","."&amp;L$2&amp;L$1&amp;"P"&amp;$A14)*RTD("tos.rtd",,"GAMMA","."&amp;L$2&amp;L$1&amp;"P"&amp;$A14))/1000000),0),IF($A$2="SKEW",IFERROR(VALUE(IF(RTD("tos.rtd",,"IMPL_VOL","."&amp;L$2&amp;L$1&amp;"P"&amp;$A14)="N/A",0,RTD("tos.rtd",,"IMPL_VOL","."&amp;L$2&amp;L$1&amp;"P"&amp;$A14))),0)-IFERROR(VALUE(IF(RTD("tos.rtd",,"IMPL_VOL","."&amp;L$2&amp;L$1&amp;"C"&amp;$A14)="N/A",0,RTD("tos.rtd",,"IMPL_VOL","."&amp;L$2&amp;L$1&amp;"C"&amp;$A14))),0),IF($A$2="MAXPAIN",IF($A$4&gt;$A14,($A$4-$A14)*IF(RTD("tos.rtd",,"OPEN_INT","."&amp;L$2&amp;L$1&amp;"C"&amp;$A14)="N/A",0,RTD("tos.rtd",,"OPEN_INT","."&amp;L$2&amp;L$1&amp;"C"&amp;$A14)),0)+IF($A$4&lt;$A14,($A$5-$A$4)*IF(RTD("tos.rtd",,"OPEN_INT","."&amp;L$2&amp;L$1&amp;"P"&amp;$A14)="N/A",0,RTD("tos.rtd",,"OPEN_INT","."&amp;L$2&amp;L$1&amp;"P"&amp;$A14)),0),IF($X$1="ABS",IF(RTD("tos.rtd",,$A$2,"."&amp;L$2&amp;L$1&amp;"C"&amp;$A14)="N/A",0,RTD("tos.rtd",,$A$2,"."&amp;L$2&amp;L$1&amp;"C"&amp;$A14))+IF(RTD("tos.rtd",,$A$2,"."&amp;L$2&amp;L$1&amp;"P"&amp;$A14)="N/A",0,RTD("tos.rtd",,$A$2,"."&amp;L$2&amp;L$1&amp;"P"&amp;$A14)),IF(RTD("tos.rtd",,$A$2,"."&amp;L$2&amp;L$1&amp;"C"&amp;$A14)="N/A",0,RTD("tos.rtd",,$A$2,"."&amp;L$2&amp;L$1&amp;"C"&amp;$A14))-IF(RTD("tos.rtd",,$A$2,"."&amp;L$2&amp;L$1&amp;"P"&amp;$A14)="N/A",0,RTD("tos.rtd",,$A$2,"."&amp;L$2&amp;L$1&amp;"P"&amp;$A14))))))))))</f>
        <v>0</v>
      </c>
      <c r="M14" s="12">
        <f ca="1">IF($A$2="PREMIUM_OI",IFERROR(IF($X$1="ABS",(100*RTD("tos.rtd",,"OPEN_INT","."&amp;M$2&amp;M$1&amp;"C"&amp;$A14)*RTD("tos.rtd",,"LAST","."&amp;M$2&amp;M$1&amp;"C"&amp;$A14)+100*RTD("tos.rtd",,"OPEN_INT","."&amp;M$2&amp;M$1&amp;"P"&amp;$A14)*RTD("tos.rtd",,"LAST","."&amp;M$2&amp;M$1&amp;"P"&amp;$A14))/1000000,(100*RTD("tos.rtd",,"OPEN_INT","."&amp;M$2&amp;M$1&amp;"C"&amp;$A14)*RTD("tos.rtd",,"LAST","."&amp;M$2&amp;M$1&amp;"C"&amp;$A14)-100*RTD("tos.rtd",,"OPEN_INT","."&amp;M$2&amp;M$1&amp;"P"&amp;$A14)*RTD("tos.rtd",,"LAST","."&amp;M$2&amp;M$1&amp;"P"&amp;$A14))/1000000),0),IF($A$2="PREMIUM",IFERROR(IF($X$1="ABS",(100*RTD("tos.rtd",,"VOLUME","."&amp;M$2&amp;M$1&amp;"C"&amp;$A14)*RTD("tos.rtd",,"LAST","."&amp;M$2&amp;M$1&amp;"C"&amp;$A14)+100*RTD("tos.rtd",,"VOLUME","."&amp;M$2&amp;M$1&amp;"P"&amp;$A14)*RTD("tos.rtd",,"LAST","."&amp;M$2&amp;M$1&amp;"P"&amp;$A14))/1000000,(100*RTD("tos.rtd",,"VOLUME","."&amp;M$2&amp;M$1&amp;"C"&amp;$A14)*RTD("tos.rtd",,"LAST","."&amp;M$2&amp;M$1&amp;"C"&amp;$A14)-100*RTD("tos.rtd",,"VOLUME","."&amp;M$2&amp;M$1&amp;"P"&amp;$A14)*RTD("tos.rtd",,"LAST","."&amp;M$2&amp;M$1&amp;"P"&amp;$A14))/1000000),0),IF($A$2="DEX",IFERROR(IF($X$1="ABS",(100*RTD("tos.rtd",,"OPEN_INT","."&amp;M$2&amp;M$1&amp;"C"&amp;$A14)*RTD("tos.rtd",,"DELTA","."&amp;M$2&amp;M$1&amp;"C"&amp;$A14)+100*RTD("tos.rtd",,"OPEN_INT","."&amp;M$2&amp;M$1&amp;"P"&amp;$A14)*RTD("tos.rtd",,"DELTA","."&amp;M$2&amp;M$1&amp;"P"&amp;$A14))/1000,(100*RTD("tos.rtd",,"OPEN_INT","."&amp;M$2&amp;M$1&amp;"C"&amp;$A14)*RTD("tos.rtd",,"DELTA","."&amp;M$2&amp;M$1&amp;"C"&amp;$A14)-100*RTD("tos.rtd",,"OPEN_INT","."&amp;M$2&amp;M$1&amp;"P"&amp;$A14)*RTD("tos.rtd",,"DELTA","."&amp;M$2&amp;M$1&amp;"P"&amp;$A14))/1000),0),IF($A$2="VEX",IFERROR(IF($X$1="ABS",($A$4*$A$4*RTD("tos.rtd",,"VOLUME","."&amp;M$2&amp;M$1&amp;"C"&amp;$A14)*RTD("tos.rtd",,"GAMMA","."&amp;M$2&amp;M$1&amp;"C"&amp;$A14)+$A$4*$A$4*RTD("tos.rtd",,"VOLUME","."&amp;M$2&amp;M$1&amp;"P"&amp;$A14)*RTD("tos.rtd",,"GAMMA","."&amp;M$2&amp;M$1&amp;"P"&amp;$A14))/1000000,($A$4*$A$4*RTD("tos.rtd",,"VOLUME","."&amp;M$2&amp;M$1&amp;"C"&amp;$A14)*RTD("tos.rtd",,"GAMMA","."&amp;M$2&amp;M$1&amp;"C"&amp;$A14)-$A$4*$A$4*RTD("tos.rtd",,"VOLUME","."&amp;M$2&amp;M$1&amp;"P"&amp;$A14)*RTD("tos.rtd",,"GAMMA","."&amp;M$2&amp;M$1&amp;"P"&amp;$A14))/1000000),0),IF($A$2="GEX",IFERROR(IF($X$1="ABS",($A$4*$A$4*RTD("tos.rtd",,"OPEN_INT","."&amp;M$2&amp;M$1&amp;"C"&amp;$A14)*RTD("tos.rtd",,"GAMMA","."&amp;M$2&amp;M$1&amp;"C"&amp;$A14)+$A$4*$A$4*RTD("tos.rtd",,"OPEN_INT","."&amp;M$2&amp;M$1&amp;"P"&amp;$A14)*RTD("tos.rtd",,"GAMMA","."&amp;M$2&amp;M$1&amp;"P"&amp;$A14))/1000000,($A$4*$A$4*RTD("tos.rtd",,"OPEN_INT","."&amp;M$2&amp;M$1&amp;"C"&amp;$A14)*RTD("tos.rtd",,"GAMMA","."&amp;M$2&amp;M$1&amp;"C"&amp;$A14)-$A$4*$A$4*RTD("tos.rtd",,"OPEN_INT","."&amp;M$2&amp;M$1&amp;"P"&amp;$A14)*RTD("tos.rtd",,"GAMMA","."&amp;M$2&amp;M$1&amp;"P"&amp;$A14))/1000000),0),IF($A$2="SKEW",IFERROR(VALUE(IF(RTD("tos.rtd",,"IMPL_VOL","."&amp;M$2&amp;M$1&amp;"P"&amp;$A14)="N/A",0,RTD("tos.rtd",,"IMPL_VOL","."&amp;M$2&amp;M$1&amp;"P"&amp;$A14))),0)-IFERROR(VALUE(IF(RTD("tos.rtd",,"IMPL_VOL","."&amp;M$2&amp;M$1&amp;"C"&amp;$A14)="N/A",0,RTD("tos.rtd",,"IMPL_VOL","."&amp;M$2&amp;M$1&amp;"C"&amp;$A14))),0),IF($A$2="MAXPAIN",IF($A$4&gt;$A14,($A$4-$A14)*IF(RTD("tos.rtd",,"OPEN_INT","."&amp;M$2&amp;M$1&amp;"C"&amp;$A14)="N/A",0,RTD("tos.rtd",,"OPEN_INT","."&amp;M$2&amp;M$1&amp;"C"&amp;$A14)),0)+IF($A$4&lt;$A14,($A$5-$A$4)*IF(RTD("tos.rtd",,"OPEN_INT","."&amp;M$2&amp;M$1&amp;"P"&amp;$A14)="N/A",0,RTD("tos.rtd",,"OPEN_INT","."&amp;M$2&amp;M$1&amp;"P"&amp;$A14)),0),IF($X$1="ABS",IF(RTD("tos.rtd",,$A$2,"."&amp;M$2&amp;M$1&amp;"C"&amp;$A14)="N/A",0,RTD("tos.rtd",,$A$2,"."&amp;M$2&amp;M$1&amp;"C"&amp;$A14))+IF(RTD("tos.rtd",,$A$2,"."&amp;M$2&amp;M$1&amp;"P"&amp;$A14)="N/A",0,RTD("tos.rtd",,$A$2,"."&amp;M$2&amp;M$1&amp;"P"&amp;$A14)),IF(RTD("tos.rtd",,$A$2,"."&amp;M$2&amp;M$1&amp;"C"&amp;$A14)="N/A",0,RTD("tos.rtd",,$A$2,"."&amp;M$2&amp;M$1&amp;"C"&amp;$A14))-IF(RTD("tos.rtd",,$A$2,"."&amp;M$2&amp;M$1&amp;"P"&amp;$A14)="N/A",0,RTD("tos.rtd",,$A$2,"."&amp;M$2&amp;M$1&amp;"P"&amp;$A14))))))))))</f>
        <v>0</v>
      </c>
      <c r="N14" s="12">
        <f ca="1">IF($A$2="PREMIUM_OI",IFERROR(IF($X$1="ABS",(100*RTD("tos.rtd",,"OPEN_INT","."&amp;N$2&amp;N$1&amp;"C"&amp;$A14)*RTD("tos.rtd",,"LAST","."&amp;N$2&amp;N$1&amp;"C"&amp;$A14)+100*RTD("tos.rtd",,"OPEN_INT","."&amp;N$2&amp;N$1&amp;"P"&amp;$A14)*RTD("tos.rtd",,"LAST","."&amp;N$2&amp;N$1&amp;"P"&amp;$A14))/1000000,(100*RTD("tos.rtd",,"OPEN_INT","."&amp;N$2&amp;N$1&amp;"C"&amp;$A14)*RTD("tos.rtd",,"LAST","."&amp;N$2&amp;N$1&amp;"C"&amp;$A14)-100*RTD("tos.rtd",,"OPEN_INT","."&amp;N$2&amp;N$1&amp;"P"&amp;$A14)*RTD("tos.rtd",,"LAST","."&amp;N$2&amp;N$1&amp;"P"&amp;$A14))/1000000),0),IF($A$2="PREMIUM",IFERROR(IF($X$1="ABS",(100*RTD("tos.rtd",,"VOLUME","."&amp;N$2&amp;N$1&amp;"C"&amp;$A14)*RTD("tos.rtd",,"LAST","."&amp;N$2&amp;N$1&amp;"C"&amp;$A14)+100*RTD("tos.rtd",,"VOLUME","."&amp;N$2&amp;N$1&amp;"P"&amp;$A14)*RTD("tos.rtd",,"LAST","."&amp;N$2&amp;N$1&amp;"P"&amp;$A14))/1000000,(100*RTD("tos.rtd",,"VOLUME","."&amp;N$2&amp;N$1&amp;"C"&amp;$A14)*RTD("tos.rtd",,"LAST","."&amp;N$2&amp;N$1&amp;"C"&amp;$A14)-100*RTD("tos.rtd",,"VOLUME","."&amp;N$2&amp;N$1&amp;"P"&amp;$A14)*RTD("tos.rtd",,"LAST","."&amp;N$2&amp;N$1&amp;"P"&amp;$A14))/1000000),0),IF($A$2="DEX",IFERROR(IF($X$1="ABS",(100*RTD("tos.rtd",,"OPEN_INT","."&amp;N$2&amp;N$1&amp;"C"&amp;$A14)*RTD("tos.rtd",,"DELTA","."&amp;N$2&amp;N$1&amp;"C"&amp;$A14)+100*RTD("tos.rtd",,"OPEN_INT","."&amp;N$2&amp;N$1&amp;"P"&amp;$A14)*RTD("tos.rtd",,"DELTA","."&amp;N$2&amp;N$1&amp;"P"&amp;$A14))/1000,(100*RTD("tos.rtd",,"OPEN_INT","."&amp;N$2&amp;N$1&amp;"C"&amp;$A14)*RTD("tos.rtd",,"DELTA","."&amp;N$2&amp;N$1&amp;"C"&amp;$A14)-100*RTD("tos.rtd",,"OPEN_INT","."&amp;N$2&amp;N$1&amp;"P"&amp;$A14)*RTD("tos.rtd",,"DELTA","."&amp;N$2&amp;N$1&amp;"P"&amp;$A14))/1000),0),IF($A$2="VEX",IFERROR(IF($X$1="ABS",($A$4*$A$4*RTD("tos.rtd",,"VOLUME","."&amp;N$2&amp;N$1&amp;"C"&amp;$A14)*RTD("tos.rtd",,"GAMMA","."&amp;N$2&amp;N$1&amp;"C"&amp;$A14)+$A$4*$A$4*RTD("tos.rtd",,"VOLUME","."&amp;N$2&amp;N$1&amp;"P"&amp;$A14)*RTD("tos.rtd",,"GAMMA","."&amp;N$2&amp;N$1&amp;"P"&amp;$A14))/1000000,($A$4*$A$4*RTD("tos.rtd",,"VOLUME","."&amp;N$2&amp;N$1&amp;"C"&amp;$A14)*RTD("tos.rtd",,"GAMMA","."&amp;N$2&amp;N$1&amp;"C"&amp;$A14)-$A$4*$A$4*RTD("tos.rtd",,"VOLUME","."&amp;N$2&amp;N$1&amp;"P"&amp;$A14)*RTD("tos.rtd",,"GAMMA","."&amp;N$2&amp;N$1&amp;"P"&amp;$A14))/1000000),0),IF($A$2="GEX",IFERROR(IF($X$1="ABS",($A$4*$A$4*RTD("tos.rtd",,"OPEN_INT","."&amp;N$2&amp;N$1&amp;"C"&amp;$A14)*RTD("tos.rtd",,"GAMMA","."&amp;N$2&amp;N$1&amp;"C"&amp;$A14)+$A$4*$A$4*RTD("tos.rtd",,"OPEN_INT","."&amp;N$2&amp;N$1&amp;"P"&amp;$A14)*RTD("tos.rtd",,"GAMMA","."&amp;N$2&amp;N$1&amp;"P"&amp;$A14))/1000000,($A$4*$A$4*RTD("tos.rtd",,"OPEN_INT","."&amp;N$2&amp;N$1&amp;"C"&amp;$A14)*RTD("tos.rtd",,"GAMMA","."&amp;N$2&amp;N$1&amp;"C"&amp;$A14)-$A$4*$A$4*RTD("tos.rtd",,"OPEN_INT","."&amp;N$2&amp;N$1&amp;"P"&amp;$A14)*RTD("tos.rtd",,"GAMMA","."&amp;N$2&amp;N$1&amp;"P"&amp;$A14))/1000000),0),IF($A$2="SKEW",IFERROR(VALUE(IF(RTD("tos.rtd",,"IMPL_VOL","."&amp;N$2&amp;N$1&amp;"P"&amp;$A14)="N/A",0,RTD("tos.rtd",,"IMPL_VOL","."&amp;N$2&amp;N$1&amp;"P"&amp;$A14))),0)-IFERROR(VALUE(IF(RTD("tos.rtd",,"IMPL_VOL","."&amp;N$2&amp;N$1&amp;"C"&amp;$A14)="N/A",0,RTD("tos.rtd",,"IMPL_VOL","."&amp;N$2&amp;N$1&amp;"C"&amp;$A14))),0),IF($A$2="MAXPAIN",IF($A$4&gt;$A14,($A$4-$A14)*IF(RTD("tos.rtd",,"OPEN_INT","."&amp;N$2&amp;N$1&amp;"C"&amp;$A14)="N/A",0,RTD("tos.rtd",,"OPEN_INT","."&amp;N$2&amp;N$1&amp;"C"&amp;$A14)),0)+IF($A$4&lt;$A14,($A$5-$A$4)*IF(RTD("tos.rtd",,"OPEN_INT","."&amp;N$2&amp;N$1&amp;"P"&amp;$A14)="N/A",0,RTD("tos.rtd",,"OPEN_INT","."&amp;N$2&amp;N$1&amp;"P"&amp;$A14)),0),IF($X$1="ABS",IF(RTD("tos.rtd",,$A$2,"."&amp;N$2&amp;N$1&amp;"C"&amp;$A14)="N/A",0,RTD("tos.rtd",,$A$2,"."&amp;N$2&amp;N$1&amp;"C"&amp;$A14))+IF(RTD("tos.rtd",,$A$2,"."&amp;N$2&amp;N$1&amp;"P"&amp;$A14)="N/A",0,RTD("tos.rtd",,$A$2,"."&amp;N$2&amp;N$1&amp;"P"&amp;$A14)),IF(RTD("tos.rtd",,$A$2,"."&amp;N$2&amp;N$1&amp;"C"&amp;$A14)="N/A",0,RTD("tos.rtd",,$A$2,"."&amp;N$2&amp;N$1&amp;"C"&amp;$A14))-IF(RTD("tos.rtd",,$A$2,"."&amp;N$2&amp;N$1&amp;"P"&amp;$A14)="N/A",0,RTD("tos.rtd",,$A$2,"."&amp;N$2&amp;N$1&amp;"P"&amp;$A14))))))))))</f>
        <v>0</v>
      </c>
      <c r="O14" s="12">
        <f ca="1">IF($A$2="PREMIUM_OI",IFERROR(IF($X$1="ABS",(100*RTD("tos.rtd",,"OPEN_INT","."&amp;O$2&amp;O$1&amp;"C"&amp;$A14)*RTD("tos.rtd",,"LAST","."&amp;O$2&amp;O$1&amp;"C"&amp;$A14)+100*RTD("tos.rtd",,"OPEN_INT","."&amp;O$2&amp;O$1&amp;"P"&amp;$A14)*RTD("tos.rtd",,"LAST","."&amp;O$2&amp;O$1&amp;"P"&amp;$A14))/1000000,(100*RTD("tos.rtd",,"OPEN_INT","."&amp;O$2&amp;O$1&amp;"C"&amp;$A14)*RTD("tos.rtd",,"LAST","."&amp;O$2&amp;O$1&amp;"C"&amp;$A14)-100*RTD("tos.rtd",,"OPEN_INT","."&amp;O$2&amp;O$1&amp;"P"&amp;$A14)*RTD("tos.rtd",,"LAST","."&amp;O$2&amp;O$1&amp;"P"&amp;$A14))/1000000),0),IF($A$2="PREMIUM",IFERROR(IF($X$1="ABS",(100*RTD("tos.rtd",,"VOLUME","."&amp;O$2&amp;O$1&amp;"C"&amp;$A14)*RTD("tos.rtd",,"LAST","."&amp;O$2&amp;O$1&amp;"C"&amp;$A14)+100*RTD("tos.rtd",,"VOLUME","."&amp;O$2&amp;O$1&amp;"P"&amp;$A14)*RTD("tos.rtd",,"LAST","."&amp;O$2&amp;O$1&amp;"P"&amp;$A14))/1000000,(100*RTD("tos.rtd",,"VOLUME","."&amp;O$2&amp;O$1&amp;"C"&amp;$A14)*RTD("tos.rtd",,"LAST","."&amp;O$2&amp;O$1&amp;"C"&amp;$A14)-100*RTD("tos.rtd",,"VOLUME","."&amp;O$2&amp;O$1&amp;"P"&amp;$A14)*RTD("tos.rtd",,"LAST","."&amp;O$2&amp;O$1&amp;"P"&amp;$A14))/1000000),0),IF($A$2="DEX",IFERROR(IF($X$1="ABS",(100*RTD("tos.rtd",,"OPEN_INT","."&amp;O$2&amp;O$1&amp;"C"&amp;$A14)*RTD("tos.rtd",,"DELTA","."&amp;O$2&amp;O$1&amp;"C"&amp;$A14)+100*RTD("tos.rtd",,"OPEN_INT","."&amp;O$2&amp;O$1&amp;"P"&amp;$A14)*RTD("tos.rtd",,"DELTA","."&amp;O$2&amp;O$1&amp;"P"&amp;$A14))/1000,(100*RTD("tos.rtd",,"OPEN_INT","."&amp;O$2&amp;O$1&amp;"C"&amp;$A14)*RTD("tos.rtd",,"DELTA","."&amp;O$2&amp;O$1&amp;"C"&amp;$A14)-100*RTD("tos.rtd",,"OPEN_INT","."&amp;O$2&amp;O$1&amp;"P"&amp;$A14)*RTD("tos.rtd",,"DELTA","."&amp;O$2&amp;O$1&amp;"P"&amp;$A14))/1000),0),IF($A$2="VEX",IFERROR(IF($X$1="ABS",($A$4*$A$4*RTD("tos.rtd",,"VOLUME","."&amp;O$2&amp;O$1&amp;"C"&amp;$A14)*RTD("tos.rtd",,"GAMMA","."&amp;O$2&amp;O$1&amp;"C"&amp;$A14)+$A$4*$A$4*RTD("tos.rtd",,"VOLUME","."&amp;O$2&amp;O$1&amp;"P"&amp;$A14)*RTD("tos.rtd",,"GAMMA","."&amp;O$2&amp;O$1&amp;"P"&amp;$A14))/1000000,($A$4*$A$4*RTD("tos.rtd",,"VOLUME","."&amp;O$2&amp;O$1&amp;"C"&amp;$A14)*RTD("tos.rtd",,"GAMMA","."&amp;O$2&amp;O$1&amp;"C"&amp;$A14)-$A$4*$A$4*RTD("tos.rtd",,"VOLUME","."&amp;O$2&amp;O$1&amp;"P"&amp;$A14)*RTD("tos.rtd",,"GAMMA","."&amp;O$2&amp;O$1&amp;"P"&amp;$A14))/1000000),0),IF($A$2="GEX",IFERROR(IF($X$1="ABS",($A$4*$A$4*RTD("tos.rtd",,"OPEN_INT","."&amp;O$2&amp;O$1&amp;"C"&amp;$A14)*RTD("tos.rtd",,"GAMMA","."&amp;O$2&amp;O$1&amp;"C"&amp;$A14)+$A$4*$A$4*RTD("tos.rtd",,"OPEN_INT","."&amp;O$2&amp;O$1&amp;"P"&amp;$A14)*RTD("tos.rtd",,"GAMMA","."&amp;O$2&amp;O$1&amp;"P"&amp;$A14))/1000000,($A$4*$A$4*RTD("tos.rtd",,"OPEN_INT","."&amp;O$2&amp;O$1&amp;"C"&amp;$A14)*RTD("tos.rtd",,"GAMMA","."&amp;O$2&amp;O$1&amp;"C"&amp;$A14)-$A$4*$A$4*RTD("tos.rtd",,"OPEN_INT","."&amp;O$2&amp;O$1&amp;"P"&amp;$A14)*RTD("tos.rtd",,"GAMMA","."&amp;O$2&amp;O$1&amp;"P"&amp;$A14))/1000000),0),IF($A$2="SKEW",IFERROR(VALUE(IF(RTD("tos.rtd",,"IMPL_VOL","."&amp;O$2&amp;O$1&amp;"P"&amp;$A14)="N/A",0,RTD("tos.rtd",,"IMPL_VOL","."&amp;O$2&amp;O$1&amp;"P"&amp;$A14))),0)-IFERROR(VALUE(IF(RTD("tos.rtd",,"IMPL_VOL","."&amp;O$2&amp;O$1&amp;"C"&amp;$A14)="N/A",0,RTD("tos.rtd",,"IMPL_VOL","."&amp;O$2&amp;O$1&amp;"C"&amp;$A14))),0),IF($A$2="MAXPAIN",IF($A$4&gt;$A14,($A$4-$A14)*IF(RTD("tos.rtd",,"OPEN_INT","."&amp;O$2&amp;O$1&amp;"C"&amp;$A14)="N/A",0,RTD("tos.rtd",,"OPEN_INT","."&amp;O$2&amp;O$1&amp;"C"&amp;$A14)),0)+IF($A$4&lt;$A14,($A$5-$A$4)*IF(RTD("tos.rtd",,"OPEN_INT","."&amp;O$2&amp;O$1&amp;"P"&amp;$A14)="N/A",0,RTD("tos.rtd",,"OPEN_INT","."&amp;O$2&amp;O$1&amp;"P"&amp;$A14)),0),IF($X$1="ABS",IF(RTD("tos.rtd",,$A$2,"."&amp;O$2&amp;O$1&amp;"C"&amp;$A14)="N/A",0,RTD("tos.rtd",,$A$2,"."&amp;O$2&amp;O$1&amp;"C"&amp;$A14))+IF(RTD("tos.rtd",,$A$2,"."&amp;O$2&amp;O$1&amp;"P"&amp;$A14)="N/A",0,RTD("tos.rtd",,$A$2,"."&amp;O$2&amp;O$1&amp;"P"&amp;$A14)),IF(RTD("tos.rtd",,$A$2,"."&amp;O$2&amp;O$1&amp;"C"&amp;$A14)="N/A",0,RTD("tos.rtd",,$A$2,"."&amp;O$2&amp;O$1&amp;"C"&amp;$A14))-IF(RTD("tos.rtd",,$A$2,"."&amp;O$2&amp;O$1&amp;"P"&amp;$A14)="N/A",0,RTD("tos.rtd",,$A$2,"."&amp;O$2&amp;O$1&amp;"P"&amp;$A14))))))))))</f>
        <v>0</v>
      </c>
      <c r="P14" s="12">
        <f ca="1">IF($A$2="PREMIUM_OI",IFERROR(IF($X$1="ABS",(100*RTD("tos.rtd",,"OPEN_INT","."&amp;P$2&amp;P$1&amp;"C"&amp;$A14)*RTD("tos.rtd",,"LAST","."&amp;P$2&amp;P$1&amp;"C"&amp;$A14)+100*RTD("tos.rtd",,"OPEN_INT","."&amp;P$2&amp;P$1&amp;"P"&amp;$A14)*RTD("tos.rtd",,"LAST","."&amp;P$2&amp;P$1&amp;"P"&amp;$A14))/1000000,(100*RTD("tos.rtd",,"OPEN_INT","."&amp;P$2&amp;P$1&amp;"C"&amp;$A14)*RTD("tos.rtd",,"LAST","."&amp;P$2&amp;P$1&amp;"C"&amp;$A14)-100*RTD("tos.rtd",,"OPEN_INT","."&amp;P$2&amp;P$1&amp;"P"&amp;$A14)*RTD("tos.rtd",,"LAST","."&amp;P$2&amp;P$1&amp;"P"&amp;$A14))/1000000),0),IF($A$2="PREMIUM",IFERROR(IF($X$1="ABS",(100*RTD("tos.rtd",,"VOLUME","."&amp;P$2&amp;P$1&amp;"C"&amp;$A14)*RTD("tos.rtd",,"LAST","."&amp;P$2&amp;P$1&amp;"C"&amp;$A14)+100*RTD("tos.rtd",,"VOLUME","."&amp;P$2&amp;P$1&amp;"P"&amp;$A14)*RTD("tos.rtd",,"LAST","."&amp;P$2&amp;P$1&amp;"P"&amp;$A14))/1000000,(100*RTD("tos.rtd",,"VOLUME","."&amp;P$2&amp;P$1&amp;"C"&amp;$A14)*RTD("tos.rtd",,"LAST","."&amp;P$2&amp;P$1&amp;"C"&amp;$A14)-100*RTD("tos.rtd",,"VOLUME","."&amp;P$2&amp;P$1&amp;"P"&amp;$A14)*RTD("tos.rtd",,"LAST","."&amp;P$2&amp;P$1&amp;"P"&amp;$A14))/1000000),0),IF($A$2="DEX",IFERROR(IF($X$1="ABS",(100*RTD("tos.rtd",,"OPEN_INT","."&amp;P$2&amp;P$1&amp;"C"&amp;$A14)*RTD("tos.rtd",,"DELTA","."&amp;P$2&amp;P$1&amp;"C"&amp;$A14)+100*RTD("tos.rtd",,"OPEN_INT","."&amp;P$2&amp;P$1&amp;"P"&amp;$A14)*RTD("tos.rtd",,"DELTA","."&amp;P$2&amp;P$1&amp;"P"&amp;$A14))/1000,(100*RTD("tos.rtd",,"OPEN_INT","."&amp;P$2&amp;P$1&amp;"C"&amp;$A14)*RTD("tos.rtd",,"DELTA","."&amp;P$2&amp;P$1&amp;"C"&amp;$A14)-100*RTD("tos.rtd",,"OPEN_INT","."&amp;P$2&amp;P$1&amp;"P"&amp;$A14)*RTD("tos.rtd",,"DELTA","."&amp;P$2&amp;P$1&amp;"P"&amp;$A14))/1000),0),IF($A$2="VEX",IFERROR(IF($X$1="ABS",($A$4*$A$4*RTD("tos.rtd",,"VOLUME","."&amp;P$2&amp;P$1&amp;"C"&amp;$A14)*RTD("tos.rtd",,"GAMMA","."&amp;P$2&amp;P$1&amp;"C"&amp;$A14)+$A$4*$A$4*RTD("tos.rtd",,"VOLUME","."&amp;P$2&amp;P$1&amp;"P"&amp;$A14)*RTD("tos.rtd",,"GAMMA","."&amp;P$2&amp;P$1&amp;"P"&amp;$A14))/1000000,($A$4*$A$4*RTD("tos.rtd",,"VOLUME","."&amp;P$2&amp;P$1&amp;"C"&amp;$A14)*RTD("tos.rtd",,"GAMMA","."&amp;P$2&amp;P$1&amp;"C"&amp;$A14)-$A$4*$A$4*RTD("tos.rtd",,"VOLUME","."&amp;P$2&amp;P$1&amp;"P"&amp;$A14)*RTD("tos.rtd",,"GAMMA","."&amp;P$2&amp;P$1&amp;"P"&amp;$A14))/1000000),0),IF($A$2="GEX",IFERROR(IF($X$1="ABS",($A$4*$A$4*RTD("tos.rtd",,"OPEN_INT","."&amp;P$2&amp;P$1&amp;"C"&amp;$A14)*RTD("tos.rtd",,"GAMMA","."&amp;P$2&amp;P$1&amp;"C"&amp;$A14)+$A$4*$A$4*RTD("tos.rtd",,"OPEN_INT","."&amp;P$2&amp;P$1&amp;"P"&amp;$A14)*RTD("tos.rtd",,"GAMMA","."&amp;P$2&amp;P$1&amp;"P"&amp;$A14))/1000000,($A$4*$A$4*RTD("tos.rtd",,"OPEN_INT","."&amp;P$2&amp;P$1&amp;"C"&amp;$A14)*RTD("tos.rtd",,"GAMMA","."&amp;P$2&amp;P$1&amp;"C"&amp;$A14)-$A$4*$A$4*RTD("tos.rtd",,"OPEN_INT","."&amp;P$2&amp;P$1&amp;"P"&amp;$A14)*RTD("tos.rtd",,"GAMMA","."&amp;P$2&amp;P$1&amp;"P"&amp;$A14))/1000000),0),IF($A$2="SKEW",IFERROR(VALUE(IF(RTD("tos.rtd",,"IMPL_VOL","."&amp;P$2&amp;P$1&amp;"P"&amp;$A14)="N/A",0,RTD("tos.rtd",,"IMPL_VOL","."&amp;P$2&amp;P$1&amp;"P"&amp;$A14))),0)-IFERROR(VALUE(IF(RTD("tos.rtd",,"IMPL_VOL","."&amp;P$2&amp;P$1&amp;"C"&amp;$A14)="N/A",0,RTD("tos.rtd",,"IMPL_VOL","."&amp;P$2&amp;P$1&amp;"C"&amp;$A14))),0),IF($A$2="MAXPAIN",IF($A$4&gt;$A14,($A$4-$A14)*IF(RTD("tos.rtd",,"OPEN_INT","."&amp;P$2&amp;P$1&amp;"C"&amp;$A14)="N/A",0,RTD("tos.rtd",,"OPEN_INT","."&amp;P$2&amp;P$1&amp;"C"&amp;$A14)),0)+IF($A$4&lt;$A14,($A$5-$A$4)*IF(RTD("tos.rtd",,"OPEN_INT","."&amp;P$2&amp;P$1&amp;"P"&amp;$A14)="N/A",0,RTD("tos.rtd",,"OPEN_INT","."&amp;P$2&amp;P$1&amp;"P"&amp;$A14)),0),IF($X$1="ABS",IF(RTD("tos.rtd",,$A$2,"."&amp;P$2&amp;P$1&amp;"C"&amp;$A14)="N/A",0,RTD("tos.rtd",,$A$2,"."&amp;P$2&amp;P$1&amp;"C"&amp;$A14))+IF(RTD("tos.rtd",,$A$2,"."&amp;P$2&amp;P$1&amp;"P"&amp;$A14)="N/A",0,RTD("tos.rtd",,$A$2,"."&amp;P$2&amp;P$1&amp;"P"&amp;$A14)),IF(RTD("tos.rtd",,$A$2,"."&amp;P$2&amp;P$1&amp;"C"&amp;$A14)="N/A",0,RTD("tos.rtd",,$A$2,"."&amp;P$2&amp;P$1&amp;"C"&amp;$A14))-IF(RTD("tos.rtd",,$A$2,"."&amp;P$2&amp;P$1&amp;"P"&amp;$A14)="N/A",0,RTD("tos.rtd",,$A$2,"."&amp;P$2&amp;P$1&amp;"P"&amp;$A14))))))))))</f>
        <v>0</v>
      </c>
      <c r="Q14" s="12">
        <f ca="1">IF($A$2="PREMIUM_OI",IFERROR(IF($X$1="ABS",(100*RTD("tos.rtd",,"OPEN_INT","."&amp;Q$2&amp;Q$1&amp;"C"&amp;$A14)*RTD("tos.rtd",,"LAST","."&amp;Q$2&amp;Q$1&amp;"C"&amp;$A14)+100*RTD("tos.rtd",,"OPEN_INT","."&amp;Q$2&amp;Q$1&amp;"P"&amp;$A14)*RTD("tos.rtd",,"LAST","."&amp;Q$2&amp;Q$1&amp;"P"&amp;$A14))/1000000,(100*RTD("tos.rtd",,"OPEN_INT","."&amp;Q$2&amp;Q$1&amp;"C"&amp;$A14)*RTD("tos.rtd",,"LAST","."&amp;Q$2&amp;Q$1&amp;"C"&amp;$A14)-100*RTD("tos.rtd",,"OPEN_INT","."&amp;Q$2&amp;Q$1&amp;"P"&amp;$A14)*RTD("tos.rtd",,"LAST","."&amp;Q$2&amp;Q$1&amp;"P"&amp;$A14))/1000000),0),IF($A$2="PREMIUM",IFERROR(IF($X$1="ABS",(100*RTD("tos.rtd",,"VOLUME","."&amp;Q$2&amp;Q$1&amp;"C"&amp;$A14)*RTD("tos.rtd",,"LAST","."&amp;Q$2&amp;Q$1&amp;"C"&amp;$A14)+100*RTD("tos.rtd",,"VOLUME","."&amp;Q$2&amp;Q$1&amp;"P"&amp;$A14)*RTD("tos.rtd",,"LAST","."&amp;Q$2&amp;Q$1&amp;"P"&amp;$A14))/1000000,(100*RTD("tos.rtd",,"VOLUME","."&amp;Q$2&amp;Q$1&amp;"C"&amp;$A14)*RTD("tos.rtd",,"LAST","."&amp;Q$2&amp;Q$1&amp;"C"&amp;$A14)-100*RTD("tos.rtd",,"VOLUME","."&amp;Q$2&amp;Q$1&amp;"P"&amp;$A14)*RTD("tos.rtd",,"LAST","."&amp;Q$2&amp;Q$1&amp;"P"&amp;$A14))/1000000),0),IF($A$2="DEX",IFERROR(IF($X$1="ABS",(100*RTD("tos.rtd",,"OPEN_INT","."&amp;Q$2&amp;Q$1&amp;"C"&amp;$A14)*RTD("tos.rtd",,"DELTA","."&amp;Q$2&amp;Q$1&amp;"C"&amp;$A14)+100*RTD("tos.rtd",,"OPEN_INT","."&amp;Q$2&amp;Q$1&amp;"P"&amp;$A14)*RTD("tos.rtd",,"DELTA","."&amp;Q$2&amp;Q$1&amp;"P"&amp;$A14))/1000,(100*RTD("tos.rtd",,"OPEN_INT","."&amp;Q$2&amp;Q$1&amp;"C"&amp;$A14)*RTD("tos.rtd",,"DELTA","."&amp;Q$2&amp;Q$1&amp;"C"&amp;$A14)-100*RTD("tos.rtd",,"OPEN_INT","."&amp;Q$2&amp;Q$1&amp;"P"&amp;$A14)*RTD("tos.rtd",,"DELTA","."&amp;Q$2&amp;Q$1&amp;"P"&amp;$A14))/1000),0),IF($A$2="VEX",IFERROR(IF($X$1="ABS",($A$4*$A$4*RTD("tos.rtd",,"VOLUME","."&amp;Q$2&amp;Q$1&amp;"C"&amp;$A14)*RTD("tos.rtd",,"GAMMA","."&amp;Q$2&amp;Q$1&amp;"C"&amp;$A14)+$A$4*$A$4*RTD("tos.rtd",,"VOLUME","."&amp;Q$2&amp;Q$1&amp;"P"&amp;$A14)*RTD("tos.rtd",,"GAMMA","."&amp;Q$2&amp;Q$1&amp;"P"&amp;$A14))/1000000,($A$4*$A$4*RTD("tos.rtd",,"VOLUME","."&amp;Q$2&amp;Q$1&amp;"C"&amp;$A14)*RTD("tos.rtd",,"GAMMA","."&amp;Q$2&amp;Q$1&amp;"C"&amp;$A14)-$A$4*$A$4*RTD("tos.rtd",,"VOLUME","."&amp;Q$2&amp;Q$1&amp;"P"&amp;$A14)*RTD("tos.rtd",,"GAMMA","."&amp;Q$2&amp;Q$1&amp;"P"&amp;$A14))/1000000),0),IF($A$2="GEX",IFERROR(IF($X$1="ABS",($A$4*$A$4*RTD("tos.rtd",,"OPEN_INT","."&amp;Q$2&amp;Q$1&amp;"C"&amp;$A14)*RTD("tos.rtd",,"GAMMA","."&amp;Q$2&amp;Q$1&amp;"C"&amp;$A14)+$A$4*$A$4*RTD("tos.rtd",,"OPEN_INT","."&amp;Q$2&amp;Q$1&amp;"P"&amp;$A14)*RTD("tos.rtd",,"GAMMA","."&amp;Q$2&amp;Q$1&amp;"P"&amp;$A14))/1000000,($A$4*$A$4*RTD("tos.rtd",,"OPEN_INT","."&amp;Q$2&amp;Q$1&amp;"C"&amp;$A14)*RTD("tos.rtd",,"GAMMA","."&amp;Q$2&amp;Q$1&amp;"C"&amp;$A14)-$A$4*$A$4*RTD("tos.rtd",,"OPEN_INT","."&amp;Q$2&amp;Q$1&amp;"P"&amp;$A14)*RTD("tos.rtd",,"GAMMA","."&amp;Q$2&amp;Q$1&amp;"P"&amp;$A14))/1000000),0),IF($A$2="SKEW",IFERROR(VALUE(IF(RTD("tos.rtd",,"IMPL_VOL","."&amp;Q$2&amp;Q$1&amp;"P"&amp;$A14)="N/A",0,RTD("tos.rtd",,"IMPL_VOL","."&amp;Q$2&amp;Q$1&amp;"P"&amp;$A14))),0)-IFERROR(VALUE(IF(RTD("tos.rtd",,"IMPL_VOL","."&amp;Q$2&amp;Q$1&amp;"C"&amp;$A14)="N/A",0,RTD("tos.rtd",,"IMPL_VOL","."&amp;Q$2&amp;Q$1&amp;"C"&amp;$A14))),0),IF($A$2="MAXPAIN",IF($A$4&gt;$A14,($A$4-$A14)*IF(RTD("tos.rtd",,"OPEN_INT","."&amp;Q$2&amp;Q$1&amp;"C"&amp;$A14)="N/A",0,RTD("tos.rtd",,"OPEN_INT","."&amp;Q$2&amp;Q$1&amp;"C"&amp;$A14)),0)+IF($A$4&lt;$A14,($A$5-$A$4)*IF(RTD("tos.rtd",,"OPEN_INT","."&amp;Q$2&amp;Q$1&amp;"P"&amp;$A14)="N/A",0,RTD("tos.rtd",,"OPEN_INT","."&amp;Q$2&amp;Q$1&amp;"P"&amp;$A14)),0),IF($X$1="ABS",IF(RTD("tos.rtd",,$A$2,"."&amp;Q$2&amp;Q$1&amp;"C"&amp;$A14)="N/A",0,RTD("tos.rtd",,$A$2,"."&amp;Q$2&amp;Q$1&amp;"C"&amp;$A14))+IF(RTD("tos.rtd",,$A$2,"."&amp;Q$2&amp;Q$1&amp;"P"&amp;$A14)="N/A",0,RTD("tos.rtd",,$A$2,"."&amp;Q$2&amp;Q$1&amp;"P"&amp;$A14)),IF(RTD("tos.rtd",,$A$2,"."&amp;Q$2&amp;Q$1&amp;"C"&amp;$A14)="N/A",0,RTD("tos.rtd",,$A$2,"."&amp;Q$2&amp;Q$1&amp;"C"&amp;$A14))-IF(RTD("tos.rtd",,$A$2,"."&amp;Q$2&amp;Q$1&amp;"P"&amp;$A14)="N/A",0,RTD("tos.rtd",,$A$2,"."&amp;Q$2&amp;Q$1&amp;"P"&amp;$A14))))))))))</f>
        <v>0</v>
      </c>
      <c r="R14" s="12">
        <f ca="1">IF($A$2="PREMIUM_OI",IFERROR(IF($X$1="ABS",(100*RTD("tos.rtd",,"OPEN_INT","."&amp;R$2&amp;R$1&amp;"C"&amp;$A14)*RTD("tos.rtd",,"LAST","."&amp;R$2&amp;R$1&amp;"C"&amp;$A14)+100*RTD("tos.rtd",,"OPEN_INT","."&amp;R$2&amp;R$1&amp;"P"&amp;$A14)*RTD("tos.rtd",,"LAST","."&amp;R$2&amp;R$1&amp;"P"&amp;$A14))/1000000,(100*RTD("tos.rtd",,"OPEN_INT","."&amp;R$2&amp;R$1&amp;"C"&amp;$A14)*RTD("tos.rtd",,"LAST","."&amp;R$2&amp;R$1&amp;"C"&amp;$A14)-100*RTD("tos.rtd",,"OPEN_INT","."&amp;R$2&amp;R$1&amp;"P"&amp;$A14)*RTD("tos.rtd",,"LAST","."&amp;R$2&amp;R$1&amp;"P"&amp;$A14))/1000000),0),IF($A$2="PREMIUM",IFERROR(IF($X$1="ABS",(100*RTD("tos.rtd",,"VOLUME","."&amp;R$2&amp;R$1&amp;"C"&amp;$A14)*RTD("tos.rtd",,"LAST","."&amp;R$2&amp;R$1&amp;"C"&amp;$A14)+100*RTD("tos.rtd",,"VOLUME","."&amp;R$2&amp;R$1&amp;"P"&amp;$A14)*RTD("tos.rtd",,"LAST","."&amp;R$2&amp;R$1&amp;"P"&amp;$A14))/1000000,(100*RTD("tos.rtd",,"VOLUME","."&amp;R$2&amp;R$1&amp;"C"&amp;$A14)*RTD("tos.rtd",,"LAST","."&amp;R$2&amp;R$1&amp;"C"&amp;$A14)-100*RTD("tos.rtd",,"VOLUME","."&amp;R$2&amp;R$1&amp;"P"&amp;$A14)*RTD("tos.rtd",,"LAST","."&amp;R$2&amp;R$1&amp;"P"&amp;$A14))/1000000),0),IF($A$2="DEX",IFERROR(IF($X$1="ABS",(100*RTD("tos.rtd",,"OPEN_INT","."&amp;R$2&amp;R$1&amp;"C"&amp;$A14)*RTD("tos.rtd",,"DELTA","."&amp;R$2&amp;R$1&amp;"C"&amp;$A14)+100*RTD("tos.rtd",,"OPEN_INT","."&amp;R$2&amp;R$1&amp;"P"&amp;$A14)*RTD("tos.rtd",,"DELTA","."&amp;R$2&amp;R$1&amp;"P"&amp;$A14))/1000,(100*RTD("tos.rtd",,"OPEN_INT","."&amp;R$2&amp;R$1&amp;"C"&amp;$A14)*RTD("tos.rtd",,"DELTA","."&amp;R$2&amp;R$1&amp;"C"&amp;$A14)-100*RTD("tos.rtd",,"OPEN_INT","."&amp;R$2&amp;R$1&amp;"P"&amp;$A14)*RTD("tos.rtd",,"DELTA","."&amp;R$2&amp;R$1&amp;"P"&amp;$A14))/1000),0),IF($A$2="VEX",IFERROR(IF($X$1="ABS",($A$4*$A$4*RTD("tos.rtd",,"VOLUME","."&amp;R$2&amp;R$1&amp;"C"&amp;$A14)*RTD("tos.rtd",,"GAMMA","."&amp;R$2&amp;R$1&amp;"C"&amp;$A14)+$A$4*$A$4*RTD("tos.rtd",,"VOLUME","."&amp;R$2&amp;R$1&amp;"P"&amp;$A14)*RTD("tos.rtd",,"GAMMA","."&amp;R$2&amp;R$1&amp;"P"&amp;$A14))/1000000,($A$4*$A$4*RTD("tos.rtd",,"VOLUME","."&amp;R$2&amp;R$1&amp;"C"&amp;$A14)*RTD("tos.rtd",,"GAMMA","."&amp;R$2&amp;R$1&amp;"C"&amp;$A14)-$A$4*$A$4*RTD("tos.rtd",,"VOLUME","."&amp;R$2&amp;R$1&amp;"P"&amp;$A14)*RTD("tos.rtd",,"GAMMA","."&amp;R$2&amp;R$1&amp;"P"&amp;$A14))/1000000),0),IF($A$2="GEX",IFERROR(IF($X$1="ABS",($A$4*$A$4*RTD("tos.rtd",,"OPEN_INT","."&amp;R$2&amp;R$1&amp;"C"&amp;$A14)*RTD("tos.rtd",,"GAMMA","."&amp;R$2&amp;R$1&amp;"C"&amp;$A14)+$A$4*$A$4*RTD("tos.rtd",,"OPEN_INT","."&amp;R$2&amp;R$1&amp;"P"&amp;$A14)*RTD("tos.rtd",,"GAMMA","."&amp;R$2&amp;R$1&amp;"P"&amp;$A14))/1000000,($A$4*$A$4*RTD("tos.rtd",,"OPEN_INT","."&amp;R$2&amp;R$1&amp;"C"&amp;$A14)*RTD("tos.rtd",,"GAMMA","."&amp;R$2&amp;R$1&amp;"C"&amp;$A14)-$A$4*$A$4*RTD("tos.rtd",,"OPEN_INT","."&amp;R$2&amp;R$1&amp;"P"&amp;$A14)*RTD("tos.rtd",,"GAMMA","."&amp;R$2&amp;R$1&amp;"P"&amp;$A14))/1000000),0),IF($A$2="SKEW",IFERROR(VALUE(IF(RTD("tos.rtd",,"IMPL_VOL","."&amp;R$2&amp;R$1&amp;"P"&amp;$A14)="N/A",0,RTD("tos.rtd",,"IMPL_VOL","."&amp;R$2&amp;R$1&amp;"P"&amp;$A14))),0)-IFERROR(VALUE(IF(RTD("tos.rtd",,"IMPL_VOL","."&amp;R$2&amp;R$1&amp;"C"&amp;$A14)="N/A",0,RTD("tos.rtd",,"IMPL_VOL","."&amp;R$2&amp;R$1&amp;"C"&amp;$A14))),0),IF($A$2="MAXPAIN",IF($A$4&gt;$A14,($A$4-$A14)*IF(RTD("tos.rtd",,"OPEN_INT","."&amp;R$2&amp;R$1&amp;"C"&amp;$A14)="N/A",0,RTD("tos.rtd",,"OPEN_INT","."&amp;R$2&amp;R$1&amp;"C"&amp;$A14)),0)+IF($A$4&lt;$A14,($A$5-$A$4)*IF(RTD("tos.rtd",,"OPEN_INT","."&amp;R$2&amp;R$1&amp;"P"&amp;$A14)="N/A",0,RTD("tos.rtd",,"OPEN_INT","."&amp;R$2&amp;R$1&amp;"P"&amp;$A14)),0),IF($X$1="ABS",IF(RTD("tos.rtd",,$A$2,"."&amp;R$2&amp;R$1&amp;"C"&amp;$A14)="N/A",0,RTD("tos.rtd",,$A$2,"."&amp;R$2&amp;R$1&amp;"C"&amp;$A14))+IF(RTD("tos.rtd",,$A$2,"."&amp;R$2&amp;R$1&amp;"P"&amp;$A14)="N/A",0,RTD("tos.rtd",,$A$2,"."&amp;R$2&amp;R$1&amp;"P"&amp;$A14)),IF(RTD("tos.rtd",,$A$2,"."&amp;R$2&amp;R$1&amp;"C"&amp;$A14)="N/A",0,RTD("tos.rtd",,$A$2,"."&amp;R$2&amp;R$1&amp;"C"&amp;$A14))-IF(RTD("tos.rtd",,$A$2,"."&amp;R$2&amp;R$1&amp;"P"&amp;$A14)="N/A",0,RTD("tos.rtd",,$A$2,"."&amp;R$2&amp;R$1&amp;"P"&amp;$A14))))))))))</f>
        <v>0</v>
      </c>
      <c r="S14" s="12">
        <f ca="1">IF($A$2="PREMIUM_OI",IFERROR(IF($X$1="ABS",(100*RTD("tos.rtd",,"OPEN_INT","."&amp;S$2&amp;S$1&amp;"C"&amp;$A14)*RTD("tos.rtd",,"LAST","."&amp;S$2&amp;S$1&amp;"C"&amp;$A14)+100*RTD("tos.rtd",,"OPEN_INT","."&amp;S$2&amp;S$1&amp;"P"&amp;$A14)*RTD("tos.rtd",,"LAST","."&amp;S$2&amp;S$1&amp;"P"&amp;$A14))/1000000,(100*RTD("tos.rtd",,"OPEN_INT","."&amp;S$2&amp;S$1&amp;"C"&amp;$A14)*RTD("tos.rtd",,"LAST","."&amp;S$2&amp;S$1&amp;"C"&amp;$A14)-100*RTD("tos.rtd",,"OPEN_INT","."&amp;S$2&amp;S$1&amp;"P"&amp;$A14)*RTD("tos.rtd",,"LAST","."&amp;S$2&amp;S$1&amp;"P"&amp;$A14))/1000000),0),IF($A$2="PREMIUM",IFERROR(IF($X$1="ABS",(100*RTD("tos.rtd",,"VOLUME","."&amp;S$2&amp;S$1&amp;"C"&amp;$A14)*RTD("tos.rtd",,"LAST","."&amp;S$2&amp;S$1&amp;"C"&amp;$A14)+100*RTD("tos.rtd",,"VOLUME","."&amp;S$2&amp;S$1&amp;"P"&amp;$A14)*RTD("tos.rtd",,"LAST","."&amp;S$2&amp;S$1&amp;"P"&amp;$A14))/1000000,(100*RTD("tos.rtd",,"VOLUME","."&amp;S$2&amp;S$1&amp;"C"&amp;$A14)*RTD("tos.rtd",,"LAST","."&amp;S$2&amp;S$1&amp;"C"&amp;$A14)-100*RTD("tos.rtd",,"VOLUME","."&amp;S$2&amp;S$1&amp;"P"&amp;$A14)*RTD("tos.rtd",,"LAST","."&amp;S$2&amp;S$1&amp;"P"&amp;$A14))/1000000),0),IF($A$2="DEX",IFERROR(IF($X$1="ABS",(100*RTD("tos.rtd",,"OPEN_INT","."&amp;S$2&amp;S$1&amp;"C"&amp;$A14)*RTD("tos.rtd",,"DELTA","."&amp;S$2&amp;S$1&amp;"C"&amp;$A14)+100*RTD("tos.rtd",,"OPEN_INT","."&amp;S$2&amp;S$1&amp;"P"&amp;$A14)*RTD("tos.rtd",,"DELTA","."&amp;S$2&amp;S$1&amp;"P"&amp;$A14))/1000,(100*RTD("tos.rtd",,"OPEN_INT","."&amp;S$2&amp;S$1&amp;"C"&amp;$A14)*RTD("tos.rtd",,"DELTA","."&amp;S$2&amp;S$1&amp;"C"&amp;$A14)-100*RTD("tos.rtd",,"OPEN_INT","."&amp;S$2&amp;S$1&amp;"P"&amp;$A14)*RTD("tos.rtd",,"DELTA","."&amp;S$2&amp;S$1&amp;"P"&amp;$A14))/1000),0),IF($A$2="VEX",IFERROR(IF($X$1="ABS",($A$4*$A$4*RTD("tos.rtd",,"VOLUME","."&amp;S$2&amp;S$1&amp;"C"&amp;$A14)*RTD("tos.rtd",,"GAMMA","."&amp;S$2&amp;S$1&amp;"C"&amp;$A14)+$A$4*$A$4*RTD("tos.rtd",,"VOLUME","."&amp;S$2&amp;S$1&amp;"P"&amp;$A14)*RTD("tos.rtd",,"GAMMA","."&amp;S$2&amp;S$1&amp;"P"&amp;$A14))/1000000,($A$4*$A$4*RTD("tos.rtd",,"VOLUME","."&amp;S$2&amp;S$1&amp;"C"&amp;$A14)*RTD("tos.rtd",,"GAMMA","."&amp;S$2&amp;S$1&amp;"C"&amp;$A14)-$A$4*$A$4*RTD("tos.rtd",,"VOLUME","."&amp;S$2&amp;S$1&amp;"P"&amp;$A14)*RTD("tos.rtd",,"GAMMA","."&amp;S$2&amp;S$1&amp;"P"&amp;$A14))/1000000),0),IF($A$2="GEX",IFERROR(IF($X$1="ABS",($A$4*$A$4*RTD("tos.rtd",,"OPEN_INT","."&amp;S$2&amp;S$1&amp;"C"&amp;$A14)*RTD("tos.rtd",,"GAMMA","."&amp;S$2&amp;S$1&amp;"C"&amp;$A14)+$A$4*$A$4*RTD("tos.rtd",,"OPEN_INT","."&amp;S$2&amp;S$1&amp;"P"&amp;$A14)*RTD("tos.rtd",,"GAMMA","."&amp;S$2&amp;S$1&amp;"P"&amp;$A14))/1000000,($A$4*$A$4*RTD("tos.rtd",,"OPEN_INT","."&amp;S$2&amp;S$1&amp;"C"&amp;$A14)*RTD("tos.rtd",,"GAMMA","."&amp;S$2&amp;S$1&amp;"C"&amp;$A14)-$A$4*$A$4*RTD("tos.rtd",,"OPEN_INT","."&amp;S$2&amp;S$1&amp;"P"&amp;$A14)*RTD("tos.rtd",,"GAMMA","."&amp;S$2&amp;S$1&amp;"P"&amp;$A14))/1000000),0),IF($A$2="SKEW",IFERROR(VALUE(IF(RTD("tos.rtd",,"IMPL_VOL","."&amp;S$2&amp;S$1&amp;"P"&amp;$A14)="N/A",0,RTD("tos.rtd",,"IMPL_VOL","."&amp;S$2&amp;S$1&amp;"P"&amp;$A14))),0)-IFERROR(VALUE(IF(RTD("tos.rtd",,"IMPL_VOL","."&amp;S$2&amp;S$1&amp;"C"&amp;$A14)="N/A",0,RTD("tos.rtd",,"IMPL_VOL","."&amp;S$2&amp;S$1&amp;"C"&amp;$A14))),0),IF($A$2="MAXPAIN",IF($A$4&gt;$A14,($A$4-$A14)*IF(RTD("tos.rtd",,"OPEN_INT","."&amp;S$2&amp;S$1&amp;"C"&amp;$A14)="N/A",0,RTD("tos.rtd",,"OPEN_INT","."&amp;S$2&amp;S$1&amp;"C"&amp;$A14)),0)+IF($A$4&lt;$A14,($A$5-$A$4)*IF(RTD("tos.rtd",,"OPEN_INT","."&amp;S$2&amp;S$1&amp;"P"&amp;$A14)="N/A",0,RTD("tos.rtd",,"OPEN_INT","."&amp;S$2&amp;S$1&amp;"P"&amp;$A14)),0),IF($X$1="ABS",IF(RTD("tos.rtd",,$A$2,"."&amp;S$2&amp;S$1&amp;"C"&amp;$A14)="N/A",0,RTD("tos.rtd",,$A$2,"."&amp;S$2&amp;S$1&amp;"C"&amp;$A14))+IF(RTD("tos.rtd",,$A$2,"."&amp;S$2&amp;S$1&amp;"P"&amp;$A14)="N/A",0,RTD("tos.rtd",,$A$2,"."&amp;S$2&amp;S$1&amp;"P"&amp;$A14)),IF(RTD("tos.rtd",,$A$2,"."&amp;S$2&amp;S$1&amp;"C"&amp;$A14)="N/A",0,RTD("tos.rtd",,$A$2,"."&amp;S$2&amp;S$1&amp;"C"&amp;$A14))-IF(RTD("tos.rtd",,$A$2,"."&amp;S$2&amp;S$1&amp;"P"&amp;$A14)="N/A",0,RTD("tos.rtd",,$A$2,"."&amp;S$2&amp;S$1&amp;"P"&amp;$A14))))))))))</f>
        <v>0</v>
      </c>
      <c r="T14" s="12">
        <f ca="1">IF($A$2="PREMIUM_OI",IFERROR(IF($X$1="ABS",(100*RTD("tos.rtd",,"OPEN_INT","."&amp;T$2&amp;T$1&amp;"C"&amp;$A14)*RTD("tos.rtd",,"LAST","."&amp;T$2&amp;T$1&amp;"C"&amp;$A14)+100*RTD("tos.rtd",,"OPEN_INT","."&amp;T$2&amp;T$1&amp;"P"&amp;$A14)*RTD("tos.rtd",,"LAST","."&amp;T$2&amp;T$1&amp;"P"&amp;$A14))/1000000,(100*RTD("tos.rtd",,"OPEN_INT","."&amp;T$2&amp;T$1&amp;"C"&amp;$A14)*RTD("tos.rtd",,"LAST","."&amp;T$2&amp;T$1&amp;"C"&amp;$A14)-100*RTD("tos.rtd",,"OPEN_INT","."&amp;T$2&amp;T$1&amp;"P"&amp;$A14)*RTD("tos.rtd",,"LAST","."&amp;T$2&amp;T$1&amp;"P"&amp;$A14))/1000000),0),IF($A$2="PREMIUM",IFERROR(IF($X$1="ABS",(100*RTD("tos.rtd",,"VOLUME","."&amp;T$2&amp;T$1&amp;"C"&amp;$A14)*RTD("tos.rtd",,"LAST","."&amp;T$2&amp;T$1&amp;"C"&amp;$A14)+100*RTD("tos.rtd",,"VOLUME","."&amp;T$2&amp;T$1&amp;"P"&amp;$A14)*RTD("tos.rtd",,"LAST","."&amp;T$2&amp;T$1&amp;"P"&amp;$A14))/1000000,(100*RTD("tos.rtd",,"VOLUME","."&amp;T$2&amp;T$1&amp;"C"&amp;$A14)*RTD("tos.rtd",,"LAST","."&amp;T$2&amp;T$1&amp;"C"&amp;$A14)-100*RTD("tos.rtd",,"VOLUME","."&amp;T$2&amp;T$1&amp;"P"&amp;$A14)*RTD("tos.rtd",,"LAST","."&amp;T$2&amp;T$1&amp;"P"&amp;$A14))/1000000),0),IF($A$2="DEX",IFERROR(IF($X$1="ABS",(100*RTD("tos.rtd",,"OPEN_INT","."&amp;T$2&amp;T$1&amp;"C"&amp;$A14)*RTD("tos.rtd",,"DELTA","."&amp;T$2&amp;T$1&amp;"C"&amp;$A14)+100*RTD("tos.rtd",,"OPEN_INT","."&amp;T$2&amp;T$1&amp;"P"&amp;$A14)*RTD("tos.rtd",,"DELTA","."&amp;T$2&amp;T$1&amp;"P"&amp;$A14))/1000,(100*RTD("tos.rtd",,"OPEN_INT","."&amp;T$2&amp;T$1&amp;"C"&amp;$A14)*RTD("tos.rtd",,"DELTA","."&amp;T$2&amp;T$1&amp;"C"&amp;$A14)-100*RTD("tos.rtd",,"OPEN_INT","."&amp;T$2&amp;T$1&amp;"P"&amp;$A14)*RTD("tos.rtd",,"DELTA","."&amp;T$2&amp;T$1&amp;"P"&amp;$A14))/1000),0),IF($A$2="VEX",IFERROR(IF($X$1="ABS",($A$4*$A$4*RTD("tos.rtd",,"VOLUME","."&amp;T$2&amp;T$1&amp;"C"&amp;$A14)*RTD("tos.rtd",,"GAMMA","."&amp;T$2&amp;T$1&amp;"C"&amp;$A14)+$A$4*$A$4*RTD("tos.rtd",,"VOLUME","."&amp;T$2&amp;T$1&amp;"P"&amp;$A14)*RTD("tos.rtd",,"GAMMA","."&amp;T$2&amp;T$1&amp;"P"&amp;$A14))/1000000,($A$4*$A$4*RTD("tos.rtd",,"VOLUME","."&amp;T$2&amp;T$1&amp;"C"&amp;$A14)*RTD("tos.rtd",,"GAMMA","."&amp;T$2&amp;T$1&amp;"C"&amp;$A14)-$A$4*$A$4*RTD("tos.rtd",,"VOLUME","."&amp;T$2&amp;T$1&amp;"P"&amp;$A14)*RTD("tos.rtd",,"GAMMA","."&amp;T$2&amp;T$1&amp;"P"&amp;$A14))/1000000),0),IF($A$2="GEX",IFERROR(IF($X$1="ABS",($A$4*$A$4*RTD("tos.rtd",,"OPEN_INT","."&amp;T$2&amp;T$1&amp;"C"&amp;$A14)*RTD("tos.rtd",,"GAMMA","."&amp;T$2&amp;T$1&amp;"C"&amp;$A14)+$A$4*$A$4*RTD("tos.rtd",,"OPEN_INT","."&amp;T$2&amp;T$1&amp;"P"&amp;$A14)*RTD("tos.rtd",,"GAMMA","."&amp;T$2&amp;T$1&amp;"P"&amp;$A14))/1000000,($A$4*$A$4*RTD("tos.rtd",,"OPEN_INT","."&amp;T$2&amp;T$1&amp;"C"&amp;$A14)*RTD("tos.rtd",,"GAMMA","."&amp;T$2&amp;T$1&amp;"C"&amp;$A14)-$A$4*$A$4*RTD("tos.rtd",,"OPEN_INT","."&amp;T$2&amp;T$1&amp;"P"&amp;$A14)*RTD("tos.rtd",,"GAMMA","."&amp;T$2&amp;T$1&amp;"P"&amp;$A14))/1000000),0),IF($A$2="SKEW",IFERROR(VALUE(IF(RTD("tos.rtd",,"IMPL_VOL","."&amp;T$2&amp;T$1&amp;"P"&amp;$A14)="N/A",0,RTD("tos.rtd",,"IMPL_VOL","."&amp;T$2&amp;T$1&amp;"P"&amp;$A14))),0)-IFERROR(VALUE(IF(RTD("tos.rtd",,"IMPL_VOL","."&amp;T$2&amp;T$1&amp;"C"&amp;$A14)="N/A",0,RTD("tos.rtd",,"IMPL_VOL","."&amp;T$2&amp;T$1&amp;"C"&amp;$A14))),0),IF($A$2="MAXPAIN",IF($A$4&gt;$A14,($A$4-$A14)*IF(RTD("tos.rtd",,"OPEN_INT","."&amp;T$2&amp;T$1&amp;"C"&amp;$A14)="N/A",0,RTD("tos.rtd",,"OPEN_INT","."&amp;T$2&amp;T$1&amp;"C"&amp;$A14)),0)+IF($A$4&lt;$A14,($A$5-$A$4)*IF(RTD("tos.rtd",,"OPEN_INT","."&amp;T$2&amp;T$1&amp;"P"&amp;$A14)="N/A",0,RTD("tos.rtd",,"OPEN_INT","."&amp;T$2&amp;T$1&amp;"P"&amp;$A14)),0),IF($X$1="ABS",IF(RTD("tos.rtd",,$A$2,"."&amp;T$2&amp;T$1&amp;"C"&amp;$A14)="N/A",0,RTD("tos.rtd",,$A$2,"."&amp;T$2&amp;T$1&amp;"C"&amp;$A14))+IF(RTD("tos.rtd",,$A$2,"."&amp;T$2&amp;T$1&amp;"P"&amp;$A14)="N/A",0,RTD("tos.rtd",,$A$2,"."&amp;T$2&amp;T$1&amp;"P"&amp;$A14)),IF(RTD("tos.rtd",,$A$2,"."&amp;T$2&amp;T$1&amp;"C"&amp;$A14)="N/A",0,RTD("tos.rtd",,$A$2,"."&amp;T$2&amp;T$1&amp;"C"&amp;$A14))-IF(RTD("tos.rtd",,$A$2,"."&amp;T$2&amp;T$1&amp;"P"&amp;$A14)="N/A",0,RTD("tos.rtd",,$A$2,"."&amp;T$2&amp;T$1&amp;"P"&amp;$A14))))))))))</f>
        <v>0</v>
      </c>
      <c r="U14" s="12">
        <f ca="1">IF($A$2="PREMIUM_OI",IFERROR(IF($X$1="ABS",(100*RTD("tos.rtd",,"OPEN_INT","."&amp;U$2&amp;U$1&amp;"C"&amp;$A14)*RTD("tos.rtd",,"LAST","."&amp;U$2&amp;U$1&amp;"C"&amp;$A14)+100*RTD("tos.rtd",,"OPEN_INT","."&amp;U$2&amp;U$1&amp;"P"&amp;$A14)*RTD("tos.rtd",,"LAST","."&amp;U$2&amp;U$1&amp;"P"&amp;$A14))/1000000,(100*RTD("tos.rtd",,"OPEN_INT","."&amp;U$2&amp;U$1&amp;"C"&amp;$A14)*RTD("tos.rtd",,"LAST","."&amp;U$2&amp;U$1&amp;"C"&amp;$A14)-100*RTD("tos.rtd",,"OPEN_INT","."&amp;U$2&amp;U$1&amp;"P"&amp;$A14)*RTD("tos.rtd",,"LAST","."&amp;U$2&amp;U$1&amp;"P"&amp;$A14))/1000000),0),IF($A$2="PREMIUM",IFERROR(IF($X$1="ABS",(100*RTD("tos.rtd",,"VOLUME","."&amp;U$2&amp;U$1&amp;"C"&amp;$A14)*RTD("tos.rtd",,"LAST","."&amp;U$2&amp;U$1&amp;"C"&amp;$A14)+100*RTD("tos.rtd",,"VOLUME","."&amp;U$2&amp;U$1&amp;"P"&amp;$A14)*RTD("tos.rtd",,"LAST","."&amp;U$2&amp;U$1&amp;"P"&amp;$A14))/1000000,(100*RTD("tos.rtd",,"VOLUME","."&amp;U$2&amp;U$1&amp;"C"&amp;$A14)*RTD("tos.rtd",,"LAST","."&amp;U$2&amp;U$1&amp;"C"&amp;$A14)-100*RTD("tos.rtd",,"VOLUME","."&amp;U$2&amp;U$1&amp;"P"&amp;$A14)*RTD("tos.rtd",,"LAST","."&amp;U$2&amp;U$1&amp;"P"&amp;$A14))/1000000),0),IF($A$2="DEX",IFERROR(IF($X$1="ABS",(100*RTD("tos.rtd",,"OPEN_INT","."&amp;U$2&amp;U$1&amp;"C"&amp;$A14)*RTD("tos.rtd",,"DELTA","."&amp;U$2&amp;U$1&amp;"C"&amp;$A14)+100*RTD("tos.rtd",,"OPEN_INT","."&amp;U$2&amp;U$1&amp;"P"&amp;$A14)*RTD("tos.rtd",,"DELTA","."&amp;U$2&amp;U$1&amp;"P"&amp;$A14))/1000,(100*RTD("tos.rtd",,"OPEN_INT","."&amp;U$2&amp;U$1&amp;"C"&amp;$A14)*RTD("tos.rtd",,"DELTA","."&amp;U$2&amp;U$1&amp;"C"&amp;$A14)-100*RTD("tos.rtd",,"OPEN_INT","."&amp;U$2&amp;U$1&amp;"P"&amp;$A14)*RTD("tos.rtd",,"DELTA","."&amp;U$2&amp;U$1&amp;"P"&amp;$A14))/1000),0),IF($A$2="VEX",IFERROR(IF($X$1="ABS",($A$4*$A$4*RTD("tos.rtd",,"VOLUME","."&amp;U$2&amp;U$1&amp;"C"&amp;$A14)*RTD("tos.rtd",,"GAMMA","."&amp;U$2&amp;U$1&amp;"C"&amp;$A14)+$A$4*$A$4*RTD("tos.rtd",,"VOLUME","."&amp;U$2&amp;U$1&amp;"P"&amp;$A14)*RTD("tos.rtd",,"GAMMA","."&amp;U$2&amp;U$1&amp;"P"&amp;$A14))/1000000,($A$4*$A$4*RTD("tos.rtd",,"VOLUME","."&amp;U$2&amp;U$1&amp;"C"&amp;$A14)*RTD("tos.rtd",,"GAMMA","."&amp;U$2&amp;U$1&amp;"C"&amp;$A14)-$A$4*$A$4*RTD("tos.rtd",,"VOLUME","."&amp;U$2&amp;U$1&amp;"P"&amp;$A14)*RTD("tos.rtd",,"GAMMA","."&amp;U$2&amp;U$1&amp;"P"&amp;$A14))/1000000),0),IF($A$2="GEX",IFERROR(IF($X$1="ABS",($A$4*$A$4*RTD("tos.rtd",,"OPEN_INT","."&amp;U$2&amp;U$1&amp;"C"&amp;$A14)*RTD("tos.rtd",,"GAMMA","."&amp;U$2&amp;U$1&amp;"C"&amp;$A14)+$A$4*$A$4*RTD("tos.rtd",,"OPEN_INT","."&amp;U$2&amp;U$1&amp;"P"&amp;$A14)*RTD("tos.rtd",,"GAMMA","."&amp;U$2&amp;U$1&amp;"P"&amp;$A14))/1000000,($A$4*$A$4*RTD("tos.rtd",,"OPEN_INT","."&amp;U$2&amp;U$1&amp;"C"&amp;$A14)*RTD("tos.rtd",,"GAMMA","."&amp;U$2&amp;U$1&amp;"C"&amp;$A14)-$A$4*$A$4*RTD("tos.rtd",,"OPEN_INT","."&amp;U$2&amp;U$1&amp;"P"&amp;$A14)*RTD("tos.rtd",,"GAMMA","."&amp;U$2&amp;U$1&amp;"P"&amp;$A14))/1000000),0),IF($A$2="SKEW",IFERROR(VALUE(IF(RTD("tos.rtd",,"IMPL_VOL","."&amp;U$2&amp;U$1&amp;"P"&amp;$A14)="N/A",0,RTD("tos.rtd",,"IMPL_VOL","."&amp;U$2&amp;U$1&amp;"P"&amp;$A14))),0)-IFERROR(VALUE(IF(RTD("tos.rtd",,"IMPL_VOL","."&amp;U$2&amp;U$1&amp;"C"&amp;$A14)="N/A",0,RTD("tos.rtd",,"IMPL_VOL","."&amp;U$2&amp;U$1&amp;"C"&amp;$A14))),0),IF($A$2="MAXPAIN",IF($A$4&gt;$A14,($A$4-$A14)*IF(RTD("tos.rtd",,"OPEN_INT","."&amp;U$2&amp;U$1&amp;"C"&amp;$A14)="N/A",0,RTD("tos.rtd",,"OPEN_INT","."&amp;U$2&amp;U$1&amp;"C"&amp;$A14)),0)+IF($A$4&lt;$A14,($A$5-$A$4)*IF(RTD("tos.rtd",,"OPEN_INT","."&amp;U$2&amp;U$1&amp;"P"&amp;$A14)="N/A",0,RTD("tos.rtd",,"OPEN_INT","."&amp;U$2&amp;U$1&amp;"P"&amp;$A14)),0),IF($X$1="ABS",IF(RTD("tos.rtd",,$A$2,"."&amp;U$2&amp;U$1&amp;"C"&amp;$A14)="N/A",0,RTD("tos.rtd",,$A$2,"."&amp;U$2&amp;U$1&amp;"C"&amp;$A14))+IF(RTD("tos.rtd",,$A$2,"."&amp;U$2&amp;U$1&amp;"P"&amp;$A14)="N/A",0,RTD("tos.rtd",,$A$2,"."&amp;U$2&amp;U$1&amp;"P"&amp;$A14)),IF(RTD("tos.rtd",,$A$2,"."&amp;U$2&amp;U$1&amp;"C"&amp;$A14)="N/A",0,RTD("tos.rtd",,$A$2,"."&amp;U$2&amp;U$1&amp;"C"&amp;$A14))-IF(RTD("tos.rtd",,$A$2,"."&amp;U$2&amp;U$1&amp;"P"&amp;$A14)="N/A",0,RTD("tos.rtd",,$A$2,"."&amp;U$2&amp;U$1&amp;"P"&amp;$A14))))))))))</f>
        <v>0</v>
      </c>
      <c r="V14" s="12">
        <f ca="1">IF($A$2="PREMIUM_OI",IFERROR(IF($X$1="ABS",(100*RTD("tos.rtd",,"OPEN_INT","."&amp;V$2&amp;V$1&amp;"C"&amp;$A14)*RTD("tos.rtd",,"LAST","."&amp;V$2&amp;V$1&amp;"C"&amp;$A14)+100*RTD("tos.rtd",,"OPEN_INT","."&amp;V$2&amp;V$1&amp;"P"&amp;$A14)*RTD("tos.rtd",,"LAST","."&amp;V$2&amp;V$1&amp;"P"&amp;$A14))/1000000,(100*RTD("tos.rtd",,"OPEN_INT","."&amp;V$2&amp;V$1&amp;"C"&amp;$A14)*RTD("tos.rtd",,"LAST","."&amp;V$2&amp;V$1&amp;"C"&amp;$A14)-100*RTD("tos.rtd",,"OPEN_INT","."&amp;V$2&amp;V$1&amp;"P"&amp;$A14)*RTD("tos.rtd",,"LAST","."&amp;V$2&amp;V$1&amp;"P"&amp;$A14))/1000000),0),IF($A$2="PREMIUM",IFERROR(IF($X$1="ABS",(100*RTD("tos.rtd",,"VOLUME","."&amp;V$2&amp;V$1&amp;"C"&amp;$A14)*RTD("tos.rtd",,"LAST","."&amp;V$2&amp;V$1&amp;"C"&amp;$A14)+100*RTD("tos.rtd",,"VOLUME","."&amp;V$2&amp;V$1&amp;"P"&amp;$A14)*RTD("tos.rtd",,"LAST","."&amp;V$2&amp;V$1&amp;"P"&amp;$A14))/1000000,(100*RTD("tos.rtd",,"VOLUME","."&amp;V$2&amp;V$1&amp;"C"&amp;$A14)*RTD("tos.rtd",,"LAST","."&amp;V$2&amp;V$1&amp;"C"&amp;$A14)-100*RTD("tos.rtd",,"VOLUME","."&amp;V$2&amp;V$1&amp;"P"&amp;$A14)*RTD("tos.rtd",,"LAST","."&amp;V$2&amp;V$1&amp;"P"&amp;$A14))/1000000),0),IF($A$2="DEX",IFERROR(IF($X$1="ABS",(100*RTD("tos.rtd",,"OPEN_INT","."&amp;V$2&amp;V$1&amp;"C"&amp;$A14)*RTD("tos.rtd",,"DELTA","."&amp;V$2&amp;V$1&amp;"C"&amp;$A14)+100*RTD("tos.rtd",,"OPEN_INT","."&amp;V$2&amp;V$1&amp;"P"&amp;$A14)*RTD("tos.rtd",,"DELTA","."&amp;V$2&amp;V$1&amp;"P"&amp;$A14))/1000,(100*RTD("tos.rtd",,"OPEN_INT","."&amp;V$2&amp;V$1&amp;"C"&amp;$A14)*RTD("tos.rtd",,"DELTA","."&amp;V$2&amp;V$1&amp;"C"&amp;$A14)-100*RTD("tos.rtd",,"OPEN_INT","."&amp;V$2&amp;V$1&amp;"P"&amp;$A14)*RTD("tos.rtd",,"DELTA","."&amp;V$2&amp;V$1&amp;"P"&amp;$A14))/1000),0),IF($A$2="VEX",IFERROR(IF($X$1="ABS",($A$4*$A$4*RTD("tos.rtd",,"VOLUME","."&amp;V$2&amp;V$1&amp;"C"&amp;$A14)*RTD("tos.rtd",,"GAMMA","."&amp;V$2&amp;V$1&amp;"C"&amp;$A14)+$A$4*$A$4*RTD("tos.rtd",,"VOLUME","."&amp;V$2&amp;V$1&amp;"P"&amp;$A14)*RTD("tos.rtd",,"GAMMA","."&amp;V$2&amp;V$1&amp;"P"&amp;$A14))/1000000,($A$4*$A$4*RTD("tos.rtd",,"VOLUME","."&amp;V$2&amp;V$1&amp;"C"&amp;$A14)*RTD("tos.rtd",,"GAMMA","."&amp;V$2&amp;V$1&amp;"C"&amp;$A14)-$A$4*$A$4*RTD("tos.rtd",,"VOLUME","."&amp;V$2&amp;V$1&amp;"P"&amp;$A14)*RTD("tos.rtd",,"GAMMA","."&amp;V$2&amp;V$1&amp;"P"&amp;$A14))/1000000),0),IF($A$2="GEX",IFERROR(IF($X$1="ABS",($A$4*$A$4*RTD("tos.rtd",,"OPEN_INT","."&amp;V$2&amp;V$1&amp;"C"&amp;$A14)*RTD("tos.rtd",,"GAMMA","."&amp;V$2&amp;V$1&amp;"C"&amp;$A14)+$A$4*$A$4*RTD("tos.rtd",,"OPEN_INT","."&amp;V$2&amp;V$1&amp;"P"&amp;$A14)*RTD("tos.rtd",,"GAMMA","."&amp;V$2&amp;V$1&amp;"P"&amp;$A14))/1000000,($A$4*$A$4*RTD("tos.rtd",,"OPEN_INT","."&amp;V$2&amp;V$1&amp;"C"&amp;$A14)*RTD("tos.rtd",,"GAMMA","."&amp;V$2&amp;V$1&amp;"C"&amp;$A14)-$A$4*$A$4*RTD("tos.rtd",,"OPEN_INT","."&amp;V$2&amp;V$1&amp;"P"&amp;$A14)*RTD("tos.rtd",,"GAMMA","."&amp;V$2&amp;V$1&amp;"P"&amp;$A14))/1000000),0),IF($A$2="SKEW",IFERROR(VALUE(IF(RTD("tos.rtd",,"IMPL_VOL","."&amp;V$2&amp;V$1&amp;"P"&amp;$A14)="N/A",0,RTD("tos.rtd",,"IMPL_VOL","."&amp;V$2&amp;V$1&amp;"P"&amp;$A14))),0)-IFERROR(VALUE(IF(RTD("tos.rtd",,"IMPL_VOL","."&amp;V$2&amp;V$1&amp;"C"&amp;$A14)="N/A",0,RTD("tos.rtd",,"IMPL_VOL","."&amp;V$2&amp;V$1&amp;"C"&amp;$A14))),0),IF($A$2="MAXPAIN",IF($A$4&gt;$A14,($A$4-$A14)*IF(RTD("tos.rtd",,"OPEN_INT","."&amp;V$2&amp;V$1&amp;"C"&amp;$A14)="N/A",0,RTD("tos.rtd",,"OPEN_INT","."&amp;V$2&amp;V$1&amp;"C"&amp;$A14)),0)+IF($A$4&lt;$A14,($A$5-$A$4)*IF(RTD("tos.rtd",,"OPEN_INT","."&amp;V$2&amp;V$1&amp;"P"&amp;$A14)="N/A",0,RTD("tos.rtd",,"OPEN_INT","."&amp;V$2&amp;V$1&amp;"P"&amp;$A14)),0),IF($X$1="ABS",IF(RTD("tos.rtd",,$A$2,"."&amp;V$2&amp;V$1&amp;"C"&amp;$A14)="N/A",0,RTD("tos.rtd",,$A$2,"."&amp;V$2&amp;V$1&amp;"C"&amp;$A14))+IF(RTD("tos.rtd",,$A$2,"."&amp;V$2&amp;V$1&amp;"P"&amp;$A14)="N/A",0,RTD("tos.rtd",,$A$2,"."&amp;V$2&amp;V$1&amp;"P"&amp;$A14)),IF(RTD("tos.rtd",,$A$2,"."&amp;V$2&amp;V$1&amp;"C"&amp;$A14)="N/A",0,RTD("tos.rtd",,$A$2,"."&amp;V$2&amp;V$1&amp;"C"&amp;$A14))-IF(RTD("tos.rtd",,$A$2,"."&amp;V$2&amp;V$1&amp;"P"&amp;$A14)="N/A",0,RTD("tos.rtd",,$A$2,"."&amp;V$2&amp;V$1&amp;"P"&amp;$A14))))))))))</f>
        <v>0</v>
      </c>
      <c r="W14" s="54">
        <f ca="1">IF($A$2="PREMIUM_OI",IFERROR(IF($X$1="ABS",(100*RTD("tos.rtd",,"OPEN_INT","."&amp;W$2&amp;W$1&amp;"C"&amp;$A14)*RTD("tos.rtd",,"LAST","."&amp;W$2&amp;W$1&amp;"C"&amp;$A14)+100*RTD("tos.rtd",,"OPEN_INT","."&amp;W$2&amp;W$1&amp;"P"&amp;$A14)*RTD("tos.rtd",,"LAST","."&amp;W$2&amp;W$1&amp;"P"&amp;$A14))/1000000,(100*RTD("tos.rtd",,"OPEN_INT","."&amp;W$2&amp;W$1&amp;"C"&amp;$A14)*RTD("tos.rtd",,"LAST","."&amp;W$2&amp;W$1&amp;"C"&amp;$A14)-100*RTD("tos.rtd",,"OPEN_INT","."&amp;W$2&amp;W$1&amp;"P"&amp;$A14)*RTD("tos.rtd",,"LAST","."&amp;W$2&amp;W$1&amp;"P"&amp;$A14))/1000000),0),IF($A$2="PREMIUM",IFERROR(IF($X$1="ABS",(100*RTD("tos.rtd",,"VOLUME","."&amp;W$2&amp;W$1&amp;"C"&amp;$A14)*RTD("tos.rtd",,"LAST","."&amp;W$2&amp;W$1&amp;"C"&amp;$A14)+100*RTD("tos.rtd",,"VOLUME","."&amp;W$2&amp;W$1&amp;"P"&amp;$A14)*RTD("tos.rtd",,"LAST","."&amp;W$2&amp;W$1&amp;"P"&amp;$A14))/1000000,(100*RTD("tos.rtd",,"VOLUME","."&amp;W$2&amp;W$1&amp;"C"&amp;$A14)*RTD("tos.rtd",,"LAST","."&amp;W$2&amp;W$1&amp;"C"&amp;$A14)-100*RTD("tos.rtd",,"VOLUME","."&amp;W$2&amp;W$1&amp;"P"&amp;$A14)*RTD("tos.rtd",,"LAST","."&amp;W$2&amp;W$1&amp;"P"&amp;$A14))/1000000),0),IF($A$2="DEX",IFERROR(IF($X$1="ABS",(100*RTD("tos.rtd",,"OPEN_INT","."&amp;W$2&amp;W$1&amp;"C"&amp;$A14)*RTD("tos.rtd",,"DELTA","."&amp;W$2&amp;W$1&amp;"C"&amp;$A14)+100*RTD("tos.rtd",,"OPEN_INT","."&amp;W$2&amp;W$1&amp;"P"&amp;$A14)*RTD("tos.rtd",,"DELTA","."&amp;W$2&amp;W$1&amp;"P"&amp;$A14))/1000,(100*RTD("tos.rtd",,"OPEN_INT","."&amp;W$2&amp;W$1&amp;"C"&amp;$A14)*RTD("tos.rtd",,"DELTA","."&amp;W$2&amp;W$1&amp;"C"&amp;$A14)-100*RTD("tos.rtd",,"OPEN_INT","."&amp;W$2&amp;W$1&amp;"P"&amp;$A14)*RTD("tos.rtd",,"DELTA","."&amp;W$2&amp;W$1&amp;"P"&amp;$A14))/1000),0),IF($A$2="VEX",IFERROR(IF($X$1="ABS",($A$4*$A$4*RTD("tos.rtd",,"VOLUME","."&amp;W$2&amp;W$1&amp;"C"&amp;$A14)*RTD("tos.rtd",,"GAMMA","."&amp;W$2&amp;W$1&amp;"C"&amp;$A14)+$A$4*$A$4*RTD("tos.rtd",,"VOLUME","."&amp;W$2&amp;W$1&amp;"P"&amp;$A14)*RTD("tos.rtd",,"GAMMA","."&amp;W$2&amp;W$1&amp;"P"&amp;$A14))/1000000,($A$4*$A$4*RTD("tos.rtd",,"VOLUME","."&amp;W$2&amp;W$1&amp;"C"&amp;$A14)*RTD("tos.rtd",,"GAMMA","."&amp;W$2&amp;W$1&amp;"C"&amp;$A14)-$A$4*$A$4*RTD("tos.rtd",,"VOLUME","."&amp;W$2&amp;W$1&amp;"P"&amp;$A14)*RTD("tos.rtd",,"GAMMA","."&amp;W$2&amp;W$1&amp;"P"&amp;$A14))/1000000),0),IF($A$2="GEX",IFERROR(IF($X$1="ABS",($A$4*$A$4*RTD("tos.rtd",,"OPEN_INT","."&amp;W$2&amp;W$1&amp;"C"&amp;$A14)*RTD("tos.rtd",,"GAMMA","."&amp;W$2&amp;W$1&amp;"C"&amp;$A14)+$A$4*$A$4*RTD("tos.rtd",,"OPEN_INT","."&amp;W$2&amp;W$1&amp;"P"&amp;$A14)*RTD("tos.rtd",,"GAMMA","."&amp;W$2&amp;W$1&amp;"P"&amp;$A14))/1000000,($A$4*$A$4*RTD("tos.rtd",,"OPEN_INT","."&amp;W$2&amp;W$1&amp;"C"&amp;$A14)*RTD("tos.rtd",,"GAMMA","."&amp;W$2&amp;W$1&amp;"C"&amp;$A14)-$A$4*$A$4*RTD("tos.rtd",,"OPEN_INT","."&amp;W$2&amp;W$1&amp;"P"&amp;$A14)*RTD("tos.rtd",,"GAMMA","."&amp;W$2&amp;W$1&amp;"P"&amp;$A14))/1000000),0),IF($A$2="SKEW",IFERROR(VALUE(IF(RTD("tos.rtd",,"IMPL_VOL","."&amp;W$2&amp;W$1&amp;"P"&amp;$A14)="N/A",0,RTD("tos.rtd",,"IMPL_VOL","."&amp;W$2&amp;W$1&amp;"P"&amp;$A14))),0)-IFERROR(VALUE(IF(RTD("tos.rtd",,"IMPL_VOL","."&amp;W$2&amp;W$1&amp;"C"&amp;$A14)="N/A",0,RTD("tos.rtd",,"IMPL_VOL","."&amp;W$2&amp;W$1&amp;"C"&amp;$A14))),0),IF($A$2="MAXPAIN",IF($A$4&gt;$A14,($A$4-$A14)*IF(RTD("tos.rtd",,"OPEN_INT","."&amp;W$2&amp;W$1&amp;"C"&amp;$A14)="N/A",0,RTD("tos.rtd",,"OPEN_INT","."&amp;W$2&amp;W$1&amp;"C"&amp;$A14)),0)+IF($A$4&lt;$A14,($A$5-$A$4)*IF(RTD("tos.rtd",,"OPEN_INT","."&amp;W$2&amp;W$1&amp;"P"&amp;$A14)="N/A",0,RTD("tos.rtd",,"OPEN_INT","."&amp;W$2&amp;W$1&amp;"P"&amp;$A14)),0),IF($X$1="ABS",IF(RTD("tos.rtd",,$A$2,"."&amp;W$2&amp;W$1&amp;"C"&amp;$A14)="N/A",0,RTD("tos.rtd",,$A$2,"."&amp;W$2&amp;W$1&amp;"C"&amp;$A14))+IF(RTD("tos.rtd",,$A$2,"."&amp;W$2&amp;W$1&amp;"P"&amp;$A14)="N/A",0,RTD("tos.rtd",,$A$2,"."&amp;W$2&amp;W$1&amp;"P"&amp;$A14)),IF(RTD("tos.rtd",,$A$2,"."&amp;W$2&amp;W$1&amp;"C"&amp;$A14)="N/A",0,RTD("tos.rtd",,$A$2,"."&amp;W$2&amp;W$1&amp;"C"&amp;$A14))-IF(RTD("tos.rtd",,$A$2,"."&amp;W$2&amp;W$1&amp;"P"&amp;$A14)="N/A",0,RTD("tos.rtd",,$A$2,"."&amp;W$2&amp;W$1&amp;"P"&amp;$A14))))))))))</f>
        <v>0</v>
      </c>
      <c r="X14" s="57">
        <f t="shared" ca="1" si="8"/>
        <v>0</v>
      </c>
      <c r="Y14" s="27">
        <f t="shared" ca="1" si="9"/>
        <v>0</v>
      </c>
      <c r="Z14" s="27">
        <f ca="1">+'OI-VOL'!Y14</f>
        <v>22611</v>
      </c>
      <c r="AA14" s="27" t="b">
        <f t="shared" ca="1" si="10"/>
        <v>0</v>
      </c>
      <c r="AB14" s="27">
        <f t="shared" si="11"/>
        <v>168702500</v>
      </c>
      <c r="AC14" s="18">
        <f>MAX(0, $A14-AC$4)*IF(RTD("tos.rtd",,"OPEN_INT","."&amp;$AB$3&amp;$AB$4&amp;"C"&amp;AC$4)="N/A",0,RTD("tos.rtd",,"OPEN_INT","."&amp;$AB$3&amp;$AB$4&amp;"C"&amp;AC$4))*100 + MAX(0, AC$4-$A14)*IF(RTD("tos.rtd",,"OPEN_INT","."&amp;$AB$3&amp;$AB$4&amp;"P"&amp;AC$4)="N/A",0,RTD("tos.rtd",,"OPEN_INT","."&amp;$AB$3&amp;$AB$4&amp;"P"&amp;AC$4))*100</f>
        <v>0</v>
      </c>
      <c r="AD14" s="18">
        <f>MAX(0, $A14-AD$4)*IF(RTD("tos.rtd",,"OPEN_INT","."&amp;$AB$3&amp;$AB$4&amp;"C"&amp;AD$4)="N/A",0,RTD("tos.rtd",,"OPEN_INT","."&amp;$AB$3&amp;$AB$4&amp;"C"&amp;AD$4))*100 + MAX(0, AD$4-$A14)*IF(RTD("tos.rtd",,"OPEN_INT","."&amp;$AB$3&amp;$AB$4&amp;"P"&amp;AD$4)="N/A",0,RTD("tos.rtd",,"OPEN_INT","."&amp;$AB$3&amp;$AB$4&amp;"P"&amp;AD$4))*100</f>
        <v>0</v>
      </c>
      <c r="AE14" s="18">
        <f>MAX(0, $A14-AE$4)*IF(RTD("tos.rtd",,"OPEN_INT","."&amp;$AB$3&amp;$AB$4&amp;"C"&amp;AE$4)="N/A",0,RTD("tos.rtd",,"OPEN_INT","."&amp;$AB$3&amp;$AB$4&amp;"C"&amp;AE$4))*100 + MAX(0, AE$4-$A14)*IF(RTD("tos.rtd",,"OPEN_INT","."&amp;$AB$3&amp;$AB$4&amp;"P"&amp;AE$4)="N/A",0,RTD("tos.rtd",,"OPEN_INT","."&amp;$AB$3&amp;$AB$4&amp;"P"&amp;AE$4))*100</f>
        <v>0</v>
      </c>
      <c r="AF14" s="18">
        <f>MAX(0, $A14-AF$4)*IF(RTD("tos.rtd",,"OPEN_INT","."&amp;$AB$3&amp;$AB$4&amp;"C"&amp;AF$4)="N/A",0,RTD("tos.rtd",,"OPEN_INT","."&amp;$AB$3&amp;$AB$4&amp;"C"&amp;AF$4))*100 + MAX(0, AF$4-$A14)*IF(RTD("tos.rtd",,"OPEN_INT","."&amp;$AB$3&amp;$AB$4&amp;"P"&amp;AF$4)="N/A",0,RTD("tos.rtd",,"OPEN_INT","."&amp;$AB$3&amp;$AB$4&amp;"P"&amp;AF$4))*100</f>
        <v>0</v>
      </c>
      <c r="AG14" s="18">
        <f>MAX(0, $A14-AG$4)*IF(RTD("tos.rtd",,"OPEN_INT","."&amp;$AB$3&amp;$AB$4&amp;"C"&amp;AG$4)="N/A",0,RTD("tos.rtd",,"OPEN_INT","."&amp;$AB$3&amp;$AB$4&amp;"C"&amp;AG$4))*100 + MAX(0, AG$4-$A14)*IF(RTD("tos.rtd",,"OPEN_INT","."&amp;$AB$3&amp;$AB$4&amp;"P"&amp;AG$4)="N/A",0,RTD("tos.rtd",,"OPEN_INT","."&amp;$AB$3&amp;$AB$4&amp;"P"&amp;AG$4))*100</f>
        <v>0</v>
      </c>
      <c r="AH14" s="18">
        <f>MAX(0, $A14-AH$4)*IF(RTD("tos.rtd",,"OPEN_INT","."&amp;$AB$3&amp;$AB$4&amp;"C"&amp;AH$4)="N/A",0,RTD("tos.rtd",,"OPEN_INT","."&amp;$AB$3&amp;$AB$4&amp;"C"&amp;AH$4))*100 + MAX(0, AH$4-$A14)*IF(RTD("tos.rtd",,"OPEN_INT","."&amp;$AB$3&amp;$AB$4&amp;"P"&amp;AH$4)="N/A",0,RTD("tos.rtd",,"OPEN_INT","."&amp;$AB$3&amp;$AB$4&amp;"P"&amp;AH$4))*100</f>
        <v>0</v>
      </c>
      <c r="AI14" s="18">
        <f>MAX(0, $A14-AI$4)*IF(RTD("tos.rtd",,"OPEN_INT","."&amp;$AB$3&amp;$AB$4&amp;"C"&amp;AI$4)="N/A",0,RTD("tos.rtd",,"OPEN_INT","."&amp;$AB$3&amp;$AB$4&amp;"C"&amp;AI$4))*100 + MAX(0, AI$4-$A14)*IF(RTD("tos.rtd",,"OPEN_INT","."&amp;$AB$3&amp;$AB$4&amp;"P"&amp;AI$4)="N/A",0,RTD("tos.rtd",,"OPEN_INT","."&amp;$AB$3&amp;$AB$4&amp;"P"&amp;AI$4))*100</f>
        <v>0</v>
      </c>
      <c r="AJ14" s="18">
        <f>MAX(0, $A14-AJ$4)*IF(RTD("tos.rtd",,"OPEN_INT","."&amp;$AB$3&amp;$AB$4&amp;"C"&amp;AJ$4)="N/A",0,RTD("tos.rtd",,"OPEN_INT","."&amp;$AB$3&amp;$AB$4&amp;"C"&amp;AJ$4))*100 + MAX(0, AJ$4-$A14)*IF(RTD("tos.rtd",,"OPEN_INT","."&amp;$AB$3&amp;$AB$4&amp;"P"&amp;AJ$4)="N/A",0,RTD("tos.rtd",,"OPEN_INT","."&amp;$AB$3&amp;$AB$4&amp;"P"&amp;AJ$4))*100</f>
        <v>300</v>
      </c>
      <c r="AK14" s="18">
        <f>MAX(0, $A14-AK$4)*IF(RTD("tos.rtd",,"OPEN_INT","."&amp;$AB$3&amp;$AB$4&amp;"C"&amp;AK$4)="N/A",0,RTD("tos.rtd",,"OPEN_INT","."&amp;$AB$3&amp;$AB$4&amp;"C"&amp;AK$4))*100 + MAX(0, AK$4-$A14)*IF(RTD("tos.rtd",,"OPEN_INT","."&amp;$AB$3&amp;$AB$4&amp;"P"&amp;AK$4)="N/A",0,RTD("tos.rtd",,"OPEN_INT","."&amp;$AB$3&amp;$AB$4&amp;"P"&amp;AK$4))*100</f>
        <v>400</v>
      </c>
      <c r="AL14" s="18">
        <f>MAX(0, $A14-AL$4)*IF(RTD("tos.rtd",,"OPEN_INT","."&amp;$AB$3&amp;$AB$4&amp;"C"&amp;AL$4)="N/A",0,RTD("tos.rtd",,"OPEN_INT","."&amp;$AB$3&amp;$AB$4&amp;"C"&amp;AL$4))*100 + MAX(0, AL$4-$A14)*IF(RTD("tos.rtd",,"OPEN_INT","."&amp;$AB$3&amp;$AB$4&amp;"P"&amp;AL$4)="N/A",0,RTD("tos.rtd",,"OPEN_INT","."&amp;$AB$3&amp;$AB$4&amp;"P"&amp;AL$4))*100</f>
        <v>0</v>
      </c>
      <c r="AM14" s="18">
        <f>MAX(0, $A14-AM$4)*IF(RTD("tos.rtd",,"OPEN_INT","."&amp;$AB$3&amp;$AB$4&amp;"C"&amp;AM$4)="N/A",0,RTD("tos.rtd",,"OPEN_INT","."&amp;$AB$3&amp;$AB$4&amp;"C"&amp;AM$4))*100 + MAX(0, AM$4-$A14)*IF(RTD("tos.rtd",,"OPEN_INT","."&amp;$AB$3&amp;$AB$4&amp;"P"&amp;AM$4)="N/A",0,RTD("tos.rtd",,"OPEN_INT","."&amp;$AB$3&amp;$AB$4&amp;"P"&amp;AM$4))*100</f>
        <v>0</v>
      </c>
      <c r="AN14" s="18">
        <f>MAX(0, $A14-AN$4)*IF(RTD("tos.rtd",,"OPEN_INT","."&amp;$AB$3&amp;$AB$4&amp;"C"&amp;AN$4)="N/A",0,RTD("tos.rtd",,"OPEN_INT","."&amp;$AB$3&amp;$AB$4&amp;"C"&amp;AN$4))*100 + MAX(0, AN$4-$A14)*IF(RTD("tos.rtd",,"OPEN_INT","."&amp;$AB$3&amp;$AB$4&amp;"P"&amp;AN$4)="N/A",0,RTD("tos.rtd",,"OPEN_INT","."&amp;$AB$3&amp;$AB$4&amp;"P"&amp;AN$4))*100</f>
        <v>236500</v>
      </c>
      <c r="AO14" s="18">
        <f>MAX(0, $A14-AO$4)*IF(RTD("tos.rtd",,"OPEN_INT","."&amp;$AB$3&amp;$AB$4&amp;"C"&amp;AO$4)="N/A",0,RTD("tos.rtd",,"OPEN_INT","."&amp;$AB$3&amp;$AB$4&amp;"C"&amp;AO$4))*100 + MAX(0, AO$4-$A14)*IF(RTD("tos.rtd",,"OPEN_INT","."&amp;$AB$3&amp;$AB$4&amp;"P"&amp;AO$4)="N/A",0,RTD("tos.rtd",,"OPEN_INT","."&amp;$AB$3&amp;$AB$4&amp;"P"&amp;AO$4))*100</f>
        <v>0</v>
      </c>
      <c r="AP14" s="18">
        <f>MAX(0, $A14-AP$4)*IF(RTD("tos.rtd",,"OPEN_INT","."&amp;$AB$3&amp;$AB$4&amp;"C"&amp;AP$4)="N/A",0,RTD("tos.rtd",,"OPEN_INT","."&amp;$AB$3&amp;$AB$4&amp;"C"&amp;AP$4))*100 + MAX(0, AP$4-$A14)*IF(RTD("tos.rtd",,"OPEN_INT","."&amp;$AB$3&amp;$AB$4&amp;"P"&amp;AP$4)="N/A",0,RTD("tos.rtd",,"OPEN_INT","."&amp;$AB$3&amp;$AB$4&amp;"P"&amp;AP$4))*100</f>
        <v>137800</v>
      </c>
      <c r="AQ14" s="18">
        <f>MAX(0, $A14-AQ$4)*IF(RTD("tos.rtd",,"OPEN_INT","."&amp;$AB$3&amp;$AB$4&amp;"C"&amp;AQ$4)="N/A",0,RTD("tos.rtd",,"OPEN_INT","."&amp;$AB$3&amp;$AB$4&amp;"C"&amp;AQ$4))*100 + MAX(0, AQ$4-$A14)*IF(RTD("tos.rtd",,"OPEN_INT","."&amp;$AB$3&amp;$AB$4&amp;"P"&amp;AQ$4)="N/A",0,RTD("tos.rtd",,"OPEN_INT","."&amp;$AB$3&amp;$AB$4&amp;"P"&amp;AQ$4))*100</f>
        <v>0</v>
      </c>
      <c r="AR14" s="18">
        <f>MAX(0, $A14-AR$4)*IF(RTD("tos.rtd",,"OPEN_INT","."&amp;$AB$3&amp;$AB$4&amp;"C"&amp;AR$4)="N/A",0,RTD("tos.rtd",,"OPEN_INT","."&amp;$AB$3&amp;$AB$4&amp;"C"&amp;AR$4))*100 + MAX(0, AR$4-$A14)*IF(RTD("tos.rtd",,"OPEN_INT","."&amp;$AB$3&amp;$AB$4&amp;"P"&amp;AR$4)="N/A",0,RTD("tos.rtd",,"OPEN_INT","."&amp;$AB$3&amp;$AB$4&amp;"P"&amp;AR$4))*100</f>
        <v>192000</v>
      </c>
      <c r="AS14" s="18">
        <f>MAX(0, $A14-AS$4)*IF(RTD("tos.rtd",,"OPEN_INT","."&amp;$AB$3&amp;$AB$4&amp;"C"&amp;AS$4)="N/A",0,RTD("tos.rtd",,"OPEN_INT","."&amp;$AB$3&amp;$AB$4&amp;"C"&amp;AS$4))*100 + MAX(0, AS$4-$A14)*IF(RTD("tos.rtd",,"OPEN_INT","."&amp;$AB$3&amp;$AB$4&amp;"P"&amp;AS$4)="N/A",0,RTD("tos.rtd",,"OPEN_INT","."&amp;$AB$3&amp;$AB$4&amp;"P"&amp;AS$4))*100</f>
        <v>350</v>
      </c>
      <c r="AT14" s="18">
        <f>MAX(0, $A14-AT$4)*IF(RTD("tos.rtd",,"OPEN_INT","."&amp;$AB$3&amp;$AB$4&amp;"C"&amp;AT$4)="N/A",0,RTD("tos.rtd",,"OPEN_INT","."&amp;$AB$3&amp;$AB$4&amp;"C"&amp;AT$4))*100 + MAX(0, AT$4-$A14)*IF(RTD("tos.rtd",,"OPEN_INT","."&amp;$AB$3&amp;$AB$4&amp;"P"&amp;AT$4)="N/A",0,RTD("tos.rtd",,"OPEN_INT","."&amp;$AB$3&amp;$AB$4&amp;"P"&amp;AT$4))*100</f>
        <v>344800</v>
      </c>
      <c r="AU14" s="18">
        <f>MAX(0, $A14-AU$4)*IF(RTD("tos.rtd",,"OPEN_INT","."&amp;$AB$3&amp;$AB$4&amp;"C"&amp;AU$4)="N/A",0,RTD("tos.rtd",,"OPEN_INT","."&amp;$AB$3&amp;$AB$4&amp;"C"&amp;AU$4))*100 + MAX(0, AU$4-$A14)*IF(RTD("tos.rtd",,"OPEN_INT","."&amp;$AB$3&amp;$AB$4&amp;"P"&amp;AU$4)="N/A",0,RTD("tos.rtd",,"OPEN_INT","."&amp;$AB$3&amp;$AB$4&amp;"P"&amp;AU$4))*100</f>
        <v>630900</v>
      </c>
      <c r="AV14" s="18">
        <f>MAX(0, $A14-AV$4)*IF(RTD("tos.rtd",,"OPEN_INT","."&amp;$AB$3&amp;$AB$4&amp;"C"&amp;AV$4)="N/A",0,RTD("tos.rtd",,"OPEN_INT","."&amp;$AB$3&amp;$AB$4&amp;"C"&amp;AV$4))*100 + MAX(0, AV$4-$A14)*IF(RTD("tos.rtd",,"OPEN_INT","."&amp;$AB$3&amp;$AB$4&amp;"P"&amp;AV$4)="N/A",0,RTD("tos.rtd",,"OPEN_INT","."&amp;$AB$3&amp;$AB$4&amp;"P"&amp;AV$4))*100</f>
        <v>841500</v>
      </c>
      <c r="AW14" s="18">
        <f>MAX(0, $A14-AW$4)*IF(RTD("tos.rtd",,"OPEN_INT","."&amp;$AB$3&amp;$AB$4&amp;"C"&amp;AW$4)="N/A",0,RTD("tos.rtd",,"OPEN_INT","."&amp;$AB$3&amp;$AB$4&amp;"C"&amp;AW$4))*100 + MAX(0, AW$4-$A14)*IF(RTD("tos.rtd",,"OPEN_INT","."&amp;$AB$3&amp;$AB$4&amp;"P"&amp;AW$4)="N/A",0,RTD("tos.rtd",,"OPEN_INT","."&amp;$AB$3&amp;$AB$4&amp;"P"&amp;AW$4))*100</f>
        <v>1038400</v>
      </c>
      <c r="AX14" s="18">
        <f>MAX(0, $A14-AX$4)*IF(RTD("tos.rtd",,"OPEN_INT","."&amp;$AB$3&amp;$AB$4&amp;"C"&amp;AX$4)="N/A",0,RTD("tos.rtd",,"OPEN_INT","."&amp;$AB$3&amp;$AB$4&amp;"C"&amp;AX$4))*100 + MAX(0, AX$4-$A14)*IF(RTD("tos.rtd",,"OPEN_INT","."&amp;$AB$3&amp;$AB$4&amp;"P"&amp;AX$4)="N/A",0,RTD("tos.rtd",,"OPEN_INT","."&amp;$AB$3&amp;$AB$4&amp;"P"&amp;AX$4))*100</f>
        <v>1845000</v>
      </c>
      <c r="AY14" s="18">
        <f>MAX(0, $A14-AY$4)*IF(RTD("tos.rtd",,"OPEN_INT","."&amp;$AB$3&amp;$AB$4&amp;"C"&amp;AY$4)="N/A",0,RTD("tos.rtd",,"OPEN_INT","."&amp;$AB$3&amp;$AB$4&amp;"C"&amp;AY$4))*100 + MAX(0, AY$4-$A14)*IF(RTD("tos.rtd",,"OPEN_INT","."&amp;$AB$3&amp;$AB$4&amp;"P"&amp;AY$4)="N/A",0,RTD("tos.rtd",,"OPEN_INT","."&amp;$AB$3&amp;$AB$4&amp;"P"&amp;AY$4))*100</f>
        <v>2764450</v>
      </c>
      <c r="AZ14" s="18">
        <f>MAX(0, $A14-AZ$4)*IF(RTD("tos.rtd",,"OPEN_INT","."&amp;$AB$3&amp;$AB$4&amp;"C"&amp;AZ$4)="N/A",0,RTD("tos.rtd",,"OPEN_INT","."&amp;$AB$3&amp;$AB$4&amp;"C"&amp;AZ$4))*100 + MAX(0, AZ$4-$A14)*IF(RTD("tos.rtd",,"OPEN_INT","."&amp;$AB$3&amp;$AB$4&amp;"P"&amp;AZ$4)="N/A",0,RTD("tos.rtd",,"OPEN_INT","."&amp;$AB$3&amp;$AB$4&amp;"P"&amp;AZ$4))*100</f>
        <v>13683600</v>
      </c>
      <c r="BA14" s="18">
        <f>MAX(0, $A14-BA$4)*IF(RTD("tos.rtd",,"OPEN_INT","."&amp;$AB$3&amp;$AB$4&amp;"C"&amp;BA$4)="N/A",0,RTD("tos.rtd",,"OPEN_INT","."&amp;$AB$3&amp;$AB$4&amp;"C"&amp;BA$4))*100 + MAX(0, BA$4-$A14)*IF(RTD("tos.rtd",,"OPEN_INT","."&amp;$AB$3&amp;$AB$4&amp;"P"&amp;BA$4)="N/A",0,RTD("tos.rtd",,"OPEN_INT","."&amp;$AB$3&amp;$AB$4&amp;"P"&amp;BA$4))*100</f>
        <v>7387500</v>
      </c>
      <c r="BB14" s="18">
        <f>MAX(0, $A14-BB$4)*IF(RTD("tos.rtd",,"OPEN_INT","."&amp;$AB$3&amp;$AB$4&amp;"C"&amp;BB$4)="N/A",0,RTD("tos.rtd",,"OPEN_INT","."&amp;$AB$3&amp;$AB$4&amp;"C"&amp;BB$4))*100 + MAX(0, BB$4-$A14)*IF(RTD("tos.rtd",,"OPEN_INT","."&amp;$AB$3&amp;$AB$4&amp;"P"&amp;BB$4)="N/A",0,RTD("tos.rtd",,"OPEN_INT","."&amp;$AB$3&amp;$AB$4&amp;"P"&amp;BB$4))*100</f>
        <v>24645600</v>
      </c>
      <c r="BC14" s="18">
        <f>MAX(0, $A14-BC$4)*IF(RTD("tos.rtd",,"OPEN_INT","."&amp;$AB$3&amp;$AB$4&amp;"C"&amp;BC$4)="N/A",0,RTD("tos.rtd",,"OPEN_INT","."&amp;$AB$3&amp;$AB$4&amp;"C"&amp;BC$4))*100 + MAX(0, BC$4-$A14)*IF(RTD("tos.rtd",,"OPEN_INT","."&amp;$AB$3&amp;$AB$4&amp;"P"&amp;BC$4)="N/A",0,RTD("tos.rtd",,"OPEN_INT","."&amp;$AB$3&amp;$AB$4&amp;"P"&amp;BC$4))*100</f>
        <v>24359300</v>
      </c>
      <c r="BD14" s="18">
        <f>MAX(0, $A14-BD$4)*IF(RTD("tos.rtd",,"OPEN_INT","."&amp;$AB$3&amp;$AB$4&amp;"C"&amp;BD$4)="N/A",0,RTD("tos.rtd",,"OPEN_INT","."&amp;$AB$3&amp;$AB$4&amp;"C"&amp;BD$4))*100 + MAX(0, BD$4-$A14)*IF(RTD("tos.rtd",,"OPEN_INT","."&amp;$AB$3&amp;$AB$4&amp;"P"&amp;BD$4)="N/A",0,RTD("tos.rtd",,"OPEN_INT","."&amp;$AB$3&amp;$AB$4&amp;"P"&amp;BD$4))*100</f>
        <v>36641700</v>
      </c>
      <c r="BE14" s="18">
        <f>MAX(0, $A14-BE$4)*IF(RTD("tos.rtd",,"OPEN_INT","."&amp;$AB$3&amp;$AB$4&amp;"C"&amp;BE$4)="N/A",0,RTD("tos.rtd",,"OPEN_INT","."&amp;$AB$3&amp;$AB$4&amp;"C"&amp;BE$4))*100 + MAX(0, BE$4-$A14)*IF(RTD("tos.rtd",,"OPEN_INT","."&amp;$AB$3&amp;$AB$4&amp;"P"&amp;BE$4)="N/A",0,RTD("tos.rtd",,"OPEN_INT","."&amp;$AB$3&amp;$AB$4&amp;"P"&amp;BE$4))*100</f>
        <v>17632000</v>
      </c>
      <c r="BF14" s="18">
        <f>MAX(0, $A14-BF$4)*IF(RTD("tos.rtd",,"OPEN_INT","."&amp;$AB$3&amp;$AB$4&amp;"C"&amp;BF$4)="N/A",0,RTD("tos.rtd",,"OPEN_INT","."&amp;$AB$3&amp;$AB$4&amp;"C"&amp;BF$4))*100 + MAX(0, BF$4-$A14)*IF(RTD("tos.rtd",,"OPEN_INT","."&amp;$AB$3&amp;$AB$4&amp;"P"&amp;BF$4)="N/A",0,RTD("tos.rtd",,"OPEN_INT","."&amp;$AB$3&amp;$AB$4&amp;"P"&amp;BF$4))*100</f>
        <v>17278000</v>
      </c>
      <c r="BG14" s="18">
        <f>MAX(0, $A14-BG$4)*IF(RTD("tos.rtd",,"OPEN_INT","."&amp;$AB$3&amp;$AB$4&amp;"C"&amp;BG$4)="N/A",0,RTD("tos.rtd",,"OPEN_INT","."&amp;$AB$3&amp;$AB$4&amp;"C"&amp;BG$4))*100 + MAX(0, BG$4-$A14)*IF(RTD("tos.rtd",,"OPEN_INT","."&amp;$AB$3&amp;$AB$4&amp;"P"&amp;BG$4)="N/A",0,RTD("tos.rtd",,"OPEN_INT","."&amp;$AB$3&amp;$AB$4&amp;"P"&amp;BG$4))*100</f>
        <v>8827350</v>
      </c>
      <c r="BH14" s="18">
        <f>MAX(0, $A14-BH$4)*IF(RTD("tos.rtd",,"OPEN_INT","."&amp;$AB$3&amp;$AB$4&amp;"C"&amp;BH$4)="N/A",0,RTD("tos.rtd",,"OPEN_INT","."&amp;$AB$3&amp;$AB$4&amp;"C"&amp;BH$4))*100 + MAX(0, BH$4-$A14)*IF(RTD("tos.rtd",,"OPEN_INT","."&amp;$AB$3&amp;$AB$4&amp;"P"&amp;BH$4)="N/A",0,RTD("tos.rtd",,"OPEN_INT","."&amp;$AB$3&amp;$AB$4&amp;"P"&amp;BH$4))*100</f>
        <v>6307400</v>
      </c>
      <c r="BI14" s="18">
        <f>MAX(0, $A14-BI$4)*IF(RTD("tos.rtd",,"OPEN_INT","."&amp;$AB$3&amp;$AB$4&amp;"C"&amp;BI$4)="N/A",0,RTD("tos.rtd",,"OPEN_INT","."&amp;$AB$3&amp;$AB$4&amp;"C"&amp;BI$4))*100 + MAX(0, BI$4-$A14)*IF(RTD("tos.rtd",,"OPEN_INT","."&amp;$AB$3&amp;$AB$4&amp;"P"&amp;BI$4)="N/A",0,RTD("tos.rtd",,"OPEN_INT","."&amp;$AB$3&amp;$AB$4&amp;"P"&amp;BI$4))*100</f>
        <v>2234450</v>
      </c>
      <c r="BJ14" s="18">
        <f>MAX(0, $A14-BJ$4)*IF(RTD("tos.rtd",,"OPEN_INT","."&amp;$AB$3&amp;$AB$4&amp;"C"&amp;BJ$4)="N/A",0,RTD("tos.rtd",,"OPEN_INT","."&amp;$AB$3&amp;$AB$4&amp;"C"&amp;BJ$4))*100 + MAX(0, BJ$4-$A14)*IF(RTD("tos.rtd",,"OPEN_INT","."&amp;$AB$3&amp;$AB$4&amp;"P"&amp;BJ$4)="N/A",0,RTD("tos.rtd",,"OPEN_INT","."&amp;$AB$3&amp;$AB$4&amp;"P"&amp;BJ$4))*100</f>
        <v>1010400</v>
      </c>
      <c r="BK14" s="18">
        <f>MAX(0, $A14-BK$4)*IF(RTD("tos.rtd",,"OPEN_INT","."&amp;$AB$3&amp;$AB$4&amp;"C"&amp;BK$4)="N/A",0,RTD("tos.rtd",,"OPEN_INT","."&amp;$AB$3&amp;$AB$4&amp;"C"&amp;BK$4))*100 + MAX(0, BK$4-$A14)*IF(RTD("tos.rtd",,"OPEN_INT","."&amp;$AB$3&amp;$AB$4&amp;"P"&amp;BK$4)="N/A",0,RTD("tos.rtd",,"OPEN_INT","."&amp;$AB$3&amp;$AB$4&amp;"P"&amp;BK$4))*100</f>
        <v>188750</v>
      </c>
      <c r="BL14" s="18">
        <f>MAX(0, $A14-BL$4)*IF(RTD("tos.rtd",,"OPEN_INT","."&amp;$AB$3&amp;$AB$4&amp;"C"&amp;BL$4)="N/A",0,RTD("tos.rtd",,"OPEN_INT","."&amp;$AB$3&amp;$AB$4&amp;"C"&amp;BL$4))*100 + MAX(0, BL$4-$A14)*IF(RTD("tos.rtd",,"OPEN_INT","."&amp;$AB$3&amp;$AB$4&amp;"P"&amp;BL$4)="N/A",0,RTD("tos.rtd",,"OPEN_INT","."&amp;$AB$3&amp;$AB$4&amp;"P"&amp;BL$4))*100</f>
        <v>339300</v>
      </c>
      <c r="BM14" s="18">
        <f>MAX(0, $A14-BM$4)*IF(RTD("tos.rtd",,"OPEN_INT","."&amp;$AB$3&amp;$AB$4&amp;"C"&amp;BM$4)="N/A",0,RTD("tos.rtd",,"OPEN_INT","."&amp;$AB$3&amp;$AB$4&amp;"C"&amp;BM$4))*100 + MAX(0, BM$4-$A14)*IF(RTD("tos.rtd",,"OPEN_INT","."&amp;$AB$3&amp;$AB$4&amp;"P"&amp;BM$4)="N/A",0,RTD("tos.rtd",,"OPEN_INT","."&amp;$AB$3&amp;$AB$4&amp;"P"&amp;BM$4))*100</f>
        <v>21600</v>
      </c>
      <c r="BN14" s="18">
        <f>MAX(0, $A14-BN$4)*IF(RTD("tos.rtd",,"OPEN_INT","."&amp;$AB$3&amp;$AB$4&amp;"C"&amp;BN$4)="N/A",0,RTD("tos.rtd",,"OPEN_INT","."&amp;$AB$3&amp;$AB$4&amp;"C"&amp;BN$4))*100 + MAX(0, BN$4-$A14)*IF(RTD("tos.rtd",,"OPEN_INT","."&amp;$AB$3&amp;$AB$4&amp;"P"&amp;BN$4)="N/A",0,RTD("tos.rtd",,"OPEN_INT","."&amp;$AB$3&amp;$AB$4&amp;"P"&amp;BN$4))*100</f>
        <v>11200</v>
      </c>
      <c r="BO14" s="18">
        <f>MAX(0, $A14-BO$4)*IF(RTD("tos.rtd",,"OPEN_INT","."&amp;$AB$3&amp;$AB$4&amp;"C"&amp;BO$4)="N/A",0,RTD("tos.rtd",,"OPEN_INT","."&amp;$AB$3&amp;$AB$4&amp;"C"&amp;BO$4))*100 + MAX(0, BO$4-$A14)*IF(RTD("tos.rtd",,"OPEN_INT","."&amp;$AB$3&amp;$AB$4&amp;"P"&amp;BO$4)="N/A",0,RTD("tos.rtd",,"OPEN_INT","."&amp;$AB$3&amp;$AB$4&amp;"P"&amp;BO$4))*100</f>
        <v>44950</v>
      </c>
      <c r="BP14" s="18">
        <f>MAX(0, $A14-BP$4)*IF(RTD("tos.rtd",,"OPEN_INT","."&amp;$AB$3&amp;$AB$4&amp;"C"&amp;BP$4)="N/A",0,RTD("tos.rtd",,"OPEN_INT","."&amp;$AB$3&amp;$AB$4&amp;"C"&amp;BP$4))*100 + MAX(0, BP$4-$A14)*IF(RTD("tos.rtd",,"OPEN_INT","."&amp;$AB$3&amp;$AB$4&amp;"P"&amp;BP$4)="N/A",0,RTD("tos.rtd",,"OPEN_INT","."&amp;$AB$3&amp;$AB$4&amp;"P"&amp;BP$4))*100</f>
        <v>57000</v>
      </c>
      <c r="BQ14" s="18">
        <f>MAX(0, $A14-BQ$4)*IF(RTD("tos.rtd",,"OPEN_INT","."&amp;$AB$3&amp;$AB$4&amp;"C"&amp;BQ$4)="N/A",0,RTD("tos.rtd",,"OPEN_INT","."&amp;$AB$3&amp;$AB$4&amp;"C"&amp;BQ$4))*100 + MAX(0, BQ$4-$A14)*IF(RTD("tos.rtd",,"OPEN_INT","."&amp;$AB$3&amp;$AB$4&amp;"P"&amp;BQ$4)="N/A",0,RTD("tos.rtd",,"OPEN_INT","."&amp;$AB$3&amp;$AB$4&amp;"P"&amp;BQ$4))*100</f>
        <v>0</v>
      </c>
      <c r="BR14" s="18">
        <f>MAX(0, $A14-BR$4)*IF(RTD("tos.rtd",,"OPEN_INT","."&amp;$AB$3&amp;$AB$4&amp;"C"&amp;BR$4)="N/A",0,RTD("tos.rtd",,"OPEN_INT","."&amp;$AB$3&amp;$AB$4&amp;"C"&amp;BR$4))*100 + MAX(0, BR$4-$A14)*IF(RTD("tos.rtd",,"OPEN_INT","."&amp;$AB$3&amp;$AB$4&amp;"P"&amp;BR$4)="N/A",0,RTD("tos.rtd",,"OPEN_INT","."&amp;$AB$3&amp;$AB$4&amp;"P"&amp;BR$4))*100</f>
        <v>0</v>
      </c>
      <c r="BS14" s="18">
        <f>MAX(0, $A14-BS$4)*IF(RTD("tos.rtd",,"OPEN_INT","."&amp;$AB$3&amp;$AB$4&amp;"C"&amp;BS$4)="N/A",0,RTD("tos.rtd",,"OPEN_INT","."&amp;$AB$3&amp;$AB$4&amp;"C"&amp;BS$4))*100 + MAX(0, BS$4-$A14)*IF(RTD("tos.rtd",,"OPEN_INT","."&amp;$AB$3&amp;$AB$4&amp;"P"&amp;BS$4)="N/A",0,RTD("tos.rtd",,"OPEN_INT","."&amp;$AB$3&amp;$AB$4&amp;"P"&amp;BS$4))*100</f>
        <v>0</v>
      </c>
      <c r="BT14" s="18">
        <f>MAX(0, $A14-BT$4)*IF(RTD("tos.rtd",,"OPEN_INT","."&amp;$AB$3&amp;$AB$4&amp;"C"&amp;BT$4)="N/A",0,RTD("tos.rtd",,"OPEN_INT","."&amp;$AB$3&amp;$AB$4&amp;"C"&amp;BT$4))*100 + MAX(0, BT$4-$A14)*IF(RTD("tos.rtd",,"OPEN_INT","."&amp;$AB$3&amp;$AB$4&amp;"P"&amp;BT$4)="N/A",0,RTD("tos.rtd",,"OPEN_INT","."&amp;$AB$3&amp;$AB$4&amp;"P"&amp;BT$4))*100</f>
        <v>0</v>
      </c>
      <c r="BU14" s="18">
        <f>MAX(0, $A14-BU$4)*IF(RTD("tos.rtd",,"OPEN_INT","."&amp;$AB$3&amp;$AB$4&amp;"C"&amp;BU$4)="N/A",0,RTD("tos.rtd",,"OPEN_INT","."&amp;$AB$3&amp;$AB$4&amp;"C"&amp;BU$4))*100 + MAX(0, BU$4-$A14)*IF(RTD("tos.rtd",,"OPEN_INT","."&amp;$AB$3&amp;$AB$4&amp;"P"&amp;BU$4)="N/A",0,RTD("tos.rtd",,"OPEN_INT","."&amp;$AB$3&amp;$AB$4&amp;"P"&amp;BU$4))*100</f>
        <v>0</v>
      </c>
      <c r="BV14" s="18">
        <f>MAX(0, $A14-BV$4)*IF(RTD("tos.rtd",,"OPEN_INT","."&amp;$AB$3&amp;$AB$4&amp;"C"&amp;BV$4)="N/A",0,RTD("tos.rtd",,"OPEN_INT","."&amp;$AB$3&amp;$AB$4&amp;"C"&amp;BV$4))*100 + MAX(0, BV$4-$A14)*IF(RTD("tos.rtd",,"OPEN_INT","."&amp;$AB$3&amp;$AB$4&amp;"P"&amp;BV$4)="N/A",0,RTD("tos.rtd",,"OPEN_INT","."&amp;$AB$3&amp;$AB$4&amp;"P"&amp;BV$4))*100</f>
        <v>0</v>
      </c>
      <c r="BW14" s="18">
        <f>MAX(0, $A14-BW$4)*IF(RTD("tos.rtd",,"OPEN_INT","."&amp;$AB$3&amp;$AB$4&amp;"C"&amp;BW$4)="N/A",0,RTD("tos.rtd",,"OPEN_INT","."&amp;$AB$3&amp;$AB$4&amp;"C"&amp;BW$4))*100 + MAX(0, BW$4-$A14)*IF(RTD("tos.rtd",,"OPEN_INT","."&amp;$AB$3&amp;$AB$4&amp;"P"&amp;BW$4)="N/A",0,RTD("tos.rtd",,"OPEN_INT","."&amp;$AB$3&amp;$AB$4&amp;"P"&amp;BW$4))*100</f>
        <v>0</v>
      </c>
    </row>
    <row r="15" spans="1:75" s="19" customFormat="1" ht="11.25" customHeight="1" thickBot="1" x14ac:dyDescent="0.3">
      <c r="A15" s="23">
        <f t="shared" si="7"/>
        <v>16.5</v>
      </c>
      <c r="B15" s="14">
        <f ca="1">IF($A$2="PREMIUM_OI",IFERROR(IF($X$1="ABS",(100*RTD("tos.rtd",,"OPEN_INT","."&amp;B$2&amp;B$1&amp;"C"&amp;$A15)*RTD("tos.rtd",,"LAST","."&amp;B$2&amp;B$1&amp;"C"&amp;$A15)+100*RTD("tos.rtd",,"OPEN_INT","."&amp;B$2&amp;B$1&amp;"P"&amp;$A15)*RTD("tos.rtd",,"LAST","."&amp;B$2&amp;B$1&amp;"P"&amp;$A15))/1000000,(100*RTD("tos.rtd",,"OPEN_INT","."&amp;B$2&amp;B$1&amp;"C"&amp;$A15)*RTD("tos.rtd",,"LAST","."&amp;B$2&amp;B$1&amp;"C"&amp;$A15)-100*RTD("tos.rtd",,"OPEN_INT","."&amp;B$2&amp;B$1&amp;"P"&amp;$A15)*RTD("tos.rtd",,"LAST","."&amp;B$2&amp;B$1&amp;"P"&amp;$A15))/1000000),0),IF($A$2="PREMIUM",IFERROR(IF($X$1="ABS",(100*RTD("tos.rtd",,"VOLUME","."&amp;B$2&amp;B$1&amp;"C"&amp;$A15)*RTD("tos.rtd",,"LAST","."&amp;B$2&amp;B$1&amp;"C"&amp;$A15)+100*RTD("tos.rtd",,"VOLUME","."&amp;B$2&amp;B$1&amp;"P"&amp;$A15)*RTD("tos.rtd",,"LAST","."&amp;B$2&amp;B$1&amp;"P"&amp;$A15))/1000000,(100*RTD("tos.rtd",,"VOLUME","."&amp;B$2&amp;B$1&amp;"C"&amp;$A15)*RTD("tos.rtd",,"LAST","."&amp;B$2&amp;B$1&amp;"C"&amp;$A15)-100*RTD("tos.rtd",,"VOLUME","."&amp;B$2&amp;B$1&amp;"P"&amp;$A15)*RTD("tos.rtd",,"LAST","."&amp;B$2&amp;B$1&amp;"P"&amp;$A15))/1000000),0),IF($A$2="DEX",IFERROR(IF($X$1="ABS",(100*RTD("tos.rtd",,"OPEN_INT","."&amp;B$2&amp;B$1&amp;"C"&amp;$A15)*RTD("tos.rtd",,"DELTA","."&amp;B$2&amp;B$1&amp;"C"&amp;$A15)+100*RTD("tos.rtd",,"OPEN_INT","."&amp;B$2&amp;B$1&amp;"P"&amp;$A15)*RTD("tos.rtd",,"DELTA","."&amp;B$2&amp;B$1&amp;"P"&amp;$A15))/1000,(100*RTD("tos.rtd",,"OPEN_INT","."&amp;B$2&amp;B$1&amp;"C"&amp;$A15)*RTD("tos.rtd",,"DELTA","."&amp;B$2&amp;B$1&amp;"C"&amp;$A15)-100*RTD("tos.rtd",,"OPEN_INT","."&amp;B$2&amp;B$1&amp;"P"&amp;$A15)*RTD("tos.rtd",,"DELTA","."&amp;B$2&amp;B$1&amp;"P"&amp;$A15))/1000),0),IF($A$2="VEX",IFERROR(IF($X$1="ABS",($A$4*$A$4*RTD("tos.rtd",,"VOLUME","."&amp;B$2&amp;B$1&amp;"C"&amp;$A15)*RTD("tos.rtd",,"GAMMA","."&amp;B$2&amp;B$1&amp;"C"&amp;$A15)+$A$4*$A$4*RTD("tos.rtd",,"VOLUME","."&amp;B$2&amp;B$1&amp;"P"&amp;$A15)*RTD("tos.rtd",,"GAMMA","."&amp;B$2&amp;B$1&amp;"P"&amp;$A15))/1000000,($A$4*$A$4*RTD("tos.rtd",,"VOLUME","."&amp;B$2&amp;B$1&amp;"C"&amp;$A15)*RTD("tos.rtd",,"GAMMA","."&amp;B$2&amp;B$1&amp;"C"&amp;$A15)-$A$4*$A$4*RTD("tos.rtd",,"VOLUME","."&amp;B$2&amp;B$1&amp;"P"&amp;$A15)*RTD("tos.rtd",,"GAMMA","."&amp;B$2&amp;B$1&amp;"P"&amp;$A15))/1000000),0),IF($A$2="GEX",IFERROR(IF($X$1="ABS",($A$4*$A$4*RTD("tos.rtd",,"OPEN_INT","."&amp;B$2&amp;B$1&amp;"C"&amp;$A15)*RTD("tos.rtd",,"GAMMA","."&amp;B$2&amp;B$1&amp;"C"&amp;$A15)+$A$4*$A$4*RTD("tos.rtd",,"OPEN_INT","."&amp;B$2&amp;B$1&amp;"P"&amp;$A15)*RTD("tos.rtd",,"GAMMA","."&amp;B$2&amp;B$1&amp;"P"&amp;$A15))/1000000,($A$4*$A$4*RTD("tos.rtd",,"OPEN_INT","."&amp;B$2&amp;B$1&amp;"C"&amp;$A15)*RTD("tos.rtd",,"GAMMA","."&amp;B$2&amp;B$1&amp;"C"&amp;$A15)-$A$4*$A$4*RTD("tos.rtd",,"OPEN_INT","."&amp;B$2&amp;B$1&amp;"P"&amp;$A15)*RTD("tos.rtd",,"GAMMA","."&amp;B$2&amp;B$1&amp;"P"&amp;$A15))/1000000),0),IF($A$2="SKEW",IFERROR(VALUE(IF(RTD("tos.rtd",,"IMPL_VOL","."&amp;B$2&amp;B$1&amp;"P"&amp;$A15)="N/A",0,RTD("tos.rtd",,"IMPL_VOL","."&amp;B$2&amp;B$1&amp;"P"&amp;$A15))),0)-IFERROR(VALUE(IF(RTD("tos.rtd",,"IMPL_VOL","."&amp;B$2&amp;B$1&amp;"C"&amp;$A15)="N/A",0,RTD("tos.rtd",,"IMPL_VOL","."&amp;B$2&amp;B$1&amp;"C"&amp;$A15))),0),IF($A$2="MAXPAIN",IF($A$4&gt;$A15,($A$4-$A15)*IF(RTD("tos.rtd",,"OPEN_INT","."&amp;B$2&amp;B$1&amp;"C"&amp;$A15)="N/A",0,RTD("tos.rtd",,"OPEN_INT","."&amp;B$2&amp;B$1&amp;"C"&amp;$A15)),0)+IF($A$4&lt;$A15,($A$5-$A$4)*IF(RTD("tos.rtd",,"OPEN_INT","."&amp;B$2&amp;B$1&amp;"P"&amp;$A15)="N/A",0,RTD("tos.rtd",,"OPEN_INT","."&amp;B$2&amp;B$1&amp;"P"&amp;$A15)),0),IF($X$1="ABS",IF(RTD("tos.rtd",,$A$2,"."&amp;B$2&amp;B$1&amp;"C"&amp;$A15)="N/A",0,RTD("tos.rtd",,$A$2,"."&amp;B$2&amp;B$1&amp;"C"&amp;$A15))+IF(RTD("tos.rtd",,$A$2,"."&amp;B$2&amp;B$1&amp;"P"&amp;$A15)="N/A",0,RTD("tos.rtd",,$A$2,"."&amp;B$2&amp;B$1&amp;"P"&amp;$A15)),IF(RTD("tos.rtd",,$A$2,"."&amp;B$2&amp;B$1&amp;"C"&amp;$A15)="N/A",0,RTD("tos.rtd",,$A$2,"."&amp;B$2&amp;B$1&amp;"C"&amp;$A15))-IF(RTD("tos.rtd",,$A$2,"."&amp;B$2&amp;B$1&amp;"P"&amp;$A15)="N/A",0,RTD("tos.rtd",,$A$2,"."&amp;B$2&amp;B$1&amp;"P"&amp;$A15))))))))))</f>
        <v>0</v>
      </c>
      <c r="C15" s="14">
        <f ca="1">IF($A$2="PREMIUM_OI",IFERROR(IF($X$1="ABS",(100*RTD("tos.rtd",,"OPEN_INT","."&amp;C$2&amp;C$1&amp;"C"&amp;$A15)*RTD("tos.rtd",,"LAST","."&amp;C$2&amp;C$1&amp;"C"&amp;$A15)+100*RTD("tos.rtd",,"OPEN_INT","."&amp;C$2&amp;C$1&amp;"P"&amp;$A15)*RTD("tos.rtd",,"LAST","."&amp;C$2&amp;C$1&amp;"P"&amp;$A15))/1000000,(100*RTD("tos.rtd",,"OPEN_INT","."&amp;C$2&amp;C$1&amp;"C"&amp;$A15)*RTD("tos.rtd",,"LAST","."&amp;C$2&amp;C$1&amp;"C"&amp;$A15)-100*RTD("tos.rtd",,"OPEN_INT","."&amp;C$2&amp;C$1&amp;"P"&amp;$A15)*RTD("tos.rtd",,"LAST","."&amp;C$2&amp;C$1&amp;"P"&amp;$A15))/1000000),0),IF($A$2="PREMIUM",IFERROR(IF($X$1="ABS",(100*RTD("tos.rtd",,"VOLUME","."&amp;C$2&amp;C$1&amp;"C"&amp;$A15)*RTD("tos.rtd",,"LAST","."&amp;C$2&amp;C$1&amp;"C"&amp;$A15)+100*RTD("tos.rtd",,"VOLUME","."&amp;C$2&amp;C$1&amp;"P"&amp;$A15)*RTD("tos.rtd",,"LAST","."&amp;C$2&amp;C$1&amp;"P"&amp;$A15))/1000000,(100*RTD("tos.rtd",,"VOLUME","."&amp;C$2&amp;C$1&amp;"C"&amp;$A15)*RTD("tos.rtd",,"LAST","."&amp;C$2&amp;C$1&amp;"C"&amp;$A15)-100*RTD("tos.rtd",,"VOLUME","."&amp;C$2&amp;C$1&amp;"P"&amp;$A15)*RTD("tos.rtd",,"LAST","."&amp;C$2&amp;C$1&amp;"P"&amp;$A15))/1000000),0),IF($A$2="DEX",IFERROR(IF($X$1="ABS",(100*RTD("tos.rtd",,"OPEN_INT","."&amp;C$2&amp;C$1&amp;"C"&amp;$A15)*RTD("tos.rtd",,"DELTA","."&amp;C$2&amp;C$1&amp;"C"&amp;$A15)+100*RTD("tos.rtd",,"OPEN_INT","."&amp;C$2&amp;C$1&amp;"P"&amp;$A15)*RTD("tos.rtd",,"DELTA","."&amp;C$2&amp;C$1&amp;"P"&amp;$A15))/1000,(100*RTD("tos.rtd",,"OPEN_INT","."&amp;C$2&amp;C$1&amp;"C"&amp;$A15)*RTD("tos.rtd",,"DELTA","."&amp;C$2&amp;C$1&amp;"C"&amp;$A15)-100*RTD("tos.rtd",,"OPEN_INT","."&amp;C$2&amp;C$1&amp;"P"&amp;$A15)*RTD("tos.rtd",,"DELTA","."&amp;C$2&amp;C$1&amp;"P"&amp;$A15))/1000),0),IF($A$2="VEX",IFERROR(IF($X$1="ABS",($A$4*$A$4*RTD("tos.rtd",,"VOLUME","."&amp;C$2&amp;C$1&amp;"C"&amp;$A15)*RTD("tos.rtd",,"GAMMA","."&amp;C$2&amp;C$1&amp;"C"&amp;$A15)+$A$4*$A$4*RTD("tos.rtd",,"VOLUME","."&amp;C$2&amp;C$1&amp;"P"&amp;$A15)*RTD("tos.rtd",,"GAMMA","."&amp;C$2&amp;C$1&amp;"P"&amp;$A15))/1000000,($A$4*$A$4*RTD("tos.rtd",,"VOLUME","."&amp;C$2&amp;C$1&amp;"C"&amp;$A15)*RTD("tos.rtd",,"GAMMA","."&amp;C$2&amp;C$1&amp;"C"&amp;$A15)-$A$4*$A$4*RTD("tos.rtd",,"VOLUME","."&amp;C$2&amp;C$1&amp;"P"&amp;$A15)*RTD("tos.rtd",,"GAMMA","."&amp;C$2&amp;C$1&amp;"P"&amp;$A15))/1000000),0),IF($A$2="GEX",IFERROR(IF($X$1="ABS",($A$4*$A$4*RTD("tos.rtd",,"OPEN_INT","."&amp;C$2&amp;C$1&amp;"C"&amp;$A15)*RTD("tos.rtd",,"GAMMA","."&amp;C$2&amp;C$1&amp;"C"&amp;$A15)+$A$4*$A$4*RTD("tos.rtd",,"OPEN_INT","."&amp;C$2&amp;C$1&amp;"P"&amp;$A15)*RTD("tos.rtd",,"GAMMA","."&amp;C$2&amp;C$1&amp;"P"&amp;$A15))/1000000,($A$4*$A$4*RTD("tos.rtd",,"OPEN_INT","."&amp;C$2&amp;C$1&amp;"C"&amp;$A15)*RTD("tos.rtd",,"GAMMA","."&amp;C$2&amp;C$1&amp;"C"&amp;$A15)-$A$4*$A$4*RTD("tos.rtd",,"OPEN_INT","."&amp;C$2&amp;C$1&amp;"P"&amp;$A15)*RTD("tos.rtd",,"GAMMA","."&amp;C$2&amp;C$1&amp;"P"&amp;$A15))/1000000),0),IF($A$2="SKEW",IFERROR(VALUE(IF(RTD("tos.rtd",,"IMPL_VOL","."&amp;C$2&amp;C$1&amp;"P"&amp;$A15)="N/A",0,RTD("tos.rtd",,"IMPL_VOL","."&amp;C$2&amp;C$1&amp;"P"&amp;$A15))),0)-IFERROR(VALUE(IF(RTD("tos.rtd",,"IMPL_VOL","."&amp;C$2&amp;C$1&amp;"C"&amp;$A15)="N/A",0,RTD("tos.rtd",,"IMPL_VOL","."&amp;C$2&amp;C$1&amp;"C"&amp;$A15))),0),IF($A$2="MAXPAIN",IF($A$4&gt;$A15,($A$4-$A15)*IF(RTD("tos.rtd",,"OPEN_INT","."&amp;C$2&amp;C$1&amp;"C"&amp;$A15)="N/A",0,RTD("tos.rtd",,"OPEN_INT","."&amp;C$2&amp;C$1&amp;"C"&amp;$A15)),0)+IF($A$4&lt;$A15,($A$5-$A$4)*IF(RTD("tos.rtd",,"OPEN_INT","."&amp;C$2&amp;C$1&amp;"P"&amp;$A15)="N/A",0,RTD("tos.rtd",,"OPEN_INT","."&amp;C$2&amp;C$1&amp;"P"&amp;$A15)),0),IF($X$1="ABS",IF(RTD("tos.rtd",,$A$2,"."&amp;C$2&amp;C$1&amp;"C"&amp;$A15)="N/A",0,RTD("tos.rtd",,$A$2,"."&amp;C$2&amp;C$1&amp;"C"&amp;$A15))+IF(RTD("tos.rtd",,$A$2,"."&amp;C$2&amp;C$1&amp;"P"&amp;$A15)="N/A",0,RTD("tos.rtd",,$A$2,"."&amp;C$2&amp;C$1&amp;"P"&amp;$A15)),IF(RTD("tos.rtd",,$A$2,"."&amp;C$2&amp;C$1&amp;"C"&amp;$A15)="N/A",0,RTD("tos.rtd",,$A$2,"."&amp;C$2&amp;C$1&amp;"C"&amp;$A15))-IF(RTD("tos.rtd",,$A$2,"."&amp;C$2&amp;C$1&amp;"P"&amp;$A15)="N/A",0,RTD("tos.rtd",,$A$2,"."&amp;C$2&amp;C$1&amp;"P"&amp;$A15))))))))))</f>
        <v>0</v>
      </c>
      <c r="D15" s="12">
        <f ca="1">IF($A$2="PREMIUM_OI",IFERROR(IF($X$1="ABS",(100*RTD("tos.rtd",,"OPEN_INT","."&amp;D$2&amp;D$1&amp;"C"&amp;$A15)*RTD("tos.rtd",,"LAST","."&amp;D$2&amp;D$1&amp;"C"&amp;$A15)+100*RTD("tos.rtd",,"OPEN_INT","."&amp;D$2&amp;D$1&amp;"P"&amp;$A15)*RTD("tos.rtd",,"LAST","."&amp;D$2&amp;D$1&amp;"P"&amp;$A15))/1000000,(100*RTD("tos.rtd",,"OPEN_INT","."&amp;D$2&amp;D$1&amp;"C"&amp;$A15)*RTD("tos.rtd",,"LAST","."&amp;D$2&amp;D$1&amp;"C"&amp;$A15)-100*RTD("tos.rtd",,"OPEN_INT","."&amp;D$2&amp;D$1&amp;"P"&amp;$A15)*RTD("tos.rtd",,"LAST","."&amp;D$2&amp;D$1&amp;"P"&amp;$A15))/1000000),0),IF($A$2="PREMIUM",IFERROR(IF($X$1="ABS",(100*RTD("tos.rtd",,"VOLUME","."&amp;D$2&amp;D$1&amp;"C"&amp;$A15)*RTD("tos.rtd",,"LAST","."&amp;D$2&amp;D$1&amp;"C"&amp;$A15)+100*RTD("tos.rtd",,"VOLUME","."&amp;D$2&amp;D$1&amp;"P"&amp;$A15)*RTD("tos.rtd",,"LAST","."&amp;D$2&amp;D$1&amp;"P"&amp;$A15))/1000000,(100*RTD("tos.rtd",,"VOLUME","."&amp;D$2&amp;D$1&amp;"C"&amp;$A15)*RTD("tos.rtd",,"LAST","."&amp;D$2&amp;D$1&amp;"C"&amp;$A15)-100*RTD("tos.rtd",,"VOLUME","."&amp;D$2&amp;D$1&amp;"P"&amp;$A15)*RTD("tos.rtd",,"LAST","."&amp;D$2&amp;D$1&amp;"P"&amp;$A15))/1000000),0),IF($A$2="DEX",IFERROR(IF($X$1="ABS",(100*RTD("tos.rtd",,"OPEN_INT","."&amp;D$2&amp;D$1&amp;"C"&amp;$A15)*RTD("tos.rtd",,"DELTA","."&amp;D$2&amp;D$1&amp;"C"&amp;$A15)+100*RTD("tos.rtd",,"OPEN_INT","."&amp;D$2&amp;D$1&amp;"P"&amp;$A15)*RTD("tos.rtd",,"DELTA","."&amp;D$2&amp;D$1&amp;"P"&amp;$A15))/1000,(100*RTD("tos.rtd",,"OPEN_INT","."&amp;D$2&amp;D$1&amp;"C"&amp;$A15)*RTD("tos.rtd",,"DELTA","."&amp;D$2&amp;D$1&amp;"C"&amp;$A15)-100*RTD("tos.rtd",,"OPEN_INT","."&amp;D$2&amp;D$1&amp;"P"&amp;$A15)*RTD("tos.rtd",,"DELTA","."&amp;D$2&amp;D$1&amp;"P"&amp;$A15))/1000),0),IF($A$2="VEX",IFERROR(IF($X$1="ABS",($A$4*$A$4*RTD("tos.rtd",,"VOLUME","."&amp;D$2&amp;D$1&amp;"C"&amp;$A15)*RTD("tos.rtd",,"GAMMA","."&amp;D$2&amp;D$1&amp;"C"&amp;$A15)+$A$4*$A$4*RTD("tos.rtd",,"VOLUME","."&amp;D$2&amp;D$1&amp;"P"&amp;$A15)*RTD("tos.rtd",,"GAMMA","."&amp;D$2&amp;D$1&amp;"P"&amp;$A15))/1000000,($A$4*$A$4*RTD("tos.rtd",,"VOLUME","."&amp;D$2&amp;D$1&amp;"C"&amp;$A15)*RTD("tos.rtd",,"GAMMA","."&amp;D$2&amp;D$1&amp;"C"&amp;$A15)-$A$4*$A$4*RTD("tos.rtd",,"VOLUME","."&amp;D$2&amp;D$1&amp;"P"&amp;$A15)*RTD("tos.rtd",,"GAMMA","."&amp;D$2&amp;D$1&amp;"P"&amp;$A15))/1000000),0),IF($A$2="GEX",IFERROR(IF($X$1="ABS",($A$4*$A$4*RTD("tos.rtd",,"OPEN_INT","."&amp;D$2&amp;D$1&amp;"C"&amp;$A15)*RTD("tos.rtd",,"GAMMA","."&amp;D$2&amp;D$1&amp;"C"&amp;$A15)+$A$4*$A$4*RTD("tos.rtd",,"OPEN_INT","."&amp;D$2&amp;D$1&amp;"P"&amp;$A15)*RTD("tos.rtd",,"GAMMA","."&amp;D$2&amp;D$1&amp;"P"&amp;$A15))/1000000,($A$4*$A$4*RTD("tos.rtd",,"OPEN_INT","."&amp;D$2&amp;D$1&amp;"C"&amp;$A15)*RTD("tos.rtd",,"GAMMA","."&amp;D$2&amp;D$1&amp;"C"&amp;$A15)-$A$4*$A$4*RTD("tos.rtd",,"OPEN_INT","."&amp;D$2&amp;D$1&amp;"P"&amp;$A15)*RTD("tos.rtd",,"GAMMA","."&amp;D$2&amp;D$1&amp;"P"&amp;$A15))/1000000),0),IF($A$2="SKEW",IFERROR(VALUE(IF(RTD("tos.rtd",,"IMPL_VOL","."&amp;D$2&amp;D$1&amp;"P"&amp;$A15)="N/A",0,RTD("tos.rtd",,"IMPL_VOL","."&amp;D$2&amp;D$1&amp;"P"&amp;$A15))),0)-IFERROR(VALUE(IF(RTD("tos.rtd",,"IMPL_VOL","."&amp;D$2&amp;D$1&amp;"C"&amp;$A15)="N/A",0,RTD("tos.rtd",,"IMPL_VOL","."&amp;D$2&amp;D$1&amp;"C"&amp;$A15))),0),IF($A$2="MAXPAIN",IF($A$4&gt;$A15,($A$4-$A15)*IF(RTD("tos.rtd",,"OPEN_INT","."&amp;D$2&amp;D$1&amp;"C"&amp;$A15)="N/A",0,RTD("tos.rtd",,"OPEN_INT","."&amp;D$2&amp;D$1&amp;"C"&amp;$A15)),0)+IF($A$4&lt;$A15,($A$5-$A$4)*IF(RTD("tos.rtd",,"OPEN_INT","."&amp;D$2&amp;D$1&amp;"P"&amp;$A15)="N/A",0,RTD("tos.rtd",,"OPEN_INT","."&amp;D$2&amp;D$1&amp;"P"&amp;$A15)),0),IF($X$1="ABS",IF(RTD("tos.rtd",,$A$2,"."&amp;D$2&amp;D$1&amp;"C"&amp;$A15)="N/A",0,RTD("tos.rtd",,$A$2,"."&amp;D$2&amp;D$1&amp;"C"&amp;$A15))+IF(RTD("tos.rtd",,$A$2,"."&amp;D$2&amp;D$1&amp;"P"&amp;$A15)="N/A",0,RTD("tos.rtd",,$A$2,"."&amp;D$2&amp;D$1&amp;"P"&amp;$A15)),IF(RTD("tos.rtd",,$A$2,"."&amp;D$2&amp;D$1&amp;"C"&amp;$A15)="N/A",0,RTD("tos.rtd",,$A$2,"."&amp;D$2&amp;D$1&amp;"C"&amp;$A15))-IF(RTD("tos.rtd",,$A$2,"."&amp;D$2&amp;D$1&amp;"P"&amp;$A15)="N/A",0,RTD("tos.rtd",,$A$2,"."&amp;D$2&amp;D$1&amp;"P"&amp;$A15))))))))))</f>
        <v>0</v>
      </c>
      <c r="E15" s="12">
        <f ca="1">IF($A$2="PREMIUM_OI",IFERROR(IF($X$1="ABS",(100*RTD("tos.rtd",,"OPEN_INT","."&amp;E$2&amp;E$1&amp;"C"&amp;$A15)*RTD("tos.rtd",,"LAST","."&amp;E$2&amp;E$1&amp;"C"&amp;$A15)+100*RTD("tos.rtd",,"OPEN_INT","."&amp;E$2&amp;E$1&amp;"P"&amp;$A15)*RTD("tos.rtd",,"LAST","."&amp;E$2&amp;E$1&amp;"P"&amp;$A15))/1000000,(100*RTD("tos.rtd",,"OPEN_INT","."&amp;E$2&amp;E$1&amp;"C"&amp;$A15)*RTD("tos.rtd",,"LAST","."&amp;E$2&amp;E$1&amp;"C"&amp;$A15)-100*RTD("tos.rtd",,"OPEN_INT","."&amp;E$2&amp;E$1&amp;"P"&amp;$A15)*RTD("tos.rtd",,"LAST","."&amp;E$2&amp;E$1&amp;"P"&amp;$A15))/1000000),0),IF($A$2="PREMIUM",IFERROR(IF($X$1="ABS",(100*RTD("tos.rtd",,"VOLUME","."&amp;E$2&amp;E$1&amp;"C"&amp;$A15)*RTD("tos.rtd",,"LAST","."&amp;E$2&amp;E$1&amp;"C"&amp;$A15)+100*RTD("tos.rtd",,"VOLUME","."&amp;E$2&amp;E$1&amp;"P"&amp;$A15)*RTD("tos.rtd",,"LAST","."&amp;E$2&amp;E$1&amp;"P"&amp;$A15))/1000000,(100*RTD("tos.rtd",,"VOLUME","."&amp;E$2&amp;E$1&amp;"C"&amp;$A15)*RTD("tos.rtd",,"LAST","."&amp;E$2&amp;E$1&amp;"C"&amp;$A15)-100*RTD("tos.rtd",,"VOLUME","."&amp;E$2&amp;E$1&amp;"P"&amp;$A15)*RTD("tos.rtd",,"LAST","."&amp;E$2&amp;E$1&amp;"P"&amp;$A15))/1000000),0),IF($A$2="DEX",IFERROR(IF($X$1="ABS",(100*RTD("tos.rtd",,"OPEN_INT","."&amp;E$2&amp;E$1&amp;"C"&amp;$A15)*RTD("tos.rtd",,"DELTA","."&amp;E$2&amp;E$1&amp;"C"&amp;$A15)+100*RTD("tos.rtd",,"OPEN_INT","."&amp;E$2&amp;E$1&amp;"P"&amp;$A15)*RTD("tos.rtd",,"DELTA","."&amp;E$2&amp;E$1&amp;"P"&amp;$A15))/1000,(100*RTD("tos.rtd",,"OPEN_INT","."&amp;E$2&amp;E$1&amp;"C"&amp;$A15)*RTD("tos.rtd",,"DELTA","."&amp;E$2&amp;E$1&amp;"C"&amp;$A15)-100*RTD("tos.rtd",,"OPEN_INT","."&amp;E$2&amp;E$1&amp;"P"&amp;$A15)*RTD("tos.rtd",,"DELTA","."&amp;E$2&amp;E$1&amp;"P"&amp;$A15))/1000),0),IF($A$2="VEX",IFERROR(IF($X$1="ABS",($A$4*$A$4*RTD("tos.rtd",,"VOLUME","."&amp;E$2&amp;E$1&amp;"C"&amp;$A15)*RTD("tos.rtd",,"GAMMA","."&amp;E$2&amp;E$1&amp;"C"&amp;$A15)+$A$4*$A$4*RTD("tos.rtd",,"VOLUME","."&amp;E$2&amp;E$1&amp;"P"&amp;$A15)*RTD("tos.rtd",,"GAMMA","."&amp;E$2&amp;E$1&amp;"P"&amp;$A15))/1000000,($A$4*$A$4*RTD("tos.rtd",,"VOLUME","."&amp;E$2&amp;E$1&amp;"C"&amp;$A15)*RTD("tos.rtd",,"GAMMA","."&amp;E$2&amp;E$1&amp;"C"&amp;$A15)-$A$4*$A$4*RTD("tos.rtd",,"VOLUME","."&amp;E$2&amp;E$1&amp;"P"&amp;$A15)*RTD("tos.rtd",,"GAMMA","."&amp;E$2&amp;E$1&amp;"P"&amp;$A15))/1000000),0),IF($A$2="GEX",IFERROR(IF($X$1="ABS",($A$4*$A$4*RTD("tos.rtd",,"OPEN_INT","."&amp;E$2&amp;E$1&amp;"C"&amp;$A15)*RTD("tos.rtd",,"GAMMA","."&amp;E$2&amp;E$1&amp;"C"&amp;$A15)+$A$4*$A$4*RTD("tos.rtd",,"OPEN_INT","."&amp;E$2&amp;E$1&amp;"P"&amp;$A15)*RTD("tos.rtd",,"GAMMA","."&amp;E$2&amp;E$1&amp;"P"&amp;$A15))/1000000,($A$4*$A$4*RTD("tos.rtd",,"OPEN_INT","."&amp;E$2&amp;E$1&amp;"C"&amp;$A15)*RTD("tos.rtd",,"GAMMA","."&amp;E$2&amp;E$1&amp;"C"&amp;$A15)-$A$4*$A$4*RTD("tos.rtd",,"OPEN_INT","."&amp;E$2&amp;E$1&amp;"P"&amp;$A15)*RTD("tos.rtd",,"GAMMA","."&amp;E$2&amp;E$1&amp;"P"&amp;$A15))/1000000),0),IF($A$2="SKEW",IFERROR(VALUE(IF(RTD("tos.rtd",,"IMPL_VOL","."&amp;E$2&amp;E$1&amp;"P"&amp;$A15)="N/A",0,RTD("tos.rtd",,"IMPL_VOL","."&amp;E$2&amp;E$1&amp;"P"&amp;$A15))),0)-IFERROR(VALUE(IF(RTD("tos.rtd",,"IMPL_VOL","."&amp;E$2&amp;E$1&amp;"C"&amp;$A15)="N/A",0,RTD("tos.rtd",,"IMPL_VOL","."&amp;E$2&amp;E$1&amp;"C"&amp;$A15))),0),IF($A$2="MAXPAIN",IF($A$4&gt;$A15,($A$4-$A15)*IF(RTD("tos.rtd",,"OPEN_INT","."&amp;E$2&amp;E$1&amp;"C"&amp;$A15)="N/A",0,RTD("tos.rtd",,"OPEN_INT","."&amp;E$2&amp;E$1&amp;"C"&amp;$A15)),0)+IF($A$4&lt;$A15,($A$5-$A$4)*IF(RTD("tos.rtd",,"OPEN_INT","."&amp;E$2&amp;E$1&amp;"P"&amp;$A15)="N/A",0,RTD("tos.rtd",,"OPEN_INT","."&amp;E$2&amp;E$1&amp;"P"&amp;$A15)),0),IF($X$1="ABS",IF(RTD("tos.rtd",,$A$2,"."&amp;E$2&amp;E$1&amp;"C"&amp;$A15)="N/A",0,RTD("tos.rtd",,$A$2,"."&amp;E$2&amp;E$1&amp;"C"&amp;$A15))+IF(RTD("tos.rtd",,$A$2,"."&amp;E$2&amp;E$1&amp;"P"&amp;$A15)="N/A",0,RTD("tos.rtd",,$A$2,"."&amp;E$2&amp;E$1&amp;"P"&amp;$A15)),IF(RTD("tos.rtd",,$A$2,"."&amp;E$2&amp;E$1&amp;"C"&amp;$A15)="N/A",0,RTD("tos.rtd",,$A$2,"."&amp;E$2&amp;E$1&amp;"C"&amp;$A15))-IF(RTD("tos.rtd",,$A$2,"."&amp;E$2&amp;E$1&amp;"P"&amp;$A15)="N/A",0,RTD("tos.rtd",,$A$2,"."&amp;E$2&amp;E$1&amp;"P"&amp;$A15))))))))))</f>
        <v>0</v>
      </c>
      <c r="F15" s="12">
        <f ca="1">IF($A$2="PREMIUM_OI",IFERROR(IF($X$1="ABS",(100*RTD("tos.rtd",,"OPEN_INT","."&amp;F$2&amp;F$1&amp;"C"&amp;$A15)*RTD("tos.rtd",,"LAST","."&amp;F$2&amp;F$1&amp;"C"&amp;$A15)+100*RTD("tos.rtd",,"OPEN_INT","."&amp;F$2&amp;F$1&amp;"P"&amp;$A15)*RTD("tos.rtd",,"LAST","."&amp;F$2&amp;F$1&amp;"P"&amp;$A15))/1000000,(100*RTD("tos.rtd",,"OPEN_INT","."&amp;F$2&amp;F$1&amp;"C"&amp;$A15)*RTD("tos.rtd",,"LAST","."&amp;F$2&amp;F$1&amp;"C"&amp;$A15)-100*RTD("tos.rtd",,"OPEN_INT","."&amp;F$2&amp;F$1&amp;"P"&amp;$A15)*RTD("tos.rtd",,"LAST","."&amp;F$2&amp;F$1&amp;"P"&amp;$A15))/1000000),0),IF($A$2="PREMIUM",IFERROR(IF($X$1="ABS",(100*RTD("tos.rtd",,"VOLUME","."&amp;F$2&amp;F$1&amp;"C"&amp;$A15)*RTD("tos.rtd",,"LAST","."&amp;F$2&amp;F$1&amp;"C"&amp;$A15)+100*RTD("tos.rtd",,"VOLUME","."&amp;F$2&amp;F$1&amp;"P"&amp;$A15)*RTD("tos.rtd",,"LAST","."&amp;F$2&amp;F$1&amp;"P"&amp;$A15))/1000000,(100*RTD("tos.rtd",,"VOLUME","."&amp;F$2&amp;F$1&amp;"C"&amp;$A15)*RTD("tos.rtd",,"LAST","."&amp;F$2&amp;F$1&amp;"C"&amp;$A15)-100*RTD("tos.rtd",,"VOLUME","."&amp;F$2&amp;F$1&amp;"P"&amp;$A15)*RTD("tos.rtd",,"LAST","."&amp;F$2&amp;F$1&amp;"P"&amp;$A15))/1000000),0),IF($A$2="DEX",IFERROR(IF($X$1="ABS",(100*RTD("tos.rtd",,"OPEN_INT","."&amp;F$2&amp;F$1&amp;"C"&amp;$A15)*RTD("tos.rtd",,"DELTA","."&amp;F$2&amp;F$1&amp;"C"&amp;$A15)+100*RTD("tos.rtd",,"OPEN_INT","."&amp;F$2&amp;F$1&amp;"P"&amp;$A15)*RTD("tos.rtd",,"DELTA","."&amp;F$2&amp;F$1&amp;"P"&amp;$A15))/1000,(100*RTD("tos.rtd",,"OPEN_INT","."&amp;F$2&amp;F$1&amp;"C"&amp;$A15)*RTD("tos.rtd",,"DELTA","."&amp;F$2&amp;F$1&amp;"C"&amp;$A15)-100*RTD("tos.rtd",,"OPEN_INT","."&amp;F$2&amp;F$1&amp;"P"&amp;$A15)*RTD("tos.rtd",,"DELTA","."&amp;F$2&amp;F$1&amp;"P"&amp;$A15))/1000),0),IF($A$2="VEX",IFERROR(IF($X$1="ABS",($A$4*$A$4*RTD("tos.rtd",,"VOLUME","."&amp;F$2&amp;F$1&amp;"C"&amp;$A15)*RTD("tos.rtd",,"GAMMA","."&amp;F$2&amp;F$1&amp;"C"&amp;$A15)+$A$4*$A$4*RTD("tos.rtd",,"VOLUME","."&amp;F$2&amp;F$1&amp;"P"&amp;$A15)*RTD("tos.rtd",,"GAMMA","."&amp;F$2&amp;F$1&amp;"P"&amp;$A15))/1000000,($A$4*$A$4*RTD("tos.rtd",,"VOLUME","."&amp;F$2&amp;F$1&amp;"C"&amp;$A15)*RTD("tos.rtd",,"GAMMA","."&amp;F$2&amp;F$1&amp;"C"&amp;$A15)-$A$4*$A$4*RTD("tos.rtd",,"VOLUME","."&amp;F$2&amp;F$1&amp;"P"&amp;$A15)*RTD("tos.rtd",,"GAMMA","."&amp;F$2&amp;F$1&amp;"P"&amp;$A15))/1000000),0),IF($A$2="GEX",IFERROR(IF($X$1="ABS",($A$4*$A$4*RTD("tos.rtd",,"OPEN_INT","."&amp;F$2&amp;F$1&amp;"C"&amp;$A15)*RTD("tos.rtd",,"GAMMA","."&amp;F$2&amp;F$1&amp;"C"&amp;$A15)+$A$4*$A$4*RTD("tos.rtd",,"OPEN_INT","."&amp;F$2&amp;F$1&amp;"P"&amp;$A15)*RTD("tos.rtd",,"GAMMA","."&amp;F$2&amp;F$1&amp;"P"&amp;$A15))/1000000,($A$4*$A$4*RTD("tos.rtd",,"OPEN_INT","."&amp;F$2&amp;F$1&amp;"C"&amp;$A15)*RTD("tos.rtd",,"GAMMA","."&amp;F$2&amp;F$1&amp;"C"&amp;$A15)-$A$4*$A$4*RTD("tos.rtd",,"OPEN_INT","."&amp;F$2&amp;F$1&amp;"P"&amp;$A15)*RTD("tos.rtd",,"GAMMA","."&amp;F$2&amp;F$1&amp;"P"&amp;$A15))/1000000),0),IF($A$2="SKEW",IFERROR(VALUE(IF(RTD("tos.rtd",,"IMPL_VOL","."&amp;F$2&amp;F$1&amp;"P"&amp;$A15)="N/A",0,RTD("tos.rtd",,"IMPL_VOL","."&amp;F$2&amp;F$1&amp;"P"&amp;$A15))),0)-IFERROR(VALUE(IF(RTD("tos.rtd",,"IMPL_VOL","."&amp;F$2&amp;F$1&amp;"C"&amp;$A15)="N/A",0,RTD("tos.rtd",,"IMPL_VOL","."&amp;F$2&amp;F$1&amp;"C"&amp;$A15))),0),IF($A$2="MAXPAIN",IF($A$4&gt;$A15,($A$4-$A15)*IF(RTD("tos.rtd",,"OPEN_INT","."&amp;F$2&amp;F$1&amp;"C"&amp;$A15)="N/A",0,RTD("tos.rtd",,"OPEN_INT","."&amp;F$2&amp;F$1&amp;"C"&amp;$A15)),0)+IF($A$4&lt;$A15,($A$5-$A$4)*IF(RTD("tos.rtd",,"OPEN_INT","."&amp;F$2&amp;F$1&amp;"P"&amp;$A15)="N/A",0,RTD("tos.rtd",,"OPEN_INT","."&amp;F$2&amp;F$1&amp;"P"&amp;$A15)),0),IF($X$1="ABS",IF(RTD("tos.rtd",,$A$2,"."&amp;F$2&amp;F$1&amp;"C"&amp;$A15)="N/A",0,RTD("tos.rtd",,$A$2,"."&amp;F$2&amp;F$1&amp;"C"&amp;$A15))+IF(RTD("tos.rtd",,$A$2,"."&amp;F$2&amp;F$1&amp;"P"&amp;$A15)="N/A",0,RTD("tos.rtd",,$A$2,"."&amp;F$2&amp;F$1&amp;"P"&amp;$A15)),IF(RTD("tos.rtd",,$A$2,"."&amp;F$2&amp;F$1&amp;"C"&amp;$A15)="N/A",0,RTD("tos.rtd",,$A$2,"."&amp;F$2&amp;F$1&amp;"C"&amp;$A15))-IF(RTD("tos.rtd",,$A$2,"."&amp;F$2&amp;F$1&amp;"P"&amp;$A15)="N/A",0,RTD("tos.rtd",,$A$2,"."&amp;F$2&amp;F$1&amp;"P"&amp;$A15))))))))))</f>
        <v>0</v>
      </c>
      <c r="G15" s="54">
        <f ca="1">IF($A$2="PREMIUM_OI",IFERROR(IF($X$1="ABS",(100*RTD("tos.rtd",,"OPEN_INT","."&amp;G$2&amp;G$1&amp;"C"&amp;$A15)*RTD("tos.rtd",,"LAST","."&amp;G$2&amp;G$1&amp;"C"&amp;$A15)+100*RTD("tos.rtd",,"OPEN_INT","."&amp;G$2&amp;G$1&amp;"P"&amp;$A15)*RTD("tos.rtd",,"LAST","."&amp;G$2&amp;G$1&amp;"P"&amp;$A15))/1000000,(100*RTD("tos.rtd",,"OPEN_INT","."&amp;G$2&amp;G$1&amp;"C"&amp;$A15)*RTD("tos.rtd",,"LAST","."&amp;G$2&amp;G$1&amp;"C"&amp;$A15)-100*RTD("tos.rtd",,"OPEN_INT","."&amp;G$2&amp;G$1&amp;"P"&amp;$A15)*RTD("tos.rtd",,"LAST","."&amp;G$2&amp;G$1&amp;"P"&amp;$A15))/1000000),0),IF($A$2="PREMIUM",IFERROR(IF($X$1="ABS",(100*RTD("tos.rtd",,"VOLUME","."&amp;G$2&amp;G$1&amp;"C"&amp;$A15)*RTD("tos.rtd",,"LAST","."&amp;G$2&amp;G$1&amp;"C"&amp;$A15)+100*RTD("tos.rtd",,"VOLUME","."&amp;G$2&amp;G$1&amp;"P"&amp;$A15)*RTD("tos.rtd",,"LAST","."&amp;G$2&amp;G$1&amp;"P"&amp;$A15))/1000000,(100*RTD("tos.rtd",,"VOLUME","."&amp;G$2&amp;G$1&amp;"C"&amp;$A15)*RTD("tos.rtd",,"LAST","."&amp;G$2&amp;G$1&amp;"C"&amp;$A15)-100*RTD("tos.rtd",,"VOLUME","."&amp;G$2&amp;G$1&amp;"P"&amp;$A15)*RTD("tos.rtd",,"LAST","."&amp;G$2&amp;G$1&amp;"P"&amp;$A15))/1000000),0),IF($A$2="DEX",IFERROR(IF($X$1="ABS",(100*RTD("tos.rtd",,"OPEN_INT","."&amp;G$2&amp;G$1&amp;"C"&amp;$A15)*RTD("tos.rtd",,"DELTA","."&amp;G$2&amp;G$1&amp;"C"&amp;$A15)+100*RTD("tos.rtd",,"OPEN_INT","."&amp;G$2&amp;G$1&amp;"P"&amp;$A15)*RTD("tos.rtd",,"DELTA","."&amp;G$2&amp;G$1&amp;"P"&amp;$A15))/1000,(100*RTD("tos.rtd",,"OPEN_INT","."&amp;G$2&amp;G$1&amp;"C"&amp;$A15)*RTD("tos.rtd",,"DELTA","."&amp;G$2&amp;G$1&amp;"C"&amp;$A15)-100*RTD("tos.rtd",,"OPEN_INT","."&amp;G$2&amp;G$1&amp;"P"&amp;$A15)*RTD("tos.rtd",,"DELTA","."&amp;G$2&amp;G$1&amp;"P"&amp;$A15))/1000),0),IF($A$2="VEX",IFERROR(IF($X$1="ABS",($A$4*$A$4*RTD("tos.rtd",,"VOLUME","."&amp;G$2&amp;G$1&amp;"C"&amp;$A15)*RTD("tos.rtd",,"GAMMA","."&amp;G$2&amp;G$1&amp;"C"&amp;$A15)+$A$4*$A$4*RTD("tos.rtd",,"VOLUME","."&amp;G$2&amp;G$1&amp;"P"&amp;$A15)*RTD("tos.rtd",,"GAMMA","."&amp;G$2&amp;G$1&amp;"P"&amp;$A15))/1000000,($A$4*$A$4*RTD("tos.rtd",,"VOLUME","."&amp;G$2&amp;G$1&amp;"C"&amp;$A15)*RTD("tos.rtd",,"GAMMA","."&amp;G$2&amp;G$1&amp;"C"&amp;$A15)-$A$4*$A$4*RTD("tos.rtd",,"VOLUME","."&amp;G$2&amp;G$1&amp;"P"&amp;$A15)*RTD("tos.rtd",,"GAMMA","."&amp;G$2&amp;G$1&amp;"P"&amp;$A15))/1000000),0),IF($A$2="GEX",IFERROR(IF($X$1="ABS",($A$4*$A$4*RTD("tos.rtd",,"OPEN_INT","."&amp;G$2&amp;G$1&amp;"C"&amp;$A15)*RTD("tos.rtd",,"GAMMA","."&amp;G$2&amp;G$1&amp;"C"&amp;$A15)+$A$4*$A$4*RTD("tos.rtd",,"OPEN_INT","."&amp;G$2&amp;G$1&amp;"P"&amp;$A15)*RTD("tos.rtd",,"GAMMA","."&amp;G$2&amp;G$1&amp;"P"&amp;$A15))/1000000,($A$4*$A$4*RTD("tos.rtd",,"OPEN_INT","."&amp;G$2&amp;G$1&amp;"C"&amp;$A15)*RTD("tos.rtd",,"GAMMA","."&amp;G$2&amp;G$1&amp;"C"&amp;$A15)-$A$4*$A$4*RTD("tos.rtd",,"OPEN_INT","."&amp;G$2&amp;G$1&amp;"P"&amp;$A15)*RTD("tos.rtd",,"GAMMA","."&amp;G$2&amp;G$1&amp;"P"&amp;$A15))/1000000),0),IF($A$2="SKEW",IFERROR(VALUE(IF(RTD("tos.rtd",,"IMPL_VOL","."&amp;G$2&amp;G$1&amp;"P"&amp;$A15)="N/A",0,RTD("tos.rtd",,"IMPL_VOL","."&amp;G$2&amp;G$1&amp;"P"&amp;$A15))),0)-IFERROR(VALUE(IF(RTD("tos.rtd",,"IMPL_VOL","."&amp;G$2&amp;G$1&amp;"C"&amp;$A15)="N/A",0,RTD("tos.rtd",,"IMPL_VOL","."&amp;G$2&amp;G$1&amp;"C"&amp;$A15))),0),IF($A$2="MAXPAIN",IF($A$4&gt;$A15,($A$4-$A15)*IF(RTD("tos.rtd",,"OPEN_INT","."&amp;G$2&amp;G$1&amp;"C"&amp;$A15)="N/A",0,RTD("tos.rtd",,"OPEN_INT","."&amp;G$2&amp;G$1&amp;"C"&amp;$A15)),0)+IF($A$4&lt;$A15,($A$5-$A$4)*IF(RTD("tos.rtd",,"OPEN_INT","."&amp;G$2&amp;G$1&amp;"P"&amp;$A15)="N/A",0,RTD("tos.rtd",,"OPEN_INT","."&amp;G$2&amp;G$1&amp;"P"&amp;$A15)),0),IF($X$1="ABS",IF(RTD("tos.rtd",,$A$2,"."&amp;G$2&amp;G$1&amp;"C"&amp;$A15)="N/A",0,RTD("tos.rtd",,$A$2,"."&amp;G$2&amp;G$1&amp;"C"&amp;$A15))+IF(RTD("tos.rtd",,$A$2,"."&amp;G$2&amp;G$1&amp;"P"&amp;$A15)="N/A",0,RTD("tos.rtd",,$A$2,"."&amp;G$2&amp;G$1&amp;"P"&amp;$A15)),IF(RTD("tos.rtd",,$A$2,"."&amp;G$2&amp;G$1&amp;"C"&amp;$A15)="N/A",0,RTD("tos.rtd",,$A$2,"."&amp;G$2&amp;G$1&amp;"C"&amp;$A15))-IF(RTD("tos.rtd",,$A$2,"."&amp;G$2&amp;G$1&amp;"P"&amp;$A15)="N/A",0,RTD("tos.rtd",,$A$2,"."&amp;G$2&amp;G$1&amp;"P"&amp;$A15))))))))))</f>
        <v>0</v>
      </c>
      <c r="H15" s="14">
        <f ca="1">IF($A$2="PREMIUM_OI",IFERROR(IF($X$1="ABS",(100*RTD("tos.rtd",,"OPEN_INT","."&amp;H$2&amp;H$1&amp;"C"&amp;$A15)*RTD("tos.rtd",,"LAST","."&amp;H$2&amp;H$1&amp;"C"&amp;$A15)+100*RTD("tos.rtd",,"OPEN_INT","."&amp;H$2&amp;H$1&amp;"P"&amp;$A15)*RTD("tos.rtd",,"LAST","."&amp;H$2&amp;H$1&amp;"P"&amp;$A15))/1000000,(100*RTD("tos.rtd",,"OPEN_INT","."&amp;H$2&amp;H$1&amp;"C"&amp;$A15)*RTD("tos.rtd",,"LAST","."&amp;H$2&amp;H$1&amp;"C"&amp;$A15)-100*RTD("tos.rtd",,"OPEN_INT","."&amp;H$2&amp;H$1&amp;"P"&amp;$A15)*RTD("tos.rtd",,"LAST","."&amp;H$2&amp;H$1&amp;"P"&amp;$A15))/1000000),0),IF($A$2="PREMIUM",IFERROR(IF($X$1="ABS",(100*RTD("tos.rtd",,"VOLUME","."&amp;H$2&amp;H$1&amp;"C"&amp;$A15)*RTD("tos.rtd",,"LAST","."&amp;H$2&amp;H$1&amp;"C"&amp;$A15)+100*RTD("tos.rtd",,"VOLUME","."&amp;H$2&amp;H$1&amp;"P"&amp;$A15)*RTD("tos.rtd",,"LAST","."&amp;H$2&amp;H$1&amp;"P"&amp;$A15))/1000000,(100*RTD("tos.rtd",,"VOLUME","."&amp;H$2&amp;H$1&amp;"C"&amp;$A15)*RTD("tos.rtd",,"LAST","."&amp;H$2&amp;H$1&amp;"C"&amp;$A15)-100*RTD("tos.rtd",,"VOLUME","."&amp;H$2&amp;H$1&amp;"P"&amp;$A15)*RTD("tos.rtd",,"LAST","."&amp;H$2&amp;H$1&amp;"P"&amp;$A15))/1000000),0),IF($A$2="DEX",IFERROR(IF($X$1="ABS",(100*RTD("tos.rtd",,"OPEN_INT","."&amp;H$2&amp;H$1&amp;"C"&amp;$A15)*RTD("tos.rtd",,"DELTA","."&amp;H$2&amp;H$1&amp;"C"&amp;$A15)+100*RTD("tos.rtd",,"OPEN_INT","."&amp;H$2&amp;H$1&amp;"P"&amp;$A15)*RTD("tos.rtd",,"DELTA","."&amp;H$2&amp;H$1&amp;"P"&amp;$A15))/1000,(100*RTD("tos.rtd",,"OPEN_INT","."&amp;H$2&amp;H$1&amp;"C"&amp;$A15)*RTD("tos.rtd",,"DELTA","."&amp;H$2&amp;H$1&amp;"C"&amp;$A15)-100*RTD("tos.rtd",,"OPEN_INT","."&amp;H$2&amp;H$1&amp;"P"&amp;$A15)*RTD("tos.rtd",,"DELTA","."&amp;H$2&amp;H$1&amp;"P"&amp;$A15))/1000),0),IF($A$2="VEX",IFERROR(IF($X$1="ABS",($A$4*$A$4*RTD("tos.rtd",,"VOLUME","."&amp;H$2&amp;H$1&amp;"C"&amp;$A15)*RTD("tos.rtd",,"GAMMA","."&amp;H$2&amp;H$1&amp;"C"&amp;$A15)+$A$4*$A$4*RTD("tos.rtd",,"VOLUME","."&amp;H$2&amp;H$1&amp;"P"&amp;$A15)*RTD("tos.rtd",,"GAMMA","."&amp;H$2&amp;H$1&amp;"P"&amp;$A15))/1000000,($A$4*$A$4*RTD("tos.rtd",,"VOLUME","."&amp;H$2&amp;H$1&amp;"C"&amp;$A15)*RTD("tos.rtd",,"GAMMA","."&amp;H$2&amp;H$1&amp;"C"&amp;$A15)-$A$4*$A$4*RTD("tos.rtd",,"VOLUME","."&amp;H$2&amp;H$1&amp;"P"&amp;$A15)*RTD("tos.rtd",,"GAMMA","."&amp;H$2&amp;H$1&amp;"P"&amp;$A15))/1000000),0),IF($A$2="GEX",IFERROR(IF($X$1="ABS",($A$4*$A$4*RTD("tos.rtd",,"OPEN_INT","."&amp;H$2&amp;H$1&amp;"C"&amp;$A15)*RTD("tos.rtd",,"GAMMA","."&amp;H$2&amp;H$1&amp;"C"&amp;$A15)+$A$4*$A$4*RTD("tos.rtd",,"OPEN_INT","."&amp;H$2&amp;H$1&amp;"P"&amp;$A15)*RTD("tos.rtd",,"GAMMA","."&amp;H$2&amp;H$1&amp;"P"&amp;$A15))/1000000,($A$4*$A$4*RTD("tos.rtd",,"OPEN_INT","."&amp;H$2&amp;H$1&amp;"C"&amp;$A15)*RTD("tos.rtd",,"GAMMA","."&amp;H$2&amp;H$1&amp;"C"&amp;$A15)-$A$4*$A$4*RTD("tos.rtd",,"OPEN_INT","."&amp;H$2&amp;H$1&amp;"P"&amp;$A15)*RTD("tos.rtd",,"GAMMA","."&amp;H$2&amp;H$1&amp;"P"&amp;$A15))/1000000),0),IF($A$2="SKEW",IFERROR(VALUE(IF(RTD("tos.rtd",,"IMPL_VOL","."&amp;H$2&amp;H$1&amp;"P"&amp;$A15)="N/A",0,RTD("tos.rtd",,"IMPL_VOL","."&amp;H$2&amp;H$1&amp;"P"&amp;$A15))),0)-IFERROR(VALUE(IF(RTD("tos.rtd",,"IMPL_VOL","."&amp;H$2&amp;H$1&amp;"C"&amp;$A15)="N/A",0,RTD("tos.rtd",,"IMPL_VOL","."&amp;H$2&amp;H$1&amp;"C"&amp;$A15))),0),IF($A$2="MAXPAIN",IF($A$4&gt;$A15,($A$4-$A15)*IF(RTD("tos.rtd",,"OPEN_INT","."&amp;H$2&amp;H$1&amp;"C"&amp;$A15)="N/A",0,RTD("tos.rtd",,"OPEN_INT","."&amp;H$2&amp;H$1&amp;"C"&amp;$A15)),0)+IF($A$4&lt;$A15,($A$5-$A$4)*IF(RTD("tos.rtd",,"OPEN_INT","."&amp;H$2&amp;H$1&amp;"P"&amp;$A15)="N/A",0,RTD("tos.rtd",,"OPEN_INT","."&amp;H$2&amp;H$1&amp;"P"&amp;$A15)),0),IF($X$1="ABS",IF(RTD("tos.rtd",,$A$2,"."&amp;H$2&amp;H$1&amp;"C"&amp;$A15)="N/A",0,RTD("tos.rtd",,$A$2,"."&amp;H$2&amp;H$1&amp;"C"&amp;$A15))+IF(RTD("tos.rtd",,$A$2,"."&amp;H$2&amp;H$1&amp;"P"&amp;$A15)="N/A",0,RTD("tos.rtd",,$A$2,"."&amp;H$2&amp;H$1&amp;"P"&amp;$A15)),IF(RTD("tos.rtd",,$A$2,"."&amp;H$2&amp;H$1&amp;"C"&amp;$A15)="N/A",0,RTD("tos.rtd",,$A$2,"."&amp;H$2&amp;H$1&amp;"C"&amp;$A15))-IF(RTD("tos.rtd",,$A$2,"."&amp;H$2&amp;H$1&amp;"P"&amp;$A15)="N/A",0,RTD("tos.rtd",,$A$2,"."&amp;H$2&amp;H$1&amp;"P"&amp;$A15))))))))))</f>
        <v>0</v>
      </c>
      <c r="I15" s="12">
        <f ca="1">IF($A$2="PREMIUM_OI",IFERROR(IF($X$1="ABS",(100*RTD("tos.rtd",,"OPEN_INT","."&amp;I$2&amp;I$1&amp;"C"&amp;$A15)*RTD("tos.rtd",,"LAST","."&amp;I$2&amp;I$1&amp;"C"&amp;$A15)+100*RTD("tos.rtd",,"OPEN_INT","."&amp;I$2&amp;I$1&amp;"P"&amp;$A15)*RTD("tos.rtd",,"LAST","."&amp;I$2&amp;I$1&amp;"P"&amp;$A15))/1000000,(100*RTD("tos.rtd",,"OPEN_INT","."&amp;I$2&amp;I$1&amp;"C"&amp;$A15)*RTD("tos.rtd",,"LAST","."&amp;I$2&amp;I$1&amp;"C"&amp;$A15)-100*RTD("tos.rtd",,"OPEN_INT","."&amp;I$2&amp;I$1&amp;"P"&amp;$A15)*RTD("tos.rtd",,"LAST","."&amp;I$2&amp;I$1&amp;"P"&amp;$A15))/1000000),0),IF($A$2="PREMIUM",IFERROR(IF($X$1="ABS",(100*RTD("tos.rtd",,"VOLUME","."&amp;I$2&amp;I$1&amp;"C"&amp;$A15)*RTD("tos.rtd",,"LAST","."&amp;I$2&amp;I$1&amp;"C"&amp;$A15)+100*RTD("tos.rtd",,"VOLUME","."&amp;I$2&amp;I$1&amp;"P"&amp;$A15)*RTD("tos.rtd",,"LAST","."&amp;I$2&amp;I$1&amp;"P"&amp;$A15))/1000000,(100*RTD("tos.rtd",,"VOLUME","."&amp;I$2&amp;I$1&amp;"C"&amp;$A15)*RTD("tos.rtd",,"LAST","."&amp;I$2&amp;I$1&amp;"C"&amp;$A15)-100*RTD("tos.rtd",,"VOLUME","."&amp;I$2&amp;I$1&amp;"P"&amp;$A15)*RTD("tos.rtd",,"LAST","."&amp;I$2&amp;I$1&amp;"P"&amp;$A15))/1000000),0),IF($A$2="DEX",IFERROR(IF($X$1="ABS",(100*RTD("tos.rtd",,"OPEN_INT","."&amp;I$2&amp;I$1&amp;"C"&amp;$A15)*RTD("tos.rtd",,"DELTA","."&amp;I$2&amp;I$1&amp;"C"&amp;$A15)+100*RTD("tos.rtd",,"OPEN_INT","."&amp;I$2&amp;I$1&amp;"P"&amp;$A15)*RTD("tos.rtd",,"DELTA","."&amp;I$2&amp;I$1&amp;"P"&amp;$A15))/1000,(100*RTD("tos.rtd",,"OPEN_INT","."&amp;I$2&amp;I$1&amp;"C"&amp;$A15)*RTD("tos.rtd",,"DELTA","."&amp;I$2&amp;I$1&amp;"C"&amp;$A15)-100*RTD("tos.rtd",,"OPEN_INT","."&amp;I$2&amp;I$1&amp;"P"&amp;$A15)*RTD("tos.rtd",,"DELTA","."&amp;I$2&amp;I$1&amp;"P"&amp;$A15))/1000),0),IF($A$2="VEX",IFERROR(IF($X$1="ABS",($A$4*$A$4*RTD("tos.rtd",,"VOLUME","."&amp;I$2&amp;I$1&amp;"C"&amp;$A15)*RTD("tos.rtd",,"GAMMA","."&amp;I$2&amp;I$1&amp;"C"&amp;$A15)+$A$4*$A$4*RTD("tos.rtd",,"VOLUME","."&amp;I$2&amp;I$1&amp;"P"&amp;$A15)*RTD("tos.rtd",,"GAMMA","."&amp;I$2&amp;I$1&amp;"P"&amp;$A15))/1000000,($A$4*$A$4*RTD("tos.rtd",,"VOLUME","."&amp;I$2&amp;I$1&amp;"C"&amp;$A15)*RTD("tos.rtd",,"GAMMA","."&amp;I$2&amp;I$1&amp;"C"&amp;$A15)-$A$4*$A$4*RTD("tos.rtd",,"VOLUME","."&amp;I$2&amp;I$1&amp;"P"&amp;$A15)*RTD("tos.rtd",,"GAMMA","."&amp;I$2&amp;I$1&amp;"P"&amp;$A15))/1000000),0),IF($A$2="GEX",IFERROR(IF($X$1="ABS",($A$4*$A$4*RTD("tos.rtd",,"OPEN_INT","."&amp;I$2&amp;I$1&amp;"C"&amp;$A15)*RTD("tos.rtd",,"GAMMA","."&amp;I$2&amp;I$1&amp;"C"&amp;$A15)+$A$4*$A$4*RTD("tos.rtd",,"OPEN_INT","."&amp;I$2&amp;I$1&amp;"P"&amp;$A15)*RTD("tos.rtd",,"GAMMA","."&amp;I$2&amp;I$1&amp;"P"&amp;$A15))/1000000,($A$4*$A$4*RTD("tos.rtd",,"OPEN_INT","."&amp;I$2&amp;I$1&amp;"C"&amp;$A15)*RTD("tos.rtd",,"GAMMA","."&amp;I$2&amp;I$1&amp;"C"&amp;$A15)-$A$4*$A$4*RTD("tos.rtd",,"OPEN_INT","."&amp;I$2&amp;I$1&amp;"P"&amp;$A15)*RTD("tos.rtd",,"GAMMA","."&amp;I$2&amp;I$1&amp;"P"&amp;$A15))/1000000),0),IF($A$2="SKEW",IFERROR(VALUE(IF(RTD("tos.rtd",,"IMPL_VOL","."&amp;I$2&amp;I$1&amp;"P"&amp;$A15)="N/A",0,RTD("tos.rtd",,"IMPL_VOL","."&amp;I$2&amp;I$1&amp;"P"&amp;$A15))),0)-IFERROR(VALUE(IF(RTD("tos.rtd",,"IMPL_VOL","."&amp;I$2&amp;I$1&amp;"C"&amp;$A15)="N/A",0,RTD("tos.rtd",,"IMPL_VOL","."&amp;I$2&amp;I$1&amp;"C"&amp;$A15))),0),IF($A$2="MAXPAIN",IF($A$4&gt;$A15,($A$4-$A15)*IF(RTD("tos.rtd",,"OPEN_INT","."&amp;I$2&amp;I$1&amp;"C"&amp;$A15)="N/A",0,RTD("tos.rtd",,"OPEN_INT","."&amp;I$2&amp;I$1&amp;"C"&amp;$A15)),0)+IF($A$4&lt;$A15,($A$5-$A$4)*IF(RTD("tos.rtd",,"OPEN_INT","."&amp;I$2&amp;I$1&amp;"P"&amp;$A15)="N/A",0,RTD("tos.rtd",,"OPEN_INT","."&amp;I$2&amp;I$1&amp;"P"&amp;$A15)),0),IF($X$1="ABS",IF(RTD("tos.rtd",,$A$2,"."&amp;I$2&amp;I$1&amp;"C"&amp;$A15)="N/A",0,RTD("tos.rtd",,$A$2,"."&amp;I$2&amp;I$1&amp;"C"&amp;$A15))+IF(RTD("tos.rtd",,$A$2,"."&amp;I$2&amp;I$1&amp;"P"&amp;$A15)="N/A",0,RTD("tos.rtd",,$A$2,"."&amp;I$2&amp;I$1&amp;"P"&amp;$A15)),IF(RTD("tos.rtd",,$A$2,"."&amp;I$2&amp;I$1&amp;"C"&amp;$A15)="N/A",0,RTD("tos.rtd",,$A$2,"."&amp;I$2&amp;I$1&amp;"C"&amp;$A15))-IF(RTD("tos.rtd",,$A$2,"."&amp;I$2&amp;I$1&amp;"P"&amp;$A15)="N/A",0,RTD("tos.rtd",,$A$2,"."&amp;I$2&amp;I$1&amp;"P"&amp;$A15))))))))))</f>
        <v>0</v>
      </c>
      <c r="J15" s="12">
        <f ca="1">IF($A$2="PREMIUM_OI",IFERROR(IF($X$1="ABS",(100*RTD("tos.rtd",,"OPEN_INT","."&amp;J$2&amp;J$1&amp;"C"&amp;$A15)*RTD("tos.rtd",,"LAST","."&amp;J$2&amp;J$1&amp;"C"&amp;$A15)+100*RTD("tos.rtd",,"OPEN_INT","."&amp;J$2&amp;J$1&amp;"P"&amp;$A15)*RTD("tos.rtd",,"LAST","."&amp;J$2&amp;J$1&amp;"P"&amp;$A15))/1000000,(100*RTD("tos.rtd",,"OPEN_INT","."&amp;J$2&amp;J$1&amp;"C"&amp;$A15)*RTD("tos.rtd",,"LAST","."&amp;J$2&amp;J$1&amp;"C"&amp;$A15)-100*RTD("tos.rtd",,"OPEN_INT","."&amp;J$2&amp;J$1&amp;"P"&amp;$A15)*RTD("tos.rtd",,"LAST","."&amp;J$2&amp;J$1&amp;"P"&amp;$A15))/1000000),0),IF($A$2="PREMIUM",IFERROR(IF($X$1="ABS",(100*RTD("tos.rtd",,"VOLUME","."&amp;J$2&amp;J$1&amp;"C"&amp;$A15)*RTD("tos.rtd",,"LAST","."&amp;J$2&amp;J$1&amp;"C"&amp;$A15)+100*RTD("tos.rtd",,"VOLUME","."&amp;J$2&amp;J$1&amp;"P"&amp;$A15)*RTD("tos.rtd",,"LAST","."&amp;J$2&amp;J$1&amp;"P"&amp;$A15))/1000000,(100*RTD("tos.rtd",,"VOLUME","."&amp;J$2&amp;J$1&amp;"C"&amp;$A15)*RTD("tos.rtd",,"LAST","."&amp;J$2&amp;J$1&amp;"C"&amp;$A15)-100*RTD("tos.rtd",,"VOLUME","."&amp;J$2&amp;J$1&amp;"P"&amp;$A15)*RTD("tos.rtd",,"LAST","."&amp;J$2&amp;J$1&amp;"P"&amp;$A15))/1000000),0),IF($A$2="DEX",IFERROR(IF($X$1="ABS",(100*RTD("tos.rtd",,"OPEN_INT","."&amp;J$2&amp;J$1&amp;"C"&amp;$A15)*RTD("tos.rtd",,"DELTA","."&amp;J$2&amp;J$1&amp;"C"&amp;$A15)+100*RTD("tos.rtd",,"OPEN_INT","."&amp;J$2&amp;J$1&amp;"P"&amp;$A15)*RTD("tos.rtd",,"DELTA","."&amp;J$2&amp;J$1&amp;"P"&amp;$A15))/1000,(100*RTD("tos.rtd",,"OPEN_INT","."&amp;J$2&amp;J$1&amp;"C"&amp;$A15)*RTD("tos.rtd",,"DELTA","."&amp;J$2&amp;J$1&amp;"C"&amp;$A15)-100*RTD("tos.rtd",,"OPEN_INT","."&amp;J$2&amp;J$1&amp;"P"&amp;$A15)*RTD("tos.rtd",,"DELTA","."&amp;J$2&amp;J$1&amp;"P"&amp;$A15))/1000),0),IF($A$2="VEX",IFERROR(IF($X$1="ABS",($A$4*$A$4*RTD("tos.rtd",,"VOLUME","."&amp;J$2&amp;J$1&amp;"C"&amp;$A15)*RTD("tos.rtd",,"GAMMA","."&amp;J$2&amp;J$1&amp;"C"&amp;$A15)+$A$4*$A$4*RTD("tos.rtd",,"VOLUME","."&amp;J$2&amp;J$1&amp;"P"&amp;$A15)*RTD("tos.rtd",,"GAMMA","."&amp;J$2&amp;J$1&amp;"P"&amp;$A15))/1000000,($A$4*$A$4*RTD("tos.rtd",,"VOLUME","."&amp;J$2&amp;J$1&amp;"C"&amp;$A15)*RTD("tos.rtd",,"GAMMA","."&amp;J$2&amp;J$1&amp;"C"&amp;$A15)-$A$4*$A$4*RTD("tos.rtd",,"VOLUME","."&amp;J$2&amp;J$1&amp;"P"&amp;$A15)*RTD("tos.rtd",,"GAMMA","."&amp;J$2&amp;J$1&amp;"P"&amp;$A15))/1000000),0),IF($A$2="GEX",IFERROR(IF($X$1="ABS",($A$4*$A$4*RTD("tos.rtd",,"OPEN_INT","."&amp;J$2&amp;J$1&amp;"C"&amp;$A15)*RTD("tos.rtd",,"GAMMA","."&amp;J$2&amp;J$1&amp;"C"&amp;$A15)+$A$4*$A$4*RTD("tos.rtd",,"OPEN_INT","."&amp;J$2&amp;J$1&amp;"P"&amp;$A15)*RTD("tos.rtd",,"GAMMA","."&amp;J$2&amp;J$1&amp;"P"&amp;$A15))/1000000,($A$4*$A$4*RTD("tos.rtd",,"OPEN_INT","."&amp;J$2&amp;J$1&amp;"C"&amp;$A15)*RTD("tos.rtd",,"GAMMA","."&amp;J$2&amp;J$1&amp;"C"&amp;$A15)-$A$4*$A$4*RTD("tos.rtd",,"OPEN_INT","."&amp;J$2&amp;J$1&amp;"P"&amp;$A15)*RTD("tos.rtd",,"GAMMA","."&amp;J$2&amp;J$1&amp;"P"&amp;$A15))/1000000),0),IF($A$2="SKEW",IFERROR(VALUE(IF(RTD("tos.rtd",,"IMPL_VOL","."&amp;J$2&amp;J$1&amp;"P"&amp;$A15)="N/A",0,RTD("tos.rtd",,"IMPL_VOL","."&amp;J$2&amp;J$1&amp;"P"&amp;$A15))),0)-IFERROR(VALUE(IF(RTD("tos.rtd",,"IMPL_VOL","."&amp;J$2&amp;J$1&amp;"C"&amp;$A15)="N/A",0,RTD("tos.rtd",,"IMPL_VOL","."&amp;J$2&amp;J$1&amp;"C"&amp;$A15))),0),IF($A$2="MAXPAIN",IF($A$4&gt;$A15,($A$4-$A15)*IF(RTD("tos.rtd",,"OPEN_INT","."&amp;J$2&amp;J$1&amp;"C"&amp;$A15)="N/A",0,RTD("tos.rtd",,"OPEN_INT","."&amp;J$2&amp;J$1&amp;"C"&amp;$A15)),0)+IF($A$4&lt;$A15,($A$5-$A$4)*IF(RTD("tos.rtd",,"OPEN_INT","."&amp;J$2&amp;J$1&amp;"P"&amp;$A15)="N/A",0,RTD("tos.rtd",,"OPEN_INT","."&amp;J$2&amp;J$1&amp;"P"&amp;$A15)),0),IF($X$1="ABS",IF(RTD("tos.rtd",,$A$2,"."&amp;J$2&amp;J$1&amp;"C"&amp;$A15)="N/A",0,RTD("tos.rtd",,$A$2,"."&amp;J$2&amp;J$1&amp;"C"&amp;$A15))+IF(RTD("tos.rtd",,$A$2,"."&amp;J$2&amp;J$1&amp;"P"&amp;$A15)="N/A",0,RTD("tos.rtd",,$A$2,"."&amp;J$2&amp;J$1&amp;"P"&amp;$A15)),IF(RTD("tos.rtd",,$A$2,"."&amp;J$2&amp;J$1&amp;"C"&amp;$A15)="N/A",0,RTD("tos.rtd",,$A$2,"."&amp;J$2&amp;J$1&amp;"C"&amp;$A15))-IF(RTD("tos.rtd",,$A$2,"."&amp;J$2&amp;J$1&amp;"P"&amp;$A15)="N/A",0,RTD("tos.rtd",,$A$2,"."&amp;J$2&amp;J$1&amp;"P"&amp;$A15))))))))))</f>
        <v>0</v>
      </c>
      <c r="K15" s="12">
        <f ca="1">IF($A$2="PREMIUM_OI",IFERROR(IF($X$1="ABS",(100*RTD("tos.rtd",,"OPEN_INT","."&amp;K$2&amp;K$1&amp;"C"&amp;$A15)*RTD("tos.rtd",,"LAST","."&amp;K$2&amp;K$1&amp;"C"&amp;$A15)+100*RTD("tos.rtd",,"OPEN_INT","."&amp;K$2&amp;K$1&amp;"P"&amp;$A15)*RTD("tos.rtd",,"LAST","."&amp;K$2&amp;K$1&amp;"P"&amp;$A15))/1000000,(100*RTD("tos.rtd",,"OPEN_INT","."&amp;K$2&amp;K$1&amp;"C"&amp;$A15)*RTD("tos.rtd",,"LAST","."&amp;K$2&amp;K$1&amp;"C"&amp;$A15)-100*RTD("tos.rtd",,"OPEN_INT","."&amp;K$2&amp;K$1&amp;"P"&amp;$A15)*RTD("tos.rtd",,"LAST","."&amp;K$2&amp;K$1&amp;"P"&amp;$A15))/1000000),0),IF($A$2="PREMIUM",IFERROR(IF($X$1="ABS",(100*RTD("tos.rtd",,"VOLUME","."&amp;K$2&amp;K$1&amp;"C"&amp;$A15)*RTD("tos.rtd",,"LAST","."&amp;K$2&amp;K$1&amp;"C"&amp;$A15)+100*RTD("tos.rtd",,"VOLUME","."&amp;K$2&amp;K$1&amp;"P"&amp;$A15)*RTD("tos.rtd",,"LAST","."&amp;K$2&amp;K$1&amp;"P"&amp;$A15))/1000000,(100*RTD("tos.rtd",,"VOLUME","."&amp;K$2&amp;K$1&amp;"C"&amp;$A15)*RTD("tos.rtd",,"LAST","."&amp;K$2&amp;K$1&amp;"C"&amp;$A15)-100*RTD("tos.rtd",,"VOLUME","."&amp;K$2&amp;K$1&amp;"P"&amp;$A15)*RTD("tos.rtd",,"LAST","."&amp;K$2&amp;K$1&amp;"P"&amp;$A15))/1000000),0),IF($A$2="DEX",IFERROR(IF($X$1="ABS",(100*RTD("tos.rtd",,"OPEN_INT","."&amp;K$2&amp;K$1&amp;"C"&amp;$A15)*RTD("tos.rtd",,"DELTA","."&amp;K$2&amp;K$1&amp;"C"&amp;$A15)+100*RTD("tos.rtd",,"OPEN_INT","."&amp;K$2&amp;K$1&amp;"P"&amp;$A15)*RTD("tos.rtd",,"DELTA","."&amp;K$2&amp;K$1&amp;"P"&amp;$A15))/1000,(100*RTD("tos.rtd",,"OPEN_INT","."&amp;K$2&amp;K$1&amp;"C"&amp;$A15)*RTD("tos.rtd",,"DELTA","."&amp;K$2&amp;K$1&amp;"C"&amp;$A15)-100*RTD("tos.rtd",,"OPEN_INT","."&amp;K$2&amp;K$1&amp;"P"&amp;$A15)*RTD("tos.rtd",,"DELTA","."&amp;K$2&amp;K$1&amp;"P"&amp;$A15))/1000),0),IF($A$2="VEX",IFERROR(IF($X$1="ABS",($A$4*$A$4*RTD("tos.rtd",,"VOLUME","."&amp;K$2&amp;K$1&amp;"C"&amp;$A15)*RTD("tos.rtd",,"GAMMA","."&amp;K$2&amp;K$1&amp;"C"&amp;$A15)+$A$4*$A$4*RTD("tos.rtd",,"VOLUME","."&amp;K$2&amp;K$1&amp;"P"&amp;$A15)*RTD("tos.rtd",,"GAMMA","."&amp;K$2&amp;K$1&amp;"P"&amp;$A15))/1000000,($A$4*$A$4*RTD("tos.rtd",,"VOLUME","."&amp;K$2&amp;K$1&amp;"C"&amp;$A15)*RTD("tos.rtd",,"GAMMA","."&amp;K$2&amp;K$1&amp;"C"&amp;$A15)-$A$4*$A$4*RTD("tos.rtd",,"VOLUME","."&amp;K$2&amp;K$1&amp;"P"&amp;$A15)*RTD("tos.rtd",,"GAMMA","."&amp;K$2&amp;K$1&amp;"P"&amp;$A15))/1000000),0),IF($A$2="GEX",IFERROR(IF($X$1="ABS",($A$4*$A$4*RTD("tos.rtd",,"OPEN_INT","."&amp;K$2&amp;K$1&amp;"C"&amp;$A15)*RTD("tos.rtd",,"GAMMA","."&amp;K$2&amp;K$1&amp;"C"&amp;$A15)+$A$4*$A$4*RTD("tos.rtd",,"OPEN_INT","."&amp;K$2&amp;K$1&amp;"P"&amp;$A15)*RTD("tos.rtd",,"GAMMA","."&amp;K$2&amp;K$1&amp;"P"&amp;$A15))/1000000,($A$4*$A$4*RTD("tos.rtd",,"OPEN_INT","."&amp;K$2&amp;K$1&amp;"C"&amp;$A15)*RTD("tos.rtd",,"GAMMA","."&amp;K$2&amp;K$1&amp;"C"&amp;$A15)-$A$4*$A$4*RTD("tos.rtd",,"OPEN_INT","."&amp;K$2&amp;K$1&amp;"P"&amp;$A15)*RTD("tos.rtd",,"GAMMA","."&amp;K$2&amp;K$1&amp;"P"&amp;$A15))/1000000),0),IF($A$2="SKEW",IFERROR(VALUE(IF(RTD("tos.rtd",,"IMPL_VOL","."&amp;K$2&amp;K$1&amp;"P"&amp;$A15)="N/A",0,RTD("tos.rtd",,"IMPL_VOL","."&amp;K$2&amp;K$1&amp;"P"&amp;$A15))),0)-IFERROR(VALUE(IF(RTD("tos.rtd",,"IMPL_VOL","."&amp;K$2&amp;K$1&amp;"C"&amp;$A15)="N/A",0,RTD("tos.rtd",,"IMPL_VOL","."&amp;K$2&amp;K$1&amp;"C"&amp;$A15))),0),IF($A$2="MAXPAIN",IF($A$4&gt;$A15,($A$4-$A15)*IF(RTD("tos.rtd",,"OPEN_INT","."&amp;K$2&amp;K$1&amp;"C"&amp;$A15)="N/A",0,RTD("tos.rtd",,"OPEN_INT","."&amp;K$2&amp;K$1&amp;"C"&amp;$A15)),0)+IF($A$4&lt;$A15,($A$5-$A$4)*IF(RTD("tos.rtd",,"OPEN_INT","."&amp;K$2&amp;K$1&amp;"P"&amp;$A15)="N/A",0,RTD("tos.rtd",,"OPEN_INT","."&amp;K$2&amp;K$1&amp;"P"&amp;$A15)),0),IF($X$1="ABS",IF(RTD("tos.rtd",,$A$2,"."&amp;K$2&amp;K$1&amp;"C"&amp;$A15)="N/A",0,RTD("tos.rtd",,$A$2,"."&amp;K$2&amp;K$1&amp;"C"&amp;$A15))+IF(RTD("tos.rtd",,$A$2,"."&amp;K$2&amp;K$1&amp;"P"&amp;$A15)="N/A",0,RTD("tos.rtd",,$A$2,"."&amp;K$2&amp;K$1&amp;"P"&amp;$A15)),IF(RTD("tos.rtd",,$A$2,"."&amp;K$2&amp;K$1&amp;"C"&amp;$A15)="N/A",0,RTD("tos.rtd",,$A$2,"."&amp;K$2&amp;K$1&amp;"C"&amp;$A15))-IF(RTD("tos.rtd",,$A$2,"."&amp;K$2&amp;K$1&amp;"P"&amp;$A15)="N/A",0,RTD("tos.rtd",,$A$2,"."&amp;K$2&amp;K$1&amp;"P"&amp;$A15))))))))))</f>
        <v>0</v>
      </c>
      <c r="L15" s="54">
        <f ca="1">IF($A$2="PREMIUM_OI",IFERROR(IF($X$1="ABS",(100*RTD("tos.rtd",,"OPEN_INT","."&amp;L$2&amp;L$1&amp;"C"&amp;$A15)*RTD("tos.rtd",,"LAST","."&amp;L$2&amp;L$1&amp;"C"&amp;$A15)+100*RTD("tos.rtd",,"OPEN_INT","."&amp;L$2&amp;L$1&amp;"P"&amp;$A15)*RTD("tos.rtd",,"LAST","."&amp;L$2&amp;L$1&amp;"P"&amp;$A15))/1000000,(100*RTD("tos.rtd",,"OPEN_INT","."&amp;L$2&amp;L$1&amp;"C"&amp;$A15)*RTD("tos.rtd",,"LAST","."&amp;L$2&amp;L$1&amp;"C"&amp;$A15)-100*RTD("tos.rtd",,"OPEN_INT","."&amp;L$2&amp;L$1&amp;"P"&amp;$A15)*RTD("tos.rtd",,"LAST","."&amp;L$2&amp;L$1&amp;"P"&amp;$A15))/1000000),0),IF($A$2="PREMIUM",IFERROR(IF($X$1="ABS",(100*RTD("tos.rtd",,"VOLUME","."&amp;L$2&amp;L$1&amp;"C"&amp;$A15)*RTD("tos.rtd",,"LAST","."&amp;L$2&amp;L$1&amp;"C"&amp;$A15)+100*RTD("tos.rtd",,"VOLUME","."&amp;L$2&amp;L$1&amp;"P"&amp;$A15)*RTD("tos.rtd",,"LAST","."&amp;L$2&amp;L$1&amp;"P"&amp;$A15))/1000000,(100*RTD("tos.rtd",,"VOLUME","."&amp;L$2&amp;L$1&amp;"C"&amp;$A15)*RTD("tos.rtd",,"LAST","."&amp;L$2&amp;L$1&amp;"C"&amp;$A15)-100*RTD("tos.rtd",,"VOLUME","."&amp;L$2&amp;L$1&amp;"P"&amp;$A15)*RTD("tos.rtd",,"LAST","."&amp;L$2&amp;L$1&amp;"P"&amp;$A15))/1000000),0),IF($A$2="DEX",IFERROR(IF($X$1="ABS",(100*RTD("tos.rtd",,"OPEN_INT","."&amp;L$2&amp;L$1&amp;"C"&amp;$A15)*RTD("tos.rtd",,"DELTA","."&amp;L$2&amp;L$1&amp;"C"&amp;$A15)+100*RTD("tos.rtd",,"OPEN_INT","."&amp;L$2&amp;L$1&amp;"P"&amp;$A15)*RTD("tos.rtd",,"DELTA","."&amp;L$2&amp;L$1&amp;"P"&amp;$A15))/1000,(100*RTD("tos.rtd",,"OPEN_INT","."&amp;L$2&amp;L$1&amp;"C"&amp;$A15)*RTD("tos.rtd",,"DELTA","."&amp;L$2&amp;L$1&amp;"C"&amp;$A15)-100*RTD("tos.rtd",,"OPEN_INT","."&amp;L$2&amp;L$1&amp;"P"&amp;$A15)*RTD("tos.rtd",,"DELTA","."&amp;L$2&amp;L$1&amp;"P"&amp;$A15))/1000),0),IF($A$2="VEX",IFERROR(IF($X$1="ABS",($A$4*$A$4*RTD("tos.rtd",,"VOLUME","."&amp;L$2&amp;L$1&amp;"C"&amp;$A15)*RTD("tos.rtd",,"GAMMA","."&amp;L$2&amp;L$1&amp;"C"&amp;$A15)+$A$4*$A$4*RTD("tos.rtd",,"VOLUME","."&amp;L$2&amp;L$1&amp;"P"&amp;$A15)*RTD("tos.rtd",,"GAMMA","."&amp;L$2&amp;L$1&amp;"P"&amp;$A15))/1000000,($A$4*$A$4*RTD("tos.rtd",,"VOLUME","."&amp;L$2&amp;L$1&amp;"C"&amp;$A15)*RTD("tos.rtd",,"GAMMA","."&amp;L$2&amp;L$1&amp;"C"&amp;$A15)-$A$4*$A$4*RTD("tos.rtd",,"VOLUME","."&amp;L$2&amp;L$1&amp;"P"&amp;$A15)*RTD("tos.rtd",,"GAMMA","."&amp;L$2&amp;L$1&amp;"P"&amp;$A15))/1000000),0),IF($A$2="GEX",IFERROR(IF($X$1="ABS",($A$4*$A$4*RTD("tos.rtd",,"OPEN_INT","."&amp;L$2&amp;L$1&amp;"C"&amp;$A15)*RTD("tos.rtd",,"GAMMA","."&amp;L$2&amp;L$1&amp;"C"&amp;$A15)+$A$4*$A$4*RTD("tos.rtd",,"OPEN_INT","."&amp;L$2&amp;L$1&amp;"P"&amp;$A15)*RTD("tos.rtd",,"GAMMA","."&amp;L$2&amp;L$1&amp;"P"&amp;$A15))/1000000,($A$4*$A$4*RTD("tos.rtd",,"OPEN_INT","."&amp;L$2&amp;L$1&amp;"C"&amp;$A15)*RTD("tos.rtd",,"GAMMA","."&amp;L$2&amp;L$1&amp;"C"&amp;$A15)-$A$4*$A$4*RTD("tos.rtd",,"OPEN_INT","."&amp;L$2&amp;L$1&amp;"P"&amp;$A15)*RTD("tos.rtd",,"GAMMA","."&amp;L$2&amp;L$1&amp;"P"&amp;$A15))/1000000),0),IF($A$2="SKEW",IFERROR(VALUE(IF(RTD("tos.rtd",,"IMPL_VOL","."&amp;L$2&amp;L$1&amp;"P"&amp;$A15)="N/A",0,RTD("tos.rtd",,"IMPL_VOL","."&amp;L$2&amp;L$1&amp;"P"&amp;$A15))),0)-IFERROR(VALUE(IF(RTD("tos.rtd",,"IMPL_VOL","."&amp;L$2&amp;L$1&amp;"C"&amp;$A15)="N/A",0,RTD("tos.rtd",,"IMPL_VOL","."&amp;L$2&amp;L$1&amp;"C"&amp;$A15))),0),IF($A$2="MAXPAIN",IF($A$4&gt;$A15,($A$4-$A15)*IF(RTD("tos.rtd",,"OPEN_INT","."&amp;L$2&amp;L$1&amp;"C"&amp;$A15)="N/A",0,RTD("tos.rtd",,"OPEN_INT","."&amp;L$2&amp;L$1&amp;"C"&amp;$A15)),0)+IF($A$4&lt;$A15,($A$5-$A$4)*IF(RTD("tos.rtd",,"OPEN_INT","."&amp;L$2&amp;L$1&amp;"P"&amp;$A15)="N/A",0,RTD("tos.rtd",,"OPEN_INT","."&amp;L$2&amp;L$1&amp;"P"&amp;$A15)),0),IF($X$1="ABS",IF(RTD("tos.rtd",,$A$2,"."&amp;L$2&amp;L$1&amp;"C"&amp;$A15)="N/A",0,RTD("tos.rtd",,$A$2,"."&amp;L$2&amp;L$1&amp;"C"&amp;$A15))+IF(RTD("tos.rtd",,$A$2,"."&amp;L$2&amp;L$1&amp;"P"&amp;$A15)="N/A",0,RTD("tos.rtd",,$A$2,"."&amp;L$2&amp;L$1&amp;"P"&amp;$A15)),IF(RTD("tos.rtd",,$A$2,"."&amp;L$2&amp;L$1&amp;"C"&amp;$A15)="N/A",0,RTD("tos.rtd",,$A$2,"."&amp;L$2&amp;L$1&amp;"C"&amp;$A15))-IF(RTD("tos.rtd",,$A$2,"."&amp;L$2&amp;L$1&amp;"P"&amp;$A15)="N/A",0,RTD("tos.rtd",,$A$2,"."&amp;L$2&amp;L$1&amp;"P"&amp;$A15))))))))))</f>
        <v>0</v>
      </c>
      <c r="M15" s="12">
        <f ca="1">IF($A$2="PREMIUM_OI",IFERROR(IF($X$1="ABS",(100*RTD("tos.rtd",,"OPEN_INT","."&amp;M$2&amp;M$1&amp;"C"&amp;$A15)*RTD("tos.rtd",,"LAST","."&amp;M$2&amp;M$1&amp;"C"&amp;$A15)+100*RTD("tos.rtd",,"OPEN_INT","."&amp;M$2&amp;M$1&amp;"P"&amp;$A15)*RTD("tos.rtd",,"LAST","."&amp;M$2&amp;M$1&amp;"P"&amp;$A15))/1000000,(100*RTD("tos.rtd",,"OPEN_INT","."&amp;M$2&amp;M$1&amp;"C"&amp;$A15)*RTD("tos.rtd",,"LAST","."&amp;M$2&amp;M$1&amp;"C"&amp;$A15)-100*RTD("tos.rtd",,"OPEN_INT","."&amp;M$2&amp;M$1&amp;"P"&amp;$A15)*RTD("tos.rtd",,"LAST","."&amp;M$2&amp;M$1&amp;"P"&amp;$A15))/1000000),0),IF($A$2="PREMIUM",IFERROR(IF($X$1="ABS",(100*RTD("tos.rtd",,"VOLUME","."&amp;M$2&amp;M$1&amp;"C"&amp;$A15)*RTD("tos.rtd",,"LAST","."&amp;M$2&amp;M$1&amp;"C"&amp;$A15)+100*RTD("tos.rtd",,"VOLUME","."&amp;M$2&amp;M$1&amp;"P"&amp;$A15)*RTD("tos.rtd",,"LAST","."&amp;M$2&amp;M$1&amp;"P"&amp;$A15))/1000000,(100*RTD("tos.rtd",,"VOLUME","."&amp;M$2&amp;M$1&amp;"C"&amp;$A15)*RTD("tos.rtd",,"LAST","."&amp;M$2&amp;M$1&amp;"C"&amp;$A15)-100*RTD("tos.rtd",,"VOLUME","."&amp;M$2&amp;M$1&amp;"P"&amp;$A15)*RTD("tos.rtd",,"LAST","."&amp;M$2&amp;M$1&amp;"P"&amp;$A15))/1000000),0),IF($A$2="DEX",IFERROR(IF($X$1="ABS",(100*RTD("tos.rtd",,"OPEN_INT","."&amp;M$2&amp;M$1&amp;"C"&amp;$A15)*RTD("tos.rtd",,"DELTA","."&amp;M$2&amp;M$1&amp;"C"&amp;$A15)+100*RTD("tos.rtd",,"OPEN_INT","."&amp;M$2&amp;M$1&amp;"P"&amp;$A15)*RTD("tos.rtd",,"DELTA","."&amp;M$2&amp;M$1&amp;"P"&amp;$A15))/1000,(100*RTD("tos.rtd",,"OPEN_INT","."&amp;M$2&amp;M$1&amp;"C"&amp;$A15)*RTD("tos.rtd",,"DELTA","."&amp;M$2&amp;M$1&amp;"C"&amp;$A15)-100*RTD("tos.rtd",,"OPEN_INT","."&amp;M$2&amp;M$1&amp;"P"&amp;$A15)*RTD("tos.rtd",,"DELTA","."&amp;M$2&amp;M$1&amp;"P"&amp;$A15))/1000),0),IF($A$2="VEX",IFERROR(IF($X$1="ABS",($A$4*$A$4*RTD("tos.rtd",,"VOLUME","."&amp;M$2&amp;M$1&amp;"C"&amp;$A15)*RTD("tos.rtd",,"GAMMA","."&amp;M$2&amp;M$1&amp;"C"&amp;$A15)+$A$4*$A$4*RTD("tos.rtd",,"VOLUME","."&amp;M$2&amp;M$1&amp;"P"&amp;$A15)*RTD("tos.rtd",,"GAMMA","."&amp;M$2&amp;M$1&amp;"P"&amp;$A15))/1000000,($A$4*$A$4*RTD("tos.rtd",,"VOLUME","."&amp;M$2&amp;M$1&amp;"C"&amp;$A15)*RTD("tos.rtd",,"GAMMA","."&amp;M$2&amp;M$1&amp;"C"&amp;$A15)-$A$4*$A$4*RTD("tos.rtd",,"VOLUME","."&amp;M$2&amp;M$1&amp;"P"&amp;$A15)*RTD("tos.rtd",,"GAMMA","."&amp;M$2&amp;M$1&amp;"P"&amp;$A15))/1000000),0),IF($A$2="GEX",IFERROR(IF($X$1="ABS",($A$4*$A$4*RTD("tos.rtd",,"OPEN_INT","."&amp;M$2&amp;M$1&amp;"C"&amp;$A15)*RTD("tos.rtd",,"GAMMA","."&amp;M$2&amp;M$1&amp;"C"&amp;$A15)+$A$4*$A$4*RTD("tos.rtd",,"OPEN_INT","."&amp;M$2&amp;M$1&amp;"P"&amp;$A15)*RTD("tos.rtd",,"GAMMA","."&amp;M$2&amp;M$1&amp;"P"&amp;$A15))/1000000,($A$4*$A$4*RTD("tos.rtd",,"OPEN_INT","."&amp;M$2&amp;M$1&amp;"C"&amp;$A15)*RTD("tos.rtd",,"GAMMA","."&amp;M$2&amp;M$1&amp;"C"&amp;$A15)-$A$4*$A$4*RTD("tos.rtd",,"OPEN_INT","."&amp;M$2&amp;M$1&amp;"P"&amp;$A15)*RTD("tos.rtd",,"GAMMA","."&amp;M$2&amp;M$1&amp;"P"&amp;$A15))/1000000),0),IF($A$2="SKEW",IFERROR(VALUE(IF(RTD("tos.rtd",,"IMPL_VOL","."&amp;M$2&amp;M$1&amp;"P"&amp;$A15)="N/A",0,RTD("tos.rtd",,"IMPL_VOL","."&amp;M$2&amp;M$1&amp;"P"&amp;$A15))),0)-IFERROR(VALUE(IF(RTD("tos.rtd",,"IMPL_VOL","."&amp;M$2&amp;M$1&amp;"C"&amp;$A15)="N/A",0,RTD("tos.rtd",,"IMPL_VOL","."&amp;M$2&amp;M$1&amp;"C"&amp;$A15))),0),IF($A$2="MAXPAIN",IF($A$4&gt;$A15,($A$4-$A15)*IF(RTD("tos.rtd",,"OPEN_INT","."&amp;M$2&amp;M$1&amp;"C"&amp;$A15)="N/A",0,RTD("tos.rtd",,"OPEN_INT","."&amp;M$2&amp;M$1&amp;"C"&amp;$A15)),0)+IF($A$4&lt;$A15,($A$5-$A$4)*IF(RTD("tos.rtd",,"OPEN_INT","."&amp;M$2&amp;M$1&amp;"P"&amp;$A15)="N/A",0,RTD("tos.rtd",,"OPEN_INT","."&amp;M$2&amp;M$1&amp;"P"&amp;$A15)),0),IF($X$1="ABS",IF(RTD("tos.rtd",,$A$2,"."&amp;M$2&amp;M$1&amp;"C"&amp;$A15)="N/A",0,RTD("tos.rtd",,$A$2,"."&amp;M$2&amp;M$1&amp;"C"&amp;$A15))+IF(RTD("tos.rtd",,$A$2,"."&amp;M$2&amp;M$1&amp;"P"&amp;$A15)="N/A",0,RTD("tos.rtd",,$A$2,"."&amp;M$2&amp;M$1&amp;"P"&amp;$A15)),IF(RTD("tos.rtd",,$A$2,"."&amp;M$2&amp;M$1&amp;"C"&amp;$A15)="N/A",0,RTD("tos.rtd",,$A$2,"."&amp;M$2&amp;M$1&amp;"C"&amp;$A15))-IF(RTD("tos.rtd",,$A$2,"."&amp;M$2&amp;M$1&amp;"P"&amp;$A15)="N/A",0,RTD("tos.rtd",,$A$2,"."&amp;M$2&amp;M$1&amp;"P"&amp;$A15))))))))))</f>
        <v>0</v>
      </c>
      <c r="N15" s="12">
        <f ca="1">IF($A$2="PREMIUM_OI",IFERROR(IF($X$1="ABS",(100*RTD("tos.rtd",,"OPEN_INT","."&amp;N$2&amp;N$1&amp;"C"&amp;$A15)*RTD("tos.rtd",,"LAST","."&amp;N$2&amp;N$1&amp;"C"&amp;$A15)+100*RTD("tos.rtd",,"OPEN_INT","."&amp;N$2&amp;N$1&amp;"P"&amp;$A15)*RTD("tos.rtd",,"LAST","."&amp;N$2&amp;N$1&amp;"P"&amp;$A15))/1000000,(100*RTD("tos.rtd",,"OPEN_INT","."&amp;N$2&amp;N$1&amp;"C"&amp;$A15)*RTD("tos.rtd",,"LAST","."&amp;N$2&amp;N$1&amp;"C"&amp;$A15)-100*RTD("tos.rtd",,"OPEN_INT","."&amp;N$2&amp;N$1&amp;"P"&amp;$A15)*RTD("tos.rtd",,"LAST","."&amp;N$2&amp;N$1&amp;"P"&amp;$A15))/1000000),0),IF($A$2="PREMIUM",IFERROR(IF($X$1="ABS",(100*RTD("tos.rtd",,"VOLUME","."&amp;N$2&amp;N$1&amp;"C"&amp;$A15)*RTD("tos.rtd",,"LAST","."&amp;N$2&amp;N$1&amp;"C"&amp;$A15)+100*RTD("tos.rtd",,"VOLUME","."&amp;N$2&amp;N$1&amp;"P"&amp;$A15)*RTD("tos.rtd",,"LAST","."&amp;N$2&amp;N$1&amp;"P"&amp;$A15))/1000000,(100*RTD("tos.rtd",,"VOLUME","."&amp;N$2&amp;N$1&amp;"C"&amp;$A15)*RTD("tos.rtd",,"LAST","."&amp;N$2&amp;N$1&amp;"C"&amp;$A15)-100*RTD("tos.rtd",,"VOLUME","."&amp;N$2&amp;N$1&amp;"P"&amp;$A15)*RTD("tos.rtd",,"LAST","."&amp;N$2&amp;N$1&amp;"P"&amp;$A15))/1000000),0),IF($A$2="DEX",IFERROR(IF($X$1="ABS",(100*RTD("tos.rtd",,"OPEN_INT","."&amp;N$2&amp;N$1&amp;"C"&amp;$A15)*RTD("tos.rtd",,"DELTA","."&amp;N$2&amp;N$1&amp;"C"&amp;$A15)+100*RTD("tos.rtd",,"OPEN_INT","."&amp;N$2&amp;N$1&amp;"P"&amp;$A15)*RTD("tos.rtd",,"DELTA","."&amp;N$2&amp;N$1&amp;"P"&amp;$A15))/1000,(100*RTD("tos.rtd",,"OPEN_INT","."&amp;N$2&amp;N$1&amp;"C"&amp;$A15)*RTD("tos.rtd",,"DELTA","."&amp;N$2&amp;N$1&amp;"C"&amp;$A15)-100*RTD("tos.rtd",,"OPEN_INT","."&amp;N$2&amp;N$1&amp;"P"&amp;$A15)*RTD("tos.rtd",,"DELTA","."&amp;N$2&amp;N$1&amp;"P"&amp;$A15))/1000),0),IF($A$2="VEX",IFERROR(IF($X$1="ABS",($A$4*$A$4*RTD("tos.rtd",,"VOLUME","."&amp;N$2&amp;N$1&amp;"C"&amp;$A15)*RTD("tos.rtd",,"GAMMA","."&amp;N$2&amp;N$1&amp;"C"&amp;$A15)+$A$4*$A$4*RTD("tos.rtd",,"VOLUME","."&amp;N$2&amp;N$1&amp;"P"&amp;$A15)*RTD("tos.rtd",,"GAMMA","."&amp;N$2&amp;N$1&amp;"P"&amp;$A15))/1000000,($A$4*$A$4*RTD("tos.rtd",,"VOLUME","."&amp;N$2&amp;N$1&amp;"C"&amp;$A15)*RTD("tos.rtd",,"GAMMA","."&amp;N$2&amp;N$1&amp;"C"&amp;$A15)-$A$4*$A$4*RTD("tos.rtd",,"VOLUME","."&amp;N$2&amp;N$1&amp;"P"&amp;$A15)*RTD("tos.rtd",,"GAMMA","."&amp;N$2&amp;N$1&amp;"P"&amp;$A15))/1000000),0),IF($A$2="GEX",IFERROR(IF($X$1="ABS",($A$4*$A$4*RTD("tos.rtd",,"OPEN_INT","."&amp;N$2&amp;N$1&amp;"C"&amp;$A15)*RTD("tos.rtd",,"GAMMA","."&amp;N$2&amp;N$1&amp;"C"&amp;$A15)+$A$4*$A$4*RTD("tos.rtd",,"OPEN_INT","."&amp;N$2&amp;N$1&amp;"P"&amp;$A15)*RTD("tos.rtd",,"GAMMA","."&amp;N$2&amp;N$1&amp;"P"&amp;$A15))/1000000,($A$4*$A$4*RTD("tos.rtd",,"OPEN_INT","."&amp;N$2&amp;N$1&amp;"C"&amp;$A15)*RTD("tos.rtd",,"GAMMA","."&amp;N$2&amp;N$1&amp;"C"&amp;$A15)-$A$4*$A$4*RTD("tos.rtd",,"OPEN_INT","."&amp;N$2&amp;N$1&amp;"P"&amp;$A15)*RTD("tos.rtd",,"GAMMA","."&amp;N$2&amp;N$1&amp;"P"&amp;$A15))/1000000),0),IF($A$2="SKEW",IFERROR(VALUE(IF(RTD("tos.rtd",,"IMPL_VOL","."&amp;N$2&amp;N$1&amp;"P"&amp;$A15)="N/A",0,RTD("tos.rtd",,"IMPL_VOL","."&amp;N$2&amp;N$1&amp;"P"&amp;$A15))),0)-IFERROR(VALUE(IF(RTD("tos.rtd",,"IMPL_VOL","."&amp;N$2&amp;N$1&amp;"C"&amp;$A15)="N/A",0,RTD("tos.rtd",,"IMPL_VOL","."&amp;N$2&amp;N$1&amp;"C"&amp;$A15))),0),IF($A$2="MAXPAIN",IF($A$4&gt;$A15,($A$4-$A15)*IF(RTD("tos.rtd",,"OPEN_INT","."&amp;N$2&amp;N$1&amp;"C"&amp;$A15)="N/A",0,RTD("tos.rtd",,"OPEN_INT","."&amp;N$2&amp;N$1&amp;"C"&amp;$A15)),0)+IF($A$4&lt;$A15,($A$5-$A$4)*IF(RTD("tos.rtd",,"OPEN_INT","."&amp;N$2&amp;N$1&amp;"P"&amp;$A15)="N/A",0,RTD("tos.rtd",,"OPEN_INT","."&amp;N$2&amp;N$1&amp;"P"&amp;$A15)),0),IF($X$1="ABS",IF(RTD("tos.rtd",,$A$2,"."&amp;N$2&amp;N$1&amp;"C"&amp;$A15)="N/A",0,RTD("tos.rtd",,$A$2,"."&amp;N$2&amp;N$1&amp;"C"&amp;$A15))+IF(RTD("tos.rtd",,$A$2,"."&amp;N$2&amp;N$1&amp;"P"&amp;$A15)="N/A",0,RTD("tos.rtd",,$A$2,"."&amp;N$2&amp;N$1&amp;"P"&amp;$A15)),IF(RTD("tos.rtd",,$A$2,"."&amp;N$2&amp;N$1&amp;"C"&amp;$A15)="N/A",0,RTD("tos.rtd",,$A$2,"."&amp;N$2&amp;N$1&amp;"C"&amp;$A15))-IF(RTD("tos.rtd",,$A$2,"."&amp;N$2&amp;N$1&amp;"P"&amp;$A15)="N/A",0,RTD("tos.rtd",,$A$2,"."&amp;N$2&amp;N$1&amp;"P"&amp;$A15))))))))))</f>
        <v>0</v>
      </c>
      <c r="O15" s="12">
        <f ca="1">IF($A$2="PREMIUM_OI",IFERROR(IF($X$1="ABS",(100*RTD("tos.rtd",,"OPEN_INT","."&amp;O$2&amp;O$1&amp;"C"&amp;$A15)*RTD("tos.rtd",,"LAST","."&amp;O$2&amp;O$1&amp;"C"&amp;$A15)+100*RTD("tos.rtd",,"OPEN_INT","."&amp;O$2&amp;O$1&amp;"P"&amp;$A15)*RTD("tos.rtd",,"LAST","."&amp;O$2&amp;O$1&amp;"P"&amp;$A15))/1000000,(100*RTD("tos.rtd",,"OPEN_INT","."&amp;O$2&amp;O$1&amp;"C"&amp;$A15)*RTD("tos.rtd",,"LAST","."&amp;O$2&amp;O$1&amp;"C"&amp;$A15)-100*RTD("tos.rtd",,"OPEN_INT","."&amp;O$2&amp;O$1&amp;"P"&amp;$A15)*RTD("tos.rtd",,"LAST","."&amp;O$2&amp;O$1&amp;"P"&amp;$A15))/1000000),0),IF($A$2="PREMIUM",IFERROR(IF($X$1="ABS",(100*RTD("tos.rtd",,"VOLUME","."&amp;O$2&amp;O$1&amp;"C"&amp;$A15)*RTD("tos.rtd",,"LAST","."&amp;O$2&amp;O$1&amp;"C"&amp;$A15)+100*RTD("tos.rtd",,"VOLUME","."&amp;O$2&amp;O$1&amp;"P"&amp;$A15)*RTD("tos.rtd",,"LAST","."&amp;O$2&amp;O$1&amp;"P"&amp;$A15))/1000000,(100*RTD("tos.rtd",,"VOLUME","."&amp;O$2&amp;O$1&amp;"C"&amp;$A15)*RTD("tos.rtd",,"LAST","."&amp;O$2&amp;O$1&amp;"C"&amp;$A15)-100*RTD("tos.rtd",,"VOLUME","."&amp;O$2&amp;O$1&amp;"P"&amp;$A15)*RTD("tos.rtd",,"LAST","."&amp;O$2&amp;O$1&amp;"P"&amp;$A15))/1000000),0),IF($A$2="DEX",IFERROR(IF($X$1="ABS",(100*RTD("tos.rtd",,"OPEN_INT","."&amp;O$2&amp;O$1&amp;"C"&amp;$A15)*RTD("tos.rtd",,"DELTA","."&amp;O$2&amp;O$1&amp;"C"&amp;$A15)+100*RTD("tos.rtd",,"OPEN_INT","."&amp;O$2&amp;O$1&amp;"P"&amp;$A15)*RTD("tos.rtd",,"DELTA","."&amp;O$2&amp;O$1&amp;"P"&amp;$A15))/1000,(100*RTD("tos.rtd",,"OPEN_INT","."&amp;O$2&amp;O$1&amp;"C"&amp;$A15)*RTD("tos.rtd",,"DELTA","."&amp;O$2&amp;O$1&amp;"C"&amp;$A15)-100*RTD("tos.rtd",,"OPEN_INT","."&amp;O$2&amp;O$1&amp;"P"&amp;$A15)*RTD("tos.rtd",,"DELTA","."&amp;O$2&amp;O$1&amp;"P"&amp;$A15))/1000),0),IF($A$2="VEX",IFERROR(IF($X$1="ABS",($A$4*$A$4*RTD("tos.rtd",,"VOLUME","."&amp;O$2&amp;O$1&amp;"C"&amp;$A15)*RTD("tos.rtd",,"GAMMA","."&amp;O$2&amp;O$1&amp;"C"&amp;$A15)+$A$4*$A$4*RTD("tos.rtd",,"VOLUME","."&amp;O$2&amp;O$1&amp;"P"&amp;$A15)*RTD("tos.rtd",,"GAMMA","."&amp;O$2&amp;O$1&amp;"P"&amp;$A15))/1000000,($A$4*$A$4*RTD("tos.rtd",,"VOLUME","."&amp;O$2&amp;O$1&amp;"C"&amp;$A15)*RTD("tos.rtd",,"GAMMA","."&amp;O$2&amp;O$1&amp;"C"&amp;$A15)-$A$4*$A$4*RTD("tos.rtd",,"VOLUME","."&amp;O$2&amp;O$1&amp;"P"&amp;$A15)*RTD("tos.rtd",,"GAMMA","."&amp;O$2&amp;O$1&amp;"P"&amp;$A15))/1000000),0),IF($A$2="GEX",IFERROR(IF($X$1="ABS",($A$4*$A$4*RTD("tos.rtd",,"OPEN_INT","."&amp;O$2&amp;O$1&amp;"C"&amp;$A15)*RTD("tos.rtd",,"GAMMA","."&amp;O$2&amp;O$1&amp;"C"&amp;$A15)+$A$4*$A$4*RTD("tos.rtd",,"OPEN_INT","."&amp;O$2&amp;O$1&amp;"P"&amp;$A15)*RTD("tos.rtd",,"GAMMA","."&amp;O$2&amp;O$1&amp;"P"&amp;$A15))/1000000,($A$4*$A$4*RTD("tos.rtd",,"OPEN_INT","."&amp;O$2&amp;O$1&amp;"C"&amp;$A15)*RTD("tos.rtd",,"GAMMA","."&amp;O$2&amp;O$1&amp;"C"&amp;$A15)-$A$4*$A$4*RTD("tos.rtd",,"OPEN_INT","."&amp;O$2&amp;O$1&amp;"P"&amp;$A15)*RTD("tos.rtd",,"GAMMA","."&amp;O$2&amp;O$1&amp;"P"&amp;$A15))/1000000),0),IF($A$2="SKEW",IFERROR(VALUE(IF(RTD("tos.rtd",,"IMPL_VOL","."&amp;O$2&amp;O$1&amp;"P"&amp;$A15)="N/A",0,RTD("tos.rtd",,"IMPL_VOL","."&amp;O$2&amp;O$1&amp;"P"&amp;$A15))),0)-IFERROR(VALUE(IF(RTD("tos.rtd",,"IMPL_VOL","."&amp;O$2&amp;O$1&amp;"C"&amp;$A15)="N/A",0,RTD("tos.rtd",,"IMPL_VOL","."&amp;O$2&amp;O$1&amp;"C"&amp;$A15))),0),IF($A$2="MAXPAIN",IF($A$4&gt;$A15,($A$4-$A15)*IF(RTD("tos.rtd",,"OPEN_INT","."&amp;O$2&amp;O$1&amp;"C"&amp;$A15)="N/A",0,RTD("tos.rtd",,"OPEN_INT","."&amp;O$2&amp;O$1&amp;"C"&amp;$A15)),0)+IF($A$4&lt;$A15,($A$5-$A$4)*IF(RTD("tos.rtd",,"OPEN_INT","."&amp;O$2&amp;O$1&amp;"P"&amp;$A15)="N/A",0,RTD("tos.rtd",,"OPEN_INT","."&amp;O$2&amp;O$1&amp;"P"&amp;$A15)),0),IF($X$1="ABS",IF(RTD("tos.rtd",,$A$2,"."&amp;O$2&amp;O$1&amp;"C"&amp;$A15)="N/A",0,RTD("tos.rtd",,$A$2,"."&amp;O$2&amp;O$1&amp;"C"&amp;$A15))+IF(RTD("tos.rtd",,$A$2,"."&amp;O$2&amp;O$1&amp;"P"&amp;$A15)="N/A",0,RTD("tos.rtd",,$A$2,"."&amp;O$2&amp;O$1&amp;"P"&amp;$A15)),IF(RTD("tos.rtd",,$A$2,"."&amp;O$2&amp;O$1&amp;"C"&amp;$A15)="N/A",0,RTD("tos.rtd",,$A$2,"."&amp;O$2&amp;O$1&amp;"C"&amp;$A15))-IF(RTD("tos.rtd",,$A$2,"."&amp;O$2&amp;O$1&amp;"P"&amp;$A15)="N/A",0,RTD("tos.rtd",,$A$2,"."&amp;O$2&amp;O$1&amp;"P"&amp;$A15))))))))))</f>
        <v>0</v>
      </c>
      <c r="P15" s="12">
        <f ca="1">IF($A$2="PREMIUM_OI",IFERROR(IF($X$1="ABS",(100*RTD("tos.rtd",,"OPEN_INT","."&amp;P$2&amp;P$1&amp;"C"&amp;$A15)*RTD("tos.rtd",,"LAST","."&amp;P$2&amp;P$1&amp;"C"&amp;$A15)+100*RTD("tos.rtd",,"OPEN_INT","."&amp;P$2&amp;P$1&amp;"P"&amp;$A15)*RTD("tos.rtd",,"LAST","."&amp;P$2&amp;P$1&amp;"P"&amp;$A15))/1000000,(100*RTD("tos.rtd",,"OPEN_INT","."&amp;P$2&amp;P$1&amp;"C"&amp;$A15)*RTD("tos.rtd",,"LAST","."&amp;P$2&amp;P$1&amp;"C"&amp;$A15)-100*RTD("tos.rtd",,"OPEN_INT","."&amp;P$2&amp;P$1&amp;"P"&amp;$A15)*RTD("tos.rtd",,"LAST","."&amp;P$2&amp;P$1&amp;"P"&amp;$A15))/1000000),0),IF($A$2="PREMIUM",IFERROR(IF($X$1="ABS",(100*RTD("tos.rtd",,"VOLUME","."&amp;P$2&amp;P$1&amp;"C"&amp;$A15)*RTD("tos.rtd",,"LAST","."&amp;P$2&amp;P$1&amp;"C"&amp;$A15)+100*RTD("tos.rtd",,"VOLUME","."&amp;P$2&amp;P$1&amp;"P"&amp;$A15)*RTD("tos.rtd",,"LAST","."&amp;P$2&amp;P$1&amp;"P"&amp;$A15))/1000000,(100*RTD("tos.rtd",,"VOLUME","."&amp;P$2&amp;P$1&amp;"C"&amp;$A15)*RTD("tos.rtd",,"LAST","."&amp;P$2&amp;P$1&amp;"C"&amp;$A15)-100*RTD("tos.rtd",,"VOLUME","."&amp;P$2&amp;P$1&amp;"P"&amp;$A15)*RTD("tos.rtd",,"LAST","."&amp;P$2&amp;P$1&amp;"P"&amp;$A15))/1000000),0),IF($A$2="DEX",IFERROR(IF($X$1="ABS",(100*RTD("tos.rtd",,"OPEN_INT","."&amp;P$2&amp;P$1&amp;"C"&amp;$A15)*RTD("tos.rtd",,"DELTA","."&amp;P$2&amp;P$1&amp;"C"&amp;$A15)+100*RTD("tos.rtd",,"OPEN_INT","."&amp;P$2&amp;P$1&amp;"P"&amp;$A15)*RTD("tos.rtd",,"DELTA","."&amp;P$2&amp;P$1&amp;"P"&amp;$A15))/1000,(100*RTD("tos.rtd",,"OPEN_INT","."&amp;P$2&amp;P$1&amp;"C"&amp;$A15)*RTD("tos.rtd",,"DELTA","."&amp;P$2&amp;P$1&amp;"C"&amp;$A15)-100*RTD("tos.rtd",,"OPEN_INT","."&amp;P$2&amp;P$1&amp;"P"&amp;$A15)*RTD("tos.rtd",,"DELTA","."&amp;P$2&amp;P$1&amp;"P"&amp;$A15))/1000),0),IF($A$2="VEX",IFERROR(IF($X$1="ABS",($A$4*$A$4*RTD("tos.rtd",,"VOLUME","."&amp;P$2&amp;P$1&amp;"C"&amp;$A15)*RTD("tos.rtd",,"GAMMA","."&amp;P$2&amp;P$1&amp;"C"&amp;$A15)+$A$4*$A$4*RTD("tos.rtd",,"VOLUME","."&amp;P$2&amp;P$1&amp;"P"&amp;$A15)*RTD("tos.rtd",,"GAMMA","."&amp;P$2&amp;P$1&amp;"P"&amp;$A15))/1000000,($A$4*$A$4*RTD("tos.rtd",,"VOLUME","."&amp;P$2&amp;P$1&amp;"C"&amp;$A15)*RTD("tos.rtd",,"GAMMA","."&amp;P$2&amp;P$1&amp;"C"&amp;$A15)-$A$4*$A$4*RTD("tos.rtd",,"VOLUME","."&amp;P$2&amp;P$1&amp;"P"&amp;$A15)*RTD("tos.rtd",,"GAMMA","."&amp;P$2&amp;P$1&amp;"P"&amp;$A15))/1000000),0),IF($A$2="GEX",IFERROR(IF($X$1="ABS",($A$4*$A$4*RTD("tos.rtd",,"OPEN_INT","."&amp;P$2&amp;P$1&amp;"C"&amp;$A15)*RTD("tos.rtd",,"GAMMA","."&amp;P$2&amp;P$1&amp;"C"&amp;$A15)+$A$4*$A$4*RTD("tos.rtd",,"OPEN_INT","."&amp;P$2&amp;P$1&amp;"P"&amp;$A15)*RTD("tos.rtd",,"GAMMA","."&amp;P$2&amp;P$1&amp;"P"&amp;$A15))/1000000,($A$4*$A$4*RTD("tos.rtd",,"OPEN_INT","."&amp;P$2&amp;P$1&amp;"C"&amp;$A15)*RTD("tos.rtd",,"GAMMA","."&amp;P$2&amp;P$1&amp;"C"&amp;$A15)-$A$4*$A$4*RTD("tos.rtd",,"OPEN_INT","."&amp;P$2&amp;P$1&amp;"P"&amp;$A15)*RTD("tos.rtd",,"GAMMA","."&amp;P$2&amp;P$1&amp;"P"&amp;$A15))/1000000),0),IF($A$2="SKEW",IFERROR(VALUE(IF(RTD("tos.rtd",,"IMPL_VOL","."&amp;P$2&amp;P$1&amp;"P"&amp;$A15)="N/A",0,RTD("tos.rtd",,"IMPL_VOL","."&amp;P$2&amp;P$1&amp;"P"&amp;$A15))),0)-IFERROR(VALUE(IF(RTD("tos.rtd",,"IMPL_VOL","."&amp;P$2&amp;P$1&amp;"C"&amp;$A15)="N/A",0,RTD("tos.rtd",,"IMPL_VOL","."&amp;P$2&amp;P$1&amp;"C"&amp;$A15))),0),IF($A$2="MAXPAIN",IF($A$4&gt;$A15,($A$4-$A15)*IF(RTD("tos.rtd",,"OPEN_INT","."&amp;P$2&amp;P$1&amp;"C"&amp;$A15)="N/A",0,RTD("tos.rtd",,"OPEN_INT","."&amp;P$2&amp;P$1&amp;"C"&amp;$A15)),0)+IF($A$4&lt;$A15,($A$5-$A$4)*IF(RTD("tos.rtd",,"OPEN_INT","."&amp;P$2&amp;P$1&amp;"P"&amp;$A15)="N/A",0,RTD("tos.rtd",,"OPEN_INT","."&amp;P$2&amp;P$1&amp;"P"&amp;$A15)),0),IF($X$1="ABS",IF(RTD("tos.rtd",,$A$2,"."&amp;P$2&amp;P$1&amp;"C"&amp;$A15)="N/A",0,RTD("tos.rtd",,$A$2,"."&amp;P$2&amp;P$1&amp;"C"&amp;$A15))+IF(RTD("tos.rtd",,$A$2,"."&amp;P$2&amp;P$1&amp;"P"&amp;$A15)="N/A",0,RTD("tos.rtd",,$A$2,"."&amp;P$2&amp;P$1&amp;"P"&amp;$A15)),IF(RTD("tos.rtd",,$A$2,"."&amp;P$2&amp;P$1&amp;"C"&amp;$A15)="N/A",0,RTD("tos.rtd",,$A$2,"."&amp;P$2&amp;P$1&amp;"C"&amp;$A15))-IF(RTD("tos.rtd",,$A$2,"."&amp;P$2&amp;P$1&amp;"P"&amp;$A15)="N/A",0,RTD("tos.rtd",,$A$2,"."&amp;P$2&amp;P$1&amp;"P"&amp;$A15))))))))))</f>
        <v>0</v>
      </c>
      <c r="Q15" s="12">
        <f ca="1">IF($A$2="PREMIUM_OI",IFERROR(IF($X$1="ABS",(100*RTD("tos.rtd",,"OPEN_INT","."&amp;Q$2&amp;Q$1&amp;"C"&amp;$A15)*RTD("tos.rtd",,"LAST","."&amp;Q$2&amp;Q$1&amp;"C"&amp;$A15)+100*RTD("tos.rtd",,"OPEN_INT","."&amp;Q$2&amp;Q$1&amp;"P"&amp;$A15)*RTD("tos.rtd",,"LAST","."&amp;Q$2&amp;Q$1&amp;"P"&amp;$A15))/1000000,(100*RTD("tos.rtd",,"OPEN_INT","."&amp;Q$2&amp;Q$1&amp;"C"&amp;$A15)*RTD("tos.rtd",,"LAST","."&amp;Q$2&amp;Q$1&amp;"C"&amp;$A15)-100*RTD("tos.rtd",,"OPEN_INT","."&amp;Q$2&amp;Q$1&amp;"P"&amp;$A15)*RTD("tos.rtd",,"LAST","."&amp;Q$2&amp;Q$1&amp;"P"&amp;$A15))/1000000),0),IF($A$2="PREMIUM",IFERROR(IF($X$1="ABS",(100*RTD("tos.rtd",,"VOLUME","."&amp;Q$2&amp;Q$1&amp;"C"&amp;$A15)*RTD("tos.rtd",,"LAST","."&amp;Q$2&amp;Q$1&amp;"C"&amp;$A15)+100*RTD("tos.rtd",,"VOLUME","."&amp;Q$2&amp;Q$1&amp;"P"&amp;$A15)*RTD("tos.rtd",,"LAST","."&amp;Q$2&amp;Q$1&amp;"P"&amp;$A15))/1000000,(100*RTD("tos.rtd",,"VOLUME","."&amp;Q$2&amp;Q$1&amp;"C"&amp;$A15)*RTD("tos.rtd",,"LAST","."&amp;Q$2&amp;Q$1&amp;"C"&amp;$A15)-100*RTD("tos.rtd",,"VOLUME","."&amp;Q$2&amp;Q$1&amp;"P"&amp;$A15)*RTD("tos.rtd",,"LAST","."&amp;Q$2&amp;Q$1&amp;"P"&amp;$A15))/1000000),0),IF($A$2="DEX",IFERROR(IF($X$1="ABS",(100*RTD("tos.rtd",,"OPEN_INT","."&amp;Q$2&amp;Q$1&amp;"C"&amp;$A15)*RTD("tos.rtd",,"DELTA","."&amp;Q$2&amp;Q$1&amp;"C"&amp;$A15)+100*RTD("tos.rtd",,"OPEN_INT","."&amp;Q$2&amp;Q$1&amp;"P"&amp;$A15)*RTD("tos.rtd",,"DELTA","."&amp;Q$2&amp;Q$1&amp;"P"&amp;$A15))/1000,(100*RTD("tos.rtd",,"OPEN_INT","."&amp;Q$2&amp;Q$1&amp;"C"&amp;$A15)*RTD("tos.rtd",,"DELTA","."&amp;Q$2&amp;Q$1&amp;"C"&amp;$A15)-100*RTD("tos.rtd",,"OPEN_INT","."&amp;Q$2&amp;Q$1&amp;"P"&amp;$A15)*RTD("tos.rtd",,"DELTA","."&amp;Q$2&amp;Q$1&amp;"P"&amp;$A15))/1000),0),IF($A$2="VEX",IFERROR(IF($X$1="ABS",($A$4*$A$4*RTD("tos.rtd",,"VOLUME","."&amp;Q$2&amp;Q$1&amp;"C"&amp;$A15)*RTD("tos.rtd",,"GAMMA","."&amp;Q$2&amp;Q$1&amp;"C"&amp;$A15)+$A$4*$A$4*RTD("tos.rtd",,"VOLUME","."&amp;Q$2&amp;Q$1&amp;"P"&amp;$A15)*RTD("tos.rtd",,"GAMMA","."&amp;Q$2&amp;Q$1&amp;"P"&amp;$A15))/1000000,($A$4*$A$4*RTD("tos.rtd",,"VOLUME","."&amp;Q$2&amp;Q$1&amp;"C"&amp;$A15)*RTD("tos.rtd",,"GAMMA","."&amp;Q$2&amp;Q$1&amp;"C"&amp;$A15)-$A$4*$A$4*RTD("tos.rtd",,"VOLUME","."&amp;Q$2&amp;Q$1&amp;"P"&amp;$A15)*RTD("tos.rtd",,"GAMMA","."&amp;Q$2&amp;Q$1&amp;"P"&amp;$A15))/1000000),0),IF($A$2="GEX",IFERROR(IF($X$1="ABS",($A$4*$A$4*RTD("tos.rtd",,"OPEN_INT","."&amp;Q$2&amp;Q$1&amp;"C"&amp;$A15)*RTD("tos.rtd",,"GAMMA","."&amp;Q$2&amp;Q$1&amp;"C"&amp;$A15)+$A$4*$A$4*RTD("tos.rtd",,"OPEN_INT","."&amp;Q$2&amp;Q$1&amp;"P"&amp;$A15)*RTD("tos.rtd",,"GAMMA","."&amp;Q$2&amp;Q$1&amp;"P"&amp;$A15))/1000000,($A$4*$A$4*RTD("tos.rtd",,"OPEN_INT","."&amp;Q$2&amp;Q$1&amp;"C"&amp;$A15)*RTD("tos.rtd",,"GAMMA","."&amp;Q$2&amp;Q$1&amp;"C"&amp;$A15)-$A$4*$A$4*RTD("tos.rtd",,"OPEN_INT","."&amp;Q$2&amp;Q$1&amp;"P"&amp;$A15)*RTD("tos.rtd",,"GAMMA","."&amp;Q$2&amp;Q$1&amp;"P"&amp;$A15))/1000000),0),IF($A$2="SKEW",IFERROR(VALUE(IF(RTD("tos.rtd",,"IMPL_VOL","."&amp;Q$2&amp;Q$1&amp;"P"&amp;$A15)="N/A",0,RTD("tos.rtd",,"IMPL_VOL","."&amp;Q$2&amp;Q$1&amp;"P"&amp;$A15))),0)-IFERROR(VALUE(IF(RTD("tos.rtd",,"IMPL_VOL","."&amp;Q$2&amp;Q$1&amp;"C"&amp;$A15)="N/A",0,RTD("tos.rtd",,"IMPL_VOL","."&amp;Q$2&amp;Q$1&amp;"C"&amp;$A15))),0),IF($A$2="MAXPAIN",IF($A$4&gt;$A15,($A$4-$A15)*IF(RTD("tos.rtd",,"OPEN_INT","."&amp;Q$2&amp;Q$1&amp;"C"&amp;$A15)="N/A",0,RTD("tos.rtd",,"OPEN_INT","."&amp;Q$2&amp;Q$1&amp;"C"&amp;$A15)),0)+IF($A$4&lt;$A15,($A$5-$A$4)*IF(RTD("tos.rtd",,"OPEN_INT","."&amp;Q$2&amp;Q$1&amp;"P"&amp;$A15)="N/A",0,RTD("tos.rtd",,"OPEN_INT","."&amp;Q$2&amp;Q$1&amp;"P"&amp;$A15)),0),IF($X$1="ABS",IF(RTD("tos.rtd",,$A$2,"."&amp;Q$2&amp;Q$1&amp;"C"&amp;$A15)="N/A",0,RTD("tos.rtd",,$A$2,"."&amp;Q$2&amp;Q$1&amp;"C"&amp;$A15))+IF(RTD("tos.rtd",,$A$2,"."&amp;Q$2&amp;Q$1&amp;"P"&amp;$A15)="N/A",0,RTD("tos.rtd",,$A$2,"."&amp;Q$2&amp;Q$1&amp;"P"&amp;$A15)),IF(RTD("tos.rtd",,$A$2,"."&amp;Q$2&amp;Q$1&amp;"C"&amp;$A15)="N/A",0,RTD("tos.rtd",,$A$2,"."&amp;Q$2&amp;Q$1&amp;"C"&amp;$A15))-IF(RTD("tos.rtd",,$A$2,"."&amp;Q$2&amp;Q$1&amp;"P"&amp;$A15)="N/A",0,RTD("tos.rtd",,$A$2,"."&amp;Q$2&amp;Q$1&amp;"P"&amp;$A15))))))))))</f>
        <v>0</v>
      </c>
      <c r="R15" s="12">
        <f ca="1">IF($A$2="PREMIUM_OI",IFERROR(IF($X$1="ABS",(100*RTD("tos.rtd",,"OPEN_INT","."&amp;R$2&amp;R$1&amp;"C"&amp;$A15)*RTD("tos.rtd",,"LAST","."&amp;R$2&amp;R$1&amp;"C"&amp;$A15)+100*RTD("tos.rtd",,"OPEN_INT","."&amp;R$2&amp;R$1&amp;"P"&amp;$A15)*RTD("tos.rtd",,"LAST","."&amp;R$2&amp;R$1&amp;"P"&amp;$A15))/1000000,(100*RTD("tos.rtd",,"OPEN_INT","."&amp;R$2&amp;R$1&amp;"C"&amp;$A15)*RTD("tos.rtd",,"LAST","."&amp;R$2&amp;R$1&amp;"C"&amp;$A15)-100*RTD("tos.rtd",,"OPEN_INT","."&amp;R$2&amp;R$1&amp;"P"&amp;$A15)*RTD("tos.rtd",,"LAST","."&amp;R$2&amp;R$1&amp;"P"&amp;$A15))/1000000),0),IF($A$2="PREMIUM",IFERROR(IF($X$1="ABS",(100*RTD("tos.rtd",,"VOLUME","."&amp;R$2&amp;R$1&amp;"C"&amp;$A15)*RTD("tos.rtd",,"LAST","."&amp;R$2&amp;R$1&amp;"C"&amp;$A15)+100*RTD("tos.rtd",,"VOLUME","."&amp;R$2&amp;R$1&amp;"P"&amp;$A15)*RTD("tos.rtd",,"LAST","."&amp;R$2&amp;R$1&amp;"P"&amp;$A15))/1000000,(100*RTD("tos.rtd",,"VOLUME","."&amp;R$2&amp;R$1&amp;"C"&amp;$A15)*RTD("tos.rtd",,"LAST","."&amp;R$2&amp;R$1&amp;"C"&amp;$A15)-100*RTD("tos.rtd",,"VOLUME","."&amp;R$2&amp;R$1&amp;"P"&amp;$A15)*RTD("tos.rtd",,"LAST","."&amp;R$2&amp;R$1&amp;"P"&amp;$A15))/1000000),0),IF($A$2="DEX",IFERROR(IF($X$1="ABS",(100*RTD("tos.rtd",,"OPEN_INT","."&amp;R$2&amp;R$1&amp;"C"&amp;$A15)*RTD("tos.rtd",,"DELTA","."&amp;R$2&amp;R$1&amp;"C"&amp;$A15)+100*RTD("tos.rtd",,"OPEN_INT","."&amp;R$2&amp;R$1&amp;"P"&amp;$A15)*RTD("tos.rtd",,"DELTA","."&amp;R$2&amp;R$1&amp;"P"&amp;$A15))/1000,(100*RTD("tos.rtd",,"OPEN_INT","."&amp;R$2&amp;R$1&amp;"C"&amp;$A15)*RTD("tos.rtd",,"DELTA","."&amp;R$2&amp;R$1&amp;"C"&amp;$A15)-100*RTD("tos.rtd",,"OPEN_INT","."&amp;R$2&amp;R$1&amp;"P"&amp;$A15)*RTD("tos.rtd",,"DELTA","."&amp;R$2&amp;R$1&amp;"P"&amp;$A15))/1000),0),IF($A$2="VEX",IFERROR(IF($X$1="ABS",($A$4*$A$4*RTD("tos.rtd",,"VOLUME","."&amp;R$2&amp;R$1&amp;"C"&amp;$A15)*RTD("tos.rtd",,"GAMMA","."&amp;R$2&amp;R$1&amp;"C"&amp;$A15)+$A$4*$A$4*RTD("tos.rtd",,"VOLUME","."&amp;R$2&amp;R$1&amp;"P"&amp;$A15)*RTD("tos.rtd",,"GAMMA","."&amp;R$2&amp;R$1&amp;"P"&amp;$A15))/1000000,($A$4*$A$4*RTD("tos.rtd",,"VOLUME","."&amp;R$2&amp;R$1&amp;"C"&amp;$A15)*RTD("tos.rtd",,"GAMMA","."&amp;R$2&amp;R$1&amp;"C"&amp;$A15)-$A$4*$A$4*RTD("tos.rtd",,"VOLUME","."&amp;R$2&amp;R$1&amp;"P"&amp;$A15)*RTD("tos.rtd",,"GAMMA","."&amp;R$2&amp;R$1&amp;"P"&amp;$A15))/1000000),0),IF($A$2="GEX",IFERROR(IF($X$1="ABS",($A$4*$A$4*RTD("tos.rtd",,"OPEN_INT","."&amp;R$2&amp;R$1&amp;"C"&amp;$A15)*RTD("tos.rtd",,"GAMMA","."&amp;R$2&amp;R$1&amp;"C"&amp;$A15)+$A$4*$A$4*RTD("tos.rtd",,"OPEN_INT","."&amp;R$2&amp;R$1&amp;"P"&amp;$A15)*RTD("tos.rtd",,"GAMMA","."&amp;R$2&amp;R$1&amp;"P"&amp;$A15))/1000000,($A$4*$A$4*RTD("tos.rtd",,"OPEN_INT","."&amp;R$2&amp;R$1&amp;"C"&amp;$A15)*RTD("tos.rtd",,"GAMMA","."&amp;R$2&amp;R$1&amp;"C"&amp;$A15)-$A$4*$A$4*RTD("tos.rtd",,"OPEN_INT","."&amp;R$2&amp;R$1&amp;"P"&amp;$A15)*RTD("tos.rtd",,"GAMMA","."&amp;R$2&amp;R$1&amp;"P"&amp;$A15))/1000000),0),IF($A$2="SKEW",IFERROR(VALUE(IF(RTD("tos.rtd",,"IMPL_VOL","."&amp;R$2&amp;R$1&amp;"P"&amp;$A15)="N/A",0,RTD("tos.rtd",,"IMPL_VOL","."&amp;R$2&amp;R$1&amp;"P"&amp;$A15))),0)-IFERROR(VALUE(IF(RTD("tos.rtd",,"IMPL_VOL","."&amp;R$2&amp;R$1&amp;"C"&amp;$A15)="N/A",0,RTD("tos.rtd",,"IMPL_VOL","."&amp;R$2&amp;R$1&amp;"C"&amp;$A15))),0),IF($A$2="MAXPAIN",IF($A$4&gt;$A15,($A$4-$A15)*IF(RTD("tos.rtd",,"OPEN_INT","."&amp;R$2&amp;R$1&amp;"C"&amp;$A15)="N/A",0,RTD("tos.rtd",,"OPEN_INT","."&amp;R$2&amp;R$1&amp;"C"&amp;$A15)),0)+IF($A$4&lt;$A15,($A$5-$A$4)*IF(RTD("tos.rtd",,"OPEN_INT","."&amp;R$2&amp;R$1&amp;"P"&amp;$A15)="N/A",0,RTD("tos.rtd",,"OPEN_INT","."&amp;R$2&amp;R$1&amp;"P"&amp;$A15)),0),IF($X$1="ABS",IF(RTD("tos.rtd",,$A$2,"."&amp;R$2&amp;R$1&amp;"C"&amp;$A15)="N/A",0,RTD("tos.rtd",,$A$2,"."&amp;R$2&amp;R$1&amp;"C"&amp;$A15))+IF(RTD("tos.rtd",,$A$2,"."&amp;R$2&amp;R$1&amp;"P"&amp;$A15)="N/A",0,RTD("tos.rtd",,$A$2,"."&amp;R$2&amp;R$1&amp;"P"&amp;$A15)),IF(RTD("tos.rtd",,$A$2,"."&amp;R$2&amp;R$1&amp;"C"&amp;$A15)="N/A",0,RTD("tos.rtd",,$A$2,"."&amp;R$2&amp;R$1&amp;"C"&amp;$A15))-IF(RTD("tos.rtd",,$A$2,"."&amp;R$2&amp;R$1&amp;"P"&amp;$A15)="N/A",0,RTD("tos.rtd",,$A$2,"."&amp;R$2&amp;R$1&amp;"P"&amp;$A15))))))))))</f>
        <v>0</v>
      </c>
      <c r="S15" s="12">
        <f ca="1">IF($A$2="PREMIUM_OI",IFERROR(IF($X$1="ABS",(100*RTD("tos.rtd",,"OPEN_INT","."&amp;S$2&amp;S$1&amp;"C"&amp;$A15)*RTD("tos.rtd",,"LAST","."&amp;S$2&amp;S$1&amp;"C"&amp;$A15)+100*RTD("tos.rtd",,"OPEN_INT","."&amp;S$2&amp;S$1&amp;"P"&amp;$A15)*RTD("tos.rtd",,"LAST","."&amp;S$2&amp;S$1&amp;"P"&amp;$A15))/1000000,(100*RTD("tos.rtd",,"OPEN_INT","."&amp;S$2&amp;S$1&amp;"C"&amp;$A15)*RTD("tos.rtd",,"LAST","."&amp;S$2&amp;S$1&amp;"C"&amp;$A15)-100*RTD("tos.rtd",,"OPEN_INT","."&amp;S$2&amp;S$1&amp;"P"&amp;$A15)*RTD("tos.rtd",,"LAST","."&amp;S$2&amp;S$1&amp;"P"&amp;$A15))/1000000),0),IF($A$2="PREMIUM",IFERROR(IF($X$1="ABS",(100*RTD("tos.rtd",,"VOLUME","."&amp;S$2&amp;S$1&amp;"C"&amp;$A15)*RTD("tos.rtd",,"LAST","."&amp;S$2&amp;S$1&amp;"C"&amp;$A15)+100*RTD("tos.rtd",,"VOLUME","."&amp;S$2&amp;S$1&amp;"P"&amp;$A15)*RTD("tos.rtd",,"LAST","."&amp;S$2&amp;S$1&amp;"P"&amp;$A15))/1000000,(100*RTD("tos.rtd",,"VOLUME","."&amp;S$2&amp;S$1&amp;"C"&amp;$A15)*RTD("tos.rtd",,"LAST","."&amp;S$2&amp;S$1&amp;"C"&amp;$A15)-100*RTD("tos.rtd",,"VOLUME","."&amp;S$2&amp;S$1&amp;"P"&amp;$A15)*RTD("tos.rtd",,"LAST","."&amp;S$2&amp;S$1&amp;"P"&amp;$A15))/1000000),0),IF($A$2="DEX",IFERROR(IF($X$1="ABS",(100*RTD("tos.rtd",,"OPEN_INT","."&amp;S$2&amp;S$1&amp;"C"&amp;$A15)*RTD("tos.rtd",,"DELTA","."&amp;S$2&amp;S$1&amp;"C"&amp;$A15)+100*RTD("tos.rtd",,"OPEN_INT","."&amp;S$2&amp;S$1&amp;"P"&amp;$A15)*RTD("tos.rtd",,"DELTA","."&amp;S$2&amp;S$1&amp;"P"&amp;$A15))/1000,(100*RTD("tos.rtd",,"OPEN_INT","."&amp;S$2&amp;S$1&amp;"C"&amp;$A15)*RTD("tos.rtd",,"DELTA","."&amp;S$2&amp;S$1&amp;"C"&amp;$A15)-100*RTD("tos.rtd",,"OPEN_INT","."&amp;S$2&amp;S$1&amp;"P"&amp;$A15)*RTD("tos.rtd",,"DELTA","."&amp;S$2&amp;S$1&amp;"P"&amp;$A15))/1000),0),IF($A$2="VEX",IFERROR(IF($X$1="ABS",($A$4*$A$4*RTD("tos.rtd",,"VOLUME","."&amp;S$2&amp;S$1&amp;"C"&amp;$A15)*RTD("tos.rtd",,"GAMMA","."&amp;S$2&amp;S$1&amp;"C"&amp;$A15)+$A$4*$A$4*RTD("tos.rtd",,"VOLUME","."&amp;S$2&amp;S$1&amp;"P"&amp;$A15)*RTD("tos.rtd",,"GAMMA","."&amp;S$2&amp;S$1&amp;"P"&amp;$A15))/1000000,($A$4*$A$4*RTD("tos.rtd",,"VOLUME","."&amp;S$2&amp;S$1&amp;"C"&amp;$A15)*RTD("tos.rtd",,"GAMMA","."&amp;S$2&amp;S$1&amp;"C"&amp;$A15)-$A$4*$A$4*RTD("tos.rtd",,"VOLUME","."&amp;S$2&amp;S$1&amp;"P"&amp;$A15)*RTD("tos.rtd",,"GAMMA","."&amp;S$2&amp;S$1&amp;"P"&amp;$A15))/1000000),0),IF($A$2="GEX",IFERROR(IF($X$1="ABS",($A$4*$A$4*RTD("tos.rtd",,"OPEN_INT","."&amp;S$2&amp;S$1&amp;"C"&amp;$A15)*RTD("tos.rtd",,"GAMMA","."&amp;S$2&amp;S$1&amp;"C"&amp;$A15)+$A$4*$A$4*RTD("tos.rtd",,"OPEN_INT","."&amp;S$2&amp;S$1&amp;"P"&amp;$A15)*RTD("tos.rtd",,"GAMMA","."&amp;S$2&amp;S$1&amp;"P"&amp;$A15))/1000000,($A$4*$A$4*RTD("tos.rtd",,"OPEN_INT","."&amp;S$2&amp;S$1&amp;"C"&amp;$A15)*RTD("tos.rtd",,"GAMMA","."&amp;S$2&amp;S$1&amp;"C"&amp;$A15)-$A$4*$A$4*RTD("tos.rtd",,"OPEN_INT","."&amp;S$2&amp;S$1&amp;"P"&amp;$A15)*RTD("tos.rtd",,"GAMMA","."&amp;S$2&amp;S$1&amp;"P"&amp;$A15))/1000000),0),IF($A$2="SKEW",IFERROR(VALUE(IF(RTD("tos.rtd",,"IMPL_VOL","."&amp;S$2&amp;S$1&amp;"P"&amp;$A15)="N/A",0,RTD("tos.rtd",,"IMPL_VOL","."&amp;S$2&amp;S$1&amp;"P"&amp;$A15))),0)-IFERROR(VALUE(IF(RTD("tos.rtd",,"IMPL_VOL","."&amp;S$2&amp;S$1&amp;"C"&amp;$A15)="N/A",0,RTD("tos.rtd",,"IMPL_VOL","."&amp;S$2&amp;S$1&amp;"C"&amp;$A15))),0),IF($A$2="MAXPAIN",IF($A$4&gt;$A15,($A$4-$A15)*IF(RTD("tos.rtd",,"OPEN_INT","."&amp;S$2&amp;S$1&amp;"C"&amp;$A15)="N/A",0,RTD("tos.rtd",,"OPEN_INT","."&amp;S$2&amp;S$1&amp;"C"&amp;$A15)),0)+IF($A$4&lt;$A15,($A$5-$A$4)*IF(RTD("tos.rtd",,"OPEN_INT","."&amp;S$2&amp;S$1&amp;"P"&amp;$A15)="N/A",0,RTD("tos.rtd",,"OPEN_INT","."&amp;S$2&amp;S$1&amp;"P"&amp;$A15)),0),IF($X$1="ABS",IF(RTD("tos.rtd",,$A$2,"."&amp;S$2&amp;S$1&amp;"C"&amp;$A15)="N/A",0,RTD("tos.rtd",,$A$2,"."&amp;S$2&amp;S$1&amp;"C"&amp;$A15))+IF(RTD("tos.rtd",,$A$2,"."&amp;S$2&amp;S$1&amp;"P"&amp;$A15)="N/A",0,RTD("tos.rtd",,$A$2,"."&amp;S$2&amp;S$1&amp;"P"&amp;$A15)),IF(RTD("tos.rtd",,$A$2,"."&amp;S$2&amp;S$1&amp;"C"&amp;$A15)="N/A",0,RTD("tos.rtd",,$A$2,"."&amp;S$2&amp;S$1&amp;"C"&amp;$A15))-IF(RTD("tos.rtd",,$A$2,"."&amp;S$2&amp;S$1&amp;"P"&amp;$A15)="N/A",0,RTD("tos.rtd",,$A$2,"."&amp;S$2&amp;S$1&amp;"P"&amp;$A15))))))))))</f>
        <v>0</v>
      </c>
      <c r="T15" s="12">
        <f ca="1">IF($A$2="PREMIUM_OI",IFERROR(IF($X$1="ABS",(100*RTD("tos.rtd",,"OPEN_INT","."&amp;T$2&amp;T$1&amp;"C"&amp;$A15)*RTD("tos.rtd",,"LAST","."&amp;T$2&amp;T$1&amp;"C"&amp;$A15)+100*RTD("tos.rtd",,"OPEN_INT","."&amp;T$2&amp;T$1&amp;"P"&amp;$A15)*RTD("tos.rtd",,"LAST","."&amp;T$2&amp;T$1&amp;"P"&amp;$A15))/1000000,(100*RTD("tos.rtd",,"OPEN_INT","."&amp;T$2&amp;T$1&amp;"C"&amp;$A15)*RTD("tos.rtd",,"LAST","."&amp;T$2&amp;T$1&amp;"C"&amp;$A15)-100*RTD("tos.rtd",,"OPEN_INT","."&amp;T$2&amp;T$1&amp;"P"&amp;$A15)*RTD("tos.rtd",,"LAST","."&amp;T$2&amp;T$1&amp;"P"&amp;$A15))/1000000),0),IF($A$2="PREMIUM",IFERROR(IF($X$1="ABS",(100*RTD("tos.rtd",,"VOLUME","."&amp;T$2&amp;T$1&amp;"C"&amp;$A15)*RTD("tos.rtd",,"LAST","."&amp;T$2&amp;T$1&amp;"C"&amp;$A15)+100*RTD("tos.rtd",,"VOLUME","."&amp;T$2&amp;T$1&amp;"P"&amp;$A15)*RTD("tos.rtd",,"LAST","."&amp;T$2&amp;T$1&amp;"P"&amp;$A15))/1000000,(100*RTD("tos.rtd",,"VOLUME","."&amp;T$2&amp;T$1&amp;"C"&amp;$A15)*RTD("tos.rtd",,"LAST","."&amp;T$2&amp;T$1&amp;"C"&amp;$A15)-100*RTD("tos.rtd",,"VOLUME","."&amp;T$2&amp;T$1&amp;"P"&amp;$A15)*RTD("tos.rtd",,"LAST","."&amp;T$2&amp;T$1&amp;"P"&amp;$A15))/1000000),0),IF($A$2="DEX",IFERROR(IF($X$1="ABS",(100*RTD("tos.rtd",,"OPEN_INT","."&amp;T$2&amp;T$1&amp;"C"&amp;$A15)*RTD("tos.rtd",,"DELTA","."&amp;T$2&amp;T$1&amp;"C"&amp;$A15)+100*RTD("tos.rtd",,"OPEN_INT","."&amp;T$2&amp;T$1&amp;"P"&amp;$A15)*RTD("tos.rtd",,"DELTA","."&amp;T$2&amp;T$1&amp;"P"&amp;$A15))/1000,(100*RTD("tos.rtd",,"OPEN_INT","."&amp;T$2&amp;T$1&amp;"C"&amp;$A15)*RTD("tos.rtd",,"DELTA","."&amp;T$2&amp;T$1&amp;"C"&amp;$A15)-100*RTD("tos.rtd",,"OPEN_INT","."&amp;T$2&amp;T$1&amp;"P"&amp;$A15)*RTD("tos.rtd",,"DELTA","."&amp;T$2&amp;T$1&amp;"P"&amp;$A15))/1000),0),IF($A$2="VEX",IFERROR(IF($X$1="ABS",($A$4*$A$4*RTD("tos.rtd",,"VOLUME","."&amp;T$2&amp;T$1&amp;"C"&amp;$A15)*RTD("tos.rtd",,"GAMMA","."&amp;T$2&amp;T$1&amp;"C"&amp;$A15)+$A$4*$A$4*RTD("tos.rtd",,"VOLUME","."&amp;T$2&amp;T$1&amp;"P"&amp;$A15)*RTD("tos.rtd",,"GAMMA","."&amp;T$2&amp;T$1&amp;"P"&amp;$A15))/1000000,($A$4*$A$4*RTD("tos.rtd",,"VOLUME","."&amp;T$2&amp;T$1&amp;"C"&amp;$A15)*RTD("tos.rtd",,"GAMMA","."&amp;T$2&amp;T$1&amp;"C"&amp;$A15)-$A$4*$A$4*RTD("tos.rtd",,"VOLUME","."&amp;T$2&amp;T$1&amp;"P"&amp;$A15)*RTD("tos.rtd",,"GAMMA","."&amp;T$2&amp;T$1&amp;"P"&amp;$A15))/1000000),0),IF($A$2="GEX",IFERROR(IF($X$1="ABS",($A$4*$A$4*RTD("tos.rtd",,"OPEN_INT","."&amp;T$2&amp;T$1&amp;"C"&amp;$A15)*RTD("tos.rtd",,"GAMMA","."&amp;T$2&amp;T$1&amp;"C"&amp;$A15)+$A$4*$A$4*RTD("tos.rtd",,"OPEN_INT","."&amp;T$2&amp;T$1&amp;"P"&amp;$A15)*RTD("tos.rtd",,"GAMMA","."&amp;T$2&amp;T$1&amp;"P"&amp;$A15))/1000000,($A$4*$A$4*RTD("tos.rtd",,"OPEN_INT","."&amp;T$2&amp;T$1&amp;"C"&amp;$A15)*RTD("tos.rtd",,"GAMMA","."&amp;T$2&amp;T$1&amp;"C"&amp;$A15)-$A$4*$A$4*RTD("tos.rtd",,"OPEN_INT","."&amp;T$2&amp;T$1&amp;"P"&amp;$A15)*RTD("tos.rtd",,"GAMMA","."&amp;T$2&amp;T$1&amp;"P"&amp;$A15))/1000000),0),IF($A$2="SKEW",IFERROR(VALUE(IF(RTD("tos.rtd",,"IMPL_VOL","."&amp;T$2&amp;T$1&amp;"P"&amp;$A15)="N/A",0,RTD("tos.rtd",,"IMPL_VOL","."&amp;T$2&amp;T$1&amp;"P"&amp;$A15))),0)-IFERROR(VALUE(IF(RTD("tos.rtd",,"IMPL_VOL","."&amp;T$2&amp;T$1&amp;"C"&amp;$A15)="N/A",0,RTD("tos.rtd",,"IMPL_VOL","."&amp;T$2&amp;T$1&amp;"C"&amp;$A15))),0),IF($A$2="MAXPAIN",IF($A$4&gt;$A15,($A$4-$A15)*IF(RTD("tos.rtd",,"OPEN_INT","."&amp;T$2&amp;T$1&amp;"C"&amp;$A15)="N/A",0,RTD("tos.rtd",,"OPEN_INT","."&amp;T$2&amp;T$1&amp;"C"&amp;$A15)),0)+IF($A$4&lt;$A15,($A$5-$A$4)*IF(RTD("tos.rtd",,"OPEN_INT","."&amp;T$2&amp;T$1&amp;"P"&amp;$A15)="N/A",0,RTD("tos.rtd",,"OPEN_INT","."&amp;T$2&amp;T$1&amp;"P"&amp;$A15)),0),IF($X$1="ABS",IF(RTD("tos.rtd",,$A$2,"."&amp;T$2&amp;T$1&amp;"C"&amp;$A15)="N/A",0,RTD("tos.rtd",,$A$2,"."&amp;T$2&amp;T$1&amp;"C"&amp;$A15))+IF(RTD("tos.rtd",,$A$2,"."&amp;T$2&amp;T$1&amp;"P"&amp;$A15)="N/A",0,RTD("tos.rtd",,$A$2,"."&amp;T$2&amp;T$1&amp;"P"&amp;$A15)),IF(RTD("tos.rtd",,$A$2,"."&amp;T$2&amp;T$1&amp;"C"&amp;$A15)="N/A",0,RTD("tos.rtd",,$A$2,"."&amp;T$2&amp;T$1&amp;"C"&amp;$A15))-IF(RTD("tos.rtd",,$A$2,"."&amp;T$2&amp;T$1&amp;"P"&amp;$A15)="N/A",0,RTD("tos.rtd",,$A$2,"."&amp;T$2&amp;T$1&amp;"P"&amp;$A15))))))))))</f>
        <v>0</v>
      </c>
      <c r="U15" s="12">
        <f ca="1">IF($A$2="PREMIUM_OI",IFERROR(IF($X$1="ABS",(100*RTD("tos.rtd",,"OPEN_INT","."&amp;U$2&amp;U$1&amp;"C"&amp;$A15)*RTD("tos.rtd",,"LAST","."&amp;U$2&amp;U$1&amp;"C"&amp;$A15)+100*RTD("tos.rtd",,"OPEN_INT","."&amp;U$2&amp;U$1&amp;"P"&amp;$A15)*RTD("tos.rtd",,"LAST","."&amp;U$2&amp;U$1&amp;"P"&amp;$A15))/1000000,(100*RTD("tos.rtd",,"OPEN_INT","."&amp;U$2&amp;U$1&amp;"C"&amp;$A15)*RTD("tos.rtd",,"LAST","."&amp;U$2&amp;U$1&amp;"C"&amp;$A15)-100*RTD("tos.rtd",,"OPEN_INT","."&amp;U$2&amp;U$1&amp;"P"&amp;$A15)*RTD("tos.rtd",,"LAST","."&amp;U$2&amp;U$1&amp;"P"&amp;$A15))/1000000),0),IF($A$2="PREMIUM",IFERROR(IF($X$1="ABS",(100*RTD("tos.rtd",,"VOLUME","."&amp;U$2&amp;U$1&amp;"C"&amp;$A15)*RTD("tos.rtd",,"LAST","."&amp;U$2&amp;U$1&amp;"C"&amp;$A15)+100*RTD("tos.rtd",,"VOLUME","."&amp;U$2&amp;U$1&amp;"P"&amp;$A15)*RTD("tos.rtd",,"LAST","."&amp;U$2&amp;U$1&amp;"P"&amp;$A15))/1000000,(100*RTD("tos.rtd",,"VOLUME","."&amp;U$2&amp;U$1&amp;"C"&amp;$A15)*RTD("tos.rtd",,"LAST","."&amp;U$2&amp;U$1&amp;"C"&amp;$A15)-100*RTD("tos.rtd",,"VOLUME","."&amp;U$2&amp;U$1&amp;"P"&amp;$A15)*RTD("tos.rtd",,"LAST","."&amp;U$2&amp;U$1&amp;"P"&amp;$A15))/1000000),0),IF($A$2="DEX",IFERROR(IF($X$1="ABS",(100*RTD("tos.rtd",,"OPEN_INT","."&amp;U$2&amp;U$1&amp;"C"&amp;$A15)*RTD("tos.rtd",,"DELTA","."&amp;U$2&amp;U$1&amp;"C"&amp;$A15)+100*RTD("tos.rtd",,"OPEN_INT","."&amp;U$2&amp;U$1&amp;"P"&amp;$A15)*RTD("tos.rtd",,"DELTA","."&amp;U$2&amp;U$1&amp;"P"&amp;$A15))/1000,(100*RTD("tos.rtd",,"OPEN_INT","."&amp;U$2&amp;U$1&amp;"C"&amp;$A15)*RTD("tos.rtd",,"DELTA","."&amp;U$2&amp;U$1&amp;"C"&amp;$A15)-100*RTD("tos.rtd",,"OPEN_INT","."&amp;U$2&amp;U$1&amp;"P"&amp;$A15)*RTD("tos.rtd",,"DELTA","."&amp;U$2&amp;U$1&amp;"P"&amp;$A15))/1000),0),IF($A$2="VEX",IFERROR(IF($X$1="ABS",($A$4*$A$4*RTD("tos.rtd",,"VOLUME","."&amp;U$2&amp;U$1&amp;"C"&amp;$A15)*RTD("tos.rtd",,"GAMMA","."&amp;U$2&amp;U$1&amp;"C"&amp;$A15)+$A$4*$A$4*RTD("tos.rtd",,"VOLUME","."&amp;U$2&amp;U$1&amp;"P"&amp;$A15)*RTD("tos.rtd",,"GAMMA","."&amp;U$2&amp;U$1&amp;"P"&amp;$A15))/1000000,($A$4*$A$4*RTD("tos.rtd",,"VOLUME","."&amp;U$2&amp;U$1&amp;"C"&amp;$A15)*RTD("tos.rtd",,"GAMMA","."&amp;U$2&amp;U$1&amp;"C"&amp;$A15)-$A$4*$A$4*RTD("tos.rtd",,"VOLUME","."&amp;U$2&amp;U$1&amp;"P"&amp;$A15)*RTD("tos.rtd",,"GAMMA","."&amp;U$2&amp;U$1&amp;"P"&amp;$A15))/1000000),0),IF($A$2="GEX",IFERROR(IF($X$1="ABS",($A$4*$A$4*RTD("tos.rtd",,"OPEN_INT","."&amp;U$2&amp;U$1&amp;"C"&amp;$A15)*RTD("tos.rtd",,"GAMMA","."&amp;U$2&amp;U$1&amp;"C"&amp;$A15)+$A$4*$A$4*RTD("tos.rtd",,"OPEN_INT","."&amp;U$2&amp;U$1&amp;"P"&amp;$A15)*RTD("tos.rtd",,"GAMMA","."&amp;U$2&amp;U$1&amp;"P"&amp;$A15))/1000000,($A$4*$A$4*RTD("tos.rtd",,"OPEN_INT","."&amp;U$2&amp;U$1&amp;"C"&amp;$A15)*RTD("tos.rtd",,"GAMMA","."&amp;U$2&amp;U$1&amp;"C"&amp;$A15)-$A$4*$A$4*RTD("tos.rtd",,"OPEN_INT","."&amp;U$2&amp;U$1&amp;"P"&amp;$A15)*RTD("tos.rtd",,"GAMMA","."&amp;U$2&amp;U$1&amp;"P"&amp;$A15))/1000000),0),IF($A$2="SKEW",IFERROR(VALUE(IF(RTD("tos.rtd",,"IMPL_VOL","."&amp;U$2&amp;U$1&amp;"P"&amp;$A15)="N/A",0,RTD("tos.rtd",,"IMPL_VOL","."&amp;U$2&amp;U$1&amp;"P"&amp;$A15))),0)-IFERROR(VALUE(IF(RTD("tos.rtd",,"IMPL_VOL","."&amp;U$2&amp;U$1&amp;"C"&amp;$A15)="N/A",0,RTD("tos.rtd",,"IMPL_VOL","."&amp;U$2&amp;U$1&amp;"C"&amp;$A15))),0),IF($A$2="MAXPAIN",IF($A$4&gt;$A15,($A$4-$A15)*IF(RTD("tos.rtd",,"OPEN_INT","."&amp;U$2&amp;U$1&amp;"C"&amp;$A15)="N/A",0,RTD("tos.rtd",,"OPEN_INT","."&amp;U$2&amp;U$1&amp;"C"&amp;$A15)),0)+IF($A$4&lt;$A15,($A$5-$A$4)*IF(RTD("tos.rtd",,"OPEN_INT","."&amp;U$2&amp;U$1&amp;"P"&amp;$A15)="N/A",0,RTD("tos.rtd",,"OPEN_INT","."&amp;U$2&amp;U$1&amp;"P"&amp;$A15)),0),IF($X$1="ABS",IF(RTD("tos.rtd",,$A$2,"."&amp;U$2&amp;U$1&amp;"C"&amp;$A15)="N/A",0,RTD("tos.rtd",,$A$2,"."&amp;U$2&amp;U$1&amp;"C"&amp;$A15))+IF(RTD("tos.rtd",,$A$2,"."&amp;U$2&amp;U$1&amp;"P"&amp;$A15)="N/A",0,RTD("tos.rtd",,$A$2,"."&amp;U$2&amp;U$1&amp;"P"&amp;$A15)),IF(RTD("tos.rtd",,$A$2,"."&amp;U$2&amp;U$1&amp;"C"&amp;$A15)="N/A",0,RTD("tos.rtd",,$A$2,"."&amp;U$2&amp;U$1&amp;"C"&amp;$A15))-IF(RTD("tos.rtd",,$A$2,"."&amp;U$2&amp;U$1&amp;"P"&amp;$A15)="N/A",0,RTD("tos.rtd",,$A$2,"."&amp;U$2&amp;U$1&amp;"P"&amp;$A15))))))))))</f>
        <v>0</v>
      </c>
      <c r="V15" s="12">
        <f ca="1">IF($A$2="PREMIUM_OI",IFERROR(IF($X$1="ABS",(100*RTD("tos.rtd",,"OPEN_INT","."&amp;V$2&amp;V$1&amp;"C"&amp;$A15)*RTD("tos.rtd",,"LAST","."&amp;V$2&amp;V$1&amp;"C"&amp;$A15)+100*RTD("tos.rtd",,"OPEN_INT","."&amp;V$2&amp;V$1&amp;"P"&amp;$A15)*RTD("tos.rtd",,"LAST","."&amp;V$2&amp;V$1&amp;"P"&amp;$A15))/1000000,(100*RTD("tos.rtd",,"OPEN_INT","."&amp;V$2&amp;V$1&amp;"C"&amp;$A15)*RTD("tos.rtd",,"LAST","."&amp;V$2&amp;V$1&amp;"C"&amp;$A15)-100*RTD("tos.rtd",,"OPEN_INT","."&amp;V$2&amp;V$1&amp;"P"&amp;$A15)*RTD("tos.rtd",,"LAST","."&amp;V$2&amp;V$1&amp;"P"&amp;$A15))/1000000),0),IF($A$2="PREMIUM",IFERROR(IF($X$1="ABS",(100*RTD("tos.rtd",,"VOLUME","."&amp;V$2&amp;V$1&amp;"C"&amp;$A15)*RTD("tos.rtd",,"LAST","."&amp;V$2&amp;V$1&amp;"C"&amp;$A15)+100*RTD("tos.rtd",,"VOLUME","."&amp;V$2&amp;V$1&amp;"P"&amp;$A15)*RTD("tos.rtd",,"LAST","."&amp;V$2&amp;V$1&amp;"P"&amp;$A15))/1000000,(100*RTD("tos.rtd",,"VOLUME","."&amp;V$2&amp;V$1&amp;"C"&amp;$A15)*RTD("tos.rtd",,"LAST","."&amp;V$2&amp;V$1&amp;"C"&amp;$A15)-100*RTD("tos.rtd",,"VOLUME","."&amp;V$2&amp;V$1&amp;"P"&amp;$A15)*RTD("tos.rtd",,"LAST","."&amp;V$2&amp;V$1&amp;"P"&amp;$A15))/1000000),0),IF($A$2="DEX",IFERROR(IF($X$1="ABS",(100*RTD("tos.rtd",,"OPEN_INT","."&amp;V$2&amp;V$1&amp;"C"&amp;$A15)*RTD("tos.rtd",,"DELTA","."&amp;V$2&amp;V$1&amp;"C"&amp;$A15)+100*RTD("tos.rtd",,"OPEN_INT","."&amp;V$2&amp;V$1&amp;"P"&amp;$A15)*RTD("tos.rtd",,"DELTA","."&amp;V$2&amp;V$1&amp;"P"&amp;$A15))/1000,(100*RTD("tos.rtd",,"OPEN_INT","."&amp;V$2&amp;V$1&amp;"C"&amp;$A15)*RTD("tos.rtd",,"DELTA","."&amp;V$2&amp;V$1&amp;"C"&amp;$A15)-100*RTD("tos.rtd",,"OPEN_INT","."&amp;V$2&amp;V$1&amp;"P"&amp;$A15)*RTD("tos.rtd",,"DELTA","."&amp;V$2&amp;V$1&amp;"P"&amp;$A15))/1000),0),IF($A$2="VEX",IFERROR(IF($X$1="ABS",($A$4*$A$4*RTD("tos.rtd",,"VOLUME","."&amp;V$2&amp;V$1&amp;"C"&amp;$A15)*RTD("tos.rtd",,"GAMMA","."&amp;V$2&amp;V$1&amp;"C"&amp;$A15)+$A$4*$A$4*RTD("tos.rtd",,"VOLUME","."&amp;V$2&amp;V$1&amp;"P"&amp;$A15)*RTD("tos.rtd",,"GAMMA","."&amp;V$2&amp;V$1&amp;"P"&amp;$A15))/1000000,($A$4*$A$4*RTD("tos.rtd",,"VOLUME","."&amp;V$2&amp;V$1&amp;"C"&amp;$A15)*RTD("tos.rtd",,"GAMMA","."&amp;V$2&amp;V$1&amp;"C"&amp;$A15)-$A$4*$A$4*RTD("tos.rtd",,"VOLUME","."&amp;V$2&amp;V$1&amp;"P"&amp;$A15)*RTD("tos.rtd",,"GAMMA","."&amp;V$2&amp;V$1&amp;"P"&amp;$A15))/1000000),0),IF($A$2="GEX",IFERROR(IF($X$1="ABS",($A$4*$A$4*RTD("tos.rtd",,"OPEN_INT","."&amp;V$2&amp;V$1&amp;"C"&amp;$A15)*RTD("tos.rtd",,"GAMMA","."&amp;V$2&amp;V$1&amp;"C"&amp;$A15)+$A$4*$A$4*RTD("tos.rtd",,"OPEN_INT","."&amp;V$2&amp;V$1&amp;"P"&amp;$A15)*RTD("tos.rtd",,"GAMMA","."&amp;V$2&amp;V$1&amp;"P"&amp;$A15))/1000000,($A$4*$A$4*RTD("tos.rtd",,"OPEN_INT","."&amp;V$2&amp;V$1&amp;"C"&amp;$A15)*RTD("tos.rtd",,"GAMMA","."&amp;V$2&amp;V$1&amp;"C"&amp;$A15)-$A$4*$A$4*RTD("tos.rtd",,"OPEN_INT","."&amp;V$2&amp;V$1&amp;"P"&amp;$A15)*RTD("tos.rtd",,"GAMMA","."&amp;V$2&amp;V$1&amp;"P"&amp;$A15))/1000000),0),IF($A$2="SKEW",IFERROR(VALUE(IF(RTD("tos.rtd",,"IMPL_VOL","."&amp;V$2&amp;V$1&amp;"P"&amp;$A15)="N/A",0,RTD("tos.rtd",,"IMPL_VOL","."&amp;V$2&amp;V$1&amp;"P"&amp;$A15))),0)-IFERROR(VALUE(IF(RTD("tos.rtd",,"IMPL_VOL","."&amp;V$2&amp;V$1&amp;"C"&amp;$A15)="N/A",0,RTD("tos.rtd",,"IMPL_VOL","."&amp;V$2&amp;V$1&amp;"C"&amp;$A15))),0),IF($A$2="MAXPAIN",IF($A$4&gt;$A15,($A$4-$A15)*IF(RTD("tos.rtd",,"OPEN_INT","."&amp;V$2&amp;V$1&amp;"C"&amp;$A15)="N/A",0,RTD("tos.rtd",,"OPEN_INT","."&amp;V$2&amp;V$1&amp;"C"&amp;$A15)),0)+IF($A$4&lt;$A15,($A$5-$A$4)*IF(RTD("tos.rtd",,"OPEN_INT","."&amp;V$2&amp;V$1&amp;"P"&amp;$A15)="N/A",0,RTD("tos.rtd",,"OPEN_INT","."&amp;V$2&amp;V$1&amp;"P"&amp;$A15)),0),IF($X$1="ABS",IF(RTD("tos.rtd",,$A$2,"."&amp;V$2&amp;V$1&amp;"C"&amp;$A15)="N/A",0,RTD("tos.rtd",,$A$2,"."&amp;V$2&amp;V$1&amp;"C"&amp;$A15))+IF(RTD("tos.rtd",,$A$2,"."&amp;V$2&amp;V$1&amp;"P"&amp;$A15)="N/A",0,RTD("tos.rtd",,$A$2,"."&amp;V$2&amp;V$1&amp;"P"&amp;$A15)),IF(RTD("tos.rtd",,$A$2,"."&amp;V$2&amp;V$1&amp;"C"&amp;$A15)="N/A",0,RTD("tos.rtd",,$A$2,"."&amp;V$2&amp;V$1&amp;"C"&amp;$A15))-IF(RTD("tos.rtd",,$A$2,"."&amp;V$2&amp;V$1&amp;"P"&amp;$A15)="N/A",0,RTD("tos.rtd",,$A$2,"."&amp;V$2&amp;V$1&amp;"P"&amp;$A15))))))))))</f>
        <v>0</v>
      </c>
      <c r="W15" s="54">
        <f ca="1">IF($A$2="PREMIUM_OI",IFERROR(IF($X$1="ABS",(100*RTD("tos.rtd",,"OPEN_INT","."&amp;W$2&amp;W$1&amp;"C"&amp;$A15)*RTD("tos.rtd",,"LAST","."&amp;W$2&amp;W$1&amp;"C"&amp;$A15)+100*RTD("tos.rtd",,"OPEN_INT","."&amp;W$2&amp;W$1&amp;"P"&amp;$A15)*RTD("tos.rtd",,"LAST","."&amp;W$2&amp;W$1&amp;"P"&amp;$A15))/1000000,(100*RTD("tos.rtd",,"OPEN_INT","."&amp;W$2&amp;W$1&amp;"C"&amp;$A15)*RTD("tos.rtd",,"LAST","."&amp;W$2&amp;W$1&amp;"C"&amp;$A15)-100*RTD("tos.rtd",,"OPEN_INT","."&amp;W$2&amp;W$1&amp;"P"&amp;$A15)*RTD("tos.rtd",,"LAST","."&amp;W$2&amp;W$1&amp;"P"&amp;$A15))/1000000),0),IF($A$2="PREMIUM",IFERROR(IF($X$1="ABS",(100*RTD("tos.rtd",,"VOLUME","."&amp;W$2&amp;W$1&amp;"C"&amp;$A15)*RTD("tos.rtd",,"LAST","."&amp;W$2&amp;W$1&amp;"C"&amp;$A15)+100*RTD("tos.rtd",,"VOLUME","."&amp;W$2&amp;W$1&amp;"P"&amp;$A15)*RTD("tos.rtd",,"LAST","."&amp;W$2&amp;W$1&amp;"P"&amp;$A15))/1000000,(100*RTD("tos.rtd",,"VOLUME","."&amp;W$2&amp;W$1&amp;"C"&amp;$A15)*RTD("tos.rtd",,"LAST","."&amp;W$2&amp;W$1&amp;"C"&amp;$A15)-100*RTD("tos.rtd",,"VOLUME","."&amp;W$2&amp;W$1&amp;"P"&amp;$A15)*RTD("tos.rtd",,"LAST","."&amp;W$2&amp;W$1&amp;"P"&amp;$A15))/1000000),0),IF($A$2="DEX",IFERROR(IF($X$1="ABS",(100*RTD("tos.rtd",,"OPEN_INT","."&amp;W$2&amp;W$1&amp;"C"&amp;$A15)*RTD("tos.rtd",,"DELTA","."&amp;W$2&amp;W$1&amp;"C"&amp;$A15)+100*RTD("tos.rtd",,"OPEN_INT","."&amp;W$2&amp;W$1&amp;"P"&amp;$A15)*RTD("tos.rtd",,"DELTA","."&amp;W$2&amp;W$1&amp;"P"&amp;$A15))/1000,(100*RTD("tos.rtd",,"OPEN_INT","."&amp;W$2&amp;W$1&amp;"C"&amp;$A15)*RTD("tos.rtd",,"DELTA","."&amp;W$2&amp;W$1&amp;"C"&amp;$A15)-100*RTD("tos.rtd",,"OPEN_INT","."&amp;W$2&amp;W$1&amp;"P"&amp;$A15)*RTD("tos.rtd",,"DELTA","."&amp;W$2&amp;W$1&amp;"P"&amp;$A15))/1000),0),IF($A$2="VEX",IFERROR(IF($X$1="ABS",($A$4*$A$4*RTD("tos.rtd",,"VOLUME","."&amp;W$2&amp;W$1&amp;"C"&amp;$A15)*RTD("tos.rtd",,"GAMMA","."&amp;W$2&amp;W$1&amp;"C"&amp;$A15)+$A$4*$A$4*RTD("tos.rtd",,"VOLUME","."&amp;W$2&amp;W$1&amp;"P"&amp;$A15)*RTD("tos.rtd",,"GAMMA","."&amp;W$2&amp;W$1&amp;"P"&amp;$A15))/1000000,($A$4*$A$4*RTD("tos.rtd",,"VOLUME","."&amp;W$2&amp;W$1&amp;"C"&amp;$A15)*RTD("tos.rtd",,"GAMMA","."&amp;W$2&amp;W$1&amp;"C"&amp;$A15)-$A$4*$A$4*RTD("tos.rtd",,"VOLUME","."&amp;W$2&amp;W$1&amp;"P"&amp;$A15)*RTD("tos.rtd",,"GAMMA","."&amp;W$2&amp;W$1&amp;"P"&amp;$A15))/1000000),0),IF($A$2="GEX",IFERROR(IF($X$1="ABS",($A$4*$A$4*RTD("tos.rtd",,"OPEN_INT","."&amp;W$2&amp;W$1&amp;"C"&amp;$A15)*RTD("tos.rtd",,"GAMMA","."&amp;W$2&amp;W$1&amp;"C"&amp;$A15)+$A$4*$A$4*RTD("tos.rtd",,"OPEN_INT","."&amp;W$2&amp;W$1&amp;"P"&amp;$A15)*RTD("tos.rtd",,"GAMMA","."&amp;W$2&amp;W$1&amp;"P"&amp;$A15))/1000000,($A$4*$A$4*RTD("tos.rtd",,"OPEN_INT","."&amp;W$2&amp;W$1&amp;"C"&amp;$A15)*RTD("tos.rtd",,"GAMMA","."&amp;W$2&amp;W$1&amp;"C"&amp;$A15)-$A$4*$A$4*RTD("tos.rtd",,"OPEN_INT","."&amp;W$2&amp;W$1&amp;"P"&amp;$A15)*RTD("tos.rtd",,"GAMMA","."&amp;W$2&amp;W$1&amp;"P"&amp;$A15))/1000000),0),IF($A$2="SKEW",IFERROR(VALUE(IF(RTD("tos.rtd",,"IMPL_VOL","."&amp;W$2&amp;W$1&amp;"P"&amp;$A15)="N/A",0,RTD("tos.rtd",,"IMPL_VOL","."&amp;W$2&amp;W$1&amp;"P"&amp;$A15))),0)-IFERROR(VALUE(IF(RTD("tos.rtd",,"IMPL_VOL","."&amp;W$2&amp;W$1&amp;"C"&amp;$A15)="N/A",0,RTD("tos.rtd",,"IMPL_VOL","."&amp;W$2&amp;W$1&amp;"C"&amp;$A15))),0),IF($A$2="MAXPAIN",IF($A$4&gt;$A15,($A$4-$A15)*IF(RTD("tos.rtd",,"OPEN_INT","."&amp;W$2&amp;W$1&amp;"C"&amp;$A15)="N/A",0,RTD("tos.rtd",,"OPEN_INT","."&amp;W$2&amp;W$1&amp;"C"&amp;$A15)),0)+IF($A$4&lt;$A15,($A$5-$A$4)*IF(RTD("tos.rtd",,"OPEN_INT","."&amp;W$2&amp;W$1&amp;"P"&amp;$A15)="N/A",0,RTD("tos.rtd",,"OPEN_INT","."&amp;W$2&amp;W$1&amp;"P"&amp;$A15)),0),IF($X$1="ABS",IF(RTD("tos.rtd",,$A$2,"."&amp;W$2&amp;W$1&amp;"C"&amp;$A15)="N/A",0,RTD("tos.rtd",,$A$2,"."&amp;W$2&amp;W$1&amp;"C"&amp;$A15))+IF(RTD("tos.rtd",,$A$2,"."&amp;W$2&amp;W$1&amp;"P"&amp;$A15)="N/A",0,RTD("tos.rtd",,$A$2,"."&amp;W$2&amp;W$1&amp;"P"&amp;$A15)),IF(RTD("tos.rtd",,$A$2,"."&amp;W$2&amp;W$1&amp;"C"&amp;$A15)="N/A",0,RTD("tos.rtd",,$A$2,"."&amp;W$2&amp;W$1&amp;"C"&amp;$A15))-IF(RTD("tos.rtd",,$A$2,"."&amp;W$2&amp;W$1&amp;"P"&amp;$A15)="N/A",0,RTD("tos.rtd",,$A$2,"."&amp;W$2&amp;W$1&amp;"P"&amp;$A15))))))))))</f>
        <v>0</v>
      </c>
      <c r="X15" s="57">
        <f t="shared" ca="1" si="8"/>
        <v>0</v>
      </c>
      <c r="Y15" s="27">
        <f t="shared" ca="1" si="9"/>
        <v>0</v>
      </c>
      <c r="Z15" s="27">
        <f ca="1">+'OI-VOL'!Y15</f>
        <v>0</v>
      </c>
      <c r="AA15" s="27" t="b">
        <f t="shared" ca="1" si="10"/>
        <v>0</v>
      </c>
      <c r="AB15" s="27">
        <f t="shared" si="11"/>
        <v>158717900</v>
      </c>
      <c r="AC15" s="18">
        <f>MAX(0, $A15-AC$4)*IF(RTD("tos.rtd",,"OPEN_INT","."&amp;$AB$3&amp;$AB$4&amp;"C"&amp;AC$4)="N/A",0,RTD("tos.rtd",,"OPEN_INT","."&amp;$AB$3&amp;$AB$4&amp;"C"&amp;AC$4))*100 + MAX(0, AC$4-$A15)*IF(RTD("tos.rtd",,"OPEN_INT","."&amp;$AB$3&amp;$AB$4&amp;"P"&amp;AC$4)="N/A",0,RTD("tos.rtd",,"OPEN_INT","."&amp;$AB$3&amp;$AB$4&amp;"P"&amp;AC$4))*100</f>
        <v>0</v>
      </c>
      <c r="AD15" s="18">
        <f>MAX(0, $A15-AD$4)*IF(RTD("tos.rtd",,"OPEN_INT","."&amp;$AB$3&amp;$AB$4&amp;"C"&amp;AD$4)="N/A",0,RTD("tos.rtd",,"OPEN_INT","."&amp;$AB$3&amp;$AB$4&amp;"C"&amp;AD$4))*100 + MAX(0, AD$4-$A15)*IF(RTD("tos.rtd",,"OPEN_INT","."&amp;$AB$3&amp;$AB$4&amp;"P"&amp;AD$4)="N/A",0,RTD("tos.rtd",,"OPEN_INT","."&amp;$AB$3&amp;$AB$4&amp;"P"&amp;AD$4))*100</f>
        <v>0</v>
      </c>
      <c r="AE15" s="18">
        <f>MAX(0, $A15-AE$4)*IF(RTD("tos.rtd",,"OPEN_INT","."&amp;$AB$3&amp;$AB$4&amp;"C"&amp;AE$4)="N/A",0,RTD("tos.rtd",,"OPEN_INT","."&amp;$AB$3&amp;$AB$4&amp;"C"&amp;AE$4))*100 + MAX(0, AE$4-$A15)*IF(RTD("tos.rtd",,"OPEN_INT","."&amp;$AB$3&amp;$AB$4&amp;"P"&amp;AE$4)="N/A",0,RTD("tos.rtd",,"OPEN_INT","."&amp;$AB$3&amp;$AB$4&amp;"P"&amp;AE$4))*100</f>
        <v>0</v>
      </c>
      <c r="AF15" s="18">
        <f>MAX(0, $A15-AF$4)*IF(RTD("tos.rtd",,"OPEN_INT","."&amp;$AB$3&amp;$AB$4&amp;"C"&amp;AF$4)="N/A",0,RTD("tos.rtd",,"OPEN_INT","."&amp;$AB$3&amp;$AB$4&amp;"C"&amp;AF$4))*100 + MAX(0, AF$4-$A15)*IF(RTD("tos.rtd",,"OPEN_INT","."&amp;$AB$3&amp;$AB$4&amp;"P"&amp;AF$4)="N/A",0,RTD("tos.rtd",,"OPEN_INT","."&amp;$AB$3&amp;$AB$4&amp;"P"&amp;AF$4))*100</f>
        <v>0</v>
      </c>
      <c r="AG15" s="18">
        <f>MAX(0, $A15-AG$4)*IF(RTD("tos.rtd",,"OPEN_INT","."&amp;$AB$3&amp;$AB$4&amp;"C"&amp;AG$4)="N/A",0,RTD("tos.rtd",,"OPEN_INT","."&amp;$AB$3&amp;$AB$4&amp;"C"&amp;AG$4))*100 + MAX(0, AG$4-$A15)*IF(RTD("tos.rtd",,"OPEN_INT","."&amp;$AB$3&amp;$AB$4&amp;"P"&amp;AG$4)="N/A",0,RTD("tos.rtd",,"OPEN_INT","."&amp;$AB$3&amp;$AB$4&amp;"P"&amp;AG$4))*100</f>
        <v>0</v>
      </c>
      <c r="AH15" s="18">
        <f>MAX(0, $A15-AH$4)*IF(RTD("tos.rtd",,"OPEN_INT","."&amp;$AB$3&amp;$AB$4&amp;"C"&amp;AH$4)="N/A",0,RTD("tos.rtd",,"OPEN_INT","."&amp;$AB$3&amp;$AB$4&amp;"C"&amp;AH$4))*100 + MAX(0, AH$4-$A15)*IF(RTD("tos.rtd",,"OPEN_INT","."&amp;$AB$3&amp;$AB$4&amp;"P"&amp;AH$4)="N/A",0,RTD("tos.rtd",,"OPEN_INT","."&amp;$AB$3&amp;$AB$4&amp;"P"&amp;AH$4))*100</f>
        <v>0</v>
      </c>
      <c r="AI15" s="18">
        <f>MAX(0, $A15-AI$4)*IF(RTD("tos.rtd",,"OPEN_INT","."&amp;$AB$3&amp;$AB$4&amp;"C"&amp;AI$4)="N/A",0,RTD("tos.rtd",,"OPEN_INT","."&amp;$AB$3&amp;$AB$4&amp;"C"&amp;AI$4))*100 + MAX(0, AI$4-$A15)*IF(RTD("tos.rtd",,"OPEN_INT","."&amp;$AB$3&amp;$AB$4&amp;"P"&amp;AI$4)="N/A",0,RTD("tos.rtd",,"OPEN_INT","."&amp;$AB$3&amp;$AB$4&amp;"P"&amp;AI$4))*100</f>
        <v>0</v>
      </c>
      <c r="AJ15" s="18">
        <f>MAX(0, $A15-AJ$4)*IF(RTD("tos.rtd",,"OPEN_INT","."&amp;$AB$3&amp;$AB$4&amp;"C"&amp;AJ$4)="N/A",0,RTD("tos.rtd",,"OPEN_INT","."&amp;$AB$3&amp;$AB$4&amp;"C"&amp;AJ$4))*100 + MAX(0, AJ$4-$A15)*IF(RTD("tos.rtd",,"OPEN_INT","."&amp;$AB$3&amp;$AB$4&amp;"P"&amp;AJ$4)="N/A",0,RTD("tos.rtd",,"OPEN_INT","."&amp;$AB$3&amp;$AB$4&amp;"P"&amp;AJ$4))*100</f>
        <v>450</v>
      </c>
      <c r="AK15" s="18">
        <f>MAX(0, $A15-AK$4)*IF(RTD("tos.rtd",,"OPEN_INT","."&amp;$AB$3&amp;$AB$4&amp;"C"&amp;AK$4)="N/A",0,RTD("tos.rtd",,"OPEN_INT","."&amp;$AB$3&amp;$AB$4&amp;"C"&amp;AK$4))*100 + MAX(0, AK$4-$A15)*IF(RTD("tos.rtd",,"OPEN_INT","."&amp;$AB$3&amp;$AB$4&amp;"P"&amp;AK$4)="N/A",0,RTD("tos.rtd",,"OPEN_INT","."&amp;$AB$3&amp;$AB$4&amp;"P"&amp;AK$4))*100</f>
        <v>800</v>
      </c>
      <c r="AL15" s="18">
        <f>MAX(0, $A15-AL$4)*IF(RTD("tos.rtd",,"OPEN_INT","."&amp;$AB$3&amp;$AB$4&amp;"C"&amp;AL$4)="N/A",0,RTD("tos.rtd",,"OPEN_INT","."&amp;$AB$3&amp;$AB$4&amp;"C"&amp;AL$4))*100 + MAX(0, AL$4-$A15)*IF(RTD("tos.rtd",,"OPEN_INT","."&amp;$AB$3&amp;$AB$4&amp;"P"&amp;AL$4)="N/A",0,RTD("tos.rtd",,"OPEN_INT","."&amp;$AB$3&amp;$AB$4&amp;"P"&amp;AL$4))*100</f>
        <v>0</v>
      </c>
      <c r="AM15" s="18">
        <f>MAX(0, $A15-AM$4)*IF(RTD("tos.rtd",,"OPEN_INT","."&amp;$AB$3&amp;$AB$4&amp;"C"&amp;AM$4)="N/A",0,RTD("tos.rtd",,"OPEN_INT","."&amp;$AB$3&amp;$AB$4&amp;"C"&amp;AM$4))*100 + MAX(0, AM$4-$A15)*IF(RTD("tos.rtd",,"OPEN_INT","."&amp;$AB$3&amp;$AB$4&amp;"P"&amp;AM$4)="N/A",0,RTD("tos.rtd",,"OPEN_INT","."&amp;$AB$3&amp;$AB$4&amp;"P"&amp;AM$4))*100</f>
        <v>0</v>
      </c>
      <c r="AN15" s="18">
        <f>MAX(0, $A15-AN$4)*IF(RTD("tos.rtd",,"OPEN_INT","."&amp;$AB$3&amp;$AB$4&amp;"C"&amp;AN$4)="N/A",0,RTD("tos.rtd",,"OPEN_INT","."&amp;$AB$3&amp;$AB$4&amp;"C"&amp;AN$4))*100 + MAX(0, AN$4-$A15)*IF(RTD("tos.rtd",,"OPEN_INT","."&amp;$AB$3&amp;$AB$4&amp;"P"&amp;AN$4)="N/A",0,RTD("tos.rtd",,"OPEN_INT","."&amp;$AB$3&amp;$AB$4&amp;"P"&amp;AN$4))*100</f>
        <v>118250</v>
      </c>
      <c r="AO15" s="18">
        <f>MAX(0, $A15-AO$4)*IF(RTD("tos.rtd",,"OPEN_INT","."&amp;$AB$3&amp;$AB$4&amp;"C"&amp;AO$4)="N/A",0,RTD("tos.rtd",,"OPEN_INT","."&amp;$AB$3&amp;$AB$4&amp;"C"&amp;AO$4))*100 + MAX(0, AO$4-$A15)*IF(RTD("tos.rtd",,"OPEN_INT","."&amp;$AB$3&amp;$AB$4&amp;"P"&amp;AO$4)="N/A",0,RTD("tos.rtd",,"OPEN_INT","."&amp;$AB$3&amp;$AB$4&amp;"P"&amp;AO$4))*100</f>
        <v>0</v>
      </c>
      <c r="AP15" s="18">
        <f>MAX(0, $A15-AP$4)*IF(RTD("tos.rtd",,"OPEN_INT","."&amp;$AB$3&amp;$AB$4&amp;"C"&amp;AP$4)="N/A",0,RTD("tos.rtd",,"OPEN_INT","."&amp;$AB$3&amp;$AB$4&amp;"C"&amp;AP$4))*100 + MAX(0, AP$4-$A15)*IF(RTD("tos.rtd",,"OPEN_INT","."&amp;$AB$3&amp;$AB$4&amp;"P"&amp;AP$4)="N/A",0,RTD("tos.rtd",,"OPEN_INT","."&amp;$AB$3&amp;$AB$4&amp;"P"&amp;AP$4))*100</f>
        <v>103350</v>
      </c>
      <c r="AQ15" s="18">
        <f>MAX(0, $A15-AQ$4)*IF(RTD("tos.rtd",,"OPEN_INT","."&amp;$AB$3&amp;$AB$4&amp;"C"&amp;AQ$4)="N/A",0,RTD("tos.rtd",,"OPEN_INT","."&amp;$AB$3&amp;$AB$4&amp;"C"&amp;AQ$4))*100 + MAX(0, AQ$4-$A15)*IF(RTD("tos.rtd",,"OPEN_INT","."&amp;$AB$3&amp;$AB$4&amp;"P"&amp;AQ$4)="N/A",0,RTD("tos.rtd",,"OPEN_INT","."&amp;$AB$3&amp;$AB$4&amp;"P"&amp;AQ$4))*100</f>
        <v>0</v>
      </c>
      <c r="AR15" s="18">
        <f>MAX(0, $A15-AR$4)*IF(RTD("tos.rtd",,"OPEN_INT","."&amp;$AB$3&amp;$AB$4&amp;"C"&amp;AR$4)="N/A",0,RTD("tos.rtd",,"OPEN_INT","."&amp;$AB$3&amp;$AB$4&amp;"C"&amp;AR$4))*100 + MAX(0, AR$4-$A15)*IF(RTD("tos.rtd",,"OPEN_INT","."&amp;$AB$3&amp;$AB$4&amp;"P"&amp;AR$4)="N/A",0,RTD("tos.rtd",,"OPEN_INT","."&amp;$AB$3&amp;$AB$4&amp;"P"&amp;AR$4))*100</f>
        <v>160000</v>
      </c>
      <c r="AS15" s="18">
        <f>MAX(0, $A15-AS$4)*IF(RTD("tos.rtd",,"OPEN_INT","."&amp;$AB$3&amp;$AB$4&amp;"C"&amp;AS$4)="N/A",0,RTD("tos.rtd",,"OPEN_INT","."&amp;$AB$3&amp;$AB$4&amp;"C"&amp;AS$4))*100 + MAX(0, AS$4-$A15)*IF(RTD("tos.rtd",,"OPEN_INT","."&amp;$AB$3&amp;$AB$4&amp;"P"&amp;AS$4)="N/A",0,RTD("tos.rtd",,"OPEN_INT","."&amp;$AB$3&amp;$AB$4&amp;"P"&amp;AS$4))*100</f>
        <v>300</v>
      </c>
      <c r="AT15" s="18">
        <f>MAX(0, $A15-AT$4)*IF(RTD("tos.rtd",,"OPEN_INT","."&amp;$AB$3&amp;$AB$4&amp;"C"&amp;AT$4)="N/A",0,RTD("tos.rtd",,"OPEN_INT","."&amp;$AB$3&amp;$AB$4&amp;"C"&amp;AT$4))*100 + MAX(0, AT$4-$A15)*IF(RTD("tos.rtd",,"OPEN_INT","."&amp;$AB$3&amp;$AB$4&amp;"P"&amp;AT$4)="N/A",0,RTD("tos.rtd",,"OPEN_INT","."&amp;$AB$3&amp;$AB$4&amp;"P"&amp;AT$4))*100</f>
        <v>301700</v>
      </c>
      <c r="AU15" s="18">
        <f>MAX(0, $A15-AU$4)*IF(RTD("tos.rtd",,"OPEN_INT","."&amp;$AB$3&amp;$AB$4&amp;"C"&amp;AU$4)="N/A",0,RTD("tos.rtd",,"OPEN_INT","."&amp;$AB$3&amp;$AB$4&amp;"C"&amp;AU$4))*100 + MAX(0, AU$4-$A15)*IF(RTD("tos.rtd",,"OPEN_INT","."&amp;$AB$3&amp;$AB$4&amp;"P"&amp;AU$4)="N/A",0,RTD("tos.rtd",,"OPEN_INT","."&amp;$AB$3&amp;$AB$4&amp;"P"&amp;AU$4))*100</f>
        <v>560800</v>
      </c>
      <c r="AV15" s="18">
        <f>MAX(0, $A15-AV$4)*IF(RTD("tos.rtd",,"OPEN_INT","."&amp;$AB$3&amp;$AB$4&amp;"C"&amp;AV$4)="N/A",0,RTD("tos.rtd",,"OPEN_INT","."&amp;$AB$3&amp;$AB$4&amp;"C"&amp;AV$4))*100 + MAX(0, AV$4-$A15)*IF(RTD("tos.rtd",,"OPEN_INT","."&amp;$AB$3&amp;$AB$4&amp;"P"&amp;AV$4)="N/A",0,RTD("tos.rtd",,"OPEN_INT","."&amp;$AB$3&amp;$AB$4&amp;"P"&amp;AV$4))*100</f>
        <v>757350</v>
      </c>
      <c r="AW15" s="18">
        <f>MAX(0, $A15-AW$4)*IF(RTD("tos.rtd",,"OPEN_INT","."&amp;$AB$3&amp;$AB$4&amp;"C"&amp;AW$4)="N/A",0,RTD("tos.rtd",,"OPEN_INT","."&amp;$AB$3&amp;$AB$4&amp;"C"&amp;AW$4))*100 + MAX(0, AW$4-$A15)*IF(RTD("tos.rtd",,"OPEN_INT","."&amp;$AB$3&amp;$AB$4&amp;"P"&amp;AW$4)="N/A",0,RTD("tos.rtd",,"OPEN_INT","."&amp;$AB$3&amp;$AB$4&amp;"P"&amp;AW$4))*100</f>
        <v>944000</v>
      </c>
      <c r="AX15" s="18">
        <f>MAX(0, $A15-AX$4)*IF(RTD("tos.rtd",,"OPEN_INT","."&amp;$AB$3&amp;$AB$4&amp;"C"&amp;AX$4)="N/A",0,RTD("tos.rtd",,"OPEN_INT","."&amp;$AB$3&amp;$AB$4&amp;"C"&amp;AX$4))*100 + MAX(0, AX$4-$A15)*IF(RTD("tos.rtd",,"OPEN_INT","."&amp;$AB$3&amp;$AB$4&amp;"P"&amp;AX$4)="N/A",0,RTD("tos.rtd",,"OPEN_INT","."&amp;$AB$3&amp;$AB$4&amp;"P"&amp;AX$4))*100</f>
        <v>1691250</v>
      </c>
      <c r="AY15" s="18">
        <f>MAX(0, $A15-AY$4)*IF(RTD("tos.rtd",,"OPEN_INT","."&amp;$AB$3&amp;$AB$4&amp;"C"&amp;AY$4)="N/A",0,RTD("tos.rtd",,"OPEN_INT","."&amp;$AB$3&amp;$AB$4&amp;"C"&amp;AY$4))*100 + MAX(0, AY$4-$A15)*IF(RTD("tos.rtd",,"OPEN_INT","."&amp;$AB$3&amp;$AB$4&amp;"P"&amp;AY$4)="N/A",0,RTD("tos.rtd",,"OPEN_INT","."&amp;$AB$3&amp;$AB$4&amp;"P"&amp;AY$4))*100</f>
        <v>2551800</v>
      </c>
      <c r="AZ15" s="18">
        <f>MAX(0, $A15-AZ$4)*IF(RTD("tos.rtd",,"OPEN_INT","."&amp;$AB$3&amp;$AB$4&amp;"C"&amp;AZ$4)="N/A",0,RTD("tos.rtd",,"OPEN_INT","."&amp;$AB$3&amp;$AB$4&amp;"C"&amp;AZ$4))*100 + MAX(0, AZ$4-$A15)*IF(RTD("tos.rtd",,"OPEN_INT","."&amp;$AB$3&amp;$AB$4&amp;"P"&amp;AZ$4)="N/A",0,RTD("tos.rtd",,"OPEN_INT","."&amp;$AB$3&amp;$AB$4&amp;"P"&amp;AZ$4))*100</f>
        <v>12706200</v>
      </c>
      <c r="BA15" s="18">
        <f>MAX(0, $A15-BA$4)*IF(RTD("tos.rtd",,"OPEN_INT","."&amp;$AB$3&amp;$AB$4&amp;"C"&amp;BA$4)="N/A",0,RTD("tos.rtd",,"OPEN_INT","."&amp;$AB$3&amp;$AB$4&amp;"C"&amp;BA$4))*100 + MAX(0, BA$4-$A15)*IF(RTD("tos.rtd",,"OPEN_INT","."&amp;$AB$3&amp;$AB$4&amp;"P"&amp;BA$4)="N/A",0,RTD("tos.rtd",,"OPEN_INT","."&amp;$AB$3&amp;$AB$4&amp;"P"&amp;BA$4))*100</f>
        <v>6895000</v>
      </c>
      <c r="BB15" s="18">
        <f>MAX(0, $A15-BB$4)*IF(RTD("tos.rtd",,"OPEN_INT","."&amp;$AB$3&amp;$AB$4&amp;"C"&amp;BB$4)="N/A",0,RTD("tos.rtd",,"OPEN_INT","."&amp;$AB$3&amp;$AB$4&amp;"C"&amp;BB$4))*100 + MAX(0, BB$4-$A15)*IF(RTD("tos.rtd",,"OPEN_INT","."&amp;$AB$3&amp;$AB$4&amp;"P"&amp;BB$4)="N/A",0,RTD("tos.rtd",,"OPEN_INT","."&amp;$AB$3&amp;$AB$4&amp;"P"&amp;BB$4))*100</f>
        <v>23105250</v>
      </c>
      <c r="BC15" s="18">
        <f>MAX(0, $A15-BC$4)*IF(RTD("tos.rtd",,"OPEN_INT","."&amp;$AB$3&amp;$AB$4&amp;"C"&amp;BC$4)="N/A",0,RTD("tos.rtd",,"OPEN_INT","."&amp;$AB$3&amp;$AB$4&amp;"C"&amp;BC$4))*100 + MAX(0, BC$4-$A15)*IF(RTD("tos.rtd",,"OPEN_INT","."&amp;$AB$3&amp;$AB$4&amp;"P"&amp;BC$4)="N/A",0,RTD("tos.rtd",,"OPEN_INT","."&amp;$AB$3&amp;$AB$4&amp;"P"&amp;BC$4))*100</f>
        <v>22926400</v>
      </c>
      <c r="BD15" s="18">
        <f>MAX(0, $A15-BD$4)*IF(RTD("tos.rtd",,"OPEN_INT","."&amp;$AB$3&amp;$AB$4&amp;"C"&amp;BD$4)="N/A",0,RTD("tos.rtd",,"OPEN_INT","."&amp;$AB$3&amp;$AB$4&amp;"C"&amp;BD$4))*100 + MAX(0, BD$4-$A15)*IF(RTD("tos.rtd",,"OPEN_INT","."&amp;$AB$3&amp;$AB$4&amp;"P"&amp;BD$4)="N/A",0,RTD("tos.rtd",,"OPEN_INT","."&amp;$AB$3&amp;$AB$4&amp;"P"&amp;BD$4))*100</f>
        <v>34606050</v>
      </c>
      <c r="BE15" s="18">
        <f>MAX(0, $A15-BE$4)*IF(RTD("tos.rtd",,"OPEN_INT","."&amp;$AB$3&amp;$AB$4&amp;"C"&amp;BE$4)="N/A",0,RTD("tos.rtd",,"OPEN_INT","."&amp;$AB$3&amp;$AB$4&amp;"C"&amp;BE$4))*100 + MAX(0, BE$4-$A15)*IF(RTD("tos.rtd",,"OPEN_INT","."&amp;$AB$3&amp;$AB$4&amp;"P"&amp;BE$4)="N/A",0,RTD("tos.rtd",,"OPEN_INT","."&amp;$AB$3&amp;$AB$4&amp;"P"&amp;BE$4))*100</f>
        <v>16704000</v>
      </c>
      <c r="BF15" s="18">
        <f>MAX(0, $A15-BF$4)*IF(RTD("tos.rtd",,"OPEN_INT","."&amp;$AB$3&amp;$AB$4&amp;"C"&amp;BF$4)="N/A",0,RTD("tos.rtd",,"OPEN_INT","."&amp;$AB$3&amp;$AB$4&amp;"C"&amp;BF$4))*100 + MAX(0, BF$4-$A15)*IF(RTD("tos.rtd",,"OPEN_INT","."&amp;$AB$3&amp;$AB$4&amp;"P"&amp;BF$4)="N/A",0,RTD("tos.rtd",,"OPEN_INT","."&amp;$AB$3&amp;$AB$4&amp;"P"&amp;BF$4))*100</f>
        <v>16414100</v>
      </c>
      <c r="BG15" s="18">
        <f>MAX(0, $A15-BG$4)*IF(RTD("tos.rtd",,"OPEN_INT","."&amp;$AB$3&amp;$AB$4&amp;"C"&amp;BG$4)="N/A",0,RTD("tos.rtd",,"OPEN_INT","."&amp;$AB$3&amp;$AB$4&amp;"C"&amp;BG$4))*100 + MAX(0, BG$4-$A15)*IF(RTD("tos.rtd",,"OPEN_INT","."&amp;$AB$3&amp;$AB$4&amp;"P"&amp;BG$4)="N/A",0,RTD("tos.rtd",,"OPEN_INT","."&amp;$AB$3&amp;$AB$4&amp;"P"&amp;BG$4))*100</f>
        <v>8407000</v>
      </c>
      <c r="BH15" s="18">
        <f>MAX(0, $A15-BH$4)*IF(RTD("tos.rtd",,"OPEN_INT","."&amp;$AB$3&amp;$AB$4&amp;"C"&amp;BH$4)="N/A",0,RTD("tos.rtd",,"OPEN_INT","."&amp;$AB$3&amp;$AB$4&amp;"C"&amp;BH$4))*100 + MAX(0, BH$4-$A15)*IF(RTD("tos.rtd",,"OPEN_INT","."&amp;$AB$3&amp;$AB$4&amp;"P"&amp;BH$4)="N/A",0,RTD("tos.rtd",,"OPEN_INT","."&amp;$AB$3&amp;$AB$4&amp;"P"&amp;BH$4))*100</f>
        <v>6020700</v>
      </c>
      <c r="BI15" s="18">
        <f>MAX(0, $A15-BI$4)*IF(RTD("tos.rtd",,"OPEN_INT","."&amp;$AB$3&amp;$AB$4&amp;"C"&amp;BI$4)="N/A",0,RTD("tos.rtd",,"OPEN_INT","."&amp;$AB$3&amp;$AB$4&amp;"C"&amp;BI$4))*100 + MAX(0, BI$4-$A15)*IF(RTD("tos.rtd",,"OPEN_INT","."&amp;$AB$3&amp;$AB$4&amp;"P"&amp;BI$4)="N/A",0,RTD("tos.rtd",,"OPEN_INT","."&amp;$AB$3&amp;$AB$4&amp;"P"&amp;BI$4))*100</f>
        <v>2137300</v>
      </c>
      <c r="BJ15" s="18">
        <f>MAX(0, $A15-BJ$4)*IF(RTD("tos.rtd",,"OPEN_INT","."&amp;$AB$3&amp;$AB$4&amp;"C"&amp;BJ$4)="N/A",0,RTD("tos.rtd",,"OPEN_INT","."&amp;$AB$3&amp;$AB$4&amp;"C"&amp;BJ$4))*100 + MAX(0, BJ$4-$A15)*IF(RTD("tos.rtd",,"OPEN_INT","."&amp;$AB$3&amp;$AB$4&amp;"P"&amp;BJ$4)="N/A",0,RTD("tos.rtd",,"OPEN_INT","."&amp;$AB$3&amp;$AB$4&amp;"P"&amp;BJ$4))*100</f>
        <v>968300</v>
      </c>
      <c r="BK15" s="18">
        <f>MAX(0, $A15-BK$4)*IF(RTD("tos.rtd",,"OPEN_INT","."&amp;$AB$3&amp;$AB$4&amp;"C"&amp;BK$4)="N/A",0,RTD("tos.rtd",,"OPEN_INT","."&amp;$AB$3&amp;$AB$4&amp;"C"&amp;BK$4))*100 + MAX(0, BK$4-$A15)*IF(RTD("tos.rtd",,"OPEN_INT","."&amp;$AB$3&amp;$AB$4&amp;"P"&amp;BK$4)="N/A",0,RTD("tos.rtd",,"OPEN_INT","."&amp;$AB$3&amp;$AB$4&amp;"P"&amp;BK$4))*100</f>
        <v>181200</v>
      </c>
      <c r="BL15" s="18">
        <f>MAX(0, $A15-BL$4)*IF(RTD("tos.rtd",,"OPEN_INT","."&amp;$AB$3&amp;$AB$4&amp;"C"&amp;BL$4)="N/A",0,RTD("tos.rtd",,"OPEN_INT","."&amp;$AB$3&amp;$AB$4&amp;"C"&amp;BL$4))*100 + MAX(0, BL$4-$A15)*IF(RTD("tos.rtd",,"OPEN_INT","."&amp;$AB$3&amp;$AB$4&amp;"P"&amp;BL$4)="N/A",0,RTD("tos.rtd",,"OPEN_INT","."&amp;$AB$3&amp;$AB$4&amp;"P"&amp;BL$4))*100</f>
        <v>326250</v>
      </c>
      <c r="BM15" s="18">
        <f>MAX(0, $A15-BM$4)*IF(RTD("tos.rtd",,"OPEN_INT","."&amp;$AB$3&amp;$AB$4&amp;"C"&amp;BM$4)="N/A",0,RTD("tos.rtd",,"OPEN_INT","."&amp;$AB$3&amp;$AB$4&amp;"C"&amp;BM$4))*100 + MAX(0, BM$4-$A15)*IF(RTD("tos.rtd",,"OPEN_INT","."&amp;$AB$3&amp;$AB$4&amp;"P"&amp;BM$4)="N/A",0,RTD("tos.rtd",,"OPEN_INT","."&amp;$AB$3&amp;$AB$4&amp;"P"&amp;BM$4))*100</f>
        <v>20800</v>
      </c>
      <c r="BN15" s="18">
        <f>MAX(0, $A15-BN$4)*IF(RTD("tos.rtd",,"OPEN_INT","."&amp;$AB$3&amp;$AB$4&amp;"C"&amp;BN$4)="N/A",0,RTD("tos.rtd",,"OPEN_INT","."&amp;$AB$3&amp;$AB$4&amp;"C"&amp;BN$4))*100 + MAX(0, BN$4-$A15)*IF(RTD("tos.rtd",,"OPEN_INT","."&amp;$AB$3&amp;$AB$4&amp;"P"&amp;BN$4)="N/A",0,RTD("tos.rtd",,"OPEN_INT","."&amp;$AB$3&amp;$AB$4&amp;"P"&amp;BN$4))*100</f>
        <v>10800</v>
      </c>
      <c r="BO15" s="18">
        <f>MAX(0, $A15-BO$4)*IF(RTD("tos.rtd",,"OPEN_INT","."&amp;$AB$3&amp;$AB$4&amp;"C"&amp;BO$4)="N/A",0,RTD("tos.rtd",,"OPEN_INT","."&amp;$AB$3&amp;$AB$4&amp;"C"&amp;BO$4))*100 + MAX(0, BO$4-$A15)*IF(RTD("tos.rtd",,"OPEN_INT","."&amp;$AB$3&amp;$AB$4&amp;"P"&amp;BO$4)="N/A",0,RTD("tos.rtd",,"OPEN_INT","."&amp;$AB$3&amp;$AB$4&amp;"P"&amp;BO$4))*100</f>
        <v>43400</v>
      </c>
      <c r="BP15" s="18">
        <f>MAX(0, $A15-BP$4)*IF(RTD("tos.rtd",,"OPEN_INT","."&amp;$AB$3&amp;$AB$4&amp;"C"&amp;BP$4)="N/A",0,RTD("tos.rtd",,"OPEN_INT","."&amp;$AB$3&amp;$AB$4&amp;"C"&amp;BP$4))*100 + MAX(0, BP$4-$A15)*IF(RTD("tos.rtd",,"OPEN_INT","."&amp;$AB$3&amp;$AB$4&amp;"P"&amp;BP$4)="N/A",0,RTD("tos.rtd",,"OPEN_INT","."&amp;$AB$3&amp;$AB$4&amp;"P"&amp;BP$4))*100</f>
        <v>55100</v>
      </c>
      <c r="BQ15" s="18">
        <f>MAX(0, $A15-BQ$4)*IF(RTD("tos.rtd",,"OPEN_INT","."&amp;$AB$3&amp;$AB$4&amp;"C"&amp;BQ$4)="N/A",0,RTD("tos.rtd",,"OPEN_INT","."&amp;$AB$3&amp;$AB$4&amp;"C"&amp;BQ$4))*100 + MAX(0, BQ$4-$A15)*IF(RTD("tos.rtd",,"OPEN_INT","."&amp;$AB$3&amp;$AB$4&amp;"P"&amp;BQ$4)="N/A",0,RTD("tos.rtd",,"OPEN_INT","."&amp;$AB$3&amp;$AB$4&amp;"P"&amp;BQ$4))*100</f>
        <v>0</v>
      </c>
      <c r="BR15" s="18">
        <f>MAX(0, $A15-BR$4)*IF(RTD("tos.rtd",,"OPEN_INT","."&amp;$AB$3&amp;$AB$4&amp;"C"&amp;BR$4)="N/A",0,RTD("tos.rtd",,"OPEN_INT","."&amp;$AB$3&amp;$AB$4&amp;"C"&amp;BR$4))*100 + MAX(0, BR$4-$A15)*IF(RTD("tos.rtd",,"OPEN_INT","."&amp;$AB$3&amp;$AB$4&amp;"P"&amp;BR$4)="N/A",0,RTD("tos.rtd",,"OPEN_INT","."&amp;$AB$3&amp;$AB$4&amp;"P"&amp;BR$4))*100</f>
        <v>0</v>
      </c>
      <c r="BS15" s="18">
        <f>MAX(0, $A15-BS$4)*IF(RTD("tos.rtd",,"OPEN_INT","."&amp;$AB$3&amp;$AB$4&amp;"C"&amp;BS$4)="N/A",0,RTD("tos.rtd",,"OPEN_INT","."&amp;$AB$3&amp;$AB$4&amp;"C"&amp;BS$4))*100 + MAX(0, BS$4-$A15)*IF(RTD("tos.rtd",,"OPEN_INT","."&amp;$AB$3&amp;$AB$4&amp;"P"&amp;BS$4)="N/A",0,RTD("tos.rtd",,"OPEN_INT","."&amp;$AB$3&amp;$AB$4&amp;"P"&amp;BS$4))*100</f>
        <v>0</v>
      </c>
      <c r="BT15" s="18">
        <f>MAX(0, $A15-BT$4)*IF(RTD("tos.rtd",,"OPEN_INT","."&amp;$AB$3&amp;$AB$4&amp;"C"&amp;BT$4)="N/A",0,RTD("tos.rtd",,"OPEN_INT","."&amp;$AB$3&amp;$AB$4&amp;"C"&amp;BT$4))*100 + MAX(0, BT$4-$A15)*IF(RTD("tos.rtd",,"OPEN_INT","."&amp;$AB$3&amp;$AB$4&amp;"P"&amp;BT$4)="N/A",0,RTD("tos.rtd",,"OPEN_INT","."&amp;$AB$3&amp;$AB$4&amp;"P"&amp;BT$4))*100</f>
        <v>0</v>
      </c>
      <c r="BU15" s="18">
        <f>MAX(0, $A15-BU$4)*IF(RTD("tos.rtd",,"OPEN_INT","."&amp;$AB$3&amp;$AB$4&amp;"C"&amp;BU$4)="N/A",0,RTD("tos.rtd",,"OPEN_INT","."&amp;$AB$3&amp;$AB$4&amp;"C"&amp;BU$4))*100 + MAX(0, BU$4-$A15)*IF(RTD("tos.rtd",,"OPEN_INT","."&amp;$AB$3&amp;$AB$4&amp;"P"&amp;BU$4)="N/A",0,RTD("tos.rtd",,"OPEN_INT","."&amp;$AB$3&amp;$AB$4&amp;"P"&amp;BU$4))*100</f>
        <v>0</v>
      </c>
      <c r="BV15" s="18">
        <f>MAX(0, $A15-BV$4)*IF(RTD("tos.rtd",,"OPEN_INT","."&amp;$AB$3&amp;$AB$4&amp;"C"&amp;BV$4)="N/A",0,RTD("tos.rtd",,"OPEN_INT","."&amp;$AB$3&amp;$AB$4&amp;"C"&amp;BV$4))*100 + MAX(0, BV$4-$A15)*IF(RTD("tos.rtd",,"OPEN_INT","."&amp;$AB$3&amp;$AB$4&amp;"P"&amp;BV$4)="N/A",0,RTD("tos.rtd",,"OPEN_INT","."&amp;$AB$3&amp;$AB$4&amp;"P"&amp;BV$4))*100</f>
        <v>0</v>
      </c>
      <c r="BW15" s="18">
        <f>MAX(0, $A15-BW$4)*IF(RTD("tos.rtd",,"OPEN_INT","."&amp;$AB$3&amp;$AB$4&amp;"C"&amp;BW$4)="N/A",0,RTD("tos.rtd",,"OPEN_INT","."&amp;$AB$3&amp;$AB$4&amp;"C"&amp;BW$4))*100 + MAX(0, BW$4-$A15)*IF(RTD("tos.rtd",,"OPEN_INT","."&amp;$AB$3&amp;$AB$4&amp;"P"&amp;BW$4)="N/A",0,RTD("tos.rtd",,"OPEN_INT","."&amp;$AB$3&amp;$AB$4&amp;"P"&amp;BW$4))*100</f>
        <v>0</v>
      </c>
    </row>
    <row r="16" spans="1:75" s="19" customFormat="1" ht="11.1" customHeight="1" thickBot="1" x14ac:dyDescent="0.3">
      <c r="A16" s="23">
        <f t="shared" si="7"/>
        <v>16</v>
      </c>
      <c r="B16" s="14">
        <f ca="1">IF($A$2="PREMIUM_OI",IFERROR(IF($X$1="ABS",(100*RTD("tos.rtd",,"OPEN_INT","."&amp;B$2&amp;B$1&amp;"C"&amp;$A16)*RTD("tos.rtd",,"LAST","."&amp;B$2&amp;B$1&amp;"C"&amp;$A16)+100*RTD("tos.rtd",,"OPEN_INT","."&amp;B$2&amp;B$1&amp;"P"&amp;$A16)*RTD("tos.rtd",,"LAST","."&amp;B$2&amp;B$1&amp;"P"&amp;$A16))/1000000,(100*RTD("tos.rtd",,"OPEN_INT","."&amp;B$2&amp;B$1&amp;"C"&amp;$A16)*RTD("tos.rtd",,"LAST","."&amp;B$2&amp;B$1&amp;"C"&amp;$A16)-100*RTD("tos.rtd",,"OPEN_INT","."&amp;B$2&amp;B$1&amp;"P"&amp;$A16)*RTD("tos.rtd",,"LAST","."&amp;B$2&amp;B$1&amp;"P"&amp;$A16))/1000000),0),IF($A$2="PREMIUM",IFERROR(IF($X$1="ABS",(100*RTD("tos.rtd",,"VOLUME","."&amp;B$2&amp;B$1&amp;"C"&amp;$A16)*RTD("tos.rtd",,"LAST","."&amp;B$2&amp;B$1&amp;"C"&amp;$A16)+100*RTD("tos.rtd",,"VOLUME","."&amp;B$2&amp;B$1&amp;"P"&amp;$A16)*RTD("tos.rtd",,"LAST","."&amp;B$2&amp;B$1&amp;"P"&amp;$A16))/1000000,(100*RTD("tos.rtd",,"VOLUME","."&amp;B$2&amp;B$1&amp;"C"&amp;$A16)*RTD("tos.rtd",,"LAST","."&amp;B$2&amp;B$1&amp;"C"&amp;$A16)-100*RTD("tos.rtd",,"VOLUME","."&amp;B$2&amp;B$1&amp;"P"&amp;$A16)*RTD("tos.rtd",,"LAST","."&amp;B$2&amp;B$1&amp;"P"&amp;$A16))/1000000),0),IF($A$2="DEX",IFERROR(IF($X$1="ABS",(100*RTD("tos.rtd",,"OPEN_INT","."&amp;B$2&amp;B$1&amp;"C"&amp;$A16)*RTD("tos.rtd",,"DELTA","."&amp;B$2&amp;B$1&amp;"C"&amp;$A16)+100*RTD("tos.rtd",,"OPEN_INT","."&amp;B$2&amp;B$1&amp;"P"&amp;$A16)*RTD("tos.rtd",,"DELTA","."&amp;B$2&amp;B$1&amp;"P"&amp;$A16))/1000,(100*RTD("tos.rtd",,"OPEN_INT","."&amp;B$2&amp;B$1&amp;"C"&amp;$A16)*RTD("tos.rtd",,"DELTA","."&amp;B$2&amp;B$1&amp;"C"&amp;$A16)-100*RTD("tos.rtd",,"OPEN_INT","."&amp;B$2&amp;B$1&amp;"P"&amp;$A16)*RTD("tos.rtd",,"DELTA","."&amp;B$2&amp;B$1&amp;"P"&amp;$A16))/1000),0),IF($A$2="VEX",IFERROR(IF($X$1="ABS",($A$4*$A$4*RTD("tos.rtd",,"VOLUME","."&amp;B$2&amp;B$1&amp;"C"&amp;$A16)*RTD("tos.rtd",,"GAMMA","."&amp;B$2&amp;B$1&amp;"C"&amp;$A16)+$A$4*$A$4*RTD("tos.rtd",,"VOLUME","."&amp;B$2&amp;B$1&amp;"P"&amp;$A16)*RTD("tos.rtd",,"GAMMA","."&amp;B$2&amp;B$1&amp;"P"&amp;$A16))/1000000,($A$4*$A$4*RTD("tos.rtd",,"VOLUME","."&amp;B$2&amp;B$1&amp;"C"&amp;$A16)*RTD("tos.rtd",,"GAMMA","."&amp;B$2&amp;B$1&amp;"C"&amp;$A16)-$A$4*$A$4*RTD("tos.rtd",,"VOLUME","."&amp;B$2&amp;B$1&amp;"P"&amp;$A16)*RTD("tos.rtd",,"GAMMA","."&amp;B$2&amp;B$1&amp;"P"&amp;$A16))/1000000),0),IF($A$2="GEX",IFERROR(IF($X$1="ABS",($A$4*$A$4*RTD("tos.rtd",,"OPEN_INT","."&amp;B$2&amp;B$1&amp;"C"&amp;$A16)*RTD("tos.rtd",,"GAMMA","."&amp;B$2&amp;B$1&amp;"C"&amp;$A16)+$A$4*$A$4*RTD("tos.rtd",,"OPEN_INT","."&amp;B$2&amp;B$1&amp;"P"&amp;$A16)*RTD("tos.rtd",,"GAMMA","."&amp;B$2&amp;B$1&amp;"P"&amp;$A16))/1000000,($A$4*$A$4*RTD("tos.rtd",,"OPEN_INT","."&amp;B$2&amp;B$1&amp;"C"&amp;$A16)*RTD("tos.rtd",,"GAMMA","."&amp;B$2&amp;B$1&amp;"C"&amp;$A16)-$A$4*$A$4*RTD("tos.rtd",,"OPEN_INT","."&amp;B$2&amp;B$1&amp;"P"&amp;$A16)*RTD("tos.rtd",,"GAMMA","."&amp;B$2&amp;B$1&amp;"P"&amp;$A16))/1000000),0),IF($A$2="SKEW",IFERROR(VALUE(IF(RTD("tos.rtd",,"IMPL_VOL","."&amp;B$2&amp;B$1&amp;"P"&amp;$A16)="N/A",0,RTD("tos.rtd",,"IMPL_VOL","."&amp;B$2&amp;B$1&amp;"P"&amp;$A16))),0)-IFERROR(VALUE(IF(RTD("tos.rtd",,"IMPL_VOL","."&amp;B$2&amp;B$1&amp;"C"&amp;$A16)="N/A",0,RTD("tos.rtd",,"IMPL_VOL","."&amp;B$2&amp;B$1&amp;"C"&amp;$A16))),0),IF($A$2="MAXPAIN",IF($A$4&gt;$A16,($A$4-$A16)*IF(RTD("tos.rtd",,"OPEN_INT","."&amp;B$2&amp;B$1&amp;"C"&amp;$A16)="N/A",0,RTD("tos.rtd",,"OPEN_INT","."&amp;B$2&amp;B$1&amp;"C"&amp;$A16)),0)+IF($A$4&lt;$A16,($A$5-$A$4)*IF(RTD("tos.rtd",,"OPEN_INT","."&amp;B$2&amp;B$1&amp;"P"&amp;$A16)="N/A",0,RTD("tos.rtd",,"OPEN_INT","."&amp;B$2&amp;B$1&amp;"P"&amp;$A16)),0),IF($X$1="ABS",IF(RTD("tos.rtd",,$A$2,"."&amp;B$2&amp;B$1&amp;"C"&amp;$A16)="N/A",0,RTD("tos.rtd",,$A$2,"."&amp;B$2&amp;B$1&amp;"C"&amp;$A16))+IF(RTD("tos.rtd",,$A$2,"."&amp;B$2&amp;B$1&amp;"P"&amp;$A16)="N/A",0,RTD("tos.rtd",,$A$2,"."&amp;B$2&amp;B$1&amp;"P"&amp;$A16)),IF(RTD("tos.rtd",,$A$2,"."&amp;B$2&amp;B$1&amp;"C"&amp;$A16)="N/A",0,RTD("tos.rtd",,$A$2,"."&amp;B$2&amp;B$1&amp;"C"&amp;$A16))-IF(RTD("tos.rtd",,$A$2,"."&amp;B$2&amp;B$1&amp;"P"&amp;$A16)="N/A",0,RTD("tos.rtd",,$A$2,"."&amp;B$2&amp;B$1&amp;"P"&amp;$A16))))))))))</f>
        <v>0</v>
      </c>
      <c r="C16" s="14">
        <f ca="1">IF($A$2="PREMIUM_OI",IFERROR(IF($X$1="ABS",(100*RTD("tos.rtd",,"OPEN_INT","."&amp;C$2&amp;C$1&amp;"C"&amp;$A16)*RTD("tos.rtd",,"LAST","."&amp;C$2&amp;C$1&amp;"C"&amp;$A16)+100*RTD("tos.rtd",,"OPEN_INT","."&amp;C$2&amp;C$1&amp;"P"&amp;$A16)*RTD("tos.rtd",,"LAST","."&amp;C$2&amp;C$1&amp;"P"&amp;$A16))/1000000,(100*RTD("tos.rtd",,"OPEN_INT","."&amp;C$2&amp;C$1&amp;"C"&amp;$A16)*RTD("tos.rtd",,"LAST","."&amp;C$2&amp;C$1&amp;"C"&amp;$A16)-100*RTD("tos.rtd",,"OPEN_INT","."&amp;C$2&amp;C$1&amp;"P"&amp;$A16)*RTD("tos.rtd",,"LAST","."&amp;C$2&amp;C$1&amp;"P"&amp;$A16))/1000000),0),IF($A$2="PREMIUM",IFERROR(IF($X$1="ABS",(100*RTD("tos.rtd",,"VOLUME","."&amp;C$2&amp;C$1&amp;"C"&amp;$A16)*RTD("tos.rtd",,"LAST","."&amp;C$2&amp;C$1&amp;"C"&amp;$A16)+100*RTD("tos.rtd",,"VOLUME","."&amp;C$2&amp;C$1&amp;"P"&amp;$A16)*RTD("tos.rtd",,"LAST","."&amp;C$2&amp;C$1&amp;"P"&amp;$A16))/1000000,(100*RTD("tos.rtd",,"VOLUME","."&amp;C$2&amp;C$1&amp;"C"&amp;$A16)*RTD("tos.rtd",,"LAST","."&amp;C$2&amp;C$1&amp;"C"&amp;$A16)-100*RTD("tos.rtd",,"VOLUME","."&amp;C$2&amp;C$1&amp;"P"&amp;$A16)*RTD("tos.rtd",,"LAST","."&amp;C$2&amp;C$1&amp;"P"&amp;$A16))/1000000),0),IF($A$2="DEX",IFERROR(IF($X$1="ABS",(100*RTD("tos.rtd",,"OPEN_INT","."&amp;C$2&amp;C$1&amp;"C"&amp;$A16)*RTD("tos.rtd",,"DELTA","."&amp;C$2&amp;C$1&amp;"C"&amp;$A16)+100*RTD("tos.rtd",,"OPEN_INT","."&amp;C$2&amp;C$1&amp;"P"&amp;$A16)*RTD("tos.rtd",,"DELTA","."&amp;C$2&amp;C$1&amp;"P"&amp;$A16))/1000,(100*RTD("tos.rtd",,"OPEN_INT","."&amp;C$2&amp;C$1&amp;"C"&amp;$A16)*RTD("tos.rtd",,"DELTA","."&amp;C$2&amp;C$1&amp;"C"&amp;$A16)-100*RTD("tos.rtd",,"OPEN_INT","."&amp;C$2&amp;C$1&amp;"P"&amp;$A16)*RTD("tos.rtd",,"DELTA","."&amp;C$2&amp;C$1&amp;"P"&amp;$A16))/1000),0),IF($A$2="VEX",IFERROR(IF($X$1="ABS",($A$4*$A$4*RTD("tos.rtd",,"VOLUME","."&amp;C$2&amp;C$1&amp;"C"&amp;$A16)*RTD("tos.rtd",,"GAMMA","."&amp;C$2&amp;C$1&amp;"C"&amp;$A16)+$A$4*$A$4*RTD("tos.rtd",,"VOLUME","."&amp;C$2&amp;C$1&amp;"P"&amp;$A16)*RTD("tos.rtd",,"GAMMA","."&amp;C$2&amp;C$1&amp;"P"&amp;$A16))/1000000,($A$4*$A$4*RTD("tos.rtd",,"VOLUME","."&amp;C$2&amp;C$1&amp;"C"&amp;$A16)*RTD("tos.rtd",,"GAMMA","."&amp;C$2&amp;C$1&amp;"C"&amp;$A16)-$A$4*$A$4*RTD("tos.rtd",,"VOLUME","."&amp;C$2&amp;C$1&amp;"P"&amp;$A16)*RTD("tos.rtd",,"GAMMA","."&amp;C$2&amp;C$1&amp;"P"&amp;$A16))/1000000),0),IF($A$2="GEX",IFERROR(IF($X$1="ABS",($A$4*$A$4*RTD("tos.rtd",,"OPEN_INT","."&amp;C$2&amp;C$1&amp;"C"&amp;$A16)*RTD("tos.rtd",,"GAMMA","."&amp;C$2&amp;C$1&amp;"C"&amp;$A16)+$A$4*$A$4*RTD("tos.rtd",,"OPEN_INT","."&amp;C$2&amp;C$1&amp;"P"&amp;$A16)*RTD("tos.rtd",,"GAMMA","."&amp;C$2&amp;C$1&amp;"P"&amp;$A16))/1000000,($A$4*$A$4*RTD("tos.rtd",,"OPEN_INT","."&amp;C$2&amp;C$1&amp;"C"&amp;$A16)*RTD("tos.rtd",,"GAMMA","."&amp;C$2&amp;C$1&amp;"C"&amp;$A16)-$A$4*$A$4*RTD("tos.rtd",,"OPEN_INT","."&amp;C$2&amp;C$1&amp;"P"&amp;$A16)*RTD("tos.rtd",,"GAMMA","."&amp;C$2&amp;C$1&amp;"P"&amp;$A16))/1000000),0),IF($A$2="SKEW",IFERROR(VALUE(IF(RTD("tos.rtd",,"IMPL_VOL","."&amp;C$2&amp;C$1&amp;"P"&amp;$A16)="N/A",0,RTD("tos.rtd",,"IMPL_VOL","."&amp;C$2&amp;C$1&amp;"P"&amp;$A16))),0)-IFERROR(VALUE(IF(RTD("tos.rtd",,"IMPL_VOL","."&amp;C$2&amp;C$1&amp;"C"&amp;$A16)="N/A",0,RTD("tos.rtd",,"IMPL_VOL","."&amp;C$2&amp;C$1&amp;"C"&amp;$A16))),0),IF($A$2="MAXPAIN",IF($A$4&gt;$A16,($A$4-$A16)*IF(RTD("tos.rtd",,"OPEN_INT","."&amp;C$2&amp;C$1&amp;"C"&amp;$A16)="N/A",0,RTD("tos.rtd",,"OPEN_INT","."&amp;C$2&amp;C$1&amp;"C"&amp;$A16)),0)+IF($A$4&lt;$A16,($A$5-$A$4)*IF(RTD("tos.rtd",,"OPEN_INT","."&amp;C$2&amp;C$1&amp;"P"&amp;$A16)="N/A",0,RTD("tos.rtd",,"OPEN_INT","."&amp;C$2&amp;C$1&amp;"P"&amp;$A16)),0),IF($X$1="ABS",IF(RTD("tos.rtd",,$A$2,"."&amp;C$2&amp;C$1&amp;"C"&amp;$A16)="N/A",0,RTD("tos.rtd",,$A$2,"."&amp;C$2&amp;C$1&amp;"C"&amp;$A16))+IF(RTD("tos.rtd",,$A$2,"."&amp;C$2&amp;C$1&amp;"P"&amp;$A16)="N/A",0,RTD("tos.rtd",,$A$2,"."&amp;C$2&amp;C$1&amp;"P"&amp;$A16)),IF(RTD("tos.rtd",,$A$2,"."&amp;C$2&amp;C$1&amp;"C"&amp;$A16)="N/A",0,RTD("tos.rtd",,$A$2,"."&amp;C$2&amp;C$1&amp;"C"&amp;$A16))-IF(RTD("tos.rtd",,$A$2,"."&amp;C$2&amp;C$1&amp;"P"&amp;$A16)="N/A",0,RTD("tos.rtd",,$A$2,"."&amp;C$2&amp;C$1&amp;"P"&amp;$A16))))))))))</f>
        <v>0</v>
      </c>
      <c r="D16" s="12">
        <f ca="1">IF($A$2="PREMIUM_OI",IFERROR(IF($X$1="ABS",(100*RTD("tos.rtd",,"OPEN_INT","."&amp;D$2&amp;D$1&amp;"C"&amp;$A16)*RTD("tos.rtd",,"LAST","."&amp;D$2&amp;D$1&amp;"C"&amp;$A16)+100*RTD("tos.rtd",,"OPEN_INT","."&amp;D$2&amp;D$1&amp;"P"&amp;$A16)*RTD("tos.rtd",,"LAST","."&amp;D$2&amp;D$1&amp;"P"&amp;$A16))/1000000,(100*RTD("tos.rtd",,"OPEN_INT","."&amp;D$2&amp;D$1&amp;"C"&amp;$A16)*RTD("tos.rtd",,"LAST","."&amp;D$2&amp;D$1&amp;"C"&amp;$A16)-100*RTD("tos.rtd",,"OPEN_INT","."&amp;D$2&amp;D$1&amp;"P"&amp;$A16)*RTD("tos.rtd",,"LAST","."&amp;D$2&amp;D$1&amp;"P"&amp;$A16))/1000000),0),IF($A$2="PREMIUM",IFERROR(IF($X$1="ABS",(100*RTD("tos.rtd",,"VOLUME","."&amp;D$2&amp;D$1&amp;"C"&amp;$A16)*RTD("tos.rtd",,"LAST","."&amp;D$2&amp;D$1&amp;"C"&amp;$A16)+100*RTD("tos.rtd",,"VOLUME","."&amp;D$2&amp;D$1&amp;"P"&amp;$A16)*RTD("tos.rtd",,"LAST","."&amp;D$2&amp;D$1&amp;"P"&amp;$A16))/1000000,(100*RTD("tos.rtd",,"VOLUME","."&amp;D$2&amp;D$1&amp;"C"&amp;$A16)*RTD("tos.rtd",,"LAST","."&amp;D$2&amp;D$1&amp;"C"&amp;$A16)-100*RTD("tos.rtd",,"VOLUME","."&amp;D$2&amp;D$1&amp;"P"&amp;$A16)*RTD("tos.rtd",,"LAST","."&amp;D$2&amp;D$1&amp;"P"&amp;$A16))/1000000),0),IF($A$2="DEX",IFERROR(IF($X$1="ABS",(100*RTD("tos.rtd",,"OPEN_INT","."&amp;D$2&amp;D$1&amp;"C"&amp;$A16)*RTD("tos.rtd",,"DELTA","."&amp;D$2&amp;D$1&amp;"C"&amp;$A16)+100*RTD("tos.rtd",,"OPEN_INT","."&amp;D$2&amp;D$1&amp;"P"&amp;$A16)*RTD("tos.rtd",,"DELTA","."&amp;D$2&amp;D$1&amp;"P"&amp;$A16))/1000,(100*RTD("tos.rtd",,"OPEN_INT","."&amp;D$2&amp;D$1&amp;"C"&amp;$A16)*RTD("tos.rtd",,"DELTA","."&amp;D$2&amp;D$1&amp;"C"&amp;$A16)-100*RTD("tos.rtd",,"OPEN_INT","."&amp;D$2&amp;D$1&amp;"P"&amp;$A16)*RTD("tos.rtd",,"DELTA","."&amp;D$2&amp;D$1&amp;"P"&amp;$A16))/1000),0),IF($A$2="VEX",IFERROR(IF($X$1="ABS",($A$4*$A$4*RTD("tos.rtd",,"VOLUME","."&amp;D$2&amp;D$1&amp;"C"&amp;$A16)*RTD("tos.rtd",,"GAMMA","."&amp;D$2&amp;D$1&amp;"C"&amp;$A16)+$A$4*$A$4*RTD("tos.rtd",,"VOLUME","."&amp;D$2&amp;D$1&amp;"P"&amp;$A16)*RTD("tos.rtd",,"GAMMA","."&amp;D$2&amp;D$1&amp;"P"&amp;$A16))/1000000,($A$4*$A$4*RTD("tos.rtd",,"VOLUME","."&amp;D$2&amp;D$1&amp;"C"&amp;$A16)*RTD("tos.rtd",,"GAMMA","."&amp;D$2&amp;D$1&amp;"C"&amp;$A16)-$A$4*$A$4*RTD("tos.rtd",,"VOLUME","."&amp;D$2&amp;D$1&amp;"P"&amp;$A16)*RTD("tos.rtd",,"GAMMA","."&amp;D$2&amp;D$1&amp;"P"&amp;$A16))/1000000),0),IF($A$2="GEX",IFERROR(IF($X$1="ABS",($A$4*$A$4*RTD("tos.rtd",,"OPEN_INT","."&amp;D$2&amp;D$1&amp;"C"&amp;$A16)*RTD("tos.rtd",,"GAMMA","."&amp;D$2&amp;D$1&amp;"C"&amp;$A16)+$A$4*$A$4*RTD("tos.rtd",,"OPEN_INT","."&amp;D$2&amp;D$1&amp;"P"&amp;$A16)*RTD("tos.rtd",,"GAMMA","."&amp;D$2&amp;D$1&amp;"P"&amp;$A16))/1000000,($A$4*$A$4*RTD("tos.rtd",,"OPEN_INT","."&amp;D$2&amp;D$1&amp;"C"&amp;$A16)*RTD("tos.rtd",,"GAMMA","."&amp;D$2&amp;D$1&amp;"C"&amp;$A16)-$A$4*$A$4*RTD("tos.rtd",,"OPEN_INT","."&amp;D$2&amp;D$1&amp;"P"&amp;$A16)*RTD("tos.rtd",,"GAMMA","."&amp;D$2&amp;D$1&amp;"P"&amp;$A16))/1000000),0),IF($A$2="SKEW",IFERROR(VALUE(IF(RTD("tos.rtd",,"IMPL_VOL","."&amp;D$2&amp;D$1&amp;"P"&amp;$A16)="N/A",0,RTD("tos.rtd",,"IMPL_VOL","."&amp;D$2&amp;D$1&amp;"P"&amp;$A16))),0)-IFERROR(VALUE(IF(RTD("tos.rtd",,"IMPL_VOL","."&amp;D$2&amp;D$1&amp;"C"&amp;$A16)="N/A",0,RTD("tos.rtd",,"IMPL_VOL","."&amp;D$2&amp;D$1&amp;"C"&amp;$A16))),0),IF($A$2="MAXPAIN",IF($A$4&gt;$A16,($A$4-$A16)*IF(RTD("tos.rtd",,"OPEN_INT","."&amp;D$2&amp;D$1&amp;"C"&amp;$A16)="N/A",0,RTD("tos.rtd",,"OPEN_INT","."&amp;D$2&amp;D$1&amp;"C"&amp;$A16)),0)+IF($A$4&lt;$A16,($A$5-$A$4)*IF(RTD("tos.rtd",,"OPEN_INT","."&amp;D$2&amp;D$1&amp;"P"&amp;$A16)="N/A",0,RTD("tos.rtd",,"OPEN_INT","."&amp;D$2&amp;D$1&amp;"P"&amp;$A16)),0),IF($X$1="ABS",IF(RTD("tos.rtd",,$A$2,"."&amp;D$2&amp;D$1&amp;"C"&amp;$A16)="N/A",0,RTD("tos.rtd",,$A$2,"."&amp;D$2&amp;D$1&amp;"C"&amp;$A16))+IF(RTD("tos.rtd",,$A$2,"."&amp;D$2&amp;D$1&amp;"P"&amp;$A16)="N/A",0,RTD("tos.rtd",,$A$2,"."&amp;D$2&amp;D$1&amp;"P"&amp;$A16)),IF(RTD("tos.rtd",,$A$2,"."&amp;D$2&amp;D$1&amp;"C"&amp;$A16)="N/A",0,RTD("tos.rtd",,$A$2,"."&amp;D$2&amp;D$1&amp;"C"&amp;$A16))-IF(RTD("tos.rtd",,$A$2,"."&amp;D$2&amp;D$1&amp;"P"&amp;$A16)="N/A",0,RTD("tos.rtd",,$A$2,"."&amp;D$2&amp;D$1&amp;"P"&amp;$A16))))))))))</f>
        <v>0</v>
      </c>
      <c r="E16" s="12">
        <f ca="1">IF($A$2="PREMIUM_OI",IFERROR(IF($X$1="ABS",(100*RTD("tos.rtd",,"OPEN_INT","."&amp;E$2&amp;E$1&amp;"C"&amp;$A16)*RTD("tos.rtd",,"LAST","."&amp;E$2&amp;E$1&amp;"C"&amp;$A16)+100*RTD("tos.rtd",,"OPEN_INT","."&amp;E$2&amp;E$1&amp;"P"&amp;$A16)*RTD("tos.rtd",,"LAST","."&amp;E$2&amp;E$1&amp;"P"&amp;$A16))/1000000,(100*RTD("tos.rtd",,"OPEN_INT","."&amp;E$2&amp;E$1&amp;"C"&amp;$A16)*RTD("tos.rtd",,"LAST","."&amp;E$2&amp;E$1&amp;"C"&amp;$A16)-100*RTD("tos.rtd",,"OPEN_INT","."&amp;E$2&amp;E$1&amp;"P"&amp;$A16)*RTD("tos.rtd",,"LAST","."&amp;E$2&amp;E$1&amp;"P"&amp;$A16))/1000000),0),IF($A$2="PREMIUM",IFERROR(IF($X$1="ABS",(100*RTD("tos.rtd",,"VOLUME","."&amp;E$2&amp;E$1&amp;"C"&amp;$A16)*RTD("tos.rtd",,"LAST","."&amp;E$2&amp;E$1&amp;"C"&amp;$A16)+100*RTD("tos.rtd",,"VOLUME","."&amp;E$2&amp;E$1&amp;"P"&amp;$A16)*RTD("tos.rtd",,"LAST","."&amp;E$2&amp;E$1&amp;"P"&amp;$A16))/1000000,(100*RTD("tos.rtd",,"VOLUME","."&amp;E$2&amp;E$1&amp;"C"&amp;$A16)*RTD("tos.rtd",,"LAST","."&amp;E$2&amp;E$1&amp;"C"&amp;$A16)-100*RTD("tos.rtd",,"VOLUME","."&amp;E$2&amp;E$1&amp;"P"&amp;$A16)*RTD("tos.rtd",,"LAST","."&amp;E$2&amp;E$1&amp;"P"&amp;$A16))/1000000),0),IF($A$2="DEX",IFERROR(IF($X$1="ABS",(100*RTD("tos.rtd",,"OPEN_INT","."&amp;E$2&amp;E$1&amp;"C"&amp;$A16)*RTD("tos.rtd",,"DELTA","."&amp;E$2&amp;E$1&amp;"C"&amp;$A16)+100*RTD("tos.rtd",,"OPEN_INT","."&amp;E$2&amp;E$1&amp;"P"&amp;$A16)*RTD("tos.rtd",,"DELTA","."&amp;E$2&amp;E$1&amp;"P"&amp;$A16))/1000,(100*RTD("tos.rtd",,"OPEN_INT","."&amp;E$2&amp;E$1&amp;"C"&amp;$A16)*RTD("tos.rtd",,"DELTA","."&amp;E$2&amp;E$1&amp;"C"&amp;$A16)-100*RTD("tos.rtd",,"OPEN_INT","."&amp;E$2&amp;E$1&amp;"P"&amp;$A16)*RTD("tos.rtd",,"DELTA","."&amp;E$2&amp;E$1&amp;"P"&amp;$A16))/1000),0),IF($A$2="VEX",IFERROR(IF($X$1="ABS",($A$4*$A$4*RTD("tos.rtd",,"VOLUME","."&amp;E$2&amp;E$1&amp;"C"&amp;$A16)*RTD("tos.rtd",,"GAMMA","."&amp;E$2&amp;E$1&amp;"C"&amp;$A16)+$A$4*$A$4*RTD("tos.rtd",,"VOLUME","."&amp;E$2&amp;E$1&amp;"P"&amp;$A16)*RTD("tos.rtd",,"GAMMA","."&amp;E$2&amp;E$1&amp;"P"&amp;$A16))/1000000,($A$4*$A$4*RTD("tos.rtd",,"VOLUME","."&amp;E$2&amp;E$1&amp;"C"&amp;$A16)*RTD("tos.rtd",,"GAMMA","."&amp;E$2&amp;E$1&amp;"C"&amp;$A16)-$A$4*$A$4*RTD("tos.rtd",,"VOLUME","."&amp;E$2&amp;E$1&amp;"P"&amp;$A16)*RTD("tos.rtd",,"GAMMA","."&amp;E$2&amp;E$1&amp;"P"&amp;$A16))/1000000),0),IF($A$2="GEX",IFERROR(IF($X$1="ABS",($A$4*$A$4*RTD("tos.rtd",,"OPEN_INT","."&amp;E$2&amp;E$1&amp;"C"&amp;$A16)*RTD("tos.rtd",,"GAMMA","."&amp;E$2&amp;E$1&amp;"C"&amp;$A16)+$A$4*$A$4*RTD("tos.rtd",,"OPEN_INT","."&amp;E$2&amp;E$1&amp;"P"&amp;$A16)*RTD("tos.rtd",,"GAMMA","."&amp;E$2&amp;E$1&amp;"P"&amp;$A16))/1000000,($A$4*$A$4*RTD("tos.rtd",,"OPEN_INT","."&amp;E$2&amp;E$1&amp;"C"&amp;$A16)*RTD("tos.rtd",,"GAMMA","."&amp;E$2&amp;E$1&amp;"C"&amp;$A16)-$A$4*$A$4*RTD("tos.rtd",,"OPEN_INT","."&amp;E$2&amp;E$1&amp;"P"&amp;$A16)*RTD("tos.rtd",,"GAMMA","."&amp;E$2&amp;E$1&amp;"P"&amp;$A16))/1000000),0),IF($A$2="SKEW",IFERROR(VALUE(IF(RTD("tos.rtd",,"IMPL_VOL","."&amp;E$2&amp;E$1&amp;"P"&amp;$A16)="N/A",0,RTD("tos.rtd",,"IMPL_VOL","."&amp;E$2&amp;E$1&amp;"P"&amp;$A16))),0)-IFERROR(VALUE(IF(RTD("tos.rtd",,"IMPL_VOL","."&amp;E$2&amp;E$1&amp;"C"&amp;$A16)="N/A",0,RTD("tos.rtd",,"IMPL_VOL","."&amp;E$2&amp;E$1&amp;"C"&amp;$A16))),0),IF($A$2="MAXPAIN",IF($A$4&gt;$A16,($A$4-$A16)*IF(RTD("tos.rtd",,"OPEN_INT","."&amp;E$2&amp;E$1&amp;"C"&amp;$A16)="N/A",0,RTD("tos.rtd",,"OPEN_INT","."&amp;E$2&amp;E$1&amp;"C"&amp;$A16)),0)+IF($A$4&lt;$A16,($A$5-$A$4)*IF(RTD("tos.rtd",,"OPEN_INT","."&amp;E$2&amp;E$1&amp;"P"&amp;$A16)="N/A",0,RTD("tos.rtd",,"OPEN_INT","."&amp;E$2&amp;E$1&amp;"P"&amp;$A16)),0),IF($X$1="ABS",IF(RTD("tos.rtd",,$A$2,"."&amp;E$2&amp;E$1&amp;"C"&amp;$A16)="N/A",0,RTD("tos.rtd",,$A$2,"."&amp;E$2&amp;E$1&amp;"C"&amp;$A16))+IF(RTD("tos.rtd",,$A$2,"."&amp;E$2&amp;E$1&amp;"P"&amp;$A16)="N/A",0,RTD("tos.rtd",,$A$2,"."&amp;E$2&amp;E$1&amp;"P"&amp;$A16)),IF(RTD("tos.rtd",,$A$2,"."&amp;E$2&amp;E$1&amp;"C"&amp;$A16)="N/A",0,RTD("tos.rtd",,$A$2,"."&amp;E$2&amp;E$1&amp;"C"&amp;$A16))-IF(RTD("tos.rtd",,$A$2,"."&amp;E$2&amp;E$1&amp;"P"&amp;$A16)="N/A",0,RTD("tos.rtd",,$A$2,"."&amp;E$2&amp;E$1&amp;"P"&amp;$A16))))))))))</f>
        <v>0</v>
      </c>
      <c r="F16" s="12">
        <f ca="1">IF($A$2="PREMIUM_OI",IFERROR(IF($X$1="ABS",(100*RTD("tos.rtd",,"OPEN_INT","."&amp;F$2&amp;F$1&amp;"C"&amp;$A16)*RTD("tos.rtd",,"LAST","."&amp;F$2&amp;F$1&amp;"C"&amp;$A16)+100*RTD("tos.rtd",,"OPEN_INT","."&amp;F$2&amp;F$1&amp;"P"&amp;$A16)*RTD("tos.rtd",,"LAST","."&amp;F$2&amp;F$1&amp;"P"&amp;$A16))/1000000,(100*RTD("tos.rtd",,"OPEN_INT","."&amp;F$2&amp;F$1&amp;"C"&amp;$A16)*RTD("tos.rtd",,"LAST","."&amp;F$2&amp;F$1&amp;"C"&amp;$A16)-100*RTD("tos.rtd",,"OPEN_INT","."&amp;F$2&amp;F$1&amp;"P"&amp;$A16)*RTD("tos.rtd",,"LAST","."&amp;F$2&amp;F$1&amp;"P"&amp;$A16))/1000000),0),IF($A$2="PREMIUM",IFERROR(IF($X$1="ABS",(100*RTD("tos.rtd",,"VOLUME","."&amp;F$2&amp;F$1&amp;"C"&amp;$A16)*RTD("tos.rtd",,"LAST","."&amp;F$2&amp;F$1&amp;"C"&amp;$A16)+100*RTD("tos.rtd",,"VOLUME","."&amp;F$2&amp;F$1&amp;"P"&amp;$A16)*RTD("tos.rtd",,"LAST","."&amp;F$2&amp;F$1&amp;"P"&amp;$A16))/1000000,(100*RTD("tos.rtd",,"VOLUME","."&amp;F$2&amp;F$1&amp;"C"&amp;$A16)*RTD("tos.rtd",,"LAST","."&amp;F$2&amp;F$1&amp;"C"&amp;$A16)-100*RTD("tos.rtd",,"VOLUME","."&amp;F$2&amp;F$1&amp;"P"&amp;$A16)*RTD("tos.rtd",,"LAST","."&amp;F$2&amp;F$1&amp;"P"&amp;$A16))/1000000),0),IF($A$2="DEX",IFERROR(IF($X$1="ABS",(100*RTD("tos.rtd",,"OPEN_INT","."&amp;F$2&amp;F$1&amp;"C"&amp;$A16)*RTD("tos.rtd",,"DELTA","."&amp;F$2&amp;F$1&amp;"C"&amp;$A16)+100*RTD("tos.rtd",,"OPEN_INT","."&amp;F$2&amp;F$1&amp;"P"&amp;$A16)*RTD("tos.rtd",,"DELTA","."&amp;F$2&amp;F$1&amp;"P"&amp;$A16))/1000,(100*RTD("tos.rtd",,"OPEN_INT","."&amp;F$2&amp;F$1&amp;"C"&amp;$A16)*RTD("tos.rtd",,"DELTA","."&amp;F$2&amp;F$1&amp;"C"&amp;$A16)-100*RTD("tos.rtd",,"OPEN_INT","."&amp;F$2&amp;F$1&amp;"P"&amp;$A16)*RTD("tos.rtd",,"DELTA","."&amp;F$2&amp;F$1&amp;"P"&amp;$A16))/1000),0),IF($A$2="VEX",IFERROR(IF($X$1="ABS",($A$4*$A$4*RTD("tos.rtd",,"VOLUME","."&amp;F$2&amp;F$1&amp;"C"&amp;$A16)*RTD("tos.rtd",,"GAMMA","."&amp;F$2&amp;F$1&amp;"C"&amp;$A16)+$A$4*$A$4*RTD("tos.rtd",,"VOLUME","."&amp;F$2&amp;F$1&amp;"P"&amp;$A16)*RTD("tos.rtd",,"GAMMA","."&amp;F$2&amp;F$1&amp;"P"&amp;$A16))/1000000,($A$4*$A$4*RTD("tos.rtd",,"VOLUME","."&amp;F$2&amp;F$1&amp;"C"&amp;$A16)*RTD("tos.rtd",,"GAMMA","."&amp;F$2&amp;F$1&amp;"C"&amp;$A16)-$A$4*$A$4*RTD("tos.rtd",,"VOLUME","."&amp;F$2&amp;F$1&amp;"P"&amp;$A16)*RTD("tos.rtd",,"GAMMA","."&amp;F$2&amp;F$1&amp;"P"&amp;$A16))/1000000),0),IF($A$2="GEX",IFERROR(IF($X$1="ABS",($A$4*$A$4*RTD("tos.rtd",,"OPEN_INT","."&amp;F$2&amp;F$1&amp;"C"&amp;$A16)*RTD("tos.rtd",,"GAMMA","."&amp;F$2&amp;F$1&amp;"C"&amp;$A16)+$A$4*$A$4*RTD("tos.rtd",,"OPEN_INT","."&amp;F$2&amp;F$1&amp;"P"&amp;$A16)*RTD("tos.rtd",,"GAMMA","."&amp;F$2&amp;F$1&amp;"P"&amp;$A16))/1000000,($A$4*$A$4*RTD("tos.rtd",,"OPEN_INT","."&amp;F$2&amp;F$1&amp;"C"&amp;$A16)*RTD("tos.rtd",,"GAMMA","."&amp;F$2&amp;F$1&amp;"C"&amp;$A16)-$A$4*$A$4*RTD("tos.rtd",,"OPEN_INT","."&amp;F$2&amp;F$1&amp;"P"&amp;$A16)*RTD("tos.rtd",,"GAMMA","."&amp;F$2&amp;F$1&amp;"P"&amp;$A16))/1000000),0),IF($A$2="SKEW",IFERROR(VALUE(IF(RTD("tos.rtd",,"IMPL_VOL","."&amp;F$2&amp;F$1&amp;"P"&amp;$A16)="N/A",0,RTD("tos.rtd",,"IMPL_VOL","."&amp;F$2&amp;F$1&amp;"P"&amp;$A16))),0)-IFERROR(VALUE(IF(RTD("tos.rtd",,"IMPL_VOL","."&amp;F$2&amp;F$1&amp;"C"&amp;$A16)="N/A",0,RTD("tos.rtd",,"IMPL_VOL","."&amp;F$2&amp;F$1&amp;"C"&amp;$A16))),0),IF($A$2="MAXPAIN",IF($A$4&gt;$A16,($A$4-$A16)*IF(RTD("tos.rtd",,"OPEN_INT","."&amp;F$2&amp;F$1&amp;"C"&amp;$A16)="N/A",0,RTD("tos.rtd",,"OPEN_INT","."&amp;F$2&amp;F$1&amp;"C"&amp;$A16)),0)+IF($A$4&lt;$A16,($A$5-$A$4)*IF(RTD("tos.rtd",,"OPEN_INT","."&amp;F$2&amp;F$1&amp;"P"&amp;$A16)="N/A",0,RTD("tos.rtd",,"OPEN_INT","."&amp;F$2&amp;F$1&amp;"P"&amp;$A16)),0),IF($X$1="ABS",IF(RTD("tos.rtd",,$A$2,"."&amp;F$2&amp;F$1&amp;"C"&amp;$A16)="N/A",0,RTD("tos.rtd",,$A$2,"."&amp;F$2&amp;F$1&amp;"C"&amp;$A16))+IF(RTD("tos.rtd",,$A$2,"."&amp;F$2&amp;F$1&amp;"P"&amp;$A16)="N/A",0,RTD("tos.rtd",,$A$2,"."&amp;F$2&amp;F$1&amp;"P"&amp;$A16)),IF(RTD("tos.rtd",,$A$2,"."&amp;F$2&amp;F$1&amp;"C"&amp;$A16)="N/A",0,RTD("tos.rtd",,$A$2,"."&amp;F$2&amp;F$1&amp;"C"&amp;$A16))-IF(RTD("tos.rtd",,$A$2,"."&amp;F$2&amp;F$1&amp;"P"&amp;$A16)="N/A",0,RTD("tos.rtd",,$A$2,"."&amp;F$2&amp;F$1&amp;"P"&amp;$A16))))))))))</f>
        <v>0</v>
      </c>
      <c r="G16" s="54">
        <f ca="1">IF($A$2="PREMIUM_OI",IFERROR(IF($X$1="ABS",(100*RTD("tos.rtd",,"OPEN_INT","."&amp;G$2&amp;G$1&amp;"C"&amp;$A16)*RTD("tos.rtd",,"LAST","."&amp;G$2&amp;G$1&amp;"C"&amp;$A16)+100*RTD("tos.rtd",,"OPEN_INT","."&amp;G$2&amp;G$1&amp;"P"&amp;$A16)*RTD("tos.rtd",,"LAST","."&amp;G$2&amp;G$1&amp;"P"&amp;$A16))/1000000,(100*RTD("tos.rtd",,"OPEN_INT","."&amp;G$2&amp;G$1&amp;"C"&amp;$A16)*RTD("tos.rtd",,"LAST","."&amp;G$2&amp;G$1&amp;"C"&amp;$A16)-100*RTD("tos.rtd",,"OPEN_INT","."&amp;G$2&amp;G$1&amp;"P"&amp;$A16)*RTD("tos.rtd",,"LAST","."&amp;G$2&amp;G$1&amp;"P"&amp;$A16))/1000000),0),IF($A$2="PREMIUM",IFERROR(IF($X$1="ABS",(100*RTD("tos.rtd",,"VOLUME","."&amp;G$2&amp;G$1&amp;"C"&amp;$A16)*RTD("tos.rtd",,"LAST","."&amp;G$2&amp;G$1&amp;"C"&amp;$A16)+100*RTD("tos.rtd",,"VOLUME","."&amp;G$2&amp;G$1&amp;"P"&amp;$A16)*RTD("tos.rtd",,"LAST","."&amp;G$2&amp;G$1&amp;"P"&amp;$A16))/1000000,(100*RTD("tos.rtd",,"VOLUME","."&amp;G$2&amp;G$1&amp;"C"&amp;$A16)*RTD("tos.rtd",,"LAST","."&amp;G$2&amp;G$1&amp;"C"&amp;$A16)-100*RTD("tos.rtd",,"VOLUME","."&amp;G$2&amp;G$1&amp;"P"&amp;$A16)*RTD("tos.rtd",,"LAST","."&amp;G$2&amp;G$1&amp;"P"&amp;$A16))/1000000),0),IF($A$2="DEX",IFERROR(IF($X$1="ABS",(100*RTD("tos.rtd",,"OPEN_INT","."&amp;G$2&amp;G$1&amp;"C"&amp;$A16)*RTD("tos.rtd",,"DELTA","."&amp;G$2&amp;G$1&amp;"C"&amp;$A16)+100*RTD("tos.rtd",,"OPEN_INT","."&amp;G$2&amp;G$1&amp;"P"&amp;$A16)*RTD("tos.rtd",,"DELTA","."&amp;G$2&amp;G$1&amp;"P"&amp;$A16))/1000,(100*RTD("tos.rtd",,"OPEN_INT","."&amp;G$2&amp;G$1&amp;"C"&amp;$A16)*RTD("tos.rtd",,"DELTA","."&amp;G$2&amp;G$1&amp;"C"&amp;$A16)-100*RTD("tos.rtd",,"OPEN_INT","."&amp;G$2&amp;G$1&amp;"P"&amp;$A16)*RTD("tos.rtd",,"DELTA","."&amp;G$2&amp;G$1&amp;"P"&amp;$A16))/1000),0),IF($A$2="VEX",IFERROR(IF($X$1="ABS",($A$4*$A$4*RTD("tos.rtd",,"VOLUME","."&amp;G$2&amp;G$1&amp;"C"&amp;$A16)*RTD("tos.rtd",,"GAMMA","."&amp;G$2&amp;G$1&amp;"C"&amp;$A16)+$A$4*$A$4*RTD("tos.rtd",,"VOLUME","."&amp;G$2&amp;G$1&amp;"P"&amp;$A16)*RTD("tos.rtd",,"GAMMA","."&amp;G$2&amp;G$1&amp;"P"&amp;$A16))/1000000,($A$4*$A$4*RTD("tos.rtd",,"VOLUME","."&amp;G$2&amp;G$1&amp;"C"&amp;$A16)*RTD("tos.rtd",,"GAMMA","."&amp;G$2&amp;G$1&amp;"C"&amp;$A16)-$A$4*$A$4*RTD("tos.rtd",,"VOLUME","."&amp;G$2&amp;G$1&amp;"P"&amp;$A16)*RTD("tos.rtd",,"GAMMA","."&amp;G$2&amp;G$1&amp;"P"&amp;$A16))/1000000),0),IF($A$2="GEX",IFERROR(IF($X$1="ABS",($A$4*$A$4*RTD("tos.rtd",,"OPEN_INT","."&amp;G$2&amp;G$1&amp;"C"&amp;$A16)*RTD("tos.rtd",,"GAMMA","."&amp;G$2&amp;G$1&amp;"C"&amp;$A16)+$A$4*$A$4*RTD("tos.rtd",,"OPEN_INT","."&amp;G$2&amp;G$1&amp;"P"&amp;$A16)*RTD("tos.rtd",,"GAMMA","."&amp;G$2&amp;G$1&amp;"P"&amp;$A16))/1000000,($A$4*$A$4*RTD("tos.rtd",,"OPEN_INT","."&amp;G$2&amp;G$1&amp;"C"&amp;$A16)*RTD("tos.rtd",,"GAMMA","."&amp;G$2&amp;G$1&amp;"C"&amp;$A16)-$A$4*$A$4*RTD("tos.rtd",,"OPEN_INT","."&amp;G$2&amp;G$1&amp;"P"&amp;$A16)*RTD("tos.rtd",,"GAMMA","."&amp;G$2&amp;G$1&amp;"P"&amp;$A16))/1000000),0),IF($A$2="SKEW",IFERROR(VALUE(IF(RTD("tos.rtd",,"IMPL_VOL","."&amp;G$2&amp;G$1&amp;"P"&amp;$A16)="N/A",0,RTD("tos.rtd",,"IMPL_VOL","."&amp;G$2&amp;G$1&amp;"P"&amp;$A16))),0)-IFERROR(VALUE(IF(RTD("tos.rtd",,"IMPL_VOL","."&amp;G$2&amp;G$1&amp;"C"&amp;$A16)="N/A",0,RTD("tos.rtd",,"IMPL_VOL","."&amp;G$2&amp;G$1&amp;"C"&amp;$A16))),0),IF($A$2="MAXPAIN",IF($A$4&gt;$A16,($A$4-$A16)*IF(RTD("tos.rtd",,"OPEN_INT","."&amp;G$2&amp;G$1&amp;"C"&amp;$A16)="N/A",0,RTD("tos.rtd",,"OPEN_INT","."&amp;G$2&amp;G$1&amp;"C"&amp;$A16)),0)+IF($A$4&lt;$A16,($A$5-$A$4)*IF(RTD("tos.rtd",,"OPEN_INT","."&amp;G$2&amp;G$1&amp;"P"&amp;$A16)="N/A",0,RTD("tos.rtd",,"OPEN_INT","."&amp;G$2&amp;G$1&amp;"P"&amp;$A16)),0),IF($X$1="ABS",IF(RTD("tos.rtd",,$A$2,"."&amp;G$2&amp;G$1&amp;"C"&amp;$A16)="N/A",0,RTD("tos.rtd",,$A$2,"."&amp;G$2&amp;G$1&amp;"C"&amp;$A16))+IF(RTD("tos.rtd",,$A$2,"."&amp;G$2&amp;G$1&amp;"P"&amp;$A16)="N/A",0,RTD("tos.rtd",,$A$2,"."&amp;G$2&amp;G$1&amp;"P"&amp;$A16)),IF(RTD("tos.rtd",,$A$2,"."&amp;G$2&amp;G$1&amp;"C"&amp;$A16)="N/A",0,RTD("tos.rtd",,$A$2,"."&amp;G$2&amp;G$1&amp;"C"&amp;$A16))-IF(RTD("tos.rtd",,$A$2,"."&amp;G$2&amp;G$1&amp;"P"&amp;$A16)="N/A",0,RTD("tos.rtd",,$A$2,"."&amp;G$2&amp;G$1&amp;"P"&amp;$A16))))))))))</f>
        <v>0</v>
      </c>
      <c r="H16" s="14">
        <f ca="1">IF($A$2="PREMIUM_OI",IFERROR(IF($X$1="ABS",(100*RTD("tos.rtd",,"OPEN_INT","."&amp;H$2&amp;H$1&amp;"C"&amp;$A16)*RTD("tos.rtd",,"LAST","."&amp;H$2&amp;H$1&amp;"C"&amp;$A16)+100*RTD("tos.rtd",,"OPEN_INT","."&amp;H$2&amp;H$1&amp;"P"&amp;$A16)*RTD("tos.rtd",,"LAST","."&amp;H$2&amp;H$1&amp;"P"&amp;$A16))/1000000,(100*RTD("tos.rtd",,"OPEN_INT","."&amp;H$2&amp;H$1&amp;"C"&amp;$A16)*RTD("tos.rtd",,"LAST","."&amp;H$2&amp;H$1&amp;"C"&amp;$A16)-100*RTD("tos.rtd",,"OPEN_INT","."&amp;H$2&amp;H$1&amp;"P"&amp;$A16)*RTD("tos.rtd",,"LAST","."&amp;H$2&amp;H$1&amp;"P"&amp;$A16))/1000000),0),IF($A$2="PREMIUM",IFERROR(IF($X$1="ABS",(100*RTD("tos.rtd",,"VOLUME","."&amp;H$2&amp;H$1&amp;"C"&amp;$A16)*RTD("tos.rtd",,"LAST","."&amp;H$2&amp;H$1&amp;"C"&amp;$A16)+100*RTD("tos.rtd",,"VOLUME","."&amp;H$2&amp;H$1&amp;"P"&amp;$A16)*RTD("tos.rtd",,"LAST","."&amp;H$2&amp;H$1&amp;"P"&amp;$A16))/1000000,(100*RTD("tos.rtd",,"VOLUME","."&amp;H$2&amp;H$1&amp;"C"&amp;$A16)*RTD("tos.rtd",,"LAST","."&amp;H$2&amp;H$1&amp;"C"&amp;$A16)-100*RTD("tos.rtd",,"VOLUME","."&amp;H$2&amp;H$1&amp;"P"&amp;$A16)*RTD("tos.rtd",,"LAST","."&amp;H$2&amp;H$1&amp;"P"&amp;$A16))/1000000),0),IF($A$2="DEX",IFERROR(IF($X$1="ABS",(100*RTD("tos.rtd",,"OPEN_INT","."&amp;H$2&amp;H$1&amp;"C"&amp;$A16)*RTD("tos.rtd",,"DELTA","."&amp;H$2&amp;H$1&amp;"C"&amp;$A16)+100*RTD("tos.rtd",,"OPEN_INT","."&amp;H$2&amp;H$1&amp;"P"&amp;$A16)*RTD("tos.rtd",,"DELTA","."&amp;H$2&amp;H$1&amp;"P"&amp;$A16))/1000,(100*RTD("tos.rtd",,"OPEN_INT","."&amp;H$2&amp;H$1&amp;"C"&amp;$A16)*RTD("tos.rtd",,"DELTA","."&amp;H$2&amp;H$1&amp;"C"&amp;$A16)-100*RTD("tos.rtd",,"OPEN_INT","."&amp;H$2&amp;H$1&amp;"P"&amp;$A16)*RTD("tos.rtd",,"DELTA","."&amp;H$2&amp;H$1&amp;"P"&amp;$A16))/1000),0),IF($A$2="VEX",IFERROR(IF($X$1="ABS",($A$4*$A$4*RTD("tos.rtd",,"VOLUME","."&amp;H$2&amp;H$1&amp;"C"&amp;$A16)*RTD("tos.rtd",,"GAMMA","."&amp;H$2&amp;H$1&amp;"C"&amp;$A16)+$A$4*$A$4*RTD("tos.rtd",,"VOLUME","."&amp;H$2&amp;H$1&amp;"P"&amp;$A16)*RTD("tos.rtd",,"GAMMA","."&amp;H$2&amp;H$1&amp;"P"&amp;$A16))/1000000,($A$4*$A$4*RTD("tos.rtd",,"VOLUME","."&amp;H$2&amp;H$1&amp;"C"&amp;$A16)*RTD("tos.rtd",,"GAMMA","."&amp;H$2&amp;H$1&amp;"C"&amp;$A16)-$A$4*$A$4*RTD("tos.rtd",,"VOLUME","."&amp;H$2&amp;H$1&amp;"P"&amp;$A16)*RTD("tos.rtd",,"GAMMA","."&amp;H$2&amp;H$1&amp;"P"&amp;$A16))/1000000),0),IF($A$2="GEX",IFERROR(IF($X$1="ABS",($A$4*$A$4*RTD("tos.rtd",,"OPEN_INT","."&amp;H$2&amp;H$1&amp;"C"&amp;$A16)*RTD("tos.rtd",,"GAMMA","."&amp;H$2&amp;H$1&amp;"C"&amp;$A16)+$A$4*$A$4*RTD("tos.rtd",,"OPEN_INT","."&amp;H$2&amp;H$1&amp;"P"&amp;$A16)*RTD("tos.rtd",,"GAMMA","."&amp;H$2&amp;H$1&amp;"P"&amp;$A16))/1000000,($A$4*$A$4*RTD("tos.rtd",,"OPEN_INT","."&amp;H$2&amp;H$1&amp;"C"&amp;$A16)*RTD("tos.rtd",,"GAMMA","."&amp;H$2&amp;H$1&amp;"C"&amp;$A16)-$A$4*$A$4*RTD("tos.rtd",,"OPEN_INT","."&amp;H$2&amp;H$1&amp;"P"&amp;$A16)*RTD("tos.rtd",,"GAMMA","."&amp;H$2&amp;H$1&amp;"P"&amp;$A16))/1000000),0),IF($A$2="SKEW",IFERROR(VALUE(IF(RTD("tos.rtd",,"IMPL_VOL","."&amp;H$2&amp;H$1&amp;"P"&amp;$A16)="N/A",0,RTD("tos.rtd",,"IMPL_VOL","."&amp;H$2&amp;H$1&amp;"P"&amp;$A16))),0)-IFERROR(VALUE(IF(RTD("tos.rtd",,"IMPL_VOL","."&amp;H$2&amp;H$1&amp;"C"&amp;$A16)="N/A",0,RTD("tos.rtd",,"IMPL_VOL","."&amp;H$2&amp;H$1&amp;"C"&amp;$A16))),0),IF($A$2="MAXPAIN",IF($A$4&gt;$A16,($A$4-$A16)*IF(RTD("tos.rtd",,"OPEN_INT","."&amp;H$2&amp;H$1&amp;"C"&amp;$A16)="N/A",0,RTD("tos.rtd",,"OPEN_INT","."&amp;H$2&amp;H$1&amp;"C"&amp;$A16)),0)+IF($A$4&lt;$A16,($A$5-$A$4)*IF(RTD("tos.rtd",,"OPEN_INT","."&amp;H$2&amp;H$1&amp;"P"&amp;$A16)="N/A",0,RTD("tos.rtd",,"OPEN_INT","."&amp;H$2&amp;H$1&amp;"P"&amp;$A16)),0),IF($X$1="ABS",IF(RTD("tos.rtd",,$A$2,"."&amp;H$2&amp;H$1&amp;"C"&amp;$A16)="N/A",0,RTD("tos.rtd",,$A$2,"."&amp;H$2&amp;H$1&amp;"C"&amp;$A16))+IF(RTD("tos.rtd",,$A$2,"."&amp;H$2&amp;H$1&amp;"P"&amp;$A16)="N/A",0,RTD("tos.rtd",,$A$2,"."&amp;H$2&amp;H$1&amp;"P"&amp;$A16)),IF(RTD("tos.rtd",,$A$2,"."&amp;H$2&amp;H$1&amp;"C"&amp;$A16)="N/A",0,RTD("tos.rtd",,$A$2,"."&amp;H$2&amp;H$1&amp;"C"&amp;$A16))-IF(RTD("tos.rtd",,$A$2,"."&amp;H$2&amp;H$1&amp;"P"&amp;$A16)="N/A",0,RTD("tos.rtd",,$A$2,"."&amp;H$2&amp;H$1&amp;"P"&amp;$A16))))))))))</f>
        <v>0</v>
      </c>
      <c r="I16" s="12">
        <f ca="1">IF($A$2="PREMIUM_OI",IFERROR(IF($X$1="ABS",(100*RTD("tos.rtd",,"OPEN_INT","."&amp;I$2&amp;I$1&amp;"C"&amp;$A16)*RTD("tos.rtd",,"LAST","."&amp;I$2&amp;I$1&amp;"C"&amp;$A16)+100*RTD("tos.rtd",,"OPEN_INT","."&amp;I$2&amp;I$1&amp;"P"&amp;$A16)*RTD("tos.rtd",,"LAST","."&amp;I$2&amp;I$1&amp;"P"&amp;$A16))/1000000,(100*RTD("tos.rtd",,"OPEN_INT","."&amp;I$2&amp;I$1&amp;"C"&amp;$A16)*RTD("tos.rtd",,"LAST","."&amp;I$2&amp;I$1&amp;"C"&amp;$A16)-100*RTD("tos.rtd",,"OPEN_INT","."&amp;I$2&amp;I$1&amp;"P"&amp;$A16)*RTD("tos.rtd",,"LAST","."&amp;I$2&amp;I$1&amp;"P"&amp;$A16))/1000000),0),IF($A$2="PREMIUM",IFERROR(IF($X$1="ABS",(100*RTD("tos.rtd",,"VOLUME","."&amp;I$2&amp;I$1&amp;"C"&amp;$A16)*RTD("tos.rtd",,"LAST","."&amp;I$2&amp;I$1&amp;"C"&amp;$A16)+100*RTD("tos.rtd",,"VOLUME","."&amp;I$2&amp;I$1&amp;"P"&amp;$A16)*RTD("tos.rtd",,"LAST","."&amp;I$2&amp;I$1&amp;"P"&amp;$A16))/1000000,(100*RTD("tos.rtd",,"VOLUME","."&amp;I$2&amp;I$1&amp;"C"&amp;$A16)*RTD("tos.rtd",,"LAST","."&amp;I$2&amp;I$1&amp;"C"&amp;$A16)-100*RTD("tos.rtd",,"VOLUME","."&amp;I$2&amp;I$1&amp;"P"&amp;$A16)*RTD("tos.rtd",,"LAST","."&amp;I$2&amp;I$1&amp;"P"&amp;$A16))/1000000),0),IF($A$2="DEX",IFERROR(IF($X$1="ABS",(100*RTD("tos.rtd",,"OPEN_INT","."&amp;I$2&amp;I$1&amp;"C"&amp;$A16)*RTD("tos.rtd",,"DELTA","."&amp;I$2&amp;I$1&amp;"C"&amp;$A16)+100*RTD("tos.rtd",,"OPEN_INT","."&amp;I$2&amp;I$1&amp;"P"&amp;$A16)*RTD("tos.rtd",,"DELTA","."&amp;I$2&amp;I$1&amp;"P"&amp;$A16))/1000,(100*RTD("tos.rtd",,"OPEN_INT","."&amp;I$2&amp;I$1&amp;"C"&amp;$A16)*RTD("tos.rtd",,"DELTA","."&amp;I$2&amp;I$1&amp;"C"&amp;$A16)-100*RTD("tos.rtd",,"OPEN_INT","."&amp;I$2&amp;I$1&amp;"P"&amp;$A16)*RTD("tos.rtd",,"DELTA","."&amp;I$2&amp;I$1&amp;"P"&amp;$A16))/1000),0),IF($A$2="VEX",IFERROR(IF($X$1="ABS",($A$4*$A$4*RTD("tos.rtd",,"VOLUME","."&amp;I$2&amp;I$1&amp;"C"&amp;$A16)*RTD("tos.rtd",,"GAMMA","."&amp;I$2&amp;I$1&amp;"C"&amp;$A16)+$A$4*$A$4*RTD("tos.rtd",,"VOLUME","."&amp;I$2&amp;I$1&amp;"P"&amp;$A16)*RTD("tos.rtd",,"GAMMA","."&amp;I$2&amp;I$1&amp;"P"&amp;$A16))/1000000,($A$4*$A$4*RTD("tos.rtd",,"VOLUME","."&amp;I$2&amp;I$1&amp;"C"&amp;$A16)*RTD("tos.rtd",,"GAMMA","."&amp;I$2&amp;I$1&amp;"C"&amp;$A16)-$A$4*$A$4*RTD("tos.rtd",,"VOLUME","."&amp;I$2&amp;I$1&amp;"P"&amp;$A16)*RTD("tos.rtd",,"GAMMA","."&amp;I$2&amp;I$1&amp;"P"&amp;$A16))/1000000),0),IF($A$2="GEX",IFERROR(IF($X$1="ABS",($A$4*$A$4*RTD("tos.rtd",,"OPEN_INT","."&amp;I$2&amp;I$1&amp;"C"&amp;$A16)*RTD("tos.rtd",,"GAMMA","."&amp;I$2&amp;I$1&amp;"C"&amp;$A16)+$A$4*$A$4*RTD("tos.rtd",,"OPEN_INT","."&amp;I$2&amp;I$1&amp;"P"&amp;$A16)*RTD("tos.rtd",,"GAMMA","."&amp;I$2&amp;I$1&amp;"P"&amp;$A16))/1000000,($A$4*$A$4*RTD("tos.rtd",,"OPEN_INT","."&amp;I$2&amp;I$1&amp;"C"&amp;$A16)*RTD("tos.rtd",,"GAMMA","."&amp;I$2&amp;I$1&amp;"C"&amp;$A16)-$A$4*$A$4*RTD("tos.rtd",,"OPEN_INT","."&amp;I$2&amp;I$1&amp;"P"&amp;$A16)*RTD("tos.rtd",,"GAMMA","."&amp;I$2&amp;I$1&amp;"P"&amp;$A16))/1000000),0),IF($A$2="SKEW",IFERROR(VALUE(IF(RTD("tos.rtd",,"IMPL_VOL","."&amp;I$2&amp;I$1&amp;"P"&amp;$A16)="N/A",0,RTD("tos.rtd",,"IMPL_VOL","."&amp;I$2&amp;I$1&amp;"P"&amp;$A16))),0)-IFERROR(VALUE(IF(RTD("tos.rtd",,"IMPL_VOL","."&amp;I$2&amp;I$1&amp;"C"&amp;$A16)="N/A",0,RTD("tos.rtd",,"IMPL_VOL","."&amp;I$2&amp;I$1&amp;"C"&amp;$A16))),0),IF($A$2="MAXPAIN",IF($A$4&gt;$A16,($A$4-$A16)*IF(RTD("tos.rtd",,"OPEN_INT","."&amp;I$2&amp;I$1&amp;"C"&amp;$A16)="N/A",0,RTD("tos.rtd",,"OPEN_INT","."&amp;I$2&amp;I$1&amp;"C"&amp;$A16)),0)+IF($A$4&lt;$A16,($A$5-$A$4)*IF(RTD("tos.rtd",,"OPEN_INT","."&amp;I$2&amp;I$1&amp;"P"&amp;$A16)="N/A",0,RTD("tos.rtd",,"OPEN_INT","."&amp;I$2&amp;I$1&amp;"P"&amp;$A16)),0),IF($X$1="ABS",IF(RTD("tos.rtd",,$A$2,"."&amp;I$2&amp;I$1&amp;"C"&amp;$A16)="N/A",0,RTD("tos.rtd",,$A$2,"."&amp;I$2&amp;I$1&amp;"C"&amp;$A16))+IF(RTD("tos.rtd",,$A$2,"."&amp;I$2&amp;I$1&amp;"P"&amp;$A16)="N/A",0,RTD("tos.rtd",,$A$2,"."&amp;I$2&amp;I$1&amp;"P"&amp;$A16)),IF(RTD("tos.rtd",,$A$2,"."&amp;I$2&amp;I$1&amp;"C"&amp;$A16)="N/A",0,RTD("tos.rtd",,$A$2,"."&amp;I$2&amp;I$1&amp;"C"&amp;$A16))-IF(RTD("tos.rtd",,$A$2,"."&amp;I$2&amp;I$1&amp;"P"&amp;$A16)="N/A",0,RTD("tos.rtd",,$A$2,"."&amp;I$2&amp;I$1&amp;"P"&amp;$A16))))))))))</f>
        <v>0</v>
      </c>
      <c r="J16" s="12">
        <f ca="1">IF($A$2="PREMIUM_OI",IFERROR(IF($X$1="ABS",(100*RTD("tos.rtd",,"OPEN_INT","."&amp;J$2&amp;J$1&amp;"C"&amp;$A16)*RTD("tos.rtd",,"LAST","."&amp;J$2&amp;J$1&amp;"C"&amp;$A16)+100*RTD("tos.rtd",,"OPEN_INT","."&amp;J$2&amp;J$1&amp;"P"&amp;$A16)*RTD("tos.rtd",,"LAST","."&amp;J$2&amp;J$1&amp;"P"&amp;$A16))/1000000,(100*RTD("tos.rtd",,"OPEN_INT","."&amp;J$2&amp;J$1&amp;"C"&amp;$A16)*RTD("tos.rtd",,"LAST","."&amp;J$2&amp;J$1&amp;"C"&amp;$A16)-100*RTD("tos.rtd",,"OPEN_INT","."&amp;J$2&amp;J$1&amp;"P"&amp;$A16)*RTD("tos.rtd",,"LAST","."&amp;J$2&amp;J$1&amp;"P"&amp;$A16))/1000000),0),IF($A$2="PREMIUM",IFERROR(IF($X$1="ABS",(100*RTD("tos.rtd",,"VOLUME","."&amp;J$2&amp;J$1&amp;"C"&amp;$A16)*RTD("tos.rtd",,"LAST","."&amp;J$2&amp;J$1&amp;"C"&amp;$A16)+100*RTD("tos.rtd",,"VOLUME","."&amp;J$2&amp;J$1&amp;"P"&amp;$A16)*RTD("tos.rtd",,"LAST","."&amp;J$2&amp;J$1&amp;"P"&amp;$A16))/1000000,(100*RTD("tos.rtd",,"VOLUME","."&amp;J$2&amp;J$1&amp;"C"&amp;$A16)*RTD("tos.rtd",,"LAST","."&amp;J$2&amp;J$1&amp;"C"&amp;$A16)-100*RTD("tos.rtd",,"VOLUME","."&amp;J$2&amp;J$1&amp;"P"&amp;$A16)*RTD("tos.rtd",,"LAST","."&amp;J$2&amp;J$1&amp;"P"&amp;$A16))/1000000),0),IF($A$2="DEX",IFERROR(IF($X$1="ABS",(100*RTD("tos.rtd",,"OPEN_INT","."&amp;J$2&amp;J$1&amp;"C"&amp;$A16)*RTD("tos.rtd",,"DELTA","."&amp;J$2&amp;J$1&amp;"C"&amp;$A16)+100*RTD("tos.rtd",,"OPEN_INT","."&amp;J$2&amp;J$1&amp;"P"&amp;$A16)*RTD("tos.rtd",,"DELTA","."&amp;J$2&amp;J$1&amp;"P"&amp;$A16))/1000,(100*RTD("tos.rtd",,"OPEN_INT","."&amp;J$2&amp;J$1&amp;"C"&amp;$A16)*RTD("tos.rtd",,"DELTA","."&amp;J$2&amp;J$1&amp;"C"&amp;$A16)-100*RTD("tos.rtd",,"OPEN_INT","."&amp;J$2&amp;J$1&amp;"P"&amp;$A16)*RTD("tos.rtd",,"DELTA","."&amp;J$2&amp;J$1&amp;"P"&amp;$A16))/1000),0),IF($A$2="VEX",IFERROR(IF($X$1="ABS",($A$4*$A$4*RTD("tos.rtd",,"VOLUME","."&amp;J$2&amp;J$1&amp;"C"&amp;$A16)*RTD("tos.rtd",,"GAMMA","."&amp;J$2&amp;J$1&amp;"C"&amp;$A16)+$A$4*$A$4*RTD("tos.rtd",,"VOLUME","."&amp;J$2&amp;J$1&amp;"P"&amp;$A16)*RTD("tos.rtd",,"GAMMA","."&amp;J$2&amp;J$1&amp;"P"&amp;$A16))/1000000,($A$4*$A$4*RTD("tos.rtd",,"VOLUME","."&amp;J$2&amp;J$1&amp;"C"&amp;$A16)*RTD("tos.rtd",,"GAMMA","."&amp;J$2&amp;J$1&amp;"C"&amp;$A16)-$A$4*$A$4*RTD("tos.rtd",,"VOLUME","."&amp;J$2&amp;J$1&amp;"P"&amp;$A16)*RTD("tos.rtd",,"GAMMA","."&amp;J$2&amp;J$1&amp;"P"&amp;$A16))/1000000),0),IF($A$2="GEX",IFERROR(IF($X$1="ABS",($A$4*$A$4*RTD("tos.rtd",,"OPEN_INT","."&amp;J$2&amp;J$1&amp;"C"&amp;$A16)*RTD("tos.rtd",,"GAMMA","."&amp;J$2&amp;J$1&amp;"C"&amp;$A16)+$A$4*$A$4*RTD("tos.rtd",,"OPEN_INT","."&amp;J$2&amp;J$1&amp;"P"&amp;$A16)*RTD("tos.rtd",,"GAMMA","."&amp;J$2&amp;J$1&amp;"P"&amp;$A16))/1000000,($A$4*$A$4*RTD("tos.rtd",,"OPEN_INT","."&amp;J$2&amp;J$1&amp;"C"&amp;$A16)*RTD("tos.rtd",,"GAMMA","."&amp;J$2&amp;J$1&amp;"C"&amp;$A16)-$A$4*$A$4*RTD("tos.rtd",,"OPEN_INT","."&amp;J$2&amp;J$1&amp;"P"&amp;$A16)*RTD("tos.rtd",,"GAMMA","."&amp;J$2&amp;J$1&amp;"P"&amp;$A16))/1000000),0),IF($A$2="SKEW",IFERROR(VALUE(IF(RTD("tos.rtd",,"IMPL_VOL","."&amp;J$2&amp;J$1&amp;"P"&amp;$A16)="N/A",0,RTD("tos.rtd",,"IMPL_VOL","."&amp;J$2&amp;J$1&amp;"P"&amp;$A16))),0)-IFERROR(VALUE(IF(RTD("tos.rtd",,"IMPL_VOL","."&amp;J$2&amp;J$1&amp;"C"&amp;$A16)="N/A",0,RTD("tos.rtd",,"IMPL_VOL","."&amp;J$2&amp;J$1&amp;"C"&amp;$A16))),0),IF($A$2="MAXPAIN",IF($A$4&gt;$A16,($A$4-$A16)*IF(RTD("tos.rtd",,"OPEN_INT","."&amp;J$2&amp;J$1&amp;"C"&amp;$A16)="N/A",0,RTD("tos.rtd",,"OPEN_INT","."&amp;J$2&amp;J$1&amp;"C"&amp;$A16)),0)+IF($A$4&lt;$A16,($A$5-$A$4)*IF(RTD("tos.rtd",,"OPEN_INT","."&amp;J$2&amp;J$1&amp;"P"&amp;$A16)="N/A",0,RTD("tos.rtd",,"OPEN_INT","."&amp;J$2&amp;J$1&amp;"P"&amp;$A16)),0),IF($X$1="ABS",IF(RTD("tos.rtd",,$A$2,"."&amp;J$2&amp;J$1&amp;"C"&amp;$A16)="N/A",0,RTD("tos.rtd",,$A$2,"."&amp;J$2&amp;J$1&amp;"C"&amp;$A16))+IF(RTD("tos.rtd",,$A$2,"."&amp;J$2&amp;J$1&amp;"P"&amp;$A16)="N/A",0,RTD("tos.rtd",,$A$2,"."&amp;J$2&amp;J$1&amp;"P"&amp;$A16)),IF(RTD("tos.rtd",,$A$2,"."&amp;J$2&amp;J$1&amp;"C"&amp;$A16)="N/A",0,RTD("tos.rtd",,$A$2,"."&amp;J$2&amp;J$1&amp;"C"&amp;$A16))-IF(RTD("tos.rtd",,$A$2,"."&amp;J$2&amp;J$1&amp;"P"&amp;$A16)="N/A",0,RTD("tos.rtd",,$A$2,"."&amp;J$2&amp;J$1&amp;"P"&amp;$A16))))))))))</f>
        <v>0</v>
      </c>
      <c r="K16" s="12">
        <f ca="1">IF($A$2="PREMIUM_OI",IFERROR(IF($X$1="ABS",(100*RTD("tos.rtd",,"OPEN_INT","."&amp;K$2&amp;K$1&amp;"C"&amp;$A16)*RTD("tos.rtd",,"LAST","."&amp;K$2&amp;K$1&amp;"C"&amp;$A16)+100*RTD("tos.rtd",,"OPEN_INT","."&amp;K$2&amp;K$1&amp;"P"&amp;$A16)*RTD("tos.rtd",,"LAST","."&amp;K$2&amp;K$1&amp;"P"&amp;$A16))/1000000,(100*RTD("tos.rtd",,"OPEN_INT","."&amp;K$2&amp;K$1&amp;"C"&amp;$A16)*RTD("tos.rtd",,"LAST","."&amp;K$2&amp;K$1&amp;"C"&amp;$A16)-100*RTD("tos.rtd",,"OPEN_INT","."&amp;K$2&amp;K$1&amp;"P"&amp;$A16)*RTD("tos.rtd",,"LAST","."&amp;K$2&amp;K$1&amp;"P"&amp;$A16))/1000000),0),IF($A$2="PREMIUM",IFERROR(IF($X$1="ABS",(100*RTD("tos.rtd",,"VOLUME","."&amp;K$2&amp;K$1&amp;"C"&amp;$A16)*RTD("tos.rtd",,"LAST","."&amp;K$2&amp;K$1&amp;"C"&amp;$A16)+100*RTD("tos.rtd",,"VOLUME","."&amp;K$2&amp;K$1&amp;"P"&amp;$A16)*RTD("tos.rtd",,"LAST","."&amp;K$2&amp;K$1&amp;"P"&amp;$A16))/1000000,(100*RTD("tos.rtd",,"VOLUME","."&amp;K$2&amp;K$1&amp;"C"&amp;$A16)*RTD("tos.rtd",,"LAST","."&amp;K$2&amp;K$1&amp;"C"&amp;$A16)-100*RTD("tos.rtd",,"VOLUME","."&amp;K$2&amp;K$1&amp;"P"&amp;$A16)*RTD("tos.rtd",,"LAST","."&amp;K$2&amp;K$1&amp;"P"&amp;$A16))/1000000),0),IF($A$2="DEX",IFERROR(IF($X$1="ABS",(100*RTD("tos.rtd",,"OPEN_INT","."&amp;K$2&amp;K$1&amp;"C"&amp;$A16)*RTD("tos.rtd",,"DELTA","."&amp;K$2&amp;K$1&amp;"C"&amp;$A16)+100*RTD("tos.rtd",,"OPEN_INT","."&amp;K$2&amp;K$1&amp;"P"&amp;$A16)*RTD("tos.rtd",,"DELTA","."&amp;K$2&amp;K$1&amp;"P"&amp;$A16))/1000,(100*RTD("tos.rtd",,"OPEN_INT","."&amp;K$2&amp;K$1&amp;"C"&amp;$A16)*RTD("tos.rtd",,"DELTA","."&amp;K$2&amp;K$1&amp;"C"&amp;$A16)-100*RTD("tos.rtd",,"OPEN_INT","."&amp;K$2&amp;K$1&amp;"P"&amp;$A16)*RTD("tos.rtd",,"DELTA","."&amp;K$2&amp;K$1&amp;"P"&amp;$A16))/1000),0),IF($A$2="VEX",IFERROR(IF($X$1="ABS",($A$4*$A$4*RTD("tos.rtd",,"VOLUME","."&amp;K$2&amp;K$1&amp;"C"&amp;$A16)*RTD("tos.rtd",,"GAMMA","."&amp;K$2&amp;K$1&amp;"C"&amp;$A16)+$A$4*$A$4*RTD("tos.rtd",,"VOLUME","."&amp;K$2&amp;K$1&amp;"P"&amp;$A16)*RTD("tos.rtd",,"GAMMA","."&amp;K$2&amp;K$1&amp;"P"&amp;$A16))/1000000,($A$4*$A$4*RTD("tos.rtd",,"VOLUME","."&amp;K$2&amp;K$1&amp;"C"&amp;$A16)*RTD("tos.rtd",,"GAMMA","."&amp;K$2&amp;K$1&amp;"C"&amp;$A16)-$A$4*$A$4*RTD("tos.rtd",,"VOLUME","."&amp;K$2&amp;K$1&amp;"P"&amp;$A16)*RTD("tos.rtd",,"GAMMA","."&amp;K$2&amp;K$1&amp;"P"&amp;$A16))/1000000),0),IF($A$2="GEX",IFERROR(IF($X$1="ABS",($A$4*$A$4*RTD("tos.rtd",,"OPEN_INT","."&amp;K$2&amp;K$1&amp;"C"&amp;$A16)*RTD("tos.rtd",,"GAMMA","."&amp;K$2&amp;K$1&amp;"C"&amp;$A16)+$A$4*$A$4*RTD("tos.rtd",,"OPEN_INT","."&amp;K$2&amp;K$1&amp;"P"&amp;$A16)*RTD("tos.rtd",,"GAMMA","."&amp;K$2&amp;K$1&amp;"P"&amp;$A16))/1000000,($A$4*$A$4*RTD("tos.rtd",,"OPEN_INT","."&amp;K$2&amp;K$1&amp;"C"&amp;$A16)*RTD("tos.rtd",,"GAMMA","."&amp;K$2&amp;K$1&amp;"C"&amp;$A16)-$A$4*$A$4*RTD("tos.rtd",,"OPEN_INT","."&amp;K$2&amp;K$1&amp;"P"&amp;$A16)*RTD("tos.rtd",,"GAMMA","."&amp;K$2&amp;K$1&amp;"P"&amp;$A16))/1000000),0),IF($A$2="SKEW",IFERROR(VALUE(IF(RTD("tos.rtd",,"IMPL_VOL","."&amp;K$2&amp;K$1&amp;"P"&amp;$A16)="N/A",0,RTD("tos.rtd",,"IMPL_VOL","."&amp;K$2&amp;K$1&amp;"P"&amp;$A16))),0)-IFERROR(VALUE(IF(RTD("tos.rtd",,"IMPL_VOL","."&amp;K$2&amp;K$1&amp;"C"&amp;$A16)="N/A",0,RTD("tos.rtd",,"IMPL_VOL","."&amp;K$2&amp;K$1&amp;"C"&amp;$A16))),0),IF($A$2="MAXPAIN",IF($A$4&gt;$A16,($A$4-$A16)*IF(RTD("tos.rtd",,"OPEN_INT","."&amp;K$2&amp;K$1&amp;"C"&amp;$A16)="N/A",0,RTD("tos.rtd",,"OPEN_INT","."&amp;K$2&amp;K$1&amp;"C"&amp;$A16)),0)+IF($A$4&lt;$A16,($A$5-$A$4)*IF(RTD("tos.rtd",,"OPEN_INT","."&amp;K$2&amp;K$1&amp;"P"&amp;$A16)="N/A",0,RTD("tos.rtd",,"OPEN_INT","."&amp;K$2&amp;K$1&amp;"P"&amp;$A16)),0),IF($X$1="ABS",IF(RTD("tos.rtd",,$A$2,"."&amp;K$2&amp;K$1&amp;"C"&amp;$A16)="N/A",0,RTD("tos.rtd",,$A$2,"."&amp;K$2&amp;K$1&amp;"C"&amp;$A16))+IF(RTD("tos.rtd",,$A$2,"."&amp;K$2&amp;K$1&amp;"P"&amp;$A16)="N/A",0,RTD("tos.rtd",,$A$2,"."&amp;K$2&amp;K$1&amp;"P"&amp;$A16)),IF(RTD("tos.rtd",,$A$2,"."&amp;K$2&amp;K$1&amp;"C"&amp;$A16)="N/A",0,RTD("tos.rtd",,$A$2,"."&amp;K$2&amp;K$1&amp;"C"&amp;$A16))-IF(RTD("tos.rtd",,$A$2,"."&amp;K$2&amp;K$1&amp;"P"&amp;$A16)="N/A",0,RTD("tos.rtd",,$A$2,"."&amp;K$2&amp;K$1&amp;"P"&amp;$A16))))))))))</f>
        <v>0</v>
      </c>
      <c r="L16" s="54">
        <f ca="1">IF($A$2="PREMIUM_OI",IFERROR(IF($X$1="ABS",(100*RTD("tos.rtd",,"OPEN_INT","."&amp;L$2&amp;L$1&amp;"C"&amp;$A16)*RTD("tos.rtd",,"LAST","."&amp;L$2&amp;L$1&amp;"C"&amp;$A16)+100*RTD("tos.rtd",,"OPEN_INT","."&amp;L$2&amp;L$1&amp;"P"&amp;$A16)*RTD("tos.rtd",,"LAST","."&amp;L$2&amp;L$1&amp;"P"&amp;$A16))/1000000,(100*RTD("tos.rtd",,"OPEN_INT","."&amp;L$2&amp;L$1&amp;"C"&amp;$A16)*RTD("tos.rtd",,"LAST","."&amp;L$2&amp;L$1&amp;"C"&amp;$A16)-100*RTD("tos.rtd",,"OPEN_INT","."&amp;L$2&amp;L$1&amp;"P"&amp;$A16)*RTD("tos.rtd",,"LAST","."&amp;L$2&amp;L$1&amp;"P"&amp;$A16))/1000000),0),IF($A$2="PREMIUM",IFERROR(IF($X$1="ABS",(100*RTD("tos.rtd",,"VOLUME","."&amp;L$2&amp;L$1&amp;"C"&amp;$A16)*RTD("tos.rtd",,"LAST","."&amp;L$2&amp;L$1&amp;"C"&amp;$A16)+100*RTD("tos.rtd",,"VOLUME","."&amp;L$2&amp;L$1&amp;"P"&amp;$A16)*RTD("tos.rtd",,"LAST","."&amp;L$2&amp;L$1&amp;"P"&amp;$A16))/1000000,(100*RTD("tos.rtd",,"VOLUME","."&amp;L$2&amp;L$1&amp;"C"&amp;$A16)*RTD("tos.rtd",,"LAST","."&amp;L$2&amp;L$1&amp;"C"&amp;$A16)-100*RTD("tos.rtd",,"VOLUME","."&amp;L$2&amp;L$1&amp;"P"&amp;$A16)*RTD("tos.rtd",,"LAST","."&amp;L$2&amp;L$1&amp;"P"&amp;$A16))/1000000),0),IF($A$2="DEX",IFERROR(IF($X$1="ABS",(100*RTD("tos.rtd",,"OPEN_INT","."&amp;L$2&amp;L$1&amp;"C"&amp;$A16)*RTD("tos.rtd",,"DELTA","."&amp;L$2&amp;L$1&amp;"C"&amp;$A16)+100*RTD("tos.rtd",,"OPEN_INT","."&amp;L$2&amp;L$1&amp;"P"&amp;$A16)*RTD("tos.rtd",,"DELTA","."&amp;L$2&amp;L$1&amp;"P"&amp;$A16))/1000,(100*RTD("tos.rtd",,"OPEN_INT","."&amp;L$2&amp;L$1&amp;"C"&amp;$A16)*RTD("tos.rtd",,"DELTA","."&amp;L$2&amp;L$1&amp;"C"&amp;$A16)-100*RTD("tos.rtd",,"OPEN_INT","."&amp;L$2&amp;L$1&amp;"P"&amp;$A16)*RTD("tos.rtd",,"DELTA","."&amp;L$2&amp;L$1&amp;"P"&amp;$A16))/1000),0),IF($A$2="VEX",IFERROR(IF($X$1="ABS",($A$4*$A$4*RTD("tos.rtd",,"VOLUME","."&amp;L$2&amp;L$1&amp;"C"&amp;$A16)*RTD("tos.rtd",,"GAMMA","."&amp;L$2&amp;L$1&amp;"C"&amp;$A16)+$A$4*$A$4*RTD("tos.rtd",,"VOLUME","."&amp;L$2&amp;L$1&amp;"P"&amp;$A16)*RTD("tos.rtd",,"GAMMA","."&amp;L$2&amp;L$1&amp;"P"&amp;$A16))/1000000,($A$4*$A$4*RTD("tos.rtd",,"VOLUME","."&amp;L$2&amp;L$1&amp;"C"&amp;$A16)*RTD("tos.rtd",,"GAMMA","."&amp;L$2&amp;L$1&amp;"C"&amp;$A16)-$A$4*$A$4*RTD("tos.rtd",,"VOLUME","."&amp;L$2&amp;L$1&amp;"P"&amp;$A16)*RTD("tos.rtd",,"GAMMA","."&amp;L$2&amp;L$1&amp;"P"&amp;$A16))/1000000),0),IF($A$2="GEX",IFERROR(IF($X$1="ABS",($A$4*$A$4*RTD("tos.rtd",,"OPEN_INT","."&amp;L$2&amp;L$1&amp;"C"&amp;$A16)*RTD("tos.rtd",,"GAMMA","."&amp;L$2&amp;L$1&amp;"C"&amp;$A16)+$A$4*$A$4*RTD("tos.rtd",,"OPEN_INT","."&amp;L$2&amp;L$1&amp;"P"&amp;$A16)*RTD("tos.rtd",,"GAMMA","."&amp;L$2&amp;L$1&amp;"P"&amp;$A16))/1000000,($A$4*$A$4*RTD("tos.rtd",,"OPEN_INT","."&amp;L$2&amp;L$1&amp;"C"&amp;$A16)*RTD("tos.rtd",,"GAMMA","."&amp;L$2&amp;L$1&amp;"C"&amp;$A16)-$A$4*$A$4*RTD("tos.rtd",,"OPEN_INT","."&amp;L$2&amp;L$1&amp;"P"&amp;$A16)*RTD("tos.rtd",,"GAMMA","."&amp;L$2&amp;L$1&amp;"P"&amp;$A16))/1000000),0),IF($A$2="SKEW",IFERROR(VALUE(IF(RTD("tos.rtd",,"IMPL_VOL","."&amp;L$2&amp;L$1&amp;"P"&amp;$A16)="N/A",0,RTD("tos.rtd",,"IMPL_VOL","."&amp;L$2&amp;L$1&amp;"P"&amp;$A16))),0)-IFERROR(VALUE(IF(RTD("tos.rtd",,"IMPL_VOL","."&amp;L$2&amp;L$1&amp;"C"&amp;$A16)="N/A",0,RTD("tos.rtd",,"IMPL_VOL","."&amp;L$2&amp;L$1&amp;"C"&amp;$A16))),0),IF($A$2="MAXPAIN",IF($A$4&gt;$A16,($A$4-$A16)*IF(RTD("tos.rtd",,"OPEN_INT","."&amp;L$2&amp;L$1&amp;"C"&amp;$A16)="N/A",0,RTD("tos.rtd",,"OPEN_INT","."&amp;L$2&amp;L$1&amp;"C"&amp;$A16)),0)+IF($A$4&lt;$A16,($A$5-$A$4)*IF(RTD("tos.rtd",,"OPEN_INT","."&amp;L$2&amp;L$1&amp;"P"&amp;$A16)="N/A",0,RTD("tos.rtd",,"OPEN_INT","."&amp;L$2&amp;L$1&amp;"P"&amp;$A16)),0),IF($X$1="ABS",IF(RTD("tos.rtd",,$A$2,"."&amp;L$2&amp;L$1&amp;"C"&amp;$A16)="N/A",0,RTD("tos.rtd",,$A$2,"."&amp;L$2&amp;L$1&amp;"C"&amp;$A16))+IF(RTD("tos.rtd",,$A$2,"."&amp;L$2&amp;L$1&amp;"P"&amp;$A16)="N/A",0,RTD("tos.rtd",,$A$2,"."&amp;L$2&amp;L$1&amp;"P"&amp;$A16)),IF(RTD("tos.rtd",,$A$2,"."&amp;L$2&amp;L$1&amp;"C"&amp;$A16)="N/A",0,RTD("tos.rtd",,$A$2,"."&amp;L$2&amp;L$1&amp;"C"&amp;$A16))-IF(RTD("tos.rtd",,$A$2,"."&amp;L$2&amp;L$1&amp;"P"&amp;$A16)="N/A",0,RTD("tos.rtd",,$A$2,"."&amp;L$2&amp;L$1&amp;"P"&amp;$A16))))))))))</f>
        <v>0</v>
      </c>
      <c r="M16" s="12">
        <f ca="1">IF($A$2="PREMIUM_OI",IFERROR(IF($X$1="ABS",(100*RTD("tos.rtd",,"OPEN_INT","."&amp;M$2&amp;M$1&amp;"C"&amp;$A16)*RTD("tos.rtd",,"LAST","."&amp;M$2&amp;M$1&amp;"C"&amp;$A16)+100*RTD("tos.rtd",,"OPEN_INT","."&amp;M$2&amp;M$1&amp;"P"&amp;$A16)*RTD("tos.rtd",,"LAST","."&amp;M$2&amp;M$1&amp;"P"&amp;$A16))/1000000,(100*RTD("tos.rtd",,"OPEN_INT","."&amp;M$2&amp;M$1&amp;"C"&amp;$A16)*RTD("tos.rtd",,"LAST","."&amp;M$2&amp;M$1&amp;"C"&amp;$A16)-100*RTD("tos.rtd",,"OPEN_INT","."&amp;M$2&amp;M$1&amp;"P"&amp;$A16)*RTD("tos.rtd",,"LAST","."&amp;M$2&amp;M$1&amp;"P"&amp;$A16))/1000000),0),IF($A$2="PREMIUM",IFERROR(IF($X$1="ABS",(100*RTD("tos.rtd",,"VOLUME","."&amp;M$2&amp;M$1&amp;"C"&amp;$A16)*RTD("tos.rtd",,"LAST","."&amp;M$2&amp;M$1&amp;"C"&amp;$A16)+100*RTD("tos.rtd",,"VOLUME","."&amp;M$2&amp;M$1&amp;"P"&amp;$A16)*RTD("tos.rtd",,"LAST","."&amp;M$2&amp;M$1&amp;"P"&amp;$A16))/1000000,(100*RTD("tos.rtd",,"VOLUME","."&amp;M$2&amp;M$1&amp;"C"&amp;$A16)*RTD("tos.rtd",,"LAST","."&amp;M$2&amp;M$1&amp;"C"&amp;$A16)-100*RTD("tos.rtd",,"VOLUME","."&amp;M$2&amp;M$1&amp;"P"&amp;$A16)*RTD("tos.rtd",,"LAST","."&amp;M$2&amp;M$1&amp;"P"&amp;$A16))/1000000),0),IF($A$2="DEX",IFERROR(IF($X$1="ABS",(100*RTD("tos.rtd",,"OPEN_INT","."&amp;M$2&amp;M$1&amp;"C"&amp;$A16)*RTD("tos.rtd",,"DELTA","."&amp;M$2&amp;M$1&amp;"C"&amp;$A16)+100*RTD("tos.rtd",,"OPEN_INT","."&amp;M$2&amp;M$1&amp;"P"&amp;$A16)*RTD("tos.rtd",,"DELTA","."&amp;M$2&amp;M$1&amp;"P"&amp;$A16))/1000,(100*RTD("tos.rtd",,"OPEN_INT","."&amp;M$2&amp;M$1&amp;"C"&amp;$A16)*RTD("tos.rtd",,"DELTA","."&amp;M$2&amp;M$1&amp;"C"&amp;$A16)-100*RTD("tos.rtd",,"OPEN_INT","."&amp;M$2&amp;M$1&amp;"P"&amp;$A16)*RTD("tos.rtd",,"DELTA","."&amp;M$2&amp;M$1&amp;"P"&amp;$A16))/1000),0),IF($A$2="VEX",IFERROR(IF($X$1="ABS",($A$4*$A$4*RTD("tos.rtd",,"VOLUME","."&amp;M$2&amp;M$1&amp;"C"&amp;$A16)*RTD("tos.rtd",,"GAMMA","."&amp;M$2&amp;M$1&amp;"C"&amp;$A16)+$A$4*$A$4*RTD("tos.rtd",,"VOLUME","."&amp;M$2&amp;M$1&amp;"P"&amp;$A16)*RTD("tos.rtd",,"GAMMA","."&amp;M$2&amp;M$1&amp;"P"&amp;$A16))/1000000,($A$4*$A$4*RTD("tos.rtd",,"VOLUME","."&amp;M$2&amp;M$1&amp;"C"&amp;$A16)*RTD("tos.rtd",,"GAMMA","."&amp;M$2&amp;M$1&amp;"C"&amp;$A16)-$A$4*$A$4*RTD("tos.rtd",,"VOLUME","."&amp;M$2&amp;M$1&amp;"P"&amp;$A16)*RTD("tos.rtd",,"GAMMA","."&amp;M$2&amp;M$1&amp;"P"&amp;$A16))/1000000),0),IF($A$2="GEX",IFERROR(IF($X$1="ABS",($A$4*$A$4*RTD("tos.rtd",,"OPEN_INT","."&amp;M$2&amp;M$1&amp;"C"&amp;$A16)*RTD("tos.rtd",,"GAMMA","."&amp;M$2&amp;M$1&amp;"C"&amp;$A16)+$A$4*$A$4*RTD("tos.rtd",,"OPEN_INT","."&amp;M$2&amp;M$1&amp;"P"&amp;$A16)*RTD("tos.rtd",,"GAMMA","."&amp;M$2&amp;M$1&amp;"P"&amp;$A16))/1000000,($A$4*$A$4*RTD("tos.rtd",,"OPEN_INT","."&amp;M$2&amp;M$1&amp;"C"&amp;$A16)*RTD("tos.rtd",,"GAMMA","."&amp;M$2&amp;M$1&amp;"C"&amp;$A16)-$A$4*$A$4*RTD("tos.rtd",,"OPEN_INT","."&amp;M$2&amp;M$1&amp;"P"&amp;$A16)*RTD("tos.rtd",,"GAMMA","."&amp;M$2&amp;M$1&amp;"P"&amp;$A16))/1000000),0),IF($A$2="SKEW",IFERROR(VALUE(IF(RTD("tos.rtd",,"IMPL_VOL","."&amp;M$2&amp;M$1&amp;"P"&amp;$A16)="N/A",0,RTD("tos.rtd",,"IMPL_VOL","."&amp;M$2&amp;M$1&amp;"P"&amp;$A16))),0)-IFERROR(VALUE(IF(RTD("tos.rtd",,"IMPL_VOL","."&amp;M$2&amp;M$1&amp;"C"&amp;$A16)="N/A",0,RTD("tos.rtd",,"IMPL_VOL","."&amp;M$2&amp;M$1&amp;"C"&amp;$A16))),0),IF($A$2="MAXPAIN",IF($A$4&gt;$A16,($A$4-$A16)*IF(RTD("tos.rtd",,"OPEN_INT","."&amp;M$2&amp;M$1&amp;"C"&amp;$A16)="N/A",0,RTD("tos.rtd",,"OPEN_INT","."&amp;M$2&amp;M$1&amp;"C"&amp;$A16)),0)+IF($A$4&lt;$A16,($A$5-$A$4)*IF(RTD("tos.rtd",,"OPEN_INT","."&amp;M$2&amp;M$1&amp;"P"&amp;$A16)="N/A",0,RTD("tos.rtd",,"OPEN_INT","."&amp;M$2&amp;M$1&amp;"P"&amp;$A16)),0),IF($X$1="ABS",IF(RTD("tos.rtd",,$A$2,"."&amp;M$2&amp;M$1&amp;"C"&amp;$A16)="N/A",0,RTD("tos.rtd",,$A$2,"."&amp;M$2&amp;M$1&amp;"C"&amp;$A16))+IF(RTD("tos.rtd",,$A$2,"."&amp;M$2&amp;M$1&amp;"P"&amp;$A16)="N/A",0,RTD("tos.rtd",,$A$2,"."&amp;M$2&amp;M$1&amp;"P"&amp;$A16)),IF(RTD("tos.rtd",,$A$2,"."&amp;M$2&amp;M$1&amp;"C"&amp;$A16)="N/A",0,RTD("tos.rtd",,$A$2,"."&amp;M$2&amp;M$1&amp;"C"&amp;$A16))-IF(RTD("tos.rtd",,$A$2,"."&amp;M$2&amp;M$1&amp;"P"&amp;$A16)="N/A",0,RTD("tos.rtd",,$A$2,"."&amp;M$2&amp;M$1&amp;"P"&amp;$A16))))))))))</f>
        <v>0</v>
      </c>
      <c r="N16" s="12">
        <f ca="1">IF($A$2="PREMIUM_OI",IFERROR(IF($X$1="ABS",(100*RTD("tos.rtd",,"OPEN_INT","."&amp;N$2&amp;N$1&amp;"C"&amp;$A16)*RTD("tos.rtd",,"LAST","."&amp;N$2&amp;N$1&amp;"C"&amp;$A16)+100*RTD("tos.rtd",,"OPEN_INT","."&amp;N$2&amp;N$1&amp;"P"&amp;$A16)*RTD("tos.rtd",,"LAST","."&amp;N$2&amp;N$1&amp;"P"&amp;$A16))/1000000,(100*RTD("tos.rtd",,"OPEN_INT","."&amp;N$2&amp;N$1&amp;"C"&amp;$A16)*RTD("tos.rtd",,"LAST","."&amp;N$2&amp;N$1&amp;"C"&amp;$A16)-100*RTD("tos.rtd",,"OPEN_INT","."&amp;N$2&amp;N$1&amp;"P"&amp;$A16)*RTD("tos.rtd",,"LAST","."&amp;N$2&amp;N$1&amp;"P"&amp;$A16))/1000000),0),IF($A$2="PREMIUM",IFERROR(IF($X$1="ABS",(100*RTD("tos.rtd",,"VOLUME","."&amp;N$2&amp;N$1&amp;"C"&amp;$A16)*RTD("tos.rtd",,"LAST","."&amp;N$2&amp;N$1&amp;"C"&amp;$A16)+100*RTD("tos.rtd",,"VOLUME","."&amp;N$2&amp;N$1&amp;"P"&amp;$A16)*RTD("tos.rtd",,"LAST","."&amp;N$2&amp;N$1&amp;"P"&amp;$A16))/1000000,(100*RTD("tos.rtd",,"VOLUME","."&amp;N$2&amp;N$1&amp;"C"&amp;$A16)*RTD("tos.rtd",,"LAST","."&amp;N$2&amp;N$1&amp;"C"&amp;$A16)-100*RTD("tos.rtd",,"VOLUME","."&amp;N$2&amp;N$1&amp;"P"&amp;$A16)*RTD("tos.rtd",,"LAST","."&amp;N$2&amp;N$1&amp;"P"&amp;$A16))/1000000),0),IF($A$2="DEX",IFERROR(IF($X$1="ABS",(100*RTD("tos.rtd",,"OPEN_INT","."&amp;N$2&amp;N$1&amp;"C"&amp;$A16)*RTD("tos.rtd",,"DELTA","."&amp;N$2&amp;N$1&amp;"C"&amp;$A16)+100*RTD("tos.rtd",,"OPEN_INT","."&amp;N$2&amp;N$1&amp;"P"&amp;$A16)*RTD("tos.rtd",,"DELTA","."&amp;N$2&amp;N$1&amp;"P"&amp;$A16))/1000,(100*RTD("tos.rtd",,"OPEN_INT","."&amp;N$2&amp;N$1&amp;"C"&amp;$A16)*RTD("tos.rtd",,"DELTA","."&amp;N$2&amp;N$1&amp;"C"&amp;$A16)-100*RTD("tos.rtd",,"OPEN_INT","."&amp;N$2&amp;N$1&amp;"P"&amp;$A16)*RTD("tos.rtd",,"DELTA","."&amp;N$2&amp;N$1&amp;"P"&amp;$A16))/1000),0),IF($A$2="VEX",IFERROR(IF($X$1="ABS",($A$4*$A$4*RTD("tos.rtd",,"VOLUME","."&amp;N$2&amp;N$1&amp;"C"&amp;$A16)*RTD("tos.rtd",,"GAMMA","."&amp;N$2&amp;N$1&amp;"C"&amp;$A16)+$A$4*$A$4*RTD("tos.rtd",,"VOLUME","."&amp;N$2&amp;N$1&amp;"P"&amp;$A16)*RTD("tos.rtd",,"GAMMA","."&amp;N$2&amp;N$1&amp;"P"&amp;$A16))/1000000,($A$4*$A$4*RTD("tos.rtd",,"VOLUME","."&amp;N$2&amp;N$1&amp;"C"&amp;$A16)*RTD("tos.rtd",,"GAMMA","."&amp;N$2&amp;N$1&amp;"C"&amp;$A16)-$A$4*$A$4*RTD("tos.rtd",,"VOLUME","."&amp;N$2&amp;N$1&amp;"P"&amp;$A16)*RTD("tos.rtd",,"GAMMA","."&amp;N$2&amp;N$1&amp;"P"&amp;$A16))/1000000),0),IF($A$2="GEX",IFERROR(IF($X$1="ABS",($A$4*$A$4*RTD("tos.rtd",,"OPEN_INT","."&amp;N$2&amp;N$1&amp;"C"&amp;$A16)*RTD("tos.rtd",,"GAMMA","."&amp;N$2&amp;N$1&amp;"C"&amp;$A16)+$A$4*$A$4*RTD("tos.rtd",,"OPEN_INT","."&amp;N$2&amp;N$1&amp;"P"&amp;$A16)*RTD("tos.rtd",,"GAMMA","."&amp;N$2&amp;N$1&amp;"P"&amp;$A16))/1000000,($A$4*$A$4*RTD("tos.rtd",,"OPEN_INT","."&amp;N$2&amp;N$1&amp;"C"&amp;$A16)*RTD("tos.rtd",,"GAMMA","."&amp;N$2&amp;N$1&amp;"C"&amp;$A16)-$A$4*$A$4*RTD("tos.rtd",,"OPEN_INT","."&amp;N$2&amp;N$1&amp;"P"&amp;$A16)*RTD("tos.rtd",,"GAMMA","."&amp;N$2&amp;N$1&amp;"P"&amp;$A16))/1000000),0),IF($A$2="SKEW",IFERROR(VALUE(IF(RTD("tos.rtd",,"IMPL_VOL","."&amp;N$2&amp;N$1&amp;"P"&amp;$A16)="N/A",0,RTD("tos.rtd",,"IMPL_VOL","."&amp;N$2&amp;N$1&amp;"P"&amp;$A16))),0)-IFERROR(VALUE(IF(RTD("tos.rtd",,"IMPL_VOL","."&amp;N$2&amp;N$1&amp;"C"&amp;$A16)="N/A",0,RTD("tos.rtd",,"IMPL_VOL","."&amp;N$2&amp;N$1&amp;"C"&amp;$A16))),0),IF($A$2="MAXPAIN",IF($A$4&gt;$A16,($A$4-$A16)*IF(RTD("tos.rtd",,"OPEN_INT","."&amp;N$2&amp;N$1&amp;"C"&amp;$A16)="N/A",0,RTD("tos.rtd",,"OPEN_INT","."&amp;N$2&amp;N$1&amp;"C"&amp;$A16)),0)+IF($A$4&lt;$A16,($A$5-$A$4)*IF(RTD("tos.rtd",,"OPEN_INT","."&amp;N$2&amp;N$1&amp;"P"&amp;$A16)="N/A",0,RTD("tos.rtd",,"OPEN_INT","."&amp;N$2&amp;N$1&amp;"P"&amp;$A16)),0),IF($X$1="ABS",IF(RTD("tos.rtd",,$A$2,"."&amp;N$2&amp;N$1&amp;"C"&amp;$A16)="N/A",0,RTD("tos.rtd",,$A$2,"."&amp;N$2&amp;N$1&amp;"C"&amp;$A16))+IF(RTD("tos.rtd",,$A$2,"."&amp;N$2&amp;N$1&amp;"P"&amp;$A16)="N/A",0,RTD("tos.rtd",,$A$2,"."&amp;N$2&amp;N$1&amp;"P"&amp;$A16)),IF(RTD("tos.rtd",,$A$2,"."&amp;N$2&amp;N$1&amp;"C"&amp;$A16)="N/A",0,RTD("tos.rtd",,$A$2,"."&amp;N$2&amp;N$1&amp;"C"&amp;$A16))-IF(RTD("tos.rtd",,$A$2,"."&amp;N$2&amp;N$1&amp;"P"&amp;$A16)="N/A",0,RTD("tos.rtd",,$A$2,"."&amp;N$2&amp;N$1&amp;"P"&amp;$A16))))))))))</f>
        <v>0</v>
      </c>
      <c r="O16" s="12">
        <f ca="1">IF($A$2="PREMIUM_OI",IFERROR(IF($X$1="ABS",(100*RTD("tos.rtd",,"OPEN_INT","."&amp;O$2&amp;O$1&amp;"C"&amp;$A16)*RTD("tos.rtd",,"LAST","."&amp;O$2&amp;O$1&amp;"C"&amp;$A16)+100*RTD("tos.rtd",,"OPEN_INT","."&amp;O$2&amp;O$1&amp;"P"&amp;$A16)*RTD("tos.rtd",,"LAST","."&amp;O$2&amp;O$1&amp;"P"&amp;$A16))/1000000,(100*RTD("tos.rtd",,"OPEN_INT","."&amp;O$2&amp;O$1&amp;"C"&amp;$A16)*RTD("tos.rtd",,"LAST","."&amp;O$2&amp;O$1&amp;"C"&amp;$A16)-100*RTD("tos.rtd",,"OPEN_INT","."&amp;O$2&amp;O$1&amp;"P"&amp;$A16)*RTD("tos.rtd",,"LAST","."&amp;O$2&amp;O$1&amp;"P"&amp;$A16))/1000000),0),IF($A$2="PREMIUM",IFERROR(IF($X$1="ABS",(100*RTD("tos.rtd",,"VOLUME","."&amp;O$2&amp;O$1&amp;"C"&amp;$A16)*RTD("tos.rtd",,"LAST","."&amp;O$2&amp;O$1&amp;"C"&amp;$A16)+100*RTD("tos.rtd",,"VOLUME","."&amp;O$2&amp;O$1&amp;"P"&amp;$A16)*RTD("tos.rtd",,"LAST","."&amp;O$2&amp;O$1&amp;"P"&amp;$A16))/1000000,(100*RTD("tos.rtd",,"VOLUME","."&amp;O$2&amp;O$1&amp;"C"&amp;$A16)*RTD("tos.rtd",,"LAST","."&amp;O$2&amp;O$1&amp;"C"&amp;$A16)-100*RTD("tos.rtd",,"VOLUME","."&amp;O$2&amp;O$1&amp;"P"&amp;$A16)*RTD("tos.rtd",,"LAST","."&amp;O$2&amp;O$1&amp;"P"&amp;$A16))/1000000),0),IF($A$2="DEX",IFERROR(IF($X$1="ABS",(100*RTD("tos.rtd",,"OPEN_INT","."&amp;O$2&amp;O$1&amp;"C"&amp;$A16)*RTD("tos.rtd",,"DELTA","."&amp;O$2&amp;O$1&amp;"C"&amp;$A16)+100*RTD("tos.rtd",,"OPEN_INT","."&amp;O$2&amp;O$1&amp;"P"&amp;$A16)*RTD("tos.rtd",,"DELTA","."&amp;O$2&amp;O$1&amp;"P"&amp;$A16))/1000,(100*RTD("tos.rtd",,"OPEN_INT","."&amp;O$2&amp;O$1&amp;"C"&amp;$A16)*RTD("tos.rtd",,"DELTA","."&amp;O$2&amp;O$1&amp;"C"&amp;$A16)-100*RTD("tos.rtd",,"OPEN_INT","."&amp;O$2&amp;O$1&amp;"P"&amp;$A16)*RTD("tos.rtd",,"DELTA","."&amp;O$2&amp;O$1&amp;"P"&amp;$A16))/1000),0),IF($A$2="VEX",IFERROR(IF($X$1="ABS",($A$4*$A$4*RTD("tos.rtd",,"VOLUME","."&amp;O$2&amp;O$1&amp;"C"&amp;$A16)*RTD("tos.rtd",,"GAMMA","."&amp;O$2&amp;O$1&amp;"C"&amp;$A16)+$A$4*$A$4*RTD("tos.rtd",,"VOLUME","."&amp;O$2&amp;O$1&amp;"P"&amp;$A16)*RTD("tos.rtd",,"GAMMA","."&amp;O$2&amp;O$1&amp;"P"&amp;$A16))/1000000,($A$4*$A$4*RTD("tos.rtd",,"VOLUME","."&amp;O$2&amp;O$1&amp;"C"&amp;$A16)*RTD("tos.rtd",,"GAMMA","."&amp;O$2&amp;O$1&amp;"C"&amp;$A16)-$A$4*$A$4*RTD("tos.rtd",,"VOLUME","."&amp;O$2&amp;O$1&amp;"P"&amp;$A16)*RTD("tos.rtd",,"GAMMA","."&amp;O$2&amp;O$1&amp;"P"&amp;$A16))/1000000),0),IF($A$2="GEX",IFERROR(IF($X$1="ABS",($A$4*$A$4*RTD("tos.rtd",,"OPEN_INT","."&amp;O$2&amp;O$1&amp;"C"&amp;$A16)*RTD("tos.rtd",,"GAMMA","."&amp;O$2&amp;O$1&amp;"C"&amp;$A16)+$A$4*$A$4*RTD("tos.rtd",,"OPEN_INT","."&amp;O$2&amp;O$1&amp;"P"&amp;$A16)*RTD("tos.rtd",,"GAMMA","."&amp;O$2&amp;O$1&amp;"P"&amp;$A16))/1000000,($A$4*$A$4*RTD("tos.rtd",,"OPEN_INT","."&amp;O$2&amp;O$1&amp;"C"&amp;$A16)*RTD("tos.rtd",,"GAMMA","."&amp;O$2&amp;O$1&amp;"C"&amp;$A16)-$A$4*$A$4*RTD("tos.rtd",,"OPEN_INT","."&amp;O$2&amp;O$1&amp;"P"&amp;$A16)*RTD("tos.rtd",,"GAMMA","."&amp;O$2&amp;O$1&amp;"P"&amp;$A16))/1000000),0),IF($A$2="SKEW",IFERROR(VALUE(IF(RTD("tos.rtd",,"IMPL_VOL","."&amp;O$2&amp;O$1&amp;"P"&amp;$A16)="N/A",0,RTD("tos.rtd",,"IMPL_VOL","."&amp;O$2&amp;O$1&amp;"P"&amp;$A16))),0)-IFERROR(VALUE(IF(RTD("tos.rtd",,"IMPL_VOL","."&amp;O$2&amp;O$1&amp;"C"&amp;$A16)="N/A",0,RTD("tos.rtd",,"IMPL_VOL","."&amp;O$2&amp;O$1&amp;"C"&amp;$A16))),0),IF($A$2="MAXPAIN",IF($A$4&gt;$A16,($A$4-$A16)*IF(RTD("tos.rtd",,"OPEN_INT","."&amp;O$2&amp;O$1&amp;"C"&amp;$A16)="N/A",0,RTD("tos.rtd",,"OPEN_INT","."&amp;O$2&amp;O$1&amp;"C"&amp;$A16)),0)+IF($A$4&lt;$A16,($A$5-$A$4)*IF(RTD("tos.rtd",,"OPEN_INT","."&amp;O$2&amp;O$1&amp;"P"&amp;$A16)="N/A",0,RTD("tos.rtd",,"OPEN_INT","."&amp;O$2&amp;O$1&amp;"P"&amp;$A16)),0),IF($X$1="ABS",IF(RTD("tos.rtd",,$A$2,"."&amp;O$2&amp;O$1&amp;"C"&amp;$A16)="N/A",0,RTD("tos.rtd",,$A$2,"."&amp;O$2&amp;O$1&amp;"C"&amp;$A16))+IF(RTD("tos.rtd",,$A$2,"."&amp;O$2&amp;O$1&amp;"P"&amp;$A16)="N/A",0,RTD("tos.rtd",,$A$2,"."&amp;O$2&amp;O$1&amp;"P"&amp;$A16)),IF(RTD("tos.rtd",,$A$2,"."&amp;O$2&amp;O$1&amp;"C"&amp;$A16)="N/A",0,RTD("tos.rtd",,$A$2,"."&amp;O$2&amp;O$1&amp;"C"&amp;$A16))-IF(RTD("tos.rtd",,$A$2,"."&amp;O$2&amp;O$1&amp;"P"&amp;$A16)="N/A",0,RTD("tos.rtd",,$A$2,"."&amp;O$2&amp;O$1&amp;"P"&amp;$A16))))))))))</f>
        <v>0</v>
      </c>
      <c r="P16" s="12">
        <f ca="1">IF($A$2="PREMIUM_OI",IFERROR(IF($X$1="ABS",(100*RTD("tos.rtd",,"OPEN_INT","."&amp;P$2&amp;P$1&amp;"C"&amp;$A16)*RTD("tos.rtd",,"LAST","."&amp;P$2&amp;P$1&amp;"C"&amp;$A16)+100*RTD("tos.rtd",,"OPEN_INT","."&amp;P$2&amp;P$1&amp;"P"&amp;$A16)*RTD("tos.rtd",,"LAST","."&amp;P$2&amp;P$1&amp;"P"&amp;$A16))/1000000,(100*RTD("tos.rtd",,"OPEN_INT","."&amp;P$2&amp;P$1&amp;"C"&amp;$A16)*RTD("tos.rtd",,"LAST","."&amp;P$2&amp;P$1&amp;"C"&amp;$A16)-100*RTD("tos.rtd",,"OPEN_INT","."&amp;P$2&amp;P$1&amp;"P"&amp;$A16)*RTD("tos.rtd",,"LAST","."&amp;P$2&amp;P$1&amp;"P"&amp;$A16))/1000000),0),IF($A$2="PREMIUM",IFERROR(IF($X$1="ABS",(100*RTD("tos.rtd",,"VOLUME","."&amp;P$2&amp;P$1&amp;"C"&amp;$A16)*RTD("tos.rtd",,"LAST","."&amp;P$2&amp;P$1&amp;"C"&amp;$A16)+100*RTD("tos.rtd",,"VOLUME","."&amp;P$2&amp;P$1&amp;"P"&amp;$A16)*RTD("tos.rtd",,"LAST","."&amp;P$2&amp;P$1&amp;"P"&amp;$A16))/1000000,(100*RTD("tos.rtd",,"VOLUME","."&amp;P$2&amp;P$1&amp;"C"&amp;$A16)*RTD("tos.rtd",,"LAST","."&amp;P$2&amp;P$1&amp;"C"&amp;$A16)-100*RTD("tos.rtd",,"VOLUME","."&amp;P$2&amp;P$1&amp;"P"&amp;$A16)*RTD("tos.rtd",,"LAST","."&amp;P$2&amp;P$1&amp;"P"&amp;$A16))/1000000),0),IF($A$2="DEX",IFERROR(IF($X$1="ABS",(100*RTD("tos.rtd",,"OPEN_INT","."&amp;P$2&amp;P$1&amp;"C"&amp;$A16)*RTD("tos.rtd",,"DELTA","."&amp;P$2&amp;P$1&amp;"C"&amp;$A16)+100*RTD("tos.rtd",,"OPEN_INT","."&amp;P$2&amp;P$1&amp;"P"&amp;$A16)*RTD("tos.rtd",,"DELTA","."&amp;P$2&amp;P$1&amp;"P"&amp;$A16))/1000,(100*RTD("tos.rtd",,"OPEN_INT","."&amp;P$2&amp;P$1&amp;"C"&amp;$A16)*RTD("tos.rtd",,"DELTA","."&amp;P$2&amp;P$1&amp;"C"&amp;$A16)-100*RTD("tos.rtd",,"OPEN_INT","."&amp;P$2&amp;P$1&amp;"P"&amp;$A16)*RTD("tos.rtd",,"DELTA","."&amp;P$2&amp;P$1&amp;"P"&amp;$A16))/1000),0),IF($A$2="VEX",IFERROR(IF($X$1="ABS",($A$4*$A$4*RTD("tos.rtd",,"VOLUME","."&amp;P$2&amp;P$1&amp;"C"&amp;$A16)*RTD("tos.rtd",,"GAMMA","."&amp;P$2&amp;P$1&amp;"C"&amp;$A16)+$A$4*$A$4*RTD("tos.rtd",,"VOLUME","."&amp;P$2&amp;P$1&amp;"P"&amp;$A16)*RTD("tos.rtd",,"GAMMA","."&amp;P$2&amp;P$1&amp;"P"&amp;$A16))/1000000,($A$4*$A$4*RTD("tos.rtd",,"VOLUME","."&amp;P$2&amp;P$1&amp;"C"&amp;$A16)*RTD("tos.rtd",,"GAMMA","."&amp;P$2&amp;P$1&amp;"C"&amp;$A16)-$A$4*$A$4*RTD("tos.rtd",,"VOLUME","."&amp;P$2&amp;P$1&amp;"P"&amp;$A16)*RTD("tos.rtd",,"GAMMA","."&amp;P$2&amp;P$1&amp;"P"&amp;$A16))/1000000),0),IF($A$2="GEX",IFERROR(IF($X$1="ABS",($A$4*$A$4*RTD("tos.rtd",,"OPEN_INT","."&amp;P$2&amp;P$1&amp;"C"&amp;$A16)*RTD("tos.rtd",,"GAMMA","."&amp;P$2&amp;P$1&amp;"C"&amp;$A16)+$A$4*$A$4*RTD("tos.rtd",,"OPEN_INT","."&amp;P$2&amp;P$1&amp;"P"&amp;$A16)*RTD("tos.rtd",,"GAMMA","."&amp;P$2&amp;P$1&amp;"P"&amp;$A16))/1000000,($A$4*$A$4*RTD("tos.rtd",,"OPEN_INT","."&amp;P$2&amp;P$1&amp;"C"&amp;$A16)*RTD("tos.rtd",,"GAMMA","."&amp;P$2&amp;P$1&amp;"C"&amp;$A16)-$A$4*$A$4*RTD("tos.rtd",,"OPEN_INT","."&amp;P$2&amp;P$1&amp;"P"&amp;$A16)*RTD("tos.rtd",,"GAMMA","."&amp;P$2&amp;P$1&amp;"P"&amp;$A16))/1000000),0),IF($A$2="SKEW",IFERROR(VALUE(IF(RTD("tos.rtd",,"IMPL_VOL","."&amp;P$2&amp;P$1&amp;"P"&amp;$A16)="N/A",0,RTD("tos.rtd",,"IMPL_VOL","."&amp;P$2&amp;P$1&amp;"P"&amp;$A16))),0)-IFERROR(VALUE(IF(RTD("tos.rtd",,"IMPL_VOL","."&amp;P$2&amp;P$1&amp;"C"&amp;$A16)="N/A",0,RTD("tos.rtd",,"IMPL_VOL","."&amp;P$2&amp;P$1&amp;"C"&amp;$A16))),0),IF($A$2="MAXPAIN",IF($A$4&gt;$A16,($A$4-$A16)*IF(RTD("tos.rtd",,"OPEN_INT","."&amp;P$2&amp;P$1&amp;"C"&amp;$A16)="N/A",0,RTD("tos.rtd",,"OPEN_INT","."&amp;P$2&amp;P$1&amp;"C"&amp;$A16)),0)+IF($A$4&lt;$A16,($A$5-$A$4)*IF(RTD("tos.rtd",,"OPEN_INT","."&amp;P$2&amp;P$1&amp;"P"&amp;$A16)="N/A",0,RTD("tos.rtd",,"OPEN_INT","."&amp;P$2&amp;P$1&amp;"P"&amp;$A16)),0),IF($X$1="ABS",IF(RTD("tos.rtd",,$A$2,"."&amp;P$2&amp;P$1&amp;"C"&amp;$A16)="N/A",0,RTD("tos.rtd",,$A$2,"."&amp;P$2&amp;P$1&amp;"C"&amp;$A16))+IF(RTD("tos.rtd",,$A$2,"."&amp;P$2&amp;P$1&amp;"P"&amp;$A16)="N/A",0,RTD("tos.rtd",,$A$2,"."&amp;P$2&amp;P$1&amp;"P"&amp;$A16)),IF(RTD("tos.rtd",,$A$2,"."&amp;P$2&amp;P$1&amp;"C"&amp;$A16)="N/A",0,RTD("tos.rtd",,$A$2,"."&amp;P$2&amp;P$1&amp;"C"&amp;$A16))-IF(RTD("tos.rtd",,$A$2,"."&amp;P$2&amp;P$1&amp;"P"&amp;$A16)="N/A",0,RTD("tos.rtd",,$A$2,"."&amp;P$2&amp;P$1&amp;"P"&amp;$A16))))))))))</f>
        <v>0</v>
      </c>
      <c r="Q16" s="12">
        <f ca="1">IF($A$2="PREMIUM_OI",IFERROR(IF($X$1="ABS",(100*RTD("tos.rtd",,"OPEN_INT","."&amp;Q$2&amp;Q$1&amp;"C"&amp;$A16)*RTD("tos.rtd",,"LAST","."&amp;Q$2&amp;Q$1&amp;"C"&amp;$A16)+100*RTD("tos.rtd",,"OPEN_INT","."&amp;Q$2&amp;Q$1&amp;"P"&amp;$A16)*RTD("tos.rtd",,"LAST","."&amp;Q$2&amp;Q$1&amp;"P"&amp;$A16))/1000000,(100*RTD("tos.rtd",,"OPEN_INT","."&amp;Q$2&amp;Q$1&amp;"C"&amp;$A16)*RTD("tos.rtd",,"LAST","."&amp;Q$2&amp;Q$1&amp;"C"&amp;$A16)-100*RTD("tos.rtd",,"OPEN_INT","."&amp;Q$2&amp;Q$1&amp;"P"&amp;$A16)*RTD("tos.rtd",,"LAST","."&amp;Q$2&amp;Q$1&amp;"P"&amp;$A16))/1000000),0),IF($A$2="PREMIUM",IFERROR(IF($X$1="ABS",(100*RTD("tos.rtd",,"VOLUME","."&amp;Q$2&amp;Q$1&amp;"C"&amp;$A16)*RTD("tos.rtd",,"LAST","."&amp;Q$2&amp;Q$1&amp;"C"&amp;$A16)+100*RTD("tos.rtd",,"VOLUME","."&amp;Q$2&amp;Q$1&amp;"P"&amp;$A16)*RTD("tos.rtd",,"LAST","."&amp;Q$2&amp;Q$1&amp;"P"&amp;$A16))/1000000,(100*RTD("tos.rtd",,"VOLUME","."&amp;Q$2&amp;Q$1&amp;"C"&amp;$A16)*RTD("tos.rtd",,"LAST","."&amp;Q$2&amp;Q$1&amp;"C"&amp;$A16)-100*RTD("tos.rtd",,"VOLUME","."&amp;Q$2&amp;Q$1&amp;"P"&amp;$A16)*RTD("tos.rtd",,"LAST","."&amp;Q$2&amp;Q$1&amp;"P"&amp;$A16))/1000000),0),IF($A$2="DEX",IFERROR(IF($X$1="ABS",(100*RTD("tos.rtd",,"OPEN_INT","."&amp;Q$2&amp;Q$1&amp;"C"&amp;$A16)*RTD("tos.rtd",,"DELTA","."&amp;Q$2&amp;Q$1&amp;"C"&amp;$A16)+100*RTD("tos.rtd",,"OPEN_INT","."&amp;Q$2&amp;Q$1&amp;"P"&amp;$A16)*RTD("tos.rtd",,"DELTA","."&amp;Q$2&amp;Q$1&amp;"P"&amp;$A16))/1000,(100*RTD("tos.rtd",,"OPEN_INT","."&amp;Q$2&amp;Q$1&amp;"C"&amp;$A16)*RTD("tos.rtd",,"DELTA","."&amp;Q$2&amp;Q$1&amp;"C"&amp;$A16)-100*RTD("tos.rtd",,"OPEN_INT","."&amp;Q$2&amp;Q$1&amp;"P"&amp;$A16)*RTD("tos.rtd",,"DELTA","."&amp;Q$2&amp;Q$1&amp;"P"&amp;$A16))/1000),0),IF($A$2="VEX",IFERROR(IF($X$1="ABS",($A$4*$A$4*RTD("tos.rtd",,"VOLUME","."&amp;Q$2&amp;Q$1&amp;"C"&amp;$A16)*RTD("tos.rtd",,"GAMMA","."&amp;Q$2&amp;Q$1&amp;"C"&amp;$A16)+$A$4*$A$4*RTD("tos.rtd",,"VOLUME","."&amp;Q$2&amp;Q$1&amp;"P"&amp;$A16)*RTD("tos.rtd",,"GAMMA","."&amp;Q$2&amp;Q$1&amp;"P"&amp;$A16))/1000000,($A$4*$A$4*RTD("tos.rtd",,"VOLUME","."&amp;Q$2&amp;Q$1&amp;"C"&amp;$A16)*RTD("tos.rtd",,"GAMMA","."&amp;Q$2&amp;Q$1&amp;"C"&amp;$A16)-$A$4*$A$4*RTD("tos.rtd",,"VOLUME","."&amp;Q$2&amp;Q$1&amp;"P"&amp;$A16)*RTD("tos.rtd",,"GAMMA","."&amp;Q$2&amp;Q$1&amp;"P"&amp;$A16))/1000000),0),IF($A$2="GEX",IFERROR(IF($X$1="ABS",($A$4*$A$4*RTD("tos.rtd",,"OPEN_INT","."&amp;Q$2&amp;Q$1&amp;"C"&amp;$A16)*RTD("tos.rtd",,"GAMMA","."&amp;Q$2&amp;Q$1&amp;"C"&amp;$A16)+$A$4*$A$4*RTD("tos.rtd",,"OPEN_INT","."&amp;Q$2&amp;Q$1&amp;"P"&amp;$A16)*RTD("tos.rtd",,"GAMMA","."&amp;Q$2&amp;Q$1&amp;"P"&amp;$A16))/1000000,($A$4*$A$4*RTD("tos.rtd",,"OPEN_INT","."&amp;Q$2&amp;Q$1&amp;"C"&amp;$A16)*RTD("tos.rtd",,"GAMMA","."&amp;Q$2&amp;Q$1&amp;"C"&amp;$A16)-$A$4*$A$4*RTD("tos.rtd",,"OPEN_INT","."&amp;Q$2&amp;Q$1&amp;"P"&amp;$A16)*RTD("tos.rtd",,"GAMMA","."&amp;Q$2&amp;Q$1&amp;"P"&amp;$A16))/1000000),0),IF($A$2="SKEW",IFERROR(VALUE(IF(RTD("tos.rtd",,"IMPL_VOL","."&amp;Q$2&amp;Q$1&amp;"P"&amp;$A16)="N/A",0,RTD("tos.rtd",,"IMPL_VOL","."&amp;Q$2&amp;Q$1&amp;"P"&amp;$A16))),0)-IFERROR(VALUE(IF(RTD("tos.rtd",,"IMPL_VOL","."&amp;Q$2&amp;Q$1&amp;"C"&amp;$A16)="N/A",0,RTD("tos.rtd",,"IMPL_VOL","."&amp;Q$2&amp;Q$1&amp;"C"&amp;$A16))),0),IF($A$2="MAXPAIN",IF($A$4&gt;$A16,($A$4-$A16)*IF(RTD("tos.rtd",,"OPEN_INT","."&amp;Q$2&amp;Q$1&amp;"C"&amp;$A16)="N/A",0,RTD("tos.rtd",,"OPEN_INT","."&amp;Q$2&amp;Q$1&amp;"C"&amp;$A16)),0)+IF($A$4&lt;$A16,($A$5-$A$4)*IF(RTD("tos.rtd",,"OPEN_INT","."&amp;Q$2&amp;Q$1&amp;"P"&amp;$A16)="N/A",0,RTD("tos.rtd",,"OPEN_INT","."&amp;Q$2&amp;Q$1&amp;"P"&amp;$A16)),0),IF($X$1="ABS",IF(RTD("tos.rtd",,$A$2,"."&amp;Q$2&amp;Q$1&amp;"C"&amp;$A16)="N/A",0,RTD("tos.rtd",,$A$2,"."&amp;Q$2&amp;Q$1&amp;"C"&amp;$A16))+IF(RTD("tos.rtd",,$A$2,"."&amp;Q$2&amp;Q$1&amp;"P"&amp;$A16)="N/A",0,RTD("tos.rtd",,$A$2,"."&amp;Q$2&amp;Q$1&amp;"P"&amp;$A16)),IF(RTD("tos.rtd",,$A$2,"."&amp;Q$2&amp;Q$1&amp;"C"&amp;$A16)="N/A",0,RTD("tos.rtd",,$A$2,"."&amp;Q$2&amp;Q$1&amp;"C"&amp;$A16))-IF(RTD("tos.rtd",,$A$2,"."&amp;Q$2&amp;Q$1&amp;"P"&amp;$A16)="N/A",0,RTD("tos.rtd",,$A$2,"."&amp;Q$2&amp;Q$1&amp;"P"&amp;$A16))))))))))</f>
        <v>0</v>
      </c>
      <c r="R16" s="12">
        <f ca="1">IF($A$2="PREMIUM_OI",IFERROR(IF($X$1="ABS",(100*RTD("tos.rtd",,"OPEN_INT","."&amp;R$2&amp;R$1&amp;"C"&amp;$A16)*RTD("tos.rtd",,"LAST","."&amp;R$2&amp;R$1&amp;"C"&amp;$A16)+100*RTD("tos.rtd",,"OPEN_INT","."&amp;R$2&amp;R$1&amp;"P"&amp;$A16)*RTD("tos.rtd",,"LAST","."&amp;R$2&amp;R$1&amp;"P"&amp;$A16))/1000000,(100*RTD("tos.rtd",,"OPEN_INT","."&amp;R$2&amp;R$1&amp;"C"&amp;$A16)*RTD("tos.rtd",,"LAST","."&amp;R$2&amp;R$1&amp;"C"&amp;$A16)-100*RTD("tos.rtd",,"OPEN_INT","."&amp;R$2&amp;R$1&amp;"P"&amp;$A16)*RTD("tos.rtd",,"LAST","."&amp;R$2&amp;R$1&amp;"P"&amp;$A16))/1000000),0),IF($A$2="PREMIUM",IFERROR(IF($X$1="ABS",(100*RTD("tos.rtd",,"VOLUME","."&amp;R$2&amp;R$1&amp;"C"&amp;$A16)*RTD("tos.rtd",,"LAST","."&amp;R$2&amp;R$1&amp;"C"&amp;$A16)+100*RTD("tos.rtd",,"VOLUME","."&amp;R$2&amp;R$1&amp;"P"&amp;$A16)*RTD("tos.rtd",,"LAST","."&amp;R$2&amp;R$1&amp;"P"&amp;$A16))/1000000,(100*RTD("tos.rtd",,"VOLUME","."&amp;R$2&amp;R$1&amp;"C"&amp;$A16)*RTD("tos.rtd",,"LAST","."&amp;R$2&amp;R$1&amp;"C"&amp;$A16)-100*RTD("tos.rtd",,"VOLUME","."&amp;R$2&amp;R$1&amp;"P"&amp;$A16)*RTD("tos.rtd",,"LAST","."&amp;R$2&amp;R$1&amp;"P"&amp;$A16))/1000000),0),IF($A$2="DEX",IFERROR(IF($X$1="ABS",(100*RTD("tos.rtd",,"OPEN_INT","."&amp;R$2&amp;R$1&amp;"C"&amp;$A16)*RTD("tos.rtd",,"DELTA","."&amp;R$2&amp;R$1&amp;"C"&amp;$A16)+100*RTD("tos.rtd",,"OPEN_INT","."&amp;R$2&amp;R$1&amp;"P"&amp;$A16)*RTD("tos.rtd",,"DELTA","."&amp;R$2&amp;R$1&amp;"P"&amp;$A16))/1000,(100*RTD("tos.rtd",,"OPEN_INT","."&amp;R$2&amp;R$1&amp;"C"&amp;$A16)*RTD("tos.rtd",,"DELTA","."&amp;R$2&amp;R$1&amp;"C"&amp;$A16)-100*RTD("tos.rtd",,"OPEN_INT","."&amp;R$2&amp;R$1&amp;"P"&amp;$A16)*RTD("tos.rtd",,"DELTA","."&amp;R$2&amp;R$1&amp;"P"&amp;$A16))/1000),0),IF($A$2="VEX",IFERROR(IF($X$1="ABS",($A$4*$A$4*RTD("tos.rtd",,"VOLUME","."&amp;R$2&amp;R$1&amp;"C"&amp;$A16)*RTD("tos.rtd",,"GAMMA","."&amp;R$2&amp;R$1&amp;"C"&amp;$A16)+$A$4*$A$4*RTD("tos.rtd",,"VOLUME","."&amp;R$2&amp;R$1&amp;"P"&amp;$A16)*RTD("tos.rtd",,"GAMMA","."&amp;R$2&amp;R$1&amp;"P"&amp;$A16))/1000000,($A$4*$A$4*RTD("tos.rtd",,"VOLUME","."&amp;R$2&amp;R$1&amp;"C"&amp;$A16)*RTD("tos.rtd",,"GAMMA","."&amp;R$2&amp;R$1&amp;"C"&amp;$A16)-$A$4*$A$4*RTD("tos.rtd",,"VOLUME","."&amp;R$2&amp;R$1&amp;"P"&amp;$A16)*RTD("tos.rtd",,"GAMMA","."&amp;R$2&amp;R$1&amp;"P"&amp;$A16))/1000000),0),IF($A$2="GEX",IFERROR(IF($X$1="ABS",($A$4*$A$4*RTD("tos.rtd",,"OPEN_INT","."&amp;R$2&amp;R$1&amp;"C"&amp;$A16)*RTD("tos.rtd",,"GAMMA","."&amp;R$2&amp;R$1&amp;"C"&amp;$A16)+$A$4*$A$4*RTD("tos.rtd",,"OPEN_INT","."&amp;R$2&amp;R$1&amp;"P"&amp;$A16)*RTD("tos.rtd",,"GAMMA","."&amp;R$2&amp;R$1&amp;"P"&amp;$A16))/1000000,($A$4*$A$4*RTD("tos.rtd",,"OPEN_INT","."&amp;R$2&amp;R$1&amp;"C"&amp;$A16)*RTD("tos.rtd",,"GAMMA","."&amp;R$2&amp;R$1&amp;"C"&amp;$A16)-$A$4*$A$4*RTD("tos.rtd",,"OPEN_INT","."&amp;R$2&amp;R$1&amp;"P"&amp;$A16)*RTD("tos.rtd",,"GAMMA","."&amp;R$2&amp;R$1&amp;"P"&amp;$A16))/1000000),0),IF($A$2="SKEW",IFERROR(VALUE(IF(RTD("tos.rtd",,"IMPL_VOL","."&amp;R$2&amp;R$1&amp;"P"&amp;$A16)="N/A",0,RTD("tos.rtd",,"IMPL_VOL","."&amp;R$2&amp;R$1&amp;"P"&amp;$A16))),0)-IFERROR(VALUE(IF(RTD("tos.rtd",,"IMPL_VOL","."&amp;R$2&amp;R$1&amp;"C"&amp;$A16)="N/A",0,RTD("tos.rtd",,"IMPL_VOL","."&amp;R$2&amp;R$1&amp;"C"&amp;$A16))),0),IF($A$2="MAXPAIN",IF($A$4&gt;$A16,($A$4-$A16)*IF(RTD("tos.rtd",,"OPEN_INT","."&amp;R$2&amp;R$1&amp;"C"&amp;$A16)="N/A",0,RTD("tos.rtd",,"OPEN_INT","."&amp;R$2&amp;R$1&amp;"C"&amp;$A16)),0)+IF($A$4&lt;$A16,($A$5-$A$4)*IF(RTD("tos.rtd",,"OPEN_INT","."&amp;R$2&amp;R$1&amp;"P"&amp;$A16)="N/A",0,RTD("tos.rtd",,"OPEN_INT","."&amp;R$2&amp;R$1&amp;"P"&amp;$A16)),0),IF($X$1="ABS",IF(RTD("tos.rtd",,$A$2,"."&amp;R$2&amp;R$1&amp;"C"&amp;$A16)="N/A",0,RTD("tos.rtd",,$A$2,"."&amp;R$2&amp;R$1&amp;"C"&amp;$A16))+IF(RTD("tos.rtd",,$A$2,"."&amp;R$2&amp;R$1&amp;"P"&amp;$A16)="N/A",0,RTD("tos.rtd",,$A$2,"."&amp;R$2&amp;R$1&amp;"P"&amp;$A16)),IF(RTD("tos.rtd",,$A$2,"."&amp;R$2&amp;R$1&amp;"C"&amp;$A16)="N/A",0,RTD("tos.rtd",,$A$2,"."&amp;R$2&amp;R$1&amp;"C"&amp;$A16))-IF(RTD("tos.rtd",,$A$2,"."&amp;R$2&amp;R$1&amp;"P"&amp;$A16)="N/A",0,RTD("tos.rtd",,$A$2,"."&amp;R$2&amp;R$1&amp;"P"&amp;$A16))))))))))</f>
        <v>0</v>
      </c>
      <c r="S16" s="12">
        <f ca="1">IF($A$2="PREMIUM_OI",IFERROR(IF($X$1="ABS",(100*RTD("tos.rtd",,"OPEN_INT","."&amp;S$2&amp;S$1&amp;"C"&amp;$A16)*RTD("tos.rtd",,"LAST","."&amp;S$2&amp;S$1&amp;"C"&amp;$A16)+100*RTD("tos.rtd",,"OPEN_INT","."&amp;S$2&amp;S$1&amp;"P"&amp;$A16)*RTD("tos.rtd",,"LAST","."&amp;S$2&amp;S$1&amp;"P"&amp;$A16))/1000000,(100*RTD("tos.rtd",,"OPEN_INT","."&amp;S$2&amp;S$1&amp;"C"&amp;$A16)*RTD("tos.rtd",,"LAST","."&amp;S$2&amp;S$1&amp;"C"&amp;$A16)-100*RTD("tos.rtd",,"OPEN_INT","."&amp;S$2&amp;S$1&amp;"P"&amp;$A16)*RTD("tos.rtd",,"LAST","."&amp;S$2&amp;S$1&amp;"P"&amp;$A16))/1000000),0),IF($A$2="PREMIUM",IFERROR(IF($X$1="ABS",(100*RTD("tos.rtd",,"VOLUME","."&amp;S$2&amp;S$1&amp;"C"&amp;$A16)*RTD("tos.rtd",,"LAST","."&amp;S$2&amp;S$1&amp;"C"&amp;$A16)+100*RTD("tos.rtd",,"VOLUME","."&amp;S$2&amp;S$1&amp;"P"&amp;$A16)*RTD("tos.rtd",,"LAST","."&amp;S$2&amp;S$1&amp;"P"&amp;$A16))/1000000,(100*RTD("tos.rtd",,"VOLUME","."&amp;S$2&amp;S$1&amp;"C"&amp;$A16)*RTD("tos.rtd",,"LAST","."&amp;S$2&amp;S$1&amp;"C"&amp;$A16)-100*RTD("tos.rtd",,"VOLUME","."&amp;S$2&amp;S$1&amp;"P"&amp;$A16)*RTD("tos.rtd",,"LAST","."&amp;S$2&amp;S$1&amp;"P"&amp;$A16))/1000000),0),IF($A$2="DEX",IFERROR(IF($X$1="ABS",(100*RTD("tos.rtd",,"OPEN_INT","."&amp;S$2&amp;S$1&amp;"C"&amp;$A16)*RTD("tos.rtd",,"DELTA","."&amp;S$2&amp;S$1&amp;"C"&amp;$A16)+100*RTD("tos.rtd",,"OPEN_INT","."&amp;S$2&amp;S$1&amp;"P"&amp;$A16)*RTD("tos.rtd",,"DELTA","."&amp;S$2&amp;S$1&amp;"P"&amp;$A16))/1000,(100*RTD("tos.rtd",,"OPEN_INT","."&amp;S$2&amp;S$1&amp;"C"&amp;$A16)*RTD("tos.rtd",,"DELTA","."&amp;S$2&amp;S$1&amp;"C"&amp;$A16)-100*RTD("tos.rtd",,"OPEN_INT","."&amp;S$2&amp;S$1&amp;"P"&amp;$A16)*RTD("tos.rtd",,"DELTA","."&amp;S$2&amp;S$1&amp;"P"&amp;$A16))/1000),0),IF($A$2="VEX",IFERROR(IF($X$1="ABS",($A$4*$A$4*RTD("tos.rtd",,"VOLUME","."&amp;S$2&amp;S$1&amp;"C"&amp;$A16)*RTD("tos.rtd",,"GAMMA","."&amp;S$2&amp;S$1&amp;"C"&amp;$A16)+$A$4*$A$4*RTD("tos.rtd",,"VOLUME","."&amp;S$2&amp;S$1&amp;"P"&amp;$A16)*RTD("tos.rtd",,"GAMMA","."&amp;S$2&amp;S$1&amp;"P"&amp;$A16))/1000000,($A$4*$A$4*RTD("tos.rtd",,"VOLUME","."&amp;S$2&amp;S$1&amp;"C"&amp;$A16)*RTD("tos.rtd",,"GAMMA","."&amp;S$2&amp;S$1&amp;"C"&amp;$A16)-$A$4*$A$4*RTD("tos.rtd",,"VOLUME","."&amp;S$2&amp;S$1&amp;"P"&amp;$A16)*RTD("tos.rtd",,"GAMMA","."&amp;S$2&amp;S$1&amp;"P"&amp;$A16))/1000000),0),IF($A$2="GEX",IFERROR(IF($X$1="ABS",($A$4*$A$4*RTD("tos.rtd",,"OPEN_INT","."&amp;S$2&amp;S$1&amp;"C"&amp;$A16)*RTD("tos.rtd",,"GAMMA","."&amp;S$2&amp;S$1&amp;"C"&amp;$A16)+$A$4*$A$4*RTD("tos.rtd",,"OPEN_INT","."&amp;S$2&amp;S$1&amp;"P"&amp;$A16)*RTD("tos.rtd",,"GAMMA","."&amp;S$2&amp;S$1&amp;"P"&amp;$A16))/1000000,($A$4*$A$4*RTD("tos.rtd",,"OPEN_INT","."&amp;S$2&amp;S$1&amp;"C"&amp;$A16)*RTD("tos.rtd",,"GAMMA","."&amp;S$2&amp;S$1&amp;"C"&amp;$A16)-$A$4*$A$4*RTD("tos.rtd",,"OPEN_INT","."&amp;S$2&amp;S$1&amp;"P"&amp;$A16)*RTD("tos.rtd",,"GAMMA","."&amp;S$2&amp;S$1&amp;"P"&amp;$A16))/1000000),0),IF($A$2="SKEW",IFERROR(VALUE(IF(RTD("tos.rtd",,"IMPL_VOL","."&amp;S$2&amp;S$1&amp;"P"&amp;$A16)="N/A",0,RTD("tos.rtd",,"IMPL_VOL","."&amp;S$2&amp;S$1&amp;"P"&amp;$A16))),0)-IFERROR(VALUE(IF(RTD("tos.rtd",,"IMPL_VOL","."&amp;S$2&amp;S$1&amp;"C"&amp;$A16)="N/A",0,RTD("tos.rtd",,"IMPL_VOL","."&amp;S$2&amp;S$1&amp;"C"&amp;$A16))),0),IF($A$2="MAXPAIN",IF($A$4&gt;$A16,($A$4-$A16)*IF(RTD("tos.rtd",,"OPEN_INT","."&amp;S$2&amp;S$1&amp;"C"&amp;$A16)="N/A",0,RTD("tos.rtd",,"OPEN_INT","."&amp;S$2&amp;S$1&amp;"C"&amp;$A16)),0)+IF($A$4&lt;$A16,($A$5-$A$4)*IF(RTD("tos.rtd",,"OPEN_INT","."&amp;S$2&amp;S$1&amp;"P"&amp;$A16)="N/A",0,RTD("tos.rtd",,"OPEN_INT","."&amp;S$2&amp;S$1&amp;"P"&amp;$A16)),0),IF($X$1="ABS",IF(RTD("tos.rtd",,$A$2,"."&amp;S$2&amp;S$1&amp;"C"&amp;$A16)="N/A",0,RTD("tos.rtd",,$A$2,"."&amp;S$2&amp;S$1&amp;"C"&amp;$A16))+IF(RTD("tos.rtd",,$A$2,"."&amp;S$2&amp;S$1&amp;"P"&amp;$A16)="N/A",0,RTD("tos.rtd",,$A$2,"."&amp;S$2&amp;S$1&amp;"P"&amp;$A16)),IF(RTD("tos.rtd",,$A$2,"."&amp;S$2&amp;S$1&amp;"C"&amp;$A16)="N/A",0,RTD("tos.rtd",,$A$2,"."&amp;S$2&amp;S$1&amp;"C"&amp;$A16))-IF(RTD("tos.rtd",,$A$2,"."&amp;S$2&amp;S$1&amp;"P"&amp;$A16)="N/A",0,RTD("tos.rtd",,$A$2,"."&amp;S$2&amp;S$1&amp;"P"&amp;$A16))))))))))</f>
        <v>0</v>
      </c>
      <c r="T16" s="12">
        <f ca="1">IF($A$2="PREMIUM_OI",IFERROR(IF($X$1="ABS",(100*RTD("tos.rtd",,"OPEN_INT","."&amp;T$2&amp;T$1&amp;"C"&amp;$A16)*RTD("tos.rtd",,"LAST","."&amp;T$2&amp;T$1&amp;"C"&amp;$A16)+100*RTD("tos.rtd",,"OPEN_INT","."&amp;T$2&amp;T$1&amp;"P"&amp;$A16)*RTD("tos.rtd",,"LAST","."&amp;T$2&amp;T$1&amp;"P"&amp;$A16))/1000000,(100*RTD("tos.rtd",,"OPEN_INT","."&amp;T$2&amp;T$1&amp;"C"&amp;$A16)*RTD("tos.rtd",,"LAST","."&amp;T$2&amp;T$1&amp;"C"&amp;$A16)-100*RTD("tos.rtd",,"OPEN_INT","."&amp;T$2&amp;T$1&amp;"P"&amp;$A16)*RTD("tos.rtd",,"LAST","."&amp;T$2&amp;T$1&amp;"P"&amp;$A16))/1000000),0),IF($A$2="PREMIUM",IFERROR(IF($X$1="ABS",(100*RTD("tos.rtd",,"VOLUME","."&amp;T$2&amp;T$1&amp;"C"&amp;$A16)*RTD("tos.rtd",,"LAST","."&amp;T$2&amp;T$1&amp;"C"&amp;$A16)+100*RTD("tos.rtd",,"VOLUME","."&amp;T$2&amp;T$1&amp;"P"&amp;$A16)*RTD("tos.rtd",,"LAST","."&amp;T$2&amp;T$1&amp;"P"&amp;$A16))/1000000,(100*RTD("tos.rtd",,"VOLUME","."&amp;T$2&amp;T$1&amp;"C"&amp;$A16)*RTD("tos.rtd",,"LAST","."&amp;T$2&amp;T$1&amp;"C"&amp;$A16)-100*RTD("tos.rtd",,"VOLUME","."&amp;T$2&amp;T$1&amp;"P"&amp;$A16)*RTD("tos.rtd",,"LAST","."&amp;T$2&amp;T$1&amp;"P"&amp;$A16))/1000000),0),IF($A$2="DEX",IFERROR(IF($X$1="ABS",(100*RTD("tos.rtd",,"OPEN_INT","."&amp;T$2&amp;T$1&amp;"C"&amp;$A16)*RTD("tos.rtd",,"DELTA","."&amp;T$2&amp;T$1&amp;"C"&amp;$A16)+100*RTD("tos.rtd",,"OPEN_INT","."&amp;T$2&amp;T$1&amp;"P"&amp;$A16)*RTD("tos.rtd",,"DELTA","."&amp;T$2&amp;T$1&amp;"P"&amp;$A16))/1000,(100*RTD("tos.rtd",,"OPEN_INT","."&amp;T$2&amp;T$1&amp;"C"&amp;$A16)*RTD("tos.rtd",,"DELTA","."&amp;T$2&amp;T$1&amp;"C"&amp;$A16)-100*RTD("tos.rtd",,"OPEN_INT","."&amp;T$2&amp;T$1&amp;"P"&amp;$A16)*RTD("tos.rtd",,"DELTA","."&amp;T$2&amp;T$1&amp;"P"&amp;$A16))/1000),0),IF($A$2="VEX",IFERROR(IF($X$1="ABS",($A$4*$A$4*RTD("tos.rtd",,"VOLUME","."&amp;T$2&amp;T$1&amp;"C"&amp;$A16)*RTD("tos.rtd",,"GAMMA","."&amp;T$2&amp;T$1&amp;"C"&amp;$A16)+$A$4*$A$4*RTD("tos.rtd",,"VOLUME","."&amp;T$2&amp;T$1&amp;"P"&amp;$A16)*RTD("tos.rtd",,"GAMMA","."&amp;T$2&amp;T$1&amp;"P"&amp;$A16))/1000000,($A$4*$A$4*RTD("tos.rtd",,"VOLUME","."&amp;T$2&amp;T$1&amp;"C"&amp;$A16)*RTD("tos.rtd",,"GAMMA","."&amp;T$2&amp;T$1&amp;"C"&amp;$A16)-$A$4*$A$4*RTD("tos.rtd",,"VOLUME","."&amp;T$2&amp;T$1&amp;"P"&amp;$A16)*RTD("tos.rtd",,"GAMMA","."&amp;T$2&amp;T$1&amp;"P"&amp;$A16))/1000000),0),IF($A$2="GEX",IFERROR(IF($X$1="ABS",($A$4*$A$4*RTD("tos.rtd",,"OPEN_INT","."&amp;T$2&amp;T$1&amp;"C"&amp;$A16)*RTD("tos.rtd",,"GAMMA","."&amp;T$2&amp;T$1&amp;"C"&amp;$A16)+$A$4*$A$4*RTD("tos.rtd",,"OPEN_INT","."&amp;T$2&amp;T$1&amp;"P"&amp;$A16)*RTD("tos.rtd",,"GAMMA","."&amp;T$2&amp;T$1&amp;"P"&amp;$A16))/1000000,($A$4*$A$4*RTD("tos.rtd",,"OPEN_INT","."&amp;T$2&amp;T$1&amp;"C"&amp;$A16)*RTD("tos.rtd",,"GAMMA","."&amp;T$2&amp;T$1&amp;"C"&amp;$A16)-$A$4*$A$4*RTD("tos.rtd",,"OPEN_INT","."&amp;T$2&amp;T$1&amp;"P"&amp;$A16)*RTD("tos.rtd",,"GAMMA","."&amp;T$2&amp;T$1&amp;"P"&amp;$A16))/1000000),0),IF($A$2="SKEW",IFERROR(VALUE(IF(RTD("tos.rtd",,"IMPL_VOL","."&amp;T$2&amp;T$1&amp;"P"&amp;$A16)="N/A",0,RTD("tos.rtd",,"IMPL_VOL","."&amp;T$2&amp;T$1&amp;"P"&amp;$A16))),0)-IFERROR(VALUE(IF(RTD("tos.rtd",,"IMPL_VOL","."&amp;T$2&amp;T$1&amp;"C"&amp;$A16)="N/A",0,RTD("tos.rtd",,"IMPL_VOL","."&amp;T$2&amp;T$1&amp;"C"&amp;$A16))),0),IF($A$2="MAXPAIN",IF($A$4&gt;$A16,($A$4-$A16)*IF(RTD("tos.rtd",,"OPEN_INT","."&amp;T$2&amp;T$1&amp;"C"&amp;$A16)="N/A",0,RTD("tos.rtd",,"OPEN_INT","."&amp;T$2&amp;T$1&amp;"C"&amp;$A16)),0)+IF($A$4&lt;$A16,($A$5-$A$4)*IF(RTD("tos.rtd",,"OPEN_INT","."&amp;T$2&amp;T$1&amp;"P"&amp;$A16)="N/A",0,RTD("tos.rtd",,"OPEN_INT","."&amp;T$2&amp;T$1&amp;"P"&amp;$A16)),0),IF($X$1="ABS",IF(RTD("tos.rtd",,$A$2,"."&amp;T$2&amp;T$1&amp;"C"&amp;$A16)="N/A",0,RTD("tos.rtd",,$A$2,"."&amp;T$2&amp;T$1&amp;"C"&amp;$A16))+IF(RTD("tos.rtd",,$A$2,"."&amp;T$2&amp;T$1&amp;"P"&amp;$A16)="N/A",0,RTD("tos.rtd",,$A$2,"."&amp;T$2&amp;T$1&amp;"P"&amp;$A16)),IF(RTD("tos.rtd",,$A$2,"."&amp;T$2&amp;T$1&amp;"C"&amp;$A16)="N/A",0,RTD("tos.rtd",,$A$2,"."&amp;T$2&amp;T$1&amp;"C"&amp;$A16))-IF(RTD("tos.rtd",,$A$2,"."&amp;T$2&amp;T$1&amp;"P"&amp;$A16)="N/A",0,RTD("tos.rtd",,$A$2,"."&amp;T$2&amp;T$1&amp;"P"&amp;$A16))))))))))</f>
        <v>0</v>
      </c>
      <c r="U16" s="12">
        <f ca="1">IF($A$2="PREMIUM_OI",IFERROR(IF($X$1="ABS",(100*RTD("tos.rtd",,"OPEN_INT","."&amp;U$2&amp;U$1&amp;"C"&amp;$A16)*RTD("tos.rtd",,"LAST","."&amp;U$2&amp;U$1&amp;"C"&amp;$A16)+100*RTD("tos.rtd",,"OPEN_INT","."&amp;U$2&amp;U$1&amp;"P"&amp;$A16)*RTD("tos.rtd",,"LAST","."&amp;U$2&amp;U$1&amp;"P"&amp;$A16))/1000000,(100*RTD("tos.rtd",,"OPEN_INT","."&amp;U$2&amp;U$1&amp;"C"&amp;$A16)*RTD("tos.rtd",,"LAST","."&amp;U$2&amp;U$1&amp;"C"&amp;$A16)-100*RTD("tos.rtd",,"OPEN_INT","."&amp;U$2&amp;U$1&amp;"P"&amp;$A16)*RTD("tos.rtd",,"LAST","."&amp;U$2&amp;U$1&amp;"P"&amp;$A16))/1000000),0),IF($A$2="PREMIUM",IFERROR(IF($X$1="ABS",(100*RTD("tos.rtd",,"VOLUME","."&amp;U$2&amp;U$1&amp;"C"&amp;$A16)*RTD("tos.rtd",,"LAST","."&amp;U$2&amp;U$1&amp;"C"&amp;$A16)+100*RTD("tos.rtd",,"VOLUME","."&amp;U$2&amp;U$1&amp;"P"&amp;$A16)*RTD("tos.rtd",,"LAST","."&amp;U$2&amp;U$1&amp;"P"&amp;$A16))/1000000,(100*RTD("tos.rtd",,"VOLUME","."&amp;U$2&amp;U$1&amp;"C"&amp;$A16)*RTD("tos.rtd",,"LAST","."&amp;U$2&amp;U$1&amp;"C"&amp;$A16)-100*RTD("tos.rtd",,"VOLUME","."&amp;U$2&amp;U$1&amp;"P"&amp;$A16)*RTD("tos.rtd",,"LAST","."&amp;U$2&amp;U$1&amp;"P"&amp;$A16))/1000000),0),IF($A$2="DEX",IFERROR(IF($X$1="ABS",(100*RTD("tos.rtd",,"OPEN_INT","."&amp;U$2&amp;U$1&amp;"C"&amp;$A16)*RTD("tos.rtd",,"DELTA","."&amp;U$2&amp;U$1&amp;"C"&amp;$A16)+100*RTD("tos.rtd",,"OPEN_INT","."&amp;U$2&amp;U$1&amp;"P"&amp;$A16)*RTD("tos.rtd",,"DELTA","."&amp;U$2&amp;U$1&amp;"P"&amp;$A16))/1000,(100*RTD("tos.rtd",,"OPEN_INT","."&amp;U$2&amp;U$1&amp;"C"&amp;$A16)*RTD("tos.rtd",,"DELTA","."&amp;U$2&amp;U$1&amp;"C"&amp;$A16)-100*RTD("tos.rtd",,"OPEN_INT","."&amp;U$2&amp;U$1&amp;"P"&amp;$A16)*RTD("tos.rtd",,"DELTA","."&amp;U$2&amp;U$1&amp;"P"&amp;$A16))/1000),0),IF($A$2="VEX",IFERROR(IF($X$1="ABS",($A$4*$A$4*RTD("tos.rtd",,"VOLUME","."&amp;U$2&amp;U$1&amp;"C"&amp;$A16)*RTD("tos.rtd",,"GAMMA","."&amp;U$2&amp;U$1&amp;"C"&amp;$A16)+$A$4*$A$4*RTD("tos.rtd",,"VOLUME","."&amp;U$2&amp;U$1&amp;"P"&amp;$A16)*RTD("tos.rtd",,"GAMMA","."&amp;U$2&amp;U$1&amp;"P"&amp;$A16))/1000000,($A$4*$A$4*RTD("tos.rtd",,"VOLUME","."&amp;U$2&amp;U$1&amp;"C"&amp;$A16)*RTD("tos.rtd",,"GAMMA","."&amp;U$2&amp;U$1&amp;"C"&amp;$A16)-$A$4*$A$4*RTD("tos.rtd",,"VOLUME","."&amp;U$2&amp;U$1&amp;"P"&amp;$A16)*RTD("tos.rtd",,"GAMMA","."&amp;U$2&amp;U$1&amp;"P"&amp;$A16))/1000000),0),IF($A$2="GEX",IFERROR(IF($X$1="ABS",($A$4*$A$4*RTD("tos.rtd",,"OPEN_INT","."&amp;U$2&amp;U$1&amp;"C"&amp;$A16)*RTD("tos.rtd",,"GAMMA","."&amp;U$2&amp;U$1&amp;"C"&amp;$A16)+$A$4*$A$4*RTD("tos.rtd",,"OPEN_INT","."&amp;U$2&amp;U$1&amp;"P"&amp;$A16)*RTD("tos.rtd",,"GAMMA","."&amp;U$2&amp;U$1&amp;"P"&amp;$A16))/1000000,($A$4*$A$4*RTD("tos.rtd",,"OPEN_INT","."&amp;U$2&amp;U$1&amp;"C"&amp;$A16)*RTD("tos.rtd",,"GAMMA","."&amp;U$2&amp;U$1&amp;"C"&amp;$A16)-$A$4*$A$4*RTD("tos.rtd",,"OPEN_INT","."&amp;U$2&amp;U$1&amp;"P"&amp;$A16)*RTD("tos.rtd",,"GAMMA","."&amp;U$2&amp;U$1&amp;"P"&amp;$A16))/1000000),0),IF($A$2="SKEW",IFERROR(VALUE(IF(RTD("tos.rtd",,"IMPL_VOL","."&amp;U$2&amp;U$1&amp;"P"&amp;$A16)="N/A",0,RTD("tos.rtd",,"IMPL_VOL","."&amp;U$2&amp;U$1&amp;"P"&amp;$A16))),0)-IFERROR(VALUE(IF(RTD("tos.rtd",,"IMPL_VOL","."&amp;U$2&amp;U$1&amp;"C"&amp;$A16)="N/A",0,RTD("tos.rtd",,"IMPL_VOL","."&amp;U$2&amp;U$1&amp;"C"&amp;$A16))),0),IF($A$2="MAXPAIN",IF($A$4&gt;$A16,($A$4-$A16)*IF(RTD("tos.rtd",,"OPEN_INT","."&amp;U$2&amp;U$1&amp;"C"&amp;$A16)="N/A",0,RTD("tos.rtd",,"OPEN_INT","."&amp;U$2&amp;U$1&amp;"C"&amp;$A16)),0)+IF($A$4&lt;$A16,($A$5-$A$4)*IF(RTD("tos.rtd",,"OPEN_INT","."&amp;U$2&amp;U$1&amp;"P"&amp;$A16)="N/A",0,RTD("tos.rtd",,"OPEN_INT","."&amp;U$2&amp;U$1&amp;"P"&amp;$A16)),0),IF($X$1="ABS",IF(RTD("tos.rtd",,$A$2,"."&amp;U$2&amp;U$1&amp;"C"&amp;$A16)="N/A",0,RTD("tos.rtd",,$A$2,"."&amp;U$2&amp;U$1&amp;"C"&amp;$A16))+IF(RTD("tos.rtd",,$A$2,"."&amp;U$2&amp;U$1&amp;"P"&amp;$A16)="N/A",0,RTD("tos.rtd",,$A$2,"."&amp;U$2&amp;U$1&amp;"P"&amp;$A16)),IF(RTD("tos.rtd",,$A$2,"."&amp;U$2&amp;U$1&amp;"C"&amp;$A16)="N/A",0,RTD("tos.rtd",,$A$2,"."&amp;U$2&amp;U$1&amp;"C"&amp;$A16))-IF(RTD("tos.rtd",,$A$2,"."&amp;U$2&amp;U$1&amp;"P"&amp;$A16)="N/A",0,RTD("tos.rtd",,$A$2,"."&amp;U$2&amp;U$1&amp;"P"&amp;$A16))))))))))</f>
        <v>0</v>
      </c>
      <c r="V16" s="12">
        <f ca="1">IF($A$2="PREMIUM_OI",IFERROR(IF($X$1="ABS",(100*RTD("tos.rtd",,"OPEN_INT","."&amp;V$2&amp;V$1&amp;"C"&amp;$A16)*RTD("tos.rtd",,"LAST","."&amp;V$2&amp;V$1&amp;"C"&amp;$A16)+100*RTD("tos.rtd",,"OPEN_INT","."&amp;V$2&amp;V$1&amp;"P"&amp;$A16)*RTD("tos.rtd",,"LAST","."&amp;V$2&amp;V$1&amp;"P"&amp;$A16))/1000000,(100*RTD("tos.rtd",,"OPEN_INT","."&amp;V$2&amp;V$1&amp;"C"&amp;$A16)*RTD("tos.rtd",,"LAST","."&amp;V$2&amp;V$1&amp;"C"&amp;$A16)-100*RTD("tos.rtd",,"OPEN_INT","."&amp;V$2&amp;V$1&amp;"P"&amp;$A16)*RTD("tos.rtd",,"LAST","."&amp;V$2&amp;V$1&amp;"P"&amp;$A16))/1000000),0),IF($A$2="PREMIUM",IFERROR(IF($X$1="ABS",(100*RTD("tos.rtd",,"VOLUME","."&amp;V$2&amp;V$1&amp;"C"&amp;$A16)*RTD("tos.rtd",,"LAST","."&amp;V$2&amp;V$1&amp;"C"&amp;$A16)+100*RTD("tos.rtd",,"VOLUME","."&amp;V$2&amp;V$1&amp;"P"&amp;$A16)*RTD("tos.rtd",,"LAST","."&amp;V$2&amp;V$1&amp;"P"&amp;$A16))/1000000,(100*RTD("tos.rtd",,"VOLUME","."&amp;V$2&amp;V$1&amp;"C"&amp;$A16)*RTD("tos.rtd",,"LAST","."&amp;V$2&amp;V$1&amp;"C"&amp;$A16)-100*RTD("tos.rtd",,"VOLUME","."&amp;V$2&amp;V$1&amp;"P"&amp;$A16)*RTD("tos.rtd",,"LAST","."&amp;V$2&amp;V$1&amp;"P"&amp;$A16))/1000000),0),IF($A$2="DEX",IFERROR(IF($X$1="ABS",(100*RTD("tos.rtd",,"OPEN_INT","."&amp;V$2&amp;V$1&amp;"C"&amp;$A16)*RTD("tos.rtd",,"DELTA","."&amp;V$2&amp;V$1&amp;"C"&amp;$A16)+100*RTD("tos.rtd",,"OPEN_INT","."&amp;V$2&amp;V$1&amp;"P"&amp;$A16)*RTD("tos.rtd",,"DELTA","."&amp;V$2&amp;V$1&amp;"P"&amp;$A16))/1000,(100*RTD("tos.rtd",,"OPEN_INT","."&amp;V$2&amp;V$1&amp;"C"&amp;$A16)*RTD("tos.rtd",,"DELTA","."&amp;V$2&amp;V$1&amp;"C"&amp;$A16)-100*RTD("tos.rtd",,"OPEN_INT","."&amp;V$2&amp;V$1&amp;"P"&amp;$A16)*RTD("tos.rtd",,"DELTA","."&amp;V$2&amp;V$1&amp;"P"&amp;$A16))/1000),0),IF($A$2="VEX",IFERROR(IF($X$1="ABS",($A$4*$A$4*RTD("tos.rtd",,"VOLUME","."&amp;V$2&amp;V$1&amp;"C"&amp;$A16)*RTD("tos.rtd",,"GAMMA","."&amp;V$2&amp;V$1&amp;"C"&amp;$A16)+$A$4*$A$4*RTD("tos.rtd",,"VOLUME","."&amp;V$2&amp;V$1&amp;"P"&amp;$A16)*RTD("tos.rtd",,"GAMMA","."&amp;V$2&amp;V$1&amp;"P"&amp;$A16))/1000000,($A$4*$A$4*RTD("tos.rtd",,"VOLUME","."&amp;V$2&amp;V$1&amp;"C"&amp;$A16)*RTD("tos.rtd",,"GAMMA","."&amp;V$2&amp;V$1&amp;"C"&amp;$A16)-$A$4*$A$4*RTD("tos.rtd",,"VOLUME","."&amp;V$2&amp;V$1&amp;"P"&amp;$A16)*RTD("tos.rtd",,"GAMMA","."&amp;V$2&amp;V$1&amp;"P"&amp;$A16))/1000000),0),IF($A$2="GEX",IFERROR(IF($X$1="ABS",($A$4*$A$4*RTD("tos.rtd",,"OPEN_INT","."&amp;V$2&amp;V$1&amp;"C"&amp;$A16)*RTD("tos.rtd",,"GAMMA","."&amp;V$2&amp;V$1&amp;"C"&amp;$A16)+$A$4*$A$4*RTD("tos.rtd",,"OPEN_INT","."&amp;V$2&amp;V$1&amp;"P"&amp;$A16)*RTD("tos.rtd",,"GAMMA","."&amp;V$2&amp;V$1&amp;"P"&amp;$A16))/1000000,($A$4*$A$4*RTD("tos.rtd",,"OPEN_INT","."&amp;V$2&amp;V$1&amp;"C"&amp;$A16)*RTD("tos.rtd",,"GAMMA","."&amp;V$2&amp;V$1&amp;"C"&amp;$A16)-$A$4*$A$4*RTD("tos.rtd",,"OPEN_INT","."&amp;V$2&amp;V$1&amp;"P"&amp;$A16)*RTD("tos.rtd",,"GAMMA","."&amp;V$2&amp;V$1&amp;"P"&amp;$A16))/1000000),0),IF($A$2="SKEW",IFERROR(VALUE(IF(RTD("tos.rtd",,"IMPL_VOL","."&amp;V$2&amp;V$1&amp;"P"&amp;$A16)="N/A",0,RTD("tos.rtd",,"IMPL_VOL","."&amp;V$2&amp;V$1&amp;"P"&amp;$A16))),0)-IFERROR(VALUE(IF(RTD("tos.rtd",,"IMPL_VOL","."&amp;V$2&amp;V$1&amp;"C"&amp;$A16)="N/A",0,RTD("tos.rtd",,"IMPL_VOL","."&amp;V$2&amp;V$1&amp;"C"&amp;$A16))),0),IF($A$2="MAXPAIN",IF($A$4&gt;$A16,($A$4-$A16)*IF(RTD("tos.rtd",,"OPEN_INT","."&amp;V$2&amp;V$1&amp;"C"&amp;$A16)="N/A",0,RTD("tos.rtd",,"OPEN_INT","."&amp;V$2&amp;V$1&amp;"C"&amp;$A16)),0)+IF($A$4&lt;$A16,($A$5-$A$4)*IF(RTD("tos.rtd",,"OPEN_INT","."&amp;V$2&amp;V$1&amp;"P"&amp;$A16)="N/A",0,RTD("tos.rtd",,"OPEN_INT","."&amp;V$2&amp;V$1&amp;"P"&amp;$A16)),0),IF($X$1="ABS",IF(RTD("tos.rtd",,$A$2,"."&amp;V$2&amp;V$1&amp;"C"&amp;$A16)="N/A",0,RTD("tos.rtd",,$A$2,"."&amp;V$2&amp;V$1&amp;"C"&amp;$A16))+IF(RTD("tos.rtd",,$A$2,"."&amp;V$2&amp;V$1&amp;"P"&amp;$A16)="N/A",0,RTD("tos.rtd",,$A$2,"."&amp;V$2&amp;V$1&amp;"P"&amp;$A16)),IF(RTD("tos.rtd",,$A$2,"."&amp;V$2&amp;V$1&amp;"C"&amp;$A16)="N/A",0,RTD("tos.rtd",,$A$2,"."&amp;V$2&amp;V$1&amp;"C"&amp;$A16))-IF(RTD("tos.rtd",,$A$2,"."&amp;V$2&amp;V$1&amp;"P"&amp;$A16)="N/A",0,RTD("tos.rtd",,$A$2,"."&amp;V$2&amp;V$1&amp;"P"&amp;$A16))))))))))</f>
        <v>0</v>
      </c>
      <c r="W16" s="54">
        <f ca="1">IF($A$2="PREMIUM_OI",IFERROR(IF($X$1="ABS",(100*RTD("tos.rtd",,"OPEN_INT","."&amp;W$2&amp;W$1&amp;"C"&amp;$A16)*RTD("tos.rtd",,"LAST","."&amp;W$2&amp;W$1&amp;"C"&amp;$A16)+100*RTD("tos.rtd",,"OPEN_INT","."&amp;W$2&amp;W$1&amp;"P"&amp;$A16)*RTD("tos.rtd",,"LAST","."&amp;W$2&amp;W$1&amp;"P"&amp;$A16))/1000000,(100*RTD("tos.rtd",,"OPEN_INT","."&amp;W$2&amp;W$1&amp;"C"&amp;$A16)*RTD("tos.rtd",,"LAST","."&amp;W$2&amp;W$1&amp;"C"&amp;$A16)-100*RTD("tos.rtd",,"OPEN_INT","."&amp;W$2&amp;W$1&amp;"P"&amp;$A16)*RTD("tos.rtd",,"LAST","."&amp;W$2&amp;W$1&amp;"P"&amp;$A16))/1000000),0),IF($A$2="PREMIUM",IFERROR(IF($X$1="ABS",(100*RTD("tos.rtd",,"VOLUME","."&amp;W$2&amp;W$1&amp;"C"&amp;$A16)*RTD("tos.rtd",,"LAST","."&amp;W$2&amp;W$1&amp;"C"&amp;$A16)+100*RTD("tos.rtd",,"VOLUME","."&amp;W$2&amp;W$1&amp;"P"&amp;$A16)*RTD("tos.rtd",,"LAST","."&amp;W$2&amp;W$1&amp;"P"&amp;$A16))/1000000,(100*RTD("tos.rtd",,"VOLUME","."&amp;W$2&amp;W$1&amp;"C"&amp;$A16)*RTD("tos.rtd",,"LAST","."&amp;W$2&amp;W$1&amp;"C"&amp;$A16)-100*RTD("tos.rtd",,"VOLUME","."&amp;W$2&amp;W$1&amp;"P"&amp;$A16)*RTD("tos.rtd",,"LAST","."&amp;W$2&amp;W$1&amp;"P"&amp;$A16))/1000000),0),IF($A$2="DEX",IFERROR(IF($X$1="ABS",(100*RTD("tos.rtd",,"OPEN_INT","."&amp;W$2&amp;W$1&amp;"C"&amp;$A16)*RTD("tos.rtd",,"DELTA","."&amp;W$2&amp;W$1&amp;"C"&amp;$A16)+100*RTD("tos.rtd",,"OPEN_INT","."&amp;W$2&amp;W$1&amp;"P"&amp;$A16)*RTD("tos.rtd",,"DELTA","."&amp;W$2&amp;W$1&amp;"P"&amp;$A16))/1000,(100*RTD("tos.rtd",,"OPEN_INT","."&amp;W$2&amp;W$1&amp;"C"&amp;$A16)*RTD("tos.rtd",,"DELTA","."&amp;W$2&amp;W$1&amp;"C"&amp;$A16)-100*RTD("tos.rtd",,"OPEN_INT","."&amp;W$2&amp;W$1&amp;"P"&amp;$A16)*RTD("tos.rtd",,"DELTA","."&amp;W$2&amp;W$1&amp;"P"&amp;$A16))/1000),0),IF($A$2="VEX",IFERROR(IF($X$1="ABS",($A$4*$A$4*RTD("tos.rtd",,"VOLUME","."&amp;W$2&amp;W$1&amp;"C"&amp;$A16)*RTD("tos.rtd",,"GAMMA","."&amp;W$2&amp;W$1&amp;"C"&amp;$A16)+$A$4*$A$4*RTD("tos.rtd",,"VOLUME","."&amp;W$2&amp;W$1&amp;"P"&amp;$A16)*RTD("tos.rtd",,"GAMMA","."&amp;W$2&amp;W$1&amp;"P"&amp;$A16))/1000000,($A$4*$A$4*RTD("tos.rtd",,"VOLUME","."&amp;W$2&amp;W$1&amp;"C"&amp;$A16)*RTD("tos.rtd",,"GAMMA","."&amp;W$2&amp;W$1&amp;"C"&amp;$A16)-$A$4*$A$4*RTD("tos.rtd",,"VOLUME","."&amp;W$2&amp;W$1&amp;"P"&amp;$A16)*RTD("tos.rtd",,"GAMMA","."&amp;W$2&amp;W$1&amp;"P"&amp;$A16))/1000000),0),IF($A$2="GEX",IFERROR(IF($X$1="ABS",($A$4*$A$4*RTD("tos.rtd",,"OPEN_INT","."&amp;W$2&amp;W$1&amp;"C"&amp;$A16)*RTD("tos.rtd",,"GAMMA","."&amp;W$2&amp;W$1&amp;"C"&amp;$A16)+$A$4*$A$4*RTD("tos.rtd",,"OPEN_INT","."&amp;W$2&amp;W$1&amp;"P"&amp;$A16)*RTD("tos.rtd",,"GAMMA","."&amp;W$2&amp;W$1&amp;"P"&amp;$A16))/1000000,($A$4*$A$4*RTD("tos.rtd",,"OPEN_INT","."&amp;W$2&amp;W$1&amp;"C"&amp;$A16)*RTD("tos.rtd",,"GAMMA","."&amp;W$2&amp;W$1&amp;"C"&amp;$A16)-$A$4*$A$4*RTD("tos.rtd",,"OPEN_INT","."&amp;W$2&amp;W$1&amp;"P"&amp;$A16)*RTD("tos.rtd",,"GAMMA","."&amp;W$2&amp;W$1&amp;"P"&amp;$A16))/1000000),0),IF($A$2="SKEW",IFERROR(VALUE(IF(RTD("tos.rtd",,"IMPL_VOL","."&amp;W$2&amp;W$1&amp;"P"&amp;$A16)="N/A",0,RTD("tos.rtd",,"IMPL_VOL","."&amp;W$2&amp;W$1&amp;"P"&amp;$A16))),0)-IFERROR(VALUE(IF(RTD("tos.rtd",,"IMPL_VOL","."&amp;W$2&amp;W$1&amp;"C"&amp;$A16)="N/A",0,RTD("tos.rtd",,"IMPL_VOL","."&amp;W$2&amp;W$1&amp;"C"&amp;$A16))),0),IF($A$2="MAXPAIN",IF($A$4&gt;$A16,($A$4-$A16)*IF(RTD("tos.rtd",,"OPEN_INT","."&amp;W$2&amp;W$1&amp;"C"&amp;$A16)="N/A",0,RTD("tos.rtd",,"OPEN_INT","."&amp;W$2&amp;W$1&amp;"C"&amp;$A16)),0)+IF($A$4&lt;$A16,($A$5-$A$4)*IF(RTD("tos.rtd",,"OPEN_INT","."&amp;W$2&amp;W$1&amp;"P"&amp;$A16)="N/A",0,RTD("tos.rtd",,"OPEN_INT","."&amp;W$2&amp;W$1&amp;"P"&amp;$A16)),0),IF($X$1="ABS",IF(RTD("tos.rtd",,$A$2,"."&amp;W$2&amp;W$1&amp;"C"&amp;$A16)="N/A",0,RTD("tos.rtd",,$A$2,"."&amp;W$2&amp;W$1&amp;"C"&amp;$A16))+IF(RTD("tos.rtd",,$A$2,"."&amp;W$2&amp;W$1&amp;"P"&amp;$A16)="N/A",0,RTD("tos.rtd",,$A$2,"."&amp;W$2&amp;W$1&amp;"P"&amp;$A16)),IF(RTD("tos.rtd",,$A$2,"."&amp;W$2&amp;W$1&amp;"C"&amp;$A16)="N/A",0,RTD("tos.rtd",,$A$2,"."&amp;W$2&amp;W$1&amp;"C"&amp;$A16))-IF(RTD("tos.rtd",,$A$2,"."&amp;W$2&amp;W$1&amp;"P"&amp;$A16)="N/A",0,RTD("tos.rtd",,$A$2,"."&amp;W$2&amp;W$1&amp;"P"&amp;$A16))))))))))</f>
        <v>0</v>
      </c>
      <c r="X16" s="57">
        <f t="shared" ca="1" si="8"/>
        <v>0</v>
      </c>
      <c r="Y16" s="27">
        <f t="shared" ca="1" si="9"/>
        <v>0</v>
      </c>
      <c r="Z16" s="27">
        <f ca="1">+'OI-VOL'!Y16</f>
        <v>7044</v>
      </c>
      <c r="AA16" s="27" t="b">
        <f t="shared" ca="1" si="10"/>
        <v>0</v>
      </c>
      <c r="AB16" s="27">
        <f t="shared" si="11"/>
        <v>148733300</v>
      </c>
      <c r="AC16" s="18">
        <f>MAX(0, $A16-AC$4)*IF(RTD("tos.rtd",,"OPEN_INT","."&amp;$AB$3&amp;$AB$4&amp;"C"&amp;AC$4)="N/A",0,RTD("tos.rtd",,"OPEN_INT","."&amp;$AB$3&amp;$AB$4&amp;"C"&amp;AC$4))*100 + MAX(0, AC$4-$A16)*IF(RTD("tos.rtd",,"OPEN_INT","."&amp;$AB$3&amp;$AB$4&amp;"P"&amp;AC$4)="N/A",0,RTD("tos.rtd",,"OPEN_INT","."&amp;$AB$3&amp;$AB$4&amp;"P"&amp;AC$4))*100</f>
        <v>0</v>
      </c>
      <c r="AD16" s="18">
        <f>MAX(0, $A16-AD$4)*IF(RTD("tos.rtd",,"OPEN_INT","."&amp;$AB$3&amp;$AB$4&amp;"C"&amp;AD$4)="N/A",0,RTD("tos.rtd",,"OPEN_INT","."&amp;$AB$3&amp;$AB$4&amp;"C"&amp;AD$4))*100 + MAX(0, AD$4-$A16)*IF(RTD("tos.rtd",,"OPEN_INT","."&amp;$AB$3&amp;$AB$4&amp;"P"&amp;AD$4)="N/A",0,RTD("tos.rtd",,"OPEN_INT","."&amp;$AB$3&amp;$AB$4&amp;"P"&amp;AD$4))*100</f>
        <v>0</v>
      </c>
      <c r="AE16" s="18">
        <f>MAX(0, $A16-AE$4)*IF(RTD("tos.rtd",,"OPEN_INT","."&amp;$AB$3&amp;$AB$4&amp;"C"&amp;AE$4)="N/A",0,RTD("tos.rtd",,"OPEN_INT","."&amp;$AB$3&amp;$AB$4&amp;"C"&amp;AE$4))*100 + MAX(0, AE$4-$A16)*IF(RTD("tos.rtd",,"OPEN_INT","."&amp;$AB$3&amp;$AB$4&amp;"P"&amp;AE$4)="N/A",0,RTD("tos.rtd",,"OPEN_INT","."&amp;$AB$3&amp;$AB$4&amp;"P"&amp;AE$4))*100</f>
        <v>0</v>
      </c>
      <c r="AF16" s="18">
        <f>MAX(0, $A16-AF$4)*IF(RTD("tos.rtd",,"OPEN_INT","."&amp;$AB$3&amp;$AB$4&amp;"C"&amp;AF$4)="N/A",0,RTD("tos.rtd",,"OPEN_INT","."&amp;$AB$3&amp;$AB$4&amp;"C"&amp;AF$4))*100 + MAX(0, AF$4-$A16)*IF(RTD("tos.rtd",,"OPEN_INT","."&amp;$AB$3&amp;$AB$4&amp;"P"&amp;AF$4)="N/A",0,RTD("tos.rtd",,"OPEN_INT","."&amp;$AB$3&amp;$AB$4&amp;"P"&amp;AF$4))*100</f>
        <v>0</v>
      </c>
      <c r="AG16" s="18">
        <f>MAX(0, $A16-AG$4)*IF(RTD("tos.rtd",,"OPEN_INT","."&amp;$AB$3&amp;$AB$4&amp;"C"&amp;AG$4)="N/A",0,RTD("tos.rtd",,"OPEN_INT","."&amp;$AB$3&amp;$AB$4&amp;"C"&amp;AG$4))*100 + MAX(0, AG$4-$A16)*IF(RTD("tos.rtd",,"OPEN_INT","."&amp;$AB$3&amp;$AB$4&amp;"P"&amp;AG$4)="N/A",0,RTD("tos.rtd",,"OPEN_INT","."&amp;$AB$3&amp;$AB$4&amp;"P"&amp;AG$4))*100</f>
        <v>0</v>
      </c>
      <c r="AH16" s="18">
        <f>MAX(0, $A16-AH$4)*IF(RTD("tos.rtd",,"OPEN_INT","."&amp;$AB$3&amp;$AB$4&amp;"C"&amp;AH$4)="N/A",0,RTD("tos.rtd",,"OPEN_INT","."&amp;$AB$3&amp;$AB$4&amp;"C"&amp;AH$4))*100 + MAX(0, AH$4-$A16)*IF(RTD("tos.rtd",,"OPEN_INT","."&amp;$AB$3&amp;$AB$4&amp;"P"&amp;AH$4)="N/A",0,RTD("tos.rtd",,"OPEN_INT","."&amp;$AB$3&amp;$AB$4&amp;"P"&amp;AH$4))*100</f>
        <v>0</v>
      </c>
      <c r="AI16" s="18">
        <f>MAX(0, $A16-AI$4)*IF(RTD("tos.rtd",,"OPEN_INT","."&amp;$AB$3&amp;$AB$4&amp;"C"&amp;AI$4)="N/A",0,RTD("tos.rtd",,"OPEN_INT","."&amp;$AB$3&amp;$AB$4&amp;"C"&amp;AI$4))*100 + MAX(0, AI$4-$A16)*IF(RTD("tos.rtd",,"OPEN_INT","."&amp;$AB$3&amp;$AB$4&amp;"P"&amp;AI$4)="N/A",0,RTD("tos.rtd",,"OPEN_INT","."&amp;$AB$3&amp;$AB$4&amp;"P"&amp;AI$4))*100</f>
        <v>0</v>
      </c>
      <c r="AJ16" s="18">
        <f>MAX(0, $A16-AJ$4)*IF(RTD("tos.rtd",,"OPEN_INT","."&amp;$AB$3&amp;$AB$4&amp;"C"&amp;AJ$4)="N/A",0,RTD("tos.rtd",,"OPEN_INT","."&amp;$AB$3&amp;$AB$4&amp;"C"&amp;AJ$4))*100 + MAX(0, AJ$4-$A16)*IF(RTD("tos.rtd",,"OPEN_INT","."&amp;$AB$3&amp;$AB$4&amp;"P"&amp;AJ$4)="N/A",0,RTD("tos.rtd",,"OPEN_INT","."&amp;$AB$3&amp;$AB$4&amp;"P"&amp;AJ$4))*100</f>
        <v>600</v>
      </c>
      <c r="AK16" s="18">
        <f>MAX(0, $A16-AK$4)*IF(RTD("tos.rtd",,"OPEN_INT","."&amp;$AB$3&amp;$AB$4&amp;"C"&amp;AK$4)="N/A",0,RTD("tos.rtd",,"OPEN_INT","."&amp;$AB$3&amp;$AB$4&amp;"C"&amp;AK$4))*100 + MAX(0, AK$4-$A16)*IF(RTD("tos.rtd",,"OPEN_INT","."&amp;$AB$3&amp;$AB$4&amp;"P"&amp;AK$4)="N/A",0,RTD("tos.rtd",,"OPEN_INT","."&amp;$AB$3&amp;$AB$4&amp;"P"&amp;AK$4))*100</f>
        <v>1200</v>
      </c>
      <c r="AL16" s="18">
        <f>MAX(0, $A16-AL$4)*IF(RTD("tos.rtd",,"OPEN_INT","."&amp;$AB$3&amp;$AB$4&amp;"C"&amp;AL$4)="N/A",0,RTD("tos.rtd",,"OPEN_INT","."&amp;$AB$3&amp;$AB$4&amp;"C"&amp;AL$4))*100 + MAX(0, AL$4-$A16)*IF(RTD("tos.rtd",,"OPEN_INT","."&amp;$AB$3&amp;$AB$4&amp;"P"&amp;AL$4)="N/A",0,RTD("tos.rtd",,"OPEN_INT","."&amp;$AB$3&amp;$AB$4&amp;"P"&amp;AL$4))*100</f>
        <v>0</v>
      </c>
      <c r="AM16" s="18">
        <f>MAX(0, $A16-AM$4)*IF(RTD("tos.rtd",,"OPEN_INT","."&amp;$AB$3&amp;$AB$4&amp;"C"&amp;AM$4)="N/A",0,RTD("tos.rtd",,"OPEN_INT","."&amp;$AB$3&amp;$AB$4&amp;"C"&amp;AM$4))*100 + MAX(0, AM$4-$A16)*IF(RTD("tos.rtd",,"OPEN_INT","."&amp;$AB$3&amp;$AB$4&amp;"P"&amp;AM$4)="N/A",0,RTD("tos.rtd",,"OPEN_INT","."&amp;$AB$3&amp;$AB$4&amp;"P"&amp;AM$4))*100</f>
        <v>0</v>
      </c>
      <c r="AN16" s="18">
        <f>MAX(0, $A16-AN$4)*IF(RTD("tos.rtd",,"OPEN_INT","."&amp;$AB$3&amp;$AB$4&amp;"C"&amp;AN$4)="N/A",0,RTD("tos.rtd",,"OPEN_INT","."&amp;$AB$3&amp;$AB$4&amp;"C"&amp;AN$4))*100 + MAX(0, AN$4-$A16)*IF(RTD("tos.rtd",,"OPEN_INT","."&amp;$AB$3&amp;$AB$4&amp;"P"&amp;AN$4)="N/A",0,RTD("tos.rtd",,"OPEN_INT","."&amp;$AB$3&amp;$AB$4&amp;"P"&amp;AN$4))*100</f>
        <v>0</v>
      </c>
      <c r="AO16" s="18">
        <f>MAX(0, $A16-AO$4)*IF(RTD("tos.rtd",,"OPEN_INT","."&amp;$AB$3&amp;$AB$4&amp;"C"&amp;AO$4)="N/A",0,RTD("tos.rtd",,"OPEN_INT","."&amp;$AB$3&amp;$AB$4&amp;"C"&amp;AO$4))*100 + MAX(0, AO$4-$A16)*IF(RTD("tos.rtd",,"OPEN_INT","."&amp;$AB$3&amp;$AB$4&amp;"P"&amp;AO$4)="N/A",0,RTD("tos.rtd",,"OPEN_INT","."&amp;$AB$3&amp;$AB$4&amp;"P"&amp;AO$4))*100</f>
        <v>0</v>
      </c>
      <c r="AP16" s="18">
        <f>MAX(0, $A16-AP$4)*IF(RTD("tos.rtd",,"OPEN_INT","."&amp;$AB$3&amp;$AB$4&amp;"C"&amp;AP$4)="N/A",0,RTD("tos.rtd",,"OPEN_INT","."&amp;$AB$3&amp;$AB$4&amp;"C"&amp;AP$4))*100 + MAX(0, AP$4-$A16)*IF(RTD("tos.rtd",,"OPEN_INT","."&amp;$AB$3&amp;$AB$4&amp;"P"&amp;AP$4)="N/A",0,RTD("tos.rtd",,"OPEN_INT","."&amp;$AB$3&amp;$AB$4&amp;"P"&amp;AP$4))*100</f>
        <v>68900</v>
      </c>
      <c r="AQ16" s="18">
        <f>MAX(0, $A16-AQ$4)*IF(RTD("tos.rtd",,"OPEN_INT","."&amp;$AB$3&amp;$AB$4&amp;"C"&amp;AQ$4)="N/A",0,RTD("tos.rtd",,"OPEN_INT","."&amp;$AB$3&amp;$AB$4&amp;"C"&amp;AQ$4))*100 + MAX(0, AQ$4-$A16)*IF(RTD("tos.rtd",,"OPEN_INT","."&amp;$AB$3&amp;$AB$4&amp;"P"&amp;AQ$4)="N/A",0,RTD("tos.rtd",,"OPEN_INT","."&amp;$AB$3&amp;$AB$4&amp;"P"&amp;AQ$4))*100</f>
        <v>0</v>
      </c>
      <c r="AR16" s="18">
        <f>MAX(0, $A16-AR$4)*IF(RTD("tos.rtd",,"OPEN_INT","."&amp;$AB$3&amp;$AB$4&amp;"C"&amp;AR$4)="N/A",0,RTD("tos.rtd",,"OPEN_INT","."&amp;$AB$3&amp;$AB$4&amp;"C"&amp;AR$4))*100 + MAX(0, AR$4-$A16)*IF(RTD("tos.rtd",,"OPEN_INT","."&amp;$AB$3&amp;$AB$4&amp;"P"&amp;AR$4)="N/A",0,RTD("tos.rtd",,"OPEN_INT","."&amp;$AB$3&amp;$AB$4&amp;"P"&amp;AR$4))*100</f>
        <v>128000</v>
      </c>
      <c r="AS16" s="18">
        <f>MAX(0, $A16-AS$4)*IF(RTD("tos.rtd",,"OPEN_INT","."&amp;$AB$3&amp;$AB$4&amp;"C"&amp;AS$4)="N/A",0,RTD("tos.rtd",,"OPEN_INT","."&amp;$AB$3&amp;$AB$4&amp;"C"&amp;AS$4))*100 + MAX(0, AS$4-$A16)*IF(RTD("tos.rtd",,"OPEN_INT","."&amp;$AB$3&amp;$AB$4&amp;"P"&amp;AS$4)="N/A",0,RTD("tos.rtd",,"OPEN_INT","."&amp;$AB$3&amp;$AB$4&amp;"P"&amp;AS$4))*100</f>
        <v>250</v>
      </c>
      <c r="AT16" s="18">
        <f>MAX(0, $A16-AT$4)*IF(RTD("tos.rtd",,"OPEN_INT","."&amp;$AB$3&amp;$AB$4&amp;"C"&amp;AT$4)="N/A",0,RTD("tos.rtd",,"OPEN_INT","."&amp;$AB$3&amp;$AB$4&amp;"C"&amp;AT$4))*100 + MAX(0, AT$4-$A16)*IF(RTD("tos.rtd",,"OPEN_INT","."&amp;$AB$3&amp;$AB$4&amp;"P"&amp;AT$4)="N/A",0,RTD("tos.rtd",,"OPEN_INT","."&amp;$AB$3&amp;$AB$4&amp;"P"&amp;AT$4))*100</f>
        <v>258600</v>
      </c>
      <c r="AU16" s="18">
        <f>MAX(0, $A16-AU$4)*IF(RTD("tos.rtd",,"OPEN_INT","."&amp;$AB$3&amp;$AB$4&amp;"C"&amp;AU$4)="N/A",0,RTD("tos.rtd",,"OPEN_INT","."&amp;$AB$3&amp;$AB$4&amp;"C"&amp;AU$4))*100 + MAX(0, AU$4-$A16)*IF(RTD("tos.rtd",,"OPEN_INT","."&amp;$AB$3&amp;$AB$4&amp;"P"&amp;AU$4)="N/A",0,RTD("tos.rtd",,"OPEN_INT","."&amp;$AB$3&amp;$AB$4&amp;"P"&amp;AU$4))*100</f>
        <v>490700</v>
      </c>
      <c r="AV16" s="18">
        <f>MAX(0, $A16-AV$4)*IF(RTD("tos.rtd",,"OPEN_INT","."&amp;$AB$3&amp;$AB$4&amp;"C"&amp;AV$4)="N/A",0,RTD("tos.rtd",,"OPEN_INT","."&amp;$AB$3&amp;$AB$4&amp;"C"&amp;AV$4))*100 + MAX(0, AV$4-$A16)*IF(RTD("tos.rtd",,"OPEN_INT","."&amp;$AB$3&amp;$AB$4&amp;"P"&amp;AV$4)="N/A",0,RTD("tos.rtd",,"OPEN_INT","."&amp;$AB$3&amp;$AB$4&amp;"P"&amp;AV$4))*100</f>
        <v>673200</v>
      </c>
      <c r="AW16" s="18">
        <f>MAX(0, $A16-AW$4)*IF(RTD("tos.rtd",,"OPEN_INT","."&amp;$AB$3&amp;$AB$4&amp;"C"&amp;AW$4)="N/A",0,RTD("tos.rtd",,"OPEN_INT","."&amp;$AB$3&amp;$AB$4&amp;"C"&amp;AW$4))*100 + MAX(0, AW$4-$A16)*IF(RTD("tos.rtd",,"OPEN_INT","."&amp;$AB$3&amp;$AB$4&amp;"P"&amp;AW$4)="N/A",0,RTD("tos.rtd",,"OPEN_INT","."&amp;$AB$3&amp;$AB$4&amp;"P"&amp;AW$4))*100</f>
        <v>849600</v>
      </c>
      <c r="AX16" s="18">
        <f>MAX(0, $A16-AX$4)*IF(RTD("tos.rtd",,"OPEN_INT","."&amp;$AB$3&amp;$AB$4&amp;"C"&amp;AX$4)="N/A",0,RTD("tos.rtd",,"OPEN_INT","."&amp;$AB$3&amp;$AB$4&amp;"C"&amp;AX$4))*100 + MAX(0, AX$4-$A16)*IF(RTD("tos.rtd",,"OPEN_INT","."&amp;$AB$3&amp;$AB$4&amp;"P"&amp;AX$4)="N/A",0,RTD("tos.rtd",,"OPEN_INT","."&amp;$AB$3&amp;$AB$4&amp;"P"&amp;AX$4))*100</f>
        <v>1537500</v>
      </c>
      <c r="AY16" s="18">
        <f>MAX(0, $A16-AY$4)*IF(RTD("tos.rtd",,"OPEN_INT","."&amp;$AB$3&amp;$AB$4&amp;"C"&amp;AY$4)="N/A",0,RTD("tos.rtd",,"OPEN_INT","."&amp;$AB$3&amp;$AB$4&amp;"C"&amp;AY$4))*100 + MAX(0, AY$4-$A16)*IF(RTD("tos.rtd",,"OPEN_INT","."&amp;$AB$3&amp;$AB$4&amp;"P"&amp;AY$4)="N/A",0,RTD("tos.rtd",,"OPEN_INT","."&amp;$AB$3&amp;$AB$4&amp;"P"&amp;AY$4))*100</f>
        <v>2339150</v>
      </c>
      <c r="AZ16" s="18">
        <f>MAX(0, $A16-AZ$4)*IF(RTD("tos.rtd",,"OPEN_INT","."&amp;$AB$3&amp;$AB$4&amp;"C"&amp;AZ$4)="N/A",0,RTD("tos.rtd",,"OPEN_INT","."&amp;$AB$3&amp;$AB$4&amp;"C"&amp;AZ$4))*100 + MAX(0, AZ$4-$A16)*IF(RTD("tos.rtd",,"OPEN_INT","."&amp;$AB$3&amp;$AB$4&amp;"P"&amp;AZ$4)="N/A",0,RTD("tos.rtd",,"OPEN_INT","."&amp;$AB$3&amp;$AB$4&amp;"P"&amp;AZ$4))*100</f>
        <v>11728800</v>
      </c>
      <c r="BA16" s="18">
        <f>MAX(0, $A16-BA$4)*IF(RTD("tos.rtd",,"OPEN_INT","."&amp;$AB$3&amp;$AB$4&amp;"C"&amp;BA$4)="N/A",0,RTD("tos.rtd",,"OPEN_INT","."&amp;$AB$3&amp;$AB$4&amp;"C"&amp;BA$4))*100 + MAX(0, BA$4-$A16)*IF(RTD("tos.rtd",,"OPEN_INT","."&amp;$AB$3&amp;$AB$4&amp;"P"&amp;BA$4)="N/A",0,RTD("tos.rtd",,"OPEN_INT","."&amp;$AB$3&amp;$AB$4&amp;"P"&amp;BA$4))*100</f>
        <v>6402500</v>
      </c>
      <c r="BB16" s="18">
        <f>MAX(0, $A16-BB$4)*IF(RTD("tos.rtd",,"OPEN_INT","."&amp;$AB$3&amp;$AB$4&amp;"C"&amp;BB$4)="N/A",0,RTD("tos.rtd",,"OPEN_INT","."&amp;$AB$3&amp;$AB$4&amp;"C"&amp;BB$4))*100 + MAX(0, BB$4-$A16)*IF(RTD("tos.rtd",,"OPEN_INT","."&amp;$AB$3&amp;$AB$4&amp;"P"&amp;BB$4)="N/A",0,RTD("tos.rtd",,"OPEN_INT","."&amp;$AB$3&amp;$AB$4&amp;"P"&amp;BB$4))*100</f>
        <v>21564900</v>
      </c>
      <c r="BC16" s="18">
        <f>MAX(0, $A16-BC$4)*IF(RTD("tos.rtd",,"OPEN_INT","."&amp;$AB$3&amp;$AB$4&amp;"C"&amp;BC$4)="N/A",0,RTD("tos.rtd",,"OPEN_INT","."&amp;$AB$3&amp;$AB$4&amp;"C"&amp;BC$4))*100 + MAX(0, BC$4-$A16)*IF(RTD("tos.rtd",,"OPEN_INT","."&amp;$AB$3&amp;$AB$4&amp;"P"&amp;BC$4)="N/A",0,RTD("tos.rtd",,"OPEN_INT","."&amp;$AB$3&amp;$AB$4&amp;"P"&amp;BC$4))*100</f>
        <v>21493500</v>
      </c>
      <c r="BD16" s="18">
        <f>MAX(0, $A16-BD$4)*IF(RTD("tos.rtd",,"OPEN_INT","."&amp;$AB$3&amp;$AB$4&amp;"C"&amp;BD$4)="N/A",0,RTD("tos.rtd",,"OPEN_INT","."&amp;$AB$3&amp;$AB$4&amp;"C"&amp;BD$4))*100 + MAX(0, BD$4-$A16)*IF(RTD("tos.rtd",,"OPEN_INT","."&amp;$AB$3&amp;$AB$4&amp;"P"&amp;BD$4)="N/A",0,RTD("tos.rtd",,"OPEN_INT","."&amp;$AB$3&amp;$AB$4&amp;"P"&amp;BD$4))*100</f>
        <v>32570400</v>
      </c>
      <c r="BE16" s="18">
        <f>MAX(0, $A16-BE$4)*IF(RTD("tos.rtd",,"OPEN_INT","."&amp;$AB$3&amp;$AB$4&amp;"C"&amp;BE$4)="N/A",0,RTD("tos.rtd",,"OPEN_INT","."&amp;$AB$3&amp;$AB$4&amp;"C"&amp;BE$4))*100 + MAX(0, BE$4-$A16)*IF(RTD("tos.rtd",,"OPEN_INT","."&amp;$AB$3&amp;$AB$4&amp;"P"&amp;BE$4)="N/A",0,RTD("tos.rtd",,"OPEN_INT","."&amp;$AB$3&amp;$AB$4&amp;"P"&amp;BE$4))*100</f>
        <v>15776000</v>
      </c>
      <c r="BF16" s="18">
        <f>MAX(0, $A16-BF$4)*IF(RTD("tos.rtd",,"OPEN_INT","."&amp;$AB$3&amp;$AB$4&amp;"C"&amp;BF$4)="N/A",0,RTD("tos.rtd",,"OPEN_INT","."&amp;$AB$3&amp;$AB$4&amp;"C"&amp;BF$4))*100 + MAX(0, BF$4-$A16)*IF(RTD("tos.rtd",,"OPEN_INT","."&amp;$AB$3&amp;$AB$4&amp;"P"&amp;BF$4)="N/A",0,RTD("tos.rtd",,"OPEN_INT","."&amp;$AB$3&amp;$AB$4&amp;"P"&amp;BF$4))*100</f>
        <v>15550200</v>
      </c>
      <c r="BG16" s="18">
        <f>MAX(0, $A16-BG$4)*IF(RTD("tos.rtd",,"OPEN_INT","."&amp;$AB$3&amp;$AB$4&amp;"C"&amp;BG$4)="N/A",0,RTD("tos.rtd",,"OPEN_INT","."&amp;$AB$3&amp;$AB$4&amp;"C"&amp;BG$4))*100 + MAX(0, BG$4-$A16)*IF(RTD("tos.rtd",,"OPEN_INT","."&amp;$AB$3&amp;$AB$4&amp;"P"&amp;BG$4)="N/A",0,RTD("tos.rtd",,"OPEN_INT","."&amp;$AB$3&amp;$AB$4&amp;"P"&amp;BG$4))*100</f>
        <v>7986650</v>
      </c>
      <c r="BH16" s="18">
        <f>MAX(0, $A16-BH$4)*IF(RTD("tos.rtd",,"OPEN_INT","."&amp;$AB$3&amp;$AB$4&amp;"C"&amp;BH$4)="N/A",0,RTD("tos.rtd",,"OPEN_INT","."&amp;$AB$3&amp;$AB$4&amp;"C"&amp;BH$4))*100 + MAX(0, BH$4-$A16)*IF(RTD("tos.rtd",,"OPEN_INT","."&amp;$AB$3&amp;$AB$4&amp;"P"&amp;BH$4)="N/A",0,RTD("tos.rtd",,"OPEN_INT","."&amp;$AB$3&amp;$AB$4&amp;"P"&amp;BH$4))*100</f>
        <v>5734000</v>
      </c>
      <c r="BI16" s="18">
        <f>MAX(0, $A16-BI$4)*IF(RTD("tos.rtd",,"OPEN_INT","."&amp;$AB$3&amp;$AB$4&amp;"C"&amp;BI$4)="N/A",0,RTD("tos.rtd",,"OPEN_INT","."&amp;$AB$3&amp;$AB$4&amp;"C"&amp;BI$4))*100 + MAX(0, BI$4-$A16)*IF(RTD("tos.rtd",,"OPEN_INT","."&amp;$AB$3&amp;$AB$4&amp;"P"&amp;BI$4)="N/A",0,RTD("tos.rtd",,"OPEN_INT","."&amp;$AB$3&amp;$AB$4&amp;"P"&amp;BI$4))*100</f>
        <v>2040150</v>
      </c>
      <c r="BJ16" s="18">
        <f>MAX(0, $A16-BJ$4)*IF(RTD("tos.rtd",,"OPEN_INT","."&amp;$AB$3&amp;$AB$4&amp;"C"&amp;BJ$4)="N/A",0,RTD("tos.rtd",,"OPEN_INT","."&amp;$AB$3&amp;$AB$4&amp;"C"&amp;BJ$4))*100 + MAX(0, BJ$4-$A16)*IF(RTD("tos.rtd",,"OPEN_INT","."&amp;$AB$3&amp;$AB$4&amp;"P"&amp;BJ$4)="N/A",0,RTD("tos.rtd",,"OPEN_INT","."&amp;$AB$3&amp;$AB$4&amp;"P"&amp;BJ$4))*100</f>
        <v>926200</v>
      </c>
      <c r="BK16" s="18">
        <f>MAX(0, $A16-BK$4)*IF(RTD("tos.rtd",,"OPEN_INT","."&amp;$AB$3&amp;$AB$4&amp;"C"&amp;BK$4)="N/A",0,RTD("tos.rtd",,"OPEN_INT","."&amp;$AB$3&amp;$AB$4&amp;"C"&amp;BK$4))*100 + MAX(0, BK$4-$A16)*IF(RTD("tos.rtd",,"OPEN_INT","."&amp;$AB$3&amp;$AB$4&amp;"P"&amp;BK$4)="N/A",0,RTD("tos.rtd",,"OPEN_INT","."&amp;$AB$3&amp;$AB$4&amp;"P"&amp;BK$4))*100</f>
        <v>173650</v>
      </c>
      <c r="BL16" s="18">
        <f>MAX(0, $A16-BL$4)*IF(RTD("tos.rtd",,"OPEN_INT","."&amp;$AB$3&amp;$AB$4&amp;"C"&amp;BL$4)="N/A",0,RTD("tos.rtd",,"OPEN_INT","."&amp;$AB$3&amp;$AB$4&amp;"C"&amp;BL$4))*100 + MAX(0, BL$4-$A16)*IF(RTD("tos.rtd",,"OPEN_INT","."&amp;$AB$3&amp;$AB$4&amp;"P"&amp;BL$4)="N/A",0,RTD("tos.rtd",,"OPEN_INT","."&amp;$AB$3&amp;$AB$4&amp;"P"&amp;BL$4))*100</f>
        <v>313200</v>
      </c>
      <c r="BM16" s="18">
        <f>MAX(0, $A16-BM$4)*IF(RTD("tos.rtd",,"OPEN_INT","."&amp;$AB$3&amp;$AB$4&amp;"C"&amp;BM$4)="N/A",0,RTD("tos.rtd",,"OPEN_INT","."&amp;$AB$3&amp;$AB$4&amp;"C"&amp;BM$4))*100 + MAX(0, BM$4-$A16)*IF(RTD("tos.rtd",,"OPEN_INT","."&amp;$AB$3&amp;$AB$4&amp;"P"&amp;BM$4)="N/A",0,RTD("tos.rtd",,"OPEN_INT","."&amp;$AB$3&amp;$AB$4&amp;"P"&amp;BM$4))*100</f>
        <v>20000</v>
      </c>
      <c r="BN16" s="18">
        <f>MAX(0, $A16-BN$4)*IF(RTD("tos.rtd",,"OPEN_INT","."&amp;$AB$3&amp;$AB$4&amp;"C"&amp;BN$4)="N/A",0,RTD("tos.rtd",,"OPEN_INT","."&amp;$AB$3&amp;$AB$4&amp;"C"&amp;BN$4))*100 + MAX(0, BN$4-$A16)*IF(RTD("tos.rtd",,"OPEN_INT","."&amp;$AB$3&amp;$AB$4&amp;"P"&amp;BN$4)="N/A",0,RTD("tos.rtd",,"OPEN_INT","."&amp;$AB$3&amp;$AB$4&amp;"P"&amp;BN$4))*100</f>
        <v>10400</v>
      </c>
      <c r="BO16" s="18">
        <f>MAX(0, $A16-BO$4)*IF(RTD("tos.rtd",,"OPEN_INT","."&amp;$AB$3&amp;$AB$4&amp;"C"&amp;BO$4)="N/A",0,RTD("tos.rtd",,"OPEN_INT","."&amp;$AB$3&amp;$AB$4&amp;"C"&amp;BO$4))*100 + MAX(0, BO$4-$A16)*IF(RTD("tos.rtd",,"OPEN_INT","."&amp;$AB$3&amp;$AB$4&amp;"P"&amp;BO$4)="N/A",0,RTD("tos.rtd",,"OPEN_INT","."&amp;$AB$3&amp;$AB$4&amp;"P"&amp;BO$4))*100</f>
        <v>41850</v>
      </c>
      <c r="BP16" s="18">
        <f>MAX(0, $A16-BP$4)*IF(RTD("tos.rtd",,"OPEN_INT","."&amp;$AB$3&amp;$AB$4&amp;"C"&amp;BP$4)="N/A",0,RTD("tos.rtd",,"OPEN_INT","."&amp;$AB$3&amp;$AB$4&amp;"C"&amp;BP$4))*100 + MAX(0, BP$4-$A16)*IF(RTD("tos.rtd",,"OPEN_INT","."&amp;$AB$3&amp;$AB$4&amp;"P"&amp;BP$4)="N/A",0,RTD("tos.rtd",,"OPEN_INT","."&amp;$AB$3&amp;$AB$4&amp;"P"&amp;BP$4))*100</f>
        <v>53200</v>
      </c>
      <c r="BQ16" s="18">
        <f>MAX(0, $A16-BQ$4)*IF(RTD("tos.rtd",,"OPEN_INT","."&amp;$AB$3&amp;$AB$4&amp;"C"&amp;BQ$4)="N/A",0,RTD("tos.rtd",,"OPEN_INT","."&amp;$AB$3&amp;$AB$4&amp;"C"&amp;BQ$4))*100 + MAX(0, BQ$4-$A16)*IF(RTD("tos.rtd",,"OPEN_INT","."&amp;$AB$3&amp;$AB$4&amp;"P"&amp;BQ$4)="N/A",0,RTD("tos.rtd",,"OPEN_INT","."&amp;$AB$3&amp;$AB$4&amp;"P"&amp;BQ$4))*100</f>
        <v>0</v>
      </c>
      <c r="BR16" s="18">
        <f>MAX(0, $A16-BR$4)*IF(RTD("tos.rtd",,"OPEN_INT","."&amp;$AB$3&amp;$AB$4&amp;"C"&amp;BR$4)="N/A",0,RTD("tos.rtd",,"OPEN_INT","."&amp;$AB$3&amp;$AB$4&amp;"C"&amp;BR$4))*100 + MAX(0, BR$4-$A16)*IF(RTD("tos.rtd",,"OPEN_INT","."&amp;$AB$3&amp;$AB$4&amp;"P"&amp;BR$4)="N/A",0,RTD("tos.rtd",,"OPEN_INT","."&amp;$AB$3&amp;$AB$4&amp;"P"&amp;BR$4))*100</f>
        <v>0</v>
      </c>
      <c r="BS16" s="18">
        <f>MAX(0, $A16-BS$4)*IF(RTD("tos.rtd",,"OPEN_INT","."&amp;$AB$3&amp;$AB$4&amp;"C"&amp;BS$4)="N/A",0,RTD("tos.rtd",,"OPEN_INT","."&amp;$AB$3&amp;$AB$4&amp;"C"&amp;BS$4))*100 + MAX(0, BS$4-$A16)*IF(RTD("tos.rtd",,"OPEN_INT","."&amp;$AB$3&amp;$AB$4&amp;"P"&amp;BS$4)="N/A",0,RTD("tos.rtd",,"OPEN_INT","."&amp;$AB$3&amp;$AB$4&amp;"P"&amp;BS$4))*100</f>
        <v>0</v>
      </c>
      <c r="BT16" s="18">
        <f>MAX(0, $A16-BT$4)*IF(RTD("tos.rtd",,"OPEN_INT","."&amp;$AB$3&amp;$AB$4&amp;"C"&amp;BT$4)="N/A",0,RTD("tos.rtd",,"OPEN_INT","."&amp;$AB$3&amp;$AB$4&amp;"C"&amp;BT$4))*100 + MAX(0, BT$4-$A16)*IF(RTD("tos.rtd",,"OPEN_INT","."&amp;$AB$3&amp;$AB$4&amp;"P"&amp;BT$4)="N/A",0,RTD("tos.rtd",,"OPEN_INT","."&amp;$AB$3&amp;$AB$4&amp;"P"&amp;BT$4))*100</f>
        <v>0</v>
      </c>
      <c r="BU16" s="18">
        <f>MAX(0, $A16-BU$4)*IF(RTD("tos.rtd",,"OPEN_INT","."&amp;$AB$3&amp;$AB$4&amp;"C"&amp;BU$4)="N/A",0,RTD("tos.rtd",,"OPEN_INT","."&amp;$AB$3&amp;$AB$4&amp;"C"&amp;BU$4))*100 + MAX(0, BU$4-$A16)*IF(RTD("tos.rtd",,"OPEN_INT","."&amp;$AB$3&amp;$AB$4&amp;"P"&amp;BU$4)="N/A",0,RTD("tos.rtd",,"OPEN_INT","."&amp;$AB$3&amp;$AB$4&amp;"P"&amp;BU$4))*100</f>
        <v>0</v>
      </c>
      <c r="BV16" s="18">
        <f>MAX(0, $A16-BV$4)*IF(RTD("tos.rtd",,"OPEN_INT","."&amp;$AB$3&amp;$AB$4&amp;"C"&amp;BV$4)="N/A",0,RTD("tos.rtd",,"OPEN_INT","."&amp;$AB$3&amp;$AB$4&amp;"C"&amp;BV$4))*100 + MAX(0, BV$4-$A16)*IF(RTD("tos.rtd",,"OPEN_INT","."&amp;$AB$3&amp;$AB$4&amp;"P"&amp;BV$4)="N/A",0,RTD("tos.rtd",,"OPEN_INT","."&amp;$AB$3&amp;$AB$4&amp;"P"&amp;BV$4))*100</f>
        <v>0</v>
      </c>
      <c r="BW16" s="18">
        <f>MAX(0, $A16-BW$4)*IF(RTD("tos.rtd",,"OPEN_INT","."&amp;$AB$3&amp;$AB$4&amp;"C"&amp;BW$4)="N/A",0,RTD("tos.rtd",,"OPEN_INT","."&amp;$AB$3&amp;$AB$4&amp;"C"&amp;BW$4))*100 + MAX(0, BW$4-$A16)*IF(RTD("tos.rtd",,"OPEN_INT","."&amp;$AB$3&amp;$AB$4&amp;"P"&amp;BW$4)="N/A",0,RTD("tos.rtd",,"OPEN_INT","."&amp;$AB$3&amp;$AB$4&amp;"P"&amp;BW$4))*100</f>
        <v>0</v>
      </c>
    </row>
    <row r="17" spans="1:75" s="19" customFormat="1" ht="11.1" customHeight="1" thickBot="1" x14ac:dyDescent="0.3">
      <c r="A17" s="23">
        <f t="shared" si="7"/>
        <v>15.5</v>
      </c>
      <c r="B17" s="14">
        <f ca="1">IF($A$2="PREMIUM_OI",IFERROR(IF($X$1="ABS",(100*RTD("tos.rtd",,"OPEN_INT","."&amp;B$2&amp;B$1&amp;"C"&amp;$A17)*RTD("tos.rtd",,"LAST","."&amp;B$2&amp;B$1&amp;"C"&amp;$A17)+100*RTD("tos.rtd",,"OPEN_INT","."&amp;B$2&amp;B$1&amp;"P"&amp;$A17)*RTD("tos.rtd",,"LAST","."&amp;B$2&amp;B$1&amp;"P"&amp;$A17))/1000000,(100*RTD("tos.rtd",,"OPEN_INT","."&amp;B$2&amp;B$1&amp;"C"&amp;$A17)*RTD("tos.rtd",,"LAST","."&amp;B$2&amp;B$1&amp;"C"&amp;$A17)-100*RTD("tos.rtd",,"OPEN_INT","."&amp;B$2&amp;B$1&amp;"P"&amp;$A17)*RTD("tos.rtd",,"LAST","."&amp;B$2&amp;B$1&amp;"P"&amp;$A17))/1000000),0),IF($A$2="PREMIUM",IFERROR(IF($X$1="ABS",(100*RTD("tos.rtd",,"VOLUME","."&amp;B$2&amp;B$1&amp;"C"&amp;$A17)*RTD("tos.rtd",,"LAST","."&amp;B$2&amp;B$1&amp;"C"&amp;$A17)+100*RTD("tos.rtd",,"VOLUME","."&amp;B$2&amp;B$1&amp;"P"&amp;$A17)*RTD("tos.rtd",,"LAST","."&amp;B$2&amp;B$1&amp;"P"&amp;$A17))/1000000,(100*RTD("tos.rtd",,"VOLUME","."&amp;B$2&amp;B$1&amp;"C"&amp;$A17)*RTD("tos.rtd",,"LAST","."&amp;B$2&amp;B$1&amp;"C"&amp;$A17)-100*RTD("tos.rtd",,"VOLUME","."&amp;B$2&amp;B$1&amp;"P"&amp;$A17)*RTD("tos.rtd",,"LAST","."&amp;B$2&amp;B$1&amp;"P"&amp;$A17))/1000000),0),IF($A$2="DEX",IFERROR(IF($X$1="ABS",(100*RTD("tos.rtd",,"OPEN_INT","."&amp;B$2&amp;B$1&amp;"C"&amp;$A17)*RTD("tos.rtd",,"DELTA","."&amp;B$2&amp;B$1&amp;"C"&amp;$A17)+100*RTD("tos.rtd",,"OPEN_INT","."&amp;B$2&amp;B$1&amp;"P"&amp;$A17)*RTD("tos.rtd",,"DELTA","."&amp;B$2&amp;B$1&amp;"P"&amp;$A17))/1000,(100*RTD("tos.rtd",,"OPEN_INT","."&amp;B$2&amp;B$1&amp;"C"&amp;$A17)*RTD("tos.rtd",,"DELTA","."&amp;B$2&amp;B$1&amp;"C"&amp;$A17)-100*RTD("tos.rtd",,"OPEN_INT","."&amp;B$2&amp;B$1&amp;"P"&amp;$A17)*RTD("tos.rtd",,"DELTA","."&amp;B$2&amp;B$1&amp;"P"&amp;$A17))/1000),0),IF($A$2="VEX",IFERROR(IF($X$1="ABS",($A$4*$A$4*RTD("tos.rtd",,"VOLUME","."&amp;B$2&amp;B$1&amp;"C"&amp;$A17)*RTD("tos.rtd",,"GAMMA","."&amp;B$2&amp;B$1&amp;"C"&amp;$A17)+$A$4*$A$4*RTD("tos.rtd",,"VOLUME","."&amp;B$2&amp;B$1&amp;"P"&amp;$A17)*RTD("tos.rtd",,"GAMMA","."&amp;B$2&amp;B$1&amp;"P"&amp;$A17))/1000000,($A$4*$A$4*RTD("tos.rtd",,"VOLUME","."&amp;B$2&amp;B$1&amp;"C"&amp;$A17)*RTD("tos.rtd",,"GAMMA","."&amp;B$2&amp;B$1&amp;"C"&amp;$A17)-$A$4*$A$4*RTD("tos.rtd",,"VOLUME","."&amp;B$2&amp;B$1&amp;"P"&amp;$A17)*RTD("tos.rtd",,"GAMMA","."&amp;B$2&amp;B$1&amp;"P"&amp;$A17))/1000000),0),IF($A$2="GEX",IFERROR(IF($X$1="ABS",($A$4*$A$4*RTD("tos.rtd",,"OPEN_INT","."&amp;B$2&amp;B$1&amp;"C"&amp;$A17)*RTD("tos.rtd",,"GAMMA","."&amp;B$2&amp;B$1&amp;"C"&amp;$A17)+$A$4*$A$4*RTD("tos.rtd",,"OPEN_INT","."&amp;B$2&amp;B$1&amp;"P"&amp;$A17)*RTD("tos.rtd",,"GAMMA","."&amp;B$2&amp;B$1&amp;"P"&amp;$A17))/1000000,($A$4*$A$4*RTD("tos.rtd",,"OPEN_INT","."&amp;B$2&amp;B$1&amp;"C"&amp;$A17)*RTD("tos.rtd",,"GAMMA","."&amp;B$2&amp;B$1&amp;"C"&amp;$A17)-$A$4*$A$4*RTD("tos.rtd",,"OPEN_INT","."&amp;B$2&amp;B$1&amp;"P"&amp;$A17)*RTD("tos.rtd",,"GAMMA","."&amp;B$2&amp;B$1&amp;"P"&amp;$A17))/1000000),0),IF($A$2="SKEW",IFERROR(VALUE(IF(RTD("tos.rtd",,"IMPL_VOL","."&amp;B$2&amp;B$1&amp;"P"&amp;$A17)="N/A",0,RTD("tos.rtd",,"IMPL_VOL","."&amp;B$2&amp;B$1&amp;"P"&amp;$A17))),0)-IFERROR(VALUE(IF(RTD("tos.rtd",,"IMPL_VOL","."&amp;B$2&amp;B$1&amp;"C"&amp;$A17)="N/A",0,RTD("tos.rtd",,"IMPL_VOL","."&amp;B$2&amp;B$1&amp;"C"&amp;$A17))),0),IF($A$2="MAXPAIN",IF($A$4&gt;$A17,($A$4-$A17)*IF(RTD("tos.rtd",,"OPEN_INT","."&amp;B$2&amp;B$1&amp;"C"&amp;$A17)="N/A",0,RTD("tos.rtd",,"OPEN_INT","."&amp;B$2&amp;B$1&amp;"C"&amp;$A17)),0)+IF($A$4&lt;$A17,($A$5-$A$4)*IF(RTD("tos.rtd",,"OPEN_INT","."&amp;B$2&amp;B$1&amp;"P"&amp;$A17)="N/A",0,RTD("tos.rtd",,"OPEN_INT","."&amp;B$2&amp;B$1&amp;"P"&amp;$A17)),0),IF($X$1="ABS",IF(RTD("tos.rtd",,$A$2,"."&amp;B$2&amp;B$1&amp;"C"&amp;$A17)="N/A",0,RTD("tos.rtd",,$A$2,"."&amp;B$2&amp;B$1&amp;"C"&amp;$A17))+IF(RTD("tos.rtd",,$A$2,"."&amp;B$2&amp;B$1&amp;"P"&amp;$A17)="N/A",0,RTD("tos.rtd",,$A$2,"."&amp;B$2&amp;B$1&amp;"P"&amp;$A17)),IF(RTD("tos.rtd",,$A$2,"."&amp;B$2&amp;B$1&amp;"C"&amp;$A17)="N/A",0,RTD("tos.rtd",,$A$2,"."&amp;B$2&amp;B$1&amp;"C"&amp;$A17))-IF(RTD("tos.rtd",,$A$2,"."&amp;B$2&amp;B$1&amp;"P"&amp;$A17)="N/A",0,RTD("tos.rtd",,$A$2,"."&amp;B$2&amp;B$1&amp;"P"&amp;$A17))))))))))</f>
        <v>0</v>
      </c>
      <c r="C17" s="14">
        <f ca="1">IF($A$2="PREMIUM_OI",IFERROR(IF($X$1="ABS",(100*RTD("tos.rtd",,"OPEN_INT","."&amp;C$2&amp;C$1&amp;"C"&amp;$A17)*RTD("tos.rtd",,"LAST","."&amp;C$2&amp;C$1&amp;"C"&amp;$A17)+100*RTD("tos.rtd",,"OPEN_INT","."&amp;C$2&amp;C$1&amp;"P"&amp;$A17)*RTD("tos.rtd",,"LAST","."&amp;C$2&amp;C$1&amp;"P"&amp;$A17))/1000000,(100*RTD("tos.rtd",,"OPEN_INT","."&amp;C$2&amp;C$1&amp;"C"&amp;$A17)*RTD("tos.rtd",,"LAST","."&amp;C$2&amp;C$1&amp;"C"&amp;$A17)-100*RTD("tos.rtd",,"OPEN_INT","."&amp;C$2&amp;C$1&amp;"P"&amp;$A17)*RTD("tos.rtd",,"LAST","."&amp;C$2&amp;C$1&amp;"P"&amp;$A17))/1000000),0),IF($A$2="PREMIUM",IFERROR(IF($X$1="ABS",(100*RTD("tos.rtd",,"VOLUME","."&amp;C$2&amp;C$1&amp;"C"&amp;$A17)*RTD("tos.rtd",,"LAST","."&amp;C$2&amp;C$1&amp;"C"&amp;$A17)+100*RTD("tos.rtd",,"VOLUME","."&amp;C$2&amp;C$1&amp;"P"&amp;$A17)*RTD("tos.rtd",,"LAST","."&amp;C$2&amp;C$1&amp;"P"&amp;$A17))/1000000,(100*RTD("tos.rtd",,"VOLUME","."&amp;C$2&amp;C$1&amp;"C"&amp;$A17)*RTD("tos.rtd",,"LAST","."&amp;C$2&amp;C$1&amp;"C"&amp;$A17)-100*RTD("tos.rtd",,"VOLUME","."&amp;C$2&amp;C$1&amp;"P"&amp;$A17)*RTD("tos.rtd",,"LAST","."&amp;C$2&amp;C$1&amp;"P"&amp;$A17))/1000000),0),IF($A$2="DEX",IFERROR(IF($X$1="ABS",(100*RTD("tos.rtd",,"OPEN_INT","."&amp;C$2&amp;C$1&amp;"C"&amp;$A17)*RTD("tos.rtd",,"DELTA","."&amp;C$2&amp;C$1&amp;"C"&amp;$A17)+100*RTD("tos.rtd",,"OPEN_INT","."&amp;C$2&amp;C$1&amp;"P"&amp;$A17)*RTD("tos.rtd",,"DELTA","."&amp;C$2&amp;C$1&amp;"P"&amp;$A17))/1000,(100*RTD("tos.rtd",,"OPEN_INT","."&amp;C$2&amp;C$1&amp;"C"&amp;$A17)*RTD("tos.rtd",,"DELTA","."&amp;C$2&amp;C$1&amp;"C"&amp;$A17)-100*RTD("tos.rtd",,"OPEN_INT","."&amp;C$2&amp;C$1&amp;"P"&amp;$A17)*RTD("tos.rtd",,"DELTA","."&amp;C$2&amp;C$1&amp;"P"&amp;$A17))/1000),0),IF($A$2="VEX",IFERROR(IF($X$1="ABS",($A$4*$A$4*RTD("tos.rtd",,"VOLUME","."&amp;C$2&amp;C$1&amp;"C"&amp;$A17)*RTD("tos.rtd",,"GAMMA","."&amp;C$2&amp;C$1&amp;"C"&amp;$A17)+$A$4*$A$4*RTD("tos.rtd",,"VOLUME","."&amp;C$2&amp;C$1&amp;"P"&amp;$A17)*RTD("tos.rtd",,"GAMMA","."&amp;C$2&amp;C$1&amp;"P"&amp;$A17))/1000000,($A$4*$A$4*RTD("tos.rtd",,"VOLUME","."&amp;C$2&amp;C$1&amp;"C"&amp;$A17)*RTD("tos.rtd",,"GAMMA","."&amp;C$2&amp;C$1&amp;"C"&amp;$A17)-$A$4*$A$4*RTD("tos.rtd",,"VOLUME","."&amp;C$2&amp;C$1&amp;"P"&amp;$A17)*RTD("tos.rtd",,"GAMMA","."&amp;C$2&amp;C$1&amp;"P"&amp;$A17))/1000000),0),IF($A$2="GEX",IFERROR(IF($X$1="ABS",($A$4*$A$4*RTD("tos.rtd",,"OPEN_INT","."&amp;C$2&amp;C$1&amp;"C"&amp;$A17)*RTD("tos.rtd",,"GAMMA","."&amp;C$2&amp;C$1&amp;"C"&amp;$A17)+$A$4*$A$4*RTD("tos.rtd",,"OPEN_INT","."&amp;C$2&amp;C$1&amp;"P"&amp;$A17)*RTD("tos.rtd",,"GAMMA","."&amp;C$2&amp;C$1&amp;"P"&amp;$A17))/1000000,($A$4*$A$4*RTD("tos.rtd",,"OPEN_INT","."&amp;C$2&amp;C$1&amp;"C"&amp;$A17)*RTD("tos.rtd",,"GAMMA","."&amp;C$2&amp;C$1&amp;"C"&amp;$A17)-$A$4*$A$4*RTD("tos.rtd",,"OPEN_INT","."&amp;C$2&amp;C$1&amp;"P"&amp;$A17)*RTD("tos.rtd",,"GAMMA","."&amp;C$2&amp;C$1&amp;"P"&amp;$A17))/1000000),0),IF($A$2="SKEW",IFERROR(VALUE(IF(RTD("tos.rtd",,"IMPL_VOL","."&amp;C$2&amp;C$1&amp;"P"&amp;$A17)="N/A",0,RTD("tos.rtd",,"IMPL_VOL","."&amp;C$2&amp;C$1&amp;"P"&amp;$A17))),0)-IFERROR(VALUE(IF(RTD("tos.rtd",,"IMPL_VOL","."&amp;C$2&amp;C$1&amp;"C"&amp;$A17)="N/A",0,RTD("tos.rtd",,"IMPL_VOL","."&amp;C$2&amp;C$1&amp;"C"&amp;$A17))),0),IF($A$2="MAXPAIN",IF($A$4&gt;$A17,($A$4-$A17)*IF(RTD("tos.rtd",,"OPEN_INT","."&amp;C$2&amp;C$1&amp;"C"&amp;$A17)="N/A",0,RTD("tos.rtd",,"OPEN_INT","."&amp;C$2&amp;C$1&amp;"C"&amp;$A17)),0)+IF($A$4&lt;$A17,($A$5-$A$4)*IF(RTD("tos.rtd",,"OPEN_INT","."&amp;C$2&amp;C$1&amp;"P"&amp;$A17)="N/A",0,RTD("tos.rtd",,"OPEN_INT","."&amp;C$2&amp;C$1&amp;"P"&amp;$A17)),0),IF($X$1="ABS",IF(RTD("tos.rtd",,$A$2,"."&amp;C$2&amp;C$1&amp;"C"&amp;$A17)="N/A",0,RTD("tos.rtd",,$A$2,"."&amp;C$2&amp;C$1&amp;"C"&amp;$A17))+IF(RTD("tos.rtd",,$A$2,"."&amp;C$2&amp;C$1&amp;"P"&amp;$A17)="N/A",0,RTD("tos.rtd",,$A$2,"."&amp;C$2&amp;C$1&amp;"P"&amp;$A17)),IF(RTD("tos.rtd",,$A$2,"."&amp;C$2&amp;C$1&amp;"C"&amp;$A17)="N/A",0,RTD("tos.rtd",,$A$2,"."&amp;C$2&amp;C$1&amp;"C"&amp;$A17))-IF(RTD("tos.rtd",,$A$2,"."&amp;C$2&amp;C$1&amp;"P"&amp;$A17)="N/A",0,RTD("tos.rtd",,$A$2,"."&amp;C$2&amp;C$1&amp;"P"&amp;$A17))))))))))</f>
        <v>0</v>
      </c>
      <c r="D17" s="12">
        <f ca="1">IF($A$2="PREMIUM_OI",IFERROR(IF($X$1="ABS",(100*RTD("tos.rtd",,"OPEN_INT","."&amp;D$2&amp;D$1&amp;"C"&amp;$A17)*RTD("tos.rtd",,"LAST","."&amp;D$2&amp;D$1&amp;"C"&amp;$A17)+100*RTD("tos.rtd",,"OPEN_INT","."&amp;D$2&amp;D$1&amp;"P"&amp;$A17)*RTD("tos.rtd",,"LAST","."&amp;D$2&amp;D$1&amp;"P"&amp;$A17))/1000000,(100*RTD("tos.rtd",,"OPEN_INT","."&amp;D$2&amp;D$1&amp;"C"&amp;$A17)*RTD("tos.rtd",,"LAST","."&amp;D$2&amp;D$1&amp;"C"&amp;$A17)-100*RTD("tos.rtd",,"OPEN_INT","."&amp;D$2&amp;D$1&amp;"P"&amp;$A17)*RTD("tos.rtd",,"LAST","."&amp;D$2&amp;D$1&amp;"P"&amp;$A17))/1000000),0),IF($A$2="PREMIUM",IFERROR(IF($X$1="ABS",(100*RTD("tos.rtd",,"VOLUME","."&amp;D$2&amp;D$1&amp;"C"&amp;$A17)*RTD("tos.rtd",,"LAST","."&amp;D$2&amp;D$1&amp;"C"&amp;$A17)+100*RTD("tos.rtd",,"VOLUME","."&amp;D$2&amp;D$1&amp;"P"&amp;$A17)*RTD("tos.rtd",,"LAST","."&amp;D$2&amp;D$1&amp;"P"&amp;$A17))/1000000,(100*RTD("tos.rtd",,"VOLUME","."&amp;D$2&amp;D$1&amp;"C"&amp;$A17)*RTD("tos.rtd",,"LAST","."&amp;D$2&amp;D$1&amp;"C"&amp;$A17)-100*RTD("tos.rtd",,"VOLUME","."&amp;D$2&amp;D$1&amp;"P"&amp;$A17)*RTD("tos.rtd",,"LAST","."&amp;D$2&amp;D$1&amp;"P"&amp;$A17))/1000000),0),IF($A$2="DEX",IFERROR(IF($X$1="ABS",(100*RTD("tos.rtd",,"OPEN_INT","."&amp;D$2&amp;D$1&amp;"C"&amp;$A17)*RTD("tos.rtd",,"DELTA","."&amp;D$2&amp;D$1&amp;"C"&amp;$A17)+100*RTD("tos.rtd",,"OPEN_INT","."&amp;D$2&amp;D$1&amp;"P"&amp;$A17)*RTD("tos.rtd",,"DELTA","."&amp;D$2&amp;D$1&amp;"P"&amp;$A17))/1000,(100*RTD("tos.rtd",,"OPEN_INT","."&amp;D$2&amp;D$1&amp;"C"&amp;$A17)*RTD("tos.rtd",,"DELTA","."&amp;D$2&amp;D$1&amp;"C"&amp;$A17)-100*RTD("tos.rtd",,"OPEN_INT","."&amp;D$2&amp;D$1&amp;"P"&amp;$A17)*RTD("tos.rtd",,"DELTA","."&amp;D$2&amp;D$1&amp;"P"&amp;$A17))/1000),0),IF($A$2="VEX",IFERROR(IF($X$1="ABS",($A$4*$A$4*RTD("tos.rtd",,"VOLUME","."&amp;D$2&amp;D$1&amp;"C"&amp;$A17)*RTD("tos.rtd",,"GAMMA","."&amp;D$2&amp;D$1&amp;"C"&amp;$A17)+$A$4*$A$4*RTD("tos.rtd",,"VOLUME","."&amp;D$2&amp;D$1&amp;"P"&amp;$A17)*RTD("tos.rtd",,"GAMMA","."&amp;D$2&amp;D$1&amp;"P"&amp;$A17))/1000000,($A$4*$A$4*RTD("tos.rtd",,"VOLUME","."&amp;D$2&amp;D$1&amp;"C"&amp;$A17)*RTD("tos.rtd",,"GAMMA","."&amp;D$2&amp;D$1&amp;"C"&amp;$A17)-$A$4*$A$4*RTD("tos.rtd",,"VOLUME","."&amp;D$2&amp;D$1&amp;"P"&amp;$A17)*RTD("tos.rtd",,"GAMMA","."&amp;D$2&amp;D$1&amp;"P"&amp;$A17))/1000000),0),IF($A$2="GEX",IFERROR(IF($X$1="ABS",($A$4*$A$4*RTD("tos.rtd",,"OPEN_INT","."&amp;D$2&amp;D$1&amp;"C"&amp;$A17)*RTD("tos.rtd",,"GAMMA","."&amp;D$2&amp;D$1&amp;"C"&amp;$A17)+$A$4*$A$4*RTD("tos.rtd",,"OPEN_INT","."&amp;D$2&amp;D$1&amp;"P"&amp;$A17)*RTD("tos.rtd",,"GAMMA","."&amp;D$2&amp;D$1&amp;"P"&amp;$A17))/1000000,($A$4*$A$4*RTD("tos.rtd",,"OPEN_INT","."&amp;D$2&amp;D$1&amp;"C"&amp;$A17)*RTD("tos.rtd",,"GAMMA","."&amp;D$2&amp;D$1&amp;"C"&amp;$A17)-$A$4*$A$4*RTD("tos.rtd",,"OPEN_INT","."&amp;D$2&amp;D$1&amp;"P"&amp;$A17)*RTD("tos.rtd",,"GAMMA","."&amp;D$2&amp;D$1&amp;"P"&amp;$A17))/1000000),0),IF($A$2="SKEW",IFERROR(VALUE(IF(RTD("tos.rtd",,"IMPL_VOL","."&amp;D$2&amp;D$1&amp;"P"&amp;$A17)="N/A",0,RTD("tos.rtd",,"IMPL_VOL","."&amp;D$2&amp;D$1&amp;"P"&amp;$A17))),0)-IFERROR(VALUE(IF(RTD("tos.rtd",,"IMPL_VOL","."&amp;D$2&amp;D$1&amp;"C"&amp;$A17)="N/A",0,RTD("tos.rtd",,"IMPL_VOL","."&amp;D$2&amp;D$1&amp;"C"&amp;$A17))),0),IF($A$2="MAXPAIN",IF($A$4&gt;$A17,($A$4-$A17)*IF(RTD("tos.rtd",,"OPEN_INT","."&amp;D$2&amp;D$1&amp;"C"&amp;$A17)="N/A",0,RTD("tos.rtd",,"OPEN_INT","."&amp;D$2&amp;D$1&amp;"C"&amp;$A17)),0)+IF($A$4&lt;$A17,($A$5-$A$4)*IF(RTD("tos.rtd",,"OPEN_INT","."&amp;D$2&amp;D$1&amp;"P"&amp;$A17)="N/A",0,RTD("tos.rtd",,"OPEN_INT","."&amp;D$2&amp;D$1&amp;"P"&amp;$A17)),0),IF($X$1="ABS",IF(RTD("tos.rtd",,$A$2,"."&amp;D$2&amp;D$1&amp;"C"&amp;$A17)="N/A",0,RTD("tos.rtd",,$A$2,"."&amp;D$2&amp;D$1&amp;"C"&amp;$A17))+IF(RTD("tos.rtd",,$A$2,"."&amp;D$2&amp;D$1&amp;"P"&amp;$A17)="N/A",0,RTD("tos.rtd",,$A$2,"."&amp;D$2&amp;D$1&amp;"P"&amp;$A17)),IF(RTD("tos.rtd",,$A$2,"."&amp;D$2&amp;D$1&amp;"C"&amp;$A17)="N/A",0,RTD("tos.rtd",,$A$2,"."&amp;D$2&amp;D$1&amp;"C"&amp;$A17))-IF(RTD("tos.rtd",,$A$2,"."&amp;D$2&amp;D$1&amp;"P"&amp;$A17)="N/A",0,RTD("tos.rtd",,$A$2,"."&amp;D$2&amp;D$1&amp;"P"&amp;$A17))))))))))</f>
        <v>0</v>
      </c>
      <c r="E17" s="12">
        <f ca="1">IF($A$2="PREMIUM_OI",IFERROR(IF($X$1="ABS",(100*RTD("tos.rtd",,"OPEN_INT","."&amp;E$2&amp;E$1&amp;"C"&amp;$A17)*RTD("tos.rtd",,"LAST","."&amp;E$2&amp;E$1&amp;"C"&amp;$A17)+100*RTD("tos.rtd",,"OPEN_INT","."&amp;E$2&amp;E$1&amp;"P"&amp;$A17)*RTD("tos.rtd",,"LAST","."&amp;E$2&amp;E$1&amp;"P"&amp;$A17))/1000000,(100*RTD("tos.rtd",,"OPEN_INT","."&amp;E$2&amp;E$1&amp;"C"&amp;$A17)*RTD("tos.rtd",,"LAST","."&amp;E$2&amp;E$1&amp;"C"&amp;$A17)-100*RTD("tos.rtd",,"OPEN_INT","."&amp;E$2&amp;E$1&amp;"P"&amp;$A17)*RTD("tos.rtd",,"LAST","."&amp;E$2&amp;E$1&amp;"P"&amp;$A17))/1000000),0),IF($A$2="PREMIUM",IFERROR(IF($X$1="ABS",(100*RTD("tos.rtd",,"VOLUME","."&amp;E$2&amp;E$1&amp;"C"&amp;$A17)*RTD("tos.rtd",,"LAST","."&amp;E$2&amp;E$1&amp;"C"&amp;$A17)+100*RTD("tos.rtd",,"VOLUME","."&amp;E$2&amp;E$1&amp;"P"&amp;$A17)*RTD("tos.rtd",,"LAST","."&amp;E$2&amp;E$1&amp;"P"&amp;$A17))/1000000,(100*RTD("tos.rtd",,"VOLUME","."&amp;E$2&amp;E$1&amp;"C"&amp;$A17)*RTD("tos.rtd",,"LAST","."&amp;E$2&amp;E$1&amp;"C"&amp;$A17)-100*RTD("tos.rtd",,"VOLUME","."&amp;E$2&amp;E$1&amp;"P"&amp;$A17)*RTD("tos.rtd",,"LAST","."&amp;E$2&amp;E$1&amp;"P"&amp;$A17))/1000000),0),IF($A$2="DEX",IFERROR(IF($X$1="ABS",(100*RTD("tos.rtd",,"OPEN_INT","."&amp;E$2&amp;E$1&amp;"C"&amp;$A17)*RTD("tos.rtd",,"DELTA","."&amp;E$2&amp;E$1&amp;"C"&amp;$A17)+100*RTD("tos.rtd",,"OPEN_INT","."&amp;E$2&amp;E$1&amp;"P"&amp;$A17)*RTD("tos.rtd",,"DELTA","."&amp;E$2&amp;E$1&amp;"P"&amp;$A17))/1000,(100*RTD("tos.rtd",,"OPEN_INT","."&amp;E$2&amp;E$1&amp;"C"&amp;$A17)*RTD("tos.rtd",,"DELTA","."&amp;E$2&amp;E$1&amp;"C"&amp;$A17)-100*RTD("tos.rtd",,"OPEN_INT","."&amp;E$2&amp;E$1&amp;"P"&amp;$A17)*RTD("tos.rtd",,"DELTA","."&amp;E$2&amp;E$1&amp;"P"&amp;$A17))/1000),0),IF($A$2="VEX",IFERROR(IF($X$1="ABS",($A$4*$A$4*RTD("tos.rtd",,"VOLUME","."&amp;E$2&amp;E$1&amp;"C"&amp;$A17)*RTD("tos.rtd",,"GAMMA","."&amp;E$2&amp;E$1&amp;"C"&amp;$A17)+$A$4*$A$4*RTD("tos.rtd",,"VOLUME","."&amp;E$2&amp;E$1&amp;"P"&amp;$A17)*RTD("tos.rtd",,"GAMMA","."&amp;E$2&amp;E$1&amp;"P"&amp;$A17))/1000000,($A$4*$A$4*RTD("tos.rtd",,"VOLUME","."&amp;E$2&amp;E$1&amp;"C"&amp;$A17)*RTD("tos.rtd",,"GAMMA","."&amp;E$2&amp;E$1&amp;"C"&amp;$A17)-$A$4*$A$4*RTD("tos.rtd",,"VOLUME","."&amp;E$2&amp;E$1&amp;"P"&amp;$A17)*RTD("tos.rtd",,"GAMMA","."&amp;E$2&amp;E$1&amp;"P"&amp;$A17))/1000000),0),IF($A$2="GEX",IFERROR(IF($X$1="ABS",($A$4*$A$4*RTD("tos.rtd",,"OPEN_INT","."&amp;E$2&amp;E$1&amp;"C"&amp;$A17)*RTD("tos.rtd",,"GAMMA","."&amp;E$2&amp;E$1&amp;"C"&amp;$A17)+$A$4*$A$4*RTD("tos.rtd",,"OPEN_INT","."&amp;E$2&amp;E$1&amp;"P"&amp;$A17)*RTD("tos.rtd",,"GAMMA","."&amp;E$2&amp;E$1&amp;"P"&amp;$A17))/1000000,($A$4*$A$4*RTD("tos.rtd",,"OPEN_INT","."&amp;E$2&amp;E$1&amp;"C"&amp;$A17)*RTD("tos.rtd",,"GAMMA","."&amp;E$2&amp;E$1&amp;"C"&amp;$A17)-$A$4*$A$4*RTD("tos.rtd",,"OPEN_INT","."&amp;E$2&amp;E$1&amp;"P"&amp;$A17)*RTD("tos.rtd",,"GAMMA","."&amp;E$2&amp;E$1&amp;"P"&amp;$A17))/1000000),0),IF($A$2="SKEW",IFERROR(VALUE(IF(RTD("tos.rtd",,"IMPL_VOL","."&amp;E$2&amp;E$1&amp;"P"&amp;$A17)="N/A",0,RTD("tos.rtd",,"IMPL_VOL","."&amp;E$2&amp;E$1&amp;"P"&amp;$A17))),0)-IFERROR(VALUE(IF(RTD("tos.rtd",,"IMPL_VOL","."&amp;E$2&amp;E$1&amp;"C"&amp;$A17)="N/A",0,RTD("tos.rtd",,"IMPL_VOL","."&amp;E$2&amp;E$1&amp;"C"&amp;$A17))),0),IF($A$2="MAXPAIN",IF($A$4&gt;$A17,($A$4-$A17)*IF(RTD("tos.rtd",,"OPEN_INT","."&amp;E$2&amp;E$1&amp;"C"&amp;$A17)="N/A",0,RTD("tos.rtd",,"OPEN_INT","."&amp;E$2&amp;E$1&amp;"C"&amp;$A17)),0)+IF($A$4&lt;$A17,($A$5-$A$4)*IF(RTD("tos.rtd",,"OPEN_INT","."&amp;E$2&amp;E$1&amp;"P"&amp;$A17)="N/A",0,RTD("tos.rtd",,"OPEN_INT","."&amp;E$2&amp;E$1&amp;"P"&amp;$A17)),0),IF($X$1="ABS",IF(RTD("tos.rtd",,$A$2,"."&amp;E$2&amp;E$1&amp;"C"&amp;$A17)="N/A",0,RTD("tos.rtd",,$A$2,"."&amp;E$2&amp;E$1&amp;"C"&amp;$A17))+IF(RTD("tos.rtd",,$A$2,"."&amp;E$2&amp;E$1&amp;"P"&amp;$A17)="N/A",0,RTD("tos.rtd",,$A$2,"."&amp;E$2&amp;E$1&amp;"P"&amp;$A17)),IF(RTD("tos.rtd",,$A$2,"."&amp;E$2&amp;E$1&amp;"C"&amp;$A17)="N/A",0,RTD("tos.rtd",,$A$2,"."&amp;E$2&amp;E$1&amp;"C"&amp;$A17))-IF(RTD("tos.rtd",,$A$2,"."&amp;E$2&amp;E$1&amp;"P"&amp;$A17)="N/A",0,RTD("tos.rtd",,$A$2,"."&amp;E$2&amp;E$1&amp;"P"&amp;$A17))))))))))</f>
        <v>0</v>
      </c>
      <c r="F17" s="12">
        <f ca="1">IF($A$2="PREMIUM_OI",IFERROR(IF($X$1="ABS",(100*RTD("tos.rtd",,"OPEN_INT","."&amp;F$2&amp;F$1&amp;"C"&amp;$A17)*RTD("tos.rtd",,"LAST","."&amp;F$2&amp;F$1&amp;"C"&amp;$A17)+100*RTD("tos.rtd",,"OPEN_INT","."&amp;F$2&amp;F$1&amp;"P"&amp;$A17)*RTD("tos.rtd",,"LAST","."&amp;F$2&amp;F$1&amp;"P"&amp;$A17))/1000000,(100*RTD("tos.rtd",,"OPEN_INT","."&amp;F$2&amp;F$1&amp;"C"&amp;$A17)*RTD("tos.rtd",,"LAST","."&amp;F$2&amp;F$1&amp;"C"&amp;$A17)-100*RTD("tos.rtd",,"OPEN_INT","."&amp;F$2&amp;F$1&amp;"P"&amp;$A17)*RTD("tos.rtd",,"LAST","."&amp;F$2&amp;F$1&amp;"P"&amp;$A17))/1000000),0),IF($A$2="PREMIUM",IFERROR(IF($X$1="ABS",(100*RTD("tos.rtd",,"VOLUME","."&amp;F$2&amp;F$1&amp;"C"&amp;$A17)*RTD("tos.rtd",,"LAST","."&amp;F$2&amp;F$1&amp;"C"&amp;$A17)+100*RTD("tos.rtd",,"VOLUME","."&amp;F$2&amp;F$1&amp;"P"&amp;$A17)*RTD("tos.rtd",,"LAST","."&amp;F$2&amp;F$1&amp;"P"&amp;$A17))/1000000,(100*RTD("tos.rtd",,"VOLUME","."&amp;F$2&amp;F$1&amp;"C"&amp;$A17)*RTD("tos.rtd",,"LAST","."&amp;F$2&amp;F$1&amp;"C"&amp;$A17)-100*RTD("tos.rtd",,"VOLUME","."&amp;F$2&amp;F$1&amp;"P"&amp;$A17)*RTD("tos.rtd",,"LAST","."&amp;F$2&amp;F$1&amp;"P"&amp;$A17))/1000000),0),IF($A$2="DEX",IFERROR(IF($X$1="ABS",(100*RTD("tos.rtd",,"OPEN_INT","."&amp;F$2&amp;F$1&amp;"C"&amp;$A17)*RTD("tos.rtd",,"DELTA","."&amp;F$2&amp;F$1&amp;"C"&amp;$A17)+100*RTD("tos.rtd",,"OPEN_INT","."&amp;F$2&amp;F$1&amp;"P"&amp;$A17)*RTD("tos.rtd",,"DELTA","."&amp;F$2&amp;F$1&amp;"P"&amp;$A17))/1000,(100*RTD("tos.rtd",,"OPEN_INT","."&amp;F$2&amp;F$1&amp;"C"&amp;$A17)*RTD("tos.rtd",,"DELTA","."&amp;F$2&amp;F$1&amp;"C"&amp;$A17)-100*RTD("tos.rtd",,"OPEN_INT","."&amp;F$2&amp;F$1&amp;"P"&amp;$A17)*RTD("tos.rtd",,"DELTA","."&amp;F$2&amp;F$1&amp;"P"&amp;$A17))/1000),0),IF($A$2="VEX",IFERROR(IF($X$1="ABS",($A$4*$A$4*RTD("tos.rtd",,"VOLUME","."&amp;F$2&amp;F$1&amp;"C"&amp;$A17)*RTD("tos.rtd",,"GAMMA","."&amp;F$2&amp;F$1&amp;"C"&amp;$A17)+$A$4*$A$4*RTD("tos.rtd",,"VOLUME","."&amp;F$2&amp;F$1&amp;"P"&amp;$A17)*RTD("tos.rtd",,"GAMMA","."&amp;F$2&amp;F$1&amp;"P"&amp;$A17))/1000000,($A$4*$A$4*RTD("tos.rtd",,"VOLUME","."&amp;F$2&amp;F$1&amp;"C"&amp;$A17)*RTD("tos.rtd",,"GAMMA","."&amp;F$2&amp;F$1&amp;"C"&amp;$A17)-$A$4*$A$4*RTD("tos.rtd",,"VOLUME","."&amp;F$2&amp;F$1&amp;"P"&amp;$A17)*RTD("tos.rtd",,"GAMMA","."&amp;F$2&amp;F$1&amp;"P"&amp;$A17))/1000000),0),IF($A$2="GEX",IFERROR(IF($X$1="ABS",($A$4*$A$4*RTD("tos.rtd",,"OPEN_INT","."&amp;F$2&amp;F$1&amp;"C"&amp;$A17)*RTD("tos.rtd",,"GAMMA","."&amp;F$2&amp;F$1&amp;"C"&amp;$A17)+$A$4*$A$4*RTD("tos.rtd",,"OPEN_INT","."&amp;F$2&amp;F$1&amp;"P"&amp;$A17)*RTD("tos.rtd",,"GAMMA","."&amp;F$2&amp;F$1&amp;"P"&amp;$A17))/1000000,($A$4*$A$4*RTD("tos.rtd",,"OPEN_INT","."&amp;F$2&amp;F$1&amp;"C"&amp;$A17)*RTD("tos.rtd",,"GAMMA","."&amp;F$2&amp;F$1&amp;"C"&amp;$A17)-$A$4*$A$4*RTD("tos.rtd",,"OPEN_INT","."&amp;F$2&amp;F$1&amp;"P"&amp;$A17)*RTD("tos.rtd",,"GAMMA","."&amp;F$2&amp;F$1&amp;"P"&amp;$A17))/1000000),0),IF($A$2="SKEW",IFERROR(VALUE(IF(RTD("tos.rtd",,"IMPL_VOL","."&amp;F$2&amp;F$1&amp;"P"&amp;$A17)="N/A",0,RTD("tos.rtd",,"IMPL_VOL","."&amp;F$2&amp;F$1&amp;"P"&amp;$A17))),0)-IFERROR(VALUE(IF(RTD("tos.rtd",,"IMPL_VOL","."&amp;F$2&amp;F$1&amp;"C"&amp;$A17)="N/A",0,RTD("tos.rtd",,"IMPL_VOL","."&amp;F$2&amp;F$1&amp;"C"&amp;$A17))),0),IF($A$2="MAXPAIN",IF($A$4&gt;$A17,($A$4-$A17)*IF(RTD("tos.rtd",,"OPEN_INT","."&amp;F$2&amp;F$1&amp;"C"&amp;$A17)="N/A",0,RTD("tos.rtd",,"OPEN_INT","."&amp;F$2&amp;F$1&amp;"C"&amp;$A17)),0)+IF($A$4&lt;$A17,($A$5-$A$4)*IF(RTD("tos.rtd",,"OPEN_INT","."&amp;F$2&amp;F$1&amp;"P"&amp;$A17)="N/A",0,RTD("tos.rtd",,"OPEN_INT","."&amp;F$2&amp;F$1&amp;"P"&amp;$A17)),0),IF($X$1="ABS",IF(RTD("tos.rtd",,$A$2,"."&amp;F$2&amp;F$1&amp;"C"&amp;$A17)="N/A",0,RTD("tos.rtd",,$A$2,"."&amp;F$2&amp;F$1&amp;"C"&amp;$A17))+IF(RTD("tos.rtd",,$A$2,"."&amp;F$2&amp;F$1&amp;"P"&amp;$A17)="N/A",0,RTD("tos.rtd",,$A$2,"."&amp;F$2&amp;F$1&amp;"P"&amp;$A17)),IF(RTD("tos.rtd",,$A$2,"."&amp;F$2&amp;F$1&amp;"C"&amp;$A17)="N/A",0,RTD("tos.rtd",,$A$2,"."&amp;F$2&amp;F$1&amp;"C"&amp;$A17))-IF(RTD("tos.rtd",,$A$2,"."&amp;F$2&amp;F$1&amp;"P"&amp;$A17)="N/A",0,RTD("tos.rtd",,$A$2,"."&amp;F$2&amp;F$1&amp;"P"&amp;$A17))))))))))</f>
        <v>0</v>
      </c>
      <c r="G17" s="54">
        <f ca="1">IF($A$2="PREMIUM_OI",IFERROR(IF($X$1="ABS",(100*RTD("tos.rtd",,"OPEN_INT","."&amp;G$2&amp;G$1&amp;"C"&amp;$A17)*RTD("tos.rtd",,"LAST","."&amp;G$2&amp;G$1&amp;"C"&amp;$A17)+100*RTD("tos.rtd",,"OPEN_INT","."&amp;G$2&amp;G$1&amp;"P"&amp;$A17)*RTD("tos.rtd",,"LAST","."&amp;G$2&amp;G$1&amp;"P"&amp;$A17))/1000000,(100*RTD("tos.rtd",,"OPEN_INT","."&amp;G$2&amp;G$1&amp;"C"&amp;$A17)*RTD("tos.rtd",,"LAST","."&amp;G$2&amp;G$1&amp;"C"&amp;$A17)-100*RTD("tos.rtd",,"OPEN_INT","."&amp;G$2&amp;G$1&amp;"P"&amp;$A17)*RTD("tos.rtd",,"LAST","."&amp;G$2&amp;G$1&amp;"P"&amp;$A17))/1000000),0),IF($A$2="PREMIUM",IFERROR(IF($X$1="ABS",(100*RTD("tos.rtd",,"VOLUME","."&amp;G$2&amp;G$1&amp;"C"&amp;$A17)*RTD("tos.rtd",,"LAST","."&amp;G$2&amp;G$1&amp;"C"&amp;$A17)+100*RTD("tos.rtd",,"VOLUME","."&amp;G$2&amp;G$1&amp;"P"&amp;$A17)*RTD("tos.rtd",,"LAST","."&amp;G$2&amp;G$1&amp;"P"&amp;$A17))/1000000,(100*RTD("tos.rtd",,"VOLUME","."&amp;G$2&amp;G$1&amp;"C"&amp;$A17)*RTD("tos.rtd",,"LAST","."&amp;G$2&amp;G$1&amp;"C"&amp;$A17)-100*RTD("tos.rtd",,"VOLUME","."&amp;G$2&amp;G$1&amp;"P"&amp;$A17)*RTD("tos.rtd",,"LAST","."&amp;G$2&amp;G$1&amp;"P"&amp;$A17))/1000000),0),IF($A$2="DEX",IFERROR(IF($X$1="ABS",(100*RTD("tos.rtd",,"OPEN_INT","."&amp;G$2&amp;G$1&amp;"C"&amp;$A17)*RTD("tos.rtd",,"DELTA","."&amp;G$2&amp;G$1&amp;"C"&amp;$A17)+100*RTD("tos.rtd",,"OPEN_INT","."&amp;G$2&amp;G$1&amp;"P"&amp;$A17)*RTD("tos.rtd",,"DELTA","."&amp;G$2&amp;G$1&amp;"P"&amp;$A17))/1000,(100*RTD("tos.rtd",,"OPEN_INT","."&amp;G$2&amp;G$1&amp;"C"&amp;$A17)*RTD("tos.rtd",,"DELTA","."&amp;G$2&amp;G$1&amp;"C"&amp;$A17)-100*RTD("tos.rtd",,"OPEN_INT","."&amp;G$2&amp;G$1&amp;"P"&amp;$A17)*RTD("tos.rtd",,"DELTA","."&amp;G$2&amp;G$1&amp;"P"&amp;$A17))/1000),0),IF($A$2="VEX",IFERROR(IF($X$1="ABS",($A$4*$A$4*RTD("tos.rtd",,"VOLUME","."&amp;G$2&amp;G$1&amp;"C"&amp;$A17)*RTD("tos.rtd",,"GAMMA","."&amp;G$2&amp;G$1&amp;"C"&amp;$A17)+$A$4*$A$4*RTD("tos.rtd",,"VOLUME","."&amp;G$2&amp;G$1&amp;"P"&amp;$A17)*RTD("tos.rtd",,"GAMMA","."&amp;G$2&amp;G$1&amp;"P"&amp;$A17))/1000000,($A$4*$A$4*RTD("tos.rtd",,"VOLUME","."&amp;G$2&amp;G$1&amp;"C"&amp;$A17)*RTD("tos.rtd",,"GAMMA","."&amp;G$2&amp;G$1&amp;"C"&amp;$A17)-$A$4*$A$4*RTD("tos.rtd",,"VOLUME","."&amp;G$2&amp;G$1&amp;"P"&amp;$A17)*RTD("tos.rtd",,"GAMMA","."&amp;G$2&amp;G$1&amp;"P"&amp;$A17))/1000000),0),IF($A$2="GEX",IFERROR(IF($X$1="ABS",($A$4*$A$4*RTD("tos.rtd",,"OPEN_INT","."&amp;G$2&amp;G$1&amp;"C"&amp;$A17)*RTD("tos.rtd",,"GAMMA","."&amp;G$2&amp;G$1&amp;"C"&amp;$A17)+$A$4*$A$4*RTD("tos.rtd",,"OPEN_INT","."&amp;G$2&amp;G$1&amp;"P"&amp;$A17)*RTD("tos.rtd",,"GAMMA","."&amp;G$2&amp;G$1&amp;"P"&amp;$A17))/1000000,($A$4*$A$4*RTD("tos.rtd",,"OPEN_INT","."&amp;G$2&amp;G$1&amp;"C"&amp;$A17)*RTD("tos.rtd",,"GAMMA","."&amp;G$2&amp;G$1&amp;"C"&amp;$A17)-$A$4*$A$4*RTD("tos.rtd",,"OPEN_INT","."&amp;G$2&amp;G$1&amp;"P"&amp;$A17)*RTD("tos.rtd",,"GAMMA","."&amp;G$2&amp;G$1&amp;"P"&amp;$A17))/1000000),0),IF($A$2="SKEW",IFERROR(VALUE(IF(RTD("tos.rtd",,"IMPL_VOL","."&amp;G$2&amp;G$1&amp;"P"&amp;$A17)="N/A",0,RTD("tos.rtd",,"IMPL_VOL","."&amp;G$2&amp;G$1&amp;"P"&amp;$A17))),0)-IFERROR(VALUE(IF(RTD("tos.rtd",,"IMPL_VOL","."&amp;G$2&amp;G$1&amp;"C"&amp;$A17)="N/A",0,RTD("tos.rtd",,"IMPL_VOL","."&amp;G$2&amp;G$1&amp;"C"&amp;$A17))),0),IF($A$2="MAXPAIN",IF($A$4&gt;$A17,($A$4-$A17)*IF(RTD("tos.rtd",,"OPEN_INT","."&amp;G$2&amp;G$1&amp;"C"&amp;$A17)="N/A",0,RTD("tos.rtd",,"OPEN_INT","."&amp;G$2&amp;G$1&amp;"C"&amp;$A17)),0)+IF($A$4&lt;$A17,($A$5-$A$4)*IF(RTD("tos.rtd",,"OPEN_INT","."&amp;G$2&amp;G$1&amp;"P"&amp;$A17)="N/A",0,RTD("tos.rtd",,"OPEN_INT","."&amp;G$2&amp;G$1&amp;"P"&amp;$A17)),0),IF($X$1="ABS",IF(RTD("tos.rtd",,$A$2,"."&amp;G$2&amp;G$1&amp;"C"&amp;$A17)="N/A",0,RTD("tos.rtd",,$A$2,"."&amp;G$2&amp;G$1&amp;"C"&amp;$A17))+IF(RTD("tos.rtd",,$A$2,"."&amp;G$2&amp;G$1&amp;"P"&amp;$A17)="N/A",0,RTD("tos.rtd",,$A$2,"."&amp;G$2&amp;G$1&amp;"P"&amp;$A17)),IF(RTD("tos.rtd",,$A$2,"."&amp;G$2&amp;G$1&amp;"C"&amp;$A17)="N/A",0,RTD("tos.rtd",,$A$2,"."&amp;G$2&amp;G$1&amp;"C"&amp;$A17))-IF(RTD("tos.rtd",,$A$2,"."&amp;G$2&amp;G$1&amp;"P"&amp;$A17)="N/A",0,RTD("tos.rtd",,$A$2,"."&amp;G$2&amp;G$1&amp;"P"&amp;$A17))))))))))</f>
        <v>0</v>
      </c>
      <c r="H17" s="14">
        <f ca="1">IF($A$2="PREMIUM_OI",IFERROR(IF($X$1="ABS",(100*RTD("tos.rtd",,"OPEN_INT","."&amp;H$2&amp;H$1&amp;"C"&amp;$A17)*RTD("tos.rtd",,"LAST","."&amp;H$2&amp;H$1&amp;"C"&amp;$A17)+100*RTD("tos.rtd",,"OPEN_INT","."&amp;H$2&amp;H$1&amp;"P"&amp;$A17)*RTD("tos.rtd",,"LAST","."&amp;H$2&amp;H$1&amp;"P"&amp;$A17))/1000000,(100*RTD("tos.rtd",,"OPEN_INT","."&amp;H$2&amp;H$1&amp;"C"&amp;$A17)*RTD("tos.rtd",,"LAST","."&amp;H$2&amp;H$1&amp;"C"&amp;$A17)-100*RTD("tos.rtd",,"OPEN_INT","."&amp;H$2&amp;H$1&amp;"P"&amp;$A17)*RTD("tos.rtd",,"LAST","."&amp;H$2&amp;H$1&amp;"P"&amp;$A17))/1000000),0),IF($A$2="PREMIUM",IFERROR(IF($X$1="ABS",(100*RTD("tos.rtd",,"VOLUME","."&amp;H$2&amp;H$1&amp;"C"&amp;$A17)*RTD("tos.rtd",,"LAST","."&amp;H$2&amp;H$1&amp;"C"&amp;$A17)+100*RTD("tos.rtd",,"VOLUME","."&amp;H$2&amp;H$1&amp;"P"&amp;$A17)*RTD("tos.rtd",,"LAST","."&amp;H$2&amp;H$1&amp;"P"&amp;$A17))/1000000,(100*RTD("tos.rtd",,"VOLUME","."&amp;H$2&amp;H$1&amp;"C"&amp;$A17)*RTD("tos.rtd",,"LAST","."&amp;H$2&amp;H$1&amp;"C"&amp;$A17)-100*RTD("tos.rtd",,"VOLUME","."&amp;H$2&amp;H$1&amp;"P"&amp;$A17)*RTD("tos.rtd",,"LAST","."&amp;H$2&amp;H$1&amp;"P"&amp;$A17))/1000000),0),IF($A$2="DEX",IFERROR(IF($X$1="ABS",(100*RTD("tos.rtd",,"OPEN_INT","."&amp;H$2&amp;H$1&amp;"C"&amp;$A17)*RTD("tos.rtd",,"DELTA","."&amp;H$2&amp;H$1&amp;"C"&amp;$A17)+100*RTD("tos.rtd",,"OPEN_INT","."&amp;H$2&amp;H$1&amp;"P"&amp;$A17)*RTD("tos.rtd",,"DELTA","."&amp;H$2&amp;H$1&amp;"P"&amp;$A17))/1000,(100*RTD("tos.rtd",,"OPEN_INT","."&amp;H$2&amp;H$1&amp;"C"&amp;$A17)*RTD("tos.rtd",,"DELTA","."&amp;H$2&amp;H$1&amp;"C"&amp;$A17)-100*RTD("tos.rtd",,"OPEN_INT","."&amp;H$2&amp;H$1&amp;"P"&amp;$A17)*RTD("tos.rtd",,"DELTA","."&amp;H$2&amp;H$1&amp;"P"&amp;$A17))/1000),0),IF($A$2="VEX",IFERROR(IF($X$1="ABS",($A$4*$A$4*RTD("tos.rtd",,"VOLUME","."&amp;H$2&amp;H$1&amp;"C"&amp;$A17)*RTD("tos.rtd",,"GAMMA","."&amp;H$2&amp;H$1&amp;"C"&amp;$A17)+$A$4*$A$4*RTD("tos.rtd",,"VOLUME","."&amp;H$2&amp;H$1&amp;"P"&amp;$A17)*RTD("tos.rtd",,"GAMMA","."&amp;H$2&amp;H$1&amp;"P"&amp;$A17))/1000000,($A$4*$A$4*RTD("tos.rtd",,"VOLUME","."&amp;H$2&amp;H$1&amp;"C"&amp;$A17)*RTD("tos.rtd",,"GAMMA","."&amp;H$2&amp;H$1&amp;"C"&amp;$A17)-$A$4*$A$4*RTD("tos.rtd",,"VOLUME","."&amp;H$2&amp;H$1&amp;"P"&amp;$A17)*RTD("tos.rtd",,"GAMMA","."&amp;H$2&amp;H$1&amp;"P"&amp;$A17))/1000000),0),IF($A$2="GEX",IFERROR(IF($X$1="ABS",($A$4*$A$4*RTD("tos.rtd",,"OPEN_INT","."&amp;H$2&amp;H$1&amp;"C"&amp;$A17)*RTD("tos.rtd",,"GAMMA","."&amp;H$2&amp;H$1&amp;"C"&amp;$A17)+$A$4*$A$4*RTD("tos.rtd",,"OPEN_INT","."&amp;H$2&amp;H$1&amp;"P"&amp;$A17)*RTD("tos.rtd",,"GAMMA","."&amp;H$2&amp;H$1&amp;"P"&amp;$A17))/1000000,($A$4*$A$4*RTD("tos.rtd",,"OPEN_INT","."&amp;H$2&amp;H$1&amp;"C"&amp;$A17)*RTD("tos.rtd",,"GAMMA","."&amp;H$2&amp;H$1&amp;"C"&amp;$A17)-$A$4*$A$4*RTD("tos.rtd",,"OPEN_INT","."&amp;H$2&amp;H$1&amp;"P"&amp;$A17)*RTD("tos.rtd",,"GAMMA","."&amp;H$2&amp;H$1&amp;"P"&amp;$A17))/1000000),0),IF($A$2="SKEW",IFERROR(VALUE(IF(RTD("tos.rtd",,"IMPL_VOL","."&amp;H$2&amp;H$1&amp;"P"&amp;$A17)="N/A",0,RTD("tos.rtd",,"IMPL_VOL","."&amp;H$2&amp;H$1&amp;"P"&amp;$A17))),0)-IFERROR(VALUE(IF(RTD("tos.rtd",,"IMPL_VOL","."&amp;H$2&amp;H$1&amp;"C"&amp;$A17)="N/A",0,RTD("tos.rtd",,"IMPL_VOL","."&amp;H$2&amp;H$1&amp;"C"&amp;$A17))),0),IF($A$2="MAXPAIN",IF($A$4&gt;$A17,($A$4-$A17)*IF(RTD("tos.rtd",,"OPEN_INT","."&amp;H$2&amp;H$1&amp;"C"&amp;$A17)="N/A",0,RTD("tos.rtd",,"OPEN_INT","."&amp;H$2&amp;H$1&amp;"C"&amp;$A17)),0)+IF($A$4&lt;$A17,($A$5-$A$4)*IF(RTD("tos.rtd",,"OPEN_INT","."&amp;H$2&amp;H$1&amp;"P"&amp;$A17)="N/A",0,RTD("tos.rtd",,"OPEN_INT","."&amp;H$2&amp;H$1&amp;"P"&amp;$A17)),0),IF($X$1="ABS",IF(RTD("tos.rtd",,$A$2,"."&amp;H$2&amp;H$1&amp;"C"&amp;$A17)="N/A",0,RTD("tos.rtd",,$A$2,"."&amp;H$2&amp;H$1&amp;"C"&amp;$A17))+IF(RTD("tos.rtd",,$A$2,"."&amp;H$2&amp;H$1&amp;"P"&amp;$A17)="N/A",0,RTD("tos.rtd",,$A$2,"."&amp;H$2&amp;H$1&amp;"P"&amp;$A17)),IF(RTD("tos.rtd",,$A$2,"."&amp;H$2&amp;H$1&amp;"C"&amp;$A17)="N/A",0,RTD("tos.rtd",,$A$2,"."&amp;H$2&amp;H$1&amp;"C"&amp;$A17))-IF(RTD("tos.rtd",,$A$2,"."&amp;H$2&amp;H$1&amp;"P"&amp;$A17)="N/A",0,RTD("tos.rtd",,$A$2,"."&amp;H$2&amp;H$1&amp;"P"&amp;$A17))))))))))</f>
        <v>0</v>
      </c>
      <c r="I17" s="12">
        <f ca="1">IF($A$2="PREMIUM_OI",IFERROR(IF($X$1="ABS",(100*RTD("tos.rtd",,"OPEN_INT","."&amp;I$2&amp;I$1&amp;"C"&amp;$A17)*RTD("tos.rtd",,"LAST","."&amp;I$2&amp;I$1&amp;"C"&amp;$A17)+100*RTD("tos.rtd",,"OPEN_INT","."&amp;I$2&amp;I$1&amp;"P"&amp;$A17)*RTD("tos.rtd",,"LAST","."&amp;I$2&amp;I$1&amp;"P"&amp;$A17))/1000000,(100*RTD("tos.rtd",,"OPEN_INT","."&amp;I$2&amp;I$1&amp;"C"&amp;$A17)*RTD("tos.rtd",,"LAST","."&amp;I$2&amp;I$1&amp;"C"&amp;$A17)-100*RTD("tos.rtd",,"OPEN_INT","."&amp;I$2&amp;I$1&amp;"P"&amp;$A17)*RTD("tos.rtd",,"LAST","."&amp;I$2&amp;I$1&amp;"P"&amp;$A17))/1000000),0),IF($A$2="PREMIUM",IFERROR(IF($X$1="ABS",(100*RTD("tos.rtd",,"VOLUME","."&amp;I$2&amp;I$1&amp;"C"&amp;$A17)*RTD("tos.rtd",,"LAST","."&amp;I$2&amp;I$1&amp;"C"&amp;$A17)+100*RTD("tos.rtd",,"VOLUME","."&amp;I$2&amp;I$1&amp;"P"&amp;$A17)*RTD("tos.rtd",,"LAST","."&amp;I$2&amp;I$1&amp;"P"&amp;$A17))/1000000,(100*RTD("tos.rtd",,"VOLUME","."&amp;I$2&amp;I$1&amp;"C"&amp;$A17)*RTD("tos.rtd",,"LAST","."&amp;I$2&amp;I$1&amp;"C"&amp;$A17)-100*RTD("tos.rtd",,"VOLUME","."&amp;I$2&amp;I$1&amp;"P"&amp;$A17)*RTD("tos.rtd",,"LAST","."&amp;I$2&amp;I$1&amp;"P"&amp;$A17))/1000000),0),IF($A$2="DEX",IFERROR(IF($X$1="ABS",(100*RTD("tos.rtd",,"OPEN_INT","."&amp;I$2&amp;I$1&amp;"C"&amp;$A17)*RTD("tos.rtd",,"DELTA","."&amp;I$2&amp;I$1&amp;"C"&amp;$A17)+100*RTD("tos.rtd",,"OPEN_INT","."&amp;I$2&amp;I$1&amp;"P"&amp;$A17)*RTD("tos.rtd",,"DELTA","."&amp;I$2&amp;I$1&amp;"P"&amp;$A17))/1000,(100*RTD("tos.rtd",,"OPEN_INT","."&amp;I$2&amp;I$1&amp;"C"&amp;$A17)*RTD("tos.rtd",,"DELTA","."&amp;I$2&amp;I$1&amp;"C"&amp;$A17)-100*RTD("tos.rtd",,"OPEN_INT","."&amp;I$2&amp;I$1&amp;"P"&amp;$A17)*RTD("tos.rtd",,"DELTA","."&amp;I$2&amp;I$1&amp;"P"&amp;$A17))/1000),0),IF($A$2="VEX",IFERROR(IF($X$1="ABS",($A$4*$A$4*RTD("tos.rtd",,"VOLUME","."&amp;I$2&amp;I$1&amp;"C"&amp;$A17)*RTD("tos.rtd",,"GAMMA","."&amp;I$2&amp;I$1&amp;"C"&amp;$A17)+$A$4*$A$4*RTD("tos.rtd",,"VOLUME","."&amp;I$2&amp;I$1&amp;"P"&amp;$A17)*RTD("tos.rtd",,"GAMMA","."&amp;I$2&amp;I$1&amp;"P"&amp;$A17))/1000000,($A$4*$A$4*RTD("tos.rtd",,"VOLUME","."&amp;I$2&amp;I$1&amp;"C"&amp;$A17)*RTD("tos.rtd",,"GAMMA","."&amp;I$2&amp;I$1&amp;"C"&amp;$A17)-$A$4*$A$4*RTD("tos.rtd",,"VOLUME","."&amp;I$2&amp;I$1&amp;"P"&amp;$A17)*RTD("tos.rtd",,"GAMMA","."&amp;I$2&amp;I$1&amp;"P"&amp;$A17))/1000000),0),IF($A$2="GEX",IFERROR(IF($X$1="ABS",($A$4*$A$4*RTD("tos.rtd",,"OPEN_INT","."&amp;I$2&amp;I$1&amp;"C"&amp;$A17)*RTD("tos.rtd",,"GAMMA","."&amp;I$2&amp;I$1&amp;"C"&amp;$A17)+$A$4*$A$4*RTD("tos.rtd",,"OPEN_INT","."&amp;I$2&amp;I$1&amp;"P"&amp;$A17)*RTD("tos.rtd",,"GAMMA","."&amp;I$2&amp;I$1&amp;"P"&amp;$A17))/1000000,($A$4*$A$4*RTD("tos.rtd",,"OPEN_INT","."&amp;I$2&amp;I$1&amp;"C"&amp;$A17)*RTD("tos.rtd",,"GAMMA","."&amp;I$2&amp;I$1&amp;"C"&amp;$A17)-$A$4*$A$4*RTD("tos.rtd",,"OPEN_INT","."&amp;I$2&amp;I$1&amp;"P"&amp;$A17)*RTD("tos.rtd",,"GAMMA","."&amp;I$2&amp;I$1&amp;"P"&amp;$A17))/1000000),0),IF($A$2="SKEW",IFERROR(VALUE(IF(RTD("tos.rtd",,"IMPL_VOL","."&amp;I$2&amp;I$1&amp;"P"&amp;$A17)="N/A",0,RTD("tos.rtd",,"IMPL_VOL","."&amp;I$2&amp;I$1&amp;"P"&amp;$A17))),0)-IFERROR(VALUE(IF(RTD("tos.rtd",,"IMPL_VOL","."&amp;I$2&amp;I$1&amp;"C"&amp;$A17)="N/A",0,RTD("tos.rtd",,"IMPL_VOL","."&amp;I$2&amp;I$1&amp;"C"&amp;$A17))),0),IF($A$2="MAXPAIN",IF($A$4&gt;$A17,($A$4-$A17)*IF(RTD("tos.rtd",,"OPEN_INT","."&amp;I$2&amp;I$1&amp;"C"&amp;$A17)="N/A",0,RTD("tos.rtd",,"OPEN_INT","."&amp;I$2&amp;I$1&amp;"C"&amp;$A17)),0)+IF($A$4&lt;$A17,($A$5-$A$4)*IF(RTD("tos.rtd",,"OPEN_INT","."&amp;I$2&amp;I$1&amp;"P"&amp;$A17)="N/A",0,RTD("tos.rtd",,"OPEN_INT","."&amp;I$2&amp;I$1&amp;"P"&amp;$A17)),0),IF($X$1="ABS",IF(RTD("tos.rtd",,$A$2,"."&amp;I$2&amp;I$1&amp;"C"&amp;$A17)="N/A",0,RTD("tos.rtd",,$A$2,"."&amp;I$2&amp;I$1&amp;"C"&amp;$A17))+IF(RTD("tos.rtd",,$A$2,"."&amp;I$2&amp;I$1&amp;"P"&amp;$A17)="N/A",0,RTD("tos.rtd",,$A$2,"."&amp;I$2&amp;I$1&amp;"P"&amp;$A17)),IF(RTD("tos.rtd",,$A$2,"."&amp;I$2&amp;I$1&amp;"C"&amp;$A17)="N/A",0,RTD("tos.rtd",,$A$2,"."&amp;I$2&amp;I$1&amp;"C"&amp;$A17))-IF(RTD("tos.rtd",,$A$2,"."&amp;I$2&amp;I$1&amp;"P"&amp;$A17)="N/A",0,RTD("tos.rtd",,$A$2,"."&amp;I$2&amp;I$1&amp;"P"&amp;$A17))))))))))</f>
        <v>0</v>
      </c>
      <c r="J17" s="12">
        <f ca="1">IF($A$2="PREMIUM_OI",IFERROR(IF($X$1="ABS",(100*RTD("tos.rtd",,"OPEN_INT","."&amp;J$2&amp;J$1&amp;"C"&amp;$A17)*RTD("tos.rtd",,"LAST","."&amp;J$2&amp;J$1&amp;"C"&amp;$A17)+100*RTD("tos.rtd",,"OPEN_INT","."&amp;J$2&amp;J$1&amp;"P"&amp;$A17)*RTD("tos.rtd",,"LAST","."&amp;J$2&amp;J$1&amp;"P"&amp;$A17))/1000000,(100*RTD("tos.rtd",,"OPEN_INT","."&amp;J$2&amp;J$1&amp;"C"&amp;$A17)*RTD("tos.rtd",,"LAST","."&amp;J$2&amp;J$1&amp;"C"&amp;$A17)-100*RTD("tos.rtd",,"OPEN_INT","."&amp;J$2&amp;J$1&amp;"P"&amp;$A17)*RTD("tos.rtd",,"LAST","."&amp;J$2&amp;J$1&amp;"P"&amp;$A17))/1000000),0),IF($A$2="PREMIUM",IFERROR(IF($X$1="ABS",(100*RTD("tos.rtd",,"VOLUME","."&amp;J$2&amp;J$1&amp;"C"&amp;$A17)*RTD("tos.rtd",,"LAST","."&amp;J$2&amp;J$1&amp;"C"&amp;$A17)+100*RTD("tos.rtd",,"VOLUME","."&amp;J$2&amp;J$1&amp;"P"&amp;$A17)*RTD("tos.rtd",,"LAST","."&amp;J$2&amp;J$1&amp;"P"&amp;$A17))/1000000,(100*RTD("tos.rtd",,"VOLUME","."&amp;J$2&amp;J$1&amp;"C"&amp;$A17)*RTD("tos.rtd",,"LAST","."&amp;J$2&amp;J$1&amp;"C"&amp;$A17)-100*RTD("tos.rtd",,"VOLUME","."&amp;J$2&amp;J$1&amp;"P"&amp;$A17)*RTD("tos.rtd",,"LAST","."&amp;J$2&amp;J$1&amp;"P"&amp;$A17))/1000000),0),IF($A$2="DEX",IFERROR(IF($X$1="ABS",(100*RTD("tos.rtd",,"OPEN_INT","."&amp;J$2&amp;J$1&amp;"C"&amp;$A17)*RTD("tos.rtd",,"DELTA","."&amp;J$2&amp;J$1&amp;"C"&amp;$A17)+100*RTD("tos.rtd",,"OPEN_INT","."&amp;J$2&amp;J$1&amp;"P"&amp;$A17)*RTD("tos.rtd",,"DELTA","."&amp;J$2&amp;J$1&amp;"P"&amp;$A17))/1000,(100*RTD("tos.rtd",,"OPEN_INT","."&amp;J$2&amp;J$1&amp;"C"&amp;$A17)*RTD("tos.rtd",,"DELTA","."&amp;J$2&amp;J$1&amp;"C"&amp;$A17)-100*RTD("tos.rtd",,"OPEN_INT","."&amp;J$2&amp;J$1&amp;"P"&amp;$A17)*RTD("tos.rtd",,"DELTA","."&amp;J$2&amp;J$1&amp;"P"&amp;$A17))/1000),0),IF($A$2="VEX",IFERROR(IF($X$1="ABS",($A$4*$A$4*RTD("tos.rtd",,"VOLUME","."&amp;J$2&amp;J$1&amp;"C"&amp;$A17)*RTD("tos.rtd",,"GAMMA","."&amp;J$2&amp;J$1&amp;"C"&amp;$A17)+$A$4*$A$4*RTD("tos.rtd",,"VOLUME","."&amp;J$2&amp;J$1&amp;"P"&amp;$A17)*RTD("tos.rtd",,"GAMMA","."&amp;J$2&amp;J$1&amp;"P"&amp;$A17))/1000000,($A$4*$A$4*RTD("tos.rtd",,"VOLUME","."&amp;J$2&amp;J$1&amp;"C"&amp;$A17)*RTD("tos.rtd",,"GAMMA","."&amp;J$2&amp;J$1&amp;"C"&amp;$A17)-$A$4*$A$4*RTD("tos.rtd",,"VOLUME","."&amp;J$2&amp;J$1&amp;"P"&amp;$A17)*RTD("tos.rtd",,"GAMMA","."&amp;J$2&amp;J$1&amp;"P"&amp;$A17))/1000000),0),IF($A$2="GEX",IFERROR(IF($X$1="ABS",($A$4*$A$4*RTD("tos.rtd",,"OPEN_INT","."&amp;J$2&amp;J$1&amp;"C"&amp;$A17)*RTD("tos.rtd",,"GAMMA","."&amp;J$2&amp;J$1&amp;"C"&amp;$A17)+$A$4*$A$4*RTD("tos.rtd",,"OPEN_INT","."&amp;J$2&amp;J$1&amp;"P"&amp;$A17)*RTD("tos.rtd",,"GAMMA","."&amp;J$2&amp;J$1&amp;"P"&amp;$A17))/1000000,($A$4*$A$4*RTD("tos.rtd",,"OPEN_INT","."&amp;J$2&amp;J$1&amp;"C"&amp;$A17)*RTD("tos.rtd",,"GAMMA","."&amp;J$2&amp;J$1&amp;"C"&amp;$A17)-$A$4*$A$4*RTD("tos.rtd",,"OPEN_INT","."&amp;J$2&amp;J$1&amp;"P"&amp;$A17)*RTD("tos.rtd",,"GAMMA","."&amp;J$2&amp;J$1&amp;"P"&amp;$A17))/1000000),0),IF($A$2="SKEW",IFERROR(VALUE(IF(RTD("tos.rtd",,"IMPL_VOL","."&amp;J$2&amp;J$1&amp;"P"&amp;$A17)="N/A",0,RTD("tos.rtd",,"IMPL_VOL","."&amp;J$2&amp;J$1&amp;"P"&amp;$A17))),0)-IFERROR(VALUE(IF(RTD("tos.rtd",,"IMPL_VOL","."&amp;J$2&amp;J$1&amp;"C"&amp;$A17)="N/A",0,RTD("tos.rtd",,"IMPL_VOL","."&amp;J$2&amp;J$1&amp;"C"&amp;$A17))),0),IF($A$2="MAXPAIN",IF($A$4&gt;$A17,($A$4-$A17)*IF(RTD("tos.rtd",,"OPEN_INT","."&amp;J$2&amp;J$1&amp;"C"&amp;$A17)="N/A",0,RTD("tos.rtd",,"OPEN_INT","."&amp;J$2&amp;J$1&amp;"C"&amp;$A17)),0)+IF($A$4&lt;$A17,($A$5-$A$4)*IF(RTD("tos.rtd",,"OPEN_INT","."&amp;J$2&amp;J$1&amp;"P"&amp;$A17)="N/A",0,RTD("tos.rtd",,"OPEN_INT","."&amp;J$2&amp;J$1&amp;"P"&amp;$A17)),0),IF($X$1="ABS",IF(RTD("tos.rtd",,$A$2,"."&amp;J$2&amp;J$1&amp;"C"&amp;$A17)="N/A",0,RTD("tos.rtd",,$A$2,"."&amp;J$2&amp;J$1&amp;"C"&amp;$A17))+IF(RTD("tos.rtd",,$A$2,"."&amp;J$2&amp;J$1&amp;"P"&amp;$A17)="N/A",0,RTD("tos.rtd",,$A$2,"."&amp;J$2&amp;J$1&amp;"P"&amp;$A17)),IF(RTD("tos.rtd",,$A$2,"."&amp;J$2&amp;J$1&amp;"C"&amp;$A17)="N/A",0,RTD("tos.rtd",,$A$2,"."&amp;J$2&amp;J$1&amp;"C"&amp;$A17))-IF(RTD("tos.rtd",,$A$2,"."&amp;J$2&amp;J$1&amp;"P"&amp;$A17)="N/A",0,RTD("tos.rtd",,$A$2,"."&amp;J$2&amp;J$1&amp;"P"&amp;$A17))))))))))</f>
        <v>0</v>
      </c>
      <c r="K17" s="12">
        <f ca="1">IF($A$2="PREMIUM_OI",IFERROR(IF($X$1="ABS",(100*RTD("tos.rtd",,"OPEN_INT","."&amp;K$2&amp;K$1&amp;"C"&amp;$A17)*RTD("tos.rtd",,"LAST","."&amp;K$2&amp;K$1&amp;"C"&amp;$A17)+100*RTD("tos.rtd",,"OPEN_INT","."&amp;K$2&amp;K$1&amp;"P"&amp;$A17)*RTD("tos.rtd",,"LAST","."&amp;K$2&amp;K$1&amp;"P"&amp;$A17))/1000000,(100*RTD("tos.rtd",,"OPEN_INT","."&amp;K$2&amp;K$1&amp;"C"&amp;$A17)*RTD("tos.rtd",,"LAST","."&amp;K$2&amp;K$1&amp;"C"&amp;$A17)-100*RTD("tos.rtd",,"OPEN_INT","."&amp;K$2&amp;K$1&amp;"P"&amp;$A17)*RTD("tos.rtd",,"LAST","."&amp;K$2&amp;K$1&amp;"P"&amp;$A17))/1000000),0),IF($A$2="PREMIUM",IFERROR(IF($X$1="ABS",(100*RTD("tos.rtd",,"VOLUME","."&amp;K$2&amp;K$1&amp;"C"&amp;$A17)*RTD("tos.rtd",,"LAST","."&amp;K$2&amp;K$1&amp;"C"&amp;$A17)+100*RTD("tos.rtd",,"VOLUME","."&amp;K$2&amp;K$1&amp;"P"&amp;$A17)*RTD("tos.rtd",,"LAST","."&amp;K$2&amp;K$1&amp;"P"&amp;$A17))/1000000,(100*RTD("tos.rtd",,"VOLUME","."&amp;K$2&amp;K$1&amp;"C"&amp;$A17)*RTD("tos.rtd",,"LAST","."&amp;K$2&amp;K$1&amp;"C"&amp;$A17)-100*RTD("tos.rtd",,"VOLUME","."&amp;K$2&amp;K$1&amp;"P"&amp;$A17)*RTD("tos.rtd",,"LAST","."&amp;K$2&amp;K$1&amp;"P"&amp;$A17))/1000000),0),IF($A$2="DEX",IFERROR(IF($X$1="ABS",(100*RTD("tos.rtd",,"OPEN_INT","."&amp;K$2&amp;K$1&amp;"C"&amp;$A17)*RTD("tos.rtd",,"DELTA","."&amp;K$2&amp;K$1&amp;"C"&amp;$A17)+100*RTD("tos.rtd",,"OPEN_INT","."&amp;K$2&amp;K$1&amp;"P"&amp;$A17)*RTD("tos.rtd",,"DELTA","."&amp;K$2&amp;K$1&amp;"P"&amp;$A17))/1000,(100*RTD("tos.rtd",,"OPEN_INT","."&amp;K$2&amp;K$1&amp;"C"&amp;$A17)*RTD("tos.rtd",,"DELTA","."&amp;K$2&amp;K$1&amp;"C"&amp;$A17)-100*RTD("tos.rtd",,"OPEN_INT","."&amp;K$2&amp;K$1&amp;"P"&amp;$A17)*RTD("tos.rtd",,"DELTA","."&amp;K$2&amp;K$1&amp;"P"&amp;$A17))/1000),0),IF($A$2="VEX",IFERROR(IF($X$1="ABS",($A$4*$A$4*RTD("tos.rtd",,"VOLUME","."&amp;K$2&amp;K$1&amp;"C"&amp;$A17)*RTD("tos.rtd",,"GAMMA","."&amp;K$2&amp;K$1&amp;"C"&amp;$A17)+$A$4*$A$4*RTD("tos.rtd",,"VOLUME","."&amp;K$2&amp;K$1&amp;"P"&amp;$A17)*RTD("tos.rtd",,"GAMMA","."&amp;K$2&amp;K$1&amp;"P"&amp;$A17))/1000000,($A$4*$A$4*RTD("tos.rtd",,"VOLUME","."&amp;K$2&amp;K$1&amp;"C"&amp;$A17)*RTD("tos.rtd",,"GAMMA","."&amp;K$2&amp;K$1&amp;"C"&amp;$A17)-$A$4*$A$4*RTD("tos.rtd",,"VOLUME","."&amp;K$2&amp;K$1&amp;"P"&amp;$A17)*RTD("tos.rtd",,"GAMMA","."&amp;K$2&amp;K$1&amp;"P"&amp;$A17))/1000000),0),IF($A$2="GEX",IFERROR(IF($X$1="ABS",($A$4*$A$4*RTD("tos.rtd",,"OPEN_INT","."&amp;K$2&amp;K$1&amp;"C"&amp;$A17)*RTD("tos.rtd",,"GAMMA","."&amp;K$2&amp;K$1&amp;"C"&amp;$A17)+$A$4*$A$4*RTD("tos.rtd",,"OPEN_INT","."&amp;K$2&amp;K$1&amp;"P"&amp;$A17)*RTD("tos.rtd",,"GAMMA","."&amp;K$2&amp;K$1&amp;"P"&amp;$A17))/1000000,($A$4*$A$4*RTD("tos.rtd",,"OPEN_INT","."&amp;K$2&amp;K$1&amp;"C"&amp;$A17)*RTD("tos.rtd",,"GAMMA","."&amp;K$2&amp;K$1&amp;"C"&amp;$A17)-$A$4*$A$4*RTD("tos.rtd",,"OPEN_INT","."&amp;K$2&amp;K$1&amp;"P"&amp;$A17)*RTD("tos.rtd",,"GAMMA","."&amp;K$2&amp;K$1&amp;"P"&amp;$A17))/1000000),0),IF($A$2="SKEW",IFERROR(VALUE(IF(RTD("tos.rtd",,"IMPL_VOL","."&amp;K$2&amp;K$1&amp;"P"&amp;$A17)="N/A",0,RTD("tos.rtd",,"IMPL_VOL","."&amp;K$2&amp;K$1&amp;"P"&amp;$A17))),0)-IFERROR(VALUE(IF(RTD("tos.rtd",,"IMPL_VOL","."&amp;K$2&amp;K$1&amp;"C"&amp;$A17)="N/A",0,RTD("tos.rtd",,"IMPL_VOL","."&amp;K$2&amp;K$1&amp;"C"&amp;$A17))),0),IF($A$2="MAXPAIN",IF($A$4&gt;$A17,($A$4-$A17)*IF(RTD("tos.rtd",,"OPEN_INT","."&amp;K$2&amp;K$1&amp;"C"&amp;$A17)="N/A",0,RTD("tos.rtd",,"OPEN_INT","."&amp;K$2&amp;K$1&amp;"C"&amp;$A17)),0)+IF($A$4&lt;$A17,($A$5-$A$4)*IF(RTD("tos.rtd",,"OPEN_INT","."&amp;K$2&amp;K$1&amp;"P"&amp;$A17)="N/A",0,RTD("tos.rtd",,"OPEN_INT","."&amp;K$2&amp;K$1&amp;"P"&amp;$A17)),0),IF($X$1="ABS",IF(RTD("tos.rtd",,$A$2,"."&amp;K$2&amp;K$1&amp;"C"&amp;$A17)="N/A",0,RTD("tos.rtd",,$A$2,"."&amp;K$2&amp;K$1&amp;"C"&amp;$A17))+IF(RTD("tos.rtd",,$A$2,"."&amp;K$2&amp;K$1&amp;"P"&amp;$A17)="N/A",0,RTD("tos.rtd",,$A$2,"."&amp;K$2&amp;K$1&amp;"P"&amp;$A17)),IF(RTD("tos.rtd",,$A$2,"."&amp;K$2&amp;K$1&amp;"C"&amp;$A17)="N/A",0,RTD("tos.rtd",,$A$2,"."&amp;K$2&amp;K$1&amp;"C"&amp;$A17))-IF(RTD("tos.rtd",,$A$2,"."&amp;K$2&amp;K$1&amp;"P"&amp;$A17)="N/A",0,RTD("tos.rtd",,$A$2,"."&amp;K$2&amp;K$1&amp;"P"&amp;$A17))))))))))</f>
        <v>0</v>
      </c>
      <c r="L17" s="54">
        <f ca="1">IF($A$2="PREMIUM_OI",IFERROR(IF($X$1="ABS",(100*RTD("tos.rtd",,"OPEN_INT","."&amp;L$2&amp;L$1&amp;"C"&amp;$A17)*RTD("tos.rtd",,"LAST","."&amp;L$2&amp;L$1&amp;"C"&amp;$A17)+100*RTD("tos.rtd",,"OPEN_INT","."&amp;L$2&amp;L$1&amp;"P"&amp;$A17)*RTD("tos.rtd",,"LAST","."&amp;L$2&amp;L$1&amp;"P"&amp;$A17))/1000000,(100*RTD("tos.rtd",,"OPEN_INT","."&amp;L$2&amp;L$1&amp;"C"&amp;$A17)*RTD("tos.rtd",,"LAST","."&amp;L$2&amp;L$1&amp;"C"&amp;$A17)-100*RTD("tos.rtd",,"OPEN_INT","."&amp;L$2&amp;L$1&amp;"P"&amp;$A17)*RTD("tos.rtd",,"LAST","."&amp;L$2&amp;L$1&amp;"P"&amp;$A17))/1000000),0),IF($A$2="PREMIUM",IFERROR(IF($X$1="ABS",(100*RTD("tos.rtd",,"VOLUME","."&amp;L$2&amp;L$1&amp;"C"&amp;$A17)*RTD("tos.rtd",,"LAST","."&amp;L$2&amp;L$1&amp;"C"&amp;$A17)+100*RTD("tos.rtd",,"VOLUME","."&amp;L$2&amp;L$1&amp;"P"&amp;$A17)*RTD("tos.rtd",,"LAST","."&amp;L$2&amp;L$1&amp;"P"&amp;$A17))/1000000,(100*RTD("tos.rtd",,"VOLUME","."&amp;L$2&amp;L$1&amp;"C"&amp;$A17)*RTD("tos.rtd",,"LAST","."&amp;L$2&amp;L$1&amp;"C"&amp;$A17)-100*RTD("tos.rtd",,"VOLUME","."&amp;L$2&amp;L$1&amp;"P"&amp;$A17)*RTD("tos.rtd",,"LAST","."&amp;L$2&amp;L$1&amp;"P"&amp;$A17))/1000000),0),IF($A$2="DEX",IFERROR(IF($X$1="ABS",(100*RTD("tos.rtd",,"OPEN_INT","."&amp;L$2&amp;L$1&amp;"C"&amp;$A17)*RTD("tos.rtd",,"DELTA","."&amp;L$2&amp;L$1&amp;"C"&amp;$A17)+100*RTD("tos.rtd",,"OPEN_INT","."&amp;L$2&amp;L$1&amp;"P"&amp;$A17)*RTD("tos.rtd",,"DELTA","."&amp;L$2&amp;L$1&amp;"P"&amp;$A17))/1000,(100*RTD("tos.rtd",,"OPEN_INT","."&amp;L$2&amp;L$1&amp;"C"&amp;$A17)*RTD("tos.rtd",,"DELTA","."&amp;L$2&amp;L$1&amp;"C"&amp;$A17)-100*RTD("tos.rtd",,"OPEN_INT","."&amp;L$2&amp;L$1&amp;"P"&amp;$A17)*RTD("tos.rtd",,"DELTA","."&amp;L$2&amp;L$1&amp;"P"&amp;$A17))/1000),0),IF($A$2="VEX",IFERROR(IF($X$1="ABS",($A$4*$A$4*RTD("tos.rtd",,"VOLUME","."&amp;L$2&amp;L$1&amp;"C"&amp;$A17)*RTD("tos.rtd",,"GAMMA","."&amp;L$2&amp;L$1&amp;"C"&amp;$A17)+$A$4*$A$4*RTD("tos.rtd",,"VOLUME","."&amp;L$2&amp;L$1&amp;"P"&amp;$A17)*RTD("tos.rtd",,"GAMMA","."&amp;L$2&amp;L$1&amp;"P"&amp;$A17))/1000000,($A$4*$A$4*RTD("tos.rtd",,"VOLUME","."&amp;L$2&amp;L$1&amp;"C"&amp;$A17)*RTD("tos.rtd",,"GAMMA","."&amp;L$2&amp;L$1&amp;"C"&amp;$A17)-$A$4*$A$4*RTD("tos.rtd",,"VOLUME","."&amp;L$2&amp;L$1&amp;"P"&amp;$A17)*RTD("tos.rtd",,"GAMMA","."&amp;L$2&amp;L$1&amp;"P"&amp;$A17))/1000000),0),IF($A$2="GEX",IFERROR(IF($X$1="ABS",($A$4*$A$4*RTD("tos.rtd",,"OPEN_INT","."&amp;L$2&amp;L$1&amp;"C"&amp;$A17)*RTD("tos.rtd",,"GAMMA","."&amp;L$2&amp;L$1&amp;"C"&amp;$A17)+$A$4*$A$4*RTD("tos.rtd",,"OPEN_INT","."&amp;L$2&amp;L$1&amp;"P"&amp;$A17)*RTD("tos.rtd",,"GAMMA","."&amp;L$2&amp;L$1&amp;"P"&amp;$A17))/1000000,($A$4*$A$4*RTD("tos.rtd",,"OPEN_INT","."&amp;L$2&amp;L$1&amp;"C"&amp;$A17)*RTD("tos.rtd",,"GAMMA","."&amp;L$2&amp;L$1&amp;"C"&amp;$A17)-$A$4*$A$4*RTD("tos.rtd",,"OPEN_INT","."&amp;L$2&amp;L$1&amp;"P"&amp;$A17)*RTD("tos.rtd",,"GAMMA","."&amp;L$2&amp;L$1&amp;"P"&amp;$A17))/1000000),0),IF($A$2="SKEW",IFERROR(VALUE(IF(RTD("tos.rtd",,"IMPL_VOL","."&amp;L$2&amp;L$1&amp;"P"&amp;$A17)="N/A",0,RTD("tos.rtd",,"IMPL_VOL","."&amp;L$2&amp;L$1&amp;"P"&amp;$A17))),0)-IFERROR(VALUE(IF(RTD("tos.rtd",,"IMPL_VOL","."&amp;L$2&amp;L$1&amp;"C"&amp;$A17)="N/A",0,RTD("tos.rtd",,"IMPL_VOL","."&amp;L$2&amp;L$1&amp;"C"&amp;$A17))),0),IF($A$2="MAXPAIN",IF($A$4&gt;$A17,($A$4-$A17)*IF(RTD("tos.rtd",,"OPEN_INT","."&amp;L$2&amp;L$1&amp;"C"&amp;$A17)="N/A",0,RTD("tos.rtd",,"OPEN_INT","."&amp;L$2&amp;L$1&amp;"C"&amp;$A17)),0)+IF($A$4&lt;$A17,($A$5-$A$4)*IF(RTD("tos.rtd",,"OPEN_INT","."&amp;L$2&amp;L$1&amp;"P"&amp;$A17)="N/A",0,RTD("tos.rtd",,"OPEN_INT","."&amp;L$2&amp;L$1&amp;"P"&amp;$A17)),0),IF($X$1="ABS",IF(RTD("tos.rtd",,$A$2,"."&amp;L$2&amp;L$1&amp;"C"&amp;$A17)="N/A",0,RTD("tos.rtd",,$A$2,"."&amp;L$2&amp;L$1&amp;"C"&amp;$A17))+IF(RTD("tos.rtd",,$A$2,"."&amp;L$2&amp;L$1&amp;"P"&amp;$A17)="N/A",0,RTD("tos.rtd",,$A$2,"."&amp;L$2&amp;L$1&amp;"P"&amp;$A17)),IF(RTD("tos.rtd",,$A$2,"."&amp;L$2&amp;L$1&amp;"C"&amp;$A17)="N/A",0,RTD("tos.rtd",,$A$2,"."&amp;L$2&amp;L$1&amp;"C"&amp;$A17))-IF(RTD("tos.rtd",,$A$2,"."&amp;L$2&amp;L$1&amp;"P"&amp;$A17)="N/A",0,RTD("tos.rtd",,$A$2,"."&amp;L$2&amp;L$1&amp;"P"&amp;$A17))))))))))</f>
        <v>0</v>
      </c>
      <c r="M17" s="12">
        <f ca="1">IF($A$2="PREMIUM_OI",IFERROR(IF($X$1="ABS",(100*RTD("tos.rtd",,"OPEN_INT","."&amp;M$2&amp;M$1&amp;"C"&amp;$A17)*RTD("tos.rtd",,"LAST","."&amp;M$2&amp;M$1&amp;"C"&amp;$A17)+100*RTD("tos.rtd",,"OPEN_INT","."&amp;M$2&amp;M$1&amp;"P"&amp;$A17)*RTD("tos.rtd",,"LAST","."&amp;M$2&amp;M$1&amp;"P"&amp;$A17))/1000000,(100*RTD("tos.rtd",,"OPEN_INT","."&amp;M$2&amp;M$1&amp;"C"&amp;$A17)*RTD("tos.rtd",,"LAST","."&amp;M$2&amp;M$1&amp;"C"&amp;$A17)-100*RTD("tos.rtd",,"OPEN_INT","."&amp;M$2&amp;M$1&amp;"P"&amp;$A17)*RTD("tos.rtd",,"LAST","."&amp;M$2&amp;M$1&amp;"P"&amp;$A17))/1000000),0),IF($A$2="PREMIUM",IFERROR(IF($X$1="ABS",(100*RTD("tos.rtd",,"VOLUME","."&amp;M$2&amp;M$1&amp;"C"&amp;$A17)*RTD("tos.rtd",,"LAST","."&amp;M$2&amp;M$1&amp;"C"&amp;$A17)+100*RTD("tos.rtd",,"VOLUME","."&amp;M$2&amp;M$1&amp;"P"&amp;$A17)*RTD("tos.rtd",,"LAST","."&amp;M$2&amp;M$1&amp;"P"&amp;$A17))/1000000,(100*RTD("tos.rtd",,"VOLUME","."&amp;M$2&amp;M$1&amp;"C"&amp;$A17)*RTD("tos.rtd",,"LAST","."&amp;M$2&amp;M$1&amp;"C"&amp;$A17)-100*RTD("tos.rtd",,"VOLUME","."&amp;M$2&amp;M$1&amp;"P"&amp;$A17)*RTD("tos.rtd",,"LAST","."&amp;M$2&amp;M$1&amp;"P"&amp;$A17))/1000000),0),IF($A$2="DEX",IFERROR(IF($X$1="ABS",(100*RTD("tos.rtd",,"OPEN_INT","."&amp;M$2&amp;M$1&amp;"C"&amp;$A17)*RTD("tos.rtd",,"DELTA","."&amp;M$2&amp;M$1&amp;"C"&amp;$A17)+100*RTD("tos.rtd",,"OPEN_INT","."&amp;M$2&amp;M$1&amp;"P"&amp;$A17)*RTD("tos.rtd",,"DELTA","."&amp;M$2&amp;M$1&amp;"P"&amp;$A17))/1000,(100*RTD("tos.rtd",,"OPEN_INT","."&amp;M$2&amp;M$1&amp;"C"&amp;$A17)*RTD("tos.rtd",,"DELTA","."&amp;M$2&amp;M$1&amp;"C"&amp;$A17)-100*RTD("tos.rtd",,"OPEN_INT","."&amp;M$2&amp;M$1&amp;"P"&amp;$A17)*RTD("tos.rtd",,"DELTA","."&amp;M$2&amp;M$1&amp;"P"&amp;$A17))/1000),0),IF($A$2="VEX",IFERROR(IF($X$1="ABS",($A$4*$A$4*RTD("tos.rtd",,"VOLUME","."&amp;M$2&amp;M$1&amp;"C"&amp;$A17)*RTD("tos.rtd",,"GAMMA","."&amp;M$2&amp;M$1&amp;"C"&amp;$A17)+$A$4*$A$4*RTD("tos.rtd",,"VOLUME","."&amp;M$2&amp;M$1&amp;"P"&amp;$A17)*RTD("tos.rtd",,"GAMMA","."&amp;M$2&amp;M$1&amp;"P"&amp;$A17))/1000000,($A$4*$A$4*RTD("tos.rtd",,"VOLUME","."&amp;M$2&amp;M$1&amp;"C"&amp;$A17)*RTD("tos.rtd",,"GAMMA","."&amp;M$2&amp;M$1&amp;"C"&amp;$A17)-$A$4*$A$4*RTD("tos.rtd",,"VOLUME","."&amp;M$2&amp;M$1&amp;"P"&amp;$A17)*RTD("tos.rtd",,"GAMMA","."&amp;M$2&amp;M$1&amp;"P"&amp;$A17))/1000000),0),IF($A$2="GEX",IFERROR(IF($X$1="ABS",($A$4*$A$4*RTD("tos.rtd",,"OPEN_INT","."&amp;M$2&amp;M$1&amp;"C"&amp;$A17)*RTD("tos.rtd",,"GAMMA","."&amp;M$2&amp;M$1&amp;"C"&amp;$A17)+$A$4*$A$4*RTD("tos.rtd",,"OPEN_INT","."&amp;M$2&amp;M$1&amp;"P"&amp;$A17)*RTD("tos.rtd",,"GAMMA","."&amp;M$2&amp;M$1&amp;"P"&amp;$A17))/1000000,($A$4*$A$4*RTD("tos.rtd",,"OPEN_INT","."&amp;M$2&amp;M$1&amp;"C"&amp;$A17)*RTD("tos.rtd",,"GAMMA","."&amp;M$2&amp;M$1&amp;"C"&amp;$A17)-$A$4*$A$4*RTD("tos.rtd",,"OPEN_INT","."&amp;M$2&amp;M$1&amp;"P"&amp;$A17)*RTD("tos.rtd",,"GAMMA","."&amp;M$2&amp;M$1&amp;"P"&amp;$A17))/1000000),0),IF($A$2="SKEW",IFERROR(VALUE(IF(RTD("tos.rtd",,"IMPL_VOL","."&amp;M$2&amp;M$1&amp;"P"&amp;$A17)="N/A",0,RTD("tos.rtd",,"IMPL_VOL","."&amp;M$2&amp;M$1&amp;"P"&amp;$A17))),0)-IFERROR(VALUE(IF(RTD("tos.rtd",,"IMPL_VOL","."&amp;M$2&amp;M$1&amp;"C"&amp;$A17)="N/A",0,RTD("tos.rtd",,"IMPL_VOL","."&amp;M$2&amp;M$1&amp;"C"&amp;$A17))),0),IF($A$2="MAXPAIN",IF($A$4&gt;$A17,($A$4-$A17)*IF(RTD("tos.rtd",,"OPEN_INT","."&amp;M$2&amp;M$1&amp;"C"&amp;$A17)="N/A",0,RTD("tos.rtd",,"OPEN_INT","."&amp;M$2&amp;M$1&amp;"C"&amp;$A17)),0)+IF($A$4&lt;$A17,($A$5-$A$4)*IF(RTD("tos.rtd",,"OPEN_INT","."&amp;M$2&amp;M$1&amp;"P"&amp;$A17)="N/A",0,RTD("tos.rtd",,"OPEN_INT","."&amp;M$2&amp;M$1&amp;"P"&amp;$A17)),0),IF($X$1="ABS",IF(RTD("tos.rtd",,$A$2,"."&amp;M$2&amp;M$1&amp;"C"&amp;$A17)="N/A",0,RTD("tos.rtd",,$A$2,"."&amp;M$2&amp;M$1&amp;"C"&amp;$A17))+IF(RTD("tos.rtd",,$A$2,"."&amp;M$2&amp;M$1&amp;"P"&amp;$A17)="N/A",0,RTD("tos.rtd",,$A$2,"."&amp;M$2&amp;M$1&amp;"P"&amp;$A17)),IF(RTD("tos.rtd",,$A$2,"."&amp;M$2&amp;M$1&amp;"C"&amp;$A17)="N/A",0,RTD("tos.rtd",,$A$2,"."&amp;M$2&amp;M$1&amp;"C"&amp;$A17))-IF(RTD("tos.rtd",,$A$2,"."&amp;M$2&amp;M$1&amp;"P"&amp;$A17)="N/A",0,RTD("tos.rtd",,$A$2,"."&amp;M$2&amp;M$1&amp;"P"&amp;$A17))))))))))</f>
        <v>0</v>
      </c>
      <c r="N17" s="12">
        <f ca="1">IF($A$2="PREMIUM_OI",IFERROR(IF($X$1="ABS",(100*RTD("tos.rtd",,"OPEN_INT","."&amp;N$2&amp;N$1&amp;"C"&amp;$A17)*RTD("tos.rtd",,"LAST","."&amp;N$2&amp;N$1&amp;"C"&amp;$A17)+100*RTD("tos.rtd",,"OPEN_INT","."&amp;N$2&amp;N$1&amp;"P"&amp;$A17)*RTD("tos.rtd",,"LAST","."&amp;N$2&amp;N$1&amp;"P"&amp;$A17))/1000000,(100*RTD("tos.rtd",,"OPEN_INT","."&amp;N$2&amp;N$1&amp;"C"&amp;$A17)*RTD("tos.rtd",,"LAST","."&amp;N$2&amp;N$1&amp;"C"&amp;$A17)-100*RTD("tos.rtd",,"OPEN_INT","."&amp;N$2&amp;N$1&amp;"P"&amp;$A17)*RTD("tos.rtd",,"LAST","."&amp;N$2&amp;N$1&amp;"P"&amp;$A17))/1000000),0),IF($A$2="PREMIUM",IFERROR(IF($X$1="ABS",(100*RTD("tos.rtd",,"VOLUME","."&amp;N$2&amp;N$1&amp;"C"&amp;$A17)*RTD("tos.rtd",,"LAST","."&amp;N$2&amp;N$1&amp;"C"&amp;$A17)+100*RTD("tos.rtd",,"VOLUME","."&amp;N$2&amp;N$1&amp;"P"&amp;$A17)*RTD("tos.rtd",,"LAST","."&amp;N$2&amp;N$1&amp;"P"&amp;$A17))/1000000,(100*RTD("tos.rtd",,"VOLUME","."&amp;N$2&amp;N$1&amp;"C"&amp;$A17)*RTD("tos.rtd",,"LAST","."&amp;N$2&amp;N$1&amp;"C"&amp;$A17)-100*RTD("tos.rtd",,"VOLUME","."&amp;N$2&amp;N$1&amp;"P"&amp;$A17)*RTD("tos.rtd",,"LAST","."&amp;N$2&amp;N$1&amp;"P"&amp;$A17))/1000000),0),IF($A$2="DEX",IFERROR(IF($X$1="ABS",(100*RTD("tos.rtd",,"OPEN_INT","."&amp;N$2&amp;N$1&amp;"C"&amp;$A17)*RTD("tos.rtd",,"DELTA","."&amp;N$2&amp;N$1&amp;"C"&amp;$A17)+100*RTD("tos.rtd",,"OPEN_INT","."&amp;N$2&amp;N$1&amp;"P"&amp;$A17)*RTD("tos.rtd",,"DELTA","."&amp;N$2&amp;N$1&amp;"P"&amp;$A17))/1000,(100*RTD("tos.rtd",,"OPEN_INT","."&amp;N$2&amp;N$1&amp;"C"&amp;$A17)*RTD("tos.rtd",,"DELTA","."&amp;N$2&amp;N$1&amp;"C"&amp;$A17)-100*RTD("tos.rtd",,"OPEN_INT","."&amp;N$2&amp;N$1&amp;"P"&amp;$A17)*RTD("tos.rtd",,"DELTA","."&amp;N$2&amp;N$1&amp;"P"&amp;$A17))/1000),0),IF($A$2="VEX",IFERROR(IF($X$1="ABS",($A$4*$A$4*RTD("tos.rtd",,"VOLUME","."&amp;N$2&amp;N$1&amp;"C"&amp;$A17)*RTD("tos.rtd",,"GAMMA","."&amp;N$2&amp;N$1&amp;"C"&amp;$A17)+$A$4*$A$4*RTD("tos.rtd",,"VOLUME","."&amp;N$2&amp;N$1&amp;"P"&amp;$A17)*RTD("tos.rtd",,"GAMMA","."&amp;N$2&amp;N$1&amp;"P"&amp;$A17))/1000000,($A$4*$A$4*RTD("tos.rtd",,"VOLUME","."&amp;N$2&amp;N$1&amp;"C"&amp;$A17)*RTD("tos.rtd",,"GAMMA","."&amp;N$2&amp;N$1&amp;"C"&amp;$A17)-$A$4*$A$4*RTD("tos.rtd",,"VOLUME","."&amp;N$2&amp;N$1&amp;"P"&amp;$A17)*RTD("tos.rtd",,"GAMMA","."&amp;N$2&amp;N$1&amp;"P"&amp;$A17))/1000000),0),IF($A$2="GEX",IFERROR(IF($X$1="ABS",($A$4*$A$4*RTD("tos.rtd",,"OPEN_INT","."&amp;N$2&amp;N$1&amp;"C"&amp;$A17)*RTD("tos.rtd",,"GAMMA","."&amp;N$2&amp;N$1&amp;"C"&amp;$A17)+$A$4*$A$4*RTD("tos.rtd",,"OPEN_INT","."&amp;N$2&amp;N$1&amp;"P"&amp;$A17)*RTD("tos.rtd",,"GAMMA","."&amp;N$2&amp;N$1&amp;"P"&amp;$A17))/1000000,($A$4*$A$4*RTD("tos.rtd",,"OPEN_INT","."&amp;N$2&amp;N$1&amp;"C"&amp;$A17)*RTD("tos.rtd",,"GAMMA","."&amp;N$2&amp;N$1&amp;"C"&amp;$A17)-$A$4*$A$4*RTD("tos.rtd",,"OPEN_INT","."&amp;N$2&amp;N$1&amp;"P"&amp;$A17)*RTD("tos.rtd",,"GAMMA","."&amp;N$2&amp;N$1&amp;"P"&amp;$A17))/1000000),0),IF($A$2="SKEW",IFERROR(VALUE(IF(RTD("tos.rtd",,"IMPL_VOL","."&amp;N$2&amp;N$1&amp;"P"&amp;$A17)="N/A",0,RTD("tos.rtd",,"IMPL_VOL","."&amp;N$2&amp;N$1&amp;"P"&amp;$A17))),0)-IFERROR(VALUE(IF(RTD("tos.rtd",,"IMPL_VOL","."&amp;N$2&amp;N$1&amp;"C"&amp;$A17)="N/A",0,RTD("tos.rtd",,"IMPL_VOL","."&amp;N$2&amp;N$1&amp;"C"&amp;$A17))),0),IF($A$2="MAXPAIN",IF($A$4&gt;$A17,($A$4-$A17)*IF(RTD("tos.rtd",,"OPEN_INT","."&amp;N$2&amp;N$1&amp;"C"&amp;$A17)="N/A",0,RTD("tos.rtd",,"OPEN_INT","."&amp;N$2&amp;N$1&amp;"C"&amp;$A17)),0)+IF($A$4&lt;$A17,($A$5-$A$4)*IF(RTD("tos.rtd",,"OPEN_INT","."&amp;N$2&amp;N$1&amp;"P"&amp;$A17)="N/A",0,RTD("tos.rtd",,"OPEN_INT","."&amp;N$2&amp;N$1&amp;"P"&amp;$A17)),0),IF($X$1="ABS",IF(RTD("tos.rtd",,$A$2,"."&amp;N$2&amp;N$1&amp;"C"&amp;$A17)="N/A",0,RTD("tos.rtd",,$A$2,"."&amp;N$2&amp;N$1&amp;"C"&amp;$A17))+IF(RTD("tos.rtd",,$A$2,"."&amp;N$2&amp;N$1&amp;"P"&amp;$A17)="N/A",0,RTD("tos.rtd",,$A$2,"."&amp;N$2&amp;N$1&amp;"P"&amp;$A17)),IF(RTD("tos.rtd",,$A$2,"."&amp;N$2&amp;N$1&amp;"C"&amp;$A17)="N/A",0,RTD("tos.rtd",,$A$2,"."&amp;N$2&amp;N$1&amp;"C"&amp;$A17))-IF(RTD("tos.rtd",,$A$2,"."&amp;N$2&amp;N$1&amp;"P"&amp;$A17)="N/A",0,RTD("tos.rtd",,$A$2,"."&amp;N$2&amp;N$1&amp;"P"&amp;$A17))))))))))</f>
        <v>0</v>
      </c>
      <c r="O17" s="12">
        <f ca="1">IF($A$2="PREMIUM_OI",IFERROR(IF($X$1="ABS",(100*RTD("tos.rtd",,"OPEN_INT","."&amp;O$2&amp;O$1&amp;"C"&amp;$A17)*RTD("tos.rtd",,"LAST","."&amp;O$2&amp;O$1&amp;"C"&amp;$A17)+100*RTD("tos.rtd",,"OPEN_INT","."&amp;O$2&amp;O$1&amp;"P"&amp;$A17)*RTD("tos.rtd",,"LAST","."&amp;O$2&amp;O$1&amp;"P"&amp;$A17))/1000000,(100*RTD("tos.rtd",,"OPEN_INT","."&amp;O$2&amp;O$1&amp;"C"&amp;$A17)*RTD("tos.rtd",,"LAST","."&amp;O$2&amp;O$1&amp;"C"&amp;$A17)-100*RTD("tos.rtd",,"OPEN_INT","."&amp;O$2&amp;O$1&amp;"P"&amp;$A17)*RTD("tos.rtd",,"LAST","."&amp;O$2&amp;O$1&amp;"P"&amp;$A17))/1000000),0),IF($A$2="PREMIUM",IFERROR(IF($X$1="ABS",(100*RTD("tos.rtd",,"VOLUME","."&amp;O$2&amp;O$1&amp;"C"&amp;$A17)*RTD("tos.rtd",,"LAST","."&amp;O$2&amp;O$1&amp;"C"&amp;$A17)+100*RTD("tos.rtd",,"VOLUME","."&amp;O$2&amp;O$1&amp;"P"&amp;$A17)*RTD("tos.rtd",,"LAST","."&amp;O$2&amp;O$1&amp;"P"&amp;$A17))/1000000,(100*RTD("tos.rtd",,"VOLUME","."&amp;O$2&amp;O$1&amp;"C"&amp;$A17)*RTD("tos.rtd",,"LAST","."&amp;O$2&amp;O$1&amp;"C"&amp;$A17)-100*RTD("tos.rtd",,"VOLUME","."&amp;O$2&amp;O$1&amp;"P"&amp;$A17)*RTD("tos.rtd",,"LAST","."&amp;O$2&amp;O$1&amp;"P"&amp;$A17))/1000000),0),IF($A$2="DEX",IFERROR(IF($X$1="ABS",(100*RTD("tos.rtd",,"OPEN_INT","."&amp;O$2&amp;O$1&amp;"C"&amp;$A17)*RTD("tos.rtd",,"DELTA","."&amp;O$2&amp;O$1&amp;"C"&amp;$A17)+100*RTD("tos.rtd",,"OPEN_INT","."&amp;O$2&amp;O$1&amp;"P"&amp;$A17)*RTD("tos.rtd",,"DELTA","."&amp;O$2&amp;O$1&amp;"P"&amp;$A17))/1000,(100*RTD("tos.rtd",,"OPEN_INT","."&amp;O$2&amp;O$1&amp;"C"&amp;$A17)*RTD("tos.rtd",,"DELTA","."&amp;O$2&amp;O$1&amp;"C"&amp;$A17)-100*RTD("tos.rtd",,"OPEN_INT","."&amp;O$2&amp;O$1&amp;"P"&amp;$A17)*RTD("tos.rtd",,"DELTA","."&amp;O$2&amp;O$1&amp;"P"&amp;$A17))/1000),0),IF($A$2="VEX",IFERROR(IF($X$1="ABS",($A$4*$A$4*RTD("tos.rtd",,"VOLUME","."&amp;O$2&amp;O$1&amp;"C"&amp;$A17)*RTD("tos.rtd",,"GAMMA","."&amp;O$2&amp;O$1&amp;"C"&amp;$A17)+$A$4*$A$4*RTD("tos.rtd",,"VOLUME","."&amp;O$2&amp;O$1&amp;"P"&amp;$A17)*RTD("tos.rtd",,"GAMMA","."&amp;O$2&amp;O$1&amp;"P"&amp;$A17))/1000000,($A$4*$A$4*RTD("tos.rtd",,"VOLUME","."&amp;O$2&amp;O$1&amp;"C"&amp;$A17)*RTD("tos.rtd",,"GAMMA","."&amp;O$2&amp;O$1&amp;"C"&amp;$A17)-$A$4*$A$4*RTD("tos.rtd",,"VOLUME","."&amp;O$2&amp;O$1&amp;"P"&amp;$A17)*RTD("tos.rtd",,"GAMMA","."&amp;O$2&amp;O$1&amp;"P"&amp;$A17))/1000000),0),IF($A$2="GEX",IFERROR(IF($X$1="ABS",($A$4*$A$4*RTD("tos.rtd",,"OPEN_INT","."&amp;O$2&amp;O$1&amp;"C"&amp;$A17)*RTD("tos.rtd",,"GAMMA","."&amp;O$2&amp;O$1&amp;"C"&amp;$A17)+$A$4*$A$4*RTD("tos.rtd",,"OPEN_INT","."&amp;O$2&amp;O$1&amp;"P"&amp;$A17)*RTD("tos.rtd",,"GAMMA","."&amp;O$2&amp;O$1&amp;"P"&amp;$A17))/1000000,($A$4*$A$4*RTD("tos.rtd",,"OPEN_INT","."&amp;O$2&amp;O$1&amp;"C"&amp;$A17)*RTD("tos.rtd",,"GAMMA","."&amp;O$2&amp;O$1&amp;"C"&amp;$A17)-$A$4*$A$4*RTD("tos.rtd",,"OPEN_INT","."&amp;O$2&amp;O$1&amp;"P"&amp;$A17)*RTD("tos.rtd",,"GAMMA","."&amp;O$2&amp;O$1&amp;"P"&amp;$A17))/1000000),0),IF($A$2="SKEW",IFERROR(VALUE(IF(RTD("tos.rtd",,"IMPL_VOL","."&amp;O$2&amp;O$1&amp;"P"&amp;$A17)="N/A",0,RTD("tos.rtd",,"IMPL_VOL","."&amp;O$2&amp;O$1&amp;"P"&amp;$A17))),0)-IFERROR(VALUE(IF(RTD("tos.rtd",,"IMPL_VOL","."&amp;O$2&amp;O$1&amp;"C"&amp;$A17)="N/A",0,RTD("tos.rtd",,"IMPL_VOL","."&amp;O$2&amp;O$1&amp;"C"&amp;$A17))),0),IF($A$2="MAXPAIN",IF($A$4&gt;$A17,($A$4-$A17)*IF(RTD("tos.rtd",,"OPEN_INT","."&amp;O$2&amp;O$1&amp;"C"&amp;$A17)="N/A",0,RTD("tos.rtd",,"OPEN_INT","."&amp;O$2&amp;O$1&amp;"C"&amp;$A17)),0)+IF($A$4&lt;$A17,($A$5-$A$4)*IF(RTD("tos.rtd",,"OPEN_INT","."&amp;O$2&amp;O$1&amp;"P"&amp;$A17)="N/A",0,RTD("tos.rtd",,"OPEN_INT","."&amp;O$2&amp;O$1&amp;"P"&amp;$A17)),0),IF($X$1="ABS",IF(RTD("tos.rtd",,$A$2,"."&amp;O$2&amp;O$1&amp;"C"&amp;$A17)="N/A",0,RTD("tos.rtd",,$A$2,"."&amp;O$2&amp;O$1&amp;"C"&amp;$A17))+IF(RTD("tos.rtd",,$A$2,"."&amp;O$2&amp;O$1&amp;"P"&amp;$A17)="N/A",0,RTD("tos.rtd",,$A$2,"."&amp;O$2&amp;O$1&amp;"P"&amp;$A17)),IF(RTD("tos.rtd",,$A$2,"."&amp;O$2&amp;O$1&amp;"C"&amp;$A17)="N/A",0,RTD("tos.rtd",,$A$2,"."&amp;O$2&amp;O$1&amp;"C"&amp;$A17))-IF(RTD("tos.rtd",,$A$2,"."&amp;O$2&amp;O$1&amp;"P"&amp;$A17)="N/A",0,RTD("tos.rtd",,$A$2,"."&amp;O$2&amp;O$1&amp;"P"&amp;$A17))))))))))</f>
        <v>0</v>
      </c>
      <c r="P17" s="12">
        <f ca="1">IF($A$2="PREMIUM_OI",IFERROR(IF($X$1="ABS",(100*RTD("tos.rtd",,"OPEN_INT","."&amp;P$2&amp;P$1&amp;"C"&amp;$A17)*RTD("tos.rtd",,"LAST","."&amp;P$2&amp;P$1&amp;"C"&amp;$A17)+100*RTD("tos.rtd",,"OPEN_INT","."&amp;P$2&amp;P$1&amp;"P"&amp;$A17)*RTD("tos.rtd",,"LAST","."&amp;P$2&amp;P$1&amp;"P"&amp;$A17))/1000000,(100*RTD("tos.rtd",,"OPEN_INT","."&amp;P$2&amp;P$1&amp;"C"&amp;$A17)*RTD("tos.rtd",,"LAST","."&amp;P$2&amp;P$1&amp;"C"&amp;$A17)-100*RTD("tos.rtd",,"OPEN_INT","."&amp;P$2&amp;P$1&amp;"P"&amp;$A17)*RTD("tos.rtd",,"LAST","."&amp;P$2&amp;P$1&amp;"P"&amp;$A17))/1000000),0),IF($A$2="PREMIUM",IFERROR(IF($X$1="ABS",(100*RTD("tos.rtd",,"VOLUME","."&amp;P$2&amp;P$1&amp;"C"&amp;$A17)*RTD("tos.rtd",,"LAST","."&amp;P$2&amp;P$1&amp;"C"&amp;$A17)+100*RTD("tos.rtd",,"VOLUME","."&amp;P$2&amp;P$1&amp;"P"&amp;$A17)*RTD("tos.rtd",,"LAST","."&amp;P$2&amp;P$1&amp;"P"&amp;$A17))/1000000,(100*RTD("tos.rtd",,"VOLUME","."&amp;P$2&amp;P$1&amp;"C"&amp;$A17)*RTD("tos.rtd",,"LAST","."&amp;P$2&amp;P$1&amp;"C"&amp;$A17)-100*RTD("tos.rtd",,"VOLUME","."&amp;P$2&amp;P$1&amp;"P"&amp;$A17)*RTD("tos.rtd",,"LAST","."&amp;P$2&amp;P$1&amp;"P"&amp;$A17))/1000000),0),IF($A$2="DEX",IFERROR(IF($X$1="ABS",(100*RTD("tos.rtd",,"OPEN_INT","."&amp;P$2&amp;P$1&amp;"C"&amp;$A17)*RTD("tos.rtd",,"DELTA","."&amp;P$2&amp;P$1&amp;"C"&amp;$A17)+100*RTD("tos.rtd",,"OPEN_INT","."&amp;P$2&amp;P$1&amp;"P"&amp;$A17)*RTD("tos.rtd",,"DELTA","."&amp;P$2&amp;P$1&amp;"P"&amp;$A17))/1000,(100*RTD("tos.rtd",,"OPEN_INT","."&amp;P$2&amp;P$1&amp;"C"&amp;$A17)*RTD("tos.rtd",,"DELTA","."&amp;P$2&amp;P$1&amp;"C"&amp;$A17)-100*RTD("tos.rtd",,"OPEN_INT","."&amp;P$2&amp;P$1&amp;"P"&amp;$A17)*RTD("tos.rtd",,"DELTA","."&amp;P$2&amp;P$1&amp;"P"&amp;$A17))/1000),0),IF($A$2="VEX",IFERROR(IF($X$1="ABS",($A$4*$A$4*RTD("tos.rtd",,"VOLUME","."&amp;P$2&amp;P$1&amp;"C"&amp;$A17)*RTD("tos.rtd",,"GAMMA","."&amp;P$2&amp;P$1&amp;"C"&amp;$A17)+$A$4*$A$4*RTD("tos.rtd",,"VOLUME","."&amp;P$2&amp;P$1&amp;"P"&amp;$A17)*RTD("tos.rtd",,"GAMMA","."&amp;P$2&amp;P$1&amp;"P"&amp;$A17))/1000000,($A$4*$A$4*RTD("tos.rtd",,"VOLUME","."&amp;P$2&amp;P$1&amp;"C"&amp;$A17)*RTD("tos.rtd",,"GAMMA","."&amp;P$2&amp;P$1&amp;"C"&amp;$A17)-$A$4*$A$4*RTD("tos.rtd",,"VOLUME","."&amp;P$2&amp;P$1&amp;"P"&amp;$A17)*RTD("tos.rtd",,"GAMMA","."&amp;P$2&amp;P$1&amp;"P"&amp;$A17))/1000000),0),IF($A$2="GEX",IFERROR(IF($X$1="ABS",($A$4*$A$4*RTD("tos.rtd",,"OPEN_INT","."&amp;P$2&amp;P$1&amp;"C"&amp;$A17)*RTD("tos.rtd",,"GAMMA","."&amp;P$2&amp;P$1&amp;"C"&amp;$A17)+$A$4*$A$4*RTD("tos.rtd",,"OPEN_INT","."&amp;P$2&amp;P$1&amp;"P"&amp;$A17)*RTD("tos.rtd",,"GAMMA","."&amp;P$2&amp;P$1&amp;"P"&amp;$A17))/1000000,($A$4*$A$4*RTD("tos.rtd",,"OPEN_INT","."&amp;P$2&amp;P$1&amp;"C"&amp;$A17)*RTD("tos.rtd",,"GAMMA","."&amp;P$2&amp;P$1&amp;"C"&amp;$A17)-$A$4*$A$4*RTD("tos.rtd",,"OPEN_INT","."&amp;P$2&amp;P$1&amp;"P"&amp;$A17)*RTD("tos.rtd",,"GAMMA","."&amp;P$2&amp;P$1&amp;"P"&amp;$A17))/1000000),0),IF($A$2="SKEW",IFERROR(VALUE(IF(RTD("tos.rtd",,"IMPL_VOL","."&amp;P$2&amp;P$1&amp;"P"&amp;$A17)="N/A",0,RTD("tos.rtd",,"IMPL_VOL","."&amp;P$2&amp;P$1&amp;"P"&amp;$A17))),0)-IFERROR(VALUE(IF(RTD("tos.rtd",,"IMPL_VOL","."&amp;P$2&amp;P$1&amp;"C"&amp;$A17)="N/A",0,RTD("tos.rtd",,"IMPL_VOL","."&amp;P$2&amp;P$1&amp;"C"&amp;$A17))),0),IF($A$2="MAXPAIN",IF($A$4&gt;$A17,($A$4-$A17)*IF(RTD("tos.rtd",,"OPEN_INT","."&amp;P$2&amp;P$1&amp;"C"&amp;$A17)="N/A",0,RTD("tos.rtd",,"OPEN_INT","."&amp;P$2&amp;P$1&amp;"C"&amp;$A17)),0)+IF($A$4&lt;$A17,($A$5-$A$4)*IF(RTD("tos.rtd",,"OPEN_INT","."&amp;P$2&amp;P$1&amp;"P"&amp;$A17)="N/A",0,RTD("tos.rtd",,"OPEN_INT","."&amp;P$2&amp;P$1&amp;"P"&amp;$A17)),0),IF($X$1="ABS",IF(RTD("tos.rtd",,$A$2,"."&amp;P$2&amp;P$1&amp;"C"&amp;$A17)="N/A",0,RTD("tos.rtd",,$A$2,"."&amp;P$2&amp;P$1&amp;"C"&amp;$A17))+IF(RTD("tos.rtd",,$A$2,"."&amp;P$2&amp;P$1&amp;"P"&amp;$A17)="N/A",0,RTD("tos.rtd",,$A$2,"."&amp;P$2&amp;P$1&amp;"P"&amp;$A17)),IF(RTD("tos.rtd",,$A$2,"."&amp;P$2&amp;P$1&amp;"C"&amp;$A17)="N/A",0,RTD("tos.rtd",,$A$2,"."&amp;P$2&amp;P$1&amp;"C"&amp;$A17))-IF(RTD("tos.rtd",,$A$2,"."&amp;P$2&amp;P$1&amp;"P"&amp;$A17)="N/A",0,RTD("tos.rtd",,$A$2,"."&amp;P$2&amp;P$1&amp;"P"&amp;$A17))))))))))</f>
        <v>0</v>
      </c>
      <c r="Q17" s="12">
        <f ca="1">IF($A$2="PREMIUM_OI",IFERROR(IF($X$1="ABS",(100*RTD("tos.rtd",,"OPEN_INT","."&amp;Q$2&amp;Q$1&amp;"C"&amp;$A17)*RTD("tos.rtd",,"LAST","."&amp;Q$2&amp;Q$1&amp;"C"&amp;$A17)+100*RTD("tos.rtd",,"OPEN_INT","."&amp;Q$2&amp;Q$1&amp;"P"&amp;$A17)*RTD("tos.rtd",,"LAST","."&amp;Q$2&amp;Q$1&amp;"P"&amp;$A17))/1000000,(100*RTD("tos.rtd",,"OPEN_INT","."&amp;Q$2&amp;Q$1&amp;"C"&amp;$A17)*RTD("tos.rtd",,"LAST","."&amp;Q$2&amp;Q$1&amp;"C"&amp;$A17)-100*RTD("tos.rtd",,"OPEN_INT","."&amp;Q$2&amp;Q$1&amp;"P"&amp;$A17)*RTD("tos.rtd",,"LAST","."&amp;Q$2&amp;Q$1&amp;"P"&amp;$A17))/1000000),0),IF($A$2="PREMIUM",IFERROR(IF($X$1="ABS",(100*RTD("tos.rtd",,"VOLUME","."&amp;Q$2&amp;Q$1&amp;"C"&amp;$A17)*RTD("tos.rtd",,"LAST","."&amp;Q$2&amp;Q$1&amp;"C"&amp;$A17)+100*RTD("tos.rtd",,"VOLUME","."&amp;Q$2&amp;Q$1&amp;"P"&amp;$A17)*RTD("tos.rtd",,"LAST","."&amp;Q$2&amp;Q$1&amp;"P"&amp;$A17))/1000000,(100*RTD("tos.rtd",,"VOLUME","."&amp;Q$2&amp;Q$1&amp;"C"&amp;$A17)*RTD("tos.rtd",,"LAST","."&amp;Q$2&amp;Q$1&amp;"C"&amp;$A17)-100*RTD("tos.rtd",,"VOLUME","."&amp;Q$2&amp;Q$1&amp;"P"&amp;$A17)*RTD("tos.rtd",,"LAST","."&amp;Q$2&amp;Q$1&amp;"P"&amp;$A17))/1000000),0),IF($A$2="DEX",IFERROR(IF($X$1="ABS",(100*RTD("tos.rtd",,"OPEN_INT","."&amp;Q$2&amp;Q$1&amp;"C"&amp;$A17)*RTD("tos.rtd",,"DELTA","."&amp;Q$2&amp;Q$1&amp;"C"&amp;$A17)+100*RTD("tos.rtd",,"OPEN_INT","."&amp;Q$2&amp;Q$1&amp;"P"&amp;$A17)*RTD("tos.rtd",,"DELTA","."&amp;Q$2&amp;Q$1&amp;"P"&amp;$A17))/1000,(100*RTD("tos.rtd",,"OPEN_INT","."&amp;Q$2&amp;Q$1&amp;"C"&amp;$A17)*RTD("tos.rtd",,"DELTA","."&amp;Q$2&amp;Q$1&amp;"C"&amp;$A17)-100*RTD("tos.rtd",,"OPEN_INT","."&amp;Q$2&amp;Q$1&amp;"P"&amp;$A17)*RTD("tos.rtd",,"DELTA","."&amp;Q$2&amp;Q$1&amp;"P"&amp;$A17))/1000),0),IF($A$2="VEX",IFERROR(IF($X$1="ABS",($A$4*$A$4*RTD("tos.rtd",,"VOLUME","."&amp;Q$2&amp;Q$1&amp;"C"&amp;$A17)*RTD("tos.rtd",,"GAMMA","."&amp;Q$2&amp;Q$1&amp;"C"&amp;$A17)+$A$4*$A$4*RTD("tos.rtd",,"VOLUME","."&amp;Q$2&amp;Q$1&amp;"P"&amp;$A17)*RTD("tos.rtd",,"GAMMA","."&amp;Q$2&amp;Q$1&amp;"P"&amp;$A17))/1000000,($A$4*$A$4*RTD("tos.rtd",,"VOLUME","."&amp;Q$2&amp;Q$1&amp;"C"&amp;$A17)*RTD("tos.rtd",,"GAMMA","."&amp;Q$2&amp;Q$1&amp;"C"&amp;$A17)-$A$4*$A$4*RTD("tos.rtd",,"VOLUME","."&amp;Q$2&amp;Q$1&amp;"P"&amp;$A17)*RTD("tos.rtd",,"GAMMA","."&amp;Q$2&amp;Q$1&amp;"P"&amp;$A17))/1000000),0),IF($A$2="GEX",IFERROR(IF($X$1="ABS",($A$4*$A$4*RTD("tos.rtd",,"OPEN_INT","."&amp;Q$2&amp;Q$1&amp;"C"&amp;$A17)*RTD("tos.rtd",,"GAMMA","."&amp;Q$2&amp;Q$1&amp;"C"&amp;$A17)+$A$4*$A$4*RTD("tos.rtd",,"OPEN_INT","."&amp;Q$2&amp;Q$1&amp;"P"&amp;$A17)*RTD("tos.rtd",,"GAMMA","."&amp;Q$2&amp;Q$1&amp;"P"&amp;$A17))/1000000,($A$4*$A$4*RTD("tos.rtd",,"OPEN_INT","."&amp;Q$2&amp;Q$1&amp;"C"&amp;$A17)*RTD("tos.rtd",,"GAMMA","."&amp;Q$2&amp;Q$1&amp;"C"&amp;$A17)-$A$4*$A$4*RTD("tos.rtd",,"OPEN_INT","."&amp;Q$2&amp;Q$1&amp;"P"&amp;$A17)*RTD("tos.rtd",,"GAMMA","."&amp;Q$2&amp;Q$1&amp;"P"&amp;$A17))/1000000),0),IF($A$2="SKEW",IFERROR(VALUE(IF(RTD("tos.rtd",,"IMPL_VOL","."&amp;Q$2&amp;Q$1&amp;"P"&amp;$A17)="N/A",0,RTD("tos.rtd",,"IMPL_VOL","."&amp;Q$2&amp;Q$1&amp;"P"&amp;$A17))),0)-IFERROR(VALUE(IF(RTD("tos.rtd",,"IMPL_VOL","."&amp;Q$2&amp;Q$1&amp;"C"&amp;$A17)="N/A",0,RTD("tos.rtd",,"IMPL_VOL","."&amp;Q$2&amp;Q$1&amp;"C"&amp;$A17))),0),IF($A$2="MAXPAIN",IF($A$4&gt;$A17,($A$4-$A17)*IF(RTD("tos.rtd",,"OPEN_INT","."&amp;Q$2&amp;Q$1&amp;"C"&amp;$A17)="N/A",0,RTD("tos.rtd",,"OPEN_INT","."&amp;Q$2&amp;Q$1&amp;"C"&amp;$A17)),0)+IF($A$4&lt;$A17,($A$5-$A$4)*IF(RTD("tos.rtd",,"OPEN_INT","."&amp;Q$2&amp;Q$1&amp;"P"&amp;$A17)="N/A",0,RTD("tos.rtd",,"OPEN_INT","."&amp;Q$2&amp;Q$1&amp;"P"&amp;$A17)),0),IF($X$1="ABS",IF(RTD("tos.rtd",,$A$2,"."&amp;Q$2&amp;Q$1&amp;"C"&amp;$A17)="N/A",0,RTD("tos.rtd",,$A$2,"."&amp;Q$2&amp;Q$1&amp;"C"&amp;$A17))+IF(RTD("tos.rtd",,$A$2,"."&amp;Q$2&amp;Q$1&amp;"P"&amp;$A17)="N/A",0,RTD("tos.rtd",,$A$2,"."&amp;Q$2&amp;Q$1&amp;"P"&amp;$A17)),IF(RTD("tos.rtd",,$A$2,"."&amp;Q$2&amp;Q$1&amp;"C"&amp;$A17)="N/A",0,RTD("tos.rtd",,$A$2,"."&amp;Q$2&amp;Q$1&amp;"C"&amp;$A17))-IF(RTD("tos.rtd",,$A$2,"."&amp;Q$2&amp;Q$1&amp;"P"&amp;$A17)="N/A",0,RTD("tos.rtd",,$A$2,"."&amp;Q$2&amp;Q$1&amp;"P"&amp;$A17))))))))))</f>
        <v>0</v>
      </c>
      <c r="R17" s="12">
        <f ca="1">IF($A$2="PREMIUM_OI",IFERROR(IF($X$1="ABS",(100*RTD("tos.rtd",,"OPEN_INT","."&amp;R$2&amp;R$1&amp;"C"&amp;$A17)*RTD("tos.rtd",,"LAST","."&amp;R$2&amp;R$1&amp;"C"&amp;$A17)+100*RTD("tos.rtd",,"OPEN_INT","."&amp;R$2&amp;R$1&amp;"P"&amp;$A17)*RTD("tos.rtd",,"LAST","."&amp;R$2&amp;R$1&amp;"P"&amp;$A17))/1000000,(100*RTD("tos.rtd",,"OPEN_INT","."&amp;R$2&amp;R$1&amp;"C"&amp;$A17)*RTD("tos.rtd",,"LAST","."&amp;R$2&amp;R$1&amp;"C"&amp;$A17)-100*RTD("tos.rtd",,"OPEN_INT","."&amp;R$2&amp;R$1&amp;"P"&amp;$A17)*RTD("tos.rtd",,"LAST","."&amp;R$2&amp;R$1&amp;"P"&amp;$A17))/1000000),0),IF($A$2="PREMIUM",IFERROR(IF($X$1="ABS",(100*RTD("tos.rtd",,"VOLUME","."&amp;R$2&amp;R$1&amp;"C"&amp;$A17)*RTD("tos.rtd",,"LAST","."&amp;R$2&amp;R$1&amp;"C"&amp;$A17)+100*RTD("tos.rtd",,"VOLUME","."&amp;R$2&amp;R$1&amp;"P"&amp;$A17)*RTD("tos.rtd",,"LAST","."&amp;R$2&amp;R$1&amp;"P"&amp;$A17))/1000000,(100*RTD("tos.rtd",,"VOLUME","."&amp;R$2&amp;R$1&amp;"C"&amp;$A17)*RTD("tos.rtd",,"LAST","."&amp;R$2&amp;R$1&amp;"C"&amp;$A17)-100*RTD("tos.rtd",,"VOLUME","."&amp;R$2&amp;R$1&amp;"P"&amp;$A17)*RTD("tos.rtd",,"LAST","."&amp;R$2&amp;R$1&amp;"P"&amp;$A17))/1000000),0),IF($A$2="DEX",IFERROR(IF($X$1="ABS",(100*RTD("tos.rtd",,"OPEN_INT","."&amp;R$2&amp;R$1&amp;"C"&amp;$A17)*RTD("tos.rtd",,"DELTA","."&amp;R$2&amp;R$1&amp;"C"&amp;$A17)+100*RTD("tos.rtd",,"OPEN_INT","."&amp;R$2&amp;R$1&amp;"P"&amp;$A17)*RTD("tos.rtd",,"DELTA","."&amp;R$2&amp;R$1&amp;"P"&amp;$A17))/1000,(100*RTD("tos.rtd",,"OPEN_INT","."&amp;R$2&amp;R$1&amp;"C"&amp;$A17)*RTD("tos.rtd",,"DELTA","."&amp;R$2&amp;R$1&amp;"C"&amp;$A17)-100*RTD("tos.rtd",,"OPEN_INT","."&amp;R$2&amp;R$1&amp;"P"&amp;$A17)*RTD("tos.rtd",,"DELTA","."&amp;R$2&amp;R$1&amp;"P"&amp;$A17))/1000),0),IF($A$2="VEX",IFERROR(IF($X$1="ABS",($A$4*$A$4*RTD("tos.rtd",,"VOLUME","."&amp;R$2&amp;R$1&amp;"C"&amp;$A17)*RTD("tos.rtd",,"GAMMA","."&amp;R$2&amp;R$1&amp;"C"&amp;$A17)+$A$4*$A$4*RTD("tos.rtd",,"VOLUME","."&amp;R$2&amp;R$1&amp;"P"&amp;$A17)*RTD("tos.rtd",,"GAMMA","."&amp;R$2&amp;R$1&amp;"P"&amp;$A17))/1000000,($A$4*$A$4*RTD("tos.rtd",,"VOLUME","."&amp;R$2&amp;R$1&amp;"C"&amp;$A17)*RTD("tos.rtd",,"GAMMA","."&amp;R$2&amp;R$1&amp;"C"&amp;$A17)-$A$4*$A$4*RTD("tos.rtd",,"VOLUME","."&amp;R$2&amp;R$1&amp;"P"&amp;$A17)*RTD("tos.rtd",,"GAMMA","."&amp;R$2&amp;R$1&amp;"P"&amp;$A17))/1000000),0),IF($A$2="GEX",IFERROR(IF($X$1="ABS",($A$4*$A$4*RTD("tos.rtd",,"OPEN_INT","."&amp;R$2&amp;R$1&amp;"C"&amp;$A17)*RTD("tos.rtd",,"GAMMA","."&amp;R$2&amp;R$1&amp;"C"&amp;$A17)+$A$4*$A$4*RTD("tos.rtd",,"OPEN_INT","."&amp;R$2&amp;R$1&amp;"P"&amp;$A17)*RTD("tos.rtd",,"GAMMA","."&amp;R$2&amp;R$1&amp;"P"&amp;$A17))/1000000,($A$4*$A$4*RTD("tos.rtd",,"OPEN_INT","."&amp;R$2&amp;R$1&amp;"C"&amp;$A17)*RTD("tos.rtd",,"GAMMA","."&amp;R$2&amp;R$1&amp;"C"&amp;$A17)-$A$4*$A$4*RTD("tos.rtd",,"OPEN_INT","."&amp;R$2&amp;R$1&amp;"P"&amp;$A17)*RTD("tos.rtd",,"GAMMA","."&amp;R$2&amp;R$1&amp;"P"&amp;$A17))/1000000),0),IF($A$2="SKEW",IFERROR(VALUE(IF(RTD("tos.rtd",,"IMPL_VOL","."&amp;R$2&amp;R$1&amp;"P"&amp;$A17)="N/A",0,RTD("tos.rtd",,"IMPL_VOL","."&amp;R$2&amp;R$1&amp;"P"&amp;$A17))),0)-IFERROR(VALUE(IF(RTD("tos.rtd",,"IMPL_VOL","."&amp;R$2&amp;R$1&amp;"C"&amp;$A17)="N/A",0,RTD("tos.rtd",,"IMPL_VOL","."&amp;R$2&amp;R$1&amp;"C"&amp;$A17))),0),IF($A$2="MAXPAIN",IF($A$4&gt;$A17,($A$4-$A17)*IF(RTD("tos.rtd",,"OPEN_INT","."&amp;R$2&amp;R$1&amp;"C"&amp;$A17)="N/A",0,RTD("tos.rtd",,"OPEN_INT","."&amp;R$2&amp;R$1&amp;"C"&amp;$A17)),0)+IF($A$4&lt;$A17,($A$5-$A$4)*IF(RTD("tos.rtd",,"OPEN_INT","."&amp;R$2&amp;R$1&amp;"P"&amp;$A17)="N/A",0,RTD("tos.rtd",,"OPEN_INT","."&amp;R$2&amp;R$1&amp;"P"&amp;$A17)),0),IF($X$1="ABS",IF(RTD("tos.rtd",,$A$2,"."&amp;R$2&amp;R$1&amp;"C"&amp;$A17)="N/A",0,RTD("tos.rtd",,$A$2,"."&amp;R$2&amp;R$1&amp;"C"&amp;$A17))+IF(RTD("tos.rtd",,$A$2,"."&amp;R$2&amp;R$1&amp;"P"&amp;$A17)="N/A",0,RTD("tos.rtd",,$A$2,"."&amp;R$2&amp;R$1&amp;"P"&amp;$A17)),IF(RTD("tos.rtd",,$A$2,"."&amp;R$2&amp;R$1&amp;"C"&amp;$A17)="N/A",0,RTD("tos.rtd",,$A$2,"."&amp;R$2&amp;R$1&amp;"C"&amp;$A17))-IF(RTD("tos.rtd",,$A$2,"."&amp;R$2&amp;R$1&amp;"P"&amp;$A17)="N/A",0,RTD("tos.rtd",,$A$2,"."&amp;R$2&amp;R$1&amp;"P"&amp;$A17))))))))))</f>
        <v>0</v>
      </c>
      <c r="S17" s="12">
        <f ca="1">IF($A$2="PREMIUM_OI",IFERROR(IF($X$1="ABS",(100*RTD("tos.rtd",,"OPEN_INT","."&amp;S$2&amp;S$1&amp;"C"&amp;$A17)*RTD("tos.rtd",,"LAST","."&amp;S$2&amp;S$1&amp;"C"&amp;$A17)+100*RTD("tos.rtd",,"OPEN_INT","."&amp;S$2&amp;S$1&amp;"P"&amp;$A17)*RTD("tos.rtd",,"LAST","."&amp;S$2&amp;S$1&amp;"P"&amp;$A17))/1000000,(100*RTD("tos.rtd",,"OPEN_INT","."&amp;S$2&amp;S$1&amp;"C"&amp;$A17)*RTD("tos.rtd",,"LAST","."&amp;S$2&amp;S$1&amp;"C"&amp;$A17)-100*RTD("tos.rtd",,"OPEN_INT","."&amp;S$2&amp;S$1&amp;"P"&amp;$A17)*RTD("tos.rtd",,"LAST","."&amp;S$2&amp;S$1&amp;"P"&amp;$A17))/1000000),0),IF($A$2="PREMIUM",IFERROR(IF($X$1="ABS",(100*RTD("tos.rtd",,"VOLUME","."&amp;S$2&amp;S$1&amp;"C"&amp;$A17)*RTD("tos.rtd",,"LAST","."&amp;S$2&amp;S$1&amp;"C"&amp;$A17)+100*RTD("tos.rtd",,"VOLUME","."&amp;S$2&amp;S$1&amp;"P"&amp;$A17)*RTD("tos.rtd",,"LAST","."&amp;S$2&amp;S$1&amp;"P"&amp;$A17))/1000000,(100*RTD("tos.rtd",,"VOLUME","."&amp;S$2&amp;S$1&amp;"C"&amp;$A17)*RTD("tos.rtd",,"LAST","."&amp;S$2&amp;S$1&amp;"C"&amp;$A17)-100*RTD("tos.rtd",,"VOLUME","."&amp;S$2&amp;S$1&amp;"P"&amp;$A17)*RTD("tos.rtd",,"LAST","."&amp;S$2&amp;S$1&amp;"P"&amp;$A17))/1000000),0),IF($A$2="DEX",IFERROR(IF($X$1="ABS",(100*RTD("tos.rtd",,"OPEN_INT","."&amp;S$2&amp;S$1&amp;"C"&amp;$A17)*RTD("tos.rtd",,"DELTA","."&amp;S$2&amp;S$1&amp;"C"&amp;$A17)+100*RTD("tos.rtd",,"OPEN_INT","."&amp;S$2&amp;S$1&amp;"P"&amp;$A17)*RTD("tos.rtd",,"DELTA","."&amp;S$2&amp;S$1&amp;"P"&amp;$A17))/1000,(100*RTD("tos.rtd",,"OPEN_INT","."&amp;S$2&amp;S$1&amp;"C"&amp;$A17)*RTD("tos.rtd",,"DELTA","."&amp;S$2&amp;S$1&amp;"C"&amp;$A17)-100*RTD("tos.rtd",,"OPEN_INT","."&amp;S$2&amp;S$1&amp;"P"&amp;$A17)*RTD("tos.rtd",,"DELTA","."&amp;S$2&amp;S$1&amp;"P"&amp;$A17))/1000),0),IF($A$2="VEX",IFERROR(IF($X$1="ABS",($A$4*$A$4*RTD("tos.rtd",,"VOLUME","."&amp;S$2&amp;S$1&amp;"C"&amp;$A17)*RTD("tos.rtd",,"GAMMA","."&amp;S$2&amp;S$1&amp;"C"&amp;$A17)+$A$4*$A$4*RTD("tos.rtd",,"VOLUME","."&amp;S$2&amp;S$1&amp;"P"&amp;$A17)*RTD("tos.rtd",,"GAMMA","."&amp;S$2&amp;S$1&amp;"P"&amp;$A17))/1000000,($A$4*$A$4*RTD("tos.rtd",,"VOLUME","."&amp;S$2&amp;S$1&amp;"C"&amp;$A17)*RTD("tos.rtd",,"GAMMA","."&amp;S$2&amp;S$1&amp;"C"&amp;$A17)-$A$4*$A$4*RTD("tos.rtd",,"VOLUME","."&amp;S$2&amp;S$1&amp;"P"&amp;$A17)*RTD("tos.rtd",,"GAMMA","."&amp;S$2&amp;S$1&amp;"P"&amp;$A17))/1000000),0),IF($A$2="GEX",IFERROR(IF($X$1="ABS",($A$4*$A$4*RTD("tos.rtd",,"OPEN_INT","."&amp;S$2&amp;S$1&amp;"C"&amp;$A17)*RTD("tos.rtd",,"GAMMA","."&amp;S$2&amp;S$1&amp;"C"&amp;$A17)+$A$4*$A$4*RTD("tos.rtd",,"OPEN_INT","."&amp;S$2&amp;S$1&amp;"P"&amp;$A17)*RTD("tos.rtd",,"GAMMA","."&amp;S$2&amp;S$1&amp;"P"&amp;$A17))/1000000,($A$4*$A$4*RTD("tos.rtd",,"OPEN_INT","."&amp;S$2&amp;S$1&amp;"C"&amp;$A17)*RTD("tos.rtd",,"GAMMA","."&amp;S$2&amp;S$1&amp;"C"&amp;$A17)-$A$4*$A$4*RTD("tos.rtd",,"OPEN_INT","."&amp;S$2&amp;S$1&amp;"P"&amp;$A17)*RTD("tos.rtd",,"GAMMA","."&amp;S$2&amp;S$1&amp;"P"&amp;$A17))/1000000),0),IF($A$2="SKEW",IFERROR(VALUE(IF(RTD("tos.rtd",,"IMPL_VOL","."&amp;S$2&amp;S$1&amp;"P"&amp;$A17)="N/A",0,RTD("tos.rtd",,"IMPL_VOL","."&amp;S$2&amp;S$1&amp;"P"&amp;$A17))),0)-IFERROR(VALUE(IF(RTD("tos.rtd",,"IMPL_VOL","."&amp;S$2&amp;S$1&amp;"C"&amp;$A17)="N/A",0,RTD("tos.rtd",,"IMPL_VOL","."&amp;S$2&amp;S$1&amp;"C"&amp;$A17))),0),IF($A$2="MAXPAIN",IF($A$4&gt;$A17,($A$4-$A17)*IF(RTD("tos.rtd",,"OPEN_INT","."&amp;S$2&amp;S$1&amp;"C"&amp;$A17)="N/A",0,RTD("tos.rtd",,"OPEN_INT","."&amp;S$2&amp;S$1&amp;"C"&amp;$A17)),0)+IF($A$4&lt;$A17,($A$5-$A$4)*IF(RTD("tos.rtd",,"OPEN_INT","."&amp;S$2&amp;S$1&amp;"P"&amp;$A17)="N/A",0,RTD("tos.rtd",,"OPEN_INT","."&amp;S$2&amp;S$1&amp;"P"&amp;$A17)),0),IF($X$1="ABS",IF(RTD("tos.rtd",,$A$2,"."&amp;S$2&amp;S$1&amp;"C"&amp;$A17)="N/A",0,RTD("tos.rtd",,$A$2,"."&amp;S$2&amp;S$1&amp;"C"&amp;$A17))+IF(RTD("tos.rtd",,$A$2,"."&amp;S$2&amp;S$1&amp;"P"&amp;$A17)="N/A",0,RTD("tos.rtd",,$A$2,"."&amp;S$2&amp;S$1&amp;"P"&amp;$A17)),IF(RTD("tos.rtd",,$A$2,"."&amp;S$2&amp;S$1&amp;"C"&amp;$A17)="N/A",0,RTD("tos.rtd",,$A$2,"."&amp;S$2&amp;S$1&amp;"C"&amp;$A17))-IF(RTD("tos.rtd",,$A$2,"."&amp;S$2&amp;S$1&amp;"P"&amp;$A17)="N/A",0,RTD("tos.rtd",,$A$2,"."&amp;S$2&amp;S$1&amp;"P"&amp;$A17))))))))))</f>
        <v>0</v>
      </c>
      <c r="T17" s="12">
        <f ca="1">IF($A$2="PREMIUM_OI",IFERROR(IF($X$1="ABS",(100*RTD("tos.rtd",,"OPEN_INT","."&amp;T$2&amp;T$1&amp;"C"&amp;$A17)*RTD("tos.rtd",,"LAST","."&amp;T$2&amp;T$1&amp;"C"&amp;$A17)+100*RTD("tos.rtd",,"OPEN_INT","."&amp;T$2&amp;T$1&amp;"P"&amp;$A17)*RTD("tos.rtd",,"LAST","."&amp;T$2&amp;T$1&amp;"P"&amp;$A17))/1000000,(100*RTD("tos.rtd",,"OPEN_INT","."&amp;T$2&amp;T$1&amp;"C"&amp;$A17)*RTD("tos.rtd",,"LAST","."&amp;T$2&amp;T$1&amp;"C"&amp;$A17)-100*RTD("tos.rtd",,"OPEN_INT","."&amp;T$2&amp;T$1&amp;"P"&amp;$A17)*RTD("tos.rtd",,"LAST","."&amp;T$2&amp;T$1&amp;"P"&amp;$A17))/1000000),0),IF($A$2="PREMIUM",IFERROR(IF($X$1="ABS",(100*RTD("tos.rtd",,"VOLUME","."&amp;T$2&amp;T$1&amp;"C"&amp;$A17)*RTD("tos.rtd",,"LAST","."&amp;T$2&amp;T$1&amp;"C"&amp;$A17)+100*RTD("tos.rtd",,"VOLUME","."&amp;T$2&amp;T$1&amp;"P"&amp;$A17)*RTD("tos.rtd",,"LAST","."&amp;T$2&amp;T$1&amp;"P"&amp;$A17))/1000000,(100*RTD("tos.rtd",,"VOLUME","."&amp;T$2&amp;T$1&amp;"C"&amp;$A17)*RTD("tos.rtd",,"LAST","."&amp;T$2&amp;T$1&amp;"C"&amp;$A17)-100*RTD("tos.rtd",,"VOLUME","."&amp;T$2&amp;T$1&amp;"P"&amp;$A17)*RTD("tos.rtd",,"LAST","."&amp;T$2&amp;T$1&amp;"P"&amp;$A17))/1000000),0),IF($A$2="DEX",IFERROR(IF($X$1="ABS",(100*RTD("tos.rtd",,"OPEN_INT","."&amp;T$2&amp;T$1&amp;"C"&amp;$A17)*RTD("tos.rtd",,"DELTA","."&amp;T$2&amp;T$1&amp;"C"&amp;$A17)+100*RTD("tos.rtd",,"OPEN_INT","."&amp;T$2&amp;T$1&amp;"P"&amp;$A17)*RTD("tos.rtd",,"DELTA","."&amp;T$2&amp;T$1&amp;"P"&amp;$A17))/1000,(100*RTD("tos.rtd",,"OPEN_INT","."&amp;T$2&amp;T$1&amp;"C"&amp;$A17)*RTD("tos.rtd",,"DELTA","."&amp;T$2&amp;T$1&amp;"C"&amp;$A17)-100*RTD("tos.rtd",,"OPEN_INT","."&amp;T$2&amp;T$1&amp;"P"&amp;$A17)*RTD("tos.rtd",,"DELTA","."&amp;T$2&amp;T$1&amp;"P"&amp;$A17))/1000),0),IF($A$2="VEX",IFERROR(IF($X$1="ABS",($A$4*$A$4*RTD("tos.rtd",,"VOLUME","."&amp;T$2&amp;T$1&amp;"C"&amp;$A17)*RTD("tos.rtd",,"GAMMA","."&amp;T$2&amp;T$1&amp;"C"&amp;$A17)+$A$4*$A$4*RTD("tos.rtd",,"VOLUME","."&amp;T$2&amp;T$1&amp;"P"&amp;$A17)*RTD("tos.rtd",,"GAMMA","."&amp;T$2&amp;T$1&amp;"P"&amp;$A17))/1000000,($A$4*$A$4*RTD("tos.rtd",,"VOLUME","."&amp;T$2&amp;T$1&amp;"C"&amp;$A17)*RTD("tos.rtd",,"GAMMA","."&amp;T$2&amp;T$1&amp;"C"&amp;$A17)-$A$4*$A$4*RTD("tos.rtd",,"VOLUME","."&amp;T$2&amp;T$1&amp;"P"&amp;$A17)*RTD("tos.rtd",,"GAMMA","."&amp;T$2&amp;T$1&amp;"P"&amp;$A17))/1000000),0),IF($A$2="GEX",IFERROR(IF($X$1="ABS",($A$4*$A$4*RTD("tos.rtd",,"OPEN_INT","."&amp;T$2&amp;T$1&amp;"C"&amp;$A17)*RTD("tos.rtd",,"GAMMA","."&amp;T$2&amp;T$1&amp;"C"&amp;$A17)+$A$4*$A$4*RTD("tos.rtd",,"OPEN_INT","."&amp;T$2&amp;T$1&amp;"P"&amp;$A17)*RTD("tos.rtd",,"GAMMA","."&amp;T$2&amp;T$1&amp;"P"&amp;$A17))/1000000,($A$4*$A$4*RTD("tos.rtd",,"OPEN_INT","."&amp;T$2&amp;T$1&amp;"C"&amp;$A17)*RTD("tos.rtd",,"GAMMA","."&amp;T$2&amp;T$1&amp;"C"&amp;$A17)-$A$4*$A$4*RTD("tos.rtd",,"OPEN_INT","."&amp;T$2&amp;T$1&amp;"P"&amp;$A17)*RTD("tos.rtd",,"GAMMA","."&amp;T$2&amp;T$1&amp;"P"&amp;$A17))/1000000),0),IF($A$2="SKEW",IFERROR(VALUE(IF(RTD("tos.rtd",,"IMPL_VOL","."&amp;T$2&amp;T$1&amp;"P"&amp;$A17)="N/A",0,RTD("tos.rtd",,"IMPL_VOL","."&amp;T$2&amp;T$1&amp;"P"&amp;$A17))),0)-IFERROR(VALUE(IF(RTD("tos.rtd",,"IMPL_VOL","."&amp;T$2&amp;T$1&amp;"C"&amp;$A17)="N/A",0,RTD("tos.rtd",,"IMPL_VOL","."&amp;T$2&amp;T$1&amp;"C"&amp;$A17))),0),IF($A$2="MAXPAIN",IF($A$4&gt;$A17,($A$4-$A17)*IF(RTD("tos.rtd",,"OPEN_INT","."&amp;T$2&amp;T$1&amp;"C"&amp;$A17)="N/A",0,RTD("tos.rtd",,"OPEN_INT","."&amp;T$2&amp;T$1&amp;"C"&amp;$A17)),0)+IF($A$4&lt;$A17,($A$5-$A$4)*IF(RTD("tos.rtd",,"OPEN_INT","."&amp;T$2&amp;T$1&amp;"P"&amp;$A17)="N/A",0,RTD("tos.rtd",,"OPEN_INT","."&amp;T$2&amp;T$1&amp;"P"&amp;$A17)),0),IF($X$1="ABS",IF(RTD("tos.rtd",,$A$2,"."&amp;T$2&amp;T$1&amp;"C"&amp;$A17)="N/A",0,RTD("tos.rtd",,$A$2,"."&amp;T$2&amp;T$1&amp;"C"&amp;$A17))+IF(RTD("tos.rtd",,$A$2,"."&amp;T$2&amp;T$1&amp;"P"&amp;$A17)="N/A",0,RTD("tos.rtd",,$A$2,"."&amp;T$2&amp;T$1&amp;"P"&amp;$A17)),IF(RTD("tos.rtd",,$A$2,"."&amp;T$2&amp;T$1&amp;"C"&amp;$A17)="N/A",0,RTD("tos.rtd",,$A$2,"."&amp;T$2&amp;T$1&amp;"C"&amp;$A17))-IF(RTD("tos.rtd",,$A$2,"."&amp;T$2&amp;T$1&amp;"P"&amp;$A17)="N/A",0,RTD("tos.rtd",,$A$2,"."&amp;T$2&amp;T$1&amp;"P"&amp;$A17))))))))))</f>
        <v>0</v>
      </c>
      <c r="U17" s="12">
        <f ca="1">IF($A$2="PREMIUM_OI",IFERROR(IF($X$1="ABS",(100*RTD("tos.rtd",,"OPEN_INT","."&amp;U$2&amp;U$1&amp;"C"&amp;$A17)*RTD("tos.rtd",,"LAST","."&amp;U$2&amp;U$1&amp;"C"&amp;$A17)+100*RTD("tos.rtd",,"OPEN_INT","."&amp;U$2&amp;U$1&amp;"P"&amp;$A17)*RTD("tos.rtd",,"LAST","."&amp;U$2&amp;U$1&amp;"P"&amp;$A17))/1000000,(100*RTD("tos.rtd",,"OPEN_INT","."&amp;U$2&amp;U$1&amp;"C"&amp;$A17)*RTD("tos.rtd",,"LAST","."&amp;U$2&amp;U$1&amp;"C"&amp;$A17)-100*RTD("tos.rtd",,"OPEN_INT","."&amp;U$2&amp;U$1&amp;"P"&amp;$A17)*RTD("tos.rtd",,"LAST","."&amp;U$2&amp;U$1&amp;"P"&amp;$A17))/1000000),0),IF($A$2="PREMIUM",IFERROR(IF($X$1="ABS",(100*RTD("tos.rtd",,"VOLUME","."&amp;U$2&amp;U$1&amp;"C"&amp;$A17)*RTD("tos.rtd",,"LAST","."&amp;U$2&amp;U$1&amp;"C"&amp;$A17)+100*RTD("tos.rtd",,"VOLUME","."&amp;U$2&amp;U$1&amp;"P"&amp;$A17)*RTD("tos.rtd",,"LAST","."&amp;U$2&amp;U$1&amp;"P"&amp;$A17))/1000000,(100*RTD("tos.rtd",,"VOLUME","."&amp;U$2&amp;U$1&amp;"C"&amp;$A17)*RTD("tos.rtd",,"LAST","."&amp;U$2&amp;U$1&amp;"C"&amp;$A17)-100*RTD("tos.rtd",,"VOLUME","."&amp;U$2&amp;U$1&amp;"P"&amp;$A17)*RTD("tos.rtd",,"LAST","."&amp;U$2&amp;U$1&amp;"P"&amp;$A17))/1000000),0),IF($A$2="DEX",IFERROR(IF($X$1="ABS",(100*RTD("tos.rtd",,"OPEN_INT","."&amp;U$2&amp;U$1&amp;"C"&amp;$A17)*RTD("tos.rtd",,"DELTA","."&amp;U$2&amp;U$1&amp;"C"&amp;$A17)+100*RTD("tos.rtd",,"OPEN_INT","."&amp;U$2&amp;U$1&amp;"P"&amp;$A17)*RTD("tos.rtd",,"DELTA","."&amp;U$2&amp;U$1&amp;"P"&amp;$A17))/1000,(100*RTD("tos.rtd",,"OPEN_INT","."&amp;U$2&amp;U$1&amp;"C"&amp;$A17)*RTD("tos.rtd",,"DELTA","."&amp;U$2&amp;U$1&amp;"C"&amp;$A17)-100*RTD("tos.rtd",,"OPEN_INT","."&amp;U$2&amp;U$1&amp;"P"&amp;$A17)*RTD("tos.rtd",,"DELTA","."&amp;U$2&amp;U$1&amp;"P"&amp;$A17))/1000),0),IF($A$2="VEX",IFERROR(IF($X$1="ABS",($A$4*$A$4*RTD("tos.rtd",,"VOLUME","."&amp;U$2&amp;U$1&amp;"C"&amp;$A17)*RTD("tos.rtd",,"GAMMA","."&amp;U$2&amp;U$1&amp;"C"&amp;$A17)+$A$4*$A$4*RTD("tos.rtd",,"VOLUME","."&amp;U$2&amp;U$1&amp;"P"&amp;$A17)*RTD("tos.rtd",,"GAMMA","."&amp;U$2&amp;U$1&amp;"P"&amp;$A17))/1000000,($A$4*$A$4*RTD("tos.rtd",,"VOLUME","."&amp;U$2&amp;U$1&amp;"C"&amp;$A17)*RTD("tos.rtd",,"GAMMA","."&amp;U$2&amp;U$1&amp;"C"&amp;$A17)-$A$4*$A$4*RTD("tos.rtd",,"VOLUME","."&amp;U$2&amp;U$1&amp;"P"&amp;$A17)*RTD("tos.rtd",,"GAMMA","."&amp;U$2&amp;U$1&amp;"P"&amp;$A17))/1000000),0),IF($A$2="GEX",IFERROR(IF($X$1="ABS",($A$4*$A$4*RTD("tos.rtd",,"OPEN_INT","."&amp;U$2&amp;U$1&amp;"C"&amp;$A17)*RTD("tos.rtd",,"GAMMA","."&amp;U$2&amp;U$1&amp;"C"&amp;$A17)+$A$4*$A$4*RTD("tos.rtd",,"OPEN_INT","."&amp;U$2&amp;U$1&amp;"P"&amp;$A17)*RTD("tos.rtd",,"GAMMA","."&amp;U$2&amp;U$1&amp;"P"&amp;$A17))/1000000,($A$4*$A$4*RTD("tos.rtd",,"OPEN_INT","."&amp;U$2&amp;U$1&amp;"C"&amp;$A17)*RTD("tos.rtd",,"GAMMA","."&amp;U$2&amp;U$1&amp;"C"&amp;$A17)-$A$4*$A$4*RTD("tos.rtd",,"OPEN_INT","."&amp;U$2&amp;U$1&amp;"P"&amp;$A17)*RTD("tos.rtd",,"GAMMA","."&amp;U$2&amp;U$1&amp;"P"&amp;$A17))/1000000),0),IF($A$2="SKEW",IFERROR(VALUE(IF(RTD("tos.rtd",,"IMPL_VOL","."&amp;U$2&amp;U$1&amp;"P"&amp;$A17)="N/A",0,RTD("tos.rtd",,"IMPL_VOL","."&amp;U$2&amp;U$1&amp;"P"&amp;$A17))),0)-IFERROR(VALUE(IF(RTD("tos.rtd",,"IMPL_VOL","."&amp;U$2&amp;U$1&amp;"C"&amp;$A17)="N/A",0,RTD("tos.rtd",,"IMPL_VOL","."&amp;U$2&amp;U$1&amp;"C"&amp;$A17))),0),IF($A$2="MAXPAIN",IF($A$4&gt;$A17,($A$4-$A17)*IF(RTD("tos.rtd",,"OPEN_INT","."&amp;U$2&amp;U$1&amp;"C"&amp;$A17)="N/A",0,RTD("tos.rtd",,"OPEN_INT","."&amp;U$2&amp;U$1&amp;"C"&amp;$A17)),0)+IF($A$4&lt;$A17,($A$5-$A$4)*IF(RTD("tos.rtd",,"OPEN_INT","."&amp;U$2&amp;U$1&amp;"P"&amp;$A17)="N/A",0,RTD("tos.rtd",,"OPEN_INT","."&amp;U$2&amp;U$1&amp;"P"&amp;$A17)),0),IF($X$1="ABS",IF(RTD("tos.rtd",,$A$2,"."&amp;U$2&amp;U$1&amp;"C"&amp;$A17)="N/A",0,RTD("tos.rtd",,$A$2,"."&amp;U$2&amp;U$1&amp;"C"&amp;$A17))+IF(RTD("tos.rtd",,$A$2,"."&amp;U$2&amp;U$1&amp;"P"&amp;$A17)="N/A",0,RTD("tos.rtd",,$A$2,"."&amp;U$2&amp;U$1&amp;"P"&amp;$A17)),IF(RTD("tos.rtd",,$A$2,"."&amp;U$2&amp;U$1&amp;"C"&amp;$A17)="N/A",0,RTD("tos.rtd",,$A$2,"."&amp;U$2&amp;U$1&amp;"C"&amp;$A17))-IF(RTD("tos.rtd",,$A$2,"."&amp;U$2&amp;U$1&amp;"P"&amp;$A17)="N/A",0,RTD("tos.rtd",,$A$2,"."&amp;U$2&amp;U$1&amp;"P"&amp;$A17))))))))))</f>
        <v>0</v>
      </c>
      <c r="V17" s="12">
        <f ca="1">IF($A$2="PREMIUM_OI",IFERROR(IF($X$1="ABS",(100*RTD("tos.rtd",,"OPEN_INT","."&amp;V$2&amp;V$1&amp;"C"&amp;$A17)*RTD("tos.rtd",,"LAST","."&amp;V$2&amp;V$1&amp;"C"&amp;$A17)+100*RTD("tos.rtd",,"OPEN_INT","."&amp;V$2&amp;V$1&amp;"P"&amp;$A17)*RTD("tos.rtd",,"LAST","."&amp;V$2&amp;V$1&amp;"P"&amp;$A17))/1000000,(100*RTD("tos.rtd",,"OPEN_INT","."&amp;V$2&amp;V$1&amp;"C"&amp;$A17)*RTD("tos.rtd",,"LAST","."&amp;V$2&amp;V$1&amp;"C"&amp;$A17)-100*RTD("tos.rtd",,"OPEN_INT","."&amp;V$2&amp;V$1&amp;"P"&amp;$A17)*RTD("tos.rtd",,"LAST","."&amp;V$2&amp;V$1&amp;"P"&amp;$A17))/1000000),0),IF($A$2="PREMIUM",IFERROR(IF($X$1="ABS",(100*RTD("tos.rtd",,"VOLUME","."&amp;V$2&amp;V$1&amp;"C"&amp;$A17)*RTD("tos.rtd",,"LAST","."&amp;V$2&amp;V$1&amp;"C"&amp;$A17)+100*RTD("tos.rtd",,"VOLUME","."&amp;V$2&amp;V$1&amp;"P"&amp;$A17)*RTD("tos.rtd",,"LAST","."&amp;V$2&amp;V$1&amp;"P"&amp;$A17))/1000000,(100*RTD("tos.rtd",,"VOLUME","."&amp;V$2&amp;V$1&amp;"C"&amp;$A17)*RTD("tos.rtd",,"LAST","."&amp;V$2&amp;V$1&amp;"C"&amp;$A17)-100*RTD("tos.rtd",,"VOLUME","."&amp;V$2&amp;V$1&amp;"P"&amp;$A17)*RTD("tos.rtd",,"LAST","."&amp;V$2&amp;V$1&amp;"P"&amp;$A17))/1000000),0),IF($A$2="DEX",IFERROR(IF($X$1="ABS",(100*RTD("tos.rtd",,"OPEN_INT","."&amp;V$2&amp;V$1&amp;"C"&amp;$A17)*RTD("tos.rtd",,"DELTA","."&amp;V$2&amp;V$1&amp;"C"&amp;$A17)+100*RTD("tos.rtd",,"OPEN_INT","."&amp;V$2&amp;V$1&amp;"P"&amp;$A17)*RTD("tos.rtd",,"DELTA","."&amp;V$2&amp;V$1&amp;"P"&amp;$A17))/1000,(100*RTD("tos.rtd",,"OPEN_INT","."&amp;V$2&amp;V$1&amp;"C"&amp;$A17)*RTD("tos.rtd",,"DELTA","."&amp;V$2&amp;V$1&amp;"C"&amp;$A17)-100*RTD("tos.rtd",,"OPEN_INT","."&amp;V$2&amp;V$1&amp;"P"&amp;$A17)*RTD("tos.rtd",,"DELTA","."&amp;V$2&amp;V$1&amp;"P"&amp;$A17))/1000),0),IF($A$2="VEX",IFERROR(IF($X$1="ABS",($A$4*$A$4*RTD("tos.rtd",,"VOLUME","."&amp;V$2&amp;V$1&amp;"C"&amp;$A17)*RTD("tos.rtd",,"GAMMA","."&amp;V$2&amp;V$1&amp;"C"&amp;$A17)+$A$4*$A$4*RTD("tos.rtd",,"VOLUME","."&amp;V$2&amp;V$1&amp;"P"&amp;$A17)*RTD("tos.rtd",,"GAMMA","."&amp;V$2&amp;V$1&amp;"P"&amp;$A17))/1000000,($A$4*$A$4*RTD("tos.rtd",,"VOLUME","."&amp;V$2&amp;V$1&amp;"C"&amp;$A17)*RTD("tos.rtd",,"GAMMA","."&amp;V$2&amp;V$1&amp;"C"&amp;$A17)-$A$4*$A$4*RTD("tos.rtd",,"VOLUME","."&amp;V$2&amp;V$1&amp;"P"&amp;$A17)*RTD("tos.rtd",,"GAMMA","."&amp;V$2&amp;V$1&amp;"P"&amp;$A17))/1000000),0),IF($A$2="GEX",IFERROR(IF($X$1="ABS",($A$4*$A$4*RTD("tos.rtd",,"OPEN_INT","."&amp;V$2&amp;V$1&amp;"C"&amp;$A17)*RTD("tos.rtd",,"GAMMA","."&amp;V$2&amp;V$1&amp;"C"&amp;$A17)+$A$4*$A$4*RTD("tos.rtd",,"OPEN_INT","."&amp;V$2&amp;V$1&amp;"P"&amp;$A17)*RTD("tos.rtd",,"GAMMA","."&amp;V$2&amp;V$1&amp;"P"&amp;$A17))/1000000,($A$4*$A$4*RTD("tos.rtd",,"OPEN_INT","."&amp;V$2&amp;V$1&amp;"C"&amp;$A17)*RTD("tos.rtd",,"GAMMA","."&amp;V$2&amp;V$1&amp;"C"&amp;$A17)-$A$4*$A$4*RTD("tos.rtd",,"OPEN_INT","."&amp;V$2&amp;V$1&amp;"P"&amp;$A17)*RTD("tos.rtd",,"GAMMA","."&amp;V$2&amp;V$1&amp;"P"&amp;$A17))/1000000),0),IF($A$2="SKEW",IFERROR(VALUE(IF(RTD("tos.rtd",,"IMPL_VOL","."&amp;V$2&amp;V$1&amp;"P"&amp;$A17)="N/A",0,RTD("tos.rtd",,"IMPL_VOL","."&amp;V$2&amp;V$1&amp;"P"&amp;$A17))),0)-IFERROR(VALUE(IF(RTD("tos.rtd",,"IMPL_VOL","."&amp;V$2&amp;V$1&amp;"C"&amp;$A17)="N/A",0,RTD("tos.rtd",,"IMPL_VOL","."&amp;V$2&amp;V$1&amp;"C"&amp;$A17))),0),IF($A$2="MAXPAIN",IF($A$4&gt;$A17,($A$4-$A17)*IF(RTD("tos.rtd",,"OPEN_INT","."&amp;V$2&amp;V$1&amp;"C"&amp;$A17)="N/A",0,RTD("tos.rtd",,"OPEN_INT","."&amp;V$2&amp;V$1&amp;"C"&amp;$A17)),0)+IF($A$4&lt;$A17,($A$5-$A$4)*IF(RTD("tos.rtd",,"OPEN_INT","."&amp;V$2&amp;V$1&amp;"P"&amp;$A17)="N/A",0,RTD("tos.rtd",,"OPEN_INT","."&amp;V$2&amp;V$1&amp;"P"&amp;$A17)),0),IF($X$1="ABS",IF(RTD("tos.rtd",,$A$2,"."&amp;V$2&amp;V$1&amp;"C"&amp;$A17)="N/A",0,RTD("tos.rtd",,$A$2,"."&amp;V$2&amp;V$1&amp;"C"&amp;$A17))+IF(RTD("tos.rtd",,$A$2,"."&amp;V$2&amp;V$1&amp;"P"&amp;$A17)="N/A",0,RTD("tos.rtd",,$A$2,"."&amp;V$2&amp;V$1&amp;"P"&amp;$A17)),IF(RTD("tos.rtd",,$A$2,"."&amp;V$2&amp;V$1&amp;"C"&amp;$A17)="N/A",0,RTD("tos.rtd",,$A$2,"."&amp;V$2&amp;V$1&amp;"C"&amp;$A17))-IF(RTD("tos.rtd",,$A$2,"."&amp;V$2&amp;V$1&amp;"P"&amp;$A17)="N/A",0,RTD("tos.rtd",,$A$2,"."&amp;V$2&amp;V$1&amp;"P"&amp;$A17))))))))))</f>
        <v>0</v>
      </c>
      <c r="W17" s="54">
        <f ca="1">IF($A$2="PREMIUM_OI",IFERROR(IF($X$1="ABS",(100*RTD("tos.rtd",,"OPEN_INT","."&amp;W$2&amp;W$1&amp;"C"&amp;$A17)*RTD("tos.rtd",,"LAST","."&amp;W$2&amp;W$1&amp;"C"&amp;$A17)+100*RTD("tos.rtd",,"OPEN_INT","."&amp;W$2&amp;W$1&amp;"P"&amp;$A17)*RTD("tos.rtd",,"LAST","."&amp;W$2&amp;W$1&amp;"P"&amp;$A17))/1000000,(100*RTD("tos.rtd",,"OPEN_INT","."&amp;W$2&amp;W$1&amp;"C"&amp;$A17)*RTD("tos.rtd",,"LAST","."&amp;W$2&amp;W$1&amp;"C"&amp;$A17)-100*RTD("tos.rtd",,"OPEN_INT","."&amp;W$2&amp;W$1&amp;"P"&amp;$A17)*RTD("tos.rtd",,"LAST","."&amp;W$2&amp;W$1&amp;"P"&amp;$A17))/1000000),0),IF($A$2="PREMIUM",IFERROR(IF($X$1="ABS",(100*RTD("tos.rtd",,"VOLUME","."&amp;W$2&amp;W$1&amp;"C"&amp;$A17)*RTD("tos.rtd",,"LAST","."&amp;W$2&amp;W$1&amp;"C"&amp;$A17)+100*RTD("tos.rtd",,"VOLUME","."&amp;W$2&amp;W$1&amp;"P"&amp;$A17)*RTD("tos.rtd",,"LAST","."&amp;W$2&amp;W$1&amp;"P"&amp;$A17))/1000000,(100*RTD("tos.rtd",,"VOLUME","."&amp;W$2&amp;W$1&amp;"C"&amp;$A17)*RTD("tos.rtd",,"LAST","."&amp;W$2&amp;W$1&amp;"C"&amp;$A17)-100*RTD("tos.rtd",,"VOLUME","."&amp;W$2&amp;W$1&amp;"P"&amp;$A17)*RTD("tos.rtd",,"LAST","."&amp;W$2&amp;W$1&amp;"P"&amp;$A17))/1000000),0),IF($A$2="DEX",IFERROR(IF($X$1="ABS",(100*RTD("tos.rtd",,"OPEN_INT","."&amp;W$2&amp;W$1&amp;"C"&amp;$A17)*RTD("tos.rtd",,"DELTA","."&amp;W$2&amp;W$1&amp;"C"&amp;$A17)+100*RTD("tos.rtd",,"OPEN_INT","."&amp;W$2&amp;W$1&amp;"P"&amp;$A17)*RTD("tos.rtd",,"DELTA","."&amp;W$2&amp;W$1&amp;"P"&amp;$A17))/1000,(100*RTD("tos.rtd",,"OPEN_INT","."&amp;W$2&amp;W$1&amp;"C"&amp;$A17)*RTD("tos.rtd",,"DELTA","."&amp;W$2&amp;W$1&amp;"C"&amp;$A17)-100*RTD("tos.rtd",,"OPEN_INT","."&amp;W$2&amp;W$1&amp;"P"&amp;$A17)*RTD("tos.rtd",,"DELTA","."&amp;W$2&amp;W$1&amp;"P"&amp;$A17))/1000),0),IF($A$2="VEX",IFERROR(IF($X$1="ABS",($A$4*$A$4*RTD("tos.rtd",,"VOLUME","."&amp;W$2&amp;W$1&amp;"C"&amp;$A17)*RTD("tos.rtd",,"GAMMA","."&amp;W$2&amp;W$1&amp;"C"&amp;$A17)+$A$4*$A$4*RTD("tos.rtd",,"VOLUME","."&amp;W$2&amp;W$1&amp;"P"&amp;$A17)*RTD("tos.rtd",,"GAMMA","."&amp;W$2&amp;W$1&amp;"P"&amp;$A17))/1000000,($A$4*$A$4*RTD("tos.rtd",,"VOLUME","."&amp;W$2&amp;W$1&amp;"C"&amp;$A17)*RTD("tos.rtd",,"GAMMA","."&amp;W$2&amp;W$1&amp;"C"&amp;$A17)-$A$4*$A$4*RTD("tos.rtd",,"VOLUME","."&amp;W$2&amp;W$1&amp;"P"&amp;$A17)*RTD("tos.rtd",,"GAMMA","."&amp;W$2&amp;W$1&amp;"P"&amp;$A17))/1000000),0),IF($A$2="GEX",IFERROR(IF($X$1="ABS",($A$4*$A$4*RTD("tos.rtd",,"OPEN_INT","."&amp;W$2&amp;W$1&amp;"C"&amp;$A17)*RTD("tos.rtd",,"GAMMA","."&amp;W$2&amp;W$1&amp;"C"&amp;$A17)+$A$4*$A$4*RTD("tos.rtd",,"OPEN_INT","."&amp;W$2&amp;W$1&amp;"P"&amp;$A17)*RTD("tos.rtd",,"GAMMA","."&amp;W$2&amp;W$1&amp;"P"&amp;$A17))/1000000,($A$4*$A$4*RTD("tos.rtd",,"OPEN_INT","."&amp;W$2&amp;W$1&amp;"C"&amp;$A17)*RTD("tos.rtd",,"GAMMA","."&amp;W$2&amp;W$1&amp;"C"&amp;$A17)-$A$4*$A$4*RTD("tos.rtd",,"OPEN_INT","."&amp;W$2&amp;W$1&amp;"P"&amp;$A17)*RTD("tos.rtd",,"GAMMA","."&amp;W$2&amp;W$1&amp;"P"&amp;$A17))/1000000),0),IF($A$2="SKEW",IFERROR(VALUE(IF(RTD("tos.rtd",,"IMPL_VOL","."&amp;W$2&amp;W$1&amp;"P"&amp;$A17)="N/A",0,RTD("tos.rtd",,"IMPL_VOL","."&amp;W$2&amp;W$1&amp;"P"&amp;$A17))),0)-IFERROR(VALUE(IF(RTD("tos.rtd",,"IMPL_VOL","."&amp;W$2&amp;W$1&amp;"C"&amp;$A17)="N/A",0,RTD("tos.rtd",,"IMPL_VOL","."&amp;W$2&amp;W$1&amp;"C"&amp;$A17))),0),IF($A$2="MAXPAIN",IF($A$4&gt;$A17,($A$4-$A17)*IF(RTD("tos.rtd",,"OPEN_INT","."&amp;W$2&amp;W$1&amp;"C"&amp;$A17)="N/A",0,RTD("tos.rtd",,"OPEN_INT","."&amp;W$2&amp;W$1&amp;"C"&amp;$A17)),0)+IF($A$4&lt;$A17,($A$5-$A$4)*IF(RTD("tos.rtd",,"OPEN_INT","."&amp;W$2&amp;W$1&amp;"P"&amp;$A17)="N/A",0,RTD("tos.rtd",,"OPEN_INT","."&amp;W$2&amp;W$1&amp;"P"&amp;$A17)),0),IF($X$1="ABS",IF(RTD("tos.rtd",,$A$2,"."&amp;W$2&amp;W$1&amp;"C"&amp;$A17)="N/A",0,RTD("tos.rtd",,$A$2,"."&amp;W$2&amp;W$1&amp;"C"&amp;$A17))+IF(RTD("tos.rtd",,$A$2,"."&amp;W$2&amp;W$1&amp;"P"&amp;$A17)="N/A",0,RTD("tos.rtd",,$A$2,"."&amp;W$2&amp;W$1&amp;"P"&amp;$A17)),IF(RTD("tos.rtd",,$A$2,"."&amp;W$2&amp;W$1&amp;"C"&amp;$A17)="N/A",0,RTD("tos.rtd",,$A$2,"."&amp;W$2&amp;W$1&amp;"C"&amp;$A17))-IF(RTD("tos.rtd",,$A$2,"."&amp;W$2&amp;W$1&amp;"P"&amp;$A17)="N/A",0,RTD("tos.rtd",,$A$2,"."&amp;W$2&amp;W$1&amp;"P"&amp;$A17))))))))))</f>
        <v>0</v>
      </c>
      <c r="X17" s="57">
        <f t="shared" ca="1" si="8"/>
        <v>0</v>
      </c>
      <c r="Y17" s="27">
        <f t="shared" ca="1" si="9"/>
        <v>0</v>
      </c>
      <c r="Z17" s="27">
        <f ca="1">+'OI-VOL'!Y17</f>
        <v>0</v>
      </c>
      <c r="AA17" s="27" t="b">
        <f t="shared" ca="1" si="10"/>
        <v>0</v>
      </c>
      <c r="AB17" s="27">
        <f t="shared" si="11"/>
        <v>138866950</v>
      </c>
      <c r="AC17" s="18">
        <f>MAX(0, $A17-AC$4)*IF(RTD("tos.rtd",,"OPEN_INT","."&amp;$AB$3&amp;$AB$4&amp;"C"&amp;AC$4)="N/A",0,RTD("tos.rtd",,"OPEN_INT","."&amp;$AB$3&amp;$AB$4&amp;"C"&amp;AC$4))*100 + MAX(0, AC$4-$A17)*IF(RTD("tos.rtd",,"OPEN_INT","."&amp;$AB$3&amp;$AB$4&amp;"P"&amp;AC$4)="N/A",0,RTD("tos.rtd",,"OPEN_INT","."&amp;$AB$3&amp;$AB$4&amp;"P"&amp;AC$4))*100</f>
        <v>0</v>
      </c>
      <c r="AD17" s="18">
        <f>MAX(0, $A17-AD$4)*IF(RTD("tos.rtd",,"OPEN_INT","."&amp;$AB$3&amp;$AB$4&amp;"C"&amp;AD$4)="N/A",0,RTD("tos.rtd",,"OPEN_INT","."&amp;$AB$3&amp;$AB$4&amp;"C"&amp;AD$4))*100 + MAX(0, AD$4-$A17)*IF(RTD("tos.rtd",,"OPEN_INT","."&amp;$AB$3&amp;$AB$4&amp;"P"&amp;AD$4)="N/A",0,RTD("tos.rtd",,"OPEN_INT","."&amp;$AB$3&amp;$AB$4&amp;"P"&amp;AD$4))*100</f>
        <v>0</v>
      </c>
      <c r="AE17" s="18">
        <f>MAX(0, $A17-AE$4)*IF(RTD("tos.rtd",,"OPEN_INT","."&amp;$AB$3&amp;$AB$4&amp;"C"&amp;AE$4)="N/A",0,RTD("tos.rtd",,"OPEN_INT","."&amp;$AB$3&amp;$AB$4&amp;"C"&amp;AE$4))*100 + MAX(0, AE$4-$A17)*IF(RTD("tos.rtd",,"OPEN_INT","."&amp;$AB$3&amp;$AB$4&amp;"P"&amp;AE$4)="N/A",0,RTD("tos.rtd",,"OPEN_INT","."&amp;$AB$3&amp;$AB$4&amp;"P"&amp;AE$4))*100</f>
        <v>0</v>
      </c>
      <c r="AF17" s="18">
        <f>MAX(0, $A17-AF$4)*IF(RTD("tos.rtd",,"OPEN_INT","."&amp;$AB$3&amp;$AB$4&amp;"C"&amp;AF$4)="N/A",0,RTD("tos.rtd",,"OPEN_INT","."&amp;$AB$3&amp;$AB$4&amp;"C"&amp;AF$4))*100 + MAX(0, AF$4-$A17)*IF(RTD("tos.rtd",,"OPEN_INT","."&amp;$AB$3&amp;$AB$4&amp;"P"&amp;AF$4)="N/A",0,RTD("tos.rtd",,"OPEN_INT","."&amp;$AB$3&amp;$AB$4&amp;"P"&amp;AF$4))*100</f>
        <v>0</v>
      </c>
      <c r="AG17" s="18">
        <f>MAX(0, $A17-AG$4)*IF(RTD("tos.rtd",,"OPEN_INT","."&amp;$AB$3&amp;$AB$4&amp;"C"&amp;AG$4)="N/A",0,RTD("tos.rtd",,"OPEN_INT","."&amp;$AB$3&amp;$AB$4&amp;"C"&amp;AG$4))*100 + MAX(0, AG$4-$A17)*IF(RTD("tos.rtd",,"OPEN_INT","."&amp;$AB$3&amp;$AB$4&amp;"P"&amp;AG$4)="N/A",0,RTD("tos.rtd",,"OPEN_INT","."&amp;$AB$3&amp;$AB$4&amp;"P"&amp;AG$4))*100</f>
        <v>0</v>
      </c>
      <c r="AH17" s="18">
        <f>MAX(0, $A17-AH$4)*IF(RTD("tos.rtd",,"OPEN_INT","."&amp;$AB$3&amp;$AB$4&amp;"C"&amp;AH$4)="N/A",0,RTD("tos.rtd",,"OPEN_INT","."&amp;$AB$3&amp;$AB$4&amp;"C"&amp;AH$4))*100 + MAX(0, AH$4-$A17)*IF(RTD("tos.rtd",,"OPEN_INT","."&amp;$AB$3&amp;$AB$4&amp;"P"&amp;AH$4)="N/A",0,RTD("tos.rtd",,"OPEN_INT","."&amp;$AB$3&amp;$AB$4&amp;"P"&amp;AH$4))*100</f>
        <v>0</v>
      </c>
      <c r="AI17" s="18">
        <f>MAX(0, $A17-AI$4)*IF(RTD("tos.rtd",,"OPEN_INT","."&amp;$AB$3&amp;$AB$4&amp;"C"&amp;AI$4)="N/A",0,RTD("tos.rtd",,"OPEN_INT","."&amp;$AB$3&amp;$AB$4&amp;"C"&amp;AI$4))*100 + MAX(0, AI$4-$A17)*IF(RTD("tos.rtd",,"OPEN_INT","."&amp;$AB$3&amp;$AB$4&amp;"P"&amp;AI$4)="N/A",0,RTD("tos.rtd",,"OPEN_INT","."&amp;$AB$3&amp;$AB$4&amp;"P"&amp;AI$4))*100</f>
        <v>0</v>
      </c>
      <c r="AJ17" s="18">
        <f>MAX(0, $A17-AJ$4)*IF(RTD("tos.rtd",,"OPEN_INT","."&amp;$AB$3&amp;$AB$4&amp;"C"&amp;AJ$4)="N/A",0,RTD("tos.rtd",,"OPEN_INT","."&amp;$AB$3&amp;$AB$4&amp;"C"&amp;AJ$4))*100 + MAX(0, AJ$4-$A17)*IF(RTD("tos.rtd",,"OPEN_INT","."&amp;$AB$3&amp;$AB$4&amp;"P"&amp;AJ$4)="N/A",0,RTD("tos.rtd",,"OPEN_INT","."&amp;$AB$3&amp;$AB$4&amp;"P"&amp;AJ$4))*100</f>
        <v>750</v>
      </c>
      <c r="AK17" s="18">
        <f>MAX(0, $A17-AK$4)*IF(RTD("tos.rtd",,"OPEN_INT","."&amp;$AB$3&amp;$AB$4&amp;"C"&amp;AK$4)="N/A",0,RTD("tos.rtd",,"OPEN_INT","."&amp;$AB$3&amp;$AB$4&amp;"C"&amp;AK$4))*100 + MAX(0, AK$4-$A17)*IF(RTD("tos.rtd",,"OPEN_INT","."&amp;$AB$3&amp;$AB$4&amp;"P"&amp;AK$4)="N/A",0,RTD("tos.rtd",,"OPEN_INT","."&amp;$AB$3&amp;$AB$4&amp;"P"&amp;AK$4))*100</f>
        <v>1600</v>
      </c>
      <c r="AL17" s="18">
        <f>MAX(0, $A17-AL$4)*IF(RTD("tos.rtd",,"OPEN_INT","."&amp;$AB$3&amp;$AB$4&amp;"C"&amp;AL$4)="N/A",0,RTD("tos.rtd",,"OPEN_INT","."&amp;$AB$3&amp;$AB$4&amp;"C"&amp;AL$4))*100 + MAX(0, AL$4-$A17)*IF(RTD("tos.rtd",,"OPEN_INT","."&amp;$AB$3&amp;$AB$4&amp;"P"&amp;AL$4)="N/A",0,RTD("tos.rtd",,"OPEN_INT","."&amp;$AB$3&amp;$AB$4&amp;"P"&amp;AL$4))*100</f>
        <v>0</v>
      </c>
      <c r="AM17" s="18">
        <f>MAX(0, $A17-AM$4)*IF(RTD("tos.rtd",,"OPEN_INT","."&amp;$AB$3&amp;$AB$4&amp;"C"&amp;AM$4)="N/A",0,RTD("tos.rtd",,"OPEN_INT","."&amp;$AB$3&amp;$AB$4&amp;"C"&amp;AM$4))*100 + MAX(0, AM$4-$A17)*IF(RTD("tos.rtd",,"OPEN_INT","."&amp;$AB$3&amp;$AB$4&amp;"P"&amp;AM$4)="N/A",0,RTD("tos.rtd",,"OPEN_INT","."&amp;$AB$3&amp;$AB$4&amp;"P"&amp;AM$4))*100</f>
        <v>0</v>
      </c>
      <c r="AN17" s="18">
        <f>MAX(0, $A17-AN$4)*IF(RTD("tos.rtd",,"OPEN_INT","."&amp;$AB$3&amp;$AB$4&amp;"C"&amp;AN$4)="N/A",0,RTD("tos.rtd",,"OPEN_INT","."&amp;$AB$3&amp;$AB$4&amp;"C"&amp;AN$4))*100 + MAX(0, AN$4-$A17)*IF(RTD("tos.rtd",,"OPEN_INT","."&amp;$AB$3&amp;$AB$4&amp;"P"&amp;AN$4)="N/A",0,RTD("tos.rtd",,"OPEN_INT","."&amp;$AB$3&amp;$AB$4&amp;"P"&amp;AN$4))*100</f>
        <v>0</v>
      </c>
      <c r="AO17" s="18">
        <f>MAX(0, $A17-AO$4)*IF(RTD("tos.rtd",,"OPEN_INT","."&amp;$AB$3&amp;$AB$4&amp;"C"&amp;AO$4)="N/A",0,RTD("tos.rtd",,"OPEN_INT","."&amp;$AB$3&amp;$AB$4&amp;"C"&amp;AO$4))*100 + MAX(0, AO$4-$A17)*IF(RTD("tos.rtd",,"OPEN_INT","."&amp;$AB$3&amp;$AB$4&amp;"P"&amp;AO$4)="N/A",0,RTD("tos.rtd",,"OPEN_INT","."&amp;$AB$3&amp;$AB$4&amp;"P"&amp;AO$4))*100</f>
        <v>0</v>
      </c>
      <c r="AP17" s="18">
        <f>MAX(0, $A17-AP$4)*IF(RTD("tos.rtd",,"OPEN_INT","."&amp;$AB$3&amp;$AB$4&amp;"C"&amp;AP$4)="N/A",0,RTD("tos.rtd",,"OPEN_INT","."&amp;$AB$3&amp;$AB$4&amp;"C"&amp;AP$4))*100 + MAX(0, AP$4-$A17)*IF(RTD("tos.rtd",,"OPEN_INT","."&amp;$AB$3&amp;$AB$4&amp;"P"&amp;AP$4)="N/A",0,RTD("tos.rtd",,"OPEN_INT","."&amp;$AB$3&amp;$AB$4&amp;"P"&amp;AP$4))*100</f>
        <v>34450</v>
      </c>
      <c r="AQ17" s="18">
        <f>MAX(0, $A17-AQ$4)*IF(RTD("tos.rtd",,"OPEN_INT","."&amp;$AB$3&amp;$AB$4&amp;"C"&amp;AQ$4)="N/A",0,RTD("tos.rtd",,"OPEN_INT","."&amp;$AB$3&amp;$AB$4&amp;"C"&amp;AQ$4))*100 + MAX(0, AQ$4-$A17)*IF(RTD("tos.rtd",,"OPEN_INT","."&amp;$AB$3&amp;$AB$4&amp;"P"&amp;AQ$4)="N/A",0,RTD("tos.rtd",,"OPEN_INT","."&amp;$AB$3&amp;$AB$4&amp;"P"&amp;AQ$4))*100</f>
        <v>0</v>
      </c>
      <c r="AR17" s="18">
        <f>MAX(0, $A17-AR$4)*IF(RTD("tos.rtd",,"OPEN_INT","."&amp;$AB$3&amp;$AB$4&amp;"C"&amp;AR$4)="N/A",0,RTD("tos.rtd",,"OPEN_INT","."&amp;$AB$3&amp;$AB$4&amp;"C"&amp;AR$4))*100 + MAX(0, AR$4-$A17)*IF(RTD("tos.rtd",,"OPEN_INT","."&amp;$AB$3&amp;$AB$4&amp;"P"&amp;AR$4)="N/A",0,RTD("tos.rtd",,"OPEN_INT","."&amp;$AB$3&amp;$AB$4&amp;"P"&amp;AR$4))*100</f>
        <v>96000</v>
      </c>
      <c r="AS17" s="18">
        <f>MAX(0, $A17-AS$4)*IF(RTD("tos.rtd",,"OPEN_INT","."&amp;$AB$3&amp;$AB$4&amp;"C"&amp;AS$4)="N/A",0,RTD("tos.rtd",,"OPEN_INT","."&amp;$AB$3&amp;$AB$4&amp;"C"&amp;AS$4))*100 + MAX(0, AS$4-$A17)*IF(RTD("tos.rtd",,"OPEN_INT","."&amp;$AB$3&amp;$AB$4&amp;"P"&amp;AS$4)="N/A",0,RTD("tos.rtd",,"OPEN_INT","."&amp;$AB$3&amp;$AB$4&amp;"P"&amp;AS$4))*100</f>
        <v>200</v>
      </c>
      <c r="AT17" s="18">
        <f>MAX(0, $A17-AT$4)*IF(RTD("tos.rtd",,"OPEN_INT","."&amp;$AB$3&amp;$AB$4&amp;"C"&amp;AT$4)="N/A",0,RTD("tos.rtd",,"OPEN_INT","."&amp;$AB$3&amp;$AB$4&amp;"C"&amp;AT$4))*100 + MAX(0, AT$4-$A17)*IF(RTD("tos.rtd",,"OPEN_INT","."&amp;$AB$3&amp;$AB$4&amp;"P"&amp;AT$4)="N/A",0,RTD("tos.rtd",,"OPEN_INT","."&amp;$AB$3&amp;$AB$4&amp;"P"&amp;AT$4))*100</f>
        <v>215500</v>
      </c>
      <c r="AU17" s="18">
        <f>MAX(0, $A17-AU$4)*IF(RTD("tos.rtd",,"OPEN_INT","."&amp;$AB$3&amp;$AB$4&amp;"C"&amp;AU$4)="N/A",0,RTD("tos.rtd",,"OPEN_INT","."&amp;$AB$3&amp;$AB$4&amp;"C"&amp;AU$4))*100 + MAX(0, AU$4-$A17)*IF(RTD("tos.rtd",,"OPEN_INT","."&amp;$AB$3&amp;$AB$4&amp;"P"&amp;AU$4)="N/A",0,RTD("tos.rtd",,"OPEN_INT","."&amp;$AB$3&amp;$AB$4&amp;"P"&amp;AU$4))*100</f>
        <v>420600</v>
      </c>
      <c r="AV17" s="18">
        <f>MAX(0, $A17-AV$4)*IF(RTD("tos.rtd",,"OPEN_INT","."&amp;$AB$3&amp;$AB$4&amp;"C"&amp;AV$4)="N/A",0,RTD("tos.rtd",,"OPEN_INT","."&amp;$AB$3&amp;$AB$4&amp;"C"&amp;AV$4))*100 + MAX(0, AV$4-$A17)*IF(RTD("tos.rtd",,"OPEN_INT","."&amp;$AB$3&amp;$AB$4&amp;"P"&amp;AV$4)="N/A",0,RTD("tos.rtd",,"OPEN_INT","."&amp;$AB$3&amp;$AB$4&amp;"P"&amp;AV$4))*100</f>
        <v>589050</v>
      </c>
      <c r="AW17" s="18">
        <f>MAX(0, $A17-AW$4)*IF(RTD("tos.rtd",,"OPEN_INT","."&amp;$AB$3&amp;$AB$4&amp;"C"&amp;AW$4)="N/A",0,RTD("tos.rtd",,"OPEN_INT","."&amp;$AB$3&amp;$AB$4&amp;"C"&amp;AW$4))*100 + MAX(0, AW$4-$A17)*IF(RTD("tos.rtd",,"OPEN_INT","."&amp;$AB$3&amp;$AB$4&amp;"P"&amp;AW$4)="N/A",0,RTD("tos.rtd",,"OPEN_INT","."&amp;$AB$3&amp;$AB$4&amp;"P"&amp;AW$4))*100</f>
        <v>755200</v>
      </c>
      <c r="AX17" s="18">
        <f>MAX(0, $A17-AX$4)*IF(RTD("tos.rtd",,"OPEN_INT","."&amp;$AB$3&amp;$AB$4&amp;"C"&amp;AX$4)="N/A",0,RTD("tos.rtd",,"OPEN_INT","."&amp;$AB$3&amp;$AB$4&amp;"C"&amp;AX$4))*100 + MAX(0, AX$4-$A17)*IF(RTD("tos.rtd",,"OPEN_INT","."&amp;$AB$3&amp;$AB$4&amp;"P"&amp;AX$4)="N/A",0,RTD("tos.rtd",,"OPEN_INT","."&amp;$AB$3&amp;$AB$4&amp;"P"&amp;AX$4))*100</f>
        <v>1383750</v>
      </c>
      <c r="AY17" s="18">
        <f>MAX(0, $A17-AY$4)*IF(RTD("tos.rtd",,"OPEN_INT","."&amp;$AB$3&amp;$AB$4&amp;"C"&amp;AY$4)="N/A",0,RTD("tos.rtd",,"OPEN_INT","."&amp;$AB$3&amp;$AB$4&amp;"C"&amp;AY$4))*100 + MAX(0, AY$4-$A17)*IF(RTD("tos.rtd",,"OPEN_INT","."&amp;$AB$3&amp;$AB$4&amp;"P"&amp;AY$4)="N/A",0,RTD("tos.rtd",,"OPEN_INT","."&amp;$AB$3&amp;$AB$4&amp;"P"&amp;AY$4))*100</f>
        <v>2126500</v>
      </c>
      <c r="AZ17" s="18">
        <f>MAX(0, $A17-AZ$4)*IF(RTD("tos.rtd",,"OPEN_INT","."&amp;$AB$3&amp;$AB$4&amp;"C"&amp;AZ$4)="N/A",0,RTD("tos.rtd",,"OPEN_INT","."&amp;$AB$3&amp;$AB$4&amp;"C"&amp;AZ$4))*100 + MAX(0, AZ$4-$A17)*IF(RTD("tos.rtd",,"OPEN_INT","."&amp;$AB$3&amp;$AB$4&amp;"P"&amp;AZ$4)="N/A",0,RTD("tos.rtd",,"OPEN_INT","."&amp;$AB$3&amp;$AB$4&amp;"P"&amp;AZ$4))*100</f>
        <v>10751400</v>
      </c>
      <c r="BA17" s="18">
        <f>MAX(0, $A17-BA$4)*IF(RTD("tos.rtd",,"OPEN_INT","."&amp;$AB$3&amp;$AB$4&amp;"C"&amp;BA$4)="N/A",0,RTD("tos.rtd",,"OPEN_INT","."&amp;$AB$3&amp;$AB$4&amp;"C"&amp;BA$4))*100 + MAX(0, BA$4-$A17)*IF(RTD("tos.rtd",,"OPEN_INT","."&amp;$AB$3&amp;$AB$4&amp;"P"&amp;BA$4)="N/A",0,RTD("tos.rtd",,"OPEN_INT","."&amp;$AB$3&amp;$AB$4&amp;"P"&amp;BA$4))*100</f>
        <v>5910000</v>
      </c>
      <c r="BB17" s="18">
        <f>MAX(0, $A17-BB$4)*IF(RTD("tos.rtd",,"OPEN_INT","."&amp;$AB$3&amp;$AB$4&amp;"C"&amp;BB$4)="N/A",0,RTD("tos.rtd",,"OPEN_INT","."&amp;$AB$3&amp;$AB$4&amp;"C"&amp;BB$4))*100 + MAX(0, BB$4-$A17)*IF(RTD("tos.rtd",,"OPEN_INT","."&amp;$AB$3&amp;$AB$4&amp;"P"&amp;BB$4)="N/A",0,RTD("tos.rtd",,"OPEN_INT","."&amp;$AB$3&amp;$AB$4&amp;"P"&amp;BB$4))*100</f>
        <v>20024550</v>
      </c>
      <c r="BC17" s="18">
        <f>MAX(0, $A17-BC$4)*IF(RTD("tos.rtd",,"OPEN_INT","."&amp;$AB$3&amp;$AB$4&amp;"C"&amp;BC$4)="N/A",0,RTD("tos.rtd",,"OPEN_INT","."&amp;$AB$3&amp;$AB$4&amp;"C"&amp;BC$4))*100 + MAX(0, BC$4-$A17)*IF(RTD("tos.rtd",,"OPEN_INT","."&amp;$AB$3&amp;$AB$4&amp;"P"&amp;BC$4)="N/A",0,RTD("tos.rtd",,"OPEN_INT","."&amp;$AB$3&amp;$AB$4&amp;"P"&amp;BC$4))*100</f>
        <v>20060600</v>
      </c>
      <c r="BD17" s="18">
        <f>MAX(0, $A17-BD$4)*IF(RTD("tos.rtd",,"OPEN_INT","."&amp;$AB$3&amp;$AB$4&amp;"C"&amp;BD$4)="N/A",0,RTD("tos.rtd",,"OPEN_INT","."&amp;$AB$3&amp;$AB$4&amp;"C"&amp;BD$4))*100 + MAX(0, BD$4-$A17)*IF(RTD("tos.rtd",,"OPEN_INT","."&amp;$AB$3&amp;$AB$4&amp;"P"&amp;BD$4)="N/A",0,RTD("tos.rtd",,"OPEN_INT","."&amp;$AB$3&amp;$AB$4&amp;"P"&amp;BD$4))*100</f>
        <v>30534750</v>
      </c>
      <c r="BE17" s="18">
        <f>MAX(0, $A17-BE$4)*IF(RTD("tos.rtd",,"OPEN_INT","."&amp;$AB$3&amp;$AB$4&amp;"C"&amp;BE$4)="N/A",0,RTD("tos.rtd",,"OPEN_INT","."&amp;$AB$3&amp;$AB$4&amp;"C"&amp;BE$4))*100 + MAX(0, BE$4-$A17)*IF(RTD("tos.rtd",,"OPEN_INT","."&amp;$AB$3&amp;$AB$4&amp;"P"&amp;BE$4)="N/A",0,RTD("tos.rtd",,"OPEN_INT","."&amp;$AB$3&amp;$AB$4&amp;"P"&amp;BE$4))*100</f>
        <v>14848000</v>
      </c>
      <c r="BF17" s="18">
        <f>MAX(0, $A17-BF$4)*IF(RTD("tos.rtd",,"OPEN_INT","."&amp;$AB$3&amp;$AB$4&amp;"C"&amp;BF$4)="N/A",0,RTD("tos.rtd",,"OPEN_INT","."&amp;$AB$3&amp;$AB$4&amp;"C"&amp;BF$4))*100 + MAX(0, BF$4-$A17)*IF(RTD("tos.rtd",,"OPEN_INT","."&amp;$AB$3&amp;$AB$4&amp;"P"&amp;BF$4)="N/A",0,RTD("tos.rtd",,"OPEN_INT","."&amp;$AB$3&amp;$AB$4&amp;"P"&amp;BF$4))*100</f>
        <v>14686300</v>
      </c>
      <c r="BG17" s="18">
        <f>MAX(0, $A17-BG$4)*IF(RTD("tos.rtd",,"OPEN_INT","."&amp;$AB$3&amp;$AB$4&amp;"C"&amp;BG$4)="N/A",0,RTD("tos.rtd",,"OPEN_INT","."&amp;$AB$3&amp;$AB$4&amp;"C"&amp;BG$4))*100 + MAX(0, BG$4-$A17)*IF(RTD("tos.rtd",,"OPEN_INT","."&amp;$AB$3&amp;$AB$4&amp;"P"&amp;BG$4)="N/A",0,RTD("tos.rtd",,"OPEN_INT","."&amp;$AB$3&amp;$AB$4&amp;"P"&amp;BG$4))*100</f>
        <v>7566300</v>
      </c>
      <c r="BH17" s="18">
        <f>MAX(0, $A17-BH$4)*IF(RTD("tos.rtd",,"OPEN_INT","."&amp;$AB$3&amp;$AB$4&amp;"C"&amp;BH$4)="N/A",0,RTD("tos.rtd",,"OPEN_INT","."&amp;$AB$3&amp;$AB$4&amp;"C"&amp;BH$4))*100 + MAX(0, BH$4-$A17)*IF(RTD("tos.rtd",,"OPEN_INT","."&amp;$AB$3&amp;$AB$4&amp;"P"&amp;BH$4)="N/A",0,RTD("tos.rtd",,"OPEN_INT","."&amp;$AB$3&amp;$AB$4&amp;"P"&amp;BH$4))*100</f>
        <v>5447300</v>
      </c>
      <c r="BI17" s="18">
        <f>MAX(0, $A17-BI$4)*IF(RTD("tos.rtd",,"OPEN_INT","."&amp;$AB$3&amp;$AB$4&amp;"C"&amp;BI$4)="N/A",0,RTD("tos.rtd",,"OPEN_INT","."&amp;$AB$3&amp;$AB$4&amp;"C"&amp;BI$4))*100 + MAX(0, BI$4-$A17)*IF(RTD("tos.rtd",,"OPEN_INT","."&amp;$AB$3&amp;$AB$4&amp;"P"&amp;BI$4)="N/A",0,RTD("tos.rtd",,"OPEN_INT","."&amp;$AB$3&amp;$AB$4&amp;"P"&amp;BI$4))*100</f>
        <v>1943000</v>
      </c>
      <c r="BJ17" s="18">
        <f>MAX(0, $A17-BJ$4)*IF(RTD("tos.rtd",,"OPEN_INT","."&amp;$AB$3&amp;$AB$4&amp;"C"&amp;BJ$4)="N/A",0,RTD("tos.rtd",,"OPEN_INT","."&amp;$AB$3&amp;$AB$4&amp;"C"&amp;BJ$4))*100 + MAX(0, BJ$4-$A17)*IF(RTD("tos.rtd",,"OPEN_INT","."&amp;$AB$3&amp;$AB$4&amp;"P"&amp;BJ$4)="N/A",0,RTD("tos.rtd",,"OPEN_INT","."&amp;$AB$3&amp;$AB$4&amp;"P"&amp;BJ$4))*100</f>
        <v>884100</v>
      </c>
      <c r="BK17" s="18">
        <f>MAX(0, $A17-BK$4)*IF(RTD("tos.rtd",,"OPEN_INT","."&amp;$AB$3&amp;$AB$4&amp;"C"&amp;BK$4)="N/A",0,RTD("tos.rtd",,"OPEN_INT","."&amp;$AB$3&amp;$AB$4&amp;"C"&amp;BK$4))*100 + MAX(0, BK$4-$A17)*IF(RTD("tos.rtd",,"OPEN_INT","."&amp;$AB$3&amp;$AB$4&amp;"P"&amp;BK$4)="N/A",0,RTD("tos.rtd",,"OPEN_INT","."&amp;$AB$3&amp;$AB$4&amp;"P"&amp;BK$4))*100</f>
        <v>166100</v>
      </c>
      <c r="BL17" s="18">
        <f>MAX(0, $A17-BL$4)*IF(RTD("tos.rtd",,"OPEN_INT","."&amp;$AB$3&amp;$AB$4&amp;"C"&amp;BL$4)="N/A",0,RTD("tos.rtd",,"OPEN_INT","."&amp;$AB$3&amp;$AB$4&amp;"C"&amp;BL$4))*100 + MAX(0, BL$4-$A17)*IF(RTD("tos.rtd",,"OPEN_INT","."&amp;$AB$3&amp;$AB$4&amp;"P"&amp;BL$4)="N/A",0,RTD("tos.rtd",,"OPEN_INT","."&amp;$AB$3&amp;$AB$4&amp;"P"&amp;BL$4))*100</f>
        <v>300150</v>
      </c>
      <c r="BM17" s="18">
        <f>MAX(0, $A17-BM$4)*IF(RTD("tos.rtd",,"OPEN_INT","."&amp;$AB$3&amp;$AB$4&amp;"C"&amp;BM$4)="N/A",0,RTD("tos.rtd",,"OPEN_INT","."&amp;$AB$3&amp;$AB$4&amp;"C"&amp;BM$4))*100 + MAX(0, BM$4-$A17)*IF(RTD("tos.rtd",,"OPEN_INT","."&amp;$AB$3&amp;$AB$4&amp;"P"&amp;BM$4)="N/A",0,RTD("tos.rtd",,"OPEN_INT","."&amp;$AB$3&amp;$AB$4&amp;"P"&amp;BM$4))*100</f>
        <v>19200</v>
      </c>
      <c r="BN17" s="18">
        <f>MAX(0, $A17-BN$4)*IF(RTD("tos.rtd",,"OPEN_INT","."&amp;$AB$3&amp;$AB$4&amp;"C"&amp;BN$4)="N/A",0,RTD("tos.rtd",,"OPEN_INT","."&amp;$AB$3&amp;$AB$4&amp;"C"&amp;BN$4))*100 + MAX(0, BN$4-$A17)*IF(RTD("tos.rtd",,"OPEN_INT","."&amp;$AB$3&amp;$AB$4&amp;"P"&amp;BN$4)="N/A",0,RTD("tos.rtd",,"OPEN_INT","."&amp;$AB$3&amp;$AB$4&amp;"P"&amp;BN$4))*100</f>
        <v>10000</v>
      </c>
      <c r="BO17" s="18">
        <f>MAX(0, $A17-BO$4)*IF(RTD("tos.rtd",,"OPEN_INT","."&amp;$AB$3&amp;$AB$4&amp;"C"&amp;BO$4)="N/A",0,RTD("tos.rtd",,"OPEN_INT","."&amp;$AB$3&amp;$AB$4&amp;"C"&amp;BO$4))*100 + MAX(0, BO$4-$A17)*IF(RTD("tos.rtd",,"OPEN_INT","."&amp;$AB$3&amp;$AB$4&amp;"P"&amp;BO$4)="N/A",0,RTD("tos.rtd",,"OPEN_INT","."&amp;$AB$3&amp;$AB$4&amp;"P"&amp;BO$4))*100</f>
        <v>40300</v>
      </c>
      <c r="BP17" s="18">
        <f>MAX(0, $A17-BP$4)*IF(RTD("tos.rtd",,"OPEN_INT","."&amp;$AB$3&amp;$AB$4&amp;"C"&amp;BP$4)="N/A",0,RTD("tos.rtd",,"OPEN_INT","."&amp;$AB$3&amp;$AB$4&amp;"C"&amp;BP$4))*100 + MAX(0, BP$4-$A17)*IF(RTD("tos.rtd",,"OPEN_INT","."&amp;$AB$3&amp;$AB$4&amp;"P"&amp;BP$4)="N/A",0,RTD("tos.rtd",,"OPEN_INT","."&amp;$AB$3&amp;$AB$4&amp;"P"&amp;BP$4))*100</f>
        <v>51300</v>
      </c>
      <c r="BQ17" s="18">
        <f>MAX(0, $A17-BQ$4)*IF(RTD("tos.rtd",,"OPEN_INT","."&amp;$AB$3&amp;$AB$4&amp;"C"&amp;BQ$4)="N/A",0,RTD("tos.rtd",,"OPEN_INT","."&amp;$AB$3&amp;$AB$4&amp;"C"&amp;BQ$4))*100 + MAX(0, BQ$4-$A17)*IF(RTD("tos.rtd",,"OPEN_INT","."&amp;$AB$3&amp;$AB$4&amp;"P"&amp;BQ$4)="N/A",0,RTD("tos.rtd",,"OPEN_INT","."&amp;$AB$3&amp;$AB$4&amp;"P"&amp;BQ$4))*100</f>
        <v>0</v>
      </c>
      <c r="BR17" s="18">
        <f>MAX(0, $A17-BR$4)*IF(RTD("tos.rtd",,"OPEN_INT","."&amp;$AB$3&amp;$AB$4&amp;"C"&amp;BR$4)="N/A",0,RTD("tos.rtd",,"OPEN_INT","."&amp;$AB$3&amp;$AB$4&amp;"C"&amp;BR$4))*100 + MAX(0, BR$4-$A17)*IF(RTD("tos.rtd",,"OPEN_INT","."&amp;$AB$3&amp;$AB$4&amp;"P"&amp;BR$4)="N/A",0,RTD("tos.rtd",,"OPEN_INT","."&amp;$AB$3&amp;$AB$4&amp;"P"&amp;BR$4))*100</f>
        <v>0</v>
      </c>
      <c r="BS17" s="18">
        <f>MAX(0, $A17-BS$4)*IF(RTD("tos.rtd",,"OPEN_INT","."&amp;$AB$3&amp;$AB$4&amp;"C"&amp;BS$4)="N/A",0,RTD("tos.rtd",,"OPEN_INT","."&amp;$AB$3&amp;$AB$4&amp;"C"&amp;BS$4))*100 + MAX(0, BS$4-$A17)*IF(RTD("tos.rtd",,"OPEN_INT","."&amp;$AB$3&amp;$AB$4&amp;"P"&amp;BS$4)="N/A",0,RTD("tos.rtd",,"OPEN_INT","."&amp;$AB$3&amp;$AB$4&amp;"P"&amp;BS$4))*100</f>
        <v>0</v>
      </c>
      <c r="BT17" s="18">
        <f>MAX(0, $A17-BT$4)*IF(RTD("tos.rtd",,"OPEN_INT","."&amp;$AB$3&amp;$AB$4&amp;"C"&amp;BT$4)="N/A",0,RTD("tos.rtd",,"OPEN_INT","."&amp;$AB$3&amp;$AB$4&amp;"C"&amp;BT$4))*100 + MAX(0, BT$4-$A17)*IF(RTD("tos.rtd",,"OPEN_INT","."&amp;$AB$3&amp;$AB$4&amp;"P"&amp;BT$4)="N/A",0,RTD("tos.rtd",,"OPEN_INT","."&amp;$AB$3&amp;$AB$4&amp;"P"&amp;BT$4))*100</f>
        <v>0</v>
      </c>
      <c r="BU17" s="18">
        <f>MAX(0, $A17-BU$4)*IF(RTD("tos.rtd",,"OPEN_INT","."&amp;$AB$3&amp;$AB$4&amp;"C"&amp;BU$4)="N/A",0,RTD("tos.rtd",,"OPEN_INT","."&amp;$AB$3&amp;$AB$4&amp;"C"&amp;BU$4))*100 + MAX(0, BU$4-$A17)*IF(RTD("tos.rtd",,"OPEN_INT","."&amp;$AB$3&amp;$AB$4&amp;"P"&amp;BU$4)="N/A",0,RTD("tos.rtd",,"OPEN_INT","."&amp;$AB$3&amp;$AB$4&amp;"P"&amp;BU$4))*100</f>
        <v>0</v>
      </c>
      <c r="BV17" s="18">
        <f>MAX(0, $A17-BV$4)*IF(RTD("tos.rtd",,"OPEN_INT","."&amp;$AB$3&amp;$AB$4&amp;"C"&amp;BV$4)="N/A",0,RTD("tos.rtd",,"OPEN_INT","."&amp;$AB$3&amp;$AB$4&amp;"C"&amp;BV$4))*100 + MAX(0, BV$4-$A17)*IF(RTD("tos.rtd",,"OPEN_INT","."&amp;$AB$3&amp;$AB$4&amp;"P"&amp;BV$4)="N/A",0,RTD("tos.rtd",,"OPEN_INT","."&amp;$AB$3&amp;$AB$4&amp;"P"&amp;BV$4))*100</f>
        <v>0</v>
      </c>
      <c r="BW17" s="18">
        <f>MAX(0, $A17-BW$4)*IF(RTD("tos.rtd",,"OPEN_INT","."&amp;$AB$3&amp;$AB$4&amp;"C"&amp;BW$4)="N/A",0,RTD("tos.rtd",,"OPEN_INT","."&amp;$AB$3&amp;$AB$4&amp;"C"&amp;BW$4))*100 + MAX(0, BW$4-$A17)*IF(RTD("tos.rtd",,"OPEN_INT","."&amp;$AB$3&amp;$AB$4&amp;"P"&amp;BW$4)="N/A",0,RTD("tos.rtd",,"OPEN_INT","."&amp;$AB$3&amp;$AB$4&amp;"P"&amp;BW$4))*100</f>
        <v>0</v>
      </c>
    </row>
    <row r="18" spans="1:75" s="19" customFormat="1" ht="11.1" customHeight="1" thickBot="1" x14ac:dyDescent="0.3">
      <c r="A18" s="23">
        <f t="shared" si="7"/>
        <v>15</v>
      </c>
      <c r="B18" s="14">
        <f ca="1">IF($A$2="PREMIUM_OI",IFERROR(IF($X$1="ABS",(100*RTD("tos.rtd",,"OPEN_INT","."&amp;B$2&amp;B$1&amp;"C"&amp;$A18)*RTD("tos.rtd",,"LAST","."&amp;B$2&amp;B$1&amp;"C"&amp;$A18)+100*RTD("tos.rtd",,"OPEN_INT","."&amp;B$2&amp;B$1&amp;"P"&amp;$A18)*RTD("tos.rtd",,"LAST","."&amp;B$2&amp;B$1&amp;"P"&amp;$A18))/1000000,(100*RTD("tos.rtd",,"OPEN_INT","."&amp;B$2&amp;B$1&amp;"C"&amp;$A18)*RTD("tos.rtd",,"LAST","."&amp;B$2&amp;B$1&amp;"C"&amp;$A18)-100*RTD("tos.rtd",,"OPEN_INT","."&amp;B$2&amp;B$1&amp;"P"&amp;$A18)*RTD("tos.rtd",,"LAST","."&amp;B$2&amp;B$1&amp;"P"&amp;$A18))/1000000),0),IF($A$2="PREMIUM",IFERROR(IF($X$1="ABS",(100*RTD("tos.rtd",,"VOLUME","."&amp;B$2&amp;B$1&amp;"C"&amp;$A18)*RTD("tos.rtd",,"LAST","."&amp;B$2&amp;B$1&amp;"C"&amp;$A18)+100*RTD("tos.rtd",,"VOLUME","."&amp;B$2&amp;B$1&amp;"P"&amp;$A18)*RTD("tos.rtd",,"LAST","."&amp;B$2&amp;B$1&amp;"P"&amp;$A18))/1000000,(100*RTD("tos.rtd",,"VOLUME","."&amp;B$2&amp;B$1&amp;"C"&amp;$A18)*RTD("tos.rtd",,"LAST","."&amp;B$2&amp;B$1&amp;"C"&amp;$A18)-100*RTD("tos.rtd",,"VOLUME","."&amp;B$2&amp;B$1&amp;"P"&amp;$A18)*RTD("tos.rtd",,"LAST","."&amp;B$2&amp;B$1&amp;"P"&amp;$A18))/1000000),0),IF($A$2="DEX",IFERROR(IF($X$1="ABS",(100*RTD("tos.rtd",,"OPEN_INT","."&amp;B$2&amp;B$1&amp;"C"&amp;$A18)*RTD("tos.rtd",,"DELTA","."&amp;B$2&amp;B$1&amp;"C"&amp;$A18)+100*RTD("tos.rtd",,"OPEN_INT","."&amp;B$2&amp;B$1&amp;"P"&amp;$A18)*RTD("tos.rtd",,"DELTA","."&amp;B$2&amp;B$1&amp;"P"&amp;$A18))/1000,(100*RTD("tos.rtd",,"OPEN_INT","."&amp;B$2&amp;B$1&amp;"C"&amp;$A18)*RTD("tos.rtd",,"DELTA","."&amp;B$2&amp;B$1&amp;"C"&amp;$A18)-100*RTD("tos.rtd",,"OPEN_INT","."&amp;B$2&amp;B$1&amp;"P"&amp;$A18)*RTD("tos.rtd",,"DELTA","."&amp;B$2&amp;B$1&amp;"P"&amp;$A18))/1000),0),IF($A$2="VEX",IFERROR(IF($X$1="ABS",($A$4*$A$4*RTD("tos.rtd",,"VOLUME","."&amp;B$2&amp;B$1&amp;"C"&amp;$A18)*RTD("tos.rtd",,"GAMMA","."&amp;B$2&amp;B$1&amp;"C"&amp;$A18)+$A$4*$A$4*RTD("tos.rtd",,"VOLUME","."&amp;B$2&amp;B$1&amp;"P"&amp;$A18)*RTD("tos.rtd",,"GAMMA","."&amp;B$2&amp;B$1&amp;"P"&amp;$A18))/1000000,($A$4*$A$4*RTD("tos.rtd",,"VOLUME","."&amp;B$2&amp;B$1&amp;"C"&amp;$A18)*RTD("tos.rtd",,"GAMMA","."&amp;B$2&amp;B$1&amp;"C"&amp;$A18)-$A$4*$A$4*RTD("tos.rtd",,"VOLUME","."&amp;B$2&amp;B$1&amp;"P"&amp;$A18)*RTD("tos.rtd",,"GAMMA","."&amp;B$2&amp;B$1&amp;"P"&amp;$A18))/1000000),0),IF($A$2="GEX",IFERROR(IF($X$1="ABS",($A$4*$A$4*RTD("tos.rtd",,"OPEN_INT","."&amp;B$2&amp;B$1&amp;"C"&amp;$A18)*RTD("tos.rtd",,"GAMMA","."&amp;B$2&amp;B$1&amp;"C"&amp;$A18)+$A$4*$A$4*RTD("tos.rtd",,"OPEN_INT","."&amp;B$2&amp;B$1&amp;"P"&amp;$A18)*RTD("tos.rtd",,"GAMMA","."&amp;B$2&amp;B$1&amp;"P"&amp;$A18))/1000000,($A$4*$A$4*RTD("tos.rtd",,"OPEN_INT","."&amp;B$2&amp;B$1&amp;"C"&amp;$A18)*RTD("tos.rtd",,"GAMMA","."&amp;B$2&amp;B$1&amp;"C"&amp;$A18)-$A$4*$A$4*RTD("tos.rtd",,"OPEN_INT","."&amp;B$2&amp;B$1&amp;"P"&amp;$A18)*RTD("tos.rtd",,"GAMMA","."&amp;B$2&amp;B$1&amp;"P"&amp;$A18))/1000000),0),IF($A$2="SKEW",IFERROR(VALUE(IF(RTD("tos.rtd",,"IMPL_VOL","."&amp;B$2&amp;B$1&amp;"P"&amp;$A18)="N/A",0,RTD("tos.rtd",,"IMPL_VOL","."&amp;B$2&amp;B$1&amp;"P"&amp;$A18))),0)-IFERROR(VALUE(IF(RTD("tos.rtd",,"IMPL_VOL","."&amp;B$2&amp;B$1&amp;"C"&amp;$A18)="N/A",0,RTD("tos.rtd",,"IMPL_VOL","."&amp;B$2&amp;B$1&amp;"C"&amp;$A18))),0),IF($A$2="MAXPAIN",IF($A$4&gt;$A18,($A$4-$A18)*IF(RTD("tos.rtd",,"OPEN_INT","."&amp;B$2&amp;B$1&amp;"C"&amp;$A18)="N/A",0,RTD("tos.rtd",,"OPEN_INT","."&amp;B$2&amp;B$1&amp;"C"&amp;$A18)),0)+IF($A$4&lt;$A18,($A$5-$A$4)*IF(RTD("tos.rtd",,"OPEN_INT","."&amp;B$2&amp;B$1&amp;"P"&amp;$A18)="N/A",0,RTD("tos.rtd",,"OPEN_INT","."&amp;B$2&amp;B$1&amp;"P"&amp;$A18)),0),IF($X$1="ABS",IF(RTD("tos.rtd",,$A$2,"."&amp;B$2&amp;B$1&amp;"C"&amp;$A18)="N/A",0,RTD("tos.rtd",,$A$2,"."&amp;B$2&amp;B$1&amp;"C"&amp;$A18))+IF(RTD("tos.rtd",,$A$2,"."&amp;B$2&amp;B$1&amp;"P"&amp;$A18)="N/A",0,RTD("tos.rtd",,$A$2,"."&amp;B$2&amp;B$1&amp;"P"&amp;$A18)),IF(RTD("tos.rtd",,$A$2,"."&amp;B$2&amp;B$1&amp;"C"&amp;$A18)="N/A",0,RTD("tos.rtd",,$A$2,"."&amp;B$2&amp;B$1&amp;"C"&amp;$A18))-IF(RTD("tos.rtd",,$A$2,"."&amp;B$2&amp;B$1&amp;"P"&amp;$A18)="N/A",0,RTD("tos.rtd",,$A$2,"."&amp;B$2&amp;B$1&amp;"P"&amp;$A18))))))))))</f>
        <v>0</v>
      </c>
      <c r="C18" s="14">
        <f ca="1">IF($A$2="PREMIUM_OI",IFERROR(IF($X$1="ABS",(100*RTD("tos.rtd",,"OPEN_INT","."&amp;C$2&amp;C$1&amp;"C"&amp;$A18)*RTD("tos.rtd",,"LAST","."&amp;C$2&amp;C$1&amp;"C"&amp;$A18)+100*RTD("tos.rtd",,"OPEN_INT","."&amp;C$2&amp;C$1&amp;"P"&amp;$A18)*RTD("tos.rtd",,"LAST","."&amp;C$2&amp;C$1&amp;"P"&amp;$A18))/1000000,(100*RTD("tos.rtd",,"OPEN_INT","."&amp;C$2&amp;C$1&amp;"C"&amp;$A18)*RTD("tos.rtd",,"LAST","."&amp;C$2&amp;C$1&amp;"C"&amp;$A18)-100*RTD("tos.rtd",,"OPEN_INT","."&amp;C$2&amp;C$1&amp;"P"&amp;$A18)*RTD("tos.rtd",,"LAST","."&amp;C$2&amp;C$1&amp;"P"&amp;$A18))/1000000),0),IF($A$2="PREMIUM",IFERROR(IF($X$1="ABS",(100*RTD("tos.rtd",,"VOLUME","."&amp;C$2&amp;C$1&amp;"C"&amp;$A18)*RTD("tos.rtd",,"LAST","."&amp;C$2&amp;C$1&amp;"C"&amp;$A18)+100*RTD("tos.rtd",,"VOLUME","."&amp;C$2&amp;C$1&amp;"P"&amp;$A18)*RTD("tos.rtd",,"LAST","."&amp;C$2&amp;C$1&amp;"P"&amp;$A18))/1000000,(100*RTD("tos.rtd",,"VOLUME","."&amp;C$2&amp;C$1&amp;"C"&amp;$A18)*RTD("tos.rtd",,"LAST","."&amp;C$2&amp;C$1&amp;"C"&amp;$A18)-100*RTD("tos.rtd",,"VOLUME","."&amp;C$2&amp;C$1&amp;"P"&amp;$A18)*RTD("tos.rtd",,"LAST","."&amp;C$2&amp;C$1&amp;"P"&amp;$A18))/1000000),0),IF($A$2="DEX",IFERROR(IF($X$1="ABS",(100*RTD("tos.rtd",,"OPEN_INT","."&amp;C$2&amp;C$1&amp;"C"&amp;$A18)*RTD("tos.rtd",,"DELTA","."&amp;C$2&amp;C$1&amp;"C"&amp;$A18)+100*RTD("tos.rtd",,"OPEN_INT","."&amp;C$2&amp;C$1&amp;"P"&amp;$A18)*RTD("tos.rtd",,"DELTA","."&amp;C$2&amp;C$1&amp;"P"&amp;$A18))/1000,(100*RTD("tos.rtd",,"OPEN_INT","."&amp;C$2&amp;C$1&amp;"C"&amp;$A18)*RTD("tos.rtd",,"DELTA","."&amp;C$2&amp;C$1&amp;"C"&amp;$A18)-100*RTD("tos.rtd",,"OPEN_INT","."&amp;C$2&amp;C$1&amp;"P"&amp;$A18)*RTD("tos.rtd",,"DELTA","."&amp;C$2&amp;C$1&amp;"P"&amp;$A18))/1000),0),IF($A$2="VEX",IFERROR(IF($X$1="ABS",($A$4*$A$4*RTD("tos.rtd",,"VOLUME","."&amp;C$2&amp;C$1&amp;"C"&amp;$A18)*RTD("tos.rtd",,"GAMMA","."&amp;C$2&amp;C$1&amp;"C"&amp;$A18)+$A$4*$A$4*RTD("tos.rtd",,"VOLUME","."&amp;C$2&amp;C$1&amp;"P"&amp;$A18)*RTD("tos.rtd",,"GAMMA","."&amp;C$2&amp;C$1&amp;"P"&amp;$A18))/1000000,($A$4*$A$4*RTD("tos.rtd",,"VOLUME","."&amp;C$2&amp;C$1&amp;"C"&amp;$A18)*RTD("tos.rtd",,"GAMMA","."&amp;C$2&amp;C$1&amp;"C"&amp;$A18)-$A$4*$A$4*RTD("tos.rtd",,"VOLUME","."&amp;C$2&amp;C$1&amp;"P"&amp;$A18)*RTD("tos.rtd",,"GAMMA","."&amp;C$2&amp;C$1&amp;"P"&amp;$A18))/1000000),0),IF($A$2="GEX",IFERROR(IF($X$1="ABS",($A$4*$A$4*RTD("tos.rtd",,"OPEN_INT","."&amp;C$2&amp;C$1&amp;"C"&amp;$A18)*RTD("tos.rtd",,"GAMMA","."&amp;C$2&amp;C$1&amp;"C"&amp;$A18)+$A$4*$A$4*RTD("tos.rtd",,"OPEN_INT","."&amp;C$2&amp;C$1&amp;"P"&amp;$A18)*RTD("tos.rtd",,"GAMMA","."&amp;C$2&amp;C$1&amp;"P"&amp;$A18))/1000000,($A$4*$A$4*RTD("tos.rtd",,"OPEN_INT","."&amp;C$2&amp;C$1&amp;"C"&amp;$A18)*RTD("tos.rtd",,"GAMMA","."&amp;C$2&amp;C$1&amp;"C"&amp;$A18)-$A$4*$A$4*RTD("tos.rtd",,"OPEN_INT","."&amp;C$2&amp;C$1&amp;"P"&amp;$A18)*RTD("tos.rtd",,"GAMMA","."&amp;C$2&amp;C$1&amp;"P"&amp;$A18))/1000000),0),IF($A$2="SKEW",IFERROR(VALUE(IF(RTD("tos.rtd",,"IMPL_VOL","."&amp;C$2&amp;C$1&amp;"P"&amp;$A18)="N/A",0,RTD("tos.rtd",,"IMPL_VOL","."&amp;C$2&amp;C$1&amp;"P"&amp;$A18))),0)-IFERROR(VALUE(IF(RTD("tos.rtd",,"IMPL_VOL","."&amp;C$2&amp;C$1&amp;"C"&amp;$A18)="N/A",0,RTD("tos.rtd",,"IMPL_VOL","."&amp;C$2&amp;C$1&amp;"C"&amp;$A18))),0),IF($A$2="MAXPAIN",IF($A$4&gt;$A18,($A$4-$A18)*IF(RTD("tos.rtd",,"OPEN_INT","."&amp;C$2&amp;C$1&amp;"C"&amp;$A18)="N/A",0,RTD("tos.rtd",,"OPEN_INT","."&amp;C$2&amp;C$1&amp;"C"&amp;$A18)),0)+IF($A$4&lt;$A18,($A$5-$A$4)*IF(RTD("tos.rtd",,"OPEN_INT","."&amp;C$2&amp;C$1&amp;"P"&amp;$A18)="N/A",0,RTD("tos.rtd",,"OPEN_INT","."&amp;C$2&amp;C$1&amp;"P"&amp;$A18)),0),IF($X$1="ABS",IF(RTD("tos.rtd",,$A$2,"."&amp;C$2&amp;C$1&amp;"C"&amp;$A18)="N/A",0,RTD("tos.rtd",,$A$2,"."&amp;C$2&amp;C$1&amp;"C"&amp;$A18))+IF(RTD("tos.rtd",,$A$2,"."&amp;C$2&amp;C$1&amp;"P"&amp;$A18)="N/A",0,RTD("tos.rtd",,$A$2,"."&amp;C$2&amp;C$1&amp;"P"&amp;$A18)),IF(RTD("tos.rtd",,$A$2,"."&amp;C$2&amp;C$1&amp;"C"&amp;$A18)="N/A",0,RTD("tos.rtd",,$A$2,"."&amp;C$2&amp;C$1&amp;"C"&amp;$A18))-IF(RTD("tos.rtd",,$A$2,"."&amp;C$2&amp;C$1&amp;"P"&amp;$A18)="N/A",0,RTD("tos.rtd",,$A$2,"."&amp;C$2&amp;C$1&amp;"P"&amp;$A18))))))))))</f>
        <v>0</v>
      </c>
      <c r="D18" s="12">
        <f ca="1">IF($A$2="PREMIUM_OI",IFERROR(IF($X$1="ABS",(100*RTD("tos.rtd",,"OPEN_INT","."&amp;D$2&amp;D$1&amp;"C"&amp;$A18)*RTD("tos.rtd",,"LAST","."&amp;D$2&amp;D$1&amp;"C"&amp;$A18)+100*RTD("tos.rtd",,"OPEN_INT","."&amp;D$2&amp;D$1&amp;"P"&amp;$A18)*RTD("tos.rtd",,"LAST","."&amp;D$2&amp;D$1&amp;"P"&amp;$A18))/1000000,(100*RTD("tos.rtd",,"OPEN_INT","."&amp;D$2&amp;D$1&amp;"C"&amp;$A18)*RTD("tos.rtd",,"LAST","."&amp;D$2&amp;D$1&amp;"C"&amp;$A18)-100*RTD("tos.rtd",,"OPEN_INT","."&amp;D$2&amp;D$1&amp;"P"&amp;$A18)*RTD("tos.rtd",,"LAST","."&amp;D$2&amp;D$1&amp;"P"&amp;$A18))/1000000),0),IF($A$2="PREMIUM",IFERROR(IF($X$1="ABS",(100*RTD("tos.rtd",,"VOLUME","."&amp;D$2&amp;D$1&amp;"C"&amp;$A18)*RTD("tos.rtd",,"LAST","."&amp;D$2&amp;D$1&amp;"C"&amp;$A18)+100*RTD("tos.rtd",,"VOLUME","."&amp;D$2&amp;D$1&amp;"P"&amp;$A18)*RTD("tos.rtd",,"LAST","."&amp;D$2&amp;D$1&amp;"P"&amp;$A18))/1000000,(100*RTD("tos.rtd",,"VOLUME","."&amp;D$2&amp;D$1&amp;"C"&amp;$A18)*RTD("tos.rtd",,"LAST","."&amp;D$2&amp;D$1&amp;"C"&amp;$A18)-100*RTD("tos.rtd",,"VOLUME","."&amp;D$2&amp;D$1&amp;"P"&amp;$A18)*RTD("tos.rtd",,"LAST","."&amp;D$2&amp;D$1&amp;"P"&amp;$A18))/1000000),0),IF($A$2="DEX",IFERROR(IF($X$1="ABS",(100*RTD("tos.rtd",,"OPEN_INT","."&amp;D$2&amp;D$1&amp;"C"&amp;$A18)*RTD("tos.rtd",,"DELTA","."&amp;D$2&amp;D$1&amp;"C"&amp;$A18)+100*RTD("tos.rtd",,"OPEN_INT","."&amp;D$2&amp;D$1&amp;"P"&amp;$A18)*RTD("tos.rtd",,"DELTA","."&amp;D$2&amp;D$1&amp;"P"&amp;$A18))/1000,(100*RTD("tos.rtd",,"OPEN_INT","."&amp;D$2&amp;D$1&amp;"C"&amp;$A18)*RTD("tos.rtd",,"DELTA","."&amp;D$2&amp;D$1&amp;"C"&amp;$A18)-100*RTD("tos.rtd",,"OPEN_INT","."&amp;D$2&amp;D$1&amp;"P"&amp;$A18)*RTD("tos.rtd",,"DELTA","."&amp;D$2&amp;D$1&amp;"P"&amp;$A18))/1000),0),IF($A$2="VEX",IFERROR(IF($X$1="ABS",($A$4*$A$4*RTD("tos.rtd",,"VOLUME","."&amp;D$2&amp;D$1&amp;"C"&amp;$A18)*RTD("tos.rtd",,"GAMMA","."&amp;D$2&amp;D$1&amp;"C"&amp;$A18)+$A$4*$A$4*RTD("tos.rtd",,"VOLUME","."&amp;D$2&amp;D$1&amp;"P"&amp;$A18)*RTD("tos.rtd",,"GAMMA","."&amp;D$2&amp;D$1&amp;"P"&amp;$A18))/1000000,($A$4*$A$4*RTD("tos.rtd",,"VOLUME","."&amp;D$2&amp;D$1&amp;"C"&amp;$A18)*RTD("tos.rtd",,"GAMMA","."&amp;D$2&amp;D$1&amp;"C"&amp;$A18)-$A$4*$A$4*RTD("tos.rtd",,"VOLUME","."&amp;D$2&amp;D$1&amp;"P"&amp;$A18)*RTD("tos.rtd",,"GAMMA","."&amp;D$2&amp;D$1&amp;"P"&amp;$A18))/1000000),0),IF($A$2="GEX",IFERROR(IF($X$1="ABS",($A$4*$A$4*RTD("tos.rtd",,"OPEN_INT","."&amp;D$2&amp;D$1&amp;"C"&amp;$A18)*RTD("tos.rtd",,"GAMMA","."&amp;D$2&amp;D$1&amp;"C"&amp;$A18)+$A$4*$A$4*RTD("tos.rtd",,"OPEN_INT","."&amp;D$2&amp;D$1&amp;"P"&amp;$A18)*RTD("tos.rtd",,"GAMMA","."&amp;D$2&amp;D$1&amp;"P"&amp;$A18))/1000000,($A$4*$A$4*RTD("tos.rtd",,"OPEN_INT","."&amp;D$2&amp;D$1&amp;"C"&amp;$A18)*RTD("tos.rtd",,"GAMMA","."&amp;D$2&amp;D$1&amp;"C"&amp;$A18)-$A$4*$A$4*RTD("tos.rtd",,"OPEN_INT","."&amp;D$2&amp;D$1&amp;"P"&amp;$A18)*RTD("tos.rtd",,"GAMMA","."&amp;D$2&amp;D$1&amp;"P"&amp;$A18))/1000000),0),IF($A$2="SKEW",IFERROR(VALUE(IF(RTD("tos.rtd",,"IMPL_VOL","."&amp;D$2&amp;D$1&amp;"P"&amp;$A18)="N/A",0,RTD("tos.rtd",,"IMPL_VOL","."&amp;D$2&amp;D$1&amp;"P"&amp;$A18))),0)-IFERROR(VALUE(IF(RTD("tos.rtd",,"IMPL_VOL","."&amp;D$2&amp;D$1&amp;"C"&amp;$A18)="N/A",0,RTD("tos.rtd",,"IMPL_VOL","."&amp;D$2&amp;D$1&amp;"C"&amp;$A18))),0),IF($A$2="MAXPAIN",IF($A$4&gt;$A18,($A$4-$A18)*IF(RTD("tos.rtd",,"OPEN_INT","."&amp;D$2&amp;D$1&amp;"C"&amp;$A18)="N/A",0,RTD("tos.rtd",,"OPEN_INT","."&amp;D$2&amp;D$1&amp;"C"&amp;$A18)),0)+IF($A$4&lt;$A18,($A$5-$A$4)*IF(RTD("tos.rtd",,"OPEN_INT","."&amp;D$2&amp;D$1&amp;"P"&amp;$A18)="N/A",0,RTD("tos.rtd",,"OPEN_INT","."&amp;D$2&amp;D$1&amp;"P"&amp;$A18)),0),IF($X$1="ABS",IF(RTD("tos.rtd",,$A$2,"."&amp;D$2&amp;D$1&amp;"C"&amp;$A18)="N/A",0,RTD("tos.rtd",,$A$2,"."&amp;D$2&amp;D$1&amp;"C"&amp;$A18))+IF(RTD("tos.rtd",,$A$2,"."&amp;D$2&amp;D$1&amp;"P"&amp;$A18)="N/A",0,RTD("tos.rtd",,$A$2,"."&amp;D$2&amp;D$1&amp;"P"&amp;$A18)),IF(RTD("tos.rtd",,$A$2,"."&amp;D$2&amp;D$1&amp;"C"&amp;$A18)="N/A",0,RTD("tos.rtd",,$A$2,"."&amp;D$2&amp;D$1&amp;"C"&amp;$A18))-IF(RTD("tos.rtd",,$A$2,"."&amp;D$2&amp;D$1&amp;"P"&amp;$A18)="N/A",0,RTD("tos.rtd",,$A$2,"."&amp;D$2&amp;D$1&amp;"P"&amp;$A18))))))))))</f>
        <v>0</v>
      </c>
      <c r="E18" s="12">
        <f ca="1">IF($A$2="PREMIUM_OI",IFERROR(IF($X$1="ABS",(100*RTD("tos.rtd",,"OPEN_INT","."&amp;E$2&amp;E$1&amp;"C"&amp;$A18)*RTD("tos.rtd",,"LAST","."&amp;E$2&amp;E$1&amp;"C"&amp;$A18)+100*RTD("tos.rtd",,"OPEN_INT","."&amp;E$2&amp;E$1&amp;"P"&amp;$A18)*RTD("tos.rtd",,"LAST","."&amp;E$2&amp;E$1&amp;"P"&amp;$A18))/1000000,(100*RTD("tos.rtd",,"OPEN_INT","."&amp;E$2&amp;E$1&amp;"C"&amp;$A18)*RTD("tos.rtd",,"LAST","."&amp;E$2&amp;E$1&amp;"C"&amp;$A18)-100*RTD("tos.rtd",,"OPEN_INT","."&amp;E$2&amp;E$1&amp;"P"&amp;$A18)*RTD("tos.rtd",,"LAST","."&amp;E$2&amp;E$1&amp;"P"&amp;$A18))/1000000),0),IF($A$2="PREMIUM",IFERROR(IF($X$1="ABS",(100*RTD("tos.rtd",,"VOLUME","."&amp;E$2&amp;E$1&amp;"C"&amp;$A18)*RTD("tos.rtd",,"LAST","."&amp;E$2&amp;E$1&amp;"C"&amp;$A18)+100*RTD("tos.rtd",,"VOLUME","."&amp;E$2&amp;E$1&amp;"P"&amp;$A18)*RTD("tos.rtd",,"LAST","."&amp;E$2&amp;E$1&amp;"P"&amp;$A18))/1000000,(100*RTD("tos.rtd",,"VOLUME","."&amp;E$2&amp;E$1&amp;"C"&amp;$A18)*RTD("tos.rtd",,"LAST","."&amp;E$2&amp;E$1&amp;"C"&amp;$A18)-100*RTD("tos.rtd",,"VOLUME","."&amp;E$2&amp;E$1&amp;"P"&amp;$A18)*RTD("tos.rtd",,"LAST","."&amp;E$2&amp;E$1&amp;"P"&amp;$A18))/1000000),0),IF($A$2="DEX",IFERROR(IF($X$1="ABS",(100*RTD("tos.rtd",,"OPEN_INT","."&amp;E$2&amp;E$1&amp;"C"&amp;$A18)*RTD("tos.rtd",,"DELTA","."&amp;E$2&amp;E$1&amp;"C"&amp;$A18)+100*RTD("tos.rtd",,"OPEN_INT","."&amp;E$2&amp;E$1&amp;"P"&amp;$A18)*RTD("tos.rtd",,"DELTA","."&amp;E$2&amp;E$1&amp;"P"&amp;$A18))/1000,(100*RTD("tos.rtd",,"OPEN_INT","."&amp;E$2&amp;E$1&amp;"C"&amp;$A18)*RTD("tos.rtd",,"DELTA","."&amp;E$2&amp;E$1&amp;"C"&amp;$A18)-100*RTD("tos.rtd",,"OPEN_INT","."&amp;E$2&amp;E$1&amp;"P"&amp;$A18)*RTD("tos.rtd",,"DELTA","."&amp;E$2&amp;E$1&amp;"P"&amp;$A18))/1000),0),IF($A$2="VEX",IFERROR(IF($X$1="ABS",($A$4*$A$4*RTD("tos.rtd",,"VOLUME","."&amp;E$2&amp;E$1&amp;"C"&amp;$A18)*RTD("tos.rtd",,"GAMMA","."&amp;E$2&amp;E$1&amp;"C"&amp;$A18)+$A$4*$A$4*RTD("tos.rtd",,"VOLUME","."&amp;E$2&amp;E$1&amp;"P"&amp;$A18)*RTD("tos.rtd",,"GAMMA","."&amp;E$2&amp;E$1&amp;"P"&amp;$A18))/1000000,($A$4*$A$4*RTD("tos.rtd",,"VOLUME","."&amp;E$2&amp;E$1&amp;"C"&amp;$A18)*RTD("tos.rtd",,"GAMMA","."&amp;E$2&amp;E$1&amp;"C"&amp;$A18)-$A$4*$A$4*RTD("tos.rtd",,"VOLUME","."&amp;E$2&amp;E$1&amp;"P"&amp;$A18)*RTD("tos.rtd",,"GAMMA","."&amp;E$2&amp;E$1&amp;"P"&amp;$A18))/1000000),0),IF($A$2="GEX",IFERROR(IF($X$1="ABS",($A$4*$A$4*RTD("tos.rtd",,"OPEN_INT","."&amp;E$2&amp;E$1&amp;"C"&amp;$A18)*RTD("tos.rtd",,"GAMMA","."&amp;E$2&amp;E$1&amp;"C"&amp;$A18)+$A$4*$A$4*RTD("tos.rtd",,"OPEN_INT","."&amp;E$2&amp;E$1&amp;"P"&amp;$A18)*RTD("tos.rtd",,"GAMMA","."&amp;E$2&amp;E$1&amp;"P"&amp;$A18))/1000000,($A$4*$A$4*RTD("tos.rtd",,"OPEN_INT","."&amp;E$2&amp;E$1&amp;"C"&amp;$A18)*RTD("tos.rtd",,"GAMMA","."&amp;E$2&amp;E$1&amp;"C"&amp;$A18)-$A$4*$A$4*RTD("tos.rtd",,"OPEN_INT","."&amp;E$2&amp;E$1&amp;"P"&amp;$A18)*RTD("tos.rtd",,"GAMMA","."&amp;E$2&amp;E$1&amp;"P"&amp;$A18))/1000000),0),IF($A$2="SKEW",IFERROR(VALUE(IF(RTD("tos.rtd",,"IMPL_VOL","."&amp;E$2&amp;E$1&amp;"P"&amp;$A18)="N/A",0,RTD("tos.rtd",,"IMPL_VOL","."&amp;E$2&amp;E$1&amp;"P"&amp;$A18))),0)-IFERROR(VALUE(IF(RTD("tos.rtd",,"IMPL_VOL","."&amp;E$2&amp;E$1&amp;"C"&amp;$A18)="N/A",0,RTD("tos.rtd",,"IMPL_VOL","."&amp;E$2&amp;E$1&amp;"C"&amp;$A18))),0),IF($A$2="MAXPAIN",IF($A$4&gt;$A18,($A$4-$A18)*IF(RTD("tos.rtd",,"OPEN_INT","."&amp;E$2&amp;E$1&amp;"C"&amp;$A18)="N/A",0,RTD("tos.rtd",,"OPEN_INT","."&amp;E$2&amp;E$1&amp;"C"&amp;$A18)),0)+IF($A$4&lt;$A18,($A$5-$A$4)*IF(RTD("tos.rtd",,"OPEN_INT","."&amp;E$2&amp;E$1&amp;"P"&amp;$A18)="N/A",0,RTD("tos.rtd",,"OPEN_INT","."&amp;E$2&amp;E$1&amp;"P"&amp;$A18)),0),IF($X$1="ABS",IF(RTD("tos.rtd",,$A$2,"."&amp;E$2&amp;E$1&amp;"C"&amp;$A18)="N/A",0,RTD("tos.rtd",,$A$2,"."&amp;E$2&amp;E$1&amp;"C"&amp;$A18))+IF(RTD("tos.rtd",,$A$2,"."&amp;E$2&amp;E$1&amp;"P"&amp;$A18)="N/A",0,RTD("tos.rtd",,$A$2,"."&amp;E$2&amp;E$1&amp;"P"&amp;$A18)),IF(RTD("tos.rtd",,$A$2,"."&amp;E$2&amp;E$1&amp;"C"&amp;$A18)="N/A",0,RTD("tos.rtd",,$A$2,"."&amp;E$2&amp;E$1&amp;"C"&amp;$A18))-IF(RTD("tos.rtd",,$A$2,"."&amp;E$2&amp;E$1&amp;"P"&amp;$A18)="N/A",0,RTD("tos.rtd",,$A$2,"."&amp;E$2&amp;E$1&amp;"P"&amp;$A18))))))))))</f>
        <v>0</v>
      </c>
      <c r="F18" s="12">
        <f ca="1">IF($A$2="PREMIUM_OI",IFERROR(IF($X$1="ABS",(100*RTD("tos.rtd",,"OPEN_INT","."&amp;F$2&amp;F$1&amp;"C"&amp;$A18)*RTD("tos.rtd",,"LAST","."&amp;F$2&amp;F$1&amp;"C"&amp;$A18)+100*RTD("tos.rtd",,"OPEN_INT","."&amp;F$2&amp;F$1&amp;"P"&amp;$A18)*RTD("tos.rtd",,"LAST","."&amp;F$2&amp;F$1&amp;"P"&amp;$A18))/1000000,(100*RTD("tos.rtd",,"OPEN_INT","."&amp;F$2&amp;F$1&amp;"C"&amp;$A18)*RTD("tos.rtd",,"LAST","."&amp;F$2&amp;F$1&amp;"C"&amp;$A18)-100*RTD("tos.rtd",,"OPEN_INT","."&amp;F$2&amp;F$1&amp;"P"&amp;$A18)*RTD("tos.rtd",,"LAST","."&amp;F$2&amp;F$1&amp;"P"&amp;$A18))/1000000),0),IF($A$2="PREMIUM",IFERROR(IF($X$1="ABS",(100*RTD("tos.rtd",,"VOLUME","."&amp;F$2&amp;F$1&amp;"C"&amp;$A18)*RTD("tos.rtd",,"LAST","."&amp;F$2&amp;F$1&amp;"C"&amp;$A18)+100*RTD("tos.rtd",,"VOLUME","."&amp;F$2&amp;F$1&amp;"P"&amp;$A18)*RTD("tos.rtd",,"LAST","."&amp;F$2&amp;F$1&amp;"P"&amp;$A18))/1000000,(100*RTD("tos.rtd",,"VOLUME","."&amp;F$2&amp;F$1&amp;"C"&amp;$A18)*RTD("tos.rtd",,"LAST","."&amp;F$2&amp;F$1&amp;"C"&amp;$A18)-100*RTD("tos.rtd",,"VOLUME","."&amp;F$2&amp;F$1&amp;"P"&amp;$A18)*RTD("tos.rtd",,"LAST","."&amp;F$2&amp;F$1&amp;"P"&amp;$A18))/1000000),0),IF($A$2="DEX",IFERROR(IF($X$1="ABS",(100*RTD("tos.rtd",,"OPEN_INT","."&amp;F$2&amp;F$1&amp;"C"&amp;$A18)*RTD("tos.rtd",,"DELTA","."&amp;F$2&amp;F$1&amp;"C"&amp;$A18)+100*RTD("tos.rtd",,"OPEN_INT","."&amp;F$2&amp;F$1&amp;"P"&amp;$A18)*RTD("tos.rtd",,"DELTA","."&amp;F$2&amp;F$1&amp;"P"&amp;$A18))/1000,(100*RTD("tos.rtd",,"OPEN_INT","."&amp;F$2&amp;F$1&amp;"C"&amp;$A18)*RTD("tos.rtd",,"DELTA","."&amp;F$2&amp;F$1&amp;"C"&amp;$A18)-100*RTD("tos.rtd",,"OPEN_INT","."&amp;F$2&amp;F$1&amp;"P"&amp;$A18)*RTD("tos.rtd",,"DELTA","."&amp;F$2&amp;F$1&amp;"P"&amp;$A18))/1000),0),IF($A$2="VEX",IFERROR(IF($X$1="ABS",($A$4*$A$4*RTD("tos.rtd",,"VOLUME","."&amp;F$2&amp;F$1&amp;"C"&amp;$A18)*RTD("tos.rtd",,"GAMMA","."&amp;F$2&amp;F$1&amp;"C"&amp;$A18)+$A$4*$A$4*RTD("tos.rtd",,"VOLUME","."&amp;F$2&amp;F$1&amp;"P"&amp;$A18)*RTD("tos.rtd",,"GAMMA","."&amp;F$2&amp;F$1&amp;"P"&amp;$A18))/1000000,($A$4*$A$4*RTD("tos.rtd",,"VOLUME","."&amp;F$2&amp;F$1&amp;"C"&amp;$A18)*RTD("tos.rtd",,"GAMMA","."&amp;F$2&amp;F$1&amp;"C"&amp;$A18)-$A$4*$A$4*RTD("tos.rtd",,"VOLUME","."&amp;F$2&amp;F$1&amp;"P"&amp;$A18)*RTD("tos.rtd",,"GAMMA","."&amp;F$2&amp;F$1&amp;"P"&amp;$A18))/1000000),0),IF($A$2="GEX",IFERROR(IF($X$1="ABS",($A$4*$A$4*RTD("tos.rtd",,"OPEN_INT","."&amp;F$2&amp;F$1&amp;"C"&amp;$A18)*RTD("tos.rtd",,"GAMMA","."&amp;F$2&amp;F$1&amp;"C"&amp;$A18)+$A$4*$A$4*RTD("tos.rtd",,"OPEN_INT","."&amp;F$2&amp;F$1&amp;"P"&amp;$A18)*RTD("tos.rtd",,"GAMMA","."&amp;F$2&amp;F$1&amp;"P"&amp;$A18))/1000000,($A$4*$A$4*RTD("tos.rtd",,"OPEN_INT","."&amp;F$2&amp;F$1&amp;"C"&amp;$A18)*RTD("tos.rtd",,"GAMMA","."&amp;F$2&amp;F$1&amp;"C"&amp;$A18)-$A$4*$A$4*RTD("tos.rtd",,"OPEN_INT","."&amp;F$2&amp;F$1&amp;"P"&amp;$A18)*RTD("tos.rtd",,"GAMMA","."&amp;F$2&amp;F$1&amp;"P"&amp;$A18))/1000000),0),IF($A$2="SKEW",IFERROR(VALUE(IF(RTD("tos.rtd",,"IMPL_VOL","."&amp;F$2&amp;F$1&amp;"P"&amp;$A18)="N/A",0,RTD("tos.rtd",,"IMPL_VOL","."&amp;F$2&amp;F$1&amp;"P"&amp;$A18))),0)-IFERROR(VALUE(IF(RTD("tos.rtd",,"IMPL_VOL","."&amp;F$2&amp;F$1&amp;"C"&amp;$A18)="N/A",0,RTD("tos.rtd",,"IMPL_VOL","."&amp;F$2&amp;F$1&amp;"C"&amp;$A18))),0),IF($A$2="MAXPAIN",IF($A$4&gt;$A18,($A$4-$A18)*IF(RTD("tos.rtd",,"OPEN_INT","."&amp;F$2&amp;F$1&amp;"C"&amp;$A18)="N/A",0,RTD("tos.rtd",,"OPEN_INT","."&amp;F$2&amp;F$1&amp;"C"&amp;$A18)),0)+IF($A$4&lt;$A18,($A$5-$A$4)*IF(RTD("tos.rtd",,"OPEN_INT","."&amp;F$2&amp;F$1&amp;"P"&amp;$A18)="N/A",0,RTD("tos.rtd",,"OPEN_INT","."&amp;F$2&amp;F$1&amp;"P"&amp;$A18)),0),IF($X$1="ABS",IF(RTD("tos.rtd",,$A$2,"."&amp;F$2&amp;F$1&amp;"C"&amp;$A18)="N/A",0,RTD("tos.rtd",,$A$2,"."&amp;F$2&amp;F$1&amp;"C"&amp;$A18))+IF(RTD("tos.rtd",,$A$2,"."&amp;F$2&amp;F$1&amp;"P"&amp;$A18)="N/A",0,RTD("tos.rtd",,$A$2,"."&amp;F$2&amp;F$1&amp;"P"&amp;$A18)),IF(RTD("tos.rtd",,$A$2,"."&amp;F$2&amp;F$1&amp;"C"&amp;$A18)="N/A",0,RTD("tos.rtd",,$A$2,"."&amp;F$2&amp;F$1&amp;"C"&amp;$A18))-IF(RTD("tos.rtd",,$A$2,"."&amp;F$2&amp;F$1&amp;"P"&amp;$A18)="N/A",0,RTD("tos.rtd",,$A$2,"."&amp;F$2&amp;F$1&amp;"P"&amp;$A18))))))))))</f>
        <v>0</v>
      </c>
      <c r="G18" s="54">
        <f ca="1">IF($A$2="PREMIUM_OI",IFERROR(IF($X$1="ABS",(100*RTD("tos.rtd",,"OPEN_INT","."&amp;G$2&amp;G$1&amp;"C"&amp;$A18)*RTD("tos.rtd",,"LAST","."&amp;G$2&amp;G$1&amp;"C"&amp;$A18)+100*RTD("tos.rtd",,"OPEN_INT","."&amp;G$2&amp;G$1&amp;"P"&amp;$A18)*RTD("tos.rtd",,"LAST","."&amp;G$2&amp;G$1&amp;"P"&amp;$A18))/1000000,(100*RTD("tos.rtd",,"OPEN_INT","."&amp;G$2&amp;G$1&amp;"C"&amp;$A18)*RTD("tos.rtd",,"LAST","."&amp;G$2&amp;G$1&amp;"C"&amp;$A18)-100*RTD("tos.rtd",,"OPEN_INT","."&amp;G$2&amp;G$1&amp;"P"&amp;$A18)*RTD("tos.rtd",,"LAST","."&amp;G$2&amp;G$1&amp;"P"&amp;$A18))/1000000),0),IF($A$2="PREMIUM",IFERROR(IF($X$1="ABS",(100*RTD("tos.rtd",,"VOLUME","."&amp;G$2&amp;G$1&amp;"C"&amp;$A18)*RTD("tos.rtd",,"LAST","."&amp;G$2&amp;G$1&amp;"C"&amp;$A18)+100*RTD("tos.rtd",,"VOLUME","."&amp;G$2&amp;G$1&amp;"P"&amp;$A18)*RTD("tos.rtd",,"LAST","."&amp;G$2&amp;G$1&amp;"P"&amp;$A18))/1000000,(100*RTD("tos.rtd",,"VOLUME","."&amp;G$2&amp;G$1&amp;"C"&amp;$A18)*RTD("tos.rtd",,"LAST","."&amp;G$2&amp;G$1&amp;"C"&amp;$A18)-100*RTD("tos.rtd",,"VOLUME","."&amp;G$2&amp;G$1&amp;"P"&amp;$A18)*RTD("tos.rtd",,"LAST","."&amp;G$2&amp;G$1&amp;"P"&amp;$A18))/1000000),0),IF($A$2="DEX",IFERROR(IF($X$1="ABS",(100*RTD("tos.rtd",,"OPEN_INT","."&amp;G$2&amp;G$1&amp;"C"&amp;$A18)*RTD("tos.rtd",,"DELTA","."&amp;G$2&amp;G$1&amp;"C"&amp;$A18)+100*RTD("tos.rtd",,"OPEN_INT","."&amp;G$2&amp;G$1&amp;"P"&amp;$A18)*RTD("tos.rtd",,"DELTA","."&amp;G$2&amp;G$1&amp;"P"&amp;$A18))/1000,(100*RTD("tos.rtd",,"OPEN_INT","."&amp;G$2&amp;G$1&amp;"C"&amp;$A18)*RTD("tos.rtd",,"DELTA","."&amp;G$2&amp;G$1&amp;"C"&amp;$A18)-100*RTD("tos.rtd",,"OPEN_INT","."&amp;G$2&amp;G$1&amp;"P"&amp;$A18)*RTD("tos.rtd",,"DELTA","."&amp;G$2&amp;G$1&amp;"P"&amp;$A18))/1000),0),IF($A$2="VEX",IFERROR(IF($X$1="ABS",($A$4*$A$4*RTD("tos.rtd",,"VOLUME","."&amp;G$2&amp;G$1&amp;"C"&amp;$A18)*RTD("tos.rtd",,"GAMMA","."&amp;G$2&amp;G$1&amp;"C"&amp;$A18)+$A$4*$A$4*RTD("tos.rtd",,"VOLUME","."&amp;G$2&amp;G$1&amp;"P"&amp;$A18)*RTD("tos.rtd",,"GAMMA","."&amp;G$2&amp;G$1&amp;"P"&amp;$A18))/1000000,($A$4*$A$4*RTD("tos.rtd",,"VOLUME","."&amp;G$2&amp;G$1&amp;"C"&amp;$A18)*RTD("tos.rtd",,"GAMMA","."&amp;G$2&amp;G$1&amp;"C"&amp;$A18)-$A$4*$A$4*RTD("tos.rtd",,"VOLUME","."&amp;G$2&amp;G$1&amp;"P"&amp;$A18)*RTD("tos.rtd",,"GAMMA","."&amp;G$2&amp;G$1&amp;"P"&amp;$A18))/1000000),0),IF($A$2="GEX",IFERROR(IF($X$1="ABS",($A$4*$A$4*RTD("tos.rtd",,"OPEN_INT","."&amp;G$2&amp;G$1&amp;"C"&amp;$A18)*RTD("tos.rtd",,"GAMMA","."&amp;G$2&amp;G$1&amp;"C"&amp;$A18)+$A$4*$A$4*RTD("tos.rtd",,"OPEN_INT","."&amp;G$2&amp;G$1&amp;"P"&amp;$A18)*RTD("tos.rtd",,"GAMMA","."&amp;G$2&amp;G$1&amp;"P"&amp;$A18))/1000000,($A$4*$A$4*RTD("tos.rtd",,"OPEN_INT","."&amp;G$2&amp;G$1&amp;"C"&amp;$A18)*RTD("tos.rtd",,"GAMMA","."&amp;G$2&amp;G$1&amp;"C"&amp;$A18)-$A$4*$A$4*RTD("tos.rtd",,"OPEN_INT","."&amp;G$2&amp;G$1&amp;"P"&amp;$A18)*RTD("tos.rtd",,"GAMMA","."&amp;G$2&amp;G$1&amp;"P"&amp;$A18))/1000000),0),IF($A$2="SKEW",IFERROR(VALUE(IF(RTD("tos.rtd",,"IMPL_VOL","."&amp;G$2&amp;G$1&amp;"P"&amp;$A18)="N/A",0,RTD("tos.rtd",,"IMPL_VOL","."&amp;G$2&amp;G$1&amp;"P"&amp;$A18))),0)-IFERROR(VALUE(IF(RTD("tos.rtd",,"IMPL_VOL","."&amp;G$2&amp;G$1&amp;"C"&amp;$A18)="N/A",0,RTD("tos.rtd",,"IMPL_VOL","."&amp;G$2&amp;G$1&amp;"C"&amp;$A18))),0),IF($A$2="MAXPAIN",IF($A$4&gt;$A18,($A$4-$A18)*IF(RTD("tos.rtd",,"OPEN_INT","."&amp;G$2&amp;G$1&amp;"C"&amp;$A18)="N/A",0,RTD("tos.rtd",,"OPEN_INT","."&amp;G$2&amp;G$1&amp;"C"&amp;$A18)),0)+IF($A$4&lt;$A18,($A$5-$A$4)*IF(RTD("tos.rtd",,"OPEN_INT","."&amp;G$2&amp;G$1&amp;"P"&amp;$A18)="N/A",0,RTD("tos.rtd",,"OPEN_INT","."&amp;G$2&amp;G$1&amp;"P"&amp;$A18)),0),IF($X$1="ABS",IF(RTD("tos.rtd",,$A$2,"."&amp;G$2&amp;G$1&amp;"C"&amp;$A18)="N/A",0,RTD("tos.rtd",,$A$2,"."&amp;G$2&amp;G$1&amp;"C"&amp;$A18))+IF(RTD("tos.rtd",,$A$2,"."&amp;G$2&amp;G$1&amp;"P"&amp;$A18)="N/A",0,RTD("tos.rtd",,$A$2,"."&amp;G$2&amp;G$1&amp;"P"&amp;$A18)),IF(RTD("tos.rtd",,$A$2,"."&amp;G$2&amp;G$1&amp;"C"&amp;$A18)="N/A",0,RTD("tos.rtd",,$A$2,"."&amp;G$2&amp;G$1&amp;"C"&amp;$A18))-IF(RTD("tos.rtd",,$A$2,"."&amp;G$2&amp;G$1&amp;"P"&amp;$A18)="N/A",0,RTD("tos.rtd",,$A$2,"."&amp;G$2&amp;G$1&amp;"P"&amp;$A18))))))))))</f>
        <v>0</v>
      </c>
      <c r="H18" s="14">
        <f ca="1">IF($A$2="PREMIUM_OI",IFERROR(IF($X$1="ABS",(100*RTD("tos.rtd",,"OPEN_INT","."&amp;H$2&amp;H$1&amp;"C"&amp;$A18)*RTD("tos.rtd",,"LAST","."&amp;H$2&amp;H$1&amp;"C"&amp;$A18)+100*RTD("tos.rtd",,"OPEN_INT","."&amp;H$2&amp;H$1&amp;"P"&amp;$A18)*RTD("tos.rtd",,"LAST","."&amp;H$2&amp;H$1&amp;"P"&amp;$A18))/1000000,(100*RTD("tos.rtd",,"OPEN_INT","."&amp;H$2&amp;H$1&amp;"C"&amp;$A18)*RTD("tos.rtd",,"LAST","."&amp;H$2&amp;H$1&amp;"C"&amp;$A18)-100*RTD("tos.rtd",,"OPEN_INT","."&amp;H$2&amp;H$1&amp;"P"&amp;$A18)*RTD("tos.rtd",,"LAST","."&amp;H$2&amp;H$1&amp;"P"&amp;$A18))/1000000),0),IF($A$2="PREMIUM",IFERROR(IF($X$1="ABS",(100*RTD("tos.rtd",,"VOLUME","."&amp;H$2&amp;H$1&amp;"C"&amp;$A18)*RTD("tos.rtd",,"LAST","."&amp;H$2&amp;H$1&amp;"C"&amp;$A18)+100*RTD("tos.rtd",,"VOLUME","."&amp;H$2&amp;H$1&amp;"P"&amp;$A18)*RTD("tos.rtd",,"LAST","."&amp;H$2&amp;H$1&amp;"P"&amp;$A18))/1000000,(100*RTD("tos.rtd",,"VOLUME","."&amp;H$2&amp;H$1&amp;"C"&amp;$A18)*RTD("tos.rtd",,"LAST","."&amp;H$2&amp;H$1&amp;"C"&amp;$A18)-100*RTD("tos.rtd",,"VOLUME","."&amp;H$2&amp;H$1&amp;"P"&amp;$A18)*RTD("tos.rtd",,"LAST","."&amp;H$2&amp;H$1&amp;"P"&amp;$A18))/1000000),0),IF($A$2="DEX",IFERROR(IF($X$1="ABS",(100*RTD("tos.rtd",,"OPEN_INT","."&amp;H$2&amp;H$1&amp;"C"&amp;$A18)*RTD("tos.rtd",,"DELTA","."&amp;H$2&amp;H$1&amp;"C"&amp;$A18)+100*RTD("tos.rtd",,"OPEN_INT","."&amp;H$2&amp;H$1&amp;"P"&amp;$A18)*RTD("tos.rtd",,"DELTA","."&amp;H$2&amp;H$1&amp;"P"&amp;$A18))/1000,(100*RTD("tos.rtd",,"OPEN_INT","."&amp;H$2&amp;H$1&amp;"C"&amp;$A18)*RTD("tos.rtd",,"DELTA","."&amp;H$2&amp;H$1&amp;"C"&amp;$A18)-100*RTD("tos.rtd",,"OPEN_INT","."&amp;H$2&amp;H$1&amp;"P"&amp;$A18)*RTD("tos.rtd",,"DELTA","."&amp;H$2&amp;H$1&amp;"P"&amp;$A18))/1000),0),IF($A$2="VEX",IFERROR(IF($X$1="ABS",($A$4*$A$4*RTD("tos.rtd",,"VOLUME","."&amp;H$2&amp;H$1&amp;"C"&amp;$A18)*RTD("tos.rtd",,"GAMMA","."&amp;H$2&amp;H$1&amp;"C"&amp;$A18)+$A$4*$A$4*RTD("tos.rtd",,"VOLUME","."&amp;H$2&amp;H$1&amp;"P"&amp;$A18)*RTD("tos.rtd",,"GAMMA","."&amp;H$2&amp;H$1&amp;"P"&amp;$A18))/1000000,($A$4*$A$4*RTD("tos.rtd",,"VOLUME","."&amp;H$2&amp;H$1&amp;"C"&amp;$A18)*RTD("tos.rtd",,"GAMMA","."&amp;H$2&amp;H$1&amp;"C"&amp;$A18)-$A$4*$A$4*RTD("tos.rtd",,"VOLUME","."&amp;H$2&amp;H$1&amp;"P"&amp;$A18)*RTD("tos.rtd",,"GAMMA","."&amp;H$2&amp;H$1&amp;"P"&amp;$A18))/1000000),0),IF($A$2="GEX",IFERROR(IF($X$1="ABS",($A$4*$A$4*RTD("tos.rtd",,"OPEN_INT","."&amp;H$2&amp;H$1&amp;"C"&amp;$A18)*RTD("tos.rtd",,"GAMMA","."&amp;H$2&amp;H$1&amp;"C"&amp;$A18)+$A$4*$A$4*RTD("tos.rtd",,"OPEN_INT","."&amp;H$2&amp;H$1&amp;"P"&amp;$A18)*RTD("tos.rtd",,"GAMMA","."&amp;H$2&amp;H$1&amp;"P"&amp;$A18))/1000000,($A$4*$A$4*RTD("tos.rtd",,"OPEN_INT","."&amp;H$2&amp;H$1&amp;"C"&amp;$A18)*RTD("tos.rtd",,"GAMMA","."&amp;H$2&amp;H$1&amp;"C"&amp;$A18)-$A$4*$A$4*RTD("tos.rtd",,"OPEN_INT","."&amp;H$2&amp;H$1&amp;"P"&amp;$A18)*RTD("tos.rtd",,"GAMMA","."&amp;H$2&amp;H$1&amp;"P"&amp;$A18))/1000000),0),IF($A$2="SKEW",IFERROR(VALUE(IF(RTD("tos.rtd",,"IMPL_VOL","."&amp;H$2&amp;H$1&amp;"P"&amp;$A18)="N/A",0,RTD("tos.rtd",,"IMPL_VOL","."&amp;H$2&amp;H$1&amp;"P"&amp;$A18))),0)-IFERROR(VALUE(IF(RTD("tos.rtd",,"IMPL_VOL","."&amp;H$2&amp;H$1&amp;"C"&amp;$A18)="N/A",0,RTD("tos.rtd",,"IMPL_VOL","."&amp;H$2&amp;H$1&amp;"C"&amp;$A18))),0),IF($A$2="MAXPAIN",IF($A$4&gt;$A18,($A$4-$A18)*IF(RTD("tos.rtd",,"OPEN_INT","."&amp;H$2&amp;H$1&amp;"C"&amp;$A18)="N/A",0,RTD("tos.rtd",,"OPEN_INT","."&amp;H$2&amp;H$1&amp;"C"&amp;$A18)),0)+IF($A$4&lt;$A18,($A$5-$A$4)*IF(RTD("tos.rtd",,"OPEN_INT","."&amp;H$2&amp;H$1&amp;"P"&amp;$A18)="N/A",0,RTD("tos.rtd",,"OPEN_INT","."&amp;H$2&amp;H$1&amp;"P"&amp;$A18)),0),IF($X$1="ABS",IF(RTD("tos.rtd",,$A$2,"."&amp;H$2&amp;H$1&amp;"C"&amp;$A18)="N/A",0,RTD("tos.rtd",,$A$2,"."&amp;H$2&amp;H$1&amp;"C"&amp;$A18))+IF(RTD("tos.rtd",,$A$2,"."&amp;H$2&amp;H$1&amp;"P"&amp;$A18)="N/A",0,RTD("tos.rtd",,$A$2,"."&amp;H$2&amp;H$1&amp;"P"&amp;$A18)),IF(RTD("tos.rtd",,$A$2,"."&amp;H$2&amp;H$1&amp;"C"&amp;$A18)="N/A",0,RTD("tos.rtd",,$A$2,"."&amp;H$2&amp;H$1&amp;"C"&amp;$A18))-IF(RTD("tos.rtd",,$A$2,"."&amp;H$2&amp;H$1&amp;"P"&amp;$A18)="N/A",0,RTD("tos.rtd",,$A$2,"."&amp;H$2&amp;H$1&amp;"P"&amp;$A18))))))))))</f>
        <v>0</v>
      </c>
      <c r="I18" s="12">
        <f ca="1">IF($A$2="PREMIUM_OI",IFERROR(IF($X$1="ABS",(100*RTD("tos.rtd",,"OPEN_INT","."&amp;I$2&amp;I$1&amp;"C"&amp;$A18)*RTD("tos.rtd",,"LAST","."&amp;I$2&amp;I$1&amp;"C"&amp;$A18)+100*RTD("tos.rtd",,"OPEN_INT","."&amp;I$2&amp;I$1&amp;"P"&amp;$A18)*RTD("tos.rtd",,"LAST","."&amp;I$2&amp;I$1&amp;"P"&amp;$A18))/1000000,(100*RTD("tos.rtd",,"OPEN_INT","."&amp;I$2&amp;I$1&amp;"C"&amp;$A18)*RTD("tos.rtd",,"LAST","."&amp;I$2&amp;I$1&amp;"C"&amp;$A18)-100*RTD("tos.rtd",,"OPEN_INT","."&amp;I$2&amp;I$1&amp;"P"&amp;$A18)*RTD("tos.rtd",,"LAST","."&amp;I$2&amp;I$1&amp;"P"&amp;$A18))/1000000),0),IF($A$2="PREMIUM",IFERROR(IF($X$1="ABS",(100*RTD("tos.rtd",,"VOLUME","."&amp;I$2&amp;I$1&amp;"C"&amp;$A18)*RTD("tos.rtd",,"LAST","."&amp;I$2&amp;I$1&amp;"C"&amp;$A18)+100*RTD("tos.rtd",,"VOLUME","."&amp;I$2&amp;I$1&amp;"P"&amp;$A18)*RTD("tos.rtd",,"LAST","."&amp;I$2&amp;I$1&amp;"P"&amp;$A18))/1000000,(100*RTD("tos.rtd",,"VOLUME","."&amp;I$2&amp;I$1&amp;"C"&amp;$A18)*RTD("tos.rtd",,"LAST","."&amp;I$2&amp;I$1&amp;"C"&amp;$A18)-100*RTD("tos.rtd",,"VOLUME","."&amp;I$2&amp;I$1&amp;"P"&amp;$A18)*RTD("tos.rtd",,"LAST","."&amp;I$2&amp;I$1&amp;"P"&amp;$A18))/1000000),0),IF($A$2="DEX",IFERROR(IF($X$1="ABS",(100*RTD("tos.rtd",,"OPEN_INT","."&amp;I$2&amp;I$1&amp;"C"&amp;$A18)*RTD("tos.rtd",,"DELTA","."&amp;I$2&amp;I$1&amp;"C"&amp;$A18)+100*RTD("tos.rtd",,"OPEN_INT","."&amp;I$2&amp;I$1&amp;"P"&amp;$A18)*RTD("tos.rtd",,"DELTA","."&amp;I$2&amp;I$1&amp;"P"&amp;$A18))/1000,(100*RTD("tos.rtd",,"OPEN_INT","."&amp;I$2&amp;I$1&amp;"C"&amp;$A18)*RTD("tos.rtd",,"DELTA","."&amp;I$2&amp;I$1&amp;"C"&amp;$A18)-100*RTD("tos.rtd",,"OPEN_INT","."&amp;I$2&amp;I$1&amp;"P"&amp;$A18)*RTD("tos.rtd",,"DELTA","."&amp;I$2&amp;I$1&amp;"P"&amp;$A18))/1000),0),IF($A$2="VEX",IFERROR(IF($X$1="ABS",($A$4*$A$4*RTD("tos.rtd",,"VOLUME","."&amp;I$2&amp;I$1&amp;"C"&amp;$A18)*RTD("tos.rtd",,"GAMMA","."&amp;I$2&amp;I$1&amp;"C"&amp;$A18)+$A$4*$A$4*RTD("tos.rtd",,"VOLUME","."&amp;I$2&amp;I$1&amp;"P"&amp;$A18)*RTD("tos.rtd",,"GAMMA","."&amp;I$2&amp;I$1&amp;"P"&amp;$A18))/1000000,($A$4*$A$4*RTD("tos.rtd",,"VOLUME","."&amp;I$2&amp;I$1&amp;"C"&amp;$A18)*RTD("tos.rtd",,"GAMMA","."&amp;I$2&amp;I$1&amp;"C"&amp;$A18)-$A$4*$A$4*RTD("tos.rtd",,"VOLUME","."&amp;I$2&amp;I$1&amp;"P"&amp;$A18)*RTD("tos.rtd",,"GAMMA","."&amp;I$2&amp;I$1&amp;"P"&amp;$A18))/1000000),0),IF($A$2="GEX",IFERROR(IF($X$1="ABS",($A$4*$A$4*RTD("tos.rtd",,"OPEN_INT","."&amp;I$2&amp;I$1&amp;"C"&amp;$A18)*RTD("tos.rtd",,"GAMMA","."&amp;I$2&amp;I$1&amp;"C"&amp;$A18)+$A$4*$A$4*RTD("tos.rtd",,"OPEN_INT","."&amp;I$2&amp;I$1&amp;"P"&amp;$A18)*RTD("tos.rtd",,"GAMMA","."&amp;I$2&amp;I$1&amp;"P"&amp;$A18))/1000000,($A$4*$A$4*RTD("tos.rtd",,"OPEN_INT","."&amp;I$2&amp;I$1&amp;"C"&amp;$A18)*RTD("tos.rtd",,"GAMMA","."&amp;I$2&amp;I$1&amp;"C"&amp;$A18)-$A$4*$A$4*RTD("tos.rtd",,"OPEN_INT","."&amp;I$2&amp;I$1&amp;"P"&amp;$A18)*RTD("tos.rtd",,"GAMMA","."&amp;I$2&amp;I$1&amp;"P"&amp;$A18))/1000000),0),IF($A$2="SKEW",IFERROR(VALUE(IF(RTD("tos.rtd",,"IMPL_VOL","."&amp;I$2&amp;I$1&amp;"P"&amp;$A18)="N/A",0,RTD("tos.rtd",,"IMPL_VOL","."&amp;I$2&amp;I$1&amp;"P"&amp;$A18))),0)-IFERROR(VALUE(IF(RTD("tos.rtd",,"IMPL_VOL","."&amp;I$2&amp;I$1&amp;"C"&amp;$A18)="N/A",0,RTD("tos.rtd",,"IMPL_VOL","."&amp;I$2&amp;I$1&amp;"C"&amp;$A18))),0),IF($A$2="MAXPAIN",IF($A$4&gt;$A18,($A$4-$A18)*IF(RTD("tos.rtd",,"OPEN_INT","."&amp;I$2&amp;I$1&amp;"C"&amp;$A18)="N/A",0,RTD("tos.rtd",,"OPEN_INT","."&amp;I$2&amp;I$1&amp;"C"&amp;$A18)),0)+IF($A$4&lt;$A18,($A$5-$A$4)*IF(RTD("tos.rtd",,"OPEN_INT","."&amp;I$2&amp;I$1&amp;"P"&amp;$A18)="N/A",0,RTD("tos.rtd",,"OPEN_INT","."&amp;I$2&amp;I$1&amp;"P"&amp;$A18)),0),IF($X$1="ABS",IF(RTD("tos.rtd",,$A$2,"."&amp;I$2&amp;I$1&amp;"C"&amp;$A18)="N/A",0,RTD("tos.rtd",,$A$2,"."&amp;I$2&amp;I$1&amp;"C"&amp;$A18))+IF(RTD("tos.rtd",,$A$2,"."&amp;I$2&amp;I$1&amp;"P"&amp;$A18)="N/A",0,RTD("tos.rtd",,$A$2,"."&amp;I$2&amp;I$1&amp;"P"&amp;$A18)),IF(RTD("tos.rtd",,$A$2,"."&amp;I$2&amp;I$1&amp;"C"&amp;$A18)="N/A",0,RTD("tos.rtd",,$A$2,"."&amp;I$2&amp;I$1&amp;"C"&amp;$A18))-IF(RTD("tos.rtd",,$A$2,"."&amp;I$2&amp;I$1&amp;"P"&amp;$A18)="N/A",0,RTD("tos.rtd",,$A$2,"."&amp;I$2&amp;I$1&amp;"P"&amp;$A18))))))))))</f>
        <v>0</v>
      </c>
      <c r="J18" s="12">
        <f ca="1">IF($A$2="PREMIUM_OI",IFERROR(IF($X$1="ABS",(100*RTD("tos.rtd",,"OPEN_INT","."&amp;J$2&amp;J$1&amp;"C"&amp;$A18)*RTD("tos.rtd",,"LAST","."&amp;J$2&amp;J$1&amp;"C"&amp;$A18)+100*RTD("tos.rtd",,"OPEN_INT","."&amp;J$2&amp;J$1&amp;"P"&amp;$A18)*RTD("tos.rtd",,"LAST","."&amp;J$2&amp;J$1&amp;"P"&amp;$A18))/1000000,(100*RTD("tos.rtd",,"OPEN_INT","."&amp;J$2&amp;J$1&amp;"C"&amp;$A18)*RTD("tos.rtd",,"LAST","."&amp;J$2&amp;J$1&amp;"C"&amp;$A18)-100*RTD("tos.rtd",,"OPEN_INT","."&amp;J$2&amp;J$1&amp;"P"&amp;$A18)*RTD("tos.rtd",,"LAST","."&amp;J$2&amp;J$1&amp;"P"&amp;$A18))/1000000),0),IF($A$2="PREMIUM",IFERROR(IF($X$1="ABS",(100*RTD("tos.rtd",,"VOLUME","."&amp;J$2&amp;J$1&amp;"C"&amp;$A18)*RTD("tos.rtd",,"LAST","."&amp;J$2&amp;J$1&amp;"C"&amp;$A18)+100*RTD("tos.rtd",,"VOLUME","."&amp;J$2&amp;J$1&amp;"P"&amp;$A18)*RTD("tos.rtd",,"LAST","."&amp;J$2&amp;J$1&amp;"P"&amp;$A18))/1000000,(100*RTD("tos.rtd",,"VOLUME","."&amp;J$2&amp;J$1&amp;"C"&amp;$A18)*RTD("tos.rtd",,"LAST","."&amp;J$2&amp;J$1&amp;"C"&amp;$A18)-100*RTD("tos.rtd",,"VOLUME","."&amp;J$2&amp;J$1&amp;"P"&amp;$A18)*RTD("tos.rtd",,"LAST","."&amp;J$2&amp;J$1&amp;"P"&amp;$A18))/1000000),0),IF($A$2="DEX",IFERROR(IF($X$1="ABS",(100*RTD("tos.rtd",,"OPEN_INT","."&amp;J$2&amp;J$1&amp;"C"&amp;$A18)*RTD("tos.rtd",,"DELTA","."&amp;J$2&amp;J$1&amp;"C"&amp;$A18)+100*RTD("tos.rtd",,"OPEN_INT","."&amp;J$2&amp;J$1&amp;"P"&amp;$A18)*RTD("tos.rtd",,"DELTA","."&amp;J$2&amp;J$1&amp;"P"&amp;$A18))/1000,(100*RTD("tos.rtd",,"OPEN_INT","."&amp;J$2&amp;J$1&amp;"C"&amp;$A18)*RTD("tos.rtd",,"DELTA","."&amp;J$2&amp;J$1&amp;"C"&amp;$A18)-100*RTD("tos.rtd",,"OPEN_INT","."&amp;J$2&amp;J$1&amp;"P"&amp;$A18)*RTD("tos.rtd",,"DELTA","."&amp;J$2&amp;J$1&amp;"P"&amp;$A18))/1000),0),IF($A$2="VEX",IFERROR(IF($X$1="ABS",($A$4*$A$4*RTD("tos.rtd",,"VOLUME","."&amp;J$2&amp;J$1&amp;"C"&amp;$A18)*RTD("tos.rtd",,"GAMMA","."&amp;J$2&amp;J$1&amp;"C"&amp;$A18)+$A$4*$A$4*RTD("tos.rtd",,"VOLUME","."&amp;J$2&amp;J$1&amp;"P"&amp;$A18)*RTD("tos.rtd",,"GAMMA","."&amp;J$2&amp;J$1&amp;"P"&amp;$A18))/1000000,($A$4*$A$4*RTD("tos.rtd",,"VOLUME","."&amp;J$2&amp;J$1&amp;"C"&amp;$A18)*RTD("tos.rtd",,"GAMMA","."&amp;J$2&amp;J$1&amp;"C"&amp;$A18)-$A$4*$A$4*RTD("tos.rtd",,"VOLUME","."&amp;J$2&amp;J$1&amp;"P"&amp;$A18)*RTD("tos.rtd",,"GAMMA","."&amp;J$2&amp;J$1&amp;"P"&amp;$A18))/1000000),0),IF($A$2="GEX",IFERROR(IF($X$1="ABS",($A$4*$A$4*RTD("tos.rtd",,"OPEN_INT","."&amp;J$2&amp;J$1&amp;"C"&amp;$A18)*RTD("tos.rtd",,"GAMMA","."&amp;J$2&amp;J$1&amp;"C"&amp;$A18)+$A$4*$A$4*RTD("tos.rtd",,"OPEN_INT","."&amp;J$2&amp;J$1&amp;"P"&amp;$A18)*RTD("tos.rtd",,"GAMMA","."&amp;J$2&amp;J$1&amp;"P"&amp;$A18))/1000000,($A$4*$A$4*RTD("tos.rtd",,"OPEN_INT","."&amp;J$2&amp;J$1&amp;"C"&amp;$A18)*RTD("tos.rtd",,"GAMMA","."&amp;J$2&amp;J$1&amp;"C"&amp;$A18)-$A$4*$A$4*RTD("tos.rtd",,"OPEN_INT","."&amp;J$2&amp;J$1&amp;"P"&amp;$A18)*RTD("tos.rtd",,"GAMMA","."&amp;J$2&amp;J$1&amp;"P"&amp;$A18))/1000000),0),IF($A$2="SKEW",IFERROR(VALUE(IF(RTD("tos.rtd",,"IMPL_VOL","."&amp;J$2&amp;J$1&amp;"P"&amp;$A18)="N/A",0,RTD("tos.rtd",,"IMPL_VOL","."&amp;J$2&amp;J$1&amp;"P"&amp;$A18))),0)-IFERROR(VALUE(IF(RTD("tos.rtd",,"IMPL_VOL","."&amp;J$2&amp;J$1&amp;"C"&amp;$A18)="N/A",0,RTD("tos.rtd",,"IMPL_VOL","."&amp;J$2&amp;J$1&amp;"C"&amp;$A18))),0),IF($A$2="MAXPAIN",IF($A$4&gt;$A18,($A$4-$A18)*IF(RTD("tos.rtd",,"OPEN_INT","."&amp;J$2&amp;J$1&amp;"C"&amp;$A18)="N/A",0,RTD("tos.rtd",,"OPEN_INT","."&amp;J$2&amp;J$1&amp;"C"&amp;$A18)),0)+IF($A$4&lt;$A18,($A$5-$A$4)*IF(RTD("tos.rtd",,"OPEN_INT","."&amp;J$2&amp;J$1&amp;"P"&amp;$A18)="N/A",0,RTD("tos.rtd",,"OPEN_INT","."&amp;J$2&amp;J$1&amp;"P"&amp;$A18)),0),IF($X$1="ABS",IF(RTD("tos.rtd",,$A$2,"."&amp;J$2&amp;J$1&amp;"C"&amp;$A18)="N/A",0,RTD("tos.rtd",,$A$2,"."&amp;J$2&amp;J$1&amp;"C"&amp;$A18))+IF(RTD("tos.rtd",,$A$2,"."&amp;J$2&amp;J$1&amp;"P"&amp;$A18)="N/A",0,RTD("tos.rtd",,$A$2,"."&amp;J$2&amp;J$1&amp;"P"&amp;$A18)),IF(RTD("tos.rtd",,$A$2,"."&amp;J$2&amp;J$1&amp;"C"&amp;$A18)="N/A",0,RTD("tos.rtd",,$A$2,"."&amp;J$2&amp;J$1&amp;"C"&amp;$A18))-IF(RTD("tos.rtd",,$A$2,"."&amp;J$2&amp;J$1&amp;"P"&amp;$A18)="N/A",0,RTD("tos.rtd",,$A$2,"."&amp;J$2&amp;J$1&amp;"P"&amp;$A18))))))))))</f>
        <v>0</v>
      </c>
      <c r="K18" s="12">
        <f ca="1">IF($A$2="PREMIUM_OI",IFERROR(IF($X$1="ABS",(100*RTD("tos.rtd",,"OPEN_INT","."&amp;K$2&amp;K$1&amp;"C"&amp;$A18)*RTD("tos.rtd",,"LAST","."&amp;K$2&amp;K$1&amp;"C"&amp;$A18)+100*RTD("tos.rtd",,"OPEN_INT","."&amp;K$2&amp;K$1&amp;"P"&amp;$A18)*RTD("tos.rtd",,"LAST","."&amp;K$2&amp;K$1&amp;"P"&amp;$A18))/1000000,(100*RTD("tos.rtd",,"OPEN_INT","."&amp;K$2&amp;K$1&amp;"C"&amp;$A18)*RTD("tos.rtd",,"LAST","."&amp;K$2&amp;K$1&amp;"C"&amp;$A18)-100*RTD("tos.rtd",,"OPEN_INT","."&amp;K$2&amp;K$1&amp;"P"&amp;$A18)*RTD("tos.rtd",,"LAST","."&amp;K$2&amp;K$1&amp;"P"&amp;$A18))/1000000),0),IF($A$2="PREMIUM",IFERROR(IF($X$1="ABS",(100*RTD("tos.rtd",,"VOLUME","."&amp;K$2&amp;K$1&amp;"C"&amp;$A18)*RTD("tos.rtd",,"LAST","."&amp;K$2&amp;K$1&amp;"C"&amp;$A18)+100*RTD("tos.rtd",,"VOLUME","."&amp;K$2&amp;K$1&amp;"P"&amp;$A18)*RTD("tos.rtd",,"LAST","."&amp;K$2&amp;K$1&amp;"P"&amp;$A18))/1000000,(100*RTD("tos.rtd",,"VOLUME","."&amp;K$2&amp;K$1&amp;"C"&amp;$A18)*RTD("tos.rtd",,"LAST","."&amp;K$2&amp;K$1&amp;"C"&amp;$A18)-100*RTD("tos.rtd",,"VOLUME","."&amp;K$2&amp;K$1&amp;"P"&amp;$A18)*RTD("tos.rtd",,"LAST","."&amp;K$2&amp;K$1&amp;"P"&amp;$A18))/1000000),0),IF($A$2="DEX",IFERROR(IF($X$1="ABS",(100*RTD("tos.rtd",,"OPEN_INT","."&amp;K$2&amp;K$1&amp;"C"&amp;$A18)*RTD("tos.rtd",,"DELTA","."&amp;K$2&amp;K$1&amp;"C"&amp;$A18)+100*RTD("tos.rtd",,"OPEN_INT","."&amp;K$2&amp;K$1&amp;"P"&amp;$A18)*RTD("tos.rtd",,"DELTA","."&amp;K$2&amp;K$1&amp;"P"&amp;$A18))/1000,(100*RTD("tos.rtd",,"OPEN_INT","."&amp;K$2&amp;K$1&amp;"C"&amp;$A18)*RTD("tos.rtd",,"DELTA","."&amp;K$2&amp;K$1&amp;"C"&amp;$A18)-100*RTD("tos.rtd",,"OPEN_INT","."&amp;K$2&amp;K$1&amp;"P"&amp;$A18)*RTD("tos.rtd",,"DELTA","."&amp;K$2&amp;K$1&amp;"P"&amp;$A18))/1000),0),IF($A$2="VEX",IFERROR(IF($X$1="ABS",($A$4*$A$4*RTD("tos.rtd",,"VOLUME","."&amp;K$2&amp;K$1&amp;"C"&amp;$A18)*RTD("tos.rtd",,"GAMMA","."&amp;K$2&amp;K$1&amp;"C"&amp;$A18)+$A$4*$A$4*RTD("tos.rtd",,"VOLUME","."&amp;K$2&amp;K$1&amp;"P"&amp;$A18)*RTD("tos.rtd",,"GAMMA","."&amp;K$2&amp;K$1&amp;"P"&amp;$A18))/1000000,($A$4*$A$4*RTD("tos.rtd",,"VOLUME","."&amp;K$2&amp;K$1&amp;"C"&amp;$A18)*RTD("tos.rtd",,"GAMMA","."&amp;K$2&amp;K$1&amp;"C"&amp;$A18)-$A$4*$A$4*RTD("tos.rtd",,"VOLUME","."&amp;K$2&amp;K$1&amp;"P"&amp;$A18)*RTD("tos.rtd",,"GAMMA","."&amp;K$2&amp;K$1&amp;"P"&amp;$A18))/1000000),0),IF($A$2="GEX",IFERROR(IF($X$1="ABS",($A$4*$A$4*RTD("tos.rtd",,"OPEN_INT","."&amp;K$2&amp;K$1&amp;"C"&amp;$A18)*RTD("tos.rtd",,"GAMMA","."&amp;K$2&amp;K$1&amp;"C"&amp;$A18)+$A$4*$A$4*RTD("tos.rtd",,"OPEN_INT","."&amp;K$2&amp;K$1&amp;"P"&amp;$A18)*RTD("tos.rtd",,"GAMMA","."&amp;K$2&amp;K$1&amp;"P"&amp;$A18))/1000000,($A$4*$A$4*RTD("tos.rtd",,"OPEN_INT","."&amp;K$2&amp;K$1&amp;"C"&amp;$A18)*RTD("tos.rtd",,"GAMMA","."&amp;K$2&amp;K$1&amp;"C"&amp;$A18)-$A$4*$A$4*RTD("tos.rtd",,"OPEN_INT","."&amp;K$2&amp;K$1&amp;"P"&amp;$A18)*RTD("tos.rtd",,"GAMMA","."&amp;K$2&amp;K$1&amp;"P"&amp;$A18))/1000000),0),IF($A$2="SKEW",IFERROR(VALUE(IF(RTD("tos.rtd",,"IMPL_VOL","."&amp;K$2&amp;K$1&amp;"P"&amp;$A18)="N/A",0,RTD("tos.rtd",,"IMPL_VOL","."&amp;K$2&amp;K$1&amp;"P"&amp;$A18))),0)-IFERROR(VALUE(IF(RTD("tos.rtd",,"IMPL_VOL","."&amp;K$2&amp;K$1&amp;"C"&amp;$A18)="N/A",0,RTD("tos.rtd",,"IMPL_VOL","."&amp;K$2&amp;K$1&amp;"C"&amp;$A18))),0),IF($A$2="MAXPAIN",IF($A$4&gt;$A18,($A$4-$A18)*IF(RTD("tos.rtd",,"OPEN_INT","."&amp;K$2&amp;K$1&amp;"C"&amp;$A18)="N/A",0,RTD("tos.rtd",,"OPEN_INT","."&amp;K$2&amp;K$1&amp;"C"&amp;$A18)),0)+IF($A$4&lt;$A18,($A$5-$A$4)*IF(RTD("tos.rtd",,"OPEN_INT","."&amp;K$2&amp;K$1&amp;"P"&amp;$A18)="N/A",0,RTD("tos.rtd",,"OPEN_INT","."&amp;K$2&amp;K$1&amp;"P"&amp;$A18)),0),IF($X$1="ABS",IF(RTD("tos.rtd",,$A$2,"."&amp;K$2&amp;K$1&amp;"C"&amp;$A18)="N/A",0,RTD("tos.rtd",,$A$2,"."&amp;K$2&amp;K$1&amp;"C"&amp;$A18))+IF(RTD("tos.rtd",,$A$2,"."&amp;K$2&amp;K$1&amp;"P"&amp;$A18)="N/A",0,RTD("tos.rtd",,$A$2,"."&amp;K$2&amp;K$1&amp;"P"&amp;$A18)),IF(RTD("tos.rtd",,$A$2,"."&amp;K$2&amp;K$1&amp;"C"&amp;$A18)="N/A",0,RTD("tos.rtd",,$A$2,"."&amp;K$2&amp;K$1&amp;"C"&amp;$A18))-IF(RTD("tos.rtd",,$A$2,"."&amp;K$2&amp;K$1&amp;"P"&amp;$A18)="N/A",0,RTD("tos.rtd",,$A$2,"."&amp;K$2&amp;K$1&amp;"P"&amp;$A18))))))))))</f>
        <v>0</v>
      </c>
      <c r="L18" s="54">
        <f ca="1">IF($A$2="PREMIUM_OI",IFERROR(IF($X$1="ABS",(100*RTD("tos.rtd",,"OPEN_INT","."&amp;L$2&amp;L$1&amp;"C"&amp;$A18)*RTD("tos.rtd",,"LAST","."&amp;L$2&amp;L$1&amp;"C"&amp;$A18)+100*RTD("tos.rtd",,"OPEN_INT","."&amp;L$2&amp;L$1&amp;"P"&amp;$A18)*RTD("tos.rtd",,"LAST","."&amp;L$2&amp;L$1&amp;"P"&amp;$A18))/1000000,(100*RTD("tos.rtd",,"OPEN_INT","."&amp;L$2&amp;L$1&amp;"C"&amp;$A18)*RTD("tos.rtd",,"LAST","."&amp;L$2&amp;L$1&amp;"C"&amp;$A18)-100*RTD("tos.rtd",,"OPEN_INT","."&amp;L$2&amp;L$1&amp;"P"&amp;$A18)*RTD("tos.rtd",,"LAST","."&amp;L$2&amp;L$1&amp;"P"&amp;$A18))/1000000),0),IF($A$2="PREMIUM",IFERROR(IF($X$1="ABS",(100*RTD("tos.rtd",,"VOLUME","."&amp;L$2&amp;L$1&amp;"C"&amp;$A18)*RTD("tos.rtd",,"LAST","."&amp;L$2&amp;L$1&amp;"C"&amp;$A18)+100*RTD("tos.rtd",,"VOLUME","."&amp;L$2&amp;L$1&amp;"P"&amp;$A18)*RTD("tos.rtd",,"LAST","."&amp;L$2&amp;L$1&amp;"P"&amp;$A18))/1000000,(100*RTD("tos.rtd",,"VOLUME","."&amp;L$2&amp;L$1&amp;"C"&amp;$A18)*RTD("tos.rtd",,"LAST","."&amp;L$2&amp;L$1&amp;"C"&amp;$A18)-100*RTD("tos.rtd",,"VOLUME","."&amp;L$2&amp;L$1&amp;"P"&amp;$A18)*RTD("tos.rtd",,"LAST","."&amp;L$2&amp;L$1&amp;"P"&amp;$A18))/1000000),0),IF($A$2="DEX",IFERROR(IF($X$1="ABS",(100*RTD("tos.rtd",,"OPEN_INT","."&amp;L$2&amp;L$1&amp;"C"&amp;$A18)*RTD("tos.rtd",,"DELTA","."&amp;L$2&amp;L$1&amp;"C"&amp;$A18)+100*RTD("tos.rtd",,"OPEN_INT","."&amp;L$2&amp;L$1&amp;"P"&amp;$A18)*RTD("tos.rtd",,"DELTA","."&amp;L$2&amp;L$1&amp;"P"&amp;$A18))/1000,(100*RTD("tos.rtd",,"OPEN_INT","."&amp;L$2&amp;L$1&amp;"C"&amp;$A18)*RTD("tos.rtd",,"DELTA","."&amp;L$2&amp;L$1&amp;"C"&amp;$A18)-100*RTD("tos.rtd",,"OPEN_INT","."&amp;L$2&amp;L$1&amp;"P"&amp;$A18)*RTD("tos.rtd",,"DELTA","."&amp;L$2&amp;L$1&amp;"P"&amp;$A18))/1000),0),IF($A$2="VEX",IFERROR(IF($X$1="ABS",($A$4*$A$4*RTD("tos.rtd",,"VOLUME","."&amp;L$2&amp;L$1&amp;"C"&amp;$A18)*RTD("tos.rtd",,"GAMMA","."&amp;L$2&amp;L$1&amp;"C"&amp;$A18)+$A$4*$A$4*RTD("tos.rtd",,"VOLUME","."&amp;L$2&amp;L$1&amp;"P"&amp;$A18)*RTD("tos.rtd",,"GAMMA","."&amp;L$2&amp;L$1&amp;"P"&amp;$A18))/1000000,($A$4*$A$4*RTD("tos.rtd",,"VOLUME","."&amp;L$2&amp;L$1&amp;"C"&amp;$A18)*RTD("tos.rtd",,"GAMMA","."&amp;L$2&amp;L$1&amp;"C"&amp;$A18)-$A$4*$A$4*RTD("tos.rtd",,"VOLUME","."&amp;L$2&amp;L$1&amp;"P"&amp;$A18)*RTD("tos.rtd",,"GAMMA","."&amp;L$2&amp;L$1&amp;"P"&amp;$A18))/1000000),0),IF($A$2="GEX",IFERROR(IF($X$1="ABS",($A$4*$A$4*RTD("tos.rtd",,"OPEN_INT","."&amp;L$2&amp;L$1&amp;"C"&amp;$A18)*RTD("tos.rtd",,"GAMMA","."&amp;L$2&amp;L$1&amp;"C"&amp;$A18)+$A$4*$A$4*RTD("tos.rtd",,"OPEN_INT","."&amp;L$2&amp;L$1&amp;"P"&amp;$A18)*RTD("tos.rtd",,"GAMMA","."&amp;L$2&amp;L$1&amp;"P"&amp;$A18))/1000000,($A$4*$A$4*RTD("tos.rtd",,"OPEN_INT","."&amp;L$2&amp;L$1&amp;"C"&amp;$A18)*RTD("tos.rtd",,"GAMMA","."&amp;L$2&amp;L$1&amp;"C"&amp;$A18)-$A$4*$A$4*RTD("tos.rtd",,"OPEN_INT","."&amp;L$2&amp;L$1&amp;"P"&amp;$A18)*RTD("tos.rtd",,"GAMMA","."&amp;L$2&amp;L$1&amp;"P"&amp;$A18))/1000000),0),IF($A$2="SKEW",IFERROR(VALUE(IF(RTD("tos.rtd",,"IMPL_VOL","."&amp;L$2&amp;L$1&amp;"P"&amp;$A18)="N/A",0,RTD("tos.rtd",,"IMPL_VOL","."&amp;L$2&amp;L$1&amp;"P"&amp;$A18))),0)-IFERROR(VALUE(IF(RTD("tos.rtd",,"IMPL_VOL","."&amp;L$2&amp;L$1&amp;"C"&amp;$A18)="N/A",0,RTD("tos.rtd",,"IMPL_VOL","."&amp;L$2&amp;L$1&amp;"C"&amp;$A18))),0),IF($A$2="MAXPAIN",IF($A$4&gt;$A18,($A$4-$A18)*IF(RTD("tos.rtd",,"OPEN_INT","."&amp;L$2&amp;L$1&amp;"C"&amp;$A18)="N/A",0,RTD("tos.rtd",,"OPEN_INT","."&amp;L$2&amp;L$1&amp;"C"&amp;$A18)),0)+IF($A$4&lt;$A18,($A$5-$A$4)*IF(RTD("tos.rtd",,"OPEN_INT","."&amp;L$2&amp;L$1&amp;"P"&amp;$A18)="N/A",0,RTD("tos.rtd",,"OPEN_INT","."&amp;L$2&amp;L$1&amp;"P"&amp;$A18)),0),IF($X$1="ABS",IF(RTD("tos.rtd",,$A$2,"."&amp;L$2&amp;L$1&amp;"C"&amp;$A18)="N/A",0,RTD("tos.rtd",,$A$2,"."&amp;L$2&amp;L$1&amp;"C"&amp;$A18))+IF(RTD("tos.rtd",,$A$2,"."&amp;L$2&amp;L$1&amp;"P"&amp;$A18)="N/A",0,RTD("tos.rtd",,$A$2,"."&amp;L$2&amp;L$1&amp;"P"&amp;$A18)),IF(RTD("tos.rtd",,$A$2,"."&amp;L$2&amp;L$1&amp;"C"&amp;$A18)="N/A",0,RTD("tos.rtd",,$A$2,"."&amp;L$2&amp;L$1&amp;"C"&amp;$A18))-IF(RTD("tos.rtd",,$A$2,"."&amp;L$2&amp;L$1&amp;"P"&amp;$A18)="N/A",0,RTD("tos.rtd",,$A$2,"."&amp;L$2&amp;L$1&amp;"P"&amp;$A18))))))))))</f>
        <v>0</v>
      </c>
      <c r="M18" s="12">
        <f ca="1">IF($A$2="PREMIUM_OI",IFERROR(IF($X$1="ABS",(100*RTD("tos.rtd",,"OPEN_INT","."&amp;M$2&amp;M$1&amp;"C"&amp;$A18)*RTD("tos.rtd",,"LAST","."&amp;M$2&amp;M$1&amp;"C"&amp;$A18)+100*RTD("tos.rtd",,"OPEN_INT","."&amp;M$2&amp;M$1&amp;"P"&amp;$A18)*RTD("tos.rtd",,"LAST","."&amp;M$2&amp;M$1&amp;"P"&amp;$A18))/1000000,(100*RTD("tos.rtd",,"OPEN_INT","."&amp;M$2&amp;M$1&amp;"C"&amp;$A18)*RTD("tos.rtd",,"LAST","."&amp;M$2&amp;M$1&amp;"C"&amp;$A18)-100*RTD("tos.rtd",,"OPEN_INT","."&amp;M$2&amp;M$1&amp;"P"&amp;$A18)*RTD("tos.rtd",,"LAST","."&amp;M$2&amp;M$1&amp;"P"&amp;$A18))/1000000),0),IF($A$2="PREMIUM",IFERROR(IF($X$1="ABS",(100*RTD("tos.rtd",,"VOLUME","."&amp;M$2&amp;M$1&amp;"C"&amp;$A18)*RTD("tos.rtd",,"LAST","."&amp;M$2&amp;M$1&amp;"C"&amp;$A18)+100*RTD("tos.rtd",,"VOLUME","."&amp;M$2&amp;M$1&amp;"P"&amp;$A18)*RTD("tos.rtd",,"LAST","."&amp;M$2&amp;M$1&amp;"P"&amp;$A18))/1000000,(100*RTD("tos.rtd",,"VOLUME","."&amp;M$2&amp;M$1&amp;"C"&amp;$A18)*RTD("tos.rtd",,"LAST","."&amp;M$2&amp;M$1&amp;"C"&amp;$A18)-100*RTD("tos.rtd",,"VOLUME","."&amp;M$2&amp;M$1&amp;"P"&amp;$A18)*RTD("tos.rtd",,"LAST","."&amp;M$2&amp;M$1&amp;"P"&amp;$A18))/1000000),0),IF($A$2="DEX",IFERROR(IF($X$1="ABS",(100*RTD("tos.rtd",,"OPEN_INT","."&amp;M$2&amp;M$1&amp;"C"&amp;$A18)*RTD("tos.rtd",,"DELTA","."&amp;M$2&amp;M$1&amp;"C"&amp;$A18)+100*RTD("tos.rtd",,"OPEN_INT","."&amp;M$2&amp;M$1&amp;"P"&amp;$A18)*RTD("tos.rtd",,"DELTA","."&amp;M$2&amp;M$1&amp;"P"&amp;$A18))/1000,(100*RTD("tos.rtd",,"OPEN_INT","."&amp;M$2&amp;M$1&amp;"C"&amp;$A18)*RTD("tos.rtd",,"DELTA","."&amp;M$2&amp;M$1&amp;"C"&amp;$A18)-100*RTD("tos.rtd",,"OPEN_INT","."&amp;M$2&amp;M$1&amp;"P"&amp;$A18)*RTD("tos.rtd",,"DELTA","."&amp;M$2&amp;M$1&amp;"P"&amp;$A18))/1000),0),IF($A$2="VEX",IFERROR(IF($X$1="ABS",($A$4*$A$4*RTD("tos.rtd",,"VOLUME","."&amp;M$2&amp;M$1&amp;"C"&amp;$A18)*RTD("tos.rtd",,"GAMMA","."&amp;M$2&amp;M$1&amp;"C"&amp;$A18)+$A$4*$A$4*RTD("tos.rtd",,"VOLUME","."&amp;M$2&amp;M$1&amp;"P"&amp;$A18)*RTD("tos.rtd",,"GAMMA","."&amp;M$2&amp;M$1&amp;"P"&amp;$A18))/1000000,($A$4*$A$4*RTD("tos.rtd",,"VOLUME","."&amp;M$2&amp;M$1&amp;"C"&amp;$A18)*RTD("tos.rtd",,"GAMMA","."&amp;M$2&amp;M$1&amp;"C"&amp;$A18)-$A$4*$A$4*RTD("tos.rtd",,"VOLUME","."&amp;M$2&amp;M$1&amp;"P"&amp;$A18)*RTD("tos.rtd",,"GAMMA","."&amp;M$2&amp;M$1&amp;"P"&amp;$A18))/1000000),0),IF($A$2="GEX",IFERROR(IF($X$1="ABS",($A$4*$A$4*RTD("tos.rtd",,"OPEN_INT","."&amp;M$2&amp;M$1&amp;"C"&amp;$A18)*RTD("tos.rtd",,"GAMMA","."&amp;M$2&amp;M$1&amp;"C"&amp;$A18)+$A$4*$A$4*RTD("tos.rtd",,"OPEN_INT","."&amp;M$2&amp;M$1&amp;"P"&amp;$A18)*RTD("tos.rtd",,"GAMMA","."&amp;M$2&amp;M$1&amp;"P"&amp;$A18))/1000000,($A$4*$A$4*RTD("tos.rtd",,"OPEN_INT","."&amp;M$2&amp;M$1&amp;"C"&amp;$A18)*RTD("tos.rtd",,"GAMMA","."&amp;M$2&amp;M$1&amp;"C"&amp;$A18)-$A$4*$A$4*RTD("tos.rtd",,"OPEN_INT","."&amp;M$2&amp;M$1&amp;"P"&amp;$A18)*RTD("tos.rtd",,"GAMMA","."&amp;M$2&amp;M$1&amp;"P"&amp;$A18))/1000000),0),IF($A$2="SKEW",IFERROR(VALUE(IF(RTD("tos.rtd",,"IMPL_VOL","."&amp;M$2&amp;M$1&amp;"P"&amp;$A18)="N/A",0,RTD("tos.rtd",,"IMPL_VOL","."&amp;M$2&amp;M$1&amp;"P"&amp;$A18))),0)-IFERROR(VALUE(IF(RTD("tos.rtd",,"IMPL_VOL","."&amp;M$2&amp;M$1&amp;"C"&amp;$A18)="N/A",0,RTD("tos.rtd",,"IMPL_VOL","."&amp;M$2&amp;M$1&amp;"C"&amp;$A18))),0),IF($A$2="MAXPAIN",IF($A$4&gt;$A18,($A$4-$A18)*IF(RTD("tos.rtd",,"OPEN_INT","."&amp;M$2&amp;M$1&amp;"C"&amp;$A18)="N/A",0,RTD("tos.rtd",,"OPEN_INT","."&amp;M$2&amp;M$1&amp;"C"&amp;$A18)),0)+IF($A$4&lt;$A18,($A$5-$A$4)*IF(RTD("tos.rtd",,"OPEN_INT","."&amp;M$2&amp;M$1&amp;"P"&amp;$A18)="N/A",0,RTD("tos.rtd",,"OPEN_INT","."&amp;M$2&amp;M$1&amp;"P"&amp;$A18)),0),IF($X$1="ABS",IF(RTD("tos.rtd",,$A$2,"."&amp;M$2&amp;M$1&amp;"C"&amp;$A18)="N/A",0,RTD("tos.rtd",,$A$2,"."&amp;M$2&amp;M$1&amp;"C"&amp;$A18))+IF(RTD("tos.rtd",,$A$2,"."&amp;M$2&amp;M$1&amp;"P"&amp;$A18)="N/A",0,RTD("tos.rtd",,$A$2,"."&amp;M$2&amp;M$1&amp;"P"&amp;$A18)),IF(RTD("tos.rtd",,$A$2,"."&amp;M$2&amp;M$1&amp;"C"&amp;$A18)="N/A",0,RTD("tos.rtd",,$A$2,"."&amp;M$2&amp;M$1&amp;"C"&amp;$A18))-IF(RTD("tos.rtd",,$A$2,"."&amp;M$2&amp;M$1&amp;"P"&amp;$A18)="N/A",0,RTD("tos.rtd",,$A$2,"."&amp;M$2&amp;M$1&amp;"P"&amp;$A18))))))))))</f>
        <v>0</v>
      </c>
      <c r="N18" s="12">
        <f ca="1">IF($A$2="PREMIUM_OI",IFERROR(IF($X$1="ABS",(100*RTD("tos.rtd",,"OPEN_INT","."&amp;N$2&amp;N$1&amp;"C"&amp;$A18)*RTD("tos.rtd",,"LAST","."&amp;N$2&amp;N$1&amp;"C"&amp;$A18)+100*RTD("tos.rtd",,"OPEN_INT","."&amp;N$2&amp;N$1&amp;"P"&amp;$A18)*RTD("tos.rtd",,"LAST","."&amp;N$2&amp;N$1&amp;"P"&amp;$A18))/1000000,(100*RTD("tos.rtd",,"OPEN_INT","."&amp;N$2&amp;N$1&amp;"C"&amp;$A18)*RTD("tos.rtd",,"LAST","."&amp;N$2&amp;N$1&amp;"C"&amp;$A18)-100*RTD("tos.rtd",,"OPEN_INT","."&amp;N$2&amp;N$1&amp;"P"&amp;$A18)*RTD("tos.rtd",,"LAST","."&amp;N$2&amp;N$1&amp;"P"&amp;$A18))/1000000),0),IF($A$2="PREMIUM",IFERROR(IF($X$1="ABS",(100*RTD("tos.rtd",,"VOLUME","."&amp;N$2&amp;N$1&amp;"C"&amp;$A18)*RTD("tos.rtd",,"LAST","."&amp;N$2&amp;N$1&amp;"C"&amp;$A18)+100*RTD("tos.rtd",,"VOLUME","."&amp;N$2&amp;N$1&amp;"P"&amp;$A18)*RTD("tos.rtd",,"LAST","."&amp;N$2&amp;N$1&amp;"P"&amp;$A18))/1000000,(100*RTD("tos.rtd",,"VOLUME","."&amp;N$2&amp;N$1&amp;"C"&amp;$A18)*RTD("tos.rtd",,"LAST","."&amp;N$2&amp;N$1&amp;"C"&amp;$A18)-100*RTD("tos.rtd",,"VOLUME","."&amp;N$2&amp;N$1&amp;"P"&amp;$A18)*RTD("tos.rtd",,"LAST","."&amp;N$2&amp;N$1&amp;"P"&amp;$A18))/1000000),0),IF($A$2="DEX",IFERROR(IF($X$1="ABS",(100*RTD("tos.rtd",,"OPEN_INT","."&amp;N$2&amp;N$1&amp;"C"&amp;$A18)*RTD("tos.rtd",,"DELTA","."&amp;N$2&amp;N$1&amp;"C"&amp;$A18)+100*RTD("tos.rtd",,"OPEN_INT","."&amp;N$2&amp;N$1&amp;"P"&amp;$A18)*RTD("tos.rtd",,"DELTA","."&amp;N$2&amp;N$1&amp;"P"&amp;$A18))/1000,(100*RTD("tos.rtd",,"OPEN_INT","."&amp;N$2&amp;N$1&amp;"C"&amp;$A18)*RTD("tos.rtd",,"DELTA","."&amp;N$2&amp;N$1&amp;"C"&amp;$A18)-100*RTD("tos.rtd",,"OPEN_INT","."&amp;N$2&amp;N$1&amp;"P"&amp;$A18)*RTD("tos.rtd",,"DELTA","."&amp;N$2&amp;N$1&amp;"P"&amp;$A18))/1000),0),IF($A$2="VEX",IFERROR(IF($X$1="ABS",($A$4*$A$4*RTD("tos.rtd",,"VOLUME","."&amp;N$2&amp;N$1&amp;"C"&amp;$A18)*RTD("tos.rtd",,"GAMMA","."&amp;N$2&amp;N$1&amp;"C"&amp;$A18)+$A$4*$A$4*RTD("tos.rtd",,"VOLUME","."&amp;N$2&amp;N$1&amp;"P"&amp;$A18)*RTD("tos.rtd",,"GAMMA","."&amp;N$2&amp;N$1&amp;"P"&amp;$A18))/1000000,($A$4*$A$4*RTD("tos.rtd",,"VOLUME","."&amp;N$2&amp;N$1&amp;"C"&amp;$A18)*RTD("tos.rtd",,"GAMMA","."&amp;N$2&amp;N$1&amp;"C"&amp;$A18)-$A$4*$A$4*RTD("tos.rtd",,"VOLUME","."&amp;N$2&amp;N$1&amp;"P"&amp;$A18)*RTD("tos.rtd",,"GAMMA","."&amp;N$2&amp;N$1&amp;"P"&amp;$A18))/1000000),0),IF($A$2="GEX",IFERROR(IF($X$1="ABS",($A$4*$A$4*RTD("tos.rtd",,"OPEN_INT","."&amp;N$2&amp;N$1&amp;"C"&amp;$A18)*RTD("tos.rtd",,"GAMMA","."&amp;N$2&amp;N$1&amp;"C"&amp;$A18)+$A$4*$A$4*RTD("tos.rtd",,"OPEN_INT","."&amp;N$2&amp;N$1&amp;"P"&amp;$A18)*RTD("tos.rtd",,"GAMMA","."&amp;N$2&amp;N$1&amp;"P"&amp;$A18))/1000000,($A$4*$A$4*RTD("tos.rtd",,"OPEN_INT","."&amp;N$2&amp;N$1&amp;"C"&amp;$A18)*RTD("tos.rtd",,"GAMMA","."&amp;N$2&amp;N$1&amp;"C"&amp;$A18)-$A$4*$A$4*RTD("tos.rtd",,"OPEN_INT","."&amp;N$2&amp;N$1&amp;"P"&amp;$A18)*RTD("tos.rtd",,"GAMMA","."&amp;N$2&amp;N$1&amp;"P"&amp;$A18))/1000000),0),IF($A$2="SKEW",IFERROR(VALUE(IF(RTD("tos.rtd",,"IMPL_VOL","."&amp;N$2&amp;N$1&amp;"P"&amp;$A18)="N/A",0,RTD("tos.rtd",,"IMPL_VOL","."&amp;N$2&amp;N$1&amp;"P"&amp;$A18))),0)-IFERROR(VALUE(IF(RTD("tos.rtd",,"IMPL_VOL","."&amp;N$2&amp;N$1&amp;"C"&amp;$A18)="N/A",0,RTD("tos.rtd",,"IMPL_VOL","."&amp;N$2&amp;N$1&amp;"C"&amp;$A18))),0),IF($A$2="MAXPAIN",IF($A$4&gt;$A18,($A$4-$A18)*IF(RTD("tos.rtd",,"OPEN_INT","."&amp;N$2&amp;N$1&amp;"C"&amp;$A18)="N/A",0,RTD("tos.rtd",,"OPEN_INT","."&amp;N$2&amp;N$1&amp;"C"&amp;$A18)),0)+IF($A$4&lt;$A18,($A$5-$A$4)*IF(RTD("tos.rtd",,"OPEN_INT","."&amp;N$2&amp;N$1&amp;"P"&amp;$A18)="N/A",0,RTD("tos.rtd",,"OPEN_INT","."&amp;N$2&amp;N$1&amp;"P"&amp;$A18)),0),IF($X$1="ABS",IF(RTD("tos.rtd",,$A$2,"."&amp;N$2&amp;N$1&amp;"C"&amp;$A18)="N/A",0,RTD("tos.rtd",,$A$2,"."&amp;N$2&amp;N$1&amp;"C"&amp;$A18))+IF(RTD("tos.rtd",,$A$2,"."&amp;N$2&amp;N$1&amp;"P"&amp;$A18)="N/A",0,RTD("tos.rtd",,$A$2,"."&amp;N$2&amp;N$1&amp;"P"&amp;$A18)),IF(RTD("tos.rtd",,$A$2,"."&amp;N$2&amp;N$1&amp;"C"&amp;$A18)="N/A",0,RTD("tos.rtd",,$A$2,"."&amp;N$2&amp;N$1&amp;"C"&amp;$A18))-IF(RTD("tos.rtd",,$A$2,"."&amp;N$2&amp;N$1&amp;"P"&amp;$A18)="N/A",0,RTD("tos.rtd",,$A$2,"."&amp;N$2&amp;N$1&amp;"P"&amp;$A18))))))))))</f>
        <v>0</v>
      </c>
      <c r="O18" s="12">
        <f ca="1">IF($A$2="PREMIUM_OI",IFERROR(IF($X$1="ABS",(100*RTD("tos.rtd",,"OPEN_INT","."&amp;O$2&amp;O$1&amp;"C"&amp;$A18)*RTD("tos.rtd",,"LAST","."&amp;O$2&amp;O$1&amp;"C"&amp;$A18)+100*RTD("tos.rtd",,"OPEN_INT","."&amp;O$2&amp;O$1&amp;"P"&amp;$A18)*RTD("tos.rtd",,"LAST","."&amp;O$2&amp;O$1&amp;"P"&amp;$A18))/1000000,(100*RTD("tos.rtd",,"OPEN_INT","."&amp;O$2&amp;O$1&amp;"C"&amp;$A18)*RTD("tos.rtd",,"LAST","."&amp;O$2&amp;O$1&amp;"C"&amp;$A18)-100*RTD("tos.rtd",,"OPEN_INT","."&amp;O$2&amp;O$1&amp;"P"&amp;$A18)*RTD("tos.rtd",,"LAST","."&amp;O$2&amp;O$1&amp;"P"&amp;$A18))/1000000),0),IF($A$2="PREMIUM",IFERROR(IF($X$1="ABS",(100*RTD("tos.rtd",,"VOLUME","."&amp;O$2&amp;O$1&amp;"C"&amp;$A18)*RTD("tos.rtd",,"LAST","."&amp;O$2&amp;O$1&amp;"C"&amp;$A18)+100*RTD("tos.rtd",,"VOLUME","."&amp;O$2&amp;O$1&amp;"P"&amp;$A18)*RTD("tos.rtd",,"LAST","."&amp;O$2&amp;O$1&amp;"P"&amp;$A18))/1000000,(100*RTD("tos.rtd",,"VOLUME","."&amp;O$2&amp;O$1&amp;"C"&amp;$A18)*RTD("tos.rtd",,"LAST","."&amp;O$2&amp;O$1&amp;"C"&amp;$A18)-100*RTD("tos.rtd",,"VOLUME","."&amp;O$2&amp;O$1&amp;"P"&amp;$A18)*RTD("tos.rtd",,"LAST","."&amp;O$2&amp;O$1&amp;"P"&amp;$A18))/1000000),0),IF($A$2="DEX",IFERROR(IF($X$1="ABS",(100*RTD("tos.rtd",,"OPEN_INT","."&amp;O$2&amp;O$1&amp;"C"&amp;$A18)*RTD("tos.rtd",,"DELTA","."&amp;O$2&amp;O$1&amp;"C"&amp;$A18)+100*RTD("tos.rtd",,"OPEN_INT","."&amp;O$2&amp;O$1&amp;"P"&amp;$A18)*RTD("tos.rtd",,"DELTA","."&amp;O$2&amp;O$1&amp;"P"&amp;$A18))/1000,(100*RTD("tos.rtd",,"OPEN_INT","."&amp;O$2&amp;O$1&amp;"C"&amp;$A18)*RTD("tos.rtd",,"DELTA","."&amp;O$2&amp;O$1&amp;"C"&amp;$A18)-100*RTD("tos.rtd",,"OPEN_INT","."&amp;O$2&amp;O$1&amp;"P"&amp;$A18)*RTD("tos.rtd",,"DELTA","."&amp;O$2&amp;O$1&amp;"P"&amp;$A18))/1000),0),IF($A$2="VEX",IFERROR(IF($X$1="ABS",($A$4*$A$4*RTD("tos.rtd",,"VOLUME","."&amp;O$2&amp;O$1&amp;"C"&amp;$A18)*RTD("tos.rtd",,"GAMMA","."&amp;O$2&amp;O$1&amp;"C"&amp;$A18)+$A$4*$A$4*RTD("tos.rtd",,"VOLUME","."&amp;O$2&amp;O$1&amp;"P"&amp;$A18)*RTD("tos.rtd",,"GAMMA","."&amp;O$2&amp;O$1&amp;"P"&amp;$A18))/1000000,($A$4*$A$4*RTD("tos.rtd",,"VOLUME","."&amp;O$2&amp;O$1&amp;"C"&amp;$A18)*RTD("tos.rtd",,"GAMMA","."&amp;O$2&amp;O$1&amp;"C"&amp;$A18)-$A$4*$A$4*RTD("tos.rtd",,"VOLUME","."&amp;O$2&amp;O$1&amp;"P"&amp;$A18)*RTD("tos.rtd",,"GAMMA","."&amp;O$2&amp;O$1&amp;"P"&amp;$A18))/1000000),0),IF($A$2="GEX",IFERROR(IF($X$1="ABS",($A$4*$A$4*RTD("tos.rtd",,"OPEN_INT","."&amp;O$2&amp;O$1&amp;"C"&amp;$A18)*RTD("tos.rtd",,"GAMMA","."&amp;O$2&amp;O$1&amp;"C"&amp;$A18)+$A$4*$A$4*RTD("tos.rtd",,"OPEN_INT","."&amp;O$2&amp;O$1&amp;"P"&amp;$A18)*RTD("tos.rtd",,"GAMMA","."&amp;O$2&amp;O$1&amp;"P"&amp;$A18))/1000000,($A$4*$A$4*RTD("tos.rtd",,"OPEN_INT","."&amp;O$2&amp;O$1&amp;"C"&amp;$A18)*RTD("tos.rtd",,"GAMMA","."&amp;O$2&amp;O$1&amp;"C"&amp;$A18)-$A$4*$A$4*RTD("tos.rtd",,"OPEN_INT","."&amp;O$2&amp;O$1&amp;"P"&amp;$A18)*RTD("tos.rtd",,"GAMMA","."&amp;O$2&amp;O$1&amp;"P"&amp;$A18))/1000000),0),IF($A$2="SKEW",IFERROR(VALUE(IF(RTD("tos.rtd",,"IMPL_VOL","."&amp;O$2&amp;O$1&amp;"P"&amp;$A18)="N/A",0,RTD("tos.rtd",,"IMPL_VOL","."&amp;O$2&amp;O$1&amp;"P"&amp;$A18))),0)-IFERROR(VALUE(IF(RTD("tos.rtd",,"IMPL_VOL","."&amp;O$2&amp;O$1&amp;"C"&amp;$A18)="N/A",0,RTD("tos.rtd",,"IMPL_VOL","."&amp;O$2&amp;O$1&amp;"C"&amp;$A18))),0),IF($A$2="MAXPAIN",IF($A$4&gt;$A18,($A$4-$A18)*IF(RTD("tos.rtd",,"OPEN_INT","."&amp;O$2&amp;O$1&amp;"C"&amp;$A18)="N/A",0,RTD("tos.rtd",,"OPEN_INT","."&amp;O$2&amp;O$1&amp;"C"&amp;$A18)),0)+IF($A$4&lt;$A18,($A$5-$A$4)*IF(RTD("tos.rtd",,"OPEN_INT","."&amp;O$2&amp;O$1&amp;"P"&amp;$A18)="N/A",0,RTD("tos.rtd",,"OPEN_INT","."&amp;O$2&amp;O$1&amp;"P"&amp;$A18)),0),IF($X$1="ABS",IF(RTD("tos.rtd",,$A$2,"."&amp;O$2&amp;O$1&amp;"C"&amp;$A18)="N/A",0,RTD("tos.rtd",,$A$2,"."&amp;O$2&amp;O$1&amp;"C"&amp;$A18))+IF(RTD("tos.rtd",,$A$2,"."&amp;O$2&amp;O$1&amp;"P"&amp;$A18)="N/A",0,RTD("tos.rtd",,$A$2,"."&amp;O$2&amp;O$1&amp;"P"&amp;$A18)),IF(RTD("tos.rtd",,$A$2,"."&amp;O$2&amp;O$1&amp;"C"&amp;$A18)="N/A",0,RTD("tos.rtd",,$A$2,"."&amp;O$2&amp;O$1&amp;"C"&amp;$A18))-IF(RTD("tos.rtd",,$A$2,"."&amp;O$2&amp;O$1&amp;"P"&amp;$A18)="N/A",0,RTD("tos.rtd",,$A$2,"."&amp;O$2&amp;O$1&amp;"P"&amp;$A18))))))))))</f>
        <v>0</v>
      </c>
      <c r="P18" s="12">
        <f ca="1">IF($A$2="PREMIUM_OI",IFERROR(IF($X$1="ABS",(100*RTD("tos.rtd",,"OPEN_INT","."&amp;P$2&amp;P$1&amp;"C"&amp;$A18)*RTD("tos.rtd",,"LAST","."&amp;P$2&amp;P$1&amp;"C"&amp;$A18)+100*RTD("tos.rtd",,"OPEN_INT","."&amp;P$2&amp;P$1&amp;"P"&amp;$A18)*RTD("tos.rtd",,"LAST","."&amp;P$2&amp;P$1&amp;"P"&amp;$A18))/1000000,(100*RTD("tos.rtd",,"OPEN_INT","."&amp;P$2&amp;P$1&amp;"C"&amp;$A18)*RTD("tos.rtd",,"LAST","."&amp;P$2&amp;P$1&amp;"C"&amp;$A18)-100*RTD("tos.rtd",,"OPEN_INT","."&amp;P$2&amp;P$1&amp;"P"&amp;$A18)*RTD("tos.rtd",,"LAST","."&amp;P$2&amp;P$1&amp;"P"&amp;$A18))/1000000),0),IF($A$2="PREMIUM",IFERROR(IF($X$1="ABS",(100*RTD("tos.rtd",,"VOLUME","."&amp;P$2&amp;P$1&amp;"C"&amp;$A18)*RTD("tos.rtd",,"LAST","."&amp;P$2&amp;P$1&amp;"C"&amp;$A18)+100*RTD("tos.rtd",,"VOLUME","."&amp;P$2&amp;P$1&amp;"P"&amp;$A18)*RTD("tos.rtd",,"LAST","."&amp;P$2&amp;P$1&amp;"P"&amp;$A18))/1000000,(100*RTD("tos.rtd",,"VOLUME","."&amp;P$2&amp;P$1&amp;"C"&amp;$A18)*RTD("tos.rtd",,"LAST","."&amp;P$2&amp;P$1&amp;"C"&amp;$A18)-100*RTD("tos.rtd",,"VOLUME","."&amp;P$2&amp;P$1&amp;"P"&amp;$A18)*RTD("tos.rtd",,"LAST","."&amp;P$2&amp;P$1&amp;"P"&amp;$A18))/1000000),0),IF($A$2="DEX",IFERROR(IF($X$1="ABS",(100*RTD("tos.rtd",,"OPEN_INT","."&amp;P$2&amp;P$1&amp;"C"&amp;$A18)*RTD("tos.rtd",,"DELTA","."&amp;P$2&amp;P$1&amp;"C"&amp;$A18)+100*RTD("tos.rtd",,"OPEN_INT","."&amp;P$2&amp;P$1&amp;"P"&amp;$A18)*RTD("tos.rtd",,"DELTA","."&amp;P$2&amp;P$1&amp;"P"&amp;$A18))/1000,(100*RTD("tos.rtd",,"OPEN_INT","."&amp;P$2&amp;P$1&amp;"C"&amp;$A18)*RTD("tos.rtd",,"DELTA","."&amp;P$2&amp;P$1&amp;"C"&amp;$A18)-100*RTD("tos.rtd",,"OPEN_INT","."&amp;P$2&amp;P$1&amp;"P"&amp;$A18)*RTD("tos.rtd",,"DELTA","."&amp;P$2&amp;P$1&amp;"P"&amp;$A18))/1000),0),IF($A$2="VEX",IFERROR(IF($X$1="ABS",($A$4*$A$4*RTD("tos.rtd",,"VOLUME","."&amp;P$2&amp;P$1&amp;"C"&amp;$A18)*RTD("tos.rtd",,"GAMMA","."&amp;P$2&amp;P$1&amp;"C"&amp;$A18)+$A$4*$A$4*RTD("tos.rtd",,"VOLUME","."&amp;P$2&amp;P$1&amp;"P"&amp;$A18)*RTD("tos.rtd",,"GAMMA","."&amp;P$2&amp;P$1&amp;"P"&amp;$A18))/1000000,($A$4*$A$4*RTD("tos.rtd",,"VOLUME","."&amp;P$2&amp;P$1&amp;"C"&amp;$A18)*RTD("tos.rtd",,"GAMMA","."&amp;P$2&amp;P$1&amp;"C"&amp;$A18)-$A$4*$A$4*RTD("tos.rtd",,"VOLUME","."&amp;P$2&amp;P$1&amp;"P"&amp;$A18)*RTD("tos.rtd",,"GAMMA","."&amp;P$2&amp;P$1&amp;"P"&amp;$A18))/1000000),0),IF($A$2="GEX",IFERROR(IF($X$1="ABS",($A$4*$A$4*RTD("tos.rtd",,"OPEN_INT","."&amp;P$2&amp;P$1&amp;"C"&amp;$A18)*RTD("tos.rtd",,"GAMMA","."&amp;P$2&amp;P$1&amp;"C"&amp;$A18)+$A$4*$A$4*RTD("tos.rtd",,"OPEN_INT","."&amp;P$2&amp;P$1&amp;"P"&amp;$A18)*RTD("tos.rtd",,"GAMMA","."&amp;P$2&amp;P$1&amp;"P"&amp;$A18))/1000000,($A$4*$A$4*RTD("tos.rtd",,"OPEN_INT","."&amp;P$2&amp;P$1&amp;"C"&amp;$A18)*RTD("tos.rtd",,"GAMMA","."&amp;P$2&amp;P$1&amp;"C"&amp;$A18)-$A$4*$A$4*RTD("tos.rtd",,"OPEN_INT","."&amp;P$2&amp;P$1&amp;"P"&amp;$A18)*RTD("tos.rtd",,"GAMMA","."&amp;P$2&amp;P$1&amp;"P"&amp;$A18))/1000000),0),IF($A$2="SKEW",IFERROR(VALUE(IF(RTD("tos.rtd",,"IMPL_VOL","."&amp;P$2&amp;P$1&amp;"P"&amp;$A18)="N/A",0,RTD("tos.rtd",,"IMPL_VOL","."&amp;P$2&amp;P$1&amp;"P"&amp;$A18))),0)-IFERROR(VALUE(IF(RTD("tos.rtd",,"IMPL_VOL","."&amp;P$2&amp;P$1&amp;"C"&amp;$A18)="N/A",0,RTD("tos.rtd",,"IMPL_VOL","."&amp;P$2&amp;P$1&amp;"C"&amp;$A18))),0),IF($A$2="MAXPAIN",IF($A$4&gt;$A18,($A$4-$A18)*IF(RTD("tos.rtd",,"OPEN_INT","."&amp;P$2&amp;P$1&amp;"C"&amp;$A18)="N/A",0,RTD("tos.rtd",,"OPEN_INT","."&amp;P$2&amp;P$1&amp;"C"&amp;$A18)),0)+IF($A$4&lt;$A18,($A$5-$A$4)*IF(RTD("tos.rtd",,"OPEN_INT","."&amp;P$2&amp;P$1&amp;"P"&amp;$A18)="N/A",0,RTD("tos.rtd",,"OPEN_INT","."&amp;P$2&amp;P$1&amp;"P"&amp;$A18)),0),IF($X$1="ABS",IF(RTD("tos.rtd",,$A$2,"."&amp;P$2&amp;P$1&amp;"C"&amp;$A18)="N/A",0,RTD("tos.rtd",,$A$2,"."&amp;P$2&amp;P$1&amp;"C"&amp;$A18))+IF(RTD("tos.rtd",,$A$2,"."&amp;P$2&amp;P$1&amp;"P"&amp;$A18)="N/A",0,RTD("tos.rtd",,$A$2,"."&amp;P$2&amp;P$1&amp;"P"&amp;$A18)),IF(RTD("tos.rtd",,$A$2,"."&amp;P$2&amp;P$1&amp;"C"&amp;$A18)="N/A",0,RTD("tos.rtd",,$A$2,"."&amp;P$2&amp;P$1&amp;"C"&amp;$A18))-IF(RTD("tos.rtd",,$A$2,"."&amp;P$2&amp;P$1&amp;"P"&amp;$A18)="N/A",0,RTD("tos.rtd",,$A$2,"."&amp;P$2&amp;P$1&amp;"P"&amp;$A18))))))))))</f>
        <v>0</v>
      </c>
      <c r="Q18" s="12">
        <f ca="1">IF($A$2="PREMIUM_OI",IFERROR(IF($X$1="ABS",(100*RTD("tos.rtd",,"OPEN_INT","."&amp;Q$2&amp;Q$1&amp;"C"&amp;$A18)*RTD("tos.rtd",,"LAST","."&amp;Q$2&amp;Q$1&amp;"C"&amp;$A18)+100*RTD("tos.rtd",,"OPEN_INT","."&amp;Q$2&amp;Q$1&amp;"P"&amp;$A18)*RTD("tos.rtd",,"LAST","."&amp;Q$2&amp;Q$1&amp;"P"&amp;$A18))/1000000,(100*RTD("tos.rtd",,"OPEN_INT","."&amp;Q$2&amp;Q$1&amp;"C"&amp;$A18)*RTD("tos.rtd",,"LAST","."&amp;Q$2&amp;Q$1&amp;"C"&amp;$A18)-100*RTD("tos.rtd",,"OPEN_INT","."&amp;Q$2&amp;Q$1&amp;"P"&amp;$A18)*RTD("tos.rtd",,"LAST","."&amp;Q$2&amp;Q$1&amp;"P"&amp;$A18))/1000000),0),IF($A$2="PREMIUM",IFERROR(IF($X$1="ABS",(100*RTD("tos.rtd",,"VOLUME","."&amp;Q$2&amp;Q$1&amp;"C"&amp;$A18)*RTD("tos.rtd",,"LAST","."&amp;Q$2&amp;Q$1&amp;"C"&amp;$A18)+100*RTD("tos.rtd",,"VOLUME","."&amp;Q$2&amp;Q$1&amp;"P"&amp;$A18)*RTD("tos.rtd",,"LAST","."&amp;Q$2&amp;Q$1&amp;"P"&amp;$A18))/1000000,(100*RTD("tos.rtd",,"VOLUME","."&amp;Q$2&amp;Q$1&amp;"C"&amp;$A18)*RTD("tos.rtd",,"LAST","."&amp;Q$2&amp;Q$1&amp;"C"&amp;$A18)-100*RTD("tos.rtd",,"VOLUME","."&amp;Q$2&amp;Q$1&amp;"P"&amp;$A18)*RTD("tos.rtd",,"LAST","."&amp;Q$2&amp;Q$1&amp;"P"&amp;$A18))/1000000),0),IF($A$2="DEX",IFERROR(IF($X$1="ABS",(100*RTD("tos.rtd",,"OPEN_INT","."&amp;Q$2&amp;Q$1&amp;"C"&amp;$A18)*RTD("tos.rtd",,"DELTA","."&amp;Q$2&amp;Q$1&amp;"C"&amp;$A18)+100*RTD("tos.rtd",,"OPEN_INT","."&amp;Q$2&amp;Q$1&amp;"P"&amp;$A18)*RTD("tos.rtd",,"DELTA","."&amp;Q$2&amp;Q$1&amp;"P"&amp;$A18))/1000,(100*RTD("tos.rtd",,"OPEN_INT","."&amp;Q$2&amp;Q$1&amp;"C"&amp;$A18)*RTD("tos.rtd",,"DELTA","."&amp;Q$2&amp;Q$1&amp;"C"&amp;$A18)-100*RTD("tos.rtd",,"OPEN_INT","."&amp;Q$2&amp;Q$1&amp;"P"&amp;$A18)*RTD("tos.rtd",,"DELTA","."&amp;Q$2&amp;Q$1&amp;"P"&amp;$A18))/1000),0),IF($A$2="VEX",IFERROR(IF($X$1="ABS",($A$4*$A$4*RTD("tos.rtd",,"VOLUME","."&amp;Q$2&amp;Q$1&amp;"C"&amp;$A18)*RTD("tos.rtd",,"GAMMA","."&amp;Q$2&amp;Q$1&amp;"C"&amp;$A18)+$A$4*$A$4*RTD("tos.rtd",,"VOLUME","."&amp;Q$2&amp;Q$1&amp;"P"&amp;$A18)*RTD("tos.rtd",,"GAMMA","."&amp;Q$2&amp;Q$1&amp;"P"&amp;$A18))/1000000,($A$4*$A$4*RTD("tos.rtd",,"VOLUME","."&amp;Q$2&amp;Q$1&amp;"C"&amp;$A18)*RTD("tos.rtd",,"GAMMA","."&amp;Q$2&amp;Q$1&amp;"C"&amp;$A18)-$A$4*$A$4*RTD("tos.rtd",,"VOLUME","."&amp;Q$2&amp;Q$1&amp;"P"&amp;$A18)*RTD("tos.rtd",,"GAMMA","."&amp;Q$2&amp;Q$1&amp;"P"&amp;$A18))/1000000),0),IF($A$2="GEX",IFERROR(IF($X$1="ABS",($A$4*$A$4*RTD("tos.rtd",,"OPEN_INT","."&amp;Q$2&amp;Q$1&amp;"C"&amp;$A18)*RTD("tos.rtd",,"GAMMA","."&amp;Q$2&amp;Q$1&amp;"C"&amp;$A18)+$A$4*$A$4*RTD("tos.rtd",,"OPEN_INT","."&amp;Q$2&amp;Q$1&amp;"P"&amp;$A18)*RTD("tos.rtd",,"GAMMA","."&amp;Q$2&amp;Q$1&amp;"P"&amp;$A18))/1000000,($A$4*$A$4*RTD("tos.rtd",,"OPEN_INT","."&amp;Q$2&amp;Q$1&amp;"C"&amp;$A18)*RTD("tos.rtd",,"GAMMA","."&amp;Q$2&amp;Q$1&amp;"C"&amp;$A18)-$A$4*$A$4*RTD("tos.rtd",,"OPEN_INT","."&amp;Q$2&amp;Q$1&amp;"P"&amp;$A18)*RTD("tos.rtd",,"GAMMA","."&amp;Q$2&amp;Q$1&amp;"P"&amp;$A18))/1000000),0),IF($A$2="SKEW",IFERROR(VALUE(IF(RTD("tos.rtd",,"IMPL_VOL","."&amp;Q$2&amp;Q$1&amp;"P"&amp;$A18)="N/A",0,RTD("tos.rtd",,"IMPL_VOL","."&amp;Q$2&amp;Q$1&amp;"P"&amp;$A18))),0)-IFERROR(VALUE(IF(RTD("tos.rtd",,"IMPL_VOL","."&amp;Q$2&amp;Q$1&amp;"C"&amp;$A18)="N/A",0,RTD("tos.rtd",,"IMPL_VOL","."&amp;Q$2&amp;Q$1&amp;"C"&amp;$A18))),0),IF($A$2="MAXPAIN",IF($A$4&gt;$A18,($A$4-$A18)*IF(RTD("tos.rtd",,"OPEN_INT","."&amp;Q$2&amp;Q$1&amp;"C"&amp;$A18)="N/A",0,RTD("tos.rtd",,"OPEN_INT","."&amp;Q$2&amp;Q$1&amp;"C"&amp;$A18)),0)+IF($A$4&lt;$A18,($A$5-$A$4)*IF(RTD("tos.rtd",,"OPEN_INT","."&amp;Q$2&amp;Q$1&amp;"P"&amp;$A18)="N/A",0,RTD("tos.rtd",,"OPEN_INT","."&amp;Q$2&amp;Q$1&amp;"P"&amp;$A18)),0),IF($X$1="ABS",IF(RTD("tos.rtd",,$A$2,"."&amp;Q$2&amp;Q$1&amp;"C"&amp;$A18)="N/A",0,RTD("tos.rtd",,$A$2,"."&amp;Q$2&amp;Q$1&amp;"C"&amp;$A18))+IF(RTD("tos.rtd",,$A$2,"."&amp;Q$2&amp;Q$1&amp;"P"&amp;$A18)="N/A",0,RTD("tos.rtd",,$A$2,"."&amp;Q$2&amp;Q$1&amp;"P"&amp;$A18)),IF(RTD("tos.rtd",,$A$2,"."&amp;Q$2&amp;Q$1&amp;"C"&amp;$A18)="N/A",0,RTD("tos.rtd",,$A$2,"."&amp;Q$2&amp;Q$1&amp;"C"&amp;$A18))-IF(RTD("tos.rtd",,$A$2,"."&amp;Q$2&amp;Q$1&amp;"P"&amp;$A18)="N/A",0,RTD("tos.rtd",,$A$2,"."&amp;Q$2&amp;Q$1&amp;"P"&amp;$A18))))))))))</f>
        <v>0</v>
      </c>
      <c r="R18" s="12">
        <f ca="1">IF($A$2="PREMIUM_OI",IFERROR(IF($X$1="ABS",(100*RTD("tos.rtd",,"OPEN_INT","."&amp;R$2&amp;R$1&amp;"C"&amp;$A18)*RTD("tos.rtd",,"LAST","."&amp;R$2&amp;R$1&amp;"C"&amp;$A18)+100*RTD("tos.rtd",,"OPEN_INT","."&amp;R$2&amp;R$1&amp;"P"&amp;$A18)*RTD("tos.rtd",,"LAST","."&amp;R$2&amp;R$1&amp;"P"&amp;$A18))/1000000,(100*RTD("tos.rtd",,"OPEN_INT","."&amp;R$2&amp;R$1&amp;"C"&amp;$A18)*RTD("tos.rtd",,"LAST","."&amp;R$2&amp;R$1&amp;"C"&amp;$A18)-100*RTD("tos.rtd",,"OPEN_INT","."&amp;R$2&amp;R$1&amp;"P"&amp;$A18)*RTD("tos.rtd",,"LAST","."&amp;R$2&amp;R$1&amp;"P"&amp;$A18))/1000000),0),IF($A$2="PREMIUM",IFERROR(IF($X$1="ABS",(100*RTD("tos.rtd",,"VOLUME","."&amp;R$2&amp;R$1&amp;"C"&amp;$A18)*RTD("tos.rtd",,"LAST","."&amp;R$2&amp;R$1&amp;"C"&amp;$A18)+100*RTD("tos.rtd",,"VOLUME","."&amp;R$2&amp;R$1&amp;"P"&amp;$A18)*RTD("tos.rtd",,"LAST","."&amp;R$2&amp;R$1&amp;"P"&amp;$A18))/1000000,(100*RTD("tos.rtd",,"VOLUME","."&amp;R$2&amp;R$1&amp;"C"&amp;$A18)*RTD("tos.rtd",,"LAST","."&amp;R$2&amp;R$1&amp;"C"&amp;$A18)-100*RTD("tos.rtd",,"VOLUME","."&amp;R$2&amp;R$1&amp;"P"&amp;$A18)*RTD("tos.rtd",,"LAST","."&amp;R$2&amp;R$1&amp;"P"&amp;$A18))/1000000),0),IF($A$2="DEX",IFERROR(IF($X$1="ABS",(100*RTD("tos.rtd",,"OPEN_INT","."&amp;R$2&amp;R$1&amp;"C"&amp;$A18)*RTD("tos.rtd",,"DELTA","."&amp;R$2&amp;R$1&amp;"C"&amp;$A18)+100*RTD("tos.rtd",,"OPEN_INT","."&amp;R$2&amp;R$1&amp;"P"&amp;$A18)*RTD("tos.rtd",,"DELTA","."&amp;R$2&amp;R$1&amp;"P"&amp;$A18))/1000,(100*RTD("tos.rtd",,"OPEN_INT","."&amp;R$2&amp;R$1&amp;"C"&amp;$A18)*RTD("tos.rtd",,"DELTA","."&amp;R$2&amp;R$1&amp;"C"&amp;$A18)-100*RTD("tos.rtd",,"OPEN_INT","."&amp;R$2&amp;R$1&amp;"P"&amp;$A18)*RTD("tos.rtd",,"DELTA","."&amp;R$2&amp;R$1&amp;"P"&amp;$A18))/1000),0),IF($A$2="VEX",IFERROR(IF($X$1="ABS",($A$4*$A$4*RTD("tos.rtd",,"VOLUME","."&amp;R$2&amp;R$1&amp;"C"&amp;$A18)*RTD("tos.rtd",,"GAMMA","."&amp;R$2&amp;R$1&amp;"C"&amp;$A18)+$A$4*$A$4*RTD("tos.rtd",,"VOLUME","."&amp;R$2&amp;R$1&amp;"P"&amp;$A18)*RTD("tos.rtd",,"GAMMA","."&amp;R$2&amp;R$1&amp;"P"&amp;$A18))/1000000,($A$4*$A$4*RTD("tos.rtd",,"VOLUME","."&amp;R$2&amp;R$1&amp;"C"&amp;$A18)*RTD("tos.rtd",,"GAMMA","."&amp;R$2&amp;R$1&amp;"C"&amp;$A18)-$A$4*$A$4*RTD("tos.rtd",,"VOLUME","."&amp;R$2&amp;R$1&amp;"P"&amp;$A18)*RTD("tos.rtd",,"GAMMA","."&amp;R$2&amp;R$1&amp;"P"&amp;$A18))/1000000),0),IF($A$2="GEX",IFERROR(IF($X$1="ABS",($A$4*$A$4*RTD("tos.rtd",,"OPEN_INT","."&amp;R$2&amp;R$1&amp;"C"&amp;$A18)*RTD("tos.rtd",,"GAMMA","."&amp;R$2&amp;R$1&amp;"C"&amp;$A18)+$A$4*$A$4*RTD("tos.rtd",,"OPEN_INT","."&amp;R$2&amp;R$1&amp;"P"&amp;$A18)*RTD("tos.rtd",,"GAMMA","."&amp;R$2&amp;R$1&amp;"P"&amp;$A18))/1000000,($A$4*$A$4*RTD("tos.rtd",,"OPEN_INT","."&amp;R$2&amp;R$1&amp;"C"&amp;$A18)*RTD("tos.rtd",,"GAMMA","."&amp;R$2&amp;R$1&amp;"C"&amp;$A18)-$A$4*$A$4*RTD("tos.rtd",,"OPEN_INT","."&amp;R$2&amp;R$1&amp;"P"&amp;$A18)*RTD("tos.rtd",,"GAMMA","."&amp;R$2&amp;R$1&amp;"P"&amp;$A18))/1000000),0),IF($A$2="SKEW",IFERROR(VALUE(IF(RTD("tos.rtd",,"IMPL_VOL","."&amp;R$2&amp;R$1&amp;"P"&amp;$A18)="N/A",0,RTD("tos.rtd",,"IMPL_VOL","."&amp;R$2&amp;R$1&amp;"P"&amp;$A18))),0)-IFERROR(VALUE(IF(RTD("tos.rtd",,"IMPL_VOL","."&amp;R$2&amp;R$1&amp;"C"&amp;$A18)="N/A",0,RTD("tos.rtd",,"IMPL_VOL","."&amp;R$2&amp;R$1&amp;"C"&amp;$A18))),0),IF($A$2="MAXPAIN",IF($A$4&gt;$A18,($A$4-$A18)*IF(RTD("tos.rtd",,"OPEN_INT","."&amp;R$2&amp;R$1&amp;"C"&amp;$A18)="N/A",0,RTD("tos.rtd",,"OPEN_INT","."&amp;R$2&amp;R$1&amp;"C"&amp;$A18)),0)+IF($A$4&lt;$A18,($A$5-$A$4)*IF(RTD("tos.rtd",,"OPEN_INT","."&amp;R$2&amp;R$1&amp;"P"&amp;$A18)="N/A",0,RTD("tos.rtd",,"OPEN_INT","."&amp;R$2&amp;R$1&amp;"P"&amp;$A18)),0),IF($X$1="ABS",IF(RTD("tos.rtd",,$A$2,"."&amp;R$2&amp;R$1&amp;"C"&amp;$A18)="N/A",0,RTD("tos.rtd",,$A$2,"."&amp;R$2&amp;R$1&amp;"C"&amp;$A18))+IF(RTD("tos.rtd",,$A$2,"."&amp;R$2&amp;R$1&amp;"P"&amp;$A18)="N/A",0,RTD("tos.rtd",,$A$2,"."&amp;R$2&amp;R$1&amp;"P"&amp;$A18)),IF(RTD("tos.rtd",,$A$2,"."&amp;R$2&amp;R$1&amp;"C"&amp;$A18)="N/A",0,RTD("tos.rtd",,$A$2,"."&amp;R$2&amp;R$1&amp;"C"&amp;$A18))-IF(RTD("tos.rtd",,$A$2,"."&amp;R$2&amp;R$1&amp;"P"&amp;$A18)="N/A",0,RTD("tos.rtd",,$A$2,"."&amp;R$2&amp;R$1&amp;"P"&amp;$A18))))))))))</f>
        <v>0</v>
      </c>
      <c r="S18" s="12">
        <f ca="1">IF($A$2="PREMIUM_OI",IFERROR(IF($X$1="ABS",(100*RTD("tos.rtd",,"OPEN_INT","."&amp;S$2&amp;S$1&amp;"C"&amp;$A18)*RTD("tos.rtd",,"LAST","."&amp;S$2&amp;S$1&amp;"C"&amp;$A18)+100*RTD("tos.rtd",,"OPEN_INT","."&amp;S$2&amp;S$1&amp;"P"&amp;$A18)*RTD("tos.rtd",,"LAST","."&amp;S$2&amp;S$1&amp;"P"&amp;$A18))/1000000,(100*RTD("tos.rtd",,"OPEN_INT","."&amp;S$2&amp;S$1&amp;"C"&amp;$A18)*RTD("tos.rtd",,"LAST","."&amp;S$2&amp;S$1&amp;"C"&amp;$A18)-100*RTD("tos.rtd",,"OPEN_INT","."&amp;S$2&amp;S$1&amp;"P"&amp;$A18)*RTD("tos.rtd",,"LAST","."&amp;S$2&amp;S$1&amp;"P"&amp;$A18))/1000000),0),IF($A$2="PREMIUM",IFERROR(IF($X$1="ABS",(100*RTD("tos.rtd",,"VOLUME","."&amp;S$2&amp;S$1&amp;"C"&amp;$A18)*RTD("tos.rtd",,"LAST","."&amp;S$2&amp;S$1&amp;"C"&amp;$A18)+100*RTD("tos.rtd",,"VOLUME","."&amp;S$2&amp;S$1&amp;"P"&amp;$A18)*RTD("tos.rtd",,"LAST","."&amp;S$2&amp;S$1&amp;"P"&amp;$A18))/1000000,(100*RTD("tos.rtd",,"VOLUME","."&amp;S$2&amp;S$1&amp;"C"&amp;$A18)*RTD("tos.rtd",,"LAST","."&amp;S$2&amp;S$1&amp;"C"&amp;$A18)-100*RTD("tos.rtd",,"VOLUME","."&amp;S$2&amp;S$1&amp;"P"&amp;$A18)*RTD("tos.rtd",,"LAST","."&amp;S$2&amp;S$1&amp;"P"&amp;$A18))/1000000),0),IF($A$2="DEX",IFERROR(IF($X$1="ABS",(100*RTD("tos.rtd",,"OPEN_INT","."&amp;S$2&amp;S$1&amp;"C"&amp;$A18)*RTD("tos.rtd",,"DELTA","."&amp;S$2&amp;S$1&amp;"C"&amp;$A18)+100*RTD("tos.rtd",,"OPEN_INT","."&amp;S$2&amp;S$1&amp;"P"&amp;$A18)*RTD("tos.rtd",,"DELTA","."&amp;S$2&amp;S$1&amp;"P"&amp;$A18))/1000,(100*RTD("tos.rtd",,"OPEN_INT","."&amp;S$2&amp;S$1&amp;"C"&amp;$A18)*RTD("tos.rtd",,"DELTA","."&amp;S$2&amp;S$1&amp;"C"&amp;$A18)-100*RTD("tos.rtd",,"OPEN_INT","."&amp;S$2&amp;S$1&amp;"P"&amp;$A18)*RTD("tos.rtd",,"DELTA","."&amp;S$2&amp;S$1&amp;"P"&amp;$A18))/1000),0),IF($A$2="VEX",IFERROR(IF($X$1="ABS",($A$4*$A$4*RTD("tos.rtd",,"VOLUME","."&amp;S$2&amp;S$1&amp;"C"&amp;$A18)*RTD("tos.rtd",,"GAMMA","."&amp;S$2&amp;S$1&amp;"C"&amp;$A18)+$A$4*$A$4*RTD("tos.rtd",,"VOLUME","."&amp;S$2&amp;S$1&amp;"P"&amp;$A18)*RTD("tos.rtd",,"GAMMA","."&amp;S$2&amp;S$1&amp;"P"&amp;$A18))/1000000,($A$4*$A$4*RTD("tos.rtd",,"VOLUME","."&amp;S$2&amp;S$1&amp;"C"&amp;$A18)*RTD("tos.rtd",,"GAMMA","."&amp;S$2&amp;S$1&amp;"C"&amp;$A18)-$A$4*$A$4*RTD("tos.rtd",,"VOLUME","."&amp;S$2&amp;S$1&amp;"P"&amp;$A18)*RTD("tos.rtd",,"GAMMA","."&amp;S$2&amp;S$1&amp;"P"&amp;$A18))/1000000),0),IF($A$2="GEX",IFERROR(IF($X$1="ABS",($A$4*$A$4*RTD("tos.rtd",,"OPEN_INT","."&amp;S$2&amp;S$1&amp;"C"&amp;$A18)*RTD("tos.rtd",,"GAMMA","."&amp;S$2&amp;S$1&amp;"C"&amp;$A18)+$A$4*$A$4*RTD("tos.rtd",,"OPEN_INT","."&amp;S$2&amp;S$1&amp;"P"&amp;$A18)*RTD("tos.rtd",,"GAMMA","."&amp;S$2&amp;S$1&amp;"P"&amp;$A18))/1000000,($A$4*$A$4*RTD("tos.rtd",,"OPEN_INT","."&amp;S$2&amp;S$1&amp;"C"&amp;$A18)*RTD("tos.rtd",,"GAMMA","."&amp;S$2&amp;S$1&amp;"C"&amp;$A18)-$A$4*$A$4*RTD("tos.rtd",,"OPEN_INT","."&amp;S$2&amp;S$1&amp;"P"&amp;$A18)*RTD("tos.rtd",,"GAMMA","."&amp;S$2&amp;S$1&amp;"P"&amp;$A18))/1000000),0),IF($A$2="SKEW",IFERROR(VALUE(IF(RTD("tos.rtd",,"IMPL_VOL","."&amp;S$2&amp;S$1&amp;"P"&amp;$A18)="N/A",0,RTD("tos.rtd",,"IMPL_VOL","."&amp;S$2&amp;S$1&amp;"P"&amp;$A18))),0)-IFERROR(VALUE(IF(RTD("tos.rtd",,"IMPL_VOL","."&amp;S$2&amp;S$1&amp;"C"&amp;$A18)="N/A",0,RTD("tos.rtd",,"IMPL_VOL","."&amp;S$2&amp;S$1&amp;"C"&amp;$A18))),0),IF($A$2="MAXPAIN",IF($A$4&gt;$A18,($A$4-$A18)*IF(RTD("tos.rtd",,"OPEN_INT","."&amp;S$2&amp;S$1&amp;"C"&amp;$A18)="N/A",0,RTD("tos.rtd",,"OPEN_INT","."&amp;S$2&amp;S$1&amp;"C"&amp;$A18)),0)+IF($A$4&lt;$A18,($A$5-$A$4)*IF(RTD("tos.rtd",,"OPEN_INT","."&amp;S$2&amp;S$1&amp;"P"&amp;$A18)="N/A",0,RTD("tos.rtd",,"OPEN_INT","."&amp;S$2&amp;S$1&amp;"P"&amp;$A18)),0),IF($X$1="ABS",IF(RTD("tos.rtd",,$A$2,"."&amp;S$2&amp;S$1&amp;"C"&amp;$A18)="N/A",0,RTD("tos.rtd",,$A$2,"."&amp;S$2&amp;S$1&amp;"C"&amp;$A18))+IF(RTD("tos.rtd",,$A$2,"."&amp;S$2&amp;S$1&amp;"P"&amp;$A18)="N/A",0,RTD("tos.rtd",,$A$2,"."&amp;S$2&amp;S$1&amp;"P"&amp;$A18)),IF(RTD("tos.rtd",,$A$2,"."&amp;S$2&amp;S$1&amp;"C"&amp;$A18)="N/A",0,RTD("tos.rtd",,$A$2,"."&amp;S$2&amp;S$1&amp;"C"&amp;$A18))-IF(RTD("tos.rtd",,$A$2,"."&amp;S$2&amp;S$1&amp;"P"&amp;$A18)="N/A",0,RTD("tos.rtd",,$A$2,"."&amp;S$2&amp;S$1&amp;"P"&amp;$A18))))))))))</f>
        <v>0</v>
      </c>
      <c r="T18" s="12">
        <f ca="1">IF($A$2="PREMIUM_OI",IFERROR(IF($X$1="ABS",(100*RTD("tos.rtd",,"OPEN_INT","."&amp;T$2&amp;T$1&amp;"C"&amp;$A18)*RTD("tos.rtd",,"LAST","."&amp;T$2&amp;T$1&amp;"C"&amp;$A18)+100*RTD("tos.rtd",,"OPEN_INT","."&amp;T$2&amp;T$1&amp;"P"&amp;$A18)*RTD("tos.rtd",,"LAST","."&amp;T$2&amp;T$1&amp;"P"&amp;$A18))/1000000,(100*RTD("tos.rtd",,"OPEN_INT","."&amp;T$2&amp;T$1&amp;"C"&amp;$A18)*RTD("tos.rtd",,"LAST","."&amp;T$2&amp;T$1&amp;"C"&amp;$A18)-100*RTD("tos.rtd",,"OPEN_INT","."&amp;T$2&amp;T$1&amp;"P"&amp;$A18)*RTD("tos.rtd",,"LAST","."&amp;T$2&amp;T$1&amp;"P"&amp;$A18))/1000000),0),IF($A$2="PREMIUM",IFERROR(IF($X$1="ABS",(100*RTD("tos.rtd",,"VOLUME","."&amp;T$2&amp;T$1&amp;"C"&amp;$A18)*RTD("tos.rtd",,"LAST","."&amp;T$2&amp;T$1&amp;"C"&amp;$A18)+100*RTD("tos.rtd",,"VOLUME","."&amp;T$2&amp;T$1&amp;"P"&amp;$A18)*RTD("tos.rtd",,"LAST","."&amp;T$2&amp;T$1&amp;"P"&amp;$A18))/1000000,(100*RTD("tos.rtd",,"VOLUME","."&amp;T$2&amp;T$1&amp;"C"&amp;$A18)*RTD("tos.rtd",,"LAST","."&amp;T$2&amp;T$1&amp;"C"&amp;$A18)-100*RTD("tos.rtd",,"VOLUME","."&amp;T$2&amp;T$1&amp;"P"&amp;$A18)*RTD("tos.rtd",,"LAST","."&amp;T$2&amp;T$1&amp;"P"&amp;$A18))/1000000),0),IF($A$2="DEX",IFERROR(IF($X$1="ABS",(100*RTD("tos.rtd",,"OPEN_INT","."&amp;T$2&amp;T$1&amp;"C"&amp;$A18)*RTD("tos.rtd",,"DELTA","."&amp;T$2&amp;T$1&amp;"C"&amp;$A18)+100*RTD("tos.rtd",,"OPEN_INT","."&amp;T$2&amp;T$1&amp;"P"&amp;$A18)*RTD("tos.rtd",,"DELTA","."&amp;T$2&amp;T$1&amp;"P"&amp;$A18))/1000,(100*RTD("tos.rtd",,"OPEN_INT","."&amp;T$2&amp;T$1&amp;"C"&amp;$A18)*RTD("tos.rtd",,"DELTA","."&amp;T$2&amp;T$1&amp;"C"&amp;$A18)-100*RTD("tos.rtd",,"OPEN_INT","."&amp;T$2&amp;T$1&amp;"P"&amp;$A18)*RTD("tos.rtd",,"DELTA","."&amp;T$2&amp;T$1&amp;"P"&amp;$A18))/1000),0),IF($A$2="VEX",IFERROR(IF($X$1="ABS",($A$4*$A$4*RTD("tos.rtd",,"VOLUME","."&amp;T$2&amp;T$1&amp;"C"&amp;$A18)*RTD("tos.rtd",,"GAMMA","."&amp;T$2&amp;T$1&amp;"C"&amp;$A18)+$A$4*$A$4*RTD("tos.rtd",,"VOLUME","."&amp;T$2&amp;T$1&amp;"P"&amp;$A18)*RTD("tos.rtd",,"GAMMA","."&amp;T$2&amp;T$1&amp;"P"&amp;$A18))/1000000,($A$4*$A$4*RTD("tos.rtd",,"VOLUME","."&amp;T$2&amp;T$1&amp;"C"&amp;$A18)*RTD("tos.rtd",,"GAMMA","."&amp;T$2&amp;T$1&amp;"C"&amp;$A18)-$A$4*$A$4*RTD("tos.rtd",,"VOLUME","."&amp;T$2&amp;T$1&amp;"P"&amp;$A18)*RTD("tos.rtd",,"GAMMA","."&amp;T$2&amp;T$1&amp;"P"&amp;$A18))/1000000),0),IF($A$2="GEX",IFERROR(IF($X$1="ABS",($A$4*$A$4*RTD("tos.rtd",,"OPEN_INT","."&amp;T$2&amp;T$1&amp;"C"&amp;$A18)*RTD("tos.rtd",,"GAMMA","."&amp;T$2&amp;T$1&amp;"C"&amp;$A18)+$A$4*$A$4*RTD("tos.rtd",,"OPEN_INT","."&amp;T$2&amp;T$1&amp;"P"&amp;$A18)*RTD("tos.rtd",,"GAMMA","."&amp;T$2&amp;T$1&amp;"P"&amp;$A18))/1000000,($A$4*$A$4*RTD("tos.rtd",,"OPEN_INT","."&amp;T$2&amp;T$1&amp;"C"&amp;$A18)*RTD("tos.rtd",,"GAMMA","."&amp;T$2&amp;T$1&amp;"C"&amp;$A18)-$A$4*$A$4*RTD("tos.rtd",,"OPEN_INT","."&amp;T$2&amp;T$1&amp;"P"&amp;$A18)*RTD("tos.rtd",,"GAMMA","."&amp;T$2&amp;T$1&amp;"P"&amp;$A18))/1000000),0),IF($A$2="SKEW",IFERROR(VALUE(IF(RTD("tos.rtd",,"IMPL_VOL","."&amp;T$2&amp;T$1&amp;"P"&amp;$A18)="N/A",0,RTD("tos.rtd",,"IMPL_VOL","."&amp;T$2&amp;T$1&amp;"P"&amp;$A18))),0)-IFERROR(VALUE(IF(RTD("tos.rtd",,"IMPL_VOL","."&amp;T$2&amp;T$1&amp;"C"&amp;$A18)="N/A",0,RTD("tos.rtd",,"IMPL_VOL","."&amp;T$2&amp;T$1&amp;"C"&amp;$A18))),0),IF($A$2="MAXPAIN",IF($A$4&gt;$A18,($A$4-$A18)*IF(RTD("tos.rtd",,"OPEN_INT","."&amp;T$2&amp;T$1&amp;"C"&amp;$A18)="N/A",0,RTD("tos.rtd",,"OPEN_INT","."&amp;T$2&amp;T$1&amp;"C"&amp;$A18)),0)+IF($A$4&lt;$A18,($A$5-$A$4)*IF(RTD("tos.rtd",,"OPEN_INT","."&amp;T$2&amp;T$1&amp;"P"&amp;$A18)="N/A",0,RTD("tos.rtd",,"OPEN_INT","."&amp;T$2&amp;T$1&amp;"P"&amp;$A18)),0),IF($X$1="ABS",IF(RTD("tos.rtd",,$A$2,"."&amp;T$2&amp;T$1&amp;"C"&amp;$A18)="N/A",0,RTD("tos.rtd",,$A$2,"."&amp;T$2&amp;T$1&amp;"C"&amp;$A18))+IF(RTD("tos.rtd",,$A$2,"."&amp;T$2&amp;T$1&amp;"P"&amp;$A18)="N/A",0,RTD("tos.rtd",,$A$2,"."&amp;T$2&amp;T$1&amp;"P"&amp;$A18)),IF(RTD("tos.rtd",,$A$2,"."&amp;T$2&amp;T$1&amp;"C"&amp;$A18)="N/A",0,RTD("tos.rtd",,$A$2,"."&amp;T$2&amp;T$1&amp;"C"&amp;$A18))-IF(RTD("tos.rtd",,$A$2,"."&amp;T$2&amp;T$1&amp;"P"&amp;$A18)="N/A",0,RTD("tos.rtd",,$A$2,"."&amp;T$2&amp;T$1&amp;"P"&amp;$A18))))))))))</f>
        <v>0</v>
      </c>
      <c r="U18" s="12">
        <f ca="1">IF($A$2="PREMIUM_OI",IFERROR(IF($X$1="ABS",(100*RTD("tos.rtd",,"OPEN_INT","."&amp;U$2&amp;U$1&amp;"C"&amp;$A18)*RTD("tos.rtd",,"LAST","."&amp;U$2&amp;U$1&amp;"C"&amp;$A18)+100*RTD("tos.rtd",,"OPEN_INT","."&amp;U$2&amp;U$1&amp;"P"&amp;$A18)*RTD("tos.rtd",,"LAST","."&amp;U$2&amp;U$1&amp;"P"&amp;$A18))/1000000,(100*RTD("tos.rtd",,"OPEN_INT","."&amp;U$2&amp;U$1&amp;"C"&amp;$A18)*RTD("tos.rtd",,"LAST","."&amp;U$2&amp;U$1&amp;"C"&amp;$A18)-100*RTD("tos.rtd",,"OPEN_INT","."&amp;U$2&amp;U$1&amp;"P"&amp;$A18)*RTD("tos.rtd",,"LAST","."&amp;U$2&amp;U$1&amp;"P"&amp;$A18))/1000000),0),IF($A$2="PREMIUM",IFERROR(IF($X$1="ABS",(100*RTD("tos.rtd",,"VOLUME","."&amp;U$2&amp;U$1&amp;"C"&amp;$A18)*RTD("tos.rtd",,"LAST","."&amp;U$2&amp;U$1&amp;"C"&amp;$A18)+100*RTD("tos.rtd",,"VOLUME","."&amp;U$2&amp;U$1&amp;"P"&amp;$A18)*RTD("tos.rtd",,"LAST","."&amp;U$2&amp;U$1&amp;"P"&amp;$A18))/1000000,(100*RTD("tos.rtd",,"VOLUME","."&amp;U$2&amp;U$1&amp;"C"&amp;$A18)*RTD("tos.rtd",,"LAST","."&amp;U$2&amp;U$1&amp;"C"&amp;$A18)-100*RTD("tos.rtd",,"VOLUME","."&amp;U$2&amp;U$1&amp;"P"&amp;$A18)*RTD("tos.rtd",,"LAST","."&amp;U$2&amp;U$1&amp;"P"&amp;$A18))/1000000),0),IF($A$2="DEX",IFERROR(IF($X$1="ABS",(100*RTD("tos.rtd",,"OPEN_INT","."&amp;U$2&amp;U$1&amp;"C"&amp;$A18)*RTD("tos.rtd",,"DELTA","."&amp;U$2&amp;U$1&amp;"C"&amp;$A18)+100*RTD("tos.rtd",,"OPEN_INT","."&amp;U$2&amp;U$1&amp;"P"&amp;$A18)*RTD("tos.rtd",,"DELTA","."&amp;U$2&amp;U$1&amp;"P"&amp;$A18))/1000,(100*RTD("tos.rtd",,"OPEN_INT","."&amp;U$2&amp;U$1&amp;"C"&amp;$A18)*RTD("tos.rtd",,"DELTA","."&amp;U$2&amp;U$1&amp;"C"&amp;$A18)-100*RTD("tos.rtd",,"OPEN_INT","."&amp;U$2&amp;U$1&amp;"P"&amp;$A18)*RTD("tos.rtd",,"DELTA","."&amp;U$2&amp;U$1&amp;"P"&amp;$A18))/1000),0),IF($A$2="VEX",IFERROR(IF($X$1="ABS",($A$4*$A$4*RTD("tos.rtd",,"VOLUME","."&amp;U$2&amp;U$1&amp;"C"&amp;$A18)*RTD("tos.rtd",,"GAMMA","."&amp;U$2&amp;U$1&amp;"C"&amp;$A18)+$A$4*$A$4*RTD("tos.rtd",,"VOLUME","."&amp;U$2&amp;U$1&amp;"P"&amp;$A18)*RTD("tos.rtd",,"GAMMA","."&amp;U$2&amp;U$1&amp;"P"&amp;$A18))/1000000,($A$4*$A$4*RTD("tos.rtd",,"VOLUME","."&amp;U$2&amp;U$1&amp;"C"&amp;$A18)*RTD("tos.rtd",,"GAMMA","."&amp;U$2&amp;U$1&amp;"C"&amp;$A18)-$A$4*$A$4*RTD("tos.rtd",,"VOLUME","."&amp;U$2&amp;U$1&amp;"P"&amp;$A18)*RTD("tos.rtd",,"GAMMA","."&amp;U$2&amp;U$1&amp;"P"&amp;$A18))/1000000),0),IF($A$2="GEX",IFERROR(IF($X$1="ABS",($A$4*$A$4*RTD("tos.rtd",,"OPEN_INT","."&amp;U$2&amp;U$1&amp;"C"&amp;$A18)*RTD("tos.rtd",,"GAMMA","."&amp;U$2&amp;U$1&amp;"C"&amp;$A18)+$A$4*$A$4*RTD("tos.rtd",,"OPEN_INT","."&amp;U$2&amp;U$1&amp;"P"&amp;$A18)*RTD("tos.rtd",,"GAMMA","."&amp;U$2&amp;U$1&amp;"P"&amp;$A18))/1000000,($A$4*$A$4*RTD("tos.rtd",,"OPEN_INT","."&amp;U$2&amp;U$1&amp;"C"&amp;$A18)*RTD("tos.rtd",,"GAMMA","."&amp;U$2&amp;U$1&amp;"C"&amp;$A18)-$A$4*$A$4*RTD("tos.rtd",,"OPEN_INT","."&amp;U$2&amp;U$1&amp;"P"&amp;$A18)*RTD("tos.rtd",,"GAMMA","."&amp;U$2&amp;U$1&amp;"P"&amp;$A18))/1000000),0),IF($A$2="SKEW",IFERROR(VALUE(IF(RTD("tos.rtd",,"IMPL_VOL","."&amp;U$2&amp;U$1&amp;"P"&amp;$A18)="N/A",0,RTD("tos.rtd",,"IMPL_VOL","."&amp;U$2&amp;U$1&amp;"P"&amp;$A18))),0)-IFERROR(VALUE(IF(RTD("tos.rtd",,"IMPL_VOL","."&amp;U$2&amp;U$1&amp;"C"&amp;$A18)="N/A",0,RTD("tos.rtd",,"IMPL_VOL","."&amp;U$2&amp;U$1&amp;"C"&amp;$A18))),0),IF($A$2="MAXPAIN",IF($A$4&gt;$A18,($A$4-$A18)*IF(RTD("tos.rtd",,"OPEN_INT","."&amp;U$2&amp;U$1&amp;"C"&amp;$A18)="N/A",0,RTD("tos.rtd",,"OPEN_INT","."&amp;U$2&amp;U$1&amp;"C"&amp;$A18)),0)+IF($A$4&lt;$A18,($A$5-$A$4)*IF(RTD("tos.rtd",,"OPEN_INT","."&amp;U$2&amp;U$1&amp;"P"&amp;$A18)="N/A",0,RTD("tos.rtd",,"OPEN_INT","."&amp;U$2&amp;U$1&amp;"P"&amp;$A18)),0),IF($X$1="ABS",IF(RTD("tos.rtd",,$A$2,"."&amp;U$2&amp;U$1&amp;"C"&amp;$A18)="N/A",0,RTD("tos.rtd",,$A$2,"."&amp;U$2&amp;U$1&amp;"C"&amp;$A18))+IF(RTD("tos.rtd",,$A$2,"."&amp;U$2&amp;U$1&amp;"P"&amp;$A18)="N/A",0,RTD("tos.rtd",,$A$2,"."&amp;U$2&amp;U$1&amp;"P"&amp;$A18)),IF(RTD("tos.rtd",,$A$2,"."&amp;U$2&amp;U$1&amp;"C"&amp;$A18)="N/A",0,RTD("tos.rtd",,$A$2,"."&amp;U$2&amp;U$1&amp;"C"&amp;$A18))-IF(RTD("tos.rtd",,$A$2,"."&amp;U$2&amp;U$1&amp;"P"&amp;$A18)="N/A",0,RTD("tos.rtd",,$A$2,"."&amp;U$2&amp;U$1&amp;"P"&amp;$A18))))))))))</f>
        <v>0</v>
      </c>
      <c r="V18" s="12">
        <f ca="1">IF($A$2="PREMIUM_OI",IFERROR(IF($X$1="ABS",(100*RTD("tos.rtd",,"OPEN_INT","."&amp;V$2&amp;V$1&amp;"C"&amp;$A18)*RTD("tos.rtd",,"LAST","."&amp;V$2&amp;V$1&amp;"C"&amp;$A18)+100*RTD("tos.rtd",,"OPEN_INT","."&amp;V$2&amp;V$1&amp;"P"&amp;$A18)*RTD("tos.rtd",,"LAST","."&amp;V$2&amp;V$1&amp;"P"&amp;$A18))/1000000,(100*RTD("tos.rtd",,"OPEN_INT","."&amp;V$2&amp;V$1&amp;"C"&amp;$A18)*RTD("tos.rtd",,"LAST","."&amp;V$2&amp;V$1&amp;"C"&amp;$A18)-100*RTD("tos.rtd",,"OPEN_INT","."&amp;V$2&amp;V$1&amp;"P"&amp;$A18)*RTD("tos.rtd",,"LAST","."&amp;V$2&amp;V$1&amp;"P"&amp;$A18))/1000000),0),IF($A$2="PREMIUM",IFERROR(IF($X$1="ABS",(100*RTD("tos.rtd",,"VOLUME","."&amp;V$2&amp;V$1&amp;"C"&amp;$A18)*RTD("tos.rtd",,"LAST","."&amp;V$2&amp;V$1&amp;"C"&amp;$A18)+100*RTD("tos.rtd",,"VOLUME","."&amp;V$2&amp;V$1&amp;"P"&amp;$A18)*RTD("tos.rtd",,"LAST","."&amp;V$2&amp;V$1&amp;"P"&amp;$A18))/1000000,(100*RTD("tos.rtd",,"VOLUME","."&amp;V$2&amp;V$1&amp;"C"&amp;$A18)*RTD("tos.rtd",,"LAST","."&amp;V$2&amp;V$1&amp;"C"&amp;$A18)-100*RTD("tos.rtd",,"VOLUME","."&amp;V$2&amp;V$1&amp;"P"&amp;$A18)*RTD("tos.rtd",,"LAST","."&amp;V$2&amp;V$1&amp;"P"&amp;$A18))/1000000),0),IF($A$2="DEX",IFERROR(IF($X$1="ABS",(100*RTD("tos.rtd",,"OPEN_INT","."&amp;V$2&amp;V$1&amp;"C"&amp;$A18)*RTD("tos.rtd",,"DELTA","."&amp;V$2&amp;V$1&amp;"C"&amp;$A18)+100*RTD("tos.rtd",,"OPEN_INT","."&amp;V$2&amp;V$1&amp;"P"&amp;$A18)*RTD("tos.rtd",,"DELTA","."&amp;V$2&amp;V$1&amp;"P"&amp;$A18))/1000,(100*RTD("tos.rtd",,"OPEN_INT","."&amp;V$2&amp;V$1&amp;"C"&amp;$A18)*RTD("tos.rtd",,"DELTA","."&amp;V$2&amp;V$1&amp;"C"&amp;$A18)-100*RTD("tos.rtd",,"OPEN_INT","."&amp;V$2&amp;V$1&amp;"P"&amp;$A18)*RTD("tos.rtd",,"DELTA","."&amp;V$2&amp;V$1&amp;"P"&amp;$A18))/1000),0),IF($A$2="VEX",IFERROR(IF($X$1="ABS",($A$4*$A$4*RTD("tos.rtd",,"VOLUME","."&amp;V$2&amp;V$1&amp;"C"&amp;$A18)*RTD("tos.rtd",,"GAMMA","."&amp;V$2&amp;V$1&amp;"C"&amp;$A18)+$A$4*$A$4*RTD("tos.rtd",,"VOLUME","."&amp;V$2&amp;V$1&amp;"P"&amp;$A18)*RTD("tos.rtd",,"GAMMA","."&amp;V$2&amp;V$1&amp;"P"&amp;$A18))/1000000,($A$4*$A$4*RTD("tos.rtd",,"VOLUME","."&amp;V$2&amp;V$1&amp;"C"&amp;$A18)*RTD("tos.rtd",,"GAMMA","."&amp;V$2&amp;V$1&amp;"C"&amp;$A18)-$A$4*$A$4*RTD("tos.rtd",,"VOLUME","."&amp;V$2&amp;V$1&amp;"P"&amp;$A18)*RTD("tos.rtd",,"GAMMA","."&amp;V$2&amp;V$1&amp;"P"&amp;$A18))/1000000),0),IF($A$2="GEX",IFERROR(IF($X$1="ABS",($A$4*$A$4*RTD("tos.rtd",,"OPEN_INT","."&amp;V$2&amp;V$1&amp;"C"&amp;$A18)*RTD("tos.rtd",,"GAMMA","."&amp;V$2&amp;V$1&amp;"C"&amp;$A18)+$A$4*$A$4*RTD("tos.rtd",,"OPEN_INT","."&amp;V$2&amp;V$1&amp;"P"&amp;$A18)*RTD("tos.rtd",,"GAMMA","."&amp;V$2&amp;V$1&amp;"P"&amp;$A18))/1000000,($A$4*$A$4*RTD("tos.rtd",,"OPEN_INT","."&amp;V$2&amp;V$1&amp;"C"&amp;$A18)*RTD("tos.rtd",,"GAMMA","."&amp;V$2&amp;V$1&amp;"C"&amp;$A18)-$A$4*$A$4*RTD("tos.rtd",,"OPEN_INT","."&amp;V$2&amp;V$1&amp;"P"&amp;$A18)*RTD("tos.rtd",,"GAMMA","."&amp;V$2&amp;V$1&amp;"P"&amp;$A18))/1000000),0),IF($A$2="SKEW",IFERROR(VALUE(IF(RTD("tos.rtd",,"IMPL_VOL","."&amp;V$2&amp;V$1&amp;"P"&amp;$A18)="N/A",0,RTD("tos.rtd",,"IMPL_VOL","."&amp;V$2&amp;V$1&amp;"P"&amp;$A18))),0)-IFERROR(VALUE(IF(RTD("tos.rtd",,"IMPL_VOL","."&amp;V$2&amp;V$1&amp;"C"&amp;$A18)="N/A",0,RTD("tos.rtd",,"IMPL_VOL","."&amp;V$2&amp;V$1&amp;"C"&amp;$A18))),0),IF($A$2="MAXPAIN",IF($A$4&gt;$A18,($A$4-$A18)*IF(RTD("tos.rtd",,"OPEN_INT","."&amp;V$2&amp;V$1&amp;"C"&amp;$A18)="N/A",0,RTD("tos.rtd",,"OPEN_INT","."&amp;V$2&amp;V$1&amp;"C"&amp;$A18)),0)+IF($A$4&lt;$A18,($A$5-$A$4)*IF(RTD("tos.rtd",,"OPEN_INT","."&amp;V$2&amp;V$1&amp;"P"&amp;$A18)="N/A",0,RTD("tos.rtd",,"OPEN_INT","."&amp;V$2&amp;V$1&amp;"P"&amp;$A18)),0),IF($X$1="ABS",IF(RTD("tos.rtd",,$A$2,"."&amp;V$2&amp;V$1&amp;"C"&amp;$A18)="N/A",0,RTD("tos.rtd",,$A$2,"."&amp;V$2&amp;V$1&amp;"C"&amp;$A18))+IF(RTD("tos.rtd",,$A$2,"."&amp;V$2&amp;V$1&amp;"P"&amp;$A18)="N/A",0,RTD("tos.rtd",,$A$2,"."&amp;V$2&amp;V$1&amp;"P"&amp;$A18)),IF(RTD("tos.rtd",,$A$2,"."&amp;V$2&amp;V$1&amp;"C"&amp;$A18)="N/A",0,RTD("tos.rtd",,$A$2,"."&amp;V$2&amp;V$1&amp;"C"&amp;$A18))-IF(RTD("tos.rtd",,$A$2,"."&amp;V$2&amp;V$1&amp;"P"&amp;$A18)="N/A",0,RTD("tos.rtd",,$A$2,"."&amp;V$2&amp;V$1&amp;"P"&amp;$A18))))))))))</f>
        <v>0</v>
      </c>
      <c r="W18" s="54">
        <f ca="1">IF($A$2="PREMIUM_OI",IFERROR(IF($X$1="ABS",(100*RTD("tos.rtd",,"OPEN_INT","."&amp;W$2&amp;W$1&amp;"C"&amp;$A18)*RTD("tos.rtd",,"LAST","."&amp;W$2&amp;W$1&amp;"C"&amp;$A18)+100*RTD("tos.rtd",,"OPEN_INT","."&amp;W$2&amp;W$1&amp;"P"&amp;$A18)*RTD("tos.rtd",,"LAST","."&amp;W$2&amp;W$1&amp;"P"&amp;$A18))/1000000,(100*RTD("tos.rtd",,"OPEN_INT","."&amp;W$2&amp;W$1&amp;"C"&amp;$A18)*RTD("tos.rtd",,"LAST","."&amp;W$2&amp;W$1&amp;"C"&amp;$A18)-100*RTD("tos.rtd",,"OPEN_INT","."&amp;W$2&amp;W$1&amp;"P"&amp;$A18)*RTD("tos.rtd",,"LAST","."&amp;W$2&amp;W$1&amp;"P"&amp;$A18))/1000000),0),IF($A$2="PREMIUM",IFERROR(IF($X$1="ABS",(100*RTD("tos.rtd",,"VOLUME","."&amp;W$2&amp;W$1&amp;"C"&amp;$A18)*RTD("tos.rtd",,"LAST","."&amp;W$2&amp;W$1&amp;"C"&amp;$A18)+100*RTD("tos.rtd",,"VOLUME","."&amp;W$2&amp;W$1&amp;"P"&amp;$A18)*RTD("tos.rtd",,"LAST","."&amp;W$2&amp;W$1&amp;"P"&amp;$A18))/1000000,(100*RTD("tos.rtd",,"VOLUME","."&amp;W$2&amp;W$1&amp;"C"&amp;$A18)*RTD("tos.rtd",,"LAST","."&amp;W$2&amp;W$1&amp;"C"&amp;$A18)-100*RTD("tos.rtd",,"VOLUME","."&amp;W$2&amp;W$1&amp;"P"&amp;$A18)*RTD("tos.rtd",,"LAST","."&amp;W$2&amp;W$1&amp;"P"&amp;$A18))/1000000),0),IF($A$2="DEX",IFERROR(IF($X$1="ABS",(100*RTD("tos.rtd",,"OPEN_INT","."&amp;W$2&amp;W$1&amp;"C"&amp;$A18)*RTD("tos.rtd",,"DELTA","."&amp;W$2&amp;W$1&amp;"C"&amp;$A18)+100*RTD("tos.rtd",,"OPEN_INT","."&amp;W$2&amp;W$1&amp;"P"&amp;$A18)*RTD("tos.rtd",,"DELTA","."&amp;W$2&amp;W$1&amp;"P"&amp;$A18))/1000,(100*RTD("tos.rtd",,"OPEN_INT","."&amp;W$2&amp;W$1&amp;"C"&amp;$A18)*RTD("tos.rtd",,"DELTA","."&amp;W$2&amp;W$1&amp;"C"&amp;$A18)-100*RTD("tos.rtd",,"OPEN_INT","."&amp;W$2&amp;W$1&amp;"P"&amp;$A18)*RTD("tos.rtd",,"DELTA","."&amp;W$2&amp;W$1&amp;"P"&amp;$A18))/1000),0),IF($A$2="VEX",IFERROR(IF($X$1="ABS",($A$4*$A$4*RTD("tos.rtd",,"VOLUME","."&amp;W$2&amp;W$1&amp;"C"&amp;$A18)*RTD("tos.rtd",,"GAMMA","."&amp;W$2&amp;W$1&amp;"C"&amp;$A18)+$A$4*$A$4*RTD("tos.rtd",,"VOLUME","."&amp;W$2&amp;W$1&amp;"P"&amp;$A18)*RTD("tos.rtd",,"GAMMA","."&amp;W$2&amp;W$1&amp;"P"&amp;$A18))/1000000,($A$4*$A$4*RTD("tos.rtd",,"VOLUME","."&amp;W$2&amp;W$1&amp;"C"&amp;$A18)*RTD("tos.rtd",,"GAMMA","."&amp;W$2&amp;W$1&amp;"C"&amp;$A18)-$A$4*$A$4*RTD("tos.rtd",,"VOLUME","."&amp;W$2&amp;W$1&amp;"P"&amp;$A18)*RTD("tos.rtd",,"GAMMA","."&amp;W$2&amp;W$1&amp;"P"&amp;$A18))/1000000),0),IF($A$2="GEX",IFERROR(IF($X$1="ABS",($A$4*$A$4*RTD("tos.rtd",,"OPEN_INT","."&amp;W$2&amp;W$1&amp;"C"&amp;$A18)*RTD("tos.rtd",,"GAMMA","."&amp;W$2&amp;W$1&amp;"C"&amp;$A18)+$A$4*$A$4*RTD("tos.rtd",,"OPEN_INT","."&amp;W$2&amp;W$1&amp;"P"&amp;$A18)*RTD("tos.rtd",,"GAMMA","."&amp;W$2&amp;W$1&amp;"P"&amp;$A18))/1000000,($A$4*$A$4*RTD("tos.rtd",,"OPEN_INT","."&amp;W$2&amp;W$1&amp;"C"&amp;$A18)*RTD("tos.rtd",,"GAMMA","."&amp;W$2&amp;W$1&amp;"C"&amp;$A18)-$A$4*$A$4*RTD("tos.rtd",,"OPEN_INT","."&amp;W$2&amp;W$1&amp;"P"&amp;$A18)*RTD("tos.rtd",,"GAMMA","."&amp;W$2&amp;W$1&amp;"P"&amp;$A18))/1000000),0),IF($A$2="SKEW",IFERROR(VALUE(IF(RTD("tos.rtd",,"IMPL_VOL","."&amp;W$2&amp;W$1&amp;"P"&amp;$A18)="N/A",0,RTD("tos.rtd",,"IMPL_VOL","."&amp;W$2&amp;W$1&amp;"P"&amp;$A18))),0)-IFERROR(VALUE(IF(RTD("tos.rtd",,"IMPL_VOL","."&amp;W$2&amp;W$1&amp;"C"&amp;$A18)="N/A",0,RTD("tos.rtd",,"IMPL_VOL","."&amp;W$2&amp;W$1&amp;"C"&amp;$A18))),0),IF($A$2="MAXPAIN",IF($A$4&gt;$A18,($A$4-$A18)*IF(RTD("tos.rtd",,"OPEN_INT","."&amp;W$2&amp;W$1&amp;"C"&amp;$A18)="N/A",0,RTD("tos.rtd",,"OPEN_INT","."&amp;W$2&amp;W$1&amp;"C"&amp;$A18)),0)+IF($A$4&lt;$A18,($A$5-$A$4)*IF(RTD("tos.rtd",,"OPEN_INT","."&amp;W$2&amp;W$1&amp;"P"&amp;$A18)="N/A",0,RTD("tos.rtd",,"OPEN_INT","."&amp;W$2&amp;W$1&amp;"P"&amp;$A18)),0),IF($X$1="ABS",IF(RTD("tos.rtd",,$A$2,"."&amp;W$2&amp;W$1&amp;"C"&amp;$A18)="N/A",0,RTD("tos.rtd",,$A$2,"."&amp;W$2&amp;W$1&amp;"C"&amp;$A18))+IF(RTD("tos.rtd",,$A$2,"."&amp;W$2&amp;W$1&amp;"P"&amp;$A18)="N/A",0,RTD("tos.rtd",,$A$2,"."&amp;W$2&amp;W$1&amp;"P"&amp;$A18)),IF(RTD("tos.rtd",,$A$2,"."&amp;W$2&amp;W$1&amp;"C"&amp;$A18)="N/A",0,RTD("tos.rtd",,$A$2,"."&amp;W$2&amp;W$1&amp;"C"&amp;$A18))-IF(RTD("tos.rtd",,$A$2,"."&amp;W$2&amp;W$1&amp;"P"&amp;$A18)="N/A",0,RTD("tos.rtd",,$A$2,"."&amp;W$2&amp;W$1&amp;"P"&amp;$A18))))))))))</f>
        <v>0</v>
      </c>
      <c r="X18" s="57">
        <f t="shared" ca="1" si="8"/>
        <v>0</v>
      </c>
      <c r="Y18" s="27">
        <f t="shared" ca="1" si="9"/>
        <v>0</v>
      </c>
      <c r="Z18" s="27">
        <f ca="1">+'OI-VOL'!Y18</f>
        <v>57008</v>
      </c>
      <c r="AA18" s="27" t="b">
        <f t="shared" ca="1" si="10"/>
        <v>0</v>
      </c>
      <c r="AB18" s="27">
        <f t="shared" si="11"/>
        <v>129000600</v>
      </c>
      <c r="AC18" s="18">
        <f>MAX(0, $A18-AC$4)*IF(RTD("tos.rtd",,"OPEN_INT","."&amp;$AB$3&amp;$AB$4&amp;"C"&amp;AC$4)="N/A",0,RTD("tos.rtd",,"OPEN_INT","."&amp;$AB$3&amp;$AB$4&amp;"C"&amp;AC$4))*100 + MAX(0, AC$4-$A18)*IF(RTD("tos.rtd",,"OPEN_INT","."&amp;$AB$3&amp;$AB$4&amp;"P"&amp;AC$4)="N/A",0,RTD("tos.rtd",,"OPEN_INT","."&amp;$AB$3&amp;$AB$4&amp;"P"&amp;AC$4))*100</f>
        <v>0</v>
      </c>
      <c r="AD18" s="18">
        <f>MAX(0, $A18-AD$4)*IF(RTD("tos.rtd",,"OPEN_INT","."&amp;$AB$3&amp;$AB$4&amp;"C"&amp;AD$4)="N/A",0,RTD("tos.rtd",,"OPEN_INT","."&amp;$AB$3&amp;$AB$4&amp;"C"&amp;AD$4))*100 + MAX(0, AD$4-$A18)*IF(RTD("tos.rtd",,"OPEN_INT","."&amp;$AB$3&amp;$AB$4&amp;"P"&amp;AD$4)="N/A",0,RTD("tos.rtd",,"OPEN_INT","."&amp;$AB$3&amp;$AB$4&amp;"P"&amp;AD$4))*100</f>
        <v>0</v>
      </c>
      <c r="AE18" s="18">
        <f>MAX(0, $A18-AE$4)*IF(RTD("tos.rtd",,"OPEN_INT","."&amp;$AB$3&amp;$AB$4&amp;"C"&amp;AE$4)="N/A",0,RTD("tos.rtd",,"OPEN_INT","."&amp;$AB$3&amp;$AB$4&amp;"C"&amp;AE$4))*100 + MAX(0, AE$4-$A18)*IF(RTD("tos.rtd",,"OPEN_INT","."&amp;$AB$3&amp;$AB$4&amp;"P"&amp;AE$4)="N/A",0,RTD("tos.rtd",,"OPEN_INT","."&amp;$AB$3&amp;$AB$4&amp;"P"&amp;AE$4))*100</f>
        <v>0</v>
      </c>
      <c r="AF18" s="18">
        <f>MAX(0, $A18-AF$4)*IF(RTD("tos.rtd",,"OPEN_INT","."&amp;$AB$3&amp;$AB$4&amp;"C"&amp;AF$4)="N/A",0,RTD("tos.rtd",,"OPEN_INT","."&amp;$AB$3&amp;$AB$4&amp;"C"&amp;AF$4))*100 + MAX(0, AF$4-$A18)*IF(RTD("tos.rtd",,"OPEN_INT","."&amp;$AB$3&amp;$AB$4&amp;"P"&amp;AF$4)="N/A",0,RTD("tos.rtd",,"OPEN_INT","."&amp;$AB$3&amp;$AB$4&amp;"P"&amp;AF$4))*100</f>
        <v>0</v>
      </c>
      <c r="AG18" s="18">
        <f>MAX(0, $A18-AG$4)*IF(RTD("tos.rtd",,"OPEN_INT","."&amp;$AB$3&amp;$AB$4&amp;"C"&amp;AG$4)="N/A",0,RTD("tos.rtd",,"OPEN_INT","."&amp;$AB$3&amp;$AB$4&amp;"C"&amp;AG$4))*100 + MAX(0, AG$4-$A18)*IF(RTD("tos.rtd",,"OPEN_INT","."&amp;$AB$3&amp;$AB$4&amp;"P"&amp;AG$4)="N/A",0,RTD("tos.rtd",,"OPEN_INT","."&amp;$AB$3&amp;$AB$4&amp;"P"&amp;AG$4))*100</f>
        <v>0</v>
      </c>
      <c r="AH18" s="18">
        <f>MAX(0, $A18-AH$4)*IF(RTD("tos.rtd",,"OPEN_INT","."&amp;$AB$3&amp;$AB$4&amp;"C"&amp;AH$4)="N/A",0,RTD("tos.rtd",,"OPEN_INT","."&amp;$AB$3&amp;$AB$4&amp;"C"&amp;AH$4))*100 + MAX(0, AH$4-$A18)*IF(RTD("tos.rtd",,"OPEN_INT","."&amp;$AB$3&amp;$AB$4&amp;"P"&amp;AH$4)="N/A",0,RTD("tos.rtd",,"OPEN_INT","."&amp;$AB$3&amp;$AB$4&amp;"P"&amp;AH$4))*100</f>
        <v>0</v>
      </c>
      <c r="AI18" s="18">
        <f>MAX(0, $A18-AI$4)*IF(RTD("tos.rtd",,"OPEN_INT","."&amp;$AB$3&amp;$AB$4&amp;"C"&amp;AI$4)="N/A",0,RTD("tos.rtd",,"OPEN_INT","."&amp;$AB$3&amp;$AB$4&amp;"C"&amp;AI$4))*100 + MAX(0, AI$4-$A18)*IF(RTD("tos.rtd",,"OPEN_INT","."&amp;$AB$3&amp;$AB$4&amp;"P"&amp;AI$4)="N/A",0,RTD("tos.rtd",,"OPEN_INT","."&amp;$AB$3&amp;$AB$4&amp;"P"&amp;AI$4))*100</f>
        <v>0</v>
      </c>
      <c r="AJ18" s="18">
        <f>MAX(0, $A18-AJ$4)*IF(RTD("tos.rtd",,"OPEN_INT","."&amp;$AB$3&amp;$AB$4&amp;"C"&amp;AJ$4)="N/A",0,RTD("tos.rtd",,"OPEN_INT","."&amp;$AB$3&amp;$AB$4&amp;"C"&amp;AJ$4))*100 + MAX(0, AJ$4-$A18)*IF(RTD("tos.rtd",,"OPEN_INT","."&amp;$AB$3&amp;$AB$4&amp;"P"&amp;AJ$4)="N/A",0,RTD("tos.rtd",,"OPEN_INT","."&amp;$AB$3&amp;$AB$4&amp;"P"&amp;AJ$4))*100</f>
        <v>900</v>
      </c>
      <c r="AK18" s="18">
        <f>MAX(0, $A18-AK$4)*IF(RTD("tos.rtd",,"OPEN_INT","."&amp;$AB$3&amp;$AB$4&amp;"C"&amp;AK$4)="N/A",0,RTD("tos.rtd",,"OPEN_INT","."&amp;$AB$3&amp;$AB$4&amp;"C"&amp;AK$4))*100 + MAX(0, AK$4-$A18)*IF(RTD("tos.rtd",,"OPEN_INT","."&amp;$AB$3&amp;$AB$4&amp;"P"&amp;AK$4)="N/A",0,RTD("tos.rtd",,"OPEN_INT","."&amp;$AB$3&amp;$AB$4&amp;"P"&amp;AK$4))*100</f>
        <v>2000</v>
      </c>
      <c r="AL18" s="18">
        <f>MAX(0, $A18-AL$4)*IF(RTD("tos.rtd",,"OPEN_INT","."&amp;$AB$3&amp;$AB$4&amp;"C"&amp;AL$4)="N/A",0,RTD("tos.rtd",,"OPEN_INT","."&amp;$AB$3&amp;$AB$4&amp;"C"&amp;AL$4))*100 + MAX(0, AL$4-$A18)*IF(RTD("tos.rtd",,"OPEN_INT","."&amp;$AB$3&amp;$AB$4&amp;"P"&amp;AL$4)="N/A",0,RTD("tos.rtd",,"OPEN_INT","."&amp;$AB$3&amp;$AB$4&amp;"P"&amp;AL$4))*100</f>
        <v>0</v>
      </c>
      <c r="AM18" s="18">
        <f>MAX(0, $A18-AM$4)*IF(RTD("tos.rtd",,"OPEN_INT","."&amp;$AB$3&amp;$AB$4&amp;"C"&amp;AM$4)="N/A",0,RTD("tos.rtd",,"OPEN_INT","."&amp;$AB$3&amp;$AB$4&amp;"C"&amp;AM$4))*100 + MAX(0, AM$4-$A18)*IF(RTD("tos.rtd",,"OPEN_INT","."&amp;$AB$3&amp;$AB$4&amp;"P"&amp;AM$4)="N/A",0,RTD("tos.rtd",,"OPEN_INT","."&amp;$AB$3&amp;$AB$4&amp;"P"&amp;AM$4))*100</f>
        <v>0</v>
      </c>
      <c r="AN18" s="18">
        <f>MAX(0, $A18-AN$4)*IF(RTD("tos.rtd",,"OPEN_INT","."&amp;$AB$3&amp;$AB$4&amp;"C"&amp;AN$4)="N/A",0,RTD("tos.rtd",,"OPEN_INT","."&amp;$AB$3&amp;$AB$4&amp;"C"&amp;AN$4))*100 + MAX(0, AN$4-$A18)*IF(RTD("tos.rtd",,"OPEN_INT","."&amp;$AB$3&amp;$AB$4&amp;"P"&amp;AN$4)="N/A",0,RTD("tos.rtd",,"OPEN_INT","."&amp;$AB$3&amp;$AB$4&amp;"P"&amp;AN$4))*100</f>
        <v>0</v>
      </c>
      <c r="AO18" s="18">
        <f>MAX(0, $A18-AO$4)*IF(RTD("tos.rtd",,"OPEN_INT","."&amp;$AB$3&amp;$AB$4&amp;"C"&amp;AO$4)="N/A",0,RTD("tos.rtd",,"OPEN_INT","."&amp;$AB$3&amp;$AB$4&amp;"C"&amp;AO$4))*100 + MAX(0, AO$4-$A18)*IF(RTD("tos.rtd",,"OPEN_INT","."&amp;$AB$3&amp;$AB$4&amp;"P"&amp;AO$4)="N/A",0,RTD("tos.rtd",,"OPEN_INT","."&amp;$AB$3&amp;$AB$4&amp;"P"&amp;AO$4))*100</f>
        <v>0</v>
      </c>
      <c r="AP18" s="18">
        <f>MAX(0, $A18-AP$4)*IF(RTD("tos.rtd",,"OPEN_INT","."&amp;$AB$3&amp;$AB$4&amp;"C"&amp;AP$4)="N/A",0,RTD("tos.rtd",,"OPEN_INT","."&amp;$AB$3&amp;$AB$4&amp;"C"&amp;AP$4))*100 + MAX(0, AP$4-$A18)*IF(RTD("tos.rtd",,"OPEN_INT","."&amp;$AB$3&amp;$AB$4&amp;"P"&amp;AP$4)="N/A",0,RTD("tos.rtd",,"OPEN_INT","."&amp;$AB$3&amp;$AB$4&amp;"P"&amp;AP$4))*100</f>
        <v>0</v>
      </c>
      <c r="AQ18" s="18">
        <f>MAX(0, $A18-AQ$4)*IF(RTD("tos.rtd",,"OPEN_INT","."&amp;$AB$3&amp;$AB$4&amp;"C"&amp;AQ$4)="N/A",0,RTD("tos.rtd",,"OPEN_INT","."&amp;$AB$3&amp;$AB$4&amp;"C"&amp;AQ$4))*100 + MAX(0, AQ$4-$A18)*IF(RTD("tos.rtd",,"OPEN_INT","."&amp;$AB$3&amp;$AB$4&amp;"P"&amp;AQ$4)="N/A",0,RTD("tos.rtd",,"OPEN_INT","."&amp;$AB$3&amp;$AB$4&amp;"P"&amp;AQ$4))*100</f>
        <v>0</v>
      </c>
      <c r="AR18" s="18">
        <f>MAX(0, $A18-AR$4)*IF(RTD("tos.rtd",,"OPEN_INT","."&amp;$AB$3&amp;$AB$4&amp;"C"&amp;AR$4)="N/A",0,RTD("tos.rtd",,"OPEN_INT","."&amp;$AB$3&amp;$AB$4&amp;"C"&amp;AR$4))*100 + MAX(0, AR$4-$A18)*IF(RTD("tos.rtd",,"OPEN_INT","."&amp;$AB$3&amp;$AB$4&amp;"P"&amp;AR$4)="N/A",0,RTD("tos.rtd",,"OPEN_INT","."&amp;$AB$3&amp;$AB$4&amp;"P"&amp;AR$4))*100</f>
        <v>64000</v>
      </c>
      <c r="AS18" s="18">
        <f>MAX(0, $A18-AS$4)*IF(RTD("tos.rtd",,"OPEN_INT","."&amp;$AB$3&amp;$AB$4&amp;"C"&amp;AS$4)="N/A",0,RTD("tos.rtd",,"OPEN_INT","."&amp;$AB$3&amp;$AB$4&amp;"C"&amp;AS$4))*100 + MAX(0, AS$4-$A18)*IF(RTD("tos.rtd",,"OPEN_INT","."&amp;$AB$3&amp;$AB$4&amp;"P"&amp;AS$4)="N/A",0,RTD("tos.rtd",,"OPEN_INT","."&amp;$AB$3&amp;$AB$4&amp;"P"&amp;AS$4))*100</f>
        <v>150</v>
      </c>
      <c r="AT18" s="18">
        <f>MAX(0, $A18-AT$4)*IF(RTD("tos.rtd",,"OPEN_INT","."&amp;$AB$3&amp;$AB$4&amp;"C"&amp;AT$4)="N/A",0,RTD("tos.rtd",,"OPEN_INT","."&amp;$AB$3&amp;$AB$4&amp;"C"&amp;AT$4))*100 + MAX(0, AT$4-$A18)*IF(RTD("tos.rtd",,"OPEN_INT","."&amp;$AB$3&amp;$AB$4&amp;"P"&amp;AT$4)="N/A",0,RTD("tos.rtd",,"OPEN_INT","."&amp;$AB$3&amp;$AB$4&amp;"P"&amp;AT$4))*100</f>
        <v>172400</v>
      </c>
      <c r="AU18" s="18">
        <f>MAX(0, $A18-AU$4)*IF(RTD("tos.rtd",,"OPEN_INT","."&amp;$AB$3&amp;$AB$4&amp;"C"&amp;AU$4)="N/A",0,RTD("tos.rtd",,"OPEN_INT","."&amp;$AB$3&amp;$AB$4&amp;"C"&amp;AU$4))*100 + MAX(0, AU$4-$A18)*IF(RTD("tos.rtd",,"OPEN_INT","."&amp;$AB$3&amp;$AB$4&amp;"P"&amp;AU$4)="N/A",0,RTD("tos.rtd",,"OPEN_INT","."&amp;$AB$3&amp;$AB$4&amp;"P"&amp;AU$4))*100</f>
        <v>350500</v>
      </c>
      <c r="AV18" s="18">
        <f>MAX(0, $A18-AV$4)*IF(RTD("tos.rtd",,"OPEN_INT","."&amp;$AB$3&amp;$AB$4&amp;"C"&amp;AV$4)="N/A",0,RTD("tos.rtd",,"OPEN_INT","."&amp;$AB$3&amp;$AB$4&amp;"C"&amp;AV$4))*100 + MAX(0, AV$4-$A18)*IF(RTD("tos.rtd",,"OPEN_INT","."&amp;$AB$3&amp;$AB$4&amp;"P"&amp;AV$4)="N/A",0,RTD("tos.rtd",,"OPEN_INT","."&amp;$AB$3&amp;$AB$4&amp;"P"&amp;AV$4))*100</f>
        <v>504900</v>
      </c>
      <c r="AW18" s="18">
        <f>MAX(0, $A18-AW$4)*IF(RTD("tos.rtd",,"OPEN_INT","."&amp;$AB$3&amp;$AB$4&amp;"C"&amp;AW$4)="N/A",0,RTD("tos.rtd",,"OPEN_INT","."&amp;$AB$3&amp;$AB$4&amp;"C"&amp;AW$4))*100 + MAX(0, AW$4-$A18)*IF(RTD("tos.rtd",,"OPEN_INT","."&amp;$AB$3&amp;$AB$4&amp;"P"&amp;AW$4)="N/A",0,RTD("tos.rtd",,"OPEN_INT","."&amp;$AB$3&amp;$AB$4&amp;"P"&amp;AW$4))*100</f>
        <v>660800</v>
      </c>
      <c r="AX18" s="18">
        <f>MAX(0, $A18-AX$4)*IF(RTD("tos.rtd",,"OPEN_INT","."&amp;$AB$3&amp;$AB$4&amp;"C"&amp;AX$4)="N/A",0,RTD("tos.rtd",,"OPEN_INT","."&amp;$AB$3&amp;$AB$4&amp;"C"&amp;AX$4))*100 + MAX(0, AX$4-$A18)*IF(RTD("tos.rtd",,"OPEN_INT","."&amp;$AB$3&amp;$AB$4&amp;"P"&amp;AX$4)="N/A",0,RTD("tos.rtd",,"OPEN_INT","."&amp;$AB$3&amp;$AB$4&amp;"P"&amp;AX$4))*100</f>
        <v>1230000</v>
      </c>
      <c r="AY18" s="18">
        <f>MAX(0, $A18-AY$4)*IF(RTD("tos.rtd",,"OPEN_INT","."&amp;$AB$3&amp;$AB$4&amp;"C"&amp;AY$4)="N/A",0,RTD("tos.rtd",,"OPEN_INT","."&amp;$AB$3&amp;$AB$4&amp;"C"&amp;AY$4))*100 + MAX(0, AY$4-$A18)*IF(RTD("tos.rtd",,"OPEN_INT","."&amp;$AB$3&amp;$AB$4&amp;"P"&amp;AY$4)="N/A",0,RTD("tos.rtd",,"OPEN_INT","."&amp;$AB$3&amp;$AB$4&amp;"P"&amp;AY$4))*100</f>
        <v>1913850</v>
      </c>
      <c r="AZ18" s="18">
        <f>MAX(0, $A18-AZ$4)*IF(RTD("tos.rtd",,"OPEN_INT","."&amp;$AB$3&amp;$AB$4&amp;"C"&amp;AZ$4)="N/A",0,RTD("tos.rtd",,"OPEN_INT","."&amp;$AB$3&amp;$AB$4&amp;"C"&amp;AZ$4))*100 + MAX(0, AZ$4-$A18)*IF(RTD("tos.rtd",,"OPEN_INT","."&amp;$AB$3&amp;$AB$4&amp;"P"&amp;AZ$4)="N/A",0,RTD("tos.rtd",,"OPEN_INT","."&amp;$AB$3&amp;$AB$4&amp;"P"&amp;AZ$4))*100</f>
        <v>9774000</v>
      </c>
      <c r="BA18" s="18">
        <f>MAX(0, $A18-BA$4)*IF(RTD("tos.rtd",,"OPEN_INT","."&amp;$AB$3&amp;$AB$4&amp;"C"&amp;BA$4)="N/A",0,RTD("tos.rtd",,"OPEN_INT","."&amp;$AB$3&amp;$AB$4&amp;"C"&amp;BA$4))*100 + MAX(0, BA$4-$A18)*IF(RTD("tos.rtd",,"OPEN_INT","."&amp;$AB$3&amp;$AB$4&amp;"P"&amp;BA$4)="N/A",0,RTD("tos.rtd",,"OPEN_INT","."&amp;$AB$3&amp;$AB$4&amp;"P"&amp;BA$4))*100</f>
        <v>5417500</v>
      </c>
      <c r="BB18" s="18">
        <f>MAX(0, $A18-BB$4)*IF(RTD("tos.rtd",,"OPEN_INT","."&amp;$AB$3&amp;$AB$4&amp;"C"&amp;BB$4)="N/A",0,RTD("tos.rtd",,"OPEN_INT","."&amp;$AB$3&amp;$AB$4&amp;"C"&amp;BB$4))*100 + MAX(0, BB$4-$A18)*IF(RTD("tos.rtd",,"OPEN_INT","."&amp;$AB$3&amp;$AB$4&amp;"P"&amp;BB$4)="N/A",0,RTD("tos.rtd",,"OPEN_INT","."&amp;$AB$3&amp;$AB$4&amp;"P"&amp;BB$4))*100</f>
        <v>18484200</v>
      </c>
      <c r="BC18" s="18">
        <f>MAX(0, $A18-BC$4)*IF(RTD("tos.rtd",,"OPEN_INT","."&amp;$AB$3&amp;$AB$4&amp;"C"&amp;BC$4)="N/A",0,RTD("tos.rtd",,"OPEN_INT","."&amp;$AB$3&amp;$AB$4&amp;"C"&amp;BC$4))*100 + MAX(0, BC$4-$A18)*IF(RTD("tos.rtd",,"OPEN_INT","."&amp;$AB$3&amp;$AB$4&amp;"P"&amp;BC$4)="N/A",0,RTD("tos.rtd",,"OPEN_INT","."&amp;$AB$3&amp;$AB$4&amp;"P"&amp;BC$4))*100</f>
        <v>18627700</v>
      </c>
      <c r="BD18" s="18">
        <f>MAX(0, $A18-BD$4)*IF(RTD("tos.rtd",,"OPEN_INT","."&amp;$AB$3&amp;$AB$4&amp;"C"&amp;BD$4)="N/A",0,RTD("tos.rtd",,"OPEN_INT","."&amp;$AB$3&amp;$AB$4&amp;"C"&amp;BD$4))*100 + MAX(0, BD$4-$A18)*IF(RTD("tos.rtd",,"OPEN_INT","."&amp;$AB$3&amp;$AB$4&amp;"P"&amp;BD$4)="N/A",0,RTD("tos.rtd",,"OPEN_INT","."&amp;$AB$3&amp;$AB$4&amp;"P"&amp;BD$4))*100</f>
        <v>28499100</v>
      </c>
      <c r="BE18" s="18">
        <f>MAX(0, $A18-BE$4)*IF(RTD("tos.rtd",,"OPEN_INT","."&amp;$AB$3&amp;$AB$4&amp;"C"&amp;BE$4)="N/A",0,RTD("tos.rtd",,"OPEN_INT","."&amp;$AB$3&amp;$AB$4&amp;"C"&amp;BE$4))*100 + MAX(0, BE$4-$A18)*IF(RTD("tos.rtd",,"OPEN_INT","."&amp;$AB$3&amp;$AB$4&amp;"P"&amp;BE$4)="N/A",0,RTD("tos.rtd",,"OPEN_INT","."&amp;$AB$3&amp;$AB$4&amp;"P"&amp;BE$4))*100</f>
        <v>13920000</v>
      </c>
      <c r="BF18" s="18">
        <f>MAX(0, $A18-BF$4)*IF(RTD("tos.rtd",,"OPEN_INT","."&amp;$AB$3&amp;$AB$4&amp;"C"&amp;BF$4)="N/A",0,RTD("tos.rtd",,"OPEN_INT","."&amp;$AB$3&amp;$AB$4&amp;"C"&amp;BF$4))*100 + MAX(0, BF$4-$A18)*IF(RTD("tos.rtd",,"OPEN_INT","."&amp;$AB$3&amp;$AB$4&amp;"P"&amp;BF$4)="N/A",0,RTD("tos.rtd",,"OPEN_INT","."&amp;$AB$3&amp;$AB$4&amp;"P"&amp;BF$4))*100</f>
        <v>13822400</v>
      </c>
      <c r="BG18" s="18">
        <f>MAX(0, $A18-BG$4)*IF(RTD("tos.rtd",,"OPEN_INT","."&amp;$AB$3&amp;$AB$4&amp;"C"&amp;BG$4)="N/A",0,RTD("tos.rtd",,"OPEN_INT","."&amp;$AB$3&amp;$AB$4&amp;"C"&amp;BG$4))*100 + MAX(0, BG$4-$A18)*IF(RTD("tos.rtd",,"OPEN_INT","."&amp;$AB$3&amp;$AB$4&amp;"P"&amp;BG$4)="N/A",0,RTD("tos.rtd",,"OPEN_INT","."&amp;$AB$3&amp;$AB$4&amp;"P"&amp;BG$4))*100</f>
        <v>7145950</v>
      </c>
      <c r="BH18" s="18">
        <f>MAX(0, $A18-BH$4)*IF(RTD("tos.rtd",,"OPEN_INT","."&amp;$AB$3&amp;$AB$4&amp;"C"&amp;BH$4)="N/A",0,RTD("tos.rtd",,"OPEN_INT","."&amp;$AB$3&amp;$AB$4&amp;"C"&amp;BH$4))*100 + MAX(0, BH$4-$A18)*IF(RTD("tos.rtd",,"OPEN_INT","."&amp;$AB$3&amp;$AB$4&amp;"P"&amp;BH$4)="N/A",0,RTD("tos.rtd",,"OPEN_INT","."&amp;$AB$3&amp;$AB$4&amp;"P"&amp;BH$4))*100</f>
        <v>5160600</v>
      </c>
      <c r="BI18" s="18">
        <f>MAX(0, $A18-BI$4)*IF(RTD("tos.rtd",,"OPEN_INT","."&amp;$AB$3&amp;$AB$4&amp;"C"&amp;BI$4)="N/A",0,RTD("tos.rtd",,"OPEN_INT","."&amp;$AB$3&amp;$AB$4&amp;"C"&amp;BI$4))*100 + MAX(0, BI$4-$A18)*IF(RTD("tos.rtd",,"OPEN_INT","."&amp;$AB$3&amp;$AB$4&amp;"P"&amp;BI$4)="N/A",0,RTD("tos.rtd",,"OPEN_INT","."&amp;$AB$3&amp;$AB$4&amp;"P"&amp;BI$4))*100</f>
        <v>1845850</v>
      </c>
      <c r="BJ18" s="18">
        <f>MAX(0, $A18-BJ$4)*IF(RTD("tos.rtd",,"OPEN_INT","."&amp;$AB$3&amp;$AB$4&amp;"C"&amp;BJ$4)="N/A",0,RTD("tos.rtd",,"OPEN_INT","."&amp;$AB$3&amp;$AB$4&amp;"C"&amp;BJ$4))*100 + MAX(0, BJ$4-$A18)*IF(RTD("tos.rtd",,"OPEN_INT","."&amp;$AB$3&amp;$AB$4&amp;"P"&amp;BJ$4)="N/A",0,RTD("tos.rtd",,"OPEN_INT","."&amp;$AB$3&amp;$AB$4&amp;"P"&amp;BJ$4))*100</f>
        <v>842000</v>
      </c>
      <c r="BK18" s="18">
        <f>MAX(0, $A18-BK$4)*IF(RTD("tos.rtd",,"OPEN_INT","."&amp;$AB$3&amp;$AB$4&amp;"C"&amp;BK$4)="N/A",0,RTD("tos.rtd",,"OPEN_INT","."&amp;$AB$3&amp;$AB$4&amp;"C"&amp;BK$4))*100 + MAX(0, BK$4-$A18)*IF(RTD("tos.rtd",,"OPEN_INT","."&amp;$AB$3&amp;$AB$4&amp;"P"&amp;BK$4)="N/A",0,RTD("tos.rtd",,"OPEN_INT","."&amp;$AB$3&amp;$AB$4&amp;"P"&amp;BK$4))*100</f>
        <v>158550</v>
      </c>
      <c r="BL18" s="18">
        <f>MAX(0, $A18-BL$4)*IF(RTD("tos.rtd",,"OPEN_INT","."&amp;$AB$3&amp;$AB$4&amp;"C"&amp;BL$4)="N/A",0,RTD("tos.rtd",,"OPEN_INT","."&amp;$AB$3&amp;$AB$4&amp;"C"&amp;BL$4))*100 + MAX(0, BL$4-$A18)*IF(RTD("tos.rtd",,"OPEN_INT","."&amp;$AB$3&amp;$AB$4&amp;"P"&amp;BL$4)="N/A",0,RTD("tos.rtd",,"OPEN_INT","."&amp;$AB$3&amp;$AB$4&amp;"P"&amp;BL$4))*100</f>
        <v>287100</v>
      </c>
      <c r="BM18" s="18">
        <f>MAX(0, $A18-BM$4)*IF(RTD("tos.rtd",,"OPEN_INT","."&amp;$AB$3&amp;$AB$4&amp;"C"&amp;BM$4)="N/A",0,RTD("tos.rtd",,"OPEN_INT","."&amp;$AB$3&amp;$AB$4&amp;"C"&amp;BM$4))*100 + MAX(0, BM$4-$A18)*IF(RTD("tos.rtd",,"OPEN_INT","."&amp;$AB$3&amp;$AB$4&amp;"P"&amp;BM$4)="N/A",0,RTD("tos.rtd",,"OPEN_INT","."&amp;$AB$3&amp;$AB$4&amp;"P"&amp;BM$4))*100</f>
        <v>18400</v>
      </c>
      <c r="BN18" s="18">
        <f>MAX(0, $A18-BN$4)*IF(RTD("tos.rtd",,"OPEN_INT","."&amp;$AB$3&amp;$AB$4&amp;"C"&amp;BN$4)="N/A",0,RTD("tos.rtd",,"OPEN_INT","."&amp;$AB$3&amp;$AB$4&amp;"C"&amp;BN$4))*100 + MAX(0, BN$4-$A18)*IF(RTD("tos.rtd",,"OPEN_INT","."&amp;$AB$3&amp;$AB$4&amp;"P"&amp;BN$4)="N/A",0,RTD("tos.rtd",,"OPEN_INT","."&amp;$AB$3&amp;$AB$4&amp;"P"&amp;BN$4))*100</f>
        <v>9600</v>
      </c>
      <c r="BO18" s="18">
        <f>MAX(0, $A18-BO$4)*IF(RTD("tos.rtd",,"OPEN_INT","."&amp;$AB$3&amp;$AB$4&amp;"C"&amp;BO$4)="N/A",0,RTD("tos.rtd",,"OPEN_INT","."&amp;$AB$3&amp;$AB$4&amp;"C"&amp;BO$4))*100 + MAX(0, BO$4-$A18)*IF(RTD("tos.rtd",,"OPEN_INT","."&amp;$AB$3&amp;$AB$4&amp;"P"&amp;BO$4)="N/A",0,RTD("tos.rtd",,"OPEN_INT","."&amp;$AB$3&amp;$AB$4&amp;"P"&amp;BO$4))*100</f>
        <v>38750</v>
      </c>
      <c r="BP18" s="18">
        <f>MAX(0, $A18-BP$4)*IF(RTD("tos.rtd",,"OPEN_INT","."&amp;$AB$3&amp;$AB$4&amp;"C"&amp;BP$4)="N/A",0,RTD("tos.rtd",,"OPEN_INT","."&amp;$AB$3&amp;$AB$4&amp;"C"&amp;BP$4))*100 + MAX(0, BP$4-$A18)*IF(RTD("tos.rtd",,"OPEN_INT","."&amp;$AB$3&amp;$AB$4&amp;"P"&amp;BP$4)="N/A",0,RTD("tos.rtd",,"OPEN_INT","."&amp;$AB$3&amp;$AB$4&amp;"P"&amp;BP$4))*100</f>
        <v>49400</v>
      </c>
      <c r="BQ18" s="18">
        <f>MAX(0, $A18-BQ$4)*IF(RTD("tos.rtd",,"OPEN_INT","."&amp;$AB$3&amp;$AB$4&amp;"C"&amp;BQ$4)="N/A",0,RTD("tos.rtd",,"OPEN_INT","."&amp;$AB$3&amp;$AB$4&amp;"C"&amp;BQ$4))*100 + MAX(0, BQ$4-$A18)*IF(RTD("tos.rtd",,"OPEN_INT","."&amp;$AB$3&amp;$AB$4&amp;"P"&amp;BQ$4)="N/A",0,RTD("tos.rtd",,"OPEN_INT","."&amp;$AB$3&amp;$AB$4&amp;"P"&amp;BQ$4))*100</f>
        <v>0</v>
      </c>
      <c r="BR18" s="18">
        <f>MAX(0, $A18-BR$4)*IF(RTD("tos.rtd",,"OPEN_INT","."&amp;$AB$3&amp;$AB$4&amp;"C"&amp;BR$4)="N/A",0,RTD("tos.rtd",,"OPEN_INT","."&amp;$AB$3&amp;$AB$4&amp;"C"&amp;BR$4))*100 + MAX(0, BR$4-$A18)*IF(RTD("tos.rtd",,"OPEN_INT","."&amp;$AB$3&amp;$AB$4&amp;"P"&amp;BR$4)="N/A",0,RTD("tos.rtd",,"OPEN_INT","."&amp;$AB$3&amp;$AB$4&amp;"P"&amp;BR$4))*100</f>
        <v>0</v>
      </c>
      <c r="BS18" s="18">
        <f>MAX(0, $A18-BS$4)*IF(RTD("tos.rtd",,"OPEN_INT","."&amp;$AB$3&amp;$AB$4&amp;"C"&amp;BS$4)="N/A",0,RTD("tos.rtd",,"OPEN_INT","."&amp;$AB$3&amp;$AB$4&amp;"C"&amp;BS$4))*100 + MAX(0, BS$4-$A18)*IF(RTD("tos.rtd",,"OPEN_INT","."&amp;$AB$3&amp;$AB$4&amp;"P"&amp;BS$4)="N/A",0,RTD("tos.rtd",,"OPEN_INT","."&amp;$AB$3&amp;$AB$4&amp;"P"&amp;BS$4))*100</f>
        <v>0</v>
      </c>
      <c r="BT18" s="18">
        <f>MAX(0, $A18-BT$4)*IF(RTD("tos.rtd",,"OPEN_INT","."&amp;$AB$3&amp;$AB$4&amp;"C"&amp;BT$4)="N/A",0,RTD("tos.rtd",,"OPEN_INT","."&amp;$AB$3&amp;$AB$4&amp;"C"&amp;BT$4))*100 + MAX(0, BT$4-$A18)*IF(RTD("tos.rtd",,"OPEN_INT","."&amp;$AB$3&amp;$AB$4&amp;"P"&amp;BT$4)="N/A",0,RTD("tos.rtd",,"OPEN_INT","."&amp;$AB$3&amp;$AB$4&amp;"P"&amp;BT$4))*100</f>
        <v>0</v>
      </c>
      <c r="BU18" s="18">
        <f>MAX(0, $A18-BU$4)*IF(RTD("tos.rtd",,"OPEN_INT","."&amp;$AB$3&amp;$AB$4&amp;"C"&amp;BU$4)="N/A",0,RTD("tos.rtd",,"OPEN_INT","."&amp;$AB$3&amp;$AB$4&amp;"C"&amp;BU$4))*100 + MAX(0, BU$4-$A18)*IF(RTD("tos.rtd",,"OPEN_INT","."&amp;$AB$3&amp;$AB$4&amp;"P"&amp;BU$4)="N/A",0,RTD("tos.rtd",,"OPEN_INT","."&amp;$AB$3&amp;$AB$4&amp;"P"&amp;BU$4))*100</f>
        <v>0</v>
      </c>
      <c r="BV18" s="18">
        <f>MAX(0, $A18-BV$4)*IF(RTD("tos.rtd",,"OPEN_INT","."&amp;$AB$3&amp;$AB$4&amp;"C"&amp;BV$4)="N/A",0,RTD("tos.rtd",,"OPEN_INT","."&amp;$AB$3&amp;$AB$4&amp;"C"&amp;BV$4))*100 + MAX(0, BV$4-$A18)*IF(RTD("tos.rtd",,"OPEN_INT","."&amp;$AB$3&amp;$AB$4&amp;"P"&amp;BV$4)="N/A",0,RTD("tos.rtd",,"OPEN_INT","."&amp;$AB$3&amp;$AB$4&amp;"P"&amp;BV$4))*100</f>
        <v>0</v>
      </c>
      <c r="BW18" s="18">
        <f>MAX(0, $A18-BW$4)*IF(RTD("tos.rtd",,"OPEN_INT","."&amp;$AB$3&amp;$AB$4&amp;"C"&amp;BW$4)="N/A",0,RTD("tos.rtd",,"OPEN_INT","."&amp;$AB$3&amp;$AB$4&amp;"C"&amp;BW$4))*100 + MAX(0, BW$4-$A18)*IF(RTD("tos.rtd",,"OPEN_INT","."&amp;$AB$3&amp;$AB$4&amp;"P"&amp;BW$4)="N/A",0,RTD("tos.rtd",,"OPEN_INT","."&amp;$AB$3&amp;$AB$4&amp;"P"&amp;BW$4))*100</f>
        <v>0</v>
      </c>
    </row>
    <row r="19" spans="1:75" s="19" customFormat="1" ht="11.1" customHeight="1" thickBot="1" x14ac:dyDescent="0.3">
      <c r="A19" s="23">
        <f t="shared" si="7"/>
        <v>14.5</v>
      </c>
      <c r="B19" s="14">
        <f ca="1">IF($A$2="PREMIUM_OI",IFERROR(IF($X$1="ABS",(100*RTD("tos.rtd",,"OPEN_INT","."&amp;B$2&amp;B$1&amp;"C"&amp;$A19)*RTD("tos.rtd",,"LAST","."&amp;B$2&amp;B$1&amp;"C"&amp;$A19)+100*RTD("tos.rtd",,"OPEN_INT","."&amp;B$2&amp;B$1&amp;"P"&amp;$A19)*RTD("tos.rtd",,"LAST","."&amp;B$2&amp;B$1&amp;"P"&amp;$A19))/1000000,(100*RTD("tos.rtd",,"OPEN_INT","."&amp;B$2&amp;B$1&amp;"C"&amp;$A19)*RTD("tos.rtd",,"LAST","."&amp;B$2&amp;B$1&amp;"C"&amp;$A19)-100*RTD("tos.rtd",,"OPEN_INT","."&amp;B$2&amp;B$1&amp;"P"&amp;$A19)*RTD("tos.rtd",,"LAST","."&amp;B$2&amp;B$1&amp;"P"&amp;$A19))/1000000),0),IF($A$2="PREMIUM",IFERROR(IF($X$1="ABS",(100*RTD("tos.rtd",,"VOLUME","."&amp;B$2&amp;B$1&amp;"C"&amp;$A19)*RTD("tos.rtd",,"LAST","."&amp;B$2&amp;B$1&amp;"C"&amp;$A19)+100*RTD("tos.rtd",,"VOLUME","."&amp;B$2&amp;B$1&amp;"P"&amp;$A19)*RTD("tos.rtd",,"LAST","."&amp;B$2&amp;B$1&amp;"P"&amp;$A19))/1000000,(100*RTD("tos.rtd",,"VOLUME","."&amp;B$2&amp;B$1&amp;"C"&amp;$A19)*RTD("tos.rtd",,"LAST","."&amp;B$2&amp;B$1&amp;"C"&amp;$A19)-100*RTD("tos.rtd",,"VOLUME","."&amp;B$2&amp;B$1&amp;"P"&amp;$A19)*RTD("tos.rtd",,"LAST","."&amp;B$2&amp;B$1&amp;"P"&amp;$A19))/1000000),0),IF($A$2="DEX",IFERROR(IF($X$1="ABS",(100*RTD("tos.rtd",,"OPEN_INT","."&amp;B$2&amp;B$1&amp;"C"&amp;$A19)*RTD("tos.rtd",,"DELTA","."&amp;B$2&amp;B$1&amp;"C"&amp;$A19)+100*RTD("tos.rtd",,"OPEN_INT","."&amp;B$2&amp;B$1&amp;"P"&amp;$A19)*RTD("tos.rtd",,"DELTA","."&amp;B$2&amp;B$1&amp;"P"&amp;$A19))/1000,(100*RTD("tos.rtd",,"OPEN_INT","."&amp;B$2&amp;B$1&amp;"C"&amp;$A19)*RTD("tos.rtd",,"DELTA","."&amp;B$2&amp;B$1&amp;"C"&amp;$A19)-100*RTD("tos.rtd",,"OPEN_INT","."&amp;B$2&amp;B$1&amp;"P"&amp;$A19)*RTD("tos.rtd",,"DELTA","."&amp;B$2&amp;B$1&amp;"P"&amp;$A19))/1000),0),IF($A$2="VEX",IFERROR(IF($X$1="ABS",($A$4*$A$4*RTD("tos.rtd",,"VOLUME","."&amp;B$2&amp;B$1&amp;"C"&amp;$A19)*RTD("tos.rtd",,"GAMMA","."&amp;B$2&amp;B$1&amp;"C"&amp;$A19)+$A$4*$A$4*RTD("tos.rtd",,"VOLUME","."&amp;B$2&amp;B$1&amp;"P"&amp;$A19)*RTD("tos.rtd",,"GAMMA","."&amp;B$2&amp;B$1&amp;"P"&amp;$A19))/1000000,($A$4*$A$4*RTD("tos.rtd",,"VOLUME","."&amp;B$2&amp;B$1&amp;"C"&amp;$A19)*RTD("tos.rtd",,"GAMMA","."&amp;B$2&amp;B$1&amp;"C"&amp;$A19)-$A$4*$A$4*RTD("tos.rtd",,"VOLUME","."&amp;B$2&amp;B$1&amp;"P"&amp;$A19)*RTD("tos.rtd",,"GAMMA","."&amp;B$2&amp;B$1&amp;"P"&amp;$A19))/1000000),0),IF($A$2="GEX",IFERROR(IF($X$1="ABS",($A$4*$A$4*RTD("tos.rtd",,"OPEN_INT","."&amp;B$2&amp;B$1&amp;"C"&amp;$A19)*RTD("tos.rtd",,"GAMMA","."&amp;B$2&amp;B$1&amp;"C"&amp;$A19)+$A$4*$A$4*RTD("tos.rtd",,"OPEN_INT","."&amp;B$2&amp;B$1&amp;"P"&amp;$A19)*RTD("tos.rtd",,"GAMMA","."&amp;B$2&amp;B$1&amp;"P"&amp;$A19))/1000000,($A$4*$A$4*RTD("tos.rtd",,"OPEN_INT","."&amp;B$2&amp;B$1&amp;"C"&amp;$A19)*RTD("tos.rtd",,"GAMMA","."&amp;B$2&amp;B$1&amp;"C"&amp;$A19)-$A$4*$A$4*RTD("tos.rtd",,"OPEN_INT","."&amp;B$2&amp;B$1&amp;"P"&amp;$A19)*RTD("tos.rtd",,"GAMMA","."&amp;B$2&amp;B$1&amp;"P"&amp;$A19))/1000000),0),IF($A$2="SKEW",IFERROR(VALUE(IF(RTD("tos.rtd",,"IMPL_VOL","."&amp;B$2&amp;B$1&amp;"P"&amp;$A19)="N/A",0,RTD("tos.rtd",,"IMPL_VOL","."&amp;B$2&amp;B$1&amp;"P"&amp;$A19))),0)-IFERROR(VALUE(IF(RTD("tos.rtd",,"IMPL_VOL","."&amp;B$2&amp;B$1&amp;"C"&amp;$A19)="N/A",0,RTD("tos.rtd",,"IMPL_VOL","."&amp;B$2&amp;B$1&amp;"C"&amp;$A19))),0),IF($A$2="MAXPAIN",IF($A$4&gt;$A19,($A$4-$A19)*IF(RTD("tos.rtd",,"OPEN_INT","."&amp;B$2&amp;B$1&amp;"C"&amp;$A19)="N/A",0,RTD("tos.rtd",,"OPEN_INT","."&amp;B$2&amp;B$1&amp;"C"&amp;$A19)),0)+IF($A$4&lt;$A19,($A$5-$A$4)*IF(RTD("tos.rtd",,"OPEN_INT","."&amp;B$2&amp;B$1&amp;"P"&amp;$A19)="N/A",0,RTD("tos.rtd",,"OPEN_INT","."&amp;B$2&amp;B$1&amp;"P"&amp;$A19)),0),IF($X$1="ABS",IF(RTD("tos.rtd",,$A$2,"."&amp;B$2&amp;B$1&amp;"C"&amp;$A19)="N/A",0,RTD("tos.rtd",,$A$2,"."&amp;B$2&amp;B$1&amp;"C"&amp;$A19))+IF(RTD("tos.rtd",,$A$2,"."&amp;B$2&amp;B$1&amp;"P"&amp;$A19)="N/A",0,RTD("tos.rtd",,$A$2,"."&amp;B$2&amp;B$1&amp;"P"&amp;$A19)),IF(RTD("tos.rtd",,$A$2,"."&amp;B$2&amp;B$1&amp;"C"&amp;$A19)="N/A",0,RTD("tos.rtd",,$A$2,"."&amp;B$2&amp;B$1&amp;"C"&amp;$A19))-IF(RTD("tos.rtd",,$A$2,"."&amp;B$2&amp;B$1&amp;"P"&amp;$A19)="N/A",0,RTD("tos.rtd",,$A$2,"."&amp;B$2&amp;B$1&amp;"P"&amp;$A19))))))))))</f>
        <v>0</v>
      </c>
      <c r="C19" s="14">
        <f ca="1">IF($A$2="PREMIUM_OI",IFERROR(IF($X$1="ABS",(100*RTD("tos.rtd",,"OPEN_INT","."&amp;C$2&amp;C$1&amp;"C"&amp;$A19)*RTD("tos.rtd",,"LAST","."&amp;C$2&amp;C$1&amp;"C"&amp;$A19)+100*RTD("tos.rtd",,"OPEN_INT","."&amp;C$2&amp;C$1&amp;"P"&amp;$A19)*RTD("tos.rtd",,"LAST","."&amp;C$2&amp;C$1&amp;"P"&amp;$A19))/1000000,(100*RTD("tos.rtd",,"OPEN_INT","."&amp;C$2&amp;C$1&amp;"C"&amp;$A19)*RTD("tos.rtd",,"LAST","."&amp;C$2&amp;C$1&amp;"C"&amp;$A19)-100*RTD("tos.rtd",,"OPEN_INT","."&amp;C$2&amp;C$1&amp;"P"&amp;$A19)*RTD("tos.rtd",,"LAST","."&amp;C$2&amp;C$1&amp;"P"&amp;$A19))/1000000),0),IF($A$2="PREMIUM",IFERROR(IF($X$1="ABS",(100*RTD("tos.rtd",,"VOLUME","."&amp;C$2&amp;C$1&amp;"C"&amp;$A19)*RTD("tos.rtd",,"LAST","."&amp;C$2&amp;C$1&amp;"C"&amp;$A19)+100*RTD("tos.rtd",,"VOLUME","."&amp;C$2&amp;C$1&amp;"P"&amp;$A19)*RTD("tos.rtd",,"LAST","."&amp;C$2&amp;C$1&amp;"P"&amp;$A19))/1000000,(100*RTD("tos.rtd",,"VOLUME","."&amp;C$2&amp;C$1&amp;"C"&amp;$A19)*RTD("tos.rtd",,"LAST","."&amp;C$2&amp;C$1&amp;"C"&amp;$A19)-100*RTD("tos.rtd",,"VOLUME","."&amp;C$2&amp;C$1&amp;"P"&amp;$A19)*RTD("tos.rtd",,"LAST","."&amp;C$2&amp;C$1&amp;"P"&amp;$A19))/1000000),0),IF($A$2="DEX",IFERROR(IF($X$1="ABS",(100*RTD("tos.rtd",,"OPEN_INT","."&amp;C$2&amp;C$1&amp;"C"&amp;$A19)*RTD("tos.rtd",,"DELTA","."&amp;C$2&amp;C$1&amp;"C"&amp;$A19)+100*RTD("tos.rtd",,"OPEN_INT","."&amp;C$2&amp;C$1&amp;"P"&amp;$A19)*RTD("tos.rtd",,"DELTA","."&amp;C$2&amp;C$1&amp;"P"&amp;$A19))/1000,(100*RTD("tos.rtd",,"OPEN_INT","."&amp;C$2&amp;C$1&amp;"C"&amp;$A19)*RTD("tos.rtd",,"DELTA","."&amp;C$2&amp;C$1&amp;"C"&amp;$A19)-100*RTD("tos.rtd",,"OPEN_INT","."&amp;C$2&amp;C$1&amp;"P"&amp;$A19)*RTD("tos.rtd",,"DELTA","."&amp;C$2&amp;C$1&amp;"P"&amp;$A19))/1000),0),IF($A$2="VEX",IFERROR(IF($X$1="ABS",($A$4*$A$4*RTD("tos.rtd",,"VOLUME","."&amp;C$2&amp;C$1&amp;"C"&amp;$A19)*RTD("tos.rtd",,"GAMMA","."&amp;C$2&amp;C$1&amp;"C"&amp;$A19)+$A$4*$A$4*RTD("tos.rtd",,"VOLUME","."&amp;C$2&amp;C$1&amp;"P"&amp;$A19)*RTD("tos.rtd",,"GAMMA","."&amp;C$2&amp;C$1&amp;"P"&amp;$A19))/1000000,($A$4*$A$4*RTD("tos.rtd",,"VOLUME","."&amp;C$2&amp;C$1&amp;"C"&amp;$A19)*RTD("tos.rtd",,"GAMMA","."&amp;C$2&amp;C$1&amp;"C"&amp;$A19)-$A$4*$A$4*RTD("tos.rtd",,"VOLUME","."&amp;C$2&amp;C$1&amp;"P"&amp;$A19)*RTD("tos.rtd",,"GAMMA","."&amp;C$2&amp;C$1&amp;"P"&amp;$A19))/1000000),0),IF($A$2="GEX",IFERROR(IF($X$1="ABS",($A$4*$A$4*RTD("tos.rtd",,"OPEN_INT","."&amp;C$2&amp;C$1&amp;"C"&amp;$A19)*RTD("tos.rtd",,"GAMMA","."&amp;C$2&amp;C$1&amp;"C"&amp;$A19)+$A$4*$A$4*RTD("tos.rtd",,"OPEN_INT","."&amp;C$2&amp;C$1&amp;"P"&amp;$A19)*RTD("tos.rtd",,"GAMMA","."&amp;C$2&amp;C$1&amp;"P"&amp;$A19))/1000000,($A$4*$A$4*RTD("tos.rtd",,"OPEN_INT","."&amp;C$2&amp;C$1&amp;"C"&amp;$A19)*RTD("tos.rtd",,"GAMMA","."&amp;C$2&amp;C$1&amp;"C"&amp;$A19)-$A$4*$A$4*RTD("tos.rtd",,"OPEN_INT","."&amp;C$2&amp;C$1&amp;"P"&amp;$A19)*RTD("tos.rtd",,"GAMMA","."&amp;C$2&amp;C$1&amp;"P"&amp;$A19))/1000000),0),IF($A$2="SKEW",IFERROR(VALUE(IF(RTD("tos.rtd",,"IMPL_VOL","."&amp;C$2&amp;C$1&amp;"P"&amp;$A19)="N/A",0,RTD("tos.rtd",,"IMPL_VOL","."&amp;C$2&amp;C$1&amp;"P"&amp;$A19))),0)-IFERROR(VALUE(IF(RTD("tos.rtd",,"IMPL_VOL","."&amp;C$2&amp;C$1&amp;"C"&amp;$A19)="N/A",0,RTD("tos.rtd",,"IMPL_VOL","."&amp;C$2&amp;C$1&amp;"C"&amp;$A19))),0),IF($A$2="MAXPAIN",IF($A$4&gt;$A19,($A$4-$A19)*IF(RTD("tos.rtd",,"OPEN_INT","."&amp;C$2&amp;C$1&amp;"C"&amp;$A19)="N/A",0,RTD("tos.rtd",,"OPEN_INT","."&amp;C$2&amp;C$1&amp;"C"&amp;$A19)),0)+IF($A$4&lt;$A19,($A$5-$A$4)*IF(RTD("tos.rtd",,"OPEN_INT","."&amp;C$2&amp;C$1&amp;"P"&amp;$A19)="N/A",0,RTD("tos.rtd",,"OPEN_INT","."&amp;C$2&amp;C$1&amp;"P"&amp;$A19)),0),IF($X$1="ABS",IF(RTD("tos.rtd",,$A$2,"."&amp;C$2&amp;C$1&amp;"C"&amp;$A19)="N/A",0,RTD("tos.rtd",,$A$2,"."&amp;C$2&amp;C$1&amp;"C"&amp;$A19))+IF(RTD("tos.rtd",,$A$2,"."&amp;C$2&amp;C$1&amp;"P"&amp;$A19)="N/A",0,RTD("tos.rtd",,$A$2,"."&amp;C$2&amp;C$1&amp;"P"&amp;$A19)),IF(RTD("tos.rtd",,$A$2,"."&amp;C$2&amp;C$1&amp;"C"&amp;$A19)="N/A",0,RTD("tos.rtd",,$A$2,"."&amp;C$2&amp;C$1&amp;"C"&amp;$A19))-IF(RTD("tos.rtd",,$A$2,"."&amp;C$2&amp;C$1&amp;"P"&amp;$A19)="N/A",0,RTD("tos.rtd",,$A$2,"."&amp;C$2&amp;C$1&amp;"P"&amp;$A19))))))))))</f>
        <v>0</v>
      </c>
      <c r="D19" s="12">
        <f ca="1">IF($A$2="PREMIUM_OI",IFERROR(IF($X$1="ABS",(100*RTD("tos.rtd",,"OPEN_INT","."&amp;D$2&amp;D$1&amp;"C"&amp;$A19)*RTD("tos.rtd",,"LAST","."&amp;D$2&amp;D$1&amp;"C"&amp;$A19)+100*RTD("tos.rtd",,"OPEN_INT","."&amp;D$2&amp;D$1&amp;"P"&amp;$A19)*RTD("tos.rtd",,"LAST","."&amp;D$2&amp;D$1&amp;"P"&amp;$A19))/1000000,(100*RTD("tos.rtd",,"OPEN_INT","."&amp;D$2&amp;D$1&amp;"C"&amp;$A19)*RTD("tos.rtd",,"LAST","."&amp;D$2&amp;D$1&amp;"C"&amp;$A19)-100*RTD("tos.rtd",,"OPEN_INT","."&amp;D$2&amp;D$1&amp;"P"&amp;$A19)*RTD("tos.rtd",,"LAST","."&amp;D$2&amp;D$1&amp;"P"&amp;$A19))/1000000),0),IF($A$2="PREMIUM",IFERROR(IF($X$1="ABS",(100*RTD("tos.rtd",,"VOLUME","."&amp;D$2&amp;D$1&amp;"C"&amp;$A19)*RTD("tos.rtd",,"LAST","."&amp;D$2&amp;D$1&amp;"C"&amp;$A19)+100*RTD("tos.rtd",,"VOLUME","."&amp;D$2&amp;D$1&amp;"P"&amp;$A19)*RTD("tos.rtd",,"LAST","."&amp;D$2&amp;D$1&amp;"P"&amp;$A19))/1000000,(100*RTD("tos.rtd",,"VOLUME","."&amp;D$2&amp;D$1&amp;"C"&amp;$A19)*RTD("tos.rtd",,"LAST","."&amp;D$2&amp;D$1&amp;"C"&amp;$A19)-100*RTD("tos.rtd",,"VOLUME","."&amp;D$2&amp;D$1&amp;"P"&amp;$A19)*RTD("tos.rtd",,"LAST","."&amp;D$2&amp;D$1&amp;"P"&amp;$A19))/1000000),0),IF($A$2="DEX",IFERROR(IF($X$1="ABS",(100*RTD("tos.rtd",,"OPEN_INT","."&amp;D$2&amp;D$1&amp;"C"&amp;$A19)*RTD("tos.rtd",,"DELTA","."&amp;D$2&amp;D$1&amp;"C"&amp;$A19)+100*RTD("tos.rtd",,"OPEN_INT","."&amp;D$2&amp;D$1&amp;"P"&amp;$A19)*RTD("tos.rtd",,"DELTA","."&amp;D$2&amp;D$1&amp;"P"&amp;$A19))/1000,(100*RTD("tos.rtd",,"OPEN_INT","."&amp;D$2&amp;D$1&amp;"C"&amp;$A19)*RTD("tos.rtd",,"DELTA","."&amp;D$2&amp;D$1&amp;"C"&amp;$A19)-100*RTD("tos.rtd",,"OPEN_INT","."&amp;D$2&amp;D$1&amp;"P"&amp;$A19)*RTD("tos.rtd",,"DELTA","."&amp;D$2&amp;D$1&amp;"P"&amp;$A19))/1000),0),IF($A$2="VEX",IFERROR(IF($X$1="ABS",($A$4*$A$4*RTD("tos.rtd",,"VOLUME","."&amp;D$2&amp;D$1&amp;"C"&amp;$A19)*RTD("tos.rtd",,"GAMMA","."&amp;D$2&amp;D$1&amp;"C"&amp;$A19)+$A$4*$A$4*RTD("tos.rtd",,"VOLUME","."&amp;D$2&amp;D$1&amp;"P"&amp;$A19)*RTD("tos.rtd",,"GAMMA","."&amp;D$2&amp;D$1&amp;"P"&amp;$A19))/1000000,($A$4*$A$4*RTD("tos.rtd",,"VOLUME","."&amp;D$2&amp;D$1&amp;"C"&amp;$A19)*RTD("tos.rtd",,"GAMMA","."&amp;D$2&amp;D$1&amp;"C"&amp;$A19)-$A$4*$A$4*RTD("tos.rtd",,"VOLUME","."&amp;D$2&amp;D$1&amp;"P"&amp;$A19)*RTD("tos.rtd",,"GAMMA","."&amp;D$2&amp;D$1&amp;"P"&amp;$A19))/1000000),0),IF($A$2="GEX",IFERROR(IF($X$1="ABS",($A$4*$A$4*RTD("tos.rtd",,"OPEN_INT","."&amp;D$2&amp;D$1&amp;"C"&amp;$A19)*RTD("tos.rtd",,"GAMMA","."&amp;D$2&amp;D$1&amp;"C"&amp;$A19)+$A$4*$A$4*RTD("tos.rtd",,"OPEN_INT","."&amp;D$2&amp;D$1&amp;"P"&amp;$A19)*RTD("tos.rtd",,"GAMMA","."&amp;D$2&amp;D$1&amp;"P"&amp;$A19))/1000000,($A$4*$A$4*RTD("tos.rtd",,"OPEN_INT","."&amp;D$2&amp;D$1&amp;"C"&amp;$A19)*RTD("tos.rtd",,"GAMMA","."&amp;D$2&amp;D$1&amp;"C"&amp;$A19)-$A$4*$A$4*RTD("tos.rtd",,"OPEN_INT","."&amp;D$2&amp;D$1&amp;"P"&amp;$A19)*RTD("tos.rtd",,"GAMMA","."&amp;D$2&amp;D$1&amp;"P"&amp;$A19))/1000000),0),IF($A$2="SKEW",IFERROR(VALUE(IF(RTD("tos.rtd",,"IMPL_VOL","."&amp;D$2&amp;D$1&amp;"P"&amp;$A19)="N/A",0,RTD("tos.rtd",,"IMPL_VOL","."&amp;D$2&amp;D$1&amp;"P"&amp;$A19))),0)-IFERROR(VALUE(IF(RTD("tos.rtd",,"IMPL_VOL","."&amp;D$2&amp;D$1&amp;"C"&amp;$A19)="N/A",0,RTD("tos.rtd",,"IMPL_VOL","."&amp;D$2&amp;D$1&amp;"C"&amp;$A19))),0),IF($A$2="MAXPAIN",IF($A$4&gt;$A19,($A$4-$A19)*IF(RTD("tos.rtd",,"OPEN_INT","."&amp;D$2&amp;D$1&amp;"C"&amp;$A19)="N/A",0,RTD("tos.rtd",,"OPEN_INT","."&amp;D$2&amp;D$1&amp;"C"&amp;$A19)),0)+IF($A$4&lt;$A19,($A$5-$A$4)*IF(RTD("tos.rtd",,"OPEN_INT","."&amp;D$2&amp;D$1&amp;"P"&amp;$A19)="N/A",0,RTD("tos.rtd",,"OPEN_INT","."&amp;D$2&amp;D$1&amp;"P"&amp;$A19)),0),IF($X$1="ABS",IF(RTD("tos.rtd",,$A$2,"."&amp;D$2&amp;D$1&amp;"C"&amp;$A19)="N/A",0,RTD("tos.rtd",,$A$2,"."&amp;D$2&amp;D$1&amp;"C"&amp;$A19))+IF(RTD("tos.rtd",,$A$2,"."&amp;D$2&amp;D$1&amp;"P"&amp;$A19)="N/A",0,RTD("tos.rtd",,$A$2,"."&amp;D$2&amp;D$1&amp;"P"&amp;$A19)),IF(RTD("tos.rtd",,$A$2,"."&amp;D$2&amp;D$1&amp;"C"&amp;$A19)="N/A",0,RTD("tos.rtd",,$A$2,"."&amp;D$2&amp;D$1&amp;"C"&amp;$A19))-IF(RTD("tos.rtd",,$A$2,"."&amp;D$2&amp;D$1&amp;"P"&amp;$A19)="N/A",0,RTD("tos.rtd",,$A$2,"."&amp;D$2&amp;D$1&amp;"P"&amp;$A19))))))))))</f>
        <v>0</v>
      </c>
      <c r="E19" s="12">
        <f ca="1">IF($A$2="PREMIUM_OI",IFERROR(IF($X$1="ABS",(100*RTD("tos.rtd",,"OPEN_INT","."&amp;E$2&amp;E$1&amp;"C"&amp;$A19)*RTD("tos.rtd",,"LAST","."&amp;E$2&amp;E$1&amp;"C"&amp;$A19)+100*RTD("tos.rtd",,"OPEN_INT","."&amp;E$2&amp;E$1&amp;"P"&amp;$A19)*RTD("tos.rtd",,"LAST","."&amp;E$2&amp;E$1&amp;"P"&amp;$A19))/1000000,(100*RTD("tos.rtd",,"OPEN_INT","."&amp;E$2&amp;E$1&amp;"C"&amp;$A19)*RTD("tos.rtd",,"LAST","."&amp;E$2&amp;E$1&amp;"C"&amp;$A19)-100*RTD("tos.rtd",,"OPEN_INT","."&amp;E$2&amp;E$1&amp;"P"&amp;$A19)*RTD("tos.rtd",,"LAST","."&amp;E$2&amp;E$1&amp;"P"&amp;$A19))/1000000),0),IF($A$2="PREMIUM",IFERROR(IF($X$1="ABS",(100*RTD("tos.rtd",,"VOLUME","."&amp;E$2&amp;E$1&amp;"C"&amp;$A19)*RTD("tos.rtd",,"LAST","."&amp;E$2&amp;E$1&amp;"C"&amp;$A19)+100*RTD("tos.rtd",,"VOLUME","."&amp;E$2&amp;E$1&amp;"P"&amp;$A19)*RTD("tos.rtd",,"LAST","."&amp;E$2&amp;E$1&amp;"P"&amp;$A19))/1000000,(100*RTD("tos.rtd",,"VOLUME","."&amp;E$2&amp;E$1&amp;"C"&amp;$A19)*RTD("tos.rtd",,"LAST","."&amp;E$2&amp;E$1&amp;"C"&amp;$A19)-100*RTD("tos.rtd",,"VOLUME","."&amp;E$2&amp;E$1&amp;"P"&amp;$A19)*RTD("tos.rtd",,"LAST","."&amp;E$2&amp;E$1&amp;"P"&amp;$A19))/1000000),0),IF($A$2="DEX",IFERROR(IF($X$1="ABS",(100*RTD("tos.rtd",,"OPEN_INT","."&amp;E$2&amp;E$1&amp;"C"&amp;$A19)*RTD("tos.rtd",,"DELTA","."&amp;E$2&amp;E$1&amp;"C"&amp;$A19)+100*RTD("tos.rtd",,"OPEN_INT","."&amp;E$2&amp;E$1&amp;"P"&amp;$A19)*RTD("tos.rtd",,"DELTA","."&amp;E$2&amp;E$1&amp;"P"&amp;$A19))/1000,(100*RTD("tos.rtd",,"OPEN_INT","."&amp;E$2&amp;E$1&amp;"C"&amp;$A19)*RTD("tos.rtd",,"DELTA","."&amp;E$2&amp;E$1&amp;"C"&amp;$A19)-100*RTD("tos.rtd",,"OPEN_INT","."&amp;E$2&amp;E$1&amp;"P"&amp;$A19)*RTD("tos.rtd",,"DELTA","."&amp;E$2&amp;E$1&amp;"P"&amp;$A19))/1000),0),IF($A$2="VEX",IFERROR(IF($X$1="ABS",($A$4*$A$4*RTD("tos.rtd",,"VOLUME","."&amp;E$2&amp;E$1&amp;"C"&amp;$A19)*RTD("tos.rtd",,"GAMMA","."&amp;E$2&amp;E$1&amp;"C"&amp;$A19)+$A$4*$A$4*RTD("tos.rtd",,"VOLUME","."&amp;E$2&amp;E$1&amp;"P"&amp;$A19)*RTD("tos.rtd",,"GAMMA","."&amp;E$2&amp;E$1&amp;"P"&amp;$A19))/1000000,($A$4*$A$4*RTD("tos.rtd",,"VOLUME","."&amp;E$2&amp;E$1&amp;"C"&amp;$A19)*RTD("tos.rtd",,"GAMMA","."&amp;E$2&amp;E$1&amp;"C"&amp;$A19)-$A$4*$A$4*RTD("tos.rtd",,"VOLUME","."&amp;E$2&amp;E$1&amp;"P"&amp;$A19)*RTD("tos.rtd",,"GAMMA","."&amp;E$2&amp;E$1&amp;"P"&amp;$A19))/1000000),0),IF($A$2="GEX",IFERROR(IF($X$1="ABS",($A$4*$A$4*RTD("tos.rtd",,"OPEN_INT","."&amp;E$2&amp;E$1&amp;"C"&amp;$A19)*RTD("tos.rtd",,"GAMMA","."&amp;E$2&amp;E$1&amp;"C"&amp;$A19)+$A$4*$A$4*RTD("tos.rtd",,"OPEN_INT","."&amp;E$2&amp;E$1&amp;"P"&amp;$A19)*RTD("tos.rtd",,"GAMMA","."&amp;E$2&amp;E$1&amp;"P"&amp;$A19))/1000000,($A$4*$A$4*RTD("tos.rtd",,"OPEN_INT","."&amp;E$2&amp;E$1&amp;"C"&amp;$A19)*RTD("tos.rtd",,"GAMMA","."&amp;E$2&amp;E$1&amp;"C"&amp;$A19)-$A$4*$A$4*RTD("tos.rtd",,"OPEN_INT","."&amp;E$2&amp;E$1&amp;"P"&amp;$A19)*RTD("tos.rtd",,"GAMMA","."&amp;E$2&amp;E$1&amp;"P"&amp;$A19))/1000000),0),IF($A$2="SKEW",IFERROR(VALUE(IF(RTD("tos.rtd",,"IMPL_VOL","."&amp;E$2&amp;E$1&amp;"P"&amp;$A19)="N/A",0,RTD("tos.rtd",,"IMPL_VOL","."&amp;E$2&amp;E$1&amp;"P"&amp;$A19))),0)-IFERROR(VALUE(IF(RTD("tos.rtd",,"IMPL_VOL","."&amp;E$2&amp;E$1&amp;"C"&amp;$A19)="N/A",0,RTD("tos.rtd",,"IMPL_VOL","."&amp;E$2&amp;E$1&amp;"C"&amp;$A19))),0),IF($A$2="MAXPAIN",IF($A$4&gt;$A19,($A$4-$A19)*IF(RTD("tos.rtd",,"OPEN_INT","."&amp;E$2&amp;E$1&amp;"C"&amp;$A19)="N/A",0,RTD("tos.rtd",,"OPEN_INT","."&amp;E$2&amp;E$1&amp;"C"&amp;$A19)),0)+IF($A$4&lt;$A19,($A$5-$A$4)*IF(RTD("tos.rtd",,"OPEN_INT","."&amp;E$2&amp;E$1&amp;"P"&amp;$A19)="N/A",0,RTD("tos.rtd",,"OPEN_INT","."&amp;E$2&amp;E$1&amp;"P"&amp;$A19)),0),IF($X$1="ABS",IF(RTD("tos.rtd",,$A$2,"."&amp;E$2&amp;E$1&amp;"C"&amp;$A19)="N/A",0,RTD("tos.rtd",,$A$2,"."&amp;E$2&amp;E$1&amp;"C"&amp;$A19))+IF(RTD("tos.rtd",,$A$2,"."&amp;E$2&amp;E$1&amp;"P"&amp;$A19)="N/A",0,RTD("tos.rtd",,$A$2,"."&amp;E$2&amp;E$1&amp;"P"&amp;$A19)),IF(RTD("tos.rtd",,$A$2,"."&amp;E$2&amp;E$1&amp;"C"&amp;$A19)="N/A",0,RTD("tos.rtd",,$A$2,"."&amp;E$2&amp;E$1&amp;"C"&amp;$A19))-IF(RTD("tos.rtd",,$A$2,"."&amp;E$2&amp;E$1&amp;"P"&amp;$A19)="N/A",0,RTD("tos.rtd",,$A$2,"."&amp;E$2&amp;E$1&amp;"P"&amp;$A19))))))))))</f>
        <v>0</v>
      </c>
      <c r="F19" s="12">
        <f ca="1">IF($A$2="PREMIUM_OI",IFERROR(IF($X$1="ABS",(100*RTD("tos.rtd",,"OPEN_INT","."&amp;F$2&amp;F$1&amp;"C"&amp;$A19)*RTD("tos.rtd",,"LAST","."&amp;F$2&amp;F$1&amp;"C"&amp;$A19)+100*RTD("tos.rtd",,"OPEN_INT","."&amp;F$2&amp;F$1&amp;"P"&amp;$A19)*RTD("tos.rtd",,"LAST","."&amp;F$2&amp;F$1&amp;"P"&amp;$A19))/1000000,(100*RTD("tos.rtd",,"OPEN_INT","."&amp;F$2&amp;F$1&amp;"C"&amp;$A19)*RTD("tos.rtd",,"LAST","."&amp;F$2&amp;F$1&amp;"C"&amp;$A19)-100*RTD("tos.rtd",,"OPEN_INT","."&amp;F$2&amp;F$1&amp;"P"&amp;$A19)*RTD("tos.rtd",,"LAST","."&amp;F$2&amp;F$1&amp;"P"&amp;$A19))/1000000),0),IF($A$2="PREMIUM",IFERROR(IF($X$1="ABS",(100*RTD("tos.rtd",,"VOLUME","."&amp;F$2&amp;F$1&amp;"C"&amp;$A19)*RTD("tos.rtd",,"LAST","."&amp;F$2&amp;F$1&amp;"C"&amp;$A19)+100*RTD("tos.rtd",,"VOLUME","."&amp;F$2&amp;F$1&amp;"P"&amp;$A19)*RTD("tos.rtd",,"LAST","."&amp;F$2&amp;F$1&amp;"P"&amp;$A19))/1000000,(100*RTD("tos.rtd",,"VOLUME","."&amp;F$2&amp;F$1&amp;"C"&amp;$A19)*RTD("tos.rtd",,"LAST","."&amp;F$2&amp;F$1&amp;"C"&amp;$A19)-100*RTD("tos.rtd",,"VOLUME","."&amp;F$2&amp;F$1&amp;"P"&amp;$A19)*RTD("tos.rtd",,"LAST","."&amp;F$2&amp;F$1&amp;"P"&amp;$A19))/1000000),0),IF($A$2="DEX",IFERROR(IF($X$1="ABS",(100*RTD("tos.rtd",,"OPEN_INT","."&amp;F$2&amp;F$1&amp;"C"&amp;$A19)*RTD("tos.rtd",,"DELTA","."&amp;F$2&amp;F$1&amp;"C"&amp;$A19)+100*RTD("tos.rtd",,"OPEN_INT","."&amp;F$2&amp;F$1&amp;"P"&amp;$A19)*RTD("tos.rtd",,"DELTA","."&amp;F$2&amp;F$1&amp;"P"&amp;$A19))/1000,(100*RTD("tos.rtd",,"OPEN_INT","."&amp;F$2&amp;F$1&amp;"C"&amp;$A19)*RTD("tos.rtd",,"DELTA","."&amp;F$2&amp;F$1&amp;"C"&amp;$A19)-100*RTD("tos.rtd",,"OPEN_INT","."&amp;F$2&amp;F$1&amp;"P"&amp;$A19)*RTD("tos.rtd",,"DELTA","."&amp;F$2&amp;F$1&amp;"P"&amp;$A19))/1000),0),IF($A$2="VEX",IFERROR(IF($X$1="ABS",($A$4*$A$4*RTD("tos.rtd",,"VOLUME","."&amp;F$2&amp;F$1&amp;"C"&amp;$A19)*RTD("tos.rtd",,"GAMMA","."&amp;F$2&amp;F$1&amp;"C"&amp;$A19)+$A$4*$A$4*RTD("tos.rtd",,"VOLUME","."&amp;F$2&amp;F$1&amp;"P"&amp;$A19)*RTD("tos.rtd",,"GAMMA","."&amp;F$2&amp;F$1&amp;"P"&amp;$A19))/1000000,($A$4*$A$4*RTD("tos.rtd",,"VOLUME","."&amp;F$2&amp;F$1&amp;"C"&amp;$A19)*RTD("tos.rtd",,"GAMMA","."&amp;F$2&amp;F$1&amp;"C"&amp;$A19)-$A$4*$A$4*RTD("tos.rtd",,"VOLUME","."&amp;F$2&amp;F$1&amp;"P"&amp;$A19)*RTD("tos.rtd",,"GAMMA","."&amp;F$2&amp;F$1&amp;"P"&amp;$A19))/1000000),0),IF($A$2="GEX",IFERROR(IF($X$1="ABS",($A$4*$A$4*RTD("tos.rtd",,"OPEN_INT","."&amp;F$2&amp;F$1&amp;"C"&amp;$A19)*RTD("tos.rtd",,"GAMMA","."&amp;F$2&amp;F$1&amp;"C"&amp;$A19)+$A$4*$A$4*RTD("tos.rtd",,"OPEN_INT","."&amp;F$2&amp;F$1&amp;"P"&amp;$A19)*RTD("tos.rtd",,"GAMMA","."&amp;F$2&amp;F$1&amp;"P"&amp;$A19))/1000000,($A$4*$A$4*RTD("tos.rtd",,"OPEN_INT","."&amp;F$2&amp;F$1&amp;"C"&amp;$A19)*RTD("tos.rtd",,"GAMMA","."&amp;F$2&amp;F$1&amp;"C"&amp;$A19)-$A$4*$A$4*RTD("tos.rtd",,"OPEN_INT","."&amp;F$2&amp;F$1&amp;"P"&amp;$A19)*RTD("tos.rtd",,"GAMMA","."&amp;F$2&amp;F$1&amp;"P"&amp;$A19))/1000000),0),IF($A$2="SKEW",IFERROR(VALUE(IF(RTD("tos.rtd",,"IMPL_VOL","."&amp;F$2&amp;F$1&amp;"P"&amp;$A19)="N/A",0,RTD("tos.rtd",,"IMPL_VOL","."&amp;F$2&amp;F$1&amp;"P"&amp;$A19))),0)-IFERROR(VALUE(IF(RTD("tos.rtd",,"IMPL_VOL","."&amp;F$2&amp;F$1&amp;"C"&amp;$A19)="N/A",0,RTD("tos.rtd",,"IMPL_VOL","."&amp;F$2&amp;F$1&amp;"C"&amp;$A19))),0),IF($A$2="MAXPAIN",IF($A$4&gt;$A19,($A$4-$A19)*IF(RTD("tos.rtd",,"OPEN_INT","."&amp;F$2&amp;F$1&amp;"C"&amp;$A19)="N/A",0,RTD("tos.rtd",,"OPEN_INT","."&amp;F$2&amp;F$1&amp;"C"&amp;$A19)),0)+IF($A$4&lt;$A19,($A$5-$A$4)*IF(RTD("tos.rtd",,"OPEN_INT","."&amp;F$2&amp;F$1&amp;"P"&amp;$A19)="N/A",0,RTD("tos.rtd",,"OPEN_INT","."&amp;F$2&amp;F$1&amp;"P"&amp;$A19)),0),IF($X$1="ABS",IF(RTD("tos.rtd",,$A$2,"."&amp;F$2&amp;F$1&amp;"C"&amp;$A19)="N/A",0,RTD("tos.rtd",,$A$2,"."&amp;F$2&amp;F$1&amp;"C"&amp;$A19))+IF(RTD("tos.rtd",,$A$2,"."&amp;F$2&amp;F$1&amp;"P"&amp;$A19)="N/A",0,RTD("tos.rtd",,$A$2,"."&amp;F$2&amp;F$1&amp;"P"&amp;$A19)),IF(RTD("tos.rtd",,$A$2,"."&amp;F$2&amp;F$1&amp;"C"&amp;$A19)="N/A",0,RTD("tos.rtd",,$A$2,"."&amp;F$2&amp;F$1&amp;"C"&amp;$A19))-IF(RTD("tos.rtd",,$A$2,"."&amp;F$2&amp;F$1&amp;"P"&amp;$A19)="N/A",0,RTD("tos.rtd",,$A$2,"."&amp;F$2&amp;F$1&amp;"P"&amp;$A19))))))))))</f>
        <v>0</v>
      </c>
      <c r="G19" s="54">
        <f ca="1">IF($A$2="PREMIUM_OI",IFERROR(IF($X$1="ABS",(100*RTD("tos.rtd",,"OPEN_INT","."&amp;G$2&amp;G$1&amp;"C"&amp;$A19)*RTD("tos.rtd",,"LAST","."&amp;G$2&amp;G$1&amp;"C"&amp;$A19)+100*RTD("tos.rtd",,"OPEN_INT","."&amp;G$2&amp;G$1&amp;"P"&amp;$A19)*RTD("tos.rtd",,"LAST","."&amp;G$2&amp;G$1&amp;"P"&amp;$A19))/1000000,(100*RTD("tos.rtd",,"OPEN_INT","."&amp;G$2&amp;G$1&amp;"C"&amp;$A19)*RTD("tos.rtd",,"LAST","."&amp;G$2&amp;G$1&amp;"C"&amp;$A19)-100*RTD("tos.rtd",,"OPEN_INT","."&amp;G$2&amp;G$1&amp;"P"&amp;$A19)*RTD("tos.rtd",,"LAST","."&amp;G$2&amp;G$1&amp;"P"&amp;$A19))/1000000),0),IF($A$2="PREMIUM",IFERROR(IF($X$1="ABS",(100*RTD("tos.rtd",,"VOLUME","."&amp;G$2&amp;G$1&amp;"C"&amp;$A19)*RTD("tos.rtd",,"LAST","."&amp;G$2&amp;G$1&amp;"C"&amp;$A19)+100*RTD("tos.rtd",,"VOLUME","."&amp;G$2&amp;G$1&amp;"P"&amp;$A19)*RTD("tos.rtd",,"LAST","."&amp;G$2&amp;G$1&amp;"P"&amp;$A19))/1000000,(100*RTD("tos.rtd",,"VOLUME","."&amp;G$2&amp;G$1&amp;"C"&amp;$A19)*RTD("tos.rtd",,"LAST","."&amp;G$2&amp;G$1&amp;"C"&amp;$A19)-100*RTD("tos.rtd",,"VOLUME","."&amp;G$2&amp;G$1&amp;"P"&amp;$A19)*RTD("tos.rtd",,"LAST","."&amp;G$2&amp;G$1&amp;"P"&amp;$A19))/1000000),0),IF($A$2="DEX",IFERROR(IF($X$1="ABS",(100*RTD("tos.rtd",,"OPEN_INT","."&amp;G$2&amp;G$1&amp;"C"&amp;$A19)*RTD("tos.rtd",,"DELTA","."&amp;G$2&amp;G$1&amp;"C"&amp;$A19)+100*RTD("tos.rtd",,"OPEN_INT","."&amp;G$2&amp;G$1&amp;"P"&amp;$A19)*RTD("tos.rtd",,"DELTA","."&amp;G$2&amp;G$1&amp;"P"&amp;$A19))/1000,(100*RTD("tos.rtd",,"OPEN_INT","."&amp;G$2&amp;G$1&amp;"C"&amp;$A19)*RTD("tos.rtd",,"DELTA","."&amp;G$2&amp;G$1&amp;"C"&amp;$A19)-100*RTD("tos.rtd",,"OPEN_INT","."&amp;G$2&amp;G$1&amp;"P"&amp;$A19)*RTD("tos.rtd",,"DELTA","."&amp;G$2&amp;G$1&amp;"P"&amp;$A19))/1000),0),IF($A$2="VEX",IFERROR(IF($X$1="ABS",($A$4*$A$4*RTD("tos.rtd",,"VOLUME","."&amp;G$2&amp;G$1&amp;"C"&amp;$A19)*RTD("tos.rtd",,"GAMMA","."&amp;G$2&amp;G$1&amp;"C"&amp;$A19)+$A$4*$A$4*RTD("tos.rtd",,"VOLUME","."&amp;G$2&amp;G$1&amp;"P"&amp;$A19)*RTD("tos.rtd",,"GAMMA","."&amp;G$2&amp;G$1&amp;"P"&amp;$A19))/1000000,($A$4*$A$4*RTD("tos.rtd",,"VOLUME","."&amp;G$2&amp;G$1&amp;"C"&amp;$A19)*RTD("tos.rtd",,"GAMMA","."&amp;G$2&amp;G$1&amp;"C"&amp;$A19)-$A$4*$A$4*RTD("tos.rtd",,"VOLUME","."&amp;G$2&amp;G$1&amp;"P"&amp;$A19)*RTD("tos.rtd",,"GAMMA","."&amp;G$2&amp;G$1&amp;"P"&amp;$A19))/1000000),0),IF($A$2="GEX",IFERROR(IF($X$1="ABS",($A$4*$A$4*RTD("tos.rtd",,"OPEN_INT","."&amp;G$2&amp;G$1&amp;"C"&amp;$A19)*RTD("tos.rtd",,"GAMMA","."&amp;G$2&amp;G$1&amp;"C"&amp;$A19)+$A$4*$A$4*RTD("tos.rtd",,"OPEN_INT","."&amp;G$2&amp;G$1&amp;"P"&amp;$A19)*RTD("tos.rtd",,"GAMMA","."&amp;G$2&amp;G$1&amp;"P"&amp;$A19))/1000000,($A$4*$A$4*RTD("tos.rtd",,"OPEN_INT","."&amp;G$2&amp;G$1&amp;"C"&amp;$A19)*RTD("tos.rtd",,"GAMMA","."&amp;G$2&amp;G$1&amp;"C"&amp;$A19)-$A$4*$A$4*RTD("tos.rtd",,"OPEN_INT","."&amp;G$2&amp;G$1&amp;"P"&amp;$A19)*RTD("tos.rtd",,"GAMMA","."&amp;G$2&amp;G$1&amp;"P"&amp;$A19))/1000000),0),IF($A$2="SKEW",IFERROR(VALUE(IF(RTD("tos.rtd",,"IMPL_VOL","."&amp;G$2&amp;G$1&amp;"P"&amp;$A19)="N/A",0,RTD("tos.rtd",,"IMPL_VOL","."&amp;G$2&amp;G$1&amp;"P"&amp;$A19))),0)-IFERROR(VALUE(IF(RTD("tos.rtd",,"IMPL_VOL","."&amp;G$2&amp;G$1&amp;"C"&amp;$A19)="N/A",0,RTD("tos.rtd",,"IMPL_VOL","."&amp;G$2&amp;G$1&amp;"C"&amp;$A19))),0),IF($A$2="MAXPAIN",IF($A$4&gt;$A19,($A$4-$A19)*IF(RTD("tos.rtd",,"OPEN_INT","."&amp;G$2&amp;G$1&amp;"C"&amp;$A19)="N/A",0,RTD("tos.rtd",,"OPEN_INT","."&amp;G$2&amp;G$1&amp;"C"&amp;$A19)),0)+IF($A$4&lt;$A19,($A$5-$A$4)*IF(RTD("tos.rtd",,"OPEN_INT","."&amp;G$2&amp;G$1&amp;"P"&amp;$A19)="N/A",0,RTD("tos.rtd",,"OPEN_INT","."&amp;G$2&amp;G$1&amp;"P"&amp;$A19)),0),IF($X$1="ABS",IF(RTD("tos.rtd",,$A$2,"."&amp;G$2&amp;G$1&amp;"C"&amp;$A19)="N/A",0,RTD("tos.rtd",,$A$2,"."&amp;G$2&amp;G$1&amp;"C"&amp;$A19))+IF(RTD("tos.rtd",,$A$2,"."&amp;G$2&amp;G$1&amp;"P"&amp;$A19)="N/A",0,RTD("tos.rtd",,$A$2,"."&amp;G$2&amp;G$1&amp;"P"&amp;$A19)),IF(RTD("tos.rtd",,$A$2,"."&amp;G$2&amp;G$1&amp;"C"&amp;$A19)="N/A",0,RTD("tos.rtd",,$A$2,"."&amp;G$2&amp;G$1&amp;"C"&amp;$A19))-IF(RTD("tos.rtd",,$A$2,"."&amp;G$2&amp;G$1&amp;"P"&amp;$A19)="N/A",0,RTD("tos.rtd",,$A$2,"."&amp;G$2&amp;G$1&amp;"P"&amp;$A19))))))))))</f>
        <v>0</v>
      </c>
      <c r="H19" s="14">
        <f ca="1">IF($A$2="PREMIUM_OI",IFERROR(IF($X$1="ABS",(100*RTD("tos.rtd",,"OPEN_INT","."&amp;H$2&amp;H$1&amp;"C"&amp;$A19)*RTD("tos.rtd",,"LAST","."&amp;H$2&amp;H$1&amp;"C"&amp;$A19)+100*RTD("tos.rtd",,"OPEN_INT","."&amp;H$2&amp;H$1&amp;"P"&amp;$A19)*RTD("tos.rtd",,"LAST","."&amp;H$2&amp;H$1&amp;"P"&amp;$A19))/1000000,(100*RTD("tos.rtd",,"OPEN_INT","."&amp;H$2&amp;H$1&amp;"C"&amp;$A19)*RTD("tos.rtd",,"LAST","."&amp;H$2&amp;H$1&amp;"C"&amp;$A19)-100*RTD("tos.rtd",,"OPEN_INT","."&amp;H$2&amp;H$1&amp;"P"&amp;$A19)*RTD("tos.rtd",,"LAST","."&amp;H$2&amp;H$1&amp;"P"&amp;$A19))/1000000),0),IF($A$2="PREMIUM",IFERROR(IF($X$1="ABS",(100*RTD("tos.rtd",,"VOLUME","."&amp;H$2&amp;H$1&amp;"C"&amp;$A19)*RTD("tos.rtd",,"LAST","."&amp;H$2&amp;H$1&amp;"C"&amp;$A19)+100*RTD("tos.rtd",,"VOLUME","."&amp;H$2&amp;H$1&amp;"P"&amp;$A19)*RTD("tos.rtd",,"LAST","."&amp;H$2&amp;H$1&amp;"P"&amp;$A19))/1000000,(100*RTD("tos.rtd",,"VOLUME","."&amp;H$2&amp;H$1&amp;"C"&amp;$A19)*RTD("tos.rtd",,"LAST","."&amp;H$2&amp;H$1&amp;"C"&amp;$A19)-100*RTD("tos.rtd",,"VOLUME","."&amp;H$2&amp;H$1&amp;"P"&amp;$A19)*RTD("tos.rtd",,"LAST","."&amp;H$2&amp;H$1&amp;"P"&amp;$A19))/1000000),0),IF($A$2="DEX",IFERROR(IF($X$1="ABS",(100*RTD("tos.rtd",,"OPEN_INT","."&amp;H$2&amp;H$1&amp;"C"&amp;$A19)*RTD("tos.rtd",,"DELTA","."&amp;H$2&amp;H$1&amp;"C"&amp;$A19)+100*RTD("tos.rtd",,"OPEN_INT","."&amp;H$2&amp;H$1&amp;"P"&amp;$A19)*RTD("tos.rtd",,"DELTA","."&amp;H$2&amp;H$1&amp;"P"&amp;$A19))/1000,(100*RTD("tos.rtd",,"OPEN_INT","."&amp;H$2&amp;H$1&amp;"C"&amp;$A19)*RTD("tos.rtd",,"DELTA","."&amp;H$2&amp;H$1&amp;"C"&amp;$A19)-100*RTD("tos.rtd",,"OPEN_INT","."&amp;H$2&amp;H$1&amp;"P"&amp;$A19)*RTD("tos.rtd",,"DELTA","."&amp;H$2&amp;H$1&amp;"P"&amp;$A19))/1000),0),IF($A$2="VEX",IFERROR(IF($X$1="ABS",($A$4*$A$4*RTD("tos.rtd",,"VOLUME","."&amp;H$2&amp;H$1&amp;"C"&amp;$A19)*RTD("tos.rtd",,"GAMMA","."&amp;H$2&amp;H$1&amp;"C"&amp;$A19)+$A$4*$A$4*RTD("tos.rtd",,"VOLUME","."&amp;H$2&amp;H$1&amp;"P"&amp;$A19)*RTD("tos.rtd",,"GAMMA","."&amp;H$2&amp;H$1&amp;"P"&amp;$A19))/1000000,($A$4*$A$4*RTD("tos.rtd",,"VOLUME","."&amp;H$2&amp;H$1&amp;"C"&amp;$A19)*RTD("tos.rtd",,"GAMMA","."&amp;H$2&amp;H$1&amp;"C"&amp;$A19)-$A$4*$A$4*RTD("tos.rtd",,"VOLUME","."&amp;H$2&amp;H$1&amp;"P"&amp;$A19)*RTD("tos.rtd",,"GAMMA","."&amp;H$2&amp;H$1&amp;"P"&amp;$A19))/1000000),0),IF($A$2="GEX",IFERROR(IF($X$1="ABS",($A$4*$A$4*RTD("tos.rtd",,"OPEN_INT","."&amp;H$2&amp;H$1&amp;"C"&amp;$A19)*RTD("tos.rtd",,"GAMMA","."&amp;H$2&amp;H$1&amp;"C"&amp;$A19)+$A$4*$A$4*RTD("tos.rtd",,"OPEN_INT","."&amp;H$2&amp;H$1&amp;"P"&amp;$A19)*RTD("tos.rtd",,"GAMMA","."&amp;H$2&amp;H$1&amp;"P"&amp;$A19))/1000000,($A$4*$A$4*RTD("tos.rtd",,"OPEN_INT","."&amp;H$2&amp;H$1&amp;"C"&amp;$A19)*RTD("tos.rtd",,"GAMMA","."&amp;H$2&amp;H$1&amp;"C"&amp;$A19)-$A$4*$A$4*RTD("tos.rtd",,"OPEN_INT","."&amp;H$2&amp;H$1&amp;"P"&amp;$A19)*RTD("tos.rtd",,"GAMMA","."&amp;H$2&amp;H$1&amp;"P"&amp;$A19))/1000000),0),IF($A$2="SKEW",IFERROR(VALUE(IF(RTD("tos.rtd",,"IMPL_VOL","."&amp;H$2&amp;H$1&amp;"P"&amp;$A19)="N/A",0,RTD("tos.rtd",,"IMPL_VOL","."&amp;H$2&amp;H$1&amp;"P"&amp;$A19))),0)-IFERROR(VALUE(IF(RTD("tos.rtd",,"IMPL_VOL","."&amp;H$2&amp;H$1&amp;"C"&amp;$A19)="N/A",0,RTD("tos.rtd",,"IMPL_VOL","."&amp;H$2&amp;H$1&amp;"C"&amp;$A19))),0),IF($A$2="MAXPAIN",IF($A$4&gt;$A19,($A$4-$A19)*IF(RTD("tos.rtd",,"OPEN_INT","."&amp;H$2&amp;H$1&amp;"C"&amp;$A19)="N/A",0,RTD("tos.rtd",,"OPEN_INT","."&amp;H$2&amp;H$1&amp;"C"&amp;$A19)),0)+IF($A$4&lt;$A19,($A$5-$A$4)*IF(RTD("tos.rtd",,"OPEN_INT","."&amp;H$2&amp;H$1&amp;"P"&amp;$A19)="N/A",0,RTD("tos.rtd",,"OPEN_INT","."&amp;H$2&amp;H$1&amp;"P"&amp;$A19)),0),IF($X$1="ABS",IF(RTD("tos.rtd",,$A$2,"."&amp;H$2&amp;H$1&amp;"C"&amp;$A19)="N/A",0,RTD("tos.rtd",,$A$2,"."&amp;H$2&amp;H$1&amp;"C"&amp;$A19))+IF(RTD("tos.rtd",,$A$2,"."&amp;H$2&amp;H$1&amp;"P"&amp;$A19)="N/A",0,RTD("tos.rtd",,$A$2,"."&amp;H$2&amp;H$1&amp;"P"&amp;$A19)),IF(RTD("tos.rtd",,$A$2,"."&amp;H$2&amp;H$1&amp;"C"&amp;$A19)="N/A",0,RTD("tos.rtd",,$A$2,"."&amp;H$2&amp;H$1&amp;"C"&amp;$A19))-IF(RTD("tos.rtd",,$A$2,"."&amp;H$2&amp;H$1&amp;"P"&amp;$A19)="N/A",0,RTD("tos.rtd",,$A$2,"."&amp;H$2&amp;H$1&amp;"P"&amp;$A19))))))))))</f>
        <v>0</v>
      </c>
      <c r="I19" s="12">
        <f ca="1">IF($A$2="PREMIUM_OI",IFERROR(IF($X$1="ABS",(100*RTD("tos.rtd",,"OPEN_INT","."&amp;I$2&amp;I$1&amp;"C"&amp;$A19)*RTD("tos.rtd",,"LAST","."&amp;I$2&amp;I$1&amp;"C"&amp;$A19)+100*RTD("tos.rtd",,"OPEN_INT","."&amp;I$2&amp;I$1&amp;"P"&amp;$A19)*RTD("tos.rtd",,"LAST","."&amp;I$2&amp;I$1&amp;"P"&amp;$A19))/1000000,(100*RTD("tos.rtd",,"OPEN_INT","."&amp;I$2&amp;I$1&amp;"C"&amp;$A19)*RTD("tos.rtd",,"LAST","."&amp;I$2&amp;I$1&amp;"C"&amp;$A19)-100*RTD("tos.rtd",,"OPEN_INT","."&amp;I$2&amp;I$1&amp;"P"&amp;$A19)*RTD("tos.rtd",,"LAST","."&amp;I$2&amp;I$1&amp;"P"&amp;$A19))/1000000),0),IF($A$2="PREMIUM",IFERROR(IF($X$1="ABS",(100*RTD("tos.rtd",,"VOLUME","."&amp;I$2&amp;I$1&amp;"C"&amp;$A19)*RTD("tos.rtd",,"LAST","."&amp;I$2&amp;I$1&amp;"C"&amp;$A19)+100*RTD("tos.rtd",,"VOLUME","."&amp;I$2&amp;I$1&amp;"P"&amp;$A19)*RTD("tos.rtd",,"LAST","."&amp;I$2&amp;I$1&amp;"P"&amp;$A19))/1000000,(100*RTD("tos.rtd",,"VOLUME","."&amp;I$2&amp;I$1&amp;"C"&amp;$A19)*RTD("tos.rtd",,"LAST","."&amp;I$2&amp;I$1&amp;"C"&amp;$A19)-100*RTD("tos.rtd",,"VOLUME","."&amp;I$2&amp;I$1&amp;"P"&amp;$A19)*RTD("tos.rtd",,"LAST","."&amp;I$2&amp;I$1&amp;"P"&amp;$A19))/1000000),0),IF($A$2="DEX",IFERROR(IF($X$1="ABS",(100*RTD("tos.rtd",,"OPEN_INT","."&amp;I$2&amp;I$1&amp;"C"&amp;$A19)*RTD("tos.rtd",,"DELTA","."&amp;I$2&amp;I$1&amp;"C"&amp;$A19)+100*RTD("tos.rtd",,"OPEN_INT","."&amp;I$2&amp;I$1&amp;"P"&amp;$A19)*RTD("tos.rtd",,"DELTA","."&amp;I$2&amp;I$1&amp;"P"&amp;$A19))/1000,(100*RTD("tos.rtd",,"OPEN_INT","."&amp;I$2&amp;I$1&amp;"C"&amp;$A19)*RTD("tos.rtd",,"DELTA","."&amp;I$2&amp;I$1&amp;"C"&amp;$A19)-100*RTD("tos.rtd",,"OPEN_INT","."&amp;I$2&amp;I$1&amp;"P"&amp;$A19)*RTD("tos.rtd",,"DELTA","."&amp;I$2&amp;I$1&amp;"P"&amp;$A19))/1000),0),IF($A$2="VEX",IFERROR(IF($X$1="ABS",($A$4*$A$4*RTD("tos.rtd",,"VOLUME","."&amp;I$2&amp;I$1&amp;"C"&amp;$A19)*RTD("tos.rtd",,"GAMMA","."&amp;I$2&amp;I$1&amp;"C"&amp;$A19)+$A$4*$A$4*RTD("tos.rtd",,"VOLUME","."&amp;I$2&amp;I$1&amp;"P"&amp;$A19)*RTD("tos.rtd",,"GAMMA","."&amp;I$2&amp;I$1&amp;"P"&amp;$A19))/1000000,($A$4*$A$4*RTD("tos.rtd",,"VOLUME","."&amp;I$2&amp;I$1&amp;"C"&amp;$A19)*RTD("tos.rtd",,"GAMMA","."&amp;I$2&amp;I$1&amp;"C"&amp;$A19)-$A$4*$A$4*RTD("tos.rtd",,"VOLUME","."&amp;I$2&amp;I$1&amp;"P"&amp;$A19)*RTD("tos.rtd",,"GAMMA","."&amp;I$2&amp;I$1&amp;"P"&amp;$A19))/1000000),0),IF($A$2="GEX",IFERROR(IF($X$1="ABS",($A$4*$A$4*RTD("tos.rtd",,"OPEN_INT","."&amp;I$2&amp;I$1&amp;"C"&amp;$A19)*RTD("tos.rtd",,"GAMMA","."&amp;I$2&amp;I$1&amp;"C"&amp;$A19)+$A$4*$A$4*RTD("tos.rtd",,"OPEN_INT","."&amp;I$2&amp;I$1&amp;"P"&amp;$A19)*RTD("tos.rtd",,"GAMMA","."&amp;I$2&amp;I$1&amp;"P"&amp;$A19))/1000000,($A$4*$A$4*RTD("tos.rtd",,"OPEN_INT","."&amp;I$2&amp;I$1&amp;"C"&amp;$A19)*RTD("tos.rtd",,"GAMMA","."&amp;I$2&amp;I$1&amp;"C"&amp;$A19)-$A$4*$A$4*RTD("tos.rtd",,"OPEN_INT","."&amp;I$2&amp;I$1&amp;"P"&amp;$A19)*RTD("tos.rtd",,"GAMMA","."&amp;I$2&amp;I$1&amp;"P"&amp;$A19))/1000000),0),IF($A$2="SKEW",IFERROR(VALUE(IF(RTD("tos.rtd",,"IMPL_VOL","."&amp;I$2&amp;I$1&amp;"P"&amp;$A19)="N/A",0,RTD("tos.rtd",,"IMPL_VOL","."&amp;I$2&amp;I$1&amp;"P"&amp;$A19))),0)-IFERROR(VALUE(IF(RTD("tos.rtd",,"IMPL_VOL","."&amp;I$2&amp;I$1&amp;"C"&amp;$A19)="N/A",0,RTD("tos.rtd",,"IMPL_VOL","."&amp;I$2&amp;I$1&amp;"C"&amp;$A19))),0),IF($A$2="MAXPAIN",IF($A$4&gt;$A19,($A$4-$A19)*IF(RTD("tos.rtd",,"OPEN_INT","."&amp;I$2&amp;I$1&amp;"C"&amp;$A19)="N/A",0,RTD("tos.rtd",,"OPEN_INT","."&amp;I$2&amp;I$1&amp;"C"&amp;$A19)),0)+IF($A$4&lt;$A19,($A$5-$A$4)*IF(RTD("tos.rtd",,"OPEN_INT","."&amp;I$2&amp;I$1&amp;"P"&amp;$A19)="N/A",0,RTD("tos.rtd",,"OPEN_INT","."&amp;I$2&amp;I$1&amp;"P"&amp;$A19)),0),IF($X$1="ABS",IF(RTD("tos.rtd",,$A$2,"."&amp;I$2&amp;I$1&amp;"C"&amp;$A19)="N/A",0,RTD("tos.rtd",,$A$2,"."&amp;I$2&amp;I$1&amp;"C"&amp;$A19))+IF(RTD("tos.rtd",,$A$2,"."&amp;I$2&amp;I$1&amp;"P"&amp;$A19)="N/A",0,RTD("tos.rtd",,$A$2,"."&amp;I$2&amp;I$1&amp;"P"&amp;$A19)),IF(RTD("tos.rtd",,$A$2,"."&amp;I$2&amp;I$1&amp;"C"&amp;$A19)="N/A",0,RTD("tos.rtd",,$A$2,"."&amp;I$2&amp;I$1&amp;"C"&amp;$A19))-IF(RTD("tos.rtd",,$A$2,"."&amp;I$2&amp;I$1&amp;"P"&amp;$A19)="N/A",0,RTD("tos.rtd",,$A$2,"."&amp;I$2&amp;I$1&amp;"P"&amp;$A19))))))))))</f>
        <v>0</v>
      </c>
      <c r="J19" s="12">
        <f ca="1">IF($A$2="PREMIUM_OI",IFERROR(IF($X$1="ABS",(100*RTD("tos.rtd",,"OPEN_INT","."&amp;J$2&amp;J$1&amp;"C"&amp;$A19)*RTD("tos.rtd",,"LAST","."&amp;J$2&amp;J$1&amp;"C"&amp;$A19)+100*RTD("tos.rtd",,"OPEN_INT","."&amp;J$2&amp;J$1&amp;"P"&amp;$A19)*RTD("tos.rtd",,"LAST","."&amp;J$2&amp;J$1&amp;"P"&amp;$A19))/1000000,(100*RTD("tos.rtd",,"OPEN_INT","."&amp;J$2&amp;J$1&amp;"C"&amp;$A19)*RTD("tos.rtd",,"LAST","."&amp;J$2&amp;J$1&amp;"C"&amp;$A19)-100*RTD("tos.rtd",,"OPEN_INT","."&amp;J$2&amp;J$1&amp;"P"&amp;$A19)*RTD("tos.rtd",,"LAST","."&amp;J$2&amp;J$1&amp;"P"&amp;$A19))/1000000),0),IF($A$2="PREMIUM",IFERROR(IF($X$1="ABS",(100*RTD("tos.rtd",,"VOLUME","."&amp;J$2&amp;J$1&amp;"C"&amp;$A19)*RTD("tos.rtd",,"LAST","."&amp;J$2&amp;J$1&amp;"C"&amp;$A19)+100*RTD("tos.rtd",,"VOLUME","."&amp;J$2&amp;J$1&amp;"P"&amp;$A19)*RTD("tos.rtd",,"LAST","."&amp;J$2&amp;J$1&amp;"P"&amp;$A19))/1000000,(100*RTD("tos.rtd",,"VOLUME","."&amp;J$2&amp;J$1&amp;"C"&amp;$A19)*RTD("tos.rtd",,"LAST","."&amp;J$2&amp;J$1&amp;"C"&amp;$A19)-100*RTD("tos.rtd",,"VOLUME","."&amp;J$2&amp;J$1&amp;"P"&amp;$A19)*RTD("tos.rtd",,"LAST","."&amp;J$2&amp;J$1&amp;"P"&amp;$A19))/1000000),0),IF($A$2="DEX",IFERROR(IF($X$1="ABS",(100*RTD("tos.rtd",,"OPEN_INT","."&amp;J$2&amp;J$1&amp;"C"&amp;$A19)*RTD("tos.rtd",,"DELTA","."&amp;J$2&amp;J$1&amp;"C"&amp;$A19)+100*RTD("tos.rtd",,"OPEN_INT","."&amp;J$2&amp;J$1&amp;"P"&amp;$A19)*RTD("tos.rtd",,"DELTA","."&amp;J$2&amp;J$1&amp;"P"&amp;$A19))/1000,(100*RTD("tos.rtd",,"OPEN_INT","."&amp;J$2&amp;J$1&amp;"C"&amp;$A19)*RTD("tos.rtd",,"DELTA","."&amp;J$2&amp;J$1&amp;"C"&amp;$A19)-100*RTD("tos.rtd",,"OPEN_INT","."&amp;J$2&amp;J$1&amp;"P"&amp;$A19)*RTD("tos.rtd",,"DELTA","."&amp;J$2&amp;J$1&amp;"P"&amp;$A19))/1000),0),IF($A$2="VEX",IFERROR(IF($X$1="ABS",($A$4*$A$4*RTD("tos.rtd",,"VOLUME","."&amp;J$2&amp;J$1&amp;"C"&amp;$A19)*RTD("tos.rtd",,"GAMMA","."&amp;J$2&amp;J$1&amp;"C"&amp;$A19)+$A$4*$A$4*RTD("tos.rtd",,"VOLUME","."&amp;J$2&amp;J$1&amp;"P"&amp;$A19)*RTD("tos.rtd",,"GAMMA","."&amp;J$2&amp;J$1&amp;"P"&amp;$A19))/1000000,($A$4*$A$4*RTD("tos.rtd",,"VOLUME","."&amp;J$2&amp;J$1&amp;"C"&amp;$A19)*RTD("tos.rtd",,"GAMMA","."&amp;J$2&amp;J$1&amp;"C"&amp;$A19)-$A$4*$A$4*RTD("tos.rtd",,"VOLUME","."&amp;J$2&amp;J$1&amp;"P"&amp;$A19)*RTD("tos.rtd",,"GAMMA","."&amp;J$2&amp;J$1&amp;"P"&amp;$A19))/1000000),0),IF($A$2="GEX",IFERROR(IF($X$1="ABS",($A$4*$A$4*RTD("tos.rtd",,"OPEN_INT","."&amp;J$2&amp;J$1&amp;"C"&amp;$A19)*RTD("tos.rtd",,"GAMMA","."&amp;J$2&amp;J$1&amp;"C"&amp;$A19)+$A$4*$A$4*RTD("tos.rtd",,"OPEN_INT","."&amp;J$2&amp;J$1&amp;"P"&amp;$A19)*RTD("tos.rtd",,"GAMMA","."&amp;J$2&amp;J$1&amp;"P"&amp;$A19))/1000000,($A$4*$A$4*RTD("tos.rtd",,"OPEN_INT","."&amp;J$2&amp;J$1&amp;"C"&amp;$A19)*RTD("tos.rtd",,"GAMMA","."&amp;J$2&amp;J$1&amp;"C"&amp;$A19)-$A$4*$A$4*RTD("tos.rtd",,"OPEN_INT","."&amp;J$2&amp;J$1&amp;"P"&amp;$A19)*RTD("tos.rtd",,"GAMMA","."&amp;J$2&amp;J$1&amp;"P"&amp;$A19))/1000000),0),IF($A$2="SKEW",IFERROR(VALUE(IF(RTD("tos.rtd",,"IMPL_VOL","."&amp;J$2&amp;J$1&amp;"P"&amp;$A19)="N/A",0,RTD("tos.rtd",,"IMPL_VOL","."&amp;J$2&amp;J$1&amp;"P"&amp;$A19))),0)-IFERROR(VALUE(IF(RTD("tos.rtd",,"IMPL_VOL","."&amp;J$2&amp;J$1&amp;"C"&amp;$A19)="N/A",0,RTD("tos.rtd",,"IMPL_VOL","."&amp;J$2&amp;J$1&amp;"C"&amp;$A19))),0),IF($A$2="MAXPAIN",IF($A$4&gt;$A19,($A$4-$A19)*IF(RTD("tos.rtd",,"OPEN_INT","."&amp;J$2&amp;J$1&amp;"C"&amp;$A19)="N/A",0,RTD("tos.rtd",,"OPEN_INT","."&amp;J$2&amp;J$1&amp;"C"&amp;$A19)),0)+IF($A$4&lt;$A19,($A$5-$A$4)*IF(RTD("tos.rtd",,"OPEN_INT","."&amp;J$2&amp;J$1&amp;"P"&amp;$A19)="N/A",0,RTD("tos.rtd",,"OPEN_INT","."&amp;J$2&amp;J$1&amp;"P"&amp;$A19)),0),IF($X$1="ABS",IF(RTD("tos.rtd",,$A$2,"."&amp;J$2&amp;J$1&amp;"C"&amp;$A19)="N/A",0,RTD("tos.rtd",,$A$2,"."&amp;J$2&amp;J$1&amp;"C"&amp;$A19))+IF(RTD("tos.rtd",,$A$2,"."&amp;J$2&amp;J$1&amp;"P"&amp;$A19)="N/A",0,RTD("tos.rtd",,$A$2,"."&amp;J$2&amp;J$1&amp;"P"&amp;$A19)),IF(RTD("tos.rtd",,$A$2,"."&amp;J$2&amp;J$1&amp;"C"&amp;$A19)="N/A",0,RTD("tos.rtd",,$A$2,"."&amp;J$2&amp;J$1&amp;"C"&amp;$A19))-IF(RTD("tos.rtd",,$A$2,"."&amp;J$2&amp;J$1&amp;"P"&amp;$A19)="N/A",0,RTD("tos.rtd",,$A$2,"."&amp;J$2&amp;J$1&amp;"P"&amp;$A19))))))))))</f>
        <v>0</v>
      </c>
      <c r="K19" s="12">
        <f ca="1">IF($A$2="PREMIUM_OI",IFERROR(IF($X$1="ABS",(100*RTD("tos.rtd",,"OPEN_INT","."&amp;K$2&amp;K$1&amp;"C"&amp;$A19)*RTD("tos.rtd",,"LAST","."&amp;K$2&amp;K$1&amp;"C"&amp;$A19)+100*RTD("tos.rtd",,"OPEN_INT","."&amp;K$2&amp;K$1&amp;"P"&amp;$A19)*RTD("tos.rtd",,"LAST","."&amp;K$2&amp;K$1&amp;"P"&amp;$A19))/1000000,(100*RTD("tos.rtd",,"OPEN_INT","."&amp;K$2&amp;K$1&amp;"C"&amp;$A19)*RTD("tos.rtd",,"LAST","."&amp;K$2&amp;K$1&amp;"C"&amp;$A19)-100*RTD("tos.rtd",,"OPEN_INT","."&amp;K$2&amp;K$1&amp;"P"&amp;$A19)*RTD("tos.rtd",,"LAST","."&amp;K$2&amp;K$1&amp;"P"&amp;$A19))/1000000),0),IF($A$2="PREMIUM",IFERROR(IF($X$1="ABS",(100*RTD("tos.rtd",,"VOLUME","."&amp;K$2&amp;K$1&amp;"C"&amp;$A19)*RTD("tos.rtd",,"LAST","."&amp;K$2&amp;K$1&amp;"C"&amp;$A19)+100*RTD("tos.rtd",,"VOLUME","."&amp;K$2&amp;K$1&amp;"P"&amp;$A19)*RTD("tos.rtd",,"LAST","."&amp;K$2&amp;K$1&amp;"P"&amp;$A19))/1000000,(100*RTD("tos.rtd",,"VOLUME","."&amp;K$2&amp;K$1&amp;"C"&amp;$A19)*RTD("tos.rtd",,"LAST","."&amp;K$2&amp;K$1&amp;"C"&amp;$A19)-100*RTD("tos.rtd",,"VOLUME","."&amp;K$2&amp;K$1&amp;"P"&amp;$A19)*RTD("tos.rtd",,"LAST","."&amp;K$2&amp;K$1&amp;"P"&amp;$A19))/1000000),0),IF($A$2="DEX",IFERROR(IF($X$1="ABS",(100*RTD("tos.rtd",,"OPEN_INT","."&amp;K$2&amp;K$1&amp;"C"&amp;$A19)*RTD("tos.rtd",,"DELTA","."&amp;K$2&amp;K$1&amp;"C"&amp;$A19)+100*RTD("tos.rtd",,"OPEN_INT","."&amp;K$2&amp;K$1&amp;"P"&amp;$A19)*RTD("tos.rtd",,"DELTA","."&amp;K$2&amp;K$1&amp;"P"&amp;$A19))/1000,(100*RTD("tos.rtd",,"OPEN_INT","."&amp;K$2&amp;K$1&amp;"C"&amp;$A19)*RTD("tos.rtd",,"DELTA","."&amp;K$2&amp;K$1&amp;"C"&amp;$A19)-100*RTD("tos.rtd",,"OPEN_INT","."&amp;K$2&amp;K$1&amp;"P"&amp;$A19)*RTD("tos.rtd",,"DELTA","."&amp;K$2&amp;K$1&amp;"P"&amp;$A19))/1000),0),IF($A$2="VEX",IFERROR(IF($X$1="ABS",($A$4*$A$4*RTD("tos.rtd",,"VOLUME","."&amp;K$2&amp;K$1&amp;"C"&amp;$A19)*RTD("tos.rtd",,"GAMMA","."&amp;K$2&amp;K$1&amp;"C"&amp;$A19)+$A$4*$A$4*RTD("tos.rtd",,"VOLUME","."&amp;K$2&amp;K$1&amp;"P"&amp;$A19)*RTD("tos.rtd",,"GAMMA","."&amp;K$2&amp;K$1&amp;"P"&amp;$A19))/1000000,($A$4*$A$4*RTD("tos.rtd",,"VOLUME","."&amp;K$2&amp;K$1&amp;"C"&amp;$A19)*RTD("tos.rtd",,"GAMMA","."&amp;K$2&amp;K$1&amp;"C"&amp;$A19)-$A$4*$A$4*RTD("tos.rtd",,"VOLUME","."&amp;K$2&amp;K$1&amp;"P"&amp;$A19)*RTD("tos.rtd",,"GAMMA","."&amp;K$2&amp;K$1&amp;"P"&amp;$A19))/1000000),0),IF($A$2="GEX",IFERROR(IF($X$1="ABS",($A$4*$A$4*RTD("tos.rtd",,"OPEN_INT","."&amp;K$2&amp;K$1&amp;"C"&amp;$A19)*RTD("tos.rtd",,"GAMMA","."&amp;K$2&amp;K$1&amp;"C"&amp;$A19)+$A$4*$A$4*RTD("tos.rtd",,"OPEN_INT","."&amp;K$2&amp;K$1&amp;"P"&amp;$A19)*RTD("tos.rtd",,"GAMMA","."&amp;K$2&amp;K$1&amp;"P"&amp;$A19))/1000000,($A$4*$A$4*RTD("tos.rtd",,"OPEN_INT","."&amp;K$2&amp;K$1&amp;"C"&amp;$A19)*RTD("tos.rtd",,"GAMMA","."&amp;K$2&amp;K$1&amp;"C"&amp;$A19)-$A$4*$A$4*RTD("tos.rtd",,"OPEN_INT","."&amp;K$2&amp;K$1&amp;"P"&amp;$A19)*RTD("tos.rtd",,"GAMMA","."&amp;K$2&amp;K$1&amp;"P"&amp;$A19))/1000000),0),IF($A$2="SKEW",IFERROR(VALUE(IF(RTD("tos.rtd",,"IMPL_VOL","."&amp;K$2&amp;K$1&amp;"P"&amp;$A19)="N/A",0,RTD("tos.rtd",,"IMPL_VOL","."&amp;K$2&amp;K$1&amp;"P"&amp;$A19))),0)-IFERROR(VALUE(IF(RTD("tos.rtd",,"IMPL_VOL","."&amp;K$2&amp;K$1&amp;"C"&amp;$A19)="N/A",0,RTD("tos.rtd",,"IMPL_VOL","."&amp;K$2&amp;K$1&amp;"C"&amp;$A19))),0),IF($A$2="MAXPAIN",IF($A$4&gt;$A19,($A$4-$A19)*IF(RTD("tos.rtd",,"OPEN_INT","."&amp;K$2&amp;K$1&amp;"C"&amp;$A19)="N/A",0,RTD("tos.rtd",,"OPEN_INT","."&amp;K$2&amp;K$1&amp;"C"&amp;$A19)),0)+IF($A$4&lt;$A19,($A$5-$A$4)*IF(RTD("tos.rtd",,"OPEN_INT","."&amp;K$2&amp;K$1&amp;"P"&amp;$A19)="N/A",0,RTD("tos.rtd",,"OPEN_INT","."&amp;K$2&amp;K$1&amp;"P"&amp;$A19)),0),IF($X$1="ABS",IF(RTD("tos.rtd",,$A$2,"."&amp;K$2&amp;K$1&amp;"C"&amp;$A19)="N/A",0,RTD("tos.rtd",,$A$2,"."&amp;K$2&amp;K$1&amp;"C"&amp;$A19))+IF(RTD("tos.rtd",,$A$2,"."&amp;K$2&amp;K$1&amp;"P"&amp;$A19)="N/A",0,RTD("tos.rtd",,$A$2,"."&amp;K$2&amp;K$1&amp;"P"&amp;$A19)),IF(RTD("tos.rtd",,$A$2,"."&amp;K$2&amp;K$1&amp;"C"&amp;$A19)="N/A",0,RTD("tos.rtd",,$A$2,"."&amp;K$2&amp;K$1&amp;"C"&amp;$A19))-IF(RTD("tos.rtd",,$A$2,"."&amp;K$2&amp;K$1&amp;"P"&amp;$A19)="N/A",0,RTD("tos.rtd",,$A$2,"."&amp;K$2&amp;K$1&amp;"P"&amp;$A19))))))))))</f>
        <v>0</v>
      </c>
      <c r="L19" s="54">
        <f ca="1">IF($A$2="PREMIUM_OI",IFERROR(IF($X$1="ABS",(100*RTD("tos.rtd",,"OPEN_INT","."&amp;L$2&amp;L$1&amp;"C"&amp;$A19)*RTD("tos.rtd",,"LAST","."&amp;L$2&amp;L$1&amp;"C"&amp;$A19)+100*RTD("tos.rtd",,"OPEN_INT","."&amp;L$2&amp;L$1&amp;"P"&amp;$A19)*RTD("tos.rtd",,"LAST","."&amp;L$2&amp;L$1&amp;"P"&amp;$A19))/1000000,(100*RTD("tos.rtd",,"OPEN_INT","."&amp;L$2&amp;L$1&amp;"C"&amp;$A19)*RTD("tos.rtd",,"LAST","."&amp;L$2&amp;L$1&amp;"C"&amp;$A19)-100*RTD("tos.rtd",,"OPEN_INT","."&amp;L$2&amp;L$1&amp;"P"&amp;$A19)*RTD("tos.rtd",,"LAST","."&amp;L$2&amp;L$1&amp;"P"&amp;$A19))/1000000),0),IF($A$2="PREMIUM",IFERROR(IF($X$1="ABS",(100*RTD("tos.rtd",,"VOLUME","."&amp;L$2&amp;L$1&amp;"C"&amp;$A19)*RTD("tos.rtd",,"LAST","."&amp;L$2&amp;L$1&amp;"C"&amp;$A19)+100*RTD("tos.rtd",,"VOLUME","."&amp;L$2&amp;L$1&amp;"P"&amp;$A19)*RTD("tos.rtd",,"LAST","."&amp;L$2&amp;L$1&amp;"P"&amp;$A19))/1000000,(100*RTD("tos.rtd",,"VOLUME","."&amp;L$2&amp;L$1&amp;"C"&amp;$A19)*RTD("tos.rtd",,"LAST","."&amp;L$2&amp;L$1&amp;"C"&amp;$A19)-100*RTD("tos.rtd",,"VOLUME","."&amp;L$2&amp;L$1&amp;"P"&amp;$A19)*RTD("tos.rtd",,"LAST","."&amp;L$2&amp;L$1&amp;"P"&amp;$A19))/1000000),0),IF($A$2="DEX",IFERROR(IF($X$1="ABS",(100*RTD("tos.rtd",,"OPEN_INT","."&amp;L$2&amp;L$1&amp;"C"&amp;$A19)*RTD("tos.rtd",,"DELTA","."&amp;L$2&amp;L$1&amp;"C"&amp;$A19)+100*RTD("tos.rtd",,"OPEN_INT","."&amp;L$2&amp;L$1&amp;"P"&amp;$A19)*RTD("tos.rtd",,"DELTA","."&amp;L$2&amp;L$1&amp;"P"&amp;$A19))/1000,(100*RTD("tos.rtd",,"OPEN_INT","."&amp;L$2&amp;L$1&amp;"C"&amp;$A19)*RTD("tos.rtd",,"DELTA","."&amp;L$2&amp;L$1&amp;"C"&amp;$A19)-100*RTD("tos.rtd",,"OPEN_INT","."&amp;L$2&amp;L$1&amp;"P"&amp;$A19)*RTD("tos.rtd",,"DELTA","."&amp;L$2&amp;L$1&amp;"P"&amp;$A19))/1000),0),IF($A$2="VEX",IFERROR(IF($X$1="ABS",($A$4*$A$4*RTD("tos.rtd",,"VOLUME","."&amp;L$2&amp;L$1&amp;"C"&amp;$A19)*RTD("tos.rtd",,"GAMMA","."&amp;L$2&amp;L$1&amp;"C"&amp;$A19)+$A$4*$A$4*RTD("tos.rtd",,"VOLUME","."&amp;L$2&amp;L$1&amp;"P"&amp;$A19)*RTD("tos.rtd",,"GAMMA","."&amp;L$2&amp;L$1&amp;"P"&amp;$A19))/1000000,($A$4*$A$4*RTD("tos.rtd",,"VOLUME","."&amp;L$2&amp;L$1&amp;"C"&amp;$A19)*RTD("tos.rtd",,"GAMMA","."&amp;L$2&amp;L$1&amp;"C"&amp;$A19)-$A$4*$A$4*RTD("tos.rtd",,"VOLUME","."&amp;L$2&amp;L$1&amp;"P"&amp;$A19)*RTD("tos.rtd",,"GAMMA","."&amp;L$2&amp;L$1&amp;"P"&amp;$A19))/1000000),0),IF($A$2="GEX",IFERROR(IF($X$1="ABS",($A$4*$A$4*RTD("tos.rtd",,"OPEN_INT","."&amp;L$2&amp;L$1&amp;"C"&amp;$A19)*RTD("tos.rtd",,"GAMMA","."&amp;L$2&amp;L$1&amp;"C"&amp;$A19)+$A$4*$A$4*RTD("tos.rtd",,"OPEN_INT","."&amp;L$2&amp;L$1&amp;"P"&amp;$A19)*RTD("tos.rtd",,"GAMMA","."&amp;L$2&amp;L$1&amp;"P"&amp;$A19))/1000000,($A$4*$A$4*RTD("tos.rtd",,"OPEN_INT","."&amp;L$2&amp;L$1&amp;"C"&amp;$A19)*RTD("tos.rtd",,"GAMMA","."&amp;L$2&amp;L$1&amp;"C"&amp;$A19)-$A$4*$A$4*RTD("tos.rtd",,"OPEN_INT","."&amp;L$2&amp;L$1&amp;"P"&amp;$A19)*RTD("tos.rtd",,"GAMMA","."&amp;L$2&amp;L$1&amp;"P"&amp;$A19))/1000000),0),IF($A$2="SKEW",IFERROR(VALUE(IF(RTD("tos.rtd",,"IMPL_VOL","."&amp;L$2&amp;L$1&amp;"P"&amp;$A19)="N/A",0,RTD("tos.rtd",,"IMPL_VOL","."&amp;L$2&amp;L$1&amp;"P"&amp;$A19))),0)-IFERROR(VALUE(IF(RTD("tos.rtd",,"IMPL_VOL","."&amp;L$2&amp;L$1&amp;"C"&amp;$A19)="N/A",0,RTD("tos.rtd",,"IMPL_VOL","."&amp;L$2&amp;L$1&amp;"C"&amp;$A19))),0),IF($A$2="MAXPAIN",IF($A$4&gt;$A19,($A$4-$A19)*IF(RTD("tos.rtd",,"OPEN_INT","."&amp;L$2&amp;L$1&amp;"C"&amp;$A19)="N/A",0,RTD("tos.rtd",,"OPEN_INT","."&amp;L$2&amp;L$1&amp;"C"&amp;$A19)),0)+IF($A$4&lt;$A19,($A$5-$A$4)*IF(RTD("tos.rtd",,"OPEN_INT","."&amp;L$2&amp;L$1&amp;"P"&amp;$A19)="N/A",0,RTD("tos.rtd",,"OPEN_INT","."&amp;L$2&amp;L$1&amp;"P"&amp;$A19)),0),IF($X$1="ABS",IF(RTD("tos.rtd",,$A$2,"."&amp;L$2&amp;L$1&amp;"C"&amp;$A19)="N/A",0,RTD("tos.rtd",,$A$2,"."&amp;L$2&amp;L$1&amp;"C"&amp;$A19))+IF(RTD("tos.rtd",,$A$2,"."&amp;L$2&amp;L$1&amp;"P"&amp;$A19)="N/A",0,RTD("tos.rtd",,$A$2,"."&amp;L$2&amp;L$1&amp;"P"&amp;$A19)),IF(RTD("tos.rtd",,$A$2,"."&amp;L$2&amp;L$1&amp;"C"&amp;$A19)="N/A",0,RTD("tos.rtd",,$A$2,"."&amp;L$2&amp;L$1&amp;"C"&amp;$A19))-IF(RTD("tos.rtd",,$A$2,"."&amp;L$2&amp;L$1&amp;"P"&amp;$A19)="N/A",0,RTD("tos.rtd",,$A$2,"."&amp;L$2&amp;L$1&amp;"P"&amp;$A19))))))))))</f>
        <v>0</v>
      </c>
      <c r="M19" s="12">
        <f ca="1">IF($A$2="PREMIUM_OI",IFERROR(IF($X$1="ABS",(100*RTD("tos.rtd",,"OPEN_INT","."&amp;M$2&amp;M$1&amp;"C"&amp;$A19)*RTD("tos.rtd",,"LAST","."&amp;M$2&amp;M$1&amp;"C"&amp;$A19)+100*RTD("tos.rtd",,"OPEN_INT","."&amp;M$2&amp;M$1&amp;"P"&amp;$A19)*RTD("tos.rtd",,"LAST","."&amp;M$2&amp;M$1&amp;"P"&amp;$A19))/1000000,(100*RTD("tos.rtd",,"OPEN_INT","."&amp;M$2&amp;M$1&amp;"C"&amp;$A19)*RTD("tos.rtd",,"LAST","."&amp;M$2&amp;M$1&amp;"C"&amp;$A19)-100*RTD("tos.rtd",,"OPEN_INT","."&amp;M$2&amp;M$1&amp;"P"&amp;$A19)*RTD("tos.rtd",,"LAST","."&amp;M$2&amp;M$1&amp;"P"&amp;$A19))/1000000),0),IF($A$2="PREMIUM",IFERROR(IF($X$1="ABS",(100*RTD("tos.rtd",,"VOLUME","."&amp;M$2&amp;M$1&amp;"C"&amp;$A19)*RTD("tos.rtd",,"LAST","."&amp;M$2&amp;M$1&amp;"C"&amp;$A19)+100*RTD("tos.rtd",,"VOLUME","."&amp;M$2&amp;M$1&amp;"P"&amp;$A19)*RTD("tos.rtd",,"LAST","."&amp;M$2&amp;M$1&amp;"P"&amp;$A19))/1000000,(100*RTD("tos.rtd",,"VOLUME","."&amp;M$2&amp;M$1&amp;"C"&amp;$A19)*RTD("tos.rtd",,"LAST","."&amp;M$2&amp;M$1&amp;"C"&amp;$A19)-100*RTD("tos.rtd",,"VOLUME","."&amp;M$2&amp;M$1&amp;"P"&amp;$A19)*RTD("tos.rtd",,"LAST","."&amp;M$2&amp;M$1&amp;"P"&amp;$A19))/1000000),0),IF($A$2="DEX",IFERROR(IF($X$1="ABS",(100*RTD("tos.rtd",,"OPEN_INT","."&amp;M$2&amp;M$1&amp;"C"&amp;$A19)*RTD("tos.rtd",,"DELTA","."&amp;M$2&amp;M$1&amp;"C"&amp;$A19)+100*RTD("tos.rtd",,"OPEN_INT","."&amp;M$2&amp;M$1&amp;"P"&amp;$A19)*RTD("tos.rtd",,"DELTA","."&amp;M$2&amp;M$1&amp;"P"&amp;$A19))/1000,(100*RTD("tos.rtd",,"OPEN_INT","."&amp;M$2&amp;M$1&amp;"C"&amp;$A19)*RTD("tos.rtd",,"DELTA","."&amp;M$2&amp;M$1&amp;"C"&amp;$A19)-100*RTD("tos.rtd",,"OPEN_INT","."&amp;M$2&amp;M$1&amp;"P"&amp;$A19)*RTD("tos.rtd",,"DELTA","."&amp;M$2&amp;M$1&amp;"P"&amp;$A19))/1000),0),IF($A$2="VEX",IFERROR(IF($X$1="ABS",($A$4*$A$4*RTD("tos.rtd",,"VOLUME","."&amp;M$2&amp;M$1&amp;"C"&amp;$A19)*RTD("tos.rtd",,"GAMMA","."&amp;M$2&amp;M$1&amp;"C"&amp;$A19)+$A$4*$A$4*RTD("tos.rtd",,"VOLUME","."&amp;M$2&amp;M$1&amp;"P"&amp;$A19)*RTD("tos.rtd",,"GAMMA","."&amp;M$2&amp;M$1&amp;"P"&amp;$A19))/1000000,($A$4*$A$4*RTD("tos.rtd",,"VOLUME","."&amp;M$2&amp;M$1&amp;"C"&amp;$A19)*RTD("tos.rtd",,"GAMMA","."&amp;M$2&amp;M$1&amp;"C"&amp;$A19)-$A$4*$A$4*RTD("tos.rtd",,"VOLUME","."&amp;M$2&amp;M$1&amp;"P"&amp;$A19)*RTD("tos.rtd",,"GAMMA","."&amp;M$2&amp;M$1&amp;"P"&amp;$A19))/1000000),0),IF($A$2="GEX",IFERROR(IF($X$1="ABS",($A$4*$A$4*RTD("tos.rtd",,"OPEN_INT","."&amp;M$2&amp;M$1&amp;"C"&amp;$A19)*RTD("tos.rtd",,"GAMMA","."&amp;M$2&amp;M$1&amp;"C"&amp;$A19)+$A$4*$A$4*RTD("tos.rtd",,"OPEN_INT","."&amp;M$2&amp;M$1&amp;"P"&amp;$A19)*RTD("tos.rtd",,"GAMMA","."&amp;M$2&amp;M$1&amp;"P"&amp;$A19))/1000000,($A$4*$A$4*RTD("tos.rtd",,"OPEN_INT","."&amp;M$2&amp;M$1&amp;"C"&amp;$A19)*RTD("tos.rtd",,"GAMMA","."&amp;M$2&amp;M$1&amp;"C"&amp;$A19)-$A$4*$A$4*RTD("tos.rtd",,"OPEN_INT","."&amp;M$2&amp;M$1&amp;"P"&amp;$A19)*RTD("tos.rtd",,"GAMMA","."&amp;M$2&amp;M$1&amp;"P"&amp;$A19))/1000000),0),IF($A$2="SKEW",IFERROR(VALUE(IF(RTD("tos.rtd",,"IMPL_VOL","."&amp;M$2&amp;M$1&amp;"P"&amp;$A19)="N/A",0,RTD("tos.rtd",,"IMPL_VOL","."&amp;M$2&amp;M$1&amp;"P"&amp;$A19))),0)-IFERROR(VALUE(IF(RTD("tos.rtd",,"IMPL_VOL","."&amp;M$2&amp;M$1&amp;"C"&amp;$A19)="N/A",0,RTD("tos.rtd",,"IMPL_VOL","."&amp;M$2&amp;M$1&amp;"C"&amp;$A19))),0),IF($A$2="MAXPAIN",IF($A$4&gt;$A19,($A$4-$A19)*IF(RTD("tos.rtd",,"OPEN_INT","."&amp;M$2&amp;M$1&amp;"C"&amp;$A19)="N/A",0,RTD("tos.rtd",,"OPEN_INT","."&amp;M$2&amp;M$1&amp;"C"&amp;$A19)),0)+IF($A$4&lt;$A19,($A$5-$A$4)*IF(RTD("tos.rtd",,"OPEN_INT","."&amp;M$2&amp;M$1&amp;"P"&amp;$A19)="N/A",0,RTD("tos.rtd",,"OPEN_INT","."&amp;M$2&amp;M$1&amp;"P"&amp;$A19)),0),IF($X$1="ABS",IF(RTD("tos.rtd",,$A$2,"."&amp;M$2&amp;M$1&amp;"C"&amp;$A19)="N/A",0,RTD("tos.rtd",,$A$2,"."&amp;M$2&amp;M$1&amp;"C"&amp;$A19))+IF(RTD("tos.rtd",,$A$2,"."&amp;M$2&amp;M$1&amp;"P"&amp;$A19)="N/A",0,RTD("tos.rtd",,$A$2,"."&amp;M$2&amp;M$1&amp;"P"&amp;$A19)),IF(RTD("tos.rtd",,$A$2,"."&amp;M$2&amp;M$1&amp;"C"&amp;$A19)="N/A",0,RTD("tos.rtd",,$A$2,"."&amp;M$2&amp;M$1&amp;"C"&amp;$A19))-IF(RTD("tos.rtd",,$A$2,"."&amp;M$2&amp;M$1&amp;"P"&amp;$A19)="N/A",0,RTD("tos.rtd",,$A$2,"."&amp;M$2&amp;M$1&amp;"P"&amp;$A19))))))))))</f>
        <v>0</v>
      </c>
      <c r="N19" s="12">
        <f ca="1">IF($A$2="PREMIUM_OI",IFERROR(IF($X$1="ABS",(100*RTD("tos.rtd",,"OPEN_INT","."&amp;N$2&amp;N$1&amp;"C"&amp;$A19)*RTD("tos.rtd",,"LAST","."&amp;N$2&amp;N$1&amp;"C"&amp;$A19)+100*RTD("tos.rtd",,"OPEN_INT","."&amp;N$2&amp;N$1&amp;"P"&amp;$A19)*RTD("tos.rtd",,"LAST","."&amp;N$2&amp;N$1&amp;"P"&amp;$A19))/1000000,(100*RTD("tos.rtd",,"OPEN_INT","."&amp;N$2&amp;N$1&amp;"C"&amp;$A19)*RTD("tos.rtd",,"LAST","."&amp;N$2&amp;N$1&amp;"C"&amp;$A19)-100*RTD("tos.rtd",,"OPEN_INT","."&amp;N$2&amp;N$1&amp;"P"&amp;$A19)*RTD("tos.rtd",,"LAST","."&amp;N$2&amp;N$1&amp;"P"&amp;$A19))/1000000),0),IF($A$2="PREMIUM",IFERROR(IF($X$1="ABS",(100*RTD("tos.rtd",,"VOLUME","."&amp;N$2&amp;N$1&amp;"C"&amp;$A19)*RTD("tos.rtd",,"LAST","."&amp;N$2&amp;N$1&amp;"C"&amp;$A19)+100*RTD("tos.rtd",,"VOLUME","."&amp;N$2&amp;N$1&amp;"P"&amp;$A19)*RTD("tos.rtd",,"LAST","."&amp;N$2&amp;N$1&amp;"P"&amp;$A19))/1000000,(100*RTD("tos.rtd",,"VOLUME","."&amp;N$2&amp;N$1&amp;"C"&amp;$A19)*RTD("tos.rtd",,"LAST","."&amp;N$2&amp;N$1&amp;"C"&amp;$A19)-100*RTD("tos.rtd",,"VOLUME","."&amp;N$2&amp;N$1&amp;"P"&amp;$A19)*RTD("tos.rtd",,"LAST","."&amp;N$2&amp;N$1&amp;"P"&amp;$A19))/1000000),0),IF($A$2="DEX",IFERROR(IF($X$1="ABS",(100*RTD("tos.rtd",,"OPEN_INT","."&amp;N$2&amp;N$1&amp;"C"&amp;$A19)*RTD("tos.rtd",,"DELTA","."&amp;N$2&amp;N$1&amp;"C"&amp;$A19)+100*RTD("tos.rtd",,"OPEN_INT","."&amp;N$2&amp;N$1&amp;"P"&amp;$A19)*RTD("tos.rtd",,"DELTA","."&amp;N$2&amp;N$1&amp;"P"&amp;$A19))/1000,(100*RTD("tos.rtd",,"OPEN_INT","."&amp;N$2&amp;N$1&amp;"C"&amp;$A19)*RTD("tos.rtd",,"DELTA","."&amp;N$2&amp;N$1&amp;"C"&amp;$A19)-100*RTD("tos.rtd",,"OPEN_INT","."&amp;N$2&amp;N$1&amp;"P"&amp;$A19)*RTD("tos.rtd",,"DELTA","."&amp;N$2&amp;N$1&amp;"P"&amp;$A19))/1000),0),IF($A$2="VEX",IFERROR(IF($X$1="ABS",($A$4*$A$4*RTD("tos.rtd",,"VOLUME","."&amp;N$2&amp;N$1&amp;"C"&amp;$A19)*RTD("tos.rtd",,"GAMMA","."&amp;N$2&amp;N$1&amp;"C"&amp;$A19)+$A$4*$A$4*RTD("tos.rtd",,"VOLUME","."&amp;N$2&amp;N$1&amp;"P"&amp;$A19)*RTD("tos.rtd",,"GAMMA","."&amp;N$2&amp;N$1&amp;"P"&amp;$A19))/1000000,($A$4*$A$4*RTD("tos.rtd",,"VOLUME","."&amp;N$2&amp;N$1&amp;"C"&amp;$A19)*RTD("tos.rtd",,"GAMMA","."&amp;N$2&amp;N$1&amp;"C"&amp;$A19)-$A$4*$A$4*RTD("tos.rtd",,"VOLUME","."&amp;N$2&amp;N$1&amp;"P"&amp;$A19)*RTD("tos.rtd",,"GAMMA","."&amp;N$2&amp;N$1&amp;"P"&amp;$A19))/1000000),0),IF($A$2="GEX",IFERROR(IF($X$1="ABS",($A$4*$A$4*RTD("tos.rtd",,"OPEN_INT","."&amp;N$2&amp;N$1&amp;"C"&amp;$A19)*RTD("tos.rtd",,"GAMMA","."&amp;N$2&amp;N$1&amp;"C"&amp;$A19)+$A$4*$A$4*RTD("tos.rtd",,"OPEN_INT","."&amp;N$2&amp;N$1&amp;"P"&amp;$A19)*RTD("tos.rtd",,"GAMMA","."&amp;N$2&amp;N$1&amp;"P"&amp;$A19))/1000000,($A$4*$A$4*RTD("tos.rtd",,"OPEN_INT","."&amp;N$2&amp;N$1&amp;"C"&amp;$A19)*RTD("tos.rtd",,"GAMMA","."&amp;N$2&amp;N$1&amp;"C"&amp;$A19)-$A$4*$A$4*RTD("tos.rtd",,"OPEN_INT","."&amp;N$2&amp;N$1&amp;"P"&amp;$A19)*RTD("tos.rtd",,"GAMMA","."&amp;N$2&amp;N$1&amp;"P"&amp;$A19))/1000000),0),IF($A$2="SKEW",IFERROR(VALUE(IF(RTD("tos.rtd",,"IMPL_VOL","."&amp;N$2&amp;N$1&amp;"P"&amp;$A19)="N/A",0,RTD("tos.rtd",,"IMPL_VOL","."&amp;N$2&amp;N$1&amp;"P"&amp;$A19))),0)-IFERROR(VALUE(IF(RTD("tos.rtd",,"IMPL_VOL","."&amp;N$2&amp;N$1&amp;"C"&amp;$A19)="N/A",0,RTD("tos.rtd",,"IMPL_VOL","."&amp;N$2&amp;N$1&amp;"C"&amp;$A19))),0),IF($A$2="MAXPAIN",IF($A$4&gt;$A19,($A$4-$A19)*IF(RTD("tos.rtd",,"OPEN_INT","."&amp;N$2&amp;N$1&amp;"C"&amp;$A19)="N/A",0,RTD("tos.rtd",,"OPEN_INT","."&amp;N$2&amp;N$1&amp;"C"&amp;$A19)),0)+IF($A$4&lt;$A19,($A$5-$A$4)*IF(RTD("tos.rtd",,"OPEN_INT","."&amp;N$2&amp;N$1&amp;"P"&amp;$A19)="N/A",0,RTD("tos.rtd",,"OPEN_INT","."&amp;N$2&amp;N$1&amp;"P"&amp;$A19)),0),IF($X$1="ABS",IF(RTD("tos.rtd",,$A$2,"."&amp;N$2&amp;N$1&amp;"C"&amp;$A19)="N/A",0,RTD("tos.rtd",,$A$2,"."&amp;N$2&amp;N$1&amp;"C"&amp;$A19))+IF(RTD("tos.rtd",,$A$2,"."&amp;N$2&amp;N$1&amp;"P"&amp;$A19)="N/A",0,RTD("tos.rtd",,$A$2,"."&amp;N$2&amp;N$1&amp;"P"&amp;$A19)),IF(RTD("tos.rtd",,$A$2,"."&amp;N$2&amp;N$1&amp;"C"&amp;$A19)="N/A",0,RTD("tos.rtd",,$A$2,"."&amp;N$2&amp;N$1&amp;"C"&amp;$A19))-IF(RTD("tos.rtd",,$A$2,"."&amp;N$2&amp;N$1&amp;"P"&amp;$A19)="N/A",0,RTD("tos.rtd",,$A$2,"."&amp;N$2&amp;N$1&amp;"P"&amp;$A19))))))))))</f>
        <v>0</v>
      </c>
      <c r="O19" s="12">
        <f ca="1">IF($A$2="PREMIUM_OI",IFERROR(IF($X$1="ABS",(100*RTD("tos.rtd",,"OPEN_INT","."&amp;O$2&amp;O$1&amp;"C"&amp;$A19)*RTD("tos.rtd",,"LAST","."&amp;O$2&amp;O$1&amp;"C"&amp;$A19)+100*RTD("tos.rtd",,"OPEN_INT","."&amp;O$2&amp;O$1&amp;"P"&amp;$A19)*RTD("tos.rtd",,"LAST","."&amp;O$2&amp;O$1&amp;"P"&amp;$A19))/1000000,(100*RTD("tos.rtd",,"OPEN_INT","."&amp;O$2&amp;O$1&amp;"C"&amp;$A19)*RTD("tos.rtd",,"LAST","."&amp;O$2&amp;O$1&amp;"C"&amp;$A19)-100*RTD("tos.rtd",,"OPEN_INT","."&amp;O$2&amp;O$1&amp;"P"&amp;$A19)*RTD("tos.rtd",,"LAST","."&amp;O$2&amp;O$1&amp;"P"&amp;$A19))/1000000),0),IF($A$2="PREMIUM",IFERROR(IF($X$1="ABS",(100*RTD("tos.rtd",,"VOLUME","."&amp;O$2&amp;O$1&amp;"C"&amp;$A19)*RTD("tos.rtd",,"LAST","."&amp;O$2&amp;O$1&amp;"C"&amp;$A19)+100*RTD("tos.rtd",,"VOLUME","."&amp;O$2&amp;O$1&amp;"P"&amp;$A19)*RTD("tos.rtd",,"LAST","."&amp;O$2&amp;O$1&amp;"P"&amp;$A19))/1000000,(100*RTD("tos.rtd",,"VOLUME","."&amp;O$2&amp;O$1&amp;"C"&amp;$A19)*RTD("tos.rtd",,"LAST","."&amp;O$2&amp;O$1&amp;"C"&amp;$A19)-100*RTD("tos.rtd",,"VOLUME","."&amp;O$2&amp;O$1&amp;"P"&amp;$A19)*RTD("tos.rtd",,"LAST","."&amp;O$2&amp;O$1&amp;"P"&amp;$A19))/1000000),0),IF($A$2="DEX",IFERROR(IF($X$1="ABS",(100*RTD("tos.rtd",,"OPEN_INT","."&amp;O$2&amp;O$1&amp;"C"&amp;$A19)*RTD("tos.rtd",,"DELTA","."&amp;O$2&amp;O$1&amp;"C"&amp;$A19)+100*RTD("tos.rtd",,"OPEN_INT","."&amp;O$2&amp;O$1&amp;"P"&amp;$A19)*RTD("tos.rtd",,"DELTA","."&amp;O$2&amp;O$1&amp;"P"&amp;$A19))/1000,(100*RTD("tos.rtd",,"OPEN_INT","."&amp;O$2&amp;O$1&amp;"C"&amp;$A19)*RTD("tos.rtd",,"DELTA","."&amp;O$2&amp;O$1&amp;"C"&amp;$A19)-100*RTD("tos.rtd",,"OPEN_INT","."&amp;O$2&amp;O$1&amp;"P"&amp;$A19)*RTD("tos.rtd",,"DELTA","."&amp;O$2&amp;O$1&amp;"P"&amp;$A19))/1000),0),IF($A$2="VEX",IFERROR(IF($X$1="ABS",($A$4*$A$4*RTD("tos.rtd",,"VOLUME","."&amp;O$2&amp;O$1&amp;"C"&amp;$A19)*RTD("tos.rtd",,"GAMMA","."&amp;O$2&amp;O$1&amp;"C"&amp;$A19)+$A$4*$A$4*RTD("tos.rtd",,"VOLUME","."&amp;O$2&amp;O$1&amp;"P"&amp;$A19)*RTD("tos.rtd",,"GAMMA","."&amp;O$2&amp;O$1&amp;"P"&amp;$A19))/1000000,($A$4*$A$4*RTD("tos.rtd",,"VOLUME","."&amp;O$2&amp;O$1&amp;"C"&amp;$A19)*RTD("tos.rtd",,"GAMMA","."&amp;O$2&amp;O$1&amp;"C"&amp;$A19)-$A$4*$A$4*RTD("tos.rtd",,"VOLUME","."&amp;O$2&amp;O$1&amp;"P"&amp;$A19)*RTD("tos.rtd",,"GAMMA","."&amp;O$2&amp;O$1&amp;"P"&amp;$A19))/1000000),0),IF($A$2="GEX",IFERROR(IF($X$1="ABS",($A$4*$A$4*RTD("tos.rtd",,"OPEN_INT","."&amp;O$2&amp;O$1&amp;"C"&amp;$A19)*RTD("tos.rtd",,"GAMMA","."&amp;O$2&amp;O$1&amp;"C"&amp;$A19)+$A$4*$A$4*RTD("tos.rtd",,"OPEN_INT","."&amp;O$2&amp;O$1&amp;"P"&amp;$A19)*RTD("tos.rtd",,"GAMMA","."&amp;O$2&amp;O$1&amp;"P"&amp;$A19))/1000000,($A$4*$A$4*RTD("tos.rtd",,"OPEN_INT","."&amp;O$2&amp;O$1&amp;"C"&amp;$A19)*RTD("tos.rtd",,"GAMMA","."&amp;O$2&amp;O$1&amp;"C"&amp;$A19)-$A$4*$A$4*RTD("tos.rtd",,"OPEN_INT","."&amp;O$2&amp;O$1&amp;"P"&amp;$A19)*RTD("tos.rtd",,"GAMMA","."&amp;O$2&amp;O$1&amp;"P"&amp;$A19))/1000000),0),IF($A$2="SKEW",IFERROR(VALUE(IF(RTD("tos.rtd",,"IMPL_VOL","."&amp;O$2&amp;O$1&amp;"P"&amp;$A19)="N/A",0,RTD("tos.rtd",,"IMPL_VOL","."&amp;O$2&amp;O$1&amp;"P"&amp;$A19))),0)-IFERROR(VALUE(IF(RTD("tos.rtd",,"IMPL_VOL","."&amp;O$2&amp;O$1&amp;"C"&amp;$A19)="N/A",0,RTD("tos.rtd",,"IMPL_VOL","."&amp;O$2&amp;O$1&amp;"C"&amp;$A19))),0),IF($A$2="MAXPAIN",IF($A$4&gt;$A19,($A$4-$A19)*IF(RTD("tos.rtd",,"OPEN_INT","."&amp;O$2&amp;O$1&amp;"C"&amp;$A19)="N/A",0,RTD("tos.rtd",,"OPEN_INT","."&amp;O$2&amp;O$1&amp;"C"&amp;$A19)),0)+IF($A$4&lt;$A19,($A$5-$A$4)*IF(RTD("tos.rtd",,"OPEN_INT","."&amp;O$2&amp;O$1&amp;"P"&amp;$A19)="N/A",0,RTD("tos.rtd",,"OPEN_INT","."&amp;O$2&amp;O$1&amp;"P"&amp;$A19)),0),IF($X$1="ABS",IF(RTD("tos.rtd",,$A$2,"."&amp;O$2&amp;O$1&amp;"C"&amp;$A19)="N/A",0,RTD("tos.rtd",,$A$2,"."&amp;O$2&amp;O$1&amp;"C"&amp;$A19))+IF(RTD("tos.rtd",,$A$2,"."&amp;O$2&amp;O$1&amp;"P"&amp;$A19)="N/A",0,RTD("tos.rtd",,$A$2,"."&amp;O$2&amp;O$1&amp;"P"&amp;$A19)),IF(RTD("tos.rtd",,$A$2,"."&amp;O$2&amp;O$1&amp;"C"&amp;$A19)="N/A",0,RTD("tos.rtd",,$A$2,"."&amp;O$2&amp;O$1&amp;"C"&amp;$A19))-IF(RTD("tos.rtd",,$A$2,"."&amp;O$2&amp;O$1&amp;"P"&amp;$A19)="N/A",0,RTD("tos.rtd",,$A$2,"."&amp;O$2&amp;O$1&amp;"P"&amp;$A19))))))))))</f>
        <v>0</v>
      </c>
      <c r="P19" s="12">
        <f ca="1">IF($A$2="PREMIUM_OI",IFERROR(IF($X$1="ABS",(100*RTD("tos.rtd",,"OPEN_INT","."&amp;P$2&amp;P$1&amp;"C"&amp;$A19)*RTD("tos.rtd",,"LAST","."&amp;P$2&amp;P$1&amp;"C"&amp;$A19)+100*RTD("tos.rtd",,"OPEN_INT","."&amp;P$2&amp;P$1&amp;"P"&amp;$A19)*RTD("tos.rtd",,"LAST","."&amp;P$2&amp;P$1&amp;"P"&amp;$A19))/1000000,(100*RTD("tos.rtd",,"OPEN_INT","."&amp;P$2&amp;P$1&amp;"C"&amp;$A19)*RTD("tos.rtd",,"LAST","."&amp;P$2&amp;P$1&amp;"C"&amp;$A19)-100*RTD("tos.rtd",,"OPEN_INT","."&amp;P$2&amp;P$1&amp;"P"&amp;$A19)*RTD("tos.rtd",,"LAST","."&amp;P$2&amp;P$1&amp;"P"&amp;$A19))/1000000),0),IF($A$2="PREMIUM",IFERROR(IF($X$1="ABS",(100*RTD("tos.rtd",,"VOLUME","."&amp;P$2&amp;P$1&amp;"C"&amp;$A19)*RTD("tos.rtd",,"LAST","."&amp;P$2&amp;P$1&amp;"C"&amp;$A19)+100*RTD("tos.rtd",,"VOLUME","."&amp;P$2&amp;P$1&amp;"P"&amp;$A19)*RTD("tos.rtd",,"LAST","."&amp;P$2&amp;P$1&amp;"P"&amp;$A19))/1000000,(100*RTD("tos.rtd",,"VOLUME","."&amp;P$2&amp;P$1&amp;"C"&amp;$A19)*RTD("tos.rtd",,"LAST","."&amp;P$2&amp;P$1&amp;"C"&amp;$A19)-100*RTD("tos.rtd",,"VOLUME","."&amp;P$2&amp;P$1&amp;"P"&amp;$A19)*RTD("tos.rtd",,"LAST","."&amp;P$2&amp;P$1&amp;"P"&amp;$A19))/1000000),0),IF($A$2="DEX",IFERROR(IF($X$1="ABS",(100*RTD("tos.rtd",,"OPEN_INT","."&amp;P$2&amp;P$1&amp;"C"&amp;$A19)*RTD("tos.rtd",,"DELTA","."&amp;P$2&amp;P$1&amp;"C"&amp;$A19)+100*RTD("tos.rtd",,"OPEN_INT","."&amp;P$2&amp;P$1&amp;"P"&amp;$A19)*RTD("tos.rtd",,"DELTA","."&amp;P$2&amp;P$1&amp;"P"&amp;$A19))/1000,(100*RTD("tos.rtd",,"OPEN_INT","."&amp;P$2&amp;P$1&amp;"C"&amp;$A19)*RTD("tos.rtd",,"DELTA","."&amp;P$2&amp;P$1&amp;"C"&amp;$A19)-100*RTD("tos.rtd",,"OPEN_INT","."&amp;P$2&amp;P$1&amp;"P"&amp;$A19)*RTD("tos.rtd",,"DELTA","."&amp;P$2&amp;P$1&amp;"P"&amp;$A19))/1000),0),IF($A$2="VEX",IFERROR(IF($X$1="ABS",($A$4*$A$4*RTD("tos.rtd",,"VOLUME","."&amp;P$2&amp;P$1&amp;"C"&amp;$A19)*RTD("tos.rtd",,"GAMMA","."&amp;P$2&amp;P$1&amp;"C"&amp;$A19)+$A$4*$A$4*RTD("tos.rtd",,"VOLUME","."&amp;P$2&amp;P$1&amp;"P"&amp;$A19)*RTD("tos.rtd",,"GAMMA","."&amp;P$2&amp;P$1&amp;"P"&amp;$A19))/1000000,($A$4*$A$4*RTD("tos.rtd",,"VOLUME","."&amp;P$2&amp;P$1&amp;"C"&amp;$A19)*RTD("tos.rtd",,"GAMMA","."&amp;P$2&amp;P$1&amp;"C"&amp;$A19)-$A$4*$A$4*RTD("tos.rtd",,"VOLUME","."&amp;P$2&amp;P$1&amp;"P"&amp;$A19)*RTD("tos.rtd",,"GAMMA","."&amp;P$2&amp;P$1&amp;"P"&amp;$A19))/1000000),0),IF($A$2="GEX",IFERROR(IF($X$1="ABS",($A$4*$A$4*RTD("tos.rtd",,"OPEN_INT","."&amp;P$2&amp;P$1&amp;"C"&amp;$A19)*RTD("tos.rtd",,"GAMMA","."&amp;P$2&amp;P$1&amp;"C"&amp;$A19)+$A$4*$A$4*RTD("tos.rtd",,"OPEN_INT","."&amp;P$2&amp;P$1&amp;"P"&amp;$A19)*RTD("tos.rtd",,"GAMMA","."&amp;P$2&amp;P$1&amp;"P"&amp;$A19))/1000000,($A$4*$A$4*RTD("tos.rtd",,"OPEN_INT","."&amp;P$2&amp;P$1&amp;"C"&amp;$A19)*RTD("tos.rtd",,"GAMMA","."&amp;P$2&amp;P$1&amp;"C"&amp;$A19)-$A$4*$A$4*RTD("tos.rtd",,"OPEN_INT","."&amp;P$2&amp;P$1&amp;"P"&amp;$A19)*RTD("tos.rtd",,"GAMMA","."&amp;P$2&amp;P$1&amp;"P"&amp;$A19))/1000000),0),IF($A$2="SKEW",IFERROR(VALUE(IF(RTD("tos.rtd",,"IMPL_VOL","."&amp;P$2&amp;P$1&amp;"P"&amp;$A19)="N/A",0,RTD("tos.rtd",,"IMPL_VOL","."&amp;P$2&amp;P$1&amp;"P"&amp;$A19))),0)-IFERROR(VALUE(IF(RTD("tos.rtd",,"IMPL_VOL","."&amp;P$2&amp;P$1&amp;"C"&amp;$A19)="N/A",0,RTD("tos.rtd",,"IMPL_VOL","."&amp;P$2&amp;P$1&amp;"C"&amp;$A19))),0),IF($A$2="MAXPAIN",IF($A$4&gt;$A19,($A$4-$A19)*IF(RTD("tos.rtd",,"OPEN_INT","."&amp;P$2&amp;P$1&amp;"C"&amp;$A19)="N/A",0,RTD("tos.rtd",,"OPEN_INT","."&amp;P$2&amp;P$1&amp;"C"&amp;$A19)),0)+IF($A$4&lt;$A19,($A$5-$A$4)*IF(RTD("tos.rtd",,"OPEN_INT","."&amp;P$2&amp;P$1&amp;"P"&amp;$A19)="N/A",0,RTD("tos.rtd",,"OPEN_INT","."&amp;P$2&amp;P$1&amp;"P"&amp;$A19)),0),IF($X$1="ABS",IF(RTD("tos.rtd",,$A$2,"."&amp;P$2&amp;P$1&amp;"C"&amp;$A19)="N/A",0,RTD("tos.rtd",,$A$2,"."&amp;P$2&amp;P$1&amp;"C"&amp;$A19))+IF(RTD("tos.rtd",,$A$2,"."&amp;P$2&amp;P$1&amp;"P"&amp;$A19)="N/A",0,RTD("tos.rtd",,$A$2,"."&amp;P$2&amp;P$1&amp;"P"&amp;$A19)),IF(RTD("tos.rtd",,$A$2,"."&amp;P$2&amp;P$1&amp;"C"&amp;$A19)="N/A",0,RTD("tos.rtd",,$A$2,"."&amp;P$2&amp;P$1&amp;"C"&amp;$A19))-IF(RTD("tos.rtd",,$A$2,"."&amp;P$2&amp;P$1&amp;"P"&amp;$A19)="N/A",0,RTD("tos.rtd",,$A$2,"."&amp;P$2&amp;P$1&amp;"P"&amp;$A19))))))))))</f>
        <v>0</v>
      </c>
      <c r="Q19" s="12">
        <f ca="1">IF($A$2="PREMIUM_OI",IFERROR(IF($X$1="ABS",(100*RTD("tos.rtd",,"OPEN_INT","."&amp;Q$2&amp;Q$1&amp;"C"&amp;$A19)*RTD("tos.rtd",,"LAST","."&amp;Q$2&amp;Q$1&amp;"C"&amp;$A19)+100*RTD("tos.rtd",,"OPEN_INT","."&amp;Q$2&amp;Q$1&amp;"P"&amp;$A19)*RTD("tos.rtd",,"LAST","."&amp;Q$2&amp;Q$1&amp;"P"&amp;$A19))/1000000,(100*RTD("tos.rtd",,"OPEN_INT","."&amp;Q$2&amp;Q$1&amp;"C"&amp;$A19)*RTD("tos.rtd",,"LAST","."&amp;Q$2&amp;Q$1&amp;"C"&amp;$A19)-100*RTD("tos.rtd",,"OPEN_INT","."&amp;Q$2&amp;Q$1&amp;"P"&amp;$A19)*RTD("tos.rtd",,"LAST","."&amp;Q$2&amp;Q$1&amp;"P"&amp;$A19))/1000000),0),IF($A$2="PREMIUM",IFERROR(IF($X$1="ABS",(100*RTD("tos.rtd",,"VOLUME","."&amp;Q$2&amp;Q$1&amp;"C"&amp;$A19)*RTD("tos.rtd",,"LAST","."&amp;Q$2&amp;Q$1&amp;"C"&amp;$A19)+100*RTD("tos.rtd",,"VOLUME","."&amp;Q$2&amp;Q$1&amp;"P"&amp;$A19)*RTD("tos.rtd",,"LAST","."&amp;Q$2&amp;Q$1&amp;"P"&amp;$A19))/1000000,(100*RTD("tos.rtd",,"VOLUME","."&amp;Q$2&amp;Q$1&amp;"C"&amp;$A19)*RTD("tos.rtd",,"LAST","."&amp;Q$2&amp;Q$1&amp;"C"&amp;$A19)-100*RTD("tos.rtd",,"VOLUME","."&amp;Q$2&amp;Q$1&amp;"P"&amp;$A19)*RTD("tos.rtd",,"LAST","."&amp;Q$2&amp;Q$1&amp;"P"&amp;$A19))/1000000),0),IF($A$2="DEX",IFERROR(IF($X$1="ABS",(100*RTD("tos.rtd",,"OPEN_INT","."&amp;Q$2&amp;Q$1&amp;"C"&amp;$A19)*RTD("tos.rtd",,"DELTA","."&amp;Q$2&amp;Q$1&amp;"C"&amp;$A19)+100*RTD("tos.rtd",,"OPEN_INT","."&amp;Q$2&amp;Q$1&amp;"P"&amp;$A19)*RTD("tos.rtd",,"DELTA","."&amp;Q$2&amp;Q$1&amp;"P"&amp;$A19))/1000,(100*RTD("tos.rtd",,"OPEN_INT","."&amp;Q$2&amp;Q$1&amp;"C"&amp;$A19)*RTD("tos.rtd",,"DELTA","."&amp;Q$2&amp;Q$1&amp;"C"&amp;$A19)-100*RTD("tos.rtd",,"OPEN_INT","."&amp;Q$2&amp;Q$1&amp;"P"&amp;$A19)*RTD("tos.rtd",,"DELTA","."&amp;Q$2&amp;Q$1&amp;"P"&amp;$A19))/1000),0),IF($A$2="VEX",IFERROR(IF($X$1="ABS",($A$4*$A$4*RTD("tos.rtd",,"VOLUME","."&amp;Q$2&amp;Q$1&amp;"C"&amp;$A19)*RTD("tos.rtd",,"GAMMA","."&amp;Q$2&amp;Q$1&amp;"C"&amp;$A19)+$A$4*$A$4*RTD("tos.rtd",,"VOLUME","."&amp;Q$2&amp;Q$1&amp;"P"&amp;$A19)*RTD("tos.rtd",,"GAMMA","."&amp;Q$2&amp;Q$1&amp;"P"&amp;$A19))/1000000,($A$4*$A$4*RTD("tos.rtd",,"VOLUME","."&amp;Q$2&amp;Q$1&amp;"C"&amp;$A19)*RTD("tos.rtd",,"GAMMA","."&amp;Q$2&amp;Q$1&amp;"C"&amp;$A19)-$A$4*$A$4*RTD("tos.rtd",,"VOLUME","."&amp;Q$2&amp;Q$1&amp;"P"&amp;$A19)*RTD("tos.rtd",,"GAMMA","."&amp;Q$2&amp;Q$1&amp;"P"&amp;$A19))/1000000),0),IF($A$2="GEX",IFERROR(IF($X$1="ABS",($A$4*$A$4*RTD("tos.rtd",,"OPEN_INT","."&amp;Q$2&amp;Q$1&amp;"C"&amp;$A19)*RTD("tos.rtd",,"GAMMA","."&amp;Q$2&amp;Q$1&amp;"C"&amp;$A19)+$A$4*$A$4*RTD("tos.rtd",,"OPEN_INT","."&amp;Q$2&amp;Q$1&amp;"P"&amp;$A19)*RTD("tos.rtd",,"GAMMA","."&amp;Q$2&amp;Q$1&amp;"P"&amp;$A19))/1000000,($A$4*$A$4*RTD("tos.rtd",,"OPEN_INT","."&amp;Q$2&amp;Q$1&amp;"C"&amp;$A19)*RTD("tos.rtd",,"GAMMA","."&amp;Q$2&amp;Q$1&amp;"C"&amp;$A19)-$A$4*$A$4*RTD("tos.rtd",,"OPEN_INT","."&amp;Q$2&amp;Q$1&amp;"P"&amp;$A19)*RTD("tos.rtd",,"GAMMA","."&amp;Q$2&amp;Q$1&amp;"P"&amp;$A19))/1000000),0),IF($A$2="SKEW",IFERROR(VALUE(IF(RTD("tos.rtd",,"IMPL_VOL","."&amp;Q$2&amp;Q$1&amp;"P"&amp;$A19)="N/A",0,RTD("tos.rtd",,"IMPL_VOL","."&amp;Q$2&amp;Q$1&amp;"P"&amp;$A19))),0)-IFERROR(VALUE(IF(RTD("tos.rtd",,"IMPL_VOL","."&amp;Q$2&amp;Q$1&amp;"C"&amp;$A19)="N/A",0,RTD("tos.rtd",,"IMPL_VOL","."&amp;Q$2&amp;Q$1&amp;"C"&amp;$A19))),0),IF($A$2="MAXPAIN",IF($A$4&gt;$A19,($A$4-$A19)*IF(RTD("tos.rtd",,"OPEN_INT","."&amp;Q$2&amp;Q$1&amp;"C"&amp;$A19)="N/A",0,RTD("tos.rtd",,"OPEN_INT","."&amp;Q$2&amp;Q$1&amp;"C"&amp;$A19)),0)+IF($A$4&lt;$A19,($A$5-$A$4)*IF(RTD("tos.rtd",,"OPEN_INT","."&amp;Q$2&amp;Q$1&amp;"P"&amp;$A19)="N/A",0,RTD("tos.rtd",,"OPEN_INT","."&amp;Q$2&amp;Q$1&amp;"P"&amp;$A19)),0),IF($X$1="ABS",IF(RTD("tos.rtd",,$A$2,"."&amp;Q$2&amp;Q$1&amp;"C"&amp;$A19)="N/A",0,RTD("tos.rtd",,$A$2,"."&amp;Q$2&amp;Q$1&amp;"C"&amp;$A19))+IF(RTD("tos.rtd",,$A$2,"."&amp;Q$2&amp;Q$1&amp;"P"&amp;$A19)="N/A",0,RTD("tos.rtd",,$A$2,"."&amp;Q$2&amp;Q$1&amp;"P"&amp;$A19)),IF(RTD("tos.rtd",,$A$2,"."&amp;Q$2&amp;Q$1&amp;"C"&amp;$A19)="N/A",0,RTD("tos.rtd",,$A$2,"."&amp;Q$2&amp;Q$1&amp;"C"&amp;$A19))-IF(RTD("tos.rtd",,$A$2,"."&amp;Q$2&amp;Q$1&amp;"P"&amp;$A19)="N/A",0,RTD("tos.rtd",,$A$2,"."&amp;Q$2&amp;Q$1&amp;"P"&amp;$A19))))))))))</f>
        <v>0</v>
      </c>
      <c r="R19" s="12">
        <f ca="1">IF($A$2="PREMIUM_OI",IFERROR(IF($X$1="ABS",(100*RTD("tos.rtd",,"OPEN_INT","."&amp;R$2&amp;R$1&amp;"C"&amp;$A19)*RTD("tos.rtd",,"LAST","."&amp;R$2&amp;R$1&amp;"C"&amp;$A19)+100*RTD("tos.rtd",,"OPEN_INT","."&amp;R$2&amp;R$1&amp;"P"&amp;$A19)*RTD("tos.rtd",,"LAST","."&amp;R$2&amp;R$1&amp;"P"&amp;$A19))/1000000,(100*RTD("tos.rtd",,"OPEN_INT","."&amp;R$2&amp;R$1&amp;"C"&amp;$A19)*RTD("tos.rtd",,"LAST","."&amp;R$2&amp;R$1&amp;"C"&amp;$A19)-100*RTD("tos.rtd",,"OPEN_INT","."&amp;R$2&amp;R$1&amp;"P"&amp;$A19)*RTD("tos.rtd",,"LAST","."&amp;R$2&amp;R$1&amp;"P"&amp;$A19))/1000000),0),IF($A$2="PREMIUM",IFERROR(IF($X$1="ABS",(100*RTD("tos.rtd",,"VOLUME","."&amp;R$2&amp;R$1&amp;"C"&amp;$A19)*RTD("tos.rtd",,"LAST","."&amp;R$2&amp;R$1&amp;"C"&amp;$A19)+100*RTD("tos.rtd",,"VOLUME","."&amp;R$2&amp;R$1&amp;"P"&amp;$A19)*RTD("tos.rtd",,"LAST","."&amp;R$2&amp;R$1&amp;"P"&amp;$A19))/1000000,(100*RTD("tos.rtd",,"VOLUME","."&amp;R$2&amp;R$1&amp;"C"&amp;$A19)*RTD("tos.rtd",,"LAST","."&amp;R$2&amp;R$1&amp;"C"&amp;$A19)-100*RTD("tos.rtd",,"VOLUME","."&amp;R$2&amp;R$1&amp;"P"&amp;$A19)*RTD("tos.rtd",,"LAST","."&amp;R$2&amp;R$1&amp;"P"&amp;$A19))/1000000),0),IF($A$2="DEX",IFERROR(IF($X$1="ABS",(100*RTD("tos.rtd",,"OPEN_INT","."&amp;R$2&amp;R$1&amp;"C"&amp;$A19)*RTD("tos.rtd",,"DELTA","."&amp;R$2&amp;R$1&amp;"C"&amp;$A19)+100*RTD("tos.rtd",,"OPEN_INT","."&amp;R$2&amp;R$1&amp;"P"&amp;$A19)*RTD("tos.rtd",,"DELTA","."&amp;R$2&amp;R$1&amp;"P"&amp;$A19))/1000,(100*RTD("tos.rtd",,"OPEN_INT","."&amp;R$2&amp;R$1&amp;"C"&amp;$A19)*RTD("tos.rtd",,"DELTA","."&amp;R$2&amp;R$1&amp;"C"&amp;$A19)-100*RTD("tos.rtd",,"OPEN_INT","."&amp;R$2&amp;R$1&amp;"P"&amp;$A19)*RTD("tos.rtd",,"DELTA","."&amp;R$2&amp;R$1&amp;"P"&amp;$A19))/1000),0),IF($A$2="VEX",IFERROR(IF($X$1="ABS",($A$4*$A$4*RTD("tos.rtd",,"VOLUME","."&amp;R$2&amp;R$1&amp;"C"&amp;$A19)*RTD("tos.rtd",,"GAMMA","."&amp;R$2&amp;R$1&amp;"C"&amp;$A19)+$A$4*$A$4*RTD("tos.rtd",,"VOLUME","."&amp;R$2&amp;R$1&amp;"P"&amp;$A19)*RTD("tos.rtd",,"GAMMA","."&amp;R$2&amp;R$1&amp;"P"&amp;$A19))/1000000,($A$4*$A$4*RTD("tos.rtd",,"VOLUME","."&amp;R$2&amp;R$1&amp;"C"&amp;$A19)*RTD("tos.rtd",,"GAMMA","."&amp;R$2&amp;R$1&amp;"C"&amp;$A19)-$A$4*$A$4*RTD("tos.rtd",,"VOLUME","."&amp;R$2&amp;R$1&amp;"P"&amp;$A19)*RTD("tos.rtd",,"GAMMA","."&amp;R$2&amp;R$1&amp;"P"&amp;$A19))/1000000),0),IF($A$2="GEX",IFERROR(IF($X$1="ABS",($A$4*$A$4*RTD("tos.rtd",,"OPEN_INT","."&amp;R$2&amp;R$1&amp;"C"&amp;$A19)*RTD("tos.rtd",,"GAMMA","."&amp;R$2&amp;R$1&amp;"C"&amp;$A19)+$A$4*$A$4*RTD("tos.rtd",,"OPEN_INT","."&amp;R$2&amp;R$1&amp;"P"&amp;$A19)*RTD("tos.rtd",,"GAMMA","."&amp;R$2&amp;R$1&amp;"P"&amp;$A19))/1000000,($A$4*$A$4*RTD("tos.rtd",,"OPEN_INT","."&amp;R$2&amp;R$1&amp;"C"&amp;$A19)*RTD("tos.rtd",,"GAMMA","."&amp;R$2&amp;R$1&amp;"C"&amp;$A19)-$A$4*$A$4*RTD("tos.rtd",,"OPEN_INT","."&amp;R$2&amp;R$1&amp;"P"&amp;$A19)*RTD("tos.rtd",,"GAMMA","."&amp;R$2&amp;R$1&amp;"P"&amp;$A19))/1000000),0),IF($A$2="SKEW",IFERROR(VALUE(IF(RTD("tos.rtd",,"IMPL_VOL","."&amp;R$2&amp;R$1&amp;"P"&amp;$A19)="N/A",0,RTD("tos.rtd",,"IMPL_VOL","."&amp;R$2&amp;R$1&amp;"P"&amp;$A19))),0)-IFERROR(VALUE(IF(RTD("tos.rtd",,"IMPL_VOL","."&amp;R$2&amp;R$1&amp;"C"&amp;$A19)="N/A",0,RTD("tos.rtd",,"IMPL_VOL","."&amp;R$2&amp;R$1&amp;"C"&amp;$A19))),0),IF($A$2="MAXPAIN",IF($A$4&gt;$A19,($A$4-$A19)*IF(RTD("tos.rtd",,"OPEN_INT","."&amp;R$2&amp;R$1&amp;"C"&amp;$A19)="N/A",0,RTD("tos.rtd",,"OPEN_INT","."&amp;R$2&amp;R$1&amp;"C"&amp;$A19)),0)+IF($A$4&lt;$A19,($A$5-$A$4)*IF(RTD("tos.rtd",,"OPEN_INT","."&amp;R$2&amp;R$1&amp;"P"&amp;$A19)="N/A",0,RTD("tos.rtd",,"OPEN_INT","."&amp;R$2&amp;R$1&amp;"P"&amp;$A19)),0),IF($X$1="ABS",IF(RTD("tos.rtd",,$A$2,"."&amp;R$2&amp;R$1&amp;"C"&amp;$A19)="N/A",0,RTD("tos.rtd",,$A$2,"."&amp;R$2&amp;R$1&amp;"C"&amp;$A19))+IF(RTD("tos.rtd",,$A$2,"."&amp;R$2&amp;R$1&amp;"P"&amp;$A19)="N/A",0,RTD("tos.rtd",,$A$2,"."&amp;R$2&amp;R$1&amp;"P"&amp;$A19)),IF(RTD("tos.rtd",,$A$2,"."&amp;R$2&amp;R$1&amp;"C"&amp;$A19)="N/A",0,RTD("tos.rtd",,$A$2,"."&amp;R$2&amp;R$1&amp;"C"&amp;$A19))-IF(RTD("tos.rtd",,$A$2,"."&amp;R$2&amp;R$1&amp;"P"&amp;$A19)="N/A",0,RTD("tos.rtd",,$A$2,"."&amp;R$2&amp;R$1&amp;"P"&amp;$A19))))))))))</f>
        <v>0</v>
      </c>
      <c r="S19" s="12">
        <f ca="1">IF($A$2="PREMIUM_OI",IFERROR(IF($X$1="ABS",(100*RTD("tos.rtd",,"OPEN_INT","."&amp;S$2&amp;S$1&amp;"C"&amp;$A19)*RTD("tos.rtd",,"LAST","."&amp;S$2&amp;S$1&amp;"C"&amp;$A19)+100*RTD("tos.rtd",,"OPEN_INT","."&amp;S$2&amp;S$1&amp;"P"&amp;$A19)*RTD("tos.rtd",,"LAST","."&amp;S$2&amp;S$1&amp;"P"&amp;$A19))/1000000,(100*RTD("tos.rtd",,"OPEN_INT","."&amp;S$2&amp;S$1&amp;"C"&amp;$A19)*RTD("tos.rtd",,"LAST","."&amp;S$2&amp;S$1&amp;"C"&amp;$A19)-100*RTD("tos.rtd",,"OPEN_INT","."&amp;S$2&amp;S$1&amp;"P"&amp;$A19)*RTD("tos.rtd",,"LAST","."&amp;S$2&amp;S$1&amp;"P"&amp;$A19))/1000000),0),IF($A$2="PREMIUM",IFERROR(IF($X$1="ABS",(100*RTD("tos.rtd",,"VOLUME","."&amp;S$2&amp;S$1&amp;"C"&amp;$A19)*RTD("tos.rtd",,"LAST","."&amp;S$2&amp;S$1&amp;"C"&amp;$A19)+100*RTD("tos.rtd",,"VOLUME","."&amp;S$2&amp;S$1&amp;"P"&amp;$A19)*RTD("tos.rtd",,"LAST","."&amp;S$2&amp;S$1&amp;"P"&amp;$A19))/1000000,(100*RTD("tos.rtd",,"VOLUME","."&amp;S$2&amp;S$1&amp;"C"&amp;$A19)*RTD("tos.rtd",,"LAST","."&amp;S$2&amp;S$1&amp;"C"&amp;$A19)-100*RTD("tos.rtd",,"VOLUME","."&amp;S$2&amp;S$1&amp;"P"&amp;$A19)*RTD("tos.rtd",,"LAST","."&amp;S$2&amp;S$1&amp;"P"&amp;$A19))/1000000),0),IF($A$2="DEX",IFERROR(IF($X$1="ABS",(100*RTD("tos.rtd",,"OPEN_INT","."&amp;S$2&amp;S$1&amp;"C"&amp;$A19)*RTD("tos.rtd",,"DELTA","."&amp;S$2&amp;S$1&amp;"C"&amp;$A19)+100*RTD("tos.rtd",,"OPEN_INT","."&amp;S$2&amp;S$1&amp;"P"&amp;$A19)*RTD("tos.rtd",,"DELTA","."&amp;S$2&amp;S$1&amp;"P"&amp;$A19))/1000,(100*RTD("tos.rtd",,"OPEN_INT","."&amp;S$2&amp;S$1&amp;"C"&amp;$A19)*RTD("tos.rtd",,"DELTA","."&amp;S$2&amp;S$1&amp;"C"&amp;$A19)-100*RTD("tos.rtd",,"OPEN_INT","."&amp;S$2&amp;S$1&amp;"P"&amp;$A19)*RTD("tos.rtd",,"DELTA","."&amp;S$2&amp;S$1&amp;"P"&amp;$A19))/1000),0),IF($A$2="VEX",IFERROR(IF($X$1="ABS",($A$4*$A$4*RTD("tos.rtd",,"VOLUME","."&amp;S$2&amp;S$1&amp;"C"&amp;$A19)*RTD("tos.rtd",,"GAMMA","."&amp;S$2&amp;S$1&amp;"C"&amp;$A19)+$A$4*$A$4*RTD("tos.rtd",,"VOLUME","."&amp;S$2&amp;S$1&amp;"P"&amp;$A19)*RTD("tos.rtd",,"GAMMA","."&amp;S$2&amp;S$1&amp;"P"&amp;$A19))/1000000,($A$4*$A$4*RTD("tos.rtd",,"VOLUME","."&amp;S$2&amp;S$1&amp;"C"&amp;$A19)*RTD("tos.rtd",,"GAMMA","."&amp;S$2&amp;S$1&amp;"C"&amp;$A19)-$A$4*$A$4*RTD("tos.rtd",,"VOLUME","."&amp;S$2&amp;S$1&amp;"P"&amp;$A19)*RTD("tos.rtd",,"GAMMA","."&amp;S$2&amp;S$1&amp;"P"&amp;$A19))/1000000),0),IF($A$2="GEX",IFERROR(IF($X$1="ABS",($A$4*$A$4*RTD("tos.rtd",,"OPEN_INT","."&amp;S$2&amp;S$1&amp;"C"&amp;$A19)*RTD("tos.rtd",,"GAMMA","."&amp;S$2&amp;S$1&amp;"C"&amp;$A19)+$A$4*$A$4*RTD("tos.rtd",,"OPEN_INT","."&amp;S$2&amp;S$1&amp;"P"&amp;$A19)*RTD("tos.rtd",,"GAMMA","."&amp;S$2&amp;S$1&amp;"P"&amp;$A19))/1000000,($A$4*$A$4*RTD("tos.rtd",,"OPEN_INT","."&amp;S$2&amp;S$1&amp;"C"&amp;$A19)*RTD("tos.rtd",,"GAMMA","."&amp;S$2&amp;S$1&amp;"C"&amp;$A19)-$A$4*$A$4*RTD("tos.rtd",,"OPEN_INT","."&amp;S$2&amp;S$1&amp;"P"&amp;$A19)*RTD("tos.rtd",,"GAMMA","."&amp;S$2&amp;S$1&amp;"P"&amp;$A19))/1000000),0),IF($A$2="SKEW",IFERROR(VALUE(IF(RTD("tos.rtd",,"IMPL_VOL","."&amp;S$2&amp;S$1&amp;"P"&amp;$A19)="N/A",0,RTD("tos.rtd",,"IMPL_VOL","."&amp;S$2&amp;S$1&amp;"P"&amp;$A19))),0)-IFERROR(VALUE(IF(RTD("tos.rtd",,"IMPL_VOL","."&amp;S$2&amp;S$1&amp;"C"&amp;$A19)="N/A",0,RTD("tos.rtd",,"IMPL_VOL","."&amp;S$2&amp;S$1&amp;"C"&amp;$A19))),0),IF($A$2="MAXPAIN",IF($A$4&gt;$A19,($A$4-$A19)*IF(RTD("tos.rtd",,"OPEN_INT","."&amp;S$2&amp;S$1&amp;"C"&amp;$A19)="N/A",0,RTD("tos.rtd",,"OPEN_INT","."&amp;S$2&amp;S$1&amp;"C"&amp;$A19)),0)+IF($A$4&lt;$A19,($A$5-$A$4)*IF(RTD("tos.rtd",,"OPEN_INT","."&amp;S$2&amp;S$1&amp;"P"&amp;$A19)="N/A",0,RTD("tos.rtd",,"OPEN_INT","."&amp;S$2&amp;S$1&amp;"P"&amp;$A19)),0),IF($X$1="ABS",IF(RTD("tos.rtd",,$A$2,"."&amp;S$2&amp;S$1&amp;"C"&amp;$A19)="N/A",0,RTD("tos.rtd",,$A$2,"."&amp;S$2&amp;S$1&amp;"C"&amp;$A19))+IF(RTD("tos.rtd",,$A$2,"."&amp;S$2&amp;S$1&amp;"P"&amp;$A19)="N/A",0,RTD("tos.rtd",,$A$2,"."&amp;S$2&amp;S$1&amp;"P"&amp;$A19)),IF(RTD("tos.rtd",,$A$2,"."&amp;S$2&amp;S$1&amp;"C"&amp;$A19)="N/A",0,RTD("tos.rtd",,$A$2,"."&amp;S$2&amp;S$1&amp;"C"&amp;$A19))-IF(RTD("tos.rtd",,$A$2,"."&amp;S$2&amp;S$1&amp;"P"&amp;$A19)="N/A",0,RTD("tos.rtd",,$A$2,"."&amp;S$2&amp;S$1&amp;"P"&amp;$A19))))))))))</f>
        <v>0</v>
      </c>
      <c r="T19" s="12">
        <f ca="1">IF($A$2="PREMIUM_OI",IFERROR(IF($X$1="ABS",(100*RTD("tos.rtd",,"OPEN_INT","."&amp;T$2&amp;T$1&amp;"C"&amp;$A19)*RTD("tos.rtd",,"LAST","."&amp;T$2&amp;T$1&amp;"C"&amp;$A19)+100*RTD("tos.rtd",,"OPEN_INT","."&amp;T$2&amp;T$1&amp;"P"&amp;$A19)*RTD("tos.rtd",,"LAST","."&amp;T$2&amp;T$1&amp;"P"&amp;$A19))/1000000,(100*RTD("tos.rtd",,"OPEN_INT","."&amp;T$2&amp;T$1&amp;"C"&amp;$A19)*RTD("tos.rtd",,"LAST","."&amp;T$2&amp;T$1&amp;"C"&amp;$A19)-100*RTD("tos.rtd",,"OPEN_INT","."&amp;T$2&amp;T$1&amp;"P"&amp;$A19)*RTD("tos.rtd",,"LAST","."&amp;T$2&amp;T$1&amp;"P"&amp;$A19))/1000000),0),IF($A$2="PREMIUM",IFERROR(IF($X$1="ABS",(100*RTD("tos.rtd",,"VOLUME","."&amp;T$2&amp;T$1&amp;"C"&amp;$A19)*RTD("tos.rtd",,"LAST","."&amp;T$2&amp;T$1&amp;"C"&amp;$A19)+100*RTD("tos.rtd",,"VOLUME","."&amp;T$2&amp;T$1&amp;"P"&amp;$A19)*RTD("tos.rtd",,"LAST","."&amp;T$2&amp;T$1&amp;"P"&amp;$A19))/1000000,(100*RTD("tos.rtd",,"VOLUME","."&amp;T$2&amp;T$1&amp;"C"&amp;$A19)*RTD("tos.rtd",,"LAST","."&amp;T$2&amp;T$1&amp;"C"&amp;$A19)-100*RTD("tos.rtd",,"VOLUME","."&amp;T$2&amp;T$1&amp;"P"&amp;$A19)*RTD("tos.rtd",,"LAST","."&amp;T$2&amp;T$1&amp;"P"&amp;$A19))/1000000),0),IF($A$2="DEX",IFERROR(IF($X$1="ABS",(100*RTD("tos.rtd",,"OPEN_INT","."&amp;T$2&amp;T$1&amp;"C"&amp;$A19)*RTD("tos.rtd",,"DELTA","."&amp;T$2&amp;T$1&amp;"C"&amp;$A19)+100*RTD("tos.rtd",,"OPEN_INT","."&amp;T$2&amp;T$1&amp;"P"&amp;$A19)*RTD("tos.rtd",,"DELTA","."&amp;T$2&amp;T$1&amp;"P"&amp;$A19))/1000,(100*RTD("tos.rtd",,"OPEN_INT","."&amp;T$2&amp;T$1&amp;"C"&amp;$A19)*RTD("tos.rtd",,"DELTA","."&amp;T$2&amp;T$1&amp;"C"&amp;$A19)-100*RTD("tos.rtd",,"OPEN_INT","."&amp;T$2&amp;T$1&amp;"P"&amp;$A19)*RTD("tos.rtd",,"DELTA","."&amp;T$2&amp;T$1&amp;"P"&amp;$A19))/1000),0),IF($A$2="VEX",IFERROR(IF($X$1="ABS",($A$4*$A$4*RTD("tos.rtd",,"VOLUME","."&amp;T$2&amp;T$1&amp;"C"&amp;$A19)*RTD("tos.rtd",,"GAMMA","."&amp;T$2&amp;T$1&amp;"C"&amp;$A19)+$A$4*$A$4*RTD("tos.rtd",,"VOLUME","."&amp;T$2&amp;T$1&amp;"P"&amp;$A19)*RTD("tos.rtd",,"GAMMA","."&amp;T$2&amp;T$1&amp;"P"&amp;$A19))/1000000,($A$4*$A$4*RTD("tos.rtd",,"VOLUME","."&amp;T$2&amp;T$1&amp;"C"&amp;$A19)*RTD("tos.rtd",,"GAMMA","."&amp;T$2&amp;T$1&amp;"C"&amp;$A19)-$A$4*$A$4*RTD("tos.rtd",,"VOLUME","."&amp;T$2&amp;T$1&amp;"P"&amp;$A19)*RTD("tos.rtd",,"GAMMA","."&amp;T$2&amp;T$1&amp;"P"&amp;$A19))/1000000),0),IF($A$2="GEX",IFERROR(IF($X$1="ABS",($A$4*$A$4*RTD("tos.rtd",,"OPEN_INT","."&amp;T$2&amp;T$1&amp;"C"&amp;$A19)*RTD("tos.rtd",,"GAMMA","."&amp;T$2&amp;T$1&amp;"C"&amp;$A19)+$A$4*$A$4*RTD("tos.rtd",,"OPEN_INT","."&amp;T$2&amp;T$1&amp;"P"&amp;$A19)*RTD("tos.rtd",,"GAMMA","."&amp;T$2&amp;T$1&amp;"P"&amp;$A19))/1000000,($A$4*$A$4*RTD("tos.rtd",,"OPEN_INT","."&amp;T$2&amp;T$1&amp;"C"&amp;$A19)*RTD("tos.rtd",,"GAMMA","."&amp;T$2&amp;T$1&amp;"C"&amp;$A19)-$A$4*$A$4*RTD("tos.rtd",,"OPEN_INT","."&amp;T$2&amp;T$1&amp;"P"&amp;$A19)*RTD("tos.rtd",,"GAMMA","."&amp;T$2&amp;T$1&amp;"P"&amp;$A19))/1000000),0),IF($A$2="SKEW",IFERROR(VALUE(IF(RTD("tos.rtd",,"IMPL_VOL","."&amp;T$2&amp;T$1&amp;"P"&amp;$A19)="N/A",0,RTD("tos.rtd",,"IMPL_VOL","."&amp;T$2&amp;T$1&amp;"P"&amp;$A19))),0)-IFERROR(VALUE(IF(RTD("tos.rtd",,"IMPL_VOL","."&amp;T$2&amp;T$1&amp;"C"&amp;$A19)="N/A",0,RTD("tos.rtd",,"IMPL_VOL","."&amp;T$2&amp;T$1&amp;"C"&amp;$A19))),0),IF($A$2="MAXPAIN",IF($A$4&gt;$A19,($A$4-$A19)*IF(RTD("tos.rtd",,"OPEN_INT","."&amp;T$2&amp;T$1&amp;"C"&amp;$A19)="N/A",0,RTD("tos.rtd",,"OPEN_INT","."&amp;T$2&amp;T$1&amp;"C"&amp;$A19)),0)+IF($A$4&lt;$A19,($A$5-$A$4)*IF(RTD("tos.rtd",,"OPEN_INT","."&amp;T$2&amp;T$1&amp;"P"&amp;$A19)="N/A",0,RTD("tos.rtd",,"OPEN_INT","."&amp;T$2&amp;T$1&amp;"P"&amp;$A19)),0),IF($X$1="ABS",IF(RTD("tos.rtd",,$A$2,"."&amp;T$2&amp;T$1&amp;"C"&amp;$A19)="N/A",0,RTD("tos.rtd",,$A$2,"."&amp;T$2&amp;T$1&amp;"C"&amp;$A19))+IF(RTD("tos.rtd",,$A$2,"."&amp;T$2&amp;T$1&amp;"P"&amp;$A19)="N/A",0,RTD("tos.rtd",,$A$2,"."&amp;T$2&amp;T$1&amp;"P"&amp;$A19)),IF(RTD("tos.rtd",,$A$2,"."&amp;T$2&amp;T$1&amp;"C"&amp;$A19)="N/A",0,RTD("tos.rtd",,$A$2,"."&amp;T$2&amp;T$1&amp;"C"&amp;$A19))-IF(RTD("tos.rtd",,$A$2,"."&amp;T$2&amp;T$1&amp;"P"&amp;$A19)="N/A",0,RTD("tos.rtd",,$A$2,"."&amp;T$2&amp;T$1&amp;"P"&amp;$A19))))))))))</f>
        <v>0</v>
      </c>
      <c r="U19" s="12">
        <f ca="1">IF($A$2="PREMIUM_OI",IFERROR(IF($X$1="ABS",(100*RTD("tos.rtd",,"OPEN_INT","."&amp;U$2&amp;U$1&amp;"C"&amp;$A19)*RTD("tos.rtd",,"LAST","."&amp;U$2&amp;U$1&amp;"C"&amp;$A19)+100*RTD("tos.rtd",,"OPEN_INT","."&amp;U$2&amp;U$1&amp;"P"&amp;$A19)*RTD("tos.rtd",,"LAST","."&amp;U$2&amp;U$1&amp;"P"&amp;$A19))/1000000,(100*RTD("tos.rtd",,"OPEN_INT","."&amp;U$2&amp;U$1&amp;"C"&amp;$A19)*RTD("tos.rtd",,"LAST","."&amp;U$2&amp;U$1&amp;"C"&amp;$A19)-100*RTD("tos.rtd",,"OPEN_INT","."&amp;U$2&amp;U$1&amp;"P"&amp;$A19)*RTD("tos.rtd",,"LAST","."&amp;U$2&amp;U$1&amp;"P"&amp;$A19))/1000000),0),IF($A$2="PREMIUM",IFERROR(IF($X$1="ABS",(100*RTD("tos.rtd",,"VOLUME","."&amp;U$2&amp;U$1&amp;"C"&amp;$A19)*RTD("tos.rtd",,"LAST","."&amp;U$2&amp;U$1&amp;"C"&amp;$A19)+100*RTD("tos.rtd",,"VOLUME","."&amp;U$2&amp;U$1&amp;"P"&amp;$A19)*RTD("tos.rtd",,"LAST","."&amp;U$2&amp;U$1&amp;"P"&amp;$A19))/1000000,(100*RTD("tos.rtd",,"VOLUME","."&amp;U$2&amp;U$1&amp;"C"&amp;$A19)*RTD("tos.rtd",,"LAST","."&amp;U$2&amp;U$1&amp;"C"&amp;$A19)-100*RTD("tos.rtd",,"VOLUME","."&amp;U$2&amp;U$1&amp;"P"&amp;$A19)*RTD("tos.rtd",,"LAST","."&amp;U$2&amp;U$1&amp;"P"&amp;$A19))/1000000),0),IF($A$2="DEX",IFERROR(IF($X$1="ABS",(100*RTD("tos.rtd",,"OPEN_INT","."&amp;U$2&amp;U$1&amp;"C"&amp;$A19)*RTD("tos.rtd",,"DELTA","."&amp;U$2&amp;U$1&amp;"C"&amp;$A19)+100*RTD("tos.rtd",,"OPEN_INT","."&amp;U$2&amp;U$1&amp;"P"&amp;$A19)*RTD("tos.rtd",,"DELTA","."&amp;U$2&amp;U$1&amp;"P"&amp;$A19))/1000,(100*RTD("tos.rtd",,"OPEN_INT","."&amp;U$2&amp;U$1&amp;"C"&amp;$A19)*RTD("tos.rtd",,"DELTA","."&amp;U$2&amp;U$1&amp;"C"&amp;$A19)-100*RTD("tos.rtd",,"OPEN_INT","."&amp;U$2&amp;U$1&amp;"P"&amp;$A19)*RTD("tos.rtd",,"DELTA","."&amp;U$2&amp;U$1&amp;"P"&amp;$A19))/1000),0),IF($A$2="VEX",IFERROR(IF($X$1="ABS",($A$4*$A$4*RTD("tos.rtd",,"VOLUME","."&amp;U$2&amp;U$1&amp;"C"&amp;$A19)*RTD("tos.rtd",,"GAMMA","."&amp;U$2&amp;U$1&amp;"C"&amp;$A19)+$A$4*$A$4*RTD("tos.rtd",,"VOLUME","."&amp;U$2&amp;U$1&amp;"P"&amp;$A19)*RTD("tos.rtd",,"GAMMA","."&amp;U$2&amp;U$1&amp;"P"&amp;$A19))/1000000,($A$4*$A$4*RTD("tos.rtd",,"VOLUME","."&amp;U$2&amp;U$1&amp;"C"&amp;$A19)*RTD("tos.rtd",,"GAMMA","."&amp;U$2&amp;U$1&amp;"C"&amp;$A19)-$A$4*$A$4*RTD("tos.rtd",,"VOLUME","."&amp;U$2&amp;U$1&amp;"P"&amp;$A19)*RTD("tos.rtd",,"GAMMA","."&amp;U$2&amp;U$1&amp;"P"&amp;$A19))/1000000),0),IF($A$2="GEX",IFERROR(IF($X$1="ABS",($A$4*$A$4*RTD("tos.rtd",,"OPEN_INT","."&amp;U$2&amp;U$1&amp;"C"&amp;$A19)*RTD("tos.rtd",,"GAMMA","."&amp;U$2&amp;U$1&amp;"C"&amp;$A19)+$A$4*$A$4*RTD("tos.rtd",,"OPEN_INT","."&amp;U$2&amp;U$1&amp;"P"&amp;$A19)*RTD("tos.rtd",,"GAMMA","."&amp;U$2&amp;U$1&amp;"P"&amp;$A19))/1000000,($A$4*$A$4*RTD("tos.rtd",,"OPEN_INT","."&amp;U$2&amp;U$1&amp;"C"&amp;$A19)*RTD("tos.rtd",,"GAMMA","."&amp;U$2&amp;U$1&amp;"C"&amp;$A19)-$A$4*$A$4*RTD("tos.rtd",,"OPEN_INT","."&amp;U$2&amp;U$1&amp;"P"&amp;$A19)*RTD("tos.rtd",,"GAMMA","."&amp;U$2&amp;U$1&amp;"P"&amp;$A19))/1000000),0),IF($A$2="SKEW",IFERROR(VALUE(IF(RTD("tos.rtd",,"IMPL_VOL","."&amp;U$2&amp;U$1&amp;"P"&amp;$A19)="N/A",0,RTD("tos.rtd",,"IMPL_VOL","."&amp;U$2&amp;U$1&amp;"P"&amp;$A19))),0)-IFERROR(VALUE(IF(RTD("tos.rtd",,"IMPL_VOL","."&amp;U$2&amp;U$1&amp;"C"&amp;$A19)="N/A",0,RTD("tos.rtd",,"IMPL_VOL","."&amp;U$2&amp;U$1&amp;"C"&amp;$A19))),0),IF($A$2="MAXPAIN",IF($A$4&gt;$A19,($A$4-$A19)*IF(RTD("tos.rtd",,"OPEN_INT","."&amp;U$2&amp;U$1&amp;"C"&amp;$A19)="N/A",0,RTD("tos.rtd",,"OPEN_INT","."&amp;U$2&amp;U$1&amp;"C"&amp;$A19)),0)+IF($A$4&lt;$A19,($A$5-$A$4)*IF(RTD("tos.rtd",,"OPEN_INT","."&amp;U$2&amp;U$1&amp;"P"&amp;$A19)="N/A",0,RTD("tos.rtd",,"OPEN_INT","."&amp;U$2&amp;U$1&amp;"P"&amp;$A19)),0),IF($X$1="ABS",IF(RTD("tos.rtd",,$A$2,"."&amp;U$2&amp;U$1&amp;"C"&amp;$A19)="N/A",0,RTD("tos.rtd",,$A$2,"."&amp;U$2&amp;U$1&amp;"C"&amp;$A19))+IF(RTD("tos.rtd",,$A$2,"."&amp;U$2&amp;U$1&amp;"P"&amp;$A19)="N/A",0,RTD("tos.rtd",,$A$2,"."&amp;U$2&amp;U$1&amp;"P"&amp;$A19)),IF(RTD("tos.rtd",,$A$2,"."&amp;U$2&amp;U$1&amp;"C"&amp;$A19)="N/A",0,RTD("tos.rtd",,$A$2,"."&amp;U$2&amp;U$1&amp;"C"&amp;$A19))-IF(RTD("tos.rtd",,$A$2,"."&amp;U$2&amp;U$1&amp;"P"&amp;$A19)="N/A",0,RTD("tos.rtd",,$A$2,"."&amp;U$2&amp;U$1&amp;"P"&amp;$A19))))))))))</f>
        <v>0</v>
      </c>
      <c r="V19" s="12">
        <f ca="1">IF($A$2="PREMIUM_OI",IFERROR(IF($X$1="ABS",(100*RTD("tos.rtd",,"OPEN_INT","."&amp;V$2&amp;V$1&amp;"C"&amp;$A19)*RTD("tos.rtd",,"LAST","."&amp;V$2&amp;V$1&amp;"C"&amp;$A19)+100*RTD("tos.rtd",,"OPEN_INT","."&amp;V$2&amp;V$1&amp;"P"&amp;$A19)*RTD("tos.rtd",,"LAST","."&amp;V$2&amp;V$1&amp;"P"&amp;$A19))/1000000,(100*RTD("tos.rtd",,"OPEN_INT","."&amp;V$2&amp;V$1&amp;"C"&amp;$A19)*RTD("tos.rtd",,"LAST","."&amp;V$2&amp;V$1&amp;"C"&amp;$A19)-100*RTD("tos.rtd",,"OPEN_INT","."&amp;V$2&amp;V$1&amp;"P"&amp;$A19)*RTD("tos.rtd",,"LAST","."&amp;V$2&amp;V$1&amp;"P"&amp;$A19))/1000000),0),IF($A$2="PREMIUM",IFERROR(IF($X$1="ABS",(100*RTD("tos.rtd",,"VOLUME","."&amp;V$2&amp;V$1&amp;"C"&amp;$A19)*RTD("tos.rtd",,"LAST","."&amp;V$2&amp;V$1&amp;"C"&amp;$A19)+100*RTD("tos.rtd",,"VOLUME","."&amp;V$2&amp;V$1&amp;"P"&amp;$A19)*RTD("tos.rtd",,"LAST","."&amp;V$2&amp;V$1&amp;"P"&amp;$A19))/1000000,(100*RTD("tos.rtd",,"VOLUME","."&amp;V$2&amp;V$1&amp;"C"&amp;$A19)*RTD("tos.rtd",,"LAST","."&amp;V$2&amp;V$1&amp;"C"&amp;$A19)-100*RTD("tos.rtd",,"VOLUME","."&amp;V$2&amp;V$1&amp;"P"&amp;$A19)*RTD("tos.rtd",,"LAST","."&amp;V$2&amp;V$1&amp;"P"&amp;$A19))/1000000),0),IF($A$2="DEX",IFERROR(IF($X$1="ABS",(100*RTD("tos.rtd",,"OPEN_INT","."&amp;V$2&amp;V$1&amp;"C"&amp;$A19)*RTD("tos.rtd",,"DELTA","."&amp;V$2&amp;V$1&amp;"C"&amp;$A19)+100*RTD("tos.rtd",,"OPEN_INT","."&amp;V$2&amp;V$1&amp;"P"&amp;$A19)*RTD("tos.rtd",,"DELTA","."&amp;V$2&amp;V$1&amp;"P"&amp;$A19))/1000,(100*RTD("tos.rtd",,"OPEN_INT","."&amp;V$2&amp;V$1&amp;"C"&amp;$A19)*RTD("tos.rtd",,"DELTA","."&amp;V$2&amp;V$1&amp;"C"&amp;$A19)-100*RTD("tos.rtd",,"OPEN_INT","."&amp;V$2&amp;V$1&amp;"P"&amp;$A19)*RTD("tos.rtd",,"DELTA","."&amp;V$2&amp;V$1&amp;"P"&amp;$A19))/1000),0),IF($A$2="VEX",IFERROR(IF($X$1="ABS",($A$4*$A$4*RTD("tos.rtd",,"VOLUME","."&amp;V$2&amp;V$1&amp;"C"&amp;$A19)*RTD("tos.rtd",,"GAMMA","."&amp;V$2&amp;V$1&amp;"C"&amp;$A19)+$A$4*$A$4*RTD("tos.rtd",,"VOLUME","."&amp;V$2&amp;V$1&amp;"P"&amp;$A19)*RTD("tos.rtd",,"GAMMA","."&amp;V$2&amp;V$1&amp;"P"&amp;$A19))/1000000,($A$4*$A$4*RTD("tos.rtd",,"VOLUME","."&amp;V$2&amp;V$1&amp;"C"&amp;$A19)*RTD("tos.rtd",,"GAMMA","."&amp;V$2&amp;V$1&amp;"C"&amp;$A19)-$A$4*$A$4*RTD("tos.rtd",,"VOLUME","."&amp;V$2&amp;V$1&amp;"P"&amp;$A19)*RTD("tos.rtd",,"GAMMA","."&amp;V$2&amp;V$1&amp;"P"&amp;$A19))/1000000),0),IF($A$2="GEX",IFERROR(IF($X$1="ABS",($A$4*$A$4*RTD("tos.rtd",,"OPEN_INT","."&amp;V$2&amp;V$1&amp;"C"&amp;$A19)*RTD("tos.rtd",,"GAMMA","."&amp;V$2&amp;V$1&amp;"C"&amp;$A19)+$A$4*$A$4*RTD("tos.rtd",,"OPEN_INT","."&amp;V$2&amp;V$1&amp;"P"&amp;$A19)*RTD("tos.rtd",,"GAMMA","."&amp;V$2&amp;V$1&amp;"P"&amp;$A19))/1000000,($A$4*$A$4*RTD("tos.rtd",,"OPEN_INT","."&amp;V$2&amp;V$1&amp;"C"&amp;$A19)*RTD("tos.rtd",,"GAMMA","."&amp;V$2&amp;V$1&amp;"C"&amp;$A19)-$A$4*$A$4*RTD("tos.rtd",,"OPEN_INT","."&amp;V$2&amp;V$1&amp;"P"&amp;$A19)*RTD("tos.rtd",,"GAMMA","."&amp;V$2&amp;V$1&amp;"P"&amp;$A19))/1000000),0),IF($A$2="SKEW",IFERROR(VALUE(IF(RTD("tos.rtd",,"IMPL_VOL","."&amp;V$2&amp;V$1&amp;"P"&amp;$A19)="N/A",0,RTD("tos.rtd",,"IMPL_VOL","."&amp;V$2&amp;V$1&amp;"P"&amp;$A19))),0)-IFERROR(VALUE(IF(RTD("tos.rtd",,"IMPL_VOL","."&amp;V$2&amp;V$1&amp;"C"&amp;$A19)="N/A",0,RTD("tos.rtd",,"IMPL_VOL","."&amp;V$2&amp;V$1&amp;"C"&amp;$A19))),0),IF($A$2="MAXPAIN",IF($A$4&gt;$A19,($A$4-$A19)*IF(RTD("tos.rtd",,"OPEN_INT","."&amp;V$2&amp;V$1&amp;"C"&amp;$A19)="N/A",0,RTD("tos.rtd",,"OPEN_INT","."&amp;V$2&amp;V$1&amp;"C"&amp;$A19)),0)+IF($A$4&lt;$A19,($A$5-$A$4)*IF(RTD("tos.rtd",,"OPEN_INT","."&amp;V$2&amp;V$1&amp;"P"&amp;$A19)="N/A",0,RTD("tos.rtd",,"OPEN_INT","."&amp;V$2&amp;V$1&amp;"P"&amp;$A19)),0),IF($X$1="ABS",IF(RTD("tos.rtd",,$A$2,"."&amp;V$2&amp;V$1&amp;"C"&amp;$A19)="N/A",0,RTD("tos.rtd",,$A$2,"."&amp;V$2&amp;V$1&amp;"C"&amp;$A19))+IF(RTD("tos.rtd",,$A$2,"."&amp;V$2&amp;V$1&amp;"P"&amp;$A19)="N/A",0,RTD("tos.rtd",,$A$2,"."&amp;V$2&amp;V$1&amp;"P"&amp;$A19)),IF(RTD("tos.rtd",,$A$2,"."&amp;V$2&amp;V$1&amp;"C"&amp;$A19)="N/A",0,RTD("tos.rtd",,$A$2,"."&amp;V$2&amp;V$1&amp;"C"&amp;$A19))-IF(RTD("tos.rtd",,$A$2,"."&amp;V$2&amp;V$1&amp;"P"&amp;$A19)="N/A",0,RTD("tos.rtd",,$A$2,"."&amp;V$2&amp;V$1&amp;"P"&amp;$A19))))))))))</f>
        <v>0</v>
      </c>
      <c r="W19" s="54">
        <f ca="1">IF($A$2="PREMIUM_OI",IFERROR(IF($X$1="ABS",(100*RTD("tos.rtd",,"OPEN_INT","."&amp;W$2&amp;W$1&amp;"C"&amp;$A19)*RTD("tos.rtd",,"LAST","."&amp;W$2&amp;W$1&amp;"C"&amp;$A19)+100*RTD("tos.rtd",,"OPEN_INT","."&amp;W$2&amp;W$1&amp;"P"&amp;$A19)*RTD("tos.rtd",,"LAST","."&amp;W$2&amp;W$1&amp;"P"&amp;$A19))/1000000,(100*RTD("tos.rtd",,"OPEN_INT","."&amp;W$2&amp;W$1&amp;"C"&amp;$A19)*RTD("tos.rtd",,"LAST","."&amp;W$2&amp;W$1&amp;"C"&amp;$A19)-100*RTD("tos.rtd",,"OPEN_INT","."&amp;W$2&amp;W$1&amp;"P"&amp;$A19)*RTD("tos.rtd",,"LAST","."&amp;W$2&amp;W$1&amp;"P"&amp;$A19))/1000000),0),IF($A$2="PREMIUM",IFERROR(IF($X$1="ABS",(100*RTD("tos.rtd",,"VOLUME","."&amp;W$2&amp;W$1&amp;"C"&amp;$A19)*RTD("tos.rtd",,"LAST","."&amp;W$2&amp;W$1&amp;"C"&amp;$A19)+100*RTD("tos.rtd",,"VOLUME","."&amp;W$2&amp;W$1&amp;"P"&amp;$A19)*RTD("tos.rtd",,"LAST","."&amp;W$2&amp;W$1&amp;"P"&amp;$A19))/1000000,(100*RTD("tos.rtd",,"VOLUME","."&amp;W$2&amp;W$1&amp;"C"&amp;$A19)*RTD("tos.rtd",,"LAST","."&amp;W$2&amp;W$1&amp;"C"&amp;$A19)-100*RTD("tos.rtd",,"VOLUME","."&amp;W$2&amp;W$1&amp;"P"&amp;$A19)*RTD("tos.rtd",,"LAST","."&amp;W$2&amp;W$1&amp;"P"&amp;$A19))/1000000),0),IF($A$2="DEX",IFERROR(IF($X$1="ABS",(100*RTD("tos.rtd",,"OPEN_INT","."&amp;W$2&amp;W$1&amp;"C"&amp;$A19)*RTD("tos.rtd",,"DELTA","."&amp;W$2&amp;W$1&amp;"C"&amp;$A19)+100*RTD("tos.rtd",,"OPEN_INT","."&amp;W$2&amp;W$1&amp;"P"&amp;$A19)*RTD("tos.rtd",,"DELTA","."&amp;W$2&amp;W$1&amp;"P"&amp;$A19))/1000,(100*RTD("tos.rtd",,"OPEN_INT","."&amp;W$2&amp;W$1&amp;"C"&amp;$A19)*RTD("tos.rtd",,"DELTA","."&amp;W$2&amp;W$1&amp;"C"&amp;$A19)-100*RTD("tos.rtd",,"OPEN_INT","."&amp;W$2&amp;W$1&amp;"P"&amp;$A19)*RTD("tos.rtd",,"DELTA","."&amp;W$2&amp;W$1&amp;"P"&amp;$A19))/1000),0),IF($A$2="VEX",IFERROR(IF($X$1="ABS",($A$4*$A$4*RTD("tos.rtd",,"VOLUME","."&amp;W$2&amp;W$1&amp;"C"&amp;$A19)*RTD("tos.rtd",,"GAMMA","."&amp;W$2&amp;W$1&amp;"C"&amp;$A19)+$A$4*$A$4*RTD("tos.rtd",,"VOLUME","."&amp;W$2&amp;W$1&amp;"P"&amp;$A19)*RTD("tos.rtd",,"GAMMA","."&amp;W$2&amp;W$1&amp;"P"&amp;$A19))/1000000,($A$4*$A$4*RTD("tos.rtd",,"VOLUME","."&amp;W$2&amp;W$1&amp;"C"&amp;$A19)*RTD("tos.rtd",,"GAMMA","."&amp;W$2&amp;W$1&amp;"C"&amp;$A19)-$A$4*$A$4*RTD("tos.rtd",,"VOLUME","."&amp;W$2&amp;W$1&amp;"P"&amp;$A19)*RTD("tos.rtd",,"GAMMA","."&amp;W$2&amp;W$1&amp;"P"&amp;$A19))/1000000),0),IF($A$2="GEX",IFERROR(IF($X$1="ABS",($A$4*$A$4*RTD("tos.rtd",,"OPEN_INT","."&amp;W$2&amp;W$1&amp;"C"&amp;$A19)*RTD("tos.rtd",,"GAMMA","."&amp;W$2&amp;W$1&amp;"C"&amp;$A19)+$A$4*$A$4*RTD("tos.rtd",,"OPEN_INT","."&amp;W$2&amp;W$1&amp;"P"&amp;$A19)*RTD("tos.rtd",,"GAMMA","."&amp;W$2&amp;W$1&amp;"P"&amp;$A19))/1000000,($A$4*$A$4*RTD("tos.rtd",,"OPEN_INT","."&amp;W$2&amp;W$1&amp;"C"&amp;$A19)*RTD("tos.rtd",,"GAMMA","."&amp;W$2&amp;W$1&amp;"C"&amp;$A19)-$A$4*$A$4*RTD("tos.rtd",,"OPEN_INT","."&amp;W$2&amp;W$1&amp;"P"&amp;$A19)*RTD("tos.rtd",,"GAMMA","."&amp;W$2&amp;W$1&amp;"P"&amp;$A19))/1000000),0),IF($A$2="SKEW",IFERROR(VALUE(IF(RTD("tos.rtd",,"IMPL_VOL","."&amp;W$2&amp;W$1&amp;"P"&amp;$A19)="N/A",0,RTD("tos.rtd",,"IMPL_VOL","."&amp;W$2&amp;W$1&amp;"P"&amp;$A19))),0)-IFERROR(VALUE(IF(RTD("tos.rtd",,"IMPL_VOL","."&amp;W$2&amp;W$1&amp;"C"&amp;$A19)="N/A",0,RTD("tos.rtd",,"IMPL_VOL","."&amp;W$2&amp;W$1&amp;"C"&amp;$A19))),0),IF($A$2="MAXPAIN",IF($A$4&gt;$A19,($A$4-$A19)*IF(RTD("tos.rtd",,"OPEN_INT","."&amp;W$2&amp;W$1&amp;"C"&amp;$A19)="N/A",0,RTD("tos.rtd",,"OPEN_INT","."&amp;W$2&amp;W$1&amp;"C"&amp;$A19)),0)+IF($A$4&lt;$A19,($A$5-$A$4)*IF(RTD("tos.rtd",,"OPEN_INT","."&amp;W$2&amp;W$1&amp;"P"&amp;$A19)="N/A",0,RTD("tos.rtd",,"OPEN_INT","."&amp;W$2&amp;W$1&amp;"P"&amp;$A19)),0),IF($X$1="ABS",IF(RTD("tos.rtd",,$A$2,"."&amp;W$2&amp;W$1&amp;"C"&amp;$A19)="N/A",0,RTD("tos.rtd",,$A$2,"."&amp;W$2&amp;W$1&amp;"C"&amp;$A19))+IF(RTD("tos.rtd",,$A$2,"."&amp;W$2&amp;W$1&amp;"P"&amp;$A19)="N/A",0,RTD("tos.rtd",,$A$2,"."&amp;W$2&amp;W$1&amp;"P"&amp;$A19)),IF(RTD("tos.rtd",,$A$2,"."&amp;W$2&amp;W$1&amp;"C"&amp;$A19)="N/A",0,RTD("tos.rtd",,$A$2,"."&amp;W$2&amp;W$1&amp;"C"&amp;$A19))-IF(RTD("tos.rtd",,$A$2,"."&amp;W$2&amp;W$1&amp;"P"&amp;$A19)="N/A",0,RTD("tos.rtd",,$A$2,"."&amp;W$2&amp;W$1&amp;"P"&amp;$A19))))))))))</f>
        <v>0</v>
      </c>
      <c r="X19" s="57">
        <f t="shared" ca="1" si="8"/>
        <v>0</v>
      </c>
      <c r="Y19" s="27">
        <f t="shared" ca="1" si="9"/>
        <v>0</v>
      </c>
      <c r="Z19" s="27">
        <f ca="1">+'OI-VOL'!Y19</f>
        <v>0</v>
      </c>
      <c r="AA19" s="27" t="b">
        <f t="shared" ca="1" si="10"/>
        <v>0</v>
      </c>
      <c r="AB19" s="27">
        <f t="shared" si="11"/>
        <v>119174700</v>
      </c>
      <c r="AC19" s="18">
        <f>MAX(0, $A19-AC$4)*IF(RTD("tos.rtd",,"OPEN_INT","."&amp;$AB$3&amp;$AB$4&amp;"C"&amp;AC$4)="N/A",0,RTD("tos.rtd",,"OPEN_INT","."&amp;$AB$3&amp;$AB$4&amp;"C"&amp;AC$4))*100 + MAX(0, AC$4-$A19)*IF(RTD("tos.rtd",,"OPEN_INT","."&amp;$AB$3&amp;$AB$4&amp;"P"&amp;AC$4)="N/A",0,RTD("tos.rtd",,"OPEN_INT","."&amp;$AB$3&amp;$AB$4&amp;"P"&amp;AC$4))*100</f>
        <v>0</v>
      </c>
      <c r="AD19" s="18">
        <f>MAX(0, $A19-AD$4)*IF(RTD("tos.rtd",,"OPEN_INT","."&amp;$AB$3&amp;$AB$4&amp;"C"&amp;AD$4)="N/A",0,RTD("tos.rtd",,"OPEN_INT","."&amp;$AB$3&amp;$AB$4&amp;"C"&amp;AD$4))*100 + MAX(0, AD$4-$A19)*IF(RTD("tos.rtd",,"OPEN_INT","."&amp;$AB$3&amp;$AB$4&amp;"P"&amp;AD$4)="N/A",0,RTD("tos.rtd",,"OPEN_INT","."&amp;$AB$3&amp;$AB$4&amp;"P"&amp;AD$4))*100</f>
        <v>0</v>
      </c>
      <c r="AE19" s="18">
        <f>MAX(0, $A19-AE$4)*IF(RTD("tos.rtd",,"OPEN_INT","."&amp;$AB$3&amp;$AB$4&amp;"C"&amp;AE$4)="N/A",0,RTD("tos.rtd",,"OPEN_INT","."&amp;$AB$3&amp;$AB$4&amp;"C"&amp;AE$4))*100 + MAX(0, AE$4-$A19)*IF(RTD("tos.rtd",,"OPEN_INT","."&amp;$AB$3&amp;$AB$4&amp;"P"&amp;AE$4)="N/A",0,RTD("tos.rtd",,"OPEN_INT","."&amp;$AB$3&amp;$AB$4&amp;"P"&amp;AE$4))*100</f>
        <v>0</v>
      </c>
      <c r="AF19" s="18">
        <f>MAX(0, $A19-AF$4)*IF(RTD("tos.rtd",,"OPEN_INT","."&amp;$AB$3&amp;$AB$4&amp;"C"&amp;AF$4)="N/A",0,RTD("tos.rtd",,"OPEN_INT","."&amp;$AB$3&amp;$AB$4&amp;"C"&amp;AF$4))*100 + MAX(0, AF$4-$A19)*IF(RTD("tos.rtd",,"OPEN_INT","."&amp;$AB$3&amp;$AB$4&amp;"P"&amp;AF$4)="N/A",0,RTD("tos.rtd",,"OPEN_INT","."&amp;$AB$3&amp;$AB$4&amp;"P"&amp;AF$4))*100</f>
        <v>0</v>
      </c>
      <c r="AG19" s="18">
        <f>MAX(0, $A19-AG$4)*IF(RTD("tos.rtd",,"OPEN_INT","."&amp;$AB$3&amp;$AB$4&amp;"C"&amp;AG$4)="N/A",0,RTD("tos.rtd",,"OPEN_INT","."&amp;$AB$3&amp;$AB$4&amp;"C"&amp;AG$4))*100 + MAX(0, AG$4-$A19)*IF(RTD("tos.rtd",,"OPEN_INT","."&amp;$AB$3&amp;$AB$4&amp;"P"&amp;AG$4)="N/A",0,RTD("tos.rtd",,"OPEN_INT","."&amp;$AB$3&amp;$AB$4&amp;"P"&amp;AG$4))*100</f>
        <v>0</v>
      </c>
      <c r="AH19" s="18">
        <f>MAX(0, $A19-AH$4)*IF(RTD("tos.rtd",,"OPEN_INT","."&amp;$AB$3&amp;$AB$4&amp;"C"&amp;AH$4)="N/A",0,RTD("tos.rtd",,"OPEN_INT","."&amp;$AB$3&amp;$AB$4&amp;"C"&amp;AH$4))*100 + MAX(0, AH$4-$A19)*IF(RTD("tos.rtd",,"OPEN_INT","."&amp;$AB$3&amp;$AB$4&amp;"P"&amp;AH$4)="N/A",0,RTD("tos.rtd",,"OPEN_INT","."&amp;$AB$3&amp;$AB$4&amp;"P"&amp;AH$4))*100</f>
        <v>0</v>
      </c>
      <c r="AI19" s="18">
        <f>MAX(0, $A19-AI$4)*IF(RTD("tos.rtd",,"OPEN_INT","."&amp;$AB$3&amp;$AB$4&amp;"C"&amp;AI$4)="N/A",0,RTD("tos.rtd",,"OPEN_INT","."&amp;$AB$3&amp;$AB$4&amp;"C"&amp;AI$4))*100 + MAX(0, AI$4-$A19)*IF(RTD("tos.rtd",,"OPEN_INT","."&amp;$AB$3&amp;$AB$4&amp;"P"&amp;AI$4)="N/A",0,RTD("tos.rtd",,"OPEN_INT","."&amp;$AB$3&amp;$AB$4&amp;"P"&amp;AI$4))*100</f>
        <v>0</v>
      </c>
      <c r="AJ19" s="18">
        <f>MAX(0, $A19-AJ$4)*IF(RTD("tos.rtd",,"OPEN_INT","."&amp;$AB$3&amp;$AB$4&amp;"C"&amp;AJ$4)="N/A",0,RTD("tos.rtd",,"OPEN_INT","."&amp;$AB$3&amp;$AB$4&amp;"C"&amp;AJ$4))*100 + MAX(0, AJ$4-$A19)*IF(RTD("tos.rtd",,"OPEN_INT","."&amp;$AB$3&amp;$AB$4&amp;"P"&amp;AJ$4)="N/A",0,RTD("tos.rtd",,"OPEN_INT","."&amp;$AB$3&amp;$AB$4&amp;"P"&amp;AJ$4))*100</f>
        <v>1050</v>
      </c>
      <c r="AK19" s="18">
        <f>MAX(0, $A19-AK$4)*IF(RTD("tos.rtd",,"OPEN_INT","."&amp;$AB$3&amp;$AB$4&amp;"C"&amp;AK$4)="N/A",0,RTD("tos.rtd",,"OPEN_INT","."&amp;$AB$3&amp;$AB$4&amp;"C"&amp;AK$4))*100 + MAX(0, AK$4-$A19)*IF(RTD("tos.rtd",,"OPEN_INT","."&amp;$AB$3&amp;$AB$4&amp;"P"&amp;AK$4)="N/A",0,RTD("tos.rtd",,"OPEN_INT","."&amp;$AB$3&amp;$AB$4&amp;"P"&amp;AK$4))*100</f>
        <v>2400</v>
      </c>
      <c r="AL19" s="18">
        <f>MAX(0, $A19-AL$4)*IF(RTD("tos.rtd",,"OPEN_INT","."&amp;$AB$3&amp;$AB$4&amp;"C"&amp;AL$4)="N/A",0,RTD("tos.rtd",,"OPEN_INT","."&amp;$AB$3&amp;$AB$4&amp;"C"&amp;AL$4))*100 + MAX(0, AL$4-$A19)*IF(RTD("tos.rtd",,"OPEN_INT","."&amp;$AB$3&amp;$AB$4&amp;"P"&amp;AL$4)="N/A",0,RTD("tos.rtd",,"OPEN_INT","."&amp;$AB$3&amp;$AB$4&amp;"P"&amp;AL$4))*100</f>
        <v>0</v>
      </c>
      <c r="AM19" s="18">
        <f>MAX(0, $A19-AM$4)*IF(RTD("tos.rtd",,"OPEN_INT","."&amp;$AB$3&amp;$AB$4&amp;"C"&amp;AM$4)="N/A",0,RTD("tos.rtd",,"OPEN_INT","."&amp;$AB$3&amp;$AB$4&amp;"C"&amp;AM$4))*100 + MAX(0, AM$4-$A19)*IF(RTD("tos.rtd",,"OPEN_INT","."&amp;$AB$3&amp;$AB$4&amp;"P"&amp;AM$4)="N/A",0,RTD("tos.rtd",,"OPEN_INT","."&amp;$AB$3&amp;$AB$4&amp;"P"&amp;AM$4))*100</f>
        <v>0</v>
      </c>
      <c r="AN19" s="18">
        <f>MAX(0, $A19-AN$4)*IF(RTD("tos.rtd",,"OPEN_INT","."&amp;$AB$3&amp;$AB$4&amp;"C"&amp;AN$4)="N/A",0,RTD("tos.rtd",,"OPEN_INT","."&amp;$AB$3&amp;$AB$4&amp;"C"&amp;AN$4))*100 + MAX(0, AN$4-$A19)*IF(RTD("tos.rtd",,"OPEN_INT","."&amp;$AB$3&amp;$AB$4&amp;"P"&amp;AN$4)="N/A",0,RTD("tos.rtd",,"OPEN_INT","."&amp;$AB$3&amp;$AB$4&amp;"P"&amp;AN$4))*100</f>
        <v>0</v>
      </c>
      <c r="AO19" s="18">
        <f>MAX(0, $A19-AO$4)*IF(RTD("tos.rtd",,"OPEN_INT","."&amp;$AB$3&amp;$AB$4&amp;"C"&amp;AO$4)="N/A",0,RTD("tos.rtd",,"OPEN_INT","."&amp;$AB$3&amp;$AB$4&amp;"C"&amp;AO$4))*100 + MAX(0, AO$4-$A19)*IF(RTD("tos.rtd",,"OPEN_INT","."&amp;$AB$3&amp;$AB$4&amp;"P"&amp;AO$4)="N/A",0,RTD("tos.rtd",,"OPEN_INT","."&amp;$AB$3&amp;$AB$4&amp;"P"&amp;AO$4))*100</f>
        <v>0</v>
      </c>
      <c r="AP19" s="18">
        <f>MAX(0, $A19-AP$4)*IF(RTD("tos.rtd",,"OPEN_INT","."&amp;$AB$3&amp;$AB$4&amp;"C"&amp;AP$4)="N/A",0,RTD("tos.rtd",,"OPEN_INT","."&amp;$AB$3&amp;$AB$4&amp;"C"&amp;AP$4))*100 + MAX(0, AP$4-$A19)*IF(RTD("tos.rtd",,"OPEN_INT","."&amp;$AB$3&amp;$AB$4&amp;"P"&amp;AP$4)="N/A",0,RTD("tos.rtd",,"OPEN_INT","."&amp;$AB$3&amp;$AB$4&amp;"P"&amp;AP$4))*100</f>
        <v>6000</v>
      </c>
      <c r="AQ19" s="18">
        <f>MAX(0, $A19-AQ$4)*IF(RTD("tos.rtd",,"OPEN_INT","."&amp;$AB$3&amp;$AB$4&amp;"C"&amp;AQ$4)="N/A",0,RTD("tos.rtd",,"OPEN_INT","."&amp;$AB$3&amp;$AB$4&amp;"C"&amp;AQ$4))*100 + MAX(0, AQ$4-$A19)*IF(RTD("tos.rtd",,"OPEN_INT","."&amp;$AB$3&amp;$AB$4&amp;"P"&amp;AQ$4)="N/A",0,RTD("tos.rtd",,"OPEN_INT","."&amp;$AB$3&amp;$AB$4&amp;"P"&amp;AQ$4))*100</f>
        <v>0</v>
      </c>
      <c r="AR19" s="18">
        <f>MAX(0, $A19-AR$4)*IF(RTD("tos.rtd",,"OPEN_INT","."&amp;$AB$3&amp;$AB$4&amp;"C"&amp;AR$4)="N/A",0,RTD("tos.rtd",,"OPEN_INT","."&amp;$AB$3&amp;$AB$4&amp;"C"&amp;AR$4))*100 + MAX(0, AR$4-$A19)*IF(RTD("tos.rtd",,"OPEN_INT","."&amp;$AB$3&amp;$AB$4&amp;"P"&amp;AR$4)="N/A",0,RTD("tos.rtd",,"OPEN_INT","."&amp;$AB$3&amp;$AB$4&amp;"P"&amp;AR$4))*100</f>
        <v>32000</v>
      </c>
      <c r="AS19" s="18">
        <f>MAX(0, $A19-AS$4)*IF(RTD("tos.rtd",,"OPEN_INT","."&amp;$AB$3&amp;$AB$4&amp;"C"&amp;AS$4)="N/A",0,RTD("tos.rtd",,"OPEN_INT","."&amp;$AB$3&amp;$AB$4&amp;"C"&amp;AS$4))*100 + MAX(0, AS$4-$A19)*IF(RTD("tos.rtd",,"OPEN_INT","."&amp;$AB$3&amp;$AB$4&amp;"P"&amp;AS$4)="N/A",0,RTD("tos.rtd",,"OPEN_INT","."&amp;$AB$3&amp;$AB$4&amp;"P"&amp;AS$4))*100</f>
        <v>100</v>
      </c>
      <c r="AT19" s="18">
        <f>MAX(0, $A19-AT$4)*IF(RTD("tos.rtd",,"OPEN_INT","."&amp;$AB$3&amp;$AB$4&amp;"C"&amp;AT$4)="N/A",0,RTD("tos.rtd",,"OPEN_INT","."&amp;$AB$3&amp;$AB$4&amp;"C"&amp;AT$4))*100 + MAX(0, AT$4-$A19)*IF(RTD("tos.rtd",,"OPEN_INT","."&amp;$AB$3&amp;$AB$4&amp;"P"&amp;AT$4)="N/A",0,RTD("tos.rtd",,"OPEN_INT","."&amp;$AB$3&amp;$AB$4&amp;"P"&amp;AT$4))*100</f>
        <v>129300</v>
      </c>
      <c r="AU19" s="18">
        <f>MAX(0, $A19-AU$4)*IF(RTD("tos.rtd",,"OPEN_INT","."&amp;$AB$3&amp;$AB$4&amp;"C"&amp;AU$4)="N/A",0,RTD("tos.rtd",,"OPEN_INT","."&amp;$AB$3&amp;$AB$4&amp;"C"&amp;AU$4))*100 + MAX(0, AU$4-$A19)*IF(RTD("tos.rtd",,"OPEN_INT","."&amp;$AB$3&amp;$AB$4&amp;"P"&amp;AU$4)="N/A",0,RTD("tos.rtd",,"OPEN_INT","."&amp;$AB$3&amp;$AB$4&amp;"P"&amp;AU$4))*100</f>
        <v>280400</v>
      </c>
      <c r="AV19" s="18">
        <f>MAX(0, $A19-AV$4)*IF(RTD("tos.rtd",,"OPEN_INT","."&amp;$AB$3&amp;$AB$4&amp;"C"&amp;AV$4)="N/A",0,RTD("tos.rtd",,"OPEN_INT","."&amp;$AB$3&amp;$AB$4&amp;"C"&amp;AV$4))*100 + MAX(0, AV$4-$A19)*IF(RTD("tos.rtd",,"OPEN_INT","."&amp;$AB$3&amp;$AB$4&amp;"P"&amp;AV$4)="N/A",0,RTD("tos.rtd",,"OPEN_INT","."&amp;$AB$3&amp;$AB$4&amp;"P"&amp;AV$4))*100</f>
        <v>420750</v>
      </c>
      <c r="AW19" s="18">
        <f>MAX(0, $A19-AW$4)*IF(RTD("tos.rtd",,"OPEN_INT","."&amp;$AB$3&amp;$AB$4&amp;"C"&amp;AW$4)="N/A",0,RTD("tos.rtd",,"OPEN_INT","."&amp;$AB$3&amp;$AB$4&amp;"C"&amp;AW$4))*100 + MAX(0, AW$4-$A19)*IF(RTD("tos.rtd",,"OPEN_INT","."&amp;$AB$3&amp;$AB$4&amp;"P"&amp;AW$4)="N/A",0,RTD("tos.rtd",,"OPEN_INT","."&amp;$AB$3&amp;$AB$4&amp;"P"&amp;AW$4))*100</f>
        <v>566400</v>
      </c>
      <c r="AX19" s="18">
        <f>MAX(0, $A19-AX$4)*IF(RTD("tos.rtd",,"OPEN_INT","."&amp;$AB$3&amp;$AB$4&amp;"C"&amp;AX$4)="N/A",0,RTD("tos.rtd",,"OPEN_INT","."&amp;$AB$3&amp;$AB$4&amp;"C"&amp;AX$4))*100 + MAX(0, AX$4-$A19)*IF(RTD("tos.rtd",,"OPEN_INT","."&amp;$AB$3&amp;$AB$4&amp;"P"&amp;AX$4)="N/A",0,RTD("tos.rtd",,"OPEN_INT","."&amp;$AB$3&amp;$AB$4&amp;"P"&amp;AX$4))*100</f>
        <v>1076250</v>
      </c>
      <c r="AY19" s="18">
        <f>MAX(0, $A19-AY$4)*IF(RTD("tos.rtd",,"OPEN_INT","."&amp;$AB$3&amp;$AB$4&amp;"C"&amp;AY$4)="N/A",0,RTD("tos.rtd",,"OPEN_INT","."&amp;$AB$3&amp;$AB$4&amp;"C"&amp;AY$4))*100 + MAX(0, AY$4-$A19)*IF(RTD("tos.rtd",,"OPEN_INT","."&amp;$AB$3&amp;$AB$4&amp;"P"&amp;AY$4)="N/A",0,RTD("tos.rtd",,"OPEN_INT","."&amp;$AB$3&amp;$AB$4&amp;"P"&amp;AY$4))*100</f>
        <v>1701200</v>
      </c>
      <c r="AZ19" s="18">
        <f>MAX(0, $A19-AZ$4)*IF(RTD("tos.rtd",,"OPEN_INT","."&amp;$AB$3&amp;$AB$4&amp;"C"&amp;AZ$4)="N/A",0,RTD("tos.rtd",,"OPEN_INT","."&amp;$AB$3&amp;$AB$4&amp;"C"&amp;AZ$4))*100 + MAX(0, AZ$4-$A19)*IF(RTD("tos.rtd",,"OPEN_INT","."&amp;$AB$3&amp;$AB$4&amp;"P"&amp;AZ$4)="N/A",0,RTD("tos.rtd",,"OPEN_INT","."&amp;$AB$3&amp;$AB$4&amp;"P"&amp;AZ$4))*100</f>
        <v>8796600</v>
      </c>
      <c r="BA19" s="18">
        <f>MAX(0, $A19-BA$4)*IF(RTD("tos.rtd",,"OPEN_INT","."&amp;$AB$3&amp;$AB$4&amp;"C"&amp;BA$4)="N/A",0,RTD("tos.rtd",,"OPEN_INT","."&amp;$AB$3&amp;$AB$4&amp;"C"&amp;BA$4))*100 + MAX(0, BA$4-$A19)*IF(RTD("tos.rtd",,"OPEN_INT","."&amp;$AB$3&amp;$AB$4&amp;"P"&amp;BA$4)="N/A",0,RTD("tos.rtd",,"OPEN_INT","."&amp;$AB$3&amp;$AB$4&amp;"P"&amp;BA$4))*100</f>
        <v>4925000</v>
      </c>
      <c r="BB19" s="18">
        <f>MAX(0, $A19-BB$4)*IF(RTD("tos.rtd",,"OPEN_INT","."&amp;$AB$3&amp;$AB$4&amp;"C"&amp;BB$4)="N/A",0,RTD("tos.rtd",,"OPEN_INT","."&amp;$AB$3&amp;$AB$4&amp;"C"&amp;BB$4))*100 + MAX(0, BB$4-$A19)*IF(RTD("tos.rtd",,"OPEN_INT","."&amp;$AB$3&amp;$AB$4&amp;"P"&amp;BB$4)="N/A",0,RTD("tos.rtd",,"OPEN_INT","."&amp;$AB$3&amp;$AB$4&amp;"P"&amp;BB$4))*100</f>
        <v>16943850</v>
      </c>
      <c r="BC19" s="18">
        <f>MAX(0, $A19-BC$4)*IF(RTD("tos.rtd",,"OPEN_INT","."&amp;$AB$3&amp;$AB$4&amp;"C"&amp;BC$4)="N/A",0,RTD("tos.rtd",,"OPEN_INT","."&amp;$AB$3&amp;$AB$4&amp;"C"&amp;BC$4))*100 + MAX(0, BC$4-$A19)*IF(RTD("tos.rtd",,"OPEN_INT","."&amp;$AB$3&amp;$AB$4&amp;"P"&amp;BC$4)="N/A",0,RTD("tos.rtd",,"OPEN_INT","."&amp;$AB$3&amp;$AB$4&amp;"P"&amp;BC$4))*100</f>
        <v>17194800</v>
      </c>
      <c r="BD19" s="18">
        <f>MAX(0, $A19-BD$4)*IF(RTD("tos.rtd",,"OPEN_INT","."&amp;$AB$3&amp;$AB$4&amp;"C"&amp;BD$4)="N/A",0,RTD("tos.rtd",,"OPEN_INT","."&amp;$AB$3&amp;$AB$4&amp;"C"&amp;BD$4))*100 + MAX(0, BD$4-$A19)*IF(RTD("tos.rtd",,"OPEN_INT","."&amp;$AB$3&amp;$AB$4&amp;"P"&amp;BD$4)="N/A",0,RTD("tos.rtd",,"OPEN_INT","."&amp;$AB$3&amp;$AB$4&amp;"P"&amp;BD$4))*100</f>
        <v>26463450</v>
      </c>
      <c r="BE19" s="18">
        <f>MAX(0, $A19-BE$4)*IF(RTD("tos.rtd",,"OPEN_INT","."&amp;$AB$3&amp;$AB$4&amp;"C"&amp;BE$4)="N/A",0,RTD("tos.rtd",,"OPEN_INT","."&amp;$AB$3&amp;$AB$4&amp;"C"&amp;BE$4))*100 + MAX(0, BE$4-$A19)*IF(RTD("tos.rtd",,"OPEN_INT","."&amp;$AB$3&amp;$AB$4&amp;"P"&amp;BE$4)="N/A",0,RTD("tos.rtd",,"OPEN_INT","."&amp;$AB$3&amp;$AB$4&amp;"P"&amp;BE$4))*100</f>
        <v>12992000</v>
      </c>
      <c r="BF19" s="18">
        <f>MAX(0, $A19-BF$4)*IF(RTD("tos.rtd",,"OPEN_INT","."&amp;$AB$3&amp;$AB$4&amp;"C"&amp;BF$4)="N/A",0,RTD("tos.rtd",,"OPEN_INT","."&amp;$AB$3&amp;$AB$4&amp;"C"&amp;BF$4))*100 + MAX(0, BF$4-$A19)*IF(RTD("tos.rtd",,"OPEN_INT","."&amp;$AB$3&amp;$AB$4&amp;"P"&amp;BF$4)="N/A",0,RTD("tos.rtd",,"OPEN_INT","."&amp;$AB$3&amp;$AB$4&amp;"P"&amp;BF$4))*100</f>
        <v>12958500</v>
      </c>
      <c r="BG19" s="18">
        <f>MAX(0, $A19-BG$4)*IF(RTD("tos.rtd",,"OPEN_INT","."&amp;$AB$3&amp;$AB$4&amp;"C"&amp;BG$4)="N/A",0,RTD("tos.rtd",,"OPEN_INT","."&amp;$AB$3&amp;$AB$4&amp;"C"&amp;BG$4))*100 + MAX(0, BG$4-$A19)*IF(RTD("tos.rtd",,"OPEN_INT","."&amp;$AB$3&amp;$AB$4&amp;"P"&amp;BG$4)="N/A",0,RTD("tos.rtd",,"OPEN_INT","."&amp;$AB$3&amp;$AB$4&amp;"P"&amp;BG$4))*100</f>
        <v>6725600</v>
      </c>
      <c r="BH19" s="18">
        <f>MAX(0, $A19-BH$4)*IF(RTD("tos.rtd",,"OPEN_INT","."&amp;$AB$3&amp;$AB$4&amp;"C"&amp;BH$4)="N/A",0,RTD("tos.rtd",,"OPEN_INT","."&amp;$AB$3&amp;$AB$4&amp;"C"&amp;BH$4))*100 + MAX(0, BH$4-$A19)*IF(RTD("tos.rtd",,"OPEN_INT","."&amp;$AB$3&amp;$AB$4&amp;"P"&amp;BH$4)="N/A",0,RTD("tos.rtd",,"OPEN_INT","."&amp;$AB$3&amp;$AB$4&amp;"P"&amp;BH$4))*100</f>
        <v>4873900</v>
      </c>
      <c r="BI19" s="18">
        <f>MAX(0, $A19-BI$4)*IF(RTD("tos.rtd",,"OPEN_INT","."&amp;$AB$3&amp;$AB$4&amp;"C"&amp;BI$4)="N/A",0,RTD("tos.rtd",,"OPEN_INT","."&amp;$AB$3&amp;$AB$4&amp;"C"&amp;BI$4))*100 + MAX(0, BI$4-$A19)*IF(RTD("tos.rtd",,"OPEN_INT","."&amp;$AB$3&amp;$AB$4&amp;"P"&amp;BI$4)="N/A",0,RTD("tos.rtd",,"OPEN_INT","."&amp;$AB$3&amp;$AB$4&amp;"P"&amp;BI$4))*100</f>
        <v>1748700</v>
      </c>
      <c r="BJ19" s="18">
        <f>MAX(0, $A19-BJ$4)*IF(RTD("tos.rtd",,"OPEN_INT","."&amp;$AB$3&amp;$AB$4&amp;"C"&amp;BJ$4)="N/A",0,RTD("tos.rtd",,"OPEN_INT","."&amp;$AB$3&amp;$AB$4&amp;"C"&amp;BJ$4))*100 + MAX(0, BJ$4-$A19)*IF(RTD("tos.rtd",,"OPEN_INT","."&amp;$AB$3&amp;$AB$4&amp;"P"&amp;BJ$4)="N/A",0,RTD("tos.rtd",,"OPEN_INT","."&amp;$AB$3&amp;$AB$4&amp;"P"&amp;BJ$4))*100</f>
        <v>799900</v>
      </c>
      <c r="BK19" s="18">
        <f>MAX(0, $A19-BK$4)*IF(RTD("tos.rtd",,"OPEN_INT","."&amp;$AB$3&amp;$AB$4&amp;"C"&amp;BK$4)="N/A",0,RTD("tos.rtd",,"OPEN_INT","."&amp;$AB$3&amp;$AB$4&amp;"C"&amp;BK$4))*100 + MAX(0, BK$4-$A19)*IF(RTD("tos.rtd",,"OPEN_INT","."&amp;$AB$3&amp;$AB$4&amp;"P"&amp;BK$4)="N/A",0,RTD("tos.rtd",,"OPEN_INT","."&amp;$AB$3&amp;$AB$4&amp;"P"&amp;BK$4))*100</f>
        <v>151000</v>
      </c>
      <c r="BL19" s="18">
        <f>MAX(0, $A19-BL$4)*IF(RTD("tos.rtd",,"OPEN_INT","."&amp;$AB$3&amp;$AB$4&amp;"C"&amp;BL$4)="N/A",0,RTD("tos.rtd",,"OPEN_INT","."&amp;$AB$3&amp;$AB$4&amp;"C"&amp;BL$4))*100 + MAX(0, BL$4-$A19)*IF(RTD("tos.rtd",,"OPEN_INT","."&amp;$AB$3&amp;$AB$4&amp;"P"&amp;BL$4)="N/A",0,RTD("tos.rtd",,"OPEN_INT","."&amp;$AB$3&amp;$AB$4&amp;"P"&amp;BL$4))*100</f>
        <v>274050</v>
      </c>
      <c r="BM19" s="18">
        <f>MAX(0, $A19-BM$4)*IF(RTD("tos.rtd",,"OPEN_INT","."&amp;$AB$3&amp;$AB$4&amp;"C"&amp;BM$4)="N/A",0,RTD("tos.rtd",,"OPEN_INT","."&amp;$AB$3&amp;$AB$4&amp;"C"&amp;BM$4))*100 + MAX(0, BM$4-$A19)*IF(RTD("tos.rtd",,"OPEN_INT","."&amp;$AB$3&amp;$AB$4&amp;"P"&amp;BM$4)="N/A",0,RTD("tos.rtd",,"OPEN_INT","."&amp;$AB$3&amp;$AB$4&amp;"P"&amp;BM$4))*100</f>
        <v>17600</v>
      </c>
      <c r="BN19" s="18">
        <f>MAX(0, $A19-BN$4)*IF(RTD("tos.rtd",,"OPEN_INT","."&amp;$AB$3&amp;$AB$4&amp;"C"&amp;BN$4)="N/A",0,RTD("tos.rtd",,"OPEN_INT","."&amp;$AB$3&amp;$AB$4&amp;"C"&amp;BN$4))*100 + MAX(0, BN$4-$A19)*IF(RTD("tos.rtd",,"OPEN_INT","."&amp;$AB$3&amp;$AB$4&amp;"P"&amp;BN$4)="N/A",0,RTD("tos.rtd",,"OPEN_INT","."&amp;$AB$3&amp;$AB$4&amp;"P"&amp;BN$4))*100</f>
        <v>9200</v>
      </c>
      <c r="BO19" s="18">
        <f>MAX(0, $A19-BO$4)*IF(RTD("tos.rtd",,"OPEN_INT","."&amp;$AB$3&amp;$AB$4&amp;"C"&amp;BO$4)="N/A",0,RTD("tos.rtd",,"OPEN_INT","."&amp;$AB$3&amp;$AB$4&amp;"C"&amp;BO$4))*100 + MAX(0, BO$4-$A19)*IF(RTD("tos.rtd",,"OPEN_INT","."&amp;$AB$3&amp;$AB$4&amp;"P"&amp;BO$4)="N/A",0,RTD("tos.rtd",,"OPEN_INT","."&amp;$AB$3&amp;$AB$4&amp;"P"&amp;BO$4))*100</f>
        <v>37200</v>
      </c>
      <c r="BP19" s="18">
        <f>MAX(0, $A19-BP$4)*IF(RTD("tos.rtd",,"OPEN_INT","."&amp;$AB$3&amp;$AB$4&amp;"C"&amp;BP$4)="N/A",0,RTD("tos.rtd",,"OPEN_INT","."&amp;$AB$3&amp;$AB$4&amp;"C"&amp;BP$4))*100 + MAX(0, BP$4-$A19)*IF(RTD("tos.rtd",,"OPEN_INT","."&amp;$AB$3&amp;$AB$4&amp;"P"&amp;BP$4)="N/A",0,RTD("tos.rtd",,"OPEN_INT","."&amp;$AB$3&amp;$AB$4&amp;"P"&amp;BP$4))*100</f>
        <v>47500</v>
      </c>
      <c r="BQ19" s="18">
        <f>MAX(0, $A19-BQ$4)*IF(RTD("tos.rtd",,"OPEN_INT","."&amp;$AB$3&amp;$AB$4&amp;"C"&amp;BQ$4)="N/A",0,RTD("tos.rtd",,"OPEN_INT","."&amp;$AB$3&amp;$AB$4&amp;"C"&amp;BQ$4))*100 + MAX(0, BQ$4-$A19)*IF(RTD("tos.rtd",,"OPEN_INT","."&amp;$AB$3&amp;$AB$4&amp;"P"&amp;BQ$4)="N/A",0,RTD("tos.rtd",,"OPEN_INT","."&amp;$AB$3&amp;$AB$4&amp;"P"&amp;BQ$4))*100</f>
        <v>0</v>
      </c>
      <c r="BR19" s="18">
        <f>MAX(0, $A19-BR$4)*IF(RTD("tos.rtd",,"OPEN_INT","."&amp;$AB$3&amp;$AB$4&amp;"C"&amp;BR$4)="N/A",0,RTD("tos.rtd",,"OPEN_INT","."&amp;$AB$3&amp;$AB$4&amp;"C"&amp;BR$4))*100 + MAX(0, BR$4-$A19)*IF(RTD("tos.rtd",,"OPEN_INT","."&amp;$AB$3&amp;$AB$4&amp;"P"&amp;BR$4)="N/A",0,RTD("tos.rtd",,"OPEN_INT","."&amp;$AB$3&amp;$AB$4&amp;"P"&amp;BR$4))*100</f>
        <v>0</v>
      </c>
      <c r="BS19" s="18">
        <f>MAX(0, $A19-BS$4)*IF(RTD("tos.rtd",,"OPEN_INT","."&amp;$AB$3&amp;$AB$4&amp;"C"&amp;BS$4)="N/A",0,RTD("tos.rtd",,"OPEN_INT","."&amp;$AB$3&amp;$AB$4&amp;"C"&amp;BS$4))*100 + MAX(0, BS$4-$A19)*IF(RTD("tos.rtd",,"OPEN_INT","."&amp;$AB$3&amp;$AB$4&amp;"P"&amp;BS$4)="N/A",0,RTD("tos.rtd",,"OPEN_INT","."&amp;$AB$3&amp;$AB$4&amp;"P"&amp;BS$4))*100</f>
        <v>0</v>
      </c>
      <c r="BT19" s="18">
        <f>MAX(0, $A19-BT$4)*IF(RTD("tos.rtd",,"OPEN_INT","."&amp;$AB$3&amp;$AB$4&amp;"C"&amp;BT$4)="N/A",0,RTD("tos.rtd",,"OPEN_INT","."&amp;$AB$3&amp;$AB$4&amp;"C"&amp;BT$4))*100 + MAX(0, BT$4-$A19)*IF(RTD("tos.rtd",,"OPEN_INT","."&amp;$AB$3&amp;$AB$4&amp;"P"&amp;BT$4)="N/A",0,RTD("tos.rtd",,"OPEN_INT","."&amp;$AB$3&amp;$AB$4&amp;"P"&amp;BT$4))*100</f>
        <v>0</v>
      </c>
      <c r="BU19" s="18">
        <f>MAX(0, $A19-BU$4)*IF(RTD("tos.rtd",,"OPEN_INT","."&amp;$AB$3&amp;$AB$4&amp;"C"&amp;BU$4)="N/A",0,RTD("tos.rtd",,"OPEN_INT","."&amp;$AB$3&amp;$AB$4&amp;"C"&amp;BU$4))*100 + MAX(0, BU$4-$A19)*IF(RTD("tos.rtd",,"OPEN_INT","."&amp;$AB$3&amp;$AB$4&amp;"P"&amp;BU$4)="N/A",0,RTD("tos.rtd",,"OPEN_INT","."&amp;$AB$3&amp;$AB$4&amp;"P"&amp;BU$4))*100</f>
        <v>0</v>
      </c>
      <c r="BV19" s="18">
        <f>MAX(0, $A19-BV$4)*IF(RTD("tos.rtd",,"OPEN_INT","."&amp;$AB$3&amp;$AB$4&amp;"C"&amp;BV$4)="N/A",0,RTD("tos.rtd",,"OPEN_INT","."&amp;$AB$3&amp;$AB$4&amp;"C"&amp;BV$4))*100 + MAX(0, BV$4-$A19)*IF(RTD("tos.rtd",,"OPEN_INT","."&amp;$AB$3&amp;$AB$4&amp;"P"&amp;BV$4)="N/A",0,RTD("tos.rtd",,"OPEN_INT","."&amp;$AB$3&amp;$AB$4&amp;"P"&amp;BV$4))*100</f>
        <v>0</v>
      </c>
      <c r="BW19" s="18">
        <f>MAX(0, $A19-BW$4)*IF(RTD("tos.rtd",,"OPEN_INT","."&amp;$AB$3&amp;$AB$4&amp;"C"&amp;BW$4)="N/A",0,RTD("tos.rtd",,"OPEN_INT","."&amp;$AB$3&amp;$AB$4&amp;"C"&amp;BW$4))*100 + MAX(0, BW$4-$A19)*IF(RTD("tos.rtd",,"OPEN_INT","."&amp;$AB$3&amp;$AB$4&amp;"P"&amp;BW$4)="N/A",0,RTD("tos.rtd",,"OPEN_INT","."&amp;$AB$3&amp;$AB$4&amp;"P"&amp;BW$4))*100</f>
        <v>0</v>
      </c>
    </row>
    <row r="20" spans="1:75" s="19" customFormat="1" ht="11.1" customHeight="1" thickBot="1" x14ac:dyDescent="0.3">
      <c r="A20" s="23">
        <f t="shared" si="7"/>
        <v>14</v>
      </c>
      <c r="B20" s="14">
        <f ca="1">IF($A$2="PREMIUM_OI",IFERROR(IF($X$1="ABS",(100*RTD("tos.rtd",,"OPEN_INT","."&amp;B$2&amp;B$1&amp;"C"&amp;$A20)*RTD("tos.rtd",,"LAST","."&amp;B$2&amp;B$1&amp;"C"&amp;$A20)+100*RTD("tos.rtd",,"OPEN_INT","."&amp;B$2&amp;B$1&amp;"P"&amp;$A20)*RTD("tos.rtd",,"LAST","."&amp;B$2&amp;B$1&amp;"P"&amp;$A20))/1000000,(100*RTD("tos.rtd",,"OPEN_INT","."&amp;B$2&amp;B$1&amp;"C"&amp;$A20)*RTD("tos.rtd",,"LAST","."&amp;B$2&amp;B$1&amp;"C"&amp;$A20)-100*RTD("tos.rtd",,"OPEN_INT","."&amp;B$2&amp;B$1&amp;"P"&amp;$A20)*RTD("tos.rtd",,"LAST","."&amp;B$2&amp;B$1&amp;"P"&amp;$A20))/1000000),0),IF($A$2="PREMIUM",IFERROR(IF($X$1="ABS",(100*RTD("tos.rtd",,"VOLUME","."&amp;B$2&amp;B$1&amp;"C"&amp;$A20)*RTD("tos.rtd",,"LAST","."&amp;B$2&amp;B$1&amp;"C"&amp;$A20)+100*RTD("tos.rtd",,"VOLUME","."&amp;B$2&amp;B$1&amp;"P"&amp;$A20)*RTD("tos.rtd",,"LAST","."&amp;B$2&amp;B$1&amp;"P"&amp;$A20))/1000000,(100*RTD("tos.rtd",,"VOLUME","."&amp;B$2&amp;B$1&amp;"C"&amp;$A20)*RTD("tos.rtd",,"LAST","."&amp;B$2&amp;B$1&amp;"C"&amp;$A20)-100*RTD("tos.rtd",,"VOLUME","."&amp;B$2&amp;B$1&amp;"P"&amp;$A20)*RTD("tos.rtd",,"LAST","."&amp;B$2&amp;B$1&amp;"P"&amp;$A20))/1000000),0),IF($A$2="DEX",IFERROR(IF($X$1="ABS",(100*RTD("tos.rtd",,"OPEN_INT","."&amp;B$2&amp;B$1&amp;"C"&amp;$A20)*RTD("tos.rtd",,"DELTA","."&amp;B$2&amp;B$1&amp;"C"&amp;$A20)+100*RTD("tos.rtd",,"OPEN_INT","."&amp;B$2&amp;B$1&amp;"P"&amp;$A20)*RTD("tos.rtd",,"DELTA","."&amp;B$2&amp;B$1&amp;"P"&amp;$A20))/1000,(100*RTD("tos.rtd",,"OPEN_INT","."&amp;B$2&amp;B$1&amp;"C"&amp;$A20)*RTD("tos.rtd",,"DELTA","."&amp;B$2&amp;B$1&amp;"C"&amp;$A20)-100*RTD("tos.rtd",,"OPEN_INT","."&amp;B$2&amp;B$1&amp;"P"&amp;$A20)*RTD("tos.rtd",,"DELTA","."&amp;B$2&amp;B$1&amp;"P"&amp;$A20))/1000),0),IF($A$2="VEX",IFERROR(IF($X$1="ABS",($A$4*$A$4*RTD("tos.rtd",,"VOLUME","."&amp;B$2&amp;B$1&amp;"C"&amp;$A20)*RTD("tos.rtd",,"GAMMA","."&amp;B$2&amp;B$1&amp;"C"&amp;$A20)+$A$4*$A$4*RTD("tos.rtd",,"VOLUME","."&amp;B$2&amp;B$1&amp;"P"&amp;$A20)*RTD("tos.rtd",,"GAMMA","."&amp;B$2&amp;B$1&amp;"P"&amp;$A20))/1000000,($A$4*$A$4*RTD("tos.rtd",,"VOLUME","."&amp;B$2&amp;B$1&amp;"C"&amp;$A20)*RTD("tos.rtd",,"GAMMA","."&amp;B$2&amp;B$1&amp;"C"&amp;$A20)-$A$4*$A$4*RTD("tos.rtd",,"VOLUME","."&amp;B$2&amp;B$1&amp;"P"&amp;$A20)*RTD("tos.rtd",,"GAMMA","."&amp;B$2&amp;B$1&amp;"P"&amp;$A20))/1000000),0),IF($A$2="GEX",IFERROR(IF($X$1="ABS",($A$4*$A$4*RTD("tos.rtd",,"OPEN_INT","."&amp;B$2&amp;B$1&amp;"C"&amp;$A20)*RTD("tos.rtd",,"GAMMA","."&amp;B$2&amp;B$1&amp;"C"&amp;$A20)+$A$4*$A$4*RTD("tos.rtd",,"OPEN_INT","."&amp;B$2&amp;B$1&amp;"P"&amp;$A20)*RTD("tos.rtd",,"GAMMA","."&amp;B$2&amp;B$1&amp;"P"&amp;$A20))/1000000,($A$4*$A$4*RTD("tos.rtd",,"OPEN_INT","."&amp;B$2&amp;B$1&amp;"C"&amp;$A20)*RTD("tos.rtd",,"GAMMA","."&amp;B$2&amp;B$1&amp;"C"&amp;$A20)-$A$4*$A$4*RTD("tos.rtd",,"OPEN_INT","."&amp;B$2&amp;B$1&amp;"P"&amp;$A20)*RTD("tos.rtd",,"GAMMA","."&amp;B$2&amp;B$1&amp;"P"&amp;$A20))/1000000),0),IF($A$2="SKEW",IFERROR(VALUE(IF(RTD("tos.rtd",,"IMPL_VOL","."&amp;B$2&amp;B$1&amp;"P"&amp;$A20)="N/A",0,RTD("tos.rtd",,"IMPL_VOL","."&amp;B$2&amp;B$1&amp;"P"&amp;$A20))),0)-IFERROR(VALUE(IF(RTD("tos.rtd",,"IMPL_VOL","."&amp;B$2&amp;B$1&amp;"C"&amp;$A20)="N/A",0,RTD("tos.rtd",,"IMPL_VOL","."&amp;B$2&amp;B$1&amp;"C"&amp;$A20))),0),IF($A$2="MAXPAIN",IF($A$4&gt;$A20,($A$4-$A20)*IF(RTD("tos.rtd",,"OPEN_INT","."&amp;B$2&amp;B$1&amp;"C"&amp;$A20)="N/A",0,RTD("tos.rtd",,"OPEN_INT","."&amp;B$2&amp;B$1&amp;"C"&amp;$A20)),0)+IF($A$4&lt;$A20,($A$5-$A$4)*IF(RTD("tos.rtd",,"OPEN_INT","."&amp;B$2&amp;B$1&amp;"P"&amp;$A20)="N/A",0,RTD("tos.rtd",,"OPEN_INT","."&amp;B$2&amp;B$1&amp;"P"&amp;$A20)),0),IF($X$1="ABS",IF(RTD("tos.rtd",,$A$2,"."&amp;B$2&amp;B$1&amp;"C"&amp;$A20)="N/A",0,RTD("tos.rtd",,$A$2,"."&amp;B$2&amp;B$1&amp;"C"&amp;$A20))+IF(RTD("tos.rtd",,$A$2,"."&amp;B$2&amp;B$1&amp;"P"&amp;$A20)="N/A",0,RTD("tos.rtd",,$A$2,"."&amp;B$2&amp;B$1&amp;"P"&amp;$A20)),IF(RTD("tos.rtd",,$A$2,"."&amp;B$2&amp;B$1&amp;"C"&amp;$A20)="N/A",0,RTD("tos.rtd",,$A$2,"."&amp;B$2&amp;B$1&amp;"C"&amp;$A20))-IF(RTD("tos.rtd",,$A$2,"."&amp;B$2&amp;B$1&amp;"P"&amp;$A20)="N/A",0,RTD("tos.rtd",,$A$2,"."&amp;B$2&amp;B$1&amp;"P"&amp;$A20))))))))))</f>
        <v>0</v>
      </c>
      <c r="C20" s="14">
        <f ca="1">IF($A$2="PREMIUM_OI",IFERROR(IF($X$1="ABS",(100*RTD("tos.rtd",,"OPEN_INT","."&amp;C$2&amp;C$1&amp;"C"&amp;$A20)*RTD("tos.rtd",,"LAST","."&amp;C$2&amp;C$1&amp;"C"&amp;$A20)+100*RTD("tos.rtd",,"OPEN_INT","."&amp;C$2&amp;C$1&amp;"P"&amp;$A20)*RTD("tos.rtd",,"LAST","."&amp;C$2&amp;C$1&amp;"P"&amp;$A20))/1000000,(100*RTD("tos.rtd",,"OPEN_INT","."&amp;C$2&amp;C$1&amp;"C"&amp;$A20)*RTD("tos.rtd",,"LAST","."&amp;C$2&amp;C$1&amp;"C"&amp;$A20)-100*RTD("tos.rtd",,"OPEN_INT","."&amp;C$2&amp;C$1&amp;"P"&amp;$A20)*RTD("tos.rtd",,"LAST","."&amp;C$2&amp;C$1&amp;"P"&amp;$A20))/1000000),0),IF($A$2="PREMIUM",IFERROR(IF($X$1="ABS",(100*RTD("tos.rtd",,"VOLUME","."&amp;C$2&amp;C$1&amp;"C"&amp;$A20)*RTD("tos.rtd",,"LAST","."&amp;C$2&amp;C$1&amp;"C"&amp;$A20)+100*RTD("tos.rtd",,"VOLUME","."&amp;C$2&amp;C$1&amp;"P"&amp;$A20)*RTD("tos.rtd",,"LAST","."&amp;C$2&amp;C$1&amp;"P"&amp;$A20))/1000000,(100*RTD("tos.rtd",,"VOLUME","."&amp;C$2&amp;C$1&amp;"C"&amp;$A20)*RTD("tos.rtd",,"LAST","."&amp;C$2&amp;C$1&amp;"C"&amp;$A20)-100*RTD("tos.rtd",,"VOLUME","."&amp;C$2&amp;C$1&amp;"P"&amp;$A20)*RTD("tos.rtd",,"LAST","."&amp;C$2&amp;C$1&amp;"P"&amp;$A20))/1000000),0),IF($A$2="DEX",IFERROR(IF($X$1="ABS",(100*RTD("tos.rtd",,"OPEN_INT","."&amp;C$2&amp;C$1&amp;"C"&amp;$A20)*RTD("tos.rtd",,"DELTA","."&amp;C$2&amp;C$1&amp;"C"&amp;$A20)+100*RTD("tos.rtd",,"OPEN_INT","."&amp;C$2&amp;C$1&amp;"P"&amp;$A20)*RTD("tos.rtd",,"DELTA","."&amp;C$2&amp;C$1&amp;"P"&amp;$A20))/1000,(100*RTD("tos.rtd",,"OPEN_INT","."&amp;C$2&amp;C$1&amp;"C"&amp;$A20)*RTD("tos.rtd",,"DELTA","."&amp;C$2&amp;C$1&amp;"C"&amp;$A20)-100*RTD("tos.rtd",,"OPEN_INT","."&amp;C$2&amp;C$1&amp;"P"&amp;$A20)*RTD("tos.rtd",,"DELTA","."&amp;C$2&amp;C$1&amp;"P"&amp;$A20))/1000),0),IF($A$2="VEX",IFERROR(IF($X$1="ABS",($A$4*$A$4*RTD("tos.rtd",,"VOLUME","."&amp;C$2&amp;C$1&amp;"C"&amp;$A20)*RTD("tos.rtd",,"GAMMA","."&amp;C$2&amp;C$1&amp;"C"&amp;$A20)+$A$4*$A$4*RTD("tos.rtd",,"VOLUME","."&amp;C$2&amp;C$1&amp;"P"&amp;$A20)*RTD("tos.rtd",,"GAMMA","."&amp;C$2&amp;C$1&amp;"P"&amp;$A20))/1000000,($A$4*$A$4*RTD("tos.rtd",,"VOLUME","."&amp;C$2&amp;C$1&amp;"C"&amp;$A20)*RTD("tos.rtd",,"GAMMA","."&amp;C$2&amp;C$1&amp;"C"&amp;$A20)-$A$4*$A$4*RTD("tos.rtd",,"VOLUME","."&amp;C$2&amp;C$1&amp;"P"&amp;$A20)*RTD("tos.rtd",,"GAMMA","."&amp;C$2&amp;C$1&amp;"P"&amp;$A20))/1000000),0),IF($A$2="GEX",IFERROR(IF($X$1="ABS",($A$4*$A$4*RTD("tos.rtd",,"OPEN_INT","."&amp;C$2&amp;C$1&amp;"C"&amp;$A20)*RTD("tos.rtd",,"GAMMA","."&amp;C$2&amp;C$1&amp;"C"&amp;$A20)+$A$4*$A$4*RTD("tos.rtd",,"OPEN_INT","."&amp;C$2&amp;C$1&amp;"P"&amp;$A20)*RTD("tos.rtd",,"GAMMA","."&amp;C$2&amp;C$1&amp;"P"&amp;$A20))/1000000,($A$4*$A$4*RTD("tos.rtd",,"OPEN_INT","."&amp;C$2&amp;C$1&amp;"C"&amp;$A20)*RTD("tos.rtd",,"GAMMA","."&amp;C$2&amp;C$1&amp;"C"&amp;$A20)-$A$4*$A$4*RTD("tos.rtd",,"OPEN_INT","."&amp;C$2&amp;C$1&amp;"P"&amp;$A20)*RTD("tos.rtd",,"GAMMA","."&amp;C$2&amp;C$1&amp;"P"&amp;$A20))/1000000),0),IF($A$2="SKEW",IFERROR(VALUE(IF(RTD("tos.rtd",,"IMPL_VOL","."&amp;C$2&amp;C$1&amp;"P"&amp;$A20)="N/A",0,RTD("tos.rtd",,"IMPL_VOL","."&amp;C$2&amp;C$1&amp;"P"&amp;$A20))),0)-IFERROR(VALUE(IF(RTD("tos.rtd",,"IMPL_VOL","."&amp;C$2&amp;C$1&amp;"C"&amp;$A20)="N/A",0,RTD("tos.rtd",,"IMPL_VOL","."&amp;C$2&amp;C$1&amp;"C"&amp;$A20))),0),IF($A$2="MAXPAIN",IF($A$4&gt;$A20,($A$4-$A20)*IF(RTD("tos.rtd",,"OPEN_INT","."&amp;C$2&amp;C$1&amp;"C"&amp;$A20)="N/A",0,RTD("tos.rtd",,"OPEN_INT","."&amp;C$2&amp;C$1&amp;"C"&amp;$A20)),0)+IF($A$4&lt;$A20,($A$5-$A$4)*IF(RTD("tos.rtd",,"OPEN_INT","."&amp;C$2&amp;C$1&amp;"P"&amp;$A20)="N/A",0,RTD("tos.rtd",,"OPEN_INT","."&amp;C$2&amp;C$1&amp;"P"&amp;$A20)),0),IF($X$1="ABS",IF(RTD("tos.rtd",,$A$2,"."&amp;C$2&amp;C$1&amp;"C"&amp;$A20)="N/A",0,RTD("tos.rtd",,$A$2,"."&amp;C$2&amp;C$1&amp;"C"&amp;$A20))+IF(RTD("tos.rtd",,$A$2,"."&amp;C$2&amp;C$1&amp;"P"&amp;$A20)="N/A",0,RTD("tos.rtd",,$A$2,"."&amp;C$2&amp;C$1&amp;"P"&amp;$A20)),IF(RTD("tos.rtd",,$A$2,"."&amp;C$2&amp;C$1&amp;"C"&amp;$A20)="N/A",0,RTD("tos.rtd",,$A$2,"."&amp;C$2&amp;C$1&amp;"C"&amp;$A20))-IF(RTD("tos.rtd",,$A$2,"."&amp;C$2&amp;C$1&amp;"P"&amp;$A20)="N/A",0,RTD("tos.rtd",,$A$2,"."&amp;C$2&amp;C$1&amp;"P"&amp;$A20))))))))))</f>
        <v>0</v>
      </c>
      <c r="D20" s="12">
        <f ca="1">IF($A$2="PREMIUM_OI",IFERROR(IF($X$1="ABS",(100*RTD("tos.rtd",,"OPEN_INT","."&amp;D$2&amp;D$1&amp;"C"&amp;$A20)*RTD("tos.rtd",,"LAST","."&amp;D$2&amp;D$1&amp;"C"&amp;$A20)+100*RTD("tos.rtd",,"OPEN_INT","."&amp;D$2&amp;D$1&amp;"P"&amp;$A20)*RTD("tos.rtd",,"LAST","."&amp;D$2&amp;D$1&amp;"P"&amp;$A20))/1000000,(100*RTD("tos.rtd",,"OPEN_INT","."&amp;D$2&amp;D$1&amp;"C"&amp;$A20)*RTD("tos.rtd",,"LAST","."&amp;D$2&amp;D$1&amp;"C"&amp;$A20)-100*RTD("tos.rtd",,"OPEN_INT","."&amp;D$2&amp;D$1&amp;"P"&amp;$A20)*RTD("tos.rtd",,"LAST","."&amp;D$2&amp;D$1&amp;"P"&amp;$A20))/1000000),0),IF($A$2="PREMIUM",IFERROR(IF($X$1="ABS",(100*RTD("tos.rtd",,"VOLUME","."&amp;D$2&amp;D$1&amp;"C"&amp;$A20)*RTD("tos.rtd",,"LAST","."&amp;D$2&amp;D$1&amp;"C"&amp;$A20)+100*RTD("tos.rtd",,"VOLUME","."&amp;D$2&amp;D$1&amp;"P"&amp;$A20)*RTD("tos.rtd",,"LAST","."&amp;D$2&amp;D$1&amp;"P"&amp;$A20))/1000000,(100*RTD("tos.rtd",,"VOLUME","."&amp;D$2&amp;D$1&amp;"C"&amp;$A20)*RTD("tos.rtd",,"LAST","."&amp;D$2&amp;D$1&amp;"C"&amp;$A20)-100*RTD("tos.rtd",,"VOLUME","."&amp;D$2&amp;D$1&amp;"P"&amp;$A20)*RTD("tos.rtd",,"LAST","."&amp;D$2&amp;D$1&amp;"P"&amp;$A20))/1000000),0),IF($A$2="DEX",IFERROR(IF($X$1="ABS",(100*RTD("tos.rtd",,"OPEN_INT","."&amp;D$2&amp;D$1&amp;"C"&amp;$A20)*RTD("tos.rtd",,"DELTA","."&amp;D$2&amp;D$1&amp;"C"&amp;$A20)+100*RTD("tos.rtd",,"OPEN_INT","."&amp;D$2&amp;D$1&amp;"P"&amp;$A20)*RTD("tos.rtd",,"DELTA","."&amp;D$2&amp;D$1&amp;"P"&amp;$A20))/1000,(100*RTD("tos.rtd",,"OPEN_INT","."&amp;D$2&amp;D$1&amp;"C"&amp;$A20)*RTD("tos.rtd",,"DELTA","."&amp;D$2&amp;D$1&amp;"C"&amp;$A20)-100*RTD("tos.rtd",,"OPEN_INT","."&amp;D$2&amp;D$1&amp;"P"&amp;$A20)*RTD("tos.rtd",,"DELTA","."&amp;D$2&amp;D$1&amp;"P"&amp;$A20))/1000),0),IF($A$2="VEX",IFERROR(IF($X$1="ABS",($A$4*$A$4*RTD("tos.rtd",,"VOLUME","."&amp;D$2&amp;D$1&amp;"C"&amp;$A20)*RTD("tos.rtd",,"GAMMA","."&amp;D$2&amp;D$1&amp;"C"&amp;$A20)+$A$4*$A$4*RTD("tos.rtd",,"VOLUME","."&amp;D$2&amp;D$1&amp;"P"&amp;$A20)*RTD("tos.rtd",,"GAMMA","."&amp;D$2&amp;D$1&amp;"P"&amp;$A20))/1000000,($A$4*$A$4*RTD("tos.rtd",,"VOLUME","."&amp;D$2&amp;D$1&amp;"C"&amp;$A20)*RTD("tos.rtd",,"GAMMA","."&amp;D$2&amp;D$1&amp;"C"&amp;$A20)-$A$4*$A$4*RTD("tos.rtd",,"VOLUME","."&amp;D$2&amp;D$1&amp;"P"&amp;$A20)*RTD("tos.rtd",,"GAMMA","."&amp;D$2&amp;D$1&amp;"P"&amp;$A20))/1000000),0),IF($A$2="GEX",IFERROR(IF($X$1="ABS",($A$4*$A$4*RTD("tos.rtd",,"OPEN_INT","."&amp;D$2&amp;D$1&amp;"C"&amp;$A20)*RTD("tos.rtd",,"GAMMA","."&amp;D$2&amp;D$1&amp;"C"&amp;$A20)+$A$4*$A$4*RTD("tos.rtd",,"OPEN_INT","."&amp;D$2&amp;D$1&amp;"P"&amp;$A20)*RTD("tos.rtd",,"GAMMA","."&amp;D$2&amp;D$1&amp;"P"&amp;$A20))/1000000,($A$4*$A$4*RTD("tos.rtd",,"OPEN_INT","."&amp;D$2&amp;D$1&amp;"C"&amp;$A20)*RTD("tos.rtd",,"GAMMA","."&amp;D$2&amp;D$1&amp;"C"&amp;$A20)-$A$4*$A$4*RTD("tos.rtd",,"OPEN_INT","."&amp;D$2&amp;D$1&amp;"P"&amp;$A20)*RTD("tos.rtd",,"GAMMA","."&amp;D$2&amp;D$1&amp;"P"&amp;$A20))/1000000),0),IF($A$2="SKEW",IFERROR(VALUE(IF(RTD("tos.rtd",,"IMPL_VOL","."&amp;D$2&amp;D$1&amp;"P"&amp;$A20)="N/A",0,RTD("tos.rtd",,"IMPL_VOL","."&amp;D$2&amp;D$1&amp;"P"&amp;$A20))),0)-IFERROR(VALUE(IF(RTD("tos.rtd",,"IMPL_VOL","."&amp;D$2&amp;D$1&amp;"C"&amp;$A20)="N/A",0,RTD("tos.rtd",,"IMPL_VOL","."&amp;D$2&amp;D$1&amp;"C"&amp;$A20))),0),IF($A$2="MAXPAIN",IF($A$4&gt;$A20,($A$4-$A20)*IF(RTD("tos.rtd",,"OPEN_INT","."&amp;D$2&amp;D$1&amp;"C"&amp;$A20)="N/A",0,RTD("tos.rtd",,"OPEN_INT","."&amp;D$2&amp;D$1&amp;"C"&amp;$A20)),0)+IF($A$4&lt;$A20,($A$5-$A$4)*IF(RTD("tos.rtd",,"OPEN_INT","."&amp;D$2&amp;D$1&amp;"P"&amp;$A20)="N/A",0,RTD("tos.rtd",,"OPEN_INT","."&amp;D$2&amp;D$1&amp;"P"&amp;$A20)),0),IF($X$1="ABS",IF(RTD("tos.rtd",,$A$2,"."&amp;D$2&amp;D$1&amp;"C"&amp;$A20)="N/A",0,RTD("tos.rtd",,$A$2,"."&amp;D$2&amp;D$1&amp;"C"&amp;$A20))+IF(RTD("tos.rtd",,$A$2,"."&amp;D$2&amp;D$1&amp;"P"&amp;$A20)="N/A",0,RTD("tos.rtd",,$A$2,"."&amp;D$2&amp;D$1&amp;"P"&amp;$A20)),IF(RTD("tos.rtd",,$A$2,"."&amp;D$2&amp;D$1&amp;"C"&amp;$A20)="N/A",0,RTD("tos.rtd",,$A$2,"."&amp;D$2&amp;D$1&amp;"C"&amp;$A20))-IF(RTD("tos.rtd",,$A$2,"."&amp;D$2&amp;D$1&amp;"P"&amp;$A20)="N/A",0,RTD("tos.rtd",,$A$2,"."&amp;D$2&amp;D$1&amp;"P"&amp;$A20))))))))))</f>
        <v>0</v>
      </c>
      <c r="E20" s="12">
        <f ca="1">IF($A$2="PREMIUM_OI",IFERROR(IF($X$1="ABS",(100*RTD("tos.rtd",,"OPEN_INT","."&amp;E$2&amp;E$1&amp;"C"&amp;$A20)*RTD("tos.rtd",,"LAST","."&amp;E$2&amp;E$1&amp;"C"&amp;$A20)+100*RTD("tos.rtd",,"OPEN_INT","."&amp;E$2&amp;E$1&amp;"P"&amp;$A20)*RTD("tos.rtd",,"LAST","."&amp;E$2&amp;E$1&amp;"P"&amp;$A20))/1000000,(100*RTD("tos.rtd",,"OPEN_INT","."&amp;E$2&amp;E$1&amp;"C"&amp;$A20)*RTD("tos.rtd",,"LAST","."&amp;E$2&amp;E$1&amp;"C"&amp;$A20)-100*RTD("tos.rtd",,"OPEN_INT","."&amp;E$2&amp;E$1&amp;"P"&amp;$A20)*RTD("tos.rtd",,"LAST","."&amp;E$2&amp;E$1&amp;"P"&amp;$A20))/1000000),0),IF($A$2="PREMIUM",IFERROR(IF($X$1="ABS",(100*RTD("tos.rtd",,"VOLUME","."&amp;E$2&amp;E$1&amp;"C"&amp;$A20)*RTD("tos.rtd",,"LAST","."&amp;E$2&amp;E$1&amp;"C"&amp;$A20)+100*RTD("tos.rtd",,"VOLUME","."&amp;E$2&amp;E$1&amp;"P"&amp;$A20)*RTD("tos.rtd",,"LAST","."&amp;E$2&amp;E$1&amp;"P"&amp;$A20))/1000000,(100*RTD("tos.rtd",,"VOLUME","."&amp;E$2&amp;E$1&amp;"C"&amp;$A20)*RTD("tos.rtd",,"LAST","."&amp;E$2&amp;E$1&amp;"C"&amp;$A20)-100*RTD("tos.rtd",,"VOLUME","."&amp;E$2&amp;E$1&amp;"P"&amp;$A20)*RTD("tos.rtd",,"LAST","."&amp;E$2&amp;E$1&amp;"P"&amp;$A20))/1000000),0),IF($A$2="DEX",IFERROR(IF($X$1="ABS",(100*RTD("tos.rtd",,"OPEN_INT","."&amp;E$2&amp;E$1&amp;"C"&amp;$A20)*RTD("tos.rtd",,"DELTA","."&amp;E$2&amp;E$1&amp;"C"&amp;$A20)+100*RTD("tos.rtd",,"OPEN_INT","."&amp;E$2&amp;E$1&amp;"P"&amp;$A20)*RTD("tos.rtd",,"DELTA","."&amp;E$2&amp;E$1&amp;"P"&amp;$A20))/1000,(100*RTD("tos.rtd",,"OPEN_INT","."&amp;E$2&amp;E$1&amp;"C"&amp;$A20)*RTD("tos.rtd",,"DELTA","."&amp;E$2&amp;E$1&amp;"C"&amp;$A20)-100*RTD("tos.rtd",,"OPEN_INT","."&amp;E$2&amp;E$1&amp;"P"&amp;$A20)*RTD("tos.rtd",,"DELTA","."&amp;E$2&amp;E$1&amp;"P"&amp;$A20))/1000),0),IF($A$2="VEX",IFERROR(IF($X$1="ABS",($A$4*$A$4*RTD("tos.rtd",,"VOLUME","."&amp;E$2&amp;E$1&amp;"C"&amp;$A20)*RTD("tos.rtd",,"GAMMA","."&amp;E$2&amp;E$1&amp;"C"&amp;$A20)+$A$4*$A$4*RTD("tos.rtd",,"VOLUME","."&amp;E$2&amp;E$1&amp;"P"&amp;$A20)*RTD("tos.rtd",,"GAMMA","."&amp;E$2&amp;E$1&amp;"P"&amp;$A20))/1000000,($A$4*$A$4*RTD("tos.rtd",,"VOLUME","."&amp;E$2&amp;E$1&amp;"C"&amp;$A20)*RTD("tos.rtd",,"GAMMA","."&amp;E$2&amp;E$1&amp;"C"&amp;$A20)-$A$4*$A$4*RTD("tos.rtd",,"VOLUME","."&amp;E$2&amp;E$1&amp;"P"&amp;$A20)*RTD("tos.rtd",,"GAMMA","."&amp;E$2&amp;E$1&amp;"P"&amp;$A20))/1000000),0),IF($A$2="GEX",IFERROR(IF($X$1="ABS",($A$4*$A$4*RTD("tos.rtd",,"OPEN_INT","."&amp;E$2&amp;E$1&amp;"C"&amp;$A20)*RTD("tos.rtd",,"GAMMA","."&amp;E$2&amp;E$1&amp;"C"&amp;$A20)+$A$4*$A$4*RTD("tos.rtd",,"OPEN_INT","."&amp;E$2&amp;E$1&amp;"P"&amp;$A20)*RTD("tos.rtd",,"GAMMA","."&amp;E$2&amp;E$1&amp;"P"&amp;$A20))/1000000,($A$4*$A$4*RTD("tos.rtd",,"OPEN_INT","."&amp;E$2&amp;E$1&amp;"C"&amp;$A20)*RTD("tos.rtd",,"GAMMA","."&amp;E$2&amp;E$1&amp;"C"&amp;$A20)-$A$4*$A$4*RTD("tos.rtd",,"OPEN_INT","."&amp;E$2&amp;E$1&amp;"P"&amp;$A20)*RTD("tos.rtd",,"GAMMA","."&amp;E$2&amp;E$1&amp;"P"&amp;$A20))/1000000),0),IF($A$2="SKEW",IFERROR(VALUE(IF(RTD("tos.rtd",,"IMPL_VOL","."&amp;E$2&amp;E$1&amp;"P"&amp;$A20)="N/A",0,RTD("tos.rtd",,"IMPL_VOL","."&amp;E$2&amp;E$1&amp;"P"&amp;$A20))),0)-IFERROR(VALUE(IF(RTD("tos.rtd",,"IMPL_VOL","."&amp;E$2&amp;E$1&amp;"C"&amp;$A20)="N/A",0,RTD("tos.rtd",,"IMPL_VOL","."&amp;E$2&amp;E$1&amp;"C"&amp;$A20))),0),IF($A$2="MAXPAIN",IF($A$4&gt;$A20,($A$4-$A20)*IF(RTD("tos.rtd",,"OPEN_INT","."&amp;E$2&amp;E$1&amp;"C"&amp;$A20)="N/A",0,RTD("tos.rtd",,"OPEN_INT","."&amp;E$2&amp;E$1&amp;"C"&amp;$A20)),0)+IF($A$4&lt;$A20,($A$5-$A$4)*IF(RTD("tos.rtd",,"OPEN_INT","."&amp;E$2&amp;E$1&amp;"P"&amp;$A20)="N/A",0,RTD("tos.rtd",,"OPEN_INT","."&amp;E$2&amp;E$1&amp;"P"&amp;$A20)),0),IF($X$1="ABS",IF(RTD("tos.rtd",,$A$2,"."&amp;E$2&amp;E$1&amp;"C"&amp;$A20)="N/A",0,RTD("tos.rtd",,$A$2,"."&amp;E$2&amp;E$1&amp;"C"&amp;$A20))+IF(RTD("tos.rtd",,$A$2,"."&amp;E$2&amp;E$1&amp;"P"&amp;$A20)="N/A",0,RTD("tos.rtd",,$A$2,"."&amp;E$2&amp;E$1&amp;"P"&amp;$A20)),IF(RTD("tos.rtd",,$A$2,"."&amp;E$2&amp;E$1&amp;"C"&amp;$A20)="N/A",0,RTD("tos.rtd",,$A$2,"."&amp;E$2&amp;E$1&amp;"C"&amp;$A20))-IF(RTD("tos.rtd",,$A$2,"."&amp;E$2&amp;E$1&amp;"P"&amp;$A20)="N/A",0,RTD("tos.rtd",,$A$2,"."&amp;E$2&amp;E$1&amp;"P"&amp;$A20))))))))))</f>
        <v>0</v>
      </c>
      <c r="F20" s="12">
        <f ca="1">IF($A$2="PREMIUM_OI",IFERROR(IF($X$1="ABS",(100*RTD("tos.rtd",,"OPEN_INT","."&amp;F$2&amp;F$1&amp;"C"&amp;$A20)*RTD("tos.rtd",,"LAST","."&amp;F$2&amp;F$1&amp;"C"&amp;$A20)+100*RTD("tos.rtd",,"OPEN_INT","."&amp;F$2&amp;F$1&amp;"P"&amp;$A20)*RTD("tos.rtd",,"LAST","."&amp;F$2&amp;F$1&amp;"P"&amp;$A20))/1000000,(100*RTD("tos.rtd",,"OPEN_INT","."&amp;F$2&amp;F$1&amp;"C"&amp;$A20)*RTD("tos.rtd",,"LAST","."&amp;F$2&amp;F$1&amp;"C"&amp;$A20)-100*RTD("tos.rtd",,"OPEN_INT","."&amp;F$2&amp;F$1&amp;"P"&amp;$A20)*RTD("tos.rtd",,"LAST","."&amp;F$2&amp;F$1&amp;"P"&amp;$A20))/1000000),0),IF($A$2="PREMIUM",IFERROR(IF($X$1="ABS",(100*RTD("tos.rtd",,"VOLUME","."&amp;F$2&amp;F$1&amp;"C"&amp;$A20)*RTD("tos.rtd",,"LAST","."&amp;F$2&amp;F$1&amp;"C"&amp;$A20)+100*RTD("tos.rtd",,"VOLUME","."&amp;F$2&amp;F$1&amp;"P"&amp;$A20)*RTD("tos.rtd",,"LAST","."&amp;F$2&amp;F$1&amp;"P"&amp;$A20))/1000000,(100*RTD("tos.rtd",,"VOLUME","."&amp;F$2&amp;F$1&amp;"C"&amp;$A20)*RTD("tos.rtd",,"LAST","."&amp;F$2&amp;F$1&amp;"C"&amp;$A20)-100*RTD("tos.rtd",,"VOLUME","."&amp;F$2&amp;F$1&amp;"P"&amp;$A20)*RTD("tos.rtd",,"LAST","."&amp;F$2&amp;F$1&amp;"P"&amp;$A20))/1000000),0),IF($A$2="DEX",IFERROR(IF($X$1="ABS",(100*RTD("tos.rtd",,"OPEN_INT","."&amp;F$2&amp;F$1&amp;"C"&amp;$A20)*RTD("tos.rtd",,"DELTA","."&amp;F$2&amp;F$1&amp;"C"&amp;$A20)+100*RTD("tos.rtd",,"OPEN_INT","."&amp;F$2&amp;F$1&amp;"P"&amp;$A20)*RTD("tos.rtd",,"DELTA","."&amp;F$2&amp;F$1&amp;"P"&amp;$A20))/1000,(100*RTD("tos.rtd",,"OPEN_INT","."&amp;F$2&amp;F$1&amp;"C"&amp;$A20)*RTD("tos.rtd",,"DELTA","."&amp;F$2&amp;F$1&amp;"C"&amp;$A20)-100*RTD("tos.rtd",,"OPEN_INT","."&amp;F$2&amp;F$1&amp;"P"&amp;$A20)*RTD("tos.rtd",,"DELTA","."&amp;F$2&amp;F$1&amp;"P"&amp;$A20))/1000),0),IF($A$2="VEX",IFERROR(IF($X$1="ABS",($A$4*$A$4*RTD("tos.rtd",,"VOLUME","."&amp;F$2&amp;F$1&amp;"C"&amp;$A20)*RTD("tos.rtd",,"GAMMA","."&amp;F$2&amp;F$1&amp;"C"&amp;$A20)+$A$4*$A$4*RTD("tos.rtd",,"VOLUME","."&amp;F$2&amp;F$1&amp;"P"&amp;$A20)*RTD("tos.rtd",,"GAMMA","."&amp;F$2&amp;F$1&amp;"P"&amp;$A20))/1000000,($A$4*$A$4*RTD("tos.rtd",,"VOLUME","."&amp;F$2&amp;F$1&amp;"C"&amp;$A20)*RTD("tos.rtd",,"GAMMA","."&amp;F$2&amp;F$1&amp;"C"&amp;$A20)-$A$4*$A$4*RTD("tos.rtd",,"VOLUME","."&amp;F$2&amp;F$1&amp;"P"&amp;$A20)*RTD("tos.rtd",,"GAMMA","."&amp;F$2&amp;F$1&amp;"P"&amp;$A20))/1000000),0),IF($A$2="GEX",IFERROR(IF($X$1="ABS",($A$4*$A$4*RTD("tos.rtd",,"OPEN_INT","."&amp;F$2&amp;F$1&amp;"C"&amp;$A20)*RTD("tos.rtd",,"GAMMA","."&amp;F$2&amp;F$1&amp;"C"&amp;$A20)+$A$4*$A$4*RTD("tos.rtd",,"OPEN_INT","."&amp;F$2&amp;F$1&amp;"P"&amp;$A20)*RTD("tos.rtd",,"GAMMA","."&amp;F$2&amp;F$1&amp;"P"&amp;$A20))/1000000,($A$4*$A$4*RTD("tos.rtd",,"OPEN_INT","."&amp;F$2&amp;F$1&amp;"C"&amp;$A20)*RTD("tos.rtd",,"GAMMA","."&amp;F$2&amp;F$1&amp;"C"&amp;$A20)-$A$4*$A$4*RTD("tos.rtd",,"OPEN_INT","."&amp;F$2&amp;F$1&amp;"P"&amp;$A20)*RTD("tos.rtd",,"GAMMA","."&amp;F$2&amp;F$1&amp;"P"&amp;$A20))/1000000),0),IF($A$2="SKEW",IFERROR(VALUE(IF(RTD("tos.rtd",,"IMPL_VOL","."&amp;F$2&amp;F$1&amp;"P"&amp;$A20)="N/A",0,RTD("tos.rtd",,"IMPL_VOL","."&amp;F$2&amp;F$1&amp;"P"&amp;$A20))),0)-IFERROR(VALUE(IF(RTD("tos.rtd",,"IMPL_VOL","."&amp;F$2&amp;F$1&amp;"C"&amp;$A20)="N/A",0,RTD("tos.rtd",,"IMPL_VOL","."&amp;F$2&amp;F$1&amp;"C"&amp;$A20))),0),IF($A$2="MAXPAIN",IF($A$4&gt;$A20,($A$4-$A20)*IF(RTD("tos.rtd",,"OPEN_INT","."&amp;F$2&amp;F$1&amp;"C"&amp;$A20)="N/A",0,RTD("tos.rtd",,"OPEN_INT","."&amp;F$2&amp;F$1&amp;"C"&amp;$A20)),0)+IF($A$4&lt;$A20,($A$5-$A$4)*IF(RTD("tos.rtd",,"OPEN_INT","."&amp;F$2&amp;F$1&amp;"P"&amp;$A20)="N/A",0,RTD("tos.rtd",,"OPEN_INT","."&amp;F$2&amp;F$1&amp;"P"&amp;$A20)),0),IF($X$1="ABS",IF(RTD("tos.rtd",,$A$2,"."&amp;F$2&amp;F$1&amp;"C"&amp;$A20)="N/A",0,RTD("tos.rtd",,$A$2,"."&amp;F$2&amp;F$1&amp;"C"&amp;$A20))+IF(RTD("tos.rtd",,$A$2,"."&amp;F$2&amp;F$1&amp;"P"&amp;$A20)="N/A",0,RTD("tos.rtd",,$A$2,"."&amp;F$2&amp;F$1&amp;"P"&amp;$A20)),IF(RTD("tos.rtd",,$A$2,"."&amp;F$2&amp;F$1&amp;"C"&amp;$A20)="N/A",0,RTD("tos.rtd",,$A$2,"."&amp;F$2&amp;F$1&amp;"C"&amp;$A20))-IF(RTD("tos.rtd",,$A$2,"."&amp;F$2&amp;F$1&amp;"P"&amp;$A20)="N/A",0,RTD("tos.rtd",,$A$2,"."&amp;F$2&amp;F$1&amp;"P"&amp;$A20))))))))))</f>
        <v>0</v>
      </c>
      <c r="G20" s="54">
        <f ca="1">IF($A$2="PREMIUM_OI",IFERROR(IF($X$1="ABS",(100*RTD("tos.rtd",,"OPEN_INT","."&amp;G$2&amp;G$1&amp;"C"&amp;$A20)*RTD("tos.rtd",,"LAST","."&amp;G$2&amp;G$1&amp;"C"&amp;$A20)+100*RTD("tos.rtd",,"OPEN_INT","."&amp;G$2&amp;G$1&amp;"P"&amp;$A20)*RTD("tos.rtd",,"LAST","."&amp;G$2&amp;G$1&amp;"P"&amp;$A20))/1000000,(100*RTD("tos.rtd",,"OPEN_INT","."&amp;G$2&amp;G$1&amp;"C"&amp;$A20)*RTD("tos.rtd",,"LAST","."&amp;G$2&amp;G$1&amp;"C"&amp;$A20)-100*RTD("tos.rtd",,"OPEN_INT","."&amp;G$2&amp;G$1&amp;"P"&amp;$A20)*RTD("tos.rtd",,"LAST","."&amp;G$2&amp;G$1&amp;"P"&amp;$A20))/1000000),0),IF($A$2="PREMIUM",IFERROR(IF($X$1="ABS",(100*RTD("tos.rtd",,"VOLUME","."&amp;G$2&amp;G$1&amp;"C"&amp;$A20)*RTD("tos.rtd",,"LAST","."&amp;G$2&amp;G$1&amp;"C"&amp;$A20)+100*RTD("tos.rtd",,"VOLUME","."&amp;G$2&amp;G$1&amp;"P"&amp;$A20)*RTD("tos.rtd",,"LAST","."&amp;G$2&amp;G$1&amp;"P"&amp;$A20))/1000000,(100*RTD("tos.rtd",,"VOLUME","."&amp;G$2&amp;G$1&amp;"C"&amp;$A20)*RTD("tos.rtd",,"LAST","."&amp;G$2&amp;G$1&amp;"C"&amp;$A20)-100*RTD("tos.rtd",,"VOLUME","."&amp;G$2&amp;G$1&amp;"P"&amp;$A20)*RTD("tos.rtd",,"LAST","."&amp;G$2&amp;G$1&amp;"P"&amp;$A20))/1000000),0),IF($A$2="DEX",IFERROR(IF($X$1="ABS",(100*RTD("tos.rtd",,"OPEN_INT","."&amp;G$2&amp;G$1&amp;"C"&amp;$A20)*RTD("tos.rtd",,"DELTA","."&amp;G$2&amp;G$1&amp;"C"&amp;$A20)+100*RTD("tos.rtd",,"OPEN_INT","."&amp;G$2&amp;G$1&amp;"P"&amp;$A20)*RTD("tos.rtd",,"DELTA","."&amp;G$2&amp;G$1&amp;"P"&amp;$A20))/1000,(100*RTD("tos.rtd",,"OPEN_INT","."&amp;G$2&amp;G$1&amp;"C"&amp;$A20)*RTD("tos.rtd",,"DELTA","."&amp;G$2&amp;G$1&amp;"C"&amp;$A20)-100*RTD("tos.rtd",,"OPEN_INT","."&amp;G$2&amp;G$1&amp;"P"&amp;$A20)*RTD("tos.rtd",,"DELTA","."&amp;G$2&amp;G$1&amp;"P"&amp;$A20))/1000),0),IF($A$2="VEX",IFERROR(IF($X$1="ABS",($A$4*$A$4*RTD("tos.rtd",,"VOLUME","."&amp;G$2&amp;G$1&amp;"C"&amp;$A20)*RTD("tos.rtd",,"GAMMA","."&amp;G$2&amp;G$1&amp;"C"&amp;$A20)+$A$4*$A$4*RTD("tos.rtd",,"VOLUME","."&amp;G$2&amp;G$1&amp;"P"&amp;$A20)*RTD("tos.rtd",,"GAMMA","."&amp;G$2&amp;G$1&amp;"P"&amp;$A20))/1000000,($A$4*$A$4*RTD("tos.rtd",,"VOLUME","."&amp;G$2&amp;G$1&amp;"C"&amp;$A20)*RTD("tos.rtd",,"GAMMA","."&amp;G$2&amp;G$1&amp;"C"&amp;$A20)-$A$4*$A$4*RTD("tos.rtd",,"VOLUME","."&amp;G$2&amp;G$1&amp;"P"&amp;$A20)*RTD("tos.rtd",,"GAMMA","."&amp;G$2&amp;G$1&amp;"P"&amp;$A20))/1000000),0),IF($A$2="GEX",IFERROR(IF($X$1="ABS",($A$4*$A$4*RTD("tos.rtd",,"OPEN_INT","."&amp;G$2&amp;G$1&amp;"C"&amp;$A20)*RTD("tos.rtd",,"GAMMA","."&amp;G$2&amp;G$1&amp;"C"&amp;$A20)+$A$4*$A$4*RTD("tos.rtd",,"OPEN_INT","."&amp;G$2&amp;G$1&amp;"P"&amp;$A20)*RTD("tos.rtd",,"GAMMA","."&amp;G$2&amp;G$1&amp;"P"&amp;$A20))/1000000,($A$4*$A$4*RTD("tos.rtd",,"OPEN_INT","."&amp;G$2&amp;G$1&amp;"C"&amp;$A20)*RTD("tos.rtd",,"GAMMA","."&amp;G$2&amp;G$1&amp;"C"&amp;$A20)-$A$4*$A$4*RTD("tos.rtd",,"OPEN_INT","."&amp;G$2&amp;G$1&amp;"P"&amp;$A20)*RTD("tos.rtd",,"GAMMA","."&amp;G$2&amp;G$1&amp;"P"&amp;$A20))/1000000),0),IF($A$2="SKEW",IFERROR(VALUE(IF(RTD("tos.rtd",,"IMPL_VOL","."&amp;G$2&amp;G$1&amp;"P"&amp;$A20)="N/A",0,RTD("tos.rtd",,"IMPL_VOL","."&amp;G$2&amp;G$1&amp;"P"&amp;$A20))),0)-IFERROR(VALUE(IF(RTD("tos.rtd",,"IMPL_VOL","."&amp;G$2&amp;G$1&amp;"C"&amp;$A20)="N/A",0,RTD("tos.rtd",,"IMPL_VOL","."&amp;G$2&amp;G$1&amp;"C"&amp;$A20))),0),IF($A$2="MAXPAIN",IF($A$4&gt;$A20,($A$4-$A20)*IF(RTD("tos.rtd",,"OPEN_INT","."&amp;G$2&amp;G$1&amp;"C"&amp;$A20)="N/A",0,RTD("tos.rtd",,"OPEN_INT","."&amp;G$2&amp;G$1&amp;"C"&amp;$A20)),0)+IF($A$4&lt;$A20,($A$5-$A$4)*IF(RTD("tos.rtd",,"OPEN_INT","."&amp;G$2&amp;G$1&amp;"P"&amp;$A20)="N/A",0,RTD("tos.rtd",,"OPEN_INT","."&amp;G$2&amp;G$1&amp;"P"&amp;$A20)),0),IF($X$1="ABS",IF(RTD("tos.rtd",,$A$2,"."&amp;G$2&amp;G$1&amp;"C"&amp;$A20)="N/A",0,RTD("tos.rtd",,$A$2,"."&amp;G$2&amp;G$1&amp;"C"&amp;$A20))+IF(RTD("tos.rtd",,$A$2,"."&amp;G$2&amp;G$1&amp;"P"&amp;$A20)="N/A",0,RTD("tos.rtd",,$A$2,"."&amp;G$2&amp;G$1&amp;"P"&amp;$A20)),IF(RTD("tos.rtd",,$A$2,"."&amp;G$2&amp;G$1&amp;"C"&amp;$A20)="N/A",0,RTD("tos.rtd",,$A$2,"."&amp;G$2&amp;G$1&amp;"C"&amp;$A20))-IF(RTD("tos.rtd",,$A$2,"."&amp;G$2&amp;G$1&amp;"P"&amp;$A20)="N/A",0,RTD("tos.rtd",,$A$2,"."&amp;G$2&amp;G$1&amp;"P"&amp;$A20))))))))))</f>
        <v>0</v>
      </c>
      <c r="H20" s="14">
        <f ca="1">IF($A$2="PREMIUM_OI",IFERROR(IF($X$1="ABS",(100*RTD("tos.rtd",,"OPEN_INT","."&amp;H$2&amp;H$1&amp;"C"&amp;$A20)*RTD("tos.rtd",,"LAST","."&amp;H$2&amp;H$1&amp;"C"&amp;$A20)+100*RTD("tos.rtd",,"OPEN_INT","."&amp;H$2&amp;H$1&amp;"P"&amp;$A20)*RTD("tos.rtd",,"LAST","."&amp;H$2&amp;H$1&amp;"P"&amp;$A20))/1000000,(100*RTD("tos.rtd",,"OPEN_INT","."&amp;H$2&amp;H$1&amp;"C"&amp;$A20)*RTD("tos.rtd",,"LAST","."&amp;H$2&amp;H$1&amp;"C"&amp;$A20)-100*RTD("tos.rtd",,"OPEN_INT","."&amp;H$2&amp;H$1&amp;"P"&amp;$A20)*RTD("tos.rtd",,"LAST","."&amp;H$2&amp;H$1&amp;"P"&amp;$A20))/1000000),0),IF($A$2="PREMIUM",IFERROR(IF($X$1="ABS",(100*RTD("tos.rtd",,"VOLUME","."&amp;H$2&amp;H$1&amp;"C"&amp;$A20)*RTD("tos.rtd",,"LAST","."&amp;H$2&amp;H$1&amp;"C"&amp;$A20)+100*RTD("tos.rtd",,"VOLUME","."&amp;H$2&amp;H$1&amp;"P"&amp;$A20)*RTD("tos.rtd",,"LAST","."&amp;H$2&amp;H$1&amp;"P"&amp;$A20))/1000000,(100*RTD("tos.rtd",,"VOLUME","."&amp;H$2&amp;H$1&amp;"C"&amp;$A20)*RTD("tos.rtd",,"LAST","."&amp;H$2&amp;H$1&amp;"C"&amp;$A20)-100*RTD("tos.rtd",,"VOLUME","."&amp;H$2&amp;H$1&amp;"P"&amp;$A20)*RTD("tos.rtd",,"LAST","."&amp;H$2&amp;H$1&amp;"P"&amp;$A20))/1000000),0),IF($A$2="DEX",IFERROR(IF($X$1="ABS",(100*RTD("tos.rtd",,"OPEN_INT","."&amp;H$2&amp;H$1&amp;"C"&amp;$A20)*RTD("tos.rtd",,"DELTA","."&amp;H$2&amp;H$1&amp;"C"&amp;$A20)+100*RTD("tos.rtd",,"OPEN_INT","."&amp;H$2&amp;H$1&amp;"P"&amp;$A20)*RTD("tos.rtd",,"DELTA","."&amp;H$2&amp;H$1&amp;"P"&amp;$A20))/1000,(100*RTD("tos.rtd",,"OPEN_INT","."&amp;H$2&amp;H$1&amp;"C"&amp;$A20)*RTD("tos.rtd",,"DELTA","."&amp;H$2&amp;H$1&amp;"C"&amp;$A20)-100*RTD("tos.rtd",,"OPEN_INT","."&amp;H$2&amp;H$1&amp;"P"&amp;$A20)*RTD("tos.rtd",,"DELTA","."&amp;H$2&amp;H$1&amp;"P"&amp;$A20))/1000),0),IF($A$2="VEX",IFERROR(IF($X$1="ABS",($A$4*$A$4*RTD("tos.rtd",,"VOLUME","."&amp;H$2&amp;H$1&amp;"C"&amp;$A20)*RTD("tos.rtd",,"GAMMA","."&amp;H$2&amp;H$1&amp;"C"&amp;$A20)+$A$4*$A$4*RTD("tos.rtd",,"VOLUME","."&amp;H$2&amp;H$1&amp;"P"&amp;$A20)*RTD("tos.rtd",,"GAMMA","."&amp;H$2&amp;H$1&amp;"P"&amp;$A20))/1000000,($A$4*$A$4*RTD("tos.rtd",,"VOLUME","."&amp;H$2&amp;H$1&amp;"C"&amp;$A20)*RTD("tos.rtd",,"GAMMA","."&amp;H$2&amp;H$1&amp;"C"&amp;$A20)-$A$4*$A$4*RTD("tos.rtd",,"VOLUME","."&amp;H$2&amp;H$1&amp;"P"&amp;$A20)*RTD("tos.rtd",,"GAMMA","."&amp;H$2&amp;H$1&amp;"P"&amp;$A20))/1000000),0),IF($A$2="GEX",IFERROR(IF($X$1="ABS",($A$4*$A$4*RTD("tos.rtd",,"OPEN_INT","."&amp;H$2&amp;H$1&amp;"C"&amp;$A20)*RTD("tos.rtd",,"GAMMA","."&amp;H$2&amp;H$1&amp;"C"&amp;$A20)+$A$4*$A$4*RTD("tos.rtd",,"OPEN_INT","."&amp;H$2&amp;H$1&amp;"P"&amp;$A20)*RTD("tos.rtd",,"GAMMA","."&amp;H$2&amp;H$1&amp;"P"&amp;$A20))/1000000,($A$4*$A$4*RTD("tos.rtd",,"OPEN_INT","."&amp;H$2&amp;H$1&amp;"C"&amp;$A20)*RTD("tos.rtd",,"GAMMA","."&amp;H$2&amp;H$1&amp;"C"&amp;$A20)-$A$4*$A$4*RTD("tos.rtd",,"OPEN_INT","."&amp;H$2&amp;H$1&amp;"P"&amp;$A20)*RTD("tos.rtd",,"GAMMA","."&amp;H$2&amp;H$1&amp;"P"&amp;$A20))/1000000),0),IF($A$2="SKEW",IFERROR(VALUE(IF(RTD("tos.rtd",,"IMPL_VOL","."&amp;H$2&amp;H$1&amp;"P"&amp;$A20)="N/A",0,RTD("tos.rtd",,"IMPL_VOL","."&amp;H$2&amp;H$1&amp;"P"&amp;$A20))),0)-IFERROR(VALUE(IF(RTD("tos.rtd",,"IMPL_VOL","."&amp;H$2&amp;H$1&amp;"C"&amp;$A20)="N/A",0,RTD("tos.rtd",,"IMPL_VOL","."&amp;H$2&amp;H$1&amp;"C"&amp;$A20))),0),IF($A$2="MAXPAIN",IF($A$4&gt;$A20,($A$4-$A20)*IF(RTD("tos.rtd",,"OPEN_INT","."&amp;H$2&amp;H$1&amp;"C"&amp;$A20)="N/A",0,RTD("tos.rtd",,"OPEN_INT","."&amp;H$2&amp;H$1&amp;"C"&amp;$A20)),0)+IF($A$4&lt;$A20,($A$5-$A$4)*IF(RTD("tos.rtd",,"OPEN_INT","."&amp;H$2&amp;H$1&amp;"P"&amp;$A20)="N/A",0,RTD("tos.rtd",,"OPEN_INT","."&amp;H$2&amp;H$1&amp;"P"&amp;$A20)),0),IF($X$1="ABS",IF(RTD("tos.rtd",,$A$2,"."&amp;H$2&amp;H$1&amp;"C"&amp;$A20)="N/A",0,RTD("tos.rtd",,$A$2,"."&amp;H$2&amp;H$1&amp;"C"&amp;$A20))+IF(RTD("tos.rtd",,$A$2,"."&amp;H$2&amp;H$1&amp;"P"&amp;$A20)="N/A",0,RTD("tos.rtd",,$A$2,"."&amp;H$2&amp;H$1&amp;"P"&amp;$A20)),IF(RTD("tos.rtd",,$A$2,"."&amp;H$2&amp;H$1&amp;"C"&amp;$A20)="N/A",0,RTD("tos.rtd",,$A$2,"."&amp;H$2&amp;H$1&amp;"C"&amp;$A20))-IF(RTD("tos.rtd",,$A$2,"."&amp;H$2&amp;H$1&amp;"P"&amp;$A20)="N/A",0,RTD("tos.rtd",,$A$2,"."&amp;H$2&amp;H$1&amp;"P"&amp;$A20))))))))))</f>
        <v>0</v>
      </c>
      <c r="I20" s="12">
        <f ca="1">IF($A$2="PREMIUM_OI",IFERROR(IF($X$1="ABS",(100*RTD("tos.rtd",,"OPEN_INT","."&amp;I$2&amp;I$1&amp;"C"&amp;$A20)*RTD("tos.rtd",,"LAST","."&amp;I$2&amp;I$1&amp;"C"&amp;$A20)+100*RTD("tos.rtd",,"OPEN_INT","."&amp;I$2&amp;I$1&amp;"P"&amp;$A20)*RTD("tos.rtd",,"LAST","."&amp;I$2&amp;I$1&amp;"P"&amp;$A20))/1000000,(100*RTD("tos.rtd",,"OPEN_INT","."&amp;I$2&amp;I$1&amp;"C"&amp;$A20)*RTD("tos.rtd",,"LAST","."&amp;I$2&amp;I$1&amp;"C"&amp;$A20)-100*RTD("tos.rtd",,"OPEN_INT","."&amp;I$2&amp;I$1&amp;"P"&amp;$A20)*RTD("tos.rtd",,"LAST","."&amp;I$2&amp;I$1&amp;"P"&amp;$A20))/1000000),0),IF($A$2="PREMIUM",IFERROR(IF($X$1="ABS",(100*RTD("tos.rtd",,"VOLUME","."&amp;I$2&amp;I$1&amp;"C"&amp;$A20)*RTD("tos.rtd",,"LAST","."&amp;I$2&amp;I$1&amp;"C"&amp;$A20)+100*RTD("tos.rtd",,"VOLUME","."&amp;I$2&amp;I$1&amp;"P"&amp;$A20)*RTD("tos.rtd",,"LAST","."&amp;I$2&amp;I$1&amp;"P"&amp;$A20))/1000000,(100*RTD("tos.rtd",,"VOLUME","."&amp;I$2&amp;I$1&amp;"C"&amp;$A20)*RTD("tos.rtd",,"LAST","."&amp;I$2&amp;I$1&amp;"C"&amp;$A20)-100*RTD("tos.rtd",,"VOLUME","."&amp;I$2&amp;I$1&amp;"P"&amp;$A20)*RTD("tos.rtd",,"LAST","."&amp;I$2&amp;I$1&amp;"P"&amp;$A20))/1000000),0),IF($A$2="DEX",IFERROR(IF($X$1="ABS",(100*RTD("tos.rtd",,"OPEN_INT","."&amp;I$2&amp;I$1&amp;"C"&amp;$A20)*RTD("tos.rtd",,"DELTA","."&amp;I$2&amp;I$1&amp;"C"&amp;$A20)+100*RTD("tos.rtd",,"OPEN_INT","."&amp;I$2&amp;I$1&amp;"P"&amp;$A20)*RTD("tos.rtd",,"DELTA","."&amp;I$2&amp;I$1&amp;"P"&amp;$A20))/1000,(100*RTD("tos.rtd",,"OPEN_INT","."&amp;I$2&amp;I$1&amp;"C"&amp;$A20)*RTD("tos.rtd",,"DELTA","."&amp;I$2&amp;I$1&amp;"C"&amp;$A20)-100*RTD("tos.rtd",,"OPEN_INT","."&amp;I$2&amp;I$1&amp;"P"&amp;$A20)*RTD("tos.rtd",,"DELTA","."&amp;I$2&amp;I$1&amp;"P"&amp;$A20))/1000),0),IF($A$2="VEX",IFERROR(IF($X$1="ABS",($A$4*$A$4*RTD("tos.rtd",,"VOLUME","."&amp;I$2&amp;I$1&amp;"C"&amp;$A20)*RTD("tos.rtd",,"GAMMA","."&amp;I$2&amp;I$1&amp;"C"&amp;$A20)+$A$4*$A$4*RTD("tos.rtd",,"VOLUME","."&amp;I$2&amp;I$1&amp;"P"&amp;$A20)*RTD("tos.rtd",,"GAMMA","."&amp;I$2&amp;I$1&amp;"P"&amp;$A20))/1000000,($A$4*$A$4*RTD("tos.rtd",,"VOLUME","."&amp;I$2&amp;I$1&amp;"C"&amp;$A20)*RTD("tos.rtd",,"GAMMA","."&amp;I$2&amp;I$1&amp;"C"&amp;$A20)-$A$4*$A$4*RTD("tos.rtd",,"VOLUME","."&amp;I$2&amp;I$1&amp;"P"&amp;$A20)*RTD("tos.rtd",,"GAMMA","."&amp;I$2&amp;I$1&amp;"P"&amp;$A20))/1000000),0),IF($A$2="GEX",IFERROR(IF($X$1="ABS",($A$4*$A$4*RTD("tos.rtd",,"OPEN_INT","."&amp;I$2&amp;I$1&amp;"C"&amp;$A20)*RTD("tos.rtd",,"GAMMA","."&amp;I$2&amp;I$1&amp;"C"&amp;$A20)+$A$4*$A$4*RTD("tos.rtd",,"OPEN_INT","."&amp;I$2&amp;I$1&amp;"P"&amp;$A20)*RTD("tos.rtd",,"GAMMA","."&amp;I$2&amp;I$1&amp;"P"&amp;$A20))/1000000,($A$4*$A$4*RTD("tos.rtd",,"OPEN_INT","."&amp;I$2&amp;I$1&amp;"C"&amp;$A20)*RTD("tos.rtd",,"GAMMA","."&amp;I$2&amp;I$1&amp;"C"&amp;$A20)-$A$4*$A$4*RTD("tos.rtd",,"OPEN_INT","."&amp;I$2&amp;I$1&amp;"P"&amp;$A20)*RTD("tos.rtd",,"GAMMA","."&amp;I$2&amp;I$1&amp;"P"&amp;$A20))/1000000),0),IF($A$2="SKEW",IFERROR(VALUE(IF(RTD("tos.rtd",,"IMPL_VOL","."&amp;I$2&amp;I$1&amp;"P"&amp;$A20)="N/A",0,RTD("tos.rtd",,"IMPL_VOL","."&amp;I$2&amp;I$1&amp;"P"&amp;$A20))),0)-IFERROR(VALUE(IF(RTD("tos.rtd",,"IMPL_VOL","."&amp;I$2&amp;I$1&amp;"C"&amp;$A20)="N/A",0,RTD("tos.rtd",,"IMPL_VOL","."&amp;I$2&amp;I$1&amp;"C"&amp;$A20))),0),IF($A$2="MAXPAIN",IF($A$4&gt;$A20,($A$4-$A20)*IF(RTD("tos.rtd",,"OPEN_INT","."&amp;I$2&amp;I$1&amp;"C"&amp;$A20)="N/A",0,RTD("tos.rtd",,"OPEN_INT","."&amp;I$2&amp;I$1&amp;"C"&amp;$A20)),0)+IF($A$4&lt;$A20,($A$5-$A$4)*IF(RTD("tos.rtd",,"OPEN_INT","."&amp;I$2&amp;I$1&amp;"P"&amp;$A20)="N/A",0,RTD("tos.rtd",,"OPEN_INT","."&amp;I$2&amp;I$1&amp;"P"&amp;$A20)),0),IF($X$1="ABS",IF(RTD("tos.rtd",,$A$2,"."&amp;I$2&amp;I$1&amp;"C"&amp;$A20)="N/A",0,RTD("tos.rtd",,$A$2,"."&amp;I$2&amp;I$1&amp;"C"&amp;$A20))+IF(RTD("tos.rtd",,$A$2,"."&amp;I$2&amp;I$1&amp;"P"&amp;$A20)="N/A",0,RTD("tos.rtd",,$A$2,"."&amp;I$2&amp;I$1&amp;"P"&amp;$A20)),IF(RTD("tos.rtd",,$A$2,"."&amp;I$2&amp;I$1&amp;"C"&amp;$A20)="N/A",0,RTD("tos.rtd",,$A$2,"."&amp;I$2&amp;I$1&amp;"C"&amp;$A20))-IF(RTD("tos.rtd",,$A$2,"."&amp;I$2&amp;I$1&amp;"P"&amp;$A20)="N/A",0,RTD("tos.rtd",,$A$2,"."&amp;I$2&amp;I$1&amp;"P"&amp;$A20))))))))))</f>
        <v>0</v>
      </c>
      <c r="J20" s="12">
        <f ca="1">IF($A$2="PREMIUM_OI",IFERROR(IF($X$1="ABS",(100*RTD("tos.rtd",,"OPEN_INT","."&amp;J$2&amp;J$1&amp;"C"&amp;$A20)*RTD("tos.rtd",,"LAST","."&amp;J$2&amp;J$1&amp;"C"&amp;$A20)+100*RTD("tos.rtd",,"OPEN_INT","."&amp;J$2&amp;J$1&amp;"P"&amp;$A20)*RTD("tos.rtd",,"LAST","."&amp;J$2&amp;J$1&amp;"P"&amp;$A20))/1000000,(100*RTD("tos.rtd",,"OPEN_INT","."&amp;J$2&amp;J$1&amp;"C"&amp;$A20)*RTD("tos.rtd",,"LAST","."&amp;J$2&amp;J$1&amp;"C"&amp;$A20)-100*RTD("tos.rtd",,"OPEN_INT","."&amp;J$2&amp;J$1&amp;"P"&amp;$A20)*RTD("tos.rtd",,"LAST","."&amp;J$2&amp;J$1&amp;"P"&amp;$A20))/1000000),0),IF($A$2="PREMIUM",IFERROR(IF($X$1="ABS",(100*RTD("tos.rtd",,"VOLUME","."&amp;J$2&amp;J$1&amp;"C"&amp;$A20)*RTD("tos.rtd",,"LAST","."&amp;J$2&amp;J$1&amp;"C"&amp;$A20)+100*RTD("tos.rtd",,"VOLUME","."&amp;J$2&amp;J$1&amp;"P"&amp;$A20)*RTD("tos.rtd",,"LAST","."&amp;J$2&amp;J$1&amp;"P"&amp;$A20))/1000000,(100*RTD("tos.rtd",,"VOLUME","."&amp;J$2&amp;J$1&amp;"C"&amp;$A20)*RTD("tos.rtd",,"LAST","."&amp;J$2&amp;J$1&amp;"C"&amp;$A20)-100*RTD("tos.rtd",,"VOLUME","."&amp;J$2&amp;J$1&amp;"P"&amp;$A20)*RTD("tos.rtd",,"LAST","."&amp;J$2&amp;J$1&amp;"P"&amp;$A20))/1000000),0),IF($A$2="DEX",IFERROR(IF($X$1="ABS",(100*RTD("tos.rtd",,"OPEN_INT","."&amp;J$2&amp;J$1&amp;"C"&amp;$A20)*RTD("tos.rtd",,"DELTA","."&amp;J$2&amp;J$1&amp;"C"&amp;$A20)+100*RTD("tos.rtd",,"OPEN_INT","."&amp;J$2&amp;J$1&amp;"P"&amp;$A20)*RTD("tos.rtd",,"DELTA","."&amp;J$2&amp;J$1&amp;"P"&amp;$A20))/1000,(100*RTD("tos.rtd",,"OPEN_INT","."&amp;J$2&amp;J$1&amp;"C"&amp;$A20)*RTD("tos.rtd",,"DELTA","."&amp;J$2&amp;J$1&amp;"C"&amp;$A20)-100*RTD("tos.rtd",,"OPEN_INT","."&amp;J$2&amp;J$1&amp;"P"&amp;$A20)*RTD("tos.rtd",,"DELTA","."&amp;J$2&amp;J$1&amp;"P"&amp;$A20))/1000),0),IF($A$2="VEX",IFERROR(IF($X$1="ABS",($A$4*$A$4*RTD("tos.rtd",,"VOLUME","."&amp;J$2&amp;J$1&amp;"C"&amp;$A20)*RTD("tos.rtd",,"GAMMA","."&amp;J$2&amp;J$1&amp;"C"&amp;$A20)+$A$4*$A$4*RTD("tos.rtd",,"VOLUME","."&amp;J$2&amp;J$1&amp;"P"&amp;$A20)*RTD("tos.rtd",,"GAMMA","."&amp;J$2&amp;J$1&amp;"P"&amp;$A20))/1000000,($A$4*$A$4*RTD("tos.rtd",,"VOLUME","."&amp;J$2&amp;J$1&amp;"C"&amp;$A20)*RTD("tos.rtd",,"GAMMA","."&amp;J$2&amp;J$1&amp;"C"&amp;$A20)-$A$4*$A$4*RTD("tos.rtd",,"VOLUME","."&amp;J$2&amp;J$1&amp;"P"&amp;$A20)*RTD("tos.rtd",,"GAMMA","."&amp;J$2&amp;J$1&amp;"P"&amp;$A20))/1000000),0),IF($A$2="GEX",IFERROR(IF($X$1="ABS",($A$4*$A$4*RTD("tos.rtd",,"OPEN_INT","."&amp;J$2&amp;J$1&amp;"C"&amp;$A20)*RTD("tos.rtd",,"GAMMA","."&amp;J$2&amp;J$1&amp;"C"&amp;$A20)+$A$4*$A$4*RTD("tos.rtd",,"OPEN_INT","."&amp;J$2&amp;J$1&amp;"P"&amp;$A20)*RTD("tos.rtd",,"GAMMA","."&amp;J$2&amp;J$1&amp;"P"&amp;$A20))/1000000,($A$4*$A$4*RTD("tos.rtd",,"OPEN_INT","."&amp;J$2&amp;J$1&amp;"C"&amp;$A20)*RTD("tos.rtd",,"GAMMA","."&amp;J$2&amp;J$1&amp;"C"&amp;$A20)-$A$4*$A$4*RTD("tos.rtd",,"OPEN_INT","."&amp;J$2&amp;J$1&amp;"P"&amp;$A20)*RTD("tos.rtd",,"GAMMA","."&amp;J$2&amp;J$1&amp;"P"&amp;$A20))/1000000),0),IF($A$2="SKEW",IFERROR(VALUE(IF(RTD("tos.rtd",,"IMPL_VOL","."&amp;J$2&amp;J$1&amp;"P"&amp;$A20)="N/A",0,RTD("tos.rtd",,"IMPL_VOL","."&amp;J$2&amp;J$1&amp;"P"&amp;$A20))),0)-IFERROR(VALUE(IF(RTD("tos.rtd",,"IMPL_VOL","."&amp;J$2&amp;J$1&amp;"C"&amp;$A20)="N/A",0,RTD("tos.rtd",,"IMPL_VOL","."&amp;J$2&amp;J$1&amp;"C"&amp;$A20))),0),IF($A$2="MAXPAIN",IF($A$4&gt;$A20,($A$4-$A20)*IF(RTD("tos.rtd",,"OPEN_INT","."&amp;J$2&amp;J$1&amp;"C"&amp;$A20)="N/A",0,RTD("tos.rtd",,"OPEN_INT","."&amp;J$2&amp;J$1&amp;"C"&amp;$A20)),0)+IF($A$4&lt;$A20,($A$5-$A$4)*IF(RTD("tos.rtd",,"OPEN_INT","."&amp;J$2&amp;J$1&amp;"P"&amp;$A20)="N/A",0,RTD("tos.rtd",,"OPEN_INT","."&amp;J$2&amp;J$1&amp;"P"&amp;$A20)),0),IF($X$1="ABS",IF(RTD("tos.rtd",,$A$2,"."&amp;J$2&amp;J$1&amp;"C"&amp;$A20)="N/A",0,RTD("tos.rtd",,$A$2,"."&amp;J$2&amp;J$1&amp;"C"&amp;$A20))+IF(RTD("tos.rtd",,$A$2,"."&amp;J$2&amp;J$1&amp;"P"&amp;$A20)="N/A",0,RTD("tos.rtd",,$A$2,"."&amp;J$2&amp;J$1&amp;"P"&amp;$A20)),IF(RTD("tos.rtd",,$A$2,"."&amp;J$2&amp;J$1&amp;"C"&amp;$A20)="N/A",0,RTD("tos.rtd",,$A$2,"."&amp;J$2&amp;J$1&amp;"C"&amp;$A20))-IF(RTD("tos.rtd",,$A$2,"."&amp;J$2&amp;J$1&amp;"P"&amp;$A20)="N/A",0,RTD("tos.rtd",,$A$2,"."&amp;J$2&amp;J$1&amp;"P"&amp;$A20))))))))))</f>
        <v>0</v>
      </c>
      <c r="K20" s="12">
        <f ca="1">IF($A$2="PREMIUM_OI",IFERROR(IF($X$1="ABS",(100*RTD("tos.rtd",,"OPEN_INT","."&amp;K$2&amp;K$1&amp;"C"&amp;$A20)*RTD("tos.rtd",,"LAST","."&amp;K$2&amp;K$1&amp;"C"&amp;$A20)+100*RTD("tos.rtd",,"OPEN_INT","."&amp;K$2&amp;K$1&amp;"P"&amp;$A20)*RTD("tos.rtd",,"LAST","."&amp;K$2&amp;K$1&amp;"P"&amp;$A20))/1000000,(100*RTD("tos.rtd",,"OPEN_INT","."&amp;K$2&amp;K$1&amp;"C"&amp;$A20)*RTD("tos.rtd",,"LAST","."&amp;K$2&amp;K$1&amp;"C"&amp;$A20)-100*RTD("tos.rtd",,"OPEN_INT","."&amp;K$2&amp;K$1&amp;"P"&amp;$A20)*RTD("tos.rtd",,"LAST","."&amp;K$2&amp;K$1&amp;"P"&amp;$A20))/1000000),0),IF($A$2="PREMIUM",IFERROR(IF($X$1="ABS",(100*RTD("tos.rtd",,"VOLUME","."&amp;K$2&amp;K$1&amp;"C"&amp;$A20)*RTD("tos.rtd",,"LAST","."&amp;K$2&amp;K$1&amp;"C"&amp;$A20)+100*RTD("tos.rtd",,"VOLUME","."&amp;K$2&amp;K$1&amp;"P"&amp;$A20)*RTD("tos.rtd",,"LAST","."&amp;K$2&amp;K$1&amp;"P"&amp;$A20))/1000000,(100*RTD("tos.rtd",,"VOLUME","."&amp;K$2&amp;K$1&amp;"C"&amp;$A20)*RTD("tos.rtd",,"LAST","."&amp;K$2&amp;K$1&amp;"C"&amp;$A20)-100*RTD("tos.rtd",,"VOLUME","."&amp;K$2&amp;K$1&amp;"P"&amp;$A20)*RTD("tos.rtd",,"LAST","."&amp;K$2&amp;K$1&amp;"P"&amp;$A20))/1000000),0),IF($A$2="DEX",IFERROR(IF($X$1="ABS",(100*RTD("tos.rtd",,"OPEN_INT","."&amp;K$2&amp;K$1&amp;"C"&amp;$A20)*RTD("tos.rtd",,"DELTA","."&amp;K$2&amp;K$1&amp;"C"&amp;$A20)+100*RTD("tos.rtd",,"OPEN_INT","."&amp;K$2&amp;K$1&amp;"P"&amp;$A20)*RTD("tos.rtd",,"DELTA","."&amp;K$2&amp;K$1&amp;"P"&amp;$A20))/1000,(100*RTD("tos.rtd",,"OPEN_INT","."&amp;K$2&amp;K$1&amp;"C"&amp;$A20)*RTD("tos.rtd",,"DELTA","."&amp;K$2&amp;K$1&amp;"C"&amp;$A20)-100*RTD("tos.rtd",,"OPEN_INT","."&amp;K$2&amp;K$1&amp;"P"&amp;$A20)*RTD("tos.rtd",,"DELTA","."&amp;K$2&amp;K$1&amp;"P"&amp;$A20))/1000),0),IF($A$2="VEX",IFERROR(IF($X$1="ABS",($A$4*$A$4*RTD("tos.rtd",,"VOLUME","."&amp;K$2&amp;K$1&amp;"C"&amp;$A20)*RTD("tos.rtd",,"GAMMA","."&amp;K$2&amp;K$1&amp;"C"&amp;$A20)+$A$4*$A$4*RTD("tos.rtd",,"VOLUME","."&amp;K$2&amp;K$1&amp;"P"&amp;$A20)*RTD("tos.rtd",,"GAMMA","."&amp;K$2&amp;K$1&amp;"P"&amp;$A20))/1000000,($A$4*$A$4*RTD("tos.rtd",,"VOLUME","."&amp;K$2&amp;K$1&amp;"C"&amp;$A20)*RTD("tos.rtd",,"GAMMA","."&amp;K$2&amp;K$1&amp;"C"&amp;$A20)-$A$4*$A$4*RTD("tos.rtd",,"VOLUME","."&amp;K$2&amp;K$1&amp;"P"&amp;$A20)*RTD("tos.rtd",,"GAMMA","."&amp;K$2&amp;K$1&amp;"P"&amp;$A20))/1000000),0),IF($A$2="GEX",IFERROR(IF($X$1="ABS",($A$4*$A$4*RTD("tos.rtd",,"OPEN_INT","."&amp;K$2&amp;K$1&amp;"C"&amp;$A20)*RTD("tos.rtd",,"GAMMA","."&amp;K$2&amp;K$1&amp;"C"&amp;$A20)+$A$4*$A$4*RTD("tos.rtd",,"OPEN_INT","."&amp;K$2&amp;K$1&amp;"P"&amp;$A20)*RTD("tos.rtd",,"GAMMA","."&amp;K$2&amp;K$1&amp;"P"&amp;$A20))/1000000,($A$4*$A$4*RTD("tos.rtd",,"OPEN_INT","."&amp;K$2&amp;K$1&amp;"C"&amp;$A20)*RTD("tos.rtd",,"GAMMA","."&amp;K$2&amp;K$1&amp;"C"&amp;$A20)-$A$4*$A$4*RTD("tos.rtd",,"OPEN_INT","."&amp;K$2&amp;K$1&amp;"P"&amp;$A20)*RTD("tos.rtd",,"GAMMA","."&amp;K$2&amp;K$1&amp;"P"&amp;$A20))/1000000),0),IF($A$2="SKEW",IFERROR(VALUE(IF(RTD("tos.rtd",,"IMPL_VOL","."&amp;K$2&amp;K$1&amp;"P"&amp;$A20)="N/A",0,RTD("tos.rtd",,"IMPL_VOL","."&amp;K$2&amp;K$1&amp;"P"&amp;$A20))),0)-IFERROR(VALUE(IF(RTD("tos.rtd",,"IMPL_VOL","."&amp;K$2&amp;K$1&amp;"C"&amp;$A20)="N/A",0,RTD("tos.rtd",,"IMPL_VOL","."&amp;K$2&amp;K$1&amp;"C"&amp;$A20))),0),IF($A$2="MAXPAIN",IF($A$4&gt;$A20,($A$4-$A20)*IF(RTD("tos.rtd",,"OPEN_INT","."&amp;K$2&amp;K$1&amp;"C"&amp;$A20)="N/A",0,RTD("tos.rtd",,"OPEN_INT","."&amp;K$2&amp;K$1&amp;"C"&amp;$A20)),0)+IF($A$4&lt;$A20,($A$5-$A$4)*IF(RTD("tos.rtd",,"OPEN_INT","."&amp;K$2&amp;K$1&amp;"P"&amp;$A20)="N/A",0,RTD("tos.rtd",,"OPEN_INT","."&amp;K$2&amp;K$1&amp;"P"&amp;$A20)),0),IF($X$1="ABS",IF(RTD("tos.rtd",,$A$2,"."&amp;K$2&amp;K$1&amp;"C"&amp;$A20)="N/A",0,RTD("tos.rtd",,$A$2,"."&amp;K$2&amp;K$1&amp;"C"&amp;$A20))+IF(RTD("tos.rtd",,$A$2,"."&amp;K$2&amp;K$1&amp;"P"&amp;$A20)="N/A",0,RTD("tos.rtd",,$A$2,"."&amp;K$2&amp;K$1&amp;"P"&amp;$A20)),IF(RTD("tos.rtd",,$A$2,"."&amp;K$2&amp;K$1&amp;"C"&amp;$A20)="N/A",0,RTD("tos.rtd",,$A$2,"."&amp;K$2&amp;K$1&amp;"C"&amp;$A20))-IF(RTD("tos.rtd",,$A$2,"."&amp;K$2&amp;K$1&amp;"P"&amp;$A20)="N/A",0,RTD("tos.rtd",,$A$2,"."&amp;K$2&amp;K$1&amp;"P"&amp;$A20))))))))))</f>
        <v>0</v>
      </c>
      <c r="L20" s="54">
        <f ca="1">IF($A$2="PREMIUM_OI",IFERROR(IF($X$1="ABS",(100*RTD("tos.rtd",,"OPEN_INT","."&amp;L$2&amp;L$1&amp;"C"&amp;$A20)*RTD("tos.rtd",,"LAST","."&amp;L$2&amp;L$1&amp;"C"&amp;$A20)+100*RTD("tos.rtd",,"OPEN_INT","."&amp;L$2&amp;L$1&amp;"P"&amp;$A20)*RTD("tos.rtd",,"LAST","."&amp;L$2&amp;L$1&amp;"P"&amp;$A20))/1000000,(100*RTD("tos.rtd",,"OPEN_INT","."&amp;L$2&amp;L$1&amp;"C"&amp;$A20)*RTD("tos.rtd",,"LAST","."&amp;L$2&amp;L$1&amp;"C"&amp;$A20)-100*RTD("tos.rtd",,"OPEN_INT","."&amp;L$2&amp;L$1&amp;"P"&amp;$A20)*RTD("tos.rtd",,"LAST","."&amp;L$2&amp;L$1&amp;"P"&amp;$A20))/1000000),0),IF($A$2="PREMIUM",IFERROR(IF($X$1="ABS",(100*RTD("tos.rtd",,"VOLUME","."&amp;L$2&amp;L$1&amp;"C"&amp;$A20)*RTD("tos.rtd",,"LAST","."&amp;L$2&amp;L$1&amp;"C"&amp;$A20)+100*RTD("tos.rtd",,"VOLUME","."&amp;L$2&amp;L$1&amp;"P"&amp;$A20)*RTD("tos.rtd",,"LAST","."&amp;L$2&amp;L$1&amp;"P"&amp;$A20))/1000000,(100*RTD("tos.rtd",,"VOLUME","."&amp;L$2&amp;L$1&amp;"C"&amp;$A20)*RTD("tos.rtd",,"LAST","."&amp;L$2&amp;L$1&amp;"C"&amp;$A20)-100*RTD("tos.rtd",,"VOLUME","."&amp;L$2&amp;L$1&amp;"P"&amp;$A20)*RTD("tos.rtd",,"LAST","."&amp;L$2&amp;L$1&amp;"P"&amp;$A20))/1000000),0),IF($A$2="DEX",IFERROR(IF($X$1="ABS",(100*RTD("tos.rtd",,"OPEN_INT","."&amp;L$2&amp;L$1&amp;"C"&amp;$A20)*RTD("tos.rtd",,"DELTA","."&amp;L$2&amp;L$1&amp;"C"&amp;$A20)+100*RTD("tos.rtd",,"OPEN_INT","."&amp;L$2&amp;L$1&amp;"P"&amp;$A20)*RTD("tos.rtd",,"DELTA","."&amp;L$2&amp;L$1&amp;"P"&amp;$A20))/1000,(100*RTD("tos.rtd",,"OPEN_INT","."&amp;L$2&amp;L$1&amp;"C"&amp;$A20)*RTD("tos.rtd",,"DELTA","."&amp;L$2&amp;L$1&amp;"C"&amp;$A20)-100*RTD("tos.rtd",,"OPEN_INT","."&amp;L$2&amp;L$1&amp;"P"&amp;$A20)*RTD("tos.rtd",,"DELTA","."&amp;L$2&amp;L$1&amp;"P"&amp;$A20))/1000),0),IF($A$2="VEX",IFERROR(IF($X$1="ABS",($A$4*$A$4*RTD("tos.rtd",,"VOLUME","."&amp;L$2&amp;L$1&amp;"C"&amp;$A20)*RTD("tos.rtd",,"GAMMA","."&amp;L$2&amp;L$1&amp;"C"&amp;$A20)+$A$4*$A$4*RTD("tos.rtd",,"VOLUME","."&amp;L$2&amp;L$1&amp;"P"&amp;$A20)*RTD("tos.rtd",,"GAMMA","."&amp;L$2&amp;L$1&amp;"P"&amp;$A20))/1000000,($A$4*$A$4*RTD("tos.rtd",,"VOLUME","."&amp;L$2&amp;L$1&amp;"C"&amp;$A20)*RTD("tos.rtd",,"GAMMA","."&amp;L$2&amp;L$1&amp;"C"&amp;$A20)-$A$4*$A$4*RTD("tos.rtd",,"VOLUME","."&amp;L$2&amp;L$1&amp;"P"&amp;$A20)*RTD("tos.rtd",,"GAMMA","."&amp;L$2&amp;L$1&amp;"P"&amp;$A20))/1000000),0),IF($A$2="GEX",IFERROR(IF($X$1="ABS",($A$4*$A$4*RTD("tos.rtd",,"OPEN_INT","."&amp;L$2&amp;L$1&amp;"C"&amp;$A20)*RTD("tos.rtd",,"GAMMA","."&amp;L$2&amp;L$1&amp;"C"&amp;$A20)+$A$4*$A$4*RTD("tos.rtd",,"OPEN_INT","."&amp;L$2&amp;L$1&amp;"P"&amp;$A20)*RTD("tos.rtd",,"GAMMA","."&amp;L$2&amp;L$1&amp;"P"&amp;$A20))/1000000,($A$4*$A$4*RTD("tos.rtd",,"OPEN_INT","."&amp;L$2&amp;L$1&amp;"C"&amp;$A20)*RTD("tos.rtd",,"GAMMA","."&amp;L$2&amp;L$1&amp;"C"&amp;$A20)-$A$4*$A$4*RTD("tos.rtd",,"OPEN_INT","."&amp;L$2&amp;L$1&amp;"P"&amp;$A20)*RTD("tos.rtd",,"GAMMA","."&amp;L$2&amp;L$1&amp;"P"&amp;$A20))/1000000),0),IF($A$2="SKEW",IFERROR(VALUE(IF(RTD("tos.rtd",,"IMPL_VOL","."&amp;L$2&amp;L$1&amp;"P"&amp;$A20)="N/A",0,RTD("tos.rtd",,"IMPL_VOL","."&amp;L$2&amp;L$1&amp;"P"&amp;$A20))),0)-IFERROR(VALUE(IF(RTD("tos.rtd",,"IMPL_VOL","."&amp;L$2&amp;L$1&amp;"C"&amp;$A20)="N/A",0,RTD("tos.rtd",,"IMPL_VOL","."&amp;L$2&amp;L$1&amp;"C"&amp;$A20))),0),IF($A$2="MAXPAIN",IF($A$4&gt;$A20,($A$4-$A20)*IF(RTD("tos.rtd",,"OPEN_INT","."&amp;L$2&amp;L$1&amp;"C"&amp;$A20)="N/A",0,RTD("tos.rtd",,"OPEN_INT","."&amp;L$2&amp;L$1&amp;"C"&amp;$A20)),0)+IF($A$4&lt;$A20,($A$5-$A$4)*IF(RTD("tos.rtd",,"OPEN_INT","."&amp;L$2&amp;L$1&amp;"P"&amp;$A20)="N/A",0,RTD("tos.rtd",,"OPEN_INT","."&amp;L$2&amp;L$1&amp;"P"&amp;$A20)),0),IF($X$1="ABS",IF(RTD("tos.rtd",,$A$2,"."&amp;L$2&amp;L$1&amp;"C"&amp;$A20)="N/A",0,RTD("tos.rtd",,$A$2,"."&amp;L$2&amp;L$1&amp;"C"&amp;$A20))+IF(RTD("tos.rtd",,$A$2,"."&amp;L$2&amp;L$1&amp;"P"&amp;$A20)="N/A",0,RTD("tos.rtd",,$A$2,"."&amp;L$2&amp;L$1&amp;"P"&amp;$A20)),IF(RTD("tos.rtd",,$A$2,"."&amp;L$2&amp;L$1&amp;"C"&amp;$A20)="N/A",0,RTD("tos.rtd",,$A$2,"."&amp;L$2&amp;L$1&amp;"C"&amp;$A20))-IF(RTD("tos.rtd",,$A$2,"."&amp;L$2&amp;L$1&amp;"P"&amp;$A20)="N/A",0,RTD("tos.rtd",,$A$2,"."&amp;L$2&amp;L$1&amp;"P"&amp;$A20))))))))))</f>
        <v>0</v>
      </c>
      <c r="M20" s="12">
        <f ca="1">IF($A$2="PREMIUM_OI",IFERROR(IF($X$1="ABS",(100*RTD("tos.rtd",,"OPEN_INT","."&amp;M$2&amp;M$1&amp;"C"&amp;$A20)*RTD("tos.rtd",,"LAST","."&amp;M$2&amp;M$1&amp;"C"&amp;$A20)+100*RTD("tos.rtd",,"OPEN_INT","."&amp;M$2&amp;M$1&amp;"P"&amp;$A20)*RTD("tos.rtd",,"LAST","."&amp;M$2&amp;M$1&amp;"P"&amp;$A20))/1000000,(100*RTD("tos.rtd",,"OPEN_INT","."&amp;M$2&amp;M$1&amp;"C"&amp;$A20)*RTD("tos.rtd",,"LAST","."&amp;M$2&amp;M$1&amp;"C"&amp;$A20)-100*RTD("tos.rtd",,"OPEN_INT","."&amp;M$2&amp;M$1&amp;"P"&amp;$A20)*RTD("tos.rtd",,"LAST","."&amp;M$2&amp;M$1&amp;"P"&amp;$A20))/1000000),0),IF($A$2="PREMIUM",IFERROR(IF($X$1="ABS",(100*RTD("tos.rtd",,"VOLUME","."&amp;M$2&amp;M$1&amp;"C"&amp;$A20)*RTD("tos.rtd",,"LAST","."&amp;M$2&amp;M$1&amp;"C"&amp;$A20)+100*RTD("tos.rtd",,"VOLUME","."&amp;M$2&amp;M$1&amp;"P"&amp;$A20)*RTD("tos.rtd",,"LAST","."&amp;M$2&amp;M$1&amp;"P"&amp;$A20))/1000000,(100*RTD("tos.rtd",,"VOLUME","."&amp;M$2&amp;M$1&amp;"C"&amp;$A20)*RTD("tos.rtd",,"LAST","."&amp;M$2&amp;M$1&amp;"C"&amp;$A20)-100*RTD("tos.rtd",,"VOLUME","."&amp;M$2&amp;M$1&amp;"P"&amp;$A20)*RTD("tos.rtd",,"LAST","."&amp;M$2&amp;M$1&amp;"P"&amp;$A20))/1000000),0),IF($A$2="DEX",IFERROR(IF($X$1="ABS",(100*RTD("tos.rtd",,"OPEN_INT","."&amp;M$2&amp;M$1&amp;"C"&amp;$A20)*RTD("tos.rtd",,"DELTA","."&amp;M$2&amp;M$1&amp;"C"&amp;$A20)+100*RTD("tos.rtd",,"OPEN_INT","."&amp;M$2&amp;M$1&amp;"P"&amp;$A20)*RTD("tos.rtd",,"DELTA","."&amp;M$2&amp;M$1&amp;"P"&amp;$A20))/1000,(100*RTD("tos.rtd",,"OPEN_INT","."&amp;M$2&amp;M$1&amp;"C"&amp;$A20)*RTD("tos.rtd",,"DELTA","."&amp;M$2&amp;M$1&amp;"C"&amp;$A20)-100*RTD("tos.rtd",,"OPEN_INT","."&amp;M$2&amp;M$1&amp;"P"&amp;$A20)*RTD("tos.rtd",,"DELTA","."&amp;M$2&amp;M$1&amp;"P"&amp;$A20))/1000),0),IF($A$2="VEX",IFERROR(IF($X$1="ABS",($A$4*$A$4*RTD("tos.rtd",,"VOLUME","."&amp;M$2&amp;M$1&amp;"C"&amp;$A20)*RTD("tos.rtd",,"GAMMA","."&amp;M$2&amp;M$1&amp;"C"&amp;$A20)+$A$4*$A$4*RTD("tos.rtd",,"VOLUME","."&amp;M$2&amp;M$1&amp;"P"&amp;$A20)*RTD("tos.rtd",,"GAMMA","."&amp;M$2&amp;M$1&amp;"P"&amp;$A20))/1000000,($A$4*$A$4*RTD("tos.rtd",,"VOLUME","."&amp;M$2&amp;M$1&amp;"C"&amp;$A20)*RTD("tos.rtd",,"GAMMA","."&amp;M$2&amp;M$1&amp;"C"&amp;$A20)-$A$4*$A$4*RTD("tos.rtd",,"VOLUME","."&amp;M$2&amp;M$1&amp;"P"&amp;$A20)*RTD("tos.rtd",,"GAMMA","."&amp;M$2&amp;M$1&amp;"P"&amp;$A20))/1000000),0),IF($A$2="GEX",IFERROR(IF($X$1="ABS",($A$4*$A$4*RTD("tos.rtd",,"OPEN_INT","."&amp;M$2&amp;M$1&amp;"C"&amp;$A20)*RTD("tos.rtd",,"GAMMA","."&amp;M$2&amp;M$1&amp;"C"&amp;$A20)+$A$4*$A$4*RTD("tos.rtd",,"OPEN_INT","."&amp;M$2&amp;M$1&amp;"P"&amp;$A20)*RTD("tos.rtd",,"GAMMA","."&amp;M$2&amp;M$1&amp;"P"&amp;$A20))/1000000,($A$4*$A$4*RTD("tos.rtd",,"OPEN_INT","."&amp;M$2&amp;M$1&amp;"C"&amp;$A20)*RTD("tos.rtd",,"GAMMA","."&amp;M$2&amp;M$1&amp;"C"&amp;$A20)-$A$4*$A$4*RTD("tos.rtd",,"OPEN_INT","."&amp;M$2&amp;M$1&amp;"P"&amp;$A20)*RTD("tos.rtd",,"GAMMA","."&amp;M$2&amp;M$1&amp;"P"&amp;$A20))/1000000),0),IF($A$2="SKEW",IFERROR(VALUE(IF(RTD("tos.rtd",,"IMPL_VOL","."&amp;M$2&amp;M$1&amp;"P"&amp;$A20)="N/A",0,RTD("tos.rtd",,"IMPL_VOL","."&amp;M$2&amp;M$1&amp;"P"&amp;$A20))),0)-IFERROR(VALUE(IF(RTD("tos.rtd",,"IMPL_VOL","."&amp;M$2&amp;M$1&amp;"C"&amp;$A20)="N/A",0,RTD("tos.rtd",,"IMPL_VOL","."&amp;M$2&amp;M$1&amp;"C"&amp;$A20))),0),IF($A$2="MAXPAIN",IF($A$4&gt;$A20,($A$4-$A20)*IF(RTD("tos.rtd",,"OPEN_INT","."&amp;M$2&amp;M$1&amp;"C"&amp;$A20)="N/A",0,RTD("tos.rtd",,"OPEN_INT","."&amp;M$2&amp;M$1&amp;"C"&amp;$A20)),0)+IF($A$4&lt;$A20,($A$5-$A$4)*IF(RTD("tos.rtd",,"OPEN_INT","."&amp;M$2&amp;M$1&amp;"P"&amp;$A20)="N/A",0,RTD("tos.rtd",,"OPEN_INT","."&amp;M$2&amp;M$1&amp;"P"&amp;$A20)),0),IF($X$1="ABS",IF(RTD("tos.rtd",,$A$2,"."&amp;M$2&amp;M$1&amp;"C"&amp;$A20)="N/A",0,RTD("tos.rtd",,$A$2,"."&amp;M$2&amp;M$1&amp;"C"&amp;$A20))+IF(RTD("tos.rtd",,$A$2,"."&amp;M$2&amp;M$1&amp;"P"&amp;$A20)="N/A",0,RTD("tos.rtd",,$A$2,"."&amp;M$2&amp;M$1&amp;"P"&amp;$A20)),IF(RTD("tos.rtd",,$A$2,"."&amp;M$2&amp;M$1&amp;"C"&amp;$A20)="N/A",0,RTD("tos.rtd",,$A$2,"."&amp;M$2&amp;M$1&amp;"C"&amp;$A20))-IF(RTD("tos.rtd",,$A$2,"."&amp;M$2&amp;M$1&amp;"P"&amp;$A20)="N/A",0,RTD("tos.rtd",,$A$2,"."&amp;M$2&amp;M$1&amp;"P"&amp;$A20))))))))))</f>
        <v>0</v>
      </c>
      <c r="N20" s="12">
        <f ca="1">IF($A$2="PREMIUM_OI",IFERROR(IF($X$1="ABS",(100*RTD("tos.rtd",,"OPEN_INT","."&amp;N$2&amp;N$1&amp;"C"&amp;$A20)*RTD("tos.rtd",,"LAST","."&amp;N$2&amp;N$1&amp;"C"&amp;$A20)+100*RTD("tos.rtd",,"OPEN_INT","."&amp;N$2&amp;N$1&amp;"P"&amp;$A20)*RTD("tos.rtd",,"LAST","."&amp;N$2&amp;N$1&amp;"P"&amp;$A20))/1000000,(100*RTD("tos.rtd",,"OPEN_INT","."&amp;N$2&amp;N$1&amp;"C"&amp;$A20)*RTD("tos.rtd",,"LAST","."&amp;N$2&amp;N$1&amp;"C"&amp;$A20)-100*RTD("tos.rtd",,"OPEN_INT","."&amp;N$2&amp;N$1&amp;"P"&amp;$A20)*RTD("tos.rtd",,"LAST","."&amp;N$2&amp;N$1&amp;"P"&amp;$A20))/1000000),0),IF($A$2="PREMIUM",IFERROR(IF($X$1="ABS",(100*RTD("tos.rtd",,"VOLUME","."&amp;N$2&amp;N$1&amp;"C"&amp;$A20)*RTD("tos.rtd",,"LAST","."&amp;N$2&amp;N$1&amp;"C"&amp;$A20)+100*RTD("tos.rtd",,"VOLUME","."&amp;N$2&amp;N$1&amp;"P"&amp;$A20)*RTD("tos.rtd",,"LAST","."&amp;N$2&amp;N$1&amp;"P"&amp;$A20))/1000000,(100*RTD("tos.rtd",,"VOLUME","."&amp;N$2&amp;N$1&amp;"C"&amp;$A20)*RTD("tos.rtd",,"LAST","."&amp;N$2&amp;N$1&amp;"C"&amp;$A20)-100*RTD("tos.rtd",,"VOLUME","."&amp;N$2&amp;N$1&amp;"P"&amp;$A20)*RTD("tos.rtd",,"LAST","."&amp;N$2&amp;N$1&amp;"P"&amp;$A20))/1000000),0),IF($A$2="DEX",IFERROR(IF($X$1="ABS",(100*RTD("tos.rtd",,"OPEN_INT","."&amp;N$2&amp;N$1&amp;"C"&amp;$A20)*RTD("tos.rtd",,"DELTA","."&amp;N$2&amp;N$1&amp;"C"&amp;$A20)+100*RTD("tos.rtd",,"OPEN_INT","."&amp;N$2&amp;N$1&amp;"P"&amp;$A20)*RTD("tos.rtd",,"DELTA","."&amp;N$2&amp;N$1&amp;"P"&amp;$A20))/1000,(100*RTD("tos.rtd",,"OPEN_INT","."&amp;N$2&amp;N$1&amp;"C"&amp;$A20)*RTD("tos.rtd",,"DELTA","."&amp;N$2&amp;N$1&amp;"C"&amp;$A20)-100*RTD("tos.rtd",,"OPEN_INT","."&amp;N$2&amp;N$1&amp;"P"&amp;$A20)*RTD("tos.rtd",,"DELTA","."&amp;N$2&amp;N$1&amp;"P"&amp;$A20))/1000),0),IF($A$2="VEX",IFERROR(IF($X$1="ABS",($A$4*$A$4*RTD("tos.rtd",,"VOLUME","."&amp;N$2&amp;N$1&amp;"C"&amp;$A20)*RTD("tos.rtd",,"GAMMA","."&amp;N$2&amp;N$1&amp;"C"&amp;$A20)+$A$4*$A$4*RTD("tos.rtd",,"VOLUME","."&amp;N$2&amp;N$1&amp;"P"&amp;$A20)*RTD("tos.rtd",,"GAMMA","."&amp;N$2&amp;N$1&amp;"P"&amp;$A20))/1000000,($A$4*$A$4*RTD("tos.rtd",,"VOLUME","."&amp;N$2&amp;N$1&amp;"C"&amp;$A20)*RTD("tos.rtd",,"GAMMA","."&amp;N$2&amp;N$1&amp;"C"&amp;$A20)-$A$4*$A$4*RTD("tos.rtd",,"VOLUME","."&amp;N$2&amp;N$1&amp;"P"&amp;$A20)*RTD("tos.rtd",,"GAMMA","."&amp;N$2&amp;N$1&amp;"P"&amp;$A20))/1000000),0),IF($A$2="GEX",IFERROR(IF($X$1="ABS",($A$4*$A$4*RTD("tos.rtd",,"OPEN_INT","."&amp;N$2&amp;N$1&amp;"C"&amp;$A20)*RTD("tos.rtd",,"GAMMA","."&amp;N$2&amp;N$1&amp;"C"&amp;$A20)+$A$4*$A$4*RTD("tos.rtd",,"OPEN_INT","."&amp;N$2&amp;N$1&amp;"P"&amp;$A20)*RTD("tos.rtd",,"GAMMA","."&amp;N$2&amp;N$1&amp;"P"&amp;$A20))/1000000,($A$4*$A$4*RTD("tos.rtd",,"OPEN_INT","."&amp;N$2&amp;N$1&amp;"C"&amp;$A20)*RTD("tos.rtd",,"GAMMA","."&amp;N$2&amp;N$1&amp;"C"&amp;$A20)-$A$4*$A$4*RTD("tos.rtd",,"OPEN_INT","."&amp;N$2&amp;N$1&amp;"P"&amp;$A20)*RTD("tos.rtd",,"GAMMA","."&amp;N$2&amp;N$1&amp;"P"&amp;$A20))/1000000),0),IF($A$2="SKEW",IFERROR(VALUE(IF(RTD("tos.rtd",,"IMPL_VOL","."&amp;N$2&amp;N$1&amp;"P"&amp;$A20)="N/A",0,RTD("tos.rtd",,"IMPL_VOL","."&amp;N$2&amp;N$1&amp;"P"&amp;$A20))),0)-IFERROR(VALUE(IF(RTD("tos.rtd",,"IMPL_VOL","."&amp;N$2&amp;N$1&amp;"C"&amp;$A20)="N/A",0,RTD("tos.rtd",,"IMPL_VOL","."&amp;N$2&amp;N$1&amp;"C"&amp;$A20))),0),IF($A$2="MAXPAIN",IF($A$4&gt;$A20,($A$4-$A20)*IF(RTD("tos.rtd",,"OPEN_INT","."&amp;N$2&amp;N$1&amp;"C"&amp;$A20)="N/A",0,RTD("tos.rtd",,"OPEN_INT","."&amp;N$2&amp;N$1&amp;"C"&amp;$A20)),0)+IF($A$4&lt;$A20,($A$5-$A$4)*IF(RTD("tos.rtd",,"OPEN_INT","."&amp;N$2&amp;N$1&amp;"P"&amp;$A20)="N/A",0,RTD("tos.rtd",,"OPEN_INT","."&amp;N$2&amp;N$1&amp;"P"&amp;$A20)),0),IF($X$1="ABS",IF(RTD("tos.rtd",,$A$2,"."&amp;N$2&amp;N$1&amp;"C"&amp;$A20)="N/A",0,RTD("tos.rtd",,$A$2,"."&amp;N$2&amp;N$1&amp;"C"&amp;$A20))+IF(RTD("tos.rtd",,$A$2,"."&amp;N$2&amp;N$1&amp;"P"&amp;$A20)="N/A",0,RTD("tos.rtd",,$A$2,"."&amp;N$2&amp;N$1&amp;"P"&amp;$A20)),IF(RTD("tos.rtd",,$A$2,"."&amp;N$2&amp;N$1&amp;"C"&amp;$A20)="N/A",0,RTD("tos.rtd",,$A$2,"."&amp;N$2&amp;N$1&amp;"C"&amp;$A20))-IF(RTD("tos.rtd",,$A$2,"."&amp;N$2&amp;N$1&amp;"P"&amp;$A20)="N/A",0,RTD("tos.rtd",,$A$2,"."&amp;N$2&amp;N$1&amp;"P"&amp;$A20))))))))))</f>
        <v>0</v>
      </c>
      <c r="O20" s="12">
        <f ca="1">IF($A$2="PREMIUM_OI",IFERROR(IF($X$1="ABS",(100*RTD("tos.rtd",,"OPEN_INT","."&amp;O$2&amp;O$1&amp;"C"&amp;$A20)*RTD("tos.rtd",,"LAST","."&amp;O$2&amp;O$1&amp;"C"&amp;$A20)+100*RTD("tos.rtd",,"OPEN_INT","."&amp;O$2&amp;O$1&amp;"P"&amp;$A20)*RTD("tos.rtd",,"LAST","."&amp;O$2&amp;O$1&amp;"P"&amp;$A20))/1000000,(100*RTD("tos.rtd",,"OPEN_INT","."&amp;O$2&amp;O$1&amp;"C"&amp;$A20)*RTD("tos.rtd",,"LAST","."&amp;O$2&amp;O$1&amp;"C"&amp;$A20)-100*RTD("tos.rtd",,"OPEN_INT","."&amp;O$2&amp;O$1&amp;"P"&amp;$A20)*RTD("tos.rtd",,"LAST","."&amp;O$2&amp;O$1&amp;"P"&amp;$A20))/1000000),0),IF($A$2="PREMIUM",IFERROR(IF($X$1="ABS",(100*RTD("tos.rtd",,"VOLUME","."&amp;O$2&amp;O$1&amp;"C"&amp;$A20)*RTD("tos.rtd",,"LAST","."&amp;O$2&amp;O$1&amp;"C"&amp;$A20)+100*RTD("tos.rtd",,"VOLUME","."&amp;O$2&amp;O$1&amp;"P"&amp;$A20)*RTD("tos.rtd",,"LAST","."&amp;O$2&amp;O$1&amp;"P"&amp;$A20))/1000000,(100*RTD("tos.rtd",,"VOLUME","."&amp;O$2&amp;O$1&amp;"C"&amp;$A20)*RTD("tos.rtd",,"LAST","."&amp;O$2&amp;O$1&amp;"C"&amp;$A20)-100*RTD("tos.rtd",,"VOLUME","."&amp;O$2&amp;O$1&amp;"P"&amp;$A20)*RTD("tos.rtd",,"LAST","."&amp;O$2&amp;O$1&amp;"P"&amp;$A20))/1000000),0),IF($A$2="DEX",IFERROR(IF($X$1="ABS",(100*RTD("tos.rtd",,"OPEN_INT","."&amp;O$2&amp;O$1&amp;"C"&amp;$A20)*RTD("tos.rtd",,"DELTA","."&amp;O$2&amp;O$1&amp;"C"&amp;$A20)+100*RTD("tos.rtd",,"OPEN_INT","."&amp;O$2&amp;O$1&amp;"P"&amp;$A20)*RTD("tos.rtd",,"DELTA","."&amp;O$2&amp;O$1&amp;"P"&amp;$A20))/1000,(100*RTD("tos.rtd",,"OPEN_INT","."&amp;O$2&amp;O$1&amp;"C"&amp;$A20)*RTD("tos.rtd",,"DELTA","."&amp;O$2&amp;O$1&amp;"C"&amp;$A20)-100*RTD("tos.rtd",,"OPEN_INT","."&amp;O$2&amp;O$1&amp;"P"&amp;$A20)*RTD("tos.rtd",,"DELTA","."&amp;O$2&amp;O$1&amp;"P"&amp;$A20))/1000),0),IF($A$2="VEX",IFERROR(IF($X$1="ABS",($A$4*$A$4*RTD("tos.rtd",,"VOLUME","."&amp;O$2&amp;O$1&amp;"C"&amp;$A20)*RTD("tos.rtd",,"GAMMA","."&amp;O$2&amp;O$1&amp;"C"&amp;$A20)+$A$4*$A$4*RTD("tos.rtd",,"VOLUME","."&amp;O$2&amp;O$1&amp;"P"&amp;$A20)*RTD("tos.rtd",,"GAMMA","."&amp;O$2&amp;O$1&amp;"P"&amp;$A20))/1000000,($A$4*$A$4*RTD("tos.rtd",,"VOLUME","."&amp;O$2&amp;O$1&amp;"C"&amp;$A20)*RTD("tos.rtd",,"GAMMA","."&amp;O$2&amp;O$1&amp;"C"&amp;$A20)-$A$4*$A$4*RTD("tos.rtd",,"VOLUME","."&amp;O$2&amp;O$1&amp;"P"&amp;$A20)*RTD("tos.rtd",,"GAMMA","."&amp;O$2&amp;O$1&amp;"P"&amp;$A20))/1000000),0),IF($A$2="GEX",IFERROR(IF($X$1="ABS",($A$4*$A$4*RTD("tos.rtd",,"OPEN_INT","."&amp;O$2&amp;O$1&amp;"C"&amp;$A20)*RTD("tos.rtd",,"GAMMA","."&amp;O$2&amp;O$1&amp;"C"&amp;$A20)+$A$4*$A$4*RTD("tos.rtd",,"OPEN_INT","."&amp;O$2&amp;O$1&amp;"P"&amp;$A20)*RTD("tos.rtd",,"GAMMA","."&amp;O$2&amp;O$1&amp;"P"&amp;$A20))/1000000,($A$4*$A$4*RTD("tos.rtd",,"OPEN_INT","."&amp;O$2&amp;O$1&amp;"C"&amp;$A20)*RTD("tos.rtd",,"GAMMA","."&amp;O$2&amp;O$1&amp;"C"&amp;$A20)-$A$4*$A$4*RTD("tos.rtd",,"OPEN_INT","."&amp;O$2&amp;O$1&amp;"P"&amp;$A20)*RTD("tos.rtd",,"GAMMA","."&amp;O$2&amp;O$1&amp;"P"&amp;$A20))/1000000),0),IF($A$2="SKEW",IFERROR(VALUE(IF(RTD("tos.rtd",,"IMPL_VOL","."&amp;O$2&amp;O$1&amp;"P"&amp;$A20)="N/A",0,RTD("tos.rtd",,"IMPL_VOL","."&amp;O$2&amp;O$1&amp;"P"&amp;$A20))),0)-IFERROR(VALUE(IF(RTD("tos.rtd",,"IMPL_VOL","."&amp;O$2&amp;O$1&amp;"C"&amp;$A20)="N/A",0,RTD("tos.rtd",,"IMPL_VOL","."&amp;O$2&amp;O$1&amp;"C"&amp;$A20))),0),IF($A$2="MAXPAIN",IF($A$4&gt;$A20,($A$4-$A20)*IF(RTD("tos.rtd",,"OPEN_INT","."&amp;O$2&amp;O$1&amp;"C"&amp;$A20)="N/A",0,RTD("tos.rtd",,"OPEN_INT","."&amp;O$2&amp;O$1&amp;"C"&amp;$A20)),0)+IF($A$4&lt;$A20,($A$5-$A$4)*IF(RTD("tos.rtd",,"OPEN_INT","."&amp;O$2&amp;O$1&amp;"P"&amp;$A20)="N/A",0,RTD("tos.rtd",,"OPEN_INT","."&amp;O$2&amp;O$1&amp;"P"&amp;$A20)),0),IF($X$1="ABS",IF(RTD("tos.rtd",,$A$2,"."&amp;O$2&amp;O$1&amp;"C"&amp;$A20)="N/A",0,RTD("tos.rtd",,$A$2,"."&amp;O$2&amp;O$1&amp;"C"&amp;$A20))+IF(RTD("tos.rtd",,$A$2,"."&amp;O$2&amp;O$1&amp;"P"&amp;$A20)="N/A",0,RTD("tos.rtd",,$A$2,"."&amp;O$2&amp;O$1&amp;"P"&amp;$A20)),IF(RTD("tos.rtd",,$A$2,"."&amp;O$2&amp;O$1&amp;"C"&amp;$A20)="N/A",0,RTD("tos.rtd",,$A$2,"."&amp;O$2&amp;O$1&amp;"C"&amp;$A20))-IF(RTD("tos.rtd",,$A$2,"."&amp;O$2&amp;O$1&amp;"P"&amp;$A20)="N/A",0,RTD("tos.rtd",,$A$2,"."&amp;O$2&amp;O$1&amp;"P"&amp;$A20))))))))))</f>
        <v>0</v>
      </c>
      <c r="P20" s="12">
        <f ca="1">IF($A$2="PREMIUM_OI",IFERROR(IF($X$1="ABS",(100*RTD("tos.rtd",,"OPEN_INT","."&amp;P$2&amp;P$1&amp;"C"&amp;$A20)*RTD("tos.rtd",,"LAST","."&amp;P$2&amp;P$1&amp;"C"&amp;$A20)+100*RTD("tos.rtd",,"OPEN_INT","."&amp;P$2&amp;P$1&amp;"P"&amp;$A20)*RTD("tos.rtd",,"LAST","."&amp;P$2&amp;P$1&amp;"P"&amp;$A20))/1000000,(100*RTD("tos.rtd",,"OPEN_INT","."&amp;P$2&amp;P$1&amp;"C"&amp;$A20)*RTD("tos.rtd",,"LAST","."&amp;P$2&amp;P$1&amp;"C"&amp;$A20)-100*RTD("tos.rtd",,"OPEN_INT","."&amp;P$2&amp;P$1&amp;"P"&amp;$A20)*RTD("tos.rtd",,"LAST","."&amp;P$2&amp;P$1&amp;"P"&amp;$A20))/1000000),0),IF($A$2="PREMIUM",IFERROR(IF($X$1="ABS",(100*RTD("tos.rtd",,"VOLUME","."&amp;P$2&amp;P$1&amp;"C"&amp;$A20)*RTD("tos.rtd",,"LAST","."&amp;P$2&amp;P$1&amp;"C"&amp;$A20)+100*RTD("tos.rtd",,"VOLUME","."&amp;P$2&amp;P$1&amp;"P"&amp;$A20)*RTD("tos.rtd",,"LAST","."&amp;P$2&amp;P$1&amp;"P"&amp;$A20))/1000000,(100*RTD("tos.rtd",,"VOLUME","."&amp;P$2&amp;P$1&amp;"C"&amp;$A20)*RTD("tos.rtd",,"LAST","."&amp;P$2&amp;P$1&amp;"C"&amp;$A20)-100*RTD("tos.rtd",,"VOLUME","."&amp;P$2&amp;P$1&amp;"P"&amp;$A20)*RTD("tos.rtd",,"LAST","."&amp;P$2&amp;P$1&amp;"P"&amp;$A20))/1000000),0),IF($A$2="DEX",IFERROR(IF($X$1="ABS",(100*RTD("tos.rtd",,"OPEN_INT","."&amp;P$2&amp;P$1&amp;"C"&amp;$A20)*RTD("tos.rtd",,"DELTA","."&amp;P$2&amp;P$1&amp;"C"&amp;$A20)+100*RTD("tos.rtd",,"OPEN_INT","."&amp;P$2&amp;P$1&amp;"P"&amp;$A20)*RTD("tos.rtd",,"DELTA","."&amp;P$2&amp;P$1&amp;"P"&amp;$A20))/1000,(100*RTD("tos.rtd",,"OPEN_INT","."&amp;P$2&amp;P$1&amp;"C"&amp;$A20)*RTD("tos.rtd",,"DELTA","."&amp;P$2&amp;P$1&amp;"C"&amp;$A20)-100*RTD("tos.rtd",,"OPEN_INT","."&amp;P$2&amp;P$1&amp;"P"&amp;$A20)*RTD("tos.rtd",,"DELTA","."&amp;P$2&amp;P$1&amp;"P"&amp;$A20))/1000),0),IF($A$2="VEX",IFERROR(IF($X$1="ABS",($A$4*$A$4*RTD("tos.rtd",,"VOLUME","."&amp;P$2&amp;P$1&amp;"C"&amp;$A20)*RTD("tos.rtd",,"GAMMA","."&amp;P$2&amp;P$1&amp;"C"&amp;$A20)+$A$4*$A$4*RTD("tos.rtd",,"VOLUME","."&amp;P$2&amp;P$1&amp;"P"&amp;$A20)*RTD("tos.rtd",,"GAMMA","."&amp;P$2&amp;P$1&amp;"P"&amp;$A20))/1000000,($A$4*$A$4*RTD("tos.rtd",,"VOLUME","."&amp;P$2&amp;P$1&amp;"C"&amp;$A20)*RTD("tos.rtd",,"GAMMA","."&amp;P$2&amp;P$1&amp;"C"&amp;$A20)-$A$4*$A$4*RTD("tos.rtd",,"VOLUME","."&amp;P$2&amp;P$1&amp;"P"&amp;$A20)*RTD("tos.rtd",,"GAMMA","."&amp;P$2&amp;P$1&amp;"P"&amp;$A20))/1000000),0),IF($A$2="GEX",IFERROR(IF($X$1="ABS",($A$4*$A$4*RTD("tos.rtd",,"OPEN_INT","."&amp;P$2&amp;P$1&amp;"C"&amp;$A20)*RTD("tos.rtd",,"GAMMA","."&amp;P$2&amp;P$1&amp;"C"&amp;$A20)+$A$4*$A$4*RTD("tos.rtd",,"OPEN_INT","."&amp;P$2&amp;P$1&amp;"P"&amp;$A20)*RTD("tos.rtd",,"GAMMA","."&amp;P$2&amp;P$1&amp;"P"&amp;$A20))/1000000,($A$4*$A$4*RTD("tos.rtd",,"OPEN_INT","."&amp;P$2&amp;P$1&amp;"C"&amp;$A20)*RTD("tos.rtd",,"GAMMA","."&amp;P$2&amp;P$1&amp;"C"&amp;$A20)-$A$4*$A$4*RTD("tos.rtd",,"OPEN_INT","."&amp;P$2&amp;P$1&amp;"P"&amp;$A20)*RTD("tos.rtd",,"GAMMA","."&amp;P$2&amp;P$1&amp;"P"&amp;$A20))/1000000),0),IF($A$2="SKEW",IFERROR(VALUE(IF(RTD("tos.rtd",,"IMPL_VOL","."&amp;P$2&amp;P$1&amp;"P"&amp;$A20)="N/A",0,RTD("tos.rtd",,"IMPL_VOL","."&amp;P$2&amp;P$1&amp;"P"&amp;$A20))),0)-IFERROR(VALUE(IF(RTD("tos.rtd",,"IMPL_VOL","."&amp;P$2&amp;P$1&amp;"C"&amp;$A20)="N/A",0,RTD("tos.rtd",,"IMPL_VOL","."&amp;P$2&amp;P$1&amp;"C"&amp;$A20))),0),IF($A$2="MAXPAIN",IF($A$4&gt;$A20,($A$4-$A20)*IF(RTD("tos.rtd",,"OPEN_INT","."&amp;P$2&amp;P$1&amp;"C"&amp;$A20)="N/A",0,RTD("tos.rtd",,"OPEN_INT","."&amp;P$2&amp;P$1&amp;"C"&amp;$A20)),0)+IF($A$4&lt;$A20,($A$5-$A$4)*IF(RTD("tos.rtd",,"OPEN_INT","."&amp;P$2&amp;P$1&amp;"P"&amp;$A20)="N/A",0,RTD("tos.rtd",,"OPEN_INT","."&amp;P$2&amp;P$1&amp;"P"&amp;$A20)),0),IF($X$1="ABS",IF(RTD("tos.rtd",,$A$2,"."&amp;P$2&amp;P$1&amp;"C"&amp;$A20)="N/A",0,RTD("tos.rtd",,$A$2,"."&amp;P$2&amp;P$1&amp;"C"&amp;$A20))+IF(RTD("tos.rtd",,$A$2,"."&amp;P$2&amp;P$1&amp;"P"&amp;$A20)="N/A",0,RTD("tos.rtd",,$A$2,"."&amp;P$2&amp;P$1&amp;"P"&amp;$A20)),IF(RTD("tos.rtd",,$A$2,"."&amp;P$2&amp;P$1&amp;"C"&amp;$A20)="N/A",0,RTD("tos.rtd",,$A$2,"."&amp;P$2&amp;P$1&amp;"C"&amp;$A20))-IF(RTD("tos.rtd",,$A$2,"."&amp;P$2&amp;P$1&amp;"P"&amp;$A20)="N/A",0,RTD("tos.rtd",,$A$2,"."&amp;P$2&amp;P$1&amp;"P"&amp;$A20))))))))))</f>
        <v>0</v>
      </c>
      <c r="Q20" s="12">
        <f ca="1">IF($A$2="PREMIUM_OI",IFERROR(IF($X$1="ABS",(100*RTD("tos.rtd",,"OPEN_INT","."&amp;Q$2&amp;Q$1&amp;"C"&amp;$A20)*RTD("tos.rtd",,"LAST","."&amp;Q$2&amp;Q$1&amp;"C"&amp;$A20)+100*RTD("tos.rtd",,"OPEN_INT","."&amp;Q$2&amp;Q$1&amp;"P"&amp;$A20)*RTD("tos.rtd",,"LAST","."&amp;Q$2&amp;Q$1&amp;"P"&amp;$A20))/1000000,(100*RTD("tos.rtd",,"OPEN_INT","."&amp;Q$2&amp;Q$1&amp;"C"&amp;$A20)*RTD("tos.rtd",,"LAST","."&amp;Q$2&amp;Q$1&amp;"C"&amp;$A20)-100*RTD("tos.rtd",,"OPEN_INT","."&amp;Q$2&amp;Q$1&amp;"P"&amp;$A20)*RTD("tos.rtd",,"LAST","."&amp;Q$2&amp;Q$1&amp;"P"&amp;$A20))/1000000),0),IF($A$2="PREMIUM",IFERROR(IF($X$1="ABS",(100*RTD("tos.rtd",,"VOLUME","."&amp;Q$2&amp;Q$1&amp;"C"&amp;$A20)*RTD("tos.rtd",,"LAST","."&amp;Q$2&amp;Q$1&amp;"C"&amp;$A20)+100*RTD("tos.rtd",,"VOLUME","."&amp;Q$2&amp;Q$1&amp;"P"&amp;$A20)*RTD("tos.rtd",,"LAST","."&amp;Q$2&amp;Q$1&amp;"P"&amp;$A20))/1000000,(100*RTD("tos.rtd",,"VOLUME","."&amp;Q$2&amp;Q$1&amp;"C"&amp;$A20)*RTD("tos.rtd",,"LAST","."&amp;Q$2&amp;Q$1&amp;"C"&amp;$A20)-100*RTD("tos.rtd",,"VOLUME","."&amp;Q$2&amp;Q$1&amp;"P"&amp;$A20)*RTD("tos.rtd",,"LAST","."&amp;Q$2&amp;Q$1&amp;"P"&amp;$A20))/1000000),0),IF($A$2="DEX",IFERROR(IF($X$1="ABS",(100*RTD("tos.rtd",,"OPEN_INT","."&amp;Q$2&amp;Q$1&amp;"C"&amp;$A20)*RTD("tos.rtd",,"DELTA","."&amp;Q$2&amp;Q$1&amp;"C"&amp;$A20)+100*RTD("tos.rtd",,"OPEN_INT","."&amp;Q$2&amp;Q$1&amp;"P"&amp;$A20)*RTD("tos.rtd",,"DELTA","."&amp;Q$2&amp;Q$1&amp;"P"&amp;$A20))/1000,(100*RTD("tos.rtd",,"OPEN_INT","."&amp;Q$2&amp;Q$1&amp;"C"&amp;$A20)*RTD("tos.rtd",,"DELTA","."&amp;Q$2&amp;Q$1&amp;"C"&amp;$A20)-100*RTD("tos.rtd",,"OPEN_INT","."&amp;Q$2&amp;Q$1&amp;"P"&amp;$A20)*RTD("tos.rtd",,"DELTA","."&amp;Q$2&amp;Q$1&amp;"P"&amp;$A20))/1000),0),IF($A$2="VEX",IFERROR(IF($X$1="ABS",($A$4*$A$4*RTD("tos.rtd",,"VOLUME","."&amp;Q$2&amp;Q$1&amp;"C"&amp;$A20)*RTD("tos.rtd",,"GAMMA","."&amp;Q$2&amp;Q$1&amp;"C"&amp;$A20)+$A$4*$A$4*RTD("tos.rtd",,"VOLUME","."&amp;Q$2&amp;Q$1&amp;"P"&amp;$A20)*RTD("tos.rtd",,"GAMMA","."&amp;Q$2&amp;Q$1&amp;"P"&amp;$A20))/1000000,($A$4*$A$4*RTD("tos.rtd",,"VOLUME","."&amp;Q$2&amp;Q$1&amp;"C"&amp;$A20)*RTD("tos.rtd",,"GAMMA","."&amp;Q$2&amp;Q$1&amp;"C"&amp;$A20)-$A$4*$A$4*RTD("tos.rtd",,"VOLUME","."&amp;Q$2&amp;Q$1&amp;"P"&amp;$A20)*RTD("tos.rtd",,"GAMMA","."&amp;Q$2&amp;Q$1&amp;"P"&amp;$A20))/1000000),0),IF($A$2="GEX",IFERROR(IF($X$1="ABS",($A$4*$A$4*RTD("tos.rtd",,"OPEN_INT","."&amp;Q$2&amp;Q$1&amp;"C"&amp;$A20)*RTD("tos.rtd",,"GAMMA","."&amp;Q$2&amp;Q$1&amp;"C"&amp;$A20)+$A$4*$A$4*RTD("tos.rtd",,"OPEN_INT","."&amp;Q$2&amp;Q$1&amp;"P"&amp;$A20)*RTD("tos.rtd",,"GAMMA","."&amp;Q$2&amp;Q$1&amp;"P"&amp;$A20))/1000000,($A$4*$A$4*RTD("tos.rtd",,"OPEN_INT","."&amp;Q$2&amp;Q$1&amp;"C"&amp;$A20)*RTD("tos.rtd",,"GAMMA","."&amp;Q$2&amp;Q$1&amp;"C"&amp;$A20)-$A$4*$A$4*RTD("tos.rtd",,"OPEN_INT","."&amp;Q$2&amp;Q$1&amp;"P"&amp;$A20)*RTD("tos.rtd",,"GAMMA","."&amp;Q$2&amp;Q$1&amp;"P"&amp;$A20))/1000000),0),IF($A$2="SKEW",IFERROR(VALUE(IF(RTD("tos.rtd",,"IMPL_VOL","."&amp;Q$2&amp;Q$1&amp;"P"&amp;$A20)="N/A",0,RTD("tos.rtd",,"IMPL_VOL","."&amp;Q$2&amp;Q$1&amp;"P"&amp;$A20))),0)-IFERROR(VALUE(IF(RTD("tos.rtd",,"IMPL_VOL","."&amp;Q$2&amp;Q$1&amp;"C"&amp;$A20)="N/A",0,RTD("tos.rtd",,"IMPL_VOL","."&amp;Q$2&amp;Q$1&amp;"C"&amp;$A20))),0),IF($A$2="MAXPAIN",IF($A$4&gt;$A20,($A$4-$A20)*IF(RTD("tos.rtd",,"OPEN_INT","."&amp;Q$2&amp;Q$1&amp;"C"&amp;$A20)="N/A",0,RTD("tos.rtd",,"OPEN_INT","."&amp;Q$2&amp;Q$1&amp;"C"&amp;$A20)),0)+IF($A$4&lt;$A20,($A$5-$A$4)*IF(RTD("tos.rtd",,"OPEN_INT","."&amp;Q$2&amp;Q$1&amp;"P"&amp;$A20)="N/A",0,RTD("tos.rtd",,"OPEN_INT","."&amp;Q$2&amp;Q$1&amp;"P"&amp;$A20)),0),IF($X$1="ABS",IF(RTD("tos.rtd",,$A$2,"."&amp;Q$2&amp;Q$1&amp;"C"&amp;$A20)="N/A",0,RTD("tos.rtd",,$A$2,"."&amp;Q$2&amp;Q$1&amp;"C"&amp;$A20))+IF(RTD("tos.rtd",,$A$2,"."&amp;Q$2&amp;Q$1&amp;"P"&amp;$A20)="N/A",0,RTD("tos.rtd",,$A$2,"."&amp;Q$2&amp;Q$1&amp;"P"&amp;$A20)),IF(RTD("tos.rtd",,$A$2,"."&amp;Q$2&amp;Q$1&amp;"C"&amp;$A20)="N/A",0,RTD("tos.rtd",,$A$2,"."&amp;Q$2&amp;Q$1&amp;"C"&amp;$A20))-IF(RTD("tos.rtd",,$A$2,"."&amp;Q$2&amp;Q$1&amp;"P"&amp;$A20)="N/A",0,RTD("tos.rtd",,$A$2,"."&amp;Q$2&amp;Q$1&amp;"P"&amp;$A20))))))))))</f>
        <v>0</v>
      </c>
      <c r="R20" s="12">
        <f ca="1">IF($A$2="PREMIUM_OI",IFERROR(IF($X$1="ABS",(100*RTD("tos.rtd",,"OPEN_INT","."&amp;R$2&amp;R$1&amp;"C"&amp;$A20)*RTD("tos.rtd",,"LAST","."&amp;R$2&amp;R$1&amp;"C"&amp;$A20)+100*RTD("tos.rtd",,"OPEN_INT","."&amp;R$2&amp;R$1&amp;"P"&amp;$A20)*RTD("tos.rtd",,"LAST","."&amp;R$2&amp;R$1&amp;"P"&amp;$A20))/1000000,(100*RTD("tos.rtd",,"OPEN_INT","."&amp;R$2&amp;R$1&amp;"C"&amp;$A20)*RTD("tos.rtd",,"LAST","."&amp;R$2&amp;R$1&amp;"C"&amp;$A20)-100*RTD("tos.rtd",,"OPEN_INT","."&amp;R$2&amp;R$1&amp;"P"&amp;$A20)*RTD("tos.rtd",,"LAST","."&amp;R$2&amp;R$1&amp;"P"&amp;$A20))/1000000),0),IF($A$2="PREMIUM",IFERROR(IF($X$1="ABS",(100*RTD("tos.rtd",,"VOLUME","."&amp;R$2&amp;R$1&amp;"C"&amp;$A20)*RTD("tos.rtd",,"LAST","."&amp;R$2&amp;R$1&amp;"C"&amp;$A20)+100*RTD("tos.rtd",,"VOLUME","."&amp;R$2&amp;R$1&amp;"P"&amp;$A20)*RTD("tos.rtd",,"LAST","."&amp;R$2&amp;R$1&amp;"P"&amp;$A20))/1000000,(100*RTD("tos.rtd",,"VOLUME","."&amp;R$2&amp;R$1&amp;"C"&amp;$A20)*RTD("tos.rtd",,"LAST","."&amp;R$2&amp;R$1&amp;"C"&amp;$A20)-100*RTD("tos.rtd",,"VOLUME","."&amp;R$2&amp;R$1&amp;"P"&amp;$A20)*RTD("tos.rtd",,"LAST","."&amp;R$2&amp;R$1&amp;"P"&amp;$A20))/1000000),0),IF($A$2="DEX",IFERROR(IF($X$1="ABS",(100*RTD("tos.rtd",,"OPEN_INT","."&amp;R$2&amp;R$1&amp;"C"&amp;$A20)*RTD("tos.rtd",,"DELTA","."&amp;R$2&amp;R$1&amp;"C"&amp;$A20)+100*RTD("tos.rtd",,"OPEN_INT","."&amp;R$2&amp;R$1&amp;"P"&amp;$A20)*RTD("tos.rtd",,"DELTA","."&amp;R$2&amp;R$1&amp;"P"&amp;$A20))/1000,(100*RTD("tos.rtd",,"OPEN_INT","."&amp;R$2&amp;R$1&amp;"C"&amp;$A20)*RTD("tos.rtd",,"DELTA","."&amp;R$2&amp;R$1&amp;"C"&amp;$A20)-100*RTD("tos.rtd",,"OPEN_INT","."&amp;R$2&amp;R$1&amp;"P"&amp;$A20)*RTD("tos.rtd",,"DELTA","."&amp;R$2&amp;R$1&amp;"P"&amp;$A20))/1000),0),IF($A$2="VEX",IFERROR(IF($X$1="ABS",($A$4*$A$4*RTD("tos.rtd",,"VOLUME","."&amp;R$2&amp;R$1&amp;"C"&amp;$A20)*RTD("tos.rtd",,"GAMMA","."&amp;R$2&amp;R$1&amp;"C"&amp;$A20)+$A$4*$A$4*RTD("tos.rtd",,"VOLUME","."&amp;R$2&amp;R$1&amp;"P"&amp;$A20)*RTD("tos.rtd",,"GAMMA","."&amp;R$2&amp;R$1&amp;"P"&amp;$A20))/1000000,($A$4*$A$4*RTD("tos.rtd",,"VOLUME","."&amp;R$2&amp;R$1&amp;"C"&amp;$A20)*RTD("tos.rtd",,"GAMMA","."&amp;R$2&amp;R$1&amp;"C"&amp;$A20)-$A$4*$A$4*RTD("tos.rtd",,"VOLUME","."&amp;R$2&amp;R$1&amp;"P"&amp;$A20)*RTD("tos.rtd",,"GAMMA","."&amp;R$2&amp;R$1&amp;"P"&amp;$A20))/1000000),0),IF($A$2="GEX",IFERROR(IF($X$1="ABS",($A$4*$A$4*RTD("tos.rtd",,"OPEN_INT","."&amp;R$2&amp;R$1&amp;"C"&amp;$A20)*RTD("tos.rtd",,"GAMMA","."&amp;R$2&amp;R$1&amp;"C"&amp;$A20)+$A$4*$A$4*RTD("tos.rtd",,"OPEN_INT","."&amp;R$2&amp;R$1&amp;"P"&amp;$A20)*RTD("tos.rtd",,"GAMMA","."&amp;R$2&amp;R$1&amp;"P"&amp;$A20))/1000000,($A$4*$A$4*RTD("tos.rtd",,"OPEN_INT","."&amp;R$2&amp;R$1&amp;"C"&amp;$A20)*RTD("tos.rtd",,"GAMMA","."&amp;R$2&amp;R$1&amp;"C"&amp;$A20)-$A$4*$A$4*RTD("tos.rtd",,"OPEN_INT","."&amp;R$2&amp;R$1&amp;"P"&amp;$A20)*RTD("tos.rtd",,"GAMMA","."&amp;R$2&amp;R$1&amp;"P"&amp;$A20))/1000000),0),IF($A$2="SKEW",IFERROR(VALUE(IF(RTD("tos.rtd",,"IMPL_VOL","."&amp;R$2&amp;R$1&amp;"P"&amp;$A20)="N/A",0,RTD("tos.rtd",,"IMPL_VOL","."&amp;R$2&amp;R$1&amp;"P"&amp;$A20))),0)-IFERROR(VALUE(IF(RTD("tos.rtd",,"IMPL_VOL","."&amp;R$2&amp;R$1&amp;"C"&amp;$A20)="N/A",0,RTD("tos.rtd",,"IMPL_VOL","."&amp;R$2&amp;R$1&amp;"C"&amp;$A20))),0),IF($A$2="MAXPAIN",IF($A$4&gt;$A20,($A$4-$A20)*IF(RTD("tos.rtd",,"OPEN_INT","."&amp;R$2&amp;R$1&amp;"C"&amp;$A20)="N/A",0,RTD("tos.rtd",,"OPEN_INT","."&amp;R$2&amp;R$1&amp;"C"&amp;$A20)),0)+IF($A$4&lt;$A20,($A$5-$A$4)*IF(RTD("tos.rtd",,"OPEN_INT","."&amp;R$2&amp;R$1&amp;"P"&amp;$A20)="N/A",0,RTD("tos.rtd",,"OPEN_INT","."&amp;R$2&amp;R$1&amp;"P"&amp;$A20)),0),IF($X$1="ABS",IF(RTD("tos.rtd",,$A$2,"."&amp;R$2&amp;R$1&amp;"C"&amp;$A20)="N/A",0,RTD("tos.rtd",,$A$2,"."&amp;R$2&amp;R$1&amp;"C"&amp;$A20))+IF(RTD("tos.rtd",,$A$2,"."&amp;R$2&amp;R$1&amp;"P"&amp;$A20)="N/A",0,RTD("tos.rtd",,$A$2,"."&amp;R$2&amp;R$1&amp;"P"&amp;$A20)),IF(RTD("tos.rtd",,$A$2,"."&amp;R$2&amp;R$1&amp;"C"&amp;$A20)="N/A",0,RTD("tos.rtd",,$A$2,"."&amp;R$2&amp;R$1&amp;"C"&amp;$A20))-IF(RTD("tos.rtd",,$A$2,"."&amp;R$2&amp;R$1&amp;"P"&amp;$A20)="N/A",0,RTD("tos.rtd",,$A$2,"."&amp;R$2&amp;R$1&amp;"P"&amp;$A20))))))))))</f>
        <v>0</v>
      </c>
      <c r="S20" s="12">
        <f ca="1">IF($A$2="PREMIUM_OI",IFERROR(IF($X$1="ABS",(100*RTD("tos.rtd",,"OPEN_INT","."&amp;S$2&amp;S$1&amp;"C"&amp;$A20)*RTD("tos.rtd",,"LAST","."&amp;S$2&amp;S$1&amp;"C"&amp;$A20)+100*RTD("tos.rtd",,"OPEN_INT","."&amp;S$2&amp;S$1&amp;"P"&amp;$A20)*RTD("tos.rtd",,"LAST","."&amp;S$2&amp;S$1&amp;"P"&amp;$A20))/1000000,(100*RTD("tos.rtd",,"OPEN_INT","."&amp;S$2&amp;S$1&amp;"C"&amp;$A20)*RTD("tos.rtd",,"LAST","."&amp;S$2&amp;S$1&amp;"C"&amp;$A20)-100*RTD("tos.rtd",,"OPEN_INT","."&amp;S$2&amp;S$1&amp;"P"&amp;$A20)*RTD("tos.rtd",,"LAST","."&amp;S$2&amp;S$1&amp;"P"&amp;$A20))/1000000),0),IF($A$2="PREMIUM",IFERROR(IF($X$1="ABS",(100*RTD("tos.rtd",,"VOLUME","."&amp;S$2&amp;S$1&amp;"C"&amp;$A20)*RTD("tos.rtd",,"LAST","."&amp;S$2&amp;S$1&amp;"C"&amp;$A20)+100*RTD("tos.rtd",,"VOLUME","."&amp;S$2&amp;S$1&amp;"P"&amp;$A20)*RTD("tos.rtd",,"LAST","."&amp;S$2&amp;S$1&amp;"P"&amp;$A20))/1000000,(100*RTD("tos.rtd",,"VOLUME","."&amp;S$2&amp;S$1&amp;"C"&amp;$A20)*RTD("tos.rtd",,"LAST","."&amp;S$2&amp;S$1&amp;"C"&amp;$A20)-100*RTD("tos.rtd",,"VOLUME","."&amp;S$2&amp;S$1&amp;"P"&amp;$A20)*RTD("tos.rtd",,"LAST","."&amp;S$2&amp;S$1&amp;"P"&amp;$A20))/1000000),0),IF($A$2="DEX",IFERROR(IF($X$1="ABS",(100*RTD("tos.rtd",,"OPEN_INT","."&amp;S$2&amp;S$1&amp;"C"&amp;$A20)*RTD("tos.rtd",,"DELTA","."&amp;S$2&amp;S$1&amp;"C"&amp;$A20)+100*RTD("tos.rtd",,"OPEN_INT","."&amp;S$2&amp;S$1&amp;"P"&amp;$A20)*RTD("tos.rtd",,"DELTA","."&amp;S$2&amp;S$1&amp;"P"&amp;$A20))/1000,(100*RTD("tos.rtd",,"OPEN_INT","."&amp;S$2&amp;S$1&amp;"C"&amp;$A20)*RTD("tos.rtd",,"DELTA","."&amp;S$2&amp;S$1&amp;"C"&amp;$A20)-100*RTD("tos.rtd",,"OPEN_INT","."&amp;S$2&amp;S$1&amp;"P"&amp;$A20)*RTD("tos.rtd",,"DELTA","."&amp;S$2&amp;S$1&amp;"P"&amp;$A20))/1000),0),IF($A$2="VEX",IFERROR(IF($X$1="ABS",($A$4*$A$4*RTD("tos.rtd",,"VOLUME","."&amp;S$2&amp;S$1&amp;"C"&amp;$A20)*RTD("tos.rtd",,"GAMMA","."&amp;S$2&amp;S$1&amp;"C"&amp;$A20)+$A$4*$A$4*RTD("tos.rtd",,"VOLUME","."&amp;S$2&amp;S$1&amp;"P"&amp;$A20)*RTD("tos.rtd",,"GAMMA","."&amp;S$2&amp;S$1&amp;"P"&amp;$A20))/1000000,($A$4*$A$4*RTD("tos.rtd",,"VOLUME","."&amp;S$2&amp;S$1&amp;"C"&amp;$A20)*RTD("tos.rtd",,"GAMMA","."&amp;S$2&amp;S$1&amp;"C"&amp;$A20)-$A$4*$A$4*RTD("tos.rtd",,"VOLUME","."&amp;S$2&amp;S$1&amp;"P"&amp;$A20)*RTD("tos.rtd",,"GAMMA","."&amp;S$2&amp;S$1&amp;"P"&amp;$A20))/1000000),0),IF($A$2="GEX",IFERROR(IF($X$1="ABS",($A$4*$A$4*RTD("tos.rtd",,"OPEN_INT","."&amp;S$2&amp;S$1&amp;"C"&amp;$A20)*RTD("tos.rtd",,"GAMMA","."&amp;S$2&amp;S$1&amp;"C"&amp;$A20)+$A$4*$A$4*RTD("tos.rtd",,"OPEN_INT","."&amp;S$2&amp;S$1&amp;"P"&amp;$A20)*RTD("tos.rtd",,"GAMMA","."&amp;S$2&amp;S$1&amp;"P"&amp;$A20))/1000000,($A$4*$A$4*RTD("tos.rtd",,"OPEN_INT","."&amp;S$2&amp;S$1&amp;"C"&amp;$A20)*RTD("tos.rtd",,"GAMMA","."&amp;S$2&amp;S$1&amp;"C"&amp;$A20)-$A$4*$A$4*RTD("tos.rtd",,"OPEN_INT","."&amp;S$2&amp;S$1&amp;"P"&amp;$A20)*RTD("tos.rtd",,"GAMMA","."&amp;S$2&amp;S$1&amp;"P"&amp;$A20))/1000000),0),IF($A$2="SKEW",IFERROR(VALUE(IF(RTD("tos.rtd",,"IMPL_VOL","."&amp;S$2&amp;S$1&amp;"P"&amp;$A20)="N/A",0,RTD("tos.rtd",,"IMPL_VOL","."&amp;S$2&amp;S$1&amp;"P"&amp;$A20))),0)-IFERROR(VALUE(IF(RTD("tos.rtd",,"IMPL_VOL","."&amp;S$2&amp;S$1&amp;"C"&amp;$A20)="N/A",0,RTD("tos.rtd",,"IMPL_VOL","."&amp;S$2&amp;S$1&amp;"C"&amp;$A20))),0),IF($A$2="MAXPAIN",IF($A$4&gt;$A20,($A$4-$A20)*IF(RTD("tos.rtd",,"OPEN_INT","."&amp;S$2&amp;S$1&amp;"C"&amp;$A20)="N/A",0,RTD("tos.rtd",,"OPEN_INT","."&amp;S$2&amp;S$1&amp;"C"&amp;$A20)),0)+IF($A$4&lt;$A20,($A$5-$A$4)*IF(RTD("tos.rtd",,"OPEN_INT","."&amp;S$2&amp;S$1&amp;"P"&amp;$A20)="N/A",0,RTD("tos.rtd",,"OPEN_INT","."&amp;S$2&amp;S$1&amp;"P"&amp;$A20)),0),IF($X$1="ABS",IF(RTD("tos.rtd",,$A$2,"."&amp;S$2&amp;S$1&amp;"C"&amp;$A20)="N/A",0,RTD("tos.rtd",,$A$2,"."&amp;S$2&amp;S$1&amp;"C"&amp;$A20))+IF(RTD("tos.rtd",,$A$2,"."&amp;S$2&amp;S$1&amp;"P"&amp;$A20)="N/A",0,RTD("tos.rtd",,$A$2,"."&amp;S$2&amp;S$1&amp;"P"&amp;$A20)),IF(RTD("tos.rtd",,$A$2,"."&amp;S$2&amp;S$1&amp;"C"&amp;$A20)="N/A",0,RTD("tos.rtd",,$A$2,"."&amp;S$2&amp;S$1&amp;"C"&amp;$A20))-IF(RTD("tos.rtd",,$A$2,"."&amp;S$2&amp;S$1&amp;"P"&amp;$A20)="N/A",0,RTD("tos.rtd",,$A$2,"."&amp;S$2&amp;S$1&amp;"P"&amp;$A20))))))))))</f>
        <v>0</v>
      </c>
      <c r="T20" s="12">
        <f ca="1">IF($A$2="PREMIUM_OI",IFERROR(IF($X$1="ABS",(100*RTD("tos.rtd",,"OPEN_INT","."&amp;T$2&amp;T$1&amp;"C"&amp;$A20)*RTD("tos.rtd",,"LAST","."&amp;T$2&amp;T$1&amp;"C"&amp;$A20)+100*RTD("tos.rtd",,"OPEN_INT","."&amp;T$2&amp;T$1&amp;"P"&amp;$A20)*RTD("tos.rtd",,"LAST","."&amp;T$2&amp;T$1&amp;"P"&amp;$A20))/1000000,(100*RTD("tos.rtd",,"OPEN_INT","."&amp;T$2&amp;T$1&amp;"C"&amp;$A20)*RTD("tos.rtd",,"LAST","."&amp;T$2&amp;T$1&amp;"C"&amp;$A20)-100*RTD("tos.rtd",,"OPEN_INT","."&amp;T$2&amp;T$1&amp;"P"&amp;$A20)*RTD("tos.rtd",,"LAST","."&amp;T$2&amp;T$1&amp;"P"&amp;$A20))/1000000),0),IF($A$2="PREMIUM",IFERROR(IF($X$1="ABS",(100*RTD("tos.rtd",,"VOLUME","."&amp;T$2&amp;T$1&amp;"C"&amp;$A20)*RTD("tos.rtd",,"LAST","."&amp;T$2&amp;T$1&amp;"C"&amp;$A20)+100*RTD("tos.rtd",,"VOLUME","."&amp;T$2&amp;T$1&amp;"P"&amp;$A20)*RTD("tos.rtd",,"LAST","."&amp;T$2&amp;T$1&amp;"P"&amp;$A20))/1000000,(100*RTD("tos.rtd",,"VOLUME","."&amp;T$2&amp;T$1&amp;"C"&amp;$A20)*RTD("tos.rtd",,"LAST","."&amp;T$2&amp;T$1&amp;"C"&amp;$A20)-100*RTD("tos.rtd",,"VOLUME","."&amp;T$2&amp;T$1&amp;"P"&amp;$A20)*RTD("tos.rtd",,"LAST","."&amp;T$2&amp;T$1&amp;"P"&amp;$A20))/1000000),0),IF($A$2="DEX",IFERROR(IF($X$1="ABS",(100*RTD("tos.rtd",,"OPEN_INT","."&amp;T$2&amp;T$1&amp;"C"&amp;$A20)*RTD("tos.rtd",,"DELTA","."&amp;T$2&amp;T$1&amp;"C"&amp;$A20)+100*RTD("tos.rtd",,"OPEN_INT","."&amp;T$2&amp;T$1&amp;"P"&amp;$A20)*RTD("tos.rtd",,"DELTA","."&amp;T$2&amp;T$1&amp;"P"&amp;$A20))/1000,(100*RTD("tos.rtd",,"OPEN_INT","."&amp;T$2&amp;T$1&amp;"C"&amp;$A20)*RTD("tos.rtd",,"DELTA","."&amp;T$2&amp;T$1&amp;"C"&amp;$A20)-100*RTD("tos.rtd",,"OPEN_INT","."&amp;T$2&amp;T$1&amp;"P"&amp;$A20)*RTD("tos.rtd",,"DELTA","."&amp;T$2&amp;T$1&amp;"P"&amp;$A20))/1000),0),IF($A$2="VEX",IFERROR(IF($X$1="ABS",($A$4*$A$4*RTD("tos.rtd",,"VOLUME","."&amp;T$2&amp;T$1&amp;"C"&amp;$A20)*RTD("tos.rtd",,"GAMMA","."&amp;T$2&amp;T$1&amp;"C"&amp;$A20)+$A$4*$A$4*RTD("tos.rtd",,"VOLUME","."&amp;T$2&amp;T$1&amp;"P"&amp;$A20)*RTD("tos.rtd",,"GAMMA","."&amp;T$2&amp;T$1&amp;"P"&amp;$A20))/1000000,($A$4*$A$4*RTD("tos.rtd",,"VOLUME","."&amp;T$2&amp;T$1&amp;"C"&amp;$A20)*RTD("tos.rtd",,"GAMMA","."&amp;T$2&amp;T$1&amp;"C"&amp;$A20)-$A$4*$A$4*RTD("tos.rtd",,"VOLUME","."&amp;T$2&amp;T$1&amp;"P"&amp;$A20)*RTD("tos.rtd",,"GAMMA","."&amp;T$2&amp;T$1&amp;"P"&amp;$A20))/1000000),0),IF($A$2="GEX",IFERROR(IF($X$1="ABS",($A$4*$A$4*RTD("tos.rtd",,"OPEN_INT","."&amp;T$2&amp;T$1&amp;"C"&amp;$A20)*RTD("tos.rtd",,"GAMMA","."&amp;T$2&amp;T$1&amp;"C"&amp;$A20)+$A$4*$A$4*RTD("tos.rtd",,"OPEN_INT","."&amp;T$2&amp;T$1&amp;"P"&amp;$A20)*RTD("tos.rtd",,"GAMMA","."&amp;T$2&amp;T$1&amp;"P"&amp;$A20))/1000000,($A$4*$A$4*RTD("tos.rtd",,"OPEN_INT","."&amp;T$2&amp;T$1&amp;"C"&amp;$A20)*RTD("tos.rtd",,"GAMMA","."&amp;T$2&amp;T$1&amp;"C"&amp;$A20)-$A$4*$A$4*RTD("tos.rtd",,"OPEN_INT","."&amp;T$2&amp;T$1&amp;"P"&amp;$A20)*RTD("tos.rtd",,"GAMMA","."&amp;T$2&amp;T$1&amp;"P"&amp;$A20))/1000000),0),IF($A$2="SKEW",IFERROR(VALUE(IF(RTD("tos.rtd",,"IMPL_VOL","."&amp;T$2&amp;T$1&amp;"P"&amp;$A20)="N/A",0,RTD("tos.rtd",,"IMPL_VOL","."&amp;T$2&amp;T$1&amp;"P"&amp;$A20))),0)-IFERROR(VALUE(IF(RTD("tos.rtd",,"IMPL_VOL","."&amp;T$2&amp;T$1&amp;"C"&amp;$A20)="N/A",0,RTD("tos.rtd",,"IMPL_VOL","."&amp;T$2&amp;T$1&amp;"C"&amp;$A20))),0),IF($A$2="MAXPAIN",IF($A$4&gt;$A20,($A$4-$A20)*IF(RTD("tos.rtd",,"OPEN_INT","."&amp;T$2&amp;T$1&amp;"C"&amp;$A20)="N/A",0,RTD("tos.rtd",,"OPEN_INT","."&amp;T$2&amp;T$1&amp;"C"&amp;$A20)),0)+IF($A$4&lt;$A20,($A$5-$A$4)*IF(RTD("tos.rtd",,"OPEN_INT","."&amp;T$2&amp;T$1&amp;"P"&amp;$A20)="N/A",0,RTD("tos.rtd",,"OPEN_INT","."&amp;T$2&amp;T$1&amp;"P"&amp;$A20)),0),IF($X$1="ABS",IF(RTD("tos.rtd",,$A$2,"."&amp;T$2&amp;T$1&amp;"C"&amp;$A20)="N/A",0,RTD("tos.rtd",,$A$2,"."&amp;T$2&amp;T$1&amp;"C"&amp;$A20))+IF(RTD("tos.rtd",,$A$2,"."&amp;T$2&amp;T$1&amp;"P"&amp;$A20)="N/A",0,RTD("tos.rtd",,$A$2,"."&amp;T$2&amp;T$1&amp;"P"&amp;$A20)),IF(RTD("tos.rtd",,$A$2,"."&amp;T$2&amp;T$1&amp;"C"&amp;$A20)="N/A",0,RTD("tos.rtd",,$A$2,"."&amp;T$2&amp;T$1&amp;"C"&amp;$A20))-IF(RTD("tos.rtd",,$A$2,"."&amp;T$2&amp;T$1&amp;"P"&amp;$A20)="N/A",0,RTD("tos.rtd",,$A$2,"."&amp;T$2&amp;T$1&amp;"P"&amp;$A20))))))))))</f>
        <v>0</v>
      </c>
      <c r="U20" s="12">
        <f ca="1">IF($A$2="PREMIUM_OI",IFERROR(IF($X$1="ABS",(100*RTD("tos.rtd",,"OPEN_INT","."&amp;U$2&amp;U$1&amp;"C"&amp;$A20)*RTD("tos.rtd",,"LAST","."&amp;U$2&amp;U$1&amp;"C"&amp;$A20)+100*RTD("tos.rtd",,"OPEN_INT","."&amp;U$2&amp;U$1&amp;"P"&amp;$A20)*RTD("tos.rtd",,"LAST","."&amp;U$2&amp;U$1&amp;"P"&amp;$A20))/1000000,(100*RTD("tos.rtd",,"OPEN_INT","."&amp;U$2&amp;U$1&amp;"C"&amp;$A20)*RTD("tos.rtd",,"LAST","."&amp;U$2&amp;U$1&amp;"C"&amp;$A20)-100*RTD("tos.rtd",,"OPEN_INT","."&amp;U$2&amp;U$1&amp;"P"&amp;$A20)*RTD("tos.rtd",,"LAST","."&amp;U$2&amp;U$1&amp;"P"&amp;$A20))/1000000),0),IF($A$2="PREMIUM",IFERROR(IF($X$1="ABS",(100*RTD("tos.rtd",,"VOLUME","."&amp;U$2&amp;U$1&amp;"C"&amp;$A20)*RTD("tos.rtd",,"LAST","."&amp;U$2&amp;U$1&amp;"C"&amp;$A20)+100*RTD("tos.rtd",,"VOLUME","."&amp;U$2&amp;U$1&amp;"P"&amp;$A20)*RTD("tos.rtd",,"LAST","."&amp;U$2&amp;U$1&amp;"P"&amp;$A20))/1000000,(100*RTD("tos.rtd",,"VOLUME","."&amp;U$2&amp;U$1&amp;"C"&amp;$A20)*RTD("tos.rtd",,"LAST","."&amp;U$2&amp;U$1&amp;"C"&amp;$A20)-100*RTD("tos.rtd",,"VOLUME","."&amp;U$2&amp;U$1&amp;"P"&amp;$A20)*RTD("tos.rtd",,"LAST","."&amp;U$2&amp;U$1&amp;"P"&amp;$A20))/1000000),0),IF($A$2="DEX",IFERROR(IF($X$1="ABS",(100*RTD("tos.rtd",,"OPEN_INT","."&amp;U$2&amp;U$1&amp;"C"&amp;$A20)*RTD("tos.rtd",,"DELTA","."&amp;U$2&amp;U$1&amp;"C"&amp;$A20)+100*RTD("tos.rtd",,"OPEN_INT","."&amp;U$2&amp;U$1&amp;"P"&amp;$A20)*RTD("tos.rtd",,"DELTA","."&amp;U$2&amp;U$1&amp;"P"&amp;$A20))/1000,(100*RTD("tos.rtd",,"OPEN_INT","."&amp;U$2&amp;U$1&amp;"C"&amp;$A20)*RTD("tos.rtd",,"DELTA","."&amp;U$2&amp;U$1&amp;"C"&amp;$A20)-100*RTD("tos.rtd",,"OPEN_INT","."&amp;U$2&amp;U$1&amp;"P"&amp;$A20)*RTD("tos.rtd",,"DELTA","."&amp;U$2&amp;U$1&amp;"P"&amp;$A20))/1000),0),IF($A$2="VEX",IFERROR(IF($X$1="ABS",($A$4*$A$4*RTD("tos.rtd",,"VOLUME","."&amp;U$2&amp;U$1&amp;"C"&amp;$A20)*RTD("tos.rtd",,"GAMMA","."&amp;U$2&amp;U$1&amp;"C"&amp;$A20)+$A$4*$A$4*RTD("tos.rtd",,"VOLUME","."&amp;U$2&amp;U$1&amp;"P"&amp;$A20)*RTD("tos.rtd",,"GAMMA","."&amp;U$2&amp;U$1&amp;"P"&amp;$A20))/1000000,($A$4*$A$4*RTD("tos.rtd",,"VOLUME","."&amp;U$2&amp;U$1&amp;"C"&amp;$A20)*RTD("tos.rtd",,"GAMMA","."&amp;U$2&amp;U$1&amp;"C"&amp;$A20)-$A$4*$A$4*RTD("tos.rtd",,"VOLUME","."&amp;U$2&amp;U$1&amp;"P"&amp;$A20)*RTD("tos.rtd",,"GAMMA","."&amp;U$2&amp;U$1&amp;"P"&amp;$A20))/1000000),0),IF($A$2="GEX",IFERROR(IF($X$1="ABS",($A$4*$A$4*RTD("tos.rtd",,"OPEN_INT","."&amp;U$2&amp;U$1&amp;"C"&amp;$A20)*RTD("tos.rtd",,"GAMMA","."&amp;U$2&amp;U$1&amp;"C"&amp;$A20)+$A$4*$A$4*RTD("tos.rtd",,"OPEN_INT","."&amp;U$2&amp;U$1&amp;"P"&amp;$A20)*RTD("tos.rtd",,"GAMMA","."&amp;U$2&amp;U$1&amp;"P"&amp;$A20))/1000000,($A$4*$A$4*RTD("tos.rtd",,"OPEN_INT","."&amp;U$2&amp;U$1&amp;"C"&amp;$A20)*RTD("tos.rtd",,"GAMMA","."&amp;U$2&amp;U$1&amp;"C"&amp;$A20)-$A$4*$A$4*RTD("tos.rtd",,"OPEN_INT","."&amp;U$2&amp;U$1&amp;"P"&amp;$A20)*RTD("tos.rtd",,"GAMMA","."&amp;U$2&amp;U$1&amp;"P"&amp;$A20))/1000000),0),IF($A$2="SKEW",IFERROR(VALUE(IF(RTD("tos.rtd",,"IMPL_VOL","."&amp;U$2&amp;U$1&amp;"P"&amp;$A20)="N/A",0,RTD("tos.rtd",,"IMPL_VOL","."&amp;U$2&amp;U$1&amp;"P"&amp;$A20))),0)-IFERROR(VALUE(IF(RTD("tos.rtd",,"IMPL_VOL","."&amp;U$2&amp;U$1&amp;"C"&amp;$A20)="N/A",0,RTD("tos.rtd",,"IMPL_VOL","."&amp;U$2&amp;U$1&amp;"C"&amp;$A20))),0),IF($A$2="MAXPAIN",IF($A$4&gt;$A20,($A$4-$A20)*IF(RTD("tos.rtd",,"OPEN_INT","."&amp;U$2&amp;U$1&amp;"C"&amp;$A20)="N/A",0,RTD("tos.rtd",,"OPEN_INT","."&amp;U$2&amp;U$1&amp;"C"&amp;$A20)),0)+IF($A$4&lt;$A20,($A$5-$A$4)*IF(RTD("tos.rtd",,"OPEN_INT","."&amp;U$2&amp;U$1&amp;"P"&amp;$A20)="N/A",0,RTD("tos.rtd",,"OPEN_INT","."&amp;U$2&amp;U$1&amp;"P"&amp;$A20)),0),IF($X$1="ABS",IF(RTD("tos.rtd",,$A$2,"."&amp;U$2&amp;U$1&amp;"C"&amp;$A20)="N/A",0,RTD("tos.rtd",,$A$2,"."&amp;U$2&amp;U$1&amp;"C"&amp;$A20))+IF(RTD("tos.rtd",,$A$2,"."&amp;U$2&amp;U$1&amp;"P"&amp;$A20)="N/A",0,RTD("tos.rtd",,$A$2,"."&amp;U$2&amp;U$1&amp;"P"&amp;$A20)),IF(RTD("tos.rtd",,$A$2,"."&amp;U$2&amp;U$1&amp;"C"&amp;$A20)="N/A",0,RTD("tos.rtd",,$A$2,"."&amp;U$2&amp;U$1&amp;"C"&amp;$A20))-IF(RTD("tos.rtd",,$A$2,"."&amp;U$2&amp;U$1&amp;"P"&amp;$A20)="N/A",0,RTD("tos.rtd",,$A$2,"."&amp;U$2&amp;U$1&amp;"P"&amp;$A20))))))))))</f>
        <v>0</v>
      </c>
      <c r="V20" s="12">
        <f ca="1">IF($A$2="PREMIUM_OI",IFERROR(IF($X$1="ABS",(100*RTD("tos.rtd",,"OPEN_INT","."&amp;V$2&amp;V$1&amp;"C"&amp;$A20)*RTD("tos.rtd",,"LAST","."&amp;V$2&amp;V$1&amp;"C"&amp;$A20)+100*RTD("tos.rtd",,"OPEN_INT","."&amp;V$2&amp;V$1&amp;"P"&amp;$A20)*RTD("tos.rtd",,"LAST","."&amp;V$2&amp;V$1&amp;"P"&amp;$A20))/1000000,(100*RTD("tos.rtd",,"OPEN_INT","."&amp;V$2&amp;V$1&amp;"C"&amp;$A20)*RTD("tos.rtd",,"LAST","."&amp;V$2&amp;V$1&amp;"C"&amp;$A20)-100*RTD("tos.rtd",,"OPEN_INT","."&amp;V$2&amp;V$1&amp;"P"&amp;$A20)*RTD("tos.rtd",,"LAST","."&amp;V$2&amp;V$1&amp;"P"&amp;$A20))/1000000),0),IF($A$2="PREMIUM",IFERROR(IF($X$1="ABS",(100*RTD("tos.rtd",,"VOLUME","."&amp;V$2&amp;V$1&amp;"C"&amp;$A20)*RTD("tos.rtd",,"LAST","."&amp;V$2&amp;V$1&amp;"C"&amp;$A20)+100*RTD("tos.rtd",,"VOLUME","."&amp;V$2&amp;V$1&amp;"P"&amp;$A20)*RTD("tos.rtd",,"LAST","."&amp;V$2&amp;V$1&amp;"P"&amp;$A20))/1000000,(100*RTD("tos.rtd",,"VOLUME","."&amp;V$2&amp;V$1&amp;"C"&amp;$A20)*RTD("tos.rtd",,"LAST","."&amp;V$2&amp;V$1&amp;"C"&amp;$A20)-100*RTD("tos.rtd",,"VOLUME","."&amp;V$2&amp;V$1&amp;"P"&amp;$A20)*RTD("tos.rtd",,"LAST","."&amp;V$2&amp;V$1&amp;"P"&amp;$A20))/1000000),0),IF($A$2="DEX",IFERROR(IF($X$1="ABS",(100*RTD("tos.rtd",,"OPEN_INT","."&amp;V$2&amp;V$1&amp;"C"&amp;$A20)*RTD("tos.rtd",,"DELTA","."&amp;V$2&amp;V$1&amp;"C"&amp;$A20)+100*RTD("tos.rtd",,"OPEN_INT","."&amp;V$2&amp;V$1&amp;"P"&amp;$A20)*RTD("tos.rtd",,"DELTA","."&amp;V$2&amp;V$1&amp;"P"&amp;$A20))/1000,(100*RTD("tos.rtd",,"OPEN_INT","."&amp;V$2&amp;V$1&amp;"C"&amp;$A20)*RTD("tos.rtd",,"DELTA","."&amp;V$2&amp;V$1&amp;"C"&amp;$A20)-100*RTD("tos.rtd",,"OPEN_INT","."&amp;V$2&amp;V$1&amp;"P"&amp;$A20)*RTD("tos.rtd",,"DELTA","."&amp;V$2&amp;V$1&amp;"P"&amp;$A20))/1000),0),IF($A$2="VEX",IFERROR(IF($X$1="ABS",($A$4*$A$4*RTD("tos.rtd",,"VOLUME","."&amp;V$2&amp;V$1&amp;"C"&amp;$A20)*RTD("tos.rtd",,"GAMMA","."&amp;V$2&amp;V$1&amp;"C"&amp;$A20)+$A$4*$A$4*RTD("tos.rtd",,"VOLUME","."&amp;V$2&amp;V$1&amp;"P"&amp;$A20)*RTD("tos.rtd",,"GAMMA","."&amp;V$2&amp;V$1&amp;"P"&amp;$A20))/1000000,($A$4*$A$4*RTD("tos.rtd",,"VOLUME","."&amp;V$2&amp;V$1&amp;"C"&amp;$A20)*RTD("tos.rtd",,"GAMMA","."&amp;V$2&amp;V$1&amp;"C"&amp;$A20)-$A$4*$A$4*RTD("tos.rtd",,"VOLUME","."&amp;V$2&amp;V$1&amp;"P"&amp;$A20)*RTD("tos.rtd",,"GAMMA","."&amp;V$2&amp;V$1&amp;"P"&amp;$A20))/1000000),0),IF($A$2="GEX",IFERROR(IF($X$1="ABS",($A$4*$A$4*RTD("tos.rtd",,"OPEN_INT","."&amp;V$2&amp;V$1&amp;"C"&amp;$A20)*RTD("tos.rtd",,"GAMMA","."&amp;V$2&amp;V$1&amp;"C"&amp;$A20)+$A$4*$A$4*RTD("tos.rtd",,"OPEN_INT","."&amp;V$2&amp;V$1&amp;"P"&amp;$A20)*RTD("tos.rtd",,"GAMMA","."&amp;V$2&amp;V$1&amp;"P"&amp;$A20))/1000000,($A$4*$A$4*RTD("tos.rtd",,"OPEN_INT","."&amp;V$2&amp;V$1&amp;"C"&amp;$A20)*RTD("tos.rtd",,"GAMMA","."&amp;V$2&amp;V$1&amp;"C"&amp;$A20)-$A$4*$A$4*RTD("tos.rtd",,"OPEN_INT","."&amp;V$2&amp;V$1&amp;"P"&amp;$A20)*RTD("tos.rtd",,"GAMMA","."&amp;V$2&amp;V$1&amp;"P"&amp;$A20))/1000000),0),IF($A$2="SKEW",IFERROR(VALUE(IF(RTD("tos.rtd",,"IMPL_VOL","."&amp;V$2&amp;V$1&amp;"P"&amp;$A20)="N/A",0,RTD("tos.rtd",,"IMPL_VOL","."&amp;V$2&amp;V$1&amp;"P"&amp;$A20))),0)-IFERROR(VALUE(IF(RTD("tos.rtd",,"IMPL_VOL","."&amp;V$2&amp;V$1&amp;"C"&amp;$A20)="N/A",0,RTD("tos.rtd",,"IMPL_VOL","."&amp;V$2&amp;V$1&amp;"C"&amp;$A20))),0),IF($A$2="MAXPAIN",IF($A$4&gt;$A20,($A$4-$A20)*IF(RTD("tos.rtd",,"OPEN_INT","."&amp;V$2&amp;V$1&amp;"C"&amp;$A20)="N/A",0,RTD("tos.rtd",,"OPEN_INT","."&amp;V$2&amp;V$1&amp;"C"&amp;$A20)),0)+IF($A$4&lt;$A20,($A$5-$A$4)*IF(RTD("tos.rtd",,"OPEN_INT","."&amp;V$2&amp;V$1&amp;"P"&amp;$A20)="N/A",0,RTD("tos.rtd",,"OPEN_INT","."&amp;V$2&amp;V$1&amp;"P"&amp;$A20)),0),IF($X$1="ABS",IF(RTD("tos.rtd",,$A$2,"."&amp;V$2&amp;V$1&amp;"C"&amp;$A20)="N/A",0,RTD("tos.rtd",,$A$2,"."&amp;V$2&amp;V$1&amp;"C"&amp;$A20))+IF(RTD("tos.rtd",,$A$2,"."&amp;V$2&amp;V$1&amp;"P"&amp;$A20)="N/A",0,RTD("tos.rtd",,$A$2,"."&amp;V$2&amp;V$1&amp;"P"&amp;$A20)),IF(RTD("tos.rtd",,$A$2,"."&amp;V$2&amp;V$1&amp;"C"&amp;$A20)="N/A",0,RTD("tos.rtd",,$A$2,"."&amp;V$2&amp;V$1&amp;"C"&amp;$A20))-IF(RTD("tos.rtd",,$A$2,"."&amp;V$2&amp;V$1&amp;"P"&amp;$A20)="N/A",0,RTD("tos.rtd",,$A$2,"."&amp;V$2&amp;V$1&amp;"P"&amp;$A20))))))))))</f>
        <v>0</v>
      </c>
      <c r="W20" s="54">
        <f ca="1">IF($A$2="PREMIUM_OI",IFERROR(IF($X$1="ABS",(100*RTD("tos.rtd",,"OPEN_INT","."&amp;W$2&amp;W$1&amp;"C"&amp;$A20)*RTD("tos.rtd",,"LAST","."&amp;W$2&amp;W$1&amp;"C"&amp;$A20)+100*RTD("tos.rtd",,"OPEN_INT","."&amp;W$2&amp;W$1&amp;"P"&amp;$A20)*RTD("tos.rtd",,"LAST","."&amp;W$2&amp;W$1&amp;"P"&amp;$A20))/1000000,(100*RTD("tos.rtd",,"OPEN_INT","."&amp;W$2&amp;W$1&amp;"C"&amp;$A20)*RTD("tos.rtd",,"LAST","."&amp;W$2&amp;W$1&amp;"C"&amp;$A20)-100*RTD("tos.rtd",,"OPEN_INT","."&amp;W$2&amp;W$1&amp;"P"&amp;$A20)*RTD("tos.rtd",,"LAST","."&amp;W$2&amp;W$1&amp;"P"&amp;$A20))/1000000),0),IF($A$2="PREMIUM",IFERROR(IF($X$1="ABS",(100*RTD("tos.rtd",,"VOLUME","."&amp;W$2&amp;W$1&amp;"C"&amp;$A20)*RTD("tos.rtd",,"LAST","."&amp;W$2&amp;W$1&amp;"C"&amp;$A20)+100*RTD("tos.rtd",,"VOLUME","."&amp;W$2&amp;W$1&amp;"P"&amp;$A20)*RTD("tos.rtd",,"LAST","."&amp;W$2&amp;W$1&amp;"P"&amp;$A20))/1000000,(100*RTD("tos.rtd",,"VOLUME","."&amp;W$2&amp;W$1&amp;"C"&amp;$A20)*RTD("tos.rtd",,"LAST","."&amp;W$2&amp;W$1&amp;"C"&amp;$A20)-100*RTD("tos.rtd",,"VOLUME","."&amp;W$2&amp;W$1&amp;"P"&amp;$A20)*RTD("tos.rtd",,"LAST","."&amp;W$2&amp;W$1&amp;"P"&amp;$A20))/1000000),0),IF($A$2="DEX",IFERROR(IF($X$1="ABS",(100*RTD("tos.rtd",,"OPEN_INT","."&amp;W$2&amp;W$1&amp;"C"&amp;$A20)*RTD("tos.rtd",,"DELTA","."&amp;W$2&amp;W$1&amp;"C"&amp;$A20)+100*RTD("tos.rtd",,"OPEN_INT","."&amp;W$2&amp;W$1&amp;"P"&amp;$A20)*RTD("tos.rtd",,"DELTA","."&amp;W$2&amp;W$1&amp;"P"&amp;$A20))/1000,(100*RTD("tos.rtd",,"OPEN_INT","."&amp;W$2&amp;W$1&amp;"C"&amp;$A20)*RTD("tos.rtd",,"DELTA","."&amp;W$2&amp;W$1&amp;"C"&amp;$A20)-100*RTD("tos.rtd",,"OPEN_INT","."&amp;W$2&amp;W$1&amp;"P"&amp;$A20)*RTD("tos.rtd",,"DELTA","."&amp;W$2&amp;W$1&amp;"P"&amp;$A20))/1000),0),IF($A$2="VEX",IFERROR(IF($X$1="ABS",($A$4*$A$4*RTD("tos.rtd",,"VOLUME","."&amp;W$2&amp;W$1&amp;"C"&amp;$A20)*RTD("tos.rtd",,"GAMMA","."&amp;W$2&amp;W$1&amp;"C"&amp;$A20)+$A$4*$A$4*RTD("tos.rtd",,"VOLUME","."&amp;W$2&amp;W$1&amp;"P"&amp;$A20)*RTD("tos.rtd",,"GAMMA","."&amp;W$2&amp;W$1&amp;"P"&amp;$A20))/1000000,($A$4*$A$4*RTD("tos.rtd",,"VOLUME","."&amp;W$2&amp;W$1&amp;"C"&amp;$A20)*RTD("tos.rtd",,"GAMMA","."&amp;W$2&amp;W$1&amp;"C"&amp;$A20)-$A$4*$A$4*RTD("tos.rtd",,"VOLUME","."&amp;W$2&amp;W$1&amp;"P"&amp;$A20)*RTD("tos.rtd",,"GAMMA","."&amp;W$2&amp;W$1&amp;"P"&amp;$A20))/1000000),0),IF($A$2="GEX",IFERROR(IF($X$1="ABS",($A$4*$A$4*RTD("tos.rtd",,"OPEN_INT","."&amp;W$2&amp;W$1&amp;"C"&amp;$A20)*RTD("tos.rtd",,"GAMMA","."&amp;W$2&amp;W$1&amp;"C"&amp;$A20)+$A$4*$A$4*RTD("tos.rtd",,"OPEN_INT","."&amp;W$2&amp;W$1&amp;"P"&amp;$A20)*RTD("tos.rtd",,"GAMMA","."&amp;W$2&amp;W$1&amp;"P"&amp;$A20))/1000000,($A$4*$A$4*RTD("tos.rtd",,"OPEN_INT","."&amp;W$2&amp;W$1&amp;"C"&amp;$A20)*RTD("tos.rtd",,"GAMMA","."&amp;W$2&amp;W$1&amp;"C"&amp;$A20)-$A$4*$A$4*RTD("tos.rtd",,"OPEN_INT","."&amp;W$2&amp;W$1&amp;"P"&amp;$A20)*RTD("tos.rtd",,"GAMMA","."&amp;W$2&amp;W$1&amp;"P"&amp;$A20))/1000000),0),IF($A$2="SKEW",IFERROR(VALUE(IF(RTD("tos.rtd",,"IMPL_VOL","."&amp;W$2&amp;W$1&amp;"P"&amp;$A20)="N/A",0,RTD("tos.rtd",,"IMPL_VOL","."&amp;W$2&amp;W$1&amp;"P"&amp;$A20))),0)-IFERROR(VALUE(IF(RTD("tos.rtd",,"IMPL_VOL","."&amp;W$2&amp;W$1&amp;"C"&amp;$A20)="N/A",0,RTD("tos.rtd",,"IMPL_VOL","."&amp;W$2&amp;W$1&amp;"C"&amp;$A20))),0),IF($A$2="MAXPAIN",IF($A$4&gt;$A20,($A$4-$A20)*IF(RTD("tos.rtd",,"OPEN_INT","."&amp;W$2&amp;W$1&amp;"C"&amp;$A20)="N/A",0,RTD("tos.rtd",,"OPEN_INT","."&amp;W$2&amp;W$1&amp;"C"&amp;$A20)),0)+IF($A$4&lt;$A20,($A$5-$A$4)*IF(RTD("tos.rtd",,"OPEN_INT","."&amp;W$2&amp;W$1&amp;"P"&amp;$A20)="N/A",0,RTD("tos.rtd",,"OPEN_INT","."&amp;W$2&amp;W$1&amp;"P"&amp;$A20)),0),IF($X$1="ABS",IF(RTD("tos.rtd",,$A$2,"."&amp;W$2&amp;W$1&amp;"C"&amp;$A20)="N/A",0,RTD("tos.rtd",,$A$2,"."&amp;W$2&amp;W$1&amp;"C"&amp;$A20))+IF(RTD("tos.rtd",,$A$2,"."&amp;W$2&amp;W$1&amp;"P"&amp;$A20)="N/A",0,RTD("tos.rtd",,$A$2,"."&amp;W$2&amp;W$1&amp;"P"&amp;$A20)),IF(RTD("tos.rtd",,$A$2,"."&amp;W$2&amp;W$1&amp;"C"&amp;$A20)="N/A",0,RTD("tos.rtd",,$A$2,"."&amp;W$2&amp;W$1&amp;"C"&amp;$A20))-IF(RTD("tos.rtd",,$A$2,"."&amp;W$2&amp;W$1&amp;"P"&amp;$A20)="N/A",0,RTD("tos.rtd",,$A$2,"."&amp;W$2&amp;W$1&amp;"P"&amp;$A20))))))))))</f>
        <v>0</v>
      </c>
      <c r="X20" s="57">
        <f t="shared" ca="1" si="8"/>
        <v>0</v>
      </c>
      <c r="Y20" s="27">
        <f t="shared" ca="1" si="9"/>
        <v>0</v>
      </c>
      <c r="Z20" s="27">
        <f ca="1">+'OI-VOL'!Y20</f>
        <v>11898</v>
      </c>
      <c r="AA20" s="27" t="b">
        <f t="shared" ca="1" si="10"/>
        <v>0</v>
      </c>
      <c r="AB20" s="27">
        <f t="shared" si="11"/>
        <v>109348800</v>
      </c>
      <c r="AC20" s="18">
        <f>MAX(0, $A20-AC$4)*IF(RTD("tos.rtd",,"OPEN_INT","."&amp;$AB$3&amp;$AB$4&amp;"C"&amp;AC$4)="N/A",0,RTD("tos.rtd",,"OPEN_INT","."&amp;$AB$3&amp;$AB$4&amp;"C"&amp;AC$4))*100 + MAX(0, AC$4-$A20)*IF(RTD("tos.rtd",,"OPEN_INT","."&amp;$AB$3&amp;$AB$4&amp;"P"&amp;AC$4)="N/A",0,RTD("tos.rtd",,"OPEN_INT","."&amp;$AB$3&amp;$AB$4&amp;"P"&amp;AC$4))*100</f>
        <v>0</v>
      </c>
      <c r="AD20" s="18">
        <f>MAX(0, $A20-AD$4)*IF(RTD("tos.rtd",,"OPEN_INT","."&amp;$AB$3&amp;$AB$4&amp;"C"&amp;AD$4)="N/A",0,RTD("tos.rtd",,"OPEN_INT","."&amp;$AB$3&amp;$AB$4&amp;"C"&amp;AD$4))*100 + MAX(0, AD$4-$A20)*IF(RTD("tos.rtd",,"OPEN_INT","."&amp;$AB$3&amp;$AB$4&amp;"P"&amp;AD$4)="N/A",0,RTD("tos.rtd",,"OPEN_INT","."&amp;$AB$3&amp;$AB$4&amp;"P"&amp;AD$4))*100</f>
        <v>0</v>
      </c>
      <c r="AE20" s="18">
        <f>MAX(0, $A20-AE$4)*IF(RTD("tos.rtd",,"OPEN_INT","."&amp;$AB$3&amp;$AB$4&amp;"C"&amp;AE$4)="N/A",0,RTD("tos.rtd",,"OPEN_INT","."&amp;$AB$3&amp;$AB$4&amp;"C"&amp;AE$4))*100 + MAX(0, AE$4-$A20)*IF(RTD("tos.rtd",,"OPEN_INT","."&amp;$AB$3&amp;$AB$4&amp;"P"&amp;AE$4)="N/A",0,RTD("tos.rtd",,"OPEN_INT","."&amp;$AB$3&amp;$AB$4&amp;"P"&amp;AE$4))*100</f>
        <v>0</v>
      </c>
      <c r="AF20" s="18">
        <f>MAX(0, $A20-AF$4)*IF(RTD("tos.rtd",,"OPEN_INT","."&amp;$AB$3&amp;$AB$4&amp;"C"&amp;AF$4)="N/A",0,RTD("tos.rtd",,"OPEN_INT","."&amp;$AB$3&amp;$AB$4&amp;"C"&amp;AF$4))*100 + MAX(0, AF$4-$A20)*IF(RTD("tos.rtd",,"OPEN_INT","."&amp;$AB$3&amp;$AB$4&amp;"P"&amp;AF$4)="N/A",0,RTD("tos.rtd",,"OPEN_INT","."&amp;$AB$3&amp;$AB$4&amp;"P"&amp;AF$4))*100</f>
        <v>0</v>
      </c>
      <c r="AG20" s="18">
        <f>MAX(0, $A20-AG$4)*IF(RTD("tos.rtd",,"OPEN_INT","."&amp;$AB$3&amp;$AB$4&amp;"C"&amp;AG$4)="N/A",0,RTD("tos.rtd",,"OPEN_INT","."&amp;$AB$3&amp;$AB$4&amp;"C"&amp;AG$4))*100 + MAX(0, AG$4-$A20)*IF(RTD("tos.rtd",,"OPEN_INT","."&amp;$AB$3&amp;$AB$4&amp;"P"&amp;AG$4)="N/A",0,RTD("tos.rtd",,"OPEN_INT","."&amp;$AB$3&amp;$AB$4&amp;"P"&amp;AG$4))*100</f>
        <v>0</v>
      </c>
      <c r="AH20" s="18">
        <f>MAX(0, $A20-AH$4)*IF(RTD("tos.rtd",,"OPEN_INT","."&amp;$AB$3&amp;$AB$4&amp;"C"&amp;AH$4)="N/A",0,RTD("tos.rtd",,"OPEN_INT","."&amp;$AB$3&amp;$AB$4&amp;"C"&amp;AH$4))*100 + MAX(0, AH$4-$A20)*IF(RTD("tos.rtd",,"OPEN_INT","."&amp;$AB$3&amp;$AB$4&amp;"P"&amp;AH$4)="N/A",0,RTD("tos.rtd",,"OPEN_INT","."&amp;$AB$3&amp;$AB$4&amp;"P"&amp;AH$4))*100</f>
        <v>0</v>
      </c>
      <c r="AI20" s="18">
        <f>MAX(0, $A20-AI$4)*IF(RTD("tos.rtd",,"OPEN_INT","."&amp;$AB$3&amp;$AB$4&amp;"C"&amp;AI$4)="N/A",0,RTD("tos.rtd",,"OPEN_INT","."&amp;$AB$3&amp;$AB$4&amp;"C"&amp;AI$4))*100 + MAX(0, AI$4-$A20)*IF(RTD("tos.rtd",,"OPEN_INT","."&amp;$AB$3&amp;$AB$4&amp;"P"&amp;AI$4)="N/A",0,RTD("tos.rtd",,"OPEN_INT","."&amp;$AB$3&amp;$AB$4&amp;"P"&amp;AI$4))*100</f>
        <v>0</v>
      </c>
      <c r="AJ20" s="18">
        <f>MAX(0, $A20-AJ$4)*IF(RTD("tos.rtd",,"OPEN_INT","."&amp;$AB$3&amp;$AB$4&amp;"C"&amp;AJ$4)="N/A",0,RTD("tos.rtd",,"OPEN_INT","."&amp;$AB$3&amp;$AB$4&amp;"C"&amp;AJ$4))*100 + MAX(0, AJ$4-$A20)*IF(RTD("tos.rtd",,"OPEN_INT","."&amp;$AB$3&amp;$AB$4&amp;"P"&amp;AJ$4)="N/A",0,RTD("tos.rtd",,"OPEN_INT","."&amp;$AB$3&amp;$AB$4&amp;"P"&amp;AJ$4))*100</f>
        <v>1200</v>
      </c>
      <c r="AK20" s="18">
        <f>MAX(0, $A20-AK$4)*IF(RTD("tos.rtd",,"OPEN_INT","."&amp;$AB$3&amp;$AB$4&amp;"C"&amp;AK$4)="N/A",0,RTD("tos.rtd",,"OPEN_INT","."&amp;$AB$3&amp;$AB$4&amp;"C"&amp;AK$4))*100 + MAX(0, AK$4-$A20)*IF(RTD("tos.rtd",,"OPEN_INT","."&amp;$AB$3&amp;$AB$4&amp;"P"&amp;AK$4)="N/A",0,RTD("tos.rtd",,"OPEN_INT","."&amp;$AB$3&amp;$AB$4&amp;"P"&amp;AK$4))*100</f>
        <v>2800</v>
      </c>
      <c r="AL20" s="18">
        <f>MAX(0, $A20-AL$4)*IF(RTD("tos.rtd",,"OPEN_INT","."&amp;$AB$3&amp;$AB$4&amp;"C"&amp;AL$4)="N/A",0,RTD("tos.rtd",,"OPEN_INT","."&amp;$AB$3&amp;$AB$4&amp;"C"&amp;AL$4))*100 + MAX(0, AL$4-$A20)*IF(RTD("tos.rtd",,"OPEN_INT","."&amp;$AB$3&amp;$AB$4&amp;"P"&amp;AL$4)="N/A",0,RTD("tos.rtd",,"OPEN_INT","."&amp;$AB$3&amp;$AB$4&amp;"P"&amp;AL$4))*100</f>
        <v>0</v>
      </c>
      <c r="AM20" s="18">
        <f>MAX(0, $A20-AM$4)*IF(RTD("tos.rtd",,"OPEN_INT","."&amp;$AB$3&amp;$AB$4&amp;"C"&amp;AM$4)="N/A",0,RTD("tos.rtd",,"OPEN_INT","."&amp;$AB$3&amp;$AB$4&amp;"C"&amp;AM$4))*100 + MAX(0, AM$4-$A20)*IF(RTD("tos.rtd",,"OPEN_INT","."&amp;$AB$3&amp;$AB$4&amp;"P"&amp;AM$4)="N/A",0,RTD("tos.rtd",,"OPEN_INT","."&amp;$AB$3&amp;$AB$4&amp;"P"&amp;AM$4))*100</f>
        <v>0</v>
      </c>
      <c r="AN20" s="18">
        <f>MAX(0, $A20-AN$4)*IF(RTD("tos.rtd",,"OPEN_INT","."&amp;$AB$3&amp;$AB$4&amp;"C"&amp;AN$4)="N/A",0,RTD("tos.rtd",,"OPEN_INT","."&amp;$AB$3&amp;$AB$4&amp;"C"&amp;AN$4))*100 + MAX(0, AN$4-$A20)*IF(RTD("tos.rtd",,"OPEN_INT","."&amp;$AB$3&amp;$AB$4&amp;"P"&amp;AN$4)="N/A",0,RTD("tos.rtd",,"OPEN_INT","."&amp;$AB$3&amp;$AB$4&amp;"P"&amp;AN$4))*100</f>
        <v>0</v>
      </c>
      <c r="AO20" s="18">
        <f>MAX(0, $A20-AO$4)*IF(RTD("tos.rtd",,"OPEN_INT","."&amp;$AB$3&amp;$AB$4&amp;"C"&amp;AO$4)="N/A",0,RTD("tos.rtd",,"OPEN_INT","."&amp;$AB$3&amp;$AB$4&amp;"C"&amp;AO$4))*100 + MAX(0, AO$4-$A20)*IF(RTD("tos.rtd",,"OPEN_INT","."&amp;$AB$3&amp;$AB$4&amp;"P"&amp;AO$4)="N/A",0,RTD("tos.rtd",,"OPEN_INT","."&amp;$AB$3&amp;$AB$4&amp;"P"&amp;AO$4))*100</f>
        <v>0</v>
      </c>
      <c r="AP20" s="18">
        <f>MAX(0, $A20-AP$4)*IF(RTD("tos.rtd",,"OPEN_INT","."&amp;$AB$3&amp;$AB$4&amp;"C"&amp;AP$4)="N/A",0,RTD("tos.rtd",,"OPEN_INT","."&amp;$AB$3&amp;$AB$4&amp;"C"&amp;AP$4))*100 + MAX(0, AP$4-$A20)*IF(RTD("tos.rtd",,"OPEN_INT","."&amp;$AB$3&amp;$AB$4&amp;"P"&amp;AP$4)="N/A",0,RTD("tos.rtd",,"OPEN_INT","."&amp;$AB$3&amp;$AB$4&amp;"P"&amp;AP$4))*100</f>
        <v>12000</v>
      </c>
      <c r="AQ20" s="18">
        <f>MAX(0, $A20-AQ$4)*IF(RTD("tos.rtd",,"OPEN_INT","."&amp;$AB$3&amp;$AB$4&amp;"C"&amp;AQ$4)="N/A",0,RTD("tos.rtd",,"OPEN_INT","."&amp;$AB$3&amp;$AB$4&amp;"C"&amp;AQ$4))*100 + MAX(0, AQ$4-$A20)*IF(RTD("tos.rtd",,"OPEN_INT","."&amp;$AB$3&amp;$AB$4&amp;"P"&amp;AQ$4)="N/A",0,RTD("tos.rtd",,"OPEN_INT","."&amp;$AB$3&amp;$AB$4&amp;"P"&amp;AQ$4))*100</f>
        <v>0</v>
      </c>
      <c r="AR20" s="18">
        <f>MAX(0, $A20-AR$4)*IF(RTD("tos.rtd",,"OPEN_INT","."&amp;$AB$3&amp;$AB$4&amp;"C"&amp;AR$4)="N/A",0,RTD("tos.rtd",,"OPEN_INT","."&amp;$AB$3&amp;$AB$4&amp;"C"&amp;AR$4))*100 + MAX(0, AR$4-$A20)*IF(RTD("tos.rtd",,"OPEN_INT","."&amp;$AB$3&amp;$AB$4&amp;"P"&amp;AR$4)="N/A",0,RTD("tos.rtd",,"OPEN_INT","."&amp;$AB$3&amp;$AB$4&amp;"P"&amp;AR$4))*100</f>
        <v>0</v>
      </c>
      <c r="AS20" s="18">
        <f>MAX(0, $A20-AS$4)*IF(RTD("tos.rtd",,"OPEN_INT","."&amp;$AB$3&amp;$AB$4&amp;"C"&amp;AS$4)="N/A",0,RTD("tos.rtd",,"OPEN_INT","."&amp;$AB$3&amp;$AB$4&amp;"C"&amp;AS$4))*100 + MAX(0, AS$4-$A20)*IF(RTD("tos.rtd",,"OPEN_INT","."&amp;$AB$3&amp;$AB$4&amp;"P"&amp;AS$4)="N/A",0,RTD("tos.rtd",,"OPEN_INT","."&amp;$AB$3&amp;$AB$4&amp;"P"&amp;AS$4))*100</f>
        <v>50</v>
      </c>
      <c r="AT20" s="18">
        <f>MAX(0, $A20-AT$4)*IF(RTD("tos.rtd",,"OPEN_INT","."&amp;$AB$3&amp;$AB$4&amp;"C"&amp;AT$4)="N/A",0,RTD("tos.rtd",,"OPEN_INT","."&amp;$AB$3&amp;$AB$4&amp;"C"&amp;AT$4))*100 + MAX(0, AT$4-$A20)*IF(RTD("tos.rtd",,"OPEN_INT","."&amp;$AB$3&amp;$AB$4&amp;"P"&amp;AT$4)="N/A",0,RTD("tos.rtd",,"OPEN_INT","."&amp;$AB$3&amp;$AB$4&amp;"P"&amp;AT$4))*100</f>
        <v>86200</v>
      </c>
      <c r="AU20" s="18">
        <f>MAX(0, $A20-AU$4)*IF(RTD("tos.rtd",,"OPEN_INT","."&amp;$AB$3&amp;$AB$4&amp;"C"&amp;AU$4)="N/A",0,RTD("tos.rtd",,"OPEN_INT","."&amp;$AB$3&amp;$AB$4&amp;"C"&amp;AU$4))*100 + MAX(0, AU$4-$A20)*IF(RTD("tos.rtd",,"OPEN_INT","."&amp;$AB$3&amp;$AB$4&amp;"P"&amp;AU$4)="N/A",0,RTD("tos.rtd",,"OPEN_INT","."&amp;$AB$3&amp;$AB$4&amp;"P"&amp;AU$4))*100</f>
        <v>210300</v>
      </c>
      <c r="AV20" s="18">
        <f>MAX(0, $A20-AV$4)*IF(RTD("tos.rtd",,"OPEN_INT","."&amp;$AB$3&amp;$AB$4&amp;"C"&amp;AV$4)="N/A",0,RTD("tos.rtd",,"OPEN_INT","."&amp;$AB$3&amp;$AB$4&amp;"C"&amp;AV$4))*100 + MAX(0, AV$4-$A20)*IF(RTD("tos.rtd",,"OPEN_INT","."&amp;$AB$3&amp;$AB$4&amp;"P"&amp;AV$4)="N/A",0,RTD("tos.rtd",,"OPEN_INT","."&amp;$AB$3&amp;$AB$4&amp;"P"&amp;AV$4))*100</f>
        <v>336600</v>
      </c>
      <c r="AW20" s="18">
        <f>MAX(0, $A20-AW$4)*IF(RTD("tos.rtd",,"OPEN_INT","."&amp;$AB$3&amp;$AB$4&amp;"C"&amp;AW$4)="N/A",0,RTD("tos.rtd",,"OPEN_INT","."&amp;$AB$3&amp;$AB$4&amp;"C"&amp;AW$4))*100 + MAX(0, AW$4-$A20)*IF(RTD("tos.rtd",,"OPEN_INT","."&amp;$AB$3&amp;$AB$4&amp;"P"&amp;AW$4)="N/A",0,RTD("tos.rtd",,"OPEN_INT","."&amp;$AB$3&amp;$AB$4&amp;"P"&amp;AW$4))*100</f>
        <v>472000</v>
      </c>
      <c r="AX20" s="18">
        <f>MAX(0, $A20-AX$4)*IF(RTD("tos.rtd",,"OPEN_INT","."&amp;$AB$3&amp;$AB$4&amp;"C"&amp;AX$4)="N/A",0,RTD("tos.rtd",,"OPEN_INT","."&amp;$AB$3&amp;$AB$4&amp;"C"&amp;AX$4))*100 + MAX(0, AX$4-$A20)*IF(RTD("tos.rtd",,"OPEN_INT","."&amp;$AB$3&amp;$AB$4&amp;"P"&amp;AX$4)="N/A",0,RTD("tos.rtd",,"OPEN_INT","."&amp;$AB$3&amp;$AB$4&amp;"P"&amp;AX$4))*100</f>
        <v>922500</v>
      </c>
      <c r="AY20" s="18">
        <f>MAX(0, $A20-AY$4)*IF(RTD("tos.rtd",,"OPEN_INT","."&amp;$AB$3&amp;$AB$4&amp;"C"&amp;AY$4)="N/A",0,RTD("tos.rtd",,"OPEN_INT","."&amp;$AB$3&amp;$AB$4&amp;"C"&amp;AY$4))*100 + MAX(0, AY$4-$A20)*IF(RTD("tos.rtd",,"OPEN_INT","."&amp;$AB$3&amp;$AB$4&amp;"P"&amp;AY$4)="N/A",0,RTD("tos.rtd",,"OPEN_INT","."&amp;$AB$3&amp;$AB$4&amp;"P"&amp;AY$4))*100</f>
        <v>1488550</v>
      </c>
      <c r="AZ20" s="18">
        <f>MAX(0, $A20-AZ$4)*IF(RTD("tos.rtd",,"OPEN_INT","."&amp;$AB$3&amp;$AB$4&amp;"C"&amp;AZ$4)="N/A",0,RTD("tos.rtd",,"OPEN_INT","."&amp;$AB$3&amp;$AB$4&amp;"C"&amp;AZ$4))*100 + MAX(0, AZ$4-$A20)*IF(RTD("tos.rtd",,"OPEN_INT","."&amp;$AB$3&amp;$AB$4&amp;"P"&amp;AZ$4)="N/A",0,RTD("tos.rtd",,"OPEN_INT","."&amp;$AB$3&amp;$AB$4&amp;"P"&amp;AZ$4))*100</f>
        <v>7819200</v>
      </c>
      <c r="BA20" s="18">
        <f>MAX(0, $A20-BA$4)*IF(RTD("tos.rtd",,"OPEN_INT","."&amp;$AB$3&amp;$AB$4&amp;"C"&amp;BA$4)="N/A",0,RTD("tos.rtd",,"OPEN_INT","."&amp;$AB$3&amp;$AB$4&amp;"C"&amp;BA$4))*100 + MAX(0, BA$4-$A20)*IF(RTD("tos.rtd",,"OPEN_INT","."&amp;$AB$3&amp;$AB$4&amp;"P"&amp;BA$4)="N/A",0,RTD("tos.rtd",,"OPEN_INT","."&amp;$AB$3&amp;$AB$4&amp;"P"&amp;BA$4))*100</f>
        <v>4432500</v>
      </c>
      <c r="BB20" s="18">
        <f>MAX(0, $A20-BB$4)*IF(RTD("tos.rtd",,"OPEN_INT","."&amp;$AB$3&amp;$AB$4&amp;"C"&amp;BB$4)="N/A",0,RTD("tos.rtd",,"OPEN_INT","."&amp;$AB$3&amp;$AB$4&amp;"C"&amp;BB$4))*100 + MAX(0, BB$4-$A20)*IF(RTD("tos.rtd",,"OPEN_INT","."&amp;$AB$3&amp;$AB$4&amp;"P"&amp;BB$4)="N/A",0,RTD("tos.rtd",,"OPEN_INT","."&amp;$AB$3&amp;$AB$4&amp;"P"&amp;BB$4))*100</f>
        <v>15403500</v>
      </c>
      <c r="BC20" s="18">
        <f>MAX(0, $A20-BC$4)*IF(RTD("tos.rtd",,"OPEN_INT","."&amp;$AB$3&amp;$AB$4&amp;"C"&amp;BC$4)="N/A",0,RTD("tos.rtd",,"OPEN_INT","."&amp;$AB$3&amp;$AB$4&amp;"C"&amp;BC$4))*100 + MAX(0, BC$4-$A20)*IF(RTD("tos.rtd",,"OPEN_INT","."&amp;$AB$3&amp;$AB$4&amp;"P"&amp;BC$4)="N/A",0,RTD("tos.rtd",,"OPEN_INT","."&amp;$AB$3&amp;$AB$4&amp;"P"&amp;BC$4))*100</f>
        <v>15761900</v>
      </c>
      <c r="BD20" s="18">
        <f>MAX(0, $A20-BD$4)*IF(RTD("tos.rtd",,"OPEN_INT","."&amp;$AB$3&amp;$AB$4&amp;"C"&amp;BD$4)="N/A",0,RTD("tos.rtd",,"OPEN_INT","."&amp;$AB$3&amp;$AB$4&amp;"C"&amp;BD$4))*100 + MAX(0, BD$4-$A20)*IF(RTD("tos.rtd",,"OPEN_INT","."&amp;$AB$3&amp;$AB$4&amp;"P"&amp;BD$4)="N/A",0,RTD("tos.rtd",,"OPEN_INT","."&amp;$AB$3&amp;$AB$4&amp;"P"&amp;BD$4))*100</f>
        <v>24427800</v>
      </c>
      <c r="BE20" s="18">
        <f>MAX(0, $A20-BE$4)*IF(RTD("tos.rtd",,"OPEN_INT","."&amp;$AB$3&amp;$AB$4&amp;"C"&amp;BE$4)="N/A",0,RTD("tos.rtd",,"OPEN_INT","."&amp;$AB$3&amp;$AB$4&amp;"C"&amp;BE$4))*100 + MAX(0, BE$4-$A20)*IF(RTD("tos.rtd",,"OPEN_INT","."&amp;$AB$3&amp;$AB$4&amp;"P"&amp;BE$4)="N/A",0,RTD("tos.rtd",,"OPEN_INT","."&amp;$AB$3&amp;$AB$4&amp;"P"&amp;BE$4))*100</f>
        <v>12064000</v>
      </c>
      <c r="BF20" s="18">
        <f>MAX(0, $A20-BF$4)*IF(RTD("tos.rtd",,"OPEN_INT","."&amp;$AB$3&amp;$AB$4&amp;"C"&amp;BF$4)="N/A",0,RTD("tos.rtd",,"OPEN_INT","."&amp;$AB$3&amp;$AB$4&amp;"C"&amp;BF$4))*100 + MAX(0, BF$4-$A20)*IF(RTD("tos.rtd",,"OPEN_INT","."&amp;$AB$3&amp;$AB$4&amp;"P"&amp;BF$4)="N/A",0,RTD("tos.rtd",,"OPEN_INT","."&amp;$AB$3&amp;$AB$4&amp;"P"&amp;BF$4))*100</f>
        <v>12094600</v>
      </c>
      <c r="BG20" s="18">
        <f>MAX(0, $A20-BG$4)*IF(RTD("tos.rtd",,"OPEN_INT","."&amp;$AB$3&amp;$AB$4&amp;"C"&amp;BG$4)="N/A",0,RTD("tos.rtd",,"OPEN_INT","."&amp;$AB$3&amp;$AB$4&amp;"C"&amp;BG$4))*100 + MAX(0, BG$4-$A20)*IF(RTD("tos.rtd",,"OPEN_INT","."&amp;$AB$3&amp;$AB$4&amp;"P"&amp;BG$4)="N/A",0,RTD("tos.rtd",,"OPEN_INT","."&amp;$AB$3&amp;$AB$4&amp;"P"&amp;BG$4))*100</f>
        <v>6305250</v>
      </c>
      <c r="BH20" s="18">
        <f>MAX(0, $A20-BH$4)*IF(RTD("tos.rtd",,"OPEN_INT","."&amp;$AB$3&amp;$AB$4&amp;"C"&amp;BH$4)="N/A",0,RTD("tos.rtd",,"OPEN_INT","."&amp;$AB$3&amp;$AB$4&amp;"C"&amp;BH$4))*100 + MAX(0, BH$4-$A20)*IF(RTD("tos.rtd",,"OPEN_INT","."&amp;$AB$3&amp;$AB$4&amp;"P"&amp;BH$4)="N/A",0,RTD("tos.rtd",,"OPEN_INT","."&amp;$AB$3&amp;$AB$4&amp;"P"&amp;BH$4))*100</f>
        <v>4587200</v>
      </c>
      <c r="BI20" s="18">
        <f>MAX(0, $A20-BI$4)*IF(RTD("tos.rtd",,"OPEN_INT","."&amp;$AB$3&amp;$AB$4&amp;"C"&amp;BI$4)="N/A",0,RTD("tos.rtd",,"OPEN_INT","."&amp;$AB$3&amp;$AB$4&amp;"C"&amp;BI$4))*100 + MAX(0, BI$4-$A20)*IF(RTD("tos.rtd",,"OPEN_INT","."&amp;$AB$3&amp;$AB$4&amp;"P"&amp;BI$4)="N/A",0,RTD("tos.rtd",,"OPEN_INT","."&amp;$AB$3&amp;$AB$4&amp;"P"&amp;BI$4))*100</f>
        <v>1651550</v>
      </c>
      <c r="BJ20" s="18">
        <f>MAX(0, $A20-BJ$4)*IF(RTD("tos.rtd",,"OPEN_INT","."&amp;$AB$3&amp;$AB$4&amp;"C"&amp;BJ$4)="N/A",0,RTD("tos.rtd",,"OPEN_INT","."&amp;$AB$3&amp;$AB$4&amp;"C"&amp;BJ$4))*100 + MAX(0, BJ$4-$A20)*IF(RTD("tos.rtd",,"OPEN_INT","."&amp;$AB$3&amp;$AB$4&amp;"P"&amp;BJ$4)="N/A",0,RTD("tos.rtd",,"OPEN_INT","."&amp;$AB$3&amp;$AB$4&amp;"P"&amp;BJ$4))*100</f>
        <v>757800</v>
      </c>
      <c r="BK20" s="18">
        <f>MAX(0, $A20-BK$4)*IF(RTD("tos.rtd",,"OPEN_INT","."&amp;$AB$3&amp;$AB$4&amp;"C"&amp;BK$4)="N/A",0,RTD("tos.rtd",,"OPEN_INT","."&amp;$AB$3&amp;$AB$4&amp;"C"&amp;BK$4))*100 + MAX(0, BK$4-$A20)*IF(RTD("tos.rtd",,"OPEN_INT","."&amp;$AB$3&amp;$AB$4&amp;"P"&amp;BK$4)="N/A",0,RTD("tos.rtd",,"OPEN_INT","."&amp;$AB$3&amp;$AB$4&amp;"P"&amp;BK$4))*100</f>
        <v>143450</v>
      </c>
      <c r="BL20" s="18">
        <f>MAX(0, $A20-BL$4)*IF(RTD("tos.rtd",,"OPEN_INT","."&amp;$AB$3&amp;$AB$4&amp;"C"&amp;BL$4)="N/A",0,RTD("tos.rtd",,"OPEN_INT","."&amp;$AB$3&amp;$AB$4&amp;"C"&amp;BL$4))*100 + MAX(0, BL$4-$A20)*IF(RTD("tos.rtd",,"OPEN_INT","."&amp;$AB$3&amp;$AB$4&amp;"P"&amp;BL$4)="N/A",0,RTD("tos.rtd",,"OPEN_INT","."&amp;$AB$3&amp;$AB$4&amp;"P"&amp;BL$4))*100</f>
        <v>261000</v>
      </c>
      <c r="BM20" s="18">
        <f>MAX(0, $A20-BM$4)*IF(RTD("tos.rtd",,"OPEN_INT","."&amp;$AB$3&amp;$AB$4&amp;"C"&amp;BM$4)="N/A",0,RTD("tos.rtd",,"OPEN_INT","."&amp;$AB$3&amp;$AB$4&amp;"C"&amp;BM$4))*100 + MAX(0, BM$4-$A20)*IF(RTD("tos.rtd",,"OPEN_INT","."&amp;$AB$3&amp;$AB$4&amp;"P"&amp;BM$4)="N/A",0,RTD("tos.rtd",,"OPEN_INT","."&amp;$AB$3&amp;$AB$4&amp;"P"&amp;BM$4))*100</f>
        <v>16800</v>
      </c>
      <c r="BN20" s="18">
        <f>MAX(0, $A20-BN$4)*IF(RTD("tos.rtd",,"OPEN_INT","."&amp;$AB$3&amp;$AB$4&amp;"C"&amp;BN$4)="N/A",0,RTD("tos.rtd",,"OPEN_INT","."&amp;$AB$3&amp;$AB$4&amp;"C"&amp;BN$4))*100 + MAX(0, BN$4-$A20)*IF(RTD("tos.rtd",,"OPEN_INT","."&amp;$AB$3&amp;$AB$4&amp;"P"&amp;BN$4)="N/A",0,RTD("tos.rtd",,"OPEN_INT","."&amp;$AB$3&amp;$AB$4&amp;"P"&amp;BN$4))*100</f>
        <v>8800</v>
      </c>
      <c r="BO20" s="18">
        <f>MAX(0, $A20-BO$4)*IF(RTD("tos.rtd",,"OPEN_INT","."&amp;$AB$3&amp;$AB$4&amp;"C"&amp;BO$4)="N/A",0,RTD("tos.rtd",,"OPEN_INT","."&amp;$AB$3&amp;$AB$4&amp;"C"&amp;BO$4))*100 + MAX(0, BO$4-$A20)*IF(RTD("tos.rtd",,"OPEN_INT","."&amp;$AB$3&amp;$AB$4&amp;"P"&amp;BO$4)="N/A",0,RTD("tos.rtd",,"OPEN_INT","."&amp;$AB$3&amp;$AB$4&amp;"P"&amp;BO$4))*100</f>
        <v>35650</v>
      </c>
      <c r="BP20" s="18">
        <f>MAX(0, $A20-BP$4)*IF(RTD("tos.rtd",,"OPEN_INT","."&amp;$AB$3&amp;$AB$4&amp;"C"&amp;BP$4)="N/A",0,RTD("tos.rtd",,"OPEN_INT","."&amp;$AB$3&amp;$AB$4&amp;"C"&amp;BP$4))*100 + MAX(0, BP$4-$A20)*IF(RTD("tos.rtd",,"OPEN_INT","."&amp;$AB$3&amp;$AB$4&amp;"P"&amp;BP$4)="N/A",0,RTD("tos.rtd",,"OPEN_INT","."&amp;$AB$3&amp;$AB$4&amp;"P"&amp;BP$4))*100</f>
        <v>45600</v>
      </c>
      <c r="BQ20" s="18">
        <f>MAX(0, $A20-BQ$4)*IF(RTD("tos.rtd",,"OPEN_INT","."&amp;$AB$3&amp;$AB$4&amp;"C"&amp;BQ$4)="N/A",0,RTD("tos.rtd",,"OPEN_INT","."&amp;$AB$3&amp;$AB$4&amp;"C"&amp;BQ$4))*100 + MAX(0, BQ$4-$A20)*IF(RTD("tos.rtd",,"OPEN_INT","."&amp;$AB$3&amp;$AB$4&amp;"P"&amp;BQ$4)="N/A",0,RTD("tos.rtd",,"OPEN_INT","."&amp;$AB$3&amp;$AB$4&amp;"P"&amp;BQ$4))*100</f>
        <v>0</v>
      </c>
      <c r="BR20" s="18">
        <f>MAX(0, $A20-BR$4)*IF(RTD("tos.rtd",,"OPEN_INT","."&amp;$AB$3&amp;$AB$4&amp;"C"&amp;BR$4)="N/A",0,RTD("tos.rtd",,"OPEN_INT","."&amp;$AB$3&amp;$AB$4&amp;"C"&amp;BR$4))*100 + MAX(0, BR$4-$A20)*IF(RTD("tos.rtd",,"OPEN_INT","."&amp;$AB$3&amp;$AB$4&amp;"P"&amp;BR$4)="N/A",0,RTD("tos.rtd",,"OPEN_INT","."&amp;$AB$3&amp;$AB$4&amp;"P"&amp;BR$4))*100</f>
        <v>0</v>
      </c>
      <c r="BS20" s="18">
        <f>MAX(0, $A20-BS$4)*IF(RTD("tos.rtd",,"OPEN_INT","."&amp;$AB$3&amp;$AB$4&amp;"C"&amp;BS$4)="N/A",0,RTD("tos.rtd",,"OPEN_INT","."&amp;$AB$3&amp;$AB$4&amp;"C"&amp;BS$4))*100 + MAX(0, BS$4-$A20)*IF(RTD("tos.rtd",,"OPEN_INT","."&amp;$AB$3&amp;$AB$4&amp;"P"&amp;BS$4)="N/A",0,RTD("tos.rtd",,"OPEN_INT","."&amp;$AB$3&amp;$AB$4&amp;"P"&amp;BS$4))*100</f>
        <v>0</v>
      </c>
      <c r="BT20" s="18">
        <f>MAX(0, $A20-BT$4)*IF(RTD("tos.rtd",,"OPEN_INT","."&amp;$AB$3&amp;$AB$4&amp;"C"&amp;BT$4)="N/A",0,RTD("tos.rtd",,"OPEN_INT","."&amp;$AB$3&amp;$AB$4&amp;"C"&amp;BT$4))*100 + MAX(0, BT$4-$A20)*IF(RTD("tos.rtd",,"OPEN_INT","."&amp;$AB$3&amp;$AB$4&amp;"P"&amp;BT$4)="N/A",0,RTD("tos.rtd",,"OPEN_INT","."&amp;$AB$3&amp;$AB$4&amp;"P"&amp;BT$4))*100</f>
        <v>0</v>
      </c>
      <c r="BU20" s="18">
        <f>MAX(0, $A20-BU$4)*IF(RTD("tos.rtd",,"OPEN_INT","."&amp;$AB$3&amp;$AB$4&amp;"C"&amp;BU$4)="N/A",0,RTD("tos.rtd",,"OPEN_INT","."&amp;$AB$3&amp;$AB$4&amp;"C"&amp;BU$4))*100 + MAX(0, BU$4-$A20)*IF(RTD("tos.rtd",,"OPEN_INT","."&amp;$AB$3&amp;$AB$4&amp;"P"&amp;BU$4)="N/A",0,RTD("tos.rtd",,"OPEN_INT","."&amp;$AB$3&amp;$AB$4&amp;"P"&amp;BU$4))*100</f>
        <v>0</v>
      </c>
      <c r="BV20" s="18">
        <f>MAX(0, $A20-BV$4)*IF(RTD("tos.rtd",,"OPEN_INT","."&amp;$AB$3&amp;$AB$4&amp;"C"&amp;BV$4)="N/A",0,RTD("tos.rtd",,"OPEN_INT","."&amp;$AB$3&amp;$AB$4&amp;"C"&amp;BV$4))*100 + MAX(0, BV$4-$A20)*IF(RTD("tos.rtd",,"OPEN_INT","."&amp;$AB$3&amp;$AB$4&amp;"P"&amp;BV$4)="N/A",0,RTD("tos.rtd",,"OPEN_INT","."&amp;$AB$3&amp;$AB$4&amp;"P"&amp;BV$4))*100</f>
        <v>0</v>
      </c>
      <c r="BW20" s="18">
        <f>MAX(0, $A20-BW$4)*IF(RTD("tos.rtd",,"OPEN_INT","."&amp;$AB$3&amp;$AB$4&amp;"C"&amp;BW$4)="N/A",0,RTD("tos.rtd",,"OPEN_INT","."&amp;$AB$3&amp;$AB$4&amp;"C"&amp;BW$4))*100 + MAX(0, BW$4-$A20)*IF(RTD("tos.rtd",,"OPEN_INT","."&amp;$AB$3&amp;$AB$4&amp;"P"&amp;BW$4)="N/A",0,RTD("tos.rtd",,"OPEN_INT","."&amp;$AB$3&amp;$AB$4&amp;"P"&amp;BW$4))*100</f>
        <v>0</v>
      </c>
    </row>
    <row r="21" spans="1:75" s="19" customFormat="1" ht="11.1" customHeight="1" thickBot="1" x14ac:dyDescent="0.3">
      <c r="A21" s="23">
        <f t="shared" si="7"/>
        <v>13.5</v>
      </c>
      <c r="B21" s="14">
        <f ca="1">IF($A$2="PREMIUM_OI",IFERROR(IF($X$1="ABS",(100*RTD("tos.rtd",,"OPEN_INT","."&amp;B$2&amp;B$1&amp;"C"&amp;$A21)*RTD("tos.rtd",,"LAST","."&amp;B$2&amp;B$1&amp;"C"&amp;$A21)+100*RTD("tos.rtd",,"OPEN_INT","."&amp;B$2&amp;B$1&amp;"P"&amp;$A21)*RTD("tos.rtd",,"LAST","."&amp;B$2&amp;B$1&amp;"P"&amp;$A21))/1000000,(100*RTD("tos.rtd",,"OPEN_INT","."&amp;B$2&amp;B$1&amp;"C"&amp;$A21)*RTD("tos.rtd",,"LAST","."&amp;B$2&amp;B$1&amp;"C"&amp;$A21)-100*RTD("tos.rtd",,"OPEN_INT","."&amp;B$2&amp;B$1&amp;"P"&amp;$A21)*RTD("tos.rtd",,"LAST","."&amp;B$2&amp;B$1&amp;"P"&amp;$A21))/1000000),0),IF($A$2="PREMIUM",IFERROR(IF($X$1="ABS",(100*RTD("tos.rtd",,"VOLUME","."&amp;B$2&amp;B$1&amp;"C"&amp;$A21)*RTD("tos.rtd",,"LAST","."&amp;B$2&amp;B$1&amp;"C"&amp;$A21)+100*RTD("tos.rtd",,"VOLUME","."&amp;B$2&amp;B$1&amp;"P"&amp;$A21)*RTD("tos.rtd",,"LAST","."&amp;B$2&amp;B$1&amp;"P"&amp;$A21))/1000000,(100*RTD("tos.rtd",,"VOLUME","."&amp;B$2&amp;B$1&amp;"C"&amp;$A21)*RTD("tos.rtd",,"LAST","."&amp;B$2&amp;B$1&amp;"C"&amp;$A21)-100*RTD("tos.rtd",,"VOLUME","."&amp;B$2&amp;B$1&amp;"P"&amp;$A21)*RTD("tos.rtd",,"LAST","."&amp;B$2&amp;B$1&amp;"P"&amp;$A21))/1000000),0),IF($A$2="DEX",IFERROR(IF($X$1="ABS",(100*RTD("tos.rtd",,"OPEN_INT","."&amp;B$2&amp;B$1&amp;"C"&amp;$A21)*RTD("tos.rtd",,"DELTA","."&amp;B$2&amp;B$1&amp;"C"&amp;$A21)+100*RTD("tos.rtd",,"OPEN_INT","."&amp;B$2&amp;B$1&amp;"P"&amp;$A21)*RTD("tos.rtd",,"DELTA","."&amp;B$2&amp;B$1&amp;"P"&amp;$A21))/1000,(100*RTD("tos.rtd",,"OPEN_INT","."&amp;B$2&amp;B$1&amp;"C"&amp;$A21)*RTD("tos.rtd",,"DELTA","."&amp;B$2&amp;B$1&amp;"C"&amp;$A21)-100*RTD("tos.rtd",,"OPEN_INT","."&amp;B$2&amp;B$1&amp;"P"&amp;$A21)*RTD("tos.rtd",,"DELTA","."&amp;B$2&amp;B$1&amp;"P"&amp;$A21))/1000),0),IF($A$2="VEX",IFERROR(IF($X$1="ABS",($A$4*$A$4*RTD("tos.rtd",,"VOLUME","."&amp;B$2&amp;B$1&amp;"C"&amp;$A21)*RTD("tos.rtd",,"GAMMA","."&amp;B$2&amp;B$1&amp;"C"&amp;$A21)+$A$4*$A$4*RTD("tos.rtd",,"VOLUME","."&amp;B$2&amp;B$1&amp;"P"&amp;$A21)*RTD("tos.rtd",,"GAMMA","."&amp;B$2&amp;B$1&amp;"P"&amp;$A21))/1000000,($A$4*$A$4*RTD("tos.rtd",,"VOLUME","."&amp;B$2&amp;B$1&amp;"C"&amp;$A21)*RTD("tos.rtd",,"GAMMA","."&amp;B$2&amp;B$1&amp;"C"&amp;$A21)-$A$4*$A$4*RTD("tos.rtd",,"VOLUME","."&amp;B$2&amp;B$1&amp;"P"&amp;$A21)*RTD("tos.rtd",,"GAMMA","."&amp;B$2&amp;B$1&amp;"P"&amp;$A21))/1000000),0),IF($A$2="GEX",IFERROR(IF($X$1="ABS",($A$4*$A$4*RTD("tos.rtd",,"OPEN_INT","."&amp;B$2&amp;B$1&amp;"C"&amp;$A21)*RTD("tos.rtd",,"GAMMA","."&amp;B$2&amp;B$1&amp;"C"&amp;$A21)+$A$4*$A$4*RTD("tos.rtd",,"OPEN_INT","."&amp;B$2&amp;B$1&amp;"P"&amp;$A21)*RTD("tos.rtd",,"GAMMA","."&amp;B$2&amp;B$1&amp;"P"&amp;$A21))/1000000,($A$4*$A$4*RTD("tos.rtd",,"OPEN_INT","."&amp;B$2&amp;B$1&amp;"C"&amp;$A21)*RTD("tos.rtd",,"GAMMA","."&amp;B$2&amp;B$1&amp;"C"&amp;$A21)-$A$4*$A$4*RTD("tos.rtd",,"OPEN_INT","."&amp;B$2&amp;B$1&amp;"P"&amp;$A21)*RTD("tos.rtd",,"GAMMA","."&amp;B$2&amp;B$1&amp;"P"&amp;$A21))/1000000),0),IF($A$2="SKEW",IFERROR(VALUE(IF(RTD("tos.rtd",,"IMPL_VOL","."&amp;B$2&amp;B$1&amp;"P"&amp;$A21)="N/A",0,RTD("tos.rtd",,"IMPL_VOL","."&amp;B$2&amp;B$1&amp;"P"&amp;$A21))),0)-IFERROR(VALUE(IF(RTD("tos.rtd",,"IMPL_VOL","."&amp;B$2&amp;B$1&amp;"C"&amp;$A21)="N/A",0,RTD("tos.rtd",,"IMPL_VOL","."&amp;B$2&amp;B$1&amp;"C"&amp;$A21))),0),IF($A$2="MAXPAIN",IF($A$4&gt;$A21,($A$4-$A21)*IF(RTD("tos.rtd",,"OPEN_INT","."&amp;B$2&amp;B$1&amp;"C"&amp;$A21)="N/A",0,RTD("tos.rtd",,"OPEN_INT","."&amp;B$2&amp;B$1&amp;"C"&amp;$A21)),0)+IF($A$4&lt;$A21,($A$5-$A$4)*IF(RTD("tos.rtd",,"OPEN_INT","."&amp;B$2&amp;B$1&amp;"P"&amp;$A21)="N/A",0,RTD("tos.rtd",,"OPEN_INT","."&amp;B$2&amp;B$1&amp;"P"&amp;$A21)),0),IF($X$1="ABS",IF(RTD("tos.rtd",,$A$2,"."&amp;B$2&amp;B$1&amp;"C"&amp;$A21)="N/A",0,RTD("tos.rtd",,$A$2,"."&amp;B$2&amp;B$1&amp;"C"&amp;$A21))+IF(RTD("tos.rtd",,$A$2,"."&amp;B$2&amp;B$1&amp;"P"&amp;$A21)="N/A",0,RTD("tos.rtd",,$A$2,"."&amp;B$2&amp;B$1&amp;"P"&amp;$A21)),IF(RTD("tos.rtd",,$A$2,"."&amp;B$2&amp;B$1&amp;"C"&amp;$A21)="N/A",0,RTD("tos.rtd",,$A$2,"."&amp;B$2&amp;B$1&amp;"C"&amp;$A21))-IF(RTD("tos.rtd",,$A$2,"."&amp;B$2&amp;B$1&amp;"P"&amp;$A21)="N/A",0,RTD("tos.rtd",,$A$2,"."&amp;B$2&amp;B$1&amp;"P"&amp;$A21))))))))))</f>
        <v>0</v>
      </c>
      <c r="C21" s="14">
        <f ca="1">IF($A$2="PREMIUM_OI",IFERROR(IF($X$1="ABS",(100*RTD("tos.rtd",,"OPEN_INT","."&amp;C$2&amp;C$1&amp;"C"&amp;$A21)*RTD("tos.rtd",,"LAST","."&amp;C$2&amp;C$1&amp;"C"&amp;$A21)+100*RTD("tos.rtd",,"OPEN_INT","."&amp;C$2&amp;C$1&amp;"P"&amp;$A21)*RTD("tos.rtd",,"LAST","."&amp;C$2&amp;C$1&amp;"P"&amp;$A21))/1000000,(100*RTD("tos.rtd",,"OPEN_INT","."&amp;C$2&amp;C$1&amp;"C"&amp;$A21)*RTD("tos.rtd",,"LAST","."&amp;C$2&amp;C$1&amp;"C"&amp;$A21)-100*RTD("tos.rtd",,"OPEN_INT","."&amp;C$2&amp;C$1&amp;"P"&amp;$A21)*RTD("tos.rtd",,"LAST","."&amp;C$2&amp;C$1&amp;"P"&amp;$A21))/1000000),0),IF($A$2="PREMIUM",IFERROR(IF($X$1="ABS",(100*RTD("tos.rtd",,"VOLUME","."&amp;C$2&amp;C$1&amp;"C"&amp;$A21)*RTD("tos.rtd",,"LAST","."&amp;C$2&amp;C$1&amp;"C"&amp;$A21)+100*RTD("tos.rtd",,"VOLUME","."&amp;C$2&amp;C$1&amp;"P"&amp;$A21)*RTD("tos.rtd",,"LAST","."&amp;C$2&amp;C$1&amp;"P"&amp;$A21))/1000000,(100*RTD("tos.rtd",,"VOLUME","."&amp;C$2&amp;C$1&amp;"C"&amp;$A21)*RTD("tos.rtd",,"LAST","."&amp;C$2&amp;C$1&amp;"C"&amp;$A21)-100*RTD("tos.rtd",,"VOLUME","."&amp;C$2&amp;C$1&amp;"P"&amp;$A21)*RTD("tos.rtd",,"LAST","."&amp;C$2&amp;C$1&amp;"P"&amp;$A21))/1000000),0),IF($A$2="DEX",IFERROR(IF($X$1="ABS",(100*RTD("tos.rtd",,"OPEN_INT","."&amp;C$2&amp;C$1&amp;"C"&amp;$A21)*RTD("tos.rtd",,"DELTA","."&amp;C$2&amp;C$1&amp;"C"&amp;$A21)+100*RTD("tos.rtd",,"OPEN_INT","."&amp;C$2&amp;C$1&amp;"P"&amp;$A21)*RTD("tos.rtd",,"DELTA","."&amp;C$2&amp;C$1&amp;"P"&amp;$A21))/1000,(100*RTD("tos.rtd",,"OPEN_INT","."&amp;C$2&amp;C$1&amp;"C"&amp;$A21)*RTD("tos.rtd",,"DELTA","."&amp;C$2&amp;C$1&amp;"C"&amp;$A21)-100*RTD("tos.rtd",,"OPEN_INT","."&amp;C$2&amp;C$1&amp;"P"&amp;$A21)*RTD("tos.rtd",,"DELTA","."&amp;C$2&amp;C$1&amp;"P"&amp;$A21))/1000),0),IF($A$2="VEX",IFERROR(IF($X$1="ABS",($A$4*$A$4*RTD("tos.rtd",,"VOLUME","."&amp;C$2&amp;C$1&amp;"C"&amp;$A21)*RTD("tos.rtd",,"GAMMA","."&amp;C$2&amp;C$1&amp;"C"&amp;$A21)+$A$4*$A$4*RTD("tos.rtd",,"VOLUME","."&amp;C$2&amp;C$1&amp;"P"&amp;$A21)*RTD("tos.rtd",,"GAMMA","."&amp;C$2&amp;C$1&amp;"P"&amp;$A21))/1000000,($A$4*$A$4*RTD("tos.rtd",,"VOLUME","."&amp;C$2&amp;C$1&amp;"C"&amp;$A21)*RTD("tos.rtd",,"GAMMA","."&amp;C$2&amp;C$1&amp;"C"&amp;$A21)-$A$4*$A$4*RTD("tos.rtd",,"VOLUME","."&amp;C$2&amp;C$1&amp;"P"&amp;$A21)*RTD("tos.rtd",,"GAMMA","."&amp;C$2&amp;C$1&amp;"P"&amp;$A21))/1000000),0),IF($A$2="GEX",IFERROR(IF($X$1="ABS",($A$4*$A$4*RTD("tos.rtd",,"OPEN_INT","."&amp;C$2&amp;C$1&amp;"C"&amp;$A21)*RTD("tos.rtd",,"GAMMA","."&amp;C$2&amp;C$1&amp;"C"&amp;$A21)+$A$4*$A$4*RTD("tos.rtd",,"OPEN_INT","."&amp;C$2&amp;C$1&amp;"P"&amp;$A21)*RTD("tos.rtd",,"GAMMA","."&amp;C$2&amp;C$1&amp;"P"&amp;$A21))/1000000,($A$4*$A$4*RTD("tos.rtd",,"OPEN_INT","."&amp;C$2&amp;C$1&amp;"C"&amp;$A21)*RTD("tos.rtd",,"GAMMA","."&amp;C$2&amp;C$1&amp;"C"&amp;$A21)-$A$4*$A$4*RTD("tos.rtd",,"OPEN_INT","."&amp;C$2&amp;C$1&amp;"P"&amp;$A21)*RTD("tos.rtd",,"GAMMA","."&amp;C$2&amp;C$1&amp;"P"&amp;$A21))/1000000),0),IF($A$2="SKEW",IFERROR(VALUE(IF(RTD("tos.rtd",,"IMPL_VOL","."&amp;C$2&amp;C$1&amp;"P"&amp;$A21)="N/A",0,RTD("tos.rtd",,"IMPL_VOL","."&amp;C$2&amp;C$1&amp;"P"&amp;$A21))),0)-IFERROR(VALUE(IF(RTD("tos.rtd",,"IMPL_VOL","."&amp;C$2&amp;C$1&amp;"C"&amp;$A21)="N/A",0,RTD("tos.rtd",,"IMPL_VOL","."&amp;C$2&amp;C$1&amp;"C"&amp;$A21))),0),IF($A$2="MAXPAIN",IF($A$4&gt;$A21,($A$4-$A21)*IF(RTD("tos.rtd",,"OPEN_INT","."&amp;C$2&amp;C$1&amp;"C"&amp;$A21)="N/A",0,RTD("tos.rtd",,"OPEN_INT","."&amp;C$2&amp;C$1&amp;"C"&amp;$A21)),0)+IF($A$4&lt;$A21,($A$5-$A$4)*IF(RTD("tos.rtd",,"OPEN_INT","."&amp;C$2&amp;C$1&amp;"P"&amp;$A21)="N/A",0,RTD("tos.rtd",,"OPEN_INT","."&amp;C$2&amp;C$1&amp;"P"&amp;$A21)),0),IF($X$1="ABS",IF(RTD("tos.rtd",,$A$2,"."&amp;C$2&amp;C$1&amp;"C"&amp;$A21)="N/A",0,RTD("tos.rtd",,$A$2,"."&amp;C$2&amp;C$1&amp;"C"&amp;$A21))+IF(RTD("tos.rtd",,$A$2,"."&amp;C$2&amp;C$1&amp;"P"&amp;$A21)="N/A",0,RTD("tos.rtd",,$A$2,"."&amp;C$2&amp;C$1&amp;"P"&amp;$A21)),IF(RTD("tos.rtd",,$A$2,"."&amp;C$2&amp;C$1&amp;"C"&amp;$A21)="N/A",0,RTD("tos.rtd",,$A$2,"."&amp;C$2&amp;C$1&amp;"C"&amp;$A21))-IF(RTD("tos.rtd",,$A$2,"."&amp;C$2&amp;C$1&amp;"P"&amp;$A21)="N/A",0,RTD("tos.rtd",,$A$2,"."&amp;C$2&amp;C$1&amp;"P"&amp;$A21))))))))))</f>
        <v>0</v>
      </c>
      <c r="D21" s="12">
        <f ca="1">IF($A$2="PREMIUM_OI",IFERROR(IF($X$1="ABS",(100*RTD("tos.rtd",,"OPEN_INT","."&amp;D$2&amp;D$1&amp;"C"&amp;$A21)*RTD("tos.rtd",,"LAST","."&amp;D$2&amp;D$1&amp;"C"&amp;$A21)+100*RTD("tos.rtd",,"OPEN_INT","."&amp;D$2&amp;D$1&amp;"P"&amp;$A21)*RTD("tos.rtd",,"LAST","."&amp;D$2&amp;D$1&amp;"P"&amp;$A21))/1000000,(100*RTD("tos.rtd",,"OPEN_INT","."&amp;D$2&amp;D$1&amp;"C"&amp;$A21)*RTD("tos.rtd",,"LAST","."&amp;D$2&amp;D$1&amp;"C"&amp;$A21)-100*RTD("tos.rtd",,"OPEN_INT","."&amp;D$2&amp;D$1&amp;"P"&amp;$A21)*RTD("tos.rtd",,"LAST","."&amp;D$2&amp;D$1&amp;"P"&amp;$A21))/1000000),0),IF($A$2="PREMIUM",IFERROR(IF($X$1="ABS",(100*RTD("tos.rtd",,"VOLUME","."&amp;D$2&amp;D$1&amp;"C"&amp;$A21)*RTD("tos.rtd",,"LAST","."&amp;D$2&amp;D$1&amp;"C"&amp;$A21)+100*RTD("tos.rtd",,"VOLUME","."&amp;D$2&amp;D$1&amp;"P"&amp;$A21)*RTD("tos.rtd",,"LAST","."&amp;D$2&amp;D$1&amp;"P"&amp;$A21))/1000000,(100*RTD("tos.rtd",,"VOLUME","."&amp;D$2&amp;D$1&amp;"C"&amp;$A21)*RTD("tos.rtd",,"LAST","."&amp;D$2&amp;D$1&amp;"C"&amp;$A21)-100*RTD("tos.rtd",,"VOLUME","."&amp;D$2&amp;D$1&amp;"P"&amp;$A21)*RTD("tos.rtd",,"LAST","."&amp;D$2&amp;D$1&amp;"P"&amp;$A21))/1000000),0),IF($A$2="DEX",IFERROR(IF($X$1="ABS",(100*RTD("tos.rtd",,"OPEN_INT","."&amp;D$2&amp;D$1&amp;"C"&amp;$A21)*RTD("tos.rtd",,"DELTA","."&amp;D$2&amp;D$1&amp;"C"&amp;$A21)+100*RTD("tos.rtd",,"OPEN_INT","."&amp;D$2&amp;D$1&amp;"P"&amp;$A21)*RTD("tos.rtd",,"DELTA","."&amp;D$2&amp;D$1&amp;"P"&amp;$A21))/1000,(100*RTD("tos.rtd",,"OPEN_INT","."&amp;D$2&amp;D$1&amp;"C"&amp;$A21)*RTD("tos.rtd",,"DELTA","."&amp;D$2&amp;D$1&amp;"C"&amp;$A21)-100*RTD("tos.rtd",,"OPEN_INT","."&amp;D$2&amp;D$1&amp;"P"&amp;$A21)*RTD("tos.rtd",,"DELTA","."&amp;D$2&amp;D$1&amp;"P"&amp;$A21))/1000),0),IF($A$2="VEX",IFERROR(IF($X$1="ABS",($A$4*$A$4*RTD("tos.rtd",,"VOLUME","."&amp;D$2&amp;D$1&amp;"C"&amp;$A21)*RTD("tos.rtd",,"GAMMA","."&amp;D$2&amp;D$1&amp;"C"&amp;$A21)+$A$4*$A$4*RTD("tos.rtd",,"VOLUME","."&amp;D$2&amp;D$1&amp;"P"&amp;$A21)*RTD("tos.rtd",,"GAMMA","."&amp;D$2&amp;D$1&amp;"P"&amp;$A21))/1000000,($A$4*$A$4*RTD("tos.rtd",,"VOLUME","."&amp;D$2&amp;D$1&amp;"C"&amp;$A21)*RTD("tos.rtd",,"GAMMA","."&amp;D$2&amp;D$1&amp;"C"&amp;$A21)-$A$4*$A$4*RTD("tos.rtd",,"VOLUME","."&amp;D$2&amp;D$1&amp;"P"&amp;$A21)*RTD("tos.rtd",,"GAMMA","."&amp;D$2&amp;D$1&amp;"P"&amp;$A21))/1000000),0),IF($A$2="GEX",IFERROR(IF($X$1="ABS",($A$4*$A$4*RTD("tos.rtd",,"OPEN_INT","."&amp;D$2&amp;D$1&amp;"C"&amp;$A21)*RTD("tos.rtd",,"GAMMA","."&amp;D$2&amp;D$1&amp;"C"&amp;$A21)+$A$4*$A$4*RTD("tos.rtd",,"OPEN_INT","."&amp;D$2&amp;D$1&amp;"P"&amp;$A21)*RTD("tos.rtd",,"GAMMA","."&amp;D$2&amp;D$1&amp;"P"&amp;$A21))/1000000,($A$4*$A$4*RTD("tos.rtd",,"OPEN_INT","."&amp;D$2&amp;D$1&amp;"C"&amp;$A21)*RTD("tos.rtd",,"GAMMA","."&amp;D$2&amp;D$1&amp;"C"&amp;$A21)-$A$4*$A$4*RTD("tos.rtd",,"OPEN_INT","."&amp;D$2&amp;D$1&amp;"P"&amp;$A21)*RTD("tos.rtd",,"GAMMA","."&amp;D$2&amp;D$1&amp;"P"&amp;$A21))/1000000),0),IF($A$2="SKEW",IFERROR(VALUE(IF(RTD("tos.rtd",,"IMPL_VOL","."&amp;D$2&amp;D$1&amp;"P"&amp;$A21)="N/A",0,RTD("tos.rtd",,"IMPL_VOL","."&amp;D$2&amp;D$1&amp;"P"&amp;$A21))),0)-IFERROR(VALUE(IF(RTD("tos.rtd",,"IMPL_VOL","."&amp;D$2&amp;D$1&amp;"C"&amp;$A21)="N/A",0,RTD("tos.rtd",,"IMPL_VOL","."&amp;D$2&amp;D$1&amp;"C"&amp;$A21))),0),IF($A$2="MAXPAIN",IF($A$4&gt;$A21,($A$4-$A21)*IF(RTD("tos.rtd",,"OPEN_INT","."&amp;D$2&amp;D$1&amp;"C"&amp;$A21)="N/A",0,RTD("tos.rtd",,"OPEN_INT","."&amp;D$2&amp;D$1&amp;"C"&amp;$A21)),0)+IF($A$4&lt;$A21,($A$5-$A$4)*IF(RTD("tos.rtd",,"OPEN_INT","."&amp;D$2&amp;D$1&amp;"P"&amp;$A21)="N/A",0,RTD("tos.rtd",,"OPEN_INT","."&amp;D$2&amp;D$1&amp;"P"&amp;$A21)),0),IF($X$1="ABS",IF(RTD("tos.rtd",,$A$2,"."&amp;D$2&amp;D$1&amp;"C"&amp;$A21)="N/A",0,RTD("tos.rtd",,$A$2,"."&amp;D$2&amp;D$1&amp;"C"&amp;$A21))+IF(RTD("tos.rtd",,$A$2,"."&amp;D$2&amp;D$1&amp;"P"&amp;$A21)="N/A",0,RTD("tos.rtd",,$A$2,"."&amp;D$2&amp;D$1&amp;"P"&amp;$A21)),IF(RTD("tos.rtd",,$A$2,"."&amp;D$2&amp;D$1&amp;"C"&amp;$A21)="N/A",0,RTD("tos.rtd",,$A$2,"."&amp;D$2&amp;D$1&amp;"C"&amp;$A21))-IF(RTD("tos.rtd",,$A$2,"."&amp;D$2&amp;D$1&amp;"P"&amp;$A21)="N/A",0,RTD("tos.rtd",,$A$2,"."&amp;D$2&amp;D$1&amp;"P"&amp;$A21))))))))))</f>
        <v>0</v>
      </c>
      <c r="E21" s="12">
        <f ca="1">IF($A$2="PREMIUM_OI",IFERROR(IF($X$1="ABS",(100*RTD("tos.rtd",,"OPEN_INT","."&amp;E$2&amp;E$1&amp;"C"&amp;$A21)*RTD("tos.rtd",,"LAST","."&amp;E$2&amp;E$1&amp;"C"&amp;$A21)+100*RTD("tos.rtd",,"OPEN_INT","."&amp;E$2&amp;E$1&amp;"P"&amp;$A21)*RTD("tos.rtd",,"LAST","."&amp;E$2&amp;E$1&amp;"P"&amp;$A21))/1000000,(100*RTD("tos.rtd",,"OPEN_INT","."&amp;E$2&amp;E$1&amp;"C"&amp;$A21)*RTD("tos.rtd",,"LAST","."&amp;E$2&amp;E$1&amp;"C"&amp;$A21)-100*RTD("tos.rtd",,"OPEN_INT","."&amp;E$2&amp;E$1&amp;"P"&amp;$A21)*RTD("tos.rtd",,"LAST","."&amp;E$2&amp;E$1&amp;"P"&amp;$A21))/1000000),0),IF($A$2="PREMIUM",IFERROR(IF($X$1="ABS",(100*RTD("tos.rtd",,"VOLUME","."&amp;E$2&amp;E$1&amp;"C"&amp;$A21)*RTD("tos.rtd",,"LAST","."&amp;E$2&amp;E$1&amp;"C"&amp;$A21)+100*RTD("tos.rtd",,"VOLUME","."&amp;E$2&amp;E$1&amp;"P"&amp;$A21)*RTD("tos.rtd",,"LAST","."&amp;E$2&amp;E$1&amp;"P"&amp;$A21))/1000000,(100*RTD("tos.rtd",,"VOLUME","."&amp;E$2&amp;E$1&amp;"C"&amp;$A21)*RTD("tos.rtd",,"LAST","."&amp;E$2&amp;E$1&amp;"C"&amp;$A21)-100*RTD("tos.rtd",,"VOLUME","."&amp;E$2&amp;E$1&amp;"P"&amp;$A21)*RTD("tos.rtd",,"LAST","."&amp;E$2&amp;E$1&amp;"P"&amp;$A21))/1000000),0),IF($A$2="DEX",IFERROR(IF($X$1="ABS",(100*RTD("tos.rtd",,"OPEN_INT","."&amp;E$2&amp;E$1&amp;"C"&amp;$A21)*RTD("tos.rtd",,"DELTA","."&amp;E$2&amp;E$1&amp;"C"&amp;$A21)+100*RTD("tos.rtd",,"OPEN_INT","."&amp;E$2&amp;E$1&amp;"P"&amp;$A21)*RTD("tos.rtd",,"DELTA","."&amp;E$2&amp;E$1&amp;"P"&amp;$A21))/1000,(100*RTD("tos.rtd",,"OPEN_INT","."&amp;E$2&amp;E$1&amp;"C"&amp;$A21)*RTD("tos.rtd",,"DELTA","."&amp;E$2&amp;E$1&amp;"C"&amp;$A21)-100*RTD("tos.rtd",,"OPEN_INT","."&amp;E$2&amp;E$1&amp;"P"&amp;$A21)*RTD("tos.rtd",,"DELTA","."&amp;E$2&amp;E$1&amp;"P"&amp;$A21))/1000),0),IF($A$2="VEX",IFERROR(IF($X$1="ABS",($A$4*$A$4*RTD("tos.rtd",,"VOLUME","."&amp;E$2&amp;E$1&amp;"C"&amp;$A21)*RTD("tos.rtd",,"GAMMA","."&amp;E$2&amp;E$1&amp;"C"&amp;$A21)+$A$4*$A$4*RTD("tos.rtd",,"VOLUME","."&amp;E$2&amp;E$1&amp;"P"&amp;$A21)*RTD("tos.rtd",,"GAMMA","."&amp;E$2&amp;E$1&amp;"P"&amp;$A21))/1000000,($A$4*$A$4*RTD("tos.rtd",,"VOLUME","."&amp;E$2&amp;E$1&amp;"C"&amp;$A21)*RTD("tos.rtd",,"GAMMA","."&amp;E$2&amp;E$1&amp;"C"&amp;$A21)-$A$4*$A$4*RTD("tos.rtd",,"VOLUME","."&amp;E$2&amp;E$1&amp;"P"&amp;$A21)*RTD("tos.rtd",,"GAMMA","."&amp;E$2&amp;E$1&amp;"P"&amp;$A21))/1000000),0),IF($A$2="GEX",IFERROR(IF($X$1="ABS",($A$4*$A$4*RTD("tos.rtd",,"OPEN_INT","."&amp;E$2&amp;E$1&amp;"C"&amp;$A21)*RTD("tos.rtd",,"GAMMA","."&amp;E$2&amp;E$1&amp;"C"&amp;$A21)+$A$4*$A$4*RTD("tos.rtd",,"OPEN_INT","."&amp;E$2&amp;E$1&amp;"P"&amp;$A21)*RTD("tos.rtd",,"GAMMA","."&amp;E$2&amp;E$1&amp;"P"&amp;$A21))/1000000,($A$4*$A$4*RTD("tos.rtd",,"OPEN_INT","."&amp;E$2&amp;E$1&amp;"C"&amp;$A21)*RTD("tos.rtd",,"GAMMA","."&amp;E$2&amp;E$1&amp;"C"&amp;$A21)-$A$4*$A$4*RTD("tos.rtd",,"OPEN_INT","."&amp;E$2&amp;E$1&amp;"P"&amp;$A21)*RTD("tos.rtd",,"GAMMA","."&amp;E$2&amp;E$1&amp;"P"&amp;$A21))/1000000),0),IF($A$2="SKEW",IFERROR(VALUE(IF(RTD("tos.rtd",,"IMPL_VOL","."&amp;E$2&amp;E$1&amp;"P"&amp;$A21)="N/A",0,RTD("tos.rtd",,"IMPL_VOL","."&amp;E$2&amp;E$1&amp;"P"&amp;$A21))),0)-IFERROR(VALUE(IF(RTD("tos.rtd",,"IMPL_VOL","."&amp;E$2&amp;E$1&amp;"C"&amp;$A21)="N/A",0,RTD("tos.rtd",,"IMPL_VOL","."&amp;E$2&amp;E$1&amp;"C"&amp;$A21))),0),IF($A$2="MAXPAIN",IF($A$4&gt;$A21,($A$4-$A21)*IF(RTD("tos.rtd",,"OPEN_INT","."&amp;E$2&amp;E$1&amp;"C"&amp;$A21)="N/A",0,RTD("tos.rtd",,"OPEN_INT","."&amp;E$2&amp;E$1&amp;"C"&amp;$A21)),0)+IF($A$4&lt;$A21,($A$5-$A$4)*IF(RTD("tos.rtd",,"OPEN_INT","."&amp;E$2&amp;E$1&amp;"P"&amp;$A21)="N/A",0,RTD("tos.rtd",,"OPEN_INT","."&amp;E$2&amp;E$1&amp;"P"&amp;$A21)),0),IF($X$1="ABS",IF(RTD("tos.rtd",,$A$2,"."&amp;E$2&amp;E$1&amp;"C"&amp;$A21)="N/A",0,RTD("tos.rtd",,$A$2,"."&amp;E$2&amp;E$1&amp;"C"&amp;$A21))+IF(RTD("tos.rtd",,$A$2,"."&amp;E$2&amp;E$1&amp;"P"&amp;$A21)="N/A",0,RTD("tos.rtd",,$A$2,"."&amp;E$2&amp;E$1&amp;"P"&amp;$A21)),IF(RTD("tos.rtd",,$A$2,"."&amp;E$2&amp;E$1&amp;"C"&amp;$A21)="N/A",0,RTD("tos.rtd",,$A$2,"."&amp;E$2&amp;E$1&amp;"C"&amp;$A21))-IF(RTD("tos.rtd",,$A$2,"."&amp;E$2&amp;E$1&amp;"P"&amp;$A21)="N/A",0,RTD("tos.rtd",,$A$2,"."&amp;E$2&amp;E$1&amp;"P"&amp;$A21))))))))))</f>
        <v>0</v>
      </c>
      <c r="F21" s="12">
        <f ca="1">IF($A$2="PREMIUM_OI",IFERROR(IF($X$1="ABS",(100*RTD("tos.rtd",,"OPEN_INT","."&amp;F$2&amp;F$1&amp;"C"&amp;$A21)*RTD("tos.rtd",,"LAST","."&amp;F$2&amp;F$1&amp;"C"&amp;$A21)+100*RTD("tos.rtd",,"OPEN_INT","."&amp;F$2&amp;F$1&amp;"P"&amp;$A21)*RTD("tos.rtd",,"LAST","."&amp;F$2&amp;F$1&amp;"P"&amp;$A21))/1000000,(100*RTD("tos.rtd",,"OPEN_INT","."&amp;F$2&amp;F$1&amp;"C"&amp;$A21)*RTD("tos.rtd",,"LAST","."&amp;F$2&amp;F$1&amp;"C"&amp;$A21)-100*RTD("tos.rtd",,"OPEN_INT","."&amp;F$2&amp;F$1&amp;"P"&amp;$A21)*RTD("tos.rtd",,"LAST","."&amp;F$2&amp;F$1&amp;"P"&amp;$A21))/1000000),0),IF($A$2="PREMIUM",IFERROR(IF($X$1="ABS",(100*RTD("tos.rtd",,"VOLUME","."&amp;F$2&amp;F$1&amp;"C"&amp;$A21)*RTD("tos.rtd",,"LAST","."&amp;F$2&amp;F$1&amp;"C"&amp;$A21)+100*RTD("tos.rtd",,"VOLUME","."&amp;F$2&amp;F$1&amp;"P"&amp;$A21)*RTD("tos.rtd",,"LAST","."&amp;F$2&amp;F$1&amp;"P"&amp;$A21))/1000000,(100*RTD("tos.rtd",,"VOLUME","."&amp;F$2&amp;F$1&amp;"C"&amp;$A21)*RTD("tos.rtd",,"LAST","."&amp;F$2&amp;F$1&amp;"C"&amp;$A21)-100*RTD("tos.rtd",,"VOLUME","."&amp;F$2&amp;F$1&amp;"P"&amp;$A21)*RTD("tos.rtd",,"LAST","."&amp;F$2&amp;F$1&amp;"P"&amp;$A21))/1000000),0),IF($A$2="DEX",IFERROR(IF($X$1="ABS",(100*RTD("tos.rtd",,"OPEN_INT","."&amp;F$2&amp;F$1&amp;"C"&amp;$A21)*RTD("tos.rtd",,"DELTA","."&amp;F$2&amp;F$1&amp;"C"&amp;$A21)+100*RTD("tos.rtd",,"OPEN_INT","."&amp;F$2&amp;F$1&amp;"P"&amp;$A21)*RTD("tos.rtd",,"DELTA","."&amp;F$2&amp;F$1&amp;"P"&amp;$A21))/1000,(100*RTD("tos.rtd",,"OPEN_INT","."&amp;F$2&amp;F$1&amp;"C"&amp;$A21)*RTD("tos.rtd",,"DELTA","."&amp;F$2&amp;F$1&amp;"C"&amp;$A21)-100*RTD("tos.rtd",,"OPEN_INT","."&amp;F$2&amp;F$1&amp;"P"&amp;$A21)*RTD("tos.rtd",,"DELTA","."&amp;F$2&amp;F$1&amp;"P"&amp;$A21))/1000),0),IF($A$2="VEX",IFERROR(IF($X$1="ABS",($A$4*$A$4*RTD("tos.rtd",,"VOLUME","."&amp;F$2&amp;F$1&amp;"C"&amp;$A21)*RTD("tos.rtd",,"GAMMA","."&amp;F$2&amp;F$1&amp;"C"&amp;$A21)+$A$4*$A$4*RTD("tos.rtd",,"VOLUME","."&amp;F$2&amp;F$1&amp;"P"&amp;$A21)*RTD("tos.rtd",,"GAMMA","."&amp;F$2&amp;F$1&amp;"P"&amp;$A21))/1000000,($A$4*$A$4*RTD("tos.rtd",,"VOLUME","."&amp;F$2&amp;F$1&amp;"C"&amp;$A21)*RTD("tos.rtd",,"GAMMA","."&amp;F$2&amp;F$1&amp;"C"&amp;$A21)-$A$4*$A$4*RTD("tos.rtd",,"VOLUME","."&amp;F$2&amp;F$1&amp;"P"&amp;$A21)*RTD("tos.rtd",,"GAMMA","."&amp;F$2&amp;F$1&amp;"P"&amp;$A21))/1000000),0),IF($A$2="GEX",IFERROR(IF($X$1="ABS",($A$4*$A$4*RTD("tos.rtd",,"OPEN_INT","."&amp;F$2&amp;F$1&amp;"C"&amp;$A21)*RTD("tos.rtd",,"GAMMA","."&amp;F$2&amp;F$1&amp;"C"&amp;$A21)+$A$4*$A$4*RTD("tos.rtd",,"OPEN_INT","."&amp;F$2&amp;F$1&amp;"P"&amp;$A21)*RTD("tos.rtd",,"GAMMA","."&amp;F$2&amp;F$1&amp;"P"&amp;$A21))/1000000,($A$4*$A$4*RTD("tos.rtd",,"OPEN_INT","."&amp;F$2&amp;F$1&amp;"C"&amp;$A21)*RTD("tos.rtd",,"GAMMA","."&amp;F$2&amp;F$1&amp;"C"&amp;$A21)-$A$4*$A$4*RTD("tos.rtd",,"OPEN_INT","."&amp;F$2&amp;F$1&amp;"P"&amp;$A21)*RTD("tos.rtd",,"GAMMA","."&amp;F$2&amp;F$1&amp;"P"&amp;$A21))/1000000),0),IF($A$2="SKEW",IFERROR(VALUE(IF(RTD("tos.rtd",,"IMPL_VOL","."&amp;F$2&amp;F$1&amp;"P"&amp;$A21)="N/A",0,RTD("tos.rtd",,"IMPL_VOL","."&amp;F$2&amp;F$1&amp;"P"&amp;$A21))),0)-IFERROR(VALUE(IF(RTD("tos.rtd",,"IMPL_VOL","."&amp;F$2&amp;F$1&amp;"C"&amp;$A21)="N/A",0,RTD("tos.rtd",,"IMPL_VOL","."&amp;F$2&amp;F$1&amp;"C"&amp;$A21))),0),IF($A$2="MAXPAIN",IF($A$4&gt;$A21,($A$4-$A21)*IF(RTD("tos.rtd",,"OPEN_INT","."&amp;F$2&amp;F$1&amp;"C"&amp;$A21)="N/A",0,RTD("tos.rtd",,"OPEN_INT","."&amp;F$2&amp;F$1&amp;"C"&amp;$A21)),0)+IF($A$4&lt;$A21,($A$5-$A$4)*IF(RTD("tos.rtd",,"OPEN_INT","."&amp;F$2&amp;F$1&amp;"P"&amp;$A21)="N/A",0,RTD("tos.rtd",,"OPEN_INT","."&amp;F$2&amp;F$1&amp;"P"&amp;$A21)),0),IF($X$1="ABS",IF(RTD("tos.rtd",,$A$2,"."&amp;F$2&amp;F$1&amp;"C"&amp;$A21)="N/A",0,RTD("tos.rtd",,$A$2,"."&amp;F$2&amp;F$1&amp;"C"&amp;$A21))+IF(RTD("tos.rtd",,$A$2,"."&amp;F$2&amp;F$1&amp;"P"&amp;$A21)="N/A",0,RTD("tos.rtd",,$A$2,"."&amp;F$2&amp;F$1&amp;"P"&amp;$A21)),IF(RTD("tos.rtd",,$A$2,"."&amp;F$2&amp;F$1&amp;"C"&amp;$A21)="N/A",0,RTD("tos.rtd",,$A$2,"."&amp;F$2&amp;F$1&amp;"C"&amp;$A21))-IF(RTD("tos.rtd",,$A$2,"."&amp;F$2&amp;F$1&amp;"P"&amp;$A21)="N/A",0,RTD("tos.rtd",,$A$2,"."&amp;F$2&amp;F$1&amp;"P"&amp;$A21))))))))))</f>
        <v>0</v>
      </c>
      <c r="G21" s="54">
        <f ca="1">IF($A$2="PREMIUM_OI",IFERROR(IF($X$1="ABS",(100*RTD("tos.rtd",,"OPEN_INT","."&amp;G$2&amp;G$1&amp;"C"&amp;$A21)*RTD("tos.rtd",,"LAST","."&amp;G$2&amp;G$1&amp;"C"&amp;$A21)+100*RTD("tos.rtd",,"OPEN_INT","."&amp;G$2&amp;G$1&amp;"P"&amp;$A21)*RTD("tos.rtd",,"LAST","."&amp;G$2&amp;G$1&amp;"P"&amp;$A21))/1000000,(100*RTD("tos.rtd",,"OPEN_INT","."&amp;G$2&amp;G$1&amp;"C"&amp;$A21)*RTD("tos.rtd",,"LAST","."&amp;G$2&amp;G$1&amp;"C"&amp;$A21)-100*RTD("tos.rtd",,"OPEN_INT","."&amp;G$2&amp;G$1&amp;"P"&amp;$A21)*RTD("tos.rtd",,"LAST","."&amp;G$2&amp;G$1&amp;"P"&amp;$A21))/1000000),0),IF($A$2="PREMIUM",IFERROR(IF($X$1="ABS",(100*RTD("tos.rtd",,"VOLUME","."&amp;G$2&amp;G$1&amp;"C"&amp;$A21)*RTD("tos.rtd",,"LAST","."&amp;G$2&amp;G$1&amp;"C"&amp;$A21)+100*RTD("tos.rtd",,"VOLUME","."&amp;G$2&amp;G$1&amp;"P"&amp;$A21)*RTD("tos.rtd",,"LAST","."&amp;G$2&amp;G$1&amp;"P"&amp;$A21))/1000000,(100*RTD("tos.rtd",,"VOLUME","."&amp;G$2&amp;G$1&amp;"C"&amp;$A21)*RTD("tos.rtd",,"LAST","."&amp;G$2&amp;G$1&amp;"C"&amp;$A21)-100*RTD("tos.rtd",,"VOLUME","."&amp;G$2&amp;G$1&amp;"P"&amp;$A21)*RTD("tos.rtd",,"LAST","."&amp;G$2&amp;G$1&amp;"P"&amp;$A21))/1000000),0),IF($A$2="DEX",IFERROR(IF($X$1="ABS",(100*RTD("tos.rtd",,"OPEN_INT","."&amp;G$2&amp;G$1&amp;"C"&amp;$A21)*RTD("tos.rtd",,"DELTA","."&amp;G$2&amp;G$1&amp;"C"&amp;$A21)+100*RTD("tos.rtd",,"OPEN_INT","."&amp;G$2&amp;G$1&amp;"P"&amp;$A21)*RTD("tos.rtd",,"DELTA","."&amp;G$2&amp;G$1&amp;"P"&amp;$A21))/1000,(100*RTD("tos.rtd",,"OPEN_INT","."&amp;G$2&amp;G$1&amp;"C"&amp;$A21)*RTD("tos.rtd",,"DELTA","."&amp;G$2&amp;G$1&amp;"C"&amp;$A21)-100*RTD("tos.rtd",,"OPEN_INT","."&amp;G$2&amp;G$1&amp;"P"&amp;$A21)*RTD("tos.rtd",,"DELTA","."&amp;G$2&amp;G$1&amp;"P"&amp;$A21))/1000),0),IF($A$2="VEX",IFERROR(IF($X$1="ABS",($A$4*$A$4*RTD("tos.rtd",,"VOLUME","."&amp;G$2&amp;G$1&amp;"C"&amp;$A21)*RTD("tos.rtd",,"GAMMA","."&amp;G$2&amp;G$1&amp;"C"&amp;$A21)+$A$4*$A$4*RTD("tos.rtd",,"VOLUME","."&amp;G$2&amp;G$1&amp;"P"&amp;$A21)*RTD("tos.rtd",,"GAMMA","."&amp;G$2&amp;G$1&amp;"P"&amp;$A21))/1000000,($A$4*$A$4*RTD("tos.rtd",,"VOLUME","."&amp;G$2&amp;G$1&amp;"C"&amp;$A21)*RTD("tos.rtd",,"GAMMA","."&amp;G$2&amp;G$1&amp;"C"&amp;$A21)-$A$4*$A$4*RTD("tos.rtd",,"VOLUME","."&amp;G$2&amp;G$1&amp;"P"&amp;$A21)*RTD("tos.rtd",,"GAMMA","."&amp;G$2&amp;G$1&amp;"P"&amp;$A21))/1000000),0),IF($A$2="GEX",IFERROR(IF($X$1="ABS",($A$4*$A$4*RTD("tos.rtd",,"OPEN_INT","."&amp;G$2&amp;G$1&amp;"C"&amp;$A21)*RTD("tos.rtd",,"GAMMA","."&amp;G$2&amp;G$1&amp;"C"&amp;$A21)+$A$4*$A$4*RTD("tos.rtd",,"OPEN_INT","."&amp;G$2&amp;G$1&amp;"P"&amp;$A21)*RTD("tos.rtd",,"GAMMA","."&amp;G$2&amp;G$1&amp;"P"&amp;$A21))/1000000,($A$4*$A$4*RTD("tos.rtd",,"OPEN_INT","."&amp;G$2&amp;G$1&amp;"C"&amp;$A21)*RTD("tos.rtd",,"GAMMA","."&amp;G$2&amp;G$1&amp;"C"&amp;$A21)-$A$4*$A$4*RTD("tos.rtd",,"OPEN_INT","."&amp;G$2&amp;G$1&amp;"P"&amp;$A21)*RTD("tos.rtd",,"GAMMA","."&amp;G$2&amp;G$1&amp;"P"&amp;$A21))/1000000),0),IF($A$2="SKEW",IFERROR(VALUE(IF(RTD("tos.rtd",,"IMPL_VOL","."&amp;G$2&amp;G$1&amp;"P"&amp;$A21)="N/A",0,RTD("tos.rtd",,"IMPL_VOL","."&amp;G$2&amp;G$1&amp;"P"&amp;$A21))),0)-IFERROR(VALUE(IF(RTD("tos.rtd",,"IMPL_VOL","."&amp;G$2&amp;G$1&amp;"C"&amp;$A21)="N/A",0,RTD("tos.rtd",,"IMPL_VOL","."&amp;G$2&amp;G$1&amp;"C"&amp;$A21))),0),IF($A$2="MAXPAIN",IF($A$4&gt;$A21,($A$4-$A21)*IF(RTD("tos.rtd",,"OPEN_INT","."&amp;G$2&amp;G$1&amp;"C"&amp;$A21)="N/A",0,RTD("tos.rtd",,"OPEN_INT","."&amp;G$2&amp;G$1&amp;"C"&amp;$A21)),0)+IF($A$4&lt;$A21,($A$5-$A$4)*IF(RTD("tos.rtd",,"OPEN_INT","."&amp;G$2&amp;G$1&amp;"P"&amp;$A21)="N/A",0,RTD("tos.rtd",,"OPEN_INT","."&amp;G$2&amp;G$1&amp;"P"&amp;$A21)),0),IF($X$1="ABS",IF(RTD("tos.rtd",,$A$2,"."&amp;G$2&amp;G$1&amp;"C"&amp;$A21)="N/A",0,RTD("tos.rtd",,$A$2,"."&amp;G$2&amp;G$1&amp;"C"&amp;$A21))+IF(RTD("tos.rtd",,$A$2,"."&amp;G$2&amp;G$1&amp;"P"&amp;$A21)="N/A",0,RTD("tos.rtd",,$A$2,"."&amp;G$2&amp;G$1&amp;"P"&amp;$A21)),IF(RTD("tos.rtd",,$A$2,"."&amp;G$2&amp;G$1&amp;"C"&amp;$A21)="N/A",0,RTD("tos.rtd",,$A$2,"."&amp;G$2&amp;G$1&amp;"C"&amp;$A21))-IF(RTD("tos.rtd",,$A$2,"."&amp;G$2&amp;G$1&amp;"P"&amp;$A21)="N/A",0,RTD("tos.rtd",,$A$2,"."&amp;G$2&amp;G$1&amp;"P"&amp;$A21))))))))))</f>
        <v>0</v>
      </c>
      <c r="H21" s="14">
        <f ca="1">IF($A$2="PREMIUM_OI",IFERROR(IF($X$1="ABS",(100*RTD("tos.rtd",,"OPEN_INT","."&amp;H$2&amp;H$1&amp;"C"&amp;$A21)*RTD("tos.rtd",,"LAST","."&amp;H$2&amp;H$1&amp;"C"&amp;$A21)+100*RTD("tos.rtd",,"OPEN_INT","."&amp;H$2&amp;H$1&amp;"P"&amp;$A21)*RTD("tos.rtd",,"LAST","."&amp;H$2&amp;H$1&amp;"P"&amp;$A21))/1000000,(100*RTD("tos.rtd",,"OPEN_INT","."&amp;H$2&amp;H$1&amp;"C"&amp;$A21)*RTD("tos.rtd",,"LAST","."&amp;H$2&amp;H$1&amp;"C"&amp;$A21)-100*RTD("tos.rtd",,"OPEN_INT","."&amp;H$2&amp;H$1&amp;"P"&amp;$A21)*RTD("tos.rtd",,"LAST","."&amp;H$2&amp;H$1&amp;"P"&amp;$A21))/1000000),0),IF($A$2="PREMIUM",IFERROR(IF($X$1="ABS",(100*RTD("tos.rtd",,"VOLUME","."&amp;H$2&amp;H$1&amp;"C"&amp;$A21)*RTD("tos.rtd",,"LAST","."&amp;H$2&amp;H$1&amp;"C"&amp;$A21)+100*RTD("tos.rtd",,"VOLUME","."&amp;H$2&amp;H$1&amp;"P"&amp;$A21)*RTD("tos.rtd",,"LAST","."&amp;H$2&amp;H$1&amp;"P"&amp;$A21))/1000000,(100*RTD("tos.rtd",,"VOLUME","."&amp;H$2&amp;H$1&amp;"C"&amp;$A21)*RTD("tos.rtd",,"LAST","."&amp;H$2&amp;H$1&amp;"C"&amp;$A21)-100*RTD("tos.rtd",,"VOLUME","."&amp;H$2&amp;H$1&amp;"P"&amp;$A21)*RTD("tos.rtd",,"LAST","."&amp;H$2&amp;H$1&amp;"P"&amp;$A21))/1000000),0),IF($A$2="DEX",IFERROR(IF($X$1="ABS",(100*RTD("tos.rtd",,"OPEN_INT","."&amp;H$2&amp;H$1&amp;"C"&amp;$A21)*RTD("tos.rtd",,"DELTA","."&amp;H$2&amp;H$1&amp;"C"&amp;$A21)+100*RTD("tos.rtd",,"OPEN_INT","."&amp;H$2&amp;H$1&amp;"P"&amp;$A21)*RTD("tos.rtd",,"DELTA","."&amp;H$2&amp;H$1&amp;"P"&amp;$A21))/1000,(100*RTD("tos.rtd",,"OPEN_INT","."&amp;H$2&amp;H$1&amp;"C"&amp;$A21)*RTD("tos.rtd",,"DELTA","."&amp;H$2&amp;H$1&amp;"C"&amp;$A21)-100*RTD("tos.rtd",,"OPEN_INT","."&amp;H$2&amp;H$1&amp;"P"&amp;$A21)*RTD("tos.rtd",,"DELTA","."&amp;H$2&amp;H$1&amp;"P"&amp;$A21))/1000),0),IF($A$2="VEX",IFERROR(IF($X$1="ABS",($A$4*$A$4*RTD("tos.rtd",,"VOLUME","."&amp;H$2&amp;H$1&amp;"C"&amp;$A21)*RTD("tos.rtd",,"GAMMA","."&amp;H$2&amp;H$1&amp;"C"&amp;$A21)+$A$4*$A$4*RTD("tos.rtd",,"VOLUME","."&amp;H$2&amp;H$1&amp;"P"&amp;$A21)*RTD("tos.rtd",,"GAMMA","."&amp;H$2&amp;H$1&amp;"P"&amp;$A21))/1000000,($A$4*$A$4*RTD("tos.rtd",,"VOLUME","."&amp;H$2&amp;H$1&amp;"C"&amp;$A21)*RTD("tos.rtd",,"GAMMA","."&amp;H$2&amp;H$1&amp;"C"&amp;$A21)-$A$4*$A$4*RTD("tos.rtd",,"VOLUME","."&amp;H$2&amp;H$1&amp;"P"&amp;$A21)*RTD("tos.rtd",,"GAMMA","."&amp;H$2&amp;H$1&amp;"P"&amp;$A21))/1000000),0),IF($A$2="GEX",IFERROR(IF($X$1="ABS",($A$4*$A$4*RTD("tos.rtd",,"OPEN_INT","."&amp;H$2&amp;H$1&amp;"C"&amp;$A21)*RTD("tos.rtd",,"GAMMA","."&amp;H$2&amp;H$1&amp;"C"&amp;$A21)+$A$4*$A$4*RTD("tos.rtd",,"OPEN_INT","."&amp;H$2&amp;H$1&amp;"P"&amp;$A21)*RTD("tos.rtd",,"GAMMA","."&amp;H$2&amp;H$1&amp;"P"&amp;$A21))/1000000,($A$4*$A$4*RTD("tos.rtd",,"OPEN_INT","."&amp;H$2&amp;H$1&amp;"C"&amp;$A21)*RTD("tos.rtd",,"GAMMA","."&amp;H$2&amp;H$1&amp;"C"&amp;$A21)-$A$4*$A$4*RTD("tos.rtd",,"OPEN_INT","."&amp;H$2&amp;H$1&amp;"P"&amp;$A21)*RTD("tos.rtd",,"GAMMA","."&amp;H$2&amp;H$1&amp;"P"&amp;$A21))/1000000),0),IF($A$2="SKEW",IFERROR(VALUE(IF(RTD("tos.rtd",,"IMPL_VOL","."&amp;H$2&amp;H$1&amp;"P"&amp;$A21)="N/A",0,RTD("tos.rtd",,"IMPL_VOL","."&amp;H$2&amp;H$1&amp;"P"&amp;$A21))),0)-IFERROR(VALUE(IF(RTD("tos.rtd",,"IMPL_VOL","."&amp;H$2&amp;H$1&amp;"C"&amp;$A21)="N/A",0,RTD("tos.rtd",,"IMPL_VOL","."&amp;H$2&amp;H$1&amp;"C"&amp;$A21))),0),IF($A$2="MAXPAIN",IF($A$4&gt;$A21,($A$4-$A21)*IF(RTD("tos.rtd",,"OPEN_INT","."&amp;H$2&amp;H$1&amp;"C"&amp;$A21)="N/A",0,RTD("tos.rtd",,"OPEN_INT","."&amp;H$2&amp;H$1&amp;"C"&amp;$A21)),0)+IF($A$4&lt;$A21,($A$5-$A$4)*IF(RTD("tos.rtd",,"OPEN_INT","."&amp;H$2&amp;H$1&amp;"P"&amp;$A21)="N/A",0,RTD("tos.rtd",,"OPEN_INT","."&amp;H$2&amp;H$1&amp;"P"&amp;$A21)),0),IF($X$1="ABS",IF(RTD("tos.rtd",,$A$2,"."&amp;H$2&amp;H$1&amp;"C"&amp;$A21)="N/A",0,RTD("tos.rtd",,$A$2,"."&amp;H$2&amp;H$1&amp;"C"&amp;$A21))+IF(RTD("tos.rtd",,$A$2,"."&amp;H$2&amp;H$1&amp;"P"&amp;$A21)="N/A",0,RTD("tos.rtd",,$A$2,"."&amp;H$2&amp;H$1&amp;"P"&amp;$A21)),IF(RTD("tos.rtd",,$A$2,"."&amp;H$2&amp;H$1&amp;"C"&amp;$A21)="N/A",0,RTD("tos.rtd",,$A$2,"."&amp;H$2&amp;H$1&amp;"C"&amp;$A21))-IF(RTD("tos.rtd",,$A$2,"."&amp;H$2&amp;H$1&amp;"P"&amp;$A21)="N/A",0,RTD("tos.rtd",,$A$2,"."&amp;H$2&amp;H$1&amp;"P"&amp;$A21))))))))))</f>
        <v>0</v>
      </c>
      <c r="I21" s="12">
        <f ca="1">IF($A$2="PREMIUM_OI",IFERROR(IF($X$1="ABS",(100*RTD("tos.rtd",,"OPEN_INT","."&amp;I$2&amp;I$1&amp;"C"&amp;$A21)*RTD("tos.rtd",,"LAST","."&amp;I$2&amp;I$1&amp;"C"&amp;$A21)+100*RTD("tos.rtd",,"OPEN_INT","."&amp;I$2&amp;I$1&amp;"P"&amp;$A21)*RTD("tos.rtd",,"LAST","."&amp;I$2&amp;I$1&amp;"P"&amp;$A21))/1000000,(100*RTD("tos.rtd",,"OPEN_INT","."&amp;I$2&amp;I$1&amp;"C"&amp;$A21)*RTD("tos.rtd",,"LAST","."&amp;I$2&amp;I$1&amp;"C"&amp;$A21)-100*RTD("tos.rtd",,"OPEN_INT","."&amp;I$2&amp;I$1&amp;"P"&amp;$A21)*RTD("tos.rtd",,"LAST","."&amp;I$2&amp;I$1&amp;"P"&amp;$A21))/1000000),0),IF($A$2="PREMIUM",IFERROR(IF($X$1="ABS",(100*RTD("tos.rtd",,"VOLUME","."&amp;I$2&amp;I$1&amp;"C"&amp;$A21)*RTD("tos.rtd",,"LAST","."&amp;I$2&amp;I$1&amp;"C"&amp;$A21)+100*RTD("tos.rtd",,"VOLUME","."&amp;I$2&amp;I$1&amp;"P"&amp;$A21)*RTD("tos.rtd",,"LAST","."&amp;I$2&amp;I$1&amp;"P"&amp;$A21))/1000000,(100*RTD("tos.rtd",,"VOLUME","."&amp;I$2&amp;I$1&amp;"C"&amp;$A21)*RTD("tos.rtd",,"LAST","."&amp;I$2&amp;I$1&amp;"C"&amp;$A21)-100*RTD("tos.rtd",,"VOLUME","."&amp;I$2&amp;I$1&amp;"P"&amp;$A21)*RTD("tos.rtd",,"LAST","."&amp;I$2&amp;I$1&amp;"P"&amp;$A21))/1000000),0),IF($A$2="DEX",IFERROR(IF($X$1="ABS",(100*RTD("tos.rtd",,"OPEN_INT","."&amp;I$2&amp;I$1&amp;"C"&amp;$A21)*RTD("tos.rtd",,"DELTA","."&amp;I$2&amp;I$1&amp;"C"&amp;$A21)+100*RTD("tos.rtd",,"OPEN_INT","."&amp;I$2&amp;I$1&amp;"P"&amp;$A21)*RTD("tos.rtd",,"DELTA","."&amp;I$2&amp;I$1&amp;"P"&amp;$A21))/1000,(100*RTD("tos.rtd",,"OPEN_INT","."&amp;I$2&amp;I$1&amp;"C"&amp;$A21)*RTD("tos.rtd",,"DELTA","."&amp;I$2&amp;I$1&amp;"C"&amp;$A21)-100*RTD("tos.rtd",,"OPEN_INT","."&amp;I$2&amp;I$1&amp;"P"&amp;$A21)*RTD("tos.rtd",,"DELTA","."&amp;I$2&amp;I$1&amp;"P"&amp;$A21))/1000),0),IF($A$2="VEX",IFERROR(IF($X$1="ABS",($A$4*$A$4*RTD("tos.rtd",,"VOLUME","."&amp;I$2&amp;I$1&amp;"C"&amp;$A21)*RTD("tos.rtd",,"GAMMA","."&amp;I$2&amp;I$1&amp;"C"&amp;$A21)+$A$4*$A$4*RTD("tos.rtd",,"VOLUME","."&amp;I$2&amp;I$1&amp;"P"&amp;$A21)*RTD("tos.rtd",,"GAMMA","."&amp;I$2&amp;I$1&amp;"P"&amp;$A21))/1000000,($A$4*$A$4*RTD("tos.rtd",,"VOLUME","."&amp;I$2&amp;I$1&amp;"C"&amp;$A21)*RTD("tos.rtd",,"GAMMA","."&amp;I$2&amp;I$1&amp;"C"&amp;$A21)-$A$4*$A$4*RTD("tos.rtd",,"VOLUME","."&amp;I$2&amp;I$1&amp;"P"&amp;$A21)*RTD("tos.rtd",,"GAMMA","."&amp;I$2&amp;I$1&amp;"P"&amp;$A21))/1000000),0),IF($A$2="GEX",IFERROR(IF($X$1="ABS",($A$4*$A$4*RTD("tos.rtd",,"OPEN_INT","."&amp;I$2&amp;I$1&amp;"C"&amp;$A21)*RTD("tos.rtd",,"GAMMA","."&amp;I$2&amp;I$1&amp;"C"&amp;$A21)+$A$4*$A$4*RTD("tos.rtd",,"OPEN_INT","."&amp;I$2&amp;I$1&amp;"P"&amp;$A21)*RTD("tos.rtd",,"GAMMA","."&amp;I$2&amp;I$1&amp;"P"&amp;$A21))/1000000,($A$4*$A$4*RTD("tos.rtd",,"OPEN_INT","."&amp;I$2&amp;I$1&amp;"C"&amp;$A21)*RTD("tos.rtd",,"GAMMA","."&amp;I$2&amp;I$1&amp;"C"&amp;$A21)-$A$4*$A$4*RTD("tos.rtd",,"OPEN_INT","."&amp;I$2&amp;I$1&amp;"P"&amp;$A21)*RTD("tos.rtd",,"GAMMA","."&amp;I$2&amp;I$1&amp;"P"&amp;$A21))/1000000),0),IF($A$2="SKEW",IFERROR(VALUE(IF(RTD("tos.rtd",,"IMPL_VOL","."&amp;I$2&amp;I$1&amp;"P"&amp;$A21)="N/A",0,RTD("tos.rtd",,"IMPL_VOL","."&amp;I$2&amp;I$1&amp;"P"&amp;$A21))),0)-IFERROR(VALUE(IF(RTD("tos.rtd",,"IMPL_VOL","."&amp;I$2&amp;I$1&amp;"C"&amp;$A21)="N/A",0,RTD("tos.rtd",,"IMPL_VOL","."&amp;I$2&amp;I$1&amp;"C"&amp;$A21))),0),IF($A$2="MAXPAIN",IF($A$4&gt;$A21,($A$4-$A21)*IF(RTD("tos.rtd",,"OPEN_INT","."&amp;I$2&amp;I$1&amp;"C"&amp;$A21)="N/A",0,RTD("tos.rtd",,"OPEN_INT","."&amp;I$2&amp;I$1&amp;"C"&amp;$A21)),0)+IF($A$4&lt;$A21,($A$5-$A$4)*IF(RTD("tos.rtd",,"OPEN_INT","."&amp;I$2&amp;I$1&amp;"P"&amp;$A21)="N/A",0,RTD("tos.rtd",,"OPEN_INT","."&amp;I$2&amp;I$1&amp;"P"&amp;$A21)),0),IF($X$1="ABS",IF(RTD("tos.rtd",,$A$2,"."&amp;I$2&amp;I$1&amp;"C"&amp;$A21)="N/A",0,RTD("tos.rtd",,$A$2,"."&amp;I$2&amp;I$1&amp;"C"&amp;$A21))+IF(RTD("tos.rtd",,$A$2,"."&amp;I$2&amp;I$1&amp;"P"&amp;$A21)="N/A",0,RTD("tos.rtd",,$A$2,"."&amp;I$2&amp;I$1&amp;"P"&amp;$A21)),IF(RTD("tos.rtd",,$A$2,"."&amp;I$2&amp;I$1&amp;"C"&amp;$A21)="N/A",0,RTD("tos.rtd",,$A$2,"."&amp;I$2&amp;I$1&amp;"C"&amp;$A21))-IF(RTD("tos.rtd",,$A$2,"."&amp;I$2&amp;I$1&amp;"P"&amp;$A21)="N/A",0,RTD("tos.rtd",,$A$2,"."&amp;I$2&amp;I$1&amp;"P"&amp;$A21))))))))))</f>
        <v>0</v>
      </c>
      <c r="J21" s="12">
        <f ca="1">IF($A$2="PREMIUM_OI",IFERROR(IF($X$1="ABS",(100*RTD("tos.rtd",,"OPEN_INT","."&amp;J$2&amp;J$1&amp;"C"&amp;$A21)*RTD("tos.rtd",,"LAST","."&amp;J$2&amp;J$1&amp;"C"&amp;$A21)+100*RTD("tos.rtd",,"OPEN_INT","."&amp;J$2&amp;J$1&amp;"P"&amp;$A21)*RTD("tos.rtd",,"LAST","."&amp;J$2&amp;J$1&amp;"P"&amp;$A21))/1000000,(100*RTD("tos.rtd",,"OPEN_INT","."&amp;J$2&amp;J$1&amp;"C"&amp;$A21)*RTD("tos.rtd",,"LAST","."&amp;J$2&amp;J$1&amp;"C"&amp;$A21)-100*RTD("tos.rtd",,"OPEN_INT","."&amp;J$2&amp;J$1&amp;"P"&amp;$A21)*RTD("tos.rtd",,"LAST","."&amp;J$2&amp;J$1&amp;"P"&amp;$A21))/1000000),0),IF($A$2="PREMIUM",IFERROR(IF($X$1="ABS",(100*RTD("tos.rtd",,"VOLUME","."&amp;J$2&amp;J$1&amp;"C"&amp;$A21)*RTD("tos.rtd",,"LAST","."&amp;J$2&amp;J$1&amp;"C"&amp;$A21)+100*RTD("tos.rtd",,"VOLUME","."&amp;J$2&amp;J$1&amp;"P"&amp;$A21)*RTD("tos.rtd",,"LAST","."&amp;J$2&amp;J$1&amp;"P"&amp;$A21))/1000000,(100*RTD("tos.rtd",,"VOLUME","."&amp;J$2&amp;J$1&amp;"C"&amp;$A21)*RTD("tos.rtd",,"LAST","."&amp;J$2&amp;J$1&amp;"C"&amp;$A21)-100*RTD("tos.rtd",,"VOLUME","."&amp;J$2&amp;J$1&amp;"P"&amp;$A21)*RTD("tos.rtd",,"LAST","."&amp;J$2&amp;J$1&amp;"P"&amp;$A21))/1000000),0),IF($A$2="DEX",IFERROR(IF($X$1="ABS",(100*RTD("tos.rtd",,"OPEN_INT","."&amp;J$2&amp;J$1&amp;"C"&amp;$A21)*RTD("tos.rtd",,"DELTA","."&amp;J$2&amp;J$1&amp;"C"&amp;$A21)+100*RTD("tos.rtd",,"OPEN_INT","."&amp;J$2&amp;J$1&amp;"P"&amp;$A21)*RTD("tos.rtd",,"DELTA","."&amp;J$2&amp;J$1&amp;"P"&amp;$A21))/1000,(100*RTD("tos.rtd",,"OPEN_INT","."&amp;J$2&amp;J$1&amp;"C"&amp;$A21)*RTD("tos.rtd",,"DELTA","."&amp;J$2&amp;J$1&amp;"C"&amp;$A21)-100*RTD("tos.rtd",,"OPEN_INT","."&amp;J$2&amp;J$1&amp;"P"&amp;$A21)*RTD("tos.rtd",,"DELTA","."&amp;J$2&amp;J$1&amp;"P"&amp;$A21))/1000),0),IF($A$2="VEX",IFERROR(IF($X$1="ABS",($A$4*$A$4*RTD("tos.rtd",,"VOLUME","."&amp;J$2&amp;J$1&amp;"C"&amp;$A21)*RTD("tos.rtd",,"GAMMA","."&amp;J$2&amp;J$1&amp;"C"&amp;$A21)+$A$4*$A$4*RTD("tos.rtd",,"VOLUME","."&amp;J$2&amp;J$1&amp;"P"&amp;$A21)*RTD("tos.rtd",,"GAMMA","."&amp;J$2&amp;J$1&amp;"P"&amp;$A21))/1000000,($A$4*$A$4*RTD("tos.rtd",,"VOLUME","."&amp;J$2&amp;J$1&amp;"C"&amp;$A21)*RTD("tos.rtd",,"GAMMA","."&amp;J$2&amp;J$1&amp;"C"&amp;$A21)-$A$4*$A$4*RTD("tos.rtd",,"VOLUME","."&amp;J$2&amp;J$1&amp;"P"&amp;$A21)*RTD("tos.rtd",,"GAMMA","."&amp;J$2&amp;J$1&amp;"P"&amp;$A21))/1000000),0),IF($A$2="GEX",IFERROR(IF($X$1="ABS",($A$4*$A$4*RTD("tos.rtd",,"OPEN_INT","."&amp;J$2&amp;J$1&amp;"C"&amp;$A21)*RTD("tos.rtd",,"GAMMA","."&amp;J$2&amp;J$1&amp;"C"&amp;$A21)+$A$4*$A$4*RTD("tos.rtd",,"OPEN_INT","."&amp;J$2&amp;J$1&amp;"P"&amp;$A21)*RTD("tos.rtd",,"GAMMA","."&amp;J$2&amp;J$1&amp;"P"&amp;$A21))/1000000,($A$4*$A$4*RTD("tos.rtd",,"OPEN_INT","."&amp;J$2&amp;J$1&amp;"C"&amp;$A21)*RTD("tos.rtd",,"GAMMA","."&amp;J$2&amp;J$1&amp;"C"&amp;$A21)-$A$4*$A$4*RTD("tos.rtd",,"OPEN_INT","."&amp;J$2&amp;J$1&amp;"P"&amp;$A21)*RTD("tos.rtd",,"GAMMA","."&amp;J$2&amp;J$1&amp;"P"&amp;$A21))/1000000),0),IF($A$2="SKEW",IFERROR(VALUE(IF(RTD("tos.rtd",,"IMPL_VOL","."&amp;J$2&amp;J$1&amp;"P"&amp;$A21)="N/A",0,RTD("tos.rtd",,"IMPL_VOL","."&amp;J$2&amp;J$1&amp;"P"&amp;$A21))),0)-IFERROR(VALUE(IF(RTD("tos.rtd",,"IMPL_VOL","."&amp;J$2&amp;J$1&amp;"C"&amp;$A21)="N/A",0,RTD("tos.rtd",,"IMPL_VOL","."&amp;J$2&amp;J$1&amp;"C"&amp;$A21))),0),IF($A$2="MAXPAIN",IF($A$4&gt;$A21,($A$4-$A21)*IF(RTD("tos.rtd",,"OPEN_INT","."&amp;J$2&amp;J$1&amp;"C"&amp;$A21)="N/A",0,RTD("tos.rtd",,"OPEN_INT","."&amp;J$2&amp;J$1&amp;"C"&amp;$A21)),0)+IF($A$4&lt;$A21,($A$5-$A$4)*IF(RTD("tos.rtd",,"OPEN_INT","."&amp;J$2&amp;J$1&amp;"P"&amp;$A21)="N/A",0,RTD("tos.rtd",,"OPEN_INT","."&amp;J$2&amp;J$1&amp;"P"&amp;$A21)),0),IF($X$1="ABS",IF(RTD("tos.rtd",,$A$2,"."&amp;J$2&amp;J$1&amp;"C"&amp;$A21)="N/A",0,RTD("tos.rtd",,$A$2,"."&amp;J$2&amp;J$1&amp;"C"&amp;$A21))+IF(RTD("tos.rtd",,$A$2,"."&amp;J$2&amp;J$1&amp;"P"&amp;$A21)="N/A",0,RTD("tos.rtd",,$A$2,"."&amp;J$2&amp;J$1&amp;"P"&amp;$A21)),IF(RTD("tos.rtd",,$A$2,"."&amp;J$2&amp;J$1&amp;"C"&amp;$A21)="N/A",0,RTD("tos.rtd",,$A$2,"."&amp;J$2&amp;J$1&amp;"C"&amp;$A21))-IF(RTD("tos.rtd",,$A$2,"."&amp;J$2&amp;J$1&amp;"P"&amp;$A21)="N/A",0,RTD("tos.rtd",,$A$2,"."&amp;J$2&amp;J$1&amp;"P"&amp;$A21))))))))))</f>
        <v>0</v>
      </c>
      <c r="K21" s="12">
        <f ca="1">IF($A$2="PREMIUM_OI",IFERROR(IF($X$1="ABS",(100*RTD("tos.rtd",,"OPEN_INT","."&amp;K$2&amp;K$1&amp;"C"&amp;$A21)*RTD("tos.rtd",,"LAST","."&amp;K$2&amp;K$1&amp;"C"&amp;$A21)+100*RTD("tos.rtd",,"OPEN_INT","."&amp;K$2&amp;K$1&amp;"P"&amp;$A21)*RTD("tos.rtd",,"LAST","."&amp;K$2&amp;K$1&amp;"P"&amp;$A21))/1000000,(100*RTD("tos.rtd",,"OPEN_INT","."&amp;K$2&amp;K$1&amp;"C"&amp;$A21)*RTD("tos.rtd",,"LAST","."&amp;K$2&amp;K$1&amp;"C"&amp;$A21)-100*RTD("tos.rtd",,"OPEN_INT","."&amp;K$2&amp;K$1&amp;"P"&amp;$A21)*RTD("tos.rtd",,"LAST","."&amp;K$2&amp;K$1&amp;"P"&amp;$A21))/1000000),0),IF($A$2="PREMIUM",IFERROR(IF($X$1="ABS",(100*RTD("tos.rtd",,"VOLUME","."&amp;K$2&amp;K$1&amp;"C"&amp;$A21)*RTD("tos.rtd",,"LAST","."&amp;K$2&amp;K$1&amp;"C"&amp;$A21)+100*RTD("tos.rtd",,"VOLUME","."&amp;K$2&amp;K$1&amp;"P"&amp;$A21)*RTD("tos.rtd",,"LAST","."&amp;K$2&amp;K$1&amp;"P"&amp;$A21))/1000000,(100*RTD("tos.rtd",,"VOLUME","."&amp;K$2&amp;K$1&amp;"C"&amp;$A21)*RTD("tos.rtd",,"LAST","."&amp;K$2&amp;K$1&amp;"C"&amp;$A21)-100*RTD("tos.rtd",,"VOLUME","."&amp;K$2&amp;K$1&amp;"P"&amp;$A21)*RTD("tos.rtd",,"LAST","."&amp;K$2&amp;K$1&amp;"P"&amp;$A21))/1000000),0),IF($A$2="DEX",IFERROR(IF($X$1="ABS",(100*RTD("tos.rtd",,"OPEN_INT","."&amp;K$2&amp;K$1&amp;"C"&amp;$A21)*RTD("tos.rtd",,"DELTA","."&amp;K$2&amp;K$1&amp;"C"&amp;$A21)+100*RTD("tos.rtd",,"OPEN_INT","."&amp;K$2&amp;K$1&amp;"P"&amp;$A21)*RTD("tos.rtd",,"DELTA","."&amp;K$2&amp;K$1&amp;"P"&amp;$A21))/1000,(100*RTD("tos.rtd",,"OPEN_INT","."&amp;K$2&amp;K$1&amp;"C"&amp;$A21)*RTD("tos.rtd",,"DELTA","."&amp;K$2&amp;K$1&amp;"C"&amp;$A21)-100*RTD("tos.rtd",,"OPEN_INT","."&amp;K$2&amp;K$1&amp;"P"&amp;$A21)*RTD("tos.rtd",,"DELTA","."&amp;K$2&amp;K$1&amp;"P"&amp;$A21))/1000),0),IF($A$2="VEX",IFERROR(IF($X$1="ABS",($A$4*$A$4*RTD("tos.rtd",,"VOLUME","."&amp;K$2&amp;K$1&amp;"C"&amp;$A21)*RTD("tos.rtd",,"GAMMA","."&amp;K$2&amp;K$1&amp;"C"&amp;$A21)+$A$4*$A$4*RTD("tos.rtd",,"VOLUME","."&amp;K$2&amp;K$1&amp;"P"&amp;$A21)*RTD("tos.rtd",,"GAMMA","."&amp;K$2&amp;K$1&amp;"P"&amp;$A21))/1000000,($A$4*$A$4*RTD("tos.rtd",,"VOLUME","."&amp;K$2&amp;K$1&amp;"C"&amp;$A21)*RTD("tos.rtd",,"GAMMA","."&amp;K$2&amp;K$1&amp;"C"&amp;$A21)-$A$4*$A$4*RTD("tos.rtd",,"VOLUME","."&amp;K$2&amp;K$1&amp;"P"&amp;$A21)*RTD("tos.rtd",,"GAMMA","."&amp;K$2&amp;K$1&amp;"P"&amp;$A21))/1000000),0),IF($A$2="GEX",IFERROR(IF($X$1="ABS",($A$4*$A$4*RTD("tos.rtd",,"OPEN_INT","."&amp;K$2&amp;K$1&amp;"C"&amp;$A21)*RTD("tos.rtd",,"GAMMA","."&amp;K$2&amp;K$1&amp;"C"&amp;$A21)+$A$4*$A$4*RTD("tos.rtd",,"OPEN_INT","."&amp;K$2&amp;K$1&amp;"P"&amp;$A21)*RTD("tos.rtd",,"GAMMA","."&amp;K$2&amp;K$1&amp;"P"&amp;$A21))/1000000,($A$4*$A$4*RTD("tos.rtd",,"OPEN_INT","."&amp;K$2&amp;K$1&amp;"C"&amp;$A21)*RTD("tos.rtd",,"GAMMA","."&amp;K$2&amp;K$1&amp;"C"&amp;$A21)-$A$4*$A$4*RTD("tos.rtd",,"OPEN_INT","."&amp;K$2&amp;K$1&amp;"P"&amp;$A21)*RTD("tos.rtd",,"GAMMA","."&amp;K$2&amp;K$1&amp;"P"&amp;$A21))/1000000),0),IF($A$2="SKEW",IFERROR(VALUE(IF(RTD("tos.rtd",,"IMPL_VOL","."&amp;K$2&amp;K$1&amp;"P"&amp;$A21)="N/A",0,RTD("tos.rtd",,"IMPL_VOL","."&amp;K$2&amp;K$1&amp;"P"&amp;$A21))),0)-IFERROR(VALUE(IF(RTD("tos.rtd",,"IMPL_VOL","."&amp;K$2&amp;K$1&amp;"C"&amp;$A21)="N/A",0,RTD("tos.rtd",,"IMPL_VOL","."&amp;K$2&amp;K$1&amp;"C"&amp;$A21))),0),IF($A$2="MAXPAIN",IF($A$4&gt;$A21,($A$4-$A21)*IF(RTD("tos.rtd",,"OPEN_INT","."&amp;K$2&amp;K$1&amp;"C"&amp;$A21)="N/A",0,RTD("tos.rtd",,"OPEN_INT","."&amp;K$2&amp;K$1&amp;"C"&amp;$A21)),0)+IF($A$4&lt;$A21,($A$5-$A$4)*IF(RTD("tos.rtd",,"OPEN_INT","."&amp;K$2&amp;K$1&amp;"P"&amp;$A21)="N/A",0,RTD("tos.rtd",,"OPEN_INT","."&amp;K$2&amp;K$1&amp;"P"&amp;$A21)),0),IF($X$1="ABS",IF(RTD("tos.rtd",,$A$2,"."&amp;K$2&amp;K$1&amp;"C"&amp;$A21)="N/A",0,RTD("tos.rtd",,$A$2,"."&amp;K$2&amp;K$1&amp;"C"&amp;$A21))+IF(RTD("tos.rtd",,$A$2,"."&amp;K$2&amp;K$1&amp;"P"&amp;$A21)="N/A",0,RTD("tos.rtd",,$A$2,"."&amp;K$2&amp;K$1&amp;"P"&amp;$A21)),IF(RTD("tos.rtd",,$A$2,"."&amp;K$2&amp;K$1&amp;"C"&amp;$A21)="N/A",0,RTD("tos.rtd",,$A$2,"."&amp;K$2&amp;K$1&amp;"C"&amp;$A21))-IF(RTD("tos.rtd",,$A$2,"."&amp;K$2&amp;K$1&amp;"P"&amp;$A21)="N/A",0,RTD("tos.rtd",,$A$2,"."&amp;K$2&amp;K$1&amp;"P"&amp;$A21))))))))))</f>
        <v>0</v>
      </c>
      <c r="L21" s="54">
        <f ca="1">IF($A$2="PREMIUM_OI",IFERROR(IF($X$1="ABS",(100*RTD("tos.rtd",,"OPEN_INT","."&amp;L$2&amp;L$1&amp;"C"&amp;$A21)*RTD("tos.rtd",,"LAST","."&amp;L$2&amp;L$1&amp;"C"&amp;$A21)+100*RTD("tos.rtd",,"OPEN_INT","."&amp;L$2&amp;L$1&amp;"P"&amp;$A21)*RTD("tos.rtd",,"LAST","."&amp;L$2&amp;L$1&amp;"P"&amp;$A21))/1000000,(100*RTD("tos.rtd",,"OPEN_INT","."&amp;L$2&amp;L$1&amp;"C"&amp;$A21)*RTD("tos.rtd",,"LAST","."&amp;L$2&amp;L$1&amp;"C"&amp;$A21)-100*RTD("tos.rtd",,"OPEN_INT","."&amp;L$2&amp;L$1&amp;"P"&amp;$A21)*RTD("tos.rtd",,"LAST","."&amp;L$2&amp;L$1&amp;"P"&amp;$A21))/1000000),0),IF($A$2="PREMIUM",IFERROR(IF($X$1="ABS",(100*RTD("tos.rtd",,"VOLUME","."&amp;L$2&amp;L$1&amp;"C"&amp;$A21)*RTD("tos.rtd",,"LAST","."&amp;L$2&amp;L$1&amp;"C"&amp;$A21)+100*RTD("tos.rtd",,"VOLUME","."&amp;L$2&amp;L$1&amp;"P"&amp;$A21)*RTD("tos.rtd",,"LAST","."&amp;L$2&amp;L$1&amp;"P"&amp;$A21))/1000000,(100*RTD("tos.rtd",,"VOLUME","."&amp;L$2&amp;L$1&amp;"C"&amp;$A21)*RTD("tos.rtd",,"LAST","."&amp;L$2&amp;L$1&amp;"C"&amp;$A21)-100*RTD("tos.rtd",,"VOLUME","."&amp;L$2&amp;L$1&amp;"P"&amp;$A21)*RTD("tos.rtd",,"LAST","."&amp;L$2&amp;L$1&amp;"P"&amp;$A21))/1000000),0),IF($A$2="DEX",IFERROR(IF($X$1="ABS",(100*RTD("tos.rtd",,"OPEN_INT","."&amp;L$2&amp;L$1&amp;"C"&amp;$A21)*RTD("tos.rtd",,"DELTA","."&amp;L$2&amp;L$1&amp;"C"&amp;$A21)+100*RTD("tos.rtd",,"OPEN_INT","."&amp;L$2&amp;L$1&amp;"P"&amp;$A21)*RTD("tos.rtd",,"DELTA","."&amp;L$2&amp;L$1&amp;"P"&amp;$A21))/1000,(100*RTD("tos.rtd",,"OPEN_INT","."&amp;L$2&amp;L$1&amp;"C"&amp;$A21)*RTD("tos.rtd",,"DELTA","."&amp;L$2&amp;L$1&amp;"C"&amp;$A21)-100*RTD("tos.rtd",,"OPEN_INT","."&amp;L$2&amp;L$1&amp;"P"&amp;$A21)*RTD("tos.rtd",,"DELTA","."&amp;L$2&amp;L$1&amp;"P"&amp;$A21))/1000),0),IF($A$2="VEX",IFERROR(IF($X$1="ABS",($A$4*$A$4*RTD("tos.rtd",,"VOLUME","."&amp;L$2&amp;L$1&amp;"C"&amp;$A21)*RTD("tos.rtd",,"GAMMA","."&amp;L$2&amp;L$1&amp;"C"&amp;$A21)+$A$4*$A$4*RTD("tos.rtd",,"VOLUME","."&amp;L$2&amp;L$1&amp;"P"&amp;$A21)*RTD("tos.rtd",,"GAMMA","."&amp;L$2&amp;L$1&amp;"P"&amp;$A21))/1000000,($A$4*$A$4*RTD("tos.rtd",,"VOLUME","."&amp;L$2&amp;L$1&amp;"C"&amp;$A21)*RTD("tos.rtd",,"GAMMA","."&amp;L$2&amp;L$1&amp;"C"&amp;$A21)-$A$4*$A$4*RTD("tos.rtd",,"VOLUME","."&amp;L$2&amp;L$1&amp;"P"&amp;$A21)*RTD("tos.rtd",,"GAMMA","."&amp;L$2&amp;L$1&amp;"P"&amp;$A21))/1000000),0),IF($A$2="GEX",IFERROR(IF($X$1="ABS",($A$4*$A$4*RTD("tos.rtd",,"OPEN_INT","."&amp;L$2&amp;L$1&amp;"C"&amp;$A21)*RTD("tos.rtd",,"GAMMA","."&amp;L$2&amp;L$1&amp;"C"&amp;$A21)+$A$4*$A$4*RTD("tos.rtd",,"OPEN_INT","."&amp;L$2&amp;L$1&amp;"P"&amp;$A21)*RTD("tos.rtd",,"GAMMA","."&amp;L$2&amp;L$1&amp;"P"&amp;$A21))/1000000,($A$4*$A$4*RTD("tos.rtd",,"OPEN_INT","."&amp;L$2&amp;L$1&amp;"C"&amp;$A21)*RTD("tos.rtd",,"GAMMA","."&amp;L$2&amp;L$1&amp;"C"&amp;$A21)-$A$4*$A$4*RTD("tos.rtd",,"OPEN_INT","."&amp;L$2&amp;L$1&amp;"P"&amp;$A21)*RTD("tos.rtd",,"GAMMA","."&amp;L$2&amp;L$1&amp;"P"&amp;$A21))/1000000),0),IF($A$2="SKEW",IFERROR(VALUE(IF(RTD("tos.rtd",,"IMPL_VOL","."&amp;L$2&amp;L$1&amp;"P"&amp;$A21)="N/A",0,RTD("tos.rtd",,"IMPL_VOL","."&amp;L$2&amp;L$1&amp;"P"&amp;$A21))),0)-IFERROR(VALUE(IF(RTD("tos.rtd",,"IMPL_VOL","."&amp;L$2&amp;L$1&amp;"C"&amp;$A21)="N/A",0,RTD("tos.rtd",,"IMPL_VOL","."&amp;L$2&amp;L$1&amp;"C"&amp;$A21))),0),IF($A$2="MAXPAIN",IF($A$4&gt;$A21,($A$4-$A21)*IF(RTD("tos.rtd",,"OPEN_INT","."&amp;L$2&amp;L$1&amp;"C"&amp;$A21)="N/A",0,RTD("tos.rtd",,"OPEN_INT","."&amp;L$2&amp;L$1&amp;"C"&amp;$A21)),0)+IF($A$4&lt;$A21,($A$5-$A$4)*IF(RTD("tos.rtd",,"OPEN_INT","."&amp;L$2&amp;L$1&amp;"P"&amp;$A21)="N/A",0,RTD("tos.rtd",,"OPEN_INT","."&amp;L$2&amp;L$1&amp;"P"&amp;$A21)),0),IF($X$1="ABS",IF(RTD("tos.rtd",,$A$2,"."&amp;L$2&amp;L$1&amp;"C"&amp;$A21)="N/A",0,RTD("tos.rtd",,$A$2,"."&amp;L$2&amp;L$1&amp;"C"&amp;$A21))+IF(RTD("tos.rtd",,$A$2,"."&amp;L$2&amp;L$1&amp;"P"&amp;$A21)="N/A",0,RTD("tos.rtd",,$A$2,"."&amp;L$2&amp;L$1&amp;"P"&amp;$A21)),IF(RTD("tos.rtd",,$A$2,"."&amp;L$2&amp;L$1&amp;"C"&amp;$A21)="N/A",0,RTD("tos.rtd",,$A$2,"."&amp;L$2&amp;L$1&amp;"C"&amp;$A21))-IF(RTD("tos.rtd",,$A$2,"."&amp;L$2&amp;L$1&amp;"P"&amp;$A21)="N/A",0,RTD("tos.rtd",,$A$2,"."&amp;L$2&amp;L$1&amp;"P"&amp;$A21))))))))))</f>
        <v>0</v>
      </c>
      <c r="M21" s="12">
        <f ca="1">IF($A$2="PREMIUM_OI",IFERROR(IF($X$1="ABS",(100*RTD("tos.rtd",,"OPEN_INT","."&amp;M$2&amp;M$1&amp;"C"&amp;$A21)*RTD("tos.rtd",,"LAST","."&amp;M$2&amp;M$1&amp;"C"&amp;$A21)+100*RTD("tos.rtd",,"OPEN_INT","."&amp;M$2&amp;M$1&amp;"P"&amp;$A21)*RTD("tos.rtd",,"LAST","."&amp;M$2&amp;M$1&amp;"P"&amp;$A21))/1000000,(100*RTD("tos.rtd",,"OPEN_INT","."&amp;M$2&amp;M$1&amp;"C"&amp;$A21)*RTD("tos.rtd",,"LAST","."&amp;M$2&amp;M$1&amp;"C"&amp;$A21)-100*RTD("tos.rtd",,"OPEN_INT","."&amp;M$2&amp;M$1&amp;"P"&amp;$A21)*RTD("tos.rtd",,"LAST","."&amp;M$2&amp;M$1&amp;"P"&amp;$A21))/1000000),0),IF($A$2="PREMIUM",IFERROR(IF($X$1="ABS",(100*RTD("tos.rtd",,"VOLUME","."&amp;M$2&amp;M$1&amp;"C"&amp;$A21)*RTD("tos.rtd",,"LAST","."&amp;M$2&amp;M$1&amp;"C"&amp;$A21)+100*RTD("tos.rtd",,"VOLUME","."&amp;M$2&amp;M$1&amp;"P"&amp;$A21)*RTD("tos.rtd",,"LAST","."&amp;M$2&amp;M$1&amp;"P"&amp;$A21))/1000000,(100*RTD("tos.rtd",,"VOLUME","."&amp;M$2&amp;M$1&amp;"C"&amp;$A21)*RTD("tos.rtd",,"LAST","."&amp;M$2&amp;M$1&amp;"C"&amp;$A21)-100*RTD("tos.rtd",,"VOLUME","."&amp;M$2&amp;M$1&amp;"P"&amp;$A21)*RTD("tos.rtd",,"LAST","."&amp;M$2&amp;M$1&amp;"P"&amp;$A21))/1000000),0),IF($A$2="DEX",IFERROR(IF($X$1="ABS",(100*RTD("tos.rtd",,"OPEN_INT","."&amp;M$2&amp;M$1&amp;"C"&amp;$A21)*RTD("tos.rtd",,"DELTA","."&amp;M$2&amp;M$1&amp;"C"&amp;$A21)+100*RTD("tos.rtd",,"OPEN_INT","."&amp;M$2&amp;M$1&amp;"P"&amp;$A21)*RTD("tos.rtd",,"DELTA","."&amp;M$2&amp;M$1&amp;"P"&amp;$A21))/1000,(100*RTD("tos.rtd",,"OPEN_INT","."&amp;M$2&amp;M$1&amp;"C"&amp;$A21)*RTD("tos.rtd",,"DELTA","."&amp;M$2&amp;M$1&amp;"C"&amp;$A21)-100*RTD("tos.rtd",,"OPEN_INT","."&amp;M$2&amp;M$1&amp;"P"&amp;$A21)*RTD("tos.rtd",,"DELTA","."&amp;M$2&amp;M$1&amp;"P"&amp;$A21))/1000),0),IF($A$2="VEX",IFERROR(IF($X$1="ABS",($A$4*$A$4*RTD("tos.rtd",,"VOLUME","."&amp;M$2&amp;M$1&amp;"C"&amp;$A21)*RTD("tos.rtd",,"GAMMA","."&amp;M$2&amp;M$1&amp;"C"&amp;$A21)+$A$4*$A$4*RTD("tos.rtd",,"VOLUME","."&amp;M$2&amp;M$1&amp;"P"&amp;$A21)*RTD("tos.rtd",,"GAMMA","."&amp;M$2&amp;M$1&amp;"P"&amp;$A21))/1000000,($A$4*$A$4*RTD("tos.rtd",,"VOLUME","."&amp;M$2&amp;M$1&amp;"C"&amp;$A21)*RTD("tos.rtd",,"GAMMA","."&amp;M$2&amp;M$1&amp;"C"&amp;$A21)-$A$4*$A$4*RTD("tos.rtd",,"VOLUME","."&amp;M$2&amp;M$1&amp;"P"&amp;$A21)*RTD("tos.rtd",,"GAMMA","."&amp;M$2&amp;M$1&amp;"P"&amp;$A21))/1000000),0),IF($A$2="GEX",IFERROR(IF($X$1="ABS",($A$4*$A$4*RTD("tos.rtd",,"OPEN_INT","."&amp;M$2&amp;M$1&amp;"C"&amp;$A21)*RTD("tos.rtd",,"GAMMA","."&amp;M$2&amp;M$1&amp;"C"&amp;$A21)+$A$4*$A$4*RTD("tos.rtd",,"OPEN_INT","."&amp;M$2&amp;M$1&amp;"P"&amp;$A21)*RTD("tos.rtd",,"GAMMA","."&amp;M$2&amp;M$1&amp;"P"&amp;$A21))/1000000,($A$4*$A$4*RTD("tos.rtd",,"OPEN_INT","."&amp;M$2&amp;M$1&amp;"C"&amp;$A21)*RTD("tos.rtd",,"GAMMA","."&amp;M$2&amp;M$1&amp;"C"&amp;$A21)-$A$4*$A$4*RTD("tos.rtd",,"OPEN_INT","."&amp;M$2&amp;M$1&amp;"P"&amp;$A21)*RTD("tos.rtd",,"GAMMA","."&amp;M$2&amp;M$1&amp;"P"&amp;$A21))/1000000),0),IF($A$2="SKEW",IFERROR(VALUE(IF(RTD("tos.rtd",,"IMPL_VOL","."&amp;M$2&amp;M$1&amp;"P"&amp;$A21)="N/A",0,RTD("tos.rtd",,"IMPL_VOL","."&amp;M$2&amp;M$1&amp;"P"&amp;$A21))),0)-IFERROR(VALUE(IF(RTD("tos.rtd",,"IMPL_VOL","."&amp;M$2&amp;M$1&amp;"C"&amp;$A21)="N/A",0,RTD("tos.rtd",,"IMPL_VOL","."&amp;M$2&amp;M$1&amp;"C"&amp;$A21))),0),IF($A$2="MAXPAIN",IF($A$4&gt;$A21,($A$4-$A21)*IF(RTD("tos.rtd",,"OPEN_INT","."&amp;M$2&amp;M$1&amp;"C"&amp;$A21)="N/A",0,RTD("tos.rtd",,"OPEN_INT","."&amp;M$2&amp;M$1&amp;"C"&amp;$A21)),0)+IF($A$4&lt;$A21,($A$5-$A$4)*IF(RTD("tos.rtd",,"OPEN_INT","."&amp;M$2&amp;M$1&amp;"P"&amp;$A21)="N/A",0,RTD("tos.rtd",,"OPEN_INT","."&amp;M$2&amp;M$1&amp;"P"&amp;$A21)),0),IF($X$1="ABS",IF(RTD("tos.rtd",,$A$2,"."&amp;M$2&amp;M$1&amp;"C"&amp;$A21)="N/A",0,RTD("tos.rtd",,$A$2,"."&amp;M$2&amp;M$1&amp;"C"&amp;$A21))+IF(RTD("tos.rtd",,$A$2,"."&amp;M$2&amp;M$1&amp;"P"&amp;$A21)="N/A",0,RTD("tos.rtd",,$A$2,"."&amp;M$2&amp;M$1&amp;"P"&amp;$A21)),IF(RTD("tos.rtd",,$A$2,"."&amp;M$2&amp;M$1&amp;"C"&amp;$A21)="N/A",0,RTD("tos.rtd",,$A$2,"."&amp;M$2&amp;M$1&amp;"C"&amp;$A21))-IF(RTD("tos.rtd",,$A$2,"."&amp;M$2&amp;M$1&amp;"P"&amp;$A21)="N/A",0,RTD("tos.rtd",,$A$2,"."&amp;M$2&amp;M$1&amp;"P"&amp;$A21))))))))))</f>
        <v>0</v>
      </c>
      <c r="N21" s="12">
        <f ca="1">IF($A$2="PREMIUM_OI",IFERROR(IF($X$1="ABS",(100*RTD("tos.rtd",,"OPEN_INT","."&amp;N$2&amp;N$1&amp;"C"&amp;$A21)*RTD("tos.rtd",,"LAST","."&amp;N$2&amp;N$1&amp;"C"&amp;$A21)+100*RTD("tos.rtd",,"OPEN_INT","."&amp;N$2&amp;N$1&amp;"P"&amp;$A21)*RTD("tos.rtd",,"LAST","."&amp;N$2&amp;N$1&amp;"P"&amp;$A21))/1000000,(100*RTD("tos.rtd",,"OPEN_INT","."&amp;N$2&amp;N$1&amp;"C"&amp;$A21)*RTD("tos.rtd",,"LAST","."&amp;N$2&amp;N$1&amp;"C"&amp;$A21)-100*RTD("tos.rtd",,"OPEN_INT","."&amp;N$2&amp;N$1&amp;"P"&amp;$A21)*RTD("tos.rtd",,"LAST","."&amp;N$2&amp;N$1&amp;"P"&amp;$A21))/1000000),0),IF($A$2="PREMIUM",IFERROR(IF($X$1="ABS",(100*RTD("tos.rtd",,"VOLUME","."&amp;N$2&amp;N$1&amp;"C"&amp;$A21)*RTD("tos.rtd",,"LAST","."&amp;N$2&amp;N$1&amp;"C"&amp;$A21)+100*RTD("tos.rtd",,"VOLUME","."&amp;N$2&amp;N$1&amp;"P"&amp;$A21)*RTD("tos.rtd",,"LAST","."&amp;N$2&amp;N$1&amp;"P"&amp;$A21))/1000000,(100*RTD("tos.rtd",,"VOLUME","."&amp;N$2&amp;N$1&amp;"C"&amp;$A21)*RTD("tos.rtd",,"LAST","."&amp;N$2&amp;N$1&amp;"C"&amp;$A21)-100*RTD("tos.rtd",,"VOLUME","."&amp;N$2&amp;N$1&amp;"P"&amp;$A21)*RTD("tos.rtd",,"LAST","."&amp;N$2&amp;N$1&amp;"P"&amp;$A21))/1000000),0),IF($A$2="DEX",IFERROR(IF($X$1="ABS",(100*RTD("tos.rtd",,"OPEN_INT","."&amp;N$2&amp;N$1&amp;"C"&amp;$A21)*RTD("tos.rtd",,"DELTA","."&amp;N$2&amp;N$1&amp;"C"&amp;$A21)+100*RTD("tos.rtd",,"OPEN_INT","."&amp;N$2&amp;N$1&amp;"P"&amp;$A21)*RTD("tos.rtd",,"DELTA","."&amp;N$2&amp;N$1&amp;"P"&amp;$A21))/1000,(100*RTD("tos.rtd",,"OPEN_INT","."&amp;N$2&amp;N$1&amp;"C"&amp;$A21)*RTD("tos.rtd",,"DELTA","."&amp;N$2&amp;N$1&amp;"C"&amp;$A21)-100*RTD("tos.rtd",,"OPEN_INT","."&amp;N$2&amp;N$1&amp;"P"&amp;$A21)*RTD("tos.rtd",,"DELTA","."&amp;N$2&amp;N$1&amp;"P"&amp;$A21))/1000),0),IF($A$2="VEX",IFERROR(IF($X$1="ABS",($A$4*$A$4*RTD("tos.rtd",,"VOLUME","."&amp;N$2&amp;N$1&amp;"C"&amp;$A21)*RTD("tos.rtd",,"GAMMA","."&amp;N$2&amp;N$1&amp;"C"&amp;$A21)+$A$4*$A$4*RTD("tos.rtd",,"VOLUME","."&amp;N$2&amp;N$1&amp;"P"&amp;$A21)*RTD("tos.rtd",,"GAMMA","."&amp;N$2&amp;N$1&amp;"P"&amp;$A21))/1000000,($A$4*$A$4*RTD("tos.rtd",,"VOLUME","."&amp;N$2&amp;N$1&amp;"C"&amp;$A21)*RTD("tos.rtd",,"GAMMA","."&amp;N$2&amp;N$1&amp;"C"&amp;$A21)-$A$4*$A$4*RTD("tos.rtd",,"VOLUME","."&amp;N$2&amp;N$1&amp;"P"&amp;$A21)*RTD("tos.rtd",,"GAMMA","."&amp;N$2&amp;N$1&amp;"P"&amp;$A21))/1000000),0),IF($A$2="GEX",IFERROR(IF($X$1="ABS",($A$4*$A$4*RTD("tos.rtd",,"OPEN_INT","."&amp;N$2&amp;N$1&amp;"C"&amp;$A21)*RTD("tos.rtd",,"GAMMA","."&amp;N$2&amp;N$1&amp;"C"&amp;$A21)+$A$4*$A$4*RTD("tos.rtd",,"OPEN_INT","."&amp;N$2&amp;N$1&amp;"P"&amp;$A21)*RTD("tos.rtd",,"GAMMA","."&amp;N$2&amp;N$1&amp;"P"&amp;$A21))/1000000,($A$4*$A$4*RTD("tos.rtd",,"OPEN_INT","."&amp;N$2&amp;N$1&amp;"C"&amp;$A21)*RTD("tos.rtd",,"GAMMA","."&amp;N$2&amp;N$1&amp;"C"&amp;$A21)-$A$4*$A$4*RTD("tos.rtd",,"OPEN_INT","."&amp;N$2&amp;N$1&amp;"P"&amp;$A21)*RTD("tos.rtd",,"GAMMA","."&amp;N$2&amp;N$1&amp;"P"&amp;$A21))/1000000),0),IF($A$2="SKEW",IFERROR(VALUE(IF(RTD("tos.rtd",,"IMPL_VOL","."&amp;N$2&amp;N$1&amp;"P"&amp;$A21)="N/A",0,RTD("tos.rtd",,"IMPL_VOL","."&amp;N$2&amp;N$1&amp;"P"&amp;$A21))),0)-IFERROR(VALUE(IF(RTD("tos.rtd",,"IMPL_VOL","."&amp;N$2&amp;N$1&amp;"C"&amp;$A21)="N/A",0,RTD("tos.rtd",,"IMPL_VOL","."&amp;N$2&amp;N$1&amp;"C"&amp;$A21))),0),IF($A$2="MAXPAIN",IF($A$4&gt;$A21,($A$4-$A21)*IF(RTD("tos.rtd",,"OPEN_INT","."&amp;N$2&amp;N$1&amp;"C"&amp;$A21)="N/A",0,RTD("tos.rtd",,"OPEN_INT","."&amp;N$2&amp;N$1&amp;"C"&amp;$A21)),0)+IF($A$4&lt;$A21,($A$5-$A$4)*IF(RTD("tos.rtd",,"OPEN_INT","."&amp;N$2&amp;N$1&amp;"P"&amp;$A21)="N/A",0,RTD("tos.rtd",,"OPEN_INT","."&amp;N$2&amp;N$1&amp;"P"&amp;$A21)),0),IF($X$1="ABS",IF(RTD("tos.rtd",,$A$2,"."&amp;N$2&amp;N$1&amp;"C"&amp;$A21)="N/A",0,RTD("tos.rtd",,$A$2,"."&amp;N$2&amp;N$1&amp;"C"&amp;$A21))+IF(RTD("tos.rtd",,$A$2,"."&amp;N$2&amp;N$1&amp;"P"&amp;$A21)="N/A",0,RTD("tos.rtd",,$A$2,"."&amp;N$2&amp;N$1&amp;"P"&amp;$A21)),IF(RTD("tos.rtd",,$A$2,"."&amp;N$2&amp;N$1&amp;"C"&amp;$A21)="N/A",0,RTD("tos.rtd",,$A$2,"."&amp;N$2&amp;N$1&amp;"C"&amp;$A21))-IF(RTD("tos.rtd",,$A$2,"."&amp;N$2&amp;N$1&amp;"P"&amp;$A21)="N/A",0,RTD("tos.rtd",,$A$2,"."&amp;N$2&amp;N$1&amp;"P"&amp;$A21))))))))))</f>
        <v>0</v>
      </c>
      <c r="O21" s="12">
        <f ca="1">IF($A$2="PREMIUM_OI",IFERROR(IF($X$1="ABS",(100*RTD("tos.rtd",,"OPEN_INT","."&amp;O$2&amp;O$1&amp;"C"&amp;$A21)*RTD("tos.rtd",,"LAST","."&amp;O$2&amp;O$1&amp;"C"&amp;$A21)+100*RTD("tos.rtd",,"OPEN_INT","."&amp;O$2&amp;O$1&amp;"P"&amp;$A21)*RTD("tos.rtd",,"LAST","."&amp;O$2&amp;O$1&amp;"P"&amp;$A21))/1000000,(100*RTD("tos.rtd",,"OPEN_INT","."&amp;O$2&amp;O$1&amp;"C"&amp;$A21)*RTD("tos.rtd",,"LAST","."&amp;O$2&amp;O$1&amp;"C"&amp;$A21)-100*RTD("tos.rtd",,"OPEN_INT","."&amp;O$2&amp;O$1&amp;"P"&amp;$A21)*RTD("tos.rtd",,"LAST","."&amp;O$2&amp;O$1&amp;"P"&amp;$A21))/1000000),0),IF($A$2="PREMIUM",IFERROR(IF($X$1="ABS",(100*RTD("tos.rtd",,"VOLUME","."&amp;O$2&amp;O$1&amp;"C"&amp;$A21)*RTD("tos.rtd",,"LAST","."&amp;O$2&amp;O$1&amp;"C"&amp;$A21)+100*RTD("tos.rtd",,"VOLUME","."&amp;O$2&amp;O$1&amp;"P"&amp;$A21)*RTD("tos.rtd",,"LAST","."&amp;O$2&amp;O$1&amp;"P"&amp;$A21))/1000000,(100*RTD("tos.rtd",,"VOLUME","."&amp;O$2&amp;O$1&amp;"C"&amp;$A21)*RTD("tos.rtd",,"LAST","."&amp;O$2&amp;O$1&amp;"C"&amp;$A21)-100*RTD("tos.rtd",,"VOLUME","."&amp;O$2&amp;O$1&amp;"P"&amp;$A21)*RTD("tos.rtd",,"LAST","."&amp;O$2&amp;O$1&amp;"P"&amp;$A21))/1000000),0),IF($A$2="DEX",IFERROR(IF($X$1="ABS",(100*RTD("tos.rtd",,"OPEN_INT","."&amp;O$2&amp;O$1&amp;"C"&amp;$A21)*RTD("tos.rtd",,"DELTA","."&amp;O$2&amp;O$1&amp;"C"&amp;$A21)+100*RTD("tos.rtd",,"OPEN_INT","."&amp;O$2&amp;O$1&amp;"P"&amp;$A21)*RTD("tos.rtd",,"DELTA","."&amp;O$2&amp;O$1&amp;"P"&amp;$A21))/1000,(100*RTD("tos.rtd",,"OPEN_INT","."&amp;O$2&amp;O$1&amp;"C"&amp;$A21)*RTD("tos.rtd",,"DELTA","."&amp;O$2&amp;O$1&amp;"C"&amp;$A21)-100*RTD("tos.rtd",,"OPEN_INT","."&amp;O$2&amp;O$1&amp;"P"&amp;$A21)*RTD("tos.rtd",,"DELTA","."&amp;O$2&amp;O$1&amp;"P"&amp;$A21))/1000),0),IF($A$2="VEX",IFERROR(IF($X$1="ABS",($A$4*$A$4*RTD("tos.rtd",,"VOLUME","."&amp;O$2&amp;O$1&amp;"C"&amp;$A21)*RTD("tos.rtd",,"GAMMA","."&amp;O$2&amp;O$1&amp;"C"&amp;$A21)+$A$4*$A$4*RTD("tos.rtd",,"VOLUME","."&amp;O$2&amp;O$1&amp;"P"&amp;$A21)*RTD("tos.rtd",,"GAMMA","."&amp;O$2&amp;O$1&amp;"P"&amp;$A21))/1000000,($A$4*$A$4*RTD("tos.rtd",,"VOLUME","."&amp;O$2&amp;O$1&amp;"C"&amp;$A21)*RTD("tos.rtd",,"GAMMA","."&amp;O$2&amp;O$1&amp;"C"&amp;$A21)-$A$4*$A$4*RTD("tos.rtd",,"VOLUME","."&amp;O$2&amp;O$1&amp;"P"&amp;$A21)*RTD("tos.rtd",,"GAMMA","."&amp;O$2&amp;O$1&amp;"P"&amp;$A21))/1000000),0),IF($A$2="GEX",IFERROR(IF($X$1="ABS",($A$4*$A$4*RTD("tos.rtd",,"OPEN_INT","."&amp;O$2&amp;O$1&amp;"C"&amp;$A21)*RTD("tos.rtd",,"GAMMA","."&amp;O$2&amp;O$1&amp;"C"&amp;$A21)+$A$4*$A$4*RTD("tos.rtd",,"OPEN_INT","."&amp;O$2&amp;O$1&amp;"P"&amp;$A21)*RTD("tos.rtd",,"GAMMA","."&amp;O$2&amp;O$1&amp;"P"&amp;$A21))/1000000,($A$4*$A$4*RTD("tos.rtd",,"OPEN_INT","."&amp;O$2&amp;O$1&amp;"C"&amp;$A21)*RTD("tos.rtd",,"GAMMA","."&amp;O$2&amp;O$1&amp;"C"&amp;$A21)-$A$4*$A$4*RTD("tos.rtd",,"OPEN_INT","."&amp;O$2&amp;O$1&amp;"P"&amp;$A21)*RTD("tos.rtd",,"GAMMA","."&amp;O$2&amp;O$1&amp;"P"&amp;$A21))/1000000),0),IF($A$2="SKEW",IFERROR(VALUE(IF(RTD("tos.rtd",,"IMPL_VOL","."&amp;O$2&amp;O$1&amp;"P"&amp;$A21)="N/A",0,RTD("tos.rtd",,"IMPL_VOL","."&amp;O$2&amp;O$1&amp;"P"&amp;$A21))),0)-IFERROR(VALUE(IF(RTD("tos.rtd",,"IMPL_VOL","."&amp;O$2&amp;O$1&amp;"C"&amp;$A21)="N/A",0,RTD("tos.rtd",,"IMPL_VOL","."&amp;O$2&amp;O$1&amp;"C"&amp;$A21))),0),IF($A$2="MAXPAIN",IF($A$4&gt;$A21,($A$4-$A21)*IF(RTD("tos.rtd",,"OPEN_INT","."&amp;O$2&amp;O$1&amp;"C"&amp;$A21)="N/A",0,RTD("tos.rtd",,"OPEN_INT","."&amp;O$2&amp;O$1&amp;"C"&amp;$A21)),0)+IF($A$4&lt;$A21,($A$5-$A$4)*IF(RTD("tos.rtd",,"OPEN_INT","."&amp;O$2&amp;O$1&amp;"P"&amp;$A21)="N/A",0,RTD("tos.rtd",,"OPEN_INT","."&amp;O$2&amp;O$1&amp;"P"&amp;$A21)),0),IF($X$1="ABS",IF(RTD("tos.rtd",,$A$2,"."&amp;O$2&amp;O$1&amp;"C"&amp;$A21)="N/A",0,RTD("tos.rtd",,$A$2,"."&amp;O$2&amp;O$1&amp;"C"&amp;$A21))+IF(RTD("tos.rtd",,$A$2,"."&amp;O$2&amp;O$1&amp;"P"&amp;$A21)="N/A",0,RTD("tos.rtd",,$A$2,"."&amp;O$2&amp;O$1&amp;"P"&amp;$A21)),IF(RTD("tos.rtd",,$A$2,"."&amp;O$2&amp;O$1&amp;"C"&amp;$A21)="N/A",0,RTD("tos.rtd",,$A$2,"."&amp;O$2&amp;O$1&amp;"C"&amp;$A21))-IF(RTD("tos.rtd",,$A$2,"."&amp;O$2&amp;O$1&amp;"P"&amp;$A21)="N/A",0,RTD("tos.rtd",,$A$2,"."&amp;O$2&amp;O$1&amp;"P"&amp;$A21))))))))))</f>
        <v>0</v>
      </c>
      <c r="P21" s="12">
        <f ca="1">IF($A$2="PREMIUM_OI",IFERROR(IF($X$1="ABS",(100*RTD("tos.rtd",,"OPEN_INT","."&amp;P$2&amp;P$1&amp;"C"&amp;$A21)*RTD("tos.rtd",,"LAST","."&amp;P$2&amp;P$1&amp;"C"&amp;$A21)+100*RTD("tos.rtd",,"OPEN_INT","."&amp;P$2&amp;P$1&amp;"P"&amp;$A21)*RTD("tos.rtd",,"LAST","."&amp;P$2&amp;P$1&amp;"P"&amp;$A21))/1000000,(100*RTD("tos.rtd",,"OPEN_INT","."&amp;P$2&amp;P$1&amp;"C"&amp;$A21)*RTD("tos.rtd",,"LAST","."&amp;P$2&amp;P$1&amp;"C"&amp;$A21)-100*RTD("tos.rtd",,"OPEN_INT","."&amp;P$2&amp;P$1&amp;"P"&amp;$A21)*RTD("tos.rtd",,"LAST","."&amp;P$2&amp;P$1&amp;"P"&amp;$A21))/1000000),0),IF($A$2="PREMIUM",IFERROR(IF($X$1="ABS",(100*RTD("tos.rtd",,"VOLUME","."&amp;P$2&amp;P$1&amp;"C"&amp;$A21)*RTD("tos.rtd",,"LAST","."&amp;P$2&amp;P$1&amp;"C"&amp;$A21)+100*RTD("tos.rtd",,"VOLUME","."&amp;P$2&amp;P$1&amp;"P"&amp;$A21)*RTD("tos.rtd",,"LAST","."&amp;P$2&amp;P$1&amp;"P"&amp;$A21))/1000000,(100*RTD("tos.rtd",,"VOLUME","."&amp;P$2&amp;P$1&amp;"C"&amp;$A21)*RTD("tos.rtd",,"LAST","."&amp;P$2&amp;P$1&amp;"C"&amp;$A21)-100*RTD("tos.rtd",,"VOLUME","."&amp;P$2&amp;P$1&amp;"P"&amp;$A21)*RTD("tos.rtd",,"LAST","."&amp;P$2&amp;P$1&amp;"P"&amp;$A21))/1000000),0),IF($A$2="DEX",IFERROR(IF($X$1="ABS",(100*RTD("tos.rtd",,"OPEN_INT","."&amp;P$2&amp;P$1&amp;"C"&amp;$A21)*RTD("tos.rtd",,"DELTA","."&amp;P$2&amp;P$1&amp;"C"&amp;$A21)+100*RTD("tos.rtd",,"OPEN_INT","."&amp;P$2&amp;P$1&amp;"P"&amp;$A21)*RTD("tos.rtd",,"DELTA","."&amp;P$2&amp;P$1&amp;"P"&amp;$A21))/1000,(100*RTD("tos.rtd",,"OPEN_INT","."&amp;P$2&amp;P$1&amp;"C"&amp;$A21)*RTD("tos.rtd",,"DELTA","."&amp;P$2&amp;P$1&amp;"C"&amp;$A21)-100*RTD("tos.rtd",,"OPEN_INT","."&amp;P$2&amp;P$1&amp;"P"&amp;$A21)*RTD("tos.rtd",,"DELTA","."&amp;P$2&amp;P$1&amp;"P"&amp;$A21))/1000),0),IF($A$2="VEX",IFERROR(IF($X$1="ABS",($A$4*$A$4*RTD("tos.rtd",,"VOLUME","."&amp;P$2&amp;P$1&amp;"C"&amp;$A21)*RTD("tos.rtd",,"GAMMA","."&amp;P$2&amp;P$1&amp;"C"&amp;$A21)+$A$4*$A$4*RTD("tos.rtd",,"VOLUME","."&amp;P$2&amp;P$1&amp;"P"&amp;$A21)*RTD("tos.rtd",,"GAMMA","."&amp;P$2&amp;P$1&amp;"P"&amp;$A21))/1000000,($A$4*$A$4*RTD("tos.rtd",,"VOLUME","."&amp;P$2&amp;P$1&amp;"C"&amp;$A21)*RTD("tos.rtd",,"GAMMA","."&amp;P$2&amp;P$1&amp;"C"&amp;$A21)-$A$4*$A$4*RTD("tos.rtd",,"VOLUME","."&amp;P$2&amp;P$1&amp;"P"&amp;$A21)*RTD("tos.rtd",,"GAMMA","."&amp;P$2&amp;P$1&amp;"P"&amp;$A21))/1000000),0),IF($A$2="GEX",IFERROR(IF($X$1="ABS",($A$4*$A$4*RTD("tos.rtd",,"OPEN_INT","."&amp;P$2&amp;P$1&amp;"C"&amp;$A21)*RTD("tos.rtd",,"GAMMA","."&amp;P$2&amp;P$1&amp;"C"&amp;$A21)+$A$4*$A$4*RTD("tos.rtd",,"OPEN_INT","."&amp;P$2&amp;P$1&amp;"P"&amp;$A21)*RTD("tos.rtd",,"GAMMA","."&amp;P$2&amp;P$1&amp;"P"&amp;$A21))/1000000,($A$4*$A$4*RTD("tos.rtd",,"OPEN_INT","."&amp;P$2&amp;P$1&amp;"C"&amp;$A21)*RTD("tos.rtd",,"GAMMA","."&amp;P$2&amp;P$1&amp;"C"&amp;$A21)-$A$4*$A$4*RTD("tos.rtd",,"OPEN_INT","."&amp;P$2&amp;P$1&amp;"P"&amp;$A21)*RTD("tos.rtd",,"GAMMA","."&amp;P$2&amp;P$1&amp;"P"&amp;$A21))/1000000),0),IF($A$2="SKEW",IFERROR(VALUE(IF(RTD("tos.rtd",,"IMPL_VOL","."&amp;P$2&amp;P$1&amp;"P"&amp;$A21)="N/A",0,RTD("tos.rtd",,"IMPL_VOL","."&amp;P$2&amp;P$1&amp;"P"&amp;$A21))),0)-IFERROR(VALUE(IF(RTD("tos.rtd",,"IMPL_VOL","."&amp;P$2&amp;P$1&amp;"C"&amp;$A21)="N/A",0,RTD("tos.rtd",,"IMPL_VOL","."&amp;P$2&amp;P$1&amp;"C"&amp;$A21))),0),IF($A$2="MAXPAIN",IF($A$4&gt;$A21,($A$4-$A21)*IF(RTD("tos.rtd",,"OPEN_INT","."&amp;P$2&amp;P$1&amp;"C"&amp;$A21)="N/A",0,RTD("tos.rtd",,"OPEN_INT","."&amp;P$2&amp;P$1&amp;"C"&amp;$A21)),0)+IF($A$4&lt;$A21,($A$5-$A$4)*IF(RTD("tos.rtd",,"OPEN_INT","."&amp;P$2&amp;P$1&amp;"P"&amp;$A21)="N/A",0,RTD("tos.rtd",,"OPEN_INT","."&amp;P$2&amp;P$1&amp;"P"&amp;$A21)),0),IF($X$1="ABS",IF(RTD("tos.rtd",,$A$2,"."&amp;P$2&amp;P$1&amp;"C"&amp;$A21)="N/A",0,RTD("tos.rtd",,$A$2,"."&amp;P$2&amp;P$1&amp;"C"&amp;$A21))+IF(RTD("tos.rtd",,$A$2,"."&amp;P$2&amp;P$1&amp;"P"&amp;$A21)="N/A",0,RTD("tos.rtd",,$A$2,"."&amp;P$2&amp;P$1&amp;"P"&amp;$A21)),IF(RTD("tos.rtd",,$A$2,"."&amp;P$2&amp;P$1&amp;"C"&amp;$A21)="N/A",0,RTD("tos.rtd",,$A$2,"."&amp;P$2&amp;P$1&amp;"C"&amp;$A21))-IF(RTD("tos.rtd",,$A$2,"."&amp;P$2&amp;P$1&amp;"P"&amp;$A21)="N/A",0,RTD("tos.rtd",,$A$2,"."&amp;P$2&amp;P$1&amp;"P"&amp;$A21))))))))))</f>
        <v>0</v>
      </c>
      <c r="Q21" s="12">
        <f ca="1">IF($A$2="PREMIUM_OI",IFERROR(IF($X$1="ABS",(100*RTD("tos.rtd",,"OPEN_INT","."&amp;Q$2&amp;Q$1&amp;"C"&amp;$A21)*RTD("tos.rtd",,"LAST","."&amp;Q$2&amp;Q$1&amp;"C"&amp;$A21)+100*RTD("tos.rtd",,"OPEN_INT","."&amp;Q$2&amp;Q$1&amp;"P"&amp;$A21)*RTD("tos.rtd",,"LAST","."&amp;Q$2&amp;Q$1&amp;"P"&amp;$A21))/1000000,(100*RTD("tos.rtd",,"OPEN_INT","."&amp;Q$2&amp;Q$1&amp;"C"&amp;$A21)*RTD("tos.rtd",,"LAST","."&amp;Q$2&amp;Q$1&amp;"C"&amp;$A21)-100*RTD("tos.rtd",,"OPEN_INT","."&amp;Q$2&amp;Q$1&amp;"P"&amp;$A21)*RTD("tos.rtd",,"LAST","."&amp;Q$2&amp;Q$1&amp;"P"&amp;$A21))/1000000),0),IF($A$2="PREMIUM",IFERROR(IF($X$1="ABS",(100*RTD("tos.rtd",,"VOLUME","."&amp;Q$2&amp;Q$1&amp;"C"&amp;$A21)*RTD("tos.rtd",,"LAST","."&amp;Q$2&amp;Q$1&amp;"C"&amp;$A21)+100*RTD("tos.rtd",,"VOLUME","."&amp;Q$2&amp;Q$1&amp;"P"&amp;$A21)*RTD("tos.rtd",,"LAST","."&amp;Q$2&amp;Q$1&amp;"P"&amp;$A21))/1000000,(100*RTD("tos.rtd",,"VOLUME","."&amp;Q$2&amp;Q$1&amp;"C"&amp;$A21)*RTD("tos.rtd",,"LAST","."&amp;Q$2&amp;Q$1&amp;"C"&amp;$A21)-100*RTD("tos.rtd",,"VOLUME","."&amp;Q$2&amp;Q$1&amp;"P"&amp;$A21)*RTD("tos.rtd",,"LAST","."&amp;Q$2&amp;Q$1&amp;"P"&amp;$A21))/1000000),0),IF($A$2="DEX",IFERROR(IF($X$1="ABS",(100*RTD("tos.rtd",,"OPEN_INT","."&amp;Q$2&amp;Q$1&amp;"C"&amp;$A21)*RTD("tos.rtd",,"DELTA","."&amp;Q$2&amp;Q$1&amp;"C"&amp;$A21)+100*RTD("tos.rtd",,"OPEN_INT","."&amp;Q$2&amp;Q$1&amp;"P"&amp;$A21)*RTD("tos.rtd",,"DELTA","."&amp;Q$2&amp;Q$1&amp;"P"&amp;$A21))/1000,(100*RTD("tos.rtd",,"OPEN_INT","."&amp;Q$2&amp;Q$1&amp;"C"&amp;$A21)*RTD("tos.rtd",,"DELTA","."&amp;Q$2&amp;Q$1&amp;"C"&amp;$A21)-100*RTD("tos.rtd",,"OPEN_INT","."&amp;Q$2&amp;Q$1&amp;"P"&amp;$A21)*RTD("tos.rtd",,"DELTA","."&amp;Q$2&amp;Q$1&amp;"P"&amp;$A21))/1000),0),IF($A$2="VEX",IFERROR(IF($X$1="ABS",($A$4*$A$4*RTD("tos.rtd",,"VOLUME","."&amp;Q$2&amp;Q$1&amp;"C"&amp;$A21)*RTD("tos.rtd",,"GAMMA","."&amp;Q$2&amp;Q$1&amp;"C"&amp;$A21)+$A$4*$A$4*RTD("tos.rtd",,"VOLUME","."&amp;Q$2&amp;Q$1&amp;"P"&amp;$A21)*RTD("tos.rtd",,"GAMMA","."&amp;Q$2&amp;Q$1&amp;"P"&amp;$A21))/1000000,($A$4*$A$4*RTD("tos.rtd",,"VOLUME","."&amp;Q$2&amp;Q$1&amp;"C"&amp;$A21)*RTD("tos.rtd",,"GAMMA","."&amp;Q$2&amp;Q$1&amp;"C"&amp;$A21)-$A$4*$A$4*RTD("tos.rtd",,"VOLUME","."&amp;Q$2&amp;Q$1&amp;"P"&amp;$A21)*RTD("tos.rtd",,"GAMMA","."&amp;Q$2&amp;Q$1&amp;"P"&amp;$A21))/1000000),0),IF($A$2="GEX",IFERROR(IF($X$1="ABS",($A$4*$A$4*RTD("tos.rtd",,"OPEN_INT","."&amp;Q$2&amp;Q$1&amp;"C"&amp;$A21)*RTD("tos.rtd",,"GAMMA","."&amp;Q$2&amp;Q$1&amp;"C"&amp;$A21)+$A$4*$A$4*RTD("tos.rtd",,"OPEN_INT","."&amp;Q$2&amp;Q$1&amp;"P"&amp;$A21)*RTD("tos.rtd",,"GAMMA","."&amp;Q$2&amp;Q$1&amp;"P"&amp;$A21))/1000000,($A$4*$A$4*RTD("tos.rtd",,"OPEN_INT","."&amp;Q$2&amp;Q$1&amp;"C"&amp;$A21)*RTD("tos.rtd",,"GAMMA","."&amp;Q$2&amp;Q$1&amp;"C"&amp;$A21)-$A$4*$A$4*RTD("tos.rtd",,"OPEN_INT","."&amp;Q$2&amp;Q$1&amp;"P"&amp;$A21)*RTD("tos.rtd",,"GAMMA","."&amp;Q$2&amp;Q$1&amp;"P"&amp;$A21))/1000000),0),IF($A$2="SKEW",IFERROR(VALUE(IF(RTD("tos.rtd",,"IMPL_VOL","."&amp;Q$2&amp;Q$1&amp;"P"&amp;$A21)="N/A",0,RTD("tos.rtd",,"IMPL_VOL","."&amp;Q$2&amp;Q$1&amp;"P"&amp;$A21))),0)-IFERROR(VALUE(IF(RTD("tos.rtd",,"IMPL_VOL","."&amp;Q$2&amp;Q$1&amp;"C"&amp;$A21)="N/A",0,RTD("tos.rtd",,"IMPL_VOL","."&amp;Q$2&amp;Q$1&amp;"C"&amp;$A21))),0),IF($A$2="MAXPAIN",IF($A$4&gt;$A21,($A$4-$A21)*IF(RTD("tos.rtd",,"OPEN_INT","."&amp;Q$2&amp;Q$1&amp;"C"&amp;$A21)="N/A",0,RTD("tos.rtd",,"OPEN_INT","."&amp;Q$2&amp;Q$1&amp;"C"&amp;$A21)),0)+IF($A$4&lt;$A21,($A$5-$A$4)*IF(RTD("tos.rtd",,"OPEN_INT","."&amp;Q$2&amp;Q$1&amp;"P"&amp;$A21)="N/A",0,RTD("tos.rtd",,"OPEN_INT","."&amp;Q$2&amp;Q$1&amp;"P"&amp;$A21)),0),IF($X$1="ABS",IF(RTD("tos.rtd",,$A$2,"."&amp;Q$2&amp;Q$1&amp;"C"&amp;$A21)="N/A",0,RTD("tos.rtd",,$A$2,"."&amp;Q$2&amp;Q$1&amp;"C"&amp;$A21))+IF(RTD("tos.rtd",,$A$2,"."&amp;Q$2&amp;Q$1&amp;"P"&amp;$A21)="N/A",0,RTD("tos.rtd",,$A$2,"."&amp;Q$2&amp;Q$1&amp;"P"&amp;$A21)),IF(RTD("tos.rtd",,$A$2,"."&amp;Q$2&amp;Q$1&amp;"C"&amp;$A21)="N/A",0,RTD("tos.rtd",,$A$2,"."&amp;Q$2&amp;Q$1&amp;"C"&amp;$A21))-IF(RTD("tos.rtd",,$A$2,"."&amp;Q$2&amp;Q$1&amp;"P"&amp;$A21)="N/A",0,RTD("tos.rtd",,$A$2,"."&amp;Q$2&amp;Q$1&amp;"P"&amp;$A21))))))))))</f>
        <v>0</v>
      </c>
      <c r="R21" s="12">
        <f ca="1">IF($A$2="PREMIUM_OI",IFERROR(IF($X$1="ABS",(100*RTD("tos.rtd",,"OPEN_INT","."&amp;R$2&amp;R$1&amp;"C"&amp;$A21)*RTD("tos.rtd",,"LAST","."&amp;R$2&amp;R$1&amp;"C"&amp;$A21)+100*RTD("tos.rtd",,"OPEN_INT","."&amp;R$2&amp;R$1&amp;"P"&amp;$A21)*RTD("tos.rtd",,"LAST","."&amp;R$2&amp;R$1&amp;"P"&amp;$A21))/1000000,(100*RTD("tos.rtd",,"OPEN_INT","."&amp;R$2&amp;R$1&amp;"C"&amp;$A21)*RTD("tos.rtd",,"LAST","."&amp;R$2&amp;R$1&amp;"C"&amp;$A21)-100*RTD("tos.rtd",,"OPEN_INT","."&amp;R$2&amp;R$1&amp;"P"&amp;$A21)*RTD("tos.rtd",,"LAST","."&amp;R$2&amp;R$1&amp;"P"&amp;$A21))/1000000),0),IF($A$2="PREMIUM",IFERROR(IF($X$1="ABS",(100*RTD("tos.rtd",,"VOLUME","."&amp;R$2&amp;R$1&amp;"C"&amp;$A21)*RTD("tos.rtd",,"LAST","."&amp;R$2&amp;R$1&amp;"C"&amp;$A21)+100*RTD("tos.rtd",,"VOLUME","."&amp;R$2&amp;R$1&amp;"P"&amp;$A21)*RTD("tos.rtd",,"LAST","."&amp;R$2&amp;R$1&amp;"P"&amp;$A21))/1000000,(100*RTD("tos.rtd",,"VOLUME","."&amp;R$2&amp;R$1&amp;"C"&amp;$A21)*RTD("tos.rtd",,"LAST","."&amp;R$2&amp;R$1&amp;"C"&amp;$A21)-100*RTD("tos.rtd",,"VOLUME","."&amp;R$2&amp;R$1&amp;"P"&amp;$A21)*RTD("tos.rtd",,"LAST","."&amp;R$2&amp;R$1&amp;"P"&amp;$A21))/1000000),0),IF($A$2="DEX",IFERROR(IF($X$1="ABS",(100*RTD("tos.rtd",,"OPEN_INT","."&amp;R$2&amp;R$1&amp;"C"&amp;$A21)*RTD("tos.rtd",,"DELTA","."&amp;R$2&amp;R$1&amp;"C"&amp;$A21)+100*RTD("tos.rtd",,"OPEN_INT","."&amp;R$2&amp;R$1&amp;"P"&amp;$A21)*RTD("tos.rtd",,"DELTA","."&amp;R$2&amp;R$1&amp;"P"&amp;$A21))/1000,(100*RTD("tos.rtd",,"OPEN_INT","."&amp;R$2&amp;R$1&amp;"C"&amp;$A21)*RTD("tos.rtd",,"DELTA","."&amp;R$2&amp;R$1&amp;"C"&amp;$A21)-100*RTD("tos.rtd",,"OPEN_INT","."&amp;R$2&amp;R$1&amp;"P"&amp;$A21)*RTD("tos.rtd",,"DELTA","."&amp;R$2&amp;R$1&amp;"P"&amp;$A21))/1000),0),IF($A$2="VEX",IFERROR(IF($X$1="ABS",($A$4*$A$4*RTD("tos.rtd",,"VOLUME","."&amp;R$2&amp;R$1&amp;"C"&amp;$A21)*RTD("tos.rtd",,"GAMMA","."&amp;R$2&amp;R$1&amp;"C"&amp;$A21)+$A$4*$A$4*RTD("tos.rtd",,"VOLUME","."&amp;R$2&amp;R$1&amp;"P"&amp;$A21)*RTD("tos.rtd",,"GAMMA","."&amp;R$2&amp;R$1&amp;"P"&amp;$A21))/1000000,($A$4*$A$4*RTD("tos.rtd",,"VOLUME","."&amp;R$2&amp;R$1&amp;"C"&amp;$A21)*RTD("tos.rtd",,"GAMMA","."&amp;R$2&amp;R$1&amp;"C"&amp;$A21)-$A$4*$A$4*RTD("tos.rtd",,"VOLUME","."&amp;R$2&amp;R$1&amp;"P"&amp;$A21)*RTD("tos.rtd",,"GAMMA","."&amp;R$2&amp;R$1&amp;"P"&amp;$A21))/1000000),0),IF($A$2="GEX",IFERROR(IF($X$1="ABS",($A$4*$A$4*RTD("tos.rtd",,"OPEN_INT","."&amp;R$2&amp;R$1&amp;"C"&amp;$A21)*RTD("tos.rtd",,"GAMMA","."&amp;R$2&amp;R$1&amp;"C"&amp;$A21)+$A$4*$A$4*RTD("tos.rtd",,"OPEN_INT","."&amp;R$2&amp;R$1&amp;"P"&amp;$A21)*RTD("tos.rtd",,"GAMMA","."&amp;R$2&amp;R$1&amp;"P"&amp;$A21))/1000000,($A$4*$A$4*RTD("tos.rtd",,"OPEN_INT","."&amp;R$2&amp;R$1&amp;"C"&amp;$A21)*RTD("tos.rtd",,"GAMMA","."&amp;R$2&amp;R$1&amp;"C"&amp;$A21)-$A$4*$A$4*RTD("tos.rtd",,"OPEN_INT","."&amp;R$2&amp;R$1&amp;"P"&amp;$A21)*RTD("tos.rtd",,"GAMMA","."&amp;R$2&amp;R$1&amp;"P"&amp;$A21))/1000000),0),IF($A$2="SKEW",IFERROR(VALUE(IF(RTD("tos.rtd",,"IMPL_VOL","."&amp;R$2&amp;R$1&amp;"P"&amp;$A21)="N/A",0,RTD("tos.rtd",,"IMPL_VOL","."&amp;R$2&amp;R$1&amp;"P"&amp;$A21))),0)-IFERROR(VALUE(IF(RTD("tos.rtd",,"IMPL_VOL","."&amp;R$2&amp;R$1&amp;"C"&amp;$A21)="N/A",0,RTD("tos.rtd",,"IMPL_VOL","."&amp;R$2&amp;R$1&amp;"C"&amp;$A21))),0),IF($A$2="MAXPAIN",IF($A$4&gt;$A21,($A$4-$A21)*IF(RTD("tos.rtd",,"OPEN_INT","."&amp;R$2&amp;R$1&amp;"C"&amp;$A21)="N/A",0,RTD("tos.rtd",,"OPEN_INT","."&amp;R$2&amp;R$1&amp;"C"&amp;$A21)),0)+IF($A$4&lt;$A21,($A$5-$A$4)*IF(RTD("tos.rtd",,"OPEN_INT","."&amp;R$2&amp;R$1&amp;"P"&amp;$A21)="N/A",0,RTD("tos.rtd",,"OPEN_INT","."&amp;R$2&amp;R$1&amp;"P"&amp;$A21)),0),IF($X$1="ABS",IF(RTD("tos.rtd",,$A$2,"."&amp;R$2&amp;R$1&amp;"C"&amp;$A21)="N/A",0,RTD("tos.rtd",,$A$2,"."&amp;R$2&amp;R$1&amp;"C"&amp;$A21))+IF(RTD("tos.rtd",,$A$2,"."&amp;R$2&amp;R$1&amp;"P"&amp;$A21)="N/A",0,RTD("tos.rtd",,$A$2,"."&amp;R$2&amp;R$1&amp;"P"&amp;$A21)),IF(RTD("tos.rtd",,$A$2,"."&amp;R$2&amp;R$1&amp;"C"&amp;$A21)="N/A",0,RTD("tos.rtd",,$A$2,"."&amp;R$2&amp;R$1&amp;"C"&amp;$A21))-IF(RTD("tos.rtd",,$A$2,"."&amp;R$2&amp;R$1&amp;"P"&amp;$A21)="N/A",0,RTD("tos.rtd",,$A$2,"."&amp;R$2&amp;R$1&amp;"P"&amp;$A21))))))))))</f>
        <v>0</v>
      </c>
      <c r="S21" s="12">
        <f ca="1">IF($A$2="PREMIUM_OI",IFERROR(IF($X$1="ABS",(100*RTD("tos.rtd",,"OPEN_INT","."&amp;S$2&amp;S$1&amp;"C"&amp;$A21)*RTD("tos.rtd",,"LAST","."&amp;S$2&amp;S$1&amp;"C"&amp;$A21)+100*RTD("tos.rtd",,"OPEN_INT","."&amp;S$2&amp;S$1&amp;"P"&amp;$A21)*RTD("tos.rtd",,"LAST","."&amp;S$2&amp;S$1&amp;"P"&amp;$A21))/1000000,(100*RTD("tos.rtd",,"OPEN_INT","."&amp;S$2&amp;S$1&amp;"C"&amp;$A21)*RTD("tos.rtd",,"LAST","."&amp;S$2&amp;S$1&amp;"C"&amp;$A21)-100*RTD("tos.rtd",,"OPEN_INT","."&amp;S$2&amp;S$1&amp;"P"&amp;$A21)*RTD("tos.rtd",,"LAST","."&amp;S$2&amp;S$1&amp;"P"&amp;$A21))/1000000),0),IF($A$2="PREMIUM",IFERROR(IF($X$1="ABS",(100*RTD("tos.rtd",,"VOLUME","."&amp;S$2&amp;S$1&amp;"C"&amp;$A21)*RTD("tos.rtd",,"LAST","."&amp;S$2&amp;S$1&amp;"C"&amp;$A21)+100*RTD("tos.rtd",,"VOLUME","."&amp;S$2&amp;S$1&amp;"P"&amp;$A21)*RTD("tos.rtd",,"LAST","."&amp;S$2&amp;S$1&amp;"P"&amp;$A21))/1000000,(100*RTD("tos.rtd",,"VOLUME","."&amp;S$2&amp;S$1&amp;"C"&amp;$A21)*RTD("tos.rtd",,"LAST","."&amp;S$2&amp;S$1&amp;"C"&amp;$A21)-100*RTD("tos.rtd",,"VOLUME","."&amp;S$2&amp;S$1&amp;"P"&amp;$A21)*RTD("tos.rtd",,"LAST","."&amp;S$2&amp;S$1&amp;"P"&amp;$A21))/1000000),0),IF($A$2="DEX",IFERROR(IF($X$1="ABS",(100*RTD("tos.rtd",,"OPEN_INT","."&amp;S$2&amp;S$1&amp;"C"&amp;$A21)*RTD("tos.rtd",,"DELTA","."&amp;S$2&amp;S$1&amp;"C"&amp;$A21)+100*RTD("tos.rtd",,"OPEN_INT","."&amp;S$2&amp;S$1&amp;"P"&amp;$A21)*RTD("tos.rtd",,"DELTA","."&amp;S$2&amp;S$1&amp;"P"&amp;$A21))/1000,(100*RTD("tos.rtd",,"OPEN_INT","."&amp;S$2&amp;S$1&amp;"C"&amp;$A21)*RTD("tos.rtd",,"DELTA","."&amp;S$2&amp;S$1&amp;"C"&amp;$A21)-100*RTD("tos.rtd",,"OPEN_INT","."&amp;S$2&amp;S$1&amp;"P"&amp;$A21)*RTD("tos.rtd",,"DELTA","."&amp;S$2&amp;S$1&amp;"P"&amp;$A21))/1000),0),IF($A$2="VEX",IFERROR(IF($X$1="ABS",($A$4*$A$4*RTD("tos.rtd",,"VOLUME","."&amp;S$2&amp;S$1&amp;"C"&amp;$A21)*RTD("tos.rtd",,"GAMMA","."&amp;S$2&amp;S$1&amp;"C"&amp;$A21)+$A$4*$A$4*RTD("tos.rtd",,"VOLUME","."&amp;S$2&amp;S$1&amp;"P"&amp;$A21)*RTD("tos.rtd",,"GAMMA","."&amp;S$2&amp;S$1&amp;"P"&amp;$A21))/1000000,($A$4*$A$4*RTD("tos.rtd",,"VOLUME","."&amp;S$2&amp;S$1&amp;"C"&amp;$A21)*RTD("tos.rtd",,"GAMMA","."&amp;S$2&amp;S$1&amp;"C"&amp;$A21)-$A$4*$A$4*RTD("tos.rtd",,"VOLUME","."&amp;S$2&amp;S$1&amp;"P"&amp;$A21)*RTD("tos.rtd",,"GAMMA","."&amp;S$2&amp;S$1&amp;"P"&amp;$A21))/1000000),0),IF($A$2="GEX",IFERROR(IF($X$1="ABS",($A$4*$A$4*RTD("tos.rtd",,"OPEN_INT","."&amp;S$2&amp;S$1&amp;"C"&amp;$A21)*RTD("tos.rtd",,"GAMMA","."&amp;S$2&amp;S$1&amp;"C"&amp;$A21)+$A$4*$A$4*RTD("tos.rtd",,"OPEN_INT","."&amp;S$2&amp;S$1&amp;"P"&amp;$A21)*RTD("tos.rtd",,"GAMMA","."&amp;S$2&amp;S$1&amp;"P"&amp;$A21))/1000000,($A$4*$A$4*RTD("tos.rtd",,"OPEN_INT","."&amp;S$2&amp;S$1&amp;"C"&amp;$A21)*RTD("tos.rtd",,"GAMMA","."&amp;S$2&amp;S$1&amp;"C"&amp;$A21)-$A$4*$A$4*RTD("tos.rtd",,"OPEN_INT","."&amp;S$2&amp;S$1&amp;"P"&amp;$A21)*RTD("tos.rtd",,"GAMMA","."&amp;S$2&amp;S$1&amp;"P"&amp;$A21))/1000000),0),IF($A$2="SKEW",IFERROR(VALUE(IF(RTD("tos.rtd",,"IMPL_VOL","."&amp;S$2&amp;S$1&amp;"P"&amp;$A21)="N/A",0,RTD("tos.rtd",,"IMPL_VOL","."&amp;S$2&amp;S$1&amp;"P"&amp;$A21))),0)-IFERROR(VALUE(IF(RTD("tos.rtd",,"IMPL_VOL","."&amp;S$2&amp;S$1&amp;"C"&amp;$A21)="N/A",0,RTD("tos.rtd",,"IMPL_VOL","."&amp;S$2&amp;S$1&amp;"C"&amp;$A21))),0),IF($A$2="MAXPAIN",IF($A$4&gt;$A21,($A$4-$A21)*IF(RTD("tos.rtd",,"OPEN_INT","."&amp;S$2&amp;S$1&amp;"C"&amp;$A21)="N/A",0,RTD("tos.rtd",,"OPEN_INT","."&amp;S$2&amp;S$1&amp;"C"&amp;$A21)),0)+IF($A$4&lt;$A21,($A$5-$A$4)*IF(RTD("tos.rtd",,"OPEN_INT","."&amp;S$2&amp;S$1&amp;"P"&amp;$A21)="N/A",0,RTD("tos.rtd",,"OPEN_INT","."&amp;S$2&amp;S$1&amp;"P"&amp;$A21)),0),IF($X$1="ABS",IF(RTD("tos.rtd",,$A$2,"."&amp;S$2&amp;S$1&amp;"C"&amp;$A21)="N/A",0,RTD("tos.rtd",,$A$2,"."&amp;S$2&amp;S$1&amp;"C"&amp;$A21))+IF(RTD("tos.rtd",,$A$2,"."&amp;S$2&amp;S$1&amp;"P"&amp;$A21)="N/A",0,RTD("tos.rtd",,$A$2,"."&amp;S$2&amp;S$1&amp;"P"&amp;$A21)),IF(RTD("tos.rtd",,$A$2,"."&amp;S$2&amp;S$1&amp;"C"&amp;$A21)="N/A",0,RTD("tos.rtd",,$A$2,"."&amp;S$2&amp;S$1&amp;"C"&amp;$A21))-IF(RTD("tos.rtd",,$A$2,"."&amp;S$2&amp;S$1&amp;"P"&amp;$A21)="N/A",0,RTD("tos.rtd",,$A$2,"."&amp;S$2&amp;S$1&amp;"P"&amp;$A21))))))))))</f>
        <v>0</v>
      </c>
      <c r="T21" s="12">
        <f ca="1">IF($A$2="PREMIUM_OI",IFERROR(IF($X$1="ABS",(100*RTD("tos.rtd",,"OPEN_INT","."&amp;T$2&amp;T$1&amp;"C"&amp;$A21)*RTD("tos.rtd",,"LAST","."&amp;T$2&amp;T$1&amp;"C"&amp;$A21)+100*RTD("tos.rtd",,"OPEN_INT","."&amp;T$2&amp;T$1&amp;"P"&amp;$A21)*RTD("tos.rtd",,"LAST","."&amp;T$2&amp;T$1&amp;"P"&amp;$A21))/1000000,(100*RTD("tos.rtd",,"OPEN_INT","."&amp;T$2&amp;T$1&amp;"C"&amp;$A21)*RTD("tos.rtd",,"LAST","."&amp;T$2&amp;T$1&amp;"C"&amp;$A21)-100*RTD("tos.rtd",,"OPEN_INT","."&amp;T$2&amp;T$1&amp;"P"&amp;$A21)*RTD("tos.rtd",,"LAST","."&amp;T$2&amp;T$1&amp;"P"&amp;$A21))/1000000),0),IF($A$2="PREMIUM",IFERROR(IF($X$1="ABS",(100*RTD("tos.rtd",,"VOLUME","."&amp;T$2&amp;T$1&amp;"C"&amp;$A21)*RTD("tos.rtd",,"LAST","."&amp;T$2&amp;T$1&amp;"C"&amp;$A21)+100*RTD("tos.rtd",,"VOLUME","."&amp;T$2&amp;T$1&amp;"P"&amp;$A21)*RTD("tos.rtd",,"LAST","."&amp;T$2&amp;T$1&amp;"P"&amp;$A21))/1000000,(100*RTD("tos.rtd",,"VOLUME","."&amp;T$2&amp;T$1&amp;"C"&amp;$A21)*RTD("tos.rtd",,"LAST","."&amp;T$2&amp;T$1&amp;"C"&amp;$A21)-100*RTD("tos.rtd",,"VOLUME","."&amp;T$2&amp;T$1&amp;"P"&amp;$A21)*RTD("tos.rtd",,"LAST","."&amp;T$2&amp;T$1&amp;"P"&amp;$A21))/1000000),0),IF($A$2="DEX",IFERROR(IF($X$1="ABS",(100*RTD("tos.rtd",,"OPEN_INT","."&amp;T$2&amp;T$1&amp;"C"&amp;$A21)*RTD("tos.rtd",,"DELTA","."&amp;T$2&amp;T$1&amp;"C"&amp;$A21)+100*RTD("tos.rtd",,"OPEN_INT","."&amp;T$2&amp;T$1&amp;"P"&amp;$A21)*RTD("tos.rtd",,"DELTA","."&amp;T$2&amp;T$1&amp;"P"&amp;$A21))/1000,(100*RTD("tos.rtd",,"OPEN_INT","."&amp;T$2&amp;T$1&amp;"C"&amp;$A21)*RTD("tos.rtd",,"DELTA","."&amp;T$2&amp;T$1&amp;"C"&amp;$A21)-100*RTD("tos.rtd",,"OPEN_INT","."&amp;T$2&amp;T$1&amp;"P"&amp;$A21)*RTD("tos.rtd",,"DELTA","."&amp;T$2&amp;T$1&amp;"P"&amp;$A21))/1000),0),IF($A$2="VEX",IFERROR(IF($X$1="ABS",($A$4*$A$4*RTD("tos.rtd",,"VOLUME","."&amp;T$2&amp;T$1&amp;"C"&amp;$A21)*RTD("tos.rtd",,"GAMMA","."&amp;T$2&amp;T$1&amp;"C"&amp;$A21)+$A$4*$A$4*RTD("tos.rtd",,"VOLUME","."&amp;T$2&amp;T$1&amp;"P"&amp;$A21)*RTD("tos.rtd",,"GAMMA","."&amp;T$2&amp;T$1&amp;"P"&amp;$A21))/1000000,($A$4*$A$4*RTD("tos.rtd",,"VOLUME","."&amp;T$2&amp;T$1&amp;"C"&amp;$A21)*RTD("tos.rtd",,"GAMMA","."&amp;T$2&amp;T$1&amp;"C"&amp;$A21)-$A$4*$A$4*RTD("tos.rtd",,"VOLUME","."&amp;T$2&amp;T$1&amp;"P"&amp;$A21)*RTD("tos.rtd",,"GAMMA","."&amp;T$2&amp;T$1&amp;"P"&amp;$A21))/1000000),0),IF($A$2="GEX",IFERROR(IF($X$1="ABS",($A$4*$A$4*RTD("tos.rtd",,"OPEN_INT","."&amp;T$2&amp;T$1&amp;"C"&amp;$A21)*RTD("tos.rtd",,"GAMMA","."&amp;T$2&amp;T$1&amp;"C"&amp;$A21)+$A$4*$A$4*RTD("tos.rtd",,"OPEN_INT","."&amp;T$2&amp;T$1&amp;"P"&amp;$A21)*RTD("tos.rtd",,"GAMMA","."&amp;T$2&amp;T$1&amp;"P"&amp;$A21))/1000000,($A$4*$A$4*RTD("tos.rtd",,"OPEN_INT","."&amp;T$2&amp;T$1&amp;"C"&amp;$A21)*RTD("tos.rtd",,"GAMMA","."&amp;T$2&amp;T$1&amp;"C"&amp;$A21)-$A$4*$A$4*RTD("tos.rtd",,"OPEN_INT","."&amp;T$2&amp;T$1&amp;"P"&amp;$A21)*RTD("tos.rtd",,"GAMMA","."&amp;T$2&amp;T$1&amp;"P"&amp;$A21))/1000000),0),IF($A$2="SKEW",IFERROR(VALUE(IF(RTD("tos.rtd",,"IMPL_VOL","."&amp;T$2&amp;T$1&amp;"P"&amp;$A21)="N/A",0,RTD("tos.rtd",,"IMPL_VOL","."&amp;T$2&amp;T$1&amp;"P"&amp;$A21))),0)-IFERROR(VALUE(IF(RTD("tos.rtd",,"IMPL_VOL","."&amp;T$2&amp;T$1&amp;"C"&amp;$A21)="N/A",0,RTD("tos.rtd",,"IMPL_VOL","."&amp;T$2&amp;T$1&amp;"C"&amp;$A21))),0),IF($A$2="MAXPAIN",IF($A$4&gt;$A21,($A$4-$A21)*IF(RTD("tos.rtd",,"OPEN_INT","."&amp;T$2&amp;T$1&amp;"C"&amp;$A21)="N/A",0,RTD("tos.rtd",,"OPEN_INT","."&amp;T$2&amp;T$1&amp;"C"&amp;$A21)),0)+IF($A$4&lt;$A21,($A$5-$A$4)*IF(RTD("tos.rtd",,"OPEN_INT","."&amp;T$2&amp;T$1&amp;"P"&amp;$A21)="N/A",0,RTD("tos.rtd",,"OPEN_INT","."&amp;T$2&amp;T$1&amp;"P"&amp;$A21)),0),IF($X$1="ABS",IF(RTD("tos.rtd",,$A$2,"."&amp;T$2&amp;T$1&amp;"C"&amp;$A21)="N/A",0,RTD("tos.rtd",,$A$2,"."&amp;T$2&amp;T$1&amp;"C"&amp;$A21))+IF(RTD("tos.rtd",,$A$2,"."&amp;T$2&amp;T$1&amp;"P"&amp;$A21)="N/A",0,RTD("tos.rtd",,$A$2,"."&amp;T$2&amp;T$1&amp;"P"&amp;$A21)),IF(RTD("tos.rtd",,$A$2,"."&amp;T$2&amp;T$1&amp;"C"&amp;$A21)="N/A",0,RTD("tos.rtd",,$A$2,"."&amp;T$2&amp;T$1&amp;"C"&amp;$A21))-IF(RTD("tos.rtd",,$A$2,"."&amp;T$2&amp;T$1&amp;"P"&amp;$A21)="N/A",0,RTD("tos.rtd",,$A$2,"."&amp;T$2&amp;T$1&amp;"P"&amp;$A21))))))))))</f>
        <v>0</v>
      </c>
      <c r="U21" s="12">
        <f ca="1">IF($A$2="PREMIUM_OI",IFERROR(IF($X$1="ABS",(100*RTD("tos.rtd",,"OPEN_INT","."&amp;U$2&amp;U$1&amp;"C"&amp;$A21)*RTD("tos.rtd",,"LAST","."&amp;U$2&amp;U$1&amp;"C"&amp;$A21)+100*RTD("tos.rtd",,"OPEN_INT","."&amp;U$2&amp;U$1&amp;"P"&amp;$A21)*RTD("tos.rtd",,"LAST","."&amp;U$2&amp;U$1&amp;"P"&amp;$A21))/1000000,(100*RTD("tos.rtd",,"OPEN_INT","."&amp;U$2&amp;U$1&amp;"C"&amp;$A21)*RTD("tos.rtd",,"LAST","."&amp;U$2&amp;U$1&amp;"C"&amp;$A21)-100*RTD("tos.rtd",,"OPEN_INT","."&amp;U$2&amp;U$1&amp;"P"&amp;$A21)*RTD("tos.rtd",,"LAST","."&amp;U$2&amp;U$1&amp;"P"&amp;$A21))/1000000),0),IF($A$2="PREMIUM",IFERROR(IF($X$1="ABS",(100*RTD("tos.rtd",,"VOLUME","."&amp;U$2&amp;U$1&amp;"C"&amp;$A21)*RTD("tos.rtd",,"LAST","."&amp;U$2&amp;U$1&amp;"C"&amp;$A21)+100*RTD("tos.rtd",,"VOLUME","."&amp;U$2&amp;U$1&amp;"P"&amp;$A21)*RTD("tos.rtd",,"LAST","."&amp;U$2&amp;U$1&amp;"P"&amp;$A21))/1000000,(100*RTD("tos.rtd",,"VOLUME","."&amp;U$2&amp;U$1&amp;"C"&amp;$A21)*RTD("tos.rtd",,"LAST","."&amp;U$2&amp;U$1&amp;"C"&amp;$A21)-100*RTD("tos.rtd",,"VOLUME","."&amp;U$2&amp;U$1&amp;"P"&amp;$A21)*RTD("tos.rtd",,"LAST","."&amp;U$2&amp;U$1&amp;"P"&amp;$A21))/1000000),0),IF($A$2="DEX",IFERROR(IF($X$1="ABS",(100*RTD("tos.rtd",,"OPEN_INT","."&amp;U$2&amp;U$1&amp;"C"&amp;$A21)*RTD("tos.rtd",,"DELTA","."&amp;U$2&amp;U$1&amp;"C"&amp;$A21)+100*RTD("tos.rtd",,"OPEN_INT","."&amp;U$2&amp;U$1&amp;"P"&amp;$A21)*RTD("tos.rtd",,"DELTA","."&amp;U$2&amp;U$1&amp;"P"&amp;$A21))/1000,(100*RTD("tos.rtd",,"OPEN_INT","."&amp;U$2&amp;U$1&amp;"C"&amp;$A21)*RTD("tos.rtd",,"DELTA","."&amp;U$2&amp;U$1&amp;"C"&amp;$A21)-100*RTD("tos.rtd",,"OPEN_INT","."&amp;U$2&amp;U$1&amp;"P"&amp;$A21)*RTD("tos.rtd",,"DELTA","."&amp;U$2&amp;U$1&amp;"P"&amp;$A21))/1000),0),IF($A$2="VEX",IFERROR(IF($X$1="ABS",($A$4*$A$4*RTD("tos.rtd",,"VOLUME","."&amp;U$2&amp;U$1&amp;"C"&amp;$A21)*RTD("tos.rtd",,"GAMMA","."&amp;U$2&amp;U$1&amp;"C"&amp;$A21)+$A$4*$A$4*RTD("tos.rtd",,"VOLUME","."&amp;U$2&amp;U$1&amp;"P"&amp;$A21)*RTD("tos.rtd",,"GAMMA","."&amp;U$2&amp;U$1&amp;"P"&amp;$A21))/1000000,($A$4*$A$4*RTD("tos.rtd",,"VOLUME","."&amp;U$2&amp;U$1&amp;"C"&amp;$A21)*RTD("tos.rtd",,"GAMMA","."&amp;U$2&amp;U$1&amp;"C"&amp;$A21)-$A$4*$A$4*RTD("tos.rtd",,"VOLUME","."&amp;U$2&amp;U$1&amp;"P"&amp;$A21)*RTD("tos.rtd",,"GAMMA","."&amp;U$2&amp;U$1&amp;"P"&amp;$A21))/1000000),0),IF($A$2="GEX",IFERROR(IF($X$1="ABS",($A$4*$A$4*RTD("tos.rtd",,"OPEN_INT","."&amp;U$2&amp;U$1&amp;"C"&amp;$A21)*RTD("tos.rtd",,"GAMMA","."&amp;U$2&amp;U$1&amp;"C"&amp;$A21)+$A$4*$A$4*RTD("tos.rtd",,"OPEN_INT","."&amp;U$2&amp;U$1&amp;"P"&amp;$A21)*RTD("tos.rtd",,"GAMMA","."&amp;U$2&amp;U$1&amp;"P"&amp;$A21))/1000000,($A$4*$A$4*RTD("tos.rtd",,"OPEN_INT","."&amp;U$2&amp;U$1&amp;"C"&amp;$A21)*RTD("tos.rtd",,"GAMMA","."&amp;U$2&amp;U$1&amp;"C"&amp;$A21)-$A$4*$A$4*RTD("tos.rtd",,"OPEN_INT","."&amp;U$2&amp;U$1&amp;"P"&amp;$A21)*RTD("tos.rtd",,"GAMMA","."&amp;U$2&amp;U$1&amp;"P"&amp;$A21))/1000000),0),IF($A$2="SKEW",IFERROR(VALUE(IF(RTD("tos.rtd",,"IMPL_VOL","."&amp;U$2&amp;U$1&amp;"P"&amp;$A21)="N/A",0,RTD("tos.rtd",,"IMPL_VOL","."&amp;U$2&amp;U$1&amp;"P"&amp;$A21))),0)-IFERROR(VALUE(IF(RTD("tos.rtd",,"IMPL_VOL","."&amp;U$2&amp;U$1&amp;"C"&amp;$A21)="N/A",0,RTD("tos.rtd",,"IMPL_VOL","."&amp;U$2&amp;U$1&amp;"C"&amp;$A21))),0),IF($A$2="MAXPAIN",IF($A$4&gt;$A21,($A$4-$A21)*IF(RTD("tos.rtd",,"OPEN_INT","."&amp;U$2&amp;U$1&amp;"C"&amp;$A21)="N/A",0,RTD("tos.rtd",,"OPEN_INT","."&amp;U$2&amp;U$1&amp;"C"&amp;$A21)),0)+IF($A$4&lt;$A21,($A$5-$A$4)*IF(RTD("tos.rtd",,"OPEN_INT","."&amp;U$2&amp;U$1&amp;"P"&amp;$A21)="N/A",0,RTD("tos.rtd",,"OPEN_INT","."&amp;U$2&amp;U$1&amp;"P"&amp;$A21)),0),IF($X$1="ABS",IF(RTD("tos.rtd",,$A$2,"."&amp;U$2&amp;U$1&amp;"C"&amp;$A21)="N/A",0,RTD("tos.rtd",,$A$2,"."&amp;U$2&amp;U$1&amp;"C"&amp;$A21))+IF(RTD("tos.rtd",,$A$2,"."&amp;U$2&amp;U$1&amp;"P"&amp;$A21)="N/A",0,RTD("tos.rtd",,$A$2,"."&amp;U$2&amp;U$1&amp;"P"&amp;$A21)),IF(RTD("tos.rtd",,$A$2,"."&amp;U$2&amp;U$1&amp;"C"&amp;$A21)="N/A",0,RTD("tos.rtd",,$A$2,"."&amp;U$2&amp;U$1&amp;"C"&amp;$A21))-IF(RTD("tos.rtd",,$A$2,"."&amp;U$2&amp;U$1&amp;"P"&amp;$A21)="N/A",0,RTD("tos.rtd",,$A$2,"."&amp;U$2&amp;U$1&amp;"P"&amp;$A21))))))))))</f>
        <v>0</v>
      </c>
      <c r="V21" s="12">
        <f ca="1">IF($A$2="PREMIUM_OI",IFERROR(IF($X$1="ABS",(100*RTD("tos.rtd",,"OPEN_INT","."&amp;V$2&amp;V$1&amp;"C"&amp;$A21)*RTD("tos.rtd",,"LAST","."&amp;V$2&amp;V$1&amp;"C"&amp;$A21)+100*RTD("tos.rtd",,"OPEN_INT","."&amp;V$2&amp;V$1&amp;"P"&amp;$A21)*RTD("tos.rtd",,"LAST","."&amp;V$2&amp;V$1&amp;"P"&amp;$A21))/1000000,(100*RTD("tos.rtd",,"OPEN_INT","."&amp;V$2&amp;V$1&amp;"C"&amp;$A21)*RTD("tos.rtd",,"LAST","."&amp;V$2&amp;V$1&amp;"C"&amp;$A21)-100*RTD("tos.rtd",,"OPEN_INT","."&amp;V$2&amp;V$1&amp;"P"&amp;$A21)*RTD("tos.rtd",,"LAST","."&amp;V$2&amp;V$1&amp;"P"&amp;$A21))/1000000),0),IF($A$2="PREMIUM",IFERROR(IF($X$1="ABS",(100*RTD("tos.rtd",,"VOLUME","."&amp;V$2&amp;V$1&amp;"C"&amp;$A21)*RTD("tos.rtd",,"LAST","."&amp;V$2&amp;V$1&amp;"C"&amp;$A21)+100*RTD("tos.rtd",,"VOLUME","."&amp;V$2&amp;V$1&amp;"P"&amp;$A21)*RTD("tos.rtd",,"LAST","."&amp;V$2&amp;V$1&amp;"P"&amp;$A21))/1000000,(100*RTD("tos.rtd",,"VOLUME","."&amp;V$2&amp;V$1&amp;"C"&amp;$A21)*RTD("tos.rtd",,"LAST","."&amp;V$2&amp;V$1&amp;"C"&amp;$A21)-100*RTD("tos.rtd",,"VOLUME","."&amp;V$2&amp;V$1&amp;"P"&amp;$A21)*RTD("tos.rtd",,"LAST","."&amp;V$2&amp;V$1&amp;"P"&amp;$A21))/1000000),0),IF($A$2="DEX",IFERROR(IF($X$1="ABS",(100*RTD("tos.rtd",,"OPEN_INT","."&amp;V$2&amp;V$1&amp;"C"&amp;$A21)*RTD("tos.rtd",,"DELTA","."&amp;V$2&amp;V$1&amp;"C"&amp;$A21)+100*RTD("tos.rtd",,"OPEN_INT","."&amp;V$2&amp;V$1&amp;"P"&amp;$A21)*RTD("tos.rtd",,"DELTA","."&amp;V$2&amp;V$1&amp;"P"&amp;$A21))/1000,(100*RTD("tos.rtd",,"OPEN_INT","."&amp;V$2&amp;V$1&amp;"C"&amp;$A21)*RTD("tos.rtd",,"DELTA","."&amp;V$2&amp;V$1&amp;"C"&amp;$A21)-100*RTD("tos.rtd",,"OPEN_INT","."&amp;V$2&amp;V$1&amp;"P"&amp;$A21)*RTD("tos.rtd",,"DELTA","."&amp;V$2&amp;V$1&amp;"P"&amp;$A21))/1000),0),IF($A$2="VEX",IFERROR(IF($X$1="ABS",($A$4*$A$4*RTD("tos.rtd",,"VOLUME","."&amp;V$2&amp;V$1&amp;"C"&amp;$A21)*RTD("tos.rtd",,"GAMMA","."&amp;V$2&amp;V$1&amp;"C"&amp;$A21)+$A$4*$A$4*RTD("tos.rtd",,"VOLUME","."&amp;V$2&amp;V$1&amp;"P"&amp;$A21)*RTD("tos.rtd",,"GAMMA","."&amp;V$2&amp;V$1&amp;"P"&amp;$A21))/1000000,($A$4*$A$4*RTD("tos.rtd",,"VOLUME","."&amp;V$2&amp;V$1&amp;"C"&amp;$A21)*RTD("tos.rtd",,"GAMMA","."&amp;V$2&amp;V$1&amp;"C"&amp;$A21)-$A$4*$A$4*RTD("tos.rtd",,"VOLUME","."&amp;V$2&amp;V$1&amp;"P"&amp;$A21)*RTD("tos.rtd",,"GAMMA","."&amp;V$2&amp;V$1&amp;"P"&amp;$A21))/1000000),0),IF($A$2="GEX",IFERROR(IF($X$1="ABS",($A$4*$A$4*RTD("tos.rtd",,"OPEN_INT","."&amp;V$2&amp;V$1&amp;"C"&amp;$A21)*RTD("tos.rtd",,"GAMMA","."&amp;V$2&amp;V$1&amp;"C"&amp;$A21)+$A$4*$A$4*RTD("tos.rtd",,"OPEN_INT","."&amp;V$2&amp;V$1&amp;"P"&amp;$A21)*RTD("tos.rtd",,"GAMMA","."&amp;V$2&amp;V$1&amp;"P"&amp;$A21))/1000000,($A$4*$A$4*RTD("tos.rtd",,"OPEN_INT","."&amp;V$2&amp;V$1&amp;"C"&amp;$A21)*RTD("tos.rtd",,"GAMMA","."&amp;V$2&amp;V$1&amp;"C"&amp;$A21)-$A$4*$A$4*RTD("tos.rtd",,"OPEN_INT","."&amp;V$2&amp;V$1&amp;"P"&amp;$A21)*RTD("tos.rtd",,"GAMMA","."&amp;V$2&amp;V$1&amp;"P"&amp;$A21))/1000000),0),IF($A$2="SKEW",IFERROR(VALUE(IF(RTD("tos.rtd",,"IMPL_VOL","."&amp;V$2&amp;V$1&amp;"P"&amp;$A21)="N/A",0,RTD("tos.rtd",,"IMPL_VOL","."&amp;V$2&amp;V$1&amp;"P"&amp;$A21))),0)-IFERROR(VALUE(IF(RTD("tos.rtd",,"IMPL_VOL","."&amp;V$2&amp;V$1&amp;"C"&amp;$A21)="N/A",0,RTD("tos.rtd",,"IMPL_VOL","."&amp;V$2&amp;V$1&amp;"C"&amp;$A21))),0),IF($A$2="MAXPAIN",IF($A$4&gt;$A21,($A$4-$A21)*IF(RTD("tos.rtd",,"OPEN_INT","."&amp;V$2&amp;V$1&amp;"C"&amp;$A21)="N/A",0,RTD("tos.rtd",,"OPEN_INT","."&amp;V$2&amp;V$1&amp;"C"&amp;$A21)),0)+IF($A$4&lt;$A21,($A$5-$A$4)*IF(RTD("tos.rtd",,"OPEN_INT","."&amp;V$2&amp;V$1&amp;"P"&amp;$A21)="N/A",0,RTD("tos.rtd",,"OPEN_INT","."&amp;V$2&amp;V$1&amp;"P"&amp;$A21)),0),IF($X$1="ABS",IF(RTD("tos.rtd",,$A$2,"."&amp;V$2&amp;V$1&amp;"C"&amp;$A21)="N/A",0,RTD("tos.rtd",,$A$2,"."&amp;V$2&amp;V$1&amp;"C"&amp;$A21))+IF(RTD("tos.rtd",,$A$2,"."&amp;V$2&amp;V$1&amp;"P"&amp;$A21)="N/A",0,RTD("tos.rtd",,$A$2,"."&amp;V$2&amp;V$1&amp;"P"&amp;$A21)),IF(RTD("tos.rtd",,$A$2,"."&amp;V$2&amp;V$1&amp;"C"&amp;$A21)="N/A",0,RTD("tos.rtd",,$A$2,"."&amp;V$2&amp;V$1&amp;"C"&amp;$A21))-IF(RTD("tos.rtd",,$A$2,"."&amp;V$2&amp;V$1&amp;"P"&amp;$A21)="N/A",0,RTD("tos.rtd",,$A$2,"."&amp;V$2&amp;V$1&amp;"P"&amp;$A21))))))))))</f>
        <v>0</v>
      </c>
      <c r="W21" s="54">
        <f ca="1">IF($A$2="PREMIUM_OI",IFERROR(IF($X$1="ABS",(100*RTD("tos.rtd",,"OPEN_INT","."&amp;W$2&amp;W$1&amp;"C"&amp;$A21)*RTD("tos.rtd",,"LAST","."&amp;W$2&amp;W$1&amp;"C"&amp;$A21)+100*RTD("tos.rtd",,"OPEN_INT","."&amp;W$2&amp;W$1&amp;"P"&amp;$A21)*RTD("tos.rtd",,"LAST","."&amp;W$2&amp;W$1&amp;"P"&amp;$A21))/1000000,(100*RTD("tos.rtd",,"OPEN_INT","."&amp;W$2&amp;W$1&amp;"C"&amp;$A21)*RTD("tos.rtd",,"LAST","."&amp;W$2&amp;W$1&amp;"C"&amp;$A21)-100*RTD("tos.rtd",,"OPEN_INT","."&amp;W$2&amp;W$1&amp;"P"&amp;$A21)*RTD("tos.rtd",,"LAST","."&amp;W$2&amp;W$1&amp;"P"&amp;$A21))/1000000),0),IF($A$2="PREMIUM",IFERROR(IF($X$1="ABS",(100*RTD("tos.rtd",,"VOLUME","."&amp;W$2&amp;W$1&amp;"C"&amp;$A21)*RTD("tos.rtd",,"LAST","."&amp;W$2&amp;W$1&amp;"C"&amp;$A21)+100*RTD("tos.rtd",,"VOLUME","."&amp;W$2&amp;W$1&amp;"P"&amp;$A21)*RTD("tos.rtd",,"LAST","."&amp;W$2&amp;W$1&amp;"P"&amp;$A21))/1000000,(100*RTD("tos.rtd",,"VOLUME","."&amp;W$2&amp;W$1&amp;"C"&amp;$A21)*RTD("tos.rtd",,"LAST","."&amp;W$2&amp;W$1&amp;"C"&amp;$A21)-100*RTD("tos.rtd",,"VOLUME","."&amp;W$2&amp;W$1&amp;"P"&amp;$A21)*RTD("tos.rtd",,"LAST","."&amp;W$2&amp;W$1&amp;"P"&amp;$A21))/1000000),0),IF($A$2="DEX",IFERROR(IF($X$1="ABS",(100*RTD("tos.rtd",,"OPEN_INT","."&amp;W$2&amp;W$1&amp;"C"&amp;$A21)*RTD("tos.rtd",,"DELTA","."&amp;W$2&amp;W$1&amp;"C"&amp;$A21)+100*RTD("tos.rtd",,"OPEN_INT","."&amp;W$2&amp;W$1&amp;"P"&amp;$A21)*RTD("tos.rtd",,"DELTA","."&amp;W$2&amp;W$1&amp;"P"&amp;$A21))/1000,(100*RTD("tos.rtd",,"OPEN_INT","."&amp;W$2&amp;W$1&amp;"C"&amp;$A21)*RTD("tos.rtd",,"DELTA","."&amp;W$2&amp;W$1&amp;"C"&amp;$A21)-100*RTD("tos.rtd",,"OPEN_INT","."&amp;W$2&amp;W$1&amp;"P"&amp;$A21)*RTD("tos.rtd",,"DELTA","."&amp;W$2&amp;W$1&amp;"P"&amp;$A21))/1000),0),IF($A$2="VEX",IFERROR(IF($X$1="ABS",($A$4*$A$4*RTD("tos.rtd",,"VOLUME","."&amp;W$2&amp;W$1&amp;"C"&amp;$A21)*RTD("tos.rtd",,"GAMMA","."&amp;W$2&amp;W$1&amp;"C"&amp;$A21)+$A$4*$A$4*RTD("tos.rtd",,"VOLUME","."&amp;W$2&amp;W$1&amp;"P"&amp;$A21)*RTD("tos.rtd",,"GAMMA","."&amp;W$2&amp;W$1&amp;"P"&amp;$A21))/1000000,($A$4*$A$4*RTD("tos.rtd",,"VOLUME","."&amp;W$2&amp;W$1&amp;"C"&amp;$A21)*RTD("tos.rtd",,"GAMMA","."&amp;W$2&amp;W$1&amp;"C"&amp;$A21)-$A$4*$A$4*RTD("tos.rtd",,"VOLUME","."&amp;W$2&amp;W$1&amp;"P"&amp;$A21)*RTD("tos.rtd",,"GAMMA","."&amp;W$2&amp;W$1&amp;"P"&amp;$A21))/1000000),0),IF($A$2="GEX",IFERROR(IF($X$1="ABS",($A$4*$A$4*RTD("tos.rtd",,"OPEN_INT","."&amp;W$2&amp;W$1&amp;"C"&amp;$A21)*RTD("tos.rtd",,"GAMMA","."&amp;W$2&amp;W$1&amp;"C"&amp;$A21)+$A$4*$A$4*RTD("tos.rtd",,"OPEN_INT","."&amp;W$2&amp;W$1&amp;"P"&amp;$A21)*RTD("tos.rtd",,"GAMMA","."&amp;W$2&amp;W$1&amp;"P"&amp;$A21))/1000000,($A$4*$A$4*RTD("tos.rtd",,"OPEN_INT","."&amp;W$2&amp;W$1&amp;"C"&amp;$A21)*RTD("tos.rtd",,"GAMMA","."&amp;W$2&amp;W$1&amp;"C"&amp;$A21)-$A$4*$A$4*RTD("tos.rtd",,"OPEN_INT","."&amp;W$2&amp;W$1&amp;"P"&amp;$A21)*RTD("tos.rtd",,"GAMMA","."&amp;W$2&amp;W$1&amp;"P"&amp;$A21))/1000000),0),IF($A$2="SKEW",IFERROR(VALUE(IF(RTD("tos.rtd",,"IMPL_VOL","."&amp;W$2&amp;W$1&amp;"P"&amp;$A21)="N/A",0,RTD("tos.rtd",,"IMPL_VOL","."&amp;W$2&amp;W$1&amp;"P"&amp;$A21))),0)-IFERROR(VALUE(IF(RTD("tos.rtd",,"IMPL_VOL","."&amp;W$2&amp;W$1&amp;"C"&amp;$A21)="N/A",0,RTD("tos.rtd",,"IMPL_VOL","."&amp;W$2&amp;W$1&amp;"C"&amp;$A21))),0),IF($A$2="MAXPAIN",IF($A$4&gt;$A21,($A$4-$A21)*IF(RTD("tos.rtd",,"OPEN_INT","."&amp;W$2&amp;W$1&amp;"C"&amp;$A21)="N/A",0,RTD("tos.rtd",,"OPEN_INT","."&amp;W$2&amp;W$1&amp;"C"&amp;$A21)),0)+IF($A$4&lt;$A21,($A$5-$A$4)*IF(RTD("tos.rtd",,"OPEN_INT","."&amp;W$2&amp;W$1&amp;"P"&amp;$A21)="N/A",0,RTD("tos.rtd",,"OPEN_INT","."&amp;W$2&amp;W$1&amp;"P"&amp;$A21)),0),IF($X$1="ABS",IF(RTD("tos.rtd",,$A$2,"."&amp;W$2&amp;W$1&amp;"C"&amp;$A21)="N/A",0,RTD("tos.rtd",,$A$2,"."&amp;W$2&amp;W$1&amp;"C"&amp;$A21))+IF(RTD("tos.rtd",,$A$2,"."&amp;W$2&amp;W$1&amp;"P"&amp;$A21)="N/A",0,RTD("tos.rtd",,$A$2,"."&amp;W$2&amp;W$1&amp;"P"&amp;$A21)),IF(RTD("tos.rtd",,$A$2,"."&amp;W$2&amp;W$1&amp;"C"&amp;$A21)="N/A",0,RTD("tos.rtd",,$A$2,"."&amp;W$2&amp;W$1&amp;"C"&amp;$A21))-IF(RTD("tos.rtd",,$A$2,"."&amp;W$2&amp;W$1&amp;"P"&amp;$A21)="N/A",0,RTD("tos.rtd",,$A$2,"."&amp;W$2&amp;W$1&amp;"P"&amp;$A21))))))))))</f>
        <v>0</v>
      </c>
      <c r="X21" s="57">
        <f t="shared" ca="1" si="8"/>
        <v>0</v>
      </c>
      <c r="Y21" s="27">
        <f t="shared" ca="1" si="9"/>
        <v>0</v>
      </c>
      <c r="Z21" s="27">
        <f ca="1">+'OI-VOL'!Y21</f>
        <v>-5</v>
      </c>
      <c r="AA21" s="27" t="b">
        <f t="shared" ca="1" si="10"/>
        <v>0</v>
      </c>
      <c r="AB21" s="27">
        <f t="shared" si="11"/>
        <v>99557550</v>
      </c>
      <c r="AC21" s="18">
        <f>MAX(0, $A21-AC$4)*IF(RTD("tos.rtd",,"OPEN_INT","."&amp;$AB$3&amp;$AB$4&amp;"C"&amp;AC$4)="N/A",0,RTD("tos.rtd",,"OPEN_INT","."&amp;$AB$3&amp;$AB$4&amp;"C"&amp;AC$4))*100 + MAX(0, AC$4-$A21)*IF(RTD("tos.rtd",,"OPEN_INT","."&amp;$AB$3&amp;$AB$4&amp;"P"&amp;AC$4)="N/A",0,RTD("tos.rtd",,"OPEN_INT","."&amp;$AB$3&amp;$AB$4&amp;"P"&amp;AC$4))*100</f>
        <v>0</v>
      </c>
      <c r="AD21" s="18">
        <f>MAX(0, $A21-AD$4)*IF(RTD("tos.rtd",,"OPEN_INT","."&amp;$AB$3&amp;$AB$4&amp;"C"&amp;AD$4)="N/A",0,RTD("tos.rtd",,"OPEN_INT","."&amp;$AB$3&amp;$AB$4&amp;"C"&amp;AD$4))*100 + MAX(0, AD$4-$A21)*IF(RTD("tos.rtd",,"OPEN_INT","."&amp;$AB$3&amp;$AB$4&amp;"P"&amp;AD$4)="N/A",0,RTD("tos.rtd",,"OPEN_INT","."&amp;$AB$3&amp;$AB$4&amp;"P"&amp;AD$4))*100</f>
        <v>0</v>
      </c>
      <c r="AE21" s="18">
        <f>MAX(0, $A21-AE$4)*IF(RTD("tos.rtd",,"OPEN_INT","."&amp;$AB$3&amp;$AB$4&amp;"C"&amp;AE$4)="N/A",0,RTD("tos.rtd",,"OPEN_INT","."&amp;$AB$3&amp;$AB$4&amp;"C"&amp;AE$4))*100 + MAX(0, AE$4-$A21)*IF(RTD("tos.rtd",,"OPEN_INT","."&amp;$AB$3&amp;$AB$4&amp;"P"&amp;AE$4)="N/A",0,RTD("tos.rtd",,"OPEN_INT","."&amp;$AB$3&amp;$AB$4&amp;"P"&amp;AE$4))*100</f>
        <v>0</v>
      </c>
      <c r="AF21" s="18">
        <f>MAX(0, $A21-AF$4)*IF(RTD("tos.rtd",,"OPEN_INT","."&amp;$AB$3&amp;$AB$4&amp;"C"&amp;AF$4)="N/A",0,RTD("tos.rtd",,"OPEN_INT","."&amp;$AB$3&amp;$AB$4&amp;"C"&amp;AF$4))*100 + MAX(0, AF$4-$A21)*IF(RTD("tos.rtd",,"OPEN_INT","."&amp;$AB$3&amp;$AB$4&amp;"P"&amp;AF$4)="N/A",0,RTD("tos.rtd",,"OPEN_INT","."&amp;$AB$3&amp;$AB$4&amp;"P"&amp;AF$4))*100</f>
        <v>0</v>
      </c>
      <c r="AG21" s="18">
        <f>MAX(0, $A21-AG$4)*IF(RTD("tos.rtd",,"OPEN_INT","."&amp;$AB$3&amp;$AB$4&amp;"C"&amp;AG$4)="N/A",0,RTD("tos.rtd",,"OPEN_INT","."&amp;$AB$3&amp;$AB$4&amp;"C"&amp;AG$4))*100 + MAX(0, AG$4-$A21)*IF(RTD("tos.rtd",,"OPEN_INT","."&amp;$AB$3&amp;$AB$4&amp;"P"&amp;AG$4)="N/A",0,RTD("tos.rtd",,"OPEN_INT","."&amp;$AB$3&amp;$AB$4&amp;"P"&amp;AG$4))*100</f>
        <v>0</v>
      </c>
      <c r="AH21" s="18">
        <f>MAX(0, $A21-AH$4)*IF(RTD("tos.rtd",,"OPEN_INT","."&amp;$AB$3&amp;$AB$4&amp;"C"&amp;AH$4)="N/A",0,RTD("tos.rtd",,"OPEN_INT","."&amp;$AB$3&amp;$AB$4&amp;"C"&amp;AH$4))*100 + MAX(0, AH$4-$A21)*IF(RTD("tos.rtd",,"OPEN_INT","."&amp;$AB$3&amp;$AB$4&amp;"P"&amp;AH$4)="N/A",0,RTD("tos.rtd",,"OPEN_INT","."&amp;$AB$3&amp;$AB$4&amp;"P"&amp;AH$4))*100</f>
        <v>0</v>
      </c>
      <c r="AI21" s="18">
        <f>MAX(0, $A21-AI$4)*IF(RTD("tos.rtd",,"OPEN_INT","."&amp;$AB$3&amp;$AB$4&amp;"C"&amp;AI$4)="N/A",0,RTD("tos.rtd",,"OPEN_INT","."&amp;$AB$3&amp;$AB$4&amp;"C"&amp;AI$4))*100 + MAX(0, AI$4-$A21)*IF(RTD("tos.rtd",,"OPEN_INT","."&amp;$AB$3&amp;$AB$4&amp;"P"&amp;AI$4)="N/A",0,RTD("tos.rtd",,"OPEN_INT","."&amp;$AB$3&amp;$AB$4&amp;"P"&amp;AI$4))*100</f>
        <v>0</v>
      </c>
      <c r="AJ21" s="18">
        <f>MAX(0, $A21-AJ$4)*IF(RTD("tos.rtd",,"OPEN_INT","."&amp;$AB$3&amp;$AB$4&amp;"C"&amp;AJ$4)="N/A",0,RTD("tos.rtd",,"OPEN_INT","."&amp;$AB$3&amp;$AB$4&amp;"C"&amp;AJ$4))*100 + MAX(0, AJ$4-$A21)*IF(RTD("tos.rtd",,"OPEN_INT","."&amp;$AB$3&amp;$AB$4&amp;"P"&amp;AJ$4)="N/A",0,RTD("tos.rtd",,"OPEN_INT","."&amp;$AB$3&amp;$AB$4&amp;"P"&amp;AJ$4))*100</f>
        <v>1350</v>
      </c>
      <c r="AK21" s="18">
        <f>MAX(0, $A21-AK$4)*IF(RTD("tos.rtd",,"OPEN_INT","."&amp;$AB$3&amp;$AB$4&amp;"C"&amp;AK$4)="N/A",0,RTD("tos.rtd",,"OPEN_INT","."&amp;$AB$3&amp;$AB$4&amp;"C"&amp;AK$4))*100 + MAX(0, AK$4-$A21)*IF(RTD("tos.rtd",,"OPEN_INT","."&amp;$AB$3&amp;$AB$4&amp;"P"&amp;AK$4)="N/A",0,RTD("tos.rtd",,"OPEN_INT","."&amp;$AB$3&amp;$AB$4&amp;"P"&amp;AK$4))*100</f>
        <v>3200</v>
      </c>
      <c r="AL21" s="18">
        <f>MAX(0, $A21-AL$4)*IF(RTD("tos.rtd",,"OPEN_INT","."&amp;$AB$3&amp;$AB$4&amp;"C"&amp;AL$4)="N/A",0,RTD("tos.rtd",,"OPEN_INT","."&amp;$AB$3&amp;$AB$4&amp;"C"&amp;AL$4))*100 + MAX(0, AL$4-$A21)*IF(RTD("tos.rtd",,"OPEN_INT","."&amp;$AB$3&amp;$AB$4&amp;"P"&amp;AL$4)="N/A",0,RTD("tos.rtd",,"OPEN_INT","."&amp;$AB$3&amp;$AB$4&amp;"P"&amp;AL$4))*100</f>
        <v>0</v>
      </c>
      <c r="AM21" s="18">
        <f>MAX(0, $A21-AM$4)*IF(RTD("tos.rtd",,"OPEN_INT","."&amp;$AB$3&amp;$AB$4&amp;"C"&amp;AM$4)="N/A",0,RTD("tos.rtd",,"OPEN_INT","."&amp;$AB$3&amp;$AB$4&amp;"C"&amp;AM$4))*100 + MAX(0, AM$4-$A21)*IF(RTD("tos.rtd",,"OPEN_INT","."&amp;$AB$3&amp;$AB$4&amp;"P"&amp;AM$4)="N/A",0,RTD("tos.rtd",,"OPEN_INT","."&amp;$AB$3&amp;$AB$4&amp;"P"&amp;AM$4))*100</f>
        <v>0</v>
      </c>
      <c r="AN21" s="18">
        <f>MAX(0, $A21-AN$4)*IF(RTD("tos.rtd",,"OPEN_INT","."&amp;$AB$3&amp;$AB$4&amp;"C"&amp;AN$4)="N/A",0,RTD("tos.rtd",,"OPEN_INT","."&amp;$AB$3&amp;$AB$4&amp;"C"&amp;AN$4))*100 + MAX(0, AN$4-$A21)*IF(RTD("tos.rtd",,"OPEN_INT","."&amp;$AB$3&amp;$AB$4&amp;"P"&amp;AN$4)="N/A",0,RTD("tos.rtd",,"OPEN_INT","."&amp;$AB$3&amp;$AB$4&amp;"P"&amp;AN$4))*100</f>
        <v>0</v>
      </c>
      <c r="AO21" s="18">
        <f>MAX(0, $A21-AO$4)*IF(RTD("tos.rtd",,"OPEN_INT","."&amp;$AB$3&amp;$AB$4&amp;"C"&amp;AO$4)="N/A",0,RTD("tos.rtd",,"OPEN_INT","."&amp;$AB$3&amp;$AB$4&amp;"C"&amp;AO$4))*100 + MAX(0, AO$4-$A21)*IF(RTD("tos.rtd",,"OPEN_INT","."&amp;$AB$3&amp;$AB$4&amp;"P"&amp;AO$4)="N/A",0,RTD("tos.rtd",,"OPEN_INT","."&amp;$AB$3&amp;$AB$4&amp;"P"&amp;AO$4))*100</f>
        <v>0</v>
      </c>
      <c r="AP21" s="18">
        <f>MAX(0, $A21-AP$4)*IF(RTD("tos.rtd",,"OPEN_INT","."&amp;$AB$3&amp;$AB$4&amp;"C"&amp;AP$4)="N/A",0,RTD("tos.rtd",,"OPEN_INT","."&amp;$AB$3&amp;$AB$4&amp;"C"&amp;AP$4))*100 + MAX(0, AP$4-$A21)*IF(RTD("tos.rtd",,"OPEN_INT","."&amp;$AB$3&amp;$AB$4&amp;"P"&amp;AP$4)="N/A",0,RTD("tos.rtd",,"OPEN_INT","."&amp;$AB$3&amp;$AB$4&amp;"P"&amp;AP$4))*100</f>
        <v>18000</v>
      </c>
      <c r="AQ21" s="18">
        <f>MAX(0, $A21-AQ$4)*IF(RTD("tos.rtd",,"OPEN_INT","."&amp;$AB$3&amp;$AB$4&amp;"C"&amp;AQ$4)="N/A",0,RTD("tos.rtd",,"OPEN_INT","."&amp;$AB$3&amp;$AB$4&amp;"C"&amp;AQ$4))*100 + MAX(0, AQ$4-$A21)*IF(RTD("tos.rtd",,"OPEN_INT","."&amp;$AB$3&amp;$AB$4&amp;"P"&amp;AQ$4)="N/A",0,RTD("tos.rtd",,"OPEN_INT","."&amp;$AB$3&amp;$AB$4&amp;"P"&amp;AQ$4))*100</f>
        <v>0</v>
      </c>
      <c r="AR21" s="18">
        <f>MAX(0, $A21-AR$4)*IF(RTD("tos.rtd",,"OPEN_INT","."&amp;$AB$3&amp;$AB$4&amp;"C"&amp;AR$4)="N/A",0,RTD("tos.rtd",,"OPEN_INT","."&amp;$AB$3&amp;$AB$4&amp;"C"&amp;AR$4))*100 + MAX(0, AR$4-$A21)*IF(RTD("tos.rtd",,"OPEN_INT","."&amp;$AB$3&amp;$AB$4&amp;"P"&amp;AR$4)="N/A",0,RTD("tos.rtd",,"OPEN_INT","."&amp;$AB$3&amp;$AB$4&amp;"P"&amp;AR$4))*100</f>
        <v>2650</v>
      </c>
      <c r="AS21" s="18">
        <f>MAX(0, $A21-AS$4)*IF(RTD("tos.rtd",,"OPEN_INT","."&amp;$AB$3&amp;$AB$4&amp;"C"&amp;AS$4)="N/A",0,RTD("tos.rtd",,"OPEN_INT","."&amp;$AB$3&amp;$AB$4&amp;"C"&amp;AS$4))*100 + MAX(0, AS$4-$A21)*IF(RTD("tos.rtd",,"OPEN_INT","."&amp;$AB$3&amp;$AB$4&amp;"P"&amp;AS$4)="N/A",0,RTD("tos.rtd",,"OPEN_INT","."&amp;$AB$3&amp;$AB$4&amp;"P"&amp;AS$4))*100</f>
        <v>0</v>
      </c>
      <c r="AT21" s="18">
        <f>MAX(0, $A21-AT$4)*IF(RTD("tos.rtd",,"OPEN_INT","."&amp;$AB$3&amp;$AB$4&amp;"C"&amp;AT$4)="N/A",0,RTD("tos.rtd",,"OPEN_INT","."&amp;$AB$3&amp;$AB$4&amp;"C"&amp;AT$4))*100 + MAX(0, AT$4-$A21)*IF(RTD("tos.rtd",,"OPEN_INT","."&amp;$AB$3&amp;$AB$4&amp;"P"&amp;AT$4)="N/A",0,RTD("tos.rtd",,"OPEN_INT","."&amp;$AB$3&amp;$AB$4&amp;"P"&amp;AT$4))*100</f>
        <v>43100</v>
      </c>
      <c r="AU21" s="18">
        <f>MAX(0, $A21-AU$4)*IF(RTD("tos.rtd",,"OPEN_INT","."&amp;$AB$3&amp;$AB$4&amp;"C"&amp;AU$4)="N/A",0,RTD("tos.rtd",,"OPEN_INT","."&amp;$AB$3&amp;$AB$4&amp;"C"&amp;AU$4))*100 + MAX(0, AU$4-$A21)*IF(RTD("tos.rtd",,"OPEN_INT","."&amp;$AB$3&amp;$AB$4&amp;"P"&amp;AU$4)="N/A",0,RTD("tos.rtd",,"OPEN_INT","."&amp;$AB$3&amp;$AB$4&amp;"P"&amp;AU$4))*100</f>
        <v>140200</v>
      </c>
      <c r="AV21" s="18">
        <f>MAX(0, $A21-AV$4)*IF(RTD("tos.rtd",,"OPEN_INT","."&amp;$AB$3&amp;$AB$4&amp;"C"&amp;AV$4)="N/A",0,RTD("tos.rtd",,"OPEN_INT","."&amp;$AB$3&amp;$AB$4&amp;"C"&amp;AV$4))*100 + MAX(0, AV$4-$A21)*IF(RTD("tos.rtd",,"OPEN_INT","."&amp;$AB$3&amp;$AB$4&amp;"P"&amp;AV$4)="N/A",0,RTD("tos.rtd",,"OPEN_INT","."&amp;$AB$3&amp;$AB$4&amp;"P"&amp;AV$4))*100</f>
        <v>252450</v>
      </c>
      <c r="AW21" s="18">
        <f>MAX(0, $A21-AW$4)*IF(RTD("tos.rtd",,"OPEN_INT","."&amp;$AB$3&amp;$AB$4&amp;"C"&amp;AW$4)="N/A",0,RTD("tos.rtd",,"OPEN_INT","."&amp;$AB$3&amp;$AB$4&amp;"C"&amp;AW$4))*100 + MAX(0, AW$4-$A21)*IF(RTD("tos.rtd",,"OPEN_INT","."&amp;$AB$3&amp;$AB$4&amp;"P"&amp;AW$4)="N/A",0,RTD("tos.rtd",,"OPEN_INT","."&amp;$AB$3&amp;$AB$4&amp;"P"&amp;AW$4))*100</f>
        <v>377600</v>
      </c>
      <c r="AX21" s="18">
        <f>MAX(0, $A21-AX$4)*IF(RTD("tos.rtd",,"OPEN_INT","."&amp;$AB$3&amp;$AB$4&amp;"C"&amp;AX$4)="N/A",0,RTD("tos.rtd",,"OPEN_INT","."&amp;$AB$3&amp;$AB$4&amp;"C"&amp;AX$4))*100 + MAX(0, AX$4-$A21)*IF(RTD("tos.rtd",,"OPEN_INT","."&amp;$AB$3&amp;$AB$4&amp;"P"&amp;AX$4)="N/A",0,RTD("tos.rtd",,"OPEN_INT","."&amp;$AB$3&amp;$AB$4&amp;"P"&amp;AX$4))*100</f>
        <v>768750</v>
      </c>
      <c r="AY21" s="18">
        <f>MAX(0, $A21-AY$4)*IF(RTD("tos.rtd",,"OPEN_INT","."&amp;$AB$3&amp;$AB$4&amp;"C"&amp;AY$4)="N/A",0,RTD("tos.rtd",,"OPEN_INT","."&amp;$AB$3&amp;$AB$4&amp;"C"&amp;AY$4))*100 + MAX(0, AY$4-$A21)*IF(RTD("tos.rtd",,"OPEN_INT","."&amp;$AB$3&amp;$AB$4&amp;"P"&amp;AY$4)="N/A",0,RTD("tos.rtd",,"OPEN_INT","."&amp;$AB$3&amp;$AB$4&amp;"P"&amp;AY$4))*100</f>
        <v>1275900</v>
      </c>
      <c r="AZ21" s="18">
        <f>MAX(0, $A21-AZ$4)*IF(RTD("tos.rtd",,"OPEN_INT","."&amp;$AB$3&amp;$AB$4&amp;"C"&amp;AZ$4)="N/A",0,RTD("tos.rtd",,"OPEN_INT","."&amp;$AB$3&amp;$AB$4&amp;"C"&amp;AZ$4))*100 + MAX(0, AZ$4-$A21)*IF(RTD("tos.rtd",,"OPEN_INT","."&amp;$AB$3&amp;$AB$4&amp;"P"&amp;AZ$4)="N/A",0,RTD("tos.rtd",,"OPEN_INT","."&amp;$AB$3&amp;$AB$4&amp;"P"&amp;AZ$4))*100</f>
        <v>6841800</v>
      </c>
      <c r="BA21" s="18">
        <f>MAX(0, $A21-BA$4)*IF(RTD("tos.rtd",,"OPEN_INT","."&amp;$AB$3&amp;$AB$4&amp;"C"&amp;BA$4)="N/A",0,RTD("tos.rtd",,"OPEN_INT","."&amp;$AB$3&amp;$AB$4&amp;"C"&amp;BA$4))*100 + MAX(0, BA$4-$A21)*IF(RTD("tos.rtd",,"OPEN_INT","."&amp;$AB$3&amp;$AB$4&amp;"P"&amp;BA$4)="N/A",0,RTD("tos.rtd",,"OPEN_INT","."&amp;$AB$3&amp;$AB$4&amp;"P"&amp;BA$4))*100</f>
        <v>3940000</v>
      </c>
      <c r="BB21" s="18">
        <f>MAX(0, $A21-BB$4)*IF(RTD("tos.rtd",,"OPEN_INT","."&amp;$AB$3&amp;$AB$4&amp;"C"&amp;BB$4)="N/A",0,RTD("tos.rtd",,"OPEN_INT","."&amp;$AB$3&amp;$AB$4&amp;"C"&amp;BB$4))*100 + MAX(0, BB$4-$A21)*IF(RTD("tos.rtd",,"OPEN_INT","."&amp;$AB$3&amp;$AB$4&amp;"P"&amp;BB$4)="N/A",0,RTD("tos.rtd",,"OPEN_INT","."&amp;$AB$3&amp;$AB$4&amp;"P"&amp;BB$4))*100</f>
        <v>13863150</v>
      </c>
      <c r="BC21" s="18">
        <f>MAX(0, $A21-BC$4)*IF(RTD("tos.rtd",,"OPEN_INT","."&amp;$AB$3&amp;$AB$4&amp;"C"&amp;BC$4)="N/A",0,RTD("tos.rtd",,"OPEN_INT","."&amp;$AB$3&amp;$AB$4&amp;"C"&amp;BC$4))*100 + MAX(0, BC$4-$A21)*IF(RTD("tos.rtd",,"OPEN_INT","."&amp;$AB$3&amp;$AB$4&amp;"P"&amp;BC$4)="N/A",0,RTD("tos.rtd",,"OPEN_INT","."&amp;$AB$3&amp;$AB$4&amp;"P"&amp;BC$4))*100</f>
        <v>14329000</v>
      </c>
      <c r="BD21" s="18">
        <f>MAX(0, $A21-BD$4)*IF(RTD("tos.rtd",,"OPEN_INT","."&amp;$AB$3&amp;$AB$4&amp;"C"&amp;BD$4)="N/A",0,RTD("tos.rtd",,"OPEN_INT","."&amp;$AB$3&amp;$AB$4&amp;"C"&amp;BD$4))*100 + MAX(0, BD$4-$A21)*IF(RTD("tos.rtd",,"OPEN_INT","."&amp;$AB$3&amp;$AB$4&amp;"P"&amp;BD$4)="N/A",0,RTD("tos.rtd",,"OPEN_INT","."&amp;$AB$3&amp;$AB$4&amp;"P"&amp;BD$4))*100</f>
        <v>22392150</v>
      </c>
      <c r="BE21" s="18">
        <f>MAX(0, $A21-BE$4)*IF(RTD("tos.rtd",,"OPEN_INT","."&amp;$AB$3&amp;$AB$4&amp;"C"&amp;BE$4)="N/A",0,RTD("tos.rtd",,"OPEN_INT","."&amp;$AB$3&amp;$AB$4&amp;"C"&amp;BE$4))*100 + MAX(0, BE$4-$A21)*IF(RTD("tos.rtd",,"OPEN_INT","."&amp;$AB$3&amp;$AB$4&amp;"P"&amp;BE$4)="N/A",0,RTD("tos.rtd",,"OPEN_INT","."&amp;$AB$3&amp;$AB$4&amp;"P"&amp;BE$4))*100</f>
        <v>11136000</v>
      </c>
      <c r="BF21" s="18">
        <f>MAX(0, $A21-BF$4)*IF(RTD("tos.rtd",,"OPEN_INT","."&amp;$AB$3&amp;$AB$4&amp;"C"&amp;BF$4)="N/A",0,RTD("tos.rtd",,"OPEN_INT","."&amp;$AB$3&amp;$AB$4&amp;"C"&amp;BF$4))*100 + MAX(0, BF$4-$A21)*IF(RTD("tos.rtd",,"OPEN_INT","."&amp;$AB$3&amp;$AB$4&amp;"P"&amp;BF$4)="N/A",0,RTD("tos.rtd",,"OPEN_INT","."&amp;$AB$3&amp;$AB$4&amp;"P"&amp;BF$4))*100</f>
        <v>11230700</v>
      </c>
      <c r="BG21" s="18">
        <f>MAX(0, $A21-BG$4)*IF(RTD("tos.rtd",,"OPEN_INT","."&amp;$AB$3&amp;$AB$4&amp;"C"&amp;BG$4)="N/A",0,RTD("tos.rtd",,"OPEN_INT","."&amp;$AB$3&amp;$AB$4&amp;"C"&amp;BG$4))*100 + MAX(0, BG$4-$A21)*IF(RTD("tos.rtd",,"OPEN_INT","."&amp;$AB$3&amp;$AB$4&amp;"P"&amp;BG$4)="N/A",0,RTD("tos.rtd",,"OPEN_INT","."&amp;$AB$3&amp;$AB$4&amp;"P"&amp;BG$4))*100</f>
        <v>5884900</v>
      </c>
      <c r="BH21" s="18">
        <f>MAX(0, $A21-BH$4)*IF(RTD("tos.rtd",,"OPEN_INT","."&amp;$AB$3&amp;$AB$4&amp;"C"&amp;BH$4)="N/A",0,RTD("tos.rtd",,"OPEN_INT","."&amp;$AB$3&amp;$AB$4&amp;"C"&amp;BH$4))*100 + MAX(0, BH$4-$A21)*IF(RTD("tos.rtd",,"OPEN_INT","."&amp;$AB$3&amp;$AB$4&amp;"P"&amp;BH$4)="N/A",0,RTD("tos.rtd",,"OPEN_INT","."&amp;$AB$3&amp;$AB$4&amp;"P"&amp;BH$4))*100</f>
        <v>4300500</v>
      </c>
      <c r="BI21" s="18">
        <f>MAX(0, $A21-BI$4)*IF(RTD("tos.rtd",,"OPEN_INT","."&amp;$AB$3&amp;$AB$4&amp;"C"&amp;BI$4)="N/A",0,RTD("tos.rtd",,"OPEN_INT","."&amp;$AB$3&amp;$AB$4&amp;"C"&amp;BI$4))*100 + MAX(0, BI$4-$A21)*IF(RTD("tos.rtd",,"OPEN_INT","."&amp;$AB$3&amp;$AB$4&amp;"P"&amp;BI$4)="N/A",0,RTD("tos.rtd",,"OPEN_INT","."&amp;$AB$3&amp;$AB$4&amp;"P"&amp;BI$4))*100</f>
        <v>1554400</v>
      </c>
      <c r="BJ21" s="18">
        <f>MAX(0, $A21-BJ$4)*IF(RTD("tos.rtd",,"OPEN_INT","."&amp;$AB$3&amp;$AB$4&amp;"C"&amp;BJ$4)="N/A",0,RTD("tos.rtd",,"OPEN_INT","."&amp;$AB$3&amp;$AB$4&amp;"C"&amp;BJ$4))*100 + MAX(0, BJ$4-$A21)*IF(RTD("tos.rtd",,"OPEN_INT","."&amp;$AB$3&amp;$AB$4&amp;"P"&amp;BJ$4)="N/A",0,RTD("tos.rtd",,"OPEN_INT","."&amp;$AB$3&amp;$AB$4&amp;"P"&amp;BJ$4))*100</f>
        <v>715700</v>
      </c>
      <c r="BK21" s="18">
        <f>MAX(0, $A21-BK$4)*IF(RTD("tos.rtd",,"OPEN_INT","."&amp;$AB$3&amp;$AB$4&amp;"C"&amp;BK$4)="N/A",0,RTD("tos.rtd",,"OPEN_INT","."&amp;$AB$3&amp;$AB$4&amp;"C"&amp;BK$4))*100 + MAX(0, BK$4-$A21)*IF(RTD("tos.rtd",,"OPEN_INT","."&amp;$AB$3&amp;$AB$4&amp;"P"&amp;BK$4)="N/A",0,RTD("tos.rtd",,"OPEN_INT","."&amp;$AB$3&amp;$AB$4&amp;"P"&amp;BK$4))*100</f>
        <v>135900</v>
      </c>
      <c r="BL21" s="18">
        <f>MAX(0, $A21-BL$4)*IF(RTD("tos.rtd",,"OPEN_INT","."&amp;$AB$3&amp;$AB$4&amp;"C"&amp;BL$4)="N/A",0,RTD("tos.rtd",,"OPEN_INT","."&amp;$AB$3&amp;$AB$4&amp;"C"&amp;BL$4))*100 + MAX(0, BL$4-$A21)*IF(RTD("tos.rtd",,"OPEN_INT","."&amp;$AB$3&amp;$AB$4&amp;"P"&amp;BL$4)="N/A",0,RTD("tos.rtd",,"OPEN_INT","."&amp;$AB$3&amp;$AB$4&amp;"P"&amp;BL$4))*100</f>
        <v>247950</v>
      </c>
      <c r="BM21" s="18">
        <f>MAX(0, $A21-BM$4)*IF(RTD("tos.rtd",,"OPEN_INT","."&amp;$AB$3&amp;$AB$4&amp;"C"&amp;BM$4)="N/A",0,RTD("tos.rtd",,"OPEN_INT","."&amp;$AB$3&amp;$AB$4&amp;"C"&amp;BM$4))*100 + MAX(0, BM$4-$A21)*IF(RTD("tos.rtd",,"OPEN_INT","."&amp;$AB$3&amp;$AB$4&amp;"P"&amp;BM$4)="N/A",0,RTD("tos.rtd",,"OPEN_INT","."&amp;$AB$3&amp;$AB$4&amp;"P"&amp;BM$4))*100</f>
        <v>16000</v>
      </c>
      <c r="BN21" s="18">
        <f>MAX(0, $A21-BN$4)*IF(RTD("tos.rtd",,"OPEN_INT","."&amp;$AB$3&amp;$AB$4&amp;"C"&amp;BN$4)="N/A",0,RTD("tos.rtd",,"OPEN_INT","."&amp;$AB$3&amp;$AB$4&amp;"C"&amp;BN$4))*100 + MAX(0, BN$4-$A21)*IF(RTD("tos.rtd",,"OPEN_INT","."&amp;$AB$3&amp;$AB$4&amp;"P"&amp;BN$4)="N/A",0,RTD("tos.rtd",,"OPEN_INT","."&amp;$AB$3&amp;$AB$4&amp;"P"&amp;BN$4))*100</f>
        <v>8400</v>
      </c>
      <c r="BO21" s="18">
        <f>MAX(0, $A21-BO$4)*IF(RTD("tos.rtd",,"OPEN_INT","."&amp;$AB$3&amp;$AB$4&amp;"C"&amp;BO$4)="N/A",0,RTD("tos.rtd",,"OPEN_INT","."&amp;$AB$3&amp;$AB$4&amp;"C"&amp;BO$4))*100 + MAX(0, BO$4-$A21)*IF(RTD("tos.rtd",,"OPEN_INT","."&amp;$AB$3&amp;$AB$4&amp;"P"&amp;BO$4)="N/A",0,RTD("tos.rtd",,"OPEN_INT","."&amp;$AB$3&amp;$AB$4&amp;"P"&amp;BO$4))*100</f>
        <v>34100</v>
      </c>
      <c r="BP21" s="18">
        <f>MAX(0, $A21-BP$4)*IF(RTD("tos.rtd",,"OPEN_INT","."&amp;$AB$3&amp;$AB$4&amp;"C"&amp;BP$4)="N/A",0,RTD("tos.rtd",,"OPEN_INT","."&amp;$AB$3&amp;$AB$4&amp;"C"&amp;BP$4))*100 + MAX(0, BP$4-$A21)*IF(RTD("tos.rtd",,"OPEN_INT","."&amp;$AB$3&amp;$AB$4&amp;"P"&amp;BP$4)="N/A",0,RTD("tos.rtd",,"OPEN_INT","."&amp;$AB$3&amp;$AB$4&amp;"P"&amp;BP$4))*100</f>
        <v>43700</v>
      </c>
      <c r="BQ21" s="18">
        <f>MAX(0, $A21-BQ$4)*IF(RTD("tos.rtd",,"OPEN_INT","."&amp;$AB$3&amp;$AB$4&amp;"C"&amp;BQ$4)="N/A",0,RTD("tos.rtd",,"OPEN_INT","."&amp;$AB$3&amp;$AB$4&amp;"C"&amp;BQ$4))*100 + MAX(0, BQ$4-$A21)*IF(RTD("tos.rtd",,"OPEN_INT","."&amp;$AB$3&amp;$AB$4&amp;"P"&amp;BQ$4)="N/A",0,RTD("tos.rtd",,"OPEN_INT","."&amp;$AB$3&amp;$AB$4&amp;"P"&amp;BQ$4))*100</f>
        <v>0</v>
      </c>
      <c r="BR21" s="18">
        <f>MAX(0, $A21-BR$4)*IF(RTD("tos.rtd",,"OPEN_INT","."&amp;$AB$3&amp;$AB$4&amp;"C"&amp;BR$4)="N/A",0,RTD("tos.rtd",,"OPEN_INT","."&amp;$AB$3&amp;$AB$4&amp;"C"&amp;BR$4))*100 + MAX(0, BR$4-$A21)*IF(RTD("tos.rtd",,"OPEN_INT","."&amp;$AB$3&amp;$AB$4&amp;"P"&amp;BR$4)="N/A",0,RTD("tos.rtd",,"OPEN_INT","."&amp;$AB$3&amp;$AB$4&amp;"P"&amp;BR$4))*100</f>
        <v>0</v>
      </c>
      <c r="BS21" s="18">
        <f>MAX(0, $A21-BS$4)*IF(RTD("tos.rtd",,"OPEN_INT","."&amp;$AB$3&amp;$AB$4&amp;"C"&amp;BS$4)="N/A",0,RTD("tos.rtd",,"OPEN_INT","."&amp;$AB$3&amp;$AB$4&amp;"C"&amp;BS$4))*100 + MAX(0, BS$4-$A21)*IF(RTD("tos.rtd",,"OPEN_INT","."&amp;$AB$3&amp;$AB$4&amp;"P"&amp;BS$4)="N/A",0,RTD("tos.rtd",,"OPEN_INT","."&amp;$AB$3&amp;$AB$4&amp;"P"&amp;BS$4))*100</f>
        <v>0</v>
      </c>
      <c r="BT21" s="18">
        <f>MAX(0, $A21-BT$4)*IF(RTD("tos.rtd",,"OPEN_INT","."&amp;$AB$3&amp;$AB$4&amp;"C"&amp;BT$4)="N/A",0,RTD("tos.rtd",,"OPEN_INT","."&amp;$AB$3&amp;$AB$4&amp;"C"&amp;BT$4))*100 + MAX(0, BT$4-$A21)*IF(RTD("tos.rtd",,"OPEN_INT","."&amp;$AB$3&amp;$AB$4&amp;"P"&amp;BT$4)="N/A",0,RTD("tos.rtd",,"OPEN_INT","."&amp;$AB$3&amp;$AB$4&amp;"P"&amp;BT$4))*100</f>
        <v>0</v>
      </c>
      <c r="BU21" s="18">
        <f>MAX(0, $A21-BU$4)*IF(RTD("tos.rtd",,"OPEN_INT","."&amp;$AB$3&amp;$AB$4&amp;"C"&amp;BU$4)="N/A",0,RTD("tos.rtd",,"OPEN_INT","."&amp;$AB$3&amp;$AB$4&amp;"C"&amp;BU$4))*100 + MAX(0, BU$4-$A21)*IF(RTD("tos.rtd",,"OPEN_INT","."&amp;$AB$3&amp;$AB$4&amp;"P"&amp;BU$4)="N/A",0,RTD("tos.rtd",,"OPEN_INT","."&amp;$AB$3&amp;$AB$4&amp;"P"&amp;BU$4))*100</f>
        <v>0</v>
      </c>
      <c r="BV21" s="18">
        <f>MAX(0, $A21-BV$4)*IF(RTD("tos.rtd",,"OPEN_INT","."&amp;$AB$3&amp;$AB$4&amp;"C"&amp;BV$4)="N/A",0,RTD("tos.rtd",,"OPEN_INT","."&amp;$AB$3&amp;$AB$4&amp;"C"&amp;BV$4))*100 + MAX(0, BV$4-$A21)*IF(RTD("tos.rtd",,"OPEN_INT","."&amp;$AB$3&amp;$AB$4&amp;"P"&amp;BV$4)="N/A",0,RTD("tos.rtd",,"OPEN_INT","."&amp;$AB$3&amp;$AB$4&amp;"P"&amp;BV$4))*100</f>
        <v>0</v>
      </c>
      <c r="BW21" s="18">
        <f>MAX(0, $A21-BW$4)*IF(RTD("tos.rtd",,"OPEN_INT","."&amp;$AB$3&amp;$AB$4&amp;"C"&amp;BW$4)="N/A",0,RTD("tos.rtd",,"OPEN_INT","."&amp;$AB$3&amp;$AB$4&amp;"C"&amp;BW$4))*100 + MAX(0, BW$4-$A21)*IF(RTD("tos.rtd",,"OPEN_INT","."&amp;$AB$3&amp;$AB$4&amp;"P"&amp;BW$4)="N/A",0,RTD("tos.rtd",,"OPEN_INT","."&amp;$AB$3&amp;$AB$4&amp;"P"&amp;BW$4))*100</f>
        <v>0</v>
      </c>
    </row>
    <row r="22" spans="1:75" s="19" customFormat="1" ht="11.1" customHeight="1" thickBot="1" x14ac:dyDescent="0.3">
      <c r="A22" s="23">
        <f t="shared" si="7"/>
        <v>13</v>
      </c>
      <c r="B22" s="14">
        <f ca="1">IF($A$2="PREMIUM_OI",IFERROR(IF($X$1="ABS",(100*RTD("tos.rtd",,"OPEN_INT","."&amp;B$2&amp;B$1&amp;"C"&amp;$A22)*RTD("tos.rtd",,"LAST","."&amp;B$2&amp;B$1&amp;"C"&amp;$A22)+100*RTD("tos.rtd",,"OPEN_INT","."&amp;B$2&amp;B$1&amp;"P"&amp;$A22)*RTD("tos.rtd",,"LAST","."&amp;B$2&amp;B$1&amp;"P"&amp;$A22))/1000000,(100*RTD("tos.rtd",,"OPEN_INT","."&amp;B$2&amp;B$1&amp;"C"&amp;$A22)*RTD("tos.rtd",,"LAST","."&amp;B$2&amp;B$1&amp;"C"&amp;$A22)-100*RTD("tos.rtd",,"OPEN_INT","."&amp;B$2&amp;B$1&amp;"P"&amp;$A22)*RTD("tos.rtd",,"LAST","."&amp;B$2&amp;B$1&amp;"P"&amp;$A22))/1000000),0),IF($A$2="PREMIUM",IFERROR(IF($X$1="ABS",(100*RTD("tos.rtd",,"VOLUME","."&amp;B$2&amp;B$1&amp;"C"&amp;$A22)*RTD("tos.rtd",,"LAST","."&amp;B$2&amp;B$1&amp;"C"&amp;$A22)+100*RTD("tos.rtd",,"VOLUME","."&amp;B$2&amp;B$1&amp;"P"&amp;$A22)*RTD("tos.rtd",,"LAST","."&amp;B$2&amp;B$1&amp;"P"&amp;$A22))/1000000,(100*RTD("tos.rtd",,"VOLUME","."&amp;B$2&amp;B$1&amp;"C"&amp;$A22)*RTD("tos.rtd",,"LAST","."&amp;B$2&amp;B$1&amp;"C"&amp;$A22)-100*RTD("tos.rtd",,"VOLUME","."&amp;B$2&amp;B$1&amp;"P"&amp;$A22)*RTD("tos.rtd",,"LAST","."&amp;B$2&amp;B$1&amp;"P"&amp;$A22))/1000000),0),IF($A$2="DEX",IFERROR(IF($X$1="ABS",(100*RTD("tos.rtd",,"OPEN_INT","."&amp;B$2&amp;B$1&amp;"C"&amp;$A22)*RTD("tos.rtd",,"DELTA","."&amp;B$2&amp;B$1&amp;"C"&amp;$A22)+100*RTD("tos.rtd",,"OPEN_INT","."&amp;B$2&amp;B$1&amp;"P"&amp;$A22)*RTD("tos.rtd",,"DELTA","."&amp;B$2&amp;B$1&amp;"P"&amp;$A22))/1000,(100*RTD("tos.rtd",,"OPEN_INT","."&amp;B$2&amp;B$1&amp;"C"&amp;$A22)*RTD("tos.rtd",,"DELTA","."&amp;B$2&amp;B$1&amp;"C"&amp;$A22)-100*RTD("tos.rtd",,"OPEN_INT","."&amp;B$2&amp;B$1&amp;"P"&amp;$A22)*RTD("tos.rtd",,"DELTA","."&amp;B$2&amp;B$1&amp;"P"&amp;$A22))/1000),0),IF($A$2="VEX",IFERROR(IF($X$1="ABS",($A$4*$A$4*RTD("tos.rtd",,"VOLUME","."&amp;B$2&amp;B$1&amp;"C"&amp;$A22)*RTD("tos.rtd",,"GAMMA","."&amp;B$2&amp;B$1&amp;"C"&amp;$A22)+$A$4*$A$4*RTD("tos.rtd",,"VOLUME","."&amp;B$2&amp;B$1&amp;"P"&amp;$A22)*RTD("tos.rtd",,"GAMMA","."&amp;B$2&amp;B$1&amp;"P"&amp;$A22))/1000000,($A$4*$A$4*RTD("tos.rtd",,"VOLUME","."&amp;B$2&amp;B$1&amp;"C"&amp;$A22)*RTD("tos.rtd",,"GAMMA","."&amp;B$2&amp;B$1&amp;"C"&amp;$A22)-$A$4*$A$4*RTD("tos.rtd",,"VOLUME","."&amp;B$2&amp;B$1&amp;"P"&amp;$A22)*RTD("tos.rtd",,"GAMMA","."&amp;B$2&amp;B$1&amp;"P"&amp;$A22))/1000000),0),IF($A$2="GEX",IFERROR(IF($X$1="ABS",($A$4*$A$4*RTD("tos.rtd",,"OPEN_INT","."&amp;B$2&amp;B$1&amp;"C"&amp;$A22)*RTD("tos.rtd",,"GAMMA","."&amp;B$2&amp;B$1&amp;"C"&amp;$A22)+$A$4*$A$4*RTD("tos.rtd",,"OPEN_INT","."&amp;B$2&amp;B$1&amp;"P"&amp;$A22)*RTD("tos.rtd",,"GAMMA","."&amp;B$2&amp;B$1&amp;"P"&amp;$A22))/1000000,($A$4*$A$4*RTD("tos.rtd",,"OPEN_INT","."&amp;B$2&amp;B$1&amp;"C"&amp;$A22)*RTD("tos.rtd",,"GAMMA","."&amp;B$2&amp;B$1&amp;"C"&amp;$A22)-$A$4*$A$4*RTD("tos.rtd",,"OPEN_INT","."&amp;B$2&amp;B$1&amp;"P"&amp;$A22)*RTD("tos.rtd",,"GAMMA","."&amp;B$2&amp;B$1&amp;"P"&amp;$A22))/1000000),0),IF($A$2="SKEW",IFERROR(VALUE(IF(RTD("tos.rtd",,"IMPL_VOL","."&amp;B$2&amp;B$1&amp;"P"&amp;$A22)="N/A",0,RTD("tos.rtd",,"IMPL_VOL","."&amp;B$2&amp;B$1&amp;"P"&amp;$A22))),0)-IFERROR(VALUE(IF(RTD("tos.rtd",,"IMPL_VOL","."&amp;B$2&amp;B$1&amp;"C"&amp;$A22)="N/A",0,RTD("tos.rtd",,"IMPL_VOL","."&amp;B$2&amp;B$1&amp;"C"&amp;$A22))),0),IF($A$2="MAXPAIN",IF($A$4&gt;$A22,($A$4-$A22)*IF(RTD("tos.rtd",,"OPEN_INT","."&amp;B$2&amp;B$1&amp;"C"&amp;$A22)="N/A",0,RTD("tos.rtd",,"OPEN_INT","."&amp;B$2&amp;B$1&amp;"C"&amp;$A22)),0)+IF($A$4&lt;$A22,($A$5-$A$4)*IF(RTD("tos.rtd",,"OPEN_INT","."&amp;B$2&amp;B$1&amp;"P"&amp;$A22)="N/A",0,RTD("tos.rtd",,"OPEN_INT","."&amp;B$2&amp;B$1&amp;"P"&amp;$A22)),0),IF($X$1="ABS",IF(RTD("tos.rtd",,$A$2,"."&amp;B$2&amp;B$1&amp;"C"&amp;$A22)="N/A",0,RTD("tos.rtd",,$A$2,"."&amp;B$2&amp;B$1&amp;"C"&amp;$A22))+IF(RTD("tos.rtd",,$A$2,"."&amp;B$2&amp;B$1&amp;"P"&amp;$A22)="N/A",0,RTD("tos.rtd",,$A$2,"."&amp;B$2&amp;B$1&amp;"P"&amp;$A22)),IF(RTD("tos.rtd",,$A$2,"."&amp;B$2&amp;B$1&amp;"C"&amp;$A22)="N/A",0,RTD("tos.rtd",,$A$2,"."&amp;B$2&amp;B$1&amp;"C"&amp;$A22))-IF(RTD("tos.rtd",,$A$2,"."&amp;B$2&amp;B$1&amp;"P"&amp;$A22)="N/A",0,RTD("tos.rtd",,$A$2,"."&amp;B$2&amp;B$1&amp;"P"&amp;$A22))))))))))</f>
        <v>0</v>
      </c>
      <c r="C22" s="14">
        <f ca="1">IF($A$2="PREMIUM_OI",IFERROR(IF($X$1="ABS",(100*RTD("tos.rtd",,"OPEN_INT","."&amp;C$2&amp;C$1&amp;"C"&amp;$A22)*RTD("tos.rtd",,"LAST","."&amp;C$2&amp;C$1&amp;"C"&amp;$A22)+100*RTD("tos.rtd",,"OPEN_INT","."&amp;C$2&amp;C$1&amp;"P"&amp;$A22)*RTD("tos.rtd",,"LAST","."&amp;C$2&amp;C$1&amp;"P"&amp;$A22))/1000000,(100*RTD("tos.rtd",,"OPEN_INT","."&amp;C$2&amp;C$1&amp;"C"&amp;$A22)*RTD("tos.rtd",,"LAST","."&amp;C$2&amp;C$1&amp;"C"&amp;$A22)-100*RTD("tos.rtd",,"OPEN_INT","."&amp;C$2&amp;C$1&amp;"P"&amp;$A22)*RTD("tos.rtd",,"LAST","."&amp;C$2&amp;C$1&amp;"P"&amp;$A22))/1000000),0),IF($A$2="PREMIUM",IFERROR(IF($X$1="ABS",(100*RTD("tos.rtd",,"VOLUME","."&amp;C$2&amp;C$1&amp;"C"&amp;$A22)*RTD("tos.rtd",,"LAST","."&amp;C$2&amp;C$1&amp;"C"&amp;$A22)+100*RTD("tos.rtd",,"VOLUME","."&amp;C$2&amp;C$1&amp;"P"&amp;$A22)*RTD("tos.rtd",,"LAST","."&amp;C$2&amp;C$1&amp;"P"&amp;$A22))/1000000,(100*RTD("tos.rtd",,"VOLUME","."&amp;C$2&amp;C$1&amp;"C"&amp;$A22)*RTD("tos.rtd",,"LAST","."&amp;C$2&amp;C$1&amp;"C"&amp;$A22)-100*RTD("tos.rtd",,"VOLUME","."&amp;C$2&amp;C$1&amp;"P"&amp;$A22)*RTD("tos.rtd",,"LAST","."&amp;C$2&amp;C$1&amp;"P"&amp;$A22))/1000000),0),IF($A$2="DEX",IFERROR(IF($X$1="ABS",(100*RTD("tos.rtd",,"OPEN_INT","."&amp;C$2&amp;C$1&amp;"C"&amp;$A22)*RTD("tos.rtd",,"DELTA","."&amp;C$2&amp;C$1&amp;"C"&amp;$A22)+100*RTD("tos.rtd",,"OPEN_INT","."&amp;C$2&amp;C$1&amp;"P"&amp;$A22)*RTD("tos.rtd",,"DELTA","."&amp;C$2&amp;C$1&amp;"P"&amp;$A22))/1000,(100*RTD("tos.rtd",,"OPEN_INT","."&amp;C$2&amp;C$1&amp;"C"&amp;$A22)*RTD("tos.rtd",,"DELTA","."&amp;C$2&amp;C$1&amp;"C"&amp;$A22)-100*RTD("tos.rtd",,"OPEN_INT","."&amp;C$2&amp;C$1&amp;"P"&amp;$A22)*RTD("tos.rtd",,"DELTA","."&amp;C$2&amp;C$1&amp;"P"&amp;$A22))/1000),0),IF($A$2="VEX",IFERROR(IF($X$1="ABS",($A$4*$A$4*RTD("tos.rtd",,"VOLUME","."&amp;C$2&amp;C$1&amp;"C"&amp;$A22)*RTD("tos.rtd",,"GAMMA","."&amp;C$2&amp;C$1&amp;"C"&amp;$A22)+$A$4*$A$4*RTD("tos.rtd",,"VOLUME","."&amp;C$2&amp;C$1&amp;"P"&amp;$A22)*RTD("tos.rtd",,"GAMMA","."&amp;C$2&amp;C$1&amp;"P"&amp;$A22))/1000000,($A$4*$A$4*RTD("tos.rtd",,"VOLUME","."&amp;C$2&amp;C$1&amp;"C"&amp;$A22)*RTD("tos.rtd",,"GAMMA","."&amp;C$2&amp;C$1&amp;"C"&amp;$A22)-$A$4*$A$4*RTD("tos.rtd",,"VOLUME","."&amp;C$2&amp;C$1&amp;"P"&amp;$A22)*RTD("tos.rtd",,"GAMMA","."&amp;C$2&amp;C$1&amp;"P"&amp;$A22))/1000000),0),IF($A$2="GEX",IFERROR(IF($X$1="ABS",($A$4*$A$4*RTD("tos.rtd",,"OPEN_INT","."&amp;C$2&amp;C$1&amp;"C"&amp;$A22)*RTD("tos.rtd",,"GAMMA","."&amp;C$2&amp;C$1&amp;"C"&amp;$A22)+$A$4*$A$4*RTD("tos.rtd",,"OPEN_INT","."&amp;C$2&amp;C$1&amp;"P"&amp;$A22)*RTD("tos.rtd",,"GAMMA","."&amp;C$2&amp;C$1&amp;"P"&amp;$A22))/1000000,($A$4*$A$4*RTD("tos.rtd",,"OPEN_INT","."&amp;C$2&amp;C$1&amp;"C"&amp;$A22)*RTD("tos.rtd",,"GAMMA","."&amp;C$2&amp;C$1&amp;"C"&amp;$A22)-$A$4*$A$4*RTD("tos.rtd",,"OPEN_INT","."&amp;C$2&amp;C$1&amp;"P"&amp;$A22)*RTD("tos.rtd",,"GAMMA","."&amp;C$2&amp;C$1&amp;"P"&amp;$A22))/1000000),0),IF($A$2="SKEW",IFERROR(VALUE(IF(RTD("tos.rtd",,"IMPL_VOL","."&amp;C$2&amp;C$1&amp;"P"&amp;$A22)="N/A",0,RTD("tos.rtd",,"IMPL_VOL","."&amp;C$2&amp;C$1&amp;"P"&amp;$A22))),0)-IFERROR(VALUE(IF(RTD("tos.rtd",,"IMPL_VOL","."&amp;C$2&amp;C$1&amp;"C"&amp;$A22)="N/A",0,RTD("tos.rtd",,"IMPL_VOL","."&amp;C$2&amp;C$1&amp;"C"&amp;$A22))),0),IF($A$2="MAXPAIN",IF($A$4&gt;$A22,($A$4-$A22)*IF(RTD("tos.rtd",,"OPEN_INT","."&amp;C$2&amp;C$1&amp;"C"&amp;$A22)="N/A",0,RTD("tos.rtd",,"OPEN_INT","."&amp;C$2&amp;C$1&amp;"C"&amp;$A22)),0)+IF($A$4&lt;$A22,($A$5-$A$4)*IF(RTD("tos.rtd",,"OPEN_INT","."&amp;C$2&amp;C$1&amp;"P"&amp;$A22)="N/A",0,RTD("tos.rtd",,"OPEN_INT","."&amp;C$2&amp;C$1&amp;"P"&amp;$A22)),0),IF($X$1="ABS",IF(RTD("tos.rtd",,$A$2,"."&amp;C$2&amp;C$1&amp;"C"&amp;$A22)="N/A",0,RTD("tos.rtd",,$A$2,"."&amp;C$2&amp;C$1&amp;"C"&amp;$A22))+IF(RTD("tos.rtd",,$A$2,"."&amp;C$2&amp;C$1&amp;"P"&amp;$A22)="N/A",0,RTD("tos.rtd",,$A$2,"."&amp;C$2&amp;C$1&amp;"P"&amp;$A22)),IF(RTD("tos.rtd",,$A$2,"."&amp;C$2&amp;C$1&amp;"C"&amp;$A22)="N/A",0,RTD("tos.rtd",,$A$2,"."&amp;C$2&amp;C$1&amp;"C"&amp;$A22))-IF(RTD("tos.rtd",,$A$2,"."&amp;C$2&amp;C$1&amp;"P"&amp;$A22)="N/A",0,RTD("tos.rtd",,$A$2,"."&amp;C$2&amp;C$1&amp;"P"&amp;$A22))))))))))</f>
        <v>0</v>
      </c>
      <c r="D22" s="12">
        <f ca="1">IF($A$2="PREMIUM_OI",IFERROR(IF($X$1="ABS",(100*RTD("tos.rtd",,"OPEN_INT","."&amp;D$2&amp;D$1&amp;"C"&amp;$A22)*RTD("tos.rtd",,"LAST","."&amp;D$2&amp;D$1&amp;"C"&amp;$A22)+100*RTD("tos.rtd",,"OPEN_INT","."&amp;D$2&amp;D$1&amp;"P"&amp;$A22)*RTD("tos.rtd",,"LAST","."&amp;D$2&amp;D$1&amp;"P"&amp;$A22))/1000000,(100*RTD("tos.rtd",,"OPEN_INT","."&amp;D$2&amp;D$1&amp;"C"&amp;$A22)*RTD("tos.rtd",,"LAST","."&amp;D$2&amp;D$1&amp;"C"&amp;$A22)-100*RTD("tos.rtd",,"OPEN_INT","."&amp;D$2&amp;D$1&amp;"P"&amp;$A22)*RTD("tos.rtd",,"LAST","."&amp;D$2&amp;D$1&amp;"P"&amp;$A22))/1000000),0),IF($A$2="PREMIUM",IFERROR(IF($X$1="ABS",(100*RTD("tos.rtd",,"VOLUME","."&amp;D$2&amp;D$1&amp;"C"&amp;$A22)*RTD("tos.rtd",,"LAST","."&amp;D$2&amp;D$1&amp;"C"&amp;$A22)+100*RTD("tos.rtd",,"VOLUME","."&amp;D$2&amp;D$1&amp;"P"&amp;$A22)*RTD("tos.rtd",,"LAST","."&amp;D$2&amp;D$1&amp;"P"&amp;$A22))/1000000,(100*RTD("tos.rtd",,"VOLUME","."&amp;D$2&amp;D$1&amp;"C"&amp;$A22)*RTD("tos.rtd",,"LAST","."&amp;D$2&amp;D$1&amp;"C"&amp;$A22)-100*RTD("tos.rtd",,"VOLUME","."&amp;D$2&amp;D$1&amp;"P"&amp;$A22)*RTD("tos.rtd",,"LAST","."&amp;D$2&amp;D$1&amp;"P"&amp;$A22))/1000000),0),IF($A$2="DEX",IFERROR(IF($X$1="ABS",(100*RTD("tos.rtd",,"OPEN_INT","."&amp;D$2&amp;D$1&amp;"C"&amp;$A22)*RTD("tos.rtd",,"DELTA","."&amp;D$2&amp;D$1&amp;"C"&amp;$A22)+100*RTD("tos.rtd",,"OPEN_INT","."&amp;D$2&amp;D$1&amp;"P"&amp;$A22)*RTD("tos.rtd",,"DELTA","."&amp;D$2&amp;D$1&amp;"P"&amp;$A22))/1000,(100*RTD("tos.rtd",,"OPEN_INT","."&amp;D$2&amp;D$1&amp;"C"&amp;$A22)*RTD("tos.rtd",,"DELTA","."&amp;D$2&amp;D$1&amp;"C"&amp;$A22)-100*RTD("tos.rtd",,"OPEN_INT","."&amp;D$2&amp;D$1&amp;"P"&amp;$A22)*RTD("tos.rtd",,"DELTA","."&amp;D$2&amp;D$1&amp;"P"&amp;$A22))/1000),0),IF($A$2="VEX",IFERROR(IF($X$1="ABS",($A$4*$A$4*RTD("tos.rtd",,"VOLUME","."&amp;D$2&amp;D$1&amp;"C"&amp;$A22)*RTD("tos.rtd",,"GAMMA","."&amp;D$2&amp;D$1&amp;"C"&amp;$A22)+$A$4*$A$4*RTD("tos.rtd",,"VOLUME","."&amp;D$2&amp;D$1&amp;"P"&amp;$A22)*RTD("tos.rtd",,"GAMMA","."&amp;D$2&amp;D$1&amp;"P"&amp;$A22))/1000000,($A$4*$A$4*RTD("tos.rtd",,"VOLUME","."&amp;D$2&amp;D$1&amp;"C"&amp;$A22)*RTD("tos.rtd",,"GAMMA","."&amp;D$2&amp;D$1&amp;"C"&amp;$A22)-$A$4*$A$4*RTD("tos.rtd",,"VOLUME","."&amp;D$2&amp;D$1&amp;"P"&amp;$A22)*RTD("tos.rtd",,"GAMMA","."&amp;D$2&amp;D$1&amp;"P"&amp;$A22))/1000000),0),IF($A$2="GEX",IFERROR(IF($X$1="ABS",($A$4*$A$4*RTD("tos.rtd",,"OPEN_INT","."&amp;D$2&amp;D$1&amp;"C"&amp;$A22)*RTD("tos.rtd",,"GAMMA","."&amp;D$2&amp;D$1&amp;"C"&amp;$A22)+$A$4*$A$4*RTD("tos.rtd",,"OPEN_INT","."&amp;D$2&amp;D$1&amp;"P"&amp;$A22)*RTD("tos.rtd",,"GAMMA","."&amp;D$2&amp;D$1&amp;"P"&amp;$A22))/1000000,($A$4*$A$4*RTD("tos.rtd",,"OPEN_INT","."&amp;D$2&amp;D$1&amp;"C"&amp;$A22)*RTD("tos.rtd",,"GAMMA","."&amp;D$2&amp;D$1&amp;"C"&amp;$A22)-$A$4*$A$4*RTD("tos.rtd",,"OPEN_INT","."&amp;D$2&amp;D$1&amp;"P"&amp;$A22)*RTD("tos.rtd",,"GAMMA","."&amp;D$2&amp;D$1&amp;"P"&amp;$A22))/1000000),0),IF($A$2="SKEW",IFERROR(VALUE(IF(RTD("tos.rtd",,"IMPL_VOL","."&amp;D$2&amp;D$1&amp;"P"&amp;$A22)="N/A",0,RTD("tos.rtd",,"IMPL_VOL","."&amp;D$2&amp;D$1&amp;"P"&amp;$A22))),0)-IFERROR(VALUE(IF(RTD("tos.rtd",,"IMPL_VOL","."&amp;D$2&amp;D$1&amp;"C"&amp;$A22)="N/A",0,RTD("tos.rtd",,"IMPL_VOL","."&amp;D$2&amp;D$1&amp;"C"&amp;$A22))),0),IF($A$2="MAXPAIN",IF($A$4&gt;$A22,($A$4-$A22)*IF(RTD("tos.rtd",,"OPEN_INT","."&amp;D$2&amp;D$1&amp;"C"&amp;$A22)="N/A",0,RTD("tos.rtd",,"OPEN_INT","."&amp;D$2&amp;D$1&amp;"C"&amp;$A22)),0)+IF($A$4&lt;$A22,($A$5-$A$4)*IF(RTD("tos.rtd",,"OPEN_INT","."&amp;D$2&amp;D$1&amp;"P"&amp;$A22)="N/A",0,RTD("tos.rtd",,"OPEN_INT","."&amp;D$2&amp;D$1&amp;"P"&amp;$A22)),0),IF($X$1="ABS",IF(RTD("tos.rtd",,$A$2,"."&amp;D$2&amp;D$1&amp;"C"&amp;$A22)="N/A",0,RTD("tos.rtd",,$A$2,"."&amp;D$2&amp;D$1&amp;"C"&amp;$A22))+IF(RTD("tos.rtd",,$A$2,"."&amp;D$2&amp;D$1&amp;"P"&amp;$A22)="N/A",0,RTD("tos.rtd",,$A$2,"."&amp;D$2&amp;D$1&amp;"P"&amp;$A22)),IF(RTD("tos.rtd",,$A$2,"."&amp;D$2&amp;D$1&amp;"C"&amp;$A22)="N/A",0,RTD("tos.rtd",,$A$2,"."&amp;D$2&amp;D$1&amp;"C"&amp;$A22))-IF(RTD("tos.rtd",,$A$2,"."&amp;D$2&amp;D$1&amp;"P"&amp;$A22)="N/A",0,RTD("tos.rtd",,$A$2,"."&amp;D$2&amp;D$1&amp;"P"&amp;$A22))))))))))</f>
        <v>0</v>
      </c>
      <c r="E22" s="12">
        <f ca="1">IF($A$2="PREMIUM_OI",IFERROR(IF($X$1="ABS",(100*RTD("tos.rtd",,"OPEN_INT","."&amp;E$2&amp;E$1&amp;"C"&amp;$A22)*RTD("tos.rtd",,"LAST","."&amp;E$2&amp;E$1&amp;"C"&amp;$A22)+100*RTD("tos.rtd",,"OPEN_INT","."&amp;E$2&amp;E$1&amp;"P"&amp;$A22)*RTD("tos.rtd",,"LAST","."&amp;E$2&amp;E$1&amp;"P"&amp;$A22))/1000000,(100*RTD("tos.rtd",,"OPEN_INT","."&amp;E$2&amp;E$1&amp;"C"&amp;$A22)*RTD("tos.rtd",,"LAST","."&amp;E$2&amp;E$1&amp;"C"&amp;$A22)-100*RTD("tos.rtd",,"OPEN_INT","."&amp;E$2&amp;E$1&amp;"P"&amp;$A22)*RTD("tos.rtd",,"LAST","."&amp;E$2&amp;E$1&amp;"P"&amp;$A22))/1000000),0),IF($A$2="PREMIUM",IFERROR(IF($X$1="ABS",(100*RTD("tos.rtd",,"VOLUME","."&amp;E$2&amp;E$1&amp;"C"&amp;$A22)*RTD("tos.rtd",,"LAST","."&amp;E$2&amp;E$1&amp;"C"&amp;$A22)+100*RTD("tos.rtd",,"VOLUME","."&amp;E$2&amp;E$1&amp;"P"&amp;$A22)*RTD("tos.rtd",,"LAST","."&amp;E$2&amp;E$1&amp;"P"&amp;$A22))/1000000,(100*RTD("tos.rtd",,"VOLUME","."&amp;E$2&amp;E$1&amp;"C"&amp;$A22)*RTD("tos.rtd",,"LAST","."&amp;E$2&amp;E$1&amp;"C"&amp;$A22)-100*RTD("tos.rtd",,"VOLUME","."&amp;E$2&amp;E$1&amp;"P"&amp;$A22)*RTD("tos.rtd",,"LAST","."&amp;E$2&amp;E$1&amp;"P"&amp;$A22))/1000000),0),IF($A$2="DEX",IFERROR(IF($X$1="ABS",(100*RTD("tos.rtd",,"OPEN_INT","."&amp;E$2&amp;E$1&amp;"C"&amp;$A22)*RTD("tos.rtd",,"DELTA","."&amp;E$2&amp;E$1&amp;"C"&amp;$A22)+100*RTD("tos.rtd",,"OPEN_INT","."&amp;E$2&amp;E$1&amp;"P"&amp;$A22)*RTD("tos.rtd",,"DELTA","."&amp;E$2&amp;E$1&amp;"P"&amp;$A22))/1000,(100*RTD("tos.rtd",,"OPEN_INT","."&amp;E$2&amp;E$1&amp;"C"&amp;$A22)*RTD("tos.rtd",,"DELTA","."&amp;E$2&amp;E$1&amp;"C"&amp;$A22)-100*RTD("tos.rtd",,"OPEN_INT","."&amp;E$2&amp;E$1&amp;"P"&amp;$A22)*RTD("tos.rtd",,"DELTA","."&amp;E$2&amp;E$1&amp;"P"&amp;$A22))/1000),0),IF($A$2="VEX",IFERROR(IF($X$1="ABS",($A$4*$A$4*RTD("tos.rtd",,"VOLUME","."&amp;E$2&amp;E$1&amp;"C"&amp;$A22)*RTD("tos.rtd",,"GAMMA","."&amp;E$2&amp;E$1&amp;"C"&amp;$A22)+$A$4*$A$4*RTD("tos.rtd",,"VOLUME","."&amp;E$2&amp;E$1&amp;"P"&amp;$A22)*RTD("tos.rtd",,"GAMMA","."&amp;E$2&amp;E$1&amp;"P"&amp;$A22))/1000000,($A$4*$A$4*RTD("tos.rtd",,"VOLUME","."&amp;E$2&amp;E$1&amp;"C"&amp;$A22)*RTD("tos.rtd",,"GAMMA","."&amp;E$2&amp;E$1&amp;"C"&amp;$A22)-$A$4*$A$4*RTD("tos.rtd",,"VOLUME","."&amp;E$2&amp;E$1&amp;"P"&amp;$A22)*RTD("tos.rtd",,"GAMMA","."&amp;E$2&amp;E$1&amp;"P"&amp;$A22))/1000000),0),IF($A$2="GEX",IFERROR(IF($X$1="ABS",($A$4*$A$4*RTD("tos.rtd",,"OPEN_INT","."&amp;E$2&amp;E$1&amp;"C"&amp;$A22)*RTD("tos.rtd",,"GAMMA","."&amp;E$2&amp;E$1&amp;"C"&amp;$A22)+$A$4*$A$4*RTD("tos.rtd",,"OPEN_INT","."&amp;E$2&amp;E$1&amp;"P"&amp;$A22)*RTD("tos.rtd",,"GAMMA","."&amp;E$2&amp;E$1&amp;"P"&amp;$A22))/1000000,($A$4*$A$4*RTD("tos.rtd",,"OPEN_INT","."&amp;E$2&amp;E$1&amp;"C"&amp;$A22)*RTD("tos.rtd",,"GAMMA","."&amp;E$2&amp;E$1&amp;"C"&amp;$A22)-$A$4*$A$4*RTD("tos.rtd",,"OPEN_INT","."&amp;E$2&amp;E$1&amp;"P"&amp;$A22)*RTD("tos.rtd",,"GAMMA","."&amp;E$2&amp;E$1&amp;"P"&amp;$A22))/1000000),0),IF($A$2="SKEW",IFERROR(VALUE(IF(RTD("tos.rtd",,"IMPL_VOL","."&amp;E$2&amp;E$1&amp;"P"&amp;$A22)="N/A",0,RTD("tos.rtd",,"IMPL_VOL","."&amp;E$2&amp;E$1&amp;"P"&amp;$A22))),0)-IFERROR(VALUE(IF(RTD("tos.rtd",,"IMPL_VOL","."&amp;E$2&amp;E$1&amp;"C"&amp;$A22)="N/A",0,RTD("tos.rtd",,"IMPL_VOL","."&amp;E$2&amp;E$1&amp;"C"&amp;$A22))),0),IF($A$2="MAXPAIN",IF($A$4&gt;$A22,($A$4-$A22)*IF(RTD("tos.rtd",,"OPEN_INT","."&amp;E$2&amp;E$1&amp;"C"&amp;$A22)="N/A",0,RTD("tos.rtd",,"OPEN_INT","."&amp;E$2&amp;E$1&amp;"C"&amp;$A22)),0)+IF($A$4&lt;$A22,($A$5-$A$4)*IF(RTD("tos.rtd",,"OPEN_INT","."&amp;E$2&amp;E$1&amp;"P"&amp;$A22)="N/A",0,RTD("tos.rtd",,"OPEN_INT","."&amp;E$2&amp;E$1&amp;"P"&amp;$A22)),0),IF($X$1="ABS",IF(RTD("tos.rtd",,$A$2,"."&amp;E$2&amp;E$1&amp;"C"&amp;$A22)="N/A",0,RTD("tos.rtd",,$A$2,"."&amp;E$2&amp;E$1&amp;"C"&amp;$A22))+IF(RTD("tos.rtd",,$A$2,"."&amp;E$2&amp;E$1&amp;"P"&amp;$A22)="N/A",0,RTD("tos.rtd",,$A$2,"."&amp;E$2&amp;E$1&amp;"P"&amp;$A22)),IF(RTD("tos.rtd",,$A$2,"."&amp;E$2&amp;E$1&amp;"C"&amp;$A22)="N/A",0,RTD("tos.rtd",,$A$2,"."&amp;E$2&amp;E$1&amp;"C"&amp;$A22))-IF(RTD("tos.rtd",,$A$2,"."&amp;E$2&amp;E$1&amp;"P"&amp;$A22)="N/A",0,RTD("tos.rtd",,$A$2,"."&amp;E$2&amp;E$1&amp;"P"&amp;$A22))))))))))</f>
        <v>0</v>
      </c>
      <c r="F22" s="12">
        <f ca="1">IF($A$2="PREMIUM_OI",IFERROR(IF($X$1="ABS",(100*RTD("tos.rtd",,"OPEN_INT","."&amp;F$2&amp;F$1&amp;"C"&amp;$A22)*RTD("tos.rtd",,"LAST","."&amp;F$2&amp;F$1&amp;"C"&amp;$A22)+100*RTD("tos.rtd",,"OPEN_INT","."&amp;F$2&amp;F$1&amp;"P"&amp;$A22)*RTD("tos.rtd",,"LAST","."&amp;F$2&amp;F$1&amp;"P"&amp;$A22))/1000000,(100*RTD("tos.rtd",,"OPEN_INT","."&amp;F$2&amp;F$1&amp;"C"&amp;$A22)*RTD("tos.rtd",,"LAST","."&amp;F$2&amp;F$1&amp;"C"&amp;$A22)-100*RTD("tos.rtd",,"OPEN_INT","."&amp;F$2&amp;F$1&amp;"P"&amp;$A22)*RTD("tos.rtd",,"LAST","."&amp;F$2&amp;F$1&amp;"P"&amp;$A22))/1000000),0),IF($A$2="PREMIUM",IFERROR(IF($X$1="ABS",(100*RTD("tos.rtd",,"VOLUME","."&amp;F$2&amp;F$1&amp;"C"&amp;$A22)*RTD("tos.rtd",,"LAST","."&amp;F$2&amp;F$1&amp;"C"&amp;$A22)+100*RTD("tos.rtd",,"VOLUME","."&amp;F$2&amp;F$1&amp;"P"&amp;$A22)*RTD("tos.rtd",,"LAST","."&amp;F$2&amp;F$1&amp;"P"&amp;$A22))/1000000,(100*RTD("tos.rtd",,"VOLUME","."&amp;F$2&amp;F$1&amp;"C"&amp;$A22)*RTD("tos.rtd",,"LAST","."&amp;F$2&amp;F$1&amp;"C"&amp;$A22)-100*RTD("tos.rtd",,"VOLUME","."&amp;F$2&amp;F$1&amp;"P"&amp;$A22)*RTD("tos.rtd",,"LAST","."&amp;F$2&amp;F$1&amp;"P"&amp;$A22))/1000000),0),IF($A$2="DEX",IFERROR(IF($X$1="ABS",(100*RTD("tos.rtd",,"OPEN_INT","."&amp;F$2&amp;F$1&amp;"C"&amp;$A22)*RTD("tos.rtd",,"DELTA","."&amp;F$2&amp;F$1&amp;"C"&amp;$A22)+100*RTD("tos.rtd",,"OPEN_INT","."&amp;F$2&amp;F$1&amp;"P"&amp;$A22)*RTD("tos.rtd",,"DELTA","."&amp;F$2&amp;F$1&amp;"P"&amp;$A22))/1000,(100*RTD("tos.rtd",,"OPEN_INT","."&amp;F$2&amp;F$1&amp;"C"&amp;$A22)*RTD("tos.rtd",,"DELTA","."&amp;F$2&amp;F$1&amp;"C"&amp;$A22)-100*RTD("tos.rtd",,"OPEN_INT","."&amp;F$2&amp;F$1&amp;"P"&amp;$A22)*RTD("tos.rtd",,"DELTA","."&amp;F$2&amp;F$1&amp;"P"&amp;$A22))/1000),0),IF($A$2="VEX",IFERROR(IF($X$1="ABS",($A$4*$A$4*RTD("tos.rtd",,"VOLUME","."&amp;F$2&amp;F$1&amp;"C"&amp;$A22)*RTD("tos.rtd",,"GAMMA","."&amp;F$2&amp;F$1&amp;"C"&amp;$A22)+$A$4*$A$4*RTD("tos.rtd",,"VOLUME","."&amp;F$2&amp;F$1&amp;"P"&amp;$A22)*RTD("tos.rtd",,"GAMMA","."&amp;F$2&amp;F$1&amp;"P"&amp;$A22))/1000000,($A$4*$A$4*RTD("tos.rtd",,"VOLUME","."&amp;F$2&amp;F$1&amp;"C"&amp;$A22)*RTD("tos.rtd",,"GAMMA","."&amp;F$2&amp;F$1&amp;"C"&amp;$A22)-$A$4*$A$4*RTD("tos.rtd",,"VOLUME","."&amp;F$2&amp;F$1&amp;"P"&amp;$A22)*RTD("tos.rtd",,"GAMMA","."&amp;F$2&amp;F$1&amp;"P"&amp;$A22))/1000000),0),IF($A$2="GEX",IFERROR(IF($X$1="ABS",($A$4*$A$4*RTD("tos.rtd",,"OPEN_INT","."&amp;F$2&amp;F$1&amp;"C"&amp;$A22)*RTD("tos.rtd",,"GAMMA","."&amp;F$2&amp;F$1&amp;"C"&amp;$A22)+$A$4*$A$4*RTD("tos.rtd",,"OPEN_INT","."&amp;F$2&amp;F$1&amp;"P"&amp;$A22)*RTD("tos.rtd",,"GAMMA","."&amp;F$2&amp;F$1&amp;"P"&amp;$A22))/1000000,($A$4*$A$4*RTD("tos.rtd",,"OPEN_INT","."&amp;F$2&amp;F$1&amp;"C"&amp;$A22)*RTD("tos.rtd",,"GAMMA","."&amp;F$2&amp;F$1&amp;"C"&amp;$A22)-$A$4*$A$4*RTD("tos.rtd",,"OPEN_INT","."&amp;F$2&amp;F$1&amp;"P"&amp;$A22)*RTD("tos.rtd",,"GAMMA","."&amp;F$2&amp;F$1&amp;"P"&amp;$A22))/1000000),0),IF($A$2="SKEW",IFERROR(VALUE(IF(RTD("tos.rtd",,"IMPL_VOL","."&amp;F$2&amp;F$1&amp;"P"&amp;$A22)="N/A",0,RTD("tos.rtd",,"IMPL_VOL","."&amp;F$2&amp;F$1&amp;"P"&amp;$A22))),0)-IFERROR(VALUE(IF(RTD("tos.rtd",,"IMPL_VOL","."&amp;F$2&amp;F$1&amp;"C"&amp;$A22)="N/A",0,RTD("tos.rtd",,"IMPL_VOL","."&amp;F$2&amp;F$1&amp;"C"&amp;$A22))),0),IF($A$2="MAXPAIN",IF($A$4&gt;$A22,($A$4-$A22)*IF(RTD("tos.rtd",,"OPEN_INT","."&amp;F$2&amp;F$1&amp;"C"&amp;$A22)="N/A",0,RTD("tos.rtd",,"OPEN_INT","."&amp;F$2&amp;F$1&amp;"C"&amp;$A22)),0)+IF($A$4&lt;$A22,($A$5-$A$4)*IF(RTD("tos.rtd",,"OPEN_INT","."&amp;F$2&amp;F$1&amp;"P"&amp;$A22)="N/A",0,RTD("tos.rtd",,"OPEN_INT","."&amp;F$2&amp;F$1&amp;"P"&amp;$A22)),0),IF($X$1="ABS",IF(RTD("tos.rtd",,$A$2,"."&amp;F$2&amp;F$1&amp;"C"&amp;$A22)="N/A",0,RTD("tos.rtd",,$A$2,"."&amp;F$2&amp;F$1&amp;"C"&amp;$A22))+IF(RTD("tos.rtd",,$A$2,"."&amp;F$2&amp;F$1&amp;"P"&amp;$A22)="N/A",0,RTD("tos.rtd",,$A$2,"."&amp;F$2&amp;F$1&amp;"P"&amp;$A22)),IF(RTD("tos.rtd",,$A$2,"."&amp;F$2&amp;F$1&amp;"C"&amp;$A22)="N/A",0,RTD("tos.rtd",,$A$2,"."&amp;F$2&amp;F$1&amp;"C"&amp;$A22))-IF(RTD("tos.rtd",,$A$2,"."&amp;F$2&amp;F$1&amp;"P"&amp;$A22)="N/A",0,RTD("tos.rtd",,$A$2,"."&amp;F$2&amp;F$1&amp;"P"&amp;$A22))))))))))</f>
        <v>0</v>
      </c>
      <c r="G22" s="54">
        <f ca="1">IF($A$2="PREMIUM_OI",IFERROR(IF($X$1="ABS",(100*RTD("tos.rtd",,"OPEN_INT","."&amp;G$2&amp;G$1&amp;"C"&amp;$A22)*RTD("tos.rtd",,"LAST","."&amp;G$2&amp;G$1&amp;"C"&amp;$A22)+100*RTD("tos.rtd",,"OPEN_INT","."&amp;G$2&amp;G$1&amp;"P"&amp;$A22)*RTD("tos.rtd",,"LAST","."&amp;G$2&amp;G$1&amp;"P"&amp;$A22))/1000000,(100*RTD("tos.rtd",,"OPEN_INT","."&amp;G$2&amp;G$1&amp;"C"&amp;$A22)*RTD("tos.rtd",,"LAST","."&amp;G$2&amp;G$1&amp;"C"&amp;$A22)-100*RTD("tos.rtd",,"OPEN_INT","."&amp;G$2&amp;G$1&amp;"P"&amp;$A22)*RTD("tos.rtd",,"LAST","."&amp;G$2&amp;G$1&amp;"P"&amp;$A22))/1000000),0),IF($A$2="PREMIUM",IFERROR(IF($X$1="ABS",(100*RTD("tos.rtd",,"VOLUME","."&amp;G$2&amp;G$1&amp;"C"&amp;$A22)*RTD("tos.rtd",,"LAST","."&amp;G$2&amp;G$1&amp;"C"&amp;$A22)+100*RTD("tos.rtd",,"VOLUME","."&amp;G$2&amp;G$1&amp;"P"&amp;$A22)*RTD("tos.rtd",,"LAST","."&amp;G$2&amp;G$1&amp;"P"&amp;$A22))/1000000,(100*RTD("tos.rtd",,"VOLUME","."&amp;G$2&amp;G$1&amp;"C"&amp;$A22)*RTD("tos.rtd",,"LAST","."&amp;G$2&amp;G$1&amp;"C"&amp;$A22)-100*RTD("tos.rtd",,"VOLUME","."&amp;G$2&amp;G$1&amp;"P"&amp;$A22)*RTD("tos.rtd",,"LAST","."&amp;G$2&amp;G$1&amp;"P"&amp;$A22))/1000000),0),IF($A$2="DEX",IFERROR(IF($X$1="ABS",(100*RTD("tos.rtd",,"OPEN_INT","."&amp;G$2&amp;G$1&amp;"C"&amp;$A22)*RTD("tos.rtd",,"DELTA","."&amp;G$2&amp;G$1&amp;"C"&amp;$A22)+100*RTD("tos.rtd",,"OPEN_INT","."&amp;G$2&amp;G$1&amp;"P"&amp;$A22)*RTD("tos.rtd",,"DELTA","."&amp;G$2&amp;G$1&amp;"P"&amp;$A22))/1000,(100*RTD("tos.rtd",,"OPEN_INT","."&amp;G$2&amp;G$1&amp;"C"&amp;$A22)*RTD("tos.rtd",,"DELTA","."&amp;G$2&amp;G$1&amp;"C"&amp;$A22)-100*RTD("tos.rtd",,"OPEN_INT","."&amp;G$2&amp;G$1&amp;"P"&amp;$A22)*RTD("tos.rtd",,"DELTA","."&amp;G$2&amp;G$1&amp;"P"&amp;$A22))/1000),0),IF($A$2="VEX",IFERROR(IF($X$1="ABS",($A$4*$A$4*RTD("tos.rtd",,"VOLUME","."&amp;G$2&amp;G$1&amp;"C"&amp;$A22)*RTD("tos.rtd",,"GAMMA","."&amp;G$2&amp;G$1&amp;"C"&amp;$A22)+$A$4*$A$4*RTD("tos.rtd",,"VOLUME","."&amp;G$2&amp;G$1&amp;"P"&amp;$A22)*RTD("tos.rtd",,"GAMMA","."&amp;G$2&amp;G$1&amp;"P"&amp;$A22))/1000000,($A$4*$A$4*RTD("tos.rtd",,"VOLUME","."&amp;G$2&amp;G$1&amp;"C"&amp;$A22)*RTD("tos.rtd",,"GAMMA","."&amp;G$2&amp;G$1&amp;"C"&amp;$A22)-$A$4*$A$4*RTD("tos.rtd",,"VOLUME","."&amp;G$2&amp;G$1&amp;"P"&amp;$A22)*RTD("tos.rtd",,"GAMMA","."&amp;G$2&amp;G$1&amp;"P"&amp;$A22))/1000000),0),IF($A$2="GEX",IFERROR(IF($X$1="ABS",($A$4*$A$4*RTD("tos.rtd",,"OPEN_INT","."&amp;G$2&amp;G$1&amp;"C"&amp;$A22)*RTD("tos.rtd",,"GAMMA","."&amp;G$2&amp;G$1&amp;"C"&amp;$A22)+$A$4*$A$4*RTD("tos.rtd",,"OPEN_INT","."&amp;G$2&amp;G$1&amp;"P"&amp;$A22)*RTD("tos.rtd",,"GAMMA","."&amp;G$2&amp;G$1&amp;"P"&amp;$A22))/1000000,($A$4*$A$4*RTD("tos.rtd",,"OPEN_INT","."&amp;G$2&amp;G$1&amp;"C"&amp;$A22)*RTD("tos.rtd",,"GAMMA","."&amp;G$2&amp;G$1&amp;"C"&amp;$A22)-$A$4*$A$4*RTD("tos.rtd",,"OPEN_INT","."&amp;G$2&amp;G$1&amp;"P"&amp;$A22)*RTD("tos.rtd",,"GAMMA","."&amp;G$2&amp;G$1&amp;"P"&amp;$A22))/1000000),0),IF($A$2="SKEW",IFERROR(VALUE(IF(RTD("tos.rtd",,"IMPL_VOL","."&amp;G$2&amp;G$1&amp;"P"&amp;$A22)="N/A",0,RTD("tos.rtd",,"IMPL_VOL","."&amp;G$2&amp;G$1&amp;"P"&amp;$A22))),0)-IFERROR(VALUE(IF(RTD("tos.rtd",,"IMPL_VOL","."&amp;G$2&amp;G$1&amp;"C"&amp;$A22)="N/A",0,RTD("tos.rtd",,"IMPL_VOL","."&amp;G$2&amp;G$1&amp;"C"&amp;$A22))),0),IF($A$2="MAXPAIN",IF($A$4&gt;$A22,($A$4-$A22)*IF(RTD("tos.rtd",,"OPEN_INT","."&amp;G$2&amp;G$1&amp;"C"&amp;$A22)="N/A",0,RTD("tos.rtd",,"OPEN_INT","."&amp;G$2&amp;G$1&amp;"C"&amp;$A22)),0)+IF($A$4&lt;$A22,($A$5-$A$4)*IF(RTD("tos.rtd",,"OPEN_INT","."&amp;G$2&amp;G$1&amp;"P"&amp;$A22)="N/A",0,RTD("tos.rtd",,"OPEN_INT","."&amp;G$2&amp;G$1&amp;"P"&amp;$A22)),0),IF($X$1="ABS",IF(RTD("tos.rtd",,$A$2,"."&amp;G$2&amp;G$1&amp;"C"&amp;$A22)="N/A",0,RTD("tos.rtd",,$A$2,"."&amp;G$2&amp;G$1&amp;"C"&amp;$A22))+IF(RTD("tos.rtd",,$A$2,"."&amp;G$2&amp;G$1&amp;"P"&amp;$A22)="N/A",0,RTD("tos.rtd",,$A$2,"."&amp;G$2&amp;G$1&amp;"P"&amp;$A22)),IF(RTD("tos.rtd",,$A$2,"."&amp;G$2&amp;G$1&amp;"C"&amp;$A22)="N/A",0,RTD("tos.rtd",,$A$2,"."&amp;G$2&amp;G$1&amp;"C"&amp;$A22))-IF(RTD("tos.rtd",,$A$2,"."&amp;G$2&amp;G$1&amp;"P"&amp;$A22)="N/A",0,RTD("tos.rtd",,$A$2,"."&amp;G$2&amp;G$1&amp;"P"&amp;$A22))))))))))</f>
        <v>0</v>
      </c>
      <c r="H22" s="14">
        <f ca="1">IF($A$2="PREMIUM_OI",IFERROR(IF($X$1="ABS",(100*RTD("tos.rtd",,"OPEN_INT","."&amp;H$2&amp;H$1&amp;"C"&amp;$A22)*RTD("tos.rtd",,"LAST","."&amp;H$2&amp;H$1&amp;"C"&amp;$A22)+100*RTD("tos.rtd",,"OPEN_INT","."&amp;H$2&amp;H$1&amp;"P"&amp;$A22)*RTD("tos.rtd",,"LAST","."&amp;H$2&amp;H$1&amp;"P"&amp;$A22))/1000000,(100*RTD("tos.rtd",,"OPEN_INT","."&amp;H$2&amp;H$1&amp;"C"&amp;$A22)*RTD("tos.rtd",,"LAST","."&amp;H$2&amp;H$1&amp;"C"&amp;$A22)-100*RTD("tos.rtd",,"OPEN_INT","."&amp;H$2&amp;H$1&amp;"P"&amp;$A22)*RTD("tos.rtd",,"LAST","."&amp;H$2&amp;H$1&amp;"P"&amp;$A22))/1000000),0),IF($A$2="PREMIUM",IFERROR(IF($X$1="ABS",(100*RTD("tos.rtd",,"VOLUME","."&amp;H$2&amp;H$1&amp;"C"&amp;$A22)*RTD("tos.rtd",,"LAST","."&amp;H$2&amp;H$1&amp;"C"&amp;$A22)+100*RTD("tos.rtd",,"VOLUME","."&amp;H$2&amp;H$1&amp;"P"&amp;$A22)*RTD("tos.rtd",,"LAST","."&amp;H$2&amp;H$1&amp;"P"&amp;$A22))/1000000,(100*RTD("tos.rtd",,"VOLUME","."&amp;H$2&amp;H$1&amp;"C"&amp;$A22)*RTD("tos.rtd",,"LAST","."&amp;H$2&amp;H$1&amp;"C"&amp;$A22)-100*RTD("tos.rtd",,"VOLUME","."&amp;H$2&amp;H$1&amp;"P"&amp;$A22)*RTD("tos.rtd",,"LAST","."&amp;H$2&amp;H$1&amp;"P"&amp;$A22))/1000000),0),IF($A$2="DEX",IFERROR(IF($X$1="ABS",(100*RTD("tos.rtd",,"OPEN_INT","."&amp;H$2&amp;H$1&amp;"C"&amp;$A22)*RTD("tos.rtd",,"DELTA","."&amp;H$2&amp;H$1&amp;"C"&amp;$A22)+100*RTD("tos.rtd",,"OPEN_INT","."&amp;H$2&amp;H$1&amp;"P"&amp;$A22)*RTD("tos.rtd",,"DELTA","."&amp;H$2&amp;H$1&amp;"P"&amp;$A22))/1000,(100*RTD("tos.rtd",,"OPEN_INT","."&amp;H$2&amp;H$1&amp;"C"&amp;$A22)*RTD("tos.rtd",,"DELTA","."&amp;H$2&amp;H$1&amp;"C"&amp;$A22)-100*RTD("tos.rtd",,"OPEN_INT","."&amp;H$2&amp;H$1&amp;"P"&amp;$A22)*RTD("tos.rtd",,"DELTA","."&amp;H$2&amp;H$1&amp;"P"&amp;$A22))/1000),0),IF($A$2="VEX",IFERROR(IF($X$1="ABS",($A$4*$A$4*RTD("tos.rtd",,"VOLUME","."&amp;H$2&amp;H$1&amp;"C"&amp;$A22)*RTD("tos.rtd",,"GAMMA","."&amp;H$2&amp;H$1&amp;"C"&amp;$A22)+$A$4*$A$4*RTD("tos.rtd",,"VOLUME","."&amp;H$2&amp;H$1&amp;"P"&amp;$A22)*RTD("tos.rtd",,"GAMMA","."&amp;H$2&amp;H$1&amp;"P"&amp;$A22))/1000000,($A$4*$A$4*RTD("tos.rtd",,"VOLUME","."&amp;H$2&amp;H$1&amp;"C"&amp;$A22)*RTD("tos.rtd",,"GAMMA","."&amp;H$2&amp;H$1&amp;"C"&amp;$A22)-$A$4*$A$4*RTD("tos.rtd",,"VOLUME","."&amp;H$2&amp;H$1&amp;"P"&amp;$A22)*RTD("tos.rtd",,"GAMMA","."&amp;H$2&amp;H$1&amp;"P"&amp;$A22))/1000000),0),IF($A$2="GEX",IFERROR(IF($X$1="ABS",($A$4*$A$4*RTD("tos.rtd",,"OPEN_INT","."&amp;H$2&amp;H$1&amp;"C"&amp;$A22)*RTD("tos.rtd",,"GAMMA","."&amp;H$2&amp;H$1&amp;"C"&amp;$A22)+$A$4*$A$4*RTD("tos.rtd",,"OPEN_INT","."&amp;H$2&amp;H$1&amp;"P"&amp;$A22)*RTD("tos.rtd",,"GAMMA","."&amp;H$2&amp;H$1&amp;"P"&amp;$A22))/1000000,($A$4*$A$4*RTD("tos.rtd",,"OPEN_INT","."&amp;H$2&amp;H$1&amp;"C"&amp;$A22)*RTD("tos.rtd",,"GAMMA","."&amp;H$2&amp;H$1&amp;"C"&amp;$A22)-$A$4*$A$4*RTD("tos.rtd",,"OPEN_INT","."&amp;H$2&amp;H$1&amp;"P"&amp;$A22)*RTD("tos.rtd",,"GAMMA","."&amp;H$2&amp;H$1&amp;"P"&amp;$A22))/1000000),0),IF($A$2="SKEW",IFERROR(VALUE(IF(RTD("tos.rtd",,"IMPL_VOL","."&amp;H$2&amp;H$1&amp;"P"&amp;$A22)="N/A",0,RTD("tos.rtd",,"IMPL_VOL","."&amp;H$2&amp;H$1&amp;"P"&amp;$A22))),0)-IFERROR(VALUE(IF(RTD("tos.rtd",,"IMPL_VOL","."&amp;H$2&amp;H$1&amp;"C"&amp;$A22)="N/A",0,RTD("tos.rtd",,"IMPL_VOL","."&amp;H$2&amp;H$1&amp;"C"&amp;$A22))),0),IF($A$2="MAXPAIN",IF($A$4&gt;$A22,($A$4-$A22)*IF(RTD("tos.rtd",,"OPEN_INT","."&amp;H$2&amp;H$1&amp;"C"&amp;$A22)="N/A",0,RTD("tos.rtd",,"OPEN_INT","."&amp;H$2&amp;H$1&amp;"C"&amp;$A22)),0)+IF($A$4&lt;$A22,($A$5-$A$4)*IF(RTD("tos.rtd",,"OPEN_INT","."&amp;H$2&amp;H$1&amp;"P"&amp;$A22)="N/A",0,RTD("tos.rtd",,"OPEN_INT","."&amp;H$2&amp;H$1&amp;"P"&amp;$A22)),0),IF($X$1="ABS",IF(RTD("tos.rtd",,$A$2,"."&amp;H$2&amp;H$1&amp;"C"&amp;$A22)="N/A",0,RTD("tos.rtd",,$A$2,"."&amp;H$2&amp;H$1&amp;"C"&amp;$A22))+IF(RTD("tos.rtd",,$A$2,"."&amp;H$2&amp;H$1&amp;"P"&amp;$A22)="N/A",0,RTD("tos.rtd",,$A$2,"."&amp;H$2&amp;H$1&amp;"P"&amp;$A22)),IF(RTD("tos.rtd",,$A$2,"."&amp;H$2&amp;H$1&amp;"C"&amp;$A22)="N/A",0,RTD("tos.rtd",,$A$2,"."&amp;H$2&amp;H$1&amp;"C"&amp;$A22))-IF(RTD("tos.rtd",,$A$2,"."&amp;H$2&amp;H$1&amp;"P"&amp;$A22)="N/A",0,RTD("tos.rtd",,$A$2,"."&amp;H$2&amp;H$1&amp;"P"&amp;$A22))))))))))</f>
        <v>0</v>
      </c>
      <c r="I22" s="12">
        <f ca="1">IF($A$2="PREMIUM_OI",IFERROR(IF($X$1="ABS",(100*RTD("tos.rtd",,"OPEN_INT","."&amp;I$2&amp;I$1&amp;"C"&amp;$A22)*RTD("tos.rtd",,"LAST","."&amp;I$2&amp;I$1&amp;"C"&amp;$A22)+100*RTD("tos.rtd",,"OPEN_INT","."&amp;I$2&amp;I$1&amp;"P"&amp;$A22)*RTD("tos.rtd",,"LAST","."&amp;I$2&amp;I$1&amp;"P"&amp;$A22))/1000000,(100*RTD("tos.rtd",,"OPEN_INT","."&amp;I$2&amp;I$1&amp;"C"&amp;$A22)*RTD("tos.rtd",,"LAST","."&amp;I$2&amp;I$1&amp;"C"&amp;$A22)-100*RTD("tos.rtd",,"OPEN_INT","."&amp;I$2&amp;I$1&amp;"P"&amp;$A22)*RTD("tos.rtd",,"LAST","."&amp;I$2&amp;I$1&amp;"P"&amp;$A22))/1000000),0),IF($A$2="PREMIUM",IFERROR(IF($X$1="ABS",(100*RTD("tos.rtd",,"VOLUME","."&amp;I$2&amp;I$1&amp;"C"&amp;$A22)*RTD("tos.rtd",,"LAST","."&amp;I$2&amp;I$1&amp;"C"&amp;$A22)+100*RTD("tos.rtd",,"VOLUME","."&amp;I$2&amp;I$1&amp;"P"&amp;$A22)*RTD("tos.rtd",,"LAST","."&amp;I$2&amp;I$1&amp;"P"&amp;$A22))/1000000,(100*RTD("tos.rtd",,"VOLUME","."&amp;I$2&amp;I$1&amp;"C"&amp;$A22)*RTD("tos.rtd",,"LAST","."&amp;I$2&amp;I$1&amp;"C"&amp;$A22)-100*RTD("tos.rtd",,"VOLUME","."&amp;I$2&amp;I$1&amp;"P"&amp;$A22)*RTD("tos.rtd",,"LAST","."&amp;I$2&amp;I$1&amp;"P"&amp;$A22))/1000000),0),IF($A$2="DEX",IFERROR(IF($X$1="ABS",(100*RTD("tos.rtd",,"OPEN_INT","."&amp;I$2&amp;I$1&amp;"C"&amp;$A22)*RTD("tos.rtd",,"DELTA","."&amp;I$2&amp;I$1&amp;"C"&amp;$A22)+100*RTD("tos.rtd",,"OPEN_INT","."&amp;I$2&amp;I$1&amp;"P"&amp;$A22)*RTD("tos.rtd",,"DELTA","."&amp;I$2&amp;I$1&amp;"P"&amp;$A22))/1000,(100*RTD("tos.rtd",,"OPEN_INT","."&amp;I$2&amp;I$1&amp;"C"&amp;$A22)*RTD("tos.rtd",,"DELTA","."&amp;I$2&amp;I$1&amp;"C"&amp;$A22)-100*RTD("tos.rtd",,"OPEN_INT","."&amp;I$2&amp;I$1&amp;"P"&amp;$A22)*RTD("tos.rtd",,"DELTA","."&amp;I$2&amp;I$1&amp;"P"&amp;$A22))/1000),0),IF($A$2="VEX",IFERROR(IF($X$1="ABS",($A$4*$A$4*RTD("tos.rtd",,"VOLUME","."&amp;I$2&amp;I$1&amp;"C"&amp;$A22)*RTD("tos.rtd",,"GAMMA","."&amp;I$2&amp;I$1&amp;"C"&amp;$A22)+$A$4*$A$4*RTD("tos.rtd",,"VOLUME","."&amp;I$2&amp;I$1&amp;"P"&amp;$A22)*RTD("tos.rtd",,"GAMMA","."&amp;I$2&amp;I$1&amp;"P"&amp;$A22))/1000000,($A$4*$A$4*RTD("tos.rtd",,"VOLUME","."&amp;I$2&amp;I$1&amp;"C"&amp;$A22)*RTD("tos.rtd",,"GAMMA","."&amp;I$2&amp;I$1&amp;"C"&amp;$A22)-$A$4*$A$4*RTD("tos.rtd",,"VOLUME","."&amp;I$2&amp;I$1&amp;"P"&amp;$A22)*RTD("tos.rtd",,"GAMMA","."&amp;I$2&amp;I$1&amp;"P"&amp;$A22))/1000000),0),IF($A$2="GEX",IFERROR(IF($X$1="ABS",($A$4*$A$4*RTD("tos.rtd",,"OPEN_INT","."&amp;I$2&amp;I$1&amp;"C"&amp;$A22)*RTD("tos.rtd",,"GAMMA","."&amp;I$2&amp;I$1&amp;"C"&amp;$A22)+$A$4*$A$4*RTD("tos.rtd",,"OPEN_INT","."&amp;I$2&amp;I$1&amp;"P"&amp;$A22)*RTD("tos.rtd",,"GAMMA","."&amp;I$2&amp;I$1&amp;"P"&amp;$A22))/1000000,($A$4*$A$4*RTD("tos.rtd",,"OPEN_INT","."&amp;I$2&amp;I$1&amp;"C"&amp;$A22)*RTD("tos.rtd",,"GAMMA","."&amp;I$2&amp;I$1&amp;"C"&amp;$A22)-$A$4*$A$4*RTD("tos.rtd",,"OPEN_INT","."&amp;I$2&amp;I$1&amp;"P"&amp;$A22)*RTD("tos.rtd",,"GAMMA","."&amp;I$2&amp;I$1&amp;"P"&amp;$A22))/1000000),0),IF($A$2="SKEW",IFERROR(VALUE(IF(RTD("tos.rtd",,"IMPL_VOL","."&amp;I$2&amp;I$1&amp;"P"&amp;$A22)="N/A",0,RTD("tos.rtd",,"IMPL_VOL","."&amp;I$2&amp;I$1&amp;"P"&amp;$A22))),0)-IFERROR(VALUE(IF(RTD("tos.rtd",,"IMPL_VOL","."&amp;I$2&amp;I$1&amp;"C"&amp;$A22)="N/A",0,RTD("tos.rtd",,"IMPL_VOL","."&amp;I$2&amp;I$1&amp;"C"&amp;$A22))),0),IF($A$2="MAXPAIN",IF($A$4&gt;$A22,($A$4-$A22)*IF(RTD("tos.rtd",,"OPEN_INT","."&amp;I$2&amp;I$1&amp;"C"&amp;$A22)="N/A",0,RTD("tos.rtd",,"OPEN_INT","."&amp;I$2&amp;I$1&amp;"C"&amp;$A22)),0)+IF($A$4&lt;$A22,($A$5-$A$4)*IF(RTD("tos.rtd",,"OPEN_INT","."&amp;I$2&amp;I$1&amp;"P"&amp;$A22)="N/A",0,RTD("tos.rtd",,"OPEN_INT","."&amp;I$2&amp;I$1&amp;"P"&amp;$A22)),0),IF($X$1="ABS",IF(RTD("tos.rtd",,$A$2,"."&amp;I$2&amp;I$1&amp;"C"&amp;$A22)="N/A",0,RTD("tos.rtd",,$A$2,"."&amp;I$2&amp;I$1&amp;"C"&amp;$A22))+IF(RTD("tos.rtd",,$A$2,"."&amp;I$2&amp;I$1&amp;"P"&amp;$A22)="N/A",0,RTD("tos.rtd",,$A$2,"."&amp;I$2&amp;I$1&amp;"P"&amp;$A22)),IF(RTD("tos.rtd",,$A$2,"."&amp;I$2&amp;I$1&amp;"C"&amp;$A22)="N/A",0,RTD("tos.rtd",,$A$2,"."&amp;I$2&amp;I$1&amp;"C"&amp;$A22))-IF(RTD("tos.rtd",,$A$2,"."&amp;I$2&amp;I$1&amp;"P"&amp;$A22)="N/A",0,RTD("tos.rtd",,$A$2,"."&amp;I$2&amp;I$1&amp;"P"&amp;$A22))))))))))</f>
        <v>0</v>
      </c>
      <c r="J22" s="12">
        <f ca="1">IF($A$2="PREMIUM_OI",IFERROR(IF($X$1="ABS",(100*RTD("tos.rtd",,"OPEN_INT","."&amp;J$2&amp;J$1&amp;"C"&amp;$A22)*RTD("tos.rtd",,"LAST","."&amp;J$2&amp;J$1&amp;"C"&amp;$A22)+100*RTD("tos.rtd",,"OPEN_INT","."&amp;J$2&amp;J$1&amp;"P"&amp;$A22)*RTD("tos.rtd",,"LAST","."&amp;J$2&amp;J$1&amp;"P"&amp;$A22))/1000000,(100*RTD("tos.rtd",,"OPEN_INT","."&amp;J$2&amp;J$1&amp;"C"&amp;$A22)*RTD("tos.rtd",,"LAST","."&amp;J$2&amp;J$1&amp;"C"&amp;$A22)-100*RTD("tos.rtd",,"OPEN_INT","."&amp;J$2&amp;J$1&amp;"P"&amp;$A22)*RTD("tos.rtd",,"LAST","."&amp;J$2&amp;J$1&amp;"P"&amp;$A22))/1000000),0),IF($A$2="PREMIUM",IFERROR(IF($X$1="ABS",(100*RTD("tos.rtd",,"VOLUME","."&amp;J$2&amp;J$1&amp;"C"&amp;$A22)*RTD("tos.rtd",,"LAST","."&amp;J$2&amp;J$1&amp;"C"&amp;$A22)+100*RTD("tos.rtd",,"VOLUME","."&amp;J$2&amp;J$1&amp;"P"&amp;$A22)*RTD("tos.rtd",,"LAST","."&amp;J$2&amp;J$1&amp;"P"&amp;$A22))/1000000,(100*RTD("tos.rtd",,"VOLUME","."&amp;J$2&amp;J$1&amp;"C"&amp;$A22)*RTD("tos.rtd",,"LAST","."&amp;J$2&amp;J$1&amp;"C"&amp;$A22)-100*RTD("tos.rtd",,"VOLUME","."&amp;J$2&amp;J$1&amp;"P"&amp;$A22)*RTD("tos.rtd",,"LAST","."&amp;J$2&amp;J$1&amp;"P"&amp;$A22))/1000000),0),IF($A$2="DEX",IFERROR(IF($X$1="ABS",(100*RTD("tos.rtd",,"OPEN_INT","."&amp;J$2&amp;J$1&amp;"C"&amp;$A22)*RTD("tos.rtd",,"DELTA","."&amp;J$2&amp;J$1&amp;"C"&amp;$A22)+100*RTD("tos.rtd",,"OPEN_INT","."&amp;J$2&amp;J$1&amp;"P"&amp;$A22)*RTD("tos.rtd",,"DELTA","."&amp;J$2&amp;J$1&amp;"P"&amp;$A22))/1000,(100*RTD("tos.rtd",,"OPEN_INT","."&amp;J$2&amp;J$1&amp;"C"&amp;$A22)*RTD("tos.rtd",,"DELTA","."&amp;J$2&amp;J$1&amp;"C"&amp;$A22)-100*RTD("tos.rtd",,"OPEN_INT","."&amp;J$2&amp;J$1&amp;"P"&amp;$A22)*RTD("tos.rtd",,"DELTA","."&amp;J$2&amp;J$1&amp;"P"&amp;$A22))/1000),0),IF($A$2="VEX",IFERROR(IF($X$1="ABS",($A$4*$A$4*RTD("tos.rtd",,"VOLUME","."&amp;J$2&amp;J$1&amp;"C"&amp;$A22)*RTD("tos.rtd",,"GAMMA","."&amp;J$2&amp;J$1&amp;"C"&amp;$A22)+$A$4*$A$4*RTD("tos.rtd",,"VOLUME","."&amp;J$2&amp;J$1&amp;"P"&amp;$A22)*RTD("tos.rtd",,"GAMMA","."&amp;J$2&amp;J$1&amp;"P"&amp;$A22))/1000000,($A$4*$A$4*RTD("tos.rtd",,"VOLUME","."&amp;J$2&amp;J$1&amp;"C"&amp;$A22)*RTD("tos.rtd",,"GAMMA","."&amp;J$2&amp;J$1&amp;"C"&amp;$A22)-$A$4*$A$4*RTD("tos.rtd",,"VOLUME","."&amp;J$2&amp;J$1&amp;"P"&amp;$A22)*RTD("tos.rtd",,"GAMMA","."&amp;J$2&amp;J$1&amp;"P"&amp;$A22))/1000000),0),IF($A$2="GEX",IFERROR(IF($X$1="ABS",($A$4*$A$4*RTD("tos.rtd",,"OPEN_INT","."&amp;J$2&amp;J$1&amp;"C"&amp;$A22)*RTD("tos.rtd",,"GAMMA","."&amp;J$2&amp;J$1&amp;"C"&amp;$A22)+$A$4*$A$4*RTD("tos.rtd",,"OPEN_INT","."&amp;J$2&amp;J$1&amp;"P"&amp;$A22)*RTD("tos.rtd",,"GAMMA","."&amp;J$2&amp;J$1&amp;"P"&amp;$A22))/1000000,($A$4*$A$4*RTD("tos.rtd",,"OPEN_INT","."&amp;J$2&amp;J$1&amp;"C"&amp;$A22)*RTD("tos.rtd",,"GAMMA","."&amp;J$2&amp;J$1&amp;"C"&amp;$A22)-$A$4*$A$4*RTD("tos.rtd",,"OPEN_INT","."&amp;J$2&amp;J$1&amp;"P"&amp;$A22)*RTD("tos.rtd",,"GAMMA","."&amp;J$2&amp;J$1&amp;"P"&amp;$A22))/1000000),0),IF($A$2="SKEW",IFERROR(VALUE(IF(RTD("tos.rtd",,"IMPL_VOL","."&amp;J$2&amp;J$1&amp;"P"&amp;$A22)="N/A",0,RTD("tos.rtd",,"IMPL_VOL","."&amp;J$2&amp;J$1&amp;"P"&amp;$A22))),0)-IFERROR(VALUE(IF(RTD("tos.rtd",,"IMPL_VOL","."&amp;J$2&amp;J$1&amp;"C"&amp;$A22)="N/A",0,RTD("tos.rtd",,"IMPL_VOL","."&amp;J$2&amp;J$1&amp;"C"&amp;$A22))),0),IF($A$2="MAXPAIN",IF($A$4&gt;$A22,($A$4-$A22)*IF(RTD("tos.rtd",,"OPEN_INT","."&amp;J$2&amp;J$1&amp;"C"&amp;$A22)="N/A",0,RTD("tos.rtd",,"OPEN_INT","."&amp;J$2&amp;J$1&amp;"C"&amp;$A22)),0)+IF($A$4&lt;$A22,($A$5-$A$4)*IF(RTD("tos.rtd",,"OPEN_INT","."&amp;J$2&amp;J$1&amp;"P"&amp;$A22)="N/A",0,RTD("tos.rtd",,"OPEN_INT","."&amp;J$2&amp;J$1&amp;"P"&amp;$A22)),0),IF($X$1="ABS",IF(RTD("tos.rtd",,$A$2,"."&amp;J$2&amp;J$1&amp;"C"&amp;$A22)="N/A",0,RTD("tos.rtd",,$A$2,"."&amp;J$2&amp;J$1&amp;"C"&amp;$A22))+IF(RTD("tos.rtd",,$A$2,"."&amp;J$2&amp;J$1&amp;"P"&amp;$A22)="N/A",0,RTD("tos.rtd",,$A$2,"."&amp;J$2&amp;J$1&amp;"P"&amp;$A22)),IF(RTD("tos.rtd",,$A$2,"."&amp;J$2&amp;J$1&amp;"C"&amp;$A22)="N/A",0,RTD("tos.rtd",,$A$2,"."&amp;J$2&amp;J$1&amp;"C"&amp;$A22))-IF(RTD("tos.rtd",,$A$2,"."&amp;J$2&amp;J$1&amp;"P"&amp;$A22)="N/A",0,RTD("tos.rtd",,$A$2,"."&amp;J$2&amp;J$1&amp;"P"&amp;$A22))))))))))</f>
        <v>0</v>
      </c>
      <c r="K22" s="12">
        <f ca="1">IF($A$2="PREMIUM_OI",IFERROR(IF($X$1="ABS",(100*RTD("tos.rtd",,"OPEN_INT","."&amp;K$2&amp;K$1&amp;"C"&amp;$A22)*RTD("tos.rtd",,"LAST","."&amp;K$2&amp;K$1&amp;"C"&amp;$A22)+100*RTD("tos.rtd",,"OPEN_INT","."&amp;K$2&amp;K$1&amp;"P"&amp;$A22)*RTD("tos.rtd",,"LAST","."&amp;K$2&amp;K$1&amp;"P"&amp;$A22))/1000000,(100*RTD("tos.rtd",,"OPEN_INT","."&amp;K$2&amp;K$1&amp;"C"&amp;$A22)*RTD("tos.rtd",,"LAST","."&amp;K$2&amp;K$1&amp;"C"&amp;$A22)-100*RTD("tos.rtd",,"OPEN_INT","."&amp;K$2&amp;K$1&amp;"P"&amp;$A22)*RTD("tos.rtd",,"LAST","."&amp;K$2&amp;K$1&amp;"P"&amp;$A22))/1000000),0),IF($A$2="PREMIUM",IFERROR(IF($X$1="ABS",(100*RTD("tos.rtd",,"VOLUME","."&amp;K$2&amp;K$1&amp;"C"&amp;$A22)*RTD("tos.rtd",,"LAST","."&amp;K$2&amp;K$1&amp;"C"&amp;$A22)+100*RTD("tos.rtd",,"VOLUME","."&amp;K$2&amp;K$1&amp;"P"&amp;$A22)*RTD("tos.rtd",,"LAST","."&amp;K$2&amp;K$1&amp;"P"&amp;$A22))/1000000,(100*RTD("tos.rtd",,"VOLUME","."&amp;K$2&amp;K$1&amp;"C"&amp;$A22)*RTD("tos.rtd",,"LAST","."&amp;K$2&amp;K$1&amp;"C"&amp;$A22)-100*RTD("tos.rtd",,"VOLUME","."&amp;K$2&amp;K$1&amp;"P"&amp;$A22)*RTD("tos.rtd",,"LAST","."&amp;K$2&amp;K$1&amp;"P"&amp;$A22))/1000000),0),IF($A$2="DEX",IFERROR(IF($X$1="ABS",(100*RTD("tos.rtd",,"OPEN_INT","."&amp;K$2&amp;K$1&amp;"C"&amp;$A22)*RTD("tos.rtd",,"DELTA","."&amp;K$2&amp;K$1&amp;"C"&amp;$A22)+100*RTD("tos.rtd",,"OPEN_INT","."&amp;K$2&amp;K$1&amp;"P"&amp;$A22)*RTD("tos.rtd",,"DELTA","."&amp;K$2&amp;K$1&amp;"P"&amp;$A22))/1000,(100*RTD("tos.rtd",,"OPEN_INT","."&amp;K$2&amp;K$1&amp;"C"&amp;$A22)*RTD("tos.rtd",,"DELTA","."&amp;K$2&amp;K$1&amp;"C"&amp;$A22)-100*RTD("tos.rtd",,"OPEN_INT","."&amp;K$2&amp;K$1&amp;"P"&amp;$A22)*RTD("tos.rtd",,"DELTA","."&amp;K$2&amp;K$1&amp;"P"&amp;$A22))/1000),0),IF($A$2="VEX",IFERROR(IF($X$1="ABS",($A$4*$A$4*RTD("tos.rtd",,"VOLUME","."&amp;K$2&amp;K$1&amp;"C"&amp;$A22)*RTD("tos.rtd",,"GAMMA","."&amp;K$2&amp;K$1&amp;"C"&amp;$A22)+$A$4*$A$4*RTD("tos.rtd",,"VOLUME","."&amp;K$2&amp;K$1&amp;"P"&amp;$A22)*RTD("tos.rtd",,"GAMMA","."&amp;K$2&amp;K$1&amp;"P"&amp;$A22))/1000000,($A$4*$A$4*RTD("tos.rtd",,"VOLUME","."&amp;K$2&amp;K$1&amp;"C"&amp;$A22)*RTD("tos.rtd",,"GAMMA","."&amp;K$2&amp;K$1&amp;"C"&amp;$A22)-$A$4*$A$4*RTD("tos.rtd",,"VOLUME","."&amp;K$2&amp;K$1&amp;"P"&amp;$A22)*RTD("tos.rtd",,"GAMMA","."&amp;K$2&amp;K$1&amp;"P"&amp;$A22))/1000000),0),IF($A$2="GEX",IFERROR(IF($X$1="ABS",($A$4*$A$4*RTD("tos.rtd",,"OPEN_INT","."&amp;K$2&amp;K$1&amp;"C"&amp;$A22)*RTD("tos.rtd",,"GAMMA","."&amp;K$2&amp;K$1&amp;"C"&amp;$A22)+$A$4*$A$4*RTD("tos.rtd",,"OPEN_INT","."&amp;K$2&amp;K$1&amp;"P"&amp;$A22)*RTD("tos.rtd",,"GAMMA","."&amp;K$2&amp;K$1&amp;"P"&amp;$A22))/1000000,($A$4*$A$4*RTD("tos.rtd",,"OPEN_INT","."&amp;K$2&amp;K$1&amp;"C"&amp;$A22)*RTD("tos.rtd",,"GAMMA","."&amp;K$2&amp;K$1&amp;"C"&amp;$A22)-$A$4*$A$4*RTD("tos.rtd",,"OPEN_INT","."&amp;K$2&amp;K$1&amp;"P"&amp;$A22)*RTD("tos.rtd",,"GAMMA","."&amp;K$2&amp;K$1&amp;"P"&amp;$A22))/1000000),0),IF($A$2="SKEW",IFERROR(VALUE(IF(RTD("tos.rtd",,"IMPL_VOL","."&amp;K$2&amp;K$1&amp;"P"&amp;$A22)="N/A",0,RTD("tos.rtd",,"IMPL_VOL","."&amp;K$2&amp;K$1&amp;"P"&amp;$A22))),0)-IFERROR(VALUE(IF(RTD("tos.rtd",,"IMPL_VOL","."&amp;K$2&amp;K$1&amp;"C"&amp;$A22)="N/A",0,RTD("tos.rtd",,"IMPL_VOL","."&amp;K$2&amp;K$1&amp;"C"&amp;$A22))),0),IF($A$2="MAXPAIN",IF($A$4&gt;$A22,($A$4-$A22)*IF(RTD("tos.rtd",,"OPEN_INT","."&amp;K$2&amp;K$1&amp;"C"&amp;$A22)="N/A",0,RTD("tos.rtd",,"OPEN_INT","."&amp;K$2&amp;K$1&amp;"C"&amp;$A22)),0)+IF($A$4&lt;$A22,($A$5-$A$4)*IF(RTD("tos.rtd",,"OPEN_INT","."&amp;K$2&amp;K$1&amp;"P"&amp;$A22)="N/A",0,RTD("tos.rtd",,"OPEN_INT","."&amp;K$2&amp;K$1&amp;"P"&amp;$A22)),0),IF($X$1="ABS",IF(RTD("tos.rtd",,$A$2,"."&amp;K$2&amp;K$1&amp;"C"&amp;$A22)="N/A",0,RTD("tos.rtd",,$A$2,"."&amp;K$2&amp;K$1&amp;"C"&amp;$A22))+IF(RTD("tos.rtd",,$A$2,"."&amp;K$2&amp;K$1&amp;"P"&amp;$A22)="N/A",0,RTD("tos.rtd",,$A$2,"."&amp;K$2&amp;K$1&amp;"P"&amp;$A22)),IF(RTD("tos.rtd",,$A$2,"."&amp;K$2&amp;K$1&amp;"C"&amp;$A22)="N/A",0,RTD("tos.rtd",,$A$2,"."&amp;K$2&amp;K$1&amp;"C"&amp;$A22))-IF(RTD("tos.rtd",,$A$2,"."&amp;K$2&amp;K$1&amp;"P"&amp;$A22)="N/A",0,RTD("tos.rtd",,$A$2,"."&amp;K$2&amp;K$1&amp;"P"&amp;$A22))))))))))</f>
        <v>0</v>
      </c>
      <c r="L22" s="54">
        <f ca="1">IF($A$2="PREMIUM_OI",IFERROR(IF($X$1="ABS",(100*RTD("tos.rtd",,"OPEN_INT","."&amp;L$2&amp;L$1&amp;"C"&amp;$A22)*RTD("tos.rtd",,"LAST","."&amp;L$2&amp;L$1&amp;"C"&amp;$A22)+100*RTD("tos.rtd",,"OPEN_INT","."&amp;L$2&amp;L$1&amp;"P"&amp;$A22)*RTD("tos.rtd",,"LAST","."&amp;L$2&amp;L$1&amp;"P"&amp;$A22))/1000000,(100*RTD("tos.rtd",,"OPEN_INT","."&amp;L$2&amp;L$1&amp;"C"&amp;$A22)*RTD("tos.rtd",,"LAST","."&amp;L$2&amp;L$1&amp;"C"&amp;$A22)-100*RTD("tos.rtd",,"OPEN_INT","."&amp;L$2&amp;L$1&amp;"P"&amp;$A22)*RTD("tos.rtd",,"LAST","."&amp;L$2&amp;L$1&amp;"P"&amp;$A22))/1000000),0),IF($A$2="PREMIUM",IFERROR(IF($X$1="ABS",(100*RTD("tos.rtd",,"VOLUME","."&amp;L$2&amp;L$1&amp;"C"&amp;$A22)*RTD("tos.rtd",,"LAST","."&amp;L$2&amp;L$1&amp;"C"&amp;$A22)+100*RTD("tos.rtd",,"VOLUME","."&amp;L$2&amp;L$1&amp;"P"&amp;$A22)*RTD("tos.rtd",,"LAST","."&amp;L$2&amp;L$1&amp;"P"&amp;$A22))/1000000,(100*RTD("tos.rtd",,"VOLUME","."&amp;L$2&amp;L$1&amp;"C"&amp;$A22)*RTD("tos.rtd",,"LAST","."&amp;L$2&amp;L$1&amp;"C"&amp;$A22)-100*RTD("tos.rtd",,"VOLUME","."&amp;L$2&amp;L$1&amp;"P"&amp;$A22)*RTD("tos.rtd",,"LAST","."&amp;L$2&amp;L$1&amp;"P"&amp;$A22))/1000000),0),IF($A$2="DEX",IFERROR(IF($X$1="ABS",(100*RTD("tos.rtd",,"OPEN_INT","."&amp;L$2&amp;L$1&amp;"C"&amp;$A22)*RTD("tos.rtd",,"DELTA","."&amp;L$2&amp;L$1&amp;"C"&amp;$A22)+100*RTD("tos.rtd",,"OPEN_INT","."&amp;L$2&amp;L$1&amp;"P"&amp;$A22)*RTD("tos.rtd",,"DELTA","."&amp;L$2&amp;L$1&amp;"P"&amp;$A22))/1000,(100*RTD("tos.rtd",,"OPEN_INT","."&amp;L$2&amp;L$1&amp;"C"&amp;$A22)*RTD("tos.rtd",,"DELTA","."&amp;L$2&amp;L$1&amp;"C"&amp;$A22)-100*RTD("tos.rtd",,"OPEN_INT","."&amp;L$2&amp;L$1&amp;"P"&amp;$A22)*RTD("tos.rtd",,"DELTA","."&amp;L$2&amp;L$1&amp;"P"&amp;$A22))/1000),0),IF($A$2="VEX",IFERROR(IF($X$1="ABS",($A$4*$A$4*RTD("tos.rtd",,"VOLUME","."&amp;L$2&amp;L$1&amp;"C"&amp;$A22)*RTD("tos.rtd",,"GAMMA","."&amp;L$2&amp;L$1&amp;"C"&amp;$A22)+$A$4*$A$4*RTD("tos.rtd",,"VOLUME","."&amp;L$2&amp;L$1&amp;"P"&amp;$A22)*RTD("tos.rtd",,"GAMMA","."&amp;L$2&amp;L$1&amp;"P"&amp;$A22))/1000000,($A$4*$A$4*RTD("tos.rtd",,"VOLUME","."&amp;L$2&amp;L$1&amp;"C"&amp;$A22)*RTD("tos.rtd",,"GAMMA","."&amp;L$2&amp;L$1&amp;"C"&amp;$A22)-$A$4*$A$4*RTD("tos.rtd",,"VOLUME","."&amp;L$2&amp;L$1&amp;"P"&amp;$A22)*RTD("tos.rtd",,"GAMMA","."&amp;L$2&amp;L$1&amp;"P"&amp;$A22))/1000000),0),IF($A$2="GEX",IFERROR(IF($X$1="ABS",($A$4*$A$4*RTD("tos.rtd",,"OPEN_INT","."&amp;L$2&amp;L$1&amp;"C"&amp;$A22)*RTD("tos.rtd",,"GAMMA","."&amp;L$2&amp;L$1&amp;"C"&amp;$A22)+$A$4*$A$4*RTD("tos.rtd",,"OPEN_INT","."&amp;L$2&amp;L$1&amp;"P"&amp;$A22)*RTD("tos.rtd",,"GAMMA","."&amp;L$2&amp;L$1&amp;"P"&amp;$A22))/1000000,($A$4*$A$4*RTD("tos.rtd",,"OPEN_INT","."&amp;L$2&amp;L$1&amp;"C"&amp;$A22)*RTD("tos.rtd",,"GAMMA","."&amp;L$2&amp;L$1&amp;"C"&amp;$A22)-$A$4*$A$4*RTD("tos.rtd",,"OPEN_INT","."&amp;L$2&amp;L$1&amp;"P"&amp;$A22)*RTD("tos.rtd",,"GAMMA","."&amp;L$2&amp;L$1&amp;"P"&amp;$A22))/1000000),0),IF($A$2="SKEW",IFERROR(VALUE(IF(RTD("tos.rtd",,"IMPL_VOL","."&amp;L$2&amp;L$1&amp;"P"&amp;$A22)="N/A",0,RTD("tos.rtd",,"IMPL_VOL","."&amp;L$2&amp;L$1&amp;"P"&amp;$A22))),0)-IFERROR(VALUE(IF(RTD("tos.rtd",,"IMPL_VOL","."&amp;L$2&amp;L$1&amp;"C"&amp;$A22)="N/A",0,RTD("tos.rtd",,"IMPL_VOL","."&amp;L$2&amp;L$1&amp;"C"&amp;$A22))),0),IF($A$2="MAXPAIN",IF($A$4&gt;$A22,($A$4-$A22)*IF(RTD("tos.rtd",,"OPEN_INT","."&amp;L$2&amp;L$1&amp;"C"&amp;$A22)="N/A",0,RTD("tos.rtd",,"OPEN_INT","."&amp;L$2&amp;L$1&amp;"C"&amp;$A22)),0)+IF($A$4&lt;$A22,($A$5-$A$4)*IF(RTD("tos.rtd",,"OPEN_INT","."&amp;L$2&amp;L$1&amp;"P"&amp;$A22)="N/A",0,RTD("tos.rtd",,"OPEN_INT","."&amp;L$2&amp;L$1&amp;"P"&amp;$A22)),0),IF($X$1="ABS",IF(RTD("tos.rtd",,$A$2,"."&amp;L$2&amp;L$1&amp;"C"&amp;$A22)="N/A",0,RTD("tos.rtd",,$A$2,"."&amp;L$2&amp;L$1&amp;"C"&amp;$A22))+IF(RTD("tos.rtd",,$A$2,"."&amp;L$2&amp;L$1&amp;"P"&amp;$A22)="N/A",0,RTD("tos.rtd",,$A$2,"."&amp;L$2&amp;L$1&amp;"P"&amp;$A22)),IF(RTD("tos.rtd",,$A$2,"."&amp;L$2&amp;L$1&amp;"C"&amp;$A22)="N/A",0,RTD("tos.rtd",,$A$2,"."&amp;L$2&amp;L$1&amp;"C"&amp;$A22))-IF(RTD("tos.rtd",,$A$2,"."&amp;L$2&amp;L$1&amp;"P"&amp;$A22)="N/A",0,RTD("tos.rtd",,$A$2,"."&amp;L$2&amp;L$1&amp;"P"&amp;$A22))))))))))</f>
        <v>0</v>
      </c>
      <c r="M22" s="12">
        <f ca="1">IF($A$2="PREMIUM_OI",IFERROR(IF($X$1="ABS",(100*RTD("tos.rtd",,"OPEN_INT","."&amp;M$2&amp;M$1&amp;"C"&amp;$A22)*RTD("tos.rtd",,"LAST","."&amp;M$2&amp;M$1&amp;"C"&amp;$A22)+100*RTD("tos.rtd",,"OPEN_INT","."&amp;M$2&amp;M$1&amp;"P"&amp;$A22)*RTD("tos.rtd",,"LAST","."&amp;M$2&amp;M$1&amp;"P"&amp;$A22))/1000000,(100*RTD("tos.rtd",,"OPEN_INT","."&amp;M$2&amp;M$1&amp;"C"&amp;$A22)*RTD("tos.rtd",,"LAST","."&amp;M$2&amp;M$1&amp;"C"&amp;$A22)-100*RTD("tos.rtd",,"OPEN_INT","."&amp;M$2&amp;M$1&amp;"P"&amp;$A22)*RTD("tos.rtd",,"LAST","."&amp;M$2&amp;M$1&amp;"P"&amp;$A22))/1000000),0),IF($A$2="PREMIUM",IFERROR(IF($X$1="ABS",(100*RTD("tos.rtd",,"VOLUME","."&amp;M$2&amp;M$1&amp;"C"&amp;$A22)*RTD("tos.rtd",,"LAST","."&amp;M$2&amp;M$1&amp;"C"&amp;$A22)+100*RTD("tos.rtd",,"VOLUME","."&amp;M$2&amp;M$1&amp;"P"&amp;$A22)*RTD("tos.rtd",,"LAST","."&amp;M$2&amp;M$1&amp;"P"&amp;$A22))/1000000,(100*RTD("tos.rtd",,"VOLUME","."&amp;M$2&amp;M$1&amp;"C"&amp;$A22)*RTD("tos.rtd",,"LAST","."&amp;M$2&amp;M$1&amp;"C"&amp;$A22)-100*RTD("tos.rtd",,"VOLUME","."&amp;M$2&amp;M$1&amp;"P"&amp;$A22)*RTD("tos.rtd",,"LAST","."&amp;M$2&amp;M$1&amp;"P"&amp;$A22))/1000000),0),IF($A$2="DEX",IFERROR(IF($X$1="ABS",(100*RTD("tos.rtd",,"OPEN_INT","."&amp;M$2&amp;M$1&amp;"C"&amp;$A22)*RTD("tos.rtd",,"DELTA","."&amp;M$2&amp;M$1&amp;"C"&amp;$A22)+100*RTD("tos.rtd",,"OPEN_INT","."&amp;M$2&amp;M$1&amp;"P"&amp;$A22)*RTD("tos.rtd",,"DELTA","."&amp;M$2&amp;M$1&amp;"P"&amp;$A22))/1000,(100*RTD("tos.rtd",,"OPEN_INT","."&amp;M$2&amp;M$1&amp;"C"&amp;$A22)*RTD("tos.rtd",,"DELTA","."&amp;M$2&amp;M$1&amp;"C"&amp;$A22)-100*RTD("tos.rtd",,"OPEN_INT","."&amp;M$2&amp;M$1&amp;"P"&amp;$A22)*RTD("tos.rtd",,"DELTA","."&amp;M$2&amp;M$1&amp;"P"&amp;$A22))/1000),0),IF($A$2="VEX",IFERROR(IF($X$1="ABS",($A$4*$A$4*RTD("tos.rtd",,"VOLUME","."&amp;M$2&amp;M$1&amp;"C"&amp;$A22)*RTD("tos.rtd",,"GAMMA","."&amp;M$2&amp;M$1&amp;"C"&amp;$A22)+$A$4*$A$4*RTD("tos.rtd",,"VOLUME","."&amp;M$2&amp;M$1&amp;"P"&amp;$A22)*RTD("tos.rtd",,"GAMMA","."&amp;M$2&amp;M$1&amp;"P"&amp;$A22))/1000000,($A$4*$A$4*RTD("tos.rtd",,"VOLUME","."&amp;M$2&amp;M$1&amp;"C"&amp;$A22)*RTD("tos.rtd",,"GAMMA","."&amp;M$2&amp;M$1&amp;"C"&amp;$A22)-$A$4*$A$4*RTD("tos.rtd",,"VOLUME","."&amp;M$2&amp;M$1&amp;"P"&amp;$A22)*RTD("tos.rtd",,"GAMMA","."&amp;M$2&amp;M$1&amp;"P"&amp;$A22))/1000000),0),IF($A$2="GEX",IFERROR(IF($X$1="ABS",($A$4*$A$4*RTD("tos.rtd",,"OPEN_INT","."&amp;M$2&amp;M$1&amp;"C"&amp;$A22)*RTD("tos.rtd",,"GAMMA","."&amp;M$2&amp;M$1&amp;"C"&amp;$A22)+$A$4*$A$4*RTD("tos.rtd",,"OPEN_INT","."&amp;M$2&amp;M$1&amp;"P"&amp;$A22)*RTD("tos.rtd",,"GAMMA","."&amp;M$2&amp;M$1&amp;"P"&amp;$A22))/1000000,($A$4*$A$4*RTD("tos.rtd",,"OPEN_INT","."&amp;M$2&amp;M$1&amp;"C"&amp;$A22)*RTD("tos.rtd",,"GAMMA","."&amp;M$2&amp;M$1&amp;"C"&amp;$A22)-$A$4*$A$4*RTD("tos.rtd",,"OPEN_INT","."&amp;M$2&amp;M$1&amp;"P"&amp;$A22)*RTD("tos.rtd",,"GAMMA","."&amp;M$2&amp;M$1&amp;"P"&amp;$A22))/1000000),0),IF($A$2="SKEW",IFERROR(VALUE(IF(RTD("tos.rtd",,"IMPL_VOL","."&amp;M$2&amp;M$1&amp;"P"&amp;$A22)="N/A",0,RTD("tos.rtd",,"IMPL_VOL","."&amp;M$2&amp;M$1&amp;"P"&amp;$A22))),0)-IFERROR(VALUE(IF(RTD("tos.rtd",,"IMPL_VOL","."&amp;M$2&amp;M$1&amp;"C"&amp;$A22)="N/A",0,RTD("tos.rtd",,"IMPL_VOL","."&amp;M$2&amp;M$1&amp;"C"&amp;$A22))),0),IF($A$2="MAXPAIN",IF($A$4&gt;$A22,($A$4-$A22)*IF(RTD("tos.rtd",,"OPEN_INT","."&amp;M$2&amp;M$1&amp;"C"&amp;$A22)="N/A",0,RTD("tos.rtd",,"OPEN_INT","."&amp;M$2&amp;M$1&amp;"C"&amp;$A22)),0)+IF($A$4&lt;$A22,($A$5-$A$4)*IF(RTD("tos.rtd",,"OPEN_INT","."&amp;M$2&amp;M$1&amp;"P"&amp;$A22)="N/A",0,RTD("tos.rtd",,"OPEN_INT","."&amp;M$2&amp;M$1&amp;"P"&amp;$A22)),0),IF($X$1="ABS",IF(RTD("tos.rtd",,$A$2,"."&amp;M$2&amp;M$1&amp;"C"&amp;$A22)="N/A",0,RTD("tos.rtd",,$A$2,"."&amp;M$2&amp;M$1&amp;"C"&amp;$A22))+IF(RTD("tos.rtd",,$A$2,"."&amp;M$2&amp;M$1&amp;"P"&amp;$A22)="N/A",0,RTD("tos.rtd",,$A$2,"."&amp;M$2&amp;M$1&amp;"P"&amp;$A22)),IF(RTD("tos.rtd",,$A$2,"."&amp;M$2&amp;M$1&amp;"C"&amp;$A22)="N/A",0,RTD("tos.rtd",,$A$2,"."&amp;M$2&amp;M$1&amp;"C"&amp;$A22))-IF(RTD("tos.rtd",,$A$2,"."&amp;M$2&amp;M$1&amp;"P"&amp;$A22)="N/A",0,RTD("tos.rtd",,$A$2,"."&amp;M$2&amp;M$1&amp;"P"&amp;$A22))))))))))</f>
        <v>0</v>
      </c>
      <c r="N22" s="12">
        <f ca="1">IF($A$2="PREMIUM_OI",IFERROR(IF($X$1="ABS",(100*RTD("tos.rtd",,"OPEN_INT","."&amp;N$2&amp;N$1&amp;"C"&amp;$A22)*RTD("tos.rtd",,"LAST","."&amp;N$2&amp;N$1&amp;"C"&amp;$A22)+100*RTD("tos.rtd",,"OPEN_INT","."&amp;N$2&amp;N$1&amp;"P"&amp;$A22)*RTD("tos.rtd",,"LAST","."&amp;N$2&amp;N$1&amp;"P"&amp;$A22))/1000000,(100*RTD("tos.rtd",,"OPEN_INT","."&amp;N$2&amp;N$1&amp;"C"&amp;$A22)*RTD("tos.rtd",,"LAST","."&amp;N$2&amp;N$1&amp;"C"&amp;$A22)-100*RTD("tos.rtd",,"OPEN_INT","."&amp;N$2&amp;N$1&amp;"P"&amp;$A22)*RTD("tos.rtd",,"LAST","."&amp;N$2&amp;N$1&amp;"P"&amp;$A22))/1000000),0),IF($A$2="PREMIUM",IFERROR(IF($X$1="ABS",(100*RTD("tos.rtd",,"VOLUME","."&amp;N$2&amp;N$1&amp;"C"&amp;$A22)*RTD("tos.rtd",,"LAST","."&amp;N$2&amp;N$1&amp;"C"&amp;$A22)+100*RTD("tos.rtd",,"VOLUME","."&amp;N$2&amp;N$1&amp;"P"&amp;$A22)*RTD("tos.rtd",,"LAST","."&amp;N$2&amp;N$1&amp;"P"&amp;$A22))/1000000,(100*RTD("tos.rtd",,"VOLUME","."&amp;N$2&amp;N$1&amp;"C"&amp;$A22)*RTD("tos.rtd",,"LAST","."&amp;N$2&amp;N$1&amp;"C"&amp;$A22)-100*RTD("tos.rtd",,"VOLUME","."&amp;N$2&amp;N$1&amp;"P"&amp;$A22)*RTD("tos.rtd",,"LAST","."&amp;N$2&amp;N$1&amp;"P"&amp;$A22))/1000000),0),IF($A$2="DEX",IFERROR(IF($X$1="ABS",(100*RTD("tos.rtd",,"OPEN_INT","."&amp;N$2&amp;N$1&amp;"C"&amp;$A22)*RTD("tos.rtd",,"DELTA","."&amp;N$2&amp;N$1&amp;"C"&amp;$A22)+100*RTD("tos.rtd",,"OPEN_INT","."&amp;N$2&amp;N$1&amp;"P"&amp;$A22)*RTD("tos.rtd",,"DELTA","."&amp;N$2&amp;N$1&amp;"P"&amp;$A22))/1000,(100*RTD("tos.rtd",,"OPEN_INT","."&amp;N$2&amp;N$1&amp;"C"&amp;$A22)*RTD("tos.rtd",,"DELTA","."&amp;N$2&amp;N$1&amp;"C"&amp;$A22)-100*RTD("tos.rtd",,"OPEN_INT","."&amp;N$2&amp;N$1&amp;"P"&amp;$A22)*RTD("tos.rtd",,"DELTA","."&amp;N$2&amp;N$1&amp;"P"&amp;$A22))/1000),0),IF($A$2="VEX",IFERROR(IF($X$1="ABS",($A$4*$A$4*RTD("tos.rtd",,"VOLUME","."&amp;N$2&amp;N$1&amp;"C"&amp;$A22)*RTD("tos.rtd",,"GAMMA","."&amp;N$2&amp;N$1&amp;"C"&amp;$A22)+$A$4*$A$4*RTD("tos.rtd",,"VOLUME","."&amp;N$2&amp;N$1&amp;"P"&amp;$A22)*RTD("tos.rtd",,"GAMMA","."&amp;N$2&amp;N$1&amp;"P"&amp;$A22))/1000000,($A$4*$A$4*RTD("tos.rtd",,"VOLUME","."&amp;N$2&amp;N$1&amp;"C"&amp;$A22)*RTD("tos.rtd",,"GAMMA","."&amp;N$2&amp;N$1&amp;"C"&amp;$A22)-$A$4*$A$4*RTD("tos.rtd",,"VOLUME","."&amp;N$2&amp;N$1&amp;"P"&amp;$A22)*RTD("tos.rtd",,"GAMMA","."&amp;N$2&amp;N$1&amp;"P"&amp;$A22))/1000000),0),IF($A$2="GEX",IFERROR(IF($X$1="ABS",($A$4*$A$4*RTD("tos.rtd",,"OPEN_INT","."&amp;N$2&amp;N$1&amp;"C"&amp;$A22)*RTD("tos.rtd",,"GAMMA","."&amp;N$2&amp;N$1&amp;"C"&amp;$A22)+$A$4*$A$4*RTD("tos.rtd",,"OPEN_INT","."&amp;N$2&amp;N$1&amp;"P"&amp;$A22)*RTD("tos.rtd",,"GAMMA","."&amp;N$2&amp;N$1&amp;"P"&amp;$A22))/1000000,($A$4*$A$4*RTD("tos.rtd",,"OPEN_INT","."&amp;N$2&amp;N$1&amp;"C"&amp;$A22)*RTD("tos.rtd",,"GAMMA","."&amp;N$2&amp;N$1&amp;"C"&amp;$A22)-$A$4*$A$4*RTD("tos.rtd",,"OPEN_INT","."&amp;N$2&amp;N$1&amp;"P"&amp;$A22)*RTD("tos.rtd",,"GAMMA","."&amp;N$2&amp;N$1&amp;"P"&amp;$A22))/1000000),0),IF($A$2="SKEW",IFERROR(VALUE(IF(RTD("tos.rtd",,"IMPL_VOL","."&amp;N$2&amp;N$1&amp;"P"&amp;$A22)="N/A",0,RTD("tos.rtd",,"IMPL_VOL","."&amp;N$2&amp;N$1&amp;"P"&amp;$A22))),0)-IFERROR(VALUE(IF(RTD("tos.rtd",,"IMPL_VOL","."&amp;N$2&amp;N$1&amp;"C"&amp;$A22)="N/A",0,RTD("tos.rtd",,"IMPL_VOL","."&amp;N$2&amp;N$1&amp;"C"&amp;$A22))),0),IF($A$2="MAXPAIN",IF($A$4&gt;$A22,($A$4-$A22)*IF(RTD("tos.rtd",,"OPEN_INT","."&amp;N$2&amp;N$1&amp;"C"&amp;$A22)="N/A",0,RTD("tos.rtd",,"OPEN_INT","."&amp;N$2&amp;N$1&amp;"C"&amp;$A22)),0)+IF($A$4&lt;$A22,($A$5-$A$4)*IF(RTD("tos.rtd",,"OPEN_INT","."&amp;N$2&amp;N$1&amp;"P"&amp;$A22)="N/A",0,RTD("tos.rtd",,"OPEN_INT","."&amp;N$2&amp;N$1&amp;"P"&amp;$A22)),0),IF($X$1="ABS",IF(RTD("tos.rtd",,$A$2,"."&amp;N$2&amp;N$1&amp;"C"&amp;$A22)="N/A",0,RTD("tos.rtd",,$A$2,"."&amp;N$2&amp;N$1&amp;"C"&amp;$A22))+IF(RTD("tos.rtd",,$A$2,"."&amp;N$2&amp;N$1&amp;"P"&amp;$A22)="N/A",0,RTD("tos.rtd",,$A$2,"."&amp;N$2&amp;N$1&amp;"P"&amp;$A22)),IF(RTD("tos.rtd",,$A$2,"."&amp;N$2&amp;N$1&amp;"C"&amp;$A22)="N/A",0,RTD("tos.rtd",,$A$2,"."&amp;N$2&amp;N$1&amp;"C"&amp;$A22))-IF(RTD("tos.rtd",,$A$2,"."&amp;N$2&amp;N$1&amp;"P"&amp;$A22)="N/A",0,RTD("tos.rtd",,$A$2,"."&amp;N$2&amp;N$1&amp;"P"&amp;$A22))))))))))</f>
        <v>0</v>
      </c>
      <c r="O22" s="12">
        <f ca="1">IF($A$2="PREMIUM_OI",IFERROR(IF($X$1="ABS",(100*RTD("tos.rtd",,"OPEN_INT","."&amp;O$2&amp;O$1&amp;"C"&amp;$A22)*RTD("tos.rtd",,"LAST","."&amp;O$2&amp;O$1&amp;"C"&amp;$A22)+100*RTD("tos.rtd",,"OPEN_INT","."&amp;O$2&amp;O$1&amp;"P"&amp;$A22)*RTD("tos.rtd",,"LAST","."&amp;O$2&amp;O$1&amp;"P"&amp;$A22))/1000000,(100*RTD("tos.rtd",,"OPEN_INT","."&amp;O$2&amp;O$1&amp;"C"&amp;$A22)*RTD("tos.rtd",,"LAST","."&amp;O$2&amp;O$1&amp;"C"&amp;$A22)-100*RTD("tos.rtd",,"OPEN_INT","."&amp;O$2&amp;O$1&amp;"P"&amp;$A22)*RTD("tos.rtd",,"LAST","."&amp;O$2&amp;O$1&amp;"P"&amp;$A22))/1000000),0),IF($A$2="PREMIUM",IFERROR(IF($X$1="ABS",(100*RTD("tos.rtd",,"VOLUME","."&amp;O$2&amp;O$1&amp;"C"&amp;$A22)*RTD("tos.rtd",,"LAST","."&amp;O$2&amp;O$1&amp;"C"&amp;$A22)+100*RTD("tos.rtd",,"VOLUME","."&amp;O$2&amp;O$1&amp;"P"&amp;$A22)*RTD("tos.rtd",,"LAST","."&amp;O$2&amp;O$1&amp;"P"&amp;$A22))/1000000,(100*RTD("tos.rtd",,"VOLUME","."&amp;O$2&amp;O$1&amp;"C"&amp;$A22)*RTD("tos.rtd",,"LAST","."&amp;O$2&amp;O$1&amp;"C"&amp;$A22)-100*RTD("tos.rtd",,"VOLUME","."&amp;O$2&amp;O$1&amp;"P"&amp;$A22)*RTD("tos.rtd",,"LAST","."&amp;O$2&amp;O$1&amp;"P"&amp;$A22))/1000000),0),IF($A$2="DEX",IFERROR(IF($X$1="ABS",(100*RTD("tos.rtd",,"OPEN_INT","."&amp;O$2&amp;O$1&amp;"C"&amp;$A22)*RTD("tos.rtd",,"DELTA","."&amp;O$2&amp;O$1&amp;"C"&amp;$A22)+100*RTD("tos.rtd",,"OPEN_INT","."&amp;O$2&amp;O$1&amp;"P"&amp;$A22)*RTD("tos.rtd",,"DELTA","."&amp;O$2&amp;O$1&amp;"P"&amp;$A22))/1000,(100*RTD("tos.rtd",,"OPEN_INT","."&amp;O$2&amp;O$1&amp;"C"&amp;$A22)*RTD("tos.rtd",,"DELTA","."&amp;O$2&amp;O$1&amp;"C"&amp;$A22)-100*RTD("tos.rtd",,"OPEN_INT","."&amp;O$2&amp;O$1&amp;"P"&amp;$A22)*RTD("tos.rtd",,"DELTA","."&amp;O$2&amp;O$1&amp;"P"&amp;$A22))/1000),0),IF($A$2="VEX",IFERROR(IF($X$1="ABS",($A$4*$A$4*RTD("tos.rtd",,"VOLUME","."&amp;O$2&amp;O$1&amp;"C"&amp;$A22)*RTD("tos.rtd",,"GAMMA","."&amp;O$2&amp;O$1&amp;"C"&amp;$A22)+$A$4*$A$4*RTD("tos.rtd",,"VOLUME","."&amp;O$2&amp;O$1&amp;"P"&amp;$A22)*RTD("tos.rtd",,"GAMMA","."&amp;O$2&amp;O$1&amp;"P"&amp;$A22))/1000000,($A$4*$A$4*RTD("tos.rtd",,"VOLUME","."&amp;O$2&amp;O$1&amp;"C"&amp;$A22)*RTD("tos.rtd",,"GAMMA","."&amp;O$2&amp;O$1&amp;"C"&amp;$A22)-$A$4*$A$4*RTD("tos.rtd",,"VOLUME","."&amp;O$2&amp;O$1&amp;"P"&amp;$A22)*RTD("tos.rtd",,"GAMMA","."&amp;O$2&amp;O$1&amp;"P"&amp;$A22))/1000000),0),IF($A$2="GEX",IFERROR(IF($X$1="ABS",($A$4*$A$4*RTD("tos.rtd",,"OPEN_INT","."&amp;O$2&amp;O$1&amp;"C"&amp;$A22)*RTD("tos.rtd",,"GAMMA","."&amp;O$2&amp;O$1&amp;"C"&amp;$A22)+$A$4*$A$4*RTD("tos.rtd",,"OPEN_INT","."&amp;O$2&amp;O$1&amp;"P"&amp;$A22)*RTD("tos.rtd",,"GAMMA","."&amp;O$2&amp;O$1&amp;"P"&amp;$A22))/1000000,($A$4*$A$4*RTD("tos.rtd",,"OPEN_INT","."&amp;O$2&amp;O$1&amp;"C"&amp;$A22)*RTD("tos.rtd",,"GAMMA","."&amp;O$2&amp;O$1&amp;"C"&amp;$A22)-$A$4*$A$4*RTD("tos.rtd",,"OPEN_INT","."&amp;O$2&amp;O$1&amp;"P"&amp;$A22)*RTD("tos.rtd",,"GAMMA","."&amp;O$2&amp;O$1&amp;"P"&amp;$A22))/1000000),0),IF($A$2="SKEW",IFERROR(VALUE(IF(RTD("tos.rtd",,"IMPL_VOL","."&amp;O$2&amp;O$1&amp;"P"&amp;$A22)="N/A",0,RTD("tos.rtd",,"IMPL_VOL","."&amp;O$2&amp;O$1&amp;"P"&amp;$A22))),0)-IFERROR(VALUE(IF(RTD("tos.rtd",,"IMPL_VOL","."&amp;O$2&amp;O$1&amp;"C"&amp;$A22)="N/A",0,RTD("tos.rtd",,"IMPL_VOL","."&amp;O$2&amp;O$1&amp;"C"&amp;$A22))),0),IF($A$2="MAXPAIN",IF($A$4&gt;$A22,($A$4-$A22)*IF(RTD("tos.rtd",,"OPEN_INT","."&amp;O$2&amp;O$1&amp;"C"&amp;$A22)="N/A",0,RTD("tos.rtd",,"OPEN_INT","."&amp;O$2&amp;O$1&amp;"C"&amp;$A22)),0)+IF($A$4&lt;$A22,($A$5-$A$4)*IF(RTD("tos.rtd",,"OPEN_INT","."&amp;O$2&amp;O$1&amp;"P"&amp;$A22)="N/A",0,RTD("tos.rtd",,"OPEN_INT","."&amp;O$2&amp;O$1&amp;"P"&amp;$A22)),0),IF($X$1="ABS",IF(RTD("tos.rtd",,$A$2,"."&amp;O$2&amp;O$1&amp;"C"&amp;$A22)="N/A",0,RTD("tos.rtd",,$A$2,"."&amp;O$2&amp;O$1&amp;"C"&amp;$A22))+IF(RTD("tos.rtd",,$A$2,"."&amp;O$2&amp;O$1&amp;"P"&amp;$A22)="N/A",0,RTD("tos.rtd",,$A$2,"."&amp;O$2&amp;O$1&amp;"P"&amp;$A22)),IF(RTD("tos.rtd",,$A$2,"."&amp;O$2&amp;O$1&amp;"C"&amp;$A22)="N/A",0,RTD("tos.rtd",,$A$2,"."&amp;O$2&amp;O$1&amp;"C"&amp;$A22))-IF(RTD("tos.rtd",,$A$2,"."&amp;O$2&amp;O$1&amp;"P"&amp;$A22)="N/A",0,RTD("tos.rtd",,$A$2,"."&amp;O$2&amp;O$1&amp;"P"&amp;$A22))))))))))</f>
        <v>0</v>
      </c>
      <c r="P22" s="12">
        <f ca="1">IF($A$2="PREMIUM_OI",IFERROR(IF($X$1="ABS",(100*RTD("tos.rtd",,"OPEN_INT","."&amp;P$2&amp;P$1&amp;"C"&amp;$A22)*RTD("tos.rtd",,"LAST","."&amp;P$2&amp;P$1&amp;"C"&amp;$A22)+100*RTD("tos.rtd",,"OPEN_INT","."&amp;P$2&amp;P$1&amp;"P"&amp;$A22)*RTD("tos.rtd",,"LAST","."&amp;P$2&amp;P$1&amp;"P"&amp;$A22))/1000000,(100*RTD("tos.rtd",,"OPEN_INT","."&amp;P$2&amp;P$1&amp;"C"&amp;$A22)*RTD("tos.rtd",,"LAST","."&amp;P$2&amp;P$1&amp;"C"&amp;$A22)-100*RTD("tos.rtd",,"OPEN_INT","."&amp;P$2&amp;P$1&amp;"P"&amp;$A22)*RTD("tos.rtd",,"LAST","."&amp;P$2&amp;P$1&amp;"P"&amp;$A22))/1000000),0),IF($A$2="PREMIUM",IFERROR(IF($X$1="ABS",(100*RTD("tos.rtd",,"VOLUME","."&amp;P$2&amp;P$1&amp;"C"&amp;$A22)*RTD("tos.rtd",,"LAST","."&amp;P$2&amp;P$1&amp;"C"&amp;$A22)+100*RTD("tos.rtd",,"VOLUME","."&amp;P$2&amp;P$1&amp;"P"&amp;$A22)*RTD("tos.rtd",,"LAST","."&amp;P$2&amp;P$1&amp;"P"&amp;$A22))/1000000,(100*RTD("tos.rtd",,"VOLUME","."&amp;P$2&amp;P$1&amp;"C"&amp;$A22)*RTD("tos.rtd",,"LAST","."&amp;P$2&amp;P$1&amp;"C"&amp;$A22)-100*RTD("tos.rtd",,"VOLUME","."&amp;P$2&amp;P$1&amp;"P"&amp;$A22)*RTD("tos.rtd",,"LAST","."&amp;P$2&amp;P$1&amp;"P"&amp;$A22))/1000000),0),IF($A$2="DEX",IFERROR(IF($X$1="ABS",(100*RTD("tos.rtd",,"OPEN_INT","."&amp;P$2&amp;P$1&amp;"C"&amp;$A22)*RTD("tos.rtd",,"DELTA","."&amp;P$2&amp;P$1&amp;"C"&amp;$A22)+100*RTD("tos.rtd",,"OPEN_INT","."&amp;P$2&amp;P$1&amp;"P"&amp;$A22)*RTD("tos.rtd",,"DELTA","."&amp;P$2&amp;P$1&amp;"P"&amp;$A22))/1000,(100*RTD("tos.rtd",,"OPEN_INT","."&amp;P$2&amp;P$1&amp;"C"&amp;$A22)*RTD("tos.rtd",,"DELTA","."&amp;P$2&amp;P$1&amp;"C"&amp;$A22)-100*RTD("tos.rtd",,"OPEN_INT","."&amp;P$2&amp;P$1&amp;"P"&amp;$A22)*RTD("tos.rtd",,"DELTA","."&amp;P$2&amp;P$1&amp;"P"&amp;$A22))/1000),0),IF($A$2="VEX",IFERROR(IF($X$1="ABS",($A$4*$A$4*RTD("tos.rtd",,"VOLUME","."&amp;P$2&amp;P$1&amp;"C"&amp;$A22)*RTD("tos.rtd",,"GAMMA","."&amp;P$2&amp;P$1&amp;"C"&amp;$A22)+$A$4*$A$4*RTD("tos.rtd",,"VOLUME","."&amp;P$2&amp;P$1&amp;"P"&amp;$A22)*RTD("tos.rtd",,"GAMMA","."&amp;P$2&amp;P$1&amp;"P"&amp;$A22))/1000000,($A$4*$A$4*RTD("tos.rtd",,"VOLUME","."&amp;P$2&amp;P$1&amp;"C"&amp;$A22)*RTD("tos.rtd",,"GAMMA","."&amp;P$2&amp;P$1&amp;"C"&amp;$A22)-$A$4*$A$4*RTD("tos.rtd",,"VOLUME","."&amp;P$2&amp;P$1&amp;"P"&amp;$A22)*RTD("tos.rtd",,"GAMMA","."&amp;P$2&amp;P$1&amp;"P"&amp;$A22))/1000000),0),IF($A$2="GEX",IFERROR(IF($X$1="ABS",($A$4*$A$4*RTD("tos.rtd",,"OPEN_INT","."&amp;P$2&amp;P$1&amp;"C"&amp;$A22)*RTD("tos.rtd",,"GAMMA","."&amp;P$2&amp;P$1&amp;"C"&amp;$A22)+$A$4*$A$4*RTD("tos.rtd",,"OPEN_INT","."&amp;P$2&amp;P$1&amp;"P"&amp;$A22)*RTD("tos.rtd",,"GAMMA","."&amp;P$2&amp;P$1&amp;"P"&amp;$A22))/1000000,($A$4*$A$4*RTD("tos.rtd",,"OPEN_INT","."&amp;P$2&amp;P$1&amp;"C"&amp;$A22)*RTD("tos.rtd",,"GAMMA","."&amp;P$2&amp;P$1&amp;"C"&amp;$A22)-$A$4*$A$4*RTD("tos.rtd",,"OPEN_INT","."&amp;P$2&amp;P$1&amp;"P"&amp;$A22)*RTD("tos.rtd",,"GAMMA","."&amp;P$2&amp;P$1&amp;"P"&amp;$A22))/1000000),0),IF($A$2="SKEW",IFERROR(VALUE(IF(RTD("tos.rtd",,"IMPL_VOL","."&amp;P$2&amp;P$1&amp;"P"&amp;$A22)="N/A",0,RTD("tos.rtd",,"IMPL_VOL","."&amp;P$2&amp;P$1&amp;"P"&amp;$A22))),0)-IFERROR(VALUE(IF(RTD("tos.rtd",,"IMPL_VOL","."&amp;P$2&amp;P$1&amp;"C"&amp;$A22)="N/A",0,RTD("tos.rtd",,"IMPL_VOL","."&amp;P$2&amp;P$1&amp;"C"&amp;$A22))),0),IF($A$2="MAXPAIN",IF($A$4&gt;$A22,($A$4-$A22)*IF(RTD("tos.rtd",,"OPEN_INT","."&amp;P$2&amp;P$1&amp;"C"&amp;$A22)="N/A",0,RTD("tos.rtd",,"OPEN_INT","."&amp;P$2&amp;P$1&amp;"C"&amp;$A22)),0)+IF($A$4&lt;$A22,($A$5-$A$4)*IF(RTD("tos.rtd",,"OPEN_INT","."&amp;P$2&amp;P$1&amp;"P"&amp;$A22)="N/A",0,RTD("tos.rtd",,"OPEN_INT","."&amp;P$2&amp;P$1&amp;"P"&amp;$A22)),0),IF($X$1="ABS",IF(RTD("tos.rtd",,$A$2,"."&amp;P$2&amp;P$1&amp;"C"&amp;$A22)="N/A",0,RTD("tos.rtd",,$A$2,"."&amp;P$2&amp;P$1&amp;"C"&amp;$A22))+IF(RTD("tos.rtd",,$A$2,"."&amp;P$2&amp;P$1&amp;"P"&amp;$A22)="N/A",0,RTD("tos.rtd",,$A$2,"."&amp;P$2&amp;P$1&amp;"P"&amp;$A22)),IF(RTD("tos.rtd",,$A$2,"."&amp;P$2&amp;P$1&amp;"C"&amp;$A22)="N/A",0,RTD("tos.rtd",,$A$2,"."&amp;P$2&amp;P$1&amp;"C"&amp;$A22))-IF(RTD("tos.rtd",,$A$2,"."&amp;P$2&amp;P$1&amp;"P"&amp;$A22)="N/A",0,RTD("tos.rtd",,$A$2,"."&amp;P$2&amp;P$1&amp;"P"&amp;$A22))))))))))</f>
        <v>0</v>
      </c>
      <c r="Q22" s="12">
        <f ca="1">IF($A$2="PREMIUM_OI",IFERROR(IF($X$1="ABS",(100*RTD("tos.rtd",,"OPEN_INT","."&amp;Q$2&amp;Q$1&amp;"C"&amp;$A22)*RTD("tos.rtd",,"LAST","."&amp;Q$2&amp;Q$1&amp;"C"&amp;$A22)+100*RTD("tos.rtd",,"OPEN_INT","."&amp;Q$2&amp;Q$1&amp;"P"&amp;$A22)*RTD("tos.rtd",,"LAST","."&amp;Q$2&amp;Q$1&amp;"P"&amp;$A22))/1000000,(100*RTD("tos.rtd",,"OPEN_INT","."&amp;Q$2&amp;Q$1&amp;"C"&amp;$A22)*RTD("tos.rtd",,"LAST","."&amp;Q$2&amp;Q$1&amp;"C"&amp;$A22)-100*RTD("tos.rtd",,"OPEN_INT","."&amp;Q$2&amp;Q$1&amp;"P"&amp;$A22)*RTD("tos.rtd",,"LAST","."&amp;Q$2&amp;Q$1&amp;"P"&amp;$A22))/1000000),0),IF($A$2="PREMIUM",IFERROR(IF($X$1="ABS",(100*RTD("tos.rtd",,"VOLUME","."&amp;Q$2&amp;Q$1&amp;"C"&amp;$A22)*RTD("tos.rtd",,"LAST","."&amp;Q$2&amp;Q$1&amp;"C"&amp;$A22)+100*RTD("tos.rtd",,"VOLUME","."&amp;Q$2&amp;Q$1&amp;"P"&amp;$A22)*RTD("tos.rtd",,"LAST","."&amp;Q$2&amp;Q$1&amp;"P"&amp;$A22))/1000000,(100*RTD("tos.rtd",,"VOLUME","."&amp;Q$2&amp;Q$1&amp;"C"&amp;$A22)*RTD("tos.rtd",,"LAST","."&amp;Q$2&amp;Q$1&amp;"C"&amp;$A22)-100*RTD("tos.rtd",,"VOLUME","."&amp;Q$2&amp;Q$1&amp;"P"&amp;$A22)*RTD("tos.rtd",,"LAST","."&amp;Q$2&amp;Q$1&amp;"P"&amp;$A22))/1000000),0),IF($A$2="DEX",IFERROR(IF($X$1="ABS",(100*RTD("tos.rtd",,"OPEN_INT","."&amp;Q$2&amp;Q$1&amp;"C"&amp;$A22)*RTD("tos.rtd",,"DELTA","."&amp;Q$2&amp;Q$1&amp;"C"&amp;$A22)+100*RTD("tos.rtd",,"OPEN_INT","."&amp;Q$2&amp;Q$1&amp;"P"&amp;$A22)*RTD("tos.rtd",,"DELTA","."&amp;Q$2&amp;Q$1&amp;"P"&amp;$A22))/1000,(100*RTD("tos.rtd",,"OPEN_INT","."&amp;Q$2&amp;Q$1&amp;"C"&amp;$A22)*RTD("tos.rtd",,"DELTA","."&amp;Q$2&amp;Q$1&amp;"C"&amp;$A22)-100*RTD("tos.rtd",,"OPEN_INT","."&amp;Q$2&amp;Q$1&amp;"P"&amp;$A22)*RTD("tos.rtd",,"DELTA","."&amp;Q$2&amp;Q$1&amp;"P"&amp;$A22))/1000),0),IF($A$2="VEX",IFERROR(IF($X$1="ABS",($A$4*$A$4*RTD("tos.rtd",,"VOLUME","."&amp;Q$2&amp;Q$1&amp;"C"&amp;$A22)*RTD("tos.rtd",,"GAMMA","."&amp;Q$2&amp;Q$1&amp;"C"&amp;$A22)+$A$4*$A$4*RTD("tos.rtd",,"VOLUME","."&amp;Q$2&amp;Q$1&amp;"P"&amp;$A22)*RTD("tos.rtd",,"GAMMA","."&amp;Q$2&amp;Q$1&amp;"P"&amp;$A22))/1000000,($A$4*$A$4*RTD("tos.rtd",,"VOLUME","."&amp;Q$2&amp;Q$1&amp;"C"&amp;$A22)*RTD("tos.rtd",,"GAMMA","."&amp;Q$2&amp;Q$1&amp;"C"&amp;$A22)-$A$4*$A$4*RTD("tos.rtd",,"VOLUME","."&amp;Q$2&amp;Q$1&amp;"P"&amp;$A22)*RTD("tos.rtd",,"GAMMA","."&amp;Q$2&amp;Q$1&amp;"P"&amp;$A22))/1000000),0),IF($A$2="GEX",IFERROR(IF($X$1="ABS",($A$4*$A$4*RTD("tos.rtd",,"OPEN_INT","."&amp;Q$2&amp;Q$1&amp;"C"&amp;$A22)*RTD("tos.rtd",,"GAMMA","."&amp;Q$2&amp;Q$1&amp;"C"&amp;$A22)+$A$4*$A$4*RTD("tos.rtd",,"OPEN_INT","."&amp;Q$2&amp;Q$1&amp;"P"&amp;$A22)*RTD("tos.rtd",,"GAMMA","."&amp;Q$2&amp;Q$1&amp;"P"&amp;$A22))/1000000,($A$4*$A$4*RTD("tos.rtd",,"OPEN_INT","."&amp;Q$2&amp;Q$1&amp;"C"&amp;$A22)*RTD("tos.rtd",,"GAMMA","."&amp;Q$2&amp;Q$1&amp;"C"&amp;$A22)-$A$4*$A$4*RTD("tos.rtd",,"OPEN_INT","."&amp;Q$2&amp;Q$1&amp;"P"&amp;$A22)*RTD("tos.rtd",,"GAMMA","."&amp;Q$2&amp;Q$1&amp;"P"&amp;$A22))/1000000),0),IF($A$2="SKEW",IFERROR(VALUE(IF(RTD("tos.rtd",,"IMPL_VOL","."&amp;Q$2&amp;Q$1&amp;"P"&amp;$A22)="N/A",0,RTD("tos.rtd",,"IMPL_VOL","."&amp;Q$2&amp;Q$1&amp;"P"&amp;$A22))),0)-IFERROR(VALUE(IF(RTD("tos.rtd",,"IMPL_VOL","."&amp;Q$2&amp;Q$1&amp;"C"&amp;$A22)="N/A",0,RTD("tos.rtd",,"IMPL_VOL","."&amp;Q$2&amp;Q$1&amp;"C"&amp;$A22))),0),IF($A$2="MAXPAIN",IF($A$4&gt;$A22,($A$4-$A22)*IF(RTD("tos.rtd",,"OPEN_INT","."&amp;Q$2&amp;Q$1&amp;"C"&amp;$A22)="N/A",0,RTD("tos.rtd",,"OPEN_INT","."&amp;Q$2&amp;Q$1&amp;"C"&amp;$A22)),0)+IF($A$4&lt;$A22,($A$5-$A$4)*IF(RTD("tos.rtd",,"OPEN_INT","."&amp;Q$2&amp;Q$1&amp;"P"&amp;$A22)="N/A",0,RTD("tos.rtd",,"OPEN_INT","."&amp;Q$2&amp;Q$1&amp;"P"&amp;$A22)),0),IF($X$1="ABS",IF(RTD("tos.rtd",,$A$2,"."&amp;Q$2&amp;Q$1&amp;"C"&amp;$A22)="N/A",0,RTD("tos.rtd",,$A$2,"."&amp;Q$2&amp;Q$1&amp;"C"&amp;$A22))+IF(RTD("tos.rtd",,$A$2,"."&amp;Q$2&amp;Q$1&amp;"P"&amp;$A22)="N/A",0,RTD("tos.rtd",,$A$2,"."&amp;Q$2&amp;Q$1&amp;"P"&amp;$A22)),IF(RTD("tos.rtd",,$A$2,"."&amp;Q$2&amp;Q$1&amp;"C"&amp;$A22)="N/A",0,RTD("tos.rtd",,$A$2,"."&amp;Q$2&amp;Q$1&amp;"C"&amp;$A22))-IF(RTD("tos.rtd",,$A$2,"."&amp;Q$2&amp;Q$1&amp;"P"&amp;$A22)="N/A",0,RTD("tos.rtd",,$A$2,"."&amp;Q$2&amp;Q$1&amp;"P"&amp;$A22))))))))))</f>
        <v>0</v>
      </c>
      <c r="R22" s="12">
        <f ca="1">IF($A$2="PREMIUM_OI",IFERROR(IF($X$1="ABS",(100*RTD("tos.rtd",,"OPEN_INT","."&amp;R$2&amp;R$1&amp;"C"&amp;$A22)*RTD("tos.rtd",,"LAST","."&amp;R$2&amp;R$1&amp;"C"&amp;$A22)+100*RTD("tos.rtd",,"OPEN_INT","."&amp;R$2&amp;R$1&amp;"P"&amp;$A22)*RTD("tos.rtd",,"LAST","."&amp;R$2&amp;R$1&amp;"P"&amp;$A22))/1000000,(100*RTD("tos.rtd",,"OPEN_INT","."&amp;R$2&amp;R$1&amp;"C"&amp;$A22)*RTD("tos.rtd",,"LAST","."&amp;R$2&amp;R$1&amp;"C"&amp;$A22)-100*RTD("tos.rtd",,"OPEN_INT","."&amp;R$2&amp;R$1&amp;"P"&amp;$A22)*RTD("tos.rtd",,"LAST","."&amp;R$2&amp;R$1&amp;"P"&amp;$A22))/1000000),0),IF($A$2="PREMIUM",IFERROR(IF($X$1="ABS",(100*RTD("tos.rtd",,"VOLUME","."&amp;R$2&amp;R$1&amp;"C"&amp;$A22)*RTD("tos.rtd",,"LAST","."&amp;R$2&amp;R$1&amp;"C"&amp;$A22)+100*RTD("tos.rtd",,"VOLUME","."&amp;R$2&amp;R$1&amp;"P"&amp;$A22)*RTD("tos.rtd",,"LAST","."&amp;R$2&amp;R$1&amp;"P"&amp;$A22))/1000000,(100*RTD("tos.rtd",,"VOLUME","."&amp;R$2&amp;R$1&amp;"C"&amp;$A22)*RTD("tos.rtd",,"LAST","."&amp;R$2&amp;R$1&amp;"C"&amp;$A22)-100*RTD("tos.rtd",,"VOLUME","."&amp;R$2&amp;R$1&amp;"P"&amp;$A22)*RTD("tos.rtd",,"LAST","."&amp;R$2&amp;R$1&amp;"P"&amp;$A22))/1000000),0),IF($A$2="DEX",IFERROR(IF($X$1="ABS",(100*RTD("tos.rtd",,"OPEN_INT","."&amp;R$2&amp;R$1&amp;"C"&amp;$A22)*RTD("tos.rtd",,"DELTA","."&amp;R$2&amp;R$1&amp;"C"&amp;$A22)+100*RTD("tos.rtd",,"OPEN_INT","."&amp;R$2&amp;R$1&amp;"P"&amp;$A22)*RTD("tos.rtd",,"DELTA","."&amp;R$2&amp;R$1&amp;"P"&amp;$A22))/1000,(100*RTD("tos.rtd",,"OPEN_INT","."&amp;R$2&amp;R$1&amp;"C"&amp;$A22)*RTD("tos.rtd",,"DELTA","."&amp;R$2&amp;R$1&amp;"C"&amp;$A22)-100*RTD("tos.rtd",,"OPEN_INT","."&amp;R$2&amp;R$1&amp;"P"&amp;$A22)*RTD("tos.rtd",,"DELTA","."&amp;R$2&amp;R$1&amp;"P"&amp;$A22))/1000),0),IF($A$2="VEX",IFERROR(IF($X$1="ABS",($A$4*$A$4*RTD("tos.rtd",,"VOLUME","."&amp;R$2&amp;R$1&amp;"C"&amp;$A22)*RTD("tos.rtd",,"GAMMA","."&amp;R$2&amp;R$1&amp;"C"&amp;$A22)+$A$4*$A$4*RTD("tos.rtd",,"VOLUME","."&amp;R$2&amp;R$1&amp;"P"&amp;$A22)*RTD("tos.rtd",,"GAMMA","."&amp;R$2&amp;R$1&amp;"P"&amp;$A22))/1000000,($A$4*$A$4*RTD("tos.rtd",,"VOLUME","."&amp;R$2&amp;R$1&amp;"C"&amp;$A22)*RTD("tos.rtd",,"GAMMA","."&amp;R$2&amp;R$1&amp;"C"&amp;$A22)-$A$4*$A$4*RTD("tos.rtd",,"VOLUME","."&amp;R$2&amp;R$1&amp;"P"&amp;$A22)*RTD("tos.rtd",,"GAMMA","."&amp;R$2&amp;R$1&amp;"P"&amp;$A22))/1000000),0),IF($A$2="GEX",IFERROR(IF($X$1="ABS",($A$4*$A$4*RTD("tos.rtd",,"OPEN_INT","."&amp;R$2&amp;R$1&amp;"C"&amp;$A22)*RTD("tos.rtd",,"GAMMA","."&amp;R$2&amp;R$1&amp;"C"&amp;$A22)+$A$4*$A$4*RTD("tos.rtd",,"OPEN_INT","."&amp;R$2&amp;R$1&amp;"P"&amp;$A22)*RTD("tos.rtd",,"GAMMA","."&amp;R$2&amp;R$1&amp;"P"&amp;$A22))/1000000,($A$4*$A$4*RTD("tos.rtd",,"OPEN_INT","."&amp;R$2&amp;R$1&amp;"C"&amp;$A22)*RTD("tos.rtd",,"GAMMA","."&amp;R$2&amp;R$1&amp;"C"&amp;$A22)-$A$4*$A$4*RTD("tos.rtd",,"OPEN_INT","."&amp;R$2&amp;R$1&amp;"P"&amp;$A22)*RTD("tos.rtd",,"GAMMA","."&amp;R$2&amp;R$1&amp;"P"&amp;$A22))/1000000),0),IF($A$2="SKEW",IFERROR(VALUE(IF(RTD("tos.rtd",,"IMPL_VOL","."&amp;R$2&amp;R$1&amp;"P"&amp;$A22)="N/A",0,RTD("tos.rtd",,"IMPL_VOL","."&amp;R$2&amp;R$1&amp;"P"&amp;$A22))),0)-IFERROR(VALUE(IF(RTD("tos.rtd",,"IMPL_VOL","."&amp;R$2&amp;R$1&amp;"C"&amp;$A22)="N/A",0,RTD("tos.rtd",,"IMPL_VOL","."&amp;R$2&amp;R$1&amp;"C"&amp;$A22))),0),IF($A$2="MAXPAIN",IF($A$4&gt;$A22,($A$4-$A22)*IF(RTD("tos.rtd",,"OPEN_INT","."&amp;R$2&amp;R$1&amp;"C"&amp;$A22)="N/A",0,RTD("tos.rtd",,"OPEN_INT","."&amp;R$2&amp;R$1&amp;"C"&amp;$A22)),0)+IF($A$4&lt;$A22,($A$5-$A$4)*IF(RTD("tos.rtd",,"OPEN_INT","."&amp;R$2&amp;R$1&amp;"P"&amp;$A22)="N/A",0,RTD("tos.rtd",,"OPEN_INT","."&amp;R$2&amp;R$1&amp;"P"&amp;$A22)),0),IF($X$1="ABS",IF(RTD("tos.rtd",,$A$2,"."&amp;R$2&amp;R$1&amp;"C"&amp;$A22)="N/A",0,RTD("tos.rtd",,$A$2,"."&amp;R$2&amp;R$1&amp;"C"&amp;$A22))+IF(RTD("tos.rtd",,$A$2,"."&amp;R$2&amp;R$1&amp;"P"&amp;$A22)="N/A",0,RTD("tos.rtd",,$A$2,"."&amp;R$2&amp;R$1&amp;"P"&amp;$A22)),IF(RTD("tos.rtd",,$A$2,"."&amp;R$2&amp;R$1&amp;"C"&amp;$A22)="N/A",0,RTD("tos.rtd",,$A$2,"."&amp;R$2&amp;R$1&amp;"C"&amp;$A22))-IF(RTD("tos.rtd",,$A$2,"."&amp;R$2&amp;R$1&amp;"P"&amp;$A22)="N/A",0,RTD("tos.rtd",,$A$2,"."&amp;R$2&amp;R$1&amp;"P"&amp;$A22))))))))))</f>
        <v>0</v>
      </c>
      <c r="S22" s="12">
        <f ca="1">IF($A$2="PREMIUM_OI",IFERROR(IF($X$1="ABS",(100*RTD("tos.rtd",,"OPEN_INT","."&amp;S$2&amp;S$1&amp;"C"&amp;$A22)*RTD("tos.rtd",,"LAST","."&amp;S$2&amp;S$1&amp;"C"&amp;$A22)+100*RTD("tos.rtd",,"OPEN_INT","."&amp;S$2&amp;S$1&amp;"P"&amp;$A22)*RTD("tos.rtd",,"LAST","."&amp;S$2&amp;S$1&amp;"P"&amp;$A22))/1000000,(100*RTD("tos.rtd",,"OPEN_INT","."&amp;S$2&amp;S$1&amp;"C"&amp;$A22)*RTD("tos.rtd",,"LAST","."&amp;S$2&amp;S$1&amp;"C"&amp;$A22)-100*RTD("tos.rtd",,"OPEN_INT","."&amp;S$2&amp;S$1&amp;"P"&amp;$A22)*RTD("tos.rtd",,"LAST","."&amp;S$2&amp;S$1&amp;"P"&amp;$A22))/1000000),0),IF($A$2="PREMIUM",IFERROR(IF($X$1="ABS",(100*RTD("tos.rtd",,"VOLUME","."&amp;S$2&amp;S$1&amp;"C"&amp;$A22)*RTD("tos.rtd",,"LAST","."&amp;S$2&amp;S$1&amp;"C"&amp;$A22)+100*RTD("tos.rtd",,"VOLUME","."&amp;S$2&amp;S$1&amp;"P"&amp;$A22)*RTD("tos.rtd",,"LAST","."&amp;S$2&amp;S$1&amp;"P"&amp;$A22))/1000000,(100*RTD("tos.rtd",,"VOLUME","."&amp;S$2&amp;S$1&amp;"C"&amp;$A22)*RTD("tos.rtd",,"LAST","."&amp;S$2&amp;S$1&amp;"C"&amp;$A22)-100*RTD("tos.rtd",,"VOLUME","."&amp;S$2&amp;S$1&amp;"P"&amp;$A22)*RTD("tos.rtd",,"LAST","."&amp;S$2&amp;S$1&amp;"P"&amp;$A22))/1000000),0),IF($A$2="DEX",IFERROR(IF($X$1="ABS",(100*RTD("tos.rtd",,"OPEN_INT","."&amp;S$2&amp;S$1&amp;"C"&amp;$A22)*RTD("tos.rtd",,"DELTA","."&amp;S$2&amp;S$1&amp;"C"&amp;$A22)+100*RTD("tos.rtd",,"OPEN_INT","."&amp;S$2&amp;S$1&amp;"P"&amp;$A22)*RTD("tos.rtd",,"DELTA","."&amp;S$2&amp;S$1&amp;"P"&amp;$A22))/1000,(100*RTD("tos.rtd",,"OPEN_INT","."&amp;S$2&amp;S$1&amp;"C"&amp;$A22)*RTD("tos.rtd",,"DELTA","."&amp;S$2&amp;S$1&amp;"C"&amp;$A22)-100*RTD("tos.rtd",,"OPEN_INT","."&amp;S$2&amp;S$1&amp;"P"&amp;$A22)*RTD("tos.rtd",,"DELTA","."&amp;S$2&amp;S$1&amp;"P"&amp;$A22))/1000),0),IF($A$2="VEX",IFERROR(IF($X$1="ABS",($A$4*$A$4*RTD("tos.rtd",,"VOLUME","."&amp;S$2&amp;S$1&amp;"C"&amp;$A22)*RTD("tos.rtd",,"GAMMA","."&amp;S$2&amp;S$1&amp;"C"&amp;$A22)+$A$4*$A$4*RTD("tos.rtd",,"VOLUME","."&amp;S$2&amp;S$1&amp;"P"&amp;$A22)*RTD("tos.rtd",,"GAMMA","."&amp;S$2&amp;S$1&amp;"P"&amp;$A22))/1000000,($A$4*$A$4*RTD("tos.rtd",,"VOLUME","."&amp;S$2&amp;S$1&amp;"C"&amp;$A22)*RTD("tos.rtd",,"GAMMA","."&amp;S$2&amp;S$1&amp;"C"&amp;$A22)-$A$4*$A$4*RTD("tos.rtd",,"VOLUME","."&amp;S$2&amp;S$1&amp;"P"&amp;$A22)*RTD("tos.rtd",,"GAMMA","."&amp;S$2&amp;S$1&amp;"P"&amp;$A22))/1000000),0),IF($A$2="GEX",IFERROR(IF($X$1="ABS",($A$4*$A$4*RTD("tos.rtd",,"OPEN_INT","."&amp;S$2&amp;S$1&amp;"C"&amp;$A22)*RTD("tos.rtd",,"GAMMA","."&amp;S$2&amp;S$1&amp;"C"&amp;$A22)+$A$4*$A$4*RTD("tos.rtd",,"OPEN_INT","."&amp;S$2&amp;S$1&amp;"P"&amp;$A22)*RTD("tos.rtd",,"GAMMA","."&amp;S$2&amp;S$1&amp;"P"&amp;$A22))/1000000,($A$4*$A$4*RTD("tos.rtd",,"OPEN_INT","."&amp;S$2&amp;S$1&amp;"C"&amp;$A22)*RTD("tos.rtd",,"GAMMA","."&amp;S$2&amp;S$1&amp;"C"&amp;$A22)-$A$4*$A$4*RTD("tos.rtd",,"OPEN_INT","."&amp;S$2&amp;S$1&amp;"P"&amp;$A22)*RTD("tos.rtd",,"GAMMA","."&amp;S$2&amp;S$1&amp;"P"&amp;$A22))/1000000),0),IF($A$2="SKEW",IFERROR(VALUE(IF(RTD("tos.rtd",,"IMPL_VOL","."&amp;S$2&amp;S$1&amp;"P"&amp;$A22)="N/A",0,RTD("tos.rtd",,"IMPL_VOL","."&amp;S$2&amp;S$1&amp;"P"&amp;$A22))),0)-IFERROR(VALUE(IF(RTD("tos.rtd",,"IMPL_VOL","."&amp;S$2&amp;S$1&amp;"C"&amp;$A22)="N/A",0,RTD("tos.rtd",,"IMPL_VOL","."&amp;S$2&amp;S$1&amp;"C"&amp;$A22))),0),IF($A$2="MAXPAIN",IF($A$4&gt;$A22,($A$4-$A22)*IF(RTD("tos.rtd",,"OPEN_INT","."&amp;S$2&amp;S$1&amp;"C"&amp;$A22)="N/A",0,RTD("tos.rtd",,"OPEN_INT","."&amp;S$2&amp;S$1&amp;"C"&amp;$A22)),0)+IF($A$4&lt;$A22,($A$5-$A$4)*IF(RTD("tos.rtd",,"OPEN_INT","."&amp;S$2&amp;S$1&amp;"P"&amp;$A22)="N/A",0,RTD("tos.rtd",,"OPEN_INT","."&amp;S$2&amp;S$1&amp;"P"&amp;$A22)),0),IF($X$1="ABS",IF(RTD("tos.rtd",,$A$2,"."&amp;S$2&amp;S$1&amp;"C"&amp;$A22)="N/A",0,RTD("tos.rtd",,$A$2,"."&amp;S$2&amp;S$1&amp;"C"&amp;$A22))+IF(RTD("tos.rtd",,$A$2,"."&amp;S$2&amp;S$1&amp;"P"&amp;$A22)="N/A",0,RTD("tos.rtd",,$A$2,"."&amp;S$2&amp;S$1&amp;"P"&amp;$A22)),IF(RTD("tos.rtd",,$A$2,"."&amp;S$2&amp;S$1&amp;"C"&amp;$A22)="N/A",0,RTD("tos.rtd",,$A$2,"."&amp;S$2&amp;S$1&amp;"C"&amp;$A22))-IF(RTD("tos.rtd",,$A$2,"."&amp;S$2&amp;S$1&amp;"P"&amp;$A22)="N/A",0,RTD("tos.rtd",,$A$2,"."&amp;S$2&amp;S$1&amp;"P"&amp;$A22))))))))))</f>
        <v>0</v>
      </c>
      <c r="T22" s="12">
        <f ca="1">IF($A$2="PREMIUM_OI",IFERROR(IF($X$1="ABS",(100*RTD("tos.rtd",,"OPEN_INT","."&amp;T$2&amp;T$1&amp;"C"&amp;$A22)*RTD("tos.rtd",,"LAST","."&amp;T$2&amp;T$1&amp;"C"&amp;$A22)+100*RTD("tos.rtd",,"OPEN_INT","."&amp;T$2&amp;T$1&amp;"P"&amp;$A22)*RTD("tos.rtd",,"LAST","."&amp;T$2&amp;T$1&amp;"P"&amp;$A22))/1000000,(100*RTD("tos.rtd",,"OPEN_INT","."&amp;T$2&amp;T$1&amp;"C"&amp;$A22)*RTD("tos.rtd",,"LAST","."&amp;T$2&amp;T$1&amp;"C"&amp;$A22)-100*RTD("tos.rtd",,"OPEN_INT","."&amp;T$2&amp;T$1&amp;"P"&amp;$A22)*RTD("tos.rtd",,"LAST","."&amp;T$2&amp;T$1&amp;"P"&amp;$A22))/1000000),0),IF($A$2="PREMIUM",IFERROR(IF($X$1="ABS",(100*RTD("tos.rtd",,"VOLUME","."&amp;T$2&amp;T$1&amp;"C"&amp;$A22)*RTD("tos.rtd",,"LAST","."&amp;T$2&amp;T$1&amp;"C"&amp;$A22)+100*RTD("tos.rtd",,"VOLUME","."&amp;T$2&amp;T$1&amp;"P"&amp;$A22)*RTD("tos.rtd",,"LAST","."&amp;T$2&amp;T$1&amp;"P"&amp;$A22))/1000000,(100*RTD("tos.rtd",,"VOLUME","."&amp;T$2&amp;T$1&amp;"C"&amp;$A22)*RTD("tos.rtd",,"LAST","."&amp;T$2&amp;T$1&amp;"C"&amp;$A22)-100*RTD("tos.rtd",,"VOLUME","."&amp;T$2&amp;T$1&amp;"P"&amp;$A22)*RTD("tos.rtd",,"LAST","."&amp;T$2&amp;T$1&amp;"P"&amp;$A22))/1000000),0),IF($A$2="DEX",IFERROR(IF($X$1="ABS",(100*RTD("tos.rtd",,"OPEN_INT","."&amp;T$2&amp;T$1&amp;"C"&amp;$A22)*RTD("tos.rtd",,"DELTA","."&amp;T$2&amp;T$1&amp;"C"&amp;$A22)+100*RTD("tos.rtd",,"OPEN_INT","."&amp;T$2&amp;T$1&amp;"P"&amp;$A22)*RTD("tos.rtd",,"DELTA","."&amp;T$2&amp;T$1&amp;"P"&amp;$A22))/1000,(100*RTD("tos.rtd",,"OPEN_INT","."&amp;T$2&amp;T$1&amp;"C"&amp;$A22)*RTD("tos.rtd",,"DELTA","."&amp;T$2&amp;T$1&amp;"C"&amp;$A22)-100*RTD("tos.rtd",,"OPEN_INT","."&amp;T$2&amp;T$1&amp;"P"&amp;$A22)*RTD("tos.rtd",,"DELTA","."&amp;T$2&amp;T$1&amp;"P"&amp;$A22))/1000),0),IF($A$2="VEX",IFERROR(IF($X$1="ABS",($A$4*$A$4*RTD("tos.rtd",,"VOLUME","."&amp;T$2&amp;T$1&amp;"C"&amp;$A22)*RTD("tos.rtd",,"GAMMA","."&amp;T$2&amp;T$1&amp;"C"&amp;$A22)+$A$4*$A$4*RTD("tos.rtd",,"VOLUME","."&amp;T$2&amp;T$1&amp;"P"&amp;$A22)*RTD("tos.rtd",,"GAMMA","."&amp;T$2&amp;T$1&amp;"P"&amp;$A22))/1000000,($A$4*$A$4*RTD("tos.rtd",,"VOLUME","."&amp;T$2&amp;T$1&amp;"C"&amp;$A22)*RTD("tos.rtd",,"GAMMA","."&amp;T$2&amp;T$1&amp;"C"&amp;$A22)-$A$4*$A$4*RTD("tos.rtd",,"VOLUME","."&amp;T$2&amp;T$1&amp;"P"&amp;$A22)*RTD("tos.rtd",,"GAMMA","."&amp;T$2&amp;T$1&amp;"P"&amp;$A22))/1000000),0),IF($A$2="GEX",IFERROR(IF($X$1="ABS",($A$4*$A$4*RTD("tos.rtd",,"OPEN_INT","."&amp;T$2&amp;T$1&amp;"C"&amp;$A22)*RTD("tos.rtd",,"GAMMA","."&amp;T$2&amp;T$1&amp;"C"&amp;$A22)+$A$4*$A$4*RTD("tos.rtd",,"OPEN_INT","."&amp;T$2&amp;T$1&amp;"P"&amp;$A22)*RTD("tos.rtd",,"GAMMA","."&amp;T$2&amp;T$1&amp;"P"&amp;$A22))/1000000,($A$4*$A$4*RTD("tos.rtd",,"OPEN_INT","."&amp;T$2&amp;T$1&amp;"C"&amp;$A22)*RTD("tos.rtd",,"GAMMA","."&amp;T$2&amp;T$1&amp;"C"&amp;$A22)-$A$4*$A$4*RTD("tos.rtd",,"OPEN_INT","."&amp;T$2&amp;T$1&amp;"P"&amp;$A22)*RTD("tos.rtd",,"GAMMA","."&amp;T$2&amp;T$1&amp;"P"&amp;$A22))/1000000),0),IF($A$2="SKEW",IFERROR(VALUE(IF(RTD("tos.rtd",,"IMPL_VOL","."&amp;T$2&amp;T$1&amp;"P"&amp;$A22)="N/A",0,RTD("tos.rtd",,"IMPL_VOL","."&amp;T$2&amp;T$1&amp;"P"&amp;$A22))),0)-IFERROR(VALUE(IF(RTD("tos.rtd",,"IMPL_VOL","."&amp;T$2&amp;T$1&amp;"C"&amp;$A22)="N/A",0,RTD("tos.rtd",,"IMPL_VOL","."&amp;T$2&amp;T$1&amp;"C"&amp;$A22))),0),IF($A$2="MAXPAIN",IF($A$4&gt;$A22,($A$4-$A22)*IF(RTD("tos.rtd",,"OPEN_INT","."&amp;T$2&amp;T$1&amp;"C"&amp;$A22)="N/A",0,RTD("tos.rtd",,"OPEN_INT","."&amp;T$2&amp;T$1&amp;"C"&amp;$A22)),0)+IF($A$4&lt;$A22,($A$5-$A$4)*IF(RTD("tos.rtd",,"OPEN_INT","."&amp;T$2&amp;T$1&amp;"P"&amp;$A22)="N/A",0,RTD("tos.rtd",,"OPEN_INT","."&amp;T$2&amp;T$1&amp;"P"&amp;$A22)),0),IF($X$1="ABS",IF(RTD("tos.rtd",,$A$2,"."&amp;T$2&amp;T$1&amp;"C"&amp;$A22)="N/A",0,RTD("tos.rtd",,$A$2,"."&amp;T$2&amp;T$1&amp;"C"&amp;$A22))+IF(RTD("tos.rtd",,$A$2,"."&amp;T$2&amp;T$1&amp;"P"&amp;$A22)="N/A",0,RTD("tos.rtd",,$A$2,"."&amp;T$2&amp;T$1&amp;"P"&amp;$A22)),IF(RTD("tos.rtd",,$A$2,"."&amp;T$2&amp;T$1&amp;"C"&amp;$A22)="N/A",0,RTD("tos.rtd",,$A$2,"."&amp;T$2&amp;T$1&amp;"C"&amp;$A22))-IF(RTD("tos.rtd",,$A$2,"."&amp;T$2&amp;T$1&amp;"P"&amp;$A22)="N/A",0,RTD("tos.rtd",,$A$2,"."&amp;T$2&amp;T$1&amp;"P"&amp;$A22))))))))))</f>
        <v>0</v>
      </c>
      <c r="U22" s="12">
        <f ca="1">IF($A$2="PREMIUM_OI",IFERROR(IF($X$1="ABS",(100*RTD("tos.rtd",,"OPEN_INT","."&amp;U$2&amp;U$1&amp;"C"&amp;$A22)*RTD("tos.rtd",,"LAST","."&amp;U$2&amp;U$1&amp;"C"&amp;$A22)+100*RTD("tos.rtd",,"OPEN_INT","."&amp;U$2&amp;U$1&amp;"P"&amp;$A22)*RTD("tos.rtd",,"LAST","."&amp;U$2&amp;U$1&amp;"P"&amp;$A22))/1000000,(100*RTD("tos.rtd",,"OPEN_INT","."&amp;U$2&amp;U$1&amp;"C"&amp;$A22)*RTD("tos.rtd",,"LAST","."&amp;U$2&amp;U$1&amp;"C"&amp;$A22)-100*RTD("tos.rtd",,"OPEN_INT","."&amp;U$2&amp;U$1&amp;"P"&amp;$A22)*RTD("tos.rtd",,"LAST","."&amp;U$2&amp;U$1&amp;"P"&amp;$A22))/1000000),0),IF($A$2="PREMIUM",IFERROR(IF($X$1="ABS",(100*RTD("tos.rtd",,"VOLUME","."&amp;U$2&amp;U$1&amp;"C"&amp;$A22)*RTD("tos.rtd",,"LAST","."&amp;U$2&amp;U$1&amp;"C"&amp;$A22)+100*RTD("tos.rtd",,"VOLUME","."&amp;U$2&amp;U$1&amp;"P"&amp;$A22)*RTD("tos.rtd",,"LAST","."&amp;U$2&amp;U$1&amp;"P"&amp;$A22))/1000000,(100*RTD("tos.rtd",,"VOLUME","."&amp;U$2&amp;U$1&amp;"C"&amp;$A22)*RTD("tos.rtd",,"LAST","."&amp;U$2&amp;U$1&amp;"C"&amp;$A22)-100*RTD("tos.rtd",,"VOLUME","."&amp;U$2&amp;U$1&amp;"P"&amp;$A22)*RTD("tos.rtd",,"LAST","."&amp;U$2&amp;U$1&amp;"P"&amp;$A22))/1000000),0),IF($A$2="DEX",IFERROR(IF($X$1="ABS",(100*RTD("tos.rtd",,"OPEN_INT","."&amp;U$2&amp;U$1&amp;"C"&amp;$A22)*RTD("tos.rtd",,"DELTA","."&amp;U$2&amp;U$1&amp;"C"&amp;$A22)+100*RTD("tos.rtd",,"OPEN_INT","."&amp;U$2&amp;U$1&amp;"P"&amp;$A22)*RTD("tos.rtd",,"DELTA","."&amp;U$2&amp;U$1&amp;"P"&amp;$A22))/1000,(100*RTD("tos.rtd",,"OPEN_INT","."&amp;U$2&amp;U$1&amp;"C"&amp;$A22)*RTD("tos.rtd",,"DELTA","."&amp;U$2&amp;U$1&amp;"C"&amp;$A22)-100*RTD("tos.rtd",,"OPEN_INT","."&amp;U$2&amp;U$1&amp;"P"&amp;$A22)*RTD("tos.rtd",,"DELTA","."&amp;U$2&amp;U$1&amp;"P"&amp;$A22))/1000),0),IF($A$2="VEX",IFERROR(IF($X$1="ABS",($A$4*$A$4*RTD("tos.rtd",,"VOLUME","."&amp;U$2&amp;U$1&amp;"C"&amp;$A22)*RTD("tos.rtd",,"GAMMA","."&amp;U$2&amp;U$1&amp;"C"&amp;$A22)+$A$4*$A$4*RTD("tos.rtd",,"VOLUME","."&amp;U$2&amp;U$1&amp;"P"&amp;$A22)*RTD("tos.rtd",,"GAMMA","."&amp;U$2&amp;U$1&amp;"P"&amp;$A22))/1000000,($A$4*$A$4*RTD("tos.rtd",,"VOLUME","."&amp;U$2&amp;U$1&amp;"C"&amp;$A22)*RTD("tos.rtd",,"GAMMA","."&amp;U$2&amp;U$1&amp;"C"&amp;$A22)-$A$4*$A$4*RTD("tos.rtd",,"VOLUME","."&amp;U$2&amp;U$1&amp;"P"&amp;$A22)*RTD("tos.rtd",,"GAMMA","."&amp;U$2&amp;U$1&amp;"P"&amp;$A22))/1000000),0),IF($A$2="GEX",IFERROR(IF($X$1="ABS",($A$4*$A$4*RTD("tos.rtd",,"OPEN_INT","."&amp;U$2&amp;U$1&amp;"C"&amp;$A22)*RTD("tos.rtd",,"GAMMA","."&amp;U$2&amp;U$1&amp;"C"&amp;$A22)+$A$4*$A$4*RTD("tos.rtd",,"OPEN_INT","."&amp;U$2&amp;U$1&amp;"P"&amp;$A22)*RTD("tos.rtd",,"GAMMA","."&amp;U$2&amp;U$1&amp;"P"&amp;$A22))/1000000,($A$4*$A$4*RTD("tos.rtd",,"OPEN_INT","."&amp;U$2&amp;U$1&amp;"C"&amp;$A22)*RTD("tos.rtd",,"GAMMA","."&amp;U$2&amp;U$1&amp;"C"&amp;$A22)-$A$4*$A$4*RTD("tos.rtd",,"OPEN_INT","."&amp;U$2&amp;U$1&amp;"P"&amp;$A22)*RTD("tos.rtd",,"GAMMA","."&amp;U$2&amp;U$1&amp;"P"&amp;$A22))/1000000),0),IF($A$2="SKEW",IFERROR(VALUE(IF(RTD("tos.rtd",,"IMPL_VOL","."&amp;U$2&amp;U$1&amp;"P"&amp;$A22)="N/A",0,RTD("tos.rtd",,"IMPL_VOL","."&amp;U$2&amp;U$1&amp;"P"&amp;$A22))),0)-IFERROR(VALUE(IF(RTD("tos.rtd",,"IMPL_VOL","."&amp;U$2&amp;U$1&amp;"C"&amp;$A22)="N/A",0,RTD("tos.rtd",,"IMPL_VOL","."&amp;U$2&amp;U$1&amp;"C"&amp;$A22))),0),IF($A$2="MAXPAIN",IF($A$4&gt;$A22,($A$4-$A22)*IF(RTD("tos.rtd",,"OPEN_INT","."&amp;U$2&amp;U$1&amp;"C"&amp;$A22)="N/A",0,RTD("tos.rtd",,"OPEN_INT","."&amp;U$2&amp;U$1&amp;"C"&amp;$A22)),0)+IF($A$4&lt;$A22,($A$5-$A$4)*IF(RTD("tos.rtd",,"OPEN_INT","."&amp;U$2&amp;U$1&amp;"P"&amp;$A22)="N/A",0,RTD("tos.rtd",,"OPEN_INT","."&amp;U$2&amp;U$1&amp;"P"&amp;$A22)),0),IF($X$1="ABS",IF(RTD("tos.rtd",,$A$2,"."&amp;U$2&amp;U$1&amp;"C"&amp;$A22)="N/A",0,RTD("tos.rtd",,$A$2,"."&amp;U$2&amp;U$1&amp;"C"&amp;$A22))+IF(RTD("tos.rtd",,$A$2,"."&amp;U$2&amp;U$1&amp;"P"&amp;$A22)="N/A",0,RTD("tos.rtd",,$A$2,"."&amp;U$2&amp;U$1&amp;"P"&amp;$A22)),IF(RTD("tos.rtd",,$A$2,"."&amp;U$2&amp;U$1&amp;"C"&amp;$A22)="N/A",0,RTD("tos.rtd",,$A$2,"."&amp;U$2&amp;U$1&amp;"C"&amp;$A22))-IF(RTD("tos.rtd",,$A$2,"."&amp;U$2&amp;U$1&amp;"P"&amp;$A22)="N/A",0,RTD("tos.rtd",,$A$2,"."&amp;U$2&amp;U$1&amp;"P"&amp;$A22))))))))))</f>
        <v>0</v>
      </c>
      <c r="V22" s="12">
        <f ca="1">IF($A$2="PREMIUM_OI",IFERROR(IF($X$1="ABS",(100*RTD("tos.rtd",,"OPEN_INT","."&amp;V$2&amp;V$1&amp;"C"&amp;$A22)*RTD("tos.rtd",,"LAST","."&amp;V$2&amp;V$1&amp;"C"&amp;$A22)+100*RTD("tos.rtd",,"OPEN_INT","."&amp;V$2&amp;V$1&amp;"P"&amp;$A22)*RTD("tos.rtd",,"LAST","."&amp;V$2&amp;V$1&amp;"P"&amp;$A22))/1000000,(100*RTD("tos.rtd",,"OPEN_INT","."&amp;V$2&amp;V$1&amp;"C"&amp;$A22)*RTD("tos.rtd",,"LAST","."&amp;V$2&amp;V$1&amp;"C"&amp;$A22)-100*RTD("tos.rtd",,"OPEN_INT","."&amp;V$2&amp;V$1&amp;"P"&amp;$A22)*RTD("tos.rtd",,"LAST","."&amp;V$2&amp;V$1&amp;"P"&amp;$A22))/1000000),0),IF($A$2="PREMIUM",IFERROR(IF($X$1="ABS",(100*RTD("tos.rtd",,"VOLUME","."&amp;V$2&amp;V$1&amp;"C"&amp;$A22)*RTD("tos.rtd",,"LAST","."&amp;V$2&amp;V$1&amp;"C"&amp;$A22)+100*RTD("tos.rtd",,"VOLUME","."&amp;V$2&amp;V$1&amp;"P"&amp;$A22)*RTD("tos.rtd",,"LAST","."&amp;V$2&amp;V$1&amp;"P"&amp;$A22))/1000000,(100*RTD("tos.rtd",,"VOLUME","."&amp;V$2&amp;V$1&amp;"C"&amp;$A22)*RTD("tos.rtd",,"LAST","."&amp;V$2&amp;V$1&amp;"C"&amp;$A22)-100*RTD("tos.rtd",,"VOLUME","."&amp;V$2&amp;V$1&amp;"P"&amp;$A22)*RTD("tos.rtd",,"LAST","."&amp;V$2&amp;V$1&amp;"P"&amp;$A22))/1000000),0),IF($A$2="DEX",IFERROR(IF($X$1="ABS",(100*RTD("tos.rtd",,"OPEN_INT","."&amp;V$2&amp;V$1&amp;"C"&amp;$A22)*RTD("tos.rtd",,"DELTA","."&amp;V$2&amp;V$1&amp;"C"&amp;$A22)+100*RTD("tos.rtd",,"OPEN_INT","."&amp;V$2&amp;V$1&amp;"P"&amp;$A22)*RTD("tos.rtd",,"DELTA","."&amp;V$2&amp;V$1&amp;"P"&amp;$A22))/1000,(100*RTD("tos.rtd",,"OPEN_INT","."&amp;V$2&amp;V$1&amp;"C"&amp;$A22)*RTD("tos.rtd",,"DELTA","."&amp;V$2&amp;V$1&amp;"C"&amp;$A22)-100*RTD("tos.rtd",,"OPEN_INT","."&amp;V$2&amp;V$1&amp;"P"&amp;$A22)*RTD("tos.rtd",,"DELTA","."&amp;V$2&amp;V$1&amp;"P"&amp;$A22))/1000),0),IF($A$2="VEX",IFERROR(IF($X$1="ABS",($A$4*$A$4*RTD("tos.rtd",,"VOLUME","."&amp;V$2&amp;V$1&amp;"C"&amp;$A22)*RTD("tos.rtd",,"GAMMA","."&amp;V$2&amp;V$1&amp;"C"&amp;$A22)+$A$4*$A$4*RTD("tos.rtd",,"VOLUME","."&amp;V$2&amp;V$1&amp;"P"&amp;$A22)*RTD("tos.rtd",,"GAMMA","."&amp;V$2&amp;V$1&amp;"P"&amp;$A22))/1000000,($A$4*$A$4*RTD("tos.rtd",,"VOLUME","."&amp;V$2&amp;V$1&amp;"C"&amp;$A22)*RTD("tos.rtd",,"GAMMA","."&amp;V$2&amp;V$1&amp;"C"&amp;$A22)-$A$4*$A$4*RTD("tos.rtd",,"VOLUME","."&amp;V$2&amp;V$1&amp;"P"&amp;$A22)*RTD("tos.rtd",,"GAMMA","."&amp;V$2&amp;V$1&amp;"P"&amp;$A22))/1000000),0),IF($A$2="GEX",IFERROR(IF($X$1="ABS",($A$4*$A$4*RTD("tos.rtd",,"OPEN_INT","."&amp;V$2&amp;V$1&amp;"C"&amp;$A22)*RTD("tos.rtd",,"GAMMA","."&amp;V$2&amp;V$1&amp;"C"&amp;$A22)+$A$4*$A$4*RTD("tos.rtd",,"OPEN_INT","."&amp;V$2&amp;V$1&amp;"P"&amp;$A22)*RTD("tos.rtd",,"GAMMA","."&amp;V$2&amp;V$1&amp;"P"&amp;$A22))/1000000,($A$4*$A$4*RTD("tos.rtd",,"OPEN_INT","."&amp;V$2&amp;V$1&amp;"C"&amp;$A22)*RTD("tos.rtd",,"GAMMA","."&amp;V$2&amp;V$1&amp;"C"&amp;$A22)-$A$4*$A$4*RTD("tos.rtd",,"OPEN_INT","."&amp;V$2&amp;V$1&amp;"P"&amp;$A22)*RTD("tos.rtd",,"GAMMA","."&amp;V$2&amp;V$1&amp;"P"&amp;$A22))/1000000),0),IF($A$2="SKEW",IFERROR(VALUE(IF(RTD("tos.rtd",,"IMPL_VOL","."&amp;V$2&amp;V$1&amp;"P"&amp;$A22)="N/A",0,RTD("tos.rtd",,"IMPL_VOL","."&amp;V$2&amp;V$1&amp;"P"&amp;$A22))),0)-IFERROR(VALUE(IF(RTD("tos.rtd",,"IMPL_VOL","."&amp;V$2&amp;V$1&amp;"C"&amp;$A22)="N/A",0,RTD("tos.rtd",,"IMPL_VOL","."&amp;V$2&amp;V$1&amp;"C"&amp;$A22))),0),IF($A$2="MAXPAIN",IF($A$4&gt;$A22,($A$4-$A22)*IF(RTD("tos.rtd",,"OPEN_INT","."&amp;V$2&amp;V$1&amp;"C"&amp;$A22)="N/A",0,RTD("tos.rtd",,"OPEN_INT","."&amp;V$2&amp;V$1&amp;"C"&amp;$A22)),0)+IF($A$4&lt;$A22,($A$5-$A$4)*IF(RTD("tos.rtd",,"OPEN_INT","."&amp;V$2&amp;V$1&amp;"P"&amp;$A22)="N/A",0,RTD("tos.rtd",,"OPEN_INT","."&amp;V$2&amp;V$1&amp;"P"&amp;$A22)),0),IF($X$1="ABS",IF(RTD("tos.rtd",,$A$2,"."&amp;V$2&amp;V$1&amp;"C"&amp;$A22)="N/A",0,RTD("tos.rtd",,$A$2,"."&amp;V$2&amp;V$1&amp;"C"&amp;$A22))+IF(RTD("tos.rtd",,$A$2,"."&amp;V$2&amp;V$1&amp;"P"&amp;$A22)="N/A",0,RTD("tos.rtd",,$A$2,"."&amp;V$2&amp;V$1&amp;"P"&amp;$A22)),IF(RTD("tos.rtd",,$A$2,"."&amp;V$2&amp;V$1&amp;"C"&amp;$A22)="N/A",0,RTD("tos.rtd",,$A$2,"."&amp;V$2&amp;V$1&amp;"C"&amp;$A22))-IF(RTD("tos.rtd",,$A$2,"."&amp;V$2&amp;V$1&amp;"P"&amp;$A22)="N/A",0,RTD("tos.rtd",,$A$2,"."&amp;V$2&amp;V$1&amp;"P"&amp;$A22))))))))))</f>
        <v>0</v>
      </c>
      <c r="W22" s="54">
        <f ca="1">IF($A$2="PREMIUM_OI",IFERROR(IF($X$1="ABS",(100*RTD("tos.rtd",,"OPEN_INT","."&amp;W$2&amp;W$1&amp;"C"&amp;$A22)*RTD("tos.rtd",,"LAST","."&amp;W$2&amp;W$1&amp;"C"&amp;$A22)+100*RTD("tos.rtd",,"OPEN_INT","."&amp;W$2&amp;W$1&amp;"P"&amp;$A22)*RTD("tos.rtd",,"LAST","."&amp;W$2&amp;W$1&amp;"P"&amp;$A22))/1000000,(100*RTD("tos.rtd",,"OPEN_INT","."&amp;W$2&amp;W$1&amp;"C"&amp;$A22)*RTD("tos.rtd",,"LAST","."&amp;W$2&amp;W$1&amp;"C"&amp;$A22)-100*RTD("tos.rtd",,"OPEN_INT","."&amp;W$2&amp;W$1&amp;"P"&amp;$A22)*RTD("tos.rtd",,"LAST","."&amp;W$2&amp;W$1&amp;"P"&amp;$A22))/1000000),0),IF($A$2="PREMIUM",IFERROR(IF($X$1="ABS",(100*RTD("tos.rtd",,"VOLUME","."&amp;W$2&amp;W$1&amp;"C"&amp;$A22)*RTD("tos.rtd",,"LAST","."&amp;W$2&amp;W$1&amp;"C"&amp;$A22)+100*RTD("tos.rtd",,"VOLUME","."&amp;W$2&amp;W$1&amp;"P"&amp;$A22)*RTD("tos.rtd",,"LAST","."&amp;W$2&amp;W$1&amp;"P"&amp;$A22))/1000000,(100*RTD("tos.rtd",,"VOLUME","."&amp;W$2&amp;W$1&amp;"C"&amp;$A22)*RTD("tos.rtd",,"LAST","."&amp;W$2&amp;W$1&amp;"C"&amp;$A22)-100*RTD("tos.rtd",,"VOLUME","."&amp;W$2&amp;W$1&amp;"P"&amp;$A22)*RTD("tos.rtd",,"LAST","."&amp;W$2&amp;W$1&amp;"P"&amp;$A22))/1000000),0),IF($A$2="DEX",IFERROR(IF($X$1="ABS",(100*RTD("tos.rtd",,"OPEN_INT","."&amp;W$2&amp;W$1&amp;"C"&amp;$A22)*RTD("tos.rtd",,"DELTA","."&amp;W$2&amp;W$1&amp;"C"&amp;$A22)+100*RTD("tos.rtd",,"OPEN_INT","."&amp;W$2&amp;W$1&amp;"P"&amp;$A22)*RTD("tos.rtd",,"DELTA","."&amp;W$2&amp;W$1&amp;"P"&amp;$A22))/1000,(100*RTD("tos.rtd",,"OPEN_INT","."&amp;W$2&amp;W$1&amp;"C"&amp;$A22)*RTD("tos.rtd",,"DELTA","."&amp;W$2&amp;W$1&amp;"C"&amp;$A22)-100*RTD("tos.rtd",,"OPEN_INT","."&amp;W$2&amp;W$1&amp;"P"&amp;$A22)*RTD("tos.rtd",,"DELTA","."&amp;W$2&amp;W$1&amp;"P"&amp;$A22))/1000),0),IF($A$2="VEX",IFERROR(IF($X$1="ABS",($A$4*$A$4*RTD("tos.rtd",,"VOLUME","."&amp;W$2&amp;W$1&amp;"C"&amp;$A22)*RTD("tos.rtd",,"GAMMA","."&amp;W$2&amp;W$1&amp;"C"&amp;$A22)+$A$4*$A$4*RTD("tos.rtd",,"VOLUME","."&amp;W$2&amp;W$1&amp;"P"&amp;$A22)*RTD("tos.rtd",,"GAMMA","."&amp;W$2&amp;W$1&amp;"P"&amp;$A22))/1000000,($A$4*$A$4*RTD("tos.rtd",,"VOLUME","."&amp;W$2&amp;W$1&amp;"C"&amp;$A22)*RTD("tos.rtd",,"GAMMA","."&amp;W$2&amp;W$1&amp;"C"&amp;$A22)-$A$4*$A$4*RTD("tos.rtd",,"VOLUME","."&amp;W$2&amp;W$1&amp;"P"&amp;$A22)*RTD("tos.rtd",,"GAMMA","."&amp;W$2&amp;W$1&amp;"P"&amp;$A22))/1000000),0),IF($A$2="GEX",IFERROR(IF($X$1="ABS",($A$4*$A$4*RTD("tos.rtd",,"OPEN_INT","."&amp;W$2&amp;W$1&amp;"C"&amp;$A22)*RTD("tos.rtd",,"GAMMA","."&amp;W$2&amp;W$1&amp;"C"&amp;$A22)+$A$4*$A$4*RTD("tos.rtd",,"OPEN_INT","."&amp;W$2&amp;W$1&amp;"P"&amp;$A22)*RTD("tos.rtd",,"GAMMA","."&amp;W$2&amp;W$1&amp;"P"&amp;$A22))/1000000,($A$4*$A$4*RTD("tos.rtd",,"OPEN_INT","."&amp;W$2&amp;W$1&amp;"C"&amp;$A22)*RTD("tos.rtd",,"GAMMA","."&amp;W$2&amp;W$1&amp;"C"&amp;$A22)-$A$4*$A$4*RTD("tos.rtd",,"OPEN_INT","."&amp;W$2&amp;W$1&amp;"P"&amp;$A22)*RTD("tos.rtd",,"GAMMA","."&amp;W$2&amp;W$1&amp;"P"&amp;$A22))/1000000),0),IF($A$2="SKEW",IFERROR(VALUE(IF(RTD("tos.rtd",,"IMPL_VOL","."&amp;W$2&amp;W$1&amp;"P"&amp;$A22)="N/A",0,RTD("tos.rtd",,"IMPL_VOL","."&amp;W$2&amp;W$1&amp;"P"&amp;$A22))),0)-IFERROR(VALUE(IF(RTD("tos.rtd",,"IMPL_VOL","."&amp;W$2&amp;W$1&amp;"C"&amp;$A22)="N/A",0,RTD("tos.rtd",,"IMPL_VOL","."&amp;W$2&amp;W$1&amp;"C"&amp;$A22))),0),IF($A$2="MAXPAIN",IF($A$4&gt;$A22,($A$4-$A22)*IF(RTD("tos.rtd",,"OPEN_INT","."&amp;W$2&amp;W$1&amp;"C"&amp;$A22)="N/A",0,RTD("tos.rtd",,"OPEN_INT","."&amp;W$2&amp;W$1&amp;"C"&amp;$A22)),0)+IF($A$4&lt;$A22,($A$5-$A$4)*IF(RTD("tos.rtd",,"OPEN_INT","."&amp;W$2&amp;W$1&amp;"P"&amp;$A22)="N/A",0,RTD("tos.rtd",,"OPEN_INT","."&amp;W$2&amp;W$1&amp;"P"&amp;$A22)),0),IF($X$1="ABS",IF(RTD("tos.rtd",,$A$2,"."&amp;W$2&amp;W$1&amp;"C"&amp;$A22)="N/A",0,RTD("tos.rtd",,$A$2,"."&amp;W$2&amp;W$1&amp;"C"&amp;$A22))+IF(RTD("tos.rtd",,$A$2,"."&amp;W$2&amp;W$1&amp;"P"&amp;$A22)="N/A",0,RTD("tos.rtd",,$A$2,"."&amp;W$2&amp;W$1&amp;"P"&amp;$A22)),IF(RTD("tos.rtd",,$A$2,"."&amp;W$2&amp;W$1&amp;"C"&amp;$A22)="N/A",0,RTD("tos.rtd",,$A$2,"."&amp;W$2&amp;W$1&amp;"C"&amp;$A22))-IF(RTD("tos.rtd",,$A$2,"."&amp;W$2&amp;W$1&amp;"P"&amp;$A22)="N/A",0,RTD("tos.rtd",,$A$2,"."&amp;W$2&amp;W$1&amp;"P"&amp;$A22))))))))))</f>
        <v>0</v>
      </c>
      <c r="X22" s="57">
        <f t="shared" ca="1" si="8"/>
        <v>0</v>
      </c>
      <c r="Y22" s="27">
        <f t="shared" ca="1" si="9"/>
        <v>0</v>
      </c>
      <c r="Z22" s="27">
        <f ca="1">+'OI-VOL'!Y22</f>
        <v>39347</v>
      </c>
      <c r="AA22" s="27" t="b">
        <f t="shared" ca="1" si="10"/>
        <v>0</v>
      </c>
      <c r="AB22" s="27">
        <f t="shared" si="11"/>
        <v>89766650</v>
      </c>
      <c r="AC22" s="18">
        <f>MAX(0, $A22-AC$4)*IF(RTD("tos.rtd",,"OPEN_INT","."&amp;$AB$3&amp;$AB$4&amp;"C"&amp;AC$4)="N/A",0,RTD("tos.rtd",,"OPEN_INT","."&amp;$AB$3&amp;$AB$4&amp;"C"&amp;AC$4))*100 + MAX(0, AC$4-$A22)*IF(RTD("tos.rtd",,"OPEN_INT","."&amp;$AB$3&amp;$AB$4&amp;"P"&amp;AC$4)="N/A",0,RTD("tos.rtd",,"OPEN_INT","."&amp;$AB$3&amp;$AB$4&amp;"P"&amp;AC$4))*100</f>
        <v>0</v>
      </c>
      <c r="AD22" s="18">
        <f>MAX(0, $A22-AD$4)*IF(RTD("tos.rtd",,"OPEN_INT","."&amp;$AB$3&amp;$AB$4&amp;"C"&amp;AD$4)="N/A",0,RTD("tos.rtd",,"OPEN_INT","."&amp;$AB$3&amp;$AB$4&amp;"C"&amp;AD$4))*100 + MAX(0, AD$4-$A22)*IF(RTD("tos.rtd",,"OPEN_INT","."&amp;$AB$3&amp;$AB$4&amp;"P"&amp;AD$4)="N/A",0,RTD("tos.rtd",,"OPEN_INT","."&amp;$AB$3&amp;$AB$4&amp;"P"&amp;AD$4))*100</f>
        <v>0</v>
      </c>
      <c r="AE22" s="18">
        <f>MAX(0, $A22-AE$4)*IF(RTD("tos.rtd",,"OPEN_INT","."&amp;$AB$3&amp;$AB$4&amp;"C"&amp;AE$4)="N/A",0,RTD("tos.rtd",,"OPEN_INT","."&amp;$AB$3&amp;$AB$4&amp;"C"&amp;AE$4))*100 + MAX(0, AE$4-$A22)*IF(RTD("tos.rtd",,"OPEN_INT","."&amp;$AB$3&amp;$AB$4&amp;"P"&amp;AE$4)="N/A",0,RTD("tos.rtd",,"OPEN_INT","."&amp;$AB$3&amp;$AB$4&amp;"P"&amp;AE$4))*100</f>
        <v>0</v>
      </c>
      <c r="AF22" s="18">
        <f>MAX(0, $A22-AF$4)*IF(RTD("tos.rtd",,"OPEN_INT","."&amp;$AB$3&amp;$AB$4&amp;"C"&amp;AF$4)="N/A",0,RTD("tos.rtd",,"OPEN_INT","."&amp;$AB$3&amp;$AB$4&amp;"C"&amp;AF$4))*100 + MAX(0, AF$4-$A22)*IF(RTD("tos.rtd",,"OPEN_INT","."&amp;$AB$3&amp;$AB$4&amp;"P"&amp;AF$4)="N/A",0,RTD("tos.rtd",,"OPEN_INT","."&amp;$AB$3&amp;$AB$4&amp;"P"&amp;AF$4))*100</f>
        <v>0</v>
      </c>
      <c r="AG22" s="18">
        <f>MAX(0, $A22-AG$4)*IF(RTD("tos.rtd",,"OPEN_INT","."&amp;$AB$3&amp;$AB$4&amp;"C"&amp;AG$4)="N/A",0,RTD("tos.rtd",,"OPEN_INT","."&amp;$AB$3&amp;$AB$4&amp;"C"&amp;AG$4))*100 + MAX(0, AG$4-$A22)*IF(RTD("tos.rtd",,"OPEN_INT","."&amp;$AB$3&amp;$AB$4&amp;"P"&amp;AG$4)="N/A",0,RTD("tos.rtd",,"OPEN_INT","."&amp;$AB$3&amp;$AB$4&amp;"P"&amp;AG$4))*100</f>
        <v>0</v>
      </c>
      <c r="AH22" s="18">
        <f>MAX(0, $A22-AH$4)*IF(RTD("tos.rtd",,"OPEN_INT","."&amp;$AB$3&amp;$AB$4&amp;"C"&amp;AH$4)="N/A",0,RTD("tos.rtd",,"OPEN_INT","."&amp;$AB$3&amp;$AB$4&amp;"C"&amp;AH$4))*100 + MAX(0, AH$4-$A22)*IF(RTD("tos.rtd",,"OPEN_INT","."&amp;$AB$3&amp;$AB$4&amp;"P"&amp;AH$4)="N/A",0,RTD("tos.rtd",,"OPEN_INT","."&amp;$AB$3&amp;$AB$4&amp;"P"&amp;AH$4))*100</f>
        <v>0</v>
      </c>
      <c r="AI22" s="18">
        <f>MAX(0, $A22-AI$4)*IF(RTD("tos.rtd",,"OPEN_INT","."&amp;$AB$3&amp;$AB$4&amp;"C"&amp;AI$4)="N/A",0,RTD("tos.rtd",,"OPEN_INT","."&amp;$AB$3&amp;$AB$4&amp;"C"&amp;AI$4))*100 + MAX(0, AI$4-$A22)*IF(RTD("tos.rtd",,"OPEN_INT","."&amp;$AB$3&amp;$AB$4&amp;"P"&amp;AI$4)="N/A",0,RTD("tos.rtd",,"OPEN_INT","."&amp;$AB$3&amp;$AB$4&amp;"P"&amp;AI$4))*100</f>
        <v>0</v>
      </c>
      <c r="AJ22" s="18">
        <f>MAX(0, $A22-AJ$4)*IF(RTD("tos.rtd",,"OPEN_INT","."&amp;$AB$3&amp;$AB$4&amp;"C"&amp;AJ$4)="N/A",0,RTD("tos.rtd",,"OPEN_INT","."&amp;$AB$3&amp;$AB$4&amp;"C"&amp;AJ$4))*100 + MAX(0, AJ$4-$A22)*IF(RTD("tos.rtd",,"OPEN_INT","."&amp;$AB$3&amp;$AB$4&amp;"P"&amp;AJ$4)="N/A",0,RTD("tos.rtd",,"OPEN_INT","."&amp;$AB$3&amp;$AB$4&amp;"P"&amp;AJ$4))*100</f>
        <v>1500</v>
      </c>
      <c r="AK22" s="18">
        <f>MAX(0, $A22-AK$4)*IF(RTD("tos.rtd",,"OPEN_INT","."&amp;$AB$3&amp;$AB$4&amp;"C"&amp;AK$4)="N/A",0,RTD("tos.rtd",,"OPEN_INT","."&amp;$AB$3&amp;$AB$4&amp;"C"&amp;AK$4))*100 + MAX(0, AK$4-$A22)*IF(RTD("tos.rtd",,"OPEN_INT","."&amp;$AB$3&amp;$AB$4&amp;"P"&amp;AK$4)="N/A",0,RTD("tos.rtd",,"OPEN_INT","."&amp;$AB$3&amp;$AB$4&amp;"P"&amp;AK$4))*100</f>
        <v>3600</v>
      </c>
      <c r="AL22" s="18">
        <f>MAX(0, $A22-AL$4)*IF(RTD("tos.rtd",,"OPEN_INT","."&amp;$AB$3&amp;$AB$4&amp;"C"&amp;AL$4)="N/A",0,RTD("tos.rtd",,"OPEN_INT","."&amp;$AB$3&amp;$AB$4&amp;"C"&amp;AL$4))*100 + MAX(0, AL$4-$A22)*IF(RTD("tos.rtd",,"OPEN_INT","."&amp;$AB$3&amp;$AB$4&amp;"P"&amp;AL$4)="N/A",0,RTD("tos.rtd",,"OPEN_INT","."&amp;$AB$3&amp;$AB$4&amp;"P"&amp;AL$4))*100</f>
        <v>0</v>
      </c>
      <c r="AM22" s="18">
        <f>MAX(0, $A22-AM$4)*IF(RTD("tos.rtd",,"OPEN_INT","."&amp;$AB$3&amp;$AB$4&amp;"C"&amp;AM$4)="N/A",0,RTD("tos.rtd",,"OPEN_INT","."&amp;$AB$3&amp;$AB$4&amp;"C"&amp;AM$4))*100 + MAX(0, AM$4-$A22)*IF(RTD("tos.rtd",,"OPEN_INT","."&amp;$AB$3&amp;$AB$4&amp;"P"&amp;AM$4)="N/A",0,RTD("tos.rtd",,"OPEN_INT","."&amp;$AB$3&amp;$AB$4&amp;"P"&amp;AM$4))*100</f>
        <v>0</v>
      </c>
      <c r="AN22" s="18">
        <f>MAX(0, $A22-AN$4)*IF(RTD("tos.rtd",,"OPEN_INT","."&amp;$AB$3&amp;$AB$4&amp;"C"&amp;AN$4)="N/A",0,RTD("tos.rtd",,"OPEN_INT","."&amp;$AB$3&amp;$AB$4&amp;"C"&amp;AN$4))*100 + MAX(0, AN$4-$A22)*IF(RTD("tos.rtd",,"OPEN_INT","."&amp;$AB$3&amp;$AB$4&amp;"P"&amp;AN$4)="N/A",0,RTD("tos.rtd",,"OPEN_INT","."&amp;$AB$3&amp;$AB$4&amp;"P"&amp;AN$4))*100</f>
        <v>0</v>
      </c>
      <c r="AO22" s="18">
        <f>MAX(0, $A22-AO$4)*IF(RTD("tos.rtd",,"OPEN_INT","."&amp;$AB$3&amp;$AB$4&amp;"C"&amp;AO$4)="N/A",0,RTD("tos.rtd",,"OPEN_INT","."&amp;$AB$3&amp;$AB$4&amp;"C"&amp;AO$4))*100 + MAX(0, AO$4-$A22)*IF(RTD("tos.rtd",,"OPEN_INT","."&amp;$AB$3&amp;$AB$4&amp;"P"&amp;AO$4)="N/A",0,RTD("tos.rtd",,"OPEN_INT","."&amp;$AB$3&amp;$AB$4&amp;"P"&amp;AO$4))*100</f>
        <v>0</v>
      </c>
      <c r="AP22" s="18">
        <f>MAX(0, $A22-AP$4)*IF(RTD("tos.rtd",,"OPEN_INT","."&amp;$AB$3&amp;$AB$4&amp;"C"&amp;AP$4)="N/A",0,RTD("tos.rtd",,"OPEN_INT","."&amp;$AB$3&amp;$AB$4&amp;"C"&amp;AP$4))*100 + MAX(0, AP$4-$A22)*IF(RTD("tos.rtd",,"OPEN_INT","."&amp;$AB$3&amp;$AB$4&amp;"P"&amp;AP$4)="N/A",0,RTD("tos.rtd",,"OPEN_INT","."&amp;$AB$3&amp;$AB$4&amp;"P"&amp;AP$4))*100</f>
        <v>24000</v>
      </c>
      <c r="AQ22" s="18">
        <f>MAX(0, $A22-AQ$4)*IF(RTD("tos.rtd",,"OPEN_INT","."&amp;$AB$3&amp;$AB$4&amp;"C"&amp;AQ$4)="N/A",0,RTD("tos.rtd",,"OPEN_INT","."&amp;$AB$3&amp;$AB$4&amp;"C"&amp;AQ$4))*100 + MAX(0, AQ$4-$A22)*IF(RTD("tos.rtd",,"OPEN_INT","."&amp;$AB$3&amp;$AB$4&amp;"P"&amp;AQ$4)="N/A",0,RTD("tos.rtd",,"OPEN_INT","."&amp;$AB$3&amp;$AB$4&amp;"P"&amp;AQ$4))*100</f>
        <v>0</v>
      </c>
      <c r="AR22" s="18">
        <f>MAX(0, $A22-AR$4)*IF(RTD("tos.rtd",,"OPEN_INT","."&amp;$AB$3&amp;$AB$4&amp;"C"&amp;AR$4)="N/A",0,RTD("tos.rtd",,"OPEN_INT","."&amp;$AB$3&amp;$AB$4&amp;"C"&amp;AR$4))*100 + MAX(0, AR$4-$A22)*IF(RTD("tos.rtd",,"OPEN_INT","."&amp;$AB$3&amp;$AB$4&amp;"P"&amp;AR$4)="N/A",0,RTD("tos.rtd",,"OPEN_INT","."&amp;$AB$3&amp;$AB$4&amp;"P"&amp;AR$4))*100</f>
        <v>5300</v>
      </c>
      <c r="AS22" s="18">
        <f>MAX(0, $A22-AS$4)*IF(RTD("tos.rtd",,"OPEN_INT","."&amp;$AB$3&amp;$AB$4&amp;"C"&amp;AS$4)="N/A",0,RTD("tos.rtd",,"OPEN_INT","."&amp;$AB$3&amp;$AB$4&amp;"C"&amp;AS$4))*100 + MAX(0, AS$4-$A22)*IF(RTD("tos.rtd",,"OPEN_INT","."&amp;$AB$3&amp;$AB$4&amp;"P"&amp;AS$4)="N/A",0,RTD("tos.rtd",,"OPEN_INT","."&amp;$AB$3&amp;$AB$4&amp;"P"&amp;AS$4))*100</f>
        <v>300</v>
      </c>
      <c r="AT22" s="18">
        <f>MAX(0, $A22-AT$4)*IF(RTD("tos.rtd",,"OPEN_INT","."&amp;$AB$3&amp;$AB$4&amp;"C"&amp;AT$4)="N/A",0,RTD("tos.rtd",,"OPEN_INT","."&amp;$AB$3&amp;$AB$4&amp;"C"&amp;AT$4))*100 + MAX(0, AT$4-$A22)*IF(RTD("tos.rtd",,"OPEN_INT","."&amp;$AB$3&amp;$AB$4&amp;"P"&amp;AT$4)="N/A",0,RTD("tos.rtd",,"OPEN_INT","."&amp;$AB$3&amp;$AB$4&amp;"P"&amp;AT$4))*100</f>
        <v>0</v>
      </c>
      <c r="AU22" s="18">
        <f>MAX(0, $A22-AU$4)*IF(RTD("tos.rtd",,"OPEN_INT","."&amp;$AB$3&amp;$AB$4&amp;"C"&amp;AU$4)="N/A",0,RTD("tos.rtd",,"OPEN_INT","."&amp;$AB$3&amp;$AB$4&amp;"C"&amp;AU$4))*100 + MAX(0, AU$4-$A22)*IF(RTD("tos.rtd",,"OPEN_INT","."&amp;$AB$3&amp;$AB$4&amp;"P"&amp;AU$4)="N/A",0,RTD("tos.rtd",,"OPEN_INT","."&amp;$AB$3&amp;$AB$4&amp;"P"&amp;AU$4))*100</f>
        <v>70100</v>
      </c>
      <c r="AV22" s="18">
        <f>MAX(0, $A22-AV$4)*IF(RTD("tos.rtd",,"OPEN_INT","."&amp;$AB$3&amp;$AB$4&amp;"C"&amp;AV$4)="N/A",0,RTD("tos.rtd",,"OPEN_INT","."&amp;$AB$3&amp;$AB$4&amp;"C"&amp;AV$4))*100 + MAX(0, AV$4-$A22)*IF(RTD("tos.rtd",,"OPEN_INT","."&amp;$AB$3&amp;$AB$4&amp;"P"&amp;AV$4)="N/A",0,RTD("tos.rtd",,"OPEN_INT","."&amp;$AB$3&amp;$AB$4&amp;"P"&amp;AV$4))*100</f>
        <v>168300</v>
      </c>
      <c r="AW22" s="18">
        <f>MAX(0, $A22-AW$4)*IF(RTD("tos.rtd",,"OPEN_INT","."&amp;$AB$3&amp;$AB$4&amp;"C"&amp;AW$4)="N/A",0,RTD("tos.rtd",,"OPEN_INT","."&amp;$AB$3&amp;$AB$4&amp;"C"&amp;AW$4))*100 + MAX(0, AW$4-$A22)*IF(RTD("tos.rtd",,"OPEN_INT","."&amp;$AB$3&amp;$AB$4&amp;"P"&amp;AW$4)="N/A",0,RTD("tos.rtd",,"OPEN_INT","."&amp;$AB$3&amp;$AB$4&amp;"P"&amp;AW$4))*100</f>
        <v>283200</v>
      </c>
      <c r="AX22" s="18">
        <f>MAX(0, $A22-AX$4)*IF(RTD("tos.rtd",,"OPEN_INT","."&amp;$AB$3&amp;$AB$4&amp;"C"&amp;AX$4)="N/A",0,RTD("tos.rtd",,"OPEN_INT","."&amp;$AB$3&amp;$AB$4&amp;"C"&amp;AX$4))*100 + MAX(0, AX$4-$A22)*IF(RTD("tos.rtd",,"OPEN_INT","."&amp;$AB$3&amp;$AB$4&amp;"P"&amp;AX$4)="N/A",0,RTD("tos.rtd",,"OPEN_INT","."&amp;$AB$3&amp;$AB$4&amp;"P"&amp;AX$4))*100</f>
        <v>615000</v>
      </c>
      <c r="AY22" s="18">
        <f>MAX(0, $A22-AY$4)*IF(RTD("tos.rtd",,"OPEN_INT","."&amp;$AB$3&amp;$AB$4&amp;"C"&amp;AY$4)="N/A",0,RTD("tos.rtd",,"OPEN_INT","."&amp;$AB$3&amp;$AB$4&amp;"C"&amp;AY$4))*100 + MAX(0, AY$4-$A22)*IF(RTD("tos.rtd",,"OPEN_INT","."&amp;$AB$3&amp;$AB$4&amp;"P"&amp;AY$4)="N/A",0,RTD("tos.rtd",,"OPEN_INT","."&amp;$AB$3&amp;$AB$4&amp;"P"&amp;AY$4))*100</f>
        <v>1063250</v>
      </c>
      <c r="AZ22" s="18">
        <f>MAX(0, $A22-AZ$4)*IF(RTD("tos.rtd",,"OPEN_INT","."&amp;$AB$3&amp;$AB$4&amp;"C"&amp;AZ$4)="N/A",0,RTD("tos.rtd",,"OPEN_INT","."&amp;$AB$3&amp;$AB$4&amp;"C"&amp;AZ$4))*100 + MAX(0, AZ$4-$A22)*IF(RTD("tos.rtd",,"OPEN_INT","."&amp;$AB$3&amp;$AB$4&amp;"P"&amp;AZ$4)="N/A",0,RTD("tos.rtd",,"OPEN_INT","."&amp;$AB$3&amp;$AB$4&amp;"P"&amp;AZ$4))*100</f>
        <v>5864400</v>
      </c>
      <c r="BA22" s="18">
        <f>MAX(0, $A22-BA$4)*IF(RTD("tos.rtd",,"OPEN_INT","."&amp;$AB$3&amp;$AB$4&amp;"C"&amp;BA$4)="N/A",0,RTD("tos.rtd",,"OPEN_INT","."&amp;$AB$3&amp;$AB$4&amp;"C"&amp;BA$4))*100 + MAX(0, BA$4-$A22)*IF(RTD("tos.rtd",,"OPEN_INT","."&amp;$AB$3&amp;$AB$4&amp;"P"&amp;BA$4)="N/A",0,RTD("tos.rtd",,"OPEN_INT","."&amp;$AB$3&amp;$AB$4&amp;"P"&amp;BA$4))*100</f>
        <v>3447500</v>
      </c>
      <c r="BB22" s="18">
        <f>MAX(0, $A22-BB$4)*IF(RTD("tos.rtd",,"OPEN_INT","."&amp;$AB$3&amp;$AB$4&amp;"C"&amp;BB$4)="N/A",0,RTD("tos.rtd",,"OPEN_INT","."&amp;$AB$3&amp;$AB$4&amp;"C"&amp;BB$4))*100 + MAX(0, BB$4-$A22)*IF(RTD("tos.rtd",,"OPEN_INT","."&amp;$AB$3&amp;$AB$4&amp;"P"&amp;BB$4)="N/A",0,RTD("tos.rtd",,"OPEN_INT","."&amp;$AB$3&amp;$AB$4&amp;"P"&amp;BB$4))*100</f>
        <v>12322800</v>
      </c>
      <c r="BC22" s="18">
        <f>MAX(0, $A22-BC$4)*IF(RTD("tos.rtd",,"OPEN_INT","."&amp;$AB$3&amp;$AB$4&amp;"C"&amp;BC$4)="N/A",0,RTD("tos.rtd",,"OPEN_INT","."&amp;$AB$3&amp;$AB$4&amp;"C"&amp;BC$4))*100 + MAX(0, BC$4-$A22)*IF(RTD("tos.rtd",,"OPEN_INT","."&amp;$AB$3&amp;$AB$4&amp;"P"&amp;BC$4)="N/A",0,RTD("tos.rtd",,"OPEN_INT","."&amp;$AB$3&amp;$AB$4&amp;"P"&amp;BC$4))*100</f>
        <v>12896100</v>
      </c>
      <c r="BD22" s="18">
        <f>MAX(0, $A22-BD$4)*IF(RTD("tos.rtd",,"OPEN_INT","."&amp;$AB$3&amp;$AB$4&amp;"C"&amp;BD$4)="N/A",0,RTD("tos.rtd",,"OPEN_INT","."&amp;$AB$3&amp;$AB$4&amp;"C"&amp;BD$4))*100 + MAX(0, BD$4-$A22)*IF(RTD("tos.rtd",,"OPEN_INT","."&amp;$AB$3&amp;$AB$4&amp;"P"&amp;BD$4)="N/A",0,RTD("tos.rtd",,"OPEN_INT","."&amp;$AB$3&amp;$AB$4&amp;"P"&amp;BD$4))*100</f>
        <v>20356500</v>
      </c>
      <c r="BE22" s="18">
        <f>MAX(0, $A22-BE$4)*IF(RTD("tos.rtd",,"OPEN_INT","."&amp;$AB$3&amp;$AB$4&amp;"C"&amp;BE$4)="N/A",0,RTD("tos.rtd",,"OPEN_INT","."&amp;$AB$3&amp;$AB$4&amp;"C"&amp;BE$4))*100 + MAX(0, BE$4-$A22)*IF(RTD("tos.rtd",,"OPEN_INT","."&amp;$AB$3&amp;$AB$4&amp;"P"&amp;BE$4)="N/A",0,RTD("tos.rtd",,"OPEN_INT","."&amp;$AB$3&amp;$AB$4&amp;"P"&amp;BE$4))*100</f>
        <v>10208000</v>
      </c>
      <c r="BF22" s="18">
        <f>MAX(0, $A22-BF$4)*IF(RTD("tos.rtd",,"OPEN_INT","."&amp;$AB$3&amp;$AB$4&amp;"C"&amp;BF$4)="N/A",0,RTD("tos.rtd",,"OPEN_INT","."&amp;$AB$3&amp;$AB$4&amp;"C"&amp;BF$4))*100 + MAX(0, BF$4-$A22)*IF(RTD("tos.rtd",,"OPEN_INT","."&amp;$AB$3&amp;$AB$4&amp;"P"&amp;BF$4)="N/A",0,RTD("tos.rtd",,"OPEN_INT","."&amp;$AB$3&amp;$AB$4&amp;"P"&amp;BF$4))*100</f>
        <v>10366800</v>
      </c>
      <c r="BG22" s="18">
        <f>MAX(0, $A22-BG$4)*IF(RTD("tos.rtd",,"OPEN_INT","."&amp;$AB$3&amp;$AB$4&amp;"C"&amp;BG$4)="N/A",0,RTD("tos.rtd",,"OPEN_INT","."&amp;$AB$3&amp;$AB$4&amp;"C"&amp;BG$4))*100 + MAX(0, BG$4-$A22)*IF(RTD("tos.rtd",,"OPEN_INT","."&amp;$AB$3&amp;$AB$4&amp;"P"&amp;BG$4)="N/A",0,RTD("tos.rtd",,"OPEN_INT","."&amp;$AB$3&amp;$AB$4&amp;"P"&amp;BG$4))*100</f>
        <v>5464550</v>
      </c>
      <c r="BH22" s="18">
        <f>MAX(0, $A22-BH$4)*IF(RTD("tos.rtd",,"OPEN_INT","."&amp;$AB$3&amp;$AB$4&amp;"C"&amp;BH$4)="N/A",0,RTD("tos.rtd",,"OPEN_INT","."&amp;$AB$3&amp;$AB$4&amp;"C"&amp;BH$4))*100 + MAX(0, BH$4-$A22)*IF(RTD("tos.rtd",,"OPEN_INT","."&amp;$AB$3&amp;$AB$4&amp;"P"&amp;BH$4)="N/A",0,RTD("tos.rtd",,"OPEN_INT","."&amp;$AB$3&amp;$AB$4&amp;"P"&amp;BH$4))*100</f>
        <v>4013800</v>
      </c>
      <c r="BI22" s="18">
        <f>MAX(0, $A22-BI$4)*IF(RTD("tos.rtd",,"OPEN_INT","."&amp;$AB$3&amp;$AB$4&amp;"C"&amp;BI$4)="N/A",0,RTD("tos.rtd",,"OPEN_INT","."&amp;$AB$3&amp;$AB$4&amp;"C"&amp;BI$4))*100 + MAX(0, BI$4-$A22)*IF(RTD("tos.rtd",,"OPEN_INT","."&amp;$AB$3&amp;$AB$4&amp;"P"&amp;BI$4)="N/A",0,RTD("tos.rtd",,"OPEN_INT","."&amp;$AB$3&amp;$AB$4&amp;"P"&amp;BI$4))*100</f>
        <v>1457250</v>
      </c>
      <c r="BJ22" s="18">
        <f>MAX(0, $A22-BJ$4)*IF(RTD("tos.rtd",,"OPEN_INT","."&amp;$AB$3&amp;$AB$4&amp;"C"&amp;BJ$4)="N/A",0,RTD("tos.rtd",,"OPEN_INT","."&amp;$AB$3&amp;$AB$4&amp;"C"&amp;BJ$4))*100 + MAX(0, BJ$4-$A22)*IF(RTD("tos.rtd",,"OPEN_INT","."&amp;$AB$3&amp;$AB$4&amp;"P"&amp;BJ$4)="N/A",0,RTD("tos.rtd",,"OPEN_INT","."&amp;$AB$3&amp;$AB$4&amp;"P"&amp;BJ$4))*100</f>
        <v>673600</v>
      </c>
      <c r="BK22" s="18">
        <f>MAX(0, $A22-BK$4)*IF(RTD("tos.rtd",,"OPEN_INT","."&amp;$AB$3&amp;$AB$4&amp;"C"&amp;BK$4)="N/A",0,RTD("tos.rtd",,"OPEN_INT","."&amp;$AB$3&amp;$AB$4&amp;"C"&amp;BK$4))*100 + MAX(0, BK$4-$A22)*IF(RTD("tos.rtd",,"OPEN_INT","."&amp;$AB$3&amp;$AB$4&amp;"P"&amp;BK$4)="N/A",0,RTD("tos.rtd",,"OPEN_INT","."&amp;$AB$3&amp;$AB$4&amp;"P"&amp;BK$4))*100</f>
        <v>128350</v>
      </c>
      <c r="BL22" s="18">
        <f>MAX(0, $A22-BL$4)*IF(RTD("tos.rtd",,"OPEN_INT","."&amp;$AB$3&amp;$AB$4&amp;"C"&amp;BL$4)="N/A",0,RTD("tos.rtd",,"OPEN_INT","."&amp;$AB$3&amp;$AB$4&amp;"C"&amp;BL$4))*100 + MAX(0, BL$4-$A22)*IF(RTD("tos.rtd",,"OPEN_INT","."&amp;$AB$3&amp;$AB$4&amp;"P"&amp;BL$4)="N/A",0,RTD("tos.rtd",,"OPEN_INT","."&amp;$AB$3&amp;$AB$4&amp;"P"&amp;BL$4))*100</f>
        <v>234900</v>
      </c>
      <c r="BM22" s="18">
        <f>MAX(0, $A22-BM$4)*IF(RTD("tos.rtd",,"OPEN_INT","."&amp;$AB$3&amp;$AB$4&amp;"C"&amp;BM$4)="N/A",0,RTD("tos.rtd",,"OPEN_INT","."&amp;$AB$3&amp;$AB$4&amp;"C"&amp;BM$4))*100 + MAX(0, BM$4-$A22)*IF(RTD("tos.rtd",,"OPEN_INT","."&amp;$AB$3&amp;$AB$4&amp;"P"&amp;BM$4)="N/A",0,RTD("tos.rtd",,"OPEN_INT","."&amp;$AB$3&amp;$AB$4&amp;"P"&amp;BM$4))*100</f>
        <v>15200</v>
      </c>
      <c r="BN22" s="18">
        <f>MAX(0, $A22-BN$4)*IF(RTD("tos.rtd",,"OPEN_INT","."&amp;$AB$3&amp;$AB$4&amp;"C"&amp;BN$4)="N/A",0,RTD("tos.rtd",,"OPEN_INT","."&amp;$AB$3&amp;$AB$4&amp;"C"&amp;BN$4))*100 + MAX(0, BN$4-$A22)*IF(RTD("tos.rtd",,"OPEN_INT","."&amp;$AB$3&amp;$AB$4&amp;"P"&amp;BN$4)="N/A",0,RTD("tos.rtd",,"OPEN_INT","."&amp;$AB$3&amp;$AB$4&amp;"P"&amp;BN$4))*100</f>
        <v>8000</v>
      </c>
      <c r="BO22" s="18">
        <f>MAX(0, $A22-BO$4)*IF(RTD("tos.rtd",,"OPEN_INT","."&amp;$AB$3&amp;$AB$4&amp;"C"&amp;BO$4)="N/A",0,RTD("tos.rtd",,"OPEN_INT","."&amp;$AB$3&amp;$AB$4&amp;"C"&amp;BO$4))*100 + MAX(0, BO$4-$A22)*IF(RTD("tos.rtd",,"OPEN_INT","."&amp;$AB$3&amp;$AB$4&amp;"P"&amp;BO$4)="N/A",0,RTD("tos.rtd",,"OPEN_INT","."&amp;$AB$3&amp;$AB$4&amp;"P"&amp;BO$4))*100</f>
        <v>32550</v>
      </c>
      <c r="BP22" s="18">
        <f>MAX(0, $A22-BP$4)*IF(RTD("tos.rtd",,"OPEN_INT","."&amp;$AB$3&amp;$AB$4&amp;"C"&amp;BP$4)="N/A",0,RTD("tos.rtd",,"OPEN_INT","."&amp;$AB$3&amp;$AB$4&amp;"C"&amp;BP$4))*100 + MAX(0, BP$4-$A22)*IF(RTD("tos.rtd",,"OPEN_INT","."&amp;$AB$3&amp;$AB$4&amp;"P"&amp;BP$4)="N/A",0,RTD("tos.rtd",,"OPEN_INT","."&amp;$AB$3&amp;$AB$4&amp;"P"&amp;BP$4))*100</f>
        <v>41800</v>
      </c>
      <c r="BQ22" s="18">
        <f>MAX(0, $A22-BQ$4)*IF(RTD("tos.rtd",,"OPEN_INT","."&amp;$AB$3&amp;$AB$4&amp;"C"&amp;BQ$4)="N/A",0,RTD("tos.rtd",,"OPEN_INT","."&amp;$AB$3&amp;$AB$4&amp;"C"&amp;BQ$4))*100 + MAX(0, BQ$4-$A22)*IF(RTD("tos.rtd",,"OPEN_INT","."&amp;$AB$3&amp;$AB$4&amp;"P"&amp;BQ$4)="N/A",0,RTD("tos.rtd",,"OPEN_INT","."&amp;$AB$3&amp;$AB$4&amp;"P"&amp;BQ$4))*100</f>
        <v>0</v>
      </c>
      <c r="BR22" s="18">
        <f>MAX(0, $A22-BR$4)*IF(RTD("tos.rtd",,"OPEN_INT","."&amp;$AB$3&amp;$AB$4&amp;"C"&amp;BR$4)="N/A",0,RTD("tos.rtd",,"OPEN_INT","."&amp;$AB$3&amp;$AB$4&amp;"C"&amp;BR$4))*100 + MAX(0, BR$4-$A22)*IF(RTD("tos.rtd",,"OPEN_INT","."&amp;$AB$3&amp;$AB$4&amp;"P"&amp;BR$4)="N/A",0,RTD("tos.rtd",,"OPEN_INT","."&amp;$AB$3&amp;$AB$4&amp;"P"&amp;BR$4))*100</f>
        <v>0</v>
      </c>
      <c r="BS22" s="18">
        <f>MAX(0, $A22-BS$4)*IF(RTD("tos.rtd",,"OPEN_INT","."&amp;$AB$3&amp;$AB$4&amp;"C"&amp;BS$4)="N/A",0,RTD("tos.rtd",,"OPEN_INT","."&amp;$AB$3&amp;$AB$4&amp;"C"&amp;BS$4))*100 + MAX(0, BS$4-$A22)*IF(RTD("tos.rtd",,"OPEN_INT","."&amp;$AB$3&amp;$AB$4&amp;"P"&amp;BS$4)="N/A",0,RTD("tos.rtd",,"OPEN_INT","."&amp;$AB$3&amp;$AB$4&amp;"P"&amp;BS$4))*100</f>
        <v>0</v>
      </c>
      <c r="BT22" s="18">
        <f>MAX(0, $A22-BT$4)*IF(RTD("tos.rtd",,"OPEN_INT","."&amp;$AB$3&amp;$AB$4&amp;"C"&amp;BT$4)="N/A",0,RTD("tos.rtd",,"OPEN_INT","."&amp;$AB$3&amp;$AB$4&amp;"C"&amp;BT$4))*100 + MAX(0, BT$4-$A22)*IF(RTD("tos.rtd",,"OPEN_INT","."&amp;$AB$3&amp;$AB$4&amp;"P"&amp;BT$4)="N/A",0,RTD("tos.rtd",,"OPEN_INT","."&amp;$AB$3&amp;$AB$4&amp;"P"&amp;BT$4))*100</f>
        <v>0</v>
      </c>
      <c r="BU22" s="18">
        <f>MAX(0, $A22-BU$4)*IF(RTD("tos.rtd",,"OPEN_INT","."&amp;$AB$3&amp;$AB$4&amp;"C"&amp;BU$4)="N/A",0,RTD("tos.rtd",,"OPEN_INT","."&amp;$AB$3&amp;$AB$4&amp;"C"&amp;BU$4))*100 + MAX(0, BU$4-$A22)*IF(RTD("tos.rtd",,"OPEN_INT","."&amp;$AB$3&amp;$AB$4&amp;"P"&amp;BU$4)="N/A",0,RTD("tos.rtd",,"OPEN_INT","."&amp;$AB$3&amp;$AB$4&amp;"P"&amp;BU$4))*100</f>
        <v>0</v>
      </c>
      <c r="BV22" s="18">
        <f>MAX(0, $A22-BV$4)*IF(RTD("tos.rtd",,"OPEN_INT","."&amp;$AB$3&amp;$AB$4&amp;"C"&amp;BV$4)="N/A",0,RTD("tos.rtd",,"OPEN_INT","."&amp;$AB$3&amp;$AB$4&amp;"C"&amp;BV$4))*100 + MAX(0, BV$4-$A22)*IF(RTD("tos.rtd",,"OPEN_INT","."&amp;$AB$3&amp;$AB$4&amp;"P"&amp;BV$4)="N/A",0,RTD("tos.rtd",,"OPEN_INT","."&amp;$AB$3&amp;$AB$4&amp;"P"&amp;BV$4))*100</f>
        <v>0</v>
      </c>
      <c r="BW22" s="18">
        <f>MAX(0, $A22-BW$4)*IF(RTD("tos.rtd",,"OPEN_INT","."&amp;$AB$3&amp;$AB$4&amp;"C"&amp;BW$4)="N/A",0,RTD("tos.rtd",,"OPEN_INT","."&amp;$AB$3&amp;$AB$4&amp;"C"&amp;BW$4))*100 + MAX(0, BW$4-$A22)*IF(RTD("tos.rtd",,"OPEN_INT","."&amp;$AB$3&amp;$AB$4&amp;"P"&amp;BW$4)="N/A",0,RTD("tos.rtd",,"OPEN_INT","."&amp;$AB$3&amp;$AB$4&amp;"P"&amp;BW$4))*100</f>
        <v>0</v>
      </c>
    </row>
    <row r="23" spans="1:75" s="19" customFormat="1" ht="11.1" customHeight="1" thickBot="1" x14ac:dyDescent="0.3">
      <c r="A23" s="23">
        <f t="shared" si="7"/>
        <v>12.5</v>
      </c>
      <c r="B23" s="14">
        <f ca="1">IF($A$2="PREMIUM_OI",IFERROR(IF($X$1="ABS",(100*RTD("tos.rtd",,"OPEN_INT","."&amp;B$2&amp;B$1&amp;"C"&amp;$A23)*RTD("tos.rtd",,"LAST","."&amp;B$2&amp;B$1&amp;"C"&amp;$A23)+100*RTD("tos.rtd",,"OPEN_INT","."&amp;B$2&amp;B$1&amp;"P"&amp;$A23)*RTD("tos.rtd",,"LAST","."&amp;B$2&amp;B$1&amp;"P"&amp;$A23))/1000000,(100*RTD("tos.rtd",,"OPEN_INT","."&amp;B$2&amp;B$1&amp;"C"&amp;$A23)*RTD("tos.rtd",,"LAST","."&amp;B$2&amp;B$1&amp;"C"&amp;$A23)-100*RTD("tos.rtd",,"OPEN_INT","."&amp;B$2&amp;B$1&amp;"P"&amp;$A23)*RTD("tos.rtd",,"LAST","."&amp;B$2&amp;B$1&amp;"P"&amp;$A23))/1000000),0),IF($A$2="PREMIUM",IFERROR(IF($X$1="ABS",(100*RTD("tos.rtd",,"VOLUME","."&amp;B$2&amp;B$1&amp;"C"&amp;$A23)*RTD("tos.rtd",,"LAST","."&amp;B$2&amp;B$1&amp;"C"&amp;$A23)+100*RTD("tos.rtd",,"VOLUME","."&amp;B$2&amp;B$1&amp;"P"&amp;$A23)*RTD("tos.rtd",,"LAST","."&amp;B$2&amp;B$1&amp;"P"&amp;$A23))/1000000,(100*RTD("tos.rtd",,"VOLUME","."&amp;B$2&amp;B$1&amp;"C"&amp;$A23)*RTD("tos.rtd",,"LAST","."&amp;B$2&amp;B$1&amp;"C"&amp;$A23)-100*RTD("tos.rtd",,"VOLUME","."&amp;B$2&amp;B$1&amp;"P"&amp;$A23)*RTD("tos.rtd",,"LAST","."&amp;B$2&amp;B$1&amp;"P"&amp;$A23))/1000000),0),IF($A$2="DEX",IFERROR(IF($X$1="ABS",(100*RTD("tos.rtd",,"OPEN_INT","."&amp;B$2&amp;B$1&amp;"C"&amp;$A23)*RTD("tos.rtd",,"DELTA","."&amp;B$2&amp;B$1&amp;"C"&amp;$A23)+100*RTD("tos.rtd",,"OPEN_INT","."&amp;B$2&amp;B$1&amp;"P"&amp;$A23)*RTD("tos.rtd",,"DELTA","."&amp;B$2&amp;B$1&amp;"P"&amp;$A23))/1000,(100*RTD("tos.rtd",,"OPEN_INT","."&amp;B$2&amp;B$1&amp;"C"&amp;$A23)*RTD("tos.rtd",,"DELTA","."&amp;B$2&amp;B$1&amp;"C"&amp;$A23)-100*RTD("tos.rtd",,"OPEN_INT","."&amp;B$2&amp;B$1&amp;"P"&amp;$A23)*RTD("tos.rtd",,"DELTA","."&amp;B$2&amp;B$1&amp;"P"&amp;$A23))/1000),0),IF($A$2="VEX",IFERROR(IF($X$1="ABS",($A$4*$A$4*RTD("tos.rtd",,"VOLUME","."&amp;B$2&amp;B$1&amp;"C"&amp;$A23)*RTD("tos.rtd",,"GAMMA","."&amp;B$2&amp;B$1&amp;"C"&amp;$A23)+$A$4*$A$4*RTD("tos.rtd",,"VOLUME","."&amp;B$2&amp;B$1&amp;"P"&amp;$A23)*RTD("tos.rtd",,"GAMMA","."&amp;B$2&amp;B$1&amp;"P"&amp;$A23))/1000000,($A$4*$A$4*RTD("tos.rtd",,"VOLUME","."&amp;B$2&amp;B$1&amp;"C"&amp;$A23)*RTD("tos.rtd",,"GAMMA","."&amp;B$2&amp;B$1&amp;"C"&amp;$A23)-$A$4*$A$4*RTD("tos.rtd",,"VOLUME","."&amp;B$2&amp;B$1&amp;"P"&amp;$A23)*RTD("tos.rtd",,"GAMMA","."&amp;B$2&amp;B$1&amp;"P"&amp;$A23))/1000000),0),IF($A$2="GEX",IFERROR(IF($X$1="ABS",($A$4*$A$4*RTD("tos.rtd",,"OPEN_INT","."&amp;B$2&amp;B$1&amp;"C"&amp;$A23)*RTD("tos.rtd",,"GAMMA","."&amp;B$2&amp;B$1&amp;"C"&amp;$A23)+$A$4*$A$4*RTD("tos.rtd",,"OPEN_INT","."&amp;B$2&amp;B$1&amp;"P"&amp;$A23)*RTD("tos.rtd",,"GAMMA","."&amp;B$2&amp;B$1&amp;"P"&amp;$A23))/1000000,($A$4*$A$4*RTD("tos.rtd",,"OPEN_INT","."&amp;B$2&amp;B$1&amp;"C"&amp;$A23)*RTD("tos.rtd",,"GAMMA","."&amp;B$2&amp;B$1&amp;"C"&amp;$A23)-$A$4*$A$4*RTD("tos.rtd",,"OPEN_INT","."&amp;B$2&amp;B$1&amp;"P"&amp;$A23)*RTD("tos.rtd",,"GAMMA","."&amp;B$2&amp;B$1&amp;"P"&amp;$A23))/1000000),0),IF($A$2="SKEW",IFERROR(VALUE(IF(RTD("tos.rtd",,"IMPL_VOL","."&amp;B$2&amp;B$1&amp;"P"&amp;$A23)="N/A",0,RTD("tos.rtd",,"IMPL_VOL","."&amp;B$2&amp;B$1&amp;"P"&amp;$A23))),0)-IFERROR(VALUE(IF(RTD("tos.rtd",,"IMPL_VOL","."&amp;B$2&amp;B$1&amp;"C"&amp;$A23)="N/A",0,RTD("tos.rtd",,"IMPL_VOL","."&amp;B$2&amp;B$1&amp;"C"&amp;$A23))),0),IF($A$2="MAXPAIN",IF($A$4&gt;$A23,($A$4-$A23)*IF(RTD("tos.rtd",,"OPEN_INT","."&amp;B$2&amp;B$1&amp;"C"&amp;$A23)="N/A",0,RTD("tos.rtd",,"OPEN_INT","."&amp;B$2&amp;B$1&amp;"C"&amp;$A23)),0)+IF($A$4&lt;$A23,($A$5-$A$4)*IF(RTD("tos.rtd",,"OPEN_INT","."&amp;B$2&amp;B$1&amp;"P"&amp;$A23)="N/A",0,RTD("tos.rtd",,"OPEN_INT","."&amp;B$2&amp;B$1&amp;"P"&amp;$A23)),0),IF($X$1="ABS",IF(RTD("tos.rtd",,$A$2,"."&amp;B$2&amp;B$1&amp;"C"&amp;$A23)="N/A",0,RTD("tos.rtd",,$A$2,"."&amp;B$2&amp;B$1&amp;"C"&amp;$A23))+IF(RTD("tos.rtd",,$A$2,"."&amp;B$2&amp;B$1&amp;"P"&amp;$A23)="N/A",0,RTD("tos.rtd",,$A$2,"."&amp;B$2&amp;B$1&amp;"P"&amp;$A23)),IF(RTD("tos.rtd",,$A$2,"."&amp;B$2&amp;B$1&amp;"C"&amp;$A23)="N/A",0,RTD("tos.rtd",,$A$2,"."&amp;B$2&amp;B$1&amp;"C"&amp;$A23))-IF(RTD("tos.rtd",,$A$2,"."&amp;B$2&amp;B$1&amp;"P"&amp;$A23)="N/A",0,RTD("tos.rtd",,$A$2,"."&amp;B$2&amp;B$1&amp;"P"&amp;$A23))))))))))</f>
        <v>0</v>
      </c>
      <c r="C23" s="14">
        <f ca="1">IF($A$2="PREMIUM_OI",IFERROR(IF($X$1="ABS",(100*RTD("tos.rtd",,"OPEN_INT","."&amp;C$2&amp;C$1&amp;"C"&amp;$A23)*RTD("tos.rtd",,"LAST","."&amp;C$2&amp;C$1&amp;"C"&amp;$A23)+100*RTD("tos.rtd",,"OPEN_INT","."&amp;C$2&amp;C$1&amp;"P"&amp;$A23)*RTD("tos.rtd",,"LAST","."&amp;C$2&amp;C$1&amp;"P"&amp;$A23))/1000000,(100*RTD("tos.rtd",,"OPEN_INT","."&amp;C$2&amp;C$1&amp;"C"&amp;$A23)*RTD("tos.rtd",,"LAST","."&amp;C$2&amp;C$1&amp;"C"&amp;$A23)-100*RTD("tos.rtd",,"OPEN_INT","."&amp;C$2&amp;C$1&amp;"P"&amp;$A23)*RTD("tos.rtd",,"LAST","."&amp;C$2&amp;C$1&amp;"P"&amp;$A23))/1000000),0),IF($A$2="PREMIUM",IFERROR(IF($X$1="ABS",(100*RTD("tos.rtd",,"VOLUME","."&amp;C$2&amp;C$1&amp;"C"&amp;$A23)*RTD("tos.rtd",,"LAST","."&amp;C$2&amp;C$1&amp;"C"&amp;$A23)+100*RTD("tos.rtd",,"VOLUME","."&amp;C$2&amp;C$1&amp;"P"&amp;$A23)*RTD("tos.rtd",,"LAST","."&amp;C$2&amp;C$1&amp;"P"&amp;$A23))/1000000,(100*RTD("tos.rtd",,"VOLUME","."&amp;C$2&amp;C$1&amp;"C"&amp;$A23)*RTD("tos.rtd",,"LAST","."&amp;C$2&amp;C$1&amp;"C"&amp;$A23)-100*RTD("tos.rtd",,"VOLUME","."&amp;C$2&amp;C$1&amp;"P"&amp;$A23)*RTD("tos.rtd",,"LAST","."&amp;C$2&amp;C$1&amp;"P"&amp;$A23))/1000000),0),IF($A$2="DEX",IFERROR(IF($X$1="ABS",(100*RTD("tos.rtd",,"OPEN_INT","."&amp;C$2&amp;C$1&amp;"C"&amp;$A23)*RTD("tos.rtd",,"DELTA","."&amp;C$2&amp;C$1&amp;"C"&amp;$A23)+100*RTD("tos.rtd",,"OPEN_INT","."&amp;C$2&amp;C$1&amp;"P"&amp;$A23)*RTD("tos.rtd",,"DELTA","."&amp;C$2&amp;C$1&amp;"P"&amp;$A23))/1000,(100*RTD("tos.rtd",,"OPEN_INT","."&amp;C$2&amp;C$1&amp;"C"&amp;$A23)*RTD("tos.rtd",,"DELTA","."&amp;C$2&amp;C$1&amp;"C"&amp;$A23)-100*RTD("tos.rtd",,"OPEN_INT","."&amp;C$2&amp;C$1&amp;"P"&amp;$A23)*RTD("tos.rtd",,"DELTA","."&amp;C$2&amp;C$1&amp;"P"&amp;$A23))/1000),0),IF($A$2="VEX",IFERROR(IF($X$1="ABS",($A$4*$A$4*RTD("tos.rtd",,"VOLUME","."&amp;C$2&amp;C$1&amp;"C"&amp;$A23)*RTD("tos.rtd",,"GAMMA","."&amp;C$2&amp;C$1&amp;"C"&amp;$A23)+$A$4*$A$4*RTD("tos.rtd",,"VOLUME","."&amp;C$2&amp;C$1&amp;"P"&amp;$A23)*RTD("tos.rtd",,"GAMMA","."&amp;C$2&amp;C$1&amp;"P"&amp;$A23))/1000000,($A$4*$A$4*RTD("tos.rtd",,"VOLUME","."&amp;C$2&amp;C$1&amp;"C"&amp;$A23)*RTD("tos.rtd",,"GAMMA","."&amp;C$2&amp;C$1&amp;"C"&amp;$A23)-$A$4*$A$4*RTD("tos.rtd",,"VOLUME","."&amp;C$2&amp;C$1&amp;"P"&amp;$A23)*RTD("tos.rtd",,"GAMMA","."&amp;C$2&amp;C$1&amp;"P"&amp;$A23))/1000000),0),IF($A$2="GEX",IFERROR(IF($X$1="ABS",($A$4*$A$4*RTD("tos.rtd",,"OPEN_INT","."&amp;C$2&amp;C$1&amp;"C"&amp;$A23)*RTD("tos.rtd",,"GAMMA","."&amp;C$2&amp;C$1&amp;"C"&amp;$A23)+$A$4*$A$4*RTD("tos.rtd",,"OPEN_INT","."&amp;C$2&amp;C$1&amp;"P"&amp;$A23)*RTD("tos.rtd",,"GAMMA","."&amp;C$2&amp;C$1&amp;"P"&amp;$A23))/1000000,($A$4*$A$4*RTD("tos.rtd",,"OPEN_INT","."&amp;C$2&amp;C$1&amp;"C"&amp;$A23)*RTD("tos.rtd",,"GAMMA","."&amp;C$2&amp;C$1&amp;"C"&amp;$A23)-$A$4*$A$4*RTD("tos.rtd",,"OPEN_INT","."&amp;C$2&amp;C$1&amp;"P"&amp;$A23)*RTD("tos.rtd",,"GAMMA","."&amp;C$2&amp;C$1&amp;"P"&amp;$A23))/1000000),0),IF($A$2="SKEW",IFERROR(VALUE(IF(RTD("tos.rtd",,"IMPL_VOL","."&amp;C$2&amp;C$1&amp;"P"&amp;$A23)="N/A",0,RTD("tos.rtd",,"IMPL_VOL","."&amp;C$2&amp;C$1&amp;"P"&amp;$A23))),0)-IFERROR(VALUE(IF(RTD("tos.rtd",,"IMPL_VOL","."&amp;C$2&amp;C$1&amp;"C"&amp;$A23)="N/A",0,RTD("tos.rtd",,"IMPL_VOL","."&amp;C$2&amp;C$1&amp;"C"&amp;$A23))),0),IF($A$2="MAXPAIN",IF($A$4&gt;$A23,($A$4-$A23)*IF(RTD("tos.rtd",,"OPEN_INT","."&amp;C$2&amp;C$1&amp;"C"&amp;$A23)="N/A",0,RTD("tos.rtd",,"OPEN_INT","."&amp;C$2&amp;C$1&amp;"C"&amp;$A23)),0)+IF($A$4&lt;$A23,($A$5-$A$4)*IF(RTD("tos.rtd",,"OPEN_INT","."&amp;C$2&amp;C$1&amp;"P"&amp;$A23)="N/A",0,RTD("tos.rtd",,"OPEN_INT","."&amp;C$2&amp;C$1&amp;"P"&amp;$A23)),0),IF($X$1="ABS",IF(RTD("tos.rtd",,$A$2,"."&amp;C$2&amp;C$1&amp;"C"&amp;$A23)="N/A",0,RTD("tos.rtd",,$A$2,"."&amp;C$2&amp;C$1&amp;"C"&amp;$A23))+IF(RTD("tos.rtd",,$A$2,"."&amp;C$2&amp;C$1&amp;"P"&amp;$A23)="N/A",0,RTD("tos.rtd",,$A$2,"."&amp;C$2&amp;C$1&amp;"P"&amp;$A23)),IF(RTD("tos.rtd",,$A$2,"."&amp;C$2&amp;C$1&amp;"C"&amp;$A23)="N/A",0,RTD("tos.rtd",,$A$2,"."&amp;C$2&amp;C$1&amp;"C"&amp;$A23))-IF(RTD("tos.rtd",,$A$2,"."&amp;C$2&amp;C$1&amp;"P"&amp;$A23)="N/A",0,RTD("tos.rtd",,$A$2,"."&amp;C$2&amp;C$1&amp;"P"&amp;$A23))))))))))</f>
        <v>0</v>
      </c>
      <c r="D23" s="12">
        <f ca="1">IF($A$2="PREMIUM_OI",IFERROR(IF($X$1="ABS",(100*RTD("tos.rtd",,"OPEN_INT","."&amp;D$2&amp;D$1&amp;"C"&amp;$A23)*RTD("tos.rtd",,"LAST","."&amp;D$2&amp;D$1&amp;"C"&amp;$A23)+100*RTD("tos.rtd",,"OPEN_INT","."&amp;D$2&amp;D$1&amp;"P"&amp;$A23)*RTD("tos.rtd",,"LAST","."&amp;D$2&amp;D$1&amp;"P"&amp;$A23))/1000000,(100*RTD("tos.rtd",,"OPEN_INT","."&amp;D$2&amp;D$1&amp;"C"&amp;$A23)*RTD("tos.rtd",,"LAST","."&amp;D$2&amp;D$1&amp;"C"&amp;$A23)-100*RTD("tos.rtd",,"OPEN_INT","."&amp;D$2&amp;D$1&amp;"P"&amp;$A23)*RTD("tos.rtd",,"LAST","."&amp;D$2&amp;D$1&amp;"P"&amp;$A23))/1000000),0),IF($A$2="PREMIUM",IFERROR(IF($X$1="ABS",(100*RTD("tos.rtd",,"VOLUME","."&amp;D$2&amp;D$1&amp;"C"&amp;$A23)*RTD("tos.rtd",,"LAST","."&amp;D$2&amp;D$1&amp;"C"&amp;$A23)+100*RTD("tos.rtd",,"VOLUME","."&amp;D$2&amp;D$1&amp;"P"&amp;$A23)*RTD("tos.rtd",,"LAST","."&amp;D$2&amp;D$1&amp;"P"&amp;$A23))/1000000,(100*RTD("tos.rtd",,"VOLUME","."&amp;D$2&amp;D$1&amp;"C"&amp;$A23)*RTD("tos.rtd",,"LAST","."&amp;D$2&amp;D$1&amp;"C"&amp;$A23)-100*RTD("tos.rtd",,"VOLUME","."&amp;D$2&amp;D$1&amp;"P"&amp;$A23)*RTD("tos.rtd",,"LAST","."&amp;D$2&amp;D$1&amp;"P"&amp;$A23))/1000000),0),IF($A$2="DEX",IFERROR(IF($X$1="ABS",(100*RTD("tos.rtd",,"OPEN_INT","."&amp;D$2&amp;D$1&amp;"C"&amp;$A23)*RTD("tos.rtd",,"DELTA","."&amp;D$2&amp;D$1&amp;"C"&amp;$A23)+100*RTD("tos.rtd",,"OPEN_INT","."&amp;D$2&amp;D$1&amp;"P"&amp;$A23)*RTD("tos.rtd",,"DELTA","."&amp;D$2&amp;D$1&amp;"P"&amp;$A23))/1000,(100*RTD("tos.rtd",,"OPEN_INT","."&amp;D$2&amp;D$1&amp;"C"&amp;$A23)*RTD("tos.rtd",,"DELTA","."&amp;D$2&amp;D$1&amp;"C"&amp;$A23)-100*RTD("tos.rtd",,"OPEN_INT","."&amp;D$2&amp;D$1&amp;"P"&amp;$A23)*RTD("tos.rtd",,"DELTA","."&amp;D$2&amp;D$1&amp;"P"&amp;$A23))/1000),0),IF($A$2="VEX",IFERROR(IF($X$1="ABS",($A$4*$A$4*RTD("tos.rtd",,"VOLUME","."&amp;D$2&amp;D$1&amp;"C"&amp;$A23)*RTD("tos.rtd",,"GAMMA","."&amp;D$2&amp;D$1&amp;"C"&amp;$A23)+$A$4*$A$4*RTD("tos.rtd",,"VOLUME","."&amp;D$2&amp;D$1&amp;"P"&amp;$A23)*RTD("tos.rtd",,"GAMMA","."&amp;D$2&amp;D$1&amp;"P"&amp;$A23))/1000000,($A$4*$A$4*RTD("tos.rtd",,"VOLUME","."&amp;D$2&amp;D$1&amp;"C"&amp;$A23)*RTD("tos.rtd",,"GAMMA","."&amp;D$2&amp;D$1&amp;"C"&amp;$A23)-$A$4*$A$4*RTD("tos.rtd",,"VOLUME","."&amp;D$2&amp;D$1&amp;"P"&amp;$A23)*RTD("tos.rtd",,"GAMMA","."&amp;D$2&amp;D$1&amp;"P"&amp;$A23))/1000000),0),IF($A$2="GEX",IFERROR(IF($X$1="ABS",($A$4*$A$4*RTD("tos.rtd",,"OPEN_INT","."&amp;D$2&amp;D$1&amp;"C"&amp;$A23)*RTD("tos.rtd",,"GAMMA","."&amp;D$2&amp;D$1&amp;"C"&amp;$A23)+$A$4*$A$4*RTD("tos.rtd",,"OPEN_INT","."&amp;D$2&amp;D$1&amp;"P"&amp;$A23)*RTD("tos.rtd",,"GAMMA","."&amp;D$2&amp;D$1&amp;"P"&amp;$A23))/1000000,($A$4*$A$4*RTD("tos.rtd",,"OPEN_INT","."&amp;D$2&amp;D$1&amp;"C"&amp;$A23)*RTD("tos.rtd",,"GAMMA","."&amp;D$2&amp;D$1&amp;"C"&amp;$A23)-$A$4*$A$4*RTD("tos.rtd",,"OPEN_INT","."&amp;D$2&amp;D$1&amp;"P"&amp;$A23)*RTD("tos.rtd",,"GAMMA","."&amp;D$2&amp;D$1&amp;"P"&amp;$A23))/1000000),0),IF($A$2="SKEW",IFERROR(VALUE(IF(RTD("tos.rtd",,"IMPL_VOL","."&amp;D$2&amp;D$1&amp;"P"&amp;$A23)="N/A",0,RTD("tos.rtd",,"IMPL_VOL","."&amp;D$2&amp;D$1&amp;"P"&amp;$A23))),0)-IFERROR(VALUE(IF(RTD("tos.rtd",,"IMPL_VOL","."&amp;D$2&amp;D$1&amp;"C"&amp;$A23)="N/A",0,RTD("tos.rtd",,"IMPL_VOL","."&amp;D$2&amp;D$1&amp;"C"&amp;$A23))),0),IF($A$2="MAXPAIN",IF($A$4&gt;$A23,($A$4-$A23)*IF(RTD("tos.rtd",,"OPEN_INT","."&amp;D$2&amp;D$1&amp;"C"&amp;$A23)="N/A",0,RTD("tos.rtd",,"OPEN_INT","."&amp;D$2&amp;D$1&amp;"C"&amp;$A23)),0)+IF($A$4&lt;$A23,($A$5-$A$4)*IF(RTD("tos.rtd",,"OPEN_INT","."&amp;D$2&amp;D$1&amp;"P"&amp;$A23)="N/A",0,RTD("tos.rtd",,"OPEN_INT","."&amp;D$2&amp;D$1&amp;"P"&amp;$A23)),0),IF($X$1="ABS",IF(RTD("tos.rtd",,$A$2,"."&amp;D$2&amp;D$1&amp;"C"&amp;$A23)="N/A",0,RTD("tos.rtd",,$A$2,"."&amp;D$2&amp;D$1&amp;"C"&amp;$A23))+IF(RTD("tos.rtd",,$A$2,"."&amp;D$2&amp;D$1&amp;"P"&amp;$A23)="N/A",0,RTD("tos.rtd",,$A$2,"."&amp;D$2&amp;D$1&amp;"P"&amp;$A23)),IF(RTD("tos.rtd",,$A$2,"."&amp;D$2&amp;D$1&amp;"C"&amp;$A23)="N/A",0,RTD("tos.rtd",,$A$2,"."&amp;D$2&amp;D$1&amp;"C"&amp;$A23))-IF(RTD("tos.rtd",,$A$2,"."&amp;D$2&amp;D$1&amp;"P"&amp;$A23)="N/A",0,RTD("tos.rtd",,$A$2,"."&amp;D$2&amp;D$1&amp;"P"&amp;$A23))))))))))</f>
        <v>0</v>
      </c>
      <c r="E23" s="12">
        <f ca="1">IF($A$2="PREMIUM_OI",IFERROR(IF($X$1="ABS",(100*RTD("tos.rtd",,"OPEN_INT","."&amp;E$2&amp;E$1&amp;"C"&amp;$A23)*RTD("tos.rtd",,"LAST","."&amp;E$2&amp;E$1&amp;"C"&amp;$A23)+100*RTD("tos.rtd",,"OPEN_INT","."&amp;E$2&amp;E$1&amp;"P"&amp;$A23)*RTD("tos.rtd",,"LAST","."&amp;E$2&amp;E$1&amp;"P"&amp;$A23))/1000000,(100*RTD("tos.rtd",,"OPEN_INT","."&amp;E$2&amp;E$1&amp;"C"&amp;$A23)*RTD("tos.rtd",,"LAST","."&amp;E$2&amp;E$1&amp;"C"&amp;$A23)-100*RTD("tos.rtd",,"OPEN_INT","."&amp;E$2&amp;E$1&amp;"P"&amp;$A23)*RTD("tos.rtd",,"LAST","."&amp;E$2&amp;E$1&amp;"P"&amp;$A23))/1000000),0),IF($A$2="PREMIUM",IFERROR(IF($X$1="ABS",(100*RTD("tos.rtd",,"VOLUME","."&amp;E$2&amp;E$1&amp;"C"&amp;$A23)*RTD("tos.rtd",,"LAST","."&amp;E$2&amp;E$1&amp;"C"&amp;$A23)+100*RTD("tos.rtd",,"VOLUME","."&amp;E$2&amp;E$1&amp;"P"&amp;$A23)*RTD("tos.rtd",,"LAST","."&amp;E$2&amp;E$1&amp;"P"&amp;$A23))/1000000,(100*RTD("tos.rtd",,"VOLUME","."&amp;E$2&amp;E$1&amp;"C"&amp;$A23)*RTD("tos.rtd",,"LAST","."&amp;E$2&amp;E$1&amp;"C"&amp;$A23)-100*RTD("tos.rtd",,"VOLUME","."&amp;E$2&amp;E$1&amp;"P"&amp;$A23)*RTD("tos.rtd",,"LAST","."&amp;E$2&amp;E$1&amp;"P"&amp;$A23))/1000000),0),IF($A$2="DEX",IFERROR(IF($X$1="ABS",(100*RTD("tos.rtd",,"OPEN_INT","."&amp;E$2&amp;E$1&amp;"C"&amp;$A23)*RTD("tos.rtd",,"DELTA","."&amp;E$2&amp;E$1&amp;"C"&amp;$A23)+100*RTD("tos.rtd",,"OPEN_INT","."&amp;E$2&amp;E$1&amp;"P"&amp;$A23)*RTD("tos.rtd",,"DELTA","."&amp;E$2&amp;E$1&amp;"P"&amp;$A23))/1000,(100*RTD("tos.rtd",,"OPEN_INT","."&amp;E$2&amp;E$1&amp;"C"&amp;$A23)*RTD("tos.rtd",,"DELTA","."&amp;E$2&amp;E$1&amp;"C"&amp;$A23)-100*RTD("tos.rtd",,"OPEN_INT","."&amp;E$2&amp;E$1&amp;"P"&amp;$A23)*RTD("tos.rtd",,"DELTA","."&amp;E$2&amp;E$1&amp;"P"&amp;$A23))/1000),0),IF($A$2="VEX",IFERROR(IF($X$1="ABS",($A$4*$A$4*RTD("tos.rtd",,"VOLUME","."&amp;E$2&amp;E$1&amp;"C"&amp;$A23)*RTD("tos.rtd",,"GAMMA","."&amp;E$2&amp;E$1&amp;"C"&amp;$A23)+$A$4*$A$4*RTD("tos.rtd",,"VOLUME","."&amp;E$2&amp;E$1&amp;"P"&amp;$A23)*RTD("tos.rtd",,"GAMMA","."&amp;E$2&amp;E$1&amp;"P"&amp;$A23))/1000000,($A$4*$A$4*RTD("tos.rtd",,"VOLUME","."&amp;E$2&amp;E$1&amp;"C"&amp;$A23)*RTD("tos.rtd",,"GAMMA","."&amp;E$2&amp;E$1&amp;"C"&amp;$A23)-$A$4*$A$4*RTD("tos.rtd",,"VOLUME","."&amp;E$2&amp;E$1&amp;"P"&amp;$A23)*RTD("tos.rtd",,"GAMMA","."&amp;E$2&amp;E$1&amp;"P"&amp;$A23))/1000000),0),IF($A$2="GEX",IFERROR(IF($X$1="ABS",($A$4*$A$4*RTD("tos.rtd",,"OPEN_INT","."&amp;E$2&amp;E$1&amp;"C"&amp;$A23)*RTD("tos.rtd",,"GAMMA","."&amp;E$2&amp;E$1&amp;"C"&amp;$A23)+$A$4*$A$4*RTD("tos.rtd",,"OPEN_INT","."&amp;E$2&amp;E$1&amp;"P"&amp;$A23)*RTD("tos.rtd",,"GAMMA","."&amp;E$2&amp;E$1&amp;"P"&amp;$A23))/1000000,($A$4*$A$4*RTD("tos.rtd",,"OPEN_INT","."&amp;E$2&amp;E$1&amp;"C"&amp;$A23)*RTD("tos.rtd",,"GAMMA","."&amp;E$2&amp;E$1&amp;"C"&amp;$A23)-$A$4*$A$4*RTD("tos.rtd",,"OPEN_INT","."&amp;E$2&amp;E$1&amp;"P"&amp;$A23)*RTD("tos.rtd",,"GAMMA","."&amp;E$2&amp;E$1&amp;"P"&amp;$A23))/1000000),0),IF($A$2="SKEW",IFERROR(VALUE(IF(RTD("tos.rtd",,"IMPL_VOL","."&amp;E$2&amp;E$1&amp;"P"&amp;$A23)="N/A",0,RTD("tos.rtd",,"IMPL_VOL","."&amp;E$2&amp;E$1&amp;"P"&amp;$A23))),0)-IFERROR(VALUE(IF(RTD("tos.rtd",,"IMPL_VOL","."&amp;E$2&amp;E$1&amp;"C"&amp;$A23)="N/A",0,RTD("tos.rtd",,"IMPL_VOL","."&amp;E$2&amp;E$1&amp;"C"&amp;$A23))),0),IF($A$2="MAXPAIN",IF($A$4&gt;$A23,($A$4-$A23)*IF(RTD("tos.rtd",,"OPEN_INT","."&amp;E$2&amp;E$1&amp;"C"&amp;$A23)="N/A",0,RTD("tos.rtd",,"OPEN_INT","."&amp;E$2&amp;E$1&amp;"C"&amp;$A23)),0)+IF($A$4&lt;$A23,($A$5-$A$4)*IF(RTD("tos.rtd",,"OPEN_INT","."&amp;E$2&amp;E$1&amp;"P"&amp;$A23)="N/A",0,RTD("tos.rtd",,"OPEN_INT","."&amp;E$2&amp;E$1&amp;"P"&amp;$A23)),0),IF($X$1="ABS",IF(RTD("tos.rtd",,$A$2,"."&amp;E$2&amp;E$1&amp;"C"&amp;$A23)="N/A",0,RTD("tos.rtd",,$A$2,"."&amp;E$2&amp;E$1&amp;"C"&amp;$A23))+IF(RTD("tos.rtd",,$A$2,"."&amp;E$2&amp;E$1&amp;"P"&amp;$A23)="N/A",0,RTD("tos.rtd",,$A$2,"."&amp;E$2&amp;E$1&amp;"P"&amp;$A23)),IF(RTD("tos.rtd",,$A$2,"."&amp;E$2&amp;E$1&amp;"C"&amp;$A23)="N/A",0,RTD("tos.rtd",,$A$2,"."&amp;E$2&amp;E$1&amp;"C"&amp;$A23))-IF(RTD("tos.rtd",,$A$2,"."&amp;E$2&amp;E$1&amp;"P"&amp;$A23)="N/A",0,RTD("tos.rtd",,$A$2,"."&amp;E$2&amp;E$1&amp;"P"&amp;$A23))))))))))</f>
        <v>0</v>
      </c>
      <c r="F23" s="12">
        <f ca="1">IF($A$2="PREMIUM_OI",IFERROR(IF($X$1="ABS",(100*RTD("tos.rtd",,"OPEN_INT","."&amp;F$2&amp;F$1&amp;"C"&amp;$A23)*RTD("tos.rtd",,"LAST","."&amp;F$2&amp;F$1&amp;"C"&amp;$A23)+100*RTD("tos.rtd",,"OPEN_INT","."&amp;F$2&amp;F$1&amp;"P"&amp;$A23)*RTD("tos.rtd",,"LAST","."&amp;F$2&amp;F$1&amp;"P"&amp;$A23))/1000000,(100*RTD("tos.rtd",,"OPEN_INT","."&amp;F$2&amp;F$1&amp;"C"&amp;$A23)*RTD("tos.rtd",,"LAST","."&amp;F$2&amp;F$1&amp;"C"&amp;$A23)-100*RTD("tos.rtd",,"OPEN_INT","."&amp;F$2&amp;F$1&amp;"P"&amp;$A23)*RTD("tos.rtd",,"LAST","."&amp;F$2&amp;F$1&amp;"P"&amp;$A23))/1000000),0),IF($A$2="PREMIUM",IFERROR(IF($X$1="ABS",(100*RTD("tos.rtd",,"VOLUME","."&amp;F$2&amp;F$1&amp;"C"&amp;$A23)*RTD("tos.rtd",,"LAST","."&amp;F$2&amp;F$1&amp;"C"&amp;$A23)+100*RTD("tos.rtd",,"VOLUME","."&amp;F$2&amp;F$1&amp;"P"&amp;$A23)*RTD("tos.rtd",,"LAST","."&amp;F$2&amp;F$1&amp;"P"&amp;$A23))/1000000,(100*RTD("tos.rtd",,"VOLUME","."&amp;F$2&amp;F$1&amp;"C"&amp;$A23)*RTD("tos.rtd",,"LAST","."&amp;F$2&amp;F$1&amp;"C"&amp;$A23)-100*RTD("tos.rtd",,"VOLUME","."&amp;F$2&amp;F$1&amp;"P"&amp;$A23)*RTD("tos.rtd",,"LAST","."&amp;F$2&amp;F$1&amp;"P"&amp;$A23))/1000000),0),IF($A$2="DEX",IFERROR(IF($X$1="ABS",(100*RTD("tos.rtd",,"OPEN_INT","."&amp;F$2&amp;F$1&amp;"C"&amp;$A23)*RTD("tos.rtd",,"DELTA","."&amp;F$2&amp;F$1&amp;"C"&amp;$A23)+100*RTD("tos.rtd",,"OPEN_INT","."&amp;F$2&amp;F$1&amp;"P"&amp;$A23)*RTD("tos.rtd",,"DELTA","."&amp;F$2&amp;F$1&amp;"P"&amp;$A23))/1000,(100*RTD("tos.rtd",,"OPEN_INT","."&amp;F$2&amp;F$1&amp;"C"&amp;$A23)*RTD("tos.rtd",,"DELTA","."&amp;F$2&amp;F$1&amp;"C"&amp;$A23)-100*RTD("tos.rtd",,"OPEN_INT","."&amp;F$2&amp;F$1&amp;"P"&amp;$A23)*RTD("tos.rtd",,"DELTA","."&amp;F$2&amp;F$1&amp;"P"&amp;$A23))/1000),0),IF($A$2="VEX",IFERROR(IF($X$1="ABS",($A$4*$A$4*RTD("tos.rtd",,"VOLUME","."&amp;F$2&amp;F$1&amp;"C"&amp;$A23)*RTD("tos.rtd",,"GAMMA","."&amp;F$2&amp;F$1&amp;"C"&amp;$A23)+$A$4*$A$4*RTD("tos.rtd",,"VOLUME","."&amp;F$2&amp;F$1&amp;"P"&amp;$A23)*RTD("tos.rtd",,"GAMMA","."&amp;F$2&amp;F$1&amp;"P"&amp;$A23))/1000000,($A$4*$A$4*RTD("tos.rtd",,"VOLUME","."&amp;F$2&amp;F$1&amp;"C"&amp;$A23)*RTD("tos.rtd",,"GAMMA","."&amp;F$2&amp;F$1&amp;"C"&amp;$A23)-$A$4*$A$4*RTD("tos.rtd",,"VOLUME","."&amp;F$2&amp;F$1&amp;"P"&amp;$A23)*RTD("tos.rtd",,"GAMMA","."&amp;F$2&amp;F$1&amp;"P"&amp;$A23))/1000000),0),IF($A$2="GEX",IFERROR(IF($X$1="ABS",($A$4*$A$4*RTD("tos.rtd",,"OPEN_INT","."&amp;F$2&amp;F$1&amp;"C"&amp;$A23)*RTD("tos.rtd",,"GAMMA","."&amp;F$2&amp;F$1&amp;"C"&amp;$A23)+$A$4*$A$4*RTD("tos.rtd",,"OPEN_INT","."&amp;F$2&amp;F$1&amp;"P"&amp;$A23)*RTD("tos.rtd",,"GAMMA","."&amp;F$2&amp;F$1&amp;"P"&amp;$A23))/1000000,($A$4*$A$4*RTD("tos.rtd",,"OPEN_INT","."&amp;F$2&amp;F$1&amp;"C"&amp;$A23)*RTD("tos.rtd",,"GAMMA","."&amp;F$2&amp;F$1&amp;"C"&amp;$A23)-$A$4*$A$4*RTD("tos.rtd",,"OPEN_INT","."&amp;F$2&amp;F$1&amp;"P"&amp;$A23)*RTD("tos.rtd",,"GAMMA","."&amp;F$2&amp;F$1&amp;"P"&amp;$A23))/1000000),0),IF($A$2="SKEW",IFERROR(VALUE(IF(RTD("tos.rtd",,"IMPL_VOL","."&amp;F$2&amp;F$1&amp;"P"&amp;$A23)="N/A",0,RTD("tos.rtd",,"IMPL_VOL","."&amp;F$2&amp;F$1&amp;"P"&amp;$A23))),0)-IFERROR(VALUE(IF(RTD("tos.rtd",,"IMPL_VOL","."&amp;F$2&amp;F$1&amp;"C"&amp;$A23)="N/A",0,RTD("tos.rtd",,"IMPL_VOL","."&amp;F$2&amp;F$1&amp;"C"&amp;$A23))),0),IF($A$2="MAXPAIN",IF($A$4&gt;$A23,($A$4-$A23)*IF(RTD("tos.rtd",,"OPEN_INT","."&amp;F$2&amp;F$1&amp;"C"&amp;$A23)="N/A",0,RTD("tos.rtd",,"OPEN_INT","."&amp;F$2&amp;F$1&amp;"C"&amp;$A23)),0)+IF($A$4&lt;$A23,($A$5-$A$4)*IF(RTD("tos.rtd",,"OPEN_INT","."&amp;F$2&amp;F$1&amp;"P"&amp;$A23)="N/A",0,RTD("tos.rtd",,"OPEN_INT","."&amp;F$2&amp;F$1&amp;"P"&amp;$A23)),0),IF($X$1="ABS",IF(RTD("tos.rtd",,$A$2,"."&amp;F$2&amp;F$1&amp;"C"&amp;$A23)="N/A",0,RTD("tos.rtd",,$A$2,"."&amp;F$2&amp;F$1&amp;"C"&amp;$A23))+IF(RTD("tos.rtd",,$A$2,"."&amp;F$2&amp;F$1&amp;"P"&amp;$A23)="N/A",0,RTD("tos.rtd",,$A$2,"."&amp;F$2&amp;F$1&amp;"P"&amp;$A23)),IF(RTD("tos.rtd",,$A$2,"."&amp;F$2&amp;F$1&amp;"C"&amp;$A23)="N/A",0,RTD("tos.rtd",,$A$2,"."&amp;F$2&amp;F$1&amp;"C"&amp;$A23))-IF(RTD("tos.rtd",,$A$2,"."&amp;F$2&amp;F$1&amp;"P"&amp;$A23)="N/A",0,RTD("tos.rtd",,$A$2,"."&amp;F$2&amp;F$1&amp;"P"&amp;$A23))))))))))</f>
        <v>0</v>
      </c>
      <c r="G23" s="54">
        <f ca="1">IF($A$2="PREMIUM_OI",IFERROR(IF($X$1="ABS",(100*RTD("tos.rtd",,"OPEN_INT","."&amp;G$2&amp;G$1&amp;"C"&amp;$A23)*RTD("tos.rtd",,"LAST","."&amp;G$2&amp;G$1&amp;"C"&amp;$A23)+100*RTD("tos.rtd",,"OPEN_INT","."&amp;G$2&amp;G$1&amp;"P"&amp;$A23)*RTD("tos.rtd",,"LAST","."&amp;G$2&amp;G$1&amp;"P"&amp;$A23))/1000000,(100*RTD("tos.rtd",,"OPEN_INT","."&amp;G$2&amp;G$1&amp;"C"&amp;$A23)*RTD("tos.rtd",,"LAST","."&amp;G$2&amp;G$1&amp;"C"&amp;$A23)-100*RTD("tos.rtd",,"OPEN_INT","."&amp;G$2&amp;G$1&amp;"P"&amp;$A23)*RTD("tos.rtd",,"LAST","."&amp;G$2&amp;G$1&amp;"P"&amp;$A23))/1000000),0),IF($A$2="PREMIUM",IFERROR(IF($X$1="ABS",(100*RTD("tos.rtd",,"VOLUME","."&amp;G$2&amp;G$1&amp;"C"&amp;$A23)*RTD("tos.rtd",,"LAST","."&amp;G$2&amp;G$1&amp;"C"&amp;$A23)+100*RTD("tos.rtd",,"VOLUME","."&amp;G$2&amp;G$1&amp;"P"&amp;$A23)*RTD("tos.rtd",,"LAST","."&amp;G$2&amp;G$1&amp;"P"&amp;$A23))/1000000,(100*RTD("tos.rtd",,"VOLUME","."&amp;G$2&amp;G$1&amp;"C"&amp;$A23)*RTD("tos.rtd",,"LAST","."&amp;G$2&amp;G$1&amp;"C"&amp;$A23)-100*RTD("tos.rtd",,"VOLUME","."&amp;G$2&amp;G$1&amp;"P"&amp;$A23)*RTD("tos.rtd",,"LAST","."&amp;G$2&amp;G$1&amp;"P"&amp;$A23))/1000000),0),IF($A$2="DEX",IFERROR(IF($X$1="ABS",(100*RTD("tos.rtd",,"OPEN_INT","."&amp;G$2&amp;G$1&amp;"C"&amp;$A23)*RTD("tos.rtd",,"DELTA","."&amp;G$2&amp;G$1&amp;"C"&amp;$A23)+100*RTD("tos.rtd",,"OPEN_INT","."&amp;G$2&amp;G$1&amp;"P"&amp;$A23)*RTD("tos.rtd",,"DELTA","."&amp;G$2&amp;G$1&amp;"P"&amp;$A23))/1000,(100*RTD("tos.rtd",,"OPEN_INT","."&amp;G$2&amp;G$1&amp;"C"&amp;$A23)*RTD("tos.rtd",,"DELTA","."&amp;G$2&amp;G$1&amp;"C"&amp;$A23)-100*RTD("tos.rtd",,"OPEN_INT","."&amp;G$2&amp;G$1&amp;"P"&amp;$A23)*RTD("tos.rtd",,"DELTA","."&amp;G$2&amp;G$1&amp;"P"&amp;$A23))/1000),0),IF($A$2="VEX",IFERROR(IF($X$1="ABS",($A$4*$A$4*RTD("tos.rtd",,"VOLUME","."&amp;G$2&amp;G$1&amp;"C"&amp;$A23)*RTD("tos.rtd",,"GAMMA","."&amp;G$2&amp;G$1&amp;"C"&amp;$A23)+$A$4*$A$4*RTD("tos.rtd",,"VOLUME","."&amp;G$2&amp;G$1&amp;"P"&amp;$A23)*RTD("tos.rtd",,"GAMMA","."&amp;G$2&amp;G$1&amp;"P"&amp;$A23))/1000000,($A$4*$A$4*RTD("tos.rtd",,"VOLUME","."&amp;G$2&amp;G$1&amp;"C"&amp;$A23)*RTD("tos.rtd",,"GAMMA","."&amp;G$2&amp;G$1&amp;"C"&amp;$A23)-$A$4*$A$4*RTD("tos.rtd",,"VOLUME","."&amp;G$2&amp;G$1&amp;"P"&amp;$A23)*RTD("tos.rtd",,"GAMMA","."&amp;G$2&amp;G$1&amp;"P"&amp;$A23))/1000000),0),IF($A$2="GEX",IFERROR(IF($X$1="ABS",($A$4*$A$4*RTD("tos.rtd",,"OPEN_INT","."&amp;G$2&amp;G$1&amp;"C"&amp;$A23)*RTD("tos.rtd",,"GAMMA","."&amp;G$2&amp;G$1&amp;"C"&amp;$A23)+$A$4*$A$4*RTD("tos.rtd",,"OPEN_INT","."&amp;G$2&amp;G$1&amp;"P"&amp;$A23)*RTD("tos.rtd",,"GAMMA","."&amp;G$2&amp;G$1&amp;"P"&amp;$A23))/1000000,($A$4*$A$4*RTD("tos.rtd",,"OPEN_INT","."&amp;G$2&amp;G$1&amp;"C"&amp;$A23)*RTD("tos.rtd",,"GAMMA","."&amp;G$2&amp;G$1&amp;"C"&amp;$A23)-$A$4*$A$4*RTD("tos.rtd",,"OPEN_INT","."&amp;G$2&amp;G$1&amp;"P"&amp;$A23)*RTD("tos.rtd",,"GAMMA","."&amp;G$2&amp;G$1&amp;"P"&amp;$A23))/1000000),0),IF($A$2="SKEW",IFERROR(VALUE(IF(RTD("tos.rtd",,"IMPL_VOL","."&amp;G$2&amp;G$1&amp;"P"&amp;$A23)="N/A",0,RTD("tos.rtd",,"IMPL_VOL","."&amp;G$2&amp;G$1&amp;"P"&amp;$A23))),0)-IFERROR(VALUE(IF(RTD("tos.rtd",,"IMPL_VOL","."&amp;G$2&amp;G$1&amp;"C"&amp;$A23)="N/A",0,RTD("tos.rtd",,"IMPL_VOL","."&amp;G$2&amp;G$1&amp;"C"&amp;$A23))),0),IF($A$2="MAXPAIN",IF($A$4&gt;$A23,($A$4-$A23)*IF(RTD("tos.rtd",,"OPEN_INT","."&amp;G$2&amp;G$1&amp;"C"&amp;$A23)="N/A",0,RTD("tos.rtd",,"OPEN_INT","."&amp;G$2&amp;G$1&amp;"C"&amp;$A23)),0)+IF($A$4&lt;$A23,($A$5-$A$4)*IF(RTD("tos.rtd",,"OPEN_INT","."&amp;G$2&amp;G$1&amp;"P"&amp;$A23)="N/A",0,RTD("tos.rtd",,"OPEN_INT","."&amp;G$2&amp;G$1&amp;"P"&amp;$A23)),0),IF($X$1="ABS",IF(RTD("tos.rtd",,$A$2,"."&amp;G$2&amp;G$1&amp;"C"&amp;$A23)="N/A",0,RTD("tos.rtd",,$A$2,"."&amp;G$2&amp;G$1&amp;"C"&amp;$A23))+IF(RTD("tos.rtd",,$A$2,"."&amp;G$2&amp;G$1&amp;"P"&amp;$A23)="N/A",0,RTD("tos.rtd",,$A$2,"."&amp;G$2&amp;G$1&amp;"P"&amp;$A23)),IF(RTD("tos.rtd",,$A$2,"."&amp;G$2&amp;G$1&amp;"C"&amp;$A23)="N/A",0,RTD("tos.rtd",,$A$2,"."&amp;G$2&amp;G$1&amp;"C"&amp;$A23))-IF(RTD("tos.rtd",,$A$2,"."&amp;G$2&amp;G$1&amp;"P"&amp;$A23)="N/A",0,RTD("tos.rtd",,$A$2,"."&amp;G$2&amp;G$1&amp;"P"&amp;$A23))))))))))</f>
        <v>0</v>
      </c>
      <c r="H23" s="14">
        <f ca="1">IF($A$2="PREMIUM_OI",IFERROR(IF($X$1="ABS",(100*RTD("tos.rtd",,"OPEN_INT","."&amp;H$2&amp;H$1&amp;"C"&amp;$A23)*RTD("tos.rtd",,"LAST","."&amp;H$2&amp;H$1&amp;"C"&amp;$A23)+100*RTD("tos.rtd",,"OPEN_INT","."&amp;H$2&amp;H$1&amp;"P"&amp;$A23)*RTD("tos.rtd",,"LAST","."&amp;H$2&amp;H$1&amp;"P"&amp;$A23))/1000000,(100*RTD("tos.rtd",,"OPEN_INT","."&amp;H$2&amp;H$1&amp;"C"&amp;$A23)*RTD("tos.rtd",,"LAST","."&amp;H$2&amp;H$1&amp;"C"&amp;$A23)-100*RTD("tos.rtd",,"OPEN_INT","."&amp;H$2&amp;H$1&amp;"P"&amp;$A23)*RTD("tos.rtd",,"LAST","."&amp;H$2&amp;H$1&amp;"P"&amp;$A23))/1000000),0),IF($A$2="PREMIUM",IFERROR(IF($X$1="ABS",(100*RTD("tos.rtd",,"VOLUME","."&amp;H$2&amp;H$1&amp;"C"&amp;$A23)*RTD("tos.rtd",,"LAST","."&amp;H$2&amp;H$1&amp;"C"&amp;$A23)+100*RTD("tos.rtd",,"VOLUME","."&amp;H$2&amp;H$1&amp;"P"&amp;$A23)*RTD("tos.rtd",,"LAST","."&amp;H$2&amp;H$1&amp;"P"&amp;$A23))/1000000,(100*RTD("tos.rtd",,"VOLUME","."&amp;H$2&amp;H$1&amp;"C"&amp;$A23)*RTD("tos.rtd",,"LAST","."&amp;H$2&amp;H$1&amp;"C"&amp;$A23)-100*RTD("tos.rtd",,"VOLUME","."&amp;H$2&amp;H$1&amp;"P"&amp;$A23)*RTD("tos.rtd",,"LAST","."&amp;H$2&amp;H$1&amp;"P"&amp;$A23))/1000000),0),IF($A$2="DEX",IFERROR(IF($X$1="ABS",(100*RTD("tos.rtd",,"OPEN_INT","."&amp;H$2&amp;H$1&amp;"C"&amp;$A23)*RTD("tos.rtd",,"DELTA","."&amp;H$2&amp;H$1&amp;"C"&amp;$A23)+100*RTD("tos.rtd",,"OPEN_INT","."&amp;H$2&amp;H$1&amp;"P"&amp;$A23)*RTD("tos.rtd",,"DELTA","."&amp;H$2&amp;H$1&amp;"P"&amp;$A23))/1000,(100*RTD("tos.rtd",,"OPEN_INT","."&amp;H$2&amp;H$1&amp;"C"&amp;$A23)*RTD("tos.rtd",,"DELTA","."&amp;H$2&amp;H$1&amp;"C"&amp;$A23)-100*RTD("tos.rtd",,"OPEN_INT","."&amp;H$2&amp;H$1&amp;"P"&amp;$A23)*RTD("tos.rtd",,"DELTA","."&amp;H$2&amp;H$1&amp;"P"&amp;$A23))/1000),0),IF($A$2="VEX",IFERROR(IF($X$1="ABS",($A$4*$A$4*RTD("tos.rtd",,"VOLUME","."&amp;H$2&amp;H$1&amp;"C"&amp;$A23)*RTD("tos.rtd",,"GAMMA","."&amp;H$2&amp;H$1&amp;"C"&amp;$A23)+$A$4*$A$4*RTD("tos.rtd",,"VOLUME","."&amp;H$2&amp;H$1&amp;"P"&amp;$A23)*RTD("tos.rtd",,"GAMMA","."&amp;H$2&amp;H$1&amp;"P"&amp;$A23))/1000000,($A$4*$A$4*RTD("tos.rtd",,"VOLUME","."&amp;H$2&amp;H$1&amp;"C"&amp;$A23)*RTD("tos.rtd",,"GAMMA","."&amp;H$2&amp;H$1&amp;"C"&amp;$A23)-$A$4*$A$4*RTD("tos.rtd",,"VOLUME","."&amp;H$2&amp;H$1&amp;"P"&amp;$A23)*RTD("tos.rtd",,"GAMMA","."&amp;H$2&amp;H$1&amp;"P"&amp;$A23))/1000000),0),IF($A$2="GEX",IFERROR(IF($X$1="ABS",($A$4*$A$4*RTD("tos.rtd",,"OPEN_INT","."&amp;H$2&amp;H$1&amp;"C"&amp;$A23)*RTD("tos.rtd",,"GAMMA","."&amp;H$2&amp;H$1&amp;"C"&amp;$A23)+$A$4*$A$4*RTD("tos.rtd",,"OPEN_INT","."&amp;H$2&amp;H$1&amp;"P"&amp;$A23)*RTD("tos.rtd",,"GAMMA","."&amp;H$2&amp;H$1&amp;"P"&amp;$A23))/1000000,($A$4*$A$4*RTD("tos.rtd",,"OPEN_INT","."&amp;H$2&amp;H$1&amp;"C"&amp;$A23)*RTD("tos.rtd",,"GAMMA","."&amp;H$2&amp;H$1&amp;"C"&amp;$A23)-$A$4*$A$4*RTD("tos.rtd",,"OPEN_INT","."&amp;H$2&amp;H$1&amp;"P"&amp;$A23)*RTD("tos.rtd",,"GAMMA","."&amp;H$2&amp;H$1&amp;"P"&amp;$A23))/1000000),0),IF($A$2="SKEW",IFERROR(VALUE(IF(RTD("tos.rtd",,"IMPL_VOL","."&amp;H$2&amp;H$1&amp;"P"&amp;$A23)="N/A",0,RTD("tos.rtd",,"IMPL_VOL","."&amp;H$2&amp;H$1&amp;"P"&amp;$A23))),0)-IFERROR(VALUE(IF(RTD("tos.rtd",,"IMPL_VOL","."&amp;H$2&amp;H$1&amp;"C"&amp;$A23)="N/A",0,RTD("tos.rtd",,"IMPL_VOL","."&amp;H$2&amp;H$1&amp;"C"&amp;$A23))),0),IF($A$2="MAXPAIN",IF($A$4&gt;$A23,($A$4-$A23)*IF(RTD("tos.rtd",,"OPEN_INT","."&amp;H$2&amp;H$1&amp;"C"&amp;$A23)="N/A",0,RTD("tos.rtd",,"OPEN_INT","."&amp;H$2&amp;H$1&amp;"C"&amp;$A23)),0)+IF($A$4&lt;$A23,($A$5-$A$4)*IF(RTD("tos.rtd",,"OPEN_INT","."&amp;H$2&amp;H$1&amp;"P"&amp;$A23)="N/A",0,RTD("tos.rtd",,"OPEN_INT","."&amp;H$2&amp;H$1&amp;"P"&amp;$A23)),0),IF($X$1="ABS",IF(RTD("tos.rtd",,$A$2,"."&amp;H$2&amp;H$1&amp;"C"&amp;$A23)="N/A",0,RTD("tos.rtd",,$A$2,"."&amp;H$2&amp;H$1&amp;"C"&amp;$A23))+IF(RTD("tos.rtd",,$A$2,"."&amp;H$2&amp;H$1&amp;"P"&amp;$A23)="N/A",0,RTD("tos.rtd",,$A$2,"."&amp;H$2&amp;H$1&amp;"P"&amp;$A23)),IF(RTD("tos.rtd",,$A$2,"."&amp;H$2&amp;H$1&amp;"C"&amp;$A23)="N/A",0,RTD("tos.rtd",,$A$2,"."&amp;H$2&amp;H$1&amp;"C"&amp;$A23))-IF(RTD("tos.rtd",,$A$2,"."&amp;H$2&amp;H$1&amp;"P"&amp;$A23)="N/A",0,RTD("tos.rtd",,$A$2,"."&amp;H$2&amp;H$1&amp;"P"&amp;$A23))))))))))</f>
        <v>0</v>
      </c>
      <c r="I23" s="12">
        <f ca="1">IF($A$2="PREMIUM_OI",IFERROR(IF($X$1="ABS",(100*RTD("tos.rtd",,"OPEN_INT","."&amp;I$2&amp;I$1&amp;"C"&amp;$A23)*RTD("tos.rtd",,"LAST","."&amp;I$2&amp;I$1&amp;"C"&amp;$A23)+100*RTD("tos.rtd",,"OPEN_INT","."&amp;I$2&amp;I$1&amp;"P"&amp;$A23)*RTD("tos.rtd",,"LAST","."&amp;I$2&amp;I$1&amp;"P"&amp;$A23))/1000000,(100*RTD("tos.rtd",,"OPEN_INT","."&amp;I$2&amp;I$1&amp;"C"&amp;$A23)*RTD("tos.rtd",,"LAST","."&amp;I$2&amp;I$1&amp;"C"&amp;$A23)-100*RTD("tos.rtd",,"OPEN_INT","."&amp;I$2&amp;I$1&amp;"P"&amp;$A23)*RTD("tos.rtd",,"LAST","."&amp;I$2&amp;I$1&amp;"P"&amp;$A23))/1000000),0),IF($A$2="PREMIUM",IFERROR(IF($X$1="ABS",(100*RTD("tos.rtd",,"VOLUME","."&amp;I$2&amp;I$1&amp;"C"&amp;$A23)*RTD("tos.rtd",,"LAST","."&amp;I$2&amp;I$1&amp;"C"&amp;$A23)+100*RTD("tos.rtd",,"VOLUME","."&amp;I$2&amp;I$1&amp;"P"&amp;$A23)*RTD("tos.rtd",,"LAST","."&amp;I$2&amp;I$1&amp;"P"&amp;$A23))/1000000,(100*RTD("tos.rtd",,"VOLUME","."&amp;I$2&amp;I$1&amp;"C"&amp;$A23)*RTD("tos.rtd",,"LAST","."&amp;I$2&amp;I$1&amp;"C"&amp;$A23)-100*RTD("tos.rtd",,"VOLUME","."&amp;I$2&amp;I$1&amp;"P"&amp;$A23)*RTD("tos.rtd",,"LAST","."&amp;I$2&amp;I$1&amp;"P"&amp;$A23))/1000000),0),IF($A$2="DEX",IFERROR(IF($X$1="ABS",(100*RTD("tos.rtd",,"OPEN_INT","."&amp;I$2&amp;I$1&amp;"C"&amp;$A23)*RTD("tos.rtd",,"DELTA","."&amp;I$2&amp;I$1&amp;"C"&amp;$A23)+100*RTD("tos.rtd",,"OPEN_INT","."&amp;I$2&amp;I$1&amp;"P"&amp;$A23)*RTD("tos.rtd",,"DELTA","."&amp;I$2&amp;I$1&amp;"P"&amp;$A23))/1000,(100*RTD("tos.rtd",,"OPEN_INT","."&amp;I$2&amp;I$1&amp;"C"&amp;$A23)*RTD("tos.rtd",,"DELTA","."&amp;I$2&amp;I$1&amp;"C"&amp;$A23)-100*RTD("tos.rtd",,"OPEN_INT","."&amp;I$2&amp;I$1&amp;"P"&amp;$A23)*RTD("tos.rtd",,"DELTA","."&amp;I$2&amp;I$1&amp;"P"&amp;$A23))/1000),0),IF($A$2="VEX",IFERROR(IF($X$1="ABS",($A$4*$A$4*RTD("tos.rtd",,"VOLUME","."&amp;I$2&amp;I$1&amp;"C"&amp;$A23)*RTD("tos.rtd",,"GAMMA","."&amp;I$2&amp;I$1&amp;"C"&amp;$A23)+$A$4*$A$4*RTD("tos.rtd",,"VOLUME","."&amp;I$2&amp;I$1&amp;"P"&amp;$A23)*RTD("tos.rtd",,"GAMMA","."&amp;I$2&amp;I$1&amp;"P"&amp;$A23))/1000000,($A$4*$A$4*RTD("tos.rtd",,"VOLUME","."&amp;I$2&amp;I$1&amp;"C"&amp;$A23)*RTD("tos.rtd",,"GAMMA","."&amp;I$2&amp;I$1&amp;"C"&amp;$A23)-$A$4*$A$4*RTD("tos.rtd",,"VOLUME","."&amp;I$2&amp;I$1&amp;"P"&amp;$A23)*RTD("tos.rtd",,"GAMMA","."&amp;I$2&amp;I$1&amp;"P"&amp;$A23))/1000000),0),IF($A$2="GEX",IFERROR(IF($X$1="ABS",($A$4*$A$4*RTD("tos.rtd",,"OPEN_INT","."&amp;I$2&amp;I$1&amp;"C"&amp;$A23)*RTD("tos.rtd",,"GAMMA","."&amp;I$2&amp;I$1&amp;"C"&amp;$A23)+$A$4*$A$4*RTD("tos.rtd",,"OPEN_INT","."&amp;I$2&amp;I$1&amp;"P"&amp;$A23)*RTD("tos.rtd",,"GAMMA","."&amp;I$2&amp;I$1&amp;"P"&amp;$A23))/1000000,($A$4*$A$4*RTD("tos.rtd",,"OPEN_INT","."&amp;I$2&amp;I$1&amp;"C"&amp;$A23)*RTD("tos.rtd",,"GAMMA","."&amp;I$2&amp;I$1&amp;"C"&amp;$A23)-$A$4*$A$4*RTD("tos.rtd",,"OPEN_INT","."&amp;I$2&amp;I$1&amp;"P"&amp;$A23)*RTD("tos.rtd",,"GAMMA","."&amp;I$2&amp;I$1&amp;"P"&amp;$A23))/1000000),0),IF($A$2="SKEW",IFERROR(VALUE(IF(RTD("tos.rtd",,"IMPL_VOL","."&amp;I$2&amp;I$1&amp;"P"&amp;$A23)="N/A",0,RTD("tos.rtd",,"IMPL_VOL","."&amp;I$2&amp;I$1&amp;"P"&amp;$A23))),0)-IFERROR(VALUE(IF(RTD("tos.rtd",,"IMPL_VOL","."&amp;I$2&amp;I$1&amp;"C"&amp;$A23)="N/A",0,RTD("tos.rtd",,"IMPL_VOL","."&amp;I$2&amp;I$1&amp;"C"&amp;$A23))),0),IF($A$2="MAXPAIN",IF($A$4&gt;$A23,($A$4-$A23)*IF(RTD("tos.rtd",,"OPEN_INT","."&amp;I$2&amp;I$1&amp;"C"&amp;$A23)="N/A",0,RTD("tos.rtd",,"OPEN_INT","."&amp;I$2&amp;I$1&amp;"C"&amp;$A23)),0)+IF($A$4&lt;$A23,($A$5-$A$4)*IF(RTD("tos.rtd",,"OPEN_INT","."&amp;I$2&amp;I$1&amp;"P"&amp;$A23)="N/A",0,RTD("tos.rtd",,"OPEN_INT","."&amp;I$2&amp;I$1&amp;"P"&amp;$A23)),0),IF($X$1="ABS",IF(RTD("tos.rtd",,$A$2,"."&amp;I$2&amp;I$1&amp;"C"&amp;$A23)="N/A",0,RTD("tos.rtd",,$A$2,"."&amp;I$2&amp;I$1&amp;"C"&amp;$A23))+IF(RTD("tos.rtd",,$A$2,"."&amp;I$2&amp;I$1&amp;"P"&amp;$A23)="N/A",0,RTD("tos.rtd",,$A$2,"."&amp;I$2&amp;I$1&amp;"P"&amp;$A23)),IF(RTD("tos.rtd",,$A$2,"."&amp;I$2&amp;I$1&amp;"C"&amp;$A23)="N/A",0,RTD("tos.rtd",,$A$2,"."&amp;I$2&amp;I$1&amp;"C"&amp;$A23))-IF(RTD("tos.rtd",,$A$2,"."&amp;I$2&amp;I$1&amp;"P"&amp;$A23)="N/A",0,RTD("tos.rtd",,$A$2,"."&amp;I$2&amp;I$1&amp;"P"&amp;$A23))))))))))</f>
        <v>0</v>
      </c>
      <c r="J23" s="12">
        <f ca="1">IF($A$2="PREMIUM_OI",IFERROR(IF($X$1="ABS",(100*RTD("tos.rtd",,"OPEN_INT","."&amp;J$2&amp;J$1&amp;"C"&amp;$A23)*RTD("tos.rtd",,"LAST","."&amp;J$2&amp;J$1&amp;"C"&amp;$A23)+100*RTD("tos.rtd",,"OPEN_INT","."&amp;J$2&amp;J$1&amp;"P"&amp;$A23)*RTD("tos.rtd",,"LAST","."&amp;J$2&amp;J$1&amp;"P"&amp;$A23))/1000000,(100*RTD("tos.rtd",,"OPEN_INT","."&amp;J$2&amp;J$1&amp;"C"&amp;$A23)*RTD("tos.rtd",,"LAST","."&amp;J$2&amp;J$1&amp;"C"&amp;$A23)-100*RTD("tos.rtd",,"OPEN_INT","."&amp;J$2&amp;J$1&amp;"P"&amp;$A23)*RTD("tos.rtd",,"LAST","."&amp;J$2&amp;J$1&amp;"P"&amp;$A23))/1000000),0),IF($A$2="PREMIUM",IFERROR(IF($X$1="ABS",(100*RTD("tos.rtd",,"VOLUME","."&amp;J$2&amp;J$1&amp;"C"&amp;$A23)*RTD("tos.rtd",,"LAST","."&amp;J$2&amp;J$1&amp;"C"&amp;$A23)+100*RTD("tos.rtd",,"VOLUME","."&amp;J$2&amp;J$1&amp;"P"&amp;$A23)*RTD("tos.rtd",,"LAST","."&amp;J$2&amp;J$1&amp;"P"&amp;$A23))/1000000,(100*RTD("tos.rtd",,"VOLUME","."&amp;J$2&amp;J$1&amp;"C"&amp;$A23)*RTD("tos.rtd",,"LAST","."&amp;J$2&amp;J$1&amp;"C"&amp;$A23)-100*RTD("tos.rtd",,"VOLUME","."&amp;J$2&amp;J$1&amp;"P"&amp;$A23)*RTD("tos.rtd",,"LAST","."&amp;J$2&amp;J$1&amp;"P"&amp;$A23))/1000000),0),IF($A$2="DEX",IFERROR(IF($X$1="ABS",(100*RTD("tos.rtd",,"OPEN_INT","."&amp;J$2&amp;J$1&amp;"C"&amp;$A23)*RTD("tos.rtd",,"DELTA","."&amp;J$2&amp;J$1&amp;"C"&amp;$A23)+100*RTD("tos.rtd",,"OPEN_INT","."&amp;J$2&amp;J$1&amp;"P"&amp;$A23)*RTD("tos.rtd",,"DELTA","."&amp;J$2&amp;J$1&amp;"P"&amp;$A23))/1000,(100*RTD("tos.rtd",,"OPEN_INT","."&amp;J$2&amp;J$1&amp;"C"&amp;$A23)*RTD("tos.rtd",,"DELTA","."&amp;J$2&amp;J$1&amp;"C"&amp;$A23)-100*RTD("tos.rtd",,"OPEN_INT","."&amp;J$2&amp;J$1&amp;"P"&amp;$A23)*RTD("tos.rtd",,"DELTA","."&amp;J$2&amp;J$1&amp;"P"&amp;$A23))/1000),0),IF($A$2="VEX",IFERROR(IF($X$1="ABS",($A$4*$A$4*RTD("tos.rtd",,"VOLUME","."&amp;J$2&amp;J$1&amp;"C"&amp;$A23)*RTD("tos.rtd",,"GAMMA","."&amp;J$2&amp;J$1&amp;"C"&amp;$A23)+$A$4*$A$4*RTD("tos.rtd",,"VOLUME","."&amp;J$2&amp;J$1&amp;"P"&amp;$A23)*RTD("tos.rtd",,"GAMMA","."&amp;J$2&amp;J$1&amp;"P"&amp;$A23))/1000000,($A$4*$A$4*RTD("tos.rtd",,"VOLUME","."&amp;J$2&amp;J$1&amp;"C"&amp;$A23)*RTD("tos.rtd",,"GAMMA","."&amp;J$2&amp;J$1&amp;"C"&amp;$A23)-$A$4*$A$4*RTD("tos.rtd",,"VOLUME","."&amp;J$2&amp;J$1&amp;"P"&amp;$A23)*RTD("tos.rtd",,"GAMMA","."&amp;J$2&amp;J$1&amp;"P"&amp;$A23))/1000000),0),IF($A$2="GEX",IFERROR(IF($X$1="ABS",($A$4*$A$4*RTD("tos.rtd",,"OPEN_INT","."&amp;J$2&amp;J$1&amp;"C"&amp;$A23)*RTD("tos.rtd",,"GAMMA","."&amp;J$2&amp;J$1&amp;"C"&amp;$A23)+$A$4*$A$4*RTD("tos.rtd",,"OPEN_INT","."&amp;J$2&amp;J$1&amp;"P"&amp;$A23)*RTD("tos.rtd",,"GAMMA","."&amp;J$2&amp;J$1&amp;"P"&amp;$A23))/1000000,($A$4*$A$4*RTD("tos.rtd",,"OPEN_INT","."&amp;J$2&amp;J$1&amp;"C"&amp;$A23)*RTD("tos.rtd",,"GAMMA","."&amp;J$2&amp;J$1&amp;"C"&amp;$A23)-$A$4*$A$4*RTD("tos.rtd",,"OPEN_INT","."&amp;J$2&amp;J$1&amp;"P"&amp;$A23)*RTD("tos.rtd",,"GAMMA","."&amp;J$2&amp;J$1&amp;"P"&amp;$A23))/1000000),0),IF($A$2="SKEW",IFERROR(VALUE(IF(RTD("tos.rtd",,"IMPL_VOL","."&amp;J$2&amp;J$1&amp;"P"&amp;$A23)="N/A",0,RTD("tos.rtd",,"IMPL_VOL","."&amp;J$2&amp;J$1&amp;"P"&amp;$A23))),0)-IFERROR(VALUE(IF(RTD("tos.rtd",,"IMPL_VOL","."&amp;J$2&amp;J$1&amp;"C"&amp;$A23)="N/A",0,RTD("tos.rtd",,"IMPL_VOL","."&amp;J$2&amp;J$1&amp;"C"&amp;$A23))),0),IF($A$2="MAXPAIN",IF($A$4&gt;$A23,($A$4-$A23)*IF(RTD("tos.rtd",,"OPEN_INT","."&amp;J$2&amp;J$1&amp;"C"&amp;$A23)="N/A",0,RTD("tos.rtd",,"OPEN_INT","."&amp;J$2&amp;J$1&amp;"C"&amp;$A23)),0)+IF($A$4&lt;$A23,($A$5-$A$4)*IF(RTD("tos.rtd",,"OPEN_INT","."&amp;J$2&amp;J$1&amp;"P"&amp;$A23)="N/A",0,RTD("tos.rtd",,"OPEN_INT","."&amp;J$2&amp;J$1&amp;"P"&amp;$A23)),0),IF($X$1="ABS",IF(RTD("tos.rtd",,$A$2,"."&amp;J$2&amp;J$1&amp;"C"&amp;$A23)="N/A",0,RTD("tos.rtd",,$A$2,"."&amp;J$2&amp;J$1&amp;"C"&amp;$A23))+IF(RTD("tos.rtd",,$A$2,"."&amp;J$2&amp;J$1&amp;"P"&amp;$A23)="N/A",0,RTD("tos.rtd",,$A$2,"."&amp;J$2&amp;J$1&amp;"P"&amp;$A23)),IF(RTD("tos.rtd",,$A$2,"."&amp;J$2&amp;J$1&amp;"C"&amp;$A23)="N/A",0,RTD("tos.rtd",,$A$2,"."&amp;J$2&amp;J$1&amp;"C"&amp;$A23))-IF(RTD("tos.rtd",,$A$2,"."&amp;J$2&amp;J$1&amp;"P"&amp;$A23)="N/A",0,RTD("tos.rtd",,$A$2,"."&amp;J$2&amp;J$1&amp;"P"&amp;$A23))))))))))</f>
        <v>0</v>
      </c>
      <c r="K23" s="12">
        <f ca="1">IF($A$2="PREMIUM_OI",IFERROR(IF($X$1="ABS",(100*RTD("tos.rtd",,"OPEN_INT","."&amp;K$2&amp;K$1&amp;"C"&amp;$A23)*RTD("tos.rtd",,"LAST","."&amp;K$2&amp;K$1&amp;"C"&amp;$A23)+100*RTD("tos.rtd",,"OPEN_INT","."&amp;K$2&amp;K$1&amp;"P"&amp;$A23)*RTD("tos.rtd",,"LAST","."&amp;K$2&amp;K$1&amp;"P"&amp;$A23))/1000000,(100*RTD("tos.rtd",,"OPEN_INT","."&amp;K$2&amp;K$1&amp;"C"&amp;$A23)*RTD("tos.rtd",,"LAST","."&amp;K$2&amp;K$1&amp;"C"&amp;$A23)-100*RTD("tos.rtd",,"OPEN_INT","."&amp;K$2&amp;K$1&amp;"P"&amp;$A23)*RTD("tos.rtd",,"LAST","."&amp;K$2&amp;K$1&amp;"P"&amp;$A23))/1000000),0),IF($A$2="PREMIUM",IFERROR(IF($X$1="ABS",(100*RTD("tos.rtd",,"VOLUME","."&amp;K$2&amp;K$1&amp;"C"&amp;$A23)*RTD("tos.rtd",,"LAST","."&amp;K$2&amp;K$1&amp;"C"&amp;$A23)+100*RTD("tos.rtd",,"VOLUME","."&amp;K$2&amp;K$1&amp;"P"&amp;$A23)*RTD("tos.rtd",,"LAST","."&amp;K$2&amp;K$1&amp;"P"&amp;$A23))/1000000,(100*RTD("tos.rtd",,"VOLUME","."&amp;K$2&amp;K$1&amp;"C"&amp;$A23)*RTD("tos.rtd",,"LAST","."&amp;K$2&amp;K$1&amp;"C"&amp;$A23)-100*RTD("tos.rtd",,"VOLUME","."&amp;K$2&amp;K$1&amp;"P"&amp;$A23)*RTD("tos.rtd",,"LAST","."&amp;K$2&amp;K$1&amp;"P"&amp;$A23))/1000000),0),IF($A$2="DEX",IFERROR(IF($X$1="ABS",(100*RTD("tos.rtd",,"OPEN_INT","."&amp;K$2&amp;K$1&amp;"C"&amp;$A23)*RTD("tos.rtd",,"DELTA","."&amp;K$2&amp;K$1&amp;"C"&amp;$A23)+100*RTD("tos.rtd",,"OPEN_INT","."&amp;K$2&amp;K$1&amp;"P"&amp;$A23)*RTD("tos.rtd",,"DELTA","."&amp;K$2&amp;K$1&amp;"P"&amp;$A23))/1000,(100*RTD("tos.rtd",,"OPEN_INT","."&amp;K$2&amp;K$1&amp;"C"&amp;$A23)*RTD("tos.rtd",,"DELTA","."&amp;K$2&amp;K$1&amp;"C"&amp;$A23)-100*RTD("tos.rtd",,"OPEN_INT","."&amp;K$2&amp;K$1&amp;"P"&amp;$A23)*RTD("tos.rtd",,"DELTA","."&amp;K$2&amp;K$1&amp;"P"&amp;$A23))/1000),0),IF($A$2="VEX",IFERROR(IF($X$1="ABS",($A$4*$A$4*RTD("tos.rtd",,"VOLUME","."&amp;K$2&amp;K$1&amp;"C"&amp;$A23)*RTD("tos.rtd",,"GAMMA","."&amp;K$2&amp;K$1&amp;"C"&amp;$A23)+$A$4*$A$4*RTD("tos.rtd",,"VOLUME","."&amp;K$2&amp;K$1&amp;"P"&amp;$A23)*RTD("tos.rtd",,"GAMMA","."&amp;K$2&amp;K$1&amp;"P"&amp;$A23))/1000000,($A$4*$A$4*RTD("tos.rtd",,"VOLUME","."&amp;K$2&amp;K$1&amp;"C"&amp;$A23)*RTD("tos.rtd",,"GAMMA","."&amp;K$2&amp;K$1&amp;"C"&amp;$A23)-$A$4*$A$4*RTD("tos.rtd",,"VOLUME","."&amp;K$2&amp;K$1&amp;"P"&amp;$A23)*RTD("tos.rtd",,"GAMMA","."&amp;K$2&amp;K$1&amp;"P"&amp;$A23))/1000000),0),IF($A$2="GEX",IFERROR(IF($X$1="ABS",($A$4*$A$4*RTD("tos.rtd",,"OPEN_INT","."&amp;K$2&amp;K$1&amp;"C"&amp;$A23)*RTD("tos.rtd",,"GAMMA","."&amp;K$2&amp;K$1&amp;"C"&amp;$A23)+$A$4*$A$4*RTD("tos.rtd",,"OPEN_INT","."&amp;K$2&amp;K$1&amp;"P"&amp;$A23)*RTD("tos.rtd",,"GAMMA","."&amp;K$2&amp;K$1&amp;"P"&amp;$A23))/1000000,($A$4*$A$4*RTD("tos.rtd",,"OPEN_INT","."&amp;K$2&amp;K$1&amp;"C"&amp;$A23)*RTD("tos.rtd",,"GAMMA","."&amp;K$2&amp;K$1&amp;"C"&amp;$A23)-$A$4*$A$4*RTD("tos.rtd",,"OPEN_INT","."&amp;K$2&amp;K$1&amp;"P"&amp;$A23)*RTD("tos.rtd",,"GAMMA","."&amp;K$2&amp;K$1&amp;"P"&amp;$A23))/1000000),0),IF($A$2="SKEW",IFERROR(VALUE(IF(RTD("tos.rtd",,"IMPL_VOL","."&amp;K$2&amp;K$1&amp;"P"&amp;$A23)="N/A",0,RTD("tos.rtd",,"IMPL_VOL","."&amp;K$2&amp;K$1&amp;"P"&amp;$A23))),0)-IFERROR(VALUE(IF(RTD("tos.rtd",,"IMPL_VOL","."&amp;K$2&amp;K$1&amp;"C"&amp;$A23)="N/A",0,RTD("tos.rtd",,"IMPL_VOL","."&amp;K$2&amp;K$1&amp;"C"&amp;$A23))),0),IF($A$2="MAXPAIN",IF($A$4&gt;$A23,($A$4-$A23)*IF(RTD("tos.rtd",,"OPEN_INT","."&amp;K$2&amp;K$1&amp;"C"&amp;$A23)="N/A",0,RTD("tos.rtd",,"OPEN_INT","."&amp;K$2&amp;K$1&amp;"C"&amp;$A23)),0)+IF($A$4&lt;$A23,($A$5-$A$4)*IF(RTD("tos.rtd",,"OPEN_INT","."&amp;K$2&amp;K$1&amp;"P"&amp;$A23)="N/A",0,RTD("tos.rtd",,"OPEN_INT","."&amp;K$2&amp;K$1&amp;"P"&amp;$A23)),0),IF($X$1="ABS",IF(RTD("tos.rtd",,$A$2,"."&amp;K$2&amp;K$1&amp;"C"&amp;$A23)="N/A",0,RTD("tos.rtd",,$A$2,"."&amp;K$2&amp;K$1&amp;"C"&amp;$A23))+IF(RTD("tos.rtd",,$A$2,"."&amp;K$2&amp;K$1&amp;"P"&amp;$A23)="N/A",0,RTD("tos.rtd",,$A$2,"."&amp;K$2&amp;K$1&amp;"P"&amp;$A23)),IF(RTD("tos.rtd",,$A$2,"."&amp;K$2&amp;K$1&amp;"C"&amp;$A23)="N/A",0,RTD("tos.rtd",,$A$2,"."&amp;K$2&amp;K$1&amp;"C"&amp;$A23))-IF(RTD("tos.rtd",,$A$2,"."&amp;K$2&amp;K$1&amp;"P"&amp;$A23)="N/A",0,RTD("tos.rtd",,$A$2,"."&amp;K$2&amp;K$1&amp;"P"&amp;$A23))))))))))</f>
        <v>0</v>
      </c>
      <c r="L23" s="54">
        <f ca="1">IF($A$2="PREMIUM_OI",IFERROR(IF($X$1="ABS",(100*RTD("tos.rtd",,"OPEN_INT","."&amp;L$2&amp;L$1&amp;"C"&amp;$A23)*RTD("tos.rtd",,"LAST","."&amp;L$2&amp;L$1&amp;"C"&amp;$A23)+100*RTD("tos.rtd",,"OPEN_INT","."&amp;L$2&amp;L$1&amp;"P"&amp;$A23)*RTD("tos.rtd",,"LAST","."&amp;L$2&amp;L$1&amp;"P"&amp;$A23))/1000000,(100*RTD("tos.rtd",,"OPEN_INT","."&amp;L$2&amp;L$1&amp;"C"&amp;$A23)*RTD("tos.rtd",,"LAST","."&amp;L$2&amp;L$1&amp;"C"&amp;$A23)-100*RTD("tos.rtd",,"OPEN_INT","."&amp;L$2&amp;L$1&amp;"P"&amp;$A23)*RTD("tos.rtd",,"LAST","."&amp;L$2&amp;L$1&amp;"P"&amp;$A23))/1000000),0),IF($A$2="PREMIUM",IFERROR(IF($X$1="ABS",(100*RTD("tos.rtd",,"VOLUME","."&amp;L$2&amp;L$1&amp;"C"&amp;$A23)*RTD("tos.rtd",,"LAST","."&amp;L$2&amp;L$1&amp;"C"&amp;$A23)+100*RTD("tos.rtd",,"VOLUME","."&amp;L$2&amp;L$1&amp;"P"&amp;$A23)*RTD("tos.rtd",,"LAST","."&amp;L$2&amp;L$1&amp;"P"&amp;$A23))/1000000,(100*RTD("tos.rtd",,"VOLUME","."&amp;L$2&amp;L$1&amp;"C"&amp;$A23)*RTD("tos.rtd",,"LAST","."&amp;L$2&amp;L$1&amp;"C"&amp;$A23)-100*RTD("tos.rtd",,"VOLUME","."&amp;L$2&amp;L$1&amp;"P"&amp;$A23)*RTD("tos.rtd",,"LAST","."&amp;L$2&amp;L$1&amp;"P"&amp;$A23))/1000000),0),IF($A$2="DEX",IFERROR(IF($X$1="ABS",(100*RTD("tos.rtd",,"OPEN_INT","."&amp;L$2&amp;L$1&amp;"C"&amp;$A23)*RTD("tos.rtd",,"DELTA","."&amp;L$2&amp;L$1&amp;"C"&amp;$A23)+100*RTD("tos.rtd",,"OPEN_INT","."&amp;L$2&amp;L$1&amp;"P"&amp;$A23)*RTD("tos.rtd",,"DELTA","."&amp;L$2&amp;L$1&amp;"P"&amp;$A23))/1000,(100*RTD("tos.rtd",,"OPEN_INT","."&amp;L$2&amp;L$1&amp;"C"&amp;$A23)*RTD("tos.rtd",,"DELTA","."&amp;L$2&amp;L$1&amp;"C"&amp;$A23)-100*RTD("tos.rtd",,"OPEN_INT","."&amp;L$2&amp;L$1&amp;"P"&amp;$A23)*RTD("tos.rtd",,"DELTA","."&amp;L$2&amp;L$1&amp;"P"&amp;$A23))/1000),0),IF($A$2="VEX",IFERROR(IF($X$1="ABS",($A$4*$A$4*RTD("tos.rtd",,"VOLUME","."&amp;L$2&amp;L$1&amp;"C"&amp;$A23)*RTD("tos.rtd",,"GAMMA","."&amp;L$2&amp;L$1&amp;"C"&amp;$A23)+$A$4*$A$4*RTD("tos.rtd",,"VOLUME","."&amp;L$2&amp;L$1&amp;"P"&amp;$A23)*RTD("tos.rtd",,"GAMMA","."&amp;L$2&amp;L$1&amp;"P"&amp;$A23))/1000000,($A$4*$A$4*RTD("tos.rtd",,"VOLUME","."&amp;L$2&amp;L$1&amp;"C"&amp;$A23)*RTD("tos.rtd",,"GAMMA","."&amp;L$2&amp;L$1&amp;"C"&amp;$A23)-$A$4*$A$4*RTD("tos.rtd",,"VOLUME","."&amp;L$2&amp;L$1&amp;"P"&amp;$A23)*RTD("tos.rtd",,"GAMMA","."&amp;L$2&amp;L$1&amp;"P"&amp;$A23))/1000000),0),IF($A$2="GEX",IFERROR(IF($X$1="ABS",($A$4*$A$4*RTD("tos.rtd",,"OPEN_INT","."&amp;L$2&amp;L$1&amp;"C"&amp;$A23)*RTD("tos.rtd",,"GAMMA","."&amp;L$2&amp;L$1&amp;"C"&amp;$A23)+$A$4*$A$4*RTD("tos.rtd",,"OPEN_INT","."&amp;L$2&amp;L$1&amp;"P"&amp;$A23)*RTD("tos.rtd",,"GAMMA","."&amp;L$2&amp;L$1&amp;"P"&amp;$A23))/1000000,($A$4*$A$4*RTD("tos.rtd",,"OPEN_INT","."&amp;L$2&amp;L$1&amp;"C"&amp;$A23)*RTD("tos.rtd",,"GAMMA","."&amp;L$2&amp;L$1&amp;"C"&amp;$A23)-$A$4*$A$4*RTD("tos.rtd",,"OPEN_INT","."&amp;L$2&amp;L$1&amp;"P"&amp;$A23)*RTD("tos.rtd",,"GAMMA","."&amp;L$2&amp;L$1&amp;"P"&amp;$A23))/1000000),0),IF($A$2="SKEW",IFERROR(VALUE(IF(RTD("tos.rtd",,"IMPL_VOL","."&amp;L$2&amp;L$1&amp;"P"&amp;$A23)="N/A",0,RTD("tos.rtd",,"IMPL_VOL","."&amp;L$2&amp;L$1&amp;"P"&amp;$A23))),0)-IFERROR(VALUE(IF(RTD("tos.rtd",,"IMPL_VOL","."&amp;L$2&amp;L$1&amp;"C"&amp;$A23)="N/A",0,RTD("tos.rtd",,"IMPL_VOL","."&amp;L$2&amp;L$1&amp;"C"&amp;$A23))),0),IF($A$2="MAXPAIN",IF($A$4&gt;$A23,($A$4-$A23)*IF(RTD("tos.rtd",,"OPEN_INT","."&amp;L$2&amp;L$1&amp;"C"&amp;$A23)="N/A",0,RTD("tos.rtd",,"OPEN_INT","."&amp;L$2&amp;L$1&amp;"C"&amp;$A23)),0)+IF($A$4&lt;$A23,($A$5-$A$4)*IF(RTD("tos.rtd",,"OPEN_INT","."&amp;L$2&amp;L$1&amp;"P"&amp;$A23)="N/A",0,RTD("tos.rtd",,"OPEN_INT","."&amp;L$2&amp;L$1&amp;"P"&amp;$A23)),0),IF($X$1="ABS",IF(RTD("tos.rtd",,$A$2,"."&amp;L$2&amp;L$1&amp;"C"&amp;$A23)="N/A",0,RTD("tos.rtd",,$A$2,"."&amp;L$2&amp;L$1&amp;"C"&amp;$A23))+IF(RTD("tos.rtd",,$A$2,"."&amp;L$2&amp;L$1&amp;"P"&amp;$A23)="N/A",0,RTD("tos.rtd",,$A$2,"."&amp;L$2&amp;L$1&amp;"P"&amp;$A23)),IF(RTD("tos.rtd",,$A$2,"."&amp;L$2&amp;L$1&amp;"C"&amp;$A23)="N/A",0,RTD("tos.rtd",,$A$2,"."&amp;L$2&amp;L$1&amp;"C"&amp;$A23))-IF(RTD("tos.rtd",,$A$2,"."&amp;L$2&amp;L$1&amp;"P"&amp;$A23)="N/A",0,RTD("tos.rtd",,$A$2,"."&amp;L$2&amp;L$1&amp;"P"&amp;$A23))))))))))</f>
        <v>0</v>
      </c>
      <c r="M23" s="12">
        <f ca="1">IF($A$2="PREMIUM_OI",IFERROR(IF($X$1="ABS",(100*RTD("tos.rtd",,"OPEN_INT","."&amp;M$2&amp;M$1&amp;"C"&amp;$A23)*RTD("tos.rtd",,"LAST","."&amp;M$2&amp;M$1&amp;"C"&amp;$A23)+100*RTD("tos.rtd",,"OPEN_INT","."&amp;M$2&amp;M$1&amp;"P"&amp;$A23)*RTD("tos.rtd",,"LAST","."&amp;M$2&amp;M$1&amp;"P"&amp;$A23))/1000000,(100*RTD("tos.rtd",,"OPEN_INT","."&amp;M$2&amp;M$1&amp;"C"&amp;$A23)*RTD("tos.rtd",,"LAST","."&amp;M$2&amp;M$1&amp;"C"&amp;$A23)-100*RTD("tos.rtd",,"OPEN_INT","."&amp;M$2&amp;M$1&amp;"P"&amp;$A23)*RTD("tos.rtd",,"LAST","."&amp;M$2&amp;M$1&amp;"P"&amp;$A23))/1000000),0),IF($A$2="PREMIUM",IFERROR(IF($X$1="ABS",(100*RTD("tos.rtd",,"VOLUME","."&amp;M$2&amp;M$1&amp;"C"&amp;$A23)*RTD("tos.rtd",,"LAST","."&amp;M$2&amp;M$1&amp;"C"&amp;$A23)+100*RTD("tos.rtd",,"VOLUME","."&amp;M$2&amp;M$1&amp;"P"&amp;$A23)*RTD("tos.rtd",,"LAST","."&amp;M$2&amp;M$1&amp;"P"&amp;$A23))/1000000,(100*RTD("tos.rtd",,"VOLUME","."&amp;M$2&amp;M$1&amp;"C"&amp;$A23)*RTD("tos.rtd",,"LAST","."&amp;M$2&amp;M$1&amp;"C"&amp;$A23)-100*RTD("tos.rtd",,"VOLUME","."&amp;M$2&amp;M$1&amp;"P"&amp;$A23)*RTD("tos.rtd",,"LAST","."&amp;M$2&amp;M$1&amp;"P"&amp;$A23))/1000000),0),IF($A$2="DEX",IFERROR(IF($X$1="ABS",(100*RTD("tos.rtd",,"OPEN_INT","."&amp;M$2&amp;M$1&amp;"C"&amp;$A23)*RTD("tos.rtd",,"DELTA","."&amp;M$2&amp;M$1&amp;"C"&amp;$A23)+100*RTD("tos.rtd",,"OPEN_INT","."&amp;M$2&amp;M$1&amp;"P"&amp;$A23)*RTD("tos.rtd",,"DELTA","."&amp;M$2&amp;M$1&amp;"P"&amp;$A23))/1000,(100*RTD("tos.rtd",,"OPEN_INT","."&amp;M$2&amp;M$1&amp;"C"&amp;$A23)*RTD("tos.rtd",,"DELTA","."&amp;M$2&amp;M$1&amp;"C"&amp;$A23)-100*RTD("tos.rtd",,"OPEN_INT","."&amp;M$2&amp;M$1&amp;"P"&amp;$A23)*RTD("tos.rtd",,"DELTA","."&amp;M$2&amp;M$1&amp;"P"&amp;$A23))/1000),0),IF($A$2="VEX",IFERROR(IF($X$1="ABS",($A$4*$A$4*RTD("tos.rtd",,"VOLUME","."&amp;M$2&amp;M$1&amp;"C"&amp;$A23)*RTD("tos.rtd",,"GAMMA","."&amp;M$2&amp;M$1&amp;"C"&amp;$A23)+$A$4*$A$4*RTD("tos.rtd",,"VOLUME","."&amp;M$2&amp;M$1&amp;"P"&amp;$A23)*RTD("tos.rtd",,"GAMMA","."&amp;M$2&amp;M$1&amp;"P"&amp;$A23))/1000000,($A$4*$A$4*RTD("tos.rtd",,"VOLUME","."&amp;M$2&amp;M$1&amp;"C"&amp;$A23)*RTD("tos.rtd",,"GAMMA","."&amp;M$2&amp;M$1&amp;"C"&amp;$A23)-$A$4*$A$4*RTD("tos.rtd",,"VOLUME","."&amp;M$2&amp;M$1&amp;"P"&amp;$A23)*RTD("tos.rtd",,"GAMMA","."&amp;M$2&amp;M$1&amp;"P"&amp;$A23))/1000000),0),IF($A$2="GEX",IFERROR(IF($X$1="ABS",($A$4*$A$4*RTD("tos.rtd",,"OPEN_INT","."&amp;M$2&amp;M$1&amp;"C"&amp;$A23)*RTD("tos.rtd",,"GAMMA","."&amp;M$2&amp;M$1&amp;"C"&amp;$A23)+$A$4*$A$4*RTD("tos.rtd",,"OPEN_INT","."&amp;M$2&amp;M$1&amp;"P"&amp;$A23)*RTD("tos.rtd",,"GAMMA","."&amp;M$2&amp;M$1&amp;"P"&amp;$A23))/1000000,($A$4*$A$4*RTD("tos.rtd",,"OPEN_INT","."&amp;M$2&amp;M$1&amp;"C"&amp;$A23)*RTD("tos.rtd",,"GAMMA","."&amp;M$2&amp;M$1&amp;"C"&amp;$A23)-$A$4*$A$4*RTD("tos.rtd",,"OPEN_INT","."&amp;M$2&amp;M$1&amp;"P"&amp;$A23)*RTD("tos.rtd",,"GAMMA","."&amp;M$2&amp;M$1&amp;"P"&amp;$A23))/1000000),0),IF($A$2="SKEW",IFERROR(VALUE(IF(RTD("tos.rtd",,"IMPL_VOL","."&amp;M$2&amp;M$1&amp;"P"&amp;$A23)="N/A",0,RTD("tos.rtd",,"IMPL_VOL","."&amp;M$2&amp;M$1&amp;"P"&amp;$A23))),0)-IFERROR(VALUE(IF(RTD("tos.rtd",,"IMPL_VOL","."&amp;M$2&amp;M$1&amp;"C"&amp;$A23)="N/A",0,RTD("tos.rtd",,"IMPL_VOL","."&amp;M$2&amp;M$1&amp;"C"&amp;$A23))),0),IF($A$2="MAXPAIN",IF($A$4&gt;$A23,($A$4-$A23)*IF(RTD("tos.rtd",,"OPEN_INT","."&amp;M$2&amp;M$1&amp;"C"&amp;$A23)="N/A",0,RTD("tos.rtd",,"OPEN_INT","."&amp;M$2&amp;M$1&amp;"C"&amp;$A23)),0)+IF($A$4&lt;$A23,($A$5-$A$4)*IF(RTD("tos.rtd",,"OPEN_INT","."&amp;M$2&amp;M$1&amp;"P"&amp;$A23)="N/A",0,RTD("tos.rtd",,"OPEN_INT","."&amp;M$2&amp;M$1&amp;"P"&amp;$A23)),0),IF($X$1="ABS",IF(RTD("tos.rtd",,$A$2,"."&amp;M$2&amp;M$1&amp;"C"&amp;$A23)="N/A",0,RTD("tos.rtd",,$A$2,"."&amp;M$2&amp;M$1&amp;"C"&amp;$A23))+IF(RTD("tos.rtd",,$A$2,"."&amp;M$2&amp;M$1&amp;"P"&amp;$A23)="N/A",0,RTD("tos.rtd",,$A$2,"."&amp;M$2&amp;M$1&amp;"P"&amp;$A23)),IF(RTD("tos.rtd",,$A$2,"."&amp;M$2&amp;M$1&amp;"C"&amp;$A23)="N/A",0,RTD("tos.rtd",,$A$2,"."&amp;M$2&amp;M$1&amp;"C"&amp;$A23))-IF(RTD("tos.rtd",,$A$2,"."&amp;M$2&amp;M$1&amp;"P"&amp;$A23)="N/A",0,RTD("tos.rtd",,$A$2,"."&amp;M$2&amp;M$1&amp;"P"&amp;$A23))))))))))</f>
        <v>0</v>
      </c>
      <c r="N23" s="12">
        <f ca="1">IF($A$2="PREMIUM_OI",IFERROR(IF($X$1="ABS",(100*RTD("tos.rtd",,"OPEN_INT","."&amp;N$2&amp;N$1&amp;"C"&amp;$A23)*RTD("tos.rtd",,"LAST","."&amp;N$2&amp;N$1&amp;"C"&amp;$A23)+100*RTD("tos.rtd",,"OPEN_INT","."&amp;N$2&amp;N$1&amp;"P"&amp;$A23)*RTD("tos.rtd",,"LAST","."&amp;N$2&amp;N$1&amp;"P"&amp;$A23))/1000000,(100*RTD("tos.rtd",,"OPEN_INT","."&amp;N$2&amp;N$1&amp;"C"&amp;$A23)*RTD("tos.rtd",,"LAST","."&amp;N$2&amp;N$1&amp;"C"&amp;$A23)-100*RTD("tos.rtd",,"OPEN_INT","."&amp;N$2&amp;N$1&amp;"P"&amp;$A23)*RTD("tos.rtd",,"LAST","."&amp;N$2&amp;N$1&amp;"P"&amp;$A23))/1000000),0),IF($A$2="PREMIUM",IFERROR(IF($X$1="ABS",(100*RTD("tos.rtd",,"VOLUME","."&amp;N$2&amp;N$1&amp;"C"&amp;$A23)*RTD("tos.rtd",,"LAST","."&amp;N$2&amp;N$1&amp;"C"&amp;$A23)+100*RTD("tos.rtd",,"VOLUME","."&amp;N$2&amp;N$1&amp;"P"&amp;$A23)*RTD("tos.rtd",,"LAST","."&amp;N$2&amp;N$1&amp;"P"&amp;$A23))/1000000,(100*RTD("tos.rtd",,"VOLUME","."&amp;N$2&amp;N$1&amp;"C"&amp;$A23)*RTD("tos.rtd",,"LAST","."&amp;N$2&amp;N$1&amp;"C"&amp;$A23)-100*RTD("tos.rtd",,"VOLUME","."&amp;N$2&amp;N$1&amp;"P"&amp;$A23)*RTD("tos.rtd",,"LAST","."&amp;N$2&amp;N$1&amp;"P"&amp;$A23))/1000000),0),IF($A$2="DEX",IFERROR(IF($X$1="ABS",(100*RTD("tos.rtd",,"OPEN_INT","."&amp;N$2&amp;N$1&amp;"C"&amp;$A23)*RTD("tos.rtd",,"DELTA","."&amp;N$2&amp;N$1&amp;"C"&amp;$A23)+100*RTD("tos.rtd",,"OPEN_INT","."&amp;N$2&amp;N$1&amp;"P"&amp;$A23)*RTD("tos.rtd",,"DELTA","."&amp;N$2&amp;N$1&amp;"P"&amp;$A23))/1000,(100*RTD("tos.rtd",,"OPEN_INT","."&amp;N$2&amp;N$1&amp;"C"&amp;$A23)*RTD("tos.rtd",,"DELTA","."&amp;N$2&amp;N$1&amp;"C"&amp;$A23)-100*RTD("tos.rtd",,"OPEN_INT","."&amp;N$2&amp;N$1&amp;"P"&amp;$A23)*RTD("tos.rtd",,"DELTA","."&amp;N$2&amp;N$1&amp;"P"&amp;$A23))/1000),0),IF($A$2="VEX",IFERROR(IF($X$1="ABS",($A$4*$A$4*RTD("tos.rtd",,"VOLUME","."&amp;N$2&amp;N$1&amp;"C"&amp;$A23)*RTD("tos.rtd",,"GAMMA","."&amp;N$2&amp;N$1&amp;"C"&amp;$A23)+$A$4*$A$4*RTD("tos.rtd",,"VOLUME","."&amp;N$2&amp;N$1&amp;"P"&amp;$A23)*RTD("tos.rtd",,"GAMMA","."&amp;N$2&amp;N$1&amp;"P"&amp;$A23))/1000000,($A$4*$A$4*RTD("tos.rtd",,"VOLUME","."&amp;N$2&amp;N$1&amp;"C"&amp;$A23)*RTD("tos.rtd",,"GAMMA","."&amp;N$2&amp;N$1&amp;"C"&amp;$A23)-$A$4*$A$4*RTD("tos.rtd",,"VOLUME","."&amp;N$2&amp;N$1&amp;"P"&amp;$A23)*RTD("tos.rtd",,"GAMMA","."&amp;N$2&amp;N$1&amp;"P"&amp;$A23))/1000000),0),IF($A$2="GEX",IFERROR(IF($X$1="ABS",($A$4*$A$4*RTD("tos.rtd",,"OPEN_INT","."&amp;N$2&amp;N$1&amp;"C"&amp;$A23)*RTD("tos.rtd",,"GAMMA","."&amp;N$2&amp;N$1&amp;"C"&amp;$A23)+$A$4*$A$4*RTD("tos.rtd",,"OPEN_INT","."&amp;N$2&amp;N$1&amp;"P"&amp;$A23)*RTD("tos.rtd",,"GAMMA","."&amp;N$2&amp;N$1&amp;"P"&amp;$A23))/1000000,($A$4*$A$4*RTD("tos.rtd",,"OPEN_INT","."&amp;N$2&amp;N$1&amp;"C"&amp;$A23)*RTD("tos.rtd",,"GAMMA","."&amp;N$2&amp;N$1&amp;"C"&amp;$A23)-$A$4*$A$4*RTD("tos.rtd",,"OPEN_INT","."&amp;N$2&amp;N$1&amp;"P"&amp;$A23)*RTD("tos.rtd",,"GAMMA","."&amp;N$2&amp;N$1&amp;"P"&amp;$A23))/1000000),0),IF($A$2="SKEW",IFERROR(VALUE(IF(RTD("tos.rtd",,"IMPL_VOL","."&amp;N$2&amp;N$1&amp;"P"&amp;$A23)="N/A",0,RTD("tos.rtd",,"IMPL_VOL","."&amp;N$2&amp;N$1&amp;"P"&amp;$A23))),0)-IFERROR(VALUE(IF(RTD("tos.rtd",,"IMPL_VOL","."&amp;N$2&amp;N$1&amp;"C"&amp;$A23)="N/A",0,RTD("tos.rtd",,"IMPL_VOL","."&amp;N$2&amp;N$1&amp;"C"&amp;$A23))),0),IF($A$2="MAXPAIN",IF($A$4&gt;$A23,($A$4-$A23)*IF(RTD("tos.rtd",,"OPEN_INT","."&amp;N$2&amp;N$1&amp;"C"&amp;$A23)="N/A",0,RTD("tos.rtd",,"OPEN_INT","."&amp;N$2&amp;N$1&amp;"C"&amp;$A23)),0)+IF($A$4&lt;$A23,($A$5-$A$4)*IF(RTD("tos.rtd",,"OPEN_INT","."&amp;N$2&amp;N$1&amp;"P"&amp;$A23)="N/A",0,RTD("tos.rtd",,"OPEN_INT","."&amp;N$2&amp;N$1&amp;"P"&amp;$A23)),0),IF($X$1="ABS",IF(RTD("tos.rtd",,$A$2,"."&amp;N$2&amp;N$1&amp;"C"&amp;$A23)="N/A",0,RTD("tos.rtd",,$A$2,"."&amp;N$2&amp;N$1&amp;"C"&amp;$A23))+IF(RTD("tos.rtd",,$A$2,"."&amp;N$2&amp;N$1&amp;"P"&amp;$A23)="N/A",0,RTD("tos.rtd",,$A$2,"."&amp;N$2&amp;N$1&amp;"P"&amp;$A23)),IF(RTD("tos.rtd",,$A$2,"."&amp;N$2&amp;N$1&amp;"C"&amp;$A23)="N/A",0,RTD("tos.rtd",,$A$2,"."&amp;N$2&amp;N$1&amp;"C"&amp;$A23))-IF(RTD("tos.rtd",,$A$2,"."&amp;N$2&amp;N$1&amp;"P"&amp;$A23)="N/A",0,RTD("tos.rtd",,$A$2,"."&amp;N$2&amp;N$1&amp;"P"&amp;$A23))))))))))</f>
        <v>0</v>
      </c>
      <c r="O23" s="12">
        <f ca="1">IF($A$2="PREMIUM_OI",IFERROR(IF($X$1="ABS",(100*RTD("tos.rtd",,"OPEN_INT","."&amp;O$2&amp;O$1&amp;"C"&amp;$A23)*RTD("tos.rtd",,"LAST","."&amp;O$2&amp;O$1&amp;"C"&amp;$A23)+100*RTD("tos.rtd",,"OPEN_INT","."&amp;O$2&amp;O$1&amp;"P"&amp;$A23)*RTD("tos.rtd",,"LAST","."&amp;O$2&amp;O$1&amp;"P"&amp;$A23))/1000000,(100*RTD("tos.rtd",,"OPEN_INT","."&amp;O$2&amp;O$1&amp;"C"&amp;$A23)*RTD("tos.rtd",,"LAST","."&amp;O$2&amp;O$1&amp;"C"&amp;$A23)-100*RTD("tos.rtd",,"OPEN_INT","."&amp;O$2&amp;O$1&amp;"P"&amp;$A23)*RTD("tos.rtd",,"LAST","."&amp;O$2&amp;O$1&amp;"P"&amp;$A23))/1000000),0),IF($A$2="PREMIUM",IFERROR(IF($X$1="ABS",(100*RTD("tos.rtd",,"VOLUME","."&amp;O$2&amp;O$1&amp;"C"&amp;$A23)*RTD("tos.rtd",,"LAST","."&amp;O$2&amp;O$1&amp;"C"&amp;$A23)+100*RTD("tos.rtd",,"VOLUME","."&amp;O$2&amp;O$1&amp;"P"&amp;$A23)*RTD("tos.rtd",,"LAST","."&amp;O$2&amp;O$1&amp;"P"&amp;$A23))/1000000,(100*RTD("tos.rtd",,"VOLUME","."&amp;O$2&amp;O$1&amp;"C"&amp;$A23)*RTD("tos.rtd",,"LAST","."&amp;O$2&amp;O$1&amp;"C"&amp;$A23)-100*RTD("tos.rtd",,"VOLUME","."&amp;O$2&amp;O$1&amp;"P"&amp;$A23)*RTD("tos.rtd",,"LAST","."&amp;O$2&amp;O$1&amp;"P"&amp;$A23))/1000000),0),IF($A$2="DEX",IFERROR(IF($X$1="ABS",(100*RTD("tos.rtd",,"OPEN_INT","."&amp;O$2&amp;O$1&amp;"C"&amp;$A23)*RTD("tos.rtd",,"DELTA","."&amp;O$2&amp;O$1&amp;"C"&amp;$A23)+100*RTD("tos.rtd",,"OPEN_INT","."&amp;O$2&amp;O$1&amp;"P"&amp;$A23)*RTD("tos.rtd",,"DELTA","."&amp;O$2&amp;O$1&amp;"P"&amp;$A23))/1000,(100*RTD("tos.rtd",,"OPEN_INT","."&amp;O$2&amp;O$1&amp;"C"&amp;$A23)*RTD("tos.rtd",,"DELTA","."&amp;O$2&amp;O$1&amp;"C"&amp;$A23)-100*RTD("tos.rtd",,"OPEN_INT","."&amp;O$2&amp;O$1&amp;"P"&amp;$A23)*RTD("tos.rtd",,"DELTA","."&amp;O$2&amp;O$1&amp;"P"&amp;$A23))/1000),0),IF($A$2="VEX",IFERROR(IF($X$1="ABS",($A$4*$A$4*RTD("tos.rtd",,"VOLUME","."&amp;O$2&amp;O$1&amp;"C"&amp;$A23)*RTD("tos.rtd",,"GAMMA","."&amp;O$2&amp;O$1&amp;"C"&amp;$A23)+$A$4*$A$4*RTD("tos.rtd",,"VOLUME","."&amp;O$2&amp;O$1&amp;"P"&amp;$A23)*RTD("tos.rtd",,"GAMMA","."&amp;O$2&amp;O$1&amp;"P"&amp;$A23))/1000000,($A$4*$A$4*RTD("tos.rtd",,"VOLUME","."&amp;O$2&amp;O$1&amp;"C"&amp;$A23)*RTD("tos.rtd",,"GAMMA","."&amp;O$2&amp;O$1&amp;"C"&amp;$A23)-$A$4*$A$4*RTD("tos.rtd",,"VOLUME","."&amp;O$2&amp;O$1&amp;"P"&amp;$A23)*RTD("tos.rtd",,"GAMMA","."&amp;O$2&amp;O$1&amp;"P"&amp;$A23))/1000000),0),IF($A$2="GEX",IFERROR(IF($X$1="ABS",($A$4*$A$4*RTD("tos.rtd",,"OPEN_INT","."&amp;O$2&amp;O$1&amp;"C"&amp;$A23)*RTD("tos.rtd",,"GAMMA","."&amp;O$2&amp;O$1&amp;"C"&amp;$A23)+$A$4*$A$4*RTD("tos.rtd",,"OPEN_INT","."&amp;O$2&amp;O$1&amp;"P"&amp;$A23)*RTD("tos.rtd",,"GAMMA","."&amp;O$2&amp;O$1&amp;"P"&amp;$A23))/1000000,($A$4*$A$4*RTD("tos.rtd",,"OPEN_INT","."&amp;O$2&amp;O$1&amp;"C"&amp;$A23)*RTD("tos.rtd",,"GAMMA","."&amp;O$2&amp;O$1&amp;"C"&amp;$A23)-$A$4*$A$4*RTD("tos.rtd",,"OPEN_INT","."&amp;O$2&amp;O$1&amp;"P"&amp;$A23)*RTD("tos.rtd",,"GAMMA","."&amp;O$2&amp;O$1&amp;"P"&amp;$A23))/1000000),0),IF($A$2="SKEW",IFERROR(VALUE(IF(RTD("tos.rtd",,"IMPL_VOL","."&amp;O$2&amp;O$1&amp;"P"&amp;$A23)="N/A",0,RTD("tos.rtd",,"IMPL_VOL","."&amp;O$2&amp;O$1&amp;"P"&amp;$A23))),0)-IFERROR(VALUE(IF(RTD("tos.rtd",,"IMPL_VOL","."&amp;O$2&amp;O$1&amp;"C"&amp;$A23)="N/A",0,RTD("tos.rtd",,"IMPL_VOL","."&amp;O$2&amp;O$1&amp;"C"&amp;$A23))),0),IF($A$2="MAXPAIN",IF($A$4&gt;$A23,($A$4-$A23)*IF(RTD("tos.rtd",,"OPEN_INT","."&amp;O$2&amp;O$1&amp;"C"&amp;$A23)="N/A",0,RTD("tos.rtd",,"OPEN_INT","."&amp;O$2&amp;O$1&amp;"C"&amp;$A23)),0)+IF($A$4&lt;$A23,($A$5-$A$4)*IF(RTD("tos.rtd",,"OPEN_INT","."&amp;O$2&amp;O$1&amp;"P"&amp;$A23)="N/A",0,RTD("tos.rtd",,"OPEN_INT","."&amp;O$2&amp;O$1&amp;"P"&amp;$A23)),0),IF($X$1="ABS",IF(RTD("tos.rtd",,$A$2,"."&amp;O$2&amp;O$1&amp;"C"&amp;$A23)="N/A",0,RTD("tos.rtd",,$A$2,"."&amp;O$2&amp;O$1&amp;"C"&amp;$A23))+IF(RTD("tos.rtd",,$A$2,"."&amp;O$2&amp;O$1&amp;"P"&amp;$A23)="N/A",0,RTD("tos.rtd",,$A$2,"."&amp;O$2&amp;O$1&amp;"P"&amp;$A23)),IF(RTD("tos.rtd",,$A$2,"."&amp;O$2&amp;O$1&amp;"C"&amp;$A23)="N/A",0,RTD("tos.rtd",,$A$2,"."&amp;O$2&amp;O$1&amp;"C"&amp;$A23))-IF(RTD("tos.rtd",,$A$2,"."&amp;O$2&amp;O$1&amp;"P"&amp;$A23)="N/A",0,RTD("tos.rtd",,$A$2,"."&amp;O$2&amp;O$1&amp;"P"&amp;$A23))))))))))</f>
        <v>0</v>
      </c>
      <c r="P23" s="12">
        <f ca="1">IF($A$2="PREMIUM_OI",IFERROR(IF($X$1="ABS",(100*RTD("tos.rtd",,"OPEN_INT","."&amp;P$2&amp;P$1&amp;"C"&amp;$A23)*RTD("tos.rtd",,"LAST","."&amp;P$2&amp;P$1&amp;"C"&amp;$A23)+100*RTD("tos.rtd",,"OPEN_INT","."&amp;P$2&amp;P$1&amp;"P"&amp;$A23)*RTD("tos.rtd",,"LAST","."&amp;P$2&amp;P$1&amp;"P"&amp;$A23))/1000000,(100*RTD("tos.rtd",,"OPEN_INT","."&amp;P$2&amp;P$1&amp;"C"&amp;$A23)*RTD("tos.rtd",,"LAST","."&amp;P$2&amp;P$1&amp;"C"&amp;$A23)-100*RTD("tos.rtd",,"OPEN_INT","."&amp;P$2&amp;P$1&amp;"P"&amp;$A23)*RTD("tos.rtd",,"LAST","."&amp;P$2&amp;P$1&amp;"P"&amp;$A23))/1000000),0),IF($A$2="PREMIUM",IFERROR(IF($X$1="ABS",(100*RTD("tos.rtd",,"VOLUME","."&amp;P$2&amp;P$1&amp;"C"&amp;$A23)*RTD("tos.rtd",,"LAST","."&amp;P$2&amp;P$1&amp;"C"&amp;$A23)+100*RTD("tos.rtd",,"VOLUME","."&amp;P$2&amp;P$1&amp;"P"&amp;$A23)*RTD("tos.rtd",,"LAST","."&amp;P$2&amp;P$1&amp;"P"&amp;$A23))/1000000,(100*RTD("tos.rtd",,"VOLUME","."&amp;P$2&amp;P$1&amp;"C"&amp;$A23)*RTD("tos.rtd",,"LAST","."&amp;P$2&amp;P$1&amp;"C"&amp;$A23)-100*RTD("tos.rtd",,"VOLUME","."&amp;P$2&amp;P$1&amp;"P"&amp;$A23)*RTD("tos.rtd",,"LAST","."&amp;P$2&amp;P$1&amp;"P"&amp;$A23))/1000000),0),IF($A$2="DEX",IFERROR(IF($X$1="ABS",(100*RTD("tos.rtd",,"OPEN_INT","."&amp;P$2&amp;P$1&amp;"C"&amp;$A23)*RTD("tos.rtd",,"DELTA","."&amp;P$2&amp;P$1&amp;"C"&amp;$A23)+100*RTD("tos.rtd",,"OPEN_INT","."&amp;P$2&amp;P$1&amp;"P"&amp;$A23)*RTD("tos.rtd",,"DELTA","."&amp;P$2&amp;P$1&amp;"P"&amp;$A23))/1000,(100*RTD("tos.rtd",,"OPEN_INT","."&amp;P$2&amp;P$1&amp;"C"&amp;$A23)*RTD("tos.rtd",,"DELTA","."&amp;P$2&amp;P$1&amp;"C"&amp;$A23)-100*RTD("tos.rtd",,"OPEN_INT","."&amp;P$2&amp;P$1&amp;"P"&amp;$A23)*RTD("tos.rtd",,"DELTA","."&amp;P$2&amp;P$1&amp;"P"&amp;$A23))/1000),0),IF($A$2="VEX",IFERROR(IF($X$1="ABS",($A$4*$A$4*RTD("tos.rtd",,"VOLUME","."&amp;P$2&amp;P$1&amp;"C"&amp;$A23)*RTD("tos.rtd",,"GAMMA","."&amp;P$2&amp;P$1&amp;"C"&amp;$A23)+$A$4*$A$4*RTD("tos.rtd",,"VOLUME","."&amp;P$2&amp;P$1&amp;"P"&amp;$A23)*RTD("tos.rtd",,"GAMMA","."&amp;P$2&amp;P$1&amp;"P"&amp;$A23))/1000000,($A$4*$A$4*RTD("tos.rtd",,"VOLUME","."&amp;P$2&amp;P$1&amp;"C"&amp;$A23)*RTD("tos.rtd",,"GAMMA","."&amp;P$2&amp;P$1&amp;"C"&amp;$A23)-$A$4*$A$4*RTD("tos.rtd",,"VOLUME","."&amp;P$2&amp;P$1&amp;"P"&amp;$A23)*RTD("tos.rtd",,"GAMMA","."&amp;P$2&amp;P$1&amp;"P"&amp;$A23))/1000000),0),IF($A$2="GEX",IFERROR(IF($X$1="ABS",($A$4*$A$4*RTD("tos.rtd",,"OPEN_INT","."&amp;P$2&amp;P$1&amp;"C"&amp;$A23)*RTD("tos.rtd",,"GAMMA","."&amp;P$2&amp;P$1&amp;"C"&amp;$A23)+$A$4*$A$4*RTD("tos.rtd",,"OPEN_INT","."&amp;P$2&amp;P$1&amp;"P"&amp;$A23)*RTD("tos.rtd",,"GAMMA","."&amp;P$2&amp;P$1&amp;"P"&amp;$A23))/1000000,($A$4*$A$4*RTD("tos.rtd",,"OPEN_INT","."&amp;P$2&amp;P$1&amp;"C"&amp;$A23)*RTD("tos.rtd",,"GAMMA","."&amp;P$2&amp;P$1&amp;"C"&amp;$A23)-$A$4*$A$4*RTD("tos.rtd",,"OPEN_INT","."&amp;P$2&amp;P$1&amp;"P"&amp;$A23)*RTD("tos.rtd",,"GAMMA","."&amp;P$2&amp;P$1&amp;"P"&amp;$A23))/1000000),0),IF($A$2="SKEW",IFERROR(VALUE(IF(RTD("tos.rtd",,"IMPL_VOL","."&amp;P$2&amp;P$1&amp;"P"&amp;$A23)="N/A",0,RTD("tos.rtd",,"IMPL_VOL","."&amp;P$2&amp;P$1&amp;"P"&amp;$A23))),0)-IFERROR(VALUE(IF(RTD("tos.rtd",,"IMPL_VOL","."&amp;P$2&amp;P$1&amp;"C"&amp;$A23)="N/A",0,RTD("tos.rtd",,"IMPL_VOL","."&amp;P$2&amp;P$1&amp;"C"&amp;$A23))),0),IF($A$2="MAXPAIN",IF($A$4&gt;$A23,($A$4-$A23)*IF(RTD("tos.rtd",,"OPEN_INT","."&amp;P$2&amp;P$1&amp;"C"&amp;$A23)="N/A",0,RTD("tos.rtd",,"OPEN_INT","."&amp;P$2&amp;P$1&amp;"C"&amp;$A23)),0)+IF($A$4&lt;$A23,($A$5-$A$4)*IF(RTD("tos.rtd",,"OPEN_INT","."&amp;P$2&amp;P$1&amp;"P"&amp;$A23)="N/A",0,RTD("tos.rtd",,"OPEN_INT","."&amp;P$2&amp;P$1&amp;"P"&amp;$A23)),0),IF($X$1="ABS",IF(RTD("tos.rtd",,$A$2,"."&amp;P$2&amp;P$1&amp;"C"&amp;$A23)="N/A",0,RTD("tos.rtd",,$A$2,"."&amp;P$2&amp;P$1&amp;"C"&amp;$A23))+IF(RTD("tos.rtd",,$A$2,"."&amp;P$2&amp;P$1&amp;"P"&amp;$A23)="N/A",0,RTD("tos.rtd",,$A$2,"."&amp;P$2&amp;P$1&amp;"P"&amp;$A23)),IF(RTD("tos.rtd",,$A$2,"."&amp;P$2&amp;P$1&amp;"C"&amp;$A23)="N/A",0,RTD("tos.rtd",,$A$2,"."&amp;P$2&amp;P$1&amp;"C"&amp;$A23))-IF(RTD("tos.rtd",,$A$2,"."&amp;P$2&amp;P$1&amp;"P"&amp;$A23)="N/A",0,RTD("tos.rtd",,$A$2,"."&amp;P$2&amp;P$1&amp;"P"&amp;$A23))))))))))</f>
        <v>0</v>
      </c>
      <c r="Q23" s="12">
        <f ca="1">IF($A$2="PREMIUM_OI",IFERROR(IF($X$1="ABS",(100*RTD("tos.rtd",,"OPEN_INT","."&amp;Q$2&amp;Q$1&amp;"C"&amp;$A23)*RTD("tos.rtd",,"LAST","."&amp;Q$2&amp;Q$1&amp;"C"&amp;$A23)+100*RTD("tos.rtd",,"OPEN_INT","."&amp;Q$2&amp;Q$1&amp;"P"&amp;$A23)*RTD("tos.rtd",,"LAST","."&amp;Q$2&amp;Q$1&amp;"P"&amp;$A23))/1000000,(100*RTD("tos.rtd",,"OPEN_INT","."&amp;Q$2&amp;Q$1&amp;"C"&amp;$A23)*RTD("tos.rtd",,"LAST","."&amp;Q$2&amp;Q$1&amp;"C"&amp;$A23)-100*RTD("tos.rtd",,"OPEN_INT","."&amp;Q$2&amp;Q$1&amp;"P"&amp;$A23)*RTD("tos.rtd",,"LAST","."&amp;Q$2&amp;Q$1&amp;"P"&amp;$A23))/1000000),0),IF($A$2="PREMIUM",IFERROR(IF($X$1="ABS",(100*RTD("tos.rtd",,"VOLUME","."&amp;Q$2&amp;Q$1&amp;"C"&amp;$A23)*RTD("tos.rtd",,"LAST","."&amp;Q$2&amp;Q$1&amp;"C"&amp;$A23)+100*RTD("tos.rtd",,"VOLUME","."&amp;Q$2&amp;Q$1&amp;"P"&amp;$A23)*RTD("tos.rtd",,"LAST","."&amp;Q$2&amp;Q$1&amp;"P"&amp;$A23))/1000000,(100*RTD("tos.rtd",,"VOLUME","."&amp;Q$2&amp;Q$1&amp;"C"&amp;$A23)*RTD("tos.rtd",,"LAST","."&amp;Q$2&amp;Q$1&amp;"C"&amp;$A23)-100*RTD("tos.rtd",,"VOLUME","."&amp;Q$2&amp;Q$1&amp;"P"&amp;$A23)*RTD("tos.rtd",,"LAST","."&amp;Q$2&amp;Q$1&amp;"P"&amp;$A23))/1000000),0),IF($A$2="DEX",IFERROR(IF($X$1="ABS",(100*RTD("tos.rtd",,"OPEN_INT","."&amp;Q$2&amp;Q$1&amp;"C"&amp;$A23)*RTD("tos.rtd",,"DELTA","."&amp;Q$2&amp;Q$1&amp;"C"&amp;$A23)+100*RTD("tos.rtd",,"OPEN_INT","."&amp;Q$2&amp;Q$1&amp;"P"&amp;$A23)*RTD("tos.rtd",,"DELTA","."&amp;Q$2&amp;Q$1&amp;"P"&amp;$A23))/1000,(100*RTD("tos.rtd",,"OPEN_INT","."&amp;Q$2&amp;Q$1&amp;"C"&amp;$A23)*RTD("tos.rtd",,"DELTA","."&amp;Q$2&amp;Q$1&amp;"C"&amp;$A23)-100*RTD("tos.rtd",,"OPEN_INT","."&amp;Q$2&amp;Q$1&amp;"P"&amp;$A23)*RTD("tos.rtd",,"DELTA","."&amp;Q$2&amp;Q$1&amp;"P"&amp;$A23))/1000),0),IF($A$2="VEX",IFERROR(IF($X$1="ABS",($A$4*$A$4*RTD("tos.rtd",,"VOLUME","."&amp;Q$2&amp;Q$1&amp;"C"&amp;$A23)*RTD("tos.rtd",,"GAMMA","."&amp;Q$2&amp;Q$1&amp;"C"&amp;$A23)+$A$4*$A$4*RTD("tos.rtd",,"VOLUME","."&amp;Q$2&amp;Q$1&amp;"P"&amp;$A23)*RTD("tos.rtd",,"GAMMA","."&amp;Q$2&amp;Q$1&amp;"P"&amp;$A23))/1000000,($A$4*$A$4*RTD("tos.rtd",,"VOLUME","."&amp;Q$2&amp;Q$1&amp;"C"&amp;$A23)*RTD("tos.rtd",,"GAMMA","."&amp;Q$2&amp;Q$1&amp;"C"&amp;$A23)-$A$4*$A$4*RTD("tos.rtd",,"VOLUME","."&amp;Q$2&amp;Q$1&amp;"P"&amp;$A23)*RTD("tos.rtd",,"GAMMA","."&amp;Q$2&amp;Q$1&amp;"P"&amp;$A23))/1000000),0),IF($A$2="GEX",IFERROR(IF($X$1="ABS",($A$4*$A$4*RTD("tos.rtd",,"OPEN_INT","."&amp;Q$2&amp;Q$1&amp;"C"&amp;$A23)*RTD("tos.rtd",,"GAMMA","."&amp;Q$2&amp;Q$1&amp;"C"&amp;$A23)+$A$4*$A$4*RTD("tos.rtd",,"OPEN_INT","."&amp;Q$2&amp;Q$1&amp;"P"&amp;$A23)*RTD("tos.rtd",,"GAMMA","."&amp;Q$2&amp;Q$1&amp;"P"&amp;$A23))/1000000,($A$4*$A$4*RTD("tos.rtd",,"OPEN_INT","."&amp;Q$2&amp;Q$1&amp;"C"&amp;$A23)*RTD("tos.rtd",,"GAMMA","."&amp;Q$2&amp;Q$1&amp;"C"&amp;$A23)-$A$4*$A$4*RTD("tos.rtd",,"OPEN_INT","."&amp;Q$2&amp;Q$1&amp;"P"&amp;$A23)*RTD("tos.rtd",,"GAMMA","."&amp;Q$2&amp;Q$1&amp;"P"&amp;$A23))/1000000),0),IF($A$2="SKEW",IFERROR(VALUE(IF(RTD("tos.rtd",,"IMPL_VOL","."&amp;Q$2&amp;Q$1&amp;"P"&amp;$A23)="N/A",0,RTD("tos.rtd",,"IMPL_VOL","."&amp;Q$2&amp;Q$1&amp;"P"&amp;$A23))),0)-IFERROR(VALUE(IF(RTD("tos.rtd",,"IMPL_VOL","."&amp;Q$2&amp;Q$1&amp;"C"&amp;$A23)="N/A",0,RTD("tos.rtd",,"IMPL_VOL","."&amp;Q$2&amp;Q$1&amp;"C"&amp;$A23))),0),IF($A$2="MAXPAIN",IF($A$4&gt;$A23,($A$4-$A23)*IF(RTD("tos.rtd",,"OPEN_INT","."&amp;Q$2&amp;Q$1&amp;"C"&amp;$A23)="N/A",0,RTD("tos.rtd",,"OPEN_INT","."&amp;Q$2&amp;Q$1&amp;"C"&amp;$A23)),0)+IF($A$4&lt;$A23,($A$5-$A$4)*IF(RTD("tos.rtd",,"OPEN_INT","."&amp;Q$2&amp;Q$1&amp;"P"&amp;$A23)="N/A",0,RTD("tos.rtd",,"OPEN_INT","."&amp;Q$2&amp;Q$1&amp;"P"&amp;$A23)),0),IF($X$1="ABS",IF(RTD("tos.rtd",,$A$2,"."&amp;Q$2&amp;Q$1&amp;"C"&amp;$A23)="N/A",0,RTD("tos.rtd",,$A$2,"."&amp;Q$2&amp;Q$1&amp;"C"&amp;$A23))+IF(RTD("tos.rtd",,$A$2,"."&amp;Q$2&amp;Q$1&amp;"P"&amp;$A23)="N/A",0,RTD("tos.rtd",,$A$2,"."&amp;Q$2&amp;Q$1&amp;"P"&amp;$A23)),IF(RTD("tos.rtd",,$A$2,"."&amp;Q$2&amp;Q$1&amp;"C"&amp;$A23)="N/A",0,RTD("tos.rtd",,$A$2,"."&amp;Q$2&amp;Q$1&amp;"C"&amp;$A23))-IF(RTD("tos.rtd",,$A$2,"."&amp;Q$2&amp;Q$1&amp;"P"&amp;$A23)="N/A",0,RTD("tos.rtd",,$A$2,"."&amp;Q$2&amp;Q$1&amp;"P"&amp;$A23))))))))))</f>
        <v>0</v>
      </c>
      <c r="R23" s="12">
        <f ca="1">IF($A$2="PREMIUM_OI",IFERROR(IF($X$1="ABS",(100*RTD("tos.rtd",,"OPEN_INT","."&amp;R$2&amp;R$1&amp;"C"&amp;$A23)*RTD("tos.rtd",,"LAST","."&amp;R$2&amp;R$1&amp;"C"&amp;$A23)+100*RTD("tos.rtd",,"OPEN_INT","."&amp;R$2&amp;R$1&amp;"P"&amp;$A23)*RTD("tos.rtd",,"LAST","."&amp;R$2&amp;R$1&amp;"P"&amp;$A23))/1000000,(100*RTD("tos.rtd",,"OPEN_INT","."&amp;R$2&amp;R$1&amp;"C"&amp;$A23)*RTD("tos.rtd",,"LAST","."&amp;R$2&amp;R$1&amp;"C"&amp;$A23)-100*RTD("tos.rtd",,"OPEN_INT","."&amp;R$2&amp;R$1&amp;"P"&amp;$A23)*RTD("tos.rtd",,"LAST","."&amp;R$2&amp;R$1&amp;"P"&amp;$A23))/1000000),0),IF($A$2="PREMIUM",IFERROR(IF($X$1="ABS",(100*RTD("tos.rtd",,"VOLUME","."&amp;R$2&amp;R$1&amp;"C"&amp;$A23)*RTD("tos.rtd",,"LAST","."&amp;R$2&amp;R$1&amp;"C"&amp;$A23)+100*RTD("tos.rtd",,"VOLUME","."&amp;R$2&amp;R$1&amp;"P"&amp;$A23)*RTD("tos.rtd",,"LAST","."&amp;R$2&amp;R$1&amp;"P"&amp;$A23))/1000000,(100*RTD("tos.rtd",,"VOLUME","."&amp;R$2&amp;R$1&amp;"C"&amp;$A23)*RTD("tos.rtd",,"LAST","."&amp;R$2&amp;R$1&amp;"C"&amp;$A23)-100*RTD("tos.rtd",,"VOLUME","."&amp;R$2&amp;R$1&amp;"P"&amp;$A23)*RTD("tos.rtd",,"LAST","."&amp;R$2&amp;R$1&amp;"P"&amp;$A23))/1000000),0),IF($A$2="DEX",IFERROR(IF($X$1="ABS",(100*RTD("tos.rtd",,"OPEN_INT","."&amp;R$2&amp;R$1&amp;"C"&amp;$A23)*RTD("tos.rtd",,"DELTA","."&amp;R$2&amp;R$1&amp;"C"&amp;$A23)+100*RTD("tos.rtd",,"OPEN_INT","."&amp;R$2&amp;R$1&amp;"P"&amp;$A23)*RTD("tos.rtd",,"DELTA","."&amp;R$2&amp;R$1&amp;"P"&amp;$A23))/1000,(100*RTD("tos.rtd",,"OPEN_INT","."&amp;R$2&amp;R$1&amp;"C"&amp;$A23)*RTD("tos.rtd",,"DELTA","."&amp;R$2&amp;R$1&amp;"C"&amp;$A23)-100*RTD("tos.rtd",,"OPEN_INT","."&amp;R$2&amp;R$1&amp;"P"&amp;$A23)*RTD("tos.rtd",,"DELTA","."&amp;R$2&amp;R$1&amp;"P"&amp;$A23))/1000),0),IF($A$2="VEX",IFERROR(IF($X$1="ABS",($A$4*$A$4*RTD("tos.rtd",,"VOLUME","."&amp;R$2&amp;R$1&amp;"C"&amp;$A23)*RTD("tos.rtd",,"GAMMA","."&amp;R$2&amp;R$1&amp;"C"&amp;$A23)+$A$4*$A$4*RTD("tos.rtd",,"VOLUME","."&amp;R$2&amp;R$1&amp;"P"&amp;$A23)*RTD("tos.rtd",,"GAMMA","."&amp;R$2&amp;R$1&amp;"P"&amp;$A23))/1000000,($A$4*$A$4*RTD("tos.rtd",,"VOLUME","."&amp;R$2&amp;R$1&amp;"C"&amp;$A23)*RTD("tos.rtd",,"GAMMA","."&amp;R$2&amp;R$1&amp;"C"&amp;$A23)-$A$4*$A$4*RTD("tos.rtd",,"VOLUME","."&amp;R$2&amp;R$1&amp;"P"&amp;$A23)*RTD("tos.rtd",,"GAMMA","."&amp;R$2&amp;R$1&amp;"P"&amp;$A23))/1000000),0),IF($A$2="GEX",IFERROR(IF($X$1="ABS",($A$4*$A$4*RTD("tos.rtd",,"OPEN_INT","."&amp;R$2&amp;R$1&amp;"C"&amp;$A23)*RTD("tos.rtd",,"GAMMA","."&amp;R$2&amp;R$1&amp;"C"&amp;$A23)+$A$4*$A$4*RTD("tos.rtd",,"OPEN_INT","."&amp;R$2&amp;R$1&amp;"P"&amp;$A23)*RTD("tos.rtd",,"GAMMA","."&amp;R$2&amp;R$1&amp;"P"&amp;$A23))/1000000,($A$4*$A$4*RTD("tos.rtd",,"OPEN_INT","."&amp;R$2&amp;R$1&amp;"C"&amp;$A23)*RTD("tos.rtd",,"GAMMA","."&amp;R$2&amp;R$1&amp;"C"&amp;$A23)-$A$4*$A$4*RTD("tos.rtd",,"OPEN_INT","."&amp;R$2&amp;R$1&amp;"P"&amp;$A23)*RTD("tos.rtd",,"GAMMA","."&amp;R$2&amp;R$1&amp;"P"&amp;$A23))/1000000),0),IF($A$2="SKEW",IFERROR(VALUE(IF(RTD("tos.rtd",,"IMPL_VOL","."&amp;R$2&amp;R$1&amp;"P"&amp;$A23)="N/A",0,RTD("tos.rtd",,"IMPL_VOL","."&amp;R$2&amp;R$1&amp;"P"&amp;$A23))),0)-IFERROR(VALUE(IF(RTD("tos.rtd",,"IMPL_VOL","."&amp;R$2&amp;R$1&amp;"C"&amp;$A23)="N/A",0,RTD("tos.rtd",,"IMPL_VOL","."&amp;R$2&amp;R$1&amp;"C"&amp;$A23))),0),IF($A$2="MAXPAIN",IF($A$4&gt;$A23,($A$4-$A23)*IF(RTD("tos.rtd",,"OPEN_INT","."&amp;R$2&amp;R$1&amp;"C"&amp;$A23)="N/A",0,RTD("tos.rtd",,"OPEN_INT","."&amp;R$2&amp;R$1&amp;"C"&amp;$A23)),0)+IF($A$4&lt;$A23,($A$5-$A$4)*IF(RTD("tos.rtd",,"OPEN_INT","."&amp;R$2&amp;R$1&amp;"P"&amp;$A23)="N/A",0,RTD("tos.rtd",,"OPEN_INT","."&amp;R$2&amp;R$1&amp;"P"&amp;$A23)),0),IF($X$1="ABS",IF(RTD("tos.rtd",,$A$2,"."&amp;R$2&amp;R$1&amp;"C"&amp;$A23)="N/A",0,RTD("tos.rtd",,$A$2,"."&amp;R$2&amp;R$1&amp;"C"&amp;$A23))+IF(RTD("tos.rtd",,$A$2,"."&amp;R$2&amp;R$1&amp;"P"&amp;$A23)="N/A",0,RTD("tos.rtd",,$A$2,"."&amp;R$2&amp;R$1&amp;"P"&amp;$A23)),IF(RTD("tos.rtd",,$A$2,"."&amp;R$2&amp;R$1&amp;"C"&amp;$A23)="N/A",0,RTD("tos.rtd",,$A$2,"."&amp;R$2&amp;R$1&amp;"C"&amp;$A23))-IF(RTD("tos.rtd",,$A$2,"."&amp;R$2&amp;R$1&amp;"P"&amp;$A23)="N/A",0,RTD("tos.rtd",,$A$2,"."&amp;R$2&amp;R$1&amp;"P"&amp;$A23))))))))))</f>
        <v>0</v>
      </c>
      <c r="S23" s="12">
        <f ca="1">IF($A$2="PREMIUM_OI",IFERROR(IF($X$1="ABS",(100*RTD("tos.rtd",,"OPEN_INT","."&amp;S$2&amp;S$1&amp;"C"&amp;$A23)*RTD("tos.rtd",,"LAST","."&amp;S$2&amp;S$1&amp;"C"&amp;$A23)+100*RTD("tos.rtd",,"OPEN_INT","."&amp;S$2&amp;S$1&amp;"P"&amp;$A23)*RTD("tos.rtd",,"LAST","."&amp;S$2&amp;S$1&amp;"P"&amp;$A23))/1000000,(100*RTD("tos.rtd",,"OPEN_INT","."&amp;S$2&amp;S$1&amp;"C"&amp;$A23)*RTD("tos.rtd",,"LAST","."&amp;S$2&amp;S$1&amp;"C"&amp;$A23)-100*RTD("tos.rtd",,"OPEN_INT","."&amp;S$2&amp;S$1&amp;"P"&amp;$A23)*RTD("tos.rtd",,"LAST","."&amp;S$2&amp;S$1&amp;"P"&amp;$A23))/1000000),0),IF($A$2="PREMIUM",IFERROR(IF($X$1="ABS",(100*RTD("tos.rtd",,"VOLUME","."&amp;S$2&amp;S$1&amp;"C"&amp;$A23)*RTD("tos.rtd",,"LAST","."&amp;S$2&amp;S$1&amp;"C"&amp;$A23)+100*RTD("tos.rtd",,"VOLUME","."&amp;S$2&amp;S$1&amp;"P"&amp;$A23)*RTD("tos.rtd",,"LAST","."&amp;S$2&amp;S$1&amp;"P"&amp;$A23))/1000000,(100*RTD("tos.rtd",,"VOLUME","."&amp;S$2&amp;S$1&amp;"C"&amp;$A23)*RTD("tos.rtd",,"LAST","."&amp;S$2&amp;S$1&amp;"C"&amp;$A23)-100*RTD("tos.rtd",,"VOLUME","."&amp;S$2&amp;S$1&amp;"P"&amp;$A23)*RTD("tos.rtd",,"LAST","."&amp;S$2&amp;S$1&amp;"P"&amp;$A23))/1000000),0),IF($A$2="DEX",IFERROR(IF($X$1="ABS",(100*RTD("tos.rtd",,"OPEN_INT","."&amp;S$2&amp;S$1&amp;"C"&amp;$A23)*RTD("tos.rtd",,"DELTA","."&amp;S$2&amp;S$1&amp;"C"&amp;$A23)+100*RTD("tos.rtd",,"OPEN_INT","."&amp;S$2&amp;S$1&amp;"P"&amp;$A23)*RTD("tos.rtd",,"DELTA","."&amp;S$2&amp;S$1&amp;"P"&amp;$A23))/1000,(100*RTD("tos.rtd",,"OPEN_INT","."&amp;S$2&amp;S$1&amp;"C"&amp;$A23)*RTD("tos.rtd",,"DELTA","."&amp;S$2&amp;S$1&amp;"C"&amp;$A23)-100*RTD("tos.rtd",,"OPEN_INT","."&amp;S$2&amp;S$1&amp;"P"&amp;$A23)*RTD("tos.rtd",,"DELTA","."&amp;S$2&amp;S$1&amp;"P"&amp;$A23))/1000),0),IF($A$2="VEX",IFERROR(IF($X$1="ABS",($A$4*$A$4*RTD("tos.rtd",,"VOLUME","."&amp;S$2&amp;S$1&amp;"C"&amp;$A23)*RTD("tos.rtd",,"GAMMA","."&amp;S$2&amp;S$1&amp;"C"&amp;$A23)+$A$4*$A$4*RTD("tos.rtd",,"VOLUME","."&amp;S$2&amp;S$1&amp;"P"&amp;$A23)*RTD("tos.rtd",,"GAMMA","."&amp;S$2&amp;S$1&amp;"P"&amp;$A23))/1000000,($A$4*$A$4*RTD("tos.rtd",,"VOLUME","."&amp;S$2&amp;S$1&amp;"C"&amp;$A23)*RTD("tos.rtd",,"GAMMA","."&amp;S$2&amp;S$1&amp;"C"&amp;$A23)-$A$4*$A$4*RTD("tos.rtd",,"VOLUME","."&amp;S$2&amp;S$1&amp;"P"&amp;$A23)*RTD("tos.rtd",,"GAMMA","."&amp;S$2&amp;S$1&amp;"P"&amp;$A23))/1000000),0),IF($A$2="GEX",IFERROR(IF($X$1="ABS",($A$4*$A$4*RTD("tos.rtd",,"OPEN_INT","."&amp;S$2&amp;S$1&amp;"C"&amp;$A23)*RTD("tos.rtd",,"GAMMA","."&amp;S$2&amp;S$1&amp;"C"&amp;$A23)+$A$4*$A$4*RTD("tos.rtd",,"OPEN_INT","."&amp;S$2&amp;S$1&amp;"P"&amp;$A23)*RTD("tos.rtd",,"GAMMA","."&amp;S$2&amp;S$1&amp;"P"&amp;$A23))/1000000,($A$4*$A$4*RTD("tos.rtd",,"OPEN_INT","."&amp;S$2&amp;S$1&amp;"C"&amp;$A23)*RTD("tos.rtd",,"GAMMA","."&amp;S$2&amp;S$1&amp;"C"&amp;$A23)-$A$4*$A$4*RTD("tos.rtd",,"OPEN_INT","."&amp;S$2&amp;S$1&amp;"P"&amp;$A23)*RTD("tos.rtd",,"GAMMA","."&amp;S$2&amp;S$1&amp;"P"&amp;$A23))/1000000),0),IF($A$2="SKEW",IFERROR(VALUE(IF(RTD("tos.rtd",,"IMPL_VOL","."&amp;S$2&amp;S$1&amp;"P"&amp;$A23)="N/A",0,RTD("tos.rtd",,"IMPL_VOL","."&amp;S$2&amp;S$1&amp;"P"&amp;$A23))),0)-IFERROR(VALUE(IF(RTD("tos.rtd",,"IMPL_VOL","."&amp;S$2&amp;S$1&amp;"C"&amp;$A23)="N/A",0,RTD("tos.rtd",,"IMPL_VOL","."&amp;S$2&amp;S$1&amp;"C"&amp;$A23))),0),IF($A$2="MAXPAIN",IF($A$4&gt;$A23,($A$4-$A23)*IF(RTD("tos.rtd",,"OPEN_INT","."&amp;S$2&amp;S$1&amp;"C"&amp;$A23)="N/A",0,RTD("tos.rtd",,"OPEN_INT","."&amp;S$2&amp;S$1&amp;"C"&amp;$A23)),0)+IF($A$4&lt;$A23,($A$5-$A$4)*IF(RTD("tos.rtd",,"OPEN_INT","."&amp;S$2&amp;S$1&amp;"P"&amp;$A23)="N/A",0,RTD("tos.rtd",,"OPEN_INT","."&amp;S$2&amp;S$1&amp;"P"&amp;$A23)),0),IF($X$1="ABS",IF(RTD("tos.rtd",,$A$2,"."&amp;S$2&amp;S$1&amp;"C"&amp;$A23)="N/A",0,RTD("tos.rtd",,$A$2,"."&amp;S$2&amp;S$1&amp;"C"&amp;$A23))+IF(RTD("tos.rtd",,$A$2,"."&amp;S$2&amp;S$1&amp;"P"&amp;$A23)="N/A",0,RTD("tos.rtd",,$A$2,"."&amp;S$2&amp;S$1&amp;"P"&amp;$A23)),IF(RTD("tos.rtd",,$A$2,"."&amp;S$2&amp;S$1&amp;"C"&amp;$A23)="N/A",0,RTD("tos.rtd",,$A$2,"."&amp;S$2&amp;S$1&amp;"C"&amp;$A23))-IF(RTD("tos.rtd",,$A$2,"."&amp;S$2&amp;S$1&amp;"P"&amp;$A23)="N/A",0,RTD("tos.rtd",,$A$2,"."&amp;S$2&amp;S$1&amp;"P"&amp;$A23))))))))))</f>
        <v>0</v>
      </c>
      <c r="T23" s="12">
        <f ca="1">IF($A$2="PREMIUM_OI",IFERROR(IF($X$1="ABS",(100*RTD("tos.rtd",,"OPEN_INT","."&amp;T$2&amp;T$1&amp;"C"&amp;$A23)*RTD("tos.rtd",,"LAST","."&amp;T$2&amp;T$1&amp;"C"&amp;$A23)+100*RTD("tos.rtd",,"OPEN_INT","."&amp;T$2&amp;T$1&amp;"P"&amp;$A23)*RTD("tos.rtd",,"LAST","."&amp;T$2&amp;T$1&amp;"P"&amp;$A23))/1000000,(100*RTD("tos.rtd",,"OPEN_INT","."&amp;T$2&amp;T$1&amp;"C"&amp;$A23)*RTD("tos.rtd",,"LAST","."&amp;T$2&amp;T$1&amp;"C"&amp;$A23)-100*RTD("tos.rtd",,"OPEN_INT","."&amp;T$2&amp;T$1&amp;"P"&amp;$A23)*RTD("tos.rtd",,"LAST","."&amp;T$2&amp;T$1&amp;"P"&amp;$A23))/1000000),0),IF($A$2="PREMIUM",IFERROR(IF($X$1="ABS",(100*RTD("tos.rtd",,"VOLUME","."&amp;T$2&amp;T$1&amp;"C"&amp;$A23)*RTD("tos.rtd",,"LAST","."&amp;T$2&amp;T$1&amp;"C"&amp;$A23)+100*RTD("tos.rtd",,"VOLUME","."&amp;T$2&amp;T$1&amp;"P"&amp;$A23)*RTD("tos.rtd",,"LAST","."&amp;T$2&amp;T$1&amp;"P"&amp;$A23))/1000000,(100*RTD("tos.rtd",,"VOLUME","."&amp;T$2&amp;T$1&amp;"C"&amp;$A23)*RTD("tos.rtd",,"LAST","."&amp;T$2&amp;T$1&amp;"C"&amp;$A23)-100*RTD("tos.rtd",,"VOLUME","."&amp;T$2&amp;T$1&amp;"P"&amp;$A23)*RTD("tos.rtd",,"LAST","."&amp;T$2&amp;T$1&amp;"P"&amp;$A23))/1000000),0),IF($A$2="DEX",IFERROR(IF($X$1="ABS",(100*RTD("tos.rtd",,"OPEN_INT","."&amp;T$2&amp;T$1&amp;"C"&amp;$A23)*RTD("tos.rtd",,"DELTA","."&amp;T$2&amp;T$1&amp;"C"&amp;$A23)+100*RTD("tos.rtd",,"OPEN_INT","."&amp;T$2&amp;T$1&amp;"P"&amp;$A23)*RTD("tos.rtd",,"DELTA","."&amp;T$2&amp;T$1&amp;"P"&amp;$A23))/1000,(100*RTD("tos.rtd",,"OPEN_INT","."&amp;T$2&amp;T$1&amp;"C"&amp;$A23)*RTD("tos.rtd",,"DELTA","."&amp;T$2&amp;T$1&amp;"C"&amp;$A23)-100*RTD("tos.rtd",,"OPEN_INT","."&amp;T$2&amp;T$1&amp;"P"&amp;$A23)*RTD("tos.rtd",,"DELTA","."&amp;T$2&amp;T$1&amp;"P"&amp;$A23))/1000),0),IF($A$2="VEX",IFERROR(IF($X$1="ABS",($A$4*$A$4*RTD("tos.rtd",,"VOLUME","."&amp;T$2&amp;T$1&amp;"C"&amp;$A23)*RTD("tos.rtd",,"GAMMA","."&amp;T$2&amp;T$1&amp;"C"&amp;$A23)+$A$4*$A$4*RTD("tos.rtd",,"VOLUME","."&amp;T$2&amp;T$1&amp;"P"&amp;$A23)*RTD("tos.rtd",,"GAMMA","."&amp;T$2&amp;T$1&amp;"P"&amp;$A23))/1000000,($A$4*$A$4*RTD("tos.rtd",,"VOLUME","."&amp;T$2&amp;T$1&amp;"C"&amp;$A23)*RTD("tos.rtd",,"GAMMA","."&amp;T$2&amp;T$1&amp;"C"&amp;$A23)-$A$4*$A$4*RTD("tos.rtd",,"VOLUME","."&amp;T$2&amp;T$1&amp;"P"&amp;$A23)*RTD("tos.rtd",,"GAMMA","."&amp;T$2&amp;T$1&amp;"P"&amp;$A23))/1000000),0),IF($A$2="GEX",IFERROR(IF($X$1="ABS",($A$4*$A$4*RTD("tos.rtd",,"OPEN_INT","."&amp;T$2&amp;T$1&amp;"C"&amp;$A23)*RTD("tos.rtd",,"GAMMA","."&amp;T$2&amp;T$1&amp;"C"&amp;$A23)+$A$4*$A$4*RTD("tos.rtd",,"OPEN_INT","."&amp;T$2&amp;T$1&amp;"P"&amp;$A23)*RTD("tos.rtd",,"GAMMA","."&amp;T$2&amp;T$1&amp;"P"&amp;$A23))/1000000,($A$4*$A$4*RTD("tos.rtd",,"OPEN_INT","."&amp;T$2&amp;T$1&amp;"C"&amp;$A23)*RTD("tos.rtd",,"GAMMA","."&amp;T$2&amp;T$1&amp;"C"&amp;$A23)-$A$4*$A$4*RTD("tos.rtd",,"OPEN_INT","."&amp;T$2&amp;T$1&amp;"P"&amp;$A23)*RTD("tos.rtd",,"GAMMA","."&amp;T$2&amp;T$1&amp;"P"&amp;$A23))/1000000),0),IF($A$2="SKEW",IFERROR(VALUE(IF(RTD("tos.rtd",,"IMPL_VOL","."&amp;T$2&amp;T$1&amp;"P"&amp;$A23)="N/A",0,RTD("tos.rtd",,"IMPL_VOL","."&amp;T$2&amp;T$1&amp;"P"&amp;$A23))),0)-IFERROR(VALUE(IF(RTD("tos.rtd",,"IMPL_VOL","."&amp;T$2&amp;T$1&amp;"C"&amp;$A23)="N/A",0,RTD("tos.rtd",,"IMPL_VOL","."&amp;T$2&amp;T$1&amp;"C"&amp;$A23))),0),IF($A$2="MAXPAIN",IF($A$4&gt;$A23,($A$4-$A23)*IF(RTD("tos.rtd",,"OPEN_INT","."&amp;T$2&amp;T$1&amp;"C"&amp;$A23)="N/A",0,RTD("tos.rtd",,"OPEN_INT","."&amp;T$2&amp;T$1&amp;"C"&amp;$A23)),0)+IF($A$4&lt;$A23,($A$5-$A$4)*IF(RTD("tos.rtd",,"OPEN_INT","."&amp;T$2&amp;T$1&amp;"P"&amp;$A23)="N/A",0,RTD("tos.rtd",,"OPEN_INT","."&amp;T$2&amp;T$1&amp;"P"&amp;$A23)),0),IF($X$1="ABS",IF(RTD("tos.rtd",,$A$2,"."&amp;T$2&amp;T$1&amp;"C"&amp;$A23)="N/A",0,RTD("tos.rtd",,$A$2,"."&amp;T$2&amp;T$1&amp;"C"&amp;$A23))+IF(RTD("tos.rtd",,$A$2,"."&amp;T$2&amp;T$1&amp;"P"&amp;$A23)="N/A",0,RTD("tos.rtd",,$A$2,"."&amp;T$2&amp;T$1&amp;"P"&amp;$A23)),IF(RTD("tos.rtd",,$A$2,"."&amp;T$2&amp;T$1&amp;"C"&amp;$A23)="N/A",0,RTD("tos.rtd",,$A$2,"."&amp;T$2&amp;T$1&amp;"C"&amp;$A23))-IF(RTD("tos.rtd",,$A$2,"."&amp;T$2&amp;T$1&amp;"P"&amp;$A23)="N/A",0,RTD("tos.rtd",,$A$2,"."&amp;T$2&amp;T$1&amp;"P"&amp;$A23))))))))))</f>
        <v>0</v>
      </c>
      <c r="U23" s="12">
        <f ca="1">IF($A$2="PREMIUM_OI",IFERROR(IF($X$1="ABS",(100*RTD("tos.rtd",,"OPEN_INT","."&amp;U$2&amp;U$1&amp;"C"&amp;$A23)*RTD("tos.rtd",,"LAST","."&amp;U$2&amp;U$1&amp;"C"&amp;$A23)+100*RTD("tos.rtd",,"OPEN_INT","."&amp;U$2&amp;U$1&amp;"P"&amp;$A23)*RTD("tos.rtd",,"LAST","."&amp;U$2&amp;U$1&amp;"P"&amp;$A23))/1000000,(100*RTD("tos.rtd",,"OPEN_INT","."&amp;U$2&amp;U$1&amp;"C"&amp;$A23)*RTD("tos.rtd",,"LAST","."&amp;U$2&amp;U$1&amp;"C"&amp;$A23)-100*RTD("tos.rtd",,"OPEN_INT","."&amp;U$2&amp;U$1&amp;"P"&amp;$A23)*RTD("tos.rtd",,"LAST","."&amp;U$2&amp;U$1&amp;"P"&amp;$A23))/1000000),0),IF($A$2="PREMIUM",IFERROR(IF($X$1="ABS",(100*RTD("tos.rtd",,"VOLUME","."&amp;U$2&amp;U$1&amp;"C"&amp;$A23)*RTD("tos.rtd",,"LAST","."&amp;U$2&amp;U$1&amp;"C"&amp;$A23)+100*RTD("tos.rtd",,"VOLUME","."&amp;U$2&amp;U$1&amp;"P"&amp;$A23)*RTD("tos.rtd",,"LAST","."&amp;U$2&amp;U$1&amp;"P"&amp;$A23))/1000000,(100*RTD("tos.rtd",,"VOLUME","."&amp;U$2&amp;U$1&amp;"C"&amp;$A23)*RTD("tos.rtd",,"LAST","."&amp;U$2&amp;U$1&amp;"C"&amp;$A23)-100*RTD("tos.rtd",,"VOLUME","."&amp;U$2&amp;U$1&amp;"P"&amp;$A23)*RTD("tos.rtd",,"LAST","."&amp;U$2&amp;U$1&amp;"P"&amp;$A23))/1000000),0),IF($A$2="DEX",IFERROR(IF($X$1="ABS",(100*RTD("tos.rtd",,"OPEN_INT","."&amp;U$2&amp;U$1&amp;"C"&amp;$A23)*RTD("tos.rtd",,"DELTA","."&amp;U$2&amp;U$1&amp;"C"&amp;$A23)+100*RTD("tos.rtd",,"OPEN_INT","."&amp;U$2&amp;U$1&amp;"P"&amp;$A23)*RTD("tos.rtd",,"DELTA","."&amp;U$2&amp;U$1&amp;"P"&amp;$A23))/1000,(100*RTD("tos.rtd",,"OPEN_INT","."&amp;U$2&amp;U$1&amp;"C"&amp;$A23)*RTD("tos.rtd",,"DELTA","."&amp;U$2&amp;U$1&amp;"C"&amp;$A23)-100*RTD("tos.rtd",,"OPEN_INT","."&amp;U$2&amp;U$1&amp;"P"&amp;$A23)*RTD("tos.rtd",,"DELTA","."&amp;U$2&amp;U$1&amp;"P"&amp;$A23))/1000),0),IF($A$2="VEX",IFERROR(IF($X$1="ABS",($A$4*$A$4*RTD("tos.rtd",,"VOLUME","."&amp;U$2&amp;U$1&amp;"C"&amp;$A23)*RTD("tos.rtd",,"GAMMA","."&amp;U$2&amp;U$1&amp;"C"&amp;$A23)+$A$4*$A$4*RTD("tos.rtd",,"VOLUME","."&amp;U$2&amp;U$1&amp;"P"&amp;$A23)*RTD("tos.rtd",,"GAMMA","."&amp;U$2&amp;U$1&amp;"P"&amp;$A23))/1000000,($A$4*$A$4*RTD("tos.rtd",,"VOLUME","."&amp;U$2&amp;U$1&amp;"C"&amp;$A23)*RTD("tos.rtd",,"GAMMA","."&amp;U$2&amp;U$1&amp;"C"&amp;$A23)-$A$4*$A$4*RTD("tos.rtd",,"VOLUME","."&amp;U$2&amp;U$1&amp;"P"&amp;$A23)*RTD("tos.rtd",,"GAMMA","."&amp;U$2&amp;U$1&amp;"P"&amp;$A23))/1000000),0),IF($A$2="GEX",IFERROR(IF($X$1="ABS",($A$4*$A$4*RTD("tos.rtd",,"OPEN_INT","."&amp;U$2&amp;U$1&amp;"C"&amp;$A23)*RTD("tos.rtd",,"GAMMA","."&amp;U$2&amp;U$1&amp;"C"&amp;$A23)+$A$4*$A$4*RTD("tos.rtd",,"OPEN_INT","."&amp;U$2&amp;U$1&amp;"P"&amp;$A23)*RTD("tos.rtd",,"GAMMA","."&amp;U$2&amp;U$1&amp;"P"&amp;$A23))/1000000,($A$4*$A$4*RTD("tos.rtd",,"OPEN_INT","."&amp;U$2&amp;U$1&amp;"C"&amp;$A23)*RTD("tos.rtd",,"GAMMA","."&amp;U$2&amp;U$1&amp;"C"&amp;$A23)-$A$4*$A$4*RTD("tos.rtd",,"OPEN_INT","."&amp;U$2&amp;U$1&amp;"P"&amp;$A23)*RTD("tos.rtd",,"GAMMA","."&amp;U$2&amp;U$1&amp;"P"&amp;$A23))/1000000),0),IF($A$2="SKEW",IFERROR(VALUE(IF(RTD("tos.rtd",,"IMPL_VOL","."&amp;U$2&amp;U$1&amp;"P"&amp;$A23)="N/A",0,RTD("tos.rtd",,"IMPL_VOL","."&amp;U$2&amp;U$1&amp;"P"&amp;$A23))),0)-IFERROR(VALUE(IF(RTD("tos.rtd",,"IMPL_VOL","."&amp;U$2&amp;U$1&amp;"C"&amp;$A23)="N/A",0,RTD("tos.rtd",,"IMPL_VOL","."&amp;U$2&amp;U$1&amp;"C"&amp;$A23))),0),IF($A$2="MAXPAIN",IF($A$4&gt;$A23,($A$4-$A23)*IF(RTD("tos.rtd",,"OPEN_INT","."&amp;U$2&amp;U$1&amp;"C"&amp;$A23)="N/A",0,RTD("tos.rtd",,"OPEN_INT","."&amp;U$2&amp;U$1&amp;"C"&amp;$A23)),0)+IF($A$4&lt;$A23,($A$5-$A$4)*IF(RTD("tos.rtd",,"OPEN_INT","."&amp;U$2&amp;U$1&amp;"P"&amp;$A23)="N/A",0,RTD("tos.rtd",,"OPEN_INT","."&amp;U$2&amp;U$1&amp;"P"&amp;$A23)),0),IF($X$1="ABS",IF(RTD("tos.rtd",,$A$2,"."&amp;U$2&amp;U$1&amp;"C"&amp;$A23)="N/A",0,RTD("tos.rtd",,$A$2,"."&amp;U$2&amp;U$1&amp;"C"&amp;$A23))+IF(RTD("tos.rtd",,$A$2,"."&amp;U$2&amp;U$1&amp;"P"&amp;$A23)="N/A",0,RTD("tos.rtd",,$A$2,"."&amp;U$2&amp;U$1&amp;"P"&amp;$A23)),IF(RTD("tos.rtd",,$A$2,"."&amp;U$2&amp;U$1&amp;"C"&amp;$A23)="N/A",0,RTD("tos.rtd",,$A$2,"."&amp;U$2&amp;U$1&amp;"C"&amp;$A23))-IF(RTD("tos.rtd",,$A$2,"."&amp;U$2&amp;U$1&amp;"P"&amp;$A23)="N/A",0,RTD("tos.rtd",,$A$2,"."&amp;U$2&amp;U$1&amp;"P"&amp;$A23))))))))))</f>
        <v>0</v>
      </c>
      <c r="V23" s="12">
        <f ca="1">IF($A$2="PREMIUM_OI",IFERROR(IF($X$1="ABS",(100*RTD("tos.rtd",,"OPEN_INT","."&amp;V$2&amp;V$1&amp;"C"&amp;$A23)*RTD("tos.rtd",,"LAST","."&amp;V$2&amp;V$1&amp;"C"&amp;$A23)+100*RTD("tos.rtd",,"OPEN_INT","."&amp;V$2&amp;V$1&amp;"P"&amp;$A23)*RTD("tos.rtd",,"LAST","."&amp;V$2&amp;V$1&amp;"P"&amp;$A23))/1000000,(100*RTD("tos.rtd",,"OPEN_INT","."&amp;V$2&amp;V$1&amp;"C"&amp;$A23)*RTD("tos.rtd",,"LAST","."&amp;V$2&amp;V$1&amp;"C"&amp;$A23)-100*RTD("tos.rtd",,"OPEN_INT","."&amp;V$2&amp;V$1&amp;"P"&amp;$A23)*RTD("tos.rtd",,"LAST","."&amp;V$2&amp;V$1&amp;"P"&amp;$A23))/1000000),0),IF($A$2="PREMIUM",IFERROR(IF($X$1="ABS",(100*RTD("tos.rtd",,"VOLUME","."&amp;V$2&amp;V$1&amp;"C"&amp;$A23)*RTD("tos.rtd",,"LAST","."&amp;V$2&amp;V$1&amp;"C"&amp;$A23)+100*RTD("tos.rtd",,"VOLUME","."&amp;V$2&amp;V$1&amp;"P"&amp;$A23)*RTD("tos.rtd",,"LAST","."&amp;V$2&amp;V$1&amp;"P"&amp;$A23))/1000000,(100*RTD("tos.rtd",,"VOLUME","."&amp;V$2&amp;V$1&amp;"C"&amp;$A23)*RTD("tos.rtd",,"LAST","."&amp;V$2&amp;V$1&amp;"C"&amp;$A23)-100*RTD("tos.rtd",,"VOLUME","."&amp;V$2&amp;V$1&amp;"P"&amp;$A23)*RTD("tos.rtd",,"LAST","."&amp;V$2&amp;V$1&amp;"P"&amp;$A23))/1000000),0),IF($A$2="DEX",IFERROR(IF($X$1="ABS",(100*RTD("tos.rtd",,"OPEN_INT","."&amp;V$2&amp;V$1&amp;"C"&amp;$A23)*RTD("tos.rtd",,"DELTA","."&amp;V$2&amp;V$1&amp;"C"&amp;$A23)+100*RTD("tos.rtd",,"OPEN_INT","."&amp;V$2&amp;V$1&amp;"P"&amp;$A23)*RTD("tos.rtd",,"DELTA","."&amp;V$2&amp;V$1&amp;"P"&amp;$A23))/1000,(100*RTD("tos.rtd",,"OPEN_INT","."&amp;V$2&amp;V$1&amp;"C"&amp;$A23)*RTD("tos.rtd",,"DELTA","."&amp;V$2&amp;V$1&amp;"C"&amp;$A23)-100*RTD("tos.rtd",,"OPEN_INT","."&amp;V$2&amp;V$1&amp;"P"&amp;$A23)*RTD("tos.rtd",,"DELTA","."&amp;V$2&amp;V$1&amp;"P"&amp;$A23))/1000),0),IF($A$2="VEX",IFERROR(IF($X$1="ABS",($A$4*$A$4*RTD("tos.rtd",,"VOLUME","."&amp;V$2&amp;V$1&amp;"C"&amp;$A23)*RTD("tos.rtd",,"GAMMA","."&amp;V$2&amp;V$1&amp;"C"&amp;$A23)+$A$4*$A$4*RTD("tos.rtd",,"VOLUME","."&amp;V$2&amp;V$1&amp;"P"&amp;$A23)*RTD("tos.rtd",,"GAMMA","."&amp;V$2&amp;V$1&amp;"P"&amp;$A23))/1000000,($A$4*$A$4*RTD("tos.rtd",,"VOLUME","."&amp;V$2&amp;V$1&amp;"C"&amp;$A23)*RTD("tos.rtd",,"GAMMA","."&amp;V$2&amp;V$1&amp;"C"&amp;$A23)-$A$4*$A$4*RTD("tos.rtd",,"VOLUME","."&amp;V$2&amp;V$1&amp;"P"&amp;$A23)*RTD("tos.rtd",,"GAMMA","."&amp;V$2&amp;V$1&amp;"P"&amp;$A23))/1000000),0),IF($A$2="GEX",IFERROR(IF($X$1="ABS",($A$4*$A$4*RTD("tos.rtd",,"OPEN_INT","."&amp;V$2&amp;V$1&amp;"C"&amp;$A23)*RTD("tos.rtd",,"GAMMA","."&amp;V$2&amp;V$1&amp;"C"&amp;$A23)+$A$4*$A$4*RTD("tos.rtd",,"OPEN_INT","."&amp;V$2&amp;V$1&amp;"P"&amp;$A23)*RTD("tos.rtd",,"GAMMA","."&amp;V$2&amp;V$1&amp;"P"&amp;$A23))/1000000,($A$4*$A$4*RTD("tos.rtd",,"OPEN_INT","."&amp;V$2&amp;V$1&amp;"C"&amp;$A23)*RTD("tos.rtd",,"GAMMA","."&amp;V$2&amp;V$1&amp;"C"&amp;$A23)-$A$4*$A$4*RTD("tos.rtd",,"OPEN_INT","."&amp;V$2&amp;V$1&amp;"P"&amp;$A23)*RTD("tos.rtd",,"GAMMA","."&amp;V$2&amp;V$1&amp;"P"&amp;$A23))/1000000),0),IF($A$2="SKEW",IFERROR(VALUE(IF(RTD("tos.rtd",,"IMPL_VOL","."&amp;V$2&amp;V$1&amp;"P"&amp;$A23)="N/A",0,RTD("tos.rtd",,"IMPL_VOL","."&amp;V$2&amp;V$1&amp;"P"&amp;$A23))),0)-IFERROR(VALUE(IF(RTD("tos.rtd",,"IMPL_VOL","."&amp;V$2&amp;V$1&amp;"C"&amp;$A23)="N/A",0,RTD("tos.rtd",,"IMPL_VOL","."&amp;V$2&amp;V$1&amp;"C"&amp;$A23))),0),IF($A$2="MAXPAIN",IF($A$4&gt;$A23,($A$4-$A23)*IF(RTD("tos.rtd",,"OPEN_INT","."&amp;V$2&amp;V$1&amp;"C"&amp;$A23)="N/A",0,RTD("tos.rtd",,"OPEN_INT","."&amp;V$2&amp;V$1&amp;"C"&amp;$A23)),0)+IF($A$4&lt;$A23,($A$5-$A$4)*IF(RTD("tos.rtd",,"OPEN_INT","."&amp;V$2&amp;V$1&amp;"P"&amp;$A23)="N/A",0,RTD("tos.rtd",,"OPEN_INT","."&amp;V$2&amp;V$1&amp;"P"&amp;$A23)),0),IF($X$1="ABS",IF(RTD("tos.rtd",,$A$2,"."&amp;V$2&amp;V$1&amp;"C"&amp;$A23)="N/A",0,RTD("tos.rtd",,$A$2,"."&amp;V$2&amp;V$1&amp;"C"&amp;$A23))+IF(RTD("tos.rtd",,$A$2,"."&amp;V$2&amp;V$1&amp;"P"&amp;$A23)="N/A",0,RTD("tos.rtd",,$A$2,"."&amp;V$2&amp;V$1&amp;"P"&amp;$A23)),IF(RTD("tos.rtd",,$A$2,"."&amp;V$2&amp;V$1&amp;"C"&amp;$A23)="N/A",0,RTD("tos.rtd",,$A$2,"."&amp;V$2&amp;V$1&amp;"C"&amp;$A23))-IF(RTD("tos.rtd",,$A$2,"."&amp;V$2&amp;V$1&amp;"P"&amp;$A23)="N/A",0,RTD("tos.rtd",,$A$2,"."&amp;V$2&amp;V$1&amp;"P"&amp;$A23))))))))))</f>
        <v>0</v>
      </c>
      <c r="W23" s="54">
        <f ca="1">IF($A$2="PREMIUM_OI",IFERROR(IF($X$1="ABS",(100*RTD("tos.rtd",,"OPEN_INT","."&amp;W$2&amp;W$1&amp;"C"&amp;$A23)*RTD("tos.rtd",,"LAST","."&amp;W$2&amp;W$1&amp;"C"&amp;$A23)+100*RTD("tos.rtd",,"OPEN_INT","."&amp;W$2&amp;W$1&amp;"P"&amp;$A23)*RTD("tos.rtd",,"LAST","."&amp;W$2&amp;W$1&amp;"P"&amp;$A23))/1000000,(100*RTD("tos.rtd",,"OPEN_INT","."&amp;W$2&amp;W$1&amp;"C"&amp;$A23)*RTD("tos.rtd",,"LAST","."&amp;W$2&amp;W$1&amp;"C"&amp;$A23)-100*RTD("tos.rtd",,"OPEN_INT","."&amp;W$2&amp;W$1&amp;"P"&amp;$A23)*RTD("tos.rtd",,"LAST","."&amp;W$2&amp;W$1&amp;"P"&amp;$A23))/1000000),0),IF($A$2="PREMIUM",IFERROR(IF($X$1="ABS",(100*RTD("tos.rtd",,"VOLUME","."&amp;W$2&amp;W$1&amp;"C"&amp;$A23)*RTD("tos.rtd",,"LAST","."&amp;W$2&amp;W$1&amp;"C"&amp;$A23)+100*RTD("tos.rtd",,"VOLUME","."&amp;W$2&amp;W$1&amp;"P"&amp;$A23)*RTD("tos.rtd",,"LAST","."&amp;W$2&amp;W$1&amp;"P"&amp;$A23))/1000000,(100*RTD("tos.rtd",,"VOLUME","."&amp;W$2&amp;W$1&amp;"C"&amp;$A23)*RTD("tos.rtd",,"LAST","."&amp;W$2&amp;W$1&amp;"C"&amp;$A23)-100*RTD("tos.rtd",,"VOLUME","."&amp;W$2&amp;W$1&amp;"P"&amp;$A23)*RTD("tos.rtd",,"LAST","."&amp;W$2&amp;W$1&amp;"P"&amp;$A23))/1000000),0),IF($A$2="DEX",IFERROR(IF($X$1="ABS",(100*RTD("tos.rtd",,"OPEN_INT","."&amp;W$2&amp;W$1&amp;"C"&amp;$A23)*RTD("tos.rtd",,"DELTA","."&amp;W$2&amp;W$1&amp;"C"&amp;$A23)+100*RTD("tos.rtd",,"OPEN_INT","."&amp;W$2&amp;W$1&amp;"P"&amp;$A23)*RTD("tos.rtd",,"DELTA","."&amp;W$2&amp;W$1&amp;"P"&amp;$A23))/1000,(100*RTD("tos.rtd",,"OPEN_INT","."&amp;W$2&amp;W$1&amp;"C"&amp;$A23)*RTD("tos.rtd",,"DELTA","."&amp;W$2&amp;W$1&amp;"C"&amp;$A23)-100*RTD("tos.rtd",,"OPEN_INT","."&amp;W$2&amp;W$1&amp;"P"&amp;$A23)*RTD("tos.rtd",,"DELTA","."&amp;W$2&amp;W$1&amp;"P"&amp;$A23))/1000),0),IF($A$2="VEX",IFERROR(IF($X$1="ABS",($A$4*$A$4*RTD("tos.rtd",,"VOLUME","."&amp;W$2&amp;W$1&amp;"C"&amp;$A23)*RTD("tos.rtd",,"GAMMA","."&amp;W$2&amp;W$1&amp;"C"&amp;$A23)+$A$4*$A$4*RTD("tos.rtd",,"VOLUME","."&amp;W$2&amp;W$1&amp;"P"&amp;$A23)*RTD("tos.rtd",,"GAMMA","."&amp;W$2&amp;W$1&amp;"P"&amp;$A23))/1000000,($A$4*$A$4*RTD("tos.rtd",,"VOLUME","."&amp;W$2&amp;W$1&amp;"C"&amp;$A23)*RTD("tos.rtd",,"GAMMA","."&amp;W$2&amp;W$1&amp;"C"&amp;$A23)-$A$4*$A$4*RTD("tos.rtd",,"VOLUME","."&amp;W$2&amp;W$1&amp;"P"&amp;$A23)*RTD("tos.rtd",,"GAMMA","."&amp;W$2&amp;W$1&amp;"P"&amp;$A23))/1000000),0),IF($A$2="GEX",IFERROR(IF($X$1="ABS",($A$4*$A$4*RTD("tos.rtd",,"OPEN_INT","."&amp;W$2&amp;W$1&amp;"C"&amp;$A23)*RTD("tos.rtd",,"GAMMA","."&amp;W$2&amp;W$1&amp;"C"&amp;$A23)+$A$4*$A$4*RTD("tos.rtd",,"OPEN_INT","."&amp;W$2&amp;W$1&amp;"P"&amp;$A23)*RTD("tos.rtd",,"GAMMA","."&amp;W$2&amp;W$1&amp;"P"&amp;$A23))/1000000,($A$4*$A$4*RTD("tos.rtd",,"OPEN_INT","."&amp;W$2&amp;W$1&amp;"C"&amp;$A23)*RTD("tos.rtd",,"GAMMA","."&amp;W$2&amp;W$1&amp;"C"&amp;$A23)-$A$4*$A$4*RTD("tos.rtd",,"OPEN_INT","."&amp;W$2&amp;W$1&amp;"P"&amp;$A23)*RTD("tos.rtd",,"GAMMA","."&amp;W$2&amp;W$1&amp;"P"&amp;$A23))/1000000),0),IF($A$2="SKEW",IFERROR(VALUE(IF(RTD("tos.rtd",,"IMPL_VOL","."&amp;W$2&amp;W$1&amp;"P"&amp;$A23)="N/A",0,RTD("tos.rtd",,"IMPL_VOL","."&amp;W$2&amp;W$1&amp;"P"&amp;$A23))),0)-IFERROR(VALUE(IF(RTD("tos.rtd",,"IMPL_VOL","."&amp;W$2&amp;W$1&amp;"C"&amp;$A23)="N/A",0,RTD("tos.rtd",,"IMPL_VOL","."&amp;W$2&amp;W$1&amp;"C"&amp;$A23))),0),IF($A$2="MAXPAIN",IF($A$4&gt;$A23,($A$4-$A23)*IF(RTD("tos.rtd",,"OPEN_INT","."&amp;W$2&amp;W$1&amp;"C"&amp;$A23)="N/A",0,RTD("tos.rtd",,"OPEN_INT","."&amp;W$2&amp;W$1&amp;"C"&amp;$A23)),0)+IF($A$4&lt;$A23,($A$5-$A$4)*IF(RTD("tos.rtd",,"OPEN_INT","."&amp;W$2&amp;W$1&amp;"P"&amp;$A23)="N/A",0,RTD("tos.rtd",,"OPEN_INT","."&amp;W$2&amp;W$1&amp;"P"&amp;$A23)),0),IF($X$1="ABS",IF(RTD("tos.rtd",,$A$2,"."&amp;W$2&amp;W$1&amp;"C"&amp;$A23)="N/A",0,RTD("tos.rtd",,$A$2,"."&amp;W$2&amp;W$1&amp;"C"&amp;$A23))+IF(RTD("tos.rtd",,$A$2,"."&amp;W$2&amp;W$1&amp;"P"&amp;$A23)="N/A",0,RTD("tos.rtd",,$A$2,"."&amp;W$2&amp;W$1&amp;"P"&amp;$A23)),IF(RTD("tos.rtd",,$A$2,"."&amp;W$2&amp;W$1&amp;"C"&amp;$A23)="N/A",0,RTD("tos.rtd",,$A$2,"."&amp;W$2&amp;W$1&amp;"C"&amp;$A23))-IF(RTD("tos.rtd",,$A$2,"."&amp;W$2&amp;W$1&amp;"P"&amp;$A23)="N/A",0,RTD("tos.rtd",,$A$2,"."&amp;W$2&amp;W$1&amp;"P"&amp;$A23))))))))))</f>
        <v>0</v>
      </c>
      <c r="X23" s="57">
        <f t="shared" ca="1" si="8"/>
        <v>0</v>
      </c>
      <c r="Y23" s="27">
        <f t="shared" ca="1" si="9"/>
        <v>0</v>
      </c>
      <c r="Z23" s="27">
        <f ca="1">+'OI-VOL'!Y23</f>
        <v>2518</v>
      </c>
      <c r="AA23" s="27" t="b">
        <f t="shared" ca="1" si="10"/>
        <v>0</v>
      </c>
      <c r="AB23" s="27">
        <f t="shared" si="11"/>
        <v>80021950</v>
      </c>
      <c r="AC23" s="18">
        <f>MAX(0, $A23-AC$4)*IF(RTD("tos.rtd",,"OPEN_INT","."&amp;$AB$3&amp;$AB$4&amp;"C"&amp;AC$4)="N/A",0,RTD("tos.rtd",,"OPEN_INT","."&amp;$AB$3&amp;$AB$4&amp;"C"&amp;AC$4))*100 + MAX(0, AC$4-$A23)*IF(RTD("tos.rtd",,"OPEN_INT","."&amp;$AB$3&amp;$AB$4&amp;"P"&amp;AC$4)="N/A",0,RTD("tos.rtd",,"OPEN_INT","."&amp;$AB$3&amp;$AB$4&amp;"P"&amp;AC$4))*100</f>
        <v>0</v>
      </c>
      <c r="AD23" s="18">
        <f>MAX(0, $A23-AD$4)*IF(RTD("tos.rtd",,"OPEN_INT","."&amp;$AB$3&amp;$AB$4&amp;"C"&amp;AD$4)="N/A",0,RTD("tos.rtd",,"OPEN_INT","."&amp;$AB$3&amp;$AB$4&amp;"C"&amp;AD$4))*100 + MAX(0, AD$4-$A23)*IF(RTD("tos.rtd",,"OPEN_INT","."&amp;$AB$3&amp;$AB$4&amp;"P"&amp;AD$4)="N/A",0,RTD("tos.rtd",,"OPEN_INT","."&amp;$AB$3&amp;$AB$4&amp;"P"&amp;AD$4))*100</f>
        <v>0</v>
      </c>
      <c r="AE23" s="18">
        <f>MAX(0, $A23-AE$4)*IF(RTD("tos.rtd",,"OPEN_INT","."&amp;$AB$3&amp;$AB$4&amp;"C"&amp;AE$4)="N/A",0,RTD("tos.rtd",,"OPEN_INT","."&amp;$AB$3&amp;$AB$4&amp;"C"&amp;AE$4))*100 + MAX(0, AE$4-$A23)*IF(RTD("tos.rtd",,"OPEN_INT","."&amp;$AB$3&amp;$AB$4&amp;"P"&amp;AE$4)="N/A",0,RTD("tos.rtd",,"OPEN_INT","."&amp;$AB$3&amp;$AB$4&amp;"P"&amp;AE$4))*100</f>
        <v>0</v>
      </c>
      <c r="AF23" s="18">
        <f>MAX(0, $A23-AF$4)*IF(RTD("tos.rtd",,"OPEN_INT","."&amp;$AB$3&amp;$AB$4&amp;"C"&amp;AF$4)="N/A",0,RTD("tos.rtd",,"OPEN_INT","."&amp;$AB$3&amp;$AB$4&amp;"C"&amp;AF$4))*100 + MAX(0, AF$4-$A23)*IF(RTD("tos.rtd",,"OPEN_INT","."&amp;$AB$3&amp;$AB$4&amp;"P"&amp;AF$4)="N/A",0,RTD("tos.rtd",,"OPEN_INT","."&amp;$AB$3&amp;$AB$4&amp;"P"&amp;AF$4))*100</f>
        <v>0</v>
      </c>
      <c r="AG23" s="18">
        <f>MAX(0, $A23-AG$4)*IF(RTD("tos.rtd",,"OPEN_INT","."&amp;$AB$3&amp;$AB$4&amp;"C"&amp;AG$4)="N/A",0,RTD("tos.rtd",,"OPEN_INT","."&amp;$AB$3&amp;$AB$4&amp;"C"&amp;AG$4))*100 + MAX(0, AG$4-$A23)*IF(RTD("tos.rtd",,"OPEN_INT","."&amp;$AB$3&amp;$AB$4&amp;"P"&amp;AG$4)="N/A",0,RTD("tos.rtd",,"OPEN_INT","."&amp;$AB$3&amp;$AB$4&amp;"P"&amp;AG$4))*100</f>
        <v>0</v>
      </c>
      <c r="AH23" s="18">
        <f>MAX(0, $A23-AH$4)*IF(RTD("tos.rtd",,"OPEN_INT","."&amp;$AB$3&amp;$AB$4&amp;"C"&amp;AH$4)="N/A",0,RTD("tos.rtd",,"OPEN_INT","."&amp;$AB$3&amp;$AB$4&amp;"C"&amp;AH$4))*100 + MAX(0, AH$4-$A23)*IF(RTD("tos.rtd",,"OPEN_INT","."&amp;$AB$3&amp;$AB$4&amp;"P"&amp;AH$4)="N/A",0,RTD("tos.rtd",,"OPEN_INT","."&amp;$AB$3&amp;$AB$4&amp;"P"&amp;AH$4))*100</f>
        <v>0</v>
      </c>
      <c r="AI23" s="18">
        <f>MAX(0, $A23-AI$4)*IF(RTD("tos.rtd",,"OPEN_INT","."&amp;$AB$3&amp;$AB$4&amp;"C"&amp;AI$4)="N/A",0,RTD("tos.rtd",,"OPEN_INT","."&amp;$AB$3&amp;$AB$4&amp;"C"&amp;AI$4))*100 + MAX(0, AI$4-$A23)*IF(RTD("tos.rtd",,"OPEN_INT","."&amp;$AB$3&amp;$AB$4&amp;"P"&amp;AI$4)="N/A",0,RTD("tos.rtd",,"OPEN_INT","."&amp;$AB$3&amp;$AB$4&amp;"P"&amp;AI$4))*100</f>
        <v>0</v>
      </c>
      <c r="AJ23" s="18">
        <f>MAX(0, $A23-AJ$4)*IF(RTD("tos.rtd",,"OPEN_INT","."&amp;$AB$3&amp;$AB$4&amp;"C"&amp;AJ$4)="N/A",0,RTD("tos.rtd",,"OPEN_INT","."&amp;$AB$3&amp;$AB$4&amp;"C"&amp;AJ$4))*100 + MAX(0, AJ$4-$A23)*IF(RTD("tos.rtd",,"OPEN_INT","."&amp;$AB$3&amp;$AB$4&amp;"P"&amp;AJ$4)="N/A",0,RTD("tos.rtd",,"OPEN_INT","."&amp;$AB$3&amp;$AB$4&amp;"P"&amp;AJ$4))*100</f>
        <v>1650</v>
      </c>
      <c r="AK23" s="18">
        <f>MAX(0, $A23-AK$4)*IF(RTD("tos.rtd",,"OPEN_INT","."&amp;$AB$3&amp;$AB$4&amp;"C"&amp;AK$4)="N/A",0,RTD("tos.rtd",,"OPEN_INT","."&amp;$AB$3&amp;$AB$4&amp;"C"&amp;AK$4))*100 + MAX(0, AK$4-$A23)*IF(RTD("tos.rtd",,"OPEN_INT","."&amp;$AB$3&amp;$AB$4&amp;"P"&amp;AK$4)="N/A",0,RTD("tos.rtd",,"OPEN_INT","."&amp;$AB$3&amp;$AB$4&amp;"P"&amp;AK$4))*100</f>
        <v>4000</v>
      </c>
      <c r="AL23" s="18">
        <f>MAX(0, $A23-AL$4)*IF(RTD("tos.rtd",,"OPEN_INT","."&amp;$AB$3&amp;$AB$4&amp;"C"&amp;AL$4)="N/A",0,RTD("tos.rtd",,"OPEN_INT","."&amp;$AB$3&amp;$AB$4&amp;"C"&amp;AL$4))*100 + MAX(0, AL$4-$A23)*IF(RTD("tos.rtd",,"OPEN_INT","."&amp;$AB$3&amp;$AB$4&amp;"P"&amp;AL$4)="N/A",0,RTD("tos.rtd",,"OPEN_INT","."&amp;$AB$3&amp;$AB$4&amp;"P"&amp;AL$4))*100</f>
        <v>0</v>
      </c>
      <c r="AM23" s="18">
        <f>MAX(0, $A23-AM$4)*IF(RTD("tos.rtd",,"OPEN_INT","."&amp;$AB$3&amp;$AB$4&amp;"C"&amp;AM$4)="N/A",0,RTD("tos.rtd",,"OPEN_INT","."&amp;$AB$3&amp;$AB$4&amp;"C"&amp;AM$4))*100 + MAX(0, AM$4-$A23)*IF(RTD("tos.rtd",,"OPEN_INT","."&amp;$AB$3&amp;$AB$4&amp;"P"&amp;AM$4)="N/A",0,RTD("tos.rtd",,"OPEN_INT","."&amp;$AB$3&amp;$AB$4&amp;"P"&amp;AM$4))*100</f>
        <v>0</v>
      </c>
      <c r="AN23" s="18">
        <f>MAX(0, $A23-AN$4)*IF(RTD("tos.rtd",,"OPEN_INT","."&amp;$AB$3&amp;$AB$4&amp;"C"&amp;AN$4)="N/A",0,RTD("tos.rtd",,"OPEN_INT","."&amp;$AB$3&amp;$AB$4&amp;"C"&amp;AN$4))*100 + MAX(0, AN$4-$A23)*IF(RTD("tos.rtd",,"OPEN_INT","."&amp;$AB$3&amp;$AB$4&amp;"P"&amp;AN$4)="N/A",0,RTD("tos.rtd",,"OPEN_INT","."&amp;$AB$3&amp;$AB$4&amp;"P"&amp;AN$4))*100</f>
        <v>0</v>
      </c>
      <c r="AO23" s="18">
        <f>MAX(0, $A23-AO$4)*IF(RTD("tos.rtd",,"OPEN_INT","."&amp;$AB$3&amp;$AB$4&amp;"C"&amp;AO$4)="N/A",0,RTD("tos.rtd",,"OPEN_INT","."&amp;$AB$3&amp;$AB$4&amp;"C"&amp;AO$4))*100 + MAX(0, AO$4-$A23)*IF(RTD("tos.rtd",,"OPEN_INT","."&amp;$AB$3&amp;$AB$4&amp;"P"&amp;AO$4)="N/A",0,RTD("tos.rtd",,"OPEN_INT","."&amp;$AB$3&amp;$AB$4&amp;"P"&amp;AO$4))*100</f>
        <v>0</v>
      </c>
      <c r="AP23" s="18">
        <f>MAX(0, $A23-AP$4)*IF(RTD("tos.rtd",,"OPEN_INT","."&amp;$AB$3&amp;$AB$4&amp;"C"&amp;AP$4)="N/A",0,RTD("tos.rtd",,"OPEN_INT","."&amp;$AB$3&amp;$AB$4&amp;"C"&amp;AP$4))*100 + MAX(0, AP$4-$A23)*IF(RTD("tos.rtd",,"OPEN_INT","."&amp;$AB$3&amp;$AB$4&amp;"P"&amp;AP$4)="N/A",0,RTD("tos.rtd",,"OPEN_INT","."&amp;$AB$3&amp;$AB$4&amp;"P"&amp;AP$4))*100</f>
        <v>30000</v>
      </c>
      <c r="AQ23" s="18">
        <f>MAX(0, $A23-AQ$4)*IF(RTD("tos.rtd",,"OPEN_INT","."&amp;$AB$3&amp;$AB$4&amp;"C"&amp;AQ$4)="N/A",0,RTD("tos.rtd",,"OPEN_INT","."&amp;$AB$3&amp;$AB$4&amp;"C"&amp;AQ$4))*100 + MAX(0, AQ$4-$A23)*IF(RTD("tos.rtd",,"OPEN_INT","."&amp;$AB$3&amp;$AB$4&amp;"P"&amp;AQ$4)="N/A",0,RTD("tos.rtd",,"OPEN_INT","."&amp;$AB$3&amp;$AB$4&amp;"P"&amp;AQ$4))*100</f>
        <v>0</v>
      </c>
      <c r="AR23" s="18">
        <f>MAX(0, $A23-AR$4)*IF(RTD("tos.rtd",,"OPEN_INT","."&amp;$AB$3&amp;$AB$4&amp;"C"&amp;AR$4)="N/A",0,RTD("tos.rtd",,"OPEN_INT","."&amp;$AB$3&amp;$AB$4&amp;"C"&amp;AR$4))*100 + MAX(0, AR$4-$A23)*IF(RTD("tos.rtd",,"OPEN_INT","."&amp;$AB$3&amp;$AB$4&amp;"P"&amp;AR$4)="N/A",0,RTD("tos.rtd",,"OPEN_INT","."&amp;$AB$3&amp;$AB$4&amp;"P"&amp;AR$4))*100</f>
        <v>7950</v>
      </c>
      <c r="AS23" s="18">
        <f>MAX(0, $A23-AS$4)*IF(RTD("tos.rtd",,"OPEN_INT","."&amp;$AB$3&amp;$AB$4&amp;"C"&amp;AS$4)="N/A",0,RTD("tos.rtd",,"OPEN_INT","."&amp;$AB$3&amp;$AB$4&amp;"C"&amp;AS$4))*100 + MAX(0, AS$4-$A23)*IF(RTD("tos.rtd",,"OPEN_INT","."&amp;$AB$3&amp;$AB$4&amp;"P"&amp;AS$4)="N/A",0,RTD("tos.rtd",,"OPEN_INT","."&amp;$AB$3&amp;$AB$4&amp;"P"&amp;AS$4))*100</f>
        <v>600</v>
      </c>
      <c r="AT23" s="18">
        <f>MAX(0, $A23-AT$4)*IF(RTD("tos.rtd",,"OPEN_INT","."&amp;$AB$3&amp;$AB$4&amp;"C"&amp;AT$4)="N/A",0,RTD("tos.rtd",,"OPEN_INT","."&amp;$AB$3&amp;$AB$4&amp;"C"&amp;AT$4))*100 + MAX(0, AT$4-$A23)*IF(RTD("tos.rtd",,"OPEN_INT","."&amp;$AB$3&amp;$AB$4&amp;"P"&amp;AT$4)="N/A",0,RTD("tos.rtd",,"OPEN_INT","."&amp;$AB$3&amp;$AB$4&amp;"P"&amp;AT$4))*100</f>
        <v>3100</v>
      </c>
      <c r="AU23" s="18">
        <f>MAX(0, $A23-AU$4)*IF(RTD("tos.rtd",,"OPEN_INT","."&amp;$AB$3&amp;$AB$4&amp;"C"&amp;AU$4)="N/A",0,RTD("tos.rtd",,"OPEN_INT","."&amp;$AB$3&amp;$AB$4&amp;"C"&amp;AU$4))*100 + MAX(0, AU$4-$A23)*IF(RTD("tos.rtd",,"OPEN_INT","."&amp;$AB$3&amp;$AB$4&amp;"P"&amp;AU$4)="N/A",0,RTD("tos.rtd",,"OPEN_INT","."&amp;$AB$3&amp;$AB$4&amp;"P"&amp;AU$4))*100</f>
        <v>0</v>
      </c>
      <c r="AV23" s="18">
        <f>MAX(0, $A23-AV$4)*IF(RTD("tos.rtd",,"OPEN_INT","."&amp;$AB$3&amp;$AB$4&amp;"C"&amp;AV$4)="N/A",0,RTD("tos.rtd",,"OPEN_INT","."&amp;$AB$3&amp;$AB$4&amp;"C"&amp;AV$4))*100 + MAX(0, AV$4-$A23)*IF(RTD("tos.rtd",,"OPEN_INT","."&amp;$AB$3&amp;$AB$4&amp;"P"&amp;AV$4)="N/A",0,RTD("tos.rtd",,"OPEN_INT","."&amp;$AB$3&amp;$AB$4&amp;"P"&amp;AV$4))*100</f>
        <v>84150</v>
      </c>
      <c r="AW23" s="18">
        <f>MAX(0, $A23-AW$4)*IF(RTD("tos.rtd",,"OPEN_INT","."&amp;$AB$3&amp;$AB$4&amp;"C"&amp;AW$4)="N/A",0,RTD("tos.rtd",,"OPEN_INT","."&amp;$AB$3&amp;$AB$4&amp;"C"&amp;AW$4))*100 + MAX(0, AW$4-$A23)*IF(RTD("tos.rtd",,"OPEN_INT","."&amp;$AB$3&amp;$AB$4&amp;"P"&amp;AW$4)="N/A",0,RTD("tos.rtd",,"OPEN_INT","."&amp;$AB$3&amp;$AB$4&amp;"P"&amp;AW$4))*100</f>
        <v>188800</v>
      </c>
      <c r="AX23" s="18">
        <f>MAX(0, $A23-AX$4)*IF(RTD("tos.rtd",,"OPEN_INT","."&amp;$AB$3&amp;$AB$4&amp;"C"&amp;AX$4)="N/A",0,RTD("tos.rtd",,"OPEN_INT","."&amp;$AB$3&amp;$AB$4&amp;"C"&amp;AX$4))*100 + MAX(0, AX$4-$A23)*IF(RTD("tos.rtd",,"OPEN_INT","."&amp;$AB$3&amp;$AB$4&amp;"P"&amp;AX$4)="N/A",0,RTD("tos.rtd",,"OPEN_INT","."&amp;$AB$3&amp;$AB$4&amp;"P"&amp;AX$4))*100</f>
        <v>461250</v>
      </c>
      <c r="AY23" s="18">
        <f>MAX(0, $A23-AY$4)*IF(RTD("tos.rtd",,"OPEN_INT","."&amp;$AB$3&amp;$AB$4&amp;"C"&amp;AY$4)="N/A",0,RTD("tos.rtd",,"OPEN_INT","."&amp;$AB$3&amp;$AB$4&amp;"C"&amp;AY$4))*100 + MAX(0, AY$4-$A23)*IF(RTD("tos.rtd",,"OPEN_INT","."&amp;$AB$3&amp;$AB$4&amp;"P"&amp;AY$4)="N/A",0,RTD("tos.rtd",,"OPEN_INT","."&amp;$AB$3&amp;$AB$4&amp;"P"&amp;AY$4))*100</f>
        <v>850600</v>
      </c>
      <c r="AZ23" s="18">
        <f>MAX(0, $A23-AZ$4)*IF(RTD("tos.rtd",,"OPEN_INT","."&amp;$AB$3&amp;$AB$4&amp;"C"&amp;AZ$4)="N/A",0,RTD("tos.rtd",,"OPEN_INT","."&amp;$AB$3&amp;$AB$4&amp;"C"&amp;AZ$4))*100 + MAX(0, AZ$4-$A23)*IF(RTD("tos.rtd",,"OPEN_INT","."&amp;$AB$3&amp;$AB$4&amp;"P"&amp;AZ$4)="N/A",0,RTD("tos.rtd",,"OPEN_INT","."&amp;$AB$3&amp;$AB$4&amp;"P"&amp;AZ$4))*100</f>
        <v>4887000</v>
      </c>
      <c r="BA23" s="18">
        <f>MAX(0, $A23-BA$4)*IF(RTD("tos.rtd",,"OPEN_INT","."&amp;$AB$3&amp;$AB$4&amp;"C"&amp;BA$4)="N/A",0,RTD("tos.rtd",,"OPEN_INT","."&amp;$AB$3&amp;$AB$4&amp;"C"&amp;BA$4))*100 + MAX(0, BA$4-$A23)*IF(RTD("tos.rtd",,"OPEN_INT","."&amp;$AB$3&amp;$AB$4&amp;"P"&amp;BA$4)="N/A",0,RTD("tos.rtd",,"OPEN_INT","."&amp;$AB$3&amp;$AB$4&amp;"P"&amp;BA$4))*100</f>
        <v>2955000</v>
      </c>
      <c r="BB23" s="18">
        <f>MAX(0, $A23-BB$4)*IF(RTD("tos.rtd",,"OPEN_INT","."&amp;$AB$3&amp;$AB$4&amp;"C"&amp;BB$4)="N/A",0,RTD("tos.rtd",,"OPEN_INT","."&amp;$AB$3&amp;$AB$4&amp;"C"&amp;BB$4))*100 + MAX(0, BB$4-$A23)*IF(RTD("tos.rtd",,"OPEN_INT","."&amp;$AB$3&amp;$AB$4&amp;"P"&amp;BB$4)="N/A",0,RTD("tos.rtd",,"OPEN_INT","."&amp;$AB$3&amp;$AB$4&amp;"P"&amp;BB$4))*100</f>
        <v>10782450</v>
      </c>
      <c r="BC23" s="18">
        <f>MAX(0, $A23-BC$4)*IF(RTD("tos.rtd",,"OPEN_INT","."&amp;$AB$3&amp;$AB$4&amp;"C"&amp;BC$4)="N/A",0,RTD("tos.rtd",,"OPEN_INT","."&amp;$AB$3&amp;$AB$4&amp;"C"&amp;BC$4))*100 + MAX(0, BC$4-$A23)*IF(RTD("tos.rtd",,"OPEN_INT","."&amp;$AB$3&amp;$AB$4&amp;"P"&amp;BC$4)="N/A",0,RTD("tos.rtd",,"OPEN_INT","."&amp;$AB$3&amp;$AB$4&amp;"P"&amp;BC$4))*100</f>
        <v>11463200</v>
      </c>
      <c r="BD23" s="18">
        <f>MAX(0, $A23-BD$4)*IF(RTD("tos.rtd",,"OPEN_INT","."&amp;$AB$3&amp;$AB$4&amp;"C"&amp;BD$4)="N/A",0,RTD("tos.rtd",,"OPEN_INT","."&amp;$AB$3&amp;$AB$4&amp;"C"&amp;BD$4))*100 + MAX(0, BD$4-$A23)*IF(RTD("tos.rtd",,"OPEN_INT","."&amp;$AB$3&amp;$AB$4&amp;"P"&amp;BD$4)="N/A",0,RTD("tos.rtd",,"OPEN_INT","."&amp;$AB$3&amp;$AB$4&amp;"P"&amp;BD$4))*100</f>
        <v>18320850</v>
      </c>
      <c r="BE23" s="18">
        <f>MAX(0, $A23-BE$4)*IF(RTD("tos.rtd",,"OPEN_INT","."&amp;$AB$3&amp;$AB$4&amp;"C"&amp;BE$4)="N/A",0,RTD("tos.rtd",,"OPEN_INT","."&amp;$AB$3&amp;$AB$4&amp;"C"&amp;BE$4))*100 + MAX(0, BE$4-$A23)*IF(RTD("tos.rtd",,"OPEN_INT","."&amp;$AB$3&amp;$AB$4&amp;"P"&amp;BE$4)="N/A",0,RTD("tos.rtd",,"OPEN_INT","."&amp;$AB$3&amp;$AB$4&amp;"P"&amp;BE$4))*100</f>
        <v>9280000</v>
      </c>
      <c r="BF23" s="18">
        <f>MAX(0, $A23-BF$4)*IF(RTD("tos.rtd",,"OPEN_INT","."&amp;$AB$3&amp;$AB$4&amp;"C"&amp;BF$4)="N/A",0,RTD("tos.rtd",,"OPEN_INT","."&amp;$AB$3&amp;$AB$4&amp;"C"&amp;BF$4))*100 + MAX(0, BF$4-$A23)*IF(RTD("tos.rtd",,"OPEN_INT","."&amp;$AB$3&amp;$AB$4&amp;"P"&amp;BF$4)="N/A",0,RTD("tos.rtd",,"OPEN_INT","."&amp;$AB$3&amp;$AB$4&amp;"P"&amp;BF$4))*100</f>
        <v>9502900</v>
      </c>
      <c r="BG23" s="18">
        <f>MAX(0, $A23-BG$4)*IF(RTD("tos.rtd",,"OPEN_INT","."&amp;$AB$3&amp;$AB$4&amp;"C"&amp;BG$4)="N/A",0,RTD("tos.rtd",,"OPEN_INT","."&amp;$AB$3&amp;$AB$4&amp;"C"&amp;BG$4))*100 + MAX(0, BG$4-$A23)*IF(RTD("tos.rtd",,"OPEN_INT","."&amp;$AB$3&amp;$AB$4&amp;"P"&amp;BG$4)="N/A",0,RTD("tos.rtd",,"OPEN_INT","."&amp;$AB$3&amp;$AB$4&amp;"P"&amp;BG$4))*100</f>
        <v>5044200</v>
      </c>
      <c r="BH23" s="18">
        <f>MAX(0, $A23-BH$4)*IF(RTD("tos.rtd",,"OPEN_INT","."&amp;$AB$3&amp;$AB$4&amp;"C"&amp;BH$4)="N/A",0,RTD("tos.rtd",,"OPEN_INT","."&amp;$AB$3&amp;$AB$4&amp;"C"&amp;BH$4))*100 + MAX(0, BH$4-$A23)*IF(RTD("tos.rtd",,"OPEN_INT","."&amp;$AB$3&amp;$AB$4&amp;"P"&amp;BH$4)="N/A",0,RTD("tos.rtd",,"OPEN_INT","."&amp;$AB$3&amp;$AB$4&amp;"P"&amp;BH$4))*100</f>
        <v>3727100</v>
      </c>
      <c r="BI23" s="18">
        <f>MAX(0, $A23-BI$4)*IF(RTD("tos.rtd",,"OPEN_INT","."&amp;$AB$3&amp;$AB$4&amp;"C"&amp;BI$4)="N/A",0,RTD("tos.rtd",,"OPEN_INT","."&amp;$AB$3&amp;$AB$4&amp;"C"&amp;BI$4))*100 + MAX(0, BI$4-$A23)*IF(RTD("tos.rtd",,"OPEN_INT","."&amp;$AB$3&amp;$AB$4&amp;"P"&amp;BI$4)="N/A",0,RTD("tos.rtd",,"OPEN_INT","."&amp;$AB$3&amp;$AB$4&amp;"P"&amp;BI$4))*100</f>
        <v>1360100</v>
      </c>
      <c r="BJ23" s="18">
        <f>MAX(0, $A23-BJ$4)*IF(RTD("tos.rtd",,"OPEN_INT","."&amp;$AB$3&amp;$AB$4&amp;"C"&amp;BJ$4)="N/A",0,RTD("tos.rtd",,"OPEN_INT","."&amp;$AB$3&amp;$AB$4&amp;"C"&amp;BJ$4))*100 + MAX(0, BJ$4-$A23)*IF(RTD("tos.rtd",,"OPEN_INT","."&amp;$AB$3&amp;$AB$4&amp;"P"&amp;BJ$4)="N/A",0,RTD("tos.rtd",,"OPEN_INT","."&amp;$AB$3&amp;$AB$4&amp;"P"&amp;BJ$4))*100</f>
        <v>631500</v>
      </c>
      <c r="BK23" s="18">
        <f>MAX(0, $A23-BK$4)*IF(RTD("tos.rtd",,"OPEN_INT","."&amp;$AB$3&amp;$AB$4&amp;"C"&amp;BK$4)="N/A",0,RTD("tos.rtd",,"OPEN_INT","."&amp;$AB$3&amp;$AB$4&amp;"C"&amp;BK$4))*100 + MAX(0, BK$4-$A23)*IF(RTD("tos.rtd",,"OPEN_INT","."&amp;$AB$3&amp;$AB$4&amp;"P"&amp;BK$4)="N/A",0,RTD("tos.rtd",,"OPEN_INT","."&amp;$AB$3&amp;$AB$4&amp;"P"&amp;BK$4))*100</f>
        <v>120800</v>
      </c>
      <c r="BL23" s="18">
        <f>MAX(0, $A23-BL$4)*IF(RTD("tos.rtd",,"OPEN_INT","."&amp;$AB$3&amp;$AB$4&amp;"C"&amp;BL$4)="N/A",0,RTD("tos.rtd",,"OPEN_INT","."&amp;$AB$3&amp;$AB$4&amp;"C"&amp;BL$4))*100 + MAX(0, BL$4-$A23)*IF(RTD("tos.rtd",,"OPEN_INT","."&amp;$AB$3&amp;$AB$4&amp;"P"&amp;BL$4)="N/A",0,RTD("tos.rtd",,"OPEN_INT","."&amp;$AB$3&amp;$AB$4&amp;"P"&amp;BL$4))*100</f>
        <v>221850</v>
      </c>
      <c r="BM23" s="18">
        <f>MAX(0, $A23-BM$4)*IF(RTD("tos.rtd",,"OPEN_INT","."&amp;$AB$3&amp;$AB$4&amp;"C"&amp;BM$4)="N/A",0,RTD("tos.rtd",,"OPEN_INT","."&amp;$AB$3&amp;$AB$4&amp;"C"&amp;BM$4))*100 + MAX(0, BM$4-$A23)*IF(RTD("tos.rtd",,"OPEN_INT","."&amp;$AB$3&amp;$AB$4&amp;"P"&amp;BM$4)="N/A",0,RTD("tos.rtd",,"OPEN_INT","."&amp;$AB$3&amp;$AB$4&amp;"P"&amp;BM$4))*100</f>
        <v>14400</v>
      </c>
      <c r="BN23" s="18">
        <f>MAX(0, $A23-BN$4)*IF(RTD("tos.rtd",,"OPEN_INT","."&amp;$AB$3&amp;$AB$4&amp;"C"&amp;BN$4)="N/A",0,RTD("tos.rtd",,"OPEN_INT","."&amp;$AB$3&amp;$AB$4&amp;"C"&amp;BN$4))*100 + MAX(0, BN$4-$A23)*IF(RTD("tos.rtd",,"OPEN_INT","."&amp;$AB$3&amp;$AB$4&amp;"P"&amp;BN$4)="N/A",0,RTD("tos.rtd",,"OPEN_INT","."&amp;$AB$3&amp;$AB$4&amp;"P"&amp;BN$4))*100</f>
        <v>7600</v>
      </c>
      <c r="BO23" s="18">
        <f>MAX(0, $A23-BO$4)*IF(RTD("tos.rtd",,"OPEN_INT","."&amp;$AB$3&amp;$AB$4&amp;"C"&amp;BO$4)="N/A",0,RTD("tos.rtd",,"OPEN_INT","."&amp;$AB$3&amp;$AB$4&amp;"C"&amp;BO$4))*100 + MAX(0, BO$4-$A23)*IF(RTD("tos.rtd",,"OPEN_INT","."&amp;$AB$3&amp;$AB$4&amp;"P"&amp;BO$4)="N/A",0,RTD("tos.rtd",,"OPEN_INT","."&amp;$AB$3&amp;$AB$4&amp;"P"&amp;BO$4))*100</f>
        <v>31000</v>
      </c>
      <c r="BP23" s="18">
        <f>MAX(0, $A23-BP$4)*IF(RTD("tos.rtd",,"OPEN_INT","."&amp;$AB$3&amp;$AB$4&amp;"C"&amp;BP$4)="N/A",0,RTD("tos.rtd",,"OPEN_INT","."&amp;$AB$3&amp;$AB$4&amp;"C"&amp;BP$4))*100 + MAX(0, BP$4-$A23)*IF(RTD("tos.rtd",,"OPEN_INT","."&amp;$AB$3&amp;$AB$4&amp;"P"&amp;BP$4)="N/A",0,RTD("tos.rtd",,"OPEN_INT","."&amp;$AB$3&amp;$AB$4&amp;"P"&amp;BP$4))*100</f>
        <v>39900</v>
      </c>
      <c r="BQ23" s="18">
        <f>MAX(0, $A23-BQ$4)*IF(RTD("tos.rtd",,"OPEN_INT","."&amp;$AB$3&amp;$AB$4&amp;"C"&amp;BQ$4)="N/A",0,RTD("tos.rtd",,"OPEN_INT","."&amp;$AB$3&amp;$AB$4&amp;"C"&amp;BQ$4))*100 + MAX(0, BQ$4-$A23)*IF(RTD("tos.rtd",,"OPEN_INT","."&amp;$AB$3&amp;$AB$4&amp;"P"&amp;BQ$4)="N/A",0,RTD("tos.rtd",,"OPEN_INT","."&amp;$AB$3&amp;$AB$4&amp;"P"&amp;BQ$4))*100</f>
        <v>0</v>
      </c>
      <c r="BR23" s="18">
        <f>MAX(0, $A23-BR$4)*IF(RTD("tos.rtd",,"OPEN_INT","."&amp;$AB$3&amp;$AB$4&amp;"C"&amp;BR$4)="N/A",0,RTD("tos.rtd",,"OPEN_INT","."&amp;$AB$3&amp;$AB$4&amp;"C"&amp;BR$4))*100 + MAX(0, BR$4-$A23)*IF(RTD("tos.rtd",,"OPEN_INT","."&amp;$AB$3&amp;$AB$4&amp;"P"&amp;BR$4)="N/A",0,RTD("tos.rtd",,"OPEN_INT","."&amp;$AB$3&amp;$AB$4&amp;"P"&amp;BR$4))*100</f>
        <v>0</v>
      </c>
      <c r="BS23" s="18">
        <f>MAX(0, $A23-BS$4)*IF(RTD("tos.rtd",,"OPEN_INT","."&amp;$AB$3&amp;$AB$4&amp;"C"&amp;BS$4)="N/A",0,RTD("tos.rtd",,"OPEN_INT","."&amp;$AB$3&amp;$AB$4&amp;"C"&amp;BS$4))*100 + MAX(0, BS$4-$A23)*IF(RTD("tos.rtd",,"OPEN_INT","."&amp;$AB$3&amp;$AB$4&amp;"P"&amp;BS$4)="N/A",0,RTD("tos.rtd",,"OPEN_INT","."&amp;$AB$3&amp;$AB$4&amp;"P"&amp;BS$4))*100</f>
        <v>0</v>
      </c>
      <c r="BT23" s="18">
        <f>MAX(0, $A23-BT$4)*IF(RTD("tos.rtd",,"OPEN_INT","."&amp;$AB$3&amp;$AB$4&amp;"C"&amp;BT$4)="N/A",0,RTD("tos.rtd",,"OPEN_INT","."&amp;$AB$3&amp;$AB$4&amp;"C"&amp;BT$4))*100 + MAX(0, BT$4-$A23)*IF(RTD("tos.rtd",,"OPEN_INT","."&amp;$AB$3&amp;$AB$4&amp;"P"&amp;BT$4)="N/A",0,RTD("tos.rtd",,"OPEN_INT","."&amp;$AB$3&amp;$AB$4&amp;"P"&amp;BT$4))*100</f>
        <v>0</v>
      </c>
      <c r="BU23" s="18">
        <f>MAX(0, $A23-BU$4)*IF(RTD("tos.rtd",,"OPEN_INT","."&amp;$AB$3&amp;$AB$4&amp;"C"&amp;BU$4)="N/A",0,RTD("tos.rtd",,"OPEN_INT","."&amp;$AB$3&amp;$AB$4&amp;"C"&amp;BU$4))*100 + MAX(0, BU$4-$A23)*IF(RTD("tos.rtd",,"OPEN_INT","."&amp;$AB$3&amp;$AB$4&amp;"P"&amp;BU$4)="N/A",0,RTD("tos.rtd",,"OPEN_INT","."&amp;$AB$3&amp;$AB$4&amp;"P"&amp;BU$4))*100</f>
        <v>0</v>
      </c>
      <c r="BV23" s="18">
        <f>MAX(0, $A23-BV$4)*IF(RTD("tos.rtd",,"OPEN_INT","."&amp;$AB$3&amp;$AB$4&amp;"C"&amp;BV$4)="N/A",0,RTD("tos.rtd",,"OPEN_INT","."&amp;$AB$3&amp;$AB$4&amp;"C"&amp;BV$4))*100 + MAX(0, BV$4-$A23)*IF(RTD("tos.rtd",,"OPEN_INT","."&amp;$AB$3&amp;$AB$4&amp;"P"&amp;BV$4)="N/A",0,RTD("tos.rtd",,"OPEN_INT","."&amp;$AB$3&amp;$AB$4&amp;"P"&amp;BV$4))*100</f>
        <v>0</v>
      </c>
      <c r="BW23" s="18">
        <f>MAX(0, $A23-BW$4)*IF(RTD("tos.rtd",,"OPEN_INT","."&amp;$AB$3&amp;$AB$4&amp;"C"&amp;BW$4)="N/A",0,RTD("tos.rtd",,"OPEN_INT","."&amp;$AB$3&amp;$AB$4&amp;"C"&amp;BW$4))*100 + MAX(0, BW$4-$A23)*IF(RTD("tos.rtd",,"OPEN_INT","."&amp;$AB$3&amp;$AB$4&amp;"P"&amp;BW$4)="N/A",0,RTD("tos.rtd",,"OPEN_INT","."&amp;$AB$3&amp;$AB$4&amp;"P"&amp;BW$4))*100</f>
        <v>0</v>
      </c>
    </row>
    <row r="24" spans="1:75" s="19" customFormat="1" ht="10.5" customHeight="1" thickBot="1" x14ac:dyDescent="0.3">
      <c r="A24" s="23">
        <f t="shared" si="7"/>
        <v>12</v>
      </c>
      <c r="B24" s="14">
        <f ca="1">IF($A$2="PREMIUM_OI",IFERROR(IF($X$1="ABS",(100*RTD("tos.rtd",,"OPEN_INT","."&amp;B$2&amp;B$1&amp;"C"&amp;$A24)*RTD("tos.rtd",,"LAST","."&amp;B$2&amp;B$1&amp;"C"&amp;$A24)+100*RTD("tos.rtd",,"OPEN_INT","."&amp;B$2&amp;B$1&amp;"P"&amp;$A24)*RTD("tos.rtd",,"LAST","."&amp;B$2&amp;B$1&amp;"P"&amp;$A24))/1000000,(100*RTD("tos.rtd",,"OPEN_INT","."&amp;B$2&amp;B$1&amp;"C"&amp;$A24)*RTD("tos.rtd",,"LAST","."&amp;B$2&amp;B$1&amp;"C"&amp;$A24)-100*RTD("tos.rtd",,"OPEN_INT","."&amp;B$2&amp;B$1&amp;"P"&amp;$A24)*RTD("tos.rtd",,"LAST","."&amp;B$2&amp;B$1&amp;"P"&amp;$A24))/1000000),0),IF($A$2="PREMIUM",IFERROR(IF($X$1="ABS",(100*RTD("tos.rtd",,"VOLUME","."&amp;B$2&amp;B$1&amp;"C"&amp;$A24)*RTD("tos.rtd",,"LAST","."&amp;B$2&amp;B$1&amp;"C"&amp;$A24)+100*RTD("tos.rtd",,"VOLUME","."&amp;B$2&amp;B$1&amp;"P"&amp;$A24)*RTD("tos.rtd",,"LAST","."&amp;B$2&amp;B$1&amp;"P"&amp;$A24))/1000000,(100*RTD("tos.rtd",,"VOLUME","."&amp;B$2&amp;B$1&amp;"C"&amp;$A24)*RTD("tos.rtd",,"LAST","."&amp;B$2&amp;B$1&amp;"C"&amp;$A24)-100*RTD("tos.rtd",,"VOLUME","."&amp;B$2&amp;B$1&amp;"P"&amp;$A24)*RTD("tos.rtd",,"LAST","."&amp;B$2&amp;B$1&amp;"P"&amp;$A24))/1000000),0),IF($A$2="DEX",IFERROR(IF($X$1="ABS",(100*RTD("tos.rtd",,"OPEN_INT","."&amp;B$2&amp;B$1&amp;"C"&amp;$A24)*RTD("tos.rtd",,"DELTA","."&amp;B$2&amp;B$1&amp;"C"&amp;$A24)+100*RTD("tos.rtd",,"OPEN_INT","."&amp;B$2&amp;B$1&amp;"P"&amp;$A24)*RTD("tos.rtd",,"DELTA","."&amp;B$2&amp;B$1&amp;"P"&amp;$A24))/1000,(100*RTD("tos.rtd",,"OPEN_INT","."&amp;B$2&amp;B$1&amp;"C"&amp;$A24)*RTD("tos.rtd",,"DELTA","."&amp;B$2&amp;B$1&amp;"C"&amp;$A24)-100*RTD("tos.rtd",,"OPEN_INT","."&amp;B$2&amp;B$1&amp;"P"&amp;$A24)*RTD("tos.rtd",,"DELTA","."&amp;B$2&amp;B$1&amp;"P"&amp;$A24))/1000),0),IF($A$2="VEX",IFERROR(IF($X$1="ABS",($A$4*$A$4*RTD("tos.rtd",,"VOLUME","."&amp;B$2&amp;B$1&amp;"C"&amp;$A24)*RTD("tos.rtd",,"GAMMA","."&amp;B$2&amp;B$1&amp;"C"&amp;$A24)+$A$4*$A$4*RTD("tos.rtd",,"VOLUME","."&amp;B$2&amp;B$1&amp;"P"&amp;$A24)*RTD("tos.rtd",,"GAMMA","."&amp;B$2&amp;B$1&amp;"P"&amp;$A24))/1000000,($A$4*$A$4*RTD("tos.rtd",,"VOLUME","."&amp;B$2&amp;B$1&amp;"C"&amp;$A24)*RTD("tos.rtd",,"GAMMA","."&amp;B$2&amp;B$1&amp;"C"&amp;$A24)-$A$4*$A$4*RTD("tos.rtd",,"VOLUME","."&amp;B$2&amp;B$1&amp;"P"&amp;$A24)*RTD("tos.rtd",,"GAMMA","."&amp;B$2&amp;B$1&amp;"P"&amp;$A24))/1000000),0),IF($A$2="GEX",IFERROR(IF($X$1="ABS",($A$4*$A$4*RTD("tos.rtd",,"OPEN_INT","."&amp;B$2&amp;B$1&amp;"C"&amp;$A24)*RTD("tos.rtd",,"GAMMA","."&amp;B$2&amp;B$1&amp;"C"&amp;$A24)+$A$4*$A$4*RTD("tos.rtd",,"OPEN_INT","."&amp;B$2&amp;B$1&amp;"P"&amp;$A24)*RTD("tos.rtd",,"GAMMA","."&amp;B$2&amp;B$1&amp;"P"&amp;$A24))/1000000,($A$4*$A$4*RTD("tos.rtd",,"OPEN_INT","."&amp;B$2&amp;B$1&amp;"C"&amp;$A24)*RTD("tos.rtd",,"GAMMA","."&amp;B$2&amp;B$1&amp;"C"&amp;$A24)-$A$4*$A$4*RTD("tos.rtd",,"OPEN_INT","."&amp;B$2&amp;B$1&amp;"P"&amp;$A24)*RTD("tos.rtd",,"GAMMA","."&amp;B$2&amp;B$1&amp;"P"&amp;$A24))/1000000),0),IF($A$2="SKEW",IFERROR(VALUE(IF(RTD("tos.rtd",,"IMPL_VOL","."&amp;B$2&amp;B$1&amp;"P"&amp;$A24)="N/A",0,RTD("tos.rtd",,"IMPL_VOL","."&amp;B$2&amp;B$1&amp;"P"&amp;$A24))),0)-IFERROR(VALUE(IF(RTD("tos.rtd",,"IMPL_VOL","."&amp;B$2&amp;B$1&amp;"C"&amp;$A24)="N/A",0,RTD("tos.rtd",,"IMPL_VOL","."&amp;B$2&amp;B$1&amp;"C"&amp;$A24))),0),IF($A$2="MAXPAIN",IF($A$4&gt;$A24,($A$4-$A24)*IF(RTD("tos.rtd",,"OPEN_INT","."&amp;B$2&amp;B$1&amp;"C"&amp;$A24)="N/A",0,RTD("tos.rtd",,"OPEN_INT","."&amp;B$2&amp;B$1&amp;"C"&amp;$A24)),0)+IF($A$4&lt;$A24,($A$5-$A$4)*IF(RTD("tos.rtd",,"OPEN_INT","."&amp;B$2&amp;B$1&amp;"P"&amp;$A24)="N/A",0,RTD("tos.rtd",,"OPEN_INT","."&amp;B$2&amp;B$1&amp;"P"&amp;$A24)),0),IF($X$1="ABS",IF(RTD("tos.rtd",,$A$2,"."&amp;B$2&amp;B$1&amp;"C"&amp;$A24)="N/A",0,RTD("tos.rtd",,$A$2,"."&amp;B$2&amp;B$1&amp;"C"&amp;$A24))+IF(RTD("tos.rtd",,$A$2,"."&amp;B$2&amp;B$1&amp;"P"&amp;$A24)="N/A",0,RTD("tos.rtd",,$A$2,"."&amp;B$2&amp;B$1&amp;"P"&amp;$A24)),IF(RTD("tos.rtd",,$A$2,"."&amp;B$2&amp;B$1&amp;"C"&amp;$A24)="N/A",0,RTD("tos.rtd",,$A$2,"."&amp;B$2&amp;B$1&amp;"C"&amp;$A24))-IF(RTD("tos.rtd",,$A$2,"."&amp;B$2&amp;B$1&amp;"P"&amp;$A24)="N/A",0,RTD("tos.rtd",,$A$2,"."&amp;B$2&amp;B$1&amp;"P"&amp;$A24))))))))))</f>
        <v>0</v>
      </c>
      <c r="C24" s="14">
        <f ca="1">IF($A$2="PREMIUM_OI",IFERROR(IF($X$1="ABS",(100*RTD("tos.rtd",,"OPEN_INT","."&amp;C$2&amp;C$1&amp;"C"&amp;$A24)*RTD("tos.rtd",,"LAST","."&amp;C$2&amp;C$1&amp;"C"&amp;$A24)+100*RTD("tos.rtd",,"OPEN_INT","."&amp;C$2&amp;C$1&amp;"P"&amp;$A24)*RTD("tos.rtd",,"LAST","."&amp;C$2&amp;C$1&amp;"P"&amp;$A24))/1000000,(100*RTD("tos.rtd",,"OPEN_INT","."&amp;C$2&amp;C$1&amp;"C"&amp;$A24)*RTD("tos.rtd",,"LAST","."&amp;C$2&amp;C$1&amp;"C"&amp;$A24)-100*RTD("tos.rtd",,"OPEN_INT","."&amp;C$2&amp;C$1&amp;"P"&amp;$A24)*RTD("tos.rtd",,"LAST","."&amp;C$2&amp;C$1&amp;"P"&amp;$A24))/1000000),0),IF($A$2="PREMIUM",IFERROR(IF($X$1="ABS",(100*RTD("tos.rtd",,"VOLUME","."&amp;C$2&amp;C$1&amp;"C"&amp;$A24)*RTD("tos.rtd",,"LAST","."&amp;C$2&amp;C$1&amp;"C"&amp;$A24)+100*RTD("tos.rtd",,"VOLUME","."&amp;C$2&amp;C$1&amp;"P"&amp;$A24)*RTD("tos.rtd",,"LAST","."&amp;C$2&amp;C$1&amp;"P"&amp;$A24))/1000000,(100*RTD("tos.rtd",,"VOLUME","."&amp;C$2&amp;C$1&amp;"C"&amp;$A24)*RTD("tos.rtd",,"LAST","."&amp;C$2&amp;C$1&amp;"C"&amp;$A24)-100*RTD("tos.rtd",,"VOLUME","."&amp;C$2&amp;C$1&amp;"P"&amp;$A24)*RTD("tos.rtd",,"LAST","."&amp;C$2&amp;C$1&amp;"P"&amp;$A24))/1000000),0),IF($A$2="DEX",IFERROR(IF($X$1="ABS",(100*RTD("tos.rtd",,"OPEN_INT","."&amp;C$2&amp;C$1&amp;"C"&amp;$A24)*RTD("tos.rtd",,"DELTA","."&amp;C$2&amp;C$1&amp;"C"&amp;$A24)+100*RTD("tos.rtd",,"OPEN_INT","."&amp;C$2&amp;C$1&amp;"P"&amp;$A24)*RTD("tos.rtd",,"DELTA","."&amp;C$2&amp;C$1&amp;"P"&amp;$A24))/1000,(100*RTD("tos.rtd",,"OPEN_INT","."&amp;C$2&amp;C$1&amp;"C"&amp;$A24)*RTD("tos.rtd",,"DELTA","."&amp;C$2&amp;C$1&amp;"C"&amp;$A24)-100*RTD("tos.rtd",,"OPEN_INT","."&amp;C$2&amp;C$1&amp;"P"&amp;$A24)*RTD("tos.rtd",,"DELTA","."&amp;C$2&amp;C$1&amp;"P"&amp;$A24))/1000),0),IF($A$2="VEX",IFERROR(IF($X$1="ABS",($A$4*$A$4*RTD("tos.rtd",,"VOLUME","."&amp;C$2&amp;C$1&amp;"C"&amp;$A24)*RTD("tos.rtd",,"GAMMA","."&amp;C$2&amp;C$1&amp;"C"&amp;$A24)+$A$4*$A$4*RTD("tos.rtd",,"VOLUME","."&amp;C$2&amp;C$1&amp;"P"&amp;$A24)*RTD("tos.rtd",,"GAMMA","."&amp;C$2&amp;C$1&amp;"P"&amp;$A24))/1000000,($A$4*$A$4*RTD("tos.rtd",,"VOLUME","."&amp;C$2&amp;C$1&amp;"C"&amp;$A24)*RTD("tos.rtd",,"GAMMA","."&amp;C$2&amp;C$1&amp;"C"&amp;$A24)-$A$4*$A$4*RTD("tos.rtd",,"VOLUME","."&amp;C$2&amp;C$1&amp;"P"&amp;$A24)*RTD("tos.rtd",,"GAMMA","."&amp;C$2&amp;C$1&amp;"P"&amp;$A24))/1000000),0),IF($A$2="GEX",IFERROR(IF($X$1="ABS",($A$4*$A$4*RTD("tos.rtd",,"OPEN_INT","."&amp;C$2&amp;C$1&amp;"C"&amp;$A24)*RTD("tos.rtd",,"GAMMA","."&amp;C$2&amp;C$1&amp;"C"&amp;$A24)+$A$4*$A$4*RTD("tos.rtd",,"OPEN_INT","."&amp;C$2&amp;C$1&amp;"P"&amp;$A24)*RTD("tos.rtd",,"GAMMA","."&amp;C$2&amp;C$1&amp;"P"&amp;$A24))/1000000,($A$4*$A$4*RTD("tos.rtd",,"OPEN_INT","."&amp;C$2&amp;C$1&amp;"C"&amp;$A24)*RTD("tos.rtd",,"GAMMA","."&amp;C$2&amp;C$1&amp;"C"&amp;$A24)-$A$4*$A$4*RTD("tos.rtd",,"OPEN_INT","."&amp;C$2&amp;C$1&amp;"P"&amp;$A24)*RTD("tos.rtd",,"GAMMA","."&amp;C$2&amp;C$1&amp;"P"&amp;$A24))/1000000),0),IF($A$2="SKEW",IFERROR(VALUE(IF(RTD("tos.rtd",,"IMPL_VOL","."&amp;C$2&amp;C$1&amp;"P"&amp;$A24)="N/A",0,RTD("tos.rtd",,"IMPL_VOL","."&amp;C$2&amp;C$1&amp;"P"&amp;$A24))),0)-IFERROR(VALUE(IF(RTD("tos.rtd",,"IMPL_VOL","."&amp;C$2&amp;C$1&amp;"C"&amp;$A24)="N/A",0,RTD("tos.rtd",,"IMPL_VOL","."&amp;C$2&amp;C$1&amp;"C"&amp;$A24))),0),IF($A$2="MAXPAIN",IF($A$4&gt;$A24,($A$4-$A24)*IF(RTD("tos.rtd",,"OPEN_INT","."&amp;C$2&amp;C$1&amp;"C"&amp;$A24)="N/A",0,RTD("tos.rtd",,"OPEN_INT","."&amp;C$2&amp;C$1&amp;"C"&amp;$A24)),0)+IF($A$4&lt;$A24,($A$5-$A$4)*IF(RTD("tos.rtd",,"OPEN_INT","."&amp;C$2&amp;C$1&amp;"P"&amp;$A24)="N/A",0,RTD("tos.rtd",,"OPEN_INT","."&amp;C$2&amp;C$1&amp;"P"&amp;$A24)),0),IF($X$1="ABS",IF(RTD("tos.rtd",,$A$2,"."&amp;C$2&amp;C$1&amp;"C"&amp;$A24)="N/A",0,RTD("tos.rtd",,$A$2,"."&amp;C$2&amp;C$1&amp;"C"&amp;$A24))+IF(RTD("tos.rtd",,$A$2,"."&amp;C$2&amp;C$1&amp;"P"&amp;$A24)="N/A",0,RTD("tos.rtd",,$A$2,"."&amp;C$2&amp;C$1&amp;"P"&amp;$A24)),IF(RTD("tos.rtd",,$A$2,"."&amp;C$2&amp;C$1&amp;"C"&amp;$A24)="N/A",0,RTD("tos.rtd",,$A$2,"."&amp;C$2&amp;C$1&amp;"C"&amp;$A24))-IF(RTD("tos.rtd",,$A$2,"."&amp;C$2&amp;C$1&amp;"P"&amp;$A24)="N/A",0,RTD("tos.rtd",,$A$2,"."&amp;C$2&amp;C$1&amp;"P"&amp;$A24))))))))))</f>
        <v>0</v>
      </c>
      <c r="D24" s="12">
        <f ca="1">IF($A$2="PREMIUM_OI",IFERROR(IF($X$1="ABS",(100*RTD("tos.rtd",,"OPEN_INT","."&amp;D$2&amp;D$1&amp;"C"&amp;$A24)*RTD("tos.rtd",,"LAST","."&amp;D$2&amp;D$1&amp;"C"&amp;$A24)+100*RTD("tos.rtd",,"OPEN_INT","."&amp;D$2&amp;D$1&amp;"P"&amp;$A24)*RTD("tos.rtd",,"LAST","."&amp;D$2&amp;D$1&amp;"P"&amp;$A24))/1000000,(100*RTD("tos.rtd",,"OPEN_INT","."&amp;D$2&amp;D$1&amp;"C"&amp;$A24)*RTD("tos.rtd",,"LAST","."&amp;D$2&amp;D$1&amp;"C"&amp;$A24)-100*RTD("tos.rtd",,"OPEN_INT","."&amp;D$2&amp;D$1&amp;"P"&amp;$A24)*RTD("tos.rtd",,"LAST","."&amp;D$2&amp;D$1&amp;"P"&amp;$A24))/1000000),0),IF($A$2="PREMIUM",IFERROR(IF($X$1="ABS",(100*RTD("tos.rtd",,"VOLUME","."&amp;D$2&amp;D$1&amp;"C"&amp;$A24)*RTD("tos.rtd",,"LAST","."&amp;D$2&amp;D$1&amp;"C"&amp;$A24)+100*RTD("tos.rtd",,"VOLUME","."&amp;D$2&amp;D$1&amp;"P"&amp;$A24)*RTD("tos.rtd",,"LAST","."&amp;D$2&amp;D$1&amp;"P"&amp;$A24))/1000000,(100*RTD("tos.rtd",,"VOLUME","."&amp;D$2&amp;D$1&amp;"C"&amp;$A24)*RTD("tos.rtd",,"LAST","."&amp;D$2&amp;D$1&amp;"C"&amp;$A24)-100*RTD("tos.rtd",,"VOLUME","."&amp;D$2&amp;D$1&amp;"P"&amp;$A24)*RTD("tos.rtd",,"LAST","."&amp;D$2&amp;D$1&amp;"P"&amp;$A24))/1000000),0),IF($A$2="DEX",IFERROR(IF($X$1="ABS",(100*RTD("tos.rtd",,"OPEN_INT","."&amp;D$2&amp;D$1&amp;"C"&amp;$A24)*RTD("tos.rtd",,"DELTA","."&amp;D$2&amp;D$1&amp;"C"&amp;$A24)+100*RTD("tos.rtd",,"OPEN_INT","."&amp;D$2&amp;D$1&amp;"P"&amp;$A24)*RTD("tos.rtd",,"DELTA","."&amp;D$2&amp;D$1&amp;"P"&amp;$A24))/1000,(100*RTD("tos.rtd",,"OPEN_INT","."&amp;D$2&amp;D$1&amp;"C"&amp;$A24)*RTD("tos.rtd",,"DELTA","."&amp;D$2&amp;D$1&amp;"C"&amp;$A24)-100*RTD("tos.rtd",,"OPEN_INT","."&amp;D$2&amp;D$1&amp;"P"&amp;$A24)*RTD("tos.rtd",,"DELTA","."&amp;D$2&amp;D$1&amp;"P"&amp;$A24))/1000),0),IF($A$2="VEX",IFERROR(IF($X$1="ABS",($A$4*$A$4*RTD("tos.rtd",,"VOLUME","."&amp;D$2&amp;D$1&amp;"C"&amp;$A24)*RTD("tos.rtd",,"GAMMA","."&amp;D$2&amp;D$1&amp;"C"&amp;$A24)+$A$4*$A$4*RTD("tos.rtd",,"VOLUME","."&amp;D$2&amp;D$1&amp;"P"&amp;$A24)*RTD("tos.rtd",,"GAMMA","."&amp;D$2&amp;D$1&amp;"P"&amp;$A24))/1000000,($A$4*$A$4*RTD("tos.rtd",,"VOLUME","."&amp;D$2&amp;D$1&amp;"C"&amp;$A24)*RTD("tos.rtd",,"GAMMA","."&amp;D$2&amp;D$1&amp;"C"&amp;$A24)-$A$4*$A$4*RTD("tos.rtd",,"VOLUME","."&amp;D$2&amp;D$1&amp;"P"&amp;$A24)*RTD("tos.rtd",,"GAMMA","."&amp;D$2&amp;D$1&amp;"P"&amp;$A24))/1000000),0),IF($A$2="GEX",IFERROR(IF($X$1="ABS",($A$4*$A$4*RTD("tos.rtd",,"OPEN_INT","."&amp;D$2&amp;D$1&amp;"C"&amp;$A24)*RTD("tos.rtd",,"GAMMA","."&amp;D$2&amp;D$1&amp;"C"&amp;$A24)+$A$4*$A$4*RTD("tos.rtd",,"OPEN_INT","."&amp;D$2&amp;D$1&amp;"P"&amp;$A24)*RTD("tos.rtd",,"GAMMA","."&amp;D$2&amp;D$1&amp;"P"&amp;$A24))/1000000,($A$4*$A$4*RTD("tos.rtd",,"OPEN_INT","."&amp;D$2&amp;D$1&amp;"C"&amp;$A24)*RTD("tos.rtd",,"GAMMA","."&amp;D$2&amp;D$1&amp;"C"&amp;$A24)-$A$4*$A$4*RTD("tos.rtd",,"OPEN_INT","."&amp;D$2&amp;D$1&amp;"P"&amp;$A24)*RTD("tos.rtd",,"GAMMA","."&amp;D$2&amp;D$1&amp;"P"&amp;$A24))/1000000),0),IF($A$2="SKEW",IFERROR(VALUE(IF(RTD("tos.rtd",,"IMPL_VOL","."&amp;D$2&amp;D$1&amp;"P"&amp;$A24)="N/A",0,RTD("tos.rtd",,"IMPL_VOL","."&amp;D$2&amp;D$1&amp;"P"&amp;$A24))),0)-IFERROR(VALUE(IF(RTD("tos.rtd",,"IMPL_VOL","."&amp;D$2&amp;D$1&amp;"C"&amp;$A24)="N/A",0,RTD("tos.rtd",,"IMPL_VOL","."&amp;D$2&amp;D$1&amp;"C"&amp;$A24))),0),IF($A$2="MAXPAIN",IF($A$4&gt;$A24,($A$4-$A24)*IF(RTD("tos.rtd",,"OPEN_INT","."&amp;D$2&amp;D$1&amp;"C"&amp;$A24)="N/A",0,RTD("tos.rtd",,"OPEN_INT","."&amp;D$2&amp;D$1&amp;"C"&amp;$A24)),0)+IF($A$4&lt;$A24,($A$5-$A$4)*IF(RTD("tos.rtd",,"OPEN_INT","."&amp;D$2&amp;D$1&amp;"P"&amp;$A24)="N/A",0,RTD("tos.rtd",,"OPEN_INT","."&amp;D$2&amp;D$1&amp;"P"&amp;$A24)),0),IF($X$1="ABS",IF(RTD("tos.rtd",,$A$2,"."&amp;D$2&amp;D$1&amp;"C"&amp;$A24)="N/A",0,RTD("tos.rtd",,$A$2,"."&amp;D$2&amp;D$1&amp;"C"&amp;$A24))+IF(RTD("tos.rtd",,$A$2,"."&amp;D$2&amp;D$1&amp;"P"&amp;$A24)="N/A",0,RTD("tos.rtd",,$A$2,"."&amp;D$2&amp;D$1&amp;"P"&amp;$A24)),IF(RTD("tos.rtd",,$A$2,"."&amp;D$2&amp;D$1&amp;"C"&amp;$A24)="N/A",0,RTD("tos.rtd",,$A$2,"."&amp;D$2&amp;D$1&amp;"C"&amp;$A24))-IF(RTD("tos.rtd",,$A$2,"."&amp;D$2&amp;D$1&amp;"P"&amp;$A24)="N/A",0,RTD("tos.rtd",,$A$2,"."&amp;D$2&amp;D$1&amp;"P"&amp;$A24))))))))))</f>
        <v>0</v>
      </c>
      <c r="E24" s="12">
        <f ca="1">IF($A$2="PREMIUM_OI",IFERROR(IF($X$1="ABS",(100*RTD("tos.rtd",,"OPEN_INT","."&amp;E$2&amp;E$1&amp;"C"&amp;$A24)*RTD("tos.rtd",,"LAST","."&amp;E$2&amp;E$1&amp;"C"&amp;$A24)+100*RTD("tos.rtd",,"OPEN_INT","."&amp;E$2&amp;E$1&amp;"P"&amp;$A24)*RTD("tos.rtd",,"LAST","."&amp;E$2&amp;E$1&amp;"P"&amp;$A24))/1000000,(100*RTD("tos.rtd",,"OPEN_INT","."&amp;E$2&amp;E$1&amp;"C"&amp;$A24)*RTD("tos.rtd",,"LAST","."&amp;E$2&amp;E$1&amp;"C"&amp;$A24)-100*RTD("tos.rtd",,"OPEN_INT","."&amp;E$2&amp;E$1&amp;"P"&amp;$A24)*RTD("tos.rtd",,"LAST","."&amp;E$2&amp;E$1&amp;"P"&amp;$A24))/1000000),0),IF($A$2="PREMIUM",IFERROR(IF($X$1="ABS",(100*RTD("tos.rtd",,"VOLUME","."&amp;E$2&amp;E$1&amp;"C"&amp;$A24)*RTD("tos.rtd",,"LAST","."&amp;E$2&amp;E$1&amp;"C"&amp;$A24)+100*RTD("tos.rtd",,"VOLUME","."&amp;E$2&amp;E$1&amp;"P"&amp;$A24)*RTD("tos.rtd",,"LAST","."&amp;E$2&amp;E$1&amp;"P"&amp;$A24))/1000000,(100*RTD("tos.rtd",,"VOLUME","."&amp;E$2&amp;E$1&amp;"C"&amp;$A24)*RTD("tos.rtd",,"LAST","."&amp;E$2&amp;E$1&amp;"C"&amp;$A24)-100*RTD("tos.rtd",,"VOLUME","."&amp;E$2&amp;E$1&amp;"P"&amp;$A24)*RTD("tos.rtd",,"LAST","."&amp;E$2&amp;E$1&amp;"P"&amp;$A24))/1000000),0),IF($A$2="DEX",IFERROR(IF($X$1="ABS",(100*RTD("tos.rtd",,"OPEN_INT","."&amp;E$2&amp;E$1&amp;"C"&amp;$A24)*RTD("tos.rtd",,"DELTA","."&amp;E$2&amp;E$1&amp;"C"&amp;$A24)+100*RTD("tos.rtd",,"OPEN_INT","."&amp;E$2&amp;E$1&amp;"P"&amp;$A24)*RTD("tos.rtd",,"DELTA","."&amp;E$2&amp;E$1&amp;"P"&amp;$A24))/1000,(100*RTD("tos.rtd",,"OPEN_INT","."&amp;E$2&amp;E$1&amp;"C"&amp;$A24)*RTD("tos.rtd",,"DELTA","."&amp;E$2&amp;E$1&amp;"C"&amp;$A24)-100*RTD("tos.rtd",,"OPEN_INT","."&amp;E$2&amp;E$1&amp;"P"&amp;$A24)*RTD("tos.rtd",,"DELTA","."&amp;E$2&amp;E$1&amp;"P"&amp;$A24))/1000),0),IF($A$2="VEX",IFERROR(IF($X$1="ABS",($A$4*$A$4*RTD("tos.rtd",,"VOLUME","."&amp;E$2&amp;E$1&amp;"C"&amp;$A24)*RTD("tos.rtd",,"GAMMA","."&amp;E$2&amp;E$1&amp;"C"&amp;$A24)+$A$4*$A$4*RTD("tos.rtd",,"VOLUME","."&amp;E$2&amp;E$1&amp;"P"&amp;$A24)*RTD("tos.rtd",,"GAMMA","."&amp;E$2&amp;E$1&amp;"P"&amp;$A24))/1000000,($A$4*$A$4*RTD("tos.rtd",,"VOLUME","."&amp;E$2&amp;E$1&amp;"C"&amp;$A24)*RTD("tos.rtd",,"GAMMA","."&amp;E$2&amp;E$1&amp;"C"&amp;$A24)-$A$4*$A$4*RTD("tos.rtd",,"VOLUME","."&amp;E$2&amp;E$1&amp;"P"&amp;$A24)*RTD("tos.rtd",,"GAMMA","."&amp;E$2&amp;E$1&amp;"P"&amp;$A24))/1000000),0),IF($A$2="GEX",IFERROR(IF($X$1="ABS",($A$4*$A$4*RTD("tos.rtd",,"OPEN_INT","."&amp;E$2&amp;E$1&amp;"C"&amp;$A24)*RTD("tos.rtd",,"GAMMA","."&amp;E$2&amp;E$1&amp;"C"&amp;$A24)+$A$4*$A$4*RTD("tos.rtd",,"OPEN_INT","."&amp;E$2&amp;E$1&amp;"P"&amp;$A24)*RTD("tos.rtd",,"GAMMA","."&amp;E$2&amp;E$1&amp;"P"&amp;$A24))/1000000,($A$4*$A$4*RTD("tos.rtd",,"OPEN_INT","."&amp;E$2&amp;E$1&amp;"C"&amp;$A24)*RTD("tos.rtd",,"GAMMA","."&amp;E$2&amp;E$1&amp;"C"&amp;$A24)-$A$4*$A$4*RTD("tos.rtd",,"OPEN_INT","."&amp;E$2&amp;E$1&amp;"P"&amp;$A24)*RTD("tos.rtd",,"GAMMA","."&amp;E$2&amp;E$1&amp;"P"&amp;$A24))/1000000),0),IF($A$2="SKEW",IFERROR(VALUE(IF(RTD("tos.rtd",,"IMPL_VOL","."&amp;E$2&amp;E$1&amp;"P"&amp;$A24)="N/A",0,RTD("tos.rtd",,"IMPL_VOL","."&amp;E$2&amp;E$1&amp;"P"&amp;$A24))),0)-IFERROR(VALUE(IF(RTD("tos.rtd",,"IMPL_VOL","."&amp;E$2&amp;E$1&amp;"C"&amp;$A24)="N/A",0,RTD("tos.rtd",,"IMPL_VOL","."&amp;E$2&amp;E$1&amp;"C"&amp;$A24))),0),IF($A$2="MAXPAIN",IF($A$4&gt;$A24,($A$4-$A24)*IF(RTD("tos.rtd",,"OPEN_INT","."&amp;E$2&amp;E$1&amp;"C"&amp;$A24)="N/A",0,RTD("tos.rtd",,"OPEN_INT","."&amp;E$2&amp;E$1&amp;"C"&amp;$A24)),0)+IF($A$4&lt;$A24,($A$5-$A$4)*IF(RTD("tos.rtd",,"OPEN_INT","."&amp;E$2&amp;E$1&amp;"P"&amp;$A24)="N/A",0,RTD("tos.rtd",,"OPEN_INT","."&amp;E$2&amp;E$1&amp;"P"&amp;$A24)),0),IF($X$1="ABS",IF(RTD("tos.rtd",,$A$2,"."&amp;E$2&amp;E$1&amp;"C"&amp;$A24)="N/A",0,RTD("tos.rtd",,$A$2,"."&amp;E$2&amp;E$1&amp;"C"&amp;$A24))+IF(RTD("tos.rtd",,$A$2,"."&amp;E$2&amp;E$1&amp;"P"&amp;$A24)="N/A",0,RTD("tos.rtd",,$A$2,"."&amp;E$2&amp;E$1&amp;"P"&amp;$A24)),IF(RTD("tos.rtd",,$A$2,"."&amp;E$2&amp;E$1&amp;"C"&amp;$A24)="N/A",0,RTD("tos.rtd",,$A$2,"."&amp;E$2&amp;E$1&amp;"C"&amp;$A24))-IF(RTD("tos.rtd",,$A$2,"."&amp;E$2&amp;E$1&amp;"P"&amp;$A24)="N/A",0,RTD("tos.rtd",,$A$2,"."&amp;E$2&amp;E$1&amp;"P"&amp;$A24))))))))))</f>
        <v>0</v>
      </c>
      <c r="F24" s="12">
        <f ca="1">IF($A$2="PREMIUM_OI",IFERROR(IF($X$1="ABS",(100*RTD("tos.rtd",,"OPEN_INT","."&amp;F$2&amp;F$1&amp;"C"&amp;$A24)*RTD("tos.rtd",,"LAST","."&amp;F$2&amp;F$1&amp;"C"&amp;$A24)+100*RTD("tos.rtd",,"OPEN_INT","."&amp;F$2&amp;F$1&amp;"P"&amp;$A24)*RTD("tos.rtd",,"LAST","."&amp;F$2&amp;F$1&amp;"P"&amp;$A24))/1000000,(100*RTD("tos.rtd",,"OPEN_INT","."&amp;F$2&amp;F$1&amp;"C"&amp;$A24)*RTD("tos.rtd",,"LAST","."&amp;F$2&amp;F$1&amp;"C"&amp;$A24)-100*RTD("tos.rtd",,"OPEN_INT","."&amp;F$2&amp;F$1&amp;"P"&amp;$A24)*RTD("tos.rtd",,"LAST","."&amp;F$2&amp;F$1&amp;"P"&amp;$A24))/1000000),0),IF($A$2="PREMIUM",IFERROR(IF($X$1="ABS",(100*RTD("tos.rtd",,"VOLUME","."&amp;F$2&amp;F$1&amp;"C"&amp;$A24)*RTD("tos.rtd",,"LAST","."&amp;F$2&amp;F$1&amp;"C"&amp;$A24)+100*RTD("tos.rtd",,"VOLUME","."&amp;F$2&amp;F$1&amp;"P"&amp;$A24)*RTD("tos.rtd",,"LAST","."&amp;F$2&amp;F$1&amp;"P"&amp;$A24))/1000000,(100*RTD("tos.rtd",,"VOLUME","."&amp;F$2&amp;F$1&amp;"C"&amp;$A24)*RTD("tos.rtd",,"LAST","."&amp;F$2&amp;F$1&amp;"C"&amp;$A24)-100*RTD("tos.rtd",,"VOLUME","."&amp;F$2&amp;F$1&amp;"P"&amp;$A24)*RTD("tos.rtd",,"LAST","."&amp;F$2&amp;F$1&amp;"P"&amp;$A24))/1000000),0),IF($A$2="DEX",IFERROR(IF($X$1="ABS",(100*RTD("tos.rtd",,"OPEN_INT","."&amp;F$2&amp;F$1&amp;"C"&amp;$A24)*RTD("tos.rtd",,"DELTA","."&amp;F$2&amp;F$1&amp;"C"&amp;$A24)+100*RTD("tos.rtd",,"OPEN_INT","."&amp;F$2&amp;F$1&amp;"P"&amp;$A24)*RTD("tos.rtd",,"DELTA","."&amp;F$2&amp;F$1&amp;"P"&amp;$A24))/1000,(100*RTD("tos.rtd",,"OPEN_INT","."&amp;F$2&amp;F$1&amp;"C"&amp;$A24)*RTD("tos.rtd",,"DELTA","."&amp;F$2&amp;F$1&amp;"C"&amp;$A24)-100*RTD("tos.rtd",,"OPEN_INT","."&amp;F$2&amp;F$1&amp;"P"&amp;$A24)*RTD("tos.rtd",,"DELTA","."&amp;F$2&amp;F$1&amp;"P"&amp;$A24))/1000),0),IF($A$2="VEX",IFERROR(IF($X$1="ABS",($A$4*$A$4*RTD("tos.rtd",,"VOLUME","."&amp;F$2&amp;F$1&amp;"C"&amp;$A24)*RTD("tos.rtd",,"GAMMA","."&amp;F$2&amp;F$1&amp;"C"&amp;$A24)+$A$4*$A$4*RTD("tos.rtd",,"VOLUME","."&amp;F$2&amp;F$1&amp;"P"&amp;$A24)*RTD("tos.rtd",,"GAMMA","."&amp;F$2&amp;F$1&amp;"P"&amp;$A24))/1000000,($A$4*$A$4*RTD("tos.rtd",,"VOLUME","."&amp;F$2&amp;F$1&amp;"C"&amp;$A24)*RTD("tos.rtd",,"GAMMA","."&amp;F$2&amp;F$1&amp;"C"&amp;$A24)-$A$4*$A$4*RTD("tos.rtd",,"VOLUME","."&amp;F$2&amp;F$1&amp;"P"&amp;$A24)*RTD("tos.rtd",,"GAMMA","."&amp;F$2&amp;F$1&amp;"P"&amp;$A24))/1000000),0),IF($A$2="GEX",IFERROR(IF($X$1="ABS",($A$4*$A$4*RTD("tos.rtd",,"OPEN_INT","."&amp;F$2&amp;F$1&amp;"C"&amp;$A24)*RTD("tos.rtd",,"GAMMA","."&amp;F$2&amp;F$1&amp;"C"&amp;$A24)+$A$4*$A$4*RTD("tos.rtd",,"OPEN_INT","."&amp;F$2&amp;F$1&amp;"P"&amp;$A24)*RTD("tos.rtd",,"GAMMA","."&amp;F$2&amp;F$1&amp;"P"&amp;$A24))/1000000,($A$4*$A$4*RTD("tos.rtd",,"OPEN_INT","."&amp;F$2&amp;F$1&amp;"C"&amp;$A24)*RTD("tos.rtd",,"GAMMA","."&amp;F$2&amp;F$1&amp;"C"&amp;$A24)-$A$4*$A$4*RTD("tos.rtd",,"OPEN_INT","."&amp;F$2&amp;F$1&amp;"P"&amp;$A24)*RTD("tos.rtd",,"GAMMA","."&amp;F$2&amp;F$1&amp;"P"&amp;$A24))/1000000),0),IF($A$2="SKEW",IFERROR(VALUE(IF(RTD("tos.rtd",,"IMPL_VOL","."&amp;F$2&amp;F$1&amp;"P"&amp;$A24)="N/A",0,RTD("tos.rtd",,"IMPL_VOL","."&amp;F$2&amp;F$1&amp;"P"&amp;$A24))),0)-IFERROR(VALUE(IF(RTD("tos.rtd",,"IMPL_VOL","."&amp;F$2&amp;F$1&amp;"C"&amp;$A24)="N/A",0,RTD("tos.rtd",,"IMPL_VOL","."&amp;F$2&amp;F$1&amp;"C"&amp;$A24))),0),IF($A$2="MAXPAIN",IF($A$4&gt;$A24,($A$4-$A24)*IF(RTD("tos.rtd",,"OPEN_INT","."&amp;F$2&amp;F$1&amp;"C"&amp;$A24)="N/A",0,RTD("tos.rtd",,"OPEN_INT","."&amp;F$2&amp;F$1&amp;"C"&amp;$A24)),0)+IF($A$4&lt;$A24,($A$5-$A$4)*IF(RTD("tos.rtd",,"OPEN_INT","."&amp;F$2&amp;F$1&amp;"P"&amp;$A24)="N/A",0,RTD("tos.rtd",,"OPEN_INT","."&amp;F$2&amp;F$1&amp;"P"&amp;$A24)),0),IF($X$1="ABS",IF(RTD("tos.rtd",,$A$2,"."&amp;F$2&amp;F$1&amp;"C"&amp;$A24)="N/A",0,RTD("tos.rtd",,$A$2,"."&amp;F$2&amp;F$1&amp;"C"&amp;$A24))+IF(RTD("tos.rtd",,$A$2,"."&amp;F$2&amp;F$1&amp;"P"&amp;$A24)="N/A",0,RTD("tos.rtd",,$A$2,"."&amp;F$2&amp;F$1&amp;"P"&amp;$A24)),IF(RTD("tos.rtd",,$A$2,"."&amp;F$2&amp;F$1&amp;"C"&amp;$A24)="N/A",0,RTD("tos.rtd",,$A$2,"."&amp;F$2&amp;F$1&amp;"C"&amp;$A24))-IF(RTD("tos.rtd",,$A$2,"."&amp;F$2&amp;F$1&amp;"P"&amp;$A24)="N/A",0,RTD("tos.rtd",,$A$2,"."&amp;F$2&amp;F$1&amp;"P"&amp;$A24))))))))))</f>
        <v>0</v>
      </c>
      <c r="G24" s="54">
        <f ca="1">IF($A$2="PREMIUM_OI",IFERROR(IF($X$1="ABS",(100*RTD("tos.rtd",,"OPEN_INT","."&amp;G$2&amp;G$1&amp;"C"&amp;$A24)*RTD("tos.rtd",,"LAST","."&amp;G$2&amp;G$1&amp;"C"&amp;$A24)+100*RTD("tos.rtd",,"OPEN_INT","."&amp;G$2&amp;G$1&amp;"P"&amp;$A24)*RTD("tos.rtd",,"LAST","."&amp;G$2&amp;G$1&amp;"P"&amp;$A24))/1000000,(100*RTD("tos.rtd",,"OPEN_INT","."&amp;G$2&amp;G$1&amp;"C"&amp;$A24)*RTD("tos.rtd",,"LAST","."&amp;G$2&amp;G$1&amp;"C"&amp;$A24)-100*RTD("tos.rtd",,"OPEN_INT","."&amp;G$2&amp;G$1&amp;"P"&amp;$A24)*RTD("tos.rtd",,"LAST","."&amp;G$2&amp;G$1&amp;"P"&amp;$A24))/1000000),0),IF($A$2="PREMIUM",IFERROR(IF($X$1="ABS",(100*RTD("tos.rtd",,"VOLUME","."&amp;G$2&amp;G$1&amp;"C"&amp;$A24)*RTD("tos.rtd",,"LAST","."&amp;G$2&amp;G$1&amp;"C"&amp;$A24)+100*RTD("tos.rtd",,"VOLUME","."&amp;G$2&amp;G$1&amp;"P"&amp;$A24)*RTD("tos.rtd",,"LAST","."&amp;G$2&amp;G$1&amp;"P"&amp;$A24))/1000000,(100*RTD("tos.rtd",,"VOLUME","."&amp;G$2&amp;G$1&amp;"C"&amp;$A24)*RTD("tos.rtd",,"LAST","."&amp;G$2&amp;G$1&amp;"C"&amp;$A24)-100*RTD("tos.rtd",,"VOLUME","."&amp;G$2&amp;G$1&amp;"P"&amp;$A24)*RTD("tos.rtd",,"LAST","."&amp;G$2&amp;G$1&amp;"P"&amp;$A24))/1000000),0),IF($A$2="DEX",IFERROR(IF($X$1="ABS",(100*RTD("tos.rtd",,"OPEN_INT","."&amp;G$2&amp;G$1&amp;"C"&amp;$A24)*RTD("tos.rtd",,"DELTA","."&amp;G$2&amp;G$1&amp;"C"&amp;$A24)+100*RTD("tos.rtd",,"OPEN_INT","."&amp;G$2&amp;G$1&amp;"P"&amp;$A24)*RTD("tos.rtd",,"DELTA","."&amp;G$2&amp;G$1&amp;"P"&amp;$A24))/1000,(100*RTD("tos.rtd",,"OPEN_INT","."&amp;G$2&amp;G$1&amp;"C"&amp;$A24)*RTD("tos.rtd",,"DELTA","."&amp;G$2&amp;G$1&amp;"C"&amp;$A24)-100*RTD("tos.rtd",,"OPEN_INT","."&amp;G$2&amp;G$1&amp;"P"&amp;$A24)*RTD("tos.rtd",,"DELTA","."&amp;G$2&amp;G$1&amp;"P"&amp;$A24))/1000),0),IF($A$2="VEX",IFERROR(IF($X$1="ABS",($A$4*$A$4*RTD("tos.rtd",,"VOLUME","."&amp;G$2&amp;G$1&amp;"C"&amp;$A24)*RTD("tos.rtd",,"GAMMA","."&amp;G$2&amp;G$1&amp;"C"&amp;$A24)+$A$4*$A$4*RTD("tos.rtd",,"VOLUME","."&amp;G$2&amp;G$1&amp;"P"&amp;$A24)*RTD("tos.rtd",,"GAMMA","."&amp;G$2&amp;G$1&amp;"P"&amp;$A24))/1000000,($A$4*$A$4*RTD("tos.rtd",,"VOLUME","."&amp;G$2&amp;G$1&amp;"C"&amp;$A24)*RTD("tos.rtd",,"GAMMA","."&amp;G$2&amp;G$1&amp;"C"&amp;$A24)-$A$4*$A$4*RTD("tos.rtd",,"VOLUME","."&amp;G$2&amp;G$1&amp;"P"&amp;$A24)*RTD("tos.rtd",,"GAMMA","."&amp;G$2&amp;G$1&amp;"P"&amp;$A24))/1000000),0),IF($A$2="GEX",IFERROR(IF($X$1="ABS",($A$4*$A$4*RTD("tos.rtd",,"OPEN_INT","."&amp;G$2&amp;G$1&amp;"C"&amp;$A24)*RTD("tos.rtd",,"GAMMA","."&amp;G$2&amp;G$1&amp;"C"&amp;$A24)+$A$4*$A$4*RTD("tos.rtd",,"OPEN_INT","."&amp;G$2&amp;G$1&amp;"P"&amp;$A24)*RTD("tos.rtd",,"GAMMA","."&amp;G$2&amp;G$1&amp;"P"&amp;$A24))/1000000,($A$4*$A$4*RTD("tos.rtd",,"OPEN_INT","."&amp;G$2&amp;G$1&amp;"C"&amp;$A24)*RTD("tos.rtd",,"GAMMA","."&amp;G$2&amp;G$1&amp;"C"&amp;$A24)-$A$4*$A$4*RTD("tos.rtd",,"OPEN_INT","."&amp;G$2&amp;G$1&amp;"P"&amp;$A24)*RTD("tos.rtd",,"GAMMA","."&amp;G$2&amp;G$1&amp;"P"&amp;$A24))/1000000),0),IF($A$2="SKEW",IFERROR(VALUE(IF(RTD("tos.rtd",,"IMPL_VOL","."&amp;G$2&amp;G$1&amp;"P"&amp;$A24)="N/A",0,RTD("tos.rtd",,"IMPL_VOL","."&amp;G$2&amp;G$1&amp;"P"&amp;$A24))),0)-IFERROR(VALUE(IF(RTD("tos.rtd",,"IMPL_VOL","."&amp;G$2&amp;G$1&amp;"C"&amp;$A24)="N/A",0,RTD("tos.rtd",,"IMPL_VOL","."&amp;G$2&amp;G$1&amp;"C"&amp;$A24))),0),IF($A$2="MAXPAIN",IF($A$4&gt;$A24,($A$4-$A24)*IF(RTD("tos.rtd",,"OPEN_INT","."&amp;G$2&amp;G$1&amp;"C"&amp;$A24)="N/A",0,RTD("tos.rtd",,"OPEN_INT","."&amp;G$2&amp;G$1&amp;"C"&amp;$A24)),0)+IF($A$4&lt;$A24,($A$5-$A$4)*IF(RTD("tos.rtd",,"OPEN_INT","."&amp;G$2&amp;G$1&amp;"P"&amp;$A24)="N/A",0,RTD("tos.rtd",,"OPEN_INT","."&amp;G$2&amp;G$1&amp;"P"&amp;$A24)),0),IF($X$1="ABS",IF(RTD("tos.rtd",,$A$2,"."&amp;G$2&amp;G$1&amp;"C"&amp;$A24)="N/A",0,RTD("tos.rtd",,$A$2,"."&amp;G$2&amp;G$1&amp;"C"&amp;$A24))+IF(RTD("tos.rtd",,$A$2,"."&amp;G$2&amp;G$1&amp;"P"&amp;$A24)="N/A",0,RTD("tos.rtd",,$A$2,"."&amp;G$2&amp;G$1&amp;"P"&amp;$A24)),IF(RTD("tos.rtd",,$A$2,"."&amp;G$2&amp;G$1&amp;"C"&amp;$A24)="N/A",0,RTD("tos.rtd",,$A$2,"."&amp;G$2&amp;G$1&amp;"C"&amp;$A24))-IF(RTD("tos.rtd",,$A$2,"."&amp;G$2&amp;G$1&amp;"P"&amp;$A24)="N/A",0,RTD("tos.rtd",,$A$2,"."&amp;G$2&amp;G$1&amp;"P"&amp;$A24))))))))))</f>
        <v>0</v>
      </c>
      <c r="H24" s="14">
        <f ca="1">IF($A$2="PREMIUM_OI",IFERROR(IF($X$1="ABS",(100*RTD("tos.rtd",,"OPEN_INT","."&amp;H$2&amp;H$1&amp;"C"&amp;$A24)*RTD("tos.rtd",,"LAST","."&amp;H$2&amp;H$1&amp;"C"&amp;$A24)+100*RTD("tos.rtd",,"OPEN_INT","."&amp;H$2&amp;H$1&amp;"P"&amp;$A24)*RTD("tos.rtd",,"LAST","."&amp;H$2&amp;H$1&amp;"P"&amp;$A24))/1000000,(100*RTD("tos.rtd",,"OPEN_INT","."&amp;H$2&amp;H$1&amp;"C"&amp;$A24)*RTD("tos.rtd",,"LAST","."&amp;H$2&amp;H$1&amp;"C"&amp;$A24)-100*RTD("tos.rtd",,"OPEN_INT","."&amp;H$2&amp;H$1&amp;"P"&amp;$A24)*RTD("tos.rtd",,"LAST","."&amp;H$2&amp;H$1&amp;"P"&amp;$A24))/1000000),0),IF($A$2="PREMIUM",IFERROR(IF($X$1="ABS",(100*RTD("tos.rtd",,"VOLUME","."&amp;H$2&amp;H$1&amp;"C"&amp;$A24)*RTD("tos.rtd",,"LAST","."&amp;H$2&amp;H$1&amp;"C"&amp;$A24)+100*RTD("tos.rtd",,"VOLUME","."&amp;H$2&amp;H$1&amp;"P"&amp;$A24)*RTD("tos.rtd",,"LAST","."&amp;H$2&amp;H$1&amp;"P"&amp;$A24))/1000000,(100*RTD("tos.rtd",,"VOLUME","."&amp;H$2&amp;H$1&amp;"C"&amp;$A24)*RTD("tos.rtd",,"LAST","."&amp;H$2&amp;H$1&amp;"C"&amp;$A24)-100*RTD("tos.rtd",,"VOLUME","."&amp;H$2&amp;H$1&amp;"P"&amp;$A24)*RTD("tos.rtd",,"LAST","."&amp;H$2&amp;H$1&amp;"P"&amp;$A24))/1000000),0),IF($A$2="DEX",IFERROR(IF($X$1="ABS",(100*RTD("tos.rtd",,"OPEN_INT","."&amp;H$2&amp;H$1&amp;"C"&amp;$A24)*RTD("tos.rtd",,"DELTA","."&amp;H$2&amp;H$1&amp;"C"&amp;$A24)+100*RTD("tos.rtd",,"OPEN_INT","."&amp;H$2&amp;H$1&amp;"P"&amp;$A24)*RTD("tos.rtd",,"DELTA","."&amp;H$2&amp;H$1&amp;"P"&amp;$A24))/1000,(100*RTD("tos.rtd",,"OPEN_INT","."&amp;H$2&amp;H$1&amp;"C"&amp;$A24)*RTD("tos.rtd",,"DELTA","."&amp;H$2&amp;H$1&amp;"C"&amp;$A24)-100*RTD("tos.rtd",,"OPEN_INT","."&amp;H$2&amp;H$1&amp;"P"&amp;$A24)*RTD("tos.rtd",,"DELTA","."&amp;H$2&amp;H$1&amp;"P"&amp;$A24))/1000),0),IF($A$2="VEX",IFERROR(IF($X$1="ABS",($A$4*$A$4*RTD("tos.rtd",,"VOLUME","."&amp;H$2&amp;H$1&amp;"C"&amp;$A24)*RTD("tos.rtd",,"GAMMA","."&amp;H$2&amp;H$1&amp;"C"&amp;$A24)+$A$4*$A$4*RTD("tos.rtd",,"VOLUME","."&amp;H$2&amp;H$1&amp;"P"&amp;$A24)*RTD("tos.rtd",,"GAMMA","."&amp;H$2&amp;H$1&amp;"P"&amp;$A24))/1000000,($A$4*$A$4*RTD("tos.rtd",,"VOLUME","."&amp;H$2&amp;H$1&amp;"C"&amp;$A24)*RTD("tos.rtd",,"GAMMA","."&amp;H$2&amp;H$1&amp;"C"&amp;$A24)-$A$4*$A$4*RTD("tos.rtd",,"VOLUME","."&amp;H$2&amp;H$1&amp;"P"&amp;$A24)*RTD("tos.rtd",,"GAMMA","."&amp;H$2&amp;H$1&amp;"P"&amp;$A24))/1000000),0),IF($A$2="GEX",IFERROR(IF($X$1="ABS",($A$4*$A$4*RTD("tos.rtd",,"OPEN_INT","."&amp;H$2&amp;H$1&amp;"C"&amp;$A24)*RTD("tos.rtd",,"GAMMA","."&amp;H$2&amp;H$1&amp;"C"&amp;$A24)+$A$4*$A$4*RTD("tos.rtd",,"OPEN_INT","."&amp;H$2&amp;H$1&amp;"P"&amp;$A24)*RTD("tos.rtd",,"GAMMA","."&amp;H$2&amp;H$1&amp;"P"&amp;$A24))/1000000,($A$4*$A$4*RTD("tos.rtd",,"OPEN_INT","."&amp;H$2&amp;H$1&amp;"C"&amp;$A24)*RTD("tos.rtd",,"GAMMA","."&amp;H$2&amp;H$1&amp;"C"&amp;$A24)-$A$4*$A$4*RTD("tos.rtd",,"OPEN_INT","."&amp;H$2&amp;H$1&amp;"P"&amp;$A24)*RTD("tos.rtd",,"GAMMA","."&amp;H$2&amp;H$1&amp;"P"&amp;$A24))/1000000),0),IF($A$2="SKEW",IFERROR(VALUE(IF(RTD("tos.rtd",,"IMPL_VOL","."&amp;H$2&amp;H$1&amp;"P"&amp;$A24)="N/A",0,RTD("tos.rtd",,"IMPL_VOL","."&amp;H$2&amp;H$1&amp;"P"&amp;$A24))),0)-IFERROR(VALUE(IF(RTD("tos.rtd",,"IMPL_VOL","."&amp;H$2&amp;H$1&amp;"C"&amp;$A24)="N/A",0,RTD("tos.rtd",,"IMPL_VOL","."&amp;H$2&amp;H$1&amp;"C"&amp;$A24))),0),IF($A$2="MAXPAIN",IF($A$4&gt;$A24,($A$4-$A24)*IF(RTD("tos.rtd",,"OPEN_INT","."&amp;H$2&amp;H$1&amp;"C"&amp;$A24)="N/A",0,RTD("tos.rtd",,"OPEN_INT","."&amp;H$2&amp;H$1&amp;"C"&amp;$A24)),0)+IF($A$4&lt;$A24,($A$5-$A$4)*IF(RTD("tos.rtd",,"OPEN_INT","."&amp;H$2&amp;H$1&amp;"P"&amp;$A24)="N/A",0,RTD("tos.rtd",,"OPEN_INT","."&amp;H$2&amp;H$1&amp;"P"&amp;$A24)),0),IF($X$1="ABS",IF(RTD("tos.rtd",,$A$2,"."&amp;H$2&amp;H$1&amp;"C"&amp;$A24)="N/A",0,RTD("tos.rtd",,$A$2,"."&amp;H$2&amp;H$1&amp;"C"&amp;$A24))+IF(RTD("tos.rtd",,$A$2,"."&amp;H$2&amp;H$1&amp;"P"&amp;$A24)="N/A",0,RTD("tos.rtd",,$A$2,"."&amp;H$2&amp;H$1&amp;"P"&amp;$A24)),IF(RTD("tos.rtd",,$A$2,"."&amp;H$2&amp;H$1&amp;"C"&amp;$A24)="N/A",0,RTD("tos.rtd",,$A$2,"."&amp;H$2&amp;H$1&amp;"C"&amp;$A24))-IF(RTD("tos.rtd",,$A$2,"."&amp;H$2&amp;H$1&amp;"P"&amp;$A24)="N/A",0,RTD("tos.rtd",,$A$2,"."&amp;H$2&amp;H$1&amp;"P"&amp;$A24))))))))))</f>
        <v>0</v>
      </c>
      <c r="I24" s="12">
        <f ca="1">IF($A$2="PREMIUM_OI",IFERROR(IF($X$1="ABS",(100*RTD("tos.rtd",,"OPEN_INT","."&amp;I$2&amp;I$1&amp;"C"&amp;$A24)*RTD("tos.rtd",,"LAST","."&amp;I$2&amp;I$1&amp;"C"&amp;$A24)+100*RTD("tos.rtd",,"OPEN_INT","."&amp;I$2&amp;I$1&amp;"P"&amp;$A24)*RTD("tos.rtd",,"LAST","."&amp;I$2&amp;I$1&amp;"P"&amp;$A24))/1000000,(100*RTD("tos.rtd",,"OPEN_INT","."&amp;I$2&amp;I$1&amp;"C"&amp;$A24)*RTD("tos.rtd",,"LAST","."&amp;I$2&amp;I$1&amp;"C"&amp;$A24)-100*RTD("tos.rtd",,"OPEN_INT","."&amp;I$2&amp;I$1&amp;"P"&amp;$A24)*RTD("tos.rtd",,"LAST","."&amp;I$2&amp;I$1&amp;"P"&amp;$A24))/1000000),0),IF($A$2="PREMIUM",IFERROR(IF($X$1="ABS",(100*RTD("tos.rtd",,"VOLUME","."&amp;I$2&amp;I$1&amp;"C"&amp;$A24)*RTD("tos.rtd",,"LAST","."&amp;I$2&amp;I$1&amp;"C"&amp;$A24)+100*RTD("tos.rtd",,"VOLUME","."&amp;I$2&amp;I$1&amp;"P"&amp;$A24)*RTD("tos.rtd",,"LAST","."&amp;I$2&amp;I$1&amp;"P"&amp;$A24))/1000000,(100*RTD("tos.rtd",,"VOLUME","."&amp;I$2&amp;I$1&amp;"C"&amp;$A24)*RTD("tos.rtd",,"LAST","."&amp;I$2&amp;I$1&amp;"C"&amp;$A24)-100*RTD("tos.rtd",,"VOLUME","."&amp;I$2&amp;I$1&amp;"P"&amp;$A24)*RTD("tos.rtd",,"LAST","."&amp;I$2&amp;I$1&amp;"P"&amp;$A24))/1000000),0),IF($A$2="DEX",IFERROR(IF($X$1="ABS",(100*RTD("tos.rtd",,"OPEN_INT","."&amp;I$2&amp;I$1&amp;"C"&amp;$A24)*RTD("tos.rtd",,"DELTA","."&amp;I$2&amp;I$1&amp;"C"&amp;$A24)+100*RTD("tos.rtd",,"OPEN_INT","."&amp;I$2&amp;I$1&amp;"P"&amp;$A24)*RTD("tos.rtd",,"DELTA","."&amp;I$2&amp;I$1&amp;"P"&amp;$A24))/1000,(100*RTD("tos.rtd",,"OPEN_INT","."&amp;I$2&amp;I$1&amp;"C"&amp;$A24)*RTD("tos.rtd",,"DELTA","."&amp;I$2&amp;I$1&amp;"C"&amp;$A24)-100*RTD("tos.rtd",,"OPEN_INT","."&amp;I$2&amp;I$1&amp;"P"&amp;$A24)*RTD("tos.rtd",,"DELTA","."&amp;I$2&amp;I$1&amp;"P"&amp;$A24))/1000),0),IF($A$2="VEX",IFERROR(IF($X$1="ABS",($A$4*$A$4*RTD("tos.rtd",,"VOLUME","."&amp;I$2&amp;I$1&amp;"C"&amp;$A24)*RTD("tos.rtd",,"GAMMA","."&amp;I$2&amp;I$1&amp;"C"&amp;$A24)+$A$4*$A$4*RTD("tos.rtd",,"VOLUME","."&amp;I$2&amp;I$1&amp;"P"&amp;$A24)*RTD("tos.rtd",,"GAMMA","."&amp;I$2&amp;I$1&amp;"P"&amp;$A24))/1000000,($A$4*$A$4*RTD("tos.rtd",,"VOLUME","."&amp;I$2&amp;I$1&amp;"C"&amp;$A24)*RTD("tos.rtd",,"GAMMA","."&amp;I$2&amp;I$1&amp;"C"&amp;$A24)-$A$4*$A$4*RTD("tos.rtd",,"VOLUME","."&amp;I$2&amp;I$1&amp;"P"&amp;$A24)*RTD("tos.rtd",,"GAMMA","."&amp;I$2&amp;I$1&amp;"P"&amp;$A24))/1000000),0),IF($A$2="GEX",IFERROR(IF($X$1="ABS",($A$4*$A$4*RTD("tos.rtd",,"OPEN_INT","."&amp;I$2&amp;I$1&amp;"C"&amp;$A24)*RTD("tos.rtd",,"GAMMA","."&amp;I$2&amp;I$1&amp;"C"&amp;$A24)+$A$4*$A$4*RTD("tos.rtd",,"OPEN_INT","."&amp;I$2&amp;I$1&amp;"P"&amp;$A24)*RTD("tos.rtd",,"GAMMA","."&amp;I$2&amp;I$1&amp;"P"&amp;$A24))/1000000,($A$4*$A$4*RTD("tos.rtd",,"OPEN_INT","."&amp;I$2&amp;I$1&amp;"C"&amp;$A24)*RTD("tos.rtd",,"GAMMA","."&amp;I$2&amp;I$1&amp;"C"&amp;$A24)-$A$4*$A$4*RTD("tos.rtd",,"OPEN_INT","."&amp;I$2&amp;I$1&amp;"P"&amp;$A24)*RTD("tos.rtd",,"GAMMA","."&amp;I$2&amp;I$1&amp;"P"&amp;$A24))/1000000),0),IF($A$2="SKEW",IFERROR(VALUE(IF(RTD("tos.rtd",,"IMPL_VOL","."&amp;I$2&amp;I$1&amp;"P"&amp;$A24)="N/A",0,RTD("tos.rtd",,"IMPL_VOL","."&amp;I$2&amp;I$1&amp;"P"&amp;$A24))),0)-IFERROR(VALUE(IF(RTD("tos.rtd",,"IMPL_VOL","."&amp;I$2&amp;I$1&amp;"C"&amp;$A24)="N/A",0,RTD("tos.rtd",,"IMPL_VOL","."&amp;I$2&amp;I$1&amp;"C"&amp;$A24))),0),IF($A$2="MAXPAIN",IF($A$4&gt;$A24,($A$4-$A24)*IF(RTD("tos.rtd",,"OPEN_INT","."&amp;I$2&amp;I$1&amp;"C"&amp;$A24)="N/A",0,RTD("tos.rtd",,"OPEN_INT","."&amp;I$2&amp;I$1&amp;"C"&amp;$A24)),0)+IF($A$4&lt;$A24,($A$5-$A$4)*IF(RTD("tos.rtd",,"OPEN_INT","."&amp;I$2&amp;I$1&amp;"P"&amp;$A24)="N/A",0,RTD("tos.rtd",,"OPEN_INT","."&amp;I$2&amp;I$1&amp;"P"&amp;$A24)),0),IF($X$1="ABS",IF(RTD("tos.rtd",,$A$2,"."&amp;I$2&amp;I$1&amp;"C"&amp;$A24)="N/A",0,RTD("tos.rtd",,$A$2,"."&amp;I$2&amp;I$1&amp;"C"&amp;$A24))+IF(RTD("tos.rtd",,$A$2,"."&amp;I$2&amp;I$1&amp;"P"&amp;$A24)="N/A",0,RTD("tos.rtd",,$A$2,"."&amp;I$2&amp;I$1&amp;"P"&amp;$A24)),IF(RTD("tos.rtd",,$A$2,"."&amp;I$2&amp;I$1&amp;"C"&amp;$A24)="N/A",0,RTD("tos.rtd",,$A$2,"."&amp;I$2&amp;I$1&amp;"C"&amp;$A24))-IF(RTD("tos.rtd",,$A$2,"."&amp;I$2&amp;I$1&amp;"P"&amp;$A24)="N/A",0,RTD("tos.rtd",,$A$2,"."&amp;I$2&amp;I$1&amp;"P"&amp;$A24))))))))))</f>
        <v>0</v>
      </c>
      <c r="J24" s="12">
        <f ca="1">IF($A$2="PREMIUM_OI",IFERROR(IF($X$1="ABS",(100*RTD("tos.rtd",,"OPEN_INT","."&amp;J$2&amp;J$1&amp;"C"&amp;$A24)*RTD("tos.rtd",,"LAST","."&amp;J$2&amp;J$1&amp;"C"&amp;$A24)+100*RTD("tos.rtd",,"OPEN_INT","."&amp;J$2&amp;J$1&amp;"P"&amp;$A24)*RTD("tos.rtd",,"LAST","."&amp;J$2&amp;J$1&amp;"P"&amp;$A24))/1000000,(100*RTD("tos.rtd",,"OPEN_INT","."&amp;J$2&amp;J$1&amp;"C"&amp;$A24)*RTD("tos.rtd",,"LAST","."&amp;J$2&amp;J$1&amp;"C"&amp;$A24)-100*RTD("tos.rtd",,"OPEN_INT","."&amp;J$2&amp;J$1&amp;"P"&amp;$A24)*RTD("tos.rtd",,"LAST","."&amp;J$2&amp;J$1&amp;"P"&amp;$A24))/1000000),0),IF($A$2="PREMIUM",IFERROR(IF($X$1="ABS",(100*RTD("tos.rtd",,"VOLUME","."&amp;J$2&amp;J$1&amp;"C"&amp;$A24)*RTD("tos.rtd",,"LAST","."&amp;J$2&amp;J$1&amp;"C"&amp;$A24)+100*RTD("tos.rtd",,"VOLUME","."&amp;J$2&amp;J$1&amp;"P"&amp;$A24)*RTD("tos.rtd",,"LAST","."&amp;J$2&amp;J$1&amp;"P"&amp;$A24))/1000000,(100*RTD("tos.rtd",,"VOLUME","."&amp;J$2&amp;J$1&amp;"C"&amp;$A24)*RTD("tos.rtd",,"LAST","."&amp;J$2&amp;J$1&amp;"C"&amp;$A24)-100*RTD("tos.rtd",,"VOLUME","."&amp;J$2&amp;J$1&amp;"P"&amp;$A24)*RTD("tos.rtd",,"LAST","."&amp;J$2&amp;J$1&amp;"P"&amp;$A24))/1000000),0),IF($A$2="DEX",IFERROR(IF($X$1="ABS",(100*RTD("tos.rtd",,"OPEN_INT","."&amp;J$2&amp;J$1&amp;"C"&amp;$A24)*RTD("tos.rtd",,"DELTA","."&amp;J$2&amp;J$1&amp;"C"&amp;$A24)+100*RTD("tos.rtd",,"OPEN_INT","."&amp;J$2&amp;J$1&amp;"P"&amp;$A24)*RTD("tos.rtd",,"DELTA","."&amp;J$2&amp;J$1&amp;"P"&amp;$A24))/1000,(100*RTD("tos.rtd",,"OPEN_INT","."&amp;J$2&amp;J$1&amp;"C"&amp;$A24)*RTD("tos.rtd",,"DELTA","."&amp;J$2&amp;J$1&amp;"C"&amp;$A24)-100*RTD("tos.rtd",,"OPEN_INT","."&amp;J$2&amp;J$1&amp;"P"&amp;$A24)*RTD("tos.rtd",,"DELTA","."&amp;J$2&amp;J$1&amp;"P"&amp;$A24))/1000),0),IF($A$2="VEX",IFERROR(IF($X$1="ABS",($A$4*$A$4*RTD("tos.rtd",,"VOLUME","."&amp;J$2&amp;J$1&amp;"C"&amp;$A24)*RTD("tos.rtd",,"GAMMA","."&amp;J$2&amp;J$1&amp;"C"&amp;$A24)+$A$4*$A$4*RTD("tos.rtd",,"VOLUME","."&amp;J$2&amp;J$1&amp;"P"&amp;$A24)*RTD("tos.rtd",,"GAMMA","."&amp;J$2&amp;J$1&amp;"P"&amp;$A24))/1000000,($A$4*$A$4*RTD("tos.rtd",,"VOLUME","."&amp;J$2&amp;J$1&amp;"C"&amp;$A24)*RTD("tos.rtd",,"GAMMA","."&amp;J$2&amp;J$1&amp;"C"&amp;$A24)-$A$4*$A$4*RTD("tos.rtd",,"VOLUME","."&amp;J$2&amp;J$1&amp;"P"&amp;$A24)*RTD("tos.rtd",,"GAMMA","."&amp;J$2&amp;J$1&amp;"P"&amp;$A24))/1000000),0),IF($A$2="GEX",IFERROR(IF($X$1="ABS",($A$4*$A$4*RTD("tos.rtd",,"OPEN_INT","."&amp;J$2&amp;J$1&amp;"C"&amp;$A24)*RTD("tos.rtd",,"GAMMA","."&amp;J$2&amp;J$1&amp;"C"&amp;$A24)+$A$4*$A$4*RTD("tos.rtd",,"OPEN_INT","."&amp;J$2&amp;J$1&amp;"P"&amp;$A24)*RTD("tos.rtd",,"GAMMA","."&amp;J$2&amp;J$1&amp;"P"&amp;$A24))/1000000,($A$4*$A$4*RTD("tos.rtd",,"OPEN_INT","."&amp;J$2&amp;J$1&amp;"C"&amp;$A24)*RTD("tos.rtd",,"GAMMA","."&amp;J$2&amp;J$1&amp;"C"&amp;$A24)-$A$4*$A$4*RTD("tos.rtd",,"OPEN_INT","."&amp;J$2&amp;J$1&amp;"P"&amp;$A24)*RTD("tos.rtd",,"GAMMA","."&amp;J$2&amp;J$1&amp;"P"&amp;$A24))/1000000),0),IF($A$2="SKEW",IFERROR(VALUE(IF(RTD("tos.rtd",,"IMPL_VOL","."&amp;J$2&amp;J$1&amp;"P"&amp;$A24)="N/A",0,RTD("tos.rtd",,"IMPL_VOL","."&amp;J$2&amp;J$1&amp;"P"&amp;$A24))),0)-IFERROR(VALUE(IF(RTD("tos.rtd",,"IMPL_VOL","."&amp;J$2&amp;J$1&amp;"C"&amp;$A24)="N/A",0,RTD("tos.rtd",,"IMPL_VOL","."&amp;J$2&amp;J$1&amp;"C"&amp;$A24))),0),IF($A$2="MAXPAIN",IF($A$4&gt;$A24,($A$4-$A24)*IF(RTD("tos.rtd",,"OPEN_INT","."&amp;J$2&amp;J$1&amp;"C"&amp;$A24)="N/A",0,RTD("tos.rtd",,"OPEN_INT","."&amp;J$2&amp;J$1&amp;"C"&amp;$A24)),0)+IF($A$4&lt;$A24,($A$5-$A$4)*IF(RTD("tos.rtd",,"OPEN_INT","."&amp;J$2&amp;J$1&amp;"P"&amp;$A24)="N/A",0,RTD("tos.rtd",,"OPEN_INT","."&amp;J$2&amp;J$1&amp;"P"&amp;$A24)),0),IF($X$1="ABS",IF(RTD("tos.rtd",,$A$2,"."&amp;J$2&amp;J$1&amp;"C"&amp;$A24)="N/A",0,RTD("tos.rtd",,$A$2,"."&amp;J$2&amp;J$1&amp;"C"&amp;$A24))+IF(RTD("tos.rtd",,$A$2,"."&amp;J$2&amp;J$1&amp;"P"&amp;$A24)="N/A",0,RTD("tos.rtd",,$A$2,"."&amp;J$2&amp;J$1&amp;"P"&amp;$A24)),IF(RTD("tos.rtd",,$A$2,"."&amp;J$2&amp;J$1&amp;"C"&amp;$A24)="N/A",0,RTD("tos.rtd",,$A$2,"."&amp;J$2&amp;J$1&amp;"C"&amp;$A24))-IF(RTD("tos.rtd",,$A$2,"."&amp;J$2&amp;J$1&amp;"P"&amp;$A24)="N/A",0,RTD("tos.rtd",,$A$2,"."&amp;J$2&amp;J$1&amp;"P"&amp;$A24))))))))))</f>
        <v>0</v>
      </c>
      <c r="K24" s="12">
        <f ca="1">IF($A$2="PREMIUM_OI",IFERROR(IF($X$1="ABS",(100*RTD("tos.rtd",,"OPEN_INT","."&amp;K$2&amp;K$1&amp;"C"&amp;$A24)*RTD("tos.rtd",,"LAST","."&amp;K$2&amp;K$1&amp;"C"&amp;$A24)+100*RTD("tos.rtd",,"OPEN_INT","."&amp;K$2&amp;K$1&amp;"P"&amp;$A24)*RTD("tos.rtd",,"LAST","."&amp;K$2&amp;K$1&amp;"P"&amp;$A24))/1000000,(100*RTD("tos.rtd",,"OPEN_INT","."&amp;K$2&amp;K$1&amp;"C"&amp;$A24)*RTD("tos.rtd",,"LAST","."&amp;K$2&amp;K$1&amp;"C"&amp;$A24)-100*RTD("tos.rtd",,"OPEN_INT","."&amp;K$2&amp;K$1&amp;"P"&amp;$A24)*RTD("tos.rtd",,"LAST","."&amp;K$2&amp;K$1&amp;"P"&amp;$A24))/1000000),0),IF($A$2="PREMIUM",IFERROR(IF($X$1="ABS",(100*RTD("tos.rtd",,"VOLUME","."&amp;K$2&amp;K$1&amp;"C"&amp;$A24)*RTD("tos.rtd",,"LAST","."&amp;K$2&amp;K$1&amp;"C"&amp;$A24)+100*RTD("tos.rtd",,"VOLUME","."&amp;K$2&amp;K$1&amp;"P"&amp;$A24)*RTD("tos.rtd",,"LAST","."&amp;K$2&amp;K$1&amp;"P"&amp;$A24))/1000000,(100*RTD("tos.rtd",,"VOLUME","."&amp;K$2&amp;K$1&amp;"C"&amp;$A24)*RTD("tos.rtd",,"LAST","."&amp;K$2&amp;K$1&amp;"C"&amp;$A24)-100*RTD("tos.rtd",,"VOLUME","."&amp;K$2&amp;K$1&amp;"P"&amp;$A24)*RTD("tos.rtd",,"LAST","."&amp;K$2&amp;K$1&amp;"P"&amp;$A24))/1000000),0),IF($A$2="DEX",IFERROR(IF($X$1="ABS",(100*RTD("tos.rtd",,"OPEN_INT","."&amp;K$2&amp;K$1&amp;"C"&amp;$A24)*RTD("tos.rtd",,"DELTA","."&amp;K$2&amp;K$1&amp;"C"&amp;$A24)+100*RTD("tos.rtd",,"OPEN_INT","."&amp;K$2&amp;K$1&amp;"P"&amp;$A24)*RTD("tos.rtd",,"DELTA","."&amp;K$2&amp;K$1&amp;"P"&amp;$A24))/1000,(100*RTD("tos.rtd",,"OPEN_INT","."&amp;K$2&amp;K$1&amp;"C"&amp;$A24)*RTD("tos.rtd",,"DELTA","."&amp;K$2&amp;K$1&amp;"C"&amp;$A24)-100*RTD("tos.rtd",,"OPEN_INT","."&amp;K$2&amp;K$1&amp;"P"&amp;$A24)*RTD("tos.rtd",,"DELTA","."&amp;K$2&amp;K$1&amp;"P"&amp;$A24))/1000),0),IF($A$2="VEX",IFERROR(IF($X$1="ABS",($A$4*$A$4*RTD("tos.rtd",,"VOLUME","."&amp;K$2&amp;K$1&amp;"C"&amp;$A24)*RTD("tos.rtd",,"GAMMA","."&amp;K$2&amp;K$1&amp;"C"&amp;$A24)+$A$4*$A$4*RTD("tos.rtd",,"VOLUME","."&amp;K$2&amp;K$1&amp;"P"&amp;$A24)*RTD("tos.rtd",,"GAMMA","."&amp;K$2&amp;K$1&amp;"P"&amp;$A24))/1000000,($A$4*$A$4*RTD("tos.rtd",,"VOLUME","."&amp;K$2&amp;K$1&amp;"C"&amp;$A24)*RTD("tos.rtd",,"GAMMA","."&amp;K$2&amp;K$1&amp;"C"&amp;$A24)-$A$4*$A$4*RTD("tos.rtd",,"VOLUME","."&amp;K$2&amp;K$1&amp;"P"&amp;$A24)*RTD("tos.rtd",,"GAMMA","."&amp;K$2&amp;K$1&amp;"P"&amp;$A24))/1000000),0),IF($A$2="GEX",IFERROR(IF($X$1="ABS",($A$4*$A$4*RTD("tos.rtd",,"OPEN_INT","."&amp;K$2&amp;K$1&amp;"C"&amp;$A24)*RTD("tos.rtd",,"GAMMA","."&amp;K$2&amp;K$1&amp;"C"&amp;$A24)+$A$4*$A$4*RTD("tos.rtd",,"OPEN_INT","."&amp;K$2&amp;K$1&amp;"P"&amp;$A24)*RTD("tos.rtd",,"GAMMA","."&amp;K$2&amp;K$1&amp;"P"&amp;$A24))/1000000,($A$4*$A$4*RTD("tos.rtd",,"OPEN_INT","."&amp;K$2&amp;K$1&amp;"C"&amp;$A24)*RTD("tos.rtd",,"GAMMA","."&amp;K$2&amp;K$1&amp;"C"&amp;$A24)-$A$4*$A$4*RTD("tos.rtd",,"OPEN_INT","."&amp;K$2&amp;K$1&amp;"P"&amp;$A24)*RTD("tos.rtd",,"GAMMA","."&amp;K$2&amp;K$1&amp;"P"&amp;$A24))/1000000),0),IF($A$2="SKEW",IFERROR(VALUE(IF(RTD("tos.rtd",,"IMPL_VOL","."&amp;K$2&amp;K$1&amp;"P"&amp;$A24)="N/A",0,RTD("tos.rtd",,"IMPL_VOL","."&amp;K$2&amp;K$1&amp;"P"&amp;$A24))),0)-IFERROR(VALUE(IF(RTD("tos.rtd",,"IMPL_VOL","."&amp;K$2&amp;K$1&amp;"C"&amp;$A24)="N/A",0,RTD("tos.rtd",,"IMPL_VOL","."&amp;K$2&amp;K$1&amp;"C"&amp;$A24))),0),IF($A$2="MAXPAIN",IF($A$4&gt;$A24,($A$4-$A24)*IF(RTD("tos.rtd",,"OPEN_INT","."&amp;K$2&amp;K$1&amp;"C"&amp;$A24)="N/A",0,RTD("tos.rtd",,"OPEN_INT","."&amp;K$2&amp;K$1&amp;"C"&amp;$A24)),0)+IF($A$4&lt;$A24,($A$5-$A$4)*IF(RTD("tos.rtd",,"OPEN_INT","."&amp;K$2&amp;K$1&amp;"P"&amp;$A24)="N/A",0,RTD("tos.rtd",,"OPEN_INT","."&amp;K$2&amp;K$1&amp;"P"&amp;$A24)),0),IF($X$1="ABS",IF(RTD("tos.rtd",,$A$2,"."&amp;K$2&amp;K$1&amp;"C"&amp;$A24)="N/A",0,RTD("tos.rtd",,$A$2,"."&amp;K$2&amp;K$1&amp;"C"&amp;$A24))+IF(RTD("tos.rtd",,$A$2,"."&amp;K$2&amp;K$1&amp;"P"&amp;$A24)="N/A",0,RTD("tos.rtd",,$A$2,"."&amp;K$2&amp;K$1&amp;"P"&amp;$A24)),IF(RTD("tos.rtd",,$A$2,"."&amp;K$2&amp;K$1&amp;"C"&amp;$A24)="N/A",0,RTD("tos.rtd",,$A$2,"."&amp;K$2&amp;K$1&amp;"C"&amp;$A24))-IF(RTD("tos.rtd",,$A$2,"."&amp;K$2&amp;K$1&amp;"P"&amp;$A24)="N/A",0,RTD("tos.rtd",,$A$2,"."&amp;K$2&amp;K$1&amp;"P"&amp;$A24))))))))))</f>
        <v>0</v>
      </c>
      <c r="L24" s="54">
        <f ca="1">IF($A$2="PREMIUM_OI",IFERROR(IF($X$1="ABS",(100*RTD("tos.rtd",,"OPEN_INT","."&amp;L$2&amp;L$1&amp;"C"&amp;$A24)*RTD("tos.rtd",,"LAST","."&amp;L$2&amp;L$1&amp;"C"&amp;$A24)+100*RTD("tos.rtd",,"OPEN_INT","."&amp;L$2&amp;L$1&amp;"P"&amp;$A24)*RTD("tos.rtd",,"LAST","."&amp;L$2&amp;L$1&amp;"P"&amp;$A24))/1000000,(100*RTD("tos.rtd",,"OPEN_INT","."&amp;L$2&amp;L$1&amp;"C"&amp;$A24)*RTD("tos.rtd",,"LAST","."&amp;L$2&amp;L$1&amp;"C"&amp;$A24)-100*RTD("tos.rtd",,"OPEN_INT","."&amp;L$2&amp;L$1&amp;"P"&amp;$A24)*RTD("tos.rtd",,"LAST","."&amp;L$2&amp;L$1&amp;"P"&amp;$A24))/1000000),0),IF($A$2="PREMIUM",IFERROR(IF($X$1="ABS",(100*RTD("tos.rtd",,"VOLUME","."&amp;L$2&amp;L$1&amp;"C"&amp;$A24)*RTD("tos.rtd",,"LAST","."&amp;L$2&amp;L$1&amp;"C"&amp;$A24)+100*RTD("tos.rtd",,"VOLUME","."&amp;L$2&amp;L$1&amp;"P"&amp;$A24)*RTD("tos.rtd",,"LAST","."&amp;L$2&amp;L$1&amp;"P"&amp;$A24))/1000000,(100*RTD("tos.rtd",,"VOLUME","."&amp;L$2&amp;L$1&amp;"C"&amp;$A24)*RTD("tos.rtd",,"LAST","."&amp;L$2&amp;L$1&amp;"C"&amp;$A24)-100*RTD("tos.rtd",,"VOLUME","."&amp;L$2&amp;L$1&amp;"P"&amp;$A24)*RTD("tos.rtd",,"LAST","."&amp;L$2&amp;L$1&amp;"P"&amp;$A24))/1000000),0),IF($A$2="DEX",IFERROR(IF($X$1="ABS",(100*RTD("tos.rtd",,"OPEN_INT","."&amp;L$2&amp;L$1&amp;"C"&amp;$A24)*RTD("tos.rtd",,"DELTA","."&amp;L$2&amp;L$1&amp;"C"&amp;$A24)+100*RTD("tos.rtd",,"OPEN_INT","."&amp;L$2&amp;L$1&amp;"P"&amp;$A24)*RTD("tos.rtd",,"DELTA","."&amp;L$2&amp;L$1&amp;"P"&amp;$A24))/1000,(100*RTD("tos.rtd",,"OPEN_INT","."&amp;L$2&amp;L$1&amp;"C"&amp;$A24)*RTD("tos.rtd",,"DELTA","."&amp;L$2&amp;L$1&amp;"C"&amp;$A24)-100*RTD("tos.rtd",,"OPEN_INT","."&amp;L$2&amp;L$1&amp;"P"&amp;$A24)*RTD("tos.rtd",,"DELTA","."&amp;L$2&amp;L$1&amp;"P"&amp;$A24))/1000),0),IF($A$2="VEX",IFERROR(IF($X$1="ABS",($A$4*$A$4*RTD("tos.rtd",,"VOLUME","."&amp;L$2&amp;L$1&amp;"C"&amp;$A24)*RTD("tos.rtd",,"GAMMA","."&amp;L$2&amp;L$1&amp;"C"&amp;$A24)+$A$4*$A$4*RTD("tos.rtd",,"VOLUME","."&amp;L$2&amp;L$1&amp;"P"&amp;$A24)*RTD("tos.rtd",,"GAMMA","."&amp;L$2&amp;L$1&amp;"P"&amp;$A24))/1000000,($A$4*$A$4*RTD("tos.rtd",,"VOLUME","."&amp;L$2&amp;L$1&amp;"C"&amp;$A24)*RTD("tos.rtd",,"GAMMA","."&amp;L$2&amp;L$1&amp;"C"&amp;$A24)-$A$4*$A$4*RTD("tos.rtd",,"VOLUME","."&amp;L$2&amp;L$1&amp;"P"&amp;$A24)*RTD("tos.rtd",,"GAMMA","."&amp;L$2&amp;L$1&amp;"P"&amp;$A24))/1000000),0),IF($A$2="GEX",IFERROR(IF($X$1="ABS",($A$4*$A$4*RTD("tos.rtd",,"OPEN_INT","."&amp;L$2&amp;L$1&amp;"C"&amp;$A24)*RTD("tos.rtd",,"GAMMA","."&amp;L$2&amp;L$1&amp;"C"&amp;$A24)+$A$4*$A$4*RTD("tos.rtd",,"OPEN_INT","."&amp;L$2&amp;L$1&amp;"P"&amp;$A24)*RTD("tos.rtd",,"GAMMA","."&amp;L$2&amp;L$1&amp;"P"&amp;$A24))/1000000,($A$4*$A$4*RTD("tos.rtd",,"OPEN_INT","."&amp;L$2&amp;L$1&amp;"C"&amp;$A24)*RTD("tos.rtd",,"GAMMA","."&amp;L$2&amp;L$1&amp;"C"&amp;$A24)-$A$4*$A$4*RTD("tos.rtd",,"OPEN_INT","."&amp;L$2&amp;L$1&amp;"P"&amp;$A24)*RTD("tos.rtd",,"GAMMA","."&amp;L$2&amp;L$1&amp;"P"&amp;$A24))/1000000),0),IF($A$2="SKEW",IFERROR(VALUE(IF(RTD("tos.rtd",,"IMPL_VOL","."&amp;L$2&amp;L$1&amp;"P"&amp;$A24)="N/A",0,RTD("tos.rtd",,"IMPL_VOL","."&amp;L$2&amp;L$1&amp;"P"&amp;$A24))),0)-IFERROR(VALUE(IF(RTD("tos.rtd",,"IMPL_VOL","."&amp;L$2&amp;L$1&amp;"C"&amp;$A24)="N/A",0,RTD("tos.rtd",,"IMPL_VOL","."&amp;L$2&amp;L$1&amp;"C"&amp;$A24))),0),IF($A$2="MAXPAIN",IF($A$4&gt;$A24,($A$4-$A24)*IF(RTD("tos.rtd",,"OPEN_INT","."&amp;L$2&amp;L$1&amp;"C"&amp;$A24)="N/A",0,RTD("tos.rtd",,"OPEN_INT","."&amp;L$2&amp;L$1&amp;"C"&amp;$A24)),0)+IF($A$4&lt;$A24,($A$5-$A$4)*IF(RTD("tos.rtd",,"OPEN_INT","."&amp;L$2&amp;L$1&amp;"P"&amp;$A24)="N/A",0,RTD("tos.rtd",,"OPEN_INT","."&amp;L$2&amp;L$1&amp;"P"&amp;$A24)),0),IF($X$1="ABS",IF(RTD("tos.rtd",,$A$2,"."&amp;L$2&amp;L$1&amp;"C"&amp;$A24)="N/A",0,RTD("tos.rtd",,$A$2,"."&amp;L$2&amp;L$1&amp;"C"&amp;$A24))+IF(RTD("tos.rtd",,$A$2,"."&amp;L$2&amp;L$1&amp;"P"&amp;$A24)="N/A",0,RTD("tos.rtd",,$A$2,"."&amp;L$2&amp;L$1&amp;"P"&amp;$A24)),IF(RTD("tos.rtd",,$A$2,"."&amp;L$2&amp;L$1&amp;"C"&amp;$A24)="N/A",0,RTD("tos.rtd",,$A$2,"."&amp;L$2&amp;L$1&amp;"C"&amp;$A24))-IF(RTD("tos.rtd",,$A$2,"."&amp;L$2&amp;L$1&amp;"P"&amp;$A24)="N/A",0,RTD("tos.rtd",,$A$2,"."&amp;L$2&amp;L$1&amp;"P"&amp;$A24))))))))))</f>
        <v>0</v>
      </c>
      <c r="M24" s="12">
        <f ca="1">IF($A$2="PREMIUM_OI",IFERROR(IF($X$1="ABS",(100*RTD("tos.rtd",,"OPEN_INT","."&amp;M$2&amp;M$1&amp;"C"&amp;$A24)*RTD("tos.rtd",,"LAST","."&amp;M$2&amp;M$1&amp;"C"&amp;$A24)+100*RTD("tos.rtd",,"OPEN_INT","."&amp;M$2&amp;M$1&amp;"P"&amp;$A24)*RTD("tos.rtd",,"LAST","."&amp;M$2&amp;M$1&amp;"P"&amp;$A24))/1000000,(100*RTD("tos.rtd",,"OPEN_INT","."&amp;M$2&amp;M$1&amp;"C"&amp;$A24)*RTD("tos.rtd",,"LAST","."&amp;M$2&amp;M$1&amp;"C"&amp;$A24)-100*RTD("tos.rtd",,"OPEN_INT","."&amp;M$2&amp;M$1&amp;"P"&amp;$A24)*RTD("tos.rtd",,"LAST","."&amp;M$2&amp;M$1&amp;"P"&amp;$A24))/1000000),0),IF($A$2="PREMIUM",IFERROR(IF($X$1="ABS",(100*RTD("tos.rtd",,"VOLUME","."&amp;M$2&amp;M$1&amp;"C"&amp;$A24)*RTD("tos.rtd",,"LAST","."&amp;M$2&amp;M$1&amp;"C"&amp;$A24)+100*RTD("tos.rtd",,"VOLUME","."&amp;M$2&amp;M$1&amp;"P"&amp;$A24)*RTD("tos.rtd",,"LAST","."&amp;M$2&amp;M$1&amp;"P"&amp;$A24))/1000000,(100*RTD("tos.rtd",,"VOLUME","."&amp;M$2&amp;M$1&amp;"C"&amp;$A24)*RTD("tos.rtd",,"LAST","."&amp;M$2&amp;M$1&amp;"C"&amp;$A24)-100*RTD("tos.rtd",,"VOLUME","."&amp;M$2&amp;M$1&amp;"P"&amp;$A24)*RTD("tos.rtd",,"LAST","."&amp;M$2&amp;M$1&amp;"P"&amp;$A24))/1000000),0),IF($A$2="DEX",IFERROR(IF($X$1="ABS",(100*RTD("tos.rtd",,"OPEN_INT","."&amp;M$2&amp;M$1&amp;"C"&amp;$A24)*RTD("tos.rtd",,"DELTA","."&amp;M$2&amp;M$1&amp;"C"&amp;$A24)+100*RTD("tos.rtd",,"OPEN_INT","."&amp;M$2&amp;M$1&amp;"P"&amp;$A24)*RTD("tos.rtd",,"DELTA","."&amp;M$2&amp;M$1&amp;"P"&amp;$A24))/1000,(100*RTD("tos.rtd",,"OPEN_INT","."&amp;M$2&amp;M$1&amp;"C"&amp;$A24)*RTD("tos.rtd",,"DELTA","."&amp;M$2&amp;M$1&amp;"C"&amp;$A24)-100*RTD("tos.rtd",,"OPEN_INT","."&amp;M$2&amp;M$1&amp;"P"&amp;$A24)*RTD("tos.rtd",,"DELTA","."&amp;M$2&amp;M$1&amp;"P"&amp;$A24))/1000),0),IF($A$2="VEX",IFERROR(IF($X$1="ABS",($A$4*$A$4*RTD("tos.rtd",,"VOLUME","."&amp;M$2&amp;M$1&amp;"C"&amp;$A24)*RTD("tos.rtd",,"GAMMA","."&amp;M$2&amp;M$1&amp;"C"&amp;$A24)+$A$4*$A$4*RTD("tos.rtd",,"VOLUME","."&amp;M$2&amp;M$1&amp;"P"&amp;$A24)*RTD("tos.rtd",,"GAMMA","."&amp;M$2&amp;M$1&amp;"P"&amp;$A24))/1000000,($A$4*$A$4*RTD("tos.rtd",,"VOLUME","."&amp;M$2&amp;M$1&amp;"C"&amp;$A24)*RTD("tos.rtd",,"GAMMA","."&amp;M$2&amp;M$1&amp;"C"&amp;$A24)-$A$4*$A$4*RTD("tos.rtd",,"VOLUME","."&amp;M$2&amp;M$1&amp;"P"&amp;$A24)*RTD("tos.rtd",,"GAMMA","."&amp;M$2&amp;M$1&amp;"P"&amp;$A24))/1000000),0),IF($A$2="GEX",IFERROR(IF($X$1="ABS",($A$4*$A$4*RTD("tos.rtd",,"OPEN_INT","."&amp;M$2&amp;M$1&amp;"C"&amp;$A24)*RTD("tos.rtd",,"GAMMA","."&amp;M$2&amp;M$1&amp;"C"&amp;$A24)+$A$4*$A$4*RTD("tos.rtd",,"OPEN_INT","."&amp;M$2&amp;M$1&amp;"P"&amp;$A24)*RTD("tos.rtd",,"GAMMA","."&amp;M$2&amp;M$1&amp;"P"&amp;$A24))/1000000,($A$4*$A$4*RTD("tos.rtd",,"OPEN_INT","."&amp;M$2&amp;M$1&amp;"C"&amp;$A24)*RTD("tos.rtd",,"GAMMA","."&amp;M$2&amp;M$1&amp;"C"&amp;$A24)-$A$4*$A$4*RTD("tos.rtd",,"OPEN_INT","."&amp;M$2&amp;M$1&amp;"P"&amp;$A24)*RTD("tos.rtd",,"GAMMA","."&amp;M$2&amp;M$1&amp;"P"&amp;$A24))/1000000),0),IF($A$2="SKEW",IFERROR(VALUE(IF(RTD("tos.rtd",,"IMPL_VOL","."&amp;M$2&amp;M$1&amp;"P"&amp;$A24)="N/A",0,RTD("tos.rtd",,"IMPL_VOL","."&amp;M$2&amp;M$1&amp;"P"&amp;$A24))),0)-IFERROR(VALUE(IF(RTD("tos.rtd",,"IMPL_VOL","."&amp;M$2&amp;M$1&amp;"C"&amp;$A24)="N/A",0,RTD("tos.rtd",,"IMPL_VOL","."&amp;M$2&amp;M$1&amp;"C"&amp;$A24))),0),IF($A$2="MAXPAIN",IF($A$4&gt;$A24,($A$4-$A24)*IF(RTD("tos.rtd",,"OPEN_INT","."&amp;M$2&amp;M$1&amp;"C"&amp;$A24)="N/A",0,RTD("tos.rtd",,"OPEN_INT","."&amp;M$2&amp;M$1&amp;"C"&amp;$A24)),0)+IF($A$4&lt;$A24,($A$5-$A$4)*IF(RTD("tos.rtd",,"OPEN_INT","."&amp;M$2&amp;M$1&amp;"P"&amp;$A24)="N/A",0,RTD("tos.rtd",,"OPEN_INT","."&amp;M$2&amp;M$1&amp;"P"&amp;$A24)),0),IF($X$1="ABS",IF(RTD("tos.rtd",,$A$2,"."&amp;M$2&amp;M$1&amp;"C"&amp;$A24)="N/A",0,RTD("tos.rtd",,$A$2,"."&amp;M$2&amp;M$1&amp;"C"&amp;$A24))+IF(RTD("tos.rtd",,$A$2,"."&amp;M$2&amp;M$1&amp;"P"&amp;$A24)="N/A",0,RTD("tos.rtd",,$A$2,"."&amp;M$2&amp;M$1&amp;"P"&amp;$A24)),IF(RTD("tos.rtd",,$A$2,"."&amp;M$2&amp;M$1&amp;"C"&amp;$A24)="N/A",0,RTD("tos.rtd",,$A$2,"."&amp;M$2&amp;M$1&amp;"C"&amp;$A24))-IF(RTD("tos.rtd",,$A$2,"."&amp;M$2&amp;M$1&amp;"P"&amp;$A24)="N/A",0,RTD("tos.rtd",,$A$2,"."&amp;M$2&amp;M$1&amp;"P"&amp;$A24))))))))))</f>
        <v>0</v>
      </c>
      <c r="N24" s="12">
        <f ca="1">IF($A$2="PREMIUM_OI",IFERROR(IF($X$1="ABS",(100*RTD("tos.rtd",,"OPEN_INT","."&amp;N$2&amp;N$1&amp;"C"&amp;$A24)*RTD("tos.rtd",,"LAST","."&amp;N$2&amp;N$1&amp;"C"&amp;$A24)+100*RTD("tos.rtd",,"OPEN_INT","."&amp;N$2&amp;N$1&amp;"P"&amp;$A24)*RTD("tos.rtd",,"LAST","."&amp;N$2&amp;N$1&amp;"P"&amp;$A24))/1000000,(100*RTD("tos.rtd",,"OPEN_INT","."&amp;N$2&amp;N$1&amp;"C"&amp;$A24)*RTD("tos.rtd",,"LAST","."&amp;N$2&amp;N$1&amp;"C"&amp;$A24)-100*RTD("tos.rtd",,"OPEN_INT","."&amp;N$2&amp;N$1&amp;"P"&amp;$A24)*RTD("tos.rtd",,"LAST","."&amp;N$2&amp;N$1&amp;"P"&amp;$A24))/1000000),0),IF($A$2="PREMIUM",IFERROR(IF($X$1="ABS",(100*RTD("tos.rtd",,"VOLUME","."&amp;N$2&amp;N$1&amp;"C"&amp;$A24)*RTD("tos.rtd",,"LAST","."&amp;N$2&amp;N$1&amp;"C"&amp;$A24)+100*RTD("tos.rtd",,"VOLUME","."&amp;N$2&amp;N$1&amp;"P"&amp;$A24)*RTD("tos.rtd",,"LAST","."&amp;N$2&amp;N$1&amp;"P"&amp;$A24))/1000000,(100*RTD("tos.rtd",,"VOLUME","."&amp;N$2&amp;N$1&amp;"C"&amp;$A24)*RTD("tos.rtd",,"LAST","."&amp;N$2&amp;N$1&amp;"C"&amp;$A24)-100*RTD("tos.rtd",,"VOLUME","."&amp;N$2&amp;N$1&amp;"P"&amp;$A24)*RTD("tos.rtd",,"LAST","."&amp;N$2&amp;N$1&amp;"P"&amp;$A24))/1000000),0),IF($A$2="DEX",IFERROR(IF($X$1="ABS",(100*RTD("tos.rtd",,"OPEN_INT","."&amp;N$2&amp;N$1&amp;"C"&amp;$A24)*RTD("tos.rtd",,"DELTA","."&amp;N$2&amp;N$1&amp;"C"&amp;$A24)+100*RTD("tos.rtd",,"OPEN_INT","."&amp;N$2&amp;N$1&amp;"P"&amp;$A24)*RTD("tos.rtd",,"DELTA","."&amp;N$2&amp;N$1&amp;"P"&amp;$A24))/1000,(100*RTD("tos.rtd",,"OPEN_INT","."&amp;N$2&amp;N$1&amp;"C"&amp;$A24)*RTD("tos.rtd",,"DELTA","."&amp;N$2&amp;N$1&amp;"C"&amp;$A24)-100*RTD("tos.rtd",,"OPEN_INT","."&amp;N$2&amp;N$1&amp;"P"&amp;$A24)*RTD("tos.rtd",,"DELTA","."&amp;N$2&amp;N$1&amp;"P"&amp;$A24))/1000),0),IF($A$2="VEX",IFERROR(IF($X$1="ABS",($A$4*$A$4*RTD("tos.rtd",,"VOLUME","."&amp;N$2&amp;N$1&amp;"C"&amp;$A24)*RTD("tos.rtd",,"GAMMA","."&amp;N$2&amp;N$1&amp;"C"&amp;$A24)+$A$4*$A$4*RTD("tos.rtd",,"VOLUME","."&amp;N$2&amp;N$1&amp;"P"&amp;$A24)*RTD("tos.rtd",,"GAMMA","."&amp;N$2&amp;N$1&amp;"P"&amp;$A24))/1000000,($A$4*$A$4*RTD("tos.rtd",,"VOLUME","."&amp;N$2&amp;N$1&amp;"C"&amp;$A24)*RTD("tos.rtd",,"GAMMA","."&amp;N$2&amp;N$1&amp;"C"&amp;$A24)-$A$4*$A$4*RTD("tos.rtd",,"VOLUME","."&amp;N$2&amp;N$1&amp;"P"&amp;$A24)*RTD("tos.rtd",,"GAMMA","."&amp;N$2&amp;N$1&amp;"P"&amp;$A24))/1000000),0),IF($A$2="GEX",IFERROR(IF($X$1="ABS",($A$4*$A$4*RTD("tos.rtd",,"OPEN_INT","."&amp;N$2&amp;N$1&amp;"C"&amp;$A24)*RTD("tos.rtd",,"GAMMA","."&amp;N$2&amp;N$1&amp;"C"&amp;$A24)+$A$4*$A$4*RTD("tos.rtd",,"OPEN_INT","."&amp;N$2&amp;N$1&amp;"P"&amp;$A24)*RTD("tos.rtd",,"GAMMA","."&amp;N$2&amp;N$1&amp;"P"&amp;$A24))/1000000,($A$4*$A$4*RTD("tos.rtd",,"OPEN_INT","."&amp;N$2&amp;N$1&amp;"C"&amp;$A24)*RTD("tos.rtd",,"GAMMA","."&amp;N$2&amp;N$1&amp;"C"&amp;$A24)-$A$4*$A$4*RTD("tos.rtd",,"OPEN_INT","."&amp;N$2&amp;N$1&amp;"P"&amp;$A24)*RTD("tos.rtd",,"GAMMA","."&amp;N$2&amp;N$1&amp;"P"&amp;$A24))/1000000),0),IF($A$2="SKEW",IFERROR(VALUE(IF(RTD("tos.rtd",,"IMPL_VOL","."&amp;N$2&amp;N$1&amp;"P"&amp;$A24)="N/A",0,RTD("tos.rtd",,"IMPL_VOL","."&amp;N$2&amp;N$1&amp;"P"&amp;$A24))),0)-IFERROR(VALUE(IF(RTD("tos.rtd",,"IMPL_VOL","."&amp;N$2&amp;N$1&amp;"C"&amp;$A24)="N/A",0,RTD("tos.rtd",,"IMPL_VOL","."&amp;N$2&amp;N$1&amp;"C"&amp;$A24))),0),IF($A$2="MAXPAIN",IF($A$4&gt;$A24,($A$4-$A24)*IF(RTD("tos.rtd",,"OPEN_INT","."&amp;N$2&amp;N$1&amp;"C"&amp;$A24)="N/A",0,RTD("tos.rtd",,"OPEN_INT","."&amp;N$2&amp;N$1&amp;"C"&amp;$A24)),0)+IF($A$4&lt;$A24,($A$5-$A$4)*IF(RTD("tos.rtd",,"OPEN_INT","."&amp;N$2&amp;N$1&amp;"P"&amp;$A24)="N/A",0,RTD("tos.rtd",,"OPEN_INT","."&amp;N$2&amp;N$1&amp;"P"&amp;$A24)),0),IF($X$1="ABS",IF(RTD("tos.rtd",,$A$2,"."&amp;N$2&amp;N$1&amp;"C"&amp;$A24)="N/A",0,RTD("tos.rtd",,$A$2,"."&amp;N$2&amp;N$1&amp;"C"&amp;$A24))+IF(RTD("tos.rtd",,$A$2,"."&amp;N$2&amp;N$1&amp;"P"&amp;$A24)="N/A",0,RTD("tos.rtd",,$A$2,"."&amp;N$2&amp;N$1&amp;"P"&amp;$A24)),IF(RTD("tos.rtd",,$A$2,"."&amp;N$2&amp;N$1&amp;"C"&amp;$A24)="N/A",0,RTD("tos.rtd",,$A$2,"."&amp;N$2&amp;N$1&amp;"C"&amp;$A24))-IF(RTD("tos.rtd",,$A$2,"."&amp;N$2&amp;N$1&amp;"P"&amp;$A24)="N/A",0,RTD("tos.rtd",,$A$2,"."&amp;N$2&amp;N$1&amp;"P"&amp;$A24))))))))))</f>
        <v>0</v>
      </c>
      <c r="O24" s="12">
        <f ca="1">IF($A$2="PREMIUM_OI",IFERROR(IF($X$1="ABS",(100*RTD("tos.rtd",,"OPEN_INT","."&amp;O$2&amp;O$1&amp;"C"&amp;$A24)*RTD("tos.rtd",,"LAST","."&amp;O$2&amp;O$1&amp;"C"&amp;$A24)+100*RTD("tos.rtd",,"OPEN_INT","."&amp;O$2&amp;O$1&amp;"P"&amp;$A24)*RTD("tos.rtd",,"LAST","."&amp;O$2&amp;O$1&amp;"P"&amp;$A24))/1000000,(100*RTD("tos.rtd",,"OPEN_INT","."&amp;O$2&amp;O$1&amp;"C"&amp;$A24)*RTD("tos.rtd",,"LAST","."&amp;O$2&amp;O$1&amp;"C"&amp;$A24)-100*RTD("tos.rtd",,"OPEN_INT","."&amp;O$2&amp;O$1&amp;"P"&amp;$A24)*RTD("tos.rtd",,"LAST","."&amp;O$2&amp;O$1&amp;"P"&amp;$A24))/1000000),0),IF($A$2="PREMIUM",IFERROR(IF($X$1="ABS",(100*RTD("tos.rtd",,"VOLUME","."&amp;O$2&amp;O$1&amp;"C"&amp;$A24)*RTD("tos.rtd",,"LAST","."&amp;O$2&amp;O$1&amp;"C"&amp;$A24)+100*RTD("tos.rtd",,"VOLUME","."&amp;O$2&amp;O$1&amp;"P"&amp;$A24)*RTD("tos.rtd",,"LAST","."&amp;O$2&amp;O$1&amp;"P"&amp;$A24))/1000000,(100*RTD("tos.rtd",,"VOLUME","."&amp;O$2&amp;O$1&amp;"C"&amp;$A24)*RTD("tos.rtd",,"LAST","."&amp;O$2&amp;O$1&amp;"C"&amp;$A24)-100*RTD("tos.rtd",,"VOLUME","."&amp;O$2&amp;O$1&amp;"P"&amp;$A24)*RTD("tos.rtd",,"LAST","."&amp;O$2&amp;O$1&amp;"P"&amp;$A24))/1000000),0),IF($A$2="DEX",IFERROR(IF($X$1="ABS",(100*RTD("tos.rtd",,"OPEN_INT","."&amp;O$2&amp;O$1&amp;"C"&amp;$A24)*RTD("tos.rtd",,"DELTA","."&amp;O$2&amp;O$1&amp;"C"&amp;$A24)+100*RTD("tos.rtd",,"OPEN_INT","."&amp;O$2&amp;O$1&amp;"P"&amp;$A24)*RTD("tos.rtd",,"DELTA","."&amp;O$2&amp;O$1&amp;"P"&amp;$A24))/1000,(100*RTD("tos.rtd",,"OPEN_INT","."&amp;O$2&amp;O$1&amp;"C"&amp;$A24)*RTD("tos.rtd",,"DELTA","."&amp;O$2&amp;O$1&amp;"C"&amp;$A24)-100*RTD("tos.rtd",,"OPEN_INT","."&amp;O$2&amp;O$1&amp;"P"&amp;$A24)*RTD("tos.rtd",,"DELTA","."&amp;O$2&amp;O$1&amp;"P"&amp;$A24))/1000),0),IF($A$2="VEX",IFERROR(IF($X$1="ABS",($A$4*$A$4*RTD("tos.rtd",,"VOLUME","."&amp;O$2&amp;O$1&amp;"C"&amp;$A24)*RTD("tos.rtd",,"GAMMA","."&amp;O$2&amp;O$1&amp;"C"&amp;$A24)+$A$4*$A$4*RTD("tos.rtd",,"VOLUME","."&amp;O$2&amp;O$1&amp;"P"&amp;$A24)*RTD("tos.rtd",,"GAMMA","."&amp;O$2&amp;O$1&amp;"P"&amp;$A24))/1000000,($A$4*$A$4*RTD("tos.rtd",,"VOLUME","."&amp;O$2&amp;O$1&amp;"C"&amp;$A24)*RTD("tos.rtd",,"GAMMA","."&amp;O$2&amp;O$1&amp;"C"&amp;$A24)-$A$4*$A$4*RTD("tos.rtd",,"VOLUME","."&amp;O$2&amp;O$1&amp;"P"&amp;$A24)*RTD("tos.rtd",,"GAMMA","."&amp;O$2&amp;O$1&amp;"P"&amp;$A24))/1000000),0),IF($A$2="GEX",IFERROR(IF($X$1="ABS",($A$4*$A$4*RTD("tos.rtd",,"OPEN_INT","."&amp;O$2&amp;O$1&amp;"C"&amp;$A24)*RTD("tos.rtd",,"GAMMA","."&amp;O$2&amp;O$1&amp;"C"&amp;$A24)+$A$4*$A$4*RTD("tos.rtd",,"OPEN_INT","."&amp;O$2&amp;O$1&amp;"P"&amp;$A24)*RTD("tos.rtd",,"GAMMA","."&amp;O$2&amp;O$1&amp;"P"&amp;$A24))/1000000,($A$4*$A$4*RTD("tos.rtd",,"OPEN_INT","."&amp;O$2&amp;O$1&amp;"C"&amp;$A24)*RTD("tos.rtd",,"GAMMA","."&amp;O$2&amp;O$1&amp;"C"&amp;$A24)-$A$4*$A$4*RTD("tos.rtd",,"OPEN_INT","."&amp;O$2&amp;O$1&amp;"P"&amp;$A24)*RTD("tos.rtd",,"GAMMA","."&amp;O$2&amp;O$1&amp;"P"&amp;$A24))/1000000),0),IF($A$2="SKEW",IFERROR(VALUE(IF(RTD("tos.rtd",,"IMPL_VOL","."&amp;O$2&amp;O$1&amp;"P"&amp;$A24)="N/A",0,RTD("tos.rtd",,"IMPL_VOL","."&amp;O$2&amp;O$1&amp;"P"&amp;$A24))),0)-IFERROR(VALUE(IF(RTD("tos.rtd",,"IMPL_VOL","."&amp;O$2&amp;O$1&amp;"C"&amp;$A24)="N/A",0,RTD("tos.rtd",,"IMPL_VOL","."&amp;O$2&amp;O$1&amp;"C"&amp;$A24))),0),IF($A$2="MAXPAIN",IF($A$4&gt;$A24,($A$4-$A24)*IF(RTD("tos.rtd",,"OPEN_INT","."&amp;O$2&amp;O$1&amp;"C"&amp;$A24)="N/A",0,RTD("tos.rtd",,"OPEN_INT","."&amp;O$2&amp;O$1&amp;"C"&amp;$A24)),0)+IF($A$4&lt;$A24,($A$5-$A$4)*IF(RTD("tos.rtd",,"OPEN_INT","."&amp;O$2&amp;O$1&amp;"P"&amp;$A24)="N/A",0,RTD("tos.rtd",,"OPEN_INT","."&amp;O$2&amp;O$1&amp;"P"&amp;$A24)),0),IF($X$1="ABS",IF(RTD("tos.rtd",,$A$2,"."&amp;O$2&amp;O$1&amp;"C"&amp;$A24)="N/A",0,RTD("tos.rtd",,$A$2,"."&amp;O$2&amp;O$1&amp;"C"&amp;$A24))+IF(RTD("tos.rtd",,$A$2,"."&amp;O$2&amp;O$1&amp;"P"&amp;$A24)="N/A",0,RTD("tos.rtd",,$A$2,"."&amp;O$2&amp;O$1&amp;"P"&amp;$A24)),IF(RTD("tos.rtd",,$A$2,"."&amp;O$2&amp;O$1&amp;"C"&amp;$A24)="N/A",0,RTD("tos.rtd",,$A$2,"."&amp;O$2&amp;O$1&amp;"C"&amp;$A24))-IF(RTD("tos.rtd",,$A$2,"."&amp;O$2&amp;O$1&amp;"P"&amp;$A24)="N/A",0,RTD("tos.rtd",,$A$2,"."&amp;O$2&amp;O$1&amp;"P"&amp;$A24))))))))))</f>
        <v>0</v>
      </c>
      <c r="P24" s="12">
        <f ca="1">IF($A$2="PREMIUM_OI",IFERROR(IF($X$1="ABS",(100*RTD("tos.rtd",,"OPEN_INT","."&amp;P$2&amp;P$1&amp;"C"&amp;$A24)*RTD("tos.rtd",,"LAST","."&amp;P$2&amp;P$1&amp;"C"&amp;$A24)+100*RTD("tos.rtd",,"OPEN_INT","."&amp;P$2&amp;P$1&amp;"P"&amp;$A24)*RTD("tos.rtd",,"LAST","."&amp;P$2&amp;P$1&amp;"P"&amp;$A24))/1000000,(100*RTD("tos.rtd",,"OPEN_INT","."&amp;P$2&amp;P$1&amp;"C"&amp;$A24)*RTD("tos.rtd",,"LAST","."&amp;P$2&amp;P$1&amp;"C"&amp;$A24)-100*RTD("tos.rtd",,"OPEN_INT","."&amp;P$2&amp;P$1&amp;"P"&amp;$A24)*RTD("tos.rtd",,"LAST","."&amp;P$2&amp;P$1&amp;"P"&amp;$A24))/1000000),0),IF($A$2="PREMIUM",IFERROR(IF($X$1="ABS",(100*RTD("tos.rtd",,"VOLUME","."&amp;P$2&amp;P$1&amp;"C"&amp;$A24)*RTD("tos.rtd",,"LAST","."&amp;P$2&amp;P$1&amp;"C"&amp;$A24)+100*RTD("tos.rtd",,"VOLUME","."&amp;P$2&amp;P$1&amp;"P"&amp;$A24)*RTD("tos.rtd",,"LAST","."&amp;P$2&amp;P$1&amp;"P"&amp;$A24))/1000000,(100*RTD("tos.rtd",,"VOLUME","."&amp;P$2&amp;P$1&amp;"C"&amp;$A24)*RTD("tos.rtd",,"LAST","."&amp;P$2&amp;P$1&amp;"C"&amp;$A24)-100*RTD("tos.rtd",,"VOLUME","."&amp;P$2&amp;P$1&amp;"P"&amp;$A24)*RTD("tos.rtd",,"LAST","."&amp;P$2&amp;P$1&amp;"P"&amp;$A24))/1000000),0),IF($A$2="DEX",IFERROR(IF($X$1="ABS",(100*RTD("tos.rtd",,"OPEN_INT","."&amp;P$2&amp;P$1&amp;"C"&amp;$A24)*RTD("tos.rtd",,"DELTA","."&amp;P$2&amp;P$1&amp;"C"&amp;$A24)+100*RTD("tos.rtd",,"OPEN_INT","."&amp;P$2&amp;P$1&amp;"P"&amp;$A24)*RTD("tos.rtd",,"DELTA","."&amp;P$2&amp;P$1&amp;"P"&amp;$A24))/1000,(100*RTD("tos.rtd",,"OPEN_INT","."&amp;P$2&amp;P$1&amp;"C"&amp;$A24)*RTD("tos.rtd",,"DELTA","."&amp;P$2&amp;P$1&amp;"C"&amp;$A24)-100*RTD("tos.rtd",,"OPEN_INT","."&amp;P$2&amp;P$1&amp;"P"&amp;$A24)*RTD("tos.rtd",,"DELTA","."&amp;P$2&amp;P$1&amp;"P"&amp;$A24))/1000),0),IF($A$2="VEX",IFERROR(IF($X$1="ABS",($A$4*$A$4*RTD("tos.rtd",,"VOLUME","."&amp;P$2&amp;P$1&amp;"C"&amp;$A24)*RTD("tos.rtd",,"GAMMA","."&amp;P$2&amp;P$1&amp;"C"&amp;$A24)+$A$4*$A$4*RTD("tos.rtd",,"VOLUME","."&amp;P$2&amp;P$1&amp;"P"&amp;$A24)*RTD("tos.rtd",,"GAMMA","."&amp;P$2&amp;P$1&amp;"P"&amp;$A24))/1000000,($A$4*$A$4*RTD("tos.rtd",,"VOLUME","."&amp;P$2&amp;P$1&amp;"C"&amp;$A24)*RTD("tos.rtd",,"GAMMA","."&amp;P$2&amp;P$1&amp;"C"&amp;$A24)-$A$4*$A$4*RTD("tos.rtd",,"VOLUME","."&amp;P$2&amp;P$1&amp;"P"&amp;$A24)*RTD("tos.rtd",,"GAMMA","."&amp;P$2&amp;P$1&amp;"P"&amp;$A24))/1000000),0),IF($A$2="GEX",IFERROR(IF($X$1="ABS",($A$4*$A$4*RTD("tos.rtd",,"OPEN_INT","."&amp;P$2&amp;P$1&amp;"C"&amp;$A24)*RTD("tos.rtd",,"GAMMA","."&amp;P$2&amp;P$1&amp;"C"&amp;$A24)+$A$4*$A$4*RTD("tos.rtd",,"OPEN_INT","."&amp;P$2&amp;P$1&amp;"P"&amp;$A24)*RTD("tos.rtd",,"GAMMA","."&amp;P$2&amp;P$1&amp;"P"&amp;$A24))/1000000,($A$4*$A$4*RTD("tos.rtd",,"OPEN_INT","."&amp;P$2&amp;P$1&amp;"C"&amp;$A24)*RTD("tos.rtd",,"GAMMA","."&amp;P$2&amp;P$1&amp;"C"&amp;$A24)-$A$4*$A$4*RTD("tos.rtd",,"OPEN_INT","."&amp;P$2&amp;P$1&amp;"P"&amp;$A24)*RTD("tos.rtd",,"GAMMA","."&amp;P$2&amp;P$1&amp;"P"&amp;$A24))/1000000),0),IF($A$2="SKEW",IFERROR(VALUE(IF(RTD("tos.rtd",,"IMPL_VOL","."&amp;P$2&amp;P$1&amp;"P"&amp;$A24)="N/A",0,RTD("tos.rtd",,"IMPL_VOL","."&amp;P$2&amp;P$1&amp;"P"&amp;$A24))),0)-IFERROR(VALUE(IF(RTD("tos.rtd",,"IMPL_VOL","."&amp;P$2&amp;P$1&amp;"C"&amp;$A24)="N/A",0,RTD("tos.rtd",,"IMPL_VOL","."&amp;P$2&amp;P$1&amp;"C"&amp;$A24))),0),IF($A$2="MAXPAIN",IF($A$4&gt;$A24,($A$4-$A24)*IF(RTD("tos.rtd",,"OPEN_INT","."&amp;P$2&amp;P$1&amp;"C"&amp;$A24)="N/A",0,RTD("tos.rtd",,"OPEN_INT","."&amp;P$2&amp;P$1&amp;"C"&amp;$A24)),0)+IF($A$4&lt;$A24,($A$5-$A$4)*IF(RTD("tos.rtd",,"OPEN_INT","."&amp;P$2&amp;P$1&amp;"P"&amp;$A24)="N/A",0,RTD("tos.rtd",,"OPEN_INT","."&amp;P$2&amp;P$1&amp;"P"&amp;$A24)),0),IF($X$1="ABS",IF(RTD("tos.rtd",,$A$2,"."&amp;P$2&amp;P$1&amp;"C"&amp;$A24)="N/A",0,RTD("tos.rtd",,$A$2,"."&amp;P$2&amp;P$1&amp;"C"&amp;$A24))+IF(RTD("tos.rtd",,$A$2,"."&amp;P$2&amp;P$1&amp;"P"&amp;$A24)="N/A",0,RTD("tos.rtd",,$A$2,"."&amp;P$2&amp;P$1&amp;"P"&amp;$A24)),IF(RTD("tos.rtd",,$A$2,"."&amp;P$2&amp;P$1&amp;"C"&amp;$A24)="N/A",0,RTD("tos.rtd",,$A$2,"."&amp;P$2&amp;P$1&amp;"C"&amp;$A24))-IF(RTD("tos.rtd",,$A$2,"."&amp;P$2&amp;P$1&amp;"P"&amp;$A24)="N/A",0,RTD("tos.rtd",,$A$2,"."&amp;P$2&amp;P$1&amp;"P"&amp;$A24))))))))))</f>
        <v>0</v>
      </c>
      <c r="Q24" s="12">
        <f ca="1">IF($A$2="PREMIUM_OI",IFERROR(IF($X$1="ABS",(100*RTD("tos.rtd",,"OPEN_INT","."&amp;Q$2&amp;Q$1&amp;"C"&amp;$A24)*RTD("tos.rtd",,"LAST","."&amp;Q$2&amp;Q$1&amp;"C"&amp;$A24)+100*RTD("tos.rtd",,"OPEN_INT","."&amp;Q$2&amp;Q$1&amp;"P"&amp;$A24)*RTD("tos.rtd",,"LAST","."&amp;Q$2&amp;Q$1&amp;"P"&amp;$A24))/1000000,(100*RTD("tos.rtd",,"OPEN_INT","."&amp;Q$2&amp;Q$1&amp;"C"&amp;$A24)*RTD("tos.rtd",,"LAST","."&amp;Q$2&amp;Q$1&amp;"C"&amp;$A24)-100*RTD("tos.rtd",,"OPEN_INT","."&amp;Q$2&amp;Q$1&amp;"P"&amp;$A24)*RTD("tos.rtd",,"LAST","."&amp;Q$2&amp;Q$1&amp;"P"&amp;$A24))/1000000),0),IF($A$2="PREMIUM",IFERROR(IF($X$1="ABS",(100*RTD("tos.rtd",,"VOLUME","."&amp;Q$2&amp;Q$1&amp;"C"&amp;$A24)*RTD("tos.rtd",,"LAST","."&amp;Q$2&amp;Q$1&amp;"C"&amp;$A24)+100*RTD("tos.rtd",,"VOLUME","."&amp;Q$2&amp;Q$1&amp;"P"&amp;$A24)*RTD("tos.rtd",,"LAST","."&amp;Q$2&amp;Q$1&amp;"P"&amp;$A24))/1000000,(100*RTD("tos.rtd",,"VOLUME","."&amp;Q$2&amp;Q$1&amp;"C"&amp;$A24)*RTD("tos.rtd",,"LAST","."&amp;Q$2&amp;Q$1&amp;"C"&amp;$A24)-100*RTD("tos.rtd",,"VOLUME","."&amp;Q$2&amp;Q$1&amp;"P"&amp;$A24)*RTD("tos.rtd",,"LAST","."&amp;Q$2&amp;Q$1&amp;"P"&amp;$A24))/1000000),0),IF($A$2="DEX",IFERROR(IF($X$1="ABS",(100*RTD("tos.rtd",,"OPEN_INT","."&amp;Q$2&amp;Q$1&amp;"C"&amp;$A24)*RTD("tos.rtd",,"DELTA","."&amp;Q$2&amp;Q$1&amp;"C"&amp;$A24)+100*RTD("tos.rtd",,"OPEN_INT","."&amp;Q$2&amp;Q$1&amp;"P"&amp;$A24)*RTD("tos.rtd",,"DELTA","."&amp;Q$2&amp;Q$1&amp;"P"&amp;$A24))/1000,(100*RTD("tos.rtd",,"OPEN_INT","."&amp;Q$2&amp;Q$1&amp;"C"&amp;$A24)*RTD("tos.rtd",,"DELTA","."&amp;Q$2&amp;Q$1&amp;"C"&amp;$A24)-100*RTD("tos.rtd",,"OPEN_INT","."&amp;Q$2&amp;Q$1&amp;"P"&amp;$A24)*RTD("tos.rtd",,"DELTA","."&amp;Q$2&amp;Q$1&amp;"P"&amp;$A24))/1000),0),IF($A$2="VEX",IFERROR(IF($X$1="ABS",($A$4*$A$4*RTD("tos.rtd",,"VOLUME","."&amp;Q$2&amp;Q$1&amp;"C"&amp;$A24)*RTD("tos.rtd",,"GAMMA","."&amp;Q$2&amp;Q$1&amp;"C"&amp;$A24)+$A$4*$A$4*RTD("tos.rtd",,"VOLUME","."&amp;Q$2&amp;Q$1&amp;"P"&amp;$A24)*RTD("tos.rtd",,"GAMMA","."&amp;Q$2&amp;Q$1&amp;"P"&amp;$A24))/1000000,($A$4*$A$4*RTD("tos.rtd",,"VOLUME","."&amp;Q$2&amp;Q$1&amp;"C"&amp;$A24)*RTD("tos.rtd",,"GAMMA","."&amp;Q$2&amp;Q$1&amp;"C"&amp;$A24)-$A$4*$A$4*RTD("tos.rtd",,"VOLUME","."&amp;Q$2&amp;Q$1&amp;"P"&amp;$A24)*RTD("tos.rtd",,"GAMMA","."&amp;Q$2&amp;Q$1&amp;"P"&amp;$A24))/1000000),0),IF($A$2="GEX",IFERROR(IF($X$1="ABS",($A$4*$A$4*RTD("tos.rtd",,"OPEN_INT","."&amp;Q$2&amp;Q$1&amp;"C"&amp;$A24)*RTD("tos.rtd",,"GAMMA","."&amp;Q$2&amp;Q$1&amp;"C"&amp;$A24)+$A$4*$A$4*RTD("tos.rtd",,"OPEN_INT","."&amp;Q$2&amp;Q$1&amp;"P"&amp;$A24)*RTD("tos.rtd",,"GAMMA","."&amp;Q$2&amp;Q$1&amp;"P"&amp;$A24))/1000000,($A$4*$A$4*RTD("tos.rtd",,"OPEN_INT","."&amp;Q$2&amp;Q$1&amp;"C"&amp;$A24)*RTD("tos.rtd",,"GAMMA","."&amp;Q$2&amp;Q$1&amp;"C"&amp;$A24)-$A$4*$A$4*RTD("tos.rtd",,"OPEN_INT","."&amp;Q$2&amp;Q$1&amp;"P"&amp;$A24)*RTD("tos.rtd",,"GAMMA","."&amp;Q$2&amp;Q$1&amp;"P"&amp;$A24))/1000000),0),IF($A$2="SKEW",IFERROR(VALUE(IF(RTD("tos.rtd",,"IMPL_VOL","."&amp;Q$2&amp;Q$1&amp;"P"&amp;$A24)="N/A",0,RTD("tos.rtd",,"IMPL_VOL","."&amp;Q$2&amp;Q$1&amp;"P"&amp;$A24))),0)-IFERROR(VALUE(IF(RTD("tos.rtd",,"IMPL_VOL","."&amp;Q$2&amp;Q$1&amp;"C"&amp;$A24)="N/A",0,RTD("tos.rtd",,"IMPL_VOL","."&amp;Q$2&amp;Q$1&amp;"C"&amp;$A24))),0),IF($A$2="MAXPAIN",IF($A$4&gt;$A24,($A$4-$A24)*IF(RTD("tos.rtd",,"OPEN_INT","."&amp;Q$2&amp;Q$1&amp;"C"&amp;$A24)="N/A",0,RTD("tos.rtd",,"OPEN_INT","."&amp;Q$2&amp;Q$1&amp;"C"&amp;$A24)),0)+IF($A$4&lt;$A24,($A$5-$A$4)*IF(RTD("tos.rtd",,"OPEN_INT","."&amp;Q$2&amp;Q$1&amp;"P"&amp;$A24)="N/A",0,RTD("tos.rtd",,"OPEN_INT","."&amp;Q$2&amp;Q$1&amp;"P"&amp;$A24)),0),IF($X$1="ABS",IF(RTD("tos.rtd",,$A$2,"."&amp;Q$2&amp;Q$1&amp;"C"&amp;$A24)="N/A",0,RTD("tos.rtd",,$A$2,"."&amp;Q$2&amp;Q$1&amp;"C"&amp;$A24))+IF(RTD("tos.rtd",,$A$2,"."&amp;Q$2&amp;Q$1&amp;"P"&amp;$A24)="N/A",0,RTD("tos.rtd",,$A$2,"."&amp;Q$2&amp;Q$1&amp;"P"&amp;$A24)),IF(RTD("tos.rtd",,$A$2,"."&amp;Q$2&amp;Q$1&amp;"C"&amp;$A24)="N/A",0,RTD("tos.rtd",,$A$2,"."&amp;Q$2&amp;Q$1&amp;"C"&amp;$A24))-IF(RTD("tos.rtd",,$A$2,"."&amp;Q$2&amp;Q$1&amp;"P"&amp;$A24)="N/A",0,RTD("tos.rtd",,$A$2,"."&amp;Q$2&amp;Q$1&amp;"P"&amp;$A24))))))))))</f>
        <v>0</v>
      </c>
      <c r="R24" s="12">
        <f ca="1">IF($A$2="PREMIUM_OI",IFERROR(IF($X$1="ABS",(100*RTD("tos.rtd",,"OPEN_INT","."&amp;R$2&amp;R$1&amp;"C"&amp;$A24)*RTD("tos.rtd",,"LAST","."&amp;R$2&amp;R$1&amp;"C"&amp;$A24)+100*RTD("tos.rtd",,"OPEN_INT","."&amp;R$2&amp;R$1&amp;"P"&amp;$A24)*RTD("tos.rtd",,"LAST","."&amp;R$2&amp;R$1&amp;"P"&amp;$A24))/1000000,(100*RTD("tos.rtd",,"OPEN_INT","."&amp;R$2&amp;R$1&amp;"C"&amp;$A24)*RTD("tos.rtd",,"LAST","."&amp;R$2&amp;R$1&amp;"C"&amp;$A24)-100*RTD("tos.rtd",,"OPEN_INT","."&amp;R$2&amp;R$1&amp;"P"&amp;$A24)*RTD("tos.rtd",,"LAST","."&amp;R$2&amp;R$1&amp;"P"&amp;$A24))/1000000),0),IF($A$2="PREMIUM",IFERROR(IF($X$1="ABS",(100*RTD("tos.rtd",,"VOLUME","."&amp;R$2&amp;R$1&amp;"C"&amp;$A24)*RTD("tos.rtd",,"LAST","."&amp;R$2&amp;R$1&amp;"C"&amp;$A24)+100*RTD("tos.rtd",,"VOLUME","."&amp;R$2&amp;R$1&amp;"P"&amp;$A24)*RTD("tos.rtd",,"LAST","."&amp;R$2&amp;R$1&amp;"P"&amp;$A24))/1000000,(100*RTD("tos.rtd",,"VOLUME","."&amp;R$2&amp;R$1&amp;"C"&amp;$A24)*RTD("tos.rtd",,"LAST","."&amp;R$2&amp;R$1&amp;"C"&amp;$A24)-100*RTD("tos.rtd",,"VOLUME","."&amp;R$2&amp;R$1&amp;"P"&amp;$A24)*RTD("tos.rtd",,"LAST","."&amp;R$2&amp;R$1&amp;"P"&amp;$A24))/1000000),0),IF($A$2="DEX",IFERROR(IF($X$1="ABS",(100*RTD("tos.rtd",,"OPEN_INT","."&amp;R$2&amp;R$1&amp;"C"&amp;$A24)*RTD("tos.rtd",,"DELTA","."&amp;R$2&amp;R$1&amp;"C"&amp;$A24)+100*RTD("tos.rtd",,"OPEN_INT","."&amp;R$2&amp;R$1&amp;"P"&amp;$A24)*RTD("tos.rtd",,"DELTA","."&amp;R$2&amp;R$1&amp;"P"&amp;$A24))/1000,(100*RTD("tos.rtd",,"OPEN_INT","."&amp;R$2&amp;R$1&amp;"C"&amp;$A24)*RTD("tos.rtd",,"DELTA","."&amp;R$2&amp;R$1&amp;"C"&amp;$A24)-100*RTD("tos.rtd",,"OPEN_INT","."&amp;R$2&amp;R$1&amp;"P"&amp;$A24)*RTD("tos.rtd",,"DELTA","."&amp;R$2&amp;R$1&amp;"P"&amp;$A24))/1000),0),IF($A$2="VEX",IFERROR(IF($X$1="ABS",($A$4*$A$4*RTD("tos.rtd",,"VOLUME","."&amp;R$2&amp;R$1&amp;"C"&amp;$A24)*RTD("tos.rtd",,"GAMMA","."&amp;R$2&amp;R$1&amp;"C"&amp;$A24)+$A$4*$A$4*RTD("tos.rtd",,"VOLUME","."&amp;R$2&amp;R$1&amp;"P"&amp;$A24)*RTD("tos.rtd",,"GAMMA","."&amp;R$2&amp;R$1&amp;"P"&amp;$A24))/1000000,($A$4*$A$4*RTD("tos.rtd",,"VOLUME","."&amp;R$2&amp;R$1&amp;"C"&amp;$A24)*RTD("tos.rtd",,"GAMMA","."&amp;R$2&amp;R$1&amp;"C"&amp;$A24)-$A$4*$A$4*RTD("tos.rtd",,"VOLUME","."&amp;R$2&amp;R$1&amp;"P"&amp;$A24)*RTD("tos.rtd",,"GAMMA","."&amp;R$2&amp;R$1&amp;"P"&amp;$A24))/1000000),0),IF($A$2="GEX",IFERROR(IF($X$1="ABS",($A$4*$A$4*RTD("tos.rtd",,"OPEN_INT","."&amp;R$2&amp;R$1&amp;"C"&amp;$A24)*RTD("tos.rtd",,"GAMMA","."&amp;R$2&amp;R$1&amp;"C"&amp;$A24)+$A$4*$A$4*RTD("tos.rtd",,"OPEN_INT","."&amp;R$2&amp;R$1&amp;"P"&amp;$A24)*RTD("tos.rtd",,"GAMMA","."&amp;R$2&amp;R$1&amp;"P"&amp;$A24))/1000000,($A$4*$A$4*RTD("tos.rtd",,"OPEN_INT","."&amp;R$2&amp;R$1&amp;"C"&amp;$A24)*RTD("tos.rtd",,"GAMMA","."&amp;R$2&amp;R$1&amp;"C"&amp;$A24)-$A$4*$A$4*RTD("tos.rtd",,"OPEN_INT","."&amp;R$2&amp;R$1&amp;"P"&amp;$A24)*RTD("tos.rtd",,"GAMMA","."&amp;R$2&amp;R$1&amp;"P"&amp;$A24))/1000000),0),IF($A$2="SKEW",IFERROR(VALUE(IF(RTD("tos.rtd",,"IMPL_VOL","."&amp;R$2&amp;R$1&amp;"P"&amp;$A24)="N/A",0,RTD("tos.rtd",,"IMPL_VOL","."&amp;R$2&amp;R$1&amp;"P"&amp;$A24))),0)-IFERROR(VALUE(IF(RTD("tos.rtd",,"IMPL_VOL","."&amp;R$2&amp;R$1&amp;"C"&amp;$A24)="N/A",0,RTD("tos.rtd",,"IMPL_VOL","."&amp;R$2&amp;R$1&amp;"C"&amp;$A24))),0),IF($A$2="MAXPAIN",IF($A$4&gt;$A24,($A$4-$A24)*IF(RTD("tos.rtd",,"OPEN_INT","."&amp;R$2&amp;R$1&amp;"C"&amp;$A24)="N/A",0,RTD("tos.rtd",,"OPEN_INT","."&amp;R$2&amp;R$1&amp;"C"&amp;$A24)),0)+IF($A$4&lt;$A24,($A$5-$A$4)*IF(RTD("tos.rtd",,"OPEN_INT","."&amp;R$2&amp;R$1&amp;"P"&amp;$A24)="N/A",0,RTD("tos.rtd",,"OPEN_INT","."&amp;R$2&amp;R$1&amp;"P"&amp;$A24)),0),IF($X$1="ABS",IF(RTD("tos.rtd",,$A$2,"."&amp;R$2&amp;R$1&amp;"C"&amp;$A24)="N/A",0,RTD("tos.rtd",,$A$2,"."&amp;R$2&amp;R$1&amp;"C"&amp;$A24))+IF(RTD("tos.rtd",,$A$2,"."&amp;R$2&amp;R$1&amp;"P"&amp;$A24)="N/A",0,RTD("tos.rtd",,$A$2,"."&amp;R$2&amp;R$1&amp;"P"&amp;$A24)),IF(RTD("tos.rtd",,$A$2,"."&amp;R$2&amp;R$1&amp;"C"&amp;$A24)="N/A",0,RTD("tos.rtd",,$A$2,"."&amp;R$2&amp;R$1&amp;"C"&amp;$A24))-IF(RTD("tos.rtd",,$A$2,"."&amp;R$2&amp;R$1&amp;"P"&amp;$A24)="N/A",0,RTD("tos.rtd",,$A$2,"."&amp;R$2&amp;R$1&amp;"P"&amp;$A24))))))))))</f>
        <v>0</v>
      </c>
      <c r="S24" s="12">
        <f ca="1">IF($A$2="PREMIUM_OI",IFERROR(IF($X$1="ABS",(100*RTD("tos.rtd",,"OPEN_INT","."&amp;S$2&amp;S$1&amp;"C"&amp;$A24)*RTD("tos.rtd",,"LAST","."&amp;S$2&amp;S$1&amp;"C"&amp;$A24)+100*RTD("tos.rtd",,"OPEN_INT","."&amp;S$2&amp;S$1&amp;"P"&amp;$A24)*RTD("tos.rtd",,"LAST","."&amp;S$2&amp;S$1&amp;"P"&amp;$A24))/1000000,(100*RTD("tos.rtd",,"OPEN_INT","."&amp;S$2&amp;S$1&amp;"C"&amp;$A24)*RTD("tos.rtd",,"LAST","."&amp;S$2&amp;S$1&amp;"C"&amp;$A24)-100*RTD("tos.rtd",,"OPEN_INT","."&amp;S$2&amp;S$1&amp;"P"&amp;$A24)*RTD("tos.rtd",,"LAST","."&amp;S$2&amp;S$1&amp;"P"&amp;$A24))/1000000),0),IF($A$2="PREMIUM",IFERROR(IF($X$1="ABS",(100*RTD("tos.rtd",,"VOLUME","."&amp;S$2&amp;S$1&amp;"C"&amp;$A24)*RTD("tos.rtd",,"LAST","."&amp;S$2&amp;S$1&amp;"C"&amp;$A24)+100*RTD("tos.rtd",,"VOLUME","."&amp;S$2&amp;S$1&amp;"P"&amp;$A24)*RTD("tos.rtd",,"LAST","."&amp;S$2&amp;S$1&amp;"P"&amp;$A24))/1000000,(100*RTD("tos.rtd",,"VOLUME","."&amp;S$2&amp;S$1&amp;"C"&amp;$A24)*RTD("tos.rtd",,"LAST","."&amp;S$2&amp;S$1&amp;"C"&amp;$A24)-100*RTD("tos.rtd",,"VOLUME","."&amp;S$2&amp;S$1&amp;"P"&amp;$A24)*RTD("tos.rtd",,"LAST","."&amp;S$2&amp;S$1&amp;"P"&amp;$A24))/1000000),0),IF($A$2="DEX",IFERROR(IF($X$1="ABS",(100*RTD("tos.rtd",,"OPEN_INT","."&amp;S$2&amp;S$1&amp;"C"&amp;$A24)*RTD("tos.rtd",,"DELTA","."&amp;S$2&amp;S$1&amp;"C"&amp;$A24)+100*RTD("tos.rtd",,"OPEN_INT","."&amp;S$2&amp;S$1&amp;"P"&amp;$A24)*RTD("tos.rtd",,"DELTA","."&amp;S$2&amp;S$1&amp;"P"&amp;$A24))/1000,(100*RTD("tos.rtd",,"OPEN_INT","."&amp;S$2&amp;S$1&amp;"C"&amp;$A24)*RTD("tos.rtd",,"DELTA","."&amp;S$2&amp;S$1&amp;"C"&amp;$A24)-100*RTD("tos.rtd",,"OPEN_INT","."&amp;S$2&amp;S$1&amp;"P"&amp;$A24)*RTD("tos.rtd",,"DELTA","."&amp;S$2&amp;S$1&amp;"P"&amp;$A24))/1000),0),IF($A$2="VEX",IFERROR(IF($X$1="ABS",($A$4*$A$4*RTD("tos.rtd",,"VOLUME","."&amp;S$2&amp;S$1&amp;"C"&amp;$A24)*RTD("tos.rtd",,"GAMMA","."&amp;S$2&amp;S$1&amp;"C"&amp;$A24)+$A$4*$A$4*RTD("tos.rtd",,"VOLUME","."&amp;S$2&amp;S$1&amp;"P"&amp;$A24)*RTD("tos.rtd",,"GAMMA","."&amp;S$2&amp;S$1&amp;"P"&amp;$A24))/1000000,($A$4*$A$4*RTD("tos.rtd",,"VOLUME","."&amp;S$2&amp;S$1&amp;"C"&amp;$A24)*RTD("tos.rtd",,"GAMMA","."&amp;S$2&amp;S$1&amp;"C"&amp;$A24)-$A$4*$A$4*RTD("tos.rtd",,"VOLUME","."&amp;S$2&amp;S$1&amp;"P"&amp;$A24)*RTD("tos.rtd",,"GAMMA","."&amp;S$2&amp;S$1&amp;"P"&amp;$A24))/1000000),0),IF($A$2="GEX",IFERROR(IF($X$1="ABS",($A$4*$A$4*RTD("tos.rtd",,"OPEN_INT","."&amp;S$2&amp;S$1&amp;"C"&amp;$A24)*RTD("tos.rtd",,"GAMMA","."&amp;S$2&amp;S$1&amp;"C"&amp;$A24)+$A$4*$A$4*RTD("tos.rtd",,"OPEN_INT","."&amp;S$2&amp;S$1&amp;"P"&amp;$A24)*RTD("tos.rtd",,"GAMMA","."&amp;S$2&amp;S$1&amp;"P"&amp;$A24))/1000000,($A$4*$A$4*RTD("tos.rtd",,"OPEN_INT","."&amp;S$2&amp;S$1&amp;"C"&amp;$A24)*RTD("tos.rtd",,"GAMMA","."&amp;S$2&amp;S$1&amp;"C"&amp;$A24)-$A$4*$A$4*RTD("tos.rtd",,"OPEN_INT","."&amp;S$2&amp;S$1&amp;"P"&amp;$A24)*RTD("tos.rtd",,"GAMMA","."&amp;S$2&amp;S$1&amp;"P"&amp;$A24))/1000000),0),IF($A$2="SKEW",IFERROR(VALUE(IF(RTD("tos.rtd",,"IMPL_VOL","."&amp;S$2&amp;S$1&amp;"P"&amp;$A24)="N/A",0,RTD("tos.rtd",,"IMPL_VOL","."&amp;S$2&amp;S$1&amp;"P"&amp;$A24))),0)-IFERROR(VALUE(IF(RTD("tos.rtd",,"IMPL_VOL","."&amp;S$2&amp;S$1&amp;"C"&amp;$A24)="N/A",0,RTD("tos.rtd",,"IMPL_VOL","."&amp;S$2&amp;S$1&amp;"C"&amp;$A24))),0),IF($A$2="MAXPAIN",IF($A$4&gt;$A24,($A$4-$A24)*IF(RTD("tos.rtd",,"OPEN_INT","."&amp;S$2&amp;S$1&amp;"C"&amp;$A24)="N/A",0,RTD("tos.rtd",,"OPEN_INT","."&amp;S$2&amp;S$1&amp;"C"&amp;$A24)),0)+IF($A$4&lt;$A24,($A$5-$A$4)*IF(RTD("tos.rtd",,"OPEN_INT","."&amp;S$2&amp;S$1&amp;"P"&amp;$A24)="N/A",0,RTD("tos.rtd",,"OPEN_INT","."&amp;S$2&amp;S$1&amp;"P"&amp;$A24)),0),IF($X$1="ABS",IF(RTD("tos.rtd",,$A$2,"."&amp;S$2&amp;S$1&amp;"C"&amp;$A24)="N/A",0,RTD("tos.rtd",,$A$2,"."&amp;S$2&amp;S$1&amp;"C"&amp;$A24))+IF(RTD("tos.rtd",,$A$2,"."&amp;S$2&amp;S$1&amp;"P"&amp;$A24)="N/A",0,RTD("tos.rtd",,$A$2,"."&amp;S$2&amp;S$1&amp;"P"&amp;$A24)),IF(RTD("tos.rtd",,$A$2,"."&amp;S$2&amp;S$1&amp;"C"&amp;$A24)="N/A",0,RTD("tos.rtd",,$A$2,"."&amp;S$2&amp;S$1&amp;"C"&amp;$A24))-IF(RTD("tos.rtd",,$A$2,"."&amp;S$2&amp;S$1&amp;"P"&amp;$A24)="N/A",0,RTD("tos.rtd",,$A$2,"."&amp;S$2&amp;S$1&amp;"P"&amp;$A24))))))))))</f>
        <v>0</v>
      </c>
      <c r="T24" s="12">
        <f ca="1">IF($A$2="PREMIUM_OI",IFERROR(IF($X$1="ABS",(100*RTD("tos.rtd",,"OPEN_INT","."&amp;T$2&amp;T$1&amp;"C"&amp;$A24)*RTD("tos.rtd",,"LAST","."&amp;T$2&amp;T$1&amp;"C"&amp;$A24)+100*RTD("tos.rtd",,"OPEN_INT","."&amp;T$2&amp;T$1&amp;"P"&amp;$A24)*RTD("tos.rtd",,"LAST","."&amp;T$2&amp;T$1&amp;"P"&amp;$A24))/1000000,(100*RTD("tos.rtd",,"OPEN_INT","."&amp;T$2&amp;T$1&amp;"C"&amp;$A24)*RTD("tos.rtd",,"LAST","."&amp;T$2&amp;T$1&amp;"C"&amp;$A24)-100*RTD("tos.rtd",,"OPEN_INT","."&amp;T$2&amp;T$1&amp;"P"&amp;$A24)*RTD("tos.rtd",,"LAST","."&amp;T$2&amp;T$1&amp;"P"&amp;$A24))/1000000),0),IF($A$2="PREMIUM",IFERROR(IF($X$1="ABS",(100*RTD("tos.rtd",,"VOLUME","."&amp;T$2&amp;T$1&amp;"C"&amp;$A24)*RTD("tos.rtd",,"LAST","."&amp;T$2&amp;T$1&amp;"C"&amp;$A24)+100*RTD("tos.rtd",,"VOLUME","."&amp;T$2&amp;T$1&amp;"P"&amp;$A24)*RTD("tos.rtd",,"LAST","."&amp;T$2&amp;T$1&amp;"P"&amp;$A24))/1000000,(100*RTD("tos.rtd",,"VOLUME","."&amp;T$2&amp;T$1&amp;"C"&amp;$A24)*RTD("tos.rtd",,"LAST","."&amp;T$2&amp;T$1&amp;"C"&amp;$A24)-100*RTD("tos.rtd",,"VOLUME","."&amp;T$2&amp;T$1&amp;"P"&amp;$A24)*RTD("tos.rtd",,"LAST","."&amp;T$2&amp;T$1&amp;"P"&amp;$A24))/1000000),0),IF($A$2="DEX",IFERROR(IF($X$1="ABS",(100*RTD("tos.rtd",,"OPEN_INT","."&amp;T$2&amp;T$1&amp;"C"&amp;$A24)*RTD("tos.rtd",,"DELTA","."&amp;T$2&amp;T$1&amp;"C"&amp;$A24)+100*RTD("tos.rtd",,"OPEN_INT","."&amp;T$2&amp;T$1&amp;"P"&amp;$A24)*RTD("tos.rtd",,"DELTA","."&amp;T$2&amp;T$1&amp;"P"&amp;$A24))/1000,(100*RTD("tos.rtd",,"OPEN_INT","."&amp;T$2&amp;T$1&amp;"C"&amp;$A24)*RTD("tos.rtd",,"DELTA","."&amp;T$2&amp;T$1&amp;"C"&amp;$A24)-100*RTD("tos.rtd",,"OPEN_INT","."&amp;T$2&amp;T$1&amp;"P"&amp;$A24)*RTD("tos.rtd",,"DELTA","."&amp;T$2&amp;T$1&amp;"P"&amp;$A24))/1000),0),IF($A$2="VEX",IFERROR(IF($X$1="ABS",($A$4*$A$4*RTD("tos.rtd",,"VOLUME","."&amp;T$2&amp;T$1&amp;"C"&amp;$A24)*RTD("tos.rtd",,"GAMMA","."&amp;T$2&amp;T$1&amp;"C"&amp;$A24)+$A$4*$A$4*RTD("tos.rtd",,"VOLUME","."&amp;T$2&amp;T$1&amp;"P"&amp;$A24)*RTD("tos.rtd",,"GAMMA","."&amp;T$2&amp;T$1&amp;"P"&amp;$A24))/1000000,($A$4*$A$4*RTD("tos.rtd",,"VOLUME","."&amp;T$2&amp;T$1&amp;"C"&amp;$A24)*RTD("tos.rtd",,"GAMMA","."&amp;T$2&amp;T$1&amp;"C"&amp;$A24)-$A$4*$A$4*RTD("tos.rtd",,"VOLUME","."&amp;T$2&amp;T$1&amp;"P"&amp;$A24)*RTD("tos.rtd",,"GAMMA","."&amp;T$2&amp;T$1&amp;"P"&amp;$A24))/1000000),0),IF($A$2="GEX",IFERROR(IF($X$1="ABS",($A$4*$A$4*RTD("tos.rtd",,"OPEN_INT","."&amp;T$2&amp;T$1&amp;"C"&amp;$A24)*RTD("tos.rtd",,"GAMMA","."&amp;T$2&amp;T$1&amp;"C"&amp;$A24)+$A$4*$A$4*RTD("tos.rtd",,"OPEN_INT","."&amp;T$2&amp;T$1&amp;"P"&amp;$A24)*RTD("tos.rtd",,"GAMMA","."&amp;T$2&amp;T$1&amp;"P"&amp;$A24))/1000000,($A$4*$A$4*RTD("tos.rtd",,"OPEN_INT","."&amp;T$2&amp;T$1&amp;"C"&amp;$A24)*RTD("tos.rtd",,"GAMMA","."&amp;T$2&amp;T$1&amp;"C"&amp;$A24)-$A$4*$A$4*RTD("tos.rtd",,"OPEN_INT","."&amp;T$2&amp;T$1&amp;"P"&amp;$A24)*RTD("tos.rtd",,"GAMMA","."&amp;T$2&amp;T$1&amp;"P"&amp;$A24))/1000000),0),IF($A$2="SKEW",IFERROR(VALUE(IF(RTD("tos.rtd",,"IMPL_VOL","."&amp;T$2&amp;T$1&amp;"P"&amp;$A24)="N/A",0,RTD("tos.rtd",,"IMPL_VOL","."&amp;T$2&amp;T$1&amp;"P"&amp;$A24))),0)-IFERROR(VALUE(IF(RTD("tos.rtd",,"IMPL_VOL","."&amp;T$2&amp;T$1&amp;"C"&amp;$A24)="N/A",0,RTD("tos.rtd",,"IMPL_VOL","."&amp;T$2&amp;T$1&amp;"C"&amp;$A24))),0),IF($A$2="MAXPAIN",IF($A$4&gt;$A24,($A$4-$A24)*IF(RTD("tos.rtd",,"OPEN_INT","."&amp;T$2&amp;T$1&amp;"C"&amp;$A24)="N/A",0,RTD("tos.rtd",,"OPEN_INT","."&amp;T$2&amp;T$1&amp;"C"&amp;$A24)),0)+IF($A$4&lt;$A24,($A$5-$A$4)*IF(RTD("tos.rtd",,"OPEN_INT","."&amp;T$2&amp;T$1&amp;"P"&amp;$A24)="N/A",0,RTD("tos.rtd",,"OPEN_INT","."&amp;T$2&amp;T$1&amp;"P"&amp;$A24)),0),IF($X$1="ABS",IF(RTD("tos.rtd",,$A$2,"."&amp;T$2&amp;T$1&amp;"C"&amp;$A24)="N/A",0,RTD("tos.rtd",,$A$2,"."&amp;T$2&amp;T$1&amp;"C"&amp;$A24))+IF(RTD("tos.rtd",,$A$2,"."&amp;T$2&amp;T$1&amp;"P"&amp;$A24)="N/A",0,RTD("tos.rtd",,$A$2,"."&amp;T$2&amp;T$1&amp;"P"&amp;$A24)),IF(RTD("tos.rtd",,$A$2,"."&amp;T$2&amp;T$1&amp;"C"&amp;$A24)="N/A",0,RTD("tos.rtd",,$A$2,"."&amp;T$2&amp;T$1&amp;"C"&amp;$A24))-IF(RTD("tos.rtd",,$A$2,"."&amp;T$2&amp;T$1&amp;"P"&amp;$A24)="N/A",0,RTD("tos.rtd",,$A$2,"."&amp;T$2&amp;T$1&amp;"P"&amp;$A24))))))))))</f>
        <v>0</v>
      </c>
      <c r="U24" s="12">
        <f ca="1">IF($A$2="PREMIUM_OI",IFERROR(IF($X$1="ABS",(100*RTD("tos.rtd",,"OPEN_INT","."&amp;U$2&amp;U$1&amp;"C"&amp;$A24)*RTD("tos.rtd",,"LAST","."&amp;U$2&amp;U$1&amp;"C"&amp;$A24)+100*RTD("tos.rtd",,"OPEN_INT","."&amp;U$2&amp;U$1&amp;"P"&amp;$A24)*RTD("tos.rtd",,"LAST","."&amp;U$2&amp;U$1&amp;"P"&amp;$A24))/1000000,(100*RTD("tos.rtd",,"OPEN_INT","."&amp;U$2&amp;U$1&amp;"C"&amp;$A24)*RTD("tos.rtd",,"LAST","."&amp;U$2&amp;U$1&amp;"C"&amp;$A24)-100*RTD("tos.rtd",,"OPEN_INT","."&amp;U$2&amp;U$1&amp;"P"&amp;$A24)*RTD("tos.rtd",,"LAST","."&amp;U$2&amp;U$1&amp;"P"&amp;$A24))/1000000),0),IF($A$2="PREMIUM",IFERROR(IF($X$1="ABS",(100*RTD("tos.rtd",,"VOLUME","."&amp;U$2&amp;U$1&amp;"C"&amp;$A24)*RTD("tos.rtd",,"LAST","."&amp;U$2&amp;U$1&amp;"C"&amp;$A24)+100*RTD("tos.rtd",,"VOLUME","."&amp;U$2&amp;U$1&amp;"P"&amp;$A24)*RTD("tos.rtd",,"LAST","."&amp;U$2&amp;U$1&amp;"P"&amp;$A24))/1000000,(100*RTD("tos.rtd",,"VOLUME","."&amp;U$2&amp;U$1&amp;"C"&amp;$A24)*RTD("tos.rtd",,"LAST","."&amp;U$2&amp;U$1&amp;"C"&amp;$A24)-100*RTD("tos.rtd",,"VOLUME","."&amp;U$2&amp;U$1&amp;"P"&amp;$A24)*RTD("tos.rtd",,"LAST","."&amp;U$2&amp;U$1&amp;"P"&amp;$A24))/1000000),0),IF($A$2="DEX",IFERROR(IF($X$1="ABS",(100*RTD("tos.rtd",,"OPEN_INT","."&amp;U$2&amp;U$1&amp;"C"&amp;$A24)*RTD("tos.rtd",,"DELTA","."&amp;U$2&amp;U$1&amp;"C"&amp;$A24)+100*RTD("tos.rtd",,"OPEN_INT","."&amp;U$2&amp;U$1&amp;"P"&amp;$A24)*RTD("tos.rtd",,"DELTA","."&amp;U$2&amp;U$1&amp;"P"&amp;$A24))/1000,(100*RTD("tos.rtd",,"OPEN_INT","."&amp;U$2&amp;U$1&amp;"C"&amp;$A24)*RTD("tos.rtd",,"DELTA","."&amp;U$2&amp;U$1&amp;"C"&amp;$A24)-100*RTD("tos.rtd",,"OPEN_INT","."&amp;U$2&amp;U$1&amp;"P"&amp;$A24)*RTD("tos.rtd",,"DELTA","."&amp;U$2&amp;U$1&amp;"P"&amp;$A24))/1000),0),IF($A$2="VEX",IFERROR(IF($X$1="ABS",($A$4*$A$4*RTD("tos.rtd",,"VOLUME","."&amp;U$2&amp;U$1&amp;"C"&amp;$A24)*RTD("tos.rtd",,"GAMMA","."&amp;U$2&amp;U$1&amp;"C"&amp;$A24)+$A$4*$A$4*RTD("tos.rtd",,"VOLUME","."&amp;U$2&amp;U$1&amp;"P"&amp;$A24)*RTD("tos.rtd",,"GAMMA","."&amp;U$2&amp;U$1&amp;"P"&amp;$A24))/1000000,($A$4*$A$4*RTD("tos.rtd",,"VOLUME","."&amp;U$2&amp;U$1&amp;"C"&amp;$A24)*RTD("tos.rtd",,"GAMMA","."&amp;U$2&amp;U$1&amp;"C"&amp;$A24)-$A$4*$A$4*RTD("tos.rtd",,"VOLUME","."&amp;U$2&amp;U$1&amp;"P"&amp;$A24)*RTD("tos.rtd",,"GAMMA","."&amp;U$2&amp;U$1&amp;"P"&amp;$A24))/1000000),0),IF($A$2="GEX",IFERROR(IF($X$1="ABS",($A$4*$A$4*RTD("tos.rtd",,"OPEN_INT","."&amp;U$2&amp;U$1&amp;"C"&amp;$A24)*RTD("tos.rtd",,"GAMMA","."&amp;U$2&amp;U$1&amp;"C"&amp;$A24)+$A$4*$A$4*RTD("tos.rtd",,"OPEN_INT","."&amp;U$2&amp;U$1&amp;"P"&amp;$A24)*RTD("tos.rtd",,"GAMMA","."&amp;U$2&amp;U$1&amp;"P"&amp;$A24))/1000000,($A$4*$A$4*RTD("tos.rtd",,"OPEN_INT","."&amp;U$2&amp;U$1&amp;"C"&amp;$A24)*RTD("tos.rtd",,"GAMMA","."&amp;U$2&amp;U$1&amp;"C"&amp;$A24)-$A$4*$A$4*RTD("tos.rtd",,"OPEN_INT","."&amp;U$2&amp;U$1&amp;"P"&amp;$A24)*RTD("tos.rtd",,"GAMMA","."&amp;U$2&amp;U$1&amp;"P"&amp;$A24))/1000000),0),IF($A$2="SKEW",IFERROR(VALUE(IF(RTD("tos.rtd",,"IMPL_VOL","."&amp;U$2&amp;U$1&amp;"P"&amp;$A24)="N/A",0,RTD("tos.rtd",,"IMPL_VOL","."&amp;U$2&amp;U$1&amp;"P"&amp;$A24))),0)-IFERROR(VALUE(IF(RTD("tos.rtd",,"IMPL_VOL","."&amp;U$2&amp;U$1&amp;"C"&amp;$A24)="N/A",0,RTD("tos.rtd",,"IMPL_VOL","."&amp;U$2&amp;U$1&amp;"C"&amp;$A24))),0),IF($A$2="MAXPAIN",IF($A$4&gt;$A24,($A$4-$A24)*IF(RTD("tos.rtd",,"OPEN_INT","."&amp;U$2&amp;U$1&amp;"C"&amp;$A24)="N/A",0,RTD("tos.rtd",,"OPEN_INT","."&amp;U$2&amp;U$1&amp;"C"&amp;$A24)),0)+IF($A$4&lt;$A24,($A$5-$A$4)*IF(RTD("tos.rtd",,"OPEN_INT","."&amp;U$2&amp;U$1&amp;"P"&amp;$A24)="N/A",0,RTD("tos.rtd",,"OPEN_INT","."&amp;U$2&amp;U$1&amp;"P"&amp;$A24)),0),IF($X$1="ABS",IF(RTD("tos.rtd",,$A$2,"."&amp;U$2&amp;U$1&amp;"C"&amp;$A24)="N/A",0,RTD("tos.rtd",,$A$2,"."&amp;U$2&amp;U$1&amp;"C"&amp;$A24))+IF(RTD("tos.rtd",,$A$2,"."&amp;U$2&amp;U$1&amp;"P"&amp;$A24)="N/A",0,RTD("tos.rtd",,$A$2,"."&amp;U$2&amp;U$1&amp;"P"&amp;$A24)),IF(RTD("tos.rtd",,$A$2,"."&amp;U$2&amp;U$1&amp;"C"&amp;$A24)="N/A",0,RTD("tos.rtd",,$A$2,"."&amp;U$2&amp;U$1&amp;"C"&amp;$A24))-IF(RTD("tos.rtd",,$A$2,"."&amp;U$2&amp;U$1&amp;"P"&amp;$A24)="N/A",0,RTD("tos.rtd",,$A$2,"."&amp;U$2&amp;U$1&amp;"P"&amp;$A24))))))))))</f>
        <v>0</v>
      </c>
      <c r="V24" s="12">
        <f ca="1">IF($A$2="PREMIUM_OI",IFERROR(IF($X$1="ABS",(100*RTD("tos.rtd",,"OPEN_INT","."&amp;V$2&amp;V$1&amp;"C"&amp;$A24)*RTD("tos.rtd",,"LAST","."&amp;V$2&amp;V$1&amp;"C"&amp;$A24)+100*RTD("tos.rtd",,"OPEN_INT","."&amp;V$2&amp;V$1&amp;"P"&amp;$A24)*RTD("tos.rtd",,"LAST","."&amp;V$2&amp;V$1&amp;"P"&amp;$A24))/1000000,(100*RTD("tos.rtd",,"OPEN_INT","."&amp;V$2&amp;V$1&amp;"C"&amp;$A24)*RTD("tos.rtd",,"LAST","."&amp;V$2&amp;V$1&amp;"C"&amp;$A24)-100*RTD("tos.rtd",,"OPEN_INT","."&amp;V$2&amp;V$1&amp;"P"&amp;$A24)*RTD("tos.rtd",,"LAST","."&amp;V$2&amp;V$1&amp;"P"&amp;$A24))/1000000),0),IF($A$2="PREMIUM",IFERROR(IF($X$1="ABS",(100*RTD("tos.rtd",,"VOLUME","."&amp;V$2&amp;V$1&amp;"C"&amp;$A24)*RTD("tos.rtd",,"LAST","."&amp;V$2&amp;V$1&amp;"C"&amp;$A24)+100*RTD("tos.rtd",,"VOLUME","."&amp;V$2&amp;V$1&amp;"P"&amp;$A24)*RTD("tos.rtd",,"LAST","."&amp;V$2&amp;V$1&amp;"P"&amp;$A24))/1000000,(100*RTD("tos.rtd",,"VOLUME","."&amp;V$2&amp;V$1&amp;"C"&amp;$A24)*RTD("tos.rtd",,"LAST","."&amp;V$2&amp;V$1&amp;"C"&amp;$A24)-100*RTD("tos.rtd",,"VOLUME","."&amp;V$2&amp;V$1&amp;"P"&amp;$A24)*RTD("tos.rtd",,"LAST","."&amp;V$2&amp;V$1&amp;"P"&amp;$A24))/1000000),0),IF($A$2="DEX",IFERROR(IF($X$1="ABS",(100*RTD("tos.rtd",,"OPEN_INT","."&amp;V$2&amp;V$1&amp;"C"&amp;$A24)*RTD("tos.rtd",,"DELTA","."&amp;V$2&amp;V$1&amp;"C"&amp;$A24)+100*RTD("tos.rtd",,"OPEN_INT","."&amp;V$2&amp;V$1&amp;"P"&amp;$A24)*RTD("tos.rtd",,"DELTA","."&amp;V$2&amp;V$1&amp;"P"&amp;$A24))/1000,(100*RTD("tos.rtd",,"OPEN_INT","."&amp;V$2&amp;V$1&amp;"C"&amp;$A24)*RTD("tos.rtd",,"DELTA","."&amp;V$2&amp;V$1&amp;"C"&amp;$A24)-100*RTD("tos.rtd",,"OPEN_INT","."&amp;V$2&amp;V$1&amp;"P"&amp;$A24)*RTD("tos.rtd",,"DELTA","."&amp;V$2&amp;V$1&amp;"P"&amp;$A24))/1000),0),IF($A$2="VEX",IFERROR(IF($X$1="ABS",($A$4*$A$4*RTD("tos.rtd",,"VOLUME","."&amp;V$2&amp;V$1&amp;"C"&amp;$A24)*RTD("tos.rtd",,"GAMMA","."&amp;V$2&amp;V$1&amp;"C"&amp;$A24)+$A$4*$A$4*RTD("tos.rtd",,"VOLUME","."&amp;V$2&amp;V$1&amp;"P"&amp;$A24)*RTD("tos.rtd",,"GAMMA","."&amp;V$2&amp;V$1&amp;"P"&amp;$A24))/1000000,($A$4*$A$4*RTD("tos.rtd",,"VOLUME","."&amp;V$2&amp;V$1&amp;"C"&amp;$A24)*RTD("tos.rtd",,"GAMMA","."&amp;V$2&amp;V$1&amp;"C"&amp;$A24)-$A$4*$A$4*RTD("tos.rtd",,"VOLUME","."&amp;V$2&amp;V$1&amp;"P"&amp;$A24)*RTD("tos.rtd",,"GAMMA","."&amp;V$2&amp;V$1&amp;"P"&amp;$A24))/1000000),0),IF($A$2="GEX",IFERROR(IF($X$1="ABS",($A$4*$A$4*RTD("tos.rtd",,"OPEN_INT","."&amp;V$2&amp;V$1&amp;"C"&amp;$A24)*RTD("tos.rtd",,"GAMMA","."&amp;V$2&amp;V$1&amp;"C"&amp;$A24)+$A$4*$A$4*RTD("tos.rtd",,"OPEN_INT","."&amp;V$2&amp;V$1&amp;"P"&amp;$A24)*RTD("tos.rtd",,"GAMMA","."&amp;V$2&amp;V$1&amp;"P"&amp;$A24))/1000000,($A$4*$A$4*RTD("tos.rtd",,"OPEN_INT","."&amp;V$2&amp;V$1&amp;"C"&amp;$A24)*RTD("tos.rtd",,"GAMMA","."&amp;V$2&amp;V$1&amp;"C"&amp;$A24)-$A$4*$A$4*RTD("tos.rtd",,"OPEN_INT","."&amp;V$2&amp;V$1&amp;"P"&amp;$A24)*RTD("tos.rtd",,"GAMMA","."&amp;V$2&amp;V$1&amp;"P"&amp;$A24))/1000000),0),IF($A$2="SKEW",IFERROR(VALUE(IF(RTD("tos.rtd",,"IMPL_VOL","."&amp;V$2&amp;V$1&amp;"P"&amp;$A24)="N/A",0,RTD("tos.rtd",,"IMPL_VOL","."&amp;V$2&amp;V$1&amp;"P"&amp;$A24))),0)-IFERROR(VALUE(IF(RTD("tos.rtd",,"IMPL_VOL","."&amp;V$2&amp;V$1&amp;"C"&amp;$A24)="N/A",0,RTD("tos.rtd",,"IMPL_VOL","."&amp;V$2&amp;V$1&amp;"C"&amp;$A24))),0),IF($A$2="MAXPAIN",IF($A$4&gt;$A24,($A$4-$A24)*IF(RTD("tos.rtd",,"OPEN_INT","."&amp;V$2&amp;V$1&amp;"C"&amp;$A24)="N/A",0,RTD("tos.rtd",,"OPEN_INT","."&amp;V$2&amp;V$1&amp;"C"&amp;$A24)),0)+IF($A$4&lt;$A24,($A$5-$A$4)*IF(RTD("tos.rtd",,"OPEN_INT","."&amp;V$2&amp;V$1&amp;"P"&amp;$A24)="N/A",0,RTD("tos.rtd",,"OPEN_INT","."&amp;V$2&amp;V$1&amp;"P"&amp;$A24)),0),IF($X$1="ABS",IF(RTD("tos.rtd",,$A$2,"."&amp;V$2&amp;V$1&amp;"C"&amp;$A24)="N/A",0,RTD("tos.rtd",,$A$2,"."&amp;V$2&amp;V$1&amp;"C"&amp;$A24))+IF(RTD("tos.rtd",,$A$2,"."&amp;V$2&amp;V$1&amp;"P"&amp;$A24)="N/A",0,RTD("tos.rtd",,$A$2,"."&amp;V$2&amp;V$1&amp;"P"&amp;$A24)),IF(RTD("tos.rtd",,$A$2,"."&amp;V$2&amp;V$1&amp;"C"&amp;$A24)="N/A",0,RTD("tos.rtd",,$A$2,"."&amp;V$2&amp;V$1&amp;"C"&amp;$A24))-IF(RTD("tos.rtd",,$A$2,"."&amp;V$2&amp;V$1&amp;"P"&amp;$A24)="N/A",0,RTD("tos.rtd",,$A$2,"."&amp;V$2&amp;V$1&amp;"P"&amp;$A24))))))))))</f>
        <v>0</v>
      </c>
      <c r="W24" s="54">
        <f ca="1">IF($A$2="PREMIUM_OI",IFERROR(IF($X$1="ABS",(100*RTD("tos.rtd",,"OPEN_INT","."&amp;W$2&amp;W$1&amp;"C"&amp;$A24)*RTD("tos.rtd",,"LAST","."&amp;W$2&amp;W$1&amp;"C"&amp;$A24)+100*RTD("tos.rtd",,"OPEN_INT","."&amp;W$2&amp;W$1&amp;"P"&amp;$A24)*RTD("tos.rtd",,"LAST","."&amp;W$2&amp;W$1&amp;"P"&amp;$A24))/1000000,(100*RTD("tos.rtd",,"OPEN_INT","."&amp;W$2&amp;W$1&amp;"C"&amp;$A24)*RTD("tos.rtd",,"LAST","."&amp;W$2&amp;W$1&amp;"C"&amp;$A24)-100*RTD("tos.rtd",,"OPEN_INT","."&amp;W$2&amp;W$1&amp;"P"&amp;$A24)*RTD("tos.rtd",,"LAST","."&amp;W$2&amp;W$1&amp;"P"&amp;$A24))/1000000),0),IF($A$2="PREMIUM",IFERROR(IF($X$1="ABS",(100*RTD("tos.rtd",,"VOLUME","."&amp;W$2&amp;W$1&amp;"C"&amp;$A24)*RTD("tos.rtd",,"LAST","."&amp;W$2&amp;W$1&amp;"C"&amp;$A24)+100*RTD("tos.rtd",,"VOLUME","."&amp;W$2&amp;W$1&amp;"P"&amp;$A24)*RTD("tos.rtd",,"LAST","."&amp;W$2&amp;W$1&amp;"P"&amp;$A24))/1000000,(100*RTD("tos.rtd",,"VOLUME","."&amp;W$2&amp;W$1&amp;"C"&amp;$A24)*RTD("tos.rtd",,"LAST","."&amp;W$2&amp;W$1&amp;"C"&amp;$A24)-100*RTD("tos.rtd",,"VOLUME","."&amp;W$2&amp;W$1&amp;"P"&amp;$A24)*RTD("tos.rtd",,"LAST","."&amp;W$2&amp;W$1&amp;"P"&amp;$A24))/1000000),0),IF($A$2="DEX",IFERROR(IF($X$1="ABS",(100*RTD("tos.rtd",,"OPEN_INT","."&amp;W$2&amp;W$1&amp;"C"&amp;$A24)*RTD("tos.rtd",,"DELTA","."&amp;W$2&amp;W$1&amp;"C"&amp;$A24)+100*RTD("tos.rtd",,"OPEN_INT","."&amp;W$2&amp;W$1&amp;"P"&amp;$A24)*RTD("tos.rtd",,"DELTA","."&amp;W$2&amp;W$1&amp;"P"&amp;$A24))/1000,(100*RTD("tos.rtd",,"OPEN_INT","."&amp;W$2&amp;W$1&amp;"C"&amp;$A24)*RTD("tos.rtd",,"DELTA","."&amp;W$2&amp;W$1&amp;"C"&amp;$A24)-100*RTD("tos.rtd",,"OPEN_INT","."&amp;W$2&amp;W$1&amp;"P"&amp;$A24)*RTD("tos.rtd",,"DELTA","."&amp;W$2&amp;W$1&amp;"P"&amp;$A24))/1000),0),IF($A$2="VEX",IFERROR(IF($X$1="ABS",($A$4*$A$4*RTD("tos.rtd",,"VOLUME","."&amp;W$2&amp;W$1&amp;"C"&amp;$A24)*RTD("tos.rtd",,"GAMMA","."&amp;W$2&amp;W$1&amp;"C"&amp;$A24)+$A$4*$A$4*RTD("tos.rtd",,"VOLUME","."&amp;W$2&amp;W$1&amp;"P"&amp;$A24)*RTD("tos.rtd",,"GAMMA","."&amp;W$2&amp;W$1&amp;"P"&amp;$A24))/1000000,($A$4*$A$4*RTD("tos.rtd",,"VOLUME","."&amp;W$2&amp;W$1&amp;"C"&amp;$A24)*RTD("tos.rtd",,"GAMMA","."&amp;W$2&amp;W$1&amp;"C"&amp;$A24)-$A$4*$A$4*RTD("tos.rtd",,"VOLUME","."&amp;W$2&amp;W$1&amp;"P"&amp;$A24)*RTD("tos.rtd",,"GAMMA","."&amp;W$2&amp;W$1&amp;"P"&amp;$A24))/1000000),0),IF($A$2="GEX",IFERROR(IF($X$1="ABS",($A$4*$A$4*RTD("tos.rtd",,"OPEN_INT","."&amp;W$2&amp;W$1&amp;"C"&amp;$A24)*RTD("tos.rtd",,"GAMMA","."&amp;W$2&amp;W$1&amp;"C"&amp;$A24)+$A$4*$A$4*RTD("tos.rtd",,"OPEN_INT","."&amp;W$2&amp;W$1&amp;"P"&amp;$A24)*RTD("tos.rtd",,"GAMMA","."&amp;W$2&amp;W$1&amp;"P"&amp;$A24))/1000000,($A$4*$A$4*RTD("tos.rtd",,"OPEN_INT","."&amp;W$2&amp;W$1&amp;"C"&amp;$A24)*RTD("tos.rtd",,"GAMMA","."&amp;W$2&amp;W$1&amp;"C"&amp;$A24)-$A$4*$A$4*RTD("tos.rtd",,"OPEN_INT","."&amp;W$2&amp;W$1&amp;"P"&amp;$A24)*RTD("tos.rtd",,"GAMMA","."&amp;W$2&amp;W$1&amp;"P"&amp;$A24))/1000000),0),IF($A$2="SKEW",IFERROR(VALUE(IF(RTD("tos.rtd",,"IMPL_VOL","."&amp;W$2&amp;W$1&amp;"P"&amp;$A24)="N/A",0,RTD("tos.rtd",,"IMPL_VOL","."&amp;W$2&amp;W$1&amp;"P"&amp;$A24))),0)-IFERROR(VALUE(IF(RTD("tos.rtd",,"IMPL_VOL","."&amp;W$2&amp;W$1&amp;"C"&amp;$A24)="N/A",0,RTD("tos.rtd",,"IMPL_VOL","."&amp;W$2&amp;W$1&amp;"C"&amp;$A24))),0),IF($A$2="MAXPAIN",IF($A$4&gt;$A24,($A$4-$A24)*IF(RTD("tos.rtd",,"OPEN_INT","."&amp;W$2&amp;W$1&amp;"C"&amp;$A24)="N/A",0,RTD("tos.rtd",,"OPEN_INT","."&amp;W$2&amp;W$1&amp;"C"&amp;$A24)),0)+IF($A$4&lt;$A24,($A$5-$A$4)*IF(RTD("tos.rtd",,"OPEN_INT","."&amp;W$2&amp;W$1&amp;"P"&amp;$A24)="N/A",0,RTD("tos.rtd",,"OPEN_INT","."&amp;W$2&amp;W$1&amp;"P"&amp;$A24)),0),IF($X$1="ABS",IF(RTD("tos.rtd",,$A$2,"."&amp;W$2&amp;W$1&amp;"C"&amp;$A24)="N/A",0,RTD("tos.rtd",,$A$2,"."&amp;W$2&amp;W$1&amp;"C"&amp;$A24))+IF(RTD("tos.rtd",,$A$2,"."&amp;W$2&amp;W$1&amp;"P"&amp;$A24)="N/A",0,RTD("tos.rtd",,$A$2,"."&amp;W$2&amp;W$1&amp;"P"&amp;$A24)),IF(RTD("tos.rtd",,$A$2,"."&amp;W$2&amp;W$1&amp;"C"&amp;$A24)="N/A",0,RTD("tos.rtd",,$A$2,"."&amp;W$2&amp;W$1&amp;"C"&amp;$A24))-IF(RTD("tos.rtd",,$A$2,"."&amp;W$2&amp;W$1&amp;"P"&amp;$A24)="N/A",0,RTD("tos.rtd",,$A$2,"."&amp;W$2&amp;W$1&amp;"P"&amp;$A24))))))))))</f>
        <v>0</v>
      </c>
      <c r="X24" s="57">
        <f t="shared" ca="1" si="8"/>
        <v>0</v>
      </c>
      <c r="Y24" s="27">
        <f t="shared" ca="1" si="9"/>
        <v>0</v>
      </c>
      <c r="Z24" s="27">
        <f ca="1">+'OI-VOL'!Y24</f>
        <v>46012</v>
      </c>
      <c r="AA24" s="27" t="b">
        <f t="shared" ca="1" si="10"/>
        <v>0</v>
      </c>
      <c r="AB24" s="27">
        <f t="shared" si="11"/>
        <v>70350850</v>
      </c>
      <c r="AC24" s="18">
        <f>MAX(0, $A24-AC$4)*IF(RTD("tos.rtd",,"OPEN_INT","."&amp;$AB$3&amp;$AB$4&amp;"C"&amp;AC$4)="N/A",0,RTD("tos.rtd",,"OPEN_INT","."&amp;$AB$3&amp;$AB$4&amp;"C"&amp;AC$4))*100 + MAX(0, AC$4-$A24)*IF(RTD("tos.rtd",,"OPEN_INT","."&amp;$AB$3&amp;$AB$4&amp;"P"&amp;AC$4)="N/A",0,RTD("tos.rtd",,"OPEN_INT","."&amp;$AB$3&amp;$AB$4&amp;"P"&amp;AC$4))*100</f>
        <v>0</v>
      </c>
      <c r="AD24" s="18">
        <f>MAX(0, $A24-AD$4)*IF(RTD("tos.rtd",,"OPEN_INT","."&amp;$AB$3&amp;$AB$4&amp;"C"&amp;AD$4)="N/A",0,RTD("tos.rtd",,"OPEN_INT","."&amp;$AB$3&amp;$AB$4&amp;"C"&amp;AD$4))*100 + MAX(0, AD$4-$A24)*IF(RTD("tos.rtd",,"OPEN_INT","."&amp;$AB$3&amp;$AB$4&amp;"P"&amp;AD$4)="N/A",0,RTD("tos.rtd",,"OPEN_INT","."&amp;$AB$3&amp;$AB$4&amp;"P"&amp;AD$4))*100</f>
        <v>0</v>
      </c>
      <c r="AE24" s="18">
        <f>MAX(0, $A24-AE$4)*IF(RTD("tos.rtd",,"OPEN_INT","."&amp;$AB$3&amp;$AB$4&amp;"C"&amp;AE$4)="N/A",0,RTD("tos.rtd",,"OPEN_INT","."&amp;$AB$3&amp;$AB$4&amp;"C"&amp;AE$4))*100 + MAX(0, AE$4-$A24)*IF(RTD("tos.rtd",,"OPEN_INT","."&amp;$AB$3&amp;$AB$4&amp;"P"&amp;AE$4)="N/A",0,RTD("tos.rtd",,"OPEN_INT","."&amp;$AB$3&amp;$AB$4&amp;"P"&amp;AE$4))*100</f>
        <v>0</v>
      </c>
      <c r="AF24" s="18">
        <f>MAX(0, $A24-AF$4)*IF(RTD("tos.rtd",,"OPEN_INT","."&amp;$AB$3&amp;$AB$4&amp;"C"&amp;AF$4)="N/A",0,RTD("tos.rtd",,"OPEN_INT","."&amp;$AB$3&amp;$AB$4&amp;"C"&amp;AF$4))*100 + MAX(0, AF$4-$A24)*IF(RTD("tos.rtd",,"OPEN_INT","."&amp;$AB$3&amp;$AB$4&amp;"P"&amp;AF$4)="N/A",0,RTD("tos.rtd",,"OPEN_INT","."&amp;$AB$3&amp;$AB$4&amp;"P"&amp;AF$4))*100</f>
        <v>0</v>
      </c>
      <c r="AG24" s="18">
        <f>MAX(0, $A24-AG$4)*IF(RTD("tos.rtd",,"OPEN_INT","."&amp;$AB$3&amp;$AB$4&amp;"C"&amp;AG$4)="N/A",0,RTD("tos.rtd",,"OPEN_INT","."&amp;$AB$3&amp;$AB$4&amp;"C"&amp;AG$4))*100 + MAX(0, AG$4-$A24)*IF(RTD("tos.rtd",,"OPEN_INT","."&amp;$AB$3&amp;$AB$4&amp;"P"&amp;AG$4)="N/A",0,RTD("tos.rtd",,"OPEN_INT","."&amp;$AB$3&amp;$AB$4&amp;"P"&amp;AG$4))*100</f>
        <v>0</v>
      </c>
      <c r="AH24" s="18">
        <f>MAX(0, $A24-AH$4)*IF(RTD("tos.rtd",,"OPEN_INT","."&amp;$AB$3&amp;$AB$4&amp;"C"&amp;AH$4)="N/A",0,RTD("tos.rtd",,"OPEN_INT","."&amp;$AB$3&amp;$AB$4&amp;"C"&amp;AH$4))*100 + MAX(0, AH$4-$A24)*IF(RTD("tos.rtd",,"OPEN_INT","."&amp;$AB$3&amp;$AB$4&amp;"P"&amp;AH$4)="N/A",0,RTD("tos.rtd",,"OPEN_INT","."&amp;$AB$3&amp;$AB$4&amp;"P"&amp;AH$4))*100</f>
        <v>0</v>
      </c>
      <c r="AI24" s="18">
        <f>MAX(0, $A24-AI$4)*IF(RTD("tos.rtd",,"OPEN_INT","."&amp;$AB$3&amp;$AB$4&amp;"C"&amp;AI$4)="N/A",0,RTD("tos.rtd",,"OPEN_INT","."&amp;$AB$3&amp;$AB$4&amp;"C"&amp;AI$4))*100 + MAX(0, AI$4-$A24)*IF(RTD("tos.rtd",,"OPEN_INT","."&amp;$AB$3&amp;$AB$4&amp;"P"&amp;AI$4)="N/A",0,RTD("tos.rtd",,"OPEN_INT","."&amp;$AB$3&amp;$AB$4&amp;"P"&amp;AI$4))*100</f>
        <v>0</v>
      </c>
      <c r="AJ24" s="18">
        <f>MAX(0, $A24-AJ$4)*IF(RTD("tos.rtd",,"OPEN_INT","."&amp;$AB$3&amp;$AB$4&amp;"C"&amp;AJ$4)="N/A",0,RTD("tos.rtd",,"OPEN_INT","."&amp;$AB$3&amp;$AB$4&amp;"C"&amp;AJ$4))*100 + MAX(0, AJ$4-$A24)*IF(RTD("tos.rtd",,"OPEN_INT","."&amp;$AB$3&amp;$AB$4&amp;"P"&amp;AJ$4)="N/A",0,RTD("tos.rtd",,"OPEN_INT","."&amp;$AB$3&amp;$AB$4&amp;"P"&amp;AJ$4))*100</f>
        <v>1800</v>
      </c>
      <c r="AK24" s="18">
        <f>MAX(0, $A24-AK$4)*IF(RTD("tos.rtd",,"OPEN_INT","."&amp;$AB$3&amp;$AB$4&amp;"C"&amp;AK$4)="N/A",0,RTD("tos.rtd",,"OPEN_INT","."&amp;$AB$3&amp;$AB$4&amp;"C"&amp;AK$4))*100 + MAX(0, AK$4-$A24)*IF(RTD("tos.rtd",,"OPEN_INT","."&amp;$AB$3&amp;$AB$4&amp;"P"&amp;AK$4)="N/A",0,RTD("tos.rtd",,"OPEN_INT","."&amp;$AB$3&amp;$AB$4&amp;"P"&amp;AK$4))*100</f>
        <v>4400</v>
      </c>
      <c r="AL24" s="18">
        <f>MAX(0, $A24-AL$4)*IF(RTD("tos.rtd",,"OPEN_INT","."&amp;$AB$3&amp;$AB$4&amp;"C"&amp;AL$4)="N/A",0,RTD("tos.rtd",,"OPEN_INT","."&amp;$AB$3&amp;$AB$4&amp;"C"&amp;AL$4))*100 + MAX(0, AL$4-$A24)*IF(RTD("tos.rtd",,"OPEN_INT","."&amp;$AB$3&amp;$AB$4&amp;"P"&amp;AL$4)="N/A",0,RTD("tos.rtd",,"OPEN_INT","."&amp;$AB$3&amp;$AB$4&amp;"P"&amp;AL$4))*100</f>
        <v>0</v>
      </c>
      <c r="AM24" s="18">
        <f>MAX(0, $A24-AM$4)*IF(RTD("tos.rtd",,"OPEN_INT","."&amp;$AB$3&amp;$AB$4&amp;"C"&amp;AM$4)="N/A",0,RTD("tos.rtd",,"OPEN_INT","."&amp;$AB$3&amp;$AB$4&amp;"C"&amp;AM$4))*100 + MAX(0, AM$4-$A24)*IF(RTD("tos.rtd",,"OPEN_INT","."&amp;$AB$3&amp;$AB$4&amp;"P"&amp;AM$4)="N/A",0,RTD("tos.rtd",,"OPEN_INT","."&amp;$AB$3&amp;$AB$4&amp;"P"&amp;AM$4))*100</f>
        <v>0</v>
      </c>
      <c r="AN24" s="18">
        <f>MAX(0, $A24-AN$4)*IF(RTD("tos.rtd",,"OPEN_INT","."&amp;$AB$3&amp;$AB$4&amp;"C"&amp;AN$4)="N/A",0,RTD("tos.rtd",,"OPEN_INT","."&amp;$AB$3&amp;$AB$4&amp;"C"&amp;AN$4))*100 + MAX(0, AN$4-$A24)*IF(RTD("tos.rtd",,"OPEN_INT","."&amp;$AB$3&amp;$AB$4&amp;"P"&amp;AN$4)="N/A",0,RTD("tos.rtd",,"OPEN_INT","."&amp;$AB$3&amp;$AB$4&amp;"P"&amp;AN$4))*100</f>
        <v>0</v>
      </c>
      <c r="AO24" s="18">
        <f>MAX(0, $A24-AO$4)*IF(RTD("tos.rtd",,"OPEN_INT","."&amp;$AB$3&amp;$AB$4&amp;"C"&amp;AO$4)="N/A",0,RTD("tos.rtd",,"OPEN_INT","."&amp;$AB$3&amp;$AB$4&amp;"C"&amp;AO$4))*100 + MAX(0, AO$4-$A24)*IF(RTD("tos.rtd",,"OPEN_INT","."&amp;$AB$3&amp;$AB$4&amp;"P"&amp;AO$4)="N/A",0,RTD("tos.rtd",,"OPEN_INT","."&amp;$AB$3&amp;$AB$4&amp;"P"&amp;AO$4))*100</f>
        <v>0</v>
      </c>
      <c r="AP24" s="18">
        <f>MAX(0, $A24-AP$4)*IF(RTD("tos.rtd",,"OPEN_INT","."&amp;$AB$3&amp;$AB$4&amp;"C"&amp;AP$4)="N/A",0,RTD("tos.rtd",,"OPEN_INT","."&amp;$AB$3&amp;$AB$4&amp;"C"&amp;AP$4))*100 + MAX(0, AP$4-$A24)*IF(RTD("tos.rtd",,"OPEN_INT","."&amp;$AB$3&amp;$AB$4&amp;"P"&amp;AP$4)="N/A",0,RTD("tos.rtd",,"OPEN_INT","."&amp;$AB$3&amp;$AB$4&amp;"P"&amp;AP$4))*100</f>
        <v>36000</v>
      </c>
      <c r="AQ24" s="18">
        <f>MAX(0, $A24-AQ$4)*IF(RTD("tos.rtd",,"OPEN_INT","."&amp;$AB$3&amp;$AB$4&amp;"C"&amp;AQ$4)="N/A",0,RTD("tos.rtd",,"OPEN_INT","."&amp;$AB$3&amp;$AB$4&amp;"C"&amp;AQ$4))*100 + MAX(0, AQ$4-$A24)*IF(RTD("tos.rtd",,"OPEN_INT","."&amp;$AB$3&amp;$AB$4&amp;"P"&amp;AQ$4)="N/A",0,RTD("tos.rtd",,"OPEN_INT","."&amp;$AB$3&amp;$AB$4&amp;"P"&amp;AQ$4))*100</f>
        <v>0</v>
      </c>
      <c r="AR24" s="18">
        <f>MAX(0, $A24-AR$4)*IF(RTD("tos.rtd",,"OPEN_INT","."&amp;$AB$3&amp;$AB$4&amp;"C"&amp;AR$4)="N/A",0,RTD("tos.rtd",,"OPEN_INT","."&amp;$AB$3&amp;$AB$4&amp;"C"&amp;AR$4))*100 + MAX(0, AR$4-$A24)*IF(RTD("tos.rtd",,"OPEN_INT","."&amp;$AB$3&amp;$AB$4&amp;"P"&amp;AR$4)="N/A",0,RTD("tos.rtd",,"OPEN_INT","."&amp;$AB$3&amp;$AB$4&amp;"P"&amp;AR$4))*100</f>
        <v>10600</v>
      </c>
      <c r="AS24" s="18">
        <f>MAX(0, $A24-AS$4)*IF(RTD("tos.rtd",,"OPEN_INT","."&amp;$AB$3&amp;$AB$4&amp;"C"&amp;AS$4)="N/A",0,RTD("tos.rtd",,"OPEN_INT","."&amp;$AB$3&amp;$AB$4&amp;"C"&amp;AS$4))*100 + MAX(0, AS$4-$A24)*IF(RTD("tos.rtd",,"OPEN_INT","."&amp;$AB$3&amp;$AB$4&amp;"P"&amp;AS$4)="N/A",0,RTD("tos.rtd",,"OPEN_INT","."&amp;$AB$3&amp;$AB$4&amp;"P"&amp;AS$4))*100</f>
        <v>900</v>
      </c>
      <c r="AT24" s="18">
        <f>MAX(0, $A24-AT$4)*IF(RTD("tos.rtd",,"OPEN_INT","."&amp;$AB$3&amp;$AB$4&amp;"C"&amp;AT$4)="N/A",0,RTD("tos.rtd",,"OPEN_INT","."&amp;$AB$3&amp;$AB$4&amp;"C"&amp;AT$4))*100 + MAX(0, AT$4-$A24)*IF(RTD("tos.rtd",,"OPEN_INT","."&amp;$AB$3&amp;$AB$4&amp;"P"&amp;AT$4)="N/A",0,RTD("tos.rtd",,"OPEN_INT","."&amp;$AB$3&amp;$AB$4&amp;"P"&amp;AT$4))*100</f>
        <v>6200</v>
      </c>
      <c r="AU24" s="18">
        <f>MAX(0, $A24-AU$4)*IF(RTD("tos.rtd",,"OPEN_INT","."&amp;$AB$3&amp;$AB$4&amp;"C"&amp;AU$4)="N/A",0,RTD("tos.rtd",,"OPEN_INT","."&amp;$AB$3&amp;$AB$4&amp;"C"&amp;AU$4))*100 + MAX(0, AU$4-$A24)*IF(RTD("tos.rtd",,"OPEN_INT","."&amp;$AB$3&amp;$AB$4&amp;"P"&amp;AU$4)="N/A",0,RTD("tos.rtd",,"OPEN_INT","."&amp;$AB$3&amp;$AB$4&amp;"P"&amp;AU$4))*100</f>
        <v>3500</v>
      </c>
      <c r="AV24" s="18">
        <f>MAX(0, $A24-AV$4)*IF(RTD("tos.rtd",,"OPEN_INT","."&amp;$AB$3&amp;$AB$4&amp;"C"&amp;AV$4)="N/A",0,RTD("tos.rtd",,"OPEN_INT","."&amp;$AB$3&amp;$AB$4&amp;"C"&amp;AV$4))*100 + MAX(0, AV$4-$A24)*IF(RTD("tos.rtd",,"OPEN_INT","."&amp;$AB$3&amp;$AB$4&amp;"P"&amp;AV$4)="N/A",0,RTD("tos.rtd",,"OPEN_INT","."&amp;$AB$3&amp;$AB$4&amp;"P"&amp;AV$4))*100</f>
        <v>0</v>
      </c>
      <c r="AW24" s="18">
        <f>MAX(0, $A24-AW$4)*IF(RTD("tos.rtd",,"OPEN_INT","."&amp;$AB$3&amp;$AB$4&amp;"C"&amp;AW$4)="N/A",0,RTD("tos.rtd",,"OPEN_INT","."&amp;$AB$3&amp;$AB$4&amp;"C"&amp;AW$4))*100 + MAX(0, AW$4-$A24)*IF(RTD("tos.rtd",,"OPEN_INT","."&amp;$AB$3&amp;$AB$4&amp;"P"&amp;AW$4)="N/A",0,RTD("tos.rtd",,"OPEN_INT","."&amp;$AB$3&amp;$AB$4&amp;"P"&amp;AW$4))*100</f>
        <v>94400</v>
      </c>
      <c r="AX24" s="18">
        <f>MAX(0, $A24-AX$4)*IF(RTD("tos.rtd",,"OPEN_INT","."&amp;$AB$3&amp;$AB$4&amp;"C"&amp;AX$4)="N/A",0,RTD("tos.rtd",,"OPEN_INT","."&amp;$AB$3&amp;$AB$4&amp;"C"&amp;AX$4))*100 + MAX(0, AX$4-$A24)*IF(RTD("tos.rtd",,"OPEN_INT","."&amp;$AB$3&amp;$AB$4&amp;"P"&amp;AX$4)="N/A",0,RTD("tos.rtd",,"OPEN_INT","."&amp;$AB$3&amp;$AB$4&amp;"P"&amp;AX$4))*100</f>
        <v>307500</v>
      </c>
      <c r="AY24" s="18">
        <f>MAX(0, $A24-AY$4)*IF(RTD("tos.rtd",,"OPEN_INT","."&amp;$AB$3&amp;$AB$4&amp;"C"&amp;AY$4)="N/A",0,RTD("tos.rtd",,"OPEN_INT","."&amp;$AB$3&amp;$AB$4&amp;"C"&amp;AY$4))*100 + MAX(0, AY$4-$A24)*IF(RTD("tos.rtd",,"OPEN_INT","."&amp;$AB$3&amp;$AB$4&amp;"P"&amp;AY$4)="N/A",0,RTD("tos.rtd",,"OPEN_INT","."&amp;$AB$3&amp;$AB$4&amp;"P"&amp;AY$4))*100</f>
        <v>637950</v>
      </c>
      <c r="AZ24" s="18">
        <f>MAX(0, $A24-AZ$4)*IF(RTD("tos.rtd",,"OPEN_INT","."&amp;$AB$3&amp;$AB$4&amp;"C"&amp;AZ$4)="N/A",0,RTD("tos.rtd",,"OPEN_INT","."&amp;$AB$3&amp;$AB$4&amp;"C"&amp;AZ$4))*100 + MAX(0, AZ$4-$A24)*IF(RTD("tos.rtd",,"OPEN_INT","."&amp;$AB$3&amp;$AB$4&amp;"P"&amp;AZ$4)="N/A",0,RTD("tos.rtd",,"OPEN_INT","."&amp;$AB$3&amp;$AB$4&amp;"P"&amp;AZ$4))*100</f>
        <v>3909600</v>
      </c>
      <c r="BA24" s="18">
        <f>MAX(0, $A24-BA$4)*IF(RTD("tos.rtd",,"OPEN_INT","."&amp;$AB$3&amp;$AB$4&amp;"C"&amp;BA$4)="N/A",0,RTD("tos.rtd",,"OPEN_INT","."&amp;$AB$3&amp;$AB$4&amp;"C"&amp;BA$4))*100 + MAX(0, BA$4-$A24)*IF(RTD("tos.rtd",,"OPEN_INT","."&amp;$AB$3&amp;$AB$4&amp;"P"&amp;BA$4)="N/A",0,RTD("tos.rtd",,"OPEN_INT","."&amp;$AB$3&amp;$AB$4&amp;"P"&amp;BA$4))*100</f>
        <v>2462500</v>
      </c>
      <c r="BB24" s="18">
        <f>MAX(0, $A24-BB$4)*IF(RTD("tos.rtd",,"OPEN_INT","."&amp;$AB$3&amp;$AB$4&amp;"C"&amp;BB$4)="N/A",0,RTD("tos.rtd",,"OPEN_INT","."&amp;$AB$3&amp;$AB$4&amp;"C"&amp;BB$4))*100 + MAX(0, BB$4-$A24)*IF(RTD("tos.rtd",,"OPEN_INT","."&amp;$AB$3&amp;$AB$4&amp;"P"&amp;BB$4)="N/A",0,RTD("tos.rtd",,"OPEN_INT","."&amp;$AB$3&amp;$AB$4&amp;"P"&amp;BB$4))*100</f>
        <v>9242100</v>
      </c>
      <c r="BC24" s="18">
        <f>MAX(0, $A24-BC$4)*IF(RTD("tos.rtd",,"OPEN_INT","."&amp;$AB$3&amp;$AB$4&amp;"C"&amp;BC$4)="N/A",0,RTD("tos.rtd",,"OPEN_INT","."&amp;$AB$3&amp;$AB$4&amp;"C"&amp;BC$4))*100 + MAX(0, BC$4-$A24)*IF(RTD("tos.rtd",,"OPEN_INT","."&amp;$AB$3&amp;$AB$4&amp;"P"&amp;BC$4)="N/A",0,RTD("tos.rtd",,"OPEN_INT","."&amp;$AB$3&amp;$AB$4&amp;"P"&amp;BC$4))*100</f>
        <v>10030300</v>
      </c>
      <c r="BD24" s="18">
        <f>MAX(0, $A24-BD$4)*IF(RTD("tos.rtd",,"OPEN_INT","."&amp;$AB$3&amp;$AB$4&amp;"C"&amp;BD$4)="N/A",0,RTD("tos.rtd",,"OPEN_INT","."&amp;$AB$3&amp;$AB$4&amp;"C"&amp;BD$4))*100 + MAX(0, BD$4-$A24)*IF(RTD("tos.rtd",,"OPEN_INT","."&amp;$AB$3&amp;$AB$4&amp;"P"&amp;BD$4)="N/A",0,RTD("tos.rtd",,"OPEN_INT","."&amp;$AB$3&amp;$AB$4&amp;"P"&amp;BD$4))*100</f>
        <v>16285200</v>
      </c>
      <c r="BE24" s="18">
        <f>MAX(0, $A24-BE$4)*IF(RTD("tos.rtd",,"OPEN_INT","."&amp;$AB$3&amp;$AB$4&amp;"C"&amp;BE$4)="N/A",0,RTD("tos.rtd",,"OPEN_INT","."&amp;$AB$3&amp;$AB$4&amp;"C"&amp;BE$4))*100 + MAX(0, BE$4-$A24)*IF(RTD("tos.rtd",,"OPEN_INT","."&amp;$AB$3&amp;$AB$4&amp;"P"&amp;BE$4)="N/A",0,RTD("tos.rtd",,"OPEN_INT","."&amp;$AB$3&amp;$AB$4&amp;"P"&amp;BE$4))*100</f>
        <v>8352000</v>
      </c>
      <c r="BF24" s="18">
        <f>MAX(0, $A24-BF$4)*IF(RTD("tos.rtd",,"OPEN_INT","."&amp;$AB$3&amp;$AB$4&amp;"C"&amp;BF$4)="N/A",0,RTD("tos.rtd",,"OPEN_INT","."&amp;$AB$3&amp;$AB$4&amp;"C"&amp;BF$4))*100 + MAX(0, BF$4-$A24)*IF(RTD("tos.rtd",,"OPEN_INT","."&amp;$AB$3&amp;$AB$4&amp;"P"&amp;BF$4)="N/A",0,RTD("tos.rtd",,"OPEN_INT","."&amp;$AB$3&amp;$AB$4&amp;"P"&amp;BF$4))*100</f>
        <v>8639000</v>
      </c>
      <c r="BG24" s="18">
        <f>MAX(0, $A24-BG$4)*IF(RTD("tos.rtd",,"OPEN_INT","."&amp;$AB$3&amp;$AB$4&amp;"C"&amp;BG$4)="N/A",0,RTD("tos.rtd",,"OPEN_INT","."&amp;$AB$3&amp;$AB$4&amp;"C"&amp;BG$4))*100 + MAX(0, BG$4-$A24)*IF(RTD("tos.rtd",,"OPEN_INT","."&amp;$AB$3&amp;$AB$4&amp;"P"&amp;BG$4)="N/A",0,RTD("tos.rtd",,"OPEN_INT","."&amp;$AB$3&amp;$AB$4&amp;"P"&amp;BG$4))*100</f>
        <v>4623850</v>
      </c>
      <c r="BH24" s="18">
        <f>MAX(0, $A24-BH$4)*IF(RTD("tos.rtd",,"OPEN_INT","."&amp;$AB$3&amp;$AB$4&amp;"C"&amp;BH$4)="N/A",0,RTD("tos.rtd",,"OPEN_INT","."&amp;$AB$3&amp;$AB$4&amp;"C"&amp;BH$4))*100 + MAX(0, BH$4-$A24)*IF(RTD("tos.rtd",,"OPEN_INT","."&amp;$AB$3&amp;$AB$4&amp;"P"&amp;BH$4)="N/A",0,RTD("tos.rtd",,"OPEN_INT","."&amp;$AB$3&amp;$AB$4&amp;"P"&amp;BH$4))*100</f>
        <v>3440400</v>
      </c>
      <c r="BI24" s="18">
        <f>MAX(0, $A24-BI$4)*IF(RTD("tos.rtd",,"OPEN_INT","."&amp;$AB$3&amp;$AB$4&amp;"C"&amp;BI$4)="N/A",0,RTD("tos.rtd",,"OPEN_INT","."&amp;$AB$3&amp;$AB$4&amp;"C"&amp;BI$4))*100 + MAX(0, BI$4-$A24)*IF(RTD("tos.rtd",,"OPEN_INT","."&amp;$AB$3&amp;$AB$4&amp;"P"&amp;BI$4)="N/A",0,RTD("tos.rtd",,"OPEN_INT","."&amp;$AB$3&amp;$AB$4&amp;"P"&amp;BI$4))*100</f>
        <v>1262950</v>
      </c>
      <c r="BJ24" s="18">
        <f>MAX(0, $A24-BJ$4)*IF(RTD("tos.rtd",,"OPEN_INT","."&amp;$AB$3&amp;$AB$4&amp;"C"&amp;BJ$4)="N/A",0,RTD("tos.rtd",,"OPEN_INT","."&amp;$AB$3&amp;$AB$4&amp;"C"&amp;BJ$4))*100 + MAX(0, BJ$4-$A24)*IF(RTD("tos.rtd",,"OPEN_INT","."&amp;$AB$3&amp;$AB$4&amp;"P"&amp;BJ$4)="N/A",0,RTD("tos.rtd",,"OPEN_INT","."&amp;$AB$3&amp;$AB$4&amp;"P"&amp;BJ$4))*100</f>
        <v>589400</v>
      </c>
      <c r="BK24" s="18">
        <f>MAX(0, $A24-BK$4)*IF(RTD("tos.rtd",,"OPEN_INT","."&amp;$AB$3&amp;$AB$4&amp;"C"&amp;BK$4)="N/A",0,RTD("tos.rtd",,"OPEN_INT","."&amp;$AB$3&amp;$AB$4&amp;"C"&amp;BK$4))*100 + MAX(0, BK$4-$A24)*IF(RTD("tos.rtd",,"OPEN_INT","."&amp;$AB$3&amp;$AB$4&amp;"P"&amp;BK$4)="N/A",0,RTD("tos.rtd",,"OPEN_INT","."&amp;$AB$3&amp;$AB$4&amp;"P"&amp;BK$4))*100</f>
        <v>113250</v>
      </c>
      <c r="BL24" s="18">
        <f>MAX(0, $A24-BL$4)*IF(RTD("tos.rtd",,"OPEN_INT","."&amp;$AB$3&amp;$AB$4&amp;"C"&amp;BL$4)="N/A",0,RTD("tos.rtd",,"OPEN_INT","."&amp;$AB$3&amp;$AB$4&amp;"C"&amp;BL$4))*100 + MAX(0, BL$4-$A24)*IF(RTD("tos.rtd",,"OPEN_INT","."&amp;$AB$3&amp;$AB$4&amp;"P"&amp;BL$4)="N/A",0,RTD("tos.rtd",,"OPEN_INT","."&amp;$AB$3&amp;$AB$4&amp;"P"&amp;BL$4))*100</f>
        <v>208800</v>
      </c>
      <c r="BM24" s="18">
        <f>MAX(0, $A24-BM$4)*IF(RTD("tos.rtd",,"OPEN_INT","."&amp;$AB$3&amp;$AB$4&amp;"C"&amp;BM$4)="N/A",0,RTD("tos.rtd",,"OPEN_INT","."&amp;$AB$3&amp;$AB$4&amp;"C"&amp;BM$4))*100 + MAX(0, BM$4-$A24)*IF(RTD("tos.rtd",,"OPEN_INT","."&amp;$AB$3&amp;$AB$4&amp;"P"&amp;BM$4)="N/A",0,RTD("tos.rtd",,"OPEN_INT","."&amp;$AB$3&amp;$AB$4&amp;"P"&amp;BM$4))*100</f>
        <v>13600</v>
      </c>
      <c r="BN24" s="18">
        <f>MAX(0, $A24-BN$4)*IF(RTD("tos.rtd",,"OPEN_INT","."&amp;$AB$3&amp;$AB$4&amp;"C"&amp;BN$4)="N/A",0,RTD("tos.rtd",,"OPEN_INT","."&amp;$AB$3&amp;$AB$4&amp;"C"&amp;BN$4))*100 + MAX(0, BN$4-$A24)*IF(RTD("tos.rtd",,"OPEN_INT","."&amp;$AB$3&amp;$AB$4&amp;"P"&amp;BN$4)="N/A",0,RTD("tos.rtd",,"OPEN_INT","."&amp;$AB$3&amp;$AB$4&amp;"P"&amp;BN$4))*100</f>
        <v>7200</v>
      </c>
      <c r="BO24" s="18">
        <f>MAX(0, $A24-BO$4)*IF(RTD("tos.rtd",,"OPEN_INT","."&amp;$AB$3&amp;$AB$4&amp;"C"&amp;BO$4)="N/A",0,RTD("tos.rtd",,"OPEN_INT","."&amp;$AB$3&amp;$AB$4&amp;"C"&amp;BO$4))*100 + MAX(0, BO$4-$A24)*IF(RTD("tos.rtd",,"OPEN_INT","."&amp;$AB$3&amp;$AB$4&amp;"P"&amp;BO$4)="N/A",0,RTD("tos.rtd",,"OPEN_INT","."&amp;$AB$3&amp;$AB$4&amp;"P"&amp;BO$4))*100</f>
        <v>29450</v>
      </c>
      <c r="BP24" s="18">
        <f>MAX(0, $A24-BP$4)*IF(RTD("tos.rtd",,"OPEN_INT","."&amp;$AB$3&amp;$AB$4&amp;"C"&amp;BP$4)="N/A",0,RTD("tos.rtd",,"OPEN_INT","."&amp;$AB$3&amp;$AB$4&amp;"C"&amp;BP$4))*100 + MAX(0, BP$4-$A24)*IF(RTD("tos.rtd",,"OPEN_INT","."&amp;$AB$3&amp;$AB$4&amp;"P"&amp;BP$4)="N/A",0,RTD("tos.rtd",,"OPEN_INT","."&amp;$AB$3&amp;$AB$4&amp;"P"&amp;BP$4))*100</f>
        <v>38000</v>
      </c>
      <c r="BQ24" s="18">
        <f>MAX(0, $A24-BQ$4)*IF(RTD("tos.rtd",,"OPEN_INT","."&amp;$AB$3&amp;$AB$4&amp;"C"&amp;BQ$4)="N/A",0,RTD("tos.rtd",,"OPEN_INT","."&amp;$AB$3&amp;$AB$4&amp;"C"&amp;BQ$4))*100 + MAX(0, BQ$4-$A24)*IF(RTD("tos.rtd",,"OPEN_INT","."&amp;$AB$3&amp;$AB$4&amp;"P"&amp;BQ$4)="N/A",0,RTD("tos.rtd",,"OPEN_INT","."&amp;$AB$3&amp;$AB$4&amp;"P"&amp;BQ$4))*100</f>
        <v>0</v>
      </c>
      <c r="BR24" s="18">
        <f>MAX(0, $A24-BR$4)*IF(RTD("tos.rtd",,"OPEN_INT","."&amp;$AB$3&amp;$AB$4&amp;"C"&amp;BR$4)="N/A",0,RTD("tos.rtd",,"OPEN_INT","."&amp;$AB$3&amp;$AB$4&amp;"C"&amp;BR$4))*100 + MAX(0, BR$4-$A24)*IF(RTD("tos.rtd",,"OPEN_INT","."&amp;$AB$3&amp;$AB$4&amp;"P"&amp;BR$4)="N/A",0,RTD("tos.rtd",,"OPEN_INT","."&amp;$AB$3&amp;$AB$4&amp;"P"&amp;BR$4))*100</f>
        <v>0</v>
      </c>
      <c r="BS24" s="18">
        <f>MAX(0, $A24-BS$4)*IF(RTD("tos.rtd",,"OPEN_INT","."&amp;$AB$3&amp;$AB$4&amp;"C"&amp;BS$4)="N/A",0,RTD("tos.rtd",,"OPEN_INT","."&amp;$AB$3&amp;$AB$4&amp;"C"&amp;BS$4))*100 + MAX(0, BS$4-$A24)*IF(RTD("tos.rtd",,"OPEN_INT","."&amp;$AB$3&amp;$AB$4&amp;"P"&amp;BS$4)="N/A",0,RTD("tos.rtd",,"OPEN_INT","."&amp;$AB$3&amp;$AB$4&amp;"P"&amp;BS$4))*100</f>
        <v>0</v>
      </c>
      <c r="BT24" s="18">
        <f>MAX(0, $A24-BT$4)*IF(RTD("tos.rtd",,"OPEN_INT","."&amp;$AB$3&amp;$AB$4&amp;"C"&amp;BT$4)="N/A",0,RTD("tos.rtd",,"OPEN_INT","."&amp;$AB$3&amp;$AB$4&amp;"C"&amp;BT$4))*100 + MAX(0, BT$4-$A24)*IF(RTD("tos.rtd",,"OPEN_INT","."&amp;$AB$3&amp;$AB$4&amp;"P"&amp;BT$4)="N/A",0,RTD("tos.rtd",,"OPEN_INT","."&amp;$AB$3&amp;$AB$4&amp;"P"&amp;BT$4))*100</f>
        <v>0</v>
      </c>
      <c r="BU24" s="18">
        <f>MAX(0, $A24-BU$4)*IF(RTD("tos.rtd",,"OPEN_INT","."&amp;$AB$3&amp;$AB$4&amp;"C"&amp;BU$4)="N/A",0,RTD("tos.rtd",,"OPEN_INT","."&amp;$AB$3&amp;$AB$4&amp;"C"&amp;BU$4))*100 + MAX(0, BU$4-$A24)*IF(RTD("tos.rtd",,"OPEN_INT","."&amp;$AB$3&amp;$AB$4&amp;"P"&amp;BU$4)="N/A",0,RTD("tos.rtd",,"OPEN_INT","."&amp;$AB$3&amp;$AB$4&amp;"P"&amp;BU$4))*100</f>
        <v>0</v>
      </c>
      <c r="BV24" s="18">
        <f>MAX(0, $A24-BV$4)*IF(RTD("tos.rtd",,"OPEN_INT","."&amp;$AB$3&amp;$AB$4&amp;"C"&amp;BV$4)="N/A",0,RTD("tos.rtd",,"OPEN_INT","."&amp;$AB$3&amp;$AB$4&amp;"C"&amp;BV$4))*100 + MAX(0, BV$4-$A24)*IF(RTD("tos.rtd",,"OPEN_INT","."&amp;$AB$3&amp;$AB$4&amp;"P"&amp;BV$4)="N/A",0,RTD("tos.rtd",,"OPEN_INT","."&amp;$AB$3&amp;$AB$4&amp;"P"&amp;BV$4))*100</f>
        <v>0</v>
      </c>
      <c r="BW24" s="18">
        <f>MAX(0, $A24-BW$4)*IF(RTD("tos.rtd",,"OPEN_INT","."&amp;$AB$3&amp;$AB$4&amp;"C"&amp;BW$4)="N/A",0,RTD("tos.rtd",,"OPEN_INT","."&amp;$AB$3&amp;$AB$4&amp;"C"&amp;BW$4))*100 + MAX(0, BW$4-$A24)*IF(RTD("tos.rtd",,"OPEN_INT","."&amp;$AB$3&amp;$AB$4&amp;"P"&amp;BW$4)="N/A",0,RTD("tos.rtd",,"OPEN_INT","."&amp;$AB$3&amp;$AB$4&amp;"P"&amp;BW$4))*100</f>
        <v>0</v>
      </c>
    </row>
    <row r="25" spans="1:75" s="19" customFormat="1" ht="11.1" customHeight="1" thickBot="1" x14ac:dyDescent="0.3">
      <c r="A25" s="23">
        <f t="shared" si="7"/>
        <v>11.5</v>
      </c>
      <c r="B25" s="14">
        <f ca="1">IF($A$2="PREMIUM_OI",IFERROR(IF($X$1="ABS",(100*RTD("tos.rtd",,"OPEN_INT","."&amp;B$2&amp;B$1&amp;"C"&amp;$A25)*RTD("tos.rtd",,"LAST","."&amp;B$2&amp;B$1&amp;"C"&amp;$A25)+100*RTD("tos.rtd",,"OPEN_INT","."&amp;B$2&amp;B$1&amp;"P"&amp;$A25)*RTD("tos.rtd",,"LAST","."&amp;B$2&amp;B$1&amp;"P"&amp;$A25))/1000000,(100*RTD("tos.rtd",,"OPEN_INT","."&amp;B$2&amp;B$1&amp;"C"&amp;$A25)*RTD("tos.rtd",,"LAST","."&amp;B$2&amp;B$1&amp;"C"&amp;$A25)-100*RTD("tos.rtd",,"OPEN_INT","."&amp;B$2&amp;B$1&amp;"P"&amp;$A25)*RTD("tos.rtd",,"LAST","."&amp;B$2&amp;B$1&amp;"P"&amp;$A25))/1000000),0),IF($A$2="PREMIUM",IFERROR(IF($X$1="ABS",(100*RTD("tos.rtd",,"VOLUME","."&amp;B$2&amp;B$1&amp;"C"&amp;$A25)*RTD("tos.rtd",,"LAST","."&amp;B$2&amp;B$1&amp;"C"&amp;$A25)+100*RTD("tos.rtd",,"VOLUME","."&amp;B$2&amp;B$1&amp;"P"&amp;$A25)*RTD("tos.rtd",,"LAST","."&amp;B$2&amp;B$1&amp;"P"&amp;$A25))/1000000,(100*RTD("tos.rtd",,"VOLUME","."&amp;B$2&amp;B$1&amp;"C"&amp;$A25)*RTD("tos.rtd",,"LAST","."&amp;B$2&amp;B$1&amp;"C"&amp;$A25)-100*RTD("tos.rtd",,"VOLUME","."&amp;B$2&amp;B$1&amp;"P"&amp;$A25)*RTD("tos.rtd",,"LAST","."&amp;B$2&amp;B$1&amp;"P"&amp;$A25))/1000000),0),IF($A$2="DEX",IFERROR(IF($X$1="ABS",(100*RTD("tos.rtd",,"OPEN_INT","."&amp;B$2&amp;B$1&amp;"C"&amp;$A25)*RTD("tos.rtd",,"DELTA","."&amp;B$2&amp;B$1&amp;"C"&amp;$A25)+100*RTD("tos.rtd",,"OPEN_INT","."&amp;B$2&amp;B$1&amp;"P"&amp;$A25)*RTD("tos.rtd",,"DELTA","."&amp;B$2&amp;B$1&amp;"P"&amp;$A25))/1000,(100*RTD("tos.rtd",,"OPEN_INT","."&amp;B$2&amp;B$1&amp;"C"&amp;$A25)*RTD("tos.rtd",,"DELTA","."&amp;B$2&amp;B$1&amp;"C"&amp;$A25)-100*RTD("tos.rtd",,"OPEN_INT","."&amp;B$2&amp;B$1&amp;"P"&amp;$A25)*RTD("tos.rtd",,"DELTA","."&amp;B$2&amp;B$1&amp;"P"&amp;$A25))/1000),0),IF($A$2="VEX",IFERROR(IF($X$1="ABS",($A$4*$A$4*RTD("tos.rtd",,"VOLUME","."&amp;B$2&amp;B$1&amp;"C"&amp;$A25)*RTD("tos.rtd",,"GAMMA","."&amp;B$2&amp;B$1&amp;"C"&amp;$A25)+$A$4*$A$4*RTD("tos.rtd",,"VOLUME","."&amp;B$2&amp;B$1&amp;"P"&amp;$A25)*RTD("tos.rtd",,"GAMMA","."&amp;B$2&amp;B$1&amp;"P"&amp;$A25))/1000000,($A$4*$A$4*RTD("tos.rtd",,"VOLUME","."&amp;B$2&amp;B$1&amp;"C"&amp;$A25)*RTD("tos.rtd",,"GAMMA","."&amp;B$2&amp;B$1&amp;"C"&amp;$A25)-$A$4*$A$4*RTD("tos.rtd",,"VOLUME","."&amp;B$2&amp;B$1&amp;"P"&amp;$A25)*RTD("tos.rtd",,"GAMMA","."&amp;B$2&amp;B$1&amp;"P"&amp;$A25))/1000000),0),IF($A$2="GEX",IFERROR(IF($X$1="ABS",($A$4*$A$4*RTD("tos.rtd",,"OPEN_INT","."&amp;B$2&amp;B$1&amp;"C"&amp;$A25)*RTD("tos.rtd",,"GAMMA","."&amp;B$2&amp;B$1&amp;"C"&amp;$A25)+$A$4*$A$4*RTD("tos.rtd",,"OPEN_INT","."&amp;B$2&amp;B$1&amp;"P"&amp;$A25)*RTD("tos.rtd",,"GAMMA","."&amp;B$2&amp;B$1&amp;"P"&amp;$A25))/1000000,($A$4*$A$4*RTD("tos.rtd",,"OPEN_INT","."&amp;B$2&amp;B$1&amp;"C"&amp;$A25)*RTD("tos.rtd",,"GAMMA","."&amp;B$2&amp;B$1&amp;"C"&amp;$A25)-$A$4*$A$4*RTD("tos.rtd",,"OPEN_INT","."&amp;B$2&amp;B$1&amp;"P"&amp;$A25)*RTD("tos.rtd",,"GAMMA","."&amp;B$2&amp;B$1&amp;"P"&amp;$A25))/1000000),0),IF($A$2="SKEW",IFERROR(VALUE(IF(RTD("tos.rtd",,"IMPL_VOL","."&amp;B$2&amp;B$1&amp;"P"&amp;$A25)="N/A",0,RTD("tos.rtd",,"IMPL_VOL","."&amp;B$2&amp;B$1&amp;"P"&amp;$A25))),0)-IFERROR(VALUE(IF(RTD("tos.rtd",,"IMPL_VOL","."&amp;B$2&amp;B$1&amp;"C"&amp;$A25)="N/A",0,RTD("tos.rtd",,"IMPL_VOL","."&amp;B$2&amp;B$1&amp;"C"&amp;$A25))),0),IF($A$2="MAXPAIN",IF($A$4&gt;$A25,($A$4-$A25)*IF(RTD("tos.rtd",,"OPEN_INT","."&amp;B$2&amp;B$1&amp;"C"&amp;$A25)="N/A",0,RTD("tos.rtd",,"OPEN_INT","."&amp;B$2&amp;B$1&amp;"C"&amp;$A25)),0)+IF($A$4&lt;$A25,($A$5-$A$4)*IF(RTD("tos.rtd",,"OPEN_INT","."&amp;B$2&amp;B$1&amp;"P"&amp;$A25)="N/A",0,RTD("tos.rtd",,"OPEN_INT","."&amp;B$2&amp;B$1&amp;"P"&amp;$A25)),0),IF($X$1="ABS",IF(RTD("tos.rtd",,$A$2,"."&amp;B$2&amp;B$1&amp;"C"&amp;$A25)="N/A",0,RTD("tos.rtd",,$A$2,"."&amp;B$2&amp;B$1&amp;"C"&amp;$A25))+IF(RTD("tos.rtd",,$A$2,"."&amp;B$2&amp;B$1&amp;"P"&amp;$A25)="N/A",0,RTD("tos.rtd",,$A$2,"."&amp;B$2&amp;B$1&amp;"P"&amp;$A25)),IF(RTD("tos.rtd",,$A$2,"."&amp;B$2&amp;B$1&amp;"C"&amp;$A25)="N/A",0,RTD("tos.rtd",,$A$2,"."&amp;B$2&amp;B$1&amp;"C"&amp;$A25))-IF(RTD("tos.rtd",,$A$2,"."&amp;B$2&amp;B$1&amp;"P"&amp;$A25)="N/A",0,RTD("tos.rtd",,$A$2,"."&amp;B$2&amp;B$1&amp;"P"&amp;$A25))))))))))</f>
        <v>0</v>
      </c>
      <c r="C25" s="14">
        <f ca="1">IF($A$2="PREMIUM_OI",IFERROR(IF($X$1="ABS",(100*RTD("tos.rtd",,"OPEN_INT","."&amp;C$2&amp;C$1&amp;"C"&amp;$A25)*RTD("tos.rtd",,"LAST","."&amp;C$2&amp;C$1&amp;"C"&amp;$A25)+100*RTD("tos.rtd",,"OPEN_INT","."&amp;C$2&amp;C$1&amp;"P"&amp;$A25)*RTD("tos.rtd",,"LAST","."&amp;C$2&amp;C$1&amp;"P"&amp;$A25))/1000000,(100*RTD("tos.rtd",,"OPEN_INT","."&amp;C$2&amp;C$1&amp;"C"&amp;$A25)*RTD("tos.rtd",,"LAST","."&amp;C$2&amp;C$1&amp;"C"&amp;$A25)-100*RTD("tos.rtd",,"OPEN_INT","."&amp;C$2&amp;C$1&amp;"P"&amp;$A25)*RTD("tos.rtd",,"LAST","."&amp;C$2&amp;C$1&amp;"P"&amp;$A25))/1000000),0),IF($A$2="PREMIUM",IFERROR(IF($X$1="ABS",(100*RTD("tos.rtd",,"VOLUME","."&amp;C$2&amp;C$1&amp;"C"&amp;$A25)*RTD("tos.rtd",,"LAST","."&amp;C$2&amp;C$1&amp;"C"&amp;$A25)+100*RTD("tos.rtd",,"VOLUME","."&amp;C$2&amp;C$1&amp;"P"&amp;$A25)*RTD("tos.rtd",,"LAST","."&amp;C$2&amp;C$1&amp;"P"&amp;$A25))/1000000,(100*RTD("tos.rtd",,"VOLUME","."&amp;C$2&amp;C$1&amp;"C"&amp;$A25)*RTD("tos.rtd",,"LAST","."&amp;C$2&amp;C$1&amp;"C"&amp;$A25)-100*RTD("tos.rtd",,"VOLUME","."&amp;C$2&amp;C$1&amp;"P"&amp;$A25)*RTD("tos.rtd",,"LAST","."&amp;C$2&amp;C$1&amp;"P"&amp;$A25))/1000000),0),IF($A$2="DEX",IFERROR(IF($X$1="ABS",(100*RTD("tos.rtd",,"OPEN_INT","."&amp;C$2&amp;C$1&amp;"C"&amp;$A25)*RTD("tos.rtd",,"DELTA","."&amp;C$2&amp;C$1&amp;"C"&amp;$A25)+100*RTD("tos.rtd",,"OPEN_INT","."&amp;C$2&amp;C$1&amp;"P"&amp;$A25)*RTD("tos.rtd",,"DELTA","."&amp;C$2&amp;C$1&amp;"P"&amp;$A25))/1000,(100*RTD("tos.rtd",,"OPEN_INT","."&amp;C$2&amp;C$1&amp;"C"&amp;$A25)*RTD("tos.rtd",,"DELTA","."&amp;C$2&amp;C$1&amp;"C"&amp;$A25)-100*RTD("tos.rtd",,"OPEN_INT","."&amp;C$2&amp;C$1&amp;"P"&amp;$A25)*RTD("tos.rtd",,"DELTA","."&amp;C$2&amp;C$1&amp;"P"&amp;$A25))/1000),0),IF($A$2="VEX",IFERROR(IF($X$1="ABS",($A$4*$A$4*RTD("tos.rtd",,"VOLUME","."&amp;C$2&amp;C$1&amp;"C"&amp;$A25)*RTD("tos.rtd",,"GAMMA","."&amp;C$2&amp;C$1&amp;"C"&amp;$A25)+$A$4*$A$4*RTD("tos.rtd",,"VOLUME","."&amp;C$2&amp;C$1&amp;"P"&amp;$A25)*RTD("tos.rtd",,"GAMMA","."&amp;C$2&amp;C$1&amp;"P"&amp;$A25))/1000000,($A$4*$A$4*RTD("tos.rtd",,"VOLUME","."&amp;C$2&amp;C$1&amp;"C"&amp;$A25)*RTD("tos.rtd",,"GAMMA","."&amp;C$2&amp;C$1&amp;"C"&amp;$A25)-$A$4*$A$4*RTD("tos.rtd",,"VOLUME","."&amp;C$2&amp;C$1&amp;"P"&amp;$A25)*RTD("tos.rtd",,"GAMMA","."&amp;C$2&amp;C$1&amp;"P"&amp;$A25))/1000000),0),IF($A$2="GEX",IFERROR(IF($X$1="ABS",($A$4*$A$4*RTD("tos.rtd",,"OPEN_INT","."&amp;C$2&amp;C$1&amp;"C"&amp;$A25)*RTD("tos.rtd",,"GAMMA","."&amp;C$2&amp;C$1&amp;"C"&amp;$A25)+$A$4*$A$4*RTD("tos.rtd",,"OPEN_INT","."&amp;C$2&amp;C$1&amp;"P"&amp;$A25)*RTD("tos.rtd",,"GAMMA","."&amp;C$2&amp;C$1&amp;"P"&amp;$A25))/1000000,($A$4*$A$4*RTD("tos.rtd",,"OPEN_INT","."&amp;C$2&amp;C$1&amp;"C"&amp;$A25)*RTD("tos.rtd",,"GAMMA","."&amp;C$2&amp;C$1&amp;"C"&amp;$A25)-$A$4*$A$4*RTD("tos.rtd",,"OPEN_INT","."&amp;C$2&amp;C$1&amp;"P"&amp;$A25)*RTD("tos.rtd",,"GAMMA","."&amp;C$2&amp;C$1&amp;"P"&amp;$A25))/1000000),0),IF($A$2="SKEW",IFERROR(VALUE(IF(RTD("tos.rtd",,"IMPL_VOL","."&amp;C$2&amp;C$1&amp;"P"&amp;$A25)="N/A",0,RTD("tos.rtd",,"IMPL_VOL","."&amp;C$2&amp;C$1&amp;"P"&amp;$A25))),0)-IFERROR(VALUE(IF(RTD("tos.rtd",,"IMPL_VOL","."&amp;C$2&amp;C$1&amp;"C"&amp;$A25)="N/A",0,RTD("tos.rtd",,"IMPL_VOL","."&amp;C$2&amp;C$1&amp;"C"&amp;$A25))),0),IF($A$2="MAXPAIN",IF($A$4&gt;$A25,($A$4-$A25)*IF(RTD("tos.rtd",,"OPEN_INT","."&amp;C$2&amp;C$1&amp;"C"&amp;$A25)="N/A",0,RTD("tos.rtd",,"OPEN_INT","."&amp;C$2&amp;C$1&amp;"C"&amp;$A25)),0)+IF($A$4&lt;$A25,($A$5-$A$4)*IF(RTD("tos.rtd",,"OPEN_INT","."&amp;C$2&amp;C$1&amp;"P"&amp;$A25)="N/A",0,RTD("tos.rtd",,"OPEN_INT","."&amp;C$2&amp;C$1&amp;"P"&amp;$A25)),0),IF($X$1="ABS",IF(RTD("tos.rtd",,$A$2,"."&amp;C$2&amp;C$1&amp;"C"&amp;$A25)="N/A",0,RTD("tos.rtd",,$A$2,"."&amp;C$2&amp;C$1&amp;"C"&amp;$A25))+IF(RTD("tos.rtd",,$A$2,"."&amp;C$2&amp;C$1&amp;"P"&amp;$A25)="N/A",0,RTD("tos.rtd",,$A$2,"."&amp;C$2&amp;C$1&amp;"P"&amp;$A25)),IF(RTD("tos.rtd",,$A$2,"."&amp;C$2&amp;C$1&amp;"C"&amp;$A25)="N/A",0,RTD("tos.rtd",,$A$2,"."&amp;C$2&amp;C$1&amp;"C"&amp;$A25))-IF(RTD("tos.rtd",,$A$2,"."&amp;C$2&amp;C$1&amp;"P"&amp;$A25)="N/A",0,RTD("tos.rtd",,$A$2,"."&amp;C$2&amp;C$1&amp;"P"&amp;$A25))))))))))</f>
        <v>0</v>
      </c>
      <c r="D25" s="12">
        <f ca="1">IF($A$2="PREMIUM_OI",IFERROR(IF($X$1="ABS",(100*RTD("tos.rtd",,"OPEN_INT","."&amp;D$2&amp;D$1&amp;"C"&amp;$A25)*RTD("tos.rtd",,"LAST","."&amp;D$2&amp;D$1&amp;"C"&amp;$A25)+100*RTD("tos.rtd",,"OPEN_INT","."&amp;D$2&amp;D$1&amp;"P"&amp;$A25)*RTD("tos.rtd",,"LAST","."&amp;D$2&amp;D$1&amp;"P"&amp;$A25))/1000000,(100*RTD("tos.rtd",,"OPEN_INT","."&amp;D$2&amp;D$1&amp;"C"&amp;$A25)*RTD("tos.rtd",,"LAST","."&amp;D$2&amp;D$1&amp;"C"&amp;$A25)-100*RTD("tos.rtd",,"OPEN_INT","."&amp;D$2&amp;D$1&amp;"P"&amp;$A25)*RTD("tos.rtd",,"LAST","."&amp;D$2&amp;D$1&amp;"P"&amp;$A25))/1000000),0),IF($A$2="PREMIUM",IFERROR(IF($X$1="ABS",(100*RTD("tos.rtd",,"VOLUME","."&amp;D$2&amp;D$1&amp;"C"&amp;$A25)*RTD("tos.rtd",,"LAST","."&amp;D$2&amp;D$1&amp;"C"&amp;$A25)+100*RTD("tos.rtd",,"VOLUME","."&amp;D$2&amp;D$1&amp;"P"&amp;$A25)*RTD("tos.rtd",,"LAST","."&amp;D$2&amp;D$1&amp;"P"&amp;$A25))/1000000,(100*RTD("tos.rtd",,"VOLUME","."&amp;D$2&amp;D$1&amp;"C"&amp;$A25)*RTD("tos.rtd",,"LAST","."&amp;D$2&amp;D$1&amp;"C"&amp;$A25)-100*RTD("tos.rtd",,"VOLUME","."&amp;D$2&amp;D$1&amp;"P"&amp;$A25)*RTD("tos.rtd",,"LAST","."&amp;D$2&amp;D$1&amp;"P"&amp;$A25))/1000000),0),IF($A$2="DEX",IFERROR(IF($X$1="ABS",(100*RTD("tos.rtd",,"OPEN_INT","."&amp;D$2&amp;D$1&amp;"C"&amp;$A25)*RTD("tos.rtd",,"DELTA","."&amp;D$2&amp;D$1&amp;"C"&amp;$A25)+100*RTD("tos.rtd",,"OPEN_INT","."&amp;D$2&amp;D$1&amp;"P"&amp;$A25)*RTD("tos.rtd",,"DELTA","."&amp;D$2&amp;D$1&amp;"P"&amp;$A25))/1000,(100*RTD("tos.rtd",,"OPEN_INT","."&amp;D$2&amp;D$1&amp;"C"&amp;$A25)*RTD("tos.rtd",,"DELTA","."&amp;D$2&amp;D$1&amp;"C"&amp;$A25)-100*RTD("tos.rtd",,"OPEN_INT","."&amp;D$2&amp;D$1&amp;"P"&amp;$A25)*RTD("tos.rtd",,"DELTA","."&amp;D$2&amp;D$1&amp;"P"&amp;$A25))/1000),0),IF($A$2="VEX",IFERROR(IF($X$1="ABS",($A$4*$A$4*RTD("tos.rtd",,"VOLUME","."&amp;D$2&amp;D$1&amp;"C"&amp;$A25)*RTD("tos.rtd",,"GAMMA","."&amp;D$2&amp;D$1&amp;"C"&amp;$A25)+$A$4*$A$4*RTD("tos.rtd",,"VOLUME","."&amp;D$2&amp;D$1&amp;"P"&amp;$A25)*RTD("tos.rtd",,"GAMMA","."&amp;D$2&amp;D$1&amp;"P"&amp;$A25))/1000000,($A$4*$A$4*RTD("tos.rtd",,"VOLUME","."&amp;D$2&amp;D$1&amp;"C"&amp;$A25)*RTD("tos.rtd",,"GAMMA","."&amp;D$2&amp;D$1&amp;"C"&amp;$A25)-$A$4*$A$4*RTD("tos.rtd",,"VOLUME","."&amp;D$2&amp;D$1&amp;"P"&amp;$A25)*RTD("tos.rtd",,"GAMMA","."&amp;D$2&amp;D$1&amp;"P"&amp;$A25))/1000000),0),IF($A$2="GEX",IFERROR(IF($X$1="ABS",($A$4*$A$4*RTD("tos.rtd",,"OPEN_INT","."&amp;D$2&amp;D$1&amp;"C"&amp;$A25)*RTD("tos.rtd",,"GAMMA","."&amp;D$2&amp;D$1&amp;"C"&amp;$A25)+$A$4*$A$4*RTD("tos.rtd",,"OPEN_INT","."&amp;D$2&amp;D$1&amp;"P"&amp;$A25)*RTD("tos.rtd",,"GAMMA","."&amp;D$2&amp;D$1&amp;"P"&amp;$A25))/1000000,($A$4*$A$4*RTD("tos.rtd",,"OPEN_INT","."&amp;D$2&amp;D$1&amp;"C"&amp;$A25)*RTD("tos.rtd",,"GAMMA","."&amp;D$2&amp;D$1&amp;"C"&amp;$A25)-$A$4*$A$4*RTD("tos.rtd",,"OPEN_INT","."&amp;D$2&amp;D$1&amp;"P"&amp;$A25)*RTD("tos.rtd",,"GAMMA","."&amp;D$2&amp;D$1&amp;"P"&amp;$A25))/1000000),0),IF($A$2="SKEW",IFERROR(VALUE(IF(RTD("tos.rtd",,"IMPL_VOL","."&amp;D$2&amp;D$1&amp;"P"&amp;$A25)="N/A",0,RTD("tos.rtd",,"IMPL_VOL","."&amp;D$2&amp;D$1&amp;"P"&amp;$A25))),0)-IFERROR(VALUE(IF(RTD("tos.rtd",,"IMPL_VOL","."&amp;D$2&amp;D$1&amp;"C"&amp;$A25)="N/A",0,RTD("tos.rtd",,"IMPL_VOL","."&amp;D$2&amp;D$1&amp;"C"&amp;$A25))),0),IF($A$2="MAXPAIN",IF($A$4&gt;$A25,($A$4-$A25)*IF(RTD("tos.rtd",,"OPEN_INT","."&amp;D$2&amp;D$1&amp;"C"&amp;$A25)="N/A",0,RTD("tos.rtd",,"OPEN_INT","."&amp;D$2&amp;D$1&amp;"C"&amp;$A25)),0)+IF($A$4&lt;$A25,($A$5-$A$4)*IF(RTD("tos.rtd",,"OPEN_INT","."&amp;D$2&amp;D$1&amp;"P"&amp;$A25)="N/A",0,RTD("tos.rtd",,"OPEN_INT","."&amp;D$2&amp;D$1&amp;"P"&amp;$A25)),0),IF($X$1="ABS",IF(RTD("tos.rtd",,$A$2,"."&amp;D$2&amp;D$1&amp;"C"&amp;$A25)="N/A",0,RTD("tos.rtd",,$A$2,"."&amp;D$2&amp;D$1&amp;"C"&amp;$A25))+IF(RTD("tos.rtd",,$A$2,"."&amp;D$2&amp;D$1&amp;"P"&amp;$A25)="N/A",0,RTD("tos.rtd",,$A$2,"."&amp;D$2&amp;D$1&amp;"P"&amp;$A25)),IF(RTD("tos.rtd",,$A$2,"."&amp;D$2&amp;D$1&amp;"C"&amp;$A25)="N/A",0,RTD("tos.rtd",,$A$2,"."&amp;D$2&amp;D$1&amp;"C"&amp;$A25))-IF(RTD("tos.rtd",,$A$2,"."&amp;D$2&amp;D$1&amp;"P"&amp;$A25)="N/A",0,RTD("tos.rtd",,$A$2,"."&amp;D$2&amp;D$1&amp;"P"&amp;$A25))))))))))</f>
        <v>0</v>
      </c>
      <c r="E25" s="12">
        <f ca="1">IF($A$2="PREMIUM_OI",IFERROR(IF($X$1="ABS",(100*RTD("tos.rtd",,"OPEN_INT","."&amp;E$2&amp;E$1&amp;"C"&amp;$A25)*RTD("tos.rtd",,"LAST","."&amp;E$2&amp;E$1&amp;"C"&amp;$A25)+100*RTD("tos.rtd",,"OPEN_INT","."&amp;E$2&amp;E$1&amp;"P"&amp;$A25)*RTD("tos.rtd",,"LAST","."&amp;E$2&amp;E$1&amp;"P"&amp;$A25))/1000000,(100*RTD("tos.rtd",,"OPEN_INT","."&amp;E$2&amp;E$1&amp;"C"&amp;$A25)*RTD("tos.rtd",,"LAST","."&amp;E$2&amp;E$1&amp;"C"&amp;$A25)-100*RTD("tos.rtd",,"OPEN_INT","."&amp;E$2&amp;E$1&amp;"P"&amp;$A25)*RTD("tos.rtd",,"LAST","."&amp;E$2&amp;E$1&amp;"P"&amp;$A25))/1000000),0),IF($A$2="PREMIUM",IFERROR(IF($X$1="ABS",(100*RTD("tos.rtd",,"VOLUME","."&amp;E$2&amp;E$1&amp;"C"&amp;$A25)*RTD("tos.rtd",,"LAST","."&amp;E$2&amp;E$1&amp;"C"&amp;$A25)+100*RTD("tos.rtd",,"VOLUME","."&amp;E$2&amp;E$1&amp;"P"&amp;$A25)*RTD("tos.rtd",,"LAST","."&amp;E$2&amp;E$1&amp;"P"&amp;$A25))/1000000,(100*RTD("tos.rtd",,"VOLUME","."&amp;E$2&amp;E$1&amp;"C"&amp;$A25)*RTD("tos.rtd",,"LAST","."&amp;E$2&amp;E$1&amp;"C"&amp;$A25)-100*RTD("tos.rtd",,"VOLUME","."&amp;E$2&amp;E$1&amp;"P"&amp;$A25)*RTD("tos.rtd",,"LAST","."&amp;E$2&amp;E$1&amp;"P"&amp;$A25))/1000000),0),IF($A$2="DEX",IFERROR(IF($X$1="ABS",(100*RTD("tos.rtd",,"OPEN_INT","."&amp;E$2&amp;E$1&amp;"C"&amp;$A25)*RTD("tos.rtd",,"DELTA","."&amp;E$2&amp;E$1&amp;"C"&amp;$A25)+100*RTD("tos.rtd",,"OPEN_INT","."&amp;E$2&amp;E$1&amp;"P"&amp;$A25)*RTD("tos.rtd",,"DELTA","."&amp;E$2&amp;E$1&amp;"P"&amp;$A25))/1000,(100*RTD("tos.rtd",,"OPEN_INT","."&amp;E$2&amp;E$1&amp;"C"&amp;$A25)*RTD("tos.rtd",,"DELTA","."&amp;E$2&amp;E$1&amp;"C"&amp;$A25)-100*RTD("tos.rtd",,"OPEN_INT","."&amp;E$2&amp;E$1&amp;"P"&amp;$A25)*RTD("tos.rtd",,"DELTA","."&amp;E$2&amp;E$1&amp;"P"&amp;$A25))/1000),0),IF($A$2="VEX",IFERROR(IF($X$1="ABS",($A$4*$A$4*RTD("tos.rtd",,"VOLUME","."&amp;E$2&amp;E$1&amp;"C"&amp;$A25)*RTD("tos.rtd",,"GAMMA","."&amp;E$2&amp;E$1&amp;"C"&amp;$A25)+$A$4*$A$4*RTD("tos.rtd",,"VOLUME","."&amp;E$2&amp;E$1&amp;"P"&amp;$A25)*RTD("tos.rtd",,"GAMMA","."&amp;E$2&amp;E$1&amp;"P"&amp;$A25))/1000000,($A$4*$A$4*RTD("tos.rtd",,"VOLUME","."&amp;E$2&amp;E$1&amp;"C"&amp;$A25)*RTD("tos.rtd",,"GAMMA","."&amp;E$2&amp;E$1&amp;"C"&amp;$A25)-$A$4*$A$4*RTD("tos.rtd",,"VOLUME","."&amp;E$2&amp;E$1&amp;"P"&amp;$A25)*RTD("tos.rtd",,"GAMMA","."&amp;E$2&amp;E$1&amp;"P"&amp;$A25))/1000000),0),IF($A$2="GEX",IFERROR(IF($X$1="ABS",($A$4*$A$4*RTD("tos.rtd",,"OPEN_INT","."&amp;E$2&amp;E$1&amp;"C"&amp;$A25)*RTD("tos.rtd",,"GAMMA","."&amp;E$2&amp;E$1&amp;"C"&amp;$A25)+$A$4*$A$4*RTD("tos.rtd",,"OPEN_INT","."&amp;E$2&amp;E$1&amp;"P"&amp;$A25)*RTD("tos.rtd",,"GAMMA","."&amp;E$2&amp;E$1&amp;"P"&amp;$A25))/1000000,($A$4*$A$4*RTD("tos.rtd",,"OPEN_INT","."&amp;E$2&amp;E$1&amp;"C"&amp;$A25)*RTD("tos.rtd",,"GAMMA","."&amp;E$2&amp;E$1&amp;"C"&amp;$A25)-$A$4*$A$4*RTD("tos.rtd",,"OPEN_INT","."&amp;E$2&amp;E$1&amp;"P"&amp;$A25)*RTD("tos.rtd",,"GAMMA","."&amp;E$2&amp;E$1&amp;"P"&amp;$A25))/1000000),0),IF($A$2="SKEW",IFERROR(VALUE(IF(RTD("tos.rtd",,"IMPL_VOL","."&amp;E$2&amp;E$1&amp;"P"&amp;$A25)="N/A",0,RTD("tos.rtd",,"IMPL_VOL","."&amp;E$2&amp;E$1&amp;"P"&amp;$A25))),0)-IFERROR(VALUE(IF(RTD("tos.rtd",,"IMPL_VOL","."&amp;E$2&amp;E$1&amp;"C"&amp;$A25)="N/A",0,RTD("tos.rtd",,"IMPL_VOL","."&amp;E$2&amp;E$1&amp;"C"&amp;$A25))),0),IF($A$2="MAXPAIN",IF($A$4&gt;$A25,($A$4-$A25)*IF(RTD("tos.rtd",,"OPEN_INT","."&amp;E$2&amp;E$1&amp;"C"&amp;$A25)="N/A",0,RTD("tos.rtd",,"OPEN_INT","."&amp;E$2&amp;E$1&amp;"C"&amp;$A25)),0)+IF($A$4&lt;$A25,($A$5-$A$4)*IF(RTD("tos.rtd",,"OPEN_INT","."&amp;E$2&amp;E$1&amp;"P"&amp;$A25)="N/A",0,RTD("tos.rtd",,"OPEN_INT","."&amp;E$2&amp;E$1&amp;"P"&amp;$A25)),0),IF($X$1="ABS",IF(RTD("tos.rtd",,$A$2,"."&amp;E$2&amp;E$1&amp;"C"&amp;$A25)="N/A",0,RTD("tos.rtd",,$A$2,"."&amp;E$2&amp;E$1&amp;"C"&amp;$A25))+IF(RTD("tos.rtd",,$A$2,"."&amp;E$2&amp;E$1&amp;"P"&amp;$A25)="N/A",0,RTD("tos.rtd",,$A$2,"."&amp;E$2&amp;E$1&amp;"P"&amp;$A25)),IF(RTD("tos.rtd",,$A$2,"."&amp;E$2&amp;E$1&amp;"C"&amp;$A25)="N/A",0,RTD("tos.rtd",,$A$2,"."&amp;E$2&amp;E$1&amp;"C"&amp;$A25))-IF(RTD("tos.rtd",,$A$2,"."&amp;E$2&amp;E$1&amp;"P"&amp;$A25)="N/A",0,RTD("tos.rtd",,$A$2,"."&amp;E$2&amp;E$1&amp;"P"&amp;$A25))))))))))</f>
        <v>0</v>
      </c>
      <c r="F25" s="12">
        <f ca="1">IF($A$2="PREMIUM_OI",IFERROR(IF($X$1="ABS",(100*RTD("tos.rtd",,"OPEN_INT","."&amp;F$2&amp;F$1&amp;"C"&amp;$A25)*RTD("tos.rtd",,"LAST","."&amp;F$2&amp;F$1&amp;"C"&amp;$A25)+100*RTD("tos.rtd",,"OPEN_INT","."&amp;F$2&amp;F$1&amp;"P"&amp;$A25)*RTD("tos.rtd",,"LAST","."&amp;F$2&amp;F$1&amp;"P"&amp;$A25))/1000000,(100*RTD("tos.rtd",,"OPEN_INT","."&amp;F$2&amp;F$1&amp;"C"&amp;$A25)*RTD("tos.rtd",,"LAST","."&amp;F$2&amp;F$1&amp;"C"&amp;$A25)-100*RTD("tos.rtd",,"OPEN_INT","."&amp;F$2&amp;F$1&amp;"P"&amp;$A25)*RTD("tos.rtd",,"LAST","."&amp;F$2&amp;F$1&amp;"P"&amp;$A25))/1000000),0),IF($A$2="PREMIUM",IFERROR(IF($X$1="ABS",(100*RTD("tos.rtd",,"VOLUME","."&amp;F$2&amp;F$1&amp;"C"&amp;$A25)*RTD("tos.rtd",,"LAST","."&amp;F$2&amp;F$1&amp;"C"&amp;$A25)+100*RTD("tos.rtd",,"VOLUME","."&amp;F$2&amp;F$1&amp;"P"&amp;$A25)*RTD("tos.rtd",,"LAST","."&amp;F$2&amp;F$1&amp;"P"&amp;$A25))/1000000,(100*RTD("tos.rtd",,"VOLUME","."&amp;F$2&amp;F$1&amp;"C"&amp;$A25)*RTD("tos.rtd",,"LAST","."&amp;F$2&amp;F$1&amp;"C"&amp;$A25)-100*RTD("tos.rtd",,"VOLUME","."&amp;F$2&amp;F$1&amp;"P"&amp;$A25)*RTD("tos.rtd",,"LAST","."&amp;F$2&amp;F$1&amp;"P"&amp;$A25))/1000000),0),IF($A$2="DEX",IFERROR(IF($X$1="ABS",(100*RTD("tos.rtd",,"OPEN_INT","."&amp;F$2&amp;F$1&amp;"C"&amp;$A25)*RTD("tos.rtd",,"DELTA","."&amp;F$2&amp;F$1&amp;"C"&amp;$A25)+100*RTD("tos.rtd",,"OPEN_INT","."&amp;F$2&amp;F$1&amp;"P"&amp;$A25)*RTD("tos.rtd",,"DELTA","."&amp;F$2&amp;F$1&amp;"P"&amp;$A25))/1000,(100*RTD("tos.rtd",,"OPEN_INT","."&amp;F$2&amp;F$1&amp;"C"&amp;$A25)*RTD("tos.rtd",,"DELTA","."&amp;F$2&amp;F$1&amp;"C"&amp;$A25)-100*RTD("tos.rtd",,"OPEN_INT","."&amp;F$2&amp;F$1&amp;"P"&amp;$A25)*RTD("tos.rtd",,"DELTA","."&amp;F$2&amp;F$1&amp;"P"&amp;$A25))/1000),0),IF($A$2="VEX",IFERROR(IF($X$1="ABS",($A$4*$A$4*RTD("tos.rtd",,"VOLUME","."&amp;F$2&amp;F$1&amp;"C"&amp;$A25)*RTD("tos.rtd",,"GAMMA","."&amp;F$2&amp;F$1&amp;"C"&amp;$A25)+$A$4*$A$4*RTD("tos.rtd",,"VOLUME","."&amp;F$2&amp;F$1&amp;"P"&amp;$A25)*RTD("tos.rtd",,"GAMMA","."&amp;F$2&amp;F$1&amp;"P"&amp;$A25))/1000000,($A$4*$A$4*RTD("tos.rtd",,"VOLUME","."&amp;F$2&amp;F$1&amp;"C"&amp;$A25)*RTD("tos.rtd",,"GAMMA","."&amp;F$2&amp;F$1&amp;"C"&amp;$A25)-$A$4*$A$4*RTD("tos.rtd",,"VOLUME","."&amp;F$2&amp;F$1&amp;"P"&amp;$A25)*RTD("tos.rtd",,"GAMMA","."&amp;F$2&amp;F$1&amp;"P"&amp;$A25))/1000000),0),IF($A$2="GEX",IFERROR(IF($X$1="ABS",($A$4*$A$4*RTD("tos.rtd",,"OPEN_INT","."&amp;F$2&amp;F$1&amp;"C"&amp;$A25)*RTD("tos.rtd",,"GAMMA","."&amp;F$2&amp;F$1&amp;"C"&amp;$A25)+$A$4*$A$4*RTD("tos.rtd",,"OPEN_INT","."&amp;F$2&amp;F$1&amp;"P"&amp;$A25)*RTD("tos.rtd",,"GAMMA","."&amp;F$2&amp;F$1&amp;"P"&amp;$A25))/1000000,($A$4*$A$4*RTD("tos.rtd",,"OPEN_INT","."&amp;F$2&amp;F$1&amp;"C"&amp;$A25)*RTD("tos.rtd",,"GAMMA","."&amp;F$2&amp;F$1&amp;"C"&amp;$A25)-$A$4*$A$4*RTD("tos.rtd",,"OPEN_INT","."&amp;F$2&amp;F$1&amp;"P"&amp;$A25)*RTD("tos.rtd",,"GAMMA","."&amp;F$2&amp;F$1&amp;"P"&amp;$A25))/1000000),0),IF($A$2="SKEW",IFERROR(VALUE(IF(RTD("tos.rtd",,"IMPL_VOL","."&amp;F$2&amp;F$1&amp;"P"&amp;$A25)="N/A",0,RTD("tos.rtd",,"IMPL_VOL","."&amp;F$2&amp;F$1&amp;"P"&amp;$A25))),0)-IFERROR(VALUE(IF(RTD("tos.rtd",,"IMPL_VOL","."&amp;F$2&amp;F$1&amp;"C"&amp;$A25)="N/A",0,RTD("tos.rtd",,"IMPL_VOL","."&amp;F$2&amp;F$1&amp;"C"&amp;$A25))),0),IF($A$2="MAXPAIN",IF($A$4&gt;$A25,($A$4-$A25)*IF(RTD("tos.rtd",,"OPEN_INT","."&amp;F$2&amp;F$1&amp;"C"&amp;$A25)="N/A",0,RTD("tos.rtd",,"OPEN_INT","."&amp;F$2&amp;F$1&amp;"C"&amp;$A25)),0)+IF($A$4&lt;$A25,($A$5-$A$4)*IF(RTD("tos.rtd",,"OPEN_INT","."&amp;F$2&amp;F$1&amp;"P"&amp;$A25)="N/A",0,RTD("tos.rtd",,"OPEN_INT","."&amp;F$2&amp;F$1&amp;"P"&amp;$A25)),0),IF($X$1="ABS",IF(RTD("tos.rtd",,$A$2,"."&amp;F$2&amp;F$1&amp;"C"&amp;$A25)="N/A",0,RTD("tos.rtd",,$A$2,"."&amp;F$2&amp;F$1&amp;"C"&amp;$A25))+IF(RTD("tos.rtd",,$A$2,"."&amp;F$2&amp;F$1&amp;"P"&amp;$A25)="N/A",0,RTD("tos.rtd",,$A$2,"."&amp;F$2&amp;F$1&amp;"P"&amp;$A25)),IF(RTD("tos.rtd",,$A$2,"."&amp;F$2&amp;F$1&amp;"C"&amp;$A25)="N/A",0,RTD("tos.rtd",,$A$2,"."&amp;F$2&amp;F$1&amp;"C"&amp;$A25))-IF(RTD("tos.rtd",,$A$2,"."&amp;F$2&amp;F$1&amp;"P"&amp;$A25)="N/A",0,RTD("tos.rtd",,$A$2,"."&amp;F$2&amp;F$1&amp;"P"&amp;$A25))))))))))</f>
        <v>0</v>
      </c>
      <c r="G25" s="54">
        <f ca="1">IF($A$2="PREMIUM_OI",IFERROR(IF($X$1="ABS",(100*RTD("tos.rtd",,"OPEN_INT","."&amp;G$2&amp;G$1&amp;"C"&amp;$A25)*RTD("tos.rtd",,"LAST","."&amp;G$2&amp;G$1&amp;"C"&amp;$A25)+100*RTD("tos.rtd",,"OPEN_INT","."&amp;G$2&amp;G$1&amp;"P"&amp;$A25)*RTD("tos.rtd",,"LAST","."&amp;G$2&amp;G$1&amp;"P"&amp;$A25))/1000000,(100*RTD("tos.rtd",,"OPEN_INT","."&amp;G$2&amp;G$1&amp;"C"&amp;$A25)*RTD("tos.rtd",,"LAST","."&amp;G$2&amp;G$1&amp;"C"&amp;$A25)-100*RTD("tos.rtd",,"OPEN_INT","."&amp;G$2&amp;G$1&amp;"P"&amp;$A25)*RTD("tos.rtd",,"LAST","."&amp;G$2&amp;G$1&amp;"P"&amp;$A25))/1000000),0),IF($A$2="PREMIUM",IFERROR(IF($X$1="ABS",(100*RTD("tos.rtd",,"VOLUME","."&amp;G$2&amp;G$1&amp;"C"&amp;$A25)*RTD("tos.rtd",,"LAST","."&amp;G$2&amp;G$1&amp;"C"&amp;$A25)+100*RTD("tos.rtd",,"VOLUME","."&amp;G$2&amp;G$1&amp;"P"&amp;$A25)*RTD("tos.rtd",,"LAST","."&amp;G$2&amp;G$1&amp;"P"&amp;$A25))/1000000,(100*RTD("tos.rtd",,"VOLUME","."&amp;G$2&amp;G$1&amp;"C"&amp;$A25)*RTD("tos.rtd",,"LAST","."&amp;G$2&amp;G$1&amp;"C"&amp;$A25)-100*RTD("tos.rtd",,"VOLUME","."&amp;G$2&amp;G$1&amp;"P"&amp;$A25)*RTD("tos.rtd",,"LAST","."&amp;G$2&amp;G$1&amp;"P"&amp;$A25))/1000000),0),IF($A$2="DEX",IFERROR(IF($X$1="ABS",(100*RTD("tos.rtd",,"OPEN_INT","."&amp;G$2&amp;G$1&amp;"C"&amp;$A25)*RTD("tos.rtd",,"DELTA","."&amp;G$2&amp;G$1&amp;"C"&amp;$A25)+100*RTD("tos.rtd",,"OPEN_INT","."&amp;G$2&amp;G$1&amp;"P"&amp;$A25)*RTD("tos.rtd",,"DELTA","."&amp;G$2&amp;G$1&amp;"P"&amp;$A25))/1000,(100*RTD("tos.rtd",,"OPEN_INT","."&amp;G$2&amp;G$1&amp;"C"&amp;$A25)*RTD("tos.rtd",,"DELTA","."&amp;G$2&amp;G$1&amp;"C"&amp;$A25)-100*RTD("tos.rtd",,"OPEN_INT","."&amp;G$2&amp;G$1&amp;"P"&amp;$A25)*RTD("tos.rtd",,"DELTA","."&amp;G$2&amp;G$1&amp;"P"&amp;$A25))/1000),0),IF($A$2="VEX",IFERROR(IF($X$1="ABS",($A$4*$A$4*RTD("tos.rtd",,"VOLUME","."&amp;G$2&amp;G$1&amp;"C"&amp;$A25)*RTD("tos.rtd",,"GAMMA","."&amp;G$2&amp;G$1&amp;"C"&amp;$A25)+$A$4*$A$4*RTD("tos.rtd",,"VOLUME","."&amp;G$2&amp;G$1&amp;"P"&amp;$A25)*RTD("tos.rtd",,"GAMMA","."&amp;G$2&amp;G$1&amp;"P"&amp;$A25))/1000000,($A$4*$A$4*RTD("tos.rtd",,"VOLUME","."&amp;G$2&amp;G$1&amp;"C"&amp;$A25)*RTD("tos.rtd",,"GAMMA","."&amp;G$2&amp;G$1&amp;"C"&amp;$A25)-$A$4*$A$4*RTD("tos.rtd",,"VOLUME","."&amp;G$2&amp;G$1&amp;"P"&amp;$A25)*RTD("tos.rtd",,"GAMMA","."&amp;G$2&amp;G$1&amp;"P"&amp;$A25))/1000000),0),IF($A$2="GEX",IFERROR(IF($X$1="ABS",($A$4*$A$4*RTD("tos.rtd",,"OPEN_INT","."&amp;G$2&amp;G$1&amp;"C"&amp;$A25)*RTD("tos.rtd",,"GAMMA","."&amp;G$2&amp;G$1&amp;"C"&amp;$A25)+$A$4*$A$4*RTD("tos.rtd",,"OPEN_INT","."&amp;G$2&amp;G$1&amp;"P"&amp;$A25)*RTD("tos.rtd",,"GAMMA","."&amp;G$2&amp;G$1&amp;"P"&amp;$A25))/1000000,($A$4*$A$4*RTD("tos.rtd",,"OPEN_INT","."&amp;G$2&amp;G$1&amp;"C"&amp;$A25)*RTD("tos.rtd",,"GAMMA","."&amp;G$2&amp;G$1&amp;"C"&amp;$A25)-$A$4*$A$4*RTD("tos.rtd",,"OPEN_INT","."&amp;G$2&amp;G$1&amp;"P"&amp;$A25)*RTD("tos.rtd",,"GAMMA","."&amp;G$2&amp;G$1&amp;"P"&amp;$A25))/1000000),0),IF($A$2="SKEW",IFERROR(VALUE(IF(RTD("tos.rtd",,"IMPL_VOL","."&amp;G$2&amp;G$1&amp;"P"&amp;$A25)="N/A",0,RTD("tos.rtd",,"IMPL_VOL","."&amp;G$2&amp;G$1&amp;"P"&amp;$A25))),0)-IFERROR(VALUE(IF(RTD("tos.rtd",,"IMPL_VOL","."&amp;G$2&amp;G$1&amp;"C"&amp;$A25)="N/A",0,RTD("tos.rtd",,"IMPL_VOL","."&amp;G$2&amp;G$1&amp;"C"&amp;$A25))),0),IF($A$2="MAXPAIN",IF($A$4&gt;$A25,($A$4-$A25)*IF(RTD("tos.rtd",,"OPEN_INT","."&amp;G$2&amp;G$1&amp;"C"&amp;$A25)="N/A",0,RTD("tos.rtd",,"OPEN_INT","."&amp;G$2&amp;G$1&amp;"C"&amp;$A25)),0)+IF($A$4&lt;$A25,($A$5-$A$4)*IF(RTD("tos.rtd",,"OPEN_INT","."&amp;G$2&amp;G$1&amp;"P"&amp;$A25)="N/A",0,RTD("tos.rtd",,"OPEN_INT","."&amp;G$2&amp;G$1&amp;"P"&amp;$A25)),0),IF($X$1="ABS",IF(RTD("tos.rtd",,$A$2,"."&amp;G$2&amp;G$1&amp;"C"&amp;$A25)="N/A",0,RTD("tos.rtd",,$A$2,"."&amp;G$2&amp;G$1&amp;"C"&amp;$A25))+IF(RTD("tos.rtd",,$A$2,"."&amp;G$2&amp;G$1&amp;"P"&amp;$A25)="N/A",0,RTD("tos.rtd",,$A$2,"."&amp;G$2&amp;G$1&amp;"P"&amp;$A25)),IF(RTD("tos.rtd",,$A$2,"."&amp;G$2&amp;G$1&amp;"C"&amp;$A25)="N/A",0,RTD("tos.rtd",,$A$2,"."&amp;G$2&amp;G$1&amp;"C"&amp;$A25))-IF(RTD("tos.rtd",,$A$2,"."&amp;G$2&amp;G$1&amp;"P"&amp;$A25)="N/A",0,RTD("tos.rtd",,$A$2,"."&amp;G$2&amp;G$1&amp;"P"&amp;$A25))))))))))</f>
        <v>0</v>
      </c>
      <c r="H25" s="14">
        <f ca="1">IF($A$2="PREMIUM_OI",IFERROR(IF($X$1="ABS",(100*RTD("tos.rtd",,"OPEN_INT","."&amp;H$2&amp;H$1&amp;"C"&amp;$A25)*RTD("tos.rtd",,"LAST","."&amp;H$2&amp;H$1&amp;"C"&amp;$A25)+100*RTD("tos.rtd",,"OPEN_INT","."&amp;H$2&amp;H$1&amp;"P"&amp;$A25)*RTD("tos.rtd",,"LAST","."&amp;H$2&amp;H$1&amp;"P"&amp;$A25))/1000000,(100*RTD("tos.rtd",,"OPEN_INT","."&amp;H$2&amp;H$1&amp;"C"&amp;$A25)*RTD("tos.rtd",,"LAST","."&amp;H$2&amp;H$1&amp;"C"&amp;$A25)-100*RTD("tos.rtd",,"OPEN_INT","."&amp;H$2&amp;H$1&amp;"P"&amp;$A25)*RTD("tos.rtd",,"LAST","."&amp;H$2&amp;H$1&amp;"P"&amp;$A25))/1000000),0),IF($A$2="PREMIUM",IFERROR(IF($X$1="ABS",(100*RTD("tos.rtd",,"VOLUME","."&amp;H$2&amp;H$1&amp;"C"&amp;$A25)*RTD("tos.rtd",,"LAST","."&amp;H$2&amp;H$1&amp;"C"&amp;$A25)+100*RTD("tos.rtd",,"VOLUME","."&amp;H$2&amp;H$1&amp;"P"&amp;$A25)*RTD("tos.rtd",,"LAST","."&amp;H$2&amp;H$1&amp;"P"&amp;$A25))/1000000,(100*RTD("tos.rtd",,"VOLUME","."&amp;H$2&amp;H$1&amp;"C"&amp;$A25)*RTD("tos.rtd",,"LAST","."&amp;H$2&amp;H$1&amp;"C"&amp;$A25)-100*RTD("tos.rtd",,"VOLUME","."&amp;H$2&amp;H$1&amp;"P"&amp;$A25)*RTD("tos.rtd",,"LAST","."&amp;H$2&amp;H$1&amp;"P"&amp;$A25))/1000000),0),IF($A$2="DEX",IFERROR(IF($X$1="ABS",(100*RTD("tos.rtd",,"OPEN_INT","."&amp;H$2&amp;H$1&amp;"C"&amp;$A25)*RTD("tos.rtd",,"DELTA","."&amp;H$2&amp;H$1&amp;"C"&amp;$A25)+100*RTD("tos.rtd",,"OPEN_INT","."&amp;H$2&amp;H$1&amp;"P"&amp;$A25)*RTD("tos.rtd",,"DELTA","."&amp;H$2&amp;H$1&amp;"P"&amp;$A25))/1000,(100*RTD("tos.rtd",,"OPEN_INT","."&amp;H$2&amp;H$1&amp;"C"&amp;$A25)*RTD("tos.rtd",,"DELTA","."&amp;H$2&amp;H$1&amp;"C"&amp;$A25)-100*RTD("tos.rtd",,"OPEN_INT","."&amp;H$2&amp;H$1&amp;"P"&amp;$A25)*RTD("tos.rtd",,"DELTA","."&amp;H$2&amp;H$1&amp;"P"&amp;$A25))/1000),0),IF($A$2="VEX",IFERROR(IF($X$1="ABS",($A$4*$A$4*RTD("tos.rtd",,"VOLUME","."&amp;H$2&amp;H$1&amp;"C"&amp;$A25)*RTD("tos.rtd",,"GAMMA","."&amp;H$2&amp;H$1&amp;"C"&amp;$A25)+$A$4*$A$4*RTD("tos.rtd",,"VOLUME","."&amp;H$2&amp;H$1&amp;"P"&amp;$A25)*RTD("tos.rtd",,"GAMMA","."&amp;H$2&amp;H$1&amp;"P"&amp;$A25))/1000000,($A$4*$A$4*RTD("tos.rtd",,"VOLUME","."&amp;H$2&amp;H$1&amp;"C"&amp;$A25)*RTD("tos.rtd",,"GAMMA","."&amp;H$2&amp;H$1&amp;"C"&amp;$A25)-$A$4*$A$4*RTD("tos.rtd",,"VOLUME","."&amp;H$2&amp;H$1&amp;"P"&amp;$A25)*RTD("tos.rtd",,"GAMMA","."&amp;H$2&amp;H$1&amp;"P"&amp;$A25))/1000000),0),IF($A$2="GEX",IFERROR(IF($X$1="ABS",($A$4*$A$4*RTD("tos.rtd",,"OPEN_INT","."&amp;H$2&amp;H$1&amp;"C"&amp;$A25)*RTD("tos.rtd",,"GAMMA","."&amp;H$2&amp;H$1&amp;"C"&amp;$A25)+$A$4*$A$4*RTD("tos.rtd",,"OPEN_INT","."&amp;H$2&amp;H$1&amp;"P"&amp;$A25)*RTD("tos.rtd",,"GAMMA","."&amp;H$2&amp;H$1&amp;"P"&amp;$A25))/1000000,($A$4*$A$4*RTD("tos.rtd",,"OPEN_INT","."&amp;H$2&amp;H$1&amp;"C"&amp;$A25)*RTD("tos.rtd",,"GAMMA","."&amp;H$2&amp;H$1&amp;"C"&amp;$A25)-$A$4*$A$4*RTD("tos.rtd",,"OPEN_INT","."&amp;H$2&amp;H$1&amp;"P"&amp;$A25)*RTD("tos.rtd",,"GAMMA","."&amp;H$2&amp;H$1&amp;"P"&amp;$A25))/1000000),0),IF($A$2="SKEW",IFERROR(VALUE(IF(RTD("tos.rtd",,"IMPL_VOL","."&amp;H$2&amp;H$1&amp;"P"&amp;$A25)="N/A",0,RTD("tos.rtd",,"IMPL_VOL","."&amp;H$2&amp;H$1&amp;"P"&amp;$A25))),0)-IFERROR(VALUE(IF(RTD("tos.rtd",,"IMPL_VOL","."&amp;H$2&amp;H$1&amp;"C"&amp;$A25)="N/A",0,RTD("tos.rtd",,"IMPL_VOL","."&amp;H$2&amp;H$1&amp;"C"&amp;$A25))),0),IF($A$2="MAXPAIN",IF($A$4&gt;$A25,($A$4-$A25)*IF(RTD("tos.rtd",,"OPEN_INT","."&amp;H$2&amp;H$1&amp;"C"&amp;$A25)="N/A",0,RTD("tos.rtd",,"OPEN_INT","."&amp;H$2&amp;H$1&amp;"C"&amp;$A25)),0)+IF($A$4&lt;$A25,($A$5-$A$4)*IF(RTD("tos.rtd",,"OPEN_INT","."&amp;H$2&amp;H$1&amp;"P"&amp;$A25)="N/A",0,RTD("tos.rtd",,"OPEN_INT","."&amp;H$2&amp;H$1&amp;"P"&amp;$A25)),0),IF($X$1="ABS",IF(RTD("tos.rtd",,$A$2,"."&amp;H$2&amp;H$1&amp;"C"&amp;$A25)="N/A",0,RTD("tos.rtd",,$A$2,"."&amp;H$2&amp;H$1&amp;"C"&amp;$A25))+IF(RTD("tos.rtd",,$A$2,"."&amp;H$2&amp;H$1&amp;"P"&amp;$A25)="N/A",0,RTD("tos.rtd",,$A$2,"."&amp;H$2&amp;H$1&amp;"P"&amp;$A25)),IF(RTD("tos.rtd",,$A$2,"."&amp;H$2&amp;H$1&amp;"C"&amp;$A25)="N/A",0,RTD("tos.rtd",,$A$2,"."&amp;H$2&amp;H$1&amp;"C"&amp;$A25))-IF(RTD("tos.rtd",,$A$2,"."&amp;H$2&amp;H$1&amp;"P"&amp;$A25)="N/A",0,RTD("tos.rtd",,$A$2,"."&amp;H$2&amp;H$1&amp;"P"&amp;$A25))))))))))</f>
        <v>0</v>
      </c>
      <c r="I25" s="12">
        <f ca="1">IF($A$2="PREMIUM_OI",IFERROR(IF($X$1="ABS",(100*RTD("tos.rtd",,"OPEN_INT","."&amp;I$2&amp;I$1&amp;"C"&amp;$A25)*RTD("tos.rtd",,"LAST","."&amp;I$2&amp;I$1&amp;"C"&amp;$A25)+100*RTD("tos.rtd",,"OPEN_INT","."&amp;I$2&amp;I$1&amp;"P"&amp;$A25)*RTD("tos.rtd",,"LAST","."&amp;I$2&amp;I$1&amp;"P"&amp;$A25))/1000000,(100*RTD("tos.rtd",,"OPEN_INT","."&amp;I$2&amp;I$1&amp;"C"&amp;$A25)*RTD("tos.rtd",,"LAST","."&amp;I$2&amp;I$1&amp;"C"&amp;$A25)-100*RTD("tos.rtd",,"OPEN_INT","."&amp;I$2&amp;I$1&amp;"P"&amp;$A25)*RTD("tos.rtd",,"LAST","."&amp;I$2&amp;I$1&amp;"P"&amp;$A25))/1000000),0),IF($A$2="PREMIUM",IFERROR(IF($X$1="ABS",(100*RTD("tos.rtd",,"VOLUME","."&amp;I$2&amp;I$1&amp;"C"&amp;$A25)*RTD("tos.rtd",,"LAST","."&amp;I$2&amp;I$1&amp;"C"&amp;$A25)+100*RTD("tos.rtd",,"VOLUME","."&amp;I$2&amp;I$1&amp;"P"&amp;$A25)*RTD("tos.rtd",,"LAST","."&amp;I$2&amp;I$1&amp;"P"&amp;$A25))/1000000,(100*RTD("tos.rtd",,"VOLUME","."&amp;I$2&amp;I$1&amp;"C"&amp;$A25)*RTD("tos.rtd",,"LAST","."&amp;I$2&amp;I$1&amp;"C"&amp;$A25)-100*RTD("tos.rtd",,"VOLUME","."&amp;I$2&amp;I$1&amp;"P"&amp;$A25)*RTD("tos.rtd",,"LAST","."&amp;I$2&amp;I$1&amp;"P"&amp;$A25))/1000000),0),IF($A$2="DEX",IFERROR(IF($X$1="ABS",(100*RTD("tos.rtd",,"OPEN_INT","."&amp;I$2&amp;I$1&amp;"C"&amp;$A25)*RTD("tos.rtd",,"DELTA","."&amp;I$2&amp;I$1&amp;"C"&amp;$A25)+100*RTD("tos.rtd",,"OPEN_INT","."&amp;I$2&amp;I$1&amp;"P"&amp;$A25)*RTD("tos.rtd",,"DELTA","."&amp;I$2&amp;I$1&amp;"P"&amp;$A25))/1000,(100*RTD("tos.rtd",,"OPEN_INT","."&amp;I$2&amp;I$1&amp;"C"&amp;$A25)*RTD("tos.rtd",,"DELTA","."&amp;I$2&amp;I$1&amp;"C"&amp;$A25)-100*RTD("tos.rtd",,"OPEN_INT","."&amp;I$2&amp;I$1&amp;"P"&amp;$A25)*RTD("tos.rtd",,"DELTA","."&amp;I$2&amp;I$1&amp;"P"&amp;$A25))/1000),0),IF($A$2="VEX",IFERROR(IF($X$1="ABS",($A$4*$A$4*RTD("tos.rtd",,"VOLUME","."&amp;I$2&amp;I$1&amp;"C"&amp;$A25)*RTD("tos.rtd",,"GAMMA","."&amp;I$2&amp;I$1&amp;"C"&amp;$A25)+$A$4*$A$4*RTD("tos.rtd",,"VOLUME","."&amp;I$2&amp;I$1&amp;"P"&amp;$A25)*RTD("tos.rtd",,"GAMMA","."&amp;I$2&amp;I$1&amp;"P"&amp;$A25))/1000000,($A$4*$A$4*RTD("tos.rtd",,"VOLUME","."&amp;I$2&amp;I$1&amp;"C"&amp;$A25)*RTD("tos.rtd",,"GAMMA","."&amp;I$2&amp;I$1&amp;"C"&amp;$A25)-$A$4*$A$4*RTD("tos.rtd",,"VOLUME","."&amp;I$2&amp;I$1&amp;"P"&amp;$A25)*RTD("tos.rtd",,"GAMMA","."&amp;I$2&amp;I$1&amp;"P"&amp;$A25))/1000000),0),IF($A$2="GEX",IFERROR(IF($X$1="ABS",($A$4*$A$4*RTD("tos.rtd",,"OPEN_INT","."&amp;I$2&amp;I$1&amp;"C"&amp;$A25)*RTD("tos.rtd",,"GAMMA","."&amp;I$2&amp;I$1&amp;"C"&amp;$A25)+$A$4*$A$4*RTD("tos.rtd",,"OPEN_INT","."&amp;I$2&amp;I$1&amp;"P"&amp;$A25)*RTD("tos.rtd",,"GAMMA","."&amp;I$2&amp;I$1&amp;"P"&amp;$A25))/1000000,($A$4*$A$4*RTD("tos.rtd",,"OPEN_INT","."&amp;I$2&amp;I$1&amp;"C"&amp;$A25)*RTD("tos.rtd",,"GAMMA","."&amp;I$2&amp;I$1&amp;"C"&amp;$A25)-$A$4*$A$4*RTD("tos.rtd",,"OPEN_INT","."&amp;I$2&amp;I$1&amp;"P"&amp;$A25)*RTD("tos.rtd",,"GAMMA","."&amp;I$2&amp;I$1&amp;"P"&amp;$A25))/1000000),0),IF($A$2="SKEW",IFERROR(VALUE(IF(RTD("tos.rtd",,"IMPL_VOL","."&amp;I$2&amp;I$1&amp;"P"&amp;$A25)="N/A",0,RTD("tos.rtd",,"IMPL_VOL","."&amp;I$2&amp;I$1&amp;"P"&amp;$A25))),0)-IFERROR(VALUE(IF(RTD("tos.rtd",,"IMPL_VOL","."&amp;I$2&amp;I$1&amp;"C"&amp;$A25)="N/A",0,RTD("tos.rtd",,"IMPL_VOL","."&amp;I$2&amp;I$1&amp;"C"&amp;$A25))),0),IF($A$2="MAXPAIN",IF($A$4&gt;$A25,($A$4-$A25)*IF(RTD("tos.rtd",,"OPEN_INT","."&amp;I$2&amp;I$1&amp;"C"&amp;$A25)="N/A",0,RTD("tos.rtd",,"OPEN_INT","."&amp;I$2&amp;I$1&amp;"C"&amp;$A25)),0)+IF($A$4&lt;$A25,($A$5-$A$4)*IF(RTD("tos.rtd",,"OPEN_INT","."&amp;I$2&amp;I$1&amp;"P"&amp;$A25)="N/A",0,RTD("tos.rtd",,"OPEN_INT","."&amp;I$2&amp;I$1&amp;"P"&amp;$A25)),0),IF($X$1="ABS",IF(RTD("tos.rtd",,$A$2,"."&amp;I$2&amp;I$1&amp;"C"&amp;$A25)="N/A",0,RTD("tos.rtd",,$A$2,"."&amp;I$2&amp;I$1&amp;"C"&amp;$A25))+IF(RTD("tos.rtd",,$A$2,"."&amp;I$2&amp;I$1&amp;"P"&amp;$A25)="N/A",0,RTD("tos.rtd",,$A$2,"."&amp;I$2&amp;I$1&amp;"P"&amp;$A25)),IF(RTD("tos.rtd",,$A$2,"."&amp;I$2&amp;I$1&amp;"C"&amp;$A25)="N/A",0,RTD("tos.rtd",,$A$2,"."&amp;I$2&amp;I$1&amp;"C"&amp;$A25))-IF(RTD("tos.rtd",,$A$2,"."&amp;I$2&amp;I$1&amp;"P"&amp;$A25)="N/A",0,RTD("tos.rtd",,$A$2,"."&amp;I$2&amp;I$1&amp;"P"&amp;$A25))))))))))</f>
        <v>0</v>
      </c>
      <c r="J25" s="12">
        <f ca="1">IF($A$2="PREMIUM_OI",IFERROR(IF($X$1="ABS",(100*RTD("tos.rtd",,"OPEN_INT","."&amp;J$2&amp;J$1&amp;"C"&amp;$A25)*RTD("tos.rtd",,"LAST","."&amp;J$2&amp;J$1&amp;"C"&amp;$A25)+100*RTD("tos.rtd",,"OPEN_INT","."&amp;J$2&amp;J$1&amp;"P"&amp;$A25)*RTD("tos.rtd",,"LAST","."&amp;J$2&amp;J$1&amp;"P"&amp;$A25))/1000000,(100*RTD("tos.rtd",,"OPEN_INT","."&amp;J$2&amp;J$1&amp;"C"&amp;$A25)*RTD("tos.rtd",,"LAST","."&amp;J$2&amp;J$1&amp;"C"&amp;$A25)-100*RTD("tos.rtd",,"OPEN_INT","."&amp;J$2&amp;J$1&amp;"P"&amp;$A25)*RTD("tos.rtd",,"LAST","."&amp;J$2&amp;J$1&amp;"P"&amp;$A25))/1000000),0),IF($A$2="PREMIUM",IFERROR(IF($X$1="ABS",(100*RTD("tos.rtd",,"VOLUME","."&amp;J$2&amp;J$1&amp;"C"&amp;$A25)*RTD("tos.rtd",,"LAST","."&amp;J$2&amp;J$1&amp;"C"&amp;$A25)+100*RTD("tos.rtd",,"VOLUME","."&amp;J$2&amp;J$1&amp;"P"&amp;$A25)*RTD("tos.rtd",,"LAST","."&amp;J$2&amp;J$1&amp;"P"&amp;$A25))/1000000,(100*RTD("tos.rtd",,"VOLUME","."&amp;J$2&amp;J$1&amp;"C"&amp;$A25)*RTD("tos.rtd",,"LAST","."&amp;J$2&amp;J$1&amp;"C"&amp;$A25)-100*RTD("tos.rtd",,"VOLUME","."&amp;J$2&amp;J$1&amp;"P"&amp;$A25)*RTD("tos.rtd",,"LAST","."&amp;J$2&amp;J$1&amp;"P"&amp;$A25))/1000000),0),IF($A$2="DEX",IFERROR(IF($X$1="ABS",(100*RTD("tos.rtd",,"OPEN_INT","."&amp;J$2&amp;J$1&amp;"C"&amp;$A25)*RTD("tos.rtd",,"DELTA","."&amp;J$2&amp;J$1&amp;"C"&amp;$A25)+100*RTD("tos.rtd",,"OPEN_INT","."&amp;J$2&amp;J$1&amp;"P"&amp;$A25)*RTD("tos.rtd",,"DELTA","."&amp;J$2&amp;J$1&amp;"P"&amp;$A25))/1000,(100*RTD("tos.rtd",,"OPEN_INT","."&amp;J$2&amp;J$1&amp;"C"&amp;$A25)*RTD("tos.rtd",,"DELTA","."&amp;J$2&amp;J$1&amp;"C"&amp;$A25)-100*RTD("tos.rtd",,"OPEN_INT","."&amp;J$2&amp;J$1&amp;"P"&amp;$A25)*RTD("tos.rtd",,"DELTA","."&amp;J$2&amp;J$1&amp;"P"&amp;$A25))/1000),0),IF($A$2="VEX",IFERROR(IF($X$1="ABS",($A$4*$A$4*RTD("tos.rtd",,"VOLUME","."&amp;J$2&amp;J$1&amp;"C"&amp;$A25)*RTD("tos.rtd",,"GAMMA","."&amp;J$2&amp;J$1&amp;"C"&amp;$A25)+$A$4*$A$4*RTD("tos.rtd",,"VOLUME","."&amp;J$2&amp;J$1&amp;"P"&amp;$A25)*RTD("tos.rtd",,"GAMMA","."&amp;J$2&amp;J$1&amp;"P"&amp;$A25))/1000000,($A$4*$A$4*RTD("tos.rtd",,"VOLUME","."&amp;J$2&amp;J$1&amp;"C"&amp;$A25)*RTD("tos.rtd",,"GAMMA","."&amp;J$2&amp;J$1&amp;"C"&amp;$A25)-$A$4*$A$4*RTD("tos.rtd",,"VOLUME","."&amp;J$2&amp;J$1&amp;"P"&amp;$A25)*RTD("tos.rtd",,"GAMMA","."&amp;J$2&amp;J$1&amp;"P"&amp;$A25))/1000000),0),IF($A$2="GEX",IFERROR(IF($X$1="ABS",($A$4*$A$4*RTD("tos.rtd",,"OPEN_INT","."&amp;J$2&amp;J$1&amp;"C"&amp;$A25)*RTD("tos.rtd",,"GAMMA","."&amp;J$2&amp;J$1&amp;"C"&amp;$A25)+$A$4*$A$4*RTD("tos.rtd",,"OPEN_INT","."&amp;J$2&amp;J$1&amp;"P"&amp;$A25)*RTD("tos.rtd",,"GAMMA","."&amp;J$2&amp;J$1&amp;"P"&amp;$A25))/1000000,($A$4*$A$4*RTD("tos.rtd",,"OPEN_INT","."&amp;J$2&amp;J$1&amp;"C"&amp;$A25)*RTD("tos.rtd",,"GAMMA","."&amp;J$2&amp;J$1&amp;"C"&amp;$A25)-$A$4*$A$4*RTD("tos.rtd",,"OPEN_INT","."&amp;J$2&amp;J$1&amp;"P"&amp;$A25)*RTD("tos.rtd",,"GAMMA","."&amp;J$2&amp;J$1&amp;"P"&amp;$A25))/1000000),0),IF($A$2="SKEW",IFERROR(VALUE(IF(RTD("tos.rtd",,"IMPL_VOL","."&amp;J$2&amp;J$1&amp;"P"&amp;$A25)="N/A",0,RTD("tos.rtd",,"IMPL_VOL","."&amp;J$2&amp;J$1&amp;"P"&amp;$A25))),0)-IFERROR(VALUE(IF(RTD("tos.rtd",,"IMPL_VOL","."&amp;J$2&amp;J$1&amp;"C"&amp;$A25)="N/A",0,RTD("tos.rtd",,"IMPL_VOL","."&amp;J$2&amp;J$1&amp;"C"&amp;$A25))),0),IF($A$2="MAXPAIN",IF($A$4&gt;$A25,($A$4-$A25)*IF(RTD("tos.rtd",,"OPEN_INT","."&amp;J$2&amp;J$1&amp;"C"&amp;$A25)="N/A",0,RTD("tos.rtd",,"OPEN_INT","."&amp;J$2&amp;J$1&amp;"C"&amp;$A25)),0)+IF($A$4&lt;$A25,($A$5-$A$4)*IF(RTD("tos.rtd",,"OPEN_INT","."&amp;J$2&amp;J$1&amp;"P"&amp;$A25)="N/A",0,RTD("tos.rtd",,"OPEN_INT","."&amp;J$2&amp;J$1&amp;"P"&amp;$A25)),0),IF($X$1="ABS",IF(RTD("tos.rtd",,$A$2,"."&amp;J$2&amp;J$1&amp;"C"&amp;$A25)="N/A",0,RTD("tos.rtd",,$A$2,"."&amp;J$2&amp;J$1&amp;"C"&amp;$A25))+IF(RTD("tos.rtd",,$A$2,"."&amp;J$2&amp;J$1&amp;"P"&amp;$A25)="N/A",0,RTD("tos.rtd",,$A$2,"."&amp;J$2&amp;J$1&amp;"P"&amp;$A25)),IF(RTD("tos.rtd",,$A$2,"."&amp;J$2&amp;J$1&amp;"C"&amp;$A25)="N/A",0,RTD("tos.rtd",,$A$2,"."&amp;J$2&amp;J$1&amp;"C"&amp;$A25))-IF(RTD("tos.rtd",,$A$2,"."&amp;J$2&amp;J$1&amp;"P"&amp;$A25)="N/A",0,RTD("tos.rtd",,$A$2,"."&amp;J$2&amp;J$1&amp;"P"&amp;$A25))))))))))</f>
        <v>0</v>
      </c>
      <c r="K25" s="12">
        <f ca="1">IF($A$2="PREMIUM_OI",IFERROR(IF($X$1="ABS",(100*RTD("tos.rtd",,"OPEN_INT","."&amp;K$2&amp;K$1&amp;"C"&amp;$A25)*RTD("tos.rtd",,"LAST","."&amp;K$2&amp;K$1&amp;"C"&amp;$A25)+100*RTD("tos.rtd",,"OPEN_INT","."&amp;K$2&amp;K$1&amp;"P"&amp;$A25)*RTD("tos.rtd",,"LAST","."&amp;K$2&amp;K$1&amp;"P"&amp;$A25))/1000000,(100*RTD("tos.rtd",,"OPEN_INT","."&amp;K$2&amp;K$1&amp;"C"&amp;$A25)*RTD("tos.rtd",,"LAST","."&amp;K$2&amp;K$1&amp;"C"&amp;$A25)-100*RTD("tos.rtd",,"OPEN_INT","."&amp;K$2&amp;K$1&amp;"P"&amp;$A25)*RTD("tos.rtd",,"LAST","."&amp;K$2&amp;K$1&amp;"P"&amp;$A25))/1000000),0),IF($A$2="PREMIUM",IFERROR(IF($X$1="ABS",(100*RTD("tos.rtd",,"VOLUME","."&amp;K$2&amp;K$1&amp;"C"&amp;$A25)*RTD("tos.rtd",,"LAST","."&amp;K$2&amp;K$1&amp;"C"&amp;$A25)+100*RTD("tos.rtd",,"VOLUME","."&amp;K$2&amp;K$1&amp;"P"&amp;$A25)*RTD("tos.rtd",,"LAST","."&amp;K$2&amp;K$1&amp;"P"&amp;$A25))/1000000,(100*RTD("tos.rtd",,"VOLUME","."&amp;K$2&amp;K$1&amp;"C"&amp;$A25)*RTD("tos.rtd",,"LAST","."&amp;K$2&amp;K$1&amp;"C"&amp;$A25)-100*RTD("tos.rtd",,"VOLUME","."&amp;K$2&amp;K$1&amp;"P"&amp;$A25)*RTD("tos.rtd",,"LAST","."&amp;K$2&amp;K$1&amp;"P"&amp;$A25))/1000000),0),IF($A$2="DEX",IFERROR(IF($X$1="ABS",(100*RTD("tos.rtd",,"OPEN_INT","."&amp;K$2&amp;K$1&amp;"C"&amp;$A25)*RTD("tos.rtd",,"DELTA","."&amp;K$2&amp;K$1&amp;"C"&amp;$A25)+100*RTD("tos.rtd",,"OPEN_INT","."&amp;K$2&amp;K$1&amp;"P"&amp;$A25)*RTD("tos.rtd",,"DELTA","."&amp;K$2&amp;K$1&amp;"P"&amp;$A25))/1000,(100*RTD("tos.rtd",,"OPEN_INT","."&amp;K$2&amp;K$1&amp;"C"&amp;$A25)*RTD("tos.rtd",,"DELTA","."&amp;K$2&amp;K$1&amp;"C"&amp;$A25)-100*RTD("tos.rtd",,"OPEN_INT","."&amp;K$2&amp;K$1&amp;"P"&amp;$A25)*RTD("tos.rtd",,"DELTA","."&amp;K$2&amp;K$1&amp;"P"&amp;$A25))/1000),0),IF($A$2="VEX",IFERROR(IF($X$1="ABS",($A$4*$A$4*RTD("tos.rtd",,"VOLUME","."&amp;K$2&amp;K$1&amp;"C"&amp;$A25)*RTD("tos.rtd",,"GAMMA","."&amp;K$2&amp;K$1&amp;"C"&amp;$A25)+$A$4*$A$4*RTD("tos.rtd",,"VOLUME","."&amp;K$2&amp;K$1&amp;"P"&amp;$A25)*RTD("tos.rtd",,"GAMMA","."&amp;K$2&amp;K$1&amp;"P"&amp;$A25))/1000000,($A$4*$A$4*RTD("tos.rtd",,"VOLUME","."&amp;K$2&amp;K$1&amp;"C"&amp;$A25)*RTD("tos.rtd",,"GAMMA","."&amp;K$2&amp;K$1&amp;"C"&amp;$A25)-$A$4*$A$4*RTD("tos.rtd",,"VOLUME","."&amp;K$2&amp;K$1&amp;"P"&amp;$A25)*RTD("tos.rtd",,"GAMMA","."&amp;K$2&amp;K$1&amp;"P"&amp;$A25))/1000000),0),IF($A$2="GEX",IFERROR(IF($X$1="ABS",($A$4*$A$4*RTD("tos.rtd",,"OPEN_INT","."&amp;K$2&amp;K$1&amp;"C"&amp;$A25)*RTD("tos.rtd",,"GAMMA","."&amp;K$2&amp;K$1&amp;"C"&amp;$A25)+$A$4*$A$4*RTD("tos.rtd",,"OPEN_INT","."&amp;K$2&amp;K$1&amp;"P"&amp;$A25)*RTD("tos.rtd",,"GAMMA","."&amp;K$2&amp;K$1&amp;"P"&amp;$A25))/1000000,($A$4*$A$4*RTD("tos.rtd",,"OPEN_INT","."&amp;K$2&amp;K$1&amp;"C"&amp;$A25)*RTD("tos.rtd",,"GAMMA","."&amp;K$2&amp;K$1&amp;"C"&amp;$A25)-$A$4*$A$4*RTD("tos.rtd",,"OPEN_INT","."&amp;K$2&amp;K$1&amp;"P"&amp;$A25)*RTD("tos.rtd",,"GAMMA","."&amp;K$2&amp;K$1&amp;"P"&amp;$A25))/1000000),0),IF($A$2="SKEW",IFERROR(VALUE(IF(RTD("tos.rtd",,"IMPL_VOL","."&amp;K$2&amp;K$1&amp;"P"&amp;$A25)="N/A",0,RTD("tos.rtd",,"IMPL_VOL","."&amp;K$2&amp;K$1&amp;"P"&amp;$A25))),0)-IFERROR(VALUE(IF(RTD("tos.rtd",,"IMPL_VOL","."&amp;K$2&amp;K$1&amp;"C"&amp;$A25)="N/A",0,RTD("tos.rtd",,"IMPL_VOL","."&amp;K$2&amp;K$1&amp;"C"&amp;$A25))),0),IF($A$2="MAXPAIN",IF($A$4&gt;$A25,($A$4-$A25)*IF(RTD("tos.rtd",,"OPEN_INT","."&amp;K$2&amp;K$1&amp;"C"&amp;$A25)="N/A",0,RTD("tos.rtd",,"OPEN_INT","."&amp;K$2&amp;K$1&amp;"C"&amp;$A25)),0)+IF($A$4&lt;$A25,($A$5-$A$4)*IF(RTD("tos.rtd",,"OPEN_INT","."&amp;K$2&amp;K$1&amp;"P"&amp;$A25)="N/A",0,RTD("tos.rtd",,"OPEN_INT","."&amp;K$2&amp;K$1&amp;"P"&amp;$A25)),0),IF($X$1="ABS",IF(RTD("tos.rtd",,$A$2,"."&amp;K$2&amp;K$1&amp;"C"&amp;$A25)="N/A",0,RTD("tos.rtd",,$A$2,"."&amp;K$2&amp;K$1&amp;"C"&amp;$A25))+IF(RTD("tos.rtd",,$A$2,"."&amp;K$2&amp;K$1&amp;"P"&amp;$A25)="N/A",0,RTD("tos.rtd",,$A$2,"."&amp;K$2&amp;K$1&amp;"P"&amp;$A25)),IF(RTD("tos.rtd",,$A$2,"."&amp;K$2&amp;K$1&amp;"C"&amp;$A25)="N/A",0,RTD("tos.rtd",,$A$2,"."&amp;K$2&amp;K$1&amp;"C"&amp;$A25))-IF(RTD("tos.rtd",,$A$2,"."&amp;K$2&amp;K$1&amp;"P"&amp;$A25)="N/A",0,RTD("tos.rtd",,$A$2,"."&amp;K$2&amp;K$1&amp;"P"&amp;$A25))))))))))</f>
        <v>0</v>
      </c>
      <c r="L25" s="54">
        <f ca="1">IF($A$2="PREMIUM_OI",IFERROR(IF($X$1="ABS",(100*RTD("tos.rtd",,"OPEN_INT","."&amp;L$2&amp;L$1&amp;"C"&amp;$A25)*RTD("tos.rtd",,"LAST","."&amp;L$2&amp;L$1&amp;"C"&amp;$A25)+100*RTD("tos.rtd",,"OPEN_INT","."&amp;L$2&amp;L$1&amp;"P"&amp;$A25)*RTD("tos.rtd",,"LAST","."&amp;L$2&amp;L$1&amp;"P"&amp;$A25))/1000000,(100*RTD("tos.rtd",,"OPEN_INT","."&amp;L$2&amp;L$1&amp;"C"&amp;$A25)*RTD("tos.rtd",,"LAST","."&amp;L$2&amp;L$1&amp;"C"&amp;$A25)-100*RTD("tos.rtd",,"OPEN_INT","."&amp;L$2&amp;L$1&amp;"P"&amp;$A25)*RTD("tos.rtd",,"LAST","."&amp;L$2&amp;L$1&amp;"P"&amp;$A25))/1000000),0),IF($A$2="PREMIUM",IFERROR(IF($X$1="ABS",(100*RTD("tos.rtd",,"VOLUME","."&amp;L$2&amp;L$1&amp;"C"&amp;$A25)*RTD("tos.rtd",,"LAST","."&amp;L$2&amp;L$1&amp;"C"&amp;$A25)+100*RTD("tos.rtd",,"VOLUME","."&amp;L$2&amp;L$1&amp;"P"&amp;$A25)*RTD("tos.rtd",,"LAST","."&amp;L$2&amp;L$1&amp;"P"&amp;$A25))/1000000,(100*RTD("tos.rtd",,"VOLUME","."&amp;L$2&amp;L$1&amp;"C"&amp;$A25)*RTD("tos.rtd",,"LAST","."&amp;L$2&amp;L$1&amp;"C"&amp;$A25)-100*RTD("tos.rtd",,"VOLUME","."&amp;L$2&amp;L$1&amp;"P"&amp;$A25)*RTD("tos.rtd",,"LAST","."&amp;L$2&amp;L$1&amp;"P"&amp;$A25))/1000000),0),IF($A$2="DEX",IFERROR(IF($X$1="ABS",(100*RTD("tos.rtd",,"OPEN_INT","."&amp;L$2&amp;L$1&amp;"C"&amp;$A25)*RTD("tos.rtd",,"DELTA","."&amp;L$2&amp;L$1&amp;"C"&amp;$A25)+100*RTD("tos.rtd",,"OPEN_INT","."&amp;L$2&amp;L$1&amp;"P"&amp;$A25)*RTD("tos.rtd",,"DELTA","."&amp;L$2&amp;L$1&amp;"P"&amp;$A25))/1000,(100*RTD("tos.rtd",,"OPEN_INT","."&amp;L$2&amp;L$1&amp;"C"&amp;$A25)*RTD("tos.rtd",,"DELTA","."&amp;L$2&amp;L$1&amp;"C"&amp;$A25)-100*RTD("tos.rtd",,"OPEN_INT","."&amp;L$2&amp;L$1&amp;"P"&amp;$A25)*RTD("tos.rtd",,"DELTA","."&amp;L$2&amp;L$1&amp;"P"&amp;$A25))/1000),0),IF($A$2="VEX",IFERROR(IF($X$1="ABS",($A$4*$A$4*RTD("tos.rtd",,"VOLUME","."&amp;L$2&amp;L$1&amp;"C"&amp;$A25)*RTD("tos.rtd",,"GAMMA","."&amp;L$2&amp;L$1&amp;"C"&amp;$A25)+$A$4*$A$4*RTD("tos.rtd",,"VOLUME","."&amp;L$2&amp;L$1&amp;"P"&amp;$A25)*RTD("tos.rtd",,"GAMMA","."&amp;L$2&amp;L$1&amp;"P"&amp;$A25))/1000000,($A$4*$A$4*RTD("tos.rtd",,"VOLUME","."&amp;L$2&amp;L$1&amp;"C"&amp;$A25)*RTD("tos.rtd",,"GAMMA","."&amp;L$2&amp;L$1&amp;"C"&amp;$A25)-$A$4*$A$4*RTD("tos.rtd",,"VOLUME","."&amp;L$2&amp;L$1&amp;"P"&amp;$A25)*RTD("tos.rtd",,"GAMMA","."&amp;L$2&amp;L$1&amp;"P"&amp;$A25))/1000000),0),IF($A$2="GEX",IFERROR(IF($X$1="ABS",($A$4*$A$4*RTD("tos.rtd",,"OPEN_INT","."&amp;L$2&amp;L$1&amp;"C"&amp;$A25)*RTD("tos.rtd",,"GAMMA","."&amp;L$2&amp;L$1&amp;"C"&amp;$A25)+$A$4*$A$4*RTD("tos.rtd",,"OPEN_INT","."&amp;L$2&amp;L$1&amp;"P"&amp;$A25)*RTD("tos.rtd",,"GAMMA","."&amp;L$2&amp;L$1&amp;"P"&amp;$A25))/1000000,($A$4*$A$4*RTD("tos.rtd",,"OPEN_INT","."&amp;L$2&amp;L$1&amp;"C"&amp;$A25)*RTD("tos.rtd",,"GAMMA","."&amp;L$2&amp;L$1&amp;"C"&amp;$A25)-$A$4*$A$4*RTD("tos.rtd",,"OPEN_INT","."&amp;L$2&amp;L$1&amp;"P"&amp;$A25)*RTD("tos.rtd",,"GAMMA","."&amp;L$2&amp;L$1&amp;"P"&amp;$A25))/1000000),0),IF($A$2="SKEW",IFERROR(VALUE(IF(RTD("tos.rtd",,"IMPL_VOL","."&amp;L$2&amp;L$1&amp;"P"&amp;$A25)="N/A",0,RTD("tos.rtd",,"IMPL_VOL","."&amp;L$2&amp;L$1&amp;"P"&amp;$A25))),0)-IFERROR(VALUE(IF(RTD("tos.rtd",,"IMPL_VOL","."&amp;L$2&amp;L$1&amp;"C"&amp;$A25)="N/A",0,RTD("tos.rtd",,"IMPL_VOL","."&amp;L$2&amp;L$1&amp;"C"&amp;$A25))),0),IF($A$2="MAXPAIN",IF($A$4&gt;$A25,($A$4-$A25)*IF(RTD("tos.rtd",,"OPEN_INT","."&amp;L$2&amp;L$1&amp;"C"&amp;$A25)="N/A",0,RTD("tos.rtd",,"OPEN_INT","."&amp;L$2&amp;L$1&amp;"C"&amp;$A25)),0)+IF($A$4&lt;$A25,($A$5-$A$4)*IF(RTD("tos.rtd",,"OPEN_INT","."&amp;L$2&amp;L$1&amp;"P"&amp;$A25)="N/A",0,RTD("tos.rtd",,"OPEN_INT","."&amp;L$2&amp;L$1&amp;"P"&amp;$A25)),0),IF($X$1="ABS",IF(RTD("tos.rtd",,$A$2,"."&amp;L$2&amp;L$1&amp;"C"&amp;$A25)="N/A",0,RTD("tos.rtd",,$A$2,"."&amp;L$2&amp;L$1&amp;"C"&amp;$A25))+IF(RTD("tos.rtd",,$A$2,"."&amp;L$2&amp;L$1&amp;"P"&amp;$A25)="N/A",0,RTD("tos.rtd",,$A$2,"."&amp;L$2&amp;L$1&amp;"P"&amp;$A25)),IF(RTD("tos.rtd",,$A$2,"."&amp;L$2&amp;L$1&amp;"C"&amp;$A25)="N/A",0,RTD("tos.rtd",,$A$2,"."&amp;L$2&amp;L$1&amp;"C"&amp;$A25))-IF(RTD("tos.rtd",,$A$2,"."&amp;L$2&amp;L$1&amp;"P"&amp;$A25)="N/A",0,RTD("tos.rtd",,$A$2,"."&amp;L$2&amp;L$1&amp;"P"&amp;$A25))))))))))</f>
        <v>0</v>
      </c>
      <c r="M25" s="12">
        <f ca="1">IF($A$2="PREMIUM_OI",IFERROR(IF($X$1="ABS",(100*RTD("tos.rtd",,"OPEN_INT","."&amp;M$2&amp;M$1&amp;"C"&amp;$A25)*RTD("tos.rtd",,"LAST","."&amp;M$2&amp;M$1&amp;"C"&amp;$A25)+100*RTD("tos.rtd",,"OPEN_INT","."&amp;M$2&amp;M$1&amp;"P"&amp;$A25)*RTD("tos.rtd",,"LAST","."&amp;M$2&amp;M$1&amp;"P"&amp;$A25))/1000000,(100*RTD("tos.rtd",,"OPEN_INT","."&amp;M$2&amp;M$1&amp;"C"&amp;$A25)*RTD("tos.rtd",,"LAST","."&amp;M$2&amp;M$1&amp;"C"&amp;$A25)-100*RTD("tos.rtd",,"OPEN_INT","."&amp;M$2&amp;M$1&amp;"P"&amp;$A25)*RTD("tos.rtd",,"LAST","."&amp;M$2&amp;M$1&amp;"P"&amp;$A25))/1000000),0),IF($A$2="PREMIUM",IFERROR(IF($X$1="ABS",(100*RTD("tos.rtd",,"VOLUME","."&amp;M$2&amp;M$1&amp;"C"&amp;$A25)*RTD("tos.rtd",,"LAST","."&amp;M$2&amp;M$1&amp;"C"&amp;$A25)+100*RTD("tos.rtd",,"VOLUME","."&amp;M$2&amp;M$1&amp;"P"&amp;$A25)*RTD("tos.rtd",,"LAST","."&amp;M$2&amp;M$1&amp;"P"&amp;$A25))/1000000,(100*RTD("tos.rtd",,"VOLUME","."&amp;M$2&amp;M$1&amp;"C"&amp;$A25)*RTD("tos.rtd",,"LAST","."&amp;M$2&amp;M$1&amp;"C"&amp;$A25)-100*RTD("tos.rtd",,"VOLUME","."&amp;M$2&amp;M$1&amp;"P"&amp;$A25)*RTD("tos.rtd",,"LAST","."&amp;M$2&amp;M$1&amp;"P"&amp;$A25))/1000000),0),IF($A$2="DEX",IFERROR(IF($X$1="ABS",(100*RTD("tos.rtd",,"OPEN_INT","."&amp;M$2&amp;M$1&amp;"C"&amp;$A25)*RTD("tos.rtd",,"DELTA","."&amp;M$2&amp;M$1&amp;"C"&amp;$A25)+100*RTD("tos.rtd",,"OPEN_INT","."&amp;M$2&amp;M$1&amp;"P"&amp;$A25)*RTD("tos.rtd",,"DELTA","."&amp;M$2&amp;M$1&amp;"P"&amp;$A25))/1000,(100*RTD("tos.rtd",,"OPEN_INT","."&amp;M$2&amp;M$1&amp;"C"&amp;$A25)*RTD("tos.rtd",,"DELTA","."&amp;M$2&amp;M$1&amp;"C"&amp;$A25)-100*RTD("tos.rtd",,"OPEN_INT","."&amp;M$2&amp;M$1&amp;"P"&amp;$A25)*RTD("tos.rtd",,"DELTA","."&amp;M$2&amp;M$1&amp;"P"&amp;$A25))/1000),0),IF($A$2="VEX",IFERROR(IF($X$1="ABS",($A$4*$A$4*RTD("tos.rtd",,"VOLUME","."&amp;M$2&amp;M$1&amp;"C"&amp;$A25)*RTD("tos.rtd",,"GAMMA","."&amp;M$2&amp;M$1&amp;"C"&amp;$A25)+$A$4*$A$4*RTD("tos.rtd",,"VOLUME","."&amp;M$2&amp;M$1&amp;"P"&amp;$A25)*RTD("tos.rtd",,"GAMMA","."&amp;M$2&amp;M$1&amp;"P"&amp;$A25))/1000000,($A$4*$A$4*RTD("tos.rtd",,"VOLUME","."&amp;M$2&amp;M$1&amp;"C"&amp;$A25)*RTD("tos.rtd",,"GAMMA","."&amp;M$2&amp;M$1&amp;"C"&amp;$A25)-$A$4*$A$4*RTD("tos.rtd",,"VOLUME","."&amp;M$2&amp;M$1&amp;"P"&amp;$A25)*RTD("tos.rtd",,"GAMMA","."&amp;M$2&amp;M$1&amp;"P"&amp;$A25))/1000000),0),IF($A$2="GEX",IFERROR(IF($X$1="ABS",($A$4*$A$4*RTD("tos.rtd",,"OPEN_INT","."&amp;M$2&amp;M$1&amp;"C"&amp;$A25)*RTD("tos.rtd",,"GAMMA","."&amp;M$2&amp;M$1&amp;"C"&amp;$A25)+$A$4*$A$4*RTD("tos.rtd",,"OPEN_INT","."&amp;M$2&amp;M$1&amp;"P"&amp;$A25)*RTD("tos.rtd",,"GAMMA","."&amp;M$2&amp;M$1&amp;"P"&amp;$A25))/1000000,($A$4*$A$4*RTD("tos.rtd",,"OPEN_INT","."&amp;M$2&amp;M$1&amp;"C"&amp;$A25)*RTD("tos.rtd",,"GAMMA","."&amp;M$2&amp;M$1&amp;"C"&amp;$A25)-$A$4*$A$4*RTD("tos.rtd",,"OPEN_INT","."&amp;M$2&amp;M$1&amp;"P"&amp;$A25)*RTD("tos.rtd",,"GAMMA","."&amp;M$2&amp;M$1&amp;"P"&amp;$A25))/1000000),0),IF($A$2="SKEW",IFERROR(VALUE(IF(RTD("tos.rtd",,"IMPL_VOL","."&amp;M$2&amp;M$1&amp;"P"&amp;$A25)="N/A",0,RTD("tos.rtd",,"IMPL_VOL","."&amp;M$2&amp;M$1&amp;"P"&amp;$A25))),0)-IFERROR(VALUE(IF(RTD("tos.rtd",,"IMPL_VOL","."&amp;M$2&amp;M$1&amp;"C"&amp;$A25)="N/A",0,RTD("tos.rtd",,"IMPL_VOL","."&amp;M$2&amp;M$1&amp;"C"&amp;$A25))),0),IF($A$2="MAXPAIN",IF($A$4&gt;$A25,($A$4-$A25)*IF(RTD("tos.rtd",,"OPEN_INT","."&amp;M$2&amp;M$1&amp;"C"&amp;$A25)="N/A",0,RTD("tos.rtd",,"OPEN_INT","."&amp;M$2&amp;M$1&amp;"C"&amp;$A25)),0)+IF($A$4&lt;$A25,($A$5-$A$4)*IF(RTD("tos.rtd",,"OPEN_INT","."&amp;M$2&amp;M$1&amp;"P"&amp;$A25)="N/A",0,RTD("tos.rtd",,"OPEN_INT","."&amp;M$2&amp;M$1&amp;"P"&amp;$A25)),0),IF($X$1="ABS",IF(RTD("tos.rtd",,$A$2,"."&amp;M$2&amp;M$1&amp;"C"&amp;$A25)="N/A",0,RTD("tos.rtd",,$A$2,"."&amp;M$2&amp;M$1&amp;"C"&amp;$A25))+IF(RTD("tos.rtd",,$A$2,"."&amp;M$2&amp;M$1&amp;"P"&amp;$A25)="N/A",0,RTD("tos.rtd",,$A$2,"."&amp;M$2&amp;M$1&amp;"P"&amp;$A25)),IF(RTD("tos.rtd",,$A$2,"."&amp;M$2&amp;M$1&amp;"C"&amp;$A25)="N/A",0,RTD("tos.rtd",,$A$2,"."&amp;M$2&amp;M$1&amp;"C"&amp;$A25))-IF(RTD("tos.rtd",,$A$2,"."&amp;M$2&amp;M$1&amp;"P"&amp;$A25)="N/A",0,RTD("tos.rtd",,$A$2,"."&amp;M$2&amp;M$1&amp;"P"&amp;$A25))))))))))</f>
        <v>0</v>
      </c>
      <c r="N25" s="12">
        <f ca="1">IF($A$2="PREMIUM_OI",IFERROR(IF($X$1="ABS",(100*RTD("tos.rtd",,"OPEN_INT","."&amp;N$2&amp;N$1&amp;"C"&amp;$A25)*RTD("tos.rtd",,"LAST","."&amp;N$2&amp;N$1&amp;"C"&amp;$A25)+100*RTD("tos.rtd",,"OPEN_INT","."&amp;N$2&amp;N$1&amp;"P"&amp;$A25)*RTD("tos.rtd",,"LAST","."&amp;N$2&amp;N$1&amp;"P"&amp;$A25))/1000000,(100*RTD("tos.rtd",,"OPEN_INT","."&amp;N$2&amp;N$1&amp;"C"&amp;$A25)*RTD("tos.rtd",,"LAST","."&amp;N$2&amp;N$1&amp;"C"&amp;$A25)-100*RTD("tos.rtd",,"OPEN_INT","."&amp;N$2&amp;N$1&amp;"P"&amp;$A25)*RTD("tos.rtd",,"LAST","."&amp;N$2&amp;N$1&amp;"P"&amp;$A25))/1000000),0),IF($A$2="PREMIUM",IFERROR(IF($X$1="ABS",(100*RTD("tos.rtd",,"VOLUME","."&amp;N$2&amp;N$1&amp;"C"&amp;$A25)*RTD("tos.rtd",,"LAST","."&amp;N$2&amp;N$1&amp;"C"&amp;$A25)+100*RTD("tos.rtd",,"VOLUME","."&amp;N$2&amp;N$1&amp;"P"&amp;$A25)*RTD("tos.rtd",,"LAST","."&amp;N$2&amp;N$1&amp;"P"&amp;$A25))/1000000,(100*RTD("tos.rtd",,"VOLUME","."&amp;N$2&amp;N$1&amp;"C"&amp;$A25)*RTD("tos.rtd",,"LAST","."&amp;N$2&amp;N$1&amp;"C"&amp;$A25)-100*RTD("tos.rtd",,"VOLUME","."&amp;N$2&amp;N$1&amp;"P"&amp;$A25)*RTD("tos.rtd",,"LAST","."&amp;N$2&amp;N$1&amp;"P"&amp;$A25))/1000000),0),IF($A$2="DEX",IFERROR(IF($X$1="ABS",(100*RTD("tos.rtd",,"OPEN_INT","."&amp;N$2&amp;N$1&amp;"C"&amp;$A25)*RTD("tos.rtd",,"DELTA","."&amp;N$2&amp;N$1&amp;"C"&amp;$A25)+100*RTD("tos.rtd",,"OPEN_INT","."&amp;N$2&amp;N$1&amp;"P"&amp;$A25)*RTD("tos.rtd",,"DELTA","."&amp;N$2&amp;N$1&amp;"P"&amp;$A25))/1000,(100*RTD("tos.rtd",,"OPEN_INT","."&amp;N$2&amp;N$1&amp;"C"&amp;$A25)*RTD("tos.rtd",,"DELTA","."&amp;N$2&amp;N$1&amp;"C"&amp;$A25)-100*RTD("tos.rtd",,"OPEN_INT","."&amp;N$2&amp;N$1&amp;"P"&amp;$A25)*RTD("tos.rtd",,"DELTA","."&amp;N$2&amp;N$1&amp;"P"&amp;$A25))/1000),0),IF($A$2="VEX",IFERROR(IF($X$1="ABS",($A$4*$A$4*RTD("tos.rtd",,"VOLUME","."&amp;N$2&amp;N$1&amp;"C"&amp;$A25)*RTD("tos.rtd",,"GAMMA","."&amp;N$2&amp;N$1&amp;"C"&amp;$A25)+$A$4*$A$4*RTD("tos.rtd",,"VOLUME","."&amp;N$2&amp;N$1&amp;"P"&amp;$A25)*RTD("tos.rtd",,"GAMMA","."&amp;N$2&amp;N$1&amp;"P"&amp;$A25))/1000000,($A$4*$A$4*RTD("tos.rtd",,"VOLUME","."&amp;N$2&amp;N$1&amp;"C"&amp;$A25)*RTD("tos.rtd",,"GAMMA","."&amp;N$2&amp;N$1&amp;"C"&amp;$A25)-$A$4*$A$4*RTD("tos.rtd",,"VOLUME","."&amp;N$2&amp;N$1&amp;"P"&amp;$A25)*RTD("tos.rtd",,"GAMMA","."&amp;N$2&amp;N$1&amp;"P"&amp;$A25))/1000000),0),IF($A$2="GEX",IFERROR(IF($X$1="ABS",($A$4*$A$4*RTD("tos.rtd",,"OPEN_INT","."&amp;N$2&amp;N$1&amp;"C"&amp;$A25)*RTD("tos.rtd",,"GAMMA","."&amp;N$2&amp;N$1&amp;"C"&amp;$A25)+$A$4*$A$4*RTD("tos.rtd",,"OPEN_INT","."&amp;N$2&amp;N$1&amp;"P"&amp;$A25)*RTD("tos.rtd",,"GAMMA","."&amp;N$2&amp;N$1&amp;"P"&amp;$A25))/1000000,($A$4*$A$4*RTD("tos.rtd",,"OPEN_INT","."&amp;N$2&amp;N$1&amp;"C"&amp;$A25)*RTD("tos.rtd",,"GAMMA","."&amp;N$2&amp;N$1&amp;"C"&amp;$A25)-$A$4*$A$4*RTD("tos.rtd",,"OPEN_INT","."&amp;N$2&amp;N$1&amp;"P"&amp;$A25)*RTD("tos.rtd",,"GAMMA","."&amp;N$2&amp;N$1&amp;"P"&amp;$A25))/1000000),0),IF($A$2="SKEW",IFERROR(VALUE(IF(RTD("tos.rtd",,"IMPL_VOL","."&amp;N$2&amp;N$1&amp;"P"&amp;$A25)="N/A",0,RTD("tos.rtd",,"IMPL_VOL","."&amp;N$2&amp;N$1&amp;"P"&amp;$A25))),0)-IFERROR(VALUE(IF(RTD("tos.rtd",,"IMPL_VOL","."&amp;N$2&amp;N$1&amp;"C"&amp;$A25)="N/A",0,RTD("tos.rtd",,"IMPL_VOL","."&amp;N$2&amp;N$1&amp;"C"&amp;$A25))),0),IF($A$2="MAXPAIN",IF($A$4&gt;$A25,($A$4-$A25)*IF(RTD("tos.rtd",,"OPEN_INT","."&amp;N$2&amp;N$1&amp;"C"&amp;$A25)="N/A",0,RTD("tos.rtd",,"OPEN_INT","."&amp;N$2&amp;N$1&amp;"C"&amp;$A25)),0)+IF($A$4&lt;$A25,($A$5-$A$4)*IF(RTD("tos.rtd",,"OPEN_INT","."&amp;N$2&amp;N$1&amp;"P"&amp;$A25)="N/A",0,RTD("tos.rtd",,"OPEN_INT","."&amp;N$2&amp;N$1&amp;"P"&amp;$A25)),0),IF($X$1="ABS",IF(RTD("tos.rtd",,$A$2,"."&amp;N$2&amp;N$1&amp;"C"&amp;$A25)="N/A",0,RTD("tos.rtd",,$A$2,"."&amp;N$2&amp;N$1&amp;"C"&amp;$A25))+IF(RTD("tos.rtd",,$A$2,"."&amp;N$2&amp;N$1&amp;"P"&amp;$A25)="N/A",0,RTD("tos.rtd",,$A$2,"."&amp;N$2&amp;N$1&amp;"P"&amp;$A25)),IF(RTD("tos.rtd",,$A$2,"."&amp;N$2&amp;N$1&amp;"C"&amp;$A25)="N/A",0,RTD("tos.rtd",,$A$2,"."&amp;N$2&amp;N$1&amp;"C"&amp;$A25))-IF(RTD("tos.rtd",,$A$2,"."&amp;N$2&amp;N$1&amp;"P"&amp;$A25)="N/A",0,RTD("tos.rtd",,$A$2,"."&amp;N$2&amp;N$1&amp;"P"&amp;$A25))))))))))</f>
        <v>0</v>
      </c>
      <c r="O25" s="12">
        <f ca="1">IF($A$2="PREMIUM_OI",IFERROR(IF($X$1="ABS",(100*RTD("tos.rtd",,"OPEN_INT","."&amp;O$2&amp;O$1&amp;"C"&amp;$A25)*RTD("tos.rtd",,"LAST","."&amp;O$2&amp;O$1&amp;"C"&amp;$A25)+100*RTD("tos.rtd",,"OPEN_INT","."&amp;O$2&amp;O$1&amp;"P"&amp;$A25)*RTD("tos.rtd",,"LAST","."&amp;O$2&amp;O$1&amp;"P"&amp;$A25))/1000000,(100*RTD("tos.rtd",,"OPEN_INT","."&amp;O$2&amp;O$1&amp;"C"&amp;$A25)*RTD("tos.rtd",,"LAST","."&amp;O$2&amp;O$1&amp;"C"&amp;$A25)-100*RTD("tos.rtd",,"OPEN_INT","."&amp;O$2&amp;O$1&amp;"P"&amp;$A25)*RTD("tos.rtd",,"LAST","."&amp;O$2&amp;O$1&amp;"P"&amp;$A25))/1000000),0),IF($A$2="PREMIUM",IFERROR(IF($X$1="ABS",(100*RTD("tos.rtd",,"VOLUME","."&amp;O$2&amp;O$1&amp;"C"&amp;$A25)*RTD("tos.rtd",,"LAST","."&amp;O$2&amp;O$1&amp;"C"&amp;$A25)+100*RTD("tos.rtd",,"VOLUME","."&amp;O$2&amp;O$1&amp;"P"&amp;$A25)*RTD("tos.rtd",,"LAST","."&amp;O$2&amp;O$1&amp;"P"&amp;$A25))/1000000,(100*RTD("tos.rtd",,"VOLUME","."&amp;O$2&amp;O$1&amp;"C"&amp;$A25)*RTD("tos.rtd",,"LAST","."&amp;O$2&amp;O$1&amp;"C"&amp;$A25)-100*RTD("tos.rtd",,"VOLUME","."&amp;O$2&amp;O$1&amp;"P"&amp;$A25)*RTD("tos.rtd",,"LAST","."&amp;O$2&amp;O$1&amp;"P"&amp;$A25))/1000000),0),IF($A$2="DEX",IFERROR(IF($X$1="ABS",(100*RTD("tos.rtd",,"OPEN_INT","."&amp;O$2&amp;O$1&amp;"C"&amp;$A25)*RTD("tos.rtd",,"DELTA","."&amp;O$2&amp;O$1&amp;"C"&amp;$A25)+100*RTD("tos.rtd",,"OPEN_INT","."&amp;O$2&amp;O$1&amp;"P"&amp;$A25)*RTD("tos.rtd",,"DELTA","."&amp;O$2&amp;O$1&amp;"P"&amp;$A25))/1000,(100*RTD("tos.rtd",,"OPEN_INT","."&amp;O$2&amp;O$1&amp;"C"&amp;$A25)*RTD("tos.rtd",,"DELTA","."&amp;O$2&amp;O$1&amp;"C"&amp;$A25)-100*RTD("tos.rtd",,"OPEN_INT","."&amp;O$2&amp;O$1&amp;"P"&amp;$A25)*RTD("tos.rtd",,"DELTA","."&amp;O$2&amp;O$1&amp;"P"&amp;$A25))/1000),0),IF($A$2="VEX",IFERROR(IF($X$1="ABS",($A$4*$A$4*RTD("tos.rtd",,"VOLUME","."&amp;O$2&amp;O$1&amp;"C"&amp;$A25)*RTD("tos.rtd",,"GAMMA","."&amp;O$2&amp;O$1&amp;"C"&amp;$A25)+$A$4*$A$4*RTD("tos.rtd",,"VOLUME","."&amp;O$2&amp;O$1&amp;"P"&amp;$A25)*RTD("tos.rtd",,"GAMMA","."&amp;O$2&amp;O$1&amp;"P"&amp;$A25))/1000000,($A$4*$A$4*RTD("tos.rtd",,"VOLUME","."&amp;O$2&amp;O$1&amp;"C"&amp;$A25)*RTD("tos.rtd",,"GAMMA","."&amp;O$2&amp;O$1&amp;"C"&amp;$A25)-$A$4*$A$4*RTD("tos.rtd",,"VOLUME","."&amp;O$2&amp;O$1&amp;"P"&amp;$A25)*RTD("tos.rtd",,"GAMMA","."&amp;O$2&amp;O$1&amp;"P"&amp;$A25))/1000000),0),IF($A$2="GEX",IFERROR(IF($X$1="ABS",($A$4*$A$4*RTD("tos.rtd",,"OPEN_INT","."&amp;O$2&amp;O$1&amp;"C"&amp;$A25)*RTD("tos.rtd",,"GAMMA","."&amp;O$2&amp;O$1&amp;"C"&amp;$A25)+$A$4*$A$4*RTD("tos.rtd",,"OPEN_INT","."&amp;O$2&amp;O$1&amp;"P"&amp;$A25)*RTD("tos.rtd",,"GAMMA","."&amp;O$2&amp;O$1&amp;"P"&amp;$A25))/1000000,($A$4*$A$4*RTD("tos.rtd",,"OPEN_INT","."&amp;O$2&amp;O$1&amp;"C"&amp;$A25)*RTD("tos.rtd",,"GAMMA","."&amp;O$2&amp;O$1&amp;"C"&amp;$A25)-$A$4*$A$4*RTD("tos.rtd",,"OPEN_INT","."&amp;O$2&amp;O$1&amp;"P"&amp;$A25)*RTD("tos.rtd",,"GAMMA","."&amp;O$2&amp;O$1&amp;"P"&amp;$A25))/1000000),0),IF($A$2="SKEW",IFERROR(VALUE(IF(RTD("tos.rtd",,"IMPL_VOL","."&amp;O$2&amp;O$1&amp;"P"&amp;$A25)="N/A",0,RTD("tos.rtd",,"IMPL_VOL","."&amp;O$2&amp;O$1&amp;"P"&amp;$A25))),0)-IFERROR(VALUE(IF(RTD("tos.rtd",,"IMPL_VOL","."&amp;O$2&amp;O$1&amp;"C"&amp;$A25)="N/A",0,RTD("tos.rtd",,"IMPL_VOL","."&amp;O$2&amp;O$1&amp;"C"&amp;$A25))),0),IF($A$2="MAXPAIN",IF($A$4&gt;$A25,($A$4-$A25)*IF(RTD("tos.rtd",,"OPEN_INT","."&amp;O$2&amp;O$1&amp;"C"&amp;$A25)="N/A",0,RTD("tos.rtd",,"OPEN_INT","."&amp;O$2&amp;O$1&amp;"C"&amp;$A25)),0)+IF($A$4&lt;$A25,($A$5-$A$4)*IF(RTD("tos.rtd",,"OPEN_INT","."&amp;O$2&amp;O$1&amp;"P"&amp;$A25)="N/A",0,RTD("tos.rtd",,"OPEN_INT","."&amp;O$2&amp;O$1&amp;"P"&amp;$A25)),0),IF($X$1="ABS",IF(RTD("tos.rtd",,$A$2,"."&amp;O$2&amp;O$1&amp;"C"&amp;$A25)="N/A",0,RTD("tos.rtd",,$A$2,"."&amp;O$2&amp;O$1&amp;"C"&amp;$A25))+IF(RTD("tos.rtd",,$A$2,"."&amp;O$2&amp;O$1&amp;"P"&amp;$A25)="N/A",0,RTD("tos.rtd",,$A$2,"."&amp;O$2&amp;O$1&amp;"P"&amp;$A25)),IF(RTD("tos.rtd",,$A$2,"."&amp;O$2&amp;O$1&amp;"C"&amp;$A25)="N/A",0,RTD("tos.rtd",,$A$2,"."&amp;O$2&amp;O$1&amp;"C"&amp;$A25))-IF(RTD("tos.rtd",,$A$2,"."&amp;O$2&amp;O$1&amp;"P"&amp;$A25)="N/A",0,RTD("tos.rtd",,$A$2,"."&amp;O$2&amp;O$1&amp;"P"&amp;$A25))))))))))</f>
        <v>0</v>
      </c>
      <c r="P25" s="12">
        <f ca="1">IF($A$2="PREMIUM_OI",IFERROR(IF($X$1="ABS",(100*RTD("tos.rtd",,"OPEN_INT","."&amp;P$2&amp;P$1&amp;"C"&amp;$A25)*RTD("tos.rtd",,"LAST","."&amp;P$2&amp;P$1&amp;"C"&amp;$A25)+100*RTD("tos.rtd",,"OPEN_INT","."&amp;P$2&amp;P$1&amp;"P"&amp;$A25)*RTD("tos.rtd",,"LAST","."&amp;P$2&amp;P$1&amp;"P"&amp;$A25))/1000000,(100*RTD("tos.rtd",,"OPEN_INT","."&amp;P$2&amp;P$1&amp;"C"&amp;$A25)*RTD("tos.rtd",,"LAST","."&amp;P$2&amp;P$1&amp;"C"&amp;$A25)-100*RTD("tos.rtd",,"OPEN_INT","."&amp;P$2&amp;P$1&amp;"P"&amp;$A25)*RTD("tos.rtd",,"LAST","."&amp;P$2&amp;P$1&amp;"P"&amp;$A25))/1000000),0),IF($A$2="PREMIUM",IFERROR(IF($X$1="ABS",(100*RTD("tos.rtd",,"VOLUME","."&amp;P$2&amp;P$1&amp;"C"&amp;$A25)*RTD("tos.rtd",,"LAST","."&amp;P$2&amp;P$1&amp;"C"&amp;$A25)+100*RTD("tos.rtd",,"VOLUME","."&amp;P$2&amp;P$1&amp;"P"&amp;$A25)*RTD("tos.rtd",,"LAST","."&amp;P$2&amp;P$1&amp;"P"&amp;$A25))/1000000,(100*RTD("tos.rtd",,"VOLUME","."&amp;P$2&amp;P$1&amp;"C"&amp;$A25)*RTD("tos.rtd",,"LAST","."&amp;P$2&amp;P$1&amp;"C"&amp;$A25)-100*RTD("tos.rtd",,"VOLUME","."&amp;P$2&amp;P$1&amp;"P"&amp;$A25)*RTD("tos.rtd",,"LAST","."&amp;P$2&amp;P$1&amp;"P"&amp;$A25))/1000000),0),IF($A$2="DEX",IFERROR(IF($X$1="ABS",(100*RTD("tos.rtd",,"OPEN_INT","."&amp;P$2&amp;P$1&amp;"C"&amp;$A25)*RTD("tos.rtd",,"DELTA","."&amp;P$2&amp;P$1&amp;"C"&amp;$A25)+100*RTD("tos.rtd",,"OPEN_INT","."&amp;P$2&amp;P$1&amp;"P"&amp;$A25)*RTD("tos.rtd",,"DELTA","."&amp;P$2&amp;P$1&amp;"P"&amp;$A25))/1000,(100*RTD("tos.rtd",,"OPEN_INT","."&amp;P$2&amp;P$1&amp;"C"&amp;$A25)*RTD("tos.rtd",,"DELTA","."&amp;P$2&amp;P$1&amp;"C"&amp;$A25)-100*RTD("tos.rtd",,"OPEN_INT","."&amp;P$2&amp;P$1&amp;"P"&amp;$A25)*RTD("tos.rtd",,"DELTA","."&amp;P$2&amp;P$1&amp;"P"&amp;$A25))/1000),0),IF($A$2="VEX",IFERROR(IF($X$1="ABS",($A$4*$A$4*RTD("tos.rtd",,"VOLUME","."&amp;P$2&amp;P$1&amp;"C"&amp;$A25)*RTD("tos.rtd",,"GAMMA","."&amp;P$2&amp;P$1&amp;"C"&amp;$A25)+$A$4*$A$4*RTD("tos.rtd",,"VOLUME","."&amp;P$2&amp;P$1&amp;"P"&amp;$A25)*RTD("tos.rtd",,"GAMMA","."&amp;P$2&amp;P$1&amp;"P"&amp;$A25))/1000000,($A$4*$A$4*RTD("tos.rtd",,"VOLUME","."&amp;P$2&amp;P$1&amp;"C"&amp;$A25)*RTD("tos.rtd",,"GAMMA","."&amp;P$2&amp;P$1&amp;"C"&amp;$A25)-$A$4*$A$4*RTD("tos.rtd",,"VOLUME","."&amp;P$2&amp;P$1&amp;"P"&amp;$A25)*RTD("tos.rtd",,"GAMMA","."&amp;P$2&amp;P$1&amp;"P"&amp;$A25))/1000000),0),IF($A$2="GEX",IFERROR(IF($X$1="ABS",($A$4*$A$4*RTD("tos.rtd",,"OPEN_INT","."&amp;P$2&amp;P$1&amp;"C"&amp;$A25)*RTD("tos.rtd",,"GAMMA","."&amp;P$2&amp;P$1&amp;"C"&amp;$A25)+$A$4*$A$4*RTD("tos.rtd",,"OPEN_INT","."&amp;P$2&amp;P$1&amp;"P"&amp;$A25)*RTD("tos.rtd",,"GAMMA","."&amp;P$2&amp;P$1&amp;"P"&amp;$A25))/1000000,($A$4*$A$4*RTD("tos.rtd",,"OPEN_INT","."&amp;P$2&amp;P$1&amp;"C"&amp;$A25)*RTD("tos.rtd",,"GAMMA","."&amp;P$2&amp;P$1&amp;"C"&amp;$A25)-$A$4*$A$4*RTD("tos.rtd",,"OPEN_INT","."&amp;P$2&amp;P$1&amp;"P"&amp;$A25)*RTD("tos.rtd",,"GAMMA","."&amp;P$2&amp;P$1&amp;"P"&amp;$A25))/1000000),0),IF($A$2="SKEW",IFERROR(VALUE(IF(RTD("tos.rtd",,"IMPL_VOL","."&amp;P$2&amp;P$1&amp;"P"&amp;$A25)="N/A",0,RTD("tos.rtd",,"IMPL_VOL","."&amp;P$2&amp;P$1&amp;"P"&amp;$A25))),0)-IFERROR(VALUE(IF(RTD("tos.rtd",,"IMPL_VOL","."&amp;P$2&amp;P$1&amp;"C"&amp;$A25)="N/A",0,RTD("tos.rtd",,"IMPL_VOL","."&amp;P$2&amp;P$1&amp;"C"&amp;$A25))),0),IF($A$2="MAXPAIN",IF($A$4&gt;$A25,($A$4-$A25)*IF(RTD("tos.rtd",,"OPEN_INT","."&amp;P$2&amp;P$1&amp;"C"&amp;$A25)="N/A",0,RTD("tos.rtd",,"OPEN_INT","."&amp;P$2&amp;P$1&amp;"C"&amp;$A25)),0)+IF($A$4&lt;$A25,($A$5-$A$4)*IF(RTD("tos.rtd",,"OPEN_INT","."&amp;P$2&amp;P$1&amp;"P"&amp;$A25)="N/A",0,RTD("tos.rtd",,"OPEN_INT","."&amp;P$2&amp;P$1&amp;"P"&amp;$A25)),0),IF($X$1="ABS",IF(RTD("tos.rtd",,$A$2,"."&amp;P$2&amp;P$1&amp;"C"&amp;$A25)="N/A",0,RTD("tos.rtd",,$A$2,"."&amp;P$2&amp;P$1&amp;"C"&amp;$A25))+IF(RTD("tos.rtd",,$A$2,"."&amp;P$2&amp;P$1&amp;"P"&amp;$A25)="N/A",0,RTD("tos.rtd",,$A$2,"."&amp;P$2&amp;P$1&amp;"P"&amp;$A25)),IF(RTD("tos.rtd",,$A$2,"."&amp;P$2&amp;P$1&amp;"C"&amp;$A25)="N/A",0,RTD("tos.rtd",,$A$2,"."&amp;P$2&amp;P$1&amp;"C"&amp;$A25))-IF(RTD("tos.rtd",,$A$2,"."&amp;P$2&amp;P$1&amp;"P"&amp;$A25)="N/A",0,RTD("tos.rtd",,$A$2,"."&amp;P$2&amp;P$1&amp;"P"&amp;$A25))))))))))</f>
        <v>0</v>
      </c>
      <c r="Q25" s="12">
        <f ca="1">IF($A$2="PREMIUM_OI",IFERROR(IF($X$1="ABS",(100*RTD("tos.rtd",,"OPEN_INT","."&amp;Q$2&amp;Q$1&amp;"C"&amp;$A25)*RTD("tos.rtd",,"LAST","."&amp;Q$2&amp;Q$1&amp;"C"&amp;$A25)+100*RTD("tos.rtd",,"OPEN_INT","."&amp;Q$2&amp;Q$1&amp;"P"&amp;$A25)*RTD("tos.rtd",,"LAST","."&amp;Q$2&amp;Q$1&amp;"P"&amp;$A25))/1000000,(100*RTD("tos.rtd",,"OPEN_INT","."&amp;Q$2&amp;Q$1&amp;"C"&amp;$A25)*RTD("tos.rtd",,"LAST","."&amp;Q$2&amp;Q$1&amp;"C"&amp;$A25)-100*RTD("tos.rtd",,"OPEN_INT","."&amp;Q$2&amp;Q$1&amp;"P"&amp;$A25)*RTD("tos.rtd",,"LAST","."&amp;Q$2&amp;Q$1&amp;"P"&amp;$A25))/1000000),0),IF($A$2="PREMIUM",IFERROR(IF($X$1="ABS",(100*RTD("tos.rtd",,"VOLUME","."&amp;Q$2&amp;Q$1&amp;"C"&amp;$A25)*RTD("tos.rtd",,"LAST","."&amp;Q$2&amp;Q$1&amp;"C"&amp;$A25)+100*RTD("tos.rtd",,"VOLUME","."&amp;Q$2&amp;Q$1&amp;"P"&amp;$A25)*RTD("tos.rtd",,"LAST","."&amp;Q$2&amp;Q$1&amp;"P"&amp;$A25))/1000000,(100*RTD("tos.rtd",,"VOLUME","."&amp;Q$2&amp;Q$1&amp;"C"&amp;$A25)*RTD("tos.rtd",,"LAST","."&amp;Q$2&amp;Q$1&amp;"C"&amp;$A25)-100*RTD("tos.rtd",,"VOLUME","."&amp;Q$2&amp;Q$1&amp;"P"&amp;$A25)*RTD("tos.rtd",,"LAST","."&amp;Q$2&amp;Q$1&amp;"P"&amp;$A25))/1000000),0),IF($A$2="DEX",IFERROR(IF($X$1="ABS",(100*RTD("tos.rtd",,"OPEN_INT","."&amp;Q$2&amp;Q$1&amp;"C"&amp;$A25)*RTD("tos.rtd",,"DELTA","."&amp;Q$2&amp;Q$1&amp;"C"&amp;$A25)+100*RTD("tos.rtd",,"OPEN_INT","."&amp;Q$2&amp;Q$1&amp;"P"&amp;$A25)*RTD("tos.rtd",,"DELTA","."&amp;Q$2&amp;Q$1&amp;"P"&amp;$A25))/1000,(100*RTD("tos.rtd",,"OPEN_INT","."&amp;Q$2&amp;Q$1&amp;"C"&amp;$A25)*RTD("tos.rtd",,"DELTA","."&amp;Q$2&amp;Q$1&amp;"C"&amp;$A25)-100*RTD("tos.rtd",,"OPEN_INT","."&amp;Q$2&amp;Q$1&amp;"P"&amp;$A25)*RTD("tos.rtd",,"DELTA","."&amp;Q$2&amp;Q$1&amp;"P"&amp;$A25))/1000),0),IF($A$2="VEX",IFERROR(IF($X$1="ABS",($A$4*$A$4*RTD("tos.rtd",,"VOLUME","."&amp;Q$2&amp;Q$1&amp;"C"&amp;$A25)*RTD("tos.rtd",,"GAMMA","."&amp;Q$2&amp;Q$1&amp;"C"&amp;$A25)+$A$4*$A$4*RTD("tos.rtd",,"VOLUME","."&amp;Q$2&amp;Q$1&amp;"P"&amp;$A25)*RTD("tos.rtd",,"GAMMA","."&amp;Q$2&amp;Q$1&amp;"P"&amp;$A25))/1000000,($A$4*$A$4*RTD("tos.rtd",,"VOLUME","."&amp;Q$2&amp;Q$1&amp;"C"&amp;$A25)*RTD("tos.rtd",,"GAMMA","."&amp;Q$2&amp;Q$1&amp;"C"&amp;$A25)-$A$4*$A$4*RTD("tos.rtd",,"VOLUME","."&amp;Q$2&amp;Q$1&amp;"P"&amp;$A25)*RTD("tos.rtd",,"GAMMA","."&amp;Q$2&amp;Q$1&amp;"P"&amp;$A25))/1000000),0),IF($A$2="GEX",IFERROR(IF($X$1="ABS",($A$4*$A$4*RTD("tos.rtd",,"OPEN_INT","."&amp;Q$2&amp;Q$1&amp;"C"&amp;$A25)*RTD("tos.rtd",,"GAMMA","."&amp;Q$2&amp;Q$1&amp;"C"&amp;$A25)+$A$4*$A$4*RTD("tos.rtd",,"OPEN_INT","."&amp;Q$2&amp;Q$1&amp;"P"&amp;$A25)*RTD("tos.rtd",,"GAMMA","."&amp;Q$2&amp;Q$1&amp;"P"&amp;$A25))/1000000,($A$4*$A$4*RTD("tos.rtd",,"OPEN_INT","."&amp;Q$2&amp;Q$1&amp;"C"&amp;$A25)*RTD("tos.rtd",,"GAMMA","."&amp;Q$2&amp;Q$1&amp;"C"&amp;$A25)-$A$4*$A$4*RTD("tos.rtd",,"OPEN_INT","."&amp;Q$2&amp;Q$1&amp;"P"&amp;$A25)*RTD("tos.rtd",,"GAMMA","."&amp;Q$2&amp;Q$1&amp;"P"&amp;$A25))/1000000),0),IF($A$2="SKEW",IFERROR(VALUE(IF(RTD("tos.rtd",,"IMPL_VOL","."&amp;Q$2&amp;Q$1&amp;"P"&amp;$A25)="N/A",0,RTD("tos.rtd",,"IMPL_VOL","."&amp;Q$2&amp;Q$1&amp;"P"&amp;$A25))),0)-IFERROR(VALUE(IF(RTD("tos.rtd",,"IMPL_VOL","."&amp;Q$2&amp;Q$1&amp;"C"&amp;$A25)="N/A",0,RTD("tos.rtd",,"IMPL_VOL","."&amp;Q$2&amp;Q$1&amp;"C"&amp;$A25))),0),IF($A$2="MAXPAIN",IF($A$4&gt;$A25,($A$4-$A25)*IF(RTD("tos.rtd",,"OPEN_INT","."&amp;Q$2&amp;Q$1&amp;"C"&amp;$A25)="N/A",0,RTD("tos.rtd",,"OPEN_INT","."&amp;Q$2&amp;Q$1&amp;"C"&amp;$A25)),0)+IF($A$4&lt;$A25,($A$5-$A$4)*IF(RTD("tos.rtd",,"OPEN_INT","."&amp;Q$2&amp;Q$1&amp;"P"&amp;$A25)="N/A",0,RTD("tos.rtd",,"OPEN_INT","."&amp;Q$2&amp;Q$1&amp;"P"&amp;$A25)),0),IF($X$1="ABS",IF(RTD("tos.rtd",,$A$2,"."&amp;Q$2&amp;Q$1&amp;"C"&amp;$A25)="N/A",0,RTD("tos.rtd",,$A$2,"."&amp;Q$2&amp;Q$1&amp;"C"&amp;$A25))+IF(RTD("tos.rtd",,$A$2,"."&amp;Q$2&amp;Q$1&amp;"P"&amp;$A25)="N/A",0,RTD("tos.rtd",,$A$2,"."&amp;Q$2&amp;Q$1&amp;"P"&amp;$A25)),IF(RTD("tos.rtd",,$A$2,"."&amp;Q$2&amp;Q$1&amp;"C"&amp;$A25)="N/A",0,RTD("tos.rtd",,$A$2,"."&amp;Q$2&amp;Q$1&amp;"C"&amp;$A25))-IF(RTD("tos.rtd",,$A$2,"."&amp;Q$2&amp;Q$1&amp;"P"&amp;$A25)="N/A",0,RTD("tos.rtd",,$A$2,"."&amp;Q$2&amp;Q$1&amp;"P"&amp;$A25))))))))))</f>
        <v>0</v>
      </c>
      <c r="R25" s="12">
        <f ca="1">IF($A$2="PREMIUM_OI",IFERROR(IF($X$1="ABS",(100*RTD("tos.rtd",,"OPEN_INT","."&amp;R$2&amp;R$1&amp;"C"&amp;$A25)*RTD("tos.rtd",,"LAST","."&amp;R$2&amp;R$1&amp;"C"&amp;$A25)+100*RTD("tos.rtd",,"OPEN_INT","."&amp;R$2&amp;R$1&amp;"P"&amp;$A25)*RTD("tos.rtd",,"LAST","."&amp;R$2&amp;R$1&amp;"P"&amp;$A25))/1000000,(100*RTD("tos.rtd",,"OPEN_INT","."&amp;R$2&amp;R$1&amp;"C"&amp;$A25)*RTD("tos.rtd",,"LAST","."&amp;R$2&amp;R$1&amp;"C"&amp;$A25)-100*RTD("tos.rtd",,"OPEN_INT","."&amp;R$2&amp;R$1&amp;"P"&amp;$A25)*RTD("tos.rtd",,"LAST","."&amp;R$2&amp;R$1&amp;"P"&amp;$A25))/1000000),0),IF($A$2="PREMIUM",IFERROR(IF($X$1="ABS",(100*RTD("tos.rtd",,"VOLUME","."&amp;R$2&amp;R$1&amp;"C"&amp;$A25)*RTD("tos.rtd",,"LAST","."&amp;R$2&amp;R$1&amp;"C"&amp;$A25)+100*RTD("tos.rtd",,"VOLUME","."&amp;R$2&amp;R$1&amp;"P"&amp;$A25)*RTD("tos.rtd",,"LAST","."&amp;R$2&amp;R$1&amp;"P"&amp;$A25))/1000000,(100*RTD("tos.rtd",,"VOLUME","."&amp;R$2&amp;R$1&amp;"C"&amp;$A25)*RTD("tos.rtd",,"LAST","."&amp;R$2&amp;R$1&amp;"C"&amp;$A25)-100*RTD("tos.rtd",,"VOLUME","."&amp;R$2&amp;R$1&amp;"P"&amp;$A25)*RTD("tos.rtd",,"LAST","."&amp;R$2&amp;R$1&amp;"P"&amp;$A25))/1000000),0),IF($A$2="DEX",IFERROR(IF($X$1="ABS",(100*RTD("tos.rtd",,"OPEN_INT","."&amp;R$2&amp;R$1&amp;"C"&amp;$A25)*RTD("tos.rtd",,"DELTA","."&amp;R$2&amp;R$1&amp;"C"&amp;$A25)+100*RTD("tos.rtd",,"OPEN_INT","."&amp;R$2&amp;R$1&amp;"P"&amp;$A25)*RTD("tos.rtd",,"DELTA","."&amp;R$2&amp;R$1&amp;"P"&amp;$A25))/1000,(100*RTD("tos.rtd",,"OPEN_INT","."&amp;R$2&amp;R$1&amp;"C"&amp;$A25)*RTD("tos.rtd",,"DELTA","."&amp;R$2&amp;R$1&amp;"C"&amp;$A25)-100*RTD("tos.rtd",,"OPEN_INT","."&amp;R$2&amp;R$1&amp;"P"&amp;$A25)*RTD("tos.rtd",,"DELTA","."&amp;R$2&amp;R$1&amp;"P"&amp;$A25))/1000),0),IF($A$2="VEX",IFERROR(IF($X$1="ABS",($A$4*$A$4*RTD("tos.rtd",,"VOLUME","."&amp;R$2&amp;R$1&amp;"C"&amp;$A25)*RTD("tos.rtd",,"GAMMA","."&amp;R$2&amp;R$1&amp;"C"&amp;$A25)+$A$4*$A$4*RTD("tos.rtd",,"VOLUME","."&amp;R$2&amp;R$1&amp;"P"&amp;$A25)*RTD("tos.rtd",,"GAMMA","."&amp;R$2&amp;R$1&amp;"P"&amp;$A25))/1000000,($A$4*$A$4*RTD("tos.rtd",,"VOLUME","."&amp;R$2&amp;R$1&amp;"C"&amp;$A25)*RTD("tos.rtd",,"GAMMA","."&amp;R$2&amp;R$1&amp;"C"&amp;$A25)-$A$4*$A$4*RTD("tos.rtd",,"VOLUME","."&amp;R$2&amp;R$1&amp;"P"&amp;$A25)*RTD("tos.rtd",,"GAMMA","."&amp;R$2&amp;R$1&amp;"P"&amp;$A25))/1000000),0),IF($A$2="GEX",IFERROR(IF($X$1="ABS",($A$4*$A$4*RTD("tos.rtd",,"OPEN_INT","."&amp;R$2&amp;R$1&amp;"C"&amp;$A25)*RTD("tos.rtd",,"GAMMA","."&amp;R$2&amp;R$1&amp;"C"&amp;$A25)+$A$4*$A$4*RTD("tos.rtd",,"OPEN_INT","."&amp;R$2&amp;R$1&amp;"P"&amp;$A25)*RTD("tos.rtd",,"GAMMA","."&amp;R$2&amp;R$1&amp;"P"&amp;$A25))/1000000,($A$4*$A$4*RTD("tos.rtd",,"OPEN_INT","."&amp;R$2&amp;R$1&amp;"C"&amp;$A25)*RTD("tos.rtd",,"GAMMA","."&amp;R$2&amp;R$1&amp;"C"&amp;$A25)-$A$4*$A$4*RTD("tos.rtd",,"OPEN_INT","."&amp;R$2&amp;R$1&amp;"P"&amp;$A25)*RTD("tos.rtd",,"GAMMA","."&amp;R$2&amp;R$1&amp;"P"&amp;$A25))/1000000),0),IF($A$2="SKEW",IFERROR(VALUE(IF(RTD("tos.rtd",,"IMPL_VOL","."&amp;R$2&amp;R$1&amp;"P"&amp;$A25)="N/A",0,RTD("tos.rtd",,"IMPL_VOL","."&amp;R$2&amp;R$1&amp;"P"&amp;$A25))),0)-IFERROR(VALUE(IF(RTD("tos.rtd",,"IMPL_VOL","."&amp;R$2&amp;R$1&amp;"C"&amp;$A25)="N/A",0,RTD("tos.rtd",,"IMPL_VOL","."&amp;R$2&amp;R$1&amp;"C"&amp;$A25))),0),IF($A$2="MAXPAIN",IF($A$4&gt;$A25,($A$4-$A25)*IF(RTD("tos.rtd",,"OPEN_INT","."&amp;R$2&amp;R$1&amp;"C"&amp;$A25)="N/A",0,RTD("tos.rtd",,"OPEN_INT","."&amp;R$2&amp;R$1&amp;"C"&amp;$A25)),0)+IF($A$4&lt;$A25,($A$5-$A$4)*IF(RTD("tos.rtd",,"OPEN_INT","."&amp;R$2&amp;R$1&amp;"P"&amp;$A25)="N/A",0,RTD("tos.rtd",,"OPEN_INT","."&amp;R$2&amp;R$1&amp;"P"&amp;$A25)),0),IF($X$1="ABS",IF(RTD("tos.rtd",,$A$2,"."&amp;R$2&amp;R$1&amp;"C"&amp;$A25)="N/A",0,RTD("tos.rtd",,$A$2,"."&amp;R$2&amp;R$1&amp;"C"&amp;$A25))+IF(RTD("tos.rtd",,$A$2,"."&amp;R$2&amp;R$1&amp;"P"&amp;$A25)="N/A",0,RTD("tos.rtd",,$A$2,"."&amp;R$2&amp;R$1&amp;"P"&amp;$A25)),IF(RTD("tos.rtd",,$A$2,"."&amp;R$2&amp;R$1&amp;"C"&amp;$A25)="N/A",0,RTD("tos.rtd",,$A$2,"."&amp;R$2&amp;R$1&amp;"C"&amp;$A25))-IF(RTD("tos.rtd",,$A$2,"."&amp;R$2&amp;R$1&amp;"P"&amp;$A25)="N/A",0,RTD("tos.rtd",,$A$2,"."&amp;R$2&amp;R$1&amp;"P"&amp;$A25))))))))))</f>
        <v>0</v>
      </c>
      <c r="S25" s="12">
        <f ca="1">IF($A$2="PREMIUM_OI",IFERROR(IF($X$1="ABS",(100*RTD("tos.rtd",,"OPEN_INT","."&amp;S$2&amp;S$1&amp;"C"&amp;$A25)*RTD("tos.rtd",,"LAST","."&amp;S$2&amp;S$1&amp;"C"&amp;$A25)+100*RTD("tos.rtd",,"OPEN_INT","."&amp;S$2&amp;S$1&amp;"P"&amp;$A25)*RTD("tos.rtd",,"LAST","."&amp;S$2&amp;S$1&amp;"P"&amp;$A25))/1000000,(100*RTD("tos.rtd",,"OPEN_INT","."&amp;S$2&amp;S$1&amp;"C"&amp;$A25)*RTD("tos.rtd",,"LAST","."&amp;S$2&amp;S$1&amp;"C"&amp;$A25)-100*RTD("tos.rtd",,"OPEN_INT","."&amp;S$2&amp;S$1&amp;"P"&amp;$A25)*RTD("tos.rtd",,"LAST","."&amp;S$2&amp;S$1&amp;"P"&amp;$A25))/1000000),0),IF($A$2="PREMIUM",IFERROR(IF($X$1="ABS",(100*RTD("tos.rtd",,"VOLUME","."&amp;S$2&amp;S$1&amp;"C"&amp;$A25)*RTD("tos.rtd",,"LAST","."&amp;S$2&amp;S$1&amp;"C"&amp;$A25)+100*RTD("tos.rtd",,"VOLUME","."&amp;S$2&amp;S$1&amp;"P"&amp;$A25)*RTD("tos.rtd",,"LAST","."&amp;S$2&amp;S$1&amp;"P"&amp;$A25))/1000000,(100*RTD("tos.rtd",,"VOLUME","."&amp;S$2&amp;S$1&amp;"C"&amp;$A25)*RTD("tos.rtd",,"LAST","."&amp;S$2&amp;S$1&amp;"C"&amp;$A25)-100*RTD("tos.rtd",,"VOLUME","."&amp;S$2&amp;S$1&amp;"P"&amp;$A25)*RTD("tos.rtd",,"LAST","."&amp;S$2&amp;S$1&amp;"P"&amp;$A25))/1000000),0),IF($A$2="DEX",IFERROR(IF($X$1="ABS",(100*RTD("tos.rtd",,"OPEN_INT","."&amp;S$2&amp;S$1&amp;"C"&amp;$A25)*RTD("tos.rtd",,"DELTA","."&amp;S$2&amp;S$1&amp;"C"&amp;$A25)+100*RTD("tos.rtd",,"OPEN_INT","."&amp;S$2&amp;S$1&amp;"P"&amp;$A25)*RTD("tos.rtd",,"DELTA","."&amp;S$2&amp;S$1&amp;"P"&amp;$A25))/1000,(100*RTD("tos.rtd",,"OPEN_INT","."&amp;S$2&amp;S$1&amp;"C"&amp;$A25)*RTD("tos.rtd",,"DELTA","."&amp;S$2&amp;S$1&amp;"C"&amp;$A25)-100*RTD("tos.rtd",,"OPEN_INT","."&amp;S$2&amp;S$1&amp;"P"&amp;$A25)*RTD("tos.rtd",,"DELTA","."&amp;S$2&amp;S$1&amp;"P"&amp;$A25))/1000),0),IF($A$2="VEX",IFERROR(IF($X$1="ABS",($A$4*$A$4*RTD("tos.rtd",,"VOLUME","."&amp;S$2&amp;S$1&amp;"C"&amp;$A25)*RTD("tos.rtd",,"GAMMA","."&amp;S$2&amp;S$1&amp;"C"&amp;$A25)+$A$4*$A$4*RTD("tos.rtd",,"VOLUME","."&amp;S$2&amp;S$1&amp;"P"&amp;$A25)*RTD("tos.rtd",,"GAMMA","."&amp;S$2&amp;S$1&amp;"P"&amp;$A25))/1000000,($A$4*$A$4*RTD("tos.rtd",,"VOLUME","."&amp;S$2&amp;S$1&amp;"C"&amp;$A25)*RTD("tos.rtd",,"GAMMA","."&amp;S$2&amp;S$1&amp;"C"&amp;$A25)-$A$4*$A$4*RTD("tos.rtd",,"VOLUME","."&amp;S$2&amp;S$1&amp;"P"&amp;$A25)*RTD("tos.rtd",,"GAMMA","."&amp;S$2&amp;S$1&amp;"P"&amp;$A25))/1000000),0),IF($A$2="GEX",IFERROR(IF($X$1="ABS",($A$4*$A$4*RTD("tos.rtd",,"OPEN_INT","."&amp;S$2&amp;S$1&amp;"C"&amp;$A25)*RTD("tos.rtd",,"GAMMA","."&amp;S$2&amp;S$1&amp;"C"&amp;$A25)+$A$4*$A$4*RTD("tos.rtd",,"OPEN_INT","."&amp;S$2&amp;S$1&amp;"P"&amp;$A25)*RTD("tos.rtd",,"GAMMA","."&amp;S$2&amp;S$1&amp;"P"&amp;$A25))/1000000,($A$4*$A$4*RTD("tos.rtd",,"OPEN_INT","."&amp;S$2&amp;S$1&amp;"C"&amp;$A25)*RTD("tos.rtd",,"GAMMA","."&amp;S$2&amp;S$1&amp;"C"&amp;$A25)-$A$4*$A$4*RTD("tos.rtd",,"OPEN_INT","."&amp;S$2&amp;S$1&amp;"P"&amp;$A25)*RTD("tos.rtd",,"GAMMA","."&amp;S$2&amp;S$1&amp;"P"&amp;$A25))/1000000),0),IF($A$2="SKEW",IFERROR(VALUE(IF(RTD("tos.rtd",,"IMPL_VOL","."&amp;S$2&amp;S$1&amp;"P"&amp;$A25)="N/A",0,RTD("tos.rtd",,"IMPL_VOL","."&amp;S$2&amp;S$1&amp;"P"&amp;$A25))),0)-IFERROR(VALUE(IF(RTD("tos.rtd",,"IMPL_VOL","."&amp;S$2&amp;S$1&amp;"C"&amp;$A25)="N/A",0,RTD("tos.rtd",,"IMPL_VOL","."&amp;S$2&amp;S$1&amp;"C"&amp;$A25))),0),IF($A$2="MAXPAIN",IF($A$4&gt;$A25,($A$4-$A25)*IF(RTD("tos.rtd",,"OPEN_INT","."&amp;S$2&amp;S$1&amp;"C"&amp;$A25)="N/A",0,RTD("tos.rtd",,"OPEN_INT","."&amp;S$2&amp;S$1&amp;"C"&amp;$A25)),0)+IF($A$4&lt;$A25,($A$5-$A$4)*IF(RTD("tos.rtd",,"OPEN_INT","."&amp;S$2&amp;S$1&amp;"P"&amp;$A25)="N/A",0,RTD("tos.rtd",,"OPEN_INT","."&amp;S$2&amp;S$1&amp;"P"&amp;$A25)),0),IF($X$1="ABS",IF(RTD("tos.rtd",,$A$2,"."&amp;S$2&amp;S$1&amp;"C"&amp;$A25)="N/A",0,RTD("tos.rtd",,$A$2,"."&amp;S$2&amp;S$1&amp;"C"&amp;$A25))+IF(RTD("tos.rtd",,$A$2,"."&amp;S$2&amp;S$1&amp;"P"&amp;$A25)="N/A",0,RTD("tos.rtd",,$A$2,"."&amp;S$2&amp;S$1&amp;"P"&amp;$A25)),IF(RTD("tos.rtd",,$A$2,"."&amp;S$2&amp;S$1&amp;"C"&amp;$A25)="N/A",0,RTD("tos.rtd",,$A$2,"."&amp;S$2&amp;S$1&amp;"C"&amp;$A25))-IF(RTD("tos.rtd",,$A$2,"."&amp;S$2&amp;S$1&amp;"P"&amp;$A25)="N/A",0,RTD("tos.rtd",,$A$2,"."&amp;S$2&amp;S$1&amp;"P"&amp;$A25))))))))))</f>
        <v>0</v>
      </c>
      <c r="T25" s="12">
        <f ca="1">IF($A$2="PREMIUM_OI",IFERROR(IF($X$1="ABS",(100*RTD("tos.rtd",,"OPEN_INT","."&amp;T$2&amp;T$1&amp;"C"&amp;$A25)*RTD("tos.rtd",,"LAST","."&amp;T$2&amp;T$1&amp;"C"&amp;$A25)+100*RTD("tos.rtd",,"OPEN_INT","."&amp;T$2&amp;T$1&amp;"P"&amp;$A25)*RTD("tos.rtd",,"LAST","."&amp;T$2&amp;T$1&amp;"P"&amp;$A25))/1000000,(100*RTD("tos.rtd",,"OPEN_INT","."&amp;T$2&amp;T$1&amp;"C"&amp;$A25)*RTD("tos.rtd",,"LAST","."&amp;T$2&amp;T$1&amp;"C"&amp;$A25)-100*RTD("tos.rtd",,"OPEN_INT","."&amp;T$2&amp;T$1&amp;"P"&amp;$A25)*RTD("tos.rtd",,"LAST","."&amp;T$2&amp;T$1&amp;"P"&amp;$A25))/1000000),0),IF($A$2="PREMIUM",IFERROR(IF($X$1="ABS",(100*RTD("tos.rtd",,"VOLUME","."&amp;T$2&amp;T$1&amp;"C"&amp;$A25)*RTD("tos.rtd",,"LAST","."&amp;T$2&amp;T$1&amp;"C"&amp;$A25)+100*RTD("tos.rtd",,"VOLUME","."&amp;T$2&amp;T$1&amp;"P"&amp;$A25)*RTD("tos.rtd",,"LAST","."&amp;T$2&amp;T$1&amp;"P"&amp;$A25))/1000000,(100*RTD("tos.rtd",,"VOLUME","."&amp;T$2&amp;T$1&amp;"C"&amp;$A25)*RTD("tos.rtd",,"LAST","."&amp;T$2&amp;T$1&amp;"C"&amp;$A25)-100*RTD("tos.rtd",,"VOLUME","."&amp;T$2&amp;T$1&amp;"P"&amp;$A25)*RTD("tos.rtd",,"LAST","."&amp;T$2&amp;T$1&amp;"P"&amp;$A25))/1000000),0),IF($A$2="DEX",IFERROR(IF($X$1="ABS",(100*RTD("tos.rtd",,"OPEN_INT","."&amp;T$2&amp;T$1&amp;"C"&amp;$A25)*RTD("tos.rtd",,"DELTA","."&amp;T$2&amp;T$1&amp;"C"&amp;$A25)+100*RTD("tos.rtd",,"OPEN_INT","."&amp;T$2&amp;T$1&amp;"P"&amp;$A25)*RTD("tos.rtd",,"DELTA","."&amp;T$2&amp;T$1&amp;"P"&amp;$A25))/1000,(100*RTD("tos.rtd",,"OPEN_INT","."&amp;T$2&amp;T$1&amp;"C"&amp;$A25)*RTD("tos.rtd",,"DELTA","."&amp;T$2&amp;T$1&amp;"C"&amp;$A25)-100*RTD("tos.rtd",,"OPEN_INT","."&amp;T$2&amp;T$1&amp;"P"&amp;$A25)*RTD("tos.rtd",,"DELTA","."&amp;T$2&amp;T$1&amp;"P"&amp;$A25))/1000),0),IF($A$2="VEX",IFERROR(IF($X$1="ABS",($A$4*$A$4*RTD("tos.rtd",,"VOLUME","."&amp;T$2&amp;T$1&amp;"C"&amp;$A25)*RTD("tos.rtd",,"GAMMA","."&amp;T$2&amp;T$1&amp;"C"&amp;$A25)+$A$4*$A$4*RTD("tos.rtd",,"VOLUME","."&amp;T$2&amp;T$1&amp;"P"&amp;$A25)*RTD("tos.rtd",,"GAMMA","."&amp;T$2&amp;T$1&amp;"P"&amp;$A25))/1000000,($A$4*$A$4*RTD("tos.rtd",,"VOLUME","."&amp;T$2&amp;T$1&amp;"C"&amp;$A25)*RTD("tos.rtd",,"GAMMA","."&amp;T$2&amp;T$1&amp;"C"&amp;$A25)-$A$4*$A$4*RTD("tos.rtd",,"VOLUME","."&amp;T$2&amp;T$1&amp;"P"&amp;$A25)*RTD("tos.rtd",,"GAMMA","."&amp;T$2&amp;T$1&amp;"P"&amp;$A25))/1000000),0),IF($A$2="GEX",IFERROR(IF($X$1="ABS",($A$4*$A$4*RTD("tos.rtd",,"OPEN_INT","."&amp;T$2&amp;T$1&amp;"C"&amp;$A25)*RTD("tos.rtd",,"GAMMA","."&amp;T$2&amp;T$1&amp;"C"&amp;$A25)+$A$4*$A$4*RTD("tos.rtd",,"OPEN_INT","."&amp;T$2&amp;T$1&amp;"P"&amp;$A25)*RTD("tos.rtd",,"GAMMA","."&amp;T$2&amp;T$1&amp;"P"&amp;$A25))/1000000,($A$4*$A$4*RTD("tos.rtd",,"OPEN_INT","."&amp;T$2&amp;T$1&amp;"C"&amp;$A25)*RTD("tos.rtd",,"GAMMA","."&amp;T$2&amp;T$1&amp;"C"&amp;$A25)-$A$4*$A$4*RTD("tos.rtd",,"OPEN_INT","."&amp;T$2&amp;T$1&amp;"P"&amp;$A25)*RTD("tos.rtd",,"GAMMA","."&amp;T$2&amp;T$1&amp;"P"&amp;$A25))/1000000),0),IF($A$2="SKEW",IFERROR(VALUE(IF(RTD("tos.rtd",,"IMPL_VOL","."&amp;T$2&amp;T$1&amp;"P"&amp;$A25)="N/A",0,RTD("tos.rtd",,"IMPL_VOL","."&amp;T$2&amp;T$1&amp;"P"&amp;$A25))),0)-IFERROR(VALUE(IF(RTD("tos.rtd",,"IMPL_VOL","."&amp;T$2&amp;T$1&amp;"C"&amp;$A25)="N/A",0,RTD("tos.rtd",,"IMPL_VOL","."&amp;T$2&amp;T$1&amp;"C"&amp;$A25))),0),IF($A$2="MAXPAIN",IF($A$4&gt;$A25,($A$4-$A25)*IF(RTD("tos.rtd",,"OPEN_INT","."&amp;T$2&amp;T$1&amp;"C"&amp;$A25)="N/A",0,RTD("tos.rtd",,"OPEN_INT","."&amp;T$2&amp;T$1&amp;"C"&amp;$A25)),0)+IF($A$4&lt;$A25,($A$5-$A$4)*IF(RTD("tos.rtd",,"OPEN_INT","."&amp;T$2&amp;T$1&amp;"P"&amp;$A25)="N/A",0,RTD("tos.rtd",,"OPEN_INT","."&amp;T$2&amp;T$1&amp;"P"&amp;$A25)),0),IF($X$1="ABS",IF(RTD("tos.rtd",,$A$2,"."&amp;T$2&amp;T$1&amp;"C"&amp;$A25)="N/A",0,RTD("tos.rtd",,$A$2,"."&amp;T$2&amp;T$1&amp;"C"&amp;$A25))+IF(RTD("tos.rtd",,$A$2,"."&amp;T$2&amp;T$1&amp;"P"&amp;$A25)="N/A",0,RTD("tos.rtd",,$A$2,"."&amp;T$2&amp;T$1&amp;"P"&amp;$A25)),IF(RTD("tos.rtd",,$A$2,"."&amp;T$2&amp;T$1&amp;"C"&amp;$A25)="N/A",0,RTD("tos.rtd",,$A$2,"."&amp;T$2&amp;T$1&amp;"C"&amp;$A25))-IF(RTD("tos.rtd",,$A$2,"."&amp;T$2&amp;T$1&amp;"P"&amp;$A25)="N/A",0,RTD("tos.rtd",,$A$2,"."&amp;T$2&amp;T$1&amp;"P"&amp;$A25))))))))))</f>
        <v>0</v>
      </c>
      <c r="U25" s="12">
        <f ca="1">IF($A$2="PREMIUM_OI",IFERROR(IF($X$1="ABS",(100*RTD("tos.rtd",,"OPEN_INT","."&amp;U$2&amp;U$1&amp;"C"&amp;$A25)*RTD("tos.rtd",,"LAST","."&amp;U$2&amp;U$1&amp;"C"&amp;$A25)+100*RTD("tos.rtd",,"OPEN_INT","."&amp;U$2&amp;U$1&amp;"P"&amp;$A25)*RTD("tos.rtd",,"LAST","."&amp;U$2&amp;U$1&amp;"P"&amp;$A25))/1000000,(100*RTD("tos.rtd",,"OPEN_INT","."&amp;U$2&amp;U$1&amp;"C"&amp;$A25)*RTD("tos.rtd",,"LAST","."&amp;U$2&amp;U$1&amp;"C"&amp;$A25)-100*RTD("tos.rtd",,"OPEN_INT","."&amp;U$2&amp;U$1&amp;"P"&amp;$A25)*RTD("tos.rtd",,"LAST","."&amp;U$2&amp;U$1&amp;"P"&amp;$A25))/1000000),0),IF($A$2="PREMIUM",IFERROR(IF($X$1="ABS",(100*RTD("tos.rtd",,"VOLUME","."&amp;U$2&amp;U$1&amp;"C"&amp;$A25)*RTD("tos.rtd",,"LAST","."&amp;U$2&amp;U$1&amp;"C"&amp;$A25)+100*RTD("tos.rtd",,"VOLUME","."&amp;U$2&amp;U$1&amp;"P"&amp;$A25)*RTD("tos.rtd",,"LAST","."&amp;U$2&amp;U$1&amp;"P"&amp;$A25))/1000000,(100*RTD("tos.rtd",,"VOLUME","."&amp;U$2&amp;U$1&amp;"C"&amp;$A25)*RTD("tos.rtd",,"LAST","."&amp;U$2&amp;U$1&amp;"C"&amp;$A25)-100*RTD("tos.rtd",,"VOLUME","."&amp;U$2&amp;U$1&amp;"P"&amp;$A25)*RTD("tos.rtd",,"LAST","."&amp;U$2&amp;U$1&amp;"P"&amp;$A25))/1000000),0),IF($A$2="DEX",IFERROR(IF($X$1="ABS",(100*RTD("tos.rtd",,"OPEN_INT","."&amp;U$2&amp;U$1&amp;"C"&amp;$A25)*RTD("tos.rtd",,"DELTA","."&amp;U$2&amp;U$1&amp;"C"&amp;$A25)+100*RTD("tos.rtd",,"OPEN_INT","."&amp;U$2&amp;U$1&amp;"P"&amp;$A25)*RTD("tos.rtd",,"DELTA","."&amp;U$2&amp;U$1&amp;"P"&amp;$A25))/1000,(100*RTD("tos.rtd",,"OPEN_INT","."&amp;U$2&amp;U$1&amp;"C"&amp;$A25)*RTD("tos.rtd",,"DELTA","."&amp;U$2&amp;U$1&amp;"C"&amp;$A25)-100*RTD("tos.rtd",,"OPEN_INT","."&amp;U$2&amp;U$1&amp;"P"&amp;$A25)*RTD("tos.rtd",,"DELTA","."&amp;U$2&amp;U$1&amp;"P"&amp;$A25))/1000),0),IF($A$2="VEX",IFERROR(IF($X$1="ABS",($A$4*$A$4*RTD("tos.rtd",,"VOLUME","."&amp;U$2&amp;U$1&amp;"C"&amp;$A25)*RTD("tos.rtd",,"GAMMA","."&amp;U$2&amp;U$1&amp;"C"&amp;$A25)+$A$4*$A$4*RTD("tos.rtd",,"VOLUME","."&amp;U$2&amp;U$1&amp;"P"&amp;$A25)*RTD("tos.rtd",,"GAMMA","."&amp;U$2&amp;U$1&amp;"P"&amp;$A25))/1000000,($A$4*$A$4*RTD("tos.rtd",,"VOLUME","."&amp;U$2&amp;U$1&amp;"C"&amp;$A25)*RTD("tos.rtd",,"GAMMA","."&amp;U$2&amp;U$1&amp;"C"&amp;$A25)-$A$4*$A$4*RTD("tos.rtd",,"VOLUME","."&amp;U$2&amp;U$1&amp;"P"&amp;$A25)*RTD("tos.rtd",,"GAMMA","."&amp;U$2&amp;U$1&amp;"P"&amp;$A25))/1000000),0),IF($A$2="GEX",IFERROR(IF($X$1="ABS",($A$4*$A$4*RTD("tos.rtd",,"OPEN_INT","."&amp;U$2&amp;U$1&amp;"C"&amp;$A25)*RTD("tos.rtd",,"GAMMA","."&amp;U$2&amp;U$1&amp;"C"&amp;$A25)+$A$4*$A$4*RTD("tos.rtd",,"OPEN_INT","."&amp;U$2&amp;U$1&amp;"P"&amp;$A25)*RTD("tos.rtd",,"GAMMA","."&amp;U$2&amp;U$1&amp;"P"&amp;$A25))/1000000,($A$4*$A$4*RTD("tos.rtd",,"OPEN_INT","."&amp;U$2&amp;U$1&amp;"C"&amp;$A25)*RTD("tos.rtd",,"GAMMA","."&amp;U$2&amp;U$1&amp;"C"&amp;$A25)-$A$4*$A$4*RTD("tos.rtd",,"OPEN_INT","."&amp;U$2&amp;U$1&amp;"P"&amp;$A25)*RTD("tos.rtd",,"GAMMA","."&amp;U$2&amp;U$1&amp;"P"&amp;$A25))/1000000),0),IF($A$2="SKEW",IFERROR(VALUE(IF(RTD("tos.rtd",,"IMPL_VOL","."&amp;U$2&amp;U$1&amp;"P"&amp;$A25)="N/A",0,RTD("tos.rtd",,"IMPL_VOL","."&amp;U$2&amp;U$1&amp;"P"&amp;$A25))),0)-IFERROR(VALUE(IF(RTD("tos.rtd",,"IMPL_VOL","."&amp;U$2&amp;U$1&amp;"C"&amp;$A25)="N/A",0,RTD("tos.rtd",,"IMPL_VOL","."&amp;U$2&amp;U$1&amp;"C"&amp;$A25))),0),IF($A$2="MAXPAIN",IF($A$4&gt;$A25,($A$4-$A25)*IF(RTD("tos.rtd",,"OPEN_INT","."&amp;U$2&amp;U$1&amp;"C"&amp;$A25)="N/A",0,RTD("tos.rtd",,"OPEN_INT","."&amp;U$2&amp;U$1&amp;"C"&amp;$A25)),0)+IF($A$4&lt;$A25,($A$5-$A$4)*IF(RTD("tos.rtd",,"OPEN_INT","."&amp;U$2&amp;U$1&amp;"P"&amp;$A25)="N/A",0,RTD("tos.rtd",,"OPEN_INT","."&amp;U$2&amp;U$1&amp;"P"&amp;$A25)),0),IF($X$1="ABS",IF(RTD("tos.rtd",,$A$2,"."&amp;U$2&amp;U$1&amp;"C"&amp;$A25)="N/A",0,RTD("tos.rtd",,$A$2,"."&amp;U$2&amp;U$1&amp;"C"&amp;$A25))+IF(RTD("tos.rtd",,$A$2,"."&amp;U$2&amp;U$1&amp;"P"&amp;$A25)="N/A",0,RTD("tos.rtd",,$A$2,"."&amp;U$2&amp;U$1&amp;"P"&amp;$A25)),IF(RTD("tos.rtd",,$A$2,"."&amp;U$2&amp;U$1&amp;"C"&amp;$A25)="N/A",0,RTD("tos.rtd",,$A$2,"."&amp;U$2&amp;U$1&amp;"C"&amp;$A25))-IF(RTD("tos.rtd",,$A$2,"."&amp;U$2&amp;U$1&amp;"P"&amp;$A25)="N/A",0,RTD("tos.rtd",,$A$2,"."&amp;U$2&amp;U$1&amp;"P"&amp;$A25))))))))))</f>
        <v>0</v>
      </c>
      <c r="V25" s="12">
        <f ca="1">IF($A$2="PREMIUM_OI",IFERROR(IF($X$1="ABS",(100*RTD("tos.rtd",,"OPEN_INT","."&amp;V$2&amp;V$1&amp;"C"&amp;$A25)*RTD("tos.rtd",,"LAST","."&amp;V$2&amp;V$1&amp;"C"&amp;$A25)+100*RTD("tos.rtd",,"OPEN_INT","."&amp;V$2&amp;V$1&amp;"P"&amp;$A25)*RTD("tos.rtd",,"LAST","."&amp;V$2&amp;V$1&amp;"P"&amp;$A25))/1000000,(100*RTD("tos.rtd",,"OPEN_INT","."&amp;V$2&amp;V$1&amp;"C"&amp;$A25)*RTD("tos.rtd",,"LAST","."&amp;V$2&amp;V$1&amp;"C"&amp;$A25)-100*RTD("tos.rtd",,"OPEN_INT","."&amp;V$2&amp;V$1&amp;"P"&amp;$A25)*RTD("tos.rtd",,"LAST","."&amp;V$2&amp;V$1&amp;"P"&amp;$A25))/1000000),0),IF($A$2="PREMIUM",IFERROR(IF($X$1="ABS",(100*RTD("tos.rtd",,"VOLUME","."&amp;V$2&amp;V$1&amp;"C"&amp;$A25)*RTD("tos.rtd",,"LAST","."&amp;V$2&amp;V$1&amp;"C"&amp;$A25)+100*RTD("tos.rtd",,"VOLUME","."&amp;V$2&amp;V$1&amp;"P"&amp;$A25)*RTD("tos.rtd",,"LAST","."&amp;V$2&amp;V$1&amp;"P"&amp;$A25))/1000000,(100*RTD("tos.rtd",,"VOLUME","."&amp;V$2&amp;V$1&amp;"C"&amp;$A25)*RTD("tos.rtd",,"LAST","."&amp;V$2&amp;V$1&amp;"C"&amp;$A25)-100*RTD("tos.rtd",,"VOLUME","."&amp;V$2&amp;V$1&amp;"P"&amp;$A25)*RTD("tos.rtd",,"LAST","."&amp;V$2&amp;V$1&amp;"P"&amp;$A25))/1000000),0),IF($A$2="DEX",IFERROR(IF($X$1="ABS",(100*RTD("tos.rtd",,"OPEN_INT","."&amp;V$2&amp;V$1&amp;"C"&amp;$A25)*RTD("tos.rtd",,"DELTA","."&amp;V$2&amp;V$1&amp;"C"&amp;$A25)+100*RTD("tos.rtd",,"OPEN_INT","."&amp;V$2&amp;V$1&amp;"P"&amp;$A25)*RTD("tos.rtd",,"DELTA","."&amp;V$2&amp;V$1&amp;"P"&amp;$A25))/1000,(100*RTD("tos.rtd",,"OPEN_INT","."&amp;V$2&amp;V$1&amp;"C"&amp;$A25)*RTD("tos.rtd",,"DELTA","."&amp;V$2&amp;V$1&amp;"C"&amp;$A25)-100*RTD("tos.rtd",,"OPEN_INT","."&amp;V$2&amp;V$1&amp;"P"&amp;$A25)*RTD("tos.rtd",,"DELTA","."&amp;V$2&amp;V$1&amp;"P"&amp;$A25))/1000),0),IF($A$2="VEX",IFERROR(IF($X$1="ABS",($A$4*$A$4*RTD("tos.rtd",,"VOLUME","."&amp;V$2&amp;V$1&amp;"C"&amp;$A25)*RTD("tos.rtd",,"GAMMA","."&amp;V$2&amp;V$1&amp;"C"&amp;$A25)+$A$4*$A$4*RTD("tos.rtd",,"VOLUME","."&amp;V$2&amp;V$1&amp;"P"&amp;$A25)*RTD("tos.rtd",,"GAMMA","."&amp;V$2&amp;V$1&amp;"P"&amp;$A25))/1000000,($A$4*$A$4*RTD("tos.rtd",,"VOLUME","."&amp;V$2&amp;V$1&amp;"C"&amp;$A25)*RTD("tos.rtd",,"GAMMA","."&amp;V$2&amp;V$1&amp;"C"&amp;$A25)-$A$4*$A$4*RTD("tos.rtd",,"VOLUME","."&amp;V$2&amp;V$1&amp;"P"&amp;$A25)*RTD("tos.rtd",,"GAMMA","."&amp;V$2&amp;V$1&amp;"P"&amp;$A25))/1000000),0),IF($A$2="GEX",IFERROR(IF($X$1="ABS",($A$4*$A$4*RTD("tos.rtd",,"OPEN_INT","."&amp;V$2&amp;V$1&amp;"C"&amp;$A25)*RTD("tos.rtd",,"GAMMA","."&amp;V$2&amp;V$1&amp;"C"&amp;$A25)+$A$4*$A$4*RTD("tos.rtd",,"OPEN_INT","."&amp;V$2&amp;V$1&amp;"P"&amp;$A25)*RTD("tos.rtd",,"GAMMA","."&amp;V$2&amp;V$1&amp;"P"&amp;$A25))/1000000,($A$4*$A$4*RTD("tos.rtd",,"OPEN_INT","."&amp;V$2&amp;V$1&amp;"C"&amp;$A25)*RTD("tos.rtd",,"GAMMA","."&amp;V$2&amp;V$1&amp;"C"&amp;$A25)-$A$4*$A$4*RTD("tos.rtd",,"OPEN_INT","."&amp;V$2&amp;V$1&amp;"P"&amp;$A25)*RTD("tos.rtd",,"GAMMA","."&amp;V$2&amp;V$1&amp;"P"&amp;$A25))/1000000),0),IF($A$2="SKEW",IFERROR(VALUE(IF(RTD("tos.rtd",,"IMPL_VOL","."&amp;V$2&amp;V$1&amp;"P"&amp;$A25)="N/A",0,RTD("tos.rtd",,"IMPL_VOL","."&amp;V$2&amp;V$1&amp;"P"&amp;$A25))),0)-IFERROR(VALUE(IF(RTD("tos.rtd",,"IMPL_VOL","."&amp;V$2&amp;V$1&amp;"C"&amp;$A25)="N/A",0,RTD("tos.rtd",,"IMPL_VOL","."&amp;V$2&amp;V$1&amp;"C"&amp;$A25))),0),IF($A$2="MAXPAIN",IF($A$4&gt;$A25,($A$4-$A25)*IF(RTD("tos.rtd",,"OPEN_INT","."&amp;V$2&amp;V$1&amp;"C"&amp;$A25)="N/A",0,RTD("tos.rtd",,"OPEN_INT","."&amp;V$2&amp;V$1&amp;"C"&amp;$A25)),0)+IF($A$4&lt;$A25,($A$5-$A$4)*IF(RTD("tos.rtd",,"OPEN_INT","."&amp;V$2&amp;V$1&amp;"P"&amp;$A25)="N/A",0,RTD("tos.rtd",,"OPEN_INT","."&amp;V$2&amp;V$1&amp;"P"&amp;$A25)),0),IF($X$1="ABS",IF(RTD("tos.rtd",,$A$2,"."&amp;V$2&amp;V$1&amp;"C"&amp;$A25)="N/A",0,RTD("tos.rtd",,$A$2,"."&amp;V$2&amp;V$1&amp;"C"&amp;$A25))+IF(RTD("tos.rtd",,$A$2,"."&amp;V$2&amp;V$1&amp;"P"&amp;$A25)="N/A",0,RTD("tos.rtd",,$A$2,"."&amp;V$2&amp;V$1&amp;"P"&amp;$A25)),IF(RTD("tos.rtd",,$A$2,"."&amp;V$2&amp;V$1&amp;"C"&amp;$A25)="N/A",0,RTD("tos.rtd",,$A$2,"."&amp;V$2&amp;V$1&amp;"C"&amp;$A25))-IF(RTD("tos.rtd",,$A$2,"."&amp;V$2&amp;V$1&amp;"P"&amp;$A25)="N/A",0,RTD("tos.rtd",,$A$2,"."&amp;V$2&amp;V$1&amp;"P"&amp;$A25))))))))))</f>
        <v>0</v>
      </c>
      <c r="W25" s="54">
        <f ca="1">IF($A$2="PREMIUM_OI",IFERROR(IF($X$1="ABS",(100*RTD("tos.rtd",,"OPEN_INT","."&amp;W$2&amp;W$1&amp;"C"&amp;$A25)*RTD("tos.rtd",,"LAST","."&amp;W$2&amp;W$1&amp;"C"&amp;$A25)+100*RTD("tos.rtd",,"OPEN_INT","."&amp;W$2&amp;W$1&amp;"P"&amp;$A25)*RTD("tos.rtd",,"LAST","."&amp;W$2&amp;W$1&amp;"P"&amp;$A25))/1000000,(100*RTD("tos.rtd",,"OPEN_INT","."&amp;W$2&amp;W$1&amp;"C"&amp;$A25)*RTD("tos.rtd",,"LAST","."&amp;W$2&amp;W$1&amp;"C"&amp;$A25)-100*RTD("tos.rtd",,"OPEN_INT","."&amp;W$2&amp;W$1&amp;"P"&amp;$A25)*RTD("tos.rtd",,"LAST","."&amp;W$2&amp;W$1&amp;"P"&amp;$A25))/1000000),0),IF($A$2="PREMIUM",IFERROR(IF($X$1="ABS",(100*RTD("tos.rtd",,"VOLUME","."&amp;W$2&amp;W$1&amp;"C"&amp;$A25)*RTD("tos.rtd",,"LAST","."&amp;W$2&amp;W$1&amp;"C"&amp;$A25)+100*RTD("tos.rtd",,"VOLUME","."&amp;W$2&amp;W$1&amp;"P"&amp;$A25)*RTD("tos.rtd",,"LAST","."&amp;W$2&amp;W$1&amp;"P"&amp;$A25))/1000000,(100*RTD("tos.rtd",,"VOLUME","."&amp;W$2&amp;W$1&amp;"C"&amp;$A25)*RTD("tos.rtd",,"LAST","."&amp;W$2&amp;W$1&amp;"C"&amp;$A25)-100*RTD("tos.rtd",,"VOLUME","."&amp;W$2&amp;W$1&amp;"P"&amp;$A25)*RTD("tos.rtd",,"LAST","."&amp;W$2&amp;W$1&amp;"P"&amp;$A25))/1000000),0),IF($A$2="DEX",IFERROR(IF($X$1="ABS",(100*RTD("tos.rtd",,"OPEN_INT","."&amp;W$2&amp;W$1&amp;"C"&amp;$A25)*RTD("tos.rtd",,"DELTA","."&amp;W$2&amp;W$1&amp;"C"&amp;$A25)+100*RTD("tos.rtd",,"OPEN_INT","."&amp;W$2&amp;W$1&amp;"P"&amp;$A25)*RTD("tos.rtd",,"DELTA","."&amp;W$2&amp;W$1&amp;"P"&amp;$A25))/1000,(100*RTD("tos.rtd",,"OPEN_INT","."&amp;W$2&amp;W$1&amp;"C"&amp;$A25)*RTD("tos.rtd",,"DELTA","."&amp;W$2&amp;W$1&amp;"C"&amp;$A25)-100*RTD("tos.rtd",,"OPEN_INT","."&amp;W$2&amp;W$1&amp;"P"&amp;$A25)*RTD("tos.rtd",,"DELTA","."&amp;W$2&amp;W$1&amp;"P"&amp;$A25))/1000),0),IF($A$2="VEX",IFERROR(IF($X$1="ABS",($A$4*$A$4*RTD("tos.rtd",,"VOLUME","."&amp;W$2&amp;W$1&amp;"C"&amp;$A25)*RTD("tos.rtd",,"GAMMA","."&amp;W$2&amp;W$1&amp;"C"&amp;$A25)+$A$4*$A$4*RTD("tos.rtd",,"VOLUME","."&amp;W$2&amp;W$1&amp;"P"&amp;$A25)*RTD("tos.rtd",,"GAMMA","."&amp;W$2&amp;W$1&amp;"P"&amp;$A25))/1000000,($A$4*$A$4*RTD("tos.rtd",,"VOLUME","."&amp;W$2&amp;W$1&amp;"C"&amp;$A25)*RTD("tos.rtd",,"GAMMA","."&amp;W$2&amp;W$1&amp;"C"&amp;$A25)-$A$4*$A$4*RTD("tos.rtd",,"VOLUME","."&amp;W$2&amp;W$1&amp;"P"&amp;$A25)*RTD("tos.rtd",,"GAMMA","."&amp;W$2&amp;W$1&amp;"P"&amp;$A25))/1000000),0),IF($A$2="GEX",IFERROR(IF($X$1="ABS",($A$4*$A$4*RTD("tos.rtd",,"OPEN_INT","."&amp;W$2&amp;W$1&amp;"C"&amp;$A25)*RTD("tos.rtd",,"GAMMA","."&amp;W$2&amp;W$1&amp;"C"&amp;$A25)+$A$4*$A$4*RTD("tos.rtd",,"OPEN_INT","."&amp;W$2&amp;W$1&amp;"P"&amp;$A25)*RTD("tos.rtd",,"GAMMA","."&amp;W$2&amp;W$1&amp;"P"&amp;$A25))/1000000,($A$4*$A$4*RTD("tos.rtd",,"OPEN_INT","."&amp;W$2&amp;W$1&amp;"C"&amp;$A25)*RTD("tos.rtd",,"GAMMA","."&amp;W$2&amp;W$1&amp;"C"&amp;$A25)-$A$4*$A$4*RTD("tos.rtd",,"OPEN_INT","."&amp;W$2&amp;W$1&amp;"P"&amp;$A25)*RTD("tos.rtd",,"GAMMA","."&amp;W$2&amp;W$1&amp;"P"&amp;$A25))/1000000),0),IF($A$2="SKEW",IFERROR(VALUE(IF(RTD("tos.rtd",,"IMPL_VOL","."&amp;W$2&amp;W$1&amp;"P"&amp;$A25)="N/A",0,RTD("tos.rtd",,"IMPL_VOL","."&amp;W$2&amp;W$1&amp;"P"&amp;$A25))),0)-IFERROR(VALUE(IF(RTD("tos.rtd",,"IMPL_VOL","."&amp;W$2&amp;W$1&amp;"C"&amp;$A25)="N/A",0,RTD("tos.rtd",,"IMPL_VOL","."&amp;W$2&amp;W$1&amp;"C"&amp;$A25))),0),IF($A$2="MAXPAIN",IF($A$4&gt;$A25,($A$4-$A25)*IF(RTD("tos.rtd",,"OPEN_INT","."&amp;W$2&amp;W$1&amp;"C"&amp;$A25)="N/A",0,RTD("tos.rtd",,"OPEN_INT","."&amp;W$2&amp;W$1&amp;"C"&amp;$A25)),0)+IF($A$4&lt;$A25,($A$5-$A$4)*IF(RTD("tos.rtd",,"OPEN_INT","."&amp;W$2&amp;W$1&amp;"P"&amp;$A25)="N/A",0,RTD("tos.rtd",,"OPEN_INT","."&amp;W$2&amp;W$1&amp;"P"&amp;$A25)),0),IF($X$1="ABS",IF(RTD("tos.rtd",,$A$2,"."&amp;W$2&amp;W$1&amp;"C"&amp;$A25)="N/A",0,RTD("tos.rtd",,$A$2,"."&amp;W$2&amp;W$1&amp;"C"&amp;$A25))+IF(RTD("tos.rtd",,$A$2,"."&amp;W$2&amp;W$1&amp;"P"&amp;$A25)="N/A",0,RTD("tos.rtd",,$A$2,"."&amp;W$2&amp;W$1&amp;"P"&amp;$A25)),IF(RTD("tos.rtd",,$A$2,"."&amp;W$2&amp;W$1&amp;"C"&amp;$A25)="N/A",0,RTD("tos.rtd",,$A$2,"."&amp;W$2&amp;W$1&amp;"C"&amp;$A25))-IF(RTD("tos.rtd",,$A$2,"."&amp;W$2&amp;W$1&amp;"P"&amp;$A25)="N/A",0,RTD("tos.rtd",,$A$2,"."&amp;W$2&amp;W$1&amp;"P"&amp;$A25))))))))))</f>
        <v>0</v>
      </c>
      <c r="X25" s="57">
        <f t="shared" ca="1" si="8"/>
        <v>0</v>
      </c>
      <c r="Y25" s="27">
        <f t="shared" ca="1" si="9"/>
        <v>0</v>
      </c>
      <c r="Z25" s="27">
        <f ca="1">+'OI-VOL'!Y25</f>
        <v>1991</v>
      </c>
      <c r="AA25" s="27" t="b">
        <f t="shared" ca="1" si="10"/>
        <v>0</v>
      </c>
      <c r="AB25" s="27">
        <f t="shared" si="11"/>
        <v>60765900</v>
      </c>
      <c r="AC25" s="18">
        <f>MAX(0, $A25-AC$4)*IF(RTD("tos.rtd",,"OPEN_INT","."&amp;$AB$3&amp;$AB$4&amp;"C"&amp;AC$4)="N/A",0,RTD("tos.rtd",,"OPEN_INT","."&amp;$AB$3&amp;$AB$4&amp;"C"&amp;AC$4))*100 + MAX(0, AC$4-$A25)*IF(RTD("tos.rtd",,"OPEN_INT","."&amp;$AB$3&amp;$AB$4&amp;"P"&amp;AC$4)="N/A",0,RTD("tos.rtd",,"OPEN_INT","."&amp;$AB$3&amp;$AB$4&amp;"P"&amp;AC$4))*100</f>
        <v>0</v>
      </c>
      <c r="AD25" s="18">
        <f>MAX(0, $A25-AD$4)*IF(RTD("tos.rtd",,"OPEN_INT","."&amp;$AB$3&amp;$AB$4&amp;"C"&amp;AD$4)="N/A",0,RTD("tos.rtd",,"OPEN_INT","."&amp;$AB$3&amp;$AB$4&amp;"C"&amp;AD$4))*100 + MAX(0, AD$4-$A25)*IF(RTD("tos.rtd",,"OPEN_INT","."&amp;$AB$3&amp;$AB$4&amp;"P"&amp;AD$4)="N/A",0,RTD("tos.rtd",,"OPEN_INT","."&amp;$AB$3&amp;$AB$4&amp;"P"&amp;AD$4))*100</f>
        <v>0</v>
      </c>
      <c r="AE25" s="18">
        <f>MAX(0, $A25-AE$4)*IF(RTD("tos.rtd",,"OPEN_INT","."&amp;$AB$3&amp;$AB$4&amp;"C"&amp;AE$4)="N/A",0,RTD("tos.rtd",,"OPEN_INT","."&amp;$AB$3&amp;$AB$4&amp;"C"&amp;AE$4))*100 + MAX(0, AE$4-$A25)*IF(RTD("tos.rtd",,"OPEN_INT","."&amp;$AB$3&amp;$AB$4&amp;"P"&amp;AE$4)="N/A",0,RTD("tos.rtd",,"OPEN_INT","."&amp;$AB$3&amp;$AB$4&amp;"P"&amp;AE$4))*100</f>
        <v>0</v>
      </c>
      <c r="AF25" s="18">
        <f>MAX(0, $A25-AF$4)*IF(RTD("tos.rtd",,"OPEN_INT","."&amp;$AB$3&amp;$AB$4&amp;"C"&amp;AF$4)="N/A",0,RTD("tos.rtd",,"OPEN_INT","."&amp;$AB$3&amp;$AB$4&amp;"C"&amp;AF$4))*100 + MAX(0, AF$4-$A25)*IF(RTD("tos.rtd",,"OPEN_INT","."&amp;$AB$3&amp;$AB$4&amp;"P"&amp;AF$4)="N/A",0,RTD("tos.rtd",,"OPEN_INT","."&amp;$AB$3&amp;$AB$4&amp;"P"&amp;AF$4))*100</f>
        <v>0</v>
      </c>
      <c r="AG25" s="18">
        <f>MAX(0, $A25-AG$4)*IF(RTD("tos.rtd",,"OPEN_INT","."&amp;$AB$3&amp;$AB$4&amp;"C"&amp;AG$4)="N/A",0,RTD("tos.rtd",,"OPEN_INT","."&amp;$AB$3&amp;$AB$4&amp;"C"&amp;AG$4))*100 + MAX(0, AG$4-$A25)*IF(RTD("tos.rtd",,"OPEN_INT","."&amp;$AB$3&amp;$AB$4&amp;"P"&amp;AG$4)="N/A",0,RTD("tos.rtd",,"OPEN_INT","."&amp;$AB$3&amp;$AB$4&amp;"P"&amp;AG$4))*100</f>
        <v>0</v>
      </c>
      <c r="AH25" s="18">
        <f>MAX(0, $A25-AH$4)*IF(RTD("tos.rtd",,"OPEN_INT","."&amp;$AB$3&amp;$AB$4&amp;"C"&amp;AH$4)="N/A",0,RTD("tos.rtd",,"OPEN_INT","."&amp;$AB$3&amp;$AB$4&amp;"C"&amp;AH$4))*100 + MAX(0, AH$4-$A25)*IF(RTD("tos.rtd",,"OPEN_INT","."&amp;$AB$3&amp;$AB$4&amp;"P"&amp;AH$4)="N/A",0,RTD("tos.rtd",,"OPEN_INT","."&amp;$AB$3&amp;$AB$4&amp;"P"&amp;AH$4))*100</f>
        <v>0</v>
      </c>
      <c r="AI25" s="18">
        <f>MAX(0, $A25-AI$4)*IF(RTD("tos.rtd",,"OPEN_INT","."&amp;$AB$3&amp;$AB$4&amp;"C"&amp;AI$4)="N/A",0,RTD("tos.rtd",,"OPEN_INT","."&amp;$AB$3&amp;$AB$4&amp;"C"&amp;AI$4))*100 + MAX(0, AI$4-$A25)*IF(RTD("tos.rtd",,"OPEN_INT","."&amp;$AB$3&amp;$AB$4&amp;"P"&amp;AI$4)="N/A",0,RTD("tos.rtd",,"OPEN_INT","."&amp;$AB$3&amp;$AB$4&amp;"P"&amp;AI$4))*100</f>
        <v>0</v>
      </c>
      <c r="AJ25" s="18">
        <f>MAX(0, $A25-AJ$4)*IF(RTD("tos.rtd",,"OPEN_INT","."&amp;$AB$3&amp;$AB$4&amp;"C"&amp;AJ$4)="N/A",0,RTD("tos.rtd",,"OPEN_INT","."&amp;$AB$3&amp;$AB$4&amp;"C"&amp;AJ$4))*100 + MAX(0, AJ$4-$A25)*IF(RTD("tos.rtd",,"OPEN_INT","."&amp;$AB$3&amp;$AB$4&amp;"P"&amp;AJ$4)="N/A",0,RTD("tos.rtd",,"OPEN_INT","."&amp;$AB$3&amp;$AB$4&amp;"P"&amp;AJ$4))*100</f>
        <v>1950</v>
      </c>
      <c r="AK25" s="18">
        <f>MAX(0, $A25-AK$4)*IF(RTD("tos.rtd",,"OPEN_INT","."&amp;$AB$3&amp;$AB$4&amp;"C"&amp;AK$4)="N/A",0,RTD("tos.rtd",,"OPEN_INT","."&amp;$AB$3&amp;$AB$4&amp;"C"&amp;AK$4))*100 + MAX(0, AK$4-$A25)*IF(RTD("tos.rtd",,"OPEN_INT","."&amp;$AB$3&amp;$AB$4&amp;"P"&amp;AK$4)="N/A",0,RTD("tos.rtd",,"OPEN_INT","."&amp;$AB$3&amp;$AB$4&amp;"P"&amp;AK$4))*100</f>
        <v>4800</v>
      </c>
      <c r="AL25" s="18">
        <f>MAX(0, $A25-AL$4)*IF(RTD("tos.rtd",,"OPEN_INT","."&amp;$AB$3&amp;$AB$4&amp;"C"&amp;AL$4)="N/A",0,RTD("tos.rtd",,"OPEN_INT","."&amp;$AB$3&amp;$AB$4&amp;"C"&amp;AL$4))*100 + MAX(0, AL$4-$A25)*IF(RTD("tos.rtd",,"OPEN_INT","."&amp;$AB$3&amp;$AB$4&amp;"P"&amp;AL$4)="N/A",0,RTD("tos.rtd",,"OPEN_INT","."&amp;$AB$3&amp;$AB$4&amp;"P"&amp;AL$4))*100</f>
        <v>0</v>
      </c>
      <c r="AM25" s="18">
        <f>MAX(0, $A25-AM$4)*IF(RTD("tos.rtd",,"OPEN_INT","."&amp;$AB$3&amp;$AB$4&amp;"C"&amp;AM$4)="N/A",0,RTD("tos.rtd",,"OPEN_INT","."&amp;$AB$3&amp;$AB$4&amp;"C"&amp;AM$4))*100 + MAX(0, AM$4-$A25)*IF(RTD("tos.rtd",,"OPEN_INT","."&amp;$AB$3&amp;$AB$4&amp;"P"&amp;AM$4)="N/A",0,RTD("tos.rtd",,"OPEN_INT","."&amp;$AB$3&amp;$AB$4&amp;"P"&amp;AM$4))*100</f>
        <v>0</v>
      </c>
      <c r="AN25" s="18">
        <f>MAX(0, $A25-AN$4)*IF(RTD("tos.rtd",,"OPEN_INT","."&amp;$AB$3&amp;$AB$4&amp;"C"&amp;AN$4)="N/A",0,RTD("tos.rtd",,"OPEN_INT","."&amp;$AB$3&amp;$AB$4&amp;"C"&amp;AN$4))*100 + MAX(0, AN$4-$A25)*IF(RTD("tos.rtd",,"OPEN_INT","."&amp;$AB$3&amp;$AB$4&amp;"P"&amp;AN$4)="N/A",0,RTD("tos.rtd",,"OPEN_INT","."&amp;$AB$3&amp;$AB$4&amp;"P"&amp;AN$4))*100</f>
        <v>0</v>
      </c>
      <c r="AO25" s="18">
        <f>MAX(0, $A25-AO$4)*IF(RTD("tos.rtd",,"OPEN_INT","."&amp;$AB$3&amp;$AB$4&amp;"C"&amp;AO$4)="N/A",0,RTD("tos.rtd",,"OPEN_INT","."&amp;$AB$3&amp;$AB$4&amp;"C"&amp;AO$4))*100 + MAX(0, AO$4-$A25)*IF(RTD("tos.rtd",,"OPEN_INT","."&amp;$AB$3&amp;$AB$4&amp;"P"&amp;AO$4)="N/A",0,RTD("tos.rtd",,"OPEN_INT","."&amp;$AB$3&amp;$AB$4&amp;"P"&amp;AO$4))*100</f>
        <v>0</v>
      </c>
      <c r="AP25" s="18">
        <f>MAX(0, $A25-AP$4)*IF(RTD("tos.rtd",,"OPEN_INT","."&amp;$AB$3&amp;$AB$4&amp;"C"&amp;AP$4)="N/A",0,RTD("tos.rtd",,"OPEN_INT","."&amp;$AB$3&amp;$AB$4&amp;"C"&amp;AP$4))*100 + MAX(0, AP$4-$A25)*IF(RTD("tos.rtd",,"OPEN_INT","."&amp;$AB$3&amp;$AB$4&amp;"P"&amp;AP$4)="N/A",0,RTD("tos.rtd",,"OPEN_INT","."&amp;$AB$3&amp;$AB$4&amp;"P"&amp;AP$4))*100</f>
        <v>42000</v>
      </c>
      <c r="AQ25" s="18">
        <f>MAX(0, $A25-AQ$4)*IF(RTD("tos.rtd",,"OPEN_INT","."&amp;$AB$3&amp;$AB$4&amp;"C"&amp;AQ$4)="N/A",0,RTD("tos.rtd",,"OPEN_INT","."&amp;$AB$3&amp;$AB$4&amp;"C"&amp;AQ$4))*100 + MAX(0, AQ$4-$A25)*IF(RTD("tos.rtd",,"OPEN_INT","."&amp;$AB$3&amp;$AB$4&amp;"P"&amp;AQ$4)="N/A",0,RTD("tos.rtd",,"OPEN_INT","."&amp;$AB$3&amp;$AB$4&amp;"P"&amp;AQ$4))*100</f>
        <v>0</v>
      </c>
      <c r="AR25" s="18">
        <f>MAX(0, $A25-AR$4)*IF(RTD("tos.rtd",,"OPEN_INT","."&amp;$AB$3&amp;$AB$4&amp;"C"&amp;AR$4)="N/A",0,RTD("tos.rtd",,"OPEN_INT","."&amp;$AB$3&amp;$AB$4&amp;"C"&amp;AR$4))*100 + MAX(0, AR$4-$A25)*IF(RTD("tos.rtd",,"OPEN_INT","."&amp;$AB$3&amp;$AB$4&amp;"P"&amp;AR$4)="N/A",0,RTD("tos.rtd",,"OPEN_INT","."&amp;$AB$3&amp;$AB$4&amp;"P"&amp;AR$4))*100</f>
        <v>13250</v>
      </c>
      <c r="AS25" s="18">
        <f>MAX(0, $A25-AS$4)*IF(RTD("tos.rtd",,"OPEN_INT","."&amp;$AB$3&amp;$AB$4&amp;"C"&amp;AS$4)="N/A",0,RTD("tos.rtd",,"OPEN_INT","."&amp;$AB$3&amp;$AB$4&amp;"C"&amp;AS$4))*100 + MAX(0, AS$4-$A25)*IF(RTD("tos.rtd",,"OPEN_INT","."&amp;$AB$3&amp;$AB$4&amp;"P"&amp;AS$4)="N/A",0,RTD("tos.rtd",,"OPEN_INT","."&amp;$AB$3&amp;$AB$4&amp;"P"&amp;AS$4))*100</f>
        <v>1200</v>
      </c>
      <c r="AT25" s="18">
        <f>MAX(0, $A25-AT$4)*IF(RTD("tos.rtd",,"OPEN_INT","."&amp;$AB$3&amp;$AB$4&amp;"C"&amp;AT$4)="N/A",0,RTD("tos.rtd",,"OPEN_INT","."&amp;$AB$3&amp;$AB$4&amp;"C"&amp;AT$4))*100 + MAX(0, AT$4-$A25)*IF(RTD("tos.rtd",,"OPEN_INT","."&amp;$AB$3&amp;$AB$4&amp;"P"&amp;AT$4)="N/A",0,RTD("tos.rtd",,"OPEN_INT","."&amp;$AB$3&amp;$AB$4&amp;"P"&amp;AT$4))*100</f>
        <v>9300</v>
      </c>
      <c r="AU25" s="18">
        <f>MAX(0, $A25-AU$4)*IF(RTD("tos.rtd",,"OPEN_INT","."&amp;$AB$3&amp;$AB$4&amp;"C"&amp;AU$4)="N/A",0,RTD("tos.rtd",,"OPEN_INT","."&amp;$AB$3&amp;$AB$4&amp;"C"&amp;AU$4))*100 + MAX(0, AU$4-$A25)*IF(RTD("tos.rtd",,"OPEN_INT","."&amp;$AB$3&amp;$AB$4&amp;"P"&amp;AU$4)="N/A",0,RTD("tos.rtd",,"OPEN_INT","."&amp;$AB$3&amp;$AB$4&amp;"P"&amp;AU$4))*100</f>
        <v>7000</v>
      </c>
      <c r="AV25" s="18">
        <f>MAX(0, $A25-AV$4)*IF(RTD("tos.rtd",,"OPEN_INT","."&amp;$AB$3&amp;$AB$4&amp;"C"&amp;AV$4)="N/A",0,RTD("tos.rtd",,"OPEN_INT","."&amp;$AB$3&amp;$AB$4&amp;"C"&amp;AV$4))*100 + MAX(0, AV$4-$A25)*IF(RTD("tos.rtd",,"OPEN_INT","."&amp;$AB$3&amp;$AB$4&amp;"P"&amp;AV$4)="N/A",0,RTD("tos.rtd",,"OPEN_INT","."&amp;$AB$3&amp;$AB$4&amp;"P"&amp;AV$4))*100</f>
        <v>2000</v>
      </c>
      <c r="AW25" s="18">
        <f>MAX(0, $A25-AW$4)*IF(RTD("tos.rtd",,"OPEN_INT","."&amp;$AB$3&amp;$AB$4&amp;"C"&amp;AW$4)="N/A",0,RTD("tos.rtd",,"OPEN_INT","."&amp;$AB$3&amp;$AB$4&amp;"C"&amp;AW$4))*100 + MAX(0, AW$4-$A25)*IF(RTD("tos.rtd",,"OPEN_INT","."&amp;$AB$3&amp;$AB$4&amp;"P"&amp;AW$4)="N/A",0,RTD("tos.rtd",,"OPEN_INT","."&amp;$AB$3&amp;$AB$4&amp;"P"&amp;AW$4))*100</f>
        <v>0</v>
      </c>
      <c r="AX25" s="18">
        <f>MAX(0, $A25-AX$4)*IF(RTD("tos.rtd",,"OPEN_INT","."&amp;$AB$3&amp;$AB$4&amp;"C"&amp;AX$4)="N/A",0,RTD("tos.rtd",,"OPEN_INT","."&amp;$AB$3&amp;$AB$4&amp;"C"&amp;AX$4))*100 + MAX(0, AX$4-$A25)*IF(RTD("tos.rtd",,"OPEN_INT","."&amp;$AB$3&amp;$AB$4&amp;"P"&amp;AX$4)="N/A",0,RTD("tos.rtd",,"OPEN_INT","."&amp;$AB$3&amp;$AB$4&amp;"P"&amp;AX$4))*100</f>
        <v>153750</v>
      </c>
      <c r="AY25" s="18">
        <f>MAX(0, $A25-AY$4)*IF(RTD("tos.rtd",,"OPEN_INT","."&amp;$AB$3&amp;$AB$4&amp;"C"&amp;AY$4)="N/A",0,RTD("tos.rtd",,"OPEN_INT","."&amp;$AB$3&amp;$AB$4&amp;"C"&amp;AY$4))*100 + MAX(0, AY$4-$A25)*IF(RTD("tos.rtd",,"OPEN_INT","."&amp;$AB$3&amp;$AB$4&amp;"P"&amp;AY$4)="N/A",0,RTD("tos.rtd",,"OPEN_INT","."&amp;$AB$3&amp;$AB$4&amp;"P"&amp;AY$4))*100</f>
        <v>425300</v>
      </c>
      <c r="AZ25" s="18">
        <f>MAX(0, $A25-AZ$4)*IF(RTD("tos.rtd",,"OPEN_INT","."&amp;$AB$3&amp;$AB$4&amp;"C"&amp;AZ$4)="N/A",0,RTD("tos.rtd",,"OPEN_INT","."&amp;$AB$3&amp;$AB$4&amp;"C"&amp;AZ$4))*100 + MAX(0, AZ$4-$A25)*IF(RTD("tos.rtd",,"OPEN_INT","."&amp;$AB$3&amp;$AB$4&amp;"P"&amp;AZ$4)="N/A",0,RTD("tos.rtd",,"OPEN_INT","."&amp;$AB$3&amp;$AB$4&amp;"P"&amp;AZ$4))*100</f>
        <v>2932200</v>
      </c>
      <c r="BA25" s="18">
        <f>MAX(0, $A25-BA$4)*IF(RTD("tos.rtd",,"OPEN_INT","."&amp;$AB$3&amp;$AB$4&amp;"C"&amp;BA$4)="N/A",0,RTD("tos.rtd",,"OPEN_INT","."&amp;$AB$3&amp;$AB$4&amp;"C"&amp;BA$4))*100 + MAX(0, BA$4-$A25)*IF(RTD("tos.rtd",,"OPEN_INT","."&amp;$AB$3&amp;$AB$4&amp;"P"&amp;BA$4)="N/A",0,RTD("tos.rtd",,"OPEN_INT","."&amp;$AB$3&amp;$AB$4&amp;"P"&amp;BA$4))*100</f>
        <v>1970000</v>
      </c>
      <c r="BB25" s="18">
        <f>MAX(0, $A25-BB$4)*IF(RTD("tos.rtd",,"OPEN_INT","."&amp;$AB$3&amp;$AB$4&amp;"C"&amp;BB$4)="N/A",0,RTD("tos.rtd",,"OPEN_INT","."&amp;$AB$3&amp;$AB$4&amp;"C"&amp;BB$4))*100 + MAX(0, BB$4-$A25)*IF(RTD("tos.rtd",,"OPEN_INT","."&amp;$AB$3&amp;$AB$4&amp;"P"&amp;BB$4)="N/A",0,RTD("tos.rtd",,"OPEN_INT","."&amp;$AB$3&amp;$AB$4&amp;"P"&amp;BB$4))*100</f>
        <v>7701750</v>
      </c>
      <c r="BC25" s="18">
        <f>MAX(0, $A25-BC$4)*IF(RTD("tos.rtd",,"OPEN_INT","."&amp;$AB$3&amp;$AB$4&amp;"C"&amp;BC$4)="N/A",0,RTD("tos.rtd",,"OPEN_INT","."&amp;$AB$3&amp;$AB$4&amp;"C"&amp;BC$4))*100 + MAX(0, BC$4-$A25)*IF(RTD("tos.rtd",,"OPEN_INT","."&amp;$AB$3&amp;$AB$4&amp;"P"&amp;BC$4)="N/A",0,RTD("tos.rtd",,"OPEN_INT","."&amp;$AB$3&amp;$AB$4&amp;"P"&amp;BC$4))*100</f>
        <v>8597400</v>
      </c>
      <c r="BD25" s="18">
        <f>MAX(0, $A25-BD$4)*IF(RTD("tos.rtd",,"OPEN_INT","."&amp;$AB$3&amp;$AB$4&amp;"C"&amp;BD$4)="N/A",0,RTD("tos.rtd",,"OPEN_INT","."&amp;$AB$3&amp;$AB$4&amp;"C"&amp;BD$4))*100 + MAX(0, BD$4-$A25)*IF(RTD("tos.rtd",,"OPEN_INT","."&amp;$AB$3&amp;$AB$4&amp;"P"&amp;BD$4)="N/A",0,RTD("tos.rtd",,"OPEN_INT","."&amp;$AB$3&amp;$AB$4&amp;"P"&amp;BD$4))*100</f>
        <v>14249550</v>
      </c>
      <c r="BE25" s="18">
        <f>MAX(0, $A25-BE$4)*IF(RTD("tos.rtd",,"OPEN_INT","."&amp;$AB$3&amp;$AB$4&amp;"C"&amp;BE$4)="N/A",0,RTD("tos.rtd",,"OPEN_INT","."&amp;$AB$3&amp;$AB$4&amp;"C"&amp;BE$4))*100 + MAX(0, BE$4-$A25)*IF(RTD("tos.rtd",,"OPEN_INT","."&amp;$AB$3&amp;$AB$4&amp;"P"&amp;BE$4)="N/A",0,RTD("tos.rtd",,"OPEN_INT","."&amp;$AB$3&amp;$AB$4&amp;"P"&amp;BE$4))*100</f>
        <v>7424000</v>
      </c>
      <c r="BF25" s="18">
        <f>MAX(0, $A25-BF$4)*IF(RTD("tos.rtd",,"OPEN_INT","."&amp;$AB$3&amp;$AB$4&amp;"C"&amp;BF$4)="N/A",0,RTD("tos.rtd",,"OPEN_INT","."&amp;$AB$3&amp;$AB$4&amp;"C"&amp;BF$4))*100 + MAX(0, BF$4-$A25)*IF(RTD("tos.rtd",,"OPEN_INT","."&amp;$AB$3&amp;$AB$4&amp;"P"&amp;BF$4)="N/A",0,RTD("tos.rtd",,"OPEN_INT","."&amp;$AB$3&amp;$AB$4&amp;"P"&amp;BF$4))*100</f>
        <v>7775100</v>
      </c>
      <c r="BG25" s="18">
        <f>MAX(0, $A25-BG$4)*IF(RTD("tos.rtd",,"OPEN_INT","."&amp;$AB$3&amp;$AB$4&amp;"C"&amp;BG$4)="N/A",0,RTD("tos.rtd",,"OPEN_INT","."&amp;$AB$3&amp;$AB$4&amp;"C"&amp;BG$4))*100 + MAX(0, BG$4-$A25)*IF(RTD("tos.rtd",,"OPEN_INT","."&amp;$AB$3&amp;$AB$4&amp;"P"&amp;BG$4)="N/A",0,RTD("tos.rtd",,"OPEN_INT","."&amp;$AB$3&amp;$AB$4&amp;"P"&amp;BG$4))*100</f>
        <v>4203500</v>
      </c>
      <c r="BH25" s="18">
        <f>MAX(0, $A25-BH$4)*IF(RTD("tos.rtd",,"OPEN_INT","."&amp;$AB$3&amp;$AB$4&amp;"C"&amp;BH$4)="N/A",0,RTD("tos.rtd",,"OPEN_INT","."&amp;$AB$3&amp;$AB$4&amp;"C"&amp;BH$4))*100 + MAX(0, BH$4-$A25)*IF(RTD("tos.rtd",,"OPEN_INT","."&amp;$AB$3&amp;$AB$4&amp;"P"&amp;BH$4)="N/A",0,RTD("tos.rtd",,"OPEN_INT","."&amp;$AB$3&amp;$AB$4&amp;"P"&amp;BH$4))*100</f>
        <v>3153700</v>
      </c>
      <c r="BI25" s="18">
        <f>MAX(0, $A25-BI$4)*IF(RTD("tos.rtd",,"OPEN_INT","."&amp;$AB$3&amp;$AB$4&amp;"C"&amp;BI$4)="N/A",0,RTD("tos.rtd",,"OPEN_INT","."&amp;$AB$3&amp;$AB$4&amp;"C"&amp;BI$4))*100 + MAX(0, BI$4-$A25)*IF(RTD("tos.rtd",,"OPEN_INT","."&amp;$AB$3&amp;$AB$4&amp;"P"&amp;BI$4)="N/A",0,RTD("tos.rtd",,"OPEN_INT","."&amp;$AB$3&amp;$AB$4&amp;"P"&amp;BI$4))*100</f>
        <v>1165800</v>
      </c>
      <c r="BJ25" s="18">
        <f>MAX(0, $A25-BJ$4)*IF(RTD("tos.rtd",,"OPEN_INT","."&amp;$AB$3&amp;$AB$4&amp;"C"&amp;BJ$4)="N/A",0,RTD("tos.rtd",,"OPEN_INT","."&amp;$AB$3&amp;$AB$4&amp;"C"&amp;BJ$4))*100 + MAX(0, BJ$4-$A25)*IF(RTD("tos.rtd",,"OPEN_INT","."&amp;$AB$3&amp;$AB$4&amp;"P"&amp;BJ$4)="N/A",0,RTD("tos.rtd",,"OPEN_INT","."&amp;$AB$3&amp;$AB$4&amp;"P"&amp;BJ$4))*100</f>
        <v>547300</v>
      </c>
      <c r="BK25" s="18">
        <f>MAX(0, $A25-BK$4)*IF(RTD("tos.rtd",,"OPEN_INT","."&amp;$AB$3&amp;$AB$4&amp;"C"&amp;BK$4)="N/A",0,RTD("tos.rtd",,"OPEN_INT","."&amp;$AB$3&amp;$AB$4&amp;"C"&amp;BK$4))*100 + MAX(0, BK$4-$A25)*IF(RTD("tos.rtd",,"OPEN_INT","."&amp;$AB$3&amp;$AB$4&amp;"P"&amp;BK$4)="N/A",0,RTD("tos.rtd",,"OPEN_INT","."&amp;$AB$3&amp;$AB$4&amp;"P"&amp;BK$4))*100</f>
        <v>105700</v>
      </c>
      <c r="BL25" s="18">
        <f>MAX(0, $A25-BL$4)*IF(RTD("tos.rtd",,"OPEN_INT","."&amp;$AB$3&amp;$AB$4&amp;"C"&amp;BL$4)="N/A",0,RTD("tos.rtd",,"OPEN_INT","."&amp;$AB$3&amp;$AB$4&amp;"C"&amp;BL$4))*100 + MAX(0, BL$4-$A25)*IF(RTD("tos.rtd",,"OPEN_INT","."&amp;$AB$3&amp;$AB$4&amp;"P"&amp;BL$4)="N/A",0,RTD("tos.rtd",,"OPEN_INT","."&amp;$AB$3&amp;$AB$4&amp;"P"&amp;BL$4))*100</f>
        <v>195750</v>
      </c>
      <c r="BM25" s="18">
        <f>MAX(0, $A25-BM$4)*IF(RTD("tos.rtd",,"OPEN_INT","."&amp;$AB$3&amp;$AB$4&amp;"C"&amp;BM$4)="N/A",0,RTD("tos.rtd",,"OPEN_INT","."&amp;$AB$3&amp;$AB$4&amp;"C"&amp;BM$4))*100 + MAX(0, BM$4-$A25)*IF(RTD("tos.rtd",,"OPEN_INT","."&amp;$AB$3&amp;$AB$4&amp;"P"&amp;BM$4)="N/A",0,RTD("tos.rtd",,"OPEN_INT","."&amp;$AB$3&amp;$AB$4&amp;"P"&amp;BM$4))*100</f>
        <v>12800</v>
      </c>
      <c r="BN25" s="18">
        <f>MAX(0, $A25-BN$4)*IF(RTD("tos.rtd",,"OPEN_INT","."&amp;$AB$3&amp;$AB$4&amp;"C"&amp;BN$4)="N/A",0,RTD("tos.rtd",,"OPEN_INT","."&amp;$AB$3&amp;$AB$4&amp;"C"&amp;BN$4))*100 + MAX(0, BN$4-$A25)*IF(RTD("tos.rtd",,"OPEN_INT","."&amp;$AB$3&amp;$AB$4&amp;"P"&amp;BN$4)="N/A",0,RTD("tos.rtd",,"OPEN_INT","."&amp;$AB$3&amp;$AB$4&amp;"P"&amp;BN$4))*100</f>
        <v>6800</v>
      </c>
      <c r="BO25" s="18">
        <f>MAX(0, $A25-BO$4)*IF(RTD("tos.rtd",,"OPEN_INT","."&amp;$AB$3&amp;$AB$4&amp;"C"&amp;BO$4)="N/A",0,RTD("tos.rtd",,"OPEN_INT","."&amp;$AB$3&amp;$AB$4&amp;"C"&amp;BO$4))*100 + MAX(0, BO$4-$A25)*IF(RTD("tos.rtd",,"OPEN_INT","."&amp;$AB$3&amp;$AB$4&amp;"P"&amp;BO$4)="N/A",0,RTD("tos.rtd",,"OPEN_INT","."&amp;$AB$3&amp;$AB$4&amp;"P"&amp;BO$4))*100</f>
        <v>27900</v>
      </c>
      <c r="BP25" s="18">
        <f>MAX(0, $A25-BP$4)*IF(RTD("tos.rtd",,"OPEN_INT","."&amp;$AB$3&amp;$AB$4&amp;"C"&amp;BP$4)="N/A",0,RTD("tos.rtd",,"OPEN_INT","."&amp;$AB$3&amp;$AB$4&amp;"C"&amp;BP$4))*100 + MAX(0, BP$4-$A25)*IF(RTD("tos.rtd",,"OPEN_INT","."&amp;$AB$3&amp;$AB$4&amp;"P"&amp;BP$4)="N/A",0,RTD("tos.rtd",,"OPEN_INT","."&amp;$AB$3&amp;$AB$4&amp;"P"&amp;BP$4))*100</f>
        <v>36100</v>
      </c>
      <c r="BQ25" s="18">
        <f>MAX(0, $A25-BQ$4)*IF(RTD("tos.rtd",,"OPEN_INT","."&amp;$AB$3&amp;$AB$4&amp;"C"&amp;BQ$4)="N/A",0,RTD("tos.rtd",,"OPEN_INT","."&amp;$AB$3&amp;$AB$4&amp;"C"&amp;BQ$4))*100 + MAX(0, BQ$4-$A25)*IF(RTD("tos.rtd",,"OPEN_INT","."&amp;$AB$3&amp;$AB$4&amp;"P"&amp;BQ$4)="N/A",0,RTD("tos.rtd",,"OPEN_INT","."&amp;$AB$3&amp;$AB$4&amp;"P"&amp;BQ$4))*100</f>
        <v>0</v>
      </c>
      <c r="BR25" s="18">
        <f>MAX(0, $A25-BR$4)*IF(RTD("tos.rtd",,"OPEN_INT","."&amp;$AB$3&amp;$AB$4&amp;"C"&amp;BR$4)="N/A",0,RTD("tos.rtd",,"OPEN_INT","."&amp;$AB$3&amp;$AB$4&amp;"C"&amp;BR$4))*100 + MAX(0, BR$4-$A25)*IF(RTD("tos.rtd",,"OPEN_INT","."&amp;$AB$3&amp;$AB$4&amp;"P"&amp;BR$4)="N/A",0,RTD("tos.rtd",,"OPEN_INT","."&amp;$AB$3&amp;$AB$4&amp;"P"&amp;BR$4))*100</f>
        <v>0</v>
      </c>
      <c r="BS25" s="18">
        <f>MAX(0, $A25-BS$4)*IF(RTD("tos.rtd",,"OPEN_INT","."&amp;$AB$3&amp;$AB$4&amp;"C"&amp;BS$4)="N/A",0,RTD("tos.rtd",,"OPEN_INT","."&amp;$AB$3&amp;$AB$4&amp;"C"&amp;BS$4))*100 + MAX(0, BS$4-$A25)*IF(RTD("tos.rtd",,"OPEN_INT","."&amp;$AB$3&amp;$AB$4&amp;"P"&amp;BS$4)="N/A",0,RTD("tos.rtd",,"OPEN_INT","."&amp;$AB$3&amp;$AB$4&amp;"P"&amp;BS$4))*100</f>
        <v>0</v>
      </c>
      <c r="BT25" s="18">
        <f>MAX(0, $A25-BT$4)*IF(RTD("tos.rtd",,"OPEN_INT","."&amp;$AB$3&amp;$AB$4&amp;"C"&amp;BT$4)="N/A",0,RTD("tos.rtd",,"OPEN_INT","."&amp;$AB$3&amp;$AB$4&amp;"C"&amp;BT$4))*100 + MAX(0, BT$4-$A25)*IF(RTD("tos.rtd",,"OPEN_INT","."&amp;$AB$3&amp;$AB$4&amp;"P"&amp;BT$4)="N/A",0,RTD("tos.rtd",,"OPEN_INT","."&amp;$AB$3&amp;$AB$4&amp;"P"&amp;BT$4))*100</f>
        <v>0</v>
      </c>
      <c r="BU25" s="18">
        <f>MAX(0, $A25-BU$4)*IF(RTD("tos.rtd",,"OPEN_INT","."&amp;$AB$3&amp;$AB$4&amp;"C"&amp;BU$4)="N/A",0,RTD("tos.rtd",,"OPEN_INT","."&amp;$AB$3&amp;$AB$4&amp;"C"&amp;BU$4))*100 + MAX(0, BU$4-$A25)*IF(RTD("tos.rtd",,"OPEN_INT","."&amp;$AB$3&amp;$AB$4&amp;"P"&amp;BU$4)="N/A",0,RTD("tos.rtd",,"OPEN_INT","."&amp;$AB$3&amp;$AB$4&amp;"P"&amp;BU$4))*100</f>
        <v>0</v>
      </c>
      <c r="BV25" s="18">
        <f>MAX(0, $A25-BV$4)*IF(RTD("tos.rtd",,"OPEN_INT","."&amp;$AB$3&amp;$AB$4&amp;"C"&amp;BV$4)="N/A",0,RTD("tos.rtd",,"OPEN_INT","."&amp;$AB$3&amp;$AB$4&amp;"C"&amp;BV$4))*100 + MAX(0, BV$4-$A25)*IF(RTD("tos.rtd",,"OPEN_INT","."&amp;$AB$3&amp;$AB$4&amp;"P"&amp;BV$4)="N/A",0,RTD("tos.rtd",,"OPEN_INT","."&amp;$AB$3&amp;$AB$4&amp;"P"&amp;BV$4))*100</f>
        <v>0</v>
      </c>
      <c r="BW25" s="18">
        <f>MAX(0, $A25-BW$4)*IF(RTD("tos.rtd",,"OPEN_INT","."&amp;$AB$3&amp;$AB$4&amp;"C"&amp;BW$4)="N/A",0,RTD("tos.rtd",,"OPEN_INT","."&amp;$AB$3&amp;$AB$4&amp;"C"&amp;BW$4))*100 + MAX(0, BW$4-$A25)*IF(RTD("tos.rtd",,"OPEN_INT","."&amp;$AB$3&amp;$AB$4&amp;"P"&amp;BW$4)="N/A",0,RTD("tos.rtd",,"OPEN_INT","."&amp;$AB$3&amp;$AB$4&amp;"P"&amp;BW$4))*100</f>
        <v>0</v>
      </c>
    </row>
    <row r="26" spans="1:75" s="19" customFormat="1" ht="11.1" customHeight="1" thickBot="1" x14ac:dyDescent="0.3">
      <c r="A26" s="23">
        <f t="shared" si="7"/>
        <v>11</v>
      </c>
      <c r="B26" s="14">
        <f ca="1">IF($A$2="PREMIUM_OI",IFERROR(IF($X$1="ABS",(100*RTD("tos.rtd",,"OPEN_INT","."&amp;B$2&amp;B$1&amp;"C"&amp;$A26)*RTD("tos.rtd",,"LAST","."&amp;B$2&amp;B$1&amp;"C"&amp;$A26)+100*RTD("tos.rtd",,"OPEN_INT","."&amp;B$2&amp;B$1&amp;"P"&amp;$A26)*RTD("tos.rtd",,"LAST","."&amp;B$2&amp;B$1&amp;"P"&amp;$A26))/1000000,(100*RTD("tos.rtd",,"OPEN_INT","."&amp;B$2&amp;B$1&amp;"C"&amp;$A26)*RTD("tos.rtd",,"LAST","."&amp;B$2&amp;B$1&amp;"C"&amp;$A26)-100*RTD("tos.rtd",,"OPEN_INT","."&amp;B$2&amp;B$1&amp;"P"&amp;$A26)*RTD("tos.rtd",,"LAST","."&amp;B$2&amp;B$1&amp;"P"&amp;$A26))/1000000),0),IF($A$2="PREMIUM",IFERROR(IF($X$1="ABS",(100*RTD("tos.rtd",,"VOLUME","."&amp;B$2&amp;B$1&amp;"C"&amp;$A26)*RTD("tos.rtd",,"LAST","."&amp;B$2&amp;B$1&amp;"C"&amp;$A26)+100*RTD("tos.rtd",,"VOLUME","."&amp;B$2&amp;B$1&amp;"P"&amp;$A26)*RTD("tos.rtd",,"LAST","."&amp;B$2&amp;B$1&amp;"P"&amp;$A26))/1000000,(100*RTD("tos.rtd",,"VOLUME","."&amp;B$2&amp;B$1&amp;"C"&amp;$A26)*RTD("tos.rtd",,"LAST","."&amp;B$2&amp;B$1&amp;"C"&amp;$A26)-100*RTD("tos.rtd",,"VOLUME","."&amp;B$2&amp;B$1&amp;"P"&amp;$A26)*RTD("tos.rtd",,"LAST","."&amp;B$2&amp;B$1&amp;"P"&amp;$A26))/1000000),0),IF($A$2="DEX",IFERROR(IF($X$1="ABS",(100*RTD("tos.rtd",,"OPEN_INT","."&amp;B$2&amp;B$1&amp;"C"&amp;$A26)*RTD("tos.rtd",,"DELTA","."&amp;B$2&amp;B$1&amp;"C"&amp;$A26)+100*RTD("tos.rtd",,"OPEN_INT","."&amp;B$2&amp;B$1&amp;"P"&amp;$A26)*RTD("tos.rtd",,"DELTA","."&amp;B$2&amp;B$1&amp;"P"&amp;$A26))/1000,(100*RTD("tos.rtd",,"OPEN_INT","."&amp;B$2&amp;B$1&amp;"C"&amp;$A26)*RTD("tos.rtd",,"DELTA","."&amp;B$2&amp;B$1&amp;"C"&amp;$A26)-100*RTD("tos.rtd",,"OPEN_INT","."&amp;B$2&amp;B$1&amp;"P"&amp;$A26)*RTD("tos.rtd",,"DELTA","."&amp;B$2&amp;B$1&amp;"P"&amp;$A26))/1000),0),IF($A$2="VEX",IFERROR(IF($X$1="ABS",($A$4*$A$4*RTD("tos.rtd",,"VOLUME","."&amp;B$2&amp;B$1&amp;"C"&amp;$A26)*RTD("tos.rtd",,"GAMMA","."&amp;B$2&amp;B$1&amp;"C"&amp;$A26)+$A$4*$A$4*RTD("tos.rtd",,"VOLUME","."&amp;B$2&amp;B$1&amp;"P"&amp;$A26)*RTD("tos.rtd",,"GAMMA","."&amp;B$2&amp;B$1&amp;"P"&amp;$A26))/1000000,($A$4*$A$4*RTD("tos.rtd",,"VOLUME","."&amp;B$2&amp;B$1&amp;"C"&amp;$A26)*RTD("tos.rtd",,"GAMMA","."&amp;B$2&amp;B$1&amp;"C"&amp;$A26)-$A$4*$A$4*RTD("tos.rtd",,"VOLUME","."&amp;B$2&amp;B$1&amp;"P"&amp;$A26)*RTD("tos.rtd",,"GAMMA","."&amp;B$2&amp;B$1&amp;"P"&amp;$A26))/1000000),0),IF($A$2="GEX",IFERROR(IF($X$1="ABS",($A$4*$A$4*RTD("tos.rtd",,"OPEN_INT","."&amp;B$2&amp;B$1&amp;"C"&amp;$A26)*RTD("tos.rtd",,"GAMMA","."&amp;B$2&amp;B$1&amp;"C"&amp;$A26)+$A$4*$A$4*RTD("tos.rtd",,"OPEN_INT","."&amp;B$2&amp;B$1&amp;"P"&amp;$A26)*RTD("tos.rtd",,"GAMMA","."&amp;B$2&amp;B$1&amp;"P"&amp;$A26))/1000000,($A$4*$A$4*RTD("tos.rtd",,"OPEN_INT","."&amp;B$2&amp;B$1&amp;"C"&amp;$A26)*RTD("tos.rtd",,"GAMMA","."&amp;B$2&amp;B$1&amp;"C"&amp;$A26)-$A$4*$A$4*RTD("tos.rtd",,"OPEN_INT","."&amp;B$2&amp;B$1&amp;"P"&amp;$A26)*RTD("tos.rtd",,"GAMMA","."&amp;B$2&amp;B$1&amp;"P"&amp;$A26))/1000000),0),IF($A$2="SKEW",IFERROR(VALUE(IF(RTD("tos.rtd",,"IMPL_VOL","."&amp;B$2&amp;B$1&amp;"P"&amp;$A26)="N/A",0,RTD("tos.rtd",,"IMPL_VOL","."&amp;B$2&amp;B$1&amp;"P"&amp;$A26))),0)-IFERROR(VALUE(IF(RTD("tos.rtd",,"IMPL_VOL","."&amp;B$2&amp;B$1&amp;"C"&amp;$A26)="N/A",0,RTD("tos.rtd",,"IMPL_VOL","."&amp;B$2&amp;B$1&amp;"C"&amp;$A26))),0),IF($A$2="MAXPAIN",IF($A$4&gt;$A26,($A$4-$A26)*IF(RTD("tos.rtd",,"OPEN_INT","."&amp;B$2&amp;B$1&amp;"C"&amp;$A26)="N/A",0,RTD("tos.rtd",,"OPEN_INT","."&amp;B$2&amp;B$1&amp;"C"&amp;$A26)),0)+IF($A$4&lt;$A26,($A$5-$A$4)*IF(RTD("tos.rtd",,"OPEN_INT","."&amp;B$2&amp;B$1&amp;"P"&amp;$A26)="N/A",0,RTD("tos.rtd",,"OPEN_INT","."&amp;B$2&amp;B$1&amp;"P"&amp;$A26)),0),IF($X$1="ABS",IF(RTD("tos.rtd",,$A$2,"."&amp;B$2&amp;B$1&amp;"C"&amp;$A26)="N/A",0,RTD("tos.rtd",,$A$2,"."&amp;B$2&amp;B$1&amp;"C"&amp;$A26))+IF(RTD("tos.rtd",,$A$2,"."&amp;B$2&amp;B$1&amp;"P"&amp;$A26)="N/A",0,RTD("tos.rtd",,$A$2,"."&amp;B$2&amp;B$1&amp;"P"&amp;$A26)),IF(RTD("tos.rtd",,$A$2,"."&amp;B$2&amp;B$1&amp;"C"&amp;$A26)="N/A",0,RTD("tos.rtd",,$A$2,"."&amp;B$2&amp;B$1&amp;"C"&amp;$A26))-IF(RTD("tos.rtd",,$A$2,"."&amp;B$2&amp;B$1&amp;"P"&amp;$A26)="N/A",0,RTD("tos.rtd",,$A$2,"."&amp;B$2&amp;B$1&amp;"P"&amp;$A26))))))))))</f>
        <v>0</v>
      </c>
      <c r="C26" s="14">
        <f ca="1">IF($A$2="PREMIUM_OI",IFERROR(IF($X$1="ABS",(100*RTD("tos.rtd",,"OPEN_INT","."&amp;C$2&amp;C$1&amp;"C"&amp;$A26)*RTD("tos.rtd",,"LAST","."&amp;C$2&amp;C$1&amp;"C"&amp;$A26)+100*RTD("tos.rtd",,"OPEN_INT","."&amp;C$2&amp;C$1&amp;"P"&amp;$A26)*RTD("tos.rtd",,"LAST","."&amp;C$2&amp;C$1&amp;"P"&amp;$A26))/1000000,(100*RTD("tos.rtd",,"OPEN_INT","."&amp;C$2&amp;C$1&amp;"C"&amp;$A26)*RTD("tos.rtd",,"LAST","."&amp;C$2&amp;C$1&amp;"C"&amp;$A26)-100*RTD("tos.rtd",,"OPEN_INT","."&amp;C$2&amp;C$1&amp;"P"&amp;$A26)*RTD("tos.rtd",,"LAST","."&amp;C$2&amp;C$1&amp;"P"&amp;$A26))/1000000),0),IF($A$2="PREMIUM",IFERROR(IF($X$1="ABS",(100*RTD("tos.rtd",,"VOLUME","."&amp;C$2&amp;C$1&amp;"C"&amp;$A26)*RTD("tos.rtd",,"LAST","."&amp;C$2&amp;C$1&amp;"C"&amp;$A26)+100*RTD("tos.rtd",,"VOLUME","."&amp;C$2&amp;C$1&amp;"P"&amp;$A26)*RTD("tos.rtd",,"LAST","."&amp;C$2&amp;C$1&amp;"P"&amp;$A26))/1000000,(100*RTD("tos.rtd",,"VOLUME","."&amp;C$2&amp;C$1&amp;"C"&amp;$A26)*RTD("tos.rtd",,"LAST","."&amp;C$2&amp;C$1&amp;"C"&amp;$A26)-100*RTD("tos.rtd",,"VOLUME","."&amp;C$2&amp;C$1&amp;"P"&amp;$A26)*RTD("tos.rtd",,"LAST","."&amp;C$2&amp;C$1&amp;"P"&amp;$A26))/1000000),0),IF($A$2="DEX",IFERROR(IF($X$1="ABS",(100*RTD("tos.rtd",,"OPEN_INT","."&amp;C$2&amp;C$1&amp;"C"&amp;$A26)*RTD("tos.rtd",,"DELTA","."&amp;C$2&amp;C$1&amp;"C"&amp;$A26)+100*RTD("tos.rtd",,"OPEN_INT","."&amp;C$2&amp;C$1&amp;"P"&amp;$A26)*RTD("tos.rtd",,"DELTA","."&amp;C$2&amp;C$1&amp;"P"&amp;$A26))/1000,(100*RTD("tos.rtd",,"OPEN_INT","."&amp;C$2&amp;C$1&amp;"C"&amp;$A26)*RTD("tos.rtd",,"DELTA","."&amp;C$2&amp;C$1&amp;"C"&amp;$A26)-100*RTD("tos.rtd",,"OPEN_INT","."&amp;C$2&amp;C$1&amp;"P"&amp;$A26)*RTD("tos.rtd",,"DELTA","."&amp;C$2&amp;C$1&amp;"P"&amp;$A26))/1000),0),IF($A$2="VEX",IFERROR(IF($X$1="ABS",($A$4*$A$4*RTD("tos.rtd",,"VOLUME","."&amp;C$2&amp;C$1&amp;"C"&amp;$A26)*RTD("tos.rtd",,"GAMMA","."&amp;C$2&amp;C$1&amp;"C"&amp;$A26)+$A$4*$A$4*RTD("tos.rtd",,"VOLUME","."&amp;C$2&amp;C$1&amp;"P"&amp;$A26)*RTD("tos.rtd",,"GAMMA","."&amp;C$2&amp;C$1&amp;"P"&amp;$A26))/1000000,($A$4*$A$4*RTD("tos.rtd",,"VOLUME","."&amp;C$2&amp;C$1&amp;"C"&amp;$A26)*RTD("tos.rtd",,"GAMMA","."&amp;C$2&amp;C$1&amp;"C"&amp;$A26)-$A$4*$A$4*RTD("tos.rtd",,"VOLUME","."&amp;C$2&amp;C$1&amp;"P"&amp;$A26)*RTD("tos.rtd",,"GAMMA","."&amp;C$2&amp;C$1&amp;"P"&amp;$A26))/1000000),0),IF($A$2="GEX",IFERROR(IF($X$1="ABS",($A$4*$A$4*RTD("tos.rtd",,"OPEN_INT","."&amp;C$2&amp;C$1&amp;"C"&amp;$A26)*RTD("tos.rtd",,"GAMMA","."&amp;C$2&amp;C$1&amp;"C"&amp;$A26)+$A$4*$A$4*RTD("tos.rtd",,"OPEN_INT","."&amp;C$2&amp;C$1&amp;"P"&amp;$A26)*RTD("tos.rtd",,"GAMMA","."&amp;C$2&amp;C$1&amp;"P"&amp;$A26))/1000000,($A$4*$A$4*RTD("tos.rtd",,"OPEN_INT","."&amp;C$2&amp;C$1&amp;"C"&amp;$A26)*RTD("tos.rtd",,"GAMMA","."&amp;C$2&amp;C$1&amp;"C"&amp;$A26)-$A$4*$A$4*RTD("tos.rtd",,"OPEN_INT","."&amp;C$2&amp;C$1&amp;"P"&amp;$A26)*RTD("tos.rtd",,"GAMMA","."&amp;C$2&amp;C$1&amp;"P"&amp;$A26))/1000000),0),IF($A$2="SKEW",IFERROR(VALUE(IF(RTD("tos.rtd",,"IMPL_VOL","."&amp;C$2&amp;C$1&amp;"P"&amp;$A26)="N/A",0,RTD("tos.rtd",,"IMPL_VOL","."&amp;C$2&amp;C$1&amp;"P"&amp;$A26))),0)-IFERROR(VALUE(IF(RTD("tos.rtd",,"IMPL_VOL","."&amp;C$2&amp;C$1&amp;"C"&amp;$A26)="N/A",0,RTD("tos.rtd",,"IMPL_VOL","."&amp;C$2&amp;C$1&amp;"C"&amp;$A26))),0),IF($A$2="MAXPAIN",IF($A$4&gt;$A26,($A$4-$A26)*IF(RTD("tos.rtd",,"OPEN_INT","."&amp;C$2&amp;C$1&amp;"C"&amp;$A26)="N/A",0,RTD("tos.rtd",,"OPEN_INT","."&amp;C$2&amp;C$1&amp;"C"&amp;$A26)),0)+IF($A$4&lt;$A26,($A$5-$A$4)*IF(RTD("tos.rtd",,"OPEN_INT","."&amp;C$2&amp;C$1&amp;"P"&amp;$A26)="N/A",0,RTD("tos.rtd",,"OPEN_INT","."&amp;C$2&amp;C$1&amp;"P"&amp;$A26)),0),IF($X$1="ABS",IF(RTD("tos.rtd",,$A$2,"."&amp;C$2&amp;C$1&amp;"C"&amp;$A26)="N/A",0,RTD("tos.rtd",,$A$2,"."&amp;C$2&amp;C$1&amp;"C"&amp;$A26))+IF(RTD("tos.rtd",,$A$2,"."&amp;C$2&amp;C$1&amp;"P"&amp;$A26)="N/A",0,RTD("tos.rtd",,$A$2,"."&amp;C$2&amp;C$1&amp;"P"&amp;$A26)),IF(RTD("tos.rtd",,$A$2,"."&amp;C$2&amp;C$1&amp;"C"&amp;$A26)="N/A",0,RTD("tos.rtd",,$A$2,"."&amp;C$2&amp;C$1&amp;"C"&amp;$A26))-IF(RTD("tos.rtd",,$A$2,"."&amp;C$2&amp;C$1&amp;"P"&amp;$A26)="N/A",0,RTD("tos.rtd",,$A$2,"."&amp;C$2&amp;C$1&amp;"P"&amp;$A26))))))))))</f>
        <v>0</v>
      </c>
      <c r="D26" s="12">
        <f ca="1">IF($A$2="PREMIUM_OI",IFERROR(IF($X$1="ABS",(100*RTD("tos.rtd",,"OPEN_INT","."&amp;D$2&amp;D$1&amp;"C"&amp;$A26)*RTD("tos.rtd",,"LAST","."&amp;D$2&amp;D$1&amp;"C"&amp;$A26)+100*RTD("tos.rtd",,"OPEN_INT","."&amp;D$2&amp;D$1&amp;"P"&amp;$A26)*RTD("tos.rtd",,"LAST","."&amp;D$2&amp;D$1&amp;"P"&amp;$A26))/1000000,(100*RTD("tos.rtd",,"OPEN_INT","."&amp;D$2&amp;D$1&amp;"C"&amp;$A26)*RTD("tos.rtd",,"LAST","."&amp;D$2&amp;D$1&amp;"C"&amp;$A26)-100*RTD("tos.rtd",,"OPEN_INT","."&amp;D$2&amp;D$1&amp;"P"&amp;$A26)*RTD("tos.rtd",,"LAST","."&amp;D$2&amp;D$1&amp;"P"&amp;$A26))/1000000),0),IF($A$2="PREMIUM",IFERROR(IF($X$1="ABS",(100*RTD("tos.rtd",,"VOLUME","."&amp;D$2&amp;D$1&amp;"C"&amp;$A26)*RTD("tos.rtd",,"LAST","."&amp;D$2&amp;D$1&amp;"C"&amp;$A26)+100*RTD("tos.rtd",,"VOLUME","."&amp;D$2&amp;D$1&amp;"P"&amp;$A26)*RTD("tos.rtd",,"LAST","."&amp;D$2&amp;D$1&amp;"P"&amp;$A26))/1000000,(100*RTD("tos.rtd",,"VOLUME","."&amp;D$2&amp;D$1&amp;"C"&amp;$A26)*RTD("tos.rtd",,"LAST","."&amp;D$2&amp;D$1&amp;"C"&amp;$A26)-100*RTD("tos.rtd",,"VOLUME","."&amp;D$2&amp;D$1&amp;"P"&amp;$A26)*RTD("tos.rtd",,"LAST","."&amp;D$2&amp;D$1&amp;"P"&amp;$A26))/1000000),0),IF($A$2="DEX",IFERROR(IF($X$1="ABS",(100*RTD("tos.rtd",,"OPEN_INT","."&amp;D$2&amp;D$1&amp;"C"&amp;$A26)*RTD("tos.rtd",,"DELTA","."&amp;D$2&amp;D$1&amp;"C"&amp;$A26)+100*RTD("tos.rtd",,"OPEN_INT","."&amp;D$2&amp;D$1&amp;"P"&amp;$A26)*RTD("tos.rtd",,"DELTA","."&amp;D$2&amp;D$1&amp;"P"&amp;$A26))/1000,(100*RTD("tos.rtd",,"OPEN_INT","."&amp;D$2&amp;D$1&amp;"C"&amp;$A26)*RTD("tos.rtd",,"DELTA","."&amp;D$2&amp;D$1&amp;"C"&amp;$A26)-100*RTD("tos.rtd",,"OPEN_INT","."&amp;D$2&amp;D$1&amp;"P"&amp;$A26)*RTD("tos.rtd",,"DELTA","."&amp;D$2&amp;D$1&amp;"P"&amp;$A26))/1000),0),IF($A$2="VEX",IFERROR(IF($X$1="ABS",($A$4*$A$4*RTD("tos.rtd",,"VOLUME","."&amp;D$2&amp;D$1&amp;"C"&amp;$A26)*RTD("tos.rtd",,"GAMMA","."&amp;D$2&amp;D$1&amp;"C"&amp;$A26)+$A$4*$A$4*RTD("tos.rtd",,"VOLUME","."&amp;D$2&amp;D$1&amp;"P"&amp;$A26)*RTD("tos.rtd",,"GAMMA","."&amp;D$2&amp;D$1&amp;"P"&amp;$A26))/1000000,($A$4*$A$4*RTD("tos.rtd",,"VOLUME","."&amp;D$2&amp;D$1&amp;"C"&amp;$A26)*RTD("tos.rtd",,"GAMMA","."&amp;D$2&amp;D$1&amp;"C"&amp;$A26)-$A$4*$A$4*RTD("tos.rtd",,"VOLUME","."&amp;D$2&amp;D$1&amp;"P"&amp;$A26)*RTD("tos.rtd",,"GAMMA","."&amp;D$2&amp;D$1&amp;"P"&amp;$A26))/1000000),0),IF($A$2="GEX",IFERROR(IF($X$1="ABS",($A$4*$A$4*RTD("tos.rtd",,"OPEN_INT","."&amp;D$2&amp;D$1&amp;"C"&amp;$A26)*RTD("tos.rtd",,"GAMMA","."&amp;D$2&amp;D$1&amp;"C"&amp;$A26)+$A$4*$A$4*RTD("tos.rtd",,"OPEN_INT","."&amp;D$2&amp;D$1&amp;"P"&amp;$A26)*RTD("tos.rtd",,"GAMMA","."&amp;D$2&amp;D$1&amp;"P"&amp;$A26))/1000000,($A$4*$A$4*RTD("tos.rtd",,"OPEN_INT","."&amp;D$2&amp;D$1&amp;"C"&amp;$A26)*RTD("tos.rtd",,"GAMMA","."&amp;D$2&amp;D$1&amp;"C"&amp;$A26)-$A$4*$A$4*RTD("tos.rtd",,"OPEN_INT","."&amp;D$2&amp;D$1&amp;"P"&amp;$A26)*RTD("tos.rtd",,"GAMMA","."&amp;D$2&amp;D$1&amp;"P"&amp;$A26))/1000000),0),IF($A$2="SKEW",IFERROR(VALUE(IF(RTD("tos.rtd",,"IMPL_VOL","."&amp;D$2&amp;D$1&amp;"P"&amp;$A26)="N/A",0,RTD("tos.rtd",,"IMPL_VOL","."&amp;D$2&amp;D$1&amp;"P"&amp;$A26))),0)-IFERROR(VALUE(IF(RTD("tos.rtd",,"IMPL_VOL","."&amp;D$2&amp;D$1&amp;"C"&amp;$A26)="N/A",0,RTD("tos.rtd",,"IMPL_VOL","."&amp;D$2&amp;D$1&amp;"C"&amp;$A26))),0),IF($A$2="MAXPAIN",IF($A$4&gt;$A26,($A$4-$A26)*IF(RTD("tos.rtd",,"OPEN_INT","."&amp;D$2&amp;D$1&amp;"C"&amp;$A26)="N/A",0,RTD("tos.rtd",,"OPEN_INT","."&amp;D$2&amp;D$1&amp;"C"&amp;$A26)),0)+IF($A$4&lt;$A26,($A$5-$A$4)*IF(RTD("tos.rtd",,"OPEN_INT","."&amp;D$2&amp;D$1&amp;"P"&amp;$A26)="N/A",0,RTD("tos.rtd",,"OPEN_INT","."&amp;D$2&amp;D$1&amp;"P"&amp;$A26)),0),IF($X$1="ABS",IF(RTD("tos.rtd",,$A$2,"."&amp;D$2&amp;D$1&amp;"C"&amp;$A26)="N/A",0,RTD("tos.rtd",,$A$2,"."&amp;D$2&amp;D$1&amp;"C"&amp;$A26))+IF(RTD("tos.rtd",,$A$2,"."&amp;D$2&amp;D$1&amp;"P"&amp;$A26)="N/A",0,RTD("tos.rtd",,$A$2,"."&amp;D$2&amp;D$1&amp;"P"&amp;$A26)),IF(RTD("tos.rtd",,$A$2,"."&amp;D$2&amp;D$1&amp;"C"&amp;$A26)="N/A",0,RTD("tos.rtd",,$A$2,"."&amp;D$2&amp;D$1&amp;"C"&amp;$A26))-IF(RTD("tos.rtd",,$A$2,"."&amp;D$2&amp;D$1&amp;"P"&amp;$A26)="N/A",0,RTD("tos.rtd",,$A$2,"."&amp;D$2&amp;D$1&amp;"P"&amp;$A26))))))))))</f>
        <v>0</v>
      </c>
      <c r="E26" s="12">
        <f ca="1">IF($A$2="PREMIUM_OI",IFERROR(IF($X$1="ABS",(100*RTD("tos.rtd",,"OPEN_INT","."&amp;E$2&amp;E$1&amp;"C"&amp;$A26)*RTD("tos.rtd",,"LAST","."&amp;E$2&amp;E$1&amp;"C"&amp;$A26)+100*RTD("tos.rtd",,"OPEN_INT","."&amp;E$2&amp;E$1&amp;"P"&amp;$A26)*RTD("tos.rtd",,"LAST","."&amp;E$2&amp;E$1&amp;"P"&amp;$A26))/1000000,(100*RTD("tos.rtd",,"OPEN_INT","."&amp;E$2&amp;E$1&amp;"C"&amp;$A26)*RTD("tos.rtd",,"LAST","."&amp;E$2&amp;E$1&amp;"C"&amp;$A26)-100*RTD("tos.rtd",,"OPEN_INT","."&amp;E$2&amp;E$1&amp;"P"&amp;$A26)*RTD("tos.rtd",,"LAST","."&amp;E$2&amp;E$1&amp;"P"&amp;$A26))/1000000),0),IF($A$2="PREMIUM",IFERROR(IF($X$1="ABS",(100*RTD("tos.rtd",,"VOLUME","."&amp;E$2&amp;E$1&amp;"C"&amp;$A26)*RTD("tos.rtd",,"LAST","."&amp;E$2&amp;E$1&amp;"C"&amp;$A26)+100*RTD("tos.rtd",,"VOLUME","."&amp;E$2&amp;E$1&amp;"P"&amp;$A26)*RTD("tos.rtd",,"LAST","."&amp;E$2&amp;E$1&amp;"P"&amp;$A26))/1000000,(100*RTD("tos.rtd",,"VOLUME","."&amp;E$2&amp;E$1&amp;"C"&amp;$A26)*RTD("tos.rtd",,"LAST","."&amp;E$2&amp;E$1&amp;"C"&amp;$A26)-100*RTD("tos.rtd",,"VOLUME","."&amp;E$2&amp;E$1&amp;"P"&amp;$A26)*RTD("tos.rtd",,"LAST","."&amp;E$2&amp;E$1&amp;"P"&amp;$A26))/1000000),0),IF($A$2="DEX",IFERROR(IF($X$1="ABS",(100*RTD("tos.rtd",,"OPEN_INT","."&amp;E$2&amp;E$1&amp;"C"&amp;$A26)*RTD("tos.rtd",,"DELTA","."&amp;E$2&amp;E$1&amp;"C"&amp;$A26)+100*RTD("tos.rtd",,"OPEN_INT","."&amp;E$2&amp;E$1&amp;"P"&amp;$A26)*RTD("tos.rtd",,"DELTA","."&amp;E$2&amp;E$1&amp;"P"&amp;$A26))/1000,(100*RTD("tos.rtd",,"OPEN_INT","."&amp;E$2&amp;E$1&amp;"C"&amp;$A26)*RTD("tos.rtd",,"DELTA","."&amp;E$2&amp;E$1&amp;"C"&amp;$A26)-100*RTD("tos.rtd",,"OPEN_INT","."&amp;E$2&amp;E$1&amp;"P"&amp;$A26)*RTD("tos.rtd",,"DELTA","."&amp;E$2&amp;E$1&amp;"P"&amp;$A26))/1000),0),IF($A$2="VEX",IFERROR(IF($X$1="ABS",($A$4*$A$4*RTD("tos.rtd",,"VOLUME","."&amp;E$2&amp;E$1&amp;"C"&amp;$A26)*RTD("tos.rtd",,"GAMMA","."&amp;E$2&amp;E$1&amp;"C"&amp;$A26)+$A$4*$A$4*RTD("tos.rtd",,"VOLUME","."&amp;E$2&amp;E$1&amp;"P"&amp;$A26)*RTD("tos.rtd",,"GAMMA","."&amp;E$2&amp;E$1&amp;"P"&amp;$A26))/1000000,($A$4*$A$4*RTD("tos.rtd",,"VOLUME","."&amp;E$2&amp;E$1&amp;"C"&amp;$A26)*RTD("tos.rtd",,"GAMMA","."&amp;E$2&amp;E$1&amp;"C"&amp;$A26)-$A$4*$A$4*RTD("tos.rtd",,"VOLUME","."&amp;E$2&amp;E$1&amp;"P"&amp;$A26)*RTD("tos.rtd",,"GAMMA","."&amp;E$2&amp;E$1&amp;"P"&amp;$A26))/1000000),0),IF($A$2="GEX",IFERROR(IF($X$1="ABS",($A$4*$A$4*RTD("tos.rtd",,"OPEN_INT","."&amp;E$2&amp;E$1&amp;"C"&amp;$A26)*RTD("tos.rtd",,"GAMMA","."&amp;E$2&amp;E$1&amp;"C"&amp;$A26)+$A$4*$A$4*RTD("tos.rtd",,"OPEN_INT","."&amp;E$2&amp;E$1&amp;"P"&amp;$A26)*RTD("tos.rtd",,"GAMMA","."&amp;E$2&amp;E$1&amp;"P"&amp;$A26))/1000000,($A$4*$A$4*RTD("tos.rtd",,"OPEN_INT","."&amp;E$2&amp;E$1&amp;"C"&amp;$A26)*RTD("tos.rtd",,"GAMMA","."&amp;E$2&amp;E$1&amp;"C"&amp;$A26)-$A$4*$A$4*RTD("tos.rtd",,"OPEN_INT","."&amp;E$2&amp;E$1&amp;"P"&amp;$A26)*RTD("tos.rtd",,"GAMMA","."&amp;E$2&amp;E$1&amp;"P"&amp;$A26))/1000000),0),IF($A$2="SKEW",IFERROR(VALUE(IF(RTD("tos.rtd",,"IMPL_VOL","."&amp;E$2&amp;E$1&amp;"P"&amp;$A26)="N/A",0,RTD("tos.rtd",,"IMPL_VOL","."&amp;E$2&amp;E$1&amp;"P"&amp;$A26))),0)-IFERROR(VALUE(IF(RTD("tos.rtd",,"IMPL_VOL","."&amp;E$2&amp;E$1&amp;"C"&amp;$A26)="N/A",0,RTD("tos.rtd",,"IMPL_VOL","."&amp;E$2&amp;E$1&amp;"C"&amp;$A26))),0),IF($A$2="MAXPAIN",IF($A$4&gt;$A26,($A$4-$A26)*IF(RTD("tos.rtd",,"OPEN_INT","."&amp;E$2&amp;E$1&amp;"C"&amp;$A26)="N/A",0,RTD("tos.rtd",,"OPEN_INT","."&amp;E$2&amp;E$1&amp;"C"&amp;$A26)),0)+IF($A$4&lt;$A26,($A$5-$A$4)*IF(RTD("tos.rtd",,"OPEN_INT","."&amp;E$2&amp;E$1&amp;"P"&amp;$A26)="N/A",0,RTD("tos.rtd",,"OPEN_INT","."&amp;E$2&amp;E$1&amp;"P"&amp;$A26)),0),IF($X$1="ABS",IF(RTD("tos.rtd",,$A$2,"."&amp;E$2&amp;E$1&amp;"C"&amp;$A26)="N/A",0,RTD("tos.rtd",,$A$2,"."&amp;E$2&amp;E$1&amp;"C"&amp;$A26))+IF(RTD("tos.rtd",,$A$2,"."&amp;E$2&amp;E$1&amp;"P"&amp;$A26)="N/A",0,RTD("tos.rtd",,$A$2,"."&amp;E$2&amp;E$1&amp;"P"&amp;$A26)),IF(RTD("tos.rtd",,$A$2,"."&amp;E$2&amp;E$1&amp;"C"&amp;$A26)="N/A",0,RTD("tos.rtd",,$A$2,"."&amp;E$2&amp;E$1&amp;"C"&amp;$A26))-IF(RTD("tos.rtd",,$A$2,"."&amp;E$2&amp;E$1&amp;"P"&amp;$A26)="N/A",0,RTD("tos.rtd",,$A$2,"."&amp;E$2&amp;E$1&amp;"P"&amp;$A26))))))))))</f>
        <v>0</v>
      </c>
      <c r="F26" s="12">
        <f ca="1">IF($A$2="PREMIUM_OI",IFERROR(IF($X$1="ABS",(100*RTD("tos.rtd",,"OPEN_INT","."&amp;F$2&amp;F$1&amp;"C"&amp;$A26)*RTD("tos.rtd",,"LAST","."&amp;F$2&amp;F$1&amp;"C"&amp;$A26)+100*RTD("tos.rtd",,"OPEN_INT","."&amp;F$2&amp;F$1&amp;"P"&amp;$A26)*RTD("tos.rtd",,"LAST","."&amp;F$2&amp;F$1&amp;"P"&amp;$A26))/1000000,(100*RTD("tos.rtd",,"OPEN_INT","."&amp;F$2&amp;F$1&amp;"C"&amp;$A26)*RTD("tos.rtd",,"LAST","."&amp;F$2&amp;F$1&amp;"C"&amp;$A26)-100*RTD("tos.rtd",,"OPEN_INT","."&amp;F$2&amp;F$1&amp;"P"&amp;$A26)*RTD("tos.rtd",,"LAST","."&amp;F$2&amp;F$1&amp;"P"&amp;$A26))/1000000),0),IF($A$2="PREMIUM",IFERROR(IF($X$1="ABS",(100*RTD("tos.rtd",,"VOLUME","."&amp;F$2&amp;F$1&amp;"C"&amp;$A26)*RTD("tos.rtd",,"LAST","."&amp;F$2&amp;F$1&amp;"C"&amp;$A26)+100*RTD("tos.rtd",,"VOLUME","."&amp;F$2&amp;F$1&amp;"P"&amp;$A26)*RTD("tos.rtd",,"LAST","."&amp;F$2&amp;F$1&amp;"P"&amp;$A26))/1000000,(100*RTD("tos.rtd",,"VOLUME","."&amp;F$2&amp;F$1&amp;"C"&amp;$A26)*RTD("tos.rtd",,"LAST","."&amp;F$2&amp;F$1&amp;"C"&amp;$A26)-100*RTD("tos.rtd",,"VOLUME","."&amp;F$2&amp;F$1&amp;"P"&amp;$A26)*RTD("tos.rtd",,"LAST","."&amp;F$2&amp;F$1&amp;"P"&amp;$A26))/1000000),0),IF($A$2="DEX",IFERROR(IF($X$1="ABS",(100*RTD("tos.rtd",,"OPEN_INT","."&amp;F$2&amp;F$1&amp;"C"&amp;$A26)*RTD("tos.rtd",,"DELTA","."&amp;F$2&amp;F$1&amp;"C"&amp;$A26)+100*RTD("tos.rtd",,"OPEN_INT","."&amp;F$2&amp;F$1&amp;"P"&amp;$A26)*RTD("tos.rtd",,"DELTA","."&amp;F$2&amp;F$1&amp;"P"&amp;$A26))/1000,(100*RTD("tos.rtd",,"OPEN_INT","."&amp;F$2&amp;F$1&amp;"C"&amp;$A26)*RTD("tos.rtd",,"DELTA","."&amp;F$2&amp;F$1&amp;"C"&amp;$A26)-100*RTD("tos.rtd",,"OPEN_INT","."&amp;F$2&amp;F$1&amp;"P"&amp;$A26)*RTD("tos.rtd",,"DELTA","."&amp;F$2&amp;F$1&amp;"P"&amp;$A26))/1000),0),IF($A$2="VEX",IFERROR(IF($X$1="ABS",($A$4*$A$4*RTD("tos.rtd",,"VOLUME","."&amp;F$2&amp;F$1&amp;"C"&amp;$A26)*RTD("tos.rtd",,"GAMMA","."&amp;F$2&amp;F$1&amp;"C"&amp;$A26)+$A$4*$A$4*RTD("tos.rtd",,"VOLUME","."&amp;F$2&amp;F$1&amp;"P"&amp;$A26)*RTD("tos.rtd",,"GAMMA","."&amp;F$2&amp;F$1&amp;"P"&amp;$A26))/1000000,($A$4*$A$4*RTD("tos.rtd",,"VOLUME","."&amp;F$2&amp;F$1&amp;"C"&amp;$A26)*RTD("tos.rtd",,"GAMMA","."&amp;F$2&amp;F$1&amp;"C"&amp;$A26)-$A$4*$A$4*RTD("tos.rtd",,"VOLUME","."&amp;F$2&amp;F$1&amp;"P"&amp;$A26)*RTD("tos.rtd",,"GAMMA","."&amp;F$2&amp;F$1&amp;"P"&amp;$A26))/1000000),0),IF($A$2="GEX",IFERROR(IF($X$1="ABS",($A$4*$A$4*RTD("tos.rtd",,"OPEN_INT","."&amp;F$2&amp;F$1&amp;"C"&amp;$A26)*RTD("tos.rtd",,"GAMMA","."&amp;F$2&amp;F$1&amp;"C"&amp;$A26)+$A$4*$A$4*RTD("tos.rtd",,"OPEN_INT","."&amp;F$2&amp;F$1&amp;"P"&amp;$A26)*RTD("tos.rtd",,"GAMMA","."&amp;F$2&amp;F$1&amp;"P"&amp;$A26))/1000000,($A$4*$A$4*RTD("tos.rtd",,"OPEN_INT","."&amp;F$2&amp;F$1&amp;"C"&amp;$A26)*RTD("tos.rtd",,"GAMMA","."&amp;F$2&amp;F$1&amp;"C"&amp;$A26)-$A$4*$A$4*RTD("tos.rtd",,"OPEN_INT","."&amp;F$2&amp;F$1&amp;"P"&amp;$A26)*RTD("tos.rtd",,"GAMMA","."&amp;F$2&amp;F$1&amp;"P"&amp;$A26))/1000000),0),IF($A$2="SKEW",IFERROR(VALUE(IF(RTD("tos.rtd",,"IMPL_VOL","."&amp;F$2&amp;F$1&amp;"P"&amp;$A26)="N/A",0,RTD("tos.rtd",,"IMPL_VOL","."&amp;F$2&amp;F$1&amp;"P"&amp;$A26))),0)-IFERROR(VALUE(IF(RTD("tos.rtd",,"IMPL_VOL","."&amp;F$2&amp;F$1&amp;"C"&amp;$A26)="N/A",0,RTD("tos.rtd",,"IMPL_VOL","."&amp;F$2&amp;F$1&amp;"C"&amp;$A26))),0),IF($A$2="MAXPAIN",IF($A$4&gt;$A26,($A$4-$A26)*IF(RTD("tos.rtd",,"OPEN_INT","."&amp;F$2&amp;F$1&amp;"C"&amp;$A26)="N/A",0,RTD("tos.rtd",,"OPEN_INT","."&amp;F$2&amp;F$1&amp;"C"&amp;$A26)),0)+IF($A$4&lt;$A26,($A$5-$A$4)*IF(RTD("tos.rtd",,"OPEN_INT","."&amp;F$2&amp;F$1&amp;"P"&amp;$A26)="N/A",0,RTD("tos.rtd",,"OPEN_INT","."&amp;F$2&amp;F$1&amp;"P"&amp;$A26)),0),IF($X$1="ABS",IF(RTD("tos.rtd",,$A$2,"."&amp;F$2&amp;F$1&amp;"C"&amp;$A26)="N/A",0,RTD("tos.rtd",,$A$2,"."&amp;F$2&amp;F$1&amp;"C"&amp;$A26))+IF(RTD("tos.rtd",,$A$2,"."&amp;F$2&amp;F$1&amp;"P"&amp;$A26)="N/A",0,RTD("tos.rtd",,$A$2,"."&amp;F$2&amp;F$1&amp;"P"&amp;$A26)),IF(RTD("tos.rtd",,$A$2,"."&amp;F$2&amp;F$1&amp;"C"&amp;$A26)="N/A",0,RTD("tos.rtd",,$A$2,"."&amp;F$2&amp;F$1&amp;"C"&amp;$A26))-IF(RTD("tos.rtd",,$A$2,"."&amp;F$2&amp;F$1&amp;"P"&amp;$A26)="N/A",0,RTD("tos.rtd",,$A$2,"."&amp;F$2&amp;F$1&amp;"P"&amp;$A26))))))))))</f>
        <v>0</v>
      </c>
      <c r="G26" s="54">
        <f ca="1">IF($A$2="PREMIUM_OI",IFERROR(IF($X$1="ABS",(100*RTD("tos.rtd",,"OPEN_INT","."&amp;G$2&amp;G$1&amp;"C"&amp;$A26)*RTD("tos.rtd",,"LAST","."&amp;G$2&amp;G$1&amp;"C"&amp;$A26)+100*RTD("tos.rtd",,"OPEN_INT","."&amp;G$2&amp;G$1&amp;"P"&amp;$A26)*RTD("tos.rtd",,"LAST","."&amp;G$2&amp;G$1&amp;"P"&amp;$A26))/1000000,(100*RTD("tos.rtd",,"OPEN_INT","."&amp;G$2&amp;G$1&amp;"C"&amp;$A26)*RTD("tos.rtd",,"LAST","."&amp;G$2&amp;G$1&amp;"C"&amp;$A26)-100*RTD("tos.rtd",,"OPEN_INT","."&amp;G$2&amp;G$1&amp;"P"&amp;$A26)*RTD("tos.rtd",,"LAST","."&amp;G$2&amp;G$1&amp;"P"&amp;$A26))/1000000),0),IF($A$2="PREMIUM",IFERROR(IF($X$1="ABS",(100*RTD("tos.rtd",,"VOLUME","."&amp;G$2&amp;G$1&amp;"C"&amp;$A26)*RTD("tos.rtd",,"LAST","."&amp;G$2&amp;G$1&amp;"C"&amp;$A26)+100*RTD("tos.rtd",,"VOLUME","."&amp;G$2&amp;G$1&amp;"P"&amp;$A26)*RTD("tos.rtd",,"LAST","."&amp;G$2&amp;G$1&amp;"P"&amp;$A26))/1000000,(100*RTD("tos.rtd",,"VOLUME","."&amp;G$2&amp;G$1&amp;"C"&amp;$A26)*RTD("tos.rtd",,"LAST","."&amp;G$2&amp;G$1&amp;"C"&amp;$A26)-100*RTD("tos.rtd",,"VOLUME","."&amp;G$2&amp;G$1&amp;"P"&amp;$A26)*RTD("tos.rtd",,"LAST","."&amp;G$2&amp;G$1&amp;"P"&amp;$A26))/1000000),0),IF($A$2="DEX",IFERROR(IF($X$1="ABS",(100*RTD("tos.rtd",,"OPEN_INT","."&amp;G$2&amp;G$1&amp;"C"&amp;$A26)*RTD("tos.rtd",,"DELTA","."&amp;G$2&amp;G$1&amp;"C"&amp;$A26)+100*RTD("tos.rtd",,"OPEN_INT","."&amp;G$2&amp;G$1&amp;"P"&amp;$A26)*RTD("tos.rtd",,"DELTA","."&amp;G$2&amp;G$1&amp;"P"&amp;$A26))/1000,(100*RTD("tos.rtd",,"OPEN_INT","."&amp;G$2&amp;G$1&amp;"C"&amp;$A26)*RTD("tos.rtd",,"DELTA","."&amp;G$2&amp;G$1&amp;"C"&amp;$A26)-100*RTD("tos.rtd",,"OPEN_INT","."&amp;G$2&amp;G$1&amp;"P"&amp;$A26)*RTD("tos.rtd",,"DELTA","."&amp;G$2&amp;G$1&amp;"P"&amp;$A26))/1000),0),IF($A$2="VEX",IFERROR(IF($X$1="ABS",($A$4*$A$4*RTD("tos.rtd",,"VOLUME","."&amp;G$2&amp;G$1&amp;"C"&amp;$A26)*RTD("tos.rtd",,"GAMMA","."&amp;G$2&amp;G$1&amp;"C"&amp;$A26)+$A$4*$A$4*RTD("tos.rtd",,"VOLUME","."&amp;G$2&amp;G$1&amp;"P"&amp;$A26)*RTD("tos.rtd",,"GAMMA","."&amp;G$2&amp;G$1&amp;"P"&amp;$A26))/1000000,($A$4*$A$4*RTD("tos.rtd",,"VOLUME","."&amp;G$2&amp;G$1&amp;"C"&amp;$A26)*RTD("tos.rtd",,"GAMMA","."&amp;G$2&amp;G$1&amp;"C"&amp;$A26)-$A$4*$A$4*RTD("tos.rtd",,"VOLUME","."&amp;G$2&amp;G$1&amp;"P"&amp;$A26)*RTD("tos.rtd",,"GAMMA","."&amp;G$2&amp;G$1&amp;"P"&amp;$A26))/1000000),0),IF($A$2="GEX",IFERROR(IF($X$1="ABS",($A$4*$A$4*RTD("tos.rtd",,"OPEN_INT","."&amp;G$2&amp;G$1&amp;"C"&amp;$A26)*RTD("tos.rtd",,"GAMMA","."&amp;G$2&amp;G$1&amp;"C"&amp;$A26)+$A$4*$A$4*RTD("tos.rtd",,"OPEN_INT","."&amp;G$2&amp;G$1&amp;"P"&amp;$A26)*RTD("tos.rtd",,"GAMMA","."&amp;G$2&amp;G$1&amp;"P"&amp;$A26))/1000000,($A$4*$A$4*RTD("tos.rtd",,"OPEN_INT","."&amp;G$2&amp;G$1&amp;"C"&amp;$A26)*RTD("tos.rtd",,"GAMMA","."&amp;G$2&amp;G$1&amp;"C"&amp;$A26)-$A$4*$A$4*RTD("tos.rtd",,"OPEN_INT","."&amp;G$2&amp;G$1&amp;"P"&amp;$A26)*RTD("tos.rtd",,"GAMMA","."&amp;G$2&amp;G$1&amp;"P"&amp;$A26))/1000000),0),IF($A$2="SKEW",IFERROR(VALUE(IF(RTD("tos.rtd",,"IMPL_VOL","."&amp;G$2&amp;G$1&amp;"P"&amp;$A26)="N/A",0,RTD("tos.rtd",,"IMPL_VOL","."&amp;G$2&amp;G$1&amp;"P"&amp;$A26))),0)-IFERROR(VALUE(IF(RTD("tos.rtd",,"IMPL_VOL","."&amp;G$2&amp;G$1&amp;"C"&amp;$A26)="N/A",0,RTD("tos.rtd",,"IMPL_VOL","."&amp;G$2&amp;G$1&amp;"C"&amp;$A26))),0),IF($A$2="MAXPAIN",IF($A$4&gt;$A26,($A$4-$A26)*IF(RTD("tos.rtd",,"OPEN_INT","."&amp;G$2&amp;G$1&amp;"C"&amp;$A26)="N/A",0,RTD("tos.rtd",,"OPEN_INT","."&amp;G$2&amp;G$1&amp;"C"&amp;$A26)),0)+IF($A$4&lt;$A26,($A$5-$A$4)*IF(RTD("tos.rtd",,"OPEN_INT","."&amp;G$2&amp;G$1&amp;"P"&amp;$A26)="N/A",0,RTD("tos.rtd",,"OPEN_INT","."&amp;G$2&amp;G$1&amp;"P"&amp;$A26)),0),IF($X$1="ABS",IF(RTD("tos.rtd",,$A$2,"."&amp;G$2&amp;G$1&amp;"C"&amp;$A26)="N/A",0,RTD("tos.rtd",,$A$2,"."&amp;G$2&amp;G$1&amp;"C"&amp;$A26))+IF(RTD("tos.rtd",,$A$2,"."&amp;G$2&amp;G$1&amp;"P"&amp;$A26)="N/A",0,RTD("tos.rtd",,$A$2,"."&amp;G$2&amp;G$1&amp;"P"&amp;$A26)),IF(RTD("tos.rtd",,$A$2,"."&amp;G$2&amp;G$1&amp;"C"&amp;$A26)="N/A",0,RTD("tos.rtd",,$A$2,"."&amp;G$2&amp;G$1&amp;"C"&amp;$A26))-IF(RTD("tos.rtd",,$A$2,"."&amp;G$2&amp;G$1&amp;"P"&amp;$A26)="N/A",0,RTD("tos.rtd",,$A$2,"."&amp;G$2&amp;G$1&amp;"P"&amp;$A26))))))))))</f>
        <v>0</v>
      </c>
      <c r="H26" s="14">
        <f ca="1">IF($A$2="PREMIUM_OI",IFERROR(IF($X$1="ABS",(100*RTD("tos.rtd",,"OPEN_INT","."&amp;H$2&amp;H$1&amp;"C"&amp;$A26)*RTD("tos.rtd",,"LAST","."&amp;H$2&amp;H$1&amp;"C"&amp;$A26)+100*RTD("tos.rtd",,"OPEN_INT","."&amp;H$2&amp;H$1&amp;"P"&amp;$A26)*RTD("tos.rtd",,"LAST","."&amp;H$2&amp;H$1&amp;"P"&amp;$A26))/1000000,(100*RTD("tos.rtd",,"OPEN_INT","."&amp;H$2&amp;H$1&amp;"C"&amp;$A26)*RTD("tos.rtd",,"LAST","."&amp;H$2&amp;H$1&amp;"C"&amp;$A26)-100*RTD("tos.rtd",,"OPEN_INT","."&amp;H$2&amp;H$1&amp;"P"&amp;$A26)*RTD("tos.rtd",,"LAST","."&amp;H$2&amp;H$1&amp;"P"&amp;$A26))/1000000),0),IF($A$2="PREMIUM",IFERROR(IF($X$1="ABS",(100*RTD("tos.rtd",,"VOLUME","."&amp;H$2&amp;H$1&amp;"C"&amp;$A26)*RTD("tos.rtd",,"LAST","."&amp;H$2&amp;H$1&amp;"C"&amp;$A26)+100*RTD("tos.rtd",,"VOLUME","."&amp;H$2&amp;H$1&amp;"P"&amp;$A26)*RTD("tos.rtd",,"LAST","."&amp;H$2&amp;H$1&amp;"P"&amp;$A26))/1000000,(100*RTD("tos.rtd",,"VOLUME","."&amp;H$2&amp;H$1&amp;"C"&amp;$A26)*RTD("tos.rtd",,"LAST","."&amp;H$2&amp;H$1&amp;"C"&amp;$A26)-100*RTD("tos.rtd",,"VOLUME","."&amp;H$2&amp;H$1&amp;"P"&amp;$A26)*RTD("tos.rtd",,"LAST","."&amp;H$2&amp;H$1&amp;"P"&amp;$A26))/1000000),0),IF($A$2="DEX",IFERROR(IF($X$1="ABS",(100*RTD("tos.rtd",,"OPEN_INT","."&amp;H$2&amp;H$1&amp;"C"&amp;$A26)*RTD("tos.rtd",,"DELTA","."&amp;H$2&amp;H$1&amp;"C"&amp;$A26)+100*RTD("tos.rtd",,"OPEN_INT","."&amp;H$2&amp;H$1&amp;"P"&amp;$A26)*RTD("tos.rtd",,"DELTA","."&amp;H$2&amp;H$1&amp;"P"&amp;$A26))/1000,(100*RTD("tos.rtd",,"OPEN_INT","."&amp;H$2&amp;H$1&amp;"C"&amp;$A26)*RTD("tos.rtd",,"DELTA","."&amp;H$2&amp;H$1&amp;"C"&amp;$A26)-100*RTD("tos.rtd",,"OPEN_INT","."&amp;H$2&amp;H$1&amp;"P"&amp;$A26)*RTD("tos.rtd",,"DELTA","."&amp;H$2&amp;H$1&amp;"P"&amp;$A26))/1000),0),IF($A$2="VEX",IFERROR(IF($X$1="ABS",($A$4*$A$4*RTD("tos.rtd",,"VOLUME","."&amp;H$2&amp;H$1&amp;"C"&amp;$A26)*RTD("tos.rtd",,"GAMMA","."&amp;H$2&amp;H$1&amp;"C"&amp;$A26)+$A$4*$A$4*RTD("tos.rtd",,"VOLUME","."&amp;H$2&amp;H$1&amp;"P"&amp;$A26)*RTD("tos.rtd",,"GAMMA","."&amp;H$2&amp;H$1&amp;"P"&amp;$A26))/1000000,($A$4*$A$4*RTD("tos.rtd",,"VOLUME","."&amp;H$2&amp;H$1&amp;"C"&amp;$A26)*RTD("tos.rtd",,"GAMMA","."&amp;H$2&amp;H$1&amp;"C"&amp;$A26)-$A$4*$A$4*RTD("tos.rtd",,"VOLUME","."&amp;H$2&amp;H$1&amp;"P"&amp;$A26)*RTD("tos.rtd",,"GAMMA","."&amp;H$2&amp;H$1&amp;"P"&amp;$A26))/1000000),0),IF($A$2="GEX",IFERROR(IF($X$1="ABS",($A$4*$A$4*RTD("tos.rtd",,"OPEN_INT","."&amp;H$2&amp;H$1&amp;"C"&amp;$A26)*RTD("tos.rtd",,"GAMMA","."&amp;H$2&amp;H$1&amp;"C"&amp;$A26)+$A$4*$A$4*RTD("tos.rtd",,"OPEN_INT","."&amp;H$2&amp;H$1&amp;"P"&amp;$A26)*RTD("tos.rtd",,"GAMMA","."&amp;H$2&amp;H$1&amp;"P"&amp;$A26))/1000000,($A$4*$A$4*RTD("tos.rtd",,"OPEN_INT","."&amp;H$2&amp;H$1&amp;"C"&amp;$A26)*RTD("tos.rtd",,"GAMMA","."&amp;H$2&amp;H$1&amp;"C"&amp;$A26)-$A$4*$A$4*RTD("tos.rtd",,"OPEN_INT","."&amp;H$2&amp;H$1&amp;"P"&amp;$A26)*RTD("tos.rtd",,"GAMMA","."&amp;H$2&amp;H$1&amp;"P"&amp;$A26))/1000000),0),IF($A$2="SKEW",IFERROR(VALUE(IF(RTD("tos.rtd",,"IMPL_VOL","."&amp;H$2&amp;H$1&amp;"P"&amp;$A26)="N/A",0,RTD("tos.rtd",,"IMPL_VOL","."&amp;H$2&amp;H$1&amp;"P"&amp;$A26))),0)-IFERROR(VALUE(IF(RTD("tos.rtd",,"IMPL_VOL","."&amp;H$2&amp;H$1&amp;"C"&amp;$A26)="N/A",0,RTD("tos.rtd",,"IMPL_VOL","."&amp;H$2&amp;H$1&amp;"C"&amp;$A26))),0),IF($A$2="MAXPAIN",IF($A$4&gt;$A26,($A$4-$A26)*IF(RTD("tos.rtd",,"OPEN_INT","."&amp;H$2&amp;H$1&amp;"C"&amp;$A26)="N/A",0,RTD("tos.rtd",,"OPEN_INT","."&amp;H$2&amp;H$1&amp;"C"&amp;$A26)),0)+IF($A$4&lt;$A26,($A$5-$A$4)*IF(RTD("tos.rtd",,"OPEN_INT","."&amp;H$2&amp;H$1&amp;"P"&amp;$A26)="N/A",0,RTD("tos.rtd",,"OPEN_INT","."&amp;H$2&amp;H$1&amp;"P"&amp;$A26)),0),IF($X$1="ABS",IF(RTD("tos.rtd",,$A$2,"."&amp;H$2&amp;H$1&amp;"C"&amp;$A26)="N/A",0,RTD("tos.rtd",,$A$2,"."&amp;H$2&amp;H$1&amp;"C"&amp;$A26))+IF(RTD("tos.rtd",,$A$2,"."&amp;H$2&amp;H$1&amp;"P"&amp;$A26)="N/A",0,RTD("tos.rtd",,$A$2,"."&amp;H$2&amp;H$1&amp;"P"&amp;$A26)),IF(RTD("tos.rtd",,$A$2,"."&amp;H$2&amp;H$1&amp;"C"&amp;$A26)="N/A",0,RTD("tos.rtd",,$A$2,"."&amp;H$2&amp;H$1&amp;"C"&amp;$A26))-IF(RTD("tos.rtd",,$A$2,"."&amp;H$2&amp;H$1&amp;"P"&amp;$A26)="N/A",0,RTD("tos.rtd",,$A$2,"."&amp;H$2&amp;H$1&amp;"P"&amp;$A26))))))))))</f>
        <v>0</v>
      </c>
      <c r="I26" s="12">
        <f ca="1">IF($A$2="PREMIUM_OI",IFERROR(IF($X$1="ABS",(100*RTD("tos.rtd",,"OPEN_INT","."&amp;I$2&amp;I$1&amp;"C"&amp;$A26)*RTD("tos.rtd",,"LAST","."&amp;I$2&amp;I$1&amp;"C"&amp;$A26)+100*RTD("tos.rtd",,"OPEN_INT","."&amp;I$2&amp;I$1&amp;"P"&amp;$A26)*RTD("tos.rtd",,"LAST","."&amp;I$2&amp;I$1&amp;"P"&amp;$A26))/1000000,(100*RTD("tos.rtd",,"OPEN_INT","."&amp;I$2&amp;I$1&amp;"C"&amp;$A26)*RTD("tos.rtd",,"LAST","."&amp;I$2&amp;I$1&amp;"C"&amp;$A26)-100*RTD("tos.rtd",,"OPEN_INT","."&amp;I$2&amp;I$1&amp;"P"&amp;$A26)*RTD("tos.rtd",,"LAST","."&amp;I$2&amp;I$1&amp;"P"&amp;$A26))/1000000),0),IF($A$2="PREMIUM",IFERROR(IF($X$1="ABS",(100*RTD("tos.rtd",,"VOLUME","."&amp;I$2&amp;I$1&amp;"C"&amp;$A26)*RTD("tos.rtd",,"LAST","."&amp;I$2&amp;I$1&amp;"C"&amp;$A26)+100*RTD("tos.rtd",,"VOLUME","."&amp;I$2&amp;I$1&amp;"P"&amp;$A26)*RTD("tos.rtd",,"LAST","."&amp;I$2&amp;I$1&amp;"P"&amp;$A26))/1000000,(100*RTD("tos.rtd",,"VOLUME","."&amp;I$2&amp;I$1&amp;"C"&amp;$A26)*RTD("tos.rtd",,"LAST","."&amp;I$2&amp;I$1&amp;"C"&amp;$A26)-100*RTD("tos.rtd",,"VOLUME","."&amp;I$2&amp;I$1&amp;"P"&amp;$A26)*RTD("tos.rtd",,"LAST","."&amp;I$2&amp;I$1&amp;"P"&amp;$A26))/1000000),0),IF($A$2="DEX",IFERROR(IF($X$1="ABS",(100*RTD("tos.rtd",,"OPEN_INT","."&amp;I$2&amp;I$1&amp;"C"&amp;$A26)*RTD("tos.rtd",,"DELTA","."&amp;I$2&amp;I$1&amp;"C"&amp;$A26)+100*RTD("tos.rtd",,"OPEN_INT","."&amp;I$2&amp;I$1&amp;"P"&amp;$A26)*RTD("tos.rtd",,"DELTA","."&amp;I$2&amp;I$1&amp;"P"&amp;$A26))/1000,(100*RTD("tos.rtd",,"OPEN_INT","."&amp;I$2&amp;I$1&amp;"C"&amp;$A26)*RTD("tos.rtd",,"DELTA","."&amp;I$2&amp;I$1&amp;"C"&amp;$A26)-100*RTD("tos.rtd",,"OPEN_INT","."&amp;I$2&amp;I$1&amp;"P"&amp;$A26)*RTD("tos.rtd",,"DELTA","."&amp;I$2&amp;I$1&amp;"P"&amp;$A26))/1000),0),IF($A$2="VEX",IFERROR(IF($X$1="ABS",($A$4*$A$4*RTD("tos.rtd",,"VOLUME","."&amp;I$2&amp;I$1&amp;"C"&amp;$A26)*RTD("tos.rtd",,"GAMMA","."&amp;I$2&amp;I$1&amp;"C"&amp;$A26)+$A$4*$A$4*RTD("tos.rtd",,"VOLUME","."&amp;I$2&amp;I$1&amp;"P"&amp;$A26)*RTD("tos.rtd",,"GAMMA","."&amp;I$2&amp;I$1&amp;"P"&amp;$A26))/1000000,($A$4*$A$4*RTD("tos.rtd",,"VOLUME","."&amp;I$2&amp;I$1&amp;"C"&amp;$A26)*RTD("tos.rtd",,"GAMMA","."&amp;I$2&amp;I$1&amp;"C"&amp;$A26)-$A$4*$A$4*RTD("tos.rtd",,"VOLUME","."&amp;I$2&amp;I$1&amp;"P"&amp;$A26)*RTD("tos.rtd",,"GAMMA","."&amp;I$2&amp;I$1&amp;"P"&amp;$A26))/1000000),0),IF($A$2="GEX",IFERROR(IF($X$1="ABS",($A$4*$A$4*RTD("tos.rtd",,"OPEN_INT","."&amp;I$2&amp;I$1&amp;"C"&amp;$A26)*RTD("tos.rtd",,"GAMMA","."&amp;I$2&amp;I$1&amp;"C"&amp;$A26)+$A$4*$A$4*RTD("tos.rtd",,"OPEN_INT","."&amp;I$2&amp;I$1&amp;"P"&amp;$A26)*RTD("tos.rtd",,"GAMMA","."&amp;I$2&amp;I$1&amp;"P"&amp;$A26))/1000000,($A$4*$A$4*RTD("tos.rtd",,"OPEN_INT","."&amp;I$2&amp;I$1&amp;"C"&amp;$A26)*RTD("tos.rtd",,"GAMMA","."&amp;I$2&amp;I$1&amp;"C"&amp;$A26)-$A$4*$A$4*RTD("tos.rtd",,"OPEN_INT","."&amp;I$2&amp;I$1&amp;"P"&amp;$A26)*RTD("tos.rtd",,"GAMMA","."&amp;I$2&amp;I$1&amp;"P"&amp;$A26))/1000000),0),IF($A$2="SKEW",IFERROR(VALUE(IF(RTD("tos.rtd",,"IMPL_VOL","."&amp;I$2&amp;I$1&amp;"P"&amp;$A26)="N/A",0,RTD("tos.rtd",,"IMPL_VOL","."&amp;I$2&amp;I$1&amp;"P"&amp;$A26))),0)-IFERROR(VALUE(IF(RTD("tos.rtd",,"IMPL_VOL","."&amp;I$2&amp;I$1&amp;"C"&amp;$A26)="N/A",0,RTD("tos.rtd",,"IMPL_VOL","."&amp;I$2&amp;I$1&amp;"C"&amp;$A26))),0),IF($A$2="MAXPAIN",IF($A$4&gt;$A26,($A$4-$A26)*IF(RTD("tos.rtd",,"OPEN_INT","."&amp;I$2&amp;I$1&amp;"C"&amp;$A26)="N/A",0,RTD("tos.rtd",,"OPEN_INT","."&amp;I$2&amp;I$1&amp;"C"&amp;$A26)),0)+IF($A$4&lt;$A26,($A$5-$A$4)*IF(RTD("tos.rtd",,"OPEN_INT","."&amp;I$2&amp;I$1&amp;"P"&amp;$A26)="N/A",0,RTD("tos.rtd",,"OPEN_INT","."&amp;I$2&amp;I$1&amp;"P"&amp;$A26)),0),IF($X$1="ABS",IF(RTD("tos.rtd",,$A$2,"."&amp;I$2&amp;I$1&amp;"C"&amp;$A26)="N/A",0,RTD("tos.rtd",,$A$2,"."&amp;I$2&amp;I$1&amp;"C"&amp;$A26))+IF(RTD("tos.rtd",,$A$2,"."&amp;I$2&amp;I$1&amp;"P"&amp;$A26)="N/A",0,RTD("tos.rtd",,$A$2,"."&amp;I$2&amp;I$1&amp;"P"&amp;$A26)),IF(RTD("tos.rtd",,$A$2,"."&amp;I$2&amp;I$1&amp;"C"&amp;$A26)="N/A",0,RTD("tos.rtd",,$A$2,"."&amp;I$2&amp;I$1&amp;"C"&amp;$A26))-IF(RTD("tos.rtd",,$A$2,"."&amp;I$2&amp;I$1&amp;"P"&amp;$A26)="N/A",0,RTD("tos.rtd",,$A$2,"."&amp;I$2&amp;I$1&amp;"P"&amp;$A26))))))))))</f>
        <v>0</v>
      </c>
      <c r="J26" s="12">
        <f ca="1">IF($A$2="PREMIUM_OI",IFERROR(IF($X$1="ABS",(100*RTD("tos.rtd",,"OPEN_INT","."&amp;J$2&amp;J$1&amp;"C"&amp;$A26)*RTD("tos.rtd",,"LAST","."&amp;J$2&amp;J$1&amp;"C"&amp;$A26)+100*RTD("tos.rtd",,"OPEN_INT","."&amp;J$2&amp;J$1&amp;"P"&amp;$A26)*RTD("tos.rtd",,"LAST","."&amp;J$2&amp;J$1&amp;"P"&amp;$A26))/1000000,(100*RTD("tos.rtd",,"OPEN_INT","."&amp;J$2&amp;J$1&amp;"C"&amp;$A26)*RTD("tos.rtd",,"LAST","."&amp;J$2&amp;J$1&amp;"C"&amp;$A26)-100*RTD("tos.rtd",,"OPEN_INT","."&amp;J$2&amp;J$1&amp;"P"&amp;$A26)*RTD("tos.rtd",,"LAST","."&amp;J$2&amp;J$1&amp;"P"&amp;$A26))/1000000),0),IF($A$2="PREMIUM",IFERROR(IF($X$1="ABS",(100*RTD("tos.rtd",,"VOLUME","."&amp;J$2&amp;J$1&amp;"C"&amp;$A26)*RTD("tos.rtd",,"LAST","."&amp;J$2&amp;J$1&amp;"C"&amp;$A26)+100*RTD("tos.rtd",,"VOLUME","."&amp;J$2&amp;J$1&amp;"P"&amp;$A26)*RTD("tos.rtd",,"LAST","."&amp;J$2&amp;J$1&amp;"P"&amp;$A26))/1000000,(100*RTD("tos.rtd",,"VOLUME","."&amp;J$2&amp;J$1&amp;"C"&amp;$A26)*RTD("tos.rtd",,"LAST","."&amp;J$2&amp;J$1&amp;"C"&amp;$A26)-100*RTD("tos.rtd",,"VOLUME","."&amp;J$2&amp;J$1&amp;"P"&amp;$A26)*RTD("tos.rtd",,"LAST","."&amp;J$2&amp;J$1&amp;"P"&amp;$A26))/1000000),0),IF($A$2="DEX",IFERROR(IF($X$1="ABS",(100*RTD("tos.rtd",,"OPEN_INT","."&amp;J$2&amp;J$1&amp;"C"&amp;$A26)*RTD("tos.rtd",,"DELTA","."&amp;J$2&amp;J$1&amp;"C"&amp;$A26)+100*RTD("tos.rtd",,"OPEN_INT","."&amp;J$2&amp;J$1&amp;"P"&amp;$A26)*RTD("tos.rtd",,"DELTA","."&amp;J$2&amp;J$1&amp;"P"&amp;$A26))/1000,(100*RTD("tos.rtd",,"OPEN_INT","."&amp;J$2&amp;J$1&amp;"C"&amp;$A26)*RTD("tos.rtd",,"DELTA","."&amp;J$2&amp;J$1&amp;"C"&amp;$A26)-100*RTD("tos.rtd",,"OPEN_INT","."&amp;J$2&amp;J$1&amp;"P"&amp;$A26)*RTD("tos.rtd",,"DELTA","."&amp;J$2&amp;J$1&amp;"P"&amp;$A26))/1000),0),IF($A$2="VEX",IFERROR(IF($X$1="ABS",($A$4*$A$4*RTD("tos.rtd",,"VOLUME","."&amp;J$2&amp;J$1&amp;"C"&amp;$A26)*RTD("tos.rtd",,"GAMMA","."&amp;J$2&amp;J$1&amp;"C"&amp;$A26)+$A$4*$A$4*RTD("tos.rtd",,"VOLUME","."&amp;J$2&amp;J$1&amp;"P"&amp;$A26)*RTD("tos.rtd",,"GAMMA","."&amp;J$2&amp;J$1&amp;"P"&amp;$A26))/1000000,($A$4*$A$4*RTD("tos.rtd",,"VOLUME","."&amp;J$2&amp;J$1&amp;"C"&amp;$A26)*RTD("tos.rtd",,"GAMMA","."&amp;J$2&amp;J$1&amp;"C"&amp;$A26)-$A$4*$A$4*RTD("tos.rtd",,"VOLUME","."&amp;J$2&amp;J$1&amp;"P"&amp;$A26)*RTD("tos.rtd",,"GAMMA","."&amp;J$2&amp;J$1&amp;"P"&amp;$A26))/1000000),0),IF($A$2="GEX",IFERROR(IF($X$1="ABS",($A$4*$A$4*RTD("tos.rtd",,"OPEN_INT","."&amp;J$2&amp;J$1&amp;"C"&amp;$A26)*RTD("tos.rtd",,"GAMMA","."&amp;J$2&amp;J$1&amp;"C"&amp;$A26)+$A$4*$A$4*RTD("tos.rtd",,"OPEN_INT","."&amp;J$2&amp;J$1&amp;"P"&amp;$A26)*RTD("tos.rtd",,"GAMMA","."&amp;J$2&amp;J$1&amp;"P"&amp;$A26))/1000000,($A$4*$A$4*RTD("tos.rtd",,"OPEN_INT","."&amp;J$2&amp;J$1&amp;"C"&amp;$A26)*RTD("tos.rtd",,"GAMMA","."&amp;J$2&amp;J$1&amp;"C"&amp;$A26)-$A$4*$A$4*RTD("tos.rtd",,"OPEN_INT","."&amp;J$2&amp;J$1&amp;"P"&amp;$A26)*RTD("tos.rtd",,"GAMMA","."&amp;J$2&amp;J$1&amp;"P"&amp;$A26))/1000000),0),IF($A$2="SKEW",IFERROR(VALUE(IF(RTD("tos.rtd",,"IMPL_VOL","."&amp;J$2&amp;J$1&amp;"P"&amp;$A26)="N/A",0,RTD("tos.rtd",,"IMPL_VOL","."&amp;J$2&amp;J$1&amp;"P"&amp;$A26))),0)-IFERROR(VALUE(IF(RTD("tos.rtd",,"IMPL_VOL","."&amp;J$2&amp;J$1&amp;"C"&amp;$A26)="N/A",0,RTD("tos.rtd",,"IMPL_VOL","."&amp;J$2&amp;J$1&amp;"C"&amp;$A26))),0),IF($A$2="MAXPAIN",IF($A$4&gt;$A26,($A$4-$A26)*IF(RTD("tos.rtd",,"OPEN_INT","."&amp;J$2&amp;J$1&amp;"C"&amp;$A26)="N/A",0,RTD("tos.rtd",,"OPEN_INT","."&amp;J$2&amp;J$1&amp;"C"&amp;$A26)),0)+IF($A$4&lt;$A26,($A$5-$A$4)*IF(RTD("tos.rtd",,"OPEN_INT","."&amp;J$2&amp;J$1&amp;"P"&amp;$A26)="N/A",0,RTD("tos.rtd",,"OPEN_INT","."&amp;J$2&amp;J$1&amp;"P"&amp;$A26)),0),IF($X$1="ABS",IF(RTD("tos.rtd",,$A$2,"."&amp;J$2&amp;J$1&amp;"C"&amp;$A26)="N/A",0,RTD("tos.rtd",,$A$2,"."&amp;J$2&amp;J$1&amp;"C"&amp;$A26))+IF(RTD("tos.rtd",,$A$2,"."&amp;J$2&amp;J$1&amp;"P"&amp;$A26)="N/A",0,RTD("tos.rtd",,$A$2,"."&amp;J$2&amp;J$1&amp;"P"&amp;$A26)),IF(RTD("tos.rtd",,$A$2,"."&amp;J$2&amp;J$1&amp;"C"&amp;$A26)="N/A",0,RTD("tos.rtd",,$A$2,"."&amp;J$2&amp;J$1&amp;"C"&amp;$A26))-IF(RTD("tos.rtd",,$A$2,"."&amp;J$2&amp;J$1&amp;"P"&amp;$A26)="N/A",0,RTD("tos.rtd",,$A$2,"."&amp;J$2&amp;J$1&amp;"P"&amp;$A26))))))))))</f>
        <v>0</v>
      </c>
      <c r="K26" s="12">
        <f ca="1">IF($A$2="PREMIUM_OI",IFERROR(IF($X$1="ABS",(100*RTD("tos.rtd",,"OPEN_INT","."&amp;K$2&amp;K$1&amp;"C"&amp;$A26)*RTD("tos.rtd",,"LAST","."&amp;K$2&amp;K$1&amp;"C"&amp;$A26)+100*RTD("tos.rtd",,"OPEN_INT","."&amp;K$2&amp;K$1&amp;"P"&amp;$A26)*RTD("tos.rtd",,"LAST","."&amp;K$2&amp;K$1&amp;"P"&amp;$A26))/1000000,(100*RTD("tos.rtd",,"OPEN_INT","."&amp;K$2&amp;K$1&amp;"C"&amp;$A26)*RTD("tos.rtd",,"LAST","."&amp;K$2&amp;K$1&amp;"C"&amp;$A26)-100*RTD("tos.rtd",,"OPEN_INT","."&amp;K$2&amp;K$1&amp;"P"&amp;$A26)*RTD("tos.rtd",,"LAST","."&amp;K$2&amp;K$1&amp;"P"&amp;$A26))/1000000),0),IF($A$2="PREMIUM",IFERROR(IF($X$1="ABS",(100*RTD("tos.rtd",,"VOLUME","."&amp;K$2&amp;K$1&amp;"C"&amp;$A26)*RTD("tos.rtd",,"LAST","."&amp;K$2&amp;K$1&amp;"C"&amp;$A26)+100*RTD("tos.rtd",,"VOLUME","."&amp;K$2&amp;K$1&amp;"P"&amp;$A26)*RTD("tos.rtd",,"LAST","."&amp;K$2&amp;K$1&amp;"P"&amp;$A26))/1000000,(100*RTD("tos.rtd",,"VOLUME","."&amp;K$2&amp;K$1&amp;"C"&amp;$A26)*RTD("tos.rtd",,"LAST","."&amp;K$2&amp;K$1&amp;"C"&amp;$A26)-100*RTD("tos.rtd",,"VOLUME","."&amp;K$2&amp;K$1&amp;"P"&amp;$A26)*RTD("tos.rtd",,"LAST","."&amp;K$2&amp;K$1&amp;"P"&amp;$A26))/1000000),0),IF($A$2="DEX",IFERROR(IF($X$1="ABS",(100*RTD("tos.rtd",,"OPEN_INT","."&amp;K$2&amp;K$1&amp;"C"&amp;$A26)*RTD("tos.rtd",,"DELTA","."&amp;K$2&amp;K$1&amp;"C"&amp;$A26)+100*RTD("tos.rtd",,"OPEN_INT","."&amp;K$2&amp;K$1&amp;"P"&amp;$A26)*RTD("tos.rtd",,"DELTA","."&amp;K$2&amp;K$1&amp;"P"&amp;$A26))/1000,(100*RTD("tos.rtd",,"OPEN_INT","."&amp;K$2&amp;K$1&amp;"C"&amp;$A26)*RTD("tos.rtd",,"DELTA","."&amp;K$2&amp;K$1&amp;"C"&amp;$A26)-100*RTD("tos.rtd",,"OPEN_INT","."&amp;K$2&amp;K$1&amp;"P"&amp;$A26)*RTD("tos.rtd",,"DELTA","."&amp;K$2&amp;K$1&amp;"P"&amp;$A26))/1000),0),IF($A$2="VEX",IFERROR(IF($X$1="ABS",($A$4*$A$4*RTD("tos.rtd",,"VOLUME","."&amp;K$2&amp;K$1&amp;"C"&amp;$A26)*RTD("tos.rtd",,"GAMMA","."&amp;K$2&amp;K$1&amp;"C"&amp;$A26)+$A$4*$A$4*RTD("tos.rtd",,"VOLUME","."&amp;K$2&amp;K$1&amp;"P"&amp;$A26)*RTD("tos.rtd",,"GAMMA","."&amp;K$2&amp;K$1&amp;"P"&amp;$A26))/1000000,($A$4*$A$4*RTD("tos.rtd",,"VOLUME","."&amp;K$2&amp;K$1&amp;"C"&amp;$A26)*RTD("tos.rtd",,"GAMMA","."&amp;K$2&amp;K$1&amp;"C"&amp;$A26)-$A$4*$A$4*RTD("tos.rtd",,"VOLUME","."&amp;K$2&amp;K$1&amp;"P"&amp;$A26)*RTD("tos.rtd",,"GAMMA","."&amp;K$2&amp;K$1&amp;"P"&amp;$A26))/1000000),0),IF($A$2="GEX",IFERROR(IF($X$1="ABS",($A$4*$A$4*RTD("tos.rtd",,"OPEN_INT","."&amp;K$2&amp;K$1&amp;"C"&amp;$A26)*RTD("tos.rtd",,"GAMMA","."&amp;K$2&amp;K$1&amp;"C"&amp;$A26)+$A$4*$A$4*RTD("tos.rtd",,"OPEN_INT","."&amp;K$2&amp;K$1&amp;"P"&amp;$A26)*RTD("tos.rtd",,"GAMMA","."&amp;K$2&amp;K$1&amp;"P"&amp;$A26))/1000000,($A$4*$A$4*RTD("tos.rtd",,"OPEN_INT","."&amp;K$2&amp;K$1&amp;"C"&amp;$A26)*RTD("tos.rtd",,"GAMMA","."&amp;K$2&amp;K$1&amp;"C"&amp;$A26)-$A$4*$A$4*RTD("tos.rtd",,"OPEN_INT","."&amp;K$2&amp;K$1&amp;"P"&amp;$A26)*RTD("tos.rtd",,"GAMMA","."&amp;K$2&amp;K$1&amp;"P"&amp;$A26))/1000000),0),IF($A$2="SKEW",IFERROR(VALUE(IF(RTD("tos.rtd",,"IMPL_VOL","."&amp;K$2&amp;K$1&amp;"P"&amp;$A26)="N/A",0,RTD("tos.rtd",,"IMPL_VOL","."&amp;K$2&amp;K$1&amp;"P"&amp;$A26))),0)-IFERROR(VALUE(IF(RTD("tos.rtd",,"IMPL_VOL","."&amp;K$2&amp;K$1&amp;"C"&amp;$A26)="N/A",0,RTD("tos.rtd",,"IMPL_VOL","."&amp;K$2&amp;K$1&amp;"C"&amp;$A26))),0),IF($A$2="MAXPAIN",IF($A$4&gt;$A26,($A$4-$A26)*IF(RTD("tos.rtd",,"OPEN_INT","."&amp;K$2&amp;K$1&amp;"C"&amp;$A26)="N/A",0,RTD("tos.rtd",,"OPEN_INT","."&amp;K$2&amp;K$1&amp;"C"&amp;$A26)),0)+IF($A$4&lt;$A26,($A$5-$A$4)*IF(RTD("tos.rtd",,"OPEN_INT","."&amp;K$2&amp;K$1&amp;"P"&amp;$A26)="N/A",0,RTD("tos.rtd",,"OPEN_INT","."&amp;K$2&amp;K$1&amp;"P"&amp;$A26)),0),IF($X$1="ABS",IF(RTD("tos.rtd",,$A$2,"."&amp;K$2&amp;K$1&amp;"C"&amp;$A26)="N/A",0,RTD("tos.rtd",,$A$2,"."&amp;K$2&amp;K$1&amp;"C"&amp;$A26))+IF(RTD("tos.rtd",,$A$2,"."&amp;K$2&amp;K$1&amp;"P"&amp;$A26)="N/A",0,RTD("tos.rtd",,$A$2,"."&amp;K$2&amp;K$1&amp;"P"&amp;$A26)),IF(RTD("tos.rtd",,$A$2,"."&amp;K$2&amp;K$1&amp;"C"&amp;$A26)="N/A",0,RTD("tos.rtd",,$A$2,"."&amp;K$2&amp;K$1&amp;"C"&amp;$A26))-IF(RTD("tos.rtd",,$A$2,"."&amp;K$2&amp;K$1&amp;"P"&amp;$A26)="N/A",0,RTD("tos.rtd",,$A$2,"."&amp;K$2&amp;K$1&amp;"P"&amp;$A26))))))))))</f>
        <v>0</v>
      </c>
      <c r="L26" s="54">
        <f ca="1">IF($A$2="PREMIUM_OI",IFERROR(IF($X$1="ABS",(100*RTD("tos.rtd",,"OPEN_INT","."&amp;L$2&amp;L$1&amp;"C"&amp;$A26)*RTD("tos.rtd",,"LAST","."&amp;L$2&amp;L$1&amp;"C"&amp;$A26)+100*RTD("tos.rtd",,"OPEN_INT","."&amp;L$2&amp;L$1&amp;"P"&amp;$A26)*RTD("tos.rtd",,"LAST","."&amp;L$2&amp;L$1&amp;"P"&amp;$A26))/1000000,(100*RTD("tos.rtd",,"OPEN_INT","."&amp;L$2&amp;L$1&amp;"C"&amp;$A26)*RTD("tos.rtd",,"LAST","."&amp;L$2&amp;L$1&amp;"C"&amp;$A26)-100*RTD("tos.rtd",,"OPEN_INT","."&amp;L$2&amp;L$1&amp;"P"&amp;$A26)*RTD("tos.rtd",,"LAST","."&amp;L$2&amp;L$1&amp;"P"&amp;$A26))/1000000),0),IF($A$2="PREMIUM",IFERROR(IF($X$1="ABS",(100*RTD("tos.rtd",,"VOLUME","."&amp;L$2&amp;L$1&amp;"C"&amp;$A26)*RTD("tos.rtd",,"LAST","."&amp;L$2&amp;L$1&amp;"C"&amp;$A26)+100*RTD("tos.rtd",,"VOLUME","."&amp;L$2&amp;L$1&amp;"P"&amp;$A26)*RTD("tos.rtd",,"LAST","."&amp;L$2&amp;L$1&amp;"P"&amp;$A26))/1000000,(100*RTD("tos.rtd",,"VOLUME","."&amp;L$2&amp;L$1&amp;"C"&amp;$A26)*RTD("tos.rtd",,"LAST","."&amp;L$2&amp;L$1&amp;"C"&amp;$A26)-100*RTD("tos.rtd",,"VOLUME","."&amp;L$2&amp;L$1&amp;"P"&amp;$A26)*RTD("tos.rtd",,"LAST","."&amp;L$2&amp;L$1&amp;"P"&amp;$A26))/1000000),0),IF($A$2="DEX",IFERROR(IF($X$1="ABS",(100*RTD("tos.rtd",,"OPEN_INT","."&amp;L$2&amp;L$1&amp;"C"&amp;$A26)*RTD("tos.rtd",,"DELTA","."&amp;L$2&amp;L$1&amp;"C"&amp;$A26)+100*RTD("tos.rtd",,"OPEN_INT","."&amp;L$2&amp;L$1&amp;"P"&amp;$A26)*RTD("tos.rtd",,"DELTA","."&amp;L$2&amp;L$1&amp;"P"&amp;$A26))/1000,(100*RTD("tos.rtd",,"OPEN_INT","."&amp;L$2&amp;L$1&amp;"C"&amp;$A26)*RTD("tos.rtd",,"DELTA","."&amp;L$2&amp;L$1&amp;"C"&amp;$A26)-100*RTD("tos.rtd",,"OPEN_INT","."&amp;L$2&amp;L$1&amp;"P"&amp;$A26)*RTD("tos.rtd",,"DELTA","."&amp;L$2&amp;L$1&amp;"P"&amp;$A26))/1000),0),IF($A$2="VEX",IFERROR(IF($X$1="ABS",($A$4*$A$4*RTD("tos.rtd",,"VOLUME","."&amp;L$2&amp;L$1&amp;"C"&amp;$A26)*RTD("tos.rtd",,"GAMMA","."&amp;L$2&amp;L$1&amp;"C"&amp;$A26)+$A$4*$A$4*RTD("tos.rtd",,"VOLUME","."&amp;L$2&amp;L$1&amp;"P"&amp;$A26)*RTD("tos.rtd",,"GAMMA","."&amp;L$2&amp;L$1&amp;"P"&amp;$A26))/1000000,($A$4*$A$4*RTD("tos.rtd",,"VOLUME","."&amp;L$2&amp;L$1&amp;"C"&amp;$A26)*RTD("tos.rtd",,"GAMMA","."&amp;L$2&amp;L$1&amp;"C"&amp;$A26)-$A$4*$A$4*RTD("tos.rtd",,"VOLUME","."&amp;L$2&amp;L$1&amp;"P"&amp;$A26)*RTD("tos.rtd",,"GAMMA","."&amp;L$2&amp;L$1&amp;"P"&amp;$A26))/1000000),0),IF($A$2="GEX",IFERROR(IF($X$1="ABS",($A$4*$A$4*RTD("tos.rtd",,"OPEN_INT","."&amp;L$2&amp;L$1&amp;"C"&amp;$A26)*RTD("tos.rtd",,"GAMMA","."&amp;L$2&amp;L$1&amp;"C"&amp;$A26)+$A$4*$A$4*RTD("tos.rtd",,"OPEN_INT","."&amp;L$2&amp;L$1&amp;"P"&amp;$A26)*RTD("tos.rtd",,"GAMMA","."&amp;L$2&amp;L$1&amp;"P"&amp;$A26))/1000000,($A$4*$A$4*RTD("tos.rtd",,"OPEN_INT","."&amp;L$2&amp;L$1&amp;"C"&amp;$A26)*RTD("tos.rtd",,"GAMMA","."&amp;L$2&amp;L$1&amp;"C"&amp;$A26)-$A$4*$A$4*RTD("tos.rtd",,"OPEN_INT","."&amp;L$2&amp;L$1&amp;"P"&amp;$A26)*RTD("tos.rtd",,"GAMMA","."&amp;L$2&amp;L$1&amp;"P"&amp;$A26))/1000000),0),IF($A$2="SKEW",IFERROR(VALUE(IF(RTD("tos.rtd",,"IMPL_VOL","."&amp;L$2&amp;L$1&amp;"P"&amp;$A26)="N/A",0,RTD("tos.rtd",,"IMPL_VOL","."&amp;L$2&amp;L$1&amp;"P"&amp;$A26))),0)-IFERROR(VALUE(IF(RTD("tos.rtd",,"IMPL_VOL","."&amp;L$2&amp;L$1&amp;"C"&amp;$A26)="N/A",0,RTD("tos.rtd",,"IMPL_VOL","."&amp;L$2&amp;L$1&amp;"C"&amp;$A26))),0),IF($A$2="MAXPAIN",IF($A$4&gt;$A26,($A$4-$A26)*IF(RTD("tos.rtd",,"OPEN_INT","."&amp;L$2&amp;L$1&amp;"C"&amp;$A26)="N/A",0,RTD("tos.rtd",,"OPEN_INT","."&amp;L$2&amp;L$1&amp;"C"&amp;$A26)),0)+IF($A$4&lt;$A26,($A$5-$A$4)*IF(RTD("tos.rtd",,"OPEN_INT","."&amp;L$2&amp;L$1&amp;"P"&amp;$A26)="N/A",0,RTD("tos.rtd",,"OPEN_INT","."&amp;L$2&amp;L$1&amp;"P"&amp;$A26)),0),IF($X$1="ABS",IF(RTD("tos.rtd",,$A$2,"."&amp;L$2&amp;L$1&amp;"C"&amp;$A26)="N/A",0,RTD("tos.rtd",,$A$2,"."&amp;L$2&amp;L$1&amp;"C"&amp;$A26))+IF(RTD("tos.rtd",,$A$2,"."&amp;L$2&amp;L$1&amp;"P"&amp;$A26)="N/A",0,RTD("tos.rtd",,$A$2,"."&amp;L$2&amp;L$1&amp;"P"&amp;$A26)),IF(RTD("tos.rtd",,$A$2,"."&amp;L$2&amp;L$1&amp;"C"&amp;$A26)="N/A",0,RTD("tos.rtd",,$A$2,"."&amp;L$2&amp;L$1&amp;"C"&amp;$A26))-IF(RTD("tos.rtd",,$A$2,"."&amp;L$2&amp;L$1&amp;"P"&amp;$A26)="N/A",0,RTD("tos.rtd",,$A$2,"."&amp;L$2&amp;L$1&amp;"P"&amp;$A26))))))))))</f>
        <v>0</v>
      </c>
      <c r="M26" s="12">
        <f ca="1">IF($A$2="PREMIUM_OI",IFERROR(IF($X$1="ABS",(100*RTD("tos.rtd",,"OPEN_INT","."&amp;M$2&amp;M$1&amp;"C"&amp;$A26)*RTD("tos.rtd",,"LAST","."&amp;M$2&amp;M$1&amp;"C"&amp;$A26)+100*RTD("tos.rtd",,"OPEN_INT","."&amp;M$2&amp;M$1&amp;"P"&amp;$A26)*RTD("tos.rtd",,"LAST","."&amp;M$2&amp;M$1&amp;"P"&amp;$A26))/1000000,(100*RTD("tos.rtd",,"OPEN_INT","."&amp;M$2&amp;M$1&amp;"C"&amp;$A26)*RTD("tos.rtd",,"LAST","."&amp;M$2&amp;M$1&amp;"C"&amp;$A26)-100*RTD("tos.rtd",,"OPEN_INT","."&amp;M$2&amp;M$1&amp;"P"&amp;$A26)*RTD("tos.rtd",,"LAST","."&amp;M$2&amp;M$1&amp;"P"&amp;$A26))/1000000),0),IF($A$2="PREMIUM",IFERROR(IF($X$1="ABS",(100*RTD("tos.rtd",,"VOLUME","."&amp;M$2&amp;M$1&amp;"C"&amp;$A26)*RTD("tos.rtd",,"LAST","."&amp;M$2&amp;M$1&amp;"C"&amp;$A26)+100*RTD("tos.rtd",,"VOLUME","."&amp;M$2&amp;M$1&amp;"P"&amp;$A26)*RTD("tos.rtd",,"LAST","."&amp;M$2&amp;M$1&amp;"P"&amp;$A26))/1000000,(100*RTD("tos.rtd",,"VOLUME","."&amp;M$2&amp;M$1&amp;"C"&amp;$A26)*RTD("tos.rtd",,"LAST","."&amp;M$2&amp;M$1&amp;"C"&amp;$A26)-100*RTD("tos.rtd",,"VOLUME","."&amp;M$2&amp;M$1&amp;"P"&amp;$A26)*RTD("tos.rtd",,"LAST","."&amp;M$2&amp;M$1&amp;"P"&amp;$A26))/1000000),0),IF($A$2="DEX",IFERROR(IF($X$1="ABS",(100*RTD("tos.rtd",,"OPEN_INT","."&amp;M$2&amp;M$1&amp;"C"&amp;$A26)*RTD("tos.rtd",,"DELTA","."&amp;M$2&amp;M$1&amp;"C"&amp;$A26)+100*RTD("tos.rtd",,"OPEN_INT","."&amp;M$2&amp;M$1&amp;"P"&amp;$A26)*RTD("tos.rtd",,"DELTA","."&amp;M$2&amp;M$1&amp;"P"&amp;$A26))/1000,(100*RTD("tos.rtd",,"OPEN_INT","."&amp;M$2&amp;M$1&amp;"C"&amp;$A26)*RTD("tos.rtd",,"DELTA","."&amp;M$2&amp;M$1&amp;"C"&amp;$A26)-100*RTD("tos.rtd",,"OPEN_INT","."&amp;M$2&amp;M$1&amp;"P"&amp;$A26)*RTD("tos.rtd",,"DELTA","."&amp;M$2&amp;M$1&amp;"P"&amp;$A26))/1000),0),IF($A$2="VEX",IFERROR(IF($X$1="ABS",($A$4*$A$4*RTD("tos.rtd",,"VOLUME","."&amp;M$2&amp;M$1&amp;"C"&amp;$A26)*RTD("tos.rtd",,"GAMMA","."&amp;M$2&amp;M$1&amp;"C"&amp;$A26)+$A$4*$A$4*RTD("tos.rtd",,"VOLUME","."&amp;M$2&amp;M$1&amp;"P"&amp;$A26)*RTD("tos.rtd",,"GAMMA","."&amp;M$2&amp;M$1&amp;"P"&amp;$A26))/1000000,($A$4*$A$4*RTD("tos.rtd",,"VOLUME","."&amp;M$2&amp;M$1&amp;"C"&amp;$A26)*RTD("tos.rtd",,"GAMMA","."&amp;M$2&amp;M$1&amp;"C"&amp;$A26)-$A$4*$A$4*RTD("tos.rtd",,"VOLUME","."&amp;M$2&amp;M$1&amp;"P"&amp;$A26)*RTD("tos.rtd",,"GAMMA","."&amp;M$2&amp;M$1&amp;"P"&amp;$A26))/1000000),0),IF($A$2="GEX",IFERROR(IF($X$1="ABS",($A$4*$A$4*RTD("tos.rtd",,"OPEN_INT","."&amp;M$2&amp;M$1&amp;"C"&amp;$A26)*RTD("tos.rtd",,"GAMMA","."&amp;M$2&amp;M$1&amp;"C"&amp;$A26)+$A$4*$A$4*RTD("tos.rtd",,"OPEN_INT","."&amp;M$2&amp;M$1&amp;"P"&amp;$A26)*RTD("tos.rtd",,"GAMMA","."&amp;M$2&amp;M$1&amp;"P"&amp;$A26))/1000000,($A$4*$A$4*RTD("tos.rtd",,"OPEN_INT","."&amp;M$2&amp;M$1&amp;"C"&amp;$A26)*RTD("tos.rtd",,"GAMMA","."&amp;M$2&amp;M$1&amp;"C"&amp;$A26)-$A$4*$A$4*RTD("tos.rtd",,"OPEN_INT","."&amp;M$2&amp;M$1&amp;"P"&amp;$A26)*RTD("tos.rtd",,"GAMMA","."&amp;M$2&amp;M$1&amp;"P"&amp;$A26))/1000000),0),IF($A$2="SKEW",IFERROR(VALUE(IF(RTD("tos.rtd",,"IMPL_VOL","."&amp;M$2&amp;M$1&amp;"P"&amp;$A26)="N/A",0,RTD("tos.rtd",,"IMPL_VOL","."&amp;M$2&amp;M$1&amp;"P"&amp;$A26))),0)-IFERROR(VALUE(IF(RTD("tos.rtd",,"IMPL_VOL","."&amp;M$2&amp;M$1&amp;"C"&amp;$A26)="N/A",0,RTD("tos.rtd",,"IMPL_VOL","."&amp;M$2&amp;M$1&amp;"C"&amp;$A26))),0),IF($A$2="MAXPAIN",IF($A$4&gt;$A26,($A$4-$A26)*IF(RTD("tos.rtd",,"OPEN_INT","."&amp;M$2&amp;M$1&amp;"C"&amp;$A26)="N/A",0,RTD("tos.rtd",,"OPEN_INT","."&amp;M$2&amp;M$1&amp;"C"&amp;$A26)),0)+IF($A$4&lt;$A26,($A$5-$A$4)*IF(RTD("tos.rtd",,"OPEN_INT","."&amp;M$2&amp;M$1&amp;"P"&amp;$A26)="N/A",0,RTD("tos.rtd",,"OPEN_INT","."&amp;M$2&amp;M$1&amp;"P"&amp;$A26)),0),IF($X$1="ABS",IF(RTD("tos.rtd",,$A$2,"."&amp;M$2&amp;M$1&amp;"C"&amp;$A26)="N/A",0,RTD("tos.rtd",,$A$2,"."&amp;M$2&amp;M$1&amp;"C"&amp;$A26))+IF(RTD("tos.rtd",,$A$2,"."&amp;M$2&amp;M$1&amp;"P"&amp;$A26)="N/A",0,RTD("tos.rtd",,$A$2,"."&amp;M$2&amp;M$1&amp;"P"&amp;$A26)),IF(RTD("tos.rtd",,$A$2,"."&amp;M$2&amp;M$1&amp;"C"&amp;$A26)="N/A",0,RTD("tos.rtd",,$A$2,"."&amp;M$2&amp;M$1&amp;"C"&amp;$A26))-IF(RTD("tos.rtd",,$A$2,"."&amp;M$2&amp;M$1&amp;"P"&amp;$A26)="N/A",0,RTD("tos.rtd",,$A$2,"."&amp;M$2&amp;M$1&amp;"P"&amp;$A26))))))))))</f>
        <v>0</v>
      </c>
      <c r="N26" s="12">
        <f ca="1">IF($A$2="PREMIUM_OI",IFERROR(IF($X$1="ABS",(100*RTD("tos.rtd",,"OPEN_INT","."&amp;N$2&amp;N$1&amp;"C"&amp;$A26)*RTD("tos.rtd",,"LAST","."&amp;N$2&amp;N$1&amp;"C"&amp;$A26)+100*RTD("tos.rtd",,"OPEN_INT","."&amp;N$2&amp;N$1&amp;"P"&amp;$A26)*RTD("tos.rtd",,"LAST","."&amp;N$2&amp;N$1&amp;"P"&amp;$A26))/1000000,(100*RTD("tos.rtd",,"OPEN_INT","."&amp;N$2&amp;N$1&amp;"C"&amp;$A26)*RTD("tos.rtd",,"LAST","."&amp;N$2&amp;N$1&amp;"C"&amp;$A26)-100*RTD("tos.rtd",,"OPEN_INT","."&amp;N$2&amp;N$1&amp;"P"&amp;$A26)*RTD("tos.rtd",,"LAST","."&amp;N$2&amp;N$1&amp;"P"&amp;$A26))/1000000),0),IF($A$2="PREMIUM",IFERROR(IF($X$1="ABS",(100*RTD("tos.rtd",,"VOLUME","."&amp;N$2&amp;N$1&amp;"C"&amp;$A26)*RTD("tos.rtd",,"LAST","."&amp;N$2&amp;N$1&amp;"C"&amp;$A26)+100*RTD("tos.rtd",,"VOLUME","."&amp;N$2&amp;N$1&amp;"P"&amp;$A26)*RTD("tos.rtd",,"LAST","."&amp;N$2&amp;N$1&amp;"P"&amp;$A26))/1000000,(100*RTD("tos.rtd",,"VOLUME","."&amp;N$2&amp;N$1&amp;"C"&amp;$A26)*RTD("tos.rtd",,"LAST","."&amp;N$2&amp;N$1&amp;"C"&amp;$A26)-100*RTD("tos.rtd",,"VOLUME","."&amp;N$2&amp;N$1&amp;"P"&amp;$A26)*RTD("tos.rtd",,"LAST","."&amp;N$2&amp;N$1&amp;"P"&amp;$A26))/1000000),0),IF($A$2="DEX",IFERROR(IF($X$1="ABS",(100*RTD("tos.rtd",,"OPEN_INT","."&amp;N$2&amp;N$1&amp;"C"&amp;$A26)*RTD("tos.rtd",,"DELTA","."&amp;N$2&amp;N$1&amp;"C"&amp;$A26)+100*RTD("tos.rtd",,"OPEN_INT","."&amp;N$2&amp;N$1&amp;"P"&amp;$A26)*RTD("tos.rtd",,"DELTA","."&amp;N$2&amp;N$1&amp;"P"&amp;$A26))/1000,(100*RTD("tos.rtd",,"OPEN_INT","."&amp;N$2&amp;N$1&amp;"C"&amp;$A26)*RTD("tos.rtd",,"DELTA","."&amp;N$2&amp;N$1&amp;"C"&amp;$A26)-100*RTD("tos.rtd",,"OPEN_INT","."&amp;N$2&amp;N$1&amp;"P"&amp;$A26)*RTD("tos.rtd",,"DELTA","."&amp;N$2&amp;N$1&amp;"P"&amp;$A26))/1000),0),IF($A$2="VEX",IFERROR(IF($X$1="ABS",($A$4*$A$4*RTD("tos.rtd",,"VOLUME","."&amp;N$2&amp;N$1&amp;"C"&amp;$A26)*RTD("tos.rtd",,"GAMMA","."&amp;N$2&amp;N$1&amp;"C"&amp;$A26)+$A$4*$A$4*RTD("tos.rtd",,"VOLUME","."&amp;N$2&amp;N$1&amp;"P"&amp;$A26)*RTD("tos.rtd",,"GAMMA","."&amp;N$2&amp;N$1&amp;"P"&amp;$A26))/1000000,($A$4*$A$4*RTD("tos.rtd",,"VOLUME","."&amp;N$2&amp;N$1&amp;"C"&amp;$A26)*RTD("tos.rtd",,"GAMMA","."&amp;N$2&amp;N$1&amp;"C"&amp;$A26)-$A$4*$A$4*RTD("tos.rtd",,"VOLUME","."&amp;N$2&amp;N$1&amp;"P"&amp;$A26)*RTD("tos.rtd",,"GAMMA","."&amp;N$2&amp;N$1&amp;"P"&amp;$A26))/1000000),0),IF($A$2="GEX",IFERROR(IF($X$1="ABS",($A$4*$A$4*RTD("tos.rtd",,"OPEN_INT","."&amp;N$2&amp;N$1&amp;"C"&amp;$A26)*RTD("tos.rtd",,"GAMMA","."&amp;N$2&amp;N$1&amp;"C"&amp;$A26)+$A$4*$A$4*RTD("tos.rtd",,"OPEN_INT","."&amp;N$2&amp;N$1&amp;"P"&amp;$A26)*RTD("tos.rtd",,"GAMMA","."&amp;N$2&amp;N$1&amp;"P"&amp;$A26))/1000000,($A$4*$A$4*RTD("tos.rtd",,"OPEN_INT","."&amp;N$2&amp;N$1&amp;"C"&amp;$A26)*RTD("tos.rtd",,"GAMMA","."&amp;N$2&amp;N$1&amp;"C"&amp;$A26)-$A$4*$A$4*RTD("tos.rtd",,"OPEN_INT","."&amp;N$2&amp;N$1&amp;"P"&amp;$A26)*RTD("tos.rtd",,"GAMMA","."&amp;N$2&amp;N$1&amp;"P"&amp;$A26))/1000000),0),IF($A$2="SKEW",IFERROR(VALUE(IF(RTD("tos.rtd",,"IMPL_VOL","."&amp;N$2&amp;N$1&amp;"P"&amp;$A26)="N/A",0,RTD("tos.rtd",,"IMPL_VOL","."&amp;N$2&amp;N$1&amp;"P"&amp;$A26))),0)-IFERROR(VALUE(IF(RTD("tos.rtd",,"IMPL_VOL","."&amp;N$2&amp;N$1&amp;"C"&amp;$A26)="N/A",0,RTD("tos.rtd",,"IMPL_VOL","."&amp;N$2&amp;N$1&amp;"C"&amp;$A26))),0),IF($A$2="MAXPAIN",IF($A$4&gt;$A26,($A$4-$A26)*IF(RTD("tos.rtd",,"OPEN_INT","."&amp;N$2&amp;N$1&amp;"C"&amp;$A26)="N/A",0,RTD("tos.rtd",,"OPEN_INT","."&amp;N$2&amp;N$1&amp;"C"&amp;$A26)),0)+IF($A$4&lt;$A26,($A$5-$A$4)*IF(RTD("tos.rtd",,"OPEN_INT","."&amp;N$2&amp;N$1&amp;"P"&amp;$A26)="N/A",0,RTD("tos.rtd",,"OPEN_INT","."&amp;N$2&amp;N$1&amp;"P"&amp;$A26)),0),IF($X$1="ABS",IF(RTD("tos.rtd",,$A$2,"."&amp;N$2&amp;N$1&amp;"C"&amp;$A26)="N/A",0,RTD("tos.rtd",,$A$2,"."&amp;N$2&amp;N$1&amp;"C"&amp;$A26))+IF(RTD("tos.rtd",,$A$2,"."&amp;N$2&amp;N$1&amp;"P"&amp;$A26)="N/A",0,RTD("tos.rtd",,$A$2,"."&amp;N$2&amp;N$1&amp;"P"&amp;$A26)),IF(RTD("tos.rtd",,$A$2,"."&amp;N$2&amp;N$1&amp;"C"&amp;$A26)="N/A",0,RTD("tos.rtd",,$A$2,"."&amp;N$2&amp;N$1&amp;"C"&amp;$A26))-IF(RTD("tos.rtd",,$A$2,"."&amp;N$2&amp;N$1&amp;"P"&amp;$A26)="N/A",0,RTD("tos.rtd",,$A$2,"."&amp;N$2&amp;N$1&amp;"P"&amp;$A26))))))))))</f>
        <v>0</v>
      </c>
      <c r="O26" s="12">
        <f ca="1">IF($A$2="PREMIUM_OI",IFERROR(IF($X$1="ABS",(100*RTD("tos.rtd",,"OPEN_INT","."&amp;O$2&amp;O$1&amp;"C"&amp;$A26)*RTD("tos.rtd",,"LAST","."&amp;O$2&amp;O$1&amp;"C"&amp;$A26)+100*RTD("tos.rtd",,"OPEN_INT","."&amp;O$2&amp;O$1&amp;"P"&amp;$A26)*RTD("tos.rtd",,"LAST","."&amp;O$2&amp;O$1&amp;"P"&amp;$A26))/1000000,(100*RTD("tos.rtd",,"OPEN_INT","."&amp;O$2&amp;O$1&amp;"C"&amp;$A26)*RTD("tos.rtd",,"LAST","."&amp;O$2&amp;O$1&amp;"C"&amp;$A26)-100*RTD("tos.rtd",,"OPEN_INT","."&amp;O$2&amp;O$1&amp;"P"&amp;$A26)*RTD("tos.rtd",,"LAST","."&amp;O$2&amp;O$1&amp;"P"&amp;$A26))/1000000),0),IF($A$2="PREMIUM",IFERROR(IF($X$1="ABS",(100*RTD("tos.rtd",,"VOLUME","."&amp;O$2&amp;O$1&amp;"C"&amp;$A26)*RTD("tos.rtd",,"LAST","."&amp;O$2&amp;O$1&amp;"C"&amp;$A26)+100*RTD("tos.rtd",,"VOLUME","."&amp;O$2&amp;O$1&amp;"P"&amp;$A26)*RTD("tos.rtd",,"LAST","."&amp;O$2&amp;O$1&amp;"P"&amp;$A26))/1000000,(100*RTD("tos.rtd",,"VOLUME","."&amp;O$2&amp;O$1&amp;"C"&amp;$A26)*RTD("tos.rtd",,"LAST","."&amp;O$2&amp;O$1&amp;"C"&amp;$A26)-100*RTD("tos.rtd",,"VOLUME","."&amp;O$2&amp;O$1&amp;"P"&amp;$A26)*RTD("tos.rtd",,"LAST","."&amp;O$2&amp;O$1&amp;"P"&amp;$A26))/1000000),0),IF($A$2="DEX",IFERROR(IF($X$1="ABS",(100*RTD("tos.rtd",,"OPEN_INT","."&amp;O$2&amp;O$1&amp;"C"&amp;$A26)*RTD("tos.rtd",,"DELTA","."&amp;O$2&amp;O$1&amp;"C"&amp;$A26)+100*RTD("tos.rtd",,"OPEN_INT","."&amp;O$2&amp;O$1&amp;"P"&amp;$A26)*RTD("tos.rtd",,"DELTA","."&amp;O$2&amp;O$1&amp;"P"&amp;$A26))/1000,(100*RTD("tos.rtd",,"OPEN_INT","."&amp;O$2&amp;O$1&amp;"C"&amp;$A26)*RTD("tos.rtd",,"DELTA","."&amp;O$2&amp;O$1&amp;"C"&amp;$A26)-100*RTD("tos.rtd",,"OPEN_INT","."&amp;O$2&amp;O$1&amp;"P"&amp;$A26)*RTD("tos.rtd",,"DELTA","."&amp;O$2&amp;O$1&amp;"P"&amp;$A26))/1000),0),IF($A$2="VEX",IFERROR(IF($X$1="ABS",($A$4*$A$4*RTD("tos.rtd",,"VOLUME","."&amp;O$2&amp;O$1&amp;"C"&amp;$A26)*RTD("tos.rtd",,"GAMMA","."&amp;O$2&amp;O$1&amp;"C"&amp;$A26)+$A$4*$A$4*RTD("tos.rtd",,"VOLUME","."&amp;O$2&amp;O$1&amp;"P"&amp;$A26)*RTD("tos.rtd",,"GAMMA","."&amp;O$2&amp;O$1&amp;"P"&amp;$A26))/1000000,($A$4*$A$4*RTD("tos.rtd",,"VOLUME","."&amp;O$2&amp;O$1&amp;"C"&amp;$A26)*RTD("tos.rtd",,"GAMMA","."&amp;O$2&amp;O$1&amp;"C"&amp;$A26)-$A$4*$A$4*RTD("tos.rtd",,"VOLUME","."&amp;O$2&amp;O$1&amp;"P"&amp;$A26)*RTD("tos.rtd",,"GAMMA","."&amp;O$2&amp;O$1&amp;"P"&amp;$A26))/1000000),0),IF($A$2="GEX",IFERROR(IF($X$1="ABS",($A$4*$A$4*RTD("tos.rtd",,"OPEN_INT","."&amp;O$2&amp;O$1&amp;"C"&amp;$A26)*RTD("tos.rtd",,"GAMMA","."&amp;O$2&amp;O$1&amp;"C"&amp;$A26)+$A$4*$A$4*RTD("tos.rtd",,"OPEN_INT","."&amp;O$2&amp;O$1&amp;"P"&amp;$A26)*RTD("tos.rtd",,"GAMMA","."&amp;O$2&amp;O$1&amp;"P"&amp;$A26))/1000000,($A$4*$A$4*RTD("tos.rtd",,"OPEN_INT","."&amp;O$2&amp;O$1&amp;"C"&amp;$A26)*RTD("tos.rtd",,"GAMMA","."&amp;O$2&amp;O$1&amp;"C"&amp;$A26)-$A$4*$A$4*RTD("tos.rtd",,"OPEN_INT","."&amp;O$2&amp;O$1&amp;"P"&amp;$A26)*RTD("tos.rtd",,"GAMMA","."&amp;O$2&amp;O$1&amp;"P"&amp;$A26))/1000000),0),IF($A$2="SKEW",IFERROR(VALUE(IF(RTD("tos.rtd",,"IMPL_VOL","."&amp;O$2&amp;O$1&amp;"P"&amp;$A26)="N/A",0,RTD("tos.rtd",,"IMPL_VOL","."&amp;O$2&amp;O$1&amp;"P"&amp;$A26))),0)-IFERROR(VALUE(IF(RTD("tos.rtd",,"IMPL_VOL","."&amp;O$2&amp;O$1&amp;"C"&amp;$A26)="N/A",0,RTD("tos.rtd",,"IMPL_VOL","."&amp;O$2&amp;O$1&amp;"C"&amp;$A26))),0),IF($A$2="MAXPAIN",IF($A$4&gt;$A26,($A$4-$A26)*IF(RTD("tos.rtd",,"OPEN_INT","."&amp;O$2&amp;O$1&amp;"C"&amp;$A26)="N/A",0,RTD("tos.rtd",,"OPEN_INT","."&amp;O$2&amp;O$1&amp;"C"&amp;$A26)),0)+IF($A$4&lt;$A26,($A$5-$A$4)*IF(RTD("tos.rtd",,"OPEN_INT","."&amp;O$2&amp;O$1&amp;"P"&amp;$A26)="N/A",0,RTD("tos.rtd",,"OPEN_INT","."&amp;O$2&amp;O$1&amp;"P"&amp;$A26)),0),IF($X$1="ABS",IF(RTD("tos.rtd",,$A$2,"."&amp;O$2&amp;O$1&amp;"C"&amp;$A26)="N/A",0,RTD("tos.rtd",,$A$2,"."&amp;O$2&amp;O$1&amp;"C"&amp;$A26))+IF(RTD("tos.rtd",,$A$2,"."&amp;O$2&amp;O$1&amp;"P"&amp;$A26)="N/A",0,RTD("tos.rtd",,$A$2,"."&amp;O$2&amp;O$1&amp;"P"&amp;$A26)),IF(RTD("tos.rtd",,$A$2,"."&amp;O$2&amp;O$1&amp;"C"&amp;$A26)="N/A",0,RTD("tos.rtd",,$A$2,"."&amp;O$2&amp;O$1&amp;"C"&amp;$A26))-IF(RTD("tos.rtd",,$A$2,"."&amp;O$2&amp;O$1&amp;"P"&amp;$A26)="N/A",0,RTD("tos.rtd",,$A$2,"."&amp;O$2&amp;O$1&amp;"P"&amp;$A26))))))))))</f>
        <v>0</v>
      </c>
      <c r="P26" s="12">
        <f ca="1">IF($A$2="PREMIUM_OI",IFERROR(IF($X$1="ABS",(100*RTD("tos.rtd",,"OPEN_INT","."&amp;P$2&amp;P$1&amp;"C"&amp;$A26)*RTD("tos.rtd",,"LAST","."&amp;P$2&amp;P$1&amp;"C"&amp;$A26)+100*RTD("tos.rtd",,"OPEN_INT","."&amp;P$2&amp;P$1&amp;"P"&amp;$A26)*RTD("tos.rtd",,"LAST","."&amp;P$2&amp;P$1&amp;"P"&amp;$A26))/1000000,(100*RTD("tos.rtd",,"OPEN_INT","."&amp;P$2&amp;P$1&amp;"C"&amp;$A26)*RTD("tos.rtd",,"LAST","."&amp;P$2&amp;P$1&amp;"C"&amp;$A26)-100*RTD("tos.rtd",,"OPEN_INT","."&amp;P$2&amp;P$1&amp;"P"&amp;$A26)*RTD("tos.rtd",,"LAST","."&amp;P$2&amp;P$1&amp;"P"&amp;$A26))/1000000),0),IF($A$2="PREMIUM",IFERROR(IF($X$1="ABS",(100*RTD("tos.rtd",,"VOLUME","."&amp;P$2&amp;P$1&amp;"C"&amp;$A26)*RTD("tos.rtd",,"LAST","."&amp;P$2&amp;P$1&amp;"C"&amp;$A26)+100*RTD("tos.rtd",,"VOLUME","."&amp;P$2&amp;P$1&amp;"P"&amp;$A26)*RTD("tos.rtd",,"LAST","."&amp;P$2&amp;P$1&amp;"P"&amp;$A26))/1000000,(100*RTD("tos.rtd",,"VOLUME","."&amp;P$2&amp;P$1&amp;"C"&amp;$A26)*RTD("tos.rtd",,"LAST","."&amp;P$2&amp;P$1&amp;"C"&amp;$A26)-100*RTD("tos.rtd",,"VOLUME","."&amp;P$2&amp;P$1&amp;"P"&amp;$A26)*RTD("tos.rtd",,"LAST","."&amp;P$2&amp;P$1&amp;"P"&amp;$A26))/1000000),0),IF($A$2="DEX",IFERROR(IF($X$1="ABS",(100*RTD("tos.rtd",,"OPEN_INT","."&amp;P$2&amp;P$1&amp;"C"&amp;$A26)*RTD("tos.rtd",,"DELTA","."&amp;P$2&amp;P$1&amp;"C"&amp;$A26)+100*RTD("tos.rtd",,"OPEN_INT","."&amp;P$2&amp;P$1&amp;"P"&amp;$A26)*RTD("tos.rtd",,"DELTA","."&amp;P$2&amp;P$1&amp;"P"&amp;$A26))/1000,(100*RTD("tos.rtd",,"OPEN_INT","."&amp;P$2&amp;P$1&amp;"C"&amp;$A26)*RTD("tos.rtd",,"DELTA","."&amp;P$2&amp;P$1&amp;"C"&amp;$A26)-100*RTD("tos.rtd",,"OPEN_INT","."&amp;P$2&amp;P$1&amp;"P"&amp;$A26)*RTD("tos.rtd",,"DELTA","."&amp;P$2&amp;P$1&amp;"P"&amp;$A26))/1000),0),IF($A$2="VEX",IFERROR(IF($X$1="ABS",($A$4*$A$4*RTD("tos.rtd",,"VOLUME","."&amp;P$2&amp;P$1&amp;"C"&amp;$A26)*RTD("tos.rtd",,"GAMMA","."&amp;P$2&amp;P$1&amp;"C"&amp;$A26)+$A$4*$A$4*RTD("tos.rtd",,"VOLUME","."&amp;P$2&amp;P$1&amp;"P"&amp;$A26)*RTD("tos.rtd",,"GAMMA","."&amp;P$2&amp;P$1&amp;"P"&amp;$A26))/1000000,($A$4*$A$4*RTD("tos.rtd",,"VOLUME","."&amp;P$2&amp;P$1&amp;"C"&amp;$A26)*RTD("tos.rtd",,"GAMMA","."&amp;P$2&amp;P$1&amp;"C"&amp;$A26)-$A$4*$A$4*RTD("tos.rtd",,"VOLUME","."&amp;P$2&amp;P$1&amp;"P"&amp;$A26)*RTD("tos.rtd",,"GAMMA","."&amp;P$2&amp;P$1&amp;"P"&amp;$A26))/1000000),0),IF($A$2="GEX",IFERROR(IF($X$1="ABS",($A$4*$A$4*RTD("tos.rtd",,"OPEN_INT","."&amp;P$2&amp;P$1&amp;"C"&amp;$A26)*RTD("tos.rtd",,"GAMMA","."&amp;P$2&amp;P$1&amp;"C"&amp;$A26)+$A$4*$A$4*RTD("tos.rtd",,"OPEN_INT","."&amp;P$2&amp;P$1&amp;"P"&amp;$A26)*RTD("tos.rtd",,"GAMMA","."&amp;P$2&amp;P$1&amp;"P"&amp;$A26))/1000000,($A$4*$A$4*RTD("tos.rtd",,"OPEN_INT","."&amp;P$2&amp;P$1&amp;"C"&amp;$A26)*RTD("tos.rtd",,"GAMMA","."&amp;P$2&amp;P$1&amp;"C"&amp;$A26)-$A$4*$A$4*RTD("tos.rtd",,"OPEN_INT","."&amp;P$2&amp;P$1&amp;"P"&amp;$A26)*RTD("tos.rtd",,"GAMMA","."&amp;P$2&amp;P$1&amp;"P"&amp;$A26))/1000000),0),IF($A$2="SKEW",IFERROR(VALUE(IF(RTD("tos.rtd",,"IMPL_VOL","."&amp;P$2&amp;P$1&amp;"P"&amp;$A26)="N/A",0,RTD("tos.rtd",,"IMPL_VOL","."&amp;P$2&amp;P$1&amp;"P"&amp;$A26))),0)-IFERROR(VALUE(IF(RTD("tos.rtd",,"IMPL_VOL","."&amp;P$2&amp;P$1&amp;"C"&amp;$A26)="N/A",0,RTD("tos.rtd",,"IMPL_VOL","."&amp;P$2&amp;P$1&amp;"C"&amp;$A26))),0),IF($A$2="MAXPAIN",IF($A$4&gt;$A26,($A$4-$A26)*IF(RTD("tos.rtd",,"OPEN_INT","."&amp;P$2&amp;P$1&amp;"C"&amp;$A26)="N/A",0,RTD("tos.rtd",,"OPEN_INT","."&amp;P$2&amp;P$1&amp;"C"&amp;$A26)),0)+IF($A$4&lt;$A26,($A$5-$A$4)*IF(RTD("tos.rtd",,"OPEN_INT","."&amp;P$2&amp;P$1&amp;"P"&amp;$A26)="N/A",0,RTD("tos.rtd",,"OPEN_INT","."&amp;P$2&amp;P$1&amp;"P"&amp;$A26)),0),IF($X$1="ABS",IF(RTD("tos.rtd",,$A$2,"."&amp;P$2&amp;P$1&amp;"C"&amp;$A26)="N/A",0,RTD("tos.rtd",,$A$2,"."&amp;P$2&amp;P$1&amp;"C"&amp;$A26))+IF(RTD("tos.rtd",,$A$2,"."&amp;P$2&amp;P$1&amp;"P"&amp;$A26)="N/A",0,RTD("tos.rtd",,$A$2,"."&amp;P$2&amp;P$1&amp;"P"&amp;$A26)),IF(RTD("tos.rtd",,$A$2,"."&amp;P$2&amp;P$1&amp;"C"&amp;$A26)="N/A",0,RTD("tos.rtd",,$A$2,"."&amp;P$2&amp;P$1&amp;"C"&amp;$A26))-IF(RTD("tos.rtd",,$A$2,"."&amp;P$2&amp;P$1&amp;"P"&amp;$A26)="N/A",0,RTD("tos.rtd",,$A$2,"."&amp;P$2&amp;P$1&amp;"P"&amp;$A26))))))))))</f>
        <v>0</v>
      </c>
      <c r="Q26" s="12">
        <f ca="1">IF($A$2="PREMIUM_OI",IFERROR(IF($X$1="ABS",(100*RTD("tos.rtd",,"OPEN_INT","."&amp;Q$2&amp;Q$1&amp;"C"&amp;$A26)*RTD("tos.rtd",,"LAST","."&amp;Q$2&amp;Q$1&amp;"C"&amp;$A26)+100*RTD("tos.rtd",,"OPEN_INT","."&amp;Q$2&amp;Q$1&amp;"P"&amp;$A26)*RTD("tos.rtd",,"LAST","."&amp;Q$2&amp;Q$1&amp;"P"&amp;$A26))/1000000,(100*RTD("tos.rtd",,"OPEN_INT","."&amp;Q$2&amp;Q$1&amp;"C"&amp;$A26)*RTD("tos.rtd",,"LAST","."&amp;Q$2&amp;Q$1&amp;"C"&amp;$A26)-100*RTD("tos.rtd",,"OPEN_INT","."&amp;Q$2&amp;Q$1&amp;"P"&amp;$A26)*RTD("tos.rtd",,"LAST","."&amp;Q$2&amp;Q$1&amp;"P"&amp;$A26))/1000000),0),IF($A$2="PREMIUM",IFERROR(IF($X$1="ABS",(100*RTD("tos.rtd",,"VOLUME","."&amp;Q$2&amp;Q$1&amp;"C"&amp;$A26)*RTD("tos.rtd",,"LAST","."&amp;Q$2&amp;Q$1&amp;"C"&amp;$A26)+100*RTD("tos.rtd",,"VOLUME","."&amp;Q$2&amp;Q$1&amp;"P"&amp;$A26)*RTD("tos.rtd",,"LAST","."&amp;Q$2&amp;Q$1&amp;"P"&amp;$A26))/1000000,(100*RTD("tos.rtd",,"VOLUME","."&amp;Q$2&amp;Q$1&amp;"C"&amp;$A26)*RTD("tos.rtd",,"LAST","."&amp;Q$2&amp;Q$1&amp;"C"&amp;$A26)-100*RTD("tos.rtd",,"VOLUME","."&amp;Q$2&amp;Q$1&amp;"P"&amp;$A26)*RTD("tos.rtd",,"LAST","."&amp;Q$2&amp;Q$1&amp;"P"&amp;$A26))/1000000),0),IF($A$2="DEX",IFERROR(IF($X$1="ABS",(100*RTD("tos.rtd",,"OPEN_INT","."&amp;Q$2&amp;Q$1&amp;"C"&amp;$A26)*RTD("tos.rtd",,"DELTA","."&amp;Q$2&amp;Q$1&amp;"C"&amp;$A26)+100*RTD("tos.rtd",,"OPEN_INT","."&amp;Q$2&amp;Q$1&amp;"P"&amp;$A26)*RTD("tos.rtd",,"DELTA","."&amp;Q$2&amp;Q$1&amp;"P"&amp;$A26))/1000,(100*RTD("tos.rtd",,"OPEN_INT","."&amp;Q$2&amp;Q$1&amp;"C"&amp;$A26)*RTD("tos.rtd",,"DELTA","."&amp;Q$2&amp;Q$1&amp;"C"&amp;$A26)-100*RTD("tos.rtd",,"OPEN_INT","."&amp;Q$2&amp;Q$1&amp;"P"&amp;$A26)*RTD("tos.rtd",,"DELTA","."&amp;Q$2&amp;Q$1&amp;"P"&amp;$A26))/1000),0),IF($A$2="VEX",IFERROR(IF($X$1="ABS",($A$4*$A$4*RTD("tos.rtd",,"VOLUME","."&amp;Q$2&amp;Q$1&amp;"C"&amp;$A26)*RTD("tos.rtd",,"GAMMA","."&amp;Q$2&amp;Q$1&amp;"C"&amp;$A26)+$A$4*$A$4*RTD("tos.rtd",,"VOLUME","."&amp;Q$2&amp;Q$1&amp;"P"&amp;$A26)*RTD("tos.rtd",,"GAMMA","."&amp;Q$2&amp;Q$1&amp;"P"&amp;$A26))/1000000,($A$4*$A$4*RTD("tos.rtd",,"VOLUME","."&amp;Q$2&amp;Q$1&amp;"C"&amp;$A26)*RTD("tos.rtd",,"GAMMA","."&amp;Q$2&amp;Q$1&amp;"C"&amp;$A26)-$A$4*$A$4*RTD("tos.rtd",,"VOLUME","."&amp;Q$2&amp;Q$1&amp;"P"&amp;$A26)*RTD("tos.rtd",,"GAMMA","."&amp;Q$2&amp;Q$1&amp;"P"&amp;$A26))/1000000),0),IF($A$2="GEX",IFERROR(IF($X$1="ABS",($A$4*$A$4*RTD("tos.rtd",,"OPEN_INT","."&amp;Q$2&amp;Q$1&amp;"C"&amp;$A26)*RTD("tos.rtd",,"GAMMA","."&amp;Q$2&amp;Q$1&amp;"C"&amp;$A26)+$A$4*$A$4*RTD("tos.rtd",,"OPEN_INT","."&amp;Q$2&amp;Q$1&amp;"P"&amp;$A26)*RTD("tos.rtd",,"GAMMA","."&amp;Q$2&amp;Q$1&amp;"P"&amp;$A26))/1000000,($A$4*$A$4*RTD("tos.rtd",,"OPEN_INT","."&amp;Q$2&amp;Q$1&amp;"C"&amp;$A26)*RTD("tos.rtd",,"GAMMA","."&amp;Q$2&amp;Q$1&amp;"C"&amp;$A26)-$A$4*$A$4*RTD("tos.rtd",,"OPEN_INT","."&amp;Q$2&amp;Q$1&amp;"P"&amp;$A26)*RTD("tos.rtd",,"GAMMA","."&amp;Q$2&amp;Q$1&amp;"P"&amp;$A26))/1000000),0),IF($A$2="SKEW",IFERROR(VALUE(IF(RTD("tos.rtd",,"IMPL_VOL","."&amp;Q$2&amp;Q$1&amp;"P"&amp;$A26)="N/A",0,RTD("tos.rtd",,"IMPL_VOL","."&amp;Q$2&amp;Q$1&amp;"P"&amp;$A26))),0)-IFERROR(VALUE(IF(RTD("tos.rtd",,"IMPL_VOL","."&amp;Q$2&amp;Q$1&amp;"C"&amp;$A26)="N/A",0,RTD("tos.rtd",,"IMPL_VOL","."&amp;Q$2&amp;Q$1&amp;"C"&amp;$A26))),0),IF($A$2="MAXPAIN",IF($A$4&gt;$A26,($A$4-$A26)*IF(RTD("tos.rtd",,"OPEN_INT","."&amp;Q$2&amp;Q$1&amp;"C"&amp;$A26)="N/A",0,RTD("tos.rtd",,"OPEN_INT","."&amp;Q$2&amp;Q$1&amp;"C"&amp;$A26)),0)+IF($A$4&lt;$A26,($A$5-$A$4)*IF(RTD("tos.rtd",,"OPEN_INT","."&amp;Q$2&amp;Q$1&amp;"P"&amp;$A26)="N/A",0,RTD("tos.rtd",,"OPEN_INT","."&amp;Q$2&amp;Q$1&amp;"P"&amp;$A26)),0),IF($X$1="ABS",IF(RTD("tos.rtd",,$A$2,"."&amp;Q$2&amp;Q$1&amp;"C"&amp;$A26)="N/A",0,RTD("tos.rtd",,$A$2,"."&amp;Q$2&amp;Q$1&amp;"C"&amp;$A26))+IF(RTD("tos.rtd",,$A$2,"."&amp;Q$2&amp;Q$1&amp;"P"&amp;$A26)="N/A",0,RTD("tos.rtd",,$A$2,"."&amp;Q$2&amp;Q$1&amp;"P"&amp;$A26)),IF(RTD("tos.rtd",,$A$2,"."&amp;Q$2&amp;Q$1&amp;"C"&amp;$A26)="N/A",0,RTD("tos.rtd",,$A$2,"."&amp;Q$2&amp;Q$1&amp;"C"&amp;$A26))-IF(RTD("tos.rtd",,$A$2,"."&amp;Q$2&amp;Q$1&amp;"P"&amp;$A26)="N/A",0,RTD("tos.rtd",,$A$2,"."&amp;Q$2&amp;Q$1&amp;"P"&amp;$A26))))))))))</f>
        <v>0</v>
      </c>
      <c r="R26" s="12">
        <f ca="1">IF($A$2="PREMIUM_OI",IFERROR(IF($X$1="ABS",(100*RTD("tos.rtd",,"OPEN_INT","."&amp;R$2&amp;R$1&amp;"C"&amp;$A26)*RTD("tos.rtd",,"LAST","."&amp;R$2&amp;R$1&amp;"C"&amp;$A26)+100*RTD("tos.rtd",,"OPEN_INT","."&amp;R$2&amp;R$1&amp;"P"&amp;$A26)*RTD("tos.rtd",,"LAST","."&amp;R$2&amp;R$1&amp;"P"&amp;$A26))/1000000,(100*RTD("tos.rtd",,"OPEN_INT","."&amp;R$2&amp;R$1&amp;"C"&amp;$A26)*RTD("tos.rtd",,"LAST","."&amp;R$2&amp;R$1&amp;"C"&amp;$A26)-100*RTD("tos.rtd",,"OPEN_INT","."&amp;R$2&amp;R$1&amp;"P"&amp;$A26)*RTD("tos.rtd",,"LAST","."&amp;R$2&amp;R$1&amp;"P"&amp;$A26))/1000000),0),IF($A$2="PREMIUM",IFERROR(IF($X$1="ABS",(100*RTD("tos.rtd",,"VOLUME","."&amp;R$2&amp;R$1&amp;"C"&amp;$A26)*RTD("tos.rtd",,"LAST","."&amp;R$2&amp;R$1&amp;"C"&amp;$A26)+100*RTD("tos.rtd",,"VOLUME","."&amp;R$2&amp;R$1&amp;"P"&amp;$A26)*RTD("tos.rtd",,"LAST","."&amp;R$2&amp;R$1&amp;"P"&amp;$A26))/1000000,(100*RTD("tos.rtd",,"VOLUME","."&amp;R$2&amp;R$1&amp;"C"&amp;$A26)*RTD("tos.rtd",,"LAST","."&amp;R$2&amp;R$1&amp;"C"&amp;$A26)-100*RTD("tos.rtd",,"VOLUME","."&amp;R$2&amp;R$1&amp;"P"&amp;$A26)*RTD("tos.rtd",,"LAST","."&amp;R$2&amp;R$1&amp;"P"&amp;$A26))/1000000),0),IF($A$2="DEX",IFERROR(IF($X$1="ABS",(100*RTD("tos.rtd",,"OPEN_INT","."&amp;R$2&amp;R$1&amp;"C"&amp;$A26)*RTD("tos.rtd",,"DELTA","."&amp;R$2&amp;R$1&amp;"C"&amp;$A26)+100*RTD("tos.rtd",,"OPEN_INT","."&amp;R$2&amp;R$1&amp;"P"&amp;$A26)*RTD("tos.rtd",,"DELTA","."&amp;R$2&amp;R$1&amp;"P"&amp;$A26))/1000,(100*RTD("tos.rtd",,"OPEN_INT","."&amp;R$2&amp;R$1&amp;"C"&amp;$A26)*RTD("tos.rtd",,"DELTA","."&amp;R$2&amp;R$1&amp;"C"&amp;$A26)-100*RTD("tos.rtd",,"OPEN_INT","."&amp;R$2&amp;R$1&amp;"P"&amp;$A26)*RTD("tos.rtd",,"DELTA","."&amp;R$2&amp;R$1&amp;"P"&amp;$A26))/1000),0),IF($A$2="VEX",IFERROR(IF($X$1="ABS",($A$4*$A$4*RTD("tos.rtd",,"VOLUME","."&amp;R$2&amp;R$1&amp;"C"&amp;$A26)*RTD("tos.rtd",,"GAMMA","."&amp;R$2&amp;R$1&amp;"C"&amp;$A26)+$A$4*$A$4*RTD("tos.rtd",,"VOLUME","."&amp;R$2&amp;R$1&amp;"P"&amp;$A26)*RTD("tos.rtd",,"GAMMA","."&amp;R$2&amp;R$1&amp;"P"&amp;$A26))/1000000,($A$4*$A$4*RTD("tos.rtd",,"VOLUME","."&amp;R$2&amp;R$1&amp;"C"&amp;$A26)*RTD("tos.rtd",,"GAMMA","."&amp;R$2&amp;R$1&amp;"C"&amp;$A26)-$A$4*$A$4*RTD("tos.rtd",,"VOLUME","."&amp;R$2&amp;R$1&amp;"P"&amp;$A26)*RTD("tos.rtd",,"GAMMA","."&amp;R$2&amp;R$1&amp;"P"&amp;$A26))/1000000),0),IF($A$2="GEX",IFERROR(IF($X$1="ABS",($A$4*$A$4*RTD("tos.rtd",,"OPEN_INT","."&amp;R$2&amp;R$1&amp;"C"&amp;$A26)*RTD("tos.rtd",,"GAMMA","."&amp;R$2&amp;R$1&amp;"C"&amp;$A26)+$A$4*$A$4*RTD("tos.rtd",,"OPEN_INT","."&amp;R$2&amp;R$1&amp;"P"&amp;$A26)*RTD("tos.rtd",,"GAMMA","."&amp;R$2&amp;R$1&amp;"P"&amp;$A26))/1000000,($A$4*$A$4*RTD("tos.rtd",,"OPEN_INT","."&amp;R$2&amp;R$1&amp;"C"&amp;$A26)*RTD("tos.rtd",,"GAMMA","."&amp;R$2&amp;R$1&amp;"C"&amp;$A26)-$A$4*$A$4*RTD("tos.rtd",,"OPEN_INT","."&amp;R$2&amp;R$1&amp;"P"&amp;$A26)*RTD("tos.rtd",,"GAMMA","."&amp;R$2&amp;R$1&amp;"P"&amp;$A26))/1000000),0),IF($A$2="SKEW",IFERROR(VALUE(IF(RTD("tos.rtd",,"IMPL_VOL","."&amp;R$2&amp;R$1&amp;"P"&amp;$A26)="N/A",0,RTD("tos.rtd",,"IMPL_VOL","."&amp;R$2&amp;R$1&amp;"P"&amp;$A26))),0)-IFERROR(VALUE(IF(RTD("tos.rtd",,"IMPL_VOL","."&amp;R$2&amp;R$1&amp;"C"&amp;$A26)="N/A",0,RTD("tos.rtd",,"IMPL_VOL","."&amp;R$2&amp;R$1&amp;"C"&amp;$A26))),0),IF($A$2="MAXPAIN",IF($A$4&gt;$A26,($A$4-$A26)*IF(RTD("tos.rtd",,"OPEN_INT","."&amp;R$2&amp;R$1&amp;"C"&amp;$A26)="N/A",0,RTD("tos.rtd",,"OPEN_INT","."&amp;R$2&amp;R$1&amp;"C"&amp;$A26)),0)+IF($A$4&lt;$A26,($A$5-$A$4)*IF(RTD("tos.rtd",,"OPEN_INT","."&amp;R$2&amp;R$1&amp;"P"&amp;$A26)="N/A",0,RTD("tos.rtd",,"OPEN_INT","."&amp;R$2&amp;R$1&amp;"P"&amp;$A26)),0),IF($X$1="ABS",IF(RTD("tos.rtd",,$A$2,"."&amp;R$2&amp;R$1&amp;"C"&amp;$A26)="N/A",0,RTD("tos.rtd",,$A$2,"."&amp;R$2&amp;R$1&amp;"C"&amp;$A26))+IF(RTD("tos.rtd",,$A$2,"."&amp;R$2&amp;R$1&amp;"P"&amp;$A26)="N/A",0,RTD("tos.rtd",,$A$2,"."&amp;R$2&amp;R$1&amp;"P"&amp;$A26)),IF(RTD("tos.rtd",,$A$2,"."&amp;R$2&amp;R$1&amp;"C"&amp;$A26)="N/A",0,RTD("tos.rtd",,$A$2,"."&amp;R$2&amp;R$1&amp;"C"&amp;$A26))-IF(RTD("tos.rtd",,$A$2,"."&amp;R$2&amp;R$1&amp;"P"&amp;$A26)="N/A",0,RTD("tos.rtd",,$A$2,"."&amp;R$2&amp;R$1&amp;"P"&amp;$A26))))))))))</f>
        <v>0</v>
      </c>
      <c r="S26" s="12">
        <f ca="1">IF($A$2="PREMIUM_OI",IFERROR(IF($X$1="ABS",(100*RTD("tos.rtd",,"OPEN_INT","."&amp;S$2&amp;S$1&amp;"C"&amp;$A26)*RTD("tos.rtd",,"LAST","."&amp;S$2&amp;S$1&amp;"C"&amp;$A26)+100*RTD("tos.rtd",,"OPEN_INT","."&amp;S$2&amp;S$1&amp;"P"&amp;$A26)*RTD("tos.rtd",,"LAST","."&amp;S$2&amp;S$1&amp;"P"&amp;$A26))/1000000,(100*RTD("tos.rtd",,"OPEN_INT","."&amp;S$2&amp;S$1&amp;"C"&amp;$A26)*RTD("tos.rtd",,"LAST","."&amp;S$2&amp;S$1&amp;"C"&amp;$A26)-100*RTD("tos.rtd",,"OPEN_INT","."&amp;S$2&amp;S$1&amp;"P"&amp;$A26)*RTD("tos.rtd",,"LAST","."&amp;S$2&amp;S$1&amp;"P"&amp;$A26))/1000000),0),IF($A$2="PREMIUM",IFERROR(IF($X$1="ABS",(100*RTD("tos.rtd",,"VOLUME","."&amp;S$2&amp;S$1&amp;"C"&amp;$A26)*RTD("tos.rtd",,"LAST","."&amp;S$2&amp;S$1&amp;"C"&amp;$A26)+100*RTD("tos.rtd",,"VOLUME","."&amp;S$2&amp;S$1&amp;"P"&amp;$A26)*RTD("tos.rtd",,"LAST","."&amp;S$2&amp;S$1&amp;"P"&amp;$A26))/1000000,(100*RTD("tos.rtd",,"VOLUME","."&amp;S$2&amp;S$1&amp;"C"&amp;$A26)*RTD("tos.rtd",,"LAST","."&amp;S$2&amp;S$1&amp;"C"&amp;$A26)-100*RTD("tos.rtd",,"VOLUME","."&amp;S$2&amp;S$1&amp;"P"&amp;$A26)*RTD("tos.rtd",,"LAST","."&amp;S$2&amp;S$1&amp;"P"&amp;$A26))/1000000),0),IF($A$2="DEX",IFERROR(IF($X$1="ABS",(100*RTD("tos.rtd",,"OPEN_INT","."&amp;S$2&amp;S$1&amp;"C"&amp;$A26)*RTD("tos.rtd",,"DELTA","."&amp;S$2&amp;S$1&amp;"C"&amp;$A26)+100*RTD("tos.rtd",,"OPEN_INT","."&amp;S$2&amp;S$1&amp;"P"&amp;$A26)*RTD("tos.rtd",,"DELTA","."&amp;S$2&amp;S$1&amp;"P"&amp;$A26))/1000,(100*RTD("tos.rtd",,"OPEN_INT","."&amp;S$2&amp;S$1&amp;"C"&amp;$A26)*RTD("tos.rtd",,"DELTA","."&amp;S$2&amp;S$1&amp;"C"&amp;$A26)-100*RTD("tos.rtd",,"OPEN_INT","."&amp;S$2&amp;S$1&amp;"P"&amp;$A26)*RTD("tos.rtd",,"DELTA","."&amp;S$2&amp;S$1&amp;"P"&amp;$A26))/1000),0),IF($A$2="VEX",IFERROR(IF($X$1="ABS",($A$4*$A$4*RTD("tos.rtd",,"VOLUME","."&amp;S$2&amp;S$1&amp;"C"&amp;$A26)*RTD("tos.rtd",,"GAMMA","."&amp;S$2&amp;S$1&amp;"C"&amp;$A26)+$A$4*$A$4*RTD("tos.rtd",,"VOLUME","."&amp;S$2&amp;S$1&amp;"P"&amp;$A26)*RTD("tos.rtd",,"GAMMA","."&amp;S$2&amp;S$1&amp;"P"&amp;$A26))/1000000,($A$4*$A$4*RTD("tos.rtd",,"VOLUME","."&amp;S$2&amp;S$1&amp;"C"&amp;$A26)*RTD("tos.rtd",,"GAMMA","."&amp;S$2&amp;S$1&amp;"C"&amp;$A26)-$A$4*$A$4*RTD("tos.rtd",,"VOLUME","."&amp;S$2&amp;S$1&amp;"P"&amp;$A26)*RTD("tos.rtd",,"GAMMA","."&amp;S$2&amp;S$1&amp;"P"&amp;$A26))/1000000),0),IF($A$2="GEX",IFERROR(IF($X$1="ABS",($A$4*$A$4*RTD("tos.rtd",,"OPEN_INT","."&amp;S$2&amp;S$1&amp;"C"&amp;$A26)*RTD("tos.rtd",,"GAMMA","."&amp;S$2&amp;S$1&amp;"C"&amp;$A26)+$A$4*$A$4*RTD("tos.rtd",,"OPEN_INT","."&amp;S$2&amp;S$1&amp;"P"&amp;$A26)*RTD("tos.rtd",,"GAMMA","."&amp;S$2&amp;S$1&amp;"P"&amp;$A26))/1000000,($A$4*$A$4*RTD("tos.rtd",,"OPEN_INT","."&amp;S$2&amp;S$1&amp;"C"&amp;$A26)*RTD("tos.rtd",,"GAMMA","."&amp;S$2&amp;S$1&amp;"C"&amp;$A26)-$A$4*$A$4*RTD("tos.rtd",,"OPEN_INT","."&amp;S$2&amp;S$1&amp;"P"&amp;$A26)*RTD("tos.rtd",,"GAMMA","."&amp;S$2&amp;S$1&amp;"P"&amp;$A26))/1000000),0),IF($A$2="SKEW",IFERROR(VALUE(IF(RTD("tos.rtd",,"IMPL_VOL","."&amp;S$2&amp;S$1&amp;"P"&amp;$A26)="N/A",0,RTD("tos.rtd",,"IMPL_VOL","."&amp;S$2&amp;S$1&amp;"P"&amp;$A26))),0)-IFERROR(VALUE(IF(RTD("tos.rtd",,"IMPL_VOL","."&amp;S$2&amp;S$1&amp;"C"&amp;$A26)="N/A",0,RTD("tos.rtd",,"IMPL_VOL","."&amp;S$2&amp;S$1&amp;"C"&amp;$A26))),0),IF($A$2="MAXPAIN",IF($A$4&gt;$A26,($A$4-$A26)*IF(RTD("tos.rtd",,"OPEN_INT","."&amp;S$2&amp;S$1&amp;"C"&amp;$A26)="N/A",0,RTD("tos.rtd",,"OPEN_INT","."&amp;S$2&amp;S$1&amp;"C"&amp;$A26)),0)+IF($A$4&lt;$A26,($A$5-$A$4)*IF(RTD("tos.rtd",,"OPEN_INT","."&amp;S$2&amp;S$1&amp;"P"&amp;$A26)="N/A",0,RTD("tos.rtd",,"OPEN_INT","."&amp;S$2&amp;S$1&amp;"P"&amp;$A26)),0),IF($X$1="ABS",IF(RTD("tos.rtd",,$A$2,"."&amp;S$2&amp;S$1&amp;"C"&amp;$A26)="N/A",0,RTD("tos.rtd",,$A$2,"."&amp;S$2&amp;S$1&amp;"C"&amp;$A26))+IF(RTD("tos.rtd",,$A$2,"."&amp;S$2&amp;S$1&amp;"P"&amp;$A26)="N/A",0,RTD("tos.rtd",,$A$2,"."&amp;S$2&amp;S$1&amp;"P"&amp;$A26)),IF(RTD("tos.rtd",,$A$2,"."&amp;S$2&amp;S$1&amp;"C"&amp;$A26)="N/A",0,RTD("tos.rtd",,$A$2,"."&amp;S$2&amp;S$1&amp;"C"&amp;$A26))-IF(RTD("tos.rtd",,$A$2,"."&amp;S$2&amp;S$1&amp;"P"&amp;$A26)="N/A",0,RTD("tos.rtd",,$A$2,"."&amp;S$2&amp;S$1&amp;"P"&amp;$A26))))))))))</f>
        <v>0</v>
      </c>
      <c r="T26" s="12">
        <f ca="1">IF($A$2="PREMIUM_OI",IFERROR(IF($X$1="ABS",(100*RTD("tos.rtd",,"OPEN_INT","."&amp;T$2&amp;T$1&amp;"C"&amp;$A26)*RTD("tos.rtd",,"LAST","."&amp;T$2&amp;T$1&amp;"C"&amp;$A26)+100*RTD("tos.rtd",,"OPEN_INT","."&amp;T$2&amp;T$1&amp;"P"&amp;$A26)*RTD("tos.rtd",,"LAST","."&amp;T$2&amp;T$1&amp;"P"&amp;$A26))/1000000,(100*RTD("tos.rtd",,"OPEN_INT","."&amp;T$2&amp;T$1&amp;"C"&amp;$A26)*RTD("tos.rtd",,"LAST","."&amp;T$2&amp;T$1&amp;"C"&amp;$A26)-100*RTD("tos.rtd",,"OPEN_INT","."&amp;T$2&amp;T$1&amp;"P"&amp;$A26)*RTD("tos.rtd",,"LAST","."&amp;T$2&amp;T$1&amp;"P"&amp;$A26))/1000000),0),IF($A$2="PREMIUM",IFERROR(IF($X$1="ABS",(100*RTD("tos.rtd",,"VOLUME","."&amp;T$2&amp;T$1&amp;"C"&amp;$A26)*RTD("tos.rtd",,"LAST","."&amp;T$2&amp;T$1&amp;"C"&amp;$A26)+100*RTD("tos.rtd",,"VOLUME","."&amp;T$2&amp;T$1&amp;"P"&amp;$A26)*RTD("tos.rtd",,"LAST","."&amp;T$2&amp;T$1&amp;"P"&amp;$A26))/1000000,(100*RTD("tos.rtd",,"VOLUME","."&amp;T$2&amp;T$1&amp;"C"&amp;$A26)*RTD("tos.rtd",,"LAST","."&amp;T$2&amp;T$1&amp;"C"&amp;$A26)-100*RTD("tos.rtd",,"VOLUME","."&amp;T$2&amp;T$1&amp;"P"&amp;$A26)*RTD("tos.rtd",,"LAST","."&amp;T$2&amp;T$1&amp;"P"&amp;$A26))/1000000),0),IF($A$2="DEX",IFERROR(IF($X$1="ABS",(100*RTD("tos.rtd",,"OPEN_INT","."&amp;T$2&amp;T$1&amp;"C"&amp;$A26)*RTD("tos.rtd",,"DELTA","."&amp;T$2&amp;T$1&amp;"C"&amp;$A26)+100*RTD("tos.rtd",,"OPEN_INT","."&amp;T$2&amp;T$1&amp;"P"&amp;$A26)*RTD("tos.rtd",,"DELTA","."&amp;T$2&amp;T$1&amp;"P"&amp;$A26))/1000,(100*RTD("tos.rtd",,"OPEN_INT","."&amp;T$2&amp;T$1&amp;"C"&amp;$A26)*RTD("tos.rtd",,"DELTA","."&amp;T$2&amp;T$1&amp;"C"&amp;$A26)-100*RTD("tos.rtd",,"OPEN_INT","."&amp;T$2&amp;T$1&amp;"P"&amp;$A26)*RTD("tos.rtd",,"DELTA","."&amp;T$2&amp;T$1&amp;"P"&amp;$A26))/1000),0),IF($A$2="VEX",IFERROR(IF($X$1="ABS",($A$4*$A$4*RTD("tos.rtd",,"VOLUME","."&amp;T$2&amp;T$1&amp;"C"&amp;$A26)*RTD("tos.rtd",,"GAMMA","."&amp;T$2&amp;T$1&amp;"C"&amp;$A26)+$A$4*$A$4*RTD("tos.rtd",,"VOLUME","."&amp;T$2&amp;T$1&amp;"P"&amp;$A26)*RTD("tos.rtd",,"GAMMA","."&amp;T$2&amp;T$1&amp;"P"&amp;$A26))/1000000,($A$4*$A$4*RTD("tos.rtd",,"VOLUME","."&amp;T$2&amp;T$1&amp;"C"&amp;$A26)*RTD("tos.rtd",,"GAMMA","."&amp;T$2&amp;T$1&amp;"C"&amp;$A26)-$A$4*$A$4*RTD("tos.rtd",,"VOLUME","."&amp;T$2&amp;T$1&amp;"P"&amp;$A26)*RTD("tos.rtd",,"GAMMA","."&amp;T$2&amp;T$1&amp;"P"&amp;$A26))/1000000),0),IF($A$2="GEX",IFERROR(IF($X$1="ABS",($A$4*$A$4*RTD("tos.rtd",,"OPEN_INT","."&amp;T$2&amp;T$1&amp;"C"&amp;$A26)*RTD("tos.rtd",,"GAMMA","."&amp;T$2&amp;T$1&amp;"C"&amp;$A26)+$A$4*$A$4*RTD("tos.rtd",,"OPEN_INT","."&amp;T$2&amp;T$1&amp;"P"&amp;$A26)*RTD("tos.rtd",,"GAMMA","."&amp;T$2&amp;T$1&amp;"P"&amp;$A26))/1000000,($A$4*$A$4*RTD("tos.rtd",,"OPEN_INT","."&amp;T$2&amp;T$1&amp;"C"&amp;$A26)*RTD("tos.rtd",,"GAMMA","."&amp;T$2&amp;T$1&amp;"C"&amp;$A26)-$A$4*$A$4*RTD("tos.rtd",,"OPEN_INT","."&amp;T$2&amp;T$1&amp;"P"&amp;$A26)*RTD("tos.rtd",,"GAMMA","."&amp;T$2&amp;T$1&amp;"P"&amp;$A26))/1000000),0),IF($A$2="SKEW",IFERROR(VALUE(IF(RTD("tos.rtd",,"IMPL_VOL","."&amp;T$2&amp;T$1&amp;"P"&amp;$A26)="N/A",0,RTD("tos.rtd",,"IMPL_VOL","."&amp;T$2&amp;T$1&amp;"P"&amp;$A26))),0)-IFERROR(VALUE(IF(RTD("tos.rtd",,"IMPL_VOL","."&amp;T$2&amp;T$1&amp;"C"&amp;$A26)="N/A",0,RTD("tos.rtd",,"IMPL_VOL","."&amp;T$2&amp;T$1&amp;"C"&amp;$A26))),0),IF($A$2="MAXPAIN",IF($A$4&gt;$A26,($A$4-$A26)*IF(RTD("tos.rtd",,"OPEN_INT","."&amp;T$2&amp;T$1&amp;"C"&amp;$A26)="N/A",0,RTD("tos.rtd",,"OPEN_INT","."&amp;T$2&amp;T$1&amp;"C"&amp;$A26)),0)+IF($A$4&lt;$A26,($A$5-$A$4)*IF(RTD("tos.rtd",,"OPEN_INT","."&amp;T$2&amp;T$1&amp;"P"&amp;$A26)="N/A",0,RTD("tos.rtd",,"OPEN_INT","."&amp;T$2&amp;T$1&amp;"P"&amp;$A26)),0),IF($X$1="ABS",IF(RTD("tos.rtd",,$A$2,"."&amp;T$2&amp;T$1&amp;"C"&amp;$A26)="N/A",0,RTD("tos.rtd",,$A$2,"."&amp;T$2&amp;T$1&amp;"C"&amp;$A26))+IF(RTD("tos.rtd",,$A$2,"."&amp;T$2&amp;T$1&amp;"P"&amp;$A26)="N/A",0,RTD("tos.rtd",,$A$2,"."&amp;T$2&amp;T$1&amp;"P"&amp;$A26)),IF(RTD("tos.rtd",,$A$2,"."&amp;T$2&amp;T$1&amp;"C"&amp;$A26)="N/A",0,RTD("tos.rtd",,$A$2,"."&amp;T$2&amp;T$1&amp;"C"&amp;$A26))-IF(RTD("tos.rtd",,$A$2,"."&amp;T$2&amp;T$1&amp;"P"&amp;$A26)="N/A",0,RTD("tos.rtd",,$A$2,"."&amp;T$2&amp;T$1&amp;"P"&amp;$A26))))))))))</f>
        <v>0</v>
      </c>
      <c r="U26" s="12">
        <f ca="1">IF($A$2="PREMIUM_OI",IFERROR(IF($X$1="ABS",(100*RTD("tos.rtd",,"OPEN_INT","."&amp;U$2&amp;U$1&amp;"C"&amp;$A26)*RTD("tos.rtd",,"LAST","."&amp;U$2&amp;U$1&amp;"C"&amp;$A26)+100*RTD("tos.rtd",,"OPEN_INT","."&amp;U$2&amp;U$1&amp;"P"&amp;$A26)*RTD("tos.rtd",,"LAST","."&amp;U$2&amp;U$1&amp;"P"&amp;$A26))/1000000,(100*RTD("tos.rtd",,"OPEN_INT","."&amp;U$2&amp;U$1&amp;"C"&amp;$A26)*RTD("tos.rtd",,"LAST","."&amp;U$2&amp;U$1&amp;"C"&amp;$A26)-100*RTD("tos.rtd",,"OPEN_INT","."&amp;U$2&amp;U$1&amp;"P"&amp;$A26)*RTD("tos.rtd",,"LAST","."&amp;U$2&amp;U$1&amp;"P"&amp;$A26))/1000000),0),IF($A$2="PREMIUM",IFERROR(IF($X$1="ABS",(100*RTD("tos.rtd",,"VOLUME","."&amp;U$2&amp;U$1&amp;"C"&amp;$A26)*RTD("tos.rtd",,"LAST","."&amp;U$2&amp;U$1&amp;"C"&amp;$A26)+100*RTD("tos.rtd",,"VOLUME","."&amp;U$2&amp;U$1&amp;"P"&amp;$A26)*RTD("tos.rtd",,"LAST","."&amp;U$2&amp;U$1&amp;"P"&amp;$A26))/1000000,(100*RTD("tos.rtd",,"VOLUME","."&amp;U$2&amp;U$1&amp;"C"&amp;$A26)*RTD("tos.rtd",,"LAST","."&amp;U$2&amp;U$1&amp;"C"&amp;$A26)-100*RTD("tos.rtd",,"VOLUME","."&amp;U$2&amp;U$1&amp;"P"&amp;$A26)*RTD("tos.rtd",,"LAST","."&amp;U$2&amp;U$1&amp;"P"&amp;$A26))/1000000),0),IF($A$2="DEX",IFERROR(IF($X$1="ABS",(100*RTD("tos.rtd",,"OPEN_INT","."&amp;U$2&amp;U$1&amp;"C"&amp;$A26)*RTD("tos.rtd",,"DELTA","."&amp;U$2&amp;U$1&amp;"C"&amp;$A26)+100*RTD("tos.rtd",,"OPEN_INT","."&amp;U$2&amp;U$1&amp;"P"&amp;$A26)*RTD("tos.rtd",,"DELTA","."&amp;U$2&amp;U$1&amp;"P"&amp;$A26))/1000,(100*RTD("tos.rtd",,"OPEN_INT","."&amp;U$2&amp;U$1&amp;"C"&amp;$A26)*RTD("tos.rtd",,"DELTA","."&amp;U$2&amp;U$1&amp;"C"&amp;$A26)-100*RTD("tos.rtd",,"OPEN_INT","."&amp;U$2&amp;U$1&amp;"P"&amp;$A26)*RTD("tos.rtd",,"DELTA","."&amp;U$2&amp;U$1&amp;"P"&amp;$A26))/1000),0),IF($A$2="VEX",IFERROR(IF($X$1="ABS",($A$4*$A$4*RTD("tos.rtd",,"VOLUME","."&amp;U$2&amp;U$1&amp;"C"&amp;$A26)*RTD("tos.rtd",,"GAMMA","."&amp;U$2&amp;U$1&amp;"C"&amp;$A26)+$A$4*$A$4*RTD("tos.rtd",,"VOLUME","."&amp;U$2&amp;U$1&amp;"P"&amp;$A26)*RTD("tos.rtd",,"GAMMA","."&amp;U$2&amp;U$1&amp;"P"&amp;$A26))/1000000,($A$4*$A$4*RTD("tos.rtd",,"VOLUME","."&amp;U$2&amp;U$1&amp;"C"&amp;$A26)*RTD("tos.rtd",,"GAMMA","."&amp;U$2&amp;U$1&amp;"C"&amp;$A26)-$A$4*$A$4*RTD("tos.rtd",,"VOLUME","."&amp;U$2&amp;U$1&amp;"P"&amp;$A26)*RTD("tos.rtd",,"GAMMA","."&amp;U$2&amp;U$1&amp;"P"&amp;$A26))/1000000),0),IF($A$2="GEX",IFERROR(IF($X$1="ABS",($A$4*$A$4*RTD("tos.rtd",,"OPEN_INT","."&amp;U$2&amp;U$1&amp;"C"&amp;$A26)*RTD("tos.rtd",,"GAMMA","."&amp;U$2&amp;U$1&amp;"C"&amp;$A26)+$A$4*$A$4*RTD("tos.rtd",,"OPEN_INT","."&amp;U$2&amp;U$1&amp;"P"&amp;$A26)*RTD("tos.rtd",,"GAMMA","."&amp;U$2&amp;U$1&amp;"P"&amp;$A26))/1000000,($A$4*$A$4*RTD("tos.rtd",,"OPEN_INT","."&amp;U$2&amp;U$1&amp;"C"&amp;$A26)*RTD("tos.rtd",,"GAMMA","."&amp;U$2&amp;U$1&amp;"C"&amp;$A26)-$A$4*$A$4*RTD("tos.rtd",,"OPEN_INT","."&amp;U$2&amp;U$1&amp;"P"&amp;$A26)*RTD("tos.rtd",,"GAMMA","."&amp;U$2&amp;U$1&amp;"P"&amp;$A26))/1000000),0),IF($A$2="SKEW",IFERROR(VALUE(IF(RTD("tos.rtd",,"IMPL_VOL","."&amp;U$2&amp;U$1&amp;"P"&amp;$A26)="N/A",0,RTD("tos.rtd",,"IMPL_VOL","."&amp;U$2&amp;U$1&amp;"P"&amp;$A26))),0)-IFERROR(VALUE(IF(RTD("tos.rtd",,"IMPL_VOL","."&amp;U$2&amp;U$1&amp;"C"&amp;$A26)="N/A",0,RTD("tos.rtd",,"IMPL_VOL","."&amp;U$2&amp;U$1&amp;"C"&amp;$A26))),0),IF($A$2="MAXPAIN",IF($A$4&gt;$A26,($A$4-$A26)*IF(RTD("tos.rtd",,"OPEN_INT","."&amp;U$2&amp;U$1&amp;"C"&amp;$A26)="N/A",0,RTD("tos.rtd",,"OPEN_INT","."&amp;U$2&amp;U$1&amp;"C"&amp;$A26)),0)+IF($A$4&lt;$A26,($A$5-$A$4)*IF(RTD("tos.rtd",,"OPEN_INT","."&amp;U$2&amp;U$1&amp;"P"&amp;$A26)="N/A",0,RTD("tos.rtd",,"OPEN_INT","."&amp;U$2&amp;U$1&amp;"P"&amp;$A26)),0),IF($X$1="ABS",IF(RTD("tos.rtd",,$A$2,"."&amp;U$2&amp;U$1&amp;"C"&amp;$A26)="N/A",0,RTD("tos.rtd",,$A$2,"."&amp;U$2&amp;U$1&amp;"C"&amp;$A26))+IF(RTD("tos.rtd",,$A$2,"."&amp;U$2&amp;U$1&amp;"P"&amp;$A26)="N/A",0,RTD("tos.rtd",,$A$2,"."&amp;U$2&amp;U$1&amp;"P"&amp;$A26)),IF(RTD("tos.rtd",,$A$2,"."&amp;U$2&amp;U$1&amp;"C"&amp;$A26)="N/A",0,RTD("tos.rtd",,$A$2,"."&amp;U$2&amp;U$1&amp;"C"&amp;$A26))-IF(RTD("tos.rtd",,$A$2,"."&amp;U$2&amp;U$1&amp;"P"&amp;$A26)="N/A",0,RTD("tos.rtd",,$A$2,"."&amp;U$2&amp;U$1&amp;"P"&amp;$A26))))))))))</f>
        <v>0</v>
      </c>
      <c r="V26" s="12">
        <f ca="1">IF($A$2="PREMIUM_OI",IFERROR(IF($X$1="ABS",(100*RTD("tos.rtd",,"OPEN_INT","."&amp;V$2&amp;V$1&amp;"C"&amp;$A26)*RTD("tos.rtd",,"LAST","."&amp;V$2&amp;V$1&amp;"C"&amp;$A26)+100*RTD("tos.rtd",,"OPEN_INT","."&amp;V$2&amp;V$1&amp;"P"&amp;$A26)*RTD("tos.rtd",,"LAST","."&amp;V$2&amp;V$1&amp;"P"&amp;$A26))/1000000,(100*RTD("tos.rtd",,"OPEN_INT","."&amp;V$2&amp;V$1&amp;"C"&amp;$A26)*RTD("tos.rtd",,"LAST","."&amp;V$2&amp;V$1&amp;"C"&amp;$A26)-100*RTD("tos.rtd",,"OPEN_INT","."&amp;V$2&amp;V$1&amp;"P"&amp;$A26)*RTD("tos.rtd",,"LAST","."&amp;V$2&amp;V$1&amp;"P"&amp;$A26))/1000000),0),IF($A$2="PREMIUM",IFERROR(IF($X$1="ABS",(100*RTD("tos.rtd",,"VOLUME","."&amp;V$2&amp;V$1&amp;"C"&amp;$A26)*RTD("tos.rtd",,"LAST","."&amp;V$2&amp;V$1&amp;"C"&amp;$A26)+100*RTD("tos.rtd",,"VOLUME","."&amp;V$2&amp;V$1&amp;"P"&amp;$A26)*RTD("tos.rtd",,"LAST","."&amp;V$2&amp;V$1&amp;"P"&amp;$A26))/1000000,(100*RTD("tos.rtd",,"VOLUME","."&amp;V$2&amp;V$1&amp;"C"&amp;$A26)*RTD("tos.rtd",,"LAST","."&amp;V$2&amp;V$1&amp;"C"&amp;$A26)-100*RTD("tos.rtd",,"VOLUME","."&amp;V$2&amp;V$1&amp;"P"&amp;$A26)*RTD("tos.rtd",,"LAST","."&amp;V$2&amp;V$1&amp;"P"&amp;$A26))/1000000),0),IF($A$2="DEX",IFERROR(IF($X$1="ABS",(100*RTD("tos.rtd",,"OPEN_INT","."&amp;V$2&amp;V$1&amp;"C"&amp;$A26)*RTD("tos.rtd",,"DELTA","."&amp;V$2&amp;V$1&amp;"C"&amp;$A26)+100*RTD("tos.rtd",,"OPEN_INT","."&amp;V$2&amp;V$1&amp;"P"&amp;$A26)*RTD("tos.rtd",,"DELTA","."&amp;V$2&amp;V$1&amp;"P"&amp;$A26))/1000,(100*RTD("tos.rtd",,"OPEN_INT","."&amp;V$2&amp;V$1&amp;"C"&amp;$A26)*RTD("tos.rtd",,"DELTA","."&amp;V$2&amp;V$1&amp;"C"&amp;$A26)-100*RTD("tos.rtd",,"OPEN_INT","."&amp;V$2&amp;V$1&amp;"P"&amp;$A26)*RTD("tos.rtd",,"DELTA","."&amp;V$2&amp;V$1&amp;"P"&amp;$A26))/1000),0),IF($A$2="VEX",IFERROR(IF($X$1="ABS",($A$4*$A$4*RTD("tos.rtd",,"VOLUME","."&amp;V$2&amp;V$1&amp;"C"&amp;$A26)*RTD("tos.rtd",,"GAMMA","."&amp;V$2&amp;V$1&amp;"C"&amp;$A26)+$A$4*$A$4*RTD("tos.rtd",,"VOLUME","."&amp;V$2&amp;V$1&amp;"P"&amp;$A26)*RTD("tos.rtd",,"GAMMA","."&amp;V$2&amp;V$1&amp;"P"&amp;$A26))/1000000,($A$4*$A$4*RTD("tos.rtd",,"VOLUME","."&amp;V$2&amp;V$1&amp;"C"&amp;$A26)*RTD("tos.rtd",,"GAMMA","."&amp;V$2&amp;V$1&amp;"C"&amp;$A26)-$A$4*$A$4*RTD("tos.rtd",,"VOLUME","."&amp;V$2&amp;V$1&amp;"P"&amp;$A26)*RTD("tos.rtd",,"GAMMA","."&amp;V$2&amp;V$1&amp;"P"&amp;$A26))/1000000),0),IF($A$2="GEX",IFERROR(IF($X$1="ABS",($A$4*$A$4*RTD("tos.rtd",,"OPEN_INT","."&amp;V$2&amp;V$1&amp;"C"&amp;$A26)*RTD("tos.rtd",,"GAMMA","."&amp;V$2&amp;V$1&amp;"C"&amp;$A26)+$A$4*$A$4*RTD("tos.rtd",,"OPEN_INT","."&amp;V$2&amp;V$1&amp;"P"&amp;$A26)*RTD("tos.rtd",,"GAMMA","."&amp;V$2&amp;V$1&amp;"P"&amp;$A26))/1000000,($A$4*$A$4*RTD("tos.rtd",,"OPEN_INT","."&amp;V$2&amp;V$1&amp;"C"&amp;$A26)*RTD("tos.rtd",,"GAMMA","."&amp;V$2&amp;V$1&amp;"C"&amp;$A26)-$A$4*$A$4*RTD("tos.rtd",,"OPEN_INT","."&amp;V$2&amp;V$1&amp;"P"&amp;$A26)*RTD("tos.rtd",,"GAMMA","."&amp;V$2&amp;V$1&amp;"P"&amp;$A26))/1000000),0),IF($A$2="SKEW",IFERROR(VALUE(IF(RTD("tos.rtd",,"IMPL_VOL","."&amp;V$2&amp;V$1&amp;"P"&amp;$A26)="N/A",0,RTD("tos.rtd",,"IMPL_VOL","."&amp;V$2&amp;V$1&amp;"P"&amp;$A26))),0)-IFERROR(VALUE(IF(RTD("tos.rtd",,"IMPL_VOL","."&amp;V$2&amp;V$1&amp;"C"&amp;$A26)="N/A",0,RTD("tos.rtd",,"IMPL_VOL","."&amp;V$2&amp;V$1&amp;"C"&amp;$A26))),0),IF($A$2="MAXPAIN",IF($A$4&gt;$A26,($A$4-$A26)*IF(RTD("tos.rtd",,"OPEN_INT","."&amp;V$2&amp;V$1&amp;"C"&amp;$A26)="N/A",0,RTD("tos.rtd",,"OPEN_INT","."&amp;V$2&amp;V$1&amp;"C"&amp;$A26)),0)+IF($A$4&lt;$A26,($A$5-$A$4)*IF(RTD("tos.rtd",,"OPEN_INT","."&amp;V$2&amp;V$1&amp;"P"&amp;$A26)="N/A",0,RTD("tos.rtd",,"OPEN_INT","."&amp;V$2&amp;V$1&amp;"P"&amp;$A26)),0),IF($X$1="ABS",IF(RTD("tos.rtd",,$A$2,"."&amp;V$2&amp;V$1&amp;"C"&amp;$A26)="N/A",0,RTD("tos.rtd",,$A$2,"."&amp;V$2&amp;V$1&amp;"C"&amp;$A26))+IF(RTD("tos.rtd",,$A$2,"."&amp;V$2&amp;V$1&amp;"P"&amp;$A26)="N/A",0,RTD("tos.rtd",,$A$2,"."&amp;V$2&amp;V$1&amp;"P"&amp;$A26)),IF(RTD("tos.rtd",,$A$2,"."&amp;V$2&amp;V$1&amp;"C"&amp;$A26)="N/A",0,RTD("tos.rtd",,$A$2,"."&amp;V$2&amp;V$1&amp;"C"&amp;$A26))-IF(RTD("tos.rtd",,$A$2,"."&amp;V$2&amp;V$1&amp;"P"&amp;$A26)="N/A",0,RTD("tos.rtd",,$A$2,"."&amp;V$2&amp;V$1&amp;"P"&amp;$A26))))))))))</f>
        <v>0</v>
      </c>
      <c r="W26" s="54">
        <f ca="1">IF($A$2="PREMIUM_OI",IFERROR(IF($X$1="ABS",(100*RTD("tos.rtd",,"OPEN_INT","."&amp;W$2&amp;W$1&amp;"C"&amp;$A26)*RTD("tos.rtd",,"LAST","."&amp;W$2&amp;W$1&amp;"C"&amp;$A26)+100*RTD("tos.rtd",,"OPEN_INT","."&amp;W$2&amp;W$1&amp;"P"&amp;$A26)*RTD("tos.rtd",,"LAST","."&amp;W$2&amp;W$1&amp;"P"&amp;$A26))/1000000,(100*RTD("tos.rtd",,"OPEN_INT","."&amp;W$2&amp;W$1&amp;"C"&amp;$A26)*RTD("tos.rtd",,"LAST","."&amp;W$2&amp;W$1&amp;"C"&amp;$A26)-100*RTD("tos.rtd",,"OPEN_INT","."&amp;W$2&amp;W$1&amp;"P"&amp;$A26)*RTD("tos.rtd",,"LAST","."&amp;W$2&amp;W$1&amp;"P"&amp;$A26))/1000000),0),IF($A$2="PREMIUM",IFERROR(IF($X$1="ABS",(100*RTD("tos.rtd",,"VOLUME","."&amp;W$2&amp;W$1&amp;"C"&amp;$A26)*RTD("tos.rtd",,"LAST","."&amp;W$2&amp;W$1&amp;"C"&amp;$A26)+100*RTD("tos.rtd",,"VOLUME","."&amp;W$2&amp;W$1&amp;"P"&amp;$A26)*RTD("tos.rtd",,"LAST","."&amp;W$2&amp;W$1&amp;"P"&amp;$A26))/1000000,(100*RTD("tos.rtd",,"VOLUME","."&amp;W$2&amp;W$1&amp;"C"&amp;$A26)*RTD("tos.rtd",,"LAST","."&amp;W$2&amp;W$1&amp;"C"&amp;$A26)-100*RTD("tos.rtd",,"VOLUME","."&amp;W$2&amp;W$1&amp;"P"&amp;$A26)*RTD("tos.rtd",,"LAST","."&amp;W$2&amp;W$1&amp;"P"&amp;$A26))/1000000),0),IF($A$2="DEX",IFERROR(IF($X$1="ABS",(100*RTD("tos.rtd",,"OPEN_INT","."&amp;W$2&amp;W$1&amp;"C"&amp;$A26)*RTD("tos.rtd",,"DELTA","."&amp;W$2&amp;W$1&amp;"C"&amp;$A26)+100*RTD("tos.rtd",,"OPEN_INT","."&amp;W$2&amp;W$1&amp;"P"&amp;$A26)*RTD("tos.rtd",,"DELTA","."&amp;W$2&amp;W$1&amp;"P"&amp;$A26))/1000,(100*RTD("tos.rtd",,"OPEN_INT","."&amp;W$2&amp;W$1&amp;"C"&amp;$A26)*RTD("tos.rtd",,"DELTA","."&amp;W$2&amp;W$1&amp;"C"&amp;$A26)-100*RTD("tos.rtd",,"OPEN_INT","."&amp;W$2&amp;W$1&amp;"P"&amp;$A26)*RTD("tos.rtd",,"DELTA","."&amp;W$2&amp;W$1&amp;"P"&amp;$A26))/1000),0),IF($A$2="VEX",IFERROR(IF($X$1="ABS",($A$4*$A$4*RTD("tos.rtd",,"VOLUME","."&amp;W$2&amp;W$1&amp;"C"&amp;$A26)*RTD("tos.rtd",,"GAMMA","."&amp;W$2&amp;W$1&amp;"C"&amp;$A26)+$A$4*$A$4*RTD("tos.rtd",,"VOLUME","."&amp;W$2&amp;W$1&amp;"P"&amp;$A26)*RTD("tos.rtd",,"GAMMA","."&amp;W$2&amp;W$1&amp;"P"&amp;$A26))/1000000,($A$4*$A$4*RTD("tos.rtd",,"VOLUME","."&amp;W$2&amp;W$1&amp;"C"&amp;$A26)*RTD("tos.rtd",,"GAMMA","."&amp;W$2&amp;W$1&amp;"C"&amp;$A26)-$A$4*$A$4*RTD("tos.rtd",,"VOLUME","."&amp;W$2&amp;W$1&amp;"P"&amp;$A26)*RTD("tos.rtd",,"GAMMA","."&amp;W$2&amp;W$1&amp;"P"&amp;$A26))/1000000),0),IF($A$2="GEX",IFERROR(IF($X$1="ABS",($A$4*$A$4*RTD("tos.rtd",,"OPEN_INT","."&amp;W$2&amp;W$1&amp;"C"&amp;$A26)*RTD("tos.rtd",,"GAMMA","."&amp;W$2&amp;W$1&amp;"C"&amp;$A26)+$A$4*$A$4*RTD("tos.rtd",,"OPEN_INT","."&amp;W$2&amp;W$1&amp;"P"&amp;$A26)*RTD("tos.rtd",,"GAMMA","."&amp;W$2&amp;W$1&amp;"P"&amp;$A26))/1000000,($A$4*$A$4*RTD("tos.rtd",,"OPEN_INT","."&amp;W$2&amp;W$1&amp;"C"&amp;$A26)*RTD("tos.rtd",,"GAMMA","."&amp;W$2&amp;W$1&amp;"C"&amp;$A26)-$A$4*$A$4*RTD("tos.rtd",,"OPEN_INT","."&amp;W$2&amp;W$1&amp;"P"&amp;$A26)*RTD("tos.rtd",,"GAMMA","."&amp;W$2&amp;W$1&amp;"P"&amp;$A26))/1000000),0),IF($A$2="SKEW",IFERROR(VALUE(IF(RTD("tos.rtd",,"IMPL_VOL","."&amp;W$2&amp;W$1&amp;"P"&amp;$A26)="N/A",0,RTD("tos.rtd",,"IMPL_VOL","."&amp;W$2&amp;W$1&amp;"P"&amp;$A26))),0)-IFERROR(VALUE(IF(RTD("tos.rtd",,"IMPL_VOL","."&amp;W$2&amp;W$1&amp;"C"&amp;$A26)="N/A",0,RTD("tos.rtd",,"IMPL_VOL","."&amp;W$2&amp;W$1&amp;"C"&amp;$A26))),0),IF($A$2="MAXPAIN",IF($A$4&gt;$A26,($A$4-$A26)*IF(RTD("tos.rtd",,"OPEN_INT","."&amp;W$2&amp;W$1&amp;"C"&amp;$A26)="N/A",0,RTD("tos.rtd",,"OPEN_INT","."&amp;W$2&amp;W$1&amp;"C"&amp;$A26)),0)+IF($A$4&lt;$A26,($A$5-$A$4)*IF(RTD("tos.rtd",,"OPEN_INT","."&amp;W$2&amp;W$1&amp;"P"&amp;$A26)="N/A",0,RTD("tos.rtd",,"OPEN_INT","."&amp;W$2&amp;W$1&amp;"P"&amp;$A26)),0),IF($X$1="ABS",IF(RTD("tos.rtd",,$A$2,"."&amp;W$2&amp;W$1&amp;"C"&amp;$A26)="N/A",0,RTD("tos.rtd",,$A$2,"."&amp;W$2&amp;W$1&amp;"C"&amp;$A26))+IF(RTD("tos.rtd",,$A$2,"."&amp;W$2&amp;W$1&amp;"P"&amp;$A26)="N/A",0,RTD("tos.rtd",,$A$2,"."&amp;W$2&amp;W$1&amp;"P"&amp;$A26)),IF(RTD("tos.rtd",,$A$2,"."&amp;W$2&amp;W$1&amp;"C"&amp;$A26)="N/A",0,RTD("tos.rtd",,$A$2,"."&amp;W$2&amp;W$1&amp;"C"&amp;$A26))-IF(RTD("tos.rtd",,$A$2,"."&amp;W$2&amp;W$1&amp;"P"&amp;$A26)="N/A",0,RTD("tos.rtd",,$A$2,"."&amp;W$2&amp;W$1&amp;"P"&amp;$A26))))))))))</f>
        <v>0</v>
      </c>
      <c r="X26" s="57">
        <f t="shared" ca="1" si="8"/>
        <v>0</v>
      </c>
      <c r="Y26" s="27">
        <f t="shared" ca="1" si="9"/>
        <v>0</v>
      </c>
      <c r="Z26" s="27">
        <f ca="1">+'OI-VOL'!Y26</f>
        <v>34134</v>
      </c>
      <c r="AA26" s="27" t="b">
        <f t="shared" ca="1" si="10"/>
        <v>0</v>
      </c>
      <c r="AB26" s="27">
        <f t="shared" si="11"/>
        <v>51283400</v>
      </c>
      <c r="AC26" s="18">
        <f>MAX(0, $A26-AC$4)*IF(RTD("tos.rtd",,"OPEN_INT","."&amp;$AB$3&amp;$AB$4&amp;"C"&amp;AC$4)="N/A",0,RTD("tos.rtd",,"OPEN_INT","."&amp;$AB$3&amp;$AB$4&amp;"C"&amp;AC$4))*100 + MAX(0, AC$4-$A26)*IF(RTD("tos.rtd",,"OPEN_INT","."&amp;$AB$3&amp;$AB$4&amp;"P"&amp;AC$4)="N/A",0,RTD("tos.rtd",,"OPEN_INT","."&amp;$AB$3&amp;$AB$4&amp;"P"&amp;AC$4))*100</f>
        <v>0</v>
      </c>
      <c r="AD26" s="18">
        <f>MAX(0, $A26-AD$4)*IF(RTD("tos.rtd",,"OPEN_INT","."&amp;$AB$3&amp;$AB$4&amp;"C"&amp;AD$4)="N/A",0,RTD("tos.rtd",,"OPEN_INT","."&amp;$AB$3&amp;$AB$4&amp;"C"&amp;AD$4))*100 + MAX(0, AD$4-$A26)*IF(RTD("tos.rtd",,"OPEN_INT","."&amp;$AB$3&amp;$AB$4&amp;"P"&amp;AD$4)="N/A",0,RTD("tos.rtd",,"OPEN_INT","."&amp;$AB$3&amp;$AB$4&amp;"P"&amp;AD$4))*100</f>
        <v>0</v>
      </c>
      <c r="AE26" s="18">
        <f>MAX(0, $A26-AE$4)*IF(RTD("tos.rtd",,"OPEN_INT","."&amp;$AB$3&amp;$AB$4&amp;"C"&amp;AE$4)="N/A",0,RTD("tos.rtd",,"OPEN_INT","."&amp;$AB$3&amp;$AB$4&amp;"C"&amp;AE$4))*100 + MAX(0, AE$4-$A26)*IF(RTD("tos.rtd",,"OPEN_INT","."&amp;$AB$3&amp;$AB$4&amp;"P"&amp;AE$4)="N/A",0,RTD("tos.rtd",,"OPEN_INT","."&amp;$AB$3&amp;$AB$4&amp;"P"&amp;AE$4))*100</f>
        <v>0</v>
      </c>
      <c r="AF26" s="18">
        <f>MAX(0, $A26-AF$4)*IF(RTD("tos.rtd",,"OPEN_INT","."&amp;$AB$3&amp;$AB$4&amp;"C"&amp;AF$4)="N/A",0,RTD("tos.rtd",,"OPEN_INT","."&amp;$AB$3&amp;$AB$4&amp;"C"&amp;AF$4))*100 + MAX(0, AF$4-$A26)*IF(RTD("tos.rtd",,"OPEN_INT","."&amp;$AB$3&amp;$AB$4&amp;"P"&amp;AF$4)="N/A",0,RTD("tos.rtd",,"OPEN_INT","."&amp;$AB$3&amp;$AB$4&amp;"P"&amp;AF$4))*100</f>
        <v>0</v>
      </c>
      <c r="AG26" s="18">
        <f>MAX(0, $A26-AG$4)*IF(RTD("tos.rtd",,"OPEN_INT","."&amp;$AB$3&amp;$AB$4&amp;"C"&amp;AG$4)="N/A",0,RTD("tos.rtd",,"OPEN_INT","."&amp;$AB$3&amp;$AB$4&amp;"C"&amp;AG$4))*100 + MAX(0, AG$4-$A26)*IF(RTD("tos.rtd",,"OPEN_INT","."&amp;$AB$3&amp;$AB$4&amp;"P"&amp;AG$4)="N/A",0,RTD("tos.rtd",,"OPEN_INT","."&amp;$AB$3&amp;$AB$4&amp;"P"&amp;AG$4))*100</f>
        <v>0</v>
      </c>
      <c r="AH26" s="18">
        <f>MAX(0, $A26-AH$4)*IF(RTD("tos.rtd",,"OPEN_INT","."&amp;$AB$3&amp;$AB$4&amp;"C"&amp;AH$4)="N/A",0,RTD("tos.rtd",,"OPEN_INT","."&amp;$AB$3&amp;$AB$4&amp;"C"&amp;AH$4))*100 + MAX(0, AH$4-$A26)*IF(RTD("tos.rtd",,"OPEN_INT","."&amp;$AB$3&amp;$AB$4&amp;"P"&amp;AH$4)="N/A",0,RTD("tos.rtd",,"OPEN_INT","."&amp;$AB$3&amp;$AB$4&amp;"P"&amp;AH$4))*100</f>
        <v>0</v>
      </c>
      <c r="AI26" s="18">
        <f>MAX(0, $A26-AI$4)*IF(RTD("tos.rtd",,"OPEN_INT","."&amp;$AB$3&amp;$AB$4&amp;"C"&amp;AI$4)="N/A",0,RTD("tos.rtd",,"OPEN_INT","."&amp;$AB$3&amp;$AB$4&amp;"C"&amp;AI$4))*100 + MAX(0, AI$4-$A26)*IF(RTD("tos.rtd",,"OPEN_INT","."&amp;$AB$3&amp;$AB$4&amp;"P"&amp;AI$4)="N/A",0,RTD("tos.rtd",,"OPEN_INT","."&amp;$AB$3&amp;$AB$4&amp;"P"&amp;AI$4))*100</f>
        <v>0</v>
      </c>
      <c r="AJ26" s="18">
        <f>MAX(0, $A26-AJ$4)*IF(RTD("tos.rtd",,"OPEN_INT","."&amp;$AB$3&amp;$AB$4&amp;"C"&amp;AJ$4)="N/A",0,RTD("tos.rtd",,"OPEN_INT","."&amp;$AB$3&amp;$AB$4&amp;"C"&amp;AJ$4))*100 + MAX(0, AJ$4-$A26)*IF(RTD("tos.rtd",,"OPEN_INT","."&amp;$AB$3&amp;$AB$4&amp;"P"&amp;AJ$4)="N/A",0,RTD("tos.rtd",,"OPEN_INT","."&amp;$AB$3&amp;$AB$4&amp;"P"&amp;AJ$4))*100</f>
        <v>2100</v>
      </c>
      <c r="AK26" s="18">
        <f>MAX(0, $A26-AK$4)*IF(RTD("tos.rtd",,"OPEN_INT","."&amp;$AB$3&amp;$AB$4&amp;"C"&amp;AK$4)="N/A",0,RTD("tos.rtd",,"OPEN_INT","."&amp;$AB$3&amp;$AB$4&amp;"C"&amp;AK$4))*100 + MAX(0, AK$4-$A26)*IF(RTD("tos.rtd",,"OPEN_INT","."&amp;$AB$3&amp;$AB$4&amp;"P"&amp;AK$4)="N/A",0,RTD("tos.rtd",,"OPEN_INT","."&amp;$AB$3&amp;$AB$4&amp;"P"&amp;AK$4))*100</f>
        <v>5200</v>
      </c>
      <c r="AL26" s="18">
        <f>MAX(0, $A26-AL$4)*IF(RTD("tos.rtd",,"OPEN_INT","."&amp;$AB$3&amp;$AB$4&amp;"C"&amp;AL$4)="N/A",0,RTD("tos.rtd",,"OPEN_INT","."&amp;$AB$3&amp;$AB$4&amp;"C"&amp;AL$4))*100 + MAX(0, AL$4-$A26)*IF(RTD("tos.rtd",,"OPEN_INT","."&amp;$AB$3&amp;$AB$4&amp;"P"&amp;AL$4)="N/A",0,RTD("tos.rtd",,"OPEN_INT","."&amp;$AB$3&amp;$AB$4&amp;"P"&amp;AL$4))*100</f>
        <v>0</v>
      </c>
      <c r="AM26" s="18">
        <f>MAX(0, $A26-AM$4)*IF(RTD("tos.rtd",,"OPEN_INT","."&amp;$AB$3&amp;$AB$4&amp;"C"&amp;AM$4)="N/A",0,RTD("tos.rtd",,"OPEN_INT","."&amp;$AB$3&amp;$AB$4&amp;"C"&amp;AM$4))*100 + MAX(0, AM$4-$A26)*IF(RTD("tos.rtd",,"OPEN_INT","."&amp;$AB$3&amp;$AB$4&amp;"P"&amp;AM$4)="N/A",0,RTD("tos.rtd",,"OPEN_INT","."&amp;$AB$3&amp;$AB$4&amp;"P"&amp;AM$4))*100</f>
        <v>0</v>
      </c>
      <c r="AN26" s="18">
        <f>MAX(0, $A26-AN$4)*IF(RTD("tos.rtd",,"OPEN_INT","."&amp;$AB$3&amp;$AB$4&amp;"C"&amp;AN$4)="N/A",0,RTD("tos.rtd",,"OPEN_INT","."&amp;$AB$3&amp;$AB$4&amp;"C"&amp;AN$4))*100 + MAX(0, AN$4-$A26)*IF(RTD("tos.rtd",,"OPEN_INT","."&amp;$AB$3&amp;$AB$4&amp;"P"&amp;AN$4)="N/A",0,RTD("tos.rtd",,"OPEN_INT","."&amp;$AB$3&amp;$AB$4&amp;"P"&amp;AN$4))*100</f>
        <v>0</v>
      </c>
      <c r="AO26" s="18">
        <f>MAX(0, $A26-AO$4)*IF(RTD("tos.rtd",,"OPEN_INT","."&amp;$AB$3&amp;$AB$4&amp;"C"&amp;AO$4)="N/A",0,RTD("tos.rtd",,"OPEN_INT","."&amp;$AB$3&amp;$AB$4&amp;"C"&amp;AO$4))*100 + MAX(0, AO$4-$A26)*IF(RTD("tos.rtd",,"OPEN_INT","."&amp;$AB$3&amp;$AB$4&amp;"P"&amp;AO$4)="N/A",0,RTD("tos.rtd",,"OPEN_INT","."&amp;$AB$3&amp;$AB$4&amp;"P"&amp;AO$4))*100</f>
        <v>0</v>
      </c>
      <c r="AP26" s="18">
        <f>MAX(0, $A26-AP$4)*IF(RTD("tos.rtd",,"OPEN_INT","."&amp;$AB$3&amp;$AB$4&amp;"C"&amp;AP$4)="N/A",0,RTD("tos.rtd",,"OPEN_INT","."&amp;$AB$3&amp;$AB$4&amp;"C"&amp;AP$4))*100 + MAX(0, AP$4-$A26)*IF(RTD("tos.rtd",,"OPEN_INT","."&amp;$AB$3&amp;$AB$4&amp;"P"&amp;AP$4)="N/A",0,RTD("tos.rtd",,"OPEN_INT","."&amp;$AB$3&amp;$AB$4&amp;"P"&amp;AP$4))*100</f>
        <v>48000</v>
      </c>
      <c r="AQ26" s="18">
        <f>MAX(0, $A26-AQ$4)*IF(RTD("tos.rtd",,"OPEN_INT","."&amp;$AB$3&amp;$AB$4&amp;"C"&amp;AQ$4)="N/A",0,RTD("tos.rtd",,"OPEN_INT","."&amp;$AB$3&amp;$AB$4&amp;"C"&amp;AQ$4))*100 + MAX(0, AQ$4-$A26)*IF(RTD("tos.rtd",,"OPEN_INT","."&amp;$AB$3&amp;$AB$4&amp;"P"&amp;AQ$4)="N/A",0,RTD("tos.rtd",,"OPEN_INT","."&amp;$AB$3&amp;$AB$4&amp;"P"&amp;AQ$4))*100</f>
        <v>0</v>
      </c>
      <c r="AR26" s="18">
        <f>MAX(0, $A26-AR$4)*IF(RTD("tos.rtd",,"OPEN_INT","."&amp;$AB$3&amp;$AB$4&amp;"C"&amp;AR$4)="N/A",0,RTD("tos.rtd",,"OPEN_INT","."&amp;$AB$3&amp;$AB$4&amp;"C"&amp;AR$4))*100 + MAX(0, AR$4-$A26)*IF(RTD("tos.rtd",,"OPEN_INT","."&amp;$AB$3&amp;$AB$4&amp;"P"&amp;AR$4)="N/A",0,RTD("tos.rtd",,"OPEN_INT","."&amp;$AB$3&amp;$AB$4&amp;"P"&amp;AR$4))*100</f>
        <v>15900</v>
      </c>
      <c r="AS26" s="18">
        <f>MAX(0, $A26-AS$4)*IF(RTD("tos.rtd",,"OPEN_INT","."&amp;$AB$3&amp;$AB$4&amp;"C"&amp;AS$4)="N/A",0,RTD("tos.rtd",,"OPEN_INT","."&amp;$AB$3&amp;$AB$4&amp;"C"&amp;AS$4))*100 + MAX(0, AS$4-$A26)*IF(RTD("tos.rtd",,"OPEN_INT","."&amp;$AB$3&amp;$AB$4&amp;"P"&amp;AS$4)="N/A",0,RTD("tos.rtd",,"OPEN_INT","."&amp;$AB$3&amp;$AB$4&amp;"P"&amp;AS$4))*100</f>
        <v>1500</v>
      </c>
      <c r="AT26" s="18">
        <f>MAX(0, $A26-AT$4)*IF(RTD("tos.rtd",,"OPEN_INT","."&amp;$AB$3&amp;$AB$4&amp;"C"&amp;AT$4)="N/A",0,RTD("tos.rtd",,"OPEN_INT","."&amp;$AB$3&amp;$AB$4&amp;"C"&amp;AT$4))*100 + MAX(0, AT$4-$A26)*IF(RTD("tos.rtd",,"OPEN_INT","."&amp;$AB$3&amp;$AB$4&amp;"P"&amp;AT$4)="N/A",0,RTD("tos.rtd",,"OPEN_INT","."&amp;$AB$3&amp;$AB$4&amp;"P"&amp;AT$4))*100</f>
        <v>12400</v>
      </c>
      <c r="AU26" s="18">
        <f>MAX(0, $A26-AU$4)*IF(RTD("tos.rtd",,"OPEN_INT","."&amp;$AB$3&amp;$AB$4&amp;"C"&amp;AU$4)="N/A",0,RTD("tos.rtd",,"OPEN_INT","."&amp;$AB$3&amp;$AB$4&amp;"C"&amp;AU$4))*100 + MAX(0, AU$4-$A26)*IF(RTD("tos.rtd",,"OPEN_INT","."&amp;$AB$3&amp;$AB$4&amp;"P"&amp;AU$4)="N/A",0,RTD("tos.rtd",,"OPEN_INT","."&amp;$AB$3&amp;$AB$4&amp;"P"&amp;AU$4))*100</f>
        <v>10500</v>
      </c>
      <c r="AV26" s="18">
        <f>MAX(0, $A26-AV$4)*IF(RTD("tos.rtd",,"OPEN_INT","."&amp;$AB$3&amp;$AB$4&amp;"C"&amp;AV$4)="N/A",0,RTD("tos.rtd",,"OPEN_INT","."&amp;$AB$3&amp;$AB$4&amp;"C"&amp;AV$4))*100 + MAX(0, AV$4-$A26)*IF(RTD("tos.rtd",,"OPEN_INT","."&amp;$AB$3&amp;$AB$4&amp;"P"&amp;AV$4)="N/A",0,RTD("tos.rtd",,"OPEN_INT","."&amp;$AB$3&amp;$AB$4&amp;"P"&amp;AV$4))*100</f>
        <v>4000</v>
      </c>
      <c r="AW26" s="18">
        <f>MAX(0, $A26-AW$4)*IF(RTD("tos.rtd",,"OPEN_INT","."&amp;$AB$3&amp;$AB$4&amp;"C"&amp;AW$4)="N/A",0,RTD("tos.rtd",,"OPEN_INT","."&amp;$AB$3&amp;$AB$4&amp;"C"&amp;AW$4))*100 + MAX(0, AW$4-$A26)*IF(RTD("tos.rtd",,"OPEN_INT","."&amp;$AB$3&amp;$AB$4&amp;"P"&amp;AW$4)="N/A",0,RTD("tos.rtd",,"OPEN_INT","."&amp;$AB$3&amp;$AB$4&amp;"P"&amp;AW$4))*100</f>
        <v>8050</v>
      </c>
      <c r="AX26" s="18">
        <f>MAX(0, $A26-AX$4)*IF(RTD("tos.rtd",,"OPEN_INT","."&amp;$AB$3&amp;$AB$4&amp;"C"&amp;AX$4)="N/A",0,RTD("tos.rtd",,"OPEN_INT","."&amp;$AB$3&amp;$AB$4&amp;"C"&amp;AX$4))*100 + MAX(0, AX$4-$A26)*IF(RTD("tos.rtd",,"OPEN_INT","."&amp;$AB$3&amp;$AB$4&amp;"P"&amp;AX$4)="N/A",0,RTD("tos.rtd",,"OPEN_INT","."&amp;$AB$3&amp;$AB$4&amp;"P"&amp;AX$4))*100</f>
        <v>0</v>
      </c>
      <c r="AY26" s="18">
        <f>MAX(0, $A26-AY$4)*IF(RTD("tos.rtd",,"OPEN_INT","."&amp;$AB$3&amp;$AB$4&amp;"C"&amp;AY$4)="N/A",0,RTD("tos.rtd",,"OPEN_INT","."&amp;$AB$3&amp;$AB$4&amp;"C"&amp;AY$4))*100 + MAX(0, AY$4-$A26)*IF(RTD("tos.rtd",,"OPEN_INT","."&amp;$AB$3&amp;$AB$4&amp;"P"&amp;AY$4)="N/A",0,RTD("tos.rtd",,"OPEN_INT","."&amp;$AB$3&amp;$AB$4&amp;"P"&amp;AY$4))*100</f>
        <v>212650</v>
      </c>
      <c r="AZ26" s="18">
        <f>MAX(0, $A26-AZ$4)*IF(RTD("tos.rtd",,"OPEN_INT","."&amp;$AB$3&amp;$AB$4&amp;"C"&amp;AZ$4)="N/A",0,RTD("tos.rtd",,"OPEN_INT","."&amp;$AB$3&amp;$AB$4&amp;"C"&amp;AZ$4))*100 + MAX(0, AZ$4-$A26)*IF(RTD("tos.rtd",,"OPEN_INT","."&amp;$AB$3&amp;$AB$4&amp;"P"&amp;AZ$4)="N/A",0,RTD("tos.rtd",,"OPEN_INT","."&amp;$AB$3&amp;$AB$4&amp;"P"&amp;AZ$4))*100</f>
        <v>1954800</v>
      </c>
      <c r="BA26" s="18">
        <f>MAX(0, $A26-BA$4)*IF(RTD("tos.rtd",,"OPEN_INT","."&amp;$AB$3&amp;$AB$4&amp;"C"&amp;BA$4)="N/A",0,RTD("tos.rtd",,"OPEN_INT","."&amp;$AB$3&amp;$AB$4&amp;"C"&amp;BA$4))*100 + MAX(0, BA$4-$A26)*IF(RTD("tos.rtd",,"OPEN_INT","."&amp;$AB$3&amp;$AB$4&amp;"P"&amp;BA$4)="N/A",0,RTD("tos.rtd",,"OPEN_INT","."&amp;$AB$3&amp;$AB$4&amp;"P"&amp;BA$4))*100</f>
        <v>1477500</v>
      </c>
      <c r="BB26" s="18">
        <f>MAX(0, $A26-BB$4)*IF(RTD("tos.rtd",,"OPEN_INT","."&amp;$AB$3&amp;$AB$4&amp;"C"&amp;BB$4)="N/A",0,RTD("tos.rtd",,"OPEN_INT","."&amp;$AB$3&amp;$AB$4&amp;"C"&amp;BB$4))*100 + MAX(0, BB$4-$A26)*IF(RTD("tos.rtd",,"OPEN_INT","."&amp;$AB$3&amp;$AB$4&amp;"P"&amp;BB$4)="N/A",0,RTD("tos.rtd",,"OPEN_INT","."&amp;$AB$3&amp;$AB$4&amp;"P"&amp;BB$4))*100</f>
        <v>6161400</v>
      </c>
      <c r="BC26" s="18">
        <f>MAX(0, $A26-BC$4)*IF(RTD("tos.rtd",,"OPEN_INT","."&amp;$AB$3&amp;$AB$4&amp;"C"&amp;BC$4)="N/A",0,RTD("tos.rtd",,"OPEN_INT","."&amp;$AB$3&amp;$AB$4&amp;"C"&amp;BC$4))*100 + MAX(0, BC$4-$A26)*IF(RTD("tos.rtd",,"OPEN_INT","."&amp;$AB$3&amp;$AB$4&amp;"P"&amp;BC$4)="N/A",0,RTD("tos.rtd",,"OPEN_INT","."&amp;$AB$3&amp;$AB$4&amp;"P"&amp;BC$4))*100</f>
        <v>7164500</v>
      </c>
      <c r="BD26" s="18">
        <f>MAX(0, $A26-BD$4)*IF(RTD("tos.rtd",,"OPEN_INT","."&amp;$AB$3&amp;$AB$4&amp;"C"&amp;BD$4)="N/A",0,RTD("tos.rtd",,"OPEN_INT","."&amp;$AB$3&amp;$AB$4&amp;"C"&amp;BD$4))*100 + MAX(0, BD$4-$A26)*IF(RTD("tos.rtd",,"OPEN_INT","."&amp;$AB$3&amp;$AB$4&amp;"P"&amp;BD$4)="N/A",0,RTD("tos.rtd",,"OPEN_INT","."&amp;$AB$3&amp;$AB$4&amp;"P"&amp;BD$4))*100</f>
        <v>12213900</v>
      </c>
      <c r="BE26" s="18">
        <f>MAX(0, $A26-BE$4)*IF(RTD("tos.rtd",,"OPEN_INT","."&amp;$AB$3&amp;$AB$4&amp;"C"&amp;BE$4)="N/A",0,RTD("tos.rtd",,"OPEN_INT","."&amp;$AB$3&amp;$AB$4&amp;"C"&amp;BE$4))*100 + MAX(0, BE$4-$A26)*IF(RTD("tos.rtd",,"OPEN_INT","."&amp;$AB$3&amp;$AB$4&amp;"P"&amp;BE$4)="N/A",0,RTD("tos.rtd",,"OPEN_INT","."&amp;$AB$3&amp;$AB$4&amp;"P"&amp;BE$4))*100</f>
        <v>6496000</v>
      </c>
      <c r="BF26" s="18">
        <f>MAX(0, $A26-BF$4)*IF(RTD("tos.rtd",,"OPEN_INT","."&amp;$AB$3&amp;$AB$4&amp;"C"&amp;BF$4)="N/A",0,RTD("tos.rtd",,"OPEN_INT","."&amp;$AB$3&amp;$AB$4&amp;"C"&amp;BF$4))*100 + MAX(0, BF$4-$A26)*IF(RTD("tos.rtd",,"OPEN_INT","."&amp;$AB$3&amp;$AB$4&amp;"P"&amp;BF$4)="N/A",0,RTD("tos.rtd",,"OPEN_INT","."&amp;$AB$3&amp;$AB$4&amp;"P"&amp;BF$4))*100</f>
        <v>6911200</v>
      </c>
      <c r="BG26" s="18">
        <f>MAX(0, $A26-BG$4)*IF(RTD("tos.rtd",,"OPEN_INT","."&amp;$AB$3&amp;$AB$4&amp;"C"&amp;BG$4)="N/A",0,RTD("tos.rtd",,"OPEN_INT","."&amp;$AB$3&amp;$AB$4&amp;"C"&amp;BG$4))*100 + MAX(0, BG$4-$A26)*IF(RTD("tos.rtd",,"OPEN_INT","."&amp;$AB$3&amp;$AB$4&amp;"P"&amp;BG$4)="N/A",0,RTD("tos.rtd",,"OPEN_INT","."&amp;$AB$3&amp;$AB$4&amp;"P"&amp;BG$4))*100</f>
        <v>3783150</v>
      </c>
      <c r="BH26" s="18">
        <f>MAX(0, $A26-BH$4)*IF(RTD("tos.rtd",,"OPEN_INT","."&amp;$AB$3&amp;$AB$4&amp;"C"&amp;BH$4)="N/A",0,RTD("tos.rtd",,"OPEN_INT","."&amp;$AB$3&amp;$AB$4&amp;"C"&amp;BH$4))*100 + MAX(0, BH$4-$A26)*IF(RTD("tos.rtd",,"OPEN_INT","."&amp;$AB$3&amp;$AB$4&amp;"P"&amp;BH$4)="N/A",0,RTD("tos.rtd",,"OPEN_INT","."&amp;$AB$3&amp;$AB$4&amp;"P"&amp;BH$4))*100</f>
        <v>2867000</v>
      </c>
      <c r="BI26" s="18">
        <f>MAX(0, $A26-BI$4)*IF(RTD("tos.rtd",,"OPEN_INT","."&amp;$AB$3&amp;$AB$4&amp;"C"&amp;BI$4)="N/A",0,RTD("tos.rtd",,"OPEN_INT","."&amp;$AB$3&amp;$AB$4&amp;"C"&amp;BI$4))*100 + MAX(0, BI$4-$A26)*IF(RTD("tos.rtd",,"OPEN_INT","."&amp;$AB$3&amp;$AB$4&amp;"P"&amp;BI$4)="N/A",0,RTD("tos.rtd",,"OPEN_INT","."&amp;$AB$3&amp;$AB$4&amp;"P"&amp;BI$4))*100</f>
        <v>1068650</v>
      </c>
      <c r="BJ26" s="18">
        <f>MAX(0, $A26-BJ$4)*IF(RTD("tos.rtd",,"OPEN_INT","."&amp;$AB$3&amp;$AB$4&amp;"C"&amp;BJ$4)="N/A",0,RTD("tos.rtd",,"OPEN_INT","."&amp;$AB$3&amp;$AB$4&amp;"C"&amp;BJ$4))*100 + MAX(0, BJ$4-$A26)*IF(RTD("tos.rtd",,"OPEN_INT","."&amp;$AB$3&amp;$AB$4&amp;"P"&amp;BJ$4)="N/A",0,RTD("tos.rtd",,"OPEN_INT","."&amp;$AB$3&amp;$AB$4&amp;"P"&amp;BJ$4))*100</f>
        <v>505200</v>
      </c>
      <c r="BK26" s="18">
        <f>MAX(0, $A26-BK$4)*IF(RTD("tos.rtd",,"OPEN_INT","."&amp;$AB$3&amp;$AB$4&amp;"C"&amp;BK$4)="N/A",0,RTD("tos.rtd",,"OPEN_INT","."&amp;$AB$3&amp;$AB$4&amp;"C"&amp;BK$4))*100 + MAX(0, BK$4-$A26)*IF(RTD("tos.rtd",,"OPEN_INT","."&amp;$AB$3&amp;$AB$4&amp;"P"&amp;BK$4)="N/A",0,RTD("tos.rtd",,"OPEN_INT","."&amp;$AB$3&amp;$AB$4&amp;"P"&amp;BK$4))*100</f>
        <v>98150</v>
      </c>
      <c r="BL26" s="18">
        <f>MAX(0, $A26-BL$4)*IF(RTD("tos.rtd",,"OPEN_INT","."&amp;$AB$3&amp;$AB$4&amp;"C"&amp;BL$4)="N/A",0,RTD("tos.rtd",,"OPEN_INT","."&amp;$AB$3&amp;$AB$4&amp;"C"&amp;BL$4))*100 + MAX(0, BL$4-$A26)*IF(RTD("tos.rtd",,"OPEN_INT","."&amp;$AB$3&amp;$AB$4&amp;"P"&amp;BL$4)="N/A",0,RTD("tos.rtd",,"OPEN_INT","."&amp;$AB$3&amp;$AB$4&amp;"P"&amp;BL$4))*100</f>
        <v>182700</v>
      </c>
      <c r="BM26" s="18">
        <f>MAX(0, $A26-BM$4)*IF(RTD("tos.rtd",,"OPEN_INT","."&amp;$AB$3&amp;$AB$4&amp;"C"&amp;BM$4)="N/A",0,RTD("tos.rtd",,"OPEN_INT","."&amp;$AB$3&amp;$AB$4&amp;"C"&amp;BM$4))*100 + MAX(0, BM$4-$A26)*IF(RTD("tos.rtd",,"OPEN_INT","."&amp;$AB$3&amp;$AB$4&amp;"P"&amp;BM$4)="N/A",0,RTD("tos.rtd",,"OPEN_INT","."&amp;$AB$3&amp;$AB$4&amp;"P"&amp;BM$4))*100</f>
        <v>12000</v>
      </c>
      <c r="BN26" s="18">
        <f>MAX(0, $A26-BN$4)*IF(RTD("tos.rtd",,"OPEN_INT","."&amp;$AB$3&amp;$AB$4&amp;"C"&amp;BN$4)="N/A",0,RTD("tos.rtd",,"OPEN_INT","."&amp;$AB$3&amp;$AB$4&amp;"C"&amp;BN$4))*100 + MAX(0, BN$4-$A26)*IF(RTD("tos.rtd",,"OPEN_INT","."&amp;$AB$3&amp;$AB$4&amp;"P"&amp;BN$4)="N/A",0,RTD("tos.rtd",,"OPEN_INT","."&amp;$AB$3&amp;$AB$4&amp;"P"&amp;BN$4))*100</f>
        <v>6400</v>
      </c>
      <c r="BO26" s="18">
        <f>MAX(0, $A26-BO$4)*IF(RTD("tos.rtd",,"OPEN_INT","."&amp;$AB$3&amp;$AB$4&amp;"C"&amp;BO$4)="N/A",0,RTD("tos.rtd",,"OPEN_INT","."&amp;$AB$3&amp;$AB$4&amp;"C"&amp;BO$4))*100 + MAX(0, BO$4-$A26)*IF(RTD("tos.rtd",,"OPEN_INT","."&amp;$AB$3&amp;$AB$4&amp;"P"&amp;BO$4)="N/A",0,RTD("tos.rtd",,"OPEN_INT","."&amp;$AB$3&amp;$AB$4&amp;"P"&amp;BO$4))*100</f>
        <v>26350</v>
      </c>
      <c r="BP26" s="18">
        <f>MAX(0, $A26-BP$4)*IF(RTD("tos.rtd",,"OPEN_INT","."&amp;$AB$3&amp;$AB$4&amp;"C"&amp;BP$4)="N/A",0,RTD("tos.rtd",,"OPEN_INT","."&amp;$AB$3&amp;$AB$4&amp;"C"&amp;BP$4))*100 + MAX(0, BP$4-$A26)*IF(RTD("tos.rtd",,"OPEN_INT","."&amp;$AB$3&amp;$AB$4&amp;"P"&amp;BP$4)="N/A",0,RTD("tos.rtd",,"OPEN_INT","."&amp;$AB$3&amp;$AB$4&amp;"P"&amp;BP$4))*100</f>
        <v>34200</v>
      </c>
      <c r="BQ26" s="18">
        <f>MAX(0, $A26-BQ$4)*IF(RTD("tos.rtd",,"OPEN_INT","."&amp;$AB$3&amp;$AB$4&amp;"C"&amp;BQ$4)="N/A",0,RTD("tos.rtd",,"OPEN_INT","."&amp;$AB$3&amp;$AB$4&amp;"C"&amp;BQ$4))*100 + MAX(0, BQ$4-$A26)*IF(RTD("tos.rtd",,"OPEN_INT","."&amp;$AB$3&amp;$AB$4&amp;"P"&amp;BQ$4)="N/A",0,RTD("tos.rtd",,"OPEN_INT","."&amp;$AB$3&amp;$AB$4&amp;"P"&amp;BQ$4))*100</f>
        <v>0</v>
      </c>
      <c r="BR26" s="18">
        <f>MAX(0, $A26-BR$4)*IF(RTD("tos.rtd",,"OPEN_INT","."&amp;$AB$3&amp;$AB$4&amp;"C"&amp;BR$4)="N/A",0,RTD("tos.rtd",,"OPEN_INT","."&amp;$AB$3&amp;$AB$4&amp;"C"&amp;BR$4))*100 + MAX(0, BR$4-$A26)*IF(RTD("tos.rtd",,"OPEN_INT","."&amp;$AB$3&amp;$AB$4&amp;"P"&amp;BR$4)="N/A",0,RTD("tos.rtd",,"OPEN_INT","."&amp;$AB$3&amp;$AB$4&amp;"P"&amp;BR$4))*100</f>
        <v>0</v>
      </c>
      <c r="BS26" s="18">
        <f>MAX(0, $A26-BS$4)*IF(RTD("tos.rtd",,"OPEN_INT","."&amp;$AB$3&amp;$AB$4&amp;"C"&amp;BS$4)="N/A",0,RTD("tos.rtd",,"OPEN_INT","."&amp;$AB$3&amp;$AB$4&amp;"C"&amp;BS$4))*100 + MAX(0, BS$4-$A26)*IF(RTD("tos.rtd",,"OPEN_INT","."&amp;$AB$3&amp;$AB$4&amp;"P"&amp;BS$4)="N/A",0,RTD("tos.rtd",,"OPEN_INT","."&amp;$AB$3&amp;$AB$4&amp;"P"&amp;BS$4))*100</f>
        <v>0</v>
      </c>
      <c r="BT26" s="18">
        <f>MAX(0, $A26-BT$4)*IF(RTD("tos.rtd",,"OPEN_INT","."&amp;$AB$3&amp;$AB$4&amp;"C"&amp;BT$4)="N/A",0,RTD("tos.rtd",,"OPEN_INT","."&amp;$AB$3&amp;$AB$4&amp;"C"&amp;BT$4))*100 + MAX(0, BT$4-$A26)*IF(RTD("tos.rtd",,"OPEN_INT","."&amp;$AB$3&amp;$AB$4&amp;"P"&amp;BT$4)="N/A",0,RTD("tos.rtd",,"OPEN_INT","."&amp;$AB$3&amp;$AB$4&amp;"P"&amp;BT$4))*100</f>
        <v>0</v>
      </c>
      <c r="BU26" s="18">
        <f>MAX(0, $A26-BU$4)*IF(RTD("tos.rtd",,"OPEN_INT","."&amp;$AB$3&amp;$AB$4&amp;"C"&amp;BU$4)="N/A",0,RTD("tos.rtd",,"OPEN_INT","."&amp;$AB$3&amp;$AB$4&amp;"C"&amp;BU$4))*100 + MAX(0, BU$4-$A26)*IF(RTD("tos.rtd",,"OPEN_INT","."&amp;$AB$3&amp;$AB$4&amp;"P"&amp;BU$4)="N/A",0,RTD("tos.rtd",,"OPEN_INT","."&amp;$AB$3&amp;$AB$4&amp;"P"&amp;BU$4))*100</f>
        <v>0</v>
      </c>
      <c r="BV26" s="18">
        <f>MAX(0, $A26-BV$4)*IF(RTD("tos.rtd",,"OPEN_INT","."&amp;$AB$3&amp;$AB$4&amp;"C"&amp;BV$4)="N/A",0,RTD("tos.rtd",,"OPEN_INT","."&amp;$AB$3&amp;$AB$4&amp;"C"&amp;BV$4))*100 + MAX(0, BV$4-$A26)*IF(RTD("tos.rtd",,"OPEN_INT","."&amp;$AB$3&amp;$AB$4&amp;"P"&amp;BV$4)="N/A",0,RTD("tos.rtd",,"OPEN_INT","."&amp;$AB$3&amp;$AB$4&amp;"P"&amp;BV$4))*100</f>
        <v>0</v>
      </c>
      <c r="BW26" s="18">
        <f>MAX(0, $A26-BW$4)*IF(RTD("tos.rtd",,"OPEN_INT","."&amp;$AB$3&amp;$AB$4&amp;"C"&amp;BW$4)="N/A",0,RTD("tos.rtd",,"OPEN_INT","."&amp;$AB$3&amp;$AB$4&amp;"C"&amp;BW$4))*100 + MAX(0, BW$4-$A26)*IF(RTD("tos.rtd",,"OPEN_INT","."&amp;$AB$3&amp;$AB$4&amp;"P"&amp;BW$4)="N/A",0,RTD("tos.rtd",,"OPEN_INT","."&amp;$AB$3&amp;$AB$4&amp;"P"&amp;BW$4))*100</f>
        <v>0</v>
      </c>
    </row>
    <row r="27" spans="1:75" s="19" customFormat="1" ht="11.1" customHeight="1" thickBot="1" x14ac:dyDescent="0.3">
      <c r="A27" s="23">
        <f>+A28+$A$1</f>
        <v>10.5</v>
      </c>
      <c r="B27" s="14">
        <f ca="1">IF($A$2="PREMIUM_OI",IFERROR(IF($X$1="ABS",(100*RTD("tos.rtd",,"OPEN_INT","."&amp;B$2&amp;B$1&amp;"C"&amp;$A27)*RTD("tos.rtd",,"LAST","."&amp;B$2&amp;B$1&amp;"C"&amp;$A27)+100*RTD("tos.rtd",,"OPEN_INT","."&amp;B$2&amp;B$1&amp;"P"&amp;$A27)*RTD("tos.rtd",,"LAST","."&amp;B$2&amp;B$1&amp;"P"&amp;$A27))/1000000,(100*RTD("tos.rtd",,"OPEN_INT","."&amp;B$2&amp;B$1&amp;"C"&amp;$A27)*RTD("tos.rtd",,"LAST","."&amp;B$2&amp;B$1&amp;"C"&amp;$A27)-100*RTD("tos.rtd",,"OPEN_INT","."&amp;B$2&amp;B$1&amp;"P"&amp;$A27)*RTD("tos.rtd",,"LAST","."&amp;B$2&amp;B$1&amp;"P"&amp;$A27))/1000000),0),IF($A$2="PREMIUM",IFERROR(IF($X$1="ABS",(100*RTD("tos.rtd",,"VOLUME","."&amp;B$2&amp;B$1&amp;"C"&amp;$A27)*RTD("tos.rtd",,"LAST","."&amp;B$2&amp;B$1&amp;"C"&amp;$A27)+100*RTD("tos.rtd",,"VOLUME","."&amp;B$2&amp;B$1&amp;"P"&amp;$A27)*RTD("tos.rtd",,"LAST","."&amp;B$2&amp;B$1&amp;"P"&amp;$A27))/1000000,(100*RTD("tos.rtd",,"VOLUME","."&amp;B$2&amp;B$1&amp;"C"&amp;$A27)*RTD("tos.rtd",,"LAST","."&amp;B$2&amp;B$1&amp;"C"&amp;$A27)-100*RTD("tos.rtd",,"VOLUME","."&amp;B$2&amp;B$1&amp;"P"&amp;$A27)*RTD("tos.rtd",,"LAST","."&amp;B$2&amp;B$1&amp;"P"&amp;$A27))/1000000),0),IF($A$2="DEX",IFERROR(IF($X$1="ABS",(100*RTD("tos.rtd",,"OPEN_INT","."&amp;B$2&amp;B$1&amp;"C"&amp;$A27)*RTD("tos.rtd",,"DELTA","."&amp;B$2&amp;B$1&amp;"C"&amp;$A27)+100*RTD("tos.rtd",,"OPEN_INT","."&amp;B$2&amp;B$1&amp;"P"&amp;$A27)*RTD("tos.rtd",,"DELTA","."&amp;B$2&amp;B$1&amp;"P"&amp;$A27))/1000,(100*RTD("tos.rtd",,"OPEN_INT","."&amp;B$2&amp;B$1&amp;"C"&amp;$A27)*RTD("tos.rtd",,"DELTA","."&amp;B$2&amp;B$1&amp;"C"&amp;$A27)-100*RTD("tos.rtd",,"OPEN_INT","."&amp;B$2&amp;B$1&amp;"P"&amp;$A27)*RTD("tos.rtd",,"DELTA","."&amp;B$2&amp;B$1&amp;"P"&amp;$A27))/1000),0),IF($A$2="VEX",IFERROR(IF($X$1="ABS",($A$4*$A$4*RTD("tos.rtd",,"VOLUME","."&amp;B$2&amp;B$1&amp;"C"&amp;$A27)*RTD("tos.rtd",,"GAMMA","."&amp;B$2&amp;B$1&amp;"C"&amp;$A27)+$A$4*$A$4*RTD("tos.rtd",,"VOLUME","."&amp;B$2&amp;B$1&amp;"P"&amp;$A27)*RTD("tos.rtd",,"GAMMA","."&amp;B$2&amp;B$1&amp;"P"&amp;$A27))/1000000,($A$4*$A$4*RTD("tos.rtd",,"VOLUME","."&amp;B$2&amp;B$1&amp;"C"&amp;$A27)*RTD("tos.rtd",,"GAMMA","."&amp;B$2&amp;B$1&amp;"C"&amp;$A27)-$A$4*$A$4*RTD("tos.rtd",,"VOLUME","."&amp;B$2&amp;B$1&amp;"P"&amp;$A27)*RTD("tos.rtd",,"GAMMA","."&amp;B$2&amp;B$1&amp;"P"&amp;$A27))/1000000),0),IF($A$2="GEX",IFERROR(IF($X$1="ABS",($A$4*$A$4*RTD("tos.rtd",,"OPEN_INT","."&amp;B$2&amp;B$1&amp;"C"&amp;$A27)*RTD("tos.rtd",,"GAMMA","."&amp;B$2&amp;B$1&amp;"C"&amp;$A27)+$A$4*$A$4*RTD("tos.rtd",,"OPEN_INT","."&amp;B$2&amp;B$1&amp;"P"&amp;$A27)*RTD("tos.rtd",,"GAMMA","."&amp;B$2&amp;B$1&amp;"P"&amp;$A27))/1000000,($A$4*$A$4*RTD("tos.rtd",,"OPEN_INT","."&amp;B$2&amp;B$1&amp;"C"&amp;$A27)*RTD("tos.rtd",,"GAMMA","."&amp;B$2&amp;B$1&amp;"C"&amp;$A27)-$A$4*$A$4*RTD("tos.rtd",,"OPEN_INT","."&amp;B$2&amp;B$1&amp;"P"&amp;$A27)*RTD("tos.rtd",,"GAMMA","."&amp;B$2&amp;B$1&amp;"P"&amp;$A27))/1000000),0),IF($A$2="SKEW",IFERROR(VALUE(IF(RTD("tos.rtd",,"IMPL_VOL","."&amp;B$2&amp;B$1&amp;"P"&amp;$A27)="N/A",0,RTD("tos.rtd",,"IMPL_VOL","."&amp;B$2&amp;B$1&amp;"P"&amp;$A27))),0)-IFERROR(VALUE(IF(RTD("tos.rtd",,"IMPL_VOL","."&amp;B$2&amp;B$1&amp;"C"&amp;$A27)="N/A",0,RTD("tos.rtd",,"IMPL_VOL","."&amp;B$2&amp;B$1&amp;"C"&amp;$A27))),0),IF($A$2="MAXPAIN",IF($A$4&gt;$A27,($A$4-$A27)*IF(RTD("tos.rtd",,"OPEN_INT","."&amp;B$2&amp;B$1&amp;"C"&amp;$A27)="N/A",0,RTD("tos.rtd",,"OPEN_INT","."&amp;B$2&amp;B$1&amp;"C"&amp;$A27)),0)+IF($A$4&lt;$A27,($A$5-$A$4)*IF(RTD("tos.rtd",,"OPEN_INT","."&amp;B$2&amp;B$1&amp;"P"&amp;$A27)="N/A",0,RTD("tos.rtd",,"OPEN_INT","."&amp;B$2&amp;B$1&amp;"P"&amp;$A27)),0),IF($X$1="ABS",IF(RTD("tos.rtd",,$A$2,"."&amp;B$2&amp;B$1&amp;"C"&amp;$A27)="N/A",0,RTD("tos.rtd",,$A$2,"."&amp;B$2&amp;B$1&amp;"C"&amp;$A27))+IF(RTD("tos.rtd",,$A$2,"."&amp;B$2&amp;B$1&amp;"P"&amp;$A27)="N/A",0,RTD("tos.rtd",,$A$2,"."&amp;B$2&amp;B$1&amp;"P"&amp;$A27)),IF(RTD("tos.rtd",,$A$2,"."&amp;B$2&amp;B$1&amp;"C"&amp;$A27)="N/A",0,RTD("tos.rtd",,$A$2,"."&amp;B$2&amp;B$1&amp;"C"&amp;$A27))-IF(RTD("tos.rtd",,$A$2,"."&amp;B$2&amp;B$1&amp;"P"&amp;$A27)="N/A",0,RTD("tos.rtd",,$A$2,"."&amp;B$2&amp;B$1&amp;"P"&amp;$A27))))))))))</f>
        <v>0</v>
      </c>
      <c r="C27" s="14">
        <f ca="1">IF($A$2="PREMIUM_OI",IFERROR(IF($X$1="ABS",(100*RTD("tos.rtd",,"OPEN_INT","."&amp;C$2&amp;C$1&amp;"C"&amp;$A27)*RTD("tos.rtd",,"LAST","."&amp;C$2&amp;C$1&amp;"C"&amp;$A27)+100*RTD("tos.rtd",,"OPEN_INT","."&amp;C$2&amp;C$1&amp;"P"&amp;$A27)*RTD("tos.rtd",,"LAST","."&amp;C$2&amp;C$1&amp;"P"&amp;$A27))/1000000,(100*RTD("tos.rtd",,"OPEN_INT","."&amp;C$2&amp;C$1&amp;"C"&amp;$A27)*RTD("tos.rtd",,"LAST","."&amp;C$2&amp;C$1&amp;"C"&amp;$A27)-100*RTD("tos.rtd",,"OPEN_INT","."&amp;C$2&amp;C$1&amp;"P"&amp;$A27)*RTD("tos.rtd",,"LAST","."&amp;C$2&amp;C$1&amp;"P"&amp;$A27))/1000000),0),IF($A$2="PREMIUM",IFERROR(IF($X$1="ABS",(100*RTD("tos.rtd",,"VOLUME","."&amp;C$2&amp;C$1&amp;"C"&amp;$A27)*RTD("tos.rtd",,"LAST","."&amp;C$2&amp;C$1&amp;"C"&amp;$A27)+100*RTD("tos.rtd",,"VOLUME","."&amp;C$2&amp;C$1&amp;"P"&amp;$A27)*RTD("tos.rtd",,"LAST","."&amp;C$2&amp;C$1&amp;"P"&amp;$A27))/1000000,(100*RTD("tos.rtd",,"VOLUME","."&amp;C$2&amp;C$1&amp;"C"&amp;$A27)*RTD("tos.rtd",,"LAST","."&amp;C$2&amp;C$1&amp;"C"&amp;$A27)-100*RTD("tos.rtd",,"VOLUME","."&amp;C$2&amp;C$1&amp;"P"&amp;$A27)*RTD("tos.rtd",,"LAST","."&amp;C$2&amp;C$1&amp;"P"&amp;$A27))/1000000),0),IF($A$2="DEX",IFERROR(IF($X$1="ABS",(100*RTD("tos.rtd",,"OPEN_INT","."&amp;C$2&amp;C$1&amp;"C"&amp;$A27)*RTD("tos.rtd",,"DELTA","."&amp;C$2&amp;C$1&amp;"C"&amp;$A27)+100*RTD("tos.rtd",,"OPEN_INT","."&amp;C$2&amp;C$1&amp;"P"&amp;$A27)*RTD("tos.rtd",,"DELTA","."&amp;C$2&amp;C$1&amp;"P"&amp;$A27))/1000,(100*RTD("tos.rtd",,"OPEN_INT","."&amp;C$2&amp;C$1&amp;"C"&amp;$A27)*RTD("tos.rtd",,"DELTA","."&amp;C$2&amp;C$1&amp;"C"&amp;$A27)-100*RTD("tos.rtd",,"OPEN_INT","."&amp;C$2&amp;C$1&amp;"P"&amp;$A27)*RTD("tos.rtd",,"DELTA","."&amp;C$2&amp;C$1&amp;"P"&amp;$A27))/1000),0),IF($A$2="VEX",IFERROR(IF($X$1="ABS",($A$4*$A$4*RTD("tos.rtd",,"VOLUME","."&amp;C$2&amp;C$1&amp;"C"&amp;$A27)*RTD("tos.rtd",,"GAMMA","."&amp;C$2&amp;C$1&amp;"C"&amp;$A27)+$A$4*$A$4*RTD("tos.rtd",,"VOLUME","."&amp;C$2&amp;C$1&amp;"P"&amp;$A27)*RTD("tos.rtd",,"GAMMA","."&amp;C$2&amp;C$1&amp;"P"&amp;$A27))/1000000,($A$4*$A$4*RTD("tos.rtd",,"VOLUME","."&amp;C$2&amp;C$1&amp;"C"&amp;$A27)*RTD("tos.rtd",,"GAMMA","."&amp;C$2&amp;C$1&amp;"C"&amp;$A27)-$A$4*$A$4*RTD("tos.rtd",,"VOLUME","."&amp;C$2&amp;C$1&amp;"P"&amp;$A27)*RTD("tos.rtd",,"GAMMA","."&amp;C$2&amp;C$1&amp;"P"&amp;$A27))/1000000),0),IF($A$2="GEX",IFERROR(IF($X$1="ABS",($A$4*$A$4*RTD("tos.rtd",,"OPEN_INT","."&amp;C$2&amp;C$1&amp;"C"&amp;$A27)*RTD("tos.rtd",,"GAMMA","."&amp;C$2&amp;C$1&amp;"C"&amp;$A27)+$A$4*$A$4*RTD("tos.rtd",,"OPEN_INT","."&amp;C$2&amp;C$1&amp;"P"&amp;$A27)*RTD("tos.rtd",,"GAMMA","."&amp;C$2&amp;C$1&amp;"P"&amp;$A27))/1000000,($A$4*$A$4*RTD("tos.rtd",,"OPEN_INT","."&amp;C$2&amp;C$1&amp;"C"&amp;$A27)*RTD("tos.rtd",,"GAMMA","."&amp;C$2&amp;C$1&amp;"C"&amp;$A27)-$A$4*$A$4*RTD("tos.rtd",,"OPEN_INT","."&amp;C$2&amp;C$1&amp;"P"&amp;$A27)*RTD("tos.rtd",,"GAMMA","."&amp;C$2&amp;C$1&amp;"P"&amp;$A27))/1000000),0),IF($A$2="SKEW",IFERROR(VALUE(IF(RTD("tos.rtd",,"IMPL_VOL","."&amp;C$2&amp;C$1&amp;"P"&amp;$A27)="N/A",0,RTD("tos.rtd",,"IMPL_VOL","."&amp;C$2&amp;C$1&amp;"P"&amp;$A27))),0)-IFERROR(VALUE(IF(RTD("tos.rtd",,"IMPL_VOL","."&amp;C$2&amp;C$1&amp;"C"&amp;$A27)="N/A",0,RTD("tos.rtd",,"IMPL_VOL","."&amp;C$2&amp;C$1&amp;"C"&amp;$A27))),0),IF($A$2="MAXPAIN",IF($A$4&gt;$A27,($A$4-$A27)*IF(RTD("tos.rtd",,"OPEN_INT","."&amp;C$2&amp;C$1&amp;"C"&amp;$A27)="N/A",0,RTD("tos.rtd",,"OPEN_INT","."&amp;C$2&amp;C$1&amp;"C"&amp;$A27)),0)+IF($A$4&lt;$A27,($A$5-$A$4)*IF(RTD("tos.rtd",,"OPEN_INT","."&amp;C$2&amp;C$1&amp;"P"&amp;$A27)="N/A",0,RTD("tos.rtd",,"OPEN_INT","."&amp;C$2&amp;C$1&amp;"P"&amp;$A27)),0),IF($X$1="ABS",IF(RTD("tos.rtd",,$A$2,"."&amp;C$2&amp;C$1&amp;"C"&amp;$A27)="N/A",0,RTD("tos.rtd",,$A$2,"."&amp;C$2&amp;C$1&amp;"C"&amp;$A27))+IF(RTD("tos.rtd",,$A$2,"."&amp;C$2&amp;C$1&amp;"P"&amp;$A27)="N/A",0,RTD("tos.rtd",,$A$2,"."&amp;C$2&amp;C$1&amp;"P"&amp;$A27)),IF(RTD("tos.rtd",,$A$2,"."&amp;C$2&amp;C$1&amp;"C"&amp;$A27)="N/A",0,RTD("tos.rtd",,$A$2,"."&amp;C$2&amp;C$1&amp;"C"&amp;$A27))-IF(RTD("tos.rtd",,$A$2,"."&amp;C$2&amp;C$1&amp;"P"&amp;$A27)="N/A",0,RTD("tos.rtd",,$A$2,"."&amp;C$2&amp;C$1&amp;"P"&amp;$A27))))))))))</f>
        <v>0</v>
      </c>
      <c r="D27" s="12">
        <f ca="1">IF($A$2="PREMIUM_OI",IFERROR(IF($X$1="ABS",(100*RTD("tos.rtd",,"OPEN_INT","."&amp;D$2&amp;D$1&amp;"C"&amp;$A27)*RTD("tos.rtd",,"LAST","."&amp;D$2&amp;D$1&amp;"C"&amp;$A27)+100*RTD("tos.rtd",,"OPEN_INT","."&amp;D$2&amp;D$1&amp;"P"&amp;$A27)*RTD("tos.rtd",,"LAST","."&amp;D$2&amp;D$1&amp;"P"&amp;$A27))/1000000,(100*RTD("tos.rtd",,"OPEN_INT","."&amp;D$2&amp;D$1&amp;"C"&amp;$A27)*RTD("tos.rtd",,"LAST","."&amp;D$2&amp;D$1&amp;"C"&amp;$A27)-100*RTD("tos.rtd",,"OPEN_INT","."&amp;D$2&amp;D$1&amp;"P"&amp;$A27)*RTD("tos.rtd",,"LAST","."&amp;D$2&amp;D$1&amp;"P"&amp;$A27))/1000000),0),IF($A$2="PREMIUM",IFERROR(IF($X$1="ABS",(100*RTD("tos.rtd",,"VOLUME","."&amp;D$2&amp;D$1&amp;"C"&amp;$A27)*RTD("tos.rtd",,"LAST","."&amp;D$2&amp;D$1&amp;"C"&amp;$A27)+100*RTD("tos.rtd",,"VOLUME","."&amp;D$2&amp;D$1&amp;"P"&amp;$A27)*RTD("tos.rtd",,"LAST","."&amp;D$2&amp;D$1&amp;"P"&amp;$A27))/1000000,(100*RTD("tos.rtd",,"VOLUME","."&amp;D$2&amp;D$1&amp;"C"&amp;$A27)*RTD("tos.rtd",,"LAST","."&amp;D$2&amp;D$1&amp;"C"&amp;$A27)-100*RTD("tos.rtd",,"VOLUME","."&amp;D$2&amp;D$1&amp;"P"&amp;$A27)*RTD("tos.rtd",,"LAST","."&amp;D$2&amp;D$1&amp;"P"&amp;$A27))/1000000),0),IF($A$2="DEX",IFERROR(IF($X$1="ABS",(100*RTD("tos.rtd",,"OPEN_INT","."&amp;D$2&amp;D$1&amp;"C"&amp;$A27)*RTD("tos.rtd",,"DELTA","."&amp;D$2&amp;D$1&amp;"C"&amp;$A27)+100*RTD("tos.rtd",,"OPEN_INT","."&amp;D$2&amp;D$1&amp;"P"&amp;$A27)*RTD("tos.rtd",,"DELTA","."&amp;D$2&amp;D$1&amp;"P"&amp;$A27))/1000,(100*RTD("tos.rtd",,"OPEN_INT","."&amp;D$2&amp;D$1&amp;"C"&amp;$A27)*RTD("tos.rtd",,"DELTA","."&amp;D$2&amp;D$1&amp;"C"&amp;$A27)-100*RTD("tos.rtd",,"OPEN_INT","."&amp;D$2&amp;D$1&amp;"P"&amp;$A27)*RTD("tos.rtd",,"DELTA","."&amp;D$2&amp;D$1&amp;"P"&amp;$A27))/1000),0),IF($A$2="VEX",IFERROR(IF($X$1="ABS",($A$4*$A$4*RTD("tos.rtd",,"VOLUME","."&amp;D$2&amp;D$1&amp;"C"&amp;$A27)*RTD("tos.rtd",,"GAMMA","."&amp;D$2&amp;D$1&amp;"C"&amp;$A27)+$A$4*$A$4*RTD("tos.rtd",,"VOLUME","."&amp;D$2&amp;D$1&amp;"P"&amp;$A27)*RTD("tos.rtd",,"GAMMA","."&amp;D$2&amp;D$1&amp;"P"&amp;$A27))/1000000,($A$4*$A$4*RTD("tos.rtd",,"VOLUME","."&amp;D$2&amp;D$1&amp;"C"&amp;$A27)*RTD("tos.rtd",,"GAMMA","."&amp;D$2&amp;D$1&amp;"C"&amp;$A27)-$A$4*$A$4*RTD("tos.rtd",,"VOLUME","."&amp;D$2&amp;D$1&amp;"P"&amp;$A27)*RTD("tos.rtd",,"GAMMA","."&amp;D$2&amp;D$1&amp;"P"&amp;$A27))/1000000),0),IF($A$2="GEX",IFERROR(IF($X$1="ABS",($A$4*$A$4*RTD("tos.rtd",,"OPEN_INT","."&amp;D$2&amp;D$1&amp;"C"&amp;$A27)*RTD("tos.rtd",,"GAMMA","."&amp;D$2&amp;D$1&amp;"C"&amp;$A27)+$A$4*$A$4*RTD("tos.rtd",,"OPEN_INT","."&amp;D$2&amp;D$1&amp;"P"&amp;$A27)*RTD("tos.rtd",,"GAMMA","."&amp;D$2&amp;D$1&amp;"P"&amp;$A27))/1000000,($A$4*$A$4*RTD("tos.rtd",,"OPEN_INT","."&amp;D$2&amp;D$1&amp;"C"&amp;$A27)*RTD("tos.rtd",,"GAMMA","."&amp;D$2&amp;D$1&amp;"C"&amp;$A27)-$A$4*$A$4*RTD("tos.rtd",,"OPEN_INT","."&amp;D$2&amp;D$1&amp;"P"&amp;$A27)*RTD("tos.rtd",,"GAMMA","."&amp;D$2&amp;D$1&amp;"P"&amp;$A27))/1000000),0),IF($A$2="SKEW",IFERROR(VALUE(IF(RTD("tos.rtd",,"IMPL_VOL","."&amp;D$2&amp;D$1&amp;"P"&amp;$A27)="N/A",0,RTD("tos.rtd",,"IMPL_VOL","."&amp;D$2&amp;D$1&amp;"P"&amp;$A27))),0)-IFERROR(VALUE(IF(RTD("tos.rtd",,"IMPL_VOL","."&amp;D$2&amp;D$1&amp;"C"&amp;$A27)="N/A",0,RTD("tos.rtd",,"IMPL_VOL","."&amp;D$2&amp;D$1&amp;"C"&amp;$A27))),0),IF($A$2="MAXPAIN",IF($A$4&gt;$A27,($A$4-$A27)*IF(RTD("tos.rtd",,"OPEN_INT","."&amp;D$2&amp;D$1&amp;"C"&amp;$A27)="N/A",0,RTD("tos.rtd",,"OPEN_INT","."&amp;D$2&amp;D$1&amp;"C"&amp;$A27)),0)+IF($A$4&lt;$A27,($A$5-$A$4)*IF(RTD("tos.rtd",,"OPEN_INT","."&amp;D$2&amp;D$1&amp;"P"&amp;$A27)="N/A",0,RTD("tos.rtd",,"OPEN_INT","."&amp;D$2&amp;D$1&amp;"P"&amp;$A27)),0),IF($X$1="ABS",IF(RTD("tos.rtd",,$A$2,"."&amp;D$2&amp;D$1&amp;"C"&amp;$A27)="N/A",0,RTD("tos.rtd",,$A$2,"."&amp;D$2&amp;D$1&amp;"C"&amp;$A27))+IF(RTD("tos.rtd",,$A$2,"."&amp;D$2&amp;D$1&amp;"P"&amp;$A27)="N/A",0,RTD("tos.rtd",,$A$2,"."&amp;D$2&amp;D$1&amp;"P"&amp;$A27)),IF(RTD("tos.rtd",,$A$2,"."&amp;D$2&amp;D$1&amp;"C"&amp;$A27)="N/A",0,RTD("tos.rtd",,$A$2,"."&amp;D$2&amp;D$1&amp;"C"&amp;$A27))-IF(RTD("tos.rtd",,$A$2,"."&amp;D$2&amp;D$1&amp;"P"&amp;$A27)="N/A",0,RTD("tos.rtd",,$A$2,"."&amp;D$2&amp;D$1&amp;"P"&amp;$A27))))))))))</f>
        <v>0</v>
      </c>
      <c r="E27" s="12">
        <f ca="1">IF($A$2="PREMIUM_OI",IFERROR(IF($X$1="ABS",(100*RTD("tos.rtd",,"OPEN_INT","."&amp;E$2&amp;E$1&amp;"C"&amp;$A27)*RTD("tos.rtd",,"LAST","."&amp;E$2&amp;E$1&amp;"C"&amp;$A27)+100*RTD("tos.rtd",,"OPEN_INT","."&amp;E$2&amp;E$1&amp;"P"&amp;$A27)*RTD("tos.rtd",,"LAST","."&amp;E$2&amp;E$1&amp;"P"&amp;$A27))/1000000,(100*RTD("tos.rtd",,"OPEN_INT","."&amp;E$2&amp;E$1&amp;"C"&amp;$A27)*RTD("tos.rtd",,"LAST","."&amp;E$2&amp;E$1&amp;"C"&amp;$A27)-100*RTD("tos.rtd",,"OPEN_INT","."&amp;E$2&amp;E$1&amp;"P"&amp;$A27)*RTD("tos.rtd",,"LAST","."&amp;E$2&amp;E$1&amp;"P"&amp;$A27))/1000000),0),IF($A$2="PREMIUM",IFERROR(IF($X$1="ABS",(100*RTD("tos.rtd",,"VOLUME","."&amp;E$2&amp;E$1&amp;"C"&amp;$A27)*RTD("tos.rtd",,"LAST","."&amp;E$2&amp;E$1&amp;"C"&amp;$A27)+100*RTD("tos.rtd",,"VOLUME","."&amp;E$2&amp;E$1&amp;"P"&amp;$A27)*RTD("tos.rtd",,"LAST","."&amp;E$2&amp;E$1&amp;"P"&amp;$A27))/1000000,(100*RTD("tos.rtd",,"VOLUME","."&amp;E$2&amp;E$1&amp;"C"&amp;$A27)*RTD("tos.rtd",,"LAST","."&amp;E$2&amp;E$1&amp;"C"&amp;$A27)-100*RTD("tos.rtd",,"VOLUME","."&amp;E$2&amp;E$1&amp;"P"&amp;$A27)*RTD("tos.rtd",,"LAST","."&amp;E$2&amp;E$1&amp;"P"&amp;$A27))/1000000),0),IF($A$2="DEX",IFERROR(IF($X$1="ABS",(100*RTD("tos.rtd",,"OPEN_INT","."&amp;E$2&amp;E$1&amp;"C"&amp;$A27)*RTD("tos.rtd",,"DELTA","."&amp;E$2&amp;E$1&amp;"C"&amp;$A27)+100*RTD("tos.rtd",,"OPEN_INT","."&amp;E$2&amp;E$1&amp;"P"&amp;$A27)*RTD("tos.rtd",,"DELTA","."&amp;E$2&amp;E$1&amp;"P"&amp;$A27))/1000,(100*RTD("tos.rtd",,"OPEN_INT","."&amp;E$2&amp;E$1&amp;"C"&amp;$A27)*RTD("tos.rtd",,"DELTA","."&amp;E$2&amp;E$1&amp;"C"&amp;$A27)-100*RTD("tos.rtd",,"OPEN_INT","."&amp;E$2&amp;E$1&amp;"P"&amp;$A27)*RTD("tos.rtd",,"DELTA","."&amp;E$2&amp;E$1&amp;"P"&amp;$A27))/1000),0),IF($A$2="VEX",IFERROR(IF($X$1="ABS",($A$4*$A$4*RTD("tos.rtd",,"VOLUME","."&amp;E$2&amp;E$1&amp;"C"&amp;$A27)*RTD("tos.rtd",,"GAMMA","."&amp;E$2&amp;E$1&amp;"C"&amp;$A27)+$A$4*$A$4*RTD("tos.rtd",,"VOLUME","."&amp;E$2&amp;E$1&amp;"P"&amp;$A27)*RTD("tos.rtd",,"GAMMA","."&amp;E$2&amp;E$1&amp;"P"&amp;$A27))/1000000,($A$4*$A$4*RTD("tos.rtd",,"VOLUME","."&amp;E$2&amp;E$1&amp;"C"&amp;$A27)*RTD("tos.rtd",,"GAMMA","."&amp;E$2&amp;E$1&amp;"C"&amp;$A27)-$A$4*$A$4*RTD("tos.rtd",,"VOLUME","."&amp;E$2&amp;E$1&amp;"P"&amp;$A27)*RTD("tos.rtd",,"GAMMA","."&amp;E$2&amp;E$1&amp;"P"&amp;$A27))/1000000),0),IF($A$2="GEX",IFERROR(IF($X$1="ABS",($A$4*$A$4*RTD("tos.rtd",,"OPEN_INT","."&amp;E$2&amp;E$1&amp;"C"&amp;$A27)*RTD("tos.rtd",,"GAMMA","."&amp;E$2&amp;E$1&amp;"C"&amp;$A27)+$A$4*$A$4*RTD("tos.rtd",,"OPEN_INT","."&amp;E$2&amp;E$1&amp;"P"&amp;$A27)*RTD("tos.rtd",,"GAMMA","."&amp;E$2&amp;E$1&amp;"P"&amp;$A27))/1000000,($A$4*$A$4*RTD("tos.rtd",,"OPEN_INT","."&amp;E$2&amp;E$1&amp;"C"&amp;$A27)*RTD("tos.rtd",,"GAMMA","."&amp;E$2&amp;E$1&amp;"C"&amp;$A27)-$A$4*$A$4*RTD("tos.rtd",,"OPEN_INT","."&amp;E$2&amp;E$1&amp;"P"&amp;$A27)*RTD("tos.rtd",,"GAMMA","."&amp;E$2&amp;E$1&amp;"P"&amp;$A27))/1000000),0),IF($A$2="SKEW",IFERROR(VALUE(IF(RTD("tos.rtd",,"IMPL_VOL","."&amp;E$2&amp;E$1&amp;"P"&amp;$A27)="N/A",0,RTD("tos.rtd",,"IMPL_VOL","."&amp;E$2&amp;E$1&amp;"P"&amp;$A27))),0)-IFERROR(VALUE(IF(RTD("tos.rtd",,"IMPL_VOL","."&amp;E$2&amp;E$1&amp;"C"&amp;$A27)="N/A",0,RTD("tos.rtd",,"IMPL_VOL","."&amp;E$2&amp;E$1&amp;"C"&amp;$A27))),0),IF($A$2="MAXPAIN",IF($A$4&gt;$A27,($A$4-$A27)*IF(RTD("tos.rtd",,"OPEN_INT","."&amp;E$2&amp;E$1&amp;"C"&amp;$A27)="N/A",0,RTD("tos.rtd",,"OPEN_INT","."&amp;E$2&amp;E$1&amp;"C"&amp;$A27)),0)+IF($A$4&lt;$A27,($A$5-$A$4)*IF(RTD("tos.rtd",,"OPEN_INT","."&amp;E$2&amp;E$1&amp;"P"&amp;$A27)="N/A",0,RTD("tos.rtd",,"OPEN_INT","."&amp;E$2&amp;E$1&amp;"P"&amp;$A27)),0),IF($X$1="ABS",IF(RTD("tos.rtd",,$A$2,"."&amp;E$2&amp;E$1&amp;"C"&amp;$A27)="N/A",0,RTD("tos.rtd",,$A$2,"."&amp;E$2&amp;E$1&amp;"C"&amp;$A27))+IF(RTD("tos.rtd",,$A$2,"."&amp;E$2&amp;E$1&amp;"P"&amp;$A27)="N/A",0,RTD("tos.rtd",,$A$2,"."&amp;E$2&amp;E$1&amp;"P"&amp;$A27)),IF(RTD("tos.rtd",,$A$2,"."&amp;E$2&amp;E$1&amp;"C"&amp;$A27)="N/A",0,RTD("tos.rtd",,$A$2,"."&amp;E$2&amp;E$1&amp;"C"&amp;$A27))-IF(RTD("tos.rtd",,$A$2,"."&amp;E$2&amp;E$1&amp;"P"&amp;$A27)="N/A",0,RTD("tos.rtd",,$A$2,"."&amp;E$2&amp;E$1&amp;"P"&amp;$A27))))))))))</f>
        <v>0</v>
      </c>
      <c r="F27" s="12">
        <f ca="1">IF($A$2="PREMIUM_OI",IFERROR(IF($X$1="ABS",(100*RTD("tos.rtd",,"OPEN_INT","."&amp;F$2&amp;F$1&amp;"C"&amp;$A27)*RTD("tos.rtd",,"LAST","."&amp;F$2&amp;F$1&amp;"C"&amp;$A27)+100*RTD("tos.rtd",,"OPEN_INT","."&amp;F$2&amp;F$1&amp;"P"&amp;$A27)*RTD("tos.rtd",,"LAST","."&amp;F$2&amp;F$1&amp;"P"&amp;$A27))/1000000,(100*RTD("tos.rtd",,"OPEN_INT","."&amp;F$2&amp;F$1&amp;"C"&amp;$A27)*RTD("tos.rtd",,"LAST","."&amp;F$2&amp;F$1&amp;"C"&amp;$A27)-100*RTD("tos.rtd",,"OPEN_INT","."&amp;F$2&amp;F$1&amp;"P"&amp;$A27)*RTD("tos.rtd",,"LAST","."&amp;F$2&amp;F$1&amp;"P"&amp;$A27))/1000000),0),IF($A$2="PREMIUM",IFERROR(IF($X$1="ABS",(100*RTD("tos.rtd",,"VOLUME","."&amp;F$2&amp;F$1&amp;"C"&amp;$A27)*RTD("tos.rtd",,"LAST","."&amp;F$2&amp;F$1&amp;"C"&amp;$A27)+100*RTD("tos.rtd",,"VOLUME","."&amp;F$2&amp;F$1&amp;"P"&amp;$A27)*RTD("tos.rtd",,"LAST","."&amp;F$2&amp;F$1&amp;"P"&amp;$A27))/1000000,(100*RTD("tos.rtd",,"VOLUME","."&amp;F$2&amp;F$1&amp;"C"&amp;$A27)*RTD("tos.rtd",,"LAST","."&amp;F$2&amp;F$1&amp;"C"&amp;$A27)-100*RTD("tos.rtd",,"VOLUME","."&amp;F$2&amp;F$1&amp;"P"&amp;$A27)*RTD("tos.rtd",,"LAST","."&amp;F$2&amp;F$1&amp;"P"&amp;$A27))/1000000),0),IF($A$2="DEX",IFERROR(IF($X$1="ABS",(100*RTD("tos.rtd",,"OPEN_INT","."&amp;F$2&amp;F$1&amp;"C"&amp;$A27)*RTD("tos.rtd",,"DELTA","."&amp;F$2&amp;F$1&amp;"C"&amp;$A27)+100*RTD("tos.rtd",,"OPEN_INT","."&amp;F$2&amp;F$1&amp;"P"&amp;$A27)*RTD("tos.rtd",,"DELTA","."&amp;F$2&amp;F$1&amp;"P"&amp;$A27))/1000,(100*RTD("tos.rtd",,"OPEN_INT","."&amp;F$2&amp;F$1&amp;"C"&amp;$A27)*RTD("tos.rtd",,"DELTA","."&amp;F$2&amp;F$1&amp;"C"&amp;$A27)-100*RTD("tos.rtd",,"OPEN_INT","."&amp;F$2&amp;F$1&amp;"P"&amp;$A27)*RTD("tos.rtd",,"DELTA","."&amp;F$2&amp;F$1&amp;"P"&amp;$A27))/1000),0),IF($A$2="VEX",IFERROR(IF($X$1="ABS",($A$4*$A$4*RTD("tos.rtd",,"VOLUME","."&amp;F$2&amp;F$1&amp;"C"&amp;$A27)*RTD("tos.rtd",,"GAMMA","."&amp;F$2&amp;F$1&amp;"C"&amp;$A27)+$A$4*$A$4*RTD("tos.rtd",,"VOLUME","."&amp;F$2&amp;F$1&amp;"P"&amp;$A27)*RTD("tos.rtd",,"GAMMA","."&amp;F$2&amp;F$1&amp;"P"&amp;$A27))/1000000,($A$4*$A$4*RTD("tos.rtd",,"VOLUME","."&amp;F$2&amp;F$1&amp;"C"&amp;$A27)*RTD("tos.rtd",,"GAMMA","."&amp;F$2&amp;F$1&amp;"C"&amp;$A27)-$A$4*$A$4*RTD("tos.rtd",,"VOLUME","."&amp;F$2&amp;F$1&amp;"P"&amp;$A27)*RTD("tos.rtd",,"GAMMA","."&amp;F$2&amp;F$1&amp;"P"&amp;$A27))/1000000),0),IF($A$2="GEX",IFERROR(IF($X$1="ABS",($A$4*$A$4*RTD("tos.rtd",,"OPEN_INT","."&amp;F$2&amp;F$1&amp;"C"&amp;$A27)*RTD("tos.rtd",,"GAMMA","."&amp;F$2&amp;F$1&amp;"C"&amp;$A27)+$A$4*$A$4*RTD("tos.rtd",,"OPEN_INT","."&amp;F$2&amp;F$1&amp;"P"&amp;$A27)*RTD("tos.rtd",,"GAMMA","."&amp;F$2&amp;F$1&amp;"P"&amp;$A27))/1000000,($A$4*$A$4*RTD("tos.rtd",,"OPEN_INT","."&amp;F$2&amp;F$1&amp;"C"&amp;$A27)*RTD("tos.rtd",,"GAMMA","."&amp;F$2&amp;F$1&amp;"C"&amp;$A27)-$A$4*$A$4*RTD("tos.rtd",,"OPEN_INT","."&amp;F$2&amp;F$1&amp;"P"&amp;$A27)*RTD("tos.rtd",,"GAMMA","."&amp;F$2&amp;F$1&amp;"P"&amp;$A27))/1000000),0),IF($A$2="SKEW",IFERROR(VALUE(IF(RTD("tos.rtd",,"IMPL_VOL","."&amp;F$2&amp;F$1&amp;"P"&amp;$A27)="N/A",0,RTD("tos.rtd",,"IMPL_VOL","."&amp;F$2&amp;F$1&amp;"P"&amp;$A27))),0)-IFERROR(VALUE(IF(RTD("tos.rtd",,"IMPL_VOL","."&amp;F$2&amp;F$1&amp;"C"&amp;$A27)="N/A",0,RTD("tos.rtd",,"IMPL_VOL","."&amp;F$2&amp;F$1&amp;"C"&amp;$A27))),0),IF($A$2="MAXPAIN",IF($A$4&gt;$A27,($A$4-$A27)*IF(RTD("tos.rtd",,"OPEN_INT","."&amp;F$2&amp;F$1&amp;"C"&amp;$A27)="N/A",0,RTD("tos.rtd",,"OPEN_INT","."&amp;F$2&amp;F$1&amp;"C"&amp;$A27)),0)+IF($A$4&lt;$A27,($A$5-$A$4)*IF(RTD("tos.rtd",,"OPEN_INT","."&amp;F$2&amp;F$1&amp;"P"&amp;$A27)="N/A",0,RTD("tos.rtd",,"OPEN_INT","."&amp;F$2&amp;F$1&amp;"P"&amp;$A27)),0),IF($X$1="ABS",IF(RTD("tos.rtd",,$A$2,"."&amp;F$2&amp;F$1&amp;"C"&amp;$A27)="N/A",0,RTD("tos.rtd",,$A$2,"."&amp;F$2&amp;F$1&amp;"C"&amp;$A27))+IF(RTD("tos.rtd",,$A$2,"."&amp;F$2&amp;F$1&amp;"P"&amp;$A27)="N/A",0,RTD("tos.rtd",,$A$2,"."&amp;F$2&amp;F$1&amp;"P"&amp;$A27)),IF(RTD("tos.rtd",,$A$2,"."&amp;F$2&amp;F$1&amp;"C"&amp;$A27)="N/A",0,RTD("tos.rtd",,$A$2,"."&amp;F$2&amp;F$1&amp;"C"&amp;$A27))-IF(RTD("tos.rtd",,$A$2,"."&amp;F$2&amp;F$1&amp;"P"&amp;$A27)="N/A",0,RTD("tos.rtd",,$A$2,"."&amp;F$2&amp;F$1&amp;"P"&amp;$A27))))))))))</f>
        <v>0</v>
      </c>
      <c r="G27" s="54">
        <f ca="1">IF($A$2="PREMIUM_OI",IFERROR(IF($X$1="ABS",(100*RTD("tos.rtd",,"OPEN_INT","."&amp;G$2&amp;G$1&amp;"C"&amp;$A27)*RTD("tos.rtd",,"LAST","."&amp;G$2&amp;G$1&amp;"C"&amp;$A27)+100*RTD("tos.rtd",,"OPEN_INT","."&amp;G$2&amp;G$1&amp;"P"&amp;$A27)*RTD("tos.rtd",,"LAST","."&amp;G$2&amp;G$1&amp;"P"&amp;$A27))/1000000,(100*RTD("tos.rtd",,"OPEN_INT","."&amp;G$2&amp;G$1&amp;"C"&amp;$A27)*RTD("tos.rtd",,"LAST","."&amp;G$2&amp;G$1&amp;"C"&amp;$A27)-100*RTD("tos.rtd",,"OPEN_INT","."&amp;G$2&amp;G$1&amp;"P"&amp;$A27)*RTD("tos.rtd",,"LAST","."&amp;G$2&amp;G$1&amp;"P"&amp;$A27))/1000000),0),IF($A$2="PREMIUM",IFERROR(IF($X$1="ABS",(100*RTD("tos.rtd",,"VOLUME","."&amp;G$2&amp;G$1&amp;"C"&amp;$A27)*RTD("tos.rtd",,"LAST","."&amp;G$2&amp;G$1&amp;"C"&amp;$A27)+100*RTD("tos.rtd",,"VOLUME","."&amp;G$2&amp;G$1&amp;"P"&amp;$A27)*RTD("tos.rtd",,"LAST","."&amp;G$2&amp;G$1&amp;"P"&amp;$A27))/1000000,(100*RTD("tos.rtd",,"VOLUME","."&amp;G$2&amp;G$1&amp;"C"&amp;$A27)*RTD("tos.rtd",,"LAST","."&amp;G$2&amp;G$1&amp;"C"&amp;$A27)-100*RTD("tos.rtd",,"VOLUME","."&amp;G$2&amp;G$1&amp;"P"&amp;$A27)*RTD("tos.rtd",,"LAST","."&amp;G$2&amp;G$1&amp;"P"&amp;$A27))/1000000),0),IF($A$2="DEX",IFERROR(IF($X$1="ABS",(100*RTD("tos.rtd",,"OPEN_INT","."&amp;G$2&amp;G$1&amp;"C"&amp;$A27)*RTD("tos.rtd",,"DELTA","."&amp;G$2&amp;G$1&amp;"C"&amp;$A27)+100*RTD("tos.rtd",,"OPEN_INT","."&amp;G$2&amp;G$1&amp;"P"&amp;$A27)*RTD("tos.rtd",,"DELTA","."&amp;G$2&amp;G$1&amp;"P"&amp;$A27))/1000,(100*RTD("tos.rtd",,"OPEN_INT","."&amp;G$2&amp;G$1&amp;"C"&amp;$A27)*RTD("tos.rtd",,"DELTA","."&amp;G$2&amp;G$1&amp;"C"&amp;$A27)-100*RTD("tos.rtd",,"OPEN_INT","."&amp;G$2&amp;G$1&amp;"P"&amp;$A27)*RTD("tos.rtd",,"DELTA","."&amp;G$2&amp;G$1&amp;"P"&amp;$A27))/1000),0),IF($A$2="VEX",IFERROR(IF($X$1="ABS",($A$4*$A$4*RTD("tos.rtd",,"VOLUME","."&amp;G$2&amp;G$1&amp;"C"&amp;$A27)*RTD("tos.rtd",,"GAMMA","."&amp;G$2&amp;G$1&amp;"C"&amp;$A27)+$A$4*$A$4*RTD("tos.rtd",,"VOLUME","."&amp;G$2&amp;G$1&amp;"P"&amp;$A27)*RTD("tos.rtd",,"GAMMA","."&amp;G$2&amp;G$1&amp;"P"&amp;$A27))/1000000,($A$4*$A$4*RTD("tos.rtd",,"VOLUME","."&amp;G$2&amp;G$1&amp;"C"&amp;$A27)*RTD("tos.rtd",,"GAMMA","."&amp;G$2&amp;G$1&amp;"C"&amp;$A27)-$A$4*$A$4*RTD("tos.rtd",,"VOLUME","."&amp;G$2&amp;G$1&amp;"P"&amp;$A27)*RTD("tos.rtd",,"GAMMA","."&amp;G$2&amp;G$1&amp;"P"&amp;$A27))/1000000),0),IF($A$2="GEX",IFERROR(IF($X$1="ABS",($A$4*$A$4*RTD("tos.rtd",,"OPEN_INT","."&amp;G$2&amp;G$1&amp;"C"&amp;$A27)*RTD("tos.rtd",,"GAMMA","."&amp;G$2&amp;G$1&amp;"C"&amp;$A27)+$A$4*$A$4*RTD("tos.rtd",,"OPEN_INT","."&amp;G$2&amp;G$1&amp;"P"&amp;$A27)*RTD("tos.rtd",,"GAMMA","."&amp;G$2&amp;G$1&amp;"P"&amp;$A27))/1000000,($A$4*$A$4*RTD("tos.rtd",,"OPEN_INT","."&amp;G$2&amp;G$1&amp;"C"&amp;$A27)*RTD("tos.rtd",,"GAMMA","."&amp;G$2&amp;G$1&amp;"C"&amp;$A27)-$A$4*$A$4*RTD("tos.rtd",,"OPEN_INT","."&amp;G$2&amp;G$1&amp;"P"&amp;$A27)*RTD("tos.rtd",,"GAMMA","."&amp;G$2&amp;G$1&amp;"P"&amp;$A27))/1000000),0),IF($A$2="SKEW",IFERROR(VALUE(IF(RTD("tos.rtd",,"IMPL_VOL","."&amp;G$2&amp;G$1&amp;"P"&amp;$A27)="N/A",0,RTD("tos.rtd",,"IMPL_VOL","."&amp;G$2&amp;G$1&amp;"P"&amp;$A27))),0)-IFERROR(VALUE(IF(RTD("tos.rtd",,"IMPL_VOL","."&amp;G$2&amp;G$1&amp;"C"&amp;$A27)="N/A",0,RTD("tos.rtd",,"IMPL_VOL","."&amp;G$2&amp;G$1&amp;"C"&amp;$A27))),0),IF($A$2="MAXPAIN",IF($A$4&gt;$A27,($A$4-$A27)*IF(RTD("tos.rtd",,"OPEN_INT","."&amp;G$2&amp;G$1&amp;"C"&amp;$A27)="N/A",0,RTD("tos.rtd",,"OPEN_INT","."&amp;G$2&amp;G$1&amp;"C"&amp;$A27)),0)+IF($A$4&lt;$A27,($A$5-$A$4)*IF(RTD("tos.rtd",,"OPEN_INT","."&amp;G$2&amp;G$1&amp;"P"&amp;$A27)="N/A",0,RTD("tos.rtd",,"OPEN_INT","."&amp;G$2&amp;G$1&amp;"P"&amp;$A27)),0),IF($X$1="ABS",IF(RTD("tos.rtd",,$A$2,"."&amp;G$2&amp;G$1&amp;"C"&amp;$A27)="N/A",0,RTD("tos.rtd",,$A$2,"."&amp;G$2&amp;G$1&amp;"C"&amp;$A27))+IF(RTD("tos.rtd",,$A$2,"."&amp;G$2&amp;G$1&amp;"P"&amp;$A27)="N/A",0,RTD("tos.rtd",,$A$2,"."&amp;G$2&amp;G$1&amp;"P"&amp;$A27)),IF(RTD("tos.rtd",,$A$2,"."&amp;G$2&amp;G$1&amp;"C"&amp;$A27)="N/A",0,RTD("tos.rtd",,$A$2,"."&amp;G$2&amp;G$1&amp;"C"&amp;$A27))-IF(RTD("tos.rtd",,$A$2,"."&amp;G$2&amp;G$1&amp;"P"&amp;$A27)="N/A",0,RTD("tos.rtd",,$A$2,"."&amp;G$2&amp;G$1&amp;"P"&amp;$A27))))))))))</f>
        <v>0</v>
      </c>
      <c r="H27" s="14">
        <f ca="1">IF($A$2="PREMIUM_OI",IFERROR(IF($X$1="ABS",(100*RTD("tos.rtd",,"OPEN_INT","."&amp;H$2&amp;H$1&amp;"C"&amp;$A27)*RTD("tos.rtd",,"LAST","."&amp;H$2&amp;H$1&amp;"C"&amp;$A27)+100*RTD("tos.rtd",,"OPEN_INT","."&amp;H$2&amp;H$1&amp;"P"&amp;$A27)*RTD("tos.rtd",,"LAST","."&amp;H$2&amp;H$1&amp;"P"&amp;$A27))/1000000,(100*RTD("tos.rtd",,"OPEN_INT","."&amp;H$2&amp;H$1&amp;"C"&amp;$A27)*RTD("tos.rtd",,"LAST","."&amp;H$2&amp;H$1&amp;"C"&amp;$A27)-100*RTD("tos.rtd",,"OPEN_INT","."&amp;H$2&amp;H$1&amp;"P"&amp;$A27)*RTD("tos.rtd",,"LAST","."&amp;H$2&amp;H$1&amp;"P"&amp;$A27))/1000000),0),IF($A$2="PREMIUM",IFERROR(IF($X$1="ABS",(100*RTD("tos.rtd",,"VOLUME","."&amp;H$2&amp;H$1&amp;"C"&amp;$A27)*RTD("tos.rtd",,"LAST","."&amp;H$2&amp;H$1&amp;"C"&amp;$A27)+100*RTD("tos.rtd",,"VOLUME","."&amp;H$2&amp;H$1&amp;"P"&amp;$A27)*RTD("tos.rtd",,"LAST","."&amp;H$2&amp;H$1&amp;"P"&amp;$A27))/1000000,(100*RTD("tos.rtd",,"VOLUME","."&amp;H$2&amp;H$1&amp;"C"&amp;$A27)*RTD("tos.rtd",,"LAST","."&amp;H$2&amp;H$1&amp;"C"&amp;$A27)-100*RTD("tos.rtd",,"VOLUME","."&amp;H$2&amp;H$1&amp;"P"&amp;$A27)*RTD("tos.rtd",,"LAST","."&amp;H$2&amp;H$1&amp;"P"&amp;$A27))/1000000),0),IF($A$2="DEX",IFERROR(IF($X$1="ABS",(100*RTD("tos.rtd",,"OPEN_INT","."&amp;H$2&amp;H$1&amp;"C"&amp;$A27)*RTD("tos.rtd",,"DELTA","."&amp;H$2&amp;H$1&amp;"C"&amp;$A27)+100*RTD("tos.rtd",,"OPEN_INT","."&amp;H$2&amp;H$1&amp;"P"&amp;$A27)*RTD("tos.rtd",,"DELTA","."&amp;H$2&amp;H$1&amp;"P"&amp;$A27))/1000,(100*RTD("tos.rtd",,"OPEN_INT","."&amp;H$2&amp;H$1&amp;"C"&amp;$A27)*RTD("tos.rtd",,"DELTA","."&amp;H$2&amp;H$1&amp;"C"&amp;$A27)-100*RTD("tos.rtd",,"OPEN_INT","."&amp;H$2&amp;H$1&amp;"P"&amp;$A27)*RTD("tos.rtd",,"DELTA","."&amp;H$2&amp;H$1&amp;"P"&amp;$A27))/1000),0),IF($A$2="VEX",IFERROR(IF($X$1="ABS",($A$4*$A$4*RTD("tos.rtd",,"VOLUME","."&amp;H$2&amp;H$1&amp;"C"&amp;$A27)*RTD("tos.rtd",,"GAMMA","."&amp;H$2&amp;H$1&amp;"C"&amp;$A27)+$A$4*$A$4*RTD("tos.rtd",,"VOLUME","."&amp;H$2&amp;H$1&amp;"P"&amp;$A27)*RTD("tos.rtd",,"GAMMA","."&amp;H$2&amp;H$1&amp;"P"&amp;$A27))/1000000,($A$4*$A$4*RTD("tos.rtd",,"VOLUME","."&amp;H$2&amp;H$1&amp;"C"&amp;$A27)*RTD("tos.rtd",,"GAMMA","."&amp;H$2&amp;H$1&amp;"C"&amp;$A27)-$A$4*$A$4*RTD("tos.rtd",,"VOLUME","."&amp;H$2&amp;H$1&amp;"P"&amp;$A27)*RTD("tos.rtd",,"GAMMA","."&amp;H$2&amp;H$1&amp;"P"&amp;$A27))/1000000),0),IF($A$2="GEX",IFERROR(IF($X$1="ABS",($A$4*$A$4*RTD("tos.rtd",,"OPEN_INT","."&amp;H$2&amp;H$1&amp;"C"&amp;$A27)*RTD("tos.rtd",,"GAMMA","."&amp;H$2&amp;H$1&amp;"C"&amp;$A27)+$A$4*$A$4*RTD("tos.rtd",,"OPEN_INT","."&amp;H$2&amp;H$1&amp;"P"&amp;$A27)*RTD("tos.rtd",,"GAMMA","."&amp;H$2&amp;H$1&amp;"P"&amp;$A27))/1000000,($A$4*$A$4*RTD("tos.rtd",,"OPEN_INT","."&amp;H$2&amp;H$1&amp;"C"&amp;$A27)*RTD("tos.rtd",,"GAMMA","."&amp;H$2&amp;H$1&amp;"C"&amp;$A27)-$A$4*$A$4*RTD("tos.rtd",,"OPEN_INT","."&amp;H$2&amp;H$1&amp;"P"&amp;$A27)*RTD("tos.rtd",,"GAMMA","."&amp;H$2&amp;H$1&amp;"P"&amp;$A27))/1000000),0),IF($A$2="SKEW",IFERROR(VALUE(IF(RTD("tos.rtd",,"IMPL_VOL","."&amp;H$2&amp;H$1&amp;"P"&amp;$A27)="N/A",0,RTD("tos.rtd",,"IMPL_VOL","."&amp;H$2&amp;H$1&amp;"P"&amp;$A27))),0)-IFERROR(VALUE(IF(RTD("tos.rtd",,"IMPL_VOL","."&amp;H$2&amp;H$1&amp;"C"&amp;$A27)="N/A",0,RTD("tos.rtd",,"IMPL_VOL","."&amp;H$2&amp;H$1&amp;"C"&amp;$A27))),0),IF($A$2="MAXPAIN",IF($A$4&gt;$A27,($A$4-$A27)*IF(RTD("tos.rtd",,"OPEN_INT","."&amp;H$2&amp;H$1&amp;"C"&amp;$A27)="N/A",0,RTD("tos.rtd",,"OPEN_INT","."&amp;H$2&amp;H$1&amp;"C"&amp;$A27)),0)+IF($A$4&lt;$A27,($A$5-$A$4)*IF(RTD("tos.rtd",,"OPEN_INT","."&amp;H$2&amp;H$1&amp;"P"&amp;$A27)="N/A",0,RTD("tos.rtd",,"OPEN_INT","."&amp;H$2&amp;H$1&amp;"P"&amp;$A27)),0),IF($X$1="ABS",IF(RTD("tos.rtd",,$A$2,"."&amp;H$2&amp;H$1&amp;"C"&amp;$A27)="N/A",0,RTD("tos.rtd",,$A$2,"."&amp;H$2&amp;H$1&amp;"C"&amp;$A27))+IF(RTD("tos.rtd",,$A$2,"."&amp;H$2&amp;H$1&amp;"P"&amp;$A27)="N/A",0,RTD("tos.rtd",,$A$2,"."&amp;H$2&amp;H$1&amp;"P"&amp;$A27)),IF(RTD("tos.rtd",,$A$2,"."&amp;H$2&amp;H$1&amp;"C"&amp;$A27)="N/A",0,RTD("tos.rtd",,$A$2,"."&amp;H$2&amp;H$1&amp;"C"&amp;$A27))-IF(RTD("tos.rtd",,$A$2,"."&amp;H$2&amp;H$1&amp;"P"&amp;$A27)="N/A",0,RTD("tos.rtd",,$A$2,"."&amp;H$2&amp;H$1&amp;"P"&amp;$A27))))))))))</f>
        <v>0</v>
      </c>
      <c r="I27" s="12">
        <f ca="1">IF($A$2="PREMIUM_OI",IFERROR(IF($X$1="ABS",(100*RTD("tos.rtd",,"OPEN_INT","."&amp;I$2&amp;I$1&amp;"C"&amp;$A27)*RTD("tos.rtd",,"LAST","."&amp;I$2&amp;I$1&amp;"C"&amp;$A27)+100*RTD("tos.rtd",,"OPEN_INT","."&amp;I$2&amp;I$1&amp;"P"&amp;$A27)*RTD("tos.rtd",,"LAST","."&amp;I$2&amp;I$1&amp;"P"&amp;$A27))/1000000,(100*RTD("tos.rtd",,"OPEN_INT","."&amp;I$2&amp;I$1&amp;"C"&amp;$A27)*RTD("tos.rtd",,"LAST","."&amp;I$2&amp;I$1&amp;"C"&amp;$A27)-100*RTD("tos.rtd",,"OPEN_INT","."&amp;I$2&amp;I$1&amp;"P"&amp;$A27)*RTD("tos.rtd",,"LAST","."&amp;I$2&amp;I$1&amp;"P"&amp;$A27))/1000000),0),IF($A$2="PREMIUM",IFERROR(IF($X$1="ABS",(100*RTD("tos.rtd",,"VOLUME","."&amp;I$2&amp;I$1&amp;"C"&amp;$A27)*RTD("tos.rtd",,"LAST","."&amp;I$2&amp;I$1&amp;"C"&amp;$A27)+100*RTD("tos.rtd",,"VOLUME","."&amp;I$2&amp;I$1&amp;"P"&amp;$A27)*RTD("tos.rtd",,"LAST","."&amp;I$2&amp;I$1&amp;"P"&amp;$A27))/1000000,(100*RTD("tos.rtd",,"VOLUME","."&amp;I$2&amp;I$1&amp;"C"&amp;$A27)*RTD("tos.rtd",,"LAST","."&amp;I$2&amp;I$1&amp;"C"&amp;$A27)-100*RTD("tos.rtd",,"VOLUME","."&amp;I$2&amp;I$1&amp;"P"&amp;$A27)*RTD("tos.rtd",,"LAST","."&amp;I$2&amp;I$1&amp;"P"&amp;$A27))/1000000),0),IF($A$2="DEX",IFERROR(IF($X$1="ABS",(100*RTD("tos.rtd",,"OPEN_INT","."&amp;I$2&amp;I$1&amp;"C"&amp;$A27)*RTD("tos.rtd",,"DELTA","."&amp;I$2&amp;I$1&amp;"C"&amp;$A27)+100*RTD("tos.rtd",,"OPEN_INT","."&amp;I$2&amp;I$1&amp;"P"&amp;$A27)*RTD("tos.rtd",,"DELTA","."&amp;I$2&amp;I$1&amp;"P"&amp;$A27))/1000,(100*RTD("tos.rtd",,"OPEN_INT","."&amp;I$2&amp;I$1&amp;"C"&amp;$A27)*RTD("tos.rtd",,"DELTA","."&amp;I$2&amp;I$1&amp;"C"&amp;$A27)-100*RTD("tos.rtd",,"OPEN_INT","."&amp;I$2&amp;I$1&amp;"P"&amp;$A27)*RTD("tos.rtd",,"DELTA","."&amp;I$2&amp;I$1&amp;"P"&amp;$A27))/1000),0),IF($A$2="VEX",IFERROR(IF($X$1="ABS",($A$4*$A$4*RTD("tos.rtd",,"VOLUME","."&amp;I$2&amp;I$1&amp;"C"&amp;$A27)*RTD("tos.rtd",,"GAMMA","."&amp;I$2&amp;I$1&amp;"C"&amp;$A27)+$A$4*$A$4*RTD("tos.rtd",,"VOLUME","."&amp;I$2&amp;I$1&amp;"P"&amp;$A27)*RTD("tos.rtd",,"GAMMA","."&amp;I$2&amp;I$1&amp;"P"&amp;$A27))/1000000,($A$4*$A$4*RTD("tos.rtd",,"VOLUME","."&amp;I$2&amp;I$1&amp;"C"&amp;$A27)*RTD("tos.rtd",,"GAMMA","."&amp;I$2&amp;I$1&amp;"C"&amp;$A27)-$A$4*$A$4*RTD("tos.rtd",,"VOLUME","."&amp;I$2&amp;I$1&amp;"P"&amp;$A27)*RTD("tos.rtd",,"GAMMA","."&amp;I$2&amp;I$1&amp;"P"&amp;$A27))/1000000),0),IF($A$2="GEX",IFERROR(IF($X$1="ABS",($A$4*$A$4*RTD("tos.rtd",,"OPEN_INT","."&amp;I$2&amp;I$1&amp;"C"&amp;$A27)*RTD("tos.rtd",,"GAMMA","."&amp;I$2&amp;I$1&amp;"C"&amp;$A27)+$A$4*$A$4*RTD("tos.rtd",,"OPEN_INT","."&amp;I$2&amp;I$1&amp;"P"&amp;$A27)*RTD("tos.rtd",,"GAMMA","."&amp;I$2&amp;I$1&amp;"P"&amp;$A27))/1000000,($A$4*$A$4*RTD("tos.rtd",,"OPEN_INT","."&amp;I$2&amp;I$1&amp;"C"&amp;$A27)*RTD("tos.rtd",,"GAMMA","."&amp;I$2&amp;I$1&amp;"C"&amp;$A27)-$A$4*$A$4*RTD("tos.rtd",,"OPEN_INT","."&amp;I$2&amp;I$1&amp;"P"&amp;$A27)*RTD("tos.rtd",,"GAMMA","."&amp;I$2&amp;I$1&amp;"P"&amp;$A27))/1000000),0),IF($A$2="SKEW",IFERROR(VALUE(IF(RTD("tos.rtd",,"IMPL_VOL","."&amp;I$2&amp;I$1&amp;"P"&amp;$A27)="N/A",0,RTD("tos.rtd",,"IMPL_VOL","."&amp;I$2&amp;I$1&amp;"P"&amp;$A27))),0)-IFERROR(VALUE(IF(RTD("tos.rtd",,"IMPL_VOL","."&amp;I$2&amp;I$1&amp;"C"&amp;$A27)="N/A",0,RTD("tos.rtd",,"IMPL_VOL","."&amp;I$2&amp;I$1&amp;"C"&amp;$A27))),0),IF($A$2="MAXPAIN",IF($A$4&gt;$A27,($A$4-$A27)*IF(RTD("tos.rtd",,"OPEN_INT","."&amp;I$2&amp;I$1&amp;"C"&amp;$A27)="N/A",0,RTD("tos.rtd",,"OPEN_INT","."&amp;I$2&amp;I$1&amp;"C"&amp;$A27)),0)+IF($A$4&lt;$A27,($A$5-$A$4)*IF(RTD("tos.rtd",,"OPEN_INT","."&amp;I$2&amp;I$1&amp;"P"&amp;$A27)="N/A",0,RTD("tos.rtd",,"OPEN_INT","."&amp;I$2&amp;I$1&amp;"P"&amp;$A27)),0),IF($X$1="ABS",IF(RTD("tos.rtd",,$A$2,"."&amp;I$2&amp;I$1&amp;"C"&amp;$A27)="N/A",0,RTD("tos.rtd",,$A$2,"."&amp;I$2&amp;I$1&amp;"C"&amp;$A27))+IF(RTD("tos.rtd",,$A$2,"."&amp;I$2&amp;I$1&amp;"P"&amp;$A27)="N/A",0,RTD("tos.rtd",,$A$2,"."&amp;I$2&amp;I$1&amp;"P"&amp;$A27)),IF(RTD("tos.rtd",,$A$2,"."&amp;I$2&amp;I$1&amp;"C"&amp;$A27)="N/A",0,RTD("tos.rtd",,$A$2,"."&amp;I$2&amp;I$1&amp;"C"&amp;$A27))-IF(RTD("tos.rtd",,$A$2,"."&amp;I$2&amp;I$1&amp;"P"&amp;$A27)="N/A",0,RTD("tos.rtd",,$A$2,"."&amp;I$2&amp;I$1&amp;"P"&amp;$A27))))))))))</f>
        <v>0</v>
      </c>
      <c r="J27" s="12">
        <f ca="1">IF($A$2="PREMIUM_OI",IFERROR(IF($X$1="ABS",(100*RTD("tos.rtd",,"OPEN_INT","."&amp;J$2&amp;J$1&amp;"C"&amp;$A27)*RTD("tos.rtd",,"LAST","."&amp;J$2&amp;J$1&amp;"C"&amp;$A27)+100*RTD("tos.rtd",,"OPEN_INT","."&amp;J$2&amp;J$1&amp;"P"&amp;$A27)*RTD("tos.rtd",,"LAST","."&amp;J$2&amp;J$1&amp;"P"&amp;$A27))/1000000,(100*RTD("tos.rtd",,"OPEN_INT","."&amp;J$2&amp;J$1&amp;"C"&amp;$A27)*RTD("tos.rtd",,"LAST","."&amp;J$2&amp;J$1&amp;"C"&amp;$A27)-100*RTD("tos.rtd",,"OPEN_INT","."&amp;J$2&amp;J$1&amp;"P"&amp;$A27)*RTD("tos.rtd",,"LAST","."&amp;J$2&amp;J$1&amp;"P"&amp;$A27))/1000000),0),IF($A$2="PREMIUM",IFERROR(IF($X$1="ABS",(100*RTD("tos.rtd",,"VOLUME","."&amp;J$2&amp;J$1&amp;"C"&amp;$A27)*RTD("tos.rtd",,"LAST","."&amp;J$2&amp;J$1&amp;"C"&amp;$A27)+100*RTD("tos.rtd",,"VOLUME","."&amp;J$2&amp;J$1&amp;"P"&amp;$A27)*RTD("tos.rtd",,"LAST","."&amp;J$2&amp;J$1&amp;"P"&amp;$A27))/1000000,(100*RTD("tos.rtd",,"VOLUME","."&amp;J$2&amp;J$1&amp;"C"&amp;$A27)*RTD("tos.rtd",,"LAST","."&amp;J$2&amp;J$1&amp;"C"&amp;$A27)-100*RTD("tos.rtd",,"VOLUME","."&amp;J$2&amp;J$1&amp;"P"&amp;$A27)*RTD("tos.rtd",,"LAST","."&amp;J$2&amp;J$1&amp;"P"&amp;$A27))/1000000),0),IF($A$2="DEX",IFERROR(IF($X$1="ABS",(100*RTD("tos.rtd",,"OPEN_INT","."&amp;J$2&amp;J$1&amp;"C"&amp;$A27)*RTD("tos.rtd",,"DELTA","."&amp;J$2&amp;J$1&amp;"C"&amp;$A27)+100*RTD("tos.rtd",,"OPEN_INT","."&amp;J$2&amp;J$1&amp;"P"&amp;$A27)*RTD("tos.rtd",,"DELTA","."&amp;J$2&amp;J$1&amp;"P"&amp;$A27))/1000,(100*RTD("tos.rtd",,"OPEN_INT","."&amp;J$2&amp;J$1&amp;"C"&amp;$A27)*RTD("tos.rtd",,"DELTA","."&amp;J$2&amp;J$1&amp;"C"&amp;$A27)-100*RTD("tos.rtd",,"OPEN_INT","."&amp;J$2&amp;J$1&amp;"P"&amp;$A27)*RTD("tos.rtd",,"DELTA","."&amp;J$2&amp;J$1&amp;"P"&amp;$A27))/1000),0),IF($A$2="VEX",IFERROR(IF($X$1="ABS",($A$4*$A$4*RTD("tos.rtd",,"VOLUME","."&amp;J$2&amp;J$1&amp;"C"&amp;$A27)*RTD("tos.rtd",,"GAMMA","."&amp;J$2&amp;J$1&amp;"C"&amp;$A27)+$A$4*$A$4*RTD("tos.rtd",,"VOLUME","."&amp;J$2&amp;J$1&amp;"P"&amp;$A27)*RTD("tos.rtd",,"GAMMA","."&amp;J$2&amp;J$1&amp;"P"&amp;$A27))/1000000,($A$4*$A$4*RTD("tos.rtd",,"VOLUME","."&amp;J$2&amp;J$1&amp;"C"&amp;$A27)*RTD("tos.rtd",,"GAMMA","."&amp;J$2&amp;J$1&amp;"C"&amp;$A27)-$A$4*$A$4*RTD("tos.rtd",,"VOLUME","."&amp;J$2&amp;J$1&amp;"P"&amp;$A27)*RTD("tos.rtd",,"GAMMA","."&amp;J$2&amp;J$1&amp;"P"&amp;$A27))/1000000),0),IF($A$2="GEX",IFERROR(IF($X$1="ABS",($A$4*$A$4*RTD("tos.rtd",,"OPEN_INT","."&amp;J$2&amp;J$1&amp;"C"&amp;$A27)*RTD("tos.rtd",,"GAMMA","."&amp;J$2&amp;J$1&amp;"C"&amp;$A27)+$A$4*$A$4*RTD("tos.rtd",,"OPEN_INT","."&amp;J$2&amp;J$1&amp;"P"&amp;$A27)*RTD("tos.rtd",,"GAMMA","."&amp;J$2&amp;J$1&amp;"P"&amp;$A27))/1000000,($A$4*$A$4*RTD("tos.rtd",,"OPEN_INT","."&amp;J$2&amp;J$1&amp;"C"&amp;$A27)*RTD("tos.rtd",,"GAMMA","."&amp;J$2&amp;J$1&amp;"C"&amp;$A27)-$A$4*$A$4*RTD("tos.rtd",,"OPEN_INT","."&amp;J$2&amp;J$1&amp;"P"&amp;$A27)*RTD("tos.rtd",,"GAMMA","."&amp;J$2&amp;J$1&amp;"P"&amp;$A27))/1000000),0),IF($A$2="SKEW",IFERROR(VALUE(IF(RTD("tos.rtd",,"IMPL_VOL","."&amp;J$2&amp;J$1&amp;"P"&amp;$A27)="N/A",0,RTD("tos.rtd",,"IMPL_VOL","."&amp;J$2&amp;J$1&amp;"P"&amp;$A27))),0)-IFERROR(VALUE(IF(RTD("tos.rtd",,"IMPL_VOL","."&amp;J$2&amp;J$1&amp;"C"&amp;$A27)="N/A",0,RTD("tos.rtd",,"IMPL_VOL","."&amp;J$2&amp;J$1&amp;"C"&amp;$A27))),0),IF($A$2="MAXPAIN",IF($A$4&gt;$A27,($A$4-$A27)*IF(RTD("tos.rtd",,"OPEN_INT","."&amp;J$2&amp;J$1&amp;"C"&amp;$A27)="N/A",0,RTD("tos.rtd",,"OPEN_INT","."&amp;J$2&amp;J$1&amp;"C"&amp;$A27)),0)+IF($A$4&lt;$A27,($A$5-$A$4)*IF(RTD("tos.rtd",,"OPEN_INT","."&amp;J$2&amp;J$1&amp;"P"&amp;$A27)="N/A",0,RTD("tos.rtd",,"OPEN_INT","."&amp;J$2&amp;J$1&amp;"P"&amp;$A27)),0),IF($X$1="ABS",IF(RTD("tos.rtd",,$A$2,"."&amp;J$2&amp;J$1&amp;"C"&amp;$A27)="N/A",0,RTD("tos.rtd",,$A$2,"."&amp;J$2&amp;J$1&amp;"C"&amp;$A27))+IF(RTD("tos.rtd",,$A$2,"."&amp;J$2&amp;J$1&amp;"P"&amp;$A27)="N/A",0,RTD("tos.rtd",,$A$2,"."&amp;J$2&amp;J$1&amp;"P"&amp;$A27)),IF(RTD("tos.rtd",,$A$2,"."&amp;J$2&amp;J$1&amp;"C"&amp;$A27)="N/A",0,RTD("tos.rtd",,$A$2,"."&amp;J$2&amp;J$1&amp;"C"&amp;$A27))-IF(RTD("tos.rtd",,$A$2,"."&amp;J$2&amp;J$1&amp;"P"&amp;$A27)="N/A",0,RTD("tos.rtd",,$A$2,"."&amp;J$2&amp;J$1&amp;"P"&amp;$A27))))))))))</f>
        <v>0</v>
      </c>
      <c r="K27" s="12">
        <f ca="1">IF($A$2="PREMIUM_OI",IFERROR(IF($X$1="ABS",(100*RTD("tos.rtd",,"OPEN_INT","."&amp;K$2&amp;K$1&amp;"C"&amp;$A27)*RTD("tos.rtd",,"LAST","."&amp;K$2&amp;K$1&amp;"C"&amp;$A27)+100*RTD("tos.rtd",,"OPEN_INT","."&amp;K$2&amp;K$1&amp;"P"&amp;$A27)*RTD("tos.rtd",,"LAST","."&amp;K$2&amp;K$1&amp;"P"&amp;$A27))/1000000,(100*RTD("tos.rtd",,"OPEN_INT","."&amp;K$2&amp;K$1&amp;"C"&amp;$A27)*RTD("tos.rtd",,"LAST","."&amp;K$2&amp;K$1&amp;"C"&amp;$A27)-100*RTD("tos.rtd",,"OPEN_INT","."&amp;K$2&amp;K$1&amp;"P"&amp;$A27)*RTD("tos.rtd",,"LAST","."&amp;K$2&amp;K$1&amp;"P"&amp;$A27))/1000000),0),IF($A$2="PREMIUM",IFERROR(IF($X$1="ABS",(100*RTD("tos.rtd",,"VOLUME","."&amp;K$2&amp;K$1&amp;"C"&amp;$A27)*RTD("tos.rtd",,"LAST","."&amp;K$2&amp;K$1&amp;"C"&amp;$A27)+100*RTD("tos.rtd",,"VOLUME","."&amp;K$2&amp;K$1&amp;"P"&amp;$A27)*RTD("tos.rtd",,"LAST","."&amp;K$2&amp;K$1&amp;"P"&amp;$A27))/1000000,(100*RTD("tos.rtd",,"VOLUME","."&amp;K$2&amp;K$1&amp;"C"&amp;$A27)*RTD("tos.rtd",,"LAST","."&amp;K$2&amp;K$1&amp;"C"&amp;$A27)-100*RTD("tos.rtd",,"VOLUME","."&amp;K$2&amp;K$1&amp;"P"&amp;$A27)*RTD("tos.rtd",,"LAST","."&amp;K$2&amp;K$1&amp;"P"&amp;$A27))/1000000),0),IF($A$2="DEX",IFERROR(IF($X$1="ABS",(100*RTD("tos.rtd",,"OPEN_INT","."&amp;K$2&amp;K$1&amp;"C"&amp;$A27)*RTD("tos.rtd",,"DELTA","."&amp;K$2&amp;K$1&amp;"C"&amp;$A27)+100*RTD("tos.rtd",,"OPEN_INT","."&amp;K$2&amp;K$1&amp;"P"&amp;$A27)*RTD("tos.rtd",,"DELTA","."&amp;K$2&amp;K$1&amp;"P"&amp;$A27))/1000,(100*RTD("tos.rtd",,"OPEN_INT","."&amp;K$2&amp;K$1&amp;"C"&amp;$A27)*RTD("tos.rtd",,"DELTA","."&amp;K$2&amp;K$1&amp;"C"&amp;$A27)-100*RTD("tos.rtd",,"OPEN_INT","."&amp;K$2&amp;K$1&amp;"P"&amp;$A27)*RTD("tos.rtd",,"DELTA","."&amp;K$2&amp;K$1&amp;"P"&amp;$A27))/1000),0),IF($A$2="VEX",IFERROR(IF($X$1="ABS",($A$4*$A$4*RTD("tos.rtd",,"VOLUME","."&amp;K$2&amp;K$1&amp;"C"&amp;$A27)*RTD("tos.rtd",,"GAMMA","."&amp;K$2&amp;K$1&amp;"C"&amp;$A27)+$A$4*$A$4*RTD("tos.rtd",,"VOLUME","."&amp;K$2&amp;K$1&amp;"P"&amp;$A27)*RTD("tos.rtd",,"GAMMA","."&amp;K$2&amp;K$1&amp;"P"&amp;$A27))/1000000,($A$4*$A$4*RTD("tos.rtd",,"VOLUME","."&amp;K$2&amp;K$1&amp;"C"&amp;$A27)*RTD("tos.rtd",,"GAMMA","."&amp;K$2&amp;K$1&amp;"C"&amp;$A27)-$A$4*$A$4*RTD("tos.rtd",,"VOLUME","."&amp;K$2&amp;K$1&amp;"P"&amp;$A27)*RTD("tos.rtd",,"GAMMA","."&amp;K$2&amp;K$1&amp;"P"&amp;$A27))/1000000),0),IF($A$2="GEX",IFERROR(IF($X$1="ABS",($A$4*$A$4*RTD("tos.rtd",,"OPEN_INT","."&amp;K$2&amp;K$1&amp;"C"&amp;$A27)*RTD("tos.rtd",,"GAMMA","."&amp;K$2&amp;K$1&amp;"C"&amp;$A27)+$A$4*$A$4*RTD("tos.rtd",,"OPEN_INT","."&amp;K$2&amp;K$1&amp;"P"&amp;$A27)*RTD("tos.rtd",,"GAMMA","."&amp;K$2&amp;K$1&amp;"P"&amp;$A27))/1000000,($A$4*$A$4*RTD("tos.rtd",,"OPEN_INT","."&amp;K$2&amp;K$1&amp;"C"&amp;$A27)*RTD("tos.rtd",,"GAMMA","."&amp;K$2&amp;K$1&amp;"C"&amp;$A27)-$A$4*$A$4*RTD("tos.rtd",,"OPEN_INT","."&amp;K$2&amp;K$1&amp;"P"&amp;$A27)*RTD("tos.rtd",,"GAMMA","."&amp;K$2&amp;K$1&amp;"P"&amp;$A27))/1000000),0),IF($A$2="SKEW",IFERROR(VALUE(IF(RTD("tos.rtd",,"IMPL_VOL","."&amp;K$2&amp;K$1&amp;"P"&amp;$A27)="N/A",0,RTD("tos.rtd",,"IMPL_VOL","."&amp;K$2&amp;K$1&amp;"P"&amp;$A27))),0)-IFERROR(VALUE(IF(RTD("tos.rtd",,"IMPL_VOL","."&amp;K$2&amp;K$1&amp;"C"&amp;$A27)="N/A",0,RTD("tos.rtd",,"IMPL_VOL","."&amp;K$2&amp;K$1&amp;"C"&amp;$A27))),0),IF($A$2="MAXPAIN",IF($A$4&gt;$A27,($A$4-$A27)*IF(RTD("tos.rtd",,"OPEN_INT","."&amp;K$2&amp;K$1&amp;"C"&amp;$A27)="N/A",0,RTD("tos.rtd",,"OPEN_INT","."&amp;K$2&amp;K$1&amp;"C"&amp;$A27)),0)+IF($A$4&lt;$A27,($A$5-$A$4)*IF(RTD("tos.rtd",,"OPEN_INT","."&amp;K$2&amp;K$1&amp;"P"&amp;$A27)="N/A",0,RTD("tos.rtd",,"OPEN_INT","."&amp;K$2&amp;K$1&amp;"P"&amp;$A27)),0),IF($X$1="ABS",IF(RTD("tos.rtd",,$A$2,"."&amp;K$2&amp;K$1&amp;"C"&amp;$A27)="N/A",0,RTD("tos.rtd",,$A$2,"."&amp;K$2&amp;K$1&amp;"C"&amp;$A27))+IF(RTD("tos.rtd",,$A$2,"."&amp;K$2&amp;K$1&amp;"P"&amp;$A27)="N/A",0,RTD("tos.rtd",,$A$2,"."&amp;K$2&amp;K$1&amp;"P"&amp;$A27)),IF(RTD("tos.rtd",,$A$2,"."&amp;K$2&amp;K$1&amp;"C"&amp;$A27)="N/A",0,RTD("tos.rtd",,$A$2,"."&amp;K$2&amp;K$1&amp;"C"&amp;$A27))-IF(RTD("tos.rtd",,$A$2,"."&amp;K$2&amp;K$1&amp;"P"&amp;$A27)="N/A",0,RTD("tos.rtd",,$A$2,"."&amp;K$2&amp;K$1&amp;"P"&amp;$A27))))))))))</f>
        <v>0</v>
      </c>
      <c r="L27" s="54">
        <f ca="1">IF($A$2="PREMIUM_OI",IFERROR(IF($X$1="ABS",(100*RTD("tos.rtd",,"OPEN_INT","."&amp;L$2&amp;L$1&amp;"C"&amp;$A27)*RTD("tos.rtd",,"LAST","."&amp;L$2&amp;L$1&amp;"C"&amp;$A27)+100*RTD("tos.rtd",,"OPEN_INT","."&amp;L$2&amp;L$1&amp;"P"&amp;$A27)*RTD("tos.rtd",,"LAST","."&amp;L$2&amp;L$1&amp;"P"&amp;$A27))/1000000,(100*RTD("tos.rtd",,"OPEN_INT","."&amp;L$2&amp;L$1&amp;"C"&amp;$A27)*RTD("tos.rtd",,"LAST","."&amp;L$2&amp;L$1&amp;"C"&amp;$A27)-100*RTD("tos.rtd",,"OPEN_INT","."&amp;L$2&amp;L$1&amp;"P"&amp;$A27)*RTD("tos.rtd",,"LAST","."&amp;L$2&amp;L$1&amp;"P"&amp;$A27))/1000000),0),IF($A$2="PREMIUM",IFERROR(IF($X$1="ABS",(100*RTD("tos.rtd",,"VOLUME","."&amp;L$2&amp;L$1&amp;"C"&amp;$A27)*RTD("tos.rtd",,"LAST","."&amp;L$2&amp;L$1&amp;"C"&amp;$A27)+100*RTD("tos.rtd",,"VOLUME","."&amp;L$2&amp;L$1&amp;"P"&amp;$A27)*RTD("tos.rtd",,"LAST","."&amp;L$2&amp;L$1&amp;"P"&amp;$A27))/1000000,(100*RTD("tos.rtd",,"VOLUME","."&amp;L$2&amp;L$1&amp;"C"&amp;$A27)*RTD("tos.rtd",,"LAST","."&amp;L$2&amp;L$1&amp;"C"&amp;$A27)-100*RTD("tos.rtd",,"VOLUME","."&amp;L$2&amp;L$1&amp;"P"&amp;$A27)*RTD("tos.rtd",,"LAST","."&amp;L$2&amp;L$1&amp;"P"&amp;$A27))/1000000),0),IF($A$2="DEX",IFERROR(IF($X$1="ABS",(100*RTD("tos.rtd",,"OPEN_INT","."&amp;L$2&amp;L$1&amp;"C"&amp;$A27)*RTD("tos.rtd",,"DELTA","."&amp;L$2&amp;L$1&amp;"C"&amp;$A27)+100*RTD("tos.rtd",,"OPEN_INT","."&amp;L$2&amp;L$1&amp;"P"&amp;$A27)*RTD("tos.rtd",,"DELTA","."&amp;L$2&amp;L$1&amp;"P"&amp;$A27))/1000,(100*RTD("tos.rtd",,"OPEN_INT","."&amp;L$2&amp;L$1&amp;"C"&amp;$A27)*RTD("tos.rtd",,"DELTA","."&amp;L$2&amp;L$1&amp;"C"&amp;$A27)-100*RTD("tos.rtd",,"OPEN_INT","."&amp;L$2&amp;L$1&amp;"P"&amp;$A27)*RTD("tos.rtd",,"DELTA","."&amp;L$2&amp;L$1&amp;"P"&amp;$A27))/1000),0),IF($A$2="VEX",IFERROR(IF($X$1="ABS",($A$4*$A$4*RTD("tos.rtd",,"VOLUME","."&amp;L$2&amp;L$1&amp;"C"&amp;$A27)*RTD("tos.rtd",,"GAMMA","."&amp;L$2&amp;L$1&amp;"C"&amp;$A27)+$A$4*$A$4*RTD("tos.rtd",,"VOLUME","."&amp;L$2&amp;L$1&amp;"P"&amp;$A27)*RTD("tos.rtd",,"GAMMA","."&amp;L$2&amp;L$1&amp;"P"&amp;$A27))/1000000,($A$4*$A$4*RTD("tos.rtd",,"VOLUME","."&amp;L$2&amp;L$1&amp;"C"&amp;$A27)*RTD("tos.rtd",,"GAMMA","."&amp;L$2&amp;L$1&amp;"C"&amp;$A27)-$A$4*$A$4*RTD("tos.rtd",,"VOLUME","."&amp;L$2&amp;L$1&amp;"P"&amp;$A27)*RTD("tos.rtd",,"GAMMA","."&amp;L$2&amp;L$1&amp;"P"&amp;$A27))/1000000),0),IF($A$2="GEX",IFERROR(IF($X$1="ABS",($A$4*$A$4*RTD("tos.rtd",,"OPEN_INT","."&amp;L$2&amp;L$1&amp;"C"&amp;$A27)*RTD("tos.rtd",,"GAMMA","."&amp;L$2&amp;L$1&amp;"C"&amp;$A27)+$A$4*$A$4*RTD("tos.rtd",,"OPEN_INT","."&amp;L$2&amp;L$1&amp;"P"&amp;$A27)*RTD("tos.rtd",,"GAMMA","."&amp;L$2&amp;L$1&amp;"P"&amp;$A27))/1000000,($A$4*$A$4*RTD("tos.rtd",,"OPEN_INT","."&amp;L$2&amp;L$1&amp;"C"&amp;$A27)*RTD("tos.rtd",,"GAMMA","."&amp;L$2&amp;L$1&amp;"C"&amp;$A27)-$A$4*$A$4*RTD("tos.rtd",,"OPEN_INT","."&amp;L$2&amp;L$1&amp;"P"&amp;$A27)*RTD("tos.rtd",,"GAMMA","."&amp;L$2&amp;L$1&amp;"P"&amp;$A27))/1000000),0),IF($A$2="SKEW",IFERROR(VALUE(IF(RTD("tos.rtd",,"IMPL_VOL","."&amp;L$2&amp;L$1&amp;"P"&amp;$A27)="N/A",0,RTD("tos.rtd",,"IMPL_VOL","."&amp;L$2&amp;L$1&amp;"P"&amp;$A27))),0)-IFERROR(VALUE(IF(RTD("tos.rtd",,"IMPL_VOL","."&amp;L$2&amp;L$1&amp;"C"&amp;$A27)="N/A",0,RTD("tos.rtd",,"IMPL_VOL","."&amp;L$2&amp;L$1&amp;"C"&amp;$A27))),0),IF($A$2="MAXPAIN",IF($A$4&gt;$A27,($A$4-$A27)*IF(RTD("tos.rtd",,"OPEN_INT","."&amp;L$2&amp;L$1&amp;"C"&amp;$A27)="N/A",0,RTD("tos.rtd",,"OPEN_INT","."&amp;L$2&amp;L$1&amp;"C"&amp;$A27)),0)+IF($A$4&lt;$A27,($A$5-$A$4)*IF(RTD("tos.rtd",,"OPEN_INT","."&amp;L$2&amp;L$1&amp;"P"&amp;$A27)="N/A",0,RTD("tos.rtd",,"OPEN_INT","."&amp;L$2&amp;L$1&amp;"P"&amp;$A27)),0),IF($X$1="ABS",IF(RTD("tos.rtd",,$A$2,"."&amp;L$2&amp;L$1&amp;"C"&amp;$A27)="N/A",0,RTD("tos.rtd",,$A$2,"."&amp;L$2&amp;L$1&amp;"C"&amp;$A27))+IF(RTD("tos.rtd",,$A$2,"."&amp;L$2&amp;L$1&amp;"P"&amp;$A27)="N/A",0,RTD("tos.rtd",,$A$2,"."&amp;L$2&amp;L$1&amp;"P"&amp;$A27)),IF(RTD("tos.rtd",,$A$2,"."&amp;L$2&amp;L$1&amp;"C"&amp;$A27)="N/A",0,RTD("tos.rtd",,$A$2,"."&amp;L$2&amp;L$1&amp;"C"&amp;$A27))-IF(RTD("tos.rtd",,$A$2,"."&amp;L$2&amp;L$1&amp;"P"&amp;$A27)="N/A",0,RTD("tos.rtd",,$A$2,"."&amp;L$2&amp;L$1&amp;"P"&amp;$A27))))))))))</f>
        <v>0</v>
      </c>
      <c r="M27" s="12">
        <f ca="1">IF($A$2="PREMIUM_OI",IFERROR(IF($X$1="ABS",(100*RTD("tos.rtd",,"OPEN_INT","."&amp;M$2&amp;M$1&amp;"C"&amp;$A27)*RTD("tos.rtd",,"LAST","."&amp;M$2&amp;M$1&amp;"C"&amp;$A27)+100*RTD("tos.rtd",,"OPEN_INT","."&amp;M$2&amp;M$1&amp;"P"&amp;$A27)*RTD("tos.rtd",,"LAST","."&amp;M$2&amp;M$1&amp;"P"&amp;$A27))/1000000,(100*RTD("tos.rtd",,"OPEN_INT","."&amp;M$2&amp;M$1&amp;"C"&amp;$A27)*RTD("tos.rtd",,"LAST","."&amp;M$2&amp;M$1&amp;"C"&amp;$A27)-100*RTD("tos.rtd",,"OPEN_INT","."&amp;M$2&amp;M$1&amp;"P"&amp;$A27)*RTD("tos.rtd",,"LAST","."&amp;M$2&amp;M$1&amp;"P"&amp;$A27))/1000000),0),IF($A$2="PREMIUM",IFERROR(IF($X$1="ABS",(100*RTD("tos.rtd",,"VOLUME","."&amp;M$2&amp;M$1&amp;"C"&amp;$A27)*RTD("tos.rtd",,"LAST","."&amp;M$2&amp;M$1&amp;"C"&amp;$A27)+100*RTD("tos.rtd",,"VOLUME","."&amp;M$2&amp;M$1&amp;"P"&amp;$A27)*RTD("tos.rtd",,"LAST","."&amp;M$2&amp;M$1&amp;"P"&amp;$A27))/1000000,(100*RTD("tos.rtd",,"VOLUME","."&amp;M$2&amp;M$1&amp;"C"&amp;$A27)*RTD("tos.rtd",,"LAST","."&amp;M$2&amp;M$1&amp;"C"&amp;$A27)-100*RTD("tos.rtd",,"VOLUME","."&amp;M$2&amp;M$1&amp;"P"&amp;$A27)*RTD("tos.rtd",,"LAST","."&amp;M$2&amp;M$1&amp;"P"&amp;$A27))/1000000),0),IF($A$2="DEX",IFERROR(IF($X$1="ABS",(100*RTD("tos.rtd",,"OPEN_INT","."&amp;M$2&amp;M$1&amp;"C"&amp;$A27)*RTD("tos.rtd",,"DELTA","."&amp;M$2&amp;M$1&amp;"C"&amp;$A27)+100*RTD("tos.rtd",,"OPEN_INT","."&amp;M$2&amp;M$1&amp;"P"&amp;$A27)*RTD("tos.rtd",,"DELTA","."&amp;M$2&amp;M$1&amp;"P"&amp;$A27))/1000,(100*RTD("tos.rtd",,"OPEN_INT","."&amp;M$2&amp;M$1&amp;"C"&amp;$A27)*RTD("tos.rtd",,"DELTA","."&amp;M$2&amp;M$1&amp;"C"&amp;$A27)-100*RTD("tos.rtd",,"OPEN_INT","."&amp;M$2&amp;M$1&amp;"P"&amp;$A27)*RTD("tos.rtd",,"DELTA","."&amp;M$2&amp;M$1&amp;"P"&amp;$A27))/1000),0),IF($A$2="VEX",IFERROR(IF($X$1="ABS",($A$4*$A$4*RTD("tos.rtd",,"VOLUME","."&amp;M$2&amp;M$1&amp;"C"&amp;$A27)*RTD("tos.rtd",,"GAMMA","."&amp;M$2&amp;M$1&amp;"C"&amp;$A27)+$A$4*$A$4*RTD("tos.rtd",,"VOLUME","."&amp;M$2&amp;M$1&amp;"P"&amp;$A27)*RTD("tos.rtd",,"GAMMA","."&amp;M$2&amp;M$1&amp;"P"&amp;$A27))/1000000,($A$4*$A$4*RTD("tos.rtd",,"VOLUME","."&amp;M$2&amp;M$1&amp;"C"&amp;$A27)*RTD("tos.rtd",,"GAMMA","."&amp;M$2&amp;M$1&amp;"C"&amp;$A27)-$A$4*$A$4*RTD("tos.rtd",,"VOLUME","."&amp;M$2&amp;M$1&amp;"P"&amp;$A27)*RTD("tos.rtd",,"GAMMA","."&amp;M$2&amp;M$1&amp;"P"&amp;$A27))/1000000),0),IF($A$2="GEX",IFERROR(IF($X$1="ABS",($A$4*$A$4*RTD("tos.rtd",,"OPEN_INT","."&amp;M$2&amp;M$1&amp;"C"&amp;$A27)*RTD("tos.rtd",,"GAMMA","."&amp;M$2&amp;M$1&amp;"C"&amp;$A27)+$A$4*$A$4*RTD("tos.rtd",,"OPEN_INT","."&amp;M$2&amp;M$1&amp;"P"&amp;$A27)*RTD("tos.rtd",,"GAMMA","."&amp;M$2&amp;M$1&amp;"P"&amp;$A27))/1000000,($A$4*$A$4*RTD("tos.rtd",,"OPEN_INT","."&amp;M$2&amp;M$1&amp;"C"&amp;$A27)*RTD("tos.rtd",,"GAMMA","."&amp;M$2&amp;M$1&amp;"C"&amp;$A27)-$A$4*$A$4*RTD("tos.rtd",,"OPEN_INT","."&amp;M$2&amp;M$1&amp;"P"&amp;$A27)*RTD("tos.rtd",,"GAMMA","."&amp;M$2&amp;M$1&amp;"P"&amp;$A27))/1000000),0),IF($A$2="SKEW",IFERROR(VALUE(IF(RTD("tos.rtd",,"IMPL_VOL","."&amp;M$2&amp;M$1&amp;"P"&amp;$A27)="N/A",0,RTD("tos.rtd",,"IMPL_VOL","."&amp;M$2&amp;M$1&amp;"P"&amp;$A27))),0)-IFERROR(VALUE(IF(RTD("tos.rtd",,"IMPL_VOL","."&amp;M$2&amp;M$1&amp;"C"&amp;$A27)="N/A",0,RTD("tos.rtd",,"IMPL_VOL","."&amp;M$2&amp;M$1&amp;"C"&amp;$A27))),0),IF($A$2="MAXPAIN",IF($A$4&gt;$A27,($A$4-$A27)*IF(RTD("tos.rtd",,"OPEN_INT","."&amp;M$2&amp;M$1&amp;"C"&amp;$A27)="N/A",0,RTD("tos.rtd",,"OPEN_INT","."&amp;M$2&amp;M$1&amp;"C"&amp;$A27)),0)+IF($A$4&lt;$A27,($A$5-$A$4)*IF(RTD("tos.rtd",,"OPEN_INT","."&amp;M$2&amp;M$1&amp;"P"&amp;$A27)="N/A",0,RTD("tos.rtd",,"OPEN_INT","."&amp;M$2&amp;M$1&amp;"P"&amp;$A27)),0),IF($X$1="ABS",IF(RTD("tos.rtd",,$A$2,"."&amp;M$2&amp;M$1&amp;"C"&amp;$A27)="N/A",0,RTD("tos.rtd",,$A$2,"."&amp;M$2&amp;M$1&amp;"C"&amp;$A27))+IF(RTD("tos.rtd",,$A$2,"."&amp;M$2&amp;M$1&amp;"P"&amp;$A27)="N/A",0,RTD("tos.rtd",,$A$2,"."&amp;M$2&amp;M$1&amp;"P"&amp;$A27)),IF(RTD("tos.rtd",,$A$2,"."&amp;M$2&amp;M$1&amp;"C"&amp;$A27)="N/A",0,RTD("tos.rtd",,$A$2,"."&amp;M$2&amp;M$1&amp;"C"&amp;$A27))-IF(RTD("tos.rtd",,$A$2,"."&amp;M$2&amp;M$1&amp;"P"&amp;$A27)="N/A",0,RTD("tos.rtd",,$A$2,"."&amp;M$2&amp;M$1&amp;"P"&amp;$A27))))))))))</f>
        <v>0</v>
      </c>
      <c r="N27" s="12">
        <f ca="1">IF($A$2="PREMIUM_OI",IFERROR(IF($X$1="ABS",(100*RTD("tos.rtd",,"OPEN_INT","."&amp;N$2&amp;N$1&amp;"C"&amp;$A27)*RTD("tos.rtd",,"LAST","."&amp;N$2&amp;N$1&amp;"C"&amp;$A27)+100*RTD("tos.rtd",,"OPEN_INT","."&amp;N$2&amp;N$1&amp;"P"&amp;$A27)*RTD("tos.rtd",,"LAST","."&amp;N$2&amp;N$1&amp;"P"&amp;$A27))/1000000,(100*RTD("tos.rtd",,"OPEN_INT","."&amp;N$2&amp;N$1&amp;"C"&amp;$A27)*RTD("tos.rtd",,"LAST","."&amp;N$2&amp;N$1&amp;"C"&amp;$A27)-100*RTD("tos.rtd",,"OPEN_INT","."&amp;N$2&amp;N$1&amp;"P"&amp;$A27)*RTD("tos.rtd",,"LAST","."&amp;N$2&amp;N$1&amp;"P"&amp;$A27))/1000000),0),IF($A$2="PREMIUM",IFERROR(IF($X$1="ABS",(100*RTD("tos.rtd",,"VOLUME","."&amp;N$2&amp;N$1&amp;"C"&amp;$A27)*RTD("tos.rtd",,"LAST","."&amp;N$2&amp;N$1&amp;"C"&amp;$A27)+100*RTD("tos.rtd",,"VOLUME","."&amp;N$2&amp;N$1&amp;"P"&amp;$A27)*RTD("tos.rtd",,"LAST","."&amp;N$2&amp;N$1&amp;"P"&amp;$A27))/1000000,(100*RTD("tos.rtd",,"VOLUME","."&amp;N$2&amp;N$1&amp;"C"&amp;$A27)*RTD("tos.rtd",,"LAST","."&amp;N$2&amp;N$1&amp;"C"&amp;$A27)-100*RTD("tos.rtd",,"VOLUME","."&amp;N$2&amp;N$1&amp;"P"&amp;$A27)*RTD("tos.rtd",,"LAST","."&amp;N$2&amp;N$1&amp;"P"&amp;$A27))/1000000),0),IF($A$2="DEX",IFERROR(IF($X$1="ABS",(100*RTD("tos.rtd",,"OPEN_INT","."&amp;N$2&amp;N$1&amp;"C"&amp;$A27)*RTD("tos.rtd",,"DELTA","."&amp;N$2&amp;N$1&amp;"C"&amp;$A27)+100*RTD("tos.rtd",,"OPEN_INT","."&amp;N$2&amp;N$1&amp;"P"&amp;$A27)*RTD("tos.rtd",,"DELTA","."&amp;N$2&amp;N$1&amp;"P"&amp;$A27))/1000,(100*RTD("tos.rtd",,"OPEN_INT","."&amp;N$2&amp;N$1&amp;"C"&amp;$A27)*RTD("tos.rtd",,"DELTA","."&amp;N$2&amp;N$1&amp;"C"&amp;$A27)-100*RTD("tos.rtd",,"OPEN_INT","."&amp;N$2&amp;N$1&amp;"P"&amp;$A27)*RTD("tos.rtd",,"DELTA","."&amp;N$2&amp;N$1&amp;"P"&amp;$A27))/1000),0),IF($A$2="VEX",IFERROR(IF($X$1="ABS",($A$4*$A$4*RTD("tos.rtd",,"VOLUME","."&amp;N$2&amp;N$1&amp;"C"&amp;$A27)*RTD("tos.rtd",,"GAMMA","."&amp;N$2&amp;N$1&amp;"C"&amp;$A27)+$A$4*$A$4*RTD("tos.rtd",,"VOLUME","."&amp;N$2&amp;N$1&amp;"P"&amp;$A27)*RTD("tos.rtd",,"GAMMA","."&amp;N$2&amp;N$1&amp;"P"&amp;$A27))/1000000,($A$4*$A$4*RTD("tos.rtd",,"VOLUME","."&amp;N$2&amp;N$1&amp;"C"&amp;$A27)*RTD("tos.rtd",,"GAMMA","."&amp;N$2&amp;N$1&amp;"C"&amp;$A27)-$A$4*$A$4*RTD("tos.rtd",,"VOLUME","."&amp;N$2&amp;N$1&amp;"P"&amp;$A27)*RTD("tos.rtd",,"GAMMA","."&amp;N$2&amp;N$1&amp;"P"&amp;$A27))/1000000),0),IF($A$2="GEX",IFERROR(IF($X$1="ABS",($A$4*$A$4*RTD("tos.rtd",,"OPEN_INT","."&amp;N$2&amp;N$1&amp;"C"&amp;$A27)*RTD("tos.rtd",,"GAMMA","."&amp;N$2&amp;N$1&amp;"C"&amp;$A27)+$A$4*$A$4*RTD("tos.rtd",,"OPEN_INT","."&amp;N$2&amp;N$1&amp;"P"&amp;$A27)*RTD("tos.rtd",,"GAMMA","."&amp;N$2&amp;N$1&amp;"P"&amp;$A27))/1000000,($A$4*$A$4*RTD("tos.rtd",,"OPEN_INT","."&amp;N$2&amp;N$1&amp;"C"&amp;$A27)*RTD("tos.rtd",,"GAMMA","."&amp;N$2&amp;N$1&amp;"C"&amp;$A27)-$A$4*$A$4*RTD("tos.rtd",,"OPEN_INT","."&amp;N$2&amp;N$1&amp;"P"&amp;$A27)*RTD("tos.rtd",,"GAMMA","."&amp;N$2&amp;N$1&amp;"P"&amp;$A27))/1000000),0),IF($A$2="SKEW",IFERROR(VALUE(IF(RTD("tos.rtd",,"IMPL_VOL","."&amp;N$2&amp;N$1&amp;"P"&amp;$A27)="N/A",0,RTD("tos.rtd",,"IMPL_VOL","."&amp;N$2&amp;N$1&amp;"P"&amp;$A27))),0)-IFERROR(VALUE(IF(RTD("tos.rtd",,"IMPL_VOL","."&amp;N$2&amp;N$1&amp;"C"&amp;$A27)="N/A",0,RTD("tos.rtd",,"IMPL_VOL","."&amp;N$2&amp;N$1&amp;"C"&amp;$A27))),0),IF($A$2="MAXPAIN",IF($A$4&gt;$A27,($A$4-$A27)*IF(RTD("tos.rtd",,"OPEN_INT","."&amp;N$2&amp;N$1&amp;"C"&amp;$A27)="N/A",0,RTD("tos.rtd",,"OPEN_INT","."&amp;N$2&amp;N$1&amp;"C"&amp;$A27)),0)+IF($A$4&lt;$A27,($A$5-$A$4)*IF(RTD("tos.rtd",,"OPEN_INT","."&amp;N$2&amp;N$1&amp;"P"&amp;$A27)="N/A",0,RTD("tos.rtd",,"OPEN_INT","."&amp;N$2&amp;N$1&amp;"P"&amp;$A27)),0),IF($X$1="ABS",IF(RTD("tos.rtd",,$A$2,"."&amp;N$2&amp;N$1&amp;"C"&amp;$A27)="N/A",0,RTD("tos.rtd",,$A$2,"."&amp;N$2&amp;N$1&amp;"C"&amp;$A27))+IF(RTD("tos.rtd",,$A$2,"."&amp;N$2&amp;N$1&amp;"P"&amp;$A27)="N/A",0,RTD("tos.rtd",,$A$2,"."&amp;N$2&amp;N$1&amp;"P"&amp;$A27)),IF(RTD("tos.rtd",,$A$2,"."&amp;N$2&amp;N$1&amp;"C"&amp;$A27)="N/A",0,RTD("tos.rtd",,$A$2,"."&amp;N$2&amp;N$1&amp;"C"&amp;$A27))-IF(RTD("tos.rtd",,$A$2,"."&amp;N$2&amp;N$1&amp;"P"&amp;$A27)="N/A",0,RTD("tos.rtd",,$A$2,"."&amp;N$2&amp;N$1&amp;"P"&amp;$A27))))))))))</f>
        <v>0</v>
      </c>
      <c r="O27" s="12">
        <f ca="1">IF($A$2="PREMIUM_OI",IFERROR(IF($X$1="ABS",(100*RTD("tos.rtd",,"OPEN_INT","."&amp;O$2&amp;O$1&amp;"C"&amp;$A27)*RTD("tos.rtd",,"LAST","."&amp;O$2&amp;O$1&amp;"C"&amp;$A27)+100*RTD("tos.rtd",,"OPEN_INT","."&amp;O$2&amp;O$1&amp;"P"&amp;$A27)*RTD("tos.rtd",,"LAST","."&amp;O$2&amp;O$1&amp;"P"&amp;$A27))/1000000,(100*RTD("tos.rtd",,"OPEN_INT","."&amp;O$2&amp;O$1&amp;"C"&amp;$A27)*RTD("tos.rtd",,"LAST","."&amp;O$2&amp;O$1&amp;"C"&amp;$A27)-100*RTD("tos.rtd",,"OPEN_INT","."&amp;O$2&amp;O$1&amp;"P"&amp;$A27)*RTD("tos.rtd",,"LAST","."&amp;O$2&amp;O$1&amp;"P"&amp;$A27))/1000000),0),IF($A$2="PREMIUM",IFERROR(IF($X$1="ABS",(100*RTD("tos.rtd",,"VOLUME","."&amp;O$2&amp;O$1&amp;"C"&amp;$A27)*RTD("tos.rtd",,"LAST","."&amp;O$2&amp;O$1&amp;"C"&amp;$A27)+100*RTD("tos.rtd",,"VOLUME","."&amp;O$2&amp;O$1&amp;"P"&amp;$A27)*RTD("tos.rtd",,"LAST","."&amp;O$2&amp;O$1&amp;"P"&amp;$A27))/1000000,(100*RTD("tos.rtd",,"VOLUME","."&amp;O$2&amp;O$1&amp;"C"&amp;$A27)*RTD("tos.rtd",,"LAST","."&amp;O$2&amp;O$1&amp;"C"&amp;$A27)-100*RTD("tos.rtd",,"VOLUME","."&amp;O$2&amp;O$1&amp;"P"&amp;$A27)*RTD("tos.rtd",,"LAST","."&amp;O$2&amp;O$1&amp;"P"&amp;$A27))/1000000),0),IF($A$2="DEX",IFERROR(IF($X$1="ABS",(100*RTD("tos.rtd",,"OPEN_INT","."&amp;O$2&amp;O$1&amp;"C"&amp;$A27)*RTD("tos.rtd",,"DELTA","."&amp;O$2&amp;O$1&amp;"C"&amp;$A27)+100*RTD("tos.rtd",,"OPEN_INT","."&amp;O$2&amp;O$1&amp;"P"&amp;$A27)*RTD("tos.rtd",,"DELTA","."&amp;O$2&amp;O$1&amp;"P"&amp;$A27))/1000,(100*RTD("tos.rtd",,"OPEN_INT","."&amp;O$2&amp;O$1&amp;"C"&amp;$A27)*RTD("tos.rtd",,"DELTA","."&amp;O$2&amp;O$1&amp;"C"&amp;$A27)-100*RTD("tos.rtd",,"OPEN_INT","."&amp;O$2&amp;O$1&amp;"P"&amp;$A27)*RTD("tos.rtd",,"DELTA","."&amp;O$2&amp;O$1&amp;"P"&amp;$A27))/1000),0),IF($A$2="VEX",IFERROR(IF($X$1="ABS",($A$4*$A$4*RTD("tos.rtd",,"VOLUME","."&amp;O$2&amp;O$1&amp;"C"&amp;$A27)*RTD("tos.rtd",,"GAMMA","."&amp;O$2&amp;O$1&amp;"C"&amp;$A27)+$A$4*$A$4*RTD("tos.rtd",,"VOLUME","."&amp;O$2&amp;O$1&amp;"P"&amp;$A27)*RTD("tos.rtd",,"GAMMA","."&amp;O$2&amp;O$1&amp;"P"&amp;$A27))/1000000,($A$4*$A$4*RTD("tos.rtd",,"VOLUME","."&amp;O$2&amp;O$1&amp;"C"&amp;$A27)*RTD("tos.rtd",,"GAMMA","."&amp;O$2&amp;O$1&amp;"C"&amp;$A27)-$A$4*$A$4*RTD("tos.rtd",,"VOLUME","."&amp;O$2&amp;O$1&amp;"P"&amp;$A27)*RTD("tos.rtd",,"GAMMA","."&amp;O$2&amp;O$1&amp;"P"&amp;$A27))/1000000),0),IF($A$2="GEX",IFERROR(IF($X$1="ABS",($A$4*$A$4*RTD("tos.rtd",,"OPEN_INT","."&amp;O$2&amp;O$1&amp;"C"&amp;$A27)*RTD("tos.rtd",,"GAMMA","."&amp;O$2&amp;O$1&amp;"C"&amp;$A27)+$A$4*$A$4*RTD("tos.rtd",,"OPEN_INT","."&amp;O$2&amp;O$1&amp;"P"&amp;$A27)*RTD("tos.rtd",,"GAMMA","."&amp;O$2&amp;O$1&amp;"P"&amp;$A27))/1000000,($A$4*$A$4*RTD("tos.rtd",,"OPEN_INT","."&amp;O$2&amp;O$1&amp;"C"&amp;$A27)*RTD("tos.rtd",,"GAMMA","."&amp;O$2&amp;O$1&amp;"C"&amp;$A27)-$A$4*$A$4*RTD("tos.rtd",,"OPEN_INT","."&amp;O$2&amp;O$1&amp;"P"&amp;$A27)*RTD("tos.rtd",,"GAMMA","."&amp;O$2&amp;O$1&amp;"P"&amp;$A27))/1000000),0),IF($A$2="SKEW",IFERROR(VALUE(IF(RTD("tos.rtd",,"IMPL_VOL","."&amp;O$2&amp;O$1&amp;"P"&amp;$A27)="N/A",0,RTD("tos.rtd",,"IMPL_VOL","."&amp;O$2&amp;O$1&amp;"P"&amp;$A27))),0)-IFERROR(VALUE(IF(RTD("tos.rtd",,"IMPL_VOL","."&amp;O$2&amp;O$1&amp;"C"&amp;$A27)="N/A",0,RTD("tos.rtd",,"IMPL_VOL","."&amp;O$2&amp;O$1&amp;"C"&amp;$A27))),0),IF($A$2="MAXPAIN",IF($A$4&gt;$A27,($A$4-$A27)*IF(RTD("tos.rtd",,"OPEN_INT","."&amp;O$2&amp;O$1&amp;"C"&amp;$A27)="N/A",0,RTD("tos.rtd",,"OPEN_INT","."&amp;O$2&amp;O$1&amp;"C"&amp;$A27)),0)+IF($A$4&lt;$A27,($A$5-$A$4)*IF(RTD("tos.rtd",,"OPEN_INT","."&amp;O$2&amp;O$1&amp;"P"&amp;$A27)="N/A",0,RTD("tos.rtd",,"OPEN_INT","."&amp;O$2&amp;O$1&amp;"P"&amp;$A27)),0),IF($X$1="ABS",IF(RTD("tos.rtd",,$A$2,"."&amp;O$2&amp;O$1&amp;"C"&amp;$A27)="N/A",0,RTD("tos.rtd",,$A$2,"."&amp;O$2&amp;O$1&amp;"C"&amp;$A27))+IF(RTD("tos.rtd",,$A$2,"."&amp;O$2&amp;O$1&amp;"P"&amp;$A27)="N/A",0,RTD("tos.rtd",,$A$2,"."&amp;O$2&amp;O$1&amp;"P"&amp;$A27)),IF(RTD("tos.rtd",,$A$2,"."&amp;O$2&amp;O$1&amp;"C"&amp;$A27)="N/A",0,RTD("tos.rtd",,$A$2,"."&amp;O$2&amp;O$1&amp;"C"&amp;$A27))-IF(RTD("tos.rtd",,$A$2,"."&amp;O$2&amp;O$1&amp;"P"&amp;$A27)="N/A",0,RTD("tos.rtd",,$A$2,"."&amp;O$2&amp;O$1&amp;"P"&amp;$A27))))))))))</f>
        <v>0</v>
      </c>
      <c r="P27" s="12">
        <f ca="1">IF($A$2="PREMIUM_OI",IFERROR(IF($X$1="ABS",(100*RTD("tos.rtd",,"OPEN_INT","."&amp;P$2&amp;P$1&amp;"C"&amp;$A27)*RTD("tos.rtd",,"LAST","."&amp;P$2&amp;P$1&amp;"C"&amp;$A27)+100*RTD("tos.rtd",,"OPEN_INT","."&amp;P$2&amp;P$1&amp;"P"&amp;$A27)*RTD("tos.rtd",,"LAST","."&amp;P$2&amp;P$1&amp;"P"&amp;$A27))/1000000,(100*RTD("tos.rtd",,"OPEN_INT","."&amp;P$2&amp;P$1&amp;"C"&amp;$A27)*RTD("tos.rtd",,"LAST","."&amp;P$2&amp;P$1&amp;"C"&amp;$A27)-100*RTD("tos.rtd",,"OPEN_INT","."&amp;P$2&amp;P$1&amp;"P"&amp;$A27)*RTD("tos.rtd",,"LAST","."&amp;P$2&amp;P$1&amp;"P"&amp;$A27))/1000000),0),IF($A$2="PREMIUM",IFERROR(IF($X$1="ABS",(100*RTD("tos.rtd",,"VOLUME","."&amp;P$2&amp;P$1&amp;"C"&amp;$A27)*RTD("tos.rtd",,"LAST","."&amp;P$2&amp;P$1&amp;"C"&amp;$A27)+100*RTD("tos.rtd",,"VOLUME","."&amp;P$2&amp;P$1&amp;"P"&amp;$A27)*RTD("tos.rtd",,"LAST","."&amp;P$2&amp;P$1&amp;"P"&amp;$A27))/1000000,(100*RTD("tos.rtd",,"VOLUME","."&amp;P$2&amp;P$1&amp;"C"&amp;$A27)*RTD("tos.rtd",,"LAST","."&amp;P$2&amp;P$1&amp;"C"&amp;$A27)-100*RTD("tos.rtd",,"VOLUME","."&amp;P$2&amp;P$1&amp;"P"&amp;$A27)*RTD("tos.rtd",,"LAST","."&amp;P$2&amp;P$1&amp;"P"&amp;$A27))/1000000),0),IF($A$2="DEX",IFERROR(IF($X$1="ABS",(100*RTD("tos.rtd",,"OPEN_INT","."&amp;P$2&amp;P$1&amp;"C"&amp;$A27)*RTD("tos.rtd",,"DELTA","."&amp;P$2&amp;P$1&amp;"C"&amp;$A27)+100*RTD("tos.rtd",,"OPEN_INT","."&amp;P$2&amp;P$1&amp;"P"&amp;$A27)*RTD("tos.rtd",,"DELTA","."&amp;P$2&amp;P$1&amp;"P"&amp;$A27))/1000,(100*RTD("tos.rtd",,"OPEN_INT","."&amp;P$2&amp;P$1&amp;"C"&amp;$A27)*RTD("tos.rtd",,"DELTA","."&amp;P$2&amp;P$1&amp;"C"&amp;$A27)-100*RTD("tos.rtd",,"OPEN_INT","."&amp;P$2&amp;P$1&amp;"P"&amp;$A27)*RTD("tos.rtd",,"DELTA","."&amp;P$2&amp;P$1&amp;"P"&amp;$A27))/1000),0),IF($A$2="VEX",IFERROR(IF($X$1="ABS",($A$4*$A$4*RTD("tos.rtd",,"VOLUME","."&amp;P$2&amp;P$1&amp;"C"&amp;$A27)*RTD("tos.rtd",,"GAMMA","."&amp;P$2&amp;P$1&amp;"C"&amp;$A27)+$A$4*$A$4*RTD("tos.rtd",,"VOLUME","."&amp;P$2&amp;P$1&amp;"P"&amp;$A27)*RTD("tos.rtd",,"GAMMA","."&amp;P$2&amp;P$1&amp;"P"&amp;$A27))/1000000,($A$4*$A$4*RTD("tos.rtd",,"VOLUME","."&amp;P$2&amp;P$1&amp;"C"&amp;$A27)*RTD("tos.rtd",,"GAMMA","."&amp;P$2&amp;P$1&amp;"C"&amp;$A27)-$A$4*$A$4*RTD("tos.rtd",,"VOLUME","."&amp;P$2&amp;P$1&amp;"P"&amp;$A27)*RTD("tos.rtd",,"GAMMA","."&amp;P$2&amp;P$1&amp;"P"&amp;$A27))/1000000),0),IF($A$2="GEX",IFERROR(IF($X$1="ABS",($A$4*$A$4*RTD("tos.rtd",,"OPEN_INT","."&amp;P$2&amp;P$1&amp;"C"&amp;$A27)*RTD("tos.rtd",,"GAMMA","."&amp;P$2&amp;P$1&amp;"C"&amp;$A27)+$A$4*$A$4*RTD("tos.rtd",,"OPEN_INT","."&amp;P$2&amp;P$1&amp;"P"&amp;$A27)*RTD("tos.rtd",,"GAMMA","."&amp;P$2&amp;P$1&amp;"P"&amp;$A27))/1000000,($A$4*$A$4*RTD("tos.rtd",,"OPEN_INT","."&amp;P$2&amp;P$1&amp;"C"&amp;$A27)*RTD("tos.rtd",,"GAMMA","."&amp;P$2&amp;P$1&amp;"C"&amp;$A27)-$A$4*$A$4*RTD("tos.rtd",,"OPEN_INT","."&amp;P$2&amp;P$1&amp;"P"&amp;$A27)*RTD("tos.rtd",,"GAMMA","."&amp;P$2&amp;P$1&amp;"P"&amp;$A27))/1000000),0),IF($A$2="SKEW",IFERROR(VALUE(IF(RTD("tos.rtd",,"IMPL_VOL","."&amp;P$2&amp;P$1&amp;"P"&amp;$A27)="N/A",0,RTD("tos.rtd",,"IMPL_VOL","."&amp;P$2&amp;P$1&amp;"P"&amp;$A27))),0)-IFERROR(VALUE(IF(RTD("tos.rtd",,"IMPL_VOL","."&amp;P$2&amp;P$1&amp;"C"&amp;$A27)="N/A",0,RTD("tos.rtd",,"IMPL_VOL","."&amp;P$2&amp;P$1&amp;"C"&amp;$A27))),0),IF($A$2="MAXPAIN",IF($A$4&gt;$A27,($A$4-$A27)*IF(RTD("tos.rtd",,"OPEN_INT","."&amp;P$2&amp;P$1&amp;"C"&amp;$A27)="N/A",0,RTD("tos.rtd",,"OPEN_INT","."&amp;P$2&amp;P$1&amp;"C"&amp;$A27)),0)+IF($A$4&lt;$A27,($A$5-$A$4)*IF(RTD("tos.rtd",,"OPEN_INT","."&amp;P$2&amp;P$1&amp;"P"&amp;$A27)="N/A",0,RTD("tos.rtd",,"OPEN_INT","."&amp;P$2&amp;P$1&amp;"P"&amp;$A27)),0),IF($X$1="ABS",IF(RTD("tos.rtd",,$A$2,"."&amp;P$2&amp;P$1&amp;"C"&amp;$A27)="N/A",0,RTD("tos.rtd",,$A$2,"."&amp;P$2&amp;P$1&amp;"C"&amp;$A27))+IF(RTD("tos.rtd",,$A$2,"."&amp;P$2&amp;P$1&amp;"P"&amp;$A27)="N/A",0,RTD("tos.rtd",,$A$2,"."&amp;P$2&amp;P$1&amp;"P"&amp;$A27)),IF(RTD("tos.rtd",,$A$2,"."&amp;P$2&amp;P$1&amp;"C"&amp;$A27)="N/A",0,RTD("tos.rtd",,$A$2,"."&amp;P$2&amp;P$1&amp;"C"&amp;$A27))-IF(RTD("tos.rtd",,$A$2,"."&amp;P$2&amp;P$1&amp;"P"&amp;$A27)="N/A",0,RTD("tos.rtd",,$A$2,"."&amp;P$2&amp;P$1&amp;"P"&amp;$A27))))))))))</f>
        <v>0</v>
      </c>
      <c r="Q27" s="12">
        <f ca="1">IF($A$2="PREMIUM_OI",IFERROR(IF($X$1="ABS",(100*RTD("tos.rtd",,"OPEN_INT","."&amp;Q$2&amp;Q$1&amp;"C"&amp;$A27)*RTD("tos.rtd",,"LAST","."&amp;Q$2&amp;Q$1&amp;"C"&amp;$A27)+100*RTD("tos.rtd",,"OPEN_INT","."&amp;Q$2&amp;Q$1&amp;"P"&amp;$A27)*RTD("tos.rtd",,"LAST","."&amp;Q$2&amp;Q$1&amp;"P"&amp;$A27))/1000000,(100*RTD("tos.rtd",,"OPEN_INT","."&amp;Q$2&amp;Q$1&amp;"C"&amp;$A27)*RTD("tos.rtd",,"LAST","."&amp;Q$2&amp;Q$1&amp;"C"&amp;$A27)-100*RTD("tos.rtd",,"OPEN_INT","."&amp;Q$2&amp;Q$1&amp;"P"&amp;$A27)*RTD("tos.rtd",,"LAST","."&amp;Q$2&amp;Q$1&amp;"P"&amp;$A27))/1000000),0),IF($A$2="PREMIUM",IFERROR(IF($X$1="ABS",(100*RTD("tos.rtd",,"VOLUME","."&amp;Q$2&amp;Q$1&amp;"C"&amp;$A27)*RTD("tos.rtd",,"LAST","."&amp;Q$2&amp;Q$1&amp;"C"&amp;$A27)+100*RTD("tos.rtd",,"VOLUME","."&amp;Q$2&amp;Q$1&amp;"P"&amp;$A27)*RTD("tos.rtd",,"LAST","."&amp;Q$2&amp;Q$1&amp;"P"&amp;$A27))/1000000,(100*RTD("tos.rtd",,"VOLUME","."&amp;Q$2&amp;Q$1&amp;"C"&amp;$A27)*RTD("tos.rtd",,"LAST","."&amp;Q$2&amp;Q$1&amp;"C"&amp;$A27)-100*RTD("tos.rtd",,"VOLUME","."&amp;Q$2&amp;Q$1&amp;"P"&amp;$A27)*RTD("tos.rtd",,"LAST","."&amp;Q$2&amp;Q$1&amp;"P"&amp;$A27))/1000000),0),IF($A$2="DEX",IFERROR(IF($X$1="ABS",(100*RTD("tos.rtd",,"OPEN_INT","."&amp;Q$2&amp;Q$1&amp;"C"&amp;$A27)*RTD("tos.rtd",,"DELTA","."&amp;Q$2&amp;Q$1&amp;"C"&amp;$A27)+100*RTD("tos.rtd",,"OPEN_INT","."&amp;Q$2&amp;Q$1&amp;"P"&amp;$A27)*RTD("tos.rtd",,"DELTA","."&amp;Q$2&amp;Q$1&amp;"P"&amp;$A27))/1000,(100*RTD("tos.rtd",,"OPEN_INT","."&amp;Q$2&amp;Q$1&amp;"C"&amp;$A27)*RTD("tos.rtd",,"DELTA","."&amp;Q$2&amp;Q$1&amp;"C"&amp;$A27)-100*RTD("tos.rtd",,"OPEN_INT","."&amp;Q$2&amp;Q$1&amp;"P"&amp;$A27)*RTD("tos.rtd",,"DELTA","."&amp;Q$2&amp;Q$1&amp;"P"&amp;$A27))/1000),0),IF($A$2="VEX",IFERROR(IF($X$1="ABS",($A$4*$A$4*RTD("tos.rtd",,"VOLUME","."&amp;Q$2&amp;Q$1&amp;"C"&amp;$A27)*RTD("tos.rtd",,"GAMMA","."&amp;Q$2&amp;Q$1&amp;"C"&amp;$A27)+$A$4*$A$4*RTD("tos.rtd",,"VOLUME","."&amp;Q$2&amp;Q$1&amp;"P"&amp;$A27)*RTD("tos.rtd",,"GAMMA","."&amp;Q$2&amp;Q$1&amp;"P"&amp;$A27))/1000000,($A$4*$A$4*RTD("tos.rtd",,"VOLUME","."&amp;Q$2&amp;Q$1&amp;"C"&amp;$A27)*RTD("tos.rtd",,"GAMMA","."&amp;Q$2&amp;Q$1&amp;"C"&amp;$A27)-$A$4*$A$4*RTD("tos.rtd",,"VOLUME","."&amp;Q$2&amp;Q$1&amp;"P"&amp;$A27)*RTD("tos.rtd",,"GAMMA","."&amp;Q$2&amp;Q$1&amp;"P"&amp;$A27))/1000000),0),IF($A$2="GEX",IFERROR(IF($X$1="ABS",($A$4*$A$4*RTD("tos.rtd",,"OPEN_INT","."&amp;Q$2&amp;Q$1&amp;"C"&amp;$A27)*RTD("tos.rtd",,"GAMMA","."&amp;Q$2&amp;Q$1&amp;"C"&amp;$A27)+$A$4*$A$4*RTD("tos.rtd",,"OPEN_INT","."&amp;Q$2&amp;Q$1&amp;"P"&amp;$A27)*RTD("tos.rtd",,"GAMMA","."&amp;Q$2&amp;Q$1&amp;"P"&amp;$A27))/1000000,($A$4*$A$4*RTD("tos.rtd",,"OPEN_INT","."&amp;Q$2&amp;Q$1&amp;"C"&amp;$A27)*RTD("tos.rtd",,"GAMMA","."&amp;Q$2&amp;Q$1&amp;"C"&amp;$A27)-$A$4*$A$4*RTD("tos.rtd",,"OPEN_INT","."&amp;Q$2&amp;Q$1&amp;"P"&amp;$A27)*RTD("tos.rtd",,"GAMMA","."&amp;Q$2&amp;Q$1&amp;"P"&amp;$A27))/1000000),0),IF($A$2="SKEW",IFERROR(VALUE(IF(RTD("tos.rtd",,"IMPL_VOL","."&amp;Q$2&amp;Q$1&amp;"P"&amp;$A27)="N/A",0,RTD("tos.rtd",,"IMPL_VOL","."&amp;Q$2&amp;Q$1&amp;"P"&amp;$A27))),0)-IFERROR(VALUE(IF(RTD("tos.rtd",,"IMPL_VOL","."&amp;Q$2&amp;Q$1&amp;"C"&amp;$A27)="N/A",0,RTD("tos.rtd",,"IMPL_VOL","."&amp;Q$2&amp;Q$1&amp;"C"&amp;$A27))),0),IF($A$2="MAXPAIN",IF($A$4&gt;$A27,($A$4-$A27)*IF(RTD("tos.rtd",,"OPEN_INT","."&amp;Q$2&amp;Q$1&amp;"C"&amp;$A27)="N/A",0,RTD("tos.rtd",,"OPEN_INT","."&amp;Q$2&amp;Q$1&amp;"C"&amp;$A27)),0)+IF($A$4&lt;$A27,($A$5-$A$4)*IF(RTD("tos.rtd",,"OPEN_INT","."&amp;Q$2&amp;Q$1&amp;"P"&amp;$A27)="N/A",0,RTD("tos.rtd",,"OPEN_INT","."&amp;Q$2&amp;Q$1&amp;"P"&amp;$A27)),0),IF($X$1="ABS",IF(RTD("tos.rtd",,$A$2,"."&amp;Q$2&amp;Q$1&amp;"C"&amp;$A27)="N/A",0,RTD("tos.rtd",,$A$2,"."&amp;Q$2&amp;Q$1&amp;"C"&amp;$A27))+IF(RTD("tos.rtd",,$A$2,"."&amp;Q$2&amp;Q$1&amp;"P"&amp;$A27)="N/A",0,RTD("tos.rtd",,$A$2,"."&amp;Q$2&amp;Q$1&amp;"P"&amp;$A27)),IF(RTD("tos.rtd",,$A$2,"."&amp;Q$2&amp;Q$1&amp;"C"&amp;$A27)="N/A",0,RTD("tos.rtd",,$A$2,"."&amp;Q$2&amp;Q$1&amp;"C"&amp;$A27))-IF(RTD("tos.rtd",,$A$2,"."&amp;Q$2&amp;Q$1&amp;"P"&amp;$A27)="N/A",0,RTD("tos.rtd",,$A$2,"."&amp;Q$2&amp;Q$1&amp;"P"&amp;$A27))))))))))</f>
        <v>0</v>
      </c>
      <c r="R27" s="12">
        <f ca="1">IF($A$2="PREMIUM_OI",IFERROR(IF($X$1="ABS",(100*RTD("tos.rtd",,"OPEN_INT","."&amp;R$2&amp;R$1&amp;"C"&amp;$A27)*RTD("tos.rtd",,"LAST","."&amp;R$2&amp;R$1&amp;"C"&amp;$A27)+100*RTD("tos.rtd",,"OPEN_INT","."&amp;R$2&amp;R$1&amp;"P"&amp;$A27)*RTD("tos.rtd",,"LAST","."&amp;R$2&amp;R$1&amp;"P"&amp;$A27))/1000000,(100*RTD("tos.rtd",,"OPEN_INT","."&amp;R$2&amp;R$1&amp;"C"&amp;$A27)*RTD("tos.rtd",,"LAST","."&amp;R$2&amp;R$1&amp;"C"&amp;$A27)-100*RTD("tos.rtd",,"OPEN_INT","."&amp;R$2&amp;R$1&amp;"P"&amp;$A27)*RTD("tos.rtd",,"LAST","."&amp;R$2&amp;R$1&amp;"P"&amp;$A27))/1000000),0),IF($A$2="PREMIUM",IFERROR(IF($X$1="ABS",(100*RTD("tos.rtd",,"VOLUME","."&amp;R$2&amp;R$1&amp;"C"&amp;$A27)*RTD("tos.rtd",,"LAST","."&amp;R$2&amp;R$1&amp;"C"&amp;$A27)+100*RTD("tos.rtd",,"VOLUME","."&amp;R$2&amp;R$1&amp;"P"&amp;$A27)*RTD("tos.rtd",,"LAST","."&amp;R$2&amp;R$1&amp;"P"&amp;$A27))/1000000,(100*RTD("tos.rtd",,"VOLUME","."&amp;R$2&amp;R$1&amp;"C"&amp;$A27)*RTD("tos.rtd",,"LAST","."&amp;R$2&amp;R$1&amp;"C"&amp;$A27)-100*RTD("tos.rtd",,"VOLUME","."&amp;R$2&amp;R$1&amp;"P"&amp;$A27)*RTD("tos.rtd",,"LAST","."&amp;R$2&amp;R$1&amp;"P"&amp;$A27))/1000000),0),IF($A$2="DEX",IFERROR(IF($X$1="ABS",(100*RTD("tos.rtd",,"OPEN_INT","."&amp;R$2&amp;R$1&amp;"C"&amp;$A27)*RTD("tos.rtd",,"DELTA","."&amp;R$2&amp;R$1&amp;"C"&amp;$A27)+100*RTD("tos.rtd",,"OPEN_INT","."&amp;R$2&amp;R$1&amp;"P"&amp;$A27)*RTD("tos.rtd",,"DELTA","."&amp;R$2&amp;R$1&amp;"P"&amp;$A27))/1000,(100*RTD("tos.rtd",,"OPEN_INT","."&amp;R$2&amp;R$1&amp;"C"&amp;$A27)*RTD("tos.rtd",,"DELTA","."&amp;R$2&amp;R$1&amp;"C"&amp;$A27)-100*RTD("tos.rtd",,"OPEN_INT","."&amp;R$2&amp;R$1&amp;"P"&amp;$A27)*RTD("tos.rtd",,"DELTA","."&amp;R$2&amp;R$1&amp;"P"&amp;$A27))/1000),0),IF($A$2="VEX",IFERROR(IF($X$1="ABS",($A$4*$A$4*RTD("tos.rtd",,"VOLUME","."&amp;R$2&amp;R$1&amp;"C"&amp;$A27)*RTD("tos.rtd",,"GAMMA","."&amp;R$2&amp;R$1&amp;"C"&amp;$A27)+$A$4*$A$4*RTD("tos.rtd",,"VOLUME","."&amp;R$2&amp;R$1&amp;"P"&amp;$A27)*RTD("tos.rtd",,"GAMMA","."&amp;R$2&amp;R$1&amp;"P"&amp;$A27))/1000000,($A$4*$A$4*RTD("tos.rtd",,"VOLUME","."&amp;R$2&amp;R$1&amp;"C"&amp;$A27)*RTD("tos.rtd",,"GAMMA","."&amp;R$2&amp;R$1&amp;"C"&amp;$A27)-$A$4*$A$4*RTD("tos.rtd",,"VOLUME","."&amp;R$2&amp;R$1&amp;"P"&amp;$A27)*RTD("tos.rtd",,"GAMMA","."&amp;R$2&amp;R$1&amp;"P"&amp;$A27))/1000000),0),IF($A$2="GEX",IFERROR(IF($X$1="ABS",($A$4*$A$4*RTD("tos.rtd",,"OPEN_INT","."&amp;R$2&amp;R$1&amp;"C"&amp;$A27)*RTD("tos.rtd",,"GAMMA","."&amp;R$2&amp;R$1&amp;"C"&amp;$A27)+$A$4*$A$4*RTD("tos.rtd",,"OPEN_INT","."&amp;R$2&amp;R$1&amp;"P"&amp;$A27)*RTD("tos.rtd",,"GAMMA","."&amp;R$2&amp;R$1&amp;"P"&amp;$A27))/1000000,($A$4*$A$4*RTD("tos.rtd",,"OPEN_INT","."&amp;R$2&amp;R$1&amp;"C"&amp;$A27)*RTD("tos.rtd",,"GAMMA","."&amp;R$2&amp;R$1&amp;"C"&amp;$A27)-$A$4*$A$4*RTD("tos.rtd",,"OPEN_INT","."&amp;R$2&amp;R$1&amp;"P"&amp;$A27)*RTD("tos.rtd",,"GAMMA","."&amp;R$2&amp;R$1&amp;"P"&amp;$A27))/1000000),0),IF($A$2="SKEW",IFERROR(VALUE(IF(RTD("tos.rtd",,"IMPL_VOL","."&amp;R$2&amp;R$1&amp;"P"&amp;$A27)="N/A",0,RTD("tos.rtd",,"IMPL_VOL","."&amp;R$2&amp;R$1&amp;"P"&amp;$A27))),0)-IFERROR(VALUE(IF(RTD("tos.rtd",,"IMPL_VOL","."&amp;R$2&amp;R$1&amp;"C"&amp;$A27)="N/A",0,RTD("tos.rtd",,"IMPL_VOL","."&amp;R$2&amp;R$1&amp;"C"&amp;$A27))),0),IF($A$2="MAXPAIN",IF($A$4&gt;$A27,($A$4-$A27)*IF(RTD("tos.rtd",,"OPEN_INT","."&amp;R$2&amp;R$1&amp;"C"&amp;$A27)="N/A",0,RTD("tos.rtd",,"OPEN_INT","."&amp;R$2&amp;R$1&amp;"C"&amp;$A27)),0)+IF($A$4&lt;$A27,($A$5-$A$4)*IF(RTD("tos.rtd",,"OPEN_INT","."&amp;R$2&amp;R$1&amp;"P"&amp;$A27)="N/A",0,RTD("tos.rtd",,"OPEN_INT","."&amp;R$2&amp;R$1&amp;"P"&amp;$A27)),0),IF($X$1="ABS",IF(RTD("tos.rtd",,$A$2,"."&amp;R$2&amp;R$1&amp;"C"&amp;$A27)="N/A",0,RTD("tos.rtd",,$A$2,"."&amp;R$2&amp;R$1&amp;"C"&amp;$A27))+IF(RTD("tos.rtd",,$A$2,"."&amp;R$2&amp;R$1&amp;"P"&amp;$A27)="N/A",0,RTD("tos.rtd",,$A$2,"."&amp;R$2&amp;R$1&amp;"P"&amp;$A27)),IF(RTD("tos.rtd",,$A$2,"."&amp;R$2&amp;R$1&amp;"C"&amp;$A27)="N/A",0,RTD("tos.rtd",,$A$2,"."&amp;R$2&amp;R$1&amp;"C"&amp;$A27))-IF(RTD("tos.rtd",,$A$2,"."&amp;R$2&amp;R$1&amp;"P"&amp;$A27)="N/A",0,RTD("tos.rtd",,$A$2,"."&amp;R$2&amp;R$1&amp;"P"&amp;$A27))))))))))</f>
        <v>0</v>
      </c>
      <c r="S27" s="12">
        <f ca="1">IF($A$2="PREMIUM_OI",IFERROR(IF($X$1="ABS",(100*RTD("tos.rtd",,"OPEN_INT","."&amp;S$2&amp;S$1&amp;"C"&amp;$A27)*RTD("tos.rtd",,"LAST","."&amp;S$2&amp;S$1&amp;"C"&amp;$A27)+100*RTD("tos.rtd",,"OPEN_INT","."&amp;S$2&amp;S$1&amp;"P"&amp;$A27)*RTD("tos.rtd",,"LAST","."&amp;S$2&amp;S$1&amp;"P"&amp;$A27))/1000000,(100*RTD("tos.rtd",,"OPEN_INT","."&amp;S$2&amp;S$1&amp;"C"&amp;$A27)*RTD("tos.rtd",,"LAST","."&amp;S$2&amp;S$1&amp;"C"&amp;$A27)-100*RTD("tos.rtd",,"OPEN_INT","."&amp;S$2&amp;S$1&amp;"P"&amp;$A27)*RTD("tos.rtd",,"LAST","."&amp;S$2&amp;S$1&amp;"P"&amp;$A27))/1000000),0),IF($A$2="PREMIUM",IFERROR(IF($X$1="ABS",(100*RTD("tos.rtd",,"VOLUME","."&amp;S$2&amp;S$1&amp;"C"&amp;$A27)*RTD("tos.rtd",,"LAST","."&amp;S$2&amp;S$1&amp;"C"&amp;$A27)+100*RTD("tos.rtd",,"VOLUME","."&amp;S$2&amp;S$1&amp;"P"&amp;$A27)*RTD("tos.rtd",,"LAST","."&amp;S$2&amp;S$1&amp;"P"&amp;$A27))/1000000,(100*RTD("tos.rtd",,"VOLUME","."&amp;S$2&amp;S$1&amp;"C"&amp;$A27)*RTD("tos.rtd",,"LAST","."&amp;S$2&amp;S$1&amp;"C"&amp;$A27)-100*RTD("tos.rtd",,"VOLUME","."&amp;S$2&amp;S$1&amp;"P"&amp;$A27)*RTD("tos.rtd",,"LAST","."&amp;S$2&amp;S$1&amp;"P"&amp;$A27))/1000000),0),IF($A$2="DEX",IFERROR(IF($X$1="ABS",(100*RTD("tos.rtd",,"OPEN_INT","."&amp;S$2&amp;S$1&amp;"C"&amp;$A27)*RTD("tos.rtd",,"DELTA","."&amp;S$2&amp;S$1&amp;"C"&amp;$A27)+100*RTD("tos.rtd",,"OPEN_INT","."&amp;S$2&amp;S$1&amp;"P"&amp;$A27)*RTD("tos.rtd",,"DELTA","."&amp;S$2&amp;S$1&amp;"P"&amp;$A27))/1000,(100*RTD("tos.rtd",,"OPEN_INT","."&amp;S$2&amp;S$1&amp;"C"&amp;$A27)*RTD("tos.rtd",,"DELTA","."&amp;S$2&amp;S$1&amp;"C"&amp;$A27)-100*RTD("tos.rtd",,"OPEN_INT","."&amp;S$2&amp;S$1&amp;"P"&amp;$A27)*RTD("tos.rtd",,"DELTA","."&amp;S$2&amp;S$1&amp;"P"&amp;$A27))/1000),0),IF($A$2="VEX",IFERROR(IF($X$1="ABS",($A$4*$A$4*RTD("tos.rtd",,"VOLUME","."&amp;S$2&amp;S$1&amp;"C"&amp;$A27)*RTD("tos.rtd",,"GAMMA","."&amp;S$2&amp;S$1&amp;"C"&amp;$A27)+$A$4*$A$4*RTD("tos.rtd",,"VOLUME","."&amp;S$2&amp;S$1&amp;"P"&amp;$A27)*RTD("tos.rtd",,"GAMMA","."&amp;S$2&amp;S$1&amp;"P"&amp;$A27))/1000000,($A$4*$A$4*RTD("tos.rtd",,"VOLUME","."&amp;S$2&amp;S$1&amp;"C"&amp;$A27)*RTD("tos.rtd",,"GAMMA","."&amp;S$2&amp;S$1&amp;"C"&amp;$A27)-$A$4*$A$4*RTD("tos.rtd",,"VOLUME","."&amp;S$2&amp;S$1&amp;"P"&amp;$A27)*RTD("tos.rtd",,"GAMMA","."&amp;S$2&amp;S$1&amp;"P"&amp;$A27))/1000000),0),IF($A$2="GEX",IFERROR(IF($X$1="ABS",($A$4*$A$4*RTD("tos.rtd",,"OPEN_INT","."&amp;S$2&amp;S$1&amp;"C"&amp;$A27)*RTD("tos.rtd",,"GAMMA","."&amp;S$2&amp;S$1&amp;"C"&amp;$A27)+$A$4*$A$4*RTD("tos.rtd",,"OPEN_INT","."&amp;S$2&amp;S$1&amp;"P"&amp;$A27)*RTD("tos.rtd",,"GAMMA","."&amp;S$2&amp;S$1&amp;"P"&amp;$A27))/1000000,($A$4*$A$4*RTD("tos.rtd",,"OPEN_INT","."&amp;S$2&amp;S$1&amp;"C"&amp;$A27)*RTD("tos.rtd",,"GAMMA","."&amp;S$2&amp;S$1&amp;"C"&amp;$A27)-$A$4*$A$4*RTD("tos.rtd",,"OPEN_INT","."&amp;S$2&amp;S$1&amp;"P"&amp;$A27)*RTD("tos.rtd",,"GAMMA","."&amp;S$2&amp;S$1&amp;"P"&amp;$A27))/1000000),0),IF($A$2="SKEW",IFERROR(VALUE(IF(RTD("tos.rtd",,"IMPL_VOL","."&amp;S$2&amp;S$1&amp;"P"&amp;$A27)="N/A",0,RTD("tos.rtd",,"IMPL_VOL","."&amp;S$2&amp;S$1&amp;"P"&amp;$A27))),0)-IFERROR(VALUE(IF(RTD("tos.rtd",,"IMPL_VOL","."&amp;S$2&amp;S$1&amp;"C"&amp;$A27)="N/A",0,RTD("tos.rtd",,"IMPL_VOL","."&amp;S$2&amp;S$1&amp;"C"&amp;$A27))),0),IF($A$2="MAXPAIN",IF($A$4&gt;$A27,($A$4-$A27)*IF(RTD("tos.rtd",,"OPEN_INT","."&amp;S$2&amp;S$1&amp;"C"&amp;$A27)="N/A",0,RTD("tos.rtd",,"OPEN_INT","."&amp;S$2&amp;S$1&amp;"C"&amp;$A27)),0)+IF($A$4&lt;$A27,($A$5-$A$4)*IF(RTD("tos.rtd",,"OPEN_INT","."&amp;S$2&amp;S$1&amp;"P"&amp;$A27)="N/A",0,RTD("tos.rtd",,"OPEN_INT","."&amp;S$2&amp;S$1&amp;"P"&amp;$A27)),0),IF($X$1="ABS",IF(RTD("tos.rtd",,$A$2,"."&amp;S$2&amp;S$1&amp;"C"&amp;$A27)="N/A",0,RTD("tos.rtd",,$A$2,"."&amp;S$2&amp;S$1&amp;"C"&amp;$A27))+IF(RTD("tos.rtd",,$A$2,"."&amp;S$2&amp;S$1&amp;"P"&amp;$A27)="N/A",0,RTD("tos.rtd",,$A$2,"."&amp;S$2&amp;S$1&amp;"P"&amp;$A27)),IF(RTD("tos.rtd",,$A$2,"."&amp;S$2&amp;S$1&amp;"C"&amp;$A27)="N/A",0,RTD("tos.rtd",,$A$2,"."&amp;S$2&amp;S$1&amp;"C"&amp;$A27))-IF(RTD("tos.rtd",,$A$2,"."&amp;S$2&amp;S$1&amp;"P"&amp;$A27)="N/A",0,RTD("tos.rtd",,$A$2,"."&amp;S$2&amp;S$1&amp;"P"&amp;$A27))))))))))</f>
        <v>0</v>
      </c>
      <c r="T27" s="12">
        <f ca="1">IF($A$2="PREMIUM_OI",IFERROR(IF($X$1="ABS",(100*RTD("tos.rtd",,"OPEN_INT","."&amp;T$2&amp;T$1&amp;"C"&amp;$A27)*RTD("tos.rtd",,"LAST","."&amp;T$2&amp;T$1&amp;"C"&amp;$A27)+100*RTD("tos.rtd",,"OPEN_INT","."&amp;T$2&amp;T$1&amp;"P"&amp;$A27)*RTD("tos.rtd",,"LAST","."&amp;T$2&amp;T$1&amp;"P"&amp;$A27))/1000000,(100*RTD("tos.rtd",,"OPEN_INT","."&amp;T$2&amp;T$1&amp;"C"&amp;$A27)*RTD("tos.rtd",,"LAST","."&amp;T$2&amp;T$1&amp;"C"&amp;$A27)-100*RTD("tos.rtd",,"OPEN_INT","."&amp;T$2&amp;T$1&amp;"P"&amp;$A27)*RTD("tos.rtd",,"LAST","."&amp;T$2&amp;T$1&amp;"P"&amp;$A27))/1000000),0),IF($A$2="PREMIUM",IFERROR(IF($X$1="ABS",(100*RTD("tos.rtd",,"VOLUME","."&amp;T$2&amp;T$1&amp;"C"&amp;$A27)*RTD("tos.rtd",,"LAST","."&amp;T$2&amp;T$1&amp;"C"&amp;$A27)+100*RTD("tos.rtd",,"VOLUME","."&amp;T$2&amp;T$1&amp;"P"&amp;$A27)*RTD("tos.rtd",,"LAST","."&amp;T$2&amp;T$1&amp;"P"&amp;$A27))/1000000,(100*RTD("tos.rtd",,"VOLUME","."&amp;T$2&amp;T$1&amp;"C"&amp;$A27)*RTD("tos.rtd",,"LAST","."&amp;T$2&amp;T$1&amp;"C"&amp;$A27)-100*RTD("tos.rtd",,"VOLUME","."&amp;T$2&amp;T$1&amp;"P"&amp;$A27)*RTD("tos.rtd",,"LAST","."&amp;T$2&amp;T$1&amp;"P"&amp;$A27))/1000000),0),IF($A$2="DEX",IFERROR(IF($X$1="ABS",(100*RTD("tos.rtd",,"OPEN_INT","."&amp;T$2&amp;T$1&amp;"C"&amp;$A27)*RTD("tos.rtd",,"DELTA","."&amp;T$2&amp;T$1&amp;"C"&amp;$A27)+100*RTD("tos.rtd",,"OPEN_INT","."&amp;T$2&amp;T$1&amp;"P"&amp;$A27)*RTD("tos.rtd",,"DELTA","."&amp;T$2&amp;T$1&amp;"P"&amp;$A27))/1000,(100*RTD("tos.rtd",,"OPEN_INT","."&amp;T$2&amp;T$1&amp;"C"&amp;$A27)*RTD("tos.rtd",,"DELTA","."&amp;T$2&amp;T$1&amp;"C"&amp;$A27)-100*RTD("tos.rtd",,"OPEN_INT","."&amp;T$2&amp;T$1&amp;"P"&amp;$A27)*RTD("tos.rtd",,"DELTA","."&amp;T$2&amp;T$1&amp;"P"&amp;$A27))/1000),0),IF($A$2="VEX",IFERROR(IF($X$1="ABS",($A$4*$A$4*RTD("tos.rtd",,"VOLUME","."&amp;T$2&amp;T$1&amp;"C"&amp;$A27)*RTD("tos.rtd",,"GAMMA","."&amp;T$2&amp;T$1&amp;"C"&amp;$A27)+$A$4*$A$4*RTD("tos.rtd",,"VOLUME","."&amp;T$2&amp;T$1&amp;"P"&amp;$A27)*RTD("tos.rtd",,"GAMMA","."&amp;T$2&amp;T$1&amp;"P"&amp;$A27))/1000000,($A$4*$A$4*RTD("tos.rtd",,"VOLUME","."&amp;T$2&amp;T$1&amp;"C"&amp;$A27)*RTD("tos.rtd",,"GAMMA","."&amp;T$2&amp;T$1&amp;"C"&amp;$A27)-$A$4*$A$4*RTD("tos.rtd",,"VOLUME","."&amp;T$2&amp;T$1&amp;"P"&amp;$A27)*RTD("tos.rtd",,"GAMMA","."&amp;T$2&amp;T$1&amp;"P"&amp;$A27))/1000000),0),IF($A$2="GEX",IFERROR(IF($X$1="ABS",($A$4*$A$4*RTD("tos.rtd",,"OPEN_INT","."&amp;T$2&amp;T$1&amp;"C"&amp;$A27)*RTD("tos.rtd",,"GAMMA","."&amp;T$2&amp;T$1&amp;"C"&amp;$A27)+$A$4*$A$4*RTD("tos.rtd",,"OPEN_INT","."&amp;T$2&amp;T$1&amp;"P"&amp;$A27)*RTD("tos.rtd",,"GAMMA","."&amp;T$2&amp;T$1&amp;"P"&amp;$A27))/1000000,($A$4*$A$4*RTD("tos.rtd",,"OPEN_INT","."&amp;T$2&amp;T$1&amp;"C"&amp;$A27)*RTD("tos.rtd",,"GAMMA","."&amp;T$2&amp;T$1&amp;"C"&amp;$A27)-$A$4*$A$4*RTD("tos.rtd",,"OPEN_INT","."&amp;T$2&amp;T$1&amp;"P"&amp;$A27)*RTD("tos.rtd",,"GAMMA","."&amp;T$2&amp;T$1&amp;"P"&amp;$A27))/1000000),0),IF($A$2="SKEW",IFERROR(VALUE(IF(RTD("tos.rtd",,"IMPL_VOL","."&amp;T$2&amp;T$1&amp;"P"&amp;$A27)="N/A",0,RTD("tos.rtd",,"IMPL_VOL","."&amp;T$2&amp;T$1&amp;"P"&amp;$A27))),0)-IFERROR(VALUE(IF(RTD("tos.rtd",,"IMPL_VOL","."&amp;T$2&amp;T$1&amp;"C"&amp;$A27)="N/A",0,RTD("tos.rtd",,"IMPL_VOL","."&amp;T$2&amp;T$1&amp;"C"&amp;$A27))),0),IF($A$2="MAXPAIN",IF($A$4&gt;$A27,($A$4-$A27)*IF(RTD("tos.rtd",,"OPEN_INT","."&amp;T$2&amp;T$1&amp;"C"&amp;$A27)="N/A",0,RTD("tos.rtd",,"OPEN_INT","."&amp;T$2&amp;T$1&amp;"C"&amp;$A27)),0)+IF($A$4&lt;$A27,($A$5-$A$4)*IF(RTD("tos.rtd",,"OPEN_INT","."&amp;T$2&amp;T$1&amp;"P"&amp;$A27)="N/A",0,RTD("tos.rtd",,"OPEN_INT","."&amp;T$2&amp;T$1&amp;"P"&amp;$A27)),0),IF($X$1="ABS",IF(RTD("tos.rtd",,$A$2,"."&amp;T$2&amp;T$1&amp;"C"&amp;$A27)="N/A",0,RTD("tos.rtd",,$A$2,"."&amp;T$2&amp;T$1&amp;"C"&amp;$A27))+IF(RTD("tos.rtd",,$A$2,"."&amp;T$2&amp;T$1&amp;"P"&amp;$A27)="N/A",0,RTD("tos.rtd",,$A$2,"."&amp;T$2&amp;T$1&amp;"P"&amp;$A27)),IF(RTD("tos.rtd",,$A$2,"."&amp;T$2&amp;T$1&amp;"C"&amp;$A27)="N/A",0,RTD("tos.rtd",,$A$2,"."&amp;T$2&amp;T$1&amp;"C"&amp;$A27))-IF(RTD("tos.rtd",,$A$2,"."&amp;T$2&amp;T$1&amp;"P"&amp;$A27)="N/A",0,RTD("tos.rtd",,$A$2,"."&amp;T$2&amp;T$1&amp;"P"&amp;$A27))))))))))</f>
        <v>0</v>
      </c>
      <c r="U27" s="12">
        <f ca="1">IF($A$2="PREMIUM_OI",IFERROR(IF($X$1="ABS",(100*RTD("tos.rtd",,"OPEN_INT","."&amp;U$2&amp;U$1&amp;"C"&amp;$A27)*RTD("tos.rtd",,"LAST","."&amp;U$2&amp;U$1&amp;"C"&amp;$A27)+100*RTD("tos.rtd",,"OPEN_INT","."&amp;U$2&amp;U$1&amp;"P"&amp;$A27)*RTD("tos.rtd",,"LAST","."&amp;U$2&amp;U$1&amp;"P"&amp;$A27))/1000000,(100*RTD("tos.rtd",,"OPEN_INT","."&amp;U$2&amp;U$1&amp;"C"&amp;$A27)*RTD("tos.rtd",,"LAST","."&amp;U$2&amp;U$1&amp;"C"&amp;$A27)-100*RTD("tos.rtd",,"OPEN_INT","."&amp;U$2&amp;U$1&amp;"P"&amp;$A27)*RTD("tos.rtd",,"LAST","."&amp;U$2&amp;U$1&amp;"P"&amp;$A27))/1000000),0),IF($A$2="PREMIUM",IFERROR(IF($X$1="ABS",(100*RTD("tos.rtd",,"VOLUME","."&amp;U$2&amp;U$1&amp;"C"&amp;$A27)*RTD("tos.rtd",,"LAST","."&amp;U$2&amp;U$1&amp;"C"&amp;$A27)+100*RTD("tos.rtd",,"VOLUME","."&amp;U$2&amp;U$1&amp;"P"&amp;$A27)*RTD("tos.rtd",,"LAST","."&amp;U$2&amp;U$1&amp;"P"&amp;$A27))/1000000,(100*RTD("tos.rtd",,"VOLUME","."&amp;U$2&amp;U$1&amp;"C"&amp;$A27)*RTD("tos.rtd",,"LAST","."&amp;U$2&amp;U$1&amp;"C"&amp;$A27)-100*RTD("tos.rtd",,"VOLUME","."&amp;U$2&amp;U$1&amp;"P"&amp;$A27)*RTD("tos.rtd",,"LAST","."&amp;U$2&amp;U$1&amp;"P"&amp;$A27))/1000000),0),IF($A$2="DEX",IFERROR(IF($X$1="ABS",(100*RTD("tos.rtd",,"OPEN_INT","."&amp;U$2&amp;U$1&amp;"C"&amp;$A27)*RTD("tos.rtd",,"DELTA","."&amp;U$2&amp;U$1&amp;"C"&amp;$A27)+100*RTD("tos.rtd",,"OPEN_INT","."&amp;U$2&amp;U$1&amp;"P"&amp;$A27)*RTD("tos.rtd",,"DELTA","."&amp;U$2&amp;U$1&amp;"P"&amp;$A27))/1000,(100*RTD("tos.rtd",,"OPEN_INT","."&amp;U$2&amp;U$1&amp;"C"&amp;$A27)*RTD("tos.rtd",,"DELTA","."&amp;U$2&amp;U$1&amp;"C"&amp;$A27)-100*RTD("tos.rtd",,"OPEN_INT","."&amp;U$2&amp;U$1&amp;"P"&amp;$A27)*RTD("tos.rtd",,"DELTA","."&amp;U$2&amp;U$1&amp;"P"&amp;$A27))/1000),0),IF($A$2="VEX",IFERROR(IF($X$1="ABS",($A$4*$A$4*RTD("tos.rtd",,"VOLUME","."&amp;U$2&amp;U$1&amp;"C"&amp;$A27)*RTD("tos.rtd",,"GAMMA","."&amp;U$2&amp;U$1&amp;"C"&amp;$A27)+$A$4*$A$4*RTD("tos.rtd",,"VOLUME","."&amp;U$2&amp;U$1&amp;"P"&amp;$A27)*RTD("tos.rtd",,"GAMMA","."&amp;U$2&amp;U$1&amp;"P"&amp;$A27))/1000000,($A$4*$A$4*RTD("tos.rtd",,"VOLUME","."&amp;U$2&amp;U$1&amp;"C"&amp;$A27)*RTD("tos.rtd",,"GAMMA","."&amp;U$2&amp;U$1&amp;"C"&amp;$A27)-$A$4*$A$4*RTD("tos.rtd",,"VOLUME","."&amp;U$2&amp;U$1&amp;"P"&amp;$A27)*RTD("tos.rtd",,"GAMMA","."&amp;U$2&amp;U$1&amp;"P"&amp;$A27))/1000000),0),IF($A$2="GEX",IFERROR(IF($X$1="ABS",($A$4*$A$4*RTD("tos.rtd",,"OPEN_INT","."&amp;U$2&amp;U$1&amp;"C"&amp;$A27)*RTD("tos.rtd",,"GAMMA","."&amp;U$2&amp;U$1&amp;"C"&amp;$A27)+$A$4*$A$4*RTD("tos.rtd",,"OPEN_INT","."&amp;U$2&amp;U$1&amp;"P"&amp;$A27)*RTD("tos.rtd",,"GAMMA","."&amp;U$2&amp;U$1&amp;"P"&amp;$A27))/1000000,($A$4*$A$4*RTD("tos.rtd",,"OPEN_INT","."&amp;U$2&amp;U$1&amp;"C"&amp;$A27)*RTD("tos.rtd",,"GAMMA","."&amp;U$2&amp;U$1&amp;"C"&amp;$A27)-$A$4*$A$4*RTD("tos.rtd",,"OPEN_INT","."&amp;U$2&amp;U$1&amp;"P"&amp;$A27)*RTD("tos.rtd",,"GAMMA","."&amp;U$2&amp;U$1&amp;"P"&amp;$A27))/1000000),0),IF($A$2="SKEW",IFERROR(VALUE(IF(RTD("tos.rtd",,"IMPL_VOL","."&amp;U$2&amp;U$1&amp;"P"&amp;$A27)="N/A",0,RTD("tos.rtd",,"IMPL_VOL","."&amp;U$2&amp;U$1&amp;"P"&amp;$A27))),0)-IFERROR(VALUE(IF(RTD("tos.rtd",,"IMPL_VOL","."&amp;U$2&amp;U$1&amp;"C"&amp;$A27)="N/A",0,RTD("tos.rtd",,"IMPL_VOL","."&amp;U$2&amp;U$1&amp;"C"&amp;$A27))),0),IF($A$2="MAXPAIN",IF($A$4&gt;$A27,($A$4-$A27)*IF(RTD("tos.rtd",,"OPEN_INT","."&amp;U$2&amp;U$1&amp;"C"&amp;$A27)="N/A",0,RTD("tos.rtd",,"OPEN_INT","."&amp;U$2&amp;U$1&amp;"C"&amp;$A27)),0)+IF($A$4&lt;$A27,($A$5-$A$4)*IF(RTD("tos.rtd",,"OPEN_INT","."&amp;U$2&amp;U$1&amp;"P"&amp;$A27)="N/A",0,RTD("tos.rtd",,"OPEN_INT","."&amp;U$2&amp;U$1&amp;"P"&amp;$A27)),0),IF($X$1="ABS",IF(RTD("tos.rtd",,$A$2,"."&amp;U$2&amp;U$1&amp;"C"&amp;$A27)="N/A",0,RTD("tos.rtd",,$A$2,"."&amp;U$2&amp;U$1&amp;"C"&amp;$A27))+IF(RTD("tos.rtd",,$A$2,"."&amp;U$2&amp;U$1&amp;"P"&amp;$A27)="N/A",0,RTD("tos.rtd",,$A$2,"."&amp;U$2&amp;U$1&amp;"P"&amp;$A27)),IF(RTD("tos.rtd",,$A$2,"."&amp;U$2&amp;U$1&amp;"C"&amp;$A27)="N/A",0,RTD("tos.rtd",,$A$2,"."&amp;U$2&amp;U$1&amp;"C"&amp;$A27))-IF(RTD("tos.rtd",,$A$2,"."&amp;U$2&amp;U$1&amp;"P"&amp;$A27)="N/A",0,RTD("tos.rtd",,$A$2,"."&amp;U$2&amp;U$1&amp;"P"&amp;$A27))))))))))</f>
        <v>0</v>
      </c>
      <c r="V27" s="12">
        <f ca="1">IF($A$2="PREMIUM_OI",IFERROR(IF($X$1="ABS",(100*RTD("tos.rtd",,"OPEN_INT","."&amp;V$2&amp;V$1&amp;"C"&amp;$A27)*RTD("tos.rtd",,"LAST","."&amp;V$2&amp;V$1&amp;"C"&amp;$A27)+100*RTD("tos.rtd",,"OPEN_INT","."&amp;V$2&amp;V$1&amp;"P"&amp;$A27)*RTD("tos.rtd",,"LAST","."&amp;V$2&amp;V$1&amp;"P"&amp;$A27))/1000000,(100*RTD("tos.rtd",,"OPEN_INT","."&amp;V$2&amp;V$1&amp;"C"&amp;$A27)*RTD("tos.rtd",,"LAST","."&amp;V$2&amp;V$1&amp;"C"&amp;$A27)-100*RTD("tos.rtd",,"OPEN_INT","."&amp;V$2&amp;V$1&amp;"P"&amp;$A27)*RTD("tos.rtd",,"LAST","."&amp;V$2&amp;V$1&amp;"P"&amp;$A27))/1000000),0),IF($A$2="PREMIUM",IFERROR(IF($X$1="ABS",(100*RTD("tos.rtd",,"VOLUME","."&amp;V$2&amp;V$1&amp;"C"&amp;$A27)*RTD("tos.rtd",,"LAST","."&amp;V$2&amp;V$1&amp;"C"&amp;$A27)+100*RTD("tos.rtd",,"VOLUME","."&amp;V$2&amp;V$1&amp;"P"&amp;$A27)*RTD("tos.rtd",,"LAST","."&amp;V$2&amp;V$1&amp;"P"&amp;$A27))/1000000,(100*RTD("tos.rtd",,"VOLUME","."&amp;V$2&amp;V$1&amp;"C"&amp;$A27)*RTD("tos.rtd",,"LAST","."&amp;V$2&amp;V$1&amp;"C"&amp;$A27)-100*RTD("tos.rtd",,"VOLUME","."&amp;V$2&amp;V$1&amp;"P"&amp;$A27)*RTD("tos.rtd",,"LAST","."&amp;V$2&amp;V$1&amp;"P"&amp;$A27))/1000000),0),IF($A$2="DEX",IFERROR(IF($X$1="ABS",(100*RTD("tos.rtd",,"OPEN_INT","."&amp;V$2&amp;V$1&amp;"C"&amp;$A27)*RTD("tos.rtd",,"DELTA","."&amp;V$2&amp;V$1&amp;"C"&amp;$A27)+100*RTD("tos.rtd",,"OPEN_INT","."&amp;V$2&amp;V$1&amp;"P"&amp;$A27)*RTD("tos.rtd",,"DELTA","."&amp;V$2&amp;V$1&amp;"P"&amp;$A27))/1000,(100*RTD("tos.rtd",,"OPEN_INT","."&amp;V$2&amp;V$1&amp;"C"&amp;$A27)*RTD("tos.rtd",,"DELTA","."&amp;V$2&amp;V$1&amp;"C"&amp;$A27)-100*RTD("tos.rtd",,"OPEN_INT","."&amp;V$2&amp;V$1&amp;"P"&amp;$A27)*RTD("tos.rtd",,"DELTA","."&amp;V$2&amp;V$1&amp;"P"&amp;$A27))/1000),0),IF($A$2="VEX",IFERROR(IF($X$1="ABS",($A$4*$A$4*RTD("tos.rtd",,"VOLUME","."&amp;V$2&amp;V$1&amp;"C"&amp;$A27)*RTD("tos.rtd",,"GAMMA","."&amp;V$2&amp;V$1&amp;"C"&amp;$A27)+$A$4*$A$4*RTD("tos.rtd",,"VOLUME","."&amp;V$2&amp;V$1&amp;"P"&amp;$A27)*RTD("tos.rtd",,"GAMMA","."&amp;V$2&amp;V$1&amp;"P"&amp;$A27))/1000000,($A$4*$A$4*RTD("tos.rtd",,"VOLUME","."&amp;V$2&amp;V$1&amp;"C"&amp;$A27)*RTD("tos.rtd",,"GAMMA","."&amp;V$2&amp;V$1&amp;"C"&amp;$A27)-$A$4*$A$4*RTD("tos.rtd",,"VOLUME","."&amp;V$2&amp;V$1&amp;"P"&amp;$A27)*RTD("tos.rtd",,"GAMMA","."&amp;V$2&amp;V$1&amp;"P"&amp;$A27))/1000000),0),IF($A$2="GEX",IFERROR(IF($X$1="ABS",($A$4*$A$4*RTD("tos.rtd",,"OPEN_INT","."&amp;V$2&amp;V$1&amp;"C"&amp;$A27)*RTD("tos.rtd",,"GAMMA","."&amp;V$2&amp;V$1&amp;"C"&amp;$A27)+$A$4*$A$4*RTD("tos.rtd",,"OPEN_INT","."&amp;V$2&amp;V$1&amp;"P"&amp;$A27)*RTD("tos.rtd",,"GAMMA","."&amp;V$2&amp;V$1&amp;"P"&amp;$A27))/1000000,($A$4*$A$4*RTD("tos.rtd",,"OPEN_INT","."&amp;V$2&amp;V$1&amp;"C"&amp;$A27)*RTD("tos.rtd",,"GAMMA","."&amp;V$2&amp;V$1&amp;"C"&amp;$A27)-$A$4*$A$4*RTD("tos.rtd",,"OPEN_INT","."&amp;V$2&amp;V$1&amp;"P"&amp;$A27)*RTD("tos.rtd",,"GAMMA","."&amp;V$2&amp;V$1&amp;"P"&amp;$A27))/1000000),0),IF($A$2="SKEW",IFERROR(VALUE(IF(RTD("tos.rtd",,"IMPL_VOL","."&amp;V$2&amp;V$1&amp;"P"&amp;$A27)="N/A",0,RTD("tos.rtd",,"IMPL_VOL","."&amp;V$2&amp;V$1&amp;"P"&amp;$A27))),0)-IFERROR(VALUE(IF(RTD("tos.rtd",,"IMPL_VOL","."&amp;V$2&amp;V$1&amp;"C"&amp;$A27)="N/A",0,RTD("tos.rtd",,"IMPL_VOL","."&amp;V$2&amp;V$1&amp;"C"&amp;$A27))),0),IF($A$2="MAXPAIN",IF($A$4&gt;$A27,($A$4-$A27)*IF(RTD("tos.rtd",,"OPEN_INT","."&amp;V$2&amp;V$1&amp;"C"&amp;$A27)="N/A",0,RTD("tos.rtd",,"OPEN_INT","."&amp;V$2&amp;V$1&amp;"C"&amp;$A27)),0)+IF($A$4&lt;$A27,($A$5-$A$4)*IF(RTD("tos.rtd",,"OPEN_INT","."&amp;V$2&amp;V$1&amp;"P"&amp;$A27)="N/A",0,RTD("tos.rtd",,"OPEN_INT","."&amp;V$2&amp;V$1&amp;"P"&amp;$A27)),0),IF($X$1="ABS",IF(RTD("tos.rtd",,$A$2,"."&amp;V$2&amp;V$1&amp;"C"&amp;$A27)="N/A",0,RTD("tos.rtd",,$A$2,"."&amp;V$2&amp;V$1&amp;"C"&amp;$A27))+IF(RTD("tos.rtd",,$A$2,"."&amp;V$2&amp;V$1&amp;"P"&amp;$A27)="N/A",0,RTD("tos.rtd",,$A$2,"."&amp;V$2&amp;V$1&amp;"P"&amp;$A27)),IF(RTD("tos.rtd",,$A$2,"."&amp;V$2&amp;V$1&amp;"C"&amp;$A27)="N/A",0,RTD("tos.rtd",,$A$2,"."&amp;V$2&amp;V$1&amp;"C"&amp;$A27))-IF(RTD("tos.rtd",,$A$2,"."&amp;V$2&amp;V$1&amp;"P"&amp;$A27)="N/A",0,RTD("tos.rtd",,$A$2,"."&amp;V$2&amp;V$1&amp;"P"&amp;$A27))))))))))</f>
        <v>0</v>
      </c>
      <c r="W27" s="54">
        <f ca="1">IF($A$2="PREMIUM_OI",IFERROR(IF($X$1="ABS",(100*RTD("tos.rtd",,"OPEN_INT","."&amp;W$2&amp;W$1&amp;"C"&amp;$A27)*RTD("tos.rtd",,"LAST","."&amp;W$2&amp;W$1&amp;"C"&amp;$A27)+100*RTD("tos.rtd",,"OPEN_INT","."&amp;W$2&amp;W$1&amp;"P"&amp;$A27)*RTD("tos.rtd",,"LAST","."&amp;W$2&amp;W$1&amp;"P"&amp;$A27))/1000000,(100*RTD("tos.rtd",,"OPEN_INT","."&amp;W$2&amp;W$1&amp;"C"&amp;$A27)*RTD("tos.rtd",,"LAST","."&amp;W$2&amp;W$1&amp;"C"&amp;$A27)-100*RTD("tos.rtd",,"OPEN_INT","."&amp;W$2&amp;W$1&amp;"P"&amp;$A27)*RTD("tos.rtd",,"LAST","."&amp;W$2&amp;W$1&amp;"P"&amp;$A27))/1000000),0),IF($A$2="PREMIUM",IFERROR(IF($X$1="ABS",(100*RTD("tos.rtd",,"VOLUME","."&amp;W$2&amp;W$1&amp;"C"&amp;$A27)*RTD("tos.rtd",,"LAST","."&amp;W$2&amp;W$1&amp;"C"&amp;$A27)+100*RTD("tos.rtd",,"VOLUME","."&amp;W$2&amp;W$1&amp;"P"&amp;$A27)*RTD("tos.rtd",,"LAST","."&amp;W$2&amp;W$1&amp;"P"&amp;$A27))/1000000,(100*RTD("tos.rtd",,"VOLUME","."&amp;W$2&amp;W$1&amp;"C"&amp;$A27)*RTD("tos.rtd",,"LAST","."&amp;W$2&amp;W$1&amp;"C"&amp;$A27)-100*RTD("tos.rtd",,"VOLUME","."&amp;W$2&amp;W$1&amp;"P"&amp;$A27)*RTD("tos.rtd",,"LAST","."&amp;W$2&amp;W$1&amp;"P"&amp;$A27))/1000000),0),IF($A$2="DEX",IFERROR(IF($X$1="ABS",(100*RTD("tos.rtd",,"OPEN_INT","."&amp;W$2&amp;W$1&amp;"C"&amp;$A27)*RTD("tos.rtd",,"DELTA","."&amp;W$2&amp;W$1&amp;"C"&amp;$A27)+100*RTD("tos.rtd",,"OPEN_INT","."&amp;W$2&amp;W$1&amp;"P"&amp;$A27)*RTD("tos.rtd",,"DELTA","."&amp;W$2&amp;W$1&amp;"P"&amp;$A27))/1000,(100*RTD("tos.rtd",,"OPEN_INT","."&amp;W$2&amp;W$1&amp;"C"&amp;$A27)*RTD("tos.rtd",,"DELTA","."&amp;W$2&amp;W$1&amp;"C"&amp;$A27)-100*RTD("tos.rtd",,"OPEN_INT","."&amp;W$2&amp;W$1&amp;"P"&amp;$A27)*RTD("tos.rtd",,"DELTA","."&amp;W$2&amp;W$1&amp;"P"&amp;$A27))/1000),0),IF($A$2="VEX",IFERROR(IF($X$1="ABS",($A$4*$A$4*RTD("tos.rtd",,"VOLUME","."&amp;W$2&amp;W$1&amp;"C"&amp;$A27)*RTD("tos.rtd",,"GAMMA","."&amp;W$2&amp;W$1&amp;"C"&amp;$A27)+$A$4*$A$4*RTD("tos.rtd",,"VOLUME","."&amp;W$2&amp;W$1&amp;"P"&amp;$A27)*RTD("tos.rtd",,"GAMMA","."&amp;W$2&amp;W$1&amp;"P"&amp;$A27))/1000000,($A$4*$A$4*RTD("tos.rtd",,"VOLUME","."&amp;W$2&amp;W$1&amp;"C"&amp;$A27)*RTD("tos.rtd",,"GAMMA","."&amp;W$2&amp;W$1&amp;"C"&amp;$A27)-$A$4*$A$4*RTD("tos.rtd",,"VOLUME","."&amp;W$2&amp;W$1&amp;"P"&amp;$A27)*RTD("tos.rtd",,"GAMMA","."&amp;W$2&amp;W$1&amp;"P"&amp;$A27))/1000000),0),IF($A$2="GEX",IFERROR(IF($X$1="ABS",($A$4*$A$4*RTD("tos.rtd",,"OPEN_INT","."&amp;W$2&amp;W$1&amp;"C"&amp;$A27)*RTD("tos.rtd",,"GAMMA","."&amp;W$2&amp;W$1&amp;"C"&amp;$A27)+$A$4*$A$4*RTD("tos.rtd",,"OPEN_INT","."&amp;W$2&amp;W$1&amp;"P"&amp;$A27)*RTD("tos.rtd",,"GAMMA","."&amp;W$2&amp;W$1&amp;"P"&amp;$A27))/1000000,($A$4*$A$4*RTD("tos.rtd",,"OPEN_INT","."&amp;W$2&amp;W$1&amp;"C"&amp;$A27)*RTD("tos.rtd",,"GAMMA","."&amp;W$2&amp;W$1&amp;"C"&amp;$A27)-$A$4*$A$4*RTD("tos.rtd",,"OPEN_INT","."&amp;W$2&amp;W$1&amp;"P"&amp;$A27)*RTD("tos.rtd",,"GAMMA","."&amp;W$2&amp;W$1&amp;"P"&amp;$A27))/1000000),0),IF($A$2="SKEW",IFERROR(VALUE(IF(RTD("tos.rtd",,"IMPL_VOL","."&amp;W$2&amp;W$1&amp;"P"&amp;$A27)="N/A",0,RTD("tos.rtd",,"IMPL_VOL","."&amp;W$2&amp;W$1&amp;"P"&amp;$A27))),0)-IFERROR(VALUE(IF(RTD("tos.rtd",,"IMPL_VOL","."&amp;W$2&amp;W$1&amp;"C"&amp;$A27)="N/A",0,RTD("tos.rtd",,"IMPL_VOL","."&amp;W$2&amp;W$1&amp;"C"&amp;$A27))),0),IF($A$2="MAXPAIN",IF($A$4&gt;$A27,($A$4-$A27)*IF(RTD("tos.rtd",,"OPEN_INT","."&amp;W$2&amp;W$1&amp;"C"&amp;$A27)="N/A",0,RTD("tos.rtd",,"OPEN_INT","."&amp;W$2&amp;W$1&amp;"C"&amp;$A27)),0)+IF($A$4&lt;$A27,($A$5-$A$4)*IF(RTD("tos.rtd",,"OPEN_INT","."&amp;W$2&amp;W$1&amp;"P"&amp;$A27)="N/A",0,RTD("tos.rtd",,"OPEN_INT","."&amp;W$2&amp;W$1&amp;"P"&amp;$A27)),0),IF($X$1="ABS",IF(RTD("tos.rtd",,$A$2,"."&amp;W$2&amp;W$1&amp;"C"&amp;$A27)="N/A",0,RTD("tos.rtd",,$A$2,"."&amp;W$2&amp;W$1&amp;"C"&amp;$A27))+IF(RTD("tos.rtd",,$A$2,"."&amp;W$2&amp;W$1&amp;"P"&amp;$A27)="N/A",0,RTD("tos.rtd",,$A$2,"."&amp;W$2&amp;W$1&amp;"P"&amp;$A27)),IF(RTD("tos.rtd",,$A$2,"."&amp;W$2&amp;W$1&amp;"C"&amp;$A27)="N/A",0,RTD("tos.rtd",,$A$2,"."&amp;W$2&amp;W$1&amp;"C"&amp;$A27))-IF(RTD("tos.rtd",,$A$2,"."&amp;W$2&amp;W$1&amp;"P"&amp;$A27)="N/A",0,RTD("tos.rtd",,$A$2,"."&amp;W$2&amp;W$1&amp;"P"&amp;$A27))))))))))</f>
        <v>0</v>
      </c>
      <c r="X27" s="57">
        <f t="shared" ca="1" si="8"/>
        <v>0</v>
      </c>
      <c r="Y27" s="27">
        <f t="shared" ca="1" si="9"/>
        <v>0</v>
      </c>
      <c r="Z27" s="27">
        <f ca="1">+'OI-VOL'!Y27</f>
        <v>7207</v>
      </c>
      <c r="AA27" s="27" t="b">
        <f t="shared" ca="1" si="10"/>
        <v>0</v>
      </c>
      <c r="AB27" s="27">
        <f t="shared" si="11"/>
        <v>41964750</v>
      </c>
      <c r="AC27" s="18">
        <f>MAX(0, $A27-AC$4)*IF(RTD("tos.rtd",,"OPEN_INT","."&amp;$AB$3&amp;$AB$4&amp;"C"&amp;AC$4)="N/A",0,RTD("tos.rtd",,"OPEN_INT","."&amp;$AB$3&amp;$AB$4&amp;"C"&amp;AC$4))*100 + MAX(0, AC$4-$A27)*IF(RTD("tos.rtd",,"OPEN_INT","."&amp;$AB$3&amp;$AB$4&amp;"P"&amp;AC$4)="N/A",0,RTD("tos.rtd",,"OPEN_INT","."&amp;$AB$3&amp;$AB$4&amp;"P"&amp;AC$4))*100</f>
        <v>0</v>
      </c>
      <c r="AD27" s="18">
        <f>MAX(0, $A27-AD$4)*IF(RTD("tos.rtd",,"OPEN_INT","."&amp;$AB$3&amp;$AB$4&amp;"C"&amp;AD$4)="N/A",0,RTD("tos.rtd",,"OPEN_INT","."&amp;$AB$3&amp;$AB$4&amp;"C"&amp;AD$4))*100 + MAX(0, AD$4-$A27)*IF(RTD("tos.rtd",,"OPEN_INT","."&amp;$AB$3&amp;$AB$4&amp;"P"&amp;AD$4)="N/A",0,RTD("tos.rtd",,"OPEN_INT","."&amp;$AB$3&amp;$AB$4&amp;"P"&amp;AD$4))*100</f>
        <v>0</v>
      </c>
      <c r="AE27" s="18">
        <f>MAX(0, $A27-AE$4)*IF(RTD("tos.rtd",,"OPEN_INT","."&amp;$AB$3&amp;$AB$4&amp;"C"&amp;AE$4)="N/A",0,RTD("tos.rtd",,"OPEN_INT","."&amp;$AB$3&amp;$AB$4&amp;"C"&amp;AE$4))*100 + MAX(0, AE$4-$A27)*IF(RTD("tos.rtd",,"OPEN_INT","."&amp;$AB$3&amp;$AB$4&amp;"P"&amp;AE$4)="N/A",0,RTD("tos.rtd",,"OPEN_INT","."&amp;$AB$3&amp;$AB$4&amp;"P"&amp;AE$4))*100</f>
        <v>0</v>
      </c>
      <c r="AF27" s="18">
        <f>MAX(0, $A27-AF$4)*IF(RTD("tos.rtd",,"OPEN_INT","."&amp;$AB$3&amp;$AB$4&amp;"C"&amp;AF$4)="N/A",0,RTD("tos.rtd",,"OPEN_INT","."&amp;$AB$3&amp;$AB$4&amp;"C"&amp;AF$4))*100 + MAX(0, AF$4-$A27)*IF(RTD("tos.rtd",,"OPEN_INT","."&amp;$AB$3&amp;$AB$4&amp;"P"&amp;AF$4)="N/A",0,RTD("tos.rtd",,"OPEN_INT","."&amp;$AB$3&amp;$AB$4&amp;"P"&amp;AF$4))*100</f>
        <v>0</v>
      </c>
      <c r="AG27" s="18">
        <f>MAX(0, $A27-AG$4)*IF(RTD("tos.rtd",,"OPEN_INT","."&amp;$AB$3&amp;$AB$4&amp;"C"&amp;AG$4)="N/A",0,RTD("tos.rtd",,"OPEN_INT","."&amp;$AB$3&amp;$AB$4&amp;"C"&amp;AG$4))*100 + MAX(0, AG$4-$A27)*IF(RTD("tos.rtd",,"OPEN_INT","."&amp;$AB$3&amp;$AB$4&amp;"P"&amp;AG$4)="N/A",0,RTD("tos.rtd",,"OPEN_INT","."&amp;$AB$3&amp;$AB$4&amp;"P"&amp;AG$4))*100</f>
        <v>0</v>
      </c>
      <c r="AH27" s="18">
        <f>MAX(0, $A27-AH$4)*IF(RTD("tos.rtd",,"OPEN_INT","."&amp;$AB$3&amp;$AB$4&amp;"C"&amp;AH$4)="N/A",0,RTD("tos.rtd",,"OPEN_INT","."&amp;$AB$3&amp;$AB$4&amp;"C"&amp;AH$4))*100 + MAX(0, AH$4-$A27)*IF(RTD("tos.rtd",,"OPEN_INT","."&amp;$AB$3&amp;$AB$4&amp;"P"&amp;AH$4)="N/A",0,RTD("tos.rtd",,"OPEN_INT","."&amp;$AB$3&amp;$AB$4&amp;"P"&amp;AH$4))*100</f>
        <v>0</v>
      </c>
      <c r="AI27" s="18">
        <f>MAX(0, $A27-AI$4)*IF(RTD("tos.rtd",,"OPEN_INT","."&amp;$AB$3&amp;$AB$4&amp;"C"&amp;AI$4)="N/A",0,RTD("tos.rtd",,"OPEN_INT","."&amp;$AB$3&amp;$AB$4&amp;"C"&amp;AI$4))*100 + MAX(0, AI$4-$A27)*IF(RTD("tos.rtd",,"OPEN_INT","."&amp;$AB$3&amp;$AB$4&amp;"P"&amp;AI$4)="N/A",0,RTD("tos.rtd",,"OPEN_INT","."&amp;$AB$3&amp;$AB$4&amp;"P"&amp;AI$4))*100</f>
        <v>0</v>
      </c>
      <c r="AJ27" s="18">
        <f>MAX(0, $A27-AJ$4)*IF(RTD("tos.rtd",,"OPEN_INT","."&amp;$AB$3&amp;$AB$4&amp;"C"&amp;AJ$4)="N/A",0,RTD("tos.rtd",,"OPEN_INT","."&amp;$AB$3&amp;$AB$4&amp;"C"&amp;AJ$4))*100 + MAX(0, AJ$4-$A27)*IF(RTD("tos.rtd",,"OPEN_INT","."&amp;$AB$3&amp;$AB$4&amp;"P"&amp;AJ$4)="N/A",0,RTD("tos.rtd",,"OPEN_INT","."&amp;$AB$3&amp;$AB$4&amp;"P"&amp;AJ$4))*100</f>
        <v>2250</v>
      </c>
      <c r="AK27" s="18">
        <f>MAX(0, $A27-AK$4)*IF(RTD("tos.rtd",,"OPEN_INT","."&amp;$AB$3&amp;$AB$4&amp;"C"&amp;AK$4)="N/A",0,RTD("tos.rtd",,"OPEN_INT","."&amp;$AB$3&amp;$AB$4&amp;"C"&amp;AK$4))*100 + MAX(0, AK$4-$A27)*IF(RTD("tos.rtd",,"OPEN_INT","."&amp;$AB$3&amp;$AB$4&amp;"P"&amp;AK$4)="N/A",0,RTD("tos.rtd",,"OPEN_INT","."&amp;$AB$3&amp;$AB$4&amp;"P"&amp;AK$4))*100</f>
        <v>5600</v>
      </c>
      <c r="AL27" s="18">
        <f>MAX(0, $A27-AL$4)*IF(RTD("tos.rtd",,"OPEN_INT","."&amp;$AB$3&amp;$AB$4&amp;"C"&amp;AL$4)="N/A",0,RTD("tos.rtd",,"OPEN_INT","."&amp;$AB$3&amp;$AB$4&amp;"C"&amp;AL$4))*100 + MAX(0, AL$4-$A27)*IF(RTD("tos.rtd",,"OPEN_INT","."&amp;$AB$3&amp;$AB$4&amp;"P"&amp;AL$4)="N/A",0,RTD("tos.rtd",,"OPEN_INT","."&amp;$AB$3&amp;$AB$4&amp;"P"&amp;AL$4))*100</f>
        <v>0</v>
      </c>
      <c r="AM27" s="18">
        <f>MAX(0, $A27-AM$4)*IF(RTD("tos.rtd",,"OPEN_INT","."&amp;$AB$3&amp;$AB$4&amp;"C"&amp;AM$4)="N/A",0,RTD("tos.rtd",,"OPEN_INT","."&amp;$AB$3&amp;$AB$4&amp;"C"&amp;AM$4))*100 + MAX(0, AM$4-$A27)*IF(RTD("tos.rtd",,"OPEN_INT","."&amp;$AB$3&amp;$AB$4&amp;"P"&amp;AM$4)="N/A",0,RTD("tos.rtd",,"OPEN_INT","."&amp;$AB$3&amp;$AB$4&amp;"P"&amp;AM$4))*100</f>
        <v>0</v>
      </c>
      <c r="AN27" s="18">
        <f>MAX(0, $A27-AN$4)*IF(RTD("tos.rtd",,"OPEN_INT","."&amp;$AB$3&amp;$AB$4&amp;"C"&amp;AN$4)="N/A",0,RTD("tos.rtd",,"OPEN_INT","."&amp;$AB$3&amp;$AB$4&amp;"C"&amp;AN$4))*100 + MAX(0, AN$4-$A27)*IF(RTD("tos.rtd",,"OPEN_INT","."&amp;$AB$3&amp;$AB$4&amp;"P"&amp;AN$4)="N/A",0,RTD("tos.rtd",,"OPEN_INT","."&amp;$AB$3&amp;$AB$4&amp;"P"&amp;AN$4))*100</f>
        <v>0</v>
      </c>
      <c r="AO27" s="18">
        <f>MAX(0, $A27-AO$4)*IF(RTD("tos.rtd",,"OPEN_INT","."&amp;$AB$3&amp;$AB$4&amp;"C"&amp;AO$4)="N/A",0,RTD("tos.rtd",,"OPEN_INT","."&amp;$AB$3&amp;$AB$4&amp;"C"&amp;AO$4))*100 + MAX(0, AO$4-$A27)*IF(RTD("tos.rtd",,"OPEN_INT","."&amp;$AB$3&amp;$AB$4&amp;"P"&amp;AO$4)="N/A",0,RTD("tos.rtd",,"OPEN_INT","."&amp;$AB$3&amp;$AB$4&amp;"P"&amp;AO$4))*100</f>
        <v>0</v>
      </c>
      <c r="AP27" s="18">
        <f>MAX(0, $A27-AP$4)*IF(RTD("tos.rtd",,"OPEN_INT","."&amp;$AB$3&amp;$AB$4&amp;"C"&amp;AP$4)="N/A",0,RTD("tos.rtd",,"OPEN_INT","."&amp;$AB$3&amp;$AB$4&amp;"C"&amp;AP$4))*100 + MAX(0, AP$4-$A27)*IF(RTD("tos.rtd",,"OPEN_INT","."&amp;$AB$3&amp;$AB$4&amp;"P"&amp;AP$4)="N/A",0,RTD("tos.rtd",,"OPEN_INT","."&amp;$AB$3&amp;$AB$4&amp;"P"&amp;AP$4))*100</f>
        <v>54000</v>
      </c>
      <c r="AQ27" s="18">
        <f>MAX(0, $A27-AQ$4)*IF(RTD("tos.rtd",,"OPEN_INT","."&amp;$AB$3&amp;$AB$4&amp;"C"&amp;AQ$4)="N/A",0,RTD("tos.rtd",,"OPEN_INT","."&amp;$AB$3&amp;$AB$4&amp;"C"&amp;AQ$4))*100 + MAX(0, AQ$4-$A27)*IF(RTD("tos.rtd",,"OPEN_INT","."&amp;$AB$3&amp;$AB$4&amp;"P"&amp;AQ$4)="N/A",0,RTD("tos.rtd",,"OPEN_INT","."&amp;$AB$3&amp;$AB$4&amp;"P"&amp;AQ$4))*100</f>
        <v>0</v>
      </c>
      <c r="AR27" s="18">
        <f>MAX(0, $A27-AR$4)*IF(RTD("tos.rtd",,"OPEN_INT","."&amp;$AB$3&amp;$AB$4&amp;"C"&amp;AR$4)="N/A",0,RTD("tos.rtd",,"OPEN_INT","."&amp;$AB$3&amp;$AB$4&amp;"C"&amp;AR$4))*100 + MAX(0, AR$4-$A27)*IF(RTD("tos.rtd",,"OPEN_INT","."&amp;$AB$3&amp;$AB$4&amp;"P"&amp;AR$4)="N/A",0,RTD("tos.rtd",,"OPEN_INT","."&amp;$AB$3&amp;$AB$4&amp;"P"&amp;AR$4))*100</f>
        <v>18550</v>
      </c>
      <c r="AS27" s="18">
        <f>MAX(0, $A27-AS$4)*IF(RTD("tos.rtd",,"OPEN_INT","."&amp;$AB$3&amp;$AB$4&amp;"C"&amp;AS$4)="N/A",0,RTD("tos.rtd",,"OPEN_INT","."&amp;$AB$3&amp;$AB$4&amp;"C"&amp;AS$4))*100 + MAX(0, AS$4-$A27)*IF(RTD("tos.rtd",,"OPEN_INT","."&amp;$AB$3&amp;$AB$4&amp;"P"&amp;AS$4)="N/A",0,RTD("tos.rtd",,"OPEN_INT","."&amp;$AB$3&amp;$AB$4&amp;"P"&amp;AS$4))*100</f>
        <v>1800</v>
      </c>
      <c r="AT27" s="18">
        <f>MAX(0, $A27-AT$4)*IF(RTD("tos.rtd",,"OPEN_INT","."&amp;$AB$3&amp;$AB$4&amp;"C"&amp;AT$4)="N/A",0,RTD("tos.rtd",,"OPEN_INT","."&amp;$AB$3&amp;$AB$4&amp;"C"&amp;AT$4))*100 + MAX(0, AT$4-$A27)*IF(RTD("tos.rtd",,"OPEN_INT","."&amp;$AB$3&amp;$AB$4&amp;"P"&amp;AT$4)="N/A",0,RTD("tos.rtd",,"OPEN_INT","."&amp;$AB$3&amp;$AB$4&amp;"P"&amp;AT$4))*100</f>
        <v>15500</v>
      </c>
      <c r="AU27" s="18">
        <f>MAX(0, $A27-AU$4)*IF(RTD("tos.rtd",,"OPEN_INT","."&amp;$AB$3&amp;$AB$4&amp;"C"&amp;AU$4)="N/A",0,RTD("tos.rtd",,"OPEN_INT","."&amp;$AB$3&amp;$AB$4&amp;"C"&amp;AU$4))*100 + MAX(0, AU$4-$A27)*IF(RTD("tos.rtd",,"OPEN_INT","."&amp;$AB$3&amp;$AB$4&amp;"P"&amp;AU$4)="N/A",0,RTD("tos.rtd",,"OPEN_INT","."&amp;$AB$3&amp;$AB$4&amp;"P"&amp;AU$4))*100</f>
        <v>14000</v>
      </c>
      <c r="AV27" s="18">
        <f>MAX(0, $A27-AV$4)*IF(RTD("tos.rtd",,"OPEN_INT","."&amp;$AB$3&amp;$AB$4&amp;"C"&amp;AV$4)="N/A",0,RTD("tos.rtd",,"OPEN_INT","."&amp;$AB$3&amp;$AB$4&amp;"C"&amp;AV$4))*100 + MAX(0, AV$4-$A27)*IF(RTD("tos.rtd",,"OPEN_INT","."&amp;$AB$3&amp;$AB$4&amp;"P"&amp;AV$4)="N/A",0,RTD("tos.rtd",,"OPEN_INT","."&amp;$AB$3&amp;$AB$4&amp;"P"&amp;AV$4))*100</f>
        <v>6000</v>
      </c>
      <c r="AW27" s="18">
        <f>MAX(0, $A27-AW$4)*IF(RTD("tos.rtd",,"OPEN_INT","."&amp;$AB$3&amp;$AB$4&amp;"C"&amp;AW$4)="N/A",0,RTD("tos.rtd",,"OPEN_INT","."&amp;$AB$3&amp;$AB$4&amp;"C"&amp;AW$4))*100 + MAX(0, AW$4-$A27)*IF(RTD("tos.rtd",,"OPEN_INT","."&amp;$AB$3&amp;$AB$4&amp;"P"&amp;AW$4)="N/A",0,RTD("tos.rtd",,"OPEN_INT","."&amp;$AB$3&amp;$AB$4&amp;"P"&amp;AW$4))*100</f>
        <v>16100</v>
      </c>
      <c r="AX27" s="18">
        <f>MAX(0, $A27-AX$4)*IF(RTD("tos.rtd",,"OPEN_INT","."&amp;$AB$3&amp;$AB$4&amp;"C"&amp;AX$4)="N/A",0,RTD("tos.rtd",,"OPEN_INT","."&amp;$AB$3&amp;$AB$4&amp;"C"&amp;AX$4))*100 + MAX(0, AX$4-$A27)*IF(RTD("tos.rtd",,"OPEN_INT","."&amp;$AB$3&amp;$AB$4&amp;"P"&amp;AX$4)="N/A",0,RTD("tos.rtd",,"OPEN_INT","."&amp;$AB$3&amp;$AB$4&amp;"P"&amp;AX$4))*100</f>
        <v>10100</v>
      </c>
      <c r="AY27" s="18">
        <f>MAX(0, $A27-AY$4)*IF(RTD("tos.rtd",,"OPEN_INT","."&amp;$AB$3&amp;$AB$4&amp;"C"&amp;AY$4)="N/A",0,RTD("tos.rtd",,"OPEN_INT","."&amp;$AB$3&amp;$AB$4&amp;"C"&amp;AY$4))*100 + MAX(0, AY$4-$A27)*IF(RTD("tos.rtd",,"OPEN_INT","."&amp;$AB$3&amp;$AB$4&amp;"P"&amp;AY$4)="N/A",0,RTD("tos.rtd",,"OPEN_INT","."&amp;$AB$3&amp;$AB$4&amp;"P"&amp;AY$4))*100</f>
        <v>0</v>
      </c>
      <c r="AZ27" s="18">
        <f>MAX(0, $A27-AZ$4)*IF(RTD("tos.rtd",,"OPEN_INT","."&amp;$AB$3&amp;$AB$4&amp;"C"&amp;AZ$4)="N/A",0,RTD("tos.rtd",,"OPEN_INT","."&amp;$AB$3&amp;$AB$4&amp;"C"&amp;AZ$4))*100 + MAX(0, AZ$4-$A27)*IF(RTD("tos.rtd",,"OPEN_INT","."&amp;$AB$3&amp;$AB$4&amp;"P"&amp;AZ$4)="N/A",0,RTD("tos.rtd",,"OPEN_INT","."&amp;$AB$3&amp;$AB$4&amp;"P"&amp;AZ$4))*100</f>
        <v>977400</v>
      </c>
      <c r="BA27" s="18">
        <f>MAX(0, $A27-BA$4)*IF(RTD("tos.rtd",,"OPEN_INT","."&amp;$AB$3&amp;$AB$4&amp;"C"&amp;BA$4)="N/A",0,RTD("tos.rtd",,"OPEN_INT","."&amp;$AB$3&amp;$AB$4&amp;"C"&amp;BA$4))*100 + MAX(0, BA$4-$A27)*IF(RTD("tos.rtd",,"OPEN_INT","."&amp;$AB$3&amp;$AB$4&amp;"P"&amp;BA$4)="N/A",0,RTD("tos.rtd",,"OPEN_INT","."&amp;$AB$3&amp;$AB$4&amp;"P"&amp;BA$4))*100</f>
        <v>985000</v>
      </c>
      <c r="BB27" s="18">
        <f>MAX(0, $A27-BB$4)*IF(RTD("tos.rtd",,"OPEN_INT","."&amp;$AB$3&amp;$AB$4&amp;"C"&amp;BB$4)="N/A",0,RTD("tos.rtd",,"OPEN_INT","."&amp;$AB$3&amp;$AB$4&amp;"C"&amp;BB$4))*100 + MAX(0, BB$4-$A27)*IF(RTD("tos.rtd",,"OPEN_INT","."&amp;$AB$3&amp;$AB$4&amp;"P"&amp;BB$4)="N/A",0,RTD("tos.rtd",,"OPEN_INT","."&amp;$AB$3&amp;$AB$4&amp;"P"&amp;BB$4))*100</f>
        <v>4621050</v>
      </c>
      <c r="BC27" s="18">
        <f>MAX(0, $A27-BC$4)*IF(RTD("tos.rtd",,"OPEN_INT","."&amp;$AB$3&amp;$AB$4&amp;"C"&amp;BC$4)="N/A",0,RTD("tos.rtd",,"OPEN_INT","."&amp;$AB$3&amp;$AB$4&amp;"C"&amp;BC$4))*100 + MAX(0, BC$4-$A27)*IF(RTD("tos.rtd",,"OPEN_INT","."&amp;$AB$3&amp;$AB$4&amp;"P"&amp;BC$4)="N/A",0,RTD("tos.rtd",,"OPEN_INT","."&amp;$AB$3&amp;$AB$4&amp;"P"&amp;BC$4))*100</f>
        <v>5731600</v>
      </c>
      <c r="BD27" s="18">
        <f>MAX(0, $A27-BD$4)*IF(RTD("tos.rtd",,"OPEN_INT","."&amp;$AB$3&amp;$AB$4&amp;"C"&amp;BD$4)="N/A",0,RTD("tos.rtd",,"OPEN_INT","."&amp;$AB$3&amp;$AB$4&amp;"C"&amp;BD$4))*100 + MAX(0, BD$4-$A27)*IF(RTD("tos.rtd",,"OPEN_INT","."&amp;$AB$3&amp;$AB$4&amp;"P"&amp;BD$4)="N/A",0,RTD("tos.rtd",,"OPEN_INT","."&amp;$AB$3&amp;$AB$4&amp;"P"&amp;BD$4))*100</f>
        <v>10178250</v>
      </c>
      <c r="BE27" s="18">
        <f>MAX(0, $A27-BE$4)*IF(RTD("tos.rtd",,"OPEN_INT","."&amp;$AB$3&amp;$AB$4&amp;"C"&amp;BE$4)="N/A",0,RTD("tos.rtd",,"OPEN_INT","."&amp;$AB$3&amp;$AB$4&amp;"C"&amp;BE$4))*100 + MAX(0, BE$4-$A27)*IF(RTD("tos.rtd",,"OPEN_INT","."&amp;$AB$3&amp;$AB$4&amp;"P"&amp;BE$4)="N/A",0,RTD("tos.rtd",,"OPEN_INT","."&amp;$AB$3&amp;$AB$4&amp;"P"&amp;BE$4))*100</f>
        <v>5568000</v>
      </c>
      <c r="BF27" s="18">
        <f>MAX(0, $A27-BF$4)*IF(RTD("tos.rtd",,"OPEN_INT","."&amp;$AB$3&amp;$AB$4&amp;"C"&amp;BF$4)="N/A",0,RTD("tos.rtd",,"OPEN_INT","."&amp;$AB$3&amp;$AB$4&amp;"C"&amp;BF$4))*100 + MAX(0, BF$4-$A27)*IF(RTD("tos.rtd",,"OPEN_INT","."&amp;$AB$3&amp;$AB$4&amp;"P"&amp;BF$4)="N/A",0,RTD("tos.rtd",,"OPEN_INT","."&amp;$AB$3&amp;$AB$4&amp;"P"&amp;BF$4))*100</f>
        <v>6047300</v>
      </c>
      <c r="BG27" s="18">
        <f>MAX(0, $A27-BG$4)*IF(RTD("tos.rtd",,"OPEN_INT","."&amp;$AB$3&amp;$AB$4&amp;"C"&amp;BG$4)="N/A",0,RTD("tos.rtd",,"OPEN_INT","."&amp;$AB$3&amp;$AB$4&amp;"C"&amp;BG$4))*100 + MAX(0, BG$4-$A27)*IF(RTD("tos.rtd",,"OPEN_INT","."&amp;$AB$3&amp;$AB$4&amp;"P"&amp;BG$4)="N/A",0,RTD("tos.rtd",,"OPEN_INT","."&amp;$AB$3&amp;$AB$4&amp;"P"&amp;BG$4))*100</f>
        <v>3362800</v>
      </c>
      <c r="BH27" s="18">
        <f>MAX(0, $A27-BH$4)*IF(RTD("tos.rtd",,"OPEN_INT","."&amp;$AB$3&amp;$AB$4&amp;"C"&amp;BH$4)="N/A",0,RTD("tos.rtd",,"OPEN_INT","."&amp;$AB$3&amp;$AB$4&amp;"C"&amp;BH$4))*100 + MAX(0, BH$4-$A27)*IF(RTD("tos.rtd",,"OPEN_INT","."&amp;$AB$3&amp;$AB$4&amp;"P"&amp;BH$4)="N/A",0,RTD("tos.rtd",,"OPEN_INT","."&amp;$AB$3&amp;$AB$4&amp;"P"&amp;BH$4))*100</f>
        <v>2580300</v>
      </c>
      <c r="BI27" s="18">
        <f>MAX(0, $A27-BI$4)*IF(RTD("tos.rtd",,"OPEN_INT","."&amp;$AB$3&amp;$AB$4&amp;"C"&amp;BI$4)="N/A",0,RTD("tos.rtd",,"OPEN_INT","."&amp;$AB$3&amp;$AB$4&amp;"C"&amp;BI$4))*100 + MAX(0, BI$4-$A27)*IF(RTD("tos.rtd",,"OPEN_INT","."&amp;$AB$3&amp;$AB$4&amp;"P"&amp;BI$4)="N/A",0,RTD("tos.rtd",,"OPEN_INT","."&amp;$AB$3&amp;$AB$4&amp;"P"&amp;BI$4))*100</f>
        <v>971500</v>
      </c>
      <c r="BJ27" s="18">
        <f>MAX(0, $A27-BJ$4)*IF(RTD("tos.rtd",,"OPEN_INT","."&amp;$AB$3&amp;$AB$4&amp;"C"&amp;BJ$4)="N/A",0,RTD("tos.rtd",,"OPEN_INT","."&amp;$AB$3&amp;$AB$4&amp;"C"&amp;BJ$4))*100 + MAX(0, BJ$4-$A27)*IF(RTD("tos.rtd",,"OPEN_INT","."&amp;$AB$3&amp;$AB$4&amp;"P"&amp;BJ$4)="N/A",0,RTD("tos.rtd",,"OPEN_INT","."&amp;$AB$3&amp;$AB$4&amp;"P"&amp;BJ$4))*100</f>
        <v>463100</v>
      </c>
      <c r="BK27" s="18">
        <f>MAX(0, $A27-BK$4)*IF(RTD("tos.rtd",,"OPEN_INT","."&amp;$AB$3&amp;$AB$4&amp;"C"&amp;BK$4)="N/A",0,RTD("tos.rtd",,"OPEN_INT","."&amp;$AB$3&amp;$AB$4&amp;"C"&amp;BK$4))*100 + MAX(0, BK$4-$A27)*IF(RTD("tos.rtd",,"OPEN_INT","."&amp;$AB$3&amp;$AB$4&amp;"P"&amp;BK$4)="N/A",0,RTD("tos.rtd",,"OPEN_INT","."&amp;$AB$3&amp;$AB$4&amp;"P"&amp;BK$4))*100</f>
        <v>90600</v>
      </c>
      <c r="BL27" s="18">
        <f>MAX(0, $A27-BL$4)*IF(RTD("tos.rtd",,"OPEN_INT","."&amp;$AB$3&amp;$AB$4&amp;"C"&amp;BL$4)="N/A",0,RTD("tos.rtd",,"OPEN_INT","."&amp;$AB$3&amp;$AB$4&amp;"C"&amp;BL$4))*100 + MAX(0, BL$4-$A27)*IF(RTD("tos.rtd",,"OPEN_INT","."&amp;$AB$3&amp;$AB$4&amp;"P"&amp;BL$4)="N/A",0,RTD("tos.rtd",,"OPEN_INT","."&amp;$AB$3&amp;$AB$4&amp;"P"&amp;BL$4))*100</f>
        <v>169650</v>
      </c>
      <c r="BM27" s="18">
        <f>MAX(0, $A27-BM$4)*IF(RTD("tos.rtd",,"OPEN_INT","."&amp;$AB$3&amp;$AB$4&amp;"C"&amp;BM$4)="N/A",0,RTD("tos.rtd",,"OPEN_INT","."&amp;$AB$3&amp;$AB$4&amp;"C"&amp;BM$4))*100 + MAX(0, BM$4-$A27)*IF(RTD("tos.rtd",,"OPEN_INT","."&amp;$AB$3&amp;$AB$4&amp;"P"&amp;BM$4)="N/A",0,RTD("tos.rtd",,"OPEN_INT","."&amp;$AB$3&amp;$AB$4&amp;"P"&amp;BM$4))*100</f>
        <v>11200</v>
      </c>
      <c r="BN27" s="18">
        <f>MAX(0, $A27-BN$4)*IF(RTD("tos.rtd",,"OPEN_INT","."&amp;$AB$3&amp;$AB$4&amp;"C"&amp;BN$4)="N/A",0,RTD("tos.rtd",,"OPEN_INT","."&amp;$AB$3&amp;$AB$4&amp;"C"&amp;BN$4))*100 + MAX(0, BN$4-$A27)*IF(RTD("tos.rtd",,"OPEN_INT","."&amp;$AB$3&amp;$AB$4&amp;"P"&amp;BN$4)="N/A",0,RTD("tos.rtd",,"OPEN_INT","."&amp;$AB$3&amp;$AB$4&amp;"P"&amp;BN$4))*100</f>
        <v>6000</v>
      </c>
      <c r="BO27" s="18">
        <f>MAX(0, $A27-BO$4)*IF(RTD("tos.rtd",,"OPEN_INT","."&amp;$AB$3&amp;$AB$4&amp;"C"&amp;BO$4)="N/A",0,RTD("tos.rtd",,"OPEN_INT","."&amp;$AB$3&amp;$AB$4&amp;"C"&amp;BO$4))*100 + MAX(0, BO$4-$A27)*IF(RTD("tos.rtd",,"OPEN_INT","."&amp;$AB$3&amp;$AB$4&amp;"P"&amp;BO$4)="N/A",0,RTD("tos.rtd",,"OPEN_INT","."&amp;$AB$3&amp;$AB$4&amp;"P"&amp;BO$4))*100</f>
        <v>24800</v>
      </c>
      <c r="BP27" s="18">
        <f>MAX(0, $A27-BP$4)*IF(RTD("tos.rtd",,"OPEN_INT","."&amp;$AB$3&amp;$AB$4&amp;"C"&amp;BP$4)="N/A",0,RTD("tos.rtd",,"OPEN_INT","."&amp;$AB$3&amp;$AB$4&amp;"C"&amp;BP$4))*100 + MAX(0, BP$4-$A27)*IF(RTD("tos.rtd",,"OPEN_INT","."&amp;$AB$3&amp;$AB$4&amp;"P"&amp;BP$4)="N/A",0,RTD("tos.rtd",,"OPEN_INT","."&amp;$AB$3&amp;$AB$4&amp;"P"&amp;BP$4))*100</f>
        <v>32300</v>
      </c>
      <c r="BQ27" s="18">
        <f>MAX(0, $A27-BQ$4)*IF(RTD("tos.rtd",,"OPEN_INT","."&amp;$AB$3&amp;$AB$4&amp;"C"&amp;BQ$4)="N/A",0,RTD("tos.rtd",,"OPEN_INT","."&amp;$AB$3&amp;$AB$4&amp;"C"&amp;BQ$4))*100 + MAX(0, BQ$4-$A27)*IF(RTD("tos.rtd",,"OPEN_INT","."&amp;$AB$3&amp;$AB$4&amp;"P"&amp;BQ$4)="N/A",0,RTD("tos.rtd",,"OPEN_INT","."&amp;$AB$3&amp;$AB$4&amp;"P"&amp;BQ$4))*100</f>
        <v>0</v>
      </c>
      <c r="BR27" s="18">
        <f>MAX(0, $A27-BR$4)*IF(RTD("tos.rtd",,"OPEN_INT","."&amp;$AB$3&amp;$AB$4&amp;"C"&amp;BR$4)="N/A",0,RTD("tos.rtd",,"OPEN_INT","."&amp;$AB$3&amp;$AB$4&amp;"C"&amp;BR$4))*100 + MAX(0, BR$4-$A27)*IF(RTD("tos.rtd",,"OPEN_INT","."&amp;$AB$3&amp;$AB$4&amp;"P"&amp;BR$4)="N/A",0,RTD("tos.rtd",,"OPEN_INT","."&amp;$AB$3&amp;$AB$4&amp;"P"&amp;BR$4))*100</f>
        <v>0</v>
      </c>
      <c r="BS27" s="18">
        <f>MAX(0, $A27-BS$4)*IF(RTD("tos.rtd",,"OPEN_INT","."&amp;$AB$3&amp;$AB$4&amp;"C"&amp;BS$4)="N/A",0,RTD("tos.rtd",,"OPEN_INT","."&amp;$AB$3&amp;$AB$4&amp;"C"&amp;BS$4))*100 + MAX(0, BS$4-$A27)*IF(RTD("tos.rtd",,"OPEN_INT","."&amp;$AB$3&amp;$AB$4&amp;"P"&amp;BS$4)="N/A",0,RTD("tos.rtd",,"OPEN_INT","."&amp;$AB$3&amp;$AB$4&amp;"P"&amp;BS$4))*100</f>
        <v>0</v>
      </c>
      <c r="BT27" s="18">
        <f>MAX(0, $A27-BT$4)*IF(RTD("tos.rtd",,"OPEN_INT","."&amp;$AB$3&amp;$AB$4&amp;"C"&amp;BT$4)="N/A",0,RTD("tos.rtd",,"OPEN_INT","."&amp;$AB$3&amp;$AB$4&amp;"C"&amp;BT$4))*100 + MAX(0, BT$4-$A27)*IF(RTD("tos.rtd",,"OPEN_INT","."&amp;$AB$3&amp;$AB$4&amp;"P"&amp;BT$4)="N/A",0,RTD("tos.rtd",,"OPEN_INT","."&amp;$AB$3&amp;$AB$4&amp;"P"&amp;BT$4))*100</f>
        <v>0</v>
      </c>
      <c r="BU27" s="18">
        <f>MAX(0, $A27-BU$4)*IF(RTD("tos.rtd",,"OPEN_INT","."&amp;$AB$3&amp;$AB$4&amp;"C"&amp;BU$4)="N/A",0,RTD("tos.rtd",,"OPEN_INT","."&amp;$AB$3&amp;$AB$4&amp;"C"&amp;BU$4))*100 + MAX(0, BU$4-$A27)*IF(RTD("tos.rtd",,"OPEN_INT","."&amp;$AB$3&amp;$AB$4&amp;"P"&amp;BU$4)="N/A",0,RTD("tos.rtd",,"OPEN_INT","."&amp;$AB$3&amp;$AB$4&amp;"P"&amp;BU$4))*100</f>
        <v>0</v>
      </c>
      <c r="BV27" s="18">
        <f>MAX(0, $A27-BV$4)*IF(RTD("tos.rtd",,"OPEN_INT","."&amp;$AB$3&amp;$AB$4&amp;"C"&amp;BV$4)="N/A",0,RTD("tos.rtd",,"OPEN_INT","."&amp;$AB$3&amp;$AB$4&amp;"C"&amp;BV$4))*100 + MAX(0, BV$4-$A27)*IF(RTD("tos.rtd",,"OPEN_INT","."&amp;$AB$3&amp;$AB$4&amp;"P"&amp;BV$4)="N/A",0,RTD("tos.rtd",,"OPEN_INT","."&amp;$AB$3&amp;$AB$4&amp;"P"&amp;BV$4))*100</f>
        <v>0</v>
      </c>
      <c r="BW27" s="18">
        <f>MAX(0, $A27-BW$4)*IF(RTD("tos.rtd",,"OPEN_INT","."&amp;$AB$3&amp;$AB$4&amp;"C"&amp;BW$4)="N/A",0,RTD("tos.rtd",,"OPEN_INT","."&amp;$AB$3&amp;$AB$4&amp;"C"&amp;BW$4))*100 + MAX(0, BW$4-$A27)*IF(RTD("tos.rtd",,"OPEN_INT","."&amp;$AB$3&amp;$AB$4&amp;"P"&amp;BW$4)="N/A",0,RTD("tos.rtd",,"OPEN_INT","."&amp;$AB$3&amp;$AB$4&amp;"P"&amp;BW$4))*100</f>
        <v>0</v>
      </c>
    </row>
    <row r="28" spans="1:75" s="19" customFormat="1" ht="11.1" customHeight="1" thickBot="1" x14ac:dyDescent="0.3">
      <c r="A28" s="24">
        <f>+ROUND(A4/A53,0)*A53</f>
        <v>10</v>
      </c>
      <c r="B28" s="14">
        <f ca="1">IF($A$2="PREMIUM_OI",IFERROR(IF($X$1="ABS",(100*RTD("tos.rtd",,"OPEN_INT","."&amp;B$2&amp;B$1&amp;"C"&amp;$A28)*RTD("tos.rtd",,"LAST","."&amp;B$2&amp;B$1&amp;"C"&amp;$A28)+100*RTD("tos.rtd",,"OPEN_INT","."&amp;B$2&amp;B$1&amp;"P"&amp;$A28)*RTD("tos.rtd",,"LAST","."&amp;B$2&amp;B$1&amp;"P"&amp;$A28))/1000000,(100*RTD("tos.rtd",,"OPEN_INT","."&amp;B$2&amp;B$1&amp;"C"&amp;$A28)*RTD("tos.rtd",,"LAST","."&amp;B$2&amp;B$1&amp;"C"&amp;$A28)-100*RTD("tos.rtd",,"OPEN_INT","."&amp;B$2&amp;B$1&amp;"P"&amp;$A28)*RTD("tos.rtd",,"LAST","."&amp;B$2&amp;B$1&amp;"P"&amp;$A28))/1000000),0),IF($A$2="PREMIUM",IFERROR(IF($X$1="ABS",(100*RTD("tos.rtd",,"VOLUME","."&amp;B$2&amp;B$1&amp;"C"&amp;$A28)*RTD("tos.rtd",,"LAST","."&amp;B$2&amp;B$1&amp;"C"&amp;$A28)+100*RTD("tos.rtd",,"VOLUME","."&amp;B$2&amp;B$1&amp;"P"&amp;$A28)*RTD("tos.rtd",,"LAST","."&amp;B$2&amp;B$1&amp;"P"&amp;$A28))/1000000,(100*RTD("tos.rtd",,"VOLUME","."&amp;B$2&amp;B$1&amp;"C"&amp;$A28)*RTD("tos.rtd",,"LAST","."&amp;B$2&amp;B$1&amp;"C"&amp;$A28)-100*RTD("tos.rtd",,"VOLUME","."&amp;B$2&amp;B$1&amp;"P"&amp;$A28)*RTD("tos.rtd",,"LAST","."&amp;B$2&amp;B$1&amp;"P"&amp;$A28))/1000000),0),IF($A$2="DEX",IFERROR(IF($X$1="ABS",(100*RTD("tos.rtd",,"OPEN_INT","."&amp;B$2&amp;B$1&amp;"C"&amp;$A28)*RTD("tos.rtd",,"DELTA","."&amp;B$2&amp;B$1&amp;"C"&amp;$A28)+100*RTD("tos.rtd",,"OPEN_INT","."&amp;B$2&amp;B$1&amp;"P"&amp;$A28)*RTD("tos.rtd",,"DELTA","."&amp;B$2&amp;B$1&amp;"P"&amp;$A28))/1000,(100*RTD("tos.rtd",,"OPEN_INT","."&amp;B$2&amp;B$1&amp;"C"&amp;$A28)*RTD("tos.rtd",,"DELTA","."&amp;B$2&amp;B$1&amp;"C"&amp;$A28)-100*RTD("tos.rtd",,"OPEN_INT","."&amp;B$2&amp;B$1&amp;"P"&amp;$A28)*RTD("tos.rtd",,"DELTA","."&amp;B$2&amp;B$1&amp;"P"&amp;$A28))/1000),0),IF($A$2="VEX",IFERROR(IF($X$1="ABS",($A$4*$A$4*RTD("tos.rtd",,"VOLUME","."&amp;B$2&amp;B$1&amp;"C"&amp;$A28)*RTD("tos.rtd",,"GAMMA","."&amp;B$2&amp;B$1&amp;"C"&amp;$A28)+$A$4*$A$4*RTD("tos.rtd",,"VOLUME","."&amp;B$2&amp;B$1&amp;"P"&amp;$A28)*RTD("tos.rtd",,"GAMMA","."&amp;B$2&amp;B$1&amp;"P"&amp;$A28))/1000000,($A$4*$A$4*RTD("tos.rtd",,"VOLUME","."&amp;B$2&amp;B$1&amp;"C"&amp;$A28)*RTD("tos.rtd",,"GAMMA","."&amp;B$2&amp;B$1&amp;"C"&amp;$A28)-$A$4*$A$4*RTD("tos.rtd",,"VOLUME","."&amp;B$2&amp;B$1&amp;"P"&amp;$A28)*RTD("tos.rtd",,"GAMMA","."&amp;B$2&amp;B$1&amp;"P"&amp;$A28))/1000000),0),IF($A$2="GEX",IFERROR(IF($X$1="ABS",($A$4*$A$4*RTD("tos.rtd",,"OPEN_INT","."&amp;B$2&amp;B$1&amp;"C"&amp;$A28)*RTD("tos.rtd",,"GAMMA","."&amp;B$2&amp;B$1&amp;"C"&amp;$A28)+$A$4*$A$4*RTD("tos.rtd",,"OPEN_INT","."&amp;B$2&amp;B$1&amp;"P"&amp;$A28)*RTD("tos.rtd",,"GAMMA","."&amp;B$2&amp;B$1&amp;"P"&amp;$A28))/1000000,($A$4*$A$4*RTD("tos.rtd",,"OPEN_INT","."&amp;B$2&amp;B$1&amp;"C"&amp;$A28)*RTD("tos.rtd",,"GAMMA","."&amp;B$2&amp;B$1&amp;"C"&amp;$A28)-$A$4*$A$4*RTD("tos.rtd",,"OPEN_INT","."&amp;B$2&amp;B$1&amp;"P"&amp;$A28)*RTD("tos.rtd",,"GAMMA","."&amp;B$2&amp;B$1&amp;"P"&amp;$A28))/1000000),0),IF($A$2="SKEW",IFERROR(VALUE(IF(RTD("tos.rtd",,"IMPL_VOL","."&amp;B$2&amp;B$1&amp;"P"&amp;$A28)="N/A",0,RTD("tos.rtd",,"IMPL_VOL","."&amp;B$2&amp;B$1&amp;"P"&amp;$A28))),0)-IFERROR(VALUE(IF(RTD("tos.rtd",,"IMPL_VOL","."&amp;B$2&amp;B$1&amp;"C"&amp;$A28)="N/A",0,RTD("tos.rtd",,"IMPL_VOL","."&amp;B$2&amp;B$1&amp;"C"&amp;$A28))),0),IF($A$2="MAXPAIN",IF($A$4&gt;$A28,($A$4-$A28)*IF(RTD("tos.rtd",,"OPEN_INT","."&amp;B$2&amp;B$1&amp;"C"&amp;$A28)="N/A",0,RTD("tos.rtd",,"OPEN_INT","."&amp;B$2&amp;B$1&amp;"C"&amp;$A28)),0)+IF($A$4&lt;$A28,($A$5-$A$4)*IF(RTD("tos.rtd",,"OPEN_INT","."&amp;B$2&amp;B$1&amp;"P"&amp;$A28)="N/A",0,RTD("tos.rtd",,"OPEN_INT","."&amp;B$2&amp;B$1&amp;"P"&amp;$A28)),0),IF($X$1="ABS",IF(RTD("tos.rtd",,$A$2,"."&amp;B$2&amp;B$1&amp;"C"&amp;$A28)="N/A",0,RTD("tos.rtd",,$A$2,"."&amp;B$2&amp;B$1&amp;"C"&amp;$A28))+IF(RTD("tos.rtd",,$A$2,"."&amp;B$2&amp;B$1&amp;"P"&amp;$A28)="N/A",0,RTD("tos.rtd",,$A$2,"."&amp;B$2&amp;B$1&amp;"P"&amp;$A28)),IF(RTD("tos.rtd",,$A$2,"."&amp;B$2&amp;B$1&amp;"C"&amp;$A28)="N/A",0,RTD("tos.rtd",,$A$2,"."&amp;B$2&amp;B$1&amp;"C"&amp;$A28))-IF(RTD("tos.rtd",,$A$2,"."&amp;B$2&amp;B$1&amp;"P"&amp;$A28)="N/A",0,RTD("tos.rtd",,$A$2,"."&amp;B$2&amp;B$1&amp;"P"&amp;$A28))))))))))</f>
        <v>0</v>
      </c>
      <c r="C28" s="14">
        <f ca="1">IF($A$2="PREMIUM_OI",IFERROR(IF($X$1="ABS",(100*RTD("tos.rtd",,"OPEN_INT","."&amp;C$2&amp;C$1&amp;"C"&amp;$A28)*RTD("tos.rtd",,"LAST","."&amp;C$2&amp;C$1&amp;"C"&amp;$A28)+100*RTD("tos.rtd",,"OPEN_INT","."&amp;C$2&amp;C$1&amp;"P"&amp;$A28)*RTD("tos.rtd",,"LAST","."&amp;C$2&amp;C$1&amp;"P"&amp;$A28))/1000000,(100*RTD("tos.rtd",,"OPEN_INT","."&amp;C$2&amp;C$1&amp;"C"&amp;$A28)*RTD("tos.rtd",,"LAST","."&amp;C$2&amp;C$1&amp;"C"&amp;$A28)-100*RTD("tos.rtd",,"OPEN_INT","."&amp;C$2&amp;C$1&amp;"P"&amp;$A28)*RTD("tos.rtd",,"LAST","."&amp;C$2&amp;C$1&amp;"P"&amp;$A28))/1000000),0),IF($A$2="PREMIUM",IFERROR(IF($X$1="ABS",(100*RTD("tos.rtd",,"VOLUME","."&amp;C$2&amp;C$1&amp;"C"&amp;$A28)*RTD("tos.rtd",,"LAST","."&amp;C$2&amp;C$1&amp;"C"&amp;$A28)+100*RTD("tos.rtd",,"VOLUME","."&amp;C$2&amp;C$1&amp;"P"&amp;$A28)*RTD("tos.rtd",,"LAST","."&amp;C$2&amp;C$1&amp;"P"&amp;$A28))/1000000,(100*RTD("tos.rtd",,"VOLUME","."&amp;C$2&amp;C$1&amp;"C"&amp;$A28)*RTD("tos.rtd",,"LAST","."&amp;C$2&amp;C$1&amp;"C"&amp;$A28)-100*RTD("tos.rtd",,"VOLUME","."&amp;C$2&amp;C$1&amp;"P"&amp;$A28)*RTD("tos.rtd",,"LAST","."&amp;C$2&amp;C$1&amp;"P"&amp;$A28))/1000000),0),IF($A$2="DEX",IFERROR(IF($X$1="ABS",(100*RTD("tos.rtd",,"OPEN_INT","."&amp;C$2&amp;C$1&amp;"C"&amp;$A28)*RTD("tos.rtd",,"DELTA","."&amp;C$2&amp;C$1&amp;"C"&amp;$A28)+100*RTD("tos.rtd",,"OPEN_INT","."&amp;C$2&amp;C$1&amp;"P"&amp;$A28)*RTD("tos.rtd",,"DELTA","."&amp;C$2&amp;C$1&amp;"P"&amp;$A28))/1000,(100*RTD("tos.rtd",,"OPEN_INT","."&amp;C$2&amp;C$1&amp;"C"&amp;$A28)*RTD("tos.rtd",,"DELTA","."&amp;C$2&amp;C$1&amp;"C"&amp;$A28)-100*RTD("tos.rtd",,"OPEN_INT","."&amp;C$2&amp;C$1&amp;"P"&amp;$A28)*RTD("tos.rtd",,"DELTA","."&amp;C$2&amp;C$1&amp;"P"&amp;$A28))/1000),0),IF($A$2="VEX",IFERROR(IF($X$1="ABS",($A$4*$A$4*RTD("tos.rtd",,"VOLUME","."&amp;C$2&amp;C$1&amp;"C"&amp;$A28)*RTD("tos.rtd",,"GAMMA","."&amp;C$2&amp;C$1&amp;"C"&amp;$A28)+$A$4*$A$4*RTD("tos.rtd",,"VOLUME","."&amp;C$2&amp;C$1&amp;"P"&amp;$A28)*RTD("tos.rtd",,"GAMMA","."&amp;C$2&amp;C$1&amp;"P"&amp;$A28))/1000000,($A$4*$A$4*RTD("tos.rtd",,"VOLUME","."&amp;C$2&amp;C$1&amp;"C"&amp;$A28)*RTD("tos.rtd",,"GAMMA","."&amp;C$2&amp;C$1&amp;"C"&amp;$A28)-$A$4*$A$4*RTD("tos.rtd",,"VOLUME","."&amp;C$2&amp;C$1&amp;"P"&amp;$A28)*RTD("tos.rtd",,"GAMMA","."&amp;C$2&amp;C$1&amp;"P"&amp;$A28))/1000000),0),IF($A$2="GEX",IFERROR(IF($X$1="ABS",($A$4*$A$4*RTD("tos.rtd",,"OPEN_INT","."&amp;C$2&amp;C$1&amp;"C"&amp;$A28)*RTD("tos.rtd",,"GAMMA","."&amp;C$2&amp;C$1&amp;"C"&amp;$A28)+$A$4*$A$4*RTD("tos.rtd",,"OPEN_INT","."&amp;C$2&amp;C$1&amp;"P"&amp;$A28)*RTD("tos.rtd",,"GAMMA","."&amp;C$2&amp;C$1&amp;"P"&amp;$A28))/1000000,($A$4*$A$4*RTD("tos.rtd",,"OPEN_INT","."&amp;C$2&amp;C$1&amp;"C"&amp;$A28)*RTD("tos.rtd",,"GAMMA","."&amp;C$2&amp;C$1&amp;"C"&amp;$A28)-$A$4*$A$4*RTD("tos.rtd",,"OPEN_INT","."&amp;C$2&amp;C$1&amp;"P"&amp;$A28)*RTD("tos.rtd",,"GAMMA","."&amp;C$2&amp;C$1&amp;"P"&amp;$A28))/1000000),0),IF($A$2="SKEW",IFERROR(VALUE(IF(RTD("tos.rtd",,"IMPL_VOL","."&amp;C$2&amp;C$1&amp;"P"&amp;$A28)="N/A",0,RTD("tos.rtd",,"IMPL_VOL","."&amp;C$2&amp;C$1&amp;"P"&amp;$A28))),0)-IFERROR(VALUE(IF(RTD("tos.rtd",,"IMPL_VOL","."&amp;C$2&amp;C$1&amp;"C"&amp;$A28)="N/A",0,RTD("tos.rtd",,"IMPL_VOL","."&amp;C$2&amp;C$1&amp;"C"&amp;$A28))),0),IF($A$2="MAXPAIN",IF($A$4&gt;$A28,($A$4-$A28)*IF(RTD("tos.rtd",,"OPEN_INT","."&amp;C$2&amp;C$1&amp;"C"&amp;$A28)="N/A",0,RTD("tos.rtd",,"OPEN_INT","."&amp;C$2&amp;C$1&amp;"C"&amp;$A28)),0)+IF($A$4&lt;$A28,($A$5-$A$4)*IF(RTD("tos.rtd",,"OPEN_INT","."&amp;C$2&amp;C$1&amp;"P"&amp;$A28)="N/A",0,RTD("tos.rtd",,"OPEN_INT","."&amp;C$2&amp;C$1&amp;"P"&amp;$A28)),0),IF($X$1="ABS",IF(RTD("tos.rtd",,$A$2,"."&amp;C$2&amp;C$1&amp;"C"&amp;$A28)="N/A",0,RTD("tos.rtd",,$A$2,"."&amp;C$2&amp;C$1&amp;"C"&amp;$A28))+IF(RTD("tos.rtd",,$A$2,"."&amp;C$2&amp;C$1&amp;"P"&amp;$A28)="N/A",0,RTD("tos.rtd",,$A$2,"."&amp;C$2&amp;C$1&amp;"P"&amp;$A28)),IF(RTD("tos.rtd",,$A$2,"."&amp;C$2&amp;C$1&amp;"C"&amp;$A28)="N/A",0,RTD("tos.rtd",,$A$2,"."&amp;C$2&amp;C$1&amp;"C"&amp;$A28))-IF(RTD("tos.rtd",,$A$2,"."&amp;C$2&amp;C$1&amp;"P"&amp;$A28)="N/A",0,RTD("tos.rtd",,$A$2,"."&amp;C$2&amp;C$1&amp;"P"&amp;$A28))))))))))</f>
        <v>0</v>
      </c>
      <c r="D28" s="12">
        <f ca="1">IF($A$2="PREMIUM_OI",IFERROR(IF($X$1="ABS",(100*RTD("tos.rtd",,"OPEN_INT","."&amp;D$2&amp;D$1&amp;"C"&amp;$A28)*RTD("tos.rtd",,"LAST","."&amp;D$2&amp;D$1&amp;"C"&amp;$A28)+100*RTD("tos.rtd",,"OPEN_INT","."&amp;D$2&amp;D$1&amp;"P"&amp;$A28)*RTD("tos.rtd",,"LAST","."&amp;D$2&amp;D$1&amp;"P"&amp;$A28))/1000000,(100*RTD("tos.rtd",,"OPEN_INT","."&amp;D$2&amp;D$1&amp;"C"&amp;$A28)*RTD("tos.rtd",,"LAST","."&amp;D$2&amp;D$1&amp;"C"&amp;$A28)-100*RTD("tos.rtd",,"OPEN_INT","."&amp;D$2&amp;D$1&amp;"P"&amp;$A28)*RTD("tos.rtd",,"LAST","."&amp;D$2&amp;D$1&amp;"P"&amp;$A28))/1000000),0),IF($A$2="PREMIUM",IFERROR(IF($X$1="ABS",(100*RTD("tos.rtd",,"VOLUME","."&amp;D$2&amp;D$1&amp;"C"&amp;$A28)*RTD("tos.rtd",,"LAST","."&amp;D$2&amp;D$1&amp;"C"&amp;$A28)+100*RTD("tos.rtd",,"VOLUME","."&amp;D$2&amp;D$1&amp;"P"&amp;$A28)*RTD("tos.rtd",,"LAST","."&amp;D$2&amp;D$1&amp;"P"&amp;$A28))/1000000,(100*RTD("tos.rtd",,"VOLUME","."&amp;D$2&amp;D$1&amp;"C"&amp;$A28)*RTD("tos.rtd",,"LAST","."&amp;D$2&amp;D$1&amp;"C"&amp;$A28)-100*RTD("tos.rtd",,"VOLUME","."&amp;D$2&amp;D$1&amp;"P"&amp;$A28)*RTD("tos.rtd",,"LAST","."&amp;D$2&amp;D$1&amp;"P"&amp;$A28))/1000000),0),IF($A$2="DEX",IFERROR(IF($X$1="ABS",(100*RTD("tos.rtd",,"OPEN_INT","."&amp;D$2&amp;D$1&amp;"C"&amp;$A28)*RTD("tos.rtd",,"DELTA","."&amp;D$2&amp;D$1&amp;"C"&amp;$A28)+100*RTD("tos.rtd",,"OPEN_INT","."&amp;D$2&amp;D$1&amp;"P"&amp;$A28)*RTD("tos.rtd",,"DELTA","."&amp;D$2&amp;D$1&amp;"P"&amp;$A28))/1000,(100*RTD("tos.rtd",,"OPEN_INT","."&amp;D$2&amp;D$1&amp;"C"&amp;$A28)*RTD("tos.rtd",,"DELTA","."&amp;D$2&amp;D$1&amp;"C"&amp;$A28)-100*RTD("tos.rtd",,"OPEN_INT","."&amp;D$2&amp;D$1&amp;"P"&amp;$A28)*RTD("tos.rtd",,"DELTA","."&amp;D$2&amp;D$1&amp;"P"&amp;$A28))/1000),0),IF($A$2="VEX",IFERROR(IF($X$1="ABS",($A$4*$A$4*RTD("tos.rtd",,"VOLUME","."&amp;D$2&amp;D$1&amp;"C"&amp;$A28)*RTD("tos.rtd",,"GAMMA","."&amp;D$2&amp;D$1&amp;"C"&amp;$A28)+$A$4*$A$4*RTD("tos.rtd",,"VOLUME","."&amp;D$2&amp;D$1&amp;"P"&amp;$A28)*RTD("tos.rtd",,"GAMMA","."&amp;D$2&amp;D$1&amp;"P"&amp;$A28))/1000000,($A$4*$A$4*RTD("tos.rtd",,"VOLUME","."&amp;D$2&amp;D$1&amp;"C"&amp;$A28)*RTD("tos.rtd",,"GAMMA","."&amp;D$2&amp;D$1&amp;"C"&amp;$A28)-$A$4*$A$4*RTD("tos.rtd",,"VOLUME","."&amp;D$2&amp;D$1&amp;"P"&amp;$A28)*RTD("tos.rtd",,"GAMMA","."&amp;D$2&amp;D$1&amp;"P"&amp;$A28))/1000000),0),IF($A$2="GEX",IFERROR(IF($X$1="ABS",($A$4*$A$4*RTD("tos.rtd",,"OPEN_INT","."&amp;D$2&amp;D$1&amp;"C"&amp;$A28)*RTD("tos.rtd",,"GAMMA","."&amp;D$2&amp;D$1&amp;"C"&amp;$A28)+$A$4*$A$4*RTD("tos.rtd",,"OPEN_INT","."&amp;D$2&amp;D$1&amp;"P"&amp;$A28)*RTD("tos.rtd",,"GAMMA","."&amp;D$2&amp;D$1&amp;"P"&amp;$A28))/1000000,($A$4*$A$4*RTD("tos.rtd",,"OPEN_INT","."&amp;D$2&amp;D$1&amp;"C"&amp;$A28)*RTD("tos.rtd",,"GAMMA","."&amp;D$2&amp;D$1&amp;"C"&amp;$A28)-$A$4*$A$4*RTD("tos.rtd",,"OPEN_INT","."&amp;D$2&amp;D$1&amp;"P"&amp;$A28)*RTD("tos.rtd",,"GAMMA","."&amp;D$2&amp;D$1&amp;"P"&amp;$A28))/1000000),0),IF($A$2="SKEW",IFERROR(VALUE(IF(RTD("tos.rtd",,"IMPL_VOL","."&amp;D$2&amp;D$1&amp;"P"&amp;$A28)="N/A",0,RTD("tos.rtd",,"IMPL_VOL","."&amp;D$2&amp;D$1&amp;"P"&amp;$A28))),0)-IFERROR(VALUE(IF(RTD("tos.rtd",,"IMPL_VOL","."&amp;D$2&amp;D$1&amp;"C"&amp;$A28)="N/A",0,RTD("tos.rtd",,"IMPL_VOL","."&amp;D$2&amp;D$1&amp;"C"&amp;$A28))),0),IF($A$2="MAXPAIN",IF($A$4&gt;$A28,($A$4-$A28)*IF(RTD("tos.rtd",,"OPEN_INT","."&amp;D$2&amp;D$1&amp;"C"&amp;$A28)="N/A",0,RTD("tos.rtd",,"OPEN_INT","."&amp;D$2&amp;D$1&amp;"C"&amp;$A28)),0)+IF($A$4&lt;$A28,($A$5-$A$4)*IF(RTD("tos.rtd",,"OPEN_INT","."&amp;D$2&amp;D$1&amp;"P"&amp;$A28)="N/A",0,RTD("tos.rtd",,"OPEN_INT","."&amp;D$2&amp;D$1&amp;"P"&amp;$A28)),0),IF($X$1="ABS",IF(RTD("tos.rtd",,$A$2,"."&amp;D$2&amp;D$1&amp;"C"&amp;$A28)="N/A",0,RTD("tos.rtd",,$A$2,"."&amp;D$2&amp;D$1&amp;"C"&amp;$A28))+IF(RTD("tos.rtd",,$A$2,"."&amp;D$2&amp;D$1&amp;"P"&amp;$A28)="N/A",0,RTD("tos.rtd",,$A$2,"."&amp;D$2&amp;D$1&amp;"P"&amp;$A28)),IF(RTD("tos.rtd",,$A$2,"."&amp;D$2&amp;D$1&amp;"C"&amp;$A28)="N/A",0,RTD("tos.rtd",,$A$2,"."&amp;D$2&amp;D$1&amp;"C"&amp;$A28))-IF(RTD("tos.rtd",,$A$2,"."&amp;D$2&amp;D$1&amp;"P"&amp;$A28)="N/A",0,RTD("tos.rtd",,$A$2,"."&amp;D$2&amp;D$1&amp;"P"&amp;$A28))))))))))</f>
        <v>0</v>
      </c>
      <c r="E28" s="12">
        <f ca="1">IF($A$2="PREMIUM_OI",IFERROR(IF($X$1="ABS",(100*RTD("tos.rtd",,"OPEN_INT","."&amp;E$2&amp;E$1&amp;"C"&amp;$A28)*RTD("tos.rtd",,"LAST","."&amp;E$2&amp;E$1&amp;"C"&amp;$A28)+100*RTD("tos.rtd",,"OPEN_INT","."&amp;E$2&amp;E$1&amp;"P"&amp;$A28)*RTD("tos.rtd",,"LAST","."&amp;E$2&amp;E$1&amp;"P"&amp;$A28))/1000000,(100*RTD("tos.rtd",,"OPEN_INT","."&amp;E$2&amp;E$1&amp;"C"&amp;$A28)*RTD("tos.rtd",,"LAST","."&amp;E$2&amp;E$1&amp;"C"&amp;$A28)-100*RTD("tos.rtd",,"OPEN_INT","."&amp;E$2&amp;E$1&amp;"P"&amp;$A28)*RTD("tos.rtd",,"LAST","."&amp;E$2&amp;E$1&amp;"P"&amp;$A28))/1000000),0),IF($A$2="PREMIUM",IFERROR(IF($X$1="ABS",(100*RTD("tos.rtd",,"VOLUME","."&amp;E$2&amp;E$1&amp;"C"&amp;$A28)*RTD("tos.rtd",,"LAST","."&amp;E$2&amp;E$1&amp;"C"&amp;$A28)+100*RTD("tos.rtd",,"VOLUME","."&amp;E$2&amp;E$1&amp;"P"&amp;$A28)*RTD("tos.rtd",,"LAST","."&amp;E$2&amp;E$1&amp;"P"&amp;$A28))/1000000,(100*RTD("tos.rtd",,"VOLUME","."&amp;E$2&amp;E$1&amp;"C"&amp;$A28)*RTD("tos.rtd",,"LAST","."&amp;E$2&amp;E$1&amp;"C"&amp;$A28)-100*RTD("tos.rtd",,"VOLUME","."&amp;E$2&amp;E$1&amp;"P"&amp;$A28)*RTD("tos.rtd",,"LAST","."&amp;E$2&amp;E$1&amp;"P"&amp;$A28))/1000000),0),IF($A$2="DEX",IFERROR(IF($X$1="ABS",(100*RTD("tos.rtd",,"OPEN_INT","."&amp;E$2&amp;E$1&amp;"C"&amp;$A28)*RTD("tos.rtd",,"DELTA","."&amp;E$2&amp;E$1&amp;"C"&amp;$A28)+100*RTD("tos.rtd",,"OPEN_INT","."&amp;E$2&amp;E$1&amp;"P"&amp;$A28)*RTD("tos.rtd",,"DELTA","."&amp;E$2&amp;E$1&amp;"P"&amp;$A28))/1000,(100*RTD("tos.rtd",,"OPEN_INT","."&amp;E$2&amp;E$1&amp;"C"&amp;$A28)*RTD("tos.rtd",,"DELTA","."&amp;E$2&amp;E$1&amp;"C"&amp;$A28)-100*RTD("tos.rtd",,"OPEN_INT","."&amp;E$2&amp;E$1&amp;"P"&amp;$A28)*RTD("tos.rtd",,"DELTA","."&amp;E$2&amp;E$1&amp;"P"&amp;$A28))/1000),0),IF($A$2="VEX",IFERROR(IF($X$1="ABS",($A$4*$A$4*RTD("tos.rtd",,"VOLUME","."&amp;E$2&amp;E$1&amp;"C"&amp;$A28)*RTD("tos.rtd",,"GAMMA","."&amp;E$2&amp;E$1&amp;"C"&amp;$A28)+$A$4*$A$4*RTD("tos.rtd",,"VOLUME","."&amp;E$2&amp;E$1&amp;"P"&amp;$A28)*RTD("tos.rtd",,"GAMMA","."&amp;E$2&amp;E$1&amp;"P"&amp;$A28))/1000000,($A$4*$A$4*RTD("tos.rtd",,"VOLUME","."&amp;E$2&amp;E$1&amp;"C"&amp;$A28)*RTD("tos.rtd",,"GAMMA","."&amp;E$2&amp;E$1&amp;"C"&amp;$A28)-$A$4*$A$4*RTD("tos.rtd",,"VOLUME","."&amp;E$2&amp;E$1&amp;"P"&amp;$A28)*RTD("tos.rtd",,"GAMMA","."&amp;E$2&amp;E$1&amp;"P"&amp;$A28))/1000000),0),IF($A$2="GEX",IFERROR(IF($X$1="ABS",($A$4*$A$4*RTD("tos.rtd",,"OPEN_INT","."&amp;E$2&amp;E$1&amp;"C"&amp;$A28)*RTD("tos.rtd",,"GAMMA","."&amp;E$2&amp;E$1&amp;"C"&amp;$A28)+$A$4*$A$4*RTD("tos.rtd",,"OPEN_INT","."&amp;E$2&amp;E$1&amp;"P"&amp;$A28)*RTD("tos.rtd",,"GAMMA","."&amp;E$2&amp;E$1&amp;"P"&amp;$A28))/1000000,($A$4*$A$4*RTD("tos.rtd",,"OPEN_INT","."&amp;E$2&amp;E$1&amp;"C"&amp;$A28)*RTD("tos.rtd",,"GAMMA","."&amp;E$2&amp;E$1&amp;"C"&amp;$A28)-$A$4*$A$4*RTD("tos.rtd",,"OPEN_INT","."&amp;E$2&amp;E$1&amp;"P"&amp;$A28)*RTD("tos.rtd",,"GAMMA","."&amp;E$2&amp;E$1&amp;"P"&amp;$A28))/1000000),0),IF($A$2="SKEW",IFERROR(VALUE(IF(RTD("tos.rtd",,"IMPL_VOL","."&amp;E$2&amp;E$1&amp;"P"&amp;$A28)="N/A",0,RTD("tos.rtd",,"IMPL_VOL","."&amp;E$2&amp;E$1&amp;"P"&amp;$A28))),0)-IFERROR(VALUE(IF(RTD("tos.rtd",,"IMPL_VOL","."&amp;E$2&amp;E$1&amp;"C"&amp;$A28)="N/A",0,RTD("tos.rtd",,"IMPL_VOL","."&amp;E$2&amp;E$1&amp;"C"&amp;$A28))),0),IF($A$2="MAXPAIN",IF($A$4&gt;$A28,($A$4-$A28)*IF(RTD("tos.rtd",,"OPEN_INT","."&amp;E$2&amp;E$1&amp;"C"&amp;$A28)="N/A",0,RTD("tos.rtd",,"OPEN_INT","."&amp;E$2&amp;E$1&amp;"C"&amp;$A28)),0)+IF($A$4&lt;$A28,($A$5-$A$4)*IF(RTD("tos.rtd",,"OPEN_INT","."&amp;E$2&amp;E$1&amp;"P"&amp;$A28)="N/A",0,RTD("tos.rtd",,"OPEN_INT","."&amp;E$2&amp;E$1&amp;"P"&amp;$A28)),0),IF($X$1="ABS",IF(RTD("tos.rtd",,$A$2,"."&amp;E$2&amp;E$1&amp;"C"&amp;$A28)="N/A",0,RTD("tos.rtd",,$A$2,"."&amp;E$2&amp;E$1&amp;"C"&amp;$A28))+IF(RTD("tos.rtd",,$A$2,"."&amp;E$2&amp;E$1&amp;"P"&amp;$A28)="N/A",0,RTD("tos.rtd",,$A$2,"."&amp;E$2&amp;E$1&amp;"P"&amp;$A28)),IF(RTD("tos.rtd",,$A$2,"."&amp;E$2&amp;E$1&amp;"C"&amp;$A28)="N/A",0,RTD("tos.rtd",,$A$2,"."&amp;E$2&amp;E$1&amp;"C"&amp;$A28))-IF(RTD("tos.rtd",,$A$2,"."&amp;E$2&amp;E$1&amp;"P"&amp;$A28)="N/A",0,RTD("tos.rtd",,$A$2,"."&amp;E$2&amp;E$1&amp;"P"&amp;$A28))))))))))</f>
        <v>0</v>
      </c>
      <c r="F28" s="12">
        <f ca="1">IF($A$2="PREMIUM_OI",IFERROR(IF($X$1="ABS",(100*RTD("tos.rtd",,"OPEN_INT","."&amp;F$2&amp;F$1&amp;"C"&amp;$A28)*RTD("tos.rtd",,"LAST","."&amp;F$2&amp;F$1&amp;"C"&amp;$A28)+100*RTD("tos.rtd",,"OPEN_INT","."&amp;F$2&amp;F$1&amp;"P"&amp;$A28)*RTD("tos.rtd",,"LAST","."&amp;F$2&amp;F$1&amp;"P"&amp;$A28))/1000000,(100*RTD("tos.rtd",,"OPEN_INT","."&amp;F$2&amp;F$1&amp;"C"&amp;$A28)*RTD("tos.rtd",,"LAST","."&amp;F$2&amp;F$1&amp;"C"&amp;$A28)-100*RTD("tos.rtd",,"OPEN_INT","."&amp;F$2&amp;F$1&amp;"P"&amp;$A28)*RTD("tos.rtd",,"LAST","."&amp;F$2&amp;F$1&amp;"P"&amp;$A28))/1000000),0),IF($A$2="PREMIUM",IFERROR(IF($X$1="ABS",(100*RTD("tos.rtd",,"VOLUME","."&amp;F$2&amp;F$1&amp;"C"&amp;$A28)*RTD("tos.rtd",,"LAST","."&amp;F$2&amp;F$1&amp;"C"&amp;$A28)+100*RTD("tos.rtd",,"VOLUME","."&amp;F$2&amp;F$1&amp;"P"&amp;$A28)*RTD("tos.rtd",,"LAST","."&amp;F$2&amp;F$1&amp;"P"&amp;$A28))/1000000,(100*RTD("tos.rtd",,"VOLUME","."&amp;F$2&amp;F$1&amp;"C"&amp;$A28)*RTD("tos.rtd",,"LAST","."&amp;F$2&amp;F$1&amp;"C"&amp;$A28)-100*RTD("tos.rtd",,"VOLUME","."&amp;F$2&amp;F$1&amp;"P"&amp;$A28)*RTD("tos.rtd",,"LAST","."&amp;F$2&amp;F$1&amp;"P"&amp;$A28))/1000000),0),IF($A$2="DEX",IFERROR(IF($X$1="ABS",(100*RTD("tos.rtd",,"OPEN_INT","."&amp;F$2&amp;F$1&amp;"C"&amp;$A28)*RTD("tos.rtd",,"DELTA","."&amp;F$2&amp;F$1&amp;"C"&amp;$A28)+100*RTD("tos.rtd",,"OPEN_INT","."&amp;F$2&amp;F$1&amp;"P"&amp;$A28)*RTD("tos.rtd",,"DELTA","."&amp;F$2&amp;F$1&amp;"P"&amp;$A28))/1000,(100*RTD("tos.rtd",,"OPEN_INT","."&amp;F$2&amp;F$1&amp;"C"&amp;$A28)*RTD("tos.rtd",,"DELTA","."&amp;F$2&amp;F$1&amp;"C"&amp;$A28)-100*RTD("tos.rtd",,"OPEN_INT","."&amp;F$2&amp;F$1&amp;"P"&amp;$A28)*RTD("tos.rtd",,"DELTA","."&amp;F$2&amp;F$1&amp;"P"&amp;$A28))/1000),0),IF($A$2="VEX",IFERROR(IF($X$1="ABS",($A$4*$A$4*RTD("tos.rtd",,"VOLUME","."&amp;F$2&amp;F$1&amp;"C"&amp;$A28)*RTD("tos.rtd",,"GAMMA","."&amp;F$2&amp;F$1&amp;"C"&amp;$A28)+$A$4*$A$4*RTD("tos.rtd",,"VOLUME","."&amp;F$2&amp;F$1&amp;"P"&amp;$A28)*RTD("tos.rtd",,"GAMMA","."&amp;F$2&amp;F$1&amp;"P"&amp;$A28))/1000000,($A$4*$A$4*RTD("tos.rtd",,"VOLUME","."&amp;F$2&amp;F$1&amp;"C"&amp;$A28)*RTD("tos.rtd",,"GAMMA","."&amp;F$2&amp;F$1&amp;"C"&amp;$A28)-$A$4*$A$4*RTD("tos.rtd",,"VOLUME","."&amp;F$2&amp;F$1&amp;"P"&amp;$A28)*RTD("tos.rtd",,"GAMMA","."&amp;F$2&amp;F$1&amp;"P"&amp;$A28))/1000000),0),IF($A$2="GEX",IFERROR(IF($X$1="ABS",($A$4*$A$4*RTD("tos.rtd",,"OPEN_INT","."&amp;F$2&amp;F$1&amp;"C"&amp;$A28)*RTD("tos.rtd",,"GAMMA","."&amp;F$2&amp;F$1&amp;"C"&amp;$A28)+$A$4*$A$4*RTD("tos.rtd",,"OPEN_INT","."&amp;F$2&amp;F$1&amp;"P"&amp;$A28)*RTD("tos.rtd",,"GAMMA","."&amp;F$2&amp;F$1&amp;"P"&amp;$A28))/1000000,($A$4*$A$4*RTD("tos.rtd",,"OPEN_INT","."&amp;F$2&amp;F$1&amp;"C"&amp;$A28)*RTD("tos.rtd",,"GAMMA","."&amp;F$2&amp;F$1&amp;"C"&amp;$A28)-$A$4*$A$4*RTD("tos.rtd",,"OPEN_INT","."&amp;F$2&amp;F$1&amp;"P"&amp;$A28)*RTD("tos.rtd",,"GAMMA","."&amp;F$2&amp;F$1&amp;"P"&amp;$A28))/1000000),0),IF($A$2="SKEW",IFERROR(VALUE(IF(RTD("tos.rtd",,"IMPL_VOL","."&amp;F$2&amp;F$1&amp;"P"&amp;$A28)="N/A",0,RTD("tos.rtd",,"IMPL_VOL","."&amp;F$2&amp;F$1&amp;"P"&amp;$A28))),0)-IFERROR(VALUE(IF(RTD("tos.rtd",,"IMPL_VOL","."&amp;F$2&amp;F$1&amp;"C"&amp;$A28)="N/A",0,RTD("tos.rtd",,"IMPL_VOL","."&amp;F$2&amp;F$1&amp;"C"&amp;$A28))),0),IF($A$2="MAXPAIN",IF($A$4&gt;$A28,($A$4-$A28)*IF(RTD("tos.rtd",,"OPEN_INT","."&amp;F$2&amp;F$1&amp;"C"&amp;$A28)="N/A",0,RTD("tos.rtd",,"OPEN_INT","."&amp;F$2&amp;F$1&amp;"C"&amp;$A28)),0)+IF($A$4&lt;$A28,($A$5-$A$4)*IF(RTD("tos.rtd",,"OPEN_INT","."&amp;F$2&amp;F$1&amp;"P"&amp;$A28)="N/A",0,RTD("tos.rtd",,"OPEN_INT","."&amp;F$2&amp;F$1&amp;"P"&amp;$A28)),0),IF($X$1="ABS",IF(RTD("tos.rtd",,$A$2,"."&amp;F$2&amp;F$1&amp;"C"&amp;$A28)="N/A",0,RTD("tos.rtd",,$A$2,"."&amp;F$2&amp;F$1&amp;"C"&amp;$A28))+IF(RTD("tos.rtd",,$A$2,"."&amp;F$2&amp;F$1&amp;"P"&amp;$A28)="N/A",0,RTD("tos.rtd",,$A$2,"."&amp;F$2&amp;F$1&amp;"P"&amp;$A28)),IF(RTD("tos.rtd",,$A$2,"."&amp;F$2&amp;F$1&amp;"C"&amp;$A28)="N/A",0,RTD("tos.rtd",,$A$2,"."&amp;F$2&amp;F$1&amp;"C"&amp;$A28))-IF(RTD("tos.rtd",,$A$2,"."&amp;F$2&amp;F$1&amp;"P"&amp;$A28)="N/A",0,RTD("tos.rtd",,$A$2,"."&amp;F$2&amp;F$1&amp;"P"&amp;$A28))))))))))</f>
        <v>0</v>
      </c>
      <c r="G28" s="54">
        <f ca="1">IF($A$2="PREMIUM_OI",IFERROR(IF($X$1="ABS",(100*RTD("tos.rtd",,"OPEN_INT","."&amp;G$2&amp;G$1&amp;"C"&amp;$A28)*RTD("tos.rtd",,"LAST","."&amp;G$2&amp;G$1&amp;"C"&amp;$A28)+100*RTD("tos.rtd",,"OPEN_INT","."&amp;G$2&amp;G$1&amp;"P"&amp;$A28)*RTD("tos.rtd",,"LAST","."&amp;G$2&amp;G$1&amp;"P"&amp;$A28))/1000000,(100*RTD("tos.rtd",,"OPEN_INT","."&amp;G$2&amp;G$1&amp;"C"&amp;$A28)*RTD("tos.rtd",,"LAST","."&amp;G$2&amp;G$1&amp;"C"&amp;$A28)-100*RTD("tos.rtd",,"OPEN_INT","."&amp;G$2&amp;G$1&amp;"P"&amp;$A28)*RTD("tos.rtd",,"LAST","."&amp;G$2&amp;G$1&amp;"P"&amp;$A28))/1000000),0),IF($A$2="PREMIUM",IFERROR(IF($X$1="ABS",(100*RTD("tos.rtd",,"VOLUME","."&amp;G$2&amp;G$1&amp;"C"&amp;$A28)*RTD("tos.rtd",,"LAST","."&amp;G$2&amp;G$1&amp;"C"&amp;$A28)+100*RTD("tos.rtd",,"VOLUME","."&amp;G$2&amp;G$1&amp;"P"&amp;$A28)*RTD("tos.rtd",,"LAST","."&amp;G$2&amp;G$1&amp;"P"&amp;$A28))/1000000,(100*RTD("tos.rtd",,"VOLUME","."&amp;G$2&amp;G$1&amp;"C"&amp;$A28)*RTD("tos.rtd",,"LAST","."&amp;G$2&amp;G$1&amp;"C"&amp;$A28)-100*RTD("tos.rtd",,"VOLUME","."&amp;G$2&amp;G$1&amp;"P"&amp;$A28)*RTD("tos.rtd",,"LAST","."&amp;G$2&amp;G$1&amp;"P"&amp;$A28))/1000000),0),IF($A$2="DEX",IFERROR(IF($X$1="ABS",(100*RTD("tos.rtd",,"OPEN_INT","."&amp;G$2&amp;G$1&amp;"C"&amp;$A28)*RTD("tos.rtd",,"DELTA","."&amp;G$2&amp;G$1&amp;"C"&amp;$A28)+100*RTD("tos.rtd",,"OPEN_INT","."&amp;G$2&amp;G$1&amp;"P"&amp;$A28)*RTD("tos.rtd",,"DELTA","."&amp;G$2&amp;G$1&amp;"P"&amp;$A28))/1000,(100*RTD("tos.rtd",,"OPEN_INT","."&amp;G$2&amp;G$1&amp;"C"&amp;$A28)*RTD("tos.rtd",,"DELTA","."&amp;G$2&amp;G$1&amp;"C"&amp;$A28)-100*RTD("tos.rtd",,"OPEN_INT","."&amp;G$2&amp;G$1&amp;"P"&amp;$A28)*RTD("tos.rtd",,"DELTA","."&amp;G$2&amp;G$1&amp;"P"&amp;$A28))/1000),0),IF($A$2="VEX",IFERROR(IF($X$1="ABS",($A$4*$A$4*RTD("tos.rtd",,"VOLUME","."&amp;G$2&amp;G$1&amp;"C"&amp;$A28)*RTD("tos.rtd",,"GAMMA","."&amp;G$2&amp;G$1&amp;"C"&amp;$A28)+$A$4*$A$4*RTD("tos.rtd",,"VOLUME","."&amp;G$2&amp;G$1&amp;"P"&amp;$A28)*RTD("tos.rtd",,"GAMMA","."&amp;G$2&amp;G$1&amp;"P"&amp;$A28))/1000000,($A$4*$A$4*RTD("tos.rtd",,"VOLUME","."&amp;G$2&amp;G$1&amp;"C"&amp;$A28)*RTD("tos.rtd",,"GAMMA","."&amp;G$2&amp;G$1&amp;"C"&amp;$A28)-$A$4*$A$4*RTD("tos.rtd",,"VOLUME","."&amp;G$2&amp;G$1&amp;"P"&amp;$A28)*RTD("tos.rtd",,"GAMMA","."&amp;G$2&amp;G$1&amp;"P"&amp;$A28))/1000000),0),IF($A$2="GEX",IFERROR(IF($X$1="ABS",($A$4*$A$4*RTD("tos.rtd",,"OPEN_INT","."&amp;G$2&amp;G$1&amp;"C"&amp;$A28)*RTD("tos.rtd",,"GAMMA","."&amp;G$2&amp;G$1&amp;"C"&amp;$A28)+$A$4*$A$4*RTD("tos.rtd",,"OPEN_INT","."&amp;G$2&amp;G$1&amp;"P"&amp;$A28)*RTD("tos.rtd",,"GAMMA","."&amp;G$2&amp;G$1&amp;"P"&amp;$A28))/1000000,($A$4*$A$4*RTD("tos.rtd",,"OPEN_INT","."&amp;G$2&amp;G$1&amp;"C"&amp;$A28)*RTD("tos.rtd",,"GAMMA","."&amp;G$2&amp;G$1&amp;"C"&amp;$A28)-$A$4*$A$4*RTD("tos.rtd",,"OPEN_INT","."&amp;G$2&amp;G$1&amp;"P"&amp;$A28)*RTD("tos.rtd",,"GAMMA","."&amp;G$2&amp;G$1&amp;"P"&amp;$A28))/1000000),0),IF($A$2="SKEW",IFERROR(VALUE(IF(RTD("tos.rtd",,"IMPL_VOL","."&amp;G$2&amp;G$1&amp;"P"&amp;$A28)="N/A",0,RTD("tos.rtd",,"IMPL_VOL","."&amp;G$2&amp;G$1&amp;"P"&amp;$A28))),0)-IFERROR(VALUE(IF(RTD("tos.rtd",,"IMPL_VOL","."&amp;G$2&amp;G$1&amp;"C"&amp;$A28)="N/A",0,RTD("tos.rtd",,"IMPL_VOL","."&amp;G$2&amp;G$1&amp;"C"&amp;$A28))),0),IF($A$2="MAXPAIN",IF($A$4&gt;$A28,($A$4-$A28)*IF(RTD("tos.rtd",,"OPEN_INT","."&amp;G$2&amp;G$1&amp;"C"&amp;$A28)="N/A",0,RTD("tos.rtd",,"OPEN_INT","."&amp;G$2&amp;G$1&amp;"C"&amp;$A28)),0)+IF($A$4&lt;$A28,($A$5-$A$4)*IF(RTD("tos.rtd",,"OPEN_INT","."&amp;G$2&amp;G$1&amp;"P"&amp;$A28)="N/A",0,RTD("tos.rtd",,"OPEN_INT","."&amp;G$2&amp;G$1&amp;"P"&amp;$A28)),0),IF($X$1="ABS",IF(RTD("tos.rtd",,$A$2,"."&amp;G$2&amp;G$1&amp;"C"&amp;$A28)="N/A",0,RTD("tos.rtd",,$A$2,"."&amp;G$2&amp;G$1&amp;"C"&amp;$A28))+IF(RTD("tos.rtd",,$A$2,"."&amp;G$2&amp;G$1&amp;"P"&amp;$A28)="N/A",0,RTD("tos.rtd",,$A$2,"."&amp;G$2&amp;G$1&amp;"P"&amp;$A28)),IF(RTD("tos.rtd",,$A$2,"."&amp;G$2&amp;G$1&amp;"C"&amp;$A28)="N/A",0,RTD("tos.rtd",,$A$2,"."&amp;G$2&amp;G$1&amp;"C"&amp;$A28))-IF(RTD("tos.rtd",,$A$2,"."&amp;G$2&amp;G$1&amp;"P"&amp;$A28)="N/A",0,RTD("tos.rtd",,$A$2,"."&amp;G$2&amp;G$1&amp;"P"&amp;$A28))))))))))</f>
        <v>0</v>
      </c>
      <c r="H28" s="14">
        <f ca="1">IF($A$2="PREMIUM_OI",IFERROR(IF($X$1="ABS",(100*RTD("tos.rtd",,"OPEN_INT","."&amp;H$2&amp;H$1&amp;"C"&amp;$A28)*RTD("tos.rtd",,"LAST","."&amp;H$2&amp;H$1&amp;"C"&amp;$A28)+100*RTD("tos.rtd",,"OPEN_INT","."&amp;H$2&amp;H$1&amp;"P"&amp;$A28)*RTD("tos.rtd",,"LAST","."&amp;H$2&amp;H$1&amp;"P"&amp;$A28))/1000000,(100*RTD("tos.rtd",,"OPEN_INT","."&amp;H$2&amp;H$1&amp;"C"&amp;$A28)*RTD("tos.rtd",,"LAST","."&amp;H$2&amp;H$1&amp;"C"&amp;$A28)-100*RTD("tos.rtd",,"OPEN_INT","."&amp;H$2&amp;H$1&amp;"P"&amp;$A28)*RTD("tos.rtd",,"LAST","."&amp;H$2&amp;H$1&amp;"P"&amp;$A28))/1000000),0),IF($A$2="PREMIUM",IFERROR(IF($X$1="ABS",(100*RTD("tos.rtd",,"VOLUME","."&amp;H$2&amp;H$1&amp;"C"&amp;$A28)*RTD("tos.rtd",,"LAST","."&amp;H$2&amp;H$1&amp;"C"&amp;$A28)+100*RTD("tos.rtd",,"VOLUME","."&amp;H$2&amp;H$1&amp;"P"&amp;$A28)*RTD("tos.rtd",,"LAST","."&amp;H$2&amp;H$1&amp;"P"&amp;$A28))/1000000,(100*RTD("tos.rtd",,"VOLUME","."&amp;H$2&amp;H$1&amp;"C"&amp;$A28)*RTD("tos.rtd",,"LAST","."&amp;H$2&amp;H$1&amp;"C"&amp;$A28)-100*RTD("tos.rtd",,"VOLUME","."&amp;H$2&amp;H$1&amp;"P"&amp;$A28)*RTD("tos.rtd",,"LAST","."&amp;H$2&amp;H$1&amp;"P"&amp;$A28))/1000000),0),IF($A$2="DEX",IFERROR(IF($X$1="ABS",(100*RTD("tos.rtd",,"OPEN_INT","."&amp;H$2&amp;H$1&amp;"C"&amp;$A28)*RTD("tos.rtd",,"DELTA","."&amp;H$2&amp;H$1&amp;"C"&amp;$A28)+100*RTD("tos.rtd",,"OPEN_INT","."&amp;H$2&amp;H$1&amp;"P"&amp;$A28)*RTD("tos.rtd",,"DELTA","."&amp;H$2&amp;H$1&amp;"P"&amp;$A28))/1000,(100*RTD("tos.rtd",,"OPEN_INT","."&amp;H$2&amp;H$1&amp;"C"&amp;$A28)*RTD("tos.rtd",,"DELTA","."&amp;H$2&amp;H$1&amp;"C"&amp;$A28)-100*RTD("tos.rtd",,"OPEN_INT","."&amp;H$2&amp;H$1&amp;"P"&amp;$A28)*RTD("tos.rtd",,"DELTA","."&amp;H$2&amp;H$1&amp;"P"&amp;$A28))/1000),0),IF($A$2="VEX",IFERROR(IF($X$1="ABS",($A$4*$A$4*RTD("tos.rtd",,"VOLUME","."&amp;H$2&amp;H$1&amp;"C"&amp;$A28)*RTD("tos.rtd",,"GAMMA","."&amp;H$2&amp;H$1&amp;"C"&amp;$A28)+$A$4*$A$4*RTD("tos.rtd",,"VOLUME","."&amp;H$2&amp;H$1&amp;"P"&amp;$A28)*RTD("tos.rtd",,"GAMMA","."&amp;H$2&amp;H$1&amp;"P"&amp;$A28))/1000000,($A$4*$A$4*RTD("tos.rtd",,"VOLUME","."&amp;H$2&amp;H$1&amp;"C"&amp;$A28)*RTD("tos.rtd",,"GAMMA","."&amp;H$2&amp;H$1&amp;"C"&amp;$A28)-$A$4*$A$4*RTD("tos.rtd",,"VOLUME","."&amp;H$2&amp;H$1&amp;"P"&amp;$A28)*RTD("tos.rtd",,"GAMMA","."&amp;H$2&amp;H$1&amp;"P"&amp;$A28))/1000000),0),IF($A$2="GEX",IFERROR(IF($X$1="ABS",($A$4*$A$4*RTD("tos.rtd",,"OPEN_INT","."&amp;H$2&amp;H$1&amp;"C"&amp;$A28)*RTD("tos.rtd",,"GAMMA","."&amp;H$2&amp;H$1&amp;"C"&amp;$A28)+$A$4*$A$4*RTD("tos.rtd",,"OPEN_INT","."&amp;H$2&amp;H$1&amp;"P"&amp;$A28)*RTD("tos.rtd",,"GAMMA","."&amp;H$2&amp;H$1&amp;"P"&amp;$A28))/1000000,($A$4*$A$4*RTD("tos.rtd",,"OPEN_INT","."&amp;H$2&amp;H$1&amp;"C"&amp;$A28)*RTD("tos.rtd",,"GAMMA","."&amp;H$2&amp;H$1&amp;"C"&amp;$A28)-$A$4*$A$4*RTD("tos.rtd",,"OPEN_INT","."&amp;H$2&amp;H$1&amp;"P"&amp;$A28)*RTD("tos.rtd",,"GAMMA","."&amp;H$2&amp;H$1&amp;"P"&amp;$A28))/1000000),0),IF($A$2="SKEW",IFERROR(VALUE(IF(RTD("tos.rtd",,"IMPL_VOL","."&amp;H$2&amp;H$1&amp;"P"&amp;$A28)="N/A",0,RTD("tos.rtd",,"IMPL_VOL","."&amp;H$2&amp;H$1&amp;"P"&amp;$A28))),0)-IFERROR(VALUE(IF(RTD("tos.rtd",,"IMPL_VOL","."&amp;H$2&amp;H$1&amp;"C"&amp;$A28)="N/A",0,RTD("tos.rtd",,"IMPL_VOL","."&amp;H$2&amp;H$1&amp;"C"&amp;$A28))),0),IF($A$2="MAXPAIN",IF($A$4&gt;$A28,($A$4-$A28)*IF(RTD("tos.rtd",,"OPEN_INT","."&amp;H$2&amp;H$1&amp;"C"&amp;$A28)="N/A",0,RTD("tos.rtd",,"OPEN_INT","."&amp;H$2&amp;H$1&amp;"C"&amp;$A28)),0)+IF($A$4&lt;$A28,($A$5-$A$4)*IF(RTD("tos.rtd",,"OPEN_INT","."&amp;H$2&amp;H$1&amp;"P"&amp;$A28)="N/A",0,RTD("tos.rtd",,"OPEN_INT","."&amp;H$2&amp;H$1&amp;"P"&amp;$A28)),0),IF($X$1="ABS",IF(RTD("tos.rtd",,$A$2,"."&amp;H$2&amp;H$1&amp;"C"&amp;$A28)="N/A",0,RTD("tos.rtd",,$A$2,"."&amp;H$2&amp;H$1&amp;"C"&amp;$A28))+IF(RTD("tos.rtd",,$A$2,"."&amp;H$2&amp;H$1&amp;"P"&amp;$A28)="N/A",0,RTD("tos.rtd",,$A$2,"."&amp;H$2&amp;H$1&amp;"P"&amp;$A28)),IF(RTD("tos.rtd",,$A$2,"."&amp;H$2&amp;H$1&amp;"C"&amp;$A28)="N/A",0,RTD("tos.rtd",,$A$2,"."&amp;H$2&amp;H$1&amp;"C"&amp;$A28))-IF(RTD("tos.rtd",,$A$2,"."&amp;H$2&amp;H$1&amp;"P"&amp;$A28)="N/A",0,RTD("tos.rtd",,$A$2,"."&amp;H$2&amp;H$1&amp;"P"&amp;$A28))))))))))</f>
        <v>0</v>
      </c>
      <c r="I28" s="12">
        <f ca="1">IF($A$2="PREMIUM_OI",IFERROR(IF($X$1="ABS",(100*RTD("tos.rtd",,"OPEN_INT","."&amp;I$2&amp;I$1&amp;"C"&amp;$A28)*RTD("tos.rtd",,"LAST","."&amp;I$2&amp;I$1&amp;"C"&amp;$A28)+100*RTD("tos.rtd",,"OPEN_INT","."&amp;I$2&amp;I$1&amp;"P"&amp;$A28)*RTD("tos.rtd",,"LAST","."&amp;I$2&amp;I$1&amp;"P"&amp;$A28))/1000000,(100*RTD("tos.rtd",,"OPEN_INT","."&amp;I$2&amp;I$1&amp;"C"&amp;$A28)*RTD("tos.rtd",,"LAST","."&amp;I$2&amp;I$1&amp;"C"&amp;$A28)-100*RTD("tos.rtd",,"OPEN_INT","."&amp;I$2&amp;I$1&amp;"P"&amp;$A28)*RTD("tos.rtd",,"LAST","."&amp;I$2&amp;I$1&amp;"P"&amp;$A28))/1000000),0),IF($A$2="PREMIUM",IFERROR(IF($X$1="ABS",(100*RTD("tos.rtd",,"VOLUME","."&amp;I$2&amp;I$1&amp;"C"&amp;$A28)*RTD("tos.rtd",,"LAST","."&amp;I$2&amp;I$1&amp;"C"&amp;$A28)+100*RTD("tos.rtd",,"VOLUME","."&amp;I$2&amp;I$1&amp;"P"&amp;$A28)*RTD("tos.rtd",,"LAST","."&amp;I$2&amp;I$1&amp;"P"&amp;$A28))/1000000,(100*RTD("tos.rtd",,"VOLUME","."&amp;I$2&amp;I$1&amp;"C"&amp;$A28)*RTD("tos.rtd",,"LAST","."&amp;I$2&amp;I$1&amp;"C"&amp;$A28)-100*RTD("tos.rtd",,"VOLUME","."&amp;I$2&amp;I$1&amp;"P"&amp;$A28)*RTD("tos.rtd",,"LAST","."&amp;I$2&amp;I$1&amp;"P"&amp;$A28))/1000000),0),IF($A$2="DEX",IFERROR(IF($X$1="ABS",(100*RTD("tos.rtd",,"OPEN_INT","."&amp;I$2&amp;I$1&amp;"C"&amp;$A28)*RTD("tos.rtd",,"DELTA","."&amp;I$2&amp;I$1&amp;"C"&amp;$A28)+100*RTD("tos.rtd",,"OPEN_INT","."&amp;I$2&amp;I$1&amp;"P"&amp;$A28)*RTD("tos.rtd",,"DELTA","."&amp;I$2&amp;I$1&amp;"P"&amp;$A28))/1000,(100*RTD("tos.rtd",,"OPEN_INT","."&amp;I$2&amp;I$1&amp;"C"&amp;$A28)*RTD("tos.rtd",,"DELTA","."&amp;I$2&amp;I$1&amp;"C"&amp;$A28)-100*RTD("tos.rtd",,"OPEN_INT","."&amp;I$2&amp;I$1&amp;"P"&amp;$A28)*RTD("tos.rtd",,"DELTA","."&amp;I$2&amp;I$1&amp;"P"&amp;$A28))/1000),0),IF($A$2="VEX",IFERROR(IF($X$1="ABS",($A$4*$A$4*RTD("tos.rtd",,"VOLUME","."&amp;I$2&amp;I$1&amp;"C"&amp;$A28)*RTD("tos.rtd",,"GAMMA","."&amp;I$2&amp;I$1&amp;"C"&amp;$A28)+$A$4*$A$4*RTD("tos.rtd",,"VOLUME","."&amp;I$2&amp;I$1&amp;"P"&amp;$A28)*RTD("tos.rtd",,"GAMMA","."&amp;I$2&amp;I$1&amp;"P"&amp;$A28))/1000000,($A$4*$A$4*RTD("tos.rtd",,"VOLUME","."&amp;I$2&amp;I$1&amp;"C"&amp;$A28)*RTD("tos.rtd",,"GAMMA","."&amp;I$2&amp;I$1&amp;"C"&amp;$A28)-$A$4*$A$4*RTD("tos.rtd",,"VOLUME","."&amp;I$2&amp;I$1&amp;"P"&amp;$A28)*RTD("tos.rtd",,"GAMMA","."&amp;I$2&amp;I$1&amp;"P"&amp;$A28))/1000000),0),IF($A$2="GEX",IFERROR(IF($X$1="ABS",($A$4*$A$4*RTD("tos.rtd",,"OPEN_INT","."&amp;I$2&amp;I$1&amp;"C"&amp;$A28)*RTD("tos.rtd",,"GAMMA","."&amp;I$2&amp;I$1&amp;"C"&amp;$A28)+$A$4*$A$4*RTD("tos.rtd",,"OPEN_INT","."&amp;I$2&amp;I$1&amp;"P"&amp;$A28)*RTD("tos.rtd",,"GAMMA","."&amp;I$2&amp;I$1&amp;"P"&amp;$A28))/1000000,($A$4*$A$4*RTD("tos.rtd",,"OPEN_INT","."&amp;I$2&amp;I$1&amp;"C"&amp;$A28)*RTD("tos.rtd",,"GAMMA","."&amp;I$2&amp;I$1&amp;"C"&amp;$A28)-$A$4*$A$4*RTD("tos.rtd",,"OPEN_INT","."&amp;I$2&amp;I$1&amp;"P"&amp;$A28)*RTD("tos.rtd",,"GAMMA","."&amp;I$2&amp;I$1&amp;"P"&amp;$A28))/1000000),0),IF($A$2="SKEW",IFERROR(VALUE(IF(RTD("tos.rtd",,"IMPL_VOL","."&amp;I$2&amp;I$1&amp;"P"&amp;$A28)="N/A",0,RTD("tos.rtd",,"IMPL_VOL","."&amp;I$2&amp;I$1&amp;"P"&amp;$A28))),0)-IFERROR(VALUE(IF(RTD("tos.rtd",,"IMPL_VOL","."&amp;I$2&amp;I$1&amp;"C"&amp;$A28)="N/A",0,RTD("tos.rtd",,"IMPL_VOL","."&amp;I$2&amp;I$1&amp;"C"&amp;$A28))),0),IF($A$2="MAXPAIN",IF($A$4&gt;$A28,($A$4-$A28)*IF(RTD("tos.rtd",,"OPEN_INT","."&amp;I$2&amp;I$1&amp;"C"&amp;$A28)="N/A",0,RTD("tos.rtd",,"OPEN_INT","."&amp;I$2&amp;I$1&amp;"C"&amp;$A28)),0)+IF($A$4&lt;$A28,($A$5-$A$4)*IF(RTD("tos.rtd",,"OPEN_INT","."&amp;I$2&amp;I$1&amp;"P"&amp;$A28)="N/A",0,RTD("tos.rtd",,"OPEN_INT","."&amp;I$2&amp;I$1&amp;"P"&amp;$A28)),0),IF($X$1="ABS",IF(RTD("tos.rtd",,$A$2,"."&amp;I$2&amp;I$1&amp;"C"&amp;$A28)="N/A",0,RTD("tos.rtd",,$A$2,"."&amp;I$2&amp;I$1&amp;"C"&amp;$A28))+IF(RTD("tos.rtd",,$A$2,"."&amp;I$2&amp;I$1&amp;"P"&amp;$A28)="N/A",0,RTD("tos.rtd",,$A$2,"."&amp;I$2&amp;I$1&amp;"P"&amp;$A28)),IF(RTD("tos.rtd",,$A$2,"."&amp;I$2&amp;I$1&amp;"C"&amp;$A28)="N/A",0,RTD("tos.rtd",,$A$2,"."&amp;I$2&amp;I$1&amp;"C"&amp;$A28))-IF(RTD("tos.rtd",,$A$2,"."&amp;I$2&amp;I$1&amp;"P"&amp;$A28)="N/A",0,RTD("tos.rtd",,$A$2,"."&amp;I$2&amp;I$1&amp;"P"&amp;$A28))))))))))</f>
        <v>0</v>
      </c>
      <c r="J28" s="12">
        <f ca="1">IF($A$2="PREMIUM_OI",IFERROR(IF($X$1="ABS",(100*RTD("tos.rtd",,"OPEN_INT","."&amp;J$2&amp;J$1&amp;"C"&amp;$A28)*RTD("tos.rtd",,"LAST","."&amp;J$2&amp;J$1&amp;"C"&amp;$A28)+100*RTD("tos.rtd",,"OPEN_INT","."&amp;J$2&amp;J$1&amp;"P"&amp;$A28)*RTD("tos.rtd",,"LAST","."&amp;J$2&amp;J$1&amp;"P"&amp;$A28))/1000000,(100*RTD("tos.rtd",,"OPEN_INT","."&amp;J$2&amp;J$1&amp;"C"&amp;$A28)*RTD("tos.rtd",,"LAST","."&amp;J$2&amp;J$1&amp;"C"&amp;$A28)-100*RTD("tos.rtd",,"OPEN_INT","."&amp;J$2&amp;J$1&amp;"P"&amp;$A28)*RTD("tos.rtd",,"LAST","."&amp;J$2&amp;J$1&amp;"P"&amp;$A28))/1000000),0),IF($A$2="PREMIUM",IFERROR(IF($X$1="ABS",(100*RTD("tos.rtd",,"VOLUME","."&amp;J$2&amp;J$1&amp;"C"&amp;$A28)*RTD("tos.rtd",,"LAST","."&amp;J$2&amp;J$1&amp;"C"&amp;$A28)+100*RTD("tos.rtd",,"VOLUME","."&amp;J$2&amp;J$1&amp;"P"&amp;$A28)*RTD("tos.rtd",,"LAST","."&amp;J$2&amp;J$1&amp;"P"&amp;$A28))/1000000,(100*RTD("tos.rtd",,"VOLUME","."&amp;J$2&amp;J$1&amp;"C"&amp;$A28)*RTD("tos.rtd",,"LAST","."&amp;J$2&amp;J$1&amp;"C"&amp;$A28)-100*RTD("tos.rtd",,"VOLUME","."&amp;J$2&amp;J$1&amp;"P"&amp;$A28)*RTD("tos.rtd",,"LAST","."&amp;J$2&amp;J$1&amp;"P"&amp;$A28))/1000000),0),IF($A$2="DEX",IFERROR(IF($X$1="ABS",(100*RTD("tos.rtd",,"OPEN_INT","."&amp;J$2&amp;J$1&amp;"C"&amp;$A28)*RTD("tos.rtd",,"DELTA","."&amp;J$2&amp;J$1&amp;"C"&amp;$A28)+100*RTD("tos.rtd",,"OPEN_INT","."&amp;J$2&amp;J$1&amp;"P"&amp;$A28)*RTD("tos.rtd",,"DELTA","."&amp;J$2&amp;J$1&amp;"P"&amp;$A28))/1000,(100*RTD("tos.rtd",,"OPEN_INT","."&amp;J$2&amp;J$1&amp;"C"&amp;$A28)*RTD("tos.rtd",,"DELTA","."&amp;J$2&amp;J$1&amp;"C"&amp;$A28)-100*RTD("tos.rtd",,"OPEN_INT","."&amp;J$2&amp;J$1&amp;"P"&amp;$A28)*RTD("tos.rtd",,"DELTA","."&amp;J$2&amp;J$1&amp;"P"&amp;$A28))/1000),0),IF($A$2="VEX",IFERROR(IF($X$1="ABS",($A$4*$A$4*RTD("tos.rtd",,"VOLUME","."&amp;J$2&amp;J$1&amp;"C"&amp;$A28)*RTD("tos.rtd",,"GAMMA","."&amp;J$2&amp;J$1&amp;"C"&amp;$A28)+$A$4*$A$4*RTD("tos.rtd",,"VOLUME","."&amp;J$2&amp;J$1&amp;"P"&amp;$A28)*RTD("tos.rtd",,"GAMMA","."&amp;J$2&amp;J$1&amp;"P"&amp;$A28))/1000000,($A$4*$A$4*RTD("tos.rtd",,"VOLUME","."&amp;J$2&amp;J$1&amp;"C"&amp;$A28)*RTD("tos.rtd",,"GAMMA","."&amp;J$2&amp;J$1&amp;"C"&amp;$A28)-$A$4*$A$4*RTD("tos.rtd",,"VOLUME","."&amp;J$2&amp;J$1&amp;"P"&amp;$A28)*RTD("tos.rtd",,"GAMMA","."&amp;J$2&amp;J$1&amp;"P"&amp;$A28))/1000000),0),IF($A$2="GEX",IFERROR(IF($X$1="ABS",($A$4*$A$4*RTD("tos.rtd",,"OPEN_INT","."&amp;J$2&amp;J$1&amp;"C"&amp;$A28)*RTD("tos.rtd",,"GAMMA","."&amp;J$2&amp;J$1&amp;"C"&amp;$A28)+$A$4*$A$4*RTD("tos.rtd",,"OPEN_INT","."&amp;J$2&amp;J$1&amp;"P"&amp;$A28)*RTD("tos.rtd",,"GAMMA","."&amp;J$2&amp;J$1&amp;"P"&amp;$A28))/1000000,($A$4*$A$4*RTD("tos.rtd",,"OPEN_INT","."&amp;J$2&amp;J$1&amp;"C"&amp;$A28)*RTD("tos.rtd",,"GAMMA","."&amp;J$2&amp;J$1&amp;"C"&amp;$A28)-$A$4*$A$4*RTD("tos.rtd",,"OPEN_INT","."&amp;J$2&amp;J$1&amp;"P"&amp;$A28)*RTD("tos.rtd",,"GAMMA","."&amp;J$2&amp;J$1&amp;"P"&amp;$A28))/1000000),0),IF($A$2="SKEW",IFERROR(VALUE(IF(RTD("tos.rtd",,"IMPL_VOL","."&amp;J$2&amp;J$1&amp;"P"&amp;$A28)="N/A",0,RTD("tos.rtd",,"IMPL_VOL","."&amp;J$2&amp;J$1&amp;"P"&amp;$A28))),0)-IFERROR(VALUE(IF(RTD("tos.rtd",,"IMPL_VOL","."&amp;J$2&amp;J$1&amp;"C"&amp;$A28)="N/A",0,RTD("tos.rtd",,"IMPL_VOL","."&amp;J$2&amp;J$1&amp;"C"&amp;$A28))),0),IF($A$2="MAXPAIN",IF($A$4&gt;$A28,($A$4-$A28)*IF(RTD("tos.rtd",,"OPEN_INT","."&amp;J$2&amp;J$1&amp;"C"&amp;$A28)="N/A",0,RTD("tos.rtd",,"OPEN_INT","."&amp;J$2&amp;J$1&amp;"C"&amp;$A28)),0)+IF($A$4&lt;$A28,($A$5-$A$4)*IF(RTD("tos.rtd",,"OPEN_INT","."&amp;J$2&amp;J$1&amp;"P"&amp;$A28)="N/A",0,RTD("tos.rtd",,"OPEN_INT","."&amp;J$2&amp;J$1&amp;"P"&amp;$A28)),0),IF($X$1="ABS",IF(RTD("tos.rtd",,$A$2,"."&amp;J$2&amp;J$1&amp;"C"&amp;$A28)="N/A",0,RTD("tos.rtd",,$A$2,"."&amp;J$2&amp;J$1&amp;"C"&amp;$A28))+IF(RTD("tos.rtd",,$A$2,"."&amp;J$2&amp;J$1&amp;"P"&amp;$A28)="N/A",0,RTD("tos.rtd",,$A$2,"."&amp;J$2&amp;J$1&amp;"P"&amp;$A28)),IF(RTD("tos.rtd",,$A$2,"."&amp;J$2&amp;J$1&amp;"C"&amp;$A28)="N/A",0,RTD("tos.rtd",,$A$2,"."&amp;J$2&amp;J$1&amp;"C"&amp;$A28))-IF(RTD("tos.rtd",,$A$2,"."&amp;J$2&amp;J$1&amp;"P"&amp;$A28)="N/A",0,RTD("tos.rtd",,$A$2,"."&amp;J$2&amp;J$1&amp;"P"&amp;$A28))))))))))</f>
        <v>0</v>
      </c>
      <c r="K28" s="12">
        <f ca="1">IF($A$2="PREMIUM_OI",IFERROR(IF($X$1="ABS",(100*RTD("tos.rtd",,"OPEN_INT","."&amp;K$2&amp;K$1&amp;"C"&amp;$A28)*RTD("tos.rtd",,"LAST","."&amp;K$2&amp;K$1&amp;"C"&amp;$A28)+100*RTD("tos.rtd",,"OPEN_INT","."&amp;K$2&amp;K$1&amp;"P"&amp;$A28)*RTD("tos.rtd",,"LAST","."&amp;K$2&amp;K$1&amp;"P"&amp;$A28))/1000000,(100*RTD("tos.rtd",,"OPEN_INT","."&amp;K$2&amp;K$1&amp;"C"&amp;$A28)*RTD("tos.rtd",,"LAST","."&amp;K$2&amp;K$1&amp;"C"&amp;$A28)-100*RTD("tos.rtd",,"OPEN_INT","."&amp;K$2&amp;K$1&amp;"P"&amp;$A28)*RTD("tos.rtd",,"LAST","."&amp;K$2&amp;K$1&amp;"P"&amp;$A28))/1000000),0),IF($A$2="PREMIUM",IFERROR(IF($X$1="ABS",(100*RTD("tos.rtd",,"VOLUME","."&amp;K$2&amp;K$1&amp;"C"&amp;$A28)*RTD("tos.rtd",,"LAST","."&amp;K$2&amp;K$1&amp;"C"&amp;$A28)+100*RTD("tos.rtd",,"VOLUME","."&amp;K$2&amp;K$1&amp;"P"&amp;$A28)*RTD("tos.rtd",,"LAST","."&amp;K$2&amp;K$1&amp;"P"&amp;$A28))/1000000,(100*RTD("tos.rtd",,"VOLUME","."&amp;K$2&amp;K$1&amp;"C"&amp;$A28)*RTD("tos.rtd",,"LAST","."&amp;K$2&amp;K$1&amp;"C"&amp;$A28)-100*RTD("tos.rtd",,"VOLUME","."&amp;K$2&amp;K$1&amp;"P"&amp;$A28)*RTD("tos.rtd",,"LAST","."&amp;K$2&amp;K$1&amp;"P"&amp;$A28))/1000000),0),IF($A$2="DEX",IFERROR(IF($X$1="ABS",(100*RTD("tos.rtd",,"OPEN_INT","."&amp;K$2&amp;K$1&amp;"C"&amp;$A28)*RTD("tos.rtd",,"DELTA","."&amp;K$2&amp;K$1&amp;"C"&amp;$A28)+100*RTD("tos.rtd",,"OPEN_INT","."&amp;K$2&amp;K$1&amp;"P"&amp;$A28)*RTD("tos.rtd",,"DELTA","."&amp;K$2&amp;K$1&amp;"P"&amp;$A28))/1000,(100*RTD("tos.rtd",,"OPEN_INT","."&amp;K$2&amp;K$1&amp;"C"&amp;$A28)*RTD("tos.rtd",,"DELTA","."&amp;K$2&amp;K$1&amp;"C"&amp;$A28)-100*RTD("tos.rtd",,"OPEN_INT","."&amp;K$2&amp;K$1&amp;"P"&amp;$A28)*RTD("tos.rtd",,"DELTA","."&amp;K$2&amp;K$1&amp;"P"&amp;$A28))/1000),0),IF($A$2="VEX",IFERROR(IF($X$1="ABS",($A$4*$A$4*RTD("tos.rtd",,"VOLUME","."&amp;K$2&amp;K$1&amp;"C"&amp;$A28)*RTD("tos.rtd",,"GAMMA","."&amp;K$2&amp;K$1&amp;"C"&amp;$A28)+$A$4*$A$4*RTD("tos.rtd",,"VOLUME","."&amp;K$2&amp;K$1&amp;"P"&amp;$A28)*RTD("tos.rtd",,"GAMMA","."&amp;K$2&amp;K$1&amp;"P"&amp;$A28))/1000000,($A$4*$A$4*RTD("tos.rtd",,"VOLUME","."&amp;K$2&amp;K$1&amp;"C"&amp;$A28)*RTD("tos.rtd",,"GAMMA","."&amp;K$2&amp;K$1&amp;"C"&amp;$A28)-$A$4*$A$4*RTD("tos.rtd",,"VOLUME","."&amp;K$2&amp;K$1&amp;"P"&amp;$A28)*RTD("tos.rtd",,"GAMMA","."&amp;K$2&amp;K$1&amp;"P"&amp;$A28))/1000000),0),IF($A$2="GEX",IFERROR(IF($X$1="ABS",($A$4*$A$4*RTD("tos.rtd",,"OPEN_INT","."&amp;K$2&amp;K$1&amp;"C"&amp;$A28)*RTD("tos.rtd",,"GAMMA","."&amp;K$2&amp;K$1&amp;"C"&amp;$A28)+$A$4*$A$4*RTD("tos.rtd",,"OPEN_INT","."&amp;K$2&amp;K$1&amp;"P"&amp;$A28)*RTD("tos.rtd",,"GAMMA","."&amp;K$2&amp;K$1&amp;"P"&amp;$A28))/1000000,($A$4*$A$4*RTD("tos.rtd",,"OPEN_INT","."&amp;K$2&amp;K$1&amp;"C"&amp;$A28)*RTD("tos.rtd",,"GAMMA","."&amp;K$2&amp;K$1&amp;"C"&amp;$A28)-$A$4*$A$4*RTD("tos.rtd",,"OPEN_INT","."&amp;K$2&amp;K$1&amp;"P"&amp;$A28)*RTD("tos.rtd",,"GAMMA","."&amp;K$2&amp;K$1&amp;"P"&amp;$A28))/1000000),0),IF($A$2="SKEW",IFERROR(VALUE(IF(RTD("tos.rtd",,"IMPL_VOL","."&amp;K$2&amp;K$1&amp;"P"&amp;$A28)="N/A",0,RTD("tos.rtd",,"IMPL_VOL","."&amp;K$2&amp;K$1&amp;"P"&amp;$A28))),0)-IFERROR(VALUE(IF(RTD("tos.rtd",,"IMPL_VOL","."&amp;K$2&amp;K$1&amp;"C"&amp;$A28)="N/A",0,RTD("tos.rtd",,"IMPL_VOL","."&amp;K$2&amp;K$1&amp;"C"&amp;$A28))),0),IF($A$2="MAXPAIN",IF($A$4&gt;$A28,($A$4-$A28)*IF(RTD("tos.rtd",,"OPEN_INT","."&amp;K$2&amp;K$1&amp;"C"&amp;$A28)="N/A",0,RTD("tos.rtd",,"OPEN_INT","."&amp;K$2&amp;K$1&amp;"C"&amp;$A28)),0)+IF($A$4&lt;$A28,($A$5-$A$4)*IF(RTD("tos.rtd",,"OPEN_INT","."&amp;K$2&amp;K$1&amp;"P"&amp;$A28)="N/A",0,RTD("tos.rtd",,"OPEN_INT","."&amp;K$2&amp;K$1&amp;"P"&amp;$A28)),0),IF($X$1="ABS",IF(RTD("tos.rtd",,$A$2,"."&amp;K$2&amp;K$1&amp;"C"&amp;$A28)="N/A",0,RTD("tos.rtd",,$A$2,"."&amp;K$2&amp;K$1&amp;"C"&amp;$A28))+IF(RTD("tos.rtd",,$A$2,"."&amp;K$2&amp;K$1&amp;"P"&amp;$A28)="N/A",0,RTD("tos.rtd",,$A$2,"."&amp;K$2&amp;K$1&amp;"P"&amp;$A28)),IF(RTD("tos.rtd",,$A$2,"."&amp;K$2&amp;K$1&amp;"C"&amp;$A28)="N/A",0,RTD("tos.rtd",,$A$2,"."&amp;K$2&amp;K$1&amp;"C"&amp;$A28))-IF(RTD("tos.rtd",,$A$2,"."&amp;K$2&amp;K$1&amp;"P"&amp;$A28)="N/A",0,RTD("tos.rtd",,$A$2,"."&amp;K$2&amp;K$1&amp;"P"&amp;$A28))))))))))</f>
        <v>0</v>
      </c>
      <c r="L28" s="54">
        <f ca="1">IF($A$2="PREMIUM_OI",IFERROR(IF($X$1="ABS",(100*RTD("tos.rtd",,"OPEN_INT","."&amp;L$2&amp;L$1&amp;"C"&amp;$A28)*RTD("tos.rtd",,"LAST","."&amp;L$2&amp;L$1&amp;"C"&amp;$A28)+100*RTD("tos.rtd",,"OPEN_INT","."&amp;L$2&amp;L$1&amp;"P"&amp;$A28)*RTD("tos.rtd",,"LAST","."&amp;L$2&amp;L$1&amp;"P"&amp;$A28))/1000000,(100*RTD("tos.rtd",,"OPEN_INT","."&amp;L$2&amp;L$1&amp;"C"&amp;$A28)*RTD("tos.rtd",,"LAST","."&amp;L$2&amp;L$1&amp;"C"&amp;$A28)-100*RTD("tos.rtd",,"OPEN_INT","."&amp;L$2&amp;L$1&amp;"P"&amp;$A28)*RTD("tos.rtd",,"LAST","."&amp;L$2&amp;L$1&amp;"P"&amp;$A28))/1000000),0),IF($A$2="PREMIUM",IFERROR(IF($X$1="ABS",(100*RTD("tos.rtd",,"VOLUME","."&amp;L$2&amp;L$1&amp;"C"&amp;$A28)*RTD("tos.rtd",,"LAST","."&amp;L$2&amp;L$1&amp;"C"&amp;$A28)+100*RTD("tos.rtd",,"VOLUME","."&amp;L$2&amp;L$1&amp;"P"&amp;$A28)*RTD("tos.rtd",,"LAST","."&amp;L$2&amp;L$1&amp;"P"&amp;$A28))/1000000,(100*RTD("tos.rtd",,"VOLUME","."&amp;L$2&amp;L$1&amp;"C"&amp;$A28)*RTD("tos.rtd",,"LAST","."&amp;L$2&amp;L$1&amp;"C"&amp;$A28)-100*RTD("tos.rtd",,"VOLUME","."&amp;L$2&amp;L$1&amp;"P"&amp;$A28)*RTD("tos.rtd",,"LAST","."&amp;L$2&amp;L$1&amp;"P"&amp;$A28))/1000000),0),IF($A$2="DEX",IFERROR(IF($X$1="ABS",(100*RTD("tos.rtd",,"OPEN_INT","."&amp;L$2&amp;L$1&amp;"C"&amp;$A28)*RTD("tos.rtd",,"DELTA","."&amp;L$2&amp;L$1&amp;"C"&amp;$A28)+100*RTD("tos.rtd",,"OPEN_INT","."&amp;L$2&amp;L$1&amp;"P"&amp;$A28)*RTD("tos.rtd",,"DELTA","."&amp;L$2&amp;L$1&amp;"P"&amp;$A28))/1000,(100*RTD("tos.rtd",,"OPEN_INT","."&amp;L$2&amp;L$1&amp;"C"&amp;$A28)*RTD("tos.rtd",,"DELTA","."&amp;L$2&amp;L$1&amp;"C"&amp;$A28)-100*RTD("tos.rtd",,"OPEN_INT","."&amp;L$2&amp;L$1&amp;"P"&amp;$A28)*RTD("tos.rtd",,"DELTA","."&amp;L$2&amp;L$1&amp;"P"&amp;$A28))/1000),0),IF($A$2="VEX",IFERROR(IF($X$1="ABS",($A$4*$A$4*RTD("tos.rtd",,"VOLUME","."&amp;L$2&amp;L$1&amp;"C"&amp;$A28)*RTD("tos.rtd",,"GAMMA","."&amp;L$2&amp;L$1&amp;"C"&amp;$A28)+$A$4*$A$4*RTD("tos.rtd",,"VOLUME","."&amp;L$2&amp;L$1&amp;"P"&amp;$A28)*RTD("tos.rtd",,"GAMMA","."&amp;L$2&amp;L$1&amp;"P"&amp;$A28))/1000000,($A$4*$A$4*RTD("tos.rtd",,"VOLUME","."&amp;L$2&amp;L$1&amp;"C"&amp;$A28)*RTD("tos.rtd",,"GAMMA","."&amp;L$2&amp;L$1&amp;"C"&amp;$A28)-$A$4*$A$4*RTD("tos.rtd",,"VOLUME","."&amp;L$2&amp;L$1&amp;"P"&amp;$A28)*RTD("tos.rtd",,"GAMMA","."&amp;L$2&amp;L$1&amp;"P"&amp;$A28))/1000000),0),IF($A$2="GEX",IFERROR(IF($X$1="ABS",($A$4*$A$4*RTD("tos.rtd",,"OPEN_INT","."&amp;L$2&amp;L$1&amp;"C"&amp;$A28)*RTD("tos.rtd",,"GAMMA","."&amp;L$2&amp;L$1&amp;"C"&amp;$A28)+$A$4*$A$4*RTD("tos.rtd",,"OPEN_INT","."&amp;L$2&amp;L$1&amp;"P"&amp;$A28)*RTD("tos.rtd",,"GAMMA","."&amp;L$2&amp;L$1&amp;"P"&amp;$A28))/1000000,($A$4*$A$4*RTD("tos.rtd",,"OPEN_INT","."&amp;L$2&amp;L$1&amp;"C"&amp;$A28)*RTD("tos.rtd",,"GAMMA","."&amp;L$2&amp;L$1&amp;"C"&amp;$A28)-$A$4*$A$4*RTD("tos.rtd",,"OPEN_INT","."&amp;L$2&amp;L$1&amp;"P"&amp;$A28)*RTD("tos.rtd",,"GAMMA","."&amp;L$2&amp;L$1&amp;"P"&amp;$A28))/1000000),0),IF($A$2="SKEW",IFERROR(VALUE(IF(RTD("tos.rtd",,"IMPL_VOL","."&amp;L$2&amp;L$1&amp;"P"&amp;$A28)="N/A",0,RTD("tos.rtd",,"IMPL_VOL","."&amp;L$2&amp;L$1&amp;"P"&amp;$A28))),0)-IFERROR(VALUE(IF(RTD("tos.rtd",,"IMPL_VOL","."&amp;L$2&amp;L$1&amp;"C"&amp;$A28)="N/A",0,RTD("tos.rtd",,"IMPL_VOL","."&amp;L$2&amp;L$1&amp;"C"&amp;$A28))),0),IF($A$2="MAXPAIN",IF($A$4&gt;$A28,($A$4-$A28)*IF(RTD("tos.rtd",,"OPEN_INT","."&amp;L$2&amp;L$1&amp;"C"&amp;$A28)="N/A",0,RTD("tos.rtd",,"OPEN_INT","."&amp;L$2&amp;L$1&amp;"C"&amp;$A28)),0)+IF($A$4&lt;$A28,($A$5-$A$4)*IF(RTD("tos.rtd",,"OPEN_INT","."&amp;L$2&amp;L$1&amp;"P"&amp;$A28)="N/A",0,RTD("tos.rtd",,"OPEN_INT","."&amp;L$2&amp;L$1&amp;"P"&amp;$A28)),0),IF($X$1="ABS",IF(RTD("tos.rtd",,$A$2,"."&amp;L$2&amp;L$1&amp;"C"&amp;$A28)="N/A",0,RTD("tos.rtd",,$A$2,"."&amp;L$2&amp;L$1&amp;"C"&amp;$A28))+IF(RTD("tos.rtd",,$A$2,"."&amp;L$2&amp;L$1&amp;"P"&amp;$A28)="N/A",0,RTD("tos.rtd",,$A$2,"."&amp;L$2&amp;L$1&amp;"P"&amp;$A28)),IF(RTD("tos.rtd",,$A$2,"."&amp;L$2&amp;L$1&amp;"C"&amp;$A28)="N/A",0,RTD("tos.rtd",,$A$2,"."&amp;L$2&amp;L$1&amp;"C"&amp;$A28))-IF(RTD("tos.rtd",,$A$2,"."&amp;L$2&amp;L$1&amp;"P"&amp;$A28)="N/A",0,RTD("tos.rtd",,$A$2,"."&amp;L$2&amp;L$1&amp;"P"&amp;$A28))))))))))</f>
        <v>0</v>
      </c>
      <c r="M28" s="12">
        <f ca="1">IF($A$2="PREMIUM_OI",IFERROR(IF($X$1="ABS",(100*RTD("tos.rtd",,"OPEN_INT","."&amp;M$2&amp;M$1&amp;"C"&amp;$A28)*RTD("tos.rtd",,"LAST","."&amp;M$2&amp;M$1&amp;"C"&amp;$A28)+100*RTD("tos.rtd",,"OPEN_INT","."&amp;M$2&amp;M$1&amp;"P"&amp;$A28)*RTD("tos.rtd",,"LAST","."&amp;M$2&amp;M$1&amp;"P"&amp;$A28))/1000000,(100*RTD("tos.rtd",,"OPEN_INT","."&amp;M$2&amp;M$1&amp;"C"&amp;$A28)*RTD("tos.rtd",,"LAST","."&amp;M$2&amp;M$1&amp;"C"&amp;$A28)-100*RTD("tos.rtd",,"OPEN_INT","."&amp;M$2&amp;M$1&amp;"P"&amp;$A28)*RTD("tos.rtd",,"LAST","."&amp;M$2&amp;M$1&amp;"P"&amp;$A28))/1000000),0),IF($A$2="PREMIUM",IFERROR(IF($X$1="ABS",(100*RTD("tos.rtd",,"VOLUME","."&amp;M$2&amp;M$1&amp;"C"&amp;$A28)*RTD("tos.rtd",,"LAST","."&amp;M$2&amp;M$1&amp;"C"&amp;$A28)+100*RTD("tos.rtd",,"VOLUME","."&amp;M$2&amp;M$1&amp;"P"&amp;$A28)*RTD("tos.rtd",,"LAST","."&amp;M$2&amp;M$1&amp;"P"&amp;$A28))/1000000,(100*RTD("tos.rtd",,"VOLUME","."&amp;M$2&amp;M$1&amp;"C"&amp;$A28)*RTD("tos.rtd",,"LAST","."&amp;M$2&amp;M$1&amp;"C"&amp;$A28)-100*RTD("tos.rtd",,"VOLUME","."&amp;M$2&amp;M$1&amp;"P"&amp;$A28)*RTD("tos.rtd",,"LAST","."&amp;M$2&amp;M$1&amp;"P"&amp;$A28))/1000000),0),IF($A$2="DEX",IFERROR(IF($X$1="ABS",(100*RTD("tos.rtd",,"OPEN_INT","."&amp;M$2&amp;M$1&amp;"C"&amp;$A28)*RTD("tos.rtd",,"DELTA","."&amp;M$2&amp;M$1&amp;"C"&amp;$A28)+100*RTD("tos.rtd",,"OPEN_INT","."&amp;M$2&amp;M$1&amp;"P"&amp;$A28)*RTD("tos.rtd",,"DELTA","."&amp;M$2&amp;M$1&amp;"P"&amp;$A28))/1000,(100*RTD("tos.rtd",,"OPEN_INT","."&amp;M$2&amp;M$1&amp;"C"&amp;$A28)*RTD("tos.rtd",,"DELTA","."&amp;M$2&amp;M$1&amp;"C"&amp;$A28)-100*RTD("tos.rtd",,"OPEN_INT","."&amp;M$2&amp;M$1&amp;"P"&amp;$A28)*RTD("tos.rtd",,"DELTA","."&amp;M$2&amp;M$1&amp;"P"&amp;$A28))/1000),0),IF($A$2="VEX",IFERROR(IF($X$1="ABS",($A$4*$A$4*RTD("tos.rtd",,"VOLUME","."&amp;M$2&amp;M$1&amp;"C"&amp;$A28)*RTD("tos.rtd",,"GAMMA","."&amp;M$2&amp;M$1&amp;"C"&amp;$A28)+$A$4*$A$4*RTD("tos.rtd",,"VOLUME","."&amp;M$2&amp;M$1&amp;"P"&amp;$A28)*RTD("tos.rtd",,"GAMMA","."&amp;M$2&amp;M$1&amp;"P"&amp;$A28))/1000000,($A$4*$A$4*RTD("tos.rtd",,"VOLUME","."&amp;M$2&amp;M$1&amp;"C"&amp;$A28)*RTD("tos.rtd",,"GAMMA","."&amp;M$2&amp;M$1&amp;"C"&amp;$A28)-$A$4*$A$4*RTD("tos.rtd",,"VOLUME","."&amp;M$2&amp;M$1&amp;"P"&amp;$A28)*RTD("tos.rtd",,"GAMMA","."&amp;M$2&amp;M$1&amp;"P"&amp;$A28))/1000000),0),IF($A$2="GEX",IFERROR(IF($X$1="ABS",($A$4*$A$4*RTD("tos.rtd",,"OPEN_INT","."&amp;M$2&amp;M$1&amp;"C"&amp;$A28)*RTD("tos.rtd",,"GAMMA","."&amp;M$2&amp;M$1&amp;"C"&amp;$A28)+$A$4*$A$4*RTD("tos.rtd",,"OPEN_INT","."&amp;M$2&amp;M$1&amp;"P"&amp;$A28)*RTD("tos.rtd",,"GAMMA","."&amp;M$2&amp;M$1&amp;"P"&amp;$A28))/1000000,($A$4*$A$4*RTD("tos.rtd",,"OPEN_INT","."&amp;M$2&amp;M$1&amp;"C"&amp;$A28)*RTD("tos.rtd",,"GAMMA","."&amp;M$2&amp;M$1&amp;"C"&amp;$A28)-$A$4*$A$4*RTD("tos.rtd",,"OPEN_INT","."&amp;M$2&amp;M$1&amp;"P"&amp;$A28)*RTD("tos.rtd",,"GAMMA","."&amp;M$2&amp;M$1&amp;"P"&amp;$A28))/1000000),0),IF($A$2="SKEW",IFERROR(VALUE(IF(RTD("tos.rtd",,"IMPL_VOL","."&amp;M$2&amp;M$1&amp;"P"&amp;$A28)="N/A",0,RTD("tos.rtd",,"IMPL_VOL","."&amp;M$2&amp;M$1&amp;"P"&amp;$A28))),0)-IFERROR(VALUE(IF(RTD("tos.rtd",,"IMPL_VOL","."&amp;M$2&amp;M$1&amp;"C"&amp;$A28)="N/A",0,RTD("tos.rtd",,"IMPL_VOL","."&amp;M$2&amp;M$1&amp;"C"&amp;$A28))),0),IF($A$2="MAXPAIN",IF($A$4&gt;$A28,($A$4-$A28)*IF(RTD("tos.rtd",,"OPEN_INT","."&amp;M$2&amp;M$1&amp;"C"&amp;$A28)="N/A",0,RTD("tos.rtd",,"OPEN_INT","."&amp;M$2&amp;M$1&amp;"C"&amp;$A28)),0)+IF($A$4&lt;$A28,($A$5-$A$4)*IF(RTD("tos.rtd",,"OPEN_INT","."&amp;M$2&amp;M$1&amp;"P"&amp;$A28)="N/A",0,RTD("tos.rtd",,"OPEN_INT","."&amp;M$2&amp;M$1&amp;"P"&amp;$A28)),0),IF($X$1="ABS",IF(RTD("tos.rtd",,$A$2,"."&amp;M$2&amp;M$1&amp;"C"&amp;$A28)="N/A",0,RTD("tos.rtd",,$A$2,"."&amp;M$2&amp;M$1&amp;"C"&amp;$A28))+IF(RTD("tos.rtd",,$A$2,"."&amp;M$2&amp;M$1&amp;"P"&amp;$A28)="N/A",0,RTD("tos.rtd",,$A$2,"."&amp;M$2&amp;M$1&amp;"P"&amp;$A28)),IF(RTD("tos.rtd",,$A$2,"."&amp;M$2&amp;M$1&amp;"C"&amp;$A28)="N/A",0,RTD("tos.rtd",,$A$2,"."&amp;M$2&amp;M$1&amp;"C"&amp;$A28))-IF(RTD("tos.rtd",,$A$2,"."&amp;M$2&amp;M$1&amp;"P"&amp;$A28)="N/A",0,RTD("tos.rtd",,$A$2,"."&amp;M$2&amp;M$1&amp;"P"&amp;$A28))))))))))</f>
        <v>0</v>
      </c>
      <c r="N28" s="12">
        <f ca="1">IF($A$2="PREMIUM_OI",IFERROR(IF($X$1="ABS",(100*RTD("tos.rtd",,"OPEN_INT","."&amp;N$2&amp;N$1&amp;"C"&amp;$A28)*RTD("tos.rtd",,"LAST","."&amp;N$2&amp;N$1&amp;"C"&amp;$A28)+100*RTD("tos.rtd",,"OPEN_INT","."&amp;N$2&amp;N$1&amp;"P"&amp;$A28)*RTD("tos.rtd",,"LAST","."&amp;N$2&amp;N$1&amp;"P"&amp;$A28))/1000000,(100*RTD("tos.rtd",,"OPEN_INT","."&amp;N$2&amp;N$1&amp;"C"&amp;$A28)*RTD("tos.rtd",,"LAST","."&amp;N$2&amp;N$1&amp;"C"&amp;$A28)-100*RTD("tos.rtd",,"OPEN_INT","."&amp;N$2&amp;N$1&amp;"P"&amp;$A28)*RTD("tos.rtd",,"LAST","."&amp;N$2&amp;N$1&amp;"P"&amp;$A28))/1000000),0),IF($A$2="PREMIUM",IFERROR(IF($X$1="ABS",(100*RTD("tos.rtd",,"VOLUME","."&amp;N$2&amp;N$1&amp;"C"&amp;$A28)*RTD("tos.rtd",,"LAST","."&amp;N$2&amp;N$1&amp;"C"&amp;$A28)+100*RTD("tos.rtd",,"VOLUME","."&amp;N$2&amp;N$1&amp;"P"&amp;$A28)*RTD("tos.rtd",,"LAST","."&amp;N$2&amp;N$1&amp;"P"&amp;$A28))/1000000,(100*RTD("tos.rtd",,"VOLUME","."&amp;N$2&amp;N$1&amp;"C"&amp;$A28)*RTD("tos.rtd",,"LAST","."&amp;N$2&amp;N$1&amp;"C"&amp;$A28)-100*RTD("tos.rtd",,"VOLUME","."&amp;N$2&amp;N$1&amp;"P"&amp;$A28)*RTD("tos.rtd",,"LAST","."&amp;N$2&amp;N$1&amp;"P"&amp;$A28))/1000000),0),IF($A$2="DEX",IFERROR(IF($X$1="ABS",(100*RTD("tos.rtd",,"OPEN_INT","."&amp;N$2&amp;N$1&amp;"C"&amp;$A28)*RTD("tos.rtd",,"DELTA","."&amp;N$2&amp;N$1&amp;"C"&amp;$A28)+100*RTD("tos.rtd",,"OPEN_INT","."&amp;N$2&amp;N$1&amp;"P"&amp;$A28)*RTD("tos.rtd",,"DELTA","."&amp;N$2&amp;N$1&amp;"P"&amp;$A28))/1000,(100*RTD("tos.rtd",,"OPEN_INT","."&amp;N$2&amp;N$1&amp;"C"&amp;$A28)*RTD("tos.rtd",,"DELTA","."&amp;N$2&amp;N$1&amp;"C"&amp;$A28)-100*RTD("tos.rtd",,"OPEN_INT","."&amp;N$2&amp;N$1&amp;"P"&amp;$A28)*RTD("tos.rtd",,"DELTA","."&amp;N$2&amp;N$1&amp;"P"&amp;$A28))/1000),0),IF($A$2="VEX",IFERROR(IF($X$1="ABS",($A$4*$A$4*RTD("tos.rtd",,"VOLUME","."&amp;N$2&amp;N$1&amp;"C"&amp;$A28)*RTD("tos.rtd",,"GAMMA","."&amp;N$2&amp;N$1&amp;"C"&amp;$A28)+$A$4*$A$4*RTD("tos.rtd",,"VOLUME","."&amp;N$2&amp;N$1&amp;"P"&amp;$A28)*RTD("tos.rtd",,"GAMMA","."&amp;N$2&amp;N$1&amp;"P"&amp;$A28))/1000000,($A$4*$A$4*RTD("tos.rtd",,"VOLUME","."&amp;N$2&amp;N$1&amp;"C"&amp;$A28)*RTD("tos.rtd",,"GAMMA","."&amp;N$2&amp;N$1&amp;"C"&amp;$A28)-$A$4*$A$4*RTD("tos.rtd",,"VOLUME","."&amp;N$2&amp;N$1&amp;"P"&amp;$A28)*RTD("tos.rtd",,"GAMMA","."&amp;N$2&amp;N$1&amp;"P"&amp;$A28))/1000000),0),IF($A$2="GEX",IFERROR(IF($X$1="ABS",($A$4*$A$4*RTD("tos.rtd",,"OPEN_INT","."&amp;N$2&amp;N$1&amp;"C"&amp;$A28)*RTD("tos.rtd",,"GAMMA","."&amp;N$2&amp;N$1&amp;"C"&amp;$A28)+$A$4*$A$4*RTD("tos.rtd",,"OPEN_INT","."&amp;N$2&amp;N$1&amp;"P"&amp;$A28)*RTD("tos.rtd",,"GAMMA","."&amp;N$2&amp;N$1&amp;"P"&amp;$A28))/1000000,($A$4*$A$4*RTD("tos.rtd",,"OPEN_INT","."&amp;N$2&amp;N$1&amp;"C"&amp;$A28)*RTD("tos.rtd",,"GAMMA","."&amp;N$2&amp;N$1&amp;"C"&amp;$A28)-$A$4*$A$4*RTD("tos.rtd",,"OPEN_INT","."&amp;N$2&amp;N$1&amp;"P"&amp;$A28)*RTD("tos.rtd",,"GAMMA","."&amp;N$2&amp;N$1&amp;"P"&amp;$A28))/1000000),0),IF($A$2="SKEW",IFERROR(VALUE(IF(RTD("tos.rtd",,"IMPL_VOL","."&amp;N$2&amp;N$1&amp;"P"&amp;$A28)="N/A",0,RTD("tos.rtd",,"IMPL_VOL","."&amp;N$2&amp;N$1&amp;"P"&amp;$A28))),0)-IFERROR(VALUE(IF(RTD("tos.rtd",,"IMPL_VOL","."&amp;N$2&amp;N$1&amp;"C"&amp;$A28)="N/A",0,RTD("tos.rtd",,"IMPL_VOL","."&amp;N$2&amp;N$1&amp;"C"&amp;$A28))),0),IF($A$2="MAXPAIN",IF($A$4&gt;$A28,($A$4-$A28)*IF(RTD("tos.rtd",,"OPEN_INT","."&amp;N$2&amp;N$1&amp;"C"&amp;$A28)="N/A",0,RTD("tos.rtd",,"OPEN_INT","."&amp;N$2&amp;N$1&amp;"C"&amp;$A28)),0)+IF($A$4&lt;$A28,($A$5-$A$4)*IF(RTD("tos.rtd",,"OPEN_INT","."&amp;N$2&amp;N$1&amp;"P"&amp;$A28)="N/A",0,RTD("tos.rtd",,"OPEN_INT","."&amp;N$2&amp;N$1&amp;"P"&amp;$A28)),0),IF($X$1="ABS",IF(RTD("tos.rtd",,$A$2,"."&amp;N$2&amp;N$1&amp;"C"&amp;$A28)="N/A",0,RTD("tos.rtd",,$A$2,"."&amp;N$2&amp;N$1&amp;"C"&amp;$A28))+IF(RTD("tos.rtd",,$A$2,"."&amp;N$2&amp;N$1&amp;"P"&amp;$A28)="N/A",0,RTD("tos.rtd",,$A$2,"."&amp;N$2&amp;N$1&amp;"P"&amp;$A28)),IF(RTD("tos.rtd",,$A$2,"."&amp;N$2&amp;N$1&amp;"C"&amp;$A28)="N/A",0,RTD("tos.rtd",,$A$2,"."&amp;N$2&amp;N$1&amp;"C"&amp;$A28))-IF(RTD("tos.rtd",,$A$2,"."&amp;N$2&amp;N$1&amp;"P"&amp;$A28)="N/A",0,RTD("tos.rtd",,$A$2,"."&amp;N$2&amp;N$1&amp;"P"&amp;$A28))))))))))</f>
        <v>0</v>
      </c>
      <c r="O28" s="12">
        <f ca="1">IF($A$2="PREMIUM_OI",IFERROR(IF($X$1="ABS",(100*RTD("tos.rtd",,"OPEN_INT","."&amp;O$2&amp;O$1&amp;"C"&amp;$A28)*RTD("tos.rtd",,"LAST","."&amp;O$2&amp;O$1&amp;"C"&amp;$A28)+100*RTD("tos.rtd",,"OPEN_INT","."&amp;O$2&amp;O$1&amp;"P"&amp;$A28)*RTD("tos.rtd",,"LAST","."&amp;O$2&amp;O$1&amp;"P"&amp;$A28))/1000000,(100*RTD("tos.rtd",,"OPEN_INT","."&amp;O$2&amp;O$1&amp;"C"&amp;$A28)*RTD("tos.rtd",,"LAST","."&amp;O$2&amp;O$1&amp;"C"&amp;$A28)-100*RTD("tos.rtd",,"OPEN_INT","."&amp;O$2&amp;O$1&amp;"P"&amp;$A28)*RTD("tos.rtd",,"LAST","."&amp;O$2&amp;O$1&amp;"P"&amp;$A28))/1000000),0),IF($A$2="PREMIUM",IFERROR(IF($X$1="ABS",(100*RTD("tos.rtd",,"VOLUME","."&amp;O$2&amp;O$1&amp;"C"&amp;$A28)*RTD("tos.rtd",,"LAST","."&amp;O$2&amp;O$1&amp;"C"&amp;$A28)+100*RTD("tos.rtd",,"VOLUME","."&amp;O$2&amp;O$1&amp;"P"&amp;$A28)*RTD("tos.rtd",,"LAST","."&amp;O$2&amp;O$1&amp;"P"&amp;$A28))/1000000,(100*RTD("tos.rtd",,"VOLUME","."&amp;O$2&amp;O$1&amp;"C"&amp;$A28)*RTD("tos.rtd",,"LAST","."&amp;O$2&amp;O$1&amp;"C"&amp;$A28)-100*RTD("tos.rtd",,"VOLUME","."&amp;O$2&amp;O$1&amp;"P"&amp;$A28)*RTD("tos.rtd",,"LAST","."&amp;O$2&amp;O$1&amp;"P"&amp;$A28))/1000000),0),IF($A$2="DEX",IFERROR(IF($X$1="ABS",(100*RTD("tos.rtd",,"OPEN_INT","."&amp;O$2&amp;O$1&amp;"C"&amp;$A28)*RTD("tos.rtd",,"DELTA","."&amp;O$2&amp;O$1&amp;"C"&amp;$A28)+100*RTD("tos.rtd",,"OPEN_INT","."&amp;O$2&amp;O$1&amp;"P"&amp;$A28)*RTD("tos.rtd",,"DELTA","."&amp;O$2&amp;O$1&amp;"P"&amp;$A28))/1000,(100*RTD("tos.rtd",,"OPEN_INT","."&amp;O$2&amp;O$1&amp;"C"&amp;$A28)*RTD("tos.rtd",,"DELTA","."&amp;O$2&amp;O$1&amp;"C"&amp;$A28)-100*RTD("tos.rtd",,"OPEN_INT","."&amp;O$2&amp;O$1&amp;"P"&amp;$A28)*RTD("tos.rtd",,"DELTA","."&amp;O$2&amp;O$1&amp;"P"&amp;$A28))/1000),0),IF($A$2="VEX",IFERROR(IF($X$1="ABS",($A$4*$A$4*RTD("tos.rtd",,"VOLUME","."&amp;O$2&amp;O$1&amp;"C"&amp;$A28)*RTD("tos.rtd",,"GAMMA","."&amp;O$2&amp;O$1&amp;"C"&amp;$A28)+$A$4*$A$4*RTD("tos.rtd",,"VOLUME","."&amp;O$2&amp;O$1&amp;"P"&amp;$A28)*RTD("tos.rtd",,"GAMMA","."&amp;O$2&amp;O$1&amp;"P"&amp;$A28))/1000000,($A$4*$A$4*RTD("tos.rtd",,"VOLUME","."&amp;O$2&amp;O$1&amp;"C"&amp;$A28)*RTD("tos.rtd",,"GAMMA","."&amp;O$2&amp;O$1&amp;"C"&amp;$A28)-$A$4*$A$4*RTD("tos.rtd",,"VOLUME","."&amp;O$2&amp;O$1&amp;"P"&amp;$A28)*RTD("tos.rtd",,"GAMMA","."&amp;O$2&amp;O$1&amp;"P"&amp;$A28))/1000000),0),IF($A$2="GEX",IFERROR(IF($X$1="ABS",($A$4*$A$4*RTD("tos.rtd",,"OPEN_INT","."&amp;O$2&amp;O$1&amp;"C"&amp;$A28)*RTD("tos.rtd",,"GAMMA","."&amp;O$2&amp;O$1&amp;"C"&amp;$A28)+$A$4*$A$4*RTD("tos.rtd",,"OPEN_INT","."&amp;O$2&amp;O$1&amp;"P"&amp;$A28)*RTD("tos.rtd",,"GAMMA","."&amp;O$2&amp;O$1&amp;"P"&amp;$A28))/1000000,($A$4*$A$4*RTD("tos.rtd",,"OPEN_INT","."&amp;O$2&amp;O$1&amp;"C"&amp;$A28)*RTD("tos.rtd",,"GAMMA","."&amp;O$2&amp;O$1&amp;"C"&amp;$A28)-$A$4*$A$4*RTD("tos.rtd",,"OPEN_INT","."&amp;O$2&amp;O$1&amp;"P"&amp;$A28)*RTD("tos.rtd",,"GAMMA","."&amp;O$2&amp;O$1&amp;"P"&amp;$A28))/1000000),0),IF($A$2="SKEW",IFERROR(VALUE(IF(RTD("tos.rtd",,"IMPL_VOL","."&amp;O$2&amp;O$1&amp;"P"&amp;$A28)="N/A",0,RTD("tos.rtd",,"IMPL_VOL","."&amp;O$2&amp;O$1&amp;"P"&amp;$A28))),0)-IFERROR(VALUE(IF(RTD("tos.rtd",,"IMPL_VOL","."&amp;O$2&amp;O$1&amp;"C"&amp;$A28)="N/A",0,RTD("tos.rtd",,"IMPL_VOL","."&amp;O$2&amp;O$1&amp;"C"&amp;$A28))),0),IF($A$2="MAXPAIN",IF($A$4&gt;$A28,($A$4-$A28)*IF(RTD("tos.rtd",,"OPEN_INT","."&amp;O$2&amp;O$1&amp;"C"&amp;$A28)="N/A",0,RTD("tos.rtd",,"OPEN_INT","."&amp;O$2&amp;O$1&amp;"C"&amp;$A28)),0)+IF($A$4&lt;$A28,($A$5-$A$4)*IF(RTD("tos.rtd",,"OPEN_INT","."&amp;O$2&amp;O$1&amp;"P"&amp;$A28)="N/A",0,RTD("tos.rtd",,"OPEN_INT","."&amp;O$2&amp;O$1&amp;"P"&amp;$A28)),0),IF($X$1="ABS",IF(RTD("tos.rtd",,$A$2,"."&amp;O$2&amp;O$1&amp;"C"&amp;$A28)="N/A",0,RTD("tos.rtd",,$A$2,"."&amp;O$2&amp;O$1&amp;"C"&amp;$A28))+IF(RTD("tos.rtd",,$A$2,"."&amp;O$2&amp;O$1&amp;"P"&amp;$A28)="N/A",0,RTD("tos.rtd",,$A$2,"."&amp;O$2&amp;O$1&amp;"P"&amp;$A28)),IF(RTD("tos.rtd",,$A$2,"."&amp;O$2&amp;O$1&amp;"C"&amp;$A28)="N/A",0,RTD("tos.rtd",,$A$2,"."&amp;O$2&amp;O$1&amp;"C"&amp;$A28))-IF(RTD("tos.rtd",,$A$2,"."&amp;O$2&amp;O$1&amp;"P"&amp;$A28)="N/A",0,RTD("tos.rtd",,$A$2,"."&amp;O$2&amp;O$1&amp;"P"&amp;$A28))))))))))</f>
        <v>0</v>
      </c>
      <c r="P28" s="12">
        <f ca="1">IF($A$2="PREMIUM_OI",IFERROR(IF($X$1="ABS",(100*RTD("tos.rtd",,"OPEN_INT","."&amp;P$2&amp;P$1&amp;"C"&amp;$A28)*RTD("tos.rtd",,"LAST","."&amp;P$2&amp;P$1&amp;"C"&amp;$A28)+100*RTD("tos.rtd",,"OPEN_INT","."&amp;P$2&amp;P$1&amp;"P"&amp;$A28)*RTD("tos.rtd",,"LAST","."&amp;P$2&amp;P$1&amp;"P"&amp;$A28))/1000000,(100*RTD("tos.rtd",,"OPEN_INT","."&amp;P$2&amp;P$1&amp;"C"&amp;$A28)*RTD("tos.rtd",,"LAST","."&amp;P$2&amp;P$1&amp;"C"&amp;$A28)-100*RTD("tos.rtd",,"OPEN_INT","."&amp;P$2&amp;P$1&amp;"P"&amp;$A28)*RTD("tos.rtd",,"LAST","."&amp;P$2&amp;P$1&amp;"P"&amp;$A28))/1000000),0),IF($A$2="PREMIUM",IFERROR(IF($X$1="ABS",(100*RTD("tos.rtd",,"VOLUME","."&amp;P$2&amp;P$1&amp;"C"&amp;$A28)*RTD("tos.rtd",,"LAST","."&amp;P$2&amp;P$1&amp;"C"&amp;$A28)+100*RTD("tos.rtd",,"VOLUME","."&amp;P$2&amp;P$1&amp;"P"&amp;$A28)*RTD("tos.rtd",,"LAST","."&amp;P$2&amp;P$1&amp;"P"&amp;$A28))/1000000,(100*RTD("tos.rtd",,"VOLUME","."&amp;P$2&amp;P$1&amp;"C"&amp;$A28)*RTD("tos.rtd",,"LAST","."&amp;P$2&amp;P$1&amp;"C"&amp;$A28)-100*RTD("tos.rtd",,"VOLUME","."&amp;P$2&amp;P$1&amp;"P"&amp;$A28)*RTD("tos.rtd",,"LAST","."&amp;P$2&amp;P$1&amp;"P"&amp;$A28))/1000000),0),IF($A$2="DEX",IFERROR(IF($X$1="ABS",(100*RTD("tos.rtd",,"OPEN_INT","."&amp;P$2&amp;P$1&amp;"C"&amp;$A28)*RTD("tos.rtd",,"DELTA","."&amp;P$2&amp;P$1&amp;"C"&amp;$A28)+100*RTD("tos.rtd",,"OPEN_INT","."&amp;P$2&amp;P$1&amp;"P"&amp;$A28)*RTD("tos.rtd",,"DELTA","."&amp;P$2&amp;P$1&amp;"P"&amp;$A28))/1000,(100*RTD("tos.rtd",,"OPEN_INT","."&amp;P$2&amp;P$1&amp;"C"&amp;$A28)*RTD("tos.rtd",,"DELTA","."&amp;P$2&amp;P$1&amp;"C"&amp;$A28)-100*RTD("tos.rtd",,"OPEN_INT","."&amp;P$2&amp;P$1&amp;"P"&amp;$A28)*RTD("tos.rtd",,"DELTA","."&amp;P$2&amp;P$1&amp;"P"&amp;$A28))/1000),0),IF($A$2="VEX",IFERROR(IF($X$1="ABS",($A$4*$A$4*RTD("tos.rtd",,"VOLUME","."&amp;P$2&amp;P$1&amp;"C"&amp;$A28)*RTD("tos.rtd",,"GAMMA","."&amp;P$2&amp;P$1&amp;"C"&amp;$A28)+$A$4*$A$4*RTD("tos.rtd",,"VOLUME","."&amp;P$2&amp;P$1&amp;"P"&amp;$A28)*RTD("tos.rtd",,"GAMMA","."&amp;P$2&amp;P$1&amp;"P"&amp;$A28))/1000000,($A$4*$A$4*RTD("tos.rtd",,"VOLUME","."&amp;P$2&amp;P$1&amp;"C"&amp;$A28)*RTD("tos.rtd",,"GAMMA","."&amp;P$2&amp;P$1&amp;"C"&amp;$A28)-$A$4*$A$4*RTD("tos.rtd",,"VOLUME","."&amp;P$2&amp;P$1&amp;"P"&amp;$A28)*RTD("tos.rtd",,"GAMMA","."&amp;P$2&amp;P$1&amp;"P"&amp;$A28))/1000000),0),IF($A$2="GEX",IFERROR(IF($X$1="ABS",($A$4*$A$4*RTD("tos.rtd",,"OPEN_INT","."&amp;P$2&amp;P$1&amp;"C"&amp;$A28)*RTD("tos.rtd",,"GAMMA","."&amp;P$2&amp;P$1&amp;"C"&amp;$A28)+$A$4*$A$4*RTD("tos.rtd",,"OPEN_INT","."&amp;P$2&amp;P$1&amp;"P"&amp;$A28)*RTD("tos.rtd",,"GAMMA","."&amp;P$2&amp;P$1&amp;"P"&amp;$A28))/1000000,($A$4*$A$4*RTD("tos.rtd",,"OPEN_INT","."&amp;P$2&amp;P$1&amp;"C"&amp;$A28)*RTD("tos.rtd",,"GAMMA","."&amp;P$2&amp;P$1&amp;"C"&amp;$A28)-$A$4*$A$4*RTD("tos.rtd",,"OPEN_INT","."&amp;P$2&amp;P$1&amp;"P"&amp;$A28)*RTD("tos.rtd",,"GAMMA","."&amp;P$2&amp;P$1&amp;"P"&amp;$A28))/1000000),0),IF($A$2="SKEW",IFERROR(VALUE(IF(RTD("tos.rtd",,"IMPL_VOL","."&amp;P$2&amp;P$1&amp;"P"&amp;$A28)="N/A",0,RTD("tos.rtd",,"IMPL_VOL","."&amp;P$2&amp;P$1&amp;"P"&amp;$A28))),0)-IFERROR(VALUE(IF(RTD("tos.rtd",,"IMPL_VOL","."&amp;P$2&amp;P$1&amp;"C"&amp;$A28)="N/A",0,RTD("tos.rtd",,"IMPL_VOL","."&amp;P$2&amp;P$1&amp;"C"&amp;$A28))),0),IF($A$2="MAXPAIN",IF($A$4&gt;$A28,($A$4-$A28)*IF(RTD("tos.rtd",,"OPEN_INT","."&amp;P$2&amp;P$1&amp;"C"&amp;$A28)="N/A",0,RTD("tos.rtd",,"OPEN_INT","."&amp;P$2&amp;P$1&amp;"C"&amp;$A28)),0)+IF($A$4&lt;$A28,($A$5-$A$4)*IF(RTD("tos.rtd",,"OPEN_INT","."&amp;P$2&amp;P$1&amp;"P"&amp;$A28)="N/A",0,RTD("tos.rtd",,"OPEN_INT","."&amp;P$2&amp;P$1&amp;"P"&amp;$A28)),0),IF($X$1="ABS",IF(RTD("tos.rtd",,$A$2,"."&amp;P$2&amp;P$1&amp;"C"&amp;$A28)="N/A",0,RTD("tos.rtd",,$A$2,"."&amp;P$2&amp;P$1&amp;"C"&amp;$A28))+IF(RTD("tos.rtd",,$A$2,"."&amp;P$2&amp;P$1&amp;"P"&amp;$A28)="N/A",0,RTD("tos.rtd",,$A$2,"."&amp;P$2&amp;P$1&amp;"P"&amp;$A28)),IF(RTD("tos.rtd",,$A$2,"."&amp;P$2&amp;P$1&amp;"C"&amp;$A28)="N/A",0,RTD("tos.rtd",,$A$2,"."&amp;P$2&amp;P$1&amp;"C"&amp;$A28))-IF(RTD("tos.rtd",,$A$2,"."&amp;P$2&amp;P$1&amp;"P"&amp;$A28)="N/A",0,RTD("tos.rtd",,$A$2,"."&amp;P$2&amp;P$1&amp;"P"&amp;$A28))))))))))</f>
        <v>0</v>
      </c>
      <c r="Q28" s="12">
        <f ca="1">IF($A$2="PREMIUM_OI",IFERROR(IF($X$1="ABS",(100*RTD("tos.rtd",,"OPEN_INT","."&amp;Q$2&amp;Q$1&amp;"C"&amp;$A28)*RTD("tos.rtd",,"LAST","."&amp;Q$2&amp;Q$1&amp;"C"&amp;$A28)+100*RTD("tos.rtd",,"OPEN_INT","."&amp;Q$2&amp;Q$1&amp;"P"&amp;$A28)*RTD("tos.rtd",,"LAST","."&amp;Q$2&amp;Q$1&amp;"P"&amp;$A28))/1000000,(100*RTD("tos.rtd",,"OPEN_INT","."&amp;Q$2&amp;Q$1&amp;"C"&amp;$A28)*RTD("tos.rtd",,"LAST","."&amp;Q$2&amp;Q$1&amp;"C"&amp;$A28)-100*RTD("tos.rtd",,"OPEN_INT","."&amp;Q$2&amp;Q$1&amp;"P"&amp;$A28)*RTD("tos.rtd",,"LAST","."&amp;Q$2&amp;Q$1&amp;"P"&amp;$A28))/1000000),0),IF($A$2="PREMIUM",IFERROR(IF($X$1="ABS",(100*RTD("tos.rtd",,"VOLUME","."&amp;Q$2&amp;Q$1&amp;"C"&amp;$A28)*RTD("tos.rtd",,"LAST","."&amp;Q$2&amp;Q$1&amp;"C"&amp;$A28)+100*RTD("tos.rtd",,"VOLUME","."&amp;Q$2&amp;Q$1&amp;"P"&amp;$A28)*RTD("tos.rtd",,"LAST","."&amp;Q$2&amp;Q$1&amp;"P"&amp;$A28))/1000000,(100*RTD("tos.rtd",,"VOLUME","."&amp;Q$2&amp;Q$1&amp;"C"&amp;$A28)*RTD("tos.rtd",,"LAST","."&amp;Q$2&amp;Q$1&amp;"C"&amp;$A28)-100*RTD("tos.rtd",,"VOLUME","."&amp;Q$2&amp;Q$1&amp;"P"&amp;$A28)*RTD("tos.rtd",,"LAST","."&amp;Q$2&amp;Q$1&amp;"P"&amp;$A28))/1000000),0),IF($A$2="DEX",IFERROR(IF($X$1="ABS",(100*RTD("tos.rtd",,"OPEN_INT","."&amp;Q$2&amp;Q$1&amp;"C"&amp;$A28)*RTD("tos.rtd",,"DELTA","."&amp;Q$2&amp;Q$1&amp;"C"&amp;$A28)+100*RTD("tos.rtd",,"OPEN_INT","."&amp;Q$2&amp;Q$1&amp;"P"&amp;$A28)*RTD("tos.rtd",,"DELTA","."&amp;Q$2&amp;Q$1&amp;"P"&amp;$A28))/1000,(100*RTD("tos.rtd",,"OPEN_INT","."&amp;Q$2&amp;Q$1&amp;"C"&amp;$A28)*RTD("tos.rtd",,"DELTA","."&amp;Q$2&amp;Q$1&amp;"C"&amp;$A28)-100*RTD("tos.rtd",,"OPEN_INT","."&amp;Q$2&amp;Q$1&amp;"P"&amp;$A28)*RTD("tos.rtd",,"DELTA","."&amp;Q$2&amp;Q$1&amp;"P"&amp;$A28))/1000),0),IF($A$2="VEX",IFERROR(IF($X$1="ABS",($A$4*$A$4*RTD("tos.rtd",,"VOLUME","."&amp;Q$2&amp;Q$1&amp;"C"&amp;$A28)*RTD("tos.rtd",,"GAMMA","."&amp;Q$2&amp;Q$1&amp;"C"&amp;$A28)+$A$4*$A$4*RTD("tos.rtd",,"VOLUME","."&amp;Q$2&amp;Q$1&amp;"P"&amp;$A28)*RTD("tos.rtd",,"GAMMA","."&amp;Q$2&amp;Q$1&amp;"P"&amp;$A28))/1000000,($A$4*$A$4*RTD("tos.rtd",,"VOLUME","."&amp;Q$2&amp;Q$1&amp;"C"&amp;$A28)*RTD("tos.rtd",,"GAMMA","."&amp;Q$2&amp;Q$1&amp;"C"&amp;$A28)-$A$4*$A$4*RTD("tos.rtd",,"VOLUME","."&amp;Q$2&amp;Q$1&amp;"P"&amp;$A28)*RTD("tos.rtd",,"GAMMA","."&amp;Q$2&amp;Q$1&amp;"P"&amp;$A28))/1000000),0),IF($A$2="GEX",IFERROR(IF($X$1="ABS",($A$4*$A$4*RTD("tos.rtd",,"OPEN_INT","."&amp;Q$2&amp;Q$1&amp;"C"&amp;$A28)*RTD("tos.rtd",,"GAMMA","."&amp;Q$2&amp;Q$1&amp;"C"&amp;$A28)+$A$4*$A$4*RTD("tos.rtd",,"OPEN_INT","."&amp;Q$2&amp;Q$1&amp;"P"&amp;$A28)*RTD("tos.rtd",,"GAMMA","."&amp;Q$2&amp;Q$1&amp;"P"&amp;$A28))/1000000,($A$4*$A$4*RTD("tos.rtd",,"OPEN_INT","."&amp;Q$2&amp;Q$1&amp;"C"&amp;$A28)*RTD("tos.rtd",,"GAMMA","."&amp;Q$2&amp;Q$1&amp;"C"&amp;$A28)-$A$4*$A$4*RTD("tos.rtd",,"OPEN_INT","."&amp;Q$2&amp;Q$1&amp;"P"&amp;$A28)*RTD("tos.rtd",,"GAMMA","."&amp;Q$2&amp;Q$1&amp;"P"&amp;$A28))/1000000),0),IF($A$2="SKEW",IFERROR(VALUE(IF(RTD("tos.rtd",,"IMPL_VOL","."&amp;Q$2&amp;Q$1&amp;"P"&amp;$A28)="N/A",0,RTD("tos.rtd",,"IMPL_VOL","."&amp;Q$2&amp;Q$1&amp;"P"&amp;$A28))),0)-IFERROR(VALUE(IF(RTD("tos.rtd",,"IMPL_VOL","."&amp;Q$2&amp;Q$1&amp;"C"&amp;$A28)="N/A",0,RTD("tos.rtd",,"IMPL_VOL","."&amp;Q$2&amp;Q$1&amp;"C"&amp;$A28))),0),IF($A$2="MAXPAIN",IF($A$4&gt;$A28,($A$4-$A28)*IF(RTD("tos.rtd",,"OPEN_INT","."&amp;Q$2&amp;Q$1&amp;"C"&amp;$A28)="N/A",0,RTD("tos.rtd",,"OPEN_INT","."&amp;Q$2&amp;Q$1&amp;"C"&amp;$A28)),0)+IF($A$4&lt;$A28,($A$5-$A$4)*IF(RTD("tos.rtd",,"OPEN_INT","."&amp;Q$2&amp;Q$1&amp;"P"&amp;$A28)="N/A",0,RTD("tos.rtd",,"OPEN_INT","."&amp;Q$2&amp;Q$1&amp;"P"&amp;$A28)),0),IF($X$1="ABS",IF(RTD("tos.rtd",,$A$2,"."&amp;Q$2&amp;Q$1&amp;"C"&amp;$A28)="N/A",0,RTD("tos.rtd",,$A$2,"."&amp;Q$2&amp;Q$1&amp;"C"&amp;$A28))+IF(RTD("tos.rtd",,$A$2,"."&amp;Q$2&amp;Q$1&amp;"P"&amp;$A28)="N/A",0,RTD("tos.rtd",,$A$2,"."&amp;Q$2&amp;Q$1&amp;"P"&amp;$A28)),IF(RTD("tos.rtd",,$A$2,"."&amp;Q$2&amp;Q$1&amp;"C"&amp;$A28)="N/A",0,RTD("tos.rtd",,$A$2,"."&amp;Q$2&amp;Q$1&amp;"C"&amp;$A28))-IF(RTD("tos.rtd",,$A$2,"."&amp;Q$2&amp;Q$1&amp;"P"&amp;$A28)="N/A",0,RTD("tos.rtd",,$A$2,"."&amp;Q$2&amp;Q$1&amp;"P"&amp;$A28))))))))))</f>
        <v>0</v>
      </c>
      <c r="R28" s="12">
        <f ca="1">IF($A$2="PREMIUM_OI",IFERROR(IF($X$1="ABS",(100*RTD("tos.rtd",,"OPEN_INT","."&amp;R$2&amp;R$1&amp;"C"&amp;$A28)*RTD("tos.rtd",,"LAST","."&amp;R$2&amp;R$1&amp;"C"&amp;$A28)+100*RTD("tos.rtd",,"OPEN_INT","."&amp;R$2&amp;R$1&amp;"P"&amp;$A28)*RTD("tos.rtd",,"LAST","."&amp;R$2&amp;R$1&amp;"P"&amp;$A28))/1000000,(100*RTD("tos.rtd",,"OPEN_INT","."&amp;R$2&amp;R$1&amp;"C"&amp;$A28)*RTD("tos.rtd",,"LAST","."&amp;R$2&amp;R$1&amp;"C"&amp;$A28)-100*RTD("tos.rtd",,"OPEN_INT","."&amp;R$2&amp;R$1&amp;"P"&amp;$A28)*RTD("tos.rtd",,"LAST","."&amp;R$2&amp;R$1&amp;"P"&amp;$A28))/1000000),0),IF($A$2="PREMIUM",IFERROR(IF($X$1="ABS",(100*RTD("tos.rtd",,"VOLUME","."&amp;R$2&amp;R$1&amp;"C"&amp;$A28)*RTD("tos.rtd",,"LAST","."&amp;R$2&amp;R$1&amp;"C"&amp;$A28)+100*RTD("tos.rtd",,"VOLUME","."&amp;R$2&amp;R$1&amp;"P"&amp;$A28)*RTD("tos.rtd",,"LAST","."&amp;R$2&amp;R$1&amp;"P"&amp;$A28))/1000000,(100*RTD("tos.rtd",,"VOLUME","."&amp;R$2&amp;R$1&amp;"C"&amp;$A28)*RTD("tos.rtd",,"LAST","."&amp;R$2&amp;R$1&amp;"C"&amp;$A28)-100*RTD("tos.rtd",,"VOLUME","."&amp;R$2&amp;R$1&amp;"P"&amp;$A28)*RTD("tos.rtd",,"LAST","."&amp;R$2&amp;R$1&amp;"P"&amp;$A28))/1000000),0),IF($A$2="DEX",IFERROR(IF($X$1="ABS",(100*RTD("tos.rtd",,"OPEN_INT","."&amp;R$2&amp;R$1&amp;"C"&amp;$A28)*RTD("tos.rtd",,"DELTA","."&amp;R$2&amp;R$1&amp;"C"&amp;$A28)+100*RTD("tos.rtd",,"OPEN_INT","."&amp;R$2&amp;R$1&amp;"P"&amp;$A28)*RTD("tos.rtd",,"DELTA","."&amp;R$2&amp;R$1&amp;"P"&amp;$A28))/1000,(100*RTD("tos.rtd",,"OPEN_INT","."&amp;R$2&amp;R$1&amp;"C"&amp;$A28)*RTD("tos.rtd",,"DELTA","."&amp;R$2&amp;R$1&amp;"C"&amp;$A28)-100*RTD("tos.rtd",,"OPEN_INT","."&amp;R$2&amp;R$1&amp;"P"&amp;$A28)*RTD("tos.rtd",,"DELTA","."&amp;R$2&amp;R$1&amp;"P"&amp;$A28))/1000),0),IF($A$2="VEX",IFERROR(IF($X$1="ABS",($A$4*$A$4*RTD("tos.rtd",,"VOLUME","."&amp;R$2&amp;R$1&amp;"C"&amp;$A28)*RTD("tos.rtd",,"GAMMA","."&amp;R$2&amp;R$1&amp;"C"&amp;$A28)+$A$4*$A$4*RTD("tos.rtd",,"VOLUME","."&amp;R$2&amp;R$1&amp;"P"&amp;$A28)*RTD("tos.rtd",,"GAMMA","."&amp;R$2&amp;R$1&amp;"P"&amp;$A28))/1000000,($A$4*$A$4*RTD("tos.rtd",,"VOLUME","."&amp;R$2&amp;R$1&amp;"C"&amp;$A28)*RTD("tos.rtd",,"GAMMA","."&amp;R$2&amp;R$1&amp;"C"&amp;$A28)-$A$4*$A$4*RTD("tos.rtd",,"VOLUME","."&amp;R$2&amp;R$1&amp;"P"&amp;$A28)*RTD("tos.rtd",,"GAMMA","."&amp;R$2&amp;R$1&amp;"P"&amp;$A28))/1000000),0),IF($A$2="GEX",IFERROR(IF($X$1="ABS",($A$4*$A$4*RTD("tos.rtd",,"OPEN_INT","."&amp;R$2&amp;R$1&amp;"C"&amp;$A28)*RTD("tos.rtd",,"GAMMA","."&amp;R$2&amp;R$1&amp;"C"&amp;$A28)+$A$4*$A$4*RTD("tos.rtd",,"OPEN_INT","."&amp;R$2&amp;R$1&amp;"P"&amp;$A28)*RTD("tos.rtd",,"GAMMA","."&amp;R$2&amp;R$1&amp;"P"&amp;$A28))/1000000,($A$4*$A$4*RTD("tos.rtd",,"OPEN_INT","."&amp;R$2&amp;R$1&amp;"C"&amp;$A28)*RTD("tos.rtd",,"GAMMA","."&amp;R$2&amp;R$1&amp;"C"&amp;$A28)-$A$4*$A$4*RTD("tos.rtd",,"OPEN_INT","."&amp;R$2&amp;R$1&amp;"P"&amp;$A28)*RTD("tos.rtd",,"GAMMA","."&amp;R$2&amp;R$1&amp;"P"&amp;$A28))/1000000),0),IF($A$2="SKEW",IFERROR(VALUE(IF(RTD("tos.rtd",,"IMPL_VOL","."&amp;R$2&amp;R$1&amp;"P"&amp;$A28)="N/A",0,RTD("tos.rtd",,"IMPL_VOL","."&amp;R$2&amp;R$1&amp;"P"&amp;$A28))),0)-IFERROR(VALUE(IF(RTD("tos.rtd",,"IMPL_VOL","."&amp;R$2&amp;R$1&amp;"C"&amp;$A28)="N/A",0,RTD("tos.rtd",,"IMPL_VOL","."&amp;R$2&amp;R$1&amp;"C"&amp;$A28))),0),IF($A$2="MAXPAIN",IF($A$4&gt;$A28,($A$4-$A28)*IF(RTD("tos.rtd",,"OPEN_INT","."&amp;R$2&amp;R$1&amp;"C"&amp;$A28)="N/A",0,RTD("tos.rtd",,"OPEN_INT","."&amp;R$2&amp;R$1&amp;"C"&amp;$A28)),0)+IF($A$4&lt;$A28,($A$5-$A$4)*IF(RTD("tos.rtd",,"OPEN_INT","."&amp;R$2&amp;R$1&amp;"P"&amp;$A28)="N/A",0,RTD("tos.rtd",,"OPEN_INT","."&amp;R$2&amp;R$1&amp;"P"&amp;$A28)),0),IF($X$1="ABS",IF(RTD("tos.rtd",,$A$2,"."&amp;R$2&amp;R$1&amp;"C"&amp;$A28)="N/A",0,RTD("tos.rtd",,$A$2,"."&amp;R$2&amp;R$1&amp;"C"&amp;$A28))+IF(RTD("tos.rtd",,$A$2,"."&amp;R$2&amp;R$1&amp;"P"&amp;$A28)="N/A",0,RTD("tos.rtd",,$A$2,"."&amp;R$2&amp;R$1&amp;"P"&amp;$A28)),IF(RTD("tos.rtd",,$A$2,"."&amp;R$2&amp;R$1&amp;"C"&amp;$A28)="N/A",0,RTD("tos.rtd",,$A$2,"."&amp;R$2&amp;R$1&amp;"C"&amp;$A28))-IF(RTD("tos.rtd",,$A$2,"."&amp;R$2&amp;R$1&amp;"P"&amp;$A28)="N/A",0,RTD("tos.rtd",,$A$2,"."&amp;R$2&amp;R$1&amp;"P"&amp;$A28))))))))))</f>
        <v>0</v>
      </c>
      <c r="S28" s="12">
        <f ca="1">IF($A$2="PREMIUM_OI",IFERROR(IF($X$1="ABS",(100*RTD("tos.rtd",,"OPEN_INT","."&amp;S$2&amp;S$1&amp;"C"&amp;$A28)*RTD("tos.rtd",,"LAST","."&amp;S$2&amp;S$1&amp;"C"&amp;$A28)+100*RTD("tos.rtd",,"OPEN_INT","."&amp;S$2&amp;S$1&amp;"P"&amp;$A28)*RTD("tos.rtd",,"LAST","."&amp;S$2&amp;S$1&amp;"P"&amp;$A28))/1000000,(100*RTD("tos.rtd",,"OPEN_INT","."&amp;S$2&amp;S$1&amp;"C"&amp;$A28)*RTD("tos.rtd",,"LAST","."&amp;S$2&amp;S$1&amp;"C"&amp;$A28)-100*RTD("tos.rtd",,"OPEN_INT","."&amp;S$2&amp;S$1&amp;"P"&amp;$A28)*RTD("tos.rtd",,"LAST","."&amp;S$2&amp;S$1&amp;"P"&amp;$A28))/1000000),0),IF($A$2="PREMIUM",IFERROR(IF($X$1="ABS",(100*RTD("tos.rtd",,"VOLUME","."&amp;S$2&amp;S$1&amp;"C"&amp;$A28)*RTD("tos.rtd",,"LAST","."&amp;S$2&amp;S$1&amp;"C"&amp;$A28)+100*RTD("tos.rtd",,"VOLUME","."&amp;S$2&amp;S$1&amp;"P"&amp;$A28)*RTD("tos.rtd",,"LAST","."&amp;S$2&amp;S$1&amp;"P"&amp;$A28))/1000000,(100*RTD("tos.rtd",,"VOLUME","."&amp;S$2&amp;S$1&amp;"C"&amp;$A28)*RTD("tos.rtd",,"LAST","."&amp;S$2&amp;S$1&amp;"C"&amp;$A28)-100*RTD("tos.rtd",,"VOLUME","."&amp;S$2&amp;S$1&amp;"P"&amp;$A28)*RTD("tos.rtd",,"LAST","."&amp;S$2&amp;S$1&amp;"P"&amp;$A28))/1000000),0),IF($A$2="DEX",IFERROR(IF($X$1="ABS",(100*RTD("tos.rtd",,"OPEN_INT","."&amp;S$2&amp;S$1&amp;"C"&amp;$A28)*RTD("tos.rtd",,"DELTA","."&amp;S$2&amp;S$1&amp;"C"&amp;$A28)+100*RTD("tos.rtd",,"OPEN_INT","."&amp;S$2&amp;S$1&amp;"P"&amp;$A28)*RTD("tos.rtd",,"DELTA","."&amp;S$2&amp;S$1&amp;"P"&amp;$A28))/1000,(100*RTD("tos.rtd",,"OPEN_INT","."&amp;S$2&amp;S$1&amp;"C"&amp;$A28)*RTD("tos.rtd",,"DELTA","."&amp;S$2&amp;S$1&amp;"C"&amp;$A28)-100*RTD("tos.rtd",,"OPEN_INT","."&amp;S$2&amp;S$1&amp;"P"&amp;$A28)*RTD("tos.rtd",,"DELTA","."&amp;S$2&amp;S$1&amp;"P"&amp;$A28))/1000),0),IF($A$2="VEX",IFERROR(IF($X$1="ABS",($A$4*$A$4*RTD("tos.rtd",,"VOLUME","."&amp;S$2&amp;S$1&amp;"C"&amp;$A28)*RTD("tos.rtd",,"GAMMA","."&amp;S$2&amp;S$1&amp;"C"&amp;$A28)+$A$4*$A$4*RTD("tos.rtd",,"VOLUME","."&amp;S$2&amp;S$1&amp;"P"&amp;$A28)*RTD("tos.rtd",,"GAMMA","."&amp;S$2&amp;S$1&amp;"P"&amp;$A28))/1000000,($A$4*$A$4*RTD("tos.rtd",,"VOLUME","."&amp;S$2&amp;S$1&amp;"C"&amp;$A28)*RTD("tos.rtd",,"GAMMA","."&amp;S$2&amp;S$1&amp;"C"&amp;$A28)-$A$4*$A$4*RTD("tos.rtd",,"VOLUME","."&amp;S$2&amp;S$1&amp;"P"&amp;$A28)*RTD("tos.rtd",,"GAMMA","."&amp;S$2&amp;S$1&amp;"P"&amp;$A28))/1000000),0),IF($A$2="GEX",IFERROR(IF($X$1="ABS",($A$4*$A$4*RTD("tos.rtd",,"OPEN_INT","."&amp;S$2&amp;S$1&amp;"C"&amp;$A28)*RTD("tos.rtd",,"GAMMA","."&amp;S$2&amp;S$1&amp;"C"&amp;$A28)+$A$4*$A$4*RTD("tos.rtd",,"OPEN_INT","."&amp;S$2&amp;S$1&amp;"P"&amp;$A28)*RTD("tos.rtd",,"GAMMA","."&amp;S$2&amp;S$1&amp;"P"&amp;$A28))/1000000,($A$4*$A$4*RTD("tos.rtd",,"OPEN_INT","."&amp;S$2&amp;S$1&amp;"C"&amp;$A28)*RTD("tos.rtd",,"GAMMA","."&amp;S$2&amp;S$1&amp;"C"&amp;$A28)-$A$4*$A$4*RTD("tos.rtd",,"OPEN_INT","."&amp;S$2&amp;S$1&amp;"P"&amp;$A28)*RTD("tos.rtd",,"GAMMA","."&amp;S$2&amp;S$1&amp;"P"&amp;$A28))/1000000),0),IF($A$2="SKEW",IFERROR(VALUE(IF(RTD("tos.rtd",,"IMPL_VOL","."&amp;S$2&amp;S$1&amp;"P"&amp;$A28)="N/A",0,RTD("tos.rtd",,"IMPL_VOL","."&amp;S$2&amp;S$1&amp;"P"&amp;$A28))),0)-IFERROR(VALUE(IF(RTD("tos.rtd",,"IMPL_VOL","."&amp;S$2&amp;S$1&amp;"C"&amp;$A28)="N/A",0,RTD("tos.rtd",,"IMPL_VOL","."&amp;S$2&amp;S$1&amp;"C"&amp;$A28))),0),IF($A$2="MAXPAIN",IF($A$4&gt;$A28,($A$4-$A28)*IF(RTD("tos.rtd",,"OPEN_INT","."&amp;S$2&amp;S$1&amp;"C"&amp;$A28)="N/A",0,RTD("tos.rtd",,"OPEN_INT","."&amp;S$2&amp;S$1&amp;"C"&amp;$A28)),0)+IF($A$4&lt;$A28,($A$5-$A$4)*IF(RTD("tos.rtd",,"OPEN_INT","."&amp;S$2&amp;S$1&amp;"P"&amp;$A28)="N/A",0,RTD("tos.rtd",,"OPEN_INT","."&amp;S$2&amp;S$1&amp;"P"&amp;$A28)),0),IF($X$1="ABS",IF(RTD("tos.rtd",,$A$2,"."&amp;S$2&amp;S$1&amp;"C"&amp;$A28)="N/A",0,RTD("tos.rtd",,$A$2,"."&amp;S$2&amp;S$1&amp;"C"&amp;$A28))+IF(RTD("tos.rtd",,$A$2,"."&amp;S$2&amp;S$1&amp;"P"&amp;$A28)="N/A",0,RTD("tos.rtd",,$A$2,"."&amp;S$2&amp;S$1&amp;"P"&amp;$A28)),IF(RTD("tos.rtd",,$A$2,"."&amp;S$2&amp;S$1&amp;"C"&amp;$A28)="N/A",0,RTD("tos.rtd",,$A$2,"."&amp;S$2&amp;S$1&amp;"C"&amp;$A28))-IF(RTD("tos.rtd",,$A$2,"."&amp;S$2&amp;S$1&amp;"P"&amp;$A28)="N/A",0,RTD("tos.rtd",,$A$2,"."&amp;S$2&amp;S$1&amp;"P"&amp;$A28))))))))))</f>
        <v>0</v>
      </c>
      <c r="T28" s="12">
        <f ca="1">IF($A$2="PREMIUM_OI",IFERROR(IF($X$1="ABS",(100*RTD("tos.rtd",,"OPEN_INT","."&amp;T$2&amp;T$1&amp;"C"&amp;$A28)*RTD("tos.rtd",,"LAST","."&amp;T$2&amp;T$1&amp;"C"&amp;$A28)+100*RTD("tos.rtd",,"OPEN_INT","."&amp;T$2&amp;T$1&amp;"P"&amp;$A28)*RTD("tos.rtd",,"LAST","."&amp;T$2&amp;T$1&amp;"P"&amp;$A28))/1000000,(100*RTD("tos.rtd",,"OPEN_INT","."&amp;T$2&amp;T$1&amp;"C"&amp;$A28)*RTD("tos.rtd",,"LAST","."&amp;T$2&amp;T$1&amp;"C"&amp;$A28)-100*RTD("tos.rtd",,"OPEN_INT","."&amp;T$2&amp;T$1&amp;"P"&amp;$A28)*RTD("tos.rtd",,"LAST","."&amp;T$2&amp;T$1&amp;"P"&amp;$A28))/1000000),0),IF($A$2="PREMIUM",IFERROR(IF($X$1="ABS",(100*RTD("tos.rtd",,"VOLUME","."&amp;T$2&amp;T$1&amp;"C"&amp;$A28)*RTD("tos.rtd",,"LAST","."&amp;T$2&amp;T$1&amp;"C"&amp;$A28)+100*RTD("tos.rtd",,"VOLUME","."&amp;T$2&amp;T$1&amp;"P"&amp;$A28)*RTD("tos.rtd",,"LAST","."&amp;T$2&amp;T$1&amp;"P"&amp;$A28))/1000000,(100*RTD("tos.rtd",,"VOLUME","."&amp;T$2&amp;T$1&amp;"C"&amp;$A28)*RTD("tos.rtd",,"LAST","."&amp;T$2&amp;T$1&amp;"C"&amp;$A28)-100*RTD("tos.rtd",,"VOLUME","."&amp;T$2&amp;T$1&amp;"P"&amp;$A28)*RTD("tos.rtd",,"LAST","."&amp;T$2&amp;T$1&amp;"P"&amp;$A28))/1000000),0),IF($A$2="DEX",IFERROR(IF($X$1="ABS",(100*RTD("tos.rtd",,"OPEN_INT","."&amp;T$2&amp;T$1&amp;"C"&amp;$A28)*RTD("tos.rtd",,"DELTA","."&amp;T$2&amp;T$1&amp;"C"&amp;$A28)+100*RTD("tos.rtd",,"OPEN_INT","."&amp;T$2&amp;T$1&amp;"P"&amp;$A28)*RTD("tos.rtd",,"DELTA","."&amp;T$2&amp;T$1&amp;"P"&amp;$A28))/1000,(100*RTD("tos.rtd",,"OPEN_INT","."&amp;T$2&amp;T$1&amp;"C"&amp;$A28)*RTD("tos.rtd",,"DELTA","."&amp;T$2&amp;T$1&amp;"C"&amp;$A28)-100*RTD("tos.rtd",,"OPEN_INT","."&amp;T$2&amp;T$1&amp;"P"&amp;$A28)*RTD("tos.rtd",,"DELTA","."&amp;T$2&amp;T$1&amp;"P"&amp;$A28))/1000),0),IF($A$2="VEX",IFERROR(IF($X$1="ABS",($A$4*$A$4*RTD("tos.rtd",,"VOLUME","."&amp;T$2&amp;T$1&amp;"C"&amp;$A28)*RTD("tos.rtd",,"GAMMA","."&amp;T$2&amp;T$1&amp;"C"&amp;$A28)+$A$4*$A$4*RTD("tos.rtd",,"VOLUME","."&amp;T$2&amp;T$1&amp;"P"&amp;$A28)*RTD("tos.rtd",,"GAMMA","."&amp;T$2&amp;T$1&amp;"P"&amp;$A28))/1000000,($A$4*$A$4*RTD("tos.rtd",,"VOLUME","."&amp;T$2&amp;T$1&amp;"C"&amp;$A28)*RTD("tos.rtd",,"GAMMA","."&amp;T$2&amp;T$1&amp;"C"&amp;$A28)-$A$4*$A$4*RTD("tos.rtd",,"VOLUME","."&amp;T$2&amp;T$1&amp;"P"&amp;$A28)*RTD("tos.rtd",,"GAMMA","."&amp;T$2&amp;T$1&amp;"P"&amp;$A28))/1000000),0),IF($A$2="GEX",IFERROR(IF($X$1="ABS",($A$4*$A$4*RTD("tos.rtd",,"OPEN_INT","."&amp;T$2&amp;T$1&amp;"C"&amp;$A28)*RTD("tos.rtd",,"GAMMA","."&amp;T$2&amp;T$1&amp;"C"&amp;$A28)+$A$4*$A$4*RTD("tos.rtd",,"OPEN_INT","."&amp;T$2&amp;T$1&amp;"P"&amp;$A28)*RTD("tos.rtd",,"GAMMA","."&amp;T$2&amp;T$1&amp;"P"&amp;$A28))/1000000,($A$4*$A$4*RTD("tos.rtd",,"OPEN_INT","."&amp;T$2&amp;T$1&amp;"C"&amp;$A28)*RTD("tos.rtd",,"GAMMA","."&amp;T$2&amp;T$1&amp;"C"&amp;$A28)-$A$4*$A$4*RTD("tos.rtd",,"OPEN_INT","."&amp;T$2&amp;T$1&amp;"P"&amp;$A28)*RTD("tos.rtd",,"GAMMA","."&amp;T$2&amp;T$1&amp;"P"&amp;$A28))/1000000),0),IF($A$2="SKEW",IFERROR(VALUE(IF(RTD("tos.rtd",,"IMPL_VOL","."&amp;T$2&amp;T$1&amp;"P"&amp;$A28)="N/A",0,RTD("tos.rtd",,"IMPL_VOL","."&amp;T$2&amp;T$1&amp;"P"&amp;$A28))),0)-IFERROR(VALUE(IF(RTD("tos.rtd",,"IMPL_VOL","."&amp;T$2&amp;T$1&amp;"C"&amp;$A28)="N/A",0,RTD("tos.rtd",,"IMPL_VOL","."&amp;T$2&amp;T$1&amp;"C"&amp;$A28))),0),IF($A$2="MAXPAIN",IF($A$4&gt;$A28,($A$4-$A28)*IF(RTD("tos.rtd",,"OPEN_INT","."&amp;T$2&amp;T$1&amp;"C"&amp;$A28)="N/A",0,RTD("tos.rtd",,"OPEN_INT","."&amp;T$2&amp;T$1&amp;"C"&amp;$A28)),0)+IF($A$4&lt;$A28,($A$5-$A$4)*IF(RTD("tos.rtd",,"OPEN_INT","."&amp;T$2&amp;T$1&amp;"P"&amp;$A28)="N/A",0,RTD("tos.rtd",,"OPEN_INT","."&amp;T$2&amp;T$1&amp;"P"&amp;$A28)),0),IF($X$1="ABS",IF(RTD("tos.rtd",,$A$2,"."&amp;T$2&amp;T$1&amp;"C"&amp;$A28)="N/A",0,RTD("tos.rtd",,$A$2,"."&amp;T$2&amp;T$1&amp;"C"&amp;$A28))+IF(RTD("tos.rtd",,$A$2,"."&amp;T$2&amp;T$1&amp;"P"&amp;$A28)="N/A",0,RTD("tos.rtd",,$A$2,"."&amp;T$2&amp;T$1&amp;"P"&amp;$A28)),IF(RTD("tos.rtd",,$A$2,"."&amp;T$2&amp;T$1&amp;"C"&amp;$A28)="N/A",0,RTD("tos.rtd",,$A$2,"."&amp;T$2&amp;T$1&amp;"C"&amp;$A28))-IF(RTD("tos.rtd",,$A$2,"."&amp;T$2&amp;T$1&amp;"P"&amp;$A28)="N/A",0,RTD("tos.rtd",,$A$2,"."&amp;T$2&amp;T$1&amp;"P"&amp;$A28))))))))))</f>
        <v>0</v>
      </c>
      <c r="U28" s="12">
        <f ca="1">IF($A$2="PREMIUM_OI",IFERROR(IF($X$1="ABS",(100*RTD("tos.rtd",,"OPEN_INT","."&amp;U$2&amp;U$1&amp;"C"&amp;$A28)*RTD("tos.rtd",,"LAST","."&amp;U$2&amp;U$1&amp;"C"&amp;$A28)+100*RTD("tos.rtd",,"OPEN_INT","."&amp;U$2&amp;U$1&amp;"P"&amp;$A28)*RTD("tos.rtd",,"LAST","."&amp;U$2&amp;U$1&amp;"P"&amp;$A28))/1000000,(100*RTD("tos.rtd",,"OPEN_INT","."&amp;U$2&amp;U$1&amp;"C"&amp;$A28)*RTD("tos.rtd",,"LAST","."&amp;U$2&amp;U$1&amp;"C"&amp;$A28)-100*RTD("tos.rtd",,"OPEN_INT","."&amp;U$2&amp;U$1&amp;"P"&amp;$A28)*RTD("tos.rtd",,"LAST","."&amp;U$2&amp;U$1&amp;"P"&amp;$A28))/1000000),0),IF($A$2="PREMIUM",IFERROR(IF($X$1="ABS",(100*RTD("tos.rtd",,"VOLUME","."&amp;U$2&amp;U$1&amp;"C"&amp;$A28)*RTD("tos.rtd",,"LAST","."&amp;U$2&amp;U$1&amp;"C"&amp;$A28)+100*RTD("tos.rtd",,"VOLUME","."&amp;U$2&amp;U$1&amp;"P"&amp;$A28)*RTD("tos.rtd",,"LAST","."&amp;U$2&amp;U$1&amp;"P"&amp;$A28))/1000000,(100*RTD("tos.rtd",,"VOLUME","."&amp;U$2&amp;U$1&amp;"C"&amp;$A28)*RTD("tos.rtd",,"LAST","."&amp;U$2&amp;U$1&amp;"C"&amp;$A28)-100*RTD("tos.rtd",,"VOLUME","."&amp;U$2&amp;U$1&amp;"P"&amp;$A28)*RTD("tos.rtd",,"LAST","."&amp;U$2&amp;U$1&amp;"P"&amp;$A28))/1000000),0),IF($A$2="DEX",IFERROR(IF($X$1="ABS",(100*RTD("tos.rtd",,"OPEN_INT","."&amp;U$2&amp;U$1&amp;"C"&amp;$A28)*RTD("tos.rtd",,"DELTA","."&amp;U$2&amp;U$1&amp;"C"&amp;$A28)+100*RTD("tos.rtd",,"OPEN_INT","."&amp;U$2&amp;U$1&amp;"P"&amp;$A28)*RTD("tos.rtd",,"DELTA","."&amp;U$2&amp;U$1&amp;"P"&amp;$A28))/1000,(100*RTD("tos.rtd",,"OPEN_INT","."&amp;U$2&amp;U$1&amp;"C"&amp;$A28)*RTD("tos.rtd",,"DELTA","."&amp;U$2&amp;U$1&amp;"C"&amp;$A28)-100*RTD("tos.rtd",,"OPEN_INT","."&amp;U$2&amp;U$1&amp;"P"&amp;$A28)*RTD("tos.rtd",,"DELTA","."&amp;U$2&amp;U$1&amp;"P"&amp;$A28))/1000),0),IF($A$2="VEX",IFERROR(IF($X$1="ABS",($A$4*$A$4*RTD("tos.rtd",,"VOLUME","."&amp;U$2&amp;U$1&amp;"C"&amp;$A28)*RTD("tos.rtd",,"GAMMA","."&amp;U$2&amp;U$1&amp;"C"&amp;$A28)+$A$4*$A$4*RTD("tos.rtd",,"VOLUME","."&amp;U$2&amp;U$1&amp;"P"&amp;$A28)*RTD("tos.rtd",,"GAMMA","."&amp;U$2&amp;U$1&amp;"P"&amp;$A28))/1000000,($A$4*$A$4*RTD("tos.rtd",,"VOLUME","."&amp;U$2&amp;U$1&amp;"C"&amp;$A28)*RTD("tos.rtd",,"GAMMA","."&amp;U$2&amp;U$1&amp;"C"&amp;$A28)-$A$4*$A$4*RTD("tos.rtd",,"VOLUME","."&amp;U$2&amp;U$1&amp;"P"&amp;$A28)*RTD("tos.rtd",,"GAMMA","."&amp;U$2&amp;U$1&amp;"P"&amp;$A28))/1000000),0),IF($A$2="GEX",IFERROR(IF($X$1="ABS",($A$4*$A$4*RTD("tos.rtd",,"OPEN_INT","."&amp;U$2&amp;U$1&amp;"C"&amp;$A28)*RTD("tos.rtd",,"GAMMA","."&amp;U$2&amp;U$1&amp;"C"&amp;$A28)+$A$4*$A$4*RTD("tos.rtd",,"OPEN_INT","."&amp;U$2&amp;U$1&amp;"P"&amp;$A28)*RTD("tos.rtd",,"GAMMA","."&amp;U$2&amp;U$1&amp;"P"&amp;$A28))/1000000,($A$4*$A$4*RTD("tos.rtd",,"OPEN_INT","."&amp;U$2&amp;U$1&amp;"C"&amp;$A28)*RTD("tos.rtd",,"GAMMA","."&amp;U$2&amp;U$1&amp;"C"&amp;$A28)-$A$4*$A$4*RTD("tos.rtd",,"OPEN_INT","."&amp;U$2&amp;U$1&amp;"P"&amp;$A28)*RTD("tos.rtd",,"GAMMA","."&amp;U$2&amp;U$1&amp;"P"&amp;$A28))/1000000),0),IF($A$2="SKEW",IFERROR(VALUE(IF(RTD("tos.rtd",,"IMPL_VOL","."&amp;U$2&amp;U$1&amp;"P"&amp;$A28)="N/A",0,RTD("tos.rtd",,"IMPL_VOL","."&amp;U$2&amp;U$1&amp;"P"&amp;$A28))),0)-IFERROR(VALUE(IF(RTD("tos.rtd",,"IMPL_VOL","."&amp;U$2&amp;U$1&amp;"C"&amp;$A28)="N/A",0,RTD("tos.rtd",,"IMPL_VOL","."&amp;U$2&amp;U$1&amp;"C"&amp;$A28))),0),IF($A$2="MAXPAIN",IF($A$4&gt;$A28,($A$4-$A28)*IF(RTD("tos.rtd",,"OPEN_INT","."&amp;U$2&amp;U$1&amp;"C"&amp;$A28)="N/A",0,RTD("tos.rtd",,"OPEN_INT","."&amp;U$2&amp;U$1&amp;"C"&amp;$A28)),0)+IF($A$4&lt;$A28,($A$5-$A$4)*IF(RTD("tos.rtd",,"OPEN_INT","."&amp;U$2&amp;U$1&amp;"P"&amp;$A28)="N/A",0,RTD("tos.rtd",,"OPEN_INT","."&amp;U$2&amp;U$1&amp;"P"&amp;$A28)),0),IF($X$1="ABS",IF(RTD("tos.rtd",,$A$2,"."&amp;U$2&amp;U$1&amp;"C"&amp;$A28)="N/A",0,RTD("tos.rtd",,$A$2,"."&amp;U$2&amp;U$1&amp;"C"&amp;$A28))+IF(RTD("tos.rtd",,$A$2,"."&amp;U$2&amp;U$1&amp;"P"&amp;$A28)="N/A",0,RTD("tos.rtd",,$A$2,"."&amp;U$2&amp;U$1&amp;"P"&amp;$A28)),IF(RTD("tos.rtd",,$A$2,"."&amp;U$2&amp;U$1&amp;"C"&amp;$A28)="N/A",0,RTD("tos.rtd",,$A$2,"."&amp;U$2&amp;U$1&amp;"C"&amp;$A28))-IF(RTD("tos.rtd",,$A$2,"."&amp;U$2&amp;U$1&amp;"P"&amp;$A28)="N/A",0,RTD("tos.rtd",,$A$2,"."&amp;U$2&amp;U$1&amp;"P"&amp;$A28))))))))))</f>
        <v>0</v>
      </c>
      <c r="V28" s="12">
        <f ca="1">IF($A$2="PREMIUM_OI",IFERROR(IF($X$1="ABS",(100*RTD("tos.rtd",,"OPEN_INT","."&amp;V$2&amp;V$1&amp;"C"&amp;$A28)*RTD("tos.rtd",,"LAST","."&amp;V$2&amp;V$1&amp;"C"&amp;$A28)+100*RTD("tos.rtd",,"OPEN_INT","."&amp;V$2&amp;V$1&amp;"P"&amp;$A28)*RTD("tos.rtd",,"LAST","."&amp;V$2&amp;V$1&amp;"P"&amp;$A28))/1000000,(100*RTD("tos.rtd",,"OPEN_INT","."&amp;V$2&amp;V$1&amp;"C"&amp;$A28)*RTD("tos.rtd",,"LAST","."&amp;V$2&amp;V$1&amp;"C"&amp;$A28)-100*RTD("tos.rtd",,"OPEN_INT","."&amp;V$2&amp;V$1&amp;"P"&amp;$A28)*RTD("tos.rtd",,"LAST","."&amp;V$2&amp;V$1&amp;"P"&amp;$A28))/1000000),0),IF($A$2="PREMIUM",IFERROR(IF($X$1="ABS",(100*RTD("tos.rtd",,"VOLUME","."&amp;V$2&amp;V$1&amp;"C"&amp;$A28)*RTD("tos.rtd",,"LAST","."&amp;V$2&amp;V$1&amp;"C"&amp;$A28)+100*RTD("tos.rtd",,"VOLUME","."&amp;V$2&amp;V$1&amp;"P"&amp;$A28)*RTD("tos.rtd",,"LAST","."&amp;V$2&amp;V$1&amp;"P"&amp;$A28))/1000000,(100*RTD("tos.rtd",,"VOLUME","."&amp;V$2&amp;V$1&amp;"C"&amp;$A28)*RTD("tos.rtd",,"LAST","."&amp;V$2&amp;V$1&amp;"C"&amp;$A28)-100*RTD("tos.rtd",,"VOLUME","."&amp;V$2&amp;V$1&amp;"P"&amp;$A28)*RTD("tos.rtd",,"LAST","."&amp;V$2&amp;V$1&amp;"P"&amp;$A28))/1000000),0),IF($A$2="DEX",IFERROR(IF($X$1="ABS",(100*RTD("tos.rtd",,"OPEN_INT","."&amp;V$2&amp;V$1&amp;"C"&amp;$A28)*RTD("tos.rtd",,"DELTA","."&amp;V$2&amp;V$1&amp;"C"&amp;$A28)+100*RTD("tos.rtd",,"OPEN_INT","."&amp;V$2&amp;V$1&amp;"P"&amp;$A28)*RTD("tos.rtd",,"DELTA","."&amp;V$2&amp;V$1&amp;"P"&amp;$A28))/1000,(100*RTD("tos.rtd",,"OPEN_INT","."&amp;V$2&amp;V$1&amp;"C"&amp;$A28)*RTD("tos.rtd",,"DELTA","."&amp;V$2&amp;V$1&amp;"C"&amp;$A28)-100*RTD("tos.rtd",,"OPEN_INT","."&amp;V$2&amp;V$1&amp;"P"&amp;$A28)*RTD("tos.rtd",,"DELTA","."&amp;V$2&amp;V$1&amp;"P"&amp;$A28))/1000),0),IF($A$2="VEX",IFERROR(IF($X$1="ABS",($A$4*$A$4*RTD("tos.rtd",,"VOLUME","."&amp;V$2&amp;V$1&amp;"C"&amp;$A28)*RTD("tos.rtd",,"GAMMA","."&amp;V$2&amp;V$1&amp;"C"&amp;$A28)+$A$4*$A$4*RTD("tos.rtd",,"VOLUME","."&amp;V$2&amp;V$1&amp;"P"&amp;$A28)*RTD("tos.rtd",,"GAMMA","."&amp;V$2&amp;V$1&amp;"P"&amp;$A28))/1000000,($A$4*$A$4*RTD("tos.rtd",,"VOLUME","."&amp;V$2&amp;V$1&amp;"C"&amp;$A28)*RTD("tos.rtd",,"GAMMA","."&amp;V$2&amp;V$1&amp;"C"&amp;$A28)-$A$4*$A$4*RTD("tos.rtd",,"VOLUME","."&amp;V$2&amp;V$1&amp;"P"&amp;$A28)*RTD("tos.rtd",,"GAMMA","."&amp;V$2&amp;V$1&amp;"P"&amp;$A28))/1000000),0),IF($A$2="GEX",IFERROR(IF($X$1="ABS",($A$4*$A$4*RTD("tos.rtd",,"OPEN_INT","."&amp;V$2&amp;V$1&amp;"C"&amp;$A28)*RTD("tos.rtd",,"GAMMA","."&amp;V$2&amp;V$1&amp;"C"&amp;$A28)+$A$4*$A$4*RTD("tos.rtd",,"OPEN_INT","."&amp;V$2&amp;V$1&amp;"P"&amp;$A28)*RTD("tos.rtd",,"GAMMA","."&amp;V$2&amp;V$1&amp;"P"&amp;$A28))/1000000,($A$4*$A$4*RTD("tos.rtd",,"OPEN_INT","."&amp;V$2&amp;V$1&amp;"C"&amp;$A28)*RTD("tos.rtd",,"GAMMA","."&amp;V$2&amp;V$1&amp;"C"&amp;$A28)-$A$4*$A$4*RTD("tos.rtd",,"OPEN_INT","."&amp;V$2&amp;V$1&amp;"P"&amp;$A28)*RTD("tos.rtd",,"GAMMA","."&amp;V$2&amp;V$1&amp;"P"&amp;$A28))/1000000),0),IF($A$2="SKEW",IFERROR(VALUE(IF(RTD("tos.rtd",,"IMPL_VOL","."&amp;V$2&amp;V$1&amp;"P"&amp;$A28)="N/A",0,RTD("tos.rtd",,"IMPL_VOL","."&amp;V$2&amp;V$1&amp;"P"&amp;$A28))),0)-IFERROR(VALUE(IF(RTD("tos.rtd",,"IMPL_VOL","."&amp;V$2&amp;V$1&amp;"C"&amp;$A28)="N/A",0,RTD("tos.rtd",,"IMPL_VOL","."&amp;V$2&amp;V$1&amp;"C"&amp;$A28))),0),IF($A$2="MAXPAIN",IF($A$4&gt;$A28,($A$4-$A28)*IF(RTD("tos.rtd",,"OPEN_INT","."&amp;V$2&amp;V$1&amp;"C"&amp;$A28)="N/A",0,RTD("tos.rtd",,"OPEN_INT","."&amp;V$2&amp;V$1&amp;"C"&amp;$A28)),0)+IF($A$4&lt;$A28,($A$5-$A$4)*IF(RTD("tos.rtd",,"OPEN_INT","."&amp;V$2&amp;V$1&amp;"P"&amp;$A28)="N/A",0,RTD("tos.rtd",,"OPEN_INT","."&amp;V$2&amp;V$1&amp;"P"&amp;$A28)),0),IF($X$1="ABS",IF(RTD("tos.rtd",,$A$2,"."&amp;V$2&amp;V$1&amp;"C"&amp;$A28)="N/A",0,RTD("tos.rtd",,$A$2,"."&amp;V$2&amp;V$1&amp;"C"&amp;$A28))+IF(RTD("tos.rtd",,$A$2,"."&amp;V$2&amp;V$1&amp;"P"&amp;$A28)="N/A",0,RTD("tos.rtd",,$A$2,"."&amp;V$2&amp;V$1&amp;"P"&amp;$A28)),IF(RTD("tos.rtd",,$A$2,"."&amp;V$2&amp;V$1&amp;"C"&amp;$A28)="N/A",0,RTD("tos.rtd",,$A$2,"."&amp;V$2&amp;V$1&amp;"C"&amp;$A28))-IF(RTD("tos.rtd",,$A$2,"."&amp;V$2&amp;V$1&amp;"P"&amp;$A28)="N/A",0,RTD("tos.rtd",,$A$2,"."&amp;V$2&amp;V$1&amp;"P"&amp;$A28))))))))))</f>
        <v>0</v>
      </c>
      <c r="W28" s="54">
        <f ca="1">IF($A$2="PREMIUM_OI",IFERROR(IF($X$1="ABS",(100*RTD("tos.rtd",,"OPEN_INT","."&amp;W$2&amp;W$1&amp;"C"&amp;$A28)*RTD("tos.rtd",,"LAST","."&amp;W$2&amp;W$1&amp;"C"&amp;$A28)+100*RTD("tos.rtd",,"OPEN_INT","."&amp;W$2&amp;W$1&amp;"P"&amp;$A28)*RTD("tos.rtd",,"LAST","."&amp;W$2&amp;W$1&amp;"P"&amp;$A28))/1000000,(100*RTD("tos.rtd",,"OPEN_INT","."&amp;W$2&amp;W$1&amp;"C"&amp;$A28)*RTD("tos.rtd",,"LAST","."&amp;W$2&amp;W$1&amp;"C"&amp;$A28)-100*RTD("tos.rtd",,"OPEN_INT","."&amp;W$2&amp;W$1&amp;"P"&amp;$A28)*RTD("tos.rtd",,"LAST","."&amp;W$2&amp;W$1&amp;"P"&amp;$A28))/1000000),0),IF($A$2="PREMIUM",IFERROR(IF($X$1="ABS",(100*RTD("tos.rtd",,"VOLUME","."&amp;W$2&amp;W$1&amp;"C"&amp;$A28)*RTD("tos.rtd",,"LAST","."&amp;W$2&amp;W$1&amp;"C"&amp;$A28)+100*RTD("tos.rtd",,"VOLUME","."&amp;W$2&amp;W$1&amp;"P"&amp;$A28)*RTD("tos.rtd",,"LAST","."&amp;W$2&amp;W$1&amp;"P"&amp;$A28))/1000000,(100*RTD("tos.rtd",,"VOLUME","."&amp;W$2&amp;W$1&amp;"C"&amp;$A28)*RTD("tos.rtd",,"LAST","."&amp;W$2&amp;W$1&amp;"C"&amp;$A28)-100*RTD("tos.rtd",,"VOLUME","."&amp;W$2&amp;W$1&amp;"P"&amp;$A28)*RTD("tos.rtd",,"LAST","."&amp;W$2&amp;W$1&amp;"P"&amp;$A28))/1000000),0),IF($A$2="DEX",IFERROR(IF($X$1="ABS",(100*RTD("tos.rtd",,"OPEN_INT","."&amp;W$2&amp;W$1&amp;"C"&amp;$A28)*RTD("tos.rtd",,"DELTA","."&amp;W$2&amp;W$1&amp;"C"&amp;$A28)+100*RTD("tos.rtd",,"OPEN_INT","."&amp;W$2&amp;W$1&amp;"P"&amp;$A28)*RTD("tos.rtd",,"DELTA","."&amp;W$2&amp;W$1&amp;"P"&amp;$A28))/1000,(100*RTD("tos.rtd",,"OPEN_INT","."&amp;W$2&amp;W$1&amp;"C"&amp;$A28)*RTD("tos.rtd",,"DELTA","."&amp;W$2&amp;W$1&amp;"C"&amp;$A28)-100*RTD("tos.rtd",,"OPEN_INT","."&amp;W$2&amp;W$1&amp;"P"&amp;$A28)*RTD("tos.rtd",,"DELTA","."&amp;W$2&amp;W$1&amp;"P"&amp;$A28))/1000),0),IF($A$2="VEX",IFERROR(IF($X$1="ABS",($A$4*$A$4*RTD("tos.rtd",,"VOLUME","."&amp;W$2&amp;W$1&amp;"C"&amp;$A28)*RTD("tos.rtd",,"GAMMA","."&amp;W$2&amp;W$1&amp;"C"&amp;$A28)+$A$4*$A$4*RTD("tos.rtd",,"VOLUME","."&amp;W$2&amp;W$1&amp;"P"&amp;$A28)*RTD("tos.rtd",,"GAMMA","."&amp;W$2&amp;W$1&amp;"P"&amp;$A28))/1000000,($A$4*$A$4*RTD("tos.rtd",,"VOLUME","."&amp;W$2&amp;W$1&amp;"C"&amp;$A28)*RTD("tos.rtd",,"GAMMA","."&amp;W$2&amp;W$1&amp;"C"&amp;$A28)-$A$4*$A$4*RTD("tos.rtd",,"VOLUME","."&amp;W$2&amp;W$1&amp;"P"&amp;$A28)*RTD("tos.rtd",,"GAMMA","."&amp;W$2&amp;W$1&amp;"P"&amp;$A28))/1000000),0),IF($A$2="GEX",IFERROR(IF($X$1="ABS",($A$4*$A$4*RTD("tos.rtd",,"OPEN_INT","."&amp;W$2&amp;W$1&amp;"C"&amp;$A28)*RTD("tos.rtd",,"GAMMA","."&amp;W$2&amp;W$1&amp;"C"&amp;$A28)+$A$4*$A$4*RTD("tos.rtd",,"OPEN_INT","."&amp;W$2&amp;W$1&amp;"P"&amp;$A28)*RTD("tos.rtd",,"GAMMA","."&amp;W$2&amp;W$1&amp;"P"&amp;$A28))/1000000,($A$4*$A$4*RTD("tos.rtd",,"OPEN_INT","."&amp;W$2&amp;W$1&amp;"C"&amp;$A28)*RTD("tos.rtd",,"GAMMA","."&amp;W$2&amp;W$1&amp;"C"&amp;$A28)-$A$4*$A$4*RTD("tos.rtd",,"OPEN_INT","."&amp;W$2&amp;W$1&amp;"P"&amp;$A28)*RTD("tos.rtd",,"GAMMA","."&amp;W$2&amp;W$1&amp;"P"&amp;$A28))/1000000),0),IF($A$2="SKEW",IFERROR(VALUE(IF(RTD("tos.rtd",,"IMPL_VOL","."&amp;W$2&amp;W$1&amp;"P"&amp;$A28)="N/A",0,RTD("tos.rtd",,"IMPL_VOL","."&amp;W$2&amp;W$1&amp;"P"&amp;$A28))),0)-IFERROR(VALUE(IF(RTD("tos.rtd",,"IMPL_VOL","."&amp;W$2&amp;W$1&amp;"C"&amp;$A28)="N/A",0,RTD("tos.rtd",,"IMPL_VOL","."&amp;W$2&amp;W$1&amp;"C"&amp;$A28))),0),IF($A$2="MAXPAIN",IF($A$4&gt;$A28,($A$4-$A28)*IF(RTD("tos.rtd",,"OPEN_INT","."&amp;W$2&amp;W$1&amp;"C"&amp;$A28)="N/A",0,RTD("tos.rtd",,"OPEN_INT","."&amp;W$2&amp;W$1&amp;"C"&amp;$A28)),0)+IF($A$4&lt;$A28,($A$5-$A$4)*IF(RTD("tos.rtd",,"OPEN_INT","."&amp;W$2&amp;W$1&amp;"P"&amp;$A28)="N/A",0,RTD("tos.rtd",,"OPEN_INT","."&amp;W$2&amp;W$1&amp;"P"&amp;$A28)),0),IF($X$1="ABS",IF(RTD("tos.rtd",,$A$2,"."&amp;W$2&amp;W$1&amp;"C"&amp;$A28)="N/A",0,RTD("tos.rtd",,$A$2,"."&amp;W$2&amp;W$1&amp;"C"&amp;$A28))+IF(RTD("tos.rtd",,$A$2,"."&amp;W$2&amp;W$1&amp;"P"&amp;$A28)="N/A",0,RTD("tos.rtd",,$A$2,"."&amp;W$2&amp;W$1&amp;"P"&amp;$A28)),IF(RTD("tos.rtd",,$A$2,"."&amp;W$2&amp;W$1&amp;"C"&amp;$A28)="N/A",0,RTD("tos.rtd",,$A$2,"."&amp;W$2&amp;W$1&amp;"C"&amp;$A28))-IF(RTD("tos.rtd",,$A$2,"."&amp;W$2&amp;W$1&amp;"P"&amp;$A28)="N/A",0,RTD("tos.rtd",,$A$2,"."&amp;W$2&amp;W$1&amp;"P"&amp;$A28))))))))))</f>
        <v>0</v>
      </c>
      <c r="X28" s="57">
        <f t="shared" ca="1" si="8"/>
        <v>0</v>
      </c>
      <c r="Y28" s="27">
        <f t="shared" ca="1" si="9"/>
        <v>0</v>
      </c>
      <c r="Z28" s="27">
        <f ca="1">+'OI-VOL'!Y28</f>
        <v>199625</v>
      </c>
      <c r="AA28" s="27" t="b">
        <f t="shared" ca="1" si="10"/>
        <v>0</v>
      </c>
      <c r="AB28" s="27">
        <f t="shared" si="11"/>
        <v>32871100</v>
      </c>
      <c r="AC28" s="18">
        <f>MAX(0, $A28-AC$4)*IF(RTD("tos.rtd",,"OPEN_INT","."&amp;$AB$3&amp;$AB$4&amp;"C"&amp;AC$4)="N/A",0,RTD("tos.rtd",,"OPEN_INT","."&amp;$AB$3&amp;$AB$4&amp;"C"&amp;AC$4))*100 + MAX(0, AC$4-$A28)*IF(RTD("tos.rtd",,"OPEN_INT","."&amp;$AB$3&amp;$AB$4&amp;"P"&amp;AC$4)="N/A",0,RTD("tos.rtd",,"OPEN_INT","."&amp;$AB$3&amp;$AB$4&amp;"P"&amp;AC$4))*100</f>
        <v>0</v>
      </c>
      <c r="AD28" s="18">
        <f>MAX(0, $A28-AD$4)*IF(RTD("tos.rtd",,"OPEN_INT","."&amp;$AB$3&amp;$AB$4&amp;"C"&amp;AD$4)="N/A",0,RTD("tos.rtd",,"OPEN_INT","."&amp;$AB$3&amp;$AB$4&amp;"C"&amp;AD$4))*100 + MAX(0, AD$4-$A28)*IF(RTD("tos.rtd",,"OPEN_INT","."&amp;$AB$3&amp;$AB$4&amp;"P"&amp;AD$4)="N/A",0,RTD("tos.rtd",,"OPEN_INT","."&amp;$AB$3&amp;$AB$4&amp;"P"&amp;AD$4))*100</f>
        <v>0</v>
      </c>
      <c r="AE28" s="18">
        <f>MAX(0, $A28-AE$4)*IF(RTD("tos.rtd",,"OPEN_INT","."&amp;$AB$3&amp;$AB$4&amp;"C"&amp;AE$4)="N/A",0,RTD("tos.rtd",,"OPEN_INT","."&amp;$AB$3&amp;$AB$4&amp;"C"&amp;AE$4))*100 + MAX(0, AE$4-$A28)*IF(RTD("tos.rtd",,"OPEN_INT","."&amp;$AB$3&amp;$AB$4&amp;"P"&amp;AE$4)="N/A",0,RTD("tos.rtd",,"OPEN_INT","."&amp;$AB$3&amp;$AB$4&amp;"P"&amp;AE$4))*100</f>
        <v>0</v>
      </c>
      <c r="AF28" s="18">
        <f>MAX(0, $A28-AF$4)*IF(RTD("tos.rtd",,"OPEN_INT","."&amp;$AB$3&amp;$AB$4&amp;"C"&amp;AF$4)="N/A",0,RTD("tos.rtd",,"OPEN_INT","."&amp;$AB$3&amp;$AB$4&amp;"C"&amp;AF$4))*100 + MAX(0, AF$4-$A28)*IF(RTD("tos.rtd",,"OPEN_INT","."&amp;$AB$3&amp;$AB$4&amp;"P"&amp;AF$4)="N/A",0,RTD("tos.rtd",,"OPEN_INT","."&amp;$AB$3&amp;$AB$4&amp;"P"&amp;AF$4))*100</f>
        <v>0</v>
      </c>
      <c r="AG28" s="18">
        <f>MAX(0, $A28-AG$4)*IF(RTD("tos.rtd",,"OPEN_INT","."&amp;$AB$3&amp;$AB$4&amp;"C"&amp;AG$4)="N/A",0,RTD("tos.rtd",,"OPEN_INT","."&amp;$AB$3&amp;$AB$4&amp;"C"&amp;AG$4))*100 + MAX(0, AG$4-$A28)*IF(RTD("tos.rtd",,"OPEN_INT","."&amp;$AB$3&amp;$AB$4&amp;"P"&amp;AG$4)="N/A",0,RTD("tos.rtd",,"OPEN_INT","."&amp;$AB$3&amp;$AB$4&amp;"P"&amp;AG$4))*100</f>
        <v>0</v>
      </c>
      <c r="AH28" s="18">
        <f>MAX(0, $A28-AH$4)*IF(RTD("tos.rtd",,"OPEN_INT","."&amp;$AB$3&amp;$AB$4&amp;"C"&amp;AH$4)="N/A",0,RTD("tos.rtd",,"OPEN_INT","."&amp;$AB$3&amp;$AB$4&amp;"C"&amp;AH$4))*100 + MAX(0, AH$4-$A28)*IF(RTD("tos.rtd",,"OPEN_INT","."&amp;$AB$3&amp;$AB$4&amp;"P"&amp;AH$4)="N/A",0,RTD("tos.rtd",,"OPEN_INT","."&amp;$AB$3&amp;$AB$4&amp;"P"&amp;AH$4))*100</f>
        <v>0</v>
      </c>
      <c r="AI28" s="18">
        <f>MAX(0, $A28-AI$4)*IF(RTD("tos.rtd",,"OPEN_INT","."&amp;$AB$3&amp;$AB$4&amp;"C"&amp;AI$4)="N/A",0,RTD("tos.rtd",,"OPEN_INT","."&amp;$AB$3&amp;$AB$4&amp;"C"&amp;AI$4))*100 + MAX(0, AI$4-$A28)*IF(RTD("tos.rtd",,"OPEN_INT","."&amp;$AB$3&amp;$AB$4&amp;"P"&amp;AI$4)="N/A",0,RTD("tos.rtd",,"OPEN_INT","."&amp;$AB$3&amp;$AB$4&amp;"P"&amp;AI$4))*100</f>
        <v>0</v>
      </c>
      <c r="AJ28" s="18">
        <f>MAX(0, $A28-AJ$4)*IF(RTD("tos.rtd",,"OPEN_INT","."&amp;$AB$3&amp;$AB$4&amp;"C"&amp;AJ$4)="N/A",0,RTD("tos.rtd",,"OPEN_INT","."&amp;$AB$3&amp;$AB$4&amp;"C"&amp;AJ$4))*100 + MAX(0, AJ$4-$A28)*IF(RTD("tos.rtd",,"OPEN_INT","."&amp;$AB$3&amp;$AB$4&amp;"P"&amp;AJ$4)="N/A",0,RTD("tos.rtd",,"OPEN_INT","."&amp;$AB$3&amp;$AB$4&amp;"P"&amp;AJ$4))*100</f>
        <v>2400</v>
      </c>
      <c r="AK28" s="18">
        <f>MAX(0, $A28-AK$4)*IF(RTD("tos.rtd",,"OPEN_INT","."&amp;$AB$3&amp;$AB$4&amp;"C"&amp;AK$4)="N/A",0,RTD("tos.rtd",,"OPEN_INT","."&amp;$AB$3&amp;$AB$4&amp;"C"&amp;AK$4))*100 + MAX(0, AK$4-$A28)*IF(RTD("tos.rtd",,"OPEN_INT","."&amp;$AB$3&amp;$AB$4&amp;"P"&amp;AK$4)="N/A",0,RTD("tos.rtd",,"OPEN_INT","."&amp;$AB$3&amp;$AB$4&amp;"P"&amp;AK$4))*100</f>
        <v>6000</v>
      </c>
      <c r="AL28" s="18">
        <f>MAX(0, $A28-AL$4)*IF(RTD("tos.rtd",,"OPEN_INT","."&amp;$AB$3&amp;$AB$4&amp;"C"&amp;AL$4)="N/A",0,RTD("tos.rtd",,"OPEN_INT","."&amp;$AB$3&amp;$AB$4&amp;"C"&amp;AL$4))*100 + MAX(0, AL$4-$A28)*IF(RTD("tos.rtd",,"OPEN_INT","."&amp;$AB$3&amp;$AB$4&amp;"P"&amp;AL$4)="N/A",0,RTD("tos.rtd",,"OPEN_INT","."&amp;$AB$3&amp;$AB$4&amp;"P"&amp;AL$4))*100</f>
        <v>0</v>
      </c>
      <c r="AM28" s="18">
        <f>MAX(0, $A28-AM$4)*IF(RTD("tos.rtd",,"OPEN_INT","."&amp;$AB$3&amp;$AB$4&amp;"C"&amp;AM$4)="N/A",0,RTD("tos.rtd",,"OPEN_INT","."&amp;$AB$3&amp;$AB$4&amp;"C"&amp;AM$4))*100 + MAX(0, AM$4-$A28)*IF(RTD("tos.rtd",,"OPEN_INT","."&amp;$AB$3&amp;$AB$4&amp;"P"&amp;AM$4)="N/A",0,RTD("tos.rtd",,"OPEN_INT","."&amp;$AB$3&amp;$AB$4&amp;"P"&amp;AM$4))*100</f>
        <v>0</v>
      </c>
      <c r="AN28" s="18">
        <f>MAX(0, $A28-AN$4)*IF(RTD("tos.rtd",,"OPEN_INT","."&amp;$AB$3&amp;$AB$4&amp;"C"&amp;AN$4)="N/A",0,RTD("tos.rtd",,"OPEN_INT","."&amp;$AB$3&amp;$AB$4&amp;"C"&amp;AN$4))*100 + MAX(0, AN$4-$A28)*IF(RTD("tos.rtd",,"OPEN_INT","."&amp;$AB$3&amp;$AB$4&amp;"P"&amp;AN$4)="N/A",0,RTD("tos.rtd",,"OPEN_INT","."&amp;$AB$3&amp;$AB$4&amp;"P"&amp;AN$4))*100</f>
        <v>0</v>
      </c>
      <c r="AO28" s="18">
        <f>MAX(0, $A28-AO$4)*IF(RTD("tos.rtd",,"OPEN_INT","."&amp;$AB$3&amp;$AB$4&amp;"C"&amp;AO$4)="N/A",0,RTD("tos.rtd",,"OPEN_INT","."&amp;$AB$3&amp;$AB$4&amp;"C"&amp;AO$4))*100 + MAX(0, AO$4-$A28)*IF(RTD("tos.rtd",,"OPEN_INT","."&amp;$AB$3&amp;$AB$4&amp;"P"&amp;AO$4)="N/A",0,RTD("tos.rtd",,"OPEN_INT","."&amp;$AB$3&amp;$AB$4&amp;"P"&amp;AO$4))*100</f>
        <v>0</v>
      </c>
      <c r="AP28" s="18">
        <f>MAX(0, $A28-AP$4)*IF(RTD("tos.rtd",,"OPEN_INT","."&amp;$AB$3&amp;$AB$4&amp;"C"&amp;AP$4)="N/A",0,RTD("tos.rtd",,"OPEN_INT","."&amp;$AB$3&amp;$AB$4&amp;"C"&amp;AP$4))*100 + MAX(0, AP$4-$A28)*IF(RTD("tos.rtd",,"OPEN_INT","."&amp;$AB$3&amp;$AB$4&amp;"P"&amp;AP$4)="N/A",0,RTD("tos.rtd",,"OPEN_INT","."&amp;$AB$3&amp;$AB$4&amp;"P"&amp;AP$4))*100</f>
        <v>60000</v>
      </c>
      <c r="AQ28" s="18">
        <f>MAX(0, $A28-AQ$4)*IF(RTD("tos.rtd",,"OPEN_INT","."&amp;$AB$3&amp;$AB$4&amp;"C"&amp;AQ$4)="N/A",0,RTD("tos.rtd",,"OPEN_INT","."&amp;$AB$3&amp;$AB$4&amp;"C"&amp;AQ$4))*100 + MAX(0, AQ$4-$A28)*IF(RTD("tos.rtd",,"OPEN_INT","."&amp;$AB$3&amp;$AB$4&amp;"P"&amp;AQ$4)="N/A",0,RTD("tos.rtd",,"OPEN_INT","."&amp;$AB$3&amp;$AB$4&amp;"P"&amp;AQ$4))*100</f>
        <v>0</v>
      </c>
      <c r="AR28" s="18">
        <f>MAX(0, $A28-AR$4)*IF(RTD("tos.rtd",,"OPEN_INT","."&amp;$AB$3&amp;$AB$4&amp;"C"&amp;AR$4)="N/A",0,RTD("tos.rtd",,"OPEN_INT","."&amp;$AB$3&amp;$AB$4&amp;"C"&amp;AR$4))*100 + MAX(0, AR$4-$A28)*IF(RTD("tos.rtd",,"OPEN_INT","."&amp;$AB$3&amp;$AB$4&amp;"P"&amp;AR$4)="N/A",0,RTD("tos.rtd",,"OPEN_INT","."&amp;$AB$3&amp;$AB$4&amp;"P"&amp;AR$4))*100</f>
        <v>21200</v>
      </c>
      <c r="AS28" s="18">
        <f>MAX(0, $A28-AS$4)*IF(RTD("tos.rtd",,"OPEN_INT","."&amp;$AB$3&amp;$AB$4&amp;"C"&amp;AS$4)="N/A",0,RTD("tos.rtd",,"OPEN_INT","."&amp;$AB$3&amp;$AB$4&amp;"C"&amp;AS$4))*100 + MAX(0, AS$4-$A28)*IF(RTD("tos.rtd",,"OPEN_INT","."&amp;$AB$3&amp;$AB$4&amp;"P"&amp;AS$4)="N/A",0,RTD("tos.rtd",,"OPEN_INT","."&amp;$AB$3&amp;$AB$4&amp;"P"&amp;AS$4))*100</f>
        <v>2100</v>
      </c>
      <c r="AT28" s="18">
        <f>MAX(0, $A28-AT$4)*IF(RTD("tos.rtd",,"OPEN_INT","."&amp;$AB$3&amp;$AB$4&amp;"C"&amp;AT$4)="N/A",0,RTD("tos.rtd",,"OPEN_INT","."&amp;$AB$3&amp;$AB$4&amp;"C"&amp;AT$4))*100 + MAX(0, AT$4-$A28)*IF(RTD("tos.rtd",,"OPEN_INT","."&amp;$AB$3&amp;$AB$4&amp;"P"&amp;AT$4)="N/A",0,RTD("tos.rtd",,"OPEN_INT","."&amp;$AB$3&amp;$AB$4&amp;"P"&amp;AT$4))*100</f>
        <v>18600</v>
      </c>
      <c r="AU28" s="18">
        <f>MAX(0, $A28-AU$4)*IF(RTD("tos.rtd",,"OPEN_INT","."&amp;$AB$3&amp;$AB$4&amp;"C"&amp;AU$4)="N/A",0,RTD("tos.rtd",,"OPEN_INT","."&amp;$AB$3&amp;$AB$4&amp;"C"&amp;AU$4))*100 + MAX(0, AU$4-$A28)*IF(RTD("tos.rtd",,"OPEN_INT","."&amp;$AB$3&amp;$AB$4&amp;"P"&amp;AU$4)="N/A",0,RTD("tos.rtd",,"OPEN_INT","."&amp;$AB$3&amp;$AB$4&amp;"P"&amp;AU$4))*100</f>
        <v>17500</v>
      </c>
      <c r="AV28" s="18">
        <f>MAX(0, $A28-AV$4)*IF(RTD("tos.rtd",,"OPEN_INT","."&amp;$AB$3&amp;$AB$4&amp;"C"&amp;AV$4)="N/A",0,RTD("tos.rtd",,"OPEN_INT","."&amp;$AB$3&amp;$AB$4&amp;"C"&amp;AV$4))*100 + MAX(0, AV$4-$A28)*IF(RTD("tos.rtd",,"OPEN_INT","."&amp;$AB$3&amp;$AB$4&amp;"P"&amp;AV$4)="N/A",0,RTD("tos.rtd",,"OPEN_INT","."&amp;$AB$3&amp;$AB$4&amp;"P"&amp;AV$4))*100</f>
        <v>8000</v>
      </c>
      <c r="AW28" s="18">
        <f>MAX(0, $A28-AW$4)*IF(RTD("tos.rtd",,"OPEN_INT","."&amp;$AB$3&amp;$AB$4&amp;"C"&amp;AW$4)="N/A",0,RTD("tos.rtd",,"OPEN_INT","."&amp;$AB$3&amp;$AB$4&amp;"C"&amp;AW$4))*100 + MAX(0, AW$4-$A28)*IF(RTD("tos.rtd",,"OPEN_INT","."&amp;$AB$3&amp;$AB$4&amp;"P"&amp;AW$4)="N/A",0,RTD("tos.rtd",,"OPEN_INT","."&amp;$AB$3&amp;$AB$4&amp;"P"&amp;AW$4))*100</f>
        <v>24150</v>
      </c>
      <c r="AX28" s="18">
        <f>MAX(0, $A28-AX$4)*IF(RTD("tos.rtd",,"OPEN_INT","."&amp;$AB$3&amp;$AB$4&amp;"C"&amp;AX$4)="N/A",0,RTD("tos.rtd",,"OPEN_INT","."&amp;$AB$3&amp;$AB$4&amp;"C"&amp;AX$4))*100 + MAX(0, AX$4-$A28)*IF(RTD("tos.rtd",,"OPEN_INT","."&amp;$AB$3&amp;$AB$4&amp;"P"&amp;AX$4)="N/A",0,RTD("tos.rtd",,"OPEN_INT","."&amp;$AB$3&amp;$AB$4&amp;"P"&amp;AX$4))*100</f>
        <v>20200</v>
      </c>
      <c r="AY28" s="18">
        <f>MAX(0, $A28-AY$4)*IF(RTD("tos.rtd",,"OPEN_INT","."&amp;$AB$3&amp;$AB$4&amp;"C"&amp;AY$4)="N/A",0,RTD("tos.rtd",,"OPEN_INT","."&amp;$AB$3&amp;$AB$4&amp;"C"&amp;AY$4))*100 + MAX(0, AY$4-$A28)*IF(RTD("tos.rtd",,"OPEN_INT","."&amp;$AB$3&amp;$AB$4&amp;"P"&amp;AY$4)="N/A",0,RTD("tos.rtd",,"OPEN_INT","."&amp;$AB$3&amp;$AB$4&amp;"P"&amp;AY$4))*100</f>
        <v>12350</v>
      </c>
      <c r="AZ28" s="18">
        <f>MAX(0, $A28-AZ$4)*IF(RTD("tos.rtd",,"OPEN_INT","."&amp;$AB$3&amp;$AB$4&amp;"C"&amp;AZ$4)="N/A",0,RTD("tos.rtd",,"OPEN_INT","."&amp;$AB$3&amp;$AB$4&amp;"C"&amp;AZ$4))*100 + MAX(0, AZ$4-$A28)*IF(RTD("tos.rtd",,"OPEN_INT","."&amp;$AB$3&amp;$AB$4&amp;"P"&amp;AZ$4)="N/A",0,RTD("tos.rtd",,"OPEN_INT","."&amp;$AB$3&amp;$AB$4&amp;"P"&amp;AZ$4))*100</f>
        <v>0</v>
      </c>
      <c r="BA28" s="18">
        <f>MAX(0, $A28-BA$4)*IF(RTD("tos.rtd",,"OPEN_INT","."&amp;$AB$3&amp;$AB$4&amp;"C"&amp;BA$4)="N/A",0,RTD("tos.rtd",,"OPEN_INT","."&amp;$AB$3&amp;$AB$4&amp;"C"&amp;BA$4))*100 + MAX(0, BA$4-$A28)*IF(RTD("tos.rtd",,"OPEN_INT","."&amp;$AB$3&amp;$AB$4&amp;"P"&amp;BA$4)="N/A",0,RTD("tos.rtd",,"OPEN_INT","."&amp;$AB$3&amp;$AB$4&amp;"P"&amp;BA$4))*100</f>
        <v>492500</v>
      </c>
      <c r="BB28" s="18">
        <f>MAX(0, $A28-BB$4)*IF(RTD("tos.rtd",,"OPEN_INT","."&amp;$AB$3&amp;$AB$4&amp;"C"&amp;BB$4)="N/A",0,RTD("tos.rtd",,"OPEN_INT","."&amp;$AB$3&amp;$AB$4&amp;"C"&amp;BB$4))*100 + MAX(0, BB$4-$A28)*IF(RTD("tos.rtd",,"OPEN_INT","."&amp;$AB$3&amp;$AB$4&amp;"P"&amp;BB$4)="N/A",0,RTD("tos.rtd",,"OPEN_INT","."&amp;$AB$3&amp;$AB$4&amp;"P"&amp;BB$4))*100</f>
        <v>3080700</v>
      </c>
      <c r="BC28" s="18">
        <f>MAX(0, $A28-BC$4)*IF(RTD("tos.rtd",,"OPEN_INT","."&amp;$AB$3&amp;$AB$4&amp;"C"&amp;BC$4)="N/A",0,RTD("tos.rtd",,"OPEN_INT","."&amp;$AB$3&amp;$AB$4&amp;"C"&amp;BC$4))*100 + MAX(0, BC$4-$A28)*IF(RTD("tos.rtd",,"OPEN_INT","."&amp;$AB$3&amp;$AB$4&amp;"P"&amp;BC$4)="N/A",0,RTD("tos.rtd",,"OPEN_INT","."&amp;$AB$3&amp;$AB$4&amp;"P"&amp;BC$4))*100</f>
        <v>4298700</v>
      </c>
      <c r="BD28" s="18">
        <f>MAX(0, $A28-BD$4)*IF(RTD("tos.rtd",,"OPEN_INT","."&amp;$AB$3&amp;$AB$4&amp;"C"&amp;BD$4)="N/A",0,RTD("tos.rtd",,"OPEN_INT","."&amp;$AB$3&amp;$AB$4&amp;"C"&amp;BD$4))*100 + MAX(0, BD$4-$A28)*IF(RTD("tos.rtd",,"OPEN_INT","."&amp;$AB$3&amp;$AB$4&amp;"P"&amp;BD$4)="N/A",0,RTD("tos.rtd",,"OPEN_INT","."&amp;$AB$3&amp;$AB$4&amp;"P"&amp;BD$4))*100</f>
        <v>8142600</v>
      </c>
      <c r="BE28" s="18">
        <f>MAX(0, $A28-BE$4)*IF(RTD("tos.rtd",,"OPEN_INT","."&amp;$AB$3&amp;$AB$4&amp;"C"&amp;BE$4)="N/A",0,RTD("tos.rtd",,"OPEN_INT","."&amp;$AB$3&amp;$AB$4&amp;"C"&amp;BE$4))*100 + MAX(0, BE$4-$A28)*IF(RTD("tos.rtd",,"OPEN_INT","."&amp;$AB$3&amp;$AB$4&amp;"P"&amp;BE$4)="N/A",0,RTD("tos.rtd",,"OPEN_INT","."&amp;$AB$3&amp;$AB$4&amp;"P"&amp;BE$4))*100</f>
        <v>4640000</v>
      </c>
      <c r="BF28" s="18">
        <f>MAX(0, $A28-BF$4)*IF(RTD("tos.rtd",,"OPEN_INT","."&amp;$AB$3&amp;$AB$4&amp;"C"&amp;BF$4)="N/A",0,RTD("tos.rtd",,"OPEN_INT","."&amp;$AB$3&amp;$AB$4&amp;"C"&amp;BF$4))*100 + MAX(0, BF$4-$A28)*IF(RTD("tos.rtd",,"OPEN_INT","."&amp;$AB$3&amp;$AB$4&amp;"P"&amp;BF$4)="N/A",0,RTD("tos.rtd",,"OPEN_INT","."&amp;$AB$3&amp;$AB$4&amp;"P"&amp;BF$4))*100</f>
        <v>5183400</v>
      </c>
      <c r="BG28" s="18">
        <f>MAX(0, $A28-BG$4)*IF(RTD("tos.rtd",,"OPEN_INT","."&amp;$AB$3&amp;$AB$4&amp;"C"&amp;BG$4)="N/A",0,RTD("tos.rtd",,"OPEN_INT","."&amp;$AB$3&amp;$AB$4&amp;"C"&amp;BG$4))*100 + MAX(0, BG$4-$A28)*IF(RTD("tos.rtd",,"OPEN_INT","."&amp;$AB$3&amp;$AB$4&amp;"P"&amp;BG$4)="N/A",0,RTD("tos.rtd",,"OPEN_INT","."&amp;$AB$3&amp;$AB$4&amp;"P"&amp;BG$4))*100</f>
        <v>2942450</v>
      </c>
      <c r="BH28" s="18">
        <f>MAX(0, $A28-BH$4)*IF(RTD("tos.rtd",,"OPEN_INT","."&amp;$AB$3&amp;$AB$4&amp;"C"&amp;BH$4)="N/A",0,RTD("tos.rtd",,"OPEN_INT","."&amp;$AB$3&amp;$AB$4&amp;"C"&amp;BH$4))*100 + MAX(0, BH$4-$A28)*IF(RTD("tos.rtd",,"OPEN_INT","."&amp;$AB$3&amp;$AB$4&amp;"P"&amp;BH$4)="N/A",0,RTD("tos.rtd",,"OPEN_INT","."&amp;$AB$3&amp;$AB$4&amp;"P"&amp;BH$4))*100</f>
        <v>2293600</v>
      </c>
      <c r="BI28" s="18">
        <f>MAX(0, $A28-BI$4)*IF(RTD("tos.rtd",,"OPEN_INT","."&amp;$AB$3&amp;$AB$4&amp;"C"&amp;BI$4)="N/A",0,RTD("tos.rtd",,"OPEN_INT","."&amp;$AB$3&amp;$AB$4&amp;"C"&amp;BI$4))*100 + MAX(0, BI$4-$A28)*IF(RTD("tos.rtd",,"OPEN_INT","."&amp;$AB$3&amp;$AB$4&amp;"P"&amp;BI$4)="N/A",0,RTD("tos.rtd",,"OPEN_INT","."&amp;$AB$3&amp;$AB$4&amp;"P"&amp;BI$4))*100</f>
        <v>874350</v>
      </c>
      <c r="BJ28" s="18">
        <f>MAX(0, $A28-BJ$4)*IF(RTD("tos.rtd",,"OPEN_INT","."&amp;$AB$3&amp;$AB$4&amp;"C"&amp;BJ$4)="N/A",0,RTD("tos.rtd",,"OPEN_INT","."&amp;$AB$3&amp;$AB$4&amp;"C"&amp;BJ$4))*100 + MAX(0, BJ$4-$A28)*IF(RTD("tos.rtd",,"OPEN_INT","."&amp;$AB$3&amp;$AB$4&amp;"P"&amp;BJ$4)="N/A",0,RTD("tos.rtd",,"OPEN_INT","."&amp;$AB$3&amp;$AB$4&amp;"P"&amp;BJ$4))*100</f>
        <v>421000</v>
      </c>
      <c r="BK28" s="18">
        <f>MAX(0, $A28-BK$4)*IF(RTD("tos.rtd",,"OPEN_INT","."&amp;$AB$3&amp;$AB$4&amp;"C"&amp;BK$4)="N/A",0,RTD("tos.rtd",,"OPEN_INT","."&amp;$AB$3&amp;$AB$4&amp;"C"&amp;BK$4))*100 + MAX(0, BK$4-$A28)*IF(RTD("tos.rtd",,"OPEN_INT","."&amp;$AB$3&amp;$AB$4&amp;"P"&amp;BK$4)="N/A",0,RTD("tos.rtd",,"OPEN_INT","."&amp;$AB$3&amp;$AB$4&amp;"P"&amp;BK$4))*100</f>
        <v>83050</v>
      </c>
      <c r="BL28" s="18">
        <f>MAX(0, $A28-BL$4)*IF(RTD("tos.rtd",,"OPEN_INT","."&amp;$AB$3&amp;$AB$4&amp;"C"&amp;BL$4)="N/A",0,RTD("tos.rtd",,"OPEN_INT","."&amp;$AB$3&amp;$AB$4&amp;"C"&amp;BL$4))*100 + MAX(0, BL$4-$A28)*IF(RTD("tos.rtd",,"OPEN_INT","."&amp;$AB$3&amp;$AB$4&amp;"P"&amp;BL$4)="N/A",0,RTD("tos.rtd",,"OPEN_INT","."&amp;$AB$3&amp;$AB$4&amp;"P"&amp;BL$4))*100</f>
        <v>156600</v>
      </c>
      <c r="BM28" s="18">
        <f>MAX(0, $A28-BM$4)*IF(RTD("tos.rtd",,"OPEN_INT","."&amp;$AB$3&amp;$AB$4&amp;"C"&amp;BM$4)="N/A",0,RTD("tos.rtd",,"OPEN_INT","."&amp;$AB$3&amp;$AB$4&amp;"C"&amp;BM$4))*100 + MAX(0, BM$4-$A28)*IF(RTD("tos.rtd",,"OPEN_INT","."&amp;$AB$3&amp;$AB$4&amp;"P"&amp;BM$4)="N/A",0,RTD("tos.rtd",,"OPEN_INT","."&amp;$AB$3&amp;$AB$4&amp;"P"&amp;BM$4))*100</f>
        <v>10400</v>
      </c>
      <c r="BN28" s="18">
        <f>MAX(0, $A28-BN$4)*IF(RTD("tos.rtd",,"OPEN_INT","."&amp;$AB$3&amp;$AB$4&amp;"C"&amp;BN$4)="N/A",0,RTD("tos.rtd",,"OPEN_INT","."&amp;$AB$3&amp;$AB$4&amp;"C"&amp;BN$4))*100 + MAX(0, BN$4-$A28)*IF(RTD("tos.rtd",,"OPEN_INT","."&amp;$AB$3&amp;$AB$4&amp;"P"&amp;BN$4)="N/A",0,RTD("tos.rtd",,"OPEN_INT","."&amp;$AB$3&amp;$AB$4&amp;"P"&amp;BN$4))*100</f>
        <v>5600</v>
      </c>
      <c r="BO28" s="18">
        <f>MAX(0, $A28-BO$4)*IF(RTD("tos.rtd",,"OPEN_INT","."&amp;$AB$3&amp;$AB$4&amp;"C"&amp;BO$4)="N/A",0,RTD("tos.rtd",,"OPEN_INT","."&amp;$AB$3&amp;$AB$4&amp;"C"&amp;BO$4))*100 + MAX(0, BO$4-$A28)*IF(RTD("tos.rtd",,"OPEN_INT","."&amp;$AB$3&amp;$AB$4&amp;"P"&amp;BO$4)="N/A",0,RTD("tos.rtd",,"OPEN_INT","."&amp;$AB$3&amp;$AB$4&amp;"P"&amp;BO$4))*100</f>
        <v>23250</v>
      </c>
      <c r="BP28" s="18">
        <f>MAX(0, $A28-BP$4)*IF(RTD("tos.rtd",,"OPEN_INT","."&amp;$AB$3&amp;$AB$4&amp;"C"&amp;BP$4)="N/A",0,RTD("tos.rtd",,"OPEN_INT","."&amp;$AB$3&amp;$AB$4&amp;"C"&amp;BP$4))*100 + MAX(0, BP$4-$A28)*IF(RTD("tos.rtd",,"OPEN_INT","."&amp;$AB$3&amp;$AB$4&amp;"P"&amp;BP$4)="N/A",0,RTD("tos.rtd",,"OPEN_INT","."&amp;$AB$3&amp;$AB$4&amp;"P"&amp;BP$4))*100</f>
        <v>30400</v>
      </c>
      <c r="BQ28" s="18">
        <f>MAX(0, $A28-BQ$4)*IF(RTD("tos.rtd",,"OPEN_INT","."&amp;$AB$3&amp;$AB$4&amp;"C"&amp;BQ$4)="N/A",0,RTD("tos.rtd",,"OPEN_INT","."&amp;$AB$3&amp;$AB$4&amp;"C"&amp;BQ$4))*100 + MAX(0, BQ$4-$A28)*IF(RTD("tos.rtd",,"OPEN_INT","."&amp;$AB$3&amp;$AB$4&amp;"P"&amp;BQ$4)="N/A",0,RTD("tos.rtd",,"OPEN_INT","."&amp;$AB$3&amp;$AB$4&amp;"P"&amp;BQ$4))*100</f>
        <v>0</v>
      </c>
      <c r="BR28" s="18">
        <f>MAX(0, $A28-BR$4)*IF(RTD("tos.rtd",,"OPEN_INT","."&amp;$AB$3&amp;$AB$4&amp;"C"&amp;BR$4)="N/A",0,RTD("tos.rtd",,"OPEN_INT","."&amp;$AB$3&amp;$AB$4&amp;"C"&amp;BR$4))*100 + MAX(0, BR$4-$A28)*IF(RTD("tos.rtd",,"OPEN_INT","."&amp;$AB$3&amp;$AB$4&amp;"P"&amp;BR$4)="N/A",0,RTD("tos.rtd",,"OPEN_INT","."&amp;$AB$3&amp;$AB$4&amp;"P"&amp;BR$4))*100</f>
        <v>0</v>
      </c>
      <c r="BS28" s="18">
        <f>MAX(0, $A28-BS$4)*IF(RTD("tos.rtd",,"OPEN_INT","."&amp;$AB$3&amp;$AB$4&amp;"C"&amp;BS$4)="N/A",0,RTD("tos.rtd",,"OPEN_INT","."&amp;$AB$3&amp;$AB$4&amp;"C"&amp;BS$4))*100 + MAX(0, BS$4-$A28)*IF(RTD("tos.rtd",,"OPEN_INT","."&amp;$AB$3&amp;$AB$4&amp;"P"&amp;BS$4)="N/A",0,RTD("tos.rtd",,"OPEN_INT","."&amp;$AB$3&amp;$AB$4&amp;"P"&amp;BS$4))*100</f>
        <v>0</v>
      </c>
      <c r="BT28" s="18">
        <f>MAX(0, $A28-BT$4)*IF(RTD("tos.rtd",,"OPEN_INT","."&amp;$AB$3&amp;$AB$4&amp;"C"&amp;BT$4)="N/A",0,RTD("tos.rtd",,"OPEN_INT","."&amp;$AB$3&amp;$AB$4&amp;"C"&amp;BT$4))*100 + MAX(0, BT$4-$A28)*IF(RTD("tos.rtd",,"OPEN_INT","."&amp;$AB$3&amp;$AB$4&amp;"P"&amp;BT$4)="N/A",0,RTD("tos.rtd",,"OPEN_INT","."&amp;$AB$3&amp;$AB$4&amp;"P"&amp;BT$4))*100</f>
        <v>0</v>
      </c>
      <c r="BU28" s="18">
        <f>MAX(0, $A28-BU$4)*IF(RTD("tos.rtd",,"OPEN_INT","."&amp;$AB$3&amp;$AB$4&amp;"C"&amp;BU$4)="N/A",0,RTD("tos.rtd",,"OPEN_INT","."&amp;$AB$3&amp;$AB$4&amp;"C"&amp;BU$4))*100 + MAX(0, BU$4-$A28)*IF(RTD("tos.rtd",,"OPEN_INT","."&amp;$AB$3&amp;$AB$4&amp;"P"&amp;BU$4)="N/A",0,RTD("tos.rtd",,"OPEN_INT","."&amp;$AB$3&amp;$AB$4&amp;"P"&amp;BU$4))*100</f>
        <v>0</v>
      </c>
      <c r="BV28" s="18">
        <f>MAX(0, $A28-BV$4)*IF(RTD("tos.rtd",,"OPEN_INT","."&amp;$AB$3&amp;$AB$4&amp;"C"&amp;BV$4)="N/A",0,RTD("tos.rtd",,"OPEN_INT","."&amp;$AB$3&amp;$AB$4&amp;"C"&amp;BV$4))*100 + MAX(0, BV$4-$A28)*IF(RTD("tos.rtd",,"OPEN_INT","."&amp;$AB$3&amp;$AB$4&amp;"P"&amp;BV$4)="N/A",0,RTD("tos.rtd",,"OPEN_INT","."&amp;$AB$3&amp;$AB$4&amp;"P"&amp;BV$4))*100</f>
        <v>0</v>
      </c>
      <c r="BW28" s="18">
        <f>MAX(0, $A28-BW$4)*IF(RTD("tos.rtd",,"OPEN_INT","."&amp;$AB$3&amp;$AB$4&amp;"C"&amp;BW$4)="N/A",0,RTD("tos.rtd",,"OPEN_INT","."&amp;$AB$3&amp;$AB$4&amp;"C"&amp;BW$4))*100 + MAX(0, BW$4-$A28)*IF(RTD("tos.rtd",,"OPEN_INT","."&amp;$AB$3&amp;$AB$4&amp;"P"&amp;BW$4)="N/A",0,RTD("tos.rtd",,"OPEN_INT","."&amp;$AB$3&amp;$AB$4&amp;"P"&amp;BW$4))*100</f>
        <v>0</v>
      </c>
    </row>
    <row r="29" spans="1:75" s="19" customFormat="1" ht="11.1" customHeight="1" thickBot="1" x14ac:dyDescent="0.3">
      <c r="A29" s="25">
        <f t="shared" ref="A29:A51" si="12">+A28-$A$1</f>
        <v>9.5</v>
      </c>
      <c r="B29" s="14">
        <f ca="1">IF($A$2="PREMIUM_OI",IFERROR(IF($X$1="ABS",(100*RTD("tos.rtd",,"OPEN_INT","."&amp;B$2&amp;B$1&amp;"C"&amp;$A29)*RTD("tos.rtd",,"LAST","."&amp;B$2&amp;B$1&amp;"C"&amp;$A29)+100*RTD("tos.rtd",,"OPEN_INT","."&amp;B$2&amp;B$1&amp;"P"&amp;$A29)*RTD("tos.rtd",,"LAST","."&amp;B$2&amp;B$1&amp;"P"&amp;$A29))/1000000,(100*RTD("tos.rtd",,"OPEN_INT","."&amp;B$2&amp;B$1&amp;"C"&amp;$A29)*RTD("tos.rtd",,"LAST","."&amp;B$2&amp;B$1&amp;"C"&amp;$A29)-100*RTD("tos.rtd",,"OPEN_INT","."&amp;B$2&amp;B$1&amp;"P"&amp;$A29)*RTD("tos.rtd",,"LAST","."&amp;B$2&amp;B$1&amp;"P"&amp;$A29))/1000000),0),IF($A$2="PREMIUM",IFERROR(IF($X$1="ABS",(100*RTD("tos.rtd",,"VOLUME","."&amp;B$2&amp;B$1&amp;"C"&amp;$A29)*RTD("tos.rtd",,"LAST","."&amp;B$2&amp;B$1&amp;"C"&amp;$A29)+100*RTD("tos.rtd",,"VOLUME","."&amp;B$2&amp;B$1&amp;"P"&amp;$A29)*RTD("tos.rtd",,"LAST","."&amp;B$2&amp;B$1&amp;"P"&amp;$A29))/1000000,(100*RTD("tos.rtd",,"VOLUME","."&amp;B$2&amp;B$1&amp;"C"&amp;$A29)*RTD("tos.rtd",,"LAST","."&amp;B$2&amp;B$1&amp;"C"&amp;$A29)-100*RTD("tos.rtd",,"VOLUME","."&amp;B$2&amp;B$1&amp;"P"&amp;$A29)*RTD("tos.rtd",,"LAST","."&amp;B$2&amp;B$1&amp;"P"&amp;$A29))/1000000),0),IF($A$2="DEX",IFERROR(IF($X$1="ABS",(100*RTD("tos.rtd",,"OPEN_INT","."&amp;B$2&amp;B$1&amp;"C"&amp;$A29)*RTD("tos.rtd",,"DELTA","."&amp;B$2&amp;B$1&amp;"C"&amp;$A29)+100*RTD("tos.rtd",,"OPEN_INT","."&amp;B$2&amp;B$1&amp;"P"&amp;$A29)*RTD("tos.rtd",,"DELTA","."&amp;B$2&amp;B$1&amp;"P"&amp;$A29))/1000,(100*RTD("tos.rtd",,"OPEN_INT","."&amp;B$2&amp;B$1&amp;"C"&amp;$A29)*RTD("tos.rtd",,"DELTA","."&amp;B$2&amp;B$1&amp;"C"&amp;$A29)-100*RTD("tos.rtd",,"OPEN_INT","."&amp;B$2&amp;B$1&amp;"P"&amp;$A29)*RTD("tos.rtd",,"DELTA","."&amp;B$2&amp;B$1&amp;"P"&amp;$A29))/1000),0),IF($A$2="VEX",IFERROR(IF($X$1="ABS",($A$4*$A$4*RTD("tos.rtd",,"VOLUME","."&amp;B$2&amp;B$1&amp;"C"&amp;$A29)*RTD("tos.rtd",,"GAMMA","."&amp;B$2&amp;B$1&amp;"C"&amp;$A29)+$A$4*$A$4*RTD("tos.rtd",,"VOLUME","."&amp;B$2&amp;B$1&amp;"P"&amp;$A29)*RTD("tos.rtd",,"GAMMA","."&amp;B$2&amp;B$1&amp;"P"&amp;$A29))/1000000,($A$4*$A$4*RTD("tos.rtd",,"VOLUME","."&amp;B$2&amp;B$1&amp;"C"&amp;$A29)*RTD("tos.rtd",,"GAMMA","."&amp;B$2&amp;B$1&amp;"C"&amp;$A29)-$A$4*$A$4*RTD("tos.rtd",,"VOLUME","."&amp;B$2&amp;B$1&amp;"P"&amp;$A29)*RTD("tos.rtd",,"GAMMA","."&amp;B$2&amp;B$1&amp;"P"&amp;$A29))/1000000),0),IF($A$2="GEX",IFERROR(IF($X$1="ABS",($A$4*$A$4*RTD("tos.rtd",,"OPEN_INT","."&amp;B$2&amp;B$1&amp;"C"&amp;$A29)*RTD("tos.rtd",,"GAMMA","."&amp;B$2&amp;B$1&amp;"C"&amp;$A29)+$A$4*$A$4*RTD("tos.rtd",,"OPEN_INT","."&amp;B$2&amp;B$1&amp;"P"&amp;$A29)*RTD("tos.rtd",,"GAMMA","."&amp;B$2&amp;B$1&amp;"P"&amp;$A29))/1000000,($A$4*$A$4*RTD("tos.rtd",,"OPEN_INT","."&amp;B$2&amp;B$1&amp;"C"&amp;$A29)*RTD("tos.rtd",,"GAMMA","."&amp;B$2&amp;B$1&amp;"C"&amp;$A29)-$A$4*$A$4*RTD("tos.rtd",,"OPEN_INT","."&amp;B$2&amp;B$1&amp;"P"&amp;$A29)*RTD("tos.rtd",,"GAMMA","."&amp;B$2&amp;B$1&amp;"P"&amp;$A29))/1000000),0),IF($A$2="SKEW",IFERROR(VALUE(IF(RTD("tos.rtd",,"IMPL_VOL","."&amp;B$2&amp;B$1&amp;"P"&amp;$A29)="N/A",0,RTD("tos.rtd",,"IMPL_VOL","."&amp;B$2&amp;B$1&amp;"P"&amp;$A29))),0)-IFERROR(VALUE(IF(RTD("tos.rtd",,"IMPL_VOL","."&amp;B$2&amp;B$1&amp;"C"&amp;$A29)="N/A",0,RTD("tos.rtd",,"IMPL_VOL","."&amp;B$2&amp;B$1&amp;"C"&amp;$A29))),0),IF($A$2="MAXPAIN",IF($A$4&gt;$A29,($A$4-$A29)*IF(RTD("tos.rtd",,"OPEN_INT","."&amp;B$2&amp;B$1&amp;"C"&amp;$A29)="N/A",0,RTD("tos.rtd",,"OPEN_INT","."&amp;B$2&amp;B$1&amp;"C"&amp;$A29)),0)+IF($A$4&lt;$A29,($A$5-$A$4)*IF(RTD("tos.rtd",,"OPEN_INT","."&amp;B$2&amp;B$1&amp;"P"&amp;$A29)="N/A",0,RTD("tos.rtd",,"OPEN_INT","."&amp;B$2&amp;B$1&amp;"P"&amp;$A29)),0),IF($X$1="ABS",IF(RTD("tos.rtd",,$A$2,"."&amp;B$2&amp;B$1&amp;"C"&amp;$A29)="N/A",0,RTD("tos.rtd",,$A$2,"."&amp;B$2&amp;B$1&amp;"C"&amp;$A29))+IF(RTD("tos.rtd",,$A$2,"."&amp;B$2&amp;B$1&amp;"P"&amp;$A29)="N/A",0,RTD("tos.rtd",,$A$2,"."&amp;B$2&amp;B$1&amp;"P"&amp;$A29)),IF(RTD("tos.rtd",,$A$2,"."&amp;B$2&amp;B$1&amp;"C"&amp;$A29)="N/A",0,RTD("tos.rtd",,$A$2,"."&amp;B$2&amp;B$1&amp;"C"&amp;$A29))-IF(RTD("tos.rtd",,$A$2,"."&amp;B$2&amp;B$1&amp;"P"&amp;$A29)="N/A",0,RTD("tos.rtd",,$A$2,"."&amp;B$2&amp;B$1&amp;"P"&amp;$A29))))))))))</f>
        <v>0</v>
      </c>
      <c r="C29" s="14">
        <f ca="1">IF($A$2="PREMIUM_OI",IFERROR(IF($X$1="ABS",(100*RTD("tos.rtd",,"OPEN_INT","."&amp;C$2&amp;C$1&amp;"C"&amp;$A29)*RTD("tos.rtd",,"LAST","."&amp;C$2&amp;C$1&amp;"C"&amp;$A29)+100*RTD("tos.rtd",,"OPEN_INT","."&amp;C$2&amp;C$1&amp;"P"&amp;$A29)*RTD("tos.rtd",,"LAST","."&amp;C$2&amp;C$1&amp;"P"&amp;$A29))/1000000,(100*RTD("tos.rtd",,"OPEN_INT","."&amp;C$2&amp;C$1&amp;"C"&amp;$A29)*RTD("tos.rtd",,"LAST","."&amp;C$2&amp;C$1&amp;"C"&amp;$A29)-100*RTD("tos.rtd",,"OPEN_INT","."&amp;C$2&amp;C$1&amp;"P"&amp;$A29)*RTD("tos.rtd",,"LAST","."&amp;C$2&amp;C$1&amp;"P"&amp;$A29))/1000000),0),IF($A$2="PREMIUM",IFERROR(IF($X$1="ABS",(100*RTD("tos.rtd",,"VOLUME","."&amp;C$2&amp;C$1&amp;"C"&amp;$A29)*RTD("tos.rtd",,"LAST","."&amp;C$2&amp;C$1&amp;"C"&amp;$A29)+100*RTD("tos.rtd",,"VOLUME","."&amp;C$2&amp;C$1&amp;"P"&amp;$A29)*RTD("tos.rtd",,"LAST","."&amp;C$2&amp;C$1&amp;"P"&amp;$A29))/1000000,(100*RTD("tos.rtd",,"VOLUME","."&amp;C$2&amp;C$1&amp;"C"&amp;$A29)*RTD("tos.rtd",,"LAST","."&amp;C$2&amp;C$1&amp;"C"&amp;$A29)-100*RTD("tos.rtd",,"VOLUME","."&amp;C$2&amp;C$1&amp;"P"&amp;$A29)*RTD("tos.rtd",,"LAST","."&amp;C$2&amp;C$1&amp;"P"&amp;$A29))/1000000),0),IF($A$2="DEX",IFERROR(IF($X$1="ABS",(100*RTD("tos.rtd",,"OPEN_INT","."&amp;C$2&amp;C$1&amp;"C"&amp;$A29)*RTD("tos.rtd",,"DELTA","."&amp;C$2&amp;C$1&amp;"C"&amp;$A29)+100*RTD("tos.rtd",,"OPEN_INT","."&amp;C$2&amp;C$1&amp;"P"&amp;$A29)*RTD("tos.rtd",,"DELTA","."&amp;C$2&amp;C$1&amp;"P"&amp;$A29))/1000,(100*RTD("tos.rtd",,"OPEN_INT","."&amp;C$2&amp;C$1&amp;"C"&amp;$A29)*RTD("tos.rtd",,"DELTA","."&amp;C$2&amp;C$1&amp;"C"&amp;$A29)-100*RTD("tos.rtd",,"OPEN_INT","."&amp;C$2&amp;C$1&amp;"P"&amp;$A29)*RTD("tos.rtd",,"DELTA","."&amp;C$2&amp;C$1&amp;"P"&amp;$A29))/1000),0),IF($A$2="VEX",IFERROR(IF($X$1="ABS",($A$4*$A$4*RTD("tos.rtd",,"VOLUME","."&amp;C$2&amp;C$1&amp;"C"&amp;$A29)*RTD("tos.rtd",,"GAMMA","."&amp;C$2&amp;C$1&amp;"C"&amp;$A29)+$A$4*$A$4*RTD("tos.rtd",,"VOLUME","."&amp;C$2&amp;C$1&amp;"P"&amp;$A29)*RTD("tos.rtd",,"GAMMA","."&amp;C$2&amp;C$1&amp;"P"&amp;$A29))/1000000,($A$4*$A$4*RTD("tos.rtd",,"VOLUME","."&amp;C$2&amp;C$1&amp;"C"&amp;$A29)*RTD("tos.rtd",,"GAMMA","."&amp;C$2&amp;C$1&amp;"C"&amp;$A29)-$A$4*$A$4*RTD("tos.rtd",,"VOLUME","."&amp;C$2&amp;C$1&amp;"P"&amp;$A29)*RTD("tos.rtd",,"GAMMA","."&amp;C$2&amp;C$1&amp;"P"&amp;$A29))/1000000),0),IF($A$2="GEX",IFERROR(IF($X$1="ABS",($A$4*$A$4*RTD("tos.rtd",,"OPEN_INT","."&amp;C$2&amp;C$1&amp;"C"&amp;$A29)*RTD("tos.rtd",,"GAMMA","."&amp;C$2&amp;C$1&amp;"C"&amp;$A29)+$A$4*$A$4*RTD("tos.rtd",,"OPEN_INT","."&amp;C$2&amp;C$1&amp;"P"&amp;$A29)*RTD("tos.rtd",,"GAMMA","."&amp;C$2&amp;C$1&amp;"P"&amp;$A29))/1000000,($A$4*$A$4*RTD("tos.rtd",,"OPEN_INT","."&amp;C$2&amp;C$1&amp;"C"&amp;$A29)*RTD("tos.rtd",,"GAMMA","."&amp;C$2&amp;C$1&amp;"C"&amp;$A29)-$A$4*$A$4*RTD("tos.rtd",,"OPEN_INT","."&amp;C$2&amp;C$1&amp;"P"&amp;$A29)*RTD("tos.rtd",,"GAMMA","."&amp;C$2&amp;C$1&amp;"P"&amp;$A29))/1000000),0),IF($A$2="SKEW",IFERROR(VALUE(IF(RTD("tos.rtd",,"IMPL_VOL","."&amp;C$2&amp;C$1&amp;"P"&amp;$A29)="N/A",0,RTD("tos.rtd",,"IMPL_VOL","."&amp;C$2&amp;C$1&amp;"P"&amp;$A29))),0)-IFERROR(VALUE(IF(RTD("tos.rtd",,"IMPL_VOL","."&amp;C$2&amp;C$1&amp;"C"&amp;$A29)="N/A",0,RTD("tos.rtd",,"IMPL_VOL","."&amp;C$2&amp;C$1&amp;"C"&amp;$A29))),0),IF($A$2="MAXPAIN",IF($A$4&gt;$A29,($A$4-$A29)*IF(RTD("tos.rtd",,"OPEN_INT","."&amp;C$2&amp;C$1&amp;"C"&amp;$A29)="N/A",0,RTD("tos.rtd",,"OPEN_INT","."&amp;C$2&amp;C$1&amp;"C"&amp;$A29)),0)+IF($A$4&lt;$A29,($A$5-$A$4)*IF(RTD("tos.rtd",,"OPEN_INT","."&amp;C$2&amp;C$1&amp;"P"&amp;$A29)="N/A",0,RTD("tos.rtd",,"OPEN_INT","."&amp;C$2&amp;C$1&amp;"P"&amp;$A29)),0),IF($X$1="ABS",IF(RTD("tos.rtd",,$A$2,"."&amp;C$2&amp;C$1&amp;"C"&amp;$A29)="N/A",0,RTD("tos.rtd",,$A$2,"."&amp;C$2&amp;C$1&amp;"C"&amp;$A29))+IF(RTD("tos.rtd",,$A$2,"."&amp;C$2&amp;C$1&amp;"P"&amp;$A29)="N/A",0,RTD("tos.rtd",,$A$2,"."&amp;C$2&amp;C$1&amp;"P"&amp;$A29)),IF(RTD("tos.rtd",,$A$2,"."&amp;C$2&amp;C$1&amp;"C"&amp;$A29)="N/A",0,RTD("tos.rtd",,$A$2,"."&amp;C$2&amp;C$1&amp;"C"&amp;$A29))-IF(RTD("tos.rtd",,$A$2,"."&amp;C$2&amp;C$1&amp;"P"&amp;$A29)="N/A",0,RTD("tos.rtd",,$A$2,"."&amp;C$2&amp;C$1&amp;"P"&amp;$A29))))))))))</f>
        <v>0</v>
      </c>
      <c r="D29" s="12">
        <f ca="1">IF($A$2="PREMIUM_OI",IFERROR(IF($X$1="ABS",(100*RTD("tos.rtd",,"OPEN_INT","."&amp;D$2&amp;D$1&amp;"C"&amp;$A29)*RTD("tos.rtd",,"LAST","."&amp;D$2&amp;D$1&amp;"C"&amp;$A29)+100*RTD("tos.rtd",,"OPEN_INT","."&amp;D$2&amp;D$1&amp;"P"&amp;$A29)*RTD("tos.rtd",,"LAST","."&amp;D$2&amp;D$1&amp;"P"&amp;$A29))/1000000,(100*RTD("tos.rtd",,"OPEN_INT","."&amp;D$2&amp;D$1&amp;"C"&amp;$A29)*RTD("tos.rtd",,"LAST","."&amp;D$2&amp;D$1&amp;"C"&amp;$A29)-100*RTD("tos.rtd",,"OPEN_INT","."&amp;D$2&amp;D$1&amp;"P"&amp;$A29)*RTD("tos.rtd",,"LAST","."&amp;D$2&amp;D$1&amp;"P"&amp;$A29))/1000000),0),IF($A$2="PREMIUM",IFERROR(IF($X$1="ABS",(100*RTD("tos.rtd",,"VOLUME","."&amp;D$2&amp;D$1&amp;"C"&amp;$A29)*RTD("tos.rtd",,"LAST","."&amp;D$2&amp;D$1&amp;"C"&amp;$A29)+100*RTD("tos.rtd",,"VOLUME","."&amp;D$2&amp;D$1&amp;"P"&amp;$A29)*RTD("tos.rtd",,"LAST","."&amp;D$2&amp;D$1&amp;"P"&amp;$A29))/1000000,(100*RTD("tos.rtd",,"VOLUME","."&amp;D$2&amp;D$1&amp;"C"&amp;$A29)*RTD("tos.rtd",,"LAST","."&amp;D$2&amp;D$1&amp;"C"&amp;$A29)-100*RTD("tos.rtd",,"VOLUME","."&amp;D$2&amp;D$1&amp;"P"&amp;$A29)*RTD("tos.rtd",,"LAST","."&amp;D$2&amp;D$1&amp;"P"&amp;$A29))/1000000),0),IF($A$2="DEX",IFERROR(IF($X$1="ABS",(100*RTD("tos.rtd",,"OPEN_INT","."&amp;D$2&amp;D$1&amp;"C"&amp;$A29)*RTD("tos.rtd",,"DELTA","."&amp;D$2&amp;D$1&amp;"C"&amp;$A29)+100*RTD("tos.rtd",,"OPEN_INT","."&amp;D$2&amp;D$1&amp;"P"&amp;$A29)*RTD("tos.rtd",,"DELTA","."&amp;D$2&amp;D$1&amp;"P"&amp;$A29))/1000,(100*RTD("tos.rtd",,"OPEN_INT","."&amp;D$2&amp;D$1&amp;"C"&amp;$A29)*RTD("tos.rtd",,"DELTA","."&amp;D$2&amp;D$1&amp;"C"&amp;$A29)-100*RTD("tos.rtd",,"OPEN_INT","."&amp;D$2&amp;D$1&amp;"P"&amp;$A29)*RTD("tos.rtd",,"DELTA","."&amp;D$2&amp;D$1&amp;"P"&amp;$A29))/1000),0),IF($A$2="VEX",IFERROR(IF($X$1="ABS",($A$4*$A$4*RTD("tos.rtd",,"VOLUME","."&amp;D$2&amp;D$1&amp;"C"&amp;$A29)*RTD("tos.rtd",,"GAMMA","."&amp;D$2&amp;D$1&amp;"C"&amp;$A29)+$A$4*$A$4*RTD("tos.rtd",,"VOLUME","."&amp;D$2&amp;D$1&amp;"P"&amp;$A29)*RTD("tos.rtd",,"GAMMA","."&amp;D$2&amp;D$1&amp;"P"&amp;$A29))/1000000,($A$4*$A$4*RTD("tos.rtd",,"VOLUME","."&amp;D$2&amp;D$1&amp;"C"&amp;$A29)*RTD("tos.rtd",,"GAMMA","."&amp;D$2&amp;D$1&amp;"C"&amp;$A29)-$A$4*$A$4*RTD("tos.rtd",,"VOLUME","."&amp;D$2&amp;D$1&amp;"P"&amp;$A29)*RTD("tos.rtd",,"GAMMA","."&amp;D$2&amp;D$1&amp;"P"&amp;$A29))/1000000),0),IF($A$2="GEX",IFERROR(IF($X$1="ABS",($A$4*$A$4*RTD("tos.rtd",,"OPEN_INT","."&amp;D$2&amp;D$1&amp;"C"&amp;$A29)*RTD("tos.rtd",,"GAMMA","."&amp;D$2&amp;D$1&amp;"C"&amp;$A29)+$A$4*$A$4*RTD("tos.rtd",,"OPEN_INT","."&amp;D$2&amp;D$1&amp;"P"&amp;$A29)*RTD("tos.rtd",,"GAMMA","."&amp;D$2&amp;D$1&amp;"P"&amp;$A29))/1000000,($A$4*$A$4*RTD("tos.rtd",,"OPEN_INT","."&amp;D$2&amp;D$1&amp;"C"&amp;$A29)*RTD("tos.rtd",,"GAMMA","."&amp;D$2&amp;D$1&amp;"C"&amp;$A29)-$A$4*$A$4*RTD("tos.rtd",,"OPEN_INT","."&amp;D$2&amp;D$1&amp;"P"&amp;$A29)*RTD("tos.rtd",,"GAMMA","."&amp;D$2&amp;D$1&amp;"P"&amp;$A29))/1000000),0),IF($A$2="SKEW",IFERROR(VALUE(IF(RTD("tos.rtd",,"IMPL_VOL","."&amp;D$2&amp;D$1&amp;"P"&amp;$A29)="N/A",0,RTD("tos.rtd",,"IMPL_VOL","."&amp;D$2&amp;D$1&amp;"P"&amp;$A29))),0)-IFERROR(VALUE(IF(RTD("tos.rtd",,"IMPL_VOL","."&amp;D$2&amp;D$1&amp;"C"&amp;$A29)="N/A",0,RTD("tos.rtd",,"IMPL_VOL","."&amp;D$2&amp;D$1&amp;"C"&amp;$A29))),0),IF($A$2="MAXPAIN",IF($A$4&gt;$A29,($A$4-$A29)*IF(RTD("tos.rtd",,"OPEN_INT","."&amp;D$2&amp;D$1&amp;"C"&amp;$A29)="N/A",0,RTD("tos.rtd",,"OPEN_INT","."&amp;D$2&amp;D$1&amp;"C"&amp;$A29)),0)+IF($A$4&lt;$A29,($A$5-$A$4)*IF(RTD("tos.rtd",,"OPEN_INT","."&amp;D$2&amp;D$1&amp;"P"&amp;$A29)="N/A",0,RTD("tos.rtd",,"OPEN_INT","."&amp;D$2&amp;D$1&amp;"P"&amp;$A29)),0),IF($X$1="ABS",IF(RTD("tos.rtd",,$A$2,"."&amp;D$2&amp;D$1&amp;"C"&amp;$A29)="N/A",0,RTD("tos.rtd",,$A$2,"."&amp;D$2&amp;D$1&amp;"C"&amp;$A29))+IF(RTD("tos.rtd",,$A$2,"."&amp;D$2&amp;D$1&amp;"P"&amp;$A29)="N/A",0,RTD("tos.rtd",,$A$2,"."&amp;D$2&amp;D$1&amp;"P"&amp;$A29)),IF(RTD("tos.rtd",,$A$2,"."&amp;D$2&amp;D$1&amp;"C"&amp;$A29)="N/A",0,RTD("tos.rtd",,$A$2,"."&amp;D$2&amp;D$1&amp;"C"&amp;$A29))-IF(RTD("tos.rtd",,$A$2,"."&amp;D$2&amp;D$1&amp;"P"&amp;$A29)="N/A",0,RTD("tos.rtd",,$A$2,"."&amp;D$2&amp;D$1&amp;"P"&amp;$A29))))))))))</f>
        <v>0</v>
      </c>
      <c r="E29" s="12">
        <f ca="1">IF($A$2="PREMIUM_OI",IFERROR(IF($X$1="ABS",(100*RTD("tos.rtd",,"OPEN_INT","."&amp;E$2&amp;E$1&amp;"C"&amp;$A29)*RTD("tos.rtd",,"LAST","."&amp;E$2&amp;E$1&amp;"C"&amp;$A29)+100*RTD("tos.rtd",,"OPEN_INT","."&amp;E$2&amp;E$1&amp;"P"&amp;$A29)*RTD("tos.rtd",,"LAST","."&amp;E$2&amp;E$1&amp;"P"&amp;$A29))/1000000,(100*RTD("tos.rtd",,"OPEN_INT","."&amp;E$2&amp;E$1&amp;"C"&amp;$A29)*RTD("tos.rtd",,"LAST","."&amp;E$2&amp;E$1&amp;"C"&amp;$A29)-100*RTD("tos.rtd",,"OPEN_INT","."&amp;E$2&amp;E$1&amp;"P"&amp;$A29)*RTD("tos.rtd",,"LAST","."&amp;E$2&amp;E$1&amp;"P"&amp;$A29))/1000000),0),IF($A$2="PREMIUM",IFERROR(IF($X$1="ABS",(100*RTD("tos.rtd",,"VOLUME","."&amp;E$2&amp;E$1&amp;"C"&amp;$A29)*RTD("tos.rtd",,"LAST","."&amp;E$2&amp;E$1&amp;"C"&amp;$A29)+100*RTD("tos.rtd",,"VOLUME","."&amp;E$2&amp;E$1&amp;"P"&amp;$A29)*RTD("tos.rtd",,"LAST","."&amp;E$2&amp;E$1&amp;"P"&amp;$A29))/1000000,(100*RTD("tos.rtd",,"VOLUME","."&amp;E$2&amp;E$1&amp;"C"&amp;$A29)*RTD("tos.rtd",,"LAST","."&amp;E$2&amp;E$1&amp;"C"&amp;$A29)-100*RTD("tos.rtd",,"VOLUME","."&amp;E$2&amp;E$1&amp;"P"&amp;$A29)*RTD("tos.rtd",,"LAST","."&amp;E$2&amp;E$1&amp;"P"&amp;$A29))/1000000),0),IF($A$2="DEX",IFERROR(IF($X$1="ABS",(100*RTD("tos.rtd",,"OPEN_INT","."&amp;E$2&amp;E$1&amp;"C"&amp;$A29)*RTD("tos.rtd",,"DELTA","."&amp;E$2&amp;E$1&amp;"C"&amp;$A29)+100*RTD("tos.rtd",,"OPEN_INT","."&amp;E$2&amp;E$1&amp;"P"&amp;$A29)*RTD("tos.rtd",,"DELTA","."&amp;E$2&amp;E$1&amp;"P"&amp;$A29))/1000,(100*RTD("tos.rtd",,"OPEN_INT","."&amp;E$2&amp;E$1&amp;"C"&amp;$A29)*RTD("tos.rtd",,"DELTA","."&amp;E$2&amp;E$1&amp;"C"&amp;$A29)-100*RTD("tos.rtd",,"OPEN_INT","."&amp;E$2&amp;E$1&amp;"P"&amp;$A29)*RTD("tos.rtd",,"DELTA","."&amp;E$2&amp;E$1&amp;"P"&amp;$A29))/1000),0),IF($A$2="VEX",IFERROR(IF($X$1="ABS",($A$4*$A$4*RTD("tos.rtd",,"VOLUME","."&amp;E$2&amp;E$1&amp;"C"&amp;$A29)*RTD("tos.rtd",,"GAMMA","."&amp;E$2&amp;E$1&amp;"C"&amp;$A29)+$A$4*$A$4*RTD("tos.rtd",,"VOLUME","."&amp;E$2&amp;E$1&amp;"P"&amp;$A29)*RTD("tos.rtd",,"GAMMA","."&amp;E$2&amp;E$1&amp;"P"&amp;$A29))/1000000,($A$4*$A$4*RTD("tos.rtd",,"VOLUME","."&amp;E$2&amp;E$1&amp;"C"&amp;$A29)*RTD("tos.rtd",,"GAMMA","."&amp;E$2&amp;E$1&amp;"C"&amp;$A29)-$A$4*$A$4*RTD("tos.rtd",,"VOLUME","."&amp;E$2&amp;E$1&amp;"P"&amp;$A29)*RTD("tos.rtd",,"GAMMA","."&amp;E$2&amp;E$1&amp;"P"&amp;$A29))/1000000),0),IF($A$2="GEX",IFERROR(IF($X$1="ABS",($A$4*$A$4*RTD("tos.rtd",,"OPEN_INT","."&amp;E$2&amp;E$1&amp;"C"&amp;$A29)*RTD("tos.rtd",,"GAMMA","."&amp;E$2&amp;E$1&amp;"C"&amp;$A29)+$A$4*$A$4*RTD("tos.rtd",,"OPEN_INT","."&amp;E$2&amp;E$1&amp;"P"&amp;$A29)*RTD("tos.rtd",,"GAMMA","."&amp;E$2&amp;E$1&amp;"P"&amp;$A29))/1000000,($A$4*$A$4*RTD("tos.rtd",,"OPEN_INT","."&amp;E$2&amp;E$1&amp;"C"&amp;$A29)*RTD("tos.rtd",,"GAMMA","."&amp;E$2&amp;E$1&amp;"C"&amp;$A29)-$A$4*$A$4*RTD("tos.rtd",,"OPEN_INT","."&amp;E$2&amp;E$1&amp;"P"&amp;$A29)*RTD("tos.rtd",,"GAMMA","."&amp;E$2&amp;E$1&amp;"P"&amp;$A29))/1000000),0),IF($A$2="SKEW",IFERROR(VALUE(IF(RTD("tos.rtd",,"IMPL_VOL","."&amp;E$2&amp;E$1&amp;"P"&amp;$A29)="N/A",0,RTD("tos.rtd",,"IMPL_VOL","."&amp;E$2&amp;E$1&amp;"P"&amp;$A29))),0)-IFERROR(VALUE(IF(RTD("tos.rtd",,"IMPL_VOL","."&amp;E$2&amp;E$1&amp;"C"&amp;$A29)="N/A",0,RTD("tos.rtd",,"IMPL_VOL","."&amp;E$2&amp;E$1&amp;"C"&amp;$A29))),0),IF($A$2="MAXPAIN",IF($A$4&gt;$A29,($A$4-$A29)*IF(RTD("tos.rtd",,"OPEN_INT","."&amp;E$2&amp;E$1&amp;"C"&amp;$A29)="N/A",0,RTD("tos.rtd",,"OPEN_INT","."&amp;E$2&amp;E$1&amp;"C"&amp;$A29)),0)+IF($A$4&lt;$A29,($A$5-$A$4)*IF(RTD("tos.rtd",,"OPEN_INT","."&amp;E$2&amp;E$1&amp;"P"&amp;$A29)="N/A",0,RTD("tos.rtd",,"OPEN_INT","."&amp;E$2&amp;E$1&amp;"P"&amp;$A29)),0),IF($X$1="ABS",IF(RTD("tos.rtd",,$A$2,"."&amp;E$2&amp;E$1&amp;"C"&amp;$A29)="N/A",0,RTD("tos.rtd",,$A$2,"."&amp;E$2&amp;E$1&amp;"C"&amp;$A29))+IF(RTD("tos.rtd",,$A$2,"."&amp;E$2&amp;E$1&amp;"P"&amp;$A29)="N/A",0,RTD("tos.rtd",,$A$2,"."&amp;E$2&amp;E$1&amp;"P"&amp;$A29)),IF(RTD("tos.rtd",,$A$2,"."&amp;E$2&amp;E$1&amp;"C"&amp;$A29)="N/A",0,RTD("tos.rtd",,$A$2,"."&amp;E$2&amp;E$1&amp;"C"&amp;$A29))-IF(RTD("tos.rtd",,$A$2,"."&amp;E$2&amp;E$1&amp;"P"&amp;$A29)="N/A",0,RTD("tos.rtd",,$A$2,"."&amp;E$2&amp;E$1&amp;"P"&amp;$A29))))))))))</f>
        <v>0</v>
      </c>
      <c r="F29" s="12">
        <f ca="1">IF($A$2="PREMIUM_OI",IFERROR(IF($X$1="ABS",(100*RTD("tos.rtd",,"OPEN_INT","."&amp;F$2&amp;F$1&amp;"C"&amp;$A29)*RTD("tos.rtd",,"LAST","."&amp;F$2&amp;F$1&amp;"C"&amp;$A29)+100*RTD("tos.rtd",,"OPEN_INT","."&amp;F$2&amp;F$1&amp;"P"&amp;$A29)*RTD("tos.rtd",,"LAST","."&amp;F$2&amp;F$1&amp;"P"&amp;$A29))/1000000,(100*RTD("tos.rtd",,"OPEN_INT","."&amp;F$2&amp;F$1&amp;"C"&amp;$A29)*RTD("tos.rtd",,"LAST","."&amp;F$2&amp;F$1&amp;"C"&amp;$A29)-100*RTD("tos.rtd",,"OPEN_INT","."&amp;F$2&amp;F$1&amp;"P"&amp;$A29)*RTD("tos.rtd",,"LAST","."&amp;F$2&amp;F$1&amp;"P"&amp;$A29))/1000000),0),IF($A$2="PREMIUM",IFERROR(IF($X$1="ABS",(100*RTD("tos.rtd",,"VOLUME","."&amp;F$2&amp;F$1&amp;"C"&amp;$A29)*RTD("tos.rtd",,"LAST","."&amp;F$2&amp;F$1&amp;"C"&amp;$A29)+100*RTD("tos.rtd",,"VOLUME","."&amp;F$2&amp;F$1&amp;"P"&amp;$A29)*RTD("tos.rtd",,"LAST","."&amp;F$2&amp;F$1&amp;"P"&amp;$A29))/1000000,(100*RTD("tos.rtd",,"VOLUME","."&amp;F$2&amp;F$1&amp;"C"&amp;$A29)*RTD("tos.rtd",,"LAST","."&amp;F$2&amp;F$1&amp;"C"&amp;$A29)-100*RTD("tos.rtd",,"VOLUME","."&amp;F$2&amp;F$1&amp;"P"&amp;$A29)*RTD("tos.rtd",,"LAST","."&amp;F$2&amp;F$1&amp;"P"&amp;$A29))/1000000),0),IF($A$2="DEX",IFERROR(IF($X$1="ABS",(100*RTD("tos.rtd",,"OPEN_INT","."&amp;F$2&amp;F$1&amp;"C"&amp;$A29)*RTD("tos.rtd",,"DELTA","."&amp;F$2&amp;F$1&amp;"C"&amp;$A29)+100*RTD("tos.rtd",,"OPEN_INT","."&amp;F$2&amp;F$1&amp;"P"&amp;$A29)*RTD("tos.rtd",,"DELTA","."&amp;F$2&amp;F$1&amp;"P"&amp;$A29))/1000,(100*RTD("tos.rtd",,"OPEN_INT","."&amp;F$2&amp;F$1&amp;"C"&amp;$A29)*RTD("tos.rtd",,"DELTA","."&amp;F$2&amp;F$1&amp;"C"&amp;$A29)-100*RTD("tos.rtd",,"OPEN_INT","."&amp;F$2&amp;F$1&amp;"P"&amp;$A29)*RTD("tos.rtd",,"DELTA","."&amp;F$2&amp;F$1&amp;"P"&amp;$A29))/1000),0),IF($A$2="VEX",IFERROR(IF($X$1="ABS",($A$4*$A$4*RTD("tos.rtd",,"VOLUME","."&amp;F$2&amp;F$1&amp;"C"&amp;$A29)*RTD("tos.rtd",,"GAMMA","."&amp;F$2&amp;F$1&amp;"C"&amp;$A29)+$A$4*$A$4*RTD("tos.rtd",,"VOLUME","."&amp;F$2&amp;F$1&amp;"P"&amp;$A29)*RTD("tos.rtd",,"GAMMA","."&amp;F$2&amp;F$1&amp;"P"&amp;$A29))/1000000,($A$4*$A$4*RTD("tos.rtd",,"VOLUME","."&amp;F$2&amp;F$1&amp;"C"&amp;$A29)*RTD("tos.rtd",,"GAMMA","."&amp;F$2&amp;F$1&amp;"C"&amp;$A29)-$A$4*$A$4*RTD("tos.rtd",,"VOLUME","."&amp;F$2&amp;F$1&amp;"P"&amp;$A29)*RTD("tos.rtd",,"GAMMA","."&amp;F$2&amp;F$1&amp;"P"&amp;$A29))/1000000),0),IF($A$2="GEX",IFERROR(IF($X$1="ABS",($A$4*$A$4*RTD("tos.rtd",,"OPEN_INT","."&amp;F$2&amp;F$1&amp;"C"&amp;$A29)*RTD("tos.rtd",,"GAMMA","."&amp;F$2&amp;F$1&amp;"C"&amp;$A29)+$A$4*$A$4*RTD("tos.rtd",,"OPEN_INT","."&amp;F$2&amp;F$1&amp;"P"&amp;$A29)*RTD("tos.rtd",,"GAMMA","."&amp;F$2&amp;F$1&amp;"P"&amp;$A29))/1000000,($A$4*$A$4*RTD("tos.rtd",,"OPEN_INT","."&amp;F$2&amp;F$1&amp;"C"&amp;$A29)*RTD("tos.rtd",,"GAMMA","."&amp;F$2&amp;F$1&amp;"C"&amp;$A29)-$A$4*$A$4*RTD("tos.rtd",,"OPEN_INT","."&amp;F$2&amp;F$1&amp;"P"&amp;$A29)*RTD("tos.rtd",,"GAMMA","."&amp;F$2&amp;F$1&amp;"P"&amp;$A29))/1000000),0),IF($A$2="SKEW",IFERROR(VALUE(IF(RTD("tos.rtd",,"IMPL_VOL","."&amp;F$2&amp;F$1&amp;"P"&amp;$A29)="N/A",0,RTD("tos.rtd",,"IMPL_VOL","."&amp;F$2&amp;F$1&amp;"P"&amp;$A29))),0)-IFERROR(VALUE(IF(RTD("tos.rtd",,"IMPL_VOL","."&amp;F$2&amp;F$1&amp;"C"&amp;$A29)="N/A",0,RTD("tos.rtd",,"IMPL_VOL","."&amp;F$2&amp;F$1&amp;"C"&amp;$A29))),0),IF($A$2="MAXPAIN",IF($A$4&gt;$A29,($A$4-$A29)*IF(RTD("tos.rtd",,"OPEN_INT","."&amp;F$2&amp;F$1&amp;"C"&amp;$A29)="N/A",0,RTD("tos.rtd",,"OPEN_INT","."&amp;F$2&amp;F$1&amp;"C"&amp;$A29)),0)+IF($A$4&lt;$A29,($A$5-$A$4)*IF(RTD("tos.rtd",,"OPEN_INT","."&amp;F$2&amp;F$1&amp;"P"&amp;$A29)="N/A",0,RTD("tos.rtd",,"OPEN_INT","."&amp;F$2&amp;F$1&amp;"P"&amp;$A29)),0),IF($X$1="ABS",IF(RTD("tos.rtd",,$A$2,"."&amp;F$2&amp;F$1&amp;"C"&amp;$A29)="N/A",0,RTD("tos.rtd",,$A$2,"."&amp;F$2&amp;F$1&amp;"C"&amp;$A29))+IF(RTD("tos.rtd",,$A$2,"."&amp;F$2&amp;F$1&amp;"P"&amp;$A29)="N/A",0,RTD("tos.rtd",,$A$2,"."&amp;F$2&amp;F$1&amp;"P"&amp;$A29)),IF(RTD("tos.rtd",,$A$2,"."&amp;F$2&amp;F$1&amp;"C"&amp;$A29)="N/A",0,RTD("tos.rtd",,$A$2,"."&amp;F$2&amp;F$1&amp;"C"&amp;$A29))-IF(RTD("tos.rtd",,$A$2,"."&amp;F$2&amp;F$1&amp;"P"&amp;$A29)="N/A",0,RTD("tos.rtd",,$A$2,"."&amp;F$2&amp;F$1&amp;"P"&amp;$A29))))))))))</f>
        <v>0</v>
      </c>
      <c r="G29" s="54">
        <f ca="1">IF($A$2="PREMIUM_OI",IFERROR(IF($X$1="ABS",(100*RTD("tos.rtd",,"OPEN_INT","."&amp;G$2&amp;G$1&amp;"C"&amp;$A29)*RTD("tos.rtd",,"LAST","."&amp;G$2&amp;G$1&amp;"C"&amp;$A29)+100*RTD("tos.rtd",,"OPEN_INT","."&amp;G$2&amp;G$1&amp;"P"&amp;$A29)*RTD("tos.rtd",,"LAST","."&amp;G$2&amp;G$1&amp;"P"&amp;$A29))/1000000,(100*RTD("tos.rtd",,"OPEN_INT","."&amp;G$2&amp;G$1&amp;"C"&amp;$A29)*RTD("tos.rtd",,"LAST","."&amp;G$2&amp;G$1&amp;"C"&amp;$A29)-100*RTD("tos.rtd",,"OPEN_INT","."&amp;G$2&amp;G$1&amp;"P"&amp;$A29)*RTD("tos.rtd",,"LAST","."&amp;G$2&amp;G$1&amp;"P"&amp;$A29))/1000000),0),IF($A$2="PREMIUM",IFERROR(IF($X$1="ABS",(100*RTD("tos.rtd",,"VOLUME","."&amp;G$2&amp;G$1&amp;"C"&amp;$A29)*RTD("tos.rtd",,"LAST","."&amp;G$2&amp;G$1&amp;"C"&amp;$A29)+100*RTD("tos.rtd",,"VOLUME","."&amp;G$2&amp;G$1&amp;"P"&amp;$A29)*RTD("tos.rtd",,"LAST","."&amp;G$2&amp;G$1&amp;"P"&amp;$A29))/1000000,(100*RTD("tos.rtd",,"VOLUME","."&amp;G$2&amp;G$1&amp;"C"&amp;$A29)*RTD("tos.rtd",,"LAST","."&amp;G$2&amp;G$1&amp;"C"&amp;$A29)-100*RTD("tos.rtd",,"VOLUME","."&amp;G$2&amp;G$1&amp;"P"&amp;$A29)*RTD("tos.rtd",,"LAST","."&amp;G$2&amp;G$1&amp;"P"&amp;$A29))/1000000),0),IF($A$2="DEX",IFERROR(IF($X$1="ABS",(100*RTD("tos.rtd",,"OPEN_INT","."&amp;G$2&amp;G$1&amp;"C"&amp;$A29)*RTD("tos.rtd",,"DELTA","."&amp;G$2&amp;G$1&amp;"C"&amp;$A29)+100*RTD("tos.rtd",,"OPEN_INT","."&amp;G$2&amp;G$1&amp;"P"&amp;$A29)*RTD("tos.rtd",,"DELTA","."&amp;G$2&amp;G$1&amp;"P"&amp;$A29))/1000,(100*RTD("tos.rtd",,"OPEN_INT","."&amp;G$2&amp;G$1&amp;"C"&amp;$A29)*RTD("tos.rtd",,"DELTA","."&amp;G$2&amp;G$1&amp;"C"&amp;$A29)-100*RTD("tos.rtd",,"OPEN_INT","."&amp;G$2&amp;G$1&amp;"P"&amp;$A29)*RTD("tos.rtd",,"DELTA","."&amp;G$2&amp;G$1&amp;"P"&amp;$A29))/1000),0),IF($A$2="VEX",IFERROR(IF($X$1="ABS",($A$4*$A$4*RTD("tos.rtd",,"VOLUME","."&amp;G$2&amp;G$1&amp;"C"&amp;$A29)*RTD("tos.rtd",,"GAMMA","."&amp;G$2&amp;G$1&amp;"C"&amp;$A29)+$A$4*$A$4*RTD("tos.rtd",,"VOLUME","."&amp;G$2&amp;G$1&amp;"P"&amp;$A29)*RTD("tos.rtd",,"GAMMA","."&amp;G$2&amp;G$1&amp;"P"&amp;$A29))/1000000,($A$4*$A$4*RTD("tos.rtd",,"VOLUME","."&amp;G$2&amp;G$1&amp;"C"&amp;$A29)*RTD("tos.rtd",,"GAMMA","."&amp;G$2&amp;G$1&amp;"C"&amp;$A29)-$A$4*$A$4*RTD("tos.rtd",,"VOLUME","."&amp;G$2&amp;G$1&amp;"P"&amp;$A29)*RTD("tos.rtd",,"GAMMA","."&amp;G$2&amp;G$1&amp;"P"&amp;$A29))/1000000),0),IF($A$2="GEX",IFERROR(IF($X$1="ABS",($A$4*$A$4*RTD("tos.rtd",,"OPEN_INT","."&amp;G$2&amp;G$1&amp;"C"&amp;$A29)*RTD("tos.rtd",,"GAMMA","."&amp;G$2&amp;G$1&amp;"C"&amp;$A29)+$A$4*$A$4*RTD("tos.rtd",,"OPEN_INT","."&amp;G$2&amp;G$1&amp;"P"&amp;$A29)*RTD("tos.rtd",,"GAMMA","."&amp;G$2&amp;G$1&amp;"P"&amp;$A29))/1000000,($A$4*$A$4*RTD("tos.rtd",,"OPEN_INT","."&amp;G$2&amp;G$1&amp;"C"&amp;$A29)*RTD("tos.rtd",,"GAMMA","."&amp;G$2&amp;G$1&amp;"C"&amp;$A29)-$A$4*$A$4*RTD("tos.rtd",,"OPEN_INT","."&amp;G$2&amp;G$1&amp;"P"&amp;$A29)*RTD("tos.rtd",,"GAMMA","."&amp;G$2&amp;G$1&amp;"P"&amp;$A29))/1000000),0),IF($A$2="SKEW",IFERROR(VALUE(IF(RTD("tos.rtd",,"IMPL_VOL","."&amp;G$2&amp;G$1&amp;"P"&amp;$A29)="N/A",0,RTD("tos.rtd",,"IMPL_VOL","."&amp;G$2&amp;G$1&amp;"P"&amp;$A29))),0)-IFERROR(VALUE(IF(RTD("tos.rtd",,"IMPL_VOL","."&amp;G$2&amp;G$1&amp;"C"&amp;$A29)="N/A",0,RTD("tos.rtd",,"IMPL_VOL","."&amp;G$2&amp;G$1&amp;"C"&amp;$A29))),0),IF($A$2="MAXPAIN",IF($A$4&gt;$A29,($A$4-$A29)*IF(RTD("tos.rtd",,"OPEN_INT","."&amp;G$2&amp;G$1&amp;"C"&amp;$A29)="N/A",0,RTD("tos.rtd",,"OPEN_INT","."&amp;G$2&amp;G$1&amp;"C"&amp;$A29)),0)+IF($A$4&lt;$A29,($A$5-$A$4)*IF(RTD("tos.rtd",,"OPEN_INT","."&amp;G$2&amp;G$1&amp;"P"&amp;$A29)="N/A",0,RTD("tos.rtd",,"OPEN_INT","."&amp;G$2&amp;G$1&amp;"P"&amp;$A29)),0),IF($X$1="ABS",IF(RTD("tos.rtd",,$A$2,"."&amp;G$2&amp;G$1&amp;"C"&amp;$A29)="N/A",0,RTD("tos.rtd",,$A$2,"."&amp;G$2&amp;G$1&amp;"C"&amp;$A29))+IF(RTD("tos.rtd",,$A$2,"."&amp;G$2&amp;G$1&amp;"P"&amp;$A29)="N/A",0,RTD("tos.rtd",,$A$2,"."&amp;G$2&amp;G$1&amp;"P"&amp;$A29)),IF(RTD("tos.rtd",,$A$2,"."&amp;G$2&amp;G$1&amp;"C"&amp;$A29)="N/A",0,RTD("tos.rtd",,$A$2,"."&amp;G$2&amp;G$1&amp;"C"&amp;$A29))-IF(RTD("tos.rtd",,$A$2,"."&amp;G$2&amp;G$1&amp;"P"&amp;$A29)="N/A",0,RTD("tos.rtd",,$A$2,"."&amp;G$2&amp;G$1&amp;"P"&amp;$A29))))))))))</f>
        <v>0</v>
      </c>
      <c r="H29" s="14">
        <f ca="1">IF($A$2="PREMIUM_OI",IFERROR(IF($X$1="ABS",(100*RTD("tos.rtd",,"OPEN_INT","."&amp;H$2&amp;H$1&amp;"C"&amp;$A29)*RTD("tos.rtd",,"LAST","."&amp;H$2&amp;H$1&amp;"C"&amp;$A29)+100*RTD("tos.rtd",,"OPEN_INT","."&amp;H$2&amp;H$1&amp;"P"&amp;$A29)*RTD("tos.rtd",,"LAST","."&amp;H$2&amp;H$1&amp;"P"&amp;$A29))/1000000,(100*RTD("tos.rtd",,"OPEN_INT","."&amp;H$2&amp;H$1&amp;"C"&amp;$A29)*RTD("tos.rtd",,"LAST","."&amp;H$2&amp;H$1&amp;"C"&amp;$A29)-100*RTD("tos.rtd",,"OPEN_INT","."&amp;H$2&amp;H$1&amp;"P"&amp;$A29)*RTD("tos.rtd",,"LAST","."&amp;H$2&amp;H$1&amp;"P"&amp;$A29))/1000000),0),IF($A$2="PREMIUM",IFERROR(IF($X$1="ABS",(100*RTD("tos.rtd",,"VOLUME","."&amp;H$2&amp;H$1&amp;"C"&amp;$A29)*RTD("tos.rtd",,"LAST","."&amp;H$2&amp;H$1&amp;"C"&amp;$A29)+100*RTD("tos.rtd",,"VOLUME","."&amp;H$2&amp;H$1&amp;"P"&amp;$A29)*RTD("tos.rtd",,"LAST","."&amp;H$2&amp;H$1&amp;"P"&amp;$A29))/1000000,(100*RTD("tos.rtd",,"VOLUME","."&amp;H$2&amp;H$1&amp;"C"&amp;$A29)*RTD("tos.rtd",,"LAST","."&amp;H$2&amp;H$1&amp;"C"&amp;$A29)-100*RTD("tos.rtd",,"VOLUME","."&amp;H$2&amp;H$1&amp;"P"&amp;$A29)*RTD("tos.rtd",,"LAST","."&amp;H$2&amp;H$1&amp;"P"&amp;$A29))/1000000),0),IF($A$2="DEX",IFERROR(IF($X$1="ABS",(100*RTD("tos.rtd",,"OPEN_INT","."&amp;H$2&amp;H$1&amp;"C"&amp;$A29)*RTD("tos.rtd",,"DELTA","."&amp;H$2&amp;H$1&amp;"C"&amp;$A29)+100*RTD("tos.rtd",,"OPEN_INT","."&amp;H$2&amp;H$1&amp;"P"&amp;$A29)*RTD("tos.rtd",,"DELTA","."&amp;H$2&amp;H$1&amp;"P"&amp;$A29))/1000,(100*RTD("tos.rtd",,"OPEN_INT","."&amp;H$2&amp;H$1&amp;"C"&amp;$A29)*RTD("tos.rtd",,"DELTA","."&amp;H$2&amp;H$1&amp;"C"&amp;$A29)-100*RTD("tos.rtd",,"OPEN_INT","."&amp;H$2&amp;H$1&amp;"P"&amp;$A29)*RTD("tos.rtd",,"DELTA","."&amp;H$2&amp;H$1&amp;"P"&amp;$A29))/1000),0),IF($A$2="VEX",IFERROR(IF($X$1="ABS",($A$4*$A$4*RTD("tos.rtd",,"VOLUME","."&amp;H$2&amp;H$1&amp;"C"&amp;$A29)*RTD("tos.rtd",,"GAMMA","."&amp;H$2&amp;H$1&amp;"C"&amp;$A29)+$A$4*$A$4*RTD("tos.rtd",,"VOLUME","."&amp;H$2&amp;H$1&amp;"P"&amp;$A29)*RTD("tos.rtd",,"GAMMA","."&amp;H$2&amp;H$1&amp;"P"&amp;$A29))/1000000,($A$4*$A$4*RTD("tos.rtd",,"VOLUME","."&amp;H$2&amp;H$1&amp;"C"&amp;$A29)*RTD("tos.rtd",,"GAMMA","."&amp;H$2&amp;H$1&amp;"C"&amp;$A29)-$A$4*$A$4*RTD("tos.rtd",,"VOLUME","."&amp;H$2&amp;H$1&amp;"P"&amp;$A29)*RTD("tos.rtd",,"GAMMA","."&amp;H$2&amp;H$1&amp;"P"&amp;$A29))/1000000),0),IF($A$2="GEX",IFERROR(IF($X$1="ABS",($A$4*$A$4*RTD("tos.rtd",,"OPEN_INT","."&amp;H$2&amp;H$1&amp;"C"&amp;$A29)*RTD("tos.rtd",,"GAMMA","."&amp;H$2&amp;H$1&amp;"C"&amp;$A29)+$A$4*$A$4*RTD("tos.rtd",,"OPEN_INT","."&amp;H$2&amp;H$1&amp;"P"&amp;$A29)*RTD("tos.rtd",,"GAMMA","."&amp;H$2&amp;H$1&amp;"P"&amp;$A29))/1000000,($A$4*$A$4*RTD("tos.rtd",,"OPEN_INT","."&amp;H$2&amp;H$1&amp;"C"&amp;$A29)*RTD("tos.rtd",,"GAMMA","."&amp;H$2&amp;H$1&amp;"C"&amp;$A29)-$A$4*$A$4*RTD("tos.rtd",,"OPEN_INT","."&amp;H$2&amp;H$1&amp;"P"&amp;$A29)*RTD("tos.rtd",,"GAMMA","."&amp;H$2&amp;H$1&amp;"P"&amp;$A29))/1000000),0),IF($A$2="SKEW",IFERROR(VALUE(IF(RTD("tos.rtd",,"IMPL_VOL","."&amp;H$2&amp;H$1&amp;"P"&amp;$A29)="N/A",0,RTD("tos.rtd",,"IMPL_VOL","."&amp;H$2&amp;H$1&amp;"P"&amp;$A29))),0)-IFERROR(VALUE(IF(RTD("tos.rtd",,"IMPL_VOL","."&amp;H$2&amp;H$1&amp;"C"&amp;$A29)="N/A",0,RTD("tos.rtd",,"IMPL_VOL","."&amp;H$2&amp;H$1&amp;"C"&amp;$A29))),0),IF($A$2="MAXPAIN",IF($A$4&gt;$A29,($A$4-$A29)*IF(RTD("tos.rtd",,"OPEN_INT","."&amp;H$2&amp;H$1&amp;"C"&amp;$A29)="N/A",0,RTD("tos.rtd",,"OPEN_INT","."&amp;H$2&amp;H$1&amp;"C"&amp;$A29)),0)+IF($A$4&lt;$A29,($A$5-$A$4)*IF(RTD("tos.rtd",,"OPEN_INT","."&amp;H$2&amp;H$1&amp;"P"&amp;$A29)="N/A",0,RTD("tos.rtd",,"OPEN_INT","."&amp;H$2&amp;H$1&amp;"P"&amp;$A29)),0),IF($X$1="ABS",IF(RTD("tos.rtd",,$A$2,"."&amp;H$2&amp;H$1&amp;"C"&amp;$A29)="N/A",0,RTD("tos.rtd",,$A$2,"."&amp;H$2&amp;H$1&amp;"C"&amp;$A29))+IF(RTD("tos.rtd",,$A$2,"."&amp;H$2&amp;H$1&amp;"P"&amp;$A29)="N/A",0,RTD("tos.rtd",,$A$2,"."&amp;H$2&amp;H$1&amp;"P"&amp;$A29)),IF(RTD("tos.rtd",,$A$2,"."&amp;H$2&amp;H$1&amp;"C"&amp;$A29)="N/A",0,RTD("tos.rtd",,$A$2,"."&amp;H$2&amp;H$1&amp;"C"&amp;$A29))-IF(RTD("tos.rtd",,$A$2,"."&amp;H$2&amp;H$1&amp;"P"&amp;$A29)="N/A",0,RTD("tos.rtd",,$A$2,"."&amp;H$2&amp;H$1&amp;"P"&amp;$A29))))))))))</f>
        <v>0</v>
      </c>
      <c r="I29" s="12">
        <f ca="1">IF($A$2="PREMIUM_OI",IFERROR(IF($X$1="ABS",(100*RTD("tos.rtd",,"OPEN_INT","."&amp;I$2&amp;I$1&amp;"C"&amp;$A29)*RTD("tos.rtd",,"LAST","."&amp;I$2&amp;I$1&amp;"C"&amp;$A29)+100*RTD("tos.rtd",,"OPEN_INT","."&amp;I$2&amp;I$1&amp;"P"&amp;$A29)*RTD("tos.rtd",,"LAST","."&amp;I$2&amp;I$1&amp;"P"&amp;$A29))/1000000,(100*RTD("tos.rtd",,"OPEN_INT","."&amp;I$2&amp;I$1&amp;"C"&amp;$A29)*RTD("tos.rtd",,"LAST","."&amp;I$2&amp;I$1&amp;"C"&amp;$A29)-100*RTD("tos.rtd",,"OPEN_INT","."&amp;I$2&amp;I$1&amp;"P"&amp;$A29)*RTD("tos.rtd",,"LAST","."&amp;I$2&amp;I$1&amp;"P"&amp;$A29))/1000000),0),IF($A$2="PREMIUM",IFERROR(IF($X$1="ABS",(100*RTD("tos.rtd",,"VOLUME","."&amp;I$2&amp;I$1&amp;"C"&amp;$A29)*RTD("tos.rtd",,"LAST","."&amp;I$2&amp;I$1&amp;"C"&amp;$A29)+100*RTD("tos.rtd",,"VOLUME","."&amp;I$2&amp;I$1&amp;"P"&amp;$A29)*RTD("tos.rtd",,"LAST","."&amp;I$2&amp;I$1&amp;"P"&amp;$A29))/1000000,(100*RTD("tos.rtd",,"VOLUME","."&amp;I$2&amp;I$1&amp;"C"&amp;$A29)*RTD("tos.rtd",,"LAST","."&amp;I$2&amp;I$1&amp;"C"&amp;$A29)-100*RTD("tos.rtd",,"VOLUME","."&amp;I$2&amp;I$1&amp;"P"&amp;$A29)*RTD("tos.rtd",,"LAST","."&amp;I$2&amp;I$1&amp;"P"&amp;$A29))/1000000),0),IF($A$2="DEX",IFERROR(IF($X$1="ABS",(100*RTD("tos.rtd",,"OPEN_INT","."&amp;I$2&amp;I$1&amp;"C"&amp;$A29)*RTD("tos.rtd",,"DELTA","."&amp;I$2&amp;I$1&amp;"C"&amp;$A29)+100*RTD("tos.rtd",,"OPEN_INT","."&amp;I$2&amp;I$1&amp;"P"&amp;$A29)*RTD("tos.rtd",,"DELTA","."&amp;I$2&amp;I$1&amp;"P"&amp;$A29))/1000,(100*RTD("tos.rtd",,"OPEN_INT","."&amp;I$2&amp;I$1&amp;"C"&amp;$A29)*RTD("tos.rtd",,"DELTA","."&amp;I$2&amp;I$1&amp;"C"&amp;$A29)-100*RTD("tos.rtd",,"OPEN_INT","."&amp;I$2&amp;I$1&amp;"P"&amp;$A29)*RTD("tos.rtd",,"DELTA","."&amp;I$2&amp;I$1&amp;"P"&amp;$A29))/1000),0),IF($A$2="VEX",IFERROR(IF($X$1="ABS",($A$4*$A$4*RTD("tos.rtd",,"VOLUME","."&amp;I$2&amp;I$1&amp;"C"&amp;$A29)*RTD("tos.rtd",,"GAMMA","."&amp;I$2&amp;I$1&amp;"C"&amp;$A29)+$A$4*$A$4*RTD("tos.rtd",,"VOLUME","."&amp;I$2&amp;I$1&amp;"P"&amp;$A29)*RTD("tos.rtd",,"GAMMA","."&amp;I$2&amp;I$1&amp;"P"&amp;$A29))/1000000,($A$4*$A$4*RTD("tos.rtd",,"VOLUME","."&amp;I$2&amp;I$1&amp;"C"&amp;$A29)*RTD("tos.rtd",,"GAMMA","."&amp;I$2&amp;I$1&amp;"C"&amp;$A29)-$A$4*$A$4*RTD("tos.rtd",,"VOLUME","."&amp;I$2&amp;I$1&amp;"P"&amp;$A29)*RTD("tos.rtd",,"GAMMA","."&amp;I$2&amp;I$1&amp;"P"&amp;$A29))/1000000),0),IF($A$2="GEX",IFERROR(IF($X$1="ABS",($A$4*$A$4*RTD("tos.rtd",,"OPEN_INT","."&amp;I$2&amp;I$1&amp;"C"&amp;$A29)*RTD("tos.rtd",,"GAMMA","."&amp;I$2&amp;I$1&amp;"C"&amp;$A29)+$A$4*$A$4*RTD("tos.rtd",,"OPEN_INT","."&amp;I$2&amp;I$1&amp;"P"&amp;$A29)*RTD("tos.rtd",,"GAMMA","."&amp;I$2&amp;I$1&amp;"P"&amp;$A29))/1000000,($A$4*$A$4*RTD("tos.rtd",,"OPEN_INT","."&amp;I$2&amp;I$1&amp;"C"&amp;$A29)*RTD("tos.rtd",,"GAMMA","."&amp;I$2&amp;I$1&amp;"C"&amp;$A29)-$A$4*$A$4*RTD("tos.rtd",,"OPEN_INT","."&amp;I$2&amp;I$1&amp;"P"&amp;$A29)*RTD("tos.rtd",,"GAMMA","."&amp;I$2&amp;I$1&amp;"P"&amp;$A29))/1000000),0),IF($A$2="SKEW",IFERROR(VALUE(IF(RTD("tos.rtd",,"IMPL_VOL","."&amp;I$2&amp;I$1&amp;"P"&amp;$A29)="N/A",0,RTD("tos.rtd",,"IMPL_VOL","."&amp;I$2&amp;I$1&amp;"P"&amp;$A29))),0)-IFERROR(VALUE(IF(RTD("tos.rtd",,"IMPL_VOL","."&amp;I$2&amp;I$1&amp;"C"&amp;$A29)="N/A",0,RTD("tos.rtd",,"IMPL_VOL","."&amp;I$2&amp;I$1&amp;"C"&amp;$A29))),0),IF($A$2="MAXPAIN",IF($A$4&gt;$A29,($A$4-$A29)*IF(RTD("tos.rtd",,"OPEN_INT","."&amp;I$2&amp;I$1&amp;"C"&amp;$A29)="N/A",0,RTD("tos.rtd",,"OPEN_INT","."&amp;I$2&amp;I$1&amp;"C"&amp;$A29)),0)+IF($A$4&lt;$A29,($A$5-$A$4)*IF(RTD("tos.rtd",,"OPEN_INT","."&amp;I$2&amp;I$1&amp;"P"&amp;$A29)="N/A",0,RTD("tos.rtd",,"OPEN_INT","."&amp;I$2&amp;I$1&amp;"P"&amp;$A29)),0),IF($X$1="ABS",IF(RTD("tos.rtd",,$A$2,"."&amp;I$2&amp;I$1&amp;"C"&amp;$A29)="N/A",0,RTD("tos.rtd",,$A$2,"."&amp;I$2&amp;I$1&amp;"C"&amp;$A29))+IF(RTD("tos.rtd",,$A$2,"."&amp;I$2&amp;I$1&amp;"P"&amp;$A29)="N/A",0,RTD("tos.rtd",,$A$2,"."&amp;I$2&amp;I$1&amp;"P"&amp;$A29)),IF(RTD("tos.rtd",,$A$2,"."&amp;I$2&amp;I$1&amp;"C"&amp;$A29)="N/A",0,RTD("tos.rtd",,$A$2,"."&amp;I$2&amp;I$1&amp;"C"&amp;$A29))-IF(RTD("tos.rtd",,$A$2,"."&amp;I$2&amp;I$1&amp;"P"&amp;$A29)="N/A",0,RTD("tos.rtd",,$A$2,"."&amp;I$2&amp;I$1&amp;"P"&amp;$A29))))))))))</f>
        <v>0</v>
      </c>
      <c r="J29" s="12">
        <f ca="1">IF($A$2="PREMIUM_OI",IFERROR(IF($X$1="ABS",(100*RTD("tos.rtd",,"OPEN_INT","."&amp;J$2&amp;J$1&amp;"C"&amp;$A29)*RTD("tos.rtd",,"LAST","."&amp;J$2&amp;J$1&amp;"C"&amp;$A29)+100*RTD("tos.rtd",,"OPEN_INT","."&amp;J$2&amp;J$1&amp;"P"&amp;$A29)*RTD("tos.rtd",,"LAST","."&amp;J$2&amp;J$1&amp;"P"&amp;$A29))/1000000,(100*RTD("tos.rtd",,"OPEN_INT","."&amp;J$2&amp;J$1&amp;"C"&amp;$A29)*RTD("tos.rtd",,"LAST","."&amp;J$2&amp;J$1&amp;"C"&amp;$A29)-100*RTD("tos.rtd",,"OPEN_INT","."&amp;J$2&amp;J$1&amp;"P"&amp;$A29)*RTD("tos.rtd",,"LAST","."&amp;J$2&amp;J$1&amp;"P"&amp;$A29))/1000000),0),IF($A$2="PREMIUM",IFERROR(IF($X$1="ABS",(100*RTD("tos.rtd",,"VOLUME","."&amp;J$2&amp;J$1&amp;"C"&amp;$A29)*RTD("tos.rtd",,"LAST","."&amp;J$2&amp;J$1&amp;"C"&amp;$A29)+100*RTD("tos.rtd",,"VOLUME","."&amp;J$2&amp;J$1&amp;"P"&amp;$A29)*RTD("tos.rtd",,"LAST","."&amp;J$2&amp;J$1&amp;"P"&amp;$A29))/1000000,(100*RTD("tos.rtd",,"VOLUME","."&amp;J$2&amp;J$1&amp;"C"&amp;$A29)*RTD("tos.rtd",,"LAST","."&amp;J$2&amp;J$1&amp;"C"&amp;$A29)-100*RTD("tos.rtd",,"VOLUME","."&amp;J$2&amp;J$1&amp;"P"&amp;$A29)*RTD("tos.rtd",,"LAST","."&amp;J$2&amp;J$1&amp;"P"&amp;$A29))/1000000),0),IF($A$2="DEX",IFERROR(IF($X$1="ABS",(100*RTD("tos.rtd",,"OPEN_INT","."&amp;J$2&amp;J$1&amp;"C"&amp;$A29)*RTD("tos.rtd",,"DELTA","."&amp;J$2&amp;J$1&amp;"C"&amp;$A29)+100*RTD("tos.rtd",,"OPEN_INT","."&amp;J$2&amp;J$1&amp;"P"&amp;$A29)*RTD("tos.rtd",,"DELTA","."&amp;J$2&amp;J$1&amp;"P"&amp;$A29))/1000,(100*RTD("tos.rtd",,"OPEN_INT","."&amp;J$2&amp;J$1&amp;"C"&amp;$A29)*RTD("tos.rtd",,"DELTA","."&amp;J$2&amp;J$1&amp;"C"&amp;$A29)-100*RTD("tos.rtd",,"OPEN_INT","."&amp;J$2&amp;J$1&amp;"P"&amp;$A29)*RTD("tos.rtd",,"DELTA","."&amp;J$2&amp;J$1&amp;"P"&amp;$A29))/1000),0),IF($A$2="VEX",IFERROR(IF($X$1="ABS",($A$4*$A$4*RTD("tos.rtd",,"VOLUME","."&amp;J$2&amp;J$1&amp;"C"&amp;$A29)*RTD("tos.rtd",,"GAMMA","."&amp;J$2&amp;J$1&amp;"C"&amp;$A29)+$A$4*$A$4*RTD("tos.rtd",,"VOLUME","."&amp;J$2&amp;J$1&amp;"P"&amp;$A29)*RTD("tos.rtd",,"GAMMA","."&amp;J$2&amp;J$1&amp;"P"&amp;$A29))/1000000,($A$4*$A$4*RTD("tos.rtd",,"VOLUME","."&amp;J$2&amp;J$1&amp;"C"&amp;$A29)*RTD("tos.rtd",,"GAMMA","."&amp;J$2&amp;J$1&amp;"C"&amp;$A29)-$A$4*$A$4*RTD("tos.rtd",,"VOLUME","."&amp;J$2&amp;J$1&amp;"P"&amp;$A29)*RTD("tos.rtd",,"GAMMA","."&amp;J$2&amp;J$1&amp;"P"&amp;$A29))/1000000),0),IF($A$2="GEX",IFERROR(IF($X$1="ABS",($A$4*$A$4*RTD("tos.rtd",,"OPEN_INT","."&amp;J$2&amp;J$1&amp;"C"&amp;$A29)*RTD("tos.rtd",,"GAMMA","."&amp;J$2&amp;J$1&amp;"C"&amp;$A29)+$A$4*$A$4*RTD("tos.rtd",,"OPEN_INT","."&amp;J$2&amp;J$1&amp;"P"&amp;$A29)*RTD("tos.rtd",,"GAMMA","."&amp;J$2&amp;J$1&amp;"P"&amp;$A29))/1000000,($A$4*$A$4*RTD("tos.rtd",,"OPEN_INT","."&amp;J$2&amp;J$1&amp;"C"&amp;$A29)*RTD("tos.rtd",,"GAMMA","."&amp;J$2&amp;J$1&amp;"C"&amp;$A29)-$A$4*$A$4*RTD("tos.rtd",,"OPEN_INT","."&amp;J$2&amp;J$1&amp;"P"&amp;$A29)*RTD("tos.rtd",,"GAMMA","."&amp;J$2&amp;J$1&amp;"P"&amp;$A29))/1000000),0),IF($A$2="SKEW",IFERROR(VALUE(IF(RTD("tos.rtd",,"IMPL_VOL","."&amp;J$2&amp;J$1&amp;"P"&amp;$A29)="N/A",0,RTD("tos.rtd",,"IMPL_VOL","."&amp;J$2&amp;J$1&amp;"P"&amp;$A29))),0)-IFERROR(VALUE(IF(RTD("tos.rtd",,"IMPL_VOL","."&amp;J$2&amp;J$1&amp;"C"&amp;$A29)="N/A",0,RTD("tos.rtd",,"IMPL_VOL","."&amp;J$2&amp;J$1&amp;"C"&amp;$A29))),0),IF($A$2="MAXPAIN",IF($A$4&gt;$A29,($A$4-$A29)*IF(RTD("tos.rtd",,"OPEN_INT","."&amp;J$2&amp;J$1&amp;"C"&amp;$A29)="N/A",0,RTD("tos.rtd",,"OPEN_INT","."&amp;J$2&amp;J$1&amp;"C"&amp;$A29)),0)+IF($A$4&lt;$A29,($A$5-$A$4)*IF(RTD("tos.rtd",,"OPEN_INT","."&amp;J$2&amp;J$1&amp;"P"&amp;$A29)="N/A",0,RTD("tos.rtd",,"OPEN_INT","."&amp;J$2&amp;J$1&amp;"P"&amp;$A29)),0),IF($X$1="ABS",IF(RTD("tos.rtd",,$A$2,"."&amp;J$2&amp;J$1&amp;"C"&amp;$A29)="N/A",0,RTD("tos.rtd",,$A$2,"."&amp;J$2&amp;J$1&amp;"C"&amp;$A29))+IF(RTD("tos.rtd",,$A$2,"."&amp;J$2&amp;J$1&amp;"P"&amp;$A29)="N/A",0,RTD("tos.rtd",,$A$2,"."&amp;J$2&amp;J$1&amp;"P"&amp;$A29)),IF(RTD("tos.rtd",,$A$2,"."&amp;J$2&amp;J$1&amp;"C"&amp;$A29)="N/A",0,RTD("tos.rtd",,$A$2,"."&amp;J$2&amp;J$1&amp;"C"&amp;$A29))-IF(RTD("tos.rtd",,$A$2,"."&amp;J$2&amp;J$1&amp;"P"&amp;$A29)="N/A",0,RTD("tos.rtd",,$A$2,"."&amp;J$2&amp;J$1&amp;"P"&amp;$A29))))))))))</f>
        <v>0</v>
      </c>
      <c r="K29" s="12">
        <f ca="1">IF($A$2="PREMIUM_OI",IFERROR(IF($X$1="ABS",(100*RTD("tos.rtd",,"OPEN_INT","."&amp;K$2&amp;K$1&amp;"C"&amp;$A29)*RTD("tos.rtd",,"LAST","."&amp;K$2&amp;K$1&amp;"C"&amp;$A29)+100*RTD("tos.rtd",,"OPEN_INT","."&amp;K$2&amp;K$1&amp;"P"&amp;$A29)*RTD("tos.rtd",,"LAST","."&amp;K$2&amp;K$1&amp;"P"&amp;$A29))/1000000,(100*RTD("tos.rtd",,"OPEN_INT","."&amp;K$2&amp;K$1&amp;"C"&amp;$A29)*RTD("tos.rtd",,"LAST","."&amp;K$2&amp;K$1&amp;"C"&amp;$A29)-100*RTD("tos.rtd",,"OPEN_INT","."&amp;K$2&amp;K$1&amp;"P"&amp;$A29)*RTD("tos.rtd",,"LAST","."&amp;K$2&amp;K$1&amp;"P"&amp;$A29))/1000000),0),IF($A$2="PREMIUM",IFERROR(IF($X$1="ABS",(100*RTD("tos.rtd",,"VOLUME","."&amp;K$2&amp;K$1&amp;"C"&amp;$A29)*RTD("tos.rtd",,"LAST","."&amp;K$2&amp;K$1&amp;"C"&amp;$A29)+100*RTD("tos.rtd",,"VOLUME","."&amp;K$2&amp;K$1&amp;"P"&amp;$A29)*RTD("tos.rtd",,"LAST","."&amp;K$2&amp;K$1&amp;"P"&amp;$A29))/1000000,(100*RTD("tos.rtd",,"VOLUME","."&amp;K$2&amp;K$1&amp;"C"&amp;$A29)*RTD("tos.rtd",,"LAST","."&amp;K$2&amp;K$1&amp;"C"&amp;$A29)-100*RTD("tos.rtd",,"VOLUME","."&amp;K$2&amp;K$1&amp;"P"&amp;$A29)*RTD("tos.rtd",,"LAST","."&amp;K$2&amp;K$1&amp;"P"&amp;$A29))/1000000),0),IF($A$2="DEX",IFERROR(IF($X$1="ABS",(100*RTD("tos.rtd",,"OPEN_INT","."&amp;K$2&amp;K$1&amp;"C"&amp;$A29)*RTD("tos.rtd",,"DELTA","."&amp;K$2&amp;K$1&amp;"C"&amp;$A29)+100*RTD("tos.rtd",,"OPEN_INT","."&amp;K$2&amp;K$1&amp;"P"&amp;$A29)*RTD("tos.rtd",,"DELTA","."&amp;K$2&amp;K$1&amp;"P"&amp;$A29))/1000,(100*RTD("tos.rtd",,"OPEN_INT","."&amp;K$2&amp;K$1&amp;"C"&amp;$A29)*RTD("tos.rtd",,"DELTA","."&amp;K$2&amp;K$1&amp;"C"&amp;$A29)-100*RTD("tos.rtd",,"OPEN_INT","."&amp;K$2&amp;K$1&amp;"P"&amp;$A29)*RTD("tos.rtd",,"DELTA","."&amp;K$2&amp;K$1&amp;"P"&amp;$A29))/1000),0),IF($A$2="VEX",IFERROR(IF($X$1="ABS",($A$4*$A$4*RTD("tos.rtd",,"VOLUME","."&amp;K$2&amp;K$1&amp;"C"&amp;$A29)*RTD("tos.rtd",,"GAMMA","."&amp;K$2&amp;K$1&amp;"C"&amp;$A29)+$A$4*$A$4*RTD("tos.rtd",,"VOLUME","."&amp;K$2&amp;K$1&amp;"P"&amp;$A29)*RTD("tos.rtd",,"GAMMA","."&amp;K$2&amp;K$1&amp;"P"&amp;$A29))/1000000,($A$4*$A$4*RTD("tos.rtd",,"VOLUME","."&amp;K$2&amp;K$1&amp;"C"&amp;$A29)*RTD("tos.rtd",,"GAMMA","."&amp;K$2&amp;K$1&amp;"C"&amp;$A29)-$A$4*$A$4*RTD("tos.rtd",,"VOLUME","."&amp;K$2&amp;K$1&amp;"P"&amp;$A29)*RTD("tos.rtd",,"GAMMA","."&amp;K$2&amp;K$1&amp;"P"&amp;$A29))/1000000),0),IF($A$2="GEX",IFERROR(IF($X$1="ABS",($A$4*$A$4*RTD("tos.rtd",,"OPEN_INT","."&amp;K$2&amp;K$1&amp;"C"&amp;$A29)*RTD("tos.rtd",,"GAMMA","."&amp;K$2&amp;K$1&amp;"C"&amp;$A29)+$A$4*$A$4*RTD("tos.rtd",,"OPEN_INT","."&amp;K$2&amp;K$1&amp;"P"&amp;$A29)*RTD("tos.rtd",,"GAMMA","."&amp;K$2&amp;K$1&amp;"P"&amp;$A29))/1000000,($A$4*$A$4*RTD("tos.rtd",,"OPEN_INT","."&amp;K$2&amp;K$1&amp;"C"&amp;$A29)*RTD("tos.rtd",,"GAMMA","."&amp;K$2&amp;K$1&amp;"C"&amp;$A29)-$A$4*$A$4*RTD("tos.rtd",,"OPEN_INT","."&amp;K$2&amp;K$1&amp;"P"&amp;$A29)*RTD("tos.rtd",,"GAMMA","."&amp;K$2&amp;K$1&amp;"P"&amp;$A29))/1000000),0),IF($A$2="SKEW",IFERROR(VALUE(IF(RTD("tos.rtd",,"IMPL_VOL","."&amp;K$2&amp;K$1&amp;"P"&amp;$A29)="N/A",0,RTD("tos.rtd",,"IMPL_VOL","."&amp;K$2&amp;K$1&amp;"P"&amp;$A29))),0)-IFERROR(VALUE(IF(RTD("tos.rtd",,"IMPL_VOL","."&amp;K$2&amp;K$1&amp;"C"&amp;$A29)="N/A",0,RTD("tos.rtd",,"IMPL_VOL","."&amp;K$2&amp;K$1&amp;"C"&amp;$A29))),0),IF($A$2="MAXPAIN",IF($A$4&gt;$A29,($A$4-$A29)*IF(RTD("tos.rtd",,"OPEN_INT","."&amp;K$2&amp;K$1&amp;"C"&amp;$A29)="N/A",0,RTD("tos.rtd",,"OPEN_INT","."&amp;K$2&amp;K$1&amp;"C"&amp;$A29)),0)+IF($A$4&lt;$A29,($A$5-$A$4)*IF(RTD("tos.rtd",,"OPEN_INT","."&amp;K$2&amp;K$1&amp;"P"&amp;$A29)="N/A",0,RTD("tos.rtd",,"OPEN_INT","."&amp;K$2&amp;K$1&amp;"P"&amp;$A29)),0),IF($X$1="ABS",IF(RTD("tos.rtd",,$A$2,"."&amp;K$2&amp;K$1&amp;"C"&amp;$A29)="N/A",0,RTD("tos.rtd",,$A$2,"."&amp;K$2&amp;K$1&amp;"C"&amp;$A29))+IF(RTD("tos.rtd",,$A$2,"."&amp;K$2&amp;K$1&amp;"P"&amp;$A29)="N/A",0,RTD("tos.rtd",,$A$2,"."&amp;K$2&amp;K$1&amp;"P"&amp;$A29)),IF(RTD("tos.rtd",,$A$2,"."&amp;K$2&amp;K$1&amp;"C"&amp;$A29)="N/A",0,RTD("tos.rtd",,$A$2,"."&amp;K$2&amp;K$1&amp;"C"&amp;$A29))-IF(RTD("tos.rtd",,$A$2,"."&amp;K$2&amp;K$1&amp;"P"&amp;$A29)="N/A",0,RTD("tos.rtd",,$A$2,"."&amp;K$2&amp;K$1&amp;"P"&amp;$A29))))))))))</f>
        <v>0</v>
      </c>
      <c r="L29" s="54">
        <f ca="1">IF($A$2="PREMIUM_OI",IFERROR(IF($X$1="ABS",(100*RTD("tos.rtd",,"OPEN_INT","."&amp;L$2&amp;L$1&amp;"C"&amp;$A29)*RTD("tos.rtd",,"LAST","."&amp;L$2&amp;L$1&amp;"C"&amp;$A29)+100*RTD("tos.rtd",,"OPEN_INT","."&amp;L$2&amp;L$1&amp;"P"&amp;$A29)*RTD("tos.rtd",,"LAST","."&amp;L$2&amp;L$1&amp;"P"&amp;$A29))/1000000,(100*RTD("tos.rtd",,"OPEN_INT","."&amp;L$2&amp;L$1&amp;"C"&amp;$A29)*RTD("tos.rtd",,"LAST","."&amp;L$2&amp;L$1&amp;"C"&amp;$A29)-100*RTD("tos.rtd",,"OPEN_INT","."&amp;L$2&amp;L$1&amp;"P"&amp;$A29)*RTD("tos.rtd",,"LAST","."&amp;L$2&amp;L$1&amp;"P"&amp;$A29))/1000000),0),IF($A$2="PREMIUM",IFERROR(IF($X$1="ABS",(100*RTD("tos.rtd",,"VOLUME","."&amp;L$2&amp;L$1&amp;"C"&amp;$A29)*RTD("tos.rtd",,"LAST","."&amp;L$2&amp;L$1&amp;"C"&amp;$A29)+100*RTD("tos.rtd",,"VOLUME","."&amp;L$2&amp;L$1&amp;"P"&amp;$A29)*RTD("tos.rtd",,"LAST","."&amp;L$2&amp;L$1&amp;"P"&amp;$A29))/1000000,(100*RTD("tos.rtd",,"VOLUME","."&amp;L$2&amp;L$1&amp;"C"&amp;$A29)*RTD("tos.rtd",,"LAST","."&amp;L$2&amp;L$1&amp;"C"&amp;$A29)-100*RTD("tos.rtd",,"VOLUME","."&amp;L$2&amp;L$1&amp;"P"&amp;$A29)*RTD("tos.rtd",,"LAST","."&amp;L$2&amp;L$1&amp;"P"&amp;$A29))/1000000),0),IF($A$2="DEX",IFERROR(IF($X$1="ABS",(100*RTD("tos.rtd",,"OPEN_INT","."&amp;L$2&amp;L$1&amp;"C"&amp;$A29)*RTD("tos.rtd",,"DELTA","."&amp;L$2&amp;L$1&amp;"C"&amp;$A29)+100*RTD("tos.rtd",,"OPEN_INT","."&amp;L$2&amp;L$1&amp;"P"&amp;$A29)*RTD("tos.rtd",,"DELTA","."&amp;L$2&amp;L$1&amp;"P"&amp;$A29))/1000,(100*RTD("tos.rtd",,"OPEN_INT","."&amp;L$2&amp;L$1&amp;"C"&amp;$A29)*RTD("tos.rtd",,"DELTA","."&amp;L$2&amp;L$1&amp;"C"&amp;$A29)-100*RTD("tos.rtd",,"OPEN_INT","."&amp;L$2&amp;L$1&amp;"P"&amp;$A29)*RTD("tos.rtd",,"DELTA","."&amp;L$2&amp;L$1&amp;"P"&amp;$A29))/1000),0),IF($A$2="VEX",IFERROR(IF($X$1="ABS",($A$4*$A$4*RTD("tos.rtd",,"VOLUME","."&amp;L$2&amp;L$1&amp;"C"&amp;$A29)*RTD("tos.rtd",,"GAMMA","."&amp;L$2&amp;L$1&amp;"C"&amp;$A29)+$A$4*$A$4*RTD("tos.rtd",,"VOLUME","."&amp;L$2&amp;L$1&amp;"P"&amp;$A29)*RTD("tos.rtd",,"GAMMA","."&amp;L$2&amp;L$1&amp;"P"&amp;$A29))/1000000,($A$4*$A$4*RTD("tos.rtd",,"VOLUME","."&amp;L$2&amp;L$1&amp;"C"&amp;$A29)*RTD("tos.rtd",,"GAMMA","."&amp;L$2&amp;L$1&amp;"C"&amp;$A29)-$A$4*$A$4*RTD("tos.rtd",,"VOLUME","."&amp;L$2&amp;L$1&amp;"P"&amp;$A29)*RTD("tos.rtd",,"GAMMA","."&amp;L$2&amp;L$1&amp;"P"&amp;$A29))/1000000),0),IF($A$2="GEX",IFERROR(IF($X$1="ABS",($A$4*$A$4*RTD("tos.rtd",,"OPEN_INT","."&amp;L$2&amp;L$1&amp;"C"&amp;$A29)*RTD("tos.rtd",,"GAMMA","."&amp;L$2&amp;L$1&amp;"C"&amp;$A29)+$A$4*$A$4*RTD("tos.rtd",,"OPEN_INT","."&amp;L$2&amp;L$1&amp;"P"&amp;$A29)*RTD("tos.rtd",,"GAMMA","."&amp;L$2&amp;L$1&amp;"P"&amp;$A29))/1000000,($A$4*$A$4*RTD("tos.rtd",,"OPEN_INT","."&amp;L$2&amp;L$1&amp;"C"&amp;$A29)*RTD("tos.rtd",,"GAMMA","."&amp;L$2&amp;L$1&amp;"C"&amp;$A29)-$A$4*$A$4*RTD("tos.rtd",,"OPEN_INT","."&amp;L$2&amp;L$1&amp;"P"&amp;$A29)*RTD("tos.rtd",,"GAMMA","."&amp;L$2&amp;L$1&amp;"P"&amp;$A29))/1000000),0),IF($A$2="SKEW",IFERROR(VALUE(IF(RTD("tos.rtd",,"IMPL_VOL","."&amp;L$2&amp;L$1&amp;"P"&amp;$A29)="N/A",0,RTD("tos.rtd",,"IMPL_VOL","."&amp;L$2&amp;L$1&amp;"P"&amp;$A29))),0)-IFERROR(VALUE(IF(RTD("tos.rtd",,"IMPL_VOL","."&amp;L$2&amp;L$1&amp;"C"&amp;$A29)="N/A",0,RTD("tos.rtd",,"IMPL_VOL","."&amp;L$2&amp;L$1&amp;"C"&amp;$A29))),0),IF($A$2="MAXPAIN",IF($A$4&gt;$A29,($A$4-$A29)*IF(RTD("tos.rtd",,"OPEN_INT","."&amp;L$2&amp;L$1&amp;"C"&amp;$A29)="N/A",0,RTD("tos.rtd",,"OPEN_INT","."&amp;L$2&amp;L$1&amp;"C"&amp;$A29)),0)+IF($A$4&lt;$A29,($A$5-$A$4)*IF(RTD("tos.rtd",,"OPEN_INT","."&amp;L$2&amp;L$1&amp;"P"&amp;$A29)="N/A",0,RTD("tos.rtd",,"OPEN_INT","."&amp;L$2&amp;L$1&amp;"P"&amp;$A29)),0),IF($X$1="ABS",IF(RTD("tos.rtd",,$A$2,"."&amp;L$2&amp;L$1&amp;"C"&amp;$A29)="N/A",0,RTD("tos.rtd",,$A$2,"."&amp;L$2&amp;L$1&amp;"C"&amp;$A29))+IF(RTD("tos.rtd",,$A$2,"."&amp;L$2&amp;L$1&amp;"P"&amp;$A29)="N/A",0,RTD("tos.rtd",,$A$2,"."&amp;L$2&amp;L$1&amp;"P"&amp;$A29)),IF(RTD("tos.rtd",,$A$2,"."&amp;L$2&amp;L$1&amp;"C"&amp;$A29)="N/A",0,RTD("tos.rtd",,$A$2,"."&amp;L$2&amp;L$1&amp;"C"&amp;$A29))-IF(RTD("tos.rtd",,$A$2,"."&amp;L$2&amp;L$1&amp;"P"&amp;$A29)="N/A",0,RTD("tos.rtd",,$A$2,"."&amp;L$2&amp;L$1&amp;"P"&amp;$A29))))))))))</f>
        <v>0</v>
      </c>
      <c r="M29" s="12">
        <f ca="1">IF($A$2="PREMIUM_OI",IFERROR(IF($X$1="ABS",(100*RTD("tos.rtd",,"OPEN_INT","."&amp;M$2&amp;M$1&amp;"C"&amp;$A29)*RTD("tos.rtd",,"LAST","."&amp;M$2&amp;M$1&amp;"C"&amp;$A29)+100*RTD("tos.rtd",,"OPEN_INT","."&amp;M$2&amp;M$1&amp;"P"&amp;$A29)*RTD("tos.rtd",,"LAST","."&amp;M$2&amp;M$1&amp;"P"&amp;$A29))/1000000,(100*RTD("tos.rtd",,"OPEN_INT","."&amp;M$2&amp;M$1&amp;"C"&amp;$A29)*RTD("tos.rtd",,"LAST","."&amp;M$2&amp;M$1&amp;"C"&amp;$A29)-100*RTD("tos.rtd",,"OPEN_INT","."&amp;M$2&amp;M$1&amp;"P"&amp;$A29)*RTD("tos.rtd",,"LAST","."&amp;M$2&amp;M$1&amp;"P"&amp;$A29))/1000000),0),IF($A$2="PREMIUM",IFERROR(IF($X$1="ABS",(100*RTD("tos.rtd",,"VOLUME","."&amp;M$2&amp;M$1&amp;"C"&amp;$A29)*RTD("tos.rtd",,"LAST","."&amp;M$2&amp;M$1&amp;"C"&amp;$A29)+100*RTD("tos.rtd",,"VOLUME","."&amp;M$2&amp;M$1&amp;"P"&amp;$A29)*RTD("tos.rtd",,"LAST","."&amp;M$2&amp;M$1&amp;"P"&amp;$A29))/1000000,(100*RTD("tos.rtd",,"VOLUME","."&amp;M$2&amp;M$1&amp;"C"&amp;$A29)*RTD("tos.rtd",,"LAST","."&amp;M$2&amp;M$1&amp;"C"&amp;$A29)-100*RTD("tos.rtd",,"VOLUME","."&amp;M$2&amp;M$1&amp;"P"&amp;$A29)*RTD("tos.rtd",,"LAST","."&amp;M$2&amp;M$1&amp;"P"&amp;$A29))/1000000),0),IF($A$2="DEX",IFERROR(IF($X$1="ABS",(100*RTD("tos.rtd",,"OPEN_INT","."&amp;M$2&amp;M$1&amp;"C"&amp;$A29)*RTD("tos.rtd",,"DELTA","."&amp;M$2&amp;M$1&amp;"C"&amp;$A29)+100*RTD("tos.rtd",,"OPEN_INT","."&amp;M$2&amp;M$1&amp;"P"&amp;$A29)*RTD("tos.rtd",,"DELTA","."&amp;M$2&amp;M$1&amp;"P"&amp;$A29))/1000,(100*RTD("tos.rtd",,"OPEN_INT","."&amp;M$2&amp;M$1&amp;"C"&amp;$A29)*RTD("tos.rtd",,"DELTA","."&amp;M$2&amp;M$1&amp;"C"&amp;$A29)-100*RTD("tos.rtd",,"OPEN_INT","."&amp;M$2&amp;M$1&amp;"P"&amp;$A29)*RTD("tos.rtd",,"DELTA","."&amp;M$2&amp;M$1&amp;"P"&amp;$A29))/1000),0),IF($A$2="VEX",IFERROR(IF($X$1="ABS",($A$4*$A$4*RTD("tos.rtd",,"VOLUME","."&amp;M$2&amp;M$1&amp;"C"&amp;$A29)*RTD("tos.rtd",,"GAMMA","."&amp;M$2&amp;M$1&amp;"C"&amp;$A29)+$A$4*$A$4*RTD("tos.rtd",,"VOLUME","."&amp;M$2&amp;M$1&amp;"P"&amp;$A29)*RTD("tos.rtd",,"GAMMA","."&amp;M$2&amp;M$1&amp;"P"&amp;$A29))/1000000,($A$4*$A$4*RTD("tos.rtd",,"VOLUME","."&amp;M$2&amp;M$1&amp;"C"&amp;$A29)*RTD("tos.rtd",,"GAMMA","."&amp;M$2&amp;M$1&amp;"C"&amp;$A29)-$A$4*$A$4*RTD("tos.rtd",,"VOLUME","."&amp;M$2&amp;M$1&amp;"P"&amp;$A29)*RTD("tos.rtd",,"GAMMA","."&amp;M$2&amp;M$1&amp;"P"&amp;$A29))/1000000),0),IF($A$2="GEX",IFERROR(IF($X$1="ABS",($A$4*$A$4*RTD("tos.rtd",,"OPEN_INT","."&amp;M$2&amp;M$1&amp;"C"&amp;$A29)*RTD("tos.rtd",,"GAMMA","."&amp;M$2&amp;M$1&amp;"C"&amp;$A29)+$A$4*$A$4*RTD("tos.rtd",,"OPEN_INT","."&amp;M$2&amp;M$1&amp;"P"&amp;$A29)*RTD("tos.rtd",,"GAMMA","."&amp;M$2&amp;M$1&amp;"P"&amp;$A29))/1000000,($A$4*$A$4*RTD("tos.rtd",,"OPEN_INT","."&amp;M$2&amp;M$1&amp;"C"&amp;$A29)*RTD("tos.rtd",,"GAMMA","."&amp;M$2&amp;M$1&amp;"C"&amp;$A29)-$A$4*$A$4*RTD("tos.rtd",,"OPEN_INT","."&amp;M$2&amp;M$1&amp;"P"&amp;$A29)*RTD("tos.rtd",,"GAMMA","."&amp;M$2&amp;M$1&amp;"P"&amp;$A29))/1000000),0),IF($A$2="SKEW",IFERROR(VALUE(IF(RTD("tos.rtd",,"IMPL_VOL","."&amp;M$2&amp;M$1&amp;"P"&amp;$A29)="N/A",0,RTD("tos.rtd",,"IMPL_VOL","."&amp;M$2&amp;M$1&amp;"P"&amp;$A29))),0)-IFERROR(VALUE(IF(RTD("tos.rtd",,"IMPL_VOL","."&amp;M$2&amp;M$1&amp;"C"&amp;$A29)="N/A",0,RTD("tos.rtd",,"IMPL_VOL","."&amp;M$2&amp;M$1&amp;"C"&amp;$A29))),0),IF($A$2="MAXPAIN",IF($A$4&gt;$A29,($A$4-$A29)*IF(RTD("tos.rtd",,"OPEN_INT","."&amp;M$2&amp;M$1&amp;"C"&amp;$A29)="N/A",0,RTD("tos.rtd",,"OPEN_INT","."&amp;M$2&amp;M$1&amp;"C"&amp;$A29)),0)+IF($A$4&lt;$A29,($A$5-$A$4)*IF(RTD("tos.rtd",,"OPEN_INT","."&amp;M$2&amp;M$1&amp;"P"&amp;$A29)="N/A",0,RTD("tos.rtd",,"OPEN_INT","."&amp;M$2&amp;M$1&amp;"P"&amp;$A29)),0),IF($X$1="ABS",IF(RTD("tos.rtd",,$A$2,"."&amp;M$2&amp;M$1&amp;"C"&amp;$A29)="N/A",0,RTD("tos.rtd",,$A$2,"."&amp;M$2&amp;M$1&amp;"C"&amp;$A29))+IF(RTD("tos.rtd",,$A$2,"."&amp;M$2&amp;M$1&amp;"P"&amp;$A29)="N/A",0,RTD("tos.rtd",,$A$2,"."&amp;M$2&amp;M$1&amp;"P"&amp;$A29)),IF(RTD("tos.rtd",,$A$2,"."&amp;M$2&amp;M$1&amp;"C"&amp;$A29)="N/A",0,RTD("tos.rtd",,$A$2,"."&amp;M$2&amp;M$1&amp;"C"&amp;$A29))-IF(RTD("tos.rtd",,$A$2,"."&amp;M$2&amp;M$1&amp;"P"&amp;$A29)="N/A",0,RTD("tos.rtd",,$A$2,"."&amp;M$2&amp;M$1&amp;"P"&amp;$A29))))))))))</f>
        <v>0</v>
      </c>
      <c r="N29" s="12">
        <f ca="1">IF($A$2="PREMIUM_OI",IFERROR(IF($X$1="ABS",(100*RTD("tos.rtd",,"OPEN_INT","."&amp;N$2&amp;N$1&amp;"C"&amp;$A29)*RTD("tos.rtd",,"LAST","."&amp;N$2&amp;N$1&amp;"C"&amp;$A29)+100*RTD("tos.rtd",,"OPEN_INT","."&amp;N$2&amp;N$1&amp;"P"&amp;$A29)*RTD("tos.rtd",,"LAST","."&amp;N$2&amp;N$1&amp;"P"&amp;$A29))/1000000,(100*RTD("tos.rtd",,"OPEN_INT","."&amp;N$2&amp;N$1&amp;"C"&amp;$A29)*RTD("tos.rtd",,"LAST","."&amp;N$2&amp;N$1&amp;"C"&amp;$A29)-100*RTD("tos.rtd",,"OPEN_INT","."&amp;N$2&amp;N$1&amp;"P"&amp;$A29)*RTD("tos.rtd",,"LAST","."&amp;N$2&amp;N$1&amp;"P"&amp;$A29))/1000000),0),IF($A$2="PREMIUM",IFERROR(IF($X$1="ABS",(100*RTD("tos.rtd",,"VOLUME","."&amp;N$2&amp;N$1&amp;"C"&amp;$A29)*RTD("tos.rtd",,"LAST","."&amp;N$2&amp;N$1&amp;"C"&amp;$A29)+100*RTD("tos.rtd",,"VOLUME","."&amp;N$2&amp;N$1&amp;"P"&amp;$A29)*RTD("tos.rtd",,"LAST","."&amp;N$2&amp;N$1&amp;"P"&amp;$A29))/1000000,(100*RTD("tos.rtd",,"VOLUME","."&amp;N$2&amp;N$1&amp;"C"&amp;$A29)*RTD("tos.rtd",,"LAST","."&amp;N$2&amp;N$1&amp;"C"&amp;$A29)-100*RTD("tos.rtd",,"VOLUME","."&amp;N$2&amp;N$1&amp;"P"&amp;$A29)*RTD("tos.rtd",,"LAST","."&amp;N$2&amp;N$1&amp;"P"&amp;$A29))/1000000),0),IF($A$2="DEX",IFERROR(IF($X$1="ABS",(100*RTD("tos.rtd",,"OPEN_INT","."&amp;N$2&amp;N$1&amp;"C"&amp;$A29)*RTD("tos.rtd",,"DELTA","."&amp;N$2&amp;N$1&amp;"C"&amp;$A29)+100*RTD("tos.rtd",,"OPEN_INT","."&amp;N$2&amp;N$1&amp;"P"&amp;$A29)*RTD("tos.rtd",,"DELTA","."&amp;N$2&amp;N$1&amp;"P"&amp;$A29))/1000,(100*RTD("tos.rtd",,"OPEN_INT","."&amp;N$2&amp;N$1&amp;"C"&amp;$A29)*RTD("tos.rtd",,"DELTA","."&amp;N$2&amp;N$1&amp;"C"&amp;$A29)-100*RTD("tos.rtd",,"OPEN_INT","."&amp;N$2&amp;N$1&amp;"P"&amp;$A29)*RTD("tos.rtd",,"DELTA","."&amp;N$2&amp;N$1&amp;"P"&amp;$A29))/1000),0),IF($A$2="VEX",IFERROR(IF($X$1="ABS",($A$4*$A$4*RTD("tos.rtd",,"VOLUME","."&amp;N$2&amp;N$1&amp;"C"&amp;$A29)*RTD("tos.rtd",,"GAMMA","."&amp;N$2&amp;N$1&amp;"C"&amp;$A29)+$A$4*$A$4*RTD("tos.rtd",,"VOLUME","."&amp;N$2&amp;N$1&amp;"P"&amp;$A29)*RTD("tos.rtd",,"GAMMA","."&amp;N$2&amp;N$1&amp;"P"&amp;$A29))/1000000,($A$4*$A$4*RTD("tos.rtd",,"VOLUME","."&amp;N$2&amp;N$1&amp;"C"&amp;$A29)*RTD("tos.rtd",,"GAMMA","."&amp;N$2&amp;N$1&amp;"C"&amp;$A29)-$A$4*$A$4*RTD("tos.rtd",,"VOLUME","."&amp;N$2&amp;N$1&amp;"P"&amp;$A29)*RTD("tos.rtd",,"GAMMA","."&amp;N$2&amp;N$1&amp;"P"&amp;$A29))/1000000),0),IF($A$2="GEX",IFERROR(IF($X$1="ABS",($A$4*$A$4*RTD("tos.rtd",,"OPEN_INT","."&amp;N$2&amp;N$1&amp;"C"&amp;$A29)*RTD("tos.rtd",,"GAMMA","."&amp;N$2&amp;N$1&amp;"C"&amp;$A29)+$A$4*$A$4*RTD("tos.rtd",,"OPEN_INT","."&amp;N$2&amp;N$1&amp;"P"&amp;$A29)*RTD("tos.rtd",,"GAMMA","."&amp;N$2&amp;N$1&amp;"P"&amp;$A29))/1000000,($A$4*$A$4*RTD("tos.rtd",,"OPEN_INT","."&amp;N$2&amp;N$1&amp;"C"&amp;$A29)*RTD("tos.rtd",,"GAMMA","."&amp;N$2&amp;N$1&amp;"C"&amp;$A29)-$A$4*$A$4*RTD("tos.rtd",,"OPEN_INT","."&amp;N$2&amp;N$1&amp;"P"&amp;$A29)*RTD("tos.rtd",,"GAMMA","."&amp;N$2&amp;N$1&amp;"P"&amp;$A29))/1000000),0),IF($A$2="SKEW",IFERROR(VALUE(IF(RTD("tos.rtd",,"IMPL_VOL","."&amp;N$2&amp;N$1&amp;"P"&amp;$A29)="N/A",0,RTD("tos.rtd",,"IMPL_VOL","."&amp;N$2&amp;N$1&amp;"P"&amp;$A29))),0)-IFERROR(VALUE(IF(RTD("tos.rtd",,"IMPL_VOL","."&amp;N$2&amp;N$1&amp;"C"&amp;$A29)="N/A",0,RTD("tos.rtd",,"IMPL_VOL","."&amp;N$2&amp;N$1&amp;"C"&amp;$A29))),0),IF($A$2="MAXPAIN",IF($A$4&gt;$A29,($A$4-$A29)*IF(RTD("tos.rtd",,"OPEN_INT","."&amp;N$2&amp;N$1&amp;"C"&amp;$A29)="N/A",0,RTD("tos.rtd",,"OPEN_INT","."&amp;N$2&amp;N$1&amp;"C"&amp;$A29)),0)+IF($A$4&lt;$A29,($A$5-$A$4)*IF(RTD("tos.rtd",,"OPEN_INT","."&amp;N$2&amp;N$1&amp;"P"&amp;$A29)="N/A",0,RTD("tos.rtd",,"OPEN_INT","."&amp;N$2&amp;N$1&amp;"P"&amp;$A29)),0),IF($X$1="ABS",IF(RTD("tos.rtd",,$A$2,"."&amp;N$2&amp;N$1&amp;"C"&amp;$A29)="N/A",0,RTD("tos.rtd",,$A$2,"."&amp;N$2&amp;N$1&amp;"C"&amp;$A29))+IF(RTD("tos.rtd",,$A$2,"."&amp;N$2&amp;N$1&amp;"P"&amp;$A29)="N/A",0,RTD("tos.rtd",,$A$2,"."&amp;N$2&amp;N$1&amp;"P"&amp;$A29)),IF(RTD("tos.rtd",,$A$2,"."&amp;N$2&amp;N$1&amp;"C"&amp;$A29)="N/A",0,RTD("tos.rtd",,$A$2,"."&amp;N$2&amp;N$1&amp;"C"&amp;$A29))-IF(RTD("tos.rtd",,$A$2,"."&amp;N$2&amp;N$1&amp;"P"&amp;$A29)="N/A",0,RTD("tos.rtd",,$A$2,"."&amp;N$2&amp;N$1&amp;"P"&amp;$A29))))))))))</f>
        <v>0</v>
      </c>
      <c r="O29" s="12">
        <f ca="1">IF($A$2="PREMIUM_OI",IFERROR(IF($X$1="ABS",(100*RTD("tos.rtd",,"OPEN_INT","."&amp;O$2&amp;O$1&amp;"C"&amp;$A29)*RTD("tos.rtd",,"LAST","."&amp;O$2&amp;O$1&amp;"C"&amp;$A29)+100*RTD("tos.rtd",,"OPEN_INT","."&amp;O$2&amp;O$1&amp;"P"&amp;$A29)*RTD("tos.rtd",,"LAST","."&amp;O$2&amp;O$1&amp;"P"&amp;$A29))/1000000,(100*RTD("tos.rtd",,"OPEN_INT","."&amp;O$2&amp;O$1&amp;"C"&amp;$A29)*RTD("tos.rtd",,"LAST","."&amp;O$2&amp;O$1&amp;"C"&amp;$A29)-100*RTD("tos.rtd",,"OPEN_INT","."&amp;O$2&amp;O$1&amp;"P"&amp;$A29)*RTD("tos.rtd",,"LAST","."&amp;O$2&amp;O$1&amp;"P"&amp;$A29))/1000000),0),IF($A$2="PREMIUM",IFERROR(IF($X$1="ABS",(100*RTD("tos.rtd",,"VOLUME","."&amp;O$2&amp;O$1&amp;"C"&amp;$A29)*RTD("tos.rtd",,"LAST","."&amp;O$2&amp;O$1&amp;"C"&amp;$A29)+100*RTD("tos.rtd",,"VOLUME","."&amp;O$2&amp;O$1&amp;"P"&amp;$A29)*RTD("tos.rtd",,"LAST","."&amp;O$2&amp;O$1&amp;"P"&amp;$A29))/1000000,(100*RTD("tos.rtd",,"VOLUME","."&amp;O$2&amp;O$1&amp;"C"&amp;$A29)*RTD("tos.rtd",,"LAST","."&amp;O$2&amp;O$1&amp;"C"&amp;$A29)-100*RTD("tos.rtd",,"VOLUME","."&amp;O$2&amp;O$1&amp;"P"&amp;$A29)*RTD("tos.rtd",,"LAST","."&amp;O$2&amp;O$1&amp;"P"&amp;$A29))/1000000),0),IF($A$2="DEX",IFERROR(IF($X$1="ABS",(100*RTD("tos.rtd",,"OPEN_INT","."&amp;O$2&amp;O$1&amp;"C"&amp;$A29)*RTD("tos.rtd",,"DELTA","."&amp;O$2&amp;O$1&amp;"C"&amp;$A29)+100*RTD("tos.rtd",,"OPEN_INT","."&amp;O$2&amp;O$1&amp;"P"&amp;$A29)*RTD("tos.rtd",,"DELTA","."&amp;O$2&amp;O$1&amp;"P"&amp;$A29))/1000,(100*RTD("tos.rtd",,"OPEN_INT","."&amp;O$2&amp;O$1&amp;"C"&amp;$A29)*RTD("tos.rtd",,"DELTA","."&amp;O$2&amp;O$1&amp;"C"&amp;$A29)-100*RTD("tos.rtd",,"OPEN_INT","."&amp;O$2&amp;O$1&amp;"P"&amp;$A29)*RTD("tos.rtd",,"DELTA","."&amp;O$2&amp;O$1&amp;"P"&amp;$A29))/1000),0),IF($A$2="VEX",IFERROR(IF($X$1="ABS",($A$4*$A$4*RTD("tos.rtd",,"VOLUME","."&amp;O$2&amp;O$1&amp;"C"&amp;$A29)*RTD("tos.rtd",,"GAMMA","."&amp;O$2&amp;O$1&amp;"C"&amp;$A29)+$A$4*$A$4*RTD("tos.rtd",,"VOLUME","."&amp;O$2&amp;O$1&amp;"P"&amp;$A29)*RTD("tos.rtd",,"GAMMA","."&amp;O$2&amp;O$1&amp;"P"&amp;$A29))/1000000,($A$4*$A$4*RTD("tos.rtd",,"VOLUME","."&amp;O$2&amp;O$1&amp;"C"&amp;$A29)*RTD("tos.rtd",,"GAMMA","."&amp;O$2&amp;O$1&amp;"C"&amp;$A29)-$A$4*$A$4*RTD("tos.rtd",,"VOLUME","."&amp;O$2&amp;O$1&amp;"P"&amp;$A29)*RTD("tos.rtd",,"GAMMA","."&amp;O$2&amp;O$1&amp;"P"&amp;$A29))/1000000),0),IF($A$2="GEX",IFERROR(IF($X$1="ABS",($A$4*$A$4*RTD("tos.rtd",,"OPEN_INT","."&amp;O$2&amp;O$1&amp;"C"&amp;$A29)*RTD("tos.rtd",,"GAMMA","."&amp;O$2&amp;O$1&amp;"C"&amp;$A29)+$A$4*$A$4*RTD("tos.rtd",,"OPEN_INT","."&amp;O$2&amp;O$1&amp;"P"&amp;$A29)*RTD("tos.rtd",,"GAMMA","."&amp;O$2&amp;O$1&amp;"P"&amp;$A29))/1000000,($A$4*$A$4*RTD("tos.rtd",,"OPEN_INT","."&amp;O$2&amp;O$1&amp;"C"&amp;$A29)*RTD("tos.rtd",,"GAMMA","."&amp;O$2&amp;O$1&amp;"C"&amp;$A29)-$A$4*$A$4*RTD("tos.rtd",,"OPEN_INT","."&amp;O$2&amp;O$1&amp;"P"&amp;$A29)*RTD("tos.rtd",,"GAMMA","."&amp;O$2&amp;O$1&amp;"P"&amp;$A29))/1000000),0),IF($A$2="SKEW",IFERROR(VALUE(IF(RTD("tos.rtd",,"IMPL_VOL","."&amp;O$2&amp;O$1&amp;"P"&amp;$A29)="N/A",0,RTD("tos.rtd",,"IMPL_VOL","."&amp;O$2&amp;O$1&amp;"P"&amp;$A29))),0)-IFERROR(VALUE(IF(RTD("tos.rtd",,"IMPL_VOL","."&amp;O$2&amp;O$1&amp;"C"&amp;$A29)="N/A",0,RTD("tos.rtd",,"IMPL_VOL","."&amp;O$2&amp;O$1&amp;"C"&amp;$A29))),0),IF($A$2="MAXPAIN",IF($A$4&gt;$A29,($A$4-$A29)*IF(RTD("tos.rtd",,"OPEN_INT","."&amp;O$2&amp;O$1&amp;"C"&amp;$A29)="N/A",0,RTD("tos.rtd",,"OPEN_INT","."&amp;O$2&amp;O$1&amp;"C"&amp;$A29)),0)+IF($A$4&lt;$A29,($A$5-$A$4)*IF(RTD("tos.rtd",,"OPEN_INT","."&amp;O$2&amp;O$1&amp;"P"&amp;$A29)="N/A",0,RTD("tos.rtd",,"OPEN_INT","."&amp;O$2&amp;O$1&amp;"P"&amp;$A29)),0),IF($X$1="ABS",IF(RTD("tos.rtd",,$A$2,"."&amp;O$2&amp;O$1&amp;"C"&amp;$A29)="N/A",0,RTD("tos.rtd",,$A$2,"."&amp;O$2&amp;O$1&amp;"C"&amp;$A29))+IF(RTD("tos.rtd",,$A$2,"."&amp;O$2&amp;O$1&amp;"P"&amp;$A29)="N/A",0,RTD("tos.rtd",,$A$2,"."&amp;O$2&amp;O$1&amp;"P"&amp;$A29)),IF(RTD("tos.rtd",,$A$2,"."&amp;O$2&amp;O$1&amp;"C"&amp;$A29)="N/A",0,RTD("tos.rtd",,$A$2,"."&amp;O$2&amp;O$1&amp;"C"&amp;$A29))-IF(RTD("tos.rtd",,$A$2,"."&amp;O$2&amp;O$1&amp;"P"&amp;$A29)="N/A",0,RTD("tos.rtd",,$A$2,"."&amp;O$2&amp;O$1&amp;"P"&amp;$A29))))))))))</f>
        <v>0</v>
      </c>
      <c r="P29" s="12">
        <f ca="1">IF($A$2="PREMIUM_OI",IFERROR(IF($X$1="ABS",(100*RTD("tos.rtd",,"OPEN_INT","."&amp;P$2&amp;P$1&amp;"C"&amp;$A29)*RTD("tos.rtd",,"LAST","."&amp;P$2&amp;P$1&amp;"C"&amp;$A29)+100*RTD("tos.rtd",,"OPEN_INT","."&amp;P$2&amp;P$1&amp;"P"&amp;$A29)*RTD("tos.rtd",,"LAST","."&amp;P$2&amp;P$1&amp;"P"&amp;$A29))/1000000,(100*RTD("tos.rtd",,"OPEN_INT","."&amp;P$2&amp;P$1&amp;"C"&amp;$A29)*RTD("tos.rtd",,"LAST","."&amp;P$2&amp;P$1&amp;"C"&amp;$A29)-100*RTD("tos.rtd",,"OPEN_INT","."&amp;P$2&amp;P$1&amp;"P"&amp;$A29)*RTD("tos.rtd",,"LAST","."&amp;P$2&amp;P$1&amp;"P"&amp;$A29))/1000000),0),IF($A$2="PREMIUM",IFERROR(IF($X$1="ABS",(100*RTD("tos.rtd",,"VOLUME","."&amp;P$2&amp;P$1&amp;"C"&amp;$A29)*RTD("tos.rtd",,"LAST","."&amp;P$2&amp;P$1&amp;"C"&amp;$A29)+100*RTD("tos.rtd",,"VOLUME","."&amp;P$2&amp;P$1&amp;"P"&amp;$A29)*RTD("tos.rtd",,"LAST","."&amp;P$2&amp;P$1&amp;"P"&amp;$A29))/1000000,(100*RTD("tos.rtd",,"VOLUME","."&amp;P$2&amp;P$1&amp;"C"&amp;$A29)*RTD("tos.rtd",,"LAST","."&amp;P$2&amp;P$1&amp;"C"&amp;$A29)-100*RTD("tos.rtd",,"VOLUME","."&amp;P$2&amp;P$1&amp;"P"&amp;$A29)*RTD("tos.rtd",,"LAST","."&amp;P$2&amp;P$1&amp;"P"&amp;$A29))/1000000),0),IF($A$2="DEX",IFERROR(IF($X$1="ABS",(100*RTD("tos.rtd",,"OPEN_INT","."&amp;P$2&amp;P$1&amp;"C"&amp;$A29)*RTD("tos.rtd",,"DELTA","."&amp;P$2&amp;P$1&amp;"C"&amp;$A29)+100*RTD("tos.rtd",,"OPEN_INT","."&amp;P$2&amp;P$1&amp;"P"&amp;$A29)*RTD("tos.rtd",,"DELTA","."&amp;P$2&amp;P$1&amp;"P"&amp;$A29))/1000,(100*RTD("tos.rtd",,"OPEN_INT","."&amp;P$2&amp;P$1&amp;"C"&amp;$A29)*RTD("tos.rtd",,"DELTA","."&amp;P$2&amp;P$1&amp;"C"&amp;$A29)-100*RTD("tos.rtd",,"OPEN_INT","."&amp;P$2&amp;P$1&amp;"P"&amp;$A29)*RTD("tos.rtd",,"DELTA","."&amp;P$2&amp;P$1&amp;"P"&amp;$A29))/1000),0),IF($A$2="VEX",IFERROR(IF($X$1="ABS",($A$4*$A$4*RTD("tos.rtd",,"VOLUME","."&amp;P$2&amp;P$1&amp;"C"&amp;$A29)*RTD("tos.rtd",,"GAMMA","."&amp;P$2&amp;P$1&amp;"C"&amp;$A29)+$A$4*$A$4*RTD("tos.rtd",,"VOLUME","."&amp;P$2&amp;P$1&amp;"P"&amp;$A29)*RTD("tos.rtd",,"GAMMA","."&amp;P$2&amp;P$1&amp;"P"&amp;$A29))/1000000,($A$4*$A$4*RTD("tos.rtd",,"VOLUME","."&amp;P$2&amp;P$1&amp;"C"&amp;$A29)*RTD("tos.rtd",,"GAMMA","."&amp;P$2&amp;P$1&amp;"C"&amp;$A29)-$A$4*$A$4*RTD("tos.rtd",,"VOLUME","."&amp;P$2&amp;P$1&amp;"P"&amp;$A29)*RTD("tos.rtd",,"GAMMA","."&amp;P$2&amp;P$1&amp;"P"&amp;$A29))/1000000),0),IF($A$2="GEX",IFERROR(IF($X$1="ABS",($A$4*$A$4*RTD("tos.rtd",,"OPEN_INT","."&amp;P$2&amp;P$1&amp;"C"&amp;$A29)*RTD("tos.rtd",,"GAMMA","."&amp;P$2&amp;P$1&amp;"C"&amp;$A29)+$A$4*$A$4*RTD("tos.rtd",,"OPEN_INT","."&amp;P$2&amp;P$1&amp;"P"&amp;$A29)*RTD("tos.rtd",,"GAMMA","."&amp;P$2&amp;P$1&amp;"P"&amp;$A29))/1000000,($A$4*$A$4*RTD("tos.rtd",,"OPEN_INT","."&amp;P$2&amp;P$1&amp;"C"&amp;$A29)*RTD("tos.rtd",,"GAMMA","."&amp;P$2&amp;P$1&amp;"C"&amp;$A29)-$A$4*$A$4*RTD("tos.rtd",,"OPEN_INT","."&amp;P$2&amp;P$1&amp;"P"&amp;$A29)*RTD("tos.rtd",,"GAMMA","."&amp;P$2&amp;P$1&amp;"P"&amp;$A29))/1000000),0),IF($A$2="SKEW",IFERROR(VALUE(IF(RTD("tos.rtd",,"IMPL_VOL","."&amp;P$2&amp;P$1&amp;"P"&amp;$A29)="N/A",0,RTD("tos.rtd",,"IMPL_VOL","."&amp;P$2&amp;P$1&amp;"P"&amp;$A29))),0)-IFERROR(VALUE(IF(RTD("tos.rtd",,"IMPL_VOL","."&amp;P$2&amp;P$1&amp;"C"&amp;$A29)="N/A",0,RTD("tos.rtd",,"IMPL_VOL","."&amp;P$2&amp;P$1&amp;"C"&amp;$A29))),0),IF($A$2="MAXPAIN",IF($A$4&gt;$A29,($A$4-$A29)*IF(RTD("tos.rtd",,"OPEN_INT","."&amp;P$2&amp;P$1&amp;"C"&amp;$A29)="N/A",0,RTD("tos.rtd",,"OPEN_INT","."&amp;P$2&amp;P$1&amp;"C"&amp;$A29)),0)+IF($A$4&lt;$A29,($A$5-$A$4)*IF(RTD("tos.rtd",,"OPEN_INT","."&amp;P$2&amp;P$1&amp;"P"&amp;$A29)="N/A",0,RTD("tos.rtd",,"OPEN_INT","."&amp;P$2&amp;P$1&amp;"P"&amp;$A29)),0),IF($X$1="ABS",IF(RTD("tos.rtd",,$A$2,"."&amp;P$2&amp;P$1&amp;"C"&amp;$A29)="N/A",0,RTD("tos.rtd",,$A$2,"."&amp;P$2&amp;P$1&amp;"C"&amp;$A29))+IF(RTD("tos.rtd",,$A$2,"."&amp;P$2&amp;P$1&amp;"P"&amp;$A29)="N/A",0,RTD("tos.rtd",,$A$2,"."&amp;P$2&amp;P$1&amp;"P"&amp;$A29)),IF(RTD("tos.rtd",,$A$2,"."&amp;P$2&amp;P$1&amp;"C"&amp;$A29)="N/A",0,RTD("tos.rtd",,$A$2,"."&amp;P$2&amp;P$1&amp;"C"&amp;$A29))-IF(RTD("tos.rtd",,$A$2,"."&amp;P$2&amp;P$1&amp;"P"&amp;$A29)="N/A",0,RTD("tos.rtd",,$A$2,"."&amp;P$2&amp;P$1&amp;"P"&amp;$A29))))))))))</f>
        <v>0</v>
      </c>
      <c r="Q29" s="12">
        <f ca="1">IF($A$2="PREMIUM_OI",IFERROR(IF($X$1="ABS",(100*RTD("tos.rtd",,"OPEN_INT","."&amp;Q$2&amp;Q$1&amp;"C"&amp;$A29)*RTD("tos.rtd",,"LAST","."&amp;Q$2&amp;Q$1&amp;"C"&amp;$A29)+100*RTD("tos.rtd",,"OPEN_INT","."&amp;Q$2&amp;Q$1&amp;"P"&amp;$A29)*RTD("tos.rtd",,"LAST","."&amp;Q$2&amp;Q$1&amp;"P"&amp;$A29))/1000000,(100*RTD("tos.rtd",,"OPEN_INT","."&amp;Q$2&amp;Q$1&amp;"C"&amp;$A29)*RTD("tos.rtd",,"LAST","."&amp;Q$2&amp;Q$1&amp;"C"&amp;$A29)-100*RTD("tos.rtd",,"OPEN_INT","."&amp;Q$2&amp;Q$1&amp;"P"&amp;$A29)*RTD("tos.rtd",,"LAST","."&amp;Q$2&amp;Q$1&amp;"P"&amp;$A29))/1000000),0),IF($A$2="PREMIUM",IFERROR(IF($X$1="ABS",(100*RTD("tos.rtd",,"VOLUME","."&amp;Q$2&amp;Q$1&amp;"C"&amp;$A29)*RTD("tos.rtd",,"LAST","."&amp;Q$2&amp;Q$1&amp;"C"&amp;$A29)+100*RTD("tos.rtd",,"VOLUME","."&amp;Q$2&amp;Q$1&amp;"P"&amp;$A29)*RTD("tos.rtd",,"LAST","."&amp;Q$2&amp;Q$1&amp;"P"&amp;$A29))/1000000,(100*RTD("tos.rtd",,"VOLUME","."&amp;Q$2&amp;Q$1&amp;"C"&amp;$A29)*RTD("tos.rtd",,"LAST","."&amp;Q$2&amp;Q$1&amp;"C"&amp;$A29)-100*RTD("tos.rtd",,"VOLUME","."&amp;Q$2&amp;Q$1&amp;"P"&amp;$A29)*RTD("tos.rtd",,"LAST","."&amp;Q$2&amp;Q$1&amp;"P"&amp;$A29))/1000000),0),IF($A$2="DEX",IFERROR(IF($X$1="ABS",(100*RTD("tos.rtd",,"OPEN_INT","."&amp;Q$2&amp;Q$1&amp;"C"&amp;$A29)*RTD("tos.rtd",,"DELTA","."&amp;Q$2&amp;Q$1&amp;"C"&amp;$A29)+100*RTD("tos.rtd",,"OPEN_INT","."&amp;Q$2&amp;Q$1&amp;"P"&amp;$A29)*RTD("tos.rtd",,"DELTA","."&amp;Q$2&amp;Q$1&amp;"P"&amp;$A29))/1000,(100*RTD("tos.rtd",,"OPEN_INT","."&amp;Q$2&amp;Q$1&amp;"C"&amp;$A29)*RTD("tos.rtd",,"DELTA","."&amp;Q$2&amp;Q$1&amp;"C"&amp;$A29)-100*RTD("tos.rtd",,"OPEN_INT","."&amp;Q$2&amp;Q$1&amp;"P"&amp;$A29)*RTD("tos.rtd",,"DELTA","."&amp;Q$2&amp;Q$1&amp;"P"&amp;$A29))/1000),0),IF($A$2="VEX",IFERROR(IF($X$1="ABS",($A$4*$A$4*RTD("tos.rtd",,"VOLUME","."&amp;Q$2&amp;Q$1&amp;"C"&amp;$A29)*RTD("tos.rtd",,"GAMMA","."&amp;Q$2&amp;Q$1&amp;"C"&amp;$A29)+$A$4*$A$4*RTD("tos.rtd",,"VOLUME","."&amp;Q$2&amp;Q$1&amp;"P"&amp;$A29)*RTD("tos.rtd",,"GAMMA","."&amp;Q$2&amp;Q$1&amp;"P"&amp;$A29))/1000000,($A$4*$A$4*RTD("tos.rtd",,"VOLUME","."&amp;Q$2&amp;Q$1&amp;"C"&amp;$A29)*RTD("tos.rtd",,"GAMMA","."&amp;Q$2&amp;Q$1&amp;"C"&amp;$A29)-$A$4*$A$4*RTD("tos.rtd",,"VOLUME","."&amp;Q$2&amp;Q$1&amp;"P"&amp;$A29)*RTD("tos.rtd",,"GAMMA","."&amp;Q$2&amp;Q$1&amp;"P"&amp;$A29))/1000000),0),IF($A$2="GEX",IFERROR(IF($X$1="ABS",($A$4*$A$4*RTD("tos.rtd",,"OPEN_INT","."&amp;Q$2&amp;Q$1&amp;"C"&amp;$A29)*RTD("tos.rtd",,"GAMMA","."&amp;Q$2&amp;Q$1&amp;"C"&amp;$A29)+$A$4*$A$4*RTD("tos.rtd",,"OPEN_INT","."&amp;Q$2&amp;Q$1&amp;"P"&amp;$A29)*RTD("tos.rtd",,"GAMMA","."&amp;Q$2&amp;Q$1&amp;"P"&amp;$A29))/1000000,($A$4*$A$4*RTD("tos.rtd",,"OPEN_INT","."&amp;Q$2&amp;Q$1&amp;"C"&amp;$A29)*RTD("tos.rtd",,"GAMMA","."&amp;Q$2&amp;Q$1&amp;"C"&amp;$A29)-$A$4*$A$4*RTD("tos.rtd",,"OPEN_INT","."&amp;Q$2&amp;Q$1&amp;"P"&amp;$A29)*RTD("tos.rtd",,"GAMMA","."&amp;Q$2&amp;Q$1&amp;"P"&amp;$A29))/1000000),0),IF($A$2="SKEW",IFERROR(VALUE(IF(RTD("tos.rtd",,"IMPL_VOL","."&amp;Q$2&amp;Q$1&amp;"P"&amp;$A29)="N/A",0,RTD("tos.rtd",,"IMPL_VOL","."&amp;Q$2&amp;Q$1&amp;"P"&amp;$A29))),0)-IFERROR(VALUE(IF(RTD("tos.rtd",,"IMPL_VOL","."&amp;Q$2&amp;Q$1&amp;"C"&amp;$A29)="N/A",0,RTD("tos.rtd",,"IMPL_VOL","."&amp;Q$2&amp;Q$1&amp;"C"&amp;$A29))),0),IF($A$2="MAXPAIN",IF($A$4&gt;$A29,($A$4-$A29)*IF(RTD("tos.rtd",,"OPEN_INT","."&amp;Q$2&amp;Q$1&amp;"C"&amp;$A29)="N/A",0,RTD("tos.rtd",,"OPEN_INT","."&amp;Q$2&amp;Q$1&amp;"C"&amp;$A29)),0)+IF($A$4&lt;$A29,($A$5-$A$4)*IF(RTD("tos.rtd",,"OPEN_INT","."&amp;Q$2&amp;Q$1&amp;"P"&amp;$A29)="N/A",0,RTD("tos.rtd",,"OPEN_INT","."&amp;Q$2&amp;Q$1&amp;"P"&amp;$A29)),0),IF($X$1="ABS",IF(RTD("tos.rtd",,$A$2,"."&amp;Q$2&amp;Q$1&amp;"C"&amp;$A29)="N/A",0,RTD("tos.rtd",,$A$2,"."&amp;Q$2&amp;Q$1&amp;"C"&amp;$A29))+IF(RTD("tos.rtd",,$A$2,"."&amp;Q$2&amp;Q$1&amp;"P"&amp;$A29)="N/A",0,RTD("tos.rtd",,$A$2,"."&amp;Q$2&amp;Q$1&amp;"P"&amp;$A29)),IF(RTD("tos.rtd",,$A$2,"."&amp;Q$2&amp;Q$1&amp;"C"&amp;$A29)="N/A",0,RTD("tos.rtd",,$A$2,"."&amp;Q$2&amp;Q$1&amp;"C"&amp;$A29))-IF(RTD("tos.rtd",,$A$2,"."&amp;Q$2&amp;Q$1&amp;"P"&amp;$A29)="N/A",0,RTD("tos.rtd",,$A$2,"."&amp;Q$2&amp;Q$1&amp;"P"&amp;$A29))))))))))</f>
        <v>0</v>
      </c>
      <c r="R29" s="12">
        <f ca="1">IF($A$2="PREMIUM_OI",IFERROR(IF($X$1="ABS",(100*RTD("tos.rtd",,"OPEN_INT","."&amp;R$2&amp;R$1&amp;"C"&amp;$A29)*RTD("tos.rtd",,"LAST","."&amp;R$2&amp;R$1&amp;"C"&amp;$A29)+100*RTD("tos.rtd",,"OPEN_INT","."&amp;R$2&amp;R$1&amp;"P"&amp;$A29)*RTD("tos.rtd",,"LAST","."&amp;R$2&amp;R$1&amp;"P"&amp;$A29))/1000000,(100*RTD("tos.rtd",,"OPEN_INT","."&amp;R$2&amp;R$1&amp;"C"&amp;$A29)*RTD("tos.rtd",,"LAST","."&amp;R$2&amp;R$1&amp;"C"&amp;$A29)-100*RTD("tos.rtd",,"OPEN_INT","."&amp;R$2&amp;R$1&amp;"P"&amp;$A29)*RTD("tos.rtd",,"LAST","."&amp;R$2&amp;R$1&amp;"P"&amp;$A29))/1000000),0),IF($A$2="PREMIUM",IFERROR(IF($X$1="ABS",(100*RTD("tos.rtd",,"VOLUME","."&amp;R$2&amp;R$1&amp;"C"&amp;$A29)*RTD("tos.rtd",,"LAST","."&amp;R$2&amp;R$1&amp;"C"&amp;$A29)+100*RTD("tos.rtd",,"VOLUME","."&amp;R$2&amp;R$1&amp;"P"&amp;$A29)*RTD("tos.rtd",,"LAST","."&amp;R$2&amp;R$1&amp;"P"&amp;$A29))/1000000,(100*RTD("tos.rtd",,"VOLUME","."&amp;R$2&amp;R$1&amp;"C"&amp;$A29)*RTD("tos.rtd",,"LAST","."&amp;R$2&amp;R$1&amp;"C"&amp;$A29)-100*RTD("tos.rtd",,"VOLUME","."&amp;R$2&amp;R$1&amp;"P"&amp;$A29)*RTD("tos.rtd",,"LAST","."&amp;R$2&amp;R$1&amp;"P"&amp;$A29))/1000000),0),IF($A$2="DEX",IFERROR(IF($X$1="ABS",(100*RTD("tos.rtd",,"OPEN_INT","."&amp;R$2&amp;R$1&amp;"C"&amp;$A29)*RTD("tos.rtd",,"DELTA","."&amp;R$2&amp;R$1&amp;"C"&amp;$A29)+100*RTD("tos.rtd",,"OPEN_INT","."&amp;R$2&amp;R$1&amp;"P"&amp;$A29)*RTD("tos.rtd",,"DELTA","."&amp;R$2&amp;R$1&amp;"P"&amp;$A29))/1000,(100*RTD("tos.rtd",,"OPEN_INT","."&amp;R$2&amp;R$1&amp;"C"&amp;$A29)*RTD("tos.rtd",,"DELTA","."&amp;R$2&amp;R$1&amp;"C"&amp;$A29)-100*RTD("tos.rtd",,"OPEN_INT","."&amp;R$2&amp;R$1&amp;"P"&amp;$A29)*RTD("tos.rtd",,"DELTA","."&amp;R$2&amp;R$1&amp;"P"&amp;$A29))/1000),0),IF($A$2="VEX",IFERROR(IF($X$1="ABS",($A$4*$A$4*RTD("tos.rtd",,"VOLUME","."&amp;R$2&amp;R$1&amp;"C"&amp;$A29)*RTD("tos.rtd",,"GAMMA","."&amp;R$2&amp;R$1&amp;"C"&amp;$A29)+$A$4*$A$4*RTD("tos.rtd",,"VOLUME","."&amp;R$2&amp;R$1&amp;"P"&amp;$A29)*RTD("tos.rtd",,"GAMMA","."&amp;R$2&amp;R$1&amp;"P"&amp;$A29))/1000000,($A$4*$A$4*RTD("tos.rtd",,"VOLUME","."&amp;R$2&amp;R$1&amp;"C"&amp;$A29)*RTD("tos.rtd",,"GAMMA","."&amp;R$2&amp;R$1&amp;"C"&amp;$A29)-$A$4*$A$4*RTD("tos.rtd",,"VOLUME","."&amp;R$2&amp;R$1&amp;"P"&amp;$A29)*RTD("tos.rtd",,"GAMMA","."&amp;R$2&amp;R$1&amp;"P"&amp;$A29))/1000000),0),IF($A$2="GEX",IFERROR(IF($X$1="ABS",($A$4*$A$4*RTD("tos.rtd",,"OPEN_INT","."&amp;R$2&amp;R$1&amp;"C"&amp;$A29)*RTD("tos.rtd",,"GAMMA","."&amp;R$2&amp;R$1&amp;"C"&amp;$A29)+$A$4*$A$4*RTD("tos.rtd",,"OPEN_INT","."&amp;R$2&amp;R$1&amp;"P"&amp;$A29)*RTD("tos.rtd",,"GAMMA","."&amp;R$2&amp;R$1&amp;"P"&amp;$A29))/1000000,($A$4*$A$4*RTD("tos.rtd",,"OPEN_INT","."&amp;R$2&amp;R$1&amp;"C"&amp;$A29)*RTD("tos.rtd",,"GAMMA","."&amp;R$2&amp;R$1&amp;"C"&amp;$A29)-$A$4*$A$4*RTD("tos.rtd",,"OPEN_INT","."&amp;R$2&amp;R$1&amp;"P"&amp;$A29)*RTD("tos.rtd",,"GAMMA","."&amp;R$2&amp;R$1&amp;"P"&amp;$A29))/1000000),0),IF($A$2="SKEW",IFERROR(VALUE(IF(RTD("tos.rtd",,"IMPL_VOL","."&amp;R$2&amp;R$1&amp;"P"&amp;$A29)="N/A",0,RTD("tos.rtd",,"IMPL_VOL","."&amp;R$2&amp;R$1&amp;"P"&amp;$A29))),0)-IFERROR(VALUE(IF(RTD("tos.rtd",,"IMPL_VOL","."&amp;R$2&amp;R$1&amp;"C"&amp;$A29)="N/A",0,RTD("tos.rtd",,"IMPL_VOL","."&amp;R$2&amp;R$1&amp;"C"&amp;$A29))),0),IF($A$2="MAXPAIN",IF($A$4&gt;$A29,($A$4-$A29)*IF(RTD("tos.rtd",,"OPEN_INT","."&amp;R$2&amp;R$1&amp;"C"&amp;$A29)="N/A",0,RTD("tos.rtd",,"OPEN_INT","."&amp;R$2&amp;R$1&amp;"C"&amp;$A29)),0)+IF($A$4&lt;$A29,($A$5-$A$4)*IF(RTD("tos.rtd",,"OPEN_INT","."&amp;R$2&amp;R$1&amp;"P"&amp;$A29)="N/A",0,RTD("tos.rtd",,"OPEN_INT","."&amp;R$2&amp;R$1&amp;"P"&amp;$A29)),0),IF($X$1="ABS",IF(RTD("tos.rtd",,$A$2,"."&amp;R$2&amp;R$1&amp;"C"&amp;$A29)="N/A",0,RTD("tos.rtd",,$A$2,"."&amp;R$2&amp;R$1&amp;"C"&amp;$A29))+IF(RTD("tos.rtd",,$A$2,"."&amp;R$2&amp;R$1&amp;"P"&amp;$A29)="N/A",0,RTD("tos.rtd",,$A$2,"."&amp;R$2&amp;R$1&amp;"P"&amp;$A29)),IF(RTD("tos.rtd",,$A$2,"."&amp;R$2&amp;R$1&amp;"C"&amp;$A29)="N/A",0,RTD("tos.rtd",,$A$2,"."&amp;R$2&amp;R$1&amp;"C"&amp;$A29))-IF(RTD("tos.rtd",,$A$2,"."&amp;R$2&amp;R$1&amp;"P"&amp;$A29)="N/A",0,RTD("tos.rtd",,$A$2,"."&amp;R$2&amp;R$1&amp;"P"&amp;$A29))))))))))</f>
        <v>0</v>
      </c>
      <c r="S29" s="12">
        <f ca="1">IF($A$2="PREMIUM_OI",IFERROR(IF($X$1="ABS",(100*RTD("tos.rtd",,"OPEN_INT","."&amp;S$2&amp;S$1&amp;"C"&amp;$A29)*RTD("tos.rtd",,"LAST","."&amp;S$2&amp;S$1&amp;"C"&amp;$A29)+100*RTD("tos.rtd",,"OPEN_INT","."&amp;S$2&amp;S$1&amp;"P"&amp;$A29)*RTD("tos.rtd",,"LAST","."&amp;S$2&amp;S$1&amp;"P"&amp;$A29))/1000000,(100*RTD("tos.rtd",,"OPEN_INT","."&amp;S$2&amp;S$1&amp;"C"&amp;$A29)*RTD("tos.rtd",,"LAST","."&amp;S$2&amp;S$1&amp;"C"&amp;$A29)-100*RTD("tos.rtd",,"OPEN_INT","."&amp;S$2&amp;S$1&amp;"P"&amp;$A29)*RTD("tos.rtd",,"LAST","."&amp;S$2&amp;S$1&amp;"P"&amp;$A29))/1000000),0),IF($A$2="PREMIUM",IFERROR(IF($X$1="ABS",(100*RTD("tos.rtd",,"VOLUME","."&amp;S$2&amp;S$1&amp;"C"&amp;$A29)*RTD("tos.rtd",,"LAST","."&amp;S$2&amp;S$1&amp;"C"&amp;$A29)+100*RTD("tos.rtd",,"VOLUME","."&amp;S$2&amp;S$1&amp;"P"&amp;$A29)*RTD("tos.rtd",,"LAST","."&amp;S$2&amp;S$1&amp;"P"&amp;$A29))/1000000,(100*RTD("tos.rtd",,"VOLUME","."&amp;S$2&amp;S$1&amp;"C"&amp;$A29)*RTD("tos.rtd",,"LAST","."&amp;S$2&amp;S$1&amp;"C"&amp;$A29)-100*RTD("tos.rtd",,"VOLUME","."&amp;S$2&amp;S$1&amp;"P"&amp;$A29)*RTD("tos.rtd",,"LAST","."&amp;S$2&amp;S$1&amp;"P"&amp;$A29))/1000000),0),IF($A$2="DEX",IFERROR(IF($X$1="ABS",(100*RTD("tos.rtd",,"OPEN_INT","."&amp;S$2&amp;S$1&amp;"C"&amp;$A29)*RTD("tos.rtd",,"DELTA","."&amp;S$2&amp;S$1&amp;"C"&amp;$A29)+100*RTD("tos.rtd",,"OPEN_INT","."&amp;S$2&amp;S$1&amp;"P"&amp;$A29)*RTD("tos.rtd",,"DELTA","."&amp;S$2&amp;S$1&amp;"P"&amp;$A29))/1000,(100*RTD("tos.rtd",,"OPEN_INT","."&amp;S$2&amp;S$1&amp;"C"&amp;$A29)*RTD("tos.rtd",,"DELTA","."&amp;S$2&amp;S$1&amp;"C"&amp;$A29)-100*RTD("tos.rtd",,"OPEN_INT","."&amp;S$2&amp;S$1&amp;"P"&amp;$A29)*RTD("tos.rtd",,"DELTA","."&amp;S$2&amp;S$1&amp;"P"&amp;$A29))/1000),0),IF($A$2="VEX",IFERROR(IF($X$1="ABS",($A$4*$A$4*RTD("tos.rtd",,"VOLUME","."&amp;S$2&amp;S$1&amp;"C"&amp;$A29)*RTD("tos.rtd",,"GAMMA","."&amp;S$2&amp;S$1&amp;"C"&amp;$A29)+$A$4*$A$4*RTD("tos.rtd",,"VOLUME","."&amp;S$2&amp;S$1&amp;"P"&amp;$A29)*RTD("tos.rtd",,"GAMMA","."&amp;S$2&amp;S$1&amp;"P"&amp;$A29))/1000000,($A$4*$A$4*RTD("tos.rtd",,"VOLUME","."&amp;S$2&amp;S$1&amp;"C"&amp;$A29)*RTD("tos.rtd",,"GAMMA","."&amp;S$2&amp;S$1&amp;"C"&amp;$A29)-$A$4*$A$4*RTD("tos.rtd",,"VOLUME","."&amp;S$2&amp;S$1&amp;"P"&amp;$A29)*RTD("tos.rtd",,"GAMMA","."&amp;S$2&amp;S$1&amp;"P"&amp;$A29))/1000000),0),IF($A$2="GEX",IFERROR(IF($X$1="ABS",($A$4*$A$4*RTD("tos.rtd",,"OPEN_INT","."&amp;S$2&amp;S$1&amp;"C"&amp;$A29)*RTD("tos.rtd",,"GAMMA","."&amp;S$2&amp;S$1&amp;"C"&amp;$A29)+$A$4*$A$4*RTD("tos.rtd",,"OPEN_INT","."&amp;S$2&amp;S$1&amp;"P"&amp;$A29)*RTD("tos.rtd",,"GAMMA","."&amp;S$2&amp;S$1&amp;"P"&amp;$A29))/1000000,($A$4*$A$4*RTD("tos.rtd",,"OPEN_INT","."&amp;S$2&amp;S$1&amp;"C"&amp;$A29)*RTD("tos.rtd",,"GAMMA","."&amp;S$2&amp;S$1&amp;"C"&amp;$A29)-$A$4*$A$4*RTD("tos.rtd",,"OPEN_INT","."&amp;S$2&amp;S$1&amp;"P"&amp;$A29)*RTD("tos.rtd",,"GAMMA","."&amp;S$2&amp;S$1&amp;"P"&amp;$A29))/1000000),0),IF($A$2="SKEW",IFERROR(VALUE(IF(RTD("tos.rtd",,"IMPL_VOL","."&amp;S$2&amp;S$1&amp;"P"&amp;$A29)="N/A",0,RTD("tos.rtd",,"IMPL_VOL","."&amp;S$2&amp;S$1&amp;"P"&amp;$A29))),0)-IFERROR(VALUE(IF(RTD("tos.rtd",,"IMPL_VOL","."&amp;S$2&amp;S$1&amp;"C"&amp;$A29)="N/A",0,RTD("tos.rtd",,"IMPL_VOL","."&amp;S$2&amp;S$1&amp;"C"&amp;$A29))),0),IF($A$2="MAXPAIN",IF($A$4&gt;$A29,($A$4-$A29)*IF(RTD("tos.rtd",,"OPEN_INT","."&amp;S$2&amp;S$1&amp;"C"&amp;$A29)="N/A",0,RTD("tos.rtd",,"OPEN_INT","."&amp;S$2&amp;S$1&amp;"C"&amp;$A29)),0)+IF($A$4&lt;$A29,($A$5-$A$4)*IF(RTD("tos.rtd",,"OPEN_INT","."&amp;S$2&amp;S$1&amp;"P"&amp;$A29)="N/A",0,RTD("tos.rtd",,"OPEN_INT","."&amp;S$2&amp;S$1&amp;"P"&amp;$A29)),0),IF($X$1="ABS",IF(RTD("tos.rtd",,$A$2,"."&amp;S$2&amp;S$1&amp;"C"&amp;$A29)="N/A",0,RTD("tos.rtd",,$A$2,"."&amp;S$2&amp;S$1&amp;"C"&amp;$A29))+IF(RTD("tos.rtd",,$A$2,"."&amp;S$2&amp;S$1&amp;"P"&amp;$A29)="N/A",0,RTD("tos.rtd",,$A$2,"."&amp;S$2&amp;S$1&amp;"P"&amp;$A29)),IF(RTD("tos.rtd",,$A$2,"."&amp;S$2&amp;S$1&amp;"C"&amp;$A29)="N/A",0,RTD("tos.rtd",,$A$2,"."&amp;S$2&amp;S$1&amp;"C"&amp;$A29))-IF(RTD("tos.rtd",,$A$2,"."&amp;S$2&amp;S$1&amp;"P"&amp;$A29)="N/A",0,RTD("tos.rtd",,$A$2,"."&amp;S$2&amp;S$1&amp;"P"&amp;$A29))))))))))</f>
        <v>0</v>
      </c>
      <c r="T29" s="12">
        <f ca="1">IF($A$2="PREMIUM_OI",IFERROR(IF($X$1="ABS",(100*RTD("tos.rtd",,"OPEN_INT","."&amp;T$2&amp;T$1&amp;"C"&amp;$A29)*RTD("tos.rtd",,"LAST","."&amp;T$2&amp;T$1&amp;"C"&amp;$A29)+100*RTD("tos.rtd",,"OPEN_INT","."&amp;T$2&amp;T$1&amp;"P"&amp;$A29)*RTD("tos.rtd",,"LAST","."&amp;T$2&amp;T$1&amp;"P"&amp;$A29))/1000000,(100*RTD("tos.rtd",,"OPEN_INT","."&amp;T$2&amp;T$1&amp;"C"&amp;$A29)*RTD("tos.rtd",,"LAST","."&amp;T$2&amp;T$1&amp;"C"&amp;$A29)-100*RTD("tos.rtd",,"OPEN_INT","."&amp;T$2&amp;T$1&amp;"P"&amp;$A29)*RTD("tos.rtd",,"LAST","."&amp;T$2&amp;T$1&amp;"P"&amp;$A29))/1000000),0),IF($A$2="PREMIUM",IFERROR(IF($X$1="ABS",(100*RTD("tos.rtd",,"VOLUME","."&amp;T$2&amp;T$1&amp;"C"&amp;$A29)*RTD("tos.rtd",,"LAST","."&amp;T$2&amp;T$1&amp;"C"&amp;$A29)+100*RTD("tos.rtd",,"VOLUME","."&amp;T$2&amp;T$1&amp;"P"&amp;$A29)*RTD("tos.rtd",,"LAST","."&amp;T$2&amp;T$1&amp;"P"&amp;$A29))/1000000,(100*RTD("tos.rtd",,"VOLUME","."&amp;T$2&amp;T$1&amp;"C"&amp;$A29)*RTD("tos.rtd",,"LAST","."&amp;T$2&amp;T$1&amp;"C"&amp;$A29)-100*RTD("tos.rtd",,"VOLUME","."&amp;T$2&amp;T$1&amp;"P"&amp;$A29)*RTD("tos.rtd",,"LAST","."&amp;T$2&amp;T$1&amp;"P"&amp;$A29))/1000000),0),IF($A$2="DEX",IFERROR(IF($X$1="ABS",(100*RTD("tos.rtd",,"OPEN_INT","."&amp;T$2&amp;T$1&amp;"C"&amp;$A29)*RTD("tos.rtd",,"DELTA","."&amp;T$2&amp;T$1&amp;"C"&amp;$A29)+100*RTD("tos.rtd",,"OPEN_INT","."&amp;T$2&amp;T$1&amp;"P"&amp;$A29)*RTD("tos.rtd",,"DELTA","."&amp;T$2&amp;T$1&amp;"P"&amp;$A29))/1000,(100*RTD("tos.rtd",,"OPEN_INT","."&amp;T$2&amp;T$1&amp;"C"&amp;$A29)*RTD("tos.rtd",,"DELTA","."&amp;T$2&amp;T$1&amp;"C"&amp;$A29)-100*RTD("tos.rtd",,"OPEN_INT","."&amp;T$2&amp;T$1&amp;"P"&amp;$A29)*RTD("tos.rtd",,"DELTA","."&amp;T$2&amp;T$1&amp;"P"&amp;$A29))/1000),0),IF($A$2="VEX",IFERROR(IF($X$1="ABS",($A$4*$A$4*RTD("tos.rtd",,"VOLUME","."&amp;T$2&amp;T$1&amp;"C"&amp;$A29)*RTD("tos.rtd",,"GAMMA","."&amp;T$2&amp;T$1&amp;"C"&amp;$A29)+$A$4*$A$4*RTD("tos.rtd",,"VOLUME","."&amp;T$2&amp;T$1&amp;"P"&amp;$A29)*RTD("tos.rtd",,"GAMMA","."&amp;T$2&amp;T$1&amp;"P"&amp;$A29))/1000000,($A$4*$A$4*RTD("tos.rtd",,"VOLUME","."&amp;T$2&amp;T$1&amp;"C"&amp;$A29)*RTD("tos.rtd",,"GAMMA","."&amp;T$2&amp;T$1&amp;"C"&amp;$A29)-$A$4*$A$4*RTD("tos.rtd",,"VOLUME","."&amp;T$2&amp;T$1&amp;"P"&amp;$A29)*RTD("tos.rtd",,"GAMMA","."&amp;T$2&amp;T$1&amp;"P"&amp;$A29))/1000000),0),IF($A$2="GEX",IFERROR(IF($X$1="ABS",($A$4*$A$4*RTD("tos.rtd",,"OPEN_INT","."&amp;T$2&amp;T$1&amp;"C"&amp;$A29)*RTD("tos.rtd",,"GAMMA","."&amp;T$2&amp;T$1&amp;"C"&amp;$A29)+$A$4*$A$4*RTD("tos.rtd",,"OPEN_INT","."&amp;T$2&amp;T$1&amp;"P"&amp;$A29)*RTD("tos.rtd",,"GAMMA","."&amp;T$2&amp;T$1&amp;"P"&amp;$A29))/1000000,($A$4*$A$4*RTD("tos.rtd",,"OPEN_INT","."&amp;T$2&amp;T$1&amp;"C"&amp;$A29)*RTD("tos.rtd",,"GAMMA","."&amp;T$2&amp;T$1&amp;"C"&amp;$A29)-$A$4*$A$4*RTD("tos.rtd",,"OPEN_INT","."&amp;T$2&amp;T$1&amp;"P"&amp;$A29)*RTD("tos.rtd",,"GAMMA","."&amp;T$2&amp;T$1&amp;"P"&amp;$A29))/1000000),0),IF($A$2="SKEW",IFERROR(VALUE(IF(RTD("tos.rtd",,"IMPL_VOL","."&amp;T$2&amp;T$1&amp;"P"&amp;$A29)="N/A",0,RTD("tos.rtd",,"IMPL_VOL","."&amp;T$2&amp;T$1&amp;"P"&amp;$A29))),0)-IFERROR(VALUE(IF(RTD("tos.rtd",,"IMPL_VOL","."&amp;T$2&amp;T$1&amp;"C"&amp;$A29)="N/A",0,RTD("tos.rtd",,"IMPL_VOL","."&amp;T$2&amp;T$1&amp;"C"&amp;$A29))),0),IF($A$2="MAXPAIN",IF($A$4&gt;$A29,($A$4-$A29)*IF(RTD("tos.rtd",,"OPEN_INT","."&amp;T$2&amp;T$1&amp;"C"&amp;$A29)="N/A",0,RTD("tos.rtd",,"OPEN_INT","."&amp;T$2&amp;T$1&amp;"C"&amp;$A29)),0)+IF($A$4&lt;$A29,($A$5-$A$4)*IF(RTD("tos.rtd",,"OPEN_INT","."&amp;T$2&amp;T$1&amp;"P"&amp;$A29)="N/A",0,RTD("tos.rtd",,"OPEN_INT","."&amp;T$2&amp;T$1&amp;"P"&amp;$A29)),0),IF($X$1="ABS",IF(RTD("tos.rtd",,$A$2,"."&amp;T$2&amp;T$1&amp;"C"&amp;$A29)="N/A",0,RTD("tos.rtd",,$A$2,"."&amp;T$2&amp;T$1&amp;"C"&amp;$A29))+IF(RTD("tos.rtd",,$A$2,"."&amp;T$2&amp;T$1&amp;"P"&amp;$A29)="N/A",0,RTD("tos.rtd",,$A$2,"."&amp;T$2&amp;T$1&amp;"P"&amp;$A29)),IF(RTD("tos.rtd",,$A$2,"."&amp;T$2&amp;T$1&amp;"C"&amp;$A29)="N/A",0,RTD("tos.rtd",,$A$2,"."&amp;T$2&amp;T$1&amp;"C"&amp;$A29))-IF(RTD("tos.rtd",,$A$2,"."&amp;T$2&amp;T$1&amp;"P"&amp;$A29)="N/A",0,RTD("tos.rtd",,$A$2,"."&amp;T$2&amp;T$1&amp;"P"&amp;$A29))))))))))</f>
        <v>0</v>
      </c>
      <c r="U29" s="12">
        <f ca="1">IF($A$2="PREMIUM_OI",IFERROR(IF($X$1="ABS",(100*RTD("tos.rtd",,"OPEN_INT","."&amp;U$2&amp;U$1&amp;"C"&amp;$A29)*RTD("tos.rtd",,"LAST","."&amp;U$2&amp;U$1&amp;"C"&amp;$A29)+100*RTD("tos.rtd",,"OPEN_INT","."&amp;U$2&amp;U$1&amp;"P"&amp;$A29)*RTD("tos.rtd",,"LAST","."&amp;U$2&amp;U$1&amp;"P"&amp;$A29))/1000000,(100*RTD("tos.rtd",,"OPEN_INT","."&amp;U$2&amp;U$1&amp;"C"&amp;$A29)*RTD("tos.rtd",,"LAST","."&amp;U$2&amp;U$1&amp;"C"&amp;$A29)-100*RTD("tos.rtd",,"OPEN_INT","."&amp;U$2&amp;U$1&amp;"P"&amp;$A29)*RTD("tos.rtd",,"LAST","."&amp;U$2&amp;U$1&amp;"P"&amp;$A29))/1000000),0),IF($A$2="PREMIUM",IFERROR(IF($X$1="ABS",(100*RTD("tos.rtd",,"VOLUME","."&amp;U$2&amp;U$1&amp;"C"&amp;$A29)*RTD("tos.rtd",,"LAST","."&amp;U$2&amp;U$1&amp;"C"&amp;$A29)+100*RTD("tos.rtd",,"VOLUME","."&amp;U$2&amp;U$1&amp;"P"&amp;$A29)*RTD("tos.rtd",,"LAST","."&amp;U$2&amp;U$1&amp;"P"&amp;$A29))/1000000,(100*RTD("tos.rtd",,"VOLUME","."&amp;U$2&amp;U$1&amp;"C"&amp;$A29)*RTD("tos.rtd",,"LAST","."&amp;U$2&amp;U$1&amp;"C"&amp;$A29)-100*RTD("tos.rtd",,"VOLUME","."&amp;U$2&amp;U$1&amp;"P"&amp;$A29)*RTD("tos.rtd",,"LAST","."&amp;U$2&amp;U$1&amp;"P"&amp;$A29))/1000000),0),IF($A$2="DEX",IFERROR(IF($X$1="ABS",(100*RTD("tos.rtd",,"OPEN_INT","."&amp;U$2&amp;U$1&amp;"C"&amp;$A29)*RTD("tos.rtd",,"DELTA","."&amp;U$2&amp;U$1&amp;"C"&amp;$A29)+100*RTD("tos.rtd",,"OPEN_INT","."&amp;U$2&amp;U$1&amp;"P"&amp;$A29)*RTD("tos.rtd",,"DELTA","."&amp;U$2&amp;U$1&amp;"P"&amp;$A29))/1000,(100*RTD("tos.rtd",,"OPEN_INT","."&amp;U$2&amp;U$1&amp;"C"&amp;$A29)*RTD("tos.rtd",,"DELTA","."&amp;U$2&amp;U$1&amp;"C"&amp;$A29)-100*RTD("tos.rtd",,"OPEN_INT","."&amp;U$2&amp;U$1&amp;"P"&amp;$A29)*RTD("tos.rtd",,"DELTA","."&amp;U$2&amp;U$1&amp;"P"&amp;$A29))/1000),0),IF($A$2="VEX",IFERROR(IF($X$1="ABS",($A$4*$A$4*RTD("tos.rtd",,"VOLUME","."&amp;U$2&amp;U$1&amp;"C"&amp;$A29)*RTD("tos.rtd",,"GAMMA","."&amp;U$2&amp;U$1&amp;"C"&amp;$A29)+$A$4*$A$4*RTD("tos.rtd",,"VOLUME","."&amp;U$2&amp;U$1&amp;"P"&amp;$A29)*RTD("tos.rtd",,"GAMMA","."&amp;U$2&amp;U$1&amp;"P"&amp;$A29))/1000000,($A$4*$A$4*RTD("tos.rtd",,"VOLUME","."&amp;U$2&amp;U$1&amp;"C"&amp;$A29)*RTD("tos.rtd",,"GAMMA","."&amp;U$2&amp;U$1&amp;"C"&amp;$A29)-$A$4*$A$4*RTD("tos.rtd",,"VOLUME","."&amp;U$2&amp;U$1&amp;"P"&amp;$A29)*RTD("tos.rtd",,"GAMMA","."&amp;U$2&amp;U$1&amp;"P"&amp;$A29))/1000000),0),IF($A$2="GEX",IFERROR(IF($X$1="ABS",($A$4*$A$4*RTD("tos.rtd",,"OPEN_INT","."&amp;U$2&amp;U$1&amp;"C"&amp;$A29)*RTD("tos.rtd",,"GAMMA","."&amp;U$2&amp;U$1&amp;"C"&amp;$A29)+$A$4*$A$4*RTD("tos.rtd",,"OPEN_INT","."&amp;U$2&amp;U$1&amp;"P"&amp;$A29)*RTD("tos.rtd",,"GAMMA","."&amp;U$2&amp;U$1&amp;"P"&amp;$A29))/1000000,($A$4*$A$4*RTD("tos.rtd",,"OPEN_INT","."&amp;U$2&amp;U$1&amp;"C"&amp;$A29)*RTD("tos.rtd",,"GAMMA","."&amp;U$2&amp;U$1&amp;"C"&amp;$A29)-$A$4*$A$4*RTD("tos.rtd",,"OPEN_INT","."&amp;U$2&amp;U$1&amp;"P"&amp;$A29)*RTD("tos.rtd",,"GAMMA","."&amp;U$2&amp;U$1&amp;"P"&amp;$A29))/1000000),0),IF($A$2="SKEW",IFERROR(VALUE(IF(RTD("tos.rtd",,"IMPL_VOL","."&amp;U$2&amp;U$1&amp;"P"&amp;$A29)="N/A",0,RTD("tos.rtd",,"IMPL_VOL","."&amp;U$2&amp;U$1&amp;"P"&amp;$A29))),0)-IFERROR(VALUE(IF(RTD("tos.rtd",,"IMPL_VOL","."&amp;U$2&amp;U$1&amp;"C"&amp;$A29)="N/A",0,RTD("tos.rtd",,"IMPL_VOL","."&amp;U$2&amp;U$1&amp;"C"&amp;$A29))),0),IF($A$2="MAXPAIN",IF($A$4&gt;$A29,($A$4-$A29)*IF(RTD("tos.rtd",,"OPEN_INT","."&amp;U$2&amp;U$1&amp;"C"&amp;$A29)="N/A",0,RTD("tos.rtd",,"OPEN_INT","."&amp;U$2&amp;U$1&amp;"C"&amp;$A29)),0)+IF($A$4&lt;$A29,($A$5-$A$4)*IF(RTD("tos.rtd",,"OPEN_INT","."&amp;U$2&amp;U$1&amp;"P"&amp;$A29)="N/A",0,RTD("tos.rtd",,"OPEN_INT","."&amp;U$2&amp;U$1&amp;"P"&amp;$A29)),0),IF($X$1="ABS",IF(RTD("tos.rtd",,$A$2,"."&amp;U$2&amp;U$1&amp;"C"&amp;$A29)="N/A",0,RTD("tos.rtd",,$A$2,"."&amp;U$2&amp;U$1&amp;"C"&amp;$A29))+IF(RTD("tos.rtd",,$A$2,"."&amp;U$2&amp;U$1&amp;"P"&amp;$A29)="N/A",0,RTD("tos.rtd",,$A$2,"."&amp;U$2&amp;U$1&amp;"P"&amp;$A29)),IF(RTD("tos.rtd",,$A$2,"."&amp;U$2&amp;U$1&amp;"C"&amp;$A29)="N/A",0,RTD("tos.rtd",,$A$2,"."&amp;U$2&amp;U$1&amp;"C"&amp;$A29))-IF(RTD("tos.rtd",,$A$2,"."&amp;U$2&amp;U$1&amp;"P"&amp;$A29)="N/A",0,RTD("tos.rtd",,$A$2,"."&amp;U$2&amp;U$1&amp;"P"&amp;$A29))))))))))</f>
        <v>0</v>
      </c>
      <c r="V29" s="12">
        <f ca="1">IF($A$2="PREMIUM_OI",IFERROR(IF($X$1="ABS",(100*RTD("tos.rtd",,"OPEN_INT","."&amp;V$2&amp;V$1&amp;"C"&amp;$A29)*RTD("tos.rtd",,"LAST","."&amp;V$2&amp;V$1&amp;"C"&amp;$A29)+100*RTD("tos.rtd",,"OPEN_INT","."&amp;V$2&amp;V$1&amp;"P"&amp;$A29)*RTD("tos.rtd",,"LAST","."&amp;V$2&amp;V$1&amp;"P"&amp;$A29))/1000000,(100*RTD("tos.rtd",,"OPEN_INT","."&amp;V$2&amp;V$1&amp;"C"&amp;$A29)*RTD("tos.rtd",,"LAST","."&amp;V$2&amp;V$1&amp;"C"&amp;$A29)-100*RTD("tos.rtd",,"OPEN_INT","."&amp;V$2&amp;V$1&amp;"P"&amp;$A29)*RTD("tos.rtd",,"LAST","."&amp;V$2&amp;V$1&amp;"P"&amp;$A29))/1000000),0),IF($A$2="PREMIUM",IFERROR(IF($X$1="ABS",(100*RTD("tos.rtd",,"VOLUME","."&amp;V$2&amp;V$1&amp;"C"&amp;$A29)*RTD("tos.rtd",,"LAST","."&amp;V$2&amp;V$1&amp;"C"&amp;$A29)+100*RTD("tos.rtd",,"VOLUME","."&amp;V$2&amp;V$1&amp;"P"&amp;$A29)*RTD("tos.rtd",,"LAST","."&amp;V$2&amp;V$1&amp;"P"&amp;$A29))/1000000,(100*RTD("tos.rtd",,"VOLUME","."&amp;V$2&amp;V$1&amp;"C"&amp;$A29)*RTD("tos.rtd",,"LAST","."&amp;V$2&amp;V$1&amp;"C"&amp;$A29)-100*RTD("tos.rtd",,"VOLUME","."&amp;V$2&amp;V$1&amp;"P"&amp;$A29)*RTD("tos.rtd",,"LAST","."&amp;V$2&amp;V$1&amp;"P"&amp;$A29))/1000000),0),IF($A$2="DEX",IFERROR(IF($X$1="ABS",(100*RTD("tos.rtd",,"OPEN_INT","."&amp;V$2&amp;V$1&amp;"C"&amp;$A29)*RTD("tos.rtd",,"DELTA","."&amp;V$2&amp;V$1&amp;"C"&amp;$A29)+100*RTD("tos.rtd",,"OPEN_INT","."&amp;V$2&amp;V$1&amp;"P"&amp;$A29)*RTD("tos.rtd",,"DELTA","."&amp;V$2&amp;V$1&amp;"P"&amp;$A29))/1000,(100*RTD("tos.rtd",,"OPEN_INT","."&amp;V$2&amp;V$1&amp;"C"&amp;$A29)*RTD("tos.rtd",,"DELTA","."&amp;V$2&amp;V$1&amp;"C"&amp;$A29)-100*RTD("tos.rtd",,"OPEN_INT","."&amp;V$2&amp;V$1&amp;"P"&amp;$A29)*RTD("tos.rtd",,"DELTA","."&amp;V$2&amp;V$1&amp;"P"&amp;$A29))/1000),0),IF($A$2="VEX",IFERROR(IF($X$1="ABS",($A$4*$A$4*RTD("tos.rtd",,"VOLUME","."&amp;V$2&amp;V$1&amp;"C"&amp;$A29)*RTD("tos.rtd",,"GAMMA","."&amp;V$2&amp;V$1&amp;"C"&amp;$A29)+$A$4*$A$4*RTD("tos.rtd",,"VOLUME","."&amp;V$2&amp;V$1&amp;"P"&amp;$A29)*RTD("tos.rtd",,"GAMMA","."&amp;V$2&amp;V$1&amp;"P"&amp;$A29))/1000000,($A$4*$A$4*RTD("tos.rtd",,"VOLUME","."&amp;V$2&amp;V$1&amp;"C"&amp;$A29)*RTD("tos.rtd",,"GAMMA","."&amp;V$2&amp;V$1&amp;"C"&amp;$A29)-$A$4*$A$4*RTD("tos.rtd",,"VOLUME","."&amp;V$2&amp;V$1&amp;"P"&amp;$A29)*RTD("tos.rtd",,"GAMMA","."&amp;V$2&amp;V$1&amp;"P"&amp;$A29))/1000000),0),IF($A$2="GEX",IFERROR(IF($X$1="ABS",($A$4*$A$4*RTD("tos.rtd",,"OPEN_INT","."&amp;V$2&amp;V$1&amp;"C"&amp;$A29)*RTD("tos.rtd",,"GAMMA","."&amp;V$2&amp;V$1&amp;"C"&amp;$A29)+$A$4*$A$4*RTD("tos.rtd",,"OPEN_INT","."&amp;V$2&amp;V$1&amp;"P"&amp;$A29)*RTD("tos.rtd",,"GAMMA","."&amp;V$2&amp;V$1&amp;"P"&amp;$A29))/1000000,($A$4*$A$4*RTD("tos.rtd",,"OPEN_INT","."&amp;V$2&amp;V$1&amp;"C"&amp;$A29)*RTD("tos.rtd",,"GAMMA","."&amp;V$2&amp;V$1&amp;"C"&amp;$A29)-$A$4*$A$4*RTD("tos.rtd",,"OPEN_INT","."&amp;V$2&amp;V$1&amp;"P"&amp;$A29)*RTD("tos.rtd",,"GAMMA","."&amp;V$2&amp;V$1&amp;"P"&amp;$A29))/1000000),0),IF($A$2="SKEW",IFERROR(VALUE(IF(RTD("tos.rtd",,"IMPL_VOL","."&amp;V$2&amp;V$1&amp;"P"&amp;$A29)="N/A",0,RTD("tos.rtd",,"IMPL_VOL","."&amp;V$2&amp;V$1&amp;"P"&amp;$A29))),0)-IFERROR(VALUE(IF(RTD("tos.rtd",,"IMPL_VOL","."&amp;V$2&amp;V$1&amp;"C"&amp;$A29)="N/A",0,RTD("tos.rtd",,"IMPL_VOL","."&amp;V$2&amp;V$1&amp;"C"&amp;$A29))),0),IF($A$2="MAXPAIN",IF($A$4&gt;$A29,($A$4-$A29)*IF(RTD("tos.rtd",,"OPEN_INT","."&amp;V$2&amp;V$1&amp;"C"&amp;$A29)="N/A",0,RTD("tos.rtd",,"OPEN_INT","."&amp;V$2&amp;V$1&amp;"C"&amp;$A29)),0)+IF($A$4&lt;$A29,($A$5-$A$4)*IF(RTD("tos.rtd",,"OPEN_INT","."&amp;V$2&amp;V$1&amp;"P"&amp;$A29)="N/A",0,RTD("tos.rtd",,"OPEN_INT","."&amp;V$2&amp;V$1&amp;"P"&amp;$A29)),0),IF($X$1="ABS",IF(RTD("tos.rtd",,$A$2,"."&amp;V$2&amp;V$1&amp;"C"&amp;$A29)="N/A",0,RTD("tos.rtd",,$A$2,"."&amp;V$2&amp;V$1&amp;"C"&amp;$A29))+IF(RTD("tos.rtd",,$A$2,"."&amp;V$2&amp;V$1&amp;"P"&amp;$A29)="N/A",0,RTD("tos.rtd",,$A$2,"."&amp;V$2&amp;V$1&amp;"P"&amp;$A29)),IF(RTD("tos.rtd",,$A$2,"."&amp;V$2&amp;V$1&amp;"C"&amp;$A29)="N/A",0,RTD("tos.rtd",,$A$2,"."&amp;V$2&amp;V$1&amp;"C"&amp;$A29))-IF(RTD("tos.rtd",,$A$2,"."&amp;V$2&amp;V$1&amp;"P"&amp;$A29)="N/A",0,RTD("tos.rtd",,$A$2,"."&amp;V$2&amp;V$1&amp;"P"&amp;$A29))))))))))</f>
        <v>0</v>
      </c>
      <c r="W29" s="54">
        <f ca="1">IF($A$2="PREMIUM_OI",IFERROR(IF($X$1="ABS",(100*RTD("tos.rtd",,"OPEN_INT","."&amp;W$2&amp;W$1&amp;"C"&amp;$A29)*RTD("tos.rtd",,"LAST","."&amp;W$2&amp;W$1&amp;"C"&amp;$A29)+100*RTD("tos.rtd",,"OPEN_INT","."&amp;W$2&amp;W$1&amp;"P"&amp;$A29)*RTD("tos.rtd",,"LAST","."&amp;W$2&amp;W$1&amp;"P"&amp;$A29))/1000000,(100*RTD("tos.rtd",,"OPEN_INT","."&amp;W$2&amp;W$1&amp;"C"&amp;$A29)*RTD("tos.rtd",,"LAST","."&amp;W$2&amp;W$1&amp;"C"&amp;$A29)-100*RTD("tos.rtd",,"OPEN_INT","."&amp;W$2&amp;W$1&amp;"P"&amp;$A29)*RTD("tos.rtd",,"LAST","."&amp;W$2&amp;W$1&amp;"P"&amp;$A29))/1000000),0),IF($A$2="PREMIUM",IFERROR(IF($X$1="ABS",(100*RTD("tos.rtd",,"VOLUME","."&amp;W$2&amp;W$1&amp;"C"&amp;$A29)*RTD("tos.rtd",,"LAST","."&amp;W$2&amp;W$1&amp;"C"&amp;$A29)+100*RTD("tos.rtd",,"VOLUME","."&amp;W$2&amp;W$1&amp;"P"&amp;$A29)*RTD("tos.rtd",,"LAST","."&amp;W$2&amp;W$1&amp;"P"&amp;$A29))/1000000,(100*RTD("tos.rtd",,"VOLUME","."&amp;W$2&amp;W$1&amp;"C"&amp;$A29)*RTD("tos.rtd",,"LAST","."&amp;W$2&amp;W$1&amp;"C"&amp;$A29)-100*RTD("tos.rtd",,"VOLUME","."&amp;W$2&amp;W$1&amp;"P"&amp;$A29)*RTD("tos.rtd",,"LAST","."&amp;W$2&amp;W$1&amp;"P"&amp;$A29))/1000000),0),IF($A$2="DEX",IFERROR(IF($X$1="ABS",(100*RTD("tos.rtd",,"OPEN_INT","."&amp;W$2&amp;W$1&amp;"C"&amp;$A29)*RTD("tos.rtd",,"DELTA","."&amp;W$2&amp;W$1&amp;"C"&amp;$A29)+100*RTD("tos.rtd",,"OPEN_INT","."&amp;W$2&amp;W$1&amp;"P"&amp;$A29)*RTD("tos.rtd",,"DELTA","."&amp;W$2&amp;W$1&amp;"P"&amp;$A29))/1000,(100*RTD("tos.rtd",,"OPEN_INT","."&amp;W$2&amp;W$1&amp;"C"&amp;$A29)*RTD("tos.rtd",,"DELTA","."&amp;W$2&amp;W$1&amp;"C"&amp;$A29)-100*RTD("tos.rtd",,"OPEN_INT","."&amp;W$2&amp;W$1&amp;"P"&amp;$A29)*RTD("tos.rtd",,"DELTA","."&amp;W$2&amp;W$1&amp;"P"&amp;$A29))/1000),0),IF($A$2="VEX",IFERROR(IF($X$1="ABS",($A$4*$A$4*RTD("tos.rtd",,"VOLUME","."&amp;W$2&amp;W$1&amp;"C"&amp;$A29)*RTD("tos.rtd",,"GAMMA","."&amp;W$2&amp;W$1&amp;"C"&amp;$A29)+$A$4*$A$4*RTD("tos.rtd",,"VOLUME","."&amp;W$2&amp;W$1&amp;"P"&amp;$A29)*RTD("tos.rtd",,"GAMMA","."&amp;W$2&amp;W$1&amp;"P"&amp;$A29))/1000000,($A$4*$A$4*RTD("tos.rtd",,"VOLUME","."&amp;W$2&amp;W$1&amp;"C"&amp;$A29)*RTD("tos.rtd",,"GAMMA","."&amp;W$2&amp;W$1&amp;"C"&amp;$A29)-$A$4*$A$4*RTD("tos.rtd",,"VOLUME","."&amp;W$2&amp;W$1&amp;"P"&amp;$A29)*RTD("tos.rtd",,"GAMMA","."&amp;W$2&amp;W$1&amp;"P"&amp;$A29))/1000000),0),IF($A$2="GEX",IFERROR(IF($X$1="ABS",($A$4*$A$4*RTD("tos.rtd",,"OPEN_INT","."&amp;W$2&amp;W$1&amp;"C"&amp;$A29)*RTD("tos.rtd",,"GAMMA","."&amp;W$2&amp;W$1&amp;"C"&amp;$A29)+$A$4*$A$4*RTD("tos.rtd",,"OPEN_INT","."&amp;W$2&amp;W$1&amp;"P"&amp;$A29)*RTD("tos.rtd",,"GAMMA","."&amp;W$2&amp;W$1&amp;"P"&amp;$A29))/1000000,($A$4*$A$4*RTD("tos.rtd",,"OPEN_INT","."&amp;W$2&amp;W$1&amp;"C"&amp;$A29)*RTD("tos.rtd",,"GAMMA","."&amp;W$2&amp;W$1&amp;"C"&amp;$A29)-$A$4*$A$4*RTD("tos.rtd",,"OPEN_INT","."&amp;W$2&amp;W$1&amp;"P"&amp;$A29)*RTD("tos.rtd",,"GAMMA","."&amp;W$2&amp;W$1&amp;"P"&amp;$A29))/1000000),0),IF($A$2="SKEW",IFERROR(VALUE(IF(RTD("tos.rtd",,"IMPL_VOL","."&amp;W$2&amp;W$1&amp;"P"&amp;$A29)="N/A",0,RTD("tos.rtd",,"IMPL_VOL","."&amp;W$2&amp;W$1&amp;"P"&amp;$A29))),0)-IFERROR(VALUE(IF(RTD("tos.rtd",,"IMPL_VOL","."&amp;W$2&amp;W$1&amp;"C"&amp;$A29)="N/A",0,RTD("tos.rtd",,"IMPL_VOL","."&amp;W$2&amp;W$1&amp;"C"&amp;$A29))),0),IF($A$2="MAXPAIN",IF($A$4&gt;$A29,($A$4-$A29)*IF(RTD("tos.rtd",,"OPEN_INT","."&amp;W$2&amp;W$1&amp;"C"&amp;$A29)="N/A",0,RTD("tos.rtd",,"OPEN_INT","."&amp;W$2&amp;W$1&amp;"C"&amp;$A29)),0)+IF($A$4&lt;$A29,($A$5-$A$4)*IF(RTD("tos.rtd",,"OPEN_INT","."&amp;W$2&amp;W$1&amp;"P"&amp;$A29)="N/A",0,RTD("tos.rtd",,"OPEN_INT","."&amp;W$2&amp;W$1&amp;"P"&amp;$A29)),0),IF($X$1="ABS",IF(RTD("tos.rtd",,$A$2,"."&amp;W$2&amp;W$1&amp;"C"&amp;$A29)="N/A",0,RTD("tos.rtd",,$A$2,"."&amp;W$2&amp;W$1&amp;"C"&amp;$A29))+IF(RTD("tos.rtd",,$A$2,"."&amp;W$2&amp;W$1&amp;"P"&amp;$A29)="N/A",0,RTD("tos.rtd",,$A$2,"."&amp;W$2&amp;W$1&amp;"P"&amp;$A29)),IF(RTD("tos.rtd",,$A$2,"."&amp;W$2&amp;W$1&amp;"C"&amp;$A29)="N/A",0,RTD("tos.rtd",,$A$2,"."&amp;W$2&amp;W$1&amp;"C"&amp;$A29))-IF(RTD("tos.rtd",,$A$2,"."&amp;W$2&amp;W$1&amp;"P"&amp;$A29)="N/A",0,RTD("tos.rtd",,$A$2,"."&amp;W$2&amp;W$1&amp;"P"&amp;$A29))))))))))</f>
        <v>0</v>
      </c>
      <c r="X29" s="57">
        <f t="shared" ca="1" si="8"/>
        <v>0</v>
      </c>
      <c r="Y29" s="27">
        <f t="shared" ca="1" si="9"/>
        <v>0</v>
      </c>
      <c r="Z29" s="27">
        <f ca="1">+'OI-VOL'!Y29</f>
        <v>20556</v>
      </c>
      <c r="AA29" s="27" t="b">
        <f t="shared" ca="1" si="10"/>
        <v>0</v>
      </c>
      <c r="AB29" s="27">
        <f t="shared" si="11"/>
        <v>24858550</v>
      </c>
      <c r="AC29" s="18">
        <f>MAX(0, $A29-AC$4)*IF(RTD("tos.rtd",,"OPEN_INT","."&amp;$AB$3&amp;$AB$4&amp;"C"&amp;AC$4)="N/A",0,RTD("tos.rtd",,"OPEN_INT","."&amp;$AB$3&amp;$AB$4&amp;"C"&amp;AC$4))*100 + MAX(0, AC$4-$A29)*IF(RTD("tos.rtd",,"OPEN_INT","."&amp;$AB$3&amp;$AB$4&amp;"P"&amp;AC$4)="N/A",0,RTD("tos.rtd",,"OPEN_INT","."&amp;$AB$3&amp;$AB$4&amp;"P"&amp;AC$4))*100</f>
        <v>0</v>
      </c>
      <c r="AD29" s="18">
        <f>MAX(0, $A29-AD$4)*IF(RTD("tos.rtd",,"OPEN_INT","."&amp;$AB$3&amp;$AB$4&amp;"C"&amp;AD$4)="N/A",0,RTD("tos.rtd",,"OPEN_INT","."&amp;$AB$3&amp;$AB$4&amp;"C"&amp;AD$4))*100 + MAX(0, AD$4-$A29)*IF(RTD("tos.rtd",,"OPEN_INT","."&amp;$AB$3&amp;$AB$4&amp;"P"&amp;AD$4)="N/A",0,RTD("tos.rtd",,"OPEN_INT","."&amp;$AB$3&amp;$AB$4&amp;"P"&amp;AD$4))*100</f>
        <v>0</v>
      </c>
      <c r="AE29" s="18">
        <f>MAX(0, $A29-AE$4)*IF(RTD("tos.rtd",,"OPEN_INT","."&amp;$AB$3&amp;$AB$4&amp;"C"&amp;AE$4)="N/A",0,RTD("tos.rtd",,"OPEN_INT","."&amp;$AB$3&amp;$AB$4&amp;"C"&amp;AE$4))*100 + MAX(0, AE$4-$A29)*IF(RTD("tos.rtd",,"OPEN_INT","."&amp;$AB$3&amp;$AB$4&amp;"P"&amp;AE$4)="N/A",0,RTD("tos.rtd",,"OPEN_INT","."&amp;$AB$3&amp;$AB$4&amp;"P"&amp;AE$4))*100</f>
        <v>0</v>
      </c>
      <c r="AF29" s="18">
        <f>MAX(0, $A29-AF$4)*IF(RTD("tos.rtd",,"OPEN_INT","."&amp;$AB$3&amp;$AB$4&amp;"C"&amp;AF$4)="N/A",0,RTD("tos.rtd",,"OPEN_INT","."&amp;$AB$3&amp;$AB$4&amp;"C"&amp;AF$4))*100 + MAX(0, AF$4-$A29)*IF(RTD("tos.rtd",,"OPEN_INT","."&amp;$AB$3&amp;$AB$4&amp;"P"&amp;AF$4)="N/A",0,RTD("tos.rtd",,"OPEN_INT","."&amp;$AB$3&amp;$AB$4&amp;"P"&amp;AF$4))*100</f>
        <v>0</v>
      </c>
      <c r="AG29" s="18">
        <f>MAX(0, $A29-AG$4)*IF(RTD("tos.rtd",,"OPEN_INT","."&amp;$AB$3&amp;$AB$4&amp;"C"&amp;AG$4)="N/A",0,RTD("tos.rtd",,"OPEN_INT","."&amp;$AB$3&amp;$AB$4&amp;"C"&amp;AG$4))*100 + MAX(0, AG$4-$A29)*IF(RTD("tos.rtd",,"OPEN_INT","."&amp;$AB$3&amp;$AB$4&amp;"P"&amp;AG$4)="N/A",0,RTD("tos.rtd",,"OPEN_INT","."&amp;$AB$3&amp;$AB$4&amp;"P"&amp;AG$4))*100</f>
        <v>0</v>
      </c>
      <c r="AH29" s="18">
        <f>MAX(0, $A29-AH$4)*IF(RTD("tos.rtd",,"OPEN_INT","."&amp;$AB$3&amp;$AB$4&amp;"C"&amp;AH$4)="N/A",0,RTD("tos.rtd",,"OPEN_INT","."&amp;$AB$3&amp;$AB$4&amp;"C"&amp;AH$4))*100 + MAX(0, AH$4-$A29)*IF(RTD("tos.rtd",,"OPEN_INT","."&amp;$AB$3&amp;$AB$4&amp;"P"&amp;AH$4)="N/A",0,RTD("tos.rtd",,"OPEN_INT","."&amp;$AB$3&amp;$AB$4&amp;"P"&amp;AH$4))*100</f>
        <v>0</v>
      </c>
      <c r="AI29" s="18">
        <f>MAX(0, $A29-AI$4)*IF(RTD("tos.rtd",,"OPEN_INT","."&amp;$AB$3&amp;$AB$4&amp;"C"&amp;AI$4)="N/A",0,RTD("tos.rtd",,"OPEN_INT","."&amp;$AB$3&amp;$AB$4&amp;"C"&amp;AI$4))*100 + MAX(0, AI$4-$A29)*IF(RTD("tos.rtd",,"OPEN_INT","."&amp;$AB$3&amp;$AB$4&amp;"P"&amp;AI$4)="N/A",0,RTD("tos.rtd",,"OPEN_INT","."&amp;$AB$3&amp;$AB$4&amp;"P"&amp;AI$4))*100</f>
        <v>0</v>
      </c>
      <c r="AJ29" s="18">
        <f>MAX(0, $A29-AJ$4)*IF(RTD("tos.rtd",,"OPEN_INT","."&amp;$AB$3&amp;$AB$4&amp;"C"&amp;AJ$4)="N/A",0,RTD("tos.rtd",,"OPEN_INT","."&amp;$AB$3&amp;$AB$4&amp;"C"&amp;AJ$4))*100 + MAX(0, AJ$4-$A29)*IF(RTD("tos.rtd",,"OPEN_INT","."&amp;$AB$3&amp;$AB$4&amp;"P"&amp;AJ$4)="N/A",0,RTD("tos.rtd",,"OPEN_INT","."&amp;$AB$3&amp;$AB$4&amp;"P"&amp;AJ$4))*100</f>
        <v>2550</v>
      </c>
      <c r="AK29" s="18">
        <f>MAX(0, $A29-AK$4)*IF(RTD("tos.rtd",,"OPEN_INT","."&amp;$AB$3&amp;$AB$4&amp;"C"&amp;AK$4)="N/A",0,RTD("tos.rtd",,"OPEN_INT","."&amp;$AB$3&amp;$AB$4&amp;"C"&amp;AK$4))*100 + MAX(0, AK$4-$A29)*IF(RTD("tos.rtd",,"OPEN_INT","."&amp;$AB$3&amp;$AB$4&amp;"P"&amp;AK$4)="N/A",0,RTD("tos.rtd",,"OPEN_INT","."&amp;$AB$3&amp;$AB$4&amp;"P"&amp;AK$4))*100</f>
        <v>6400</v>
      </c>
      <c r="AL29" s="18">
        <f>MAX(0, $A29-AL$4)*IF(RTD("tos.rtd",,"OPEN_INT","."&amp;$AB$3&amp;$AB$4&amp;"C"&amp;AL$4)="N/A",0,RTD("tos.rtd",,"OPEN_INT","."&amp;$AB$3&amp;$AB$4&amp;"C"&amp;AL$4))*100 + MAX(0, AL$4-$A29)*IF(RTD("tos.rtd",,"OPEN_INT","."&amp;$AB$3&amp;$AB$4&amp;"P"&amp;AL$4)="N/A",0,RTD("tos.rtd",,"OPEN_INT","."&amp;$AB$3&amp;$AB$4&amp;"P"&amp;AL$4))*100</f>
        <v>0</v>
      </c>
      <c r="AM29" s="18">
        <f>MAX(0, $A29-AM$4)*IF(RTD("tos.rtd",,"OPEN_INT","."&amp;$AB$3&amp;$AB$4&amp;"C"&amp;AM$4)="N/A",0,RTD("tos.rtd",,"OPEN_INT","."&amp;$AB$3&amp;$AB$4&amp;"C"&amp;AM$4))*100 + MAX(0, AM$4-$A29)*IF(RTD("tos.rtd",,"OPEN_INT","."&amp;$AB$3&amp;$AB$4&amp;"P"&amp;AM$4)="N/A",0,RTD("tos.rtd",,"OPEN_INT","."&amp;$AB$3&amp;$AB$4&amp;"P"&amp;AM$4))*100</f>
        <v>0</v>
      </c>
      <c r="AN29" s="18">
        <f>MAX(0, $A29-AN$4)*IF(RTD("tos.rtd",,"OPEN_INT","."&amp;$AB$3&amp;$AB$4&amp;"C"&amp;AN$4)="N/A",0,RTD("tos.rtd",,"OPEN_INT","."&amp;$AB$3&amp;$AB$4&amp;"C"&amp;AN$4))*100 + MAX(0, AN$4-$A29)*IF(RTD("tos.rtd",,"OPEN_INT","."&amp;$AB$3&amp;$AB$4&amp;"P"&amp;AN$4)="N/A",0,RTD("tos.rtd",,"OPEN_INT","."&amp;$AB$3&amp;$AB$4&amp;"P"&amp;AN$4))*100</f>
        <v>0</v>
      </c>
      <c r="AO29" s="18">
        <f>MAX(0, $A29-AO$4)*IF(RTD("tos.rtd",,"OPEN_INT","."&amp;$AB$3&amp;$AB$4&amp;"C"&amp;AO$4)="N/A",0,RTD("tos.rtd",,"OPEN_INT","."&amp;$AB$3&amp;$AB$4&amp;"C"&amp;AO$4))*100 + MAX(0, AO$4-$A29)*IF(RTD("tos.rtd",,"OPEN_INT","."&amp;$AB$3&amp;$AB$4&amp;"P"&amp;AO$4)="N/A",0,RTD("tos.rtd",,"OPEN_INT","."&amp;$AB$3&amp;$AB$4&amp;"P"&amp;AO$4))*100</f>
        <v>0</v>
      </c>
      <c r="AP29" s="18">
        <f>MAX(0, $A29-AP$4)*IF(RTD("tos.rtd",,"OPEN_INT","."&amp;$AB$3&amp;$AB$4&amp;"C"&amp;AP$4)="N/A",0,RTD("tos.rtd",,"OPEN_INT","."&amp;$AB$3&amp;$AB$4&amp;"C"&amp;AP$4))*100 + MAX(0, AP$4-$A29)*IF(RTD("tos.rtd",,"OPEN_INT","."&amp;$AB$3&amp;$AB$4&amp;"P"&amp;AP$4)="N/A",0,RTD("tos.rtd",,"OPEN_INT","."&amp;$AB$3&amp;$AB$4&amp;"P"&amp;AP$4))*100</f>
        <v>66000</v>
      </c>
      <c r="AQ29" s="18">
        <f>MAX(0, $A29-AQ$4)*IF(RTD("tos.rtd",,"OPEN_INT","."&amp;$AB$3&amp;$AB$4&amp;"C"&amp;AQ$4)="N/A",0,RTD("tos.rtd",,"OPEN_INT","."&amp;$AB$3&amp;$AB$4&amp;"C"&amp;AQ$4))*100 + MAX(0, AQ$4-$A29)*IF(RTD("tos.rtd",,"OPEN_INT","."&amp;$AB$3&amp;$AB$4&amp;"P"&amp;AQ$4)="N/A",0,RTD("tos.rtd",,"OPEN_INT","."&amp;$AB$3&amp;$AB$4&amp;"P"&amp;AQ$4))*100</f>
        <v>0</v>
      </c>
      <c r="AR29" s="18">
        <f>MAX(0, $A29-AR$4)*IF(RTD("tos.rtd",,"OPEN_INT","."&amp;$AB$3&amp;$AB$4&amp;"C"&amp;AR$4)="N/A",0,RTD("tos.rtd",,"OPEN_INT","."&amp;$AB$3&amp;$AB$4&amp;"C"&amp;AR$4))*100 + MAX(0, AR$4-$A29)*IF(RTD("tos.rtd",,"OPEN_INT","."&amp;$AB$3&amp;$AB$4&amp;"P"&amp;AR$4)="N/A",0,RTD("tos.rtd",,"OPEN_INT","."&amp;$AB$3&amp;$AB$4&amp;"P"&amp;AR$4))*100</f>
        <v>23850</v>
      </c>
      <c r="AS29" s="18">
        <f>MAX(0, $A29-AS$4)*IF(RTD("tos.rtd",,"OPEN_INT","."&amp;$AB$3&amp;$AB$4&amp;"C"&amp;AS$4)="N/A",0,RTD("tos.rtd",,"OPEN_INT","."&amp;$AB$3&amp;$AB$4&amp;"C"&amp;AS$4))*100 + MAX(0, AS$4-$A29)*IF(RTD("tos.rtd",,"OPEN_INT","."&amp;$AB$3&amp;$AB$4&amp;"P"&amp;AS$4)="N/A",0,RTD("tos.rtd",,"OPEN_INT","."&amp;$AB$3&amp;$AB$4&amp;"P"&amp;AS$4))*100</f>
        <v>2400</v>
      </c>
      <c r="AT29" s="18">
        <f>MAX(0, $A29-AT$4)*IF(RTD("tos.rtd",,"OPEN_INT","."&amp;$AB$3&amp;$AB$4&amp;"C"&amp;AT$4)="N/A",0,RTD("tos.rtd",,"OPEN_INT","."&amp;$AB$3&amp;$AB$4&amp;"C"&amp;AT$4))*100 + MAX(0, AT$4-$A29)*IF(RTD("tos.rtd",,"OPEN_INT","."&amp;$AB$3&amp;$AB$4&amp;"P"&amp;AT$4)="N/A",0,RTD("tos.rtd",,"OPEN_INT","."&amp;$AB$3&amp;$AB$4&amp;"P"&amp;AT$4))*100</f>
        <v>21700</v>
      </c>
      <c r="AU29" s="18">
        <f>MAX(0, $A29-AU$4)*IF(RTD("tos.rtd",,"OPEN_INT","."&amp;$AB$3&amp;$AB$4&amp;"C"&amp;AU$4)="N/A",0,RTD("tos.rtd",,"OPEN_INT","."&amp;$AB$3&amp;$AB$4&amp;"C"&amp;AU$4))*100 + MAX(0, AU$4-$A29)*IF(RTD("tos.rtd",,"OPEN_INT","."&amp;$AB$3&amp;$AB$4&amp;"P"&amp;AU$4)="N/A",0,RTD("tos.rtd",,"OPEN_INT","."&amp;$AB$3&amp;$AB$4&amp;"P"&amp;AU$4))*100</f>
        <v>21000</v>
      </c>
      <c r="AV29" s="18">
        <f>MAX(0, $A29-AV$4)*IF(RTD("tos.rtd",,"OPEN_INT","."&amp;$AB$3&amp;$AB$4&amp;"C"&amp;AV$4)="N/A",0,RTD("tos.rtd",,"OPEN_INT","."&amp;$AB$3&amp;$AB$4&amp;"C"&amp;AV$4))*100 + MAX(0, AV$4-$A29)*IF(RTD("tos.rtd",,"OPEN_INT","."&amp;$AB$3&amp;$AB$4&amp;"P"&amp;AV$4)="N/A",0,RTD("tos.rtd",,"OPEN_INT","."&amp;$AB$3&amp;$AB$4&amp;"P"&amp;AV$4))*100</f>
        <v>10000</v>
      </c>
      <c r="AW29" s="18">
        <f>MAX(0, $A29-AW$4)*IF(RTD("tos.rtd",,"OPEN_INT","."&amp;$AB$3&amp;$AB$4&amp;"C"&amp;AW$4)="N/A",0,RTD("tos.rtd",,"OPEN_INT","."&amp;$AB$3&amp;$AB$4&amp;"C"&amp;AW$4))*100 + MAX(0, AW$4-$A29)*IF(RTD("tos.rtd",,"OPEN_INT","."&amp;$AB$3&amp;$AB$4&amp;"P"&amp;AW$4)="N/A",0,RTD("tos.rtd",,"OPEN_INT","."&amp;$AB$3&amp;$AB$4&amp;"P"&amp;AW$4))*100</f>
        <v>32200</v>
      </c>
      <c r="AX29" s="18">
        <f>MAX(0, $A29-AX$4)*IF(RTD("tos.rtd",,"OPEN_INT","."&amp;$AB$3&amp;$AB$4&amp;"C"&amp;AX$4)="N/A",0,RTD("tos.rtd",,"OPEN_INT","."&amp;$AB$3&amp;$AB$4&amp;"C"&amp;AX$4))*100 + MAX(0, AX$4-$A29)*IF(RTD("tos.rtd",,"OPEN_INT","."&amp;$AB$3&amp;$AB$4&amp;"P"&amp;AX$4)="N/A",0,RTD("tos.rtd",,"OPEN_INT","."&amp;$AB$3&amp;$AB$4&amp;"P"&amp;AX$4))*100</f>
        <v>30300</v>
      </c>
      <c r="AY29" s="18">
        <f>MAX(0, $A29-AY$4)*IF(RTD("tos.rtd",,"OPEN_INT","."&amp;$AB$3&amp;$AB$4&amp;"C"&amp;AY$4)="N/A",0,RTD("tos.rtd",,"OPEN_INT","."&amp;$AB$3&amp;$AB$4&amp;"C"&amp;AY$4))*100 + MAX(0, AY$4-$A29)*IF(RTD("tos.rtd",,"OPEN_INT","."&amp;$AB$3&amp;$AB$4&amp;"P"&amp;AY$4)="N/A",0,RTD("tos.rtd",,"OPEN_INT","."&amp;$AB$3&amp;$AB$4&amp;"P"&amp;AY$4))*100</f>
        <v>24700</v>
      </c>
      <c r="AZ29" s="18">
        <f>MAX(0, $A29-AZ$4)*IF(RTD("tos.rtd",,"OPEN_INT","."&amp;$AB$3&amp;$AB$4&amp;"C"&amp;AZ$4)="N/A",0,RTD("tos.rtd",,"OPEN_INT","."&amp;$AB$3&amp;$AB$4&amp;"C"&amp;AZ$4))*100 + MAX(0, AZ$4-$A29)*IF(RTD("tos.rtd",,"OPEN_INT","."&amp;$AB$3&amp;$AB$4&amp;"P"&amp;AZ$4)="N/A",0,RTD("tos.rtd",,"OPEN_INT","."&amp;$AB$3&amp;$AB$4&amp;"P"&amp;AZ$4))*100</f>
        <v>103700</v>
      </c>
      <c r="BA29" s="18">
        <f>MAX(0, $A29-BA$4)*IF(RTD("tos.rtd",,"OPEN_INT","."&amp;$AB$3&amp;$AB$4&amp;"C"&amp;BA$4)="N/A",0,RTD("tos.rtd",,"OPEN_INT","."&amp;$AB$3&amp;$AB$4&amp;"C"&amp;BA$4))*100 + MAX(0, BA$4-$A29)*IF(RTD("tos.rtd",,"OPEN_INT","."&amp;$AB$3&amp;$AB$4&amp;"P"&amp;BA$4)="N/A",0,RTD("tos.rtd",,"OPEN_INT","."&amp;$AB$3&amp;$AB$4&amp;"P"&amp;BA$4))*100</f>
        <v>0</v>
      </c>
      <c r="BB29" s="18">
        <f>MAX(0, $A29-BB$4)*IF(RTD("tos.rtd",,"OPEN_INT","."&amp;$AB$3&amp;$AB$4&amp;"C"&amp;BB$4)="N/A",0,RTD("tos.rtd",,"OPEN_INT","."&amp;$AB$3&amp;$AB$4&amp;"C"&amp;BB$4))*100 + MAX(0, BB$4-$A29)*IF(RTD("tos.rtd",,"OPEN_INT","."&amp;$AB$3&amp;$AB$4&amp;"P"&amp;BB$4)="N/A",0,RTD("tos.rtd",,"OPEN_INT","."&amp;$AB$3&amp;$AB$4&amp;"P"&amp;BB$4))*100</f>
        <v>1540350</v>
      </c>
      <c r="BC29" s="18">
        <f>MAX(0, $A29-BC$4)*IF(RTD("tos.rtd",,"OPEN_INT","."&amp;$AB$3&amp;$AB$4&amp;"C"&amp;BC$4)="N/A",0,RTD("tos.rtd",,"OPEN_INT","."&amp;$AB$3&amp;$AB$4&amp;"C"&amp;BC$4))*100 + MAX(0, BC$4-$A29)*IF(RTD("tos.rtd",,"OPEN_INT","."&amp;$AB$3&amp;$AB$4&amp;"P"&amp;BC$4)="N/A",0,RTD("tos.rtd",,"OPEN_INT","."&amp;$AB$3&amp;$AB$4&amp;"P"&amp;BC$4))*100</f>
        <v>2865800</v>
      </c>
      <c r="BD29" s="18">
        <f>MAX(0, $A29-BD$4)*IF(RTD("tos.rtd",,"OPEN_INT","."&amp;$AB$3&amp;$AB$4&amp;"C"&amp;BD$4)="N/A",0,RTD("tos.rtd",,"OPEN_INT","."&amp;$AB$3&amp;$AB$4&amp;"C"&amp;BD$4))*100 + MAX(0, BD$4-$A29)*IF(RTD("tos.rtd",,"OPEN_INT","."&amp;$AB$3&amp;$AB$4&amp;"P"&amp;BD$4)="N/A",0,RTD("tos.rtd",,"OPEN_INT","."&amp;$AB$3&amp;$AB$4&amp;"P"&amp;BD$4))*100</f>
        <v>6106950</v>
      </c>
      <c r="BE29" s="18">
        <f>MAX(0, $A29-BE$4)*IF(RTD("tos.rtd",,"OPEN_INT","."&amp;$AB$3&amp;$AB$4&amp;"C"&amp;BE$4)="N/A",0,RTD("tos.rtd",,"OPEN_INT","."&amp;$AB$3&amp;$AB$4&amp;"C"&amp;BE$4))*100 + MAX(0, BE$4-$A29)*IF(RTD("tos.rtd",,"OPEN_INT","."&amp;$AB$3&amp;$AB$4&amp;"P"&amp;BE$4)="N/A",0,RTD("tos.rtd",,"OPEN_INT","."&amp;$AB$3&amp;$AB$4&amp;"P"&amp;BE$4))*100</f>
        <v>3712000</v>
      </c>
      <c r="BF29" s="18">
        <f>MAX(0, $A29-BF$4)*IF(RTD("tos.rtd",,"OPEN_INT","."&amp;$AB$3&amp;$AB$4&amp;"C"&amp;BF$4)="N/A",0,RTD("tos.rtd",,"OPEN_INT","."&amp;$AB$3&amp;$AB$4&amp;"C"&amp;BF$4))*100 + MAX(0, BF$4-$A29)*IF(RTD("tos.rtd",,"OPEN_INT","."&amp;$AB$3&amp;$AB$4&amp;"P"&amp;BF$4)="N/A",0,RTD("tos.rtd",,"OPEN_INT","."&amp;$AB$3&amp;$AB$4&amp;"P"&amp;BF$4))*100</f>
        <v>4319500</v>
      </c>
      <c r="BG29" s="18">
        <f>MAX(0, $A29-BG$4)*IF(RTD("tos.rtd",,"OPEN_INT","."&amp;$AB$3&amp;$AB$4&amp;"C"&amp;BG$4)="N/A",0,RTD("tos.rtd",,"OPEN_INT","."&amp;$AB$3&amp;$AB$4&amp;"C"&amp;BG$4))*100 + MAX(0, BG$4-$A29)*IF(RTD("tos.rtd",,"OPEN_INT","."&amp;$AB$3&amp;$AB$4&amp;"P"&amp;BG$4)="N/A",0,RTD("tos.rtd",,"OPEN_INT","."&amp;$AB$3&amp;$AB$4&amp;"P"&amp;BG$4))*100</f>
        <v>2522100</v>
      </c>
      <c r="BH29" s="18">
        <f>MAX(0, $A29-BH$4)*IF(RTD("tos.rtd",,"OPEN_INT","."&amp;$AB$3&amp;$AB$4&amp;"C"&amp;BH$4)="N/A",0,RTD("tos.rtd",,"OPEN_INT","."&amp;$AB$3&amp;$AB$4&amp;"C"&amp;BH$4))*100 + MAX(0, BH$4-$A29)*IF(RTD("tos.rtd",,"OPEN_INT","."&amp;$AB$3&amp;$AB$4&amp;"P"&amp;BH$4)="N/A",0,RTD("tos.rtd",,"OPEN_INT","."&amp;$AB$3&amp;$AB$4&amp;"P"&amp;BH$4))*100</f>
        <v>2006900</v>
      </c>
      <c r="BI29" s="18">
        <f>MAX(0, $A29-BI$4)*IF(RTD("tos.rtd",,"OPEN_INT","."&amp;$AB$3&amp;$AB$4&amp;"C"&amp;BI$4)="N/A",0,RTD("tos.rtd",,"OPEN_INT","."&amp;$AB$3&amp;$AB$4&amp;"C"&amp;BI$4))*100 + MAX(0, BI$4-$A29)*IF(RTD("tos.rtd",,"OPEN_INT","."&amp;$AB$3&amp;$AB$4&amp;"P"&amp;BI$4)="N/A",0,RTD("tos.rtd",,"OPEN_INT","."&amp;$AB$3&amp;$AB$4&amp;"P"&amp;BI$4))*100</f>
        <v>777200</v>
      </c>
      <c r="BJ29" s="18">
        <f>MAX(0, $A29-BJ$4)*IF(RTD("tos.rtd",,"OPEN_INT","."&amp;$AB$3&amp;$AB$4&amp;"C"&amp;BJ$4)="N/A",0,RTD("tos.rtd",,"OPEN_INT","."&amp;$AB$3&amp;$AB$4&amp;"C"&amp;BJ$4))*100 + MAX(0, BJ$4-$A29)*IF(RTD("tos.rtd",,"OPEN_INT","."&amp;$AB$3&amp;$AB$4&amp;"P"&amp;BJ$4)="N/A",0,RTD("tos.rtd",,"OPEN_INT","."&amp;$AB$3&amp;$AB$4&amp;"P"&amp;BJ$4))*100</f>
        <v>378900</v>
      </c>
      <c r="BK29" s="18">
        <f>MAX(0, $A29-BK$4)*IF(RTD("tos.rtd",,"OPEN_INT","."&amp;$AB$3&amp;$AB$4&amp;"C"&amp;BK$4)="N/A",0,RTD("tos.rtd",,"OPEN_INT","."&amp;$AB$3&amp;$AB$4&amp;"C"&amp;BK$4))*100 + MAX(0, BK$4-$A29)*IF(RTD("tos.rtd",,"OPEN_INT","."&amp;$AB$3&amp;$AB$4&amp;"P"&amp;BK$4)="N/A",0,RTD("tos.rtd",,"OPEN_INT","."&amp;$AB$3&amp;$AB$4&amp;"P"&amp;BK$4))*100</f>
        <v>75500</v>
      </c>
      <c r="BL29" s="18">
        <f>MAX(0, $A29-BL$4)*IF(RTD("tos.rtd",,"OPEN_INT","."&amp;$AB$3&amp;$AB$4&amp;"C"&amp;BL$4)="N/A",0,RTD("tos.rtd",,"OPEN_INT","."&amp;$AB$3&amp;$AB$4&amp;"C"&amp;BL$4))*100 + MAX(0, BL$4-$A29)*IF(RTD("tos.rtd",,"OPEN_INT","."&amp;$AB$3&amp;$AB$4&amp;"P"&amp;BL$4)="N/A",0,RTD("tos.rtd",,"OPEN_INT","."&amp;$AB$3&amp;$AB$4&amp;"P"&amp;BL$4))*100</f>
        <v>143550</v>
      </c>
      <c r="BM29" s="18">
        <f>MAX(0, $A29-BM$4)*IF(RTD("tos.rtd",,"OPEN_INT","."&amp;$AB$3&amp;$AB$4&amp;"C"&amp;BM$4)="N/A",0,RTD("tos.rtd",,"OPEN_INT","."&amp;$AB$3&amp;$AB$4&amp;"C"&amp;BM$4))*100 + MAX(0, BM$4-$A29)*IF(RTD("tos.rtd",,"OPEN_INT","."&amp;$AB$3&amp;$AB$4&amp;"P"&amp;BM$4)="N/A",0,RTD("tos.rtd",,"OPEN_INT","."&amp;$AB$3&amp;$AB$4&amp;"P"&amp;BM$4))*100</f>
        <v>9600</v>
      </c>
      <c r="BN29" s="18">
        <f>MAX(0, $A29-BN$4)*IF(RTD("tos.rtd",,"OPEN_INT","."&amp;$AB$3&amp;$AB$4&amp;"C"&amp;BN$4)="N/A",0,RTD("tos.rtd",,"OPEN_INT","."&amp;$AB$3&amp;$AB$4&amp;"C"&amp;BN$4))*100 + MAX(0, BN$4-$A29)*IF(RTD("tos.rtd",,"OPEN_INT","."&amp;$AB$3&amp;$AB$4&amp;"P"&amp;BN$4)="N/A",0,RTD("tos.rtd",,"OPEN_INT","."&amp;$AB$3&amp;$AB$4&amp;"P"&amp;BN$4))*100</f>
        <v>5200</v>
      </c>
      <c r="BO29" s="18">
        <f>MAX(0, $A29-BO$4)*IF(RTD("tos.rtd",,"OPEN_INT","."&amp;$AB$3&amp;$AB$4&amp;"C"&amp;BO$4)="N/A",0,RTD("tos.rtd",,"OPEN_INT","."&amp;$AB$3&amp;$AB$4&amp;"C"&amp;BO$4))*100 + MAX(0, BO$4-$A29)*IF(RTD("tos.rtd",,"OPEN_INT","."&amp;$AB$3&amp;$AB$4&amp;"P"&amp;BO$4)="N/A",0,RTD("tos.rtd",,"OPEN_INT","."&amp;$AB$3&amp;$AB$4&amp;"P"&amp;BO$4))*100</f>
        <v>21700</v>
      </c>
      <c r="BP29" s="18">
        <f>MAX(0, $A29-BP$4)*IF(RTD("tos.rtd",,"OPEN_INT","."&amp;$AB$3&amp;$AB$4&amp;"C"&amp;BP$4)="N/A",0,RTD("tos.rtd",,"OPEN_INT","."&amp;$AB$3&amp;$AB$4&amp;"C"&amp;BP$4))*100 + MAX(0, BP$4-$A29)*IF(RTD("tos.rtd",,"OPEN_INT","."&amp;$AB$3&amp;$AB$4&amp;"P"&amp;BP$4)="N/A",0,RTD("tos.rtd",,"OPEN_INT","."&amp;$AB$3&amp;$AB$4&amp;"P"&amp;BP$4))*100</f>
        <v>28500</v>
      </c>
      <c r="BQ29" s="18">
        <f>MAX(0, $A29-BQ$4)*IF(RTD("tos.rtd",,"OPEN_INT","."&amp;$AB$3&amp;$AB$4&amp;"C"&amp;BQ$4)="N/A",0,RTD("tos.rtd",,"OPEN_INT","."&amp;$AB$3&amp;$AB$4&amp;"C"&amp;BQ$4))*100 + MAX(0, BQ$4-$A29)*IF(RTD("tos.rtd",,"OPEN_INT","."&amp;$AB$3&amp;$AB$4&amp;"P"&amp;BQ$4)="N/A",0,RTD("tos.rtd",,"OPEN_INT","."&amp;$AB$3&amp;$AB$4&amp;"P"&amp;BQ$4))*100</f>
        <v>0</v>
      </c>
      <c r="BR29" s="18">
        <f>MAX(0, $A29-BR$4)*IF(RTD("tos.rtd",,"OPEN_INT","."&amp;$AB$3&amp;$AB$4&amp;"C"&amp;BR$4)="N/A",0,RTD("tos.rtd",,"OPEN_INT","."&amp;$AB$3&amp;$AB$4&amp;"C"&amp;BR$4))*100 + MAX(0, BR$4-$A29)*IF(RTD("tos.rtd",,"OPEN_INT","."&amp;$AB$3&amp;$AB$4&amp;"P"&amp;BR$4)="N/A",0,RTD("tos.rtd",,"OPEN_INT","."&amp;$AB$3&amp;$AB$4&amp;"P"&amp;BR$4))*100</f>
        <v>0</v>
      </c>
      <c r="BS29" s="18">
        <f>MAX(0, $A29-BS$4)*IF(RTD("tos.rtd",,"OPEN_INT","."&amp;$AB$3&amp;$AB$4&amp;"C"&amp;BS$4)="N/A",0,RTD("tos.rtd",,"OPEN_INT","."&amp;$AB$3&amp;$AB$4&amp;"C"&amp;BS$4))*100 + MAX(0, BS$4-$A29)*IF(RTD("tos.rtd",,"OPEN_INT","."&amp;$AB$3&amp;$AB$4&amp;"P"&amp;BS$4)="N/A",0,RTD("tos.rtd",,"OPEN_INT","."&amp;$AB$3&amp;$AB$4&amp;"P"&amp;BS$4))*100</f>
        <v>0</v>
      </c>
      <c r="BT29" s="18">
        <f>MAX(0, $A29-BT$4)*IF(RTD("tos.rtd",,"OPEN_INT","."&amp;$AB$3&amp;$AB$4&amp;"C"&amp;BT$4)="N/A",0,RTD("tos.rtd",,"OPEN_INT","."&amp;$AB$3&amp;$AB$4&amp;"C"&amp;BT$4))*100 + MAX(0, BT$4-$A29)*IF(RTD("tos.rtd",,"OPEN_INT","."&amp;$AB$3&amp;$AB$4&amp;"P"&amp;BT$4)="N/A",0,RTD("tos.rtd",,"OPEN_INT","."&amp;$AB$3&amp;$AB$4&amp;"P"&amp;BT$4))*100</f>
        <v>0</v>
      </c>
      <c r="BU29" s="18">
        <f>MAX(0, $A29-BU$4)*IF(RTD("tos.rtd",,"OPEN_INT","."&amp;$AB$3&amp;$AB$4&amp;"C"&amp;BU$4)="N/A",0,RTD("tos.rtd",,"OPEN_INT","."&amp;$AB$3&amp;$AB$4&amp;"C"&amp;BU$4))*100 + MAX(0, BU$4-$A29)*IF(RTD("tos.rtd",,"OPEN_INT","."&amp;$AB$3&amp;$AB$4&amp;"P"&amp;BU$4)="N/A",0,RTD("tos.rtd",,"OPEN_INT","."&amp;$AB$3&amp;$AB$4&amp;"P"&amp;BU$4))*100</f>
        <v>0</v>
      </c>
      <c r="BV29" s="18">
        <f>MAX(0, $A29-BV$4)*IF(RTD("tos.rtd",,"OPEN_INT","."&amp;$AB$3&amp;$AB$4&amp;"C"&amp;BV$4)="N/A",0,RTD("tos.rtd",,"OPEN_INT","."&amp;$AB$3&amp;$AB$4&amp;"C"&amp;BV$4))*100 + MAX(0, BV$4-$A29)*IF(RTD("tos.rtd",,"OPEN_INT","."&amp;$AB$3&amp;$AB$4&amp;"P"&amp;BV$4)="N/A",0,RTD("tos.rtd",,"OPEN_INT","."&amp;$AB$3&amp;$AB$4&amp;"P"&amp;BV$4))*100</f>
        <v>0</v>
      </c>
      <c r="BW29" s="18">
        <f>MAX(0, $A29-BW$4)*IF(RTD("tos.rtd",,"OPEN_INT","."&amp;$AB$3&amp;$AB$4&amp;"C"&amp;BW$4)="N/A",0,RTD("tos.rtd",,"OPEN_INT","."&amp;$AB$3&amp;$AB$4&amp;"C"&amp;BW$4))*100 + MAX(0, BW$4-$A29)*IF(RTD("tos.rtd",,"OPEN_INT","."&amp;$AB$3&amp;$AB$4&amp;"P"&amp;BW$4)="N/A",0,RTD("tos.rtd",,"OPEN_INT","."&amp;$AB$3&amp;$AB$4&amp;"P"&amp;BW$4))*100</f>
        <v>0</v>
      </c>
    </row>
    <row r="30" spans="1:75" s="19" customFormat="1" ht="11.1" customHeight="1" thickBot="1" x14ac:dyDescent="0.3">
      <c r="A30" s="23">
        <f t="shared" si="12"/>
        <v>9</v>
      </c>
      <c r="B30" s="14">
        <f ca="1">IF($A$2="PREMIUM_OI",IFERROR(IF($X$1="ABS",(100*RTD("tos.rtd",,"OPEN_INT","."&amp;B$2&amp;B$1&amp;"C"&amp;$A30)*RTD("tos.rtd",,"LAST","."&amp;B$2&amp;B$1&amp;"C"&amp;$A30)+100*RTD("tos.rtd",,"OPEN_INT","."&amp;B$2&amp;B$1&amp;"P"&amp;$A30)*RTD("tos.rtd",,"LAST","."&amp;B$2&amp;B$1&amp;"P"&amp;$A30))/1000000,(100*RTD("tos.rtd",,"OPEN_INT","."&amp;B$2&amp;B$1&amp;"C"&amp;$A30)*RTD("tos.rtd",,"LAST","."&amp;B$2&amp;B$1&amp;"C"&amp;$A30)-100*RTD("tos.rtd",,"OPEN_INT","."&amp;B$2&amp;B$1&amp;"P"&amp;$A30)*RTD("tos.rtd",,"LAST","."&amp;B$2&amp;B$1&amp;"P"&amp;$A30))/1000000),0),IF($A$2="PREMIUM",IFERROR(IF($X$1="ABS",(100*RTD("tos.rtd",,"VOLUME","."&amp;B$2&amp;B$1&amp;"C"&amp;$A30)*RTD("tos.rtd",,"LAST","."&amp;B$2&amp;B$1&amp;"C"&amp;$A30)+100*RTD("tos.rtd",,"VOLUME","."&amp;B$2&amp;B$1&amp;"P"&amp;$A30)*RTD("tos.rtd",,"LAST","."&amp;B$2&amp;B$1&amp;"P"&amp;$A30))/1000000,(100*RTD("tos.rtd",,"VOLUME","."&amp;B$2&amp;B$1&amp;"C"&amp;$A30)*RTD("tos.rtd",,"LAST","."&amp;B$2&amp;B$1&amp;"C"&amp;$A30)-100*RTD("tos.rtd",,"VOLUME","."&amp;B$2&amp;B$1&amp;"P"&amp;$A30)*RTD("tos.rtd",,"LAST","."&amp;B$2&amp;B$1&amp;"P"&amp;$A30))/1000000),0),IF($A$2="DEX",IFERROR(IF($X$1="ABS",(100*RTD("tos.rtd",,"OPEN_INT","."&amp;B$2&amp;B$1&amp;"C"&amp;$A30)*RTD("tos.rtd",,"DELTA","."&amp;B$2&amp;B$1&amp;"C"&amp;$A30)+100*RTD("tos.rtd",,"OPEN_INT","."&amp;B$2&amp;B$1&amp;"P"&amp;$A30)*RTD("tos.rtd",,"DELTA","."&amp;B$2&amp;B$1&amp;"P"&amp;$A30))/1000,(100*RTD("tos.rtd",,"OPEN_INT","."&amp;B$2&amp;B$1&amp;"C"&amp;$A30)*RTD("tos.rtd",,"DELTA","."&amp;B$2&amp;B$1&amp;"C"&amp;$A30)-100*RTD("tos.rtd",,"OPEN_INT","."&amp;B$2&amp;B$1&amp;"P"&amp;$A30)*RTD("tos.rtd",,"DELTA","."&amp;B$2&amp;B$1&amp;"P"&amp;$A30))/1000),0),IF($A$2="VEX",IFERROR(IF($X$1="ABS",($A$4*$A$4*RTD("tos.rtd",,"VOLUME","."&amp;B$2&amp;B$1&amp;"C"&amp;$A30)*RTD("tos.rtd",,"GAMMA","."&amp;B$2&amp;B$1&amp;"C"&amp;$A30)+$A$4*$A$4*RTD("tos.rtd",,"VOLUME","."&amp;B$2&amp;B$1&amp;"P"&amp;$A30)*RTD("tos.rtd",,"GAMMA","."&amp;B$2&amp;B$1&amp;"P"&amp;$A30))/1000000,($A$4*$A$4*RTD("tos.rtd",,"VOLUME","."&amp;B$2&amp;B$1&amp;"C"&amp;$A30)*RTD("tos.rtd",,"GAMMA","."&amp;B$2&amp;B$1&amp;"C"&amp;$A30)-$A$4*$A$4*RTD("tos.rtd",,"VOLUME","."&amp;B$2&amp;B$1&amp;"P"&amp;$A30)*RTD("tos.rtd",,"GAMMA","."&amp;B$2&amp;B$1&amp;"P"&amp;$A30))/1000000),0),IF($A$2="GEX",IFERROR(IF($X$1="ABS",($A$4*$A$4*RTD("tos.rtd",,"OPEN_INT","."&amp;B$2&amp;B$1&amp;"C"&amp;$A30)*RTD("tos.rtd",,"GAMMA","."&amp;B$2&amp;B$1&amp;"C"&amp;$A30)+$A$4*$A$4*RTD("tos.rtd",,"OPEN_INT","."&amp;B$2&amp;B$1&amp;"P"&amp;$A30)*RTD("tos.rtd",,"GAMMA","."&amp;B$2&amp;B$1&amp;"P"&amp;$A30))/1000000,($A$4*$A$4*RTD("tos.rtd",,"OPEN_INT","."&amp;B$2&amp;B$1&amp;"C"&amp;$A30)*RTD("tos.rtd",,"GAMMA","."&amp;B$2&amp;B$1&amp;"C"&amp;$A30)-$A$4*$A$4*RTD("tos.rtd",,"OPEN_INT","."&amp;B$2&amp;B$1&amp;"P"&amp;$A30)*RTD("tos.rtd",,"GAMMA","."&amp;B$2&amp;B$1&amp;"P"&amp;$A30))/1000000),0),IF($A$2="SKEW",IFERROR(VALUE(IF(RTD("tos.rtd",,"IMPL_VOL","."&amp;B$2&amp;B$1&amp;"P"&amp;$A30)="N/A",0,RTD("tos.rtd",,"IMPL_VOL","."&amp;B$2&amp;B$1&amp;"P"&amp;$A30))),0)-IFERROR(VALUE(IF(RTD("tos.rtd",,"IMPL_VOL","."&amp;B$2&amp;B$1&amp;"C"&amp;$A30)="N/A",0,RTD("tos.rtd",,"IMPL_VOL","."&amp;B$2&amp;B$1&amp;"C"&amp;$A30))),0),IF($A$2="MAXPAIN",IF($A$4&gt;$A30,($A$4-$A30)*IF(RTD("tos.rtd",,"OPEN_INT","."&amp;B$2&amp;B$1&amp;"C"&amp;$A30)="N/A",0,RTD("tos.rtd",,"OPEN_INT","."&amp;B$2&amp;B$1&amp;"C"&amp;$A30)),0)+IF($A$4&lt;$A30,($A$5-$A$4)*IF(RTD("tos.rtd",,"OPEN_INT","."&amp;B$2&amp;B$1&amp;"P"&amp;$A30)="N/A",0,RTD("tos.rtd",,"OPEN_INT","."&amp;B$2&amp;B$1&amp;"P"&amp;$A30)),0),IF($X$1="ABS",IF(RTD("tos.rtd",,$A$2,"."&amp;B$2&amp;B$1&amp;"C"&amp;$A30)="N/A",0,RTD("tos.rtd",,$A$2,"."&amp;B$2&amp;B$1&amp;"C"&amp;$A30))+IF(RTD("tos.rtd",,$A$2,"."&amp;B$2&amp;B$1&amp;"P"&amp;$A30)="N/A",0,RTD("tos.rtd",,$A$2,"."&amp;B$2&amp;B$1&amp;"P"&amp;$A30)),IF(RTD("tos.rtd",,$A$2,"."&amp;B$2&amp;B$1&amp;"C"&amp;$A30)="N/A",0,RTD("tos.rtd",,$A$2,"."&amp;B$2&amp;B$1&amp;"C"&amp;$A30))-IF(RTD("tos.rtd",,$A$2,"."&amp;B$2&amp;B$1&amp;"P"&amp;$A30)="N/A",0,RTD("tos.rtd",,$A$2,"."&amp;B$2&amp;B$1&amp;"P"&amp;$A30))))))))))</f>
        <v>0</v>
      </c>
      <c r="C30" s="14">
        <f ca="1">IF($A$2="PREMIUM_OI",IFERROR(IF($X$1="ABS",(100*RTD("tos.rtd",,"OPEN_INT","."&amp;C$2&amp;C$1&amp;"C"&amp;$A30)*RTD("tos.rtd",,"LAST","."&amp;C$2&amp;C$1&amp;"C"&amp;$A30)+100*RTD("tos.rtd",,"OPEN_INT","."&amp;C$2&amp;C$1&amp;"P"&amp;$A30)*RTD("tos.rtd",,"LAST","."&amp;C$2&amp;C$1&amp;"P"&amp;$A30))/1000000,(100*RTD("tos.rtd",,"OPEN_INT","."&amp;C$2&amp;C$1&amp;"C"&amp;$A30)*RTD("tos.rtd",,"LAST","."&amp;C$2&amp;C$1&amp;"C"&amp;$A30)-100*RTD("tos.rtd",,"OPEN_INT","."&amp;C$2&amp;C$1&amp;"P"&amp;$A30)*RTD("tos.rtd",,"LAST","."&amp;C$2&amp;C$1&amp;"P"&amp;$A30))/1000000),0),IF($A$2="PREMIUM",IFERROR(IF($X$1="ABS",(100*RTD("tos.rtd",,"VOLUME","."&amp;C$2&amp;C$1&amp;"C"&amp;$A30)*RTD("tos.rtd",,"LAST","."&amp;C$2&amp;C$1&amp;"C"&amp;$A30)+100*RTD("tos.rtd",,"VOLUME","."&amp;C$2&amp;C$1&amp;"P"&amp;$A30)*RTD("tos.rtd",,"LAST","."&amp;C$2&amp;C$1&amp;"P"&amp;$A30))/1000000,(100*RTD("tos.rtd",,"VOLUME","."&amp;C$2&amp;C$1&amp;"C"&amp;$A30)*RTD("tos.rtd",,"LAST","."&amp;C$2&amp;C$1&amp;"C"&amp;$A30)-100*RTD("tos.rtd",,"VOLUME","."&amp;C$2&amp;C$1&amp;"P"&amp;$A30)*RTD("tos.rtd",,"LAST","."&amp;C$2&amp;C$1&amp;"P"&amp;$A30))/1000000),0),IF($A$2="DEX",IFERROR(IF($X$1="ABS",(100*RTD("tos.rtd",,"OPEN_INT","."&amp;C$2&amp;C$1&amp;"C"&amp;$A30)*RTD("tos.rtd",,"DELTA","."&amp;C$2&amp;C$1&amp;"C"&amp;$A30)+100*RTD("tos.rtd",,"OPEN_INT","."&amp;C$2&amp;C$1&amp;"P"&amp;$A30)*RTD("tos.rtd",,"DELTA","."&amp;C$2&amp;C$1&amp;"P"&amp;$A30))/1000,(100*RTD("tos.rtd",,"OPEN_INT","."&amp;C$2&amp;C$1&amp;"C"&amp;$A30)*RTD("tos.rtd",,"DELTA","."&amp;C$2&amp;C$1&amp;"C"&amp;$A30)-100*RTD("tos.rtd",,"OPEN_INT","."&amp;C$2&amp;C$1&amp;"P"&amp;$A30)*RTD("tos.rtd",,"DELTA","."&amp;C$2&amp;C$1&amp;"P"&amp;$A30))/1000),0),IF($A$2="VEX",IFERROR(IF($X$1="ABS",($A$4*$A$4*RTD("tos.rtd",,"VOLUME","."&amp;C$2&amp;C$1&amp;"C"&amp;$A30)*RTD("tos.rtd",,"GAMMA","."&amp;C$2&amp;C$1&amp;"C"&amp;$A30)+$A$4*$A$4*RTD("tos.rtd",,"VOLUME","."&amp;C$2&amp;C$1&amp;"P"&amp;$A30)*RTD("tos.rtd",,"GAMMA","."&amp;C$2&amp;C$1&amp;"P"&amp;$A30))/1000000,($A$4*$A$4*RTD("tos.rtd",,"VOLUME","."&amp;C$2&amp;C$1&amp;"C"&amp;$A30)*RTD("tos.rtd",,"GAMMA","."&amp;C$2&amp;C$1&amp;"C"&amp;$A30)-$A$4*$A$4*RTD("tos.rtd",,"VOLUME","."&amp;C$2&amp;C$1&amp;"P"&amp;$A30)*RTD("tos.rtd",,"GAMMA","."&amp;C$2&amp;C$1&amp;"P"&amp;$A30))/1000000),0),IF($A$2="GEX",IFERROR(IF($X$1="ABS",($A$4*$A$4*RTD("tos.rtd",,"OPEN_INT","."&amp;C$2&amp;C$1&amp;"C"&amp;$A30)*RTD("tos.rtd",,"GAMMA","."&amp;C$2&amp;C$1&amp;"C"&amp;$A30)+$A$4*$A$4*RTD("tos.rtd",,"OPEN_INT","."&amp;C$2&amp;C$1&amp;"P"&amp;$A30)*RTD("tos.rtd",,"GAMMA","."&amp;C$2&amp;C$1&amp;"P"&amp;$A30))/1000000,($A$4*$A$4*RTD("tos.rtd",,"OPEN_INT","."&amp;C$2&amp;C$1&amp;"C"&amp;$A30)*RTD("tos.rtd",,"GAMMA","."&amp;C$2&amp;C$1&amp;"C"&amp;$A30)-$A$4*$A$4*RTD("tos.rtd",,"OPEN_INT","."&amp;C$2&amp;C$1&amp;"P"&amp;$A30)*RTD("tos.rtd",,"GAMMA","."&amp;C$2&amp;C$1&amp;"P"&amp;$A30))/1000000),0),IF($A$2="SKEW",IFERROR(VALUE(IF(RTD("tos.rtd",,"IMPL_VOL","."&amp;C$2&amp;C$1&amp;"P"&amp;$A30)="N/A",0,RTD("tos.rtd",,"IMPL_VOL","."&amp;C$2&amp;C$1&amp;"P"&amp;$A30))),0)-IFERROR(VALUE(IF(RTD("tos.rtd",,"IMPL_VOL","."&amp;C$2&amp;C$1&amp;"C"&amp;$A30)="N/A",0,RTD("tos.rtd",,"IMPL_VOL","."&amp;C$2&amp;C$1&amp;"C"&amp;$A30))),0),IF($A$2="MAXPAIN",IF($A$4&gt;$A30,($A$4-$A30)*IF(RTD("tos.rtd",,"OPEN_INT","."&amp;C$2&amp;C$1&amp;"C"&amp;$A30)="N/A",0,RTD("tos.rtd",,"OPEN_INT","."&amp;C$2&amp;C$1&amp;"C"&amp;$A30)),0)+IF($A$4&lt;$A30,($A$5-$A$4)*IF(RTD("tos.rtd",,"OPEN_INT","."&amp;C$2&amp;C$1&amp;"P"&amp;$A30)="N/A",0,RTD("tos.rtd",,"OPEN_INT","."&amp;C$2&amp;C$1&amp;"P"&amp;$A30)),0),IF($X$1="ABS",IF(RTD("tos.rtd",,$A$2,"."&amp;C$2&amp;C$1&amp;"C"&amp;$A30)="N/A",0,RTD("tos.rtd",,$A$2,"."&amp;C$2&amp;C$1&amp;"C"&amp;$A30))+IF(RTD("tos.rtd",,$A$2,"."&amp;C$2&amp;C$1&amp;"P"&amp;$A30)="N/A",0,RTD("tos.rtd",,$A$2,"."&amp;C$2&amp;C$1&amp;"P"&amp;$A30)),IF(RTD("tos.rtd",,$A$2,"."&amp;C$2&amp;C$1&amp;"C"&amp;$A30)="N/A",0,RTD("tos.rtd",,$A$2,"."&amp;C$2&amp;C$1&amp;"C"&amp;$A30))-IF(RTD("tos.rtd",,$A$2,"."&amp;C$2&amp;C$1&amp;"P"&amp;$A30)="N/A",0,RTD("tos.rtd",,$A$2,"."&amp;C$2&amp;C$1&amp;"P"&amp;$A30))))))))))</f>
        <v>0</v>
      </c>
      <c r="D30" s="12">
        <f ca="1">IF($A$2="PREMIUM_OI",IFERROR(IF($X$1="ABS",(100*RTD("tos.rtd",,"OPEN_INT","."&amp;D$2&amp;D$1&amp;"C"&amp;$A30)*RTD("tos.rtd",,"LAST","."&amp;D$2&amp;D$1&amp;"C"&amp;$A30)+100*RTD("tos.rtd",,"OPEN_INT","."&amp;D$2&amp;D$1&amp;"P"&amp;$A30)*RTD("tos.rtd",,"LAST","."&amp;D$2&amp;D$1&amp;"P"&amp;$A30))/1000000,(100*RTD("tos.rtd",,"OPEN_INT","."&amp;D$2&amp;D$1&amp;"C"&amp;$A30)*RTD("tos.rtd",,"LAST","."&amp;D$2&amp;D$1&amp;"C"&amp;$A30)-100*RTD("tos.rtd",,"OPEN_INT","."&amp;D$2&amp;D$1&amp;"P"&amp;$A30)*RTD("tos.rtd",,"LAST","."&amp;D$2&amp;D$1&amp;"P"&amp;$A30))/1000000),0),IF($A$2="PREMIUM",IFERROR(IF($X$1="ABS",(100*RTD("tos.rtd",,"VOLUME","."&amp;D$2&amp;D$1&amp;"C"&amp;$A30)*RTD("tos.rtd",,"LAST","."&amp;D$2&amp;D$1&amp;"C"&amp;$A30)+100*RTD("tos.rtd",,"VOLUME","."&amp;D$2&amp;D$1&amp;"P"&amp;$A30)*RTD("tos.rtd",,"LAST","."&amp;D$2&amp;D$1&amp;"P"&amp;$A30))/1000000,(100*RTD("tos.rtd",,"VOLUME","."&amp;D$2&amp;D$1&amp;"C"&amp;$A30)*RTD("tos.rtd",,"LAST","."&amp;D$2&amp;D$1&amp;"C"&amp;$A30)-100*RTD("tos.rtd",,"VOLUME","."&amp;D$2&amp;D$1&amp;"P"&amp;$A30)*RTD("tos.rtd",,"LAST","."&amp;D$2&amp;D$1&amp;"P"&amp;$A30))/1000000),0),IF($A$2="DEX",IFERROR(IF($X$1="ABS",(100*RTD("tos.rtd",,"OPEN_INT","."&amp;D$2&amp;D$1&amp;"C"&amp;$A30)*RTD("tos.rtd",,"DELTA","."&amp;D$2&amp;D$1&amp;"C"&amp;$A30)+100*RTD("tos.rtd",,"OPEN_INT","."&amp;D$2&amp;D$1&amp;"P"&amp;$A30)*RTD("tos.rtd",,"DELTA","."&amp;D$2&amp;D$1&amp;"P"&amp;$A30))/1000,(100*RTD("tos.rtd",,"OPEN_INT","."&amp;D$2&amp;D$1&amp;"C"&amp;$A30)*RTD("tos.rtd",,"DELTA","."&amp;D$2&amp;D$1&amp;"C"&amp;$A30)-100*RTD("tos.rtd",,"OPEN_INT","."&amp;D$2&amp;D$1&amp;"P"&amp;$A30)*RTD("tos.rtd",,"DELTA","."&amp;D$2&amp;D$1&amp;"P"&amp;$A30))/1000),0),IF($A$2="VEX",IFERROR(IF($X$1="ABS",($A$4*$A$4*RTD("tos.rtd",,"VOLUME","."&amp;D$2&amp;D$1&amp;"C"&amp;$A30)*RTD("tos.rtd",,"GAMMA","."&amp;D$2&amp;D$1&amp;"C"&amp;$A30)+$A$4*$A$4*RTD("tos.rtd",,"VOLUME","."&amp;D$2&amp;D$1&amp;"P"&amp;$A30)*RTD("tos.rtd",,"GAMMA","."&amp;D$2&amp;D$1&amp;"P"&amp;$A30))/1000000,($A$4*$A$4*RTD("tos.rtd",,"VOLUME","."&amp;D$2&amp;D$1&amp;"C"&amp;$A30)*RTD("tos.rtd",,"GAMMA","."&amp;D$2&amp;D$1&amp;"C"&amp;$A30)-$A$4*$A$4*RTD("tos.rtd",,"VOLUME","."&amp;D$2&amp;D$1&amp;"P"&amp;$A30)*RTD("tos.rtd",,"GAMMA","."&amp;D$2&amp;D$1&amp;"P"&amp;$A30))/1000000),0),IF($A$2="GEX",IFERROR(IF($X$1="ABS",($A$4*$A$4*RTD("tos.rtd",,"OPEN_INT","."&amp;D$2&amp;D$1&amp;"C"&amp;$A30)*RTD("tos.rtd",,"GAMMA","."&amp;D$2&amp;D$1&amp;"C"&amp;$A30)+$A$4*$A$4*RTD("tos.rtd",,"OPEN_INT","."&amp;D$2&amp;D$1&amp;"P"&amp;$A30)*RTD("tos.rtd",,"GAMMA","."&amp;D$2&amp;D$1&amp;"P"&amp;$A30))/1000000,($A$4*$A$4*RTD("tos.rtd",,"OPEN_INT","."&amp;D$2&amp;D$1&amp;"C"&amp;$A30)*RTD("tos.rtd",,"GAMMA","."&amp;D$2&amp;D$1&amp;"C"&amp;$A30)-$A$4*$A$4*RTD("tos.rtd",,"OPEN_INT","."&amp;D$2&amp;D$1&amp;"P"&amp;$A30)*RTD("tos.rtd",,"GAMMA","."&amp;D$2&amp;D$1&amp;"P"&amp;$A30))/1000000),0),IF($A$2="SKEW",IFERROR(VALUE(IF(RTD("tos.rtd",,"IMPL_VOL","."&amp;D$2&amp;D$1&amp;"P"&amp;$A30)="N/A",0,RTD("tos.rtd",,"IMPL_VOL","."&amp;D$2&amp;D$1&amp;"P"&amp;$A30))),0)-IFERROR(VALUE(IF(RTD("tos.rtd",,"IMPL_VOL","."&amp;D$2&amp;D$1&amp;"C"&amp;$A30)="N/A",0,RTD("tos.rtd",,"IMPL_VOL","."&amp;D$2&amp;D$1&amp;"C"&amp;$A30))),0),IF($A$2="MAXPAIN",IF($A$4&gt;$A30,($A$4-$A30)*IF(RTD("tos.rtd",,"OPEN_INT","."&amp;D$2&amp;D$1&amp;"C"&amp;$A30)="N/A",0,RTD("tos.rtd",,"OPEN_INT","."&amp;D$2&amp;D$1&amp;"C"&amp;$A30)),0)+IF($A$4&lt;$A30,($A$5-$A$4)*IF(RTD("tos.rtd",,"OPEN_INT","."&amp;D$2&amp;D$1&amp;"P"&amp;$A30)="N/A",0,RTD("tos.rtd",,"OPEN_INT","."&amp;D$2&amp;D$1&amp;"P"&amp;$A30)),0),IF($X$1="ABS",IF(RTD("tos.rtd",,$A$2,"."&amp;D$2&amp;D$1&amp;"C"&amp;$A30)="N/A",0,RTD("tos.rtd",,$A$2,"."&amp;D$2&amp;D$1&amp;"C"&amp;$A30))+IF(RTD("tos.rtd",,$A$2,"."&amp;D$2&amp;D$1&amp;"P"&amp;$A30)="N/A",0,RTD("tos.rtd",,$A$2,"."&amp;D$2&amp;D$1&amp;"P"&amp;$A30)),IF(RTD("tos.rtd",,$A$2,"."&amp;D$2&amp;D$1&amp;"C"&amp;$A30)="N/A",0,RTD("tos.rtd",,$A$2,"."&amp;D$2&amp;D$1&amp;"C"&amp;$A30))-IF(RTD("tos.rtd",,$A$2,"."&amp;D$2&amp;D$1&amp;"P"&amp;$A30)="N/A",0,RTD("tos.rtd",,$A$2,"."&amp;D$2&amp;D$1&amp;"P"&amp;$A30))))))))))</f>
        <v>0</v>
      </c>
      <c r="E30" s="12">
        <f ca="1">IF($A$2="PREMIUM_OI",IFERROR(IF($X$1="ABS",(100*RTD("tos.rtd",,"OPEN_INT","."&amp;E$2&amp;E$1&amp;"C"&amp;$A30)*RTD("tos.rtd",,"LAST","."&amp;E$2&amp;E$1&amp;"C"&amp;$A30)+100*RTD("tos.rtd",,"OPEN_INT","."&amp;E$2&amp;E$1&amp;"P"&amp;$A30)*RTD("tos.rtd",,"LAST","."&amp;E$2&amp;E$1&amp;"P"&amp;$A30))/1000000,(100*RTD("tos.rtd",,"OPEN_INT","."&amp;E$2&amp;E$1&amp;"C"&amp;$A30)*RTD("tos.rtd",,"LAST","."&amp;E$2&amp;E$1&amp;"C"&amp;$A30)-100*RTD("tos.rtd",,"OPEN_INT","."&amp;E$2&amp;E$1&amp;"P"&amp;$A30)*RTD("tos.rtd",,"LAST","."&amp;E$2&amp;E$1&amp;"P"&amp;$A30))/1000000),0),IF($A$2="PREMIUM",IFERROR(IF($X$1="ABS",(100*RTD("tos.rtd",,"VOLUME","."&amp;E$2&amp;E$1&amp;"C"&amp;$A30)*RTD("tos.rtd",,"LAST","."&amp;E$2&amp;E$1&amp;"C"&amp;$A30)+100*RTD("tos.rtd",,"VOLUME","."&amp;E$2&amp;E$1&amp;"P"&amp;$A30)*RTD("tos.rtd",,"LAST","."&amp;E$2&amp;E$1&amp;"P"&amp;$A30))/1000000,(100*RTD("tos.rtd",,"VOLUME","."&amp;E$2&amp;E$1&amp;"C"&amp;$A30)*RTD("tos.rtd",,"LAST","."&amp;E$2&amp;E$1&amp;"C"&amp;$A30)-100*RTD("tos.rtd",,"VOLUME","."&amp;E$2&amp;E$1&amp;"P"&amp;$A30)*RTD("tos.rtd",,"LAST","."&amp;E$2&amp;E$1&amp;"P"&amp;$A30))/1000000),0),IF($A$2="DEX",IFERROR(IF($X$1="ABS",(100*RTD("tos.rtd",,"OPEN_INT","."&amp;E$2&amp;E$1&amp;"C"&amp;$A30)*RTD("tos.rtd",,"DELTA","."&amp;E$2&amp;E$1&amp;"C"&amp;$A30)+100*RTD("tos.rtd",,"OPEN_INT","."&amp;E$2&amp;E$1&amp;"P"&amp;$A30)*RTD("tos.rtd",,"DELTA","."&amp;E$2&amp;E$1&amp;"P"&amp;$A30))/1000,(100*RTD("tos.rtd",,"OPEN_INT","."&amp;E$2&amp;E$1&amp;"C"&amp;$A30)*RTD("tos.rtd",,"DELTA","."&amp;E$2&amp;E$1&amp;"C"&amp;$A30)-100*RTD("tos.rtd",,"OPEN_INT","."&amp;E$2&amp;E$1&amp;"P"&amp;$A30)*RTD("tos.rtd",,"DELTA","."&amp;E$2&amp;E$1&amp;"P"&amp;$A30))/1000),0),IF($A$2="VEX",IFERROR(IF($X$1="ABS",($A$4*$A$4*RTD("tos.rtd",,"VOLUME","."&amp;E$2&amp;E$1&amp;"C"&amp;$A30)*RTD("tos.rtd",,"GAMMA","."&amp;E$2&amp;E$1&amp;"C"&amp;$A30)+$A$4*$A$4*RTD("tos.rtd",,"VOLUME","."&amp;E$2&amp;E$1&amp;"P"&amp;$A30)*RTD("tos.rtd",,"GAMMA","."&amp;E$2&amp;E$1&amp;"P"&amp;$A30))/1000000,($A$4*$A$4*RTD("tos.rtd",,"VOLUME","."&amp;E$2&amp;E$1&amp;"C"&amp;$A30)*RTD("tos.rtd",,"GAMMA","."&amp;E$2&amp;E$1&amp;"C"&amp;$A30)-$A$4*$A$4*RTD("tos.rtd",,"VOLUME","."&amp;E$2&amp;E$1&amp;"P"&amp;$A30)*RTD("tos.rtd",,"GAMMA","."&amp;E$2&amp;E$1&amp;"P"&amp;$A30))/1000000),0),IF($A$2="GEX",IFERROR(IF($X$1="ABS",($A$4*$A$4*RTD("tos.rtd",,"OPEN_INT","."&amp;E$2&amp;E$1&amp;"C"&amp;$A30)*RTD("tos.rtd",,"GAMMA","."&amp;E$2&amp;E$1&amp;"C"&amp;$A30)+$A$4*$A$4*RTD("tos.rtd",,"OPEN_INT","."&amp;E$2&amp;E$1&amp;"P"&amp;$A30)*RTD("tos.rtd",,"GAMMA","."&amp;E$2&amp;E$1&amp;"P"&amp;$A30))/1000000,($A$4*$A$4*RTD("tos.rtd",,"OPEN_INT","."&amp;E$2&amp;E$1&amp;"C"&amp;$A30)*RTD("tos.rtd",,"GAMMA","."&amp;E$2&amp;E$1&amp;"C"&amp;$A30)-$A$4*$A$4*RTD("tos.rtd",,"OPEN_INT","."&amp;E$2&amp;E$1&amp;"P"&amp;$A30)*RTD("tos.rtd",,"GAMMA","."&amp;E$2&amp;E$1&amp;"P"&amp;$A30))/1000000),0),IF($A$2="SKEW",IFERROR(VALUE(IF(RTD("tos.rtd",,"IMPL_VOL","."&amp;E$2&amp;E$1&amp;"P"&amp;$A30)="N/A",0,RTD("tos.rtd",,"IMPL_VOL","."&amp;E$2&amp;E$1&amp;"P"&amp;$A30))),0)-IFERROR(VALUE(IF(RTD("tos.rtd",,"IMPL_VOL","."&amp;E$2&amp;E$1&amp;"C"&amp;$A30)="N/A",0,RTD("tos.rtd",,"IMPL_VOL","."&amp;E$2&amp;E$1&amp;"C"&amp;$A30))),0),IF($A$2="MAXPAIN",IF($A$4&gt;$A30,($A$4-$A30)*IF(RTD("tos.rtd",,"OPEN_INT","."&amp;E$2&amp;E$1&amp;"C"&amp;$A30)="N/A",0,RTD("tos.rtd",,"OPEN_INT","."&amp;E$2&amp;E$1&amp;"C"&amp;$A30)),0)+IF($A$4&lt;$A30,($A$5-$A$4)*IF(RTD("tos.rtd",,"OPEN_INT","."&amp;E$2&amp;E$1&amp;"P"&amp;$A30)="N/A",0,RTD("tos.rtd",,"OPEN_INT","."&amp;E$2&amp;E$1&amp;"P"&amp;$A30)),0),IF($X$1="ABS",IF(RTD("tos.rtd",,$A$2,"."&amp;E$2&amp;E$1&amp;"C"&amp;$A30)="N/A",0,RTD("tos.rtd",,$A$2,"."&amp;E$2&amp;E$1&amp;"C"&amp;$A30))+IF(RTD("tos.rtd",,$A$2,"."&amp;E$2&amp;E$1&amp;"P"&amp;$A30)="N/A",0,RTD("tos.rtd",,$A$2,"."&amp;E$2&amp;E$1&amp;"P"&amp;$A30)),IF(RTD("tos.rtd",,$A$2,"."&amp;E$2&amp;E$1&amp;"C"&amp;$A30)="N/A",0,RTD("tos.rtd",,$A$2,"."&amp;E$2&amp;E$1&amp;"C"&amp;$A30))-IF(RTD("tos.rtd",,$A$2,"."&amp;E$2&amp;E$1&amp;"P"&amp;$A30)="N/A",0,RTD("tos.rtd",,$A$2,"."&amp;E$2&amp;E$1&amp;"P"&amp;$A30))))))))))</f>
        <v>0</v>
      </c>
      <c r="F30" s="12">
        <f ca="1">IF($A$2="PREMIUM_OI",IFERROR(IF($X$1="ABS",(100*RTD("tos.rtd",,"OPEN_INT","."&amp;F$2&amp;F$1&amp;"C"&amp;$A30)*RTD("tos.rtd",,"LAST","."&amp;F$2&amp;F$1&amp;"C"&amp;$A30)+100*RTD("tos.rtd",,"OPEN_INT","."&amp;F$2&amp;F$1&amp;"P"&amp;$A30)*RTD("tos.rtd",,"LAST","."&amp;F$2&amp;F$1&amp;"P"&amp;$A30))/1000000,(100*RTD("tos.rtd",,"OPEN_INT","."&amp;F$2&amp;F$1&amp;"C"&amp;$A30)*RTD("tos.rtd",,"LAST","."&amp;F$2&amp;F$1&amp;"C"&amp;$A30)-100*RTD("tos.rtd",,"OPEN_INT","."&amp;F$2&amp;F$1&amp;"P"&amp;$A30)*RTD("tos.rtd",,"LAST","."&amp;F$2&amp;F$1&amp;"P"&amp;$A30))/1000000),0),IF($A$2="PREMIUM",IFERROR(IF($X$1="ABS",(100*RTD("tos.rtd",,"VOLUME","."&amp;F$2&amp;F$1&amp;"C"&amp;$A30)*RTD("tos.rtd",,"LAST","."&amp;F$2&amp;F$1&amp;"C"&amp;$A30)+100*RTD("tos.rtd",,"VOLUME","."&amp;F$2&amp;F$1&amp;"P"&amp;$A30)*RTD("tos.rtd",,"LAST","."&amp;F$2&amp;F$1&amp;"P"&amp;$A30))/1000000,(100*RTD("tos.rtd",,"VOLUME","."&amp;F$2&amp;F$1&amp;"C"&amp;$A30)*RTD("tos.rtd",,"LAST","."&amp;F$2&amp;F$1&amp;"C"&amp;$A30)-100*RTD("tos.rtd",,"VOLUME","."&amp;F$2&amp;F$1&amp;"P"&amp;$A30)*RTD("tos.rtd",,"LAST","."&amp;F$2&amp;F$1&amp;"P"&amp;$A30))/1000000),0),IF($A$2="DEX",IFERROR(IF($X$1="ABS",(100*RTD("tos.rtd",,"OPEN_INT","."&amp;F$2&amp;F$1&amp;"C"&amp;$A30)*RTD("tos.rtd",,"DELTA","."&amp;F$2&amp;F$1&amp;"C"&amp;$A30)+100*RTD("tos.rtd",,"OPEN_INT","."&amp;F$2&amp;F$1&amp;"P"&amp;$A30)*RTD("tos.rtd",,"DELTA","."&amp;F$2&amp;F$1&amp;"P"&amp;$A30))/1000,(100*RTD("tos.rtd",,"OPEN_INT","."&amp;F$2&amp;F$1&amp;"C"&amp;$A30)*RTD("tos.rtd",,"DELTA","."&amp;F$2&amp;F$1&amp;"C"&amp;$A30)-100*RTD("tos.rtd",,"OPEN_INT","."&amp;F$2&amp;F$1&amp;"P"&amp;$A30)*RTD("tos.rtd",,"DELTA","."&amp;F$2&amp;F$1&amp;"P"&amp;$A30))/1000),0),IF($A$2="VEX",IFERROR(IF($X$1="ABS",($A$4*$A$4*RTD("tos.rtd",,"VOLUME","."&amp;F$2&amp;F$1&amp;"C"&amp;$A30)*RTD("tos.rtd",,"GAMMA","."&amp;F$2&amp;F$1&amp;"C"&amp;$A30)+$A$4*$A$4*RTD("tos.rtd",,"VOLUME","."&amp;F$2&amp;F$1&amp;"P"&amp;$A30)*RTD("tos.rtd",,"GAMMA","."&amp;F$2&amp;F$1&amp;"P"&amp;$A30))/1000000,($A$4*$A$4*RTD("tos.rtd",,"VOLUME","."&amp;F$2&amp;F$1&amp;"C"&amp;$A30)*RTD("tos.rtd",,"GAMMA","."&amp;F$2&amp;F$1&amp;"C"&amp;$A30)-$A$4*$A$4*RTD("tos.rtd",,"VOLUME","."&amp;F$2&amp;F$1&amp;"P"&amp;$A30)*RTD("tos.rtd",,"GAMMA","."&amp;F$2&amp;F$1&amp;"P"&amp;$A30))/1000000),0),IF($A$2="GEX",IFERROR(IF($X$1="ABS",($A$4*$A$4*RTD("tos.rtd",,"OPEN_INT","."&amp;F$2&amp;F$1&amp;"C"&amp;$A30)*RTD("tos.rtd",,"GAMMA","."&amp;F$2&amp;F$1&amp;"C"&amp;$A30)+$A$4*$A$4*RTD("tos.rtd",,"OPEN_INT","."&amp;F$2&amp;F$1&amp;"P"&amp;$A30)*RTD("tos.rtd",,"GAMMA","."&amp;F$2&amp;F$1&amp;"P"&amp;$A30))/1000000,($A$4*$A$4*RTD("tos.rtd",,"OPEN_INT","."&amp;F$2&amp;F$1&amp;"C"&amp;$A30)*RTD("tos.rtd",,"GAMMA","."&amp;F$2&amp;F$1&amp;"C"&amp;$A30)-$A$4*$A$4*RTD("tos.rtd",,"OPEN_INT","."&amp;F$2&amp;F$1&amp;"P"&amp;$A30)*RTD("tos.rtd",,"GAMMA","."&amp;F$2&amp;F$1&amp;"P"&amp;$A30))/1000000),0),IF($A$2="SKEW",IFERROR(VALUE(IF(RTD("tos.rtd",,"IMPL_VOL","."&amp;F$2&amp;F$1&amp;"P"&amp;$A30)="N/A",0,RTD("tos.rtd",,"IMPL_VOL","."&amp;F$2&amp;F$1&amp;"P"&amp;$A30))),0)-IFERROR(VALUE(IF(RTD("tos.rtd",,"IMPL_VOL","."&amp;F$2&amp;F$1&amp;"C"&amp;$A30)="N/A",0,RTD("tos.rtd",,"IMPL_VOL","."&amp;F$2&amp;F$1&amp;"C"&amp;$A30))),0),IF($A$2="MAXPAIN",IF($A$4&gt;$A30,($A$4-$A30)*IF(RTD("tos.rtd",,"OPEN_INT","."&amp;F$2&amp;F$1&amp;"C"&amp;$A30)="N/A",0,RTD("tos.rtd",,"OPEN_INT","."&amp;F$2&amp;F$1&amp;"C"&amp;$A30)),0)+IF($A$4&lt;$A30,($A$5-$A$4)*IF(RTD("tos.rtd",,"OPEN_INT","."&amp;F$2&amp;F$1&amp;"P"&amp;$A30)="N/A",0,RTD("tos.rtd",,"OPEN_INT","."&amp;F$2&amp;F$1&amp;"P"&amp;$A30)),0),IF($X$1="ABS",IF(RTD("tos.rtd",,$A$2,"."&amp;F$2&amp;F$1&amp;"C"&amp;$A30)="N/A",0,RTD("tos.rtd",,$A$2,"."&amp;F$2&amp;F$1&amp;"C"&amp;$A30))+IF(RTD("tos.rtd",,$A$2,"."&amp;F$2&amp;F$1&amp;"P"&amp;$A30)="N/A",0,RTD("tos.rtd",,$A$2,"."&amp;F$2&amp;F$1&amp;"P"&amp;$A30)),IF(RTD("tos.rtd",,$A$2,"."&amp;F$2&amp;F$1&amp;"C"&amp;$A30)="N/A",0,RTD("tos.rtd",,$A$2,"."&amp;F$2&amp;F$1&amp;"C"&amp;$A30))-IF(RTD("tos.rtd",,$A$2,"."&amp;F$2&amp;F$1&amp;"P"&amp;$A30)="N/A",0,RTD("tos.rtd",,$A$2,"."&amp;F$2&amp;F$1&amp;"P"&amp;$A30))))))))))</f>
        <v>0</v>
      </c>
      <c r="G30" s="54">
        <f ca="1">IF($A$2="PREMIUM_OI",IFERROR(IF($X$1="ABS",(100*RTD("tos.rtd",,"OPEN_INT","."&amp;G$2&amp;G$1&amp;"C"&amp;$A30)*RTD("tos.rtd",,"LAST","."&amp;G$2&amp;G$1&amp;"C"&amp;$A30)+100*RTD("tos.rtd",,"OPEN_INT","."&amp;G$2&amp;G$1&amp;"P"&amp;$A30)*RTD("tos.rtd",,"LAST","."&amp;G$2&amp;G$1&amp;"P"&amp;$A30))/1000000,(100*RTD("tos.rtd",,"OPEN_INT","."&amp;G$2&amp;G$1&amp;"C"&amp;$A30)*RTD("tos.rtd",,"LAST","."&amp;G$2&amp;G$1&amp;"C"&amp;$A30)-100*RTD("tos.rtd",,"OPEN_INT","."&amp;G$2&amp;G$1&amp;"P"&amp;$A30)*RTD("tos.rtd",,"LAST","."&amp;G$2&amp;G$1&amp;"P"&amp;$A30))/1000000),0),IF($A$2="PREMIUM",IFERROR(IF($X$1="ABS",(100*RTD("tos.rtd",,"VOLUME","."&amp;G$2&amp;G$1&amp;"C"&amp;$A30)*RTD("tos.rtd",,"LAST","."&amp;G$2&amp;G$1&amp;"C"&amp;$A30)+100*RTD("tos.rtd",,"VOLUME","."&amp;G$2&amp;G$1&amp;"P"&amp;$A30)*RTD("tos.rtd",,"LAST","."&amp;G$2&amp;G$1&amp;"P"&amp;$A30))/1000000,(100*RTD("tos.rtd",,"VOLUME","."&amp;G$2&amp;G$1&amp;"C"&amp;$A30)*RTD("tos.rtd",,"LAST","."&amp;G$2&amp;G$1&amp;"C"&amp;$A30)-100*RTD("tos.rtd",,"VOLUME","."&amp;G$2&amp;G$1&amp;"P"&amp;$A30)*RTD("tos.rtd",,"LAST","."&amp;G$2&amp;G$1&amp;"P"&amp;$A30))/1000000),0),IF($A$2="DEX",IFERROR(IF($X$1="ABS",(100*RTD("tos.rtd",,"OPEN_INT","."&amp;G$2&amp;G$1&amp;"C"&amp;$A30)*RTD("tos.rtd",,"DELTA","."&amp;G$2&amp;G$1&amp;"C"&amp;$A30)+100*RTD("tos.rtd",,"OPEN_INT","."&amp;G$2&amp;G$1&amp;"P"&amp;$A30)*RTD("tos.rtd",,"DELTA","."&amp;G$2&amp;G$1&amp;"P"&amp;$A30))/1000,(100*RTD("tos.rtd",,"OPEN_INT","."&amp;G$2&amp;G$1&amp;"C"&amp;$A30)*RTD("tos.rtd",,"DELTA","."&amp;G$2&amp;G$1&amp;"C"&amp;$A30)-100*RTD("tos.rtd",,"OPEN_INT","."&amp;G$2&amp;G$1&amp;"P"&amp;$A30)*RTD("tos.rtd",,"DELTA","."&amp;G$2&amp;G$1&amp;"P"&amp;$A30))/1000),0),IF($A$2="VEX",IFERROR(IF($X$1="ABS",($A$4*$A$4*RTD("tos.rtd",,"VOLUME","."&amp;G$2&amp;G$1&amp;"C"&amp;$A30)*RTD("tos.rtd",,"GAMMA","."&amp;G$2&amp;G$1&amp;"C"&amp;$A30)+$A$4*$A$4*RTD("tos.rtd",,"VOLUME","."&amp;G$2&amp;G$1&amp;"P"&amp;$A30)*RTD("tos.rtd",,"GAMMA","."&amp;G$2&amp;G$1&amp;"P"&amp;$A30))/1000000,($A$4*$A$4*RTD("tos.rtd",,"VOLUME","."&amp;G$2&amp;G$1&amp;"C"&amp;$A30)*RTD("tos.rtd",,"GAMMA","."&amp;G$2&amp;G$1&amp;"C"&amp;$A30)-$A$4*$A$4*RTD("tos.rtd",,"VOLUME","."&amp;G$2&amp;G$1&amp;"P"&amp;$A30)*RTD("tos.rtd",,"GAMMA","."&amp;G$2&amp;G$1&amp;"P"&amp;$A30))/1000000),0),IF($A$2="GEX",IFERROR(IF($X$1="ABS",($A$4*$A$4*RTD("tos.rtd",,"OPEN_INT","."&amp;G$2&amp;G$1&amp;"C"&amp;$A30)*RTD("tos.rtd",,"GAMMA","."&amp;G$2&amp;G$1&amp;"C"&amp;$A30)+$A$4*$A$4*RTD("tos.rtd",,"OPEN_INT","."&amp;G$2&amp;G$1&amp;"P"&amp;$A30)*RTD("tos.rtd",,"GAMMA","."&amp;G$2&amp;G$1&amp;"P"&amp;$A30))/1000000,($A$4*$A$4*RTD("tos.rtd",,"OPEN_INT","."&amp;G$2&amp;G$1&amp;"C"&amp;$A30)*RTD("tos.rtd",,"GAMMA","."&amp;G$2&amp;G$1&amp;"C"&amp;$A30)-$A$4*$A$4*RTD("tos.rtd",,"OPEN_INT","."&amp;G$2&amp;G$1&amp;"P"&amp;$A30)*RTD("tos.rtd",,"GAMMA","."&amp;G$2&amp;G$1&amp;"P"&amp;$A30))/1000000),0),IF($A$2="SKEW",IFERROR(VALUE(IF(RTD("tos.rtd",,"IMPL_VOL","."&amp;G$2&amp;G$1&amp;"P"&amp;$A30)="N/A",0,RTD("tos.rtd",,"IMPL_VOL","."&amp;G$2&amp;G$1&amp;"P"&amp;$A30))),0)-IFERROR(VALUE(IF(RTD("tos.rtd",,"IMPL_VOL","."&amp;G$2&amp;G$1&amp;"C"&amp;$A30)="N/A",0,RTD("tos.rtd",,"IMPL_VOL","."&amp;G$2&amp;G$1&amp;"C"&amp;$A30))),0),IF($A$2="MAXPAIN",IF($A$4&gt;$A30,($A$4-$A30)*IF(RTD("tos.rtd",,"OPEN_INT","."&amp;G$2&amp;G$1&amp;"C"&amp;$A30)="N/A",0,RTD("tos.rtd",,"OPEN_INT","."&amp;G$2&amp;G$1&amp;"C"&amp;$A30)),0)+IF($A$4&lt;$A30,($A$5-$A$4)*IF(RTD("tos.rtd",,"OPEN_INT","."&amp;G$2&amp;G$1&amp;"P"&amp;$A30)="N/A",0,RTD("tos.rtd",,"OPEN_INT","."&amp;G$2&amp;G$1&amp;"P"&amp;$A30)),0),IF($X$1="ABS",IF(RTD("tos.rtd",,$A$2,"."&amp;G$2&amp;G$1&amp;"C"&amp;$A30)="N/A",0,RTD("tos.rtd",,$A$2,"."&amp;G$2&amp;G$1&amp;"C"&amp;$A30))+IF(RTD("tos.rtd",,$A$2,"."&amp;G$2&amp;G$1&amp;"P"&amp;$A30)="N/A",0,RTD("tos.rtd",,$A$2,"."&amp;G$2&amp;G$1&amp;"P"&amp;$A30)),IF(RTD("tos.rtd",,$A$2,"."&amp;G$2&amp;G$1&amp;"C"&amp;$A30)="N/A",0,RTD("tos.rtd",,$A$2,"."&amp;G$2&amp;G$1&amp;"C"&amp;$A30))-IF(RTD("tos.rtd",,$A$2,"."&amp;G$2&amp;G$1&amp;"P"&amp;$A30)="N/A",0,RTD("tos.rtd",,$A$2,"."&amp;G$2&amp;G$1&amp;"P"&amp;$A30))))))))))</f>
        <v>0</v>
      </c>
      <c r="H30" s="14">
        <f ca="1">IF($A$2="PREMIUM_OI",IFERROR(IF($X$1="ABS",(100*RTD("tos.rtd",,"OPEN_INT","."&amp;H$2&amp;H$1&amp;"C"&amp;$A30)*RTD("tos.rtd",,"LAST","."&amp;H$2&amp;H$1&amp;"C"&amp;$A30)+100*RTD("tos.rtd",,"OPEN_INT","."&amp;H$2&amp;H$1&amp;"P"&amp;$A30)*RTD("tos.rtd",,"LAST","."&amp;H$2&amp;H$1&amp;"P"&amp;$A30))/1000000,(100*RTD("tos.rtd",,"OPEN_INT","."&amp;H$2&amp;H$1&amp;"C"&amp;$A30)*RTD("tos.rtd",,"LAST","."&amp;H$2&amp;H$1&amp;"C"&amp;$A30)-100*RTD("tos.rtd",,"OPEN_INT","."&amp;H$2&amp;H$1&amp;"P"&amp;$A30)*RTD("tos.rtd",,"LAST","."&amp;H$2&amp;H$1&amp;"P"&amp;$A30))/1000000),0),IF($A$2="PREMIUM",IFERROR(IF($X$1="ABS",(100*RTD("tos.rtd",,"VOLUME","."&amp;H$2&amp;H$1&amp;"C"&amp;$A30)*RTD("tos.rtd",,"LAST","."&amp;H$2&amp;H$1&amp;"C"&amp;$A30)+100*RTD("tos.rtd",,"VOLUME","."&amp;H$2&amp;H$1&amp;"P"&amp;$A30)*RTD("tos.rtd",,"LAST","."&amp;H$2&amp;H$1&amp;"P"&amp;$A30))/1000000,(100*RTD("tos.rtd",,"VOLUME","."&amp;H$2&amp;H$1&amp;"C"&amp;$A30)*RTD("tos.rtd",,"LAST","."&amp;H$2&amp;H$1&amp;"C"&amp;$A30)-100*RTD("tos.rtd",,"VOLUME","."&amp;H$2&amp;H$1&amp;"P"&amp;$A30)*RTD("tos.rtd",,"LAST","."&amp;H$2&amp;H$1&amp;"P"&amp;$A30))/1000000),0),IF($A$2="DEX",IFERROR(IF($X$1="ABS",(100*RTD("tos.rtd",,"OPEN_INT","."&amp;H$2&amp;H$1&amp;"C"&amp;$A30)*RTD("tos.rtd",,"DELTA","."&amp;H$2&amp;H$1&amp;"C"&amp;$A30)+100*RTD("tos.rtd",,"OPEN_INT","."&amp;H$2&amp;H$1&amp;"P"&amp;$A30)*RTD("tos.rtd",,"DELTA","."&amp;H$2&amp;H$1&amp;"P"&amp;$A30))/1000,(100*RTD("tos.rtd",,"OPEN_INT","."&amp;H$2&amp;H$1&amp;"C"&amp;$A30)*RTD("tos.rtd",,"DELTA","."&amp;H$2&amp;H$1&amp;"C"&amp;$A30)-100*RTD("tos.rtd",,"OPEN_INT","."&amp;H$2&amp;H$1&amp;"P"&amp;$A30)*RTD("tos.rtd",,"DELTA","."&amp;H$2&amp;H$1&amp;"P"&amp;$A30))/1000),0),IF($A$2="VEX",IFERROR(IF($X$1="ABS",($A$4*$A$4*RTD("tos.rtd",,"VOLUME","."&amp;H$2&amp;H$1&amp;"C"&amp;$A30)*RTD("tos.rtd",,"GAMMA","."&amp;H$2&amp;H$1&amp;"C"&amp;$A30)+$A$4*$A$4*RTD("tos.rtd",,"VOLUME","."&amp;H$2&amp;H$1&amp;"P"&amp;$A30)*RTD("tos.rtd",,"GAMMA","."&amp;H$2&amp;H$1&amp;"P"&amp;$A30))/1000000,($A$4*$A$4*RTD("tos.rtd",,"VOLUME","."&amp;H$2&amp;H$1&amp;"C"&amp;$A30)*RTD("tos.rtd",,"GAMMA","."&amp;H$2&amp;H$1&amp;"C"&amp;$A30)-$A$4*$A$4*RTD("tos.rtd",,"VOLUME","."&amp;H$2&amp;H$1&amp;"P"&amp;$A30)*RTD("tos.rtd",,"GAMMA","."&amp;H$2&amp;H$1&amp;"P"&amp;$A30))/1000000),0),IF($A$2="GEX",IFERROR(IF($X$1="ABS",($A$4*$A$4*RTD("tos.rtd",,"OPEN_INT","."&amp;H$2&amp;H$1&amp;"C"&amp;$A30)*RTD("tos.rtd",,"GAMMA","."&amp;H$2&amp;H$1&amp;"C"&amp;$A30)+$A$4*$A$4*RTD("tos.rtd",,"OPEN_INT","."&amp;H$2&amp;H$1&amp;"P"&amp;$A30)*RTD("tos.rtd",,"GAMMA","."&amp;H$2&amp;H$1&amp;"P"&amp;$A30))/1000000,($A$4*$A$4*RTD("tos.rtd",,"OPEN_INT","."&amp;H$2&amp;H$1&amp;"C"&amp;$A30)*RTD("tos.rtd",,"GAMMA","."&amp;H$2&amp;H$1&amp;"C"&amp;$A30)-$A$4*$A$4*RTD("tos.rtd",,"OPEN_INT","."&amp;H$2&amp;H$1&amp;"P"&amp;$A30)*RTD("tos.rtd",,"GAMMA","."&amp;H$2&amp;H$1&amp;"P"&amp;$A30))/1000000),0),IF($A$2="SKEW",IFERROR(VALUE(IF(RTD("tos.rtd",,"IMPL_VOL","."&amp;H$2&amp;H$1&amp;"P"&amp;$A30)="N/A",0,RTD("tos.rtd",,"IMPL_VOL","."&amp;H$2&amp;H$1&amp;"P"&amp;$A30))),0)-IFERROR(VALUE(IF(RTD("tos.rtd",,"IMPL_VOL","."&amp;H$2&amp;H$1&amp;"C"&amp;$A30)="N/A",0,RTD("tos.rtd",,"IMPL_VOL","."&amp;H$2&amp;H$1&amp;"C"&amp;$A30))),0),IF($A$2="MAXPAIN",IF($A$4&gt;$A30,($A$4-$A30)*IF(RTD("tos.rtd",,"OPEN_INT","."&amp;H$2&amp;H$1&amp;"C"&amp;$A30)="N/A",0,RTD("tos.rtd",,"OPEN_INT","."&amp;H$2&amp;H$1&amp;"C"&amp;$A30)),0)+IF($A$4&lt;$A30,($A$5-$A$4)*IF(RTD("tos.rtd",,"OPEN_INT","."&amp;H$2&amp;H$1&amp;"P"&amp;$A30)="N/A",0,RTD("tos.rtd",,"OPEN_INT","."&amp;H$2&amp;H$1&amp;"P"&amp;$A30)),0),IF($X$1="ABS",IF(RTD("tos.rtd",,$A$2,"."&amp;H$2&amp;H$1&amp;"C"&amp;$A30)="N/A",0,RTD("tos.rtd",,$A$2,"."&amp;H$2&amp;H$1&amp;"C"&amp;$A30))+IF(RTD("tos.rtd",,$A$2,"."&amp;H$2&amp;H$1&amp;"P"&amp;$A30)="N/A",0,RTD("tos.rtd",,$A$2,"."&amp;H$2&amp;H$1&amp;"P"&amp;$A30)),IF(RTD("tos.rtd",,$A$2,"."&amp;H$2&amp;H$1&amp;"C"&amp;$A30)="N/A",0,RTD("tos.rtd",,$A$2,"."&amp;H$2&amp;H$1&amp;"C"&amp;$A30))-IF(RTD("tos.rtd",,$A$2,"."&amp;H$2&amp;H$1&amp;"P"&amp;$A30)="N/A",0,RTD("tos.rtd",,$A$2,"."&amp;H$2&amp;H$1&amp;"P"&amp;$A30))))))))))</f>
        <v>0</v>
      </c>
      <c r="I30" s="12">
        <f ca="1">IF($A$2="PREMIUM_OI",IFERROR(IF($X$1="ABS",(100*RTD("tos.rtd",,"OPEN_INT","."&amp;I$2&amp;I$1&amp;"C"&amp;$A30)*RTD("tos.rtd",,"LAST","."&amp;I$2&amp;I$1&amp;"C"&amp;$A30)+100*RTD("tos.rtd",,"OPEN_INT","."&amp;I$2&amp;I$1&amp;"P"&amp;$A30)*RTD("tos.rtd",,"LAST","."&amp;I$2&amp;I$1&amp;"P"&amp;$A30))/1000000,(100*RTD("tos.rtd",,"OPEN_INT","."&amp;I$2&amp;I$1&amp;"C"&amp;$A30)*RTD("tos.rtd",,"LAST","."&amp;I$2&amp;I$1&amp;"C"&amp;$A30)-100*RTD("tos.rtd",,"OPEN_INT","."&amp;I$2&amp;I$1&amp;"P"&amp;$A30)*RTD("tos.rtd",,"LAST","."&amp;I$2&amp;I$1&amp;"P"&amp;$A30))/1000000),0),IF($A$2="PREMIUM",IFERROR(IF($X$1="ABS",(100*RTD("tos.rtd",,"VOLUME","."&amp;I$2&amp;I$1&amp;"C"&amp;$A30)*RTD("tos.rtd",,"LAST","."&amp;I$2&amp;I$1&amp;"C"&amp;$A30)+100*RTD("tos.rtd",,"VOLUME","."&amp;I$2&amp;I$1&amp;"P"&amp;$A30)*RTD("tos.rtd",,"LAST","."&amp;I$2&amp;I$1&amp;"P"&amp;$A30))/1000000,(100*RTD("tos.rtd",,"VOLUME","."&amp;I$2&amp;I$1&amp;"C"&amp;$A30)*RTD("tos.rtd",,"LAST","."&amp;I$2&amp;I$1&amp;"C"&amp;$A30)-100*RTD("tos.rtd",,"VOLUME","."&amp;I$2&amp;I$1&amp;"P"&amp;$A30)*RTD("tos.rtd",,"LAST","."&amp;I$2&amp;I$1&amp;"P"&amp;$A30))/1000000),0),IF($A$2="DEX",IFERROR(IF($X$1="ABS",(100*RTD("tos.rtd",,"OPEN_INT","."&amp;I$2&amp;I$1&amp;"C"&amp;$A30)*RTD("tos.rtd",,"DELTA","."&amp;I$2&amp;I$1&amp;"C"&amp;$A30)+100*RTD("tos.rtd",,"OPEN_INT","."&amp;I$2&amp;I$1&amp;"P"&amp;$A30)*RTD("tos.rtd",,"DELTA","."&amp;I$2&amp;I$1&amp;"P"&amp;$A30))/1000,(100*RTD("tos.rtd",,"OPEN_INT","."&amp;I$2&amp;I$1&amp;"C"&amp;$A30)*RTD("tos.rtd",,"DELTA","."&amp;I$2&amp;I$1&amp;"C"&amp;$A30)-100*RTD("tos.rtd",,"OPEN_INT","."&amp;I$2&amp;I$1&amp;"P"&amp;$A30)*RTD("tos.rtd",,"DELTA","."&amp;I$2&amp;I$1&amp;"P"&amp;$A30))/1000),0),IF($A$2="VEX",IFERROR(IF($X$1="ABS",($A$4*$A$4*RTD("tos.rtd",,"VOLUME","."&amp;I$2&amp;I$1&amp;"C"&amp;$A30)*RTD("tos.rtd",,"GAMMA","."&amp;I$2&amp;I$1&amp;"C"&amp;$A30)+$A$4*$A$4*RTD("tos.rtd",,"VOLUME","."&amp;I$2&amp;I$1&amp;"P"&amp;$A30)*RTD("tos.rtd",,"GAMMA","."&amp;I$2&amp;I$1&amp;"P"&amp;$A30))/1000000,($A$4*$A$4*RTD("tos.rtd",,"VOLUME","."&amp;I$2&amp;I$1&amp;"C"&amp;$A30)*RTD("tos.rtd",,"GAMMA","."&amp;I$2&amp;I$1&amp;"C"&amp;$A30)-$A$4*$A$4*RTD("tos.rtd",,"VOLUME","."&amp;I$2&amp;I$1&amp;"P"&amp;$A30)*RTD("tos.rtd",,"GAMMA","."&amp;I$2&amp;I$1&amp;"P"&amp;$A30))/1000000),0),IF($A$2="GEX",IFERROR(IF($X$1="ABS",($A$4*$A$4*RTD("tos.rtd",,"OPEN_INT","."&amp;I$2&amp;I$1&amp;"C"&amp;$A30)*RTD("tos.rtd",,"GAMMA","."&amp;I$2&amp;I$1&amp;"C"&amp;$A30)+$A$4*$A$4*RTD("tos.rtd",,"OPEN_INT","."&amp;I$2&amp;I$1&amp;"P"&amp;$A30)*RTD("tos.rtd",,"GAMMA","."&amp;I$2&amp;I$1&amp;"P"&amp;$A30))/1000000,($A$4*$A$4*RTD("tos.rtd",,"OPEN_INT","."&amp;I$2&amp;I$1&amp;"C"&amp;$A30)*RTD("tos.rtd",,"GAMMA","."&amp;I$2&amp;I$1&amp;"C"&amp;$A30)-$A$4*$A$4*RTD("tos.rtd",,"OPEN_INT","."&amp;I$2&amp;I$1&amp;"P"&amp;$A30)*RTD("tos.rtd",,"GAMMA","."&amp;I$2&amp;I$1&amp;"P"&amp;$A30))/1000000),0),IF($A$2="SKEW",IFERROR(VALUE(IF(RTD("tos.rtd",,"IMPL_VOL","."&amp;I$2&amp;I$1&amp;"P"&amp;$A30)="N/A",0,RTD("tos.rtd",,"IMPL_VOL","."&amp;I$2&amp;I$1&amp;"P"&amp;$A30))),0)-IFERROR(VALUE(IF(RTD("tos.rtd",,"IMPL_VOL","."&amp;I$2&amp;I$1&amp;"C"&amp;$A30)="N/A",0,RTD("tos.rtd",,"IMPL_VOL","."&amp;I$2&amp;I$1&amp;"C"&amp;$A30))),0),IF($A$2="MAXPAIN",IF($A$4&gt;$A30,($A$4-$A30)*IF(RTD("tos.rtd",,"OPEN_INT","."&amp;I$2&amp;I$1&amp;"C"&amp;$A30)="N/A",0,RTD("tos.rtd",,"OPEN_INT","."&amp;I$2&amp;I$1&amp;"C"&amp;$A30)),0)+IF($A$4&lt;$A30,($A$5-$A$4)*IF(RTD("tos.rtd",,"OPEN_INT","."&amp;I$2&amp;I$1&amp;"P"&amp;$A30)="N/A",0,RTD("tos.rtd",,"OPEN_INT","."&amp;I$2&amp;I$1&amp;"P"&amp;$A30)),0),IF($X$1="ABS",IF(RTD("tos.rtd",,$A$2,"."&amp;I$2&amp;I$1&amp;"C"&amp;$A30)="N/A",0,RTD("tos.rtd",,$A$2,"."&amp;I$2&amp;I$1&amp;"C"&amp;$A30))+IF(RTD("tos.rtd",,$A$2,"."&amp;I$2&amp;I$1&amp;"P"&amp;$A30)="N/A",0,RTD("tos.rtd",,$A$2,"."&amp;I$2&amp;I$1&amp;"P"&amp;$A30)),IF(RTD("tos.rtd",,$A$2,"."&amp;I$2&amp;I$1&amp;"C"&amp;$A30)="N/A",0,RTD("tos.rtd",,$A$2,"."&amp;I$2&amp;I$1&amp;"C"&amp;$A30))-IF(RTD("tos.rtd",,$A$2,"."&amp;I$2&amp;I$1&amp;"P"&amp;$A30)="N/A",0,RTD("tos.rtd",,$A$2,"."&amp;I$2&amp;I$1&amp;"P"&amp;$A30))))))))))</f>
        <v>0</v>
      </c>
      <c r="J30" s="12">
        <f ca="1">IF($A$2="PREMIUM_OI",IFERROR(IF($X$1="ABS",(100*RTD("tos.rtd",,"OPEN_INT","."&amp;J$2&amp;J$1&amp;"C"&amp;$A30)*RTD("tos.rtd",,"LAST","."&amp;J$2&amp;J$1&amp;"C"&amp;$A30)+100*RTD("tos.rtd",,"OPEN_INT","."&amp;J$2&amp;J$1&amp;"P"&amp;$A30)*RTD("tos.rtd",,"LAST","."&amp;J$2&amp;J$1&amp;"P"&amp;$A30))/1000000,(100*RTD("tos.rtd",,"OPEN_INT","."&amp;J$2&amp;J$1&amp;"C"&amp;$A30)*RTD("tos.rtd",,"LAST","."&amp;J$2&amp;J$1&amp;"C"&amp;$A30)-100*RTD("tos.rtd",,"OPEN_INT","."&amp;J$2&amp;J$1&amp;"P"&amp;$A30)*RTD("tos.rtd",,"LAST","."&amp;J$2&amp;J$1&amp;"P"&amp;$A30))/1000000),0),IF($A$2="PREMIUM",IFERROR(IF($X$1="ABS",(100*RTD("tos.rtd",,"VOLUME","."&amp;J$2&amp;J$1&amp;"C"&amp;$A30)*RTD("tos.rtd",,"LAST","."&amp;J$2&amp;J$1&amp;"C"&amp;$A30)+100*RTD("tos.rtd",,"VOLUME","."&amp;J$2&amp;J$1&amp;"P"&amp;$A30)*RTD("tos.rtd",,"LAST","."&amp;J$2&amp;J$1&amp;"P"&amp;$A30))/1000000,(100*RTD("tos.rtd",,"VOLUME","."&amp;J$2&amp;J$1&amp;"C"&amp;$A30)*RTD("tos.rtd",,"LAST","."&amp;J$2&amp;J$1&amp;"C"&amp;$A30)-100*RTD("tos.rtd",,"VOLUME","."&amp;J$2&amp;J$1&amp;"P"&amp;$A30)*RTD("tos.rtd",,"LAST","."&amp;J$2&amp;J$1&amp;"P"&amp;$A30))/1000000),0),IF($A$2="DEX",IFERROR(IF($X$1="ABS",(100*RTD("tos.rtd",,"OPEN_INT","."&amp;J$2&amp;J$1&amp;"C"&amp;$A30)*RTD("tos.rtd",,"DELTA","."&amp;J$2&amp;J$1&amp;"C"&amp;$A30)+100*RTD("tos.rtd",,"OPEN_INT","."&amp;J$2&amp;J$1&amp;"P"&amp;$A30)*RTD("tos.rtd",,"DELTA","."&amp;J$2&amp;J$1&amp;"P"&amp;$A30))/1000,(100*RTD("tos.rtd",,"OPEN_INT","."&amp;J$2&amp;J$1&amp;"C"&amp;$A30)*RTD("tos.rtd",,"DELTA","."&amp;J$2&amp;J$1&amp;"C"&amp;$A30)-100*RTD("tos.rtd",,"OPEN_INT","."&amp;J$2&amp;J$1&amp;"P"&amp;$A30)*RTD("tos.rtd",,"DELTA","."&amp;J$2&amp;J$1&amp;"P"&amp;$A30))/1000),0),IF($A$2="VEX",IFERROR(IF($X$1="ABS",($A$4*$A$4*RTD("tos.rtd",,"VOLUME","."&amp;J$2&amp;J$1&amp;"C"&amp;$A30)*RTD("tos.rtd",,"GAMMA","."&amp;J$2&amp;J$1&amp;"C"&amp;$A30)+$A$4*$A$4*RTD("tos.rtd",,"VOLUME","."&amp;J$2&amp;J$1&amp;"P"&amp;$A30)*RTD("tos.rtd",,"GAMMA","."&amp;J$2&amp;J$1&amp;"P"&amp;$A30))/1000000,($A$4*$A$4*RTD("tos.rtd",,"VOLUME","."&amp;J$2&amp;J$1&amp;"C"&amp;$A30)*RTD("tos.rtd",,"GAMMA","."&amp;J$2&amp;J$1&amp;"C"&amp;$A30)-$A$4*$A$4*RTD("tos.rtd",,"VOLUME","."&amp;J$2&amp;J$1&amp;"P"&amp;$A30)*RTD("tos.rtd",,"GAMMA","."&amp;J$2&amp;J$1&amp;"P"&amp;$A30))/1000000),0),IF($A$2="GEX",IFERROR(IF($X$1="ABS",($A$4*$A$4*RTD("tos.rtd",,"OPEN_INT","."&amp;J$2&amp;J$1&amp;"C"&amp;$A30)*RTD("tos.rtd",,"GAMMA","."&amp;J$2&amp;J$1&amp;"C"&amp;$A30)+$A$4*$A$4*RTD("tos.rtd",,"OPEN_INT","."&amp;J$2&amp;J$1&amp;"P"&amp;$A30)*RTD("tos.rtd",,"GAMMA","."&amp;J$2&amp;J$1&amp;"P"&amp;$A30))/1000000,($A$4*$A$4*RTD("tos.rtd",,"OPEN_INT","."&amp;J$2&amp;J$1&amp;"C"&amp;$A30)*RTD("tos.rtd",,"GAMMA","."&amp;J$2&amp;J$1&amp;"C"&amp;$A30)-$A$4*$A$4*RTD("tos.rtd",,"OPEN_INT","."&amp;J$2&amp;J$1&amp;"P"&amp;$A30)*RTD("tos.rtd",,"GAMMA","."&amp;J$2&amp;J$1&amp;"P"&amp;$A30))/1000000),0),IF($A$2="SKEW",IFERROR(VALUE(IF(RTD("tos.rtd",,"IMPL_VOL","."&amp;J$2&amp;J$1&amp;"P"&amp;$A30)="N/A",0,RTD("tos.rtd",,"IMPL_VOL","."&amp;J$2&amp;J$1&amp;"P"&amp;$A30))),0)-IFERROR(VALUE(IF(RTD("tos.rtd",,"IMPL_VOL","."&amp;J$2&amp;J$1&amp;"C"&amp;$A30)="N/A",0,RTD("tos.rtd",,"IMPL_VOL","."&amp;J$2&amp;J$1&amp;"C"&amp;$A30))),0),IF($A$2="MAXPAIN",IF($A$4&gt;$A30,($A$4-$A30)*IF(RTD("tos.rtd",,"OPEN_INT","."&amp;J$2&amp;J$1&amp;"C"&amp;$A30)="N/A",0,RTD("tos.rtd",,"OPEN_INT","."&amp;J$2&amp;J$1&amp;"C"&amp;$A30)),0)+IF($A$4&lt;$A30,($A$5-$A$4)*IF(RTD("tos.rtd",,"OPEN_INT","."&amp;J$2&amp;J$1&amp;"P"&amp;$A30)="N/A",0,RTD("tos.rtd",,"OPEN_INT","."&amp;J$2&amp;J$1&amp;"P"&amp;$A30)),0),IF($X$1="ABS",IF(RTD("tos.rtd",,$A$2,"."&amp;J$2&amp;J$1&amp;"C"&amp;$A30)="N/A",0,RTD("tos.rtd",,$A$2,"."&amp;J$2&amp;J$1&amp;"C"&amp;$A30))+IF(RTD("tos.rtd",,$A$2,"."&amp;J$2&amp;J$1&amp;"P"&amp;$A30)="N/A",0,RTD("tos.rtd",,$A$2,"."&amp;J$2&amp;J$1&amp;"P"&amp;$A30)),IF(RTD("tos.rtd",,$A$2,"."&amp;J$2&amp;J$1&amp;"C"&amp;$A30)="N/A",0,RTD("tos.rtd",,$A$2,"."&amp;J$2&amp;J$1&amp;"C"&amp;$A30))-IF(RTD("tos.rtd",,$A$2,"."&amp;J$2&amp;J$1&amp;"P"&amp;$A30)="N/A",0,RTD("tos.rtd",,$A$2,"."&amp;J$2&amp;J$1&amp;"P"&amp;$A30))))))))))</f>
        <v>0</v>
      </c>
      <c r="K30" s="12">
        <f ca="1">IF($A$2="PREMIUM_OI",IFERROR(IF($X$1="ABS",(100*RTD("tos.rtd",,"OPEN_INT","."&amp;K$2&amp;K$1&amp;"C"&amp;$A30)*RTD("tos.rtd",,"LAST","."&amp;K$2&amp;K$1&amp;"C"&amp;$A30)+100*RTD("tos.rtd",,"OPEN_INT","."&amp;K$2&amp;K$1&amp;"P"&amp;$A30)*RTD("tos.rtd",,"LAST","."&amp;K$2&amp;K$1&amp;"P"&amp;$A30))/1000000,(100*RTD("tos.rtd",,"OPEN_INT","."&amp;K$2&amp;K$1&amp;"C"&amp;$A30)*RTD("tos.rtd",,"LAST","."&amp;K$2&amp;K$1&amp;"C"&amp;$A30)-100*RTD("tos.rtd",,"OPEN_INT","."&amp;K$2&amp;K$1&amp;"P"&amp;$A30)*RTD("tos.rtd",,"LAST","."&amp;K$2&amp;K$1&amp;"P"&amp;$A30))/1000000),0),IF($A$2="PREMIUM",IFERROR(IF($X$1="ABS",(100*RTD("tos.rtd",,"VOLUME","."&amp;K$2&amp;K$1&amp;"C"&amp;$A30)*RTD("tos.rtd",,"LAST","."&amp;K$2&amp;K$1&amp;"C"&amp;$A30)+100*RTD("tos.rtd",,"VOLUME","."&amp;K$2&amp;K$1&amp;"P"&amp;$A30)*RTD("tos.rtd",,"LAST","."&amp;K$2&amp;K$1&amp;"P"&amp;$A30))/1000000,(100*RTD("tos.rtd",,"VOLUME","."&amp;K$2&amp;K$1&amp;"C"&amp;$A30)*RTD("tos.rtd",,"LAST","."&amp;K$2&amp;K$1&amp;"C"&amp;$A30)-100*RTD("tos.rtd",,"VOLUME","."&amp;K$2&amp;K$1&amp;"P"&amp;$A30)*RTD("tos.rtd",,"LAST","."&amp;K$2&amp;K$1&amp;"P"&amp;$A30))/1000000),0),IF($A$2="DEX",IFERROR(IF($X$1="ABS",(100*RTD("tos.rtd",,"OPEN_INT","."&amp;K$2&amp;K$1&amp;"C"&amp;$A30)*RTD("tos.rtd",,"DELTA","."&amp;K$2&amp;K$1&amp;"C"&amp;$A30)+100*RTD("tos.rtd",,"OPEN_INT","."&amp;K$2&amp;K$1&amp;"P"&amp;$A30)*RTD("tos.rtd",,"DELTA","."&amp;K$2&amp;K$1&amp;"P"&amp;$A30))/1000,(100*RTD("tos.rtd",,"OPEN_INT","."&amp;K$2&amp;K$1&amp;"C"&amp;$A30)*RTD("tos.rtd",,"DELTA","."&amp;K$2&amp;K$1&amp;"C"&amp;$A30)-100*RTD("tos.rtd",,"OPEN_INT","."&amp;K$2&amp;K$1&amp;"P"&amp;$A30)*RTD("tos.rtd",,"DELTA","."&amp;K$2&amp;K$1&amp;"P"&amp;$A30))/1000),0),IF($A$2="VEX",IFERROR(IF($X$1="ABS",($A$4*$A$4*RTD("tos.rtd",,"VOLUME","."&amp;K$2&amp;K$1&amp;"C"&amp;$A30)*RTD("tos.rtd",,"GAMMA","."&amp;K$2&amp;K$1&amp;"C"&amp;$A30)+$A$4*$A$4*RTD("tos.rtd",,"VOLUME","."&amp;K$2&amp;K$1&amp;"P"&amp;$A30)*RTD("tos.rtd",,"GAMMA","."&amp;K$2&amp;K$1&amp;"P"&amp;$A30))/1000000,($A$4*$A$4*RTD("tos.rtd",,"VOLUME","."&amp;K$2&amp;K$1&amp;"C"&amp;$A30)*RTD("tos.rtd",,"GAMMA","."&amp;K$2&amp;K$1&amp;"C"&amp;$A30)-$A$4*$A$4*RTD("tos.rtd",,"VOLUME","."&amp;K$2&amp;K$1&amp;"P"&amp;$A30)*RTD("tos.rtd",,"GAMMA","."&amp;K$2&amp;K$1&amp;"P"&amp;$A30))/1000000),0),IF($A$2="GEX",IFERROR(IF($X$1="ABS",($A$4*$A$4*RTD("tos.rtd",,"OPEN_INT","."&amp;K$2&amp;K$1&amp;"C"&amp;$A30)*RTD("tos.rtd",,"GAMMA","."&amp;K$2&amp;K$1&amp;"C"&amp;$A30)+$A$4*$A$4*RTD("tos.rtd",,"OPEN_INT","."&amp;K$2&amp;K$1&amp;"P"&amp;$A30)*RTD("tos.rtd",,"GAMMA","."&amp;K$2&amp;K$1&amp;"P"&amp;$A30))/1000000,($A$4*$A$4*RTD("tos.rtd",,"OPEN_INT","."&amp;K$2&amp;K$1&amp;"C"&amp;$A30)*RTD("tos.rtd",,"GAMMA","."&amp;K$2&amp;K$1&amp;"C"&amp;$A30)-$A$4*$A$4*RTD("tos.rtd",,"OPEN_INT","."&amp;K$2&amp;K$1&amp;"P"&amp;$A30)*RTD("tos.rtd",,"GAMMA","."&amp;K$2&amp;K$1&amp;"P"&amp;$A30))/1000000),0),IF($A$2="SKEW",IFERROR(VALUE(IF(RTD("tos.rtd",,"IMPL_VOL","."&amp;K$2&amp;K$1&amp;"P"&amp;$A30)="N/A",0,RTD("tos.rtd",,"IMPL_VOL","."&amp;K$2&amp;K$1&amp;"P"&amp;$A30))),0)-IFERROR(VALUE(IF(RTD("tos.rtd",,"IMPL_VOL","."&amp;K$2&amp;K$1&amp;"C"&amp;$A30)="N/A",0,RTD("tos.rtd",,"IMPL_VOL","."&amp;K$2&amp;K$1&amp;"C"&amp;$A30))),0),IF($A$2="MAXPAIN",IF($A$4&gt;$A30,($A$4-$A30)*IF(RTD("tos.rtd",,"OPEN_INT","."&amp;K$2&amp;K$1&amp;"C"&amp;$A30)="N/A",0,RTD("tos.rtd",,"OPEN_INT","."&amp;K$2&amp;K$1&amp;"C"&amp;$A30)),0)+IF($A$4&lt;$A30,($A$5-$A$4)*IF(RTD("tos.rtd",,"OPEN_INT","."&amp;K$2&amp;K$1&amp;"P"&amp;$A30)="N/A",0,RTD("tos.rtd",,"OPEN_INT","."&amp;K$2&amp;K$1&amp;"P"&amp;$A30)),0),IF($X$1="ABS",IF(RTD("tos.rtd",,$A$2,"."&amp;K$2&amp;K$1&amp;"C"&amp;$A30)="N/A",0,RTD("tos.rtd",,$A$2,"."&amp;K$2&amp;K$1&amp;"C"&amp;$A30))+IF(RTD("tos.rtd",,$A$2,"."&amp;K$2&amp;K$1&amp;"P"&amp;$A30)="N/A",0,RTD("tos.rtd",,$A$2,"."&amp;K$2&amp;K$1&amp;"P"&amp;$A30)),IF(RTD("tos.rtd",,$A$2,"."&amp;K$2&amp;K$1&amp;"C"&amp;$A30)="N/A",0,RTD("tos.rtd",,$A$2,"."&amp;K$2&amp;K$1&amp;"C"&amp;$A30))-IF(RTD("tos.rtd",,$A$2,"."&amp;K$2&amp;K$1&amp;"P"&amp;$A30)="N/A",0,RTD("tos.rtd",,$A$2,"."&amp;K$2&amp;K$1&amp;"P"&amp;$A30))))))))))</f>
        <v>0</v>
      </c>
      <c r="L30" s="54">
        <f ca="1">IF($A$2="PREMIUM_OI",IFERROR(IF($X$1="ABS",(100*RTD("tos.rtd",,"OPEN_INT","."&amp;L$2&amp;L$1&amp;"C"&amp;$A30)*RTD("tos.rtd",,"LAST","."&amp;L$2&amp;L$1&amp;"C"&amp;$A30)+100*RTD("tos.rtd",,"OPEN_INT","."&amp;L$2&amp;L$1&amp;"P"&amp;$A30)*RTD("tos.rtd",,"LAST","."&amp;L$2&amp;L$1&amp;"P"&amp;$A30))/1000000,(100*RTD("tos.rtd",,"OPEN_INT","."&amp;L$2&amp;L$1&amp;"C"&amp;$A30)*RTD("tos.rtd",,"LAST","."&amp;L$2&amp;L$1&amp;"C"&amp;$A30)-100*RTD("tos.rtd",,"OPEN_INT","."&amp;L$2&amp;L$1&amp;"P"&amp;$A30)*RTD("tos.rtd",,"LAST","."&amp;L$2&amp;L$1&amp;"P"&amp;$A30))/1000000),0),IF($A$2="PREMIUM",IFERROR(IF($X$1="ABS",(100*RTD("tos.rtd",,"VOLUME","."&amp;L$2&amp;L$1&amp;"C"&amp;$A30)*RTD("tos.rtd",,"LAST","."&amp;L$2&amp;L$1&amp;"C"&amp;$A30)+100*RTD("tos.rtd",,"VOLUME","."&amp;L$2&amp;L$1&amp;"P"&amp;$A30)*RTD("tos.rtd",,"LAST","."&amp;L$2&amp;L$1&amp;"P"&amp;$A30))/1000000,(100*RTD("tos.rtd",,"VOLUME","."&amp;L$2&amp;L$1&amp;"C"&amp;$A30)*RTD("tos.rtd",,"LAST","."&amp;L$2&amp;L$1&amp;"C"&amp;$A30)-100*RTD("tos.rtd",,"VOLUME","."&amp;L$2&amp;L$1&amp;"P"&amp;$A30)*RTD("tos.rtd",,"LAST","."&amp;L$2&amp;L$1&amp;"P"&amp;$A30))/1000000),0),IF($A$2="DEX",IFERROR(IF($X$1="ABS",(100*RTD("tos.rtd",,"OPEN_INT","."&amp;L$2&amp;L$1&amp;"C"&amp;$A30)*RTD("tos.rtd",,"DELTA","."&amp;L$2&amp;L$1&amp;"C"&amp;$A30)+100*RTD("tos.rtd",,"OPEN_INT","."&amp;L$2&amp;L$1&amp;"P"&amp;$A30)*RTD("tos.rtd",,"DELTA","."&amp;L$2&amp;L$1&amp;"P"&amp;$A30))/1000,(100*RTD("tos.rtd",,"OPEN_INT","."&amp;L$2&amp;L$1&amp;"C"&amp;$A30)*RTD("tos.rtd",,"DELTA","."&amp;L$2&amp;L$1&amp;"C"&amp;$A30)-100*RTD("tos.rtd",,"OPEN_INT","."&amp;L$2&amp;L$1&amp;"P"&amp;$A30)*RTD("tos.rtd",,"DELTA","."&amp;L$2&amp;L$1&amp;"P"&amp;$A30))/1000),0),IF($A$2="VEX",IFERROR(IF($X$1="ABS",($A$4*$A$4*RTD("tos.rtd",,"VOLUME","."&amp;L$2&amp;L$1&amp;"C"&amp;$A30)*RTD("tos.rtd",,"GAMMA","."&amp;L$2&amp;L$1&amp;"C"&amp;$A30)+$A$4*$A$4*RTD("tos.rtd",,"VOLUME","."&amp;L$2&amp;L$1&amp;"P"&amp;$A30)*RTD("tos.rtd",,"GAMMA","."&amp;L$2&amp;L$1&amp;"P"&amp;$A30))/1000000,($A$4*$A$4*RTD("tos.rtd",,"VOLUME","."&amp;L$2&amp;L$1&amp;"C"&amp;$A30)*RTD("tos.rtd",,"GAMMA","."&amp;L$2&amp;L$1&amp;"C"&amp;$A30)-$A$4*$A$4*RTD("tos.rtd",,"VOLUME","."&amp;L$2&amp;L$1&amp;"P"&amp;$A30)*RTD("tos.rtd",,"GAMMA","."&amp;L$2&amp;L$1&amp;"P"&amp;$A30))/1000000),0),IF($A$2="GEX",IFERROR(IF($X$1="ABS",($A$4*$A$4*RTD("tos.rtd",,"OPEN_INT","."&amp;L$2&amp;L$1&amp;"C"&amp;$A30)*RTD("tos.rtd",,"GAMMA","."&amp;L$2&amp;L$1&amp;"C"&amp;$A30)+$A$4*$A$4*RTD("tos.rtd",,"OPEN_INT","."&amp;L$2&amp;L$1&amp;"P"&amp;$A30)*RTD("tos.rtd",,"GAMMA","."&amp;L$2&amp;L$1&amp;"P"&amp;$A30))/1000000,($A$4*$A$4*RTD("tos.rtd",,"OPEN_INT","."&amp;L$2&amp;L$1&amp;"C"&amp;$A30)*RTD("tos.rtd",,"GAMMA","."&amp;L$2&amp;L$1&amp;"C"&amp;$A30)-$A$4*$A$4*RTD("tos.rtd",,"OPEN_INT","."&amp;L$2&amp;L$1&amp;"P"&amp;$A30)*RTD("tos.rtd",,"GAMMA","."&amp;L$2&amp;L$1&amp;"P"&amp;$A30))/1000000),0),IF($A$2="SKEW",IFERROR(VALUE(IF(RTD("tos.rtd",,"IMPL_VOL","."&amp;L$2&amp;L$1&amp;"P"&amp;$A30)="N/A",0,RTD("tos.rtd",,"IMPL_VOL","."&amp;L$2&amp;L$1&amp;"P"&amp;$A30))),0)-IFERROR(VALUE(IF(RTD("tos.rtd",,"IMPL_VOL","."&amp;L$2&amp;L$1&amp;"C"&amp;$A30)="N/A",0,RTD("tos.rtd",,"IMPL_VOL","."&amp;L$2&amp;L$1&amp;"C"&amp;$A30))),0),IF($A$2="MAXPAIN",IF($A$4&gt;$A30,($A$4-$A30)*IF(RTD("tos.rtd",,"OPEN_INT","."&amp;L$2&amp;L$1&amp;"C"&amp;$A30)="N/A",0,RTD("tos.rtd",,"OPEN_INT","."&amp;L$2&amp;L$1&amp;"C"&amp;$A30)),0)+IF($A$4&lt;$A30,($A$5-$A$4)*IF(RTD("tos.rtd",,"OPEN_INT","."&amp;L$2&amp;L$1&amp;"P"&amp;$A30)="N/A",0,RTD("tos.rtd",,"OPEN_INT","."&amp;L$2&amp;L$1&amp;"P"&amp;$A30)),0),IF($X$1="ABS",IF(RTD("tos.rtd",,$A$2,"."&amp;L$2&amp;L$1&amp;"C"&amp;$A30)="N/A",0,RTD("tos.rtd",,$A$2,"."&amp;L$2&amp;L$1&amp;"C"&amp;$A30))+IF(RTD("tos.rtd",,$A$2,"."&amp;L$2&amp;L$1&amp;"P"&amp;$A30)="N/A",0,RTD("tos.rtd",,$A$2,"."&amp;L$2&amp;L$1&amp;"P"&amp;$A30)),IF(RTD("tos.rtd",,$A$2,"."&amp;L$2&amp;L$1&amp;"C"&amp;$A30)="N/A",0,RTD("tos.rtd",,$A$2,"."&amp;L$2&amp;L$1&amp;"C"&amp;$A30))-IF(RTD("tos.rtd",,$A$2,"."&amp;L$2&amp;L$1&amp;"P"&amp;$A30)="N/A",0,RTD("tos.rtd",,$A$2,"."&amp;L$2&amp;L$1&amp;"P"&amp;$A30))))))))))</f>
        <v>0</v>
      </c>
      <c r="M30" s="12">
        <f ca="1">IF($A$2="PREMIUM_OI",IFERROR(IF($X$1="ABS",(100*RTD("tos.rtd",,"OPEN_INT","."&amp;M$2&amp;M$1&amp;"C"&amp;$A30)*RTD("tos.rtd",,"LAST","."&amp;M$2&amp;M$1&amp;"C"&amp;$A30)+100*RTD("tos.rtd",,"OPEN_INT","."&amp;M$2&amp;M$1&amp;"P"&amp;$A30)*RTD("tos.rtd",,"LAST","."&amp;M$2&amp;M$1&amp;"P"&amp;$A30))/1000000,(100*RTD("tos.rtd",,"OPEN_INT","."&amp;M$2&amp;M$1&amp;"C"&amp;$A30)*RTD("tos.rtd",,"LAST","."&amp;M$2&amp;M$1&amp;"C"&amp;$A30)-100*RTD("tos.rtd",,"OPEN_INT","."&amp;M$2&amp;M$1&amp;"P"&amp;$A30)*RTD("tos.rtd",,"LAST","."&amp;M$2&amp;M$1&amp;"P"&amp;$A30))/1000000),0),IF($A$2="PREMIUM",IFERROR(IF($X$1="ABS",(100*RTD("tos.rtd",,"VOLUME","."&amp;M$2&amp;M$1&amp;"C"&amp;$A30)*RTD("tos.rtd",,"LAST","."&amp;M$2&amp;M$1&amp;"C"&amp;$A30)+100*RTD("tos.rtd",,"VOLUME","."&amp;M$2&amp;M$1&amp;"P"&amp;$A30)*RTD("tos.rtd",,"LAST","."&amp;M$2&amp;M$1&amp;"P"&amp;$A30))/1000000,(100*RTD("tos.rtd",,"VOLUME","."&amp;M$2&amp;M$1&amp;"C"&amp;$A30)*RTD("tos.rtd",,"LAST","."&amp;M$2&amp;M$1&amp;"C"&amp;$A30)-100*RTD("tos.rtd",,"VOLUME","."&amp;M$2&amp;M$1&amp;"P"&amp;$A30)*RTD("tos.rtd",,"LAST","."&amp;M$2&amp;M$1&amp;"P"&amp;$A30))/1000000),0),IF($A$2="DEX",IFERROR(IF($X$1="ABS",(100*RTD("tos.rtd",,"OPEN_INT","."&amp;M$2&amp;M$1&amp;"C"&amp;$A30)*RTD("tos.rtd",,"DELTA","."&amp;M$2&amp;M$1&amp;"C"&amp;$A30)+100*RTD("tos.rtd",,"OPEN_INT","."&amp;M$2&amp;M$1&amp;"P"&amp;$A30)*RTD("tos.rtd",,"DELTA","."&amp;M$2&amp;M$1&amp;"P"&amp;$A30))/1000,(100*RTD("tos.rtd",,"OPEN_INT","."&amp;M$2&amp;M$1&amp;"C"&amp;$A30)*RTD("tos.rtd",,"DELTA","."&amp;M$2&amp;M$1&amp;"C"&amp;$A30)-100*RTD("tos.rtd",,"OPEN_INT","."&amp;M$2&amp;M$1&amp;"P"&amp;$A30)*RTD("tos.rtd",,"DELTA","."&amp;M$2&amp;M$1&amp;"P"&amp;$A30))/1000),0),IF($A$2="VEX",IFERROR(IF($X$1="ABS",($A$4*$A$4*RTD("tos.rtd",,"VOLUME","."&amp;M$2&amp;M$1&amp;"C"&amp;$A30)*RTD("tos.rtd",,"GAMMA","."&amp;M$2&amp;M$1&amp;"C"&amp;$A30)+$A$4*$A$4*RTD("tos.rtd",,"VOLUME","."&amp;M$2&amp;M$1&amp;"P"&amp;$A30)*RTD("tos.rtd",,"GAMMA","."&amp;M$2&amp;M$1&amp;"P"&amp;$A30))/1000000,($A$4*$A$4*RTD("tos.rtd",,"VOLUME","."&amp;M$2&amp;M$1&amp;"C"&amp;$A30)*RTD("tos.rtd",,"GAMMA","."&amp;M$2&amp;M$1&amp;"C"&amp;$A30)-$A$4*$A$4*RTD("tos.rtd",,"VOLUME","."&amp;M$2&amp;M$1&amp;"P"&amp;$A30)*RTD("tos.rtd",,"GAMMA","."&amp;M$2&amp;M$1&amp;"P"&amp;$A30))/1000000),0),IF($A$2="GEX",IFERROR(IF($X$1="ABS",($A$4*$A$4*RTD("tos.rtd",,"OPEN_INT","."&amp;M$2&amp;M$1&amp;"C"&amp;$A30)*RTD("tos.rtd",,"GAMMA","."&amp;M$2&amp;M$1&amp;"C"&amp;$A30)+$A$4*$A$4*RTD("tos.rtd",,"OPEN_INT","."&amp;M$2&amp;M$1&amp;"P"&amp;$A30)*RTD("tos.rtd",,"GAMMA","."&amp;M$2&amp;M$1&amp;"P"&amp;$A30))/1000000,($A$4*$A$4*RTD("tos.rtd",,"OPEN_INT","."&amp;M$2&amp;M$1&amp;"C"&amp;$A30)*RTD("tos.rtd",,"GAMMA","."&amp;M$2&amp;M$1&amp;"C"&amp;$A30)-$A$4*$A$4*RTD("tos.rtd",,"OPEN_INT","."&amp;M$2&amp;M$1&amp;"P"&amp;$A30)*RTD("tos.rtd",,"GAMMA","."&amp;M$2&amp;M$1&amp;"P"&amp;$A30))/1000000),0),IF($A$2="SKEW",IFERROR(VALUE(IF(RTD("tos.rtd",,"IMPL_VOL","."&amp;M$2&amp;M$1&amp;"P"&amp;$A30)="N/A",0,RTD("tos.rtd",,"IMPL_VOL","."&amp;M$2&amp;M$1&amp;"P"&amp;$A30))),0)-IFERROR(VALUE(IF(RTD("tos.rtd",,"IMPL_VOL","."&amp;M$2&amp;M$1&amp;"C"&amp;$A30)="N/A",0,RTD("tos.rtd",,"IMPL_VOL","."&amp;M$2&amp;M$1&amp;"C"&amp;$A30))),0),IF($A$2="MAXPAIN",IF($A$4&gt;$A30,($A$4-$A30)*IF(RTD("tos.rtd",,"OPEN_INT","."&amp;M$2&amp;M$1&amp;"C"&amp;$A30)="N/A",0,RTD("tos.rtd",,"OPEN_INT","."&amp;M$2&amp;M$1&amp;"C"&amp;$A30)),0)+IF($A$4&lt;$A30,($A$5-$A$4)*IF(RTD("tos.rtd",,"OPEN_INT","."&amp;M$2&amp;M$1&amp;"P"&amp;$A30)="N/A",0,RTD("tos.rtd",,"OPEN_INT","."&amp;M$2&amp;M$1&amp;"P"&amp;$A30)),0),IF($X$1="ABS",IF(RTD("tos.rtd",,$A$2,"."&amp;M$2&amp;M$1&amp;"C"&amp;$A30)="N/A",0,RTD("tos.rtd",,$A$2,"."&amp;M$2&amp;M$1&amp;"C"&amp;$A30))+IF(RTD("tos.rtd",,$A$2,"."&amp;M$2&amp;M$1&amp;"P"&amp;$A30)="N/A",0,RTD("tos.rtd",,$A$2,"."&amp;M$2&amp;M$1&amp;"P"&amp;$A30)),IF(RTD("tos.rtd",,$A$2,"."&amp;M$2&amp;M$1&amp;"C"&amp;$A30)="N/A",0,RTD("tos.rtd",,$A$2,"."&amp;M$2&amp;M$1&amp;"C"&amp;$A30))-IF(RTD("tos.rtd",,$A$2,"."&amp;M$2&amp;M$1&amp;"P"&amp;$A30)="N/A",0,RTD("tos.rtd",,$A$2,"."&amp;M$2&amp;M$1&amp;"P"&amp;$A30))))))))))</f>
        <v>0</v>
      </c>
      <c r="N30" s="12">
        <f ca="1">IF($A$2="PREMIUM_OI",IFERROR(IF($X$1="ABS",(100*RTD("tos.rtd",,"OPEN_INT","."&amp;N$2&amp;N$1&amp;"C"&amp;$A30)*RTD("tos.rtd",,"LAST","."&amp;N$2&amp;N$1&amp;"C"&amp;$A30)+100*RTD("tos.rtd",,"OPEN_INT","."&amp;N$2&amp;N$1&amp;"P"&amp;$A30)*RTD("tos.rtd",,"LAST","."&amp;N$2&amp;N$1&amp;"P"&amp;$A30))/1000000,(100*RTD("tos.rtd",,"OPEN_INT","."&amp;N$2&amp;N$1&amp;"C"&amp;$A30)*RTD("tos.rtd",,"LAST","."&amp;N$2&amp;N$1&amp;"C"&amp;$A30)-100*RTD("tos.rtd",,"OPEN_INT","."&amp;N$2&amp;N$1&amp;"P"&amp;$A30)*RTD("tos.rtd",,"LAST","."&amp;N$2&amp;N$1&amp;"P"&amp;$A30))/1000000),0),IF($A$2="PREMIUM",IFERROR(IF($X$1="ABS",(100*RTD("tos.rtd",,"VOLUME","."&amp;N$2&amp;N$1&amp;"C"&amp;$A30)*RTD("tos.rtd",,"LAST","."&amp;N$2&amp;N$1&amp;"C"&amp;$A30)+100*RTD("tos.rtd",,"VOLUME","."&amp;N$2&amp;N$1&amp;"P"&amp;$A30)*RTD("tos.rtd",,"LAST","."&amp;N$2&amp;N$1&amp;"P"&amp;$A30))/1000000,(100*RTD("tos.rtd",,"VOLUME","."&amp;N$2&amp;N$1&amp;"C"&amp;$A30)*RTD("tos.rtd",,"LAST","."&amp;N$2&amp;N$1&amp;"C"&amp;$A30)-100*RTD("tos.rtd",,"VOLUME","."&amp;N$2&amp;N$1&amp;"P"&amp;$A30)*RTD("tos.rtd",,"LAST","."&amp;N$2&amp;N$1&amp;"P"&amp;$A30))/1000000),0),IF($A$2="DEX",IFERROR(IF($X$1="ABS",(100*RTD("tos.rtd",,"OPEN_INT","."&amp;N$2&amp;N$1&amp;"C"&amp;$A30)*RTD("tos.rtd",,"DELTA","."&amp;N$2&amp;N$1&amp;"C"&amp;$A30)+100*RTD("tos.rtd",,"OPEN_INT","."&amp;N$2&amp;N$1&amp;"P"&amp;$A30)*RTD("tos.rtd",,"DELTA","."&amp;N$2&amp;N$1&amp;"P"&amp;$A30))/1000,(100*RTD("tos.rtd",,"OPEN_INT","."&amp;N$2&amp;N$1&amp;"C"&amp;$A30)*RTD("tos.rtd",,"DELTA","."&amp;N$2&amp;N$1&amp;"C"&amp;$A30)-100*RTD("tos.rtd",,"OPEN_INT","."&amp;N$2&amp;N$1&amp;"P"&amp;$A30)*RTD("tos.rtd",,"DELTA","."&amp;N$2&amp;N$1&amp;"P"&amp;$A30))/1000),0),IF($A$2="VEX",IFERROR(IF($X$1="ABS",($A$4*$A$4*RTD("tos.rtd",,"VOLUME","."&amp;N$2&amp;N$1&amp;"C"&amp;$A30)*RTD("tos.rtd",,"GAMMA","."&amp;N$2&amp;N$1&amp;"C"&amp;$A30)+$A$4*$A$4*RTD("tos.rtd",,"VOLUME","."&amp;N$2&amp;N$1&amp;"P"&amp;$A30)*RTD("tos.rtd",,"GAMMA","."&amp;N$2&amp;N$1&amp;"P"&amp;$A30))/1000000,($A$4*$A$4*RTD("tos.rtd",,"VOLUME","."&amp;N$2&amp;N$1&amp;"C"&amp;$A30)*RTD("tos.rtd",,"GAMMA","."&amp;N$2&amp;N$1&amp;"C"&amp;$A30)-$A$4*$A$4*RTD("tos.rtd",,"VOLUME","."&amp;N$2&amp;N$1&amp;"P"&amp;$A30)*RTD("tos.rtd",,"GAMMA","."&amp;N$2&amp;N$1&amp;"P"&amp;$A30))/1000000),0),IF($A$2="GEX",IFERROR(IF($X$1="ABS",($A$4*$A$4*RTD("tos.rtd",,"OPEN_INT","."&amp;N$2&amp;N$1&amp;"C"&amp;$A30)*RTD("tos.rtd",,"GAMMA","."&amp;N$2&amp;N$1&amp;"C"&amp;$A30)+$A$4*$A$4*RTD("tos.rtd",,"OPEN_INT","."&amp;N$2&amp;N$1&amp;"P"&amp;$A30)*RTD("tos.rtd",,"GAMMA","."&amp;N$2&amp;N$1&amp;"P"&amp;$A30))/1000000,($A$4*$A$4*RTD("tos.rtd",,"OPEN_INT","."&amp;N$2&amp;N$1&amp;"C"&amp;$A30)*RTD("tos.rtd",,"GAMMA","."&amp;N$2&amp;N$1&amp;"C"&amp;$A30)-$A$4*$A$4*RTD("tos.rtd",,"OPEN_INT","."&amp;N$2&amp;N$1&amp;"P"&amp;$A30)*RTD("tos.rtd",,"GAMMA","."&amp;N$2&amp;N$1&amp;"P"&amp;$A30))/1000000),0),IF($A$2="SKEW",IFERROR(VALUE(IF(RTD("tos.rtd",,"IMPL_VOL","."&amp;N$2&amp;N$1&amp;"P"&amp;$A30)="N/A",0,RTD("tos.rtd",,"IMPL_VOL","."&amp;N$2&amp;N$1&amp;"P"&amp;$A30))),0)-IFERROR(VALUE(IF(RTD("tos.rtd",,"IMPL_VOL","."&amp;N$2&amp;N$1&amp;"C"&amp;$A30)="N/A",0,RTD("tos.rtd",,"IMPL_VOL","."&amp;N$2&amp;N$1&amp;"C"&amp;$A30))),0),IF($A$2="MAXPAIN",IF($A$4&gt;$A30,($A$4-$A30)*IF(RTD("tos.rtd",,"OPEN_INT","."&amp;N$2&amp;N$1&amp;"C"&amp;$A30)="N/A",0,RTD("tos.rtd",,"OPEN_INT","."&amp;N$2&amp;N$1&amp;"C"&amp;$A30)),0)+IF($A$4&lt;$A30,($A$5-$A$4)*IF(RTD("tos.rtd",,"OPEN_INT","."&amp;N$2&amp;N$1&amp;"P"&amp;$A30)="N/A",0,RTD("tos.rtd",,"OPEN_INT","."&amp;N$2&amp;N$1&amp;"P"&amp;$A30)),0),IF($X$1="ABS",IF(RTD("tos.rtd",,$A$2,"."&amp;N$2&amp;N$1&amp;"C"&amp;$A30)="N/A",0,RTD("tos.rtd",,$A$2,"."&amp;N$2&amp;N$1&amp;"C"&amp;$A30))+IF(RTD("tos.rtd",,$A$2,"."&amp;N$2&amp;N$1&amp;"P"&amp;$A30)="N/A",0,RTD("tos.rtd",,$A$2,"."&amp;N$2&amp;N$1&amp;"P"&amp;$A30)),IF(RTD("tos.rtd",,$A$2,"."&amp;N$2&amp;N$1&amp;"C"&amp;$A30)="N/A",0,RTD("tos.rtd",,$A$2,"."&amp;N$2&amp;N$1&amp;"C"&amp;$A30))-IF(RTD("tos.rtd",,$A$2,"."&amp;N$2&amp;N$1&amp;"P"&amp;$A30)="N/A",0,RTD("tos.rtd",,$A$2,"."&amp;N$2&amp;N$1&amp;"P"&amp;$A30))))))))))</f>
        <v>0</v>
      </c>
      <c r="O30" s="12">
        <f ca="1">IF($A$2="PREMIUM_OI",IFERROR(IF($X$1="ABS",(100*RTD("tos.rtd",,"OPEN_INT","."&amp;O$2&amp;O$1&amp;"C"&amp;$A30)*RTD("tos.rtd",,"LAST","."&amp;O$2&amp;O$1&amp;"C"&amp;$A30)+100*RTD("tos.rtd",,"OPEN_INT","."&amp;O$2&amp;O$1&amp;"P"&amp;$A30)*RTD("tos.rtd",,"LAST","."&amp;O$2&amp;O$1&amp;"P"&amp;$A30))/1000000,(100*RTD("tos.rtd",,"OPEN_INT","."&amp;O$2&amp;O$1&amp;"C"&amp;$A30)*RTD("tos.rtd",,"LAST","."&amp;O$2&amp;O$1&amp;"C"&amp;$A30)-100*RTD("tos.rtd",,"OPEN_INT","."&amp;O$2&amp;O$1&amp;"P"&amp;$A30)*RTD("tos.rtd",,"LAST","."&amp;O$2&amp;O$1&amp;"P"&amp;$A30))/1000000),0),IF($A$2="PREMIUM",IFERROR(IF($X$1="ABS",(100*RTD("tos.rtd",,"VOLUME","."&amp;O$2&amp;O$1&amp;"C"&amp;$A30)*RTD("tos.rtd",,"LAST","."&amp;O$2&amp;O$1&amp;"C"&amp;$A30)+100*RTD("tos.rtd",,"VOLUME","."&amp;O$2&amp;O$1&amp;"P"&amp;$A30)*RTD("tos.rtd",,"LAST","."&amp;O$2&amp;O$1&amp;"P"&amp;$A30))/1000000,(100*RTD("tos.rtd",,"VOLUME","."&amp;O$2&amp;O$1&amp;"C"&amp;$A30)*RTD("tos.rtd",,"LAST","."&amp;O$2&amp;O$1&amp;"C"&amp;$A30)-100*RTD("tos.rtd",,"VOLUME","."&amp;O$2&amp;O$1&amp;"P"&amp;$A30)*RTD("tos.rtd",,"LAST","."&amp;O$2&amp;O$1&amp;"P"&amp;$A30))/1000000),0),IF($A$2="DEX",IFERROR(IF($X$1="ABS",(100*RTD("tos.rtd",,"OPEN_INT","."&amp;O$2&amp;O$1&amp;"C"&amp;$A30)*RTD("tos.rtd",,"DELTA","."&amp;O$2&amp;O$1&amp;"C"&amp;$A30)+100*RTD("tos.rtd",,"OPEN_INT","."&amp;O$2&amp;O$1&amp;"P"&amp;$A30)*RTD("tos.rtd",,"DELTA","."&amp;O$2&amp;O$1&amp;"P"&amp;$A30))/1000,(100*RTD("tos.rtd",,"OPEN_INT","."&amp;O$2&amp;O$1&amp;"C"&amp;$A30)*RTD("tos.rtd",,"DELTA","."&amp;O$2&amp;O$1&amp;"C"&amp;$A30)-100*RTD("tos.rtd",,"OPEN_INT","."&amp;O$2&amp;O$1&amp;"P"&amp;$A30)*RTD("tos.rtd",,"DELTA","."&amp;O$2&amp;O$1&amp;"P"&amp;$A30))/1000),0),IF($A$2="VEX",IFERROR(IF($X$1="ABS",($A$4*$A$4*RTD("tos.rtd",,"VOLUME","."&amp;O$2&amp;O$1&amp;"C"&amp;$A30)*RTD("tos.rtd",,"GAMMA","."&amp;O$2&amp;O$1&amp;"C"&amp;$A30)+$A$4*$A$4*RTD("tos.rtd",,"VOLUME","."&amp;O$2&amp;O$1&amp;"P"&amp;$A30)*RTD("tos.rtd",,"GAMMA","."&amp;O$2&amp;O$1&amp;"P"&amp;$A30))/1000000,($A$4*$A$4*RTD("tos.rtd",,"VOLUME","."&amp;O$2&amp;O$1&amp;"C"&amp;$A30)*RTD("tos.rtd",,"GAMMA","."&amp;O$2&amp;O$1&amp;"C"&amp;$A30)-$A$4*$A$4*RTD("tos.rtd",,"VOLUME","."&amp;O$2&amp;O$1&amp;"P"&amp;$A30)*RTD("tos.rtd",,"GAMMA","."&amp;O$2&amp;O$1&amp;"P"&amp;$A30))/1000000),0),IF($A$2="GEX",IFERROR(IF($X$1="ABS",($A$4*$A$4*RTD("tos.rtd",,"OPEN_INT","."&amp;O$2&amp;O$1&amp;"C"&amp;$A30)*RTD("tos.rtd",,"GAMMA","."&amp;O$2&amp;O$1&amp;"C"&amp;$A30)+$A$4*$A$4*RTD("tos.rtd",,"OPEN_INT","."&amp;O$2&amp;O$1&amp;"P"&amp;$A30)*RTD("tos.rtd",,"GAMMA","."&amp;O$2&amp;O$1&amp;"P"&amp;$A30))/1000000,($A$4*$A$4*RTD("tos.rtd",,"OPEN_INT","."&amp;O$2&amp;O$1&amp;"C"&amp;$A30)*RTD("tos.rtd",,"GAMMA","."&amp;O$2&amp;O$1&amp;"C"&amp;$A30)-$A$4*$A$4*RTD("tos.rtd",,"OPEN_INT","."&amp;O$2&amp;O$1&amp;"P"&amp;$A30)*RTD("tos.rtd",,"GAMMA","."&amp;O$2&amp;O$1&amp;"P"&amp;$A30))/1000000),0),IF($A$2="SKEW",IFERROR(VALUE(IF(RTD("tos.rtd",,"IMPL_VOL","."&amp;O$2&amp;O$1&amp;"P"&amp;$A30)="N/A",0,RTD("tos.rtd",,"IMPL_VOL","."&amp;O$2&amp;O$1&amp;"P"&amp;$A30))),0)-IFERROR(VALUE(IF(RTD("tos.rtd",,"IMPL_VOL","."&amp;O$2&amp;O$1&amp;"C"&amp;$A30)="N/A",0,RTD("tos.rtd",,"IMPL_VOL","."&amp;O$2&amp;O$1&amp;"C"&amp;$A30))),0),IF($A$2="MAXPAIN",IF($A$4&gt;$A30,($A$4-$A30)*IF(RTD("tos.rtd",,"OPEN_INT","."&amp;O$2&amp;O$1&amp;"C"&amp;$A30)="N/A",0,RTD("tos.rtd",,"OPEN_INT","."&amp;O$2&amp;O$1&amp;"C"&amp;$A30)),0)+IF($A$4&lt;$A30,($A$5-$A$4)*IF(RTD("tos.rtd",,"OPEN_INT","."&amp;O$2&amp;O$1&amp;"P"&amp;$A30)="N/A",0,RTD("tos.rtd",,"OPEN_INT","."&amp;O$2&amp;O$1&amp;"P"&amp;$A30)),0),IF($X$1="ABS",IF(RTD("tos.rtd",,$A$2,"."&amp;O$2&amp;O$1&amp;"C"&amp;$A30)="N/A",0,RTD("tos.rtd",,$A$2,"."&amp;O$2&amp;O$1&amp;"C"&amp;$A30))+IF(RTD("tos.rtd",,$A$2,"."&amp;O$2&amp;O$1&amp;"P"&amp;$A30)="N/A",0,RTD("tos.rtd",,$A$2,"."&amp;O$2&amp;O$1&amp;"P"&amp;$A30)),IF(RTD("tos.rtd",,$A$2,"."&amp;O$2&amp;O$1&amp;"C"&amp;$A30)="N/A",0,RTD("tos.rtd",,$A$2,"."&amp;O$2&amp;O$1&amp;"C"&amp;$A30))-IF(RTD("tos.rtd",,$A$2,"."&amp;O$2&amp;O$1&amp;"P"&amp;$A30)="N/A",0,RTD("tos.rtd",,$A$2,"."&amp;O$2&amp;O$1&amp;"P"&amp;$A30))))))))))</f>
        <v>0</v>
      </c>
      <c r="P30" s="12">
        <f ca="1">IF($A$2="PREMIUM_OI",IFERROR(IF($X$1="ABS",(100*RTD("tos.rtd",,"OPEN_INT","."&amp;P$2&amp;P$1&amp;"C"&amp;$A30)*RTD("tos.rtd",,"LAST","."&amp;P$2&amp;P$1&amp;"C"&amp;$A30)+100*RTD("tos.rtd",,"OPEN_INT","."&amp;P$2&amp;P$1&amp;"P"&amp;$A30)*RTD("tos.rtd",,"LAST","."&amp;P$2&amp;P$1&amp;"P"&amp;$A30))/1000000,(100*RTD("tos.rtd",,"OPEN_INT","."&amp;P$2&amp;P$1&amp;"C"&amp;$A30)*RTD("tos.rtd",,"LAST","."&amp;P$2&amp;P$1&amp;"C"&amp;$A30)-100*RTD("tos.rtd",,"OPEN_INT","."&amp;P$2&amp;P$1&amp;"P"&amp;$A30)*RTD("tos.rtd",,"LAST","."&amp;P$2&amp;P$1&amp;"P"&amp;$A30))/1000000),0),IF($A$2="PREMIUM",IFERROR(IF($X$1="ABS",(100*RTD("tos.rtd",,"VOLUME","."&amp;P$2&amp;P$1&amp;"C"&amp;$A30)*RTD("tos.rtd",,"LAST","."&amp;P$2&amp;P$1&amp;"C"&amp;$A30)+100*RTD("tos.rtd",,"VOLUME","."&amp;P$2&amp;P$1&amp;"P"&amp;$A30)*RTD("tos.rtd",,"LAST","."&amp;P$2&amp;P$1&amp;"P"&amp;$A30))/1000000,(100*RTD("tos.rtd",,"VOLUME","."&amp;P$2&amp;P$1&amp;"C"&amp;$A30)*RTD("tos.rtd",,"LAST","."&amp;P$2&amp;P$1&amp;"C"&amp;$A30)-100*RTD("tos.rtd",,"VOLUME","."&amp;P$2&amp;P$1&amp;"P"&amp;$A30)*RTD("tos.rtd",,"LAST","."&amp;P$2&amp;P$1&amp;"P"&amp;$A30))/1000000),0),IF($A$2="DEX",IFERROR(IF($X$1="ABS",(100*RTD("tos.rtd",,"OPEN_INT","."&amp;P$2&amp;P$1&amp;"C"&amp;$A30)*RTD("tos.rtd",,"DELTA","."&amp;P$2&amp;P$1&amp;"C"&amp;$A30)+100*RTD("tos.rtd",,"OPEN_INT","."&amp;P$2&amp;P$1&amp;"P"&amp;$A30)*RTD("tos.rtd",,"DELTA","."&amp;P$2&amp;P$1&amp;"P"&amp;$A30))/1000,(100*RTD("tos.rtd",,"OPEN_INT","."&amp;P$2&amp;P$1&amp;"C"&amp;$A30)*RTD("tos.rtd",,"DELTA","."&amp;P$2&amp;P$1&amp;"C"&amp;$A30)-100*RTD("tos.rtd",,"OPEN_INT","."&amp;P$2&amp;P$1&amp;"P"&amp;$A30)*RTD("tos.rtd",,"DELTA","."&amp;P$2&amp;P$1&amp;"P"&amp;$A30))/1000),0),IF($A$2="VEX",IFERROR(IF($X$1="ABS",($A$4*$A$4*RTD("tos.rtd",,"VOLUME","."&amp;P$2&amp;P$1&amp;"C"&amp;$A30)*RTD("tos.rtd",,"GAMMA","."&amp;P$2&amp;P$1&amp;"C"&amp;$A30)+$A$4*$A$4*RTD("tos.rtd",,"VOLUME","."&amp;P$2&amp;P$1&amp;"P"&amp;$A30)*RTD("tos.rtd",,"GAMMA","."&amp;P$2&amp;P$1&amp;"P"&amp;$A30))/1000000,($A$4*$A$4*RTD("tos.rtd",,"VOLUME","."&amp;P$2&amp;P$1&amp;"C"&amp;$A30)*RTD("tos.rtd",,"GAMMA","."&amp;P$2&amp;P$1&amp;"C"&amp;$A30)-$A$4*$A$4*RTD("tos.rtd",,"VOLUME","."&amp;P$2&amp;P$1&amp;"P"&amp;$A30)*RTD("tos.rtd",,"GAMMA","."&amp;P$2&amp;P$1&amp;"P"&amp;$A30))/1000000),0),IF($A$2="GEX",IFERROR(IF($X$1="ABS",($A$4*$A$4*RTD("tos.rtd",,"OPEN_INT","."&amp;P$2&amp;P$1&amp;"C"&amp;$A30)*RTD("tos.rtd",,"GAMMA","."&amp;P$2&amp;P$1&amp;"C"&amp;$A30)+$A$4*$A$4*RTD("tos.rtd",,"OPEN_INT","."&amp;P$2&amp;P$1&amp;"P"&amp;$A30)*RTD("tos.rtd",,"GAMMA","."&amp;P$2&amp;P$1&amp;"P"&amp;$A30))/1000000,($A$4*$A$4*RTD("tos.rtd",,"OPEN_INT","."&amp;P$2&amp;P$1&amp;"C"&amp;$A30)*RTD("tos.rtd",,"GAMMA","."&amp;P$2&amp;P$1&amp;"C"&amp;$A30)-$A$4*$A$4*RTD("tos.rtd",,"OPEN_INT","."&amp;P$2&amp;P$1&amp;"P"&amp;$A30)*RTD("tos.rtd",,"GAMMA","."&amp;P$2&amp;P$1&amp;"P"&amp;$A30))/1000000),0),IF($A$2="SKEW",IFERROR(VALUE(IF(RTD("tos.rtd",,"IMPL_VOL","."&amp;P$2&amp;P$1&amp;"P"&amp;$A30)="N/A",0,RTD("tos.rtd",,"IMPL_VOL","."&amp;P$2&amp;P$1&amp;"P"&amp;$A30))),0)-IFERROR(VALUE(IF(RTD("tos.rtd",,"IMPL_VOL","."&amp;P$2&amp;P$1&amp;"C"&amp;$A30)="N/A",0,RTD("tos.rtd",,"IMPL_VOL","."&amp;P$2&amp;P$1&amp;"C"&amp;$A30))),0),IF($A$2="MAXPAIN",IF($A$4&gt;$A30,($A$4-$A30)*IF(RTD("tos.rtd",,"OPEN_INT","."&amp;P$2&amp;P$1&amp;"C"&amp;$A30)="N/A",0,RTD("tos.rtd",,"OPEN_INT","."&amp;P$2&amp;P$1&amp;"C"&amp;$A30)),0)+IF($A$4&lt;$A30,($A$5-$A$4)*IF(RTD("tos.rtd",,"OPEN_INT","."&amp;P$2&amp;P$1&amp;"P"&amp;$A30)="N/A",0,RTD("tos.rtd",,"OPEN_INT","."&amp;P$2&amp;P$1&amp;"P"&amp;$A30)),0),IF($X$1="ABS",IF(RTD("tos.rtd",,$A$2,"."&amp;P$2&amp;P$1&amp;"C"&amp;$A30)="N/A",0,RTD("tos.rtd",,$A$2,"."&amp;P$2&amp;P$1&amp;"C"&amp;$A30))+IF(RTD("tos.rtd",,$A$2,"."&amp;P$2&amp;P$1&amp;"P"&amp;$A30)="N/A",0,RTD("tos.rtd",,$A$2,"."&amp;P$2&amp;P$1&amp;"P"&amp;$A30)),IF(RTD("tos.rtd",,$A$2,"."&amp;P$2&amp;P$1&amp;"C"&amp;$A30)="N/A",0,RTD("tos.rtd",,$A$2,"."&amp;P$2&amp;P$1&amp;"C"&amp;$A30))-IF(RTD("tos.rtd",,$A$2,"."&amp;P$2&amp;P$1&amp;"P"&amp;$A30)="N/A",0,RTD("tos.rtd",,$A$2,"."&amp;P$2&amp;P$1&amp;"P"&amp;$A30))))))))))</f>
        <v>0</v>
      </c>
      <c r="Q30" s="12">
        <f ca="1">IF($A$2="PREMIUM_OI",IFERROR(IF($X$1="ABS",(100*RTD("tos.rtd",,"OPEN_INT","."&amp;Q$2&amp;Q$1&amp;"C"&amp;$A30)*RTD("tos.rtd",,"LAST","."&amp;Q$2&amp;Q$1&amp;"C"&amp;$A30)+100*RTD("tos.rtd",,"OPEN_INT","."&amp;Q$2&amp;Q$1&amp;"P"&amp;$A30)*RTD("tos.rtd",,"LAST","."&amp;Q$2&amp;Q$1&amp;"P"&amp;$A30))/1000000,(100*RTD("tos.rtd",,"OPEN_INT","."&amp;Q$2&amp;Q$1&amp;"C"&amp;$A30)*RTD("tos.rtd",,"LAST","."&amp;Q$2&amp;Q$1&amp;"C"&amp;$A30)-100*RTD("tos.rtd",,"OPEN_INT","."&amp;Q$2&amp;Q$1&amp;"P"&amp;$A30)*RTD("tos.rtd",,"LAST","."&amp;Q$2&amp;Q$1&amp;"P"&amp;$A30))/1000000),0),IF($A$2="PREMIUM",IFERROR(IF($X$1="ABS",(100*RTD("tos.rtd",,"VOLUME","."&amp;Q$2&amp;Q$1&amp;"C"&amp;$A30)*RTD("tos.rtd",,"LAST","."&amp;Q$2&amp;Q$1&amp;"C"&amp;$A30)+100*RTD("tos.rtd",,"VOLUME","."&amp;Q$2&amp;Q$1&amp;"P"&amp;$A30)*RTD("tos.rtd",,"LAST","."&amp;Q$2&amp;Q$1&amp;"P"&amp;$A30))/1000000,(100*RTD("tos.rtd",,"VOLUME","."&amp;Q$2&amp;Q$1&amp;"C"&amp;$A30)*RTD("tos.rtd",,"LAST","."&amp;Q$2&amp;Q$1&amp;"C"&amp;$A30)-100*RTD("tos.rtd",,"VOLUME","."&amp;Q$2&amp;Q$1&amp;"P"&amp;$A30)*RTD("tos.rtd",,"LAST","."&amp;Q$2&amp;Q$1&amp;"P"&amp;$A30))/1000000),0),IF($A$2="DEX",IFERROR(IF($X$1="ABS",(100*RTD("tos.rtd",,"OPEN_INT","."&amp;Q$2&amp;Q$1&amp;"C"&amp;$A30)*RTD("tos.rtd",,"DELTA","."&amp;Q$2&amp;Q$1&amp;"C"&amp;$A30)+100*RTD("tos.rtd",,"OPEN_INT","."&amp;Q$2&amp;Q$1&amp;"P"&amp;$A30)*RTD("tos.rtd",,"DELTA","."&amp;Q$2&amp;Q$1&amp;"P"&amp;$A30))/1000,(100*RTD("tos.rtd",,"OPEN_INT","."&amp;Q$2&amp;Q$1&amp;"C"&amp;$A30)*RTD("tos.rtd",,"DELTA","."&amp;Q$2&amp;Q$1&amp;"C"&amp;$A30)-100*RTD("tos.rtd",,"OPEN_INT","."&amp;Q$2&amp;Q$1&amp;"P"&amp;$A30)*RTD("tos.rtd",,"DELTA","."&amp;Q$2&amp;Q$1&amp;"P"&amp;$A30))/1000),0),IF($A$2="VEX",IFERROR(IF($X$1="ABS",($A$4*$A$4*RTD("tos.rtd",,"VOLUME","."&amp;Q$2&amp;Q$1&amp;"C"&amp;$A30)*RTD("tos.rtd",,"GAMMA","."&amp;Q$2&amp;Q$1&amp;"C"&amp;$A30)+$A$4*$A$4*RTD("tos.rtd",,"VOLUME","."&amp;Q$2&amp;Q$1&amp;"P"&amp;$A30)*RTD("tos.rtd",,"GAMMA","."&amp;Q$2&amp;Q$1&amp;"P"&amp;$A30))/1000000,($A$4*$A$4*RTD("tos.rtd",,"VOLUME","."&amp;Q$2&amp;Q$1&amp;"C"&amp;$A30)*RTD("tos.rtd",,"GAMMA","."&amp;Q$2&amp;Q$1&amp;"C"&amp;$A30)-$A$4*$A$4*RTD("tos.rtd",,"VOLUME","."&amp;Q$2&amp;Q$1&amp;"P"&amp;$A30)*RTD("tos.rtd",,"GAMMA","."&amp;Q$2&amp;Q$1&amp;"P"&amp;$A30))/1000000),0),IF($A$2="GEX",IFERROR(IF($X$1="ABS",($A$4*$A$4*RTD("tos.rtd",,"OPEN_INT","."&amp;Q$2&amp;Q$1&amp;"C"&amp;$A30)*RTD("tos.rtd",,"GAMMA","."&amp;Q$2&amp;Q$1&amp;"C"&amp;$A30)+$A$4*$A$4*RTD("tos.rtd",,"OPEN_INT","."&amp;Q$2&amp;Q$1&amp;"P"&amp;$A30)*RTD("tos.rtd",,"GAMMA","."&amp;Q$2&amp;Q$1&amp;"P"&amp;$A30))/1000000,($A$4*$A$4*RTD("tos.rtd",,"OPEN_INT","."&amp;Q$2&amp;Q$1&amp;"C"&amp;$A30)*RTD("tos.rtd",,"GAMMA","."&amp;Q$2&amp;Q$1&amp;"C"&amp;$A30)-$A$4*$A$4*RTD("tos.rtd",,"OPEN_INT","."&amp;Q$2&amp;Q$1&amp;"P"&amp;$A30)*RTD("tos.rtd",,"GAMMA","."&amp;Q$2&amp;Q$1&amp;"P"&amp;$A30))/1000000),0),IF($A$2="SKEW",IFERROR(VALUE(IF(RTD("tos.rtd",,"IMPL_VOL","."&amp;Q$2&amp;Q$1&amp;"P"&amp;$A30)="N/A",0,RTD("tos.rtd",,"IMPL_VOL","."&amp;Q$2&amp;Q$1&amp;"P"&amp;$A30))),0)-IFERROR(VALUE(IF(RTD("tos.rtd",,"IMPL_VOL","."&amp;Q$2&amp;Q$1&amp;"C"&amp;$A30)="N/A",0,RTD("tos.rtd",,"IMPL_VOL","."&amp;Q$2&amp;Q$1&amp;"C"&amp;$A30))),0),IF($A$2="MAXPAIN",IF($A$4&gt;$A30,($A$4-$A30)*IF(RTD("tos.rtd",,"OPEN_INT","."&amp;Q$2&amp;Q$1&amp;"C"&amp;$A30)="N/A",0,RTD("tos.rtd",,"OPEN_INT","."&amp;Q$2&amp;Q$1&amp;"C"&amp;$A30)),0)+IF($A$4&lt;$A30,($A$5-$A$4)*IF(RTD("tos.rtd",,"OPEN_INT","."&amp;Q$2&amp;Q$1&amp;"P"&amp;$A30)="N/A",0,RTD("tos.rtd",,"OPEN_INT","."&amp;Q$2&amp;Q$1&amp;"P"&amp;$A30)),0),IF($X$1="ABS",IF(RTD("tos.rtd",,$A$2,"."&amp;Q$2&amp;Q$1&amp;"C"&amp;$A30)="N/A",0,RTD("tos.rtd",,$A$2,"."&amp;Q$2&amp;Q$1&amp;"C"&amp;$A30))+IF(RTD("tos.rtd",,$A$2,"."&amp;Q$2&amp;Q$1&amp;"P"&amp;$A30)="N/A",0,RTD("tos.rtd",,$A$2,"."&amp;Q$2&amp;Q$1&amp;"P"&amp;$A30)),IF(RTD("tos.rtd",,$A$2,"."&amp;Q$2&amp;Q$1&amp;"C"&amp;$A30)="N/A",0,RTD("tos.rtd",,$A$2,"."&amp;Q$2&amp;Q$1&amp;"C"&amp;$A30))-IF(RTD("tos.rtd",,$A$2,"."&amp;Q$2&amp;Q$1&amp;"P"&amp;$A30)="N/A",0,RTD("tos.rtd",,$A$2,"."&amp;Q$2&amp;Q$1&amp;"P"&amp;$A30))))))))))</f>
        <v>0</v>
      </c>
      <c r="R30" s="12">
        <f ca="1">IF($A$2="PREMIUM_OI",IFERROR(IF($X$1="ABS",(100*RTD("tos.rtd",,"OPEN_INT","."&amp;R$2&amp;R$1&amp;"C"&amp;$A30)*RTD("tos.rtd",,"LAST","."&amp;R$2&amp;R$1&amp;"C"&amp;$A30)+100*RTD("tos.rtd",,"OPEN_INT","."&amp;R$2&amp;R$1&amp;"P"&amp;$A30)*RTD("tos.rtd",,"LAST","."&amp;R$2&amp;R$1&amp;"P"&amp;$A30))/1000000,(100*RTD("tos.rtd",,"OPEN_INT","."&amp;R$2&amp;R$1&amp;"C"&amp;$A30)*RTD("tos.rtd",,"LAST","."&amp;R$2&amp;R$1&amp;"C"&amp;$A30)-100*RTD("tos.rtd",,"OPEN_INT","."&amp;R$2&amp;R$1&amp;"P"&amp;$A30)*RTD("tos.rtd",,"LAST","."&amp;R$2&amp;R$1&amp;"P"&amp;$A30))/1000000),0),IF($A$2="PREMIUM",IFERROR(IF($X$1="ABS",(100*RTD("tos.rtd",,"VOLUME","."&amp;R$2&amp;R$1&amp;"C"&amp;$A30)*RTD("tos.rtd",,"LAST","."&amp;R$2&amp;R$1&amp;"C"&amp;$A30)+100*RTD("tos.rtd",,"VOLUME","."&amp;R$2&amp;R$1&amp;"P"&amp;$A30)*RTD("tos.rtd",,"LAST","."&amp;R$2&amp;R$1&amp;"P"&amp;$A30))/1000000,(100*RTD("tos.rtd",,"VOLUME","."&amp;R$2&amp;R$1&amp;"C"&amp;$A30)*RTD("tos.rtd",,"LAST","."&amp;R$2&amp;R$1&amp;"C"&amp;$A30)-100*RTD("tos.rtd",,"VOLUME","."&amp;R$2&amp;R$1&amp;"P"&amp;$A30)*RTD("tos.rtd",,"LAST","."&amp;R$2&amp;R$1&amp;"P"&amp;$A30))/1000000),0),IF($A$2="DEX",IFERROR(IF($X$1="ABS",(100*RTD("tos.rtd",,"OPEN_INT","."&amp;R$2&amp;R$1&amp;"C"&amp;$A30)*RTD("tos.rtd",,"DELTA","."&amp;R$2&amp;R$1&amp;"C"&amp;$A30)+100*RTD("tos.rtd",,"OPEN_INT","."&amp;R$2&amp;R$1&amp;"P"&amp;$A30)*RTD("tos.rtd",,"DELTA","."&amp;R$2&amp;R$1&amp;"P"&amp;$A30))/1000,(100*RTD("tos.rtd",,"OPEN_INT","."&amp;R$2&amp;R$1&amp;"C"&amp;$A30)*RTD("tos.rtd",,"DELTA","."&amp;R$2&amp;R$1&amp;"C"&amp;$A30)-100*RTD("tos.rtd",,"OPEN_INT","."&amp;R$2&amp;R$1&amp;"P"&amp;$A30)*RTD("tos.rtd",,"DELTA","."&amp;R$2&amp;R$1&amp;"P"&amp;$A30))/1000),0),IF($A$2="VEX",IFERROR(IF($X$1="ABS",($A$4*$A$4*RTD("tos.rtd",,"VOLUME","."&amp;R$2&amp;R$1&amp;"C"&amp;$A30)*RTD("tos.rtd",,"GAMMA","."&amp;R$2&amp;R$1&amp;"C"&amp;$A30)+$A$4*$A$4*RTD("tos.rtd",,"VOLUME","."&amp;R$2&amp;R$1&amp;"P"&amp;$A30)*RTD("tos.rtd",,"GAMMA","."&amp;R$2&amp;R$1&amp;"P"&amp;$A30))/1000000,($A$4*$A$4*RTD("tos.rtd",,"VOLUME","."&amp;R$2&amp;R$1&amp;"C"&amp;$A30)*RTD("tos.rtd",,"GAMMA","."&amp;R$2&amp;R$1&amp;"C"&amp;$A30)-$A$4*$A$4*RTD("tos.rtd",,"VOLUME","."&amp;R$2&amp;R$1&amp;"P"&amp;$A30)*RTD("tos.rtd",,"GAMMA","."&amp;R$2&amp;R$1&amp;"P"&amp;$A30))/1000000),0),IF($A$2="GEX",IFERROR(IF($X$1="ABS",($A$4*$A$4*RTD("tos.rtd",,"OPEN_INT","."&amp;R$2&amp;R$1&amp;"C"&amp;$A30)*RTD("tos.rtd",,"GAMMA","."&amp;R$2&amp;R$1&amp;"C"&amp;$A30)+$A$4*$A$4*RTD("tos.rtd",,"OPEN_INT","."&amp;R$2&amp;R$1&amp;"P"&amp;$A30)*RTD("tos.rtd",,"GAMMA","."&amp;R$2&amp;R$1&amp;"P"&amp;$A30))/1000000,($A$4*$A$4*RTD("tos.rtd",,"OPEN_INT","."&amp;R$2&amp;R$1&amp;"C"&amp;$A30)*RTD("tos.rtd",,"GAMMA","."&amp;R$2&amp;R$1&amp;"C"&amp;$A30)-$A$4*$A$4*RTD("tos.rtd",,"OPEN_INT","."&amp;R$2&amp;R$1&amp;"P"&amp;$A30)*RTD("tos.rtd",,"GAMMA","."&amp;R$2&amp;R$1&amp;"P"&amp;$A30))/1000000),0),IF($A$2="SKEW",IFERROR(VALUE(IF(RTD("tos.rtd",,"IMPL_VOL","."&amp;R$2&amp;R$1&amp;"P"&amp;$A30)="N/A",0,RTD("tos.rtd",,"IMPL_VOL","."&amp;R$2&amp;R$1&amp;"P"&amp;$A30))),0)-IFERROR(VALUE(IF(RTD("tos.rtd",,"IMPL_VOL","."&amp;R$2&amp;R$1&amp;"C"&amp;$A30)="N/A",0,RTD("tos.rtd",,"IMPL_VOL","."&amp;R$2&amp;R$1&amp;"C"&amp;$A30))),0),IF($A$2="MAXPAIN",IF($A$4&gt;$A30,($A$4-$A30)*IF(RTD("tos.rtd",,"OPEN_INT","."&amp;R$2&amp;R$1&amp;"C"&amp;$A30)="N/A",0,RTD("tos.rtd",,"OPEN_INT","."&amp;R$2&amp;R$1&amp;"C"&amp;$A30)),0)+IF($A$4&lt;$A30,($A$5-$A$4)*IF(RTD("tos.rtd",,"OPEN_INT","."&amp;R$2&amp;R$1&amp;"P"&amp;$A30)="N/A",0,RTD("tos.rtd",,"OPEN_INT","."&amp;R$2&amp;R$1&amp;"P"&amp;$A30)),0),IF($X$1="ABS",IF(RTD("tos.rtd",,$A$2,"."&amp;R$2&amp;R$1&amp;"C"&amp;$A30)="N/A",0,RTD("tos.rtd",,$A$2,"."&amp;R$2&amp;R$1&amp;"C"&amp;$A30))+IF(RTD("tos.rtd",,$A$2,"."&amp;R$2&amp;R$1&amp;"P"&amp;$A30)="N/A",0,RTD("tos.rtd",,$A$2,"."&amp;R$2&amp;R$1&amp;"P"&amp;$A30)),IF(RTD("tos.rtd",,$A$2,"."&amp;R$2&amp;R$1&amp;"C"&amp;$A30)="N/A",0,RTD("tos.rtd",,$A$2,"."&amp;R$2&amp;R$1&amp;"C"&amp;$A30))-IF(RTD("tos.rtd",,$A$2,"."&amp;R$2&amp;R$1&amp;"P"&amp;$A30)="N/A",0,RTD("tos.rtd",,$A$2,"."&amp;R$2&amp;R$1&amp;"P"&amp;$A30))))))))))</f>
        <v>0</v>
      </c>
      <c r="S30" s="12">
        <f ca="1">IF($A$2="PREMIUM_OI",IFERROR(IF($X$1="ABS",(100*RTD("tos.rtd",,"OPEN_INT","."&amp;S$2&amp;S$1&amp;"C"&amp;$A30)*RTD("tos.rtd",,"LAST","."&amp;S$2&amp;S$1&amp;"C"&amp;$A30)+100*RTD("tos.rtd",,"OPEN_INT","."&amp;S$2&amp;S$1&amp;"P"&amp;$A30)*RTD("tos.rtd",,"LAST","."&amp;S$2&amp;S$1&amp;"P"&amp;$A30))/1000000,(100*RTD("tos.rtd",,"OPEN_INT","."&amp;S$2&amp;S$1&amp;"C"&amp;$A30)*RTD("tos.rtd",,"LAST","."&amp;S$2&amp;S$1&amp;"C"&amp;$A30)-100*RTD("tos.rtd",,"OPEN_INT","."&amp;S$2&amp;S$1&amp;"P"&amp;$A30)*RTD("tos.rtd",,"LAST","."&amp;S$2&amp;S$1&amp;"P"&amp;$A30))/1000000),0),IF($A$2="PREMIUM",IFERROR(IF($X$1="ABS",(100*RTD("tos.rtd",,"VOLUME","."&amp;S$2&amp;S$1&amp;"C"&amp;$A30)*RTD("tos.rtd",,"LAST","."&amp;S$2&amp;S$1&amp;"C"&amp;$A30)+100*RTD("tos.rtd",,"VOLUME","."&amp;S$2&amp;S$1&amp;"P"&amp;$A30)*RTD("tos.rtd",,"LAST","."&amp;S$2&amp;S$1&amp;"P"&amp;$A30))/1000000,(100*RTD("tos.rtd",,"VOLUME","."&amp;S$2&amp;S$1&amp;"C"&amp;$A30)*RTD("tos.rtd",,"LAST","."&amp;S$2&amp;S$1&amp;"C"&amp;$A30)-100*RTD("tos.rtd",,"VOLUME","."&amp;S$2&amp;S$1&amp;"P"&amp;$A30)*RTD("tos.rtd",,"LAST","."&amp;S$2&amp;S$1&amp;"P"&amp;$A30))/1000000),0),IF($A$2="DEX",IFERROR(IF($X$1="ABS",(100*RTD("tos.rtd",,"OPEN_INT","."&amp;S$2&amp;S$1&amp;"C"&amp;$A30)*RTD("tos.rtd",,"DELTA","."&amp;S$2&amp;S$1&amp;"C"&amp;$A30)+100*RTD("tos.rtd",,"OPEN_INT","."&amp;S$2&amp;S$1&amp;"P"&amp;$A30)*RTD("tos.rtd",,"DELTA","."&amp;S$2&amp;S$1&amp;"P"&amp;$A30))/1000,(100*RTD("tos.rtd",,"OPEN_INT","."&amp;S$2&amp;S$1&amp;"C"&amp;$A30)*RTD("tos.rtd",,"DELTA","."&amp;S$2&amp;S$1&amp;"C"&amp;$A30)-100*RTD("tos.rtd",,"OPEN_INT","."&amp;S$2&amp;S$1&amp;"P"&amp;$A30)*RTD("tos.rtd",,"DELTA","."&amp;S$2&amp;S$1&amp;"P"&amp;$A30))/1000),0),IF($A$2="VEX",IFERROR(IF($X$1="ABS",($A$4*$A$4*RTD("tos.rtd",,"VOLUME","."&amp;S$2&amp;S$1&amp;"C"&amp;$A30)*RTD("tos.rtd",,"GAMMA","."&amp;S$2&amp;S$1&amp;"C"&amp;$A30)+$A$4*$A$4*RTD("tos.rtd",,"VOLUME","."&amp;S$2&amp;S$1&amp;"P"&amp;$A30)*RTD("tos.rtd",,"GAMMA","."&amp;S$2&amp;S$1&amp;"P"&amp;$A30))/1000000,($A$4*$A$4*RTD("tos.rtd",,"VOLUME","."&amp;S$2&amp;S$1&amp;"C"&amp;$A30)*RTD("tos.rtd",,"GAMMA","."&amp;S$2&amp;S$1&amp;"C"&amp;$A30)-$A$4*$A$4*RTD("tos.rtd",,"VOLUME","."&amp;S$2&amp;S$1&amp;"P"&amp;$A30)*RTD("tos.rtd",,"GAMMA","."&amp;S$2&amp;S$1&amp;"P"&amp;$A30))/1000000),0),IF($A$2="GEX",IFERROR(IF($X$1="ABS",($A$4*$A$4*RTD("tos.rtd",,"OPEN_INT","."&amp;S$2&amp;S$1&amp;"C"&amp;$A30)*RTD("tos.rtd",,"GAMMA","."&amp;S$2&amp;S$1&amp;"C"&amp;$A30)+$A$4*$A$4*RTD("tos.rtd",,"OPEN_INT","."&amp;S$2&amp;S$1&amp;"P"&amp;$A30)*RTD("tos.rtd",,"GAMMA","."&amp;S$2&amp;S$1&amp;"P"&amp;$A30))/1000000,($A$4*$A$4*RTD("tos.rtd",,"OPEN_INT","."&amp;S$2&amp;S$1&amp;"C"&amp;$A30)*RTD("tos.rtd",,"GAMMA","."&amp;S$2&amp;S$1&amp;"C"&amp;$A30)-$A$4*$A$4*RTD("tos.rtd",,"OPEN_INT","."&amp;S$2&amp;S$1&amp;"P"&amp;$A30)*RTD("tos.rtd",,"GAMMA","."&amp;S$2&amp;S$1&amp;"P"&amp;$A30))/1000000),0),IF($A$2="SKEW",IFERROR(VALUE(IF(RTD("tos.rtd",,"IMPL_VOL","."&amp;S$2&amp;S$1&amp;"P"&amp;$A30)="N/A",0,RTD("tos.rtd",,"IMPL_VOL","."&amp;S$2&amp;S$1&amp;"P"&amp;$A30))),0)-IFERROR(VALUE(IF(RTD("tos.rtd",,"IMPL_VOL","."&amp;S$2&amp;S$1&amp;"C"&amp;$A30)="N/A",0,RTD("tos.rtd",,"IMPL_VOL","."&amp;S$2&amp;S$1&amp;"C"&amp;$A30))),0),IF($A$2="MAXPAIN",IF($A$4&gt;$A30,($A$4-$A30)*IF(RTD("tos.rtd",,"OPEN_INT","."&amp;S$2&amp;S$1&amp;"C"&amp;$A30)="N/A",0,RTD("tos.rtd",,"OPEN_INT","."&amp;S$2&amp;S$1&amp;"C"&amp;$A30)),0)+IF($A$4&lt;$A30,($A$5-$A$4)*IF(RTD("tos.rtd",,"OPEN_INT","."&amp;S$2&amp;S$1&amp;"P"&amp;$A30)="N/A",0,RTD("tos.rtd",,"OPEN_INT","."&amp;S$2&amp;S$1&amp;"P"&amp;$A30)),0),IF($X$1="ABS",IF(RTD("tos.rtd",,$A$2,"."&amp;S$2&amp;S$1&amp;"C"&amp;$A30)="N/A",0,RTD("tos.rtd",,$A$2,"."&amp;S$2&amp;S$1&amp;"C"&amp;$A30))+IF(RTD("tos.rtd",,$A$2,"."&amp;S$2&amp;S$1&amp;"P"&amp;$A30)="N/A",0,RTD("tos.rtd",,$A$2,"."&amp;S$2&amp;S$1&amp;"P"&amp;$A30)),IF(RTD("tos.rtd",,$A$2,"."&amp;S$2&amp;S$1&amp;"C"&amp;$A30)="N/A",0,RTD("tos.rtd",,$A$2,"."&amp;S$2&amp;S$1&amp;"C"&amp;$A30))-IF(RTD("tos.rtd",,$A$2,"."&amp;S$2&amp;S$1&amp;"P"&amp;$A30)="N/A",0,RTD("tos.rtd",,$A$2,"."&amp;S$2&amp;S$1&amp;"P"&amp;$A30))))))))))</f>
        <v>0</v>
      </c>
      <c r="T30" s="12">
        <f ca="1">IF($A$2="PREMIUM_OI",IFERROR(IF($X$1="ABS",(100*RTD("tos.rtd",,"OPEN_INT","."&amp;T$2&amp;T$1&amp;"C"&amp;$A30)*RTD("tos.rtd",,"LAST","."&amp;T$2&amp;T$1&amp;"C"&amp;$A30)+100*RTD("tos.rtd",,"OPEN_INT","."&amp;T$2&amp;T$1&amp;"P"&amp;$A30)*RTD("tos.rtd",,"LAST","."&amp;T$2&amp;T$1&amp;"P"&amp;$A30))/1000000,(100*RTD("tos.rtd",,"OPEN_INT","."&amp;T$2&amp;T$1&amp;"C"&amp;$A30)*RTD("tos.rtd",,"LAST","."&amp;T$2&amp;T$1&amp;"C"&amp;$A30)-100*RTD("tos.rtd",,"OPEN_INT","."&amp;T$2&amp;T$1&amp;"P"&amp;$A30)*RTD("tos.rtd",,"LAST","."&amp;T$2&amp;T$1&amp;"P"&amp;$A30))/1000000),0),IF($A$2="PREMIUM",IFERROR(IF($X$1="ABS",(100*RTD("tos.rtd",,"VOLUME","."&amp;T$2&amp;T$1&amp;"C"&amp;$A30)*RTD("tos.rtd",,"LAST","."&amp;T$2&amp;T$1&amp;"C"&amp;$A30)+100*RTD("tos.rtd",,"VOLUME","."&amp;T$2&amp;T$1&amp;"P"&amp;$A30)*RTD("tos.rtd",,"LAST","."&amp;T$2&amp;T$1&amp;"P"&amp;$A30))/1000000,(100*RTD("tos.rtd",,"VOLUME","."&amp;T$2&amp;T$1&amp;"C"&amp;$A30)*RTD("tos.rtd",,"LAST","."&amp;T$2&amp;T$1&amp;"C"&amp;$A30)-100*RTD("tos.rtd",,"VOLUME","."&amp;T$2&amp;T$1&amp;"P"&amp;$A30)*RTD("tos.rtd",,"LAST","."&amp;T$2&amp;T$1&amp;"P"&amp;$A30))/1000000),0),IF($A$2="DEX",IFERROR(IF($X$1="ABS",(100*RTD("tos.rtd",,"OPEN_INT","."&amp;T$2&amp;T$1&amp;"C"&amp;$A30)*RTD("tos.rtd",,"DELTA","."&amp;T$2&amp;T$1&amp;"C"&amp;$A30)+100*RTD("tos.rtd",,"OPEN_INT","."&amp;T$2&amp;T$1&amp;"P"&amp;$A30)*RTD("tos.rtd",,"DELTA","."&amp;T$2&amp;T$1&amp;"P"&amp;$A30))/1000,(100*RTD("tos.rtd",,"OPEN_INT","."&amp;T$2&amp;T$1&amp;"C"&amp;$A30)*RTD("tos.rtd",,"DELTA","."&amp;T$2&amp;T$1&amp;"C"&amp;$A30)-100*RTD("tos.rtd",,"OPEN_INT","."&amp;T$2&amp;T$1&amp;"P"&amp;$A30)*RTD("tos.rtd",,"DELTA","."&amp;T$2&amp;T$1&amp;"P"&amp;$A30))/1000),0),IF($A$2="VEX",IFERROR(IF($X$1="ABS",($A$4*$A$4*RTD("tos.rtd",,"VOLUME","."&amp;T$2&amp;T$1&amp;"C"&amp;$A30)*RTD("tos.rtd",,"GAMMA","."&amp;T$2&amp;T$1&amp;"C"&amp;$A30)+$A$4*$A$4*RTD("tos.rtd",,"VOLUME","."&amp;T$2&amp;T$1&amp;"P"&amp;$A30)*RTD("tos.rtd",,"GAMMA","."&amp;T$2&amp;T$1&amp;"P"&amp;$A30))/1000000,($A$4*$A$4*RTD("tos.rtd",,"VOLUME","."&amp;T$2&amp;T$1&amp;"C"&amp;$A30)*RTD("tos.rtd",,"GAMMA","."&amp;T$2&amp;T$1&amp;"C"&amp;$A30)-$A$4*$A$4*RTD("tos.rtd",,"VOLUME","."&amp;T$2&amp;T$1&amp;"P"&amp;$A30)*RTD("tos.rtd",,"GAMMA","."&amp;T$2&amp;T$1&amp;"P"&amp;$A30))/1000000),0),IF($A$2="GEX",IFERROR(IF($X$1="ABS",($A$4*$A$4*RTD("tos.rtd",,"OPEN_INT","."&amp;T$2&amp;T$1&amp;"C"&amp;$A30)*RTD("tos.rtd",,"GAMMA","."&amp;T$2&amp;T$1&amp;"C"&amp;$A30)+$A$4*$A$4*RTD("tos.rtd",,"OPEN_INT","."&amp;T$2&amp;T$1&amp;"P"&amp;$A30)*RTD("tos.rtd",,"GAMMA","."&amp;T$2&amp;T$1&amp;"P"&amp;$A30))/1000000,($A$4*$A$4*RTD("tos.rtd",,"OPEN_INT","."&amp;T$2&amp;T$1&amp;"C"&amp;$A30)*RTD("tos.rtd",,"GAMMA","."&amp;T$2&amp;T$1&amp;"C"&amp;$A30)-$A$4*$A$4*RTD("tos.rtd",,"OPEN_INT","."&amp;T$2&amp;T$1&amp;"P"&amp;$A30)*RTD("tos.rtd",,"GAMMA","."&amp;T$2&amp;T$1&amp;"P"&amp;$A30))/1000000),0),IF($A$2="SKEW",IFERROR(VALUE(IF(RTD("tos.rtd",,"IMPL_VOL","."&amp;T$2&amp;T$1&amp;"P"&amp;$A30)="N/A",0,RTD("tos.rtd",,"IMPL_VOL","."&amp;T$2&amp;T$1&amp;"P"&amp;$A30))),0)-IFERROR(VALUE(IF(RTD("tos.rtd",,"IMPL_VOL","."&amp;T$2&amp;T$1&amp;"C"&amp;$A30)="N/A",0,RTD("tos.rtd",,"IMPL_VOL","."&amp;T$2&amp;T$1&amp;"C"&amp;$A30))),0),IF($A$2="MAXPAIN",IF($A$4&gt;$A30,($A$4-$A30)*IF(RTD("tos.rtd",,"OPEN_INT","."&amp;T$2&amp;T$1&amp;"C"&amp;$A30)="N/A",0,RTD("tos.rtd",,"OPEN_INT","."&amp;T$2&amp;T$1&amp;"C"&amp;$A30)),0)+IF($A$4&lt;$A30,($A$5-$A$4)*IF(RTD("tos.rtd",,"OPEN_INT","."&amp;T$2&amp;T$1&amp;"P"&amp;$A30)="N/A",0,RTD("tos.rtd",,"OPEN_INT","."&amp;T$2&amp;T$1&amp;"P"&amp;$A30)),0),IF($X$1="ABS",IF(RTD("tos.rtd",,$A$2,"."&amp;T$2&amp;T$1&amp;"C"&amp;$A30)="N/A",0,RTD("tos.rtd",,$A$2,"."&amp;T$2&amp;T$1&amp;"C"&amp;$A30))+IF(RTD("tos.rtd",,$A$2,"."&amp;T$2&amp;T$1&amp;"P"&amp;$A30)="N/A",0,RTD("tos.rtd",,$A$2,"."&amp;T$2&amp;T$1&amp;"P"&amp;$A30)),IF(RTD("tos.rtd",,$A$2,"."&amp;T$2&amp;T$1&amp;"C"&amp;$A30)="N/A",0,RTD("tos.rtd",,$A$2,"."&amp;T$2&amp;T$1&amp;"C"&amp;$A30))-IF(RTD("tos.rtd",,$A$2,"."&amp;T$2&amp;T$1&amp;"P"&amp;$A30)="N/A",0,RTD("tos.rtd",,$A$2,"."&amp;T$2&amp;T$1&amp;"P"&amp;$A30))))))))))</f>
        <v>0</v>
      </c>
      <c r="U30" s="12">
        <f ca="1">IF($A$2="PREMIUM_OI",IFERROR(IF($X$1="ABS",(100*RTD("tos.rtd",,"OPEN_INT","."&amp;U$2&amp;U$1&amp;"C"&amp;$A30)*RTD("tos.rtd",,"LAST","."&amp;U$2&amp;U$1&amp;"C"&amp;$A30)+100*RTD("tos.rtd",,"OPEN_INT","."&amp;U$2&amp;U$1&amp;"P"&amp;$A30)*RTD("tos.rtd",,"LAST","."&amp;U$2&amp;U$1&amp;"P"&amp;$A30))/1000000,(100*RTD("tos.rtd",,"OPEN_INT","."&amp;U$2&amp;U$1&amp;"C"&amp;$A30)*RTD("tos.rtd",,"LAST","."&amp;U$2&amp;U$1&amp;"C"&amp;$A30)-100*RTD("tos.rtd",,"OPEN_INT","."&amp;U$2&amp;U$1&amp;"P"&amp;$A30)*RTD("tos.rtd",,"LAST","."&amp;U$2&amp;U$1&amp;"P"&amp;$A30))/1000000),0),IF($A$2="PREMIUM",IFERROR(IF($X$1="ABS",(100*RTD("tos.rtd",,"VOLUME","."&amp;U$2&amp;U$1&amp;"C"&amp;$A30)*RTD("tos.rtd",,"LAST","."&amp;U$2&amp;U$1&amp;"C"&amp;$A30)+100*RTD("tos.rtd",,"VOLUME","."&amp;U$2&amp;U$1&amp;"P"&amp;$A30)*RTD("tos.rtd",,"LAST","."&amp;U$2&amp;U$1&amp;"P"&amp;$A30))/1000000,(100*RTD("tos.rtd",,"VOLUME","."&amp;U$2&amp;U$1&amp;"C"&amp;$A30)*RTD("tos.rtd",,"LAST","."&amp;U$2&amp;U$1&amp;"C"&amp;$A30)-100*RTD("tos.rtd",,"VOLUME","."&amp;U$2&amp;U$1&amp;"P"&amp;$A30)*RTD("tos.rtd",,"LAST","."&amp;U$2&amp;U$1&amp;"P"&amp;$A30))/1000000),0),IF($A$2="DEX",IFERROR(IF($X$1="ABS",(100*RTD("tos.rtd",,"OPEN_INT","."&amp;U$2&amp;U$1&amp;"C"&amp;$A30)*RTD("tos.rtd",,"DELTA","."&amp;U$2&amp;U$1&amp;"C"&amp;$A30)+100*RTD("tos.rtd",,"OPEN_INT","."&amp;U$2&amp;U$1&amp;"P"&amp;$A30)*RTD("tos.rtd",,"DELTA","."&amp;U$2&amp;U$1&amp;"P"&amp;$A30))/1000,(100*RTD("tos.rtd",,"OPEN_INT","."&amp;U$2&amp;U$1&amp;"C"&amp;$A30)*RTD("tos.rtd",,"DELTA","."&amp;U$2&amp;U$1&amp;"C"&amp;$A30)-100*RTD("tos.rtd",,"OPEN_INT","."&amp;U$2&amp;U$1&amp;"P"&amp;$A30)*RTD("tos.rtd",,"DELTA","."&amp;U$2&amp;U$1&amp;"P"&amp;$A30))/1000),0),IF($A$2="VEX",IFERROR(IF($X$1="ABS",($A$4*$A$4*RTD("tos.rtd",,"VOLUME","."&amp;U$2&amp;U$1&amp;"C"&amp;$A30)*RTD("tos.rtd",,"GAMMA","."&amp;U$2&amp;U$1&amp;"C"&amp;$A30)+$A$4*$A$4*RTD("tos.rtd",,"VOLUME","."&amp;U$2&amp;U$1&amp;"P"&amp;$A30)*RTD("tos.rtd",,"GAMMA","."&amp;U$2&amp;U$1&amp;"P"&amp;$A30))/1000000,($A$4*$A$4*RTD("tos.rtd",,"VOLUME","."&amp;U$2&amp;U$1&amp;"C"&amp;$A30)*RTD("tos.rtd",,"GAMMA","."&amp;U$2&amp;U$1&amp;"C"&amp;$A30)-$A$4*$A$4*RTD("tos.rtd",,"VOLUME","."&amp;U$2&amp;U$1&amp;"P"&amp;$A30)*RTD("tos.rtd",,"GAMMA","."&amp;U$2&amp;U$1&amp;"P"&amp;$A30))/1000000),0),IF($A$2="GEX",IFERROR(IF($X$1="ABS",($A$4*$A$4*RTD("tos.rtd",,"OPEN_INT","."&amp;U$2&amp;U$1&amp;"C"&amp;$A30)*RTD("tos.rtd",,"GAMMA","."&amp;U$2&amp;U$1&amp;"C"&amp;$A30)+$A$4*$A$4*RTD("tos.rtd",,"OPEN_INT","."&amp;U$2&amp;U$1&amp;"P"&amp;$A30)*RTD("tos.rtd",,"GAMMA","."&amp;U$2&amp;U$1&amp;"P"&amp;$A30))/1000000,($A$4*$A$4*RTD("tos.rtd",,"OPEN_INT","."&amp;U$2&amp;U$1&amp;"C"&amp;$A30)*RTD("tos.rtd",,"GAMMA","."&amp;U$2&amp;U$1&amp;"C"&amp;$A30)-$A$4*$A$4*RTD("tos.rtd",,"OPEN_INT","."&amp;U$2&amp;U$1&amp;"P"&amp;$A30)*RTD("tos.rtd",,"GAMMA","."&amp;U$2&amp;U$1&amp;"P"&amp;$A30))/1000000),0),IF($A$2="SKEW",IFERROR(VALUE(IF(RTD("tos.rtd",,"IMPL_VOL","."&amp;U$2&amp;U$1&amp;"P"&amp;$A30)="N/A",0,RTD("tos.rtd",,"IMPL_VOL","."&amp;U$2&amp;U$1&amp;"P"&amp;$A30))),0)-IFERROR(VALUE(IF(RTD("tos.rtd",,"IMPL_VOL","."&amp;U$2&amp;U$1&amp;"C"&amp;$A30)="N/A",0,RTD("tos.rtd",,"IMPL_VOL","."&amp;U$2&amp;U$1&amp;"C"&amp;$A30))),0),IF($A$2="MAXPAIN",IF($A$4&gt;$A30,($A$4-$A30)*IF(RTD("tos.rtd",,"OPEN_INT","."&amp;U$2&amp;U$1&amp;"C"&amp;$A30)="N/A",0,RTD("tos.rtd",,"OPEN_INT","."&amp;U$2&amp;U$1&amp;"C"&amp;$A30)),0)+IF($A$4&lt;$A30,($A$5-$A$4)*IF(RTD("tos.rtd",,"OPEN_INT","."&amp;U$2&amp;U$1&amp;"P"&amp;$A30)="N/A",0,RTD("tos.rtd",,"OPEN_INT","."&amp;U$2&amp;U$1&amp;"P"&amp;$A30)),0),IF($X$1="ABS",IF(RTD("tos.rtd",,$A$2,"."&amp;U$2&amp;U$1&amp;"C"&amp;$A30)="N/A",0,RTD("tos.rtd",,$A$2,"."&amp;U$2&amp;U$1&amp;"C"&amp;$A30))+IF(RTD("tos.rtd",,$A$2,"."&amp;U$2&amp;U$1&amp;"P"&amp;$A30)="N/A",0,RTD("tos.rtd",,$A$2,"."&amp;U$2&amp;U$1&amp;"P"&amp;$A30)),IF(RTD("tos.rtd",,$A$2,"."&amp;U$2&amp;U$1&amp;"C"&amp;$A30)="N/A",0,RTD("tos.rtd",,$A$2,"."&amp;U$2&amp;U$1&amp;"C"&amp;$A30))-IF(RTD("tos.rtd",,$A$2,"."&amp;U$2&amp;U$1&amp;"P"&amp;$A30)="N/A",0,RTD("tos.rtd",,$A$2,"."&amp;U$2&amp;U$1&amp;"P"&amp;$A30))))))))))</f>
        <v>0</v>
      </c>
      <c r="V30" s="12">
        <f ca="1">IF($A$2="PREMIUM_OI",IFERROR(IF($X$1="ABS",(100*RTD("tos.rtd",,"OPEN_INT","."&amp;V$2&amp;V$1&amp;"C"&amp;$A30)*RTD("tos.rtd",,"LAST","."&amp;V$2&amp;V$1&amp;"C"&amp;$A30)+100*RTD("tos.rtd",,"OPEN_INT","."&amp;V$2&amp;V$1&amp;"P"&amp;$A30)*RTD("tos.rtd",,"LAST","."&amp;V$2&amp;V$1&amp;"P"&amp;$A30))/1000000,(100*RTD("tos.rtd",,"OPEN_INT","."&amp;V$2&amp;V$1&amp;"C"&amp;$A30)*RTD("tos.rtd",,"LAST","."&amp;V$2&amp;V$1&amp;"C"&amp;$A30)-100*RTD("tos.rtd",,"OPEN_INT","."&amp;V$2&amp;V$1&amp;"P"&amp;$A30)*RTD("tos.rtd",,"LAST","."&amp;V$2&amp;V$1&amp;"P"&amp;$A30))/1000000),0),IF($A$2="PREMIUM",IFERROR(IF($X$1="ABS",(100*RTD("tos.rtd",,"VOLUME","."&amp;V$2&amp;V$1&amp;"C"&amp;$A30)*RTD("tos.rtd",,"LAST","."&amp;V$2&amp;V$1&amp;"C"&amp;$A30)+100*RTD("tos.rtd",,"VOLUME","."&amp;V$2&amp;V$1&amp;"P"&amp;$A30)*RTD("tos.rtd",,"LAST","."&amp;V$2&amp;V$1&amp;"P"&amp;$A30))/1000000,(100*RTD("tos.rtd",,"VOLUME","."&amp;V$2&amp;V$1&amp;"C"&amp;$A30)*RTD("tos.rtd",,"LAST","."&amp;V$2&amp;V$1&amp;"C"&amp;$A30)-100*RTD("tos.rtd",,"VOLUME","."&amp;V$2&amp;V$1&amp;"P"&amp;$A30)*RTD("tos.rtd",,"LAST","."&amp;V$2&amp;V$1&amp;"P"&amp;$A30))/1000000),0),IF($A$2="DEX",IFERROR(IF($X$1="ABS",(100*RTD("tos.rtd",,"OPEN_INT","."&amp;V$2&amp;V$1&amp;"C"&amp;$A30)*RTD("tos.rtd",,"DELTA","."&amp;V$2&amp;V$1&amp;"C"&amp;$A30)+100*RTD("tos.rtd",,"OPEN_INT","."&amp;V$2&amp;V$1&amp;"P"&amp;$A30)*RTD("tos.rtd",,"DELTA","."&amp;V$2&amp;V$1&amp;"P"&amp;$A30))/1000,(100*RTD("tos.rtd",,"OPEN_INT","."&amp;V$2&amp;V$1&amp;"C"&amp;$A30)*RTD("tos.rtd",,"DELTA","."&amp;V$2&amp;V$1&amp;"C"&amp;$A30)-100*RTD("tos.rtd",,"OPEN_INT","."&amp;V$2&amp;V$1&amp;"P"&amp;$A30)*RTD("tos.rtd",,"DELTA","."&amp;V$2&amp;V$1&amp;"P"&amp;$A30))/1000),0),IF($A$2="VEX",IFERROR(IF($X$1="ABS",($A$4*$A$4*RTD("tos.rtd",,"VOLUME","."&amp;V$2&amp;V$1&amp;"C"&amp;$A30)*RTD("tos.rtd",,"GAMMA","."&amp;V$2&amp;V$1&amp;"C"&amp;$A30)+$A$4*$A$4*RTD("tos.rtd",,"VOLUME","."&amp;V$2&amp;V$1&amp;"P"&amp;$A30)*RTD("tos.rtd",,"GAMMA","."&amp;V$2&amp;V$1&amp;"P"&amp;$A30))/1000000,($A$4*$A$4*RTD("tos.rtd",,"VOLUME","."&amp;V$2&amp;V$1&amp;"C"&amp;$A30)*RTD("tos.rtd",,"GAMMA","."&amp;V$2&amp;V$1&amp;"C"&amp;$A30)-$A$4*$A$4*RTD("tos.rtd",,"VOLUME","."&amp;V$2&amp;V$1&amp;"P"&amp;$A30)*RTD("tos.rtd",,"GAMMA","."&amp;V$2&amp;V$1&amp;"P"&amp;$A30))/1000000),0),IF($A$2="GEX",IFERROR(IF($X$1="ABS",($A$4*$A$4*RTD("tos.rtd",,"OPEN_INT","."&amp;V$2&amp;V$1&amp;"C"&amp;$A30)*RTD("tos.rtd",,"GAMMA","."&amp;V$2&amp;V$1&amp;"C"&amp;$A30)+$A$4*$A$4*RTD("tos.rtd",,"OPEN_INT","."&amp;V$2&amp;V$1&amp;"P"&amp;$A30)*RTD("tos.rtd",,"GAMMA","."&amp;V$2&amp;V$1&amp;"P"&amp;$A30))/1000000,($A$4*$A$4*RTD("tos.rtd",,"OPEN_INT","."&amp;V$2&amp;V$1&amp;"C"&amp;$A30)*RTD("tos.rtd",,"GAMMA","."&amp;V$2&amp;V$1&amp;"C"&amp;$A30)-$A$4*$A$4*RTD("tos.rtd",,"OPEN_INT","."&amp;V$2&amp;V$1&amp;"P"&amp;$A30)*RTD("tos.rtd",,"GAMMA","."&amp;V$2&amp;V$1&amp;"P"&amp;$A30))/1000000),0),IF($A$2="SKEW",IFERROR(VALUE(IF(RTD("tos.rtd",,"IMPL_VOL","."&amp;V$2&amp;V$1&amp;"P"&amp;$A30)="N/A",0,RTD("tos.rtd",,"IMPL_VOL","."&amp;V$2&amp;V$1&amp;"P"&amp;$A30))),0)-IFERROR(VALUE(IF(RTD("tos.rtd",,"IMPL_VOL","."&amp;V$2&amp;V$1&amp;"C"&amp;$A30)="N/A",0,RTD("tos.rtd",,"IMPL_VOL","."&amp;V$2&amp;V$1&amp;"C"&amp;$A30))),0),IF($A$2="MAXPAIN",IF($A$4&gt;$A30,($A$4-$A30)*IF(RTD("tos.rtd",,"OPEN_INT","."&amp;V$2&amp;V$1&amp;"C"&amp;$A30)="N/A",0,RTD("tos.rtd",,"OPEN_INT","."&amp;V$2&amp;V$1&amp;"C"&amp;$A30)),0)+IF($A$4&lt;$A30,($A$5-$A$4)*IF(RTD("tos.rtd",,"OPEN_INT","."&amp;V$2&amp;V$1&amp;"P"&amp;$A30)="N/A",0,RTD("tos.rtd",,"OPEN_INT","."&amp;V$2&amp;V$1&amp;"P"&amp;$A30)),0),IF($X$1="ABS",IF(RTD("tos.rtd",,$A$2,"."&amp;V$2&amp;V$1&amp;"C"&amp;$A30)="N/A",0,RTD("tos.rtd",,$A$2,"."&amp;V$2&amp;V$1&amp;"C"&amp;$A30))+IF(RTD("tos.rtd",,$A$2,"."&amp;V$2&amp;V$1&amp;"P"&amp;$A30)="N/A",0,RTD("tos.rtd",,$A$2,"."&amp;V$2&amp;V$1&amp;"P"&amp;$A30)),IF(RTD("tos.rtd",,$A$2,"."&amp;V$2&amp;V$1&amp;"C"&amp;$A30)="N/A",0,RTD("tos.rtd",,$A$2,"."&amp;V$2&amp;V$1&amp;"C"&amp;$A30))-IF(RTD("tos.rtd",,$A$2,"."&amp;V$2&amp;V$1&amp;"P"&amp;$A30)="N/A",0,RTD("tos.rtd",,$A$2,"."&amp;V$2&amp;V$1&amp;"P"&amp;$A30))))))))))</f>
        <v>0</v>
      </c>
      <c r="W30" s="54">
        <f ca="1">IF($A$2="PREMIUM_OI",IFERROR(IF($X$1="ABS",(100*RTD("tos.rtd",,"OPEN_INT","."&amp;W$2&amp;W$1&amp;"C"&amp;$A30)*RTD("tos.rtd",,"LAST","."&amp;W$2&amp;W$1&amp;"C"&amp;$A30)+100*RTD("tos.rtd",,"OPEN_INT","."&amp;W$2&amp;W$1&amp;"P"&amp;$A30)*RTD("tos.rtd",,"LAST","."&amp;W$2&amp;W$1&amp;"P"&amp;$A30))/1000000,(100*RTD("tos.rtd",,"OPEN_INT","."&amp;W$2&amp;W$1&amp;"C"&amp;$A30)*RTD("tos.rtd",,"LAST","."&amp;W$2&amp;W$1&amp;"C"&amp;$A30)-100*RTD("tos.rtd",,"OPEN_INT","."&amp;W$2&amp;W$1&amp;"P"&amp;$A30)*RTD("tos.rtd",,"LAST","."&amp;W$2&amp;W$1&amp;"P"&amp;$A30))/1000000),0),IF($A$2="PREMIUM",IFERROR(IF($X$1="ABS",(100*RTD("tos.rtd",,"VOLUME","."&amp;W$2&amp;W$1&amp;"C"&amp;$A30)*RTD("tos.rtd",,"LAST","."&amp;W$2&amp;W$1&amp;"C"&amp;$A30)+100*RTD("tos.rtd",,"VOLUME","."&amp;W$2&amp;W$1&amp;"P"&amp;$A30)*RTD("tos.rtd",,"LAST","."&amp;W$2&amp;W$1&amp;"P"&amp;$A30))/1000000,(100*RTD("tos.rtd",,"VOLUME","."&amp;W$2&amp;W$1&amp;"C"&amp;$A30)*RTD("tos.rtd",,"LAST","."&amp;W$2&amp;W$1&amp;"C"&amp;$A30)-100*RTD("tos.rtd",,"VOLUME","."&amp;W$2&amp;W$1&amp;"P"&amp;$A30)*RTD("tos.rtd",,"LAST","."&amp;W$2&amp;W$1&amp;"P"&amp;$A30))/1000000),0),IF($A$2="DEX",IFERROR(IF($X$1="ABS",(100*RTD("tos.rtd",,"OPEN_INT","."&amp;W$2&amp;W$1&amp;"C"&amp;$A30)*RTD("tos.rtd",,"DELTA","."&amp;W$2&amp;W$1&amp;"C"&amp;$A30)+100*RTD("tos.rtd",,"OPEN_INT","."&amp;W$2&amp;W$1&amp;"P"&amp;$A30)*RTD("tos.rtd",,"DELTA","."&amp;W$2&amp;W$1&amp;"P"&amp;$A30))/1000,(100*RTD("tos.rtd",,"OPEN_INT","."&amp;W$2&amp;W$1&amp;"C"&amp;$A30)*RTD("tos.rtd",,"DELTA","."&amp;W$2&amp;W$1&amp;"C"&amp;$A30)-100*RTD("tos.rtd",,"OPEN_INT","."&amp;W$2&amp;W$1&amp;"P"&amp;$A30)*RTD("tos.rtd",,"DELTA","."&amp;W$2&amp;W$1&amp;"P"&amp;$A30))/1000),0),IF($A$2="VEX",IFERROR(IF($X$1="ABS",($A$4*$A$4*RTD("tos.rtd",,"VOLUME","."&amp;W$2&amp;W$1&amp;"C"&amp;$A30)*RTD("tos.rtd",,"GAMMA","."&amp;W$2&amp;W$1&amp;"C"&amp;$A30)+$A$4*$A$4*RTD("tos.rtd",,"VOLUME","."&amp;W$2&amp;W$1&amp;"P"&amp;$A30)*RTD("tos.rtd",,"GAMMA","."&amp;W$2&amp;W$1&amp;"P"&amp;$A30))/1000000,($A$4*$A$4*RTD("tos.rtd",,"VOLUME","."&amp;W$2&amp;W$1&amp;"C"&amp;$A30)*RTD("tos.rtd",,"GAMMA","."&amp;W$2&amp;W$1&amp;"C"&amp;$A30)-$A$4*$A$4*RTD("tos.rtd",,"VOLUME","."&amp;W$2&amp;W$1&amp;"P"&amp;$A30)*RTD("tos.rtd",,"GAMMA","."&amp;W$2&amp;W$1&amp;"P"&amp;$A30))/1000000),0),IF($A$2="GEX",IFERROR(IF($X$1="ABS",($A$4*$A$4*RTD("tos.rtd",,"OPEN_INT","."&amp;W$2&amp;W$1&amp;"C"&amp;$A30)*RTD("tos.rtd",,"GAMMA","."&amp;W$2&amp;W$1&amp;"C"&amp;$A30)+$A$4*$A$4*RTD("tos.rtd",,"OPEN_INT","."&amp;W$2&amp;W$1&amp;"P"&amp;$A30)*RTD("tos.rtd",,"GAMMA","."&amp;W$2&amp;W$1&amp;"P"&amp;$A30))/1000000,($A$4*$A$4*RTD("tos.rtd",,"OPEN_INT","."&amp;W$2&amp;W$1&amp;"C"&amp;$A30)*RTD("tos.rtd",,"GAMMA","."&amp;W$2&amp;W$1&amp;"C"&amp;$A30)-$A$4*$A$4*RTD("tos.rtd",,"OPEN_INT","."&amp;W$2&amp;W$1&amp;"P"&amp;$A30)*RTD("tos.rtd",,"GAMMA","."&amp;W$2&amp;W$1&amp;"P"&amp;$A30))/1000000),0),IF($A$2="SKEW",IFERROR(VALUE(IF(RTD("tos.rtd",,"IMPL_VOL","."&amp;W$2&amp;W$1&amp;"P"&amp;$A30)="N/A",0,RTD("tos.rtd",,"IMPL_VOL","."&amp;W$2&amp;W$1&amp;"P"&amp;$A30))),0)-IFERROR(VALUE(IF(RTD("tos.rtd",,"IMPL_VOL","."&amp;W$2&amp;W$1&amp;"C"&amp;$A30)="N/A",0,RTD("tos.rtd",,"IMPL_VOL","."&amp;W$2&amp;W$1&amp;"C"&amp;$A30))),0),IF($A$2="MAXPAIN",IF($A$4&gt;$A30,($A$4-$A30)*IF(RTD("tos.rtd",,"OPEN_INT","."&amp;W$2&amp;W$1&amp;"C"&amp;$A30)="N/A",0,RTD("tos.rtd",,"OPEN_INT","."&amp;W$2&amp;W$1&amp;"C"&amp;$A30)),0)+IF($A$4&lt;$A30,($A$5-$A$4)*IF(RTD("tos.rtd",,"OPEN_INT","."&amp;W$2&amp;W$1&amp;"P"&amp;$A30)="N/A",0,RTD("tos.rtd",,"OPEN_INT","."&amp;W$2&amp;W$1&amp;"P"&amp;$A30)),0),IF($X$1="ABS",IF(RTD("tos.rtd",,$A$2,"."&amp;W$2&amp;W$1&amp;"C"&amp;$A30)="N/A",0,RTD("tos.rtd",,$A$2,"."&amp;W$2&amp;W$1&amp;"C"&amp;$A30))+IF(RTD("tos.rtd",,$A$2,"."&amp;W$2&amp;W$1&amp;"P"&amp;$A30)="N/A",0,RTD("tos.rtd",,$A$2,"."&amp;W$2&amp;W$1&amp;"P"&amp;$A30)),IF(RTD("tos.rtd",,$A$2,"."&amp;W$2&amp;W$1&amp;"C"&amp;$A30)="N/A",0,RTD("tos.rtd",,$A$2,"."&amp;W$2&amp;W$1&amp;"C"&amp;$A30))-IF(RTD("tos.rtd",,$A$2,"."&amp;W$2&amp;W$1&amp;"P"&amp;$A30)="N/A",0,RTD("tos.rtd",,$A$2,"."&amp;W$2&amp;W$1&amp;"P"&amp;$A30))))))))))</f>
        <v>0</v>
      </c>
      <c r="X30" s="57">
        <f t="shared" ca="1" si="8"/>
        <v>0</v>
      </c>
      <c r="Y30" s="27">
        <f t="shared" ca="1" si="9"/>
        <v>0</v>
      </c>
      <c r="Z30" s="27">
        <f ca="1">+'OI-VOL'!Y30</f>
        <v>100055</v>
      </c>
      <c r="AA30" s="27" t="b">
        <f t="shared" ca="1" si="10"/>
        <v>0</v>
      </c>
      <c r="AB30" s="27">
        <f t="shared" si="11"/>
        <v>17366900</v>
      </c>
      <c r="AC30" s="18">
        <f>MAX(0, $A30-AC$4)*IF(RTD("tos.rtd",,"OPEN_INT","."&amp;$AB$3&amp;$AB$4&amp;"C"&amp;AC$4)="N/A",0,RTD("tos.rtd",,"OPEN_INT","."&amp;$AB$3&amp;$AB$4&amp;"C"&amp;AC$4))*100 + MAX(0, AC$4-$A30)*IF(RTD("tos.rtd",,"OPEN_INT","."&amp;$AB$3&amp;$AB$4&amp;"P"&amp;AC$4)="N/A",0,RTD("tos.rtd",,"OPEN_INT","."&amp;$AB$3&amp;$AB$4&amp;"P"&amp;AC$4))*100</f>
        <v>0</v>
      </c>
      <c r="AD30" s="18">
        <f>MAX(0, $A30-AD$4)*IF(RTD("tos.rtd",,"OPEN_INT","."&amp;$AB$3&amp;$AB$4&amp;"C"&amp;AD$4)="N/A",0,RTD("tos.rtd",,"OPEN_INT","."&amp;$AB$3&amp;$AB$4&amp;"C"&amp;AD$4))*100 + MAX(0, AD$4-$A30)*IF(RTD("tos.rtd",,"OPEN_INT","."&amp;$AB$3&amp;$AB$4&amp;"P"&amp;AD$4)="N/A",0,RTD("tos.rtd",,"OPEN_INT","."&amp;$AB$3&amp;$AB$4&amp;"P"&amp;AD$4))*100</f>
        <v>0</v>
      </c>
      <c r="AE30" s="18">
        <f>MAX(0, $A30-AE$4)*IF(RTD("tos.rtd",,"OPEN_INT","."&amp;$AB$3&amp;$AB$4&amp;"C"&amp;AE$4)="N/A",0,RTD("tos.rtd",,"OPEN_INT","."&amp;$AB$3&amp;$AB$4&amp;"C"&amp;AE$4))*100 + MAX(0, AE$4-$A30)*IF(RTD("tos.rtd",,"OPEN_INT","."&amp;$AB$3&amp;$AB$4&amp;"P"&amp;AE$4)="N/A",0,RTD("tos.rtd",,"OPEN_INT","."&amp;$AB$3&amp;$AB$4&amp;"P"&amp;AE$4))*100</f>
        <v>0</v>
      </c>
      <c r="AF30" s="18">
        <f>MAX(0, $A30-AF$4)*IF(RTD("tos.rtd",,"OPEN_INT","."&amp;$AB$3&amp;$AB$4&amp;"C"&amp;AF$4)="N/A",0,RTD("tos.rtd",,"OPEN_INT","."&amp;$AB$3&amp;$AB$4&amp;"C"&amp;AF$4))*100 + MAX(0, AF$4-$A30)*IF(RTD("tos.rtd",,"OPEN_INT","."&amp;$AB$3&amp;$AB$4&amp;"P"&amp;AF$4)="N/A",0,RTD("tos.rtd",,"OPEN_INT","."&amp;$AB$3&amp;$AB$4&amp;"P"&amp;AF$4))*100</f>
        <v>0</v>
      </c>
      <c r="AG30" s="18">
        <f>MAX(0, $A30-AG$4)*IF(RTD("tos.rtd",,"OPEN_INT","."&amp;$AB$3&amp;$AB$4&amp;"C"&amp;AG$4)="N/A",0,RTD("tos.rtd",,"OPEN_INT","."&amp;$AB$3&amp;$AB$4&amp;"C"&amp;AG$4))*100 + MAX(0, AG$4-$A30)*IF(RTD("tos.rtd",,"OPEN_INT","."&amp;$AB$3&amp;$AB$4&amp;"P"&amp;AG$4)="N/A",0,RTD("tos.rtd",,"OPEN_INT","."&amp;$AB$3&amp;$AB$4&amp;"P"&amp;AG$4))*100</f>
        <v>0</v>
      </c>
      <c r="AH30" s="18">
        <f>MAX(0, $A30-AH$4)*IF(RTD("tos.rtd",,"OPEN_INT","."&amp;$AB$3&amp;$AB$4&amp;"C"&amp;AH$4)="N/A",0,RTD("tos.rtd",,"OPEN_INT","."&amp;$AB$3&amp;$AB$4&amp;"C"&amp;AH$4))*100 + MAX(0, AH$4-$A30)*IF(RTD("tos.rtd",,"OPEN_INT","."&amp;$AB$3&amp;$AB$4&amp;"P"&amp;AH$4)="N/A",0,RTD("tos.rtd",,"OPEN_INT","."&amp;$AB$3&amp;$AB$4&amp;"P"&amp;AH$4))*100</f>
        <v>0</v>
      </c>
      <c r="AI30" s="18">
        <f>MAX(0, $A30-AI$4)*IF(RTD("tos.rtd",,"OPEN_INT","."&amp;$AB$3&amp;$AB$4&amp;"C"&amp;AI$4)="N/A",0,RTD("tos.rtd",,"OPEN_INT","."&amp;$AB$3&amp;$AB$4&amp;"C"&amp;AI$4))*100 + MAX(0, AI$4-$A30)*IF(RTD("tos.rtd",,"OPEN_INT","."&amp;$AB$3&amp;$AB$4&amp;"P"&amp;AI$4)="N/A",0,RTD("tos.rtd",,"OPEN_INT","."&amp;$AB$3&amp;$AB$4&amp;"P"&amp;AI$4))*100</f>
        <v>0</v>
      </c>
      <c r="AJ30" s="18">
        <f>MAX(0, $A30-AJ$4)*IF(RTD("tos.rtd",,"OPEN_INT","."&amp;$AB$3&amp;$AB$4&amp;"C"&amp;AJ$4)="N/A",0,RTD("tos.rtd",,"OPEN_INT","."&amp;$AB$3&amp;$AB$4&amp;"C"&amp;AJ$4))*100 + MAX(0, AJ$4-$A30)*IF(RTD("tos.rtd",,"OPEN_INT","."&amp;$AB$3&amp;$AB$4&amp;"P"&amp;AJ$4)="N/A",0,RTD("tos.rtd",,"OPEN_INT","."&amp;$AB$3&amp;$AB$4&amp;"P"&amp;AJ$4))*100</f>
        <v>2700</v>
      </c>
      <c r="AK30" s="18">
        <f>MAX(0, $A30-AK$4)*IF(RTD("tos.rtd",,"OPEN_INT","."&amp;$AB$3&amp;$AB$4&amp;"C"&amp;AK$4)="N/A",0,RTD("tos.rtd",,"OPEN_INT","."&amp;$AB$3&amp;$AB$4&amp;"C"&amp;AK$4))*100 + MAX(0, AK$4-$A30)*IF(RTD("tos.rtd",,"OPEN_INT","."&amp;$AB$3&amp;$AB$4&amp;"P"&amp;AK$4)="N/A",0,RTD("tos.rtd",,"OPEN_INT","."&amp;$AB$3&amp;$AB$4&amp;"P"&amp;AK$4))*100</f>
        <v>6800</v>
      </c>
      <c r="AL30" s="18">
        <f>MAX(0, $A30-AL$4)*IF(RTD("tos.rtd",,"OPEN_INT","."&amp;$AB$3&amp;$AB$4&amp;"C"&amp;AL$4)="N/A",0,RTD("tos.rtd",,"OPEN_INT","."&amp;$AB$3&amp;$AB$4&amp;"C"&amp;AL$4))*100 + MAX(0, AL$4-$A30)*IF(RTD("tos.rtd",,"OPEN_INT","."&amp;$AB$3&amp;$AB$4&amp;"P"&amp;AL$4)="N/A",0,RTD("tos.rtd",,"OPEN_INT","."&amp;$AB$3&amp;$AB$4&amp;"P"&amp;AL$4))*100</f>
        <v>0</v>
      </c>
      <c r="AM30" s="18">
        <f>MAX(0, $A30-AM$4)*IF(RTD("tos.rtd",,"OPEN_INT","."&amp;$AB$3&amp;$AB$4&amp;"C"&amp;AM$4)="N/A",0,RTD("tos.rtd",,"OPEN_INT","."&amp;$AB$3&amp;$AB$4&amp;"C"&amp;AM$4))*100 + MAX(0, AM$4-$A30)*IF(RTD("tos.rtd",,"OPEN_INT","."&amp;$AB$3&amp;$AB$4&amp;"P"&amp;AM$4)="N/A",0,RTD("tos.rtd",,"OPEN_INT","."&amp;$AB$3&amp;$AB$4&amp;"P"&amp;AM$4))*100</f>
        <v>0</v>
      </c>
      <c r="AN30" s="18">
        <f>MAX(0, $A30-AN$4)*IF(RTD("tos.rtd",,"OPEN_INT","."&amp;$AB$3&amp;$AB$4&amp;"C"&amp;AN$4)="N/A",0,RTD("tos.rtd",,"OPEN_INT","."&amp;$AB$3&amp;$AB$4&amp;"C"&amp;AN$4))*100 + MAX(0, AN$4-$A30)*IF(RTD("tos.rtd",,"OPEN_INT","."&amp;$AB$3&amp;$AB$4&amp;"P"&amp;AN$4)="N/A",0,RTD("tos.rtd",,"OPEN_INT","."&amp;$AB$3&amp;$AB$4&amp;"P"&amp;AN$4))*100</f>
        <v>0</v>
      </c>
      <c r="AO30" s="18">
        <f>MAX(0, $A30-AO$4)*IF(RTD("tos.rtd",,"OPEN_INT","."&amp;$AB$3&amp;$AB$4&amp;"C"&amp;AO$4)="N/A",0,RTD("tos.rtd",,"OPEN_INT","."&amp;$AB$3&amp;$AB$4&amp;"C"&amp;AO$4))*100 + MAX(0, AO$4-$A30)*IF(RTD("tos.rtd",,"OPEN_INT","."&amp;$AB$3&amp;$AB$4&amp;"P"&amp;AO$4)="N/A",0,RTD("tos.rtd",,"OPEN_INT","."&amp;$AB$3&amp;$AB$4&amp;"P"&amp;AO$4))*100</f>
        <v>0</v>
      </c>
      <c r="AP30" s="18">
        <f>MAX(0, $A30-AP$4)*IF(RTD("tos.rtd",,"OPEN_INT","."&amp;$AB$3&amp;$AB$4&amp;"C"&amp;AP$4)="N/A",0,RTD("tos.rtd",,"OPEN_INT","."&amp;$AB$3&amp;$AB$4&amp;"C"&amp;AP$4))*100 + MAX(0, AP$4-$A30)*IF(RTD("tos.rtd",,"OPEN_INT","."&amp;$AB$3&amp;$AB$4&amp;"P"&amp;AP$4)="N/A",0,RTD("tos.rtd",,"OPEN_INT","."&amp;$AB$3&amp;$AB$4&amp;"P"&amp;AP$4))*100</f>
        <v>72000</v>
      </c>
      <c r="AQ30" s="18">
        <f>MAX(0, $A30-AQ$4)*IF(RTD("tos.rtd",,"OPEN_INT","."&amp;$AB$3&amp;$AB$4&amp;"C"&amp;AQ$4)="N/A",0,RTD("tos.rtd",,"OPEN_INT","."&amp;$AB$3&amp;$AB$4&amp;"C"&amp;AQ$4))*100 + MAX(0, AQ$4-$A30)*IF(RTD("tos.rtd",,"OPEN_INT","."&amp;$AB$3&amp;$AB$4&amp;"P"&amp;AQ$4)="N/A",0,RTD("tos.rtd",,"OPEN_INT","."&amp;$AB$3&amp;$AB$4&amp;"P"&amp;AQ$4))*100</f>
        <v>0</v>
      </c>
      <c r="AR30" s="18">
        <f>MAX(0, $A30-AR$4)*IF(RTD("tos.rtd",,"OPEN_INT","."&amp;$AB$3&amp;$AB$4&amp;"C"&amp;AR$4)="N/A",0,RTD("tos.rtd",,"OPEN_INT","."&amp;$AB$3&amp;$AB$4&amp;"C"&amp;AR$4))*100 + MAX(0, AR$4-$A30)*IF(RTD("tos.rtd",,"OPEN_INT","."&amp;$AB$3&amp;$AB$4&amp;"P"&amp;AR$4)="N/A",0,RTD("tos.rtd",,"OPEN_INT","."&amp;$AB$3&amp;$AB$4&amp;"P"&amp;AR$4))*100</f>
        <v>26500</v>
      </c>
      <c r="AS30" s="18">
        <f>MAX(0, $A30-AS$4)*IF(RTD("tos.rtd",,"OPEN_INT","."&amp;$AB$3&amp;$AB$4&amp;"C"&amp;AS$4)="N/A",0,RTD("tos.rtd",,"OPEN_INT","."&amp;$AB$3&amp;$AB$4&amp;"C"&amp;AS$4))*100 + MAX(0, AS$4-$A30)*IF(RTD("tos.rtd",,"OPEN_INT","."&amp;$AB$3&amp;$AB$4&amp;"P"&amp;AS$4)="N/A",0,RTD("tos.rtd",,"OPEN_INT","."&amp;$AB$3&amp;$AB$4&amp;"P"&amp;AS$4))*100</f>
        <v>2700</v>
      </c>
      <c r="AT30" s="18">
        <f>MAX(0, $A30-AT$4)*IF(RTD("tos.rtd",,"OPEN_INT","."&amp;$AB$3&amp;$AB$4&amp;"C"&amp;AT$4)="N/A",0,RTD("tos.rtd",,"OPEN_INT","."&amp;$AB$3&amp;$AB$4&amp;"C"&amp;AT$4))*100 + MAX(0, AT$4-$A30)*IF(RTD("tos.rtd",,"OPEN_INT","."&amp;$AB$3&amp;$AB$4&amp;"P"&amp;AT$4)="N/A",0,RTD("tos.rtd",,"OPEN_INT","."&amp;$AB$3&amp;$AB$4&amp;"P"&amp;AT$4))*100</f>
        <v>24800</v>
      </c>
      <c r="AU30" s="18">
        <f>MAX(0, $A30-AU$4)*IF(RTD("tos.rtd",,"OPEN_INT","."&amp;$AB$3&amp;$AB$4&amp;"C"&amp;AU$4)="N/A",0,RTD("tos.rtd",,"OPEN_INT","."&amp;$AB$3&amp;$AB$4&amp;"C"&amp;AU$4))*100 + MAX(0, AU$4-$A30)*IF(RTD("tos.rtd",,"OPEN_INT","."&amp;$AB$3&amp;$AB$4&amp;"P"&amp;AU$4)="N/A",0,RTD("tos.rtd",,"OPEN_INT","."&amp;$AB$3&amp;$AB$4&amp;"P"&amp;AU$4))*100</f>
        <v>24500</v>
      </c>
      <c r="AV30" s="18">
        <f>MAX(0, $A30-AV$4)*IF(RTD("tos.rtd",,"OPEN_INT","."&amp;$AB$3&amp;$AB$4&amp;"C"&amp;AV$4)="N/A",0,RTD("tos.rtd",,"OPEN_INT","."&amp;$AB$3&amp;$AB$4&amp;"C"&amp;AV$4))*100 + MAX(0, AV$4-$A30)*IF(RTD("tos.rtd",,"OPEN_INT","."&amp;$AB$3&amp;$AB$4&amp;"P"&amp;AV$4)="N/A",0,RTD("tos.rtd",,"OPEN_INT","."&amp;$AB$3&amp;$AB$4&amp;"P"&amp;AV$4))*100</f>
        <v>12000</v>
      </c>
      <c r="AW30" s="18">
        <f>MAX(0, $A30-AW$4)*IF(RTD("tos.rtd",,"OPEN_INT","."&amp;$AB$3&amp;$AB$4&amp;"C"&amp;AW$4)="N/A",0,RTD("tos.rtd",,"OPEN_INT","."&amp;$AB$3&amp;$AB$4&amp;"C"&amp;AW$4))*100 + MAX(0, AW$4-$A30)*IF(RTD("tos.rtd",,"OPEN_INT","."&amp;$AB$3&amp;$AB$4&amp;"P"&amp;AW$4)="N/A",0,RTD("tos.rtd",,"OPEN_INT","."&amp;$AB$3&amp;$AB$4&amp;"P"&amp;AW$4))*100</f>
        <v>40250</v>
      </c>
      <c r="AX30" s="18">
        <f>MAX(0, $A30-AX$4)*IF(RTD("tos.rtd",,"OPEN_INT","."&amp;$AB$3&amp;$AB$4&amp;"C"&amp;AX$4)="N/A",0,RTD("tos.rtd",,"OPEN_INT","."&amp;$AB$3&amp;$AB$4&amp;"C"&amp;AX$4))*100 + MAX(0, AX$4-$A30)*IF(RTD("tos.rtd",,"OPEN_INT","."&amp;$AB$3&amp;$AB$4&amp;"P"&amp;AX$4)="N/A",0,RTD("tos.rtd",,"OPEN_INT","."&amp;$AB$3&amp;$AB$4&amp;"P"&amp;AX$4))*100</f>
        <v>40400</v>
      </c>
      <c r="AY30" s="18">
        <f>MAX(0, $A30-AY$4)*IF(RTD("tos.rtd",,"OPEN_INT","."&amp;$AB$3&amp;$AB$4&amp;"C"&amp;AY$4)="N/A",0,RTD("tos.rtd",,"OPEN_INT","."&amp;$AB$3&amp;$AB$4&amp;"C"&amp;AY$4))*100 + MAX(0, AY$4-$A30)*IF(RTD("tos.rtd",,"OPEN_INT","."&amp;$AB$3&amp;$AB$4&amp;"P"&amp;AY$4)="N/A",0,RTD("tos.rtd",,"OPEN_INT","."&amp;$AB$3&amp;$AB$4&amp;"P"&amp;AY$4))*100</f>
        <v>37050</v>
      </c>
      <c r="AZ30" s="18">
        <f>MAX(0, $A30-AZ$4)*IF(RTD("tos.rtd",,"OPEN_INT","."&amp;$AB$3&amp;$AB$4&amp;"C"&amp;AZ$4)="N/A",0,RTD("tos.rtd",,"OPEN_INT","."&amp;$AB$3&amp;$AB$4&amp;"C"&amp;AZ$4))*100 + MAX(0, AZ$4-$A30)*IF(RTD("tos.rtd",,"OPEN_INT","."&amp;$AB$3&amp;$AB$4&amp;"P"&amp;AZ$4)="N/A",0,RTD("tos.rtd",,"OPEN_INT","."&amp;$AB$3&amp;$AB$4&amp;"P"&amp;AZ$4))*100</f>
        <v>207400</v>
      </c>
      <c r="BA30" s="18">
        <f>MAX(0, $A30-BA$4)*IF(RTD("tos.rtd",,"OPEN_INT","."&amp;$AB$3&amp;$AB$4&amp;"C"&amp;BA$4)="N/A",0,RTD("tos.rtd",,"OPEN_INT","."&amp;$AB$3&amp;$AB$4&amp;"C"&amp;BA$4))*100 + MAX(0, BA$4-$A30)*IF(RTD("tos.rtd",,"OPEN_INT","."&amp;$AB$3&amp;$AB$4&amp;"P"&amp;BA$4)="N/A",0,RTD("tos.rtd",,"OPEN_INT","."&amp;$AB$3&amp;$AB$4&amp;"P"&amp;BA$4))*100</f>
        <v>28400</v>
      </c>
      <c r="BB30" s="18">
        <f>MAX(0, $A30-BB$4)*IF(RTD("tos.rtd",,"OPEN_INT","."&amp;$AB$3&amp;$AB$4&amp;"C"&amp;BB$4)="N/A",0,RTD("tos.rtd",,"OPEN_INT","."&amp;$AB$3&amp;$AB$4&amp;"C"&amp;BB$4))*100 + MAX(0, BB$4-$A30)*IF(RTD("tos.rtd",,"OPEN_INT","."&amp;$AB$3&amp;$AB$4&amp;"P"&amp;BB$4)="N/A",0,RTD("tos.rtd",,"OPEN_INT","."&amp;$AB$3&amp;$AB$4&amp;"P"&amp;BB$4))*100</f>
        <v>0</v>
      </c>
      <c r="BC30" s="18">
        <f>MAX(0, $A30-BC$4)*IF(RTD("tos.rtd",,"OPEN_INT","."&amp;$AB$3&amp;$AB$4&amp;"C"&amp;BC$4)="N/A",0,RTD("tos.rtd",,"OPEN_INT","."&amp;$AB$3&amp;$AB$4&amp;"C"&amp;BC$4))*100 + MAX(0, BC$4-$A30)*IF(RTD("tos.rtd",,"OPEN_INT","."&amp;$AB$3&amp;$AB$4&amp;"P"&amp;BC$4)="N/A",0,RTD("tos.rtd",,"OPEN_INT","."&amp;$AB$3&amp;$AB$4&amp;"P"&amp;BC$4))*100</f>
        <v>1432900</v>
      </c>
      <c r="BD30" s="18">
        <f>MAX(0, $A30-BD$4)*IF(RTD("tos.rtd",,"OPEN_INT","."&amp;$AB$3&amp;$AB$4&amp;"C"&amp;BD$4)="N/A",0,RTD("tos.rtd",,"OPEN_INT","."&amp;$AB$3&amp;$AB$4&amp;"C"&amp;BD$4))*100 + MAX(0, BD$4-$A30)*IF(RTD("tos.rtd",,"OPEN_INT","."&amp;$AB$3&amp;$AB$4&amp;"P"&amp;BD$4)="N/A",0,RTD("tos.rtd",,"OPEN_INT","."&amp;$AB$3&amp;$AB$4&amp;"P"&amp;BD$4))*100</f>
        <v>4071300</v>
      </c>
      <c r="BE30" s="18">
        <f>MAX(0, $A30-BE$4)*IF(RTD("tos.rtd",,"OPEN_INT","."&amp;$AB$3&amp;$AB$4&amp;"C"&amp;BE$4)="N/A",0,RTD("tos.rtd",,"OPEN_INT","."&amp;$AB$3&amp;$AB$4&amp;"C"&amp;BE$4))*100 + MAX(0, BE$4-$A30)*IF(RTD("tos.rtd",,"OPEN_INT","."&amp;$AB$3&amp;$AB$4&amp;"P"&amp;BE$4)="N/A",0,RTD("tos.rtd",,"OPEN_INT","."&amp;$AB$3&amp;$AB$4&amp;"P"&amp;BE$4))*100</f>
        <v>2784000</v>
      </c>
      <c r="BF30" s="18">
        <f>MAX(0, $A30-BF$4)*IF(RTD("tos.rtd",,"OPEN_INT","."&amp;$AB$3&amp;$AB$4&amp;"C"&amp;BF$4)="N/A",0,RTD("tos.rtd",,"OPEN_INT","."&amp;$AB$3&amp;$AB$4&amp;"C"&amp;BF$4))*100 + MAX(0, BF$4-$A30)*IF(RTD("tos.rtd",,"OPEN_INT","."&amp;$AB$3&amp;$AB$4&amp;"P"&amp;BF$4)="N/A",0,RTD("tos.rtd",,"OPEN_INT","."&amp;$AB$3&amp;$AB$4&amp;"P"&amp;BF$4))*100</f>
        <v>3455600</v>
      </c>
      <c r="BG30" s="18">
        <f>MAX(0, $A30-BG$4)*IF(RTD("tos.rtd",,"OPEN_INT","."&amp;$AB$3&amp;$AB$4&amp;"C"&amp;BG$4)="N/A",0,RTD("tos.rtd",,"OPEN_INT","."&amp;$AB$3&amp;$AB$4&amp;"C"&amp;BG$4))*100 + MAX(0, BG$4-$A30)*IF(RTD("tos.rtd",,"OPEN_INT","."&amp;$AB$3&amp;$AB$4&amp;"P"&amp;BG$4)="N/A",0,RTD("tos.rtd",,"OPEN_INT","."&amp;$AB$3&amp;$AB$4&amp;"P"&amp;BG$4))*100</f>
        <v>2101750</v>
      </c>
      <c r="BH30" s="18">
        <f>MAX(0, $A30-BH$4)*IF(RTD("tos.rtd",,"OPEN_INT","."&amp;$AB$3&amp;$AB$4&amp;"C"&amp;BH$4)="N/A",0,RTD("tos.rtd",,"OPEN_INT","."&amp;$AB$3&amp;$AB$4&amp;"C"&amp;BH$4))*100 + MAX(0, BH$4-$A30)*IF(RTD("tos.rtd",,"OPEN_INT","."&amp;$AB$3&amp;$AB$4&amp;"P"&amp;BH$4)="N/A",0,RTD("tos.rtd",,"OPEN_INT","."&amp;$AB$3&amp;$AB$4&amp;"P"&amp;BH$4))*100</f>
        <v>1720200</v>
      </c>
      <c r="BI30" s="18">
        <f>MAX(0, $A30-BI$4)*IF(RTD("tos.rtd",,"OPEN_INT","."&amp;$AB$3&amp;$AB$4&amp;"C"&amp;BI$4)="N/A",0,RTD("tos.rtd",,"OPEN_INT","."&amp;$AB$3&amp;$AB$4&amp;"C"&amp;BI$4))*100 + MAX(0, BI$4-$A30)*IF(RTD("tos.rtd",,"OPEN_INT","."&amp;$AB$3&amp;$AB$4&amp;"P"&amp;BI$4)="N/A",0,RTD("tos.rtd",,"OPEN_INT","."&amp;$AB$3&amp;$AB$4&amp;"P"&amp;BI$4))*100</f>
        <v>680050</v>
      </c>
      <c r="BJ30" s="18">
        <f>MAX(0, $A30-BJ$4)*IF(RTD("tos.rtd",,"OPEN_INT","."&amp;$AB$3&amp;$AB$4&amp;"C"&amp;BJ$4)="N/A",0,RTD("tos.rtd",,"OPEN_INT","."&amp;$AB$3&amp;$AB$4&amp;"C"&amp;BJ$4))*100 + MAX(0, BJ$4-$A30)*IF(RTD("tos.rtd",,"OPEN_INT","."&amp;$AB$3&amp;$AB$4&amp;"P"&amp;BJ$4)="N/A",0,RTD("tos.rtd",,"OPEN_INT","."&amp;$AB$3&amp;$AB$4&amp;"P"&amp;BJ$4))*100</f>
        <v>336800</v>
      </c>
      <c r="BK30" s="18">
        <f>MAX(0, $A30-BK$4)*IF(RTD("tos.rtd",,"OPEN_INT","."&amp;$AB$3&amp;$AB$4&amp;"C"&amp;BK$4)="N/A",0,RTD("tos.rtd",,"OPEN_INT","."&amp;$AB$3&amp;$AB$4&amp;"C"&amp;BK$4))*100 + MAX(0, BK$4-$A30)*IF(RTD("tos.rtd",,"OPEN_INT","."&amp;$AB$3&amp;$AB$4&amp;"P"&amp;BK$4)="N/A",0,RTD("tos.rtd",,"OPEN_INT","."&amp;$AB$3&amp;$AB$4&amp;"P"&amp;BK$4))*100</f>
        <v>67950</v>
      </c>
      <c r="BL30" s="18">
        <f>MAX(0, $A30-BL$4)*IF(RTD("tos.rtd",,"OPEN_INT","."&amp;$AB$3&amp;$AB$4&amp;"C"&amp;BL$4)="N/A",0,RTD("tos.rtd",,"OPEN_INT","."&amp;$AB$3&amp;$AB$4&amp;"C"&amp;BL$4))*100 + MAX(0, BL$4-$A30)*IF(RTD("tos.rtd",,"OPEN_INT","."&amp;$AB$3&amp;$AB$4&amp;"P"&amp;BL$4)="N/A",0,RTD("tos.rtd",,"OPEN_INT","."&amp;$AB$3&amp;$AB$4&amp;"P"&amp;BL$4))*100</f>
        <v>130500</v>
      </c>
      <c r="BM30" s="18">
        <f>MAX(0, $A30-BM$4)*IF(RTD("tos.rtd",,"OPEN_INT","."&amp;$AB$3&amp;$AB$4&amp;"C"&amp;BM$4)="N/A",0,RTD("tos.rtd",,"OPEN_INT","."&amp;$AB$3&amp;$AB$4&amp;"C"&amp;BM$4))*100 + MAX(0, BM$4-$A30)*IF(RTD("tos.rtd",,"OPEN_INT","."&amp;$AB$3&amp;$AB$4&amp;"P"&amp;BM$4)="N/A",0,RTD("tos.rtd",,"OPEN_INT","."&amp;$AB$3&amp;$AB$4&amp;"P"&amp;BM$4))*100</f>
        <v>8800</v>
      </c>
      <c r="BN30" s="18">
        <f>MAX(0, $A30-BN$4)*IF(RTD("tos.rtd",,"OPEN_INT","."&amp;$AB$3&amp;$AB$4&amp;"C"&amp;BN$4)="N/A",0,RTD("tos.rtd",,"OPEN_INT","."&amp;$AB$3&amp;$AB$4&amp;"C"&amp;BN$4))*100 + MAX(0, BN$4-$A30)*IF(RTD("tos.rtd",,"OPEN_INT","."&amp;$AB$3&amp;$AB$4&amp;"P"&amp;BN$4)="N/A",0,RTD("tos.rtd",,"OPEN_INT","."&amp;$AB$3&amp;$AB$4&amp;"P"&amp;BN$4))*100</f>
        <v>4800</v>
      </c>
      <c r="BO30" s="18">
        <f>MAX(0, $A30-BO$4)*IF(RTD("tos.rtd",,"OPEN_INT","."&amp;$AB$3&amp;$AB$4&amp;"C"&amp;BO$4)="N/A",0,RTD("tos.rtd",,"OPEN_INT","."&amp;$AB$3&amp;$AB$4&amp;"C"&amp;BO$4))*100 + MAX(0, BO$4-$A30)*IF(RTD("tos.rtd",,"OPEN_INT","."&amp;$AB$3&amp;$AB$4&amp;"P"&amp;BO$4)="N/A",0,RTD("tos.rtd",,"OPEN_INT","."&amp;$AB$3&amp;$AB$4&amp;"P"&amp;BO$4))*100</f>
        <v>20150</v>
      </c>
      <c r="BP30" s="18">
        <f>MAX(0, $A30-BP$4)*IF(RTD("tos.rtd",,"OPEN_INT","."&amp;$AB$3&amp;$AB$4&amp;"C"&amp;BP$4)="N/A",0,RTD("tos.rtd",,"OPEN_INT","."&amp;$AB$3&amp;$AB$4&amp;"C"&amp;BP$4))*100 + MAX(0, BP$4-$A30)*IF(RTD("tos.rtd",,"OPEN_INT","."&amp;$AB$3&amp;$AB$4&amp;"P"&amp;BP$4)="N/A",0,RTD("tos.rtd",,"OPEN_INT","."&amp;$AB$3&amp;$AB$4&amp;"P"&amp;BP$4))*100</f>
        <v>26600</v>
      </c>
      <c r="BQ30" s="18">
        <f>MAX(0, $A30-BQ$4)*IF(RTD("tos.rtd",,"OPEN_INT","."&amp;$AB$3&amp;$AB$4&amp;"C"&amp;BQ$4)="N/A",0,RTD("tos.rtd",,"OPEN_INT","."&amp;$AB$3&amp;$AB$4&amp;"C"&amp;BQ$4))*100 + MAX(0, BQ$4-$A30)*IF(RTD("tos.rtd",,"OPEN_INT","."&amp;$AB$3&amp;$AB$4&amp;"P"&amp;BQ$4)="N/A",0,RTD("tos.rtd",,"OPEN_INT","."&amp;$AB$3&amp;$AB$4&amp;"P"&amp;BQ$4))*100</f>
        <v>0</v>
      </c>
      <c r="BR30" s="18">
        <f>MAX(0, $A30-BR$4)*IF(RTD("tos.rtd",,"OPEN_INT","."&amp;$AB$3&amp;$AB$4&amp;"C"&amp;BR$4)="N/A",0,RTD("tos.rtd",,"OPEN_INT","."&amp;$AB$3&amp;$AB$4&amp;"C"&amp;BR$4))*100 + MAX(0, BR$4-$A30)*IF(RTD("tos.rtd",,"OPEN_INT","."&amp;$AB$3&amp;$AB$4&amp;"P"&amp;BR$4)="N/A",0,RTD("tos.rtd",,"OPEN_INT","."&amp;$AB$3&amp;$AB$4&amp;"P"&amp;BR$4))*100</f>
        <v>0</v>
      </c>
      <c r="BS30" s="18">
        <f>MAX(0, $A30-BS$4)*IF(RTD("tos.rtd",,"OPEN_INT","."&amp;$AB$3&amp;$AB$4&amp;"C"&amp;BS$4)="N/A",0,RTD("tos.rtd",,"OPEN_INT","."&amp;$AB$3&amp;$AB$4&amp;"C"&amp;BS$4))*100 + MAX(0, BS$4-$A30)*IF(RTD("tos.rtd",,"OPEN_INT","."&amp;$AB$3&amp;$AB$4&amp;"P"&amp;BS$4)="N/A",0,RTD("tos.rtd",,"OPEN_INT","."&amp;$AB$3&amp;$AB$4&amp;"P"&amp;BS$4))*100</f>
        <v>0</v>
      </c>
      <c r="BT30" s="18">
        <f>MAX(0, $A30-BT$4)*IF(RTD("tos.rtd",,"OPEN_INT","."&amp;$AB$3&amp;$AB$4&amp;"C"&amp;BT$4)="N/A",0,RTD("tos.rtd",,"OPEN_INT","."&amp;$AB$3&amp;$AB$4&amp;"C"&amp;BT$4))*100 + MAX(0, BT$4-$A30)*IF(RTD("tos.rtd",,"OPEN_INT","."&amp;$AB$3&amp;$AB$4&amp;"P"&amp;BT$4)="N/A",0,RTD("tos.rtd",,"OPEN_INT","."&amp;$AB$3&amp;$AB$4&amp;"P"&amp;BT$4))*100</f>
        <v>0</v>
      </c>
      <c r="BU30" s="18">
        <f>MAX(0, $A30-BU$4)*IF(RTD("tos.rtd",,"OPEN_INT","."&amp;$AB$3&amp;$AB$4&amp;"C"&amp;BU$4)="N/A",0,RTD("tos.rtd",,"OPEN_INT","."&amp;$AB$3&amp;$AB$4&amp;"C"&amp;BU$4))*100 + MAX(0, BU$4-$A30)*IF(RTD("tos.rtd",,"OPEN_INT","."&amp;$AB$3&amp;$AB$4&amp;"P"&amp;BU$4)="N/A",0,RTD("tos.rtd",,"OPEN_INT","."&amp;$AB$3&amp;$AB$4&amp;"P"&amp;BU$4))*100</f>
        <v>0</v>
      </c>
      <c r="BV30" s="18">
        <f>MAX(0, $A30-BV$4)*IF(RTD("tos.rtd",,"OPEN_INT","."&amp;$AB$3&amp;$AB$4&amp;"C"&amp;BV$4)="N/A",0,RTD("tos.rtd",,"OPEN_INT","."&amp;$AB$3&amp;$AB$4&amp;"C"&amp;BV$4))*100 + MAX(0, BV$4-$A30)*IF(RTD("tos.rtd",,"OPEN_INT","."&amp;$AB$3&amp;$AB$4&amp;"P"&amp;BV$4)="N/A",0,RTD("tos.rtd",,"OPEN_INT","."&amp;$AB$3&amp;$AB$4&amp;"P"&amp;BV$4))*100</f>
        <v>0</v>
      </c>
      <c r="BW30" s="18">
        <f>MAX(0, $A30-BW$4)*IF(RTD("tos.rtd",,"OPEN_INT","."&amp;$AB$3&amp;$AB$4&amp;"C"&amp;BW$4)="N/A",0,RTD("tos.rtd",,"OPEN_INT","."&amp;$AB$3&amp;$AB$4&amp;"C"&amp;BW$4))*100 + MAX(0, BW$4-$A30)*IF(RTD("tos.rtd",,"OPEN_INT","."&amp;$AB$3&amp;$AB$4&amp;"P"&amp;BW$4)="N/A",0,RTD("tos.rtd",,"OPEN_INT","."&amp;$AB$3&amp;$AB$4&amp;"P"&amp;BW$4))*100</f>
        <v>0</v>
      </c>
    </row>
    <row r="31" spans="1:75" s="19" customFormat="1" ht="11.1" customHeight="1" thickBot="1" x14ac:dyDescent="0.3">
      <c r="A31" s="23">
        <f t="shared" si="12"/>
        <v>8.5</v>
      </c>
      <c r="B31" s="14">
        <f ca="1">IF($A$2="PREMIUM_OI",IFERROR(IF($X$1="ABS",(100*RTD("tos.rtd",,"OPEN_INT","."&amp;B$2&amp;B$1&amp;"C"&amp;$A31)*RTD("tos.rtd",,"LAST","."&amp;B$2&amp;B$1&amp;"C"&amp;$A31)+100*RTD("tos.rtd",,"OPEN_INT","."&amp;B$2&amp;B$1&amp;"P"&amp;$A31)*RTD("tos.rtd",,"LAST","."&amp;B$2&amp;B$1&amp;"P"&amp;$A31))/1000000,(100*RTD("tos.rtd",,"OPEN_INT","."&amp;B$2&amp;B$1&amp;"C"&amp;$A31)*RTD("tos.rtd",,"LAST","."&amp;B$2&amp;B$1&amp;"C"&amp;$A31)-100*RTD("tos.rtd",,"OPEN_INT","."&amp;B$2&amp;B$1&amp;"P"&amp;$A31)*RTD("tos.rtd",,"LAST","."&amp;B$2&amp;B$1&amp;"P"&amp;$A31))/1000000),0),IF($A$2="PREMIUM",IFERROR(IF($X$1="ABS",(100*RTD("tos.rtd",,"VOLUME","."&amp;B$2&amp;B$1&amp;"C"&amp;$A31)*RTD("tos.rtd",,"LAST","."&amp;B$2&amp;B$1&amp;"C"&amp;$A31)+100*RTD("tos.rtd",,"VOLUME","."&amp;B$2&amp;B$1&amp;"P"&amp;$A31)*RTD("tos.rtd",,"LAST","."&amp;B$2&amp;B$1&amp;"P"&amp;$A31))/1000000,(100*RTD("tos.rtd",,"VOLUME","."&amp;B$2&amp;B$1&amp;"C"&amp;$A31)*RTD("tos.rtd",,"LAST","."&amp;B$2&amp;B$1&amp;"C"&amp;$A31)-100*RTD("tos.rtd",,"VOLUME","."&amp;B$2&amp;B$1&amp;"P"&amp;$A31)*RTD("tos.rtd",,"LAST","."&amp;B$2&amp;B$1&amp;"P"&amp;$A31))/1000000),0),IF($A$2="DEX",IFERROR(IF($X$1="ABS",(100*RTD("tos.rtd",,"OPEN_INT","."&amp;B$2&amp;B$1&amp;"C"&amp;$A31)*RTD("tos.rtd",,"DELTA","."&amp;B$2&amp;B$1&amp;"C"&amp;$A31)+100*RTD("tos.rtd",,"OPEN_INT","."&amp;B$2&amp;B$1&amp;"P"&amp;$A31)*RTD("tos.rtd",,"DELTA","."&amp;B$2&amp;B$1&amp;"P"&amp;$A31))/1000,(100*RTD("tos.rtd",,"OPEN_INT","."&amp;B$2&amp;B$1&amp;"C"&amp;$A31)*RTD("tos.rtd",,"DELTA","."&amp;B$2&amp;B$1&amp;"C"&amp;$A31)-100*RTD("tos.rtd",,"OPEN_INT","."&amp;B$2&amp;B$1&amp;"P"&amp;$A31)*RTD("tos.rtd",,"DELTA","."&amp;B$2&amp;B$1&amp;"P"&amp;$A31))/1000),0),IF($A$2="VEX",IFERROR(IF($X$1="ABS",($A$4*$A$4*RTD("tos.rtd",,"VOLUME","."&amp;B$2&amp;B$1&amp;"C"&amp;$A31)*RTD("tos.rtd",,"GAMMA","."&amp;B$2&amp;B$1&amp;"C"&amp;$A31)+$A$4*$A$4*RTD("tos.rtd",,"VOLUME","."&amp;B$2&amp;B$1&amp;"P"&amp;$A31)*RTD("tos.rtd",,"GAMMA","."&amp;B$2&amp;B$1&amp;"P"&amp;$A31))/1000000,($A$4*$A$4*RTD("tos.rtd",,"VOLUME","."&amp;B$2&amp;B$1&amp;"C"&amp;$A31)*RTD("tos.rtd",,"GAMMA","."&amp;B$2&amp;B$1&amp;"C"&amp;$A31)-$A$4*$A$4*RTD("tos.rtd",,"VOLUME","."&amp;B$2&amp;B$1&amp;"P"&amp;$A31)*RTD("tos.rtd",,"GAMMA","."&amp;B$2&amp;B$1&amp;"P"&amp;$A31))/1000000),0),IF($A$2="GEX",IFERROR(IF($X$1="ABS",($A$4*$A$4*RTD("tos.rtd",,"OPEN_INT","."&amp;B$2&amp;B$1&amp;"C"&amp;$A31)*RTD("tos.rtd",,"GAMMA","."&amp;B$2&amp;B$1&amp;"C"&amp;$A31)+$A$4*$A$4*RTD("tos.rtd",,"OPEN_INT","."&amp;B$2&amp;B$1&amp;"P"&amp;$A31)*RTD("tos.rtd",,"GAMMA","."&amp;B$2&amp;B$1&amp;"P"&amp;$A31))/1000000,($A$4*$A$4*RTD("tos.rtd",,"OPEN_INT","."&amp;B$2&amp;B$1&amp;"C"&amp;$A31)*RTD("tos.rtd",,"GAMMA","."&amp;B$2&amp;B$1&amp;"C"&amp;$A31)-$A$4*$A$4*RTD("tos.rtd",,"OPEN_INT","."&amp;B$2&amp;B$1&amp;"P"&amp;$A31)*RTD("tos.rtd",,"GAMMA","."&amp;B$2&amp;B$1&amp;"P"&amp;$A31))/1000000),0),IF($A$2="SKEW",IFERROR(VALUE(IF(RTD("tos.rtd",,"IMPL_VOL","."&amp;B$2&amp;B$1&amp;"P"&amp;$A31)="N/A",0,RTD("tos.rtd",,"IMPL_VOL","."&amp;B$2&amp;B$1&amp;"P"&amp;$A31))),0)-IFERROR(VALUE(IF(RTD("tos.rtd",,"IMPL_VOL","."&amp;B$2&amp;B$1&amp;"C"&amp;$A31)="N/A",0,RTD("tos.rtd",,"IMPL_VOL","."&amp;B$2&amp;B$1&amp;"C"&amp;$A31))),0),IF($A$2="MAXPAIN",IF($A$4&gt;$A31,($A$4-$A31)*IF(RTD("tos.rtd",,"OPEN_INT","."&amp;B$2&amp;B$1&amp;"C"&amp;$A31)="N/A",0,RTD("tos.rtd",,"OPEN_INT","."&amp;B$2&amp;B$1&amp;"C"&amp;$A31)),0)+IF($A$4&lt;$A31,($A$5-$A$4)*IF(RTD("tos.rtd",,"OPEN_INT","."&amp;B$2&amp;B$1&amp;"P"&amp;$A31)="N/A",0,RTD("tos.rtd",,"OPEN_INT","."&amp;B$2&amp;B$1&amp;"P"&amp;$A31)),0),IF($X$1="ABS",IF(RTD("tos.rtd",,$A$2,"."&amp;B$2&amp;B$1&amp;"C"&amp;$A31)="N/A",0,RTD("tos.rtd",,$A$2,"."&amp;B$2&amp;B$1&amp;"C"&amp;$A31))+IF(RTD("tos.rtd",,$A$2,"."&amp;B$2&amp;B$1&amp;"P"&amp;$A31)="N/A",0,RTD("tos.rtd",,$A$2,"."&amp;B$2&amp;B$1&amp;"P"&amp;$A31)),IF(RTD("tos.rtd",,$A$2,"."&amp;B$2&amp;B$1&amp;"C"&amp;$A31)="N/A",0,RTD("tos.rtd",,$A$2,"."&amp;B$2&amp;B$1&amp;"C"&amp;$A31))-IF(RTD("tos.rtd",,$A$2,"."&amp;B$2&amp;B$1&amp;"P"&amp;$A31)="N/A",0,RTD("tos.rtd",,$A$2,"."&amp;B$2&amp;B$1&amp;"P"&amp;$A31))))))))))</f>
        <v>0</v>
      </c>
      <c r="C31" s="14">
        <f ca="1">IF($A$2="PREMIUM_OI",IFERROR(IF($X$1="ABS",(100*RTD("tos.rtd",,"OPEN_INT","."&amp;C$2&amp;C$1&amp;"C"&amp;$A31)*RTD("tos.rtd",,"LAST","."&amp;C$2&amp;C$1&amp;"C"&amp;$A31)+100*RTD("tos.rtd",,"OPEN_INT","."&amp;C$2&amp;C$1&amp;"P"&amp;$A31)*RTD("tos.rtd",,"LAST","."&amp;C$2&amp;C$1&amp;"P"&amp;$A31))/1000000,(100*RTD("tos.rtd",,"OPEN_INT","."&amp;C$2&amp;C$1&amp;"C"&amp;$A31)*RTD("tos.rtd",,"LAST","."&amp;C$2&amp;C$1&amp;"C"&amp;$A31)-100*RTD("tos.rtd",,"OPEN_INT","."&amp;C$2&amp;C$1&amp;"P"&amp;$A31)*RTD("tos.rtd",,"LAST","."&amp;C$2&amp;C$1&amp;"P"&amp;$A31))/1000000),0),IF($A$2="PREMIUM",IFERROR(IF($X$1="ABS",(100*RTD("tos.rtd",,"VOLUME","."&amp;C$2&amp;C$1&amp;"C"&amp;$A31)*RTD("tos.rtd",,"LAST","."&amp;C$2&amp;C$1&amp;"C"&amp;$A31)+100*RTD("tos.rtd",,"VOLUME","."&amp;C$2&amp;C$1&amp;"P"&amp;$A31)*RTD("tos.rtd",,"LAST","."&amp;C$2&amp;C$1&amp;"P"&amp;$A31))/1000000,(100*RTD("tos.rtd",,"VOLUME","."&amp;C$2&amp;C$1&amp;"C"&amp;$A31)*RTD("tos.rtd",,"LAST","."&amp;C$2&amp;C$1&amp;"C"&amp;$A31)-100*RTD("tos.rtd",,"VOLUME","."&amp;C$2&amp;C$1&amp;"P"&amp;$A31)*RTD("tos.rtd",,"LAST","."&amp;C$2&amp;C$1&amp;"P"&amp;$A31))/1000000),0),IF($A$2="DEX",IFERROR(IF($X$1="ABS",(100*RTD("tos.rtd",,"OPEN_INT","."&amp;C$2&amp;C$1&amp;"C"&amp;$A31)*RTD("tos.rtd",,"DELTA","."&amp;C$2&amp;C$1&amp;"C"&amp;$A31)+100*RTD("tos.rtd",,"OPEN_INT","."&amp;C$2&amp;C$1&amp;"P"&amp;$A31)*RTD("tos.rtd",,"DELTA","."&amp;C$2&amp;C$1&amp;"P"&amp;$A31))/1000,(100*RTD("tos.rtd",,"OPEN_INT","."&amp;C$2&amp;C$1&amp;"C"&amp;$A31)*RTD("tos.rtd",,"DELTA","."&amp;C$2&amp;C$1&amp;"C"&amp;$A31)-100*RTD("tos.rtd",,"OPEN_INT","."&amp;C$2&amp;C$1&amp;"P"&amp;$A31)*RTD("tos.rtd",,"DELTA","."&amp;C$2&amp;C$1&amp;"P"&amp;$A31))/1000),0),IF($A$2="VEX",IFERROR(IF($X$1="ABS",($A$4*$A$4*RTD("tos.rtd",,"VOLUME","."&amp;C$2&amp;C$1&amp;"C"&amp;$A31)*RTD("tos.rtd",,"GAMMA","."&amp;C$2&amp;C$1&amp;"C"&amp;$A31)+$A$4*$A$4*RTD("tos.rtd",,"VOLUME","."&amp;C$2&amp;C$1&amp;"P"&amp;$A31)*RTD("tos.rtd",,"GAMMA","."&amp;C$2&amp;C$1&amp;"P"&amp;$A31))/1000000,($A$4*$A$4*RTD("tos.rtd",,"VOLUME","."&amp;C$2&amp;C$1&amp;"C"&amp;$A31)*RTD("tos.rtd",,"GAMMA","."&amp;C$2&amp;C$1&amp;"C"&amp;$A31)-$A$4*$A$4*RTD("tos.rtd",,"VOLUME","."&amp;C$2&amp;C$1&amp;"P"&amp;$A31)*RTD("tos.rtd",,"GAMMA","."&amp;C$2&amp;C$1&amp;"P"&amp;$A31))/1000000),0),IF($A$2="GEX",IFERROR(IF($X$1="ABS",($A$4*$A$4*RTD("tos.rtd",,"OPEN_INT","."&amp;C$2&amp;C$1&amp;"C"&amp;$A31)*RTD("tos.rtd",,"GAMMA","."&amp;C$2&amp;C$1&amp;"C"&amp;$A31)+$A$4*$A$4*RTD("tos.rtd",,"OPEN_INT","."&amp;C$2&amp;C$1&amp;"P"&amp;$A31)*RTD("tos.rtd",,"GAMMA","."&amp;C$2&amp;C$1&amp;"P"&amp;$A31))/1000000,($A$4*$A$4*RTD("tos.rtd",,"OPEN_INT","."&amp;C$2&amp;C$1&amp;"C"&amp;$A31)*RTD("tos.rtd",,"GAMMA","."&amp;C$2&amp;C$1&amp;"C"&amp;$A31)-$A$4*$A$4*RTD("tos.rtd",,"OPEN_INT","."&amp;C$2&amp;C$1&amp;"P"&amp;$A31)*RTD("tos.rtd",,"GAMMA","."&amp;C$2&amp;C$1&amp;"P"&amp;$A31))/1000000),0),IF($A$2="SKEW",IFERROR(VALUE(IF(RTD("tos.rtd",,"IMPL_VOL","."&amp;C$2&amp;C$1&amp;"P"&amp;$A31)="N/A",0,RTD("tos.rtd",,"IMPL_VOL","."&amp;C$2&amp;C$1&amp;"P"&amp;$A31))),0)-IFERROR(VALUE(IF(RTD("tos.rtd",,"IMPL_VOL","."&amp;C$2&amp;C$1&amp;"C"&amp;$A31)="N/A",0,RTD("tos.rtd",,"IMPL_VOL","."&amp;C$2&amp;C$1&amp;"C"&amp;$A31))),0),IF($A$2="MAXPAIN",IF($A$4&gt;$A31,($A$4-$A31)*IF(RTD("tos.rtd",,"OPEN_INT","."&amp;C$2&amp;C$1&amp;"C"&amp;$A31)="N/A",0,RTD("tos.rtd",,"OPEN_INT","."&amp;C$2&amp;C$1&amp;"C"&amp;$A31)),0)+IF($A$4&lt;$A31,($A$5-$A$4)*IF(RTD("tos.rtd",,"OPEN_INT","."&amp;C$2&amp;C$1&amp;"P"&amp;$A31)="N/A",0,RTD("tos.rtd",,"OPEN_INT","."&amp;C$2&amp;C$1&amp;"P"&amp;$A31)),0),IF($X$1="ABS",IF(RTD("tos.rtd",,$A$2,"."&amp;C$2&amp;C$1&amp;"C"&amp;$A31)="N/A",0,RTD("tos.rtd",,$A$2,"."&amp;C$2&amp;C$1&amp;"C"&amp;$A31))+IF(RTD("tos.rtd",,$A$2,"."&amp;C$2&amp;C$1&amp;"P"&amp;$A31)="N/A",0,RTD("tos.rtd",,$A$2,"."&amp;C$2&amp;C$1&amp;"P"&amp;$A31)),IF(RTD("tos.rtd",,$A$2,"."&amp;C$2&amp;C$1&amp;"C"&amp;$A31)="N/A",0,RTD("tos.rtd",,$A$2,"."&amp;C$2&amp;C$1&amp;"C"&amp;$A31))-IF(RTD("tos.rtd",,$A$2,"."&amp;C$2&amp;C$1&amp;"P"&amp;$A31)="N/A",0,RTD("tos.rtd",,$A$2,"."&amp;C$2&amp;C$1&amp;"P"&amp;$A31))))))))))</f>
        <v>0</v>
      </c>
      <c r="D31" s="12">
        <f ca="1">IF($A$2="PREMIUM_OI",IFERROR(IF($X$1="ABS",(100*RTD("tos.rtd",,"OPEN_INT","."&amp;D$2&amp;D$1&amp;"C"&amp;$A31)*RTD("tos.rtd",,"LAST","."&amp;D$2&amp;D$1&amp;"C"&amp;$A31)+100*RTD("tos.rtd",,"OPEN_INT","."&amp;D$2&amp;D$1&amp;"P"&amp;$A31)*RTD("tos.rtd",,"LAST","."&amp;D$2&amp;D$1&amp;"P"&amp;$A31))/1000000,(100*RTD("tos.rtd",,"OPEN_INT","."&amp;D$2&amp;D$1&amp;"C"&amp;$A31)*RTD("tos.rtd",,"LAST","."&amp;D$2&amp;D$1&amp;"C"&amp;$A31)-100*RTD("tos.rtd",,"OPEN_INT","."&amp;D$2&amp;D$1&amp;"P"&amp;$A31)*RTD("tos.rtd",,"LAST","."&amp;D$2&amp;D$1&amp;"P"&amp;$A31))/1000000),0),IF($A$2="PREMIUM",IFERROR(IF($X$1="ABS",(100*RTD("tos.rtd",,"VOLUME","."&amp;D$2&amp;D$1&amp;"C"&amp;$A31)*RTD("tos.rtd",,"LAST","."&amp;D$2&amp;D$1&amp;"C"&amp;$A31)+100*RTD("tos.rtd",,"VOLUME","."&amp;D$2&amp;D$1&amp;"P"&amp;$A31)*RTD("tos.rtd",,"LAST","."&amp;D$2&amp;D$1&amp;"P"&amp;$A31))/1000000,(100*RTD("tos.rtd",,"VOLUME","."&amp;D$2&amp;D$1&amp;"C"&amp;$A31)*RTD("tos.rtd",,"LAST","."&amp;D$2&amp;D$1&amp;"C"&amp;$A31)-100*RTD("tos.rtd",,"VOLUME","."&amp;D$2&amp;D$1&amp;"P"&amp;$A31)*RTD("tos.rtd",,"LAST","."&amp;D$2&amp;D$1&amp;"P"&amp;$A31))/1000000),0),IF($A$2="DEX",IFERROR(IF($X$1="ABS",(100*RTD("tos.rtd",,"OPEN_INT","."&amp;D$2&amp;D$1&amp;"C"&amp;$A31)*RTD("tos.rtd",,"DELTA","."&amp;D$2&amp;D$1&amp;"C"&amp;$A31)+100*RTD("tos.rtd",,"OPEN_INT","."&amp;D$2&amp;D$1&amp;"P"&amp;$A31)*RTD("tos.rtd",,"DELTA","."&amp;D$2&amp;D$1&amp;"P"&amp;$A31))/1000,(100*RTD("tos.rtd",,"OPEN_INT","."&amp;D$2&amp;D$1&amp;"C"&amp;$A31)*RTD("tos.rtd",,"DELTA","."&amp;D$2&amp;D$1&amp;"C"&amp;$A31)-100*RTD("tos.rtd",,"OPEN_INT","."&amp;D$2&amp;D$1&amp;"P"&amp;$A31)*RTD("tos.rtd",,"DELTA","."&amp;D$2&amp;D$1&amp;"P"&amp;$A31))/1000),0),IF($A$2="VEX",IFERROR(IF($X$1="ABS",($A$4*$A$4*RTD("tos.rtd",,"VOLUME","."&amp;D$2&amp;D$1&amp;"C"&amp;$A31)*RTD("tos.rtd",,"GAMMA","."&amp;D$2&amp;D$1&amp;"C"&amp;$A31)+$A$4*$A$4*RTD("tos.rtd",,"VOLUME","."&amp;D$2&amp;D$1&amp;"P"&amp;$A31)*RTD("tos.rtd",,"GAMMA","."&amp;D$2&amp;D$1&amp;"P"&amp;$A31))/1000000,($A$4*$A$4*RTD("tos.rtd",,"VOLUME","."&amp;D$2&amp;D$1&amp;"C"&amp;$A31)*RTD("tos.rtd",,"GAMMA","."&amp;D$2&amp;D$1&amp;"C"&amp;$A31)-$A$4*$A$4*RTD("tos.rtd",,"VOLUME","."&amp;D$2&amp;D$1&amp;"P"&amp;$A31)*RTD("tos.rtd",,"GAMMA","."&amp;D$2&amp;D$1&amp;"P"&amp;$A31))/1000000),0),IF($A$2="GEX",IFERROR(IF($X$1="ABS",($A$4*$A$4*RTD("tos.rtd",,"OPEN_INT","."&amp;D$2&amp;D$1&amp;"C"&amp;$A31)*RTD("tos.rtd",,"GAMMA","."&amp;D$2&amp;D$1&amp;"C"&amp;$A31)+$A$4*$A$4*RTD("tos.rtd",,"OPEN_INT","."&amp;D$2&amp;D$1&amp;"P"&amp;$A31)*RTD("tos.rtd",,"GAMMA","."&amp;D$2&amp;D$1&amp;"P"&amp;$A31))/1000000,($A$4*$A$4*RTD("tos.rtd",,"OPEN_INT","."&amp;D$2&amp;D$1&amp;"C"&amp;$A31)*RTD("tos.rtd",,"GAMMA","."&amp;D$2&amp;D$1&amp;"C"&amp;$A31)-$A$4*$A$4*RTD("tos.rtd",,"OPEN_INT","."&amp;D$2&amp;D$1&amp;"P"&amp;$A31)*RTD("tos.rtd",,"GAMMA","."&amp;D$2&amp;D$1&amp;"P"&amp;$A31))/1000000),0),IF($A$2="SKEW",IFERROR(VALUE(IF(RTD("tos.rtd",,"IMPL_VOL","."&amp;D$2&amp;D$1&amp;"P"&amp;$A31)="N/A",0,RTD("tos.rtd",,"IMPL_VOL","."&amp;D$2&amp;D$1&amp;"P"&amp;$A31))),0)-IFERROR(VALUE(IF(RTD("tos.rtd",,"IMPL_VOL","."&amp;D$2&amp;D$1&amp;"C"&amp;$A31)="N/A",0,RTD("tos.rtd",,"IMPL_VOL","."&amp;D$2&amp;D$1&amp;"C"&amp;$A31))),0),IF($A$2="MAXPAIN",IF($A$4&gt;$A31,($A$4-$A31)*IF(RTD("tos.rtd",,"OPEN_INT","."&amp;D$2&amp;D$1&amp;"C"&amp;$A31)="N/A",0,RTD("tos.rtd",,"OPEN_INT","."&amp;D$2&amp;D$1&amp;"C"&amp;$A31)),0)+IF($A$4&lt;$A31,($A$5-$A$4)*IF(RTD("tos.rtd",,"OPEN_INT","."&amp;D$2&amp;D$1&amp;"P"&amp;$A31)="N/A",0,RTD("tos.rtd",,"OPEN_INT","."&amp;D$2&amp;D$1&amp;"P"&amp;$A31)),0),IF($X$1="ABS",IF(RTD("tos.rtd",,$A$2,"."&amp;D$2&amp;D$1&amp;"C"&amp;$A31)="N/A",0,RTD("tos.rtd",,$A$2,"."&amp;D$2&amp;D$1&amp;"C"&amp;$A31))+IF(RTD("tos.rtd",,$A$2,"."&amp;D$2&amp;D$1&amp;"P"&amp;$A31)="N/A",0,RTD("tos.rtd",,$A$2,"."&amp;D$2&amp;D$1&amp;"P"&amp;$A31)),IF(RTD("tos.rtd",,$A$2,"."&amp;D$2&amp;D$1&amp;"C"&amp;$A31)="N/A",0,RTD("tos.rtd",,$A$2,"."&amp;D$2&amp;D$1&amp;"C"&amp;$A31))-IF(RTD("tos.rtd",,$A$2,"."&amp;D$2&amp;D$1&amp;"P"&amp;$A31)="N/A",0,RTD("tos.rtd",,$A$2,"."&amp;D$2&amp;D$1&amp;"P"&amp;$A31))))))))))</f>
        <v>0</v>
      </c>
      <c r="E31" s="12">
        <f ca="1">IF($A$2="PREMIUM_OI",IFERROR(IF($X$1="ABS",(100*RTD("tos.rtd",,"OPEN_INT","."&amp;E$2&amp;E$1&amp;"C"&amp;$A31)*RTD("tos.rtd",,"LAST","."&amp;E$2&amp;E$1&amp;"C"&amp;$A31)+100*RTD("tos.rtd",,"OPEN_INT","."&amp;E$2&amp;E$1&amp;"P"&amp;$A31)*RTD("tos.rtd",,"LAST","."&amp;E$2&amp;E$1&amp;"P"&amp;$A31))/1000000,(100*RTD("tos.rtd",,"OPEN_INT","."&amp;E$2&amp;E$1&amp;"C"&amp;$A31)*RTD("tos.rtd",,"LAST","."&amp;E$2&amp;E$1&amp;"C"&amp;$A31)-100*RTD("tos.rtd",,"OPEN_INT","."&amp;E$2&amp;E$1&amp;"P"&amp;$A31)*RTD("tos.rtd",,"LAST","."&amp;E$2&amp;E$1&amp;"P"&amp;$A31))/1000000),0),IF($A$2="PREMIUM",IFERROR(IF($X$1="ABS",(100*RTD("tos.rtd",,"VOLUME","."&amp;E$2&amp;E$1&amp;"C"&amp;$A31)*RTD("tos.rtd",,"LAST","."&amp;E$2&amp;E$1&amp;"C"&amp;$A31)+100*RTD("tos.rtd",,"VOLUME","."&amp;E$2&amp;E$1&amp;"P"&amp;$A31)*RTD("tos.rtd",,"LAST","."&amp;E$2&amp;E$1&amp;"P"&amp;$A31))/1000000,(100*RTD("tos.rtd",,"VOLUME","."&amp;E$2&amp;E$1&amp;"C"&amp;$A31)*RTD("tos.rtd",,"LAST","."&amp;E$2&amp;E$1&amp;"C"&amp;$A31)-100*RTD("tos.rtd",,"VOLUME","."&amp;E$2&amp;E$1&amp;"P"&amp;$A31)*RTD("tos.rtd",,"LAST","."&amp;E$2&amp;E$1&amp;"P"&amp;$A31))/1000000),0),IF($A$2="DEX",IFERROR(IF($X$1="ABS",(100*RTD("tos.rtd",,"OPEN_INT","."&amp;E$2&amp;E$1&amp;"C"&amp;$A31)*RTD("tos.rtd",,"DELTA","."&amp;E$2&amp;E$1&amp;"C"&amp;$A31)+100*RTD("tos.rtd",,"OPEN_INT","."&amp;E$2&amp;E$1&amp;"P"&amp;$A31)*RTD("tos.rtd",,"DELTA","."&amp;E$2&amp;E$1&amp;"P"&amp;$A31))/1000,(100*RTD("tos.rtd",,"OPEN_INT","."&amp;E$2&amp;E$1&amp;"C"&amp;$A31)*RTD("tos.rtd",,"DELTA","."&amp;E$2&amp;E$1&amp;"C"&amp;$A31)-100*RTD("tos.rtd",,"OPEN_INT","."&amp;E$2&amp;E$1&amp;"P"&amp;$A31)*RTD("tos.rtd",,"DELTA","."&amp;E$2&amp;E$1&amp;"P"&amp;$A31))/1000),0),IF($A$2="VEX",IFERROR(IF($X$1="ABS",($A$4*$A$4*RTD("tos.rtd",,"VOLUME","."&amp;E$2&amp;E$1&amp;"C"&amp;$A31)*RTD("tos.rtd",,"GAMMA","."&amp;E$2&amp;E$1&amp;"C"&amp;$A31)+$A$4*$A$4*RTD("tos.rtd",,"VOLUME","."&amp;E$2&amp;E$1&amp;"P"&amp;$A31)*RTD("tos.rtd",,"GAMMA","."&amp;E$2&amp;E$1&amp;"P"&amp;$A31))/1000000,($A$4*$A$4*RTD("tos.rtd",,"VOLUME","."&amp;E$2&amp;E$1&amp;"C"&amp;$A31)*RTD("tos.rtd",,"GAMMA","."&amp;E$2&amp;E$1&amp;"C"&amp;$A31)-$A$4*$A$4*RTD("tos.rtd",,"VOLUME","."&amp;E$2&amp;E$1&amp;"P"&amp;$A31)*RTD("tos.rtd",,"GAMMA","."&amp;E$2&amp;E$1&amp;"P"&amp;$A31))/1000000),0),IF($A$2="GEX",IFERROR(IF($X$1="ABS",($A$4*$A$4*RTD("tos.rtd",,"OPEN_INT","."&amp;E$2&amp;E$1&amp;"C"&amp;$A31)*RTD("tos.rtd",,"GAMMA","."&amp;E$2&amp;E$1&amp;"C"&amp;$A31)+$A$4*$A$4*RTD("tos.rtd",,"OPEN_INT","."&amp;E$2&amp;E$1&amp;"P"&amp;$A31)*RTD("tos.rtd",,"GAMMA","."&amp;E$2&amp;E$1&amp;"P"&amp;$A31))/1000000,($A$4*$A$4*RTD("tos.rtd",,"OPEN_INT","."&amp;E$2&amp;E$1&amp;"C"&amp;$A31)*RTD("tos.rtd",,"GAMMA","."&amp;E$2&amp;E$1&amp;"C"&amp;$A31)-$A$4*$A$4*RTD("tos.rtd",,"OPEN_INT","."&amp;E$2&amp;E$1&amp;"P"&amp;$A31)*RTD("tos.rtd",,"GAMMA","."&amp;E$2&amp;E$1&amp;"P"&amp;$A31))/1000000),0),IF($A$2="SKEW",IFERROR(VALUE(IF(RTD("tos.rtd",,"IMPL_VOL","."&amp;E$2&amp;E$1&amp;"P"&amp;$A31)="N/A",0,RTD("tos.rtd",,"IMPL_VOL","."&amp;E$2&amp;E$1&amp;"P"&amp;$A31))),0)-IFERROR(VALUE(IF(RTD("tos.rtd",,"IMPL_VOL","."&amp;E$2&amp;E$1&amp;"C"&amp;$A31)="N/A",0,RTD("tos.rtd",,"IMPL_VOL","."&amp;E$2&amp;E$1&amp;"C"&amp;$A31))),0),IF($A$2="MAXPAIN",IF($A$4&gt;$A31,($A$4-$A31)*IF(RTD("tos.rtd",,"OPEN_INT","."&amp;E$2&amp;E$1&amp;"C"&amp;$A31)="N/A",0,RTD("tos.rtd",,"OPEN_INT","."&amp;E$2&amp;E$1&amp;"C"&amp;$A31)),0)+IF($A$4&lt;$A31,($A$5-$A$4)*IF(RTD("tos.rtd",,"OPEN_INT","."&amp;E$2&amp;E$1&amp;"P"&amp;$A31)="N/A",0,RTD("tos.rtd",,"OPEN_INT","."&amp;E$2&amp;E$1&amp;"P"&amp;$A31)),0),IF($X$1="ABS",IF(RTD("tos.rtd",,$A$2,"."&amp;E$2&amp;E$1&amp;"C"&amp;$A31)="N/A",0,RTD("tos.rtd",,$A$2,"."&amp;E$2&amp;E$1&amp;"C"&amp;$A31))+IF(RTD("tos.rtd",,$A$2,"."&amp;E$2&amp;E$1&amp;"P"&amp;$A31)="N/A",0,RTD("tos.rtd",,$A$2,"."&amp;E$2&amp;E$1&amp;"P"&amp;$A31)),IF(RTD("tos.rtd",,$A$2,"."&amp;E$2&amp;E$1&amp;"C"&amp;$A31)="N/A",0,RTD("tos.rtd",,$A$2,"."&amp;E$2&amp;E$1&amp;"C"&amp;$A31))-IF(RTD("tos.rtd",,$A$2,"."&amp;E$2&amp;E$1&amp;"P"&amp;$A31)="N/A",0,RTD("tos.rtd",,$A$2,"."&amp;E$2&amp;E$1&amp;"P"&amp;$A31))))))))))</f>
        <v>0</v>
      </c>
      <c r="F31" s="12">
        <f ca="1">IF($A$2="PREMIUM_OI",IFERROR(IF($X$1="ABS",(100*RTD("tos.rtd",,"OPEN_INT","."&amp;F$2&amp;F$1&amp;"C"&amp;$A31)*RTD("tos.rtd",,"LAST","."&amp;F$2&amp;F$1&amp;"C"&amp;$A31)+100*RTD("tos.rtd",,"OPEN_INT","."&amp;F$2&amp;F$1&amp;"P"&amp;$A31)*RTD("tos.rtd",,"LAST","."&amp;F$2&amp;F$1&amp;"P"&amp;$A31))/1000000,(100*RTD("tos.rtd",,"OPEN_INT","."&amp;F$2&amp;F$1&amp;"C"&amp;$A31)*RTD("tos.rtd",,"LAST","."&amp;F$2&amp;F$1&amp;"C"&amp;$A31)-100*RTD("tos.rtd",,"OPEN_INT","."&amp;F$2&amp;F$1&amp;"P"&amp;$A31)*RTD("tos.rtd",,"LAST","."&amp;F$2&amp;F$1&amp;"P"&amp;$A31))/1000000),0),IF($A$2="PREMIUM",IFERROR(IF($X$1="ABS",(100*RTD("tos.rtd",,"VOLUME","."&amp;F$2&amp;F$1&amp;"C"&amp;$A31)*RTD("tos.rtd",,"LAST","."&amp;F$2&amp;F$1&amp;"C"&amp;$A31)+100*RTD("tos.rtd",,"VOLUME","."&amp;F$2&amp;F$1&amp;"P"&amp;$A31)*RTD("tos.rtd",,"LAST","."&amp;F$2&amp;F$1&amp;"P"&amp;$A31))/1000000,(100*RTD("tos.rtd",,"VOLUME","."&amp;F$2&amp;F$1&amp;"C"&amp;$A31)*RTD("tos.rtd",,"LAST","."&amp;F$2&amp;F$1&amp;"C"&amp;$A31)-100*RTD("tos.rtd",,"VOLUME","."&amp;F$2&amp;F$1&amp;"P"&amp;$A31)*RTD("tos.rtd",,"LAST","."&amp;F$2&amp;F$1&amp;"P"&amp;$A31))/1000000),0),IF($A$2="DEX",IFERROR(IF($X$1="ABS",(100*RTD("tos.rtd",,"OPEN_INT","."&amp;F$2&amp;F$1&amp;"C"&amp;$A31)*RTD("tos.rtd",,"DELTA","."&amp;F$2&amp;F$1&amp;"C"&amp;$A31)+100*RTD("tos.rtd",,"OPEN_INT","."&amp;F$2&amp;F$1&amp;"P"&amp;$A31)*RTD("tos.rtd",,"DELTA","."&amp;F$2&amp;F$1&amp;"P"&amp;$A31))/1000,(100*RTD("tos.rtd",,"OPEN_INT","."&amp;F$2&amp;F$1&amp;"C"&amp;$A31)*RTD("tos.rtd",,"DELTA","."&amp;F$2&amp;F$1&amp;"C"&amp;$A31)-100*RTD("tos.rtd",,"OPEN_INT","."&amp;F$2&amp;F$1&amp;"P"&amp;$A31)*RTD("tos.rtd",,"DELTA","."&amp;F$2&amp;F$1&amp;"P"&amp;$A31))/1000),0),IF($A$2="VEX",IFERROR(IF($X$1="ABS",($A$4*$A$4*RTD("tos.rtd",,"VOLUME","."&amp;F$2&amp;F$1&amp;"C"&amp;$A31)*RTD("tos.rtd",,"GAMMA","."&amp;F$2&amp;F$1&amp;"C"&amp;$A31)+$A$4*$A$4*RTD("tos.rtd",,"VOLUME","."&amp;F$2&amp;F$1&amp;"P"&amp;$A31)*RTD("tos.rtd",,"GAMMA","."&amp;F$2&amp;F$1&amp;"P"&amp;$A31))/1000000,($A$4*$A$4*RTD("tos.rtd",,"VOLUME","."&amp;F$2&amp;F$1&amp;"C"&amp;$A31)*RTD("tos.rtd",,"GAMMA","."&amp;F$2&amp;F$1&amp;"C"&amp;$A31)-$A$4*$A$4*RTD("tos.rtd",,"VOLUME","."&amp;F$2&amp;F$1&amp;"P"&amp;$A31)*RTD("tos.rtd",,"GAMMA","."&amp;F$2&amp;F$1&amp;"P"&amp;$A31))/1000000),0),IF($A$2="GEX",IFERROR(IF($X$1="ABS",($A$4*$A$4*RTD("tos.rtd",,"OPEN_INT","."&amp;F$2&amp;F$1&amp;"C"&amp;$A31)*RTD("tos.rtd",,"GAMMA","."&amp;F$2&amp;F$1&amp;"C"&amp;$A31)+$A$4*$A$4*RTD("tos.rtd",,"OPEN_INT","."&amp;F$2&amp;F$1&amp;"P"&amp;$A31)*RTD("tos.rtd",,"GAMMA","."&amp;F$2&amp;F$1&amp;"P"&amp;$A31))/1000000,($A$4*$A$4*RTD("tos.rtd",,"OPEN_INT","."&amp;F$2&amp;F$1&amp;"C"&amp;$A31)*RTD("tos.rtd",,"GAMMA","."&amp;F$2&amp;F$1&amp;"C"&amp;$A31)-$A$4*$A$4*RTD("tos.rtd",,"OPEN_INT","."&amp;F$2&amp;F$1&amp;"P"&amp;$A31)*RTD("tos.rtd",,"GAMMA","."&amp;F$2&amp;F$1&amp;"P"&amp;$A31))/1000000),0),IF($A$2="SKEW",IFERROR(VALUE(IF(RTD("tos.rtd",,"IMPL_VOL","."&amp;F$2&amp;F$1&amp;"P"&amp;$A31)="N/A",0,RTD("tos.rtd",,"IMPL_VOL","."&amp;F$2&amp;F$1&amp;"P"&amp;$A31))),0)-IFERROR(VALUE(IF(RTD("tos.rtd",,"IMPL_VOL","."&amp;F$2&amp;F$1&amp;"C"&amp;$A31)="N/A",0,RTD("tos.rtd",,"IMPL_VOL","."&amp;F$2&amp;F$1&amp;"C"&amp;$A31))),0),IF($A$2="MAXPAIN",IF($A$4&gt;$A31,($A$4-$A31)*IF(RTD("tos.rtd",,"OPEN_INT","."&amp;F$2&amp;F$1&amp;"C"&amp;$A31)="N/A",0,RTD("tos.rtd",,"OPEN_INT","."&amp;F$2&amp;F$1&amp;"C"&amp;$A31)),0)+IF($A$4&lt;$A31,($A$5-$A$4)*IF(RTD("tos.rtd",,"OPEN_INT","."&amp;F$2&amp;F$1&amp;"P"&amp;$A31)="N/A",0,RTD("tos.rtd",,"OPEN_INT","."&amp;F$2&amp;F$1&amp;"P"&amp;$A31)),0),IF($X$1="ABS",IF(RTD("tos.rtd",,$A$2,"."&amp;F$2&amp;F$1&amp;"C"&amp;$A31)="N/A",0,RTD("tos.rtd",,$A$2,"."&amp;F$2&amp;F$1&amp;"C"&amp;$A31))+IF(RTD("tos.rtd",,$A$2,"."&amp;F$2&amp;F$1&amp;"P"&amp;$A31)="N/A",0,RTD("tos.rtd",,$A$2,"."&amp;F$2&amp;F$1&amp;"P"&amp;$A31)),IF(RTD("tos.rtd",,$A$2,"."&amp;F$2&amp;F$1&amp;"C"&amp;$A31)="N/A",0,RTD("tos.rtd",,$A$2,"."&amp;F$2&amp;F$1&amp;"C"&amp;$A31))-IF(RTD("tos.rtd",,$A$2,"."&amp;F$2&amp;F$1&amp;"P"&amp;$A31)="N/A",0,RTD("tos.rtd",,$A$2,"."&amp;F$2&amp;F$1&amp;"P"&amp;$A31))))))))))</f>
        <v>0</v>
      </c>
      <c r="G31" s="54">
        <f ca="1">IF($A$2="PREMIUM_OI",IFERROR(IF($X$1="ABS",(100*RTD("tos.rtd",,"OPEN_INT","."&amp;G$2&amp;G$1&amp;"C"&amp;$A31)*RTD("tos.rtd",,"LAST","."&amp;G$2&amp;G$1&amp;"C"&amp;$A31)+100*RTD("tos.rtd",,"OPEN_INT","."&amp;G$2&amp;G$1&amp;"P"&amp;$A31)*RTD("tos.rtd",,"LAST","."&amp;G$2&amp;G$1&amp;"P"&amp;$A31))/1000000,(100*RTD("tos.rtd",,"OPEN_INT","."&amp;G$2&amp;G$1&amp;"C"&amp;$A31)*RTD("tos.rtd",,"LAST","."&amp;G$2&amp;G$1&amp;"C"&amp;$A31)-100*RTD("tos.rtd",,"OPEN_INT","."&amp;G$2&amp;G$1&amp;"P"&amp;$A31)*RTD("tos.rtd",,"LAST","."&amp;G$2&amp;G$1&amp;"P"&amp;$A31))/1000000),0),IF($A$2="PREMIUM",IFERROR(IF($X$1="ABS",(100*RTD("tos.rtd",,"VOLUME","."&amp;G$2&amp;G$1&amp;"C"&amp;$A31)*RTD("tos.rtd",,"LAST","."&amp;G$2&amp;G$1&amp;"C"&amp;$A31)+100*RTD("tos.rtd",,"VOLUME","."&amp;G$2&amp;G$1&amp;"P"&amp;$A31)*RTD("tos.rtd",,"LAST","."&amp;G$2&amp;G$1&amp;"P"&amp;$A31))/1000000,(100*RTD("tos.rtd",,"VOLUME","."&amp;G$2&amp;G$1&amp;"C"&amp;$A31)*RTD("tos.rtd",,"LAST","."&amp;G$2&amp;G$1&amp;"C"&amp;$A31)-100*RTD("tos.rtd",,"VOLUME","."&amp;G$2&amp;G$1&amp;"P"&amp;$A31)*RTD("tos.rtd",,"LAST","."&amp;G$2&amp;G$1&amp;"P"&amp;$A31))/1000000),0),IF($A$2="DEX",IFERROR(IF($X$1="ABS",(100*RTD("tos.rtd",,"OPEN_INT","."&amp;G$2&amp;G$1&amp;"C"&amp;$A31)*RTD("tos.rtd",,"DELTA","."&amp;G$2&amp;G$1&amp;"C"&amp;$A31)+100*RTD("tos.rtd",,"OPEN_INT","."&amp;G$2&amp;G$1&amp;"P"&amp;$A31)*RTD("tos.rtd",,"DELTA","."&amp;G$2&amp;G$1&amp;"P"&amp;$A31))/1000,(100*RTD("tos.rtd",,"OPEN_INT","."&amp;G$2&amp;G$1&amp;"C"&amp;$A31)*RTD("tos.rtd",,"DELTA","."&amp;G$2&amp;G$1&amp;"C"&amp;$A31)-100*RTD("tos.rtd",,"OPEN_INT","."&amp;G$2&amp;G$1&amp;"P"&amp;$A31)*RTD("tos.rtd",,"DELTA","."&amp;G$2&amp;G$1&amp;"P"&amp;$A31))/1000),0),IF($A$2="VEX",IFERROR(IF($X$1="ABS",($A$4*$A$4*RTD("tos.rtd",,"VOLUME","."&amp;G$2&amp;G$1&amp;"C"&amp;$A31)*RTD("tos.rtd",,"GAMMA","."&amp;G$2&amp;G$1&amp;"C"&amp;$A31)+$A$4*$A$4*RTD("tos.rtd",,"VOLUME","."&amp;G$2&amp;G$1&amp;"P"&amp;$A31)*RTD("tos.rtd",,"GAMMA","."&amp;G$2&amp;G$1&amp;"P"&amp;$A31))/1000000,($A$4*$A$4*RTD("tos.rtd",,"VOLUME","."&amp;G$2&amp;G$1&amp;"C"&amp;$A31)*RTD("tos.rtd",,"GAMMA","."&amp;G$2&amp;G$1&amp;"C"&amp;$A31)-$A$4*$A$4*RTD("tos.rtd",,"VOLUME","."&amp;G$2&amp;G$1&amp;"P"&amp;$A31)*RTD("tos.rtd",,"GAMMA","."&amp;G$2&amp;G$1&amp;"P"&amp;$A31))/1000000),0),IF($A$2="GEX",IFERROR(IF($X$1="ABS",($A$4*$A$4*RTD("tos.rtd",,"OPEN_INT","."&amp;G$2&amp;G$1&amp;"C"&amp;$A31)*RTD("tos.rtd",,"GAMMA","."&amp;G$2&amp;G$1&amp;"C"&amp;$A31)+$A$4*$A$4*RTD("tos.rtd",,"OPEN_INT","."&amp;G$2&amp;G$1&amp;"P"&amp;$A31)*RTD("tos.rtd",,"GAMMA","."&amp;G$2&amp;G$1&amp;"P"&amp;$A31))/1000000,($A$4*$A$4*RTD("tos.rtd",,"OPEN_INT","."&amp;G$2&amp;G$1&amp;"C"&amp;$A31)*RTD("tos.rtd",,"GAMMA","."&amp;G$2&amp;G$1&amp;"C"&amp;$A31)-$A$4*$A$4*RTD("tos.rtd",,"OPEN_INT","."&amp;G$2&amp;G$1&amp;"P"&amp;$A31)*RTD("tos.rtd",,"GAMMA","."&amp;G$2&amp;G$1&amp;"P"&amp;$A31))/1000000),0),IF($A$2="SKEW",IFERROR(VALUE(IF(RTD("tos.rtd",,"IMPL_VOL","."&amp;G$2&amp;G$1&amp;"P"&amp;$A31)="N/A",0,RTD("tos.rtd",,"IMPL_VOL","."&amp;G$2&amp;G$1&amp;"P"&amp;$A31))),0)-IFERROR(VALUE(IF(RTD("tos.rtd",,"IMPL_VOL","."&amp;G$2&amp;G$1&amp;"C"&amp;$A31)="N/A",0,RTD("tos.rtd",,"IMPL_VOL","."&amp;G$2&amp;G$1&amp;"C"&amp;$A31))),0),IF($A$2="MAXPAIN",IF($A$4&gt;$A31,($A$4-$A31)*IF(RTD("tos.rtd",,"OPEN_INT","."&amp;G$2&amp;G$1&amp;"C"&amp;$A31)="N/A",0,RTD("tos.rtd",,"OPEN_INT","."&amp;G$2&amp;G$1&amp;"C"&amp;$A31)),0)+IF($A$4&lt;$A31,($A$5-$A$4)*IF(RTD("tos.rtd",,"OPEN_INT","."&amp;G$2&amp;G$1&amp;"P"&amp;$A31)="N/A",0,RTD("tos.rtd",,"OPEN_INT","."&amp;G$2&amp;G$1&amp;"P"&amp;$A31)),0),IF($X$1="ABS",IF(RTD("tos.rtd",,$A$2,"."&amp;G$2&amp;G$1&amp;"C"&amp;$A31)="N/A",0,RTD("tos.rtd",,$A$2,"."&amp;G$2&amp;G$1&amp;"C"&amp;$A31))+IF(RTD("tos.rtd",,$A$2,"."&amp;G$2&amp;G$1&amp;"P"&amp;$A31)="N/A",0,RTD("tos.rtd",,$A$2,"."&amp;G$2&amp;G$1&amp;"P"&amp;$A31)),IF(RTD("tos.rtd",,$A$2,"."&amp;G$2&amp;G$1&amp;"C"&amp;$A31)="N/A",0,RTD("tos.rtd",,$A$2,"."&amp;G$2&amp;G$1&amp;"C"&amp;$A31))-IF(RTD("tos.rtd",,$A$2,"."&amp;G$2&amp;G$1&amp;"P"&amp;$A31)="N/A",0,RTD("tos.rtd",,$A$2,"."&amp;G$2&amp;G$1&amp;"P"&amp;$A31))))))))))</f>
        <v>0</v>
      </c>
      <c r="H31" s="14">
        <f ca="1">IF($A$2="PREMIUM_OI",IFERROR(IF($X$1="ABS",(100*RTD("tos.rtd",,"OPEN_INT","."&amp;H$2&amp;H$1&amp;"C"&amp;$A31)*RTD("tos.rtd",,"LAST","."&amp;H$2&amp;H$1&amp;"C"&amp;$A31)+100*RTD("tos.rtd",,"OPEN_INT","."&amp;H$2&amp;H$1&amp;"P"&amp;$A31)*RTD("tos.rtd",,"LAST","."&amp;H$2&amp;H$1&amp;"P"&amp;$A31))/1000000,(100*RTD("tos.rtd",,"OPEN_INT","."&amp;H$2&amp;H$1&amp;"C"&amp;$A31)*RTD("tos.rtd",,"LAST","."&amp;H$2&amp;H$1&amp;"C"&amp;$A31)-100*RTD("tos.rtd",,"OPEN_INT","."&amp;H$2&amp;H$1&amp;"P"&amp;$A31)*RTD("tos.rtd",,"LAST","."&amp;H$2&amp;H$1&amp;"P"&amp;$A31))/1000000),0),IF($A$2="PREMIUM",IFERROR(IF($X$1="ABS",(100*RTD("tos.rtd",,"VOLUME","."&amp;H$2&amp;H$1&amp;"C"&amp;$A31)*RTD("tos.rtd",,"LAST","."&amp;H$2&amp;H$1&amp;"C"&amp;$A31)+100*RTD("tos.rtd",,"VOLUME","."&amp;H$2&amp;H$1&amp;"P"&amp;$A31)*RTD("tos.rtd",,"LAST","."&amp;H$2&amp;H$1&amp;"P"&amp;$A31))/1000000,(100*RTD("tos.rtd",,"VOLUME","."&amp;H$2&amp;H$1&amp;"C"&amp;$A31)*RTD("tos.rtd",,"LAST","."&amp;H$2&amp;H$1&amp;"C"&amp;$A31)-100*RTD("tos.rtd",,"VOLUME","."&amp;H$2&amp;H$1&amp;"P"&amp;$A31)*RTD("tos.rtd",,"LAST","."&amp;H$2&amp;H$1&amp;"P"&amp;$A31))/1000000),0),IF($A$2="DEX",IFERROR(IF($X$1="ABS",(100*RTD("tos.rtd",,"OPEN_INT","."&amp;H$2&amp;H$1&amp;"C"&amp;$A31)*RTD("tos.rtd",,"DELTA","."&amp;H$2&amp;H$1&amp;"C"&amp;$A31)+100*RTD("tos.rtd",,"OPEN_INT","."&amp;H$2&amp;H$1&amp;"P"&amp;$A31)*RTD("tos.rtd",,"DELTA","."&amp;H$2&amp;H$1&amp;"P"&amp;$A31))/1000,(100*RTD("tos.rtd",,"OPEN_INT","."&amp;H$2&amp;H$1&amp;"C"&amp;$A31)*RTD("tos.rtd",,"DELTA","."&amp;H$2&amp;H$1&amp;"C"&amp;$A31)-100*RTD("tos.rtd",,"OPEN_INT","."&amp;H$2&amp;H$1&amp;"P"&amp;$A31)*RTD("tos.rtd",,"DELTA","."&amp;H$2&amp;H$1&amp;"P"&amp;$A31))/1000),0),IF($A$2="VEX",IFERROR(IF($X$1="ABS",($A$4*$A$4*RTD("tos.rtd",,"VOLUME","."&amp;H$2&amp;H$1&amp;"C"&amp;$A31)*RTD("tos.rtd",,"GAMMA","."&amp;H$2&amp;H$1&amp;"C"&amp;$A31)+$A$4*$A$4*RTD("tos.rtd",,"VOLUME","."&amp;H$2&amp;H$1&amp;"P"&amp;$A31)*RTD("tos.rtd",,"GAMMA","."&amp;H$2&amp;H$1&amp;"P"&amp;$A31))/1000000,($A$4*$A$4*RTD("tos.rtd",,"VOLUME","."&amp;H$2&amp;H$1&amp;"C"&amp;$A31)*RTD("tos.rtd",,"GAMMA","."&amp;H$2&amp;H$1&amp;"C"&amp;$A31)-$A$4*$A$4*RTD("tos.rtd",,"VOLUME","."&amp;H$2&amp;H$1&amp;"P"&amp;$A31)*RTD("tos.rtd",,"GAMMA","."&amp;H$2&amp;H$1&amp;"P"&amp;$A31))/1000000),0),IF($A$2="GEX",IFERROR(IF($X$1="ABS",($A$4*$A$4*RTD("tos.rtd",,"OPEN_INT","."&amp;H$2&amp;H$1&amp;"C"&amp;$A31)*RTD("tos.rtd",,"GAMMA","."&amp;H$2&amp;H$1&amp;"C"&amp;$A31)+$A$4*$A$4*RTD("tos.rtd",,"OPEN_INT","."&amp;H$2&amp;H$1&amp;"P"&amp;$A31)*RTD("tos.rtd",,"GAMMA","."&amp;H$2&amp;H$1&amp;"P"&amp;$A31))/1000000,($A$4*$A$4*RTD("tos.rtd",,"OPEN_INT","."&amp;H$2&amp;H$1&amp;"C"&amp;$A31)*RTD("tos.rtd",,"GAMMA","."&amp;H$2&amp;H$1&amp;"C"&amp;$A31)-$A$4*$A$4*RTD("tos.rtd",,"OPEN_INT","."&amp;H$2&amp;H$1&amp;"P"&amp;$A31)*RTD("tos.rtd",,"GAMMA","."&amp;H$2&amp;H$1&amp;"P"&amp;$A31))/1000000),0),IF($A$2="SKEW",IFERROR(VALUE(IF(RTD("tos.rtd",,"IMPL_VOL","."&amp;H$2&amp;H$1&amp;"P"&amp;$A31)="N/A",0,RTD("tos.rtd",,"IMPL_VOL","."&amp;H$2&amp;H$1&amp;"P"&amp;$A31))),0)-IFERROR(VALUE(IF(RTD("tos.rtd",,"IMPL_VOL","."&amp;H$2&amp;H$1&amp;"C"&amp;$A31)="N/A",0,RTD("tos.rtd",,"IMPL_VOL","."&amp;H$2&amp;H$1&amp;"C"&amp;$A31))),0),IF($A$2="MAXPAIN",IF($A$4&gt;$A31,($A$4-$A31)*IF(RTD("tos.rtd",,"OPEN_INT","."&amp;H$2&amp;H$1&amp;"C"&amp;$A31)="N/A",0,RTD("tos.rtd",,"OPEN_INT","."&amp;H$2&amp;H$1&amp;"C"&amp;$A31)),0)+IF($A$4&lt;$A31,($A$5-$A$4)*IF(RTD("tos.rtd",,"OPEN_INT","."&amp;H$2&amp;H$1&amp;"P"&amp;$A31)="N/A",0,RTD("tos.rtd",,"OPEN_INT","."&amp;H$2&amp;H$1&amp;"P"&amp;$A31)),0),IF($X$1="ABS",IF(RTD("tos.rtd",,$A$2,"."&amp;H$2&amp;H$1&amp;"C"&amp;$A31)="N/A",0,RTD("tos.rtd",,$A$2,"."&amp;H$2&amp;H$1&amp;"C"&amp;$A31))+IF(RTD("tos.rtd",,$A$2,"."&amp;H$2&amp;H$1&amp;"P"&amp;$A31)="N/A",0,RTD("tos.rtd",,$A$2,"."&amp;H$2&amp;H$1&amp;"P"&amp;$A31)),IF(RTD("tos.rtd",,$A$2,"."&amp;H$2&amp;H$1&amp;"C"&amp;$A31)="N/A",0,RTD("tos.rtd",,$A$2,"."&amp;H$2&amp;H$1&amp;"C"&amp;$A31))-IF(RTD("tos.rtd",,$A$2,"."&amp;H$2&amp;H$1&amp;"P"&amp;$A31)="N/A",0,RTD("tos.rtd",,$A$2,"."&amp;H$2&amp;H$1&amp;"P"&amp;$A31))))))))))</f>
        <v>0</v>
      </c>
      <c r="I31" s="12">
        <f ca="1">IF($A$2="PREMIUM_OI",IFERROR(IF($X$1="ABS",(100*RTD("tos.rtd",,"OPEN_INT","."&amp;I$2&amp;I$1&amp;"C"&amp;$A31)*RTD("tos.rtd",,"LAST","."&amp;I$2&amp;I$1&amp;"C"&amp;$A31)+100*RTD("tos.rtd",,"OPEN_INT","."&amp;I$2&amp;I$1&amp;"P"&amp;$A31)*RTD("tos.rtd",,"LAST","."&amp;I$2&amp;I$1&amp;"P"&amp;$A31))/1000000,(100*RTD("tos.rtd",,"OPEN_INT","."&amp;I$2&amp;I$1&amp;"C"&amp;$A31)*RTD("tos.rtd",,"LAST","."&amp;I$2&amp;I$1&amp;"C"&amp;$A31)-100*RTD("tos.rtd",,"OPEN_INT","."&amp;I$2&amp;I$1&amp;"P"&amp;$A31)*RTD("tos.rtd",,"LAST","."&amp;I$2&amp;I$1&amp;"P"&amp;$A31))/1000000),0),IF($A$2="PREMIUM",IFERROR(IF($X$1="ABS",(100*RTD("tos.rtd",,"VOLUME","."&amp;I$2&amp;I$1&amp;"C"&amp;$A31)*RTD("tos.rtd",,"LAST","."&amp;I$2&amp;I$1&amp;"C"&amp;$A31)+100*RTD("tos.rtd",,"VOLUME","."&amp;I$2&amp;I$1&amp;"P"&amp;$A31)*RTD("tos.rtd",,"LAST","."&amp;I$2&amp;I$1&amp;"P"&amp;$A31))/1000000,(100*RTD("tos.rtd",,"VOLUME","."&amp;I$2&amp;I$1&amp;"C"&amp;$A31)*RTD("tos.rtd",,"LAST","."&amp;I$2&amp;I$1&amp;"C"&amp;$A31)-100*RTD("tos.rtd",,"VOLUME","."&amp;I$2&amp;I$1&amp;"P"&amp;$A31)*RTD("tos.rtd",,"LAST","."&amp;I$2&amp;I$1&amp;"P"&amp;$A31))/1000000),0),IF($A$2="DEX",IFERROR(IF($X$1="ABS",(100*RTD("tos.rtd",,"OPEN_INT","."&amp;I$2&amp;I$1&amp;"C"&amp;$A31)*RTD("tos.rtd",,"DELTA","."&amp;I$2&amp;I$1&amp;"C"&amp;$A31)+100*RTD("tos.rtd",,"OPEN_INT","."&amp;I$2&amp;I$1&amp;"P"&amp;$A31)*RTD("tos.rtd",,"DELTA","."&amp;I$2&amp;I$1&amp;"P"&amp;$A31))/1000,(100*RTD("tos.rtd",,"OPEN_INT","."&amp;I$2&amp;I$1&amp;"C"&amp;$A31)*RTD("tos.rtd",,"DELTA","."&amp;I$2&amp;I$1&amp;"C"&amp;$A31)-100*RTD("tos.rtd",,"OPEN_INT","."&amp;I$2&amp;I$1&amp;"P"&amp;$A31)*RTD("tos.rtd",,"DELTA","."&amp;I$2&amp;I$1&amp;"P"&amp;$A31))/1000),0),IF($A$2="VEX",IFERROR(IF($X$1="ABS",($A$4*$A$4*RTD("tos.rtd",,"VOLUME","."&amp;I$2&amp;I$1&amp;"C"&amp;$A31)*RTD("tos.rtd",,"GAMMA","."&amp;I$2&amp;I$1&amp;"C"&amp;$A31)+$A$4*$A$4*RTD("tos.rtd",,"VOLUME","."&amp;I$2&amp;I$1&amp;"P"&amp;$A31)*RTD("tos.rtd",,"GAMMA","."&amp;I$2&amp;I$1&amp;"P"&amp;$A31))/1000000,($A$4*$A$4*RTD("tos.rtd",,"VOLUME","."&amp;I$2&amp;I$1&amp;"C"&amp;$A31)*RTD("tos.rtd",,"GAMMA","."&amp;I$2&amp;I$1&amp;"C"&amp;$A31)-$A$4*$A$4*RTD("tos.rtd",,"VOLUME","."&amp;I$2&amp;I$1&amp;"P"&amp;$A31)*RTD("tos.rtd",,"GAMMA","."&amp;I$2&amp;I$1&amp;"P"&amp;$A31))/1000000),0),IF($A$2="GEX",IFERROR(IF($X$1="ABS",($A$4*$A$4*RTD("tos.rtd",,"OPEN_INT","."&amp;I$2&amp;I$1&amp;"C"&amp;$A31)*RTD("tos.rtd",,"GAMMA","."&amp;I$2&amp;I$1&amp;"C"&amp;$A31)+$A$4*$A$4*RTD("tos.rtd",,"OPEN_INT","."&amp;I$2&amp;I$1&amp;"P"&amp;$A31)*RTD("tos.rtd",,"GAMMA","."&amp;I$2&amp;I$1&amp;"P"&amp;$A31))/1000000,($A$4*$A$4*RTD("tos.rtd",,"OPEN_INT","."&amp;I$2&amp;I$1&amp;"C"&amp;$A31)*RTD("tos.rtd",,"GAMMA","."&amp;I$2&amp;I$1&amp;"C"&amp;$A31)-$A$4*$A$4*RTD("tos.rtd",,"OPEN_INT","."&amp;I$2&amp;I$1&amp;"P"&amp;$A31)*RTD("tos.rtd",,"GAMMA","."&amp;I$2&amp;I$1&amp;"P"&amp;$A31))/1000000),0),IF($A$2="SKEW",IFERROR(VALUE(IF(RTD("tos.rtd",,"IMPL_VOL","."&amp;I$2&amp;I$1&amp;"P"&amp;$A31)="N/A",0,RTD("tos.rtd",,"IMPL_VOL","."&amp;I$2&amp;I$1&amp;"P"&amp;$A31))),0)-IFERROR(VALUE(IF(RTD("tos.rtd",,"IMPL_VOL","."&amp;I$2&amp;I$1&amp;"C"&amp;$A31)="N/A",0,RTD("tos.rtd",,"IMPL_VOL","."&amp;I$2&amp;I$1&amp;"C"&amp;$A31))),0),IF($A$2="MAXPAIN",IF($A$4&gt;$A31,($A$4-$A31)*IF(RTD("tos.rtd",,"OPEN_INT","."&amp;I$2&amp;I$1&amp;"C"&amp;$A31)="N/A",0,RTD("tos.rtd",,"OPEN_INT","."&amp;I$2&amp;I$1&amp;"C"&amp;$A31)),0)+IF($A$4&lt;$A31,($A$5-$A$4)*IF(RTD("tos.rtd",,"OPEN_INT","."&amp;I$2&amp;I$1&amp;"P"&amp;$A31)="N/A",0,RTD("tos.rtd",,"OPEN_INT","."&amp;I$2&amp;I$1&amp;"P"&amp;$A31)),0),IF($X$1="ABS",IF(RTD("tos.rtd",,$A$2,"."&amp;I$2&amp;I$1&amp;"C"&amp;$A31)="N/A",0,RTD("tos.rtd",,$A$2,"."&amp;I$2&amp;I$1&amp;"C"&amp;$A31))+IF(RTD("tos.rtd",,$A$2,"."&amp;I$2&amp;I$1&amp;"P"&amp;$A31)="N/A",0,RTD("tos.rtd",,$A$2,"."&amp;I$2&amp;I$1&amp;"P"&amp;$A31)),IF(RTD("tos.rtd",,$A$2,"."&amp;I$2&amp;I$1&amp;"C"&amp;$A31)="N/A",0,RTD("tos.rtd",,$A$2,"."&amp;I$2&amp;I$1&amp;"C"&amp;$A31))-IF(RTD("tos.rtd",,$A$2,"."&amp;I$2&amp;I$1&amp;"P"&amp;$A31)="N/A",0,RTD("tos.rtd",,$A$2,"."&amp;I$2&amp;I$1&amp;"P"&amp;$A31))))))))))</f>
        <v>0</v>
      </c>
      <c r="J31" s="12">
        <f ca="1">IF($A$2="PREMIUM_OI",IFERROR(IF($X$1="ABS",(100*RTD("tos.rtd",,"OPEN_INT","."&amp;J$2&amp;J$1&amp;"C"&amp;$A31)*RTD("tos.rtd",,"LAST","."&amp;J$2&amp;J$1&amp;"C"&amp;$A31)+100*RTD("tos.rtd",,"OPEN_INT","."&amp;J$2&amp;J$1&amp;"P"&amp;$A31)*RTD("tos.rtd",,"LAST","."&amp;J$2&amp;J$1&amp;"P"&amp;$A31))/1000000,(100*RTD("tos.rtd",,"OPEN_INT","."&amp;J$2&amp;J$1&amp;"C"&amp;$A31)*RTD("tos.rtd",,"LAST","."&amp;J$2&amp;J$1&amp;"C"&amp;$A31)-100*RTD("tos.rtd",,"OPEN_INT","."&amp;J$2&amp;J$1&amp;"P"&amp;$A31)*RTD("tos.rtd",,"LAST","."&amp;J$2&amp;J$1&amp;"P"&amp;$A31))/1000000),0),IF($A$2="PREMIUM",IFERROR(IF($X$1="ABS",(100*RTD("tos.rtd",,"VOLUME","."&amp;J$2&amp;J$1&amp;"C"&amp;$A31)*RTD("tos.rtd",,"LAST","."&amp;J$2&amp;J$1&amp;"C"&amp;$A31)+100*RTD("tos.rtd",,"VOLUME","."&amp;J$2&amp;J$1&amp;"P"&amp;$A31)*RTD("tos.rtd",,"LAST","."&amp;J$2&amp;J$1&amp;"P"&amp;$A31))/1000000,(100*RTD("tos.rtd",,"VOLUME","."&amp;J$2&amp;J$1&amp;"C"&amp;$A31)*RTD("tos.rtd",,"LAST","."&amp;J$2&amp;J$1&amp;"C"&amp;$A31)-100*RTD("tos.rtd",,"VOLUME","."&amp;J$2&amp;J$1&amp;"P"&amp;$A31)*RTD("tos.rtd",,"LAST","."&amp;J$2&amp;J$1&amp;"P"&amp;$A31))/1000000),0),IF($A$2="DEX",IFERROR(IF($X$1="ABS",(100*RTD("tos.rtd",,"OPEN_INT","."&amp;J$2&amp;J$1&amp;"C"&amp;$A31)*RTD("tos.rtd",,"DELTA","."&amp;J$2&amp;J$1&amp;"C"&amp;$A31)+100*RTD("tos.rtd",,"OPEN_INT","."&amp;J$2&amp;J$1&amp;"P"&amp;$A31)*RTD("tos.rtd",,"DELTA","."&amp;J$2&amp;J$1&amp;"P"&amp;$A31))/1000,(100*RTD("tos.rtd",,"OPEN_INT","."&amp;J$2&amp;J$1&amp;"C"&amp;$A31)*RTD("tos.rtd",,"DELTA","."&amp;J$2&amp;J$1&amp;"C"&amp;$A31)-100*RTD("tos.rtd",,"OPEN_INT","."&amp;J$2&amp;J$1&amp;"P"&amp;$A31)*RTD("tos.rtd",,"DELTA","."&amp;J$2&amp;J$1&amp;"P"&amp;$A31))/1000),0),IF($A$2="VEX",IFERROR(IF($X$1="ABS",($A$4*$A$4*RTD("tos.rtd",,"VOLUME","."&amp;J$2&amp;J$1&amp;"C"&amp;$A31)*RTD("tos.rtd",,"GAMMA","."&amp;J$2&amp;J$1&amp;"C"&amp;$A31)+$A$4*$A$4*RTD("tos.rtd",,"VOLUME","."&amp;J$2&amp;J$1&amp;"P"&amp;$A31)*RTD("tos.rtd",,"GAMMA","."&amp;J$2&amp;J$1&amp;"P"&amp;$A31))/1000000,($A$4*$A$4*RTD("tos.rtd",,"VOLUME","."&amp;J$2&amp;J$1&amp;"C"&amp;$A31)*RTD("tos.rtd",,"GAMMA","."&amp;J$2&amp;J$1&amp;"C"&amp;$A31)-$A$4*$A$4*RTD("tos.rtd",,"VOLUME","."&amp;J$2&amp;J$1&amp;"P"&amp;$A31)*RTD("tos.rtd",,"GAMMA","."&amp;J$2&amp;J$1&amp;"P"&amp;$A31))/1000000),0),IF($A$2="GEX",IFERROR(IF($X$1="ABS",($A$4*$A$4*RTD("tos.rtd",,"OPEN_INT","."&amp;J$2&amp;J$1&amp;"C"&amp;$A31)*RTD("tos.rtd",,"GAMMA","."&amp;J$2&amp;J$1&amp;"C"&amp;$A31)+$A$4*$A$4*RTD("tos.rtd",,"OPEN_INT","."&amp;J$2&amp;J$1&amp;"P"&amp;$A31)*RTD("tos.rtd",,"GAMMA","."&amp;J$2&amp;J$1&amp;"P"&amp;$A31))/1000000,($A$4*$A$4*RTD("tos.rtd",,"OPEN_INT","."&amp;J$2&amp;J$1&amp;"C"&amp;$A31)*RTD("tos.rtd",,"GAMMA","."&amp;J$2&amp;J$1&amp;"C"&amp;$A31)-$A$4*$A$4*RTD("tos.rtd",,"OPEN_INT","."&amp;J$2&amp;J$1&amp;"P"&amp;$A31)*RTD("tos.rtd",,"GAMMA","."&amp;J$2&amp;J$1&amp;"P"&amp;$A31))/1000000),0),IF($A$2="SKEW",IFERROR(VALUE(IF(RTD("tos.rtd",,"IMPL_VOL","."&amp;J$2&amp;J$1&amp;"P"&amp;$A31)="N/A",0,RTD("tos.rtd",,"IMPL_VOL","."&amp;J$2&amp;J$1&amp;"P"&amp;$A31))),0)-IFERROR(VALUE(IF(RTD("tos.rtd",,"IMPL_VOL","."&amp;J$2&amp;J$1&amp;"C"&amp;$A31)="N/A",0,RTD("tos.rtd",,"IMPL_VOL","."&amp;J$2&amp;J$1&amp;"C"&amp;$A31))),0),IF($A$2="MAXPAIN",IF($A$4&gt;$A31,($A$4-$A31)*IF(RTD("tos.rtd",,"OPEN_INT","."&amp;J$2&amp;J$1&amp;"C"&amp;$A31)="N/A",0,RTD("tos.rtd",,"OPEN_INT","."&amp;J$2&amp;J$1&amp;"C"&amp;$A31)),0)+IF($A$4&lt;$A31,($A$5-$A$4)*IF(RTD("tos.rtd",,"OPEN_INT","."&amp;J$2&amp;J$1&amp;"P"&amp;$A31)="N/A",0,RTD("tos.rtd",,"OPEN_INT","."&amp;J$2&amp;J$1&amp;"P"&amp;$A31)),0),IF($X$1="ABS",IF(RTD("tos.rtd",,$A$2,"."&amp;J$2&amp;J$1&amp;"C"&amp;$A31)="N/A",0,RTD("tos.rtd",,$A$2,"."&amp;J$2&amp;J$1&amp;"C"&amp;$A31))+IF(RTD("tos.rtd",,$A$2,"."&amp;J$2&amp;J$1&amp;"P"&amp;$A31)="N/A",0,RTD("tos.rtd",,$A$2,"."&amp;J$2&amp;J$1&amp;"P"&amp;$A31)),IF(RTD("tos.rtd",,$A$2,"."&amp;J$2&amp;J$1&amp;"C"&amp;$A31)="N/A",0,RTD("tos.rtd",,$A$2,"."&amp;J$2&amp;J$1&amp;"C"&amp;$A31))-IF(RTD("tos.rtd",,$A$2,"."&amp;J$2&amp;J$1&amp;"P"&amp;$A31)="N/A",0,RTD("tos.rtd",,$A$2,"."&amp;J$2&amp;J$1&amp;"P"&amp;$A31))))))))))</f>
        <v>0</v>
      </c>
      <c r="K31" s="12">
        <f ca="1">IF($A$2="PREMIUM_OI",IFERROR(IF($X$1="ABS",(100*RTD("tos.rtd",,"OPEN_INT","."&amp;K$2&amp;K$1&amp;"C"&amp;$A31)*RTD("tos.rtd",,"LAST","."&amp;K$2&amp;K$1&amp;"C"&amp;$A31)+100*RTD("tos.rtd",,"OPEN_INT","."&amp;K$2&amp;K$1&amp;"P"&amp;$A31)*RTD("tos.rtd",,"LAST","."&amp;K$2&amp;K$1&amp;"P"&amp;$A31))/1000000,(100*RTD("tos.rtd",,"OPEN_INT","."&amp;K$2&amp;K$1&amp;"C"&amp;$A31)*RTD("tos.rtd",,"LAST","."&amp;K$2&amp;K$1&amp;"C"&amp;$A31)-100*RTD("tos.rtd",,"OPEN_INT","."&amp;K$2&amp;K$1&amp;"P"&amp;$A31)*RTD("tos.rtd",,"LAST","."&amp;K$2&amp;K$1&amp;"P"&amp;$A31))/1000000),0),IF($A$2="PREMIUM",IFERROR(IF($X$1="ABS",(100*RTD("tos.rtd",,"VOLUME","."&amp;K$2&amp;K$1&amp;"C"&amp;$A31)*RTD("tos.rtd",,"LAST","."&amp;K$2&amp;K$1&amp;"C"&amp;$A31)+100*RTD("tos.rtd",,"VOLUME","."&amp;K$2&amp;K$1&amp;"P"&amp;$A31)*RTD("tos.rtd",,"LAST","."&amp;K$2&amp;K$1&amp;"P"&amp;$A31))/1000000,(100*RTD("tos.rtd",,"VOLUME","."&amp;K$2&amp;K$1&amp;"C"&amp;$A31)*RTD("tos.rtd",,"LAST","."&amp;K$2&amp;K$1&amp;"C"&amp;$A31)-100*RTD("tos.rtd",,"VOLUME","."&amp;K$2&amp;K$1&amp;"P"&amp;$A31)*RTD("tos.rtd",,"LAST","."&amp;K$2&amp;K$1&amp;"P"&amp;$A31))/1000000),0),IF($A$2="DEX",IFERROR(IF($X$1="ABS",(100*RTD("tos.rtd",,"OPEN_INT","."&amp;K$2&amp;K$1&amp;"C"&amp;$A31)*RTD("tos.rtd",,"DELTA","."&amp;K$2&amp;K$1&amp;"C"&amp;$A31)+100*RTD("tos.rtd",,"OPEN_INT","."&amp;K$2&amp;K$1&amp;"P"&amp;$A31)*RTD("tos.rtd",,"DELTA","."&amp;K$2&amp;K$1&amp;"P"&amp;$A31))/1000,(100*RTD("tos.rtd",,"OPEN_INT","."&amp;K$2&amp;K$1&amp;"C"&amp;$A31)*RTD("tos.rtd",,"DELTA","."&amp;K$2&amp;K$1&amp;"C"&amp;$A31)-100*RTD("tos.rtd",,"OPEN_INT","."&amp;K$2&amp;K$1&amp;"P"&amp;$A31)*RTD("tos.rtd",,"DELTA","."&amp;K$2&amp;K$1&amp;"P"&amp;$A31))/1000),0),IF($A$2="VEX",IFERROR(IF($X$1="ABS",($A$4*$A$4*RTD("tos.rtd",,"VOLUME","."&amp;K$2&amp;K$1&amp;"C"&amp;$A31)*RTD("tos.rtd",,"GAMMA","."&amp;K$2&amp;K$1&amp;"C"&amp;$A31)+$A$4*$A$4*RTD("tos.rtd",,"VOLUME","."&amp;K$2&amp;K$1&amp;"P"&amp;$A31)*RTD("tos.rtd",,"GAMMA","."&amp;K$2&amp;K$1&amp;"P"&amp;$A31))/1000000,($A$4*$A$4*RTD("tos.rtd",,"VOLUME","."&amp;K$2&amp;K$1&amp;"C"&amp;$A31)*RTD("tos.rtd",,"GAMMA","."&amp;K$2&amp;K$1&amp;"C"&amp;$A31)-$A$4*$A$4*RTD("tos.rtd",,"VOLUME","."&amp;K$2&amp;K$1&amp;"P"&amp;$A31)*RTD("tos.rtd",,"GAMMA","."&amp;K$2&amp;K$1&amp;"P"&amp;$A31))/1000000),0),IF($A$2="GEX",IFERROR(IF($X$1="ABS",($A$4*$A$4*RTD("tos.rtd",,"OPEN_INT","."&amp;K$2&amp;K$1&amp;"C"&amp;$A31)*RTD("tos.rtd",,"GAMMA","."&amp;K$2&amp;K$1&amp;"C"&amp;$A31)+$A$4*$A$4*RTD("tos.rtd",,"OPEN_INT","."&amp;K$2&amp;K$1&amp;"P"&amp;$A31)*RTD("tos.rtd",,"GAMMA","."&amp;K$2&amp;K$1&amp;"P"&amp;$A31))/1000000,($A$4*$A$4*RTD("tos.rtd",,"OPEN_INT","."&amp;K$2&amp;K$1&amp;"C"&amp;$A31)*RTD("tos.rtd",,"GAMMA","."&amp;K$2&amp;K$1&amp;"C"&amp;$A31)-$A$4*$A$4*RTD("tos.rtd",,"OPEN_INT","."&amp;K$2&amp;K$1&amp;"P"&amp;$A31)*RTD("tos.rtd",,"GAMMA","."&amp;K$2&amp;K$1&amp;"P"&amp;$A31))/1000000),0),IF($A$2="SKEW",IFERROR(VALUE(IF(RTD("tos.rtd",,"IMPL_VOL","."&amp;K$2&amp;K$1&amp;"P"&amp;$A31)="N/A",0,RTD("tos.rtd",,"IMPL_VOL","."&amp;K$2&amp;K$1&amp;"P"&amp;$A31))),0)-IFERROR(VALUE(IF(RTD("tos.rtd",,"IMPL_VOL","."&amp;K$2&amp;K$1&amp;"C"&amp;$A31)="N/A",0,RTD("tos.rtd",,"IMPL_VOL","."&amp;K$2&amp;K$1&amp;"C"&amp;$A31))),0),IF($A$2="MAXPAIN",IF($A$4&gt;$A31,($A$4-$A31)*IF(RTD("tos.rtd",,"OPEN_INT","."&amp;K$2&amp;K$1&amp;"C"&amp;$A31)="N/A",0,RTD("tos.rtd",,"OPEN_INT","."&amp;K$2&amp;K$1&amp;"C"&amp;$A31)),0)+IF($A$4&lt;$A31,($A$5-$A$4)*IF(RTD("tos.rtd",,"OPEN_INT","."&amp;K$2&amp;K$1&amp;"P"&amp;$A31)="N/A",0,RTD("tos.rtd",,"OPEN_INT","."&amp;K$2&amp;K$1&amp;"P"&amp;$A31)),0),IF($X$1="ABS",IF(RTD("tos.rtd",,$A$2,"."&amp;K$2&amp;K$1&amp;"C"&amp;$A31)="N/A",0,RTD("tos.rtd",,$A$2,"."&amp;K$2&amp;K$1&amp;"C"&amp;$A31))+IF(RTD("tos.rtd",,$A$2,"."&amp;K$2&amp;K$1&amp;"P"&amp;$A31)="N/A",0,RTD("tos.rtd",,$A$2,"."&amp;K$2&amp;K$1&amp;"P"&amp;$A31)),IF(RTD("tos.rtd",,$A$2,"."&amp;K$2&amp;K$1&amp;"C"&amp;$A31)="N/A",0,RTD("tos.rtd",,$A$2,"."&amp;K$2&amp;K$1&amp;"C"&amp;$A31))-IF(RTD("tos.rtd",,$A$2,"."&amp;K$2&amp;K$1&amp;"P"&amp;$A31)="N/A",0,RTD("tos.rtd",,$A$2,"."&amp;K$2&amp;K$1&amp;"P"&amp;$A31))))))))))</f>
        <v>0</v>
      </c>
      <c r="L31" s="54">
        <f ca="1">IF($A$2="PREMIUM_OI",IFERROR(IF($X$1="ABS",(100*RTD("tos.rtd",,"OPEN_INT","."&amp;L$2&amp;L$1&amp;"C"&amp;$A31)*RTD("tos.rtd",,"LAST","."&amp;L$2&amp;L$1&amp;"C"&amp;$A31)+100*RTD("tos.rtd",,"OPEN_INT","."&amp;L$2&amp;L$1&amp;"P"&amp;$A31)*RTD("tos.rtd",,"LAST","."&amp;L$2&amp;L$1&amp;"P"&amp;$A31))/1000000,(100*RTD("tos.rtd",,"OPEN_INT","."&amp;L$2&amp;L$1&amp;"C"&amp;$A31)*RTD("tos.rtd",,"LAST","."&amp;L$2&amp;L$1&amp;"C"&amp;$A31)-100*RTD("tos.rtd",,"OPEN_INT","."&amp;L$2&amp;L$1&amp;"P"&amp;$A31)*RTD("tos.rtd",,"LAST","."&amp;L$2&amp;L$1&amp;"P"&amp;$A31))/1000000),0),IF($A$2="PREMIUM",IFERROR(IF($X$1="ABS",(100*RTD("tos.rtd",,"VOLUME","."&amp;L$2&amp;L$1&amp;"C"&amp;$A31)*RTD("tos.rtd",,"LAST","."&amp;L$2&amp;L$1&amp;"C"&amp;$A31)+100*RTD("tos.rtd",,"VOLUME","."&amp;L$2&amp;L$1&amp;"P"&amp;$A31)*RTD("tos.rtd",,"LAST","."&amp;L$2&amp;L$1&amp;"P"&amp;$A31))/1000000,(100*RTD("tos.rtd",,"VOLUME","."&amp;L$2&amp;L$1&amp;"C"&amp;$A31)*RTD("tos.rtd",,"LAST","."&amp;L$2&amp;L$1&amp;"C"&amp;$A31)-100*RTD("tos.rtd",,"VOLUME","."&amp;L$2&amp;L$1&amp;"P"&amp;$A31)*RTD("tos.rtd",,"LAST","."&amp;L$2&amp;L$1&amp;"P"&amp;$A31))/1000000),0),IF($A$2="DEX",IFERROR(IF($X$1="ABS",(100*RTD("tos.rtd",,"OPEN_INT","."&amp;L$2&amp;L$1&amp;"C"&amp;$A31)*RTD("tos.rtd",,"DELTA","."&amp;L$2&amp;L$1&amp;"C"&amp;$A31)+100*RTD("tos.rtd",,"OPEN_INT","."&amp;L$2&amp;L$1&amp;"P"&amp;$A31)*RTD("tos.rtd",,"DELTA","."&amp;L$2&amp;L$1&amp;"P"&amp;$A31))/1000,(100*RTD("tos.rtd",,"OPEN_INT","."&amp;L$2&amp;L$1&amp;"C"&amp;$A31)*RTD("tos.rtd",,"DELTA","."&amp;L$2&amp;L$1&amp;"C"&amp;$A31)-100*RTD("tos.rtd",,"OPEN_INT","."&amp;L$2&amp;L$1&amp;"P"&amp;$A31)*RTD("tos.rtd",,"DELTA","."&amp;L$2&amp;L$1&amp;"P"&amp;$A31))/1000),0),IF($A$2="VEX",IFERROR(IF($X$1="ABS",($A$4*$A$4*RTD("tos.rtd",,"VOLUME","."&amp;L$2&amp;L$1&amp;"C"&amp;$A31)*RTD("tos.rtd",,"GAMMA","."&amp;L$2&amp;L$1&amp;"C"&amp;$A31)+$A$4*$A$4*RTD("tos.rtd",,"VOLUME","."&amp;L$2&amp;L$1&amp;"P"&amp;$A31)*RTD("tos.rtd",,"GAMMA","."&amp;L$2&amp;L$1&amp;"P"&amp;$A31))/1000000,($A$4*$A$4*RTD("tos.rtd",,"VOLUME","."&amp;L$2&amp;L$1&amp;"C"&amp;$A31)*RTD("tos.rtd",,"GAMMA","."&amp;L$2&amp;L$1&amp;"C"&amp;$A31)-$A$4*$A$4*RTD("tos.rtd",,"VOLUME","."&amp;L$2&amp;L$1&amp;"P"&amp;$A31)*RTD("tos.rtd",,"GAMMA","."&amp;L$2&amp;L$1&amp;"P"&amp;$A31))/1000000),0),IF($A$2="GEX",IFERROR(IF($X$1="ABS",($A$4*$A$4*RTD("tos.rtd",,"OPEN_INT","."&amp;L$2&amp;L$1&amp;"C"&amp;$A31)*RTD("tos.rtd",,"GAMMA","."&amp;L$2&amp;L$1&amp;"C"&amp;$A31)+$A$4*$A$4*RTD("tos.rtd",,"OPEN_INT","."&amp;L$2&amp;L$1&amp;"P"&amp;$A31)*RTD("tos.rtd",,"GAMMA","."&amp;L$2&amp;L$1&amp;"P"&amp;$A31))/1000000,($A$4*$A$4*RTD("tos.rtd",,"OPEN_INT","."&amp;L$2&amp;L$1&amp;"C"&amp;$A31)*RTD("tos.rtd",,"GAMMA","."&amp;L$2&amp;L$1&amp;"C"&amp;$A31)-$A$4*$A$4*RTD("tos.rtd",,"OPEN_INT","."&amp;L$2&amp;L$1&amp;"P"&amp;$A31)*RTD("tos.rtd",,"GAMMA","."&amp;L$2&amp;L$1&amp;"P"&amp;$A31))/1000000),0),IF($A$2="SKEW",IFERROR(VALUE(IF(RTD("tos.rtd",,"IMPL_VOL","."&amp;L$2&amp;L$1&amp;"P"&amp;$A31)="N/A",0,RTD("tos.rtd",,"IMPL_VOL","."&amp;L$2&amp;L$1&amp;"P"&amp;$A31))),0)-IFERROR(VALUE(IF(RTD("tos.rtd",,"IMPL_VOL","."&amp;L$2&amp;L$1&amp;"C"&amp;$A31)="N/A",0,RTD("tos.rtd",,"IMPL_VOL","."&amp;L$2&amp;L$1&amp;"C"&amp;$A31))),0),IF($A$2="MAXPAIN",IF($A$4&gt;$A31,($A$4-$A31)*IF(RTD("tos.rtd",,"OPEN_INT","."&amp;L$2&amp;L$1&amp;"C"&amp;$A31)="N/A",0,RTD("tos.rtd",,"OPEN_INT","."&amp;L$2&amp;L$1&amp;"C"&amp;$A31)),0)+IF($A$4&lt;$A31,($A$5-$A$4)*IF(RTD("tos.rtd",,"OPEN_INT","."&amp;L$2&amp;L$1&amp;"P"&amp;$A31)="N/A",0,RTD("tos.rtd",,"OPEN_INT","."&amp;L$2&amp;L$1&amp;"P"&amp;$A31)),0),IF($X$1="ABS",IF(RTD("tos.rtd",,$A$2,"."&amp;L$2&amp;L$1&amp;"C"&amp;$A31)="N/A",0,RTD("tos.rtd",,$A$2,"."&amp;L$2&amp;L$1&amp;"C"&amp;$A31))+IF(RTD("tos.rtd",,$A$2,"."&amp;L$2&amp;L$1&amp;"P"&amp;$A31)="N/A",0,RTD("tos.rtd",,$A$2,"."&amp;L$2&amp;L$1&amp;"P"&amp;$A31)),IF(RTD("tos.rtd",,$A$2,"."&amp;L$2&amp;L$1&amp;"C"&amp;$A31)="N/A",0,RTD("tos.rtd",,$A$2,"."&amp;L$2&amp;L$1&amp;"C"&amp;$A31))-IF(RTD("tos.rtd",,$A$2,"."&amp;L$2&amp;L$1&amp;"P"&amp;$A31)="N/A",0,RTD("tos.rtd",,$A$2,"."&amp;L$2&amp;L$1&amp;"P"&amp;$A31))))))))))</f>
        <v>0</v>
      </c>
      <c r="M31" s="12">
        <f ca="1">IF($A$2="PREMIUM_OI",IFERROR(IF($X$1="ABS",(100*RTD("tos.rtd",,"OPEN_INT","."&amp;M$2&amp;M$1&amp;"C"&amp;$A31)*RTD("tos.rtd",,"LAST","."&amp;M$2&amp;M$1&amp;"C"&amp;$A31)+100*RTD("tos.rtd",,"OPEN_INT","."&amp;M$2&amp;M$1&amp;"P"&amp;$A31)*RTD("tos.rtd",,"LAST","."&amp;M$2&amp;M$1&amp;"P"&amp;$A31))/1000000,(100*RTD("tos.rtd",,"OPEN_INT","."&amp;M$2&amp;M$1&amp;"C"&amp;$A31)*RTD("tos.rtd",,"LAST","."&amp;M$2&amp;M$1&amp;"C"&amp;$A31)-100*RTD("tos.rtd",,"OPEN_INT","."&amp;M$2&amp;M$1&amp;"P"&amp;$A31)*RTD("tos.rtd",,"LAST","."&amp;M$2&amp;M$1&amp;"P"&amp;$A31))/1000000),0),IF($A$2="PREMIUM",IFERROR(IF($X$1="ABS",(100*RTD("tos.rtd",,"VOLUME","."&amp;M$2&amp;M$1&amp;"C"&amp;$A31)*RTD("tos.rtd",,"LAST","."&amp;M$2&amp;M$1&amp;"C"&amp;$A31)+100*RTD("tos.rtd",,"VOLUME","."&amp;M$2&amp;M$1&amp;"P"&amp;$A31)*RTD("tos.rtd",,"LAST","."&amp;M$2&amp;M$1&amp;"P"&amp;$A31))/1000000,(100*RTD("tos.rtd",,"VOLUME","."&amp;M$2&amp;M$1&amp;"C"&amp;$A31)*RTD("tos.rtd",,"LAST","."&amp;M$2&amp;M$1&amp;"C"&amp;$A31)-100*RTD("tos.rtd",,"VOLUME","."&amp;M$2&amp;M$1&amp;"P"&amp;$A31)*RTD("tos.rtd",,"LAST","."&amp;M$2&amp;M$1&amp;"P"&amp;$A31))/1000000),0),IF($A$2="DEX",IFERROR(IF($X$1="ABS",(100*RTD("tos.rtd",,"OPEN_INT","."&amp;M$2&amp;M$1&amp;"C"&amp;$A31)*RTD("tos.rtd",,"DELTA","."&amp;M$2&amp;M$1&amp;"C"&amp;$A31)+100*RTD("tos.rtd",,"OPEN_INT","."&amp;M$2&amp;M$1&amp;"P"&amp;$A31)*RTD("tos.rtd",,"DELTA","."&amp;M$2&amp;M$1&amp;"P"&amp;$A31))/1000,(100*RTD("tos.rtd",,"OPEN_INT","."&amp;M$2&amp;M$1&amp;"C"&amp;$A31)*RTD("tos.rtd",,"DELTA","."&amp;M$2&amp;M$1&amp;"C"&amp;$A31)-100*RTD("tos.rtd",,"OPEN_INT","."&amp;M$2&amp;M$1&amp;"P"&amp;$A31)*RTD("tos.rtd",,"DELTA","."&amp;M$2&amp;M$1&amp;"P"&amp;$A31))/1000),0),IF($A$2="VEX",IFERROR(IF($X$1="ABS",($A$4*$A$4*RTD("tos.rtd",,"VOLUME","."&amp;M$2&amp;M$1&amp;"C"&amp;$A31)*RTD("tos.rtd",,"GAMMA","."&amp;M$2&amp;M$1&amp;"C"&amp;$A31)+$A$4*$A$4*RTD("tos.rtd",,"VOLUME","."&amp;M$2&amp;M$1&amp;"P"&amp;$A31)*RTD("tos.rtd",,"GAMMA","."&amp;M$2&amp;M$1&amp;"P"&amp;$A31))/1000000,($A$4*$A$4*RTD("tos.rtd",,"VOLUME","."&amp;M$2&amp;M$1&amp;"C"&amp;$A31)*RTD("tos.rtd",,"GAMMA","."&amp;M$2&amp;M$1&amp;"C"&amp;$A31)-$A$4*$A$4*RTD("tos.rtd",,"VOLUME","."&amp;M$2&amp;M$1&amp;"P"&amp;$A31)*RTD("tos.rtd",,"GAMMA","."&amp;M$2&amp;M$1&amp;"P"&amp;$A31))/1000000),0),IF($A$2="GEX",IFERROR(IF($X$1="ABS",($A$4*$A$4*RTD("tos.rtd",,"OPEN_INT","."&amp;M$2&amp;M$1&amp;"C"&amp;$A31)*RTD("tos.rtd",,"GAMMA","."&amp;M$2&amp;M$1&amp;"C"&amp;$A31)+$A$4*$A$4*RTD("tos.rtd",,"OPEN_INT","."&amp;M$2&amp;M$1&amp;"P"&amp;$A31)*RTD("tos.rtd",,"GAMMA","."&amp;M$2&amp;M$1&amp;"P"&amp;$A31))/1000000,($A$4*$A$4*RTD("tos.rtd",,"OPEN_INT","."&amp;M$2&amp;M$1&amp;"C"&amp;$A31)*RTD("tos.rtd",,"GAMMA","."&amp;M$2&amp;M$1&amp;"C"&amp;$A31)-$A$4*$A$4*RTD("tos.rtd",,"OPEN_INT","."&amp;M$2&amp;M$1&amp;"P"&amp;$A31)*RTD("tos.rtd",,"GAMMA","."&amp;M$2&amp;M$1&amp;"P"&amp;$A31))/1000000),0),IF($A$2="SKEW",IFERROR(VALUE(IF(RTD("tos.rtd",,"IMPL_VOL","."&amp;M$2&amp;M$1&amp;"P"&amp;$A31)="N/A",0,RTD("tos.rtd",,"IMPL_VOL","."&amp;M$2&amp;M$1&amp;"P"&amp;$A31))),0)-IFERROR(VALUE(IF(RTD("tos.rtd",,"IMPL_VOL","."&amp;M$2&amp;M$1&amp;"C"&amp;$A31)="N/A",0,RTD("tos.rtd",,"IMPL_VOL","."&amp;M$2&amp;M$1&amp;"C"&amp;$A31))),0),IF($A$2="MAXPAIN",IF($A$4&gt;$A31,($A$4-$A31)*IF(RTD("tos.rtd",,"OPEN_INT","."&amp;M$2&amp;M$1&amp;"C"&amp;$A31)="N/A",0,RTD("tos.rtd",,"OPEN_INT","."&amp;M$2&amp;M$1&amp;"C"&amp;$A31)),0)+IF($A$4&lt;$A31,($A$5-$A$4)*IF(RTD("tos.rtd",,"OPEN_INT","."&amp;M$2&amp;M$1&amp;"P"&amp;$A31)="N/A",0,RTD("tos.rtd",,"OPEN_INT","."&amp;M$2&amp;M$1&amp;"P"&amp;$A31)),0),IF($X$1="ABS",IF(RTD("tos.rtd",,$A$2,"."&amp;M$2&amp;M$1&amp;"C"&amp;$A31)="N/A",0,RTD("tos.rtd",,$A$2,"."&amp;M$2&amp;M$1&amp;"C"&amp;$A31))+IF(RTD("tos.rtd",,$A$2,"."&amp;M$2&amp;M$1&amp;"P"&amp;$A31)="N/A",0,RTD("tos.rtd",,$A$2,"."&amp;M$2&amp;M$1&amp;"P"&amp;$A31)),IF(RTD("tos.rtd",,$A$2,"."&amp;M$2&amp;M$1&amp;"C"&amp;$A31)="N/A",0,RTD("tos.rtd",,$A$2,"."&amp;M$2&amp;M$1&amp;"C"&amp;$A31))-IF(RTD("tos.rtd",,$A$2,"."&amp;M$2&amp;M$1&amp;"P"&amp;$A31)="N/A",0,RTD("tos.rtd",,$A$2,"."&amp;M$2&amp;M$1&amp;"P"&amp;$A31))))))))))</f>
        <v>0</v>
      </c>
      <c r="N31" s="12">
        <f ca="1">IF($A$2="PREMIUM_OI",IFERROR(IF($X$1="ABS",(100*RTD("tos.rtd",,"OPEN_INT","."&amp;N$2&amp;N$1&amp;"C"&amp;$A31)*RTD("tos.rtd",,"LAST","."&amp;N$2&amp;N$1&amp;"C"&amp;$A31)+100*RTD("tos.rtd",,"OPEN_INT","."&amp;N$2&amp;N$1&amp;"P"&amp;$A31)*RTD("tos.rtd",,"LAST","."&amp;N$2&amp;N$1&amp;"P"&amp;$A31))/1000000,(100*RTD("tos.rtd",,"OPEN_INT","."&amp;N$2&amp;N$1&amp;"C"&amp;$A31)*RTD("tos.rtd",,"LAST","."&amp;N$2&amp;N$1&amp;"C"&amp;$A31)-100*RTD("tos.rtd",,"OPEN_INT","."&amp;N$2&amp;N$1&amp;"P"&amp;$A31)*RTD("tos.rtd",,"LAST","."&amp;N$2&amp;N$1&amp;"P"&amp;$A31))/1000000),0),IF($A$2="PREMIUM",IFERROR(IF($X$1="ABS",(100*RTD("tos.rtd",,"VOLUME","."&amp;N$2&amp;N$1&amp;"C"&amp;$A31)*RTD("tos.rtd",,"LAST","."&amp;N$2&amp;N$1&amp;"C"&amp;$A31)+100*RTD("tos.rtd",,"VOLUME","."&amp;N$2&amp;N$1&amp;"P"&amp;$A31)*RTD("tos.rtd",,"LAST","."&amp;N$2&amp;N$1&amp;"P"&amp;$A31))/1000000,(100*RTD("tos.rtd",,"VOLUME","."&amp;N$2&amp;N$1&amp;"C"&amp;$A31)*RTD("tos.rtd",,"LAST","."&amp;N$2&amp;N$1&amp;"C"&amp;$A31)-100*RTD("tos.rtd",,"VOLUME","."&amp;N$2&amp;N$1&amp;"P"&amp;$A31)*RTD("tos.rtd",,"LAST","."&amp;N$2&amp;N$1&amp;"P"&amp;$A31))/1000000),0),IF($A$2="DEX",IFERROR(IF($X$1="ABS",(100*RTD("tos.rtd",,"OPEN_INT","."&amp;N$2&amp;N$1&amp;"C"&amp;$A31)*RTD("tos.rtd",,"DELTA","."&amp;N$2&amp;N$1&amp;"C"&amp;$A31)+100*RTD("tos.rtd",,"OPEN_INT","."&amp;N$2&amp;N$1&amp;"P"&amp;$A31)*RTD("tos.rtd",,"DELTA","."&amp;N$2&amp;N$1&amp;"P"&amp;$A31))/1000,(100*RTD("tos.rtd",,"OPEN_INT","."&amp;N$2&amp;N$1&amp;"C"&amp;$A31)*RTD("tos.rtd",,"DELTA","."&amp;N$2&amp;N$1&amp;"C"&amp;$A31)-100*RTD("tos.rtd",,"OPEN_INT","."&amp;N$2&amp;N$1&amp;"P"&amp;$A31)*RTD("tos.rtd",,"DELTA","."&amp;N$2&amp;N$1&amp;"P"&amp;$A31))/1000),0),IF($A$2="VEX",IFERROR(IF($X$1="ABS",($A$4*$A$4*RTD("tos.rtd",,"VOLUME","."&amp;N$2&amp;N$1&amp;"C"&amp;$A31)*RTD("tos.rtd",,"GAMMA","."&amp;N$2&amp;N$1&amp;"C"&amp;$A31)+$A$4*$A$4*RTD("tos.rtd",,"VOLUME","."&amp;N$2&amp;N$1&amp;"P"&amp;$A31)*RTD("tos.rtd",,"GAMMA","."&amp;N$2&amp;N$1&amp;"P"&amp;$A31))/1000000,($A$4*$A$4*RTD("tos.rtd",,"VOLUME","."&amp;N$2&amp;N$1&amp;"C"&amp;$A31)*RTD("tos.rtd",,"GAMMA","."&amp;N$2&amp;N$1&amp;"C"&amp;$A31)-$A$4*$A$4*RTD("tos.rtd",,"VOLUME","."&amp;N$2&amp;N$1&amp;"P"&amp;$A31)*RTD("tos.rtd",,"GAMMA","."&amp;N$2&amp;N$1&amp;"P"&amp;$A31))/1000000),0),IF($A$2="GEX",IFERROR(IF($X$1="ABS",($A$4*$A$4*RTD("tos.rtd",,"OPEN_INT","."&amp;N$2&amp;N$1&amp;"C"&amp;$A31)*RTD("tos.rtd",,"GAMMA","."&amp;N$2&amp;N$1&amp;"C"&amp;$A31)+$A$4*$A$4*RTD("tos.rtd",,"OPEN_INT","."&amp;N$2&amp;N$1&amp;"P"&amp;$A31)*RTD("tos.rtd",,"GAMMA","."&amp;N$2&amp;N$1&amp;"P"&amp;$A31))/1000000,($A$4*$A$4*RTD("tos.rtd",,"OPEN_INT","."&amp;N$2&amp;N$1&amp;"C"&amp;$A31)*RTD("tos.rtd",,"GAMMA","."&amp;N$2&amp;N$1&amp;"C"&amp;$A31)-$A$4*$A$4*RTD("tos.rtd",,"OPEN_INT","."&amp;N$2&amp;N$1&amp;"P"&amp;$A31)*RTD("tos.rtd",,"GAMMA","."&amp;N$2&amp;N$1&amp;"P"&amp;$A31))/1000000),0),IF($A$2="SKEW",IFERROR(VALUE(IF(RTD("tos.rtd",,"IMPL_VOL","."&amp;N$2&amp;N$1&amp;"P"&amp;$A31)="N/A",0,RTD("tos.rtd",,"IMPL_VOL","."&amp;N$2&amp;N$1&amp;"P"&amp;$A31))),0)-IFERROR(VALUE(IF(RTD("tos.rtd",,"IMPL_VOL","."&amp;N$2&amp;N$1&amp;"C"&amp;$A31)="N/A",0,RTD("tos.rtd",,"IMPL_VOL","."&amp;N$2&amp;N$1&amp;"C"&amp;$A31))),0),IF($A$2="MAXPAIN",IF($A$4&gt;$A31,($A$4-$A31)*IF(RTD("tos.rtd",,"OPEN_INT","."&amp;N$2&amp;N$1&amp;"C"&amp;$A31)="N/A",0,RTD("tos.rtd",,"OPEN_INT","."&amp;N$2&amp;N$1&amp;"C"&amp;$A31)),0)+IF($A$4&lt;$A31,($A$5-$A$4)*IF(RTD("tos.rtd",,"OPEN_INT","."&amp;N$2&amp;N$1&amp;"P"&amp;$A31)="N/A",0,RTD("tos.rtd",,"OPEN_INT","."&amp;N$2&amp;N$1&amp;"P"&amp;$A31)),0),IF($X$1="ABS",IF(RTD("tos.rtd",,$A$2,"."&amp;N$2&amp;N$1&amp;"C"&amp;$A31)="N/A",0,RTD("tos.rtd",,$A$2,"."&amp;N$2&amp;N$1&amp;"C"&amp;$A31))+IF(RTD("tos.rtd",,$A$2,"."&amp;N$2&amp;N$1&amp;"P"&amp;$A31)="N/A",0,RTD("tos.rtd",,$A$2,"."&amp;N$2&amp;N$1&amp;"P"&amp;$A31)),IF(RTD("tos.rtd",,$A$2,"."&amp;N$2&amp;N$1&amp;"C"&amp;$A31)="N/A",0,RTD("tos.rtd",,$A$2,"."&amp;N$2&amp;N$1&amp;"C"&amp;$A31))-IF(RTD("tos.rtd",,$A$2,"."&amp;N$2&amp;N$1&amp;"P"&amp;$A31)="N/A",0,RTD("tos.rtd",,$A$2,"."&amp;N$2&amp;N$1&amp;"P"&amp;$A31))))))))))</f>
        <v>0</v>
      </c>
      <c r="O31" s="12">
        <f ca="1">IF($A$2="PREMIUM_OI",IFERROR(IF($X$1="ABS",(100*RTD("tos.rtd",,"OPEN_INT","."&amp;O$2&amp;O$1&amp;"C"&amp;$A31)*RTD("tos.rtd",,"LAST","."&amp;O$2&amp;O$1&amp;"C"&amp;$A31)+100*RTD("tos.rtd",,"OPEN_INT","."&amp;O$2&amp;O$1&amp;"P"&amp;$A31)*RTD("tos.rtd",,"LAST","."&amp;O$2&amp;O$1&amp;"P"&amp;$A31))/1000000,(100*RTD("tos.rtd",,"OPEN_INT","."&amp;O$2&amp;O$1&amp;"C"&amp;$A31)*RTD("tos.rtd",,"LAST","."&amp;O$2&amp;O$1&amp;"C"&amp;$A31)-100*RTD("tos.rtd",,"OPEN_INT","."&amp;O$2&amp;O$1&amp;"P"&amp;$A31)*RTD("tos.rtd",,"LAST","."&amp;O$2&amp;O$1&amp;"P"&amp;$A31))/1000000),0),IF($A$2="PREMIUM",IFERROR(IF($X$1="ABS",(100*RTD("tos.rtd",,"VOLUME","."&amp;O$2&amp;O$1&amp;"C"&amp;$A31)*RTD("tos.rtd",,"LAST","."&amp;O$2&amp;O$1&amp;"C"&amp;$A31)+100*RTD("tos.rtd",,"VOLUME","."&amp;O$2&amp;O$1&amp;"P"&amp;$A31)*RTD("tos.rtd",,"LAST","."&amp;O$2&amp;O$1&amp;"P"&amp;$A31))/1000000,(100*RTD("tos.rtd",,"VOLUME","."&amp;O$2&amp;O$1&amp;"C"&amp;$A31)*RTD("tos.rtd",,"LAST","."&amp;O$2&amp;O$1&amp;"C"&amp;$A31)-100*RTD("tos.rtd",,"VOLUME","."&amp;O$2&amp;O$1&amp;"P"&amp;$A31)*RTD("tos.rtd",,"LAST","."&amp;O$2&amp;O$1&amp;"P"&amp;$A31))/1000000),0),IF($A$2="DEX",IFERROR(IF($X$1="ABS",(100*RTD("tos.rtd",,"OPEN_INT","."&amp;O$2&amp;O$1&amp;"C"&amp;$A31)*RTD("tos.rtd",,"DELTA","."&amp;O$2&amp;O$1&amp;"C"&amp;$A31)+100*RTD("tos.rtd",,"OPEN_INT","."&amp;O$2&amp;O$1&amp;"P"&amp;$A31)*RTD("tos.rtd",,"DELTA","."&amp;O$2&amp;O$1&amp;"P"&amp;$A31))/1000,(100*RTD("tos.rtd",,"OPEN_INT","."&amp;O$2&amp;O$1&amp;"C"&amp;$A31)*RTD("tos.rtd",,"DELTA","."&amp;O$2&amp;O$1&amp;"C"&amp;$A31)-100*RTD("tos.rtd",,"OPEN_INT","."&amp;O$2&amp;O$1&amp;"P"&amp;$A31)*RTD("tos.rtd",,"DELTA","."&amp;O$2&amp;O$1&amp;"P"&amp;$A31))/1000),0),IF($A$2="VEX",IFERROR(IF($X$1="ABS",($A$4*$A$4*RTD("tos.rtd",,"VOLUME","."&amp;O$2&amp;O$1&amp;"C"&amp;$A31)*RTD("tos.rtd",,"GAMMA","."&amp;O$2&amp;O$1&amp;"C"&amp;$A31)+$A$4*$A$4*RTD("tos.rtd",,"VOLUME","."&amp;O$2&amp;O$1&amp;"P"&amp;$A31)*RTD("tos.rtd",,"GAMMA","."&amp;O$2&amp;O$1&amp;"P"&amp;$A31))/1000000,($A$4*$A$4*RTD("tos.rtd",,"VOLUME","."&amp;O$2&amp;O$1&amp;"C"&amp;$A31)*RTD("tos.rtd",,"GAMMA","."&amp;O$2&amp;O$1&amp;"C"&amp;$A31)-$A$4*$A$4*RTD("tos.rtd",,"VOLUME","."&amp;O$2&amp;O$1&amp;"P"&amp;$A31)*RTD("tos.rtd",,"GAMMA","."&amp;O$2&amp;O$1&amp;"P"&amp;$A31))/1000000),0),IF($A$2="GEX",IFERROR(IF($X$1="ABS",($A$4*$A$4*RTD("tos.rtd",,"OPEN_INT","."&amp;O$2&amp;O$1&amp;"C"&amp;$A31)*RTD("tos.rtd",,"GAMMA","."&amp;O$2&amp;O$1&amp;"C"&amp;$A31)+$A$4*$A$4*RTD("tos.rtd",,"OPEN_INT","."&amp;O$2&amp;O$1&amp;"P"&amp;$A31)*RTD("tos.rtd",,"GAMMA","."&amp;O$2&amp;O$1&amp;"P"&amp;$A31))/1000000,($A$4*$A$4*RTD("tos.rtd",,"OPEN_INT","."&amp;O$2&amp;O$1&amp;"C"&amp;$A31)*RTD("tos.rtd",,"GAMMA","."&amp;O$2&amp;O$1&amp;"C"&amp;$A31)-$A$4*$A$4*RTD("tos.rtd",,"OPEN_INT","."&amp;O$2&amp;O$1&amp;"P"&amp;$A31)*RTD("tos.rtd",,"GAMMA","."&amp;O$2&amp;O$1&amp;"P"&amp;$A31))/1000000),0),IF($A$2="SKEW",IFERROR(VALUE(IF(RTD("tos.rtd",,"IMPL_VOL","."&amp;O$2&amp;O$1&amp;"P"&amp;$A31)="N/A",0,RTD("tos.rtd",,"IMPL_VOL","."&amp;O$2&amp;O$1&amp;"P"&amp;$A31))),0)-IFERROR(VALUE(IF(RTD("tos.rtd",,"IMPL_VOL","."&amp;O$2&amp;O$1&amp;"C"&amp;$A31)="N/A",0,RTD("tos.rtd",,"IMPL_VOL","."&amp;O$2&amp;O$1&amp;"C"&amp;$A31))),0),IF($A$2="MAXPAIN",IF($A$4&gt;$A31,($A$4-$A31)*IF(RTD("tos.rtd",,"OPEN_INT","."&amp;O$2&amp;O$1&amp;"C"&amp;$A31)="N/A",0,RTD("tos.rtd",,"OPEN_INT","."&amp;O$2&amp;O$1&amp;"C"&amp;$A31)),0)+IF($A$4&lt;$A31,($A$5-$A$4)*IF(RTD("tos.rtd",,"OPEN_INT","."&amp;O$2&amp;O$1&amp;"P"&amp;$A31)="N/A",0,RTD("tos.rtd",,"OPEN_INT","."&amp;O$2&amp;O$1&amp;"P"&amp;$A31)),0),IF($X$1="ABS",IF(RTD("tos.rtd",,$A$2,"."&amp;O$2&amp;O$1&amp;"C"&amp;$A31)="N/A",0,RTD("tos.rtd",,$A$2,"."&amp;O$2&amp;O$1&amp;"C"&amp;$A31))+IF(RTD("tos.rtd",,$A$2,"."&amp;O$2&amp;O$1&amp;"P"&amp;$A31)="N/A",0,RTD("tos.rtd",,$A$2,"."&amp;O$2&amp;O$1&amp;"P"&amp;$A31)),IF(RTD("tos.rtd",,$A$2,"."&amp;O$2&amp;O$1&amp;"C"&amp;$A31)="N/A",0,RTD("tos.rtd",,$A$2,"."&amp;O$2&amp;O$1&amp;"C"&amp;$A31))-IF(RTD("tos.rtd",,$A$2,"."&amp;O$2&amp;O$1&amp;"P"&amp;$A31)="N/A",0,RTD("tos.rtd",,$A$2,"."&amp;O$2&amp;O$1&amp;"P"&amp;$A31))))))))))</f>
        <v>0</v>
      </c>
      <c r="P31" s="12">
        <f ca="1">IF($A$2="PREMIUM_OI",IFERROR(IF($X$1="ABS",(100*RTD("tos.rtd",,"OPEN_INT","."&amp;P$2&amp;P$1&amp;"C"&amp;$A31)*RTD("tos.rtd",,"LAST","."&amp;P$2&amp;P$1&amp;"C"&amp;$A31)+100*RTD("tos.rtd",,"OPEN_INT","."&amp;P$2&amp;P$1&amp;"P"&amp;$A31)*RTD("tos.rtd",,"LAST","."&amp;P$2&amp;P$1&amp;"P"&amp;$A31))/1000000,(100*RTD("tos.rtd",,"OPEN_INT","."&amp;P$2&amp;P$1&amp;"C"&amp;$A31)*RTD("tos.rtd",,"LAST","."&amp;P$2&amp;P$1&amp;"C"&amp;$A31)-100*RTD("tos.rtd",,"OPEN_INT","."&amp;P$2&amp;P$1&amp;"P"&amp;$A31)*RTD("tos.rtd",,"LAST","."&amp;P$2&amp;P$1&amp;"P"&amp;$A31))/1000000),0),IF($A$2="PREMIUM",IFERROR(IF($X$1="ABS",(100*RTD("tos.rtd",,"VOLUME","."&amp;P$2&amp;P$1&amp;"C"&amp;$A31)*RTD("tos.rtd",,"LAST","."&amp;P$2&amp;P$1&amp;"C"&amp;$A31)+100*RTD("tos.rtd",,"VOLUME","."&amp;P$2&amp;P$1&amp;"P"&amp;$A31)*RTD("tos.rtd",,"LAST","."&amp;P$2&amp;P$1&amp;"P"&amp;$A31))/1000000,(100*RTD("tos.rtd",,"VOLUME","."&amp;P$2&amp;P$1&amp;"C"&amp;$A31)*RTD("tos.rtd",,"LAST","."&amp;P$2&amp;P$1&amp;"C"&amp;$A31)-100*RTD("tos.rtd",,"VOLUME","."&amp;P$2&amp;P$1&amp;"P"&amp;$A31)*RTD("tos.rtd",,"LAST","."&amp;P$2&amp;P$1&amp;"P"&amp;$A31))/1000000),0),IF($A$2="DEX",IFERROR(IF($X$1="ABS",(100*RTD("tos.rtd",,"OPEN_INT","."&amp;P$2&amp;P$1&amp;"C"&amp;$A31)*RTD("tos.rtd",,"DELTA","."&amp;P$2&amp;P$1&amp;"C"&amp;$A31)+100*RTD("tos.rtd",,"OPEN_INT","."&amp;P$2&amp;P$1&amp;"P"&amp;$A31)*RTD("tos.rtd",,"DELTA","."&amp;P$2&amp;P$1&amp;"P"&amp;$A31))/1000,(100*RTD("tos.rtd",,"OPEN_INT","."&amp;P$2&amp;P$1&amp;"C"&amp;$A31)*RTD("tos.rtd",,"DELTA","."&amp;P$2&amp;P$1&amp;"C"&amp;$A31)-100*RTD("tos.rtd",,"OPEN_INT","."&amp;P$2&amp;P$1&amp;"P"&amp;$A31)*RTD("tos.rtd",,"DELTA","."&amp;P$2&amp;P$1&amp;"P"&amp;$A31))/1000),0),IF($A$2="VEX",IFERROR(IF($X$1="ABS",($A$4*$A$4*RTD("tos.rtd",,"VOLUME","."&amp;P$2&amp;P$1&amp;"C"&amp;$A31)*RTD("tos.rtd",,"GAMMA","."&amp;P$2&amp;P$1&amp;"C"&amp;$A31)+$A$4*$A$4*RTD("tos.rtd",,"VOLUME","."&amp;P$2&amp;P$1&amp;"P"&amp;$A31)*RTD("tos.rtd",,"GAMMA","."&amp;P$2&amp;P$1&amp;"P"&amp;$A31))/1000000,($A$4*$A$4*RTD("tos.rtd",,"VOLUME","."&amp;P$2&amp;P$1&amp;"C"&amp;$A31)*RTD("tos.rtd",,"GAMMA","."&amp;P$2&amp;P$1&amp;"C"&amp;$A31)-$A$4*$A$4*RTD("tos.rtd",,"VOLUME","."&amp;P$2&amp;P$1&amp;"P"&amp;$A31)*RTD("tos.rtd",,"GAMMA","."&amp;P$2&amp;P$1&amp;"P"&amp;$A31))/1000000),0),IF($A$2="GEX",IFERROR(IF($X$1="ABS",($A$4*$A$4*RTD("tos.rtd",,"OPEN_INT","."&amp;P$2&amp;P$1&amp;"C"&amp;$A31)*RTD("tos.rtd",,"GAMMA","."&amp;P$2&amp;P$1&amp;"C"&amp;$A31)+$A$4*$A$4*RTD("tos.rtd",,"OPEN_INT","."&amp;P$2&amp;P$1&amp;"P"&amp;$A31)*RTD("tos.rtd",,"GAMMA","."&amp;P$2&amp;P$1&amp;"P"&amp;$A31))/1000000,($A$4*$A$4*RTD("tos.rtd",,"OPEN_INT","."&amp;P$2&amp;P$1&amp;"C"&amp;$A31)*RTD("tos.rtd",,"GAMMA","."&amp;P$2&amp;P$1&amp;"C"&amp;$A31)-$A$4*$A$4*RTD("tos.rtd",,"OPEN_INT","."&amp;P$2&amp;P$1&amp;"P"&amp;$A31)*RTD("tos.rtd",,"GAMMA","."&amp;P$2&amp;P$1&amp;"P"&amp;$A31))/1000000),0),IF($A$2="SKEW",IFERROR(VALUE(IF(RTD("tos.rtd",,"IMPL_VOL","."&amp;P$2&amp;P$1&amp;"P"&amp;$A31)="N/A",0,RTD("tos.rtd",,"IMPL_VOL","."&amp;P$2&amp;P$1&amp;"P"&amp;$A31))),0)-IFERROR(VALUE(IF(RTD("tos.rtd",,"IMPL_VOL","."&amp;P$2&amp;P$1&amp;"C"&amp;$A31)="N/A",0,RTD("tos.rtd",,"IMPL_VOL","."&amp;P$2&amp;P$1&amp;"C"&amp;$A31))),0),IF($A$2="MAXPAIN",IF($A$4&gt;$A31,($A$4-$A31)*IF(RTD("tos.rtd",,"OPEN_INT","."&amp;P$2&amp;P$1&amp;"C"&amp;$A31)="N/A",0,RTD("tos.rtd",,"OPEN_INT","."&amp;P$2&amp;P$1&amp;"C"&amp;$A31)),0)+IF($A$4&lt;$A31,($A$5-$A$4)*IF(RTD("tos.rtd",,"OPEN_INT","."&amp;P$2&amp;P$1&amp;"P"&amp;$A31)="N/A",0,RTD("tos.rtd",,"OPEN_INT","."&amp;P$2&amp;P$1&amp;"P"&amp;$A31)),0),IF($X$1="ABS",IF(RTD("tos.rtd",,$A$2,"."&amp;P$2&amp;P$1&amp;"C"&amp;$A31)="N/A",0,RTD("tos.rtd",,$A$2,"."&amp;P$2&amp;P$1&amp;"C"&amp;$A31))+IF(RTD("tos.rtd",,$A$2,"."&amp;P$2&amp;P$1&amp;"P"&amp;$A31)="N/A",0,RTD("tos.rtd",,$A$2,"."&amp;P$2&amp;P$1&amp;"P"&amp;$A31)),IF(RTD("tos.rtd",,$A$2,"."&amp;P$2&amp;P$1&amp;"C"&amp;$A31)="N/A",0,RTD("tos.rtd",,$A$2,"."&amp;P$2&amp;P$1&amp;"C"&amp;$A31))-IF(RTD("tos.rtd",,$A$2,"."&amp;P$2&amp;P$1&amp;"P"&amp;$A31)="N/A",0,RTD("tos.rtd",,$A$2,"."&amp;P$2&amp;P$1&amp;"P"&amp;$A31))))))))))</f>
        <v>0</v>
      </c>
      <c r="Q31" s="12">
        <f ca="1">IF($A$2="PREMIUM_OI",IFERROR(IF($X$1="ABS",(100*RTD("tos.rtd",,"OPEN_INT","."&amp;Q$2&amp;Q$1&amp;"C"&amp;$A31)*RTD("tos.rtd",,"LAST","."&amp;Q$2&amp;Q$1&amp;"C"&amp;$A31)+100*RTD("tos.rtd",,"OPEN_INT","."&amp;Q$2&amp;Q$1&amp;"P"&amp;$A31)*RTD("tos.rtd",,"LAST","."&amp;Q$2&amp;Q$1&amp;"P"&amp;$A31))/1000000,(100*RTD("tos.rtd",,"OPEN_INT","."&amp;Q$2&amp;Q$1&amp;"C"&amp;$A31)*RTD("tos.rtd",,"LAST","."&amp;Q$2&amp;Q$1&amp;"C"&amp;$A31)-100*RTD("tos.rtd",,"OPEN_INT","."&amp;Q$2&amp;Q$1&amp;"P"&amp;$A31)*RTD("tos.rtd",,"LAST","."&amp;Q$2&amp;Q$1&amp;"P"&amp;$A31))/1000000),0),IF($A$2="PREMIUM",IFERROR(IF($X$1="ABS",(100*RTD("tos.rtd",,"VOLUME","."&amp;Q$2&amp;Q$1&amp;"C"&amp;$A31)*RTD("tos.rtd",,"LAST","."&amp;Q$2&amp;Q$1&amp;"C"&amp;$A31)+100*RTD("tos.rtd",,"VOLUME","."&amp;Q$2&amp;Q$1&amp;"P"&amp;$A31)*RTD("tos.rtd",,"LAST","."&amp;Q$2&amp;Q$1&amp;"P"&amp;$A31))/1000000,(100*RTD("tos.rtd",,"VOLUME","."&amp;Q$2&amp;Q$1&amp;"C"&amp;$A31)*RTD("tos.rtd",,"LAST","."&amp;Q$2&amp;Q$1&amp;"C"&amp;$A31)-100*RTD("tos.rtd",,"VOLUME","."&amp;Q$2&amp;Q$1&amp;"P"&amp;$A31)*RTD("tos.rtd",,"LAST","."&amp;Q$2&amp;Q$1&amp;"P"&amp;$A31))/1000000),0),IF($A$2="DEX",IFERROR(IF($X$1="ABS",(100*RTD("tos.rtd",,"OPEN_INT","."&amp;Q$2&amp;Q$1&amp;"C"&amp;$A31)*RTD("tos.rtd",,"DELTA","."&amp;Q$2&amp;Q$1&amp;"C"&amp;$A31)+100*RTD("tos.rtd",,"OPEN_INT","."&amp;Q$2&amp;Q$1&amp;"P"&amp;$A31)*RTD("tos.rtd",,"DELTA","."&amp;Q$2&amp;Q$1&amp;"P"&amp;$A31))/1000,(100*RTD("tos.rtd",,"OPEN_INT","."&amp;Q$2&amp;Q$1&amp;"C"&amp;$A31)*RTD("tos.rtd",,"DELTA","."&amp;Q$2&amp;Q$1&amp;"C"&amp;$A31)-100*RTD("tos.rtd",,"OPEN_INT","."&amp;Q$2&amp;Q$1&amp;"P"&amp;$A31)*RTD("tos.rtd",,"DELTA","."&amp;Q$2&amp;Q$1&amp;"P"&amp;$A31))/1000),0),IF($A$2="VEX",IFERROR(IF($X$1="ABS",($A$4*$A$4*RTD("tos.rtd",,"VOLUME","."&amp;Q$2&amp;Q$1&amp;"C"&amp;$A31)*RTD("tos.rtd",,"GAMMA","."&amp;Q$2&amp;Q$1&amp;"C"&amp;$A31)+$A$4*$A$4*RTD("tos.rtd",,"VOLUME","."&amp;Q$2&amp;Q$1&amp;"P"&amp;$A31)*RTD("tos.rtd",,"GAMMA","."&amp;Q$2&amp;Q$1&amp;"P"&amp;$A31))/1000000,($A$4*$A$4*RTD("tos.rtd",,"VOLUME","."&amp;Q$2&amp;Q$1&amp;"C"&amp;$A31)*RTD("tos.rtd",,"GAMMA","."&amp;Q$2&amp;Q$1&amp;"C"&amp;$A31)-$A$4*$A$4*RTD("tos.rtd",,"VOLUME","."&amp;Q$2&amp;Q$1&amp;"P"&amp;$A31)*RTD("tos.rtd",,"GAMMA","."&amp;Q$2&amp;Q$1&amp;"P"&amp;$A31))/1000000),0),IF($A$2="GEX",IFERROR(IF($X$1="ABS",($A$4*$A$4*RTD("tos.rtd",,"OPEN_INT","."&amp;Q$2&amp;Q$1&amp;"C"&amp;$A31)*RTD("tos.rtd",,"GAMMA","."&amp;Q$2&amp;Q$1&amp;"C"&amp;$A31)+$A$4*$A$4*RTD("tos.rtd",,"OPEN_INT","."&amp;Q$2&amp;Q$1&amp;"P"&amp;$A31)*RTD("tos.rtd",,"GAMMA","."&amp;Q$2&amp;Q$1&amp;"P"&amp;$A31))/1000000,($A$4*$A$4*RTD("tos.rtd",,"OPEN_INT","."&amp;Q$2&amp;Q$1&amp;"C"&amp;$A31)*RTD("tos.rtd",,"GAMMA","."&amp;Q$2&amp;Q$1&amp;"C"&amp;$A31)-$A$4*$A$4*RTD("tos.rtd",,"OPEN_INT","."&amp;Q$2&amp;Q$1&amp;"P"&amp;$A31)*RTD("tos.rtd",,"GAMMA","."&amp;Q$2&amp;Q$1&amp;"P"&amp;$A31))/1000000),0),IF($A$2="SKEW",IFERROR(VALUE(IF(RTD("tos.rtd",,"IMPL_VOL","."&amp;Q$2&amp;Q$1&amp;"P"&amp;$A31)="N/A",0,RTD("tos.rtd",,"IMPL_VOL","."&amp;Q$2&amp;Q$1&amp;"P"&amp;$A31))),0)-IFERROR(VALUE(IF(RTD("tos.rtd",,"IMPL_VOL","."&amp;Q$2&amp;Q$1&amp;"C"&amp;$A31)="N/A",0,RTD("tos.rtd",,"IMPL_VOL","."&amp;Q$2&amp;Q$1&amp;"C"&amp;$A31))),0),IF($A$2="MAXPAIN",IF($A$4&gt;$A31,($A$4-$A31)*IF(RTD("tos.rtd",,"OPEN_INT","."&amp;Q$2&amp;Q$1&amp;"C"&amp;$A31)="N/A",0,RTD("tos.rtd",,"OPEN_INT","."&amp;Q$2&amp;Q$1&amp;"C"&amp;$A31)),0)+IF($A$4&lt;$A31,($A$5-$A$4)*IF(RTD("tos.rtd",,"OPEN_INT","."&amp;Q$2&amp;Q$1&amp;"P"&amp;$A31)="N/A",0,RTD("tos.rtd",,"OPEN_INT","."&amp;Q$2&amp;Q$1&amp;"P"&amp;$A31)),0),IF($X$1="ABS",IF(RTD("tos.rtd",,$A$2,"."&amp;Q$2&amp;Q$1&amp;"C"&amp;$A31)="N/A",0,RTD("tos.rtd",,$A$2,"."&amp;Q$2&amp;Q$1&amp;"C"&amp;$A31))+IF(RTD("tos.rtd",,$A$2,"."&amp;Q$2&amp;Q$1&amp;"P"&amp;$A31)="N/A",0,RTD("tos.rtd",,$A$2,"."&amp;Q$2&amp;Q$1&amp;"P"&amp;$A31)),IF(RTD("tos.rtd",,$A$2,"."&amp;Q$2&amp;Q$1&amp;"C"&amp;$A31)="N/A",0,RTD("tos.rtd",,$A$2,"."&amp;Q$2&amp;Q$1&amp;"C"&amp;$A31))-IF(RTD("tos.rtd",,$A$2,"."&amp;Q$2&amp;Q$1&amp;"P"&amp;$A31)="N/A",0,RTD("tos.rtd",,$A$2,"."&amp;Q$2&amp;Q$1&amp;"P"&amp;$A31))))))))))</f>
        <v>0</v>
      </c>
      <c r="R31" s="12">
        <f ca="1">IF($A$2="PREMIUM_OI",IFERROR(IF($X$1="ABS",(100*RTD("tos.rtd",,"OPEN_INT","."&amp;R$2&amp;R$1&amp;"C"&amp;$A31)*RTD("tos.rtd",,"LAST","."&amp;R$2&amp;R$1&amp;"C"&amp;$A31)+100*RTD("tos.rtd",,"OPEN_INT","."&amp;R$2&amp;R$1&amp;"P"&amp;$A31)*RTD("tos.rtd",,"LAST","."&amp;R$2&amp;R$1&amp;"P"&amp;$A31))/1000000,(100*RTD("tos.rtd",,"OPEN_INT","."&amp;R$2&amp;R$1&amp;"C"&amp;$A31)*RTD("tos.rtd",,"LAST","."&amp;R$2&amp;R$1&amp;"C"&amp;$A31)-100*RTD("tos.rtd",,"OPEN_INT","."&amp;R$2&amp;R$1&amp;"P"&amp;$A31)*RTD("tos.rtd",,"LAST","."&amp;R$2&amp;R$1&amp;"P"&amp;$A31))/1000000),0),IF($A$2="PREMIUM",IFERROR(IF($X$1="ABS",(100*RTD("tos.rtd",,"VOLUME","."&amp;R$2&amp;R$1&amp;"C"&amp;$A31)*RTD("tos.rtd",,"LAST","."&amp;R$2&amp;R$1&amp;"C"&amp;$A31)+100*RTD("tos.rtd",,"VOLUME","."&amp;R$2&amp;R$1&amp;"P"&amp;$A31)*RTD("tos.rtd",,"LAST","."&amp;R$2&amp;R$1&amp;"P"&amp;$A31))/1000000,(100*RTD("tos.rtd",,"VOLUME","."&amp;R$2&amp;R$1&amp;"C"&amp;$A31)*RTD("tos.rtd",,"LAST","."&amp;R$2&amp;R$1&amp;"C"&amp;$A31)-100*RTD("tos.rtd",,"VOLUME","."&amp;R$2&amp;R$1&amp;"P"&amp;$A31)*RTD("tos.rtd",,"LAST","."&amp;R$2&amp;R$1&amp;"P"&amp;$A31))/1000000),0),IF($A$2="DEX",IFERROR(IF($X$1="ABS",(100*RTD("tos.rtd",,"OPEN_INT","."&amp;R$2&amp;R$1&amp;"C"&amp;$A31)*RTD("tos.rtd",,"DELTA","."&amp;R$2&amp;R$1&amp;"C"&amp;$A31)+100*RTD("tos.rtd",,"OPEN_INT","."&amp;R$2&amp;R$1&amp;"P"&amp;$A31)*RTD("tos.rtd",,"DELTA","."&amp;R$2&amp;R$1&amp;"P"&amp;$A31))/1000,(100*RTD("tos.rtd",,"OPEN_INT","."&amp;R$2&amp;R$1&amp;"C"&amp;$A31)*RTD("tos.rtd",,"DELTA","."&amp;R$2&amp;R$1&amp;"C"&amp;$A31)-100*RTD("tos.rtd",,"OPEN_INT","."&amp;R$2&amp;R$1&amp;"P"&amp;$A31)*RTD("tos.rtd",,"DELTA","."&amp;R$2&amp;R$1&amp;"P"&amp;$A31))/1000),0),IF($A$2="VEX",IFERROR(IF($X$1="ABS",($A$4*$A$4*RTD("tos.rtd",,"VOLUME","."&amp;R$2&amp;R$1&amp;"C"&amp;$A31)*RTD("tos.rtd",,"GAMMA","."&amp;R$2&amp;R$1&amp;"C"&amp;$A31)+$A$4*$A$4*RTD("tos.rtd",,"VOLUME","."&amp;R$2&amp;R$1&amp;"P"&amp;$A31)*RTD("tos.rtd",,"GAMMA","."&amp;R$2&amp;R$1&amp;"P"&amp;$A31))/1000000,($A$4*$A$4*RTD("tos.rtd",,"VOLUME","."&amp;R$2&amp;R$1&amp;"C"&amp;$A31)*RTD("tos.rtd",,"GAMMA","."&amp;R$2&amp;R$1&amp;"C"&amp;$A31)-$A$4*$A$4*RTD("tos.rtd",,"VOLUME","."&amp;R$2&amp;R$1&amp;"P"&amp;$A31)*RTD("tos.rtd",,"GAMMA","."&amp;R$2&amp;R$1&amp;"P"&amp;$A31))/1000000),0),IF($A$2="GEX",IFERROR(IF($X$1="ABS",($A$4*$A$4*RTD("tos.rtd",,"OPEN_INT","."&amp;R$2&amp;R$1&amp;"C"&amp;$A31)*RTD("tos.rtd",,"GAMMA","."&amp;R$2&amp;R$1&amp;"C"&amp;$A31)+$A$4*$A$4*RTD("tos.rtd",,"OPEN_INT","."&amp;R$2&amp;R$1&amp;"P"&amp;$A31)*RTD("tos.rtd",,"GAMMA","."&amp;R$2&amp;R$1&amp;"P"&amp;$A31))/1000000,($A$4*$A$4*RTD("tos.rtd",,"OPEN_INT","."&amp;R$2&amp;R$1&amp;"C"&amp;$A31)*RTD("tos.rtd",,"GAMMA","."&amp;R$2&amp;R$1&amp;"C"&amp;$A31)-$A$4*$A$4*RTD("tos.rtd",,"OPEN_INT","."&amp;R$2&amp;R$1&amp;"P"&amp;$A31)*RTD("tos.rtd",,"GAMMA","."&amp;R$2&amp;R$1&amp;"P"&amp;$A31))/1000000),0),IF($A$2="SKEW",IFERROR(VALUE(IF(RTD("tos.rtd",,"IMPL_VOL","."&amp;R$2&amp;R$1&amp;"P"&amp;$A31)="N/A",0,RTD("tos.rtd",,"IMPL_VOL","."&amp;R$2&amp;R$1&amp;"P"&amp;$A31))),0)-IFERROR(VALUE(IF(RTD("tos.rtd",,"IMPL_VOL","."&amp;R$2&amp;R$1&amp;"C"&amp;$A31)="N/A",0,RTD("tos.rtd",,"IMPL_VOL","."&amp;R$2&amp;R$1&amp;"C"&amp;$A31))),0),IF($A$2="MAXPAIN",IF($A$4&gt;$A31,($A$4-$A31)*IF(RTD("tos.rtd",,"OPEN_INT","."&amp;R$2&amp;R$1&amp;"C"&amp;$A31)="N/A",0,RTD("tos.rtd",,"OPEN_INT","."&amp;R$2&amp;R$1&amp;"C"&amp;$A31)),0)+IF($A$4&lt;$A31,($A$5-$A$4)*IF(RTD("tos.rtd",,"OPEN_INT","."&amp;R$2&amp;R$1&amp;"P"&amp;$A31)="N/A",0,RTD("tos.rtd",,"OPEN_INT","."&amp;R$2&amp;R$1&amp;"P"&amp;$A31)),0),IF($X$1="ABS",IF(RTD("tos.rtd",,$A$2,"."&amp;R$2&amp;R$1&amp;"C"&amp;$A31)="N/A",0,RTD("tos.rtd",,$A$2,"."&amp;R$2&amp;R$1&amp;"C"&amp;$A31))+IF(RTD("tos.rtd",,$A$2,"."&amp;R$2&amp;R$1&amp;"P"&amp;$A31)="N/A",0,RTD("tos.rtd",,$A$2,"."&amp;R$2&amp;R$1&amp;"P"&amp;$A31)),IF(RTD("tos.rtd",,$A$2,"."&amp;R$2&amp;R$1&amp;"C"&amp;$A31)="N/A",0,RTD("tos.rtd",,$A$2,"."&amp;R$2&amp;R$1&amp;"C"&amp;$A31))-IF(RTD("tos.rtd",,$A$2,"."&amp;R$2&amp;R$1&amp;"P"&amp;$A31)="N/A",0,RTD("tos.rtd",,$A$2,"."&amp;R$2&amp;R$1&amp;"P"&amp;$A31))))))))))</f>
        <v>0</v>
      </c>
      <c r="S31" s="12">
        <f ca="1">IF($A$2="PREMIUM_OI",IFERROR(IF($X$1="ABS",(100*RTD("tos.rtd",,"OPEN_INT","."&amp;S$2&amp;S$1&amp;"C"&amp;$A31)*RTD("tos.rtd",,"LAST","."&amp;S$2&amp;S$1&amp;"C"&amp;$A31)+100*RTD("tos.rtd",,"OPEN_INT","."&amp;S$2&amp;S$1&amp;"P"&amp;$A31)*RTD("tos.rtd",,"LAST","."&amp;S$2&amp;S$1&amp;"P"&amp;$A31))/1000000,(100*RTD("tos.rtd",,"OPEN_INT","."&amp;S$2&amp;S$1&amp;"C"&amp;$A31)*RTD("tos.rtd",,"LAST","."&amp;S$2&amp;S$1&amp;"C"&amp;$A31)-100*RTD("tos.rtd",,"OPEN_INT","."&amp;S$2&amp;S$1&amp;"P"&amp;$A31)*RTD("tos.rtd",,"LAST","."&amp;S$2&amp;S$1&amp;"P"&amp;$A31))/1000000),0),IF($A$2="PREMIUM",IFERROR(IF($X$1="ABS",(100*RTD("tos.rtd",,"VOLUME","."&amp;S$2&amp;S$1&amp;"C"&amp;$A31)*RTD("tos.rtd",,"LAST","."&amp;S$2&amp;S$1&amp;"C"&amp;$A31)+100*RTD("tos.rtd",,"VOLUME","."&amp;S$2&amp;S$1&amp;"P"&amp;$A31)*RTD("tos.rtd",,"LAST","."&amp;S$2&amp;S$1&amp;"P"&amp;$A31))/1000000,(100*RTD("tos.rtd",,"VOLUME","."&amp;S$2&amp;S$1&amp;"C"&amp;$A31)*RTD("tos.rtd",,"LAST","."&amp;S$2&amp;S$1&amp;"C"&amp;$A31)-100*RTD("tos.rtd",,"VOLUME","."&amp;S$2&amp;S$1&amp;"P"&amp;$A31)*RTD("tos.rtd",,"LAST","."&amp;S$2&amp;S$1&amp;"P"&amp;$A31))/1000000),0),IF($A$2="DEX",IFERROR(IF($X$1="ABS",(100*RTD("tos.rtd",,"OPEN_INT","."&amp;S$2&amp;S$1&amp;"C"&amp;$A31)*RTD("tos.rtd",,"DELTA","."&amp;S$2&amp;S$1&amp;"C"&amp;$A31)+100*RTD("tos.rtd",,"OPEN_INT","."&amp;S$2&amp;S$1&amp;"P"&amp;$A31)*RTD("tos.rtd",,"DELTA","."&amp;S$2&amp;S$1&amp;"P"&amp;$A31))/1000,(100*RTD("tos.rtd",,"OPEN_INT","."&amp;S$2&amp;S$1&amp;"C"&amp;$A31)*RTD("tos.rtd",,"DELTA","."&amp;S$2&amp;S$1&amp;"C"&amp;$A31)-100*RTD("tos.rtd",,"OPEN_INT","."&amp;S$2&amp;S$1&amp;"P"&amp;$A31)*RTD("tos.rtd",,"DELTA","."&amp;S$2&amp;S$1&amp;"P"&amp;$A31))/1000),0),IF($A$2="VEX",IFERROR(IF($X$1="ABS",($A$4*$A$4*RTD("tos.rtd",,"VOLUME","."&amp;S$2&amp;S$1&amp;"C"&amp;$A31)*RTD("tos.rtd",,"GAMMA","."&amp;S$2&amp;S$1&amp;"C"&amp;$A31)+$A$4*$A$4*RTD("tos.rtd",,"VOLUME","."&amp;S$2&amp;S$1&amp;"P"&amp;$A31)*RTD("tos.rtd",,"GAMMA","."&amp;S$2&amp;S$1&amp;"P"&amp;$A31))/1000000,($A$4*$A$4*RTD("tos.rtd",,"VOLUME","."&amp;S$2&amp;S$1&amp;"C"&amp;$A31)*RTD("tos.rtd",,"GAMMA","."&amp;S$2&amp;S$1&amp;"C"&amp;$A31)-$A$4*$A$4*RTD("tos.rtd",,"VOLUME","."&amp;S$2&amp;S$1&amp;"P"&amp;$A31)*RTD("tos.rtd",,"GAMMA","."&amp;S$2&amp;S$1&amp;"P"&amp;$A31))/1000000),0),IF($A$2="GEX",IFERROR(IF($X$1="ABS",($A$4*$A$4*RTD("tos.rtd",,"OPEN_INT","."&amp;S$2&amp;S$1&amp;"C"&amp;$A31)*RTD("tos.rtd",,"GAMMA","."&amp;S$2&amp;S$1&amp;"C"&amp;$A31)+$A$4*$A$4*RTD("tos.rtd",,"OPEN_INT","."&amp;S$2&amp;S$1&amp;"P"&amp;$A31)*RTD("tos.rtd",,"GAMMA","."&amp;S$2&amp;S$1&amp;"P"&amp;$A31))/1000000,($A$4*$A$4*RTD("tos.rtd",,"OPEN_INT","."&amp;S$2&amp;S$1&amp;"C"&amp;$A31)*RTD("tos.rtd",,"GAMMA","."&amp;S$2&amp;S$1&amp;"C"&amp;$A31)-$A$4*$A$4*RTD("tos.rtd",,"OPEN_INT","."&amp;S$2&amp;S$1&amp;"P"&amp;$A31)*RTD("tos.rtd",,"GAMMA","."&amp;S$2&amp;S$1&amp;"P"&amp;$A31))/1000000),0),IF($A$2="SKEW",IFERROR(VALUE(IF(RTD("tos.rtd",,"IMPL_VOL","."&amp;S$2&amp;S$1&amp;"P"&amp;$A31)="N/A",0,RTD("tos.rtd",,"IMPL_VOL","."&amp;S$2&amp;S$1&amp;"P"&amp;$A31))),0)-IFERROR(VALUE(IF(RTD("tos.rtd",,"IMPL_VOL","."&amp;S$2&amp;S$1&amp;"C"&amp;$A31)="N/A",0,RTD("tos.rtd",,"IMPL_VOL","."&amp;S$2&amp;S$1&amp;"C"&amp;$A31))),0),IF($A$2="MAXPAIN",IF($A$4&gt;$A31,($A$4-$A31)*IF(RTD("tos.rtd",,"OPEN_INT","."&amp;S$2&amp;S$1&amp;"C"&amp;$A31)="N/A",0,RTD("tos.rtd",,"OPEN_INT","."&amp;S$2&amp;S$1&amp;"C"&amp;$A31)),0)+IF($A$4&lt;$A31,($A$5-$A$4)*IF(RTD("tos.rtd",,"OPEN_INT","."&amp;S$2&amp;S$1&amp;"P"&amp;$A31)="N/A",0,RTD("tos.rtd",,"OPEN_INT","."&amp;S$2&amp;S$1&amp;"P"&amp;$A31)),0),IF($X$1="ABS",IF(RTD("tos.rtd",,$A$2,"."&amp;S$2&amp;S$1&amp;"C"&amp;$A31)="N/A",0,RTD("tos.rtd",,$A$2,"."&amp;S$2&amp;S$1&amp;"C"&amp;$A31))+IF(RTD("tos.rtd",,$A$2,"."&amp;S$2&amp;S$1&amp;"P"&amp;$A31)="N/A",0,RTD("tos.rtd",,$A$2,"."&amp;S$2&amp;S$1&amp;"P"&amp;$A31)),IF(RTD("tos.rtd",,$A$2,"."&amp;S$2&amp;S$1&amp;"C"&amp;$A31)="N/A",0,RTD("tos.rtd",,$A$2,"."&amp;S$2&amp;S$1&amp;"C"&amp;$A31))-IF(RTD("tos.rtd",,$A$2,"."&amp;S$2&amp;S$1&amp;"P"&amp;$A31)="N/A",0,RTD("tos.rtd",,$A$2,"."&amp;S$2&amp;S$1&amp;"P"&amp;$A31))))))))))</f>
        <v>0</v>
      </c>
      <c r="T31" s="12">
        <f ca="1">IF($A$2="PREMIUM_OI",IFERROR(IF($X$1="ABS",(100*RTD("tos.rtd",,"OPEN_INT","."&amp;T$2&amp;T$1&amp;"C"&amp;$A31)*RTD("tos.rtd",,"LAST","."&amp;T$2&amp;T$1&amp;"C"&amp;$A31)+100*RTD("tos.rtd",,"OPEN_INT","."&amp;T$2&amp;T$1&amp;"P"&amp;$A31)*RTD("tos.rtd",,"LAST","."&amp;T$2&amp;T$1&amp;"P"&amp;$A31))/1000000,(100*RTD("tos.rtd",,"OPEN_INT","."&amp;T$2&amp;T$1&amp;"C"&amp;$A31)*RTD("tos.rtd",,"LAST","."&amp;T$2&amp;T$1&amp;"C"&amp;$A31)-100*RTD("tos.rtd",,"OPEN_INT","."&amp;T$2&amp;T$1&amp;"P"&amp;$A31)*RTD("tos.rtd",,"LAST","."&amp;T$2&amp;T$1&amp;"P"&amp;$A31))/1000000),0),IF($A$2="PREMIUM",IFERROR(IF($X$1="ABS",(100*RTD("tos.rtd",,"VOLUME","."&amp;T$2&amp;T$1&amp;"C"&amp;$A31)*RTD("tos.rtd",,"LAST","."&amp;T$2&amp;T$1&amp;"C"&amp;$A31)+100*RTD("tos.rtd",,"VOLUME","."&amp;T$2&amp;T$1&amp;"P"&amp;$A31)*RTD("tos.rtd",,"LAST","."&amp;T$2&amp;T$1&amp;"P"&amp;$A31))/1000000,(100*RTD("tos.rtd",,"VOLUME","."&amp;T$2&amp;T$1&amp;"C"&amp;$A31)*RTD("tos.rtd",,"LAST","."&amp;T$2&amp;T$1&amp;"C"&amp;$A31)-100*RTD("tos.rtd",,"VOLUME","."&amp;T$2&amp;T$1&amp;"P"&amp;$A31)*RTD("tos.rtd",,"LAST","."&amp;T$2&amp;T$1&amp;"P"&amp;$A31))/1000000),0),IF($A$2="DEX",IFERROR(IF($X$1="ABS",(100*RTD("tos.rtd",,"OPEN_INT","."&amp;T$2&amp;T$1&amp;"C"&amp;$A31)*RTD("tos.rtd",,"DELTA","."&amp;T$2&amp;T$1&amp;"C"&amp;$A31)+100*RTD("tos.rtd",,"OPEN_INT","."&amp;T$2&amp;T$1&amp;"P"&amp;$A31)*RTD("tos.rtd",,"DELTA","."&amp;T$2&amp;T$1&amp;"P"&amp;$A31))/1000,(100*RTD("tos.rtd",,"OPEN_INT","."&amp;T$2&amp;T$1&amp;"C"&amp;$A31)*RTD("tos.rtd",,"DELTA","."&amp;T$2&amp;T$1&amp;"C"&amp;$A31)-100*RTD("tos.rtd",,"OPEN_INT","."&amp;T$2&amp;T$1&amp;"P"&amp;$A31)*RTD("tos.rtd",,"DELTA","."&amp;T$2&amp;T$1&amp;"P"&amp;$A31))/1000),0),IF($A$2="VEX",IFERROR(IF($X$1="ABS",($A$4*$A$4*RTD("tos.rtd",,"VOLUME","."&amp;T$2&amp;T$1&amp;"C"&amp;$A31)*RTD("tos.rtd",,"GAMMA","."&amp;T$2&amp;T$1&amp;"C"&amp;$A31)+$A$4*$A$4*RTD("tos.rtd",,"VOLUME","."&amp;T$2&amp;T$1&amp;"P"&amp;$A31)*RTD("tos.rtd",,"GAMMA","."&amp;T$2&amp;T$1&amp;"P"&amp;$A31))/1000000,($A$4*$A$4*RTD("tos.rtd",,"VOLUME","."&amp;T$2&amp;T$1&amp;"C"&amp;$A31)*RTD("tos.rtd",,"GAMMA","."&amp;T$2&amp;T$1&amp;"C"&amp;$A31)-$A$4*$A$4*RTD("tos.rtd",,"VOLUME","."&amp;T$2&amp;T$1&amp;"P"&amp;$A31)*RTD("tos.rtd",,"GAMMA","."&amp;T$2&amp;T$1&amp;"P"&amp;$A31))/1000000),0),IF($A$2="GEX",IFERROR(IF($X$1="ABS",($A$4*$A$4*RTD("tos.rtd",,"OPEN_INT","."&amp;T$2&amp;T$1&amp;"C"&amp;$A31)*RTD("tos.rtd",,"GAMMA","."&amp;T$2&amp;T$1&amp;"C"&amp;$A31)+$A$4*$A$4*RTD("tos.rtd",,"OPEN_INT","."&amp;T$2&amp;T$1&amp;"P"&amp;$A31)*RTD("tos.rtd",,"GAMMA","."&amp;T$2&amp;T$1&amp;"P"&amp;$A31))/1000000,($A$4*$A$4*RTD("tos.rtd",,"OPEN_INT","."&amp;T$2&amp;T$1&amp;"C"&amp;$A31)*RTD("tos.rtd",,"GAMMA","."&amp;T$2&amp;T$1&amp;"C"&amp;$A31)-$A$4*$A$4*RTD("tos.rtd",,"OPEN_INT","."&amp;T$2&amp;T$1&amp;"P"&amp;$A31)*RTD("tos.rtd",,"GAMMA","."&amp;T$2&amp;T$1&amp;"P"&amp;$A31))/1000000),0),IF($A$2="SKEW",IFERROR(VALUE(IF(RTD("tos.rtd",,"IMPL_VOL","."&amp;T$2&amp;T$1&amp;"P"&amp;$A31)="N/A",0,RTD("tos.rtd",,"IMPL_VOL","."&amp;T$2&amp;T$1&amp;"P"&amp;$A31))),0)-IFERROR(VALUE(IF(RTD("tos.rtd",,"IMPL_VOL","."&amp;T$2&amp;T$1&amp;"C"&amp;$A31)="N/A",0,RTD("tos.rtd",,"IMPL_VOL","."&amp;T$2&amp;T$1&amp;"C"&amp;$A31))),0),IF($A$2="MAXPAIN",IF($A$4&gt;$A31,($A$4-$A31)*IF(RTD("tos.rtd",,"OPEN_INT","."&amp;T$2&amp;T$1&amp;"C"&amp;$A31)="N/A",0,RTD("tos.rtd",,"OPEN_INT","."&amp;T$2&amp;T$1&amp;"C"&amp;$A31)),0)+IF($A$4&lt;$A31,($A$5-$A$4)*IF(RTD("tos.rtd",,"OPEN_INT","."&amp;T$2&amp;T$1&amp;"P"&amp;$A31)="N/A",0,RTD("tos.rtd",,"OPEN_INT","."&amp;T$2&amp;T$1&amp;"P"&amp;$A31)),0),IF($X$1="ABS",IF(RTD("tos.rtd",,$A$2,"."&amp;T$2&amp;T$1&amp;"C"&amp;$A31)="N/A",0,RTD("tos.rtd",,$A$2,"."&amp;T$2&amp;T$1&amp;"C"&amp;$A31))+IF(RTD("tos.rtd",,$A$2,"."&amp;T$2&amp;T$1&amp;"P"&amp;$A31)="N/A",0,RTD("tos.rtd",,$A$2,"."&amp;T$2&amp;T$1&amp;"P"&amp;$A31)),IF(RTD("tos.rtd",,$A$2,"."&amp;T$2&amp;T$1&amp;"C"&amp;$A31)="N/A",0,RTD("tos.rtd",,$A$2,"."&amp;T$2&amp;T$1&amp;"C"&amp;$A31))-IF(RTD("tos.rtd",,$A$2,"."&amp;T$2&amp;T$1&amp;"P"&amp;$A31)="N/A",0,RTD("tos.rtd",,$A$2,"."&amp;T$2&amp;T$1&amp;"P"&amp;$A31))))))))))</f>
        <v>0</v>
      </c>
      <c r="U31" s="12">
        <f ca="1">IF($A$2="PREMIUM_OI",IFERROR(IF($X$1="ABS",(100*RTD("tos.rtd",,"OPEN_INT","."&amp;U$2&amp;U$1&amp;"C"&amp;$A31)*RTD("tos.rtd",,"LAST","."&amp;U$2&amp;U$1&amp;"C"&amp;$A31)+100*RTD("tos.rtd",,"OPEN_INT","."&amp;U$2&amp;U$1&amp;"P"&amp;$A31)*RTD("tos.rtd",,"LAST","."&amp;U$2&amp;U$1&amp;"P"&amp;$A31))/1000000,(100*RTD("tos.rtd",,"OPEN_INT","."&amp;U$2&amp;U$1&amp;"C"&amp;$A31)*RTD("tos.rtd",,"LAST","."&amp;U$2&amp;U$1&amp;"C"&amp;$A31)-100*RTD("tos.rtd",,"OPEN_INT","."&amp;U$2&amp;U$1&amp;"P"&amp;$A31)*RTD("tos.rtd",,"LAST","."&amp;U$2&amp;U$1&amp;"P"&amp;$A31))/1000000),0),IF($A$2="PREMIUM",IFERROR(IF($X$1="ABS",(100*RTD("tos.rtd",,"VOLUME","."&amp;U$2&amp;U$1&amp;"C"&amp;$A31)*RTD("tos.rtd",,"LAST","."&amp;U$2&amp;U$1&amp;"C"&amp;$A31)+100*RTD("tos.rtd",,"VOLUME","."&amp;U$2&amp;U$1&amp;"P"&amp;$A31)*RTD("tos.rtd",,"LAST","."&amp;U$2&amp;U$1&amp;"P"&amp;$A31))/1000000,(100*RTD("tos.rtd",,"VOLUME","."&amp;U$2&amp;U$1&amp;"C"&amp;$A31)*RTD("tos.rtd",,"LAST","."&amp;U$2&amp;U$1&amp;"C"&amp;$A31)-100*RTD("tos.rtd",,"VOLUME","."&amp;U$2&amp;U$1&amp;"P"&amp;$A31)*RTD("tos.rtd",,"LAST","."&amp;U$2&amp;U$1&amp;"P"&amp;$A31))/1000000),0),IF($A$2="DEX",IFERROR(IF($X$1="ABS",(100*RTD("tos.rtd",,"OPEN_INT","."&amp;U$2&amp;U$1&amp;"C"&amp;$A31)*RTD("tos.rtd",,"DELTA","."&amp;U$2&amp;U$1&amp;"C"&amp;$A31)+100*RTD("tos.rtd",,"OPEN_INT","."&amp;U$2&amp;U$1&amp;"P"&amp;$A31)*RTD("tos.rtd",,"DELTA","."&amp;U$2&amp;U$1&amp;"P"&amp;$A31))/1000,(100*RTD("tos.rtd",,"OPEN_INT","."&amp;U$2&amp;U$1&amp;"C"&amp;$A31)*RTD("tos.rtd",,"DELTA","."&amp;U$2&amp;U$1&amp;"C"&amp;$A31)-100*RTD("tos.rtd",,"OPEN_INT","."&amp;U$2&amp;U$1&amp;"P"&amp;$A31)*RTD("tos.rtd",,"DELTA","."&amp;U$2&amp;U$1&amp;"P"&amp;$A31))/1000),0),IF($A$2="VEX",IFERROR(IF($X$1="ABS",($A$4*$A$4*RTD("tos.rtd",,"VOLUME","."&amp;U$2&amp;U$1&amp;"C"&amp;$A31)*RTD("tos.rtd",,"GAMMA","."&amp;U$2&amp;U$1&amp;"C"&amp;$A31)+$A$4*$A$4*RTD("tos.rtd",,"VOLUME","."&amp;U$2&amp;U$1&amp;"P"&amp;$A31)*RTD("tos.rtd",,"GAMMA","."&amp;U$2&amp;U$1&amp;"P"&amp;$A31))/1000000,($A$4*$A$4*RTD("tos.rtd",,"VOLUME","."&amp;U$2&amp;U$1&amp;"C"&amp;$A31)*RTD("tos.rtd",,"GAMMA","."&amp;U$2&amp;U$1&amp;"C"&amp;$A31)-$A$4*$A$4*RTD("tos.rtd",,"VOLUME","."&amp;U$2&amp;U$1&amp;"P"&amp;$A31)*RTD("tos.rtd",,"GAMMA","."&amp;U$2&amp;U$1&amp;"P"&amp;$A31))/1000000),0),IF($A$2="GEX",IFERROR(IF($X$1="ABS",($A$4*$A$4*RTD("tos.rtd",,"OPEN_INT","."&amp;U$2&amp;U$1&amp;"C"&amp;$A31)*RTD("tos.rtd",,"GAMMA","."&amp;U$2&amp;U$1&amp;"C"&amp;$A31)+$A$4*$A$4*RTD("tos.rtd",,"OPEN_INT","."&amp;U$2&amp;U$1&amp;"P"&amp;$A31)*RTD("tos.rtd",,"GAMMA","."&amp;U$2&amp;U$1&amp;"P"&amp;$A31))/1000000,($A$4*$A$4*RTD("tos.rtd",,"OPEN_INT","."&amp;U$2&amp;U$1&amp;"C"&amp;$A31)*RTD("tos.rtd",,"GAMMA","."&amp;U$2&amp;U$1&amp;"C"&amp;$A31)-$A$4*$A$4*RTD("tos.rtd",,"OPEN_INT","."&amp;U$2&amp;U$1&amp;"P"&amp;$A31)*RTD("tos.rtd",,"GAMMA","."&amp;U$2&amp;U$1&amp;"P"&amp;$A31))/1000000),0),IF($A$2="SKEW",IFERROR(VALUE(IF(RTD("tos.rtd",,"IMPL_VOL","."&amp;U$2&amp;U$1&amp;"P"&amp;$A31)="N/A",0,RTD("tos.rtd",,"IMPL_VOL","."&amp;U$2&amp;U$1&amp;"P"&amp;$A31))),0)-IFERROR(VALUE(IF(RTD("tos.rtd",,"IMPL_VOL","."&amp;U$2&amp;U$1&amp;"C"&amp;$A31)="N/A",0,RTD("tos.rtd",,"IMPL_VOL","."&amp;U$2&amp;U$1&amp;"C"&amp;$A31))),0),IF($A$2="MAXPAIN",IF($A$4&gt;$A31,($A$4-$A31)*IF(RTD("tos.rtd",,"OPEN_INT","."&amp;U$2&amp;U$1&amp;"C"&amp;$A31)="N/A",0,RTD("tos.rtd",,"OPEN_INT","."&amp;U$2&amp;U$1&amp;"C"&amp;$A31)),0)+IF($A$4&lt;$A31,($A$5-$A$4)*IF(RTD("tos.rtd",,"OPEN_INT","."&amp;U$2&amp;U$1&amp;"P"&amp;$A31)="N/A",0,RTD("tos.rtd",,"OPEN_INT","."&amp;U$2&amp;U$1&amp;"P"&amp;$A31)),0),IF($X$1="ABS",IF(RTD("tos.rtd",,$A$2,"."&amp;U$2&amp;U$1&amp;"C"&amp;$A31)="N/A",0,RTD("tos.rtd",,$A$2,"."&amp;U$2&amp;U$1&amp;"C"&amp;$A31))+IF(RTD("tos.rtd",,$A$2,"."&amp;U$2&amp;U$1&amp;"P"&amp;$A31)="N/A",0,RTD("tos.rtd",,$A$2,"."&amp;U$2&amp;U$1&amp;"P"&amp;$A31)),IF(RTD("tos.rtd",,$A$2,"."&amp;U$2&amp;U$1&amp;"C"&amp;$A31)="N/A",0,RTD("tos.rtd",,$A$2,"."&amp;U$2&amp;U$1&amp;"C"&amp;$A31))-IF(RTD("tos.rtd",,$A$2,"."&amp;U$2&amp;U$1&amp;"P"&amp;$A31)="N/A",0,RTD("tos.rtd",,$A$2,"."&amp;U$2&amp;U$1&amp;"P"&amp;$A31))))))))))</f>
        <v>0</v>
      </c>
      <c r="V31" s="12">
        <f ca="1">IF($A$2="PREMIUM_OI",IFERROR(IF($X$1="ABS",(100*RTD("tos.rtd",,"OPEN_INT","."&amp;V$2&amp;V$1&amp;"C"&amp;$A31)*RTD("tos.rtd",,"LAST","."&amp;V$2&amp;V$1&amp;"C"&amp;$A31)+100*RTD("tos.rtd",,"OPEN_INT","."&amp;V$2&amp;V$1&amp;"P"&amp;$A31)*RTD("tos.rtd",,"LAST","."&amp;V$2&amp;V$1&amp;"P"&amp;$A31))/1000000,(100*RTD("tos.rtd",,"OPEN_INT","."&amp;V$2&amp;V$1&amp;"C"&amp;$A31)*RTD("tos.rtd",,"LAST","."&amp;V$2&amp;V$1&amp;"C"&amp;$A31)-100*RTD("tos.rtd",,"OPEN_INT","."&amp;V$2&amp;V$1&amp;"P"&amp;$A31)*RTD("tos.rtd",,"LAST","."&amp;V$2&amp;V$1&amp;"P"&amp;$A31))/1000000),0),IF($A$2="PREMIUM",IFERROR(IF($X$1="ABS",(100*RTD("tos.rtd",,"VOLUME","."&amp;V$2&amp;V$1&amp;"C"&amp;$A31)*RTD("tos.rtd",,"LAST","."&amp;V$2&amp;V$1&amp;"C"&amp;$A31)+100*RTD("tos.rtd",,"VOLUME","."&amp;V$2&amp;V$1&amp;"P"&amp;$A31)*RTD("tos.rtd",,"LAST","."&amp;V$2&amp;V$1&amp;"P"&amp;$A31))/1000000,(100*RTD("tos.rtd",,"VOLUME","."&amp;V$2&amp;V$1&amp;"C"&amp;$A31)*RTD("tos.rtd",,"LAST","."&amp;V$2&amp;V$1&amp;"C"&amp;$A31)-100*RTD("tos.rtd",,"VOLUME","."&amp;V$2&amp;V$1&amp;"P"&amp;$A31)*RTD("tos.rtd",,"LAST","."&amp;V$2&amp;V$1&amp;"P"&amp;$A31))/1000000),0),IF($A$2="DEX",IFERROR(IF($X$1="ABS",(100*RTD("tos.rtd",,"OPEN_INT","."&amp;V$2&amp;V$1&amp;"C"&amp;$A31)*RTD("tos.rtd",,"DELTA","."&amp;V$2&amp;V$1&amp;"C"&amp;$A31)+100*RTD("tos.rtd",,"OPEN_INT","."&amp;V$2&amp;V$1&amp;"P"&amp;$A31)*RTD("tos.rtd",,"DELTA","."&amp;V$2&amp;V$1&amp;"P"&amp;$A31))/1000,(100*RTD("tos.rtd",,"OPEN_INT","."&amp;V$2&amp;V$1&amp;"C"&amp;$A31)*RTD("tos.rtd",,"DELTA","."&amp;V$2&amp;V$1&amp;"C"&amp;$A31)-100*RTD("tos.rtd",,"OPEN_INT","."&amp;V$2&amp;V$1&amp;"P"&amp;$A31)*RTD("tos.rtd",,"DELTA","."&amp;V$2&amp;V$1&amp;"P"&amp;$A31))/1000),0),IF($A$2="VEX",IFERROR(IF($X$1="ABS",($A$4*$A$4*RTD("tos.rtd",,"VOLUME","."&amp;V$2&amp;V$1&amp;"C"&amp;$A31)*RTD("tos.rtd",,"GAMMA","."&amp;V$2&amp;V$1&amp;"C"&amp;$A31)+$A$4*$A$4*RTD("tos.rtd",,"VOLUME","."&amp;V$2&amp;V$1&amp;"P"&amp;$A31)*RTD("tos.rtd",,"GAMMA","."&amp;V$2&amp;V$1&amp;"P"&amp;$A31))/1000000,($A$4*$A$4*RTD("tos.rtd",,"VOLUME","."&amp;V$2&amp;V$1&amp;"C"&amp;$A31)*RTD("tos.rtd",,"GAMMA","."&amp;V$2&amp;V$1&amp;"C"&amp;$A31)-$A$4*$A$4*RTD("tos.rtd",,"VOLUME","."&amp;V$2&amp;V$1&amp;"P"&amp;$A31)*RTD("tos.rtd",,"GAMMA","."&amp;V$2&amp;V$1&amp;"P"&amp;$A31))/1000000),0),IF($A$2="GEX",IFERROR(IF($X$1="ABS",($A$4*$A$4*RTD("tos.rtd",,"OPEN_INT","."&amp;V$2&amp;V$1&amp;"C"&amp;$A31)*RTD("tos.rtd",,"GAMMA","."&amp;V$2&amp;V$1&amp;"C"&amp;$A31)+$A$4*$A$4*RTD("tos.rtd",,"OPEN_INT","."&amp;V$2&amp;V$1&amp;"P"&amp;$A31)*RTD("tos.rtd",,"GAMMA","."&amp;V$2&amp;V$1&amp;"P"&amp;$A31))/1000000,($A$4*$A$4*RTD("tos.rtd",,"OPEN_INT","."&amp;V$2&amp;V$1&amp;"C"&amp;$A31)*RTD("tos.rtd",,"GAMMA","."&amp;V$2&amp;V$1&amp;"C"&amp;$A31)-$A$4*$A$4*RTD("tos.rtd",,"OPEN_INT","."&amp;V$2&amp;V$1&amp;"P"&amp;$A31)*RTD("tos.rtd",,"GAMMA","."&amp;V$2&amp;V$1&amp;"P"&amp;$A31))/1000000),0),IF($A$2="SKEW",IFERROR(VALUE(IF(RTD("tos.rtd",,"IMPL_VOL","."&amp;V$2&amp;V$1&amp;"P"&amp;$A31)="N/A",0,RTD("tos.rtd",,"IMPL_VOL","."&amp;V$2&amp;V$1&amp;"P"&amp;$A31))),0)-IFERROR(VALUE(IF(RTD("tos.rtd",,"IMPL_VOL","."&amp;V$2&amp;V$1&amp;"C"&amp;$A31)="N/A",0,RTD("tos.rtd",,"IMPL_VOL","."&amp;V$2&amp;V$1&amp;"C"&amp;$A31))),0),IF($A$2="MAXPAIN",IF($A$4&gt;$A31,($A$4-$A31)*IF(RTD("tos.rtd",,"OPEN_INT","."&amp;V$2&amp;V$1&amp;"C"&amp;$A31)="N/A",0,RTD("tos.rtd",,"OPEN_INT","."&amp;V$2&amp;V$1&amp;"C"&amp;$A31)),0)+IF($A$4&lt;$A31,($A$5-$A$4)*IF(RTD("tos.rtd",,"OPEN_INT","."&amp;V$2&amp;V$1&amp;"P"&amp;$A31)="N/A",0,RTD("tos.rtd",,"OPEN_INT","."&amp;V$2&amp;V$1&amp;"P"&amp;$A31)),0),IF($X$1="ABS",IF(RTD("tos.rtd",,$A$2,"."&amp;V$2&amp;V$1&amp;"C"&amp;$A31)="N/A",0,RTD("tos.rtd",,$A$2,"."&amp;V$2&amp;V$1&amp;"C"&amp;$A31))+IF(RTD("tos.rtd",,$A$2,"."&amp;V$2&amp;V$1&amp;"P"&amp;$A31)="N/A",0,RTD("tos.rtd",,$A$2,"."&amp;V$2&amp;V$1&amp;"P"&amp;$A31)),IF(RTD("tos.rtd",,$A$2,"."&amp;V$2&amp;V$1&amp;"C"&amp;$A31)="N/A",0,RTD("tos.rtd",,$A$2,"."&amp;V$2&amp;V$1&amp;"C"&amp;$A31))-IF(RTD("tos.rtd",,$A$2,"."&amp;V$2&amp;V$1&amp;"P"&amp;$A31)="N/A",0,RTD("tos.rtd",,$A$2,"."&amp;V$2&amp;V$1&amp;"P"&amp;$A31))))))))))</f>
        <v>0</v>
      </c>
      <c r="W31" s="54">
        <f ca="1">IF($A$2="PREMIUM_OI",IFERROR(IF($X$1="ABS",(100*RTD("tos.rtd",,"OPEN_INT","."&amp;W$2&amp;W$1&amp;"C"&amp;$A31)*RTD("tos.rtd",,"LAST","."&amp;W$2&amp;W$1&amp;"C"&amp;$A31)+100*RTD("tos.rtd",,"OPEN_INT","."&amp;W$2&amp;W$1&amp;"P"&amp;$A31)*RTD("tos.rtd",,"LAST","."&amp;W$2&amp;W$1&amp;"P"&amp;$A31))/1000000,(100*RTD("tos.rtd",,"OPEN_INT","."&amp;W$2&amp;W$1&amp;"C"&amp;$A31)*RTD("tos.rtd",,"LAST","."&amp;W$2&amp;W$1&amp;"C"&amp;$A31)-100*RTD("tos.rtd",,"OPEN_INT","."&amp;W$2&amp;W$1&amp;"P"&amp;$A31)*RTD("tos.rtd",,"LAST","."&amp;W$2&amp;W$1&amp;"P"&amp;$A31))/1000000),0),IF($A$2="PREMIUM",IFERROR(IF($X$1="ABS",(100*RTD("tos.rtd",,"VOLUME","."&amp;W$2&amp;W$1&amp;"C"&amp;$A31)*RTD("tos.rtd",,"LAST","."&amp;W$2&amp;W$1&amp;"C"&amp;$A31)+100*RTD("tos.rtd",,"VOLUME","."&amp;W$2&amp;W$1&amp;"P"&amp;$A31)*RTD("tos.rtd",,"LAST","."&amp;W$2&amp;W$1&amp;"P"&amp;$A31))/1000000,(100*RTD("tos.rtd",,"VOLUME","."&amp;W$2&amp;W$1&amp;"C"&amp;$A31)*RTD("tos.rtd",,"LAST","."&amp;W$2&amp;W$1&amp;"C"&amp;$A31)-100*RTD("tos.rtd",,"VOLUME","."&amp;W$2&amp;W$1&amp;"P"&amp;$A31)*RTD("tos.rtd",,"LAST","."&amp;W$2&amp;W$1&amp;"P"&amp;$A31))/1000000),0),IF($A$2="DEX",IFERROR(IF($X$1="ABS",(100*RTD("tos.rtd",,"OPEN_INT","."&amp;W$2&amp;W$1&amp;"C"&amp;$A31)*RTD("tos.rtd",,"DELTA","."&amp;W$2&amp;W$1&amp;"C"&amp;$A31)+100*RTD("tos.rtd",,"OPEN_INT","."&amp;W$2&amp;W$1&amp;"P"&amp;$A31)*RTD("tos.rtd",,"DELTA","."&amp;W$2&amp;W$1&amp;"P"&amp;$A31))/1000,(100*RTD("tos.rtd",,"OPEN_INT","."&amp;W$2&amp;W$1&amp;"C"&amp;$A31)*RTD("tos.rtd",,"DELTA","."&amp;W$2&amp;W$1&amp;"C"&amp;$A31)-100*RTD("tos.rtd",,"OPEN_INT","."&amp;W$2&amp;W$1&amp;"P"&amp;$A31)*RTD("tos.rtd",,"DELTA","."&amp;W$2&amp;W$1&amp;"P"&amp;$A31))/1000),0),IF($A$2="VEX",IFERROR(IF($X$1="ABS",($A$4*$A$4*RTD("tos.rtd",,"VOLUME","."&amp;W$2&amp;W$1&amp;"C"&amp;$A31)*RTD("tos.rtd",,"GAMMA","."&amp;W$2&amp;W$1&amp;"C"&amp;$A31)+$A$4*$A$4*RTD("tos.rtd",,"VOLUME","."&amp;W$2&amp;W$1&amp;"P"&amp;$A31)*RTD("tos.rtd",,"GAMMA","."&amp;W$2&amp;W$1&amp;"P"&amp;$A31))/1000000,($A$4*$A$4*RTD("tos.rtd",,"VOLUME","."&amp;W$2&amp;W$1&amp;"C"&amp;$A31)*RTD("tos.rtd",,"GAMMA","."&amp;W$2&amp;W$1&amp;"C"&amp;$A31)-$A$4*$A$4*RTD("tos.rtd",,"VOLUME","."&amp;W$2&amp;W$1&amp;"P"&amp;$A31)*RTD("tos.rtd",,"GAMMA","."&amp;W$2&amp;W$1&amp;"P"&amp;$A31))/1000000),0),IF($A$2="GEX",IFERROR(IF($X$1="ABS",($A$4*$A$4*RTD("tos.rtd",,"OPEN_INT","."&amp;W$2&amp;W$1&amp;"C"&amp;$A31)*RTD("tos.rtd",,"GAMMA","."&amp;W$2&amp;W$1&amp;"C"&amp;$A31)+$A$4*$A$4*RTD("tos.rtd",,"OPEN_INT","."&amp;W$2&amp;W$1&amp;"P"&amp;$A31)*RTD("tos.rtd",,"GAMMA","."&amp;W$2&amp;W$1&amp;"P"&amp;$A31))/1000000,($A$4*$A$4*RTD("tos.rtd",,"OPEN_INT","."&amp;W$2&amp;W$1&amp;"C"&amp;$A31)*RTD("tos.rtd",,"GAMMA","."&amp;W$2&amp;W$1&amp;"C"&amp;$A31)-$A$4*$A$4*RTD("tos.rtd",,"OPEN_INT","."&amp;W$2&amp;W$1&amp;"P"&amp;$A31)*RTD("tos.rtd",,"GAMMA","."&amp;W$2&amp;W$1&amp;"P"&amp;$A31))/1000000),0),IF($A$2="SKEW",IFERROR(VALUE(IF(RTD("tos.rtd",,"IMPL_VOL","."&amp;W$2&amp;W$1&amp;"P"&amp;$A31)="N/A",0,RTD("tos.rtd",,"IMPL_VOL","."&amp;W$2&amp;W$1&amp;"P"&amp;$A31))),0)-IFERROR(VALUE(IF(RTD("tos.rtd",,"IMPL_VOL","."&amp;W$2&amp;W$1&amp;"C"&amp;$A31)="N/A",0,RTD("tos.rtd",,"IMPL_VOL","."&amp;W$2&amp;W$1&amp;"C"&amp;$A31))),0),IF($A$2="MAXPAIN",IF($A$4&gt;$A31,($A$4-$A31)*IF(RTD("tos.rtd",,"OPEN_INT","."&amp;W$2&amp;W$1&amp;"C"&amp;$A31)="N/A",0,RTD("tos.rtd",,"OPEN_INT","."&amp;W$2&amp;W$1&amp;"C"&amp;$A31)),0)+IF($A$4&lt;$A31,($A$5-$A$4)*IF(RTD("tos.rtd",,"OPEN_INT","."&amp;W$2&amp;W$1&amp;"P"&amp;$A31)="N/A",0,RTD("tos.rtd",,"OPEN_INT","."&amp;W$2&amp;W$1&amp;"P"&amp;$A31)),0),IF($X$1="ABS",IF(RTD("tos.rtd",,$A$2,"."&amp;W$2&amp;W$1&amp;"C"&amp;$A31)="N/A",0,RTD("tos.rtd",,$A$2,"."&amp;W$2&amp;W$1&amp;"C"&amp;$A31))+IF(RTD("tos.rtd",,$A$2,"."&amp;W$2&amp;W$1&amp;"P"&amp;$A31)="N/A",0,RTD("tos.rtd",,$A$2,"."&amp;W$2&amp;W$1&amp;"P"&amp;$A31)),IF(RTD("tos.rtd",,$A$2,"."&amp;W$2&amp;W$1&amp;"C"&amp;$A31)="N/A",0,RTD("tos.rtd",,$A$2,"."&amp;W$2&amp;W$1&amp;"C"&amp;$A31))-IF(RTD("tos.rtd",,$A$2,"."&amp;W$2&amp;W$1&amp;"P"&amp;$A31)="N/A",0,RTD("tos.rtd",,$A$2,"."&amp;W$2&amp;W$1&amp;"P"&amp;$A31))))))))))</f>
        <v>0</v>
      </c>
      <c r="X31" s="57">
        <f t="shared" ca="1" si="8"/>
        <v>0</v>
      </c>
      <c r="Y31" s="27">
        <f t="shared" ca="1" si="9"/>
        <v>0</v>
      </c>
      <c r="Z31" s="27">
        <f ca="1">+'OI-VOL'!Y31</f>
        <v>39080</v>
      </c>
      <c r="AA31" s="27" t="b">
        <f t="shared" ca="1" si="10"/>
        <v>0</v>
      </c>
      <c r="AB31" s="27">
        <f t="shared" si="11"/>
        <v>11532600</v>
      </c>
      <c r="AC31" s="18">
        <f>MAX(0, $A31-AC$4)*IF(RTD("tos.rtd",,"OPEN_INT","."&amp;$AB$3&amp;$AB$4&amp;"C"&amp;AC$4)="N/A",0,RTD("tos.rtd",,"OPEN_INT","."&amp;$AB$3&amp;$AB$4&amp;"C"&amp;AC$4))*100 + MAX(0, AC$4-$A31)*IF(RTD("tos.rtd",,"OPEN_INT","."&amp;$AB$3&amp;$AB$4&amp;"P"&amp;AC$4)="N/A",0,RTD("tos.rtd",,"OPEN_INT","."&amp;$AB$3&amp;$AB$4&amp;"P"&amp;AC$4))*100</f>
        <v>0</v>
      </c>
      <c r="AD31" s="18">
        <f>MAX(0, $A31-AD$4)*IF(RTD("tos.rtd",,"OPEN_INT","."&amp;$AB$3&amp;$AB$4&amp;"C"&amp;AD$4)="N/A",0,RTD("tos.rtd",,"OPEN_INT","."&amp;$AB$3&amp;$AB$4&amp;"C"&amp;AD$4))*100 + MAX(0, AD$4-$A31)*IF(RTD("tos.rtd",,"OPEN_INT","."&amp;$AB$3&amp;$AB$4&amp;"P"&amp;AD$4)="N/A",0,RTD("tos.rtd",,"OPEN_INT","."&amp;$AB$3&amp;$AB$4&amp;"P"&amp;AD$4))*100</f>
        <v>0</v>
      </c>
      <c r="AE31" s="18">
        <f>MAX(0, $A31-AE$4)*IF(RTD("tos.rtd",,"OPEN_INT","."&amp;$AB$3&amp;$AB$4&amp;"C"&amp;AE$4)="N/A",0,RTD("tos.rtd",,"OPEN_INT","."&amp;$AB$3&amp;$AB$4&amp;"C"&amp;AE$4))*100 + MAX(0, AE$4-$A31)*IF(RTD("tos.rtd",,"OPEN_INT","."&amp;$AB$3&amp;$AB$4&amp;"P"&amp;AE$4)="N/A",0,RTD("tos.rtd",,"OPEN_INT","."&amp;$AB$3&amp;$AB$4&amp;"P"&amp;AE$4))*100</f>
        <v>0</v>
      </c>
      <c r="AF31" s="18">
        <f>MAX(0, $A31-AF$4)*IF(RTD("tos.rtd",,"OPEN_INT","."&amp;$AB$3&amp;$AB$4&amp;"C"&amp;AF$4)="N/A",0,RTD("tos.rtd",,"OPEN_INT","."&amp;$AB$3&amp;$AB$4&amp;"C"&amp;AF$4))*100 + MAX(0, AF$4-$A31)*IF(RTD("tos.rtd",,"OPEN_INT","."&amp;$AB$3&amp;$AB$4&amp;"P"&amp;AF$4)="N/A",0,RTD("tos.rtd",,"OPEN_INT","."&amp;$AB$3&amp;$AB$4&amp;"P"&amp;AF$4))*100</f>
        <v>0</v>
      </c>
      <c r="AG31" s="18">
        <f>MAX(0, $A31-AG$4)*IF(RTD("tos.rtd",,"OPEN_INT","."&amp;$AB$3&amp;$AB$4&amp;"C"&amp;AG$4)="N/A",0,RTD("tos.rtd",,"OPEN_INT","."&amp;$AB$3&amp;$AB$4&amp;"C"&amp;AG$4))*100 + MAX(0, AG$4-$A31)*IF(RTD("tos.rtd",,"OPEN_INT","."&amp;$AB$3&amp;$AB$4&amp;"P"&amp;AG$4)="N/A",0,RTD("tos.rtd",,"OPEN_INT","."&amp;$AB$3&amp;$AB$4&amp;"P"&amp;AG$4))*100</f>
        <v>0</v>
      </c>
      <c r="AH31" s="18">
        <f>MAX(0, $A31-AH$4)*IF(RTD("tos.rtd",,"OPEN_INT","."&amp;$AB$3&amp;$AB$4&amp;"C"&amp;AH$4)="N/A",0,RTD("tos.rtd",,"OPEN_INT","."&amp;$AB$3&amp;$AB$4&amp;"C"&amp;AH$4))*100 + MAX(0, AH$4-$A31)*IF(RTD("tos.rtd",,"OPEN_INT","."&amp;$AB$3&amp;$AB$4&amp;"P"&amp;AH$4)="N/A",0,RTD("tos.rtd",,"OPEN_INT","."&amp;$AB$3&amp;$AB$4&amp;"P"&amp;AH$4))*100</f>
        <v>0</v>
      </c>
      <c r="AI31" s="18">
        <f>MAX(0, $A31-AI$4)*IF(RTD("tos.rtd",,"OPEN_INT","."&amp;$AB$3&amp;$AB$4&amp;"C"&amp;AI$4)="N/A",0,RTD("tos.rtd",,"OPEN_INT","."&amp;$AB$3&amp;$AB$4&amp;"C"&amp;AI$4))*100 + MAX(0, AI$4-$A31)*IF(RTD("tos.rtd",,"OPEN_INT","."&amp;$AB$3&amp;$AB$4&amp;"P"&amp;AI$4)="N/A",0,RTD("tos.rtd",,"OPEN_INT","."&amp;$AB$3&amp;$AB$4&amp;"P"&amp;AI$4))*100</f>
        <v>0</v>
      </c>
      <c r="AJ31" s="18">
        <f>MAX(0, $A31-AJ$4)*IF(RTD("tos.rtd",,"OPEN_INT","."&amp;$AB$3&amp;$AB$4&amp;"C"&amp;AJ$4)="N/A",0,RTD("tos.rtd",,"OPEN_INT","."&amp;$AB$3&amp;$AB$4&amp;"C"&amp;AJ$4))*100 + MAX(0, AJ$4-$A31)*IF(RTD("tos.rtd",,"OPEN_INT","."&amp;$AB$3&amp;$AB$4&amp;"P"&amp;AJ$4)="N/A",0,RTD("tos.rtd",,"OPEN_INT","."&amp;$AB$3&amp;$AB$4&amp;"P"&amp;AJ$4))*100</f>
        <v>2850</v>
      </c>
      <c r="AK31" s="18">
        <f>MAX(0, $A31-AK$4)*IF(RTD("tos.rtd",,"OPEN_INT","."&amp;$AB$3&amp;$AB$4&amp;"C"&amp;AK$4)="N/A",0,RTD("tos.rtd",,"OPEN_INT","."&amp;$AB$3&amp;$AB$4&amp;"C"&amp;AK$4))*100 + MAX(0, AK$4-$A31)*IF(RTD("tos.rtd",,"OPEN_INT","."&amp;$AB$3&amp;$AB$4&amp;"P"&amp;AK$4)="N/A",0,RTD("tos.rtd",,"OPEN_INT","."&amp;$AB$3&amp;$AB$4&amp;"P"&amp;AK$4))*100</f>
        <v>7200</v>
      </c>
      <c r="AL31" s="18">
        <f>MAX(0, $A31-AL$4)*IF(RTD("tos.rtd",,"OPEN_INT","."&amp;$AB$3&amp;$AB$4&amp;"C"&amp;AL$4)="N/A",0,RTD("tos.rtd",,"OPEN_INT","."&amp;$AB$3&amp;$AB$4&amp;"C"&amp;AL$4))*100 + MAX(0, AL$4-$A31)*IF(RTD("tos.rtd",,"OPEN_INT","."&amp;$AB$3&amp;$AB$4&amp;"P"&amp;AL$4)="N/A",0,RTD("tos.rtd",,"OPEN_INT","."&amp;$AB$3&amp;$AB$4&amp;"P"&amp;AL$4))*100</f>
        <v>0</v>
      </c>
      <c r="AM31" s="18">
        <f>MAX(0, $A31-AM$4)*IF(RTD("tos.rtd",,"OPEN_INT","."&amp;$AB$3&amp;$AB$4&amp;"C"&amp;AM$4)="N/A",0,RTD("tos.rtd",,"OPEN_INT","."&amp;$AB$3&amp;$AB$4&amp;"C"&amp;AM$4))*100 + MAX(0, AM$4-$A31)*IF(RTD("tos.rtd",,"OPEN_INT","."&amp;$AB$3&amp;$AB$4&amp;"P"&amp;AM$4)="N/A",0,RTD("tos.rtd",,"OPEN_INT","."&amp;$AB$3&amp;$AB$4&amp;"P"&amp;AM$4))*100</f>
        <v>0</v>
      </c>
      <c r="AN31" s="18">
        <f>MAX(0, $A31-AN$4)*IF(RTD("tos.rtd",,"OPEN_INT","."&amp;$AB$3&amp;$AB$4&amp;"C"&amp;AN$4)="N/A",0,RTD("tos.rtd",,"OPEN_INT","."&amp;$AB$3&amp;$AB$4&amp;"C"&amp;AN$4))*100 + MAX(0, AN$4-$A31)*IF(RTD("tos.rtd",,"OPEN_INT","."&amp;$AB$3&amp;$AB$4&amp;"P"&amp;AN$4)="N/A",0,RTD("tos.rtd",,"OPEN_INT","."&amp;$AB$3&amp;$AB$4&amp;"P"&amp;AN$4))*100</f>
        <v>0</v>
      </c>
      <c r="AO31" s="18">
        <f>MAX(0, $A31-AO$4)*IF(RTD("tos.rtd",,"OPEN_INT","."&amp;$AB$3&amp;$AB$4&amp;"C"&amp;AO$4)="N/A",0,RTD("tos.rtd",,"OPEN_INT","."&amp;$AB$3&amp;$AB$4&amp;"C"&amp;AO$4))*100 + MAX(0, AO$4-$A31)*IF(RTD("tos.rtd",,"OPEN_INT","."&amp;$AB$3&amp;$AB$4&amp;"P"&amp;AO$4)="N/A",0,RTD("tos.rtd",,"OPEN_INT","."&amp;$AB$3&amp;$AB$4&amp;"P"&amp;AO$4))*100</f>
        <v>0</v>
      </c>
      <c r="AP31" s="18">
        <f>MAX(0, $A31-AP$4)*IF(RTD("tos.rtd",,"OPEN_INT","."&amp;$AB$3&amp;$AB$4&amp;"C"&amp;AP$4)="N/A",0,RTD("tos.rtd",,"OPEN_INT","."&amp;$AB$3&amp;$AB$4&amp;"C"&amp;AP$4))*100 + MAX(0, AP$4-$A31)*IF(RTD("tos.rtd",,"OPEN_INT","."&amp;$AB$3&amp;$AB$4&amp;"P"&amp;AP$4)="N/A",0,RTD("tos.rtd",,"OPEN_INT","."&amp;$AB$3&amp;$AB$4&amp;"P"&amp;AP$4))*100</f>
        <v>78000</v>
      </c>
      <c r="AQ31" s="18">
        <f>MAX(0, $A31-AQ$4)*IF(RTD("tos.rtd",,"OPEN_INT","."&amp;$AB$3&amp;$AB$4&amp;"C"&amp;AQ$4)="N/A",0,RTD("tos.rtd",,"OPEN_INT","."&amp;$AB$3&amp;$AB$4&amp;"C"&amp;AQ$4))*100 + MAX(0, AQ$4-$A31)*IF(RTD("tos.rtd",,"OPEN_INT","."&amp;$AB$3&amp;$AB$4&amp;"P"&amp;AQ$4)="N/A",0,RTD("tos.rtd",,"OPEN_INT","."&amp;$AB$3&amp;$AB$4&amp;"P"&amp;AQ$4))*100</f>
        <v>0</v>
      </c>
      <c r="AR31" s="18">
        <f>MAX(0, $A31-AR$4)*IF(RTD("tos.rtd",,"OPEN_INT","."&amp;$AB$3&amp;$AB$4&amp;"C"&amp;AR$4)="N/A",0,RTD("tos.rtd",,"OPEN_INT","."&amp;$AB$3&amp;$AB$4&amp;"C"&amp;AR$4))*100 + MAX(0, AR$4-$A31)*IF(RTD("tos.rtd",,"OPEN_INT","."&amp;$AB$3&amp;$AB$4&amp;"P"&amp;AR$4)="N/A",0,RTD("tos.rtd",,"OPEN_INT","."&amp;$AB$3&amp;$AB$4&amp;"P"&amp;AR$4))*100</f>
        <v>29150</v>
      </c>
      <c r="AS31" s="18">
        <f>MAX(0, $A31-AS$4)*IF(RTD("tos.rtd",,"OPEN_INT","."&amp;$AB$3&amp;$AB$4&amp;"C"&amp;AS$4)="N/A",0,RTD("tos.rtd",,"OPEN_INT","."&amp;$AB$3&amp;$AB$4&amp;"C"&amp;AS$4))*100 + MAX(0, AS$4-$A31)*IF(RTD("tos.rtd",,"OPEN_INT","."&amp;$AB$3&amp;$AB$4&amp;"P"&amp;AS$4)="N/A",0,RTD("tos.rtd",,"OPEN_INT","."&amp;$AB$3&amp;$AB$4&amp;"P"&amp;AS$4))*100</f>
        <v>3000</v>
      </c>
      <c r="AT31" s="18">
        <f>MAX(0, $A31-AT$4)*IF(RTD("tos.rtd",,"OPEN_INT","."&amp;$AB$3&amp;$AB$4&amp;"C"&amp;AT$4)="N/A",0,RTD("tos.rtd",,"OPEN_INT","."&amp;$AB$3&amp;$AB$4&amp;"C"&amp;AT$4))*100 + MAX(0, AT$4-$A31)*IF(RTD("tos.rtd",,"OPEN_INT","."&amp;$AB$3&amp;$AB$4&amp;"P"&amp;AT$4)="N/A",0,RTD("tos.rtd",,"OPEN_INT","."&amp;$AB$3&amp;$AB$4&amp;"P"&amp;AT$4))*100</f>
        <v>27900</v>
      </c>
      <c r="AU31" s="18">
        <f>MAX(0, $A31-AU$4)*IF(RTD("tos.rtd",,"OPEN_INT","."&amp;$AB$3&amp;$AB$4&amp;"C"&amp;AU$4)="N/A",0,RTD("tos.rtd",,"OPEN_INT","."&amp;$AB$3&amp;$AB$4&amp;"C"&amp;AU$4))*100 + MAX(0, AU$4-$A31)*IF(RTD("tos.rtd",,"OPEN_INT","."&amp;$AB$3&amp;$AB$4&amp;"P"&amp;AU$4)="N/A",0,RTD("tos.rtd",,"OPEN_INT","."&amp;$AB$3&amp;$AB$4&amp;"P"&amp;AU$4))*100</f>
        <v>28000</v>
      </c>
      <c r="AV31" s="18">
        <f>MAX(0, $A31-AV$4)*IF(RTD("tos.rtd",,"OPEN_INT","."&amp;$AB$3&amp;$AB$4&amp;"C"&amp;AV$4)="N/A",0,RTD("tos.rtd",,"OPEN_INT","."&amp;$AB$3&amp;$AB$4&amp;"C"&amp;AV$4))*100 + MAX(0, AV$4-$A31)*IF(RTD("tos.rtd",,"OPEN_INT","."&amp;$AB$3&amp;$AB$4&amp;"P"&amp;AV$4)="N/A",0,RTD("tos.rtd",,"OPEN_INT","."&amp;$AB$3&amp;$AB$4&amp;"P"&amp;AV$4))*100</f>
        <v>14000</v>
      </c>
      <c r="AW31" s="18">
        <f>MAX(0, $A31-AW$4)*IF(RTD("tos.rtd",,"OPEN_INT","."&amp;$AB$3&amp;$AB$4&amp;"C"&amp;AW$4)="N/A",0,RTD("tos.rtd",,"OPEN_INT","."&amp;$AB$3&amp;$AB$4&amp;"C"&amp;AW$4))*100 + MAX(0, AW$4-$A31)*IF(RTD("tos.rtd",,"OPEN_INT","."&amp;$AB$3&amp;$AB$4&amp;"P"&amp;AW$4)="N/A",0,RTD("tos.rtd",,"OPEN_INT","."&amp;$AB$3&amp;$AB$4&amp;"P"&amp;AW$4))*100</f>
        <v>48300</v>
      </c>
      <c r="AX31" s="18">
        <f>MAX(0, $A31-AX$4)*IF(RTD("tos.rtd",,"OPEN_INT","."&amp;$AB$3&amp;$AB$4&amp;"C"&amp;AX$4)="N/A",0,RTD("tos.rtd",,"OPEN_INT","."&amp;$AB$3&amp;$AB$4&amp;"C"&amp;AX$4))*100 + MAX(0, AX$4-$A31)*IF(RTD("tos.rtd",,"OPEN_INT","."&amp;$AB$3&amp;$AB$4&amp;"P"&amp;AX$4)="N/A",0,RTD("tos.rtd",,"OPEN_INT","."&amp;$AB$3&amp;$AB$4&amp;"P"&amp;AX$4))*100</f>
        <v>50500</v>
      </c>
      <c r="AY31" s="18">
        <f>MAX(0, $A31-AY$4)*IF(RTD("tos.rtd",,"OPEN_INT","."&amp;$AB$3&amp;$AB$4&amp;"C"&amp;AY$4)="N/A",0,RTD("tos.rtd",,"OPEN_INT","."&amp;$AB$3&amp;$AB$4&amp;"C"&amp;AY$4))*100 + MAX(0, AY$4-$A31)*IF(RTD("tos.rtd",,"OPEN_INT","."&amp;$AB$3&amp;$AB$4&amp;"P"&amp;AY$4)="N/A",0,RTD("tos.rtd",,"OPEN_INT","."&amp;$AB$3&amp;$AB$4&amp;"P"&amp;AY$4))*100</f>
        <v>49400</v>
      </c>
      <c r="AZ31" s="18">
        <f>MAX(0, $A31-AZ$4)*IF(RTD("tos.rtd",,"OPEN_INT","."&amp;$AB$3&amp;$AB$4&amp;"C"&amp;AZ$4)="N/A",0,RTD("tos.rtd",,"OPEN_INT","."&amp;$AB$3&amp;$AB$4&amp;"C"&amp;AZ$4))*100 + MAX(0, AZ$4-$A31)*IF(RTD("tos.rtd",,"OPEN_INT","."&amp;$AB$3&amp;$AB$4&amp;"P"&amp;AZ$4)="N/A",0,RTD("tos.rtd",,"OPEN_INT","."&amp;$AB$3&amp;$AB$4&amp;"P"&amp;AZ$4))*100</f>
        <v>311100</v>
      </c>
      <c r="BA31" s="18">
        <f>MAX(0, $A31-BA$4)*IF(RTD("tos.rtd",,"OPEN_INT","."&amp;$AB$3&amp;$AB$4&amp;"C"&amp;BA$4)="N/A",0,RTD("tos.rtd",,"OPEN_INT","."&amp;$AB$3&amp;$AB$4&amp;"C"&amp;BA$4))*100 + MAX(0, BA$4-$A31)*IF(RTD("tos.rtd",,"OPEN_INT","."&amp;$AB$3&amp;$AB$4&amp;"P"&amp;BA$4)="N/A",0,RTD("tos.rtd",,"OPEN_INT","."&amp;$AB$3&amp;$AB$4&amp;"P"&amp;BA$4))*100</f>
        <v>56800</v>
      </c>
      <c r="BB31" s="18">
        <f>MAX(0, $A31-BB$4)*IF(RTD("tos.rtd",,"OPEN_INT","."&amp;$AB$3&amp;$AB$4&amp;"C"&amp;BB$4)="N/A",0,RTD("tos.rtd",,"OPEN_INT","."&amp;$AB$3&amp;$AB$4&amp;"C"&amp;BB$4))*100 + MAX(0, BB$4-$A31)*IF(RTD("tos.rtd",,"OPEN_INT","."&amp;$AB$3&amp;$AB$4&amp;"P"&amp;BB$4)="N/A",0,RTD("tos.rtd",,"OPEN_INT","."&amp;$AB$3&amp;$AB$4&amp;"P"&amp;BB$4))*100</f>
        <v>117000</v>
      </c>
      <c r="BC31" s="18">
        <f>MAX(0, $A31-BC$4)*IF(RTD("tos.rtd",,"OPEN_INT","."&amp;$AB$3&amp;$AB$4&amp;"C"&amp;BC$4)="N/A",0,RTD("tos.rtd",,"OPEN_INT","."&amp;$AB$3&amp;$AB$4&amp;"C"&amp;BC$4))*100 + MAX(0, BC$4-$A31)*IF(RTD("tos.rtd",,"OPEN_INT","."&amp;$AB$3&amp;$AB$4&amp;"P"&amp;BC$4)="N/A",0,RTD("tos.rtd",,"OPEN_INT","."&amp;$AB$3&amp;$AB$4&amp;"P"&amp;BC$4))*100</f>
        <v>0</v>
      </c>
      <c r="BD31" s="18">
        <f>MAX(0, $A31-BD$4)*IF(RTD("tos.rtd",,"OPEN_INT","."&amp;$AB$3&amp;$AB$4&amp;"C"&amp;BD$4)="N/A",0,RTD("tos.rtd",,"OPEN_INT","."&amp;$AB$3&amp;$AB$4&amp;"C"&amp;BD$4))*100 + MAX(0, BD$4-$A31)*IF(RTD("tos.rtd",,"OPEN_INT","."&amp;$AB$3&amp;$AB$4&amp;"P"&amp;BD$4)="N/A",0,RTD("tos.rtd",,"OPEN_INT","."&amp;$AB$3&amp;$AB$4&amp;"P"&amp;BD$4))*100</f>
        <v>2035650</v>
      </c>
      <c r="BE31" s="18">
        <f>MAX(0, $A31-BE$4)*IF(RTD("tos.rtd",,"OPEN_INT","."&amp;$AB$3&amp;$AB$4&amp;"C"&amp;BE$4)="N/A",0,RTD("tos.rtd",,"OPEN_INT","."&amp;$AB$3&amp;$AB$4&amp;"C"&amp;BE$4))*100 + MAX(0, BE$4-$A31)*IF(RTD("tos.rtd",,"OPEN_INT","."&amp;$AB$3&amp;$AB$4&amp;"P"&amp;BE$4)="N/A",0,RTD("tos.rtd",,"OPEN_INT","."&amp;$AB$3&amp;$AB$4&amp;"P"&amp;BE$4))*100</f>
        <v>1856000</v>
      </c>
      <c r="BF31" s="18">
        <f>MAX(0, $A31-BF$4)*IF(RTD("tos.rtd",,"OPEN_INT","."&amp;$AB$3&amp;$AB$4&amp;"C"&amp;BF$4)="N/A",0,RTD("tos.rtd",,"OPEN_INT","."&amp;$AB$3&amp;$AB$4&amp;"C"&amp;BF$4))*100 + MAX(0, BF$4-$A31)*IF(RTD("tos.rtd",,"OPEN_INT","."&amp;$AB$3&amp;$AB$4&amp;"P"&amp;BF$4)="N/A",0,RTD("tos.rtd",,"OPEN_INT","."&amp;$AB$3&amp;$AB$4&amp;"P"&amp;BF$4))*100</f>
        <v>2591700</v>
      </c>
      <c r="BG31" s="18">
        <f>MAX(0, $A31-BG$4)*IF(RTD("tos.rtd",,"OPEN_INT","."&amp;$AB$3&amp;$AB$4&amp;"C"&amp;BG$4)="N/A",0,RTD("tos.rtd",,"OPEN_INT","."&amp;$AB$3&amp;$AB$4&amp;"C"&amp;BG$4))*100 + MAX(0, BG$4-$A31)*IF(RTD("tos.rtd",,"OPEN_INT","."&amp;$AB$3&amp;$AB$4&amp;"P"&amp;BG$4)="N/A",0,RTD("tos.rtd",,"OPEN_INT","."&amp;$AB$3&amp;$AB$4&amp;"P"&amp;BG$4))*100</f>
        <v>1681400</v>
      </c>
      <c r="BH31" s="18">
        <f>MAX(0, $A31-BH$4)*IF(RTD("tos.rtd",,"OPEN_INT","."&amp;$AB$3&amp;$AB$4&amp;"C"&amp;BH$4)="N/A",0,RTD("tos.rtd",,"OPEN_INT","."&amp;$AB$3&amp;$AB$4&amp;"C"&amp;BH$4))*100 + MAX(0, BH$4-$A31)*IF(RTD("tos.rtd",,"OPEN_INT","."&amp;$AB$3&amp;$AB$4&amp;"P"&amp;BH$4)="N/A",0,RTD("tos.rtd",,"OPEN_INT","."&amp;$AB$3&amp;$AB$4&amp;"P"&amp;BH$4))*100</f>
        <v>1433500</v>
      </c>
      <c r="BI31" s="18">
        <f>MAX(0, $A31-BI$4)*IF(RTD("tos.rtd",,"OPEN_INT","."&amp;$AB$3&amp;$AB$4&amp;"C"&amp;BI$4)="N/A",0,RTD("tos.rtd",,"OPEN_INT","."&amp;$AB$3&amp;$AB$4&amp;"C"&amp;BI$4))*100 + MAX(0, BI$4-$A31)*IF(RTD("tos.rtd",,"OPEN_INT","."&amp;$AB$3&amp;$AB$4&amp;"P"&amp;BI$4)="N/A",0,RTD("tos.rtd",,"OPEN_INT","."&amp;$AB$3&amp;$AB$4&amp;"P"&amp;BI$4))*100</f>
        <v>582900</v>
      </c>
      <c r="BJ31" s="18">
        <f>MAX(0, $A31-BJ$4)*IF(RTD("tos.rtd",,"OPEN_INT","."&amp;$AB$3&amp;$AB$4&amp;"C"&amp;BJ$4)="N/A",0,RTD("tos.rtd",,"OPEN_INT","."&amp;$AB$3&amp;$AB$4&amp;"C"&amp;BJ$4))*100 + MAX(0, BJ$4-$A31)*IF(RTD("tos.rtd",,"OPEN_INT","."&amp;$AB$3&amp;$AB$4&amp;"P"&amp;BJ$4)="N/A",0,RTD("tos.rtd",,"OPEN_INT","."&amp;$AB$3&amp;$AB$4&amp;"P"&amp;BJ$4))*100</f>
        <v>294700</v>
      </c>
      <c r="BK31" s="18">
        <f>MAX(0, $A31-BK$4)*IF(RTD("tos.rtd",,"OPEN_INT","."&amp;$AB$3&amp;$AB$4&amp;"C"&amp;BK$4)="N/A",0,RTD("tos.rtd",,"OPEN_INT","."&amp;$AB$3&amp;$AB$4&amp;"C"&amp;BK$4))*100 + MAX(0, BK$4-$A31)*IF(RTD("tos.rtd",,"OPEN_INT","."&amp;$AB$3&amp;$AB$4&amp;"P"&amp;BK$4)="N/A",0,RTD("tos.rtd",,"OPEN_INT","."&amp;$AB$3&amp;$AB$4&amp;"P"&amp;BK$4))*100</f>
        <v>60400</v>
      </c>
      <c r="BL31" s="18">
        <f>MAX(0, $A31-BL$4)*IF(RTD("tos.rtd",,"OPEN_INT","."&amp;$AB$3&amp;$AB$4&amp;"C"&amp;BL$4)="N/A",0,RTD("tos.rtd",,"OPEN_INT","."&amp;$AB$3&amp;$AB$4&amp;"C"&amp;BL$4))*100 + MAX(0, BL$4-$A31)*IF(RTD("tos.rtd",,"OPEN_INT","."&amp;$AB$3&amp;$AB$4&amp;"P"&amp;BL$4)="N/A",0,RTD("tos.rtd",,"OPEN_INT","."&amp;$AB$3&amp;$AB$4&amp;"P"&amp;BL$4))*100</f>
        <v>117450</v>
      </c>
      <c r="BM31" s="18">
        <f>MAX(0, $A31-BM$4)*IF(RTD("tos.rtd",,"OPEN_INT","."&amp;$AB$3&amp;$AB$4&amp;"C"&amp;BM$4)="N/A",0,RTD("tos.rtd",,"OPEN_INT","."&amp;$AB$3&amp;$AB$4&amp;"C"&amp;BM$4))*100 + MAX(0, BM$4-$A31)*IF(RTD("tos.rtd",,"OPEN_INT","."&amp;$AB$3&amp;$AB$4&amp;"P"&amp;BM$4)="N/A",0,RTD("tos.rtd",,"OPEN_INT","."&amp;$AB$3&amp;$AB$4&amp;"P"&amp;BM$4))*100</f>
        <v>8000</v>
      </c>
      <c r="BN31" s="18">
        <f>MAX(0, $A31-BN$4)*IF(RTD("tos.rtd",,"OPEN_INT","."&amp;$AB$3&amp;$AB$4&amp;"C"&amp;BN$4)="N/A",0,RTD("tos.rtd",,"OPEN_INT","."&amp;$AB$3&amp;$AB$4&amp;"C"&amp;BN$4))*100 + MAX(0, BN$4-$A31)*IF(RTD("tos.rtd",,"OPEN_INT","."&amp;$AB$3&amp;$AB$4&amp;"P"&amp;BN$4)="N/A",0,RTD("tos.rtd",,"OPEN_INT","."&amp;$AB$3&amp;$AB$4&amp;"P"&amp;BN$4))*100</f>
        <v>4400</v>
      </c>
      <c r="BO31" s="18">
        <f>MAX(0, $A31-BO$4)*IF(RTD("tos.rtd",,"OPEN_INT","."&amp;$AB$3&amp;$AB$4&amp;"C"&amp;BO$4)="N/A",0,RTD("tos.rtd",,"OPEN_INT","."&amp;$AB$3&amp;$AB$4&amp;"C"&amp;BO$4))*100 + MAX(0, BO$4-$A31)*IF(RTD("tos.rtd",,"OPEN_INT","."&amp;$AB$3&amp;$AB$4&amp;"P"&amp;BO$4)="N/A",0,RTD("tos.rtd",,"OPEN_INT","."&amp;$AB$3&amp;$AB$4&amp;"P"&amp;BO$4))*100</f>
        <v>18600</v>
      </c>
      <c r="BP31" s="18">
        <f>MAX(0, $A31-BP$4)*IF(RTD("tos.rtd",,"OPEN_INT","."&amp;$AB$3&amp;$AB$4&amp;"C"&amp;BP$4)="N/A",0,RTD("tos.rtd",,"OPEN_INT","."&amp;$AB$3&amp;$AB$4&amp;"C"&amp;BP$4))*100 + MAX(0, BP$4-$A31)*IF(RTD("tos.rtd",,"OPEN_INT","."&amp;$AB$3&amp;$AB$4&amp;"P"&amp;BP$4)="N/A",0,RTD("tos.rtd",,"OPEN_INT","."&amp;$AB$3&amp;$AB$4&amp;"P"&amp;BP$4))*100</f>
        <v>24700</v>
      </c>
      <c r="BQ31" s="18">
        <f>MAX(0, $A31-BQ$4)*IF(RTD("tos.rtd",,"OPEN_INT","."&amp;$AB$3&amp;$AB$4&amp;"C"&amp;BQ$4)="N/A",0,RTD("tos.rtd",,"OPEN_INT","."&amp;$AB$3&amp;$AB$4&amp;"C"&amp;BQ$4))*100 + MAX(0, BQ$4-$A31)*IF(RTD("tos.rtd",,"OPEN_INT","."&amp;$AB$3&amp;$AB$4&amp;"P"&amp;BQ$4)="N/A",0,RTD("tos.rtd",,"OPEN_INT","."&amp;$AB$3&amp;$AB$4&amp;"P"&amp;BQ$4))*100</f>
        <v>0</v>
      </c>
      <c r="BR31" s="18">
        <f>MAX(0, $A31-BR$4)*IF(RTD("tos.rtd",,"OPEN_INT","."&amp;$AB$3&amp;$AB$4&amp;"C"&amp;BR$4)="N/A",0,RTD("tos.rtd",,"OPEN_INT","."&amp;$AB$3&amp;$AB$4&amp;"C"&amp;BR$4))*100 + MAX(0, BR$4-$A31)*IF(RTD("tos.rtd",,"OPEN_INT","."&amp;$AB$3&amp;$AB$4&amp;"P"&amp;BR$4)="N/A",0,RTD("tos.rtd",,"OPEN_INT","."&amp;$AB$3&amp;$AB$4&amp;"P"&amp;BR$4))*100</f>
        <v>0</v>
      </c>
      <c r="BS31" s="18">
        <f>MAX(0, $A31-BS$4)*IF(RTD("tos.rtd",,"OPEN_INT","."&amp;$AB$3&amp;$AB$4&amp;"C"&amp;BS$4)="N/A",0,RTD("tos.rtd",,"OPEN_INT","."&amp;$AB$3&amp;$AB$4&amp;"C"&amp;BS$4))*100 + MAX(0, BS$4-$A31)*IF(RTD("tos.rtd",,"OPEN_INT","."&amp;$AB$3&amp;$AB$4&amp;"P"&amp;BS$4)="N/A",0,RTD("tos.rtd",,"OPEN_INT","."&amp;$AB$3&amp;$AB$4&amp;"P"&amp;BS$4))*100</f>
        <v>0</v>
      </c>
      <c r="BT31" s="18">
        <f>MAX(0, $A31-BT$4)*IF(RTD("tos.rtd",,"OPEN_INT","."&amp;$AB$3&amp;$AB$4&amp;"C"&amp;BT$4)="N/A",0,RTD("tos.rtd",,"OPEN_INT","."&amp;$AB$3&amp;$AB$4&amp;"C"&amp;BT$4))*100 + MAX(0, BT$4-$A31)*IF(RTD("tos.rtd",,"OPEN_INT","."&amp;$AB$3&amp;$AB$4&amp;"P"&amp;BT$4)="N/A",0,RTD("tos.rtd",,"OPEN_INT","."&amp;$AB$3&amp;$AB$4&amp;"P"&amp;BT$4))*100</f>
        <v>0</v>
      </c>
      <c r="BU31" s="18">
        <f>MAX(0, $A31-BU$4)*IF(RTD("tos.rtd",,"OPEN_INT","."&amp;$AB$3&amp;$AB$4&amp;"C"&amp;BU$4)="N/A",0,RTD("tos.rtd",,"OPEN_INT","."&amp;$AB$3&amp;$AB$4&amp;"C"&amp;BU$4))*100 + MAX(0, BU$4-$A31)*IF(RTD("tos.rtd",,"OPEN_INT","."&amp;$AB$3&amp;$AB$4&amp;"P"&amp;BU$4)="N/A",0,RTD("tos.rtd",,"OPEN_INT","."&amp;$AB$3&amp;$AB$4&amp;"P"&amp;BU$4))*100</f>
        <v>0</v>
      </c>
      <c r="BV31" s="18">
        <f>MAX(0, $A31-BV$4)*IF(RTD("tos.rtd",,"OPEN_INT","."&amp;$AB$3&amp;$AB$4&amp;"C"&amp;BV$4)="N/A",0,RTD("tos.rtd",,"OPEN_INT","."&amp;$AB$3&amp;$AB$4&amp;"C"&amp;BV$4))*100 + MAX(0, BV$4-$A31)*IF(RTD("tos.rtd",,"OPEN_INT","."&amp;$AB$3&amp;$AB$4&amp;"P"&amp;BV$4)="N/A",0,RTD("tos.rtd",,"OPEN_INT","."&amp;$AB$3&amp;$AB$4&amp;"P"&amp;BV$4))*100</f>
        <v>0</v>
      </c>
      <c r="BW31" s="18">
        <f>MAX(0, $A31-BW$4)*IF(RTD("tos.rtd",,"OPEN_INT","."&amp;$AB$3&amp;$AB$4&amp;"C"&amp;BW$4)="N/A",0,RTD("tos.rtd",,"OPEN_INT","."&amp;$AB$3&amp;$AB$4&amp;"C"&amp;BW$4))*100 + MAX(0, BW$4-$A31)*IF(RTD("tos.rtd",,"OPEN_INT","."&amp;$AB$3&amp;$AB$4&amp;"P"&amp;BW$4)="N/A",0,RTD("tos.rtd",,"OPEN_INT","."&amp;$AB$3&amp;$AB$4&amp;"P"&amp;BW$4))*100</f>
        <v>0</v>
      </c>
    </row>
    <row r="32" spans="1:75" s="19" customFormat="1" ht="11.1" customHeight="1" thickBot="1" x14ac:dyDescent="0.3">
      <c r="A32" s="23">
        <f t="shared" si="12"/>
        <v>8</v>
      </c>
      <c r="B32" s="14">
        <f ca="1">IF($A$2="PREMIUM_OI",IFERROR(IF($X$1="ABS",(100*RTD("tos.rtd",,"OPEN_INT","."&amp;B$2&amp;B$1&amp;"C"&amp;$A32)*RTD("tos.rtd",,"LAST","."&amp;B$2&amp;B$1&amp;"C"&amp;$A32)+100*RTD("tos.rtd",,"OPEN_INT","."&amp;B$2&amp;B$1&amp;"P"&amp;$A32)*RTD("tos.rtd",,"LAST","."&amp;B$2&amp;B$1&amp;"P"&amp;$A32))/1000000,(100*RTD("tos.rtd",,"OPEN_INT","."&amp;B$2&amp;B$1&amp;"C"&amp;$A32)*RTD("tos.rtd",,"LAST","."&amp;B$2&amp;B$1&amp;"C"&amp;$A32)-100*RTD("tos.rtd",,"OPEN_INT","."&amp;B$2&amp;B$1&amp;"P"&amp;$A32)*RTD("tos.rtd",,"LAST","."&amp;B$2&amp;B$1&amp;"P"&amp;$A32))/1000000),0),IF($A$2="PREMIUM",IFERROR(IF($X$1="ABS",(100*RTD("tos.rtd",,"VOLUME","."&amp;B$2&amp;B$1&amp;"C"&amp;$A32)*RTD("tos.rtd",,"LAST","."&amp;B$2&amp;B$1&amp;"C"&amp;$A32)+100*RTD("tos.rtd",,"VOLUME","."&amp;B$2&amp;B$1&amp;"P"&amp;$A32)*RTD("tos.rtd",,"LAST","."&amp;B$2&amp;B$1&amp;"P"&amp;$A32))/1000000,(100*RTD("tos.rtd",,"VOLUME","."&amp;B$2&amp;B$1&amp;"C"&amp;$A32)*RTD("tos.rtd",,"LAST","."&amp;B$2&amp;B$1&amp;"C"&amp;$A32)-100*RTD("tos.rtd",,"VOLUME","."&amp;B$2&amp;B$1&amp;"P"&amp;$A32)*RTD("tos.rtd",,"LAST","."&amp;B$2&amp;B$1&amp;"P"&amp;$A32))/1000000),0),IF($A$2="DEX",IFERROR(IF($X$1="ABS",(100*RTD("tos.rtd",,"OPEN_INT","."&amp;B$2&amp;B$1&amp;"C"&amp;$A32)*RTD("tos.rtd",,"DELTA","."&amp;B$2&amp;B$1&amp;"C"&amp;$A32)+100*RTD("tos.rtd",,"OPEN_INT","."&amp;B$2&amp;B$1&amp;"P"&amp;$A32)*RTD("tos.rtd",,"DELTA","."&amp;B$2&amp;B$1&amp;"P"&amp;$A32))/1000,(100*RTD("tos.rtd",,"OPEN_INT","."&amp;B$2&amp;B$1&amp;"C"&amp;$A32)*RTD("tos.rtd",,"DELTA","."&amp;B$2&amp;B$1&amp;"C"&amp;$A32)-100*RTD("tos.rtd",,"OPEN_INT","."&amp;B$2&amp;B$1&amp;"P"&amp;$A32)*RTD("tos.rtd",,"DELTA","."&amp;B$2&amp;B$1&amp;"P"&amp;$A32))/1000),0),IF($A$2="VEX",IFERROR(IF($X$1="ABS",($A$4*$A$4*RTD("tos.rtd",,"VOLUME","."&amp;B$2&amp;B$1&amp;"C"&amp;$A32)*RTD("tos.rtd",,"GAMMA","."&amp;B$2&amp;B$1&amp;"C"&amp;$A32)+$A$4*$A$4*RTD("tos.rtd",,"VOLUME","."&amp;B$2&amp;B$1&amp;"P"&amp;$A32)*RTD("tos.rtd",,"GAMMA","."&amp;B$2&amp;B$1&amp;"P"&amp;$A32))/1000000,($A$4*$A$4*RTD("tos.rtd",,"VOLUME","."&amp;B$2&amp;B$1&amp;"C"&amp;$A32)*RTD("tos.rtd",,"GAMMA","."&amp;B$2&amp;B$1&amp;"C"&amp;$A32)-$A$4*$A$4*RTD("tos.rtd",,"VOLUME","."&amp;B$2&amp;B$1&amp;"P"&amp;$A32)*RTD("tos.rtd",,"GAMMA","."&amp;B$2&amp;B$1&amp;"P"&amp;$A32))/1000000),0),IF($A$2="GEX",IFERROR(IF($X$1="ABS",($A$4*$A$4*RTD("tos.rtd",,"OPEN_INT","."&amp;B$2&amp;B$1&amp;"C"&amp;$A32)*RTD("tos.rtd",,"GAMMA","."&amp;B$2&amp;B$1&amp;"C"&amp;$A32)+$A$4*$A$4*RTD("tos.rtd",,"OPEN_INT","."&amp;B$2&amp;B$1&amp;"P"&amp;$A32)*RTD("tos.rtd",,"GAMMA","."&amp;B$2&amp;B$1&amp;"P"&amp;$A32))/1000000,($A$4*$A$4*RTD("tos.rtd",,"OPEN_INT","."&amp;B$2&amp;B$1&amp;"C"&amp;$A32)*RTD("tos.rtd",,"GAMMA","."&amp;B$2&amp;B$1&amp;"C"&amp;$A32)-$A$4*$A$4*RTD("tos.rtd",,"OPEN_INT","."&amp;B$2&amp;B$1&amp;"P"&amp;$A32)*RTD("tos.rtd",,"GAMMA","."&amp;B$2&amp;B$1&amp;"P"&amp;$A32))/1000000),0),IF($A$2="SKEW",IFERROR(VALUE(IF(RTD("tos.rtd",,"IMPL_VOL","."&amp;B$2&amp;B$1&amp;"P"&amp;$A32)="N/A",0,RTD("tos.rtd",,"IMPL_VOL","."&amp;B$2&amp;B$1&amp;"P"&amp;$A32))),0)-IFERROR(VALUE(IF(RTD("tos.rtd",,"IMPL_VOL","."&amp;B$2&amp;B$1&amp;"C"&amp;$A32)="N/A",0,RTD("tos.rtd",,"IMPL_VOL","."&amp;B$2&amp;B$1&amp;"C"&amp;$A32))),0),IF($A$2="MAXPAIN",IF($A$4&gt;$A32,($A$4-$A32)*IF(RTD("tos.rtd",,"OPEN_INT","."&amp;B$2&amp;B$1&amp;"C"&amp;$A32)="N/A",0,RTD("tos.rtd",,"OPEN_INT","."&amp;B$2&amp;B$1&amp;"C"&amp;$A32)),0)+IF($A$4&lt;$A32,($A$5-$A$4)*IF(RTD("tos.rtd",,"OPEN_INT","."&amp;B$2&amp;B$1&amp;"P"&amp;$A32)="N/A",0,RTD("tos.rtd",,"OPEN_INT","."&amp;B$2&amp;B$1&amp;"P"&amp;$A32)),0),IF($X$1="ABS",IF(RTD("tos.rtd",,$A$2,"."&amp;B$2&amp;B$1&amp;"C"&amp;$A32)="N/A",0,RTD("tos.rtd",,$A$2,"."&amp;B$2&amp;B$1&amp;"C"&amp;$A32))+IF(RTD("tos.rtd",,$A$2,"."&amp;B$2&amp;B$1&amp;"P"&amp;$A32)="N/A",0,RTD("tos.rtd",,$A$2,"."&amp;B$2&amp;B$1&amp;"P"&amp;$A32)),IF(RTD("tos.rtd",,$A$2,"."&amp;B$2&amp;B$1&amp;"C"&amp;$A32)="N/A",0,RTD("tos.rtd",,$A$2,"."&amp;B$2&amp;B$1&amp;"C"&amp;$A32))-IF(RTD("tos.rtd",,$A$2,"."&amp;B$2&amp;B$1&amp;"P"&amp;$A32)="N/A",0,RTD("tos.rtd",,$A$2,"."&amp;B$2&amp;B$1&amp;"P"&amp;$A32))))))))))</f>
        <v>0</v>
      </c>
      <c r="C32" s="14">
        <f ca="1">IF($A$2="PREMIUM_OI",IFERROR(IF($X$1="ABS",(100*RTD("tos.rtd",,"OPEN_INT","."&amp;C$2&amp;C$1&amp;"C"&amp;$A32)*RTD("tos.rtd",,"LAST","."&amp;C$2&amp;C$1&amp;"C"&amp;$A32)+100*RTD("tos.rtd",,"OPEN_INT","."&amp;C$2&amp;C$1&amp;"P"&amp;$A32)*RTD("tos.rtd",,"LAST","."&amp;C$2&amp;C$1&amp;"P"&amp;$A32))/1000000,(100*RTD("tos.rtd",,"OPEN_INT","."&amp;C$2&amp;C$1&amp;"C"&amp;$A32)*RTD("tos.rtd",,"LAST","."&amp;C$2&amp;C$1&amp;"C"&amp;$A32)-100*RTD("tos.rtd",,"OPEN_INT","."&amp;C$2&amp;C$1&amp;"P"&amp;$A32)*RTD("tos.rtd",,"LAST","."&amp;C$2&amp;C$1&amp;"P"&amp;$A32))/1000000),0),IF($A$2="PREMIUM",IFERROR(IF($X$1="ABS",(100*RTD("tos.rtd",,"VOLUME","."&amp;C$2&amp;C$1&amp;"C"&amp;$A32)*RTD("tos.rtd",,"LAST","."&amp;C$2&amp;C$1&amp;"C"&amp;$A32)+100*RTD("tos.rtd",,"VOLUME","."&amp;C$2&amp;C$1&amp;"P"&amp;$A32)*RTD("tos.rtd",,"LAST","."&amp;C$2&amp;C$1&amp;"P"&amp;$A32))/1000000,(100*RTD("tos.rtd",,"VOLUME","."&amp;C$2&amp;C$1&amp;"C"&amp;$A32)*RTD("tos.rtd",,"LAST","."&amp;C$2&amp;C$1&amp;"C"&amp;$A32)-100*RTD("tos.rtd",,"VOLUME","."&amp;C$2&amp;C$1&amp;"P"&amp;$A32)*RTD("tos.rtd",,"LAST","."&amp;C$2&amp;C$1&amp;"P"&amp;$A32))/1000000),0),IF($A$2="DEX",IFERROR(IF($X$1="ABS",(100*RTD("tos.rtd",,"OPEN_INT","."&amp;C$2&amp;C$1&amp;"C"&amp;$A32)*RTD("tos.rtd",,"DELTA","."&amp;C$2&amp;C$1&amp;"C"&amp;$A32)+100*RTD("tos.rtd",,"OPEN_INT","."&amp;C$2&amp;C$1&amp;"P"&amp;$A32)*RTD("tos.rtd",,"DELTA","."&amp;C$2&amp;C$1&amp;"P"&amp;$A32))/1000,(100*RTD("tos.rtd",,"OPEN_INT","."&amp;C$2&amp;C$1&amp;"C"&amp;$A32)*RTD("tos.rtd",,"DELTA","."&amp;C$2&amp;C$1&amp;"C"&amp;$A32)-100*RTD("tos.rtd",,"OPEN_INT","."&amp;C$2&amp;C$1&amp;"P"&amp;$A32)*RTD("tos.rtd",,"DELTA","."&amp;C$2&amp;C$1&amp;"P"&amp;$A32))/1000),0),IF($A$2="VEX",IFERROR(IF($X$1="ABS",($A$4*$A$4*RTD("tos.rtd",,"VOLUME","."&amp;C$2&amp;C$1&amp;"C"&amp;$A32)*RTD("tos.rtd",,"GAMMA","."&amp;C$2&amp;C$1&amp;"C"&amp;$A32)+$A$4*$A$4*RTD("tos.rtd",,"VOLUME","."&amp;C$2&amp;C$1&amp;"P"&amp;$A32)*RTD("tos.rtd",,"GAMMA","."&amp;C$2&amp;C$1&amp;"P"&amp;$A32))/1000000,($A$4*$A$4*RTD("tos.rtd",,"VOLUME","."&amp;C$2&amp;C$1&amp;"C"&amp;$A32)*RTD("tos.rtd",,"GAMMA","."&amp;C$2&amp;C$1&amp;"C"&amp;$A32)-$A$4*$A$4*RTD("tos.rtd",,"VOLUME","."&amp;C$2&amp;C$1&amp;"P"&amp;$A32)*RTD("tos.rtd",,"GAMMA","."&amp;C$2&amp;C$1&amp;"P"&amp;$A32))/1000000),0),IF($A$2="GEX",IFERROR(IF($X$1="ABS",($A$4*$A$4*RTD("tos.rtd",,"OPEN_INT","."&amp;C$2&amp;C$1&amp;"C"&amp;$A32)*RTD("tos.rtd",,"GAMMA","."&amp;C$2&amp;C$1&amp;"C"&amp;$A32)+$A$4*$A$4*RTD("tos.rtd",,"OPEN_INT","."&amp;C$2&amp;C$1&amp;"P"&amp;$A32)*RTD("tos.rtd",,"GAMMA","."&amp;C$2&amp;C$1&amp;"P"&amp;$A32))/1000000,($A$4*$A$4*RTD("tos.rtd",,"OPEN_INT","."&amp;C$2&amp;C$1&amp;"C"&amp;$A32)*RTD("tos.rtd",,"GAMMA","."&amp;C$2&amp;C$1&amp;"C"&amp;$A32)-$A$4*$A$4*RTD("tos.rtd",,"OPEN_INT","."&amp;C$2&amp;C$1&amp;"P"&amp;$A32)*RTD("tos.rtd",,"GAMMA","."&amp;C$2&amp;C$1&amp;"P"&amp;$A32))/1000000),0),IF($A$2="SKEW",IFERROR(VALUE(IF(RTD("tos.rtd",,"IMPL_VOL","."&amp;C$2&amp;C$1&amp;"P"&amp;$A32)="N/A",0,RTD("tos.rtd",,"IMPL_VOL","."&amp;C$2&amp;C$1&amp;"P"&amp;$A32))),0)-IFERROR(VALUE(IF(RTD("tos.rtd",,"IMPL_VOL","."&amp;C$2&amp;C$1&amp;"C"&amp;$A32)="N/A",0,RTD("tos.rtd",,"IMPL_VOL","."&amp;C$2&amp;C$1&amp;"C"&amp;$A32))),0),IF($A$2="MAXPAIN",IF($A$4&gt;$A32,($A$4-$A32)*IF(RTD("tos.rtd",,"OPEN_INT","."&amp;C$2&amp;C$1&amp;"C"&amp;$A32)="N/A",0,RTD("tos.rtd",,"OPEN_INT","."&amp;C$2&amp;C$1&amp;"C"&amp;$A32)),0)+IF($A$4&lt;$A32,($A$5-$A$4)*IF(RTD("tos.rtd",,"OPEN_INT","."&amp;C$2&amp;C$1&amp;"P"&amp;$A32)="N/A",0,RTD("tos.rtd",,"OPEN_INT","."&amp;C$2&amp;C$1&amp;"P"&amp;$A32)),0),IF($X$1="ABS",IF(RTD("tos.rtd",,$A$2,"."&amp;C$2&amp;C$1&amp;"C"&amp;$A32)="N/A",0,RTD("tos.rtd",,$A$2,"."&amp;C$2&amp;C$1&amp;"C"&amp;$A32))+IF(RTD("tos.rtd",,$A$2,"."&amp;C$2&amp;C$1&amp;"P"&amp;$A32)="N/A",0,RTD("tos.rtd",,$A$2,"."&amp;C$2&amp;C$1&amp;"P"&amp;$A32)),IF(RTD("tos.rtd",,$A$2,"."&amp;C$2&amp;C$1&amp;"C"&amp;$A32)="N/A",0,RTD("tos.rtd",,$A$2,"."&amp;C$2&amp;C$1&amp;"C"&amp;$A32))-IF(RTD("tos.rtd",,$A$2,"."&amp;C$2&amp;C$1&amp;"P"&amp;$A32)="N/A",0,RTD("tos.rtd",,$A$2,"."&amp;C$2&amp;C$1&amp;"P"&amp;$A32))))))))))</f>
        <v>0</v>
      </c>
      <c r="D32" s="12">
        <f ca="1">IF($A$2="PREMIUM_OI",IFERROR(IF($X$1="ABS",(100*RTD("tos.rtd",,"OPEN_INT","."&amp;D$2&amp;D$1&amp;"C"&amp;$A32)*RTD("tos.rtd",,"LAST","."&amp;D$2&amp;D$1&amp;"C"&amp;$A32)+100*RTD("tos.rtd",,"OPEN_INT","."&amp;D$2&amp;D$1&amp;"P"&amp;$A32)*RTD("tos.rtd",,"LAST","."&amp;D$2&amp;D$1&amp;"P"&amp;$A32))/1000000,(100*RTD("tos.rtd",,"OPEN_INT","."&amp;D$2&amp;D$1&amp;"C"&amp;$A32)*RTD("tos.rtd",,"LAST","."&amp;D$2&amp;D$1&amp;"C"&amp;$A32)-100*RTD("tos.rtd",,"OPEN_INT","."&amp;D$2&amp;D$1&amp;"P"&amp;$A32)*RTD("tos.rtd",,"LAST","."&amp;D$2&amp;D$1&amp;"P"&amp;$A32))/1000000),0),IF($A$2="PREMIUM",IFERROR(IF($X$1="ABS",(100*RTD("tos.rtd",,"VOLUME","."&amp;D$2&amp;D$1&amp;"C"&amp;$A32)*RTD("tos.rtd",,"LAST","."&amp;D$2&amp;D$1&amp;"C"&amp;$A32)+100*RTD("tos.rtd",,"VOLUME","."&amp;D$2&amp;D$1&amp;"P"&amp;$A32)*RTD("tos.rtd",,"LAST","."&amp;D$2&amp;D$1&amp;"P"&amp;$A32))/1000000,(100*RTD("tos.rtd",,"VOLUME","."&amp;D$2&amp;D$1&amp;"C"&amp;$A32)*RTD("tos.rtd",,"LAST","."&amp;D$2&amp;D$1&amp;"C"&amp;$A32)-100*RTD("tos.rtd",,"VOLUME","."&amp;D$2&amp;D$1&amp;"P"&amp;$A32)*RTD("tos.rtd",,"LAST","."&amp;D$2&amp;D$1&amp;"P"&amp;$A32))/1000000),0),IF($A$2="DEX",IFERROR(IF($X$1="ABS",(100*RTD("tos.rtd",,"OPEN_INT","."&amp;D$2&amp;D$1&amp;"C"&amp;$A32)*RTD("tos.rtd",,"DELTA","."&amp;D$2&amp;D$1&amp;"C"&amp;$A32)+100*RTD("tos.rtd",,"OPEN_INT","."&amp;D$2&amp;D$1&amp;"P"&amp;$A32)*RTD("tos.rtd",,"DELTA","."&amp;D$2&amp;D$1&amp;"P"&amp;$A32))/1000,(100*RTD("tos.rtd",,"OPEN_INT","."&amp;D$2&amp;D$1&amp;"C"&amp;$A32)*RTD("tos.rtd",,"DELTA","."&amp;D$2&amp;D$1&amp;"C"&amp;$A32)-100*RTD("tos.rtd",,"OPEN_INT","."&amp;D$2&amp;D$1&amp;"P"&amp;$A32)*RTD("tos.rtd",,"DELTA","."&amp;D$2&amp;D$1&amp;"P"&amp;$A32))/1000),0),IF($A$2="VEX",IFERROR(IF($X$1="ABS",($A$4*$A$4*RTD("tos.rtd",,"VOLUME","."&amp;D$2&amp;D$1&amp;"C"&amp;$A32)*RTD("tos.rtd",,"GAMMA","."&amp;D$2&amp;D$1&amp;"C"&amp;$A32)+$A$4*$A$4*RTD("tos.rtd",,"VOLUME","."&amp;D$2&amp;D$1&amp;"P"&amp;$A32)*RTD("tos.rtd",,"GAMMA","."&amp;D$2&amp;D$1&amp;"P"&amp;$A32))/1000000,($A$4*$A$4*RTD("tos.rtd",,"VOLUME","."&amp;D$2&amp;D$1&amp;"C"&amp;$A32)*RTD("tos.rtd",,"GAMMA","."&amp;D$2&amp;D$1&amp;"C"&amp;$A32)-$A$4*$A$4*RTD("tos.rtd",,"VOLUME","."&amp;D$2&amp;D$1&amp;"P"&amp;$A32)*RTD("tos.rtd",,"GAMMA","."&amp;D$2&amp;D$1&amp;"P"&amp;$A32))/1000000),0),IF($A$2="GEX",IFERROR(IF($X$1="ABS",($A$4*$A$4*RTD("tos.rtd",,"OPEN_INT","."&amp;D$2&amp;D$1&amp;"C"&amp;$A32)*RTD("tos.rtd",,"GAMMA","."&amp;D$2&amp;D$1&amp;"C"&amp;$A32)+$A$4*$A$4*RTD("tos.rtd",,"OPEN_INT","."&amp;D$2&amp;D$1&amp;"P"&amp;$A32)*RTD("tos.rtd",,"GAMMA","."&amp;D$2&amp;D$1&amp;"P"&amp;$A32))/1000000,($A$4*$A$4*RTD("tos.rtd",,"OPEN_INT","."&amp;D$2&amp;D$1&amp;"C"&amp;$A32)*RTD("tos.rtd",,"GAMMA","."&amp;D$2&amp;D$1&amp;"C"&amp;$A32)-$A$4*$A$4*RTD("tos.rtd",,"OPEN_INT","."&amp;D$2&amp;D$1&amp;"P"&amp;$A32)*RTD("tos.rtd",,"GAMMA","."&amp;D$2&amp;D$1&amp;"P"&amp;$A32))/1000000),0),IF($A$2="SKEW",IFERROR(VALUE(IF(RTD("tos.rtd",,"IMPL_VOL","."&amp;D$2&amp;D$1&amp;"P"&amp;$A32)="N/A",0,RTD("tos.rtd",,"IMPL_VOL","."&amp;D$2&amp;D$1&amp;"P"&amp;$A32))),0)-IFERROR(VALUE(IF(RTD("tos.rtd",,"IMPL_VOL","."&amp;D$2&amp;D$1&amp;"C"&amp;$A32)="N/A",0,RTD("tos.rtd",,"IMPL_VOL","."&amp;D$2&amp;D$1&amp;"C"&amp;$A32))),0),IF($A$2="MAXPAIN",IF($A$4&gt;$A32,($A$4-$A32)*IF(RTD("tos.rtd",,"OPEN_INT","."&amp;D$2&amp;D$1&amp;"C"&amp;$A32)="N/A",0,RTD("tos.rtd",,"OPEN_INT","."&amp;D$2&amp;D$1&amp;"C"&amp;$A32)),0)+IF($A$4&lt;$A32,($A$5-$A$4)*IF(RTD("tos.rtd",,"OPEN_INT","."&amp;D$2&amp;D$1&amp;"P"&amp;$A32)="N/A",0,RTD("tos.rtd",,"OPEN_INT","."&amp;D$2&amp;D$1&amp;"P"&amp;$A32)),0),IF($X$1="ABS",IF(RTD("tos.rtd",,$A$2,"."&amp;D$2&amp;D$1&amp;"C"&amp;$A32)="N/A",0,RTD("tos.rtd",,$A$2,"."&amp;D$2&amp;D$1&amp;"C"&amp;$A32))+IF(RTD("tos.rtd",,$A$2,"."&amp;D$2&amp;D$1&amp;"P"&amp;$A32)="N/A",0,RTD("tos.rtd",,$A$2,"."&amp;D$2&amp;D$1&amp;"P"&amp;$A32)),IF(RTD("tos.rtd",,$A$2,"."&amp;D$2&amp;D$1&amp;"C"&amp;$A32)="N/A",0,RTD("tos.rtd",,$A$2,"."&amp;D$2&amp;D$1&amp;"C"&amp;$A32))-IF(RTD("tos.rtd",,$A$2,"."&amp;D$2&amp;D$1&amp;"P"&amp;$A32)="N/A",0,RTD("tos.rtd",,$A$2,"."&amp;D$2&amp;D$1&amp;"P"&amp;$A32))))))))))</f>
        <v>0</v>
      </c>
      <c r="E32" s="12">
        <f ca="1">IF($A$2="PREMIUM_OI",IFERROR(IF($X$1="ABS",(100*RTD("tos.rtd",,"OPEN_INT","."&amp;E$2&amp;E$1&amp;"C"&amp;$A32)*RTD("tos.rtd",,"LAST","."&amp;E$2&amp;E$1&amp;"C"&amp;$A32)+100*RTD("tos.rtd",,"OPEN_INT","."&amp;E$2&amp;E$1&amp;"P"&amp;$A32)*RTD("tos.rtd",,"LAST","."&amp;E$2&amp;E$1&amp;"P"&amp;$A32))/1000000,(100*RTD("tos.rtd",,"OPEN_INT","."&amp;E$2&amp;E$1&amp;"C"&amp;$A32)*RTD("tos.rtd",,"LAST","."&amp;E$2&amp;E$1&amp;"C"&amp;$A32)-100*RTD("tos.rtd",,"OPEN_INT","."&amp;E$2&amp;E$1&amp;"P"&amp;$A32)*RTD("tos.rtd",,"LAST","."&amp;E$2&amp;E$1&amp;"P"&amp;$A32))/1000000),0),IF($A$2="PREMIUM",IFERROR(IF($X$1="ABS",(100*RTD("tos.rtd",,"VOLUME","."&amp;E$2&amp;E$1&amp;"C"&amp;$A32)*RTD("tos.rtd",,"LAST","."&amp;E$2&amp;E$1&amp;"C"&amp;$A32)+100*RTD("tos.rtd",,"VOLUME","."&amp;E$2&amp;E$1&amp;"P"&amp;$A32)*RTD("tos.rtd",,"LAST","."&amp;E$2&amp;E$1&amp;"P"&amp;$A32))/1000000,(100*RTD("tos.rtd",,"VOLUME","."&amp;E$2&amp;E$1&amp;"C"&amp;$A32)*RTD("tos.rtd",,"LAST","."&amp;E$2&amp;E$1&amp;"C"&amp;$A32)-100*RTD("tos.rtd",,"VOLUME","."&amp;E$2&amp;E$1&amp;"P"&amp;$A32)*RTD("tos.rtd",,"LAST","."&amp;E$2&amp;E$1&amp;"P"&amp;$A32))/1000000),0),IF($A$2="DEX",IFERROR(IF($X$1="ABS",(100*RTD("tos.rtd",,"OPEN_INT","."&amp;E$2&amp;E$1&amp;"C"&amp;$A32)*RTD("tos.rtd",,"DELTA","."&amp;E$2&amp;E$1&amp;"C"&amp;$A32)+100*RTD("tos.rtd",,"OPEN_INT","."&amp;E$2&amp;E$1&amp;"P"&amp;$A32)*RTD("tos.rtd",,"DELTA","."&amp;E$2&amp;E$1&amp;"P"&amp;$A32))/1000,(100*RTD("tos.rtd",,"OPEN_INT","."&amp;E$2&amp;E$1&amp;"C"&amp;$A32)*RTD("tos.rtd",,"DELTA","."&amp;E$2&amp;E$1&amp;"C"&amp;$A32)-100*RTD("tos.rtd",,"OPEN_INT","."&amp;E$2&amp;E$1&amp;"P"&amp;$A32)*RTD("tos.rtd",,"DELTA","."&amp;E$2&amp;E$1&amp;"P"&amp;$A32))/1000),0),IF($A$2="VEX",IFERROR(IF($X$1="ABS",($A$4*$A$4*RTD("tos.rtd",,"VOLUME","."&amp;E$2&amp;E$1&amp;"C"&amp;$A32)*RTD("tos.rtd",,"GAMMA","."&amp;E$2&amp;E$1&amp;"C"&amp;$A32)+$A$4*$A$4*RTD("tos.rtd",,"VOLUME","."&amp;E$2&amp;E$1&amp;"P"&amp;$A32)*RTD("tos.rtd",,"GAMMA","."&amp;E$2&amp;E$1&amp;"P"&amp;$A32))/1000000,($A$4*$A$4*RTD("tos.rtd",,"VOLUME","."&amp;E$2&amp;E$1&amp;"C"&amp;$A32)*RTD("tos.rtd",,"GAMMA","."&amp;E$2&amp;E$1&amp;"C"&amp;$A32)-$A$4*$A$4*RTD("tos.rtd",,"VOLUME","."&amp;E$2&amp;E$1&amp;"P"&amp;$A32)*RTD("tos.rtd",,"GAMMA","."&amp;E$2&amp;E$1&amp;"P"&amp;$A32))/1000000),0),IF($A$2="GEX",IFERROR(IF($X$1="ABS",($A$4*$A$4*RTD("tos.rtd",,"OPEN_INT","."&amp;E$2&amp;E$1&amp;"C"&amp;$A32)*RTD("tos.rtd",,"GAMMA","."&amp;E$2&amp;E$1&amp;"C"&amp;$A32)+$A$4*$A$4*RTD("tos.rtd",,"OPEN_INT","."&amp;E$2&amp;E$1&amp;"P"&amp;$A32)*RTD("tos.rtd",,"GAMMA","."&amp;E$2&amp;E$1&amp;"P"&amp;$A32))/1000000,($A$4*$A$4*RTD("tos.rtd",,"OPEN_INT","."&amp;E$2&amp;E$1&amp;"C"&amp;$A32)*RTD("tos.rtd",,"GAMMA","."&amp;E$2&amp;E$1&amp;"C"&amp;$A32)-$A$4*$A$4*RTD("tos.rtd",,"OPEN_INT","."&amp;E$2&amp;E$1&amp;"P"&amp;$A32)*RTD("tos.rtd",,"GAMMA","."&amp;E$2&amp;E$1&amp;"P"&amp;$A32))/1000000),0),IF($A$2="SKEW",IFERROR(VALUE(IF(RTD("tos.rtd",,"IMPL_VOL","."&amp;E$2&amp;E$1&amp;"P"&amp;$A32)="N/A",0,RTD("tos.rtd",,"IMPL_VOL","."&amp;E$2&amp;E$1&amp;"P"&amp;$A32))),0)-IFERROR(VALUE(IF(RTD("tos.rtd",,"IMPL_VOL","."&amp;E$2&amp;E$1&amp;"C"&amp;$A32)="N/A",0,RTD("tos.rtd",,"IMPL_VOL","."&amp;E$2&amp;E$1&amp;"C"&amp;$A32))),0),IF($A$2="MAXPAIN",IF($A$4&gt;$A32,($A$4-$A32)*IF(RTD("tos.rtd",,"OPEN_INT","."&amp;E$2&amp;E$1&amp;"C"&amp;$A32)="N/A",0,RTD("tos.rtd",,"OPEN_INT","."&amp;E$2&amp;E$1&amp;"C"&amp;$A32)),0)+IF($A$4&lt;$A32,($A$5-$A$4)*IF(RTD("tos.rtd",,"OPEN_INT","."&amp;E$2&amp;E$1&amp;"P"&amp;$A32)="N/A",0,RTD("tos.rtd",,"OPEN_INT","."&amp;E$2&amp;E$1&amp;"P"&amp;$A32)),0),IF($X$1="ABS",IF(RTD("tos.rtd",,$A$2,"."&amp;E$2&amp;E$1&amp;"C"&amp;$A32)="N/A",0,RTD("tos.rtd",,$A$2,"."&amp;E$2&amp;E$1&amp;"C"&amp;$A32))+IF(RTD("tos.rtd",,$A$2,"."&amp;E$2&amp;E$1&amp;"P"&amp;$A32)="N/A",0,RTD("tos.rtd",,$A$2,"."&amp;E$2&amp;E$1&amp;"P"&amp;$A32)),IF(RTD("tos.rtd",,$A$2,"."&amp;E$2&amp;E$1&amp;"C"&amp;$A32)="N/A",0,RTD("tos.rtd",,$A$2,"."&amp;E$2&amp;E$1&amp;"C"&amp;$A32))-IF(RTD("tos.rtd",,$A$2,"."&amp;E$2&amp;E$1&amp;"P"&amp;$A32)="N/A",0,RTD("tos.rtd",,$A$2,"."&amp;E$2&amp;E$1&amp;"P"&amp;$A32))))))))))</f>
        <v>0</v>
      </c>
      <c r="F32" s="12">
        <f ca="1">IF($A$2="PREMIUM_OI",IFERROR(IF($X$1="ABS",(100*RTD("tos.rtd",,"OPEN_INT","."&amp;F$2&amp;F$1&amp;"C"&amp;$A32)*RTD("tos.rtd",,"LAST","."&amp;F$2&amp;F$1&amp;"C"&amp;$A32)+100*RTD("tos.rtd",,"OPEN_INT","."&amp;F$2&amp;F$1&amp;"P"&amp;$A32)*RTD("tos.rtd",,"LAST","."&amp;F$2&amp;F$1&amp;"P"&amp;$A32))/1000000,(100*RTD("tos.rtd",,"OPEN_INT","."&amp;F$2&amp;F$1&amp;"C"&amp;$A32)*RTD("tos.rtd",,"LAST","."&amp;F$2&amp;F$1&amp;"C"&amp;$A32)-100*RTD("tos.rtd",,"OPEN_INT","."&amp;F$2&amp;F$1&amp;"P"&amp;$A32)*RTD("tos.rtd",,"LAST","."&amp;F$2&amp;F$1&amp;"P"&amp;$A32))/1000000),0),IF($A$2="PREMIUM",IFERROR(IF($X$1="ABS",(100*RTD("tos.rtd",,"VOLUME","."&amp;F$2&amp;F$1&amp;"C"&amp;$A32)*RTD("tos.rtd",,"LAST","."&amp;F$2&amp;F$1&amp;"C"&amp;$A32)+100*RTD("tos.rtd",,"VOLUME","."&amp;F$2&amp;F$1&amp;"P"&amp;$A32)*RTD("tos.rtd",,"LAST","."&amp;F$2&amp;F$1&amp;"P"&amp;$A32))/1000000,(100*RTD("tos.rtd",,"VOLUME","."&amp;F$2&amp;F$1&amp;"C"&amp;$A32)*RTD("tos.rtd",,"LAST","."&amp;F$2&amp;F$1&amp;"C"&amp;$A32)-100*RTD("tos.rtd",,"VOLUME","."&amp;F$2&amp;F$1&amp;"P"&amp;$A32)*RTD("tos.rtd",,"LAST","."&amp;F$2&amp;F$1&amp;"P"&amp;$A32))/1000000),0),IF($A$2="DEX",IFERROR(IF($X$1="ABS",(100*RTD("tos.rtd",,"OPEN_INT","."&amp;F$2&amp;F$1&amp;"C"&amp;$A32)*RTD("tos.rtd",,"DELTA","."&amp;F$2&amp;F$1&amp;"C"&amp;$A32)+100*RTD("tos.rtd",,"OPEN_INT","."&amp;F$2&amp;F$1&amp;"P"&amp;$A32)*RTD("tos.rtd",,"DELTA","."&amp;F$2&amp;F$1&amp;"P"&amp;$A32))/1000,(100*RTD("tos.rtd",,"OPEN_INT","."&amp;F$2&amp;F$1&amp;"C"&amp;$A32)*RTD("tos.rtd",,"DELTA","."&amp;F$2&amp;F$1&amp;"C"&amp;$A32)-100*RTD("tos.rtd",,"OPEN_INT","."&amp;F$2&amp;F$1&amp;"P"&amp;$A32)*RTD("tos.rtd",,"DELTA","."&amp;F$2&amp;F$1&amp;"P"&amp;$A32))/1000),0),IF($A$2="VEX",IFERROR(IF($X$1="ABS",($A$4*$A$4*RTD("tos.rtd",,"VOLUME","."&amp;F$2&amp;F$1&amp;"C"&amp;$A32)*RTD("tos.rtd",,"GAMMA","."&amp;F$2&amp;F$1&amp;"C"&amp;$A32)+$A$4*$A$4*RTD("tos.rtd",,"VOLUME","."&amp;F$2&amp;F$1&amp;"P"&amp;$A32)*RTD("tos.rtd",,"GAMMA","."&amp;F$2&amp;F$1&amp;"P"&amp;$A32))/1000000,($A$4*$A$4*RTD("tos.rtd",,"VOLUME","."&amp;F$2&amp;F$1&amp;"C"&amp;$A32)*RTD("tos.rtd",,"GAMMA","."&amp;F$2&amp;F$1&amp;"C"&amp;$A32)-$A$4*$A$4*RTD("tos.rtd",,"VOLUME","."&amp;F$2&amp;F$1&amp;"P"&amp;$A32)*RTD("tos.rtd",,"GAMMA","."&amp;F$2&amp;F$1&amp;"P"&amp;$A32))/1000000),0),IF($A$2="GEX",IFERROR(IF($X$1="ABS",($A$4*$A$4*RTD("tos.rtd",,"OPEN_INT","."&amp;F$2&amp;F$1&amp;"C"&amp;$A32)*RTD("tos.rtd",,"GAMMA","."&amp;F$2&amp;F$1&amp;"C"&amp;$A32)+$A$4*$A$4*RTD("tos.rtd",,"OPEN_INT","."&amp;F$2&amp;F$1&amp;"P"&amp;$A32)*RTD("tos.rtd",,"GAMMA","."&amp;F$2&amp;F$1&amp;"P"&amp;$A32))/1000000,($A$4*$A$4*RTD("tos.rtd",,"OPEN_INT","."&amp;F$2&amp;F$1&amp;"C"&amp;$A32)*RTD("tos.rtd",,"GAMMA","."&amp;F$2&amp;F$1&amp;"C"&amp;$A32)-$A$4*$A$4*RTD("tos.rtd",,"OPEN_INT","."&amp;F$2&amp;F$1&amp;"P"&amp;$A32)*RTD("tos.rtd",,"GAMMA","."&amp;F$2&amp;F$1&amp;"P"&amp;$A32))/1000000),0),IF($A$2="SKEW",IFERROR(VALUE(IF(RTD("tos.rtd",,"IMPL_VOL","."&amp;F$2&amp;F$1&amp;"P"&amp;$A32)="N/A",0,RTD("tos.rtd",,"IMPL_VOL","."&amp;F$2&amp;F$1&amp;"P"&amp;$A32))),0)-IFERROR(VALUE(IF(RTD("tos.rtd",,"IMPL_VOL","."&amp;F$2&amp;F$1&amp;"C"&amp;$A32)="N/A",0,RTD("tos.rtd",,"IMPL_VOL","."&amp;F$2&amp;F$1&amp;"C"&amp;$A32))),0),IF($A$2="MAXPAIN",IF($A$4&gt;$A32,($A$4-$A32)*IF(RTD("tos.rtd",,"OPEN_INT","."&amp;F$2&amp;F$1&amp;"C"&amp;$A32)="N/A",0,RTD("tos.rtd",,"OPEN_INT","."&amp;F$2&amp;F$1&amp;"C"&amp;$A32)),0)+IF($A$4&lt;$A32,($A$5-$A$4)*IF(RTD("tos.rtd",,"OPEN_INT","."&amp;F$2&amp;F$1&amp;"P"&amp;$A32)="N/A",0,RTD("tos.rtd",,"OPEN_INT","."&amp;F$2&amp;F$1&amp;"P"&amp;$A32)),0),IF($X$1="ABS",IF(RTD("tos.rtd",,$A$2,"."&amp;F$2&amp;F$1&amp;"C"&amp;$A32)="N/A",0,RTD("tos.rtd",,$A$2,"."&amp;F$2&amp;F$1&amp;"C"&amp;$A32))+IF(RTD("tos.rtd",,$A$2,"."&amp;F$2&amp;F$1&amp;"P"&amp;$A32)="N/A",0,RTD("tos.rtd",,$A$2,"."&amp;F$2&amp;F$1&amp;"P"&amp;$A32)),IF(RTD("tos.rtd",,$A$2,"."&amp;F$2&amp;F$1&amp;"C"&amp;$A32)="N/A",0,RTD("tos.rtd",,$A$2,"."&amp;F$2&amp;F$1&amp;"C"&amp;$A32))-IF(RTD("tos.rtd",,$A$2,"."&amp;F$2&amp;F$1&amp;"P"&amp;$A32)="N/A",0,RTD("tos.rtd",,$A$2,"."&amp;F$2&amp;F$1&amp;"P"&amp;$A32))))))))))</f>
        <v>0</v>
      </c>
      <c r="G32" s="54">
        <f ca="1">IF($A$2="PREMIUM_OI",IFERROR(IF($X$1="ABS",(100*RTD("tos.rtd",,"OPEN_INT","."&amp;G$2&amp;G$1&amp;"C"&amp;$A32)*RTD("tos.rtd",,"LAST","."&amp;G$2&amp;G$1&amp;"C"&amp;$A32)+100*RTD("tos.rtd",,"OPEN_INT","."&amp;G$2&amp;G$1&amp;"P"&amp;$A32)*RTD("tos.rtd",,"LAST","."&amp;G$2&amp;G$1&amp;"P"&amp;$A32))/1000000,(100*RTD("tos.rtd",,"OPEN_INT","."&amp;G$2&amp;G$1&amp;"C"&amp;$A32)*RTD("tos.rtd",,"LAST","."&amp;G$2&amp;G$1&amp;"C"&amp;$A32)-100*RTD("tos.rtd",,"OPEN_INT","."&amp;G$2&amp;G$1&amp;"P"&amp;$A32)*RTD("tos.rtd",,"LAST","."&amp;G$2&amp;G$1&amp;"P"&amp;$A32))/1000000),0),IF($A$2="PREMIUM",IFERROR(IF($X$1="ABS",(100*RTD("tos.rtd",,"VOLUME","."&amp;G$2&amp;G$1&amp;"C"&amp;$A32)*RTD("tos.rtd",,"LAST","."&amp;G$2&amp;G$1&amp;"C"&amp;$A32)+100*RTD("tos.rtd",,"VOLUME","."&amp;G$2&amp;G$1&amp;"P"&amp;$A32)*RTD("tos.rtd",,"LAST","."&amp;G$2&amp;G$1&amp;"P"&amp;$A32))/1000000,(100*RTD("tos.rtd",,"VOLUME","."&amp;G$2&amp;G$1&amp;"C"&amp;$A32)*RTD("tos.rtd",,"LAST","."&amp;G$2&amp;G$1&amp;"C"&amp;$A32)-100*RTD("tos.rtd",,"VOLUME","."&amp;G$2&amp;G$1&amp;"P"&amp;$A32)*RTD("tos.rtd",,"LAST","."&amp;G$2&amp;G$1&amp;"P"&amp;$A32))/1000000),0),IF($A$2="DEX",IFERROR(IF($X$1="ABS",(100*RTD("tos.rtd",,"OPEN_INT","."&amp;G$2&amp;G$1&amp;"C"&amp;$A32)*RTD("tos.rtd",,"DELTA","."&amp;G$2&amp;G$1&amp;"C"&amp;$A32)+100*RTD("tos.rtd",,"OPEN_INT","."&amp;G$2&amp;G$1&amp;"P"&amp;$A32)*RTD("tos.rtd",,"DELTA","."&amp;G$2&amp;G$1&amp;"P"&amp;$A32))/1000,(100*RTD("tos.rtd",,"OPEN_INT","."&amp;G$2&amp;G$1&amp;"C"&amp;$A32)*RTD("tos.rtd",,"DELTA","."&amp;G$2&amp;G$1&amp;"C"&amp;$A32)-100*RTD("tos.rtd",,"OPEN_INT","."&amp;G$2&amp;G$1&amp;"P"&amp;$A32)*RTD("tos.rtd",,"DELTA","."&amp;G$2&amp;G$1&amp;"P"&amp;$A32))/1000),0),IF($A$2="VEX",IFERROR(IF($X$1="ABS",($A$4*$A$4*RTD("tos.rtd",,"VOLUME","."&amp;G$2&amp;G$1&amp;"C"&amp;$A32)*RTD("tos.rtd",,"GAMMA","."&amp;G$2&amp;G$1&amp;"C"&amp;$A32)+$A$4*$A$4*RTD("tos.rtd",,"VOLUME","."&amp;G$2&amp;G$1&amp;"P"&amp;$A32)*RTD("tos.rtd",,"GAMMA","."&amp;G$2&amp;G$1&amp;"P"&amp;$A32))/1000000,($A$4*$A$4*RTD("tos.rtd",,"VOLUME","."&amp;G$2&amp;G$1&amp;"C"&amp;$A32)*RTD("tos.rtd",,"GAMMA","."&amp;G$2&amp;G$1&amp;"C"&amp;$A32)-$A$4*$A$4*RTD("tos.rtd",,"VOLUME","."&amp;G$2&amp;G$1&amp;"P"&amp;$A32)*RTD("tos.rtd",,"GAMMA","."&amp;G$2&amp;G$1&amp;"P"&amp;$A32))/1000000),0),IF($A$2="GEX",IFERROR(IF($X$1="ABS",($A$4*$A$4*RTD("tos.rtd",,"OPEN_INT","."&amp;G$2&amp;G$1&amp;"C"&amp;$A32)*RTD("tos.rtd",,"GAMMA","."&amp;G$2&amp;G$1&amp;"C"&amp;$A32)+$A$4*$A$4*RTD("tos.rtd",,"OPEN_INT","."&amp;G$2&amp;G$1&amp;"P"&amp;$A32)*RTD("tos.rtd",,"GAMMA","."&amp;G$2&amp;G$1&amp;"P"&amp;$A32))/1000000,($A$4*$A$4*RTD("tos.rtd",,"OPEN_INT","."&amp;G$2&amp;G$1&amp;"C"&amp;$A32)*RTD("tos.rtd",,"GAMMA","."&amp;G$2&amp;G$1&amp;"C"&amp;$A32)-$A$4*$A$4*RTD("tos.rtd",,"OPEN_INT","."&amp;G$2&amp;G$1&amp;"P"&amp;$A32)*RTD("tos.rtd",,"GAMMA","."&amp;G$2&amp;G$1&amp;"P"&amp;$A32))/1000000),0),IF($A$2="SKEW",IFERROR(VALUE(IF(RTD("tos.rtd",,"IMPL_VOL","."&amp;G$2&amp;G$1&amp;"P"&amp;$A32)="N/A",0,RTD("tos.rtd",,"IMPL_VOL","."&amp;G$2&amp;G$1&amp;"P"&amp;$A32))),0)-IFERROR(VALUE(IF(RTD("tos.rtd",,"IMPL_VOL","."&amp;G$2&amp;G$1&amp;"C"&amp;$A32)="N/A",0,RTD("tos.rtd",,"IMPL_VOL","."&amp;G$2&amp;G$1&amp;"C"&amp;$A32))),0),IF($A$2="MAXPAIN",IF($A$4&gt;$A32,($A$4-$A32)*IF(RTD("tos.rtd",,"OPEN_INT","."&amp;G$2&amp;G$1&amp;"C"&amp;$A32)="N/A",0,RTD("tos.rtd",,"OPEN_INT","."&amp;G$2&amp;G$1&amp;"C"&amp;$A32)),0)+IF($A$4&lt;$A32,($A$5-$A$4)*IF(RTD("tos.rtd",,"OPEN_INT","."&amp;G$2&amp;G$1&amp;"P"&amp;$A32)="N/A",0,RTD("tos.rtd",,"OPEN_INT","."&amp;G$2&amp;G$1&amp;"P"&amp;$A32)),0),IF($X$1="ABS",IF(RTD("tos.rtd",,$A$2,"."&amp;G$2&amp;G$1&amp;"C"&amp;$A32)="N/A",0,RTD("tos.rtd",,$A$2,"."&amp;G$2&amp;G$1&amp;"C"&amp;$A32))+IF(RTD("tos.rtd",,$A$2,"."&amp;G$2&amp;G$1&amp;"P"&amp;$A32)="N/A",0,RTD("tos.rtd",,$A$2,"."&amp;G$2&amp;G$1&amp;"P"&amp;$A32)),IF(RTD("tos.rtd",,$A$2,"."&amp;G$2&amp;G$1&amp;"C"&amp;$A32)="N/A",0,RTD("tos.rtd",,$A$2,"."&amp;G$2&amp;G$1&amp;"C"&amp;$A32))-IF(RTD("tos.rtd",,$A$2,"."&amp;G$2&amp;G$1&amp;"P"&amp;$A32)="N/A",0,RTD("tos.rtd",,$A$2,"."&amp;G$2&amp;G$1&amp;"P"&amp;$A32))))))))))</f>
        <v>0</v>
      </c>
      <c r="H32" s="14">
        <f ca="1">IF($A$2="PREMIUM_OI",IFERROR(IF($X$1="ABS",(100*RTD("tos.rtd",,"OPEN_INT","."&amp;H$2&amp;H$1&amp;"C"&amp;$A32)*RTD("tos.rtd",,"LAST","."&amp;H$2&amp;H$1&amp;"C"&amp;$A32)+100*RTD("tos.rtd",,"OPEN_INT","."&amp;H$2&amp;H$1&amp;"P"&amp;$A32)*RTD("tos.rtd",,"LAST","."&amp;H$2&amp;H$1&amp;"P"&amp;$A32))/1000000,(100*RTD("tos.rtd",,"OPEN_INT","."&amp;H$2&amp;H$1&amp;"C"&amp;$A32)*RTD("tos.rtd",,"LAST","."&amp;H$2&amp;H$1&amp;"C"&amp;$A32)-100*RTD("tos.rtd",,"OPEN_INT","."&amp;H$2&amp;H$1&amp;"P"&amp;$A32)*RTD("tos.rtd",,"LAST","."&amp;H$2&amp;H$1&amp;"P"&amp;$A32))/1000000),0),IF($A$2="PREMIUM",IFERROR(IF($X$1="ABS",(100*RTD("tos.rtd",,"VOLUME","."&amp;H$2&amp;H$1&amp;"C"&amp;$A32)*RTD("tos.rtd",,"LAST","."&amp;H$2&amp;H$1&amp;"C"&amp;$A32)+100*RTD("tos.rtd",,"VOLUME","."&amp;H$2&amp;H$1&amp;"P"&amp;$A32)*RTD("tos.rtd",,"LAST","."&amp;H$2&amp;H$1&amp;"P"&amp;$A32))/1000000,(100*RTD("tos.rtd",,"VOLUME","."&amp;H$2&amp;H$1&amp;"C"&amp;$A32)*RTD("tos.rtd",,"LAST","."&amp;H$2&amp;H$1&amp;"C"&amp;$A32)-100*RTD("tos.rtd",,"VOLUME","."&amp;H$2&amp;H$1&amp;"P"&amp;$A32)*RTD("tos.rtd",,"LAST","."&amp;H$2&amp;H$1&amp;"P"&amp;$A32))/1000000),0),IF($A$2="DEX",IFERROR(IF($X$1="ABS",(100*RTD("tos.rtd",,"OPEN_INT","."&amp;H$2&amp;H$1&amp;"C"&amp;$A32)*RTD("tos.rtd",,"DELTA","."&amp;H$2&amp;H$1&amp;"C"&amp;$A32)+100*RTD("tos.rtd",,"OPEN_INT","."&amp;H$2&amp;H$1&amp;"P"&amp;$A32)*RTD("tos.rtd",,"DELTA","."&amp;H$2&amp;H$1&amp;"P"&amp;$A32))/1000,(100*RTD("tos.rtd",,"OPEN_INT","."&amp;H$2&amp;H$1&amp;"C"&amp;$A32)*RTD("tos.rtd",,"DELTA","."&amp;H$2&amp;H$1&amp;"C"&amp;$A32)-100*RTD("tos.rtd",,"OPEN_INT","."&amp;H$2&amp;H$1&amp;"P"&amp;$A32)*RTD("tos.rtd",,"DELTA","."&amp;H$2&amp;H$1&amp;"P"&amp;$A32))/1000),0),IF($A$2="VEX",IFERROR(IF($X$1="ABS",($A$4*$A$4*RTD("tos.rtd",,"VOLUME","."&amp;H$2&amp;H$1&amp;"C"&amp;$A32)*RTD("tos.rtd",,"GAMMA","."&amp;H$2&amp;H$1&amp;"C"&amp;$A32)+$A$4*$A$4*RTD("tos.rtd",,"VOLUME","."&amp;H$2&amp;H$1&amp;"P"&amp;$A32)*RTD("tos.rtd",,"GAMMA","."&amp;H$2&amp;H$1&amp;"P"&amp;$A32))/1000000,($A$4*$A$4*RTD("tos.rtd",,"VOLUME","."&amp;H$2&amp;H$1&amp;"C"&amp;$A32)*RTD("tos.rtd",,"GAMMA","."&amp;H$2&amp;H$1&amp;"C"&amp;$A32)-$A$4*$A$4*RTD("tos.rtd",,"VOLUME","."&amp;H$2&amp;H$1&amp;"P"&amp;$A32)*RTD("tos.rtd",,"GAMMA","."&amp;H$2&amp;H$1&amp;"P"&amp;$A32))/1000000),0),IF($A$2="GEX",IFERROR(IF($X$1="ABS",($A$4*$A$4*RTD("tos.rtd",,"OPEN_INT","."&amp;H$2&amp;H$1&amp;"C"&amp;$A32)*RTD("tos.rtd",,"GAMMA","."&amp;H$2&amp;H$1&amp;"C"&amp;$A32)+$A$4*$A$4*RTD("tos.rtd",,"OPEN_INT","."&amp;H$2&amp;H$1&amp;"P"&amp;$A32)*RTD("tos.rtd",,"GAMMA","."&amp;H$2&amp;H$1&amp;"P"&amp;$A32))/1000000,($A$4*$A$4*RTD("tos.rtd",,"OPEN_INT","."&amp;H$2&amp;H$1&amp;"C"&amp;$A32)*RTD("tos.rtd",,"GAMMA","."&amp;H$2&amp;H$1&amp;"C"&amp;$A32)-$A$4*$A$4*RTD("tos.rtd",,"OPEN_INT","."&amp;H$2&amp;H$1&amp;"P"&amp;$A32)*RTD("tos.rtd",,"GAMMA","."&amp;H$2&amp;H$1&amp;"P"&amp;$A32))/1000000),0),IF($A$2="SKEW",IFERROR(VALUE(IF(RTD("tos.rtd",,"IMPL_VOL","."&amp;H$2&amp;H$1&amp;"P"&amp;$A32)="N/A",0,RTD("tos.rtd",,"IMPL_VOL","."&amp;H$2&amp;H$1&amp;"P"&amp;$A32))),0)-IFERROR(VALUE(IF(RTD("tos.rtd",,"IMPL_VOL","."&amp;H$2&amp;H$1&amp;"C"&amp;$A32)="N/A",0,RTD("tos.rtd",,"IMPL_VOL","."&amp;H$2&amp;H$1&amp;"C"&amp;$A32))),0),IF($A$2="MAXPAIN",IF($A$4&gt;$A32,($A$4-$A32)*IF(RTD("tos.rtd",,"OPEN_INT","."&amp;H$2&amp;H$1&amp;"C"&amp;$A32)="N/A",0,RTD("tos.rtd",,"OPEN_INT","."&amp;H$2&amp;H$1&amp;"C"&amp;$A32)),0)+IF($A$4&lt;$A32,($A$5-$A$4)*IF(RTD("tos.rtd",,"OPEN_INT","."&amp;H$2&amp;H$1&amp;"P"&amp;$A32)="N/A",0,RTD("tos.rtd",,"OPEN_INT","."&amp;H$2&amp;H$1&amp;"P"&amp;$A32)),0),IF($X$1="ABS",IF(RTD("tos.rtd",,$A$2,"."&amp;H$2&amp;H$1&amp;"C"&amp;$A32)="N/A",0,RTD("tos.rtd",,$A$2,"."&amp;H$2&amp;H$1&amp;"C"&amp;$A32))+IF(RTD("tos.rtd",,$A$2,"."&amp;H$2&amp;H$1&amp;"P"&amp;$A32)="N/A",0,RTD("tos.rtd",,$A$2,"."&amp;H$2&amp;H$1&amp;"P"&amp;$A32)),IF(RTD("tos.rtd",,$A$2,"."&amp;H$2&amp;H$1&amp;"C"&amp;$A32)="N/A",0,RTD("tos.rtd",,$A$2,"."&amp;H$2&amp;H$1&amp;"C"&amp;$A32))-IF(RTD("tos.rtd",,$A$2,"."&amp;H$2&amp;H$1&amp;"P"&amp;$A32)="N/A",0,RTD("tos.rtd",,$A$2,"."&amp;H$2&amp;H$1&amp;"P"&amp;$A32))))))))))</f>
        <v>0</v>
      </c>
      <c r="I32" s="12">
        <f ca="1">IF($A$2="PREMIUM_OI",IFERROR(IF($X$1="ABS",(100*RTD("tos.rtd",,"OPEN_INT","."&amp;I$2&amp;I$1&amp;"C"&amp;$A32)*RTD("tos.rtd",,"LAST","."&amp;I$2&amp;I$1&amp;"C"&amp;$A32)+100*RTD("tos.rtd",,"OPEN_INT","."&amp;I$2&amp;I$1&amp;"P"&amp;$A32)*RTD("tos.rtd",,"LAST","."&amp;I$2&amp;I$1&amp;"P"&amp;$A32))/1000000,(100*RTD("tos.rtd",,"OPEN_INT","."&amp;I$2&amp;I$1&amp;"C"&amp;$A32)*RTD("tos.rtd",,"LAST","."&amp;I$2&amp;I$1&amp;"C"&amp;$A32)-100*RTD("tos.rtd",,"OPEN_INT","."&amp;I$2&amp;I$1&amp;"P"&amp;$A32)*RTD("tos.rtd",,"LAST","."&amp;I$2&amp;I$1&amp;"P"&amp;$A32))/1000000),0),IF($A$2="PREMIUM",IFERROR(IF($X$1="ABS",(100*RTD("tos.rtd",,"VOLUME","."&amp;I$2&amp;I$1&amp;"C"&amp;$A32)*RTD("tos.rtd",,"LAST","."&amp;I$2&amp;I$1&amp;"C"&amp;$A32)+100*RTD("tos.rtd",,"VOLUME","."&amp;I$2&amp;I$1&amp;"P"&amp;$A32)*RTD("tos.rtd",,"LAST","."&amp;I$2&amp;I$1&amp;"P"&amp;$A32))/1000000,(100*RTD("tos.rtd",,"VOLUME","."&amp;I$2&amp;I$1&amp;"C"&amp;$A32)*RTD("tos.rtd",,"LAST","."&amp;I$2&amp;I$1&amp;"C"&amp;$A32)-100*RTD("tos.rtd",,"VOLUME","."&amp;I$2&amp;I$1&amp;"P"&amp;$A32)*RTD("tos.rtd",,"LAST","."&amp;I$2&amp;I$1&amp;"P"&amp;$A32))/1000000),0),IF($A$2="DEX",IFERROR(IF($X$1="ABS",(100*RTD("tos.rtd",,"OPEN_INT","."&amp;I$2&amp;I$1&amp;"C"&amp;$A32)*RTD("tos.rtd",,"DELTA","."&amp;I$2&amp;I$1&amp;"C"&amp;$A32)+100*RTD("tos.rtd",,"OPEN_INT","."&amp;I$2&amp;I$1&amp;"P"&amp;$A32)*RTD("tos.rtd",,"DELTA","."&amp;I$2&amp;I$1&amp;"P"&amp;$A32))/1000,(100*RTD("tos.rtd",,"OPEN_INT","."&amp;I$2&amp;I$1&amp;"C"&amp;$A32)*RTD("tos.rtd",,"DELTA","."&amp;I$2&amp;I$1&amp;"C"&amp;$A32)-100*RTD("tos.rtd",,"OPEN_INT","."&amp;I$2&amp;I$1&amp;"P"&amp;$A32)*RTD("tos.rtd",,"DELTA","."&amp;I$2&amp;I$1&amp;"P"&amp;$A32))/1000),0),IF($A$2="VEX",IFERROR(IF($X$1="ABS",($A$4*$A$4*RTD("tos.rtd",,"VOLUME","."&amp;I$2&amp;I$1&amp;"C"&amp;$A32)*RTD("tos.rtd",,"GAMMA","."&amp;I$2&amp;I$1&amp;"C"&amp;$A32)+$A$4*$A$4*RTD("tos.rtd",,"VOLUME","."&amp;I$2&amp;I$1&amp;"P"&amp;$A32)*RTD("tos.rtd",,"GAMMA","."&amp;I$2&amp;I$1&amp;"P"&amp;$A32))/1000000,($A$4*$A$4*RTD("tos.rtd",,"VOLUME","."&amp;I$2&amp;I$1&amp;"C"&amp;$A32)*RTD("tos.rtd",,"GAMMA","."&amp;I$2&amp;I$1&amp;"C"&amp;$A32)-$A$4*$A$4*RTD("tos.rtd",,"VOLUME","."&amp;I$2&amp;I$1&amp;"P"&amp;$A32)*RTD("tos.rtd",,"GAMMA","."&amp;I$2&amp;I$1&amp;"P"&amp;$A32))/1000000),0),IF($A$2="GEX",IFERROR(IF($X$1="ABS",($A$4*$A$4*RTD("tos.rtd",,"OPEN_INT","."&amp;I$2&amp;I$1&amp;"C"&amp;$A32)*RTD("tos.rtd",,"GAMMA","."&amp;I$2&amp;I$1&amp;"C"&amp;$A32)+$A$4*$A$4*RTD("tos.rtd",,"OPEN_INT","."&amp;I$2&amp;I$1&amp;"P"&amp;$A32)*RTD("tos.rtd",,"GAMMA","."&amp;I$2&amp;I$1&amp;"P"&amp;$A32))/1000000,($A$4*$A$4*RTD("tos.rtd",,"OPEN_INT","."&amp;I$2&amp;I$1&amp;"C"&amp;$A32)*RTD("tos.rtd",,"GAMMA","."&amp;I$2&amp;I$1&amp;"C"&amp;$A32)-$A$4*$A$4*RTD("tos.rtd",,"OPEN_INT","."&amp;I$2&amp;I$1&amp;"P"&amp;$A32)*RTD("tos.rtd",,"GAMMA","."&amp;I$2&amp;I$1&amp;"P"&amp;$A32))/1000000),0),IF($A$2="SKEW",IFERROR(VALUE(IF(RTD("tos.rtd",,"IMPL_VOL","."&amp;I$2&amp;I$1&amp;"P"&amp;$A32)="N/A",0,RTD("tos.rtd",,"IMPL_VOL","."&amp;I$2&amp;I$1&amp;"P"&amp;$A32))),0)-IFERROR(VALUE(IF(RTD("tos.rtd",,"IMPL_VOL","."&amp;I$2&amp;I$1&amp;"C"&amp;$A32)="N/A",0,RTD("tos.rtd",,"IMPL_VOL","."&amp;I$2&amp;I$1&amp;"C"&amp;$A32))),0),IF($A$2="MAXPAIN",IF($A$4&gt;$A32,($A$4-$A32)*IF(RTD("tos.rtd",,"OPEN_INT","."&amp;I$2&amp;I$1&amp;"C"&amp;$A32)="N/A",0,RTD("tos.rtd",,"OPEN_INT","."&amp;I$2&amp;I$1&amp;"C"&amp;$A32)),0)+IF($A$4&lt;$A32,($A$5-$A$4)*IF(RTD("tos.rtd",,"OPEN_INT","."&amp;I$2&amp;I$1&amp;"P"&amp;$A32)="N/A",0,RTD("tos.rtd",,"OPEN_INT","."&amp;I$2&amp;I$1&amp;"P"&amp;$A32)),0),IF($X$1="ABS",IF(RTD("tos.rtd",,$A$2,"."&amp;I$2&amp;I$1&amp;"C"&amp;$A32)="N/A",0,RTD("tos.rtd",,$A$2,"."&amp;I$2&amp;I$1&amp;"C"&amp;$A32))+IF(RTD("tos.rtd",,$A$2,"."&amp;I$2&amp;I$1&amp;"P"&amp;$A32)="N/A",0,RTD("tos.rtd",,$A$2,"."&amp;I$2&amp;I$1&amp;"P"&amp;$A32)),IF(RTD("tos.rtd",,$A$2,"."&amp;I$2&amp;I$1&amp;"C"&amp;$A32)="N/A",0,RTD("tos.rtd",,$A$2,"."&amp;I$2&amp;I$1&amp;"C"&amp;$A32))-IF(RTD("tos.rtd",,$A$2,"."&amp;I$2&amp;I$1&amp;"P"&amp;$A32)="N/A",0,RTD("tos.rtd",,$A$2,"."&amp;I$2&amp;I$1&amp;"P"&amp;$A32))))))))))</f>
        <v>0</v>
      </c>
      <c r="J32" s="12">
        <f ca="1">IF($A$2="PREMIUM_OI",IFERROR(IF($X$1="ABS",(100*RTD("tos.rtd",,"OPEN_INT","."&amp;J$2&amp;J$1&amp;"C"&amp;$A32)*RTD("tos.rtd",,"LAST","."&amp;J$2&amp;J$1&amp;"C"&amp;$A32)+100*RTD("tos.rtd",,"OPEN_INT","."&amp;J$2&amp;J$1&amp;"P"&amp;$A32)*RTD("tos.rtd",,"LAST","."&amp;J$2&amp;J$1&amp;"P"&amp;$A32))/1000000,(100*RTD("tos.rtd",,"OPEN_INT","."&amp;J$2&amp;J$1&amp;"C"&amp;$A32)*RTD("tos.rtd",,"LAST","."&amp;J$2&amp;J$1&amp;"C"&amp;$A32)-100*RTD("tos.rtd",,"OPEN_INT","."&amp;J$2&amp;J$1&amp;"P"&amp;$A32)*RTD("tos.rtd",,"LAST","."&amp;J$2&amp;J$1&amp;"P"&amp;$A32))/1000000),0),IF($A$2="PREMIUM",IFERROR(IF($X$1="ABS",(100*RTD("tos.rtd",,"VOLUME","."&amp;J$2&amp;J$1&amp;"C"&amp;$A32)*RTD("tos.rtd",,"LAST","."&amp;J$2&amp;J$1&amp;"C"&amp;$A32)+100*RTD("tos.rtd",,"VOLUME","."&amp;J$2&amp;J$1&amp;"P"&amp;$A32)*RTD("tos.rtd",,"LAST","."&amp;J$2&amp;J$1&amp;"P"&amp;$A32))/1000000,(100*RTD("tos.rtd",,"VOLUME","."&amp;J$2&amp;J$1&amp;"C"&amp;$A32)*RTD("tos.rtd",,"LAST","."&amp;J$2&amp;J$1&amp;"C"&amp;$A32)-100*RTD("tos.rtd",,"VOLUME","."&amp;J$2&amp;J$1&amp;"P"&amp;$A32)*RTD("tos.rtd",,"LAST","."&amp;J$2&amp;J$1&amp;"P"&amp;$A32))/1000000),0),IF($A$2="DEX",IFERROR(IF($X$1="ABS",(100*RTD("tos.rtd",,"OPEN_INT","."&amp;J$2&amp;J$1&amp;"C"&amp;$A32)*RTD("tos.rtd",,"DELTA","."&amp;J$2&amp;J$1&amp;"C"&amp;$A32)+100*RTD("tos.rtd",,"OPEN_INT","."&amp;J$2&amp;J$1&amp;"P"&amp;$A32)*RTD("tos.rtd",,"DELTA","."&amp;J$2&amp;J$1&amp;"P"&amp;$A32))/1000,(100*RTD("tos.rtd",,"OPEN_INT","."&amp;J$2&amp;J$1&amp;"C"&amp;$A32)*RTD("tos.rtd",,"DELTA","."&amp;J$2&amp;J$1&amp;"C"&amp;$A32)-100*RTD("tos.rtd",,"OPEN_INT","."&amp;J$2&amp;J$1&amp;"P"&amp;$A32)*RTD("tos.rtd",,"DELTA","."&amp;J$2&amp;J$1&amp;"P"&amp;$A32))/1000),0),IF($A$2="VEX",IFERROR(IF($X$1="ABS",($A$4*$A$4*RTD("tos.rtd",,"VOLUME","."&amp;J$2&amp;J$1&amp;"C"&amp;$A32)*RTD("tos.rtd",,"GAMMA","."&amp;J$2&amp;J$1&amp;"C"&amp;$A32)+$A$4*$A$4*RTD("tos.rtd",,"VOLUME","."&amp;J$2&amp;J$1&amp;"P"&amp;$A32)*RTD("tos.rtd",,"GAMMA","."&amp;J$2&amp;J$1&amp;"P"&amp;$A32))/1000000,($A$4*$A$4*RTD("tos.rtd",,"VOLUME","."&amp;J$2&amp;J$1&amp;"C"&amp;$A32)*RTD("tos.rtd",,"GAMMA","."&amp;J$2&amp;J$1&amp;"C"&amp;$A32)-$A$4*$A$4*RTD("tos.rtd",,"VOLUME","."&amp;J$2&amp;J$1&amp;"P"&amp;$A32)*RTD("tos.rtd",,"GAMMA","."&amp;J$2&amp;J$1&amp;"P"&amp;$A32))/1000000),0),IF($A$2="GEX",IFERROR(IF($X$1="ABS",($A$4*$A$4*RTD("tos.rtd",,"OPEN_INT","."&amp;J$2&amp;J$1&amp;"C"&amp;$A32)*RTD("tos.rtd",,"GAMMA","."&amp;J$2&amp;J$1&amp;"C"&amp;$A32)+$A$4*$A$4*RTD("tos.rtd",,"OPEN_INT","."&amp;J$2&amp;J$1&amp;"P"&amp;$A32)*RTD("tos.rtd",,"GAMMA","."&amp;J$2&amp;J$1&amp;"P"&amp;$A32))/1000000,($A$4*$A$4*RTD("tos.rtd",,"OPEN_INT","."&amp;J$2&amp;J$1&amp;"C"&amp;$A32)*RTD("tos.rtd",,"GAMMA","."&amp;J$2&amp;J$1&amp;"C"&amp;$A32)-$A$4*$A$4*RTD("tos.rtd",,"OPEN_INT","."&amp;J$2&amp;J$1&amp;"P"&amp;$A32)*RTD("tos.rtd",,"GAMMA","."&amp;J$2&amp;J$1&amp;"P"&amp;$A32))/1000000),0),IF($A$2="SKEW",IFERROR(VALUE(IF(RTD("tos.rtd",,"IMPL_VOL","."&amp;J$2&amp;J$1&amp;"P"&amp;$A32)="N/A",0,RTD("tos.rtd",,"IMPL_VOL","."&amp;J$2&amp;J$1&amp;"P"&amp;$A32))),0)-IFERROR(VALUE(IF(RTD("tos.rtd",,"IMPL_VOL","."&amp;J$2&amp;J$1&amp;"C"&amp;$A32)="N/A",0,RTD("tos.rtd",,"IMPL_VOL","."&amp;J$2&amp;J$1&amp;"C"&amp;$A32))),0),IF($A$2="MAXPAIN",IF($A$4&gt;$A32,($A$4-$A32)*IF(RTD("tos.rtd",,"OPEN_INT","."&amp;J$2&amp;J$1&amp;"C"&amp;$A32)="N/A",0,RTD("tos.rtd",,"OPEN_INT","."&amp;J$2&amp;J$1&amp;"C"&amp;$A32)),0)+IF($A$4&lt;$A32,($A$5-$A$4)*IF(RTD("tos.rtd",,"OPEN_INT","."&amp;J$2&amp;J$1&amp;"P"&amp;$A32)="N/A",0,RTD("tos.rtd",,"OPEN_INT","."&amp;J$2&amp;J$1&amp;"P"&amp;$A32)),0),IF($X$1="ABS",IF(RTD("tos.rtd",,$A$2,"."&amp;J$2&amp;J$1&amp;"C"&amp;$A32)="N/A",0,RTD("tos.rtd",,$A$2,"."&amp;J$2&amp;J$1&amp;"C"&amp;$A32))+IF(RTD("tos.rtd",,$A$2,"."&amp;J$2&amp;J$1&amp;"P"&amp;$A32)="N/A",0,RTD("tos.rtd",,$A$2,"."&amp;J$2&amp;J$1&amp;"P"&amp;$A32)),IF(RTD("tos.rtd",,$A$2,"."&amp;J$2&amp;J$1&amp;"C"&amp;$A32)="N/A",0,RTD("tos.rtd",,$A$2,"."&amp;J$2&amp;J$1&amp;"C"&amp;$A32))-IF(RTD("tos.rtd",,$A$2,"."&amp;J$2&amp;J$1&amp;"P"&amp;$A32)="N/A",0,RTD("tos.rtd",,$A$2,"."&amp;J$2&amp;J$1&amp;"P"&amp;$A32))))))))))</f>
        <v>0</v>
      </c>
      <c r="K32" s="12">
        <f ca="1">IF($A$2="PREMIUM_OI",IFERROR(IF($X$1="ABS",(100*RTD("tos.rtd",,"OPEN_INT","."&amp;K$2&amp;K$1&amp;"C"&amp;$A32)*RTD("tos.rtd",,"LAST","."&amp;K$2&amp;K$1&amp;"C"&amp;$A32)+100*RTD("tos.rtd",,"OPEN_INT","."&amp;K$2&amp;K$1&amp;"P"&amp;$A32)*RTD("tos.rtd",,"LAST","."&amp;K$2&amp;K$1&amp;"P"&amp;$A32))/1000000,(100*RTD("tos.rtd",,"OPEN_INT","."&amp;K$2&amp;K$1&amp;"C"&amp;$A32)*RTD("tos.rtd",,"LAST","."&amp;K$2&amp;K$1&amp;"C"&amp;$A32)-100*RTD("tos.rtd",,"OPEN_INT","."&amp;K$2&amp;K$1&amp;"P"&amp;$A32)*RTD("tos.rtd",,"LAST","."&amp;K$2&amp;K$1&amp;"P"&amp;$A32))/1000000),0),IF($A$2="PREMIUM",IFERROR(IF($X$1="ABS",(100*RTD("tos.rtd",,"VOLUME","."&amp;K$2&amp;K$1&amp;"C"&amp;$A32)*RTD("tos.rtd",,"LAST","."&amp;K$2&amp;K$1&amp;"C"&amp;$A32)+100*RTD("tos.rtd",,"VOLUME","."&amp;K$2&amp;K$1&amp;"P"&amp;$A32)*RTD("tos.rtd",,"LAST","."&amp;K$2&amp;K$1&amp;"P"&amp;$A32))/1000000,(100*RTD("tos.rtd",,"VOLUME","."&amp;K$2&amp;K$1&amp;"C"&amp;$A32)*RTD("tos.rtd",,"LAST","."&amp;K$2&amp;K$1&amp;"C"&amp;$A32)-100*RTD("tos.rtd",,"VOLUME","."&amp;K$2&amp;K$1&amp;"P"&amp;$A32)*RTD("tos.rtd",,"LAST","."&amp;K$2&amp;K$1&amp;"P"&amp;$A32))/1000000),0),IF($A$2="DEX",IFERROR(IF($X$1="ABS",(100*RTD("tos.rtd",,"OPEN_INT","."&amp;K$2&amp;K$1&amp;"C"&amp;$A32)*RTD("tos.rtd",,"DELTA","."&amp;K$2&amp;K$1&amp;"C"&amp;$A32)+100*RTD("tos.rtd",,"OPEN_INT","."&amp;K$2&amp;K$1&amp;"P"&amp;$A32)*RTD("tos.rtd",,"DELTA","."&amp;K$2&amp;K$1&amp;"P"&amp;$A32))/1000,(100*RTD("tos.rtd",,"OPEN_INT","."&amp;K$2&amp;K$1&amp;"C"&amp;$A32)*RTD("tos.rtd",,"DELTA","."&amp;K$2&amp;K$1&amp;"C"&amp;$A32)-100*RTD("tos.rtd",,"OPEN_INT","."&amp;K$2&amp;K$1&amp;"P"&amp;$A32)*RTD("tos.rtd",,"DELTA","."&amp;K$2&amp;K$1&amp;"P"&amp;$A32))/1000),0),IF($A$2="VEX",IFERROR(IF($X$1="ABS",($A$4*$A$4*RTD("tos.rtd",,"VOLUME","."&amp;K$2&amp;K$1&amp;"C"&amp;$A32)*RTD("tos.rtd",,"GAMMA","."&amp;K$2&amp;K$1&amp;"C"&amp;$A32)+$A$4*$A$4*RTD("tos.rtd",,"VOLUME","."&amp;K$2&amp;K$1&amp;"P"&amp;$A32)*RTD("tos.rtd",,"GAMMA","."&amp;K$2&amp;K$1&amp;"P"&amp;$A32))/1000000,($A$4*$A$4*RTD("tos.rtd",,"VOLUME","."&amp;K$2&amp;K$1&amp;"C"&amp;$A32)*RTD("tos.rtd",,"GAMMA","."&amp;K$2&amp;K$1&amp;"C"&amp;$A32)-$A$4*$A$4*RTD("tos.rtd",,"VOLUME","."&amp;K$2&amp;K$1&amp;"P"&amp;$A32)*RTD("tos.rtd",,"GAMMA","."&amp;K$2&amp;K$1&amp;"P"&amp;$A32))/1000000),0),IF($A$2="GEX",IFERROR(IF($X$1="ABS",($A$4*$A$4*RTD("tos.rtd",,"OPEN_INT","."&amp;K$2&amp;K$1&amp;"C"&amp;$A32)*RTD("tos.rtd",,"GAMMA","."&amp;K$2&amp;K$1&amp;"C"&amp;$A32)+$A$4*$A$4*RTD("tos.rtd",,"OPEN_INT","."&amp;K$2&amp;K$1&amp;"P"&amp;$A32)*RTD("tos.rtd",,"GAMMA","."&amp;K$2&amp;K$1&amp;"P"&amp;$A32))/1000000,($A$4*$A$4*RTD("tos.rtd",,"OPEN_INT","."&amp;K$2&amp;K$1&amp;"C"&amp;$A32)*RTD("tos.rtd",,"GAMMA","."&amp;K$2&amp;K$1&amp;"C"&amp;$A32)-$A$4*$A$4*RTD("tos.rtd",,"OPEN_INT","."&amp;K$2&amp;K$1&amp;"P"&amp;$A32)*RTD("tos.rtd",,"GAMMA","."&amp;K$2&amp;K$1&amp;"P"&amp;$A32))/1000000),0),IF($A$2="SKEW",IFERROR(VALUE(IF(RTD("tos.rtd",,"IMPL_VOL","."&amp;K$2&amp;K$1&amp;"P"&amp;$A32)="N/A",0,RTD("tos.rtd",,"IMPL_VOL","."&amp;K$2&amp;K$1&amp;"P"&amp;$A32))),0)-IFERROR(VALUE(IF(RTD("tos.rtd",,"IMPL_VOL","."&amp;K$2&amp;K$1&amp;"C"&amp;$A32)="N/A",0,RTD("tos.rtd",,"IMPL_VOL","."&amp;K$2&amp;K$1&amp;"C"&amp;$A32))),0),IF($A$2="MAXPAIN",IF($A$4&gt;$A32,($A$4-$A32)*IF(RTD("tos.rtd",,"OPEN_INT","."&amp;K$2&amp;K$1&amp;"C"&amp;$A32)="N/A",0,RTD("tos.rtd",,"OPEN_INT","."&amp;K$2&amp;K$1&amp;"C"&amp;$A32)),0)+IF($A$4&lt;$A32,($A$5-$A$4)*IF(RTD("tos.rtd",,"OPEN_INT","."&amp;K$2&amp;K$1&amp;"P"&amp;$A32)="N/A",0,RTD("tos.rtd",,"OPEN_INT","."&amp;K$2&amp;K$1&amp;"P"&amp;$A32)),0),IF($X$1="ABS",IF(RTD("tos.rtd",,$A$2,"."&amp;K$2&amp;K$1&amp;"C"&amp;$A32)="N/A",0,RTD("tos.rtd",,$A$2,"."&amp;K$2&amp;K$1&amp;"C"&amp;$A32))+IF(RTD("tos.rtd",,$A$2,"."&amp;K$2&amp;K$1&amp;"P"&amp;$A32)="N/A",0,RTD("tos.rtd",,$A$2,"."&amp;K$2&amp;K$1&amp;"P"&amp;$A32)),IF(RTD("tos.rtd",,$A$2,"."&amp;K$2&amp;K$1&amp;"C"&amp;$A32)="N/A",0,RTD("tos.rtd",,$A$2,"."&amp;K$2&amp;K$1&amp;"C"&amp;$A32))-IF(RTD("tos.rtd",,$A$2,"."&amp;K$2&amp;K$1&amp;"P"&amp;$A32)="N/A",0,RTD("tos.rtd",,$A$2,"."&amp;K$2&amp;K$1&amp;"P"&amp;$A32))))))))))</f>
        <v>0</v>
      </c>
      <c r="L32" s="54">
        <f ca="1">IF($A$2="PREMIUM_OI",IFERROR(IF($X$1="ABS",(100*RTD("tos.rtd",,"OPEN_INT","."&amp;L$2&amp;L$1&amp;"C"&amp;$A32)*RTD("tos.rtd",,"LAST","."&amp;L$2&amp;L$1&amp;"C"&amp;$A32)+100*RTD("tos.rtd",,"OPEN_INT","."&amp;L$2&amp;L$1&amp;"P"&amp;$A32)*RTD("tos.rtd",,"LAST","."&amp;L$2&amp;L$1&amp;"P"&amp;$A32))/1000000,(100*RTD("tos.rtd",,"OPEN_INT","."&amp;L$2&amp;L$1&amp;"C"&amp;$A32)*RTD("tos.rtd",,"LAST","."&amp;L$2&amp;L$1&amp;"C"&amp;$A32)-100*RTD("tos.rtd",,"OPEN_INT","."&amp;L$2&amp;L$1&amp;"P"&amp;$A32)*RTD("tos.rtd",,"LAST","."&amp;L$2&amp;L$1&amp;"P"&amp;$A32))/1000000),0),IF($A$2="PREMIUM",IFERROR(IF($X$1="ABS",(100*RTD("tos.rtd",,"VOLUME","."&amp;L$2&amp;L$1&amp;"C"&amp;$A32)*RTD("tos.rtd",,"LAST","."&amp;L$2&amp;L$1&amp;"C"&amp;$A32)+100*RTD("tos.rtd",,"VOLUME","."&amp;L$2&amp;L$1&amp;"P"&amp;$A32)*RTD("tos.rtd",,"LAST","."&amp;L$2&amp;L$1&amp;"P"&amp;$A32))/1000000,(100*RTD("tos.rtd",,"VOLUME","."&amp;L$2&amp;L$1&amp;"C"&amp;$A32)*RTD("tos.rtd",,"LAST","."&amp;L$2&amp;L$1&amp;"C"&amp;$A32)-100*RTD("tos.rtd",,"VOLUME","."&amp;L$2&amp;L$1&amp;"P"&amp;$A32)*RTD("tos.rtd",,"LAST","."&amp;L$2&amp;L$1&amp;"P"&amp;$A32))/1000000),0),IF($A$2="DEX",IFERROR(IF($X$1="ABS",(100*RTD("tos.rtd",,"OPEN_INT","."&amp;L$2&amp;L$1&amp;"C"&amp;$A32)*RTD("tos.rtd",,"DELTA","."&amp;L$2&amp;L$1&amp;"C"&amp;$A32)+100*RTD("tos.rtd",,"OPEN_INT","."&amp;L$2&amp;L$1&amp;"P"&amp;$A32)*RTD("tos.rtd",,"DELTA","."&amp;L$2&amp;L$1&amp;"P"&amp;$A32))/1000,(100*RTD("tos.rtd",,"OPEN_INT","."&amp;L$2&amp;L$1&amp;"C"&amp;$A32)*RTD("tos.rtd",,"DELTA","."&amp;L$2&amp;L$1&amp;"C"&amp;$A32)-100*RTD("tos.rtd",,"OPEN_INT","."&amp;L$2&amp;L$1&amp;"P"&amp;$A32)*RTD("tos.rtd",,"DELTA","."&amp;L$2&amp;L$1&amp;"P"&amp;$A32))/1000),0),IF($A$2="VEX",IFERROR(IF($X$1="ABS",($A$4*$A$4*RTD("tos.rtd",,"VOLUME","."&amp;L$2&amp;L$1&amp;"C"&amp;$A32)*RTD("tos.rtd",,"GAMMA","."&amp;L$2&amp;L$1&amp;"C"&amp;$A32)+$A$4*$A$4*RTD("tos.rtd",,"VOLUME","."&amp;L$2&amp;L$1&amp;"P"&amp;$A32)*RTD("tos.rtd",,"GAMMA","."&amp;L$2&amp;L$1&amp;"P"&amp;$A32))/1000000,($A$4*$A$4*RTD("tos.rtd",,"VOLUME","."&amp;L$2&amp;L$1&amp;"C"&amp;$A32)*RTD("tos.rtd",,"GAMMA","."&amp;L$2&amp;L$1&amp;"C"&amp;$A32)-$A$4*$A$4*RTD("tos.rtd",,"VOLUME","."&amp;L$2&amp;L$1&amp;"P"&amp;$A32)*RTD("tos.rtd",,"GAMMA","."&amp;L$2&amp;L$1&amp;"P"&amp;$A32))/1000000),0),IF($A$2="GEX",IFERROR(IF($X$1="ABS",($A$4*$A$4*RTD("tos.rtd",,"OPEN_INT","."&amp;L$2&amp;L$1&amp;"C"&amp;$A32)*RTD("tos.rtd",,"GAMMA","."&amp;L$2&amp;L$1&amp;"C"&amp;$A32)+$A$4*$A$4*RTD("tos.rtd",,"OPEN_INT","."&amp;L$2&amp;L$1&amp;"P"&amp;$A32)*RTD("tos.rtd",,"GAMMA","."&amp;L$2&amp;L$1&amp;"P"&amp;$A32))/1000000,($A$4*$A$4*RTD("tos.rtd",,"OPEN_INT","."&amp;L$2&amp;L$1&amp;"C"&amp;$A32)*RTD("tos.rtd",,"GAMMA","."&amp;L$2&amp;L$1&amp;"C"&amp;$A32)-$A$4*$A$4*RTD("tos.rtd",,"OPEN_INT","."&amp;L$2&amp;L$1&amp;"P"&amp;$A32)*RTD("tos.rtd",,"GAMMA","."&amp;L$2&amp;L$1&amp;"P"&amp;$A32))/1000000),0),IF($A$2="SKEW",IFERROR(VALUE(IF(RTD("tos.rtd",,"IMPL_VOL","."&amp;L$2&amp;L$1&amp;"P"&amp;$A32)="N/A",0,RTD("tos.rtd",,"IMPL_VOL","."&amp;L$2&amp;L$1&amp;"P"&amp;$A32))),0)-IFERROR(VALUE(IF(RTD("tos.rtd",,"IMPL_VOL","."&amp;L$2&amp;L$1&amp;"C"&amp;$A32)="N/A",0,RTD("tos.rtd",,"IMPL_VOL","."&amp;L$2&amp;L$1&amp;"C"&amp;$A32))),0),IF($A$2="MAXPAIN",IF($A$4&gt;$A32,($A$4-$A32)*IF(RTD("tos.rtd",,"OPEN_INT","."&amp;L$2&amp;L$1&amp;"C"&amp;$A32)="N/A",0,RTD("tos.rtd",,"OPEN_INT","."&amp;L$2&amp;L$1&amp;"C"&amp;$A32)),0)+IF($A$4&lt;$A32,($A$5-$A$4)*IF(RTD("tos.rtd",,"OPEN_INT","."&amp;L$2&amp;L$1&amp;"P"&amp;$A32)="N/A",0,RTD("tos.rtd",,"OPEN_INT","."&amp;L$2&amp;L$1&amp;"P"&amp;$A32)),0),IF($X$1="ABS",IF(RTD("tos.rtd",,$A$2,"."&amp;L$2&amp;L$1&amp;"C"&amp;$A32)="N/A",0,RTD("tos.rtd",,$A$2,"."&amp;L$2&amp;L$1&amp;"C"&amp;$A32))+IF(RTD("tos.rtd",,$A$2,"."&amp;L$2&amp;L$1&amp;"P"&amp;$A32)="N/A",0,RTD("tos.rtd",,$A$2,"."&amp;L$2&amp;L$1&amp;"P"&amp;$A32)),IF(RTD("tos.rtd",,$A$2,"."&amp;L$2&amp;L$1&amp;"C"&amp;$A32)="N/A",0,RTD("tos.rtd",,$A$2,"."&amp;L$2&amp;L$1&amp;"C"&amp;$A32))-IF(RTD("tos.rtd",,$A$2,"."&amp;L$2&amp;L$1&amp;"P"&amp;$A32)="N/A",0,RTD("tos.rtd",,$A$2,"."&amp;L$2&amp;L$1&amp;"P"&amp;$A32))))))))))</f>
        <v>0</v>
      </c>
      <c r="M32" s="12">
        <f ca="1">IF($A$2="PREMIUM_OI",IFERROR(IF($X$1="ABS",(100*RTD("tos.rtd",,"OPEN_INT","."&amp;M$2&amp;M$1&amp;"C"&amp;$A32)*RTD("tos.rtd",,"LAST","."&amp;M$2&amp;M$1&amp;"C"&amp;$A32)+100*RTD("tos.rtd",,"OPEN_INT","."&amp;M$2&amp;M$1&amp;"P"&amp;$A32)*RTD("tos.rtd",,"LAST","."&amp;M$2&amp;M$1&amp;"P"&amp;$A32))/1000000,(100*RTD("tos.rtd",,"OPEN_INT","."&amp;M$2&amp;M$1&amp;"C"&amp;$A32)*RTD("tos.rtd",,"LAST","."&amp;M$2&amp;M$1&amp;"C"&amp;$A32)-100*RTD("tos.rtd",,"OPEN_INT","."&amp;M$2&amp;M$1&amp;"P"&amp;$A32)*RTD("tos.rtd",,"LAST","."&amp;M$2&amp;M$1&amp;"P"&amp;$A32))/1000000),0),IF($A$2="PREMIUM",IFERROR(IF($X$1="ABS",(100*RTD("tos.rtd",,"VOLUME","."&amp;M$2&amp;M$1&amp;"C"&amp;$A32)*RTD("tos.rtd",,"LAST","."&amp;M$2&amp;M$1&amp;"C"&amp;$A32)+100*RTD("tos.rtd",,"VOLUME","."&amp;M$2&amp;M$1&amp;"P"&amp;$A32)*RTD("tos.rtd",,"LAST","."&amp;M$2&amp;M$1&amp;"P"&amp;$A32))/1000000,(100*RTD("tos.rtd",,"VOLUME","."&amp;M$2&amp;M$1&amp;"C"&amp;$A32)*RTD("tos.rtd",,"LAST","."&amp;M$2&amp;M$1&amp;"C"&amp;$A32)-100*RTD("tos.rtd",,"VOLUME","."&amp;M$2&amp;M$1&amp;"P"&amp;$A32)*RTD("tos.rtd",,"LAST","."&amp;M$2&amp;M$1&amp;"P"&amp;$A32))/1000000),0),IF($A$2="DEX",IFERROR(IF($X$1="ABS",(100*RTD("tos.rtd",,"OPEN_INT","."&amp;M$2&amp;M$1&amp;"C"&amp;$A32)*RTD("tos.rtd",,"DELTA","."&amp;M$2&amp;M$1&amp;"C"&amp;$A32)+100*RTD("tos.rtd",,"OPEN_INT","."&amp;M$2&amp;M$1&amp;"P"&amp;$A32)*RTD("tos.rtd",,"DELTA","."&amp;M$2&amp;M$1&amp;"P"&amp;$A32))/1000,(100*RTD("tos.rtd",,"OPEN_INT","."&amp;M$2&amp;M$1&amp;"C"&amp;$A32)*RTD("tos.rtd",,"DELTA","."&amp;M$2&amp;M$1&amp;"C"&amp;$A32)-100*RTD("tos.rtd",,"OPEN_INT","."&amp;M$2&amp;M$1&amp;"P"&amp;$A32)*RTD("tos.rtd",,"DELTA","."&amp;M$2&amp;M$1&amp;"P"&amp;$A32))/1000),0),IF($A$2="VEX",IFERROR(IF($X$1="ABS",($A$4*$A$4*RTD("tos.rtd",,"VOLUME","."&amp;M$2&amp;M$1&amp;"C"&amp;$A32)*RTD("tos.rtd",,"GAMMA","."&amp;M$2&amp;M$1&amp;"C"&amp;$A32)+$A$4*$A$4*RTD("tos.rtd",,"VOLUME","."&amp;M$2&amp;M$1&amp;"P"&amp;$A32)*RTD("tos.rtd",,"GAMMA","."&amp;M$2&amp;M$1&amp;"P"&amp;$A32))/1000000,($A$4*$A$4*RTD("tos.rtd",,"VOLUME","."&amp;M$2&amp;M$1&amp;"C"&amp;$A32)*RTD("tos.rtd",,"GAMMA","."&amp;M$2&amp;M$1&amp;"C"&amp;$A32)-$A$4*$A$4*RTD("tos.rtd",,"VOLUME","."&amp;M$2&amp;M$1&amp;"P"&amp;$A32)*RTD("tos.rtd",,"GAMMA","."&amp;M$2&amp;M$1&amp;"P"&amp;$A32))/1000000),0),IF($A$2="GEX",IFERROR(IF($X$1="ABS",($A$4*$A$4*RTD("tos.rtd",,"OPEN_INT","."&amp;M$2&amp;M$1&amp;"C"&amp;$A32)*RTD("tos.rtd",,"GAMMA","."&amp;M$2&amp;M$1&amp;"C"&amp;$A32)+$A$4*$A$4*RTD("tos.rtd",,"OPEN_INT","."&amp;M$2&amp;M$1&amp;"P"&amp;$A32)*RTD("tos.rtd",,"GAMMA","."&amp;M$2&amp;M$1&amp;"P"&amp;$A32))/1000000,($A$4*$A$4*RTD("tos.rtd",,"OPEN_INT","."&amp;M$2&amp;M$1&amp;"C"&amp;$A32)*RTD("tos.rtd",,"GAMMA","."&amp;M$2&amp;M$1&amp;"C"&amp;$A32)-$A$4*$A$4*RTD("tos.rtd",,"OPEN_INT","."&amp;M$2&amp;M$1&amp;"P"&amp;$A32)*RTD("tos.rtd",,"GAMMA","."&amp;M$2&amp;M$1&amp;"P"&amp;$A32))/1000000),0),IF($A$2="SKEW",IFERROR(VALUE(IF(RTD("tos.rtd",,"IMPL_VOL","."&amp;M$2&amp;M$1&amp;"P"&amp;$A32)="N/A",0,RTD("tos.rtd",,"IMPL_VOL","."&amp;M$2&amp;M$1&amp;"P"&amp;$A32))),0)-IFERROR(VALUE(IF(RTD("tos.rtd",,"IMPL_VOL","."&amp;M$2&amp;M$1&amp;"C"&amp;$A32)="N/A",0,RTD("tos.rtd",,"IMPL_VOL","."&amp;M$2&amp;M$1&amp;"C"&amp;$A32))),0),IF($A$2="MAXPAIN",IF($A$4&gt;$A32,($A$4-$A32)*IF(RTD("tos.rtd",,"OPEN_INT","."&amp;M$2&amp;M$1&amp;"C"&amp;$A32)="N/A",0,RTD("tos.rtd",,"OPEN_INT","."&amp;M$2&amp;M$1&amp;"C"&amp;$A32)),0)+IF($A$4&lt;$A32,($A$5-$A$4)*IF(RTD("tos.rtd",,"OPEN_INT","."&amp;M$2&amp;M$1&amp;"P"&amp;$A32)="N/A",0,RTD("tos.rtd",,"OPEN_INT","."&amp;M$2&amp;M$1&amp;"P"&amp;$A32)),0),IF($X$1="ABS",IF(RTD("tos.rtd",,$A$2,"."&amp;M$2&amp;M$1&amp;"C"&amp;$A32)="N/A",0,RTD("tos.rtd",,$A$2,"."&amp;M$2&amp;M$1&amp;"C"&amp;$A32))+IF(RTD("tos.rtd",,$A$2,"."&amp;M$2&amp;M$1&amp;"P"&amp;$A32)="N/A",0,RTD("tos.rtd",,$A$2,"."&amp;M$2&amp;M$1&amp;"P"&amp;$A32)),IF(RTD("tos.rtd",,$A$2,"."&amp;M$2&amp;M$1&amp;"C"&amp;$A32)="N/A",0,RTD("tos.rtd",,$A$2,"."&amp;M$2&amp;M$1&amp;"C"&amp;$A32))-IF(RTD("tos.rtd",,$A$2,"."&amp;M$2&amp;M$1&amp;"P"&amp;$A32)="N/A",0,RTD("tos.rtd",,$A$2,"."&amp;M$2&amp;M$1&amp;"P"&amp;$A32))))))))))</f>
        <v>0</v>
      </c>
      <c r="N32" s="12">
        <f ca="1">IF($A$2="PREMIUM_OI",IFERROR(IF($X$1="ABS",(100*RTD("tos.rtd",,"OPEN_INT","."&amp;N$2&amp;N$1&amp;"C"&amp;$A32)*RTD("tos.rtd",,"LAST","."&amp;N$2&amp;N$1&amp;"C"&amp;$A32)+100*RTD("tos.rtd",,"OPEN_INT","."&amp;N$2&amp;N$1&amp;"P"&amp;$A32)*RTD("tos.rtd",,"LAST","."&amp;N$2&amp;N$1&amp;"P"&amp;$A32))/1000000,(100*RTD("tos.rtd",,"OPEN_INT","."&amp;N$2&amp;N$1&amp;"C"&amp;$A32)*RTD("tos.rtd",,"LAST","."&amp;N$2&amp;N$1&amp;"C"&amp;$A32)-100*RTD("tos.rtd",,"OPEN_INT","."&amp;N$2&amp;N$1&amp;"P"&amp;$A32)*RTD("tos.rtd",,"LAST","."&amp;N$2&amp;N$1&amp;"P"&amp;$A32))/1000000),0),IF($A$2="PREMIUM",IFERROR(IF($X$1="ABS",(100*RTD("tos.rtd",,"VOLUME","."&amp;N$2&amp;N$1&amp;"C"&amp;$A32)*RTD("tos.rtd",,"LAST","."&amp;N$2&amp;N$1&amp;"C"&amp;$A32)+100*RTD("tos.rtd",,"VOLUME","."&amp;N$2&amp;N$1&amp;"P"&amp;$A32)*RTD("tos.rtd",,"LAST","."&amp;N$2&amp;N$1&amp;"P"&amp;$A32))/1000000,(100*RTD("tos.rtd",,"VOLUME","."&amp;N$2&amp;N$1&amp;"C"&amp;$A32)*RTD("tos.rtd",,"LAST","."&amp;N$2&amp;N$1&amp;"C"&amp;$A32)-100*RTD("tos.rtd",,"VOLUME","."&amp;N$2&amp;N$1&amp;"P"&amp;$A32)*RTD("tos.rtd",,"LAST","."&amp;N$2&amp;N$1&amp;"P"&amp;$A32))/1000000),0),IF($A$2="DEX",IFERROR(IF($X$1="ABS",(100*RTD("tos.rtd",,"OPEN_INT","."&amp;N$2&amp;N$1&amp;"C"&amp;$A32)*RTD("tos.rtd",,"DELTA","."&amp;N$2&amp;N$1&amp;"C"&amp;$A32)+100*RTD("tos.rtd",,"OPEN_INT","."&amp;N$2&amp;N$1&amp;"P"&amp;$A32)*RTD("tos.rtd",,"DELTA","."&amp;N$2&amp;N$1&amp;"P"&amp;$A32))/1000,(100*RTD("tos.rtd",,"OPEN_INT","."&amp;N$2&amp;N$1&amp;"C"&amp;$A32)*RTD("tos.rtd",,"DELTA","."&amp;N$2&amp;N$1&amp;"C"&amp;$A32)-100*RTD("tos.rtd",,"OPEN_INT","."&amp;N$2&amp;N$1&amp;"P"&amp;$A32)*RTD("tos.rtd",,"DELTA","."&amp;N$2&amp;N$1&amp;"P"&amp;$A32))/1000),0),IF($A$2="VEX",IFERROR(IF($X$1="ABS",($A$4*$A$4*RTD("tos.rtd",,"VOLUME","."&amp;N$2&amp;N$1&amp;"C"&amp;$A32)*RTD("tos.rtd",,"GAMMA","."&amp;N$2&amp;N$1&amp;"C"&amp;$A32)+$A$4*$A$4*RTD("tos.rtd",,"VOLUME","."&amp;N$2&amp;N$1&amp;"P"&amp;$A32)*RTD("tos.rtd",,"GAMMA","."&amp;N$2&amp;N$1&amp;"P"&amp;$A32))/1000000,($A$4*$A$4*RTD("tos.rtd",,"VOLUME","."&amp;N$2&amp;N$1&amp;"C"&amp;$A32)*RTD("tos.rtd",,"GAMMA","."&amp;N$2&amp;N$1&amp;"C"&amp;$A32)-$A$4*$A$4*RTD("tos.rtd",,"VOLUME","."&amp;N$2&amp;N$1&amp;"P"&amp;$A32)*RTD("tos.rtd",,"GAMMA","."&amp;N$2&amp;N$1&amp;"P"&amp;$A32))/1000000),0),IF($A$2="GEX",IFERROR(IF($X$1="ABS",($A$4*$A$4*RTD("tos.rtd",,"OPEN_INT","."&amp;N$2&amp;N$1&amp;"C"&amp;$A32)*RTD("tos.rtd",,"GAMMA","."&amp;N$2&amp;N$1&amp;"C"&amp;$A32)+$A$4*$A$4*RTD("tos.rtd",,"OPEN_INT","."&amp;N$2&amp;N$1&amp;"P"&amp;$A32)*RTD("tos.rtd",,"GAMMA","."&amp;N$2&amp;N$1&amp;"P"&amp;$A32))/1000000,($A$4*$A$4*RTD("tos.rtd",,"OPEN_INT","."&amp;N$2&amp;N$1&amp;"C"&amp;$A32)*RTD("tos.rtd",,"GAMMA","."&amp;N$2&amp;N$1&amp;"C"&amp;$A32)-$A$4*$A$4*RTD("tos.rtd",,"OPEN_INT","."&amp;N$2&amp;N$1&amp;"P"&amp;$A32)*RTD("tos.rtd",,"GAMMA","."&amp;N$2&amp;N$1&amp;"P"&amp;$A32))/1000000),0),IF($A$2="SKEW",IFERROR(VALUE(IF(RTD("tos.rtd",,"IMPL_VOL","."&amp;N$2&amp;N$1&amp;"P"&amp;$A32)="N/A",0,RTD("tos.rtd",,"IMPL_VOL","."&amp;N$2&amp;N$1&amp;"P"&amp;$A32))),0)-IFERROR(VALUE(IF(RTD("tos.rtd",,"IMPL_VOL","."&amp;N$2&amp;N$1&amp;"C"&amp;$A32)="N/A",0,RTD("tos.rtd",,"IMPL_VOL","."&amp;N$2&amp;N$1&amp;"C"&amp;$A32))),0),IF($A$2="MAXPAIN",IF($A$4&gt;$A32,($A$4-$A32)*IF(RTD("tos.rtd",,"OPEN_INT","."&amp;N$2&amp;N$1&amp;"C"&amp;$A32)="N/A",0,RTD("tos.rtd",,"OPEN_INT","."&amp;N$2&amp;N$1&amp;"C"&amp;$A32)),0)+IF($A$4&lt;$A32,($A$5-$A$4)*IF(RTD("tos.rtd",,"OPEN_INT","."&amp;N$2&amp;N$1&amp;"P"&amp;$A32)="N/A",0,RTD("tos.rtd",,"OPEN_INT","."&amp;N$2&amp;N$1&amp;"P"&amp;$A32)),0),IF($X$1="ABS",IF(RTD("tos.rtd",,$A$2,"."&amp;N$2&amp;N$1&amp;"C"&amp;$A32)="N/A",0,RTD("tos.rtd",,$A$2,"."&amp;N$2&amp;N$1&amp;"C"&amp;$A32))+IF(RTD("tos.rtd",,$A$2,"."&amp;N$2&amp;N$1&amp;"P"&amp;$A32)="N/A",0,RTD("tos.rtd",,$A$2,"."&amp;N$2&amp;N$1&amp;"P"&amp;$A32)),IF(RTD("tos.rtd",,$A$2,"."&amp;N$2&amp;N$1&amp;"C"&amp;$A32)="N/A",0,RTD("tos.rtd",,$A$2,"."&amp;N$2&amp;N$1&amp;"C"&amp;$A32))-IF(RTD("tos.rtd",,$A$2,"."&amp;N$2&amp;N$1&amp;"P"&amp;$A32)="N/A",0,RTD("tos.rtd",,$A$2,"."&amp;N$2&amp;N$1&amp;"P"&amp;$A32))))))))))</f>
        <v>0</v>
      </c>
      <c r="O32" s="12">
        <f ca="1">IF($A$2="PREMIUM_OI",IFERROR(IF($X$1="ABS",(100*RTD("tos.rtd",,"OPEN_INT","."&amp;O$2&amp;O$1&amp;"C"&amp;$A32)*RTD("tos.rtd",,"LAST","."&amp;O$2&amp;O$1&amp;"C"&amp;$A32)+100*RTD("tos.rtd",,"OPEN_INT","."&amp;O$2&amp;O$1&amp;"P"&amp;$A32)*RTD("tos.rtd",,"LAST","."&amp;O$2&amp;O$1&amp;"P"&amp;$A32))/1000000,(100*RTD("tos.rtd",,"OPEN_INT","."&amp;O$2&amp;O$1&amp;"C"&amp;$A32)*RTD("tos.rtd",,"LAST","."&amp;O$2&amp;O$1&amp;"C"&amp;$A32)-100*RTD("tos.rtd",,"OPEN_INT","."&amp;O$2&amp;O$1&amp;"P"&amp;$A32)*RTD("tos.rtd",,"LAST","."&amp;O$2&amp;O$1&amp;"P"&amp;$A32))/1000000),0),IF($A$2="PREMIUM",IFERROR(IF($X$1="ABS",(100*RTD("tos.rtd",,"VOLUME","."&amp;O$2&amp;O$1&amp;"C"&amp;$A32)*RTD("tos.rtd",,"LAST","."&amp;O$2&amp;O$1&amp;"C"&amp;$A32)+100*RTD("tos.rtd",,"VOLUME","."&amp;O$2&amp;O$1&amp;"P"&amp;$A32)*RTD("tos.rtd",,"LAST","."&amp;O$2&amp;O$1&amp;"P"&amp;$A32))/1000000,(100*RTD("tos.rtd",,"VOLUME","."&amp;O$2&amp;O$1&amp;"C"&amp;$A32)*RTD("tos.rtd",,"LAST","."&amp;O$2&amp;O$1&amp;"C"&amp;$A32)-100*RTD("tos.rtd",,"VOLUME","."&amp;O$2&amp;O$1&amp;"P"&amp;$A32)*RTD("tos.rtd",,"LAST","."&amp;O$2&amp;O$1&amp;"P"&amp;$A32))/1000000),0),IF($A$2="DEX",IFERROR(IF($X$1="ABS",(100*RTD("tos.rtd",,"OPEN_INT","."&amp;O$2&amp;O$1&amp;"C"&amp;$A32)*RTD("tos.rtd",,"DELTA","."&amp;O$2&amp;O$1&amp;"C"&amp;$A32)+100*RTD("tos.rtd",,"OPEN_INT","."&amp;O$2&amp;O$1&amp;"P"&amp;$A32)*RTD("tos.rtd",,"DELTA","."&amp;O$2&amp;O$1&amp;"P"&amp;$A32))/1000,(100*RTD("tos.rtd",,"OPEN_INT","."&amp;O$2&amp;O$1&amp;"C"&amp;$A32)*RTD("tos.rtd",,"DELTA","."&amp;O$2&amp;O$1&amp;"C"&amp;$A32)-100*RTD("tos.rtd",,"OPEN_INT","."&amp;O$2&amp;O$1&amp;"P"&amp;$A32)*RTD("tos.rtd",,"DELTA","."&amp;O$2&amp;O$1&amp;"P"&amp;$A32))/1000),0),IF($A$2="VEX",IFERROR(IF($X$1="ABS",($A$4*$A$4*RTD("tos.rtd",,"VOLUME","."&amp;O$2&amp;O$1&amp;"C"&amp;$A32)*RTD("tos.rtd",,"GAMMA","."&amp;O$2&amp;O$1&amp;"C"&amp;$A32)+$A$4*$A$4*RTD("tos.rtd",,"VOLUME","."&amp;O$2&amp;O$1&amp;"P"&amp;$A32)*RTD("tos.rtd",,"GAMMA","."&amp;O$2&amp;O$1&amp;"P"&amp;$A32))/1000000,($A$4*$A$4*RTD("tos.rtd",,"VOLUME","."&amp;O$2&amp;O$1&amp;"C"&amp;$A32)*RTD("tos.rtd",,"GAMMA","."&amp;O$2&amp;O$1&amp;"C"&amp;$A32)-$A$4*$A$4*RTD("tos.rtd",,"VOLUME","."&amp;O$2&amp;O$1&amp;"P"&amp;$A32)*RTD("tos.rtd",,"GAMMA","."&amp;O$2&amp;O$1&amp;"P"&amp;$A32))/1000000),0),IF($A$2="GEX",IFERROR(IF($X$1="ABS",($A$4*$A$4*RTD("tos.rtd",,"OPEN_INT","."&amp;O$2&amp;O$1&amp;"C"&amp;$A32)*RTD("tos.rtd",,"GAMMA","."&amp;O$2&amp;O$1&amp;"C"&amp;$A32)+$A$4*$A$4*RTD("tos.rtd",,"OPEN_INT","."&amp;O$2&amp;O$1&amp;"P"&amp;$A32)*RTD("tos.rtd",,"GAMMA","."&amp;O$2&amp;O$1&amp;"P"&amp;$A32))/1000000,($A$4*$A$4*RTD("tos.rtd",,"OPEN_INT","."&amp;O$2&amp;O$1&amp;"C"&amp;$A32)*RTD("tos.rtd",,"GAMMA","."&amp;O$2&amp;O$1&amp;"C"&amp;$A32)-$A$4*$A$4*RTD("tos.rtd",,"OPEN_INT","."&amp;O$2&amp;O$1&amp;"P"&amp;$A32)*RTD("tos.rtd",,"GAMMA","."&amp;O$2&amp;O$1&amp;"P"&amp;$A32))/1000000),0),IF($A$2="SKEW",IFERROR(VALUE(IF(RTD("tos.rtd",,"IMPL_VOL","."&amp;O$2&amp;O$1&amp;"P"&amp;$A32)="N/A",0,RTD("tos.rtd",,"IMPL_VOL","."&amp;O$2&amp;O$1&amp;"P"&amp;$A32))),0)-IFERROR(VALUE(IF(RTD("tos.rtd",,"IMPL_VOL","."&amp;O$2&amp;O$1&amp;"C"&amp;$A32)="N/A",0,RTD("tos.rtd",,"IMPL_VOL","."&amp;O$2&amp;O$1&amp;"C"&amp;$A32))),0),IF($A$2="MAXPAIN",IF($A$4&gt;$A32,($A$4-$A32)*IF(RTD("tos.rtd",,"OPEN_INT","."&amp;O$2&amp;O$1&amp;"C"&amp;$A32)="N/A",0,RTD("tos.rtd",,"OPEN_INT","."&amp;O$2&amp;O$1&amp;"C"&amp;$A32)),0)+IF($A$4&lt;$A32,($A$5-$A$4)*IF(RTD("tos.rtd",,"OPEN_INT","."&amp;O$2&amp;O$1&amp;"P"&amp;$A32)="N/A",0,RTD("tos.rtd",,"OPEN_INT","."&amp;O$2&amp;O$1&amp;"P"&amp;$A32)),0),IF($X$1="ABS",IF(RTD("tos.rtd",,$A$2,"."&amp;O$2&amp;O$1&amp;"C"&amp;$A32)="N/A",0,RTD("tos.rtd",,$A$2,"."&amp;O$2&amp;O$1&amp;"C"&amp;$A32))+IF(RTD("tos.rtd",,$A$2,"."&amp;O$2&amp;O$1&amp;"P"&amp;$A32)="N/A",0,RTD("tos.rtd",,$A$2,"."&amp;O$2&amp;O$1&amp;"P"&amp;$A32)),IF(RTD("tos.rtd",,$A$2,"."&amp;O$2&amp;O$1&amp;"C"&amp;$A32)="N/A",0,RTD("tos.rtd",,$A$2,"."&amp;O$2&amp;O$1&amp;"C"&amp;$A32))-IF(RTD("tos.rtd",,$A$2,"."&amp;O$2&amp;O$1&amp;"P"&amp;$A32)="N/A",0,RTD("tos.rtd",,$A$2,"."&amp;O$2&amp;O$1&amp;"P"&amp;$A32))))))))))</f>
        <v>0</v>
      </c>
      <c r="P32" s="12">
        <f ca="1">IF($A$2="PREMIUM_OI",IFERROR(IF($X$1="ABS",(100*RTD("tos.rtd",,"OPEN_INT","."&amp;P$2&amp;P$1&amp;"C"&amp;$A32)*RTD("tos.rtd",,"LAST","."&amp;P$2&amp;P$1&amp;"C"&amp;$A32)+100*RTD("tos.rtd",,"OPEN_INT","."&amp;P$2&amp;P$1&amp;"P"&amp;$A32)*RTD("tos.rtd",,"LAST","."&amp;P$2&amp;P$1&amp;"P"&amp;$A32))/1000000,(100*RTD("tos.rtd",,"OPEN_INT","."&amp;P$2&amp;P$1&amp;"C"&amp;$A32)*RTD("tos.rtd",,"LAST","."&amp;P$2&amp;P$1&amp;"C"&amp;$A32)-100*RTD("tos.rtd",,"OPEN_INT","."&amp;P$2&amp;P$1&amp;"P"&amp;$A32)*RTD("tos.rtd",,"LAST","."&amp;P$2&amp;P$1&amp;"P"&amp;$A32))/1000000),0),IF($A$2="PREMIUM",IFERROR(IF($X$1="ABS",(100*RTD("tos.rtd",,"VOLUME","."&amp;P$2&amp;P$1&amp;"C"&amp;$A32)*RTD("tos.rtd",,"LAST","."&amp;P$2&amp;P$1&amp;"C"&amp;$A32)+100*RTD("tos.rtd",,"VOLUME","."&amp;P$2&amp;P$1&amp;"P"&amp;$A32)*RTD("tos.rtd",,"LAST","."&amp;P$2&amp;P$1&amp;"P"&amp;$A32))/1000000,(100*RTD("tos.rtd",,"VOLUME","."&amp;P$2&amp;P$1&amp;"C"&amp;$A32)*RTD("tos.rtd",,"LAST","."&amp;P$2&amp;P$1&amp;"C"&amp;$A32)-100*RTD("tos.rtd",,"VOLUME","."&amp;P$2&amp;P$1&amp;"P"&amp;$A32)*RTD("tos.rtd",,"LAST","."&amp;P$2&amp;P$1&amp;"P"&amp;$A32))/1000000),0),IF($A$2="DEX",IFERROR(IF($X$1="ABS",(100*RTD("tos.rtd",,"OPEN_INT","."&amp;P$2&amp;P$1&amp;"C"&amp;$A32)*RTD("tos.rtd",,"DELTA","."&amp;P$2&amp;P$1&amp;"C"&amp;$A32)+100*RTD("tos.rtd",,"OPEN_INT","."&amp;P$2&amp;P$1&amp;"P"&amp;$A32)*RTD("tos.rtd",,"DELTA","."&amp;P$2&amp;P$1&amp;"P"&amp;$A32))/1000,(100*RTD("tos.rtd",,"OPEN_INT","."&amp;P$2&amp;P$1&amp;"C"&amp;$A32)*RTD("tos.rtd",,"DELTA","."&amp;P$2&amp;P$1&amp;"C"&amp;$A32)-100*RTD("tos.rtd",,"OPEN_INT","."&amp;P$2&amp;P$1&amp;"P"&amp;$A32)*RTD("tos.rtd",,"DELTA","."&amp;P$2&amp;P$1&amp;"P"&amp;$A32))/1000),0),IF($A$2="VEX",IFERROR(IF($X$1="ABS",($A$4*$A$4*RTD("tos.rtd",,"VOLUME","."&amp;P$2&amp;P$1&amp;"C"&amp;$A32)*RTD("tos.rtd",,"GAMMA","."&amp;P$2&amp;P$1&amp;"C"&amp;$A32)+$A$4*$A$4*RTD("tos.rtd",,"VOLUME","."&amp;P$2&amp;P$1&amp;"P"&amp;$A32)*RTD("tos.rtd",,"GAMMA","."&amp;P$2&amp;P$1&amp;"P"&amp;$A32))/1000000,($A$4*$A$4*RTD("tos.rtd",,"VOLUME","."&amp;P$2&amp;P$1&amp;"C"&amp;$A32)*RTD("tos.rtd",,"GAMMA","."&amp;P$2&amp;P$1&amp;"C"&amp;$A32)-$A$4*$A$4*RTD("tos.rtd",,"VOLUME","."&amp;P$2&amp;P$1&amp;"P"&amp;$A32)*RTD("tos.rtd",,"GAMMA","."&amp;P$2&amp;P$1&amp;"P"&amp;$A32))/1000000),0),IF($A$2="GEX",IFERROR(IF($X$1="ABS",($A$4*$A$4*RTD("tos.rtd",,"OPEN_INT","."&amp;P$2&amp;P$1&amp;"C"&amp;$A32)*RTD("tos.rtd",,"GAMMA","."&amp;P$2&amp;P$1&amp;"C"&amp;$A32)+$A$4*$A$4*RTD("tos.rtd",,"OPEN_INT","."&amp;P$2&amp;P$1&amp;"P"&amp;$A32)*RTD("tos.rtd",,"GAMMA","."&amp;P$2&amp;P$1&amp;"P"&amp;$A32))/1000000,($A$4*$A$4*RTD("tos.rtd",,"OPEN_INT","."&amp;P$2&amp;P$1&amp;"C"&amp;$A32)*RTD("tos.rtd",,"GAMMA","."&amp;P$2&amp;P$1&amp;"C"&amp;$A32)-$A$4*$A$4*RTD("tos.rtd",,"OPEN_INT","."&amp;P$2&amp;P$1&amp;"P"&amp;$A32)*RTD("tos.rtd",,"GAMMA","."&amp;P$2&amp;P$1&amp;"P"&amp;$A32))/1000000),0),IF($A$2="SKEW",IFERROR(VALUE(IF(RTD("tos.rtd",,"IMPL_VOL","."&amp;P$2&amp;P$1&amp;"P"&amp;$A32)="N/A",0,RTD("tos.rtd",,"IMPL_VOL","."&amp;P$2&amp;P$1&amp;"P"&amp;$A32))),0)-IFERROR(VALUE(IF(RTD("tos.rtd",,"IMPL_VOL","."&amp;P$2&amp;P$1&amp;"C"&amp;$A32)="N/A",0,RTD("tos.rtd",,"IMPL_VOL","."&amp;P$2&amp;P$1&amp;"C"&amp;$A32))),0),IF($A$2="MAXPAIN",IF($A$4&gt;$A32,($A$4-$A32)*IF(RTD("tos.rtd",,"OPEN_INT","."&amp;P$2&amp;P$1&amp;"C"&amp;$A32)="N/A",0,RTD("tos.rtd",,"OPEN_INT","."&amp;P$2&amp;P$1&amp;"C"&amp;$A32)),0)+IF($A$4&lt;$A32,($A$5-$A$4)*IF(RTD("tos.rtd",,"OPEN_INT","."&amp;P$2&amp;P$1&amp;"P"&amp;$A32)="N/A",0,RTD("tos.rtd",,"OPEN_INT","."&amp;P$2&amp;P$1&amp;"P"&amp;$A32)),0),IF($X$1="ABS",IF(RTD("tos.rtd",,$A$2,"."&amp;P$2&amp;P$1&amp;"C"&amp;$A32)="N/A",0,RTD("tos.rtd",,$A$2,"."&amp;P$2&amp;P$1&amp;"C"&amp;$A32))+IF(RTD("tos.rtd",,$A$2,"."&amp;P$2&amp;P$1&amp;"P"&amp;$A32)="N/A",0,RTD("tos.rtd",,$A$2,"."&amp;P$2&amp;P$1&amp;"P"&amp;$A32)),IF(RTD("tos.rtd",,$A$2,"."&amp;P$2&amp;P$1&amp;"C"&amp;$A32)="N/A",0,RTD("tos.rtd",,$A$2,"."&amp;P$2&amp;P$1&amp;"C"&amp;$A32))-IF(RTD("tos.rtd",,$A$2,"."&amp;P$2&amp;P$1&amp;"P"&amp;$A32)="N/A",0,RTD("tos.rtd",,$A$2,"."&amp;P$2&amp;P$1&amp;"P"&amp;$A32))))))))))</f>
        <v>0</v>
      </c>
      <c r="Q32" s="12">
        <f ca="1">IF($A$2="PREMIUM_OI",IFERROR(IF($X$1="ABS",(100*RTD("tos.rtd",,"OPEN_INT","."&amp;Q$2&amp;Q$1&amp;"C"&amp;$A32)*RTD("tos.rtd",,"LAST","."&amp;Q$2&amp;Q$1&amp;"C"&amp;$A32)+100*RTD("tos.rtd",,"OPEN_INT","."&amp;Q$2&amp;Q$1&amp;"P"&amp;$A32)*RTD("tos.rtd",,"LAST","."&amp;Q$2&amp;Q$1&amp;"P"&amp;$A32))/1000000,(100*RTD("tos.rtd",,"OPEN_INT","."&amp;Q$2&amp;Q$1&amp;"C"&amp;$A32)*RTD("tos.rtd",,"LAST","."&amp;Q$2&amp;Q$1&amp;"C"&amp;$A32)-100*RTD("tos.rtd",,"OPEN_INT","."&amp;Q$2&amp;Q$1&amp;"P"&amp;$A32)*RTD("tos.rtd",,"LAST","."&amp;Q$2&amp;Q$1&amp;"P"&amp;$A32))/1000000),0),IF($A$2="PREMIUM",IFERROR(IF($X$1="ABS",(100*RTD("tos.rtd",,"VOLUME","."&amp;Q$2&amp;Q$1&amp;"C"&amp;$A32)*RTD("tos.rtd",,"LAST","."&amp;Q$2&amp;Q$1&amp;"C"&amp;$A32)+100*RTD("tos.rtd",,"VOLUME","."&amp;Q$2&amp;Q$1&amp;"P"&amp;$A32)*RTD("tos.rtd",,"LAST","."&amp;Q$2&amp;Q$1&amp;"P"&amp;$A32))/1000000,(100*RTD("tos.rtd",,"VOLUME","."&amp;Q$2&amp;Q$1&amp;"C"&amp;$A32)*RTD("tos.rtd",,"LAST","."&amp;Q$2&amp;Q$1&amp;"C"&amp;$A32)-100*RTD("tos.rtd",,"VOLUME","."&amp;Q$2&amp;Q$1&amp;"P"&amp;$A32)*RTD("tos.rtd",,"LAST","."&amp;Q$2&amp;Q$1&amp;"P"&amp;$A32))/1000000),0),IF($A$2="DEX",IFERROR(IF($X$1="ABS",(100*RTD("tos.rtd",,"OPEN_INT","."&amp;Q$2&amp;Q$1&amp;"C"&amp;$A32)*RTD("tos.rtd",,"DELTA","."&amp;Q$2&amp;Q$1&amp;"C"&amp;$A32)+100*RTD("tos.rtd",,"OPEN_INT","."&amp;Q$2&amp;Q$1&amp;"P"&amp;$A32)*RTD("tos.rtd",,"DELTA","."&amp;Q$2&amp;Q$1&amp;"P"&amp;$A32))/1000,(100*RTD("tos.rtd",,"OPEN_INT","."&amp;Q$2&amp;Q$1&amp;"C"&amp;$A32)*RTD("tos.rtd",,"DELTA","."&amp;Q$2&amp;Q$1&amp;"C"&amp;$A32)-100*RTD("tos.rtd",,"OPEN_INT","."&amp;Q$2&amp;Q$1&amp;"P"&amp;$A32)*RTD("tos.rtd",,"DELTA","."&amp;Q$2&amp;Q$1&amp;"P"&amp;$A32))/1000),0),IF($A$2="VEX",IFERROR(IF($X$1="ABS",($A$4*$A$4*RTD("tos.rtd",,"VOLUME","."&amp;Q$2&amp;Q$1&amp;"C"&amp;$A32)*RTD("tos.rtd",,"GAMMA","."&amp;Q$2&amp;Q$1&amp;"C"&amp;$A32)+$A$4*$A$4*RTD("tos.rtd",,"VOLUME","."&amp;Q$2&amp;Q$1&amp;"P"&amp;$A32)*RTD("tos.rtd",,"GAMMA","."&amp;Q$2&amp;Q$1&amp;"P"&amp;$A32))/1000000,($A$4*$A$4*RTD("tos.rtd",,"VOLUME","."&amp;Q$2&amp;Q$1&amp;"C"&amp;$A32)*RTD("tos.rtd",,"GAMMA","."&amp;Q$2&amp;Q$1&amp;"C"&amp;$A32)-$A$4*$A$4*RTD("tos.rtd",,"VOLUME","."&amp;Q$2&amp;Q$1&amp;"P"&amp;$A32)*RTD("tos.rtd",,"GAMMA","."&amp;Q$2&amp;Q$1&amp;"P"&amp;$A32))/1000000),0),IF($A$2="GEX",IFERROR(IF($X$1="ABS",($A$4*$A$4*RTD("tos.rtd",,"OPEN_INT","."&amp;Q$2&amp;Q$1&amp;"C"&amp;$A32)*RTD("tos.rtd",,"GAMMA","."&amp;Q$2&amp;Q$1&amp;"C"&amp;$A32)+$A$4*$A$4*RTD("tos.rtd",,"OPEN_INT","."&amp;Q$2&amp;Q$1&amp;"P"&amp;$A32)*RTD("tos.rtd",,"GAMMA","."&amp;Q$2&amp;Q$1&amp;"P"&amp;$A32))/1000000,($A$4*$A$4*RTD("tos.rtd",,"OPEN_INT","."&amp;Q$2&amp;Q$1&amp;"C"&amp;$A32)*RTD("tos.rtd",,"GAMMA","."&amp;Q$2&amp;Q$1&amp;"C"&amp;$A32)-$A$4*$A$4*RTD("tos.rtd",,"OPEN_INT","."&amp;Q$2&amp;Q$1&amp;"P"&amp;$A32)*RTD("tos.rtd",,"GAMMA","."&amp;Q$2&amp;Q$1&amp;"P"&amp;$A32))/1000000),0),IF($A$2="SKEW",IFERROR(VALUE(IF(RTD("tos.rtd",,"IMPL_VOL","."&amp;Q$2&amp;Q$1&amp;"P"&amp;$A32)="N/A",0,RTD("tos.rtd",,"IMPL_VOL","."&amp;Q$2&amp;Q$1&amp;"P"&amp;$A32))),0)-IFERROR(VALUE(IF(RTD("tos.rtd",,"IMPL_VOL","."&amp;Q$2&amp;Q$1&amp;"C"&amp;$A32)="N/A",0,RTD("tos.rtd",,"IMPL_VOL","."&amp;Q$2&amp;Q$1&amp;"C"&amp;$A32))),0),IF($A$2="MAXPAIN",IF($A$4&gt;$A32,($A$4-$A32)*IF(RTD("tos.rtd",,"OPEN_INT","."&amp;Q$2&amp;Q$1&amp;"C"&amp;$A32)="N/A",0,RTD("tos.rtd",,"OPEN_INT","."&amp;Q$2&amp;Q$1&amp;"C"&amp;$A32)),0)+IF($A$4&lt;$A32,($A$5-$A$4)*IF(RTD("tos.rtd",,"OPEN_INT","."&amp;Q$2&amp;Q$1&amp;"P"&amp;$A32)="N/A",0,RTD("tos.rtd",,"OPEN_INT","."&amp;Q$2&amp;Q$1&amp;"P"&amp;$A32)),0),IF($X$1="ABS",IF(RTD("tos.rtd",,$A$2,"."&amp;Q$2&amp;Q$1&amp;"C"&amp;$A32)="N/A",0,RTD("tos.rtd",,$A$2,"."&amp;Q$2&amp;Q$1&amp;"C"&amp;$A32))+IF(RTD("tos.rtd",,$A$2,"."&amp;Q$2&amp;Q$1&amp;"P"&amp;$A32)="N/A",0,RTD("tos.rtd",,$A$2,"."&amp;Q$2&amp;Q$1&amp;"P"&amp;$A32)),IF(RTD("tos.rtd",,$A$2,"."&amp;Q$2&amp;Q$1&amp;"C"&amp;$A32)="N/A",0,RTD("tos.rtd",,$A$2,"."&amp;Q$2&amp;Q$1&amp;"C"&amp;$A32))-IF(RTD("tos.rtd",,$A$2,"."&amp;Q$2&amp;Q$1&amp;"P"&amp;$A32)="N/A",0,RTD("tos.rtd",,$A$2,"."&amp;Q$2&amp;Q$1&amp;"P"&amp;$A32))))))))))</f>
        <v>0</v>
      </c>
      <c r="R32" s="12">
        <f ca="1">IF($A$2="PREMIUM_OI",IFERROR(IF($X$1="ABS",(100*RTD("tos.rtd",,"OPEN_INT","."&amp;R$2&amp;R$1&amp;"C"&amp;$A32)*RTD("tos.rtd",,"LAST","."&amp;R$2&amp;R$1&amp;"C"&amp;$A32)+100*RTD("tos.rtd",,"OPEN_INT","."&amp;R$2&amp;R$1&amp;"P"&amp;$A32)*RTD("tos.rtd",,"LAST","."&amp;R$2&amp;R$1&amp;"P"&amp;$A32))/1000000,(100*RTD("tos.rtd",,"OPEN_INT","."&amp;R$2&amp;R$1&amp;"C"&amp;$A32)*RTD("tos.rtd",,"LAST","."&amp;R$2&amp;R$1&amp;"C"&amp;$A32)-100*RTD("tos.rtd",,"OPEN_INT","."&amp;R$2&amp;R$1&amp;"P"&amp;$A32)*RTD("tos.rtd",,"LAST","."&amp;R$2&amp;R$1&amp;"P"&amp;$A32))/1000000),0),IF($A$2="PREMIUM",IFERROR(IF($X$1="ABS",(100*RTD("tos.rtd",,"VOLUME","."&amp;R$2&amp;R$1&amp;"C"&amp;$A32)*RTD("tos.rtd",,"LAST","."&amp;R$2&amp;R$1&amp;"C"&amp;$A32)+100*RTD("tos.rtd",,"VOLUME","."&amp;R$2&amp;R$1&amp;"P"&amp;$A32)*RTD("tos.rtd",,"LAST","."&amp;R$2&amp;R$1&amp;"P"&amp;$A32))/1000000,(100*RTD("tos.rtd",,"VOLUME","."&amp;R$2&amp;R$1&amp;"C"&amp;$A32)*RTD("tos.rtd",,"LAST","."&amp;R$2&amp;R$1&amp;"C"&amp;$A32)-100*RTD("tos.rtd",,"VOLUME","."&amp;R$2&amp;R$1&amp;"P"&amp;$A32)*RTD("tos.rtd",,"LAST","."&amp;R$2&amp;R$1&amp;"P"&amp;$A32))/1000000),0),IF($A$2="DEX",IFERROR(IF($X$1="ABS",(100*RTD("tos.rtd",,"OPEN_INT","."&amp;R$2&amp;R$1&amp;"C"&amp;$A32)*RTD("tos.rtd",,"DELTA","."&amp;R$2&amp;R$1&amp;"C"&amp;$A32)+100*RTD("tos.rtd",,"OPEN_INT","."&amp;R$2&amp;R$1&amp;"P"&amp;$A32)*RTD("tos.rtd",,"DELTA","."&amp;R$2&amp;R$1&amp;"P"&amp;$A32))/1000,(100*RTD("tos.rtd",,"OPEN_INT","."&amp;R$2&amp;R$1&amp;"C"&amp;$A32)*RTD("tos.rtd",,"DELTA","."&amp;R$2&amp;R$1&amp;"C"&amp;$A32)-100*RTD("tos.rtd",,"OPEN_INT","."&amp;R$2&amp;R$1&amp;"P"&amp;$A32)*RTD("tos.rtd",,"DELTA","."&amp;R$2&amp;R$1&amp;"P"&amp;$A32))/1000),0),IF($A$2="VEX",IFERROR(IF($X$1="ABS",($A$4*$A$4*RTD("tos.rtd",,"VOLUME","."&amp;R$2&amp;R$1&amp;"C"&amp;$A32)*RTD("tos.rtd",,"GAMMA","."&amp;R$2&amp;R$1&amp;"C"&amp;$A32)+$A$4*$A$4*RTD("tos.rtd",,"VOLUME","."&amp;R$2&amp;R$1&amp;"P"&amp;$A32)*RTD("tos.rtd",,"GAMMA","."&amp;R$2&amp;R$1&amp;"P"&amp;$A32))/1000000,($A$4*$A$4*RTD("tos.rtd",,"VOLUME","."&amp;R$2&amp;R$1&amp;"C"&amp;$A32)*RTD("tos.rtd",,"GAMMA","."&amp;R$2&amp;R$1&amp;"C"&amp;$A32)-$A$4*$A$4*RTD("tos.rtd",,"VOLUME","."&amp;R$2&amp;R$1&amp;"P"&amp;$A32)*RTD("tos.rtd",,"GAMMA","."&amp;R$2&amp;R$1&amp;"P"&amp;$A32))/1000000),0),IF($A$2="GEX",IFERROR(IF($X$1="ABS",($A$4*$A$4*RTD("tos.rtd",,"OPEN_INT","."&amp;R$2&amp;R$1&amp;"C"&amp;$A32)*RTD("tos.rtd",,"GAMMA","."&amp;R$2&amp;R$1&amp;"C"&amp;$A32)+$A$4*$A$4*RTD("tos.rtd",,"OPEN_INT","."&amp;R$2&amp;R$1&amp;"P"&amp;$A32)*RTD("tos.rtd",,"GAMMA","."&amp;R$2&amp;R$1&amp;"P"&amp;$A32))/1000000,($A$4*$A$4*RTD("tos.rtd",,"OPEN_INT","."&amp;R$2&amp;R$1&amp;"C"&amp;$A32)*RTD("tos.rtd",,"GAMMA","."&amp;R$2&amp;R$1&amp;"C"&amp;$A32)-$A$4*$A$4*RTD("tos.rtd",,"OPEN_INT","."&amp;R$2&amp;R$1&amp;"P"&amp;$A32)*RTD("tos.rtd",,"GAMMA","."&amp;R$2&amp;R$1&amp;"P"&amp;$A32))/1000000),0),IF($A$2="SKEW",IFERROR(VALUE(IF(RTD("tos.rtd",,"IMPL_VOL","."&amp;R$2&amp;R$1&amp;"P"&amp;$A32)="N/A",0,RTD("tos.rtd",,"IMPL_VOL","."&amp;R$2&amp;R$1&amp;"P"&amp;$A32))),0)-IFERROR(VALUE(IF(RTD("tos.rtd",,"IMPL_VOL","."&amp;R$2&amp;R$1&amp;"C"&amp;$A32)="N/A",0,RTD("tos.rtd",,"IMPL_VOL","."&amp;R$2&amp;R$1&amp;"C"&amp;$A32))),0),IF($A$2="MAXPAIN",IF($A$4&gt;$A32,($A$4-$A32)*IF(RTD("tos.rtd",,"OPEN_INT","."&amp;R$2&amp;R$1&amp;"C"&amp;$A32)="N/A",0,RTD("tos.rtd",,"OPEN_INT","."&amp;R$2&amp;R$1&amp;"C"&amp;$A32)),0)+IF($A$4&lt;$A32,($A$5-$A$4)*IF(RTD("tos.rtd",,"OPEN_INT","."&amp;R$2&amp;R$1&amp;"P"&amp;$A32)="N/A",0,RTD("tos.rtd",,"OPEN_INT","."&amp;R$2&amp;R$1&amp;"P"&amp;$A32)),0),IF($X$1="ABS",IF(RTD("tos.rtd",,$A$2,"."&amp;R$2&amp;R$1&amp;"C"&amp;$A32)="N/A",0,RTD("tos.rtd",,$A$2,"."&amp;R$2&amp;R$1&amp;"C"&amp;$A32))+IF(RTD("tos.rtd",,$A$2,"."&amp;R$2&amp;R$1&amp;"P"&amp;$A32)="N/A",0,RTD("tos.rtd",,$A$2,"."&amp;R$2&amp;R$1&amp;"P"&amp;$A32)),IF(RTD("tos.rtd",,$A$2,"."&amp;R$2&amp;R$1&amp;"C"&amp;$A32)="N/A",0,RTD("tos.rtd",,$A$2,"."&amp;R$2&amp;R$1&amp;"C"&amp;$A32))-IF(RTD("tos.rtd",,$A$2,"."&amp;R$2&amp;R$1&amp;"P"&amp;$A32)="N/A",0,RTD("tos.rtd",,$A$2,"."&amp;R$2&amp;R$1&amp;"P"&amp;$A32))))))))))</f>
        <v>0</v>
      </c>
      <c r="S32" s="12">
        <f ca="1">IF($A$2="PREMIUM_OI",IFERROR(IF($X$1="ABS",(100*RTD("tos.rtd",,"OPEN_INT","."&amp;S$2&amp;S$1&amp;"C"&amp;$A32)*RTD("tos.rtd",,"LAST","."&amp;S$2&amp;S$1&amp;"C"&amp;$A32)+100*RTD("tos.rtd",,"OPEN_INT","."&amp;S$2&amp;S$1&amp;"P"&amp;$A32)*RTD("tos.rtd",,"LAST","."&amp;S$2&amp;S$1&amp;"P"&amp;$A32))/1000000,(100*RTD("tos.rtd",,"OPEN_INT","."&amp;S$2&amp;S$1&amp;"C"&amp;$A32)*RTD("tos.rtd",,"LAST","."&amp;S$2&amp;S$1&amp;"C"&amp;$A32)-100*RTD("tos.rtd",,"OPEN_INT","."&amp;S$2&amp;S$1&amp;"P"&amp;$A32)*RTD("tos.rtd",,"LAST","."&amp;S$2&amp;S$1&amp;"P"&amp;$A32))/1000000),0),IF($A$2="PREMIUM",IFERROR(IF($X$1="ABS",(100*RTD("tos.rtd",,"VOLUME","."&amp;S$2&amp;S$1&amp;"C"&amp;$A32)*RTD("tos.rtd",,"LAST","."&amp;S$2&amp;S$1&amp;"C"&amp;$A32)+100*RTD("tos.rtd",,"VOLUME","."&amp;S$2&amp;S$1&amp;"P"&amp;$A32)*RTD("tos.rtd",,"LAST","."&amp;S$2&amp;S$1&amp;"P"&amp;$A32))/1000000,(100*RTD("tos.rtd",,"VOLUME","."&amp;S$2&amp;S$1&amp;"C"&amp;$A32)*RTD("tos.rtd",,"LAST","."&amp;S$2&amp;S$1&amp;"C"&amp;$A32)-100*RTD("tos.rtd",,"VOLUME","."&amp;S$2&amp;S$1&amp;"P"&amp;$A32)*RTD("tos.rtd",,"LAST","."&amp;S$2&amp;S$1&amp;"P"&amp;$A32))/1000000),0),IF($A$2="DEX",IFERROR(IF($X$1="ABS",(100*RTD("tos.rtd",,"OPEN_INT","."&amp;S$2&amp;S$1&amp;"C"&amp;$A32)*RTD("tos.rtd",,"DELTA","."&amp;S$2&amp;S$1&amp;"C"&amp;$A32)+100*RTD("tos.rtd",,"OPEN_INT","."&amp;S$2&amp;S$1&amp;"P"&amp;$A32)*RTD("tos.rtd",,"DELTA","."&amp;S$2&amp;S$1&amp;"P"&amp;$A32))/1000,(100*RTD("tos.rtd",,"OPEN_INT","."&amp;S$2&amp;S$1&amp;"C"&amp;$A32)*RTD("tos.rtd",,"DELTA","."&amp;S$2&amp;S$1&amp;"C"&amp;$A32)-100*RTD("tos.rtd",,"OPEN_INT","."&amp;S$2&amp;S$1&amp;"P"&amp;$A32)*RTD("tos.rtd",,"DELTA","."&amp;S$2&amp;S$1&amp;"P"&amp;$A32))/1000),0),IF($A$2="VEX",IFERROR(IF($X$1="ABS",($A$4*$A$4*RTD("tos.rtd",,"VOLUME","."&amp;S$2&amp;S$1&amp;"C"&amp;$A32)*RTD("tos.rtd",,"GAMMA","."&amp;S$2&amp;S$1&amp;"C"&amp;$A32)+$A$4*$A$4*RTD("tos.rtd",,"VOLUME","."&amp;S$2&amp;S$1&amp;"P"&amp;$A32)*RTD("tos.rtd",,"GAMMA","."&amp;S$2&amp;S$1&amp;"P"&amp;$A32))/1000000,($A$4*$A$4*RTD("tos.rtd",,"VOLUME","."&amp;S$2&amp;S$1&amp;"C"&amp;$A32)*RTD("tos.rtd",,"GAMMA","."&amp;S$2&amp;S$1&amp;"C"&amp;$A32)-$A$4*$A$4*RTD("tos.rtd",,"VOLUME","."&amp;S$2&amp;S$1&amp;"P"&amp;$A32)*RTD("tos.rtd",,"GAMMA","."&amp;S$2&amp;S$1&amp;"P"&amp;$A32))/1000000),0),IF($A$2="GEX",IFERROR(IF($X$1="ABS",($A$4*$A$4*RTD("tos.rtd",,"OPEN_INT","."&amp;S$2&amp;S$1&amp;"C"&amp;$A32)*RTD("tos.rtd",,"GAMMA","."&amp;S$2&amp;S$1&amp;"C"&amp;$A32)+$A$4*$A$4*RTD("tos.rtd",,"OPEN_INT","."&amp;S$2&amp;S$1&amp;"P"&amp;$A32)*RTD("tos.rtd",,"GAMMA","."&amp;S$2&amp;S$1&amp;"P"&amp;$A32))/1000000,($A$4*$A$4*RTD("tos.rtd",,"OPEN_INT","."&amp;S$2&amp;S$1&amp;"C"&amp;$A32)*RTD("tos.rtd",,"GAMMA","."&amp;S$2&amp;S$1&amp;"C"&amp;$A32)-$A$4*$A$4*RTD("tos.rtd",,"OPEN_INT","."&amp;S$2&amp;S$1&amp;"P"&amp;$A32)*RTD("tos.rtd",,"GAMMA","."&amp;S$2&amp;S$1&amp;"P"&amp;$A32))/1000000),0),IF($A$2="SKEW",IFERROR(VALUE(IF(RTD("tos.rtd",,"IMPL_VOL","."&amp;S$2&amp;S$1&amp;"P"&amp;$A32)="N/A",0,RTD("tos.rtd",,"IMPL_VOL","."&amp;S$2&amp;S$1&amp;"P"&amp;$A32))),0)-IFERROR(VALUE(IF(RTD("tos.rtd",,"IMPL_VOL","."&amp;S$2&amp;S$1&amp;"C"&amp;$A32)="N/A",0,RTD("tos.rtd",,"IMPL_VOL","."&amp;S$2&amp;S$1&amp;"C"&amp;$A32))),0),IF($A$2="MAXPAIN",IF($A$4&gt;$A32,($A$4-$A32)*IF(RTD("tos.rtd",,"OPEN_INT","."&amp;S$2&amp;S$1&amp;"C"&amp;$A32)="N/A",0,RTD("tos.rtd",,"OPEN_INT","."&amp;S$2&amp;S$1&amp;"C"&amp;$A32)),0)+IF($A$4&lt;$A32,($A$5-$A$4)*IF(RTD("tos.rtd",,"OPEN_INT","."&amp;S$2&amp;S$1&amp;"P"&amp;$A32)="N/A",0,RTD("tos.rtd",,"OPEN_INT","."&amp;S$2&amp;S$1&amp;"P"&amp;$A32)),0),IF($X$1="ABS",IF(RTD("tos.rtd",,$A$2,"."&amp;S$2&amp;S$1&amp;"C"&amp;$A32)="N/A",0,RTD("tos.rtd",,$A$2,"."&amp;S$2&amp;S$1&amp;"C"&amp;$A32))+IF(RTD("tos.rtd",,$A$2,"."&amp;S$2&amp;S$1&amp;"P"&amp;$A32)="N/A",0,RTD("tos.rtd",,$A$2,"."&amp;S$2&amp;S$1&amp;"P"&amp;$A32)),IF(RTD("tos.rtd",,$A$2,"."&amp;S$2&amp;S$1&amp;"C"&amp;$A32)="N/A",0,RTD("tos.rtd",,$A$2,"."&amp;S$2&amp;S$1&amp;"C"&amp;$A32))-IF(RTD("tos.rtd",,$A$2,"."&amp;S$2&amp;S$1&amp;"P"&amp;$A32)="N/A",0,RTD("tos.rtd",,$A$2,"."&amp;S$2&amp;S$1&amp;"P"&amp;$A32))))))))))</f>
        <v>0</v>
      </c>
      <c r="T32" s="12">
        <f ca="1">IF($A$2="PREMIUM_OI",IFERROR(IF($X$1="ABS",(100*RTD("tos.rtd",,"OPEN_INT","."&amp;T$2&amp;T$1&amp;"C"&amp;$A32)*RTD("tos.rtd",,"LAST","."&amp;T$2&amp;T$1&amp;"C"&amp;$A32)+100*RTD("tos.rtd",,"OPEN_INT","."&amp;T$2&amp;T$1&amp;"P"&amp;$A32)*RTD("tos.rtd",,"LAST","."&amp;T$2&amp;T$1&amp;"P"&amp;$A32))/1000000,(100*RTD("tos.rtd",,"OPEN_INT","."&amp;T$2&amp;T$1&amp;"C"&amp;$A32)*RTD("tos.rtd",,"LAST","."&amp;T$2&amp;T$1&amp;"C"&amp;$A32)-100*RTD("tos.rtd",,"OPEN_INT","."&amp;T$2&amp;T$1&amp;"P"&amp;$A32)*RTD("tos.rtd",,"LAST","."&amp;T$2&amp;T$1&amp;"P"&amp;$A32))/1000000),0),IF($A$2="PREMIUM",IFERROR(IF($X$1="ABS",(100*RTD("tos.rtd",,"VOLUME","."&amp;T$2&amp;T$1&amp;"C"&amp;$A32)*RTD("tos.rtd",,"LAST","."&amp;T$2&amp;T$1&amp;"C"&amp;$A32)+100*RTD("tos.rtd",,"VOLUME","."&amp;T$2&amp;T$1&amp;"P"&amp;$A32)*RTD("tos.rtd",,"LAST","."&amp;T$2&amp;T$1&amp;"P"&amp;$A32))/1000000,(100*RTD("tos.rtd",,"VOLUME","."&amp;T$2&amp;T$1&amp;"C"&amp;$A32)*RTD("tos.rtd",,"LAST","."&amp;T$2&amp;T$1&amp;"C"&amp;$A32)-100*RTD("tos.rtd",,"VOLUME","."&amp;T$2&amp;T$1&amp;"P"&amp;$A32)*RTD("tos.rtd",,"LAST","."&amp;T$2&amp;T$1&amp;"P"&amp;$A32))/1000000),0),IF($A$2="DEX",IFERROR(IF($X$1="ABS",(100*RTD("tos.rtd",,"OPEN_INT","."&amp;T$2&amp;T$1&amp;"C"&amp;$A32)*RTD("tos.rtd",,"DELTA","."&amp;T$2&amp;T$1&amp;"C"&amp;$A32)+100*RTD("tos.rtd",,"OPEN_INT","."&amp;T$2&amp;T$1&amp;"P"&amp;$A32)*RTD("tos.rtd",,"DELTA","."&amp;T$2&amp;T$1&amp;"P"&amp;$A32))/1000,(100*RTD("tos.rtd",,"OPEN_INT","."&amp;T$2&amp;T$1&amp;"C"&amp;$A32)*RTD("tos.rtd",,"DELTA","."&amp;T$2&amp;T$1&amp;"C"&amp;$A32)-100*RTD("tos.rtd",,"OPEN_INT","."&amp;T$2&amp;T$1&amp;"P"&amp;$A32)*RTD("tos.rtd",,"DELTA","."&amp;T$2&amp;T$1&amp;"P"&amp;$A32))/1000),0),IF($A$2="VEX",IFERROR(IF($X$1="ABS",($A$4*$A$4*RTD("tos.rtd",,"VOLUME","."&amp;T$2&amp;T$1&amp;"C"&amp;$A32)*RTD("tos.rtd",,"GAMMA","."&amp;T$2&amp;T$1&amp;"C"&amp;$A32)+$A$4*$A$4*RTD("tos.rtd",,"VOLUME","."&amp;T$2&amp;T$1&amp;"P"&amp;$A32)*RTD("tos.rtd",,"GAMMA","."&amp;T$2&amp;T$1&amp;"P"&amp;$A32))/1000000,($A$4*$A$4*RTD("tos.rtd",,"VOLUME","."&amp;T$2&amp;T$1&amp;"C"&amp;$A32)*RTD("tos.rtd",,"GAMMA","."&amp;T$2&amp;T$1&amp;"C"&amp;$A32)-$A$4*$A$4*RTD("tos.rtd",,"VOLUME","."&amp;T$2&amp;T$1&amp;"P"&amp;$A32)*RTD("tos.rtd",,"GAMMA","."&amp;T$2&amp;T$1&amp;"P"&amp;$A32))/1000000),0),IF($A$2="GEX",IFERROR(IF($X$1="ABS",($A$4*$A$4*RTD("tos.rtd",,"OPEN_INT","."&amp;T$2&amp;T$1&amp;"C"&amp;$A32)*RTD("tos.rtd",,"GAMMA","."&amp;T$2&amp;T$1&amp;"C"&amp;$A32)+$A$4*$A$4*RTD("tos.rtd",,"OPEN_INT","."&amp;T$2&amp;T$1&amp;"P"&amp;$A32)*RTD("tos.rtd",,"GAMMA","."&amp;T$2&amp;T$1&amp;"P"&amp;$A32))/1000000,($A$4*$A$4*RTD("tos.rtd",,"OPEN_INT","."&amp;T$2&amp;T$1&amp;"C"&amp;$A32)*RTD("tos.rtd",,"GAMMA","."&amp;T$2&amp;T$1&amp;"C"&amp;$A32)-$A$4*$A$4*RTD("tos.rtd",,"OPEN_INT","."&amp;T$2&amp;T$1&amp;"P"&amp;$A32)*RTD("tos.rtd",,"GAMMA","."&amp;T$2&amp;T$1&amp;"P"&amp;$A32))/1000000),0),IF($A$2="SKEW",IFERROR(VALUE(IF(RTD("tos.rtd",,"IMPL_VOL","."&amp;T$2&amp;T$1&amp;"P"&amp;$A32)="N/A",0,RTD("tos.rtd",,"IMPL_VOL","."&amp;T$2&amp;T$1&amp;"P"&amp;$A32))),0)-IFERROR(VALUE(IF(RTD("tos.rtd",,"IMPL_VOL","."&amp;T$2&amp;T$1&amp;"C"&amp;$A32)="N/A",0,RTD("tos.rtd",,"IMPL_VOL","."&amp;T$2&amp;T$1&amp;"C"&amp;$A32))),0),IF($A$2="MAXPAIN",IF($A$4&gt;$A32,($A$4-$A32)*IF(RTD("tos.rtd",,"OPEN_INT","."&amp;T$2&amp;T$1&amp;"C"&amp;$A32)="N/A",0,RTD("tos.rtd",,"OPEN_INT","."&amp;T$2&amp;T$1&amp;"C"&amp;$A32)),0)+IF($A$4&lt;$A32,($A$5-$A$4)*IF(RTD("tos.rtd",,"OPEN_INT","."&amp;T$2&amp;T$1&amp;"P"&amp;$A32)="N/A",0,RTD("tos.rtd",,"OPEN_INT","."&amp;T$2&amp;T$1&amp;"P"&amp;$A32)),0),IF($X$1="ABS",IF(RTD("tos.rtd",,$A$2,"."&amp;T$2&amp;T$1&amp;"C"&amp;$A32)="N/A",0,RTD("tos.rtd",,$A$2,"."&amp;T$2&amp;T$1&amp;"C"&amp;$A32))+IF(RTD("tos.rtd",,$A$2,"."&amp;T$2&amp;T$1&amp;"P"&amp;$A32)="N/A",0,RTD("tos.rtd",,$A$2,"."&amp;T$2&amp;T$1&amp;"P"&amp;$A32)),IF(RTD("tos.rtd",,$A$2,"."&amp;T$2&amp;T$1&amp;"C"&amp;$A32)="N/A",0,RTD("tos.rtd",,$A$2,"."&amp;T$2&amp;T$1&amp;"C"&amp;$A32))-IF(RTD("tos.rtd",,$A$2,"."&amp;T$2&amp;T$1&amp;"P"&amp;$A32)="N/A",0,RTD("tos.rtd",,$A$2,"."&amp;T$2&amp;T$1&amp;"P"&amp;$A32))))))))))</f>
        <v>0</v>
      </c>
      <c r="U32" s="12">
        <f ca="1">IF($A$2="PREMIUM_OI",IFERROR(IF($X$1="ABS",(100*RTD("tos.rtd",,"OPEN_INT","."&amp;U$2&amp;U$1&amp;"C"&amp;$A32)*RTD("tos.rtd",,"LAST","."&amp;U$2&amp;U$1&amp;"C"&amp;$A32)+100*RTD("tos.rtd",,"OPEN_INT","."&amp;U$2&amp;U$1&amp;"P"&amp;$A32)*RTD("tos.rtd",,"LAST","."&amp;U$2&amp;U$1&amp;"P"&amp;$A32))/1000000,(100*RTD("tos.rtd",,"OPEN_INT","."&amp;U$2&amp;U$1&amp;"C"&amp;$A32)*RTD("tos.rtd",,"LAST","."&amp;U$2&amp;U$1&amp;"C"&amp;$A32)-100*RTD("tos.rtd",,"OPEN_INT","."&amp;U$2&amp;U$1&amp;"P"&amp;$A32)*RTD("tos.rtd",,"LAST","."&amp;U$2&amp;U$1&amp;"P"&amp;$A32))/1000000),0),IF($A$2="PREMIUM",IFERROR(IF($X$1="ABS",(100*RTD("tos.rtd",,"VOLUME","."&amp;U$2&amp;U$1&amp;"C"&amp;$A32)*RTD("tos.rtd",,"LAST","."&amp;U$2&amp;U$1&amp;"C"&amp;$A32)+100*RTD("tos.rtd",,"VOLUME","."&amp;U$2&amp;U$1&amp;"P"&amp;$A32)*RTD("tos.rtd",,"LAST","."&amp;U$2&amp;U$1&amp;"P"&amp;$A32))/1000000,(100*RTD("tos.rtd",,"VOLUME","."&amp;U$2&amp;U$1&amp;"C"&amp;$A32)*RTD("tos.rtd",,"LAST","."&amp;U$2&amp;U$1&amp;"C"&amp;$A32)-100*RTD("tos.rtd",,"VOLUME","."&amp;U$2&amp;U$1&amp;"P"&amp;$A32)*RTD("tos.rtd",,"LAST","."&amp;U$2&amp;U$1&amp;"P"&amp;$A32))/1000000),0),IF($A$2="DEX",IFERROR(IF($X$1="ABS",(100*RTD("tos.rtd",,"OPEN_INT","."&amp;U$2&amp;U$1&amp;"C"&amp;$A32)*RTD("tos.rtd",,"DELTA","."&amp;U$2&amp;U$1&amp;"C"&amp;$A32)+100*RTD("tos.rtd",,"OPEN_INT","."&amp;U$2&amp;U$1&amp;"P"&amp;$A32)*RTD("tos.rtd",,"DELTA","."&amp;U$2&amp;U$1&amp;"P"&amp;$A32))/1000,(100*RTD("tos.rtd",,"OPEN_INT","."&amp;U$2&amp;U$1&amp;"C"&amp;$A32)*RTD("tos.rtd",,"DELTA","."&amp;U$2&amp;U$1&amp;"C"&amp;$A32)-100*RTD("tos.rtd",,"OPEN_INT","."&amp;U$2&amp;U$1&amp;"P"&amp;$A32)*RTD("tos.rtd",,"DELTA","."&amp;U$2&amp;U$1&amp;"P"&amp;$A32))/1000),0),IF($A$2="VEX",IFERROR(IF($X$1="ABS",($A$4*$A$4*RTD("tos.rtd",,"VOLUME","."&amp;U$2&amp;U$1&amp;"C"&amp;$A32)*RTD("tos.rtd",,"GAMMA","."&amp;U$2&amp;U$1&amp;"C"&amp;$A32)+$A$4*$A$4*RTD("tos.rtd",,"VOLUME","."&amp;U$2&amp;U$1&amp;"P"&amp;$A32)*RTD("tos.rtd",,"GAMMA","."&amp;U$2&amp;U$1&amp;"P"&amp;$A32))/1000000,($A$4*$A$4*RTD("tos.rtd",,"VOLUME","."&amp;U$2&amp;U$1&amp;"C"&amp;$A32)*RTD("tos.rtd",,"GAMMA","."&amp;U$2&amp;U$1&amp;"C"&amp;$A32)-$A$4*$A$4*RTD("tos.rtd",,"VOLUME","."&amp;U$2&amp;U$1&amp;"P"&amp;$A32)*RTD("tos.rtd",,"GAMMA","."&amp;U$2&amp;U$1&amp;"P"&amp;$A32))/1000000),0),IF($A$2="GEX",IFERROR(IF($X$1="ABS",($A$4*$A$4*RTD("tos.rtd",,"OPEN_INT","."&amp;U$2&amp;U$1&amp;"C"&amp;$A32)*RTD("tos.rtd",,"GAMMA","."&amp;U$2&amp;U$1&amp;"C"&amp;$A32)+$A$4*$A$4*RTD("tos.rtd",,"OPEN_INT","."&amp;U$2&amp;U$1&amp;"P"&amp;$A32)*RTD("tos.rtd",,"GAMMA","."&amp;U$2&amp;U$1&amp;"P"&amp;$A32))/1000000,($A$4*$A$4*RTD("tos.rtd",,"OPEN_INT","."&amp;U$2&amp;U$1&amp;"C"&amp;$A32)*RTD("tos.rtd",,"GAMMA","."&amp;U$2&amp;U$1&amp;"C"&amp;$A32)-$A$4*$A$4*RTD("tos.rtd",,"OPEN_INT","."&amp;U$2&amp;U$1&amp;"P"&amp;$A32)*RTD("tos.rtd",,"GAMMA","."&amp;U$2&amp;U$1&amp;"P"&amp;$A32))/1000000),0),IF($A$2="SKEW",IFERROR(VALUE(IF(RTD("tos.rtd",,"IMPL_VOL","."&amp;U$2&amp;U$1&amp;"P"&amp;$A32)="N/A",0,RTD("tos.rtd",,"IMPL_VOL","."&amp;U$2&amp;U$1&amp;"P"&amp;$A32))),0)-IFERROR(VALUE(IF(RTD("tos.rtd",,"IMPL_VOL","."&amp;U$2&amp;U$1&amp;"C"&amp;$A32)="N/A",0,RTD("tos.rtd",,"IMPL_VOL","."&amp;U$2&amp;U$1&amp;"C"&amp;$A32))),0),IF($A$2="MAXPAIN",IF($A$4&gt;$A32,($A$4-$A32)*IF(RTD("tos.rtd",,"OPEN_INT","."&amp;U$2&amp;U$1&amp;"C"&amp;$A32)="N/A",0,RTD("tos.rtd",,"OPEN_INT","."&amp;U$2&amp;U$1&amp;"C"&amp;$A32)),0)+IF($A$4&lt;$A32,($A$5-$A$4)*IF(RTD("tos.rtd",,"OPEN_INT","."&amp;U$2&amp;U$1&amp;"P"&amp;$A32)="N/A",0,RTD("tos.rtd",,"OPEN_INT","."&amp;U$2&amp;U$1&amp;"P"&amp;$A32)),0),IF($X$1="ABS",IF(RTD("tos.rtd",,$A$2,"."&amp;U$2&amp;U$1&amp;"C"&amp;$A32)="N/A",0,RTD("tos.rtd",,$A$2,"."&amp;U$2&amp;U$1&amp;"C"&amp;$A32))+IF(RTD("tos.rtd",,$A$2,"."&amp;U$2&amp;U$1&amp;"P"&amp;$A32)="N/A",0,RTD("tos.rtd",,$A$2,"."&amp;U$2&amp;U$1&amp;"P"&amp;$A32)),IF(RTD("tos.rtd",,$A$2,"."&amp;U$2&amp;U$1&amp;"C"&amp;$A32)="N/A",0,RTD("tos.rtd",,$A$2,"."&amp;U$2&amp;U$1&amp;"C"&amp;$A32))-IF(RTD("tos.rtd",,$A$2,"."&amp;U$2&amp;U$1&amp;"P"&amp;$A32)="N/A",0,RTD("tos.rtd",,$A$2,"."&amp;U$2&amp;U$1&amp;"P"&amp;$A32))))))))))</f>
        <v>0</v>
      </c>
      <c r="V32" s="12">
        <f ca="1">IF($A$2="PREMIUM_OI",IFERROR(IF($X$1="ABS",(100*RTD("tos.rtd",,"OPEN_INT","."&amp;V$2&amp;V$1&amp;"C"&amp;$A32)*RTD("tos.rtd",,"LAST","."&amp;V$2&amp;V$1&amp;"C"&amp;$A32)+100*RTD("tos.rtd",,"OPEN_INT","."&amp;V$2&amp;V$1&amp;"P"&amp;$A32)*RTD("tos.rtd",,"LAST","."&amp;V$2&amp;V$1&amp;"P"&amp;$A32))/1000000,(100*RTD("tos.rtd",,"OPEN_INT","."&amp;V$2&amp;V$1&amp;"C"&amp;$A32)*RTD("tos.rtd",,"LAST","."&amp;V$2&amp;V$1&amp;"C"&amp;$A32)-100*RTD("tos.rtd",,"OPEN_INT","."&amp;V$2&amp;V$1&amp;"P"&amp;$A32)*RTD("tos.rtd",,"LAST","."&amp;V$2&amp;V$1&amp;"P"&amp;$A32))/1000000),0),IF($A$2="PREMIUM",IFERROR(IF($X$1="ABS",(100*RTD("tos.rtd",,"VOLUME","."&amp;V$2&amp;V$1&amp;"C"&amp;$A32)*RTD("tos.rtd",,"LAST","."&amp;V$2&amp;V$1&amp;"C"&amp;$A32)+100*RTD("tos.rtd",,"VOLUME","."&amp;V$2&amp;V$1&amp;"P"&amp;$A32)*RTD("tos.rtd",,"LAST","."&amp;V$2&amp;V$1&amp;"P"&amp;$A32))/1000000,(100*RTD("tos.rtd",,"VOLUME","."&amp;V$2&amp;V$1&amp;"C"&amp;$A32)*RTD("tos.rtd",,"LAST","."&amp;V$2&amp;V$1&amp;"C"&amp;$A32)-100*RTD("tos.rtd",,"VOLUME","."&amp;V$2&amp;V$1&amp;"P"&amp;$A32)*RTD("tos.rtd",,"LAST","."&amp;V$2&amp;V$1&amp;"P"&amp;$A32))/1000000),0),IF($A$2="DEX",IFERROR(IF($X$1="ABS",(100*RTD("tos.rtd",,"OPEN_INT","."&amp;V$2&amp;V$1&amp;"C"&amp;$A32)*RTD("tos.rtd",,"DELTA","."&amp;V$2&amp;V$1&amp;"C"&amp;$A32)+100*RTD("tos.rtd",,"OPEN_INT","."&amp;V$2&amp;V$1&amp;"P"&amp;$A32)*RTD("tos.rtd",,"DELTA","."&amp;V$2&amp;V$1&amp;"P"&amp;$A32))/1000,(100*RTD("tos.rtd",,"OPEN_INT","."&amp;V$2&amp;V$1&amp;"C"&amp;$A32)*RTD("tos.rtd",,"DELTA","."&amp;V$2&amp;V$1&amp;"C"&amp;$A32)-100*RTD("tos.rtd",,"OPEN_INT","."&amp;V$2&amp;V$1&amp;"P"&amp;$A32)*RTD("tos.rtd",,"DELTA","."&amp;V$2&amp;V$1&amp;"P"&amp;$A32))/1000),0),IF($A$2="VEX",IFERROR(IF($X$1="ABS",($A$4*$A$4*RTD("tos.rtd",,"VOLUME","."&amp;V$2&amp;V$1&amp;"C"&amp;$A32)*RTD("tos.rtd",,"GAMMA","."&amp;V$2&amp;V$1&amp;"C"&amp;$A32)+$A$4*$A$4*RTD("tos.rtd",,"VOLUME","."&amp;V$2&amp;V$1&amp;"P"&amp;$A32)*RTD("tos.rtd",,"GAMMA","."&amp;V$2&amp;V$1&amp;"P"&amp;$A32))/1000000,($A$4*$A$4*RTD("tos.rtd",,"VOLUME","."&amp;V$2&amp;V$1&amp;"C"&amp;$A32)*RTD("tos.rtd",,"GAMMA","."&amp;V$2&amp;V$1&amp;"C"&amp;$A32)-$A$4*$A$4*RTD("tos.rtd",,"VOLUME","."&amp;V$2&amp;V$1&amp;"P"&amp;$A32)*RTD("tos.rtd",,"GAMMA","."&amp;V$2&amp;V$1&amp;"P"&amp;$A32))/1000000),0),IF($A$2="GEX",IFERROR(IF($X$1="ABS",($A$4*$A$4*RTD("tos.rtd",,"OPEN_INT","."&amp;V$2&amp;V$1&amp;"C"&amp;$A32)*RTD("tos.rtd",,"GAMMA","."&amp;V$2&amp;V$1&amp;"C"&amp;$A32)+$A$4*$A$4*RTD("tos.rtd",,"OPEN_INT","."&amp;V$2&amp;V$1&amp;"P"&amp;$A32)*RTD("tos.rtd",,"GAMMA","."&amp;V$2&amp;V$1&amp;"P"&amp;$A32))/1000000,($A$4*$A$4*RTD("tos.rtd",,"OPEN_INT","."&amp;V$2&amp;V$1&amp;"C"&amp;$A32)*RTD("tos.rtd",,"GAMMA","."&amp;V$2&amp;V$1&amp;"C"&amp;$A32)-$A$4*$A$4*RTD("tos.rtd",,"OPEN_INT","."&amp;V$2&amp;V$1&amp;"P"&amp;$A32)*RTD("tos.rtd",,"GAMMA","."&amp;V$2&amp;V$1&amp;"P"&amp;$A32))/1000000),0),IF($A$2="SKEW",IFERROR(VALUE(IF(RTD("tos.rtd",,"IMPL_VOL","."&amp;V$2&amp;V$1&amp;"P"&amp;$A32)="N/A",0,RTD("tos.rtd",,"IMPL_VOL","."&amp;V$2&amp;V$1&amp;"P"&amp;$A32))),0)-IFERROR(VALUE(IF(RTD("tos.rtd",,"IMPL_VOL","."&amp;V$2&amp;V$1&amp;"C"&amp;$A32)="N/A",0,RTD("tos.rtd",,"IMPL_VOL","."&amp;V$2&amp;V$1&amp;"C"&amp;$A32))),0),IF($A$2="MAXPAIN",IF($A$4&gt;$A32,($A$4-$A32)*IF(RTD("tos.rtd",,"OPEN_INT","."&amp;V$2&amp;V$1&amp;"C"&amp;$A32)="N/A",0,RTD("tos.rtd",,"OPEN_INT","."&amp;V$2&amp;V$1&amp;"C"&amp;$A32)),0)+IF($A$4&lt;$A32,($A$5-$A$4)*IF(RTD("tos.rtd",,"OPEN_INT","."&amp;V$2&amp;V$1&amp;"P"&amp;$A32)="N/A",0,RTD("tos.rtd",,"OPEN_INT","."&amp;V$2&amp;V$1&amp;"P"&amp;$A32)),0),IF($X$1="ABS",IF(RTD("tos.rtd",,$A$2,"."&amp;V$2&amp;V$1&amp;"C"&amp;$A32)="N/A",0,RTD("tos.rtd",,$A$2,"."&amp;V$2&amp;V$1&amp;"C"&amp;$A32))+IF(RTD("tos.rtd",,$A$2,"."&amp;V$2&amp;V$1&amp;"P"&amp;$A32)="N/A",0,RTD("tos.rtd",,$A$2,"."&amp;V$2&amp;V$1&amp;"P"&amp;$A32)),IF(RTD("tos.rtd",,$A$2,"."&amp;V$2&amp;V$1&amp;"C"&amp;$A32)="N/A",0,RTD("tos.rtd",,$A$2,"."&amp;V$2&amp;V$1&amp;"C"&amp;$A32))-IF(RTD("tos.rtd",,$A$2,"."&amp;V$2&amp;V$1&amp;"P"&amp;$A32)="N/A",0,RTD("tos.rtd",,$A$2,"."&amp;V$2&amp;V$1&amp;"P"&amp;$A32))))))))))</f>
        <v>0</v>
      </c>
      <c r="W32" s="54">
        <f ca="1">IF($A$2="PREMIUM_OI",IFERROR(IF($X$1="ABS",(100*RTD("tos.rtd",,"OPEN_INT","."&amp;W$2&amp;W$1&amp;"C"&amp;$A32)*RTD("tos.rtd",,"LAST","."&amp;W$2&amp;W$1&amp;"C"&amp;$A32)+100*RTD("tos.rtd",,"OPEN_INT","."&amp;W$2&amp;W$1&amp;"P"&amp;$A32)*RTD("tos.rtd",,"LAST","."&amp;W$2&amp;W$1&amp;"P"&amp;$A32))/1000000,(100*RTD("tos.rtd",,"OPEN_INT","."&amp;W$2&amp;W$1&amp;"C"&amp;$A32)*RTD("tos.rtd",,"LAST","."&amp;W$2&amp;W$1&amp;"C"&amp;$A32)-100*RTD("tos.rtd",,"OPEN_INT","."&amp;W$2&amp;W$1&amp;"P"&amp;$A32)*RTD("tos.rtd",,"LAST","."&amp;W$2&amp;W$1&amp;"P"&amp;$A32))/1000000),0),IF($A$2="PREMIUM",IFERROR(IF($X$1="ABS",(100*RTD("tos.rtd",,"VOLUME","."&amp;W$2&amp;W$1&amp;"C"&amp;$A32)*RTD("tos.rtd",,"LAST","."&amp;W$2&amp;W$1&amp;"C"&amp;$A32)+100*RTD("tos.rtd",,"VOLUME","."&amp;W$2&amp;W$1&amp;"P"&amp;$A32)*RTD("tos.rtd",,"LAST","."&amp;W$2&amp;W$1&amp;"P"&amp;$A32))/1000000,(100*RTD("tos.rtd",,"VOLUME","."&amp;W$2&amp;W$1&amp;"C"&amp;$A32)*RTD("tos.rtd",,"LAST","."&amp;W$2&amp;W$1&amp;"C"&amp;$A32)-100*RTD("tos.rtd",,"VOLUME","."&amp;W$2&amp;W$1&amp;"P"&amp;$A32)*RTD("tos.rtd",,"LAST","."&amp;W$2&amp;W$1&amp;"P"&amp;$A32))/1000000),0),IF($A$2="DEX",IFERROR(IF($X$1="ABS",(100*RTD("tos.rtd",,"OPEN_INT","."&amp;W$2&amp;W$1&amp;"C"&amp;$A32)*RTD("tos.rtd",,"DELTA","."&amp;W$2&amp;W$1&amp;"C"&amp;$A32)+100*RTD("tos.rtd",,"OPEN_INT","."&amp;W$2&amp;W$1&amp;"P"&amp;$A32)*RTD("tos.rtd",,"DELTA","."&amp;W$2&amp;W$1&amp;"P"&amp;$A32))/1000,(100*RTD("tos.rtd",,"OPEN_INT","."&amp;W$2&amp;W$1&amp;"C"&amp;$A32)*RTD("tos.rtd",,"DELTA","."&amp;W$2&amp;W$1&amp;"C"&amp;$A32)-100*RTD("tos.rtd",,"OPEN_INT","."&amp;W$2&amp;W$1&amp;"P"&amp;$A32)*RTD("tos.rtd",,"DELTA","."&amp;W$2&amp;W$1&amp;"P"&amp;$A32))/1000),0),IF($A$2="VEX",IFERROR(IF($X$1="ABS",($A$4*$A$4*RTD("tos.rtd",,"VOLUME","."&amp;W$2&amp;W$1&amp;"C"&amp;$A32)*RTD("tos.rtd",,"GAMMA","."&amp;W$2&amp;W$1&amp;"C"&amp;$A32)+$A$4*$A$4*RTD("tos.rtd",,"VOLUME","."&amp;W$2&amp;W$1&amp;"P"&amp;$A32)*RTD("tos.rtd",,"GAMMA","."&amp;W$2&amp;W$1&amp;"P"&amp;$A32))/1000000,($A$4*$A$4*RTD("tos.rtd",,"VOLUME","."&amp;W$2&amp;W$1&amp;"C"&amp;$A32)*RTD("tos.rtd",,"GAMMA","."&amp;W$2&amp;W$1&amp;"C"&amp;$A32)-$A$4*$A$4*RTD("tos.rtd",,"VOLUME","."&amp;W$2&amp;W$1&amp;"P"&amp;$A32)*RTD("tos.rtd",,"GAMMA","."&amp;W$2&amp;W$1&amp;"P"&amp;$A32))/1000000),0),IF($A$2="GEX",IFERROR(IF($X$1="ABS",($A$4*$A$4*RTD("tos.rtd",,"OPEN_INT","."&amp;W$2&amp;W$1&amp;"C"&amp;$A32)*RTD("tos.rtd",,"GAMMA","."&amp;W$2&amp;W$1&amp;"C"&amp;$A32)+$A$4*$A$4*RTD("tos.rtd",,"OPEN_INT","."&amp;W$2&amp;W$1&amp;"P"&amp;$A32)*RTD("tos.rtd",,"GAMMA","."&amp;W$2&amp;W$1&amp;"P"&amp;$A32))/1000000,($A$4*$A$4*RTD("tos.rtd",,"OPEN_INT","."&amp;W$2&amp;W$1&amp;"C"&amp;$A32)*RTD("tos.rtd",,"GAMMA","."&amp;W$2&amp;W$1&amp;"C"&amp;$A32)-$A$4*$A$4*RTD("tos.rtd",,"OPEN_INT","."&amp;W$2&amp;W$1&amp;"P"&amp;$A32)*RTD("tos.rtd",,"GAMMA","."&amp;W$2&amp;W$1&amp;"P"&amp;$A32))/1000000),0),IF($A$2="SKEW",IFERROR(VALUE(IF(RTD("tos.rtd",,"IMPL_VOL","."&amp;W$2&amp;W$1&amp;"P"&amp;$A32)="N/A",0,RTD("tos.rtd",,"IMPL_VOL","."&amp;W$2&amp;W$1&amp;"P"&amp;$A32))),0)-IFERROR(VALUE(IF(RTD("tos.rtd",,"IMPL_VOL","."&amp;W$2&amp;W$1&amp;"C"&amp;$A32)="N/A",0,RTD("tos.rtd",,"IMPL_VOL","."&amp;W$2&amp;W$1&amp;"C"&amp;$A32))),0),IF($A$2="MAXPAIN",IF($A$4&gt;$A32,($A$4-$A32)*IF(RTD("tos.rtd",,"OPEN_INT","."&amp;W$2&amp;W$1&amp;"C"&amp;$A32)="N/A",0,RTD("tos.rtd",,"OPEN_INT","."&amp;W$2&amp;W$1&amp;"C"&amp;$A32)),0)+IF($A$4&lt;$A32,($A$5-$A$4)*IF(RTD("tos.rtd",,"OPEN_INT","."&amp;W$2&amp;W$1&amp;"P"&amp;$A32)="N/A",0,RTD("tos.rtd",,"OPEN_INT","."&amp;W$2&amp;W$1&amp;"P"&amp;$A32)),0),IF($X$1="ABS",IF(RTD("tos.rtd",,$A$2,"."&amp;W$2&amp;W$1&amp;"C"&amp;$A32)="N/A",0,RTD("tos.rtd",,$A$2,"."&amp;W$2&amp;W$1&amp;"C"&amp;$A32))+IF(RTD("tos.rtd",,$A$2,"."&amp;W$2&amp;W$1&amp;"P"&amp;$A32)="N/A",0,RTD("tos.rtd",,$A$2,"."&amp;W$2&amp;W$1&amp;"P"&amp;$A32)),IF(RTD("tos.rtd",,$A$2,"."&amp;W$2&amp;W$1&amp;"C"&amp;$A32)="N/A",0,RTD("tos.rtd",,$A$2,"."&amp;W$2&amp;W$1&amp;"C"&amp;$A32))-IF(RTD("tos.rtd",,$A$2,"."&amp;W$2&amp;W$1&amp;"P"&amp;$A32)="N/A",0,RTD("tos.rtd",,$A$2,"."&amp;W$2&amp;W$1&amp;"P"&amp;$A32))))))))))</f>
        <v>0</v>
      </c>
      <c r="X32" s="57">
        <f t="shared" ca="1" si="8"/>
        <v>0</v>
      </c>
      <c r="Y32" s="27">
        <f t="shared" ca="1" si="9"/>
        <v>0</v>
      </c>
      <c r="Z32" s="27">
        <f ca="1">+'OI-VOL'!Y32</f>
        <v>117464</v>
      </c>
      <c r="AA32" s="27" t="b">
        <f t="shared" ca="1" si="10"/>
        <v>0</v>
      </c>
      <c r="AB32" s="27">
        <f t="shared" si="11"/>
        <v>7245400</v>
      </c>
      <c r="AC32" s="18">
        <f>MAX(0, $A32-AC$4)*IF(RTD("tos.rtd",,"OPEN_INT","."&amp;$AB$3&amp;$AB$4&amp;"C"&amp;AC$4)="N/A",0,RTD("tos.rtd",,"OPEN_INT","."&amp;$AB$3&amp;$AB$4&amp;"C"&amp;AC$4))*100 + MAX(0, AC$4-$A32)*IF(RTD("tos.rtd",,"OPEN_INT","."&amp;$AB$3&amp;$AB$4&amp;"P"&amp;AC$4)="N/A",0,RTD("tos.rtd",,"OPEN_INT","."&amp;$AB$3&amp;$AB$4&amp;"P"&amp;AC$4))*100</f>
        <v>0</v>
      </c>
      <c r="AD32" s="18">
        <f>MAX(0, $A32-AD$4)*IF(RTD("tos.rtd",,"OPEN_INT","."&amp;$AB$3&amp;$AB$4&amp;"C"&amp;AD$4)="N/A",0,RTD("tos.rtd",,"OPEN_INT","."&amp;$AB$3&amp;$AB$4&amp;"C"&amp;AD$4))*100 + MAX(0, AD$4-$A32)*IF(RTD("tos.rtd",,"OPEN_INT","."&amp;$AB$3&amp;$AB$4&amp;"P"&amp;AD$4)="N/A",0,RTD("tos.rtd",,"OPEN_INT","."&amp;$AB$3&amp;$AB$4&amp;"P"&amp;AD$4))*100</f>
        <v>0</v>
      </c>
      <c r="AE32" s="18">
        <f>MAX(0, $A32-AE$4)*IF(RTD("tos.rtd",,"OPEN_INT","."&amp;$AB$3&amp;$AB$4&amp;"C"&amp;AE$4)="N/A",0,RTD("tos.rtd",,"OPEN_INT","."&amp;$AB$3&amp;$AB$4&amp;"C"&amp;AE$4))*100 + MAX(0, AE$4-$A32)*IF(RTD("tos.rtd",,"OPEN_INT","."&amp;$AB$3&amp;$AB$4&amp;"P"&amp;AE$4)="N/A",0,RTD("tos.rtd",,"OPEN_INT","."&amp;$AB$3&amp;$AB$4&amp;"P"&amp;AE$4))*100</f>
        <v>0</v>
      </c>
      <c r="AF32" s="18">
        <f>MAX(0, $A32-AF$4)*IF(RTD("tos.rtd",,"OPEN_INT","."&amp;$AB$3&amp;$AB$4&amp;"C"&amp;AF$4)="N/A",0,RTD("tos.rtd",,"OPEN_INT","."&amp;$AB$3&amp;$AB$4&amp;"C"&amp;AF$4))*100 + MAX(0, AF$4-$A32)*IF(RTD("tos.rtd",,"OPEN_INT","."&amp;$AB$3&amp;$AB$4&amp;"P"&amp;AF$4)="N/A",0,RTD("tos.rtd",,"OPEN_INT","."&amp;$AB$3&amp;$AB$4&amp;"P"&amp;AF$4))*100</f>
        <v>0</v>
      </c>
      <c r="AG32" s="18">
        <f>MAX(0, $A32-AG$4)*IF(RTD("tos.rtd",,"OPEN_INT","."&amp;$AB$3&amp;$AB$4&amp;"C"&amp;AG$4)="N/A",0,RTD("tos.rtd",,"OPEN_INT","."&amp;$AB$3&amp;$AB$4&amp;"C"&amp;AG$4))*100 + MAX(0, AG$4-$A32)*IF(RTD("tos.rtd",,"OPEN_INT","."&amp;$AB$3&amp;$AB$4&amp;"P"&amp;AG$4)="N/A",0,RTD("tos.rtd",,"OPEN_INT","."&amp;$AB$3&amp;$AB$4&amp;"P"&amp;AG$4))*100</f>
        <v>0</v>
      </c>
      <c r="AH32" s="18">
        <f>MAX(0, $A32-AH$4)*IF(RTD("tos.rtd",,"OPEN_INT","."&amp;$AB$3&amp;$AB$4&amp;"C"&amp;AH$4)="N/A",0,RTD("tos.rtd",,"OPEN_INT","."&amp;$AB$3&amp;$AB$4&amp;"C"&amp;AH$4))*100 + MAX(0, AH$4-$A32)*IF(RTD("tos.rtd",,"OPEN_INT","."&amp;$AB$3&amp;$AB$4&amp;"P"&amp;AH$4)="N/A",0,RTD("tos.rtd",,"OPEN_INT","."&amp;$AB$3&amp;$AB$4&amp;"P"&amp;AH$4))*100</f>
        <v>0</v>
      </c>
      <c r="AI32" s="18">
        <f>MAX(0, $A32-AI$4)*IF(RTD("tos.rtd",,"OPEN_INT","."&amp;$AB$3&amp;$AB$4&amp;"C"&amp;AI$4)="N/A",0,RTD("tos.rtd",,"OPEN_INT","."&amp;$AB$3&amp;$AB$4&amp;"C"&amp;AI$4))*100 + MAX(0, AI$4-$A32)*IF(RTD("tos.rtd",,"OPEN_INT","."&amp;$AB$3&amp;$AB$4&amp;"P"&amp;AI$4)="N/A",0,RTD("tos.rtd",,"OPEN_INT","."&amp;$AB$3&amp;$AB$4&amp;"P"&amp;AI$4))*100</f>
        <v>0</v>
      </c>
      <c r="AJ32" s="18">
        <f>MAX(0, $A32-AJ$4)*IF(RTD("tos.rtd",,"OPEN_INT","."&amp;$AB$3&amp;$AB$4&amp;"C"&amp;AJ$4)="N/A",0,RTD("tos.rtd",,"OPEN_INT","."&amp;$AB$3&amp;$AB$4&amp;"C"&amp;AJ$4))*100 + MAX(0, AJ$4-$A32)*IF(RTD("tos.rtd",,"OPEN_INT","."&amp;$AB$3&amp;$AB$4&amp;"P"&amp;AJ$4)="N/A",0,RTD("tos.rtd",,"OPEN_INT","."&amp;$AB$3&amp;$AB$4&amp;"P"&amp;AJ$4))*100</f>
        <v>3000</v>
      </c>
      <c r="AK32" s="18">
        <f>MAX(0, $A32-AK$4)*IF(RTD("tos.rtd",,"OPEN_INT","."&amp;$AB$3&amp;$AB$4&amp;"C"&amp;AK$4)="N/A",0,RTD("tos.rtd",,"OPEN_INT","."&amp;$AB$3&amp;$AB$4&amp;"C"&amp;AK$4))*100 + MAX(0, AK$4-$A32)*IF(RTD("tos.rtd",,"OPEN_INT","."&amp;$AB$3&amp;$AB$4&amp;"P"&amp;AK$4)="N/A",0,RTD("tos.rtd",,"OPEN_INT","."&amp;$AB$3&amp;$AB$4&amp;"P"&amp;AK$4))*100</f>
        <v>7600</v>
      </c>
      <c r="AL32" s="18">
        <f>MAX(0, $A32-AL$4)*IF(RTD("tos.rtd",,"OPEN_INT","."&amp;$AB$3&amp;$AB$4&amp;"C"&amp;AL$4)="N/A",0,RTD("tos.rtd",,"OPEN_INT","."&amp;$AB$3&amp;$AB$4&amp;"C"&amp;AL$4))*100 + MAX(0, AL$4-$A32)*IF(RTD("tos.rtd",,"OPEN_INT","."&amp;$AB$3&amp;$AB$4&amp;"P"&amp;AL$4)="N/A",0,RTD("tos.rtd",,"OPEN_INT","."&amp;$AB$3&amp;$AB$4&amp;"P"&amp;AL$4))*100</f>
        <v>0</v>
      </c>
      <c r="AM32" s="18">
        <f>MAX(0, $A32-AM$4)*IF(RTD("tos.rtd",,"OPEN_INT","."&amp;$AB$3&amp;$AB$4&amp;"C"&amp;AM$4)="N/A",0,RTD("tos.rtd",,"OPEN_INT","."&amp;$AB$3&amp;$AB$4&amp;"C"&amp;AM$4))*100 + MAX(0, AM$4-$A32)*IF(RTD("tos.rtd",,"OPEN_INT","."&amp;$AB$3&amp;$AB$4&amp;"P"&amp;AM$4)="N/A",0,RTD("tos.rtd",,"OPEN_INT","."&amp;$AB$3&amp;$AB$4&amp;"P"&amp;AM$4))*100</f>
        <v>0</v>
      </c>
      <c r="AN32" s="18">
        <f>MAX(0, $A32-AN$4)*IF(RTD("tos.rtd",,"OPEN_INT","."&amp;$AB$3&amp;$AB$4&amp;"C"&amp;AN$4)="N/A",0,RTD("tos.rtd",,"OPEN_INT","."&amp;$AB$3&amp;$AB$4&amp;"C"&amp;AN$4))*100 + MAX(0, AN$4-$A32)*IF(RTD("tos.rtd",,"OPEN_INT","."&amp;$AB$3&amp;$AB$4&amp;"P"&amp;AN$4)="N/A",0,RTD("tos.rtd",,"OPEN_INT","."&amp;$AB$3&amp;$AB$4&amp;"P"&amp;AN$4))*100</f>
        <v>0</v>
      </c>
      <c r="AO32" s="18">
        <f>MAX(0, $A32-AO$4)*IF(RTD("tos.rtd",,"OPEN_INT","."&amp;$AB$3&amp;$AB$4&amp;"C"&amp;AO$4)="N/A",0,RTD("tos.rtd",,"OPEN_INT","."&amp;$AB$3&amp;$AB$4&amp;"C"&amp;AO$4))*100 + MAX(0, AO$4-$A32)*IF(RTD("tos.rtd",,"OPEN_INT","."&amp;$AB$3&amp;$AB$4&amp;"P"&amp;AO$4)="N/A",0,RTD("tos.rtd",,"OPEN_INT","."&amp;$AB$3&amp;$AB$4&amp;"P"&amp;AO$4))*100</f>
        <v>0</v>
      </c>
      <c r="AP32" s="18">
        <f>MAX(0, $A32-AP$4)*IF(RTD("tos.rtd",,"OPEN_INT","."&amp;$AB$3&amp;$AB$4&amp;"C"&amp;AP$4)="N/A",0,RTD("tos.rtd",,"OPEN_INT","."&amp;$AB$3&amp;$AB$4&amp;"C"&amp;AP$4))*100 + MAX(0, AP$4-$A32)*IF(RTD("tos.rtd",,"OPEN_INT","."&amp;$AB$3&amp;$AB$4&amp;"P"&amp;AP$4)="N/A",0,RTD("tos.rtd",,"OPEN_INT","."&amp;$AB$3&amp;$AB$4&amp;"P"&amp;AP$4))*100</f>
        <v>84000</v>
      </c>
      <c r="AQ32" s="18">
        <f>MAX(0, $A32-AQ$4)*IF(RTD("tos.rtd",,"OPEN_INT","."&amp;$AB$3&amp;$AB$4&amp;"C"&amp;AQ$4)="N/A",0,RTD("tos.rtd",,"OPEN_INT","."&amp;$AB$3&amp;$AB$4&amp;"C"&amp;AQ$4))*100 + MAX(0, AQ$4-$A32)*IF(RTD("tos.rtd",,"OPEN_INT","."&amp;$AB$3&amp;$AB$4&amp;"P"&amp;AQ$4)="N/A",0,RTD("tos.rtd",,"OPEN_INT","."&amp;$AB$3&amp;$AB$4&amp;"P"&amp;AQ$4))*100</f>
        <v>0</v>
      </c>
      <c r="AR32" s="18">
        <f>MAX(0, $A32-AR$4)*IF(RTD("tos.rtd",,"OPEN_INT","."&amp;$AB$3&amp;$AB$4&amp;"C"&amp;AR$4)="N/A",0,RTD("tos.rtd",,"OPEN_INT","."&amp;$AB$3&amp;$AB$4&amp;"C"&amp;AR$4))*100 + MAX(0, AR$4-$A32)*IF(RTD("tos.rtd",,"OPEN_INT","."&amp;$AB$3&amp;$AB$4&amp;"P"&amp;AR$4)="N/A",0,RTD("tos.rtd",,"OPEN_INT","."&amp;$AB$3&amp;$AB$4&amp;"P"&amp;AR$4))*100</f>
        <v>31800</v>
      </c>
      <c r="AS32" s="18">
        <f>MAX(0, $A32-AS$4)*IF(RTD("tos.rtd",,"OPEN_INT","."&amp;$AB$3&amp;$AB$4&amp;"C"&amp;AS$4)="N/A",0,RTD("tos.rtd",,"OPEN_INT","."&amp;$AB$3&amp;$AB$4&amp;"C"&amp;AS$4))*100 + MAX(0, AS$4-$A32)*IF(RTD("tos.rtd",,"OPEN_INT","."&amp;$AB$3&amp;$AB$4&amp;"P"&amp;AS$4)="N/A",0,RTD("tos.rtd",,"OPEN_INT","."&amp;$AB$3&amp;$AB$4&amp;"P"&amp;AS$4))*100</f>
        <v>3300</v>
      </c>
      <c r="AT32" s="18">
        <f>MAX(0, $A32-AT$4)*IF(RTD("tos.rtd",,"OPEN_INT","."&amp;$AB$3&amp;$AB$4&amp;"C"&amp;AT$4)="N/A",0,RTD("tos.rtd",,"OPEN_INT","."&amp;$AB$3&amp;$AB$4&amp;"C"&amp;AT$4))*100 + MAX(0, AT$4-$A32)*IF(RTD("tos.rtd",,"OPEN_INT","."&amp;$AB$3&amp;$AB$4&amp;"P"&amp;AT$4)="N/A",0,RTD("tos.rtd",,"OPEN_INT","."&amp;$AB$3&amp;$AB$4&amp;"P"&amp;AT$4))*100</f>
        <v>31000</v>
      </c>
      <c r="AU32" s="18">
        <f>MAX(0, $A32-AU$4)*IF(RTD("tos.rtd",,"OPEN_INT","."&amp;$AB$3&amp;$AB$4&amp;"C"&amp;AU$4)="N/A",0,RTD("tos.rtd",,"OPEN_INT","."&amp;$AB$3&amp;$AB$4&amp;"C"&amp;AU$4))*100 + MAX(0, AU$4-$A32)*IF(RTD("tos.rtd",,"OPEN_INT","."&amp;$AB$3&amp;$AB$4&amp;"P"&amp;AU$4)="N/A",0,RTD("tos.rtd",,"OPEN_INT","."&amp;$AB$3&amp;$AB$4&amp;"P"&amp;AU$4))*100</f>
        <v>31500</v>
      </c>
      <c r="AV32" s="18">
        <f>MAX(0, $A32-AV$4)*IF(RTD("tos.rtd",,"OPEN_INT","."&amp;$AB$3&amp;$AB$4&amp;"C"&amp;AV$4)="N/A",0,RTD("tos.rtd",,"OPEN_INT","."&amp;$AB$3&amp;$AB$4&amp;"C"&amp;AV$4))*100 + MAX(0, AV$4-$A32)*IF(RTD("tos.rtd",,"OPEN_INT","."&amp;$AB$3&amp;$AB$4&amp;"P"&amp;AV$4)="N/A",0,RTD("tos.rtd",,"OPEN_INT","."&amp;$AB$3&amp;$AB$4&amp;"P"&amp;AV$4))*100</f>
        <v>16000</v>
      </c>
      <c r="AW32" s="18">
        <f>MAX(0, $A32-AW$4)*IF(RTD("tos.rtd",,"OPEN_INT","."&amp;$AB$3&amp;$AB$4&amp;"C"&amp;AW$4)="N/A",0,RTD("tos.rtd",,"OPEN_INT","."&amp;$AB$3&amp;$AB$4&amp;"C"&amp;AW$4))*100 + MAX(0, AW$4-$A32)*IF(RTD("tos.rtd",,"OPEN_INT","."&amp;$AB$3&amp;$AB$4&amp;"P"&amp;AW$4)="N/A",0,RTD("tos.rtd",,"OPEN_INT","."&amp;$AB$3&amp;$AB$4&amp;"P"&amp;AW$4))*100</f>
        <v>56350</v>
      </c>
      <c r="AX32" s="18">
        <f>MAX(0, $A32-AX$4)*IF(RTD("tos.rtd",,"OPEN_INT","."&amp;$AB$3&amp;$AB$4&amp;"C"&amp;AX$4)="N/A",0,RTD("tos.rtd",,"OPEN_INT","."&amp;$AB$3&amp;$AB$4&amp;"C"&amp;AX$4))*100 + MAX(0, AX$4-$A32)*IF(RTD("tos.rtd",,"OPEN_INT","."&amp;$AB$3&amp;$AB$4&amp;"P"&amp;AX$4)="N/A",0,RTD("tos.rtd",,"OPEN_INT","."&amp;$AB$3&amp;$AB$4&amp;"P"&amp;AX$4))*100</f>
        <v>60600</v>
      </c>
      <c r="AY32" s="18">
        <f>MAX(0, $A32-AY$4)*IF(RTD("tos.rtd",,"OPEN_INT","."&amp;$AB$3&amp;$AB$4&amp;"C"&amp;AY$4)="N/A",0,RTD("tos.rtd",,"OPEN_INT","."&amp;$AB$3&amp;$AB$4&amp;"C"&amp;AY$4))*100 + MAX(0, AY$4-$A32)*IF(RTD("tos.rtd",,"OPEN_INT","."&amp;$AB$3&amp;$AB$4&amp;"P"&amp;AY$4)="N/A",0,RTD("tos.rtd",,"OPEN_INT","."&amp;$AB$3&amp;$AB$4&amp;"P"&amp;AY$4))*100</f>
        <v>61750</v>
      </c>
      <c r="AZ32" s="18">
        <f>MAX(0, $A32-AZ$4)*IF(RTD("tos.rtd",,"OPEN_INT","."&amp;$AB$3&amp;$AB$4&amp;"C"&amp;AZ$4)="N/A",0,RTD("tos.rtd",,"OPEN_INT","."&amp;$AB$3&amp;$AB$4&amp;"C"&amp;AZ$4))*100 + MAX(0, AZ$4-$A32)*IF(RTD("tos.rtd",,"OPEN_INT","."&amp;$AB$3&amp;$AB$4&amp;"P"&amp;AZ$4)="N/A",0,RTD("tos.rtd",,"OPEN_INT","."&amp;$AB$3&amp;$AB$4&amp;"P"&amp;AZ$4))*100</f>
        <v>414800</v>
      </c>
      <c r="BA32" s="18">
        <f>MAX(0, $A32-BA$4)*IF(RTD("tos.rtd",,"OPEN_INT","."&amp;$AB$3&amp;$AB$4&amp;"C"&amp;BA$4)="N/A",0,RTD("tos.rtd",,"OPEN_INT","."&amp;$AB$3&amp;$AB$4&amp;"C"&amp;BA$4))*100 + MAX(0, BA$4-$A32)*IF(RTD("tos.rtd",,"OPEN_INT","."&amp;$AB$3&amp;$AB$4&amp;"P"&amp;BA$4)="N/A",0,RTD("tos.rtd",,"OPEN_INT","."&amp;$AB$3&amp;$AB$4&amp;"P"&amp;BA$4))*100</f>
        <v>85200</v>
      </c>
      <c r="BB32" s="18">
        <f>MAX(0, $A32-BB$4)*IF(RTD("tos.rtd",,"OPEN_INT","."&amp;$AB$3&amp;$AB$4&amp;"C"&amp;BB$4)="N/A",0,RTD("tos.rtd",,"OPEN_INT","."&amp;$AB$3&amp;$AB$4&amp;"C"&amp;BB$4))*100 + MAX(0, BB$4-$A32)*IF(RTD("tos.rtd",,"OPEN_INT","."&amp;$AB$3&amp;$AB$4&amp;"P"&amp;BB$4)="N/A",0,RTD("tos.rtd",,"OPEN_INT","."&amp;$AB$3&amp;$AB$4&amp;"P"&amp;BB$4))*100</f>
        <v>234000</v>
      </c>
      <c r="BC32" s="18">
        <f>MAX(0, $A32-BC$4)*IF(RTD("tos.rtd",,"OPEN_INT","."&amp;$AB$3&amp;$AB$4&amp;"C"&amp;BC$4)="N/A",0,RTD("tos.rtd",,"OPEN_INT","."&amp;$AB$3&amp;$AB$4&amp;"C"&amp;BC$4))*100 + MAX(0, BC$4-$A32)*IF(RTD("tos.rtd",,"OPEN_INT","."&amp;$AB$3&amp;$AB$4&amp;"P"&amp;BC$4)="N/A",0,RTD("tos.rtd",,"OPEN_INT","."&amp;$AB$3&amp;$AB$4&amp;"P"&amp;BC$4))*100</f>
        <v>114200</v>
      </c>
      <c r="BD32" s="18">
        <f>MAX(0, $A32-BD$4)*IF(RTD("tos.rtd",,"OPEN_INT","."&amp;$AB$3&amp;$AB$4&amp;"C"&amp;BD$4)="N/A",0,RTD("tos.rtd",,"OPEN_INT","."&amp;$AB$3&amp;$AB$4&amp;"C"&amp;BD$4))*100 + MAX(0, BD$4-$A32)*IF(RTD("tos.rtd",,"OPEN_INT","."&amp;$AB$3&amp;$AB$4&amp;"P"&amp;BD$4)="N/A",0,RTD("tos.rtd",,"OPEN_INT","."&amp;$AB$3&amp;$AB$4&amp;"P"&amp;BD$4))*100</f>
        <v>0</v>
      </c>
      <c r="BE32" s="18">
        <f>MAX(0, $A32-BE$4)*IF(RTD("tos.rtd",,"OPEN_INT","."&amp;$AB$3&amp;$AB$4&amp;"C"&amp;BE$4)="N/A",0,RTD("tos.rtd",,"OPEN_INT","."&amp;$AB$3&amp;$AB$4&amp;"C"&amp;BE$4))*100 + MAX(0, BE$4-$A32)*IF(RTD("tos.rtd",,"OPEN_INT","."&amp;$AB$3&amp;$AB$4&amp;"P"&amp;BE$4)="N/A",0,RTD("tos.rtd",,"OPEN_INT","."&amp;$AB$3&amp;$AB$4&amp;"P"&amp;BE$4))*100</f>
        <v>928000</v>
      </c>
      <c r="BF32" s="18">
        <f>MAX(0, $A32-BF$4)*IF(RTD("tos.rtd",,"OPEN_INT","."&amp;$AB$3&amp;$AB$4&amp;"C"&amp;BF$4)="N/A",0,RTD("tos.rtd",,"OPEN_INT","."&amp;$AB$3&amp;$AB$4&amp;"C"&amp;BF$4))*100 + MAX(0, BF$4-$A32)*IF(RTD("tos.rtd",,"OPEN_INT","."&amp;$AB$3&amp;$AB$4&amp;"P"&amp;BF$4)="N/A",0,RTD("tos.rtd",,"OPEN_INT","."&amp;$AB$3&amp;$AB$4&amp;"P"&amp;BF$4))*100</f>
        <v>1727800</v>
      </c>
      <c r="BG32" s="18">
        <f>MAX(0, $A32-BG$4)*IF(RTD("tos.rtd",,"OPEN_INT","."&amp;$AB$3&amp;$AB$4&amp;"C"&amp;BG$4)="N/A",0,RTD("tos.rtd",,"OPEN_INT","."&amp;$AB$3&amp;$AB$4&amp;"C"&amp;BG$4))*100 + MAX(0, BG$4-$A32)*IF(RTD("tos.rtd",,"OPEN_INT","."&amp;$AB$3&amp;$AB$4&amp;"P"&amp;BG$4)="N/A",0,RTD("tos.rtd",,"OPEN_INT","."&amp;$AB$3&amp;$AB$4&amp;"P"&amp;BG$4))*100</f>
        <v>1261050</v>
      </c>
      <c r="BH32" s="18">
        <f>MAX(0, $A32-BH$4)*IF(RTD("tos.rtd",,"OPEN_INT","."&amp;$AB$3&amp;$AB$4&amp;"C"&amp;BH$4)="N/A",0,RTD("tos.rtd",,"OPEN_INT","."&amp;$AB$3&amp;$AB$4&amp;"C"&amp;BH$4))*100 + MAX(0, BH$4-$A32)*IF(RTD("tos.rtd",,"OPEN_INT","."&amp;$AB$3&amp;$AB$4&amp;"P"&amp;BH$4)="N/A",0,RTD("tos.rtd",,"OPEN_INT","."&amp;$AB$3&amp;$AB$4&amp;"P"&amp;BH$4))*100</f>
        <v>1146800</v>
      </c>
      <c r="BI32" s="18">
        <f>MAX(0, $A32-BI$4)*IF(RTD("tos.rtd",,"OPEN_INT","."&amp;$AB$3&amp;$AB$4&amp;"C"&amp;BI$4)="N/A",0,RTD("tos.rtd",,"OPEN_INT","."&amp;$AB$3&amp;$AB$4&amp;"C"&amp;BI$4))*100 + MAX(0, BI$4-$A32)*IF(RTD("tos.rtd",,"OPEN_INT","."&amp;$AB$3&amp;$AB$4&amp;"P"&amp;BI$4)="N/A",0,RTD("tos.rtd",,"OPEN_INT","."&amp;$AB$3&amp;$AB$4&amp;"P"&amp;BI$4))*100</f>
        <v>485750</v>
      </c>
      <c r="BJ32" s="18">
        <f>MAX(0, $A32-BJ$4)*IF(RTD("tos.rtd",,"OPEN_INT","."&amp;$AB$3&amp;$AB$4&amp;"C"&amp;BJ$4)="N/A",0,RTD("tos.rtd",,"OPEN_INT","."&amp;$AB$3&amp;$AB$4&amp;"C"&amp;BJ$4))*100 + MAX(0, BJ$4-$A32)*IF(RTD("tos.rtd",,"OPEN_INT","."&amp;$AB$3&amp;$AB$4&amp;"P"&amp;BJ$4)="N/A",0,RTD("tos.rtd",,"OPEN_INT","."&amp;$AB$3&amp;$AB$4&amp;"P"&amp;BJ$4))*100</f>
        <v>252600</v>
      </c>
      <c r="BK32" s="18">
        <f>MAX(0, $A32-BK$4)*IF(RTD("tos.rtd",,"OPEN_INT","."&amp;$AB$3&amp;$AB$4&amp;"C"&amp;BK$4)="N/A",0,RTD("tos.rtd",,"OPEN_INT","."&amp;$AB$3&amp;$AB$4&amp;"C"&amp;BK$4))*100 + MAX(0, BK$4-$A32)*IF(RTD("tos.rtd",,"OPEN_INT","."&amp;$AB$3&amp;$AB$4&amp;"P"&amp;BK$4)="N/A",0,RTD("tos.rtd",,"OPEN_INT","."&amp;$AB$3&amp;$AB$4&amp;"P"&amp;BK$4))*100</f>
        <v>52850</v>
      </c>
      <c r="BL32" s="18">
        <f>MAX(0, $A32-BL$4)*IF(RTD("tos.rtd",,"OPEN_INT","."&amp;$AB$3&amp;$AB$4&amp;"C"&amp;BL$4)="N/A",0,RTD("tos.rtd",,"OPEN_INT","."&amp;$AB$3&amp;$AB$4&amp;"C"&amp;BL$4))*100 + MAX(0, BL$4-$A32)*IF(RTD("tos.rtd",,"OPEN_INT","."&amp;$AB$3&amp;$AB$4&amp;"P"&amp;BL$4)="N/A",0,RTD("tos.rtd",,"OPEN_INT","."&amp;$AB$3&amp;$AB$4&amp;"P"&amp;BL$4))*100</f>
        <v>104400</v>
      </c>
      <c r="BM32" s="18">
        <f>MAX(0, $A32-BM$4)*IF(RTD("tos.rtd",,"OPEN_INT","."&amp;$AB$3&amp;$AB$4&amp;"C"&amp;BM$4)="N/A",0,RTD("tos.rtd",,"OPEN_INT","."&amp;$AB$3&amp;$AB$4&amp;"C"&amp;BM$4))*100 + MAX(0, BM$4-$A32)*IF(RTD("tos.rtd",,"OPEN_INT","."&amp;$AB$3&amp;$AB$4&amp;"P"&amp;BM$4)="N/A",0,RTD("tos.rtd",,"OPEN_INT","."&amp;$AB$3&amp;$AB$4&amp;"P"&amp;BM$4))*100</f>
        <v>7200</v>
      </c>
      <c r="BN32" s="18">
        <f>MAX(0, $A32-BN$4)*IF(RTD("tos.rtd",,"OPEN_INT","."&amp;$AB$3&amp;$AB$4&amp;"C"&amp;BN$4)="N/A",0,RTD("tos.rtd",,"OPEN_INT","."&amp;$AB$3&amp;$AB$4&amp;"C"&amp;BN$4))*100 + MAX(0, BN$4-$A32)*IF(RTD("tos.rtd",,"OPEN_INT","."&amp;$AB$3&amp;$AB$4&amp;"P"&amp;BN$4)="N/A",0,RTD("tos.rtd",,"OPEN_INT","."&amp;$AB$3&amp;$AB$4&amp;"P"&amp;BN$4))*100</f>
        <v>4000</v>
      </c>
      <c r="BO32" s="18">
        <f>MAX(0, $A32-BO$4)*IF(RTD("tos.rtd",,"OPEN_INT","."&amp;$AB$3&amp;$AB$4&amp;"C"&amp;BO$4)="N/A",0,RTD("tos.rtd",,"OPEN_INT","."&amp;$AB$3&amp;$AB$4&amp;"C"&amp;BO$4))*100 + MAX(0, BO$4-$A32)*IF(RTD("tos.rtd",,"OPEN_INT","."&amp;$AB$3&amp;$AB$4&amp;"P"&amp;BO$4)="N/A",0,RTD("tos.rtd",,"OPEN_INT","."&amp;$AB$3&amp;$AB$4&amp;"P"&amp;BO$4))*100</f>
        <v>17050</v>
      </c>
      <c r="BP32" s="18">
        <f>MAX(0, $A32-BP$4)*IF(RTD("tos.rtd",,"OPEN_INT","."&amp;$AB$3&amp;$AB$4&amp;"C"&amp;BP$4)="N/A",0,RTD("tos.rtd",,"OPEN_INT","."&amp;$AB$3&amp;$AB$4&amp;"C"&amp;BP$4))*100 + MAX(0, BP$4-$A32)*IF(RTD("tos.rtd",,"OPEN_INT","."&amp;$AB$3&amp;$AB$4&amp;"P"&amp;BP$4)="N/A",0,RTD("tos.rtd",,"OPEN_INT","."&amp;$AB$3&amp;$AB$4&amp;"P"&amp;BP$4))*100</f>
        <v>22800</v>
      </c>
      <c r="BQ32" s="18">
        <f>MAX(0, $A32-BQ$4)*IF(RTD("tos.rtd",,"OPEN_INT","."&amp;$AB$3&amp;$AB$4&amp;"C"&amp;BQ$4)="N/A",0,RTD("tos.rtd",,"OPEN_INT","."&amp;$AB$3&amp;$AB$4&amp;"C"&amp;BQ$4))*100 + MAX(0, BQ$4-$A32)*IF(RTD("tos.rtd",,"OPEN_INT","."&amp;$AB$3&amp;$AB$4&amp;"P"&amp;BQ$4)="N/A",0,RTD("tos.rtd",,"OPEN_INT","."&amp;$AB$3&amp;$AB$4&amp;"P"&amp;BQ$4))*100</f>
        <v>0</v>
      </c>
      <c r="BR32" s="18">
        <f>MAX(0, $A32-BR$4)*IF(RTD("tos.rtd",,"OPEN_INT","."&amp;$AB$3&amp;$AB$4&amp;"C"&amp;BR$4)="N/A",0,RTD("tos.rtd",,"OPEN_INT","."&amp;$AB$3&amp;$AB$4&amp;"C"&amp;BR$4))*100 + MAX(0, BR$4-$A32)*IF(RTD("tos.rtd",,"OPEN_INT","."&amp;$AB$3&amp;$AB$4&amp;"P"&amp;BR$4)="N/A",0,RTD("tos.rtd",,"OPEN_INT","."&amp;$AB$3&amp;$AB$4&amp;"P"&amp;BR$4))*100</f>
        <v>0</v>
      </c>
      <c r="BS32" s="18">
        <f>MAX(0, $A32-BS$4)*IF(RTD("tos.rtd",,"OPEN_INT","."&amp;$AB$3&amp;$AB$4&amp;"C"&amp;BS$4)="N/A",0,RTD("tos.rtd",,"OPEN_INT","."&amp;$AB$3&amp;$AB$4&amp;"C"&amp;BS$4))*100 + MAX(0, BS$4-$A32)*IF(RTD("tos.rtd",,"OPEN_INT","."&amp;$AB$3&amp;$AB$4&amp;"P"&amp;BS$4)="N/A",0,RTD("tos.rtd",,"OPEN_INT","."&amp;$AB$3&amp;$AB$4&amp;"P"&amp;BS$4))*100</f>
        <v>0</v>
      </c>
      <c r="BT32" s="18">
        <f>MAX(0, $A32-BT$4)*IF(RTD("tos.rtd",,"OPEN_INT","."&amp;$AB$3&amp;$AB$4&amp;"C"&amp;BT$4)="N/A",0,RTD("tos.rtd",,"OPEN_INT","."&amp;$AB$3&amp;$AB$4&amp;"C"&amp;BT$4))*100 + MAX(0, BT$4-$A32)*IF(RTD("tos.rtd",,"OPEN_INT","."&amp;$AB$3&amp;$AB$4&amp;"P"&amp;BT$4)="N/A",0,RTD("tos.rtd",,"OPEN_INT","."&amp;$AB$3&amp;$AB$4&amp;"P"&amp;BT$4))*100</f>
        <v>0</v>
      </c>
      <c r="BU32" s="18">
        <f>MAX(0, $A32-BU$4)*IF(RTD("tos.rtd",,"OPEN_INT","."&amp;$AB$3&amp;$AB$4&amp;"C"&amp;BU$4)="N/A",0,RTD("tos.rtd",,"OPEN_INT","."&amp;$AB$3&amp;$AB$4&amp;"C"&amp;BU$4))*100 + MAX(0, BU$4-$A32)*IF(RTD("tos.rtd",,"OPEN_INT","."&amp;$AB$3&amp;$AB$4&amp;"P"&amp;BU$4)="N/A",0,RTD("tos.rtd",,"OPEN_INT","."&amp;$AB$3&amp;$AB$4&amp;"P"&amp;BU$4))*100</f>
        <v>0</v>
      </c>
      <c r="BV32" s="18">
        <f>MAX(0, $A32-BV$4)*IF(RTD("tos.rtd",,"OPEN_INT","."&amp;$AB$3&amp;$AB$4&amp;"C"&amp;BV$4)="N/A",0,RTD("tos.rtd",,"OPEN_INT","."&amp;$AB$3&amp;$AB$4&amp;"C"&amp;BV$4))*100 + MAX(0, BV$4-$A32)*IF(RTD("tos.rtd",,"OPEN_INT","."&amp;$AB$3&amp;$AB$4&amp;"P"&amp;BV$4)="N/A",0,RTD("tos.rtd",,"OPEN_INT","."&amp;$AB$3&amp;$AB$4&amp;"P"&amp;BV$4))*100</f>
        <v>0</v>
      </c>
      <c r="BW32" s="18">
        <f>MAX(0, $A32-BW$4)*IF(RTD("tos.rtd",,"OPEN_INT","."&amp;$AB$3&amp;$AB$4&amp;"C"&amp;BW$4)="N/A",0,RTD("tos.rtd",,"OPEN_INT","."&amp;$AB$3&amp;$AB$4&amp;"C"&amp;BW$4))*100 + MAX(0, BW$4-$A32)*IF(RTD("tos.rtd",,"OPEN_INT","."&amp;$AB$3&amp;$AB$4&amp;"P"&amp;BW$4)="N/A",0,RTD("tos.rtd",,"OPEN_INT","."&amp;$AB$3&amp;$AB$4&amp;"P"&amp;BW$4))*100</f>
        <v>0</v>
      </c>
    </row>
    <row r="33" spans="1:75" s="19" customFormat="1" ht="11.1" customHeight="1" thickBot="1" x14ac:dyDescent="0.3">
      <c r="A33" s="23">
        <f t="shared" si="12"/>
        <v>7.5</v>
      </c>
      <c r="B33" s="14">
        <f ca="1">IF($A$2="PREMIUM_OI",IFERROR(IF($X$1="ABS",(100*RTD("tos.rtd",,"OPEN_INT","."&amp;B$2&amp;B$1&amp;"C"&amp;$A33)*RTD("tos.rtd",,"LAST","."&amp;B$2&amp;B$1&amp;"C"&amp;$A33)+100*RTD("tos.rtd",,"OPEN_INT","."&amp;B$2&amp;B$1&amp;"P"&amp;$A33)*RTD("tos.rtd",,"LAST","."&amp;B$2&amp;B$1&amp;"P"&amp;$A33))/1000000,(100*RTD("tos.rtd",,"OPEN_INT","."&amp;B$2&amp;B$1&amp;"C"&amp;$A33)*RTD("tos.rtd",,"LAST","."&amp;B$2&amp;B$1&amp;"C"&amp;$A33)-100*RTD("tos.rtd",,"OPEN_INT","."&amp;B$2&amp;B$1&amp;"P"&amp;$A33)*RTD("tos.rtd",,"LAST","."&amp;B$2&amp;B$1&amp;"P"&amp;$A33))/1000000),0),IF($A$2="PREMIUM",IFERROR(IF($X$1="ABS",(100*RTD("tos.rtd",,"VOLUME","."&amp;B$2&amp;B$1&amp;"C"&amp;$A33)*RTD("tos.rtd",,"LAST","."&amp;B$2&amp;B$1&amp;"C"&amp;$A33)+100*RTD("tos.rtd",,"VOLUME","."&amp;B$2&amp;B$1&amp;"P"&amp;$A33)*RTD("tos.rtd",,"LAST","."&amp;B$2&amp;B$1&amp;"P"&amp;$A33))/1000000,(100*RTD("tos.rtd",,"VOLUME","."&amp;B$2&amp;B$1&amp;"C"&amp;$A33)*RTD("tos.rtd",,"LAST","."&amp;B$2&amp;B$1&amp;"C"&amp;$A33)-100*RTD("tos.rtd",,"VOLUME","."&amp;B$2&amp;B$1&amp;"P"&amp;$A33)*RTD("tos.rtd",,"LAST","."&amp;B$2&amp;B$1&amp;"P"&amp;$A33))/1000000),0),IF($A$2="DEX",IFERROR(IF($X$1="ABS",(100*RTD("tos.rtd",,"OPEN_INT","."&amp;B$2&amp;B$1&amp;"C"&amp;$A33)*RTD("tos.rtd",,"DELTA","."&amp;B$2&amp;B$1&amp;"C"&amp;$A33)+100*RTD("tos.rtd",,"OPEN_INT","."&amp;B$2&amp;B$1&amp;"P"&amp;$A33)*RTD("tos.rtd",,"DELTA","."&amp;B$2&amp;B$1&amp;"P"&amp;$A33))/1000,(100*RTD("tos.rtd",,"OPEN_INT","."&amp;B$2&amp;B$1&amp;"C"&amp;$A33)*RTD("tos.rtd",,"DELTA","."&amp;B$2&amp;B$1&amp;"C"&amp;$A33)-100*RTD("tos.rtd",,"OPEN_INT","."&amp;B$2&amp;B$1&amp;"P"&amp;$A33)*RTD("tos.rtd",,"DELTA","."&amp;B$2&amp;B$1&amp;"P"&amp;$A33))/1000),0),IF($A$2="VEX",IFERROR(IF($X$1="ABS",($A$4*$A$4*RTD("tos.rtd",,"VOLUME","."&amp;B$2&amp;B$1&amp;"C"&amp;$A33)*RTD("tos.rtd",,"GAMMA","."&amp;B$2&amp;B$1&amp;"C"&amp;$A33)+$A$4*$A$4*RTD("tos.rtd",,"VOLUME","."&amp;B$2&amp;B$1&amp;"P"&amp;$A33)*RTD("tos.rtd",,"GAMMA","."&amp;B$2&amp;B$1&amp;"P"&amp;$A33))/1000000,($A$4*$A$4*RTD("tos.rtd",,"VOLUME","."&amp;B$2&amp;B$1&amp;"C"&amp;$A33)*RTD("tos.rtd",,"GAMMA","."&amp;B$2&amp;B$1&amp;"C"&amp;$A33)-$A$4*$A$4*RTD("tos.rtd",,"VOLUME","."&amp;B$2&amp;B$1&amp;"P"&amp;$A33)*RTD("tos.rtd",,"GAMMA","."&amp;B$2&amp;B$1&amp;"P"&amp;$A33))/1000000),0),IF($A$2="GEX",IFERROR(IF($X$1="ABS",($A$4*$A$4*RTD("tos.rtd",,"OPEN_INT","."&amp;B$2&amp;B$1&amp;"C"&amp;$A33)*RTD("tos.rtd",,"GAMMA","."&amp;B$2&amp;B$1&amp;"C"&amp;$A33)+$A$4*$A$4*RTD("tos.rtd",,"OPEN_INT","."&amp;B$2&amp;B$1&amp;"P"&amp;$A33)*RTD("tos.rtd",,"GAMMA","."&amp;B$2&amp;B$1&amp;"P"&amp;$A33))/1000000,($A$4*$A$4*RTD("tos.rtd",,"OPEN_INT","."&amp;B$2&amp;B$1&amp;"C"&amp;$A33)*RTD("tos.rtd",,"GAMMA","."&amp;B$2&amp;B$1&amp;"C"&amp;$A33)-$A$4*$A$4*RTD("tos.rtd",,"OPEN_INT","."&amp;B$2&amp;B$1&amp;"P"&amp;$A33)*RTD("tos.rtd",,"GAMMA","."&amp;B$2&amp;B$1&amp;"P"&amp;$A33))/1000000),0),IF($A$2="SKEW",IFERROR(VALUE(IF(RTD("tos.rtd",,"IMPL_VOL","."&amp;B$2&amp;B$1&amp;"P"&amp;$A33)="N/A",0,RTD("tos.rtd",,"IMPL_VOL","."&amp;B$2&amp;B$1&amp;"P"&amp;$A33))),0)-IFERROR(VALUE(IF(RTD("tos.rtd",,"IMPL_VOL","."&amp;B$2&amp;B$1&amp;"C"&amp;$A33)="N/A",0,RTD("tos.rtd",,"IMPL_VOL","."&amp;B$2&amp;B$1&amp;"C"&amp;$A33))),0),IF($A$2="MAXPAIN",IF($A$4&gt;$A33,($A$4-$A33)*IF(RTD("tos.rtd",,"OPEN_INT","."&amp;B$2&amp;B$1&amp;"C"&amp;$A33)="N/A",0,RTD("tos.rtd",,"OPEN_INT","."&amp;B$2&amp;B$1&amp;"C"&amp;$A33)),0)+IF($A$4&lt;$A33,($A$5-$A$4)*IF(RTD("tos.rtd",,"OPEN_INT","."&amp;B$2&amp;B$1&amp;"P"&amp;$A33)="N/A",0,RTD("tos.rtd",,"OPEN_INT","."&amp;B$2&amp;B$1&amp;"P"&amp;$A33)),0),IF($X$1="ABS",IF(RTD("tos.rtd",,$A$2,"."&amp;B$2&amp;B$1&amp;"C"&amp;$A33)="N/A",0,RTD("tos.rtd",,$A$2,"."&amp;B$2&amp;B$1&amp;"C"&amp;$A33))+IF(RTD("tos.rtd",,$A$2,"."&amp;B$2&amp;B$1&amp;"P"&amp;$A33)="N/A",0,RTD("tos.rtd",,$A$2,"."&amp;B$2&amp;B$1&amp;"P"&amp;$A33)),IF(RTD("tos.rtd",,$A$2,"."&amp;B$2&amp;B$1&amp;"C"&amp;$A33)="N/A",0,RTD("tos.rtd",,$A$2,"."&amp;B$2&amp;B$1&amp;"C"&amp;$A33))-IF(RTD("tos.rtd",,$A$2,"."&amp;B$2&amp;B$1&amp;"P"&amp;$A33)="N/A",0,RTD("tos.rtd",,$A$2,"."&amp;B$2&amp;B$1&amp;"P"&amp;$A33))))))))))</f>
        <v>0</v>
      </c>
      <c r="C33" s="14">
        <f ca="1">IF($A$2="PREMIUM_OI",IFERROR(IF($X$1="ABS",(100*RTD("tos.rtd",,"OPEN_INT","."&amp;C$2&amp;C$1&amp;"C"&amp;$A33)*RTD("tos.rtd",,"LAST","."&amp;C$2&amp;C$1&amp;"C"&amp;$A33)+100*RTD("tos.rtd",,"OPEN_INT","."&amp;C$2&amp;C$1&amp;"P"&amp;$A33)*RTD("tos.rtd",,"LAST","."&amp;C$2&amp;C$1&amp;"P"&amp;$A33))/1000000,(100*RTD("tos.rtd",,"OPEN_INT","."&amp;C$2&amp;C$1&amp;"C"&amp;$A33)*RTD("tos.rtd",,"LAST","."&amp;C$2&amp;C$1&amp;"C"&amp;$A33)-100*RTD("tos.rtd",,"OPEN_INT","."&amp;C$2&amp;C$1&amp;"P"&amp;$A33)*RTD("tos.rtd",,"LAST","."&amp;C$2&amp;C$1&amp;"P"&amp;$A33))/1000000),0),IF($A$2="PREMIUM",IFERROR(IF($X$1="ABS",(100*RTD("tos.rtd",,"VOLUME","."&amp;C$2&amp;C$1&amp;"C"&amp;$A33)*RTD("tos.rtd",,"LAST","."&amp;C$2&amp;C$1&amp;"C"&amp;$A33)+100*RTD("tos.rtd",,"VOLUME","."&amp;C$2&amp;C$1&amp;"P"&amp;$A33)*RTD("tos.rtd",,"LAST","."&amp;C$2&amp;C$1&amp;"P"&amp;$A33))/1000000,(100*RTD("tos.rtd",,"VOLUME","."&amp;C$2&amp;C$1&amp;"C"&amp;$A33)*RTD("tos.rtd",,"LAST","."&amp;C$2&amp;C$1&amp;"C"&amp;$A33)-100*RTD("tos.rtd",,"VOLUME","."&amp;C$2&amp;C$1&amp;"P"&amp;$A33)*RTD("tos.rtd",,"LAST","."&amp;C$2&amp;C$1&amp;"P"&amp;$A33))/1000000),0),IF($A$2="DEX",IFERROR(IF($X$1="ABS",(100*RTD("tos.rtd",,"OPEN_INT","."&amp;C$2&amp;C$1&amp;"C"&amp;$A33)*RTD("tos.rtd",,"DELTA","."&amp;C$2&amp;C$1&amp;"C"&amp;$A33)+100*RTD("tos.rtd",,"OPEN_INT","."&amp;C$2&amp;C$1&amp;"P"&amp;$A33)*RTD("tos.rtd",,"DELTA","."&amp;C$2&amp;C$1&amp;"P"&amp;$A33))/1000,(100*RTD("tos.rtd",,"OPEN_INT","."&amp;C$2&amp;C$1&amp;"C"&amp;$A33)*RTD("tos.rtd",,"DELTA","."&amp;C$2&amp;C$1&amp;"C"&amp;$A33)-100*RTD("tos.rtd",,"OPEN_INT","."&amp;C$2&amp;C$1&amp;"P"&amp;$A33)*RTD("tos.rtd",,"DELTA","."&amp;C$2&amp;C$1&amp;"P"&amp;$A33))/1000),0),IF($A$2="VEX",IFERROR(IF($X$1="ABS",($A$4*$A$4*RTD("tos.rtd",,"VOLUME","."&amp;C$2&amp;C$1&amp;"C"&amp;$A33)*RTD("tos.rtd",,"GAMMA","."&amp;C$2&amp;C$1&amp;"C"&amp;$A33)+$A$4*$A$4*RTD("tos.rtd",,"VOLUME","."&amp;C$2&amp;C$1&amp;"P"&amp;$A33)*RTD("tos.rtd",,"GAMMA","."&amp;C$2&amp;C$1&amp;"P"&amp;$A33))/1000000,($A$4*$A$4*RTD("tos.rtd",,"VOLUME","."&amp;C$2&amp;C$1&amp;"C"&amp;$A33)*RTD("tos.rtd",,"GAMMA","."&amp;C$2&amp;C$1&amp;"C"&amp;$A33)-$A$4*$A$4*RTD("tos.rtd",,"VOLUME","."&amp;C$2&amp;C$1&amp;"P"&amp;$A33)*RTD("tos.rtd",,"GAMMA","."&amp;C$2&amp;C$1&amp;"P"&amp;$A33))/1000000),0),IF($A$2="GEX",IFERROR(IF($X$1="ABS",($A$4*$A$4*RTD("tos.rtd",,"OPEN_INT","."&amp;C$2&amp;C$1&amp;"C"&amp;$A33)*RTD("tos.rtd",,"GAMMA","."&amp;C$2&amp;C$1&amp;"C"&amp;$A33)+$A$4*$A$4*RTD("tos.rtd",,"OPEN_INT","."&amp;C$2&amp;C$1&amp;"P"&amp;$A33)*RTD("tos.rtd",,"GAMMA","."&amp;C$2&amp;C$1&amp;"P"&amp;$A33))/1000000,($A$4*$A$4*RTD("tos.rtd",,"OPEN_INT","."&amp;C$2&amp;C$1&amp;"C"&amp;$A33)*RTD("tos.rtd",,"GAMMA","."&amp;C$2&amp;C$1&amp;"C"&amp;$A33)-$A$4*$A$4*RTD("tos.rtd",,"OPEN_INT","."&amp;C$2&amp;C$1&amp;"P"&amp;$A33)*RTD("tos.rtd",,"GAMMA","."&amp;C$2&amp;C$1&amp;"P"&amp;$A33))/1000000),0),IF($A$2="SKEW",IFERROR(VALUE(IF(RTD("tos.rtd",,"IMPL_VOL","."&amp;C$2&amp;C$1&amp;"P"&amp;$A33)="N/A",0,RTD("tos.rtd",,"IMPL_VOL","."&amp;C$2&amp;C$1&amp;"P"&amp;$A33))),0)-IFERROR(VALUE(IF(RTD("tos.rtd",,"IMPL_VOL","."&amp;C$2&amp;C$1&amp;"C"&amp;$A33)="N/A",0,RTD("tos.rtd",,"IMPL_VOL","."&amp;C$2&amp;C$1&amp;"C"&amp;$A33))),0),IF($A$2="MAXPAIN",IF($A$4&gt;$A33,($A$4-$A33)*IF(RTD("tos.rtd",,"OPEN_INT","."&amp;C$2&amp;C$1&amp;"C"&amp;$A33)="N/A",0,RTD("tos.rtd",,"OPEN_INT","."&amp;C$2&amp;C$1&amp;"C"&amp;$A33)),0)+IF($A$4&lt;$A33,($A$5-$A$4)*IF(RTD("tos.rtd",,"OPEN_INT","."&amp;C$2&amp;C$1&amp;"P"&amp;$A33)="N/A",0,RTD("tos.rtd",,"OPEN_INT","."&amp;C$2&amp;C$1&amp;"P"&amp;$A33)),0),IF($X$1="ABS",IF(RTD("tos.rtd",,$A$2,"."&amp;C$2&amp;C$1&amp;"C"&amp;$A33)="N/A",0,RTD("tos.rtd",,$A$2,"."&amp;C$2&amp;C$1&amp;"C"&amp;$A33))+IF(RTD("tos.rtd",,$A$2,"."&amp;C$2&amp;C$1&amp;"P"&amp;$A33)="N/A",0,RTD("tos.rtd",,$A$2,"."&amp;C$2&amp;C$1&amp;"P"&amp;$A33)),IF(RTD("tos.rtd",,$A$2,"."&amp;C$2&amp;C$1&amp;"C"&amp;$A33)="N/A",0,RTD("tos.rtd",,$A$2,"."&amp;C$2&amp;C$1&amp;"C"&amp;$A33))-IF(RTD("tos.rtd",,$A$2,"."&amp;C$2&amp;C$1&amp;"P"&amp;$A33)="N/A",0,RTD("tos.rtd",,$A$2,"."&amp;C$2&amp;C$1&amp;"P"&amp;$A33))))))))))</f>
        <v>0</v>
      </c>
      <c r="D33" s="12">
        <f ca="1">IF($A$2="PREMIUM_OI",IFERROR(IF($X$1="ABS",(100*RTD("tos.rtd",,"OPEN_INT","."&amp;D$2&amp;D$1&amp;"C"&amp;$A33)*RTD("tos.rtd",,"LAST","."&amp;D$2&amp;D$1&amp;"C"&amp;$A33)+100*RTD("tos.rtd",,"OPEN_INT","."&amp;D$2&amp;D$1&amp;"P"&amp;$A33)*RTD("tos.rtd",,"LAST","."&amp;D$2&amp;D$1&amp;"P"&amp;$A33))/1000000,(100*RTD("tos.rtd",,"OPEN_INT","."&amp;D$2&amp;D$1&amp;"C"&amp;$A33)*RTD("tos.rtd",,"LAST","."&amp;D$2&amp;D$1&amp;"C"&amp;$A33)-100*RTD("tos.rtd",,"OPEN_INT","."&amp;D$2&amp;D$1&amp;"P"&amp;$A33)*RTD("tos.rtd",,"LAST","."&amp;D$2&amp;D$1&amp;"P"&amp;$A33))/1000000),0),IF($A$2="PREMIUM",IFERROR(IF($X$1="ABS",(100*RTD("tos.rtd",,"VOLUME","."&amp;D$2&amp;D$1&amp;"C"&amp;$A33)*RTD("tos.rtd",,"LAST","."&amp;D$2&amp;D$1&amp;"C"&amp;$A33)+100*RTD("tos.rtd",,"VOLUME","."&amp;D$2&amp;D$1&amp;"P"&amp;$A33)*RTD("tos.rtd",,"LAST","."&amp;D$2&amp;D$1&amp;"P"&amp;$A33))/1000000,(100*RTD("tos.rtd",,"VOLUME","."&amp;D$2&amp;D$1&amp;"C"&amp;$A33)*RTD("tos.rtd",,"LAST","."&amp;D$2&amp;D$1&amp;"C"&amp;$A33)-100*RTD("tos.rtd",,"VOLUME","."&amp;D$2&amp;D$1&amp;"P"&amp;$A33)*RTD("tos.rtd",,"LAST","."&amp;D$2&amp;D$1&amp;"P"&amp;$A33))/1000000),0),IF($A$2="DEX",IFERROR(IF($X$1="ABS",(100*RTD("tos.rtd",,"OPEN_INT","."&amp;D$2&amp;D$1&amp;"C"&amp;$A33)*RTD("tos.rtd",,"DELTA","."&amp;D$2&amp;D$1&amp;"C"&amp;$A33)+100*RTD("tos.rtd",,"OPEN_INT","."&amp;D$2&amp;D$1&amp;"P"&amp;$A33)*RTD("tos.rtd",,"DELTA","."&amp;D$2&amp;D$1&amp;"P"&amp;$A33))/1000,(100*RTD("tos.rtd",,"OPEN_INT","."&amp;D$2&amp;D$1&amp;"C"&amp;$A33)*RTD("tos.rtd",,"DELTA","."&amp;D$2&amp;D$1&amp;"C"&amp;$A33)-100*RTD("tos.rtd",,"OPEN_INT","."&amp;D$2&amp;D$1&amp;"P"&amp;$A33)*RTD("tos.rtd",,"DELTA","."&amp;D$2&amp;D$1&amp;"P"&amp;$A33))/1000),0),IF($A$2="VEX",IFERROR(IF($X$1="ABS",($A$4*$A$4*RTD("tos.rtd",,"VOLUME","."&amp;D$2&amp;D$1&amp;"C"&amp;$A33)*RTD("tos.rtd",,"GAMMA","."&amp;D$2&amp;D$1&amp;"C"&amp;$A33)+$A$4*$A$4*RTD("tos.rtd",,"VOLUME","."&amp;D$2&amp;D$1&amp;"P"&amp;$A33)*RTD("tos.rtd",,"GAMMA","."&amp;D$2&amp;D$1&amp;"P"&amp;$A33))/1000000,($A$4*$A$4*RTD("tos.rtd",,"VOLUME","."&amp;D$2&amp;D$1&amp;"C"&amp;$A33)*RTD("tos.rtd",,"GAMMA","."&amp;D$2&amp;D$1&amp;"C"&amp;$A33)-$A$4*$A$4*RTD("tos.rtd",,"VOLUME","."&amp;D$2&amp;D$1&amp;"P"&amp;$A33)*RTD("tos.rtd",,"GAMMA","."&amp;D$2&amp;D$1&amp;"P"&amp;$A33))/1000000),0),IF($A$2="GEX",IFERROR(IF($X$1="ABS",($A$4*$A$4*RTD("tos.rtd",,"OPEN_INT","."&amp;D$2&amp;D$1&amp;"C"&amp;$A33)*RTD("tos.rtd",,"GAMMA","."&amp;D$2&amp;D$1&amp;"C"&amp;$A33)+$A$4*$A$4*RTD("tos.rtd",,"OPEN_INT","."&amp;D$2&amp;D$1&amp;"P"&amp;$A33)*RTD("tos.rtd",,"GAMMA","."&amp;D$2&amp;D$1&amp;"P"&amp;$A33))/1000000,($A$4*$A$4*RTD("tos.rtd",,"OPEN_INT","."&amp;D$2&amp;D$1&amp;"C"&amp;$A33)*RTD("tos.rtd",,"GAMMA","."&amp;D$2&amp;D$1&amp;"C"&amp;$A33)-$A$4*$A$4*RTD("tos.rtd",,"OPEN_INT","."&amp;D$2&amp;D$1&amp;"P"&amp;$A33)*RTD("tos.rtd",,"GAMMA","."&amp;D$2&amp;D$1&amp;"P"&amp;$A33))/1000000),0),IF($A$2="SKEW",IFERROR(VALUE(IF(RTD("tos.rtd",,"IMPL_VOL","."&amp;D$2&amp;D$1&amp;"P"&amp;$A33)="N/A",0,RTD("tos.rtd",,"IMPL_VOL","."&amp;D$2&amp;D$1&amp;"P"&amp;$A33))),0)-IFERROR(VALUE(IF(RTD("tos.rtd",,"IMPL_VOL","."&amp;D$2&amp;D$1&amp;"C"&amp;$A33)="N/A",0,RTD("tos.rtd",,"IMPL_VOL","."&amp;D$2&amp;D$1&amp;"C"&amp;$A33))),0),IF($A$2="MAXPAIN",IF($A$4&gt;$A33,($A$4-$A33)*IF(RTD("tos.rtd",,"OPEN_INT","."&amp;D$2&amp;D$1&amp;"C"&amp;$A33)="N/A",0,RTD("tos.rtd",,"OPEN_INT","."&amp;D$2&amp;D$1&amp;"C"&amp;$A33)),0)+IF($A$4&lt;$A33,($A$5-$A$4)*IF(RTD("tos.rtd",,"OPEN_INT","."&amp;D$2&amp;D$1&amp;"P"&amp;$A33)="N/A",0,RTD("tos.rtd",,"OPEN_INT","."&amp;D$2&amp;D$1&amp;"P"&amp;$A33)),0),IF($X$1="ABS",IF(RTD("tos.rtd",,$A$2,"."&amp;D$2&amp;D$1&amp;"C"&amp;$A33)="N/A",0,RTD("tos.rtd",,$A$2,"."&amp;D$2&amp;D$1&amp;"C"&amp;$A33))+IF(RTD("tos.rtd",,$A$2,"."&amp;D$2&amp;D$1&amp;"P"&amp;$A33)="N/A",0,RTD("tos.rtd",,$A$2,"."&amp;D$2&amp;D$1&amp;"P"&amp;$A33)),IF(RTD("tos.rtd",,$A$2,"."&amp;D$2&amp;D$1&amp;"C"&amp;$A33)="N/A",0,RTD("tos.rtd",,$A$2,"."&amp;D$2&amp;D$1&amp;"C"&amp;$A33))-IF(RTD("tos.rtd",,$A$2,"."&amp;D$2&amp;D$1&amp;"P"&amp;$A33)="N/A",0,RTD("tos.rtd",,$A$2,"."&amp;D$2&amp;D$1&amp;"P"&amp;$A33))))))))))</f>
        <v>0</v>
      </c>
      <c r="E33" s="12">
        <f ca="1">IF($A$2="PREMIUM_OI",IFERROR(IF($X$1="ABS",(100*RTD("tos.rtd",,"OPEN_INT","."&amp;E$2&amp;E$1&amp;"C"&amp;$A33)*RTD("tos.rtd",,"LAST","."&amp;E$2&amp;E$1&amp;"C"&amp;$A33)+100*RTD("tos.rtd",,"OPEN_INT","."&amp;E$2&amp;E$1&amp;"P"&amp;$A33)*RTD("tos.rtd",,"LAST","."&amp;E$2&amp;E$1&amp;"P"&amp;$A33))/1000000,(100*RTD("tos.rtd",,"OPEN_INT","."&amp;E$2&amp;E$1&amp;"C"&amp;$A33)*RTD("tos.rtd",,"LAST","."&amp;E$2&amp;E$1&amp;"C"&amp;$A33)-100*RTD("tos.rtd",,"OPEN_INT","."&amp;E$2&amp;E$1&amp;"P"&amp;$A33)*RTD("tos.rtd",,"LAST","."&amp;E$2&amp;E$1&amp;"P"&amp;$A33))/1000000),0),IF($A$2="PREMIUM",IFERROR(IF($X$1="ABS",(100*RTD("tos.rtd",,"VOLUME","."&amp;E$2&amp;E$1&amp;"C"&amp;$A33)*RTD("tos.rtd",,"LAST","."&amp;E$2&amp;E$1&amp;"C"&amp;$A33)+100*RTD("tos.rtd",,"VOLUME","."&amp;E$2&amp;E$1&amp;"P"&amp;$A33)*RTD("tos.rtd",,"LAST","."&amp;E$2&amp;E$1&amp;"P"&amp;$A33))/1000000,(100*RTD("tos.rtd",,"VOLUME","."&amp;E$2&amp;E$1&amp;"C"&amp;$A33)*RTD("tos.rtd",,"LAST","."&amp;E$2&amp;E$1&amp;"C"&amp;$A33)-100*RTD("tos.rtd",,"VOLUME","."&amp;E$2&amp;E$1&amp;"P"&amp;$A33)*RTD("tos.rtd",,"LAST","."&amp;E$2&amp;E$1&amp;"P"&amp;$A33))/1000000),0),IF($A$2="DEX",IFERROR(IF($X$1="ABS",(100*RTD("tos.rtd",,"OPEN_INT","."&amp;E$2&amp;E$1&amp;"C"&amp;$A33)*RTD("tos.rtd",,"DELTA","."&amp;E$2&amp;E$1&amp;"C"&amp;$A33)+100*RTD("tos.rtd",,"OPEN_INT","."&amp;E$2&amp;E$1&amp;"P"&amp;$A33)*RTD("tos.rtd",,"DELTA","."&amp;E$2&amp;E$1&amp;"P"&amp;$A33))/1000,(100*RTD("tos.rtd",,"OPEN_INT","."&amp;E$2&amp;E$1&amp;"C"&amp;$A33)*RTD("tos.rtd",,"DELTA","."&amp;E$2&amp;E$1&amp;"C"&amp;$A33)-100*RTD("tos.rtd",,"OPEN_INT","."&amp;E$2&amp;E$1&amp;"P"&amp;$A33)*RTD("tos.rtd",,"DELTA","."&amp;E$2&amp;E$1&amp;"P"&amp;$A33))/1000),0),IF($A$2="VEX",IFERROR(IF($X$1="ABS",($A$4*$A$4*RTD("tos.rtd",,"VOLUME","."&amp;E$2&amp;E$1&amp;"C"&amp;$A33)*RTD("tos.rtd",,"GAMMA","."&amp;E$2&amp;E$1&amp;"C"&amp;$A33)+$A$4*$A$4*RTD("tos.rtd",,"VOLUME","."&amp;E$2&amp;E$1&amp;"P"&amp;$A33)*RTD("tos.rtd",,"GAMMA","."&amp;E$2&amp;E$1&amp;"P"&amp;$A33))/1000000,($A$4*$A$4*RTD("tos.rtd",,"VOLUME","."&amp;E$2&amp;E$1&amp;"C"&amp;$A33)*RTD("tos.rtd",,"GAMMA","."&amp;E$2&amp;E$1&amp;"C"&amp;$A33)-$A$4*$A$4*RTD("tos.rtd",,"VOLUME","."&amp;E$2&amp;E$1&amp;"P"&amp;$A33)*RTD("tos.rtd",,"GAMMA","."&amp;E$2&amp;E$1&amp;"P"&amp;$A33))/1000000),0),IF($A$2="GEX",IFERROR(IF($X$1="ABS",($A$4*$A$4*RTD("tos.rtd",,"OPEN_INT","."&amp;E$2&amp;E$1&amp;"C"&amp;$A33)*RTD("tos.rtd",,"GAMMA","."&amp;E$2&amp;E$1&amp;"C"&amp;$A33)+$A$4*$A$4*RTD("tos.rtd",,"OPEN_INT","."&amp;E$2&amp;E$1&amp;"P"&amp;$A33)*RTD("tos.rtd",,"GAMMA","."&amp;E$2&amp;E$1&amp;"P"&amp;$A33))/1000000,($A$4*$A$4*RTD("tos.rtd",,"OPEN_INT","."&amp;E$2&amp;E$1&amp;"C"&amp;$A33)*RTD("tos.rtd",,"GAMMA","."&amp;E$2&amp;E$1&amp;"C"&amp;$A33)-$A$4*$A$4*RTD("tos.rtd",,"OPEN_INT","."&amp;E$2&amp;E$1&amp;"P"&amp;$A33)*RTD("tos.rtd",,"GAMMA","."&amp;E$2&amp;E$1&amp;"P"&amp;$A33))/1000000),0),IF($A$2="SKEW",IFERROR(VALUE(IF(RTD("tos.rtd",,"IMPL_VOL","."&amp;E$2&amp;E$1&amp;"P"&amp;$A33)="N/A",0,RTD("tos.rtd",,"IMPL_VOL","."&amp;E$2&amp;E$1&amp;"P"&amp;$A33))),0)-IFERROR(VALUE(IF(RTD("tos.rtd",,"IMPL_VOL","."&amp;E$2&amp;E$1&amp;"C"&amp;$A33)="N/A",0,RTD("tos.rtd",,"IMPL_VOL","."&amp;E$2&amp;E$1&amp;"C"&amp;$A33))),0),IF($A$2="MAXPAIN",IF($A$4&gt;$A33,($A$4-$A33)*IF(RTD("tos.rtd",,"OPEN_INT","."&amp;E$2&amp;E$1&amp;"C"&amp;$A33)="N/A",0,RTD("tos.rtd",,"OPEN_INT","."&amp;E$2&amp;E$1&amp;"C"&amp;$A33)),0)+IF($A$4&lt;$A33,($A$5-$A$4)*IF(RTD("tos.rtd",,"OPEN_INT","."&amp;E$2&amp;E$1&amp;"P"&amp;$A33)="N/A",0,RTD("tos.rtd",,"OPEN_INT","."&amp;E$2&amp;E$1&amp;"P"&amp;$A33)),0),IF($X$1="ABS",IF(RTD("tos.rtd",,$A$2,"."&amp;E$2&amp;E$1&amp;"C"&amp;$A33)="N/A",0,RTD("tos.rtd",,$A$2,"."&amp;E$2&amp;E$1&amp;"C"&amp;$A33))+IF(RTD("tos.rtd",,$A$2,"."&amp;E$2&amp;E$1&amp;"P"&amp;$A33)="N/A",0,RTD("tos.rtd",,$A$2,"."&amp;E$2&amp;E$1&amp;"P"&amp;$A33)),IF(RTD("tos.rtd",,$A$2,"."&amp;E$2&amp;E$1&amp;"C"&amp;$A33)="N/A",0,RTD("tos.rtd",,$A$2,"."&amp;E$2&amp;E$1&amp;"C"&amp;$A33))-IF(RTD("tos.rtd",,$A$2,"."&amp;E$2&amp;E$1&amp;"P"&amp;$A33)="N/A",0,RTD("tos.rtd",,$A$2,"."&amp;E$2&amp;E$1&amp;"P"&amp;$A33))))))))))</f>
        <v>0</v>
      </c>
      <c r="F33" s="12">
        <f ca="1">IF($A$2="PREMIUM_OI",IFERROR(IF($X$1="ABS",(100*RTD("tos.rtd",,"OPEN_INT","."&amp;F$2&amp;F$1&amp;"C"&amp;$A33)*RTD("tos.rtd",,"LAST","."&amp;F$2&amp;F$1&amp;"C"&amp;$A33)+100*RTD("tos.rtd",,"OPEN_INT","."&amp;F$2&amp;F$1&amp;"P"&amp;$A33)*RTD("tos.rtd",,"LAST","."&amp;F$2&amp;F$1&amp;"P"&amp;$A33))/1000000,(100*RTD("tos.rtd",,"OPEN_INT","."&amp;F$2&amp;F$1&amp;"C"&amp;$A33)*RTD("tos.rtd",,"LAST","."&amp;F$2&amp;F$1&amp;"C"&amp;$A33)-100*RTD("tos.rtd",,"OPEN_INT","."&amp;F$2&amp;F$1&amp;"P"&amp;$A33)*RTD("tos.rtd",,"LAST","."&amp;F$2&amp;F$1&amp;"P"&amp;$A33))/1000000),0),IF($A$2="PREMIUM",IFERROR(IF($X$1="ABS",(100*RTD("tos.rtd",,"VOLUME","."&amp;F$2&amp;F$1&amp;"C"&amp;$A33)*RTD("tos.rtd",,"LAST","."&amp;F$2&amp;F$1&amp;"C"&amp;$A33)+100*RTD("tos.rtd",,"VOLUME","."&amp;F$2&amp;F$1&amp;"P"&amp;$A33)*RTD("tos.rtd",,"LAST","."&amp;F$2&amp;F$1&amp;"P"&amp;$A33))/1000000,(100*RTD("tos.rtd",,"VOLUME","."&amp;F$2&amp;F$1&amp;"C"&amp;$A33)*RTD("tos.rtd",,"LAST","."&amp;F$2&amp;F$1&amp;"C"&amp;$A33)-100*RTD("tos.rtd",,"VOLUME","."&amp;F$2&amp;F$1&amp;"P"&amp;$A33)*RTD("tos.rtd",,"LAST","."&amp;F$2&amp;F$1&amp;"P"&amp;$A33))/1000000),0),IF($A$2="DEX",IFERROR(IF($X$1="ABS",(100*RTD("tos.rtd",,"OPEN_INT","."&amp;F$2&amp;F$1&amp;"C"&amp;$A33)*RTD("tos.rtd",,"DELTA","."&amp;F$2&amp;F$1&amp;"C"&amp;$A33)+100*RTD("tos.rtd",,"OPEN_INT","."&amp;F$2&amp;F$1&amp;"P"&amp;$A33)*RTD("tos.rtd",,"DELTA","."&amp;F$2&amp;F$1&amp;"P"&amp;$A33))/1000,(100*RTD("tos.rtd",,"OPEN_INT","."&amp;F$2&amp;F$1&amp;"C"&amp;$A33)*RTD("tos.rtd",,"DELTA","."&amp;F$2&amp;F$1&amp;"C"&amp;$A33)-100*RTD("tos.rtd",,"OPEN_INT","."&amp;F$2&amp;F$1&amp;"P"&amp;$A33)*RTD("tos.rtd",,"DELTA","."&amp;F$2&amp;F$1&amp;"P"&amp;$A33))/1000),0),IF($A$2="VEX",IFERROR(IF($X$1="ABS",($A$4*$A$4*RTD("tos.rtd",,"VOLUME","."&amp;F$2&amp;F$1&amp;"C"&amp;$A33)*RTD("tos.rtd",,"GAMMA","."&amp;F$2&amp;F$1&amp;"C"&amp;$A33)+$A$4*$A$4*RTD("tos.rtd",,"VOLUME","."&amp;F$2&amp;F$1&amp;"P"&amp;$A33)*RTD("tos.rtd",,"GAMMA","."&amp;F$2&amp;F$1&amp;"P"&amp;$A33))/1000000,($A$4*$A$4*RTD("tos.rtd",,"VOLUME","."&amp;F$2&amp;F$1&amp;"C"&amp;$A33)*RTD("tos.rtd",,"GAMMA","."&amp;F$2&amp;F$1&amp;"C"&amp;$A33)-$A$4*$A$4*RTD("tos.rtd",,"VOLUME","."&amp;F$2&amp;F$1&amp;"P"&amp;$A33)*RTD("tos.rtd",,"GAMMA","."&amp;F$2&amp;F$1&amp;"P"&amp;$A33))/1000000),0),IF($A$2="GEX",IFERROR(IF($X$1="ABS",($A$4*$A$4*RTD("tos.rtd",,"OPEN_INT","."&amp;F$2&amp;F$1&amp;"C"&amp;$A33)*RTD("tos.rtd",,"GAMMA","."&amp;F$2&amp;F$1&amp;"C"&amp;$A33)+$A$4*$A$4*RTD("tos.rtd",,"OPEN_INT","."&amp;F$2&amp;F$1&amp;"P"&amp;$A33)*RTD("tos.rtd",,"GAMMA","."&amp;F$2&amp;F$1&amp;"P"&amp;$A33))/1000000,($A$4*$A$4*RTD("tos.rtd",,"OPEN_INT","."&amp;F$2&amp;F$1&amp;"C"&amp;$A33)*RTD("tos.rtd",,"GAMMA","."&amp;F$2&amp;F$1&amp;"C"&amp;$A33)-$A$4*$A$4*RTD("tos.rtd",,"OPEN_INT","."&amp;F$2&amp;F$1&amp;"P"&amp;$A33)*RTD("tos.rtd",,"GAMMA","."&amp;F$2&amp;F$1&amp;"P"&amp;$A33))/1000000),0),IF($A$2="SKEW",IFERROR(VALUE(IF(RTD("tos.rtd",,"IMPL_VOL","."&amp;F$2&amp;F$1&amp;"P"&amp;$A33)="N/A",0,RTD("tos.rtd",,"IMPL_VOL","."&amp;F$2&amp;F$1&amp;"P"&amp;$A33))),0)-IFERROR(VALUE(IF(RTD("tos.rtd",,"IMPL_VOL","."&amp;F$2&amp;F$1&amp;"C"&amp;$A33)="N/A",0,RTD("tos.rtd",,"IMPL_VOL","."&amp;F$2&amp;F$1&amp;"C"&amp;$A33))),0),IF($A$2="MAXPAIN",IF($A$4&gt;$A33,($A$4-$A33)*IF(RTD("tos.rtd",,"OPEN_INT","."&amp;F$2&amp;F$1&amp;"C"&amp;$A33)="N/A",0,RTD("tos.rtd",,"OPEN_INT","."&amp;F$2&amp;F$1&amp;"C"&amp;$A33)),0)+IF($A$4&lt;$A33,($A$5-$A$4)*IF(RTD("tos.rtd",,"OPEN_INT","."&amp;F$2&amp;F$1&amp;"P"&amp;$A33)="N/A",0,RTD("tos.rtd",,"OPEN_INT","."&amp;F$2&amp;F$1&amp;"P"&amp;$A33)),0),IF($X$1="ABS",IF(RTD("tos.rtd",,$A$2,"."&amp;F$2&amp;F$1&amp;"C"&amp;$A33)="N/A",0,RTD("tos.rtd",,$A$2,"."&amp;F$2&amp;F$1&amp;"C"&amp;$A33))+IF(RTD("tos.rtd",,$A$2,"."&amp;F$2&amp;F$1&amp;"P"&amp;$A33)="N/A",0,RTD("tos.rtd",,$A$2,"."&amp;F$2&amp;F$1&amp;"P"&amp;$A33)),IF(RTD("tos.rtd",,$A$2,"."&amp;F$2&amp;F$1&amp;"C"&amp;$A33)="N/A",0,RTD("tos.rtd",,$A$2,"."&amp;F$2&amp;F$1&amp;"C"&amp;$A33))-IF(RTD("tos.rtd",,$A$2,"."&amp;F$2&amp;F$1&amp;"P"&amp;$A33)="N/A",0,RTD("tos.rtd",,$A$2,"."&amp;F$2&amp;F$1&amp;"P"&amp;$A33))))))))))</f>
        <v>0</v>
      </c>
      <c r="G33" s="54">
        <f ca="1">IF($A$2="PREMIUM_OI",IFERROR(IF($X$1="ABS",(100*RTD("tos.rtd",,"OPEN_INT","."&amp;G$2&amp;G$1&amp;"C"&amp;$A33)*RTD("tos.rtd",,"LAST","."&amp;G$2&amp;G$1&amp;"C"&amp;$A33)+100*RTD("tos.rtd",,"OPEN_INT","."&amp;G$2&amp;G$1&amp;"P"&amp;$A33)*RTD("tos.rtd",,"LAST","."&amp;G$2&amp;G$1&amp;"P"&amp;$A33))/1000000,(100*RTD("tos.rtd",,"OPEN_INT","."&amp;G$2&amp;G$1&amp;"C"&amp;$A33)*RTD("tos.rtd",,"LAST","."&amp;G$2&amp;G$1&amp;"C"&amp;$A33)-100*RTD("tos.rtd",,"OPEN_INT","."&amp;G$2&amp;G$1&amp;"P"&amp;$A33)*RTD("tos.rtd",,"LAST","."&amp;G$2&amp;G$1&amp;"P"&amp;$A33))/1000000),0),IF($A$2="PREMIUM",IFERROR(IF($X$1="ABS",(100*RTD("tos.rtd",,"VOLUME","."&amp;G$2&amp;G$1&amp;"C"&amp;$A33)*RTD("tos.rtd",,"LAST","."&amp;G$2&amp;G$1&amp;"C"&amp;$A33)+100*RTD("tos.rtd",,"VOLUME","."&amp;G$2&amp;G$1&amp;"P"&amp;$A33)*RTD("tos.rtd",,"LAST","."&amp;G$2&amp;G$1&amp;"P"&amp;$A33))/1000000,(100*RTD("tos.rtd",,"VOLUME","."&amp;G$2&amp;G$1&amp;"C"&amp;$A33)*RTD("tos.rtd",,"LAST","."&amp;G$2&amp;G$1&amp;"C"&amp;$A33)-100*RTD("tos.rtd",,"VOLUME","."&amp;G$2&amp;G$1&amp;"P"&amp;$A33)*RTD("tos.rtd",,"LAST","."&amp;G$2&amp;G$1&amp;"P"&amp;$A33))/1000000),0),IF($A$2="DEX",IFERROR(IF($X$1="ABS",(100*RTD("tos.rtd",,"OPEN_INT","."&amp;G$2&amp;G$1&amp;"C"&amp;$A33)*RTD("tos.rtd",,"DELTA","."&amp;G$2&amp;G$1&amp;"C"&amp;$A33)+100*RTD("tos.rtd",,"OPEN_INT","."&amp;G$2&amp;G$1&amp;"P"&amp;$A33)*RTD("tos.rtd",,"DELTA","."&amp;G$2&amp;G$1&amp;"P"&amp;$A33))/1000,(100*RTD("tos.rtd",,"OPEN_INT","."&amp;G$2&amp;G$1&amp;"C"&amp;$A33)*RTD("tos.rtd",,"DELTA","."&amp;G$2&amp;G$1&amp;"C"&amp;$A33)-100*RTD("tos.rtd",,"OPEN_INT","."&amp;G$2&amp;G$1&amp;"P"&amp;$A33)*RTD("tos.rtd",,"DELTA","."&amp;G$2&amp;G$1&amp;"P"&amp;$A33))/1000),0),IF($A$2="VEX",IFERROR(IF($X$1="ABS",($A$4*$A$4*RTD("tos.rtd",,"VOLUME","."&amp;G$2&amp;G$1&amp;"C"&amp;$A33)*RTD("tos.rtd",,"GAMMA","."&amp;G$2&amp;G$1&amp;"C"&amp;$A33)+$A$4*$A$4*RTD("tos.rtd",,"VOLUME","."&amp;G$2&amp;G$1&amp;"P"&amp;$A33)*RTD("tos.rtd",,"GAMMA","."&amp;G$2&amp;G$1&amp;"P"&amp;$A33))/1000000,($A$4*$A$4*RTD("tos.rtd",,"VOLUME","."&amp;G$2&amp;G$1&amp;"C"&amp;$A33)*RTD("tos.rtd",,"GAMMA","."&amp;G$2&amp;G$1&amp;"C"&amp;$A33)-$A$4*$A$4*RTD("tos.rtd",,"VOLUME","."&amp;G$2&amp;G$1&amp;"P"&amp;$A33)*RTD("tos.rtd",,"GAMMA","."&amp;G$2&amp;G$1&amp;"P"&amp;$A33))/1000000),0),IF($A$2="GEX",IFERROR(IF($X$1="ABS",($A$4*$A$4*RTD("tos.rtd",,"OPEN_INT","."&amp;G$2&amp;G$1&amp;"C"&amp;$A33)*RTD("tos.rtd",,"GAMMA","."&amp;G$2&amp;G$1&amp;"C"&amp;$A33)+$A$4*$A$4*RTD("tos.rtd",,"OPEN_INT","."&amp;G$2&amp;G$1&amp;"P"&amp;$A33)*RTD("tos.rtd",,"GAMMA","."&amp;G$2&amp;G$1&amp;"P"&amp;$A33))/1000000,($A$4*$A$4*RTD("tos.rtd",,"OPEN_INT","."&amp;G$2&amp;G$1&amp;"C"&amp;$A33)*RTD("tos.rtd",,"GAMMA","."&amp;G$2&amp;G$1&amp;"C"&amp;$A33)-$A$4*$A$4*RTD("tos.rtd",,"OPEN_INT","."&amp;G$2&amp;G$1&amp;"P"&amp;$A33)*RTD("tos.rtd",,"GAMMA","."&amp;G$2&amp;G$1&amp;"P"&amp;$A33))/1000000),0),IF($A$2="SKEW",IFERROR(VALUE(IF(RTD("tos.rtd",,"IMPL_VOL","."&amp;G$2&amp;G$1&amp;"P"&amp;$A33)="N/A",0,RTD("tos.rtd",,"IMPL_VOL","."&amp;G$2&amp;G$1&amp;"P"&amp;$A33))),0)-IFERROR(VALUE(IF(RTD("tos.rtd",,"IMPL_VOL","."&amp;G$2&amp;G$1&amp;"C"&amp;$A33)="N/A",0,RTD("tos.rtd",,"IMPL_VOL","."&amp;G$2&amp;G$1&amp;"C"&amp;$A33))),0),IF($A$2="MAXPAIN",IF($A$4&gt;$A33,($A$4-$A33)*IF(RTD("tos.rtd",,"OPEN_INT","."&amp;G$2&amp;G$1&amp;"C"&amp;$A33)="N/A",0,RTD("tos.rtd",,"OPEN_INT","."&amp;G$2&amp;G$1&amp;"C"&amp;$A33)),0)+IF($A$4&lt;$A33,($A$5-$A$4)*IF(RTD("tos.rtd",,"OPEN_INT","."&amp;G$2&amp;G$1&amp;"P"&amp;$A33)="N/A",0,RTD("tos.rtd",,"OPEN_INT","."&amp;G$2&amp;G$1&amp;"P"&amp;$A33)),0),IF($X$1="ABS",IF(RTD("tos.rtd",,$A$2,"."&amp;G$2&amp;G$1&amp;"C"&amp;$A33)="N/A",0,RTD("tos.rtd",,$A$2,"."&amp;G$2&amp;G$1&amp;"C"&amp;$A33))+IF(RTD("tos.rtd",,$A$2,"."&amp;G$2&amp;G$1&amp;"P"&amp;$A33)="N/A",0,RTD("tos.rtd",,$A$2,"."&amp;G$2&amp;G$1&amp;"P"&amp;$A33)),IF(RTD("tos.rtd",,$A$2,"."&amp;G$2&amp;G$1&amp;"C"&amp;$A33)="N/A",0,RTD("tos.rtd",,$A$2,"."&amp;G$2&amp;G$1&amp;"C"&amp;$A33))-IF(RTD("tos.rtd",,$A$2,"."&amp;G$2&amp;G$1&amp;"P"&amp;$A33)="N/A",0,RTD("tos.rtd",,$A$2,"."&amp;G$2&amp;G$1&amp;"P"&amp;$A33))))))))))</f>
        <v>0</v>
      </c>
      <c r="H33" s="14">
        <f ca="1">IF($A$2="PREMIUM_OI",IFERROR(IF($X$1="ABS",(100*RTD("tos.rtd",,"OPEN_INT","."&amp;H$2&amp;H$1&amp;"C"&amp;$A33)*RTD("tos.rtd",,"LAST","."&amp;H$2&amp;H$1&amp;"C"&amp;$A33)+100*RTD("tos.rtd",,"OPEN_INT","."&amp;H$2&amp;H$1&amp;"P"&amp;$A33)*RTD("tos.rtd",,"LAST","."&amp;H$2&amp;H$1&amp;"P"&amp;$A33))/1000000,(100*RTD("tos.rtd",,"OPEN_INT","."&amp;H$2&amp;H$1&amp;"C"&amp;$A33)*RTD("tos.rtd",,"LAST","."&amp;H$2&amp;H$1&amp;"C"&amp;$A33)-100*RTD("tos.rtd",,"OPEN_INT","."&amp;H$2&amp;H$1&amp;"P"&amp;$A33)*RTD("tos.rtd",,"LAST","."&amp;H$2&amp;H$1&amp;"P"&amp;$A33))/1000000),0),IF($A$2="PREMIUM",IFERROR(IF($X$1="ABS",(100*RTD("tos.rtd",,"VOLUME","."&amp;H$2&amp;H$1&amp;"C"&amp;$A33)*RTD("tos.rtd",,"LAST","."&amp;H$2&amp;H$1&amp;"C"&amp;$A33)+100*RTD("tos.rtd",,"VOLUME","."&amp;H$2&amp;H$1&amp;"P"&amp;$A33)*RTD("tos.rtd",,"LAST","."&amp;H$2&amp;H$1&amp;"P"&amp;$A33))/1000000,(100*RTD("tos.rtd",,"VOLUME","."&amp;H$2&amp;H$1&amp;"C"&amp;$A33)*RTD("tos.rtd",,"LAST","."&amp;H$2&amp;H$1&amp;"C"&amp;$A33)-100*RTD("tos.rtd",,"VOLUME","."&amp;H$2&amp;H$1&amp;"P"&amp;$A33)*RTD("tos.rtd",,"LAST","."&amp;H$2&amp;H$1&amp;"P"&amp;$A33))/1000000),0),IF($A$2="DEX",IFERROR(IF($X$1="ABS",(100*RTD("tos.rtd",,"OPEN_INT","."&amp;H$2&amp;H$1&amp;"C"&amp;$A33)*RTD("tos.rtd",,"DELTA","."&amp;H$2&amp;H$1&amp;"C"&amp;$A33)+100*RTD("tos.rtd",,"OPEN_INT","."&amp;H$2&amp;H$1&amp;"P"&amp;$A33)*RTD("tos.rtd",,"DELTA","."&amp;H$2&amp;H$1&amp;"P"&amp;$A33))/1000,(100*RTD("tos.rtd",,"OPEN_INT","."&amp;H$2&amp;H$1&amp;"C"&amp;$A33)*RTD("tos.rtd",,"DELTA","."&amp;H$2&amp;H$1&amp;"C"&amp;$A33)-100*RTD("tos.rtd",,"OPEN_INT","."&amp;H$2&amp;H$1&amp;"P"&amp;$A33)*RTD("tos.rtd",,"DELTA","."&amp;H$2&amp;H$1&amp;"P"&amp;$A33))/1000),0),IF($A$2="VEX",IFERROR(IF($X$1="ABS",($A$4*$A$4*RTD("tos.rtd",,"VOLUME","."&amp;H$2&amp;H$1&amp;"C"&amp;$A33)*RTD("tos.rtd",,"GAMMA","."&amp;H$2&amp;H$1&amp;"C"&amp;$A33)+$A$4*$A$4*RTD("tos.rtd",,"VOLUME","."&amp;H$2&amp;H$1&amp;"P"&amp;$A33)*RTD("tos.rtd",,"GAMMA","."&amp;H$2&amp;H$1&amp;"P"&amp;$A33))/1000000,($A$4*$A$4*RTD("tos.rtd",,"VOLUME","."&amp;H$2&amp;H$1&amp;"C"&amp;$A33)*RTD("tos.rtd",,"GAMMA","."&amp;H$2&amp;H$1&amp;"C"&amp;$A33)-$A$4*$A$4*RTD("tos.rtd",,"VOLUME","."&amp;H$2&amp;H$1&amp;"P"&amp;$A33)*RTD("tos.rtd",,"GAMMA","."&amp;H$2&amp;H$1&amp;"P"&amp;$A33))/1000000),0),IF($A$2="GEX",IFERROR(IF($X$1="ABS",($A$4*$A$4*RTD("tos.rtd",,"OPEN_INT","."&amp;H$2&amp;H$1&amp;"C"&amp;$A33)*RTD("tos.rtd",,"GAMMA","."&amp;H$2&amp;H$1&amp;"C"&amp;$A33)+$A$4*$A$4*RTD("tos.rtd",,"OPEN_INT","."&amp;H$2&amp;H$1&amp;"P"&amp;$A33)*RTD("tos.rtd",,"GAMMA","."&amp;H$2&amp;H$1&amp;"P"&amp;$A33))/1000000,($A$4*$A$4*RTD("tos.rtd",,"OPEN_INT","."&amp;H$2&amp;H$1&amp;"C"&amp;$A33)*RTD("tos.rtd",,"GAMMA","."&amp;H$2&amp;H$1&amp;"C"&amp;$A33)-$A$4*$A$4*RTD("tos.rtd",,"OPEN_INT","."&amp;H$2&amp;H$1&amp;"P"&amp;$A33)*RTD("tos.rtd",,"GAMMA","."&amp;H$2&amp;H$1&amp;"P"&amp;$A33))/1000000),0),IF($A$2="SKEW",IFERROR(VALUE(IF(RTD("tos.rtd",,"IMPL_VOL","."&amp;H$2&amp;H$1&amp;"P"&amp;$A33)="N/A",0,RTD("tos.rtd",,"IMPL_VOL","."&amp;H$2&amp;H$1&amp;"P"&amp;$A33))),0)-IFERROR(VALUE(IF(RTD("tos.rtd",,"IMPL_VOL","."&amp;H$2&amp;H$1&amp;"C"&amp;$A33)="N/A",0,RTD("tos.rtd",,"IMPL_VOL","."&amp;H$2&amp;H$1&amp;"C"&amp;$A33))),0),IF($A$2="MAXPAIN",IF($A$4&gt;$A33,($A$4-$A33)*IF(RTD("tos.rtd",,"OPEN_INT","."&amp;H$2&amp;H$1&amp;"C"&amp;$A33)="N/A",0,RTD("tos.rtd",,"OPEN_INT","."&amp;H$2&amp;H$1&amp;"C"&amp;$A33)),0)+IF($A$4&lt;$A33,($A$5-$A$4)*IF(RTD("tos.rtd",,"OPEN_INT","."&amp;H$2&amp;H$1&amp;"P"&amp;$A33)="N/A",0,RTD("tos.rtd",,"OPEN_INT","."&amp;H$2&amp;H$1&amp;"P"&amp;$A33)),0),IF($X$1="ABS",IF(RTD("tos.rtd",,$A$2,"."&amp;H$2&amp;H$1&amp;"C"&amp;$A33)="N/A",0,RTD("tos.rtd",,$A$2,"."&amp;H$2&amp;H$1&amp;"C"&amp;$A33))+IF(RTD("tos.rtd",,$A$2,"."&amp;H$2&amp;H$1&amp;"P"&amp;$A33)="N/A",0,RTD("tos.rtd",,$A$2,"."&amp;H$2&amp;H$1&amp;"P"&amp;$A33)),IF(RTD("tos.rtd",,$A$2,"."&amp;H$2&amp;H$1&amp;"C"&amp;$A33)="N/A",0,RTD("tos.rtd",,$A$2,"."&amp;H$2&amp;H$1&amp;"C"&amp;$A33))-IF(RTD("tos.rtd",,$A$2,"."&amp;H$2&amp;H$1&amp;"P"&amp;$A33)="N/A",0,RTD("tos.rtd",,$A$2,"."&amp;H$2&amp;H$1&amp;"P"&amp;$A33))))))))))</f>
        <v>0</v>
      </c>
      <c r="I33" s="12">
        <f ca="1">IF($A$2="PREMIUM_OI",IFERROR(IF($X$1="ABS",(100*RTD("tos.rtd",,"OPEN_INT","."&amp;I$2&amp;I$1&amp;"C"&amp;$A33)*RTD("tos.rtd",,"LAST","."&amp;I$2&amp;I$1&amp;"C"&amp;$A33)+100*RTD("tos.rtd",,"OPEN_INT","."&amp;I$2&amp;I$1&amp;"P"&amp;$A33)*RTD("tos.rtd",,"LAST","."&amp;I$2&amp;I$1&amp;"P"&amp;$A33))/1000000,(100*RTD("tos.rtd",,"OPEN_INT","."&amp;I$2&amp;I$1&amp;"C"&amp;$A33)*RTD("tos.rtd",,"LAST","."&amp;I$2&amp;I$1&amp;"C"&amp;$A33)-100*RTD("tos.rtd",,"OPEN_INT","."&amp;I$2&amp;I$1&amp;"P"&amp;$A33)*RTD("tos.rtd",,"LAST","."&amp;I$2&amp;I$1&amp;"P"&amp;$A33))/1000000),0),IF($A$2="PREMIUM",IFERROR(IF($X$1="ABS",(100*RTD("tos.rtd",,"VOLUME","."&amp;I$2&amp;I$1&amp;"C"&amp;$A33)*RTD("tos.rtd",,"LAST","."&amp;I$2&amp;I$1&amp;"C"&amp;$A33)+100*RTD("tos.rtd",,"VOLUME","."&amp;I$2&amp;I$1&amp;"P"&amp;$A33)*RTD("tos.rtd",,"LAST","."&amp;I$2&amp;I$1&amp;"P"&amp;$A33))/1000000,(100*RTD("tos.rtd",,"VOLUME","."&amp;I$2&amp;I$1&amp;"C"&amp;$A33)*RTD("tos.rtd",,"LAST","."&amp;I$2&amp;I$1&amp;"C"&amp;$A33)-100*RTD("tos.rtd",,"VOLUME","."&amp;I$2&amp;I$1&amp;"P"&amp;$A33)*RTD("tos.rtd",,"LAST","."&amp;I$2&amp;I$1&amp;"P"&amp;$A33))/1000000),0),IF($A$2="DEX",IFERROR(IF($X$1="ABS",(100*RTD("tos.rtd",,"OPEN_INT","."&amp;I$2&amp;I$1&amp;"C"&amp;$A33)*RTD("tos.rtd",,"DELTA","."&amp;I$2&amp;I$1&amp;"C"&amp;$A33)+100*RTD("tos.rtd",,"OPEN_INT","."&amp;I$2&amp;I$1&amp;"P"&amp;$A33)*RTD("tos.rtd",,"DELTA","."&amp;I$2&amp;I$1&amp;"P"&amp;$A33))/1000,(100*RTD("tos.rtd",,"OPEN_INT","."&amp;I$2&amp;I$1&amp;"C"&amp;$A33)*RTD("tos.rtd",,"DELTA","."&amp;I$2&amp;I$1&amp;"C"&amp;$A33)-100*RTD("tos.rtd",,"OPEN_INT","."&amp;I$2&amp;I$1&amp;"P"&amp;$A33)*RTD("tos.rtd",,"DELTA","."&amp;I$2&amp;I$1&amp;"P"&amp;$A33))/1000),0),IF($A$2="VEX",IFERROR(IF($X$1="ABS",($A$4*$A$4*RTD("tos.rtd",,"VOLUME","."&amp;I$2&amp;I$1&amp;"C"&amp;$A33)*RTD("tos.rtd",,"GAMMA","."&amp;I$2&amp;I$1&amp;"C"&amp;$A33)+$A$4*$A$4*RTD("tos.rtd",,"VOLUME","."&amp;I$2&amp;I$1&amp;"P"&amp;$A33)*RTD("tos.rtd",,"GAMMA","."&amp;I$2&amp;I$1&amp;"P"&amp;$A33))/1000000,($A$4*$A$4*RTD("tos.rtd",,"VOLUME","."&amp;I$2&amp;I$1&amp;"C"&amp;$A33)*RTD("tos.rtd",,"GAMMA","."&amp;I$2&amp;I$1&amp;"C"&amp;$A33)-$A$4*$A$4*RTD("tos.rtd",,"VOLUME","."&amp;I$2&amp;I$1&amp;"P"&amp;$A33)*RTD("tos.rtd",,"GAMMA","."&amp;I$2&amp;I$1&amp;"P"&amp;$A33))/1000000),0),IF($A$2="GEX",IFERROR(IF($X$1="ABS",($A$4*$A$4*RTD("tos.rtd",,"OPEN_INT","."&amp;I$2&amp;I$1&amp;"C"&amp;$A33)*RTD("tos.rtd",,"GAMMA","."&amp;I$2&amp;I$1&amp;"C"&amp;$A33)+$A$4*$A$4*RTD("tos.rtd",,"OPEN_INT","."&amp;I$2&amp;I$1&amp;"P"&amp;$A33)*RTD("tos.rtd",,"GAMMA","."&amp;I$2&amp;I$1&amp;"P"&amp;$A33))/1000000,($A$4*$A$4*RTD("tos.rtd",,"OPEN_INT","."&amp;I$2&amp;I$1&amp;"C"&amp;$A33)*RTD("tos.rtd",,"GAMMA","."&amp;I$2&amp;I$1&amp;"C"&amp;$A33)-$A$4*$A$4*RTD("tos.rtd",,"OPEN_INT","."&amp;I$2&amp;I$1&amp;"P"&amp;$A33)*RTD("tos.rtd",,"GAMMA","."&amp;I$2&amp;I$1&amp;"P"&amp;$A33))/1000000),0),IF($A$2="SKEW",IFERROR(VALUE(IF(RTD("tos.rtd",,"IMPL_VOL","."&amp;I$2&amp;I$1&amp;"P"&amp;$A33)="N/A",0,RTD("tos.rtd",,"IMPL_VOL","."&amp;I$2&amp;I$1&amp;"P"&amp;$A33))),0)-IFERROR(VALUE(IF(RTD("tos.rtd",,"IMPL_VOL","."&amp;I$2&amp;I$1&amp;"C"&amp;$A33)="N/A",0,RTD("tos.rtd",,"IMPL_VOL","."&amp;I$2&amp;I$1&amp;"C"&amp;$A33))),0),IF($A$2="MAXPAIN",IF($A$4&gt;$A33,($A$4-$A33)*IF(RTD("tos.rtd",,"OPEN_INT","."&amp;I$2&amp;I$1&amp;"C"&amp;$A33)="N/A",0,RTD("tos.rtd",,"OPEN_INT","."&amp;I$2&amp;I$1&amp;"C"&amp;$A33)),0)+IF($A$4&lt;$A33,($A$5-$A$4)*IF(RTD("tos.rtd",,"OPEN_INT","."&amp;I$2&amp;I$1&amp;"P"&amp;$A33)="N/A",0,RTD("tos.rtd",,"OPEN_INT","."&amp;I$2&amp;I$1&amp;"P"&amp;$A33)),0),IF($X$1="ABS",IF(RTD("tos.rtd",,$A$2,"."&amp;I$2&amp;I$1&amp;"C"&amp;$A33)="N/A",0,RTD("tos.rtd",,$A$2,"."&amp;I$2&amp;I$1&amp;"C"&amp;$A33))+IF(RTD("tos.rtd",,$A$2,"."&amp;I$2&amp;I$1&amp;"P"&amp;$A33)="N/A",0,RTD("tos.rtd",,$A$2,"."&amp;I$2&amp;I$1&amp;"P"&amp;$A33)),IF(RTD("tos.rtd",,$A$2,"."&amp;I$2&amp;I$1&amp;"C"&amp;$A33)="N/A",0,RTD("tos.rtd",,$A$2,"."&amp;I$2&amp;I$1&amp;"C"&amp;$A33))-IF(RTD("tos.rtd",,$A$2,"."&amp;I$2&amp;I$1&amp;"P"&amp;$A33)="N/A",0,RTD("tos.rtd",,$A$2,"."&amp;I$2&amp;I$1&amp;"P"&amp;$A33))))))))))</f>
        <v>0</v>
      </c>
      <c r="J33" s="12">
        <f ca="1">IF($A$2="PREMIUM_OI",IFERROR(IF($X$1="ABS",(100*RTD("tos.rtd",,"OPEN_INT","."&amp;J$2&amp;J$1&amp;"C"&amp;$A33)*RTD("tos.rtd",,"LAST","."&amp;J$2&amp;J$1&amp;"C"&amp;$A33)+100*RTD("tos.rtd",,"OPEN_INT","."&amp;J$2&amp;J$1&amp;"P"&amp;$A33)*RTD("tos.rtd",,"LAST","."&amp;J$2&amp;J$1&amp;"P"&amp;$A33))/1000000,(100*RTD("tos.rtd",,"OPEN_INT","."&amp;J$2&amp;J$1&amp;"C"&amp;$A33)*RTD("tos.rtd",,"LAST","."&amp;J$2&amp;J$1&amp;"C"&amp;$A33)-100*RTD("tos.rtd",,"OPEN_INT","."&amp;J$2&amp;J$1&amp;"P"&amp;$A33)*RTD("tos.rtd",,"LAST","."&amp;J$2&amp;J$1&amp;"P"&amp;$A33))/1000000),0),IF($A$2="PREMIUM",IFERROR(IF($X$1="ABS",(100*RTD("tos.rtd",,"VOLUME","."&amp;J$2&amp;J$1&amp;"C"&amp;$A33)*RTD("tos.rtd",,"LAST","."&amp;J$2&amp;J$1&amp;"C"&amp;$A33)+100*RTD("tos.rtd",,"VOLUME","."&amp;J$2&amp;J$1&amp;"P"&amp;$A33)*RTD("tos.rtd",,"LAST","."&amp;J$2&amp;J$1&amp;"P"&amp;$A33))/1000000,(100*RTD("tos.rtd",,"VOLUME","."&amp;J$2&amp;J$1&amp;"C"&amp;$A33)*RTD("tos.rtd",,"LAST","."&amp;J$2&amp;J$1&amp;"C"&amp;$A33)-100*RTD("tos.rtd",,"VOLUME","."&amp;J$2&amp;J$1&amp;"P"&amp;$A33)*RTD("tos.rtd",,"LAST","."&amp;J$2&amp;J$1&amp;"P"&amp;$A33))/1000000),0),IF($A$2="DEX",IFERROR(IF($X$1="ABS",(100*RTD("tos.rtd",,"OPEN_INT","."&amp;J$2&amp;J$1&amp;"C"&amp;$A33)*RTD("tos.rtd",,"DELTA","."&amp;J$2&amp;J$1&amp;"C"&amp;$A33)+100*RTD("tos.rtd",,"OPEN_INT","."&amp;J$2&amp;J$1&amp;"P"&amp;$A33)*RTD("tos.rtd",,"DELTA","."&amp;J$2&amp;J$1&amp;"P"&amp;$A33))/1000,(100*RTD("tos.rtd",,"OPEN_INT","."&amp;J$2&amp;J$1&amp;"C"&amp;$A33)*RTD("tos.rtd",,"DELTA","."&amp;J$2&amp;J$1&amp;"C"&amp;$A33)-100*RTD("tos.rtd",,"OPEN_INT","."&amp;J$2&amp;J$1&amp;"P"&amp;$A33)*RTD("tos.rtd",,"DELTA","."&amp;J$2&amp;J$1&amp;"P"&amp;$A33))/1000),0),IF($A$2="VEX",IFERROR(IF($X$1="ABS",($A$4*$A$4*RTD("tos.rtd",,"VOLUME","."&amp;J$2&amp;J$1&amp;"C"&amp;$A33)*RTD("tos.rtd",,"GAMMA","."&amp;J$2&amp;J$1&amp;"C"&amp;$A33)+$A$4*$A$4*RTD("tos.rtd",,"VOLUME","."&amp;J$2&amp;J$1&amp;"P"&amp;$A33)*RTD("tos.rtd",,"GAMMA","."&amp;J$2&amp;J$1&amp;"P"&amp;$A33))/1000000,($A$4*$A$4*RTD("tos.rtd",,"VOLUME","."&amp;J$2&amp;J$1&amp;"C"&amp;$A33)*RTD("tos.rtd",,"GAMMA","."&amp;J$2&amp;J$1&amp;"C"&amp;$A33)-$A$4*$A$4*RTD("tos.rtd",,"VOLUME","."&amp;J$2&amp;J$1&amp;"P"&amp;$A33)*RTD("tos.rtd",,"GAMMA","."&amp;J$2&amp;J$1&amp;"P"&amp;$A33))/1000000),0),IF($A$2="GEX",IFERROR(IF($X$1="ABS",($A$4*$A$4*RTD("tos.rtd",,"OPEN_INT","."&amp;J$2&amp;J$1&amp;"C"&amp;$A33)*RTD("tos.rtd",,"GAMMA","."&amp;J$2&amp;J$1&amp;"C"&amp;$A33)+$A$4*$A$4*RTD("tos.rtd",,"OPEN_INT","."&amp;J$2&amp;J$1&amp;"P"&amp;$A33)*RTD("tos.rtd",,"GAMMA","."&amp;J$2&amp;J$1&amp;"P"&amp;$A33))/1000000,($A$4*$A$4*RTD("tos.rtd",,"OPEN_INT","."&amp;J$2&amp;J$1&amp;"C"&amp;$A33)*RTD("tos.rtd",,"GAMMA","."&amp;J$2&amp;J$1&amp;"C"&amp;$A33)-$A$4*$A$4*RTD("tos.rtd",,"OPEN_INT","."&amp;J$2&amp;J$1&amp;"P"&amp;$A33)*RTD("tos.rtd",,"GAMMA","."&amp;J$2&amp;J$1&amp;"P"&amp;$A33))/1000000),0),IF($A$2="SKEW",IFERROR(VALUE(IF(RTD("tos.rtd",,"IMPL_VOL","."&amp;J$2&amp;J$1&amp;"P"&amp;$A33)="N/A",0,RTD("tos.rtd",,"IMPL_VOL","."&amp;J$2&amp;J$1&amp;"P"&amp;$A33))),0)-IFERROR(VALUE(IF(RTD("tos.rtd",,"IMPL_VOL","."&amp;J$2&amp;J$1&amp;"C"&amp;$A33)="N/A",0,RTD("tos.rtd",,"IMPL_VOL","."&amp;J$2&amp;J$1&amp;"C"&amp;$A33))),0),IF($A$2="MAXPAIN",IF($A$4&gt;$A33,($A$4-$A33)*IF(RTD("tos.rtd",,"OPEN_INT","."&amp;J$2&amp;J$1&amp;"C"&amp;$A33)="N/A",0,RTD("tos.rtd",,"OPEN_INT","."&amp;J$2&amp;J$1&amp;"C"&amp;$A33)),0)+IF($A$4&lt;$A33,($A$5-$A$4)*IF(RTD("tos.rtd",,"OPEN_INT","."&amp;J$2&amp;J$1&amp;"P"&amp;$A33)="N/A",0,RTD("tos.rtd",,"OPEN_INT","."&amp;J$2&amp;J$1&amp;"P"&amp;$A33)),0),IF($X$1="ABS",IF(RTD("tos.rtd",,$A$2,"."&amp;J$2&amp;J$1&amp;"C"&amp;$A33)="N/A",0,RTD("tos.rtd",,$A$2,"."&amp;J$2&amp;J$1&amp;"C"&amp;$A33))+IF(RTD("tos.rtd",,$A$2,"."&amp;J$2&amp;J$1&amp;"P"&amp;$A33)="N/A",0,RTD("tos.rtd",,$A$2,"."&amp;J$2&amp;J$1&amp;"P"&amp;$A33)),IF(RTD("tos.rtd",,$A$2,"."&amp;J$2&amp;J$1&amp;"C"&amp;$A33)="N/A",0,RTD("tos.rtd",,$A$2,"."&amp;J$2&amp;J$1&amp;"C"&amp;$A33))-IF(RTD("tos.rtd",,$A$2,"."&amp;J$2&amp;J$1&amp;"P"&amp;$A33)="N/A",0,RTD("tos.rtd",,$A$2,"."&amp;J$2&amp;J$1&amp;"P"&amp;$A33))))))))))</f>
        <v>0</v>
      </c>
      <c r="K33" s="12">
        <f ca="1">IF($A$2="PREMIUM_OI",IFERROR(IF($X$1="ABS",(100*RTD("tos.rtd",,"OPEN_INT","."&amp;K$2&amp;K$1&amp;"C"&amp;$A33)*RTD("tos.rtd",,"LAST","."&amp;K$2&amp;K$1&amp;"C"&amp;$A33)+100*RTD("tos.rtd",,"OPEN_INT","."&amp;K$2&amp;K$1&amp;"P"&amp;$A33)*RTD("tos.rtd",,"LAST","."&amp;K$2&amp;K$1&amp;"P"&amp;$A33))/1000000,(100*RTD("tos.rtd",,"OPEN_INT","."&amp;K$2&amp;K$1&amp;"C"&amp;$A33)*RTD("tos.rtd",,"LAST","."&amp;K$2&amp;K$1&amp;"C"&amp;$A33)-100*RTD("tos.rtd",,"OPEN_INT","."&amp;K$2&amp;K$1&amp;"P"&amp;$A33)*RTD("tos.rtd",,"LAST","."&amp;K$2&amp;K$1&amp;"P"&amp;$A33))/1000000),0),IF($A$2="PREMIUM",IFERROR(IF($X$1="ABS",(100*RTD("tos.rtd",,"VOLUME","."&amp;K$2&amp;K$1&amp;"C"&amp;$A33)*RTD("tos.rtd",,"LAST","."&amp;K$2&amp;K$1&amp;"C"&amp;$A33)+100*RTD("tos.rtd",,"VOLUME","."&amp;K$2&amp;K$1&amp;"P"&amp;$A33)*RTD("tos.rtd",,"LAST","."&amp;K$2&amp;K$1&amp;"P"&amp;$A33))/1000000,(100*RTD("tos.rtd",,"VOLUME","."&amp;K$2&amp;K$1&amp;"C"&amp;$A33)*RTD("tos.rtd",,"LAST","."&amp;K$2&amp;K$1&amp;"C"&amp;$A33)-100*RTD("tos.rtd",,"VOLUME","."&amp;K$2&amp;K$1&amp;"P"&amp;$A33)*RTD("tos.rtd",,"LAST","."&amp;K$2&amp;K$1&amp;"P"&amp;$A33))/1000000),0),IF($A$2="DEX",IFERROR(IF($X$1="ABS",(100*RTD("tos.rtd",,"OPEN_INT","."&amp;K$2&amp;K$1&amp;"C"&amp;$A33)*RTD("tos.rtd",,"DELTA","."&amp;K$2&amp;K$1&amp;"C"&amp;$A33)+100*RTD("tos.rtd",,"OPEN_INT","."&amp;K$2&amp;K$1&amp;"P"&amp;$A33)*RTD("tos.rtd",,"DELTA","."&amp;K$2&amp;K$1&amp;"P"&amp;$A33))/1000,(100*RTD("tos.rtd",,"OPEN_INT","."&amp;K$2&amp;K$1&amp;"C"&amp;$A33)*RTD("tos.rtd",,"DELTA","."&amp;K$2&amp;K$1&amp;"C"&amp;$A33)-100*RTD("tos.rtd",,"OPEN_INT","."&amp;K$2&amp;K$1&amp;"P"&amp;$A33)*RTD("tos.rtd",,"DELTA","."&amp;K$2&amp;K$1&amp;"P"&amp;$A33))/1000),0),IF($A$2="VEX",IFERROR(IF($X$1="ABS",($A$4*$A$4*RTD("tos.rtd",,"VOLUME","."&amp;K$2&amp;K$1&amp;"C"&amp;$A33)*RTD("tos.rtd",,"GAMMA","."&amp;K$2&amp;K$1&amp;"C"&amp;$A33)+$A$4*$A$4*RTD("tos.rtd",,"VOLUME","."&amp;K$2&amp;K$1&amp;"P"&amp;$A33)*RTD("tos.rtd",,"GAMMA","."&amp;K$2&amp;K$1&amp;"P"&amp;$A33))/1000000,($A$4*$A$4*RTD("tos.rtd",,"VOLUME","."&amp;K$2&amp;K$1&amp;"C"&amp;$A33)*RTD("tos.rtd",,"GAMMA","."&amp;K$2&amp;K$1&amp;"C"&amp;$A33)-$A$4*$A$4*RTD("tos.rtd",,"VOLUME","."&amp;K$2&amp;K$1&amp;"P"&amp;$A33)*RTD("tos.rtd",,"GAMMA","."&amp;K$2&amp;K$1&amp;"P"&amp;$A33))/1000000),0),IF($A$2="GEX",IFERROR(IF($X$1="ABS",($A$4*$A$4*RTD("tos.rtd",,"OPEN_INT","."&amp;K$2&amp;K$1&amp;"C"&amp;$A33)*RTD("tos.rtd",,"GAMMA","."&amp;K$2&amp;K$1&amp;"C"&amp;$A33)+$A$4*$A$4*RTD("tos.rtd",,"OPEN_INT","."&amp;K$2&amp;K$1&amp;"P"&amp;$A33)*RTD("tos.rtd",,"GAMMA","."&amp;K$2&amp;K$1&amp;"P"&amp;$A33))/1000000,($A$4*$A$4*RTD("tos.rtd",,"OPEN_INT","."&amp;K$2&amp;K$1&amp;"C"&amp;$A33)*RTD("tos.rtd",,"GAMMA","."&amp;K$2&amp;K$1&amp;"C"&amp;$A33)-$A$4*$A$4*RTD("tos.rtd",,"OPEN_INT","."&amp;K$2&amp;K$1&amp;"P"&amp;$A33)*RTD("tos.rtd",,"GAMMA","."&amp;K$2&amp;K$1&amp;"P"&amp;$A33))/1000000),0),IF($A$2="SKEW",IFERROR(VALUE(IF(RTD("tos.rtd",,"IMPL_VOL","."&amp;K$2&amp;K$1&amp;"P"&amp;$A33)="N/A",0,RTD("tos.rtd",,"IMPL_VOL","."&amp;K$2&amp;K$1&amp;"P"&amp;$A33))),0)-IFERROR(VALUE(IF(RTD("tos.rtd",,"IMPL_VOL","."&amp;K$2&amp;K$1&amp;"C"&amp;$A33)="N/A",0,RTD("tos.rtd",,"IMPL_VOL","."&amp;K$2&amp;K$1&amp;"C"&amp;$A33))),0),IF($A$2="MAXPAIN",IF($A$4&gt;$A33,($A$4-$A33)*IF(RTD("tos.rtd",,"OPEN_INT","."&amp;K$2&amp;K$1&amp;"C"&amp;$A33)="N/A",0,RTD("tos.rtd",,"OPEN_INT","."&amp;K$2&amp;K$1&amp;"C"&amp;$A33)),0)+IF($A$4&lt;$A33,($A$5-$A$4)*IF(RTD("tos.rtd",,"OPEN_INT","."&amp;K$2&amp;K$1&amp;"P"&amp;$A33)="N/A",0,RTD("tos.rtd",,"OPEN_INT","."&amp;K$2&amp;K$1&amp;"P"&amp;$A33)),0),IF($X$1="ABS",IF(RTD("tos.rtd",,$A$2,"."&amp;K$2&amp;K$1&amp;"C"&amp;$A33)="N/A",0,RTD("tos.rtd",,$A$2,"."&amp;K$2&amp;K$1&amp;"C"&amp;$A33))+IF(RTD("tos.rtd",,$A$2,"."&amp;K$2&amp;K$1&amp;"P"&amp;$A33)="N/A",0,RTD("tos.rtd",,$A$2,"."&amp;K$2&amp;K$1&amp;"P"&amp;$A33)),IF(RTD("tos.rtd",,$A$2,"."&amp;K$2&amp;K$1&amp;"C"&amp;$A33)="N/A",0,RTD("tos.rtd",,$A$2,"."&amp;K$2&amp;K$1&amp;"C"&amp;$A33))-IF(RTD("tos.rtd",,$A$2,"."&amp;K$2&amp;K$1&amp;"P"&amp;$A33)="N/A",0,RTD("tos.rtd",,$A$2,"."&amp;K$2&amp;K$1&amp;"P"&amp;$A33))))))))))</f>
        <v>0</v>
      </c>
      <c r="L33" s="54">
        <f ca="1">IF($A$2="PREMIUM_OI",IFERROR(IF($X$1="ABS",(100*RTD("tos.rtd",,"OPEN_INT","."&amp;L$2&amp;L$1&amp;"C"&amp;$A33)*RTD("tos.rtd",,"LAST","."&amp;L$2&amp;L$1&amp;"C"&amp;$A33)+100*RTD("tos.rtd",,"OPEN_INT","."&amp;L$2&amp;L$1&amp;"P"&amp;$A33)*RTD("tos.rtd",,"LAST","."&amp;L$2&amp;L$1&amp;"P"&amp;$A33))/1000000,(100*RTD("tos.rtd",,"OPEN_INT","."&amp;L$2&amp;L$1&amp;"C"&amp;$A33)*RTD("tos.rtd",,"LAST","."&amp;L$2&amp;L$1&amp;"C"&amp;$A33)-100*RTD("tos.rtd",,"OPEN_INT","."&amp;L$2&amp;L$1&amp;"P"&amp;$A33)*RTD("tos.rtd",,"LAST","."&amp;L$2&amp;L$1&amp;"P"&amp;$A33))/1000000),0),IF($A$2="PREMIUM",IFERROR(IF($X$1="ABS",(100*RTD("tos.rtd",,"VOLUME","."&amp;L$2&amp;L$1&amp;"C"&amp;$A33)*RTD("tos.rtd",,"LAST","."&amp;L$2&amp;L$1&amp;"C"&amp;$A33)+100*RTD("tos.rtd",,"VOLUME","."&amp;L$2&amp;L$1&amp;"P"&amp;$A33)*RTD("tos.rtd",,"LAST","."&amp;L$2&amp;L$1&amp;"P"&amp;$A33))/1000000,(100*RTD("tos.rtd",,"VOLUME","."&amp;L$2&amp;L$1&amp;"C"&amp;$A33)*RTD("tos.rtd",,"LAST","."&amp;L$2&amp;L$1&amp;"C"&amp;$A33)-100*RTD("tos.rtd",,"VOLUME","."&amp;L$2&amp;L$1&amp;"P"&amp;$A33)*RTD("tos.rtd",,"LAST","."&amp;L$2&amp;L$1&amp;"P"&amp;$A33))/1000000),0),IF($A$2="DEX",IFERROR(IF($X$1="ABS",(100*RTD("tos.rtd",,"OPEN_INT","."&amp;L$2&amp;L$1&amp;"C"&amp;$A33)*RTD("tos.rtd",,"DELTA","."&amp;L$2&amp;L$1&amp;"C"&amp;$A33)+100*RTD("tos.rtd",,"OPEN_INT","."&amp;L$2&amp;L$1&amp;"P"&amp;$A33)*RTD("tos.rtd",,"DELTA","."&amp;L$2&amp;L$1&amp;"P"&amp;$A33))/1000,(100*RTD("tos.rtd",,"OPEN_INT","."&amp;L$2&amp;L$1&amp;"C"&amp;$A33)*RTD("tos.rtd",,"DELTA","."&amp;L$2&amp;L$1&amp;"C"&amp;$A33)-100*RTD("tos.rtd",,"OPEN_INT","."&amp;L$2&amp;L$1&amp;"P"&amp;$A33)*RTD("tos.rtd",,"DELTA","."&amp;L$2&amp;L$1&amp;"P"&amp;$A33))/1000),0),IF($A$2="VEX",IFERROR(IF($X$1="ABS",($A$4*$A$4*RTD("tos.rtd",,"VOLUME","."&amp;L$2&amp;L$1&amp;"C"&amp;$A33)*RTD("tos.rtd",,"GAMMA","."&amp;L$2&amp;L$1&amp;"C"&amp;$A33)+$A$4*$A$4*RTD("tos.rtd",,"VOLUME","."&amp;L$2&amp;L$1&amp;"P"&amp;$A33)*RTD("tos.rtd",,"GAMMA","."&amp;L$2&amp;L$1&amp;"P"&amp;$A33))/1000000,($A$4*$A$4*RTD("tos.rtd",,"VOLUME","."&amp;L$2&amp;L$1&amp;"C"&amp;$A33)*RTD("tos.rtd",,"GAMMA","."&amp;L$2&amp;L$1&amp;"C"&amp;$A33)-$A$4*$A$4*RTD("tos.rtd",,"VOLUME","."&amp;L$2&amp;L$1&amp;"P"&amp;$A33)*RTD("tos.rtd",,"GAMMA","."&amp;L$2&amp;L$1&amp;"P"&amp;$A33))/1000000),0),IF($A$2="GEX",IFERROR(IF($X$1="ABS",($A$4*$A$4*RTD("tos.rtd",,"OPEN_INT","."&amp;L$2&amp;L$1&amp;"C"&amp;$A33)*RTD("tos.rtd",,"GAMMA","."&amp;L$2&amp;L$1&amp;"C"&amp;$A33)+$A$4*$A$4*RTD("tos.rtd",,"OPEN_INT","."&amp;L$2&amp;L$1&amp;"P"&amp;$A33)*RTD("tos.rtd",,"GAMMA","."&amp;L$2&amp;L$1&amp;"P"&amp;$A33))/1000000,($A$4*$A$4*RTD("tos.rtd",,"OPEN_INT","."&amp;L$2&amp;L$1&amp;"C"&amp;$A33)*RTD("tos.rtd",,"GAMMA","."&amp;L$2&amp;L$1&amp;"C"&amp;$A33)-$A$4*$A$4*RTD("tos.rtd",,"OPEN_INT","."&amp;L$2&amp;L$1&amp;"P"&amp;$A33)*RTD("tos.rtd",,"GAMMA","."&amp;L$2&amp;L$1&amp;"P"&amp;$A33))/1000000),0),IF($A$2="SKEW",IFERROR(VALUE(IF(RTD("tos.rtd",,"IMPL_VOL","."&amp;L$2&amp;L$1&amp;"P"&amp;$A33)="N/A",0,RTD("tos.rtd",,"IMPL_VOL","."&amp;L$2&amp;L$1&amp;"P"&amp;$A33))),0)-IFERROR(VALUE(IF(RTD("tos.rtd",,"IMPL_VOL","."&amp;L$2&amp;L$1&amp;"C"&amp;$A33)="N/A",0,RTD("tos.rtd",,"IMPL_VOL","."&amp;L$2&amp;L$1&amp;"C"&amp;$A33))),0),IF($A$2="MAXPAIN",IF($A$4&gt;$A33,($A$4-$A33)*IF(RTD("tos.rtd",,"OPEN_INT","."&amp;L$2&amp;L$1&amp;"C"&amp;$A33)="N/A",0,RTD("tos.rtd",,"OPEN_INT","."&amp;L$2&amp;L$1&amp;"C"&amp;$A33)),0)+IF($A$4&lt;$A33,($A$5-$A$4)*IF(RTD("tos.rtd",,"OPEN_INT","."&amp;L$2&amp;L$1&amp;"P"&amp;$A33)="N/A",0,RTD("tos.rtd",,"OPEN_INT","."&amp;L$2&amp;L$1&amp;"P"&amp;$A33)),0),IF($X$1="ABS",IF(RTD("tos.rtd",,$A$2,"."&amp;L$2&amp;L$1&amp;"C"&amp;$A33)="N/A",0,RTD("tos.rtd",,$A$2,"."&amp;L$2&amp;L$1&amp;"C"&amp;$A33))+IF(RTD("tos.rtd",,$A$2,"."&amp;L$2&amp;L$1&amp;"P"&amp;$A33)="N/A",0,RTD("tos.rtd",,$A$2,"."&amp;L$2&amp;L$1&amp;"P"&amp;$A33)),IF(RTD("tos.rtd",,$A$2,"."&amp;L$2&amp;L$1&amp;"C"&amp;$A33)="N/A",0,RTD("tos.rtd",,$A$2,"."&amp;L$2&amp;L$1&amp;"C"&amp;$A33))-IF(RTD("tos.rtd",,$A$2,"."&amp;L$2&amp;L$1&amp;"P"&amp;$A33)="N/A",0,RTD("tos.rtd",,$A$2,"."&amp;L$2&amp;L$1&amp;"P"&amp;$A33))))))))))</f>
        <v>0</v>
      </c>
      <c r="M33" s="12">
        <f ca="1">IF($A$2="PREMIUM_OI",IFERROR(IF($X$1="ABS",(100*RTD("tos.rtd",,"OPEN_INT","."&amp;M$2&amp;M$1&amp;"C"&amp;$A33)*RTD("tos.rtd",,"LAST","."&amp;M$2&amp;M$1&amp;"C"&amp;$A33)+100*RTD("tos.rtd",,"OPEN_INT","."&amp;M$2&amp;M$1&amp;"P"&amp;$A33)*RTD("tos.rtd",,"LAST","."&amp;M$2&amp;M$1&amp;"P"&amp;$A33))/1000000,(100*RTD("tos.rtd",,"OPEN_INT","."&amp;M$2&amp;M$1&amp;"C"&amp;$A33)*RTD("tos.rtd",,"LAST","."&amp;M$2&amp;M$1&amp;"C"&amp;$A33)-100*RTD("tos.rtd",,"OPEN_INT","."&amp;M$2&amp;M$1&amp;"P"&amp;$A33)*RTD("tos.rtd",,"LAST","."&amp;M$2&amp;M$1&amp;"P"&amp;$A33))/1000000),0),IF($A$2="PREMIUM",IFERROR(IF($X$1="ABS",(100*RTD("tos.rtd",,"VOLUME","."&amp;M$2&amp;M$1&amp;"C"&amp;$A33)*RTD("tos.rtd",,"LAST","."&amp;M$2&amp;M$1&amp;"C"&amp;$A33)+100*RTD("tos.rtd",,"VOLUME","."&amp;M$2&amp;M$1&amp;"P"&amp;$A33)*RTD("tos.rtd",,"LAST","."&amp;M$2&amp;M$1&amp;"P"&amp;$A33))/1000000,(100*RTD("tos.rtd",,"VOLUME","."&amp;M$2&amp;M$1&amp;"C"&amp;$A33)*RTD("tos.rtd",,"LAST","."&amp;M$2&amp;M$1&amp;"C"&amp;$A33)-100*RTD("tos.rtd",,"VOLUME","."&amp;M$2&amp;M$1&amp;"P"&amp;$A33)*RTD("tos.rtd",,"LAST","."&amp;M$2&amp;M$1&amp;"P"&amp;$A33))/1000000),0),IF($A$2="DEX",IFERROR(IF($X$1="ABS",(100*RTD("tos.rtd",,"OPEN_INT","."&amp;M$2&amp;M$1&amp;"C"&amp;$A33)*RTD("tos.rtd",,"DELTA","."&amp;M$2&amp;M$1&amp;"C"&amp;$A33)+100*RTD("tos.rtd",,"OPEN_INT","."&amp;M$2&amp;M$1&amp;"P"&amp;$A33)*RTD("tos.rtd",,"DELTA","."&amp;M$2&amp;M$1&amp;"P"&amp;$A33))/1000,(100*RTD("tos.rtd",,"OPEN_INT","."&amp;M$2&amp;M$1&amp;"C"&amp;$A33)*RTD("tos.rtd",,"DELTA","."&amp;M$2&amp;M$1&amp;"C"&amp;$A33)-100*RTD("tos.rtd",,"OPEN_INT","."&amp;M$2&amp;M$1&amp;"P"&amp;$A33)*RTD("tos.rtd",,"DELTA","."&amp;M$2&amp;M$1&amp;"P"&amp;$A33))/1000),0),IF($A$2="VEX",IFERROR(IF($X$1="ABS",($A$4*$A$4*RTD("tos.rtd",,"VOLUME","."&amp;M$2&amp;M$1&amp;"C"&amp;$A33)*RTD("tos.rtd",,"GAMMA","."&amp;M$2&amp;M$1&amp;"C"&amp;$A33)+$A$4*$A$4*RTD("tos.rtd",,"VOLUME","."&amp;M$2&amp;M$1&amp;"P"&amp;$A33)*RTD("tos.rtd",,"GAMMA","."&amp;M$2&amp;M$1&amp;"P"&amp;$A33))/1000000,($A$4*$A$4*RTD("tos.rtd",,"VOLUME","."&amp;M$2&amp;M$1&amp;"C"&amp;$A33)*RTD("tos.rtd",,"GAMMA","."&amp;M$2&amp;M$1&amp;"C"&amp;$A33)-$A$4*$A$4*RTD("tos.rtd",,"VOLUME","."&amp;M$2&amp;M$1&amp;"P"&amp;$A33)*RTD("tos.rtd",,"GAMMA","."&amp;M$2&amp;M$1&amp;"P"&amp;$A33))/1000000),0),IF($A$2="GEX",IFERROR(IF($X$1="ABS",($A$4*$A$4*RTD("tos.rtd",,"OPEN_INT","."&amp;M$2&amp;M$1&amp;"C"&amp;$A33)*RTD("tos.rtd",,"GAMMA","."&amp;M$2&amp;M$1&amp;"C"&amp;$A33)+$A$4*$A$4*RTD("tos.rtd",,"OPEN_INT","."&amp;M$2&amp;M$1&amp;"P"&amp;$A33)*RTD("tos.rtd",,"GAMMA","."&amp;M$2&amp;M$1&amp;"P"&amp;$A33))/1000000,($A$4*$A$4*RTD("tos.rtd",,"OPEN_INT","."&amp;M$2&amp;M$1&amp;"C"&amp;$A33)*RTD("tos.rtd",,"GAMMA","."&amp;M$2&amp;M$1&amp;"C"&amp;$A33)-$A$4*$A$4*RTD("tos.rtd",,"OPEN_INT","."&amp;M$2&amp;M$1&amp;"P"&amp;$A33)*RTD("tos.rtd",,"GAMMA","."&amp;M$2&amp;M$1&amp;"P"&amp;$A33))/1000000),0),IF($A$2="SKEW",IFERROR(VALUE(IF(RTD("tos.rtd",,"IMPL_VOL","."&amp;M$2&amp;M$1&amp;"P"&amp;$A33)="N/A",0,RTD("tos.rtd",,"IMPL_VOL","."&amp;M$2&amp;M$1&amp;"P"&amp;$A33))),0)-IFERROR(VALUE(IF(RTD("tos.rtd",,"IMPL_VOL","."&amp;M$2&amp;M$1&amp;"C"&amp;$A33)="N/A",0,RTD("tos.rtd",,"IMPL_VOL","."&amp;M$2&amp;M$1&amp;"C"&amp;$A33))),0),IF($A$2="MAXPAIN",IF($A$4&gt;$A33,($A$4-$A33)*IF(RTD("tos.rtd",,"OPEN_INT","."&amp;M$2&amp;M$1&amp;"C"&amp;$A33)="N/A",0,RTD("tos.rtd",,"OPEN_INT","."&amp;M$2&amp;M$1&amp;"C"&amp;$A33)),0)+IF($A$4&lt;$A33,($A$5-$A$4)*IF(RTD("tos.rtd",,"OPEN_INT","."&amp;M$2&amp;M$1&amp;"P"&amp;$A33)="N/A",0,RTD("tos.rtd",,"OPEN_INT","."&amp;M$2&amp;M$1&amp;"P"&amp;$A33)),0),IF($X$1="ABS",IF(RTD("tos.rtd",,$A$2,"."&amp;M$2&amp;M$1&amp;"C"&amp;$A33)="N/A",0,RTD("tos.rtd",,$A$2,"."&amp;M$2&amp;M$1&amp;"C"&amp;$A33))+IF(RTD("tos.rtd",,$A$2,"."&amp;M$2&amp;M$1&amp;"P"&amp;$A33)="N/A",0,RTD("tos.rtd",,$A$2,"."&amp;M$2&amp;M$1&amp;"P"&amp;$A33)),IF(RTD("tos.rtd",,$A$2,"."&amp;M$2&amp;M$1&amp;"C"&amp;$A33)="N/A",0,RTD("tos.rtd",,$A$2,"."&amp;M$2&amp;M$1&amp;"C"&amp;$A33))-IF(RTD("tos.rtd",,$A$2,"."&amp;M$2&amp;M$1&amp;"P"&amp;$A33)="N/A",0,RTD("tos.rtd",,$A$2,"."&amp;M$2&amp;M$1&amp;"P"&amp;$A33))))))))))</f>
        <v>0</v>
      </c>
      <c r="N33" s="12">
        <f ca="1">IF($A$2="PREMIUM_OI",IFERROR(IF($X$1="ABS",(100*RTD("tos.rtd",,"OPEN_INT","."&amp;N$2&amp;N$1&amp;"C"&amp;$A33)*RTD("tos.rtd",,"LAST","."&amp;N$2&amp;N$1&amp;"C"&amp;$A33)+100*RTD("tos.rtd",,"OPEN_INT","."&amp;N$2&amp;N$1&amp;"P"&amp;$A33)*RTD("tos.rtd",,"LAST","."&amp;N$2&amp;N$1&amp;"P"&amp;$A33))/1000000,(100*RTD("tos.rtd",,"OPEN_INT","."&amp;N$2&amp;N$1&amp;"C"&amp;$A33)*RTD("tos.rtd",,"LAST","."&amp;N$2&amp;N$1&amp;"C"&amp;$A33)-100*RTD("tos.rtd",,"OPEN_INT","."&amp;N$2&amp;N$1&amp;"P"&amp;$A33)*RTD("tos.rtd",,"LAST","."&amp;N$2&amp;N$1&amp;"P"&amp;$A33))/1000000),0),IF($A$2="PREMIUM",IFERROR(IF($X$1="ABS",(100*RTD("tos.rtd",,"VOLUME","."&amp;N$2&amp;N$1&amp;"C"&amp;$A33)*RTD("tos.rtd",,"LAST","."&amp;N$2&amp;N$1&amp;"C"&amp;$A33)+100*RTD("tos.rtd",,"VOLUME","."&amp;N$2&amp;N$1&amp;"P"&amp;$A33)*RTD("tos.rtd",,"LAST","."&amp;N$2&amp;N$1&amp;"P"&amp;$A33))/1000000,(100*RTD("tos.rtd",,"VOLUME","."&amp;N$2&amp;N$1&amp;"C"&amp;$A33)*RTD("tos.rtd",,"LAST","."&amp;N$2&amp;N$1&amp;"C"&amp;$A33)-100*RTD("tos.rtd",,"VOLUME","."&amp;N$2&amp;N$1&amp;"P"&amp;$A33)*RTD("tos.rtd",,"LAST","."&amp;N$2&amp;N$1&amp;"P"&amp;$A33))/1000000),0),IF($A$2="DEX",IFERROR(IF($X$1="ABS",(100*RTD("tos.rtd",,"OPEN_INT","."&amp;N$2&amp;N$1&amp;"C"&amp;$A33)*RTD("tos.rtd",,"DELTA","."&amp;N$2&amp;N$1&amp;"C"&amp;$A33)+100*RTD("tos.rtd",,"OPEN_INT","."&amp;N$2&amp;N$1&amp;"P"&amp;$A33)*RTD("tos.rtd",,"DELTA","."&amp;N$2&amp;N$1&amp;"P"&amp;$A33))/1000,(100*RTD("tos.rtd",,"OPEN_INT","."&amp;N$2&amp;N$1&amp;"C"&amp;$A33)*RTD("tos.rtd",,"DELTA","."&amp;N$2&amp;N$1&amp;"C"&amp;$A33)-100*RTD("tos.rtd",,"OPEN_INT","."&amp;N$2&amp;N$1&amp;"P"&amp;$A33)*RTD("tos.rtd",,"DELTA","."&amp;N$2&amp;N$1&amp;"P"&amp;$A33))/1000),0),IF($A$2="VEX",IFERROR(IF($X$1="ABS",($A$4*$A$4*RTD("tos.rtd",,"VOLUME","."&amp;N$2&amp;N$1&amp;"C"&amp;$A33)*RTD("tos.rtd",,"GAMMA","."&amp;N$2&amp;N$1&amp;"C"&amp;$A33)+$A$4*$A$4*RTD("tos.rtd",,"VOLUME","."&amp;N$2&amp;N$1&amp;"P"&amp;$A33)*RTD("tos.rtd",,"GAMMA","."&amp;N$2&amp;N$1&amp;"P"&amp;$A33))/1000000,($A$4*$A$4*RTD("tos.rtd",,"VOLUME","."&amp;N$2&amp;N$1&amp;"C"&amp;$A33)*RTD("tos.rtd",,"GAMMA","."&amp;N$2&amp;N$1&amp;"C"&amp;$A33)-$A$4*$A$4*RTD("tos.rtd",,"VOLUME","."&amp;N$2&amp;N$1&amp;"P"&amp;$A33)*RTD("tos.rtd",,"GAMMA","."&amp;N$2&amp;N$1&amp;"P"&amp;$A33))/1000000),0),IF($A$2="GEX",IFERROR(IF($X$1="ABS",($A$4*$A$4*RTD("tos.rtd",,"OPEN_INT","."&amp;N$2&amp;N$1&amp;"C"&amp;$A33)*RTD("tos.rtd",,"GAMMA","."&amp;N$2&amp;N$1&amp;"C"&amp;$A33)+$A$4*$A$4*RTD("tos.rtd",,"OPEN_INT","."&amp;N$2&amp;N$1&amp;"P"&amp;$A33)*RTD("tos.rtd",,"GAMMA","."&amp;N$2&amp;N$1&amp;"P"&amp;$A33))/1000000,($A$4*$A$4*RTD("tos.rtd",,"OPEN_INT","."&amp;N$2&amp;N$1&amp;"C"&amp;$A33)*RTD("tos.rtd",,"GAMMA","."&amp;N$2&amp;N$1&amp;"C"&amp;$A33)-$A$4*$A$4*RTD("tos.rtd",,"OPEN_INT","."&amp;N$2&amp;N$1&amp;"P"&amp;$A33)*RTD("tos.rtd",,"GAMMA","."&amp;N$2&amp;N$1&amp;"P"&amp;$A33))/1000000),0),IF($A$2="SKEW",IFERROR(VALUE(IF(RTD("tos.rtd",,"IMPL_VOL","."&amp;N$2&amp;N$1&amp;"P"&amp;$A33)="N/A",0,RTD("tos.rtd",,"IMPL_VOL","."&amp;N$2&amp;N$1&amp;"P"&amp;$A33))),0)-IFERROR(VALUE(IF(RTD("tos.rtd",,"IMPL_VOL","."&amp;N$2&amp;N$1&amp;"C"&amp;$A33)="N/A",0,RTD("tos.rtd",,"IMPL_VOL","."&amp;N$2&amp;N$1&amp;"C"&amp;$A33))),0),IF($A$2="MAXPAIN",IF($A$4&gt;$A33,($A$4-$A33)*IF(RTD("tos.rtd",,"OPEN_INT","."&amp;N$2&amp;N$1&amp;"C"&amp;$A33)="N/A",0,RTD("tos.rtd",,"OPEN_INT","."&amp;N$2&amp;N$1&amp;"C"&amp;$A33)),0)+IF($A$4&lt;$A33,($A$5-$A$4)*IF(RTD("tos.rtd",,"OPEN_INT","."&amp;N$2&amp;N$1&amp;"P"&amp;$A33)="N/A",0,RTD("tos.rtd",,"OPEN_INT","."&amp;N$2&amp;N$1&amp;"P"&amp;$A33)),0),IF($X$1="ABS",IF(RTD("tos.rtd",,$A$2,"."&amp;N$2&amp;N$1&amp;"C"&amp;$A33)="N/A",0,RTD("tos.rtd",,$A$2,"."&amp;N$2&amp;N$1&amp;"C"&amp;$A33))+IF(RTD("tos.rtd",,$A$2,"."&amp;N$2&amp;N$1&amp;"P"&amp;$A33)="N/A",0,RTD("tos.rtd",,$A$2,"."&amp;N$2&amp;N$1&amp;"P"&amp;$A33)),IF(RTD("tos.rtd",,$A$2,"."&amp;N$2&amp;N$1&amp;"C"&amp;$A33)="N/A",0,RTD("tos.rtd",,$A$2,"."&amp;N$2&amp;N$1&amp;"C"&amp;$A33))-IF(RTD("tos.rtd",,$A$2,"."&amp;N$2&amp;N$1&amp;"P"&amp;$A33)="N/A",0,RTD("tos.rtd",,$A$2,"."&amp;N$2&amp;N$1&amp;"P"&amp;$A33))))))))))</f>
        <v>0</v>
      </c>
      <c r="O33" s="12">
        <f ca="1">IF($A$2="PREMIUM_OI",IFERROR(IF($X$1="ABS",(100*RTD("tos.rtd",,"OPEN_INT","."&amp;O$2&amp;O$1&amp;"C"&amp;$A33)*RTD("tos.rtd",,"LAST","."&amp;O$2&amp;O$1&amp;"C"&amp;$A33)+100*RTD("tos.rtd",,"OPEN_INT","."&amp;O$2&amp;O$1&amp;"P"&amp;$A33)*RTD("tos.rtd",,"LAST","."&amp;O$2&amp;O$1&amp;"P"&amp;$A33))/1000000,(100*RTD("tos.rtd",,"OPEN_INT","."&amp;O$2&amp;O$1&amp;"C"&amp;$A33)*RTD("tos.rtd",,"LAST","."&amp;O$2&amp;O$1&amp;"C"&amp;$A33)-100*RTD("tos.rtd",,"OPEN_INT","."&amp;O$2&amp;O$1&amp;"P"&amp;$A33)*RTD("tos.rtd",,"LAST","."&amp;O$2&amp;O$1&amp;"P"&amp;$A33))/1000000),0),IF($A$2="PREMIUM",IFERROR(IF($X$1="ABS",(100*RTD("tos.rtd",,"VOLUME","."&amp;O$2&amp;O$1&amp;"C"&amp;$A33)*RTD("tos.rtd",,"LAST","."&amp;O$2&amp;O$1&amp;"C"&amp;$A33)+100*RTD("tos.rtd",,"VOLUME","."&amp;O$2&amp;O$1&amp;"P"&amp;$A33)*RTD("tos.rtd",,"LAST","."&amp;O$2&amp;O$1&amp;"P"&amp;$A33))/1000000,(100*RTD("tos.rtd",,"VOLUME","."&amp;O$2&amp;O$1&amp;"C"&amp;$A33)*RTD("tos.rtd",,"LAST","."&amp;O$2&amp;O$1&amp;"C"&amp;$A33)-100*RTD("tos.rtd",,"VOLUME","."&amp;O$2&amp;O$1&amp;"P"&amp;$A33)*RTD("tos.rtd",,"LAST","."&amp;O$2&amp;O$1&amp;"P"&amp;$A33))/1000000),0),IF($A$2="DEX",IFERROR(IF($X$1="ABS",(100*RTD("tos.rtd",,"OPEN_INT","."&amp;O$2&amp;O$1&amp;"C"&amp;$A33)*RTD("tos.rtd",,"DELTA","."&amp;O$2&amp;O$1&amp;"C"&amp;$A33)+100*RTD("tos.rtd",,"OPEN_INT","."&amp;O$2&amp;O$1&amp;"P"&amp;$A33)*RTD("tos.rtd",,"DELTA","."&amp;O$2&amp;O$1&amp;"P"&amp;$A33))/1000,(100*RTD("tos.rtd",,"OPEN_INT","."&amp;O$2&amp;O$1&amp;"C"&amp;$A33)*RTD("tos.rtd",,"DELTA","."&amp;O$2&amp;O$1&amp;"C"&amp;$A33)-100*RTD("tos.rtd",,"OPEN_INT","."&amp;O$2&amp;O$1&amp;"P"&amp;$A33)*RTD("tos.rtd",,"DELTA","."&amp;O$2&amp;O$1&amp;"P"&amp;$A33))/1000),0),IF($A$2="VEX",IFERROR(IF($X$1="ABS",($A$4*$A$4*RTD("tos.rtd",,"VOLUME","."&amp;O$2&amp;O$1&amp;"C"&amp;$A33)*RTD("tos.rtd",,"GAMMA","."&amp;O$2&amp;O$1&amp;"C"&amp;$A33)+$A$4*$A$4*RTD("tos.rtd",,"VOLUME","."&amp;O$2&amp;O$1&amp;"P"&amp;$A33)*RTD("tos.rtd",,"GAMMA","."&amp;O$2&amp;O$1&amp;"P"&amp;$A33))/1000000,($A$4*$A$4*RTD("tos.rtd",,"VOLUME","."&amp;O$2&amp;O$1&amp;"C"&amp;$A33)*RTD("tos.rtd",,"GAMMA","."&amp;O$2&amp;O$1&amp;"C"&amp;$A33)-$A$4*$A$4*RTD("tos.rtd",,"VOLUME","."&amp;O$2&amp;O$1&amp;"P"&amp;$A33)*RTD("tos.rtd",,"GAMMA","."&amp;O$2&amp;O$1&amp;"P"&amp;$A33))/1000000),0),IF($A$2="GEX",IFERROR(IF($X$1="ABS",($A$4*$A$4*RTD("tos.rtd",,"OPEN_INT","."&amp;O$2&amp;O$1&amp;"C"&amp;$A33)*RTD("tos.rtd",,"GAMMA","."&amp;O$2&amp;O$1&amp;"C"&amp;$A33)+$A$4*$A$4*RTD("tos.rtd",,"OPEN_INT","."&amp;O$2&amp;O$1&amp;"P"&amp;$A33)*RTD("tos.rtd",,"GAMMA","."&amp;O$2&amp;O$1&amp;"P"&amp;$A33))/1000000,($A$4*$A$4*RTD("tos.rtd",,"OPEN_INT","."&amp;O$2&amp;O$1&amp;"C"&amp;$A33)*RTD("tos.rtd",,"GAMMA","."&amp;O$2&amp;O$1&amp;"C"&amp;$A33)-$A$4*$A$4*RTD("tos.rtd",,"OPEN_INT","."&amp;O$2&amp;O$1&amp;"P"&amp;$A33)*RTD("tos.rtd",,"GAMMA","."&amp;O$2&amp;O$1&amp;"P"&amp;$A33))/1000000),0),IF($A$2="SKEW",IFERROR(VALUE(IF(RTD("tos.rtd",,"IMPL_VOL","."&amp;O$2&amp;O$1&amp;"P"&amp;$A33)="N/A",0,RTD("tos.rtd",,"IMPL_VOL","."&amp;O$2&amp;O$1&amp;"P"&amp;$A33))),0)-IFERROR(VALUE(IF(RTD("tos.rtd",,"IMPL_VOL","."&amp;O$2&amp;O$1&amp;"C"&amp;$A33)="N/A",0,RTD("tos.rtd",,"IMPL_VOL","."&amp;O$2&amp;O$1&amp;"C"&amp;$A33))),0),IF($A$2="MAXPAIN",IF($A$4&gt;$A33,($A$4-$A33)*IF(RTD("tos.rtd",,"OPEN_INT","."&amp;O$2&amp;O$1&amp;"C"&amp;$A33)="N/A",0,RTD("tos.rtd",,"OPEN_INT","."&amp;O$2&amp;O$1&amp;"C"&amp;$A33)),0)+IF($A$4&lt;$A33,($A$5-$A$4)*IF(RTD("tos.rtd",,"OPEN_INT","."&amp;O$2&amp;O$1&amp;"P"&amp;$A33)="N/A",0,RTD("tos.rtd",,"OPEN_INT","."&amp;O$2&amp;O$1&amp;"P"&amp;$A33)),0),IF($X$1="ABS",IF(RTD("tos.rtd",,$A$2,"."&amp;O$2&amp;O$1&amp;"C"&amp;$A33)="N/A",0,RTD("tos.rtd",,$A$2,"."&amp;O$2&amp;O$1&amp;"C"&amp;$A33))+IF(RTD("tos.rtd",,$A$2,"."&amp;O$2&amp;O$1&amp;"P"&amp;$A33)="N/A",0,RTD("tos.rtd",,$A$2,"."&amp;O$2&amp;O$1&amp;"P"&amp;$A33)),IF(RTD("tos.rtd",,$A$2,"."&amp;O$2&amp;O$1&amp;"C"&amp;$A33)="N/A",0,RTD("tos.rtd",,$A$2,"."&amp;O$2&amp;O$1&amp;"C"&amp;$A33))-IF(RTD("tos.rtd",,$A$2,"."&amp;O$2&amp;O$1&amp;"P"&amp;$A33)="N/A",0,RTD("tos.rtd",,$A$2,"."&amp;O$2&amp;O$1&amp;"P"&amp;$A33))))))))))</f>
        <v>0</v>
      </c>
      <c r="P33" s="12">
        <f ca="1">IF($A$2="PREMIUM_OI",IFERROR(IF($X$1="ABS",(100*RTD("tos.rtd",,"OPEN_INT","."&amp;P$2&amp;P$1&amp;"C"&amp;$A33)*RTD("tos.rtd",,"LAST","."&amp;P$2&amp;P$1&amp;"C"&amp;$A33)+100*RTD("tos.rtd",,"OPEN_INT","."&amp;P$2&amp;P$1&amp;"P"&amp;$A33)*RTD("tos.rtd",,"LAST","."&amp;P$2&amp;P$1&amp;"P"&amp;$A33))/1000000,(100*RTD("tos.rtd",,"OPEN_INT","."&amp;P$2&amp;P$1&amp;"C"&amp;$A33)*RTD("tos.rtd",,"LAST","."&amp;P$2&amp;P$1&amp;"C"&amp;$A33)-100*RTD("tos.rtd",,"OPEN_INT","."&amp;P$2&amp;P$1&amp;"P"&amp;$A33)*RTD("tos.rtd",,"LAST","."&amp;P$2&amp;P$1&amp;"P"&amp;$A33))/1000000),0),IF($A$2="PREMIUM",IFERROR(IF($X$1="ABS",(100*RTD("tos.rtd",,"VOLUME","."&amp;P$2&amp;P$1&amp;"C"&amp;$A33)*RTD("tos.rtd",,"LAST","."&amp;P$2&amp;P$1&amp;"C"&amp;$A33)+100*RTD("tos.rtd",,"VOLUME","."&amp;P$2&amp;P$1&amp;"P"&amp;$A33)*RTD("tos.rtd",,"LAST","."&amp;P$2&amp;P$1&amp;"P"&amp;$A33))/1000000,(100*RTD("tos.rtd",,"VOLUME","."&amp;P$2&amp;P$1&amp;"C"&amp;$A33)*RTD("tos.rtd",,"LAST","."&amp;P$2&amp;P$1&amp;"C"&amp;$A33)-100*RTD("tos.rtd",,"VOLUME","."&amp;P$2&amp;P$1&amp;"P"&amp;$A33)*RTD("tos.rtd",,"LAST","."&amp;P$2&amp;P$1&amp;"P"&amp;$A33))/1000000),0),IF($A$2="DEX",IFERROR(IF($X$1="ABS",(100*RTD("tos.rtd",,"OPEN_INT","."&amp;P$2&amp;P$1&amp;"C"&amp;$A33)*RTD("tos.rtd",,"DELTA","."&amp;P$2&amp;P$1&amp;"C"&amp;$A33)+100*RTD("tos.rtd",,"OPEN_INT","."&amp;P$2&amp;P$1&amp;"P"&amp;$A33)*RTD("tos.rtd",,"DELTA","."&amp;P$2&amp;P$1&amp;"P"&amp;$A33))/1000,(100*RTD("tos.rtd",,"OPEN_INT","."&amp;P$2&amp;P$1&amp;"C"&amp;$A33)*RTD("tos.rtd",,"DELTA","."&amp;P$2&amp;P$1&amp;"C"&amp;$A33)-100*RTD("tos.rtd",,"OPEN_INT","."&amp;P$2&amp;P$1&amp;"P"&amp;$A33)*RTD("tos.rtd",,"DELTA","."&amp;P$2&amp;P$1&amp;"P"&amp;$A33))/1000),0),IF($A$2="VEX",IFERROR(IF($X$1="ABS",($A$4*$A$4*RTD("tos.rtd",,"VOLUME","."&amp;P$2&amp;P$1&amp;"C"&amp;$A33)*RTD("tos.rtd",,"GAMMA","."&amp;P$2&amp;P$1&amp;"C"&amp;$A33)+$A$4*$A$4*RTD("tos.rtd",,"VOLUME","."&amp;P$2&amp;P$1&amp;"P"&amp;$A33)*RTD("tos.rtd",,"GAMMA","."&amp;P$2&amp;P$1&amp;"P"&amp;$A33))/1000000,($A$4*$A$4*RTD("tos.rtd",,"VOLUME","."&amp;P$2&amp;P$1&amp;"C"&amp;$A33)*RTD("tos.rtd",,"GAMMA","."&amp;P$2&amp;P$1&amp;"C"&amp;$A33)-$A$4*$A$4*RTD("tos.rtd",,"VOLUME","."&amp;P$2&amp;P$1&amp;"P"&amp;$A33)*RTD("tos.rtd",,"GAMMA","."&amp;P$2&amp;P$1&amp;"P"&amp;$A33))/1000000),0),IF($A$2="GEX",IFERROR(IF($X$1="ABS",($A$4*$A$4*RTD("tos.rtd",,"OPEN_INT","."&amp;P$2&amp;P$1&amp;"C"&amp;$A33)*RTD("tos.rtd",,"GAMMA","."&amp;P$2&amp;P$1&amp;"C"&amp;$A33)+$A$4*$A$4*RTD("tos.rtd",,"OPEN_INT","."&amp;P$2&amp;P$1&amp;"P"&amp;$A33)*RTD("tos.rtd",,"GAMMA","."&amp;P$2&amp;P$1&amp;"P"&amp;$A33))/1000000,($A$4*$A$4*RTD("tos.rtd",,"OPEN_INT","."&amp;P$2&amp;P$1&amp;"C"&amp;$A33)*RTD("tos.rtd",,"GAMMA","."&amp;P$2&amp;P$1&amp;"C"&amp;$A33)-$A$4*$A$4*RTD("tos.rtd",,"OPEN_INT","."&amp;P$2&amp;P$1&amp;"P"&amp;$A33)*RTD("tos.rtd",,"GAMMA","."&amp;P$2&amp;P$1&amp;"P"&amp;$A33))/1000000),0),IF($A$2="SKEW",IFERROR(VALUE(IF(RTD("tos.rtd",,"IMPL_VOL","."&amp;P$2&amp;P$1&amp;"P"&amp;$A33)="N/A",0,RTD("tos.rtd",,"IMPL_VOL","."&amp;P$2&amp;P$1&amp;"P"&amp;$A33))),0)-IFERROR(VALUE(IF(RTD("tos.rtd",,"IMPL_VOL","."&amp;P$2&amp;P$1&amp;"C"&amp;$A33)="N/A",0,RTD("tos.rtd",,"IMPL_VOL","."&amp;P$2&amp;P$1&amp;"C"&amp;$A33))),0),IF($A$2="MAXPAIN",IF($A$4&gt;$A33,($A$4-$A33)*IF(RTD("tos.rtd",,"OPEN_INT","."&amp;P$2&amp;P$1&amp;"C"&amp;$A33)="N/A",0,RTD("tos.rtd",,"OPEN_INT","."&amp;P$2&amp;P$1&amp;"C"&amp;$A33)),0)+IF($A$4&lt;$A33,($A$5-$A$4)*IF(RTD("tos.rtd",,"OPEN_INT","."&amp;P$2&amp;P$1&amp;"P"&amp;$A33)="N/A",0,RTD("tos.rtd",,"OPEN_INT","."&amp;P$2&amp;P$1&amp;"P"&amp;$A33)),0),IF($X$1="ABS",IF(RTD("tos.rtd",,$A$2,"."&amp;P$2&amp;P$1&amp;"C"&amp;$A33)="N/A",0,RTD("tos.rtd",,$A$2,"."&amp;P$2&amp;P$1&amp;"C"&amp;$A33))+IF(RTD("tos.rtd",,$A$2,"."&amp;P$2&amp;P$1&amp;"P"&amp;$A33)="N/A",0,RTD("tos.rtd",,$A$2,"."&amp;P$2&amp;P$1&amp;"P"&amp;$A33)),IF(RTD("tos.rtd",,$A$2,"."&amp;P$2&amp;P$1&amp;"C"&amp;$A33)="N/A",0,RTD("tos.rtd",,$A$2,"."&amp;P$2&amp;P$1&amp;"C"&amp;$A33))-IF(RTD("tos.rtd",,$A$2,"."&amp;P$2&amp;P$1&amp;"P"&amp;$A33)="N/A",0,RTD("tos.rtd",,$A$2,"."&amp;P$2&amp;P$1&amp;"P"&amp;$A33))))))))))</f>
        <v>0</v>
      </c>
      <c r="Q33" s="12">
        <f ca="1">IF($A$2="PREMIUM_OI",IFERROR(IF($X$1="ABS",(100*RTD("tos.rtd",,"OPEN_INT","."&amp;Q$2&amp;Q$1&amp;"C"&amp;$A33)*RTD("tos.rtd",,"LAST","."&amp;Q$2&amp;Q$1&amp;"C"&amp;$A33)+100*RTD("tos.rtd",,"OPEN_INT","."&amp;Q$2&amp;Q$1&amp;"P"&amp;$A33)*RTD("tos.rtd",,"LAST","."&amp;Q$2&amp;Q$1&amp;"P"&amp;$A33))/1000000,(100*RTD("tos.rtd",,"OPEN_INT","."&amp;Q$2&amp;Q$1&amp;"C"&amp;$A33)*RTD("tos.rtd",,"LAST","."&amp;Q$2&amp;Q$1&amp;"C"&amp;$A33)-100*RTD("tos.rtd",,"OPEN_INT","."&amp;Q$2&amp;Q$1&amp;"P"&amp;$A33)*RTD("tos.rtd",,"LAST","."&amp;Q$2&amp;Q$1&amp;"P"&amp;$A33))/1000000),0),IF($A$2="PREMIUM",IFERROR(IF($X$1="ABS",(100*RTD("tos.rtd",,"VOLUME","."&amp;Q$2&amp;Q$1&amp;"C"&amp;$A33)*RTD("tos.rtd",,"LAST","."&amp;Q$2&amp;Q$1&amp;"C"&amp;$A33)+100*RTD("tos.rtd",,"VOLUME","."&amp;Q$2&amp;Q$1&amp;"P"&amp;$A33)*RTD("tos.rtd",,"LAST","."&amp;Q$2&amp;Q$1&amp;"P"&amp;$A33))/1000000,(100*RTD("tos.rtd",,"VOLUME","."&amp;Q$2&amp;Q$1&amp;"C"&amp;$A33)*RTD("tos.rtd",,"LAST","."&amp;Q$2&amp;Q$1&amp;"C"&amp;$A33)-100*RTD("tos.rtd",,"VOLUME","."&amp;Q$2&amp;Q$1&amp;"P"&amp;$A33)*RTD("tos.rtd",,"LAST","."&amp;Q$2&amp;Q$1&amp;"P"&amp;$A33))/1000000),0),IF($A$2="DEX",IFERROR(IF($X$1="ABS",(100*RTD("tos.rtd",,"OPEN_INT","."&amp;Q$2&amp;Q$1&amp;"C"&amp;$A33)*RTD("tos.rtd",,"DELTA","."&amp;Q$2&amp;Q$1&amp;"C"&amp;$A33)+100*RTD("tos.rtd",,"OPEN_INT","."&amp;Q$2&amp;Q$1&amp;"P"&amp;$A33)*RTD("tos.rtd",,"DELTA","."&amp;Q$2&amp;Q$1&amp;"P"&amp;$A33))/1000,(100*RTD("tos.rtd",,"OPEN_INT","."&amp;Q$2&amp;Q$1&amp;"C"&amp;$A33)*RTD("tos.rtd",,"DELTA","."&amp;Q$2&amp;Q$1&amp;"C"&amp;$A33)-100*RTD("tos.rtd",,"OPEN_INT","."&amp;Q$2&amp;Q$1&amp;"P"&amp;$A33)*RTD("tos.rtd",,"DELTA","."&amp;Q$2&amp;Q$1&amp;"P"&amp;$A33))/1000),0),IF($A$2="VEX",IFERROR(IF($X$1="ABS",($A$4*$A$4*RTD("tos.rtd",,"VOLUME","."&amp;Q$2&amp;Q$1&amp;"C"&amp;$A33)*RTD("tos.rtd",,"GAMMA","."&amp;Q$2&amp;Q$1&amp;"C"&amp;$A33)+$A$4*$A$4*RTD("tos.rtd",,"VOLUME","."&amp;Q$2&amp;Q$1&amp;"P"&amp;$A33)*RTD("tos.rtd",,"GAMMA","."&amp;Q$2&amp;Q$1&amp;"P"&amp;$A33))/1000000,($A$4*$A$4*RTD("tos.rtd",,"VOLUME","."&amp;Q$2&amp;Q$1&amp;"C"&amp;$A33)*RTD("tos.rtd",,"GAMMA","."&amp;Q$2&amp;Q$1&amp;"C"&amp;$A33)-$A$4*$A$4*RTD("tos.rtd",,"VOLUME","."&amp;Q$2&amp;Q$1&amp;"P"&amp;$A33)*RTD("tos.rtd",,"GAMMA","."&amp;Q$2&amp;Q$1&amp;"P"&amp;$A33))/1000000),0),IF($A$2="GEX",IFERROR(IF($X$1="ABS",($A$4*$A$4*RTD("tos.rtd",,"OPEN_INT","."&amp;Q$2&amp;Q$1&amp;"C"&amp;$A33)*RTD("tos.rtd",,"GAMMA","."&amp;Q$2&amp;Q$1&amp;"C"&amp;$A33)+$A$4*$A$4*RTD("tos.rtd",,"OPEN_INT","."&amp;Q$2&amp;Q$1&amp;"P"&amp;$A33)*RTD("tos.rtd",,"GAMMA","."&amp;Q$2&amp;Q$1&amp;"P"&amp;$A33))/1000000,($A$4*$A$4*RTD("tos.rtd",,"OPEN_INT","."&amp;Q$2&amp;Q$1&amp;"C"&amp;$A33)*RTD("tos.rtd",,"GAMMA","."&amp;Q$2&amp;Q$1&amp;"C"&amp;$A33)-$A$4*$A$4*RTD("tos.rtd",,"OPEN_INT","."&amp;Q$2&amp;Q$1&amp;"P"&amp;$A33)*RTD("tos.rtd",,"GAMMA","."&amp;Q$2&amp;Q$1&amp;"P"&amp;$A33))/1000000),0),IF($A$2="SKEW",IFERROR(VALUE(IF(RTD("tos.rtd",,"IMPL_VOL","."&amp;Q$2&amp;Q$1&amp;"P"&amp;$A33)="N/A",0,RTD("tos.rtd",,"IMPL_VOL","."&amp;Q$2&amp;Q$1&amp;"P"&amp;$A33))),0)-IFERROR(VALUE(IF(RTD("tos.rtd",,"IMPL_VOL","."&amp;Q$2&amp;Q$1&amp;"C"&amp;$A33)="N/A",0,RTD("tos.rtd",,"IMPL_VOL","."&amp;Q$2&amp;Q$1&amp;"C"&amp;$A33))),0),IF($A$2="MAXPAIN",IF($A$4&gt;$A33,($A$4-$A33)*IF(RTD("tos.rtd",,"OPEN_INT","."&amp;Q$2&amp;Q$1&amp;"C"&amp;$A33)="N/A",0,RTD("tos.rtd",,"OPEN_INT","."&amp;Q$2&amp;Q$1&amp;"C"&amp;$A33)),0)+IF($A$4&lt;$A33,($A$5-$A$4)*IF(RTD("tos.rtd",,"OPEN_INT","."&amp;Q$2&amp;Q$1&amp;"P"&amp;$A33)="N/A",0,RTD("tos.rtd",,"OPEN_INT","."&amp;Q$2&amp;Q$1&amp;"P"&amp;$A33)),0),IF($X$1="ABS",IF(RTD("tos.rtd",,$A$2,"."&amp;Q$2&amp;Q$1&amp;"C"&amp;$A33)="N/A",0,RTD("tos.rtd",,$A$2,"."&amp;Q$2&amp;Q$1&amp;"C"&amp;$A33))+IF(RTD("tos.rtd",,$A$2,"."&amp;Q$2&amp;Q$1&amp;"P"&amp;$A33)="N/A",0,RTD("tos.rtd",,$A$2,"."&amp;Q$2&amp;Q$1&amp;"P"&amp;$A33)),IF(RTD("tos.rtd",,$A$2,"."&amp;Q$2&amp;Q$1&amp;"C"&amp;$A33)="N/A",0,RTD("tos.rtd",,$A$2,"."&amp;Q$2&amp;Q$1&amp;"C"&amp;$A33))-IF(RTD("tos.rtd",,$A$2,"."&amp;Q$2&amp;Q$1&amp;"P"&amp;$A33)="N/A",0,RTD("tos.rtd",,$A$2,"."&amp;Q$2&amp;Q$1&amp;"P"&amp;$A33))))))))))</f>
        <v>0</v>
      </c>
      <c r="R33" s="12">
        <f ca="1">IF($A$2="PREMIUM_OI",IFERROR(IF($X$1="ABS",(100*RTD("tos.rtd",,"OPEN_INT","."&amp;R$2&amp;R$1&amp;"C"&amp;$A33)*RTD("tos.rtd",,"LAST","."&amp;R$2&amp;R$1&amp;"C"&amp;$A33)+100*RTD("tos.rtd",,"OPEN_INT","."&amp;R$2&amp;R$1&amp;"P"&amp;$A33)*RTD("tos.rtd",,"LAST","."&amp;R$2&amp;R$1&amp;"P"&amp;$A33))/1000000,(100*RTD("tos.rtd",,"OPEN_INT","."&amp;R$2&amp;R$1&amp;"C"&amp;$A33)*RTD("tos.rtd",,"LAST","."&amp;R$2&amp;R$1&amp;"C"&amp;$A33)-100*RTD("tos.rtd",,"OPEN_INT","."&amp;R$2&amp;R$1&amp;"P"&amp;$A33)*RTD("tos.rtd",,"LAST","."&amp;R$2&amp;R$1&amp;"P"&amp;$A33))/1000000),0),IF($A$2="PREMIUM",IFERROR(IF($X$1="ABS",(100*RTD("tos.rtd",,"VOLUME","."&amp;R$2&amp;R$1&amp;"C"&amp;$A33)*RTD("tos.rtd",,"LAST","."&amp;R$2&amp;R$1&amp;"C"&amp;$A33)+100*RTD("tos.rtd",,"VOLUME","."&amp;R$2&amp;R$1&amp;"P"&amp;$A33)*RTD("tos.rtd",,"LAST","."&amp;R$2&amp;R$1&amp;"P"&amp;$A33))/1000000,(100*RTD("tos.rtd",,"VOLUME","."&amp;R$2&amp;R$1&amp;"C"&amp;$A33)*RTD("tos.rtd",,"LAST","."&amp;R$2&amp;R$1&amp;"C"&amp;$A33)-100*RTD("tos.rtd",,"VOLUME","."&amp;R$2&amp;R$1&amp;"P"&amp;$A33)*RTD("tos.rtd",,"LAST","."&amp;R$2&amp;R$1&amp;"P"&amp;$A33))/1000000),0),IF($A$2="DEX",IFERROR(IF($X$1="ABS",(100*RTD("tos.rtd",,"OPEN_INT","."&amp;R$2&amp;R$1&amp;"C"&amp;$A33)*RTD("tos.rtd",,"DELTA","."&amp;R$2&amp;R$1&amp;"C"&amp;$A33)+100*RTD("tos.rtd",,"OPEN_INT","."&amp;R$2&amp;R$1&amp;"P"&amp;$A33)*RTD("tos.rtd",,"DELTA","."&amp;R$2&amp;R$1&amp;"P"&amp;$A33))/1000,(100*RTD("tos.rtd",,"OPEN_INT","."&amp;R$2&amp;R$1&amp;"C"&amp;$A33)*RTD("tos.rtd",,"DELTA","."&amp;R$2&amp;R$1&amp;"C"&amp;$A33)-100*RTD("tos.rtd",,"OPEN_INT","."&amp;R$2&amp;R$1&amp;"P"&amp;$A33)*RTD("tos.rtd",,"DELTA","."&amp;R$2&amp;R$1&amp;"P"&amp;$A33))/1000),0),IF($A$2="VEX",IFERROR(IF($X$1="ABS",($A$4*$A$4*RTD("tos.rtd",,"VOLUME","."&amp;R$2&amp;R$1&amp;"C"&amp;$A33)*RTD("tos.rtd",,"GAMMA","."&amp;R$2&amp;R$1&amp;"C"&amp;$A33)+$A$4*$A$4*RTD("tos.rtd",,"VOLUME","."&amp;R$2&amp;R$1&amp;"P"&amp;$A33)*RTD("tos.rtd",,"GAMMA","."&amp;R$2&amp;R$1&amp;"P"&amp;$A33))/1000000,($A$4*$A$4*RTD("tos.rtd",,"VOLUME","."&amp;R$2&amp;R$1&amp;"C"&amp;$A33)*RTD("tos.rtd",,"GAMMA","."&amp;R$2&amp;R$1&amp;"C"&amp;$A33)-$A$4*$A$4*RTD("tos.rtd",,"VOLUME","."&amp;R$2&amp;R$1&amp;"P"&amp;$A33)*RTD("tos.rtd",,"GAMMA","."&amp;R$2&amp;R$1&amp;"P"&amp;$A33))/1000000),0),IF($A$2="GEX",IFERROR(IF($X$1="ABS",($A$4*$A$4*RTD("tos.rtd",,"OPEN_INT","."&amp;R$2&amp;R$1&amp;"C"&amp;$A33)*RTD("tos.rtd",,"GAMMA","."&amp;R$2&amp;R$1&amp;"C"&amp;$A33)+$A$4*$A$4*RTD("tos.rtd",,"OPEN_INT","."&amp;R$2&amp;R$1&amp;"P"&amp;$A33)*RTD("tos.rtd",,"GAMMA","."&amp;R$2&amp;R$1&amp;"P"&amp;$A33))/1000000,($A$4*$A$4*RTD("tos.rtd",,"OPEN_INT","."&amp;R$2&amp;R$1&amp;"C"&amp;$A33)*RTD("tos.rtd",,"GAMMA","."&amp;R$2&amp;R$1&amp;"C"&amp;$A33)-$A$4*$A$4*RTD("tos.rtd",,"OPEN_INT","."&amp;R$2&amp;R$1&amp;"P"&amp;$A33)*RTD("tos.rtd",,"GAMMA","."&amp;R$2&amp;R$1&amp;"P"&amp;$A33))/1000000),0),IF($A$2="SKEW",IFERROR(VALUE(IF(RTD("tos.rtd",,"IMPL_VOL","."&amp;R$2&amp;R$1&amp;"P"&amp;$A33)="N/A",0,RTD("tos.rtd",,"IMPL_VOL","."&amp;R$2&amp;R$1&amp;"P"&amp;$A33))),0)-IFERROR(VALUE(IF(RTD("tos.rtd",,"IMPL_VOL","."&amp;R$2&amp;R$1&amp;"C"&amp;$A33)="N/A",0,RTD("tos.rtd",,"IMPL_VOL","."&amp;R$2&amp;R$1&amp;"C"&amp;$A33))),0),IF($A$2="MAXPAIN",IF($A$4&gt;$A33,($A$4-$A33)*IF(RTD("tos.rtd",,"OPEN_INT","."&amp;R$2&amp;R$1&amp;"C"&amp;$A33)="N/A",0,RTD("tos.rtd",,"OPEN_INT","."&amp;R$2&amp;R$1&amp;"C"&amp;$A33)),0)+IF($A$4&lt;$A33,($A$5-$A$4)*IF(RTD("tos.rtd",,"OPEN_INT","."&amp;R$2&amp;R$1&amp;"P"&amp;$A33)="N/A",0,RTD("tos.rtd",,"OPEN_INT","."&amp;R$2&amp;R$1&amp;"P"&amp;$A33)),0),IF($X$1="ABS",IF(RTD("tos.rtd",,$A$2,"."&amp;R$2&amp;R$1&amp;"C"&amp;$A33)="N/A",0,RTD("tos.rtd",,$A$2,"."&amp;R$2&amp;R$1&amp;"C"&amp;$A33))+IF(RTD("tos.rtd",,$A$2,"."&amp;R$2&amp;R$1&amp;"P"&amp;$A33)="N/A",0,RTD("tos.rtd",,$A$2,"."&amp;R$2&amp;R$1&amp;"P"&amp;$A33)),IF(RTD("tos.rtd",,$A$2,"."&amp;R$2&amp;R$1&amp;"C"&amp;$A33)="N/A",0,RTD("tos.rtd",,$A$2,"."&amp;R$2&amp;R$1&amp;"C"&amp;$A33))-IF(RTD("tos.rtd",,$A$2,"."&amp;R$2&amp;R$1&amp;"P"&amp;$A33)="N/A",0,RTD("tos.rtd",,$A$2,"."&amp;R$2&amp;R$1&amp;"P"&amp;$A33))))))))))</f>
        <v>0</v>
      </c>
      <c r="S33" s="12">
        <f ca="1">IF($A$2="PREMIUM_OI",IFERROR(IF($X$1="ABS",(100*RTD("tos.rtd",,"OPEN_INT","."&amp;S$2&amp;S$1&amp;"C"&amp;$A33)*RTD("tos.rtd",,"LAST","."&amp;S$2&amp;S$1&amp;"C"&amp;$A33)+100*RTD("tos.rtd",,"OPEN_INT","."&amp;S$2&amp;S$1&amp;"P"&amp;$A33)*RTD("tos.rtd",,"LAST","."&amp;S$2&amp;S$1&amp;"P"&amp;$A33))/1000000,(100*RTD("tos.rtd",,"OPEN_INT","."&amp;S$2&amp;S$1&amp;"C"&amp;$A33)*RTD("tos.rtd",,"LAST","."&amp;S$2&amp;S$1&amp;"C"&amp;$A33)-100*RTD("tos.rtd",,"OPEN_INT","."&amp;S$2&amp;S$1&amp;"P"&amp;$A33)*RTD("tos.rtd",,"LAST","."&amp;S$2&amp;S$1&amp;"P"&amp;$A33))/1000000),0),IF($A$2="PREMIUM",IFERROR(IF($X$1="ABS",(100*RTD("tos.rtd",,"VOLUME","."&amp;S$2&amp;S$1&amp;"C"&amp;$A33)*RTD("tos.rtd",,"LAST","."&amp;S$2&amp;S$1&amp;"C"&amp;$A33)+100*RTD("tos.rtd",,"VOLUME","."&amp;S$2&amp;S$1&amp;"P"&amp;$A33)*RTD("tos.rtd",,"LAST","."&amp;S$2&amp;S$1&amp;"P"&amp;$A33))/1000000,(100*RTD("tos.rtd",,"VOLUME","."&amp;S$2&amp;S$1&amp;"C"&amp;$A33)*RTD("tos.rtd",,"LAST","."&amp;S$2&amp;S$1&amp;"C"&amp;$A33)-100*RTD("tos.rtd",,"VOLUME","."&amp;S$2&amp;S$1&amp;"P"&amp;$A33)*RTD("tos.rtd",,"LAST","."&amp;S$2&amp;S$1&amp;"P"&amp;$A33))/1000000),0),IF($A$2="DEX",IFERROR(IF($X$1="ABS",(100*RTD("tos.rtd",,"OPEN_INT","."&amp;S$2&amp;S$1&amp;"C"&amp;$A33)*RTD("tos.rtd",,"DELTA","."&amp;S$2&amp;S$1&amp;"C"&amp;$A33)+100*RTD("tos.rtd",,"OPEN_INT","."&amp;S$2&amp;S$1&amp;"P"&amp;$A33)*RTD("tos.rtd",,"DELTA","."&amp;S$2&amp;S$1&amp;"P"&amp;$A33))/1000,(100*RTD("tos.rtd",,"OPEN_INT","."&amp;S$2&amp;S$1&amp;"C"&amp;$A33)*RTD("tos.rtd",,"DELTA","."&amp;S$2&amp;S$1&amp;"C"&amp;$A33)-100*RTD("tos.rtd",,"OPEN_INT","."&amp;S$2&amp;S$1&amp;"P"&amp;$A33)*RTD("tos.rtd",,"DELTA","."&amp;S$2&amp;S$1&amp;"P"&amp;$A33))/1000),0),IF($A$2="VEX",IFERROR(IF($X$1="ABS",($A$4*$A$4*RTD("tos.rtd",,"VOLUME","."&amp;S$2&amp;S$1&amp;"C"&amp;$A33)*RTD("tos.rtd",,"GAMMA","."&amp;S$2&amp;S$1&amp;"C"&amp;$A33)+$A$4*$A$4*RTD("tos.rtd",,"VOLUME","."&amp;S$2&amp;S$1&amp;"P"&amp;$A33)*RTD("tos.rtd",,"GAMMA","."&amp;S$2&amp;S$1&amp;"P"&amp;$A33))/1000000,($A$4*$A$4*RTD("tos.rtd",,"VOLUME","."&amp;S$2&amp;S$1&amp;"C"&amp;$A33)*RTD("tos.rtd",,"GAMMA","."&amp;S$2&amp;S$1&amp;"C"&amp;$A33)-$A$4*$A$4*RTD("tos.rtd",,"VOLUME","."&amp;S$2&amp;S$1&amp;"P"&amp;$A33)*RTD("tos.rtd",,"GAMMA","."&amp;S$2&amp;S$1&amp;"P"&amp;$A33))/1000000),0),IF($A$2="GEX",IFERROR(IF($X$1="ABS",($A$4*$A$4*RTD("tos.rtd",,"OPEN_INT","."&amp;S$2&amp;S$1&amp;"C"&amp;$A33)*RTD("tos.rtd",,"GAMMA","."&amp;S$2&amp;S$1&amp;"C"&amp;$A33)+$A$4*$A$4*RTD("tos.rtd",,"OPEN_INT","."&amp;S$2&amp;S$1&amp;"P"&amp;$A33)*RTD("tos.rtd",,"GAMMA","."&amp;S$2&amp;S$1&amp;"P"&amp;$A33))/1000000,($A$4*$A$4*RTD("tos.rtd",,"OPEN_INT","."&amp;S$2&amp;S$1&amp;"C"&amp;$A33)*RTD("tos.rtd",,"GAMMA","."&amp;S$2&amp;S$1&amp;"C"&amp;$A33)-$A$4*$A$4*RTD("tos.rtd",,"OPEN_INT","."&amp;S$2&amp;S$1&amp;"P"&amp;$A33)*RTD("tos.rtd",,"GAMMA","."&amp;S$2&amp;S$1&amp;"P"&amp;$A33))/1000000),0),IF($A$2="SKEW",IFERROR(VALUE(IF(RTD("tos.rtd",,"IMPL_VOL","."&amp;S$2&amp;S$1&amp;"P"&amp;$A33)="N/A",0,RTD("tos.rtd",,"IMPL_VOL","."&amp;S$2&amp;S$1&amp;"P"&amp;$A33))),0)-IFERROR(VALUE(IF(RTD("tos.rtd",,"IMPL_VOL","."&amp;S$2&amp;S$1&amp;"C"&amp;$A33)="N/A",0,RTD("tos.rtd",,"IMPL_VOL","."&amp;S$2&amp;S$1&amp;"C"&amp;$A33))),0),IF($A$2="MAXPAIN",IF($A$4&gt;$A33,($A$4-$A33)*IF(RTD("tos.rtd",,"OPEN_INT","."&amp;S$2&amp;S$1&amp;"C"&amp;$A33)="N/A",0,RTD("tos.rtd",,"OPEN_INT","."&amp;S$2&amp;S$1&amp;"C"&amp;$A33)),0)+IF($A$4&lt;$A33,($A$5-$A$4)*IF(RTD("tos.rtd",,"OPEN_INT","."&amp;S$2&amp;S$1&amp;"P"&amp;$A33)="N/A",0,RTD("tos.rtd",,"OPEN_INT","."&amp;S$2&amp;S$1&amp;"P"&amp;$A33)),0),IF($X$1="ABS",IF(RTD("tos.rtd",,$A$2,"."&amp;S$2&amp;S$1&amp;"C"&amp;$A33)="N/A",0,RTD("tos.rtd",,$A$2,"."&amp;S$2&amp;S$1&amp;"C"&amp;$A33))+IF(RTD("tos.rtd",,$A$2,"."&amp;S$2&amp;S$1&amp;"P"&amp;$A33)="N/A",0,RTD("tos.rtd",,$A$2,"."&amp;S$2&amp;S$1&amp;"P"&amp;$A33)),IF(RTD("tos.rtd",,$A$2,"."&amp;S$2&amp;S$1&amp;"C"&amp;$A33)="N/A",0,RTD("tos.rtd",,$A$2,"."&amp;S$2&amp;S$1&amp;"C"&amp;$A33))-IF(RTD("tos.rtd",,$A$2,"."&amp;S$2&amp;S$1&amp;"P"&amp;$A33)="N/A",0,RTD("tos.rtd",,$A$2,"."&amp;S$2&amp;S$1&amp;"P"&amp;$A33))))))))))</f>
        <v>0</v>
      </c>
      <c r="T33" s="12">
        <f ca="1">IF($A$2="PREMIUM_OI",IFERROR(IF($X$1="ABS",(100*RTD("tos.rtd",,"OPEN_INT","."&amp;T$2&amp;T$1&amp;"C"&amp;$A33)*RTD("tos.rtd",,"LAST","."&amp;T$2&amp;T$1&amp;"C"&amp;$A33)+100*RTD("tos.rtd",,"OPEN_INT","."&amp;T$2&amp;T$1&amp;"P"&amp;$A33)*RTD("tos.rtd",,"LAST","."&amp;T$2&amp;T$1&amp;"P"&amp;$A33))/1000000,(100*RTD("tos.rtd",,"OPEN_INT","."&amp;T$2&amp;T$1&amp;"C"&amp;$A33)*RTD("tos.rtd",,"LAST","."&amp;T$2&amp;T$1&amp;"C"&amp;$A33)-100*RTD("tos.rtd",,"OPEN_INT","."&amp;T$2&amp;T$1&amp;"P"&amp;$A33)*RTD("tos.rtd",,"LAST","."&amp;T$2&amp;T$1&amp;"P"&amp;$A33))/1000000),0),IF($A$2="PREMIUM",IFERROR(IF($X$1="ABS",(100*RTD("tos.rtd",,"VOLUME","."&amp;T$2&amp;T$1&amp;"C"&amp;$A33)*RTD("tos.rtd",,"LAST","."&amp;T$2&amp;T$1&amp;"C"&amp;$A33)+100*RTD("tos.rtd",,"VOLUME","."&amp;T$2&amp;T$1&amp;"P"&amp;$A33)*RTD("tos.rtd",,"LAST","."&amp;T$2&amp;T$1&amp;"P"&amp;$A33))/1000000,(100*RTD("tos.rtd",,"VOLUME","."&amp;T$2&amp;T$1&amp;"C"&amp;$A33)*RTD("tos.rtd",,"LAST","."&amp;T$2&amp;T$1&amp;"C"&amp;$A33)-100*RTD("tos.rtd",,"VOLUME","."&amp;T$2&amp;T$1&amp;"P"&amp;$A33)*RTD("tos.rtd",,"LAST","."&amp;T$2&amp;T$1&amp;"P"&amp;$A33))/1000000),0),IF($A$2="DEX",IFERROR(IF($X$1="ABS",(100*RTD("tos.rtd",,"OPEN_INT","."&amp;T$2&amp;T$1&amp;"C"&amp;$A33)*RTD("tos.rtd",,"DELTA","."&amp;T$2&amp;T$1&amp;"C"&amp;$A33)+100*RTD("tos.rtd",,"OPEN_INT","."&amp;T$2&amp;T$1&amp;"P"&amp;$A33)*RTD("tos.rtd",,"DELTA","."&amp;T$2&amp;T$1&amp;"P"&amp;$A33))/1000,(100*RTD("tos.rtd",,"OPEN_INT","."&amp;T$2&amp;T$1&amp;"C"&amp;$A33)*RTD("tos.rtd",,"DELTA","."&amp;T$2&amp;T$1&amp;"C"&amp;$A33)-100*RTD("tos.rtd",,"OPEN_INT","."&amp;T$2&amp;T$1&amp;"P"&amp;$A33)*RTD("tos.rtd",,"DELTA","."&amp;T$2&amp;T$1&amp;"P"&amp;$A33))/1000),0),IF($A$2="VEX",IFERROR(IF($X$1="ABS",($A$4*$A$4*RTD("tos.rtd",,"VOLUME","."&amp;T$2&amp;T$1&amp;"C"&amp;$A33)*RTD("tos.rtd",,"GAMMA","."&amp;T$2&amp;T$1&amp;"C"&amp;$A33)+$A$4*$A$4*RTD("tos.rtd",,"VOLUME","."&amp;T$2&amp;T$1&amp;"P"&amp;$A33)*RTD("tos.rtd",,"GAMMA","."&amp;T$2&amp;T$1&amp;"P"&amp;$A33))/1000000,($A$4*$A$4*RTD("tos.rtd",,"VOLUME","."&amp;T$2&amp;T$1&amp;"C"&amp;$A33)*RTD("tos.rtd",,"GAMMA","."&amp;T$2&amp;T$1&amp;"C"&amp;$A33)-$A$4*$A$4*RTD("tos.rtd",,"VOLUME","."&amp;T$2&amp;T$1&amp;"P"&amp;$A33)*RTD("tos.rtd",,"GAMMA","."&amp;T$2&amp;T$1&amp;"P"&amp;$A33))/1000000),0),IF($A$2="GEX",IFERROR(IF($X$1="ABS",($A$4*$A$4*RTD("tos.rtd",,"OPEN_INT","."&amp;T$2&amp;T$1&amp;"C"&amp;$A33)*RTD("tos.rtd",,"GAMMA","."&amp;T$2&amp;T$1&amp;"C"&amp;$A33)+$A$4*$A$4*RTD("tos.rtd",,"OPEN_INT","."&amp;T$2&amp;T$1&amp;"P"&amp;$A33)*RTD("tos.rtd",,"GAMMA","."&amp;T$2&amp;T$1&amp;"P"&amp;$A33))/1000000,($A$4*$A$4*RTD("tos.rtd",,"OPEN_INT","."&amp;T$2&amp;T$1&amp;"C"&amp;$A33)*RTD("tos.rtd",,"GAMMA","."&amp;T$2&amp;T$1&amp;"C"&amp;$A33)-$A$4*$A$4*RTD("tos.rtd",,"OPEN_INT","."&amp;T$2&amp;T$1&amp;"P"&amp;$A33)*RTD("tos.rtd",,"GAMMA","."&amp;T$2&amp;T$1&amp;"P"&amp;$A33))/1000000),0),IF($A$2="SKEW",IFERROR(VALUE(IF(RTD("tos.rtd",,"IMPL_VOL","."&amp;T$2&amp;T$1&amp;"P"&amp;$A33)="N/A",0,RTD("tos.rtd",,"IMPL_VOL","."&amp;T$2&amp;T$1&amp;"P"&amp;$A33))),0)-IFERROR(VALUE(IF(RTD("tos.rtd",,"IMPL_VOL","."&amp;T$2&amp;T$1&amp;"C"&amp;$A33)="N/A",0,RTD("tos.rtd",,"IMPL_VOL","."&amp;T$2&amp;T$1&amp;"C"&amp;$A33))),0),IF($A$2="MAXPAIN",IF($A$4&gt;$A33,($A$4-$A33)*IF(RTD("tos.rtd",,"OPEN_INT","."&amp;T$2&amp;T$1&amp;"C"&amp;$A33)="N/A",0,RTD("tos.rtd",,"OPEN_INT","."&amp;T$2&amp;T$1&amp;"C"&amp;$A33)),0)+IF($A$4&lt;$A33,($A$5-$A$4)*IF(RTD("tos.rtd",,"OPEN_INT","."&amp;T$2&amp;T$1&amp;"P"&amp;$A33)="N/A",0,RTD("tos.rtd",,"OPEN_INT","."&amp;T$2&amp;T$1&amp;"P"&amp;$A33)),0),IF($X$1="ABS",IF(RTD("tos.rtd",,$A$2,"."&amp;T$2&amp;T$1&amp;"C"&amp;$A33)="N/A",0,RTD("tos.rtd",,$A$2,"."&amp;T$2&amp;T$1&amp;"C"&amp;$A33))+IF(RTD("tos.rtd",,$A$2,"."&amp;T$2&amp;T$1&amp;"P"&amp;$A33)="N/A",0,RTD("tos.rtd",,$A$2,"."&amp;T$2&amp;T$1&amp;"P"&amp;$A33)),IF(RTD("tos.rtd",,$A$2,"."&amp;T$2&amp;T$1&amp;"C"&amp;$A33)="N/A",0,RTD("tos.rtd",,$A$2,"."&amp;T$2&amp;T$1&amp;"C"&amp;$A33))-IF(RTD("tos.rtd",,$A$2,"."&amp;T$2&amp;T$1&amp;"P"&amp;$A33)="N/A",0,RTD("tos.rtd",,$A$2,"."&amp;T$2&amp;T$1&amp;"P"&amp;$A33))))))))))</f>
        <v>0</v>
      </c>
      <c r="U33" s="12">
        <f ca="1">IF($A$2="PREMIUM_OI",IFERROR(IF($X$1="ABS",(100*RTD("tos.rtd",,"OPEN_INT","."&amp;U$2&amp;U$1&amp;"C"&amp;$A33)*RTD("tos.rtd",,"LAST","."&amp;U$2&amp;U$1&amp;"C"&amp;$A33)+100*RTD("tos.rtd",,"OPEN_INT","."&amp;U$2&amp;U$1&amp;"P"&amp;$A33)*RTD("tos.rtd",,"LAST","."&amp;U$2&amp;U$1&amp;"P"&amp;$A33))/1000000,(100*RTD("tos.rtd",,"OPEN_INT","."&amp;U$2&amp;U$1&amp;"C"&amp;$A33)*RTD("tos.rtd",,"LAST","."&amp;U$2&amp;U$1&amp;"C"&amp;$A33)-100*RTD("tos.rtd",,"OPEN_INT","."&amp;U$2&amp;U$1&amp;"P"&amp;$A33)*RTD("tos.rtd",,"LAST","."&amp;U$2&amp;U$1&amp;"P"&amp;$A33))/1000000),0),IF($A$2="PREMIUM",IFERROR(IF($X$1="ABS",(100*RTD("tos.rtd",,"VOLUME","."&amp;U$2&amp;U$1&amp;"C"&amp;$A33)*RTD("tos.rtd",,"LAST","."&amp;U$2&amp;U$1&amp;"C"&amp;$A33)+100*RTD("tos.rtd",,"VOLUME","."&amp;U$2&amp;U$1&amp;"P"&amp;$A33)*RTD("tos.rtd",,"LAST","."&amp;U$2&amp;U$1&amp;"P"&amp;$A33))/1000000,(100*RTD("tos.rtd",,"VOLUME","."&amp;U$2&amp;U$1&amp;"C"&amp;$A33)*RTD("tos.rtd",,"LAST","."&amp;U$2&amp;U$1&amp;"C"&amp;$A33)-100*RTD("tos.rtd",,"VOLUME","."&amp;U$2&amp;U$1&amp;"P"&amp;$A33)*RTD("tos.rtd",,"LAST","."&amp;U$2&amp;U$1&amp;"P"&amp;$A33))/1000000),0),IF($A$2="DEX",IFERROR(IF($X$1="ABS",(100*RTD("tos.rtd",,"OPEN_INT","."&amp;U$2&amp;U$1&amp;"C"&amp;$A33)*RTD("tos.rtd",,"DELTA","."&amp;U$2&amp;U$1&amp;"C"&amp;$A33)+100*RTD("tos.rtd",,"OPEN_INT","."&amp;U$2&amp;U$1&amp;"P"&amp;$A33)*RTD("tos.rtd",,"DELTA","."&amp;U$2&amp;U$1&amp;"P"&amp;$A33))/1000,(100*RTD("tos.rtd",,"OPEN_INT","."&amp;U$2&amp;U$1&amp;"C"&amp;$A33)*RTD("tos.rtd",,"DELTA","."&amp;U$2&amp;U$1&amp;"C"&amp;$A33)-100*RTD("tos.rtd",,"OPEN_INT","."&amp;U$2&amp;U$1&amp;"P"&amp;$A33)*RTD("tos.rtd",,"DELTA","."&amp;U$2&amp;U$1&amp;"P"&amp;$A33))/1000),0),IF($A$2="VEX",IFERROR(IF($X$1="ABS",($A$4*$A$4*RTD("tos.rtd",,"VOLUME","."&amp;U$2&amp;U$1&amp;"C"&amp;$A33)*RTD("tos.rtd",,"GAMMA","."&amp;U$2&amp;U$1&amp;"C"&amp;$A33)+$A$4*$A$4*RTD("tos.rtd",,"VOLUME","."&amp;U$2&amp;U$1&amp;"P"&amp;$A33)*RTD("tos.rtd",,"GAMMA","."&amp;U$2&amp;U$1&amp;"P"&amp;$A33))/1000000,($A$4*$A$4*RTD("tos.rtd",,"VOLUME","."&amp;U$2&amp;U$1&amp;"C"&amp;$A33)*RTD("tos.rtd",,"GAMMA","."&amp;U$2&amp;U$1&amp;"C"&amp;$A33)-$A$4*$A$4*RTD("tos.rtd",,"VOLUME","."&amp;U$2&amp;U$1&amp;"P"&amp;$A33)*RTD("tos.rtd",,"GAMMA","."&amp;U$2&amp;U$1&amp;"P"&amp;$A33))/1000000),0),IF($A$2="GEX",IFERROR(IF($X$1="ABS",($A$4*$A$4*RTD("tos.rtd",,"OPEN_INT","."&amp;U$2&amp;U$1&amp;"C"&amp;$A33)*RTD("tos.rtd",,"GAMMA","."&amp;U$2&amp;U$1&amp;"C"&amp;$A33)+$A$4*$A$4*RTD("tos.rtd",,"OPEN_INT","."&amp;U$2&amp;U$1&amp;"P"&amp;$A33)*RTD("tos.rtd",,"GAMMA","."&amp;U$2&amp;U$1&amp;"P"&amp;$A33))/1000000,($A$4*$A$4*RTD("tos.rtd",,"OPEN_INT","."&amp;U$2&amp;U$1&amp;"C"&amp;$A33)*RTD("tos.rtd",,"GAMMA","."&amp;U$2&amp;U$1&amp;"C"&amp;$A33)-$A$4*$A$4*RTD("tos.rtd",,"OPEN_INT","."&amp;U$2&amp;U$1&amp;"P"&amp;$A33)*RTD("tos.rtd",,"GAMMA","."&amp;U$2&amp;U$1&amp;"P"&amp;$A33))/1000000),0),IF($A$2="SKEW",IFERROR(VALUE(IF(RTD("tos.rtd",,"IMPL_VOL","."&amp;U$2&amp;U$1&amp;"P"&amp;$A33)="N/A",0,RTD("tos.rtd",,"IMPL_VOL","."&amp;U$2&amp;U$1&amp;"P"&amp;$A33))),0)-IFERROR(VALUE(IF(RTD("tos.rtd",,"IMPL_VOL","."&amp;U$2&amp;U$1&amp;"C"&amp;$A33)="N/A",0,RTD("tos.rtd",,"IMPL_VOL","."&amp;U$2&amp;U$1&amp;"C"&amp;$A33))),0),IF($A$2="MAXPAIN",IF($A$4&gt;$A33,($A$4-$A33)*IF(RTD("tos.rtd",,"OPEN_INT","."&amp;U$2&amp;U$1&amp;"C"&amp;$A33)="N/A",0,RTD("tos.rtd",,"OPEN_INT","."&amp;U$2&amp;U$1&amp;"C"&amp;$A33)),0)+IF($A$4&lt;$A33,($A$5-$A$4)*IF(RTD("tos.rtd",,"OPEN_INT","."&amp;U$2&amp;U$1&amp;"P"&amp;$A33)="N/A",0,RTD("tos.rtd",,"OPEN_INT","."&amp;U$2&amp;U$1&amp;"P"&amp;$A33)),0),IF($X$1="ABS",IF(RTD("tos.rtd",,$A$2,"."&amp;U$2&amp;U$1&amp;"C"&amp;$A33)="N/A",0,RTD("tos.rtd",,$A$2,"."&amp;U$2&amp;U$1&amp;"C"&amp;$A33))+IF(RTD("tos.rtd",,$A$2,"."&amp;U$2&amp;U$1&amp;"P"&amp;$A33)="N/A",0,RTD("tos.rtd",,$A$2,"."&amp;U$2&amp;U$1&amp;"P"&amp;$A33)),IF(RTD("tos.rtd",,$A$2,"."&amp;U$2&amp;U$1&amp;"C"&amp;$A33)="N/A",0,RTD("tos.rtd",,$A$2,"."&amp;U$2&amp;U$1&amp;"C"&amp;$A33))-IF(RTD("tos.rtd",,$A$2,"."&amp;U$2&amp;U$1&amp;"P"&amp;$A33)="N/A",0,RTD("tos.rtd",,$A$2,"."&amp;U$2&amp;U$1&amp;"P"&amp;$A33))))))))))</f>
        <v>0</v>
      </c>
      <c r="V33" s="12">
        <f ca="1">IF($A$2="PREMIUM_OI",IFERROR(IF($X$1="ABS",(100*RTD("tos.rtd",,"OPEN_INT","."&amp;V$2&amp;V$1&amp;"C"&amp;$A33)*RTD("tos.rtd",,"LAST","."&amp;V$2&amp;V$1&amp;"C"&amp;$A33)+100*RTD("tos.rtd",,"OPEN_INT","."&amp;V$2&amp;V$1&amp;"P"&amp;$A33)*RTD("tos.rtd",,"LAST","."&amp;V$2&amp;V$1&amp;"P"&amp;$A33))/1000000,(100*RTD("tos.rtd",,"OPEN_INT","."&amp;V$2&amp;V$1&amp;"C"&amp;$A33)*RTD("tos.rtd",,"LAST","."&amp;V$2&amp;V$1&amp;"C"&amp;$A33)-100*RTD("tos.rtd",,"OPEN_INT","."&amp;V$2&amp;V$1&amp;"P"&amp;$A33)*RTD("tos.rtd",,"LAST","."&amp;V$2&amp;V$1&amp;"P"&amp;$A33))/1000000),0),IF($A$2="PREMIUM",IFERROR(IF($X$1="ABS",(100*RTD("tos.rtd",,"VOLUME","."&amp;V$2&amp;V$1&amp;"C"&amp;$A33)*RTD("tos.rtd",,"LAST","."&amp;V$2&amp;V$1&amp;"C"&amp;$A33)+100*RTD("tos.rtd",,"VOLUME","."&amp;V$2&amp;V$1&amp;"P"&amp;$A33)*RTD("tos.rtd",,"LAST","."&amp;V$2&amp;V$1&amp;"P"&amp;$A33))/1000000,(100*RTD("tos.rtd",,"VOLUME","."&amp;V$2&amp;V$1&amp;"C"&amp;$A33)*RTD("tos.rtd",,"LAST","."&amp;V$2&amp;V$1&amp;"C"&amp;$A33)-100*RTD("tos.rtd",,"VOLUME","."&amp;V$2&amp;V$1&amp;"P"&amp;$A33)*RTD("tos.rtd",,"LAST","."&amp;V$2&amp;V$1&amp;"P"&amp;$A33))/1000000),0),IF($A$2="DEX",IFERROR(IF($X$1="ABS",(100*RTD("tos.rtd",,"OPEN_INT","."&amp;V$2&amp;V$1&amp;"C"&amp;$A33)*RTD("tos.rtd",,"DELTA","."&amp;V$2&amp;V$1&amp;"C"&amp;$A33)+100*RTD("tos.rtd",,"OPEN_INT","."&amp;V$2&amp;V$1&amp;"P"&amp;$A33)*RTD("tos.rtd",,"DELTA","."&amp;V$2&amp;V$1&amp;"P"&amp;$A33))/1000,(100*RTD("tos.rtd",,"OPEN_INT","."&amp;V$2&amp;V$1&amp;"C"&amp;$A33)*RTD("tos.rtd",,"DELTA","."&amp;V$2&amp;V$1&amp;"C"&amp;$A33)-100*RTD("tos.rtd",,"OPEN_INT","."&amp;V$2&amp;V$1&amp;"P"&amp;$A33)*RTD("tos.rtd",,"DELTA","."&amp;V$2&amp;V$1&amp;"P"&amp;$A33))/1000),0),IF($A$2="VEX",IFERROR(IF($X$1="ABS",($A$4*$A$4*RTD("tos.rtd",,"VOLUME","."&amp;V$2&amp;V$1&amp;"C"&amp;$A33)*RTD("tos.rtd",,"GAMMA","."&amp;V$2&amp;V$1&amp;"C"&amp;$A33)+$A$4*$A$4*RTD("tos.rtd",,"VOLUME","."&amp;V$2&amp;V$1&amp;"P"&amp;$A33)*RTD("tos.rtd",,"GAMMA","."&amp;V$2&amp;V$1&amp;"P"&amp;$A33))/1000000,($A$4*$A$4*RTD("tos.rtd",,"VOLUME","."&amp;V$2&amp;V$1&amp;"C"&amp;$A33)*RTD("tos.rtd",,"GAMMA","."&amp;V$2&amp;V$1&amp;"C"&amp;$A33)-$A$4*$A$4*RTD("tos.rtd",,"VOLUME","."&amp;V$2&amp;V$1&amp;"P"&amp;$A33)*RTD("tos.rtd",,"GAMMA","."&amp;V$2&amp;V$1&amp;"P"&amp;$A33))/1000000),0),IF($A$2="GEX",IFERROR(IF($X$1="ABS",($A$4*$A$4*RTD("tos.rtd",,"OPEN_INT","."&amp;V$2&amp;V$1&amp;"C"&amp;$A33)*RTD("tos.rtd",,"GAMMA","."&amp;V$2&amp;V$1&amp;"C"&amp;$A33)+$A$4*$A$4*RTD("tos.rtd",,"OPEN_INT","."&amp;V$2&amp;V$1&amp;"P"&amp;$A33)*RTD("tos.rtd",,"GAMMA","."&amp;V$2&amp;V$1&amp;"P"&amp;$A33))/1000000,($A$4*$A$4*RTD("tos.rtd",,"OPEN_INT","."&amp;V$2&amp;V$1&amp;"C"&amp;$A33)*RTD("tos.rtd",,"GAMMA","."&amp;V$2&amp;V$1&amp;"C"&amp;$A33)-$A$4*$A$4*RTD("tos.rtd",,"OPEN_INT","."&amp;V$2&amp;V$1&amp;"P"&amp;$A33)*RTD("tos.rtd",,"GAMMA","."&amp;V$2&amp;V$1&amp;"P"&amp;$A33))/1000000),0),IF($A$2="SKEW",IFERROR(VALUE(IF(RTD("tos.rtd",,"IMPL_VOL","."&amp;V$2&amp;V$1&amp;"P"&amp;$A33)="N/A",0,RTD("tos.rtd",,"IMPL_VOL","."&amp;V$2&amp;V$1&amp;"P"&amp;$A33))),0)-IFERROR(VALUE(IF(RTD("tos.rtd",,"IMPL_VOL","."&amp;V$2&amp;V$1&amp;"C"&amp;$A33)="N/A",0,RTD("tos.rtd",,"IMPL_VOL","."&amp;V$2&amp;V$1&amp;"C"&amp;$A33))),0),IF($A$2="MAXPAIN",IF($A$4&gt;$A33,($A$4-$A33)*IF(RTD("tos.rtd",,"OPEN_INT","."&amp;V$2&amp;V$1&amp;"C"&amp;$A33)="N/A",0,RTD("tos.rtd",,"OPEN_INT","."&amp;V$2&amp;V$1&amp;"C"&amp;$A33)),0)+IF($A$4&lt;$A33,($A$5-$A$4)*IF(RTD("tos.rtd",,"OPEN_INT","."&amp;V$2&amp;V$1&amp;"P"&amp;$A33)="N/A",0,RTD("tos.rtd",,"OPEN_INT","."&amp;V$2&amp;V$1&amp;"P"&amp;$A33)),0),IF($X$1="ABS",IF(RTD("tos.rtd",,$A$2,"."&amp;V$2&amp;V$1&amp;"C"&amp;$A33)="N/A",0,RTD("tos.rtd",,$A$2,"."&amp;V$2&amp;V$1&amp;"C"&amp;$A33))+IF(RTD("tos.rtd",,$A$2,"."&amp;V$2&amp;V$1&amp;"P"&amp;$A33)="N/A",0,RTD("tos.rtd",,$A$2,"."&amp;V$2&amp;V$1&amp;"P"&amp;$A33)),IF(RTD("tos.rtd",,$A$2,"."&amp;V$2&amp;V$1&amp;"C"&amp;$A33)="N/A",0,RTD("tos.rtd",,$A$2,"."&amp;V$2&amp;V$1&amp;"C"&amp;$A33))-IF(RTD("tos.rtd",,$A$2,"."&amp;V$2&amp;V$1&amp;"P"&amp;$A33)="N/A",0,RTD("tos.rtd",,$A$2,"."&amp;V$2&amp;V$1&amp;"P"&amp;$A33))))))))))</f>
        <v>0</v>
      </c>
      <c r="W33" s="54">
        <f ca="1">IF($A$2="PREMIUM_OI",IFERROR(IF($X$1="ABS",(100*RTD("tos.rtd",,"OPEN_INT","."&amp;W$2&amp;W$1&amp;"C"&amp;$A33)*RTD("tos.rtd",,"LAST","."&amp;W$2&amp;W$1&amp;"C"&amp;$A33)+100*RTD("tos.rtd",,"OPEN_INT","."&amp;W$2&amp;W$1&amp;"P"&amp;$A33)*RTD("tos.rtd",,"LAST","."&amp;W$2&amp;W$1&amp;"P"&amp;$A33))/1000000,(100*RTD("tos.rtd",,"OPEN_INT","."&amp;W$2&amp;W$1&amp;"C"&amp;$A33)*RTD("tos.rtd",,"LAST","."&amp;W$2&amp;W$1&amp;"C"&amp;$A33)-100*RTD("tos.rtd",,"OPEN_INT","."&amp;W$2&amp;W$1&amp;"P"&amp;$A33)*RTD("tos.rtd",,"LAST","."&amp;W$2&amp;W$1&amp;"P"&amp;$A33))/1000000),0),IF($A$2="PREMIUM",IFERROR(IF($X$1="ABS",(100*RTD("tos.rtd",,"VOLUME","."&amp;W$2&amp;W$1&amp;"C"&amp;$A33)*RTD("tos.rtd",,"LAST","."&amp;W$2&amp;W$1&amp;"C"&amp;$A33)+100*RTD("tos.rtd",,"VOLUME","."&amp;W$2&amp;W$1&amp;"P"&amp;$A33)*RTD("tos.rtd",,"LAST","."&amp;W$2&amp;W$1&amp;"P"&amp;$A33))/1000000,(100*RTD("tos.rtd",,"VOLUME","."&amp;W$2&amp;W$1&amp;"C"&amp;$A33)*RTD("tos.rtd",,"LAST","."&amp;W$2&amp;W$1&amp;"C"&amp;$A33)-100*RTD("tos.rtd",,"VOLUME","."&amp;W$2&amp;W$1&amp;"P"&amp;$A33)*RTD("tos.rtd",,"LAST","."&amp;W$2&amp;W$1&amp;"P"&amp;$A33))/1000000),0),IF($A$2="DEX",IFERROR(IF($X$1="ABS",(100*RTD("tos.rtd",,"OPEN_INT","."&amp;W$2&amp;W$1&amp;"C"&amp;$A33)*RTD("tos.rtd",,"DELTA","."&amp;W$2&amp;W$1&amp;"C"&amp;$A33)+100*RTD("tos.rtd",,"OPEN_INT","."&amp;W$2&amp;W$1&amp;"P"&amp;$A33)*RTD("tos.rtd",,"DELTA","."&amp;W$2&amp;W$1&amp;"P"&amp;$A33))/1000,(100*RTD("tos.rtd",,"OPEN_INT","."&amp;W$2&amp;W$1&amp;"C"&amp;$A33)*RTD("tos.rtd",,"DELTA","."&amp;W$2&amp;W$1&amp;"C"&amp;$A33)-100*RTD("tos.rtd",,"OPEN_INT","."&amp;W$2&amp;W$1&amp;"P"&amp;$A33)*RTD("tos.rtd",,"DELTA","."&amp;W$2&amp;W$1&amp;"P"&amp;$A33))/1000),0),IF($A$2="VEX",IFERROR(IF($X$1="ABS",($A$4*$A$4*RTD("tos.rtd",,"VOLUME","."&amp;W$2&amp;W$1&amp;"C"&amp;$A33)*RTD("tos.rtd",,"GAMMA","."&amp;W$2&amp;W$1&amp;"C"&amp;$A33)+$A$4*$A$4*RTD("tos.rtd",,"VOLUME","."&amp;W$2&amp;W$1&amp;"P"&amp;$A33)*RTD("tos.rtd",,"GAMMA","."&amp;W$2&amp;W$1&amp;"P"&amp;$A33))/1000000,($A$4*$A$4*RTD("tos.rtd",,"VOLUME","."&amp;W$2&amp;W$1&amp;"C"&amp;$A33)*RTD("tos.rtd",,"GAMMA","."&amp;W$2&amp;W$1&amp;"C"&amp;$A33)-$A$4*$A$4*RTD("tos.rtd",,"VOLUME","."&amp;W$2&amp;W$1&amp;"P"&amp;$A33)*RTD("tos.rtd",,"GAMMA","."&amp;W$2&amp;W$1&amp;"P"&amp;$A33))/1000000),0),IF($A$2="GEX",IFERROR(IF($X$1="ABS",($A$4*$A$4*RTD("tos.rtd",,"OPEN_INT","."&amp;W$2&amp;W$1&amp;"C"&amp;$A33)*RTD("tos.rtd",,"GAMMA","."&amp;W$2&amp;W$1&amp;"C"&amp;$A33)+$A$4*$A$4*RTD("tos.rtd",,"OPEN_INT","."&amp;W$2&amp;W$1&amp;"P"&amp;$A33)*RTD("tos.rtd",,"GAMMA","."&amp;W$2&amp;W$1&amp;"P"&amp;$A33))/1000000,($A$4*$A$4*RTD("tos.rtd",,"OPEN_INT","."&amp;W$2&amp;W$1&amp;"C"&amp;$A33)*RTD("tos.rtd",,"GAMMA","."&amp;W$2&amp;W$1&amp;"C"&amp;$A33)-$A$4*$A$4*RTD("tos.rtd",,"OPEN_INT","."&amp;W$2&amp;W$1&amp;"P"&amp;$A33)*RTD("tos.rtd",,"GAMMA","."&amp;W$2&amp;W$1&amp;"P"&amp;$A33))/1000000),0),IF($A$2="SKEW",IFERROR(VALUE(IF(RTD("tos.rtd",,"IMPL_VOL","."&amp;W$2&amp;W$1&amp;"P"&amp;$A33)="N/A",0,RTD("tos.rtd",,"IMPL_VOL","."&amp;W$2&amp;W$1&amp;"P"&amp;$A33))),0)-IFERROR(VALUE(IF(RTD("tos.rtd",,"IMPL_VOL","."&amp;W$2&amp;W$1&amp;"C"&amp;$A33)="N/A",0,RTD("tos.rtd",,"IMPL_VOL","."&amp;W$2&amp;W$1&amp;"C"&amp;$A33))),0),IF($A$2="MAXPAIN",IF($A$4&gt;$A33,($A$4-$A33)*IF(RTD("tos.rtd",,"OPEN_INT","."&amp;W$2&amp;W$1&amp;"C"&amp;$A33)="N/A",0,RTD("tos.rtd",,"OPEN_INT","."&amp;W$2&amp;W$1&amp;"C"&amp;$A33)),0)+IF($A$4&lt;$A33,($A$5-$A$4)*IF(RTD("tos.rtd",,"OPEN_INT","."&amp;W$2&amp;W$1&amp;"P"&amp;$A33)="N/A",0,RTD("tos.rtd",,"OPEN_INT","."&amp;W$2&amp;W$1&amp;"P"&amp;$A33)),0),IF($X$1="ABS",IF(RTD("tos.rtd",,$A$2,"."&amp;W$2&amp;W$1&amp;"C"&amp;$A33)="N/A",0,RTD("tos.rtd",,$A$2,"."&amp;W$2&amp;W$1&amp;"C"&amp;$A33))+IF(RTD("tos.rtd",,$A$2,"."&amp;W$2&amp;W$1&amp;"P"&amp;$A33)="N/A",0,RTD("tos.rtd",,$A$2,"."&amp;W$2&amp;W$1&amp;"P"&amp;$A33)),IF(RTD("tos.rtd",,$A$2,"."&amp;W$2&amp;W$1&amp;"C"&amp;$A33)="N/A",0,RTD("tos.rtd",,$A$2,"."&amp;W$2&amp;W$1&amp;"C"&amp;$A33))-IF(RTD("tos.rtd",,$A$2,"."&amp;W$2&amp;W$1&amp;"P"&amp;$A33)="N/A",0,RTD("tos.rtd",,$A$2,"."&amp;W$2&amp;W$1&amp;"P"&amp;$A33))))))))))</f>
        <v>0</v>
      </c>
      <c r="X33" s="57">
        <f t="shared" ca="1" si="8"/>
        <v>0</v>
      </c>
      <c r="Y33" s="27">
        <f t="shared" ca="1" si="9"/>
        <v>0</v>
      </c>
      <c r="Z33" s="27">
        <f ca="1">+'OI-VOL'!Y33</f>
        <v>21787</v>
      </c>
      <c r="AA33" s="27" t="b">
        <f t="shared" ca="1" si="10"/>
        <v>0</v>
      </c>
      <c r="AB33" s="27">
        <f t="shared" si="11"/>
        <v>5376400</v>
      </c>
      <c r="AC33" s="18">
        <f>MAX(0, $A33-AC$4)*IF(RTD("tos.rtd",,"OPEN_INT","."&amp;$AB$3&amp;$AB$4&amp;"C"&amp;AC$4)="N/A",0,RTD("tos.rtd",,"OPEN_INT","."&amp;$AB$3&amp;$AB$4&amp;"C"&amp;AC$4))*100 + MAX(0, AC$4-$A33)*IF(RTD("tos.rtd",,"OPEN_INT","."&amp;$AB$3&amp;$AB$4&amp;"P"&amp;AC$4)="N/A",0,RTD("tos.rtd",,"OPEN_INT","."&amp;$AB$3&amp;$AB$4&amp;"P"&amp;AC$4))*100</f>
        <v>0</v>
      </c>
      <c r="AD33" s="18">
        <f>MAX(0, $A33-AD$4)*IF(RTD("tos.rtd",,"OPEN_INT","."&amp;$AB$3&amp;$AB$4&amp;"C"&amp;AD$4)="N/A",0,RTD("tos.rtd",,"OPEN_INT","."&amp;$AB$3&amp;$AB$4&amp;"C"&amp;AD$4))*100 + MAX(0, AD$4-$A33)*IF(RTD("tos.rtd",,"OPEN_INT","."&amp;$AB$3&amp;$AB$4&amp;"P"&amp;AD$4)="N/A",0,RTD("tos.rtd",,"OPEN_INT","."&amp;$AB$3&amp;$AB$4&amp;"P"&amp;AD$4))*100</f>
        <v>0</v>
      </c>
      <c r="AE33" s="18">
        <f>MAX(0, $A33-AE$4)*IF(RTD("tos.rtd",,"OPEN_INT","."&amp;$AB$3&amp;$AB$4&amp;"C"&amp;AE$4)="N/A",0,RTD("tos.rtd",,"OPEN_INT","."&amp;$AB$3&amp;$AB$4&amp;"C"&amp;AE$4))*100 + MAX(0, AE$4-$A33)*IF(RTD("tos.rtd",,"OPEN_INT","."&amp;$AB$3&amp;$AB$4&amp;"P"&amp;AE$4)="N/A",0,RTD("tos.rtd",,"OPEN_INT","."&amp;$AB$3&amp;$AB$4&amp;"P"&amp;AE$4))*100</f>
        <v>0</v>
      </c>
      <c r="AF33" s="18">
        <f>MAX(0, $A33-AF$4)*IF(RTD("tos.rtd",,"OPEN_INT","."&amp;$AB$3&amp;$AB$4&amp;"C"&amp;AF$4)="N/A",0,RTD("tos.rtd",,"OPEN_INT","."&amp;$AB$3&amp;$AB$4&amp;"C"&amp;AF$4))*100 + MAX(0, AF$4-$A33)*IF(RTD("tos.rtd",,"OPEN_INT","."&amp;$AB$3&amp;$AB$4&amp;"P"&amp;AF$4)="N/A",0,RTD("tos.rtd",,"OPEN_INT","."&amp;$AB$3&amp;$AB$4&amp;"P"&amp;AF$4))*100</f>
        <v>0</v>
      </c>
      <c r="AG33" s="18">
        <f>MAX(0, $A33-AG$4)*IF(RTD("tos.rtd",,"OPEN_INT","."&amp;$AB$3&amp;$AB$4&amp;"C"&amp;AG$4)="N/A",0,RTD("tos.rtd",,"OPEN_INT","."&amp;$AB$3&amp;$AB$4&amp;"C"&amp;AG$4))*100 + MAX(0, AG$4-$A33)*IF(RTD("tos.rtd",,"OPEN_INT","."&amp;$AB$3&amp;$AB$4&amp;"P"&amp;AG$4)="N/A",0,RTD("tos.rtd",,"OPEN_INT","."&amp;$AB$3&amp;$AB$4&amp;"P"&amp;AG$4))*100</f>
        <v>0</v>
      </c>
      <c r="AH33" s="18">
        <f>MAX(0, $A33-AH$4)*IF(RTD("tos.rtd",,"OPEN_INT","."&amp;$AB$3&amp;$AB$4&amp;"C"&amp;AH$4)="N/A",0,RTD("tos.rtd",,"OPEN_INT","."&amp;$AB$3&amp;$AB$4&amp;"C"&amp;AH$4))*100 + MAX(0, AH$4-$A33)*IF(RTD("tos.rtd",,"OPEN_INT","."&amp;$AB$3&amp;$AB$4&amp;"P"&amp;AH$4)="N/A",0,RTD("tos.rtd",,"OPEN_INT","."&amp;$AB$3&amp;$AB$4&amp;"P"&amp;AH$4))*100</f>
        <v>0</v>
      </c>
      <c r="AI33" s="18">
        <f>MAX(0, $A33-AI$4)*IF(RTD("tos.rtd",,"OPEN_INT","."&amp;$AB$3&amp;$AB$4&amp;"C"&amp;AI$4)="N/A",0,RTD("tos.rtd",,"OPEN_INT","."&amp;$AB$3&amp;$AB$4&amp;"C"&amp;AI$4))*100 + MAX(0, AI$4-$A33)*IF(RTD("tos.rtd",,"OPEN_INT","."&amp;$AB$3&amp;$AB$4&amp;"P"&amp;AI$4)="N/A",0,RTD("tos.rtd",,"OPEN_INT","."&amp;$AB$3&amp;$AB$4&amp;"P"&amp;AI$4))*100</f>
        <v>0</v>
      </c>
      <c r="AJ33" s="18">
        <f>MAX(0, $A33-AJ$4)*IF(RTD("tos.rtd",,"OPEN_INT","."&amp;$AB$3&amp;$AB$4&amp;"C"&amp;AJ$4)="N/A",0,RTD("tos.rtd",,"OPEN_INT","."&amp;$AB$3&amp;$AB$4&amp;"C"&amp;AJ$4))*100 + MAX(0, AJ$4-$A33)*IF(RTD("tos.rtd",,"OPEN_INT","."&amp;$AB$3&amp;$AB$4&amp;"P"&amp;AJ$4)="N/A",0,RTD("tos.rtd",,"OPEN_INT","."&amp;$AB$3&amp;$AB$4&amp;"P"&amp;AJ$4))*100</f>
        <v>3150</v>
      </c>
      <c r="AK33" s="18">
        <f>MAX(0, $A33-AK$4)*IF(RTD("tos.rtd",,"OPEN_INT","."&amp;$AB$3&amp;$AB$4&amp;"C"&amp;AK$4)="N/A",0,RTD("tos.rtd",,"OPEN_INT","."&amp;$AB$3&amp;$AB$4&amp;"C"&amp;AK$4))*100 + MAX(0, AK$4-$A33)*IF(RTD("tos.rtd",,"OPEN_INT","."&amp;$AB$3&amp;$AB$4&amp;"P"&amp;AK$4)="N/A",0,RTD("tos.rtd",,"OPEN_INT","."&amp;$AB$3&amp;$AB$4&amp;"P"&amp;AK$4))*100</f>
        <v>8000</v>
      </c>
      <c r="AL33" s="18">
        <f>MAX(0, $A33-AL$4)*IF(RTD("tos.rtd",,"OPEN_INT","."&amp;$AB$3&amp;$AB$4&amp;"C"&amp;AL$4)="N/A",0,RTD("tos.rtd",,"OPEN_INT","."&amp;$AB$3&amp;$AB$4&amp;"C"&amp;AL$4))*100 + MAX(0, AL$4-$A33)*IF(RTD("tos.rtd",,"OPEN_INT","."&amp;$AB$3&amp;$AB$4&amp;"P"&amp;AL$4)="N/A",0,RTD("tos.rtd",,"OPEN_INT","."&amp;$AB$3&amp;$AB$4&amp;"P"&amp;AL$4))*100</f>
        <v>0</v>
      </c>
      <c r="AM33" s="18">
        <f>MAX(0, $A33-AM$4)*IF(RTD("tos.rtd",,"OPEN_INT","."&amp;$AB$3&amp;$AB$4&amp;"C"&amp;AM$4)="N/A",0,RTD("tos.rtd",,"OPEN_INT","."&amp;$AB$3&amp;$AB$4&amp;"C"&amp;AM$4))*100 + MAX(0, AM$4-$A33)*IF(RTD("tos.rtd",,"OPEN_INT","."&amp;$AB$3&amp;$AB$4&amp;"P"&amp;AM$4)="N/A",0,RTD("tos.rtd",,"OPEN_INT","."&amp;$AB$3&amp;$AB$4&amp;"P"&amp;AM$4))*100</f>
        <v>0</v>
      </c>
      <c r="AN33" s="18">
        <f>MAX(0, $A33-AN$4)*IF(RTD("tos.rtd",,"OPEN_INT","."&amp;$AB$3&amp;$AB$4&amp;"C"&amp;AN$4)="N/A",0,RTD("tos.rtd",,"OPEN_INT","."&amp;$AB$3&amp;$AB$4&amp;"C"&amp;AN$4))*100 + MAX(0, AN$4-$A33)*IF(RTD("tos.rtd",,"OPEN_INT","."&amp;$AB$3&amp;$AB$4&amp;"P"&amp;AN$4)="N/A",0,RTD("tos.rtd",,"OPEN_INT","."&amp;$AB$3&amp;$AB$4&amp;"P"&amp;AN$4))*100</f>
        <v>0</v>
      </c>
      <c r="AO33" s="18">
        <f>MAX(0, $A33-AO$4)*IF(RTD("tos.rtd",,"OPEN_INT","."&amp;$AB$3&amp;$AB$4&amp;"C"&amp;AO$4)="N/A",0,RTD("tos.rtd",,"OPEN_INT","."&amp;$AB$3&amp;$AB$4&amp;"C"&amp;AO$4))*100 + MAX(0, AO$4-$A33)*IF(RTD("tos.rtd",,"OPEN_INT","."&amp;$AB$3&amp;$AB$4&amp;"P"&amp;AO$4)="N/A",0,RTD("tos.rtd",,"OPEN_INT","."&amp;$AB$3&amp;$AB$4&amp;"P"&amp;AO$4))*100</f>
        <v>0</v>
      </c>
      <c r="AP33" s="18">
        <f>MAX(0, $A33-AP$4)*IF(RTD("tos.rtd",,"OPEN_INT","."&amp;$AB$3&amp;$AB$4&amp;"C"&amp;AP$4)="N/A",0,RTD("tos.rtd",,"OPEN_INT","."&amp;$AB$3&amp;$AB$4&amp;"C"&amp;AP$4))*100 + MAX(0, AP$4-$A33)*IF(RTD("tos.rtd",,"OPEN_INT","."&amp;$AB$3&amp;$AB$4&amp;"P"&amp;AP$4)="N/A",0,RTD("tos.rtd",,"OPEN_INT","."&amp;$AB$3&amp;$AB$4&amp;"P"&amp;AP$4))*100</f>
        <v>90000</v>
      </c>
      <c r="AQ33" s="18">
        <f>MAX(0, $A33-AQ$4)*IF(RTD("tos.rtd",,"OPEN_INT","."&amp;$AB$3&amp;$AB$4&amp;"C"&amp;AQ$4)="N/A",0,RTD("tos.rtd",,"OPEN_INT","."&amp;$AB$3&amp;$AB$4&amp;"C"&amp;AQ$4))*100 + MAX(0, AQ$4-$A33)*IF(RTD("tos.rtd",,"OPEN_INT","."&amp;$AB$3&amp;$AB$4&amp;"P"&amp;AQ$4)="N/A",0,RTD("tos.rtd",,"OPEN_INT","."&amp;$AB$3&amp;$AB$4&amp;"P"&amp;AQ$4))*100</f>
        <v>0</v>
      </c>
      <c r="AR33" s="18">
        <f>MAX(0, $A33-AR$4)*IF(RTD("tos.rtd",,"OPEN_INT","."&amp;$AB$3&amp;$AB$4&amp;"C"&amp;AR$4)="N/A",0,RTD("tos.rtd",,"OPEN_INT","."&amp;$AB$3&amp;$AB$4&amp;"C"&amp;AR$4))*100 + MAX(0, AR$4-$A33)*IF(RTD("tos.rtd",,"OPEN_INT","."&amp;$AB$3&amp;$AB$4&amp;"P"&amp;AR$4)="N/A",0,RTD("tos.rtd",,"OPEN_INT","."&amp;$AB$3&amp;$AB$4&amp;"P"&amp;AR$4))*100</f>
        <v>34450</v>
      </c>
      <c r="AS33" s="18">
        <f>MAX(0, $A33-AS$4)*IF(RTD("tos.rtd",,"OPEN_INT","."&amp;$AB$3&amp;$AB$4&amp;"C"&amp;AS$4)="N/A",0,RTD("tos.rtd",,"OPEN_INT","."&amp;$AB$3&amp;$AB$4&amp;"C"&amp;AS$4))*100 + MAX(0, AS$4-$A33)*IF(RTD("tos.rtd",,"OPEN_INT","."&amp;$AB$3&amp;$AB$4&amp;"P"&amp;AS$4)="N/A",0,RTD("tos.rtd",,"OPEN_INT","."&amp;$AB$3&amp;$AB$4&amp;"P"&amp;AS$4))*100</f>
        <v>3600</v>
      </c>
      <c r="AT33" s="18">
        <f>MAX(0, $A33-AT$4)*IF(RTD("tos.rtd",,"OPEN_INT","."&amp;$AB$3&amp;$AB$4&amp;"C"&amp;AT$4)="N/A",0,RTD("tos.rtd",,"OPEN_INT","."&amp;$AB$3&amp;$AB$4&amp;"C"&amp;AT$4))*100 + MAX(0, AT$4-$A33)*IF(RTD("tos.rtd",,"OPEN_INT","."&amp;$AB$3&amp;$AB$4&amp;"P"&amp;AT$4)="N/A",0,RTD("tos.rtd",,"OPEN_INT","."&amp;$AB$3&amp;$AB$4&amp;"P"&amp;AT$4))*100</f>
        <v>34100</v>
      </c>
      <c r="AU33" s="18">
        <f>MAX(0, $A33-AU$4)*IF(RTD("tos.rtd",,"OPEN_INT","."&amp;$AB$3&amp;$AB$4&amp;"C"&amp;AU$4)="N/A",0,RTD("tos.rtd",,"OPEN_INT","."&amp;$AB$3&amp;$AB$4&amp;"C"&amp;AU$4))*100 + MAX(0, AU$4-$A33)*IF(RTD("tos.rtd",,"OPEN_INT","."&amp;$AB$3&amp;$AB$4&amp;"P"&amp;AU$4)="N/A",0,RTD("tos.rtd",,"OPEN_INT","."&amp;$AB$3&amp;$AB$4&amp;"P"&amp;AU$4))*100</f>
        <v>35000</v>
      </c>
      <c r="AV33" s="18">
        <f>MAX(0, $A33-AV$4)*IF(RTD("tos.rtd",,"OPEN_INT","."&amp;$AB$3&amp;$AB$4&amp;"C"&amp;AV$4)="N/A",0,RTD("tos.rtd",,"OPEN_INT","."&amp;$AB$3&amp;$AB$4&amp;"C"&amp;AV$4))*100 + MAX(0, AV$4-$A33)*IF(RTD("tos.rtd",,"OPEN_INT","."&amp;$AB$3&amp;$AB$4&amp;"P"&amp;AV$4)="N/A",0,RTD("tos.rtd",,"OPEN_INT","."&amp;$AB$3&amp;$AB$4&amp;"P"&amp;AV$4))*100</f>
        <v>18000</v>
      </c>
      <c r="AW33" s="18">
        <f>MAX(0, $A33-AW$4)*IF(RTD("tos.rtd",,"OPEN_INT","."&amp;$AB$3&amp;$AB$4&amp;"C"&amp;AW$4)="N/A",0,RTD("tos.rtd",,"OPEN_INT","."&amp;$AB$3&amp;$AB$4&amp;"C"&amp;AW$4))*100 + MAX(0, AW$4-$A33)*IF(RTD("tos.rtd",,"OPEN_INT","."&amp;$AB$3&amp;$AB$4&amp;"P"&amp;AW$4)="N/A",0,RTD("tos.rtd",,"OPEN_INT","."&amp;$AB$3&amp;$AB$4&amp;"P"&amp;AW$4))*100</f>
        <v>64400</v>
      </c>
      <c r="AX33" s="18">
        <f>MAX(0, $A33-AX$4)*IF(RTD("tos.rtd",,"OPEN_INT","."&amp;$AB$3&amp;$AB$4&amp;"C"&amp;AX$4)="N/A",0,RTD("tos.rtd",,"OPEN_INT","."&amp;$AB$3&amp;$AB$4&amp;"C"&amp;AX$4))*100 + MAX(0, AX$4-$A33)*IF(RTD("tos.rtd",,"OPEN_INT","."&amp;$AB$3&amp;$AB$4&amp;"P"&amp;AX$4)="N/A",0,RTD("tos.rtd",,"OPEN_INT","."&amp;$AB$3&amp;$AB$4&amp;"P"&amp;AX$4))*100</f>
        <v>70700</v>
      </c>
      <c r="AY33" s="18">
        <f>MAX(0, $A33-AY$4)*IF(RTD("tos.rtd",,"OPEN_INT","."&amp;$AB$3&amp;$AB$4&amp;"C"&amp;AY$4)="N/A",0,RTD("tos.rtd",,"OPEN_INT","."&amp;$AB$3&amp;$AB$4&amp;"C"&amp;AY$4))*100 + MAX(0, AY$4-$A33)*IF(RTD("tos.rtd",,"OPEN_INT","."&amp;$AB$3&amp;$AB$4&amp;"P"&amp;AY$4)="N/A",0,RTD("tos.rtd",,"OPEN_INT","."&amp;$AB$3&amp;$AB$4&amp;"P"&amp;AY$4))*100</f>
        <v>74100</v>
      </c>
      <c r="AZ33" s="18">
        <f>MAX(0, $A33-AZ$4)*IF(RTD("tos.rtd",,"OPEN_INT","."&amp;$AB$3&amp;$AB$4&amp;"C"&amp;AZ$4)="N/A",0,RTD("tos.rtd",,"OPEN_INT","."&amp;$AB$3&amp;$AB$4&amp;"C"&amp;AZ$4))*100 + MAX(0, AZ$4-$A33)*IF(RTD("tos.rtd",,"OPEN_INT","."&amp;$AB$3&amp;$AB$4&amp;"P"&amp;AZ$4)="N/A",0,RTD("tos.rtd",,"OPEN_INT","."&amp;$AB$3&amp;$AB$4&amp;"P"&amp;AZ$4))*100</f>
        <v>518500</v>
      </c>
      <c r="BA33" s="18">
        <f>MAX(0, $A33-BA$4)*IF(RTD("tos.rtd",,"OPEN_INT","."&amp;$AB$3&amp;$AB$4&amp;"C"&amp;BA$4)="N/A",0,RTD("tos.rtd",,"OPEN_INT","."&amp;$AB$3&amp;$AB$4&amp;"C"&amp;BA$4))*100 + MAX(0, BA$4-$A33)*IF(RTD("tos.rtd",,"OPEN_INT","."&amp;$AB$3&amp;$AB$4&amp;"P"&amp;BA$4)="N/A",0,RTD("tos.rtd",,"OPEN_INT","."&amp;$AB$3&amp;$AB$4&amp;"P"&amp;BA$4))*100</f>
        <v>113600</v>
      </c>
      <c r="BB33" s="18">
        <f>MAX(0, $A33-BB$4)*IF(RTD("tos.rtd",,"OPEN_INT","."&amp;$AB$3&amp;$AB$4&amp;"C"&amp;BB$4)="N/A",0,RTD("tos.rtd",,"OPEN_INT","."&amp;$AB$3&amp;$AB$4&amp;"C"&amp;BB$4))*100 + MAX(0, BB$4-$A33)*IF(RTD("tos.rtd",,"OPEN_INT","."&amp;$AB$3&amp;$AB$4&amp;"P"&amp;BB$4)="N/A",0,RTD("tos.rtd",,"OPEN_INT","."&amp;$AB$3&amp;$AB$4&amp;"P"&amp;BB$4))*100</f>
        <v>351000</v>
      </c>
      <c r="BC33" s="18">
        <f>MAX(0, $A33-BC$4)*IF(RTD("tos.rtd",,"OPEN_INT","."&amp;$AB$3&amp;$AB$4&amp;"C"&amp;BC$4)="N/A",0,RTD("tos.rtd",,"OPEN_INT","."&amp;$AB$3&amp;$AB$4&amp;"C"&amp;BC$4))*100 + MAX(0, BC$4-$A33)*IF(RTD("tos.rtd",,"OPEN_INT","."&amp;$AB$3&amp;$AB$4&amp;"P"&amp;BC$4)="N/A",0,RTD("tos.rtd",,"OPEN_INT","."&amp;$AB$3&amp;$AB$4&amp;"P"&amp;BC$4))*100</f>
        <v>228400</v>
      </c>
      <c r="BD33" s="18">
        <f>MAX(0, $A33-BD$4)*IF(RTD("tos.rtd",,"OPEN_INT","."&amp;$AB$3&amp;$AB$4&amp;"C"&amp;BD$4)="N/A",0,RTD("tos.rtd",,"OPEN_INT","."&amp;$AB$3&amp;$AB$4&amp;"C"&amp;BD$4))*100 + MAX(0, BD$4-$A33)*IF(RTD("tos.rtd",,"OPEN_INT","."&amp;$AB$3&amp;$AB$4&amp;"P"&amp;BD$4)="N/A",0,RTD("tos.rtd",,"OPEN_INT","."&amp;$AB$3&amp;$AB$4&amp;"P"&amp;BD$4))*100</f>
        <v>382550</v>
      </c>
      <c r="BE33" s="18">
        <f>MAX(0, $A33-BE$4)*IF(RTD("tos.rtd",,"OPEN_INT","."&amp;$AB$3&amp;$AB$4&amp;"C"&amp;BE$4)="N/A",0,RTD("tos.rtd",,"OPEN_INT","."&amp;$AB$3&amp;$AB$4&amp;"C"&amp;BE$4))*100 + MAX(0, BE$4-$A33)*IF(RTD("tos.rtd",,"OPEN_INT","."&amp;$AB$3&amp;$AB$4&amp;"P"&amp;BE$4)="N/A",0,RTD("tos.rtd",,"OPEN_INT","."&amp;$AB$3&amp;$AB$4&amp;"P"&amp;BE$4))*100</f>
        <v>0</v>
      </c>
      <c r="BF33" s="18">
        <f>MAX(0, $A33-BF$4)*IF(RTD("tos.rtd",,"OPEN_INT","."&amp;$AB$3&amp;$AB$4&amp;"C"&amp;BF$4)="N/A",0,RTD("tos.rtd",,"OPEN_INT","."&amp;$AB$3&amp;$AB$4&amp;"C"&amp;BF$4))*100 + MAX(0, BF$4-$A33)*IF(RTD("tos.rtd",,"OPEN_INT","."&amp;$AB$3&amp;$AB$4&amp;"P"&amp;BF$4)="N/A",0,RTD("tos.rtd",,"OPEN_INT","."&amp;$AB$3&amp;$AB$4&amp;"P"&amp;BF$4))*100</f>
        <v>863900</v>
      </c>
      <c r="BG33" s="18">
        <f>MAX(0, $A33-BG$4)*IF(RTD("tos.rtd",,"OPEN_INT","."&amp;$AB$3&amp;$AB$4&amp;"C"&amp;BG$4)="N/A",0,RTD("tos.rtd",,"OPEN_INT","."&amp;$AB$3&amp;$AB$4&amp;"C"&amp;BG$4))*100 + MAX(0, BG$4-$A33)*IF(RTD("tos.rtd",,"OPEN_INT","."&amp;$AB$3&amp;$AB$4&amp;"P"&amp;BG$4)="N/A",0,RTD("tos.rtd",,"OPEN_INT","."&amp;$AB$3&amp;$AB$4&amp;"P"&amp;BG$4))*100</f>
        <v>840700</v>
      </c>
      <c r="BH33" s="18">
        <f>MAX(0, $A33-BH$4)*IF(RTD("tos.rtd",,"OPEN_INT","."&amp;$AB$3&amp;$AB$4&amp;"C"&amp;BH$4)="N/A",0,RTD("tos.rtd",,"OPEN_INT","."&amp;$AB$3&amp;$AB$4&amp;"C"&amp;BH$4))*100 + MAX(0, BH$4-$A33)*IF(RTD("tos.rtd",,"OPEN_INT","."&amp;$AB$3&amp;$AB$4&amp;"P"&amp;BH$4)="N/A",0,RTD("tos.rtd",,"OPEN_INT","."&amp;$AB$3&amp;$AB$4&amp;"P"&amp;BH$4))*100</f>
        <v>860100</v>
      </c>
      <c r="BI33" s="18">
        <f>MAX(0, $A33-BI$4)*IF(RTD("tos.rtd",,"OPEN_INT","."&amp;$AB$3&amp;$AB$4&amp;"C"&amp;BI$4)="N/A",0,RTD("tos.rtd",,"OPEN_INT","."&amp;$AB$3&amp;$AB$4&amp;"C"&amp;BI$4))*100 + MAX(0, BI$4-$A33)*IF(RTD("tos.rtd",,"OPEN_INT","."&amp;$AB$3&amp;$AB$4&amp;"P"&amp;BI$4)="N/A",0,RTD("tos.rtd",,"OPEN_INT","."&amp;$AB$3&amp;$AB$4&amp;"P"&amp;BI$4))*100</f>
        <v>388600</v>
      </c>
      <c r="BJ33" s="18">
        <f>MAX(0, $A33-BJ$4)*IF(RTD("tos.rtd",,"OPEN_INT","."&amp;$AB$3&amp;$AB$4&amp;"C"&amp;BJ$4)="N/A",0,RTD("tos.rtd",,"OPEN_INT","."&amp;$AB$3&amp;$AB$4&amp;"C"&amp;BJ$4))*100 + MAX(0, BJ$4-$A33)*IF(RTD("tos.rtd",,"OPEN_INT","."&amp;$AB$3&amp;$AB$4&amp;"P"&amp;BJ$4)="N/A",0,RTD("tos.rtd",,"OPEN_INT","."&amp;$AB$3&amp;$AB$4&amp;"P"&amp;BJ$4))*100</f>
        <v>210500</v>
      </c>
      <c r="BK33" s="18">
        <f>MAX(0, $A33-BK$4)*IF(RTD("tos.rtd",,"OPEN_INT","."&amp;$AB$3&amp;$AB$4&amp;"C"&amp;BK$4)="N/A",0,RTD("tos.rtd",,"OPEN_INT","."&amp;$AB$3&amp;$AB$4&amp;"C"&amp;BK$4))*100 + MAX(0, BK$4-$A33)*IF(RTD("tos.rtd",,"OPEN_INT","."&amp;$AB$3&amp;$AB$4&amp;"P"&amp;BK$4)="N/A",0,RTD("tos.rtd",,"OPEN_INT","."&amp;$AB$3&amp;$AB$4&amp;"P"&amp;BK$4))*100</f>
        <v>45300</v>
      </c>
      <c r="BL33" s="18">
        <f>MAX(0, $A33-BL$4)*IF(RTD("tos.rtd",,"OPEN_INT","."&amp;$AB$3&amp;$AB$4&amp;"C"&amp;BL$4)="N/A",0,RTD("tos.rtd",,"OPEN_INT","."&amp;$AB$3&amp;$AB$4&amp;"C"&amp;BL$4))*100 + MAX(0, BL$4-$A33)*IF(RTD("tos.rtd",,"OPEN_INT","."&amp;$AB$3&amp;$AB$4&amp;"P"&amp;BL$4)="N/A",0,RTD("tos.rtd",,"OPEN_INT","."&amp;$AB$3&amp;$AB$4&amp;"P"&amp;BL$4))*100</f>
        <v>91350</v>
      </c>
      <c r="BM33" s="18">
        <f>MAX(0, $A33-BM$4)*IF(RTD("tos.rtd",,"OPEN_INT","."&amp;$AB$3&amp;$AB$4&amp;"C"&amp;BM$4)="N/A",0,RTD("tos.rtd",,"OPEN_INT","."&amp;$AB$3&amp;$AB$4&amp;"C"&amp;BM$4))*100 + MAX(0, BM$4-$A33)*IF(RTD("tos.rtd",,"OPEN_INT","."&amp;$AB$3&amp;$AB$4&amp;"P"&amp;BM$4)="N/A",0,RTD("tos.rtd",,"OPEN_INT","."&amp;$AB$3&amp;$AB$4&amp;"P"&amp;BM$4))*100</f>
        <v>6400</v>
      </c>
      <c r="BN33" s="18">
        <f>MAX(0, $A33-BN$4)*IF(RTD("tos.rtd",,"OPEN_INT","."&amp;$AB$3&amp;$AB$4&amp;"C"&amp;BN$4)="N/A",0,RTD("tos.rtd",,"OPEN_INT","."&amp;$AB$3&amp;$AB$4&amp;"C"&amp;BN$4))*100 + MAX(0, BN$4-$A33)*IF(RTD("tos.rtd",,"OPEN_INT","."&amp;$AB$3&amp;$AB$4&amp;"P"&amp;BN$4)="N/A",0,RTD("tos.rtd",,"OPEN_INT","."&amp;$AB$3&amp;$AB$4&amp;"P"&amp;BN$4))*100</f>
        <v>3600</v>
      </c>
      <c r="BO33" s="18">
        <f>MAX(0, $A33-BO$4)*IF(RTD("tos.rtd",,"OPEN_INT","."&amp;$AB$3&amp;$AB$4&amp;"C"&amp;BO$4)="N/A",0,RTD("tos.rtd",,"OPEN_INT","."&amp;$AB$3&amp;$AB$4&amp;"C"&amp;BO$4))*100 + MAX(0, BO$4-$A33)*IF(RTD("tos.rtd",,"OPEN_INT","."&amp;$AB$3&amp;$AB$4&amp;"P"&amp;BO$4)="N/A",0,RTD("tos.rtd",,"OPEN_INT","."&amp;$AB$3&amp;$AB$4&amp;"P"&amp;BO$4))*100</f>
        <v>15500</v>
      </c>
      <c r="BP33" s="18">
        <f>MAX(0, $A33-BP$4)*IF(RTD("tos.rtd",,"OPEN_INT","."&amp;$AB$3&amp;$AB$4&amp;"C"&amp;BP$4)="N/A",0,RTD("tos.rtd",,"OPEN_INT","."&amp;$AB$3&amp;$AB$4&amp;"C"&amp;BP$4))*100 + MAX(0, BP$4-$A33)*IF(RTD("tos.rtd",,"OPEN_INT","."&amp;$AB$3&amp;$AB$4&amp;"P"&amp;BP$4)="N/A",0,RTD("tos.rtd",,"OPEN_INT","."&amp;$AB$3&amp;$AB$4&amp;"P"&amp;BP$4))*100</f>
        <v>20900</v>
      </c>
      <c r="BQ33" s="18">
        <f>MAX(0, $A33-BQ$4)*IF(RTD("tos.rtd",,"OPEN_INT","."&amp;$AB$3&amp;$AB$4&amp;"C"&amp;BQ$4)="N/A",0,RTD("tos.rtd",,"OPEN_INT","."&amp;$AB$3&amp;$AB$4&amp;"C"&amp;BQ$4))*100 + MAX(0, BQ$4-$A33)*IF(RTD("tos.rtd",,"OPEN_INT","."&amp;$AB$3&amp;$AB$4&amp;"P"&amp;BQ$4)="N/A",0,RTD("tos.rtd",,"OPEN_INT","."&amp;$AB$3&amp;$AB$4&amp;"P"&amp;BQ$4))*100</f>
        <v>0</v>
      </c>
      <c r="BR33" s="18">
        <f>MAX(0, $A33-BR$4)*IF(RTD("tos.rtd",,"OPEN_INT","."&amp;$AB$3&amp;$AB$4&amp;"C"&amp;BR$4)="N/A",0,RTD("tos.rtd",,"OPEN_INT","."&amp;$AB$3&amp;$AB$4&amp;"C"&amp;BR$4))*100 + MAX(0, BR$4-$A33)*IF(RTD("tos.rtd",,"OPEN_INT","."&amp;$AB$3&amp;$AB$4&amp;"P"&amp;BR$4)="N/A",0,RTD("tos.rtd",,"OPEN_INT","."&amp;$AB$3&amp;$AB$4&amp;"P"&amp;BR$4))*100</f>
        <v>0</v>
      </c>
      <c r="BS33" s="18">
        <f>MAX(0, $A33-BS$4)*IF(RTD("tos.rtd",,"OPEN_INT","."&amp;$AB$3&amp;$AB$4&amp;"C"&amp;BS$4)="N/A",0,RTD("tos.rtd",,"OPEN_INT","."&amp;$AB$3&amp;$AB$4&amp;"C"&amp;BS$4))*100 + MAX(0, BS$4-$A33)*IF(RTD("tos.rtd",,"OPEN_INT","."&amp;$AB$3&amp;$AB$4&amp;"P"&amp;BS$4)="N/A",0,RTD("tos.rtd",,"OPEN_INT","."&amp;$AB$3&amp;$AB$4&amp;"P"&amp;BS$4))*100</f>
        <v>0</v>
      </c>
      <c r="BT33" s="18">
        <f>MAX(0, $A33-BT$4)*IF(RTD("tos.rtd",,"OPEN_INT","."&amp;$AB$3&amp;$AB$4&amp;"C"&amp;BT$4)="N/A",0,RTD("tos.rtd",,"OPEN_INT","."&amp;$AB$3&amp;$AB$4&amp;"C"&amp;BT$4))*100 + MAX(0, BT$4-$A33)*IF(RTD("tos.rtd",,"OPEN_INT","."&amp;$AB$3&amp;$AB$4&amp;"P"&amp;BT$4)="N/A",0,RTD("tos.rtd",,"OPEN_INT","."&amp;$AB$3&amp;$AB$4&amp;"P"&amp;BT$4))*100</f>
        <v>0</v>
      </c>
      <c r="BU33" s="18">
        <f>MAX(0, $A33-BU$4)*IF(RTD("tos.rtd",,"OPEN_INT","."&amp;$AB$3&amp;$AB$4&amp;"C"&amp;BU$4)="N/A",0,RTD("tos.rtd",,"OPEN_INT","."&amp;$AB$3&amp;$AB$4&amp;"C"&amp;BU$4))*100 + MAX(0, BU$4-$A33)*IF(RTD("tos.rtd",,"OPEN_INT","."&amp;$AB$3&amp;$AB$4&amp;"P"&amp;BU$4)="N/A",0,RTD("tos.rtd",,"OPEN_INT","."&amp;$AB$3&amp;$AB$4&amp;"P"&amp;BU$4))*100</f>
        <v>0</v>
      </c>
      <c r="BV33" s="18">
        <f>MAX(0, $A33-BV$4)*IF(RTD("tos.rtd",,"OPEN_INT","."&amp;$AB$3&amp;$AB$4&amp;"C"&amp;BV$4)="N/A",0,RTD("tos.rtd",,"OPEN_INT","."&amp;$AB$3&amp;$AB$4&amp;"C"&amp;BV$4))*100 + MAX(0, BV$4-$A33)*IF(RTD("tos.rtd",,"OPEN_INT","."&amp;$AB$3&amp;$AB$4&amp;"P"&amp;BV$4)="N/A",0,RTD("tos.rtd",,"OPEN_INT","."&amp;$AB$3&amp;$AB$4&amp;"P"&amp;BV$4))*100</f>
        <v>0</v>
      </c>
      <c r="BW33" s="18">
        <f>MAX(0, $A33-BW$4)*IF(RTD("tos.rtd",,"OPEN_INT","."&amp;$AB$3&amp;$AB$4&amp;"C"&amp;BW$4)="N/A",0,RTD("tos.rtd",,"OPEN_INT","."&amp;$AB$3&amp;$AB$4&amp;"C"&amp;BW$4))*100 + MAX(0, BW$4-$A33)*IF(RTD("tos.rtd",,"OPEN_INT","."&amp;$AB$3&amp;$AB$4&amp;"P"&amp;BW$4)="N/A",0,RTD("tos.rtd",,"OPEN_INT","."&amp;$AB$3&amp;$AB$4&amp;"P"&amp;BW$4))*100</f>
        <v>0</v>
      </c>
    </row>
    <row r="34" spans="1:75" s="19" customFormat="1" ht="11.1" customHeight="1" thickBot="1" x14ac:dyDescent="0.3">
      <c r="A34" s="23">
        <f t="shared" si="12"/>
        <v>7</v>
      </c>
      <c r="B34" s="14">
        <f ca="1">IF($A$2="PREMIUM_OI",IFERROR(IF($X$1="ABS",(100*RTD("tos.rtd",,"OPEN_INT","."&amp;B$2&amp;B$1&amp;"C"&amp;$A34)*RTD("tos.rtd",,"LAST","."&amp;B$2&amp;B$1&amp;"C"&amp;$A34)+100*RTD("tos.rtd",,"OPEN_INT","."&amp;B$2&amp;B$1&amp;"P"&amp;$A34)*RTD("tos.rtd",,"LAST","."&amp;B$2&amp;B$1&amp;"P"&amp;$A34))/1000000,(100*RTD("tos.rtd",,"OPEN_INT","."&amp;B$2&amp;B$1&amp;"C"&amp;$A34)*RTD("tos.rtd",,"LAST","."&amp;B$2&amp;B$1&amp;"C"&amp;$A34)-100*RTD("tos.rtd",,"OPEN_INT","."&amp;B$2&amp;B$1&amp;"P"&amp;$A34)*RTD("tos.rtd",,"LAST","."&amp;B$2&amp;B$1&amp;"P"&amp;$A34))/1000000),0),IF($A$2="PREMIUM",IFERROR(IF($X$1="ABS",(100*RTD("tos.rtd",,"VOLUME","."&amp;B$2&amp;B$1&amp;"C"&amp;$A34)*RTD("tos.rtd",,"LAST","."&amp;B$2&amp;B$1&amp;"C"&amp;$A34)+100*RTD("tos.rtd",,"VOLUME","."&amp;B$2&amp;B$1&amp;"P"&amp;$A34)*RTD("tos.rtd",,"LAST","."&amp;B$2&amp;B$1&amp;"P"&amp;$A34))/1000000,(100*RTD("tos.rtd",,"VOLUME","."&amp;B$2&amp;B$1&amp;"C"&amp;$A34)*RTD("tos.rtd",,"LAST","."&amp;B$2&amp;B$1&amp;"C"&amp;$A34)-100*RTD("tos.rtd",,"VOLUME","."&amp;B$2&amp;B$1&amp;"P"&amp;$A34)*RTD("tos.rtd",,"LAST","."&amp;B$2&amp;B$1&amp;"P"&amp;$A34))/1000000),0),IF($A$2="DEX",IFERROR(IF($X$1="ABS",(100*RTD("tos.rtd",,"OPEN_INT","."&amp;B$2&amp;B$1&amp;"C"&amp;$A34)*RTD("tos.rtd",,"DELTA","."&amp;B$2&amp;B$1&amp;"C"&amp;$A34)+100*RTD("tos.rtd",,"OPEN_INT","."&amp;B$2&amp;B$1&amp;"P"&amp;$A34)*RTD("tos.rtd",,"DELTA","."&amp;B$2&amp;B$1&amp;"P"&amp;$A34))/1000,(100*RTD("tos.rtd",,"OPEN_INT","."&amp;B$2&amp;B$1&amp;"C"&amp;$A34)*RTD("tos.rtd",,"DELTA","."&amp;B$2&amp;B$1&amp;"C"&amp;$A34)-100*RTD("tos.rtd",,"OPEN_INT","."&amp;B$2&amp;B$1&amp;"P"&amp;$A34)*RTD("tos.rtd",,"DELTA","."&amp;B$2&amp;B$1&amp;"P"&amp;$A34))/1000),0),IF($A$2="VEX",IFERROR(IF($X$1="ABS",($A$4*$A$4*RTD("tos.rtd",,"VOLUME","."&amp;B$2&amp;B$1&amp;"C"&amp;$A34)*RTD("tos.rtd",,"GAMMA","."&amp;B$2&amp;B$1&amp;"C"&amp;$A34)+$A$4*$A$4*RTD("tos.rtd",,"VOLUME","."&amp;B$2&amp;B$1&amp;"P"&amp;$A34)*RTD("tos.rtd",,"GAMMA","."&amp;B$2&amp;B$1&amp;"P"&amp;$A34))/1000000,($A$4*$A$4*RTD("tos.rtd",,"VOLUME","."&amp;B$2&amp;B$1&amp;"C"&amp;$A34)*RTD("tos.rtd",,"GAMMA","."&amp;B$2&amp;B$1&amp;"C"&amp;$A34)-$A$4*$A$4*RTD("tos.rtd",,"VOLUME","."&amp;B$2&amp;B$1&amp;"P"&amp;$A34)*RTD("tos.rtd",,"GAMMA","."&amp;B$2&amp;B$1&amp;"P"&amp;$A34))/1000000),0),IF($A$2="GEX",IFERROR(IF($X$1="ABS",($A$4*$A$4*RTD("tos.rtd",,"OPEN_INT","."&amp;B$2&amp;B$1&amp;"C"&amp;$A34)*RTD("tos.rtd",,"GAMMA","."&amp;B$2&amp;B$1&amp;"C"&amp;$A34)+$A$4*$A$4*RTD("tos.rtd",,"OPEN_INT","."&amp;B$2&amp;B$1&amp;"P"&amp;$A34)*RTD("tos.rtd",,"GAMMA","."&amp;B$2&amp;B$1&amp;"P"&amp;$A34))/1000000,($A$4*$A$4*RTD("tos.rtd",,"OPEN_INT","."&amp;B$2&amp;B$1&amp;"C"&amp;$A34)*RTD("tos.rtd",,"GAMMA","."&amp;B$2&amp;B$1&amp;"C"&amp;$A34)-$A$4*$A$4*RTD("tos.rtd",,"OPEN_INT","."&amp;B$2&amp;B$1&amp;"P"&amp;$A34)*RTD("tos.rtd",,"GAMMA","."&amp;B$2&amp;B$1&amp;"P"&amp;$A34))/1000000),0),IF($A$2="SKEW",IFERROR(VALUE(IF(RTD("tos.rtd",,"IMPL_VOL","."&amp;B$2&amp;B$1&amp;"P"&amp;$A34)="N/A",0,RTD("tos.rtd",,"IMPL_VOL","."&amp;B$2&amp;B$1&amp;"P"&amp;$A34))),0)-IFERROR(VALUE(IF(RTD("tos.rtd",,"IMPL_VOL","."&amp;B$2&amp;B$1&amp;"C"&amp;$A34)="N/A",0,RTD("tos.rtd",,"IMPL_VOL","."&amp;B$2&amp;B$1&amp;"C"&amp;$A34))),0),IF($A$2="MAXPAIN",IF($A$4&gt;$A34,($A$4-$A34)*IF(RTD("tos.rtd",,"OPEN_INT","."&amp;B$2&amp;B$1&amp;"C"&amp;$A34)="N/A",0,RTD("tos.rtd",,"OPEN_INT","."&amp;B$2&amp;B$1&amp;"C"&amp;$A34)),0)+IF($A$4&lt;$A34,($A$5-$A$4)*IF(RTD("tos.rtd",,"OPEN_INT","."&amp;B$2&amp;B$1&amp;"P"&amp;$A34)="N/A",0,RTD("tos.rtd",,"OPEN_INT","."&amp;B$2&amp;B$1&amp;"P"&amp;$A34)),0),IF($X$1="ABS",IF(RTD("tos.rtd",,$A$2,"."&amp;B$2&amp;B$1&amp;"C"&amp;$A34)="N/A",0,RTD("tos.rtd",,$A$2,"."&amp;B$2&amp;B$1&amp;"C"&amp;$A34))+IF(RTD("tos.rtd",,$A$2,"."&amp;B$2&amp;B$1&amp;"P"&amp;$A34)="N/A",0,RTD("tos.rtd",,$A$2,"."&amp;B$2&amp;B$1&amp;"P"&amp;$A34)),IF(RTD("tos.rtd",,$A$2,"."&amp;B$2&amp;B$1&amp;"C"&amp;$A34)="N/A",0,RTD("tos.rtd",,$A$2,"."&amp;B$2&amp;B$1&amp;"C"&amp;$A34))-IF(RTD("tos.rtd",,$A$2,"."&amp;B$2&amp;B$1&amp;"P"&amp;$A34)="N/A",0,RTD("tos.rtd",,$A$2,"."&amp;B$2&amp;B$1&amp;"P"&amp;$A34))))))))))</f>
        <v>0</v>
      </c>
      <c r="C34" s="14">
        <f ca="1">IF($A$2="PREMIUM_OI",IFERROR(IF($X$1="ABS",(100*RTD("tos.rtd",,"OPEN_INT","."&amp;C$2&amp;C$1&amp;"C"&amp;$A34)*RTD("tos.rtd",,"LAST","."&amp;C$2&amp;C$1&amp;"C"&amp;$A34)+100*RTD("tos.rtd",,"OPEN_INT","."&amp;C$2&amp;C$1&amp;"P"&amp;$A34)*RTD("tos.rtd",,"LAST","."&amp;C$2&amp;C$1&amp;"P"&amp;$A34))/1000000,(100*RTD("tos.rtd",,"OPEN_INT","."&amp;C$2&amp;C$1&amp;"C"&amp;$A34)*RTD("tos.rtd",,"LAST","."&amp;C$2&amp;C$1&amp;"C"&amp;$A34)-100*RTD("tos.rtd",,"OPEN_INT","."&amp;C$2&amp;C$1&amp;"P"&amp;$A34)*RTD("tos.rtd",,"LAST","."&amp;C$2&amp;C$1&amp;"P"&amp;$A34))/1000000),0),IF($A$2="PREMIUM",IFERROR(IF($X$1="ABS",(100*RTD("tos.rtd",,"VOLUME","."&amp;C$2&amp;C$1&amp;"C"&amp;$A34)*RTD("tos.rtd",,"LAST","."&amp;C$2&amp;C$1&amp;"C"&amp;$A34)+100*RTD("tos.rtd",,"VOLUME","."&amp;C$2&amp;C$1&amp;"P"&amp;$A34)*RTD("tos.rtd",,"LAST","."&amp;C$2&amp;C$1&amp;"P"&amp;$A34))/1000000,(100*RTD("tos.rtd",,"VOLUME","."&amp;C$2&amp;C$1&amp;"C"&amp;$A34)*RTD("tos.rtd",,"LAST","."&amp;C$2&amp;C$1&amp;"C"&amp;$A34)-100*RTD("tos.rtd",,"VOLUME","."&amp;C$2&amp;C$1&amp;"P"&amp;$A34)*RTD("tos.rtd",,"LAST","."&amp;C$2&amp;C$1&amp;"P"&amp;$A34))/1000000),0),IF($A$2="DEX",IFERROR(IF($X$1="ABS",(100*RTD("tos.rtd",,"OPEN_INT","."&amp;C$2&amp;C$1&amp;"C"&amp;$A34)*RTD("tos.rtd",,"DELTA","."&amp;C$2&amp;C$1&amp;"C"&amp;$A34)+100*RTD("tos.rtd",,"OPEN_INT","."&amp;C$2&amp;C$1&amp;"P"&amp;$A34)*RTD("tos.rtd",,"DELTA","."&amp;C$2&amp;C$1&amp;"P"&amp;$A34))/1000,(100*RTD("tos.rtd",,"OPEN_INT","."&amp;C$2&amp;C$1&amp;"C"&amp;$A34)*RTD("tos.rtd",,"DELTA","."&amp;C$2&amp;C$1&amp;"C"&amp;$A34)-100*RTD("tos.rtd",,"OPEN_INT","."&amp;C$2&amp;C$1&amp;"P"&amp;$A34)*RTD("tos.rtd",,"DELTA","."&amp;C$2&amp;C$1&amp;"P"&amp;$A34))/1000),0),IF($A$2="VEX",IFERROR(IF($X$1="ABS",($A$4*$A$4*RTD("tos.rtd",,"VOLUME","."&amp;C$2&amp;C$1&amp;"C"&amp;$A34)*RTD("tos.rtd",,"GAMMA","."&amp;C$2&amp;C$1&amp;"C"&amp;$A34)+$A$4*$A$4*RTD("tos.rtd",,"VOLUME","."&amp;C$2&amp;C$1&amp;"P"&amp;$A34)*RTD("tos.rtd",,"GAMMA","."&amp;C$2&amp;C$1&amp;"P"&amp;$A34))/1000000,($A$4*$A$4*RTD("tos.rtd",,"VOLUME","."&amp;C$2&amp;C$1&amp;"C"&amp;$A34)*RTD("tos.rtd",,"GAMMA","."&amp;C$2&amp;C$1&amp;"C"&amp;$A34)-$A$4*$A$4*RTD("tos.rtd",,"VOLUME","."&amp;C$2&amp;C$1&amp;"P"&amp;$A34)*RTD("tos.rtd",,"GAMMA","."&amp;C$2&amp;C$1&amp;"P"&amp;$A34))/1000000),0),IF($A$2="GEX",IFERROR(IF($X$1="ABS",($A$4*$A$4*RTD("tos.rtd",,"OPEN_INT","."&amp;C$2&amp;C$1&amp;"C"&amp;$A34)*RTD("tos.rtd",,"GAMMA","."&amp;C$2&amp;C$1&amp;"C"&amp;$A34)+$A$4*$A$4*RTD("tos.rtd",,"OPEN_INT","."&amp;C$2&amp;C$1&amp;"P"&amp;$A34)*RTD("tos.rtd",,"GAMMA","."&amp;C$2&amp;C$1&amp;"P"&amp;$A34))/1000000,($A$4*$A$4*RTD("tos.rtd",,"OPEN_INT","."&amp;C$2&amp;C$1&amp;"C"&amp;$A34)*RTD("tos.rtd",,"GAMMA","."&amp;C$2&amp;C$1&amp;"C"&amp;$A34)-$A$4*$A$4*RTD("tos.rtd",,"OPEN_INT","."&amp;C$2&amp;C$1&amp;"P"&amp;$A34)*RTD("tos.rtd",,"GAMMA","."&amp;C$2&amp;C$1&amp;"P"&amp;$A34))/1000000),0),IF($A$2="SKEW",IFERROR(VALUE(IF(RTD("tos.rtd",,"IMPL_VOL","."&amp;C$2&amp;C$1&amp;"P"&amp;$A34)="N/A",0,RTD("tos.rtd",,"IMPL_VOL","."&amp;C$2&amp;C$1&amp;"P"&amp;$A34))),0)-IFERROR(VALUE(IF(RTD("tos.rtd",,"IMPL_VOL","."&amp;C$2&amp;C$1&amp;"C"&amp;$A34)="N/A",0,RTD("tos.rtd",,"IMPL_VOL","."&amp;C$2&amp;C$1&amp;"C"&amp;$A34))),0),IF($A$2="MAXPAIN",IF($A$4&gt;$A34,($A$4-$A34)*IF(RTD("tos.rtd",,"OPEN_INT","."&amp;C$2&amp;C$1&amp;"C"&amp;$A34)="N/A",0,RTD("tos.rtd",,"OPEN_INT","."&amp;C$2&amp;C$1&amp;"C"&amp;$A34)),0)+IF($A$4&lt;$A34,($A$5-$A$4)*IF(RTD("tos.rtd",,"OPEN_INT","."&amp;C$2&amp;C$1&amp;"P"&amp;$A34)="N/A",0,RTD("tos.rtd",,"OPEN_INT","."&amp;C$2&amp;C$1&amp;"P"&amp;$A34)),0),IF($X$1="ABS",IF(RTD("tos.rtd",,$A$2,"."&amp;C$2&amp;C$1&amp;"C"&amp;$A34)="N/A",0,RTD("tos.rtd",,$A$2,"."&amp;C$2&amp;C$1&amp;"C"&amp;$A34))+IF(RTD("tos.rtd",,$A$2,"."&amp;C$2&amp;C$1&amp;"P"&amp;$A34)="N/A",0,RTD("tos.rtd",,$A$2,"."&amp;C$2&amp;C$1&amp;"P"&amp;$A34)),IF(RTD("tos.rtd",,$A$2,"."&amp;C$2&amp;C$1&amp;"C"&amp;$A34)="N/A",0,RTD("tos.rtd",,$A$2,"."&amp;C$2&amp;C$1&amp;"C"&amp;$A34))-IF(RTD("tos.rtd",,$A$2,"."&amp;C$2&amp;C$1&amp;"P"&amp;$A34)="N/A",0,RTD("tos.rtd",,$A$2,"."&amp;C$2&amp;C$1&amp;"P"&amp;$A34))))))))))</f>
        <v>0</v>
      </c>
      <c r="D34" s="12">
        <f ca="1">IF($A$2="PREMIUM_OI",IFERROR(IF($X$1="ABS",(100*RTD("tos.rtd",,"OPEN_INT","."&amp;D$2&amp;D$1&amp;"C"&amp;$A34)*RTD("tos.rtd",,"LAST","."&amp;D$2&amp;D$1&amp;"C"&amp;$A34)+100*RTD("tos.rtd",,"OPEN_INT","."&amp;D$2&amp;D$1&amp;"P"&amp;$A34)*RTD("tos.rtd",,"LAST","."&amp;D$2&amp;D$1&amp;"P"&amp;$A34))/1000000,(100*RTD("tos.rtd",,"OPEN_INT","."&amp;D$2&amp;D$1&amp;"C"&amp;$A34)*RTD("tos.rtd",,"LAST","."&amp;D$2&amp;D$1&amp;"C"&amp;$A34)-100*RTD("tos.rtd",,"OPEN_INT","."&amp;D$2&amp;D$1&amp;"P"&amp;$A34)*RTD("tos.rtd",,"LAST","."&amp;D$2&amp;D$1&amp;"P"&amp;$A34))/1000000),0),IF($A$2="PREMIUM",IFERROR(IF($X$1="ABS",(100*RTD("tos.rtd",,"VOLUME","."&amp;D$2&amp;D$1&amp;"C"&amp;$A34)*RTD("tos.rtd",,"LAST","."&amp;D$2&amp;D$1&amp;"C"&amp;$A34)+100*RTD("tos.rtd",,"VOLUME","."&amp;D$2&amp;D$1&amp;"P"&amp;$A34)*RTD("tos.rtd",,"LAST","."&amp;D$2&amp;D$1&amp;"P"&amp;$A34))/1000000,(100*RTD("tos.rtd",,"VOLUME","."&amp;D$2&amp;D$1&amp;"C"&amp;$A34)*RTD("tos.rtd",,"LAST","."&amp;D$2&amp;D$1&amp;"C"&amp;$A34)-100*RTD("tos.rtd",,"VOLUME","."&amp;D$2&amp;D$1&amp;"P"&amp;$A34)*RTD("tos.rtd",,"LAST","."&amp;D$2&amp;D$1&amp;"P"&amp;$A34))/1000000),0),IF($A$2="DEX",IFERROR(IF($X$1="ABS",(100*RTD("tos.rtd",,"OPEN_INT","."&amp;D$2&amp;D$1&amp;"C"&amp;$A34)*RTD("tos.rtd",,"DELTA","."&amp;D$2&amp;D$1&amp;"C"&amp;$A34)+100*RTD("tos.rtd",,"OPEN_INT","."&amp;D$2&amp;D$1&amp;"P"&amp;$A34)*RTD("tos.rtd",,"DELTA","."&amp;D$2&amp;D$1&amp;"P"&amp;$A34))/1000,(100*RTD("tos.rtd",,"OPEN_INT","."&amp;D$2&amp;D$1&amp;"C"&amp;$A34)*RTD("tos.rtd",,"DELTA","."&amp;D$2&amp;D$1&amp;"C"&amp;$A34)-100*RTD("tos.rtd",,"OPEN_INT","."&amp;D$2&amp;D$1&amp;"P"&amp;$A34)*RTD("tos.rtd",,"DELTA","."&amp;D$2&amp;D$1&amp;"P"&amp;$A34))/1000),0),IF($A$2="VEX",IFERROR(IF($X$1="ABS",($A$4*$A$4*RTD("tos.rtd",,"VOLUME","."&amp;D$2&amp;D$1&amp;"C"&amp;$A34)*RTD("tos.rtd",,"GAMMA","."&amp;D$2&amp;D$1&amp;"C"&amp;$A34)+$A$4*$A$4*RTD("tos.rtd",,"VOLUME","."&amp;D$2&amp;D$1&amp;"P"&amp;$A34)*RTD("tos.rtd",,"GAMMA","."&amp;D$2&amp;D$1&amp;"P"&amp;$A34))/1000000,($A$4*$A$4*RTD("tos.rtd",,"VOLUME","."&amp;D$2&amp;D$1&amp;"C"&amp;$A34)*RTD("tos.rtd",,"GAMMA","."&amp;D$2&amp;D$1&amp;"C"&amp;$A34)-$A$4*$A$4*RTD("tos.rtd",,"VOLUME","."&amp;D$2&amp;D$1&amp;"P"&amp;$A34)*RTD("tos.rtd",,"GAMMA","."&amp;D$2&amp;D$1&amp;"P"&amp;$A34))/1000000),0),IF($A$2="GEX",IFERROR(IF($X$1="ABS",($A$4*$A$4*RTD("tos.rtd",,"OPEN_INT","."&amp;D$2&amp;D$1&amp;"C"&amp;$A34)*RTD("tos.rtd",,"GAMMA","."&amp;D$2&amp;D$1&amp;"C"&amp;$A34)+$A$4*$A$4*RTD("tos.rtd",,"OPEN_INT","."&amp;D$2&amp;D$1&amp;"P"&amp;$A34)*RTD("tos.rtd",,"GAMMA","."&amp;D$2&amp;D$1&amp;"P"&amp;$A34))/1000000,($A$4*$A$4*RTD("tos.rtd",,"OPEN_INT","."&amp;D$2&amp;D$1&amp;"C"&amp;$A34)*RTD("tos.rtd",,"GAMMA","."&amp;D$2&amp;D$1&amp;"C"&amp;$A34)-$A$4*$A$4*RTD("tos.rtd",,"OPEN_INT","."&amp;D$2&amp;D$1&amp;"P"&amp;$A34)*RTD("tos.rtd",,"GAMMA","."&amp;D$2&amp;D$1&amp;"P"&amp;$A34))/1000000),0),IF($A$2="SKEW",IFERROR(VALUE(IF(RTD("tos.rtd",,"IMPL_VOL","."&amp;D$2&amp;D$1&amp;"P"&amp;$A34)="N/A",0,RTD("tos.rtd",,"IMPL_VOL","."&amp;D$2&amp;D$1&amp;"P"&amp;$A34))),0)-IFERROR(VALUE(IF(RTD("tos.rtd",,"IMPL_VOL","."&amp;D$2&amp;D$1&amp;"C"&amp;$A34)="N/A",0,RTD("tos.rtd",,"IMPL_VOL","."&amp;D$2&amp;D$1&amp;"C"&amp;$A34))),0),IF($A$2="MAXPAIN",IF($A$4&gt;$A34,($A$4-$A34)*IF(RTD("tos.rtd",,"OPEN_INT","."&amp;D$2&amp;D$1&amp;"C"&amp;$A34)="N/A",0,RTD("tos.rtd",,"OPEN_INT","."&amp;D$2&amp;D$1&amp;"C"&amp;$A34)),0)+IF($A$4&lt;$A34,($A$5-$A$4)*IF(RTD("tos.rtd",,"OPEN_INT","."&amp;D$2&amp;D$1&amp;"P"&amp;$A34)="N/A",0,RTD("tos.rtd",,"OPEN_INT","."&amp;D$2&amp;D$1&amp;"P"&amp;$A34)),0),IF($X$1="ABS",IF(RTD("tos.rtd",,$A$2,"."&amp;D$2&amp;D$1&amp;"C"&amp;$A34)="N/A",0,RTD("tos.rtd",,$A$2,"."&amp;D$2&amp;D$1&amp;"C"&amp;$A34))+IF(RTD("tos.rtd",,$A$2,"."&amp;D$2&amp;D$1&amp;"P"&amp;$A34)="N/A",0,RTD("tos.rtd",,$A$2,"."&amp;D$2&amp;D$1&amp;"P"&amp;$A34)),IF(RTD("tos.rtd",,$A$2,"."&amp;D$2&amp;D$1&amp;"C"&amp;$A34)="N/A",0,RTD("tos.rtd",,$A$2,"."&amp;D$2&amp;D$1&amp;"C"&amp;$A34))-IF(RTD("tos.rtd",,$A$2,"."&amp;D$2&amp;D$1&amp;"P"&amp;$A34)="N/A",0,RTD("tos.rtd",,$A$2,"."&amp;D$2&amp;D$1&amp;"P"&amp;$A34))))))))))</f>
        <v>0</v>
      </c>
      <c r="E34" s="12">
        <f ca="1">IF($A$2="PREMIUM_OI",IFERROR(IF($X$1="ABS",(100*RTD("tos.rtd",,"OPEN_INT","."&amp;E$2&amp;E$1&amp;"C"&amp;$A34)*RTD("tos.rtd",,"LAST","."&amp;E$2&amp;E$1&amp;"C"&amp;$A34)+100*RTD("tos.rtd",,"OPEN_INT","."&amp;E$2&amp;E$1&amp;"P"&amp;$A34)*RTD("tos.rtd",,"LAST","."&amp;E$2&amp;E$1&amp;"P"&amp;$A34))/1000000,(100*RTD("tos.rtd",,"OPEN_INT","."&amp;E$2&amp;E$1&amp;"C"&amp;$A34)*RTD("tos.rtd",,"LAST","."&amp;E$2&amp;E$1&amp;"C"&amp;$A34)-100*RTD("tos.rtd",,"OPEN_INT","."&amp;E$2&amp;E$1&amp;"P"&amp;$A34)*RTD("tos.rtd",,"LAST","."&amp;E$2&amp;E$1&amp;"P"&amp;$A34))/1000000),0),IF($A$2="PREMIUM",IFERROR(IF($X$1="ABS",(100*RTD("tos.rtd",,"VOLUME","."&amp;E$2&amp;E$1&amp;"C"&amp;$A34)*RTD("tos.rtd",,"LAST","."&amp;E$2&amp;E$1&amp;"C"&amp;$A34)+100*RTD("tos.rtd",,"VOLUME","."&amp;E$2&amp;E$1&amp;"P"&amp;$A34)*RTD("tos.rtd",,"LAST","."&amp;E$2&amp;E$1&amp;"P"&amp;$A34))/1000000,(100*RTD("tos.rtd",,"VOLUME","."&amp;E$2&amp;E$1&amp;"C"&amp;$A34)*RTD("tos.rtd",,"LAST","."&amp;E$2&amp;E$1&amp;"C"&amp;$A34)-100*RTD("tos.rtd",,"VOLUME","."&amp;E$2&amp;E$1&amp;"P"&amp;$A34)*RTD("tos.rtd",,"LAST","."&amp;E$2&amp;E$1&amp;"P"&amp;$A34))/1000000),0),IF($A$2="DEX",IFERROR(IF($X$1="ABS",(100*RTD("tos.rtd",,"OPEN_INT","."&amp;E$2&amp;E$1&amp;"C"&amp;$A34)*RTD("tos.rtd",,"DELTA","."&amp;E$2&amp;E$1&amp;"C"&amp;$A34)+100*RTD("tos.rtd",,"OPEN_INT","."&amp;E$2&amp;E$1&amp;"P"&amp;$A34)*RTD("tos.rtd",,"DELTA","."&amp;E$2&amp;E$1&amp;"P"&amp;$A34))/1000,(100*RTD("tos.rtd",,"OPEN_INT","."&amp;E$2&amp;E$1&amp;"C"&amp;$A34)*RTD("tos.rtd",,"DELTA","."&amp;E$2&amp;E$1&amp;"C"&amp;$A34)-100*RTD("tos.rtd",,"OPEN_INT","."&amp;E$2&amp;E$1&amp;"P"&amp;$A34)*RTD("tos.rtd",,"DELTA","."&amp;E$2&amp;E$1&amp;"P"&amp;$A34))/1000),0),IF($A$2="VEX",IFERROR(IF($X$1="ABS",($A$4*$A$4*RTD("tos.rtd",,"VOLUME","."&amp;E$2&amp;E$1&amp;"C"&amp;$A34)*RTD("tos.rtd",,"GAMMA","."&amp;E$2&amp;E$1&amp;"C"&amp;$A34)+$A$4*$A$4*RTD("tos.rtd",,"VOLUME","."&amp;E$2&amp;E$1&amp;"P"&amp;$A34)*RTD("tos.rtd",,"GAMMA","."&amp;E$2&amp;E$1&amp;"P"&amp;$A34))/1000000,($A$4*$A$4*RTD("tos.rtd",,"VOLUME","."&amp;E$2&amp;E$1&amp;"C"&amp;$A34)*RTD("tos.rtd",,"GAMMA","."&amp;E$2&amp;E$1&amp;"C"&amp;$A34)-$A$4*$A$4*RTD("tos.rtd",,"VOLUME","."&amp;E$2&amp;E$1&amp;"P"&amp;$A34)*RTD("tos.rtd",,"GAMMA","."&amp;E$2&amp;E$1&amp;"P"&amp;$A34))/1000000),0),IF($A$2="GEX",IFERROR(IF($X$1="ABS",($A$4*$A$4*RTD("tos.rtd",,"OPEN_INT","."&amp;E$2&amp;E$1&amp;"C"&amp;$A34)*RTD("tos.rtd",,"GAMMA","."&amp;E$2&amp;E$1&amp;"C"&amp;$A34)+$A$4*$A$4*RTD("tos.rtd",,"OPEN_INT","."&amp;E$2&amp;E$1&amp;"P"&amp;$A34)*RTD("tos.rtd",,"GAMMA","."&amp;E$2&amp;E$1&amp;"P"&amp;$A34))/1000000,($A$4*$A$4*RTD("tos.rtd",,"OPEN_INT","."&amp;E$2&amp;E$1&amp;"C"&amp;$A34)*RTD("tos.rtd",,"GAMMA","."&amp;E$2&amp;E$1&amp;"C"&amp;$A34)-$A$4*$A$4*RTD("tos.rtd",,"OPEN_INT","."&amp;E$2&amp;E$1&amp;"P"&amp;$A34)*RTD("tos.rtd",,"GAMMA","."&amp;E$2&amp;E$1&amp;"P"&amp;$A34))/1000000),0),IF($A$2="SKEW",IFERROR(VALUE(IF(RTD("tos.rtd",,"IMPL_VOL","."&amp;E$2&amp;E$1&amp;"P"&amp;$A34)="N/A",0,RTD("tos.rtd",,"IMPL_VOL","."&amp;E$2&amp;E$1&amp;"P"&amp;$A34))),0)-IFERROR(VALUE(IF(RTD("tos.rtd",,"IMPL_VOL","."&amp;E$2&amp;E$1&amp;"C"&amp;$A34)="N/A",0,RTD("tos.rtd",,"IMPL_VOL","."&amp;E$2&amp;E$1&amp;"C"&amp;$A34))),0),IF($A$2="MAXPAIN",IF($A$4&gt;$A34,($A$4-$A34)*IF(RTD("tos.rtd",,"OPEN_INT","."&amp;E$2&amp;E$1&amp;"C"&amp;$A34)="N/A",0,RTD("tos.rtd",,"OPEN_INT","."&amp;E$2&amp;E$1&amp;"C"&amp;$A34)),0)+IF($A$4&lt;$A34,($A$5-$A$4)*IF(RTD("tos.rtd",,"OPEN_INT","."&amp;E$2&amp;E$1&amp;"P"&amp;$A34)="N/A",0,RTD("tos.rtd",,"OPEN_INT","."&amp;E$2&amp;E$1&amp;"P"&amp;$A34)),0),IF($X$1="ABS",IF(RTD("tos.rtd",,$A$2,"."&amp;E$2&amp;E$1&amp;"C"&amp;$A34)="N/A",0,RTD("tos.rtd",,$A$2,"."&amp;E$2&amp;E$1&amp;"C"&amp;$A34))+IF(RTD("tos.rtd",,$A$2,"."&amp;E$2&amp;E$1&amp;"P"&amp;$A34)="N/A",0,RTD("tos.rtd",,$A$2,"."&amp;E$2&amp;E$1&amp;"P"&amp;$A34)),IF(RTD("tos.rtd",,$A$2,"."&amp;E$2&amp;E$1&amp;"C"&amp;$A34)="N/A",0,RTD("tos.rtd",,$A$2,"."&amp;E$2&amp;E$1&amp;"C"&amp;$A34))-IF(RTD("tos.rtd",,$A$2,"."&amp;E$2&amp;E$1&amp;"P"&amp;$A34)="N/A",0,RTD("tos.rtd",,$A$2,"."&amp;E$2&amp;E$1&amp;"P"&amp;$A34))))))))))</f>
        <v>0</v>
      </c>
      <c r="F34" s="12">
        <f ca="1">IF($A$2="PREMIUM_OI",IFERROR(IF($X$1="ABS",(100*RTD("tos.rtd",,"OPEN_INT","."&amp;F$2&amp;F$1&amp;"C"&amp;$A34)*RTD("tos.rtd",,"LAST","."&amp;F$2&amp;F$1&amp;"C"&amp;$A34)+100*RTD("tos.rtd",,"OPEN_INT","."&amp;F$2&amp;F$1&amp;"P"&amp;$A34)*RTD("tos.rtd",,"LAST","."&amp;F$2&amp;F$1&amp;"P"&amp;$A34))/1000000,(100*RTD("tos.rtd",,"OPEN_INT","."&amp;F$2&amp;F$1&amp;"C"&amp;$A34)*RTD("tos.rtd",,"LAST","."&amp;F$2&amp;F$1&amp;"C"&amp;$A34)-100*RTD("tos.rtd",,"OPEN_INT","."&amp;F$2&amp;F$1&amp;"P"&amp;$A34)*RTD("tos.rtd",,"LAST","."&amp;F$2&amp;F$1&amp;"P"&amp;$A34))/1000000),0),IF($A$2="PREMIUM",IFERROR(IF($X$1="ABS",(100*RTD("tos.rtd",,"VOLUME","."&amp;F$2&amp;F$1&amp;"C"&amp;$A34)*RTD("tos.rtd",,"LAST","."&amp;F$2&amp;F$1&amp;"C"&amp;$A34)+100*RTD("tos.rtd",,"VOLUME","."&amp;F$2&amp;F$1&amp;"P"&amp;$A34)*RTD("tos.rtd",,"LAST","."&amp;F$2&amp;F$1&amp;"P"&amp;$A34))/1000000,(100*RTD("tos.rtd",,"VOLUME","."&amp;F$2&amp;F$1&amp;"C"&amp;$A34)*RTD("tos.rtd",,"LAST","."&amp;F$2&amp;F$1&amp;"C"&amp;$A34)-100*RTD("tos.rtd",,"VOLUME","."&amp;F$2&amp;F$1&amp;"P"&amp;$A34)*RTD("tos.rtd",,"LAST","."&amp;F$2&amp;F$1&amp;"P"&amp;$A34))/1000000),0),IF($A$2="DEX",IFERROR(IF($X$1="ABS",(100*RTD("tos.rtd",,"OPEN_INT","."&amp;F$2&amp;F$1&amp;"C"&amp;$A34)*RTD("tos.rtd",,"DELTA","."&amp;F$2&amp;F$1&amp;"C"&amp;$A34)+100*RTD("tos.rtd",,"OPEN_INT","."&amp;F$2&amp;F$1&amp;"P"&amp;$A34)*RTD("tos.rtd",,"DELTA","."&amp;F$2&amp;F$1&amp;"P"&amp;$A34))/1000,(100*RTD("tos.rtd",,"OPEN_INT","."&amp;F$2&amp;F$1&amp;"C"&amp;$A34)*RTD("tos.rtd",,"DELTA","."&amp;F$2&amp;F$1&amp;"C"&amp;$A34)-100*RTD("tos.rtd",,"OPEN_INT","."&amp;F$2&amp;F$1&amp;"P"&amp;$A34)*RTD("tos.rtd",,"DELTA","."&amp;F$2&amp;F$1&amp;"P"&amp;$A34))/1000),0),IF($A$2="VEX",IFERROR(IF($X$1="ABS",($A$4*$A$4*RTD("tos.rtd",,"VOLUME","."&amp;F$2&amp;F$1&amp;"C"&amp;$A34)*RTD("tos.rtd",,"GAMMA","."&amp;F$2&amp;F$1&amp;"C"&amp;$A34)+$A$4*$A$4*RTD("tos.rtd",,"VOLUME","."&amp;F$2&amp;F$1&amp;"P"&amp;$A34)*RTD("tos.rtd",,"GAMMA","."&amp;F$2&amp;F$1&amp;"P"&amp;$A34))/1000000,($A$4*$A$4*RTD("tos.rtd",,"VOLUME","."&amp;F$2&amp;F$1&amp;"C"&amp;$A34)*RTD("tos.rtd",,"GAMMA","."&amp;F$2&amp;F$1&amp;"C"&amp;$A34)-$A$4*$A$4*RTD("tos.rtd",,"VOLUME","."&amp;F$2&amp;F$1&amp;"P"&amp;$A34)*RTD("tos.rtd",,"GAMMA","."&amp;F$2&amp;F$1&amp;"P"&amp;$A34))/1000000),0),IF($A$2="GEX",IFERROR(IF($X$1="ABS",($A$4*$A$4*RTD("tos.rtd",,"OPEN_INT","."&amp;F$2&amp;F$1&amp;"C"&amp;$A34)*RTD("tos.rtd",,"GAMMA","."&amp;F$2&amp;F$1&amp;"C"&amp;$A34)+$A$4*$A$4*RTD("tos.rtd",,"OPEN_INT","."&amp;F$2&amp;F$1&amp;"P"&amp;$A34)*RTD("tos.rtd",,"GAMMA","."&amp;F$2&amp;F$1&amp;"P"&amp;$A34))/1000000,($A$4*$A$4*RTD("tos.rtd",,"OPEN_INT","."&amp;F$2&amp;F$1&amp;"C"&amp;$A34)*RTD("tos.rtd",,"GAMMA","."&amp;F$2&amp;F$1&amp;"C"&amp;$A34)-$A$4*$A$4*RTD("tos.rtd",,"OPEN_INT","."&amp;F$2&amp;F$1&amp;"P"&amp;$A34)*RTD("tos.rtd",,"GAMMA","."&amp;F$2&amp;F$1&amp;"P"&amp;$A34))/1000000),0),IF($A$2="SKEW",IFERROR(VALUE(IF(RTD("tos.rtd",,"IMPL_VOL","."&amp;F$2&amp;F$1&amp;"P"&amp;$A34)="N/A",0,RTD("tos.rtd",,"IMPL_VOL","."&amp;F$2&amp;F$1&amp;"P"&amp;$A34))),0)-IFERROR(VALUE(IF(RTD("tos.rtd",,"IMPL_VOL","."&amp;F$2&amp;F$1&amp;"C"&amp;$A34)="N/A",0,RTD("tos.rtd",,"IMPL_VOL","."&amp;F$2&amp;F$1&amp;"C"&amp;$A34))),0),IF($A$2="MAXPAIN",IF($A$4&gt;$A34,($A$4-$A34)*IF(RTD("tos.rtd",,"OPEN_INT","."&amp;F$2&amp;F$1&amp;"C"&amp;$A34)="N/A",0,RTD("tos.rtd",,"OPEN_INT","."&amp;F$2&amp;F$1&amp;"C"&amp;$A34)),0)+IF($A$4&lt;$A34,($A$5-$A$4)*IF(RTD("tos.rtd",,"OPEN_INT","."&amp;F$2&amp;F$1&amp;"P"&amp;$A34)="N/A",0,RTD("tos.rtd",,"OPEN_INT","."&amp;F$2&amp;F$1&amp;"P"&amp;$A34)),0),IF($X$1="ABS",IF(RTD("tos.rtd",,$A$2,"."&amp;F$2&amp;F$1&amp;"C"&amp;$A34)="N/A",0,RTD("tos.rtd",,$A$2,"."&amp;F$2&amp;F$1&amp;"C"&amp;$A34))+IF(RTD("tos.rtd",,$A$2,"."&amp;F$2&amp;F$1&amp;"P"&amp;$A34)="N/A",0,RTD("tos.rtd",,$A$2,"."&amp;F$2&amp;F$1&amp;"P"&amp;$A34)),IF(RTD("tos.rtd",,$A$2,"."&amp;F$2&amp;F$1&amp;"C"&amp;$A34)="N/A",0,RTD("tos.rtd",,$A$2,"."&amp;F$2&amp;F$1&amp;"C"&amp;$A34))-IF(RTD("tos.rtd",,$A$2,"."&amp;F$2&amp;F$1&amp;"P"&amp;$A34)="N/A",0,RTD("tos.rtd",,$A$2,"."&amp;F$2&amp;F$1&amp;"P"&amp;$A34))))))))))</f>
        <v>0</v>
      </c>
      <c r="G34" s="54">
        <f ca="1">IF($A$2="PREMIUM_OI",IFERROR(IF($X$1="ABS",(100*RTD("tos.rtd",,"OPEN_INT","."&amp;G$2&amp;G$1&amp;"C"&amp;$A34)*RTD("tos.rtd",,"LAST","."&amp;G$2&amp;G$1&amp;"C"&amp;$A34)+100*RTD("tos.rtd",,"OPEN_INT","."&amp;G$2&amp;G$1&amp;"P"&amp;$A34)*RTD("tos.rtd",,"LAST","."&amp;G$2&amp;G$1&amp;"P"&amp;$A34))/1000000,(100*RTD("tos.rtd",,"OPEN_INT","."&amp;G$2&amp;G$1&amp;"C"&amp;$A34)*RTD("tos.rtd",,"LAST","."&amp;G$2&amp;G$1&amp;"C"&amp;$A34)-100*RTD("tos.rtd",,"OPEN_INT","."&amp;G$2&amp;G$1&amp;"P"&amp;$A34)*RTD("tos.rtd",,"LAST","."&amp;G$2&amp;G$1&amp;"P"&amp;$A34))/1000000),0),IF($A$2="PREMIUM",IFERROR(IF($X$1="ABS",(100*RTD("tos.rtd",,"VOLUME","."&amp;G$2&amp;G$1&amp;"C"&amp;$A34)*RTD("tos.rtd",,"LAST","."&amp;G$2&amp;G$1&amp;"C"&amp;$A34)+100*RTD("tos.rtd",,"VOLUME","."&amp;G$2&amp;G$1&amp;"P"&amp;$A34)*RTD("tos.rtd",,"LAST","."&amp;G$2&amp;G$1&amp;"P"&amp;$A34))/1000000,(100*RTD("tos.rtd",,"VOLUME","."&amp;G$2&amp;G$1&amp;"C"&amp;$A34)*RTD("tos.rtd",,"LAST","."&amp;G$2&amp;G$1&amp;"C"&amp;$A34)-100*RTD("tos.rtd",,"VOLUME","."&amp;G$2&amp;G$1&amp;"P"&amp;$A34)*RTD("tos.rtd",,"LAST","."&amp;G$2&amp;G$1&amp;"P"&amp;$A34))/1000000),0),IF($A$2="DEX",IFERROR(IF($X$1="ABS",(100*RTD("tos.rtd",,"OPEN_INT","."&amp;G$2&amp;G$1&amp;"C"&amp;$A34)*RTD("tos.rtd",,"DELTA","."&amp;G$2&amp;G$1&amp;"C"&amp;$A34)+100*RTD("tos.rtd",,"OPEN_INT","."&amp;G$2&amp;G$1&amp;"P"&amp;$A34)*RTD("tos.rtd",,"DELTA","."&amp;G$2&amp;G$1&amp;"P"&amp;$A34))/1000,(100*RTD("tos.rtd",,"OPEN_INT","."&amp;G$2&amp;G$1&amp;"C"&amp;$A34)*RTD("tos.rtd",,"DELTA","."&amp;G$2&amp;G$1&amp;"C"&amp;$A34)-100*RTD("tos.rtd",,"OPEN_INT","."&amp;G$2&amp;G$1&amp;"P"&amp;$A34)*RTD("tos.rtd",,"DELTA","."&amp;G$2&amp;G$1&amp;"P"&amp;$A34))/1000),0),IF($A$2="VEX",IFERROR(IF($X$1="ABS",($A$4*$A$4*RTD("tos.rtd",,"VOLUME","."&amp;G$2&amp;G$1&amp;"C"&amp;$A34)*RTD("tos.rtd",,"GAMMA","."&amp;G$2&amp;G$1&amp;"C"&amp;$A34)+$A$4*$A$4*RTD("tos.rtd",,"VOLUME","."&amp;G$2&amp;G$1&amp;"P"&amp;$A34)*RTD("tos.rtd",,"GAMMA","."&amp;G$2&amp;G$1&amp;"P"&amp;$A34))/1000000,($A$4*$A$4*RTD("tos.rtd",,"VOLUME","."&amp;G$2&amp;G$1&amp;"C"&amp;$A34)*RTD("tos.rtd",,"GAMMA","."&amp;G$2&amp;G$1&amp;"C"&amp;$A34)-$A$4*$A$4*RTD("tos.rtd",,"VOLUME","."&amp;G$2&amp;G$1&amp;"P"&amp;$A34)*RTD("tos.rtd",,"GAMMA","."&amp;G$2&amp;G$1&amp;"P"&amp;$A34))/1000000),0),IF($A$2="GEX",IFERROR(IF($X$1="ABS",($A$4*$A$4*RTD("tos.rtd",,"OPEN_INT","."&amp;G$2&amp;G$1&amp;"C"&amp;$A34)*RTD("tos.rtd",,"GAMMA","."&amp;G$2&amp;G$1&amp;"C"&amp;$A34)+$A$4*$A$4*RTD("tos.rtd",,"OPEN_INT","."&amp;G$2&amp;G$1&amp;"P"&amp;$A34)*RTD("tos.rtd",,"GAMMA","."&amp;G$2&amp;G$1&amp;"P"&amp;$A34))/1000000,($A$4*$A$4*RTD("tos.rtd",,"OPEN_INT","."&amp;G$2&amp;G$1&amp;"C"&amp;$A34)*RTD("tos.rtd",,"GAMMA","."&amp;G$2&amp;G$1&amp;"C"&amp;$A34)-$A$4*$A$4*RTD("tos.rtd",,"OPEN_INT","."&amp;G$2&amp;G$1&amp;"P"&amp;$A34)*RTD("tos.rtd",,"GAMMA","."&amp;G$2&amp;G$1&amp;"P"&amp;$A34))/1000000),0),IF($A$2="SKEW",IFERROR(VALUE(IF(RTD("tos.rtd",,"IMPL_VOL","."&amp;G$2&amp;G$1&amp;"P"&amp;$A34)="N/A",0,RTD("tos.rtd",,"IMPL_VOL","."&amp;G$2&amp;G$1&amp;"P"&amp;$A34))),0)-IFERROR(VALUE(IF(RTD("tos.rtd",,"IMPL_VOL","."&amp;G$2&amp;G$1&amp;"C"&amp;$A34)="N/A",0,RTD("tos.rtd",,"IMPL_VOL","."&amp;G$2&amp;G$1&amp;"C"&amp;$A34))),0),IF($A$2="MAXPAIN",IF($A$4&gt;$A34,($A$4-$A34)*IF(RTD("tos.rtd",,"OPEN_INT","."&amp;G$2&amp;G$1&amp;"C"&amp;$A34)="N/A",0,RTD("tos.rtd",,"OPEN_INT","."&amp;G$2&amp;G$1&amp;"C"&amp;$A34)),0)+IF($A$4&lt;$A34,($A$5-$A$4)*IF(RTD("tos.rtd",,"OPEN_INT","."&amp;G$2&amp;G$1&amp;"P"&amp;$A34)="N/A",0,RTD("tos.rtd",,"OPEN_INT","."&amp;G$2&amp;G$1&amp;"P"&amp;$A34)),0),IF($X$1="ABS",IF(RTD("tos.rtd",,$A$2,"."&amp;G$2&amp;G$1&amp;"C"&amp;$A34)="N/A",0,RTD("tos.rtd",,$A$2,"."&amp;G$2&amp;G$1&amp;"C"&amp;$A34))+IF(RTD("tos.rtd",,$A$2,"."&amp;G$2&amp;G$1&amp;"P"&amp;$A34)="N/A",0,RTD("tos.rtd",,$A$2,"."&amp;G$2&amp;G$1&amp;"P"&amp;$A34)),IF(RTD("tos.rtd",,$A$2,"."&amp;G$2&amp;G$1&amp;"C"&amp;$A34)="N/A",0,RTD("tos.rtd",,$A$2,"."&amp;G$2&amp;G$1&amp;"C"&amp;$A34))-IF(RTD("tos.rtd",,$A$2,"."&amp;G$2&amp;G$1&amp;"P"&amp;$A34)="N/A",0,RTD("tos.rtd",,$A$2,"."&amp;G$2&amp;G$1&amp;"P"&amp;$A34))))))))))</f>
        <v>0</v>
      </c>
      <c r="H34" s="14">
        <f ca="1">IF($A$2="PREMIUM_OI",IFERROR(IF($X$1="ABS",(100*RTD("tos.rtd",,"OPEN_INT","."&amp;H$2&amp;H$1&amp;"C"&amp;$A34)*RTD("tos.rtd",,"LAST","."&amp;H$2&amp;H$1&amp;"C"&amp;$A34)+100*RTD("tos.rtd",,"OPEN_INT","."&amp;H$2&amp;H$1&amp;"P"&amp;$A34)*RTD("tos.rtd",,"LAST","."&amp;H$2&amp;H$1&amp;"P"&amp;$A34))/1000000,(100*RTD("tos.rtd",,"OPEN_INT","."&amp;H$2&amp;H$1&amp;"C"&amp;$A34)*RTD("tos.rtd",,"LAST","."&amp;H$2&amp;H$1&amp;"C"&amp;$A34)-100*RTD("tos.rtd",,"OPEN_INT","."&amp;H$2&amp;H$1&amp;"P"&amp;$A34)*RTD("tos.rtd",,"LAST","."&amp;H$2&amp;H$1&amp;"P"&amp;$A34))/1000000),0),IF($A$2="PREMIUM",IFERROR(IF($X$1="ABS",(100*RTD("tos.rtd",,"VOLUME","."&amp;H$2&amp;H$1&amp;"C"&amp;$A34)*RTD("tos.rtd",,"LAST","."&amp;H$2&amp;H$1&amp;"C"&amp;$A34)+100*RTD("tos.rtd",,"VOLUME","."&amp;H$2&amp;H$1&amp;"P"&amp;$A34)*RTD("tos.rtd",,"LAST","."&amp;H$2&amp;H$1&amp;"P"&amp;$A34))/1000000,(100*RTD("tos.rtd",,"VOLUME","."&amp;H$2&amp;H$1&amp;"C"&amp;$A34)*RTD("tos.rtd",,"LAST","."&amp;H$2&amp;H$1&amp;"C"&amp;$A34)-100*RTD("tos.rtd",,"VOLUME","."&amp;H$2&amp;H$1&amp;"P"&amp;$A34)*RTD("tos.rtd",,"LAST","."&amp;H$2&amp;H$1&amp;"P"&amp;$A34))/1000000),0),IF($A$2="DEX",IFERROR(IF($X$1="ABS",(100*RTD("tos.rtd",,"OPEN_INT","."&amp;H$2&amp;H$1&amp;"C"&amp;$A34)*RTD("tos.rtd",,"DELTA","."&amp;H$2&amp;H$1&amp;"C"&amp;$A34)+100*RTD("tos.rtd",,"OPEN_INT","."&amp;H$2&amp;H$1&amp;"P"&amp;$A34)*RTD("tos.rtd",,"DELTA","."&amp;H$2&amp;H$1&amp;"P"&amp;$A34))/1000,(100*RTD("tos.rtd",,"OPEN_INT","."&amp;H$2&amp;H$1&amp;"C"&amp;$A34)*RTD("tos.rtd",,"DELTA","."&amp;H$2&amp;H$1&amp;"C"&amp;$A34)-100*RTD("tos.rtd",,"OPEN_INT","."&amp;H$2&amp;H$1&amp;"P"&amp;$A34)*RTD("tos.rtd",,"DELTA","."&amp;H$2&amp;H$1&amp;"P"&amp;$A34))/1000),0),IF($A$2="VEX",IFERROR(IF($X$1="ABS",($A$4*$A$4*RTD("tos.rtd",,"VOLUME","."&amp;H$2&amp;H$1&amp;"C"&amp;$A34)*RTD("tos.rtd",,"GAMMA","."&amp;H$2&amp;H$1&amp;"C"&amp;$A34)+$A$4*$A$4*RTD("tos.rtd",,"VOLUME","."&amp;H$2&amp;H$1&amp;"P"&amp;$A34)*RTD("tos.rtd",,"GAMMA","."&amp;H$2&amp;H$1&amp;"P"&amp;$A34))/1000000,($A$4*$A$4*RTD("tos.rtd",,"VOLUME","."&amp;H$2&amp;H$1&amp;"C"&amp;$A34)*RTD("tos.rtd",,"GAMMA","."&amp;H$2&amp;H$1&amp;"C"&amp;$A34)-$A$4*$A$4*RTD("tos.rtd",,"VOLUME","."&amp;H$2&amp;H$1&amp;"P"&amp;$A34)*RTD("tos.rtd",,"GAMMA","."&amp;H$2&amp;H$1&amp;"P"&amp;$A34))/1000000),0),IF($A$2="GEX",IFERROR(IF($X$1="ABS",($A$4*$A$4*RTD("tos.rtd",,"OPEN_INT","."&amp;H$2&amp;H$1&amp;"C"&amp;$A34)*RTD("tos.rtd",,"GAMMA","."&amp;H$2&amp;H$1&amp;"C"&amp;$A34)+$A$4*$A$4*RTD("tos.rtd",,"OPEN_INT","."&amp;H$2&amp;H$1&amp;"P"&amp;$A34)*RTD("tos.rtd",,"GAMMA","."&amp;H$2&amp;H$1&amp;"P"&amp;$A34))/1000000,($A$4*$A$4*RTD("tos.rtd",,"OPEN_INT","."&amp;H$2&amp;H$1&amp;"C"&amp;$A34)*RTD("tos.rtd",,"GAMMA","."&amp;H$2&amp;H$1&amp;"C"&amp;$A34)-$A$4*$A$4*RTD("tos.rtd",,"OPEN_INT","."&amp;H$2&amp;H$1&amp;"P"&amp;$A34)*RTD("tos.rtd",,"GAMMA","."&amp;H$2&amp;H$1&amp;"P"&amp;$A34))/1000000),0),IF($A$2="SKEW",IFERROR(VALUE(IF(RTD("tos.rtd",,"IMPL_VOL","."&amp;H$2&amp;H$1&amp;"P"&amp;$A34)="N/A",0,RTD("tos.rtd",,"IMPL_VOL","."&amp;H$2&amp;H$1&amp;"P"&amp;$A34))),0)-IFERROR(VALUE(IF(RTD("tos.rtd",,"IMPL_VOL","."&amp;H$2&amp;H$1&amp;"C"&amp;$A34)="N/A",0,RTD("tos.rtd",,"IMPL_VOL","."&amp;H$2&amp;H$1&amp;"C"&amp;$A34))),0),IF($A$2="MAXPAIN",IF($A$4&gt;$A34,($A$4-$A34)*IF(RTD("tos.rtd",,"OPEN_INT","."&amp;H$2&amp;H$1&amp;"C"&amp;$A34)="N/A",0,RTD("tos.rtd",,"OPEN_INT","."&amp;H$2&amp;H$1&amp;"C"&amp;$A34)),0)+IF($A$4&lt;$A34,($A$5-$A$4)*IF(RTD("tos.rtd",,"OPEN_INT","."&amp;H$2&amp;H$1&amp;"P"&amp;$A34)="N/A",0,RTD("tos.rtd",,"OPEN_INT","."&amp;H$2&amp;H$1&amp;"P"&amp;$A34)),0),IF($X$1="ABS",IF(RTD("tos.rtd",,$A$2,"."&amp;H$2&amp;H$1&amp;"C"&amp;$A34)="N/A",0,RTD("tos.rtd",,$A$2,"."&amp;H$2&amp;H$1&amp;"C"&amp;$A34))+IF(RTD("tos.rtd",,$A$2,"."&amp;H$2&amp;H$1&amp;"P"&amp;$A34)="N/A",0,RTD("tos.rtd",,$A$2,"."&amp;H$2&amp;H$1&amp;"P"&amp;$A34)),IF(RTD("tos.rtd",,$A$2,"."&amp;H$2&amp;H$1&amp;"C"&amp;$A34)="N/A",0,RTD("tos.rtd",,$A$2,"."&amp;H$2&amp;H$1&amp;"C"&amp;$A34))-IF(RTD("tos.rtd",,$A$2,"."&amp;H$2&amp;H$1&amp;"P"&amp;$A34)="N/A",0,RTD("tos.rtd",,$A$2,"."&amp;H$2&amp;H$1&amp;"P"&amp;$A34))))))))))</f>
        <v>0</v>
      </c>
      <c r="I34" s="12">
        <f ca="1">IF($A$2="PREMIUM_OI",IFERROR(IF($X$1="ABS",(100*RTD("tos.rtd",,"OPEN_INT","."&amp;I$2&amp;I$1&amp;"C"&amp;$A34)*RTD("tos.rtd",,"LAST","."&amp;I$2&amp;I$1&amp;"C"&amp;$A34)+100*RTD("tos.rtd",,"OPEN_INT","."&amp;I$2&amp;I$1&amp;"P"&amp;$A34)*RTD("tos.rtd",,"LAST","."&amp;I$2&amp;I$1&amp;"P"&amp;$A34))/1000000,(100*RTD("tos.rtd",,"OPEN_INT","."&amp;I$2&amp;I$1&amp;"C"&amp;$A34)*RTD("tos.rtd",,"LAST","."&amp;I$2&amp;I$1&amp;"C"&amp;$A34)-100*RTD("tos.rtd",,"OPEN_INT","."&amp;I$2&amp;I$1&amp;"P"&amp;$A34)*RTD("tos.rtd",,"LAST","."&amp;I$2&amp;I$1&amp;"P"&amp;$A34))/1000000),0),IF($A$2="PREMIUM",IFERROR(IF($X$1="ABS",(100*RTD("tos.rtd",,"VOLUME","."&amp;I$2&amp;I$1&amp;"C"&amp;$A34)*RTD("tos.rtd",,"LAST","."&amp;I$2&amp;I$1&amp;"C"&amp;$A34)+100*RTD("tos.rtd",,"VOLUME","."&amp;I$2&amp;I$1&amp;"P"&amp;$A34)*RTD("tos.rtd",,"LAST","."&amp;I$2&amp;I$1&amp;"P"&amp;$A34))/1000000,(100*RTD("tos.rtd",,"VOLUME","."&amp;I$2&amp;I$1&amp;"C"&amp;$A34)*RTD("tos.rtd",,"LAST","."&amp;I$2&amp;I$1&amp;"C"&amp;$A34)-100*RTD("tos.rtd",,"VOLUME","."&amp;I$2&amp;I$1&amp;"P"&amp;$A34)*RTD("tos.rtd",,"LAST","."&amp;I$2&amp;I$1&amp;"P"&amp;$A34))/1000000),0),IF($A$2="DEX",IFERROR(IF($X$1="ABS",(100*RTD("tos.rtd",,"OPEN_INT","."&amp;I$2&amp;I$1&amp;"C"&amp;$A34)*RTD("tos.rtd",,"DELTA","."&amp;I$2&amp;I$1&amp;"C"&amp;$A34)+100*RTD("tos.rtd",,"OPEN_INT","."&amp;I$2&amp;I$1&amp;"P"&amp;$A34)*RTD("tos.rtd",,"DELTA","."&amp;I$2&amp;I$1&amp;"P"&amp;$A34))/1000,(100*RTD("tos.rtd",,"OPEN_INT","."&amp;I$2&amp;I$1&amp;"C"&amp;$A34)*RTD("tos.rtd",,"DELTA","."&amp;I$2&amp;I$1&amp;"C"&amp;$A34)-100*RTD("tos.rtd",,"OPEN_INT","."&amp;I$2&amp;I$1&amp;"P"&amp;$A34)*RTD("tos.rtd",,"DELTA","."&amp;I$2&amp;I$1&amp;"P"&amp;$A34))/1000),0),IF($A$2="VEX",IFERROR(IF($X$1="ABS",($A$4*$A$4*RTD("tos.rtd",,"VOLUME","."&amp;I$2&amp;I$1&amp;"C"&amp;$A34)*RTD("tos.rtd",,"GAMMA","."&amp;I$2&amp;I$1&amp;"C"&amp;$A34)+$A$4*$A$4*RTD("tos.rtd",,"VOLUME","."&amp;I$2&amp;I$1&amp;"P"&amp;$A34)*RTD("tos.rtd",,"GAMMA","."&amp;I$2&amp;I$1&amp;"P"&amp;$A34))/1000000,($A$4*$A$4*RTD("tos.rtd",,"VOLUME","."&amp;I$2&amp;I$1&amp;"C"&amp;$A34)*RTD("tos.rtd",,"GAMMA","."&amp;I$2&amp;I$1&amp;"C"&amp;$A34)-$A$4*$A$4*RTD("tos.rtd",,"VOLUME","."&amp;I$2&amp;I$1&amp;"P"&amp;$A34)*RTD("tos.rtd",,"GAMMA","."&amp;I$2&amp;I$1&amp;"P"&amp;$A34))/1000000),0),IF($A$2="GEX",IFERROR(IF($X$1="ABS",($A$4*$A$4*RTD("tos.rtd",,"OPEN_INT","."&amp;I$2&amp;I$1&amp;"C"&amp;$A34)*RTD("tos.rtd",,"GAMMA","."&amp;I$2&amp;I$1&amp;"C"&amp;$A34)+$A$4*$A$4*RTD("tos.rtd",,"OPEN_INT","."&amp;I$2&amp;I$1&amp;"P"&amp;$A34)*RTD("tos.rtd",,"GAMMA","."&amp;I$2&amp;I$1&amp;"P"&amp;$A34))/1000000,($A$4*$A$4*RTD("tos.rtd",,"OPEN_INT","."&amp;I$2&amp;I$1&amp;"C"&amp;$A34)*RTD("tos.rtd",,"GAMMA","."&amp;I$2&amp;I$1&amp;"C"&amp;$A34)-$A$4*$A$4*RTD("tos.rtd",,"OPEN_INT","."&amp;I$2&amp;I$1&amp;"P"&amp;$A34)*RTD("tos.rtd",,"GAMMA","."&amp;I$2&amp;I$1&amp;"P"&amp;$A34))/1000000),0),IF($A$2="SKEW",IFERROR(VALUE(IF(RTD("tos.rtd",,"IMPL_VOL","."&amp;I$2&amp;I$1&amp;"P"&amp;$A34)="N/A",0,RTD("tos.rtd",,"IMPL_VOL","."&amp;I$2&amp;I$1&amp;"P"&amp;$A34))),0)-IFERROR(VALUE(IF(RTD("tos.rtd",,"IMPL_VOL","."&amp;I$2&amp;I$1&amp;"C"&amp;$A34)="N/A",0,RTD("tos.rtd",,"IMPL_VOL","."&amp;I$2&amp;I$1&amp;"C"&amp;$A34))),0),IF($A$2="MAXPAIN",IF($A$4&gt;$A34,($A$4-$A34)*IF(RTD("tos.rtd",,"OPEN_INT","."&amp;I$2&amp;I$1&amp;"C"&amp;$A34)="N/A",0,RTD("tos.rtd",,"OPEN_INT","."&amp;I$2&amp;I$1&amp;"C"&amp;$A34)),0)+IF($A$4&lt;$A34,($A$5-$A$4)*IF(RTD("tos.rtd",,"OPEN_INT","."&amp;I$2&amp;I$1&amp;"P"&amp;$A34)="N/A",0,RTD("tos.rtd",,"OPEN_INT","."&amp;I$2&amp;I$1&amp;"P"&amp;$A34)),0),IF($X$1="ABS",IF(RTD("tos.rtd",,$A$2,"."&amp;I$2&amp;I$1&amp;"C"&amp;$A34)="N/A",0,RTD("tos.rtd",,$A$2,"."&amp;I$2&amp;I$1&amp;"C"&amp;$A34))+IF(RTD("tos.rtd",,$A$2,"."&amp;I$2&amp;I$1&amp;"P"&amp;$A34)="N/A",0,RTD("tos.rtd",,$A$2,"."&amp;I$2&amp;I$1&amp;"P"&amp;$A34)),IF(RTD("tos.rtd",,$A$2,"."&amp;I$2&amp;I$1&amp;"C"&amp;$A34)="N/A",0,RTD("tos.rtd",,$A$2,"."&amp;I$2&amp;I$1&amp;"C"&amp;$A34))-IF(RTD("tos.rtd",,$A$2,"."&amp;I$2&amp;I$1&amp;"P"&amp;$A34)="N/A",0,RTD("tos.rtd",,$A$2,"."&amp;I$2&amp;I$1&amp;"P"&amp;$A34))))))))))</f>
        <v>0</v>
      </c>
      <c r="J34" s="12">
        <f ca="1">IF($A$2="PREMIUM_OI",IFERROR(IF($X$1="ABS",(100*RTD("tos.rtd",,"OPEN_INT","."&amp;J$2&amp;J$1&amp;"C"&amp;$A34)*RTD("tos.rtd",,"LAST","."&amp;J$2&amp;J$1&amp;"C"&amp;$A34)+100*RTD("tos.rtd",,"OPEN_INT","."&amp;J$2&amp;J$1&amp;"P"&amp;$A34)*RTD("tos.rtd",,"LAST","."&amp;J$2&amp;J$1&amp;"P"&amp;$A34))/1000000,(100*RTD("tos.rtd",,"OPEN_INT","."&amp;J$2&amp;J$1&amp;"C"&amp;$A34)*RTD("tos.rtd",,"LAST","."&amp;J$2&amp;J$1&amp;"C"&amp;$A34)-100*RTD("tos.rtd",,"OPEN_INT","."&amp;J$2&amp;J$1&amp;"P"&amp;$A34)*RTD("tos.rtd",,"LAST","."&amp;J$2&amp;J$1&amp;"P"&amp;$A34))/1000000),0),IF($A$2="PREMIUM",IFERROR(IF($X$1="ABS",(100*RTD("tos.rtd",,"VOLUME","."&amp;J$2&amp;J$1&amp;"C"&amp;$A34)*RTD("tos.rtd",,"LAST","."&amp;J$2&amp;J$1&amp;"C"&amp;$A34)+100*RTD("tos.rtd",,"VOLUME","."&amp;J$2&amp;J$1&amp;"P"&amp;$A34)*RTD("tos.rtd",,"LAST","."&amp;J$2&amp;J$1&amp;"P"&amp;$A34))/1000000,(100*RTD("tos.rtd",,"VOLUME","."&amp;J$2&amp;J$1&amp;"C"&amp;$A34)*RTD("tos.rtd",,"LAST","."&amp;J$2&amp;J$1&amp;"C"&amp;$A34)-100*RTD("tos.rtd",,"VOLUME","."&amp;J$2&amp;J$1&amp;"P"&amp;$A34)*RTD("tos.rtd",,"LAST","."&amp;J$2&amp;J$1&amp;"P"&amp;$A34))/1000000),0),IF($A$2="DEX",IFERROR(IF($X$1="ABS",(100*RTD("tos.rtd",,"OPEN_INT","."&amp;J$2&amp;J$1&amp;"C"&amp;$A34)*RTD("tos.rtd",,"DELTA","."&amp;J$2&amp;J$1&amp;"C"&amp;$A34)+100*RTD("tos.rtd",,"OPEN_INT","."&amp;J$2&amp;J$1&amp;"P"&amp;$A34)*RTD("tos.rtd",,"DELTA","."&amp;J$2&amp;J$1&amp;"P"&amp;$A34))/1000,(100*RTD("tos.rtd",,"OPEN_INT","."&amp;J$2&amp;J$1&amp;"C"&amp;$A34)*RTD("tos.rtd",,"DELTA","."&amp;J$2&amp;J$1&amp;"C"&amp;$A34)-100*RTD("tos.rtd",,"OPEN_INT","."&amp;J$2&amp;J$1&amp;"P"&amp;$A34)*RTD("tos.rtd",,"DELTA","."&amp;J$2&amp;J$1&amp;"P"&amp;$A34))/1000),0),IF($A$2="VEX",IFERROR(IF($X$1="ABS",($A$4*$A$4*RTD("tos.rtd",,"VOLUME","."&amp;J$2&amp;J$1&amp;"C"&amp;$A34)*RTD("tos.rtd",,"GAMMA","."&amp;J$2&amp;J$1&amp;"C"&amp;$A34)+$A$4*$A$4*RTD("tos.rtd",,"VOLUME","."&amp;J$2&amp;J$1&amp;"P"&amp;$A34)*RTD("tos.rtd",,"GAMMA","."&amp;J$2&amp;J$1&amp;"P"&amp;$A34))/1000000,($A$4*$A$4*RTD("tos.rtd",,"VOLUME","."&amp;J$2&amp;J$1&amp;"C"&amp;$A34)*RTD("tos.rtd",,"GAMMA","."&amp;J$2&amp;J$1&amp;"C"&amp;$A34)-$A$4*$A$4*RTD("tos.rtd",,"VOLUME","."&amp;J$2&amp;J$1&amp;"P"&amp;$A34)*RTD("tos.rtd",,"GAMMA","."&amp;J$2&amp;J$1&amp;"P"&amp;$A34))/1000000),0),IF($A$2="GEX",IFERROR(IF($X$1="ABS",($A$4*$A$4*RTD("tos.rtd",,"OPEN_INT","."&amp;J$2&amp;J$1&amp;"C"&amp;$A34)*RTD("tos.rtd",,"GAMMA","."&amp;J$2&amp;J$1&amp;"C"&amp;$A34)+$A$4*$A$4*RTD("tos.rtd",,"OPEN_INT","."&amp;J$2&amp;J$1&amp;"P"&amp;$A34)*RTD("tos.rtd",,"GAMMA","."&amp;J$2&amp;J$1&amp;"P"&amp;$A34))/1000000,($A$4*$A$4*RTD("tos.rtd",,"OPEN_INT","."&amp;J$2&amp;J$1&amp;"C"&amp;$A34)*RTD("tos.rtd",,"GAMMA","."&amp;J$2&amp;J$1&amp;"C"&amp;$A34)-$A$4*$A$4*RTD("tos.rtd",,"OPEN_INT","."&amp;J$2&amp;J$1&amp;"P"&amp;$A34)*RTD("tos.rtd",,"GAMMA","."&amp;J$2&amp;J$1&amp;"P"&amp;$A34))/1000000),0),IF($A$2="SKEW",IFERROR(VALUE(IF(RTD("tos.rtd",,"IMPL_VOL","."&amp;J$2&amp;J$1&amp;"P"&amp;$A34)="N/A",0,RTD("tos.rtd",,"IMPL_VOL","."&amp;J$2&amp;J$1&amp;"P"&amp;$A34))),0)-IFERROR(VALUE(IF(RTD("tos.rtd",,"IMPL_VOL","."&amp;J$2&amp;J$1&amp;"C"&amp;$A34)="N/A",0,RTD("tos.rtd",,"IMPL_VOL","."&amp;J$2&amp;J$1&amp;"C"&amp;$A34))),0),IF($A$2="MAXPAIN",IF($A$4&gt;$A34,($A$4-$A34)*IF(RTD("tos.rtd",,"OPEN_INT","."&amp;J$2&amp;J$1&amp;"C"&amp;$A34)="N/A",0,RTD("tos.rtd",,"OPEN_INT","."&amp;J$2&amp;J$1&amp;"C"&amp;$A34)),0)+IF($A$4&lt;$A34,($A$5-$A$4)*IF(RTD("tos.rtd",,"OPEN_INT","."&amp;J$2&amp;J$1&amp;"P"&amp;$A34)="N/A",0,RTD("tos.rtd",,"OPEN_INT","."&amp;J$2&amp;J$1&amp;"P"&amp;$A34)),0),IF($X$1="ABS",IF(RTD("tos.rtd",,$A$2,"."&amp;J$2&amp;J$1&amp;"C"&amp;$A34)="N/A",0,RTD("tos.rtd",,$A$2,"."&amp;J$2&amp;J$1&amp;"C"&amp;$A34))+IF(RTD("tos.rtd",,$A$2,"."&amp;J$2&amp;J$1&amp;"P"&amp;$A34)="N/A",0,RTD("tos.rtd",,$A$2,"."&amp;J$2&amp;J$1&amp;"P"&amp;$A34)),IF(RTD("tos.rtd",,$A$2,"."&amp;J$2&amp;J$1&amp;"C"&amp;$A34)="N/A",0,RTD("tos.rtd",,$A$2,"."&amp;J$2&amp;J$1&amp;"C"&amp;$A34))-IF(RTD("tos.rtd",,$A$2,"."&amp;J$2&amp;J$1&amp;"P"&amp;$A34)="N/A",0,RTD("tos.rtd",,$A$2,"."&amp;J$2&amp;J$1&amp;"P"&amp;$A34))))))))))</f>
        <v>0</v>
      </c>
      <c r="K34" s="12">
        <f ca="1">IF($A$2="PREMIUM_OI",IFERROR(IF($X$1="ABS",(100*RTD("tos.rtd",,"OPEN_INT","."&amp;K$2&amp;K$1&amp;"C"&amp;$A34)*RTD("tos.rtd",,"LAST","."&amp;K$2&amp;K$1&amp;"C"&amp;$A34)+100*RTD("tos.rtd",,"OPEN_INT","."&amp;K$2&amp;K$1&amp;"P"&amp;$A34)*RTD("tos.rtd",,"LAST","."&amp;K$2&amp;K$1&amp;"P"&amp;$A34))/1000000,(100*RTD("tos.rtd",,"OPEN_INT","."&amp;K$2&amp;K$1&amp;"C"&amp;$A34)*RTD("tos.rtd",,"LAST","."&amp;K$2&amp;K$1&amp;"C"&amp;$A34)-100*RTD("tos.rtd",,"OPEN_INT","."&amp;K$2&amp;K$1&amp;"P"&amp;$A34)*RTD("tos.rtd",,"LAST","."&amp;K$2&amp;K$1&amp;"P"&amp;$A34))/1000000),0),IF($A$2="PREMIUM",IFERROR(IF($X$1="ABS",(100*RTD("tos.rtd",,"VOLUME","."&amp;K$2&amp;K$1&amp;"C"&amp;$A34)*RTD("tos.rtd",,"LAST","."&amp;K$2&amp;K$1&amp;"C"&amp;$A34)+100*RTD("tos.rtd",,"VOLUME","."&amp;K$2&amp;K$1&amp;"P"&amp;$A34)*RTD("tos.rtd",,"LAST","."&amp;K$2&amp;K$1&amp;"P"&amp;$A34))/1000000,(100*RTD("tos.rtd",,"VOLUME","."&amp;K$2&amp;K$1&amp;"C"&amp;$A34)*RTD("tos.rtd",,"LAST","."&amp;K$2&amp;K$1&amp;"C"&amp;$A34)-100*RTD("tos.rtd",,"VOLUME","."&amp;K$2&amp;K$1&amp;"P"&amp;$A34)*RTD("tos.rtd",,"LAST","."&amp;K$2&amp;K$1&amp;"P"&amp;$A34))/1000000),0),IF($A$2="DEX",IFERROR(IF($X$1="ABS",(100*RTD("tos.rtd",,"OPEN_INT","."&amp;K$2&amp;K$1&amp;"C"&amp;$A34)*RTD("tos.rtd",,"DELTA","."&amp;K$2&amp;K$1&amp;"C"&amp;$A34)+100*RTD("tos.rtd",,"OPEN_INT","."&amp;K$2&amp;K$1&amp;"P"&amp;$A34)*RTD("tos.rtd",,"DELTA","."&amp;K$2&amp;K$1&amp;"P"&amp;$A34))/1000,(100*RTD("tos.rtd",,"OPEN_INT","."&amp;K$2&amp;K$1&amp;"C"&amp;$A34)*RTD("tos.rtd",,"DELTA","."&amp;K$2&amp;K$1&amp;"C"&amp;$A34)-100*RTD("tos.rtd",,"OPEN_INT","."&amp;K$2&amp;K$1&amp;"P"&amp;$A34)*RTD("tos.rtd",,"DELTA","."&amp;K$2&amp;K$1&amp;"P"&amp;$A34))/1000),0),IF($A$2="VEX",IFERROR(IF($X$1="ABS",($A$4*$A$4*RTD("tos.rtd",,"VOLUME","."&amp;K$2&amp;K$1&amp;"C"&amp;$A34)*RTD("tos.rtd",,"GAMMA","."&amp;K$2&amp;K$1&amp;"C"&amp;$A34)+$A$4*$A$4*RTD("tos.rtd",,"VOLUME","."&amp;K$2&amp;K$1&amp;"P"&amp;$A34)*RTD("tos.rtd",,"GAMMA","."&amp;K$2&amp;K$1&amp;"P"&amp;$A34))/1000000,($A$4*$A$4*RTD("tos.rtd",,"VOLUME","."&amp;K$2&amp;K$1&amp;"C"&amp;$A34)*RTD("tos.rtd",,"GAMMA","."&amp;K$2&amp;K$1&amp;"C"&amp;$A34)-$A$4*$A$4*RTD("tos.rtd",,"VOLUME","."&amp;K$2&amp;K$1&amp;"P"&amp;$A34)*RTD("tos.rtd",,"GAMMA","."&amp;K$2&amp;K$1&amp;"P"&amp;$A34))/1000000),0),IF($A$2="GEX",IFERROR(IF($X$1="ABS",($A$4*$A$4*RTD("tos.rtd",,"OPEN_INT","."&amp;K$2&amp;K$1&amp;"C"&amp;$A34)*RTD("tos.rtd",,"GAMMA","."&amp;K$2&amp;K$1&amp;"C"&amp;$A34)+$A$4*$A$4*RTD("tos.rtd",,"OPEN_INT","."&amp;K$2&amp;K$1&amp;"P"&amp;$A34)*RTD("tos.rtd",,"GAMMA","."&amp;K$2&amp;K$1&amp;"P"&amp;$A34))/1000000,($A$4*$A$4*RTD("tos.rtd",,"OPEN_INT","."&amp;K$2&amp;K$1&amp;"C"&amp;$A34)*RTD("tos.rtd",,"GAMMA","."&amp;K$2&amp;K$1&amp;"C"&amp;$A34)-$A$4*$A$4*RTD("tos.rtd",,"OPEN_INT","."&amp;K$2&amp;K$1&amp;"P"&amp;$A34)*RTD("tos.rtd",,"GAMMA","."&amp;K$2&amp;K$1&amp;"P"&amp;$A34))/1000000),0),IF($A$2="SKEW",IFERROR(VALUE(IF(RTD("tos.rtd",,"IMPL_VOL","."&amp;K$2&amp;K$1&amp;"P"&amp;$A34)="N/A",0,RTD("tos.rtd",,"IMPL_VOL","."&amp;K$2&amp;K$1&amp;"P"&amp;$A34))),0)-IFERROR(VALUE(IF(RTD("tos.rtd",,"IMPL_VOL","."&amp;K$2&amp;K$1&amp;"C"&amp;$A34)="N/A",0,RTD("tos.rtd",,"IMPL_VOL","."&amp;K$2&amp;K$1&amp;"C"&amp;$A34))),0),IF($A$2="MAXPAIN",IF($A$4&gt;$A34,($A$4-$A34)*IF(RTD("tos.rtd",,"OPEN_INT","."&amp;K$2&amp;K$1&amp;"C"&amp;$A34)="N/A",0,RTD("tos.rtd",,"OPEN_INT","."&amp;K$2&amp;K$1&amp;"C"&amp;$A34)),0)+IF($A$4&lt;$A34,($A$5-$A$4)*IF(RTD("tos.rtd",,"OPEN_INT","."&amp;K$2&amp;K$1&amp;"P"&amp;$A34)="N/A",0,RTD("tos.rtd",,"OPEN_INT","."&amp;K$2&amp;K$1&amp;"P"&amp;$A34)),0),IF($X$1="ABS",IF(RTD("tos.rtd",,$A$2,"."&amp;K$2&amp;K$1&amp;"C"&amp;$A34)="N/A",0,RTD("tos.rtd",,$A$2,"."&amp;K$2&amp;K$1&amp;"C"&amp;$A34))+IF(RTD("tos.rtd",,$A$2,"."&amp;K$2&amp;K$1&amp;"P"&amp;$A34)="N/A",0,RTD("tos.rtd",,$A$2,"."&amp;K$2&amp;K$1&amp;"P"&amp;$A34)),IF(RTD("tos.rtd",,$A$2,"."&amp;K$2&amp;K$1&amp;"C"&amp;$A34)="N/A",0,RTD("tos.rtd",,$A$2,"."&amp;K$2&amp;K$1&amp;"C"&amp;$A34))-IF(RTD("tos.rtd",,$A$2,"."&amp;K$2&amp;K$1&amp;"P"&amp;$A34)="N/A",0,RTD("tos.rtd",,$A$2,"."&amp;K$2&amp;K$1&amp;"P"&amp;$A34))))))))))</f>
        <v>0</v>
      </c>
      <c r="L34" s="54">
        <f ca="1">IF($A$2="PREMIUM_OI",IFERROR(IF($X$1="ABS",(100*RTD("tos.rtd",,"OPEN_INT","."&amp;L$2&amp;L$1&amp;"C"&amp;$A34)*RTD("tos.rtd",,"LAST","."&amp;L$2&amp;L$1&amp;"C"&amp;$A34)+100*RTD("tos.rtd",,"OPEN_INT","."&amp;L$2&amp;L$1&amp;"P"&amp;$A34)*RTD("tos.rtd",,"LAST","."&amp;L$2&amp;L$1&amp;"P"&amp;$A34))/1000000,(100*RTD("tos.rtd",,"OPEN_INT","."&amp;L$2&amp;L$1&amp;"C"&amp;$A34)*RTD("tos.rtd",,"LAST","."&amp;L$2&amp;L$1&amp;"C"&amp;$A34)-100*RTD("tos.rtd",,"OPEN_INT","."&amp;L$2&amp;L$1&amp;"P"&amp;$A34)*RTD("tos.rtd",,"LAST","."&amp;L$2&amp;L$1&amp;"P"&amp;$A34))/1000000),0),IF($A$2="PREMIUM",IFERROR(IF($X$1="ABS",(100*RTD("tos.rtd",,"VOLUME","."&amp;L$2&amp;L$1&amp;"C"&amp;$A34)*RTD("tos.rtd",,"LAST","."&amp;L$2&amp;L$1&amp;"C"&amp;$A34)+100*RTD("tos.rtd",,"VOLUME","."&amp;L$2&amp;L$1&amp;"P"&amp;$A34)*RTD("tos.rtd",,"LAST","."&amp;L$2&amp;L$1&amp;"P"&amp;$A34))/1000000,(100*RTD("tos.rtd",,"VOLUME","."&amp;L$2&amp;L$1&amp;"C"&amp;$A34)*RTD("tos.rtd",,"LAST","."&amp;L$2&amp;L$1&amp;"C"&amp;$A34)-100*RTD("tos.rtd",,"VOLUME","."&amp;L$2&amp;L$1&amp;"P"&amp;$A34)*RTD("tos.rtd",,"LAST","."&amp;L$2&amp;L$1&amp;"P"&amp;$A34))/1000000),0),IF($A$2="DEX",IFERROR(IF($X$1="ABS",(100*RTD("tos.rtd",,"OPEN_INT","."&amp;L$2&amp;L$1&amp;"C"&amp;$A34)*RTD("tos.rtd",,"DELTA","."&amp;L$2&amp;L$1&amp;"C"&amp;$A34)+100*RTD("tos.rtd",,"OPEN_INT","."&amp;L$2&amp;L$1&amp;"P"&amp;$A34)*RTD("tos.rtd",,"DELTA","."&amp;L$2&amp;L$1&amp;"P"&amp;$A34))/1000,(100*RTD("tos.rtd",,"OPEN_INT","."&amp;L$2&amp;L$1&amp;"C"&amp;$A34)*RTD("tos.rtd",,"DELTA","."&amp;L$2&amp;L$1&amp;"C"&amp;$A34)-100*RTD("tos.rtd",,"OPEN_INT","."&amp;L$2&amp;L$1&amp;"P"&amp;$A34)*RTD("tos.rtd",,"DELTA","."&amp;L$2&amp;L$1&amp;"P"&amp;$A34))/1000),0),IF($A$2="VEX",IFERROR(IF($X$1="ABS",($A$4*$A$4*RTD("tos.rtd",,"VOLUME","."&amp;L$2&amp;L$1&amp;"C"&amp;$A34)*RTD("tos.rtd",,"GAMMA","."&amp;L$2&amp;L$1&amp;"C"&amp;$A34)+$A$4*$A$4*RTD("tos.rtd",,"VOLUME","."&amp;L$2&amp;L$1&amp;"P"&amp;$A34)*RTD("tos.rtd",,"GAMMA","."&amp;L$2&amp;L$1&amp;"P"&amp;$A34))/1000000,($A$4*$A$4*RTD("tos.rtd",,"VOLUME","."&amp;L$2&amp;L$1&amp;"C"&amp;$A34)*RTD("tos.rtd",,"GAMMA","."&amp;L$2&amp;L$1&amp;"C"&amp;$A34)-$A$4*$A$4*RTD("tos.rtd",,"VOLUME","."&amp;L$2&amp;L$1&amp;"P"&amp;$A34)*RTD("tos.rtd",,"GAMMA","."&amp;L$2&amp;L$1&amp;"P"&amp;$A34))/1000000),0),IF($A$2="GEX",IFERROR(IF($X$1="ABS",($A$4*$A$4*RTD("tos.rtd",,"OPEN_INT","."&amp;L$2&amp;L$1&amp;"C"&amp;$A34)*RTD("tos.rtd",,"GAMMA","."&amp;L$2&amp;L$1&amp;"C"&amp;$A34)+$A$4*$A$4*RTD("tos.rtd",,"OPEN_INT","."&amp;L$2&amp;L$1&amp;"P"&amp;$A34)*RTD("tos.rtd",,"GAMMA","."&amp;L$2&amp;L$1&amp;"P"&amp;$A34))/1000000,($A$4*$A$4*RTD("tos.rtd",,"OPEN_INT","."&amp;L$2&amp;L$1&amp;"C"&amp;$A34)*RTD("tos.rtd",,"GAMMA","."&amp;L$2&amp;L$1&amp;"C"&amp;$A34)-$A$4*$A$4*RTD("tos.rtd",,"OPEN_INT","."&amp;L$2&amp;L$1&amp;"P"&amp;$A34)*RTD("tos.rtd",,"GAMMA","."&amp;L$2&amp;L$1&amp;"P"&amp;$A34))/1000000),0),IF($A$2="SKEW",IFERROR(VALUE(IF(RTD("tos.rtd",,"IMPL_VOL","."&amp;L$2&amp;L$1&amp;"P"&amp;$A34)="N/A",0,RTD("tos.rtd",,"IMPL_VOL","."&amp;L$2&amp;L$1&amp;"P"&amp;$A34))),0)-IFERROR(VALUE(IF(RTD("tos.rtd",,"IMPL_VOL","."&amp;L$2&amp;L$1&amp;"C"&amp;$A34)="N/A",0,RTD("tos.rtd",,"IMPL_VOL","."&amp;L$2&amp;L$1&amp;"C"&amp;$A34))),0),IF($A$2="MAXPAIN",IF($A$4&gt;$A34,($A$4-$A34)*IF(RTD("tos.rtd",,"OPEN_INT","."&amp;L$2&amp;L$1&amp;"C"&amp;$A34)="N/A",0,RTD("tos.rtd",,"OPEN_INT","."&amp;L$2&amp;L$1&amp;"C"&amp;$A34)),0)+IF($A$4&lt;$A34,($A$5-$A$4)*IF(RTD("tos.rtd",,"OPEN_INT","."&amp;L$2&amp;L$1&amp;"P"&amp;$A34)="N/A",0,RTD("tos.rtd",,"OPEN_INT","."&amp;L$2&amp;L$1&amp;"P"&amp;$A34)),0),IF($X$1="ABS",IF(RTD("tos.rtd",,$A$2,"."&amp;L$2&amp;L$1&amp;"C"&amp;$A34)="N/A",0,RTD("tos.rtd",,$A$2,"."&amp;L$2&amp;L$1&amp;"C"&amp;$A34))+IF(RTD("tos.rtd",,$A$2,"."&amp;L$2&amp;L$1&amp;"P"&amp;$A34)="N/A",0,RTD("tos.rtd",,$A$2,"."&amp;L$2&amp;L$1&amp;"P"&amp;$A34)),IF(RTD("tos.rtd",,$A$2,"."&amp;L$2&amp;L$1&amp;"C"&amp;$A34)="N/A",0,RTD("tos.rtd",,$A$2,"."&amp;L$2&amp;L$1&amp;"C"&amp;$A34))-IF(RTD("tos.rtd",,$A$2,"."&amp;L$2&amp;L$1&amp;"P"&amp;$A34)="N/A",0,RTD("tos.rtd",,$A$2,"."&amp;L$2&amp;L$1&amp;"P"&amp;$A34))))))))))</f>
        <v>0</v>
      </c>
      <c r="M34" s="12">
        <f ca="1">IF($A$2="PREMIUM_OI",IFERROR(IF($X$1="ABS",(100*RTD("tos.rtd",,"OPEN_INT","."&amp;M$2&amp;M$1&amp;"C"&amp;$A34)*RTD("tos.rtd",,"LAST","."&amp;M$2&amp;M$1&amp;"C"&amp;$A34)+100*RTD("tos.rtd",,"OPEN_INT","."&amp;M$2&amp;M$1&amp;"P"&amp;$A34)*RTD("tos.rtd",,"LAST","."&amp;M$2&amp;M$1&amp;"P"&amp;$A34))/1000000,(100*RTD("tos.rtd",,"OPEN_INT","."&amp;M$2&amp;M$1&amp;"C"&amp;$A34)*RTD("tos.rtd",,"LAST","."&amp;M$2&amp;M$1&amp;"C"&amp;$A34)-100*RTD("tos.rtd",,"OPEN_INT","."&amp;M$2&amp;M$1&amp;"P"&amp;$A34)*RTD("tos.rtd",,"LAST","."&amp;M$2&amp;M$1&amp;"P"&amp;$A34))/1000000),0),IF($A$2="PREMIUM",IFERROR(IF($X$1="ABS",(100*RTD("tos.rtd",,"VOLUME","."&amp;M$2&amp;M$1&amp;"C"&amp;$A34)*RTD("tos.rtd",,"LAST","."&amp;M$2&amp;M$1&amp;"C"&amp;$A34)+100*RTD("tos.rtd",,"VOLUME","."&amp;M$2&amp;M$1&amp;"P"&amp;$A34)*RTD("tos.rtd",,"LAST","."&amp;M$2&amp;M$1&amp;"P"&amp;$A34))/1000000,(100*RTD("tos.rtd",,"VOLUME","."&amp;M$2&amp;M$1&amp;"C"&amp;$A34)*RTD("tos.rtd",,"LAST","."&amp;M$2&amp;M$1&amp;"C"&amp;$A34)-100*RTD("tos.rtd",,"VOLUME","."&amp;M$2&amp;M$1&amp;"P"&amp;$A34)*RTD("tos.rtd",,"LAST","."&amp;M$2&amp;M$1&amp;"P"&amp;$A34))/1000000),0),IF($A$2="DEX",IFERROR(IF($X$1="ABS",(100*RTD("tos.rtd",,"OPEN_INT","."&amp;M$2&amp;M$1&amp;"C"&amp;$A34)*RTD("tos.rtd",,"DELTA","."&amp;M$2&amp;M$1&amp;"C"&amp;$A34)+100*RTD("tos.rtd",,"OPEN_INT","."&amp;M$2&amp;M$1&amp;"P"&amp;$A34)*RTD("tos.rtd",,"DELTA","."&amp;M$2&amp;M$1&amp;"P"&amp;$A34))/1000,(100*RTD("tos.rtd",,"OPEN_INT","."&amp;M$2&amp;M$1&amp;"C"&amp;$A34)*RTD("tos.rtd",,"DELTA","."&amp;M$2&amp;M$1&amp;"C"&amp;$A34)-100*RTD("tos.rtd",,"OPEN_INT","."&amp;M$2&amp;M$1&amp;"P"&amp;$A34)*RTD("tos.rtd",,"DELTA","."&amp;M$2&amp;M$1&amp;"P"&amp;$A34))/1000),0),IF($A$2="VEX",IFERROR(IF($X$1="ABS",($A$4*$A$4*RTD("tos.rtd",,"VOLUME","."&amp;M$2&amp;M$1&amp;"C"&amp;$A34)*RTD("tos.rtd",,"GAMMA","."&amp;M$2&amp;M$1&amp;"C"&amp;$A34)+$A$4*$A$4*RTD("tos.rtd",,"VOLUME","."&amp;M$2&amp;M$1&amp;"P"&amp;$A34)*RTD("tos.rtd",,"GAMMA","."&amp;M$2&amp;M$1&amp;"P"&amp;$A34))/1000000,($A$4*$A$4*RTD("tos.rtd",,"VOLUME","."&amp;M$2&amp;M$1&amp;"C"&amp;$A34)*RTD("tos.rtd",,"GAMMA","."&amp;M$2&amp;M$1&amp;"C"&amp;$A34)-$A$4*$A$4*RTD("tos.rtd",,"VOLUME","."&amp;M$2&amp;M$1&amp;"P"&amp;$A34)*RTD("tos.rtd",,"GAMMA","."&amp;M$2&amp;M$1&amp;"P"&amp;$A34))/1000000),0),IF($A$2="GEX",IFERROR(IF($X$1="ABS",($A$4*$A$4*RTD("tos.rtd",,"OPEN_INT","."&amp;M$2&amp;M$1&amp;"C"&amp;$A34)*RTD("tos.rtd",,"GAMMA","."&amp;M$2&amp;M$1&amp;"C"&amp;$A34)+$A$4*$A$4*RTD("tos.rtd",,"OPEN_INT","."&amp;M$2&amp;M$1&amp;"P"&amp;$A34)*RTD("tos.rtd",,"GAMMA","."&amp;M$2&amp;M$1&amp;"P"&amp;$A34))/1000000,($A$4*$A$4*RTD("tos.rtd",,"OPEN_INT","."&amp;M$2&amp;M$1&amp;"C"&amp;$A34)*RTD("tos.rtd",,"GAMMA","."&amp;M$2&amp;M$1&amp;"C"&amp;$A34)-$A$4*$A$4*RTD("tos.rtd",,"OPEN_INT","."&amp;M$2&amp;M$1&amp;"P"&amp;$A34)*RTD("tos.rtd",,"GAMMA","."&amp;M$2&amp;M$1&amp;"P"&amp;$A34))/1000000),0),IF($A$2="SKEW",IFERROR(VALUE(IF(RTD("tos.rtd",,"IMPL_VOL","."&amp;M$2&amp;M$1&amp;"P"&amp;$A34)="N/A",0,RTD("tos.rtd",,"IMPL_VOL","."&amp;M$2&amp;M$1&amp;"P"&amp;$A34))),0)-IFERROR(VALUE(IF(RTD("tos.rtd",,"IMPL_VOL","."&amp;M$2&amp;M$1&amp;"C"&amp;$A34)="N/A",0,RTD("tos.rtd",,"IMPL_VOL","."&amp;M$2&amp;M$1&amp;"C"&amp;$A34))),0),IF($A$2="MAXPAIN",IF($A$4&gt;$A34,($A$4-$A34)*IF(RTD("tos.rtd",,"OPEN_INT","."&amp;M$2&amp;M$1&amp;"C"&amp;$A34)="N/A",0,RTD("tos.rtd",,"OPEN_INT","."&amp;M$2&amp;M$1&amp;"C"&amp;$A34)),0)+IF($A$4&lt;$A34,($A$5-$A$4)*IF(RTD("tos.rtd",,"OPEN_INT","."&amp;M$2&amp;M$1&amp;"P"&amp;$A34)="N/A",0,RTD("tos.rtd",,"OPEN_INT","."&amp;M$2&amp;M$1&amp;"P"&amp;$A34)),0),IF($X$1="ABS",IF(RTD("tos.rtd",,$A$2,"."&amp;M$2&amp;M$1&amp;"C"&amp;$A34)="N/A",0,RTD("tos.rtd",,$A$2,"."&amp;M$2&amp;M$1&amp;"C"&amp;$A34))+IF(RTD("tos.rtd",,$A$2,"."&amp;M$2&amp;M$1&amp;"P"&amp;$A34)="N/A",0,RTD("tos.rtd",,$A$2,"."&amp;M$2&amp;M$1&amp;"P"&amp;$A34)),IF(RTD("tos.rtd",,$A$2,"."&amp;M$2&amp;M$1&amp;"C"&amp;$A34)="N/A",0,RTD("tos.rtd",,$A$2,"."&amp;M$2&amp;M$1&amp;"C"&amp;$A34))-IF(RTD("tos.rtd",,$A$2,"."&amp;M$2&amp;M$1&amp;"P"&amp;$A34)="N/A",0,RTD("tos.rtd",,$A$2,"."&amp;M$2&amp;M$1&amp;"P"&amp;$A34))))))))))</f>
        <v>0</v>
      </c>
      <c r="N34" s="12">
        <f ca="1">IF($A$2="PREMIUM_OI",IFERROR(IF($X$1="ABS",(100*RTD("tos.rtd",,"OPEN_INT","."&amp;N$2&amp;N$1&amp;"C"&amp;$A34)*RTD("tos.rtd",,"LAST","."&amp;N$2&amp;N$1&amp;"C"&amp;$A34)+100*RTD("tos.rtd",,"OPEN_INT","."&amp;N$2&amp;N$1&amp;"P"&amp;$A34)*RTD("tos.rtd",,"LAST","."&amp;N$2&amp;N$1&amp;"P"&amp;$A34))/1000000,(100*RTD("tos.rtd",,"OPEN_INT","."&amp;N$2&amp;N$1&amp;"C"&amp;$A34)*RTD("tos.rtd",,"LAST","."&amp;N$2&amp;N$1&amp;"C"&amp;$A34)-100*RTD("tos.rtd",,"OPEN_INT","."&amp;N$2&amp;N$1&amp;"P"&amp;$A34)*RTD("tos.rtd",,"LAST","."&amp;N$2&amp;N$1&amp;"P"&amp;$A34))/1000000),0),IF($A$2="PREMIUM",IFERROR(IF($X$1="ABS",(100*RTD("tos.rtd",,"VOLUME","."&amp;N$2&amp;N$1&amp;"C"&amp;$A34)*RTD("tos.rtd",,"LAST","."&amp;N$2&amp;N$1&amp;"C"&amp;$A34)+100*RTD("tos.rtd",,"VOLUME","."&amp;N$2&amp;N$1&amp;"P"&amp;$A34)*RTD("tos.rtd",,"LAST","."&amp;N$2&amp;N$1&amp;"P"&amp;$A34))/1000000,(100*RTD("tos.rtd",,"VOLUME","."&amp;N$2&amp;N$1&amp;"C"&amp;$A34)*RTD("tos.rtd",,"LAST","."&amp;N$2&amp;N$1&amp;"C"&amp;$A34)-100*RTD("tos.rtd",,"VOLUME","."&amp;N$2&amp;N$1&amp;"P"&amp;$A34)*RTD("tos.rtd",,"LAST","."&amp;N$2&amp;N$1&amp;"P"&amp;$A34))/1000000),0),IF($A$2="DEX",IFERROR(IF($X$1="ABS",(100*RTD("tos.rtd",,"OPEN_INT","."&amp;N$2&amp;N$1&amp;"C"&amp;$A34)*RTD("tos.rtd",,"DELTA","."&amp;N$2&amp;N$1&amp;"C"&amp;$A34)+100*RTD("tos.rtd",,"OPEN_INT","."&amp;N$2&amp;N$1&amp;"P"&amp;$A34)*RTD("tos.rtd",,"DELTA","."&amp;N$2&amp;N$1&amp;"P"&amp;$A34))/1000,(100*RTD("tos.rtd",,"OPEN_INT","."&amp;N$2&amp;N$1&amp;"C"&amp;$A34)*RTD("tos.rtd",,"DELTA","."&amp;N$2&amp;N$1&amp;"C"&amp;$A34)-100*RTD("tos.rtd",,"OPEN_INT","."&amp;N$2&amp;N$1&amp;"P"&amp;$A34)*RTD("tos.rtd",,"DELTA","."&amp;N$2&amp;N$1&amp;"P"&amp;$A34))/1000),0),IF($A$2="VEX",IFERROR(IF($X$1="ABS",($A$4*$A$4*RTD("tos.rtd",,"VOLUME","."&amp;N$2&amp;N$1&amp;"C"&amp;$A34)*RTD("tos.rtd",,"GAMMA","."&amp;N$2&amp;N$1&amp;"C"&amp;$A34)+$A$4*$A$4*RTD("tos.rtd",,"VOLUME","."&amp;N$2&amp;N$1&amp;"P"&amp;$A34)*RTD("tos.rtd",,"GAMMA","."&amp;N$2&amp;N$1&amp;"P"&amp;$A34))/1000000,($A$4*$A$4*RTD("tos.rtd",,"VOLUME","."&amp;N$2&amp;N$1&amp;"C"&amp;$A34)*RTD("tos.rtd",,"GAMMA","."&amp;N$2&amp;N$1&amp;"C"&amp;$A34)-$A$4*$A$4*RTD("tos.rtd",,"VOLUME","."&amp;N$2&amp;N$1&amp;"P"&amp;$A34)*RTD("tos.rtd",,"GAMMA","."&amp;N$2&amp;N$1&amp;"P"&amp;$A34))/1000000),0),IF($A$2="GEX",IFERROR(IF($X$1="ABS",($A$4*$A$4*RTD("tos.rtd",,"OPEN_INT","."&amp;N$2&amp;N$1&amp;"C"&amp;$A34)*RTD("tos.rtd",,"GAMMA","."&amp;N$2&amp;N$1&amp;"C"&amp;$A34)+$A$4*$A$4*RTD("tos.rtd",,"OPEN_INT","."&amp;N$2&amp;N$1&amp;"P"&amp;$A34)*RTD("tos.rtd",,"GAMMA","."&amp;N$2&amp;N$1&amp;"P"&amp;$A34))/1000000,($A$4*$A$4*RTD("tos.rtd",,"OPEN_INT","."&amp;N$2&amp;N$1&amp;"C"&amp;$A34)*RTD("tos.rtd",,"GAMMA","."&amp;N$2&amp;N$1&amp;"C"&amp;$A34)-$A$4*$A$4*RTD("tos.rtd",,"OPEN_INT","."&amp;N$2&amp;N$1&amp;"P"&amp;$A34)*RTD("tos.rtd",,"GAMMA","."&amp;N$2&amp;N$1&amp;"P"&amp;$A34))/1000000),0),IF($A$2="SKEW",IFERROR(VALUE(IF(RTD("tos.rtd",,"IMPL_VOL","."&amp;N$2&amp;N$1&amp;"P"&amp;$A34)="N/A",0,RTD("tos.rtd",,"IMPL_VOL","."&amp;N$2&amp;N$1&amp;"P"&amp;$A34))),0)-IFERROR(VALUE(IF(RTD("tos.rtd",,"IMPL_VOL","."&amp;N$2&amp;N$1&amp;"C"&amp;$A34)="N/A",0,RTD("tos.rtd",,"IMPL_VOL","."&amp;N$2&amp;N$1&amp;"C"&amp;$A34))),0),IF($A$2="MAXPAIN",IF($A$4&gt;$A34,($A$4-$A34)*IF(RTD("tos.rtd",,"OPEN_INT","."&amp;N$2&amp;N$1&amp;"C"&amp;$A34)="N/A",0,RTD("tos.rtd",,"OPEN_INT","."&amp;N$2&amp;N$1&amp;"C"&amp;$A34)),0)+IF($A$4&lt;$A34,($A$5-$A$4)*IF(RTD("tos.rtd",,"OPEN_INT","."&amp;N$2&amp;N$1&amp;"P"&amp;$A34)="N/A",0,RTD("tos.rtd",,"OPEN_INT","."&amp;N$2&amp;N$1&amp;"P"&amp;$A34)),0),IF($X$1="ABS",IF(RTD("tos.rtd",,$A$2,"."&amp;N$2&amp;N$1&amp;"C"&amp;$A34)="N/A",0,RTD("tos.rtd",,$A$2,"."&amp;N$2&amp;N$1&amp;"C"&amp;$A34))+IF(RTD("tos.rtd",,$A$2,"."&amp;N$2&amp;N$1&amp;"P"&amp;$A34)="N/A",0,RTD("tos.rtd",,$A$2,"."&amp;N$2&amp;N$1&amp;"P"&amp;$A34)),IF(RTD("tos.rtd",,$A$2,"."&amp;N$2&amp;N$1&amp;"C"&amp;$A34)="N/A",0,RTD("tos.rtd",,$A$2,"."&amp;N$2&amp;N$1&amp;"C"&amp;$A34))-IF(RTD("tos.rtd",,$A$2,"."&amp;N$2&amp;N$1&amp;"P"&amp;$A34)="N/A",0,RTD("tos.rtd",,$A$2,"."&amp;N$2&amp;N$1&amp;"P"&amp;$A34))))))))))</f>
        <v>0</v>
      </c>
      <c r="O34" s="12">
        <f ca="1">IF($A$2="PREMIUM_OI",IFERROR(IF($X$1="ABS",(100*RTD("tos.rtd",,"OPEN_INT","."&amp;O$2&amp;O$1&amp;"C"&amp;$A34)*RTD("tos.rtd",,"LAST","."&amp;O$2&amp;O$1&amp;"C"&amp;$A34)+100*RTD("tos.rtd",,"OPEN_INT","."&amp;O$2&amp;O$1&amp;"P"&amp;$A34)*RTD("tos.rtd",,"LAST","."&amp;O$2&amp;O$1&amp;"P"&amp;$A34))/1000000,(100*RTD("tos.rtd",,"OPEN_INT","."&amp;O$2&amp;O$1&amp;"C"&amp;$A34)*RTD("tos.rtd",,"LAST","."&amp;O$2&amp;O$1&amp;"C"&amp;$A34)-100*RTD("tos.rtd",,"OPEN_INT","."&amp;O$2&amp;O$1&amp;"P"&amp;$A34)*RTD("tos.rtd",,"LAST","."&amp;O$2&amp;O$1&amp;"P"&amp;$A34))/1000000),0),IF($A$2="PREMIUM",IFERROR(IF($X$1="ABS",(100*RTD("tos.rtd",,"VOLUME","."&amp;O$2&amp;O$1&amp;"C"&amp;$A34)*RTD("tos.rtd",,"LAST","."&amp;O$2&amp;O$1&amp;"C"&amp;$A34)+100*RTD("tos.rtd",,"VOLUME","."&amp;O$2&amp;O$1&amp;"P"&amp;$A34)*RTD("tos.rtd",,"LAST","."&amp;O$2&amp;O$1&amp;"P"&amp;$A34))/1000000,(100*RTD("tos.rtd",,"VOLUME","."&amp;O$2&amp;O$1&amp;"C"&amp;$A34)*RTD("tos.rtd",,"LAST","."&amp;O$2&amp;O$1&amp;"C"&amp;$A34)-100*RTD("tos.rtd",,"VOLUME","."&amp;O$2&amp;O$1&amp;"P"&amp;$A34)*RTD("tos.rtd",,"LAST","."&amp;O$2&amp;O$1&amp;"P"&amp;$A34))/1000000),0),IF($A$2="DEX",IFERROR(IF($X$1="ABS",(100*RTD("tos.rtd",,"OPEN_INT","."&amp;O$2&amp;O$1&amp;"C"&amp;$A34)*RTD("tos.rtd",,"DELTA","."&amp;O$2&amp;O$1&amp;"C"&amp;$A34)+100*RTD("tos.rtd",,"OPEN_INT","."&amp;O$2&amp;O$1&amp;"P"&amp;$A34)*RTD("tos.rtd",,"DELTA","."&amp;O$2&amp;O$1&amp;"P"&amp;$A34))/1000,(100*RTD("tos.rtd",,"OPEN_INT","."&amp;O$2&amp;O$1&amp;"C"&amp;$A34)*RTD("tos.rtd",,"DELTA","."&amp;O$2&amp;O$1&amp;"C"&amp;$A34)-100*RTD("tos.rtd",,"OPEN_INT","."&amp;O$2&amp;O$1&amp;"P"&amp;$A34)*RTD("tos.rtd",,"DELTA","."&amp;O$2&amp;O$1&amp;"P"&amp;$A34))/1000),0),IF($A$2="VEX",IFERROR(IF($X$1="ABS",($A$4*$A$4*RTD("tos.rtd",,"VOLUME","."&amp;O$2&amp;O$1&amp;"C"&amp;$A34)*RTD("tos.rtd",,"GAMMA","."&amp;O$2&amp;O$1&amp;"C"&amp;$A34)+$A$4*$A$4*RTD("tos.rtd",,"VOLUME","."&amp;O$2&amp;O$1&amp;"P"&amp;$A34)*RTD("tos.rtd",,"GAMMA","."&amp;O$2&amp;O$1&amp;"P"&amp;$A34))/1000000,($A$4*$A$4*RTD("tos.rtd",,"VOLUME","."&amp;O$2&amp;O$1&amp;"C"&amp;$A34)*RTD("tos.rtd",,"GAMMA","."&amp;O$2&amp;O$1&amp;"C"&amp;$A34)-$A$4*$A$4*RTD("tos.rtd",,"VOLUME","."&amp;O$2&amp;O$1&amp;"P"&amp;$A34)*RTD("tos.rtd",,"GAMMA","."&amp;O$2&amp;O$1&amp;"P"&amp;$A34))/1000000),0),IF($A$2="GEX",IFERROR(IF($X$1="ABS",($A$4*$A$4*RTD("tos.rtd",,"OPEN_INT","."&amp;O$2&amp;O$1&amp;"C"&amp;$A34)*RTD("tos.rtd",,"GAMMA","."&amp;O$2&amp;O$1&amp;"C"&amp;$A34)+$A$4*$A$4*RTD("tos.rtd",,"OPEN_INT","."&amp;O$2&amp;O$1&amp;"P"&amp;$A34)*RTD("tos.rtd",,"GAMMA","."&amp;O$2&amp;O$1&amp;"P"&amp;$A34))/1000000,($A$4*$A$4*RTD("tos.rtd",,"OPEN_INT","."&amp;O$2&amp;O$1&amp;"C"&amp;$A34)*RTD("tos.rtd",,"GAMMA","."&amp;O$2&amp;O$1&amp;"C"&amp;$A34)-$A$4*$A$4*RTD("tos.rtd",,"OPEN_INT","."&amp;O$2&amp;O$1&amp;"P"&amp;$A34)*RTD("tos.rtd",,"GAMMA","."&amp;O$2&amp;O$1&amp;"P"&amp;$A34))/1000000),0),IF($A$2="SKEW",IFERROR(VALUE(IF(RTD("tos.rtd",,"IMPL_VOL","."&amp;O$2&amp;O$1&amp;"P"&amp;$A34)="N/A",0,RTD("tos.rtd",,"IMPL_VOL","."&amp;O$2&amp;O$1&amp;"P"&amp;$A34))),0)-IFERROR(VALUE(IF(RTD("tos.rtd",,"IMPL_VOL","."&amp;O$2&amp;O$1&amp;"C"&amp;$A34)="N/A",0,RTD("tos.rtd",,"IMPL_VOL","."&amp;O$2&amp;O$1&amp;"C"&amp;$A34))),0),IF($A$2="MAXPAIN",IF($A$4&gt;$A34,($A$4-$A34)*IF(RTD("tos.rtd",,"OPEN_INT","."&amp;O$2&amp;O$1&amp;"C"&amp;$A34)="N/A",0,RTD("tos.rtd",,"OPEN_INT","."&amp;O$2&amp;O$1&amp;"C"&amp;$A34)),0)+IF($A$4&lt;$A34,($A$5-$A$4)*IF(RTD("tos.rtd",,"OPEN_INT","."&amp;O$2&amp;O$1&amp;"P"&amp;$A34)="N/A",0,RTD("tos.rtd",,"OPEN_INT","."&amp;O$2&amp;O$1&amp;"P"&amp;$A34)),0),IF($X$1="ABS",IF(RTD("tos.rtd",,$A$2,"."&amp;O$2&amp;O$1&amp;"C"&amp;$A34)="N/A",0,RTD("tos.rtd",,$A$2,"."&amp;O$2&amp;O$1&amp;"C"&amp;$A34))+IF(RTD("tos.rtd",,$A$2,"."&amp;O$2&amp;O$1&amp;"P"&amp;$A34)="N/A",0,RTD("tos.rtd",,$A$2,"."&amp;O$2&amp;O$1&amp;"P"&amp;$A34)),IF(RTD("tos.rtd",,$A$2,"."&amp;O$2&amp;O$1&amp;"C"&amp;$A34)="N/A",0,RTD("tos.rtd",,$A$2,"."&amp;O$2&amp;O$1&amp;"C"&amp;$A34))-IF(RTD("tos.rtd",,$A$2,"."&amp;O$2&amp;O$1&amp;"P"&amp;$A34)="N/A",0,RTD("tos.rtd",,$A$2,"."&amp;O$2&amp;O$1&amp;"P"&amp;$A34))))))))))</f>
        <v>0</v>
      </c>
      <c r="P34" s="12">
        <f ca="1">IF($A$2="PREMIUM_OI",IFERROR(IF($X$1="ABS",(100*RTD("tos.rtd",,"OPEN_INT","."&amp;P$2&amp;P$1&amp;"C"&amp;$A34)*RTD("tos.rtd",,"LAST","."&amp;P$2&amp;P$1&amp;"C"&amp;$A34)+100*RTD("tos.rtd",,"OPEN_INT","."&amp;P$2&amp;P$1&amp;"P"&amp;$A34)*RTD("tos.rtd",,"LAST","."&amp;P$2&amp;P$1&amp;"P"&amp;$A34))/1000000,(100*RTD("tos.rtd",,"OPEN_INT","."&amp;P$2&amp;P$1&amp;"C"&amp;$A34)*RTD("tos.rtd",,"LAST","."&amp;P$2&amp;P$1&amp;"C"&amp;$A34)-100*RTD("tos.rtd",,"OPEN_INT","."&amp;P$2&amp;P$1&amp;"P"&amp;$A34)*RTD("tos.rtd",,"LAST","."&amp;P$2&amp;P$1&amp;"P"&amp;$A34))/1000000),0),IF($A$2="PREMIUM",IFERROR(IF($X$1="ABS",(100*RTD("tos.rtd",,"VOLUME","."&amp;P$2&amp;P$1&amp;"C"&amp;$A34)*RTD("tos.rtd",,"LAST","."&amp;P$2&amp;P$1&amp;"C"&amp;$A34)+100*RTD("tos.rtd",,"VOLUME","."&amp;P$2&amp;P$1&amp;"P"&amp;$A34)*RTD("tos.rtd",,"LAST","."&amp;P$2&amp;P$1&amp;"P"&amp;$A34))/1000000,(100*RTD("tos.rtd",,"VOLUME","."&amp;P$2&amp;P$1&amp;"C"&amp;$A34)*RTD("tos.rtd",,"LAST","."&amp;P$2&amp;P$1&amp;"C"&amp;$A34)-100*RTD("tos.rtd",,"VOLUME","."&amp;P$2&amp;P$1&amp;"P"&amp;$A34)*RTD("tos.rtd",,"LAST","."&amp;P$2&amp;P$1&amp;"P"&amp;$A34))/1000000),0),IF($A$2="DEX",IFERROR(IF($X$1="ABS",(100*RTD("tos.rtd",,"OPEN_INT","."&amp;P$2&amp;P$1&amp;"C"&amp;$A34)*RTD("tos.rtd",,"DELTA","."&amp;P$2&amp;P$1&amp;"C"&amp;$A34)+100*RTD("tos.rtd",,"OPEN_INT","."&amp;P$2&amp;P$1&amp;"P"&amp;$A34)*RTD("tos.rtd",,"DELTA","."&amp;P$2&amp;P$1&amp;"P"&amp;$A34))/1000,(100*RTD("tos.rtd",,"OPEN_INT","."&amp;P$2&amp;P$1&amp;"C"&amp;$A34)*RTD("tos.rtd",,"DELTA","."&amp;P$2&amp;P$1&amp;"C"&amp;$A34)-100*RTD("tos.rtd",,"OPEN_INT","."&amp;P$2&amp;P$1&amp;"P"&amp;$A34)*RTD("tos.rtd",,"DELTA","."&amp;P$2&amp;P$1&amp;"P"&amp;$A34))/1000),0),IF($A$2="VEX",IFERROR(IF($X$1="ABS",($A$4*$A$4*RTD("tos.rtd",,"VOLUME","."&amp;P$2&amp;P$1&amp;"C"&amp;$A34)*RTD("tos.rtd",,"GAMMA","."&amp;P$2&amp;P$1&amp;"C"&amp;$A34)+$A$4*$A$4*RTD("tos.rtd",,"VOLUME","."&amp;P$2&amp;P$1&amp;"P"&amp;$A34)*RTD("tos.rtd",,"GAMMA","."&amp;P$2&amp;P$1&amp;"P"&amp;$A34))/1000000,($A$4*$A$4*RTD("tos.rtd",,"VOLUME","."&amp;P$2&amp;P$1&amp;"C"&amp;$A34)*RTD("tos.rtd",,"GAMMA","."&amp;P$2&amp;P$1&amp;"C"&amp;$A34)-$A$4*$A$4*RTD("tos.rtd",,"VOLUME","."&amp;P$2&amp;P$1&amp;"P"&amp;$A34)*RTD("tos.rtd",,"GAMMA","."&amp;P$2&amp;P$1&amp;"P"&amp;$A34))/1000000),0),IF($A$2="GEX",IFERROR(IF($X$1="ABS",($A$4*$A$4*RTD("tos.rtd",,"OPEN_INT","."&amp;P$2&amp;P$1&amp;"C"&amp;$A34)*RTD("tos.rtd",,"GAMMA","."&amp;P$2&amp;P$1&amp;"C"&amp;$A34)+$A$4*$A$4*RTD("tos.rtd",,"OPEN_INT","."&amp;P$2&amp;P$1&amp;"P"&amp;$A34)*RTD("tos.rtd",,"GAMMA","."&amp;P$2&amp;P$1&amp;"P"&amp;$A34))/1000000,($A$4*$A$4*RTD("tos.rtd",,"OPEN_INT","."&amp;P$2&amp;P$1&amp;"C"&amp;$A34)*RTD("tos.rtd",,"GAMMA","."&amp;P$2&amp;P$1&amp;"C"&amp;$A34)-$A$4*$A$4*RTD("tos.rtd",,"OPEN_INT","."&amp;P$2&amp;P$1&amp;"P"&amp;$A34)*RTD("tos.rtd",,"GAMMA","."&amp;P$2&amp;P$1&amp;"P"&amp;$A34))/1000000),0),IF($A$2="SKEW",IFERROR(VALUE(IF(RTD("tos.rtd",,"IMPL_VOL","."&amp;P$2&amp;P$1&amp;"P"&amp;$A34)="N/A",0,RTD("tos.rtd",,"IMPL_VOL","."&amp;P$2&amp;P$1&amp;"P"&amp;$A34))),0)-IFERROR(VALUE(IF(RTD("tos.rtd",,"IMPL_VOL","."&amp;P$2&amp;P$1&amp;"C"&amp;$A34)="N/A",0,RTD("tos.rtd",,"IMPL_VOL","."&amp;P$2&amp;P$1&amp;"C"&amp;$A34))),0),IF($A$2="MAXPAIN",IF($A$4&gt;$A34,($A$4-$A34)*IF(RTD("tos.rtd",,"OPEN_INT","."&amp;P$2&amp;P$1&amp;"C"&amp;$A34)="N/A",0,RTD("tos.rtd",,"OPEN_INT","."&amp;P$2&amp;P$1&amp;"C"&amp;$A34)),0)+IF($A$4&lt;$A34,($A$5-$A$4)*IF(RTD("tos.rtd",,"OPEN_INT","."&amp;P$2&amp;P$1&amp;"P"&amp;$A34)="N/A",0,RTD("tos.rtd",,"OPEN_INT","."&amp;P$2&amp;P$1&amp;"P"&amp;$A34)),0),IF($X$1="ABS",IF(RTD("tos.rtd",,$A$2,"."&amp;P$2&amp;P$1&amp;"C"&amp;$A34)="N/A",0,RTD("tos.rtd",,$A$2,"."&amp;P$2&amp;P$1&amp;"C"&amp;$A34))+IF(RTD("tos.rtd",,$A$2,"."&amp;P$2&amp;P$1&amp;"P"&amp;$A34)="N/A",0,RTD("tos.rtd",,$A$2,"."&amp;P$2&amp;P$1&amp;"P"&amp;$A34)),IF(RTD("tos.rtd",,$A$2,"."&amp;P$2&amp;P$1&amp;"C"&amp;$A34)="N/A",0,RTD("tos.rtd",,$A$2,"."&amp;P$2&amp;P$1&amp;"C"&amp;$A34))-IF(RTD("tos.rtd",,$A$2,"."&amp;P$2&amp;P$1&amp;"P"&amp;$A34)="N/A",0,RTD("tos.rtd",,$A$2,"."&amp;P$2&amp;P$1&amp;"P"&amp;$A34))))))))))</f>
        <v>0</v>
      </c>
      <c r="Q34" s="12">
        <f ca="1">IF($A$2="PREMIUM_OI",IFERROR(IF($X$1="ABS",(100*RTD("tos.rtd",,"OPEN_INT","."&amp;Q$2&amp;Q$1&amp;"C"&amp;$A34)*RTD("tos.rtd",,"LAST","."&amp;Q$2&amp;Q$1&amp;"C"&amp;$A34)+100*RTD("tos.rtd",,"OPEN_INT","."&amp;Q$2&amp;Q$1&amp;"P"&amp;$A34)*RTD("tos.rtd",,"LAST","."&amp;Q$2&amp;Q$1&amp;"P"&amp;$A34))/1000000,(100*RTD("tos.rtd",,"OPEN_INT","."&amp;Q$2&amp;Q$1&amp;"C"&amp;$A34)*RTD("tos.rtd",,"LAST","."&amp;Q$2&amp;Q$1&amp;"C"&amp;$A34)-100*RTD("tos.rtd",,"OPEN_INT","."&amp;Q$2&amp;Q$1&amp;"P"&amp;$A34)*RTD("tos.rtd",,"LAST","."&amp;Q$2&amp;Q$1&amp;"P"&amp;$A34))/1000000),0),IF($A$2="PREMIUM",IFERROR(IF($X$1="ABS",(100*RTD("tos.rtd",,"VOLUME","."&amp;Q$2&amp;Q$1&amp;"C"&amp;$A34)*RTD("tos.rtd",,"LAST","."&amp;Q$2&amp;Q$1&amp;"C"&amp;$A34)+100*RTD("tos.rtd",,"VOLUME","."&amp;Q$2&amp;Q$1&amp;"P"&amp;$A34)*RTD("tos.rtd",,"LAST","."&amp;Q$2&amp;Q$1&amp;"P"&amp;$A34))/1000000,(100*RTD("tos.rtd",,"VOLUME","."&amp;Q$2&amp;Q$1&amp;"C"&amp;$A34)*RTD("tos.rtd",,"LAST","."&amp;Q$2&amp;Q$1&amp;"C"&amp;$A34)-100*RTD("tos.rtd",,"VOLUME","."&amp;Q$2&amp;Q$1&amp;"P"&amp;$A34)*RTD("tos.rtd",,"LAST","."&amp;Q$2&amp;Q$1&amp;"P"&amp;$A34))/1000000),0),IF($A$2="DEX",IFERROR(IF($X$1="ABS",(100*RTD("tos.rtd",,"OPEN_INT","."&amp;Q$2&amp;Q$1&amp;"C"&amp;$A34)*RTD("tos.rtd",,"DELTA","."&amp;Q$2&amp;Q$1&amp;"C"&amp;$A34)+100*RTD("tos.rtd",,"OPEN_INT","."&amp;Q$2&amp;Q$1&amp;"P"&amp;$A34)*RTD("tos.rtd",,"DELTA","."&amp;Q$2&amp;Q$1&amp;"P"&amp;$A34))/1000,(100*RTD("tos.rtd",,"OPEN_INT","."&amp;Q$2&amp;Q$1&amp;"C"&amp;$A34)*RTD("tos.rtd",,"DELTA","."&amp;Q$2&amp;Q$1&amp;"C"&amp;$A34)-100*RTD("tos.rtd",,"OPEN_INT","."&amp;Q$2&amp;Q$1&amp;"P"&amp;$A34)*RTD("tos.rtd",,"DELTA","."&amp;Q$2&amp;Q$1&amp;"P"&amp;$A34))/1000),0),IF($A$2="VEX",IFERROR(IF($X$1="ABS",($A$4*$A$4*RTD("tos.rtd",,"VOLUME","."&amp;Q$2&amp;Q$1&amp;"C"&amp;$A34)*RTD("tos.rtd",,"GAMMA","."&amp;Q$2&amp;Q$1&amp;"C"&amp;$A34)+$A$4*$A$4*RTD("tos.rtd",,"VOLUME","."&amp;Q$2&amp;Q$1&amp;"P"&amp;$A34)*RTD("tos.rtd",,"GAMMA","."&amp;Q$2&amp;Q$1&amp;"P"&amp;$A34))/1000000,($A$4*$A$4*RTD("tos.rtd",,"VOLUME","."&amp;Q$2&amp;Q$1&amp;"C"&amp;$A34)*RTD("tos.rtd",,"GAMMA","."&amp;Q$2&amp;Q$1&amp;"C"&amp;$A34)-$A$4*$A$4*RTD("tos.rtd",,"VOLUME","."&amp;Q$2&amp;Q$1&amp;"P"&amp;$A34)*RTD("tos.rtd",,"GAMMA","."&amp;Q$2&amp;Q$1&amp;"P"&amp;$A34))/1000000),0),IF($A$2="GEX",IFERROR(IF($X$1="ABS",($A$4*$A$4*RTD("tos.rtd",,"OPEN_INT","."&amp;Q$2&amp;Q$1&amp;"C"&amp;$A34)*RTD("tos.rtd",,"GAMMA","."&amp;Q$2&amp;Q$1&amp;"C"&amp;$A34)+$A$4*$A$4*RTD("tos.rtd",,"OPEN_INT","."&amp;Q$2&amp;Q$1&amp;"P"&amp;$A34)*RTD("tos.rtd",,"GAMMA","."&amp;Q$2&amp;Q$1&amp;"P"&amp;$A34))/1000000,($A$4*$A$4*RTD("tos.rtd",,"OPEN_INT","."&amp;Q$2&amp;Q$1&amp;"C"&amp;$A34)*RTD("tos.rtd",,"GAMMA","."&amp;Q$2&amp;Q$1&amp;"C"&amp;$A34)-$A$4*$A$4*RTD("tos.rtd",,"OPEN_INT","."&amp;Q$2&amp;Q$1&amp;"P"&amp;$A34)*RTD("tos.rtd",,"GAMMA","."&amp;Q$2&amp;Q$1&amp;"P"&amp;$A34))/1000000),0),IF($A$2="SKEW",IFERROR(VALUE(IF(RTD("tos.rtd",,"IMPL_VOL","."&amp;Q$2&amp;Q$1&amp;"P"&amp;$A34)="N/A",0,RTD("tos.rtd",,"IMPL_VOL","."&amp;Q$2&amp;Q$1&amp;"P"&amp;$A34))),0)-IFERROR(VALUE(IF(RTD("tos.rtd",,"IMPL_VOL","."&amp;Q$2&amp;Q$1&amp;"C"&amp;$A34)="N/A",0,RTD("tos.rtd",,"IMPL_VOL","."&amp;Q$2&amp;Q$1&amp;"C"&amp;$A34))),0),IF($A$2="MAXPAIN",IF($A$4&gt;$A34,($A$4-$A34)*IF(RTD("tos.rtd",,"OPEN_INT","."&amp;Q$2&amp;Q$1&amp;"C"&amp;$A34)="N/A",0,RTD("tos.rtd",,"OPEN_INT","."&amp;Q$2&amp;Q$1&amp;"C"&amp;$A34)),0)+IF($A$4&lt;$A34,($A$5-$A$4)*IF(RTD("tos.rtd",,"OPEN_INT","."&amp;Q$2&amp;Q$1&amp;"P"&amp;$A34)="N/A",0,RTD("tos.rtd",,"OPEN_INT","."&amp;Q$2&amp;Q$1&amp;"P"&amp;$A34)),0),IF($X$1="ABS",IF(RTD("tos.rtd",,$A$2,"."&amp;Q$2&amp;Q$1&amp;"C"&amp;$A34)="N/A",0,RTD("tos.rtd",,$A$2,"."&amp;Q$2&amp;Q$1&amp;"C"&amp;$A34))+IF(RTD("tos.rtd",,$A$2,"."&amp;Q$2&amp;Q$1&amp;"P"&amp;$A34)="N/A",0,RTD("tos.rtd",,$A$2,"."&amp;Q$2&amp;Q$1&amp;"P"&amp;$A34)),IF(RTD("tos.rtd",,$A$2,"."&amp;Q$2&amp;Q$1&amp;"C"&amp;$A34)="N/A",0,RTD("tos.rtd",,$A$2,"."&amp;Q$2&amp;Q$1&amp;"C"&amp;$A34))-IF(RTD("tos.rtd",,$A$2,"."&amp;Q$2&amp;Q$1&amp;"P"&amp;$A34)="N/A",0,RTD("tos.rtd",,$A$2,"."&amp;Q$2&amp;Q$1&amp;"P"&amp;$A34))))))))))</f>
        <v>0</v>
      </c>
      <c r="R34" s="12">
        <f ca="1">IF($A$2="PREMIUM_OI",IFERROR(IF($X$1="ABS",(100*RTD("tos.rtd",,"OPEN_INT","."&amp;R$2&amp;R$1&amp;"C"&amp;$A34)*RTD("tos.rtd",,"LAST","."&amp;R$2&amp;R$1&amp;"C"&amp;$A34)+100*RTD("tos.rtd",,"OPEN_INT","."&amp;R$2&amp;R$1&amp;"P"&amp;$A34)*RTD("tos.rtd",,"LAST","."&amp;R$2&amp;R$1&amp;"P"&amp;$A34))/1000000,(100*RTD("tos.rtd",,"OPEN_INT","."&amp;R$2&amp;R$1&amp;"C"&amp;$A34)*RTD("tos.rtd",,"LAST","."&amp;R$2&amp;R$1&amp;"C"&amp;$A34)-100*RTD("tos.rtd",,"OPEN_INT","."&amp;R$2&amp;R$1&amp;"P"&amp;$A34)*RTD("tos.rtd",,"LAST","."&amp;R$2&amp;R$1&amp;"P"&amp;$A34))/1000000),0),IF($A$2="PREMIUM",IFERROR(IF($X$1="ABS",(100*RTD("tos.rtd",,"VOLUME","."&amp;R$2&amp;R$1&amp;"C"&amp;$A34)*RTD("tos.rtd",,"LAST","."&amp;R$2&amp;R$1&amp;"C"&amp;$A34)+100*RTD("tos.rtd",,"VOLUME","."&amp;R$2&amp;R$1&amp;"P"&amp;$A34)*RTD("tos.rtd",,"LAST","."&amp;R$2&amp;R$1&amp;"P"&amp;$A34))/1000000,(100*RTD("tos.rtd",,"VOLUME","."&amp;R$2&amp;R$1&amp;"C"&amp;$A34)*RTD("tos.rtd",,"LAST","."&amp;R$2&amp;R$1&amp;"C"&amp;$A34)-100*RTD("tos.rtd",,"VOLUME","."&amp;R$2&amp;R$1&amp;"P"&amp;$A34)*RTD("tos.rtd",,"LAST","."&amp;R$2&amp;R$1&amp;"P"&amp;$A34))/1000000),0),IF($A$2="DEX",IFERROR(IF($X$1="ABS",(100*RTD("tos.rtd",,"OPEN_INT","."&amp;R$2&amp;R$1&amp;"C"&amp;$A34)*RTD("tos.rtd",,"DELTA","."&amp;R$2&amp;R$1&amp;"C"&amp;$A34)+100*RTD("tos.rtd",,"OPEN_INT","."&amp;R$2&amp;R$1&amp;"P"&amp;$A34)*RTD("tos.rtd",,"DELTA","."&amp;R$2&amp;R$1&amp;"P"&amp;$A34))/1000,(100*RTD("tos.rtd",,"OPEN_INT","."&amp;R$2&amp;R$1&amp;"C"&amp;$A34)*RTD("tos.rtd",,"DELTA","."&amp;R$2&amp;R$1&amp;"C"&amp;$A34)-100*RTD("tos.rtd",,"OPEN_INT","."&amp;R$2&amp;R$1&amp;"P"&amp;$A34)*RTD("tos.rtd",,"DELTA","."&amp;R$2&amp;R$1&amp;"P"&amp;$A34))/1000),0),IF($A$2="VEX",IFERROR(IF($X$1="ABS",($A$4*$A$4*RTD("tos.rtd",,"VOLUME","."&amp;R$2&amp;R$1&amp;"C"&amp;$A34)*RTD("tos.rtd",,"GAMMA","."&amp;R$2&amp;R$1&amp;"C"&amp;$A34)+$A$4*$A$4*RTD("tos.rtd",,"VOLUME","."&amp;R$2&amp;R$1&amp;"P"&amp;$A34)*RTD("tos.rtd",,"GAMMA","."&amp;R$2&amp;R$1&amp;"P"&amp;$A34))/1000000,($A$4*$A$4*RTD("tos.rtd",,"VOLUME","."&amp;R$2&amp;R$1&amp;"C"&amp;$A34)*RTD("tos.rtd",,"GAMMA","."&amp;R$2&amp;R$1&amp;"C"&amp;$A34)-$A$4*$A$4*RTD("tos.rtd",,"VOLUME","."&amp;R$2&amp;R$1&amp;"P"&amp;$A34)*RTD("tos.rtd",,"GAMMA","."&amp;R$2&amp;R$1&amp;"P"&amp;$A34))/1000000),0),IF($A$2="GEX",IFERROR(IF($X$1="ABS",($A$4*$A$4*RTD("tos.rtd",,"OPEN_INT","."&amp;R$2&amp;R$1&amp;"C"&amp;$A34)*RTD("tos.rtd",,"GAMMA","."&amp;R$2&amp;R$1&amp;"C"&amp;$A34)+$A$4*$A$4*RTD("tos.rtd",,"OPEN_INT","."&amp;R$2&amp;R$1&amp;"P"&amp;$A34)*RTD("tos.rtd",,"GAMMA","."&amp;R$2&amp;R$1&amp;"P"&amp;$A34))/1000000,($A$4*$A$4*RTD("tos.rtd",,"OPEN_INT","."&amp;R$2&amp;R$1&amp;"C"&amp;$A34)*RTD("tos.rtd",,"GAMMA","."&amp;R$2&amp;R$1&amp;"C"&amp;$A34)-$A$4*$A$4*RTD("tos.rtd",,"OPEN_INT","."&amp;R$2&amp;R$1&amp;"P"&amp;$A34)*RTD("tos.rtd",,"GAMMA","."&amp;R$2&amp;R$1&amp;"P"&amp;$A34))/1000000),0),IF($A$2="SKEW",IFERROR(VALUE(IF(RTD("tos.rtd",,"IMPL_VOL","."&amp;R$2&amp;R$1&amp;"P"&amp;$A34)="N/A",0,RTD("tos.rtd",,"IMPL_VOL","."&amp;R$2&amp;R$1&amp;"P"&amp;$A34))),0)-IFERROR(VALUE(IF(RTD("tos.rtd",,"IMPL_VOL","."&amp;R$2&amp;R$1&amp;"C"&amp;$A34)="N/A",0,RTD("tos.rtd",,"IMPL_VOL","."&amp;R$2&amp;R$1&amp;"C"&amp;$A34))),0),IF($A$2="MAXPAIN",IF($A$4&gt;$A34,($A$4-$A34)*IF(RTD("tos.rtd",,"OPEN_INT","."&amp;R$2&amp;R$1&amp;"C"&amp;$A34)="N/A",0,RTD("tos.rtd",,"OPEN_INT","."&amp;R$2&amp;R$1&amp;"C"&amp;$A34)),0)+IF($A$4&lt;$A34,($A$5-$A$4)*IF(RTD("tos.rtd",,"OPEN_INT","."&amp;R$2&amp;R$1&amp;"P"&amp;$A34)="N/A",0,RTD("tos.rtd",,"OPEN_INT","."&amp;R$2&amp;R$1&amp;"P"&amp;$A34)),0),IF($X$1="ABS",IF(RTD("tos.rtd",,$A$2,"."&amp;R$2&amp;R$1&amp;"C"&amp;$A34)="N/A",0,RTD("tos.rtd",,$A$2,"."&amp;R$2&amp;R$1&amp;"C"&amp;$A34))+IF(RTD("tos.rtd",,$A$2,"."&amp;R$2&amp;R$1&amp;"P"&amp;$A34)="N/A",0,RTD("tos.rtd",,$A$2,"."&amp;R$2&amp;R$1&amp;"P"&amp;$A34)),IF(RTD("tos.rtd",,$A$2,"."&amp;R$2&amp;R$1&amp;"C"&amp;$A34)="N/A",0,RTD("tos.rtd",,$A$2,"."&amp;R$2&amp;R$1&amp;"C"&amp;$A34))-IF(RTD("tos.rtd",,$A$2,"."&amp;R$2&amp;R$1&amp;"P"&amp;$A34)="N/A",0,RTD("tos.rtd",,$A$2,"."&amp;R$2&amp;R$1&amp;"P"&amp;$A34))))))))))</f>
        <v>0</v>
      </c>
      <c r="S34" s="12">
        <f ca="1">IF($A$2="PREMIUM_OI",IFERROR(IF($X$1="ABS",(100*RTD("tos.rtd",,"OPEN_INT","."&amp;S$2&amp;S$1&amp;"C"&amp;$A34)*RTD("tos.rtd",,"LAST","."&amp;S$2&amp;S$1&amp;"C"&amp;$A34)+100*RTD("tos.rtd",,"OPEN_INT","."&amp;S$2&amp;S$1&amp;"P"&amp;$A34)*RTD("tos.rtd",,"LAST","."&amp;S$2&amp;S$1&amp;"P"&amp;$A34))/1000000,(100*RTD("tos.rtd",,"OPEN_INT","."&amp;S$2&amp;S$1&amp;"C"&amp;$A34)*RTD("tos.rtd",,"LAST","."&amp;S$2&amp;S$1&amp;"C"&amp;$A34)-100*RTD("tos.rtd",,"OPEN_INT","."&amp;S$2&amp;S$1&amp;"P"&amp;$A34)*RTD("tos.rtd",,"LAST","."&amp;S$2&amp;S$1&amp;"P"&amp;$A34))/1000000),0),IF($A$2="PREMIUM",IFERROR(IF($X$1="ABS",(100*RTD("tos.rtd",,"VOLUME","."&amp;S$2&amp;S$1&amp;"C"&amp;$A34)*RTD("tos.rtd",,"LAST","."&amp;S$2&amp;S$1&amp;"C"&amp;$A34)+100*RTD("tos.rtd",,"VOLUME","."&amp;S$2&amp;S$1&amp;"P"&amp;$A34)*RTD("tos.rtd",,"LAST","."&amp;S$2&amp;S$1&amp;"P"&amp;$A34))/1000000,(100*RTD("tos.rtd",,"VOLUME","."&amp;S$2&amp;S$1&amp;"C"&amp;$A34)*RTD("tos.rtd",,"LAST","."&amp;S$2&amp;S$1&amp;"C"&amp;$A34)-100*RTD("tos.rtd",,"VOLUME","."&amp;S$2&amp;S$1&amp;"P"&amp;$A34)*RTD("tos.rtd",,"LAST","."&amp;S$2&amp;S$1&amp;"P"&amp;$A34))/1000000),0),IF($A$2="DEX",IFERROR(IF($X$1="ABS",(100*RTD("tos.rtd",,"OPEN_INT","."&amp;S$2&amp;S$1&amp;"C"&amp;$A34)*RTD("tos.rtd",,"DELTA","."&amp;S$2&amp;S$1&amp;"C"&amp;$A34)+100*RTD("tos.rtd",,"OPEN_INT","."&amp;S$2&amp;S$1&amp;"P"&amp;$A34)*RTD("tos.rtd",,"DELTA","."&amp;S$2&amp;S$1&amp;"P"&amp;$A34))/1000,(100*RTD("tos.rtd",,"OPEN_INT","."&amp;S$2&amp;S$1&amp;"C"&amp;$A34)*RTD("tos.rtd",,"DELTA","."&amp;S$2&amp;S$1&amp;"C"&amp;$A34)-100*RTD("tos.rtd",,"OPEN_INT","."&amp;S$2&amp;S$1&amp;"P"&amp;$A34)*RTD("tos.rtd",,"DELTA","."&amp;S$2&amp;S$1&amp;"P"&amp;$A34))/1000),0),IF($A$2="VEX",IFERROR(IF($X$1="ABS",($A$4*$A$4*RTD("tos.rtd",,"VOLUME","."&amp;S$2&amp;S$1&amp;"C"&amp;$A34)*RTD("tos.rtd",,"GAMMA","."&amp;S$2&amp;S$1&amp;"C"&amp;$A34)+$A$4*$A$4*RTD("tos.rtd",,"VOLUME","."&amp;S$2&amp;S$1&amp;"P"&amp;$A34)*RTD("tos.rtd",,"GAMMA","."&amp;S$2&amp;S$1&amp;"P"&amp;$A34))/1000000,($A$4*$A$4*RTD("tos.rtd",,"VOLUME","."&amp;S$2&amp;S$1&amp;"C"&amp;$A34)*RTD("tos.rtd",,"GAMMA","."&amp;S$2&amp;S$1&amp;"C"&amp;$A34)-$A$4*$A$4*RTD("tos.rtd",,"VOLUME","."&amp;S$2&amp;S$1&amp;"P"&amp;$A34)*RTD("tos.rtd",,"GAMMA","."&amp;S$2&amp;S$1&amp;"P"&amp;$A34))/1000000),0),IF($A$2="GEX",IFERROR(IF($X$1="ABS",($A$4*$A$4*RTD("tos.rtd",,"OPEN_INT","."&amp;S$2&amp;S$1&amp;"C"&amp;$A34)*RTD("tos.rtd",,"GAMMA","."&amp;S$2&amp;S$1&amp;"C"&amp;$A34)+$A$4*$A$4*RTD("tos.rtd",,"OPEN_INT","."&amp;S$2&amp;S$1&amp;"P"&amp;$A34)*RTD("tos.rtd",,"GAMMA","."&amp;S$2&amp;S$1&amp;"P"&amp;$A34))/1000000,($A$4*$A$4*RTD("tos.rtd",,"OPEN_INT","."&amp;S$2&amp;S$1&amp;"C"&amp;$A34)*RTD("tos.rtd",,"GAMMA","."&amp;S$2&amp;S$1&amp;"C"&amp;$A34)-$A$4*$A$4*RTD("tos.rtd",,"OPEN_INT","."&amp;S$2&amp;S$1&amp;"P"&amp;$A34)*RTD("tos.rtd",,"GAMMA","."&amp;S$2&amp;S$1&amp;"P"&amp;$A34))/1000000),0),IF($A$2="SKEW",IFERROR(VALUE(IF(RTD("tos.rtd",,"IMPL_VOL","."&amp;S$2&amp;S$1&amp;"P"&amp;$A34)="N/A",0,RTD("tos.rtd",,"IMPL_VOL","."&amp;S$2&amp;S$1&amp;"P"&amp;$A34))),0)-IFERROR(VALUE(IF(RTD("tos.rtd",,"IMPL_VOL","."&amp;S$2&amp;S$1&amp;"C"&amp;$A34)="N/A",0,RTD("tos.rtd",,"IMPL_VOL","."&amp;S$2&amp;S$1&amp;"C"&amp;$A34))),0),IF($A$2="MAXPAIN",IF($A$4&gt;$A34,($A$4-$A34)*IF(RTD("tos.rtd",,"OPEN_INT","."&amp;S$2&amp;S$1&amp;"C"&amp;$A34)="N/A",0,RTD("tos.rtd",,"OPEN_INT","."&amp;S$2&amp;S$1&amp;"C"&amp;$A34)),0)+IF($A$4&lt;$A34,($A$5-$A$4)*IF(RTD("tos.rtd",,"OPEN_INT","."&amp;S$2&amp;S$1&amp;"P"&amp;$A34)="N/A",0,RTD("tos.rtd",,"OPEN_INT","."&amp;S$2&amp;S$1&amp;"P"&amp;$A34)),0),IF($X$1="ABS",IF(RTD("tos.rtd",,$A$2,"."&amp;S$2&amp;S$1&amp;"C"&amp;$A34)="N/A",0,RTD("tos.rtd",,$A$2,"."&amp;S$2&amp;S$1&amp;"C"&amp;$A34))+IF(RTD("tos.rtd",,$A$2,"."&amp;S$2&amp;S$1&amp;"P"&amp;$A34)="N/A",0,RTD("tos.rtd",,$A$2,"."&amp;S$2&amp;S$1&amp;"P"&amp;$A34)),IF(RTD("tos.rtd",,$A$2,"."&amp;S$2&amp;S$1&amp;"C"&amp;$A34)="N/A",0,RTD("tos.rtd",,$A$2,"."&amp;S$2&amp;S$1&amp;"C"&amp;$A34))-IF(RTD("tos.rtd",,$A$2,"."&amp;S$2&amp;S$1&amp;"P"&amp;$A34)="N/A",0,RTD("tos.rtd",,$A$2,"."&amp;S$2&amp;S$1&amp;"P"&amp;$A34))))))))))</f>
        <v>0</v>
      </c>
      <c r="T34" s="12">
        <f ca="1">IF($A$2="PREMIUM_OI",IFERROR(IF($X$1="ABS",(100*RTD("tos.rtd",,"OPEN_INT","."&amp;T$2&amp;T$1&amp;"C"&amp;$A34)*RTD("tos.rtd",,"LAST","."&amp;T$2&amp;T$1&amp;"C"&amp;$A34)+100*RTD("tos.rtd",,"OPEN_INT","."&amp;T$2&amp;T$1&amp;"P"&amp;$A34)*RTD("tos.rtd",,"LAST","."&amp;T$2&amp;T$1&amp;"P"&amp;$A34))/1000000,(100*RTD("tos.rtd",,"OPEN_INT","."&amp;T$2&amp;T$1&amp;"C"&amp;$A34)*RTD("tos.rtd",,"LAST","."&amp;T$2&amp;T$1&amp;"C"&amp;$A34)-100*RTD("tos.rtd",,"OPEN_INT","."&amp;T$2&amp;T$1&amp;"P"&amp;$A34)*RTD("tos.rtd",,"LAST","."&amp;T$2&amp;T$1&amp;"P"&amp;$A34))/1000000),0),IF($A$2="PREMIUM",IFERROR(IF($X$1="ABS",(100*RTD("tos.rtd",,"VOLUME","."&amp;T$2&amp;T$1&amp;"C"&amp;$A34)*RTD("tos.rtd",,"LAST","."&amp;T$2&amp;T$1&amp;"C"&amp;$A34)+100*RTD("tos.rtd",,"VOLUME","."&amp;T$2&amp;T$1&amp;"P"&amp;$A34)*RTD("tos.rtd",,"LAST","."&amp;T$2&amp;T$1&amp;"P"&amp;$A34))/1000000,(100*RTD("tos.rtd",,"VOLUME","."&amp;T$2&amp;T$1&amp;"C"&amp;$A34)*RTD("tos.rtd",,"LAST","."&amp;T$2&amp;T$1&amp;"C"&amp;$A34)-100*RTD("tos.rtd",,"VOLUME","."&amp;T$2&amp;T$1&amp;"P"&amp;$A34)*RTD("tos.rtd",,"LAST","."&amp;T$2&amp;T$1&amp;"P"&amp;$A34))/1000000),0),IF($A$2="DEX",IFERROR(IF($X$1="ABS",(100*RTD("tos.rtd",,"OPEN_INT","."&amp;T$2&amp;T$1&amp;"C"&amp;$A34)*RTD("tos.rtd",,"DELTA","."&amp;T$2&amp;T$1&amp;"C"&amp;$A34)+100*RTD("tos.rtd",,"OPEN_INT","."&amp;T$2&amp;T$1&amp;"P"&amp;$A34)*RTD("tos.rtd",,"DELTA","."&amp;T$2&amp;T$1&amp;"P"&amp;$A34))/1000,(100*RTD("tos.rtd",,"OPEN_INT","."&amp;T$2&amp;T$1&amp;"C"&amp;$A34)*RTD("tos.rtd",,"DELTA","."&amp;T$2&amp;T$1&amp;"C"&amp;$A34)-100*RTD("tos.rtd",,"OPEN_INT","."&amp;T$2&amp;T$1&amp;"P"&amp;$A34)*RTD("tos.rtd",,"DELTA","."&amp;T$2&amp;T$1&amp;"P"&amp;$A34))/1000),0),IF($A$2="VEX",IFERROR(IF($X$1="ABS",($A$4*$A$4*RTD("tos.rtd",,"VOLUME","."&amp;T$2&amp;T$1&amp;"C"&amp;$A34)*RTD("tos.rtd",,"GAMMA","."&amp;T$2&amp;T$1&amp;"C"&amp;$A34)+$A$4*$A$4*RTD("tos.rtd",,"VOLUME","."&amp;T$2&amp;T$1&amp;"P"&amp;$A34)*RTD("tos.rtd",,"GAMMA","."&amp;T$2&amp;T$1&amp;"P"&amp;$A34))/1000000,($A$4*$A$4*RTD("tos.rtd",,"VOLUME","."&amp;T$2&amp;T$1&amp;"C"&amp;$A34)*RTD("tos.rtd",,"GAMMA","."&amp;T$2&amp;T$1&amp;"C"&amp;$A34)-$A$4*$A$4*RTD("tos.rtd",,"VOLUME","."&amp;T$2&amp;T$1&amp;"P"&amp;$A34)*RTD("tos.rtd",,"GAMMA","."&amp;T$2&amp;T$1&amp;"P"&amp;$A34))/1000000),0),IF($A$2="GEX",IFERROR(IF($X$1="ABS",($A$4*$A$4*RTD("tos.rtd",,"OPEN_INT","."&amp;T$2&amp;T$1&amp;"C"&amp;$A34)*RTD("tos.rtd",,"GAMMA","."&amp;T$2&amp;T$1&amp;"C"&amp;$A34)+$A$4*$A$4*RTD("tos.rtd",,"OPEN_INT","."&amp;T$2&amp;T$1&amp;"P"&amp;$A34)*RTD("tos.rtd",,"GAMMA","."&amp;T$2&amp;T$1&amp;"P"&amp;$A34))/1000000,($A$4*$A$4*RTD("tos.rtd",,"OPEN_INT","."&amp;T$2&amp;T$1&amp;"C"&amp;$A34)*RTD("tos.rtd",,"GAMMA","."&amp;T$2&amp;T$1&amp;"C"&amp;$A34)-$A$4*$A$4*RTD("tos.rtd",,"OPEN_INT","."&amp;T$2&amp;T$1&amp;"P"&amp;$A34)*RTD("tos.rtd",,"GAMMA","."&amp;T$2&amp;T$1&amp;"P"&amp;$A34))/1000000),0),IF($A$2="SKEW",IFERROR(VALUE(IF(RTD("tos.rtd",,"IMPL_VOL","."&amp;T$2&amp;T$1&amp;"P"&amp;$A34)="N/A",0,RTD("tos.rtd",,"IMPL_VOL","."&amp;T$2&amp;T$1&amp;"P"&amp;$A34))),0)-IFERROR(VALUE(IF(RTD("tos.rtd",,"IMPL_VOL","."&amp;T$2&amp;T$1&amp;"C"&amp;$A34)="N/A",0,RTD("tos.rtd",,"IMPL_VOL","."&amp;T$2&amp;T$1&amp;"C"&amp;$A34))),0),IF($A$2="MAXPAIN",IF($A$4&gt;$A34,($A$4-$A34)*IF(RTD("tos.rtd",,"OPEN_INT","."&amp;T$2&amp;T$1&amp;"C"&amp;$A34)="N/A",0,RTD("tos.rtd",,"OPEN_INT","."&amp;T$2&amp;T$1&amp;"C"&amp;$A34)),0)+IF($A$4&lt;$A34,($A$5-$A$4)*IF(RTD("tos.rtd",,"OPEN_INT","."&amp;T$2&amp;T$1&amp;"P"&amp;$A34)="N/A",0,RTD("tos.rtd",,"OPEN_INT","."&amp;T$2&amp;T$1&amp;"P"&amp;$A34)),0),IF($X$1="ABS",IF(RTD("tos.rtd",,$A$2,"."&amp;T$2&amp;T$1&amp;"C"&amp;$A34)="N/A",0,RTD("tos.rtd",,$A$2,"."&amp;T$2&amp;T$1&amp;"C"&amp;$A34))+IF(RTD("tos.rtd",,$A$2,"."&amp;T$2&amp;T$1&amp;"P"&amp;$A34)="N/A",0,RTD("tos.rtd",,$A$2,"."&amp;T$2&amp;T$1&amp;"P"&amp;$A34)),IF(RTD("tos.rtd",,$A$2,"."&amp;T$2&amp;T$1&amp;"C"&amp;$A34)="N/A",0,RTD("tos.rtd",,$A$2,"."&amp;T$2&amp;T$1&amp;"C"&amp;$A34))-IF(RTD("tos.rtd",,$A$2,"."&amp;T$2&amp;T$1&amp;"P"&amp;$A34)="N/A",0,RTD("tos.rtd",,$A$2,"."&amp;T$2&amp;T$1&amp;"P"&amp;$A34))))))))))</f>
        <v>0</v>
      </c>
      <c r="U34" s="12">
        <f ca="1">IF($A$2="PREMIUM_OI",IFERROR(IF($X$1="ABS",(100*RTD("tos.rtd",,"OPEN_INT","."&amp;U$2&amp;U$1&amp;"C"&amp;$A34)*RTD("tos.rtd",,"LAST","."&amp;U$2&amp;U$1&amp;"C"&amp;$A34)+100*RTD("tos.rtd",,"OPEN_INT","."&amp;U$2&amp;U$1&amp;"P"&amp;$A34)*RTD("tos.rtd",,"LAST","."&amp;U$2&amp;U$1&amp;"P"&amp;$A34))/1000000,(100*RTD("tos.rtd",,"OPEN_INT","."&amp;U$2&amp;U$1&amp;"C"&amp;$A34)*RTD("tos.rtd",,"LAST","."&amp;U$2&amp;U$1&amp;"C"&amp;$A34)-100*RTD("tos.rtd",,"OPEN_INT","."&amp;U$2&amp;U$1&amp;"P"&amp;$A34)*RTD("tos.rtd",,"LAST","."&amp;U$2&amp;U$1&amp;"P"&amp;$A34))/1000000),0),IF($A$2="PREMIUM",IFERROR(IF($X$1="ABS",(100*RTD("tos.rtd",,"VOLUME","."&amp;U$2&amp;U$1&amp;"C"&amp;$A34)*RTD("tos.rtd",,"LAST","."&amp;U$2&amp;U$1&amp;"C"&amp;$A34)+100*RTD("tos.rtd",,"VOLUME","."&amp;U$2&amp;U$1&amp;"P"&amp;$A34)*RTD("tos.rtd",,"LAST","."&amp;U$2&amp;U$1&amp;"P"&amp;$A34))/1000000,(100*RTD("tos.rtd",,"VOLUME","."&amp;U$2&amp;U$1&amp;"C"&amp;$A34)*RTD("tos.rtd",,"LAST","."&amp;U$2&amp;U$1&amp;"C"&amp;$A34)-100*RTD("tos.rtd",,"VOLUME","."&amp;U$2&amp;U$1&amp;"P"&amp;$A34)*RTD("tos.rtd",,"LAST","."&amp;U$2&amp;U$1&amp;"P"&amp;$A34))/1000000),0),IF($A$2="DEX",IFERROR(IF($X$1="ABS",(100*RTD("tos.rtd",,"OPEN_INT","."&amp;U$2&amp;U$1&amp;"C"&amp;$A34)*RTD("tos.rtd",,"DELTA","."&amp;U$2&amp;U$1&amp;"C"&amp;$A34)+100*RTD("tos.rtd",,"OPEN_INT","."&amp;U$2&amp;U$1&amp;"P"&amp;$A34)*RTD("tos.rtd",,"DELTA","."&amp;U$2&amp;U$1&amp;"P"&amp;$A34))/1000,(100*RTD("tos.rtd",,"OPEN_INT","."&amp;U$2&amp;U$1&amp;"C"&amp;$A34)*RTD("tos.rtd",,"DELTA","."&amp;U$2&amp;U$1&amp;"C"&amp;$A34)-100*RTD("tos.rtd",,"OPEN_INT","."&amp;U$2&amp;U$1&amp;"P"&amp;$A34)*RTD("tos.rtd",,"DELTA","."&amp;U$2&amp;U$1&amp;"P"&amp;$A34))/1000),0),IF($A$2="VEX",IFERROR(IF($X$1="ABS",($A$4*$A$4*RTD("tos.rtd",,"VOLUME","."&amp;U$2&amp;U$1&amp;"C"&amp;$A34)*RTD("tos.rtd",,"GAMMA","."&amp;U$2&amp;U$1&amp;"C"&amp;$A34)+$A$4*$A$4*RTD("tos.rtd",,"VOLUME","."&amp;U$2&amp;U$1&amp;"P"&amp;$A34)*RTD("tos.rtd",,"GAMMA","."&amp;U$2&amp;U$1&amp;"P"&amp;$A34))/1000000,($A$4*$A$4*RTD("tos.rtd",,"VOLUME","."&amp;U$2&amp;U$1&amp;"C"&amp;$A34)*RTD("tos.rtd",,"GAMMA","."&amp;U$2&amp;U$1&amp;"C"&amp;$A34)-$A$4*$A$4*RTD("tos.rtd",,"VOLUME","."&amp;U$2&amp;U$1&amp;"P"&amp;$A34)*RTD("tos.rtd",,"GAMMA","."&amp;U$2&amp;U$1&amp;"P"&amp;$A34))/1000000),0),IF($A$2="GEX",IFERROR(IF($X$1="ABS",($A$4*$A$4*RTD("tos.rtd",,"OPEN_INT","."&amp;U$2&amp;U$1&amp;"C"&amp;$A34)*RTD("tos.rtd",,"GAMMA","."&amp;U$2&amp;U$1&amp;"C"&amp;$A34)+$A$4*$A$4*RTD("tos.rtd",,"OPEN_INT","."&amp;U$2&amp;U$1&amp;"P"&amp;$A34)*RTD("tos.rtd",,"GAMMA","."&amp;U$2&amp;U$1&amp;"P"&amp;$A34))/1000000,($A$4*$A$4*RTD("tos.rtd",,"OPEN_INT","."&amp;U$2&amp;U$1&amp;"C"&amp;$A34)*RTD("tos.rtd",,"GAMMA","."&amp;U$2&amp;U$1&amp;"C"&amp;$A34)-$A$4*$A$4*RTD("tos.rtd",,"OPEN_INT","."&amp;U$2&amp;U$1&amp;"P"&amp;$A34)*RTD("tos.rtd",,"GAMMA","."&amp;U$2&amp;U$1&amp;"P"&amp;$A34))/1000000),0),IF($A$2="SKEW",IFERROR(VALUE(IF(RTD("tos.rtd",,"IMPL_VOL","."&amp;U$2&amp;U$1&amp;"P"&amp;$A34)="N/A",0,RTD("tos.rtd",,"IMPL_VOL","."&amp;U$2&amp;U$1&amp;"P"&amp;$A34))),0)-IFERROR(VALUE(IF(RTD("tos.rtd",,"IMPL_VOL","."&amp;U$2&amp;U$1&amp;"C"&amp;$A34)="N/A",0,RTD("tos.rtd",,"IMPL_VOL","."&amp;U$2&amp;U$1&amp;"C"&amp;$A34))),0),IF($A$2="MAXPAIN",IF($A$4&gt;$A34,($A$4-$A34)*IF(RTD("tos.rtd",,"OPEN_INT","."&amp;U$2&amp;U$1&amp;"C"&amp;$A34)="N/A",0,RTD("tos.rtd",,"OPEN_INT","."&amp;U$2&amp;U$1&amp;"C"&amp;$A34)),0)+IF($A$4&lt;$A34,($A$5-$A$4)*IF(RTD("tos.rtd",,"OPEN_INT","."&amp;U$2&amp;U$1&amp;"P"&amp;$A34)="N/A",0,RTD("tos.rtd",,"OPEN_INT","."&amp;U$2&amp;U$1&amp;"P"&amp;$A34)),0),IF($X$1="ABS",IF(RTD("tos.rtd",,$A$2,"."&amp;U$2&amp;U$1&amp;"C"&amp;$A34)="N/A",0,RTD("tos.rtd",,$A$2,"."&amp;U$2&amp;U$1&amp;"C"&amp;$A34))+IF(RTD("tos.rtd",,$A$2,"."&amp;U$2&amp;U$1&amp;"P"&amp;$A34)="N/A",0,RTD("tos.rtd",,$A$2,"."&amp;U$2&amp;U$1&amp;"P"&amp;$A34)),IF(RTD("tos.rtd",,$A$2,"."&amp;U$2&amp;U$1&amp;"C"&amp;$A34)="N/A",0,RTD("tos.rtd",,$A$2,"."&amp;U$2&amp;U$1&amp;"C"&amp;$A34))-IF(RTD("tos.rtd",,$A$2,"."&amp;U$2&amp;U$1&amp;"P"&amp;$A34)="N/A",0,RTD("tos.rtd",,$A$2,"."&amp;U$2&amp;U$1&amp;"P"&amp;$A34))))))))))</f>
        <v>0</v>
      </c>
      <c r="V34" s="12">
        <f ca="1">IF($A$2="PREMIUM_OI",IFERROR(IF($X$1="ABS",(100*RTD("tos.rtd",,"OPEN_INT","."&amp;V$2&amp;V$1&amp;"C"&amp;$A34)*RTD("tos.rtd",,"LAST","."&amp;V$2&amp;V$1&amp;"C"&amp;$A34)+100*RTD("tos.rtd",,"OPEN_INT","."&amp;V$2&amp;V$1&amp;"P"&amp;$A34)*RTD("tos.rtd",,"LAST","."&amp;V$2&amp;V$1&amp;"P"&amp;$A34))/1000000,(100*RTD("tos.rtd",,"OPEN_INT","."&amp;V$2&amp;V$1&amp;"C"&amp;$A34)*RTD("tos.rtd",,"LAST","."&amp;V$2&amp;V$1&amp;"C"&amp;$A34)-100*RTD("tos.rtd",,"OPEN_INT","."&amp;V$2&amp;V$1&amp;"P"&amp;$A34)*RTD("tos.rtd",,"LAST","."&amp;V$2&amp;V$1&amp;"P"&amp;$A34))/1000000),0),IF($A$2="PREMIUM",IFERROR(IF($X$1="ABS",(100*RTD("tos.rtd",,"VOLUME","."&amp;V$2&amp;V$1&amp;"C"&amp;$A34)*RTD("tos.rtd",,"LAST","."&amp;V$2&amp;V$1&amp;"C"&amp;$A34)+100*RTD("tos.rtd",,"VOLUME","."&amp;V$2&amp;V$1&amp;"P"&amp;$A34)*RTD("tos.rtd",,"LAST","."&amp;V$2&amp;V$1&amp;"P"&amp;$A34))/1000000,(100*RTD("tos.rtd",,"VOLUME","."&amp;V$2&amp;V$1&amp;"C"&amp;$A34)*RTD("tos.rtd",,"LAST","."&amp;V$2&amp;V$1&amp;"C"&amp;$A34)-100*RTD("tos.rtd",,"VOLUME","."&amp;V$2&amp;V$1&amp;"P"&amp;$A34)*RTD("tos.rtd",,"LAST","."&amp;V$2&amp;V$1&amp;"P"&amp;$A34))/1000000),0),IF($A$2="DEX",IFERROR(IF($X$1="ABS",(100*RTD("tos.rtd",,"OPEN_INT","."&amp;V$2&amp;V$1&amp;"C"&amp;$A34)*RTD("tos.rtd",,"DELTA","."&amp;V$2&amp;V$1&amp;"C"&amp;$A34)+100*RTD("tos.rtd",,"OPEN_INT","."&amp;V$2&amp;V$1&amp;"P"&amp;$A34)*RTD("tos.rtd",,"DELTA","."&amp;V$2&amp;V$1&amp;"P"&amp;$A34))/1000,(100*RTD("tos.rtd",,"OPEN_INT","."&amp;V$2&amp;V$1&amp;"C"&amp;$A34)*RTD("tos.rtd",,"DELTA","."&amp;V$2&amp;V$1&amp;"C"&amp;$A34)-100*RTD("tos.rtd",,"OPEN_INT","."&amp;V$2&amp;V$1&amp;"P"&amp;$A34)*RTD("tos.rtd",,"DELTA","."&amp;V$2&amp;V$1&amp;"P"&amp;$A34))/1000),0),IF($A$2="VEX",IFERROR(IF($X$1="ABS",($A$4*$A$4*RTD("tos.rtd",,"VOLUME","."&amp;V$2&amp;V$1&amp;"C"&amp;$A34)*RTD("tos.rtd",,"GAMMA","."&amp;V$2&amp;V$1&amp;"C"&amp;$A34)+$A$4*$A$4*RTD("tos.rtd",,"VOLUME","."&amp;V$2&amp;V$1&amp;"P"&amp;$A34)*RTD("tos.rtd",,"GAMMA","."&amp;V$2&amp;V$1&amp;"P"&amp;$A34))/1000000,($A$4*$A$4*RTD("tos.rtd",,"VOLUME","."&amp;V$2&amp;V$1&amp;"C"&amp;$A34)*RTD("tos.rtd",,"GAMMA","."&amp;V$2&amp;V$1&amp;"C"&amp;$A34)-$A$4*$A$4*RTD("tos.rtd",,"VOLUME","."&amp;V$2&amp;V$1&amp;"P"&amp;$A34)*RTD("tos.rtd",,"GAMMA","."&amp;V$2&amp;V$1&amp;"P"&amp;$A34))/1000000),0),IF($A$2="GEX",IFERROR(IF($X$1="ABS",($A$4*$A$4*RTD("tos.rtd",,"OPEN_INT","."&amp;V$2&amp;V$1&amp;"C"&amp;$A34)*RTD("tos.rtd",,"GAMMA","."&amp;V$2&amp;V$1&amp;"C"&amp;$A34)+$A$4*$A$4*RTD("tos.rtd",,"OPEN_INT","."&amp;V$2&amp;V$1&amp;"P"&amp;$A34)*RTD("tos.rtd",,"GAMMA","."&amp;V$2&amp;V$1&amp;"P"&amp;$A34))/1000000,($A$4*$A$4*RTD("tos.rtd",,"OPEN_INT","."&amp;V$2&amp;V$1&amp;"C"&amp;$A34)*RTD("tos.rtd",,"GAMMA","."&amp;V$2&amp;V$1&amp;"C"&amp;$A34)-$A$4*$A$4*RTD("tos.rtd",,"OPEN_INT","."&amp;V$2&amp;V$1&amp;"P"&amp;$A34)*RTD("tos.rtd",,"GAMMA","."&amp;V$2&amp;V$1&amp;"P"&amp;$A34))/1000000),0),IF($A$2="SKEW",IFERROR(VALUE(IF(RTD("tos.rtd",,"IMPL_VOL","."&amp;V$2&amp;V$1&amp;"P"&amp;$A34)="N/A",0,RTD("tos.rtd",,"IMPL_VOL","."&amp;V$2&amp;V$1&amp;"P"&amp;$A34))),0)-IFERROR(VALUE(IF(RTD("tos.rtd",,"IMPL_VOL","."&amp;V$2&amp;V$1&amp;"C"&amp;$A34)="N/A",0,RTD("tos.rtd",,"IMPL_VOL","."&amp;V$2&amp;V$1&amp;"C"&amp;$A34))),0),IF($A$2="MAXPAIN",IF($A$4&gt;$A34,($A$4-$A34)*IF(RTD("tos.rtd",,"OPEN_INT","."&amp;V$2&amp;V$1&amp;"C"&amp;$A34)="N/A",0,RTD("tos.rtd",,"OPEN_INT","."&amp;V$2&amp;V$1&amp;"C"&amp;$A34)),0)+IF($A$4&lt;$A34,($A$5-$A$4)*IF(RTD("tos.rtd",,"OPEN_INT","."&amp;V$2&amp;V$1&amp;"P"&amp;$A34)="N/A",0,RTD("tos.rtd",,"OPEN_INT","."&amp;V$2&amp;V$1&amp;"P"&amp;$A34)),0),IF($X$1="ABS",IF(RTD("tos.rtd",,$A$2,"."&amp;V$2&amp;V$1&amp;"C"&amp;$A34)="N/A",0,RTD("tos.rtd",,$A$2,"."&amp;V$2&amp;V$1&amp;"C"&amp;$A34))+IF(RTD("tos.rtd",,$A$2,"."&amp;V$2&amp;V$1&amp;"P"&amp;$A34)="N/A",0,RTD("tos.rtd",,$A$2,"."&amp;V$2&amp;V$1&amp;"P"&amp;$A34)),IF(RTD("tos.rtd",,$A$2,"."&amp;V$2&amp;V$1&amp;"C"&amp;$A34)="N/A",0,RTD("tos.rtd",,$A$2,"."&amp;V$2&amp;V$1&amp;"C"&amp;$A34))-IF(RTD("tos.rtd",,$A$2,"."&amp;V$2&amp;V$1&amp;"P"&amp;$A34)="N/A",0,RTD("tos.rtd",,$A$2,"."&amp;V$2&amp;V$1&amp;"P"&amp;$A34))))))))))</f>
        <v>0</v>
      </c>
      <c r="W34" s="54">
        <f ca="1">IF($A$2="PREMIUM_OI",IFERROR(IF($X$1="ABS",(100*RTD("tos.rtd",,"OPEN_INT","."&amp;W$2&amp;W$1&amp;"C"&amp;$A34)*RTD("tos.rtd",,"LAST","."&amp;W$2&amp;W$1&amp;"C"&amp;$A34)+100*RTD("tos.rtd",,"OPEN_INT","."&amp;W$2&amp;W$1&amp;"P"&amp;$A34)*RTD("tos.rtd",,"LAST","."&amp;W$2&amp;W$1&amp;"P"&amp;$A34))/1000000,(100*RTD("tos.rtd",,"OPEN_INT","."&amp;W$2&amp;W$1&amp;"C"&amp;$A34)*RTD("tos.rtd",,"LAST","."&amp;W$2&amp;W$1&amp;"C"&amp;$A34)-100*RTD("tos.rtd",,"OPEN_INT","."&amp;W$2&amp;W$1&amp;"P"&amp;$A34)*RTD("tos.rtd",,"LAST","."&amp;W$2&amp;W$1&amp;"P"&amp;$A34))/1000000),0),IF($A$2="PREMIUM",IFERROR(IF($X$1="ABS",(100*RTD("tos.rtd",,"VOLUME","."&amp;W$2&amp;W$1&amp;"C"&amp;$A34)*RTD("tos.rtd",,"LAST","."&amp;W$2&amp;W$1&amp;"C"&amp;$A34)+100*RTD("tos.rtd",,"VOLUME","."&amp;W$2&amp;W$1&amp;"P"&amp;$A34)*RTD("tos.rtd",,"LAST","."&amp;W$2&amp;W$1&amp;"P"&amp;$A34))/1000000,(100*RTD("tos.rtd",,"VOLUME","."&amp;W$2&amp;W$1&amp;"C"&amp;$A34)*RTD("tos.rtd",,"LAST","."&amp;W$2&amp;W$1&amp;"C"&amp;$A34)-100*RTD("tos.rtd",,"VOLUME","."&amp;W$2&amp;W$1&amp;"P"&amp;$A34)*RTD("tos.rtd",,"LAST","."&amp;W$2&amp;W$1&amp;"P"&amp;$A34))/1000000),0),IF($A$2="DEX",IFERROR(IF($X$1="ABS",(100*RTD("tos.rtd",,"OPEN_INT","."&amp;W$2&amp;W$1&amp;"C"&amp;$A34)*RTD("tos.rtd",,"DELTA","."&amp;W$2&amp;W$1&amp;"C"&amp;$A34)+100*RTD("tos.rtd",,"OPEN_INT","."&amp;W$2&amp;W$1&amp;"P"&amp;$A34)*RTD("tos.rtd",,"DELTA","."&amp;W$2&amp;W$1&amp;"P"&amp;$A34))/1000,(100*RTD("tos.rtd",,"OPEN_INT","."&amp;W$2&amp;W$1&amp;"C"&amp;$A34)*RTD("tos.rtd",,"DELTA","."&amp;W$2&amp;W$1&amp;"C"&amp;$A34)-100*RTD("tos.rtd",,"OPEN_INT","."&amp;W$2&amp;W$1&amp;"P"&amp;$A34)*RTD("tos.rtd",,"DELTA","."&amp;W$2&amp;W$1&amp;"P"&amp;$A34))/1000),0),IF($A$2="VEX",IFERROR(IF($X$1="ABS",($A$4*$A$4*RTD("tos.rtd",,"VOLUME","."&amp;W$2&amp;W$1&amp;"C"&amp;$A34)*RTD("tos.rtd",,"GAMMA","."&amp;W$2&amp;W$1&amp;"C"&amp;$A34)+$A$4*$A$4*RTD("tos.rtd",,"VOLUME","."&amp;W$2&amp;W$1&amp;"P"&amp;$A34)*RTD("tos.rtd",,"GAMMA","."&amp;W$2&amp;W$1&amp;"P"&amp;$A34))/1000000,($A$4*$A$4*RTD("tos.rtd",,"VOLUME","."&amp;W$2&amp;W$1&amp;"C"&amp;$A34)*RTD("tos.rtd",,"GAMMA","."&amp;W$2&amp;W$1&amp;"C"&amp;$A34)-$A$4*$A$4*RTD("tos.rtd",,"VOLUME","."&amp;W$2&amp;W$1&amp;"P"&amp;$A34)*RTD("tos.rtd",,"GAMMA","."&amp;W$2&amp;W$1&amp;"P"&amp;$A34))/1000000),0),IF($A$2="GEX",IFERROR(IF($X$1="ABS",($A$4*$A$4*RTD("tos.rtd",,"OPEN_INT","."&amp;W$2&amp;W$1&amp;"C"&amp;$A34)*RTD("tos.rtd",,"GAMMA","."&amp;W$2&amp;W$1&amp;"C"&amp;$A34)+$A$4*$A$4*RTD("tos.rtd",,"OPEN_INT","."&amp;W$2&amp;W$1&amp;"P"&amp;$A34)*RTD("tos.rtd",,"GAMMA","."&amp;W$2&amp;W$1&amp;"P"&amp;$A34))/1000000,($A$4*$A$4*RTD("tos.rtd",,"OPEN_INT","."&amp;W$2&amp;W$1&amp;"C"&amp;$A34)*RTD("tos.rtd",,"GAMMA","."&amp;W$2&amp;W$1&amp;"C"&amp;$A34)-$A$4*$A$4*RTD("tos.rtd",,"OPEN_INT","."&amp;W$2&amp;W$1&amp;"P"&amp;$A34)*RTD("tos.rtd",,"GAMMA","."&amp;W$2&amp;W$1&amp;"P"&amp;$A34))/1000000),0),IF($A$2="SKEW",IFERROR(VALUE(IF(RTD("tos.rtd",,"IMPL_VOL","."&amp;W$2&amp;W$1&amp;"P"&amp;$A34)="N/A",0,RTD("tos.rtd",,"IMPL_VOL","."&amp;W$2&amp;W$1&amp;"P"&amp;$A34))),0)-IFERROR(VALUE(IF(RTD("tos.rtd",,"IMPL_VOL","."&amp;W$2&amp;W$1&amp;"C"&amp;$A34)="N/A",0,RTD("tos.rtd",,"IMPL_VOL","."&amp;W$2&amp;W$1&amp;"C"&amp;$A34))),0),IF($A$2="MAXPAIN",IF($A$4&gt;$A34,($A$4-$A34)*IF(RTD("tos.rtd",,"OPEN_INT","."&amp;W$2&amp;W$1&amp;"C"&amp;$A34)="N/A",0,RTD("tos.rtd",,"OPEN_INT","."&amp;W$2&amp;W$1&amp;"C"&amp;$A34)),0)+IF($A$4&lt;$A34,($A$5-$A$4)*IF(RTD("tos.rtd",,"OPEN_INT","."&amp;W$2&amp;W$1&amp;"P"&amp;$A34)="N/A",0,RTD("tos.rtd",,"OPEN_INT","."&amp;W$2&amp;W$1&amp;"P"&amp;$A34)),0),IF($X$1="ABS",IF(RTD("tos.rtd",,$A$2,"."&amp;W$2&amp;W$1&amp;"C"&amp;$A34)="N/A",0,RTD("tos.rtd",,$A$2,"."&amp;W$2&amp;W$1&amp;"C"&amp;$A34))+IF(RTD("tos.rtd",,$A$2,"."&amp;W$2&amp;W$1&amp;"P"&amp;$A34)="N/A",0,RTD("tos.rtd",,$A$2,"."&amp;W$2&amp;W$1&amp;"P"&amp;$A34)),IF(RTD("tos.rtd",,$A$2,"."&amp;W$2&amp;W$1&amp;"C"&amp;$A34)="N/A",0,RTD("tos.rtd",,$A$2,"."&amp;W$2&amp;W$1&amp;"C"&amp;$A34))-IF(RTD("tos.rtd",,$A$2,"."&amp;W$2&amp;W$1&amp;"P"&amp;$A34)="N/A",0,RTD("tos.rtd",,$A$2,"."&amp;W$2&amp;W$1&amp;"P"&amp;$A34))))))))))</f>
        <v>0</v>
      </c>
      <c r="X34" s="57">
        <f t="shared" ca="1" si="8"/>
        <v>0</v>
      </c>
      <c r="Y34" s="27">
        <f t="shared" ca="1" si="9"/>
        <v>0</v>
      </c>
      <c r="Z34" s="27">
        <f ca="1">+'OI-VOL'!Y34</f>
        <v>53180</v>
      </c>
      <c r="AA34" s="27" t="b">
        <f t="shared" ca="1" si="10"/>
        <v>0</v>
      </c>
      <c r="AB34" s="27">
        <f t="shared" si="11"/>
        <v>4926450</v>
      </c>
      <c r="AC34" s="18">
        <f>MAX(0, $A34-AC$4)*IF(RTD("tos.rtd",,"OPEN_INT","."&amp;$AB$3&amp;$AB$4&amp;"C"&amp;AC$4)="N/A",0,RTD("tos.rtd",,"OPEN_INT","."&amp;$AB$3&amp;$AB$4&amp;"C"&amp;AC$4))*100 + MAX(0, AC$4-$A34)*IF(RTD("tos.rtd",,"OPEN_INT","."&amp;$AB$3&amp;$AB$4&amp;"P"&amp;AC$4)="N/A",0,RTD("tos.rtd",,"OPEN_INT","."&amp;$AB$3&amp;$AB$4&amp;"P"&amp;AC$4))*100</f>
        <v>0</v>
      </c>
      <c r="AD34" s="18">
        <f>MAX(0, $A34-AD$4)*IF(RTD("tos.rtd",,"OPEN_INT","."&amp;$AB$3&amp;$AB$4&amp;"C"&amp;AD$4)="N/A",0,RTD("tos.rtd",,"OPEN_INT","."&amp;$AB$3&amp;$AB$4&amp;"C"&amp;AD$4))*100 + MAX(0, AD$4-$A34)*IF(RTD("tos.rtd",,"OPEN_INT","."&amp;$AB$3&amp;$AB$4&amp;"P"&amp;AD$4)="N/A",0,RTD("tos.rtd",,"OPEN_INT","."&amp;$AB$3&amp;$AB$4&amp;"P"&amp;AD$4))*100</f>
        <v>0</v>
      </c>
      <c r="AE34" s="18">
        <f>MAX(0, $A34-AE$4)*IF(RTD("tos.rtd",,"OPEN_INT","."&amp;$AB$3&amp;$AB$4&amp;"C"&amp;AE$4)="N/A",0,RTD("tos.rtd",,"OPEN_INT","."&amp;$AB$3&amp;$AB$4&amp;"C"&amp;AE$4))*100 + MAX(0, AE$4-$A34)*IF(RTD("tos.rtd",,"OPEN_INT","."&amp;$AB$3&amp;$AB$4&amp;"P"&amp;AE$4)="N/A",0,RTD("tos.rtd",,"OPEN_INT","."&amp;$AB$3&amp;$AB$4&amp;"P"&amp;AE$4))*100</f>
        <v>0</v>
      </c>
      <c r="AF34" s="18">
        <f>MAX(0, $A34-AF$4)*IF(RTD("tos.rtd",,"OPEN_INT","."&amp;$AB$3&amp;$AB$4&amp;"C"&amp;AF$4)="N/A",0,RTD("tos.rtd",,"OPEN_INT","."&amp;$AB$3&amp;$AB$4&amp;"C"&amp;AF$4))*100 + MAX(0, AF$4-$A34)*IF(RTD("tos.rtd",,"OPEN_INT","."&amp;$AB$3&amp;$AB$4&amp;"P"&amp;AF$4)="N/A",0,RTD("tos.rtd",,"OPEN_INT","."&amp;$AB$3&amp;$AB$4&amp;"P"&amp;AF$4))*100</f>
        <v>0</v>
      </c>
      <c r="AG34" s="18">
        <f>MAX(0, $A34-AG$4)*IF(RTD("tos.rtd",,"OPEN_INT","."&amp;$AB$3&amp;$AB$4&amp;"C"&amp;AG$4)="N/A",0,RTD("tos.rtd",,"OPEN_INT","."&amp;$AB$3&amp;$AB$4&amp;"C"&amp;AG$4))*100 + MAX(0, AG$4-$A34)*IF(RTD("tos.rtd",,"OPEN_INT","."&amp;$AB$3&amp;$AB$4&amp;"P"&amp;AG$4)="N/A",0,RTD("tos.rtd",,"OPEN_INT","."&amp;$AB$3&amp;$AB$4&amp;"P"&amp;AG$4))*100</f>
        <v>0</v>
      </c>
      <c r="AH34" s="18">
        <f>MAX(0, $A34-AH$4)*IF(RTD("tos.rtd",,"OPEN_INT","."&amp;$AB$3&amp;$AB$4&amp;"C"&amp;AH$4)="N/A",0,RTD("tos.rtd",,"OPEN_INT","."&amp;$AB$3&amp;$AB$4&amp;"C"&amp;AH$4))*100 + MAX(0, AH$4-$A34)*IF(RTD("tos.rtd",,"OPEN_INT","."&amp;$AB$3&amp;$AB$4&amp;"P"&amp;AH$4)="N/A",0,RTD("tos.rtd",,"OPEN_INT","."&amp;$AB$3&amp;$AB$4&amp;"P"&amp;AH$4))*100</f>
        <v>0</v>
      </c>
      <c r="AI34" s="18">
        <f>MAX(0, $A34-AI$4)*IF(RTD("tos.rtd",,"OPEN_INT","."&amp;$AB$3&amp;$AB$4&amp;"C"&amp;AI$4)="N/A",0,RTD("tos.rtd",,"OPEN_INT","."&amp;$AB$3&amp;$AB$4&amp;"C"&amp;AI$4))*100 + MAX(0, AI$4-$A34)*IF(RTD("tos.rtd",,"OPEN_INT","."&amp;$AB$3&amp;$AB$4&amp;"P"&amp;AI$4)="N/A",0,RTD("tos.rtd",,"OPEN_INT","."&amp;$AB$3&amp;$AB$4&amp;"P"&amp;AI$4))*100</f>
        <v>0</v>
      </c>
      <c r="AJ34" s="18">
        <f>MAX(0, $A34-AJ$4)*IF(RTD("tos.rtd",,"OPEN_INT","."&amp;$AB$3&amp;$AB$4&amp;"C"&amp;AJ$4)="N/A",0,RTD("tos.rtd",,"OPEN_INT","."&amp;$AB$3&amp;$AB$4&amp;"C"&amp;AJ$4))*100 + MAX(0, AJ$4-$A34)*IF(RTD("tos.rtd",,"OPEN_INT","."&amp;$AB$3&amp;$AB$4&amp;"P"&amp;AJ$4)="N/A",0,RTD("tos.rtd",,"OPEN_INT","."&amp;$AB$3&amp;$AB$4&amp;"P"&amp;AJ$4))*100</f>
        <v>3300</v>
      </c>
      <c r="AK34" s="18">
        <f>MAX(0, $A34-AK$4)*IF(RTD("tos.rtd",,"OPEN_INT","."&amp;$AB$3&amp;$AB$4&amp;"C"&amp;AK$4)="N/A",0,RTD("tos.rtd",,"OPEN_INT","."&amp;$AB$3&amp;$AB$4&amp;"C"&amp;AK$4))*100 + MAX(0, AK$4-$A34)*IF(RTD("tos.rtd",,"OPEN_INT","."&amp;$AB$3&amp;$AB$4&amp;"P"&amp;AK$4)="N/A",0,RTD("tos.rtd",,"OPEN_INT","."&amp;$AB$3&amp;$AB$4&amp;"P"&amp;AK$4))*100</f>
        <v>8400</v>
      </c>
      <c r="AL34" s="18">
        <f>MAX(0, $A34-AL$4)*IF(RTD("tos.rtd",,"OPEN_INT","."&amp;$AB$3&amp;$AB$4&amp;"C"&amp;AL$4)="N/A",0,RTD("tos.rtd",,"OPEN_INT","."&amp;$AB$3&amp;$AB$4&amp;"C"&amp;AL$4))*100 + MAX(0, AL$4-$A34)*IF(RTD("tos.rtd",,"OPEN_INT","."&amp;$AB$3&amp;$AB$4&amp;"P"&amp;AL$4)="N/A",0,RTD("tos.rtd",,"OPEN_INT","."&amp;$AB$3&amp;$AB$4&amp;"P"&amp;AL$4))*100</f>
        <v>0</v>
      </c>
      <c r="AM34" s="18">
        <f>MAX(0, $A34-AM$4)*IF(RTD("tos.rtd",,"OPEN_INT","."&amp;$AB$3&amp;$AB$4&amp;"C"&amp;AM$4)="N/A",0,RTD("tos.rtd",,"OPEN_INT","."&amp;$AB$3&amp;$AB$4&amp;"C"&amp;AM$4))*100 + MAX(0, AM$4-$A34)*IF(RTD("tos.rtd",,"OPEN_INT","."&amp;$AB$3&amp;$AB$4&amp;"P"&amp;AM$4)="N/A",0,RTD("tos.rtd",,"OPEN_INT","."&amp;$AB$3&amp;$AB$4&amp;"P"&amp;AM$4))*100</f>
        <v>0</v>
      </c>
      <c r="AN34" s="18">
        <f>MAX(0, $A34-AN$4)*IF(RTD("tos.rtd",,"OPEN_INT","."&amp;$AB$3&amp;$AB$4&amp;"C"&amp;AN$4)="N/A",0,RTD("tos.rtd",,"OPEN_INT","."&amp;$AB$3&amp;$AB$4&amp;"C"&amp;AN$4))*100 + MAX(0, AN$4-$A34)*IF(RTD("tos.rtd",,"OPEN_INT","."&amp;$AB$3&amp;$AB$4&amp;"P"&amp;AN$4)="N/A",0,RTD("tos.rtd",,"OPEN_INT","."&amp;$AB$3&amp;$AB$4&amp;"P"&amp;AN$4))*100</f>
        <v>0</v>
      </c>
      <c r="AO34" s="18">
        <f>MAX(0, $A34-AO$4)*IF(RTD("tos.rtd",,"OPEN_INT","."&amp;$AB$3&amp;$AB$4&amp;"C"&amp;AO$4)="N/A",0,RTD("tos.rtd",,"OPEN_INT","."&amp;$AB$3&amp;$AB$4&amp;"C"&amp;AO$4))*100 + MAX(0, AO$4-$A34)*IF(RTD("tos.rtd",,"OPEN_INT","."&amp;$AB$3&amp;$AB$4&amp;"P"&amp;AO$4)="N/A",0,RTD("tos.rtd",,"OPEN_INT","."&amp;$AB$3&amp;$AB$4&amp;"P"&amp;AO$4))*100</f>
        <v>0</v>
      </c>
      <c r="AP34" s="18">
        <f>MAX(0, $A34-AP$4)*IF(RTD("tos.rtd",,"OPEN_INT","."&amp;$AB$3&amp;$AB$4&amp;"C"&amp;AP$4)="N/A",0,RTD("tos.rtd",,"OPEN_INT","."&amp;$AB$3&amp;$AB$4&amp;"C"&amp;AP$4))*100 + MAX(0, AP$4-$A34)*IF(RTD("tos.rtd",,"OPEN_INT","."&amp;$AB$3&amp;$AB$4&amp;"P"&amp;AP$4)="N/A",0,RTD("tos.rtd",,"OPEN_INT","."&amp;$AB$3&amp;$AB$4&amp;"P"&amp;AP$4))*100</f>
        <v>96000</v>
      </c>
      <c r="AQ34" s="18">
        <f>MAX(0, $A34-AQ$4)*IF(RTD("tos.rtd",,"OPEN_INT","."&amp;$AB$3&amp;$AB$4&amp;"C"&amp;AQ$4)="N/A",0,RTD("tos.rtd",,"OPEN_INT","."&amp;$AB$3&amp;$AB$4&amp;"C"&amp;AQ$4))*100 + MAX(0, AQ$4-$A34)*IF(RTD("tos.rtd",,"OPEN_INT","."&amp;$AB$3&amp;$AB$4&amp;"P"&amp;AQ$4)="N/A",0,RTD("tos.rtd",,"OPEN_INT","."&amp;$AB$3&amp;$AB$4&amp;"P"&amp;AQ$4))*100</f>
        <v>0</v>
      </c>
      <c r="AR34" s="18">
        <f>MAX(0, $A34-AR$4)*IF(RTD("tos.rtd",,"OPEN_INT","."&amp;$AB$3&amp;$AB$4&amp;"C"&amp;AR$4)="N/A",0,RTD("tos.rtd",,"OPEN_INT","."&amp;$AB$3&amp;$AB$4&amp;"C"&amp;AR$4))*100 + MAX(0, AR$4-$A34)*IF(RTD("tos.rtd",,"OPEN_INT","."&amp;$AB$3&amp;$AB$4&amp;"P"&amp;AR$4)="N/A",0,RTD("tos.rtd",,"OPEN_INT","."&amp;$AB$3&amp;$AB$4&amp;"P"&amp;AR$4))*100</f>
        <v>37100</v>
      </c>
      <c r="AS34" s="18">
        <f>MAX(0, $A34-AS$4)*IF(RTD("tos.rtd",,"OPEN_INT","."&amp;$AB$3&amp;$AB$4&amp;"C"&amp;AS$4)="N/A",0,RTD("tos.rtd",,"OPEN_INT","."&amp;$AB$3&amp;$AB$4&amp;"C"&amp;AS$4))*100 + MAX(0, AS$4-$A34)*IF(RTD("tos.rtd",,"OPEN_INT","."&amp;$AB$3&amp;$AB$4&amp;"P"&amp;AS$4)="N/A",0,RTD("tos.rtd",,"OPEN_INT","."&amp;$AB$3&amp;$AB$4&amp;"P"&amp;AS$4))*100</f>
        <v>3900</v>
      </c>
      <c r="AT34" s="18">
        <f>MAX(0, $A34-AT$4)*IF(RTD("tos.rtd",,"OPEN_INT","."&amp;$AB$3&amp;$AB$4&amp;"C"&amp;AT$4)="N/A",0,RTD("tos.rtd",,"OPEN_INT","."&amp;$AB$3&amp;$AB$4&amp;"C"&amp;AT$4))*100 + MAX(0, AT$4-$A34)*IF(RTD("tos.rtd",,"OPEN_INT","."&amp;$AB$3&amp;$AB$4&amp;"P"&amp;AT$4)="N/A",0,RTD("tos.rtd",,"OPEN_INT","."&amp;$AB$3&amp;$AB$4&amp;"P"&amp;AT$4))*100</f>
        <v>37200</v>
      </c>
      <c r="AU34" s="18">
        <f>MAX(0, $A34-AU$4)*IF(RTD("tos.rtd",,"OPEN_INT","."&amp;$AB$3&amp;$AB$4&amp;"C"&amp;AU$4)="N/A",0,RTD("tos.rtd",,"OPEN_INT","."&amp;$AB$3&amp;$AB$4&amp;"C"&amp;AU$4))*100 + MAX(0, AU$4-$A34)*IF(RTD("tos.rtd",,"OPEN_INT","."&amp;$AB$3&amp;$AB$4&amp;"P"&amp;AU$4)="N/A",0,RTD("tos.rtd",,"OPEN_INT","."&amp;$AB$3&amp;$AB$4&amp;"P"&amp;AU$4))*100</f>
        <v>38500</v>
      </c>
      <c r="AV34" s="18">
        <f>MAX(0, $A34-AV$4)*IF(RTD("tos.rtd",,"OPEN_INT","."&amp;$AB$3&amp;$AB$4&amp;"C"&amp;AV$4)="N/A",0,RTD("tos.rtd",,"OPEN_INT","."&amp;$AB$3&amp;$AB$4&amp;"C"&amp;AV$4))*100 + MAX(0, AV$4-$A34)*IF(RTD("tos.rtd",,"OPEN_INT","."&amp;$AB$3&amp;$AB$4&amp;"P"&amp;AV$4)="N/A",0,RTD("tos.rtd",,"OPEN_INT","."&amp;$AB$3&amp;$AB$4&amp;"P"&amp;AV$4))*100</f>
        <v>20000</v>
      </c>
      <c r="AW34" s="18">
        <f>MAX(0, $A34-AW$4)*IF(RTD("tos.rtd",,"OPEN_INT","."&amp;$AB$3&amp;$AB$4&amp;"C"&amp;AW$4)="N/A",0,RTD("tos.rtd",,"OPEN_INT","."&amp;$AB$3&amp;$AB$4&amp;"C"&amp;AW$4))*100 + MAX(0, AW$4-$A34)*IF(RTD("tos.rtd",,"OPEN_INT","."&amp;$AB$3&amp;$AB$4&amp;"P"&amp;AW$4)="N/A",0,RTD("tos.rtd",,"OPEN_INT","."&amp;$AB$3&amp;$AB$4&amp;"P"&amp;AW$4))*100</f>
        <v>72450</v>
      </c>
      <c r="AX34" s="18">
        <f>MAX(0, $A34-AX$4)*IF(RTD("tos.rtd",,"OPEN_INT","."&amp;$AB$3&amp;$AB$4&amp;"C"&amp;AX$4)="N/A",0,RTD("tos.rtd",,"OPEN_INT","."&amp;$AB$3&amp;$AB$4&amp;"C"&amp;AX$4))*100 + MAX(0, AX$4-$A34)*IF(RTD("tos.rtd",,"OPEN_INT","."&amp;$AB$3&amp;$AB$4&amp;"P"&amp;AX$4)="N/A",0,RTD("tos.rtd",,"OPEN_INT","."&amp;$AB$3&amp;$AB$4&amp;"P"&amp;AX$4))*100</f>
        <v>80800</v>
      </c>
      <c r="AY34" s="18">
        <f>MAX(0, $A34-AY$4)*IF(RTD("tos.rtd",,"OPEN_INT","."&amp;$AB$3&amp;$AB$4&amp;"C"&amp;AY$4)="N/A",0,RTD("tos.rtd",,"OPEN_INT","."&amp;$AB$3&amp;$AB$4&amp;"C"&amp;AY$4))*100 + MAX(0, AY$4-$A34)*IF(RTD("tos.rtd",,"OPEN_INT","."&amp;$AB$3&amp;$AB$4&amp;"P"&amp;AY$4)="N/A",0,RTD("tos.rtd",,"OPEN_INT","."&amp;$AB$3&amp;$AB$4&amp;"P"&amp;AY$4))*100</f>
        <v>86450</v>
      </c>
      <c r="AZ34" s="18">
        <f>MAX(0, $A34-AZ$4)*IF(RTD("tos.rtd",,"OPEN_INT","."&amp;$AB$3&amp;$AB$4&amp;"C"&amp;AZ$4)="N/A",0,RTD("tos.rtd",,"OPEN_INT","."&amp;$AB$3&amp;$AB$4&amp;"C"&amp;AZ$4))*100 + MAX(0, AZ$4-$A34)*IF(RTD("tos.rtd",,"OPEN_INT","."&amp;$AB$3&amp;$AB$4&amp;"P"&amp;AZ$4)="N/A",0,RTD("tos.rtd",,"OPEN_INT","."&amp;$AB$3&amp;$AB$4&amp;"P"&amp;AZ$4))*100</f>
        <v>622200</v>
      </c>
      <c r="BA34" s="18">
        <f>MAX(0, $A34-BA$4)*IF(RTD("tos.rtd",,"OPEN_INT","."&amp;$AB$3&amp;$AB$4&amp;"C"&amp;BA$4)="N/A",0,RTD("tos.rtd",,"OPEN_INT","."&amp;$AB$3&amp;$AB$4&amp;"C"&amp;BA$4))*100 + MAX(0, BA$4-$A34)*IF(RTD("tos.rtd",,"OPEN_INT","."&amp;$AB$3&amp;$AB$4&amp;"P"&amp;BA$4)="N/A",0,RTD("tos.rtd",,"OPEN_INT","."&amp;$AB$3&amp;$AB$4&amp;"P"&amp;BA$4))*100</f>
        <v>142000</v>
      </c>
      <c r="BB34" s="18">
        <f>MAX(0, $A34-BB$4)*IF(RTD("tos.rtd",,"OPEN_INT","."&amp;$AB$3&amp;$AB$4&amp;"C"&amp;BB$4)="N/A",0,RTD("tos.rtd",,"OPEN_INT","."&amp;$AB$3&amp;$AB$4&amp;"C"&amp;BB$4))*100 + MAX(0, BB$4-$A34)*IF(RTD("tos.rtd",,"OPEN_INT","."&amp;$AB$3&amp;$AB$4&amp;"P"&amp;BB$4)="N/A",0,RTD("tos.rtd",,"OPEN_INT","."&amp;$AB$3&amp;$AB$4&amp;"P"&amp;BB$4))*100</f>
        <v>468000</v>
      </c>
      <c r="BC34" s="18">
        <f>MAX(0, $A34-BC$4)*IF(RTD("tos.rtd",,"OPEN_INT","."&amp;$AB$3&amp;$AB$4&amp;"C"&amp;BC$4)="N/A",0,RTD("tos.rtd",,"OPEN_INT","."&amp;$AB$3&amp;$AB$4&amp;"C"&amp;BC$4))*100 + MAX(0, BC$4-$A34)*IF(RTD("tos.rtd",,"OPEN_INT","."&amp;$AB$3&amp;$AB$4&amp;"P"&amp;BC$4)="N/A",0,RTD("tos.rtd",,"OPEN_INT","."&amp;$AB$3&amp;$AB$4&amp;"P"&amp;BC$4))*100</f>
        <v>342600</v>
      </c>
      <c r="BD34" s="18">
        <f>MAX(0, $A34-BD$4)*IF(RTD("tos.rtd",,"OPEN_INT","."&amp;$AB$3&amp;$AB$4&amp;"C"&amp;BD$4)="N/A",0,RTD("tos.rtd",,"OPEN_INT","."&amp;$AB$3&amp;$AB$4&amp;"C"&amp;BD$4))*100 + MAX(0, BD$4-$A34)*IF(RTD("tos.rtd",,"OPEN_INT","."&amp;$AB$3&amp;$AB$4&amp;"P"&amp;BD$4)="N/A",0,RTD("tos.rtd",,"OPEN_INT","."&amp;$AB$3&amp;$AB$4&amp;"P"&amp;BD$4))*100</f>
        <v>765100</v>
      </c>
      <c r="BE34" s="18">
        <f>MAX(0, $A34-BE$4)*IF(RTD("tos.rtd",,"OPEN_INT","."&amp;$AB$3&amp;$AB$4&amp;"C"&amp;BE$4)="N/A",0,RTD("tos.rtd",,"OPEN_INT","."&amp;$AB$3&amp;$AB$4&amp;"C"&amp;BE$4))*100 + MAX(0, BE$4-$A34)*IF(RTD("tos.rtd",,"OPEN_INT","."&amp;$AB$3&amp;$AB$4&amp;"P"&amp;BE$4)="N/A",0,RTD("tos.rtd",,"OPEN_INT","."&amp;$AB$3&amp;$AB$4&amp;"P"&amp;BE$4))*100</f>
        <v>491050</v>
      </c>
      <c r="BF34" s="18">
        <f>MAX(0, $A34-BF$4)*IF(RTD("tos.rtd",,"OPEN_INT","."&amp;$AB$3&amp;$AB$4&amp;"C"&amp;BF$4)="N/A",0,RTD("tos.rtd",,"OPEN_INT","."&amp;$AB$3&amp;$AB$4&amp;"C"&amp;BF$4))*100 + MAX(0, BF$4-$A34)*IF(RTD("tos.rtd",,"OPEN_INT","."&amp;$AB$3&amp;$AB$4&amp;"P"&amp;BF$4)="N/A",0,RTD("tos.rtd",,"OPEN_INT","."&amp;$AB$3&amp;$AB$4&amp;"P"&amp;BF$4))*100</f>
        <v>0</v>
      </c>
      <c r="BG34" s="18">
        <f>MAX(0, $A34-BG$4)*IF(RTD("tos.rtd",,"OPEN_INT","."&amp;$AB$3&amp;$AB$4&amp;"C"&amp;BG$4)="N/A",0,RTD("tos.rtd",,"OPEN_INT","."&amp;$AB$3&amp;$AB$4&amp;"C"&amp;BG$4))*100 + MAX(0, BG$4-$A34)*IF(RTD("tos.rtd",,"OPEN_INT","."&amp;$AB$3&amp;$AB$4&amp;"P"&amp;BG$4)="N/A",0,RTD("tos.rtd",,"OPEN_INT","."&amp;$AB$3&amp;$AB$4&amp;"P"&amp;BG$4))*100</f>
        <v>420350</v>
      </c>
      <c r="BH34" s="18">
        <f>MAX(0, $A34-BH$4)*IF(RTD("tos.rtd",,"OPEN_INT","."&amp;$AB$3&amp;$AB$4&amp;"C"&amp;BH$4)="N/A",0,RTD("tos.rtd",,"OPEN_INT","."&amp;$AB$3&amp;$AB$4&amp;"C"&amp;BH$4))*100 + MAX(0, BH$4-$A34)*IF(RTD("tos.rtd",,"OPEN_INT","."&amp;$AB$3&amp;$AB$4&amp;"P"&amp;BH$4)="N/A",0,RTD("tos.rtd",,"OPEN_INT","."&amp;$AB$3&amp;$AB$4&amp;"P"&amp;BH$4))*100</f>
        <v>573400</v>
      </c>
      <c r="BI34" s="18">
        <f>MAX(0, $A34-BI$4)*IF(RTD("tos.rtd",,"OPEN_INT","."&amp;$AB$3&amp;$AB$4&amp;"C"&amp;BI$4)="N/A",0,RTD("tos.rtd",,"OPEN_INT","."&amp;$AB$3&amp;$AB$4&amp;"C"&amp;BI$4))*100 + MAX(0, BI$4-$A34)*IF(RTD("tos.rtd",,"OPEN_INT","."&amp;$AB$3&amp;$AB$4&amp;"P"&amp;BI$4)="N/A",0,RTD("tos.rtd",,"OPEN_INT","."&amp;$AB$3&amp;$AB$4&amp;"P"&amp;BI$4))*100</f>
        <v>291450</v>
      </c>
      <c r="BJ34" s="18">
        <f>MAX(0, $A34-BJ$4)*IF(RTD("tos.rtd",,"OPEN_INT","."&amp;$AB$3&amp;$AB$4&amp;"C"&amp;BJ$4)="N/A",0,RTD("tos.rtd",,"OPEN_INT","."&amp;$AB$3&amp;$AB$4&amp;"C"&amp;BJ$4))*100 + MAX(0, BJ$4-$A34)*IF(RTD("tos.rtd",,"OPEN_INT","."&amp;$AB$3&amp;$AB$4&amp;"P"&amp;BJ$4)="N/A",0,RTD("tos.rtd",,"OPEN_INT","."&amp;$AB$3&amp;$AB$4&amp;"P"&amp;BJ$4))*100</f>
        <v>168400</v>
      </c>
      <c r="BK34" s="18">
        <f>MAX(0, $A34-BK$4)*IF(RTD("tos.rtd",,"OPEN_INT","."&amp;$AB$3&amp;$AB$4&amp;"C"&amp;BK$4)="N/A",0,RTD("tos.rtd",,"OPEN_INT","."&amp;$AB$3&amp;$AB$4&amp;"C"&amp;BK$4))*100 + MAX(0, BK$4-$A34)*IF(RTD("tos.rtd",,"OPEN_INT","."&amp;$AB$3&amp;$AB$4&amp;"P"&amp;BK$4)="N/A",0,RTD("tos.rtd",,"OPEN_INT","."&amp;$AB$3&amp;$AB$4&amp;"P"&amp;BK$4))*100</f>
        <v>37750</v>
      </c>
      <c r="BL34" s="18">
        <f>MAX(0, $A34-BL$4)*IF(RTD("tos.rtd",,"OPEN_INT","."&amp;$AB$3&amp;$AB$4&amp;"C"&amp;BL$4)="N/A",0,RTD("tos.rtd",,"OPEN_INT","."&amp;$AB$3&amp;$AB$4&amp;"C"&amp;BL$4))*100 + MAX(0, BL$4-$A34)*IF(RTD("tos.rtd",,"OPEN_INT","."&amp;$AB$3&amp;$AB$4&amp;"P"&amp;BL$4)="N/A",0,RTD("tos.rtd",,"OPEN_INT","."&amp;$AB$3&amp;$AB$4&amp;"P"&amp;BL$4))*100</f>
        <v>78300</v>
      </c>
      <c r="BM34" s="18">
        <f>MAX(0, $A34-BM$4)*IF(RTD("tos.rtd",,"OPEN_INT","."&amp;$AB$3&amp;$AB$4&amp;"C"&amp;BM$4)="N/A",0,RTD("tos.rtd",,"OPEN_INT","."&amp;$AB$3&amp;$AB$4&amp;"C"&amp;BM$4))*100 + MAX(0, BM$4-$A34)*IF(RTD("tos.rtd",,"OPEN_INT","."&amp;$AB$3&amp;$AB$4&amp;"P"&amp;BM$4)="N/A",0,RTD("tos.rtd",,"OPEN_INT","."&amp;$AB$3&amp;$AB$4&amp;"P"&amp;BM$4))*100</f>
        <v>5600</v>
      </c>
      <c r="BN34" s="18">
        <f>MAX(0, $A34-BN$4)*IF(RTD("tos.rtd",,"OPEN_INT","."&amp;$AB$3&amp;$AB$4&amp;"C"&amp;BN$4)="N/A",0,RTD("tos.rtd",,"OPEN_INT","."&amp;$AB$3&amp;$AB$4&amp;"C"&amp;BN$4))*100 + MAX(0, BN$4-$A34)*IF(RTD("tos.rtd",,"OPEN_INT","."&amp;$AB$3&amp;$AB$4&amp;"P"&amp;BN$4)="N/A",0,RTD("tos.rtd",,"OPEN_INT","."&amp;$AB$3&amp;$AB$4&amp;"P"&amp;BN$4))*100</f>
        <v>3200</v>
      </c>
      <c r="BO34" s="18">
        <f>MAX(0, $A34-BO$4)*IF(RTD("tos.rtd",,"OPEN_INT","."&amp;$AB$3&amp;$AB$4&amp;"C"&amp;BO$4)="N/A",0,RTD("tos.rtd",,"OPEN_INT","."&amp;$AB$3&amp;$AB$4&amp;"C"&amp;BO$4))*100 + MAX(0, BO$4-$A34)*IF(RTD("tos.rtd",,"OPEN_INT","."&amp;$AB$3&amp;$AB$4&amp;"P"&amp;BO$4)="N/A",0,RTD("tos.rtd",,"OPEN_INT","."&amp;$AB$3&amp;$AB$4&amp;"P"&amp;BO$4))*100</f>
        <v>13950</v>
      </c>
      <c r="BP34" s="18">
        <f>MAX(0, $A34-BP$4)*IF(RTD("tos.rtd",,"OPEN_INT","."&amp;$AB$3&amp;$AB$4&amp;"C"&amp;BP$4)="N/A",0,RTD("tos.rtd",,"OPEN_INT","."&amp;$AB$3&amp;$AB$4&amp;"C"&amp;BP$4))*100 + MAX(0, BP$4-$A34)*IF(RTD("tos.rtd",,"OPEN_INT","."&amp;$AB$3&amp;$AB$4&amp;"P"&amp;BP$4)="N/A",0,RTD("tos.rtd",,"OPEN_INT","."&amp;$AB$3&amp;$AB$4&amp;"P"&amp;BP$4))*100</f>
        <v>19000</v>
      </c>
      <c r="BQ34" s="18">
        <f>MAX(0, $A34-BQ$4)*IF(RTD("tos.rtd",,"OPEN_INT","."&amp;$AB$3&amp;$AB$4&amp;"C"&amp;BQ$4)="N/A",0,RTD("tos.rtd",,"OPEN_INT","."&amp;$AB$3&amp;$AB$4&amp;"C"&amp;BQ$4))*100 + MAX(0, BQ$4-$A34)*IF(RTD("tos.rtd",,"OPEN_INT","."&amp;$AB$3&amp;$AB$4&amp;"P"&amp;BQ$4)="N/A",0,RTD("tos.rtd",,"OPEN_INT","."&amp;$AB$3&amp;$AB$4&amp;"P"&amp;BQ$4))*100</f>
        <v>0</v>
      </c>
      <c r="BR34" s="18">
        <f>MAX(0, $A34-BR$4)*IF(RTD("tos.rtd",,"OPEN_INT","."&amp;$AB$3&amp;$AB$4&amp;"C"&amp;BR$4)="N/A",0,RTD("tos.rtd",,"OPEN_INT","."&amp;$AB$3&amp;$AB$4&amp;"C"&amp;BR$4))*100 + MAX(0, BR$4-$A34)*IF(RTD("tos.rtd",,"OPEN_INT","."&amp;$AB$3&amp;$AB$4&amp;"P"&amp;BR$4)="N/A",0,RTD("tos.rtd",,"OPEN_INT","."&amp;$AB$3&amp;$AB$4&amp;"P"&amp;BR$4))*100</f>
        <v>0</v>
      </c>
      <c r="BS34" s="18">
        <f>MAX(0, $A34-BS$4)*IF(RTD("tos.rtd",,"OPEN_INT","."&amp;$AB$3&amp;$AB$4&amp;"C"&amp;BS$4)="N/A",0,RTD("tos.rtd",,"OPEN_INT","."&amp;$AB$3&amp;$AB$4&amp;"C"&amp;BS$4))*100 + MAX(0, BS$4-$A34)*IF(RTD("tos.rtd",,"OPEN_INT","."&amp;$AB$3&amp;$AB$4&amp;"P"&amp;BS$4)="N/A",0,RTD("tos.rtd",,"OPEN_INT","."&amp;$AB$3&amp;$AB$4&amp;"P"&amp;BS$4))*100</f>
        <v>0</v>
      </c>
      <c r="BT34" s="18">
        <f>MAX(0, $A34-BT$4)*IF(RTD("tos.rtd",,"OPEN_INT","."&amp;$AB$3&amp;$AB$4&amp;"C"&amp;BT$4)="N/A",0,RTD("tos.rtd",,"OPEN_INT","."&amp;$AB$3&amp;$AB$4&amp;"C"&amp;BT$4))*100 + MAX(0, BT$4-$A34)*IF(RTD("tos.rtd",,"OPEN_INT","."&amp;$AB$3&amp;$AB$4&amp;"P"&amp;BT$4)="N/A",0,RTD("tos.rtd",,"OPEN_INT","."&amp;$AB$3&amp;$AB$4&amp;"P"&amp;BT$4))*100</f>
        <v>0</v>
      </c>
      <c r="BU34" s="18">
        <f>MAX(0, $A34-BU$4)*IF(RTD("tos.rtd",,"OPEN_INT","."&amp;$AB$3&amp;$AB$4&amp;"C"&amp;BU$4)="N/A",0,RTD("tos.rtd",,"OPEN_INT","."&amp;$AB$3&amp;$AB$4&amp;"C"&amp;BU$4))*100 + MAX(0, BU$4-$A34)*IF(RTD("tos.rtd",,"OPEN_INT","."&amp;$AB$3&amp;$AB$4&amp;"P"&amp;BU$4)="N/A",0,RTD("tos.rtd",,"OPEN_INT","."&amp;$AB$3&amp;$AB$4&amp;"P"&amp;BU$4))*100</f>
        <v>0</v>
      </c>
      <c r="BV34" s="18">
        <f>MAX(0, $A34-BV$4)*IF(RTD("tos.rtd",,"OPEN_INT","."&amp;$AB$3&amp;$AB$4&amp;"C"&amp;BV$4)="N/A",0,RTD("tos.rtd",,"OPEN_INT","."&amp;$AB$3&amp;$AB$4&amp;"C"&amp;BV$4))*100 + MAX(0, BV$4-$A34)*IF(RTD("tos.rtd",,"OPEN_INT","."&amp;$AB$3&amp;$AB$4&amp;"P"&amp;BV$4)="N/A",0,RTD("tos.rtd",,"OPEN_INT","."&amp;$AB$3&amp;$AB$4&amp;"P"&amp;BV$4))*100</f>
        <v>0</v>
      </c>
      <c r="BW34" s="18">
        <f>MAX(0, $A34-BW$4)*IF(RTD("tos.rtd",,"OPEN_INT","."&amp;$AB$3&amp;$AB$4&amp;"C"&amp;BW$4)="N/A",0,RTD("tos.rtd",,"OPEN_INT","."&amp;$AB$3&amp;$AB$4&amp;"C"&amp;BW$4))*100 + MAX(0, BW$4-$A34)*IF(RTD("tos.rtd",,"OPEN_INT","."&amp;$AB$3&amp;$AB$4&amp;"P"&amp;BW$4)="N/A",0,RTD("tos.rtd",,"OPEN_INT","."&amp;$AB$3&amp;$AB$4&amp;"P"&amp;BW$4))*100</f>
        <v>0</v>
      </c>
    </row>
    <row r="35" spans="1:75" s="19" customFormat="1" ht="11.1" customHeight="1" thickBot="1" x14ac:dyDescent="0.3">
      <c r="A35" s="23">
        <f t="shared" si="12"/>
        <v>6.5</v>
      </c>
      <c r="B35" s="14">
        <f ca="1">IF($A$2="PREMIUM_OI",IFERROR(IF($X$1="ABS",(100*RTD("tos.rtd",,"OPEN_INT","."&amp;B$2&amp;B$1&amp;"C"&amp;$A35)*RTD("tos.rtd",,"LAST","."&amp;B$2&amp;B$1&amp;"C"&amp;$A35)+100*RTD("tos.rtd",,"OPEN_INT","."&amp;B$2&amp;B$1&amp;"P"&amp;$A35)*RTD("tos.rtd",,"LAST","."&amp;B$2&amp;B$1&amp;"P"&amp;$A35))/1000000,(100*RTD("tos.rtd",,"OPEN_INT","."&amp;B$2&amp;B$1&amp;"C"&amp;$A35)*RTD("tos.rtd",,"LAST","."&amp;B$2&amp;B$1&amp;"C"&amp;$A35)-100*RTD("tos.rtd",,"OPEN_INT","."&amp;B$2&amp;B$1&amp;"P"&amp;$A35)*RTD("tos.rtd",,"LAST","."&amp;B$2&amp;B$1&amp;"P"&amp;$A35))/1000000),0),IF($A$2="PREMIUM",IFERROR(IF($X$1="ABS",(100*RTD("tos.rtd",,"VOLUME","."&amp;B$2&amp;B$1&amp;"C"&amp;$A35)*RTD("tos.rtd",,"LAST","."&amp;B$2&amp;B$1&amp;"C"&amp;$A35)+100*RTD("tos.rtd",,"VOLUME","."&amp;B$2&amp;B$1&amp;"P"&amp;$A35)*RTD("tos.rtd",,"LAST","."&amp;B$2&amp;B$1&amp;"P"&amp;$A35))/1000000,(100*RTD("tos.rtd",,"VOLUME","."&amp;B$2&amp;B$1&amp;"C"&amp;$A35)*RTD("tos.rtd",,"LAST","."&amp;B$2&amp;B$1&amp;"C"&amp;$A35)-100*RTD("tos.rtd",,"VOLUME","."&amp;B$2&amp;B$1&amp;"P"&amp;$A35)*RTD("tos.rtd",,"LAST","."&amp;B$2&amp;B$1&amp;"P"&amp;$A35))/1000000),0),IF($A$2="DEX",IFERROR(IF($X$1="ABS",(100*RTD("tos.rtd",,"OPEN_INT","."&amp;B$2&amp;B$1&amp;"C"&amp;$A35)*RTD("tos.rtd",,"DELTA","."&amp;B$2&amp;B$1&amp;"C"&amp;$A35)+100*RTD("tos.rtd",,"OPEN_INT","."&amp;B$2&amp;B$1&amp;"P"&amp;$A35)*RTD("tos.rtd",,"DELTA","."&amp;B$2&amp;B$1&amp;"P"&amp;$A35))/1000,(100*RTD("tos.rtd",,"OPEN_INT","."&amp;B$2&amp;B$1&amp;"C"&amp;$A35)*RTD("tos.rtd",,"DELTA","."&amp;B$2&amp;B$1&amp;"C"&amp;$A35)-100*RTD("tos.rtd",,"OPEN_INT","."&amp;B$2&amp;B$1&amp;"P"&amp;$A35)*RTD("tos.rtd",,"DELTA","."&amp;B$2&amp;B$1&amp;"P"&amp;$A35))/1000),0),IF($A$2="VEX",IFERROR(IF($X$1="ABS",($A$4*$A$4*RTD("tos.rtd",,"VOLUME","."&amp;B$2&amp;B$1&amp;"C"&amp;$A35)*RTD("tos.rtd",,"GAMMA","."&amp;B$2&amp;B$1&amp;"C"&amp;$A35)+$A$4*$A$4*RTD("tos.rtd",,"VOLUME","."&amp;B$2&amp;B$1&amp;"P"&amp;$A35)*RTD("tos.rtd",,"GAMMA","."&amp;B$2&amp;B$1&amp;"P"&amp;$A35))/1000000,($A$4*$A$4*RTD("tos.rtd",,"VOLUME","."&amp;B$2&amp;B$1&amp;"C"&amp;$A35)*RTD("tos.rtd",,"GAMMA","."&amp;B$2&amp;B$1&amp;"C"&amp;$A35)-$A$4*$A$4*RTD("tos.rtd",,"VOLUME","."&amp;B$2&amp;B$1&amp;"P"&amp;$A35)*RTD("tos.rtd",,"GAMMA","."&amp;B$2&amp;B$1&amp;"P"&amp;$A35))/1000000),0),IF($A$2="GEX",IFERROR(IF($X$1="ABS",($A$4*$A$4*RTD("tos.rtd",,"OPEN_INT","."&amp;B$2&amp;B$1&amp;"C"&amp;$A35)*RTD("tos.rtd",,"GAMMA","."&amp;B$2&amp;B$1&amp;"C"&amp;$A35)+$A$4*$A$4*RTD("tos.rtd",,"OPEN_INT","."&amp;B$2&amp;B$1&amp;"P"&amp;$A35)*RTD("tos.rtd",,"GAMMA","."&amp;B$2&amp;B$1&amp;"P"&amp;$A35))/1000000,($A$4*$A$4*RTD("tos.rtd",,"OPEN_INT","."&amp;B$2&amp;B$1&amp;"C"&amp;$A35)*RTD("tos.rtd",,"GAMMA","."&amp;B$2&amp;B$1&amp;"C"&amp;$A35)-$A$4*$A$4*RTD("tos.rtd",,"OPEN_INT","."&amp;B$2&amp;B$1&amp;"P"&amp;$A35)*RTD("tos.rtd",,"GAMMA","."&amp;B$2&amp;B$1&amp;"P"&amp;$A35))/1000000),0),IF($A$2="SKEW",IFERROR(VALUE(IF(RTD("tos.rtd",,"IMPL_VOL","."&amp;B$2&amp;B$1&amp;"P"&amp;$A35)="N/A",0,RTD("tos.rtd",,"IMPL_VOL","."&amp;B$2&amp;B$1&amp;"P"&amp;$A35))),0)-IFERROR(VALUE(IF(RTD("tos.rtd",,"IMPL_VOL","."&amp;B$2&amp;B$1&amp;"C"&amp;$A35)="N/A",0,RTD("tos.rtd",,"IMPL_VOL","."&amp;B$2&amp;B$1&amp;"C"&amp;$A35))),0),IF($A$2="MAXPAIN",IF($A$4&gt;$A35,($A$4-$A35)*IF(RTD("tos.rtd",,"OPEN_INT","."&amp;B$2&amp;B$1&amp;"C"&amp;$A35)="N/A",0,RTD("tos.rtd",,"OPEN_INT","."&amp;B$2&amp;B$1&amp;"C"&amp;$A35)),0)+IF($A$4&lt;$A35,($A$5-$A$4)*IF(RTD("tos.rtd",,"OPEN_INT","."&amp;B$2&amp;B$1&amp;"P"&amp;$A35)="N/A",0,RTD("tos.rtd",,"OPEN_INT","."&amp;B$2&amp;B$1&amp;"P"&amp;$A35)),0),IF($X$1="ABS",IF(RTD("tos.rtd",,$A$2,"."&amp;B$2&amp;B$1&amp;"C"&amp;$A35)="N/A",0,RTD("tos.rtd",,$A$2,"."&amp;B$2&amp;B$1&amp;"C"&amp;$A35))+IF(RTD("tos.rtd",,$A$2,"."&amp;B$2&amp;B$1&amp;"P"&amp;$A35)="N/A",0,RTD("tos.rtd",,$A$2,"."&amp;B$2&amp;B$1&amp;"P"&amp;$A35)),IF(RTD("tos.rtd",,$A$2,"."&amp;B$2&amp;B$1&amp;"C"&amp;$A35)="N/A",0,RTD("tos.rtd",,$A$2,"."&amp;B$2&amp;B$1&amp;"C"&amp;$A35))-IF(RTD("tos.rtd",,$A$2,"."&amp;B$2&amp;B$1&amp;"P"&amp;$A35)="N/A",0,RTD("tos.rtd",,$A$2,"."&amp;B$2&amp;B$1&amp;"P"&amp;$A35))))))))))</f>
        <v>0</v>
      </c>
      <c r="C35" s="14">
        <f ca="1">IF($A$2="PREMIUM_OI",IFERROR(IF($X$1="ABS",(100*RTD("tos.rtd",,"OPEN_INT","."&amp;C$2&amp;C$1&amp;"C"&amp;$A35)*RTD("tos.rtd",,"LAST","."&amp;C$2&amp;C$1&amp;"C"&amp;$A35)+100*RTD("tos.rtd",,"OPEN_INT","."&amp;C$2&amp;C$1&amp;"P"&amp;$A35)*RTD("tos.rtd",,"LAST","."&amp;C$2&amp;C$1&amp;"P"&amp;$A35))/1000000,(100*RTD("tos.rtd",,"OPEN_INT","."&amp;C$2&amp;C$1&amp;"C"&amp;$A35)*RTD("tos.rtd",,"LAST","."&amp;C$2&amp;C$1&amp;"C"&amp;$A35)-100*RTD("tos.rtd",,"OPEN_INT","."&amp;C$2&amp;C$1&amp;"P"&amp;$A35)*RTD("tos.rtd",,"LAST","."&amp;C$2&amp;C$1&amp;"P"&amp;$A35))/1000000),0),IF($A$2="PREMIUM",IFERROR(IF($X$1="ABS",(100*RTD("tos.rtd",,"VOLUME","."&amp;C$2&amp;C$1&amp;"C"&amp;$A35)*RTD("tos.rtd",,"LAST","."&amp;C$2&amp;C$1&amp;"C"&amp;$A35)+100*RTD("tos.rtd",,"VOLUME","."&amp;C$2&amp;C$1&amp;"P"&amp;$A35)*RTD("tos.rtd",,"LAST","."&amp;C$2&amp;C$1&amp;"P"&amp;$A35))/1000000,(100*RTD("tos.rtd",,"VOLUME","."&amp;C$2&amp;C$1&amp;"C"&amp;$A35)*RTD("tos.rtd",,"LAST","."&amp;C$2&amp;C$1&amp;"C"&amp;$A35)-100*RTD("tos.rtd",,"VOLUME","."&amp;C$2&amp;C$1&amp;"P"&amp;$A35)*RTD("tos.rtd",,"LAST","."&amp;C$2&amp;C$1&amp;"P"&amp;$A35))/1000000),0),IF($A$2="DEX",IFERROR(IF($X$1="ABS",(100*RTD("tos.rtd",,"OPEN_INT","."&amp;C$2&amp;C$1&amp;"C"&amp;$A35)*RTD("tos.rtd",,"DELTA","."&amp;C$2&amp;C$1&amp;"C"&amp;$A35)+100*RTD("tos.rtd",,"OPEN_INT","."&amp;C$2&amp;C$1&amp;"P"&amp;$A35)*RTD("tos.rtd",,"DELTA","."&amp;C$2&amp;C$1&amp;"P"&amp;$A35))/1000,(100*RTD("tos.rtd",,"OPEN_INT","."&amp;C$2&amp;C$1&amp;"C"&amp;$A35)*RTD("tos.rtd",,"DELTA","."&amp;C$2&amp;C$1&amp;"C"&amp;$A35)-100*RTD("tos.rtd",,"OPEN_INT","."&amp;C$2&amp;C$1&amp;"P"&amp;$A35)*RTD("tos.rtd",,"DELTA","."&amp;C$2&amp;C$1&amp;"P"&amp;$A35))/1000),0),IF($A$2="VEX",IFERROR(IF($X$1="ABS",($A$4*$A$4*RTD("tos.rtd",,"VOLUME","."&amp;C$2&amp;C$1&amp;"C"&amp;$A35)*RTD("tos.rtd",,"GAMMA","."&amp;C$2&amp;C$1&amp;"C"&amp;$A35)+$A$4*$A$4*RTD("tos.rtd",,"VOLUME","."&amp;C$2&amp;C$1&amp;"P"&amp;$A35)*RTD("tos.rtd",,"GAMMA","."&amp;C$2&amp;C$1&amp;"P"&amp;$A35))/1000000,($A$4*$A$4*RTD("tos.rtd",,"VOLUME","."&amp;C$2&amp;C$1&amp;"C"&amp;$A35)*RTD("tos.rtd",,"GAMMA","."&amp;C$2&amp;C$1&amp;"C"&amp;$A35)-$A$4*$A$4*RTD("tos.rtd",,"VOLUME","."&amp;C$2&amp;C$1&amp;"P"&amp;$A35)*RTD("tos.rtd",,"GAMMA","."&amp;C$2&amp;C$1&amp;"P"&amp;$A35))/1000000),0),IF($A$2="GEX",IFERROR(IF($X$1="ABS",($A$4*$A$4*RTD("tos.rtd",,"OPEN_INT","."&amp;C$2&amp;C$1&amp;"C"&amp;$A35)*RTD("tos.rtd",,"GAMMA","."&amp;C$2&amp;C$1&amp;"C"&amp;$A35)+$A$4*$A$4*RTD("tos.rtd",,"OPEN_INT","."&amp;C$2&amp;C$1&amp;"P"&amp;$A35)*RTD("tos.rtd",,"GAMMA","."&amp;C$2&amp;C$1&amp;"P"&amp;$A35))/1000000,($A$4*$A$4*RTD("tos.rtd",,"OPEN_INT","."&amp;C$2&amp;C$1&amp;"C"&amp;$A35)*RTD("tos.rtd",,"GAMMA","."&amp;C$2&amp;C$1&amp;"C"&amp;$A35)-$A$4*$A$4*RTD("tos.rtd",,"OPEN_INT","."&amp;C$2&amp;C$1&amp;"P"&amp;$A35)*RTD("tos.rtd",,"GAMMA","."&amp;C$2&amp;C$1&amp;"P"&amp;$A35))/1000000),0),IF($A$2="SKEW",IFERROR(VALUE(IF(RTD("tos.rtd",,"IMPL_VOL","."&amp;C$2&amp;C$1&amp;"P"&amp;$A35)="N/A",0,RTD("tos.rtd",,"IMPL_VOL","."&amp;C$2&amp;C$1&amp;"P"&amp;$A35))),0)-IFERROR(VALUE(IF(RTD("tos.rtd",,"IMPL_VOL","."&amp;C$2&amp;C$1&amp;"C"&amp;$A35)="N/A",0,RTD("tos.rtd",,"IMPL_VOL","."&amp;C$2&amp;C$1&amp;"C"&amp;$A35))),0),IF($A$2="MAXPAIN",IF($A$4&gt;$A35,($A$4-$A35)*IF(RTD("tos.rtd",,"OPEN_INT","."&amp;C$2&amp;C$1&amp;"C"&amp;$A35)="N/A",0,RTD("tos.rtd",,"OPEN_INT","."&amp;C$2&amp;C$1&amp;"C"&amp;$A35)),0)+IF($A$4&lt;$A35,($A$5-$A$4)*IF(RTD("tos.rtd",,"OPEN_INT","."&amp;C$2&amp;C$1&amp;"P"&amp;$A35)="N/A",0,RTD("tos.rtd",,"OPEN_INT","."&amp;C$2&amp;C$1&amp;"P"&amp;$A35)),0),IF($X$1="ABS",IF(RTD("tos.rtd",,$A$2,"."&amp;C$2&amp;C$1&amp;"C"&amp;$A35)="N/A",0,RTD("tos.rtd",,$A$2,"."&amp;C$2&amp;C$1&amp;"C"&amp;$A35))+IF(RTD("tos.rtd",,$A$2,"."&amp;C$2&amp;C$1&amp;"P"&amp;$A35)="N/A",0,RTD("tos.rtd",,$A$2,"."&amp;C$2&amp;C$1&amp;"P"&amp;$A35)),IF(RTD("tos.rtd",,$A$2,"."&amp;C$2&amp;C$1&amp;"C"&amp;$A35)="N/A",0,RTD("tos.rtd",,$A$2,"."&amp;C$2&amp;C$1&amp;"C"&amp;$A35))-IF(RTD("tos.rtd",,$A$2,"."&amp;C$2&amp;C$1&amp;"P"&amp;$A35)="N/A",0,RTD("tos.rtd",,$A$2,"."&amp;C$2&amp;C$1&amp;"P"&amp;$A35))))))))))</f>
        <v>0</v>
      </c>
      <c r="D35" s="12">
        <f ca="1">IF($A$2="PREMIUM_OI",IFERROR(IF($X$1="ABS",(100*RTD("tos.rtd",,"OPEN_INT","."&amp;D$2&amp;D$1&amp;"C"&amp;$A35)*RTD("tos.rtd",,"LAST","."&amp;D$2&amp;D$1&amp;"C"&amp;$A35)+100*RTD("tos.rtd",,"OPEN_INT","."&amp;D$2&amp;D$1&amp;"P"&amp;$A35)*RTD("tos.rtd",,"LAST","."&amp;D$2&amp;D$1&amp;"P"&amp;$A35))/1000000,(100*RTD("tos.rtd",,"OPEN_INT","."&amp;D$2&amp;D$1&amp;"C"&amp;$A35)*RTD("tos.rtd",,"LAST","."&amp;D$2&amp;D$1&amp;"C"&amp;$A35)-100*RTD("tos.rtd",,"OPEN_INT","."&amp;D$2&amp;D$1&amp;"P"&amp;$A35)*RTD("tos.rtd",,"LAST","."&amp;D$2&amp;D$1&amp;"P"&amp;$A35))/1000000),0),IF($A$2="PREMIUM",IFERROR(IF($X$1="ABS",(100*RTD("tos.rtd",,"VOLUME","."&amp;D$2&amp;D$1&amp;"C"&amp;$A35)*RTD("tos.rtd",,"LAST","."&amp;D$2&amp;D$1&amp;"C"&amp;$A35)+100*RTD("tos.rtd",,"VOLUME","."&amp;D$2&amp;D$1&amp;"P"&amp;$A35)*RTD("tos.rtd",,"LAST","."&amp;D$2&amp;D$1&amp;"P"&amp;$A35))/1000000,(100*RTD("tos.rtd",,"VOLUME","."&amp;D$2&amp;D$1&amp;"C"&amp;$A35)*RTD("tos.rtd",,"LAST","."&amp;D$2&amp;D$1&amp;"C"&amp;$A35)-100*RTD("tos.rtd",,"VOLUME","."&amp;D$2&amp;D$1&amp;"P"&amp;$A35)*RTD("tos.rtd",,"LAST","."&amp;D$2&amp;D$1&amp;"P"&amp;$A35))/1000000),0),IF($A$2="DEX",IFERROR(IF($X$1="ABS",(100*RTD("tos.rtd",,"OPEN_INT","."&amp;D$2&amp;D$1&amp;"C"&amp;$A35)*RTD("tos.rtd",,"DELTA","."&amp;D$2&amp;D$1&amp;"C"&amp;$A35)+100*RTD("tos.rtd",,"OPEN_INT","."&amp;D$2&amp;D$1&amp;"P"&amp;$A35)*RTD("tos.rtd",,"DELTA","."&amp;D$2&amp;D$1&amp;"P"&amp;$A35))/1000,(100*RTD("tos.rtd",,"OPEN_INT","."&amp;D$2&amp;D$1&amp;"C"&amp;$A35)*RTD("tos.rtd",,"DELTA","."&amp;D$2&amp;D$1&amp;"C"&amp;$A35)-100*RTD("tos.rtd",,"OPEN_INT","."&amp;D$2&amp;D$1&amp;"P"&amp;$A35)*RTD("tos.rtd",,"DELTA","."&amp;D$2&amp;D$1&amp;"P"&amp;$A35))/1000),0),IF($A$2="VEX",IFERROR(IF($X$1="ABS",($A$4*$A$4*RTD("tos.rtd",,"VOLUME","."&amp;D$2&amp;D$1&amp;"C"&amp;$A35)*RTD("tos.rtd",,"GAMMA","."&amp;D$2&amp;D$1&amp;"C"&amp;$A35)+$A$4*$A$4*RTD("tos.rtd",,"VOLUME","."&amp;D$2&amp;D$1&amp;"P"&amp;$A35)*RTD("tos.rtd",,"GAMMA","."&amp;D$2&amp;D$1&amp;"P"&amp;$A35))/1000000,($A$4*$A$4*RTD("tos.rtd",,"VOLUME","."&amp;D$2&amp;D$1&amp;"C"&amp;$A35)*RTD("tos.rtd",,"GAMMA","."&amp;D$2&amp;D$1&amp;"C"&amp;$A35)-$A$4*$A$4*RTD("tos.rtd",,"VOLUME","."&amp;D$2&amp;D$1&amp;"P"&amp;$A35)*RTD("tos.rtd",,"GAMMA","."&amp;D$2&amp;D$1&amp;"P"&amp;$A35))/1000000),0),IF($A$2="GEX",IFERROR(IF($X$1="ABS",($A$4*$A$4*RTD("tos.rtd",,"OPEN_INT","."&amp;D$2&amp;D$1&amp;"C"&amp;$A35)*RTD("tos.rtd",,"GAMMA","."&amp;D$2&amp;D$1&amp;"C"&amp;$A35)+$A$4*$A$4*RTD("tos.rtd",,"OPEN_INT","."&amp;D$2&amp;D$1&amp;"P"&amp;$A35)*RTD("tos.rtd",,"GAMMA","."&amp;D$2&amp;D$1&amp;"P"&amp;$A35))/1000000,($A$4*$A$4*RTD("tos.rtd",,"OPEN_INT","."&amp;D$2&amp;D$1&amp;"C"&amp;$A35)*RTD("tos.rtd",,"GAMMA","."&amp;D$2&amp;D$1&amp;"C"&amp;$A35)-$A$4*$A$4*RTD("tos.rtd",,"OPEN_INT","."&amp;D$2&amp;D$1&amp;"P"&amp;$A35)*RTD("tos.rtd",,"GAMMA","."&amp;D$2&amp;D$1&amp;"P"&amp;$A35))/1000000),0),IF($A$2="SKEW",IFERROR(VALUE(IF(RTD("tos.rtd",,"IMPL_VOL","."&amp;D$2&amp;D$1&amp;"P"&amp;$A35)="N/A",0,RTD("tos.rtd",,"IMPL_VOL","."&amp;D$2&amp;D$1&amp;"P"&amp;$A35))),0)-IFERROR(VALUE(IF(RTD("tos.rtd",,"IMPL_VOL","."&amp;D$2&amp;D$1&amp;"C"&amp;$A35)="N/A",0,RTD("tos.rtd",,"IMPL_VOL","."&amp;D$2&amp;D$1&amp;"C"&amp;$A35))),0),IF($A$2="MAXPAIN",IF($A$4&gt;$A35,($A$4-$A35)*IF(RTD("tos.rtd",,"OPEN_INT","."&amp;D$2&amp;D$1&amp;"C"&amp;$A35)="N/A",0,RTD("tos.rtd",,"OPEN_INT","."&amp;D$2&amp;D$1&amp;"C"&amp;$A35)),0)+IF($A$4&lt;$A35,($A$5-$A$4)*IF(RTD("tos.rtd",,"OPEN_INT","."&amp;D$2&amp;D$1&amp;"P"&amp;$A35)="N/A",0,RTD("tos.rtd",,"OPEN_INT","."&amp;D$2&amp;D$1&amp;"P"&amp;$A35)),0),IF($X$1="ABS",IF(RTD("tos.rtd",,$A$2,"."&amp;D$2&amp;D$1&amp;"C"&amp;$A35)="N/A",0,RTD("tos.rtd",,$A$2,"."&amp;D$2&amp;D$1&amp;"C"&amp;$A35))+IF(RTD("tos.rtd",,$A$2,"."&amp;D$2&amp;D$1&amp;"P"&amp;$A35)="N/A",0,RTD("tos.rtd",,$A$2,"."&amp;D$2&amp;D$1&amp;"P"&amp;$A35)),IF(RTD("tos.rtd",,$A$2,"."&amp;D$2&amp;D$1&amp;"C"&amp;$A35)="N/A",0,RTD("tos.rtd",,$A$2,"."&amp;D$2&amp;D$1&amp;"C"&amp;$A35))-IF(RTD("tos.rtd",,$A$2,"."&amp;D$2&amp;D$1&amp;"P"&amp;$A35)="N/A",0,RTD("tos.rtd",,$A$2,"."&amp;D$2&amp;D$1&amp;"P"&amp;$A35))))))))))</f>
        <v>0</v>
      </c>
      <c r="E35" s="12">
        <f ca="1">IF($A$2="PREMIUM_OI",IFERROR(IF($X$1="ABS",(100*RTD("tos.rtd",,"OPEN_INT","."&amp;E$2&amp;E$1&amp;"C"&amp;$A35)*RTD("tos.rtd",,"LAST","."&amp;E$2&amp;E$1&amp;"C"&amp;$A35)+100*RTD("tos.rtd",,"OPEN_INT","."&amp;E$2&amp;E$1&amp;"P"&amp;$A35)*RTD("tos.rtd",,"LAST","."&amp;E$2&amp;E$1&amp;"P"&amp;$A35))/1000000,(100*RTD("tos.rtd",,"OPEN_INT","."&amp;E$2&amp;E$1&amp;"C"&amp;$A35)*RTD("tos.rtd",,"LAST","."&amp;E$2&amp;E$1&amp;"C"&amp;$A35)-100*RTD("tos.rtd",,"OPEN_INT","."&amp;E$2&amp;E$1&amp;"P"&amp;$A35)*RTD("tos.rtd",,"LAST","."&amp;E$2&amp;E$1&amp;"P"&amp;$A35))/1000000),0),IF($A$2="PREMIUM",IFERROR(IF($X$1="ABS",(100*RTD("tos.rtd",,"VOLUME","."&amp;E$2&amp;E$1&amp;"C"&amp;$A35)*RTD("tos.rtd",,"LAST","."&amp;E$2&amp;E$1&amp;"C"&amp;$A35)+100*RTD("tos.rtd",,"VOLUME","."&amp;E$2&amp;E$1&amp;"P"&amp;$A35)*RTD("tos.rtd",,"LAST","."&amp;E$2&amp;E$1&amp;"P"&amp;$A35))/1000000,(100*RTD("tos.rtd",,"VOLUME","."&amp;E$2&amp;E$1&amp;"C"&amp;$A35)*RTD("tos.rtd",,"LAST","."&amp;E$2&amp;E$1&amp;"C"&amp;$A35)-100*RTD("tos.rtd",,"VOLUME","."&amp;E$2&amp;E$1&amp;"P"&amp;$A35)*RTD("tos.rtd",,"LAST","."&amp;E$2&amp;E$1&amp;"P"&amp;$A35))/1000000),0),IF($A$2="DEX",IFERROR(IF($X$1="ABS",(100*RTD("tos.rtd",,"OPEN_INT","."&amp;E$2&amp;E$1&amp;"C"&amp;$A35)*RTD("tos.rtd",,"DELTA","."&amp;E$2&amp;E$1&amp;"C"&amp;$A35)+100*RTD("tos.rtd",,"OPEN_INT","."&amp;E$2&amp;E$1&amp;"P"&amp;$A35)*RTD("tos.rtd",,"DELTA","."&amp;E$2&amp;E$1&amp;"P"&amp;$A35))/1000,(100*RTD("tos.rtd",,"OPEN_INT","."&amp;E$2&amp;E$1&amp;"C"&amp;$A35)*RTD("tos.rtd",,"DELTA","."&amp;E$2&amp;E$1&amp;"C"&amp;$A35)-100*RTD("tos.rtd",,"OPEN_INT","."&amp;E$2&amp;E$1&amp;"P"&amp;$A35)*RTD("tos.rtd",,"DELTA","."&amp;E$2&amp;E$1&amp;"P"&amp;$A35))/1000),0),IF($A$2="VEX",IFERROR(IF($X$1="ABS",($A$4*$A$4*RTD("tos.rtd",,"VOLUME","."&amp;E$2&amp;E$1&amp;"C"&amp;$A35)*RTD("tos.rtd",,"GAMMA","."&amp;E$2&amp;E$1&amp;"C"&amp;$A35)+$A$4*$A$4*RTD("tos.rtd",,"VOLUME","."&amp;E$2&amp;E$1&amp;"P"&amp;$A35)*RTD("tos.rtd",,"GAMMA","."&amp;E$2&amp;E$1&amp;"P"&amp;$A35))/1000000,($A$4*$A$4*RTD("tos.rtd",,"VOLUME","."&amp;E$2&amp;E$1&amp;"C"&amp;$A35)*RTD("tos.rtd",,"GAMMA","."&amp;E$2&amp;E$1&amp;"C"&amp;$A35)-$A$4*$A$4*RTD("tos.rtd",,"VOLUME","."&amp;E$2&amp;E$1&amp;"P"&amp;$A35)*RTD("tos.rtd",,"GAMMA","."&amp;E$2&amp;E$1&amp;"P"&amp;$A35))/1000000),0),IF($A$2="GEX",IFERROR(IF($X$1="ABS",($A$4*$A$4*RTD("tos.rtd",,"OPEN_INT","."&amp;E$2&amp;E$1&amp;"C"&amp;$A35)*RTD("tos.rtd",,"GAMMA","."&amp;E$2&amp;E$1&amp;"C"&amp;$A35)+$A$4*$A$4*RTD("tos.rtd",,"OPEN_INT","."&amp;E$2&amp;E$1&amp;"P"&amp;$A35)*RTD("tos.rtd",,"GAMMA","."&amp;E$2&amp;E$1&amp;"P"&amp;$A35))/1000000,($A$4*$A$4*RTD("tos.rtd",,"OPEN_INT","."&amp;E$2&amp;E$1&amp;"C"&amp;$A35)*RTD("tos.rtd",,"GAMMA","."&amp;E$2&amp;E$1&amp;"C"&amp;$A35)-$A$4*$A$4*RTD("tos.rtd",,"OPEN_INT","."&amp;E$2&amp;E$1&amp;"P"&amp;$A35)*RTD("tos.rtd",,"GAMMA","."&amp;E$2&amp;E$1&amp;"P"&amp;$A35))/1000000),0),IF($A$2="SKEW",IFERROR(VALUE(IF(RTD("tos.rtd",,"IMPL_VOL","."&amp;E$2&amp;E$1&amp;"P"&amp;$A35)="N/A",0,RTD("tos.rtd",,"IMPL_VOL","."&amp;E$2&amp;E$1&amp;"P"&amp;$A35))),0)-IFERROR(VALUE(IF(RTD("tos.rtd",,"IMPL_VOL","."&amp;E$2&amp;E$1&amp;"C"&amp;$A35)="N/A",0,RTD("tos.rtd",,"IMPL_VOL","."&amp;E$2&amp;E$1&amp;"C"&amp;$A35))),0),IF($A$2="MAXPAIN",IF($A$4&gt;$A35,($A$4-$A35)*IF(RTD("tos.rtd",,"OPEN_INT","."&amp;E$2&amp;E$1&amp;"C"&amp;$A35)="N/A",0,RTD("tos.rtd",,"OPEN_INT","."&amp;E$2&amp;E$1&amp;"C"&amp;$A35)),0)+IF($A$4&lt;$A35,($A$5-$A$4)*IF(RTD("tos.rtd",,"OPEN_INT","."&amp;E$2&amp;E$1&amp;"P"&amp;$A35)="N/A",0,RTD("tos.rtd",,"OPEN_INT","."&amp;E$2&amp;E$1&amp;"P"&amp;$A35)),0),IF($X$1="ABS",IF(RTD("tos.rtd",,$A$2,"."&amp;E$2&amp;E$1&amp;"C"&amp;$A35)="N/A",0,RTD("tos.rtd",,$A$2,"."&amp;E$2&amp;E$1&amp;"C"&amp;$A35))+IF(RTD("tos.rtd",,$A$2,"."&amp;E$2&amp;E$1&amp;"P"&amp;$A35)="N/A",0,RTD("tos.rtd",,$A$2,"."&amp;E$2&amp;E$1&amp;"P"&amp;$A35)),IF(RTD("tos.rtd",,$A$2,"."&amp;E$2&amp;E$1&amp;"C"&amp;$A35)="N/A",0,RTD("tos.rtd",,$A$2,"."&amp;E$2&amp;E$1&amp;"C"&amp;$A35))-IF(RTD("tos.rtd",,$A$2,"."&amp;E$2&amp;E$1&amp;"P"&amp;$A35)="N/A",0,RTD("tos.rtd",,$A$2,"."&amp;E$2&amp;E$1&amp;"P"&amp;$A35))))))))))</f>
        <v>0</v>
      </c>
      <c r="F35" s="12">
        <f ca="1">IF($A$2="PREMIUM_OI",IFERROR(IF($X$1="ABS",(100*RTD("tos.rtd",,"OPEN_INT","."&amp;F$2&amp;F$1&amp;"C"&amp;$A35)*RTD("tos.rtd",,"LAST","."&amp;F$2&amp;F$1&amp;"C"&amp;$A35)+100*RTD("tos.rtd",,"OPEN_INT","."&amp;F$2&amp;F$1&amp;"P"&amp;$A35)*RTD("tos.rtd",,"LAST","."&amp;F$2&amp;F$1&amp;"P"&amp;$A35))/1000000,(100*RTD("tos.rtd",,"OPEN_INT","."&amp;F$2&amp;F$1&amp;"C"&amp;$A35)*RTD("tos.rtd",,"LAST","."&amp;F$2&amp;F$1&amp;"C"&amp;$A35)-100*RTD("tos.rtd",,"OPEN_INT","."&amp;F$2&amp;F$1&amp;"P"&amp;$A35)*RTD("tos.rtd",,"LAST","."&amp;F$2&amp;F$1&amp;"P"&amp;$A35))/1000000),0),IF($A$2="PREMIUM",IFERROR(IF($X$1="ABS",(100*RTD("tos.rtd",,"VOLUME","."&amp;F$2&amp;F$1&amp;"C"&amp;$A35)*RTD("tos.rtd",,"LAST","."&amp;F$2&amp;F$1&amp;"C"&amp;$A35)+100*RTD("tos.rtd",,"VOLUME","."&amp;F$2&amp;F$1&amp;"P"&amp;$A35)*RTD("tos.rtd",,"LAST","."&amp;F$2&amp;F$1&amp;"P"&amp;$A35))/1000000,(100*RTD("tos.rtd",,"VOLUME","."&amp;F$2&amp;F$1&amp;"C"&amp;$A35)*RTD("tos.rtd",,"LAST","."&amp;F$2&amp;F$1&amp;"C"&amp;$A35)-100*RTD("tos.rtd",,"VOLUME","."&amp;F$2&amp;F$1&amp;"P"&amp;$A35)*RTD("tos.rtd",,"LAST","."&amp;F$2&amp;F$1&amp;"P"&amp;$A35))/1000000),0),IF($A$2="DEX",IFERROR(IF($X$1="ABS",(100*RTD("tos.rtd",,"OPEN_INT","."&amp;F$2&amp;F$1&amp;"C"&amp;$A35)*RTD("tos.rtd",,"DELTA","."&amp;F$2&amp;F$1&amp;"C"&amp;$A35)+100*RTD("tos.rtd",,"OPEN_INT","."&amp;F$2&amp;F$1&amp;"P"&amp;$A35)*RTD("tos.rtd",,"DELTA","."&amp;F$2&amp;F$1&amp;"P"&amp;$A35))/1000,(100*RTD("tos.rtd",,"OPEN_INT","."&amp;F$2&amp;F$1&amp;"C"&amp;$A35)*RTD("tos.rtd",,"DELTA","."&amp;F$2&amp;F$1&amp;"C"&amp;$A35)-100*RTD("tos.rtd",,"OPEN_INT","."&amp;F$2&amp;F$1&amp;"P"&amp;$A35)*RTD("tos.rtd",,"DELTA","."&amp;F$2&amp;F$1&amp;"P"&amp;$A35))/1000),0),IF($A$2="VEX",IFERROR(IF($X$1="ABS",($A$4*$A$4*RTD("tos.rtd",,"VOLUME","."&amp;F$2&amp;F$1&amp;"C"&amp;$A35)*RTD("tos.rtd",,"GAMMA","."&amp;F$2&amp;F$1&amp;"C"&amp;$A35)+$A$4*$A$4*RTD("tos.rtd",,"VOLUME","."&amp;F$2&amp;F$1&amp;"P"&amp;$A35)*RTD("tos.rtd",,"GAMMA","."&amp;F$2&amp;F$1&amp;"P"&amp;$A35))/1000000,($A$4*$A$4*RTD("tos.rtd",,"VOLUME","."&amp;F$2&amp;F$1&amp;"C"&amp;$A35)*RTD("tos.rtd",,"GAMMA","."&amp;F$2&amp;F$1&amp;"C"&amp;$A35)-$A$4*$A$4*RTD("tos.rtd",,"VOLUME","."&amp;F$2&amp;F$1&amp;"P"&amp;$A35)*RTD("tos.rtd",,"GAMMA","."&amp;F$2&amp;F$1&amp;"P"&amp;$A35))/1000000),0),IF($A$2="GEX",IFERROR(IF($X$1="ABS",($A$4*$A$4*RTD("tos.rtd",,"OPEN_INT","."&amp;F$2&amp;F$1&amp;"C"&amp;$A35)*RTD("tos.rtd",,"GAMMA","."&amp;F$2&amp;F$1&amp;"C"&amp;$A35)+$A$4*$A$4*RTD("tos.rtd",,"OPEN_INT","."&amp;F$2&amp;F$1&amp;"P"&amp;$A35)*RTD("tos.rtd",,"GAMMA","."&amp;F$2&amp;F$1&amp;"P"&amp;$A35))/1000000,($A$4*$A$4*RTD("tos.rtd",,"OPEN_INT","."&amp;F$2&amp;F$1&amp;"C"&amp;$A35)*RTD("tos.rtd",,"GAMMA","."&amp;F$2&amp;F$1&amp;"C"&amp;$A35)-$A$4*$A$4*RTD("tos.rtd",,"OPEN_INT","."&amp;F$2&amp;F$1&amp;"P"&amp;$A35)*RTD("tos.rtd",,"GAMMA","."&amp;F$2&amp;F$1&amp;"P"&amp;$A35))/1000000),0),IF($A$2="SKEW",IFERROR(VALUE(IF(RTD("tos.rtd",,"IMPL_VOL","."&amp;F$2&amp;F$1&amp;"P"&amp;$A35)="N/A",0,RTD("tos.rtd",,"IMPL_VOL","."&amp;F$2&amp;F$1&amp;"P"&amp;$A35))),0)-IFERROR(VALUE(IF(RTD("tos.rtd",,"IMPL_VOL","."&amp;F$2&amp;F$1&amp;"C"&amp;$A35)="N/A",0,RTD("tos.rtd",,"IMPL_VOL","."&amp;F$2&amp;F$1&amp;"C"&amp;$A35))),0),IF($A$2="MAXPAIN",IF($A$4&gt;$A35,($A$4-$A35)*IF(RTD("tos.rtd",,"OPEN_INT","."&amp;F$2&amp;F$1&amp;"C"&amp;$A35)="N/A",0,RTD("tos.rtd",,"OPEN_INT","."&amp;F$2&amp;F$1&amp;"C"&amp;$A35)),0)+IF($A$4&lt;$A35,($A$5-$A$4)*IF(RTD("tos.rtd",,"OPEN_INT","."&amp;F$2&amp;F$1&amp;"P"&amp;$A35)="N/A",0,RTD("tos.rtd",,"OPEN_INT","."&amp;F$2&amp;F$1&amp;"P"&amp;$A35)),0),IF($X$1="ABS",IF(RTD("tos.rtd",,$A$2,"."&amp;F$2&amp;F$1&amp;"C"&amp;$A35)="N/A",0,RTD("tos.rtd",,$A$2,"."&amp;F$2&amp;F$1&amp;"C"&amp;$A35))+IF(RTD("tos.rtd",,$A$2,"."&amp;F$2&amp;F$1&amp;"P"&amp;$A35)="N/A",0,RTD("tos.rtd",,$A$2,"."&amp;F$2&amp;F$1&amp;"P"&amp;$A35)),IF(RTD("tos.rtd",,$A$2,"."&amp;F$2&amp;F$1&amp;"C"&amp;$A35)="N/A",0,RTD("tos.rtd",,$A$2,"."&amp;F$2&amp;F$1&amp;"C"&amp;$A35))-IF(RTD("tos.rtd",,$A$2,"."&amp;F$2&amp;F$1&amp;"P"&amp;$A35)="N/A",0,RTD("tos.rtd",,$A$2,"."&amp;F$2&amp;F$1&amp;"P"&amp;$A35))))))))))</f>
        <v>0</v>
      </c>
      <c r="G35" s="54">
        <f ca="1">IF($A$2="PREMIUM_OI",IFERROR(IF($X$1="ABS",(100*RTD("tos.rtd",,"OPEN_INT","."&amp;G$2&amp;G$1&amp;"C"&amp;$A35)*RTD("tos.rtd",,"LAST","."&amp;G$2&amp;G$1&amp;"C"&amp;$A35)+100*RTD("tos.rtd",,"OPEN_INT","."&amp;G$2&amp;G$1&amp;"P"&amp;$A35)*RTD("tos.rtd",,"LAST","."&amp;G$2&amp;G$1&amp;"P"&amp;$A35))/1000000,(100*RTD("tos.rtd",,"OPEN_INT","."&amp;G$2&amp;G$1&amp;"C"&amp;$A35)*RTD("tos.rtd",,"LAST","."&amp;G$2&amp;G$1&amp;"C"&amp;$A35)-100*RTD("tos.rtd",,"OPEN_INT","."&amp;G$2&amp;G$1&amp;"P"&amp;$A35)*RTD("tos.rtd",,"LAST","."&amp;G$2&amp;G$1&amp;"P"&amp;$A35))/1000000),0),IF($A$2="PREMIUM",IFERROR(IF($X$1="ABS",(100*RTD("tos.rtd",,"VOLUME","."&amp;G$2&amp;G$1&amp;"C"&amp;$A35)*RTD("tos.rtd",,"LAST","."&amp;G$2&amp;G$1&amp;"C"&amp;$A35)+100*RTD("tos.rtd",,"VOLUME","."&amp;G$2&amp;G$1&amp;"P"&amp;$A35)*RTD("tos.rtd",,"LAST","."&amp;G$2&amp;G$1&amp;"P"&amp;$A35))/1000000,(100*RTD("tos.rtd",,"VOLUME","."&amp;G$2&amp;G$1&amp;"C"&amp;$A35)*RTD("tos.rtd",,"LAST","."&amp;G$2&amp;G$1&amp;"C"&amp;$A35)-100*RTD("tos.rtd",,"VOLUME","."&amp;G$2&amp;G$1&amp;"P"&amp;$A35)*RTD("tos.rtd",,"LAST","."&amp;G$2&amp;G$1&amp;"P"&amp;$A35))/1000000),0),IF($A$2="DEX",IFERROR(IF($X$1="ABS",(100*RTD("tos.rtd",,"OPEN_INT","."&amp;G$2&amp;G$1&amp;"C"&amp;$A35)*RTD("tos.rtd",,"DELTA","."&amp;G$2&amp;G$1&amp;"C"&amp;$A35)+100*RTD("tos.rtd",,"OPEN_INT","."&amp;G$2&amp;G$1&amp;"P"&amp;$A35)*RTD("tos.rtd",,"DELTA","."&amp;G$2&amp;G$1&amp;"P"&amp;$A35))/1000,(100*RTD("tos.rtd",,"OPEN_INT","."&amp;G$2&amp;G$1&amp;"C"&amp;$A35)*RTD("tos.rtd",,"DELTA","."&amp;G$2&amp;G$1&amp;"C"&amp;$A35)-100*RTD("tos.rtd",,"OPEN_INT","."&amp;G$2&amp;G$1&amp;"P"&amp;$A35)*RTD("tos.rtd",,"DELTA","."&amp;G$2&amp;G$1&amp;"P"&amp;$A35))/1000),0),IF($A$2="VEX",IFERROR(IF($X$1="ABS",($A$4*$A$4*RTD("tos.rtd",,"VOLUME","."&amp;G$2&amp;G$1&amp;"C"&amp;$A35)*RTD("tos.rtd",,"GAMMA","."&amp;G$2&amp;G$1&amp;"C"&amp;$A35)+$A$4*$A$4*RTD("tos.rtd",,"VOLUME","."&amp;G$2&amp;G$1&amp;"P"&amp;$A35)*RTD("tos.rtd",,"GAMMA","."&amp;G$2&amp;G$1&amp;"P"&amp;$A35))/1000000,($A$4*$A$4*RTD("tos.rtd",,"VOLUME","."&amp;G$2&amp;G$1&amp;"C"&amp;$A35)*RTD("tos.rtd",,"GAMMA","."&amp;G$2&amp;G$1&amp;"C"&amp;$A35)-$A$4*$A$4*RTD("tos.rtd",,"VOLUME","."&amp;G$2&amp;G$1&amp;"P"&amp;$A35)*RTD("tos.rtd",,"GAMMA","."&amp;G$2&amp;G$1&amp;"P"&amp;$A35))/1000000),0),IF($A$2="GEX",IFERROR(IF($X$1="ABS",($A$4*$A$4*RTD("tos.rtd",,"OPEN_INT","."&amp;G$2&amp;G$1&amp;"C"&amp;$A35)*RTD("tos.rtd",,"GAMMA","."&amp;G$2&amp;G$1&amp;"C"&amp;$A35)+$A$4*$A$4*RTD("tos.rtd",,"OPEN_INT","."&amp;G$2&amp;G$1&amp;"P"&amp;$A35)*RTD("tos.rtd",,"GAMMA","."&amp;G$2&amp;G$1&amp;"P"&amp;$A35))/1000000,($A$4*$A$4*RTD("tos.rtd",,"OPEN_INT","."&amp;G$2&amp;G$1&amp;"C"&amp;$A35)*RTD("tos.rtd",,"GAMMA","."&amp;G$2&amp;G$1&amp;"C"&amp;$A35)-$A$4*$A$4*RTD("tos.rtd",,"OPEN_INT","."&amp;G$2&amp;G$1&amp;"P"&amp;$A35)*RTD("tos.rtd",,"GAMMA","."&amp;G$2&amp;G$1&amp;"P"&amp;$A35))/1000000),0),IF($A$2="SKEW",IFERROR(VALUE(IF(RTD("tos.rtd",,"IMPL_VOL","."&amp;G$2&amp;G$1&amp;"P"&amp;$A35)="N/A",0,RTD("tos.rtd",,"IMPL_VOL","."&amp;G$2&amp;G$1&amp;"P"&amp;$A35))),0)-IFERROR(VALUE(IF(RTD("tos.rtd",,"IMPL_VOL","."&amp;G$2&amp;G$1&amp;"C"&amp;$A35)="N/A",0,RTD("tos.rtd",,"IMPL_VOL","."&amp;G$2&amp;G$1&amp;"C"&amp;$A35))),0),IF($A$2="MAXPAIN",IF($A$4&gt;$A35,($A$4-$A35)*IF(RTD("tos.rtd",,"OPEN_INT","."&amp;G$2&amp;G$1&amp;"C"&amp;$A35)="N/A",0,RTD("tos.rtd",,"OPEN_INT","."&amp;G$2&amp;G$1&amp;"C"&amp;$A35)),0)+IF($A$4&lt;$A35,($A$5-$A$4)*IF(RTD("tos.rtd",,"OPEN_INT","."&amp;G$2&amp;G$1&amp;"P"&amp;$A35)="N/A",0,RTD("tos.rtd",,"OPEN_INT","."&amp;G$2&amp;G$1&amp;"P"&amp;$A35)),0),IF($X$1="ABS",IF(RTD("tos.rtd",,$A$2,"."&amp;G$2&amp;G$1&amp;"C"&amp;$A35)="N/A",0,RTD("tos.rtd",,$A$2,"."&amp;G$2&amp;G$1&amp;"C"&amp;$A35))+IF(RTD("tos.rtd",,$A$2,"."&amp;G$2&amp;G$1&amp;"P"&amp;$A35)="N/A",0,RTD("tos.rtd",,$A$2,"."&amp;G$2&amp;G$1&amp;"P"&amp;$A35)),IF(RTD("tos.rtd",,$A$2,"."&amp;G$2&amp;G$1&amp;"C"&amp;$A35)="N/A",0,RTD("tos.rtd",,$A$2,"."&amp;G$2&amp;G$1&amp;"C"&amp;$A35))-IF(RTD("tos.rtd",,$A$2,"."&amp;G$2&amp;G$1&amp;"P"&amp;$A35)="N/A",0,RTD("tos.rtd",,$A$2,"."&amp;G$2&amp;G$1&amp;"P"&amp;$A35))))))))))</f>
        <v>0</v>
      </c>
      <c r="H35" s="14">
        <f ca="1">IF($A$2="PREMIUM_OI",IFERROR(IF($X$1="ABS",(100*RTD("tos.rtd",,"OPEN_INT","."&amp;H$2&amp;H$1&amp;"C"&amp;$A35)*RTD("tos.rtd",,"LAST","."&amp;H$2&amp;H$1&amp;"C"&amp;$A35)+100*RTD("tos.rtd",,"OPEN_INT","."&amp;H$2&amp;H$1&amp;"P"&amp;$A35)*RTD("tos.rtd",,"LAST","."&amp;H$2&amp;H$1&amp;"P"&amp;$A35))/1000000,(100*RTD("tos.rtd",,"OPEN_INT","."&amp;H$2&amp;H$1&amp;"C"&amp;$A35)*RTD("tos.rtd",,"LAST","."&amp;H$2&amp;H$1&amp;"C"&amp;$A35)-100*RTD("tos.rtd",,"OPEN_INT","."&amp;H$2&amp;H$1&amp;"P"&amp;$A35)*RTD("tos.rtd",,"LAST","."&amp;H$2&amp;H$1&amp;"P"&amp;$A35))/1000000),0),IF($A$2="PREMIUM",IFERROR(IF($X$1="ABS",(100*RTD("tos.rtd",,"VOLUME","."&amp;H$2&amp;H$1&amp;"C"&amp;$A35)*RTD("tos.rtd",,"LAST","."&amp;H$2&amp;H$1&amp;"C"&amp;$A35)+100*RTD("tos.rtd",,"VOLUME","."&amp;H$2&amp;H$1&amp;"P"&amp;$A35)*RTD("tos.rtd",,"LAST","."&amp;H$2&amp;H$1&amp;"P"&amp;$A35))/1000000,(100*RTD("tos.rtd",,"VOLUME","."&amp;H$2&amp;H$1&amp;"C"&amp;$A35)*RTD("tos.rtd",,"LAST","."&amp;H$2&amp;H$1&amp;"C"&amp;$A35)-100*RTD("tos.rtd",,"VOLUME","."&amp;H$2&amp;H$1&amp;"P"&amp;$A35)*RTD("tos.rtd",,"LAST","."&amp;H$2&amp;H$1&amp;"P"&amp;$A35))/1000000),0),IF($A$2="DEX",IFERROR(IF($X$1="ABS",(100*RTD("tos.rtd",,"OPEN_INT","."&amp;H$2&amp;H$1&amp;"C"&amp;$A35)*RTD("tos.rtd",,"DELTA","."&amp;H$2&amp;H$1&amp;"C"&amp;$A35)+100*RTD("tos.rtd",,"OPEN_INT","."&amp;H$2&amp;H$1&amp;"P"&amp;$A35)*RTD("tos.rtd",,"DELTA","."&amp;H$2&amp;H$1&amp;"P"&amp;$A35))/1000,(100*RTD("tos.rtd",,"OPEN_INT","."&amp;H$2&amp;H$1&amp;"C"&amp;$A35)*RTD("tos.rtd",,"DELTA","."&amp;H$2&amp;H$1&amp;"C"&amp;$A35)-100*RTD("tos.rtd",,"OPEN_INT","."&amp;H$2&amp;H$1&amp;"P"&amp;$A35)*RTD("tos.rtd",,"DELTA","."&amp;H$2&amp;H$1&amp;"P"&amp;$A35))/1000),0),IF($A$2="VEX",IFERROR(IF($X$1="ABS",($A$4*$A$4*RTD("tos.rtd",,"VOLUME","."&amp;H$2&amp;H$1&amp;"C"&amp;$A35)*RTD("tos.rtd",,"GAMMA","."&amp;H$2&amp;H$1&amp;"C"&amp;$A35)+$A$4*$A$4*RTD("tos.rtd",,"VOLUME","."&amp;H$2&amp;H$1&amp;"P"&amp;$A35)*RTD("tos.rtd",,"GAMMA","."&amp;H$2&amp;H$1&amp;"P"&amp;$A35))/1000000,($A$4*$A$4*RTD("tos.rtd",,"VOLUME","."&amp;H$2&amp;H$1&amp;"C"&amp;$A35)*RTD("tos.rtd",,"GAMMA","."&amp;H$2&amp;H$1&amp;"C"&amp;$A35)-$A$4*$A$4*RTD("tos.rtd",,"VOLUME","."&amp;H$2&amp;H$1&amp;"P"&amp;$A35)*RTD("tos.rtd",,"GAMMA","."&amp;H$2&amp;H$1&amp;"P"&amp;$A35))/1000000),0),IF($A$2="GEX",IFERROR(IF($X$1="ABS",($A$4*$A$4*RTD("tos.rtd",,"OPEN_INT","."&amp;H$2&amp;H$1&amp;"C"&amp;$A35)*RTD("tos.rtd",,"GAMMA","."&amp;H$2&amp;H$1&amp;"C"&amp;$A35)+$A$4*$A$4*RTD("tos.rtd",,"OPEN_INT","."&amp;H$2&amp;H$1&amp;"P"&amp;$A35)*RTD("tos.rtd",,"GAMMA","."&amp;H$2&amp;H$1&amp;"P"&amp;$A35))/1000000,($A$4*$A$4*RTD("tos.rtd",,"OPEN_INT","."&amp;H$2&amp;H$1&amp;"C"&amp;$A35)*RTD("tos.rtd",,"GAMMA","."&amp;H$2&amp;H$1&amp;"C"&amp;$A35)-$A$4*$A$4*RTD("tos.rtd",,"OPEN_INT","."&amp;H$2&amp;H$1&amp;"P"&amp;$A35)*RTD("tos.rtd",,"GAMMA","."&amp;H$2&amp;H$1&amp;"P"&amp;$A35))/1000000),0),IF($A$2="SKEW",IFERROR(VALUE(IF(RTD("tos.rtd",,"IMPL_VOL","."&amp;H$2&amp;H$1&amp;"P"&amp;$A35)="N/A",0,RTD("tos.rtd",,"IMPL_VOL","."&amp;H$2&amp;H$1&amp;"P"&amp;$A35))),0)-IFERROR(VALUE(IF(RTD("tos.rtd",,"IMPL_VOL","."&amp;H$2&amp;H$1&amp;"C"&amp;$A35)="N/A",0,RTD("tos.rtd",,"IMPL_VOL","."&amp;H$2&amp;H$1&amp;"C"&amp;$A35))),0),IF($A$2="MAXPAIN",IF($A$4&gt;$A35,($A$4-$A35)*IF(RTD("tos.rtd",,"OPEN_INT","."&amp;H$2&amp;H$1&amp;"C"&amp;$A35)="N/A",0,RTD("tos.rtd",,"OPEN_INT","."&amp;H$2&amp;H$1&amp;"C"&amp;$A35)),0)+IF($A$4&lt;$A35,($A$5-$A$4)*IF(RTD("tos.rtd",,"OPEN_INT","."&amp;H$2&amp;H$1&amp;"P"&amp;$A35)="N/A",0,RTD("tos.rtd",,"OPEN_INT","."&amp;H$2&amp;H$1&amp;"P"&amp;$A35)),0),IF($X$1="ABS",IF(RTD("tos.rtd",,$A$2,"."&amp;H$2&amp;H$1&amp;"C"&amp;$A35)="N/A",0,RTD("tos.rtd",,$A$2,"."&amp;H$2&amp;H$1&amp;"C"&amp;$A35))+IF(RTD("tos.rtd",,$A$2,"."&amp;H$2&amp;H$1&amp;"P"&amp;$A35)="N/A",0,RTD("tos.rtd",,$A$2,"."&amp;H$2&amp;H$1&amp;"P"&amp;$A35)),IF(RTD("tos.rtd",,$A$2,"."&amp;H$2&amp;H$1&amp;"C"&amp;$A35)="N/A",0,RTD("tos.rtd",,$A$2,"."&amp;H$2&amp;H$1&amp;"C"&amp;$A35))-IF(RTD("tos.rtd",,$A$2,"."&amp;H$2&amp;H$1&amp;"P"&amp;$A35)="N/A",0,RTD("tos.rtd",,$A$2,"."&amp;H$2&amp;H$1&amp;"P"&amp;$A35))))))))))</f>
        <v>0</v>
      </c>
      <c r="I35" s="12">
        <f ca="1">IF($A$2="PREMIUM_OI",IFERROR(IF($X$1="ABS",(100*RTD("tos.rtd",,"OPEN_INT","."&amp;I$2&amp;I$1&amp;"C"&amp;$A35)*RTD("tos.rtd",,"LAST","."&amp;I$2&amp;I$1&amp;"C"&amp;$A35)+100*RTD("tos.rtd",,"OPEN_INT","."&amp;I$2&amp;I$1&amp;"P"&amp;$A35)*RTD("tos.rtd",,"LAST","."&amp;I$2&amp;I$1&amp;"P"&amp;$A35))/1000000,(100*RTD("tos.rtd",,"OPEN_INT","."&amp;I$2&amp;I$1&amp;"C"&amp;$A35)*RTD("tos.rtd",,"LAST","."&amp;I$2&amp;I$1&amp;"C"&amp;$A35)-100*RTD("tos.rtd",,"OPEN_INT","."&amp;I$2&amp;I$1&amp;"P"&amp;$A35)*RTD("tos.rtd",,"LAST","."&amp;I$2&amp;I$1&amp;"P"&amp;$A35))/1000000),0),IF($A$2="PREMIUM",IFERROR(IF($X$1="ABS",(100*RTD("tos.rtd",,"VOLUME","."&amp;I$2&amp;I$1&amp;"C"&amp;$A35)*RTD("tos.rtd",,"LAST","."&amp;I$2&amp;I$1&amp;"C"&amp;$A35)+100*RTD("tos.rtd",,"VOLUME","."&amp;I$2&amp;I$1&amp;"P"&amp;$A35)*RTD("tos.rtd",,"LAST","."&amp;I$2&amp;I$1&amp;"P"&amp;$A35))/1000000,(100*RTD("tos.rtd",,"VOLUME","."&amp;I$2&amp;I$1&amp;"C"&amp;$A35)*RTD("tos.rtd",,"LAST","."&amp;I$2&amp;I$1&amp;"C"&amp;$A35)-100*RTD("tos.rtd",,"VOLUME","."&amp;I$2&amp;I$1&amp;"P"&amp;$A35)*RTD("tos.rtd",,"LAST","."&amp;I$2&amp;I$1&amp;"P"&amp;$A35))/1000000),0),IF($A$2="DEX",IFERROR(IF($X$1="ABS",(100*RTD("tos.rtd",,"OPEN_INT","."&amp;I$2&amp;I$1&amp;"C"&amp;$A35)*RTD("tos.rtd",,"DELTA","."&amp;I$2&amp;I$1&amp;"C"&amp;$A35)+100*RTD("tos.rtd",,"OPEN_INT","."&amp;I$2&amp;I$1&amp;"P"&amp;$A35)*RTD("tos.rtd",,"DELTA","."&amp;I$2&amp;I$1&amp;"P"&amp;$A35))/1000,(100*RTD("tos.rtd",,"OPEN_INT","."&amp;I$2&amp;I$1&amp;"C"&amp;$A35)*RTD("tos.rtd",,"DELTA","."&amp;I$2&amp;I$1&amp;"C"&amp;$A35)-100*RTD("tos.rtd",,"OPEN_INT","."&amp;I$2&amp;I$1&amp;"P"&amp;$A35)*RTD("tos.rtd",,"DELTA","."&amp;I$2&amp;I$1&amp;"P"&amp;$A35))/1000),0),IF($A$2="VEX",IFERROR(IF($X$1="ABS",($A$4*$A$4*RTD("tos.rtd",,"VOLUME","."&amp;I$2&amp;I$1&amp;"C"&amp;$A35)*RTD("tos.rtd",,"GAMMA","."&amp;I$2&amp;I$1&amp;"C"&amp;$A35)+$A$4*$A$4*RTD("tos.rtd",,"VOLUME","."&amp;I$2&amp;I$1&amp;"P"&amp;$A35)*RTD("tos.rtd",,"GAMMA","."&amp;I$2&amp;I$1&amp;"P"&amp;$A35))/1000000,($A$4*$A$4*RTD("tos.rtd",,"VOLUME","."&amp;I$2&amp;I$1&amp;"C"&amp;$A35)*RTD("tos.rtd",,"GAMMA","."&amp;I$2&amp;I$1&amp;"C"&amp;$A35)-$A$4*$A$4*RTD("tos.rtd",,"VOLUME","."&amp;I$2&amp;I$1&amp;"P"&amp;$A35)*RTD("tos.rtd",,"GAMMA","."&amp;I$2&amp;I$1&amp;"P"&amp;$A35))/1000000),0),IF($A$2="GEX",IFERROR(IF($X$1="ABS",($A$4*$A$4*RTD("tos.rtd",,"OPEN_INT","."&amp;I$2&amp;I$1&amp;"C"&amp;$A35)*RTD("tos.rtd",,"GAMMA","."&amp;I$2&amp;I$1&amp;"C"&amp;$A35)+$A$4*$A$4*RTD("tos.rtd",,"OPEN_INT","."&amp;I$2&amp;I$1&amp;"P"&amp;$A35)*RTD("tos.rtd",,"GAMMA","."&amp;I$2&amp;I$1&amp;"P"&amp;$A35))/1000000,($A$4*$A$4*RTD("tos.rtd",,"OPEN_INT","."&amp;I$2&amp;I$1&amp;"C"&amp;$A35)*RTD("tos.rtd",,"GAMMA","."&amp;I$2&amp;I$1&amp;"C"&amp;$A35)-$A$4*$A$4*RTD("tos.rtd",,"OPEN_INT","."&amp;I$2&amp;I$1&amp;"P"&amp;$A35)*RTD("tos.rtd",,"GAMMA","."&amp;I$2&amp;I$1&amp;"P"&amp;$A35))/1000000),0),IF($A$2="SKEW",IFERROR(VALUE(IF(RTD("tos.rtd",,"IMPL_VOL","."&amp;I$2&amp;I$1&amp;"P"&amp;$A35)="N/A",0,RTD("tos.rtd",,"IMPL_VOL","."&amp;I$2&amp;I$1&amp;"P"&amp;$A35))),0)-IFERROR(VALUE(IF(RTD("tos.rtd",,"IMPL_VOL","."&amp;I$2&amp;I$1&amp;"C"&amp;$A35)="N/A",0,RTD("tos.rtd",,"IMPL_VOL","."&amp;I$2&amp;I$1&amp;"C"&amp;$A35))),0),IF($A$2="MAXPAIN",IF($A$4&gt;$A35,($A$4-$A35)*IF(RTD("tos.rtd",,"OPEN_INT","."&amp;I$2&amp;I$1&amp;"C"&amp;$A35)="N/A",0,RTD("tos.rtd",,"OPEN_INT","."&amp;I$2&amp;I$1&amp;"C"&amp;$A35)),0)+IF($A$4&lt;$A35,($A$5-$A$4)*IF(RTD("tos.rtd",,"OPEN_INT","."&amp;I$2&amp;I$1&amp;"P"&amp;$A35)="N/A",0,RTD("tos.rtd",,"OPEN_INT","."&amp;I$2&amp;I$1&amp;"P"&amp;$A35)),0),IF($X$1="ABS",IF(RTD("tos.rtd",,$A$2,"."&amp;I$2&amp;I$1&amp;"C"&amp;$A35)="N/A",0,RTD("tos.rtd",,$A$2,"."&amp;I$2&amp;I$1&amp;"C"&amp;$A35))+IF(RTD("tos.rtd",,$A$2,"."&amp;I$2&amp;I$1&amp;"P"&amp;$A35)="N/A",0,RTD("tos.rtd",,$A$2,"."&amp;I$2&amp;I$1&amp;"P"&amp;$A35)),IF(RTD("tos.rtd",,$A$2,"."&amp;I$2&amp;I$1&amp;"C"&amp;$A35)="N/A",0,RTD("tos.rtd",,$A$2,"."&amp;I$2&amp;I$1&amp;"C"&amp;$A35))-IF(RTD("tos.rtd",,$A$2,"."&amp;I$2&amp;I$1&amp;"P"&amp;$A35)="N/A",0,RTD("tos.rtd",,$A$2,"."&amp;I$2&amp;I$1&amp;"P"&amp;$A35))))))))))</f>
        <v>0</v>
      </c>
      <c r="J35" s="12">
        <f ca="1">IF($A$2="PREMIUM_OI",IFERROR(IF($X$1="ABS",(100*RTD("tos.rtd",,"OPEN_INT","."&amp;J$2&amp;J$1&amp;"C"&amp;$A35)*RTD("tos.rtd",,"LAST","."&amp;J$2&amp;J$1&amp;"C"&amp;$A35)+100*RTD("tos.rtd",,"OPEN_INT","."&amp;J$2&amp;J$1&amp;"P"&amp;$A35)*RTD("tos.rtd",,"LAST","."&amp;J$2&amp;J$1&amp;"P"&amp;$A35))/1000000,(100*RTD("tos.rtd",,"OPEN_INT","."&amp;J$2&amp;J$1&amp;"C"&amp;$A35)*RTD("tos.rtd",,"LAST","."&amp;J$2&amp;J$1&amp;"C"&amp;$A35)-100*RTD("tos.rtd",,"OPEN_INT","."&amp;J$2&amp;J$1&amp;"P"&amp;$A35)*RTD("tos.rtd",,"LAST","."&amp;J$2&amp;J$1&amp;"P"&amp;$A35))/1000000),0),IF($A$2="PREMIUM",IFERROR(IF($X$1="ABS",(100*RTD("tos.rtd",,"VOLUME","."&amp;J$2&amp;J$1&amp;"C"&amp;$A35)*RTD("tos.rtd",,"LAST","."&amp;J$2&amp;J$1&amp;"C"&amp;$A35)+100*RTD("tos.rtd",,"VOLUME","."&amp;J$2&amp;J$1&amp;"P"&amp;$A35)*RTD("tos.rtd",,"LAST","."&amp;J$2&amp;J$1&amp;"P"&amp;$A35))/1000000,(100*RTD("tos.rtd",,"VOLUME","."&amp;J$2&amp;J$1&amp;"C"&amp;$A35)*RTD("tos.rtd",,"LAST","."&amp;J$2&amp;J$1&amp;"C"&amp;$A35)-100*RTD("tos.rtd",,"VOLUME","."&amp;J$2&amp;J$1&amp;"P"&amp;$A35)*RTD("tos.rtd",,"LAST","."&amp;J$2&amp;J$1&amp;"P"&amp;$A35))/1000000),0),IF($A$2="DEX",IFERROR(IF($X$1="ABS",(100*RTD("tos.rtd",,"OPEN_INT","."&amp;J$2&amp;J$1&amp;"C"&amp;$A35)*RTD("tos.rtd",,"DELTA","."&amp;J$2&amp;J$1&amp;"C"&amp;$A35)+100*RTD("tos.rtd",,"OPEN_INT","."&amp;J$2&amp;J$1&amp;"P"&amp;$A35)*RTD("tos.rtd",,"DELTA","."&amp;J$2&amp;J$1&amp;"P"&amp;$A35))/1000,(100*RTD("tos.rtd",,"OPEN_INT","."&amp;J$2&amp;J$1&amp;"C"&amp;$A35)*RTD("tos.rtd",,"DELTA","."&amp;J$2&amp;J$1&amp;"C"&amp;$A35)-100*RTD("tos.rtd",,"OPEN_INT","."&amp;J$2&amp;J$1&amp;"P"&amp;$A35)*RTD("tos.rtd",,"DELTA","."&amp;J$2&amp;J$1&amp;"P"&amp;$A35))/1000),0),IF($A$2="VEX",IFERROR(IF($X$1="ABS",($A$4*$A$4*RTD("tos.rtd",,"VOLUME","."&amp;J$2&amp;J$1&amp;"C"&amp;$A35)*RTD("tos.rtd",,"GAMMA","."&amp;J$2&amp;J$1&amp;"C"&amp;$A35)+$A$4*$A$4*RTD("tos.rtd",,"VOLUME","."&amp;J$2&amp;J$1&amp;"P"&amp;$A35)*RTD("tos.rtd",,"GAMMA","."&amp;J$2&amp;J$1&amp;"P"&amp;$A35))/1000000,($A$4*$A$4*RTD("tos.rtd",,"VOLUME","."&amp;J$2&amp;J$1&amp;"C"&amp;$A35)*RTD("tos.rtd",,"GAMMA","."&amp;J$2&amp;J$1&amp;"C"&amp;$A35)-$A$4*$A$4*RTD("tos.rtd",,"VOLUME","."&amp;J$2&amp;J$1&amp;"P"&amp;$A35)*RTD("tos.rtd",,"GAMMA","."&amp;J$2&amp;J$1&amp;"P"&amp;$A35))/1000000),0),IF($A$2="GEX",IFERROR(IF($X$1="ABS",($A$4*$A$4*RTD("tos.rtd",,"OPEN_INT","."&amp;J$2&amp;J$1&amp;"C"&amp;$A35)*RTD("tos.rtd",,"GAMMA","."&amp;J$2&amp;J$1&amp;"C"&amp;$A35)+$A$4*$A$4*RTD("tos.rtd",,"OPEN_INT","."&amp;J$2&amp;J$1&amp;"P"&amp;$A35)*RTD("tos.rtd",,"GAMMA","."&amp;J$2&amp;J$1&amp;"P"&amp;$A35))/1000000,($A$4*$A$4*RTD("tos.rtd",,"OPEN_INT","."&amp;J$2&amp;J$1&amp;"C"&amp;$A35)*RTD("tos.rtd",,"GAMMA","."&amp;J$2&amp;J$1&amp;"C"&amp;$A35)-$A$4*$A$4*RTD("tos.rtd",,"OPEN_INT","."&amp;J$2&amp;J$1&amp;"P"&amp;$A35)*RTD("tos.rtd",,"GAMMA","."&amp;J$2&amp;J$1&amp;"P"&amp;$A35))/1000000),0),IF($A$2="SKEW",IFERROR(VALUE(IF(RTD("tos.rtd",,"IMPL_VOL","."&amp;J$2&amp;J$1&amp;"P"&amp;$A35)="N/A",0,RTD("tos.rtd",,"IMPL_VOL","."&amp;J$2&amp;J$1&amp;"P"&amp;$A35))),0)-IFERROR(VALUE(IF(RTD("tos.rtd",,"IMPL_VOL","."&amp;J$2&amp;J$1&amp;"C"&amp;$A35)="N/A",0,RTD("tos.rtd",,"IMPL_VOL","."&amp;J$2&amp;J$1&amp;"C"&amp;$A35))),0),IF($A$2="MAXPAIN",IF($A$4&gt;$A35,($A$4-$A35)*IF(RTD("tos.rtd",,"OPEN_INT","."&amp;J$2&amp;J$1&amp;"C"&amp;$A35)="N/A",0,RTD("tos.rtd",,"OPEN_INT","."&amp;J$2&amp;J$1&amp;"C"&amp;$A35)),0)+IF($A$4&lt;$A35,($A$5-$A$4)*IF(RTD("tos.rtd",,"OPEN_INT","."&amp;J$2&amp;J$1&amp;"P"&amp;$A35)="N/A",0,RTD("tos.rtd",,"OPEN_INT","."&amp;J$2&amp;J$1&amp;"P"&amp;$A35)),0),IF($X$1="ABS",IF(RTD("tos.rtd",,$A$2,"."&amp;J$2&amp;J$1&amp;"C"&amp;$A35)="N/A",0,RTD("tos.rtd",,$A$2,"."&amp;J$2&amp;J$1&amp;"C"&amp;$A35))+IF(RTD("tos.rtd",,$A$2,"."&amp;J$2&amp;J$1&amp;"P"&amp;$A35)="N/A",0,RTD("tos.rtd",,$A$2,"."&amp;J$2&amp;J$1&amp;"P"&amp;$A35)),IF(RTD("tos.rtd",,$A$2,"."&amp;J$2&amp;J$1&amp;"C"&amp;$A35)="N/A",0,RTD("tos.rtd",,$A$2,"."&amp;J$2&amp;J$1&amp;"C"&amp;$A35))-IF(RTD("tos.rtd",,$A$2,"."&amp;J$2&amp;J$1&amp;"P"&amp;$A35)="N/A",0,RTD("tos.rtd",,$A$2,"."&amp;J$2&amp;J$1&amp;"P"&amp;$A35))))))))))</f>
        <v>0</v>
      </c>
      <c r="K35" s="12">
        <f ca="1">IF($A$2="PREMIUM_OI",IFERROR(IF($X$1="ABS",(100*RTD("tos.rtd",,"OPEN_INT","."&amp;K$2&amp;K$1&amp;"C"&amp;$A35)*RTD("tos.rtd",,"LAST","."&amp;K$2&amp;K$1&amp;"C"&amp;$A35)+100*RTD("tos.rtd",,"OPEN_INT","."&amp;K$2&amp;K$1&amp;"P"&amp;$A35)*RTD("tos.rtd",,"LAST","."&amp;K$2&amp;K$1&amp;"P"&amp;$A35))/1000000,(100*RTD("tos.rtd",,"OPEN_INT","."&amp;K$2&amp;K$1&amp;"C"&amp;$A35)*RTD("tos.rtd",,"LAST","."&amp;K$2&amp;K$1&amp;"C"&amp;$A35)-100*RTD("tos.rtd",,"OPEN_INT","."&amp;K$2&amp;K$1&amp;"P"&amp;$A35)*RTD("tos.rtd",,"LAST","."&amp;K$2&amp;K$1&amp;"P"&amp;$A35))/1000000),0),IF($A$2="PREMIUM",IFERROR(IF($X$1="ABS",(100*RTD("tos.rtd",,"VOLUME","."&amp;K$2&amp;K$1&amp;"C"&amp;$A35)*RTD("tos.rtd",,"LAST","."&amp;K$2&amp;K$1&amp;"C"&amp;$A35)+100*RTD("tos.rtd",,"VOLUME","."&amp;K$2&amp;K$1&amp;"P"&amp;$A35)*RTD("tos.rtd",,"LAST","."&amp;K$2&amp;K$1&amp;"P"&amp;$A35))/1000000,(100*RTD("tos.rtd",,"VOLUME","."&amp;K$2&amp;K$1&amp;"C"&amp;$A35)*RTD("tos.rtd",,"LAST","."&amp;K$2&amp;K$1&amp;"C"&amp;$A35)-100*RTD("tos.rtd",,"VOLUME","."&amp;K$2&amp;K$1&amp;"P"&amp;$A35)*RTD("tos.rtd",,"LAST","."&amp;K$2&amp;K$1&amp;"P"&amp;$A35))/1000000),0),IF($A$2="DEX",IFERROR(IF($X$1="ABS",(100*RTD("tos.rtd",,"OPEN_INT","."&amp;K$2&amp;K$1&amp;"C"&amp;$A35)*RTD("tos.rtd",,"DELTA","."&amp;K$2&amp;K$1&amp;"C"&amp;$A35)+100*RTD("tos.rtd",,"OPEN_INT","."&amp;K$2&amp;K$1&amp;"P"&amp;$A35)*RTD("tos.rtd",,"DELTA","."&amp;K$2&amp;K$1&amp;"P"&amp;$A35))/1000,(100*RTD("tos.rtd",,"OPEN_INT","."&amp;K$2&amp;K$1&amp;"C"&amp;$A35)*RTD("tos.rtd",,"DELTA","."&amp;K$2&amp;K$1&amp;"C"&amp;$A35)-100*RTD("tos.rtd",,"OPEN_INT","."&amp;K$2&amp;K$1&amp;"P"&amp;$A35)*RTD("tos.rtd",,"DELTA","."&amp;K$2&amp;K$1&amp;"P"&amp;$A35))/1000),0),IF($A$2="VEX",IFERROR(IF($X$1="ABS",($A$4*$A$4*RTD("tos.rtd",,"VOLUME","."&amp;K$2&amp;K$1&amp;"C"&amp;$A35)*RTD("tos.rtd",,"GAMMA","."&amp;K$2&amp;K$1&amp;"C"&amp;$A35)+$A$4*$A$4*RTD("tos.rtd",,"VOLUME","."&amp;K$2&amp;K$1&amp;"P"&amp;$A35)*RTD("tos.rtd",,"GAMMA","."&amp;K$2&amp;K$1&amp;"P"&amp;$A35))/1000000,($A$4*$A$4*RTD("tos.rtd",,"VOLUME","."&amp;K$2&amp;K$1&amp;"C"&amp;$A35)*RTD("tos.rtd",,"GAMMA","."&amp;K$2&amp;K$1&amp;"C"&amp;$A35)-$A$4*$A$4*RTD("tos.rtd",,"VOLUME","."&amp;K$2&amp;K$1&amp;"P"&amp;$A35)*RTD("tos.rtd",,"GAMMA","."&amp;K$2&amp;K$1&amp;"P"&amp;$A35))/1000000),0),IF($A$2="GEX",IFERROR(IF($X$1="ABS",($A$4*$A$4*RTD("tos.rtd",,"OPEN_INT","."&amp;K$2&amp;K$1&amp;"C"&amp;$A35)*RTD("tos.rtd",,"GAMMA","."&amp;K$2&amp;K$1&amp;"C"&amp;$A35)+$A$4*$A$4*RTD("tos.rtd",,"OPEN_INT","."&amp;K$2&amp;K$1&amp;"P"&amp;$A35)*RTD("tos.rtd",,"GAMMA","."&amp;K$2&amp;K$1&amp;"P"&amp;$A35))/1000000,($A$4*$A$4*RTD("tos.rtd",,"OPEN_INT","."&amp;K$2&amp;K$1&amp;"C"&amp;$A35)*RTD("tos.rtd",,"GAMMA","."&amp;K$2&amp;K$1&amp;"C"&amp;$A35)-$A$4*$A$4*RTD("tos.rtd",,"OPEN_INT","."&amp;K$2&amp;K$1&amp;"P"&amp;$A35)*RTD("tos.rtd",,"GAMMA","."&amp;K$2&amp;K$1&amp;"P"&amp;$A35))/1000000),0),IF($A$2="SKEW",IFERROR(VALUE(IF(RTD("tos.rtd",,"IMPL_VOL","."&amp;K$2&amp;K$1&amp;"P"&amp;$A35)="N/A",0,RTD("tos.rtd",,"IMPL_VOL","."&amp;K$2&amp;K$1&amp;"P"&amp;$A35))),0)-IFERROR(VALUE(IF(RTD("tos.rtd",,"IMPL_VOL","."&amp;K$2&amp;K$1&amp;"C"&amp;$A35)="N/A",0,RTD("tos.rtd",,"IMPL_VOL","."&amp;K$2&amp;K$1&amp;"C"&amp;$A35))),0),IF($A$2="MAXPAIN",IF($A$4&gt;$A35,($A$4-$A35)*IF(RTD("tos.rtd",,"OPEN_INT","."&amp;K$2&amp;K$1&amp;"C"&amp;$A35)="N/A",0,RTD("tos.rtd",,"OPEN_INT","."&amp;K$2&amp;K$1&amp;"C"&amp;$A35)),0)+IF($A$4&lt;$A35,($A$5-$A$4)*IF(RTD("tos.rtd",,"OPEN_INT","."&amp;K$2&amp;K$1&amp;"P"&amp;$A35)="N/A",0,RTD("tos.rtd",,"OPEN_INT","."&amp;K$2&amp;K$1&amp;"P"&amp;$A35)),0),IF($X$1="ABS",IF(RTD("tos.rtd",,$A$2,"."&amp;K$2&amp;K$1&amp;"C"&amp;$A35)="N/A",0,RTD("tos.rtd",,$A$2,"."&amp;K$2&amp;K$1&amp;"C"&amp;$A35))+IF(RTD("tos.rtd",,$A$2,"."&amp;K$2&amp;K$1&amp;"P"&amp;$A35)="N/A",0,RTD("tos.rtd",,$A$2,"."&amp;K$2&amp;K$1&amp;"P"&amp;$A35)),IF(RTD("tos.rtd",,$A$2,"."&amp;K$2&amp;K$1&amp;"C"&amp;$A35)="N/A",0,RTD("tos.rtd",,$A$2,"."&amp;K$2&amp;K$1&amp;"C"&amp;$A35))-IF(RTD("tos.rtd",,$A$2,"."&amp;K$2&amp;K$1&amp;"P"&amp;$A35)="N/A",0,RTD("tos.rtd",,$A$2,"."&amp;K$2&amp;K$1&amp;"P"&amp;$A35))))))))))</f>
        <v>0</v>
      </c>
      <c r="L35" s="54">
        <f ca="1">IF($A$2="PREMIUM_OI",IFERROR(IF($X$1="ABS",(100*RTD("tos.rtd",,"OPEN_INT","."&amp;L$2&amp;L$1&amp;"C"&amp;$A35)*RTD("tos.rtd",,"LAST","."&amp;L$2&amp;L$1&amp;"C"&amp;$A35)+100*RTD("tos.rtd",,"OPEN_INT","."&amp;L$2&amp;L$1&amp;"P"&amp;$A35)*RTD("tos.rtd",,"LAST","."&amp;L$2&amp;L$1&amp;"P"&amp;$A35))/1000000,(100*RTD("tos.rtd",,"OPEN_INT","."&amp;L$2&amp;L$1&amp;"C"&amp;$A35)*RTD("tos.rtd",,"LAST","."&amp;L$2&amp;L$1&amp;"C"&amp;$A35)-100*RTD("tos.rtd",,"OPEN_INT","."&amp;L$2&amp;L$1&amp;"P"&amp;$A35)*RTD("tos.rtd",,"LAST","."&amp;L$2&amp;L$1&amp;"P"&amp;$A35))/1000000),0),IF($A$2="PREMIUM",IFERROR(IF($X$1="ABS",(100*RTD("tos.rtd",,"VOLUME","."&amp;L$2&amp;L$1&amp;"C"&amp;$A35)*RTD("tos.rtd",,"LAST","."&amp;L$2&amp;L$1&amp;"C"&amp;$A35)+100*RTD("tos.rtd",,"VOLUME","."&amp;L$2&amp;L$1&amp;"P"&amp;$A35)*RTD("tos.rtd",,"LAST","."&amp;L$2&amp;L$1&amp;"P"&amp;$A35))/1000000,(100*RTD("tos.rtd",,"VOLUME","."&amp;L$2&amp;L$1&amp;"C"&amp;$A35)*RTD("tos.rtd",,"LAST","."&amp;L$2&amp;L$1&amp;"C"&amp;$A35)-100*RTD("tos.rtd",,"VOLUME","."&amp;L$2&amp;L$1&amp;"P"&amp;$A35)*RTD("tos.rtd",,"LAST","."&amp;L$2&amp;L$1&amp;"P"&amp;$A35))/1000000),0),IF($A$2="DEX",IFERROR(IF($X$1="ABS",(100*RTD("tos.rtd",,"OPEN_INT","."&amp;L$2&amp;L$1&amp;"C"&amp;$A35)*RTD("tos.rtd",,"DELTA","."&amp;L$2&amp;L$1&amp;"C"&amp;$A35)+100*RTD("tos.rtd",,"OPEN_INT","."&amp;L$2&amp;L$1&amp;"P"&amp;$A35)*RTD("tos.rtd",,"DELTA","."&amp;L$2&amp;L$1&amp;"P"&amp;$A35))/1000,(100*RTD("tos.rtd",,"OPEN_INT","."&amp;L$2&amp;L$1&amp;"C"&amp;$A35)*RTD("tos.rtd",,"DELTA","."&amp;L$2&amp;L$1&amp;"C"&amp;$A35)-100*RTD("tos.rtd",,"OPEN_INT","."&amp;L$2&amp;L$1&amp;"P"&amp;$A35)*RTD("tos.rtd",,"DELTA","."&amp;L$2&amp;L$1&amp;"P"&amp;$A35))/1000),0),IF($A$2="VEX",IFERROR(IF($X$1="ABS",($A$4*$A$4*RTD("tos.rtd",,"VOLUME","."&amp;L$2&amp;L$1&amp;"C"&amp;$A35)*RTD("tos.rtd",,"GAMMA","."&amp;L$2&amp;L$1&amp;"C"&amp;$A35)+$A$4*$A$4*RTD("tos.rtd",,"VOLUME","."&amp;L$2&amp;L$1&amp;"P"&amp;$A35)*RTD("tos.rtd",,"GAMMA","."&amp;L$2&amp;L$1&amp;"P"&amp;$A35))/1000000,($A$4*$A$4*RTD("tos.rtd",,"VOLUME","."&amp;L$2&amp;L$1&amp;"C"&amp;$A35)*RTD("tos.rtd",,"GAMMA","."&amp;L$2&amp;L$1&amp;"C"&amp;$A35)-$A$4*$A$4*RTD("tos.rtd",,"VOLUME","."&amp;L$2&amp;L$1&amp;"P"&amp;$A35)*RTD("tos.rtd",,"GAMMA","."&amp;L$2&amp;L$1&amp;"P"&amp;$A35))/1000000),0),IF($A$2="GEX",IFERROR(IF($X$1="ABS",($A$4*$A$4*RTD("tos.rtd",,"OPEN_INT","."&amp;L$2&amp;L$1&amp;"C"&amp;$A35)*RTD("tos.rtd",,"GAMMA","."&amp;L$2&amp;L$1&amp;"C"&amp;$A35)+$A$4*$A$4*RTD("tos.rtd",,"OPEN_INT","."&amp;L$2&amp;L$1&amp;"P"&amp;$A35)*RTD("tos.rtd",,"GAMMA","."&amp;L$2&amp;L$1&amp;"P"&amp;$A35))/1000000,($A$4*$A$4*RTD("tos.rtd",,"OPEN_INT","."&amp;L$2&amp;L$1&amp;"C"&amp;$A35)*RTD("tos.rtd",,"GAMMA","."&amp;L$2&amp;L$1&amp;"C"&amp;$A35)-$A$4*$A$4*RTD("tos.rtd",,"OPEN_INT","."&amp;L$2&amp;L$1&amp;"P"&amp;$A35)*RTD("tos.rtd",,"GAMMA","."&amp;L$2&amp;L$1&amp;"P"&amp;$A35))/1000000),0),IF($A$2="SKEW",IFERROR(VALUE(IF(RTD("tos.rtd",,"IMPL_VOL","."&amp;L$2&amp;L$1&amp;"P"&amp;$A35)="N/A",0,RTD("tos.rtd",,"IMPL_VOL","."&amp;L$2&amp;L$1&amp;"P"&amp;$A35))),0)-IFERROR(VALUE(IF(RTD("tos.rtd",,"IMPL_VOL","."&amp;L$2&amp;L$1&amp;"C"&amp;$A35)="N/A",0,RTD("tos.rtd",,"IMPL_VOL","."&amp;L$2&amp;L$1&amp;"C"&amp;$A35))),0),IF($A$2="MAXPAIN",IF($A$4&gt;$A35,($A$4-$A35)*IF(RTD("tos.rtd",,"OPEN_INT","."&amp;L$2&amp;L$1&amp;"C"&amp;$A35)="N/A",0,RTD("tos.rtd",,"OPEN_INT","."&amp;L$2&amp;L$1&amp;"C"&amp;$A35)),0)+IF($A$4&lt;$A35,($A$5-$A$4)*IF(RTD("tos.rtd",,"OPEN_INT","."&amp;L$2&amp;L$1&amp;"P"&amp;$A35)="N/A",0,RTD("tos.rtd",,"OPEN_INT","."&amp;L$2&amp;L$1&amp;"P"&amp;$A35)),0),IF($X$1="ABS",IF(RTD("tos.rtd",,$A$2,"."&amp;L$2&amp;L$1&amp;"C"&amp;$A35)="N/A",0,RTD("tos.rtd",,$A$2,"."&amp;L$2&amp;L$1&amp;"C"&amp;$A35))+IF(RTD("tos.rtd",,$A$2,"."&amp;L$2&amp;L$1&amp;"P"&amp;$A35)="N/A",0,RTD("tos.rtd",,$A$2,"."&amp;L$2&amp;L$1&amp;"P"&amp;$A35)),IF(RTD("tos.rtd",,$A$2,"."&amp;L$2&amp;L$1&amp;"C"&amp;$A35)="N/A",0,RTD("tos.rtd",,$A$2,"."&amp;L$2&amp;L$1&amp;"C"&amp;$A35))-IF(RTD("tos.rtd",,$A$2,"."&amp;L$2&amp;L$1&amp;"P"&amp;$A35)="N/A",0,RTD("tos.rtd",,$A$2,"."&amp;L$2&amp;L$1&amp;"P"&amp;$A35))))))))))</f>
        <v>0</v>
      </c>
      <c r="M35" s="12">
        <f ca="1">IF($A$2="PREMIUM_OI",IFERROR(IF($X$1="ABS",(100*RTD("tos.rtd",,"OPEN_INT","."&amp;M$2&amp;M$1&amp;"C"&amp;$A35)*RTD("tos.rtd",,"LAST","."&amp;M$2&amp;M$1&amp;"C"&amp;$A35)+100*RTD("tos.rtd",,"OPEN_INT","."&amp;M$2&amp;M$1&amp;"P"&amp;$A35)*RTD("tos.rtd",,"LAST","."&amp;M$2&amp;M$1&amp;"P"&amp;$A35))/1000000,(100*RTD("tos.rtd",,"OPEN_INT","."&amp;M$2&amp;M$1&amp;"C"&amp;$A35)*RTD("tos.rtd",,"LAST","."&amp;M$2&amp;M$1&amp;"C"&amp;$A35)-100*RTD("tos.rtd",,"OPEN_INT","."&amp;M$2&amp;M$1&amp;"P"&amp;$A35)*RTD("tos.rtd",,"LAST","."&amp;M$2&amp;M$1&amp;"P"&amp;$A35))/1000000),0),IF($A$2="PREMIUM",IFERROR(IF($X$1="ABS",(100*RTD("tos.rtd",,"VOLUME","."&amp;M$2&amp;M$1&amp;"C"&amp;$A35)*RTD("tos.rtd",,"LAST","."&amp;M$2&amp;M$1&amp;"C"&amp;$A35)+100*RTD("tos.rtd",,"VOLUME","."&amp;M$2&amp;M$1&amp;"P"&amp;$A35)*RTD("tos.rtd",,"LAST","."&amp;M$2&amp;M$1&amp;"P"&amp;$A35))/1000000,(100*RTD("tos.rtd",,"VOLUME","."&amp;M$2&amp;M$1&amp;"C"&amp;$A35)*RTD("tos.rtd",,"LAST","."&amp;M$2&amp;M$1&amp;"C"&amp;$A35)-100*RTD("tos.rtd",,"VOLUME","."&amp;M$2&amp;M$1&amp;"P"&amp;$A35)*RTD("tos.rtd",,"LAST","."&amp;M$2&amp;M$1&amp;"P"&amp;$A35))/1000000),0),IF($A$2="DEX",IFERROR(IF($X$1="ABS",(100*RTD("tos.rtd",,"OPEN_INT","."&amp;M$2&amp;M$1&amp;"C"&amp;$A35)*RTD("tos.rtd",,"DELTA","."&amp;M$2&amp;M$1&amp;"C"&amp;$A35)+100*RTD("tos.rtd",,"OPEN_INT","."&amp;M$2&amp;M$1&amp;"P"&amp;$A35)*RTD("tos.rtd",,"DELTA","."&amp;M$2&amp;M$1&amp;"P"&amp;$A35))/1000,(100*RTD("tos.rtd",,"OPEN_INT","."&amp;M$2&amp;M$1&amp;"C"&amp;$A35)*RTD("tos.rtd",,"DELTA","."&amp;M$2&amp;M$1&amp;"C"&amp;$A35)-100*RTD("tos.rtd",,"OPEN_INT","."&amp;M$2&amp;M$1&amp;"P"&amp;$A35)*RTD("tos.rtd",,"DELTA","."&amp;M$2&amp;M$1&amp;"P"&amp;$A35))/1000),0),IF($A$2="VEX",IFERROR(IF($X$1="ABS",($A$4*$A$4*RTD("tos.rtd",,"VOLUME","."&amp;M$2&amp;M$1&amp;"C"&amp;$A35)*RTD("tos.rtd",,"GAMMA","."&amp;M$2&amp;M$1&amp;"C"&amp;$A35)+$A$4*$A$4*RTD("tos.rtd",,"VOLUME","."&amp;M$2&amp;M$1&amp;"P"&amp;$A35)*RTD("tos.rtd",,"GAMMA","."&amp;M$2&amp;M$1&amp;"P"&amp;$A35))/1000000,($A$4*$A$4*RTD("tos.rtd",,"VOLUME","."&amp;M$2&amp;M$1&amp;"C"&amp;$A35)*RTD("tos.rtd",,"GAMMA","."&amp;M$2&amp;M$1&amp;"C"&amp;$A35)-$A$4*$A$4*RTD("tos.rtd",,"VOLUME","."&amp;M$2&amp;M$1&amp;"P"&amp;$A35)*RTD("tos.rtd",,"GAMMA","."&amp;M$2&amp;M$1&amp;"P"&amp;$A35))/1000000),0),IF($A$2="GEX",IFERROR(IF($X$1="ABS",($A$4*$A$4*RTD("tos.rtd",,"OPEN_INT","."&amp;M$2&amp;M$1&amp;"C"&amp;$A35)*RTD("tos.rtd",,"GAMMA","."&amp;M$2&amp;M$1&amp;"C"&amp;$A35)+$A$4*$A$4*RTD("tos.rtd",,"OPEN_INT","."&amp;M$2&amp;M$1&amp;"P"&amp;$A35)*RTD("tos.rtd",,"GAMMA","."&amp;M$2&amp;M$1&amp;"P"&amp;$A35))/1000000,($A$4*$A$4*RTD("tos.rtd",,"OPEN_INT","."&amp;M$2&amp;M$1&amp;"C"&amp;$A35)*RTD("tos.rtd",,"GAMMA","."&amp;M$2&amp;M$1&amp;"C"&amp;$A35)-$A$4*$A$4*RTD("tos.rtd",,"OPEN_INT","."&amp;M$2&amp;M$1&amp;"P"&amp;$A35)*RTD("tos.rtd",,"GAMMA","."&amp;M$2&amp;M$1&amp;"P"&amp;$A35))/1000000),0),IF($A$2="SKEW",IFERROR(VALUE(IF(RTD("tos.rtd",,"IMPL_VOL","."&amp;M$2&amp;M$1&amp;"P"&amp;$A35)="N/A",0,RTD("tos.rtd",,"IMPL_VOL","."&amp;M$2&amp;M$1&amp;"P"&amp;$A35))),0)-IFERROR(VALUE(IF(RTD("tos.rtd",,"IMPL_VOL","."&amp;M$2&amp;M$1&amp;"C"&amp;$A35)="N/A",0,RTD("tos.rtd",,"IMPL_VOL","."&amp;M$2&amp;M$1&amp;"C"&amp;$A35))),0),IF($A$2="MAXPAIN",IF($A$4&gt;$A35,($A$4-$A35)*IF(RTD("tos.rtd",,"OPEN_INT","."&amp;M$2&amp;M$1&amp;"C"&amp;$A35)="N/A",0,RTD("tos.rtd",,"OPEN_INT","."&amp;M$2&amp;M$1&amp;"C"&amp;$A35)),0)+IF($A$4&lt;$A35,($A$5-$A$4)*IF(RTD("tos.rtd",,"OPEN_INT","."&amp;M$2&amp;M$1&amp;"P"&amp;$A35)="N/A",0,RTD("tos.rtd",,"OPEN_INT","."&amp;M$2&amp;M$1&amp;"P"&amp;$A35)),0),IF($X$1="ABS",IF(RTD("tos.rtd",,$A$2,"."&amp;M$2&amp;M$1&amp;"C"&amp;$A35)="N/A",0,RTD("tos.rtd",,$A$2,"."&amp;M$2&amp;M$1&amp;"C"&amp;$A35))+IF(RTD("tos.rtd",,$A$2,"."&amp;M$2&amp;M$1&amp;"P"&amp;$A35)="N/A",0,RTD("tos.rtd",,$A$2,"."&amp;M$2&amp;M$1&amp;"P"&amp;$A35)),IF(RTD("tos.rtd",,$A$2,"."&amp;M$2&amp;M$1&amp;"C"&amp;$A35)="N/A",0,RTD("tos.rtd",,$A$2,"."&amp;M$2&amp;M$1&amp;"C"&amp;$A35))-IF(RTD("tos.rtd",,$A$2,"."&amp;M$2&amp;M$1&amp;"P"&amp;$A35)="N/A",0,RTD("tos.rtd",,$A$2,"."&amp;M$2&amp;M$1&amp;"P"&amp;$A35))))))))))</f>
        <v>0</v>
      </c>
      <c r="N35" s="12">
        <f ca="1">IF($A$2="PREMIUM_OI",IFERROR(IF($X$1="ABS",(100*RTD("tos.rtd",,"OPEN_INT","."&amp;N$2&amp;N$1&amp;"C"&amp;$A35)*RTD("tos.rtd",,"LAST","."&amp;N$2&amp;N$1&amp;"C"&amp;$A35)+100*RTD("tos.rtd",,"OPEN_INT","."&amp;N$2&amp;N$1&amp;"P"&amp;$A35)*RTD("tos.rtd",,"LAST","."&amp;N$2&amp;N$1&amp;"P"&amp;$A35))/1000000,(100*RTD("tos.rtd",,"OPEN_INT","."&amp;N$2&amp;N$1&amp;"C"&amp;$A35)*RTD("tos.rtd",,"LAST","."&amp;N$2&amp;N$1&amp;"C"&amp;$A35)-100*RTD("tos.rtd",,"OPEN_INT","."&amp;N$2&amp;N$1&amp;"P"&amp;$A35)*RTD("tos.rtd",,"LAST","."&amp;N$2&amp;N$1&amp;"P"&amp;$A35))/1000000),0),IF($A$2="PREMIUM",IFERROR(IF($X$1="ABS",(100*RTD("tos.rtd",,"VOLUME","."&amp;N$2&amp;N$1&amp;"C"&amp;$A35)*RTD("tos.rtd",,"LAST","."&amp;N$2&amp;N$1&amp;"C"&amp;$A35)+100*RTD("tos.rtd",,"VOLUME","."&amp;N$2&amp;N$1&amp;"P"&amp;$A35)*RTD("tos.rtd",,"LAST","."&amp;N$2&amp;N$1&amp;"P"&amp;$A35))/1000000,(100*RTD("tos.rtd",,"VOLUME","."&amp;N$2&amp;N$1&amp;"C"&amp;$A35)*RTD("tos.rtd",,"LAST","."&amp;N$2&amp;N$1&amp;"C"&amp;$A35)-100*RTD("tos.rtd",,"VOLUME","."&amp;N$2&amp;N$1&amp;"P"&amp;$A35)*RTD("tos.rtd",,"LAST","."&amp;N$2&amp;N$1&amp;"P"&amp;$A35))/1000000),0),IF($A$2="DEX",IFERROR(IF($X$1="ABS",(100*RTD("tos.rtd",,"OPEN_INT","."&amp;N$2&amp;N$1&amp;"C"&amp;$A35)*RTD("tos.rtd",,"DELTA","."&amp;N$2&amp;N$1&amp;"C"&amp;$A35)+100*RTD("tos.rtd",,"OPEN_INT","."&amp;N$2&amp;N$1&amp;"P"&amp;$A35)*RTD("tos.rtd",,"DELTA","."&amp;N$2&amp;N$1&amp;"P"&amp;$A35))/1000,(100*RTD("tos.rtd",,"OPEN_INT","."&amp;N$2&amp;N$1&amp;"C"&amp;$A35)*RTD("tos.rtd",,"DELTA","."&amp;N$2&amp;N$1&amp;"C"&amp;$A35)-100*RTD("tos.rtd",,"OPEN_INT","."&amp;N$2&amp;N$1&amp;"P"&amp;$A35)*RTD("tos.rtd",,"DELTA","."&amp;N$2&amp;N$1&amp;"P"&amp;$A35))/1000),0),IF($A$2="VEX",IFERROR(IF($X$1="ABS",($A$4*$A$4*RTD("tos.rtd",,"VOLUME","."&amp;N$2&amp;N$1&amp;"C"&amp;$A35)*RTD("tos.rtd",,"GAMMA","."&amp;N$2&amp;N$1&amp;"C"&amp;$A35)+$A$4*$A$4*RTD("tos.rtd",,"VOLUME","."&amp;N$2&amp;N$1&amp;"P"&amp;$A35)*RTD("tos.rtd",,"GAMMA","."&amp;N$2&amp;N$1&amp;"P"&amp;$A35))/1000000,($A$4*$A$4*RTD("tos.rtd",,"VOLUME","."&amp;N$2&amp;N$1&amp;"C"&amp;$A35)*RTD("tos.rtd",,"GAMMA","."&amp;N$2&amp;N$1&amp;"C"&amp;$A35)-$A$4*$A$4*RTD("tos.rtd",,"VOLUME","."&amp;N$2&amp;N$1&amp;"P"&amp;$A35)*RTD("tos.rtd",,"GAMMA","."&amp;N$2&amp;N$1&amp;"P"&amp;$A35))/1000000),0),IF($A$2="GEX",IFERROR(IF($X$1="ABS",($A$4*$A$4*RTD("tos.rtd",,"OPEN_INT","."&amp;N$2&amp;N$1&amp;"C"&amp;$A35)*RTD("tos.rtd",,"GAMMA","."&amp;N$2&amp;N$1&amp;"C"&amp;$A35)+$A$4*$A$4*RTD("tos.rtd",,"OPEN_INT","."&amp;N$2&amp;N$1&amp;"P"&amp;$A35)*RTD("tos.rtd",,"GAMMA","."&amp;N$2&amp;N$1&amp;"P"&amp;$A35))/1000000,($A$4*$A$4*RTD("tos.rtd",,"OPEN_INT","."&amp;N$2&amp;N$1&amp;"C"&amp;$A35)*RTD("tos.rtd",,"GAMMA","."&amp;N$2&amp;N$1&amp;"C"&amp;$A35)-$A$4*$A$4*RTD("tos.rtd",,"OPEN_INT","."&amp;N$2&amp;N$1&amp;"P"&amp;$A35)*RTD("tos.rtd",,"GAMMA","."&amp;N$2&amp;N$1&amp;"P"&amp;$A35))/1000000),0),IF($A$2="SKEW",IFERROR(VALUE(IF(RTD("tos.rtd",,"IMPL_VOL","."&amp;N$2&amp;N$1&amp;"P"&amp;$A35)="N/A",0,RTD("tos.rtd",,"IMPL_VOL","."&amp;N$2&amp;N$1&amp;"P"&amp;$A35))),0)-IFERROR(VALUE(IF(RTD("tos.rtd",,"IMPL_VOL","."&amp;N$2&amp;N$1&amp;"C"&amp;$A35)="N/A",0,RTD("tos.rtd",,"IMPL_VOL","."&amp;N$2&amp;N$1&amp;"C"&amp;$A35))),0),IF($A$2="MAXPAIN",IF($A$4&gt;$A35,($A$4-$A35)*IF(RTD("tos.rtd",,"OPEN_INT","."&amp;N$2&amp;N$1&amp;"C"&amp;$A35)="N/A",0,RTD("tos.rtd",,"OPEN_INT","."&amp;N$2&amp;N$1&amp;"C"&amp;$A35)),0)+IF($A$4&lt;$A35,($A$5-$A$4)*IF(RTD("tos.rtd",,"OPEN_INT","."&amp;N$2&amp;N$1&amp;"P"&amp;$A35)="N/A",0,RTD("tos.rtd",,"OPEN_INT","."&amp;N$2&amp;N$1&amp;"P"&amp;$A35)),0),IF($X$1="ABS",IF(RTD("tos.rtd",,$A$2,"."&amp;N$2&amp;N$1&amp;"C"&amp;$A35)="N/A",0,RTD("tos.rtd",,$A$2,"."&amp;N$2&amp;N$1&amp;"C"&amp;$A35))+IF(RTD("tos.rtd",,$A$2,"."&amp;N$2&amp;N$1&amp;"P"&amp;$A35)="N/A",0,RTD("tos.rtd",,$A$2,"."&amp;N$2&amp;N$1&amp;"P"&amp;$A35)),IF(RTD("tos.rtd",,$A$2,"."&amp;N$2&amp;N$1&amp;"C"&amp;$A35)="N/A",0,RTD("tos.rtd",,$A$2,"."&amp;N$2&amp;N$1&amp;"C"&amp;$A35))-IF(RTD("tos.rtd",,$A$2,"."&amp;N$2&amp;N$1&amp;"P"&amp;$A35)="N/A",0,RTD("tos.rtd",,$A$2,"."&amp;N$2&amp;N$1&amp;"P"&amp;$A35))))))))))</f>
        <v>0</v>
      </c>
      <c r="O35" s="12">
        <f ca="1">IF($A$2="PREMIUM_OI",IFERROR(IF($X$1="ABS",(100*RTD("tos.rtd",,"OPEN_INT","."&amp;O$2&amp;O$1&amp;"C"&amp;$A35)*RTD("tos.rtd",,"LAST","."&amp;O$2&amp;O$1&amp;"C"&amp;$A35)+100*RTD("tos.rtd",,"OPEN_INT","."&amp;O$2&amp;O$1&amp;"P"&amp;$A35)*RTD("tos.rtd",,"LAST","."&amp;O$2&amp;O$1&amp;"P"&amp;$A35))/1000000,(100*RTD("tos.rtd",,"OPEN_INT","."&amp;O$2&amp;O$1&amp;"C"&amp;$A35)*RTD("tos.rtd",,"LAST","."&amp;O$2&amp;O$1&amp;"C"&amp;$A35)-100*RTD("tos.rtd",,"OPEN_INT","."&amp;O$2&amp;O$1&amp;"P"&amp;$A35)*RTD("tos.rtd",,"LAST","."&amp;O$2&amp;O$1&amp;"P"&amp;$A35))/1000000),0),IF($A$2="PREMIUM",IFERROR(IF($X$1="ABS",(100*RTD("tos.rtd",,"VOLUME","."&amp;O$2&amp;O$1&amp;"C"&amp;$A35)*RTD("tos.rtd",,"LAST","."&amp;O$2&amp;O$1&amp;"C"&amp;$A35)+100*RTD("tos.rtd",,"VOLUME","."&amp;O$2&amp;O$1&amp;"P"&amp;$A35)*RTD("tos.rtd",,"LAST","."&amp;O$2&amp;O$1&amp;"P"&amp;$A35))/1000000,(100*RTD("tos.rtd",,"VOLUME","."&amp;O$2&amp;O$1&amp;"C"&amp;$A35)*RTD("tos.rtd",,"LAST","."&amp;O$2&amp;O$1&amp;"C"&amp;$A35)-100*RTD("tos.rtd",,"VOLUME","."&amp;O$2&amp;O$1&amp;"P"&amp;$A35)*RTD("tos.rtd",,"LAST","."&amp;O$2&amp;O$1&amp;"P"&amp;$A35))/1000000),0),IF($A$2="DEX",IFERROR(IF($X$1="ABS",(100*RTD("tos.rtd",,"OPEN_INT","."&amp;O$2&amp;O$1&amp;"C"&amp;$A35)*RTD("tos.rtd",,"DELTA","."&amp;O$2&amp;O$1&amp;"C"&amp;$A35)+100*RTD("tos.rtd",,"OPEN_INT","."&amp;O$2&amp;O$1&amp;"P"&amp;$A35)*RTD("tos.rtd",,"DELTA","."&amp;O$2&amp;O$1&amp;"P"&amp;$A35))/1000,(100*RTD("tos.rtd",,"OPEN_INT","."&amp;O$2&amp;O$1&amp;"C"&amp;$A35)*RTD("tos.rtd",,"DELTA","."&amp;O$2&amp;O$1&amp;"C"&amp;$A35)-100*RTD("tos.rtd",,"OPEN_INT","."&amp;O$2&amp;O$1&amp;"P"&amp;$A35)*RTD("tos.rtd",,"DELTA","."&amp;O$2&amp;O$1&amp;"P"&amp;$A35))/1000),0),IF($A$2="VEX",IFERROR(IF($X$1="ABS",($A$4*$A$4*RTD("tos.rtd",,"VOLUME","."&amp;O$2&amp;O$1&amp;"C"&amp;$A35)*RTD("tos.rtd",,"GAMMA","."&amp;O$2&amp;O$1&amp;"C"&amp;$A35)+$A$4*$A$4*RTD("tos.rtd",,"VOLUME","."&amp;O$2&amp;O$1&amp;"P"&amp;$A35)*RTD("tos.rtd",,"GAMMA","."&amp;O$2&amp;O$1&amp;"P"&amp;$A35))/1000000,($A$4*$A$4*RTD("tos.rtd",,"VOLUME","."&amp;O$2&amp;O$1&amp;"C"&amp;$A35)*RTD("tos.rtd",,"GAMMA","."&amp;O$2&amp;O$1&amp;"C"&amp;$A35)-$A$4*$A$4*RTD("tos.rtd",,"VOLUME","."&amp;O$2&amp;O$1&amp;"P"&amp;$A35)*RTD("tos.rtd",,"GAMMA","."&amp;O$2&amp;O$1&amp;"P"&amp;$A35))/1000000),0),IF($A$2="GEX",IFERROR(IF($X$1="ABS",($A$4*$A$4*RTD("tos.rtd",,"OPEN_INT","."&amp;O$2&amp;O$1&amp;"C"&amp;$A35)*RTD("tos.rtd",,"GAMMA","."&amp;O$2&amp;O$1&amp;"C"&amp;$A35)+$A$4*$A$4*RTD("tos.rtd",,"OPEN_INT","."&amp;O$2&amp;O$1&amp;"P"&amp;$A35)*RTD("tos.rtd",,"GAMMA","."&amp;O$2&amp;O$1&amp;"P"&amp;$A35))/1000000,($A$4*$A$4*RTD("tos.rtd",,"OPEN_INT","."&amp;O$2&amp;O$1&amp;"C"&amp;$A35)*RTD("tos.rtd",,"GAMMA","."&amp;O$2&amp;O$1&amp;"C"&amp;$A35)-$A$4*$A$4*RTD("tos.rtd",,"OPEN_INT","."&amp;O$2&amp;O$1&amp;"P"&amp;$A35)*RTD("tos.rtd",,"GAMMA","."&amp;O$2&amp;O$1&amp;"P"&amp;$A35))/1000000),0),IF($A$2="SKEW",IFERROR(VALUE(IF(RTD("tos.rtd",,"IMPL_VOL","."&amp;O$2&amp;O$1&amp;"P"&amp;$A35)="N/A",0,RTD("tos.rtd",,"IMPL_VOL","."&amp;O$2&amp;O$1&amp;"P"&amp;$A35))),0)-IFERROR(VALUE(IF(RTD("tos.rtd",,"IMPL_VOL","."&amp;O$2&amp;O$1&amp;"C"&amp;$A35)="N/A",0,RTD("tos.rtd",,"IMPL_VOL","."&amp;O$2&amp;O$1&amp;"C"&amp;$A35))),0),IF($A$2="MAXPAIN",IF($A$4&gt;$A35,($A$4-$A35)*IF(RTD("tos.rtd",,"OPEN_INT","."&amp;O$2&amp;O$1&amp;"C"&amp;$A35)="N/A",0,RTD("tos.rtd",,"OPEN_INT","."&amp;O$2&amp;O$1&amp;"C"&amp;$A35)),0)+IF($A$4&lt;$A35,($A$5-$A$4)*IF(RTD("tos.rtd",,"OPEN_INT","."&amp;O$2&amp;O$1&amp;"P"&amp;$A35)="N/A",0,RTD("tos.rtd",,"OPEN_INT","."&amp;O$2&amp;O$1&amp;"P"&amp;$A35)),0),IF($X$1="ABS",IF(RTD("tos.rtd",,$A$2,"."&amp;O$2&amp;O$1&amp;"C"&amp;$A35)="N/A",0,RTD("tos.rtd",,$A$2,"."&amp;O$2&amp;O$1&amp;"C"&amp;$A35))+IF(RTD("tos.rtd",,$A$2,"."&amp;O$2&amp;O$1&amp;"P"&amp;$A35)="N/A",0,RTD("tos.rtd",,$A$2,"."&amp;O$2&amp;O$1&amp;"P"&amp;$A35)),IF(RTD("tos.rtd",,$A$2,"."&amp;O$2&amp;O$1&amp;"C"&amp;$A35)="N/A",0,RTD("tos.rtd",,$A$2,"."&amp;O$2&amp;O$1&amp;"C"&amp;$A35))-IF(RTD("tos.rtd",,$A$2,"."&amp;O$2&amp;O$1&amp;"P"&amp;$A35)="N/A",0,RTD("tos.rtd",,$A$2,"."&amp;O$2&amp;O$1&amp;"P"&amp;$A35))))))))))</f>
        <v>0</v>
      </c>
      <c r="P35" s="12">
        <f ca="1">IF($A$2="PREMIUM_OI",IFERROR(IF($X$1="ABS",(100*RTD("tos.rtd",,"OPEN_INT","."&amp;P$2&amp;P$1&amp;"C"&amp;$A35)*RTD("tos.rtd",,"LAST","."&amp;P$2&amp;P$1&amp;"C"&amp;$A35)+100*RTD("tos.rtd",,"OPEN_INT","."&amp;P$2&amp;P$1&amp;"P"&amp;$A35)*RTD("tos.rtd",,"LAST","."&amp;P$2&amp;P$1&amp;"P"&amp;$A35))/1000000,(100*RTD("tos.rtd",,"OPEN_INT","."&amp;P$2&amp;P$1&amp;"C"&amp;$A35)*RTD("tos.rtd",,"LAST","."&amp;P$2&amp;P$1&amp;"C"&amp;$A35)-100*RTD("tos.rtd",,"OPEN_INT","."&amp;P$2&amp;P$1&amp;"P"&amp;$A35)*RTD("tos.rtd",,"LAST","."&amp;P$2&amp;P$1&amp;"P"&amp;$A35))/1000000),0),IF($A$2="PREMIUM",IFERROR(IF($X$1="ABS",(100*RTD("tos.rtd",,"VOLUME","."&amp;P$2&amp;P$1&amp;"C"&amp;$A35)*RTD("tos.rtd",,"LAST","."&amp;P$2&amp;P$1&amp;"C"&amp;$A35)+100*RTD("tos.rtd",,"VOLUME","."&amp;P$2&amp;P$1&amp;"P"&amp;$A35)*RTD("tos.rtd",,"LAST","."&amp;P$2&amp;P$1&amp;"P"&amp;$A35))/1000000,(100*RTD("tos.rtd",,"VOLUME","."&amp;P$2&amp;P$1&amp;"C"&amp;$A35)*RTD("tos.rtd",,"LAST","."&amp;P$2&amp;P$1&amp;"C"&amp;$A35)-100*RTD("tos.rtd",,"VOLUME","."&amp;P$2&amp;P$1&amp;"P"&amp;$A35)*RTD("tos.rtd",,"LAST","."&amp;P$2&amp;P$1&amp;"P"&amp;$A35))/1000000),0),IF($A$2="DEX",IFERROR(IF($X$1="ABS",(100*RTD("tos.rtd",,"OPEN_INT","."&amp;P$2&amp;P$1&amp;"C"&amp;$A35)*RTD("tos.rtd",,"DELTA","."&amp;P$2&amp;P$1&amp;"C"&amp;$A35)+100*RTD("tos.rtd",,"OPEN_INT","."&amp;P$2&amp;P$1&amp;"P"&amp;$A35)*RTD("tos.rtd",,"DELTA","."&amp;P$2&amp;P$1&amp;"P"&amp;$A35))/1000,(100*RTD("tos.rtd",,"OPEN_INT","."&amp;P$2&amp;P$1&amp;"C"&amp;$A35)*RTD("tos.rtd",,"DELTA","."&amp;P$2&amp;P$1&amp;"C"&amp;$A35)-100*RTD("tos.rtd",,"OPEN_INT","."&amp;P$2&amp;P$1&amp;"P"&amp;$A35)*RTD("tos.rtd",,"DELTA","."&amp;P$2&amp;P$1&amp;"P"&amp;$A35))/1000),0),IF($A$2="VEX",IFERROR(IF($X$1="ABS",($A$4*$A$4*RTD("tos.rtd",,"VOLUME","."&amp;P$2&amp;P$1&amp;"C"&amp;$A35)*RTD("tos.rtd",,"GAMMA","."&amp;P$2&amp;P$1&amp;"C"&amp;$A35)+$A$4*$A$4*RTD("tos.rtd",,"VOLUME","."&amp;P$2&amp;P$1&amp;"P"&amp;$A35)*RTD("tos.rtd",,"GAMMA","."&amp;P$2&amp;P$1&amp;"P"&amp;$A35))/1000000,($A$4*$A$4*RTD("tos.rtd",,"VOLUME","."&amp;P$2&amp;P$1&amp;"C"&amp;$A35)*RTD("tos.rtd",,"GAMMA","."&amp;P$2&amp;P$1&amp;"C"&amp;$A35)-$A$4*$A$4*RTD("tos.rtd",,"VOLUME","."&amp;P$2&amp;P$1&amp;"P"&amp;$A35)*RTD("tos.rtd",,"GAMMA","."&amp;P$2&amp;P$1&amp;"P"&amp;$A35))/1000000),0),IF($A$2="GEX",IFERROR(IF($X$1="ABS",($A$4*$A$4*RTD("tos.rtd",,"OPEN_INT","."&amp;P$2&amp;P$1&amp;"C"&amp;$A35)*RTD("tos.rtd",,"GAMMA","."&amp;P$2&amp;P$1&amp;"C"&amp;$A35)+$A$4*$A$4*RTD("tos.rtd",,"OPEN_INT","."&amp;P$2&amp;P$1&amp;"P"&amp;$A35)*RTD("tos.rtd",,"GAMMA","."&amp;P$2&amp;P$1&amp;"P"&amp;$A35))/1000000,($A$4*$A$4*RTD("tos.rtd",,"OPEN_INT","."&amp;P$2&amp;P$1&amp;"C"&amp;$A35)*RTD("tos.rtd",,"GAMMA","."&amp;P$2&amp;P$1&amp;"C"&amp;$A35)-$A$4*$A$4*RTD("tos.rtd",,"OPEN_INT","."&amp;P$2&amp;P$1&amp;"P"&amp;$A35)*RTD("tos.rtd",,"GAMMA","."&amp;P$2&amp;P$1&amp;"P"&amp;$A35))/1000000),0),IF($A$2="SKEW",IFERROR(VALUE(IF(RTD("tos.rtd",,"IMPL_VOL","."&amp;P$2&amp;P$1&amp;"P"&amp;$A35)="N/A",0,RTD("tos.rtd",,"IMPL_VOL","."&amp;P$2&amp;P$1&amp;"P"&amp;$A35))),0)-IFERROR(VALUE(IF(RTD("tos.rtd",,"IMPL_VOL","."&amp;P$2&amp;P$1&amp;"C"&amp;$A35)="N/A",0,RTD("tos.rtd",,"IMPL_VOL","."&amp;P$2&amp;P$1&amp;"C"&amp;$A35))),0),IF($A$2="MAXPAIN",IF($A$4&gt;$A35,($A$4-$A35)*IF(RTD("tos.rtd",,"OPEN_INT","."&amp;P$2&amp;P$1&amp;"C"&amp;$A35)="N/A",0,RTD("tos.rtd",,"OPEN_INT","."&amp;P$2&amp;P$1&amp;"C"&amp;$A35)),0)+IF($A$4&lt;$A35,($A$5-$A$4)*IF(RTD("tos.rtd",,"OPEN_INT","."&amp;P$2&amp;P$1&amp;"P"&amp;$A35)="N/A",0,RTD("tos.rtd",,"OPEN_INT","."&amp;P$2&amp;P$1&amp;"P"&amp;$A35)),0),IF($X$1="ABS",IF(RTD("tos.rtd",,$A$2,"."&amp;P$2&amp;P$1&amp;"C"&amp;$A35)="N/A",0,RTD("tos.rtd",,$A$2,"."&amp;P$2&amp;P$1&amp;"C"&amp;$A35))+IF(RTD("tos.rtd",,$A$2,"."&amp;P$2&amp;P$1&amp;"P"&amp;$A35)="N/A",0,RTD("tos.rtd",,$A$2,"."&amp;P$2&amp;P$1&amp;"P"&amp;$A35)),IF(RTD("tos.rtd",,$A$2,"."&amp;P$2&amp;P$1&amp;"C"&amp;$A35)="N/A",0,RTD("tos.rtd",,$A$2,"."&amp;P$2&amp;P$1&amp;"C"&amp;$A35))-IF(RTD("tos.rtd",,$A$2,"."&amp;P$2&amp;P$1&amp;"P"&amp;$A35)="N/A",0,RTD("tos.rtd",,$A$2,"."&amp;P$2&amp;P$1&amp;"P"&amp;$A35))))))))))</f>
        <v>0</v>
      </c>
      <c r="Q35" s="12">
        <f ca="1">IF($A$2="PREMIUM_OI",IFERROR(IF($X$1="ABS",(100*RTD("tos.rtd",,"OPEN_INT","."&amp;Q$2&amp;Q$1&amp;"C"&amp;$A35)*RTD("tos.rtd",,"LAST","."&amp;Q$2&amp;Q$1&amp;"C"&amp;$A35)+100*RTD("tos.rtd",,"OPEN_INT","."&amp;Q$2&amp;Q$1&amp;"P"&amp;$A35)*RTD("tos.rtd",,"LAST","."&amp;Q$2&amp;Q$1&amp;"P"&amp;$A35))/1000000,(100*RTD("tos.rtd",,"OPEN_INT","."&amp;Q$2&amp;Q$1&amp;"C"&amp;$A35)*RTD("tos.rtd",,"LAST","."&amp;Q$2&amp;Q$1&amp;"C"&amp;$A35)-100*RTD("tos.rtd",,"OPEN_INT","."&amp;Q$2&amp;Q$1&amp;"P"&amp;$A35)*RTD("tos.rtd",,"LAST","."&amp;Q$2&amp;Q$1&amp;"P"&amp;$A35))/1000000),0),IF($A$2="PREMIUM",IFERROR(IF($X$1="ABS",(100*RTD("tos.rtd",,"VOLUME","."&amp;Q$2&amp;Q$1&amp;"C"&amp;$A35)*RTD("tos.rtd",,"LAST","."&amp;Q$2&amp;Q$1&amp;"C"&amp;$A35)+100*RTD("tos.rtd",,"VOLUME","."&amp;Q$2&amp;Q$1&amp;"P"&amp;$A35)*RTD("tos.rtd",,"LAST","."&amp;Q$2&amp;Q$1&amp;"P"&amp;$A35))/1000000,(100*RTD("tos.rtd",,"VOLUME","."&amp;Q$2&amp;Q$1&amp;"C"&amp;$A35)*RTD("tos.rtd",,"LAST","."&amp;Q$2&amp;Q$1&amp;"C"&amp;$A35)-100*RTD("tos.rtd",,"VOLUME","."&amp;Q$2&amp;Q$1&amp;"P"&amp;$A35)*RTD("tos.rtd",,"LAST","."&amp;Q$2&amp;Q$1&amp;"P"&amp;$A35))/1000000),0),IF($A$2="DEX",IFERROR(IF($X$1="ABS",(100*RTD("tos.rtd",,"OPEN_INT","."&amp;Q$2&amp;Q$1&amp;"C"&amp;$A35)*RTD("tos.rtd",,"DELTA","."&amp;Q$2&amp;Q$1&amp;"C"&amp;$A35)+100*RTD("tos.rtd",,"OPEN_INT","."&amp;Q$2&amp;Q$1&amp;"P"&amp;$A35)*RTD("tos.rtd",,"DELTA","."&amp;Q$2&amp;Q$1&amp;"P"&amp;$A35))/1000,(100*RTD("tos.rtd",,"OPEN_INT","."&amp;Q$2&amp;Q$1&amp;"C"&amp;$A35)*RTD("tos.rtd",,"DELTA","."&amp;Q$2&amp;Q$1&amp;"C"&amp;$A35)-100*RTD("tos.rtd",,"OPEN_INT","."&amp;Q$2&amp;Q$1&amp;"P"&amp;$A35)*RTD("tos.rtd",,"DELTA","."&amp;Q$2&amp;Q$1&amp;"P"&amp;$A35))/1000),0),IF($A$2="VEX",IFERROR(IF($X$1="ABS",($A$4*$A$4*RTD("tos.rtd",,"VOLUME","."&amp;Q$2&amp;Q$1&amp;"C"&amp;$A35)*RTD("tos.rtd",,"GAMMA","."&amp;Q$2&amp;Q$1&amp;"C"&amp;$A35)+$A$4*$A$4*RTD("tos.rtd",,"VOLUME","."&amp;Q$2&amp;Q$1&amp;"P"&amp;$A35)*RTD("tos.rtd",,"GAMMA","."&amp;Q$2&amp;Q$1&amp;"P"&amp;$A35))/1000000,($A$4*$A$4*RTD("tos.rtd",,"VOLUME","."&amp;Q$2&amp;Q$1&amp;"C"&amp;$A35)*RTD("tos.rtd",,"GAMMA","."&amp;Q$2&amp;Q$1&amp;"C"&amp;$A35)-$A$4*$A$4*RTD("tos.rtd",,"VOLUME","."&amp;Q$2&amp;Q$1&amp;"P"&amp;$A35)*RTD("tos.rtd",,"GAMMA","."&amp;Q$2&amp;Q$1&amp;"P"&amp;$A35))/1000000),0),IF($A$2="GEX",IFERROR(IF($X$1="ABS",($A$4*$A$4*RTD("tos.rtd",,"OPEN_INT","."&amp;Q$2&amp;Q$1&amp;"C"&amp;$A35)*RTD("tos.rtd",,"GAMMA","."&amp;Q$2&amp;Q$1&amp;"C"&amp;$A35)+$A$4*$A$4*RTD("tos.rtd",,"OPEN_INT","."&amp;Q$2&amp;Q$1&amp;"P"&amp;$A35)*RTD("tos.rtd",,"GAMMA","."&amp;Q$2&amp;Q$1&amp;"P"&amp;$A35))/1000000,($A$4*$A$4*RTD("tos.rtd",,"OPEN_INT","."&amp;Q$2&amp;Q$1&amp;"C"&amp;$A35)*RTD("tos.rtd",,"GAMMA","."&amp;Q$2&amp;Q$1&amp;"C"&amp;$A35)-$A$4*$A$4*RTD("tos.rtd",,"OPEN_INT","."&amp;Q$2&amp;Q$1&amp;"P"&amp;$A35)*RTD("tos.rtd",,"GAMMA","."&amp;Q$2&amp;Q$1&amp;"P"&amp;$A35))/1000000),0),IF($A$2="SKEW",IFERROR(VALUE(IF(RTD("tos.rtd",,"IMPL_VOL","."&amp;Q$2&amp;Q$1&amp;"P"&amp;$A35)="N/A",0,RTD("tos.rtd",,"IMPL_VOL","."&amp;Q$2&amp;Q$1&amp;"P"&amp;$A35))),0)-IFERROR(VALUE(IF(RTD("tos.rtd",,"IMPL_VOL","."&amp;Q$2&amp;Q$1&amp;"C"&amp;$A35)="N/A",0,RTD("tos.rtd",,"IMPL_VOL","."&amp;Q$2&amp;Q$1&amp;"C"&amp;$A35))),0),IF($A$2="MAXPAIN",IF($A$4&gt;$A35,($A$4-$A35)*IF(RTD("tos.rtd",,"OPEN_INT","."&amp;Q$2&amp;Q$1&amp;"C"&amp;$A35)="N/A",0,RTD("tos.rtd",,"OPEN_INT","."&amp;Q$2&amp;Q$1&amp;"C"&amp;$A35)),0)+IF($A$4&lt;$A35,($A$5-$A$4)*IF(RTD("tos.rtd",,"OPEN_INT","."&amp;Q$2&amp;Q$1&amp;"P"&amp;$A35)="N/A",0,RTD("tos.rtd",,"OPEN_INT","."&amp;Q$2&amp;Q$1&amp;"P"&amp;$A35)),0),IF($X$1="ABS",IF(RTD("tos.rtd",,$A$2,"."&amp;Q$2&amp;Q$1&amp;"C"&amp;$A35)="N/A",0,RTD("tos.rtd",,$A$2,"."&amp;Q$2&amp;Q$1&amp;"C"&amp;$A35))+IF(RTD("tos.rtd",,$A$2,"."&amp;Q$2&amp;Q$1&amp;"P"&amp;$A35)="N/A",0,RTD("tos.rtd",,$A$2,"."&amp;Q$2&amp;Q$1&amp;"P"&amp;$A35)),IF(RTD("tos.rtd",,$A$2,"."&amp;Q$2&amp;Q$1&amp;"C"&amp;$A35)="N/A",0,RTD("tos.rtd",,$A$2,"."&amp;Q$2&amp;Q$1&amp;"C"&amp;$A35))-IF(RTD("tos.rtd",,$A$2,"."&amp;Q$2&amp;Q$1&amp;"P"&amp;$A35)="N/A",0,RTD("tos.rtd",,$A$2,"."&amp;Q$2&amp;Q$1&amp;"P"&amp;$A35))))))))))</f>
        <v>0</v>
      </c>
      <c r="R35" s="12">
        <f ca="1">IF($A$2="PREMIUM_OI",IFERROR(IF($X$1="ABS",(100*RTD("tos.rtd",,"OPEN_INT","."&amp;R$2&amp;R$1&amp;"C"&amp;$A35)*RTD("tos.rtd",,"LAST","."&amp;R$2&amp;R$1&amp;"C"&amp;$A35)+100*RTD("tos.rtd",,"OPEN_INT","."&amp;R$2&amp;R$1&amp;"P"&amp;$A35)*RTD("tos.rtd",,"LAST","."&amp;R$2&amp;R$1&amp;"P"&amp;$A35))/1000000,(100*RTD("tos.rtd",,"OPEN_INT","."&amp;R$2&amp;R$1&amp;"C"&amp;$A35)*RTD("tos.rtd",,"LAST","."&amp;R$2&amp;R$1&amp;"C"&amp;$A35)-100*RTD("tos.rtd",,"OPEN_INT","."&amp;R$2&amp;R$1&amp;"P"&amp;$A35)*RTD("tos.rtd",,"LAST","."&amp;R$2&amp;R$1&amp;"P"&amp;$A35))/1000000),0),IF($A$2="PREMIUM",IFERROR(IF($X$1="ABS",(100*RTD("tos.rtd",,"VOLUME","."&amp;R$2&amp;R$1&amp;"C"&amp;$A35)*RTD("tos.rtd",,"LAST","."&amp;R$2&amp;R$1&amp;"C"&amp;$A35)+100*RTD("tos.rtd",,"VOLUME","."&amp;R$2&amp;R$1&amp;"P"&amp;$A35)*RTD("tos.rtd",,"LAST","."&amp;R$2&amp;R$1&amp;"P"&amp;$A35))/1000000,(100*RTD("tos.rtd",,"VOLUME","."&amp;R$2&amp;R$1&amp;"C"&amp;$A35)*RTD("tos.rtd",,"LAST","."&amp;R$2&amp;R$1&amp;"C"&amp;$A35)-100*RTD("tos.rtd",,"VOLUME","."&amp;R$2&amp;R$1&amp;"P"&amp;$A35)*RTD("tos.rtd",,"LAST","."&amp;R$2&amp;R$1&amp;"P"&amp;$A35))/1000000),0),IF($A$2="DEX",IFERROR(IF($X$1="ABS",(100*RTD("tos.rtd",,"OPEN_INT","."&amp;R$2&amp;R$1&amp;"C"&amp;$A35)*RTD("tos.rtd",,"DELTA","."&amp;R$2&amp;R$1&amp;"C"&amp;$A35)+100*RTD("tos.rtd",,"OPEN_INT","."&amp;R$2&amp;R$1&amp;"P"&amp;$A35)*RTD("tos.rtd",,"DELTA","."&amp;R$2&amp;R$1&amp;"P"&amp;$A35))/1000,(100*RTD("tos.rtd",,"OPEN_INT","."&amp;R$2&amp;R$1&amp;"C"&amp;$A35)*RTD("tos.rtd",,"DELTA","."&amp;R$2&amp;R$1&amp;"C"&amp;$A35)-100*RTD("tos.rtd",,"OPEN_INT","."&amp;R$2&amp;R$1&amp;"P"&amp;$A35)*RTD("tos.rtd",,"DELTA","."&amp;R$2&amp;R$1&amp;"P"&amp;$A35))/1000),0),IF($A$2="VEX",IFERROR(IF($X$1="ABS",($A$4*$A$4*RTD("tos.rtd",,"VOLUME","."&amp;R$2&amp;R$1&amp;"C"&amp;$A35)*RTD("tos.rtd",,"GAMMA","."&amp;R$2&amp;R$1&amp;"C"&amp;$A35)+$A$4*$A$4*RTD("tos.rtd",,"VOLUME","."&amp;R$2&amp;R$1&amp;"P"&amp;$A35)*RTD("tos.rtd",,"GAMMA","."&amp;R$2&amp;R$1&amp;"P"&amp;$A35))/1000000,($A$4*$A$4*RTD("tos.rtd",,"VOLUME","."&amp;R$2&amp;R$1&amp;"C"&amp;$A35)*RTD("tos.rtd",,"GAMMA","."&amp;R$2&amp;R$1&amp;"C"&amp;$A35)-$A$4*$A$4*RTD("tos.rtd",,"VOLUME","."&amp;R$2&amp;R$1&amp;"P"&amp;$A35)*RTD("tos.rtd",,"GAMMA","."&amp;R$2&amp;R$1&amp;"P"&amp;$A35))/1000000),0),IF($A$2="GEX",IFERROR(IF($X$1="ABS",($A$4*$A$4*RTD("tos.rtd",,"OPEN_INT","."&amp;R$2&amp;R$1&amp;"C"&amp;$A35)*RTD("tos.rtd",,"GAMMA","."&amp;R$2&amp;R$1&amp;"C"&amp;$A35)+$A$4*$A$4*RTD("tos.rtd",,"OPEN_INT","."&amp;R$2&amp;R$1&amp;"P"&amp;$A35)*RTD("tos.rtd",,"GAMMA","."&amp;R$2&amp;R$1&amp;"P"&amp;$A35))/1000000,($A$4*$A$4*RTD("tos.rtd",,"OPEN_INT","."&amp;R$2&amp;R$1&amp;"C"&amp;$A35)*RTD("tos.rtd",,"GAMMA","."&amp;R$2&amp;R$1&amp;"C"&amp;$A35)-$A$4*$A$4*RTD("tos.rtd",,"OPEN_INT","."&amp;R$2&amp;R$1&amp;"P"&amp;$A35)*RTD("tos.rtd",,"GAMMA","."&amp;R$2&amp;R$1&amp;"P"&amp;$A35))/1000000),0),IF($A$2="SKEW",IFERROR(VALUE(IF(RTD("tos.rtd",,"IMPL_VOL","."&amp;R$2&amp;R$1&amp;"P"&amp;$A35)="N/A",0,RTD("tos.rtd",,"IMPL_VOL","."&amp;R$2&amp;R$1&amp;"P"&amp;$A35))),0)-IFERROR(VALUE(IF(RTD("tos.rtd",,"IMPL_VOL","."&amp;R$2&amp;R$1&amp;"C"&amp;$A35)="N/A",0,RTD("tos.rtd",,"IMPL_VOL","."&amp;R$2&amp;R$1&amp;"C"&amp;$A35))),0),IF($A$2="MAXPAIN",IF($A$4&gt;$A35,($A$4-$A35)*IF(RTD("tos.rtd",,"OPEN_INT","."&amp;R$2&amp;R$1&amp;"C"&amp;$A35)="N/A",0,RTD("tos.rtd",,"OPEN_INT","."&amp;R$2&amp;R$1&amp;"C"&amp;$A35)),0)+IF($A$4&lt;$A35,($A$5-$A$4)*IF(RTD("tos.rtd",,"OPEN_INT","."&amp;R$2&amp;R$1&amp;"P"&amp;$A35)="N/A",0,RTD("tos.rtd",,"OPEN_INT","."&amp;R$2&amp;R$1&amp;"P"&amp;$A35)),0),IF($X$1="ABS",IF(RTD("tos.rtd",,$A$2,"."&amp;R$2&amp;R$1&amp;"C"&amp;$A35)="N/A",0,RTD("tos.rtd",,$A$2,"."&amp;R$2&amp;R$1&amp;"C"&amp;$A35))+IF(RTD("tos.rtd",,$A$2,"."&amp;R$2&amp;R$1&amp;"P"&amp;$A35)="N/A",0,RTD("tos.rtd",,$A$2,"."&amp;R$2&amp;R$1&amp;"P"&amp;$A35)),IF(RTD("tos.rtd",,$A$2,"."&amp;R$2&amp;R$1&amp;"C"&amp;$A35)="N/A",0,RTD("tos.rtd",,$A$2,"."&amp;R$2&amp;R$1&amp;"C"&amp;$A35))-IF(RTD("tos.rtd",,$A$2,"."&amp;R$2&amp;R$1&amp;"P"&amp;$A35)="N/A",0,RTD("tos.rtd",,$A$2,"."&amp;R$2&amp;R$1&amp;"P"&amp;$A35))))))))))</f>
        <v>0</v>
      </c>
      <c r="S35" s="12">
        <f ca="1">IF($A$2="PREMIUM_OI",IFERROR(IF($X$1="ABS",(100*RTD("tos.rtd",,"OPEN_INT","."&amp;S$2&amp;S$1&amp;"C"&amp;$A35)*RTD("tos.rtd",,"LAST","."&amp;S$2&amp;S$1&amp;"C"&amp;$A35)+100*RTD("tos.rtd",,"OPEN_INT","."&amp;S$2&amp;S$1&amp;"P"&amp;$A35)*RTD("tos.rtd",,"LAST","."&amp;S$2&amp;S$1&amp;"P"&amp;$A35))/1000000,(100*RTD("tos.rtd",,"OPEN_INT","."&amp;S$2&amp;S$1&amp;"C"&amp;$A35)*RTD("tos.rtd",,"LAST","."&amp;S$2&amp;S$1&amp;"C"&amp;$A35)-100*RTD("tos.rtd",,"OPEN_INT","."&amp;S$2&amp;S$1&amp;"P"&amp;$A35)*RTD("tos.rtd",,"LAST","."&amp;S$2&amp;S$1&amp;"P"&amp;$A35))/1000000),0),IF($A$2="PREMIUM",IFERROR(IF($X$1="ABS",(100*RTD("tos.rtd",,"VOLUME","."&amp;S$2&amp;S$1&amp;"C"&amp;$A35)*RTD("tos.rtd",,"LAST","."&amp;S$2&amp;S$1&amp;"C"&amp;$A35)+100*RTD("tos.rtd",,"VOLUME","."&amp;S$2&amp;S$1&amp;"P"&amp;$A35)*RTD("tos.rtd",,"LAST","."&amp;S$2&amp;S$1&amp;"P"&amp;$A35))/1000000,(100*RTD("tos.rtd",,"VOLUME","."&amp;S$2&amp;S$1&amp;"C"&amp;$A35)*RTD("tos.rtd",,"LAST","."&amp;S$2&amp;S$1&amp;"C"&amp;$A35)-100*RTD("tos.rtd",,"VOLUME","."&amp;S$2&amp;S$1&amp;"P"&amp;$A35)*RTD("tos.rtd",,"LAST","."&amp;S$2&amp;S$1&amp;"P"&amp;$A35))/1000000),0),IF($A$2="DEX",IFERROR(IF($X$1="ABS",(100*RTD("tos.rtd",,"OPEN_INT","."&amp;S$2&amp;S$1&amp;"C"&amp;$A35)*RTD("tos.rtd",,"DELTA","."&amp;S$2&amp;S$1&amp;"C"&amp;$A35)+100*RTD("tos.rtd",,"OPEN_INT","."&amp;S$2&amp;S$1&amp;"P"&amp;$A35)*RTD("tos.rtd",,"DELTA","."&amp;S$2&amp;S$1&amp;"P"&amp;$A35))/1000,(100*RTD("tos.rtd",,"OPEN_INT","."&amp;S$2&amp;S$1&amp;"C"&amp;$A35)*RTD("tos.rtd",,"DELTA","."&amp;S$2&amp;S$1&amp;"C"&amp;$A35)-100*RTD("tos.rtd",,"OPEN_INT","."&amp;S$2&amp;S$1&amp;"P"&amp;$A35)*RTD("tos.rtd",,"DELTA","."&amp;S$2&amp;S$1&amp;"P"&amp;$A35))/1000),0),IF($A$2="VEX",IFERROR(IF($X$1="ABS",($A$4*$A$4*RTD("tos.rtd",,"VOLUME","."&amp;S$2&amp;S$1&amp;"C"&amp;$A35)*RTD("tos.rtd",,"GAMMA","."&amp;S$2&amp;S$1&amp;"C"&amp;$A35)+$A$4*$A$4*RTD("tos.rtd",,"VOLUME","."&amp;S$2&amp;S$1&amp;"P"&amp;$A35)*RTD("tos.rtd",,"GAMMA","."&amp;S$2&amp;S$1&amp;"P"&amp;$A35))/1000000,($A$4*$A$4*RTD("tos.rtd",,"VOLUME","."&amp;S$2&amp;S$1&amp;"C"&amp;$A35)*RTD("tos.rtd",,"GAMMA","."&amp;S$2&amp;S$1&amp;"C"&amp;$A35)-$A$4*$A$4*RTD("tos.rtd",,"VOLUME","."&amp;S$2&amp;S$1&amp;"P"&amp;$A35)*RTD("tos.rtd",,"GAMMA","."&amp;S$2&amp;S$1&amp;"P"&amp;$A35))/1000000),0),IF($A$2="GEX",IFERROR(IF($X$1="ABS",($A$4*$A$4*RTD("tos.rtd",,"OPEN_INT","."&amp;S$2&amp;S$1&amp;"C"&amp;$A35)*RTD("tos.rtd",,"GAMMA","."&amp;S$2&amp;S$1&amp;"C"&amp;$A35)+$A$4*$A$4*RTD("tos.rtd",,"OPEN_INT","."&amp;S$2&amp;S$1&amp;"P"&amp;$A35)*RTD("tos.rtd",,"GAMMA","."&amp;S$2&amp;S$1&amp;"P"&amp;$A35))/1000000,($A$4*$A$4*RTD("tos.rtd",,"OPEN_INT","."&amp;S$2&amp;S$1&amp;"C"&amp;$A35)*RTD("tos.rtd",,"GAMMA","."&amp;S$2&amp;S$1&amp;"C"&amp;$A35)-$A$4*$A$4*RTD("tos.rtd",,"OPEN_INT","."&amp;S$2&amp;S$1&amp;"P"&amp;$A35)*RTD("tos.rtd",,"GAMMA","."&amp;S$2&amp;S$1&amp;"P"&amp;$A35))/1000000),0),IF($A$2="SKEW",IFERROR(VALUE(IF(RTD("tos.rtd",,"IMPL_VOL","."&amp;S$2&amp;S$1&amp;"P"&amp;$A35)="N/A",0,RTD("tos.rtd",,"IMPL_VOL","."&amp;S$2&amp;S$1&amp;"P"&amp;$A35))),0)-IFERROR(VALUE(IF(RTD("tos.rtd",,"IMPL_VOL","."&amp;S$2&amp;S$1&amp;"C"&amp;$A35)="N/A",0,RTD("tos.rtd",,"IMPL_VOL","."&amp;S$2&amp;S$1&amp;"C"&amp;$A35))),0),IF($A$2="MAXPAIN",IF($A$4&gt;$A35,($A$4-$A35)*IF(RTD("tos.rtd",,"OPEN_INT","."&amp;S$2&amp;S$1&amp;"C"&amp;$A35)="N/A",0,RTD("tos.rtd",,"OPEN_INT","."&amp;S$2&amp;S$1&amp;"C"&amp;$A35)),0)+IF($A$4&lt;$A35,($A$5-$A$4)*IF(RTD("tos.rtd",,"OPEN_INT","."&amp;S$2&amp;S$1&amp;"P"&amp;$A35)="N/A",0,RTD("tos.rtd",,"OPEN_INT","."&amp;S$2&amp;S$1&amp;"P"&amp;$A35)),0),IF($X$1="ABS",IF(RTD("tos.rtd",,$A$2,"."&amp;S$2&amp;S$1&amp;"C"&amp;$A35)="N/A",0,RTD("tos.rtd",,$A$2,"."&amp;S$2&amp;S$1&amp;"C"&amp;$A35))+IF(RTD("tos.rtd",,$A$2,"."&amp;S$2&amp;S$1&amp;"P"&amp;$A35)="N/A",0,RTD("tos.rtd",,$A$2,"."&amp;S$2&amp;S$1&amp;"P"&amp;$A35)),IF(RTD("tos.rtd",,$A$2,"."&amp;S$2&amp;S$1&amp;"C"&amp;$A35)="N/A",0,RTD("tos.rtd",,$A$2,"."&amp;S$2&amp;S$1&amp;"C"&amp;$A35))-IF(RTD("tos.rtd",,$A$2,"."&amp;S$2&amp;S$1&amp;"P"&amp;$A35)="N/A",0,RTD("tos.rtd",,$A$2,"."&amp;S$2&amp;S$1&amp;"P"&amp;$A35))))))))))</f>
        <v>0</v>
      </c>
      <c r="T35" s="12">
        <f ca="1">IF($A$2="PREMIUM_OI",IFERROR(IF($X$1="ABS",(100*RTD("tos.rtd",,"OPEN_INT","."&amp;T$2&amp;T$1&amp;"C"&amp;$A35)*RTD("tos.rtd",,"LAST","."&amp;T$2&amp;T$1&amp;"C"&amp;$A35)+100*RTD("tos.rtd",,"OPEN_INT","."&amp;T$2&amp;T$1&amp;"P"&amp;$A35)*RTD("tos.rtd",,"LAST","."&amp;T$2&amp;T$1&amp;"P"&amp;$A35))/1000000,(100*RTD("tos.rtd",,"OPEN_INT","."&amp;T$2&amp;T$1&amp;"C"&amp;$A35)*RTD("tos.rtd",,"LAST","."&amp;T$2&amp;T$1&amp;"C"&amp;$A35)-100*RTD("tos.rtd",,"OPEN_INT","."&amp;T$2&amp;T$1&amp;"P"&amp;$A35)*RTD("tos.rtd",,"LAST","."&amp;T$2&amp;T$1&amp;"P"&amp;$A35))/1000000),0),IF($A$2="PREMIUM",IFERROR(IF($X$1="ABS",(100*RTD("tos.rtd",,"VOLUME","."&amp;T$2&amp;T$1&amp;"C"&amp;$A35)*RTD("tos.rtd",,"LAST","."&amp;T$2&amp;T$1&amp;"C"&amp;$A35)+100*RTD("tos.rtd",,"VOLUME","."&amp;T$2&amp;T$1&amp;"P"&amp;$A35)*RTD("tos.rtd",,"LAST","."&amp;T$2&amp;T$1&amp;"P"&amp;$A35))/1000000,(100*RTD("tos.rtd",,"VOLUME","."&amp;T$2&amp;T$1&amp;"C"&amp;$A35)*RTD("tos.rtd",,"LAST","."&amp;T$2&amp;T$1&amp;"C"&amp;$A35)-100*RTD("tos.rtd",,"VOLUME","."&amp;T$2&amp;T$1&amp;"P"&amp;$A35)*RTD("tos.rtd",,"LAST","."&amp;T$2&amp;T$1&amp;"P"&amp;$A35))/1000000),0),IF($A$2="DEX",IFERROR(IF($X$1="ABS",(100*RTD("tos.rtd",,"OPEN_INT","."&amp;T$2&amp;T$1&amp;"C"&amp;$A35)*RTD("tos.rtd",,"DELTA","."&amp;T$2&amp;T$1&amp;"C"&amp;$A35)+100*RTD("tos.rtd",,"OPEN_INT","."&amp;T$2&amp;T$1&amp;"P"&amp;$A35)*RTD("tos.rtd",,"DELTA","."&amp;T$2&amp;T$1&amp;"P"&amp;$A35))/1000,(100*RTD("tos.rtd",,"OPEN_INT","."&amp;T$2&amp;T$1&amp;"C"&amp;$A35)*RTD("tos.rtd",,"DELTA","."&amp;T$2&amp;T$1&amp;"C"&amp;$A35)-100*RTD("tos.rtd",,"OPEN_INT","."&amp;T$2&amp;T$1&amp;"P"&amp;$A35)*RTD("tos.rtd",,"DELTA","."&amp;T$2&amp;T$1&amp;"P"&amp;$A35))/1000),0),IF($A$2="VEX",IFERROR(IF($X$1="ABS",($A$4*$A$4*RTD("tos.rtd",,"VOLUME","."&amp;T$2&amp;T$1&amp;"C"&amp;$A35)*RTD("tos.rtd",,"GAMMA","."&amp;T$2&amp;T$1&amp;"C"&amp;$A35)+$A$4*$A$4*RTD("tos.rtd",,"VOLUME","."&amp;T$2&amp;T$1&amp;"P"&amp;$A35)*RTD("tos.rtd",,"GAMMA","."&amp;T$2&amp;T$1&amp;"P"&amp;$A35))/1000000,($A$4*$A$4*RTD("tos.rtd",,"VOLUME","."&amp;T$2&amp;T$1&amp;"C"&amp;$A35)*RTD("tos.rtd",,"GAMMA","."&amp;T$2&amp;T$1&amp;"C"&amp;$A35)-$A$4*$A$4*RTD("tos.rtd",,"VOLUME","."&amp;T$2&amp;T$1&amp;"P"&amp;$A35)*RTD("tos.rtd",,"GAMMA","."&amp;T$2&amp;T$1&amp;"P"&amp;$A35))/1000000),0),IF($A$2="GEX",IFERROR(IF($X$1="ABS",($A$4*$A$4*RTD("tos.rtd",,"OPEN_INT","."&amp;T$2&amp;T$1&amp;"C"&amp;$A35)*RTD("tos.rtd",,"GAMMA","."&amp;T$2&amp;T$1&amp;"C"&amp;$A35)+$A$4*$A$4*RTD("tos.rtd",,"OPEN_INT","."&amp;T$2&amp;T$1&amp;"P"&amp;$A35)*RTD("tos.rtd",,"GAMMA","."&amp;T$2&amp;T$1&amp;"P"&amp;$A35))/1000000,($A$4*$A$4*RTD("tos.rtd",,"OPEN_INT","."&amp;T$2&amp;T$1&amp;"C"&amp;$A35)*RTD("tos.rtd",,"GAMMA","."&amp;T$2&amp;T$1&amp;"C"&amp;$A35)-$A$4*$A$4*RTD("tos.rtd",,"OPEN_INT","."&amp;T$2&amp;T$1&amp;"P"&amp;$A35)*RTD("tos.rtd",,"GAMMA","."&amp;T$2&amp;T$1&amp;"P"&amp;$A35))/1000000),0),IF($A$2="SKEW",IFERROR(VALUE(IF(RTD("tos.rtd",,"IMPL_VOL","."&amp;T$2&amp;T$1&amp;"P"&amp;$A35)="N/A",0,RTD("tos.rtd",,"IMPL_VOL","."&amp;T$2&amp;T$1&amp;"P"&amp;$A35))),0)-IFERROR(VALUE(IF(RTD("tos.rtd",,"IMPL_VOL","."&amp;T$2&amp;T$1&amp;"C"&amp;$A35)="N/A",0,RTD("tos.rtd",,"IMPL_VOL","."&amp;T$2&amp;T$1&amp;"C"&amp;$A35))),0),IF($A$2="MAXPAIN",IF($A$4&gt;$A35,($A$4-$A35)*IF(RTD("tos.rtd",,"OPEN_INT","."&amp;T$2&amp;T$1&amp;"C"&amp;$A35)="N/A",0,RTD("tos.rtd",,"OPEN_INT","."&amp;T$2&amp;T$1&amp;"C"&amp;$A35)),0)+IF($A$4&lt;$A35,($A$5-$A$4)*IF(RTD("tos.rtd",,"OPEN_INT","."&amp;T$2&amp;T$1&amp;"P"&amp;$A35)="N/A",0,RTD("tos.rtd",,"OPEN_INT","."&amp;T$2&amp;T$1&amp;"P"&amp;$A35)),0),IF($X$1="ABS",IF(RTD("tos.rtd",,$A$2,"."&amp;T$2&amp;T$1&amp;"C"&amp;$A35)="N/A",0,RTD("tos.rtd",,$A$2,"."&amp;T$2&amp;T$1&amp;"C"&amp;$A35))+IF(RTD("tos.rtd",,$A$2,"."&amp;T$2&amp;T$1&amp;"P"&amp;$A35)="N/A",0,RTD("tos.rtd",,$A$2,"."&amp;T$2&amp;T$1&amp;"P"&amp;$A35)),IF(RTD("tos.rtd",,$A$2,"."&amp;T$2&amp;T$1&amp;"C"&amp;$A35)="N/A",0,RTD("tos.rtd",,$A$2,"."&amp;T$2&amp;T$1&amp;"C"&amp;$A35))-IF(RTD("tos.rtd",,$A$2,"."&amp;T$2&amp;T$1&amp;"P"&amp;$A35)="N/A",0,RTD("tos.rtd",,$A$2,"."&amp;T$2&amp;T$1&amp;"P"&amp;$A35))))))))))</f>
        <v>0</v>
      </c>
      <c r="U35" s="12">
        <f ca="1">IF($A$2="PREMIUM_OI",IFERROR(IF($X$1="ABS",(100*RTD("tos.rtd",,"OPEN_INT","."&amp;U$2&amp;U$1&amp;"C"&amp;$A35)*RTD("tos.rtd",,"LAST","."&amp;U$2&amp;U$1&amp;"C"&amp;$A35)+100*RTD("tos.rtd",,"OPEN_INT","."&amp;U$2&amp;U$1&amp;"P"&amp;$A35)*RTD("tos.rtd",,"LAST","."&amp;U$2&amp;U$1&amp;"P"&amp;$A35))/1000000,(100*RTD("tos.rtd",,"OPEN_INT","."&amp;U$2&amp;U$1&amp;"C"&amp;$A35)*RTD("tos.rtd",,"LAST","."&amp;U$2&amp;U$1&amp;"C"&amp;$A35)-100*RTD("tos.rtd",,"OPEN_INT","."&amp;U$2&amp;U$1&amp;"P"&amp;$A35)*RTD("tos.rtd",,"LAST","."&amp;U$2&amp;U$1&amp;"P"&amp;$A35))/1000000),0),IF($A$2="PREMIUM",IFERROR(IF($X$1="ABS",(100*RTD("tos.rtd",,"VOLUME","."&amp;U$2&amp;U$1&amp;"C"&amp;$A35)*RTD("tos.rtd",,"LAST","."&amp;U$2&amp;U$1&amp;"C"&amp;$A35)+100*RTD("tos.rtd",,"VOLUME","."&amp;U$2&amp;U$1&amp;"P"&amp;$A35)*RTD("tos.rtd",,"LAST","."&amp;U$2&amp;U$1&amp;"P"&amp;$A35))/1000000,(100*RTD("tos.rtd",,"VOLUME","."&amp;U$2&amp;U$1&amp;"C"&amp;$A35)*RTD("tos.rtd",,"LAST","."&amp;U$2&amp;U$1&amp;"C"&amp;$A35)-100*RTD("tos.rtd",,"VOLUME","."&amp;U$2&amp;U$1&amp;"P"&amp;$A35)*RTD("tos.rtd",,"LAST","."&amp;U$2&amp;U$1&amp;"P"&amp;$A35))/1000000),0),IF($A$2="DEX",IFERROR(IF($X$1="ABS",(100*RTD("tos.rtd",,"OPEN_INT","."&amp;U$2&amp;U$1&amp;"C"&amp;$A35)*RTD("tos.rtd",,"DELTA","."&amp;U$2&amp;U$1&amp;"C"&amp;$A35)+100*RTD("tos.rtd",,"OPEN_INT","."&amp;U$2&amp;U$1&amp;"P"&amp;$A35)*RTD("tos.rtd",,"DELTA","."&amp;U$2&amp;U$1&amp;"P"&amp;$A35))/1000,(100*RTD("tos.rtd",,"OPEN_INT","."&amp;U$2&amp;U$1&amp;"C"&amp;$A35)*RTD("tos.rtd",,"DELTA","."&amp;U$2&amp;U$1&amp;"C"&amp;$A35)-100*RTD("tos.rtd",,"OPEN_INT","."&amp;U$2&amp;U$1&amp;"P"&amp;$A35)*RTD("tos.rtd",,"DELTA","."&amp;U$2&amp;U$1&amp;"P"&amp;$A35))/1000),0),IF($A$2="VEX",IFERROR(IF($X$1="ABS",($A$4*$A$4*RTD("tos.rtd",,"VOLUME","."&amp;U$2&amp;U$1&amp;"C"&amp;$A35)*RTD("tos.rtd",,"GAMMA","."&amp;U$2&amp;U$1&amp;"C"&amp;$A35)+$A$4*$A$4*RTD("tos.rtd",,"VOLUME","."&amp;U$2&amp;U$1&amp;"P"&amp;$A35)*RTD("tos.rtd",,"GAMMA","."&amp;U$2&amp;U$1&amp;"P"&amp;$A35))/1000000,($A$4*$A$4*RTD("tos.rtd",,"VOLUME","."&amp;U$2&amp;U$1&amp;"C"&amp;$A35)*RTD("tos.rtd",,"GAMMA","."&amp;U$2&amp;U$1&amp;"C"&amp;$A35)-$A$4*$A$4*RTD("tos.rtd",,"VOLUME","."&amp;U$2&amp;U$1&amp;"P"&amp;$A35)*RTD("tos.rtd",,"GAMMA","."&amp;U$2&amp;U$1&amp;"P"&amp;$A35))/1000000),0),IF($A$2="GEX",IFERROR(IF($X$1="ABS",($A$4*$A$4*RTD("tos.rtd",,"OPEN_INT","."&amp;U$2&amp;U$1&amp;"C"&amp;$A35)*RTD("tos.rtd",,"GAMMA","."&amp;U$2&amp;U$1&amp;"C"&amp;$A35)+$A$4*$A$4*RTD("tos.rtd",,"OPEN_INT","."&amp;U$2&amp;U$1&amp;"P"&amp;$A35)*RTD("tos.rtd",,"GAMMA","."&amp;U$2&amp;U$1&amp;"P"&amp;$A35))/1000000,($A$4*$A$4*RTD("tos.rtd",,"OPEN_INT","."&amp;U$2&amp;U$1&amp;"C"&amp;$A35)*RTD("tos.rtd",,"GAMMA","."&amp;U$2&amp;U$1&amp;"C"&amp;$A35)-$A$4*$A$4*RTD("tos.rtd",,"OPEN_INT","."&amp;U$2&amp;U$1&amp;"P"&amp;$A35)*RTD("tos.rtd",,"GAMMA","."&amp;U$2&amp;U$1&amp;"P"&amp;$A35))/1000000),0),IF($A$2="SKEW",IFERROR(VALUE(IF(RTD("tos.rtd",,"IMPL_VOL","."&amp;U$2&amp;U$1&amp;"P"&amp;$A35)="N/A",0,RTD("tos.rtd",,"IMPL_VOL","."&amp;U$2&amp;U$1&amp;"P"&amp;$A35))),0)-IFERROR(VALUE(IF(RTD("tos.rtd",,"IMPL_VOL","."&amp;U$2&amp;U$1&amp;"C"&amp;$A35)="N/A",0,RTD("tos.rtd",,"IMPL_VOL","."&amp;U$2&amp;U$1&amp;"C"&amp;$A35))),0),IF($A$2="MAXPAIN",IF($A$4&gt;$A35,($A$4-$A35)*IF(RTD("tos.rtd",,"OPEN_INT","."&amp;U$2&amp;U$1&amp;"C"&amp;$A35)="N/A",0,RTD("tos.rtd",,"OPEN_INT","."&amp;U$2&amp;U$1&amp;"C"&amp;$A35)),0)+IF($A$4&lt;$A35,($A$5-$A$4)*IF(RTD("tos.rtd",,"OPEN_INT","."&amp;U$2&amp;U$1&amp;"P"&amp;$A35)="N/A",0,RTD("tos.rtd",,"OPEN_INT","."&amp;U$2&amp;U$1&amp;"P"&amp;$A35)),0),IF($X$1="ABS",IF(RTD("tos.rtd",,$A$2,"."&amp;U$2&amp;U$1&amp;"C"&amp;$A35)="N/A",0,RTD("tos.rtd",,$A$2,"."&amp;U$2&amp;U$1&amp;"C"&amp;$A35))+IF(RTD("tos.rtd",,$A$2,"."&amp;U$2&amp;U$1&amp;"P"&amp;$A35)="N/A",0,RTD("tos.rtd",,$A$2,"."&amp;U$2&amp;U$1&amp;"P"&amp;$A35)),IF(RTD("tos.rtd",,$A$2,"."&amp;U$2&amp;U$1&amp;"C"&amp;$A35)="N/A",0,RTD("tos.rtd",,$A$2,"."&amp;U$2&amp;U$1&amp;"C"&amp;$A35))-IF(RTD("tos.rtd",,$A$2,"."&amp;U$2&amp;U$1&amp;"P"&amp;$A35)="N/A",0,RTD("tos.rtd",,$A$2,"."&amp;U$2&amp;U$1&amp;"P"&amp;$A35))))))))))</f>
        <v>0</v>
      </c>
      <c r="V35" s="12">
        <f ca="1">IF($A$2="PREMIUM_OI",IFERROR(IF($X$1="ABS",(100*RTD("tos.rtd",,"OPEN_INT","."&amp;V$2&amp;V$1&amp;"C"&amp;$A35)*RTD("tos.rtd",,"LAST","."&amp;V$2&amp;V$1&amp;"C"&amp;$A35)+100*RTD("tos.rtd",,"OPEN_INT","."&amp;V$2&amp;V$1&amp;"P"&amp;$A35)*RTD("tos.rtd",,"LAST","."&amp;V$2&amp;V$1&amp;"P"&amp;$A35))/1000000,(100*RTD("tos.rtd",,"OPEN_INT","."&amp;V$2&amp;V$1&amp;"C"&amp;$A35)*RTD("tos.rtd",,"LAST","."&amp;V$2&amp;V$1&amp;"C"&amp;$A35)-100*RTD("tos.rtd",,"OPEN_INT","."&amp;V$2&amp;V$1&amp;"P"&amp;$A35)*RTD("tos.rtd",,"LAST","."&amp;V$2&amp;V$1&amp;"P"&amp;$A35))/1000000),0),IF($A$2="PREMIUM",IFERROR(IF($X$1="ABS",(100*RTD("tos.rtd",,"VOLUME","."&amp;V$2&amp;V$1&amp;"C"&amp;$A35)*RTD("tos.rtd",,"LAST","."&amp;V$2&amp;V$1&amp;"C"&amp;$A35)+100*RTD("tos.rtd",,"VOLUME","."&amp;V$2&amp;V$1&amp;"P"&amp;$A35)*RTD("tos.rtd",,"LAST","."&amp;V$2&amp;V$1&amp;"P"&amp;$A35))/1000000,(100*RTD("tos.rtd",,"VOLUME","."&amp;V$2&amp;V$1&amp;"C"&amp;$A35)*RTD("tos.rtd",,"LAST","."&amp;V$2&amp;V$1&amp;"C"&amp;$A35)-100*RTD("tos.rtd",,"VOLUME","."&amp;V$2&amp;V$1&amp;"P"&amp;$A35)*RTD("tos.rtd",,"LAST","."&amp;V$2&amp;V$1&amp;"P"&amp;$A35))/1000000),0),IF($A$2="DEX",IFERROR(IF($X$1="ABS",(100*RTD("tos.rtd",,"OPEN_INT","."&amp;V$2&amp;V$1&amp;"C"&amp;$A35)*RTD("tos.rtd",,"DELTA","."&amp;V$2&amp;V$1&amp;"C"&amp;$A35)+100*RTD("tos.rtd",,"OPEN_INT","."&amp;V$2&amp;V$1&amp;"P"&amp;$A35)*RTD("tos.rtd",,"DELTA","."&amp;V$2&amp;V$1&amp;"P"&amp;$A35))/1000,(100*RTD("tos.rtd",,"OPEN_INT","."&amp;V$2&amp;V$1&amp;"C"&amp;$A35)*RTD("tos.rtd",,"DELTA","."&amp;V$2&amp;V$1&amp;"C"&amp;$A35)-100*RTD("tos.rtd",,"OPEN_INT","."&amp;V$2&amp;V$1&amp;"P"&amp;$A35)*RTD("tos.rtd",,"DELTA","."&amp;V$2&amp;V$1&amp;"P"&amp;$A35))/1000),0),IF($A$2="VEX",IFERROR(IF($X$1="ABS",($A$4*$A$4*RTD("tos.rtd",,"VOLUME","."&amp;V$2&amp;V$1&amp;"C"&amp;$A35)*RTD("tos.rtd",,"GAMMA","."&amp;V$2&amp;V$1&amp;"C"&amp;$A35)+$A$4*$A$4*RTD("tos.rtd",,"VOLUME","."&amp;V$2&amp;V$1&amp;"P"&amp;$A35)*RTD("tos.rtd",,"GAMMA","."&amp;V$2&amp;V$1&amp;"P"&amp;$A35))/1000000,($A$4*$A$4*RTD("tos.rtd",,"VOLUME","."&amp;V$2&amp;V$1&amp;"C"&amp;$A35)*RTD("tos.rtd",,"GAMMA","."&amp;V$2&amp;V$1&amp;"C"&amp;$A35)-$A$4*$A$4*RTD("tos.rtd",,"VOLUME","."&amp;V$2&amp;V$1&amp;"P"&amp;$A35)*RTD("tos.rtd",,"GAMMA","."&amp;V$2&amp;V$1&amp;"P"&amp;$A35))/1000000),0),IF($A$2="GEX",IFERROR(IF($X$1="ABS",($A$4*$A$4*RTD("tos.rtd",,"OPEN_INT","."&amp;V$2&amp;V$1&amp;"C"&amp;$A35)*RTD("tos.rtd",,"GAMMA","."&amp;V$2&amp;V$1&amp;"C"&amp;$A35)+$A$4*$A$4*RTD("tos.rtd",,"OPEN_INT","."&amp;V$2&amp;V$1&amp;"P"&amp;$A35)*RTD("tos.rtd",,"GAMMA","."&amp;V$2&amp;V$1&amp;"P"&amp;$A35))/1000000,($A$4*$A$4*RTD("tos.rtd",,"OPEN_INT","."&amp;V$2&amp;V$1&amp;"C"&amp;$A35)*RTD("tos.rtd",,"GAMMA","."&amp;V$2&amp;V$1&amp;"C"&amp;$A35)-$A$4*$A$4*RTD("tos.rtd",,"OPEN_INT","."&amp;V$2&amp;V$1&amp;"P"&amp;$A35)*RTD("tos.rtd",,"GAMMA","."&amp;V$2&amp;V$1&amp;"P"&amp;$A35))/1000000),0),IF($A$2="SKEW",IFERROR(VALUE(IF(RTD("tos.rtd",,"IMPL_VOL","."&amp;V$2&amp;V$1&amp;"P"&amp;$A35)="N/A",0,RTD("tos.rtd",,"IMPL_VOL","."&amp;V$2&amp;V$1&amp;"P"&amp;$A35))),0)-IFERROR(VALUE(IF(RTD("tos.rtd",,"IMPL_VOL","."&amp;V$2&amp;V$1&amp;"C"&amp;$A35)="N/A",0,RTD("tos.rtd",,"IMPL_VOL","."&amp;V$2&amp;V$1&amp;"C"&amp;$A35))),0),IF($A$2="MAXPAIN",IF($A$4&gt;$A35,($A$4-$A35)*IF(RTD("tos.rtd",,"OPEN_INT","."&amp;V$2&amp;V$1&amp;"C"&amp;$A35)="N/A",0,RTD("tos.rtd",,"OPEN_INT","."&amp;V$2&amp;V$1&amp;"C"&amp;$A35)),0)+IF($A$4&lt;$A35,($A$5-$A$4)*IF(RTD("tos.rtd",,"OPEN_INT","."&amp;V$2&amp;V$1&amp;"P"&amp;$A35)="N/A",0,RTD("tos.rtd",,"OPEN_INT","."&amp;V$2&amp;V$1&amp;"P"&amp;$A35)),0),IF($X$1="ABS",IF(RTD("tos.rtd",,$A$2,"."&amp;V$2&amp;V$1&amp;"C"&amp;$A35)="N/A",0,RTD("tos.rtd",,$A$2,"."&amp;V$2&amp;V$1&amp;"C"&amp;$A35))+IF(RTD("tos.rtd",,$A$2,"."&amp;V$2&amp;V$1&amp;"P"&amp;$A35)="N/A",0,RTD("tos.rtd",,$A$2,"."&amp;V$2&amp;V$1&amp;"P"&amp;$A35)),IF(RTD("tos.rtd",,$A$2,"."&amp;V$2&amp;V$1&amp;"C"&amp;$A35)="N/A",0,RTD("tos.rtd",,$A$2,"."&amp;V$2&amp;V$1&amp;"C"&amp;$A35))-IF(RTD("tos.rtd",,$A$2,"."&amp;V$2&amp;V$1&amp;"P"&amp;$A35)="N/A",0,RTD("tos.rtd",,$A$2,"."&amp;V$2&amp;V$1&amp;"P"&amp;$A35))))))))))</f>
        <v>0</v>
      </c>
      <c r="W35" s="54">
        <f ca="1">IF($A$2="PREMIUM_OI",IFERROR(IF($X$1="ABS",(100*RTD("tos.rtd",,"OPEN_INT","."&amp;W$2&amp;W$1&amp;"C"&amp;$A35)*RTD("tos.rtd",,"LAST","."&amp;W$2&amp;W$1&amp;"C"&amp;$A35)+100*RTD("tos.rtd",,"OPEN_INT","."&amp;W$2&amp;W$1&amp;"P"&amp;$A35)*RTD("tos.rtd",,"LAST","."&amp;W$2&amp;W$1&amp;"P"&amp;$A35))/1000000,(100*RTD("tos.rtd",,"OPEN_INT","."&amp;W$2&amp;W$1&amp;"C"&amp;$A35)*RTD("tos.rtd",,"LAST","."&amp;W$2&amp;W$1&amp;"C"&amp;$A35)-100*RTD("tos.rtd",,"OPEN_INT","."&amp;W$2&amp;W$1&amp;"P"&amp;$A35)*RTD("tos.rtd",,"LAST","."&amp;W$2&amp;W$1&amp;"P"&amp;$A35))/1000000),0),IF($A$2="PREMIUM",IFERROR(IF($X$1="ABS",(100*RTD("tos.rtd",,"VOLUME","."&amp;W$2&amp;W$1&amp;"C"&amp;$A35)*RTD("tos.rtd",,"LAST","."&amp;W$2&amp;W$1&amp;"C"&amp;$A35)+100*RTD("tos.rtd",,"VOLUME","."&amp;W$2&amp;W$1&amp;"P"&amp;$A35)*RTD("tos.rtd",,"LAST","."&amp;W$2&amp;W$1&amp;"P"&amp;$A35))/1000000,(100*RTD("tos.rtd",,"VOLUME","."&amp;W$2&amp;W$1&amp;"C"&amp;$A35)*RTD("tos.rtd",,"LAST","."&amp;W$2&amp;W$1&amp;"C"&amp;$A35)-100*RTD("tos.rtd",,"VOLUME","."&amp;W$2&amp;W$1&amp;"P"&amp;$A35)*RTD("tos.rtd",,"LAST","."&amp;W$2&amp;W$1&amp;"P"&amp;$A35))/1000000),0),IF($A$2="DEX",IFERROR(IF($X$1="ABS",(100*RTD("tos.rtd",,"OPEN_INT","."&amp;W$2&amp;W$1&amp;"C"&amp;$A35)*RTD("tos.rtd",,"DELTA","."&amp;W$2&amp;W$1&amp;"C"&amp;$A35)+100*RTD("tos.rtd",,"OPEN_INT","."&amp;W$2&amp;W$1&amp;"P"&amp;$A35)*RTD("tos.rtd",,"DELTA","."&amp;W$2&amp;W$1&amp;"P"&amp;$A35))/1000,(100*RTD("tos.rtd",,"OPEN_INT","."&amp;W$2&amp;W$1&amp;"C"&amp;$A35)*RTD("tos.rtd",,"DELTA","."&amp;W$2&amp;W$1&amp;"C"&amp;$A35)-100*RTD("tos.rtd",,"OPEN_INT","."&amp;W$2&amp;W$1&amp;"P"&amp;$A35)*RTD("tos.rtd",,"DELTA","."&amp;W$2&amp;W$1&amp;"P"&amp;$A35))/1000),0),IF($A$2="VEX",IFERROR(IF($X$1="ABS",($A$4*$A$4*RTD("tos.rtd",,"VOLUME","."&amp;W$2&amp;W$1&amp;"C"&amp;$A35)*RTD("tos.rtd",,"GAMMA","."&amp;W$2&amp;W$1&amp;"C"&amp;$A35)+$A$4*$A$4*RTD("tos.rtd",,"VOLUME","."&amp;W$2&amp;W$1&amp;"P"&amp;$A35)*RTD("tos.rtd",,"GAMMA","."&amp;W$2&amp;W$1&amp;"P"&amp;$A35))/1000000,($A$4*$A$4*RTD("tos.rtd",,"VOLUME","."&amp;W$2&amp;W$1&amp;"C"&amp;$A35)*RTD("tos.rtd",,"GAMMA","."&amp;W$2&amp;W$1&amp;"C"&amp;$A35)-$A$4*$A$4*RTD("tos.rtd",,"VOLUME","."&amp;W$2&amp;W$1&amp;"P"&amp;$A35)*RTD("tos.rtd",,"GAMMA","."&amp;W$2&amp;W$1&amp;"P"&amp;$A35))/1000000),0),IF($A$2="GEX",IFERROR(IF($X$1="ABS",($A$4*$A$4*RTD("tos.rtd",,"OPEN_INT","."&amp;W$2&amp;W$1&amp;"C"&amp;$A35)*RTD("tos.rtd",,"GAMMA","."&amp;W$2&amp;W$1&amp;"C"&amp;$A35)+$A$4*$A$4*RTD("tos.rtd",,"OPEN_INT","."&amp;W$2&amp;W$1&amp;"P"&amp;$A35)*RTD("tos.rtd",,"GAMMA","."&amp;W$2&amp;W$1&amp;"P"&amp;$A35))/1000000,($A$4*$A$4*RTD("tos.rtd",,"OPEN_INT","."&amp;W$2&amp;W$1&amp;"C"&amp;$A35)*RTD("tos.rtd",,"GAMMA","."&amp;W$2&amp;W$1&amp;"C"&amp;$A35)-$A$4*$A$4*RTD("tos.rtd",,"OPEN_INT","."&amp;W$2&amp;W$1&amp;"P"&amp;$A35)*RTD("tos.rtd",,"GAMMA","."&amp;W$2&amp;W$1&amp;"P"&amp;$A35))/1000000),0),IF($A$2="SKEW",IFERROR(VALUE(IF(RTD("tos.rtd",,"IMPL_VOL","."&amp;W$2&amp;W$1&amp;"P"&amp;$A35)="N/A",0,RTD("tos.rtd",,"IMPL_VOL","."&amp;W$2&amp;W$1&amp;"P"&amp;$A35))),0)-IFERROR(VALUE(IF(RTD("tos.rtd",,"IMPL_VOL","."&amp;W$2&amp;W$1&amp;"C"&amp;$A35)="N/A",0,RTD("tos.rtd",,"IMPL_VOL","."&amp;W$2&amp;W$1&amp;"C"&amp;$A35))),0),IF($A$2="MAXPAIN",IF($A$4&gt;$A35,($A$4-$A35)*IF(RTD("tos.rtd",,"OPEN_INT","."&amp;W$2&amp;W$1&amp;"C"&amp;$A35)="N/A",0,RTD("tos.rtd",,"OPEN_INT","."&amp;W$2&amp;W$1&amp;"C"&amp;$A35)),0)+IF($A$4&lt;$A35,($A$5-$A$4)*IF(RTD("tos.rtd",,"OPEN_INT","."&amp;W$2&amp;W$1&amp;"P"&amp;$A35)="N/A",0,RTD("tos.rtd",,"OPEN_INT","."&amp;W$2&amp;W$1&amp;"P"&amp;$A35)),0),IF($X$1="ABS",IF(RTD("tos.rtd",,$A$2,"."&amp;W$2&amp;W$1&amp;"C"&amp;$A35)="N/A",0,RTD("tos.rtd",,$A$2,"."&amp;W$2&amp;W$1&amp;"C"&amp;$A35))+IF(RTD("tos.rtd",,$A$2,"."&amp;W$2&amp;W$1&amp;"P"&amp;$A35)="N/A",0,RTD("tos.rtd",,$A$2,"."&amp;W$2&amp;W$1&amp;"P"&amp;$A35)),IF(RTD("tos.rtd",,$A$2,"."&amp;W$2&amp;W$1&amp;"C"&amp;$A35)="N/A",0,RTD("tos.rtd",,$A$2,"."&amp;W$2&amp;W$1&amp;"C"&amp;$A35))-IF(RTD("tos.rtd",,$A$2,"."&amp;W$2&amp;W$1&amp;"P"&amp;$A35)="N/A",0,RTD("tos.rtd",,$A$2,"."&amp;W$2&amp;W$1&amp;"P"&amp;$A35))))))))))</f>
        <v>0</v>
      </c>
      <c r="X35" s="57">
        <f t="shared" ca="1" si="8"/>
        <v>0</v>
      </c>
      <c r="Y35" s="27">
        <f t="shared" ca="1" si="9"/>
        <v>0</v>
      </c>
      <c r="Z35" s="27">
        <f ca="1">+'OI-VOL'!Y35</f>
        <v>-5160</v>
      </c>
      <c r="AA35" s="27" t="b">
        <f t="shared" ca="1" si="10"/>
        <v>0</v>
      </c>
      <c r="AB35" s="27">
        <f t="shared" si="11"/>
        <v>5896200</v>
      </c>
      <c r="AC35" s="18">
        <f>MAX(0, $A35-AC$4)*IF(RTD("tos.rtd",,"OPEN_INT","."&amp;$AB$3&amp;$AB$4&amp;"C"&amp;AC$4)="N/A",0,RTD("tos.rtd",,"OPEN_INT","."&amp;$AB$3&amp;$AB$4&amp;"C"&amp;AC$4))*100 + MAX(0, AC$4-$A35)*IF(RTD("tos.rtd",,"OPEN_INT","."&amp;$AB$3&amp;$AB$4&amp;"P"&amp;AC$4)="N/A",0,RTD("tos.rtd",,"OPEN_INT","."&amp;$AB$3&amp;$AB$4&amp;"P"&amp;AC$4))*100</f>
        <v>0</v>
      </c>
      <c r="AD35" s="18">
        <f>MAX(0, $A35-AD$4)*IF(RTD("tos.rtd",,"OPEN_INT","."&amp;$AB$3&amp;$AB$4&amp;"C"&amp;AD$4)="N/A",0,RTD("tos.rtd",,"OPEN_INT","."&amp;$AB$3&amp;$AB$4&amp;"C"&amp;AD$4))*100 + MAX(0, AD$4-$A35)*IF(RTD("tos.rtd",,"OPEN_INT","."&amp;$AB$3&amp;$AB$4&amp;"P"&amp;AD$4)="N/A",0,RTD("tos.rtd",,"OPEN_INT","."&amp;$AB$3&amp;$AB$4&amp;"P"&amp;AD$4))*100</f>
        <v>0</v>
      </c>
      <c r="AE35" s="18">
        <f>MAX(0, $A35-AE$4)*IF(RTD("tos.rtd",,"OPEN_INT","."&amp;$AB$3&amp;$AB$4&amp;"C"&amp;AE$4)="N/A",0,RTD("tos.rtd",,"OPEN_INT","."&amp;$AB$3&amp;$AB$4&amp;"C"&amp;AE$4))*100 + MAX(0, AE$4-$A35)*IF(RTD("tos.rtd",,"OPEN_INT","."&amp;$AB$3&amp;$AB$4&amp;"P"&amp;AE$4)="N/A",0,RTD("tos.rtd",,"OPEN_INT","."&amp;$AB$3&amp;$AB$4&amp;"P"&amp;AE$4))*100</f>
        <v>0</v>
      </c>
      <c r="AF35" s="18">
        <f>MAX(0, $A35-AF$4)*IF(RTD("tos.rtd",,"OPEN_INT","."&amp;$AB$3&amp;$AB$4&amp;"C"&amp;AF$4)="N/A",0,RTD("tos.rtd",,"OPEN_INT","."&amp;$AB$3&amp;$AB$4&amp;"C"&amp;AF$4))*100 + MAX(0, AF$4-$A35)*IF(RTD("tos.rtd",,"OPEN_INT","."&amp;$AB$3&amp;$AB$4&amp;"P"&amp;AF$4)="N/A",0,RTD("tos.rtd",,"OPEN_INT","."&amp;$AB$3&amp;$AB$4&amp;"P"&amp;AF$4))*100</f>
        <v>0</v>
      </c>
      <c r="AG35" s="18">
        <f>MAX(0, $A35-AG$4)*IF(RTD("tos.rtd",,"OPEN_INT","."&amp;$AB$3&amp;$AB$4&amp;"C"&amp;AG$4)="N/A",0,RTD("tos.rtd",,"OPEN_INT","."&amp;$AB$3&amp;$AB$4&amp;"C"&amp;AG$4))*100 + MAX(0, AG$4-$A35)*IF(RTD("tos.rtd",,"OPEN_INT","."&amp;$AB$3&amp;$AB$4&amp;"P"&amp;AG$4)="N/A",0,RTD("tos.rtd",,"OPEN_INT","."&amp;$AB$3&amp;$AB$4&amp;"P"&amp;AG$4))*100</f>
        <v>0</v>
      </c>
      <c r="AH35" s="18">
        <f>MAX(0, $A35-AH$4)*IF(RTD("tos.rtd",,"OPEN_INT","."&amp;$AB$3&amp;$AB$4&amp;"C"&amp;AH$4)="N/A",0,RTD("tos.rtd",,"OPEN_INT","."&amp;$AB$3&amp;$AB$4&amp;"C"&amp;AH$4))*100 + MAX(0, AH$4-$A35)*IF(RTD("tos.rtd",,"OPEN_INT","."&amp;$AB$3&amp;$AB$4&amp;"P"&amp;AH$4)="N/A",0,RTD("tos.rtd",,"OPEN_INT","."&amp;$AB$3&amp;$AB$4&amp;"P"&amp;AH$4))*100</f>
        <v>0</v>
      </c>
      <c r="AI35" s="18">
        <f>MAX(0, $A35-AI$4)*IF(RTD("tos.rtd",,"OPEN_INT","."&amp;$AB$3&amp;$AB$4&amp;"C"&amp;AI$4)="N/A",0,RTD("tos.rtd",,"OPEN_INT","."&amp;$AB$3&amp;$AB$4&amp;"C"&amp;AI$4))*100 + MAX(0, AI$4-$A35)*IF(RTD("tos.rtd",,"OPEN_INT","."&amp;$AB$3&amp;$AB$4&amp;"P"&amp;AI$4)="N/A",0,RTD("tos.rtd",,"OPEN_INT","."&amp;$AB$3&amp;$AB$4&amp;"P"&amp;AI$4))*100</f>
        <v>0</v>
      </c>
      <c r="AJ35" s="18">
        <f>MAX(0, $A35-AJ$4)*IF(RTD("tos.rtd",,"OPEN_INT","."&amp;$AB$3&amp;$AB$4&amp;"C"&amp;AJ$4)="N/A",0,RTD("tos.rtd",,"OPEN_INT","."&amp;$AB$3&amp;$AB$4&amp;"C"&amp;AJ$4))*100 + MAX(0, AJ$4-$A35)*IF(RTD("tos.rtd",,"OPEN_INT","."&amp;$AB$3&amp;$AB$4&amp;"P"&amp;AJ$4)="N/A",0,RTD("tos.rtd",,"OPEN_INT","."&amp;$AB$3&amp;$AB$4&amp;"P"&amp;AJ$4))*100</f>
        <v>3450</v>
      </c>
      <c r="AK35" s="18">
        <f>MAX(0, $A35-AK$4)*IF(RTD("tos.rtd",,"OPEN_INT","."&amp;$AB$3&amp;$AB$4&amp;"C"&amp;AK$4)="N/A",0,RTD("tos.rtd",,"OPEN_INT","."&amp;$AB$3&amp;$AB$4&amp;"C"&amp;AK$4))*100 + MAX(0, AK$4-$A35)*IF(RTD("tos.rtd",,"OPEN_INT","."&amp;$AB$3&amp;$AB$4&amp;"P"&amp;AK$4)="N/A",0,RTD("tos.rtd",,"OPEN_INT","."&amp;$AB$3&amp;$AB$4&amp;"P"&amp;AK$4))*100</f>
        <v>8800</v>
      </c>
      <c r="AL35" s="18">
        <f>MAX(0, $A35-AL$4)*IF(RTD("tos.rtd",,"OPEN_INT","."&amp;$AB$3&amp;$AB$4&amp;"C"&amp;AL$4)="N/A",0,RTD("tos.rtd",,"OPEN_INT","."&amp;$AB$3&amp;$AB$4&amp;"C"&amp;AL$4))*100 + MAX(0, AL$4-$A35)*IF(RTD("tos.rtd",,"OPEN_INT","."&amp;$AB$3&amp;$AB$4&amp;"P"&amp;AL$4)="N/A",0,RTD("tos.rtd",,"OPEN_INT","."&amp;$AB$3&amp;$AB$4&amp;"P"&amp;AL$4))*100</f>
        <v>0</v>
      </c>
      <c r="AM35" s="18">
        <f>MAX(0, $A35-AM$4)*IF(RTD("tos.rtd",,"OPEN_INT","."&amp;$AB$3&amp;$AB$4&amp;"C"&amp;AM$4)="N/A",0,RTD("tos.rtd",,"OPEN_INT","."&amp;$AB$3&amp;$AB$4&amp;"C"&amp;AM$4))*100 + MAX(0, AM$4-$A35)*IF(RTD("tos.rtd",,"OPEN_INT","."&amp;$AB$3&amp;$AB$4&amp;"P"&amp;AM$4)="N/A",0,RTD("tos.rtd",,"OPEN_INT","."&amp;$AB$3&amp;$AB$4&amp;"P"&amp;AM$4))*100</f>
        <v>0</v>
      </c>
      <c r="AN35" s="18">
        <f>MAX(0, $A35-AN$4)*IF(RTD("tos.rtd",,"OPEN_INT","."&amp;$AB$3&amp;$AB$4&amp;"C"&amp;AN$4)="N/A",0,RTD("tos.rtd",,"OPEN_INT","."&amp;$AB$3&amp;$AB$4&amp;"C"&amp;AN$4))*100 + MAX(0, AN$4-$A35)*IF(RTD("tos.rtd",,"OPEN_INT","."&amp;$AB$3&amp;$AB$4&amp;"P"&amp;AN$4)="N/A",0,RTD("tos.rtd",,"OPEN_INT","."&amp;$AB$3&amp;$AB$4&amp;"P"&amp;AN$4))*100</f>
        <v>0</v>
      </c>
      <c r="AO35" s="18">
        <f>MAX(0, $A35-AO$4)*IF(RTD("tos.rtd",,"OPEN_INT","."&amp;$AB$3&amp;$AB$4&amp;"C"&amp;AO$4)="N/A",0,RTD("tos.rtd",,"OPEN_INT","."&amp;$AB$3&amp;$AB$4&amp;"C"&amp;AO$4))*100 + MAX(0, AO$4-$A35)*IF(RTD("tos.rtd",,"OPEN_INT","."&amp;$AB$3&amp;$AB$4&amp;"P"&amp;AO$4)="N/A",0,RTD("tos.rtd",,"OPEN_INT","."&amp;$AB$3&amp;$AB$4&amp;"P"&amp;AO$4))*100</f>
        <v>0</v>
      </c>
      <c r="AP35" s="18">
        <f>MAX(0, $A35-AP$4)*IF(RTD("tos.rtd",,"OPEN_INT","."&amp;$AB$3&amp;$AB$4&amp;"C"&amp;AP$4)="N/A",0,RTD("tos.rtd",,"OPEN_INT","."&amp;$AB$3&amp;$AB$4&amp;"C"&amp;AP$4))*100 + MAX(0, AP$4-$A35)*IF(RTD("tos.rtd",,"OPEN_INT","."&amp;$AB$3&amp;$AB$4&amp;"P"&amp;AP$4)="N/A",0,RTD("tos.rtd",,"OPEN_INT","."&amp;$AB$3&amp;$AB$4&amp;"P"&amp;AP$4))*100</f>
        <v>102000</v>
      </c>
      <c r="AQ35" s="18">
        <f>MAX(0, $A35-AQ$4)*IF(RTD("tos.rtd",,"OPEN_INT","."&amp;$AB$3&amp;$AB$4&amp;"C"&amp;AQ$4)="N/A",0,RTD("tos.rtd",,"OPEN_INT","."&amp;$AB$3&amp;$AB$4&amp;"C"&amp;AQ$4))*100 + MAX(0, AQ$4-$A35)*IF(RTD("tos.rtd",,"OPEN_INT","."&amp;$AB$3&amp;$AB$4&amp;"P"&amp;AQ$4)="N/A",0,RTD("tos.rtd",,"OPEN_INT","."&amp;$AB$3&amp;$AB$4&amp;"P"&amp;AQ$4))*100</f>
        <v>0</v>
      </c>
      <c r="AR35" s="18">
        <f>MAX(0, $A35-AR$4)*IF(RTD("tos.rtd",,"OPEN_INT","."&amp;$AB$3&amp;$AB$4&amp;"C"&amp;AR$4)="N/A",0,RTD("tos.rtd",,"OPEN_INT","."&amp;$AB$3&amp;$AB$4&amp;"C"&amp;AR$4))*100 + MAX(0, AR$4-$A35)*IF(RTD("tos.rtd",,"OPEN_INT","."&amp;$AB$3&amp;$AB$4&amp;"P"&amp;AR$4)="N/A",0,RTD("tos.rtd",,"OPEN_INT","."&amp;$AB$3&amp;$AB$4&amp;"P"&amp;AR$4))*100</f>
        <v>39750</v>
      </c>
      <c r="AS35" s="18">
        <f>MAX(0, $A35-AS$4)*IF(RTD("tos.rtd",,"OPEN_INT","."&amp;$AB$3&amp;$AB$4&amp;"C"&amp;AS$4)="N/A",0,RTD("tos.rtd",,"OPEN_INT","."&amp;$AB$3&amp;$AB$4&amp;"C"&amp;AS$4))*100 + MAX(0, AS$4-$A35)*IF(RTD("tos.rtd",,"OPEN_INT","."&amp;$AB$3&amp;$AB$4&amp;"P"&amp;AS$4)="N/A",0,RTD("tos.rtd",,"OPEN_INT","."&amp;$AB$3&amp;$AB$4&amp;"P"&amp;AS$4))*100</f>
        <v>4200</v>
      </c>
      <c r="AT35" s="18">
        <f>MAX(0, $A35-AT$4)*IF(RTD("tos.rtd",,"OPEN_INT","."&amp;$AB$3&amp;$AB$4&amp;"C"&amp;AT$4)="N/A",0,RTD("tos.rtd",,"OPEN_INT","."&amp;$AB$3&amp;$AB$4&amp;"C"&amp;AT$4))*100 + MAX(0, AT$4-$A35)*IF(RTD("tos.rtd",,"OPEN_INT","."&amp;$AB$3&amp;$AB$4&amp;"P"&amp;AT$4)="N/A",0,RTD("tos.rtd",,"OPEN_INT","."&amp;$AB$3&amp;$AB$4&amp;"P"&amp;AT$4))*100</f>
        <v>40300</v>
      </c>
      <c r="AU35" s="18">
        <f>MAX(0, $A35-AU$4)*IF(RTD("tos.rtd",,"OPEN_INT","."&amp;$AB$3&amp;$AB$4&amp;"C"&amp;AU$4)="N/A",0,RTD("tos.rtd",,"OPEN_INT","."&amp;$AB$3&amp;$AB$4&amp;"C"&amp;AU$4))*100 + MAX(0, AU$4-$A35)*IF(RTD("tos.rtd",,"OPEN_INT","."&amp;$AB$3&amp;$AB$4&amp;"P"&amp;AU$4)="N/A",0,RTD("tos.rtd",,"OPEN_INT","."&amp;$AB$3&amp;$AB$4&amp;"P"&amp;AU$4))*100</f>
        <v>42000</v>
      </c>
      <c r="AV35" s="18">
        <f>MAX(0, $A35-AV$4)*IF(RTD("tos.rtd",,"OPEN_INT","."&amp;$AB$3&amp;$AB$4&amp;"C"&amp;AV$4)="N/A",0,RTD("tos.rtd",,"OPEN_INT","."&amp;$AB$3&amp;$AB$4&amp;"C"&amp;AV$4))*100 + MAX(0, AV$4-$A35)*IF(RTD("tos.rtd",,"OPEN_INT","."&amp;$AB$3&amp;$AB$4&amp;"P"&amp;AV$4)="N/A",0,RTD("tos.rtd",,"OPEN_INT","."&amp;$AB$3&amp;$AB$4&amp;"P"&amp;AV$4))*100</f>
        <v>22000</v>
      </c>
      <c r="AW35" s="18">
        <f>MAX(0, $A35-AW$4)*IF(RTD("tos.rtd",,"OPEN_INT","."&amp;$AB$3&amp;$AB$4&amp;"C"&amp;AW$4)="N/A",0,RTD("tos.rtd",,"OPEN_INT","."&amp;$AB$3&amp;$AB$4&amp;"C"&amp;AW$4))*100 + MAX(0, AW$4-$A35)*IF(RTD("tos.rtd",,"OPEN_INT","."&amp;$AB$3&amp;$AB$4&amp;"P"&amp;AW$4)="N/A",0,RTD("tos.rtd",,"OPEN_INT","."&amp;$AB$3&amp;$AB$4&amp;"P"&amp;AW$4))*100</f>
        <v>80500</v>
      </c>
      <c r="AX35" s="18">
        <f>MAX(0, $A35-AX$4)*IF(RTD("tos.rtd",,"OPEN_INT","."&amp;$AB$3&amp;$AB$4&amp;"C"&amp;AX$4)="N/A",0,RTD("tos.rtd",,"OPEN_INT","."&amp;$AB$3&amp;$AB$4&amp;"C"&amp;AX$4))*100 + MAX(0, AX$4-$A35)*IF(RTD("tos.rtd",,"OPEN_INT","."&amp;$AB$3&amp;$AB$4&amp;"P"&amp;AX$4)="N/A",0,RTD("tos.rtd",,"OPEN_INT","."&amp;$AB$3&amp;$AB$4&amp;"P"&amp;AX$4))*100</f>
        <v>90900</v>
      </c>
      <c r="AY35" s="18">
        <f>MAX(0, $A35-AY$4)*IF(RTD("tos.rtd",,"OPEN_INT","."&amp;$AB$3&amp;$AB$4&amp;"C"&amp;AY$4)="N/A",0,RTD("tos.rtd",,"OPEN_INT","."&amp;$AB$3&amp;$AB$4&amp;"C"&amp;AY$4))*100 + MAX(0, AY$4-$A35)*IF(RTD("tos.rtd",,"OPEN_INT","."&amp;$AB$3&amp;$AB$4&amp;"P"&amp;AY$4)="N/A",0,RTD("tos.rtd",,"OPEN_INT","."&amp;$AB$3&amp;$AB$4&amp;"P"&amp;AY$4))*100</f>
        <v>98800</v>
      </c>
      <c r="AZ35" s="18">
        <f>MAX(0, $A35-AZ$4)*IF(RTD("tos.rtd",,"OPEN_INT","."&amp;$AB$3&amp;$AB$4&amp;"C"&amp;AZ$4)="N/A",0,RTD("tos.rtd",,"OPEN_INT","."&amp;$AB$3&amp;$AB$4&amp;"C"&amp;AZ$4))*100 + MAX(0, AZ$4-$A35)*IF(RTD("tos.rtd",,"OPEN_INT","."&amp;$AB$3&amp;$AB$4&amp;"P"&amp;AZ$4)="N/A",0,RTD("tos.rtd",,"OPEN_INT","."&amp;$AB$3&amp;$AB$4&amp;"P"&amp;AZ$4))*100</f>
        <v>725900</v>
      </c>
      <c r="BA35" s="18">
        <f>MAX(0, $A35-BA$4)*IF(RTD("tos.rtd",,"OPEN_INT","."&amp;$AB$3&amp;$AB$4&amp;"C"&amp;BA$4)="N/A",0,RTD("tos.rtd",,"OPEN_INT","."&amp;$AB$3&amp;$AB$4&amp;"C"&amp;BA$4))*100 + MAX(0, BA$4-$A35)*IF(RTD("tos.rtd",,"OPEN_INT","."&amp;$AB$3&amp;$AB$4&amp;"P"&amp;BA$4)="N/A",0,RTD("tos.rtd",,"OPEN_INT","."&amp;$AB$3&amp;$AB$4&amp;"P"&amp;BA$4))*100</f>
        <v>170400</v>
      </c>
      <c r="BB35" s="18">
        <f>MAX(0, $A35-BB$4)*IF(RTD("tos.rtd",,"OPEN_INT","."&amp;$AB$3&amp;$AB$4&amp;"C"&amp;BB$4)="N/A",0,RTD("tos.rtd",,"OPEN_INT","."&amp;$AB$3&amp;$AB$4&amp;"C"&amp;BB$4))*100 + MAX(0, BB$4-$A35)*IF(RTD("tos.rtd",,"OPEN_INT","."&amp;$AB$3&amp;$AB$4&amp;"P"&amp;BB$4)="N/A",0,RTD("tos.rtd",,"OPEN_INT","."&amp;$AB$3&amp;$AB$4&amp;"P"&amp;BB$4))*100</f>
        <v>585000</v>
      </c>
      <c r="BC35" s="18">
        <f>MAX(0, $A35-BC$4)*IF(RTD("tos.rtd",,"OPEN_INT","."&amp;$AB$3&amp;$AB$4&amp;"C"&amp;BC$4)="N/A",0,RTD("tos.rtd",,"OPEN_INT","."&amp;$AB$3&amp;$AB$4&amp;"C"&amp;BC$4))*100 + MAX(0, BC$4-$A35)*IF(RTD("tos.rtd",,"OPEN_INT","."&amp;$AB$3&amp;$AB$4&amp;"P"&amp;BC$4)="N/A",0,RTD("tos.rtd",,"OPEN_INT","."&amp;$AB$3&amp;$AB$4&amp;"P"&amp;BC$4))*100</f>
        <v>456800</v>
      </c>
      <c r="BD35" s="18">
        <f>MAX(0, $A35-BD$4)*IF(RTD("tos.rtd",,"OPEN_INT","."&amp;$AB$3&amp;$AB$4&amp;"C"&amp;BD$4)="N/A",0,RTD("tos.rtd",,"OPEN_INT","."&amp;$AB$3&amp;$AB$4&amp;"C"&amp;BD$4))*100 + MAX(0, BD$4-$A35)*IF(RTD("tos.rtd",,"OPEN_INT","."&amp;$AB$3&amp;$AB$4&amp;"P"&amp;BD$4)="N/A",0,RTD("tos.rtd",,"OPEN_INT","."&amp;$AB$3&amp;$AB$4&amp;"P"&amp;BD$4))*100</f>
        <v>1147650</v>
      </c>
      <c r="BE35" s="18">
        <f>MAX(0, $A35-BE$4)*IF(RTD("tos.rtd",,"OPEN_INT","."&amp;$AB$3&amp;$AB$4&amp;"C"&amp;BE$4)="N/A",0,RTD("tos.rtd",,"OPEN_INT","."&amp;$AB$3&amp;$AB$4&amp;"C"&amp;BE$4))*100 + MAX(0, BE$4-$A35)*IF(RTD("tos.rtd",,"OPEN_INT","."&amp;$AB$3&amp;$AB$4&amp;"P"&amp;BE$4)="N/A",0,RTD("tos.rtd",,"OPEN_INT","."&amp;$AB$3&amp;$AB$4&amp;"P"&amp;BE$4))*100</f>
        <v>982100</v>
      </c>
      <c r="BF35" s="18">
        <f>MAX(0, $A35-BF$4)*IF(RTD("tos.rtd",,"OPEN_INT","."&amp;$AB$3&amp;$AB$4&amp;"C"&amp;BF$4)="N/A",0,RTD("tos.rtd",,"OPEN_INT","."&amp;$AB$3&amp;$AB$4&amp;"C"&amp;BF$4))*100 + MAX(0, BF$4-$A35)*IF(RTD("tos.rtd",,"OPEN_INT","."&amp;$AB$3&amp;$AB$4&amp;"P"&amp;BF$4)="N/A",0,RTD("tos.rtd",,"OPEN_INT","."&amp;$AB$3&amp;$AB$4&amp;"P"&amp;BF$4))*100</f>
        <v>555800</v>
      </c>
      <c r="BG35" s="18">
        <f>MAX(0, $A35-BG$4)*IF(RTD("tos.rtd",,"OPEN_INT","."&amp;$AB$3&amp;$AB$4&amp;"C"&amp;BG$4)="N/A",0,RTD("tos.rtd",,"OPEN_INT","."&amp;$AB$3&amp;$AB$4&amp;"C"&amp;BG$4))*100 + MAX(0, BG$4-$A35)*IF(RTD("tos.rtd",,"OPEN_INT","."&amp;$AB$3&amp;$AB$4&amp;"P"&amp;BG$4)="N/A",0,RTD("tos.rtd",,"OPEN_INT","."&amp;$AB$3&amp;$AB$4&amp;"P"&amp;BG$4))*100</f>
        <v>0</v>
      </c>
      <c r="BH35" s="18">
        <f>MAX(0, $A35-BH$4)*IF(RTD("tos.rtd",,"OPEN_INT","."&amp;$AB$3&amp;$AB$4&amp;"C"&amp;BH$4)="N/A",0,RTD("tos.rtd",,"OPEN_INT","."&amp;$AB$3&amp;$AB$4&amp;"C"&amp;BH$4))*100 + MAX(0, BH$4-$A35)*IF(RTD("tos.rtd",,"OPEN_INT","."&amp;$AB$3&amp;$AB$4&amp;"P"&amp;BH$4)="N/A",0,RTD("tos.rtd",,"OPEN_INT","."&amp;$AB$3&amp;$AB$4&amp;"P"&amp;BH$4))*100</f>
        <v>286700</v>
      </c>
      <c r="BI35" s="18">
        <f>MAX(0, $A35-BI$4)*IF(RTD("tos.rtd",,"OPEN_INT","."&amp;$AB$3&amp;$AB$4&amp;"C"&amp;BI$4)="N/A",0,RTD("tos.rtd",,"OPEN_INT","."&amp;$AB$3&amp;$AB$4&amp;"C"&amp;BI$4))*100 + MAX(0, BI$4-$A35)*IF(RTD("tos.rtd",,"OPEN_INT","."&amp;$AB$3&amp;$AB$4&amp;"P"&amp;BI$4)="N/A",0,RTD("tos.rtd",,"OPEN_INT","."&amp;$AB$3&amp;$AB$4&amp;"P"&amp;BI$4))*100</f>
        <v>194300</v>
      </c>
      <c r="BJ35" s="18">
        <f>MAX(0, $A35-BJ$4)*IF(RTD("tos.rtd",,"OPEN_INT","."&amp;$AB$3&amp;$AB$4&amp;"C"&amp;BJ$4)="N/A",0,RTD("tos.rtd",,"OPEN_INT","."&amp;$AB$3&amp;$AB$4&amp;"C"&amp;BJ$4))*100 + MAX(0, BJ$4-$A35)*IF(RTD("tos.rtd",,"OPEN_INT","."&amp;$AB$3&amp;$AB$4&amp;"P"&amp;BJ$4)="N/A",0,RTD("tos.rtd",,"OPEN_INT","."&amp;$AB$3&amp;$AB$4&amp;"P"&amp;BJ$4))*100</f>
        <v>126300</v>
      </c>
      <c r="BK35" s="18">
        <f>MAX(0, $A35-BK$4)*IF(RTD("tos.rtd",,"OPEN_INT","."&amp;$AB$3&amp;$AB$4&amp;"C"&amp;BK$4)="N/A",0,RTD("tos.rtd",,"OPEN_INT","."&amp;$AB$3&amp;$AB$4&amp;"C"&amp;BK$4))*100 + MAX(0, BK$4-$A35)*IF(RTD("tos.rtd",,"OPEN_INT","."&amp;$AB$3&amp;$AB$4&amp;"P"&amp;BK$4)="N/A",0,RTD("tos.rtd",,"OPEN_INT","."&amp;$AB$3&amp;$AB$4&amp;"P"&amp;BK$4))*100</f>
        <v>30200</v>
      </c>
      <c r="BL35" s="18">
        <f>MAX(0, $A35-BL$4)*IF(RTD("tos.rtd",,"OPEN_INT","."&amp;$AB$3&amp;$AB$4&amp;"C"&amp;BL$4)="N/A",0,RTD("tos.rtd",,"OPEN_INT","."&amp;$AB$3&amp;$AB$4&amp;"C"&amp;BL$4))*100 + MAX(0, BL$4-$A35)*IF(RTD("tos.rtd",,"OPEN_INT","."&amp;$AB$3&amp;$AB$4&amp;"P"&amp;BL$4)="N/A",0,RTD("tos.rtd",,"OPEN_INT","."&amp;$AB$3&amp;$AB$4&amp;"P"&amp;BL$4))*100</f>
        <v>65250</v>
      </c>
      <c r="BM35" s="18">
        <f>MAX(0, $A35-BM$4)*IF(RTD("tos.rtd",,"OPEN_INT","."&amp;$AB$3&amp;$AB$4&amp;"C"&amp;BM$4)="N/A",0,RTD("tos.rtd",,"OPEN_INT","."&amp;$AB$3&amp;$AB$4&amp;"C"&amp;BM$4))*100 + MAX(0, BM$4-$A35)*IF(RTD("tos.rtd",,"OPEN_INT","."&amp;$AB$3&amp;$AB$4&amp;"P"&amp;BM$4)="N/A",0,RTD("tos.rtd",,"OPEN_INT","."&amp;$AB$3&amp;$AB$4&amp;"P"&amp;BM$4))*100</f>
        <v>4800</v>
      </c>
      <c r="BN35" s="18">
        <f>MAX(0, $A35-BN$4)*IF(RTD("tos.rtd",,"OPEN_INT","."&amp;$AB$3&amp;$AB$4&amp;"C"&amp;BN$4)="N/A",0,RTD("tos.rtd",,"OPEN_INT","."&amp;$AB$3&amp;$AB$4&amp;"C"&amp;BN$4))*100 + MAX(0, BN$4-$A35)*IF(RTD("tos.rtd",,"OPEN_INT","."&amp;$AB$3&amp;$AB$4&amp;"P"&amp;BN$4)="N/A",0,RTD("tos.rtd",,"OPEN_INT","."&amp;$AB$3&amp;$AB$4&amp;"P"&amp;BN$4))*100</f>
        <v>2800</v>
      </c>
      <c r="BO35" s="18">
        <f>MAX(0, $A35-BO$4)*IF(RTD("tos.rtd",,"OPEN_INT","."&amp;$AB$3&amp;$AB$4&amp;"C"&amp;BO$4)="N/A",0,RTD("tos.rtd",,"OPEN_INT","."&amp;$AB$3&amp;$AB$4&amp;"C"&amp;BO$4))*100 + MAX(0, BO$4-$A35)*IF(RTD("tos.rtd",,"OPEN_INT","."&amp;$AB$3&amp;$AB$4&amp;"P"&amp;BO$4)="N/A",0,RTD("tos.rtd",,"OPEN_INT","."&amp;$AB$3&amp;$AB$4&amp;"P"&amp;BO$4))*100</f>
        <v>12400</v>
      </c>
      <c r="BP35" s="18">
        <f>MAX(0, $A35-BP$4)*IF(RTD("tos.rtd",,"OPEN_INT","."&amp;$AB$3&amp;$AB$4&amp;"C"&amp;BP$4)="N/A",0,RTD("tos.rtd",,"OPEN_INT","."&amp;$AB$3&amp;$AB$4&amp;"C"&amp;BP$4))*100 + MAX(0, BP$4-$A35)*IF(RTD("tos.rtd",,"OPEN_INT","."&amp;$AB$3&amp;$AB$4&amp;"P"&amp;BP$4)="N/A",0,RTD("tos.rtd",,"OPEN_INT","."&amp;$AB$3&amp;$AB$4&amp;"P"&amp;BP$4))*100</f>
        <v>17100</v>
      </c>
      <c r="BQ35" s="18">
        <f>MAX(0, $A35-BQ$4)*IF(RTD("tos.rtd",,"OPEN_INT","."&amp;$AB$3&amp;$AB$4&amp;"C"&amp;BQ$4)="N/A",0,RTD("tos.rtd",,"OPEN_INT","."&amp;$AB$3&amp;$AB$4&amp;"C"&amp;BQ$4))*100 + MAX(0, BQ$4-$A35)*IF(RTD("tos.rtd",,"OPEN_INT","."&amp;$AB$3&amp;$AB$4&amp;"P"&amp;BQ$4)="N/A",0,RTD("tos.rtd",,"OPEN_INT","."&amp;$AB$3&amp;$AB$4&amp;"P"&amp;BQ$4))*100</f>
        <v>0</v>
      </c>
      <c r="BR35" s="18">
        <f>MAX(0, $A35-BR$4)*IF(RTD("tos.rtd",,"OPEN_INT","."&amp;$AB$3&amp;$AB$4&amp;"C"&amp;BR$4)="N/A",0,RTD("tos.rtd",,"OPEN_INT","."&amp;$AB$3&amp;$AB$4&amp;"C"&amp;BR$4))*100 + MAX(0, BR$4-$A35)*IF(RTD("tos.rtd",,"OPEN_INT","."&amp;$AB$3&amp;$AB$4&amp;"P"&amp;BR$4)="N/A",0,RTD("tos.rtd",,"OPEN_INT","."&amp;$AB$3&amp;$AB$4&amp;"P"&amp;BR$4))*100</f>
        <v>0</v>
      </c>
      <c r="BS35" s="18">
        <f>MAX(0, $A35-BS$4)*IF(RTD("tos.rtd",,"OPEN_INT","."&amp;$AB$3&amp;$AB$4&amp;"C"&amp;BS$4)="N/A",0,RTD("tos.rtd",,"OPEN_INT","."&amp;$AB$3&amp;$AB$4&amp;"C"&amp;BS$4))*100 + MAX(0, BS$4-$A35)*IF(RTD("tos.rtd",,"OPEN_INT","."&amp;$AB$3&amp;$AB$4&amp;"P"&amp;BS$4)="N/A",0,RTD("tos.rtd",,"OPEN_INT","."&amp;$AB$3&amp;$AB$4&amp;"P"&amp;BS$4))*100</f>
        <v>0</v>
      </c>
      <c r="BT35" s="18">
        <f>MAX(0, $A35-BT$4)*IF(RTD("tos.rtd",,"OPEN_INT","."&amp;$AB$3&amp;$AB$4&amp;"C"&amp;BT$4)="N/A",0,RTD("tos.rtd",,"OPEN_INT","."&amp;$AB$3&amp;$AB$4&amp;"C"&amp;BT$4))*100 + MAX(0, BT$4-$A35)*IF(RTD("tos.rtd",,"OPEN_INT","."&amp;$AB$3&amp;$AB$4&amp;"P"&amp;BT$4)="N/A",0,RTD("tos.rtd",,"OPEN_INT","."&amp;$AB$3&amp;$AB$4&amp;"P"&amp;BT$4))*100</f>
        <v>0</v>
      </c>
      <c r="BU35" s="18">
        <f>MAX(0, $A35-BU$4)*IF(RTD("tos.rtd",,"OPEN_INT","."&amp;$AB$3&amp;$AB$4&amp;"C"&amp;BU$4)="N/A",0,RTD("tos.rtd",,"OPEN_INT","."&amp;$AB$3&amp;$AB$4&amp;"C"&amp;BU$4))*100 + MAX(0, BU$4-$A35)*IF(RTD("tos.rtd",,"OPEN_INT","."&amp;$AB$3&amp;$AB$4&amp;"P"&amp;BU$4)="N/A",0,RTD("tos.rtd",,"OPEN_INT","."&amp;$AB$3&amp;$AB$4&amp;"P"&amp;BU$4))*100</f>
        <v>0</v>
      </c>
      <c r="BV35" s="18">
        <f>MAX(0, $A35-BV$4)*IF(RTD("tos.rtd",,"OPEN_INT","."&amp;$AB$3&amp;$AB$4&amp;"C"&amp;BV$4)="N/A",0,RTD("tos.rtd",,"OPEN_INT","."&amp;$AB$3&amp;$AB$4&amp;"C"&amp;BV$4))*100 + MAX(0, BV$4-$A35)*IF(RTD("tos.rtd",,"OPEN_INT","."&amp;$AB$3&amp;$AB$4&amp;"P"&amp;BV$4)="N/A",0,RTD("tos.rtd",,"OPEN_INT","."&amp;$AB$3&amp;$AB$4&amp;"P"&amp;BV$4))*100</f>
        <v>0</v>
      </c>
      <c r="BW35" s="18">
        <f>MAX(0, $A35-BW$4)*IF(RTD("tos.rtd",,"OPEN_INT","."&amp;$AB$3&amp;$AB$4&amp;"C"&amp;BW$4)="N/A",0,RTD("tos.rtd",,"OPEN_INT","."&amp;$AB$3&amp;$AB$4&amp;"C"&amp;BW$4))*100 + MAX(0, BW$4-$A35)*IF(RTD("tos.rtd",,"OPEN_INT","."&amp;$AB$3&amp;$AB$4&amp;"P"&amp;BW$4)="N/A",0,RTD("tos.rtd",,"OPEN_INT","."&amp;$AB$3&amp;$AB$4&amp;"P"&amp;BW$4))*100</f>
        <v>0</v>
      </c>
    </row>
    <row r="36" spans="1:75" s="19" customFormat="1" ht="11.1" customHeight="1" thickBot="1" x14ac:dyDescent="0.3">
      <c r="A36" s="23">
        <f t="shared" si="12"/>
        <v>6</v>
      </c>
      <c r="B36" s="14">
        <f ca="1">IF($A$2="PREMIUM_OI",IFERROR(IF($X$1="ABS",(100*RTD("tos.rtd",,"OPEN_INT","."&amp;B$2&amp;B$1&amp;"C"&amp;$A36)*RTD("tos.rtd",,"LAST","."&amp;B$2&amp;B$1&amp;"C"&amp;$A36)+100*RTD("tos.rtd",,"OPEN_INT","."&amp;B$2&amp;B$1&amp;"P"&amp;$A36)*RTD("tos.rtd",,"LAST","."&amp;B$2&amp;B$1&amp;"P"&amp;$A36))/1000000,(100*RTD("tos.rtd",,"OPEN_INT","."&amp;B$2&amp;B$1&amp;"C"&amp;$A36)*RTD("tos.rtd",,"LAST","."&amp;B$2&amp;B$1&amp;"C"&amp;$A36)-100*RTD("tos.rtd",,"OPEN_INT","."&amp;B$2&amp;B$1&amp;"P"&amp;$A36)*RTD("tos.rtd",,"LAST","."&amp;B$2&amp;B$1&amp;"P"&amp;$A36))/1000000),0),IF($A$2="PREMIUM",IFERROR(IF($X$1="ABS",(100*RTD("tos.rtd",,"VOLUME","."&amp;B$2&amp;B$1&amp;"C"&amp;$A36)*RTD("tos.rtd",,"LAST","."&amp;B$2&amp;B$1&amp;"C"&amp;$A36)+100*RTD("tos.rtd",,"VOLUME","."&amp;B$2&amp;B$1&amp;"P"&amp;$A36)*RTD("tos.rtd",,"LAST","."&amp;B$2&amp;B$1&amp;"P"&amp;$A36))/1000000,(100*RTD("tos.rtd",,"VOLUME","."&amp;B$2&amp;B$1&amp;"C"&amp;$A36)*RTD("tos.rtd",,"LAST","."&amp;B$2&amp;B$1&amp;"C"&amp;$A36)-100*RTD("tos.rtd",,"VOLUME","."&amp;B$2&amp;B$1&amp;"P"&amp;$A36)*RTD("tos.rtd",,"LAST","."&amp;B$2&amp;B$1&amp;"P"&amp;$A36))/1000000),0),IF($A$2="DEX",IFERROR(IF($X$1="ABS",(100*RTD("tos.rtd",,"OPEN_INT","."&amp;B$2&amp;B$1&amp;"C"&amp;$A36)*RTD("tos.rtd",,"DELTA","."&amp;B$2&amp;B$1&amp;"C"&amp;$A36)+100*RTD("tos.rtd",,"OPEN_INT","."&amp;B$2&amp;B$1&amp;"P"&amp;$A36)*RTD("tos.rtd",,"DELTA","."&amp;B$2&amp;B$1&amp;"P"&amp;$A36))/1000,(100*RTD("tos.rtd",,"OPEN_INT","."&amp;B$2&amp;B$1&amp;"C"&amp;$A36)*RTD("tos.rtd",,"DELTA","."&amp;B$2&amp;B$1&amp;"C"&amp;$A36)-100*RTD("tos.rtd",,"OPEN_INT","."&amp;B$2&amp;B$1&amp;"P"&amp;$A36)*RTD("tos.rtd",,"DELTA","."&amp;B$2&amp;B$1&amp;"P"&amp;$A36))/1000),0),IF($A$2="VEX",IFERROR(IF($X$1="ABS",($A$4*$A$4*RTD("tos.rtd",,"VOLUME","."&amp;B$2&amp;B$1&amp;"C"&amp;$A36)*RTD("tos.rtd",,"GAMMA","."&amp;B$2&amp;B$1&amp;"C"&amp;$A36)+$A$4*$A$4*RTD("tos.rtd",,"VOLUME","."&amp;B$2&amp;B$1&amp;"P"&amp;$A36)*RTD("tos.rtd",,"GAMMA","."&amp;B$2&amp;B$1&amp;"P"&amp;$A36))/1000000,($A$4*$A$4*RTD("tos.rtd",,"VOLUME","."&amp;B$2&amp;B$1&amp;"C"&amp;$A36)*RTD("tos.rtd",,"GAMMA","."&amp;B$2&amp;B$1&amp;"C"&amp;$A36)-$A$4*$A$4*RTD("tos.rtd",,"VOLUME","."&amp;B$2&amp;B$1&amp;"P"&amp;$A36)*RTD("tos.rtd",,"GAMMA","."&amp;B$2&amp;B$1&amp;"P"&amp;$A36))/1000000),0),IF($A$2="GEX",IFERROR(IF($X$1="ABS",($A$4*$A$4*RTD("tos.rtd",,"OPEN_INT","."&amp;B$2&amp;B$1&amp;"C"&amp;$A36)*RTD("tos.rtd",,"GAMMA","."&amp;B$2&amp;B$1&amp;"C"&amp;$A36)+$A$4*$A$4*RTD("tos.rtd",,"OPEN_INT","."&amp;B$2&amp;B$1&amp;"P"&amp;$A36)*RTD("tos.rtd",,"GAMMA","."&amp;B$2&amp;B$1&amp;"P"&amp;$A36))/1000000,($A$4*$A$4*RTD("tos.rtd",,"OPEN_INT","."&amp;B$2&amp;B$1&amp;"C"&amp;$A36)*RTD("tos.rtd",,"GAMMA","."&amp;B$2&amp;B$1&amp;"C"&amp;$A36)-$A$4*$A$4*RTD("tos.rtd",,"OPEN_INT","."&amp;B$2&amp;B$1&amp;"P"&amp;$A36)*RTD("tos.rtd",,"GAMMA","."&amp;B$2&amp;B$1&amp;"P"&amp;$A36))/1000000),0),IF($A$2="SKEW",IFERROR(VALUE(IF(RTD("tos.rtd",,"IMPL_VOL","."&amp;B$2&amp;B$1&amp;"P"&amp;$A36)="N/A",0,RTD("tos.rtd",,"IMPL_VOL","."&amp;B$2&amp;B$1&amp;"P"&amp;$A36))),0)-IFERROR(VALUE(IF(RTD("tos.rtd",,"IMPL_VOL","."&amp;B$2&amp;B$1&amp;"C"&amp;$A36)="N/A",0,RTD("tos.rtd",,"IMPL_VOL","."&amp;B$2&amp;B$1&amp;"C"&amp;$A36))),0),IF($A$2="MAXPAIN",IF($A$4&gt;$A36,($A$4-$A36)*IF(RTD("tos.rtd",,"OPEN_INT","."&amp;B$2&amp;B$1&amp;"C"&amp;$A36)="N/A",0,RTD("tos.rtd",,"OPEN_INT","."&amp;B$2&amp;B$1&amp;"C"&amp;$A36)),0)+IF($A$4&lt;$A36,($A$5-$A$4)*IF(RTD("tos.rtd",,"OPEN_INT","."&amp;B$2&amp;B$1&amp;"P"&amp;$A36)="N/A",0,RTD("tos.rtd",,"OPEN_INT","."&amp;B$2&amp;B$1&amp;"P"&amp;$A36)),0),IF($X$1="ABS",IF(RTD("tos.rtd",,$A$2,"."&amp;B$2&amp;B$1&amp;"C"&amp;$A36)="N/A",0,RTD("tos.rtd",,$A$2,"."&amp;B$2&amp;B$1&amp;"C"&amp;$A36))+IF(RTD("tos.rtd",,$A$2,"."&amp;B$2&amp;B$1&amp;"P"&amp;$A36)="N/A",0,RTD("tos.rtd",,$A$2,"."&amp;B$2&amp;B$1&amp;"P"&amp;$A36)),IF(RTD("tos.rtd",,$A$2,"."&amp;B$2&amp;B$1&amp;"C"&amp;$A36)="N/A",0,RTD("tos.rtd",,$A$2,"."&amp;B$2&amp;B$1&amp;"C"&amp;$A36))-IF(RTD("tos.rtd",,$A$2,"."&amp;B$2&amp;B$1&amp;"P"&amp;$A36)="N/A",0,RTD("tos.rtd",,$A$2,"."&amp;B$2&amp;B$1&amp;"P"&amp;$A36))))))))))</f>
        <v>0</v>
      </c>
      <c r="C36" s="14">
        <f ca="1">IF($A$2="PREMIUM_OI",IFERROR(IF($X$1="ABS",(100*RTD("tos.rtd",,"OPEN_INT","."&amp;C$2&amp;C$1&amp;"C"&amp;$A36)*RTD("tos.rtd",,"LAST","."&amp;C$2&amp;C$1&amp;"C"&amp;$A36)+100*RTD("tos.rtd",,"OPEN_INT","."&amp;C$2&amp;C$1&amp;"P"&amp;$A36)*RTD("tos.rtd",,"LAST","."&amp;C$2&amp;C$1&amp;"P"&amp;$A36))/1000000,(100*RTD("tos.rtd",,"OPEN_INT","."&amp;C$2&amp;C$1&amp;"C"&amp;$A36)*RTD("tos.rtd",,"LAST","."&amp;C$2&amp;C$1&amp;"C"&amp;$A36)-100*RTD("tos.rtd",,"OPEN_INT","."&amp;C$2&amp;C$1&amp;"P"&amp;$A36)*RTD("tos.rtd",,"LAST","."&amp;C$2&amp;C$1&amp;"P"&amp;$A36))/1000000),0),IF($A$2="PREMIUM",IFERROR(IF($X$1="ABS",(100*RTD("tos.rtd",,"VOLUME","."&amp;C$2&amp;C$1&amp;"C"&amp;$A36)*RTD("tos.rtd",,"LAST","."&amp;C$2&amp;C$1&amp;"C"&amp;$A36)+100*RTD("tos.rtd",,"VOLUME","."&amp;C$2&amp;C$1&amp;"P"&amp;$A36)*RTD("tos.rtd",,"LAST","."&amp;C$2&amp;C$1&amp;"P"&amp;$A36))/1000000,(100*RTD("tos.rtd",,"VOLUME","."&amp;C$2&amp;C$1&amp;"C"&amp;$A36)*RTD("tos.rtd",,"LAST","."&amp;C$2&amp;C$1&amp;"C"&amp;$A36)-100*RTD("tos.rtd",,"VOLUME","."&amp;C$2&amp;C$1&amp;"P"&amp;$A36)*RTD("tos.rtd",,"LAST","."&amp;C$2&amp;C$1&amp;"P"&amp;$A36))/1000000),0),IF($A$2="DEX",IFERROR(IF($X$1="ABS",(100*RTD("tos.rtd",,"OPEN_INT","."&amp;C$2&amp;C$1&amp;"C"&amp;$A36)*RTD("tos.rtd",,"DELTA","."&amp;C$2&amp;C$1&amp;"C"&amp;$A36)+100*RTD("tos.rtd",,"OPEN_INT","."&amp;C$2&amp;C$1&amp;"P"&amp;$A36)*RTD("tos.rtd",,"DELTA","."&amp;C$2&amp;C$1&amp;"P"&amp;$A36))/1000,(100*RTD("tos.rtd",,"OPEN_INT","."&amp;C$2&amp;C$1&amp;"C"&amp;$A36)*RTD("tos.rtd",,"DELTA","."&amp;C$2&amp;C$1&amp;"C"&amp;$A36)-100*RTD("tos.rtd",,"OPEN_INT","."&amp;C$2&amp;C$1&amp;"P"&amp;$A36)*RTD("tos.rtd",,"DELTA","."&amp;C$2&amp;C$1&amp;"P"&amp;$A36))/1000),0),IF($A$2="VEX",IFERROR(IF($X$1="ABS",($A$4*$A$4*RTD("tos.rtd",,"VOLUME","."&amp;C$2&amp;C$1&amp;"C"&amp;$A36)*RTD("tos.rtd",,"GAMMA","."&amp;C$2&amp;C$1&amp;"C"&amp;$A36)+$A$4*$A$4*RTD("tos.rtd",,"VOLUME","."&amp;C$2&amp;C$1&amp;"P"&amp;$A36)*RTD("tos.rtd",,"GAMMA","."&amp;C$2&amp;C$1&amp;"P"&amp;$A36))/1000000,($A$4*$A$4*RTD("tos.rtd",,"VOLUME","."&amp;C$2&amp;C$1&amp;"C"&amp;$A36)*RTD("tos.rtd",,"GAMMA","."&amp;C$2&amp;C$1&amp;"C"&amp;$A36)-$A$4*$A$4*RTD("tos.rtd",,"VOLUME","."&amp;C$2&amp;C$1&amp;"P"&amp;$A36)*RTD("tos.rtd",,"GAMMA","."&amp;C$2&amp;C$1&amp;"P"&amp;$A36))/1000000),0),IF($A$2="GEX",IFERROR(IF($X$1="ABS",($A$4*$A$4*RTD("tos.rtd",,"OPEN_INT","."&amp;C$2&amp;C$1&amp;"C"&amp;$A36)*RTD("tos.rtd",,"GAMMA","."&amp;C$2&amp;C$1&amp;"C"&amp;$A36)+$A$4*$A$4*RTD("tos.rtd",,"OPEN_INT","."&amp;C$2&amp;C$1&amp;"P"&amp;$A36)*RTD("tos.rtd",,"GAMMA","."&amp;C$2&amp;C$1&amp;"P"&amp;$A36))/1000000,($A$4*$A$4*RTD("tos.rtd",,"OPEN_INT","."&amp;C$2&amp;C$1&amp;"C"&amp;$A36)*RTD("tos.rtd",,"GAMMA","."&amp;C$2&amp;C$1&amp;"C"&amp;$A36)-$A$4*$A$4*RTD("tos.rtd",,"OPEN_INT","."&amp;C$2&amp;C$1&amp;"P"&amp;$A36)*RTD("tos.rtd",,"GAMMA","."&amp;C$2&amp;C$1&amp;"P"&amp;$A36))/1000000),0),IF($A$2="SKEW",IFERROR(VALUE(IF(RTD("tos.rtd",,"IMPL_VOL","."&amp;C$2&amp;C$1&amp;"P"&amp;$A36)="N/A",0,RTD("tos.rtd",,"IMPL_VOL","."&amp;C$2&amp;C$1&amp;"P"&amp;$A36))),0)-IFERROR(VALUE(IF(RTD("tos.rtd",,"IMPL_VOL","."&amp;C$2&amp;C$1&amp;"C"&amp;$A36)="N/A",0,RTD("tos.rtd",,"IMPL_VOL","."&amp;C$2&amp;C$1&amp;"C"&amp;$A36))),0),IF($A$2="MAXPAIN",IF($A$4&gt;$A36,($A$4-$A36)*IF(RTD("tos.rtd",,"OPEN_INT","."&amp;C$2&amp;C$1&amp;"C"&amp;$A36)="N/A",0,RTD("tos.rtd",,"OPEN_INT","."&amp;C$2&amp;C$1&amp;"C"&amp;$A36)),0)+IF($A$4&lt;$A36,($A$5-$A$4)*IF(RTD("tos.rtd",,"OPEN_INT","."&amp;C$2&amp;C$1&amp;"P"&amp;$A36)="N/A",0,RTD("tos.rtd",,"OPEN_INT","."&amp;C$2&amp;C$1&amp;"P"&amp;$A36)),0),IF($X$1="ABS",IF(RTD("tos.rtd",,$A$2,"."&amp;C$2&amp;C$1&amp;"C"&amp;$A36)="N/A",0,RTD("tos.rtd",,$A$2,"."&amp;C$2&amp;C$1&amp;"C"&amp;$A36))+IF(RTD("tos.rtd",,$A$2,"."&amp;C$2&amp;C$1&amp;"P"&amp;$A36)="N/A",0,RTD("tos.rtd",,$A$2,"."&amp;C$2&amp;C$1&amp;"P"&amp;$A36)),IF(RTD("tos.rtd",,$A$2,"."&amp;C$2&amp;C$1&amp;"C"&amp;$A36)="N/A",0,RTD("tos.rtd",,$A$2,"."&amp;C$2&amp;C$1&amp;"C"&amp;$A36))-IF(RTD("tos.rtd",,$A$2,"."&amp;C$2&amp;C$1&amp;"P"&amp;$A36)="N/A",0,RTD("tos.rtd",,$A$2,"."&amp;C$2&amp;C$1&amp;"P"&amp;$A36))))))))))</f>
        <v>0</v>
      </c>
      <c r="D36" s="12">
        <f ca="1">IF($A$2="PREMIUM_OI",IFERROR(IF($X$1="ABS",(100*RTD("tos.rtd",,"OPEN_INT","."&amp;D$2&amp;D$1&amp;"C"&amp;$A36)*RTD("tos.rtd",,"LAST","."&amp;D$2&amp;D$1&amp;"C"&amp;$A36)+100*RTD("tos.rtd",,"OPEN_INT","."&amp;D$2&amp;D$1&amp;"P"&amp;$A36)*RTD("tos.rtd",,"LAST","."&amp;D$2&amp;D$1&amp;"P"&amp;$A36))/1000000,(100*RTD("tos.rtd",,"OPEN_INT","."&amp;D$2&amp;D$1&amp;"C"&amp;$A36)*RTD("tos.rtd",,"LAST","."&amp;D$2&amp;D$1&amp;"C"&amp;$A36)-100*RTD("tos.rtd",,"OPEN_INT","."&amp;D$2&amp;D$1&amp;"P"&amp;$A36)*RTD("tos.rtd",,"LAST","."&amp;D$2&amp;D$1&amp;"P"&amp;$A36))/1000000),0),IF($A$2="PREMIUM",IFERROR(IF($X$1="ABS",(100*RTD("tos.rtd",,"VOLUME","."&amp;D$2&amp;D$1&amp;"C"&amp;$A36)*RTD("tos.rtd",,"LAST","."&amp;D$2&amp;D$1&amp;"C"&amp;$A36)+100*RTD("tos.rtd",,"VOLUME","."&amp;D$2&amp;D$1&amp;"P"&amp;$A36)*RTD("tos.rtd",,"LAST","."&amp;D$2&amp;D$1&amp;"P"&amp;$A36))/1000000,(100*RTD("tos.rtd",,"VOLUME","."&amp;D$2&amp;D$1&amp;"C"&amp;$A36)*RTD("tos.rtd",,"LAST","."&amp;D$2&amp;D$1&amp;"C"&amp;$A36)-100*RTD("tos.rtd",,"VOLUME","."&amp;D$2&amp;D$1&amp;"P"&amp;$A36)*RTD("tos.rtd",,"LAST","."&amp;D$2&amp;D$1&amp;"P"&amp;$A36))/1000000),0),IF($A$2="DEX",IFERROR(IF($X$1="ABS",(100*RTD("tos.rtd",,"OPEN_INT","."&amp;D$2&amp;D$1&amp;"C"&amp;$A36)*RTD("tos.rtd",,"DELTA","."&amp;D$2&amp;D$1&amp;"C"&amp;$A36)+100*RTD("tos.rtd",,"OPEN_INT","."&amp;D$2&amp;D$1&amp;"P"&amp;$A36)*RTD("tos.rtd",,"DELTA","."&amp;D$2&amp;D$1&amp;"P"&amp;$A36))/1000,(100*RTD("tos.rtd",,"OPEN_INT","."&amp;D$2&amp;D$1&amp;"C"&amp;$A36)*RTD("tos.rtd",,"DELTA","."&amp;D$2&amp;D$1&amp;"C"&amp;$A36)-100*RTD("tos.rtd",,"OPEN_INT","."&amp;D$2&amp;D$1&amp;"P"&amp;$A36)*RTD("tos.rtd",,"DELTA","."&amp;D$2&amp;D$1&amp;"P"&amp;$A36))/1000),0),IF($A$2="VEX",IFERROR(IF($X$1="ABS",($A$4*$A$4*RTD("tos.rtd",,"VOLUME","."&amp;D$2&amp;D$1&amp;"C"&amp;$A36)*RTD("tos.rtd",,"GAMMA","."&amp;D$2&amp;D$1&amp;"C"&amp;$A36)+$A$4*$A$4*RTD("tos.rtd",,"VOLUME","."&amp;D$2&amp;D$1&amp;"P"&amp;$A36)*RTD("tos.rtd",,"GAMMA","."&amp;D$2&amp;D$1&amp;"P"&amp;$A36))/1000000,($A$4*$A$4*RTD("tos.rtd",,"VOLUME","."&amp;D$2&amp;D$1&amp;"C"&amp;$A36)*RTD("tos.rtd",,"GAMMA","."&amp;D$2&amp;D$1&amp;"C"&amp;$A36)-$A$4*$A$4*RTD("tos.rtd",,"VOLUME","."&amp;D$2&amp;D$1&amp;"P"&amp;$A36)*RTD("tos.rtd",,"GAMMA","."&amp;D$2&amp;D$1&amp;"P"&amp;$A36))/1000000),0),IF($A$2="GEX",IFERROR(IF($X$1="ABS",($A$4*$A$4*RTD("tos.rtd",,"OPEN_INT","."&amp;D$2&amp;D$1&amp;"C"&amp;$A36)*RTD("tos.rtd",,"GAMMA","."&amp;D$2&amp;D$1&amp;"C"&amp;$A36)+$A$4*$A$4*RTD("tos.rtd",,"OPEN_INT","."&amp;D$2&amp;D$1&amp;"P"&amp;$A36)*RTD("tos.rtd",,"GAMMA","."&amp;D$2&amp;D$1&amp;"P"&amp;$A36))/1000000,($A$4*$A$4*RTD("tos.rtd",,"OPEN_INT","."&amp;D$2&amp;D$1&amp;"C"&amp;$A36)*RTD("tos.rtd",,"GAMMA","."&amp;D$2&amp;D$1&amp;"C"&amp;$A36)-$A$4*$A$4*RTD("tos.rtd",,"OPEN_INT","."&amp;D$2&amp;D$1&amp;"P"&amp;$A36)*RTD("tos.rtd",,"GAMMA","."&amp;D$2&amp;D$1&amp;"P"&amp;$A36))/1000000),0),IF($A$2="SKEW",IFERROR(VALUE(IF(RTD("tos.rtd",,"IMPL_VOL","."&amp;D$2&amp;D$1&amp;"P"&amp;$A36)="N/A",0,RTD("tos.rtd",,"IMPL_VOL","."&amp;D$2&amp;D$1&amp;"P"&amp;$A36))),0)-IFERROR(VALUE(IF(RTD("tos.rtd",,"IMPL_VOL","."&amp;D$2&amp;D$1&amp;"C"&amp;$A36)="N/A",0,RTD("tos.rtd",,"IMPL_VOL","."&amp;D$2&amp;D$1&amp;"C"&amp;$A36))),0),IF($A$2="MAXPAIN",IF($A$4&gt;$A36,($A$4-$A36)*IF(RTD("tos.rtd",,"OPEN_INT","."&amp;D$2&amp;D$1&amp;"C"&amp;$A36)="N/A",0,RTD("tos.rtd",,"OPEN_INT","."&amp;D$2&amp;D$1&amp;"C"&amp;$A36)),0)+IF($A$4&lt;$A36,($A$5-$A$4)*IF(RTD("tos.rtd",,"OPEN_INT","."&amp;D$2&amp;D$1&amp;"P"&amp;$A36)="N/A",0,RTD("tos.rtd",,"OPEN_INT","."&amp;D$2&amp;D$1&amp;"P"&amp;$A36)),0),IF($X$1="ABS",IF(RTD("tos.rtd",,$A$2,"."&amp;D$2&amp;D$1&amp;"C"&amp;$A36)="N/A",0,RTD("tos.rtd",,$A$2,"."&amp;D$2&amp;D$1&amp;"C"&amp;$A36))+IF(RTD("tos.rtd",,$A$2,"."&amp;D$2&amp;D$1&amp;"P"&amp;$A36)="N/A",0,RTD("tos.rtd",,$A$2,"."&amp;D$2&amp;D$1&amp;"P"&amp;$A36)),IF(RTD("tos.rtd",,$A$2,"."&amp;D$2&amp;D$1&amp;"C"&amp;$A36)="N/A",0,RTD("tos.rtd",,$A$2,"."&amp;D$2&amp;D$1&amp;"C"&amp;$A36))-IF(RTD("tos.rtd",,$A$2,"."&amp;D$2&amp;D$1&amp;"P"&amp;$A36)="N/A",0,RTD("tos.rtd",,$A$2,"."&amp;D$2&amp;D$1&amp;"P"&amp;$A36))))))))))</f>
        <v>0</v>
      </c>
      <c r="E36" s="12">
        <f ca="1">IF($A$2="PREMIUM_OI",IFERROR(IF($X$1="ABS",(100*RTD("tos.rtd",,"OPEN_INT","."&amp;E$2&amp;E$1&amp;"C"&amp;$A36)*RTD("tos.rtd",,"LAST","."&amp;E$2&amp;E$1&amp;"C"&amp;$A36)+100*RTD("tos.rtd",,"OPEN_INT","."&amp;E$2&amp;E$1&amp;"P"&amp;$A36)*RTD("tos.rtd",,"LAST","."&amp;E$2&amp;E$1&amp;"P"&amp;$A36))/1000000,(100*RTD("tos.rtd",,"OPEN_INT","."&amp;E$2&amp;E$1&amp;"C"&amp;$A36)*RTD("tos.rtd",,"LAST","."&amp;E$2&amp;E$1&amp;"C"&amp;$A36)-100*RTD("tos.rtd",,"OPEN_INT","."&amp;E$2&amp;E$1&amp;"P"&amp;$A36)*RTD("tos.rtd",,"LAST","."&amp;E$2&amp;E$1&amp;"P"&amp;$A36))/1000000),0),IF($A$2="PREMIUM",IFERROR(IF($X$1="ABS",(100*RTD("tos.rtd",,"VOLUME","."&amp;E$2&amp;E$1&amp;"C"&amp;$A36)*RTD("tos.rtd",,"LAST","."&amp;E$2&amp;E$1&amp;"C"&amp;$A36)+100*RTD("tos.rtd",,"VOLUME","."&amp;E$2&amp;E$1&amp;"P"&amp;$A36)*RTD("tos.rtd",,"LAST","."&amp;E$2&amp;E$1&amp;"P"&amp;$A36))/1000000,(100*RTD("tos.rtd",,"VOLUME","."&amp;E$2&amp;E$1&amp;"C"&amp;$A36)*RTD("tos.rtd",,"LAST","."&amp;E$2&amp;E$1&amp;"C"&amp;$A36)-100*RTD("tos.rtd",,"VOLUME","."&amp;E$2&amp;E$1&amp;"P"&amp;$A36)*RTD("tos.rtd",,"LAST","."&amp;E$2&amp;E$1&amp;"P"&amp;$A36))/1000000),0),IF($A$2="DEX",IFERROR(IF($X$1="ABS",(100*RTD("tos.rtd",,"OPEN_INT","."&amp;E$2&amp;E$1&amp;"C"&amp;$A36)*RTD("tos.rtd",,"DELTA","."&amp;E$2&amp;E$1&amp;"C"&amp;$A36)+100*RTD("tos.rtd",,"OPEN_INT","."&amp;E$2&amp;E$1&amp;"P"&amp;$A36)*RTD("tos.rtd",,"DELTA","."&amp;E$2&amp;E$1&amp;"P"&amp;$A36))/1000,(100*RTD("tos.rtd",,"OPEN_INT","."&amp;E$2&amp;E$1&amp;"C"&amp;$A36)*RTD("tos.rtd",,"DELTA","."&amp;E$2&amp;E$1&amp;"C"&amp;$A36)-100*RTD("tos.rtd",,"OPEN_INT","."&amp;E$2&amp;E$1&amp;"P"&amp;$A36)*RTD("tos.rtd",,"DELTA","."&amp;E$2&amp;E$1&amp;"P"&amp;$A36))/1000),0),IF($A$2="VEX",IFERROR(IF($X$1="ABS",($A$4*$A$4*RTD("tos.rtd",,"VOLUME","."&amp;E$2&amp;E$1&amp;"C"&amp;$A36)*RTD("tos.rtd",,"GAMMA","."&amp;E$2&amp;E$1&amp;"C"&amp;$A36)+$A$4*$A$4*RTD("tos.rtd",,"VOLUME","."&amp;E$2&amp;E$1&amp;"P"&amp;$A36)*RTD("tos.rtd",,"GAMMA","."&amp;E$2&amp;E$1&amp;"P"&amp;$A36))/1000000,($A$4*$A$4*RTD("tos.rtd",,"VOLUME","."&amp;E$2&amp;E$1&amp;"C"&amp;$A36)*RTD("tos.rtd",,"GAMMA","."&amp;E$2&amp;E$1&amp;"C"&amp;$A36)-$A$4*$A$4*RTD("tos.rtd",,"VOLUME","."&amp;E$2&amp;E$1&amp;"P"&amp;$A36)*RTD("tos.rtd",,"GAMMA","."&amp;E$2&amp;E$1&amp;"P"&amp;$A36))/1000000),0),IF($A$2="GEX",IFERROR(IF($X$1="ABS",($A$4*$A$4*RTD("tos.rtd",,"OPEN_INT","."&amp;E$2&amp;E$1&amp;"C"&amp;$A36)*RTD("tos.rtd",,"GAMMA","."&amp;E$2&amp;E$1&amp;"C"&amp;$A36)+$A$4*$A$4*RTD("tos.rtd",,"OPEN_INT","."&amp;E$2&amp;E$1&amp;"P"&amp;$A36)*RTD("tos.rtd",,"GAMMA","."&amp;E$2&amp;E$1&amp;"P"&amp;$A36))/1000000,($A$4*$A$4*RTD("tos.rtd",,"OPEN_INT","."&amp;E$2&amp;E$1&amp;"C"&amp;$A36)*RTD("tos.rtd",,"GAMMA","."&amp;E$2&amp;E$1&amp;"C"&amp;$A36)-$A$4*$A$4*RTD("tos.rtd",,"OPEN_INT","."&amp;E$2&amp;E$1&amp;"P"&amp;$A36)*RTD("tos.rtd",,"GAMMA","."&amp;E$2&amp;E$1&amp;"P"&amp;$A36))/1000000),0),IF($A$2="SKEW",IFERROR(VALUE(IF(RTD("tos.rtd",,"IMPL_VOL","."&amp;E$2&amp;E$1&amp;"P"&amp;$A36)="N/A",0,RTD("tos.rtd",,"IMPL_VOL","."&amp;E$2&amp;E$1&amp;"P"&amp;$A36))),0)-IFERROR(VALUE(IF(RTD("tos.rtd",,"IMPL_VOL","."&amp;E$2&amp;E$1&amp;"C"&amp;$A36)="N/A",0,RTD("tos.rtd",,"IMPL_VOL","."&amp;E$2&amp;E$1&amp;"C"&amp;$A36))),0),IF($A$2="MAXPAIN",IF($A$4&gt;$A36,($A$4-$A36)*IF(RTD("tos.rtd",,"OPEN_INT","."&amp;E$2&amp;E$1&amp;"C"&amp;$A36)="N/A",0,RTD("tos.rtd",,"OPEN_INT","."&amp;E$2&amp;E$1&amp;"C"&amp;$A36)),0)+IF($A$4&lt;$A36,($A$5-$A$4)*IF(RTD("tos.rtd",,"OPEN_INT","."&amp;E$2&amp;E$1&amp;"P"&amp;$A36)="N/A",0,RTD("tos.rtd",,"OPEN_INT","."&amp;E$2&amp;E$1&amp;"P"&amp;$A36)),0),IF($X$1="ABS",IF(RTD("tos.rtd",,$A$2,"."&amp;E$2&amp;E$1&amp;"C"&amp;$A36)="N/A",0,RTD("tos.rtd",,$A$2,"."&amp;E$2&amp;E$1&amp;"C"&amp;$A36))+IF(RTD("tos.rtd",,$A$2,"."&amp;E$2&amp;E$1&amp;"P"&amp;$A36)="N/A",0,RTD("tos.rtd",,$A$2,"."&amp;E$2&amp;E$1&amp;"P"&amp;$A36)),IF(RTD("tos.rtd",,$A$2,"."&amp;E$2&amp;E$1&amp;"C"&amp;$A36)="N/A",0,RTD("tos.rtd",,$A$2,"."&amp;E$2&amp;E$1&amp;"C"&amp;$A36))-IF(RTD("tos.rtd",,$A$2,"."&amp;E$2&amp;E$1&amp;"P"&amp;$A36)="N/A",0,RTD("tos.rtd",,$A$2,"."&amp;E$2&amp;E$1&amp;"P"&amp;$A36))))))))))</f>
        <v>0</v>
      </c>
      <c r="F36" s="12">
        <f ca="1">IF($A$2="PREMIUM_OI",IFERROR(IF($X$1="ABS",(100*RTD("tos.rtd",,"OPEN_INT","."&amp;F$2&amp;F$1&amp;"C"&amp;$A36)*RTD("tos.rtd",,"LAST","."&amp;F$2&amp;F$1&amp;"C"&amp;$A36)+100*RTD("tos.rtd",,"OPEN_INT","."&amp;F$2&amp;F$1&amp;"P"&amp;$A36)*RTD("tos.rtd",,"LAST","."&amp;F$2&amp;F$1&amp;"P"&amp;$A36))/1000000,(100*RTD("tos.rtd",,"OPEN_INT","."&amp;F$2&amp;F$1&amp;"C"&amp;$A36)*RTD("tos.rtd",,"LAST","."&amp;F$2&amp;F$1&amp;"C"&amp;$A36)-100*RTD("tos.rtd",,"OPEN_INT","."&amp;F$2&amp;F$1&amp;"P"&amp;$A36)*RTD("tos.rtd",,"LAST","."&amp;F$2&amp;F$1&amp;"P"&amp;$A36))/1000000),0),IF($A$2="PREMIUM",IFERROR(IF($X$1="ABS",(100*RTD("tos.rtd",,"VOLUME","."&amp;F$2&amp;F$1&amp;"C"&amp;$A36)*RTD("tos.rtd",,"LAST","."&amp;F$2&amp;F$1&amp;"C"&amp;$A36)+100*RTD("tos.rtd",,"VOLUME","."&amp;F$2&amp;F$1&amp;"P"&amp;$A36)*RTD("tos.rtd",,"LAST","."&amp;F$2&amp;F$1&amp;"P"&amp;$A36))/1000000,(100*RTD("tos.rtd",,"VOLUME","."&amp;F$2&amp;F$1&amp;"C"&amp;$A36)*RTD("tos.rtd",,"LAST","."&amp;F$2&amp;F$1&amp;"C"&amp;$A36)-100*RTD("tos.rtd",,"VOLUME","."&amp;F$2&amp;F$1&amp;"P"&amp;$A36)*RTD("tos.rtd",,"LAST","."&amp;F$2&amp;F$1&amp;"P"&amp;$A36))/1000000),0),IF($A$2="DEX",IFERROR(IF($X$1="ABS",(100*RTD("tos.rtd",,"OPEN_INT","."&amp;F$2&amp;F$1&amp;"C"&amp;$A36)*RTD("tos.rtd",,"DELTA","."&amp;F$2&amp;F$1&amp;"C"&amp;$A36)+100*RTD("tos.rtd",,"OPEN_INT","."&amp;F$2&amp;F$1&amp;"P"&amp;$A36)*RTD("tos.rtd",,"DELTA","."&amp;F$2&amp;F$1&amp;"P"&amp;$A36))/1000,(100*RTD("tos.rtd",,"OPEN_INT","."&amp;F$2&amp;F$1&amp;"C"&amp;$A36)*RTD("tos.rtd",,"DELTA","."&amp;F$2&amp;F$1&amp;"C"&amp;$A36)-100*RTD("tos.rtd",,"OPEN_INT","."&amp;F$2&amp;F$1&amp;"P"&amp;$A36)*RTD("tos.rtd",,"DELTA","."&amp;F$2&amp;F$1&amp;"P"&amp;$A36))/1000),0),IF($A$2="VEX",IFERROR(IF($X$1="ABS",($A$4*$A$4*RTD("tos.rtd",,"VOLUME","."&amp;F$2&amp;F$1&amp;"C"&amp;$A36)*RTD("tos.rtd",,"GAMMA","."&amp;F$2&amp;F$1&amp;"C"&amp;$A36)+$A$4*$A$4*RTD("tos.rtd",,"VOLUME","."&amp;F$2&amp;F$1&amp;"P"&amp;$A36)*RTD("tos.rtd",,"GAMMA","."&amp;F$2&amp;F$1&amp;"P"&amp;$A36))/1000000,($A$4*$A$4*RTD("tos.rtd",,"VOLUME","."&amp;F$2&amp;F$1&amp;"C"&amp;$A36)*RTD("tos.rtd",,"GAMMA","."&amp;F$2&amp;F$1&amp;"C"&amp;$A36)-$A$4*$A$4*RTD("tos.rtd",,"VOLUME","."&amp;F$2&amp;F$1&amp;"P"&amp;$A36)*RTD("tos.rtd",,"GAMMA","."&amp;F$2&amp;F$1&amp;"P"&amp;$A36))/1000000),0),IF($A$2="GEX",IFERROR(IF($X$1="ABS",($A$4*$A$4*RTD("tos.rtd",,"OPEN_INT","."&amp;F$2&amp;F$1&amp;"C"&amp;$A36)*RTD("tos.rtd",,"GAMMA","."&amp;F$2&amp;F$1&amp;"C"&amp;$A36)+$A$4*$A$4*RTD("tos.rtd",,"OPEN_INT","."&amp;F$2&amp;F$1&amp;"P"&amp;$A36)*RTD("tos.rtd",,"GAMMA","."&amp;F$2&amp;F$1&amp;"P"&amp;$A36))/1000000,($A$4*$A$4*RTD("tos.rtd",,"OPEN_INT","."&amp;F$2&amp;F$1&amp;"C"&amp;$A36)*RTD("tos.rtd",,"GAMMA","."&amp;F$2&amp;F$1&amp;"C"&amp;$A36)-$A$4*$A$4*RTD("tos.rtd",,"OPEN_INT","."&amp;F$2&amp;F$1&amp;"P"&amp;$A36)*RTD("tos.rtd",,"GAMMA","."&amp;F$2&amp;F$1&amp;"P"&amp;$A36))/1000000),0),IF($A$2="SKEW",IFERROR(VALUE(IF(RTD("tos.rtd",,"IMPL_VOL","."&amp;F$2&amp;F$1&amp;"P"&amp;$A36)="N/A",0,RTD("tos.rtd",,"IMPL_VOL","."&amp;F$2&amp;F$1&amp;"P"&amp;$A36))),0)-IFERROR(VALUE(IF(RTD("tos.rtd",,"IMPL_VOL","."&amp;F$2&amp;F$1&amp;"C"&amp;$A36)="N/A",0,RTD("tos.rtd",,"IMPL_VOL","."&amp;F$2&amp;F$1&amp;"C"&amp;$A36))),0),IF($A$2="MAXPAIN",IF($A$4&gt;$A36,($A$4-$A36)*IF(RTD("tos.rtd",,"OPEN_INT","."&amp;F$2&amp;F$1&amp;"C"&amp;$A36)="N/A",0,RTD("tos.rtd",,"OPEN_INT","."&amp;F$2&amp;F$1&amp;"C"&amp;$A36)),0)+IF($A$4&lt;$A36,($A$5-$A$4)*IF(RTD("tos.rtd",,"OPEN_INT","."&amp;F$2&amp;F$1&amp;"P"&amp;$A36)="N/A",0,RTD("tos.rtd",,"OPEN_INT","."&amp;F$2&amp;F$1&amp;"P"&amp;$A36)),0),IF($X$1="ABS",IF(RTD("tos.rtd",,$A$2,"."&amp;F$2&amp;F$1&amp;"C"&amp;$A36)="N/A",0,RTD("tos.rtd",,$A$2,"."&amp;F$2&amp;F$1&amp;"C"&amp;$A36))+IF(RTD("tos.rtd",,$A$2,"."&amp;F$2&amp;F$1&amp;"P"&amp;$A36)="N/A",0,RTD("tos.rtd",,$A$2,"."&amp;F$2&amp;F$1&amp;"P"&amp;$A36)),IF(RTD("tos.rtd",,$A$2,"."&amp;F$2&amp;F$1&amp;"C"&amp;$A36)="N/A",0,RTD("tos.rtd",,$A$2,"."&amp;F$2&amp;F$1&amp;"C"&amp;$A36))-IF(RTD("tos.rtd",,$A$2,"."&amp;F$2&amp;F$1&amp;"P"&amp;$A36)="N/A",0,RTD("tos.rtd",,$A$2,"."&amp;F$2&amp;F$1&amp;"P"&amp;$A36))))))))))</f>
        <v>0</v>
      </c>
      <c r="G36" s="54">
        <f ca="1">IF($A$2="PREMIUM_OI",IFERROR(IF($X$1="ABS",(100*RTD("tos.rtd",,"OPEN_INT","."&amp;G$2&amp;G$1&amp;"C"&amp;$A36)*RTD("tos.rtd",,"LAST","."&amp;G$2&amp;G$1&amp;"C"&amp;$A36)+100*RTD("tos.rtd",,"OPEN_INT","."&amp;G$2&amp;G$1&amp;"P"&amp;$A36)*RTD("tos.rtd",,"LAST","."&amp;G$2&amp;G$1&amp;"P"&amp;$A36))/1000000,(100*RTD("tos.rtd",,"OPEN_INT","."&amp;G$2&amp;G$1&amp;"C"&amp;$A36)*RTD("tos.rtd",,"LAST","."&amp;G$2&amp;G$1&amp;"C"&amp;$A36)-100*RTD("tos.rtd",,"OPEN_INT","."&amp;G$2&amp;G$1&amp;"P"&amp;$A36)*RTD("tos.rtd",,"LAST","."&amp;G$2&amp;G$1&amp;"P"&amp;$A36))/1000000),0),IF($A$2="PREMIUM",IFERROR(IF($X$1="ABS",(100*RTD("tos.rtd",,"VOLUME","."&amp;G$2&amp;G$1&amp;"C"&amp;$A36)*RTD("tos.rtd",,"LAST","."&amp;G$2&amp;G$1&amp;"C"&amp;$A36)+100*RTD("tos.rtd",,"VOLUME","."&amp;G$2&amp;G$1&amp;"P"&amp;$A36)*RTD("tos.rtd",,"LAST","."&amp;G$2&amp;G$1&amp;"P"&amp;$A36))/1000000,(100*RTD("tos.rtd",,"VOLUME","."&amp;G$2&amp;G$1&amp;"C"&amp;$A36)*RTD("tos.rtd",,"LAST","."&amp;G$2&amp;G$1&amp;"C"&amp;$A36)-100*RTD("tos.rtd",,"VOLUME","."&amp;G$2&amp;G$1&amp;"P"&amp;$A36)*RTD("tos.rtd",,"LAST","."&amp;G$2&amp;G$1&amp;"P"&amp;$A36))/1000000),0),IF($A$2="DEX",IFERROR(IF($X$1="ABS",(100*RTD("tos.rtd",,"OPEN_INT","."&amp;G$2&amp;G$1&amp;"C"&amp;$A36)*RTD("tos.rtd",,"DELTA","."&amp;G$2&amp;G$1&amp;"C"&amp;$A36)+100*RTD("tos.rtd",,"OPEN_INT","."&amp;G$2&amp;G$1&amp;"P"&amp;$A36)*RTD("tos.rtd",,"DELTA","."&amp;G$2&amp;G$1&amp;"P"&amp;$A36))/1000,(100*RTD("tos.rtd",,"OPEN_INT","."&amp;G$2&amp;G$1&amp;"C"&amp;$A36)*RTD("tos.rtd",,"DELTA","."&amp;G$2&amp;G$1&amp;"C"&amp;$A36)-100*RTD("tos.rtd",,"OPEN_INT","."&amp;G$2&amp;G$1&amp;"P"&amp;$A36)*RTD("tos.rtd",,"DELTA","."&amp;G$2&amp;G$1&amp;"P"&amp;$A36))/1000),0),IF($A$2="VEX",IFERROR(IF($X$1="ABS",($A$4*$A$4*RTD("tos.rtd",,"VOLUME","."&amp;G$2&amp;G$1&amp;"C"&amp;$A36)*RTD("tos.rtd",,"GAMMA","."&amp;G$2&amp;G$1&amp;"C"&amp;$A36)+$A$4*$A$4*RTD("tos.rtd",,"VOLUME","."&amp;G$2&amp;G$1&amp;"P"&amp;$A36)*RTD("tos.rtd",,"GAMMA","."&amp;G$2&amp;G$1&amp;"P"&amp;$A36))/1000000,($A$4*$A$4*RTD("tos.rtd",,"VOLUME","."&amp;G$2&amp;G$1&amp;"C"&amp;$A36)*RTD("tos.rtd",,"GAMMA","."&amp;G$2&amp;G$1&amp;"C"&amp;$A36)-$A$4*$A$4*RTD("tos.rtd",,"VOLUME","."&amp;G$2&amp;G$1&amp;"P"&amp;$A36)*RTD("tos.rtd",,"GAMMA","."&amp;G$2&amp;G$1&amp;"P"&amp;$A36))/1000000),0),IF($A$2="GEX",IFERROR(IF($X$1="ABS",($A$4*$A$4*RTD("tos.rtd",,"OPEN_INT","."&amp;G$2&amp;G$1&amp;"C"&amp;$A36)*RTD("tos.rtd",,"GAMMA","."&amp;G$2&amp;G$1&amp;"C"&amp;$A36)+$A$4*$A$4*RTD("tos.rtd",,"OPEN_INT","."&amp;G$2&amp;G$1&amp;"P"&amp;$A36)*RTD("tos.rtd",,"GAMMA","."&amp;G$2&amp;G$1&amp;"P"&amp;$A36))/1000000,($A$4*$A$4*RTD("tos.rtd",,"OPEN_INT","."&amp;G$2&amp;G$1&amp;"C"&amp;$A36)*RTD("tos.rtd",,"GAMMA","."&amp;G$2&amp;G$1&amp;"C"&amp;$A36)-$A$4*$A$4*RTD("tos.rtd",,"OPEN_INT","."&amp;G$2&amp;G$1&amp;"P"&amp;$A36)*RTD("tos.rtd",,"GAMMA","."&amp;G$2&amp;G$1&amp;"P"&amp;$A36))/1000000),0),IF($A$2="SKEW",IFERROR(VALUE(IF(RTD("tos.rtd",,"IMPL_VOL","."&amp;G$2&amp;G$1&amp;"P"&amp;$A36)="N/A",0,RTD("tos.rtd",,"IMPL_VOL","."&amp;G$2&amp;G$1&amp;"P"&amp;$A36))),0)-IFERROR(VALUE(IF(RTD("tos.rtd",,"IMPL_VOL","."&amp;G$2&amp;G$1&amp;"C"&amp;$A36)="N/A",0,RTD("tos.rtd",,"IMPL_VOL","."&amp;G$2&amp;G$1&amp;"C"&amp;$A36))),0),IF($A$2="MAXPAIN",IF($A$4&gt;$A36,($A$4-$A36)*IF(RTD("tos.rtd",,"OPEN_INT","."&amp;G$2&amp;G$1&amp;"C"&amp;$A36)="N/A",0,RTD("tos.rtd",,"OPEN_INT","."&amp;G$2&amp;G$1&amp;"C"&amp;$A36)),0)+IF($A$4&lt;$A36,($A$5-$A$4)*IF(RTD("tos.rtd",,"OPEN_INT","."&amp;G$2&amp;G$1&amp;"P"&amp;$A36)="N/A",0,RTD("tos.rtd",,"OPEN_INT","."&amp;G$2&amp;G$1&amp;"P"&amp;$A36)),0),IF($X$1="ABS",IF(RTD("tos.rtd",,$A$2,"."&amp;G$2&amp;G$1&amp;"C"&amp;$A36)="N/A",0,RTD("tos.rtd",,$A$2,"."&amp;G$2&amp;G$1&amp;"C"&amp;$A36))+IF(RTD("tos.rtd",,$A$2,"."&amp;G$2&amp;G$1&amp;"P"&amp;$A36)="N/A",0,RTD("tos.rtd",,$A$2,"."&amp;G$2&amp;G$1&amp;"P"&amp;$A36)),IF(RTD("tos.rtd",,$A$2,"."&amp;G$2&amp;G$1&amp;"C"&amp;$A36)="N/A",0,RTD("tos.rtd",,$A$2,"."&amp;G$2&amp;G$1&amp;"C"&amp;$A36))-IF(RTD("tos.rtd",,$A$2,"."&amp;G$2&amp;G$1&amp;"P"&amp;$A36)="N/A",0,RTD("tos.rtd",,$A$2,"."&amp;G$2&amp;G$1&amp;"P"&amp;$A36))))))))))</f>
        <v>0</v>
      </c>
      <c r="H36" s="14">
        <f ca="1">IF($A$2="PREMIUM_OI",IFERROR(IF($X$1="ABS",(100*RTD("tos.rtd",,"OPEN_INT","."&amp;H$2&amp;H$1&amp;"C"&amp;$A36)*RTD("tos.rtd",,"LAST","."&amp;H$2&amp;H$1&amp;"C"&amp;$A36)+100*RTD("tos.rtd",,"OPEN_INT","."&amp;H$2&amp;H$1&amp;"P"&amp;$A36)*RTD("tos.rtd",,"LAST","."&amp;H$2&amp;H$1&amp;"P"&amp;$A36))/1000000,(100*RTD("tos.rtd",,"OPEN_INT","."&amp;H$2&amp;H$1&amp;"C"&amp;$A36)*RTD("tos.rtd",,"LAST","."&amp;H$2&amp;H$1&amp;"C"&amp;$A36)-100*RTD("tos.rtd",,"OPEN_INT","."&amp;H$2&amp;H$1&amp;"P"&amp;$A36)*RTD("tos.rtd",,"LAST","."&amp;H$2&amp;H$1&amp;"P"&amp;$A36))/1000000),0),IF($A$2="PREMIUM",IFERROR(IF($X$1="ABS",(100*RTD("tos.rtd",,"VOLUME","."&amp;H$2&amp;H$1&amp;"C"&amp;$A36)*RTD("tos.rtd",,"LAST","."&amp;H$2&amp;H$1&amp;"C"&amp;$A36)+100*RTD("tos.rtd",,"VOLUME","."&amp;H$2&amp;H$1&amp;"P"&amp;$A36)*RTD("tos.rtd",,"LAST","."&amp;H$2&amp;H$1&amp;"P"&amp;$A36))/1000000,(100*RTD("tos.rtd",,"VOLUME","."&amp;H$2&amp;H$1&amp;"C"&amp;$A36)*RTD("tos.rtd",,"LAST","."&amp;H$2&amp;H$1&amp;"C"&amp;$A36)-100*RTD("tos.rtd",,"VOLUME","."&amp;H$2&amp;H$1&amp;"P"&amp;$A36)*RTD("tos.rtd",,"LAST","."&amp;H$2&amp;H$1&amp;"P"&amp;$A36))/1000000),0),IF($A$2="DEX",IFERROR(IF($X$1="ABS",(100*RTD("tos.rtd",,"OPEN_INT","."&amp;H$2&amp;H$1&amp;"C"&amp;$A36)*RTD("tos.rtd",,"DELTA","."&amp;H$2&amp;H$1&amp;"C"&amp;$A36)+100*RTD("tos.rtd",,"OPEN_INT","."&amp;H$2&amp;H$1&amp;"P"&amp;$A36)*RTD("tos.rtd",,"DELTA","."&amp;H$2&amp;H$1&amp;"P"&amp;$A36))/1000,(100*RTD("tos.rtd",,"OPEN_INT","."&amp;H$2&amp;H$1&amp;"C"&amp;$A36)*RTD("tos.rtd",,"DELTA","."&amp;H$2&amp;H$1&amp;"C"&amp;$A36)-100*RTD("tos.rtd",,"OPEN_INT","."&amp;H$2&amp;H$1&amp;"P"&amp;$A36)*RTD("tos.rtd",,"DELTA","."&amp;H$2&amp;H$1&amp;"P"&amp;$A36))/1000),0),IF($A$2="VEX",IFERROR(IF($X$1="ABS",($A$4*$A$4*RTD("tos.rtd",,"VOLUME","."&amp;H$2&amp;H$1&amp;"C"&amp;$A36)*RTD("tos.rtd",,"GAMMA","."&amp;H$2&amp;H$1&amp;"C"&amp;$A36)+$A$4*$A$4*RTD("tos.rtd",,"VOLUME","."&amp;H$2&amp;H$1&amp;"P"&amp;$A36)*RTD("tos.rtd",,"GAMMA","."&amp;H$2&amp;H$1&amp;"P"&amp;$A36))/1000000,($A$4*$A$4*RTD("tos.rtd",,"VOLUME","."&amp;H$2&amp;H$1&amp;"C"&amp;$A36)*RTD("tos.rtd",,"GAMMA","."&amp;H$2&amp;H$1&amp;"C"&amp;$A36)-$A$4*$A$4*RTD("tos.rtd",,"VOLUME","."&amp;H$2&amp;H$1&amp;"P"&amp;$A36)*RTD("tos.rtd",,"GAMMA","."&amp;H$2&amp;H$1&amp;"P"&amp;$A36))/1000000),0),IF($A$2="GEX",IFERROR(IF($X$1="ABS",($A$4*$A$4*RTD("tos.rtd",,"OPEN_INT","."&amp;H$2&amp;H$1&amp;"C"&amp;$A36)*RTD("tos.rtd",,"GAMMA","."&amp;H$2&amp;H$1&amp;"C"&amp;$A36)+$A$4*$A$4*RTD("tos.rtd",,"OPEN_INT","."&amp;H$2&amp;H$1&amp;"P"&amp;$A36)*RTD("tos.rtd",,"GAMMA","."&amp;H$2&amp;H$1&amp;"P"&amp;$A36))/1000000,($A$4*$A$4*RTD("tos.rtd",,"OPEN_INT","."&amp;H$2&amp;H$1&amp;"C"&amp;$A36)*RTD("tos.rtd",,"GAMMA","."&amp;H$2&amp;H$1&amp;"C"&amp;$A36)-$A$4*$A$4*RTD("tos.rtd",,"OPEN_INT","."&amp;H$2&amp;H$1&amp;"P"&amp;$A36)*RTD("tos.rtd",,"GAMMA","."&amp;H$2&amp;H$1&amp;"P"&amp;$A36))/1000000),0),IF($A$2="SKEW",IFERROR(VALUE(IF(RTD("tos.rtd",,"IMPL_VOL","."&amp;H$2&amp;H$1&amp;"P"&amp;$A36)="N/A",0,RTD("tos.rtd",,"IMPL_VOL","."&amp;H$2&amp;H$1&amp;"P"&amp;$A36))),0)-IFERROR(VALUE(IF(RTD("tos.rtd",,"IMPL_VOL","."&amp;H$2&amp;H$1&amp;"C"&amp;$A36)="N/A",0,RTD("tos.rtd",,"IMPL_VOL","."&amp;H$2&amp;H$1&amp;"C"&amp;$A36))),0),IF($A$2="MAXPAIN",IF($A$4&gt;$A36,($A$4-$A36)*IF(RTD("tos.rtd",,"OPEN_INT","."&amp;H$2&amp;H$1&amp;"C"&amp;$A36)="N/A",0,RTD("tos.rtd",,"OPEN_INT","."&amp;H$2&amp;H$1&amp;"C"&amp;$A36)),0)+IF($A$4&lt;$A36,($A$5-$A$4)*IF(RTD("tos.rtd",,"OPEN_INT","."&amp;H$2&amp;H$1&amp;"P"&amp;$A36)="N/A",0,RTD("tos.rtd",,"OPEN_INT","."&amp;H$2&amp;H$1&amp;"P"&amp;$A36)),0),IF($X$1="ABS",IF(RTD("tos.rtd",,$A$2,"."&amp;H$2&amp;H$1&amp;"C"&amp;$A36)="N/A",0,RTD("tos.rtd",,$A$2,"."&amp;H$2&amp;H$1&amp;"C"&amp;$A36))+IF(RTD("tos.rtd",,$A$2,"."&amp;H$2&amp;H$1&amp;"P"&amp;$A36)="N/A",0,RTD("tos.rtd",,$A$2,"."&amp;H$2&amp;H$1&amp;"P"&amp;$A36)),IF(RTD("tos.rtd",,$A$2,"."&amp;H$2&amp;H$1&amp;"C"&amp;$A36)="N/A",0,RTD("tos.rtd",,$A$2,"."&amp;H$2&amp;H$1&amp;"C"&amp;$A36))-IF(RTD("tos.rtd",,$A$2,"."&amp;H$2&amp;H$1&amp;"P"&amp;$A36)="N/A",0,RTD("tos.rtd",,$A$2,"."&amp;H$2&amp;H$1&amp;"P"&amp;$A36))))))))))</f>
        <v>0</v>
      </c>
      <c r="I36" s="12">
        <f ca="1">IF($A$2="PREMIUM_OI",IFERROR(IF($X$1="ABS",(100*RTD("tos.rtd",,"OPEN_INT","."&amp;I$2&amp;I$1&amp;"C"&amp;$A36)*RTD("tos.rtd",,"LAST","."&amp;I$2&amp;I$1&amp;"C"&amp;$A36)+100*RTD("tos.rtd",,"OPEN_INT","."&amp;I$2&amp;I$1&amp;"P"&amp;$A36)*RTD("tos.rtd",,"LAST","."&amp;I$2&amp;I$1&amp;"P"&amp;$A36))/1000000,(100*RTD("tos.rtd",,"OPEN_INT","."&amp;I$2&amp;I$1&amp;"C"&amp;$A36)*RTD("tos.rtd",,"LAST","."&amp;I$2&amp;I$1&amp;"C"&amp;$A36)-100*RTD("tos.rtd",,"OPEN_INT","."&amp;I$2&amp;I$1&amp;"P"&amp;$A36)*RTD("tos.rtd",,"LAST","."&amp;I$2&amp;I$1&amp;"P"&amp;$A36))/1000000),0),IF($A$2="PREMIUM",IFERROR(IF($X$1="ABS",(100*RTD("tos.rtd",,"VOLUME","."&amp;I$2&amp;I$1&amp;"C"&amp;$A36)*RTD("tos.rtd",,"LAST","."&amp;I$2&amp;I$1&amp;"C"&amp;$A36)+100*RTD("tos.rtd",,"VOLUME","."&amp;I$2&amp;I$1&amp;"P"&amp;$A36)*RTD("tos.rtd",,"LAST","."&amp;I$2&amp;I$1&amp;"P"&amp;$A36))/1000000,(100*RTD("tos.rtd",,"VOLUME","."&amp;I$2&amp;I$1&amp;"C"&amp;$A36)*RTD("tos.rtd",,"LAST","."&amp;I$2&amp;I$1&amp;"C"&amp;$A36)-100*RTD("tos.rtd",,"VOLUME","."&amp;I$2&amp;I$1&amp;"P"&amp;$A36)*RTD("tos.rtd",,"LAST","."&amp;I$2&amp;I$1&amp;"P"&amp;$A36))/1000000),0),IF($A$2="DEX",IFERROR(IF($X$1="ABS",(100*RTD("tos.rtd",,"OPEN_INT","."&amp;I$2&amp;I$1&amp;"C"&amp;$A36)*RTD("tos.rtd",,"DELTA","."&amp;I$2&amp;I$1&amp;"C"&amp;$A36)+100*RTD("tos.rtd",,"OPEN_INT","."&amp;I$2&amp;I$1&amp;"P"&amp;$A36)*RTD("tos.rtd",,"DELTA","."&amp;I$2&amp;I$1&amp;"P"&amp;$A36))/1000,(100*RTD("tos.rtd",,"OPEN_INT","."&amp;I$2&amp;I$1&amp;"C"&amp;$A36)*RTD("tos.rtd",,"DELTA","."&amp;I$2&amp;I$1&amp;"C"&amp;$A36)-100*RTD("tos.rtd",,"OPEN_INT","."&amp;I$2&amp;I$1&amp;"P"&amp;$A36)*RTD("tos.rtd",,"DELTA","."&amp;I$2&amp;I$1&amp;"P"&amp;$A36))/1000),0),IF($A$2="VEX",IFERROR(IF($X$1="ABS",($A$4*$A$4*RTD("tos.rtd",,"VOLUME","."&amp;I$2&amp;I$1&amp;"C"&amp;$A36)*RTD("tos.rtd",,"GAMMA","."&amp;I$2&amp;I$1&amp;"C"&amp;$A36)+$A$4*$A$4*RTD("tos.rtd",,"VOLUME","."&amp;I$2&amp;I$1&amp;"P"&amp;$A36)*RTD("tos.rtd",,"GAMMA","."&amp;I$2&amp;I$1&amp;"P"&amp;$A36))/1000000,($A$4*$A$4*RTD("tos.rtd",,"VOLUME","."&amp;I$2&amp;I$1&amp;"C"&amp;$A36)*RTD("tos.rtd",,"GAMMA","."&amp;I$2&amp;I$1&amp;"C"&amp;$A36)-$A$4*$A$4*RTD("tos.rtd",,"VOLUME","."&amp;I$2&amp;I$1&amp;"P"&amp;$A36)*RTD("tos.rtd",,"GAMMA","."&amp;I$2&amp;I$1&amp;"P"&amp;$A36))/1000000),0),IF($A$2="GEX",IFERROR(IF($X$1="ABS",($A$4*$A$4*RTD("tos.rtd",,"OPEN_INT","."&amp;I$2&amp;I$1&amp;"C"&amp;$A36)*RTD("tos.rtd",,"GAMMA","."&amp;I$2&amp;I$1&amp;"C"&amp;$A36)+$A$4*$A$4*RTD("tos.rtd",,"OPEN_INT","."&amp;I$2&amp;I$1&amp;"P"&amp;$A36)*RTD("tos.rtd",,"GAMMA","."&amp;I$2&amp;I$1&amp;"P"&amp;$A36))/1000000,($A$4*$A$4*RTD("tos.rtd",,"OPEN_INT","."&amp;I$2&amp;I$1&amp;"C"&amp;$A36)*RTD("tos.rtd",,"GAMMA","."&amp;I$2&amp;I$1&amp;"C"&amp;$A36)-$A$4*$A$4*RTD("tos.rtd",,"OPEN_INT","."&amp;I$2&amp;I$1&amp;"P"&amp;$A36)*RTD("tos.rtd",,"GAMMA","."&amp;I$2&amp;I$1&amp;"P"&amp;$A36))/1000000),0),IF($A$2="SKEW",IFERROR(VALUE(IF(RTD("tos.rtd",,"IMPL_VOL","."&amp;I$2&amp;I$1&amp;"P"&amp;$A36)="N/A",0,RTD("tos.rtd",,"IMPL_VOL","."&amp;I$2&amp;I$1&amp;"P"&amp;$A36))),0)-IFERROR(VALUE(IF(RTD("tos.rtd",,"IMPL_VOL","."&amp;I$2&amp;I$1&amp;"C"&amp;$A36)="N/A",0,RTD("tos.rtd",,"IMPL_VOL","."&amp;I$2&amp;I$1&amp;"C"&amp;$A36))),0),IF($A$2="MAXPAIN",IF($A$4&gt;$A36,($A$4-$A36)*IF(RTD("tos.rtd",,"OPEN_INT","."&amp;I$2&amp;I$1&amp;"C"&amp;$A36)="N/A",0,RTD("tos.rtd",,"OPEN_INT","."&amp;I$2&amp;I$1&amp;"C"&amp;$A36)),0)+IF($A$4&lt;$A36,($A$5-$A$4)*IF(RTD("tos.rtd",,"OPEN_INT","."&amp;I$2&amp;I$1&amp;"P"&amp;$A36)="N/A",0,RTD("tos.rtd",,"OPEN_INT","."&amp;I$2&amp;I$1&amp;"P"&amp;$A36)),0),IF($X$1="ABS",IF(RTD("tos.rtd",,$A$2,"."&amp;I$2&amp;I$1&amp;"C"&amp;$A36)="N/A",0,RTD("tos.rtd",,$A$2,"."&amp;I$2&amp;I$1&amp;"C"&amp;$A36))+IF(RTD("tos.rtd",,$A$2,"."&amp;I$2&amp;I$1&amp;"P"&amp;$A36)="N/A",0,RTD("tos.rtd",,$A$2,"."&amp;I$2&amp;I$1&amp;"P"&amp;$A36)),IF(RTD("tos.rtd",,$A$2,"."&amp;I$2&amp;I$1&amp;"C"&amp;$A36)="N/A",0,RTD("tos.rtd",,$A$2,"."&amp;I$2&amp;I$1&amp;"C"&amp;$A36))-IF(RTD("tos.rtd",,$A$2,"."&amp;I$2&amp;I$1&amp;"P"&amp;$A36)="N/A",0,RTD("tos.rtd",,$A$2,"."&amp;I$2&amp;I$1&amp;"P"&amp;$A36))))))))))</f>
        <v>0</v>
      </c>
      <c r="J36" s="12">
        <f ca="1">IF($A$2="PREMIUM_OI",IFERROR(IF($X$1="ABS",(100*RTD("tos.rtd",,"OPEN_INT","."&amp;J$2&amp;J$1&amp;"C"&amp;$A36)*RTD("tos.rtd",,"LAST","."&amp;J$2&amp;J$1&amp;"C"&amp;$A36)+100*RTD("tos.rtd",,"OPEN_INT","."&amp;J$2&amp;J$1&amp;"P"&amp;$A36)*RTD("tos.rtd",,"LAST","."&amp;J$2&amp;J$1&amp;"P"&amp;$A36))/1000000,(100*RTD("tos.rtd",,"OPEN_INT","."&amp;J$2&amp;J$1&amp;"C"&amp;$A36)*RTD("tos.rtd",,"LAST","."&amp;J$2&amp;J$1&amp;"C"&amp;$A36)-100*RTD("tos.rtd",,"OPEN_INT","."&amp;J$2&amp;J$1&amp;"P"&amp;$A36)*RTD("tos.rtd",,"LAST","."&amp;J$2&amp;J$1&amp;"P"&amp;$A36))/1000000),0),IF($A$2="PREMIUM",IFERROR(IF($X$1="ABS",(100*RTD("tos.rtd",,"VOLUME","."&amp;J$2&amp;J$1&amp;"C"&amp;$A36)*RTD("tos.rtd",,"LAST","."&amp;J$2&amp;J$1&amp;"C"&amp;$A36)+100*RTD("tos.rtd",,"VOLUME","."&amp;J$2&amp;J$1&amp;"P"&amp;$A36)*RTD("tos.rtd",,"LAST","."&amp;J$2&amp;J$1&amp;"P"&amp;$A36))/1000000,(100*RTD("tos.rtd",,"VOLUME","."&amp;J$2&amp;J$1&amp;"C"&amp;$A36)*RTD("tos.rtd",,"LAST","."&amp;J$2&amp;J$1&amp;"C"&amp;$A36)-100*RTD("tos.rtd",,"VOLUME","."&amp;J$2&amp;J$1&amp;"P"&amp;$A36)*RTD("tos.rtd",,"LAST","."&amp;J$2&amp;J$1&amp;"P"&amp;$A36))/1000000),0),IF($A$2="DEX",IFERROR(IF($X$1="ABS",(100*RTD("tos.rtd",,"OPEN_INT","."&amp;J$2&amp;J$1&amp;"C"&amp;$A36)*RTD("tos.rtd",,"DELTA","."&amp;J$2&amp;J$1&amp;"C"&amp;$A36)+100*RTD("tos.rtd",,"OPEN_INT","."&amp;J$2&amp;J$1&amp;"P"&amp;$A36)*RTD("tos.rtd",,"DELTA","."&amp;J$2&amp;J$1&amp;"P"&amp;$A36))/1000,(100*RTD("tos.rtd",,"OPEN_INT","."&amp;J$2&amp;J$1&amp;"C"&amp;$A36)*RTD("tos.rtd",,"DELTA","."&amp;J$2&amp;J$1&amp;"C"&amp;$A36)-100*RTD("tos.rtd",,"OPEN_INT","."&amp;J$2&amp;J$1&amp;"P"&amp;$A36)*RTD("tos.rtd",,"DELTA","."&amp;J$2&amp;J$1&amp;"P"&amp;$A36))/1000),0),IF($A$2="VEX",IFERROR(IF($X$1="ABS",($A$4*$A$4*RTD("tos.rtd",,"VOLUME","."&amp;J$2&amp;J$1&amp;"C"&amp;$A36)*RTD("tos.rtd",,"GAMMA","."&amp;J$2&amp;J$1&amp;"C"&amp;$A36)+$A$4*$A$4*RTD("tos.rtd",,"VOLUME","."&amp;J$2&amp;J$1&amp;"P"&amp;$A36)*RTD("tos.rtd",,"GAMMA","."&amp;J$2&amp;J$1&amp;"P"&amp;$A36))/1000000,($A$4*$A$4*RTD("tos.rtd",,"VOLUME","."&amp;J$2&amp;J$1&amp;"C"&amp;$A36)*RTD("tos.rtd",,"GAMMA","."&amp;J$2&amp;J$1&amp;"C"&amp;$A36)-$A$4*$A$4*RTD("tos.rtd",,"VOLUME","."&amp;J$2&amp;J$1&amp;"P"&amp;$A36)*RTD("tos.rtd",,"GAMMA","."&amp;J$2&amp;J$1&amp;"P"&amp;$A36))/1000000),0),IF($A$2="GEX",IFERROR(IF($X$1="ABS",($A$4*$A$4*RTD("tos.rtd",,"OPEN_INT","."&amp;J$2&amp;J$1&amp;"C"&amp;$A36)*RTD("tos.rtd",,"GAMMA","."&amp;J$2&amp;J$1&amp;"C"&amp;$A36)+$A$4*$A$4*RTD("tos.rtd",,"OPEN_INT","."&amp;J$2&amp;J$1&amp;"P"&amp;$A36)*RTD("tos.rtd",,"GAMMA","."&amp;J$2&amp;J$1&amp;"P"&amp;$A36))/1000000,($A$4*$A$4*RTD("tos.rtd",,"OPEN_INT","."&amp;J$2&amp;J$1&amp;"C"&amp;$A36)*RTD("tos.rtd",,"GAMMA","."&amp;J$2&amp;J$1&amp;"C"&amp;$A36)-$A$4*$A$4*RTD("tos.rtd",,"OPEN_INT","."&amp;J$2&amp;J$1&amp;"P"&amp;$A36)*RTD("tos.rtd",,"GAMMA","."&amp;J$2&amp;J$1&amp;"P"&amp;$A36))/1000000),0),IF($A$2="SKEW",IFERROR(VALUE(IF(RTD("tos.rtd",,"IMPL_VOL","."&amp;J$2&amp;J$1&amp;"P"&amp;$A36)="N/A",0,RTD("tos.rtd",,"IMPL_VOL","."&amp;J$2&amp;J$1&amp;"P"&amp;$A36))),0)-IFERROR(VALUE(IF(RTD("tos.rtd",,"IMPL_VOL","."&amp;J$2&amp;J$1&amp;"C"&amp;$A36)="N/A",0,RTD("tos.rtd",,"IMPL_VOL","."&amp;J$2&amp;J$1&amp;"C"&amp;$A36))),0),IF($A$2="MAXPAIN",IF($A$4&gt;$A36,($A$4-$A36)*IF(RTD("tos.rtd",,"OPEN_INT","."&amp;J$2&amp;J$1&amp;"C"&amp;$A36)="N/A",0,RTD("tos.rtd",,"OPEN_INT","."&amp;J$2&amp;J$1&amp;"C"&amp;$A36)),0)+IF($A$4&lt;$A36,($A$5-$A$4)*IF(RTD("tos.rtd",,"OPEN_INT","."&amp;J$2&amp;J$1&amp;"P"&amp;$A36)="N/A",0,RTD("tos.rtd",,"OPEN_INT","."&amp;J$2&amp;J$1&amp;"P"&amp;$A36)),0),IF($X$1="ABS",IF(RTD("tos.rtd",,$A$2,"."&amp;J$2&amp;J$1&amp;"C"&amp;$A36)="N/A",0,RTD("tos.rtd",,$A$2,"."&amp;J$2&amp;J$1&amp;"C"&amp;$A36))+IF(RTD("tos.rtd",,$A$2,"."&amp;J$2&amp;J$1&amp;"P"&amp;$A36)="N/A",0,RTD("tos.rtd",,$A$2,"."&amp;J$2&amp;J$1&amp;"P"&amp;$A36)),IF(RTD("tos.rtd",,$A$2,"."&amp;J$2&amp;J$1&amp;"C"&amp;$A36)="N/A",0,RTD("tos.rtd",,$A$2,"."&amp;J$2&amp;J$1&amp;"C"&amp;$A36))-IF(RTD("tos.rtd",,$A$2,"."&amp;J$2&amp;J$1&amp;"P"&amp;$A36)="N/A",0,RTD("tos.rtd",,$A$2,"."&amp;J$2&amp;J$1&amp;"P"&amp;$A36))))))))))</f>
        <v>0</v>
      </c>
      <c r="K36" s="12">
        <f ca="1">IF($A$2="PREMIUM_OI",IFERROR(IF($X$1="ABS",(100*RTD("tos.rtd",,"OPEN_INT","."&amp;K$2&amp;K$1&amp;"C"&amp;$A36)*RTD("tos.rtd",,"LAST","."&amp;K$2&amp;K$1&amp;"C"&amp;$A36)+100*RTD("tos.rtd",,"OPEN_INT","."&amp;K$2&amp;K$1&amp;"P"&amp;$A36)*RTD("tos.rtd",,"LAST","."&amp;K$2&amp;K$1&amp;"P"&amp;$A36))/1000000,(100*RTD("tos.rtd",,"OPEN_INT","."&amp;K$2&amp;K$1&amp;"C"&amp;$A36)*RTD("tos.rtd",,"LAST","."&amp;K$2&amp;K$1&amp;"C"&amp;$A36)-100*RTD("tos.rtd",,"OPEN_INT","."&amp;K$2&amp;K$1&amp;"P"&amp;$A36)*RTD("tos.rtd",,"LAST","."&amp;K$2&amp;K$1&amp;"P"&amp;$A36))/1000000),0),IF($A$2="PREMIUM",IFERROR(IF($X$1="ABS",(100*RTD("tos.rtd",,"VOLUME","."&amp;K$2&amp;K$1&amp;"C"&amp;$A36)*RTD("tos.rtd",,"LAST","."&amp;K$2&amp;K$1&amp;"C"&amp;$A36)+100*RTD("tos.rtd",,"VOLUME","."&amp;K$2&amp;K$1&amp;"P"&amp;$A36)*RTD("tos.rtd",,"LAST","."&amp;K$2&amp;K$1&amp;"P"&amp;$A36))/1000000,(100*RTD("tos.rtd",,"VOLUME","."&amp;K$2&amp;K$1&amp;"C"&amp;$A36)*RTD("tos.rtd",,"LAST","."&amp;K$2&amp;K$1&amp;"C"&amp;$A36)-100*RTD("tos.rtd",,"VOLUME","."&amp;K$2&amp;K$1&amp;"P"&amp;$A36)*RTD("tos.rtd",,"LAST","."&amp;K$2&amp;K$1&amp;"P"&amp;$A36))/1000000),0),IF($A$2="DEX",IFERROR(IF($X$1="ABS",(100*RTD("tos.rtd",,"OPEN_INT","."&amp;K$2&amp;K$1&amp;"C"&amp;$A36)*RTD("tos.rtd",,"DELTA","."&amp;K$2&amp;K$1&amp;"C"&amp;$A36)+100*RTD("tos.rtd",,"OPEN_INT","."&amp;K$2&amp;K$1&amp;"P"&amp;$A36)*RTD("tos.rtd",,"DELTA","."&amp;K$2&amp;K$1&amp;"P"&amp;$A36))/1000,(100*RTD("tos.rtd",,"OPEN_INT","."&amp;K$2&amp;K$1&amp;"C"&amp;$A36)*RTD("tos.rtd",,"DELTA","."&amp;K$2&amp;K$1&amp;"C"&amp;$A36)-100*RTD("tos.rtd",,"OPEN_INT","."&amp;K$2&amp;K$1&amp;"P"&amp;$A36)*RTD("tos.rtd",,"DELTA","."&amp;K$2&amp;K$1&amp;"P"&amp;$A36))/1000),0),IF($A$2="VEX",IFERROR(IF($X$1="ABS",($A$4*$A$4*RTD("tos.rtd",,"VOLUME","."&amp;K$2&amp;K$1&amp;"C"&amp;$A36)*RTD("tos.rtd",,"GAMMA","."&amp;K$2&amp;K$1&amp;"C"&amp;$A36)+$A$4*$A$4*RTD("tos.rtd",,"VOLUME","."&amp;K$2&amp;K$1&amp;"P"&amp;$A36)*RTD("tos.rtd",,"GAMMA","."&amp;K$2&amp;K$1&amp;"P"&amp;$A36))/1000000,($A$4*$A$4*RTD("tos.rtd",,"VOLUME","."&amp;K$2&amp;K$1&amp;"C"&amp;$A36)*RTD("tos.rtd",,"GAMMA","."&amp;K$2&amp;K$1&amp;"C"&amp;$A36)-$A$4*$A$4*RTD("tos.rtd",,"VOLUME","."&amp;K$2&amp;K$1&amp;"P"&amp;$A36)*RTD("tos.rtd",,"GAMMA","."&amp;K$2&amp;K$1&amp;"P"&amp;$A36))/1000000),0),IF($A$2="GEX",IFERROR(IF($X$1="ABS",($A$4*$A$4*RTD("tos.rtd",,"OPEN_INT","."&amp;K$2&amp;K$1&amp;"C"&amp;$A36)*RTD("tos.rtd",,"GAMMA","."&amp;K$2&amp;K$1&amp;"C"&amp;$A36)+$A$4*$A$4*RTD("tos.rtd",,"OPEN_INT","."&amp;K$2&amp;K$1&amp;"P"&amp;$A36)*RTD("tos.rtd",,"GAMMA","."&amp;K$2&amp;K$1&amp;"P"&amp;$A36))/1000000,($A$4*$A$4*RTD("tos.rtd",,"OPEN_INT","."&amp;K$2&amp;K$1&amp;"C"&amp;$A36)*RTD("tos.rtd",,"GAMMA","."&amp;K$2&amp;K$1&amp;"C"&amp;$A36)-$A$4*$A$4*RTD("tos.rtd",,"OPEN_INT","."&amp;K$2&amp;K$1&amp;"P"&amp;$A36)*RTD("tos.rtd",,"GAMMA","."&amp;K$2&amp;K$1&amp;"P"&amp;$A36))/1000000),0),IF($A$2="SKEW",IFERROR(VALUE(IF(RTD("tos.rtd",,"IMPL_VOL","."&amp;K$2&amp;K$1&amp;"P"&amp;$A36)="N/A",0,RTD("tos.rtd",,"IMPL_VOL","."&amp;K$2&amp;K$1&amp;"P"&amp;$A36))),0)-IFERROR(VALUE(IF(RTD("tos.rtd",,"IMPL_VOL","."&amp;K$2&amp;K$1&amp;"C"&amp;$A36)="N/A",0,RTD("tos.rtd",,"IMPL_VOL","."&amp;K$2&amp;K$1&amp;"C"&amp;$A36))),0),IF($A$2="MAXPAIN",IF($A$4&gt;$A36,($A$4-$A36)*IF(RTD("tos.rtd",,"OPEN_INT","."&amp;K$2&amp;K$1&amp;"C"&amp;$A36)="N/A",0,RTD("tos.rtd",,"OPEN_INT","."&amp;K$2&amp;K$1&amp;"C"&amp;$A36)),0)+IF($A$4&lt;$A36,($A$5-$A$4)*IF(RTD("tos.rtd",,"OPEN_INT","."&amp;K$2&amp;K$1&amp;"P"&amp;$A36)="N/A",0,RTD("tos.rtd",,"OPEN_INT","."&amp;K$2&amp;K$1&amp;"P"&amp;$A36)),0),IF($X$1="ABS",IF(RTD("tos.rtd",,$A$2,"."&amp;K$2&amp;K$1&amp;"C"&amp;$A36)="N/A",0,RTD("tos.rtd",,$A$2,"."&amp;K$2&amp;K$1&amp;"C"&amp;$A36))+IF(RTD("tos.rtd",,$A$2,"."&amp;K$2&amp;K$1&amp;"P"&amp;$A36)="N/A",0,RTD("tos.rtd",,$A$2,"."&amp;K$2&amp;K$1&amp;"P"&amp;$A36)),IF(RTD("tos.rtd",,$A$2,"."&amp;K$2&amp;K$1&amp;"C"&amp;$A36)="N/A",0,RTD("tos.rtd",,$A$2,"."&amp;K$2&amp;K$1&amp;"C"&amp;$A36))-IF(RTD("tos.rtd",,$A$2,"."&amp;K$2&amp;K$1&amp;"P"&amp;$A36)="N/A",0,RTD("tos.rtd",,$A$2,"."&amp;K$2&amp;K$1&amp;"P"&amp;$A36))))))))))</f>
        <v>0</v>
      </c>
      <c r="L36" s="54">
        <f ca="1">IF($A$2="PREMIUM_OI",IFERROR(IF($X$1="ABS",(100*RTD("tos.rtd",,"OPEN_INT","."&amp;L$2&amp;L$1&amp;"C"&amp;$A36)*RTD("tos.rtd",,"LAST","."&amp;L$2&amp;L$1&amp;"C"&amp;$A36)+100*RTD("tos.rtd",,"OPEN_INT","."&amp;L$2&amp;L$1&amp;"P"&amp;$A36)*RTD("tos.rtd",,"LAST","."&amp;L$2&amp;L$1&amp;"P"&amp;$A36))/1000000,(100*RTD("tos.rtd",,"OPEN_INT","."&amp;L$2&amp;L$1&amp;"C"&amp;$A36)*RTD("tos.rtd",,"LAST","."&amp;L$2&amp;L$1&amp;"C"&amp;$A36)-100*RTD("tos.rtd",,"OPEN_INT","."&amp;L$2&amp;L$1&amp;"P"&amp;$A36)*RTD("tos.rtd",,"LAST","."&amp;L$2&amp;L$1&amp;"P"&amp;$A36))/1000000),0),IF($A$2="PREMIUM",IFERROR(IF($X$1="ABS",(100*RTD("tos.rtd",,"VOLUME","."&amp;L$2&amp;L$1&amp;"C"&amp;$A36)*RTD("tos.rtd",,"LAST","."&amp;L$2&amp;L$1&amp;"C"&amp;$A36)+100*RTD("tos.rtd",,"VOLUME","."&amp;L$2&amp;L$1&amp;"P"&amp;$A36)*RTD("tos.rtd",,"LAST","."&amp;L$2&amp;L$1&amp;"P"&amp;$A36))/1000000,(100*RTD("tos.rtd",,"VOLUME","."&amp;L$2&amp;L$1&amp;"C"&amp;$A36)*RTD("tos.rtd",,"LAST","."&amp;L$2&amp;L$1&amp;"C"&amp;$A36)-100*RTD("tos.rtd",,"VOLUME","."&amp;L$2&amp;L$1&amp;"P"&amp;$A36)*RTD("tos.rtd",,"LAST","."&amp;L$2&amp;L$1&amp;"P"&amp;$A36))/1000000),0),IF($A$2="DEX",IFERROR(IF($X$1="ABS",(100*RTD("tos.rtd",,"OPEN_INT","."&amp;L$2&amp;L$1&amp;"C"&amp;$A36)*RTD("tos.rtd",,"DELTA","."&amp;L$2&amp;L$1&amp;"C"&amp;$A36)+100*RTD("tos.rtd",,"OPEN_INT","."&amp;L$2&amp;L$1&amp;"P"&amp;$A36)*RTD("tos.rtd",,"DELTA","."&amp;L$2&amp;L$1&amp;"P"&amp;$A36))/1000,(100*RTD("tos.rtd",,"OPEN_INT","."&amp;L$2&amp;L$1&amp;"C"&amp;$A36)*RTD("tos.rtd",,"DELTA","."&amp;L$2&amp;L$1&amp;"C"&amp;$A36)-100*RTD("tos.rtd",,"OPEN_INT","."&amp;L$2&amp;L$1&amp;"P"&amp;$A36)*RTD("tos.rtd",,"DELTA","."&amp;L$2&amp;L$1&amp;"P"&amp;$A36))/1000),0),IF($A$2="VEX",IFERROR(IF($X$1="ABS",($A$4*$A$4*RTD("tos.rtd",,"VOLUME","."&amp;L$2&amp;L$1&amp;"C"&amp;$A36)*RTD("tos.rtd",,"GAMMA","."&amp;L$2&amp;L$1&amp;"C"&amp;$A36)+$A$4*$A$4*RTD("tos.rtd",,"VOLUME","."&amp;L$2&amp;L$1&amp;"P"&amp;$A36)*RTD("tos.rtd",,"GAMMA","."&amp;L$2&amp;L$1&amp;"P"&amp;$A36))/1000000,($A$4*$A$4*RTD("tos.rtd",,"VOLUME","."&amp;L$2&amp;L$1&amp;"C"&amp;$A36)*RTD("tos.rtd",,"GAMMA","."&amp;L$2&amp;L$1&amp;"C"&amp;$A36)-$A$4*$A$4*RTD("tos.rtd",,"VOLUME","."&amp;L$2&amp;L$1&amp;"P"&amp;$A36)*RTD("tos.rtd",,"GAMMA","."&amp;L$2&amp;L$1&amp;"P"&amp;$A36))/1000000),0),IF($A$2="GEX",IFERROR(IF($X$1="ABS",($A$4*$A$4*RTD("tos.rtd",,"OPEN_INT","."&amp;L$2&amp;L$1&amp;"C"&amp;$A36)*RTD("tos.rtd",,"GAMMA","."&amp;L$2&amp;L$1&amp;"C"&amp;$A36)+$A$4*$A$4*RTD("tos.rtd",,"OPEN_INT","."&amp;L$2&amp;L$1&amp;"P"&amp;$A36)*RTD("tos.rtd",,"GAMMA","."&amp;L$2&amp;L$1&amp;"P"&amp;$A36))/1000000,($A$4*$A$4*RTD("tos.rtd",,"OPEN_INT","."&amp;L$2&amp;L$1&amp;"C"&amp;$A36)*RTD("tos.rtd",,"GAMMA","."&amp;L$2&amp;L$1&amp;"C"&amp;$A36)-$A$4*$A$4*RTD("tos.rtd",,"OPEN_INT","."&amp;L$2&amp;L$1&amp;"P"&amp;$A36)*RTD("tos.rtd",,"GAMMA","."&amp;L$2&amp;L$1&amp;"P"&amp;$A36))/1000000),0),IF($A$2="SKEW",IFERROR(VALUE(IF(RTD("tos.rtd",,"IMPL_VOL","."&amp;L$2&amp;L$1&amp;"P"&amp;$A36)="N/A",0,RTD("tos.rtd",,"IMPL_VOL","."&amp;L$2&amp;L$1&amp;"P"&amp;$A36))),0)-IFERROR(VALUE(IF(RTD("tos.rtd",,"IMPL_VOL","."&amp;L$2&amp;L$1&amp;"C"&amp;$A36)="N/A",0,RTD("tos.rtd",,"IMPL_VOL","."&amp;L$2&amp;L$1&amp;"C"&amp;$A36))),0),IF($A$2="MAXPAIN",IF($A$4&gt;$A36,($A$4-$A36)*IF(RTD("tos.rtd",,"OPEN_INT","."&amp;L$2&amp;L$1&amp;"C"&amp;$A36)="N/A",0,RTD("tos.rtd",,"OPEN_INT","."&amp;L$2&amp;L$1&amp;"C"&amp;$A36)),0)+IF($A$4&lt;$A36,($A$5-$A$4)*IF(RTD("tos.rtd",,"OPEN_INT","."&amp;L$2&amp;L$1&amp;"P"&amp;$A36)="N/A",0,RTD("tos.rtd",,"OPEN_INT","."&amp;L$2&amp;L$1&amp;"P"&amp;$A36)),0),IF($X$1="ABS",IF(RTD("tos.rtd",,$A$2,"."&amp;L$2&amp;L$1&amp;"C"&amp;$A36)="N/A",0,RTD("tos.rtd",,$A$2,"."&amp;L$2&amp;L$1&amp;"C"&amp;$A36))+IF(RTD("tos.rtd",,$A$2,"."&amp;L$2&amp;L$1&amp;"P"&amp;$A36)="N/A",0,RTD("tos.rtd",,$A$2,"."&amp;L$2&amp;L$1&amp;"P"&amp;$A36)),IF(RTD("tos.rtd",,$A$2,"."&amp;L$2&amp;L$1&amp;"C"&amp;$A36)="N/A",0,RTD("tos.rtd",,$A$2,"."&amp;L$2&amp;L$1&amp;"C"&amp;$A36))-IF(RTD("tos.rtd",,$A$2,"."&amp;L$2&amp;L$1&amp;"P"&amp;$A36)="N/A",0,RTD("tos.rtd",,$A$2,"."&amp;L$2&amp;L$1&amp;"P"&amp;$A36))))))))))</f>
        <v>0</v>
      </c>
      <c r="M36" s="12">
        <f ca="1">IF($A$2="PREMIUM_OI",IFERROR(IF($X$1="ABS",(100*RTD("tos.rtd",,"OPEN_INT","."&amp;M$2&amp;M$1&amp;"C"&amp;$A36)*RTD("tos.rtd",,"LAST","."&amp;M$2&amp;M$1&amp;"C"&amp;$A36)+100*RTD("tos.rtd",,"OPEN_INT","."&amp;M$2&amp;M$1&amp;"P"&amp;$A36)*RTD("tos.rtd",,"LAST","."&amp;M$2&amp;M$1&amp;"P"&amp;$A36))/1000000,(100*RTD("tos.rtd",,"OPEN_INT","."&amp;M$2&amp;M$1&amp;"C"&amp;$A36)*RTD("tos.rtd",,"LAST","."&amp;M$2&amp;M$1&amp;"C"&amp;$A36)-100*RTD("tos.rtd",,"OPEN_INT","."&amp;M$2&amp;M$1&amp;"P"&amp;$A36)*RTD("tos.rtd",,"LAST","."&amp;M$2&amp;M$1&amp;"P"&amp;$A36))/1000000),0),IF($A$2="PREMIUM",IFERROR(IF($X$1="ABS",(100*RTD("tos.rtd",,"VOLUME","."&amp;M$2&amp;M$1&amp;"C"&amp;$A36)*RTD("tos.rtd",,"LAST","."&amp;M$2&amp;M$1&amp;"C"&amp;$A36)+100*RTD("tos.rtd",,"VOLUME","."&amp;M$2&amp;M$1&amp;"P"&amp;$A36)*RTD("tos.rtd",,"LAST","."&amp;M$2&amp;M$1&amp;"P"&amp;$A36))/1000000,(100*RTD("tos.rtd",,"VOLUME","."&amp;M$2&amp;M$1&amp;"C"&amp;$A36)*RTD("tos.rtd",,"LAST","."&amp;M$2&amp;M$1&amp;"C"&amp;$A36)-100*RTD("tos.rtd",,"VOLUME","."&amp;M$2&amp;M$1&amp;"P"&amp;$A36)*RTD("tos.rtd",,"LAST","."&amp;M$2&amp;M$1&amp;"P"&amp;$A36))/1000000),0),IF($A$2="DEX",IFERROR(IF($X$1="ABS",(100*RTD("tos.rtd",,"OPEN_INT","."&amp;M$2&amp;M$1&amp;"C"&amp;$A36)*RTD("tos.rtd",,"DELTA","."&amp;M$2&amp;M$1&amp;"C"&amp;$A36)+100*RTD("tos.rtd",,"OPEN_INT","."&amp;M$2&amp;M$1&amp;"P"&amp;$A36)*RTD("tos.rtd",,"DELTA","."&amp;M$2&amp;M$1&amp;"P"&amp;$A36))/1000,(100*RTD("tos.rtd",,"OPEN_INT","."&amp;M$2&amp;M$1&amp;"C"&amp;$A36)*RTD("tos.rtd",,"DELTA","."&amp;M$2&amp;M$1&amp;"C"&amp;$A36)-100*RTD("tos.rtd",,"OPEN_INT","."&amp;M$2&amp;M$1&amp;"P"&amp;$A36)*RTD("tos.rtd",,"DELTA","."&amp;M$2&amp;M$1&amp;"P"&amp;$A36))/1000),0),IF($A$2="VEX",IFERROR(IF($X$1="ABS",($A$4*$A$4*RTD("tos.rtd",,"VOLUME","."&amp;M$2&amp;M$1&amp;"C"&amp;$A36)*RTD("tos.rtd",,"GAMMA","."&amp;M$2&amp;M$1&amp;"C"&amp;$A36)+$A$4*$A$4*RTD("tos.rtd",,"VOLUME","."&amp;M$2&amp;M$1&amp;"P"&amp;$A36)*RTD("tos.rtd",,"GAMMA","."&amp;M$2&amp;M$1&amp;"P"&amp;$A36))/1000000,($A$4*$A$4*RTD("tos.rtd",,"VOLUME","."&amp;M$2&amp;M$1&amp;"C"&amp;$A36)*RTD("tos.rtd",,"GAMMA","."&amp;M$2&amp;M$1&amp;"C"&amp;$A36)-$A$4*$A$4*RTD("tos.rtd",,"VOLUME","."&amp;M$2&amp;M$1&amp;"P"&amp;$A36)*RTD("tos.rtd",,"GAMMA","."&amp;M$2&amp;M$1&amp;"P"&amp;$A36))/1000000),0),IF($A$2="GEX",IFERROR(IF($X$1="ABS",($A$4*$A$4*RTD("tos.rtd",,"OPEN_INT","."&amp;M$2&amp;M$1&amp;"C"&amp;$A36)*RTD("tos.rtd",,"GAMMA","."&amp;M$2&amp;M$1&amp;"C"&amp;$A36)+$A$4*$A$4*RTD("tos.rtd",,"OPEN_INT","."&amp;M$2&amp;M$1&amp;"P"&amp;$A36)*RTD("tos.rtd",,"GAMMA","."&amp;M$2&amp;M$1&amp;"P"&amp;$A36))/1000000,($A$4*$A$4*RTD("tos.rtd",,"OPEN_INT","."&amp;M$2&amp;M$1&amp;"C"&amp;$A36)*RTD("tos.rtd",,"GAMMA","."&amp;M$2&amp;M$1&amp;"C"&amp;$A36)-$A$4*$A$4*RTD("tos.rtd",,"OPEN_INT","."&amp;M$2&amp;M$1&amp;"P"&amp;$A36)*RTD("tos.rtd",,"GAMMA","."&amp;M$2&amp;M$1&amp;"P"&amp;$A36))/1000000),0),IF($A$2="SKEW",IFERROR(VALUE(IF(RTD("tos.rtd",,"IMPL_VOL","."&amp;M$2&amp;M$1&amp;"P"&amp;$A36)="N/A",0,RTD("tos.rtd",,"IMPL_VOL","."&amp;M$2&amp;M$1&amp;"P"&amp;$A36))),0)-IFERROR(VALUE(IF(RTD("tos.rtd",,"IMPL_VOL","."&amp;M$2&amp;M$1&amp;"C"&amp;$A36)="N/A",0,RTD("tos.rtd",,"IMPL_VOL","."&amp;M$2&amp;M$1&amp;"C"&amp;$A36))),0),IF($A$2="MAXPAIN",IF($A$4&gt;$A36,($A$4-$A36)*IF(RTD("tos.rtd",,"OPEN_INT","."&amp;M$2&amp;M$1&amp;"C"&amp;$A36)="N/A",0,RTD("tos.rtd",,"OPEN_INT","."&amp;M$2&amp;M$1&amp;"C"&amp;$A36)),0)+IF($A$4&lt;$A36,($A$5-$A$4)*IF(RTD("tos.rtd",,"OPEN_INT","."&amp;M$2&amp;M$1&amp;"P"&amp;$A36)="N/A",0,RTD("tos.rtd",,"OPEN_INT","."&amp;M$2&amp;M$1&amp;"P"&amp;$A36)),0),IF($X$1="ABS",IF(RTD("tos.rtd",,$A$2,"."&amp;M$2&amp;M$1&amp;"C"&amp;$A36)="N/A",0,RTD("tos.rtd",,$A$2,"."&amp;M$2&amp;M$1&amp;"C"&amp;$A36))+IF(RTD("tos.rtd",,$A$2,"."&amp;M$2&amp;M$1&amp;"P"&amp;$A36)="N/A",0,RTD("tos.rtd",,$A$2,"."&amp;M$2&amp;M$1&amp;"P"&amp;$A36)),IF(RTD("tos.rtd",,$A$2,"."&amp;M$2&amp;M$1&amp;"C"&amp;$A36)="N/A",0,RTD("tos.rtd",,$A$2,"."&amp;M$2&amp;M$1&amp;"C"&amp;$A36))-IF(RTD("tos.rtd",,$A$2,"."&amp;M$2&amp;M$1&amp;"P"&amp;$A36)="N/A",0,RTD("tos.rtd",,$A$2,"."&amp;M$2&amp;M$1&amp;"P"&amp;$A36))))))))))</f>
        <v>0</v>
      </c>
      <c r="N36" s="12">
        <f ca="1">IF($A$2="PREMIUM_OI",IFERROR(IF($X$1="ABS",(100*RTD("tos.rtd",,"OPEN_INT","."&amp;N$2&amp;N$1&amp;"C"&amp;$A36)*RTD("tos.rtd",,"LAST","."&amp;N$2&amp;N$1&amp;"C"&amp;$A36)+100*RTD("tos.rtd",,"OPEN_INT","."&amp;N$2&amp;N$1&amp;"P"&amp;$A36)*RTD("tos.rtd",,"LAST","."&amp;N$2&amp;N$1&amp;"P"&amp;$A36))/1000000,(100*RTD("tos.rtd",,"OPEN_INT","."&amp;N$2&amp;N$1&amp;"C"&amp;$A36)*RTD("tos.rtd",,"LAST","."&amp;N$2&amp;N$1&amp;"C"&amp;$A36)-100*RTD("tos.rtd",,"OPEN_INT","."&amp;N$2&amp;N$1&amp;"P"&amp;$A36)*RTD("tos.rtd",,"LAST","."&amp;N$2&amp;N$1&amp;"P"&amp;$A36))/1000000),0),IF($A$2="PREMIUM",IFERROR(IF($X$1="ABS",(100*RTD("tos.rtd",,"VOLUME","."&amp;N$2&amp;N$1&amp;"C"&amp;$A36)*RTD("tos.rtd",,"LAST","."&amp;N$2&amp;N$1&amp;"C"&amp;$A36)+100*RTD("tos.rtd",,"VOLUME","."&amp;N$2&amp;N$1&amp;"P"&amp;$A36)*RTD("tos.rtd",,"LAST","."&amp;N$2&amp;N$1&amp;"P"&amp;$A36))/1000000,(100*RTD("tos.rtd",,"VOLUME","."&amp;N$2&amp;N$1&amp;"C"&amp;$A36)*RTD("tos.rtd",,"LAST","."&amp;N$2&amp;N$1&amp;"C"&amp;$A36)-100*RTD("tos.rtd",,"VOLUME","."&amp;N$2&amp;N$1&amp;"P"&amp;$A36)*RTD("tos.rtd",,"LAST","."&amp;N$2&amp;N$1&amp;"P"&amp;$A36))/1000000),0),IF($A$2="DEX",IFERROR(IF($X$1="ABS",(100*RTD("tos.rtd",,"OPEN_INT","."&amp;N$2&amp;N$1&amp;"C"&amp;$A36)*RTD("tos.rtd",,"DELTA","."&amp;N$2&amp;N$1&amp;"C"&amp;$A36)+100*RTD("tos.rtd",,"OPEN_INT","."&amp;N$2&amp;N$1&amp;"P"&amp;$A36)*RTD("tos.rtd",,"DELTA","."&amp;N$2&amp;N$1&amp;"P"&amp;$A36))/1000,(100*RTD("tos.rtd",,"OPEN_INT","."&amp;N$2&amp;N$1&amp;"C"&amp;$A36)*RTD("tos.rtd",,"DELTA","."&amp;N$2&amp;N$1&amp;"C"&amp;$A36)-100*RTD("tos.rtd",,"OPEN_INT","."&amp;N$2&amp;N$1&amp;"P"&amp;$A36)*RTD("tos.rtd",,"DELTA","."&amp;N$2&amp;N$1&amp;"P"&amp;$A36))/1000),0),IF($A$2="VEX",IFERROR(IF($X$1="ABS",($A$4*$A$4*RTD("tos.rtd",,"VOLUME","."&amp;N$2&amp;N$1&amp;"C"&amp;$A36)*RTD("tos.rtd",,"GAMMA","."&amp;N$2&amp;N$1&amp;"C"&amp;$A36)+$A$4*$A$4*RTD("tos.rtd",,"VOLUME","."&amp;N$2&amp;N$1&amp;"P"&amp;$A36)*RTD("tos.rtd",,"GAMMA","."&amp;N$2&amp;N$1&amp;"P"&amp;$A36))/1000000,($A$4*$A$4*RTD("tos.rtd",,"VOLUME","."&amp;N$2&amp;N$1&amp;"C"&amp;$A36)*RTD("tos.rtd",,"GAMMA","."&amp;N$2&amp;N$1&amp;"C"&amp;$A36)-$A$4*$A$4*RTD("tos.rtd",,"VOLUME","."&amp;N$2&amp;N$1&amp;"P"&amp;$A36)*RTD("tos.rtd",,"GAMMA","."&amp;N$2&amp;N$1&amp;"P"&amp;$A36))/1000000),0),IF($A$2="GEX",IFERROR(IF($X$1="ABS",($A$4*$A$4*RTD("tos.rtd",,"OPEN_INT","."&amp;N$2&amp;N$1&amp;"C"&amp;$A36)*RTD("tos.rtd",,"GAMMA","."&amp;N$2&amp;N$1&amp;"C"&amp;$A36)+$A$4*$A$4*RTD("tos.rtd",,"OPEN_INT","."&amp;N$2&amp;N$1&amp;"P"&amp;$A36)*RTD("tos.rtd",,"GAMMA","."&amp;N$2&amp;N$1&amp;"P"&amp;$A36))/1000000,($A$4*$A$4*RTD("tos.rtd",,"OPEN_INT","."&amp;N$2&amp;N$1&amp;"C"&amp;$A36)*RTD("tos.rtd",,"GAMMA","."&amp;N$2&amp;N$1&amp;"C"&amp;$A36)-$A$4*$A$4*RTD("tos.rtd",,"OPEN_INT","."&amp;N$2&amp;N$1&amp;"P"&amp;$A36)*RTD("tos.rtd",,"GAMMA","."&amp;N$2&amp;N$1&amp;"P"&amp;$A36))/1000000),0),IF($A$2="SKEW",IFERROR(VALUE(IF(RTD("tos.rtd",,"IMPL_VOL","."&amp;N$2&amp;N$1&amp;"P"&amp;$A36)="N/A",0,RTD("tos.rtd",,"IMPL_VOL","."&amp;N$2&amp;N$1&amp;"P"&amp;$A36))),0)-IFERROR(VALUE(IF(RTD("tos.rtd",,"IMPL_VOL","."&amp;N$2&amp;N$1&amp;"C"&amp;$A36)="N/A",0,RTD("tos.rtd",,"IMPL_VOL","."&amp;N$2&amp;N$1&amp;"C"&amp;$A36))),0),IF($A$2="MAXPAIN",IF($A$4&gt;$A36,($A$4-$A36)*IF(RTD("tos.rtd",,"OPEN_INT","."&amp;N$2&amp;N$1&amp;"C"&amp;$A36)="N/A",0,RTD("tos.rtd",,"OPEN_INT","."&amp;N$2&amp;N$1&amp;"C"&amp;$A36)),0)+IF($A$4&lt;$A36,($A$5-$A$4)*IF(RTD("tos.rtd",,"OPEN_INT","."&amp;N$2&amp;N$1&amp;"P"&amp;$A36)="N/A",0,RTD("tos.rtd",,"OPEN_INT","."&amp;N$2&amp;N$1&amp;"P"&amp;$A36)),0),IF($X$1="ABS",IF(RTD("tos.rtd",,$A$2,"."&amp;N$2&amp;N$1&amp;"C"&amp;$A36)="N/A",0,RTD("tos.rtd",,$A$2,"."&amp;N$2&amp;N$1&amp;"C"&amp;$A36))+IF(RTD("tos.rtd",,$A$2,"."&amp;N$2&amp;N$1&amp;"P"&amp;$A36)="N/A",0,RTD("tos.rtd",,$A$2,"."&amp;N$2&amp;N$1&amp;"P"&amp;$A36)),IF(RTD("tos.rtd",,$A$2,"."&amp;N$2&amp;N$1&amp;"C"&amp;$A36)="N/A",0,RTD("tos.rtd",,$A$2,"."&amp;N$2&amp;N$1&amp;"C"&amp;$A36))-IF(RTD("tos.rtd",,$A$2,"."&amp;N$2&amp;N$1&amp;"P"&amp;$A36)="N/A",0,RTD("tos.rtd",,$A$2,"."&amp;N$2&amp;N$1&amp;"P"&amp;$A36))))))))))</f>
        <v>0</v>
      </c>
      <c r="O36" s="12">
        <f ca="1">IF($A$2="PREMIUM_OI",IFERROR(IF($X$1="ABS",(100*RTD("tos.rtd",,"OPEN_INT","."&amp;O$2&amp;O$1&amp;"C"&amp;$A36)*RTD("tos.rtd",,"LAST","."&amp;O$2&amp;O$1&amp;"C"&amp;$A36)+100*RTD("tos.rtd",,"OPEN_INT","."&amp;O$2&amp;O$1&amp;"P"&amp;$A36)*RTD("tos.rtd",,"LAST","."&amp;O$2&amp;O$1&amp;"P"&amp;$A36))/1000000,(100*RTD("tos.rtd",,"OPEN_INT","."&amp;O$2&amp;O$1&amp;"C"&amp;$A36)*RTD("tos.rtd",,"LAST","."&amp;O$2&amp;O$1&amp;"C"&amp;$A36)-100*RTD("tos.rtd",,"OPEN_INT","."&amp;O$2&amp;O$1&amp;"P"&amp;$A36)*RTD("tos.rtd",,"LAST","."&amp;O$2&amp;O$1&amp;"P"&amp;$A36))/1000000),0),IF($A$2="PREMIUM",IFERROR(IF($X$1="ABS",(100*RTD("tos.rtd",,"VOLUME","."&amp;O$2&amp;O$1&amp;"C"&amp;$A36)*RTD("tos.rtd",,"LAST","."&amp;O$2&amp;O$1&amp;"C"&amp;$A36)+100*RTD("tos.rtd",,"VOLUME","."&amp;O$2&amp;O$1&amp;"P"&amp;$A36)*RTD("tos.rtd",,"LAST","."&amp;O$2&amp;O$1&amp;"P"&amp;$A36))/1000000,(100*RTD("tos.rtd",,"VOLUME","."&amp;O$2&amp;O$1&amp;"C"&amp;$A36)*RTD("tos.rtd",,"LAST","."&amp;O$2&amp;O$1&amp;"C"&amp;$A36)-100*RTD("tos.rtd",,"VOLUME","."&amp;O$2&amp;O$1&amp;"P"&amp;$A36)*RTD("tos.rtd",,"LAST","."&amp;O$2&amp;O$1&amp;"P"&amp;$A36))/1000000),0),IF($A$2="DEX",IFERROR(IF($X$1="ABS",(100*RTD("tos.rtd",,"OPEN_INT","."&amp;O$2&amp;O$1&amp;"C"&amp;$A36)*RTD("tos.rtd",,"DELTA","."&amp;O$2&amp;O$1&amp;"C"&amp;$A36)+100*RTD("tos.rtd",,"OPEN_INT","."&amp;O$2&amp;O$1&amp;"P"&amp;$A36)*RTD("tos.rtd",,"DELTA","."&amp;O$2&amp;O$1&amp;"P"&amp;$A36))/1000,(100*RTD("tos.rtd",,"OPEN_INT","."&amp;O$2&amp;O$1&amp;"C"&amp;$A36)*RTD("tos.rtd",,"DELTA","."&amp;O$2&amp;O$1&amp;"C"&amp;$A36)-100*RTD("tos.rtd",,"OPEN_INT","."&amp;O$2&amp;O$1&amp;"P"&amp;$A36)*RTD("tos.rtd",,"DELTA","."&amp;O$2&amp;O$1&amp;"P"&amp;$A36))/1000),0),IF($A$2="VEX",IFERROR(IF($X$1="ABS",($A$4*$A$4*RTD("tos.rtd",,"VOLUME","."&amp;O$2&amp;O$1&amp;"C"&amp;$A36)*RTD("tos.rtd",,"GAMMA","."&amp;O$2&amp;O$1&amp;"C"&amp;$A36)+$A$4*$A$4*RTD("tos.rtd",,"VOLUME","."&amp;O$2&amp;O$1&amp;"P"&amp;$A36)*RTD("tos.rtd",,"GAMMA","."&amp;O$2&amp;O$1&amp;"P"&amp;$A36))/1000000,($A$4*$A$4*RTD("tos.rtd",,"VOLUME","."&amp;O$2&amp;O$1&amp;"C"&amp;$A36)*RTD("tos.rtd",,"GAMMA","."&amp;O$2&amp;O$1&amp;"C"&amp;$A36)-$A$4*$A$4*RTD("tos.rtd",,"VOLUME","."&amp;O$2&amp;O$1&amp;"P"&amp;$A36)*RTD("tos.rtd",,"GAMMA","."&amp;O$2&amp;O$1&amp;"P"&amp;$A36))/1000000),0),IF($A$2="GEX",IFERROR(IF($X$1="ABS",($A$4*$A$4*RTD("tos.rtd",,"OPEN_INT","."&amp;O$2&amp;O$1&amp;"C"&amp;$A36)*RTD("tos.rtd",,"GAMMA","."&amp;O$2&amp;O$1&amp;"C"&amp;$A36)+$A$4*$A$4*RTD("tos.rtd",,"OPEN_INT","."&amp;O$2&amp;O$1&amp;"P"&amp;$A36)*RTD("tos.rtd",,"GAMMA","."&amp;O$2&amp;O$1&amp;"P"&amp;$A36))/1000000,($A$4*$A$4*RTD("tos.rtd",,"OPEN_INT","."&amp;O$2&amp;O$1&amp;"C"&amp;$A36)*RTD("tos.rtd",,"GAMMA","."&amp;O$2&amp;O$1&amp;"C"&amp;$A36)-$A$4*$A$4*RTD("tos.rtd",,"OPEN_INT","."&amp;O$2&amp;O$1&amp;"P"&amp;$A36)*RTD("tos.rtd",,"GAMMA","."&amp;O$2&amp;O$1&amp;"P"&amp;$A36))/1000000),0),IF($A$2="SKEW",IFERROR(VALUE(IF(RTD("tos.rtd",,"IMPL_VOL","."&amp;O$2&amp;O$1&amp;"P"&amp;$A36)="N/A",0,RTD("tos.rtd",,"IMPL_VOL","."&amp;O$2&amp;O$1&amp;"P"&amp;$A36))),0)-IFERROR(VALUE(IF(RTD("tos.rtd",,"IMPL_VOL","."&amp;O$2&amp;O$1&amp;"C"&amp;$A36)="N/A",0,RTD("tos.rtd",,"IMPL_VOL","."&amp;O$2&amp;O$1&amp;"C"&amp;$A36))),0),IF($A$2="MAXPAIN",IF($A$4&gt;$A36,($A$4-$A36)*IF(RTD("tos.rtd",,"OPEN_INT","."&amp;O$2&amp;O$1&amp;"C"&amp;$A36)="N/A",0,RTD("tos.rtd",,"OPEN_INT","."&amp;O$2&amp;O$1&amp;"C"&amp;$A36)),0)+IF($A$4&lt;$A36,($A$5-$A$4)*IF(RTD("tos.rtd",,"OPEN_INT","."&amp;O$2&amp;O$1&amp;"P"&amp;$A36)="N/A",0,RTD("tos.rtd",,"OPEN_INT","."&amp;O$2&amp;O$1&amp;"P"&amp;$A36)),0),IF($X$1="ABS",IF(RTD("tos.rtd",,$A$2,"."&amp;O$2&amp;O$1&amp;"C"&amp;$A36)="N/A",0,RTD("tos.rtd",,$A$2,"."&amp;O$2&amp;O$1&amp;"C"&amp;$A36))+IF(RTD("tos.rtd",,$A$2,"."&amp;O$2&amp;O$1&amp;"P"&amp;$A36)="N/A",0,RTD("tos.rtd",,$A$2,"."&amp;O$2&amp;O$1&amp;"P"&amp;$A36)),IF(RTD("tos.rtd",,$A$2,"."&amp;O$2&amp;O$1&amp;"C"&amp;$A36)="N/A",0,RTD("tos.rtd",,$A$2,"."&amp;O$2&amp;O$1&amp;"C"&amp;$A36))-IF(RTD("tos.rtd",,$A$2,"."&amp;O$2&amp;O$1&amp;"P"&amp;$A36)="N/A",0,RTD("tos.rtd",,$A$2,"."&amp;O$2&amp;O$1&amp;"P"&amp;$A36))))))))))</f>
        <v>0</v>
      </c>
      <c r="P36" s="12">
        <f ca="1">IF($A$2="PREMIUM_OI",IFERROR(IF($X$1="ABS",(100*RTD("tos.rtd",,"OPEN_INT","."&amp;P$2&amp;P$1&amp;"C"&amp;$A36)*RTD("tos.rtd",,"LAST","."&amp;P$2&amp;P$1&amp;"C"&amp;$A36)+100*RTD("tos.rtd",,"OPEN_INT","."&amp;P$2&amp;P$1&amp;"P"&amp;$A36)*RTD("tos.rtd",,"LAST","."&amp;P$2&amp;P$1&amp;"P"&amp;$A36))/1000000,(100*RTD("tos.rtd",,"OPEN_INT","."&amp;P$2&amp;P$1&amp;"C"&amp;$A36)*RTD("tos.rtd",,"LAST","."&amp;P$2&amp;P$1&amp;"C"&amp;$A36)-100*RTD("tos.rtd",,"OPEN_INT","."&amp;P$2&amp;P$1&amp;"P"&amp;$A36)*RTD("tos.rtd",,"LAST","."&amp;P$2&amp;P$1&amp;"P"&amp;$A36))/1000000),0),IF($A$2="PREMIUM",IFERROR(IF($X$1="ABS",(100*RTD("tos.rtd",,"VOLUME","."&amp;P$2&amp;P$1&amp;"C"&amp;$A36)*RTD("tos.rtd",,"LAST","."&amp;P$2&amp;P$1&amp;"C"&amp;$A36)+100*RTD("tos.rtd",,"VOLUME","."&amp;P$2&amp;P$1&amp;"P"&amp;$A36)*RTD("tos.rtd",,"LAST","."&amp;P$2&amp;P$1&amp;"P"&amp;$A36))/1000000,(100*RTD("tos.rtd",,"VOLUME","."&amp;P$2&amp;P$1&amp;"C"&amp;$A36)*RTD("tos.rtd",,"LAST","."&amp;P$2&amp;P$1&amp;"C"&amp;$A36)-100*RTD("tos.rtd",,"VOLUME","."&amp;P$2&amp;P$1&amp;"P"&amp;$A36)*RTD("tos.rtd",,"LAST","."&amp;P$2&amp;P$1&amp;"P"&amp;$A36))/1000000),0),IF($A$2="DEX",IFERROR(IF($X$1="ABS",(100*RTD("tos.rtd",,"OPEN_INT","."&amp;P$2&amp;P$1&amp;"C"&amp;$A36)*RTD("tos.rtd",,"DELTA","."&amp;P$2&amp;P$1&amp;"C"&amp;$A36)+100*RTD("tos.rtd",,"OPEN_INT","."&amp;P$2&amp;P$1&amp;"P"&amp;$A36)*RTD("tos.rtd",,"DELTA","."&amp;P$2&amp;P$1&amp;"P"&amp;$A36))/1000,(100*RTD("tos.rtd",,"OPEN_INT","."&amp;P$2&amp;P$1&amp;"C"&amp;$A36)*RTD("tos.rtd",,"DELTA","."&amp;P$2&amp;P$1&amp;"C"&amp;$A36)-100*RTD("tos.rtd",,"OPEN_INT","."&amp;P$2&amp;P$1&amp;"P"&amp;$A36)*RTD("tos.rtd",,"DELTA","."&amp;P$2&amp;P$1&amp;"P"&amp;$A36))/1000),0),IF($A$2="VEX",IFERROR(IF($X$1="ABS",($A$4*$A$4*RTD("tos.rtd",,"VOLUME","."&amp;P$2&amp;P$1&amp;"C"&amp;$A36)*RTD("tos.rtd",,"GAMMA","."&amp;P$2&amp;P$1&amp;"C"&amp;$A36)+$A$4*$A$4*RTD("tos.rtd",,"VOLUME","."&amp;P$2&amp;P$1&amp;"P"&amp;$A36)*RTD("tos.rtd",,"GAMMA","."&amp;P$2&amp;P$1&amp;"P"&amp;$A36))/1000000,($A$4*$A$4*RTD("tos.rtd",,"VOLUME","."&amp;P$2&amp;P$1&amp;"C"&amp;$A36)*RTD("tos.rtd",,"GAMMA","."&amp;P$2&amp;P$1&amp;"C"&amp;$A36)-$A$4*$A$4*RTD("tos.rtd",,"VOLUME","."&amp;P$2&amp;P$1&amp;"P"&amp;$A36)*RTD("tos.rtd",,"GAMMA","."&amp;P$2&amp;P$1&amp;"P"&amp;$A36))/1000000),0),IF($A$2="GEX",IFERROR(IF($X$1="ABS",($A$4*$A$4*RTD("tos.rtd",,"OPEN_INT","."&amp;P$2&amp;P$1&amp;"C"&amp;$A36)*RTD("tos.rtd",,"GAMMA","."&amp;P$2&amp;P$1&amp;"C"&amp;$A36)+$A$4*$A$4*RTD("tos.rtd",,"OPEN_INT","."&amp;P$2&amp;P$1&amp;"P"&amp;$A36)*RTD("tos.rtd",,"GAMMA","."&amp;P$2&amp;P$1&amp;"P"&amp;$A36))/1000000,($A$4*$A$4*RTD("tos.rtd",,"OPEN_INT","."&amp;P$2&amp;P$1&amp;"C"&amp;$A36)*RTD("tos.rtd",,"GAMMA","."&amp;P$2&amp;P$1&amp;"C"&amp;$A36)-$A$4*$A$4*RTD("tos.rtd",,"OPEN_INT","."&amp;P$2&amp;P$1&amp;"P"&amp;$A36)*RTD("tos.rtd",,"GAMMA","."&amp;P$2&amp;P$1&amp;"P"&amp;$A36))/1000000),0),IF($A$2="SKEW",IFERROR(VALUE(IF(RTD("tos.rtd",,"IMPL_VOL","."&amp;P$2&amp;P$1&amp;"P"&amp;$A36)="N/A",0,RTD("tos.rtd",,"IMPL_VOL","."&amp;P$2&amp;P$1&amp;"P"&amp;$A36))),0)-IFERROR(VALUE(IF(RTD("tos.rtd",,"IMPL_VOL","."&amp;P$2&amp;P$1&amp;"C"&amp;$A36)="N/A",0,RTD("tos.rtd",,"IMPL_VOL","."&amp;P$2&amp;P$1&amp;"C"&amp;$A36))),0),IF($A$2="MAXPAIN",IF($A$4&gt;$A36,($A$4-$A36)*IF(RTD("tos.rtd",,"OPEN_INT","."&amp;P$2&amp;P$1&amp;"C"&amp;$A36)="N/A",0,RTD("tos.rtd",,"OPEN_INT","."&amp;P$2&amp;P$1&amp;"C"&amp;$A36)),0)+IF($A$4&lt;$A36,($A$5-$A$4)*IF(RTD("tos.rtd",,"OPEN_INT","."&amp;P$2&amp;P$1&amp;"P"&amp;$A36)="N/A",0,RTD("tos.rtd",,"OPEN_INT","."&amp;P$2&amp;P$1&amp;"P"&amp;$A36)),0),IF($X$1="ABS",IF(RTD("tos.rtd",,$A$2,"."&amp;P$2&amp;P$1&amp;"C"&amp;$A36)="N/A",0,RTD("tos.rtd",,$A$2,"."&amp;P$2&amp;P$1&amp;"C"&amp;$A36))+IF(RTD("tos.rtd",,$A$2,"."&amp;P$2&amp;P$1&amp;"P"&amp;$A36)="N/A",0,RTD("tos.rtd",,$A$2,"."&amp;P$2&amp;P$1&amp;"P"&amp;$A36)),IF(RTD("tos.rtd",,$A$2,"."&amp;P$2&amp;P$1&amp;"C"&amp;$A36)="N/A",0,RTD("tos.rtd",,$A$2,"."&amp;P$2&amp;P$1&amp;"C"&amp;$A36))-IF(RTD("tos.rtd",,$A$2,"."&amp;P$2&amp;P$1&amp;"P"&amp;$A36)="N/A",0,RTD("tos.rtd",,$A$2,"."&amp;P$2&amp;P$1&amp;"P"&amp;$A36))))))))))</f>
        <v>0</v>
      </c>
      <c r="Q36" s="12">
        <f ca="1">IF($A$2="PREMIUM_OI",IFERROR(IF($X$1="ABS",(100*RTD("tos.rtd",,"OPEN_INT","."&amp;Q$2&amp;Q$1&amp;"C"&amp;$A36)*RTD("tos.rtd",,"LAST","."&amp;Q$2&amp;Q$1&amp;"C"&amp;$A36)+100*RTD("tos.rtd",,"OPEN_INT","."&amp;Q$2&amp;Q$1&amp;"P"&amp;$A36)*RTD("tos.rtd",,"LAST","."&amp;Q$2&amp;Q$1&amp;"P"&amp;$A36))/1000000,(100*RTD("tos.rtd",,"OPEN_INT","."&amp;Q$2&amp;Q$1&amp;"C"&amp;$A36)*RTD("tos.rtd",,"LAST","."&amp;Q$2&amp;Q$1&amp;"C"&amp;$A36)-100*RTD("tos.rtd",,"OPEN_INT","."&amp;Q$2&amp;Q$1&amp;"P"&amp;$A36)*RTD("tos.rtd",,"LAST","."&amp;Q$2&amp;Q$1&amp;"P"&amp;$A36))/1000000),0),IF($A$2="PREMIUM",IFERROR(IF($X$1="ABS",(100*RTD("tos.rtd",,"VOLUME","."&amp;Q$2&amp;Q$1&amp;"C"&amp;$A36)*RTD("tos.rtd",,"LAST","."&amp;Q$2&amp;Q$1&amp;"C"&amp;$A36)+100*RTD("tos.rtd",,"VOLUME","."&amp;Q$2&amp;Q$1&amp;"P"&amp;$A36)*RTD("tos.rtd",,"LAST","."&amp;Q$2&amp;Q$1&amp;"P"&amp;$A36))/1000000,(100*RTD("tos.rtd",,"VOLUME","."&amp;Q$2&amp;Q$1&amp;"C"&amp;$A36)*RTD("tos.rtd",,"LAST","."&amp;Q$2&amp;Q$1&amp;"C"&amp;$A36)-100*RTD("tos.rtd",,"VOLUME","."&amp;Q$2&amp;Q$1&amp;"P"&amp;$A36)*RTD("tos.rtd",,"LAST","."&amp;Q$2&amp;Q$1&amp;"P"&amp;$A36))/1000000),0),IF($A$2="DEX",IFERROR(IF($X$1="ABS",(100*RTD("tos.rtd",,"OPEN_INT","."&amp;Q$2&amp;Q$1&amp;"C"&amp;$A36)*RTD("tos.rtd",,"DELTA","."&amp;Q$2&amp;Q$1&amp;"C"&amp;$A36)+100*RTD("tos.rtd",,"OPEN_INT","."&amp;Q$2&amp;Q$1&amp;"P"&amp;$A36)*RTD("tos.rtd",,"DELTA","."&amp;Q$2&amp;Q$1&amp;"P"&amp;$A36))/1000,(100*RTD("tos.rtd",,"OPEN_INT","."&amp;Q$2&amp;Q$1&amp;"C"&amp;$A36)*RTD("tos.rtd",,"DELTA","."&amp;Q$2&amp;Q$1&amp;"C"&amp;$A36)-100*RTD("tos.rtd",,"OPEN_INT","."&amp;Q$2&amp;Q$1&amp;"P"&amp;$A36)*RTD("tos.rtd",,"DELTA","."&amp;Q$2&amp;Q$1&amp;"P"&amp;$A36))/1000),0),IF($A$2="VEX",IFERROR(IF($X$1="ABS",($A$4*$A$4*RTD("tos.rtd",,"VOLUME","."&amp;Q$2&amp;Q$1&amp;"C"&amp;$A36)*RTD("tos.rtd",,"GAMMA","."&amp;Q$2&amp;Q$1&amp;"C"&amp;$A36)+$A$4*$A$4*RTD("tos.rtd",,"VOLUME","."&amp;Q$2&amp;Q$1&amp;"P"&amp;$A36)*RTD("tos.rtd",,"GAMMA","."&amp;Q$2&amp;Q$1&amp;"P"&amp;$A36))/1000000,($A$4*$A$4*RTD("tos.rtd",,"VOLUME","."&amp;Q$2&amp;Q$1&amp;"C"&amp;$A36)*RTD("tos.rtd",,"GAMMA","."&amp;Q$2&amp;Q$1&amp;"C"&amp;$A36)-$A$4*$A$4*RTD("tos.rtd",,"VOLUME","."&amp;Q$2&amp;Q$1&amp;"P"&amp;$A36)*RTD("tos.rtd",,"GAMMA","."&amp;Q$2&amp;Q$1&amp;"P"&amp;$A36))/1000000),0),IF($A$2="GEX",IFERROR(IF($X$1="ABS",($A$4*$A$4*RTD("tos.rtd",,"OPEN_INT","."&amp;Q$2&amp;Q$1&amp;"C"&amp;$A36)*RTD("tos.rtd",,"GAMMA","."&amp;Q$2&amp;Q$1&amp;"C"&amp;$A36)+$A$4*$A$4*RTD("tos.rtd",,"OPEN_INT","."&amp;Q$2&amp;Q$1&amp;"P"&amp;$A36)*RTD("tos.rtd",,"GAMMA","."&amp;Q$2&amp;Q$1&amp;"P"&amp;$A36))/1000000,($A$4*$A$4*RTD("tos.rtd",,"OPEN_INT","."&amp;Q$2&amp;Q$1&amp;"C"&amp;$A36)*RTD("tos.rtd",,"GAMMA","."&amp;Q$2&amp;Q$1&amp;"C"&amp;$A36)-$A$4*$A$4*RTD("tos.rtd",,"OPEN_INT","."&amp;Q$2&amp;Q$1&amp;"P"&amp;$A36)*RTD("tos.rtd",,"GAMMA","."&amp;Q$2&amp;Q$1&amp;"P"&amp;$A36))/1000000),0),IF($A$2="SKEW",IFERROR(VALUE(IF(RTD("tos.rtd",,"IMPL_VOL","."&amp;Q$2&amp;Q$1&amp;"P"&amp;$A36)="N/A",0,RTD("tos.rtd",,"IMPL_VOL","."&amp;Q$2&amp;Q$1&amp;"P"&amp;$A36))),0)-IFERROR(VALUE(IF(RTD("tos.rtd",,"IMPL_VOL","."&amp;Q$2&amp;Q$1&amp;"C"&amp;$A36)="N/A",0,RTD("tos.rtd",,"IMPL_VOL","."&amp;Q$2&amp;Q$1&amp;"C"&amp;$A36))),0),IF($A$2="MAXPAIN",IF($A$4&gt;$A36,($A$4-$A36)*IF(RTD("tos.rtd",,"OPEN_INT","."&amp;Q$2&amp;Q$1&amp;"C"&amp;$A36)="N/A",0,RTD("tos.rtd",,"OPEN_INT","."&amp;Q$2&amp;Q$1&amp;"C"&amp;$A36)),0)+IF($A$4&lt;$A36,($A$5-$A$4)*IF(RTD("tos.rtd",,"OPEN_INT","."&amp;Q$2&amp;Q$1&amp;"P"&amp;$A36)="N/A",0,RTD("tos.rtd",,"OPEN_INT","."&amp;Q$2&amp;Q$1&amp;"P"&amp;$A36)),0),IF($X$1="ABS",IF(RTD("tos.rtd",,$A$2,"."&amp;Q$2&amp;Q$1&amp;"C"&amp;$A36)="N/A",0,RTD("tos.rtd",,$A$2,"."&amp;Q$2&amp;Q$1&amp;"C"&amp;$A36))+IF(RTD("tos.rtd",,$A$2,"."&amp;Q$2&amp;Q$1&amp;"P"&amp;$A36)="N/A",0,RTD("tos.rtd",,$A$2,"."&amp;Q$2&amp;Q$1&amp;"P"&amp;$A36)),IF(RTD("tos.rtd",,$A$2,"."&amp;Q$2&amp;Q$1&amp;"C"&amp;$A36)="N/A",0,RTD("tos.rtd",,$A$2,"."&amp;Q$2&amp;Q$1&amp;"C"&amp;$A36))-IF(RTD("tos.rtd",,$A$2,"."&amp;Q$2&amp;Q$1&amp;"P"&amp;$A36)="N/A",0,RTD("tos.rtd",,$A$2,"."&amp;Q$2&amp;Q$1&amp;"P"&amp;$A36))))))))))</f>
        <v>0</v>
      </c>
      <c r="R36" s="12">
        <f ca="1">IF($A$2="PREMIUM_OI",IFERROR(IF($X$1="ABS",(100*RTD("tos.rtd",,"OPEN_INT","."&amp;R$2&amp;R$1&amp;"C"&amp;$A36)*RTD("tos.rtd",,"LAST","."&amp;R$2&amp;R$1&amp;"C"&amp;$A36)+100*RTD("tos.rtd",,"OPEN_INT","."&amp;R$2&amp;R$1&amp;"P"&amp;$A36)*RTD("tos.rtd",,"LAST","."&amp;R$2&amp;R$1&amp;"P"&amp;$A36))/1000000,(100*RTD("tos.rtd",,"OPEN_INT","."&amp;R$2&amp;R$1&amp;"C"&amp;$A36)*RTD("tos.rtd",,"LAST","."&amp;R$2&amp;R$1&amp;"C"&amp;$A36)-100*RTD("tos.rtd",,"OPEN_INT","."&amp;R$2&amp;R$1&amp;"P"&amp;$A36)*RTD("tos.rtd",,"LAST","."&amp;R$2&amp;R$1&amp;"P"&amp;$A36))/1000000),0),IF($A$2="PREMIUM",IFERROR(IF($X$1="ABS",(100*RTD("tos.rtd",,"VOLUME","."&amp;R$2&amp;R$1&amp;"C"&amp;$A36)*RTD("tos.rtd",,"LAST","."&amp;R$2&amp;R$1&amp;"C"&amp;$A36)+100*RTD("tos.rtd",,"VOLUME","."&amp;R$2&amp;R$1&amp;"P"&amp;$A36)*RTD("tos.rtd",,"LAST","."&amp;R$2&amp;R$1&amp;"P"&amp;$A36))/1000000,(100*RTD("tos.rtd",,"VOLUME","."&amp;R$2&amp;R$1&amp;"C"&amp;$A36)*RTD("tos.rtd",,"LAST","."&amp;R$2&amp;R$1&amp;"C"&amp;$A36)-100*RTD("tos.rtd",,"VOLUME","."&amp;R$2&amp;R$1&amp;"P"&amp;$A36)*RTD("tos.rtd",,"LAST","."&amp;R$2&amp;R$1&amp;"P"&amp;$A36))/1000000),0),IF($A$2="DEX",IFERROR(IF($X$1="ABS",(100*RTD("tos.rtd",,"OPEN_INT","."&amp;R$2&amp;R$1&amp;"C"&amp;$A36)*RTD("tos.rtd",,"DELTA","."&amp;R$2&amp;R$1&amp;"C"&amp;$A36)+100*RTD("tos.rtd",,"OPEN_INT","."&amp;R$2&amp;R$1&amp;"P"&amp;$A36)*RTD("tos.rtd",,"DELTA","."&amp;R$2&amp;R$1&amp;"P"&amp;$A36))/1000,(100*RTD("tos.rtd",,"OPEN_INT","."&amp;R$2&amp;R$1&amp;"C"&amp;$A36)*RTD("tos.rtd",,"DELTA","."&amp;R$2&amp;R$1&amp;"C"&amp;$A36)-100*RTD("tos.rtd",,"OPEN_INT","."&amp;R$2&amp;R$1&amp;"P"&amp;$A36)*RTD("tos.rtd",,"DELTA","."&amp;R$2&amp;R$1&amp;"P"&amp;$A36))/1000),0),IF($A$2="VEX",IFERROR(IF($X$1="ABS",($A$4*$A$4*RTD("tos.rtd",,"VOLUME","."&amp;R$2&amp;R$1&amp;"C"&amp;$A36)*RTD("tos.rtd",,"GAMMA","."&amp;R$2&amp;R$1&amp;"C"&amp;$A36)+$A$4*$A$4*RTD("tos.rtd",,"VOLUME","."&amp;R$2&amp;R$1&amp;"P"&amp;$A36)*RTD("tos.rtd",,"GAMMA","."&amp;R$2&amp;R$1&amp;"P"&amp;$A36))/1000000,($A$4*$A$4*RTD("tos.rtd",,"VOLUME","."&amp;R$2&amp;R$1&amp;"C"&amp;$A36)*RTD("tos.rtd",,"GAMMA","."&amp;R$2&amp;R$1&amp;"C"&amp;$A36)-$A$4*$A$4*RTD("tos.rtd",,"VOLUME","."&amp;R$2&amp;R$1&amp;"P"&amp;$A36)*RTD("tos.rtd",,"GAMMA","."&amp;R$2&amp;R$1&amp;"P"&amp;$A36))/1000000),0),IF($A$2="GEX",IFERROR(IF($X$1="ABS",($A$4*$A$4*RTD("tos.rtd",,"OPEN_INT","."&amp;R$2&amp;R$1&amp;"C"&amp;$A36)*RTD("tos.rtd",,"GAMMA","."&amp;R$2&amp;R$1&amp;"C"&amp;$A36)+$A$4*$A$4*RTD("tos.rtd",,"OPEN_INT","."&amp;R$2&amp;R$1&amp;"P"&amp;$A36)*RTD("tos.rtd",,"GAMMA","."&amp;R$2&amp;R$1&amp;"P"&amp;$A36))/1000000,($A$4*$A$4*RTD("tos.rtd",,"OPEN_INT","."&amp;R$2&amp;R$1&amp;"C"&amp;$A36)*RTD("tos.rtd",,"GAMMA","."&amp;R$2&amp;R$1&amp;"C"&amp;$A36)-$A$4*$A$4*RTD("tos.rtd",,"OPEN_INT","."&amp;R$2&amp;R$1&amp;"P"&amp;$A36)*RTD("tos.rtd",,"GAMMA","."&amp;R$2&amp;R$1&amp;"P"&amp;$A36))/1000000),0),IF($A$2="SKEW",IFERROR(VALUE(IF(RTD("tos.rtd",,"IMPL_VOL","."&amp;R$2&amp;R$1&amp;"P"&amp;$A36)="N/A",0,RTD("tos.rtd",,"IMPL_VOL","."&amp;R$2&amp;R$1&amp;"P"&amp;$A36))),0)-IFERROR(VALUE(IF(RTD("tos.rtd",,"IMPL_VOL","."&amp;R$2&amp;R$1&amp;"C"&amp;$A36)="N/A",0,RTD("tos.rtd",,"IMPL_VOL","."&amp;R$2&amp;R$1&amp;"C"&amp;$A36))),0),IF($A$2="MAXPAIN",IF($A$4&gt;$A36,($A$4-$A36)*IF(RTD("tos.rtd",,"OPEN_INT","."&amp;R$2&amp;R$1&amp;"C"&amp;$A36)="N/A",0,RTD("tos.rtd",,"OPEN_INT","."&amp;R$2&amp;R$1&amp;"C"&amp;$A36)),0)+IF($A$4&lt;$A36,($A$5-$A$4)*IF(RTD("tos.rtd",,"OPEN_INT","."&amp;R$2&amp;R$1&amp;"P"&amp;$A36)="N/A",0,RTD("tos.rtd",,"OPEN_INT","."&amp;R$2&amp;R$1&amp;"P"&amp;$A36)),0),IF($X$1="ABS",IF(RTD("tos.rtd",,$A$2,"."&amp;R$2&amp;R$1&amp;"C"&amp;$A36)="N/A",0,RTD("tos.rtd",,$A$2,"."&amp;R$2&amp;R$1&amp;"C"&amp;$A36))+IF(RTD("tos.rtd",,$A$2,"."&amp;R$2&amp;R$1&amp;"P"&amp;$A36)="N/A",0,RTD("tos.rtd",,$A$2,"."&amp;R$2&amp;R$1&amp;"P"&amp;$A36)),IF(RTD("tos.rtd",,$A$2,"."&amp;R$2&amp;R$1&amp;"C"&amp;$A36)="N/A",0,RTD("tos.rtd",,$A$2,"."&amp;R$2&amp;R$1&amp;"C"&amp;$A36))-IF(RTD("tos.rtd",,$A$2,"."&amp;R$2&amp;R$1&amp;"P"&amp;$A36)="N/A",0,RTD("tos.rtd",,$A$2,"."&amp;R$2&amp;R$1&amp;"P"&amp;$A36))))))))))</f>
        <v>0</v>
      </c>
      <c r="S36" s="12">
        <f ca="1">IF($A$2="PREMIUM_OI",IFERROR(IF($X$1="ABS",(100*RTD("tos.rtd",,"OPEN_INT","."&amp;S$2&amp;S$1&amp;"C"&amp;$A36)*RTD("tos.rtd",,"LAST","."&amp;S$2&amp;S$1&amp;"C"&amp;$A36)+100*RTD("tos.rtd",,"OPEN_INT","."&amp;S$2&amp;S$1&amp;"P"&amp;$A36)*RTD("tos.rtd",,"LAST","."&amp;S$2&amp;S$1&amp;"P"&amp;$A36))/1000000,(100*RTD("tos.rtd",,"OPEN_INT","."&amp;S$2&amp;S$1&amp;"C"&amp;$A36)*RTD("tos.rtd",,"LAST","."&amp;S$2&amp;S$1&amp;"C"&amp;$A36)-100*RTD("tos.rtd",,"OPEN_INT","."&amp;S$2&amp;S$1&amp;"P"&amp;$A36)*RTD("tos.rtd",,"LAST","."&amp;S$2&amp;S$1&amp;"P"&amp;$A36))/1000000),0),IF($A$2="PREMIUM",IFERROR(IF($X$1="ABS",(100*RTD("tos.rtd",,"VOLUME","."&amp;S$2&amp;S$1&amp;"C"&amp;$A36)*RTD("tos.rtd",,"LAST","."&amp;S$2&amp;S$1&amp;"C"&amp;$A36)+100*RTD("tos.rtd",,"VOLUME","."&amp;S$2&amp;S$1&amp;"P"&amp;$A36)*RTD("tos.rtd",,"LAST","."&amp;S$2&amp;S$1&amp;"P"&amp;$A36))/1000000,(100*RTD("tos.rtd",,"VOLUME","."&amp;S$2&amp;S$1&amp;"C"&amp;$A36)*RTD("tos.rtd",,"LAST","."&amp;S$2&amp;S$1&amp;"C"&amp;$A36)-100*RTD("tos.rtd",,"VOLUME","."&amp;S$2&amp;S$1&amp;"P"&amp;$A36)*RTD("tos.rtd",,"LAST","."&amp;S$2&amp;S$1&amp;"P"&amp;$A36))/1000000),0),IF($A$2="DEX",IFERROR(IF($X$1="ABS",(100*RTD("tos.rtd",,"OPEN_INT","."&amp;S$2&amp;S$1&amp;"C"&amp;$A36)*RTD("tos.rtd",,"DELTA","."&amp;S$2&amp;S$1&amp;"C"&amp;$A36)+100*RTD("tos.rtd",,"OPEN_INT","."&amp;S$2&amp;S$1&amp;"P"&amp;$A36)*RTD("tos.rtd",,"DELTA","."&amp;S$2&amp;S$1&amp;"P"&amp;$A36))/1000,(100*RTD("tos.rtd",,"OPEN_INT","."&amp;S$2&amp;S$1&amp;"C"&amp;$A36)*RTD("tos.rtd",,"DELTA","."&amp;S$2&amp;S$1&amp;"C"&amp;$A36)-100*RTD("tos.rtd",,"OPEN_INT","."&amp;S$2&amp;S$1&amp;"P"&amp;$A36)*RTD("tos.rtd",,"DELTA","."&amp;S$2&amp;S$1&amp;"P"&amp;$A36))/1000),0),IF($A$2="VEX",IFERROR(IF($X$1="ABS",($A$4*$A$4*RTD("tos.rtd",,"VOLUME","."&amp;S$2&amp;S$1&amp;"C"&amp;$A36)*RTD("tos.rtd",,"GAMMA","."&amp;S$2&amp;S$1&amp;"C"&amp;$A36)+$A$4*$A$4*RTD("tos.rtd",,"VOLUME","."&amp;S$2&amp;S$1&amp;"P"&amp;$A36)*RTD("tos.rtd",,"GAMMA","."&amp;S$2&amp;S$1&amp;"P"&amp;$A36))/1000000,($A$4*$A$4*RTD("tos.rtd",,"VOLUME","."&amp;S$2&amp;S$1&amp;"C"&amp;$A36)*RTD("tos.rtd",,"GAMMA","."&amp;S$2&amp;S$1&amp;"C"&amp;$A36)-$A$4*$A$4*RTD("tos.rtd",,"VOLUME","."&amp;S$2&amp;S$1&amp;"P"&amp;$A36)*RTD("tos.rtd",,"GAMMA","."&amp;S$2&amp;S$1&amp;"P"&amp;$A36))/1000000),0),IF($A$2="GEX",IFERROR(IF($X$1="ABS",($A$4*$A$4*RTD("tos.rtd",,"OPEN_INT","."&amp;S$2&amp;S$1&amp;"C"&amp;$A36)*RTD("tos.rtd",,"GAMMA","."&amp;S$2&amp;S$1&amp;"C"&amp;$A36)+$A$4*$A$4*RTD("tos.rtd",,"OPEN_INT","."&amp;S$2&amp;S$1&amp;"P"&amp;$A36)*RTD("tos.rtd",,"GAMMA","."&amp;S$2&amp;S$1&amp;"P"&amp;$A36))/1000000,($A$4*$A$4*RTD("tos.rtd",,"OPEN_INT","."&amp;S$2&amp;S$1&amp;"C"&amp;$A36)*RTD("tos.rtd",,"GAMMA","."&amp;S$2&amp;S$1&amp;"C"&amp;$A36)-$A$4*$A$4*RTD("tos.rtd",,"OPEN_INT","."&amp;S$2&amp;S$1&amp;"P"&amp;$A36)*RTD("tos.rtd",,"GAMMA","."&amp;S$2&amp;S$1&amp;"P"&amp;$A36))/1000000),0),IF($A$2="SKEW",IFERROR(VALUE(IF(RTD("tos.rtd",,"IMPL_VOL","."&amp;S$2&amp;S$1&amp;"P"&amp;$A36)="N/A",0,RTD("tos.rtd",,"IMPL_VOL","."&amp;S$2&amp;S$1&amp;"P"&amp;$A36))),0)-IFERROR(VALUE(IF(RTD("tos.rtd",,"IMPL_VOL","."&amp;S$2&amp;S$1&amp;"C"&amp;$A36)="N/A",0,RTD("tos.rtd",,"IMPL_VOL","."&amp;S$2&amp;S$1&amp;"C"&amp;$A36))),0),IF($A$2="MAXPAIN",IF($A$4&gt;$A36,($A$4-$A36)*IF(RTD("tos.rtd",,"OPEN_INT","."&amp;S$2&amp;S$1&amp;"C"&amp;$A36)="N/A",0,RTD("tos.rtd",,"OPEN_INT","."&amp;S$2&amp;S$1&amp;"C"&amp;$A36)),0)+IF($A$4&lt;$A36,($A$5-$A$4)*IF(RTD("tos.rtd",,"OPEN_INT","."&amp;S$2&amp;S$1&amp;"P"&amp;$A36)="N/A",0,RTD("tos.rtd",,"OPEN_INT","."&amp;S$2&amp;S$1&amp;"P"&amp;$A36)),0),IF($X$1="ABS",IF(RTD("tos.rtd",,$A$2,"."&amp;S$2&amp;S$1&amp;"C"&amp;$A36)="N/A",0,RTD("tos.rtd",,$A$2,"."&amp;S$2&amp;S$1&amp;"C"&amp;$A36))+IF(RTD("tos.rtd",,$A$2,"."&amp;S$2&amp;S$1&amp;"P"&amp;$A36)="N/A",0,RTD("tos.rtd",,$A$2,"."&amp;S$2&amp;S$1&amp;"P"&amp;$A36)),IF(RTD("tos.rtd",,$A$2,"."&amp;S$2&amp;S$1&amp;"C"&amp;$A36)="N/A",0,RTD("tos.rtd",,$A$2,"."&amp;S$2&amp;S$1&amp;"C"&amp;$A36))-IF(RTD("tos.rtd",,$A$2,"."&amp;S$2&amp;S$1&amp;"P"&amp;$A36)="N/A",0,RTD("tos.rtd",,$A$2,"."&amp;S$2&amp;S$1&amp;"P"&amp;$A36))))))))))</f>
        <v>0</v>
      </c>
      <c r="T36" s="12">
        <f ca="1">IF($A$2="PREMIUM_OI",IFERROR(IF($X$1="ABS",(100*RTD("tos.rtd",,"OPEN_INT","."&amp;T$2&amp;T$1&amp;"C"&amp;$A36)*RTD("tos.rtd",,"LAST","."&amp;T$2&amp;T$1&amp;"C"&amp;$A36)+100*RTD("tos.rtd",,"OPEN_INT","."&amp;T$2&amp;T$1&amp;"P"&amp;$A36)*RTD("tos.rtd",,"LAST","."&amp;T$2&amp;T$1&amp;"P"&amp;$A36))/1000000,(100*RTD("tos.rtd",,"OPEN_INT","."&amp;T$2&amp;T$1&amp;"C"&amp;$A36)*RTD("tos.rtd",,"LAST","."&amp;T$2&amp;T$1&amp;"C"&amp;$A36)-100*RTD("tos.rtd",,"OPEN_INT","."&amp;T$2&amp;T$1&amp;"P"&amp;$A36)*RTD("tos.rtd",,"LAST","."&amp;T$2&amp;T$1&amp;"P"&amp;$A36))/1000000),0),IF($A$2="PREMIUM",IFERROR(IF($X$1="ABS",(100*RTD("tos.rtd",,"VOLUME","."&amp;T$2&amp;T$1&amp;"C"&amp;$A36)*RTD("tos.rtd",,"LAST","."&amp;T$2&amp;T$1&amp;"C"&amp;$A36)+100*RTD("tos.rtd",,"VOLUME","."&amp;T$2&amp;T$1&amp;"P"&amp;$A36)*RTD("tos.rtd",,"LAST","."&amp;T$2&amp;T$1&amp;"P"&amp;$A36))/1000000,(100*RTD("tos.rtd",,"VOLUME","."&amp;T$2&amp;T$1&amp;"C"&amp;$A36)*RTD("tos.rtd",,"LAST","."&amp;T$2&amp;T$1&amp;"C"&amp;$A36)-100*RTD("tos.rtd",,"VOLUME","."&amp;T$2&amp;T$1&amp;"P"&amp;$A36)*RTD("tos.rtd",,"LAST","."&amp;T$2&amp;T$1&amp;"P"&amp;$A36))/1000000),0),IF($A$2="DEX",IFERROR(IF($X$1="ABS",(100*RTD("tos.rtd",,"OPEN_INT","."&amp;T$2&amp;T$1&amp;"C"&amp;$A36)*RTD("tos.rtd",,"DELTA","."&amp;T$2&amp;T$1&amp;"C"&amp;$A36)+100*RTD("tos.rtd",,"OPEN_INT","."&amp;T$2&amp;T$1&amp;"P"&amp;$A36)*RTD("tos.rtd",,"DELTA","."&amp;T$2&amp;T$1&amp;"P"&amp;$A36))/1000,(100*RTD("tos.rtd",,"OPEN_INT","."&amp;T$2&amp;T$1&amp;"C"&amp;$A36)*RTD("tos.rtd",,"DELTA","."&amp;T$2&amp;T$1&amp;"C"&amp;$A36)-100*RTD("tos.rtd",,"OPEN_INT","."&amp;T$2&amp;T$1&amp;"P"&amp;$A36)*RTD("tos.rtd",,"DELTA","."&amp;T$2&amp;T$1&amp;"P"&amp;$A36))/1000),0),IF($A$2="VEX",IFERROR(IF($X$1="ABS",($A$4*$A$4*RTD("tos.rtd",,"VOLUME","."&amp;T$2&amp;T$1&amp;"C"&amp;$A36)*RTD("tos.rtd",,"GAMMA","."&amp;T$2&amp;T$1&amp;"C"&amp;$A36)+$A$4*$A$4*RTD("tos.rtd",,"VOLUME","."&amp;T$2&amp;T$1&amp;"P"&amp;$A36)*RTD("tos.rtd",,"GAMMA","."&amp;T$2&amp;T$1&amp;"P"&amp;$A36))/1000000,($A$4*$A$4*RTD("tos.rtd",,"VOLUME","."&amp;T$2&amp;T$1&amp;"C"&amp;$A36)*RTD("tos.rtd",,"GAMMA","."&amp;T$2&amp;T$1&amp;"C"&amp;$A36)-$A$4*$A$4*RTD("tos.rtd",,"VOLUME","."&amp;T$2&amp;T$1&amp;"P"&amp;$A36)*RTD("tos.rtd",,"GAMMA","."&amp;T$2&amp;T$1&amp;"P"&amp;$A36))/1000000),0),IF($A$2="GEX",IFERROR(IF($X$1="ABS",($A$4*$A$4*RTD("tos.rtd",,"OPEN_INT","."&amp;T$2&amp;T$1&amp;"C"&amp;$A36)*RTD("tos.rtd",,"GAMMA","."&amp;T$2&amp;T$1&amp;"C"&amp;$A36)+$A$4*$A$4*RTD("tos.rtd",,"OPEN_INT","."&amp;T$2&amp;T$1&amp;"P"&amp;$A36)*RTD("tos.rtd",,"GAMMA","."&amp;T$2&amp;T$1&amp;"P"&amp;$A36))/1000000,($A$4*$A$4*RTD("tos.rtd",,"OPEN_INT","."&amp;T$2&amp;T$1&amp;"C"&amp;$A36)*RTD("tos.rtd",,"GAMMA","."&amp;T$2&amp;T$1&amp;"C"&amp;$A36)-$A$4*$A$4*RTD("tos.rtd",,"OPEN_INT","."&amp;T$2&amp;T$1&amp;"P"&amp;$A36)*RTD("tos.rtd",,"GAMMA","."&amp;T$2&amp;T$1&amp;"P"&amp;$A36))/1000000),0),IF($A$2="SKEW",IFERROR(VALUE(IF(RTD("tos.rtd",,"IMPL_VOL","."&amp;T$2&amp;T$1&amp;"P"&amp;$A36)="N/A",0,RTD("tos.rtd",,"IMPL_VOL","."&amp;T$2&amp;T$1&amp;"P"&amp;$A36))),0)-IFERROR(VALUE(IF(RTD("tos.rtd",,"IMPL_VOL","."&amp;T$2&amp;T$1&amp;"C"&amp;$A36)="N/A",0,RTD("tos.rtd",,"IMPL_VOL","."&amp;T$2&amp;T$1&amp;"C"&amp;$A36))),0),IF($A$2="MAXPAIN",IF($A$4&gt;$A36,($A$4-$A36)*IF(RTD("tos.rtd",,"OPEN_INT","."&amp;T$2&amp;T$1&amp;"C"&amp;$A36)="N/A",0,RTD("tos.rtd",,"OPEN_INT","."&amp;T$2&amp;T$1&amp;"C"&amp;$A36)),0)+IF($A$4&lt;$A36,($A$5-$A$4)*IF(RTD("tos.rtd",,"OPEN_INT","."&amp;T$2&amp;T$1&amp;"P"&amp;$A36)="N/A",0,RTD("tos.rtd",,"OPEN_INT","."&amp;T$2&amp;T$1&amp;"P"&amp;$A36)),0),IF($X$1="ABS",IF(RTD("tos.rtd",,$A$2,"."&amp;T$2&amp;T$1&amp;"C"&amp;$A36)="N/A",0,RTD("tos.rtd",,$A$2,"."&amp;T$2&amp;T$1&amp;"C"&amp;$A36))+IF(RTD("tos.rtd",,$A$2,"."&amp;T$2&amp;T$1&amp;"P"&amp;$A36)="N/A",0,RTD("tos.rtd",,$A$2,"."&amp;T$2&amp;T$1&amp;"P"&amp;$A36)),IF(RTD("tos.rtd",,$A$2,"."&amp;T$2&amp;T$1&amp;"C"&amp;$A36)="N/A",0,RTD("tos.rtd",,$A$2,"."&amp;T$2&amp;T$1&amp;"C"&amp;$A36))-IF(RTD("tos.rtd",,$A$2,"."&amp;T$2&amp;T$1&amp;"P"&amp;$A36)="N/A",0,RTD("tos.rtd",,$A$2,"."&amp;T$2&amp;T$1&amp;"P"&amp;$A36))))))))))</f>
        <v>0</v>
      </c>
      <c r="U36" s="12">
        <f ca="1">IF($A$2="PREMIUM_OI",IFERROR(IF($X$1="ABS",(100*RTD("tos.rtd",,"OPEN_INT","."&amp;U$2&amp;U$1&amp;"C"&amp;$A36)*RTD("tos.rtd",,"LAST","."&amp;U$2&amp;U$1&amp;"C"&amp;$A36)+100*RTD("tos.rtd",,"OPEN_INT","."&amp;U$2&amp;U$1&amp;"P"&amp;$A36)*RTD("tos.rtd",,"LAST","."&amp;U$2&amp;U$1&amp;"P"&amp;$A36))/1000000,(100*RTD("tos.rtd",,"OPEN_INT","."&amp;U$2&amp;U$1&amp;"C"&amp;$A36)*RTD("tos.rtd",,"LAST","."&amp;U$2&amp;U$1&amp;"C"&amp;$A36)-100*RTD("tos.rtd",,"OPEN_INT","."&amp;U$2&amp;U$1&amp;"P"&amp;$A36)*RTD("tos.rtd",,"LAST","."&amp;U$2&amp;U$1&amp;"P"&amp;$A36))/1000000),0),IF($A$2="PREMIUM",IFERROR(IF($X$1="ABS",(100*RTD("tos.rtd",,"VOLUME","."&amp;U$2&amp;U$1&amp;"C"&amp;$A36)*RTD("tos.rtd",,"LAST","."&amp;U$2&amp;U$1&amp;"C"&amp;$A36)+100*RTD("tos.rtd",,"VOLUME","."&amp;U$2&amp;U$1&amp;"P"&amp;$A36)*RTD("tos.rtd",,"LAST","."&amp;U$2&amp;U$1&amp;"P"&amp;$A36))/1000000,(100*RTD("tos.rtd",,"VOLUME","."&amp;U$2&amp;U$1&amp;"C"&amp;$A36)*RTD("tos.rtd",,"LAST","."&amp;U$2&amp;U$1&amp;"C"&amp;$A36)-100*RTD("tos.rtd",,"VOLUME","."&amp;U$2&amp;U$1&amp;"P"&amp;$A36)*RTD("tos.rtd",,"LAST","."&amp;U$2&amp;U$1&amp;"P"&amp;$A36))/1000000),0),IF($A$2="DEX",IFERROR(IF($X$1="ABS",(100*RTD("tos.rtd",,"OPEN_INT","."&amp;U$2&amp;U$1&amp;"C"&amp;$A36)*RTD("tos.rtd",,"DELTA","."&amp;U$2&amp;U$1&amp;"C"&amp;$A36)+100*RTD("tos.rtd",,"OPEN_INT","."&amp;U$2&amp;U$1&amp;"P"&amp;$A36)*RTD("tos.rtd",,"DELTA","."&amp;U$2&amp;U$1&amp;"P"&amp;$A36))/1000,(100*RTD("tos.rtd",,"OPEN_INT","."&amp;U$2&amp;U$1&amp;"C"&amp;$A36)*RTD("tos.rtd",,"DELTA","."&amp;U$2&amp;U$1&amp;"C"&amp;$A36)-100*RTD("tos.rtd",,"OPEN_INT","."&amp;U$2&amp;U$1&amp;"P"&amp;$A36)*RTD("tos.rtd",,"DELTA","."&amp;U$2&amp;U$1&amp;"P"&amp;$A36))/1000),0),IF($A$2="VEX",IFERROR(IF($X$1="ABS",($A$4*$A$4*RTD("tos.rtd",,"VOLUME","."&amp;U$2&amp;U$1&amp;"C"&amp;$A36)*RTD("tos.rtd",,"GAMMA","."&amp;U$2&amp;U$1&amp;"C"&amp;$A36)+$A$4*$A$4*RTD("tos.rtd",,"VOLUME","."&amp;U$2&amp;U$1&amp;"P"&amp;$A36)*RTD("tos.rtd",,"GAMMA","."&amp;U$2&amp;U$1&amp;"P"&amp;$A36))/1000000,($A$4*$A$4*RTD("tos.rtd",,"VOLUME","."&amp;U$2&amp;U$1&amp;"C"&amp;$A36)*RTD("tos.rtd",,"GAMMA","."&amp;U$2&amp;U$1&amp;"C"&amp;$A36)-$A$4*$A$4*RTD("tos.rtd",,"VOLUME","."&amp;U$2&amp;U$1&amp;"P"&amp;$A36)*RTD("tos.rtd",,"GAMMA","."&amp;U$2&amp;U$1&amp;"P"&amp;$A36))/1000000),0),IF($A$2="GEX",IFERROR(IF($X$1="ABS",($A$4*$A$4*RTD("tos.rtd",,"OPEN_INT","."&amp;U$2&amp;U$1&amp;"C"&amp;$A36)*RTD("tos.rtd",,"GAMMA","."&amp;U$2&amp;U$1&amp;"C"&amp;$A36)+$A$4*$A$4*RTD("tos.rtd",,"OPEN_INT","."&amp;U$2&amp;U$1&amp;"P"&amp;$A36)*RTD("tos.rtd",,"GAMMA","."&amp;U$2&amp;U$1&amp;"P"&amp;$A36))/1000000,($A$4*$A$4*RTD("tos.rtd",,"OPEN_INT","."&amp;U$2&amp;U$1&amp;"C"&amp;$A36)*RTD("tos.rtd",,"GAMMA","."&amp;U$2&amp;U$1&amp;"C"&amp;$A36)-$A$4*$A$4*RTD("tos.rtd",,"OPEN_INT","."&amp;U$2&amp;U$1&amp;"P"&amp;$A36)*RTD("tos.rtd",,"GAMMA","."&amp;U$2&amp;U$1&amp;"P"&amp;$A36))/1000000),0),IF($A$2="SKEW",IFERROR(VALUE(IF(RTD("tos.rtd",,"IMPL_VOL","."&amp;U$2&amp;U$1&amp;"P"&amp;$A36)="N/A",0,RTD("tos.rtd",,"IMPL_VOL","."&amp;U$2&amp;U$1&amp;"P"&amp;$A36))),0)-IFERROR(VALUE(IF(RTD("tos.rtd",,"IMPL_VOL","."&amp;U$2&amp;U$1&amp;"C"&amp;$A36)="N/A",0,RTD("tos.rtd",,"IMPL_VOL","."&amp;U$2&amp;U$1&amp;"C"&amp;$A36))),0),IF($A$2="MAXPAIN",IF($A$4&gt;$A36,($A$4-$A36)*IF(RTD("tos.rtd",,"OPEN_INT","."&amp;U$2&amp;U$1&amp;"C"&amp;$A36)="N/A",0,RTD("tos.rtd",,"OPEN_INT","."&amp;U$2&amp;U$1&amp;"C"&amp;$A36)),0)+IF($A$4&lt;$A36,($A$5-$A$4)*IF(RTD("tos.rtd",,"OPEN_INT","."&amp;U$2&amp;U$1&amp;"P"&amp;$A36)="N/A",0,RTD("tos.rtd",,"OPEN_INT","."&amp;U$2&amp;U$1&amp;"P"&amp;$A36)),0),IF($X$1="ABS",IF(RTD("tos.rtd",,$A$2,"."&amp;U$2&amp;U$1&amp;"C"&amp;$A36)="N/A",0,RTD("tos.rtd",,$A$2,"."&amp;U$2&amp;U$1&amp;"C"&amp;$A36))+IF(RTD("tos.rtd",,$A$2,"."&amp;U$2&amp;U$1&amp;"P"&amp;$A36)="N/A",0,RTD("tos.rtd",,$A$2,"."&amp;U$2&amp;U$1&amp;"P"&amp;$A36)),IF(RTD("tos.rtd",,$A$2,"."&amp;U$2&amp;U$1&amp;"C"&amp;$A36)="N/A",0,RTD("tos.rtd",,$A$2,"."&amp;U$2&amp;U$1&amp;"C"&amp;$A36))-IF(RTD("tos.rtd",,$A$2,"."&amp;U$2&amp;U$1&amp;"P"&amp;$A36)="N/A",0,RTD("tos.rtd",,$A$2,"."&amp;U$2&amp;U$1&amp;"P"&amp;$A36))))))))))</f>
        <v>0</v>
      </c>
      <c r="V36" s="12">
        <f ca="1">IF($A$2="PREMIUM_OI",IFERROR(IF($X$1="ABS",(100*RTD("tos.rtd",,"OPEN_INT","."&amp;V$2&amp;V$1&amp;"C"&amp;$A36)*RTD("tos.rtd",,"LAST","."&amp;V$2&amp;V$1&amp;"C"&amp;$A36)+100*RTD("tos.rtd",,"OPEN_INT","."&amp;V$2&amp;V$1&amp;"P"&amp;$A36)*RTD("tos.rtd",,"LAST","."&amp;V$2&amp;V$1&amp;"P"&amp;$A36))/1000000,(100*RTD("tos.rtd",,"OPEN_INT","."&amp;V$2&amp;V$1&amp;"C"&amp;$A36)*RTD("tos.rtd",,"LAST","."&amp;V$2&amp;V$1&amp;"C"&amp;$A36)-100*RTD("tos.rtd",,"OPEN_INT","."&amp;V$2&amp;V$1&amp;"P"&amp;$A36)*RTD("tos.rtd",,"LAST","."&amp;V$2&amp;V$1&amp;"P"&amp;$A36))/1000000),0),IF($A$2="PREMIUM",IFERROR(IF($X$1="ABS",(100*RTD("tos.rtd",,"VOLUME","."&amp;V$2&amp;V$1&amp;"C"&amp;$A36)*RTD("tos.rtd",,"LAST","."&amp;V$2&amp;V$1&amp;"C"&amp;$A36)+100*RTD("tos.rtd",,"VOLUME","."&amp;V$2&amp;V$1&amp;"P"&amp;$A36)*RTD("tos.rtd",,"LAST","."&amp;V$2&amp;V$1&amp;"P"&amp;$A36))/1000000,(100*RTD("tos.rtd",,"VOLUME","."&amp;V$2&amp;V$1&amp;"C"&amp;$A36)*RTD("tos.rtd",,"LAST","."&amp;V$2&amp;V$1&amp;"C"&amp;$A36)-100*RTD("tos.rtd",,"VOLUME","."&amp;V$2&amp;V$1&amp;"P"&amp;$A36)*RTD("tos.rtd",,"LAST","."&amp;V$2&amp;V$1&amp;"P"&amp;$A36))/1000000),0),IF($A$2="DEX",IFERROR(IF($X$1="ABS",(100*RTD("tos.rtd",,"OPEN_INT","."&amp;V$2&amp;V$1&amp;"C"&amp;$A36)*RTD("tos.rtd",,"DELTA","."&amp;V$2&amp;V$1&amp;"C"&amp;$A36)+100*RTD("tos.rtd",,"OPEN_INT","."&amp;V$2&amp;V$1&amp;"P"&amp;$A36)*RTD("tos.rtd",,"DELTA","."&amp;V$2&amp;V$1&amp;"P"&amp;$A36))/1000,(100*RTD("tos.rtd",,"OPEN_INT","."&amp;V$2&amp;V$1&amp;"C"&amp;$A36)*RTD("tos.rtd",,"DELTA","."&amp;V$2&amp;V$1&amp;"C"&amp;$A36)-100*RTD("tos.rtd",,"OPEN_INT","."&amp;V$2&amp;V$1&amp;"P"&amp;$A36)*RTD("tos.rtd",,"DELTA","."&amp;V$2&amp;V$1&amp;"P"&amp;$A36))/1000),0),IF($A$2="VEX",IFERROR(IF($X$1="ABS",($A$4*$A$4*RTD("tos.rtd",,"VOLUME","."&amp;V$2&amp;V$1&amp;"C"&amp;$A36)*RTD("tos.rtd",,"GAMMA","."&amp;V$2&amp;V$1&amp;"C"&amp;$A36)+$A$4*$A$4*RTD("tos.rtd",,"VOLUME","."&amp;V$2&amp;V$1&amp;"P"&amp;$A36)*RTD("tos.rtd",,"GAMMA","."&amp;V$2&amp;V$1&amp;"P"&amp;$A36))/1000000,($A$4*$A$4*RTD("tos.rtd",,"VOLUME","."&amp;V$2&amp;V$1&amp;"C"&amp;$A36)*RTD("tos.rtd",,"GAMMA","."&amp;V$2&amp;V$1&amp;"C"&amp;$A36)-$A$4*$A$4*RTD("tos.rtd",,"VOLUME","."&amp;V$2&amp;V$1&amp;"P"&amp;$A36)*RTD("tos.rtd",,"GAMMA","."&amp;V$2&amp;V$1&amp;"P"&amp;$A36))/1000000),0),IF($A$2="GEX",IFERROR(IF($X$1="ABS",($A$4*$A$4*RTD("tos.rtd",,"OPEN_INT","."&amp;V$2&amp;V$1&amp;"C"&amp;$A36)*RTD("tos.rtd",,"GAMMA","."&amp;V$2&amp;V$1&amp;"C"&amp;$A36)+$A$4*$A$4*RTD("tos.rtd",,"OPEN_INT","."&amp;V$2&amp;V$1&amp;"P"&amp;$A36)*RTD("tos.rtd",,"GAMMA","."&amp;V$2&amp;V$1&amp;"P"&amp;$A36))/1000000,($A$4*$A$4*RTD("tos.rtd",,"OPEN_INT","."&amp;V$2&amp;V$1&amp;"C"&amp;$A36)*RTD("tos.rtd",,"GAMMA","."&amp;V$2&amp;V$1&amp;"C"&amp;$A36)-$A$4*$A$4*RTD("tos.rtd",,"OPEN_INT","."&amp;V$2&amp;V$1&amp;"P"&amp;$A36)*RTD("tos.rtd",,"GAMMA","."&amp;V$2&amp;V$1&amp;"P"&amp;$A36))/1000000),0),IF($A$2="SKEW",IFERROR(VALUE(IF(RTD("tos.rtd",,"IMPL_VOL","."&amp;V$2&amp;V$1&amp;"P"&amp;$A36)="N/A",0,RTD("tos.rtd",,"IMPL_VOL","."&amp;V$2&amp;V$1&amp;"P"&amp;$A36))),0)-IFERROR(VALUE(IF(RTD("tos.rtd",,"IMPL_VOL","."&amp;V$2&amp;V$1&amp;"C"&amp;$A36)="N/A",0,RTD("tos.rtd",,"IMPL_VOL","."&amp;V$2&amp;V$1&amp;"C"&amp;$A36))),0),IF($A$2="MAXPAIN",IF($A$4&gt;$A36,($A$4-$A36)*IF(RTD("tos.rtd",,"OPEN_INT","."&amp;V$2&amp;V$1&amp;"C"&amp;$A36)="N/A",0,RTD("tos.rtd",,"OPEN_INT","."&amp;V$2&amp;V$1&amp;"C"&amp;$A36)),0)+IF($A$4&lt;$A36,($A$5-$A$4)*IF(RTD("tos.rtd",,"OPEN_INT","."&amp;V$2&amp;V$1&amp;"P"&amp;$A36)="N/A",0,RTD("tos.rtd",,"OPEN_INT","."&amp;V$2&amp;V$1&amp;"P"&amp;$A36)),0),IF($X$1="ABS",IF(RTD("tos.rtd",,$A$2,"."&amp;V$2&amp;V$1&amp;"C"&amp;$A36)="N/A",0,RTD("tos.rtd",,$A$2,"."&amp;V$2&amp;V$1&amp;"C"&amp;$A36))+IF(RTD("tos.rtd",,$A$2,"."&amp;V$2&amp;V$1&amp;"P"&amp;$A36)="N/A",0,RTD("tos.rtd",,$A$2,"."&amp;V$2&amp;V$1&amp;"P"&amp;$A36)),IF(RTD("tos.rtd",,$A$2,"."&amp;V$2&amp;V$1&amp;"C"&amp;$A36)="N/A",0,RTD("tos.rtd",,$A$2,"."&amp;V$2&amp;V$1&amp;"C"&amp;$A36))-IF(RTD("tos.rtd",,$A$2,"."&amp;V$2&amp;V$1&amp;"P"&amp;$A36)="N/A",0,RTD("tos.rtd",,$A$2,"."&amp;V$2&amp;V$1&amp;"P"&amp;$A36))))))))))</f>
        <v>0</v>
      </c>
      <c r="W36" s="54">
        <f ca="1">IF($A$2="PREMIUM_OI",IFERROR(IF($X$1="ABS",(100*RTD("tos.rtd",,"OPEN_INT","."&amp;W$2&amp;W$1&amp;"C"&amp;$A36)*RTD("tos.rtd",,"LAST","."&amp;W$2&amp;W$1&amp;"C"&amp;$A36)+100*RTD("tos.rtd",,"OPEN_INT","."&amp;W$2&amp;W$1&amp;"P"&amp;$A36)*RTD("tos.rtd",,"LAST","."&amp;W$2&amp;W$1&amp;"P"&amp;$A36))/1000000,(100*RTD("tos.rtd",,"OPEN_INT","."&amp;W$2&amp;W$1&amp;"C"&amp;$A36)*RTD("tos.rtd",,"LAST","."&amp;W$2&amp;W$1&amp;"C"&amp;$A36)-100*RTD("tos.rtd",,"OPEN_INT","."&amp;W$2&amp;W$1&amp;"P"&amp;$A36)*RTD("tos.rtd",,"LAST","."&amp;W$2&amp;W$1&amp;"P"&amp;$A36))/1000000),0),IF($A$2="PREMIUM",IFERROR(IF($X$1="ABS",(100*RTD("tos.rtd",,"VOLUME","."&amp;W$2&amp;W$1&amp;"C"&amp;$A36)*RTD("tos.rtd",,"LAST","."&amp;W$2&amp;W$1&amp;"C"&amp;$A36)+100*RTD("tos.rtd",,"VOLUME","."&amp;W$2&amp;W$1&amp;"P"&amp;$A36)*RTD("tos.rtd",,"LAST","."&amp;W$2&amp;W$1&amp;"P"&amp;$A36))/1000000,(100*RTD("tos.rtd",,"VOLUME","."&amp;W$2&amp;W$1&amp;"C"&amp;$A36)*RTD("tos.rtd",,"LAST","."&amp;W$2&amp;W$1&amp;"C"&amp;$A36)-100*RTD("tos.rtd",,"VOLUME","."&amp;W$2&amp;W$1&amp;"P"&amp;$A36)*RTD("tos.rtd",,"LAST","."&amp;W$2&amp;W$1&amp;"P"&amp;$A36))/1000000),0),IF($A$2="DEX",IFERROR(IF($X$1="ABS",(100*RTD("tos.rtd",,"OPEN_INT","."&amp;W$2&amp;W$1&amp;"C"&amp;$A36)*RTD("tos.rtd",,"DELTA","."&amp;W$2&amp;W$1&amp;"C"&amp;$A36)+100*RTD("tos.rtd",,"OPEN_INT","."&amp;W$2&amp;W$1&amp;"P"&amp;$A36)*RTD("tos.rtd",,"DELTA","."&amp;W$2&amp;W$1&amp;"P"&amp;$A36))/1000,(100*RTD("tos.rtd",,"OPEN_INT","."&amp;W$2&amp;W$1&amp;"C"&amp;$A36)*RTD("tos.rtd",,"DELTA","."&amp;W$2&amp;W$1&amp;"C"&amp;$A36)-100*RTD("tos.rtd",,"OPEN_INT","."&amp;W$2&amp;W$1&amp;"P"&amp;$A36)*RTD("tos.rtd",,"DELTA","."&amp;W$2&amp;W$1&amp;"P"&amp;$A36))/1000),0),IF($A$2="VEX",IFERROR(IF($X$1="ABS",($A$4*$A$4*RTD("tos.rtd",,"VOLUME","."&amp;W$2&amp;W$1&amp;"C"&amp;$A36)*RTD("tos.rtd",,"GAMMA","."&amp;W$2&amp;W$1&amp;"C"&amp;$A36)+$A$4*$A$4*RTD("tos.rtd",,"VOLUME","."&amp;W$2&amp;W$1&amp;"P"&amp;$A36)*RTD("tos.rtd",,"GAMMA","."&amp;W$2&amp;W$1&amp;"P"&amp;$A36))/1000000,($A$4*$A$4*RTD("tos.rtd",,"VOLUME","."&amp;W$2&amp;W$1&amp;"C"&amp;$A36)*RTD("tos.rtd",,"GAMMA","."&amp;W$2&amp;W$1&amp;"C"&amp;$A36)-$A$4*$A$4*RTD("tos.rtd",,"VOLUME","."&amp;W$2&amp;W$1&amp;"P"&amp;$A36)*RTD("tos.rtd",,"GAMMA","."&amp;W$2&amp;W$1&amp;"P"&amp;$A36))/1000000),0),IF($A$2="GEX",IFERROR(IF($X$1="ABS",($A$4*$A$4*RTD("tos.rtd",,"OPEN_INT","."&amp;W$2&amp;W$1&amp;"C"&amp;$A36)*RTD("tos.rtd",,"GAMMA","."&amp;W$2&amp;W$1&amp;"C"&amp;$A36)+$A$4*$A$4*RTD("tos.rtd",,"OPEN_INT","."&amp;W$2&amp;W$1&amp;"P"&amp;$A36)*RTD("tos.rtd",,"GAMMA","."&amp;W$2&amp;W$1&amp;"P"&amp;$A36))/1000000,($A$4*$A$4*RTD("tos.rtd",,"OPEN_INT","."&amp;W$2&amp;W$1&amp;"C"&amp;$A36)*RTD("tos.rtd",,"GAMMA","."&amp;W$2&amp;W$1&amp;"C"&amp;$A36)-$A$4*$A$4*RTD("tos.rtd",,"OPEN_INT","."&amp;W$2&amp;W$1&amp;"P"&amp;$A36)*RTD("tos.rtd",,"GAMMA","."&amp;W$2&amp;W$1&amp;"P"&amp;$A36))/1000000),0),IF($A$2="SKEW",IFERROR(VALUE(IF(RTD("tos.rtd",,"IMPL_VOL","."&amp;W$2&amp;W$1&amp;"P"&amp;$A36)="N/A",0,RTD("tos.rtd",,"IMPL_VOL","."&amp;W$2&amp;W$1&amp;"P"&amp;$A36))),0)-IFERROR(VALUE(IF(RTD("tos.rtd",,"IMPL_VOL","."&amp;W$2&amp;W$1&amp;"C"&amp;$A36)="N/A",0,RTD("tos.rtd",,"IMPL_VOL","."&amp;W$2&amp;W$1&amp;"C"&amp;$A36))),0),IF($A$2="MAXPAIN",IF($A$4&gt;$A36,($A$4-$A36)*IF(RTD("tos.rtd",,"OPEN_INT","."&amp;W$2&amp;W$1&amp;"C"&amp;$A36)="N/A",0,RTD("tos.rtd",,"OPEN_INT","."&amp;W$2&amp;W$1&amp;"C"&amp;$A36)),0)+IF($A$4&lt;$A36,($A$5-$A$4)*IF(RTD("tos.rtd",,"OPEN_INT","."&amp;W$2&amp;W$1&amp;"P"&amp;$A36)="N/A",0,RTD("tos.rtd",,"OPEN_INT","."&amp;W$2&amp;W$1&amp;"P"&amp;$A36)),0),IF($X$1="ABS",IF(RTD("tos.rtd",,$A$2,"."&amp;W$2&amp;W$1&amp;"C"&amp;$A36)="N/A",0,RTD("tos.rtd",,$A$2,"."&amp;W$2&amp;W$1&amp;"C"&amp;$A36))+IF(RTD("tos.rtd",,$A$2,"."&amp;W$2&amp;W$1&amp;"P"&amp;$A36)="N/A",0,RTD("tos.rtd",,$A$2,"."&amp;W$2&amp;W$1&amp;"P"&amp;$A36)),IF(RTD("tos.rtd",,$A$2,"."&amp;W$2&amp;W$1&amp;"C"&amp;$A36)="N/A",0,RTD("tos.rtd",,$A$2,"."&amp;W$2&amp;W$1&amp;"C"&amp;$A36))-IF(RTD("tos.rtd",,$A$2,"."&amp;W$2&amp;W$1&amp;"P"&amp;$A36)="N/A",0,RTD("tos.rtd",,$A$2,"."&amp;W$2&amp;W$1&amp;"P"&amp;$A36))))))))))</f>
        <v>0</v>
      </c>
      <c r="X36" s="57">
        <f t="shared" ca="1" si="8"/>
        <v>0</v>
      </c>
      <c r="Y36" s="27">
        <f t="shared" ca="1" si="9"/>
        <v>0</v>
      </c>
      <c r="Z36" s="27">
        <f ca="1">+'OI-VOL'!Y36</f>
        <v>8461</v>
      </c>
      <c r="AA36" s="27" t="b">
        <f t="shared" ca="1" si="10"/>
        <v>0</v>
      </c>
      <c r="AB36" s="27">
        <f t="shared" si="11"/>
        <v>7981750</v>
      </c>
      <c r="AC36" s="18">
        <f>MAX(0, $A36-AC$4)*IF(RTD("tos.rtd",,"OPEN_INT","."&amp;$AB$3&amp;$AB$4&amp;"C"&amp;AC$4)="N/A",0,RTD("tos.rtd",,"OPEN_INT","."&amp;$AB$3&amp;$AB$4&amp;"C"&amp;AC$4))*100 + MAX(0, AC$4-$A36)*IF(RTD("tos.rtd",,"OPEN_INT","."&amp;$AB$3&amp;$AB$4&amp;"P"&amp;AC$4)="N/A",0,RTD("tos.rtd",,"OPEN_INT","."&amp;$AB$3&amp;$AB$4&amp;"P"&amp;AC$4))*100</f>
        <v>0</v>
      </c>
      <c r="AD36" s="18">
        <f>MAX(0, $A36-AD$4)*IF(RTD("tos.rtd",,"OPEN_INT","."&amp;$AB$3&amp;$AB$4&amp;"C"&amp;AD$4)="N/A",0,RTD("tos.rtd",,"OPEN_INT","."&amp;$AB$3&amp;$AB$4&amp;"C"&amp;AD$4))*100 + MAX(0, AD$4-$A36)*IF(RTD("tos.rtd",,"OPEN_INT","."&amp;$AB$3&amp;$AB$4&amp;"P"&amp;AD$4)="N/A",0,RTD("tos.rtd",,"OPEN_INT","."&amp;$AB$3&amp;$AB$4&amp;"P"&amp;AD$4))*100</f>
        <v>0</v>
      </c>
      <c r="AE36" s="18">
        <f>MAX(0, $A36-AE$4)*IF(RTD("tos.rtd",,"OPEN_INT","."&amp;$AB$3&amp;$AB$4&amp;"C"&amp;AE$4)="N/A",0,RTD("tos.rtd",,"OPEN_INT","."&amp;$AB$3&amp;$AB$4&amp;"C"&amp;AE$4))*100 + MAX(0, AE$4-$A36)*IF(RTD("tos.rtd",,"OPEN_INT","."&amp;$AB$3&amp;$AB$4&amp;"P"&amp;AE$4)="N/A",0,RTD("tos.rtd",,"OPEN_INT","."&amp;$AB$3&amp;$AB$4&amp;"P"&amp;AE$4))*100</f>
        <v>0</v>
      </c>
      <c r="AF36" s="18">
        <f>MAX(0, $A36-AF$4)*IF(RTD("tos.rtd",,"OPEN_INT","."&amp;$AB$3&amp;$AB$4&amp;"C"&amp;AF$4)="N/A",0,RTD("tos.rtd",,"OPEN_INT","."&amp;$AB$3&amp;$AB$4&amp;"C"&amp;AF$4))*100 + MAX(0, AF$4-$A36)*IF(RTD("tos.rtd",,"OPEN_INT","."&amp;$AB$3&amp;$AB$4&amp;"P"&amp;AF$4)="N/A",0,RTD("tos.rtd",,"OPEN_INT","."&amp;$AB$3&amp;$AB$4&amp;"P"&amp;AF$4))*100</f>
        <v>0</v>
      </c>
      <c r="AG36" s="18">
        <f>MAX(0, $A36-AG$4)*IF(RTD("tos.rtd",,"OPEN_INT","."&amp;$AB$3&amp;$AB$4&amp;"C"&amp;AG$4)="N/A",0,RTD("tos.rtd",,"OPEN_INT","."&amp;$AB$3&amp;$AB$4&amp;"C"&amp;AG$4))*100 + MAX(0, AG$4-$A36)*IF(RTD("tos.rtd",,"OPEN_INT","."&amp;$AB$3&amp;$AB$4&amp;"P"&amp;AG$4)="N/A",0,RTD("tos.rtd",,"OPEN_INT","."&amp;$AB$3&amp;$AB$4&amp;"P"&amp;AG$4))*100</f>
        <v>0</v>
      </c>
      <c r="AH36" s="18">
        <f>MAX(0, $A36-AH$4)*IF(RTD("tos.rtd",,"OPEN_INT","."&amp;$AB$3&amp;$AB$4&amp;"C"&amp;AH$4)="N/A",0,RTD("tos.rtd",,"OPEN_INT","."&amp;$AB$3&amp;$AB$4&amp;"C"&amp;AH$4))*100 + MAX(0, AH$4-$A36)*IF(RTD("tos.rtd",,"OPEN_INT","."&amp;$AB$3&amp;$AB$4&amp;"P"&amp;AH$4)="N/A",0,RTD("tos.rtd",,"OPEN_INT","."&amp;$AB$3&amp;$AB$4&amp;"P"&amp;AH$4))*100</f>
        <v>0</v>
      </c>
      <c r="AI36" s="18">
        <f>MAX(0, $A36-AI$4)*IF(RTD("tos.rtd",,"OPEN_INT","."&amp;$AB$3&amp;$AB$4&amp;"C"&amp;AI$4)="N/A",0,RTD("tos.rtd",,"OPEN_INT","."&amp;$AB$3&amp;$AB$4&amp;"C"&amp;AI$4))*100 + MAX(0, AI$4-$A36)*IF(RTD("tos.rtd",,"OPEN_INT","."&amp;$AB$3&amp;$AB$4&amp;"P"&amp;AI$4)="N/A",0,RTD("tos.rtd",,"OPEN_INT","."&amp;$AB$3&amp;$AB$4&amp;"P"&amp;AI$4))*100</f>
        <v>0</v>
      </c>
      <c r="AJ36" s="18">
        <f>MAX(0, $A36-AJ$4)*IF(RTD("tos.rtd",,"OPEN_INT","."&amp;$AB$3&amp;$AB$4&amp;"C"&amp;AJ$4)="N/A",0,RTD("tos.rtd",,"OPEN_INT","."&amp;$AB$3&amp;$AB$4&amp;"C"&amp;AJ$4))*100 + MAX(0, AJ$4-$A36)*IF(RTD("tos.rtd",,"OPEN_INT","."&amp;$AB$3&amp;$AB$4&amp;"P"&amp;AJ$4)="N/A",0,RTD("tos.rtd",,"OPEN_INT","."&amp;$AB$3&amp;$AB$4&amp;"P"&amp;AJ$4))*100</f>
        <v>3600</v>
      </c>
      <c r="AK36" s="18">
        <f>MAX(0, $A36-AK$4)*IF(RTD("tos.rtd",,"OPEN_INT","."&amp;$AB$3&amp;$AB$4&amp;"C"&amp;AK$4)="N/A",0,RTD("tos.rtd",,"OPEN_INT","."&amp;$AB$3&amp;$AB$4&amp;"C"&amp;AK$4))*100 + MAX(0, AK$4-$A36)*IF(RTD("tos.rtd",,"OPEN_INT","."&amp;$AB$3&amp;$AB$4&amp;"P"&amp;AK$4)="N/A",0,RTD("tos.rtd",,"OPEN_INT","."&amp;$AB$3&amp;$AB$4&amp;"P"&amp;AK$4))*100</f>
        <v>9200</v>
      </c>
      <c r="AL36" s="18">
        <f>MAX(0, $A36-AL$4)*IF(RTD("tos.rtd",,"OPEN_INT","."&amp;$AB$3&amp;$AB$4&amp;"C"&amp;AL$4)="N/A",0,RTD("tos.rtd",,"OPEN_INT","."&amp;$AB$3&amp;$AB$4&amp;"C"&amp;AL$4))*100 + MAX(0, AL$4-$A36)*IF(RTD("tos.rtd",,"OPEN_INT","."&amp;$AB$3&amp;$AB$4&amp;"P"&amp;AL$4)="N/A",0,RTD("tos.rtd",,"OPEN_INT","."&amp;$AB$3&amp;$AB$4&amp;"P"&amp;AL$4))*100</f>
        <v>0</v>
      </c>
      <c r="AM36" s="18">
        <f>MAX(0, $A36-AM$4)*IF(RTD("tos.rtd",,"OPEN_INT","."&amp;$AB$3&amp;$AB$4&amp;"C"&amp;AM$4)="N/A",0,RTD("tos.rtd",,"OPEN_INT","."&amp;$AB$3&amp;$AB$4&amp;"C"&amp;AM$4))*100 + MAX(0, AM$4-$A36)*IF(RTD("tos.rtd",,"OPEN_INT","."&amp;$AB$3&amp;$AB$4&amp;"P"&amp;AM$4)="N/A",0,RTD("tos.rtd",,"OPEN_INT","."&amp;$AB$3&amp;$AB$4&amp;"P"&amp;AM$4))*100</f>
        <v>0</v>
      </c>
      <c r="AN36" s="18">
        <f>MAX(0, $A36-AN$4)*IF(RTD("tos.rtd",,"OPEN_INT","."&amp;$AB$3&amp;$AB$4&amp;"C"&amp;AN$4)="N/A",0,RTD("tos.rtd",,"OPEN_INT","."&amp;$AB$3&amp;$AB$4&amp;"C"&amp;AN$4))*100 + MAX(0, AN$4-$A36)*IF(RTD("tos.rtd",,"OPEN_INT","."&amp;$AB$3&amp;$AB$4&amp;"P"&amp;AN$4)="N/A",0,RTD("tos.rtd",,"OPEN_INT","."&amp;$AB$3&amp;$AB$4&amp;"P"&amp;AN$4))*100</f>
        <v>0</v>
      </c>
      <c r="AO36" s="18">
        <f>MAX(0, $A36-AO$4)*IF(RTD("tos.rtd",,"OPEN_INT","."&amp;$AB$3&amp;$AB$4&amp;"C"&amp;AO$4)="N/A",0,RTD("tos.rtd",,"OPEN_INT","."&amp;$AB$3&amp;$AB$4&amp;"C"&amp;AO$4))*100 + MAX(0, AO$4-$A36)*IF(RTD("tos.rtd",,"OPEN_INT","."&amp;$AB$3&amp;$AB$4&amp;"P"&amp;AO$4)="N/A",0,RTD("tos.rtd",,"OPEN_INT","."&amp;$AB$3&amp;$AB$4&amp;"P"&amp;AO$4))*100</f>
        <v>0</v>
      </c>
      <c r="AP36" s="18">
        <f>MAX(0, $A36-AP$4)*IF(RTD("tos.rtd",,"OPEN_INT","."&amp;$AB$3&amp;$AB$4&amp;"C"&amp;AP$4)="N/A",0,RTD("tos.rtd",,"OPEN_INT","."&amp;$AB$3&amp;$AB$4&amp;"C"&amp;AP$4))*100 + MAX(0, AP$4-$A36)*IF(RTD("tos.rtd",,"OPEN_INT","."&amp;$AB$3&amp;$AB$4&amp;"P"&amp;AP$4)="N/A",0,RTD("tos.rtd",,"OPEN_INT","."&amp;$AB$3&amp;$AB$4&amp;"P"&amp;AP$4))*100</f>
        <v>108000</v>
      </c>
      <c r="AQ36" s="18">
        <f>MAX(0, $A36-AQ$4)*IF(RTD("tos.rtd",,"OPEN_INT","."&amp;$AB$3&amp;$AB$4&amp;"C"&amp;AQ$4)="N/A",0,RTD("tos.rtd",,"OPEN_INT","."&amp;$AB$3&amp;$AB$4&amp;"C"&amp;AQ$4))*100 + MAX(0, AQ$4-$A36)*IF(RTD("tos.rtd",,"OPEN_INT","."&amp;$AB$3&amp;$AB$4&amp;"P"&amp;AQ$4)="N/A",0,RTD("tos.rtd",,"OPEN_INT","."&amp;$AB$3&amp;$AB$4&amp;"P"&amp;AQ$4))*100</f>
        <v>0</v>
      </c>
      <c r="AR36" s="18">
        <f>MAX(0, $A36-AR$4)*IF(RTD("tos.rtd",,"OPEN_INT","."&amp;$AB$3&amp;$AB$4&amp;"C"&amp;AR$4)="N/A",0,RTD("tos.rtd",,"OPEN_INT","."&amp;$AB$3&amp;$AB$4&amp;"C"&amp;AR$4))*100 + MAX(0, AR$4-$A36)*IF(RTD("tos.rtd",,"OPEN_INT","."&amp;$AB$3&amp;$AB$4&amp;"P"&amp;AR$4)="N/A",0,RTD("tos.rtd",,"OPEN_INT","."&amp;$AB$3&amp;$AB$4&amp;"P"&amp;AR$4))*100</f>
        <v>42400</v>
      </c>
      <c r="AS36" s="18">
        <f>MAX(0, $A36-AS$4)*IF(RTD("tos.rtd",,"OPEN_INT","."&amp;$AB$3&amp;$AB$4&amp;"C"&amp;AS$4)="N/A",0,RTD("tos.rtd",,"OPEN_INT","."&amp;$AB$3&amp;$AB$4&amp;"C"&amp;AS$4))*100 + MAX(0, AS$4-$A36)*IF(RTD("tos.rtd",,"OPEN_INT","."&amp;$AB$3&amp;$AB$4&amp;"P"&amp;AS$4)="N/A",0,RTD("tos.rtd",,"OPEN_INT","."&amp;$AB$3&amp;$AB$4&amp;"P"&amp;AS$4))*100</f>
        <v>4500</v>
      </c>
      <c r="AT36" s="18">
        <f>MAX(0, $A36-AT$4)*IF(RTD("tos.rtd",,"OPEN_INT","."&amp;$AB$3&amp;$AB$4&amp;"C"&amp;AT$4)="N/A",0,RTD("tos.rtd",,"OPEN_INT","."&amp;$AB$3&amp;$AB$4&amp;"C"&amp;AT$4))*100 + MAX(0, AT$4-$A36)*IF(RTD("tos.rtd",,"OPEN_INT","."&amp;$AB$3&amp;$AB$4&amp;"P"&amp;AT$4)="N/A",0,RTD("tos.rtd",,"OPEN_INT","."&amp;$AB$3&amp;$AB$4&amp;"P"&amp;AT$4))*100</f>
        <v>43400</v>
      </c>
      <c r="AU36" s="18">
        <f>MAX(0, $A36-AU$4)*IF(RTD("tos.rtd",,"OPEN_INT","."&amp;$AB$3&amp;$AB$4&amp;"C"&amp;AU$4)="N/A",0,RTD("tos.rtd",,"OPEN_INT","."&amp;$AB$3&amp;$AB$4&amp;"C"&amp;AU$4))*100 + MAX(0, AU$4-$A36)*IF(RTD("tos.rtd",,"OPEN_INT","."&amp;$AB$3&amp;$AB$4&amp;"P"&amp;AU$4)="N/A",0,RTD("tos.rtd",,"OPEN_INT","."&amp;$AB$3&amp;$AB$4&amp;"P"&amp;AU$4))*100</f>
        <v>45500</v>
      </c>
      <c r="AV36" s="18">
        <f>MAX(0, $A36-AV$4)*IF(RTD("tos.rtd",,"OPEN_INT","."&amp;$AB$3&amp;$AB$4&amp;"C"&amp;AV$4)="N/A",0,RTD("tos.rtd",,"OPEN_INT","."&amp;$AB$3&amp;$AB$4&amp;"C"&amp;AV$4))*100 + MAX(0, AV$4-$A36)*IF(RTD("tos.rtd",,"OPEN_INT","."&amp;$AB$3&amp;$AB$4&amp;"P"&amp;AV$4)="N/A",0,RTD("tos.rtd",,"OPEN_INT","."&amp;$AB$3&amp;$AB$4&amp;"P"&amp;AV$4))*100</f>
        <v>24000</v>
      </c>
      <c r="AW36" s="18">
        <f>MAX(0, $A36-AW$4)*IF(RTD("tos.rtd",,"OPEN_INT","."&amp;$AB$3&amp;$AB$4&amp;"C"&amp;AW$4)="N/A",0,RTD("tos.rtd",,"OPEN_INT","."&amp;$AB$3&amp;$AB$4&amp;"C"&amp;AW$4))*100 + MAX(0, AW$4-$A36)*IF(RTD("tos.rtd",,"OPEN_INT","."&amp;$AB$3&amp;$AB$4&amp;"P"&amp;AW$4)="N/A",0,RTD("tos.rtd",,"OPEN_INT","."&amp;$AB$3&amp;$AB$4&amp;"P"&amp;AW$4))*100</f>
        <v>88550</v>
      </c>
      <c r="AX36" s="18">
        <f>MAX(0, $A36-AX$4)*IF(RTD("tos.rtd",,"OPEN_INT","."&amp;$AB$3&amp;$AB$4&amp;"C"&amp;AX$4)="N/A",0,RTD("tos.rtd",,"OPEN_INT","."&amp;$AB$3&amp;$AB$4&amp;"C"&amp;AX$4))*100 + MAX(0, AX$4-$A36)*IF(RTD("tos.rtd",,"OPEN_INT","."&amp;$AB$3&amp;$AB$4&amp;"P"&amp;AX$4)="N/A",0,RTD("tos.rtd",,"OPEN_INT","."&amp;$AB$3&amp;$AB$4&amp;"P"&amp;AX$4))*100</f>
        <v>101000</v>
      </c>
      <c r="AY36" s="18">
        <f>MAX(0, $A36-AY$4)*IF(RTD("tos.rtd",,"OPEN_INT","."&amp;$AB$3&amp;$AB$4&amp;"C"&amp;AY$4)="N/A",0,RTD("tos.rtd",,"OPEN_INT","."&amp;$AB$3&amp;$AB$4&amp;"C"&amp;AY$4))*100 + MAX(0, AY$4-$A36)*IF(RTD("tos.rtd",,"OPEN_INT","."&amp;$AB$3&amp;$AB$4&amp;"P"&amp;AY$4)="N/A",0,RTD("tos.rtd",,"OPEN_INT","."&amp;$AB$3&amp;$AB$4&amp;"P"&amp;AY$4))*100</f>
        <v>111150</v>
      </c>
      <c r="AZ36" s="18">
        <f>MAX(0, $A36-AZ$4)*IF(RTD("tos.rtd",,"OPEN_INT","."&amp;$AB$3&amp;$AB$4&amp;"C"&amp;AZ$4)="N/A",0,RTD("tos.rtd",,"OPEN_INT","."&amp;$AB$3&amp;$AB$4&amp;"C"&amp;AZ$4))*100 + MAX(0, AZ$4-$A36)*IF(RTD("tos.rtd",,"OPEN_INT","."&amp;$AB$3&amp;$AB$4&amp;"P"&amp;AZ$4)="N/A",0,RTD("tos.rtd",,"OPEN_INT","."&amp;$AB$3&amp;$AB$4&amp;"P"&amp;AZ$4))*100</f>
        <v>829600</v>
      </c>
      <c r="BA36" s="18">
        <f>MAX(0, $A36-BA$4)*IF(RTD("tos.rtd",,"OPEN_INT","."&amp;$AB$3&amp;$AB$4&amp;"C"&amp;BA$4)="N/A",0,RTD("tos.rtd",,"OPEN_INT","."&amp;$AB$3&amp;$AB$4&amp;"C"&amp;BA$4))*100 + MAX(0, BA$4-$A36)*IF(RTD("tos.rtd",,"OPEN_INT","."&amp;$AB$3&amp;$AB$4&amp;"P"&amp;BA$4)="N/A",0,RTD("tos.rtd",,"OPEN_INT","."&amp;$AB$3&amp;$AB$4&amp;"P"&amp;BA$4))*100</f>
        <v>198800</v>
      </c>
      <c r="BB36" s="18">
        <f>MAX(0, $A36-BB$4)*IF(RTD("tos.rtd",,"OPEN_INT","."&amp;$AB$3&amp;$AB$4&amp;"C"&amp;BB$4)="N/A",0,RTD("tos.rtd",,"OPEN_INT","."&amp;$AB$3&amp;$AB$4&amp;"C"&amp;BB$4))*100 + MAX(0, BB$4-$A36)*IF(RTD("tos.rtd",,"OPEN_INT","."&amp;$AB$3&amp;$AB$4&amp;"P"&amp;BB$4)="N/A",0,RTD("tos.rtd",,"OPEN_INT","."&amp;$AB$3&amp;$AB$4&amp;"P"&amp;BB$4))*100</f>
        <v>702000</v>
      </c>
      <c r="BC36" s="18">
        <f>MAX(0, $A36-BC$4)*IF(RTD("tos.rtd",,"OPEN_INT","."&amp;$AB$3&amp;$AB$4&amp;"C"&amp;BC$4)="N/A",0,RTD("tos.rtd",,"OPEN_INT","."&amp;$AB$3&amp;$AB$4&amp;"C"&amp;BC$4))*100 + MAX(0, BC$4-$A36)*IF(RTD("tos.rtd",,"OPEN_INT","."&amp;$AB$3&amp;$AB$4&amp;"P"&amp;BC$4)="N/A",0,RTD("tos.rtd",,"OPEN_INT","."&amp;$AB$3&amp;$AB$4&amp;"P"&amp;BC$4))*100</f>
        <v>571000</v>
      </c>
      <c r="BD36" s="18">
        <f>MAX(0, $A36-BD$4)*IF(RTD("tos.rtd",,"OPEN_INT","."&amp;$AB$3&amp;$AB$4&amp;"C"&amp;BD$4)="N/A",0,RTD("tos.rtd",,"OPEN_INT","."&amp;$AB$3&amp;$AB$4&amp;"C"&amp;BD$4))*100 + MAX(0, BD$4-$A36)*IF(RTD("tos.rtd",,"OPEN_INT","."&amp;$AB$3&amp;$AB$4&amp;"P"&amp;BD$4)="N/A",0,RTD("tos.rtd",,"OPEN_INT","."&amp;$AB$3&amp;$AB$4&amp;"P"&amp;BD$4))*100</f>
        <v>1530200</v>
      </c>
      <c r="BE36" s="18">
        <f>MAX(0, $A36-BE$4)*IF(RTD("tos.rtd",,"OPEN_INT","."&amp;$AB$3&amp;$AB$4&amp;"C"&amp;BE$4)="N/A",0,RTD("tos.rtd",,"OPEN_INT","."&amp;$AB$3&amp;$AB$4&amp;"C"&amp;BE$4))*100 + MAX(0, BE$4-$A36)*IF(RTD("tos.rtd",,"OPEN_INT","."&amp;$AB$3&amp;$AB$4&amp;"P"&amp;BE$4)="N/A",0,RTD("tos.rtd",,"OPEN_INT","."&amp;$AB$3&amp;$AB$4&amp;"P"&amp;BE$4))*100</f>
        <v>1473150</v>
      </c>
      <c r="BF36" s="18">
        <f>MAX(0, $A36-BF$4)*IF(RTD("tos.rtd",,"OPEN_INT","."&amp;$AB$3&amp;$AB$4&amp;"C"&amp;BF$4)="N/A",0,RTD("tos.rtd",,"OPEN_INT","."&amp;$AB$3&amp;$AB$4&amp;"C"&amp;BF$4))*100 + MAX(0, BF$4-$A36)*IF(RTD("tos.rtd",,"OPEN_INT","."&amp;$AB$3&amp;$AB$4&amp;"P"&amp;BF$4)="N/A",0,RTD("tos.rtd",,"OPEN_INT","."&amp;$AB$3&amp;$AB$4&amp;"P"&amp;BF$4))*100</f>
        <v>1111600</v>
      </c>
      <c r="BG36" s="18">
        <f>MAX(0, $A36-BG$4)*IF(RTD("tos.rtd",,"OPEN_INT","."&amp;$AB$3&amp;$AB$4&amp;"C"&amp;BG$4)="N/A",0,RTD("tos.rtd",,"OPEN_INT","."&amp;$AB$3&amp;$AB$4&amp;"C"&amp;BG$4))*100 + MAX(0, BG$4-$A36)*IF(RTD("tos.rtd",,"OPEN_INT","."&amp;$AB$3&amp;$AB$4&amp;"P"&amp;BG$4)="N/A",0,RTD("tos.rtd",,"OPEN_INT","."&amp;$AB$3&amp;$AB$4&amp;"P"&amp;BG$4))*100</f>
        <v>695450</v>
      </c>
      <c r="BH36" s="18">
        <f>MAX(0, $A36-BH$4)*IF(RTD("tos.rtd",,"OPEN_INT","."&amp;$AB$3&amp;$AB$4&amp;"C"&amp;BH$4)="N/A",0,RTD("tos.rtd",,"OPEN_INT","."&amp;$AB$3&amp;$AB$4&amp;"C"&amp;BH$4))*100 + MAX(0, BH$4-$A36)*IF(RTD("tos.rtd",,"OPEN_INT","."&amp;$AB$3&amp;$AB$4&amp;"P"&amp;BH$4)="N/A",0,RTD("tos.rtd",,"OPEN_INT","."&amp;$AB$3&amp;$AB$4&amp;"P"&amp;BH$4))*100</f>
        <v>0</v>
      </c>
      <c r="BI36" s="18">
        <f>MAX(0, $A36-BI$4)*IF(RTD("tos.rtd",,"OPEN_INT","."&amp;$AB$3&amp;$AB$4&amp;"C"&amp;BI$4)="N/A",0,RTD("tos.rtd",,"OPEN_INT","."&amp;$AB$3&amp;$AB$4&amp;"C"&amp;BI$4))*100 + MAX(0, BI$4-$A36)*IF(RTD("tos.rtd",,"OPEN_INT","."&amp;$AB$3&amp;$AB$4&amp;"P"&amp;BI$4)="N/A",0,RTD("tos.rtd",,"OPEN_INT","."&amp;$AB$3&amp;$AB$4&amp;"P"&amp;BI$4))*100</f>
        <v>97150</v>
      </c>
      <c r="BJ36" s="18">
        <f>MAX(0, $A36-BJ$4)*IF(RTD("tos.rtd",,"OPEN_INT","."&amp;$AB$3&amp;$AB$4&amp;"C"&amp;BJ$4)="N/A",0,RTD("tos.rtd",,"OPEN_INT","."&amp;$AB$3&amp;$AB$4&amp;"C"&amp;BJ$4))*100 + MAX(0, BJ$4-$A36)*IF(RTD("tos.rtd",,"OPEN_INT","."&amp;$AB$3&amp;$AB$4&amp;"P"&amp;BJ$4)="N/A",0,RTD("tos.rtd",,"OPEN_INT","."&amp;$AB$3&amp;$AB$4&amp;"P"&amp;BJ$4))*100</f>
        <v>84200</v>
      </c>
      <c r="BK36" s="18">
        <f>MAX(0, $A36-BK$4)*IF(RTD("tos.rtd",,"OPEN_INT","."&amp;$AB$3&amp;$AB$4&amp;"C"&amp;BK$4)="N/A",0,RTD("tos.rtd",,"OPEN_INT","."&amp;$AB$3&amp;$AB$4&amp;"C"&amp;BK$4))*100 + MAX(0, BK$4-$A36)*IF(RTD("tos.rtd",,"OPEN_INT","."&amp;$AB$3&amp;$AB$4&amp;"P"&amp;BK$4)="N/A",0,RTD("tos.rtd",,"OPEN_INT","."&amp;$AB$3&amp;$AB$4&amp;"P"&amp;BK$4))*100</f>
        <v>22650</v>
      </c>
      <c r="BL36" s="18">
        <f>MAX(0, $A36-BL$4)*IF(RTD("tos.rtd",,"OPEN_INT","."&amp;$AB$3&amp;$AB$4&amp;"C"&amp;BL$4)="N/A",0,RTD("tos.rtd",,"OPEN_INT","."&amp;$AB$3&amp;$AB$4&amp;"C"&amp;BL$4))*100 + MAX(0, BL$4-$A36)*IF(RTD("tos.rtd",,"OPEN_INT","."&amp;$AB$3&amp;$AB$4&amp;"P"&amp;BL$4)="N/A",0,RTD("tos.rtd",,"OPEN_INT","."&amp;$AB$3&amp;$AB$4&amp;"P"&amp;BL$4))*100</f>
        <v>52200</v>
      </c>
      <c r="BM36" s="18">
        <f>MAX(0, $A36-BM$4)*IF(RTD("tos.rtd",,"OPEN_INT","."&amp;$AB$3&amp;$AB$4&amp;"C"&amp;BM$4)="N/A",0,RTD("tos.rtd",,"OPEN_INT","."&amp;$AB$3&amp;$AB$4&amp;"C"&amp;BM$4))*100 + MAX(0, BM$4-$A36)*IF(RTD("tos.rtd",,"OPEN_INT","."&amp;$AB$3&amp;$AB$4&amp;"P"&amp;BM$4)="N/A",0,RTD("tos.rtd",,"OPEN_INT","."&amp;$AB$3&amp;$AB$4&amp;"P"&amp;BM$4))*100</f>
        <v>4000</v>
      </c>
      <c r="BN36" s="18">
        <f>MAX(0, $A36-BN$4)*IF(RTD("tos.rtd",,"OPEN_INT","."&amp;$AB$3&amp;$AB$4&amp;"C"&amp;BN$4)="N/A",0,RTD("tos.rtd",,"OPEN_INT","."&amp;$AB$3&amp;$AB$4&amp;"C"&amp;BN$4))*100 + MAX(0, BN$4-$A36)*IF(RTD("tos.rtd",,"OPEN_INT","."&amp;$AB$3&amp;$AB$4&amp;"P"&amp;BN$4)="N/A",0,RTD("tos.rtd",,"OPEN_INT","."&amp;$AB$3&amp;$AB$4&amp;"P"&amp;BN$4))*100</f>
        <v>2400</v>
      </c>
      <c r="BO36" s="18">
        <f>MAX(0, $A36-BO$4)*IF(RTD("tos.rtd",,"OPEN_INT","."&amp;$AB$3&amp;$AB$4&amp;"C"&amp;BO$4)="N/A",0,RTD("tos.rtd",,"OPEN_INT","."&amp;$AB$3&amp;$AB$4&amp;"C"&amp;BO$4))*100 + MAX(0, BO$4-$A36)*IF(RTD("tos.rtd",,"OPEN_INT","."&amp;$AB$3&amp;$AB$4&amp;"P"&amp;BO$4)="N/A",0,RTD("tos.rtd",,"OPEN_INT","."&amp;$AB$3&amp;$AB$4&amp;"P"&amp;BO$4))*100</f>
        <v>10850</v>
      </c>
      <c r="BP36" s="18">
        <f>MAX(0, $A36-BP$4)*IF(RTD("tos.rtd",,"OPEN_INT","."&amp;$AB$3&amp;$AB$4&amp;"C"&amp;BP$4)="N/A",0,RTD("tos.rtd",,"OPEN_INT","."&amp;$AB$3&amp;$AB$4&amp;"C"&amp;BP$4))*100 + MAX(0, BP$4-$A36)*IF(RTD("tos.rtd",,"OPEN_INT","."&amp;$AB$3&amp;$AB$4&amp;"P"&amp;BP$4)="N/A",0,RTD("tos.rtd",,"OPEN_INT","."&amp;$AB$3&amp;$AB$4&amp;"P"&amp;BP$4))*100</f>
        <v>15200</v>
      </c>
      <c r="BQ36" s="18">
        <f>MAX(0, $A36-BQ$4)*IF(RTD("tos.rtd",,"OPEN_INT","."&amp;$AB$3&amp;$AB$4&amp;"C"&amp;BQ$4)="N/A",0,RTD("tos.rtd",,"OPEN_INT","."&amp;$AB$3&amp;$AB$4&amp;"C"&amp;BQ$4))*100 + MAX(0, BQ$4-$A36)*IF(RTD("tos.rtd",,"OPEN_INT","."&amp;$AB$3&amp;$AB$4&amp;"P"&amp;BQ$4)="N/A",0,RTD("tos.rtd",,"OPEN_INT","."&amp;$AB$3&amp;$AB$4&amp;"P"&amp;BQ$4))*100</f>
        <v>0</v>
      </c>
      <c r="BR36" s="18">
        <f>MAX(0, $A36-BR$4)*IF(RTD("tos.rtd",,"OPEN_INT","."&amp;$AB$3&amp;$AB$4&amp;"C"&amp;BR$4)="N/A",0,RTD("tos.rtd",,"OPEN_INT","."&amp;$AB$3&amp;$AB$4&amp;"C"&amp;BR$4))*100 + MAX(0, BR$4-$A36)*IF(RTD("tos.rtd",,"OPEN_INT","."&amp;$AB$3&amp;$AB$4&amp;"P"&amp;BR$4)="N/A",0,RTD("tos.rtd",,"OPEN_INT","."&amp;$AB$3&amp;$AB$4&amp;"P"&amp;BR$4))*100</f>
        <v>0</v>
      </c>
      <c r="BS36" s="18">
        <f>MAX(0, $A36-BS$4)*IF(RTD("tos.rtd",,"OPEN_INT","."&amp;$AB$3&amp;$AB$4&amp;"C"&amp;BS$4)="N/A",0,RTD("tos.rtd",,"OPEN_INT","."&amp;$AB$3&amp;$AB$4&amp;"C"&amp;BS$4))*100 + MAX(0, BS$4-$A36)*IF(RTD("tos.rtd",,"OPEN_INT","."&amp;$AB$3&amp;$AB$4&amp;"P"&amp;BS$4)="N/A",0,RTD("tos.rtd",,"OPEN_INT","."&amp;$AB$3&amp;$AB$4&amp;"P"&amp;BS$4))*100</f>
        <v>0</v>
      </c>
      <c r="BT36" s="18">
        <f>MAX(0, $A36-BT$4)*IF(RTD("tos.rtd",,"OPEN_INT","."&amp;$AB$3&amp;$AB$4&amp;"C"&amp;BT$4)="N/A",0,RTD("tos.rtd",,"OPEN_INT","."&amp;$AB$3&amp;$AB$4&amp;"C"&amp;BT$4))*100 + MAX(0, BT$4-$A36)*IF(RTD("tos.rtd",,"OPEN_INT","."&amp;$AB$3&amp;$AB$4&amp;"P"&amp;BT$4)="N/A",0,RTD("tos.rtd",,"OPEN_INT","."&amp;$AB$3&amp;$AB$4&amp;"P"&amp;BT$4))*100</f>
        <v>0</v>
      </c>
      <c r="BU36" s="18">
        <f>MAX(0, $A36-BU$4)*IF(RTD("tos.rtd",,"OPEN_INT","."&amp;$AB$3&amp;$AB$4&amp;"C"&amp;BU$4)="N/A",0,RTD("tos.rtd",,"OPEN_INT","."&amp;$AB$3&amp;$AB$4&amp;"C"&amp;BU$4))*100 + MAX(0, BU$4-$A36)*IF(RTD("tos.rtd",,"OPEN_INT","."&amp;$AB$3&amp;$AB$4&amp;"P"&amp;BU$4)="N/A",0,RTD("tos.rtd",,"OPEN_INT","."&amp;$AB$3&amp;$AB$4&amp;"P"&amp;BU$4))*100</f>
        <v>0</v>
      </c>
      <c r="BV36" s="18">
        <f>MAX(0, $A36-BV$4)*IF(RTD("tos.rtd",,"OPEN_INT","."&amp;$AB$3&amp;$AB$4&amp;"C"&amp;BV$4)="N/A",0,RTD("tos.rtd",,"OPEN_INT","."&amp;$AB$3&amp;$AB$4&amp;"C"&amp;BV$4))*100 + MAX(0, BV$4-$A36)*IF(RTD("tos.rtd",,"OPEN_INT","."&amp;$AB$3&amp;$AB$4&amp;"P"&amp;BV$4)="N/A",0,RTD("tos.rtd",,"OPEN_INT","."&amp;$AB$3&amp;$AB$4&amp;"P"&amp;BV$4))*100</f>
        <v>0</v>
      </c>
      <c r="BW36" s="18">
        <f>MAX(0, $A36-BW$4)*IF(RTD("tos.rtd",,"OPEN_INT","."&amp;$AB$3&amp;$AB$4&amp;"C"&amp;BW$4)="N/A",0,RTD("tos.rtd",,"OPEN_INT","."&amp;$AB$3&amp;$AB$4&amp;"C"&amp;BW$4))*100 + MAX(0, BW$4-$A36)*IF(RTD("tos.rtd",,"OPEN_INT","."&amp;$AB$3&amp;$AB$4&amp;"P"&amp;BW$4)="N/A",0,RTD("tos.rtd",,"OPEN_INT","."&amp;$AB$3&amp;$AB$4&amp;"P"&amp;BW$4))*100</f>
        <v>0</v>
      </c>
    </row>
    <row r="37" spans="1:75" s="19" customFormat="1" ht="11.1" customHeight="1" thickBot="1" x14ac:dyDescent="0.3">
      <c r="A37" s="23">
        <f t="shared" si="12"/>
        <v>5.5</v>
      </c>
      <c r="B37" s="14">
        <f ca="1">IF($A$2="PREMIUM_OI",IFERROR(IF($X$1="ABS",(100*RTD("tos.rtd",,"OPEN_INT","."&amp;B$2&amp;B$1&amp;"C"&amp;$A37)*RTD("tos.rtd",,"LAST","."&amp;B$2&amp;B$1&amp;"C"&amp;$A37)+100*RTD("tos.rtd",,"OPEN_INT","."&amp;B$2&amp;B$1&amp;"P"&amp;$A37)*RTD("tos.rtd",,"LAST","."&amp;B$2&amp;B$1&amp;"P"&amp;$A37))/1000000,(100*RTD("tos.rtd",,"OPEN_INT","."&amp;B$2&amp;B$1&amp;"C"&amp;$A37)*RTD("tos.rtd",,"LAST","."&amp;B$2&amp;B$1&amp;"C"&amp;$A37)-100*RTD("tos.rtd",,"OPEN_INT","."&amp;B$2&amp;B$1&amp;"P"&amp;$A37)*RTD("tos.rtd",,"LAST","."&amp;B$2&amp;B$1&amp;"P"&amp;$A37))/1000000),0),IF($A$2="PREMIUM",IFERROR(IF($X$1="ABS",(100*RTD("tos.rtd",,"VOLUME","."&amp;B$2&amp;B$1&amp;"C"&amp;$A37)*RTD("tos.rtd",,"LAST","."&amp;B$2&amp;B$1&amp;"C"&amp;$A37)+100*RTD("tos.rtd",,"VOLUME","."&amp;B$2&amp;B$1&amp;"P"&amp;$A37)*RTD("tos.rtd",,"LAST","."&amp;B$2&amp;B$1&amp;"P"&amp;$A37))/1000000,(100*RTD("tos.rtd",,"VOLUME","."&amp;B$2&amp;B$1&amp;"C"&amp;$A37)*RTD("tos.rtd",,"LAST","."&amp;B$2&amp;B$1&amp;"C"&amp;$A37)-100*RTD("tos.rtd",,"VOLUME","."&amp;B$2&amp;B$1&amp;"P"&amp;$A37)*RTD("tos.rtd",,"LAST","."&amp;B$2&amp;B$1&amp;"P"&amp;$A37))/1000000),0),IF($A$2="DEX",IFERROR(IF($X$1="ABS",(100*RTD("tos.rtd",,"OPEN_INT","."&amp;B$2&amp;B$1&amp;"C"&amp;$A37)*RTD("tos.rtd",,"DELTA","."&amp;B$2&amp;B$1&amp;"C"&amp;$A37)+100*RTD("tos.rtd",,"OPEN_INT","."&amp;B$2&amp;B$1&amp;"P"&amp;$A37)*RTD("tos.rtd",,"DELTA","."&amp;B$2&amp;B$1&amp;"P"&amp;$A37))/1000,(100*RTD("tos.rtd",,"OPEN_INT","."&amp;B$2&amp;B$1&amp;"C"&amp;$A37)*RTD("tos.rtd",,"DELTA","."&amp;B$2&amp;B$1&amp;"C"&amp;$A37)-100*RTD("tos.rtd",,"OPEN_INT","."&amp;B$2&amp;B$1&amp;"P"&amp;$A37)*RTD("tos.rtd",,"DELTA","."&amp;B$2&amp;B$1&amp;"P"&amp;$A37))/1000),0),IF($A$2="VEX",IFERROR(IF($X$1="ABS",($A$4*$A$4*RTD("tos.rtd",,"VOLUME","."&amp;B$2&amp;B$1&amp;"C"&amp;$A37)*RTD("tos.rtd",,"GAMMA","."&amp;B$2&amp;B$1&amp;"C"&amp;$A37)+$A$4*$A$4*RTD("tos.rtd",,"VOLUME","."&amp;B$2&amp;B$1&amp;"P"&amp;$A37)*RTD("tos.rtd",,"GAMMA","."&amp;B$2&amp;B$1&amp;"P"&amp;$A37))/1000000,($A$4*$A$4*RTD("tos.rtd",,"VOLUME","."&amp;B$2&amp;B$1&amp;"C"&amp;$A37)*RTD("tos.rtd",,"GAMMA","."&amp;B$2&amp;B$1&amp;"C"&amp;$A37)-$A$4*$A$4*RTD("tos.rtd",,"VOLUME","."&amp;B$2&amp;B$1&amp;"P"&amp;$A37)*RTD("tos.rtd",,"GAMMA","."&amp;B$2&amp;B$1&amp;"P"&amp;$A37))/1000000),0),IF($A$2="GEX",IFERROR(IF($X$1="ABS",($A$4*$A$4*RTD("tos.rtd",,"OPEN_INT","."&amp;B$2&amp;B$1&amp;"C"&amp;$A37)*RTD("tos.rtd",,"GAMMA","."&amp;B$2&amp;B$1&amp;"C"&amp;$A37)+$A$4*$A$4*RTD("tos.rtd",,"OPEN_INT","."&amp;B$2&amp;B$1&amp;"P"&amp;$A37)*RTD("tos.rtd",,"GAMMA","."&amp;B$2&amp;B$1&amp;"P"&amp;$A37))/1000000,($A$4*$A$4*RTD("tos.rtd",,"OPEN_INT","."&amp;B$2&amp;B$1&amp;"C"&amp;$A37)*RTD("tos.rtd",,"GAMMA","."&amp;B$2&amp;B$1&amp;"C"&amp;$A37)-$A$4*$A$4*RTD("tos.rtd",,"OPEN_INT","."&amp;B$2&amp;B$1&amp;"P"&amp;$A37)*RTD("tos.rtd",,"GAMMA","."&amp;B$2&amp;B$1&amp;"P"&amp;$A37))/1000000),0),IF($A$2="SKEW",IFERROR(VALUE(IF(RTD("tos.rtd",,"IMPL_VOL","."&amp;B$2&amp;B$1&amp;"P"&amp;$A37)="N/A",0,RTD("tos.rtd",,"IMPL_VOL","."&amp;B$2&amp;B$1&amp;"P"&amp;$A37))),0)-IFERROR(VALUE(IF(RTD("tos.rtd",,"IMPL_VOL","."&amp;B$2&amp;B$1&amp;"C"&amp;$A37)="N/A",0,RTD("tos.rtd",,"IMPL_VOL","."&amp;B$2&amp;B$1&amp;"C"&amp;$A37))),0),IF($A$2="MAXPAIN",IF($A$4&gt;$A37,($A$4-$A37)*IF(RTD("tos.rtd",,"OPEN_INT","."&amp;B$2&amp;B$1&amp;"C"&amp;$A37)="N/A",0,RTD("tos.rtd",,"OPEN_INT","."&amp;B$2&amp;B$1&amp;"C"&amp;$A37)),0)+IF($A$4&lt;$A37,($A$5-$A$4)*IF(RTD("tos.rtd",,"OPEN_INT","."&amp;B$2&amp;B$1&amp;"P"&amp;$A37)="N/A",0,RTD("tos.rtd",,"OPEN_INT","."&amp;B$2&amp;B$1&amp;"P"&amp;$A37)),0),IF($X$1="ABS",IF(RTD("tos.rtd",,$A$2,"."&amp;B$2&amp;B$1&amp;"C"&amp;$A37)="N/A",0,RTD("tos.rtd",,$A$2,"."&amp;B$2&amp;B$1&amp;"C"&amp;$A37))+IF(RTD("tos.rtd",,$A$2,"."&amp;B$2&amp;B$1&amp;"P"&amp;$A37)="N/A",0,RTD("tos.rtd",,$A$2,"."&amp;B$2&amp;B$1&amp;"P"&amp;$A37)),IF(RTD("tos.rtd",,$A$2,"."&amp;B$2&amp;B$1&amp;"C"&amp;$A37)="N/A",0,RTD("tos.rtd",,$A$2,"."&amp;B$2&amp;B$1&amp;"C"&amp;$A37))-IF(RTD("tos.rtd",,$A$2,"."&amp;B$2&amp;B$1&amp;"P"&amp;$A37)="N/A",0,RTD("tos.rtd",,$A$2,"."&amp;B$2&amp;B$1&amp;"P"&amp;$A37))))))))))</f>
        <v>0</v>
      </c>
      <c r="C37" s="14">
        <f ca="1">IF($A$2="PREMIUM_OI",IFERROR(IF($X$1="ABS",(100*RTD("tos.rtd",,"OPEN_INT","."&amp;C$2&amp;C$1&amp;"C"&amp;$A37)*RTD("tos.rtd",,"LAST","."&amp;C$2&amp;C$1&amp;"C"&amp;$A37)+100*RTD("tos.rtd",,"OPEN_INT","."&amp;C$2&amp;C$1&amp;"P"&amp;$A37)*RTD("tos.rtd",,"LAST","."&amp;C$2&amp;C$1&amp;"P"&amp;$A37))/1000000,(100*RTD("tos.rtd",,"OPEN_INT","."&amp;C$2&amp;C$1&amp;"C"&amp;$A37)*RTD("tos.rtd",,"LAST","."&amp;C$2&amp;C$1&amp;"C"&amp;$A37)-100*RTD("tos.rtd",,"OPEN_INT","."&amp;C$2&amp;C$1&amp;"P"&amp;$A37)*RTD("tos.rtd",,"LAST","."&amp;C$2&amp;C$1&amp;"P"&amp;$A37))/1000000),0),IF($A$2="PREMIUM",IFERROR(IF($X$1="ABS",(100*RTD("tos.rtd",,"VOLUME","."&amp;C$2&amp;C$1&amp;"C"&amp;$A37)*RTD("tos.rtd",,"LAST","."&amp;C$2&amp;C$1&amp;"C"&amp;$A37)+100*RTD("tos.rtd",,"VOLUME","."&amp;C$2&amp;C$1&amp;"P"&amp;$A37)*RTD("tos.rtd",,"LAST","."&amp;C$2&amp;C$1&amp;"P"&amp;$A37))/1000000,(100*RTD("tos.rtd",,"VOLUME","."&amp;C$2&amp;C$1&amp;"C"&amp;$A37)*RTD("tos.rtd",,"LAST","."&amp;C$2&amp;C$1&amp;"C"&amp;$A37)-100*RTD("tos.rtd",,"VOLUME","."&amp;C$2&amp;C$1&amp;"P"&amp;$A37)*RTD("tos.rtd",,"LAST","."&amp;C$2&amp;C$1&amp;"P"&amp;$A37))/1000000),0),IF($A$2="DEX",IFERROR(IF($X$1="ABS",(100*RTD("tos.rtd",,"OPEN_INT","."&amp;C$2&amp;C$1&amp;"C"&amp;$A37)*RTD("tos.rtd",,"DELTA","."&amp;C$2&amp;C$1&amp;"C"&amp;$A37)+100*RTD("tos.rtd",,"OPEN_INT","."&amp;C$2&amp;C$1&amp;"P"&amp;$A37)*RTD("tos.rtd",,"DELTA","."&amp;C$2&amp;C$1&amp;"P"&amp;$A37))/1000,(100*RTD("tos.rtd",,"OPEN_INT","."&amp;C$2&amp;C$1&amp;"C"&amp;$A37)*RTD("tos.rtd",,"DELTA","."&amp;C$2&amp;C$1&amp;"C"&amp;$A37)-100*RTD("tos.rtd",,"OPEN_INT","."&amp;C$2&amp;C$1&amp;"P"&amp;$A37)*RTD("tos.rtd",,"DELTA","."&amp;C$2&amp;C$1&amp;"P"&amp;$A37))/1000),0),IF($A$2="VEX",IFERROR(IF($X$1="ABS",($A$4*$A$4*RTD("tos.rtd",,"VOLUME","."&amp;C$2&amp;C$1&amp;"C"&amp;$A37)*RTD("tos.rtd",,"GAMMA","."&amp;C$2&amp;C$1&amp;"C"&amp;$A37)+$A$4*$A$4*RTD("tos.rtd",,"VOLUME","."&amp;C$2&amp;C$1&amp;"P"&amp;$A37)*RTD("tos.rtd",,"GAMMA","."&amp;C$2&amp;C$1&amp;"P"&amp;$A37))/1000000,($A$4*$A$4*RTD("tos.rtd",,"VOLUME","."&amp;C$2&amp;C$1&amp;"C"&amp;$A37)*RTD("tos.rtd",,"GAMMA","."&amp;C$2&amp;C$1&amp;"C"&amp;$A37)-$A$4*$A$4*RTD("tos.rtd",,"VOLUME","."&amp;C$2&amp;C$1&amp;"P"&amp;$A37)*RTD("tos.rtd",,"GAMMA","."&amp;C$2&amp;C$1&amp;"P"&amp;$A37))/1000000),0),IF($A$2="GEX",IFERROR(IF($X$1="ABS",($A$4*$A$4*RTD("tos.rtd",,"OPEN_INT","."&amp;C$2&amp;C$1&amp;"C"&amp;$A37)*RTD("tos.rtd",,"GAMMA","."&amp;C$2&amp;C$1&amp;"C"&amp;$A37)+$A$4*$A$4*RTD("tos.rtd",,"OPEN_INT","."&amp;C$2&amp;C$1&amp;"P"&amp;$A37)*RTD("tos.rtd",,"GAMMA","."&amp;C$2&amp;C$1&amp;"P"&amp;$A37))/1000000,($A$4*$A$4*RTD("tos.rtd",,"OPEN_INT","."&amp;C$2&amp;C$1&amp;"C"&amp;$A37)*RTD("tos.rtd",,"GAMMA","."&amp;C$2&amp;C$1&amp;"C"&amp;$A37)-$A$4*$A$4*RTD("tos.rtd",,"OPEN_INT","."&amp;C$2&amp;C$1&amp;"P"&amp;$A37)*RTD("tos.rtd",,"GAMMA","."&amp;C$2&amp;C$1&amp;"P"&amp;$A37))/1000000),0),IF($A$2="SKEW",IFERROR(VALUE(IF(RTD("tos.rtd",,"IMPL_VOL","."&amp;C$2&amp;C$1&amp;"P"&amp;$A37)="N/A",0,RTD("tos.rtd",,"IMPL_VOL","."&amp;C$2&amp;C$1&amp;"P"&amp;$A37))),0)-IFERROR(VALUE(IF(RTD("tos.rtd",,"IMPL_VOL","."&amp;C$2&amp;C$1&amp;"C"&amp;$A37)="N/A",0,RTD("tos.rtd",,"IMPL_VOL","."&amp;C$2&amp;C$1&amp;"C"&amp;$A37))),0),IF($A$2="MAXPAIN",IF($A$4&gt;$A37,($A$4-$A37)*IF(RTD("tos.rtd",,"OPEN_INT","."&amp;C$2&amp;C$1&amp;"C"&amp;$A37)="N/A",0,RTD("tos.rtd",,"OPEN_INT","."&amp;C$2&amp;C$1&amp;"C"&amp;$A37)),0)+IF($A$4&lt;$A37,($A$5-$A$4)*IF(RTD("tos.rtd",,"OPEN_INT","."&amp;C$2&amp;C$1&amp;"P"&amp;$A37)="N/A",0,RTD("tos.rtd",,"OPEN_INT","."&amp;C$2&amp;C$1&amp;"P"&amp;$A37)),0),IF($X$1="ABS",IF(RTD("tos.rtd",,$A$2,"."&amp;C$2&amp;C$1&amp;"C"&amp;$A37)="N/A",0,RTD("tos.rtd",,$A$2,"."&amp;C$2&amp;C$1&amp;"C"&amp;$A37))+IF(RTD("tos.rtd",,$A$2,"."&amp;C$2&amp;C$1&amp;"P"&amp;$A37)="N/A",0,RTD("tos.rtd",,$A$2,"."&amp;C$2&amp;C$1&amp;"P"&amp;$A37)),IF(RTD("tos.rtd",,$A$2,"."&amp;C$2&amp;C$1&amp;"C"&amp;$A37)="N/A",0,RTD("tos.rtd",,$A$2,"."&amp;C$2&amp;C$1&amp;"C"&amp;$A37))-IF(RTD("tos.rtd",,$A$2,"."&amp;C$2&amp;C$1&amp;"P"&amp;$A37)="N/A",0,RTD("tos.rtd",,$A$2,"."&amp;C$2&amp;C$1&amp;"P"&amp;$A37))))))))))</f>
        <v>0</v>
      </c>
      <c r="D37" s="12">
        <f ca="1">IF($A$2="PREMIUM_OI",IFERROR(IF($X$1="ABS",(100*RTD("tos.rtd",,"OPEN_INT","."&amp;D$2&amp;D$1&amp;"C"&amp;$A37)*RTD("tos.rtd",,"LAST","."&amp;D$2&amp;D$1&amp;"C"&amp;$A37)+100*RTD("tos.rtd",,"OPEN_INT","."&amp;D$2&amp;D$1&amp;"P"&amp;$A37)*RTD("tos.rtd",,"LAST","."&amp;D$2&amp;D$1&amp;"P"&amp;$A37))/1000000,(100*RTD("tos.rtd",,"OPEN_INT","."&amp;D$2&amp;D$1&amp;"C"&amp;$A37)*RTD("tos.rtd",,"LAST","."&amp;D$2&amp;D$1&amp;"C"&amp;$A37)-100*RTD("tos.rtd",,"OPEN_INT","."&amp;D$2&amp;D$1&amp;"P"&amp;$A37)*RTD("tos.rtd",,"LAST","."&amp;D$2&amp;D$1&amp;"P"&amp;$A37))/1000000),0),IF($A$2="PREMIUM",IFERROR(IF($X$1="ABS",(100*RTD("tos.rtd",,"VOLUME","."&amp;D$2&amp;D$1&amp;"C"&amp;$A37)*RTD("tos.rtd",,"LAST","."&amp;D$2&amp;D$1&amp;"C"&amp;$A37)+100*RTD("tos.rtd",,"VOLUME","."&amp;D$2&amp;D$1&amp;"P"&amp;$A37)*RTD("tos.rtd",,"LAST","."&amp;D$2&amp;D$1&amp;"P"&amp;$A37))/1000000,(100*RTD("tos.rtd",,"VOLUME","."&amp;D$2&amp;D$1&amp;"C"&amp;$A37)*RTD("tos.rtd",,"LAST","."&amp;D$2&amp;D$1&amp;"C"&amp;$A37)-100*RTD("tos.rtd",,"VOLUME","."&amp;D$2&amp;D$1&amp;"P"&amp;$A37)*RTD("tos.rtd",,"LAST","."&amp;D$2&amp;D$1&amp;"P"&amp;$A37))/1000000),0),IF($A$2="DEX",IFERROR(IF($X$1="ABS",(100*RTD("tos.rtd",,"OPEN_INT","."&amp;D$2&amp;D$1&amp;"C"&amp;$A37)*RTD("tos.rtd",,"DELTA","."&amp;D$2&amp;D$1&amp;"C"&amp;$A37)+100*RTD("tos.rtd",,"OPEN_INT","."&amp;D$2&amp;D$1&amp;"P"&amp;$A37)*RTD("tos.rtd",,"DELTA","."&amp;D$2&amp;D$1&amp;"P"&amp;$A37))/1000,(100*RTD("tos.rtd",,"OPEN_INT","."&amp;D$2&amp;D$1&amp;"C"&amp;$A37)*RTD("tos.rtd",,"DELTA","."&amp;D$2&amp;D$1&amp;"C"&amp;$A37)-100*RTD("tos.rtd",,"OPEN_INT","."&amp;D$2&amp;D$1&amp;"P"&amp;$A37)*RTD("tos.rtd",,"DELTA","."&amp;D$2&amp;D$1&amp;"P"&amp;$A37))/1000),0),IF($A$2="VEX",IFERROR(IF($X$1="ABS",($A$4*$A$4*RTD("tos.rtd",,"VOLUME","."&amp;D$2&amp;D$1&amp;"C"&amp;$A37)*RTD("tos.rtd",,"GAMMA","."&amp;D$2&amp;D$1&amp;"C"&amp;$A37)+$A$4*$A$4*RTD("tos.rtd",,"VOLUME","."&amp;D$2&amp;D$1&amp;"P"&amp;$A37)*RTD("tos.rtd",,"GAMMA","."&amp;D$2&amp;D$1&amp;"P"&amp;$A37))/1000000,($A$4*$A$4*RTD("tos.rtd",,"VOLUME","."&amp;D$2&amp;D$1&amp;"C"&amp;$A37)*RTD("tos.rtd",,"GAMMA","."&amp;D$2&amp;D$1&amp;"C"&amp;$A37)-$A$4*$A$4*RTD("tos.rtd",,"VOLUME","."&amp;D$2&amp;D$1&amp;"P"&amp;$A37)*RTD("tos.rtd",,"GAMMA","."&amp;D$2&amp;D$1&amp;"P"&amp;$A37))/1000000),0),IF($A$2="GEX",IFERROR(IF($X$1="ABS",($A$4*$A$4*RTD("tos.rtd",,"OPEN_INT","."&amp;D$2&amp;D$1&amp;"C"&amp;$A37)*RTD("tos.rtd",,"GAMMA","."&amp;D$2&amp;D$1&amp;"C"&amp;$A37)+$A$4*$A$4*RTD("tos.rtd",,"OPEN_INT","."&amp;D$2&amp;D$1&amp;"P"&amp;$A37)*RTD("tos.rtd",,"GAMMA","."&amp;D$2&amp;D$1&amp;"P"&amp;$A37))/1000000,($A$4*$A$4*RTD("tos.rtd",,"OPEN_INT","."&amp;D$2&amp;D$1&amp;"C"&amp;$A37)*RTD("tos.rtd",,"GAMMA","."&amp;D$2&amp;D$1&amp;"C"&amp;$A37)-$A$4*$A$4*RTD("tos.rtd",,"OPEN_INT","."&amp;D$2&amp;D$1&amp;"P"&amp;$A37)*RTD("tos.rtd",,"GAMMA","."&amp;D$2&amp;D$1&amp;"P"&amp;$A37))/1000000),0),IF($A$2="SKEW",IFERROR(VALUE(IF(RTD("tos.rtd",,"IMPL_VOL","."&amp;D$2&amp;D$1&amp;"P"&amp;$A37)="N/A",0,RTD("tos.rtd",,"IMPL_VOL","."&amp;D$2&amp;D$1&amp;"P"&amp;$A37))),0)-IFERROR(VALUE(IF(RTD("tos.rtd",,"IMPL_VOL","."&amp;D$2&amp;D$1&amp;"C"&amp;$A37)="N/A",0,RTD("tos.rtd",,"IMPL_VOL","."&amp;D$2&amp;D$1&amp;"C"&amp;$A37))),0),IF($A$2="MAXPAIN",IF($A$4&gt;$A37,($A$4-$A37)*IF(RTD("tos.rtd",,"OPEN_INT","."&amp;D$2&amp;D$1&amp;"C"&amp;$A37)="N/A",0,RTD("tos.rtd",,"OPEN_INT","."&amp;D$2&amp;D$1&amp;"C"&amp;$A37)),0)+IF($A$4&lt;$A37,($A$5-$A$4)*IF(RTD("tos.rtd",,"OPEN_INT","."&amp;D$2&amp;D$1&amp;"P"&amp;$A37)="N/A",0,RTD("tos.rtd",,"OPEN_INT","."&amp;D$2&amp;D$1&amp;"P"&amp;$A37)),0),IF($X$1="ABS",IF(RTD("tos.rtd",,$A$2,"."&amp;D$2&amp;D$1&amp;"C"&amp;$A37)="N/A",0,RTD("tos.rtd",,$A$2,"."&amp;D$2&amp;D$1&amp;"C"&amp;$A37))+IF(RTD("tos.rtd",,$A$2,"."&amp;D$2&amp;D$1&amp;"P"&amp;$A37)="N/A",0,RTD("tos.rtd",,$A$2,"."&amp;D$2&amp;D$1&amp;"P"&amp;$A37)),IF(RTD("tos.rtd",,$A$2,"."&amp;D$2&amp;D$1&amp;"C"&amp;$A37)="N/A",0,RTD("tos.rtd",,$A$2,"."&amp;D$2&amp;D$1&amp;"C"&amp;$A37))-IF(RTD("tos.rtd",,$A$2,"."&amp;D$2&amp;D$1&amp;"P"&amp;$A37)="N/A",0,RTD("tos.rtd",,$A$2,"."&amp;D$2&amp;D$1&amp;"P"&amp;$A37))))))))))</f>
        <v>0</v>
      </c>
      <c r="E37" s="12">
        <f ca="1">IF($A$2="PREMIUM_OI",IFERROR(IF($X$1="ABS",(100*RTD("tos.rtd",,"OPEN_INT","."&amp;E$2&amp;E$1&amp;"C"&amp;$A37)*RTD("tos.rtd",,"LAST","."&amp;E$2&amp;E$1&amp;"C"&amp;$A37)+100*RTD("tos.rtd",,"OPEN_INT","."&amp;E$2&amp;E$1&amp;"P"&amp;$A37)*RTD("tos.rtd",,"LAST","."&amp;E$2&amp;E$1&amp;"P"&amp;$A37))/1000000,(100*RTD("tos.rtd",,"OPEN_INT","."&amp;E$2&amp;E$1&amp;"C"&amp;$A37)*RTD("tos.rtd",,"LAST","."&amp;E$2&amp;E$1&amp;"C"&amp;$A37)-100*RTD("tos.rtd",,"OPEN_INT","."&amp;E$2&amp;E$1&amp;"P"&amp;$A37)*RTD("tos.rtd",,"LAST","."&amp;E$2&amp;E$1&amp;"P"&amp;$A37))/1000000),0),IF($A$2="PREMIUM",IFERROR(IF($X$1="ABS",(100*RTD("tos.rtd",,"VOLUME","."&amp;E$2&amp;E$1&amp;"C"&amp;$A37)*RTD("tos.rtd",,"LAST","."&amp;E$2&amp;E$1&amp;"C"&amp;$A37)+100*RTD("tos.rtd",,"VOLUME","."&amp;E$2&amp;E$1&amp;"P"&amp;$A37)*RTD("tos.rtd",,"LAST","."&amp;E$2&amp;E$1&amp;"P"&amp;$A37))/1000000,(100*RTD("tos.rtd",,"VOLUME","."&amp;E$2&amp;E$1&amp;"C"&amp;$A37)*RTD("tos.rtd",,"LAST","."&amp;E$2&amp;E$1&amp;"C"&amp;$A37)-100*RTD("tos.rtd",,"VOLUME","."&amp;E$2&amp;E$1&amp;"P"&amp;$A37)*RTD("tos.rtd",,"LAST","."&amp;E$2&amp;E$1&amp;"P"&amp;$A37))/1000000),0),IF($A$2="DEX",IFERROR(IF($X$1="ABS",(100*RTD("tos.rtd",,"OPEN_INT","."&amp;E$2&amp;E$1&amp;"C"&amp;$A37)*RTD("tos.rtd",,"DELTA","."&amp;E$2&amp;E$1&amp;"C"&amp;$A37)+100*RTD("tos.rtd",,"OPEN_INT","."&amp;E$2&amp;E$1&amp;"P"&amp;$A37)*RTD("tos.rtd",,"DELTA","."&amp;E$2&amp;E$1&amp;"P"&amp;$A37))/1000,(100*RTD("tos.rtd",,"OPEN_INT","."&amp;E$2&amp;E$1&amp;"C"&amp;$A37)*RTD("tos.rtd",,"DELTA","."&amp;E$2&amp;E$1&amp;"C"&amp;$A37)-100*RTD("tos.rtd",,"OPEN_INT","."&amp;E$2&amp;E$1&amp;"P"&amp;$A37)*RTD("tos.rtd",,"DELTA","."&amp;E$2&amp;E$1&amp;"P"&amp;$A37))/1000),0),IF($A$2="VEX",IFERROR(IF($X$1="ABS",($A$4*$A$4*RTD("tos.rtd",,"VOLUME","."&amp;E$2&amp;E$1&amp;"C"&amp;$A37)*RTD("tos.rtd",,"GAMMA","."&amp;E$2&amp;E$1&amp;"C"&amp;$A37)+$A$4*$A$4*RTD("tos.rtd",,"VOLUME","."&amp;E$2&amp;E$1&amp;"P"&amp;$A37)*RTD("tos.rtd",,"GAMMA","."&amp;E$2&amp;E$1&amp;"P"&amp;$A37))/1000000,($A$4*$A$4*RTD("tos.rtd",,"VOLUME","."&amp;E$2&amp;E$1&amp;"C"&amp;$A37)*RTD("tos.rtd",,"GAMMA","."&amp;E$2&amp;E$1&amp;"C"&amp;$A37)-$A$4*$A$4*RTD("tos.rtd",,"VOLUME","."&amp;E$2&amp;E$1&amp;"P"&amp;$A37)*RTD("tos.rtd",,"GAMMA","."&amp;E$2&amp;E$1&amp;"P"&amp;$A37))/1000000),0),IF($A$2="GEX",IFERROR(IF($X$1="ABS",($A$4*$A$4*RTD("tos.rtd",,"OPEN_INT","."&amp;E$2&amp;E$1&amp;"C"&amp;$A37)*RTD("tos.rtd",,"GAMMA","."&amp;E$2&amp;E$1&amp;"C"&amp;$A37)+$A$4*$A$4*RTD("tos.rtd",,"OPEN_INT","."&amp;E$2&amp;E$1&amp;"P"&amp;$A37)*RTD("tos.rtd",,"GAMMA","."&amp;E$2&amp;E$1&amp;"P"&amp;$A37))/1000000,($A$4*$A$4*RTD("tos.rtd",,"OPEN_INT","."&amp;E$2&amp;E$1&amp;"C"&amp;$A37)*RTD("tos.rtd",,"GAMMA","."&amp;E$2&amp;E$1&amp;"C"&amp;$A37)-$A$4*$A$4*RTD("tos.rtd",,"OPEN_INT","."&amp;E$2&amp;E$1&amp;"P"&amp;$A37)*RTD("tos.rtd",,"GAMMA","."&amp;E$2&amp;E$1&amp;"P"&amp;$A37))/1000000),0),IF($A$2="SKEW",IFERROR(VALUE(IF(RTD("tos.rtd",,"IMPL_VOL","."&amp;E$2&amp;E$1&amp;"P"&amp;$A37)="N/A",0,RTD("tos.rtd",,"IMPL_VOL","."&amp;E$2&amp;E$1&amp;"P"&amp;$A37))),0)-IFERROR(VALUE(IF(RTD("tos.rtd",,"IMPL_VOL","."&amp;E$2&amp;E$1&amp;"C"&amp;$A37)="N/A",0,RTD("tos.rtd",,"IMPL_VOL","."&amp;E$2&amp;E$1&amp;"C"&amp;$A37))),0),IF($A$2="MAXPAIN",IF($A$4&gt;$A37,($A$4-$A37)*IF(RTD("tos.rtd",,"OPEN_INT","."&amp;E$2&amp;E$1&amp;"C"&amp;$A37)="N/A",0,RTD("tos.rtd",,"OPEN_INT","."&amp;E$2&amp;E$1&amp;"C"&amp;$A37)),0)+IF($A$4&lt;$A37,($A$5-$A$4)*IF(RTD("tos.rtd",,"OPEN_INT","."&amp;E$2&amp;E$1&amp;"P"&amp;$A37)="N/A",0,RTD("tos.rtd",,"OPEN_INT","."&amp;E$2&amp;E$1&amp;"P"&amp;$A37)),0),IF($X$1="ABS",IF(RTD("tos.rtd",,$A$2,"."&amp;E$2&amp;E$1&amp;"C"&amp;$A37)="N/A",0,RTD("tos.rtd",,$A$2,"."&amp;E$2&amp;E$1&amp;"C"&amp;$A37))+IF(RTD("tos.rtd",,$A$2,"."&amp;E$2&amp;E$1&amp;"P"&amp;$A37)="N/A",0,RTD("tos.rtd",,$A$2,"."&amp;E$2&amp;E$1&amp;"P"&amp;$A37)),IF(RTD("tos.rtd",,$A$2,"."&amp;E$2&amp;E$1&amp;"C"&amp;$A37)="N/A",0,RTD("tos.rtd",,$A$2,"."&amp;E$2&amp;E$1&amp;"C"&amp;$A37))-IF(RTD("tos.rtd",,$A$2,"."&amp;E$2&amp;E$1&amp;"P"&amp;$A37)="N/A",0,RTD("tos.rtd",,$A$2,"."&amp;E$2&amp;E$1&amp;"P"&amp;$A37))))))))))</f>
        <v>0</v>
      </c>
      <c r="F37" s="12">
        <f ca="1">IF($A$2="PREMIUM_OI",IFERROR(IF($X$1="ABS",(100*RTD("tos.rtd",,"OPEN_INT","."&amp;F$2&amp;F$1&amp;"C"&amp;$A37)*RTD("tos.rtd",,"LAST","."&amp;F$2&amp;F$1&amp;"C"&amp;$A37)+100*RTD("tos.rtd",,"OPEN_INT","."&amp;F$2&amp;F$1&amp;"P"&amp;$A37)*RTD("tos.rtd",,"LAST","."&amp;F$2&amp;F$1&amp;"P"&amp;$A37))/1000000,(100*RTD("tos.rtd",,"OPEN_INT","."&amp;F$2&amp;F$1&amp;"C"&amp;$A37)*RTD("tos.rtd",,"LAST","."&amp;F$2&amp;F$1&amp;"C"&amp;$A37)-100*RTD("tos.rtd",,"OPEN_INT","."&amp;F$2&amp;F$1&amp;"P"&amp;$A37)*RTD("tos.rtd",,"LAST","."&amp;F$2&amp;F$1&amp;"P"&amp;$A37))/1000000),0),IF($A$2="PREMIUM",IFERROR(IF($X$1="ABS",(100*RTD("tos.rtd",,"VOLUME","."&amp;F$2&amp;F$1&amp;"C"&amp;$A37)*RTD("tos.rtd",,"LAST","."&amp;F$2&amp;F$1&amp;"C"&amp;$A37)+100*RTD("tos.rtd",,"VOLUME","."&amp;F$2&amp;F$1&amp;"P"&amp;$A37)*RTD("tos.rtd",,"LAST","."&amp;F$2&amp;F$1&amp;"P"&amp;$A37))/1000000,(100*RTD("tos.rtd",,"VOLUME","."&amp;F$2&amp;F$1&amp;"C"&amp;$A37)*RTD("tos.rtd",,"LAST","."&amp;F$2&amp;F$1&amp;"C"&amp;$A37)-100*RTD("tos.rtd",,"VOLUME","."&amp;F$2&amp;F$1&amp;"P"&amp;$A37)*RTD("tos.rtd",,"LAST","."&amp;F$2&amp;F$1&amp;"P"&amp;$A37))/1000000),0),IF($A$2="DEX",IFERROR(IF($X$1="ABS",(100*RTD("tos.rtd",,"OPEN_INT","."&amp;F$2&amp;F$1&amp;"C"&amp;$A37)*RTD("tos.rtd",,"DELTA","."&amp;F$2&amp;F$1&amp;"C"&amp;$A37)+100*RTD("tos.rtd",,"OPEN_INT","."&amp;F$2&amp;F$1&amp;"P"&amp;$A37)*RTD("tos.rtd",,"DELTA","."&amp;F$2&amp;F$1&amp;"P"&amp;$A37))/1000,(100*RTD("tos.rtd",,"OPEN_INT","."&amp;F$2&amp;F$1&amp;"C"&amp;$A37)*RTD("tos.rtd",,"DELTA","."&amp;F$2&amp;F$1&amp;"C"&amp;$A37)-100*RTD("tos.rtd",,"OPEN_INT","."&amp;F$2&amp;F$1&amp;"P"&amp;$A37)*RTD("tos.rtd",,"DELTA","."&amp;F$2&amp;F$1&amp;"P"&amp;$A37))/1000),0),IF($A$2="VEX",IFERROR(IF($X$1="ABS",($A$4*$A$4*RTD("tos.rtd",,"VOLUME","."&amp;F$2&amp;F$1&amp;"C"&amp;$A37)*RTD("tos.rtd",,"GAMMA","."&amp;F$2&amp;F$1&amp;"C"&amp;$A37)+$A$4*$A$4*RTD("tos.rtd",,"VOLUME","."&amp;F$2&amp;F$1&amp;"P"&amp;$A37)*RTD("tos.rtd",,"GAMMA","."&amp;F$2&amp;F$1&amp;"P"&amp;$A37))/1000000,($A$4*$A$4*RTD("tos.rtd",,"VOLUME","."&amp;F$2&amp;F$1&amp;"C"&amp;$A37)*RTD("tos.rtd",,"GAMMA","."&amp;F$2&amp;F$1&amp;"C"&amp;$A37)-$A$4*$A$4*RTD("tos.rtd",,"VOLUME","."&amp;F$2&amp;F$1&amp;"P"&amp;$A37)*RTD("tos.rtd",,"GAMMA","."&amp;F$2&amp;F$1&amp;"P"&amp;$A37))/1000000),0),IF($A$2="GEX",IFERROR(IF($X$1="ABS",($A$4*$A$4*RTD("tos.rtd",,"OPEN_INT","."&amp;F$2&amp;F$1&amp;"C"&amp;$A37)*RTD("tos.rtd",,"GAMMA","."&amp;F$2&amp;F$1&amp;"C"&amp;$A37)+$A$4*$A$4*RTD("tos.rtd",,"OPEN_INT","."&amp;F$2&amp;F$1&amp;"P"&amp;$A37)*RTD("tos.rtd",,"GAMMA","."&amp;F$2&amp;F$1&amp;"P"&amp;$A37))/1000000,($A$4*$A$4*RTD("tos.rtd",,"OPEN_INT","."&amp;F$2&amp;F$1&amp;"C"&amp;$A37)*RTD("tos.rtd",,"GAMMA","."&amp;F$2&amp;F$1&amp;"C"&amp;$A37)-$A$4*$A$4*RTD("tos.rtd",,"OPEN_INT","."&amp;F$2&amp;F$1&amp;"P"&amp;$A37)*RTD("tos.rtd",,"GAMMA","."&amp;F$2&amp;F$1&amp;"P"&amp;$A37))/1000000),0),IF($A$2="SKEW",IFERROR(VALUE(IF(RTD("tos.rtd",,"IMPL_VOL","."&amp;F$2&amp;F$1&amp;"P"&amp;$A37)="N/A",0,RTD("tos.rtd",,"IMPL_VOL","."&amp;F$2&amp;F$1&amp;"P"&amp;$A37))),0)-IFERROR(VALUE(IF(RTD("tos.rtd",,"IMPL_VOL","."&amp;F$2&amp;F$1&amp;"C"&amp;$A37)="N/A",0,RTD("tos.rtd",,"IMPL_VOL","."&amp;F$2&amp;F$1&amp;"C"&amp;$A37))),0),IF($A$2="MAXPAIN",IF($A$4&gt;$A37,($A$4-$A37)*IF(RTD("tos.rtd",,"OPEN_INT","."&amp;F$2&amp;F$1&amp;"C"&amp;$A37)="N/A",0,RTD("tos.rtd",,"OPEN_INT","."&amp;F$2&amp;F$1&amp;"C"&amp;$A37)),0)+IF($A$4&lt;$A37,($A$5-$A$4)*IF(RTD("tos.rtd",,"OPEN_INT","."&amp;F$2&amp;F$1&amp;"P"&amp;$A37)="N/A",0,RTD("tos.rtd",,"OPEN_INT","."&amp;F$2&amp;F$1&amp;"P"&amp;$A37)),0),IF($X$1="ABS",IF(RTD("tos.rtd",,$A$2,"."&amp;F$2&amp;F$1&amp;"C"&amp;$A37)="N/A",0,RTD("tos.rtd",,$A$2,"."&amp;F$2&amp;F$1&amp;"C"&amp;$A37))+IF(RTD("tos.rtd",,$A$2,"."&amp;F$2&amp;F$1&amp;"P"&amp;$A37)="N/A",0,RTD("tos.rtd",,$A$2,"."&amp;F$2&amp;F$1&amp;"P"&amp;$A37)),IF(RTD("tos.rtd",,$A$2,"."&amp;F$2&amp;F$1&amp;"C"&amp;$A37)="N/A",0,RTD("tos.rtd",,$A$2,"."&amp;F$2&amp;F$1&amp;"C"&amp;$A37))-IF(RTD("tos.rtd",,$A$2,"."&amp;F$2&amp;F$1&amp;"P"&amp;$A37)="N/A",0,RTD("tos.rtd",,$A$2,"."&amp;F$2&amp;F$1&amp;"P"&amp;$A37))))))))))</f>
        <v>0</v>
      </c>
      <c r="G37" s="54">
        <f ca="1">IF($A$2="PREMIUM_OI",IFERROR(IF($X$1="ABS",(100*RTD("tos.rtd",,"OPEN_INT","."&amp;G$2&amp;G$1&amp;"C"&amp;$A37)*RTD("tos.rtd",,"LAST","."&amp;G$2&amp;G$1&amp;"C"&amp;$A37)+100*RTD("tos.rtd",,"OPEN_INT","."&amp;G$2&amp;G$1&amp;"P"&amp;$A37)*RTD("tos.rtd",,"LAST","."&amp;G$2&amp;G$1&amp;"P"&amp;$A37))/1000000,(100*RTD("tos.rtd",,"OPEN_INT","."&amp;G$2&amp;G$1&amp;"C"&amp;$A37)*RTD("tos.rtd",,"LAST","."&amp;G$2&amp;G$1&amp;"C"&amp;$A37)-100*RTD("tos.rtd",,"OPEN_INT","."&amp;G$2&amp;G$1&amp;"P"&amp;$A37)*RTD("tos.rtd",,"LAST","."&amp;G$2&amp;G$1&amp;"P"&amp;$A37))/1000000),0),IF($A$2="PREMIUM",IFERROR(IF($X$1="ABS",(100*RTD("tos.rtd",,"VOLUME","."&amp;G$2&amp;G$1&amp;"C"&amp;$A37)*RTD("tos.rtd",,"LAST","."&amp;G$2&amp;G$1&amp;"C"&amp;$A37)+100*RTD("tos.rtd",,"VOLUME","."&amp;G$2&amp;G$1&amp;"P"&amp;$A37)*RTD("tos.rtd",,"LAST","."&amp;G$2&amp;G$1&amp;"P"&amp;$A37))/1000000,(100*RTD("tos.rtd",,"VOLUME","."&amp;G$2&amp;G$1&amp;"C"&amp;$A37)*RTD("tos.rtd",,"LAST","."&amp;G$2&amp;G$1&amp;"C"&amp;$A37)-100*RTD("tos.rtd",,"VOLUME","."&amp;G$2&amp;G$1&amp;"P"&amp;$A37)*RTD("tos.rtd",,"LAST","."&amp;G$2&amp;G$1&amp;"P"&amp;$A37))/1000000),0),IF($A$2="DEX",IFERROR(IF($X$1="ABS",(100*RTD("tos.rtd",,"OPEN_INT","."&amp;G$2&amp;G$1&amp;"C"&amp;$A37)*RTD("tos.rtd",,"DELTA","."&amp;G$2&amp;G$1&amp;"C"&amp;$A37)+100*RTD("tos.rtd",,"OPEN_INT","."&amp;G$2&amp;G$1&amp;"P"&amp;$A37)*RTD("tos.rtd",,"DELTA","."&amp;G$2&amp;G$1&amp;"P"&amp;$A37))/1000,(100*RTD("tos.rtd",,"OPEN_INT","."&amp;G$2&amp;G$1&amp;"C"&amp;$A37)*RTD("tos.rtd",,"DELTA","."&amp;G$2&amp;G$1&amp;"C"&amp;$A37)-100*RTD("tos.rtd",,"OPEN_INT","."&amp;G$2&amp;G$1&amp;"P"&amp;$A37)*RTD("tos.rtd",,"DELTA","."&amp;G$2&amp;G$1&amp;"P"&amp;$A37))/1000),0),IF($A$2="VEX",IFERROR(IF($X$1="ABS",($A$4*$A$4*RTD("tos.rtd",,"VOLUME","."&amp;G$2&amp;G$1&amp;"C"&amp;$A37)*RTD("tos.rtd",,"GAMMA","."&amp;G$2&amp;G$1&amp;"C"&amp;$A37)+$A$4*$A$4*RTD("tos.rtd",,"VOLUME","."&amp;G$2&amp;G$1&amp;"P"&amp;$A37)*RTD("tos.rtd",,"GAMMA","."&amp;G$2&amp;G$1&amp;"P"&amp;$A37))/1000000,($A$4*$A$4*RTD("tos.rtd",,"VOLUME","."&amp;G$2&amp;G$1&amp;"C"&amp;$A37)*RTD("tos.rtd",,"GAMMA","."&amp;G$2&amp;G$1&amp;"C"&amp;$A37)-$A$4*$A$4*RTD("tos.rtd",,"VOLUME","."&amp;G$2&amp;G$1&amp;"P"&amp;$A37)*RTD("tos.rtd",,"GAMMA","."&amp;G$2&amp;G$1&amp;"P"&amp;$A37))/1000000),0),IF($A$2="GEX",IFERROR(IF($X$1="ABS",($A$4*$A$4*RTD("tos.rtd",,"OPEN_INT","."&amp;G$2&amp;G$1&amp;"C"&amp;$A37)*RTD("tos.rtd",,"GAMMA","."&amp;G$2&amp;G$1&amp;"C"&amp;$A37)+$A$4*$A$4*RTD("tos.rtd",,"OPEN_INT","."&amp;G$2&amp;G$1&amp;"P"&amp;$A37)*RTD("tos.rtd",,"GAMMA","."&amp;G$2&amp;G$1&amp;"P"&amp;$A37))/1000000,($A$4*$A$4*RTD("tos.rtd",,"OPEN_INT","."&amp;G$2&amp;G$1&amp;"C"&amp;$A37)*RTD("tos.rtd",,"GAMMA","."&amp;G$2&amp;G$1&amp;"C"&amp;$A37)-$A$4*$A$4*RTD("tos.rtd",,"OPEN_INT","."&amp;G$2&amp;G$1&amp;"P"&amp;$A37)*RTD("tos.rtd",,"GAMMA","."&amp;G$2&amp;G$1&amp;"P"&amp;$A37))/1000000),0),IF($A$2="SKEW",IFERROR(VALUE(IF(RTD("tos.rtd",,"IMPL_VOL","."&amp;G$2&amp;G$1&amp;"P"&amp;$A37)="N/A",0,RTD("tos.rtd",,"IMPL_VOL","."&amp;G$2&amp;G$1&amp;"P"&amp;$A37))),0)-IFERROR(VALUE(IF(RTD("tos.rtd",,"IMPL_VOL","."&amp;G$2&amp;G$1&amp;"C"&amp;$A37)="N/A",0,RTD("tos.rtd",,"IMPL_VOL","."&amp;G$2&amp;G$1&amp;"C"&amp;$A37))),0),IF($A$2="MAXPAIN",IF($A$4&gt;$A37,($A$4-$A37)*IF(RTD("tos.rtd",,"OPEN_INT","."&amp;G$2&amp;G$1&amp;"C"&amp;$A37)="N/A",0,RTD("tos.rtd",,"OPEN_INT","."&amp;G$2&amp;G$1&amp;"C"&amp;$A37)),0)+IF($A$4&lt;$A37,($A$5-$A$4)*IF(RTD("tos.rtd",,"OPEN_INT","."&amp;G$2&amp;G$1&amp;"P"&amp;$A37)="N/A",0,RTD("tos.rtd",,"OPEN_INT","."&amp;G$2&amp;G$1&amp;"P"&amp;$A37)),0),IF($X$1="ABS",IF(RTD("tos.rtd",,$A$2,"."&amp;G$2&amp;G$1&amp;"C"&amp;$A37)="N/A",0,RTD("tos.rtd",,$A$2,"."&amp;G$2&amp;G$1&amp;"C"&amp;$A37))+IF(RTD("tos.rtd",,$A$2,"."&amp;G$2&amp;G$1&amp;"P"&amp;$A37)="N/A",0,RTD("tos.rtd",,$A$2,"."&amp;G$2&amp;G$1&amp;"P"&amp;$A37)),IF(RTD("tos.rtd",,$A$2,"."&amp;G$2&amp;G$1&amp;"C"&amp;$A37)="N/A",0,RTD("tos.rtd",,$A$2,"."&amp;G$2&amp;G$1&amp;"C"&amp;$A37))-IF(RTD("tos.rtd",,$A$2,"."&amp;G$2&amp;G$1&amp;"P"&amp;$A37)="N/A",0,RTD("tos.rtd",,$A$2,"."&amp;G$2&amp;G$1&amp;"P"&amp;$A37))))))))))</f>
        <v>0</v>
      </c>
      <c r="H37" s="14">
        <f ca="1">IF($A$2="PREMIUM_OI",IFERROR(IF($X$1="ABS",(100*RTD("tos.rtd",,"OPEN_INT","."&amp;H$2&amp;H$1&amp;"C"&amp;$A37)*RTD("tos.rtd",,"LAST","."&amp;H$2&amp;H$1&amp;"C"&amp;$A37)+100*RTD("tos.rtd",,"OPEN_INT","."&amp;H$2&amp;H$1&amp;"P"&amp;$A37)*RTD("tos.rtd",,"LAST","."&amp;H$2&amp;H$1&amp;"P"&amp;$A37))/1000000,(100*RTD("tos.rtd",,"OPEN_INT","."&amp;H$2&amp;H$1&amp;"C"&amp;$A37)*RTD("tos.rtd",,"LAST","."&amp;H$2&amp;H$1&amp;"C"&amp;$A37)-100*RTD("tos.rtd",,"OPEN_INT","."&amp;H$2&amp;H$1&amp;"P"&amp;$A37)*RTD("tos.rtd",,"LAST","."&amp;H$2&amp;H$1&amp;"P"&amp;$A37))/1000000),0),IF($A$2="PREMIUM",IFERROR(IF($X$1="ABS",(100*RTD("tos.rtd",,"VOLUME","."&amp;H$2&amp;H$1&amp;"C"&amp;$A37)*RTD("tos.rtd",,"LAST","."&amp;H$2&amp;H$1&amp;"C"&amp;$A37)+100*RTD("tos.rtd",,"VOLUME","."&amp;H$2&amp;H$1&amp;"P"&amp;$A37)*RTD("tos.rtd",,"LAST","."&amp;H$2&amp;H$1&amp;"P"&amp;$A37))/1000000,(100*RTD("tos.rtd",,"VOLUME","."&amp;H$2&amp;H$1&amp;"C"&amp;$A37)*RTD("tos.rtd",,"LAST","."&amp;H$2&amp;H$1&amp;"C"&amp;$A37)-100*RTD("tos.rtd",,"VOLUME","."&amp;H$2&amp;H$1&amp;"P"&amp;$A37)*RTD("tos.rtd",,"LAST","."&amp;H$2&amp;H$1&amp;"P"&amp;$A37))/1000000),0),IF($A$2="DEX",IFERROR(IF($X$1="ABS",(100*RTD("tos.rtd",,"OPEN_INT","."&amp;H$2&amp;H$1&amp;"C"&amp;$A37)*RTD("tos.rtd",,"DELTA","."&amp;H$2&amp;H$1&amp;"C"&amp;$A37)+100*RTD("tos.rtd",,"OPEN_INT","."&amp;H$2&amp;H$1&amp;"P"&amp;$A37)*RTD("tos.rtd",,"DELTA","."&amp;H$2&amp;H$1&amp;"P"&amp;$A37))/1000,(100*RTD("tos.rtd",,"OPEN_INT","."&amp;H$2&amp;H$1&amp;"C"&amp;$A37)*RTD("tos.rtd",,"DELTA","."&amp;H$2&amp;H$1&amp;"C"&amp;$A37)-100*RTD("tos.rtd",,"OPEN_INT","."&amp;H$2&amp;H$1&amp;"P"&amp;$A37)*RTD("tos.rtd",,"DELTA","."&amp;H$2&amp;H$1&amp;"P"&amp;$A37))/1000),0),IF($A$2="VEX",IFERROR(IF($X$1="ABS",($A$4*$A$4*RTD("tos.rtd",,"VOLUME","."&amp;H$2&amp;H$1&amp;"C"&amp;$A37)*RTD("tos.rtd",,"GAMMA","."&amp;H$2&amp;H$1&amp;"C"&amp;$A37)+$A$4*$A$4*RTD("tos.rtd",,"VOLUME","."&amp;H$2&amp;H$1&amp;"P"&amp;$A37)*RTD("tos.rtd",,"GAMMA","."&amp;H$2&amp;H$1&amp;"P"&amp;$A37))/1000000,($A$4*$A$4*RTD("tos.rtd",,"VOLUME","."&amp;H$2&amp;H$1&amp;"C"&amp;$A37)*RTD("tos.rtd",,"GAMMA","."&amp;H$2&amp;H$1&amp;"C"&amp;$A37)-$A$4*$A$4*RTD("tos.rtd",,"VOLUME","."&amp;H$2&amp;H$1&amp;"P"&amp;$A37)*RTD("tos.rtd",,"GAMMA","."&amp;H$2&amp;H$1&amp;"P"&amp;$A37))/1000000),0),IF($A$2="GEX",IFERROR(IF($X$1="ABS",($A$4*$A$4*RTD("tos.rtd",,"OPEN_INT","."&amp;H$2&amp;H$1&amp;"C"&amp;$A37)*RTD("tos.rtd",,"GAMMA","."&amp;H$2&amp;H$1&amp;"C"&amp;$A37)+$A$4*$A$4*RTD("tos.rtd",,"OPEN_INT","."&amp;H$2&amp;H$1&amp;"P"&amp;$A37)*RTD("tos.rtd",,"GAMMA","."&amp;H$2&amp;H$1&amp;"P"&amp;$A37))/1000000,($A$4*$A$4*RTD("tos.rtd",,"OPEN_INT","."&amp;H$2&amp;H$1&amp;"C"&amp;$A37)*RTD("tos.rtd",,"GAMMA","."&amp;H$2&amp;H$1&amp;"C"&amp;$A37)-$A$4*$A$4*RTD("tos.rtd",,"OPEN_INT","."&amp;H$2&amp;H$1&amp;"P"&amp;$A37)*RTD("tos.rtd",,"GAMMA","."&amp;H$2&amp;H$1&amp;"P"&amp;$A37))/1000000),0),IF($A$2="SKEW",IFERROR(VALUE(IF(RTD("tos.rtd",,"IMPL_VOL","."&amp;H$2&amp;H$1&amp;"P"&amp;$A37)="N/A",0,RTD("tos.rtd",,"IMPL_VOL","."&amp;H$2&amp;H$1&amp;"P"&amp;$A37))),0)-IFERROR(VALUE(IF(RTD("tos.rtd",,"IMPL_VOL","."&amp;H$2&amp;H$1&amp;"C"&amp;$A37)="N/A",0,RTD("tos.rtd",,"IMPL_VOL","."&amp;H$2&amp;H$1&amp;"C"&amp;$A37))),0),IF($A$2="MAXPAIN",IF($A$4&gt;$A37,($A$4-$A37)*IF(RTD("tos.rtd",,"OPEN_INT","."&amp;H$2&amp;H$1&amp;"C"&amp;$A37)="N/A",0,RTD("tos.rtd",,"OPEN_INT","."&amp;H$2&amp;H$1&amp;"C"&amp;$A37)),0)+IF($A$4&lt;$A37,($A$5-$A$4)*IF(RTD("tos.rtd",,"OPEN_INT","."&amp;H$2&amp;H$1&amp;"P"&amp;$A37)="N/A",0,RTD("tos.rtd",,"OPEN_INT","."&amp;H$2&amp;H$1&amp;"P"&amp;$A37)),0),IF($X$1="ABS",IF(RTD("tos.rtd",,$A$2,"."&amp;H$2&amp;H$1&amp;"C"&amp;$A37)="N/A",0,RTD("tos.rtd",,$A$2,"."&amp;H$2&amp;H$1&amp;"C"&amp;$A37))+IF(RTD("tos.rtd",,$A$2,"."&amp;H$2&amp;H$1&amp;"P"&amp;$A37)="N/A",0,RTD("tos.rtd",,$A$2,"."&amp;H$2&amp;H$1&amp;"P"&amp;$A37)),IF(RTD("tos.rtd",,$A$2,"."&amp;H$2&amp;H$1&amp;"C"&amp;$A37)="N/A",0,RTD("tos.rtd",,$A$2,"."&amp;H$2&amp;H$1&amp;"C"&amp;$A37))-IF(RTD("tos.rtd",,$A$2,"."&amp;H$2&amp;H$1&amp;"P"&amp;$A37)="N/A",0,RTD("tos.rtd",,$A$2,"."&amp;H$2&amp;H$1&amp;"P"&amp;$A37))))))))))</f>
        <v>0</v>
      </c>
      <c r="I37" s="12">
        <f ca="1">IF($A$2="PREMIUM_OI",IFERROR(IF($X$1="ABS",(100*RTD("tos.rtd",,"OPEN_INT","."&amp;I$2&amp;I$1&amp;"C"&amp;$A37)*RTD("tos.rtd",,"LAST","."&amp;I$2&amp;I$1&amp;"C"&amp;$A37)+100*RTD("tos.rtd",,"OPEN_INT","."&amp;I$2&amp;I$1&amp;"P"&amp;$A37)*RTD("tos.rtd",,"LAST","."&amp;I$2&amp;I$1&amp;"P"&amp;$A37))/1000000,(100*RTD("tos.rtd",,"OPEN_INT","."&amp;I$2&amp;I$1&amp;"C"&amp;$A37)*RTD("tos.rtd",,"LAST","."&amp;I$2&amp;I$1&amp;"C"&amp;$A37)-100*RTD("tos.rtd",,"OPEN_INT","."&amp;I$2&amp;I$1&amp;"P"&amp;$A37)*RTD("tos.rtd",,"LAST","."&amp;I$2&amp;I$1&amp;"P"&amp;$A37))/1000000),0),IF($A$2="PREMIUM",IFERROR(IF($X$1="ABS",(100*RTD("tos.rtd",,"VOLUME","."&amp;I$2&amp;I$1&amp;"C"&amp;$A37)*RTD("tos.rtd",,"LAST","."&amp;I$2&amp;I$1&amp;"C"&amp;$A37)+100*RTD("tos.rtd",,"VOLUME","."&amp;I$2&amp;I$1&amp;"P"&amp;$A37)*RTD("tos.rtd",,"LAST","."&amp;I$2&amp;I$1&amp;"P"&amp;$A37))/1000000,(100*RTD("tos.rtd",,"VOLUME","."&amp;I$2&amp;I$1&amp;"C"&amp;$A37)*RTD("tos.rtd",,"LAST","."&amp;I$2&amp;I$1&amp;"C"&amp;$A37)-100*RTD("tos.rtd",,"VOLUME","."&amp;I$2&amp;I$1&amp;"P"&amp;$A37)*RTD("tos.rtd",,"LAST","."&amp;I$2&amp;I$1&amp;"P"&amp;$A37))/1000000),0),IF($A$2="DEX",IFERROR(IF($X$1="ABS",(100*RTD("tos.rtd",,"OPEN_INT","."&amp;I$2&amp;I$1&amp;"C"&amp;$A37)*RTD("tos.rtd",,"DELTA","."&amp;I$2&amp;I$1&amp;"C"&amp;$A37)+100*RTD("tos.rtd",,"OPEN_INT","."&amp;I$2&amp;I$1&amp;"P"&amp;$A37)*RTD("tos.rtd",,"DELTA","."&amp;I$2&amp;I$1&amp;"P"&amp;$A37))/1000,(100*RTD("tos.rtd",,"OPEN_INT","."&amp;I$2&amp;I$1&amp;"C"&amp;$A37)*RTD("tos.rtd",,"DELTA","."&amp;I$2&amp;I$1&amp;"C"&amp;$A37)-100*RTD("tos.rtd",,"OPEN_INT","."&amp;I$2&amp;I$1&amp;"P"&amp;$A37)*RTD("tos.rtd",,"DELTA","."&amp;I$2&amp;I$1&amp;"P"&amp;$A37))/1000),0),IF($A$2="VEX",IFERROR(IF($X$1="ABS",($A$4*$A$4*RTD("tos.rtd",,"VOLUME","."&amp;I$2&amp;I$1&amp;"C"&amp;$A37)*RTD("tos.rtd",,"GAMMA","."&amp;I$2&amp;I$1&amp;"C"&amp;$A37)+$A$4*$A$4*RTD("tos.rtd",,"VOLUME","."&amp;I$2&amp;I$1&amp;"P"&amp;$A37)*RTD("tos.rtd",,"GAMMA","."&amp;I$2&amp;I$1&amp;"P"&amp;$A37))/1000000,($A$4*$A$4*RTD("tos.rtd",,"VOLUME","."&amp;I$2&amp;I$1&amp;"C"&amp;$A37)*RTD("tos.rtd",,"GAMMA","."&amp;I$2&amp;I$1&amp;"C"&amp;$A37)-$A$4*$A$4*RTD("tos.rtd",,"VOLUME","."&amp;I$2&amp;I$1&amp;"P"&amp;$A37)*RTD("tos.rtd",,"GAMMA","."&amp;I$2&amp;I$1&amp;"P"&amp;$A37))/1000000),0),IF($A$2="GEX",IFERROR(IF($X$1="ABS",($A$4*$A$4*RTD("tos.rtd",,"OPEN_INT","."&amp;I$2&amp;I$1&amp;"C"&amp;$A37)*RTD("tos.rtd",,"GAMMA","."&amp;I$2&amp;I$1&amp;"C"&amp;$A37)+$A$4*$A$4*RTD("tos.rtd",,"OPEN_INT","."&amp;I$2&amp;I$1&amp;"P"&amp;$A37)*RTD("tos.rtd",,"GAMMA","."&amp;I$2&amp;I$1&amp;"P"&amp;$A37))/1000000,($A$4*$A$4*RTD("tos.rtd",,"OPEN_INT","."&amp;I$2&amp;I$1&amp;"C"&amp;$A37)*RTD("tos.rtd",,"GAMMA","."&amp;I$2&amp;I$1&amp;"C"&amp;$A37)-$A$4*$A$4*RTD("tos.rtd",,"OPEN_INT","."&amp;I$2&amp;I$1&amp;"P"&amp;$A37)*RTD("tos.rtd",,"GAMMA","."&amp;I$2&amp;I$1&amp;"P"&amp;$A37))/1000000),0),IF($A$2="SKEW",IFERROR(VALUE(IF(RTD("tos.rtd",,"IMPL_VOL","."&amp;I$2&amp;I$1&amp;"P"&amp;$A37)="N/A",0,RTD("tos.rtd",,"IMPL_VOL","."&amp;I$2&amp;I$1&amp;"P"&amp;$A37))),0)-IFERROR(VALUE(IF(RTD("tos.rtd",,"IMPL_VOL","."&amp;I$2&amp;I$1&amp;"C"&amp;$A37)="N/A",0,RTD("tos.rtd",,"IMPL_VOL","."&amp;I$2&amp;I$1&amp;"C"&amp;$A37))),0),IF($A$2="MAXPAIN",IF($A$4&gt;$A37,($A$4-$A37)*IF(RTD("tos.rtd",,"OPEN_INT","."&amp;I$2&amp;I$1&amp;"C"&amp;$A37)="N/A",0,RTD("tos.rtd",,"OPEN_INT","."&amp;I$2&amp;I$1&amp;"C"&amp;$A37)),0)+IF($A$4&lt;$A37,($A$5-$A$4)*IF(RTD("tos.rtd",,"OPEN_INT","."&amp;I$2&amp;I$1&amp;"P"&amp;$A37)="N/A",0,RTD("tos.rtd",,"OPEN_INT","."&amp;I$2&amp;I$1&amp;"P"&amp;$A37)),0),IF($X$1="ABS",IF(RTD("tos.rtd",,$A$2,"."&amp;I$2&amp;I$1&amp;"C"&amp;$A37)="N/A",0,RTD("tos.rtd",,$A$2,"."&amp;I$2&amp;I$1&amp;"C"&amp;$A37))+IF(RTD("tos.rtd",,$A$2,"."&amp;I$2&amp;I$1&amp;"P"&amp;$A37)="N/A",0,RTD("tos.rtd",,$A$2,"."&amp;I$2&amp;I$1&amp;"P"&amp;$A37)),IF(RTD("tos.rtd",,$A$2,"."&amp;I$2&amp;I$1&amp;"C"&amp;$A37)="N/A",0,RTD("tos.rtd",,$A$2,"."&amp;I$2&amp;I$1&amp;"C"&amp;$A37))-IF(RTD("tos.rtd",,$A$2,"."&amp;I$2&amp;I$1&amp;"P"&amp;$A37)="N/A",0,RTD("tos.rtd",,$A$2,"."&amp;I$2&amp;I$1&amp;"P"&amp;$A37))))))))))</f>
        <v>0</v>
      </c>
      <c r="J37" s="12">
        <f ca="1">IF($A$2="PREMIUM_OI",IFERROR(IF($X$1="ABS",(100*RTD("tos.rtd",,"OPEN_INT","."&amp;J$2&amp;J$1&amp;"C"&amp;$A37)*RTD("tos.rtd",,"LAST","."&amp;J$2&amp;J$1&amp;"C"&amp;$A37)+100*RTD("tos.rtd",,"OPEN_INT","."&amp;J$2&amp;J$1&amp;"P"&amp;$A37)*RTD("tos.rtd",,"LAST","."&amp;J$2&amp;J$1&amp;"P"&amp;$A37))/1000000,(100*RTD("tos.rtd",,"OPEN_INT","."&amp;J$2&amp;J$1&amp;"C"&amp;$A37)*RTD("tos.rtd",,"LAST","."&amp;J$2&amp;J$1&amp;"C"&amp;$A37)-100*RTD("tos.rtd",,"OPEN_INT","."&amp;J$2&amp;J$1&amp;"P"&amp;$A37)*RTD("tos.rtd",,"LAST","."&amp;J$2&amp;J$1&amp;"P"&amp;$A37))/1000000),0),IF($A$2="PREMIUM",IFERROR(IF($X$1="ABS",(100*RTD("tos.rtd",,"VOLUME","."&amp;J$2&amp;J$1&amp;"C"&amp;$A37)*RTD("tos.rtd",,"LAST","."&amp;J$2&amp;J$1&amp;"C"&amp;$A37)+100*RTD("tos.rtd",,"VOLUME","."&amp;J$2&amp;J$1&amp;"P"&amp;$A37)*RTD("tos.rtd",,"LAST","."&amp;J$2&amp;J$1&amp;"P"&amp;$A37))/1000000,(100*RTD("tos.rtd",,"VOLUME","."&amp;J$2&amp;J$1&amp;"C"&amp;$A37)*RTD("tos.rtd",,"LAST","."&amp;J$2&amp;J$1&amp;"C"&amp;$A37)-100*RTD("tos.rtd",,"VOLUME","."&amp;J$2&amp;J$1&amp;"P"&amp;$A37)*RTD("tos.rtd",,"LAST","."&amp;J$2&amp;J$1&amp;"P"&amp;$A37))/1000000),0),IF($A$2="DEX",IFERROR(IF($X$1="ABS",(100*RTD("tos.rtd",,"OPEN_INT","."&amp;J$2&amp;J$1&amp;"C"&amp;$A37)*RTD("tos.rtd",,"DELTA","."&amp;J$2&amp;J$1&amp;"C"&amp;$A37)+100*RTD("tos.rtd",,"OPEN_INT","."&amp;J$2&amp;J$1&amp;"P"&amp;$A37)*RTD("tos.rtd",,"DELTA","."&amp;J$2&amp;J$1&amp;"P"&amp;$A37))/1000,(100*RTD("tos.rtd",,"OPEN_INT","."&amp;J$2&amp;J$1&amp;"C"&amp;$A37)*RTD("tos.rtd",,"DELTA","."&amp;J$2&amp;J$1&amp;"C"&amp;$A37)-100*RTD("tos.rtd",,"OPEN_INT","."&amp;J$2&amp;J$1&amp;"P"&amp;$A37)*RTD("tos.rtd",,"DELTA","."&amp;J$2&amp;J$1&amp;"P"&amp;$A37))/1000),0),IF($A$2="VEX",IFERROR(IF($X$1="ABS",($A$4*$A$4*RTD("tos.rtd",,"VOLUME","."&amp;J$2&amp;J$1&amp;"C"&amp;$A37)*RTD("tos.rtd",,"GAMMA","."&amp;J$2&amp;J$1&amp;"C"&amp;$A37)+$A$4*$A$4*RTD("tos.rtd",,"VOLUME","."&amp;J$2&amp;J$1&amp;"P"&amp;$A37)*RTD("tos.rtd",,"GAMMA","."&amp;J$2&amp;J$1&amp;"P"&amp;$A37))/1000000,($A$4*$A$4*RTD("tos.rtd",,"VOLUME","."&amp;J$2&amp;J$1&amp;"C"&amp;$A37)*RTD("tos.rtd",,"GAMMA","."&amp;J$2&amp;J$1&amp;"C"&amp;$A37)-$A$4*$A$4*RTD("tos.rtd",,"VOLUME","."&amp;J$2&amp;J$1&amp;"P"&amp;$A37)*RTD("tos.rtd",,"GAMMA","."&amp;J$2&amp;J$1&amp;"P"&amp;$A37))/1000000),0),IF($A$2="GEX",IFERROR(IF($X$1="ABS",($A$4*$A$4*RTD("tos.rtd",,"OPEN_INT","."&amp;J$2&amp;J$1&amp;"C"&amp;$A37)*RTD("tos.rtd",,"GAMMA","."&amp;J$2&amp;J$1&amp;"C"&amp;$A37)+$A$4*$A$4*RTD("tos.rtd",,"OPEN_INT","."&amp;J$2&amp;J$1&amp;"P"&amp;$A37)*RTD("tos.rtd",,"GAMMA","."&amp;J$2&amp;J$1&amp;"P"&amp;$A37))/1000000,($A$4*$A$4*RTD("tos.rtd",,"OPEN_INT","."&amp;J$2&amp;J$1&amp;"C"&amp;$A37)*RTD("tos.rtd",,"GAMMA","."&amp;J$2&amp;J$1&amp;"C"&amp;$A37)-$A$4*$A$4*RTD("tos.rtd",,"OPEN_INT","."&amp;J$2&amp;J$1&amp;"P"&amp;$A37)*RTD("tos.rtd",,"GAMMA","."&amp;J$2&amp;J$1&amp;"P"&amp;$A37))/1000000),0),IF($A$2="SKEW",IFERROR(VALUE(IF(RTD("tos.rtd",,"IMPL_VOL","."&amp;J$2&amp;J$1&amp;"P"&amp;$A37)="N/A",0,RTD("tos.rtd",,"IMPL_VOL","."&amp;J$2&amp;J$1&amp;"P"&amp;$A37))),0)-IFERROR(VALUE(IF(RTD("tos.rtd",,"IMPL_VOL","."&amp;J$2&amp;J$1&amp;"C"&amp;$A37)="N/A",0,RTD("tos.rtd",,"IMPL_VOL","."&amp;J$2&amp;J$1&amp;"C"&amp;$A37))),0),IF($A$2="MAXPAIN",IF($A$4&gt;$A37,($A$4-$A37)*IF(RTD("tos.rtd",,"OPEN_INT","."&amp;J$2&amp;J$1&amp;"C"&amp;$A37)="N/A",0,RTD("tos.rtd",,"OPEN_INT","."&amp;J$2&amp;J$1&amp;"C"&amp;$A37)),0)+IF($A$4&lt;$A37,($A$5-$A$4)*IF(RTD("tos.rtd",,"OPEN_INT","."&amp;J$2&amp;J$1&amp;"P"&amp;$A37)="N/A",0,RTD("tos.rtd",,"OPEN_INT","."&amp;J$2&amp;J$1&amp;"P"&amp;$A37)),0),IF($X$1="ABS",IF(RTD("tos.rtd",,$A$2,"."&amp;J$2&amp;J$1&amp;"C"&amp;$A37)="N/A",0,RTD("tos.rtd",,$A$2,"."&amp;J$2&amp;J$1&amp;"C"&amp;$A37))+IF(RTD("tos.rtd",,$A$2,"."&amp;J$2&amp;J$1&amp;"P"&amp;$A37)="N/A",0,RTD("tos.rtd",,$A$2,"."&amp;J$2&amp;J$1&amp;"P"&amp;$A37)),IF(RTD("tos.rtd",,$A$2,"."&amp;J$2&amp;J$1&amp;"C"&amp;$A37)="N/A",0,RTD("tos.rtd",,$A$2,"."&amp;J$2&amp;J$1&amp;"C"&amp;$A37))-IF(RTD("tos.rtd",,$A$2,"."&amp;J$2&amp;J$1&amp;"P"&amp;$A37)="N/A",0,RTD("tos.rtd",,$A$2,"."&amp;J$2&amp;J$1&amp;"P"&amp;$A37))))))))))</f>
        <v>0</v>
      </c>
      <c r="K37" s="12">
        <f ca="1">IF($A$2="PREMIUM_OI",IFERROR(IF($X$1="ABS",(100*RTD("tos.rtd",,"OPEN_INT","."&amp;K$2&amp;K$1&amp;"C"&amp;$A37)*RTD("tos.rtd",,"LAST","."&amp;K$2&amp;K$1&amp;"C"&amp;$A37)+100*RTD("tos.rtd",,"OPEN_INT","."&amp;K$2&amp;K$1&amp;"P"&amp;$A37)*RTD("tos.rtd",,"LAST","."&amp;K$2&amp;K$1&amp;"P"&amp;$A37))/1000000,(100*RTD("tos.rtd",,"OPEN_INT","."&amp;K$2&amp;K$1&amp;"C"&amp;$A37)*RTD("tos.rtd",,"LAST","."&amp;K$2&amp;K$1&amp;"C"&amp;$A37)-100*RTD("tos.rtd",,"OPEN_INT","."&amp;K$2&amp;K$1&amp;"P"&amp;$A37)*RTD("tos.rtd",,"LAST","."&amp;K$2&amp;K$1&amp;"P"&amp;$A37))/1000000),0),IF($A$2="PREMIUM",IFERROR(IF($X$1="ABS",(100*RTD("tos.rtd",,"VOLUME","."&amp;K$2&amp;K$1&amp;"C"&amp;$A37)*RTD("tos.rtd",,"LAST","."&amp;K$2&amp;K$1&amp;"C"&amp;$A37)+100*RTD("tos.rtd",,"VOLUME","."&amp;K$2&amp;K$1&amp;"P"&amp;$A37)*RTD("tos.rtd",,"LAST","."&amp;K$2&amp;K$1&amp;"P"&amp;$A37))/1000000,(100*RTD("tos.rtd",,"VOLUME","."&amp;K$2&amp;K$1&amp;"C"&amp;$A37)*RTD("tos.rtd",,"LAST","."&amp;K$2&amp;K$1&amp;"C"&amp;$A37)-100*RTD("tos.rtd",,"VOLUME","."&amp;K$2&amp;K$1&amp;"P"&amp;$A37)*RTD("tos.rtd",,"LAST","."&amp;K$2&amp;K$1&amp;"P"&amp;$A37))/1000000),0),IF($A$2="DEX",IFERROR(IF($X$1="ABS",(100*RTD("tos.rtd",,"OPEN_INT","."&amp;K$2&amp;K$1&amp;"C"&amp;$A37)*RTD("tos.rtd",,"DELTA","."&amp;K$2&amp;K$1&amp;"C"&amp;$A37)+100*RTD("tos.rtd",,"OPEN_INT","."&amp;K$2&amp;K$1&amp;"P"&amp;$A37)*RTD("tos.rtd",,"DELTA","."&amp;K$2&amp;K$1&amp;"P"&amp;$A37))/1000,(100*RTD("tos.rtd",,"OPEN_INT","."&amp;K$2&amp;K$1&amp;"C"&amp;$A37)*RTD("tos.rtd",,"DELTA","."&amp;K$2&amp;K$1&amp;"C"&amp;$A37)-100*RTD("tos.rtd",,"OPEN_INT","."&amp;K$2&amp;K$1&amp;"P"&amp;$A37)*RTD("tos.rtd",,"DELTA","."&amp;K$2&amp;K$1&amp;"P"&amp;$A37))/1000),0),IF($A$2="VEX",IFERROR(IF($X$1="ABS",($A$4*$A$4*RTD("tos.rtd",,"VOLUME","."&amp;K$2&amp;K$1&amp;"C"&amp;$A37)*RTD("tos.rtd",,"GAMMA","."&amp;K$2&amp;K$1&amp;"C"&amp;$A37)+$A$4*$A$4*RTD("tos.rtd",,"VOLUME","."&amp;K$2&amp;K$1&amp;"P"&amp;$A37)*RTD("tos.rtd",,"GAMMA","."&amp;K$2&amp;K$1&amp;"P"&amp;$A37))/1000000,($A$4*$A$4*RTD("tos.rtd",,"VOLUME","."&amp;K$2&amp;K$1&amp;"C"&amp;$A37)*RTD("tos.rtd",,"GAMMA","."&amp;K$2&amp;K$1&amp;"C"&amp;$A37)-$A$4*$A$4*RTD("tos.rtd",,"VOLUME","."&amp;K$2&amp;K$1&amp;"P"&amp;$A37)*RTD("tos.rtd",,"GAMMA","."&amp;K$2&amp;K$1&amp;"P"&amp;$A37))/1000000),0),IF($A$2="GEX",IFERROR(IF($X$1="ABS",($A$4*$A$4*RTD("tos.rtd",,"OPEN_INT","."&amp;K$2&amp;K$1&amp;"C"&amp;$A37)*RTD("tos.rtd",,"GAMMA","."&amp;K$2&amp;K$1&amp;"C"&amp;$A37)+$A$4*$A$4*RTD("tos.rtd",,"OPEN_INT","."&amp;K$2&amp;K$1&amp;"P"&amp;$A37)*RTD("tos.rtd",,"GAMMA","."&amp;K$2&amp;K$1&amp;"P"&amp;$A37))/1000000,($A$4*$A$4*RTD("tos.rtd",,"OPEN_INT","."&amp;K$2&amp;K$1&amp;"C"&amp;$A37)*RTD("tos.rtd",,"GAMMA","."&amp;K$2&amp;K$1&amp;"C"&amp;$A37)-$A$4*$A$4*RTD("tos.rtd",,"OPEN_INT","."&amp;K$2&amp;K$1&amp;"P"&amp;$A37)*RTD("tos.rtd",,"GAMMA","."&amp;K$2&amp;K$1&amp;"P"&amp;$A37))/1000000),0),IF($A$2="SKEW",IFERROR(VALUE(IF(RTD("tos.rtd",,"IMPL_VOL","."&amp;K$2&amp;K$1&amp;"P"&amp;$A37)="N/A",0,RTD("tos.rtd",,"IMPL_VOL","."&amp;K$2&amp;K$1&amp;"P"&amp;$A37))),0)-IFERROR(VALUE(IF(RTD("tos.rtd",,"IMPL_VOL","."&amp;K$2&amp;K$1&amp;"C"&amp;$A37)="N/A",0,RTD("tos.rtd",,"IMPL_VOL","."&amp;K$2&amp;K$1&amp;"C"&amp;$A37))),0),IF($A$2="MAXPAIN",IF($A$4&gt;$A37,($A$4-$A37)*IF(RTD("tos.rtd",,"OPEN_INT","."&amp;K$2&amp;K$1&amp;"C"&amp;$A37)="N/A",0,RTD("tos.rtd",,"OPEN_INT","."&amp;K$2&amp;K$1&amp;"C"&amp;$A37)),0)+IF($A$4&lt;$A37,($A$5-$A$4)*IF(RTD("tos.rtd",,"OPEN_INT","."&amp;K$2&amp;K$1&amp;"P"&amp;$A37)="N/A",0,RTD("tos.rtd",,"OPEN_INT","."&amp;K$2&amp;K$1&amp;"P"&amp;$A37)),0),IF($X$1="ABS",IF(RTD("tos.rtd",,$A$2,"."&amp;K$2&amp;K$1&amp;"C"&amp;$A37)="N/A",0,RTD("tos.rtd",,$A$2,"."&amp;K$2&amp;K$1&amp;"C"&amp;$A37))+IF(RTD("tos.rtd",,$A$2,"."&amp;K$2&amp;K$1&amp;"P"&amp;$A37)="N/A",0,RTD("tos.rtd",,$A$2,"."&amp;K$2&amp;K$1&amp;"P"&amp;$A37)),IF(RTD("tos.rtd",,$A$2,"."&amp;K$2&amp;K$1&amp;"C"&amp;$A37)="N/A",0,RTD("tos.rtd",,$A$2,"."&amp;K$2&amp;K$1&amp;"C"&amp;$A37))-IF(RTD("tos.rtd",,$A$2,"."&amp;K$2&amp;K$1&amp;"P"&amp;$A37)="N/A",0,RTD("tos.rtd",,$A$2,"."&amp;K$2&amp;K$1&amp;"P"&amp;$A37))))))))))</f>
        <v>0</v>
      </c>
      <c r="L37" s="54">
        <f ca="1">IF($A$2="PREMIUM_OI",IFERROR(IF($X$1="ABS",(100*RTD("tos.rtd",,"OPEN_INT","."&amp;L$2&amp;L$1&amp;"C"&amp;$A37)*RTD("tos.rtd",,"LAST","."&amp;L$2&amp;L$1&amp;"C"&amp;$A37)+100*RTD("tos.rtd",,"OPEN_INT","."&amp;L$2&amp;L$1&amp;"P"&amp;$A37)*RTD("tos.rtd",,"LAST","."&amp;L$2&amp;L$1&amp;"P"&amp;$A37))/1000000,(100*RTD("tos.rtd",,"OPEN_INT","."&amp;L$2&amp;L$1&amp;"C"&amp;$A37)*RTD("tos.rtd",,"LAST","."&amp;L$2&amp;L$1&amp;"C"&amp;$A37)-100*RTD("tos.rtd",,"OPEN_INT","."&amp;L$2&amp;L$1&amp;"P"&amp;$A37)*RTD("tos.rtd",,"LAST","."&amp;L$2&amp;L$1&amp;"P"&amp;$A37))/1000000),0),IF($A$2="PREMIUM",IFERROR(IF($X$1="ABS",(100*RTD("tos.rtd",,"VOLUME","."&amp;L$2&amp;L$1&amp;"C"&amp;$A37)*RTD("tos.rtd",,"LAST","."&amp;L$2&amp;L$1&amp;"C"&amp;$A37)+100*RTD("tos.rtd",,"VOLUME","."&amp;L$2&amp;L$1&amp;"P"&amp;$A37)*RTD("tos.rtd",,"LAST","."&amp;L$2&amp;L$1&amp;"P"&amp;$A37))/1000000,(100*RTD("tos.rtd",,"VOLUME","."&amp;L$2&amp;L$1&amp;"C"&amp;$A37)*RTD("tos.rtd",,"LAST","."&amp;L$2&amp;L$1&amp;"C"&amp;$A37)-100*RTD("tos.rtd",,"VOLUME","."&amp;L$2&amp;L$1&amp;"P"&amp;$A37)*RTD("tos.rtd",,"LAST","."&amp;L$2&amp;L$1&amp;"P"&amp;$A37))/1000000),0),IF($A$2="DEX",IFERROR(IF($X$1="ABS",(100*RTD("tos.rtd",,"OPEN_INT","."&amp;L$2&amp;L$1&amp;"C"&amp;$A37)*RTD("tos.rtd",,"DELTA","."&amp;L$2&amp;L$1&amp;"C"&amp;$A37)+100*RTD("tos.rtd",,"OPEN_INT","."&amp;L$2&amp;L$1&amp;"P"&amp;$A37)*RTD("tos.rtd",,"DELTA","."&amp;L$2&amp;L$1&amp;"P"&amp;$A37))/1000,(100*RTD("tos.rtd",,"OPEN_INT","."&amp;L$2&amp;L$1&amp;"C"&amp;$A37)*RTD("tos.rtd",,"DELTA","."&amp;L$2&amp;L$1&amp;"C"&amp;$A37)-100*RTD("tos.rtd",,"OPEN_INT","."&amp;L$2&amp;L$1&amp;"P"&amp;$A37)*RTD("tos.rtd",,"DELTA","."&amp;L$2&amp;L$1&amp;"P"&amp;$A37))/1000),0),IF($A$2="VEX",IFERROR(IF($X$1="ABS",($A$4*$A$4*RTD("tos.rtd",,"VOLUME","."&amp;L$2&amp;L$1&amp;"C"&amp;$A37)*RTD("tos.rtd",,"GAMMA","."&amp;L$2&amp;L$1&amp;"C"&amp;$A37)+$A$4*$A$4*RTD("tos.rtd",,"VOLUME","."&amp;L$2&amp;L$1&amp;"P"&amp;$A37)*RTD("tos.rtd",,"GAMMA","."&amp;L$2&amp;L$1&amp;"P"&amp;$A37))/1000000,($A$4*$A$4*RTD("tos.rtd",,"VOLUME","."&amp;L$2&amp;L$1&amp;"C"&amp;$A37)*RTD("tos.rtd",,"GAMMA","."&amp;L$2&amp;L$1&amp;"C"&amp;$A37)-$A$4*$A$4*RTD("tos.rtd",,"VOLUME","."&amp;L$2&amp;L$1&amp;"P"&amp;$A37)*RTD("tos.rtd",,"GAMMA","."&amp;L$2&amp;L$1&amp;"P"&amp;$A37))/1000000),0),IF($A$2="GEX",IFERROR(IF($X$1="ABS",($A$4*$A$4*RTD("tos.rtd",,"OPEN_INT","."&amp;L$2&amp;L$1&amp;"C"&amp;$A37)*RTD("tos.rtd",,"GAMMA","."&amp;L$2&amp;L$1&amp;"C"&amp;$A37)+$A$4*$A$4*RTD("tos.rtd",,"OPEN_INT","."&amp;L$2&amp;L$1&amp;"P"&amp;$A37)*RTD("tos.rtd",,"GAMMA","."&amp;L$2&amp;L$1&amp;"P"&amp;$A37))/1000000,($A$4*$A$4*RTD("tos.rtd",,"OPEN_INT","."&amp;L$2&amp;L$1&amp;"C"&amp;$A37)*RTD("tos.rtd",,"GAMMA","."&amp;L$2&amp;L$1&amp;"C"&amp;$A37)-$A$4*$A$4*RTD("tos.rtd",,"OPEN_INT","."&amp;L$2&amp;L$1&amp;"P"&amp;$A37)*RTD("tos.rtd",,"GAMMA","."&amp;L$2&amp;L$1&amp;"P"&amp;$A37))/1000000),0),IF($A$2="SKEW",IFERROR(VALUE(IF(RTD("tos.rtd",,"IMPL_VOL","."&amp;L$2&amp;L$1&amp;"P"&amp;$A37)="N/A",0,RTD("tos.rtd",,"IMPL_VOL","."&amp;L$2&amp;L$1&amp;"P"&amp;$A37))),0)-IFERROR(VALUE(IF(RTD("tos.rtd",,"IMPL_VOL","."&amp;L$2&amp;L$1&amp;"C"&amp;$A37)="N/A",0,RTD("tos.rtd",,"IMPL_VOL","."&amp;L$2&amp;L$1&amp;"C"&amp;$A37))),0),IF($A$2="MAXPAIN",IF($A$4&gt;$A37,($A$4-$A37)*IF(RTD("tos.rtd",,"OPEN_INT","."&amp;L$2&amp;L$1&amp;"C"&amp;$A37)="N/A",0,RTD("tos.rtd",,"OPEN_INT","."&amp;L$2&amp;L$1&amp;"C"&amp;$A37)),0)+IF($A$4&lt;$A37,($A$5-$A$4)*IF(RTD("tos.rtd",,"OPEN_INT","."&amp;L$2&amp;L$1&amp;"P"&amp;$A37)="N/A",0,RTD("tos.rtd",,"OPEN_INT","."&amp;L$2&amp;L$1&amp;"P"&amp;$A37)),0),IF($X$1="ABS",IF(RTD("tos.rtd",,$A$2,"."&amp;L$2&amp;L$1&amp;"C"&amp;$A37)="N/A",0,RTD("tos.rtd",,$A$2,"."&amp;L$2&amp;L$1&amp;"C"&amp;$A37))+IF(RTD("tos.rtd",,$A$2,"."&amp;L$2&amp;L$1&amp;"P"&amp;$A37)="N/A",0,RTD("tos.rtd",,$A$2,"."&amp;L$2&amp;L$1&amp;"P"&amp;$A37)),IF(RTD("tos.rtd",,$A$2,"."&amp;L$2&amp;L$1&amp;"C"&amp;$A37)="N/A",0,RTD("tos.rtd",,$A$2,"."&amp;L$2&amp;L$1&amp;"C"&amp;$A37))-IF(RTD("tos.rtd",,$A$2,"."&amp;L$2&amp;L$1&amp;"P"&amp;$A37)="N/A",0,RTD("tos.rtd",,$A$2,"."&amp;L$2&amp;L$1&amp;"P"&amp;$A37))))))))))</f>
        <v>0</v>
      </c>
      <c r="M37" s="12">
        <f ca="1">IF($A$2="PREMIUM_OI",IFERROR(IF($X$1="ABS",(100*RTD("tos.rtd",,"OPEN_INT","."&amp;M$2&amp;M$1&amp;"C"&amp;$A37)*RTD("tos.rtd",,"LAST","."&amp;M$2&amp;M$1&amp;"C"&amp;$A37)+100*RTD("tos.rtd",,"OPEN_INT","."&amp;M$2&amp;M$1&amp;"P"&amp;$A37)*RTD("tos.rtd",,"LAST","."&amp;M$2&amp;M$1&amp;"P"&amp;$A37))/1000000,(100*RTD("tos.rtd",,"OPEN_INT","."&amp;M$2&amp;M$1&amp;"C"&amp;$A37)*RTD("tos.rtd",,"LAST","."&amp;M$2&amp;M$1&amp;"C"&amp;$A37)-100*RTD("tos.rtd",,"OPEN_INT","."&amp;M$2&amp;M$1&amp;"P"&amp;$A37)*RTD("tos.rtd",,"LAST","."&amp;M$2&amp;M$1&amp;"P"&amp;$A37))/1000000),0),IF($A$2="PREMIUM",IFERROR(IF($X$1="ABS",(100*RTD("tos.rtd",,"VOLUME","."&amp;M$2&amp;M$1&amp;"C"&amp;$A37)*RTD("tos.rtd",,"LAST","."&amp;M$2&amp;M$1&amp;"C"&amp;$A37)+100*RTD("tos.rtd",,"VOLUME","."&amp;M$2&amp;M$1&amp;"P"&amp;$A37)*RTD("tos.rtd",,"LAST","."&amp;M$2&amp;M$1&amp;"P"&amp;$A37))/1000000,(100*RTD("tos.rtd",,"VOLUME","."&amp;M$2&amp;M$1&amp;"C"&amp;$A37)*RTD("tos.rtd",,"LAST","."&amp;M$2&amp;M$1&amp;"C"&amp;$A37)-100*RTD("tos.rtd",,"VOLUME","."&amp;M$2&amp;M$1&amp;"P"&amp;$A37)*RTD("tos.rtd",,"LAST","."&amp;M$2&amp;M$1&amp;"P"&amp;$A37))/1000000),0),IF($A$2="DEX",IFERROR(IF($X$1="ABS",(100*RTD("tos.rtd",,"OPEN_INT","."&amp;M$2&amp;M$1&amp;"C"&amp;$A37)*RTD("tos.rtd",,"DELTA","."&amp;M$2&amp;M$1&amp;"C"&amp;$A37)+100*RTD("tos.rtd",,"OPEN_INT","."&amp;M$2&amp;M$1&amp;"P"&amp;$A37)*RTD("tos.rtd",,"DELTA","."&amp;M$2&amp;M$1&amp;"P"&amp;$A37))/1000,(100*RTD("tos.rtd",,"OPEN_INT","."&amp;M$2&amp;M$1&amp;"C"&amp;$A37)*RTD("tos.rtd",,"DELTA","."&amp;M$2&amp;M$1&amp;"C"&amp;$A37)-100*RTD("tos.rtd",,"OPEN_INT","."&amp;M$2&amp;M$1&amp;"P"&amp;$A37)*RTD("tos.rtd",,"DELTA","."&amp;M$2&amp;M$1&amp;"P"&amp;$A37))/1000),0),IF($A$2="VEX",IFERROR(IF($X$1="ABS",($A$4*$A$4*RTD("tos.rtd",,"VOLUME","."&amp;M$2&amp;M$1&amp;"C"&amp;$A37)*RTD("tos.rtd",,"GAMMA","."&amp;M$2&amp;M$1&amp;"C"&amp;$A37)+$A$4*$A$4*RTD("tos.rtd",,"VOLUME","."&amp;M$2&amp;M$1&amp;"P"&amp;$A37)*RTD("tos.rtd",,"GAMMA","."&amp;M$2&amp;M$1&amp;"P"&amp;$A37))/1000000,($A$4*$A$4*RTD("tos.rtd",,"VOLUME","."&amp;M$2&amp;M$1&amp;"C"&amp;$A37)*RTD("tos.rtd",,"GAMMA","."&amp;M$2&amp;M$1&amp;"C"&amp;$A37)-$A$4*$A$4*RTD("tos.rtd",,"VOLUME","."&amp;M$2&amp;M$1&amp;"P"&amp;$A37)*RTD("tos.rtd",,"GAMMA","."&amp;M$2&amp;M$1&amp;"P"&amp;$A37))/1000000),0),IF($A$2="GEX",IFERROR(IF($X$1="ABS",($A$4*$A$4*RTD("tos.rtd",,"OPEN_INT","."&amp;M$2&amp;M$1&amp;"C"&amp;$A37)*RTD("tos.rtd",,"GAMMA","."&amp;M$2&amp;M$1&amp;"C"&amp;$A37)+$A$4*$A$4*RTD("tos.rtd",,"OPEN_INT","."&amp;M$2&amp;M$1&amp;"P"&amp;$A37)*RTD("tos.rtd",,"GAMMA","."&amp;M$2&amp;M$1&amp;"P"&amp;$A37))/1000000,($A$4*$A$4*RTD("tos.rtd",,"OPEN_INT","."&amp;M$2&amp;M$1&amp;"C"&amp;$A37)*RTD("tos.rtd",,"GAMMA","."&amp;M$2&amp;M$1&amp;"C"&amp;$A37)-$A$4*$A$4*RTD("tos.rtd",,"OPEN_INT","."&amp;M$2&amp;M$1&amp;"P"&amp;$A37)*RTD("tos.rtd",,"GAMMA","."&amp;M$2&amp;M$1&amp;"P"&amp;$A37))/1000000),0),IF($A$2="SKEW",IFERROR(VALUE(IF(RTD("tos.rtd",,"IMPL_VOL","."&amp;M$2&amp;M$1&amp;"P"&amp;$A37)="N/A",0,RTD("tos.rtd",,"IMPL_VOL","."&amp;M$2&amp;M$1&amp;"P"&amp;$A37))),0)-IFERROR(VALUE(IF(RTD("tos.rtd",,"IMPL_VOL","."&amp;M$2&amp;M$1&amp;"C"&amp;$A37)="N/A",0,RTD("tos.rtd",,"IMPL_VOL","."&amp;M$2&amp;M$1&amp;"C"&amp;$A37))),0),IF($A$2="MAXPAIN",IF($A$4&gt;$A37,($A$4-$A37)*IF(RTD("tos.rtd",,"OPEN_INT","."&amp;M$2&amp;M$1&amp;"C"&amp;$A37)="N/A",0,RTD("tos.rtd",,"OPEN_INT","."&amp;M$2&amp;M$1&amp;"C"&amp;$A37)),0)+IF($A$4&lt;$A37,($A$5-$A$4)*IF(RTD("tos.rtd",,"OPEN_INT","."&amp;M$2&amp;M$1&amp;"P"&amp;$A37)="N/A",0,RTD("tos.rtd",,"OPEN_INT","."&amp;M$2&amp;M$1&amp;"P"&amp;$A37)),0),IF($X$1="ABS",IF(RTD("tos.rtd",,$A$2,"."&amp;M$2&amp;M$1&amp;"C"&amp;$A37)="N/A",0,RTD("tos.rtd",,$A$2,"."&amp;M$2&amp;M$1&amp;"C"&amp;$A37))+IF(RTD("tos.rtd",,$A$2,"."&amp;M$2&amp;M$1&amp;"P"&amp;$A37)="N/A",0,RTD("tos.rtd",,$A$2,"."&amp;M$2&amp;M$1&amp;"P"&amp;$A37)),IF(RTD("tos.rtd",,$A$2,"."&amp;M$2&amp;M$1&amp;"C"&amp;$A37)="N/A",0,RTD("tos.rtd",,$A$2,"."&amp;M$2&amp;M$1&amp;"C"&amp;$A37))-IF(RTD("tos.rtd",,$A$2,"."&amp;M$2&amp;M$1&amp;"P"&amp;$A37)="N/A",0,RTD("tos.rtd",,$A$2,"."&amp;M$2&amp;M$1&amp;"P"&amp;$A37))))))))))</f>
        <v>0</v>
      </c>
      <c r="N37" s="12">
        <f ca="1">IF($A$2="PREMIUM_OI",IFERROR(IF($X$1="ABS",(100*RTD("tos.rtd",,"OPEN_INT","."&amp;N$2&amp;N$1&amp;"C"&amp;$A37)*RTD("tos.rtd",,"LAST","."&amp;N$2&amp;N$1&amp;"C"&amp;$A37)+100*RTD("tos.rtd",,"OPEN_INT","."&amp;N$2&amp;N$1&amp;"P"&amp;$A37)*RTD("tos.rtd",,"LAST","."&amp;N$2&amp;N$1&amp;"P"&amp;$A37))/1000000,(100*RTD("tos.rtd",,"OPEN_INT","."&amp;N$2&amp;N$1&amp;"C"&amp;$A37)*RTD("tos.rtd",,"LAST","."&amp;N$2&amp;N$1&amp;"C"&amp;$A37)-100*RTD("tos.rtd",,"OPEN_INT","."&amp;N$2&amp;N$1&amp;"P"&amp;$A37)*RTD("tos.rtd",,"LAST","."&amp;N$2&amp;N$1&amp;"P"&amp;$A37))/1000000),0),IF($A$2="PREMIUM",IFERROR(IF($X$1="ABS",(100*RTD("tos.rtd",,"VOLUME","."&amp;N$2&amp;N$1&amp;"C"&amp;$A37)*RTD("tos.rtd",,"LAST","."&amp;N$2&amp;N$1&amp;"C"&amp;$A37)+100*RTD("tos.rtd",,"VOLUME","."&amp;N$2&amp;N$1&amp;"P"&amp;$A37)*RTD("tos.rtd",,"LAST","."&amp;N$2&amp;N$1&amp;"P"&amp;$A37))/1000000,(100*RTD("tos.rtd",,"VOLUME","."&amp;N$2&amp;N$1&amp;"C"&amp;$A37)*RTD("tos.rtd",,"LAST","."&amp;N$2&amp;N$1&amp;"C"&amp;$A37)-100*RTD("tos.rtd",,"VOLUME","."&amp;N$2&amp;N$1&amp;"P"&amp;$A37)*RTD("tos.rtd",,"LAST","."&amp;N$2&amp;N$1&amp;"P"&amp;$A37))/1000000),0),IF($A$2="DEX",IFERROR(IF($X$1="ABS",(100*RTD("tos.rtd",,"OPEN_INT","."&amp;N$2&amp;N$1&amp;"C"&amp;$A37)*RTD("tos.rtd",,"DELTA","."&amp;N$2&amp;N$1&amp;"C"&amp;$A37)+100*RTD("tos.rtd",,"OPEN_INT","."&amp;N$2&amp;N$1&amp;"P"&amp;$A37)*RTD("tos.rtd",,"DELTA","."&amp;N$2&amp;N$1&amp;"P"&amp;$A37))/1000,(100*RTD("tos.rtd",,"OPEN_INT","."&amp;N$2&amp;N$1&amp;"C"&amp;$A37)*RTD("tos.rtd",,"DELTA","."&amp;N$2&amp;N$1&amp;"C"&amp;$A37)-100*RTD("tos.rtd",,"OPEN_INT","."&amp;N$2&amp;N$1&amp;"P"&amp;$A37)*RTD("tos.rtd",,"DELTA","."&amp;N$2&amp;N$1&amp;"P"&amp;$A37))/1000),0),IF($A$2="VEX",IFERROR(IF($X$1="ABS",($A$4*$A$4*RTD("tos.rtd",,"VOLUME","."&amp;N$2&amp;N$1&amp;"C"&amp;$A37)*RTD("tos.rtd",,"GAMMA","."&amp;N$2&amp;N$1&amp;"C"&amp;$A37)+$A$4*$A$4*RTD("tos.rtd",,"VOLUME","."&amp;N$2&amp;N$1&amp;"P"&amp;$A37)*RTD("tos.rtd",,"GAMMA","."&amp;N$2&amp;N$1&amp;"P"&amp;$A37))/1000000,($A$4*$A$4*RTD("tos.rtd",,"VOLUME","."&amp;N$2&amp;N$1&amp;"C"&amp;$A37)*RTD("tos.rtd",,"GAMMA","."&amp;N$2&amp;N$1&amp;"C"&amp;$A37)-$A$4*$A$4*RTD("tos.rtd",,"VOLUME","."&amp;N$2&amp;N$1&amp;"P"&amp;$A37)*RTD("tos.rtd",,"GAMMA","."&amp;N$2&amp;N$1&amp;"P"&amp;$A37))/1000000),0),IF($A$2="GEX",IFERROR(IF($X$1="ABS",($A$4*$A$4*RTD("tos.rtd",,"OPEN_INT","."&amp;N$2&amp;N$1&amp;"C"&amp;$A37)*RTD("tos.rtd",,"GAMMA","."&amp;N$2&amp;N$1&amp;"C"&amp;$A37)+$A$4*$A$4*RTD("tos.rtd",,"OPEN_INT","."&amp;N$2&amp;N$1&amp;"P"&amp;$A37)*RTD("tos.rtd",,"GAMMA","."&amp;N$2&amp;N$1&amp;"P"&amp;$A37))/1000000,($A$4*$A$4*RTD("tos.rtd",,"OPEN_INT","."&amp;N$2&amp;N$1&amp;"C"&amp;$A37)*RTD("tos.rtd",,"GAMMA","."&amp;N$2&amp;N$1&amp;"C"&amp;$A37)-$A$4*$A$4*RTD("tos.rtd",,"OPEN_INT","."&amp;N$2&amp;N$1&amp;"P"&amp;$A37)*RTD("tos.rtd",,"GAMMA","."&amp;N$2&amp;N$1&amp;"P"&amp;$A37))/1000000),0),IF($A$2="SKEW",IFERROR(VALUE(IF(RTD("tos.rtd",,"IMPL_VOL","."&amp;N$2&amp;N$1&amp;"P"&amp;$A37)="N/A",0,RTD("tos.rtd",,"IMPL_VOL","."&amp;N$2&amp;N$1&amp;"P"&amp;$A37))),0)-IFERROR(VALUE(IF(RTD("tos.rtd",,"IMPL_VOL","."&amp;N$2&amp;N$1&amp;"C"&amp;$A37)="N/A",0,RTD("tos.rtd",,"IMPL_VOL","."&amp;N$2&amp;N$1&amp;"C"&amp;$A37))),0),IF($A$2="MAXPAIN",IF($A$4&gt;$A37,($A$4-$A37)*IF(RTD("tos.rtd",,"OPEN_INT","."&amp;N$2&amp;N$1&amp;"C"&amp;$A37)="N/A",0,RTD("tos.rtd",,"OPEN_INT","."&amp;N$2&amp;N$1&amp;"C"&amp;$A37)),0)+IF($A$4&lt;$A37,($A$5-$A$4)*IF(RTD("tos.rtd",,"OPEN_INT","."&amp;N$2&amp;N$1&amp;"P"&amp;$A37)="N/A",0,RTD("tos.rtd",,"OPEN_INT","."&amp;N$2&amp;N$1&amp;"P"&amp;$A37)),0),IF($X$1="ABS",IF(RTD("tos.rtd",,$A$2,"."&amp;N$2&amp;N$1&amp;"C"&amp;$A37)="N/A",0,RTD("tos.rtd",,$A$2,"."&amp;N$2&amp;N$1&amp;"C"&amp;$A37))+IF(RTD("tos.rtd",,$A$2,"."&amp;N$2&amp;N$1&amp;"P"&amp;$A37)="N/A",0,RTD("tos.rtd",,$A$2,"."&amp;N$2&amp;N$1&amp;"P"&amp;$A37)),IF(RTD("tos.rtd",,$A$2,"."&amp;N$2&amp;N$1&amp;"C"&amp;$A37)="N/A",0,RTD("tos.rtd",,$A$2,"."&amp;N$2&amp;N$1&amp;"C"&amp;$A37))-IF(RTD("tos.rtd",,$A$2,"."&amp;N$2&amp;N$1&amp;"P"&amp;$A37)="N/A",0,RTD("tos.rtd",,$A$2,"."&amp;N$2&amp;N$1&amp;"P"&amp;$A37))))))))))</f>
        <v>0</v>
      </c>
      <c r="O37" s="12">
        <f ca="1">IF($A$2="PREMIUM_OI",IFERROR(IF($X$1="ABS",(100*RTD("tos.rtd",,"OPEN_INT","."&amp;O$2&amp;O$1&amp;"C"&amp;$A37)*RTD("tos.rtd",,"LAST","."&amp;O$2&amp;O$1&amp;"C"&amp;$A37)+100*RTD("tos.rtd",,"OPEN_INT","."&amp;O$2&amp;O$1&amp;"P"&amp;$A37)*RTD("tos.rtd",,"LAST","."&amp;O$2&amp;O$1&amp;"P"&amp;$A37))/1000000,(100*RTD("tos.rtd",,"OPEN_INT","."&amp;O$2&amp;O$1&amp;"C"&amp;$A37)*RTD("tos.rtd",,"LAST","."&amp;O$2&amp;O$1&amp;"C"&amp;$A37)-100*RTD("tos.rtd",,"OPEN_INT","."&amp;O$2&amp;O$1&amp;"P"&amp;$A37)*RTD("tos.rtd",,"LAST","."&amp;O$2&amp;O$1&amp;"P"&amp;$A37))/1000000),0),IF($A$2="PREMIUM",IFERROR(IF($X$1="ABS",(100*RTD("tos.rtd",,"VOLUME","."&amp;O$2&amp;O$1&amp;"C"&amp;$A37)*RTD("tos.rtd",,"LAST","."&amp;O$2&amp;O$1&amp;"C"&amp;$A37)+100*RTD("tos.rtd",,"VOLUME","."&amp;O$2&amp;O$1&amp;"P"&amp;$A37)*RTD("tos.rtd",,"LAST","."&amp;O$2&amp;O$1&amp;"P"&amp;$A37))/1000000,(100*RTD("tos.rtd",,"VOLUME","."&amp;O$2&amp;O$1&amp;"C"&amp;$A37)*RTD("tos.rtd",,"LAST","."&amp;O$2&amp;O$1&amp;"C"&amp;$A37)-100*RTD("tos.rtd",,"VOLUME","."&amp;O$2&amp;O$1&amp;"P"&amp;$A37)*RTD("tos.rtd",,"LAST","."&amp;O$2&amp;O$1&amp;"P"&amp;$A37))/1000000),0),IF($A$2="DEX",IFERROR(IF($X$1="ABS",(100*RTD("tos.rtd",,"OPEN_INT","."&amp;O$2&amp;O$1&amp;"C"&amp;$A37)*RTD("tos.rtd",,"DELTA","."&amp;O$2&amp;O$1&amp;"C"&amp;$A37)+100*RTD("tos.rtd",,"OPEN_INT","."&amp;O$2&amp;O$1&amp;"P"&amp;$A37)*RTD("tos.rtd",,"DELTA","."&amp;O$2&amp;O$1&amp;"P"&amp;$A37))/1000,(100*RTD("tos.rtd",,"OPEN_INT","."&amp;O$2&amp;O$1&amp;"C"&amp;$A37)*RTD("tos.rtd",,"DELTA","."&amp;O$2&amp;O$1&amp;"C"&amp;$A37)-100*RTD("tos.rtd",,"OPEN_INT","."&amp;O$2&amp;O$1&amp;"P"&amp;$A37)*RTD("tos.rtd",,"DELTA","."&amp;O$2&amp;O$1&amp;"P"&amp;$A37))/1000),0),IF($A$2="VEX",IFERROR(IF($X$1="ABS",($A$4*$A$4*RTD("tos.rtd",,"VOLUME","."&amp;O$2&amp;O$1&amp;"C"&amp;$A37)*RTD("tos.rtd",,"GAMMA","."&amp;O$2&amp;O$1&amp;"C"&amp;$A37)+$A$4*$A$4*RTD("tos.rtd",,"VOLUME","."&amp;O$2&amp;O$1&amp;"P"&amp;$A37)*RTD("tos.rtd",,"GAMMA","."&amp;O$2&amp;O$1&amp;"P"&amp;$A37))/1000000,($A$4*$A$4*RTD("tos.rtd",,"VOLUME","."&amp;O$2&amp;O$1&amp;"C"&amp;$A37)*RTD("tos.rtd",,"GAMMA","."&amp;O$2&amp;O$1&amp;"C"&amp;$A37)-$A$4*$A$4*RTD("tos.rtd",,"VOLUME","."&amp;O$2&amp;O$1&amp;"P"&amp;$A37)*RTD("tos.rtd",,"GAMMA","."&amp;O$2&amp;O$1&amp;"P"&amp;$A37))/1000000),0),IF($A$2="GEX",IFERROR(IF($X$1="ABS",($A$4*$A$4*RTD("tos.rtd",,"OPEN_INT","."&amp;O$2&amp;O$1&amp;"C"&amp;$A37)*RTD("tos.rtd",,"GAMMA","."&amp;O$2&amp;O$1&amp;"C"&amp;$A37)+$A$4*$A$4*RTD("tos.rtd",,"OPEN_INT","."&amp;O$2&amp;O$1&amp;"P"&amp;$A37)*RTD("tos.rtd",,"GAMMA","."&amp;O$2&amp;O$1&amp;"P"&amp;$A37))/1000000,($A$4*$A$4*RTD("tos.rtd",,"OPEN_INT","."&amp;O$2&amp;O$1&amp;"C"&amp;$A37)*RTD("tos.rtd",,"GAMMA","."&amp;O$2&amp;O$1&amp;"C"&amp;$A37)-$A$4*$A$4*RTD("tos.rtd",,"OPEN_INT","."&amp;O$2&amp;O$1&amp;"P"&amp;$A37)*RTD("tos.rtd",,"GAMMA","."&amp;O$2&amp;O$1&amp;"P"&amp;$A37))/1000000),0),IF($A$2="SKEW",IFERROR(VALUE(IF(RTD("tos.rtd",,"IMPL_VOL","."&amp;O$2&amp;O$1&amp;"P"&amp;$A37)="N/A",0,RTD("tos.rtd",,"IMPL_VOL","."&amp;O$2&amp;O$1&amp;"P"&amp;$A37))),0)-IFERROR(VALUE(IF(RTD("tos.rtd",,"IMPL_VOL","."&amp;O$2&amp;O$1&amp;"C"&amp;$A37)="N/A",0,RTD("tos.rtd",,"IMPL_VOL","."&amp;O$2&amp;O$1&amp;"C"&amp;$A37))),0),IF($A$2="MAXPAIN",IF($A$4&gt;$A37,($A$4-$A37)*IF(RTD("tos.rtd",,"OPEN_INT","."&amp;O$2&amp;O$1&amp;"C"&amp;$A37)="N/A",0,RTD("tos.rtd",,"OPEN_INT","."&amp;O$2&amp;O$1&amp;"C"&amp;$A37)),0)+IF($A$4&lt;$A37,($A$5-$A$4)*IF(RTD("tos.rtd",,"OPEN_INT","."&amp;O$2&amp;O$1&amp;"P"&amp;$A37)="N/A",0,RTD("tos.rtd",,"OPEN_INT","."&amp;O$2&amp;O$1&amp;"P"&amp;$A37)),0),IF($X$1="ABS",IF(RTD("tos.rtd",,$A$2,"."&amp;O$2&amp;O$1&amp;"C"&amp;$A37)="N/A",0,RTD("tos.rtd",,$A$2,"."&amp;O$2&amp;O$1&amp;"C"&amp;$A37))+IF(RTD("tos.rtd",,$A$2,"."&amp;O$2&amp;O$1&amp;"P"&amp;$A37)="N/A",0,RTD("tos.rtd",,$A$2,"."&amp;O$2&amp;O$1&amp;"P"&amp;$A37)),IF(RTD("tos.rtd",,$A$2,"."&amp;O$2&amp;O$1&amp;"C"&amp;$A37)="N/A",0,RTD("tos.rtd",,$A$2,"."&amp;O$2&amp;O$1&amp;"C"&amp;$A37))-IF(RTD("tos.rtd",,$A$2,"."&amp;O$2&amp;O$1&amp;"P"&amp;$A37)="N/A",0,RTD("tos.rtd",,$A$2,"."&amp;O$2&amp;O$1&amp;"P"&amp;$A37))))))))))</f>
        <v>0</v>
      </c>
      <c r="P37" s="12">
        <f ca="1">IF($A$2="PREMIUM_OI",IFERROR(IF($X$1="ABS",(100*RTD("tos.rtd",,"OPEN_INT","."&amp;P$2&amp;P$1&amp;"C"&amp;$A37)*RTD("tos.rtd",,"LAST","."&amp;P$2&amp;P$1&amp;"C"&amp;$A37)+100*RTD("tos.rtd",,"OPEN_INT","."&amp;P$2&amp;P$1&amp;"P"&amp;$A37)*RTD("tos.rtd",,"LAST","."&amp;P$2&amp;P$1&amp;"P"&amp;$A37))/1000000,(100*RTD("tos.rtd",,"OPEN_INT","."&amp;P$2&amp;P$1&amp;"C"&amp;$A37)*RTD("tos.rtd",,"LAST","."&amp;P$2&amp;P$1&amp;"C"&amp;$A37)-100*RTD("tos.rtd",,"OPEN_INT","."&amp;P$2&amp;P$1&amp;"P"&amp;$A37)*RTD("tos.rtd",,"LAST","."&amp;P$2&amp;P$1&amp;"P"&amp;$A37))/1000000),0),IF($A$2="PREMIUM",IFERROR(IF($X$1="ABS",(100*RTD("tos.rtd",,"VOLUME","."&amp;P$2&amp;P$1&amp;"C"&amp;$A37)*RTD("tos.rtd",,"LAST","."&amp;P$2&amp;P$1&amp;"C"&amp;$A37)+100*RTD("tos.rtd",,"VOLUME","."&amp;P$2&amp;P$1&amp;"P"&amp;$A37)*RTD("tos.rtd",,"LAST","."&amp;P$2&amp;P$1&amp;"P"&amp;$A37))/1000000,(100*RTD("tos.rtd",,"VOLUME","."&amp;P$2&amp;P$1&amp;"C"&amp;$A37)*RTD("tos.rtd",,"LAST","."&amp;P$2&amp;P$1&amp;"C"&amp;$A37)-100*RTD("tos.rtd",,"VOLUME","."&amp;P$2&amp;P$1&amp;"P"&amp;$A37)*RTD("tos.rtd",,"LAST","."&amp;P$2&amp;P$1&amp;"P"&amp;$A37))/1000000),0),IF($A$2="DEX",IFERROR(IF($X$1="ABS",(100*RTD("tos.rtd",,"OPEN_INT","."&amp;P$2&amp;P$1&amp;"C"&amp;$A37)*RTD("tos.rtd",,"DELTA","."&amp;P$2&amp;P$1&amp;"C"&amp;$A37)+100*RTD("tos.rtd",,"OPEN_INT","."&amp;P$2&amp;P$1&amp;"P"&amp;$A37)*RTD("tos.rtd",,"DELTA","."&amp;P$2&amp;P$1&amp;"P"&amp;$A37))/1000,(100*RTD("tos.rtd",,"OPEN_INT","."&amp;P$2&amp;P$1&amp;"C"&amp;$A37)*RTD("tos.rtd",,"DELTA","."&amp;P$2&amp;P$1&amp;"C"&amp;$A37)-100*RTD("tos.rtd",,"OPEN_INT","."&amp;P$2&amp;P$1&amp;"P"&amp;$A37)*RTD("tos.rtd",,"DELTA","."&amp;P$2&amp;P$1&amp;"P"&amp;$A37))/1000),0),IF($A$2="VEX",IFERROR(IF($X$1="ABS",($A$4*$A$4*RTD("tos.rtd",,"VOLUME","."&amp;P$2&amp;P$1&amp;"C"&amp;$A37)*RTD("tos.rtd",,"GAMMA","."&amp;P$2&amp;P$1&amp;"C"&amp;$A37)+$A$4*$A$4*RTD("tos.rtd",,"VOLUME","."&amp;P$2&amp;P$1&amp;"P"&amp;$A37)*RTD("tos.rtd",,"GAMMA","."&amp;P$2&amp;P$1&amp;"P"&amp;$A37))/1000000,($A$4*$A$4*RTD("tos.rtd",,"VOLUME","."&amp;P$2&amp;P$1&amp;"C"&amp;$A37)*RTD("tos.rtd",,"GAMMA","."&amp;P$2&amp;P$1&amp;"C"&amp;$A37)-$A$4*$A$4*RTD("tos.rtd",,"VOLUME","."&amp;P$2&amp;P$1&amp;"P"&amp;$A37)*RTD("tos.rtd",,"GAMMA","."&amp;P$2&amp;P$1&amp;"P"&amp;$A37))/1000000),0),IF($A$2="GEX",IFERROR(IF($X$1="ABS",($A$4*$A$4*RTD("tos.rtd",,"OPEN_INT","."&amp;P$2&amp;P$1&amp;"C"&amp;$A37)*RTD("tos.rtd",,"GAMMA","."&amp;P$2&amp;P$1&amp;"C"&amp;$A37)+$A$4*$A$4*RTD("tos.rtd",,"OPEN_INT","."&amp;P$2&amp;P$1&amp;"P"&amp;$A37)*RTD("tos.rtd",,"GAMMA","."&amp;P$2&amp;P$1&amp;"P"&amp;$A37))/1000000,($A$4*$A$4*RTD("tos.rtd",,"OPEN_INT","."&amp;P$2&amp;P$1&amp;"C"&amp;$A37)*RTD("tos.rtd",,"GAMMA","."&amp;P$2&amp;P$1&amp;"C"&amp;$A37)-$A$4*$A$4*RTD("tos.rtd",,"OPEN_INT","."&amp;P$2&amp;P$1&amp;"P"&amp;$A37)*RTD("tos.rtd",,"GAMMA","."&amp;P$2&amp;P$1&amp;"P"&amp;$A37))/1000000),0),IF($A$2="SKEW",IFERROR(VALUE(IF(RTD("tos.rtd",,"IMPL_VOL","."&amp;P$2&amp;P$1&amp;"P"&amp;$A37)="N/A",0,RTD("tos.rtd",,"IMPL_VOL","."&amp;P$2&amp;P$1&amp;"P"&amp;$A37))),0)-IFERROR(VALUE(IF(RTD("tos.rtd",,"IMPL_VOL","."&amp;P$2&amp;P$1&amp;"C"&amp;$A37)="N/A",0,RTD("tos.rtd",,"IMPL_VOL","."&amp;P$2&amp;P$1&amp;"C"&amp;$A37))),0),IF($A$2="MAXPAIN",IF($A$4&gt;$A37,($A$4-$A37)*IF(RTD("tos.rtd",,"OPEN_INT","."&amp;P$2&amp;P$1&amp;"C"&amp;$A37)="N/A",0,RTD("tos.rtd",,"OPEN_INT","."&amp;P$2&amp;P$1&amp;"C"&amp;$A37)),0)+IF($A$4&lt;$A37,($A$5-$A$4)*IF(RTD("tos.rtd",,"OPEN_INT","."&amp;P$2&amp;P$1&amp;"P"&amp;$A37)="N/A",0,RTD("tos.rtd",,"OPEN_INT","."&amp;P$2&amp;P$1&amp;"P"&amp;$A37)),0),IF($X$1="ABS",IF(RTD("tos.rtd",,$A$2,"."&amp;P$2&amp;P$1&amp;"C"&amp;$A37)="N/A",0,RTD("tos.rtd",,$A$2,"."&amp;P$2&amp;P$1&amp;"C"&amp;$A37))+IF(RTD("tos.rtd",,$A$2,"."&amp;P$2&amp;P$1&amp;"P"&amp;$A37)="N/A",0,RTD("tos.rtd",,$A$2,"."&amp;P$2&amp;P$1&amp;"P"&amp;$A37)),IF(RTD("tos.rtd",,$A$2,"."&amp;P$2&amp;P$1&amp;"C"&amp;$A37)="N/A",0,RTD("tos.rtd",,$A$2,"."&amp;P$2&amp;P$1&amp;"C"&amp;$A37))-IF(RTD("tos.rtd",,$A$2,"."&amp;P$2&amp;P$1&amp;"P"&amp;$A37)="N/A",0,RTD("tos.rtd",,$A$2,"."&amp;P$2&amp;P$1&amp;"P"&amp;$A37))))))))))</f>
        <v>0</v>
      </c>
      <c r="Q37" s="12">
        <f ca="1">IF($A$2="PREMIUM_OI",IFERROR(IF($X$1="ABS",(100*RTD("tos.rtd",,"OPEN_INT","."&amp;Q$2&amp;Q$1&amp;"C"&amp;$A37)*RTD("tos.rtd",,"LAST","."&amp;Q$2&amp;Q$1&amp;"C"&amp;$A37)+100*RTD("tos.rtd",,"OPEN_INT","."&amp;Q$2&amp;Q$1&amp;"P"&amp;$A37)*RTD("tos.rtd",,"LAST","."&amp;Q$2&amp;Q$1&amp;"P"&amp;$A37))/1000000,(100*RTD("tos.rtd",,"OPEN_INT","."&amp;Q$2&amp;Q$1&amp;"C"&amp;$A37)*RTD("tos.rtd",,"LAST","."&amp;Q$2&amp;Q$1&amp;"C"&amp;$A37)-100*RTD("tos.rtd",,"OPEN_INT","."&amp;Q$2&amp;Q$1&amp;"P"&amp;$A37)*RTD("tos.rtd",,"LAST","."&amp;Q$2&amp;Q$1&amp;"P"&amp;$A37))/1000000),0),IF($A$2="PREMIUM",IFERROR(IF($X$1="ABS",(100*RTD("tos.rtd",,"VOLUME","."&amp;Q$2&amp;Q$1&amp;"C"&amp;$A37)*RTD("tos.rtd",,"LAST","."&amp;Q$2&amp;Q$1&amp;"C"&amp;$A37)+100*RTD("tos.rtd",,"VOLUME","."&amp;Q$2&amp;Q$1&amp;"P"&amp;$A37)*RTD("tos.rtd",,"LAST","."&amp;Q$2&amp;Q$1&amp;"P"&amp;$A37))/1000000,(100*RTD("tos.rtd",,"VOLUME","."&amp;Q$2&amp;Q$1&amp;"C"&amp;$A37)*RTD("tos.rtd",,"LAST","."&amp;Q$2&amp;Q$1&amp;"C"&amp;$A37)-100*RTD("tos.rtd",,"VOLUME","."&amp;Q$2&amp;Q$1&amp;"P"&amp;$A37)*RTD("tos.rtd",,"LAST","."&amp;Q$2&amp;Q$1&amp;"P"&amp;$A37))/1000000),0),IF($A$2="DEX",IFERROR(IF($X$1="ABS",(100*RTD("tos.rtd",,"OPEN_INT","."&amp;Q$2&amp;Q$1&amp;"C"&amp;$A37)*RTD("tos.rtd",,"DELTA","."&amp;Q$2&amp;Q$1&amp;"C"&amp;$A37)+100*RTD("tos.rtd",,"OPEN_INT","."&amp;Q$2&amp;Q$1&amp;"P"&amp;$A37)*RTD("tos.rtd",,"DELTA","."&amp;Q$2&amp;Q$1&amp;"P"&amp;$A37))/1000,(100*RTD("tos.rtd",,"OPEN_INT","."&amp;Q$2&amp;Q$1&amp;"C"&amp;$A37)*RTD("tos.rtd",,"DELTA","."&amp;Q$2&amp;Q$1&amp;"C"&amp;$A37)-100*RTD("tos.rtd",,"OPEN_INT","."&amp;Q$2&amp;Q$1&amp;"P"&amp;$A37)*RTD("tos.rtd",,"DELTA","."&amp;Q$2&amp;Q$1&amp;"P"&amp;$A37))/1000),0),IF($A$2="VEX",IFERROR(IF($X$1="ABS",($A$4*$A$4*RTD("tos.rtd",,"VOLUME","."&amp;Q$2&amp;Q$1&amp;"C"&amp;$A37)*RTD("tos.rtd",,"GAMMA","."&amp;Q$2&amp;Q$1&amp;"C"&amp;$A37)+$A$4*$A$4*RTD("tos.rtd",,"VOLUME","."&amp;Q$2&amp;Q$1&amp;"P"&amp;$A37)*RTD("tos.rtd",,"GAMMA","."&amp;Q$2&amp;Q$1&amp;"P"&amp;$A37))/1000000,($A$4*$A$4*RTD("tos.rtd",,"VOLUME","."&amp;Q$2&amp;Q$1&amp;"C"&amp;$A37)*RTD("tos.rtd",,"GAMMA","."&amp;Q$2&amp;Q$1&amp;"C"&amp;$A37)-$A$4*$A$4*RTD("tos.rtd",,"VOLUME","."&amp;Q$2&amp;Q$1&amp;"P"&amp;$A37)*RTD("tos.rtd",,"GAMMA","."&amp;Q$2&amp;Q$1&amp;"P"&amp;$A37))/1000000),0),IF($A$2="GEX",IFERROR(IF($X$1="ABS",($A$4*$A$4*RTD("tos.rtd",,"OPEN_INT","."&amp;Q$2&amp;Q$1&amp;"C"&amp;$A37)*RTD("tos.rtd",,"GAMMA","."&amp;Q$2&amp;Q$1&amp;"C"&amp;$A37)+$A$4*$A$4*RTD("tos.rtd",,"OPEN_INT","."&amp;Q$2&amp;Q$1&amp;"P"&amp;$A37)*RTD("tos.rtd",,"GAMMA","."&amp;Q$2&amp;Q$1&amp;"P"&amp;$A37))/1000000,($A$4*$A$4*RTD("tos.rtd",,"OPEN_INT","."&amp;Q$2&amp;Q$1&amp;"C"&amp;$A37)*RTD("tos.rtd",,"GAMMA","."&amp;Q$2&amp;Q$1&amp;"C"&amp;$A37)-$A$4*$A$4*RTD("tos.rtd",,"OPEN_INT","."&amp;Q$2&amp;Q$1&amp;"P"&amp;$A37)*RTD("tos.rtd",,"GAMMA","."&amp;Q$2&amp;Q$1&amp;"P"&amp;$A37))/1000000),0),IF($A$2="SKEW",IFERROR(VALUE(IF(RTD("tos.rtd",,"IMPL_VOL","."&amp;Q$2&amp;Q$1&amp;"P"&amp;$A37)="N/A",0,RTD("tos.rtd",,"IMPL_VOL","."&amp;Q$2&amp;Q$1&amp;"P"&amp;$A37))),0)-IFERROR(VALUE(IF(RTD("tos.rtd",,"IMPL_VOL","."&amp;Q$2&amp;Q$1&amp;"C"&amp;$A37)="N/A",0,RTD("tos.rtd",,"IMPL_VOL","."&amp;Q$2&amp;Q$1&amp;"C"&amp;$A37))),0),IF($A$2="MAXPAIN",IF($A$4&gt;$A37,($A$4-$A37)*IF(RTD("tos.rtd",,"OPEN_INT","."&amp;Q$2&amp;Q$1&amp;"C"&amp;$A37)="N/A",0,RTD("tos.rtd",,"OPEN_INT","."&amp;Q$2&amp;Q$1&amp;"C"&amp;$A37)),0)+IF($A$4&lt;$A37,($A$5-$A$4)*IF(RTD("tos.rtd",,"OPEN_INT","."&amp;Q$2&amp;Q$1&amp;"P"&amp;$A37)="N/A",0,RTD("tos.rtd",,"OPEN_INT","."&amp;Q$2&amp;Q$1&amp;"P"&amp;$A37)),0),IF($X$1="ABS",IF(RTD("tos.rtd",,$A$2,"."&amp;Q$2&amp;Q$1&amp;"C"&amp;$A37)="N/A",0,RTD("tos.rtd",,$A$2,"."&amp;Q$2&amp;Q$1&amp;"C"&amp;$A37))+IF(RTD("tos.rtd",,$A$2,"."&amp;Q$2&amp;Q$1&amp;"P"&amp;$A37)="N/A",0,RTD("tos.rtd",,$A$2,"."&amp;Q$2&amp;Q$1&amp;"P"&amp;$A37)),IF(RTD("tos.rtd",,$A$2,"."&amp;Q$2&amp;Q$1&amp;"C"&amp;$A37)="N/A",0,RTD("tos.rtd",,$A$2,"."&amp;Q$2&amp;Q$1&amp;"C"&amp;$A37))-IF(RTD("tos.rtd",,$A$2,"."&amp;Q$2&amp;Q$1&amp;"P"&amp;$A37)="N/A",0,RTD("tos.rtd",,$A$2,"."&amp;Q$2&amp;Q$1&amp;"P"&amp;$A37))))))))))</f>
        <v>0</v>
      </c>
      <c r="R37" s="12">
        <f ca="1">IF($A$2="PREMIUM_OI",IFERROR(IF($X$1="ABS",(100*RTD("tos.rtd",,"OPEN_INT","."&amp;R$2&amp;R$1&amp;"C"&amp;$A37)*RTD("tos.rtd",,"LAST","."&amp;R$2&amp;R$1&amp;"C"&amp;$A37)+100*RTD("tos.rtd",,"OPEN_INT","."&amp;R$2&amp;R$1&amp;"P"&amp;$A37)*RTD("tos.rtd",,"LAST","."&amp;R$2&amp;R$1&amp;"P"&amp;$A37))/1000000,(100*RTD("tos.rtd",,"OPEN_INT","."&amp;R$2&amp;R$1&amp;"C"&amp;$A37)*RTD("tos.rtd",,"LAST","."&amp;R$2&amp;R$1&amp;"C"&amp;$A37)-100*RTD("tos.rtd",,"OPEN_INT","."&amp;R$2&amp;R$1&amp;"P"&amp;$A37)*RTD("tos.rtd",,"LAST","."&amp;R$2&amp;R$1&amp;"P"&amp;$A37))/1000000),0),IF($A$2="PREMIUM",IFERROR(IF($X$1="ABS",(100*RTD("tos.rtd",,"VOLUME","."&amp;R$2&amp;R$1&amp;"C"&amp;$A37)*RTD("tos.rtd",,"LAST","."&amp;R$2&amp;R$1&amp;"C"&amp;$A37)+100*RTD("tos.rtd",,"VOLUME","."&amp;R$2&amp;R$1&amp;"P"&amp;$A37)*RTD("tos.rtd",,"LAST","."&amp;R$2&amp;R$1&amp;"P"&amp;$A37))/1000000,(100*RTD("tos.rtd",,"VOLUME","."&amp;R$2&amp;R$1&amp;"C"&amp;$A37)*RTD("tos.rtd",,"LAST","."&amp;R$2&amp;R$1&amp;"C"&amp;$A37)-100*RTD("tos.rtd",,"VOLUME","."&amp;R$2&amp;R$1&amp;"P"&amp;$A37)*RTD("tos.rtd",,"LAST","."&amp;R$2&amp;R$1&amp;"P"&amp;$A37))/1000000),0),IF($A$2="DEX",IFERROR(IF($X$1="ABS",(100*RTD("tos.rtd",,"OPEN_INT","."&amp;R$2&amp;R$1&amp;"C"&amp;$A37)*RTD("tos.rtd",,"DELTA","."&amp;R$2&amp;R$1&amp;"C"&amp;$A37)+100*RTD("tos.rtd",,"OPEN_INT","."&amp;R$2&amp;R$1&amp;"P"&amp;$A37)*RTD("tos.rtd",,"DELTA","."&amp;R$2&amp;R$1&amp;"P"&amp;$A37))/1000,(100*RTD("tos.rtd",,"OPEN_INT","."&amp;R$2&amp;R$1&amp;"C"&amp;$A37)*RTD("tos.rtd",,"DELTA","."&amp;R$2&amp;R$1&amp;"C"&amp;$A37)-100*RTD("tos.rtd",,"OPEN_INT","."&amp;R$2&amp;R$1&amp;"P"&amp;$A37)*RTD("tos.rtd",,"DELTA","."&amp;R$2&amp;R$1&amp;"P"&amp;$A37))/1000),0),IF($A$2="VEX",IFERROR(IF($X$1="ABS",($A$4*$A$4*RTD("tos.rtd",,"VOLUME","."&amp;R$2&amp;R$1&amp;"C"&amp;$A37)*RTD("tos.rtd",,"GAMMA","."&amp;R$2&amp;R$1&amp;"C"&amp;$A37)+$A$4*$A$4*RTD("tos.rtd",,"VOLUME","."&amp;R$2&amp;R$1&amp;"P"&amp;$A37)*RTD("tos.rtd",,"GAMMA","."&amp;R$2&amp;R$1&amp;"P"&amp;$A37))/1000000,($A$4*$A$4*RTD("tos.rtd",,"VOLUME","."&amp;R$2&amp;R$1&amp;"C"&amp;$A37)*RTD("tos.rtd",,"GAMMA","."&amp;R$2&amp;R$1&amp;"C"&amp;$A37)-$A$4*$A$4*RTD("tos.rtd",,"VOLUME","."&amp;R$2&amp;R$1&amp;"P"&amp;$A37)*RTD("tos.rtd",,"GAMMA","."&amp;R$2&amp;R$1&amp;"P"&amp;$A37))/1000000),0),IF($A$2="GEX",IFERROR(IF($X$1="ABS",($A$4*$A$4*RTD("tos.rtd",,"OPEN_INT","."&amp;R$2&amp;R$1&amp;"C"&amp;$A37)*RTD("tos.rtd",,"GAMMA","."&amp;R$2&amp;R$1&amp;"C"&amp;$A37)+$A$4*$A$4*RTD("tos.rtd",,"OPEN_INT","."&amp;R$2&amp;R$1&amp;"P"&amp;$A37)*RTD("tos.rtd",,"GAMMA","."&amp;R$2&amp;R$1&amp;"P"&amp;$A37))/1000000,($A$4*$A$4*RTD("tos.rtd",,"OPEN_INT","."&amp;R$2&amp;R$1&amp;"C"&amp;$A37)*RTD("tos.rtd",,"GAMMA","."&amp;R$2&amp;R$1&amp;"C"&amp;$A37)-$A$4*$A$4*RTD("tos.rtd",,"OPEN_INT","."&amp;R$2&amp;R$1&amp;"P"&amp;$A37)*RTD("tos.rtd",,"GAMMA","."&amp;R$2&amp;R$1&amp;"P"&amp;$A37))/1000000),0),IF($A$2="SKEW",IFERROR(VALUE(IF(RTD("tos.rtd",,"IMPL_VOL","."&amp;R$2&amp;R$1&amp;"P"&amp;$A37)="N/A",0,RTD("tos.rtd",,"IMPL_VOL","."&amp;R$2&amp;R$1&amp;"P"&amp;$A37))),0)-IFERROR(VALUE(IF(RTD("tos.rtd",,"IMPL_VOL","."&amp;R$2&amp;R$1&amp;"C"&amp;$A37)="N/A",0,RTD("tos.rtd",,"IMPL_VOL","."&amp;R$2&amp;R$1&amp;"C"&amp;$A37))),0),IF($A$2="MAXPAIN",IF($A$4&gt;$A37,($A$4-$A37)*IF(RTD("tos.rtd",,"OPEN_INT","."&amp;R$2&amp;R$1&amp;"C"&amp;$A37)="N/A",0,RTD("tos.rtd",,"OPEN_INT","."&amp;R$2&amp;R$1&amp;"C"&amp;$A37)),0)+IF($A$4&lt;$A37,($A$5-$A$4)*IF(RTD("tos.rtd",,"OPEN_INT","."&amp;R$2&amp;R$1&amp;"P"&amp;$A37)="N/A",0,RTD("tos.rtd",,"OPEN_INT","."&amp;R$2&amp;R$1&amp;"P"&amp;$A37)),0),IF($X$1="ABS",IF(RTD("tos.rtd",,$A$2,"."&amp;R$2&amp;R$1&amp;"C"&amp;$A37)="N/A",0,RTD("tos.rtd",,$A$2,"."&amp;R$2&amp;R$1&amp;"C"&amp;$A37))+IF(RTD("tos.rtd",,$A$2,"."&amp;R$2&amp;R$1&amp;"P"&amp;$A37)="N/A",0,RTD("tos.rtd",,$A$2,"."&amp;R$2&amp;R$1&amp;"P"&amp;$A37)),IF(RTD("tos.rtd",,$A$2,"."&amp;R$2&amp;R$1&amp;"C"&amp;$A37)="N/A",0,RTD("tos.rtd",,$A$2,"."&amp;R$2&amp;R$1&amp;"C"&amp;$A37))-IF(RTD("tos.rtd",,$A$2,"."&amp;R$2&amp;R$1&amp;"P"&amp;$A37)="N/A",0,RTD("tos.rtd",,$A$2,"."&amp;R$2&amp;R$1&amp;"P"&amp;$A37))))))))))</f>
        <v>0</v>
      </c>
      <c r="S37" s="12">
        <f ca="1">IF($A$2="PREMIUM_OI",IFERROR(IF($X$1="ABS",(100*RTD("tos.rtd",,"OPEN_INT","."&amp;S$2&amp;S$1&amp;"C"&amp;$A37)*RTD("tos.rtd",,"LAST","."&amp;S$2&amp;S$1&amp;"C"&amp;$A37)+100*RTD("tos.rtd",,"OPEN_INT","."&amp;S$2&amp;S$1&amp;"P"&amp;$A37)*RTD("tos.rtd",,"LAST","."&amp;S$2&amp;S$1&amp;"P"&amp;$A37))/1000000,(100*RTD("tos.rtd",,"OPEN_INT","."&amp;S$2&amp;S$1&amp;"C"&amp;$A37)*RTD("tos.rtd",,"LAST","."&amp;S$2&amp;S$1&amp;"C"&amp;$A37)-100*RTD("tos.rtd",,"OPEN_INT","."&amp;S$2&amp;S$1&amp;"P"&amp;$A37)*RTD("tos.rtd",,"LAST","."&amp;S$2&amp;S$1&amp;"P"&amp;$A37))/1000000),0),IF($A$2="PREMIUM",IFERROR(IF($X$1="ABS",(100*RTD("tos.rtd",,"VOLUME","."&amp;S$2&amp;S$1&amp;"C"&amp;$A37)*RTD("tos.rtd",,"LAST","."&amp;S$2&amp;S$1&amp;"C"&amp;$A37)+100*RTD("tos.rtd",,"VOLUME","."&amp;S$2&amp;S$1&amp;"P"&amp;$A37)*RTD("tos.rtd",,"LAST","."&amp;S$2&amp;S$1&amp;"P"&amp;$A37))/1000000,(100*RTD("tos.rtd",,"VOLUME","."&amp;S$2&amp;S$1&amp;"C"&amp;$A37)*RTD("tos.rtd",,"LAST","."&amp;S$2&amp;S$1&amp;"C"&amp;$A37)-100*RTD("tos.rtd",,"VOLUME","."&amp;S$2&amp;S$1&amp;"P"&amp;$A37)*RTD("tos.rtd",,"LAST","."&amp;S$2&amp;S$1&amp;"P"&amp;$A37))/1000000),0),IF($A$2="DEX",IFERROR(IF($X$1="ABS",(100*RTD("tos.rtd",,"OPEN_INT","."&amp;S$2&amp;S$1&amp;"C"&amp;$A37)*RTD("tos.rtd",,"DELTA","."&amp;S$2&amp;S$1&amp;"C"&amp;$A37)+100*RTD("tos.rtd",,"OPEN_INT","."&amp;S$2&amp;S$1&amp;"P"&amp;$A37)*RTD("tos.rtd",,"DELTA","."&amp;S$2&amp;S$1&amp;"P"&amp;$A37))/1000,(100*RTD("tos.rtd",,"OPEN_INT","."&amp;S$2&amp;S$1&amp;"C"&amp;$A37)*RTD("tos.rtd",,"DELTA","."&amp;S$2&amp;S$1&amp;"C"&amp;$A37)-100*RTD("tos.rtd",,"OPEN_INT","."&amp;S$2&amp;S$1&amp;"P"&amp;$A37)*RTD("tos.rtd",,"DELTA","."&amp;S$2&amp;S$1&amp;"P"&amp;$A37))/1000),0),IF($A$2="VEX",IFERROR(IF($X$1="ABS",($A$4*$A$4*RTD("tos.rtd",,"VOLUME","."&amp;S$2&amp;S$1&amp;"C"&amp;$A37)*RTD("tos.rtd",,"GAMMA","."&amp;S$2&amp;S$1&amp;"C"&amp;$A37)+$A$4*$A$4*RTD("tos.rtd",,"VOLUME","."&amp;S$2&amp;S$1&amp;"P"&amp;$A37)*RTD("tos.rtd",,"GAMMA","."&amp;S$2&amp;S$1&amp;"P"&amp;$A37))/1000000,($A$4*$A$4*RTD("tos.rtd",,"VOLUME","."&amp;S$2&amp;S$1&amp;"C"&amp;$A37)*RTD("tos.rtd",,"GAMMA","."&amp;S$2&amp;S$1&amp;"C"&amp;$A37)-$A$4*$A$4*RTD("tos.rtd",,"VOLUME","."&amp;S$2&amp;S$1&amp;"P"&amp;$A37)*RTD("tos.rtd",,"GAMMA","."&amp;S$2&amp;S$1&amp;"P"&amp;$A37))/1000000),0),IF($A$2="GEX",IFERROR(IF($X$1="ABS",($A$4*$A$4*RTD("tos.rtd",,"OPEN_INT","."&amp;S$2&amp;S$1&amp;"C"&amp;$A37)*RTD("tos.rtd",,"GAMMA","."&amp;S$2&amp;S$1&amp;"C"&amp;$A37)+$A$4*$A$4*RTD("tos.rtd",,"OPEN_INT","."&amp;S$2&amp;S$1&amp;"P"&amp;$A37)*RTD("tos.rtd",,"GAMMA","."&amp;S$2&amp;S$1&amp;"P"&amp;$A37))/1000000,($A$4*$A$4*RTD("tos.rtd",,"OPEN_INT","."&amp;S$2&amp;S$1&amp;"C"&amp;$A37)*RTD("tos.rtd",,"GAMMA","."&amp;S$2&amp;S$1&amp;"C"&amp;$A37)-$A$4*$A$4*RTD("tos.rtd",,"OPEN_INT","."&amp;S$2&amp;S$1&amp;"P"&amp;$A37)*RTD("tos.rtd",,"GAMMA","."&amp;S$2&amp;S$1&amp;"P"&amp;$A37))/1000000),0),IF($A$2="SKEW",IFERROR(VALUE(IF(RTD("tos.rtd",,"IMPL_VOL","."&amp;S$2&amp;S$1&amp;"P"&amp;$A37)="N/A",0,RTD("tos.rtd",,"IMPL_VOL","."&amp;S$2&amp;S$1&amp;"P"&amp;$A37))),0)-IFERROR(VALUE(IF(RTD("tos.rtd",,"IMPL_VOL","."&amp;S$2&amp;S$1&amp;"C"&amp;$A37)="N/A",0,RTD("tos.rtd",,"IMPL_VOL","."&amp;S$2&amp;S$1&amp;"C"&amp;$A37))),0),IF($A$2="MAXPAIN",IF($A$4&gt;$A37,($A$4-$A37)*IF(RTD("tos.rtd",,"OPEN_INT","."&amp;S$2&amp;S$1&amp;"C"&amp;$A37)="N/A",0,RTD("tos.rtd",,"OPEN_INT","."&amp;S$2&amp;S$1&amp;"C"&amp;$A37)),0)+IF($A$4&lt;$A37,($A$5-$A$4)*IF(RTD("tos.rtd",,"OPEN_INT","."&amp;S$2&amp;S$1&amp;"P"&amp;$A37)="N/A",0,RTD("tos.rtd",,"OPEN_INT","."&amp;S$2&amp;S$1&amp;"P"&amp;$A37)),0),IF($X$1="ABS",IF(RTD("tos.rtd",,$A$2,"."&amp;S$2&amp;S$1&amp;"C"&amp;$A37)="N/A",0,RTD("tos.rtd",,$A$2,"."&amp;S$2&amp;S$1&amp;"C"&amp;$A37))+IF(RTD("tos.rtd",,$A$2,"."&amp;S$2&amp;S$1&amp;"P"&amp;$A37)="N/A",0,RTD("tos.rtd",,$A$2,"."&amp;S$2&amp;S$1&amp;"P"&amp;$A37)),IF(RTD("tos.rtd",,$A$2,"."&amp;S$2&amp;S$1&amp;"C"&amp;$A37)="N/A",0,RTD("tos.rtd",,$A$2,"."&amp;S$2&amp;S$1&amp;"C"&amp;$A37))-IF(RTD("tos.rtd",,$A$2,"."&amp;S$2&amp;S$1&amp;"P"&amp;$A37)="N/A",0,RTD("tos.rtd",,$A$2,"."&amp;S$2&amp;S$1&amp;"P"&amp;$A37))))))))))</f>
        <v>0</v>
      </c>
      <c r="T37" s="12">
        <f ca="1">IF($A$2="PREMIUM_OI",IFERROR(IF($X$1="ABS",(100*RTD("tos.rtd",,"OPEN_INT","."&amp;T$2&amp;T$1&amp;"C"&amp;$A37)*RTD("tos.rtd",,"LAST","."&amp;T$2&amp;T$1&amp;"C"&amp;$A37)+100*RTD("tos.rtd",,"OPEN_INT","."&amp;T$2&amp;T$1&amp;"P"&amp;$A37)*RTD("tos.rtd",,"LAST","."&amp;T$2&amp;T$1&amp;"P"&amp;$A37))/1000000,(100*RTD("tos.rtd",,"OPEN_INT","."&amp;T$2&amp;T$1&amp;"C"&amp;$A37)*RTD("tos.rtd",,"LAST","."&amp;T$2&amp;T$1&amp;"C"&amp;$A37)-100*RTD("tos.rtd",,"OPEN_INT","."&amp;T$2&amp;T$1&amp;"P"&amp;$A37)*RTD("tos.rtd",,"LAST","."&amp;T$2&amp;T$1&amp;"P"&amp;$A37))/1000000),0),IF($A$2="PREMIUM",IFERROR(IF($X$1="ABS",(100*RTD("tos.rtd",,"VOLUME","."&amp;T$2&amp;T$1&amp;"C"&amp;$A37)*RTD("tos.rtd",,"LAST","."&amp;T$2&amp;T$1&amp;"C"&amp;$A37)+100*RTD("tos.rtd",,"VOLUME","."&amp;T$2&amp;T$1&amp;"P"&amp;$A37)*RTD("tos.rtd",,"LAST","."&amp;T$2&amp;T$1&amp;"P"&amp;$A37))/1000000,(100*RTD("tos.rtd",,"VOLUME","."&amp;T$2&amp;T$1&amp;"C"&amp;$A37)*RTD("tos.rtd",,"LAST","."&amp;T$2&amp;T$1&amp;"C"&amp;$A37)-100*RTD("tos.rtd",,"VOLUME","."&amp;T$2&amp;T$1&amp;"P"&amp;$A37)*RTD("tos.rtd",,"LAST","."&amp;T$2&amp;T$1&amp;"P"&amp;$A37))/1000000),0),IF($A$2="DEX",IFERROR(IF($X$1="ABS",(100*RTD("tos.rtd",,"OPEN_INT","."&amp;T$2&amp;T$1&amp;"C"&amp;$A37)*RTD("tos.rtd",,"DELTA","."&amp;T$2&amp;T$1&amp;"C"&amp;$A37)+100*RTD("tos.rtd",,"OPEN_INT","."&amp;T$2&amp;T$1&amp;"P"&amp;$A37)*RTD("tos.rtd",,"DELTA","."&amp;T$2&amp;T$1&amp;"P"&amp;$A37))/1000,(100*RTD("tos.rtd",,"OPEN_INT","."&amp;T$2&amp;T$1&amp;"C"&amp;$A37)*RTD("tos.rtd",,"DELTA","."&amp;T$2&amp;T$1&amp;"C"&amp;$A37)-100*RTD("tos.rtd",,"OPEN_INT","."&amp;T$2&amp;T$1&amp;"P"&amp;$A37)*RTD("tos.rtd",,"DELTA","."&amp;T$2&amp;T$1&amp;"P"&amp;$A37))/1000),0),IF($A$2="VEX",IFERROR(IF($X$1="ABS",($A$4*$A$4*RTD("tos.rtd",,"VOLUME","."&amp;T$2&amp;T$1&amp;"C"&amp;$A37)*RTD("tos.rtd",,"GAMMA","."&amp;T$2&amp;T$1&amp;"C"&amp;$A37)+$A$4*$A$4*RTD("tos.rtd",,"VOLUME","."&amp;T$2&amp;T$1&amp;"P"&amp;$A37)*RTD("tos.rtd",,"GAMMA","."&amp;T$2&amp;T$1&amp;"P"&amp;$A37))/1000000,($A$4*$A$4*RTD("tos.rtd",,"VOLUME","."&amp;T$2&amp;T$1&amp;"C"&amp;$A37)*RTD("tos.rtd",,"GAMMA","."&amp;T$2&amp;T$1&amp;"C"&amp;$A37)-$A$4*$A$4*RTD("tos.rtd",,"VOLUME","."&amp;T$2&amp;T$1&amp;"P"&amp;$A37)*RTD("tos.rtd",,"GAMMA","."&amp;T$2&amp;T$1&amp;"P"&amp;$A37))/1000000),0),IF($A$2="GEX",IFERROR(IF($X$1="ABS",($A$4*$A$4*RTD("tos.rtd",,"OPEN_INT","."&amp;T$2&amp;T$1&amp;"C"&amp;$A37)*RTD("tos.rtd",,"GAMMA","."&amp;T$2&amp;T$1&amp;"C"&amp;$A37)+$A$4*$A$4*RTD("tos.rtd",,"OPEN_INT","."&amp;T$2&amp;T$1&amp;"P"&amp;$A37)*RTD("tos.rtd",,"GAMMA","."&amp;T$2&amp;T$1&amp;"P"&amp;$A37))/1000000,($A$4*$A$4*RTD("tos.rtd",,"OPEN_INT","."&amp;T$2&amp;T$1&amp;"C"&amp;$A37)*RTD("tos.rtd",,"GAMMA","."&amp;T$2&amp;T$1&amp;"C"&amp;$A37)-$A$4*$A$4*RTD("tos.rtd",,"OPEN_INT","."&amp;T$2&amp;T$1&amp;"P"&amp;$A37)*RTD("tos.rtd",,"GAMMA","."&amp;T$2&amp;T$1&amp;"P"&amp;$A37))/1000000),0),IF($A$2="SKEW",IFERROR(VALUE(IF(RTD("tos.rtd",,"IMPL_VOL","."&amp;T$2&amp;T$1&amp;"P"&amp;$A37)="N/A",0,RTD("tos.rtd",,"IMPL_VOL","."&amp;T$2&amp;T$1&amp;"P"&amp;$A37))),0)-IFERROR(VALUE(IF(RTD("tos.rtd",,"IMPL_VOL","."&amp;T$2&amp;T$1&amp;"C"&amp;$A37)="N/A",0,RTD("tos.rtd",,"IMPL_VOL","."&amp;T$2&amp;T$1&amp;"C"&amp;$A37))),0),IF($A$2="MAXPAIN",IF($A$4&gt;$A37,($A$4-$A37)*IF(RTD("tos.rtd",,"OPEN_INT","."&amp;T$2&amp;T$1&amp;"C"&amp;$A37)="N/A",0,RTD("tos.rtd",,"OPEN_INT","."&amp;T$2&amp;T$1&amp;"C"&amp;$A37)),0)+IF($A$4&lt;$A37,($A$5-$A$4)*IF(RTD("tos.rtd",,"OPEN_INT","."&amp;T$2&amp;T$1&amp;"P"&amp;$A37)="N/A",0,RTD("tos.rtd",,"OPEN_INT","."&amp;T$2&amp;T$1&amp;"P"&amp;$A37)),0),IF($X$1="ABS",IF(RTD("tos.rtd",,$A$2,"."&amp;T$2&amp;T$1&amp;"C"&amp;$A37)="N/A",0,RTD("tos.rtd",,$A$2,"."&amp;T$2&amp;T$1&amp;"C"&amp;$A37))+IF(RTD("tos.rtd",,$A$2,"."&amp;T$2&amp;T$1&amp;"P"&amp;$A37)="N/A",0,RTD("tos.rtd",,$A$2,"."&amp;T$2&amp;T$1&amp;"P"&amp;$A37)),IF(RTD("tos.rtd",,$A$2,"."&amp;T$2&amp;T$1&amp;"C"&amp;$A37)="N/A",0,RTD("tos.rtd",,$A$2,"."&amp;T$2&amp;T$1&amp;"C"&amp;$A37))-IF(RTD("tos.rtd",,$A$2,"."&amp;T$2&amp;T$1&amp;"P"&amp;$A37)="N/A",0,RTD("tos.rtd",,$A$2,"."&amp;T$2&amp;T$1&amp;"P"&amp;$A37))))))))))</f>
        <v>0</v>
      </c>
      <c r="U37" s="12">
        <f ca="1">IF($A$2="PREMIUM_OI",IFERROR(IF($X$1="ABS",(100*RTD("tos.rtd",,"OPEN_INT","."&amp;U$2&amp;U$1&amp;"C"&amp;$A37)*RTD("tos.rtd",,"LAST","."&amp;U$2&amp;U$1&amp;"C"&amp;$A37)+100*RTD("tos.rtd",,"OPEN_INT","."&amp;U$2&amp;U$1&amp;"P"&amp;$A37)*RTD("tos.rtd",,"LAST","."&amp;U$2&amp;U$1&amp;"P"&amp;$A37))/1000000,(100*RTD("tos.rtd",,"OPEN_INT","."&amp;U$2&amp;U$1&amp;"C"&amp;$A37)*RTD("tos.rtd",,"LAST","."&amp;U$2&amp;U$1&amp;"C"&amp;$A37)-100*RTD("tos.rtd",,"OPEN_INT","."&amp;U$2&amp;U$1&amp;"P"&amp;$A37)*RTD("tos.rtd",,"LAST","."&amp;U$2&amp;U$1&amp;"P"&amp;$A37))/1000000),0),IF($A$2="PREMIUM",IFERROR(IF($X$1="ABS",(100*RTD("tos.rtd",,"VOLUME","."&amp;U$2&amp;U$1&amp;"C"&amp;$A37)*RTD("tos.rtd",,"LAST","."&amp;U$2&amp;U$1&amp;"C"&amp;$A37)+100*RTD("tos.rtd",,"VOLUME","."&amp;U$2&amp;U$1&amp;"P"&amp;$A37)*RTD("tos.rtd",,"LAST","."&amp;U$2&amp;U$1&amp;"P"&amp;$A37))/1000000,(100*RTD("tos.rtd",,"VOLUME","."&amp;U$2&amp;U$1&amp;"C"&amp;$A37)*RTD("tos.rtd",,"LAST","."&amp;U$2&amp;U$1&amp;"C"&amp;$A37)-100*RTD("tos.rtd",,"VOLUME","."&amp;U$2&amp;U$1&amp;"P"&amp;$A37)*RTD("tos.rtd",,"LAST","."&amp;U$2&amp;U$1&amp;"P"&amp;$A37))/1000000),0),IF($A$2="DEX",IFERROR(IF($X$1="ABS",(100*RTD("tos.rtd",,"OPEN_INT","."&amp;U$2&amp;U$1&amp;"C"&amp;$A37)*RTD("tos.rtd",,"DELTA","."&amp;U$2&amp;U$1&amp;"C"&amp;$A37)+100*RTD("tos.rtd",,"OPEN_INT","."&amp;U$2&amp;U$1&amp;"P"&amp;$A37)*RTD("tos.rtd",,"DELTA","."&amp;U$2&amp;U$1&amp;"P"&amp;$A37))/1000,(100*RTD("tos.rtd",,"OPEN_INT","."&amp;U$2&amp;U$1&amp;"C"&amp;$A37)*RTD("tos.rtd",,"DELTA","."&amp;U$2&amp;U$1&amp;"C"&amp;$A37)-100*RTD("tos.rtd",,"OPEN_INT","."&amp;U$2&amp;U$1&amp;"P"&amp;$A37)*RTD("tos.rtd",,"DELTA","."&amp;U$2&amp;U$1&amp;"P"&amp;$A37))/1000),0),IF($A$2="VEX",IFERROR(IF($X$1="ABS",($A$4*$A$4*RTD("tos.rtd",,"VOLUME","."&amp;U$2&amp;U$1&amp;"C"&amp;$A37)*RTD("tos.rtd",,"GAMMA","."&amp;U$2&amp;U$1&amp;"C"&amp;$A37)+$A$4*$A$4*RTD("tos.rtd",,"VOLUME","."&amp;U$2&amp;U$1&amp;"P"&amp;$A37)*RTD("tos.rtd",,"GAMMA","."&amp;U$2&amp;U$1&amp;"P"&amp;$A37))/1000000,($A$4*$A$4*RTD("tos.rtd",,"VOLUME","."&amp;U$2&amp;U$1&amp;"C"&amp;$A37)*RTD("tos.rtd",,"GAMMA","."&amp;U$2&amp;U$1&amp;"C"&amp;$A37)-$A$4*$A$4*RTD("tos.rtd",,"VOLUME","."&amp;U$2&amp;U$1&amp;"P"&amp;$A37)*RTD("tos.rtd",,"GAMMA","."&amp;U$2&amp;U$1&amp;"P"&amp;$A37))/1000000),0),IF($A$2="GEX",IFERROR(IF($X$1="ABS",($A$4*$A$4*RTD("tos.rtd",,"OPEN_INT","."&amp;U$2&amp;U$1&amp;"C"&amp;$A37)*RTD("tos.rtd",,"GAMMA","."&amp;U$2&amp;U$1&amp;"C"&amp;$A37)+$A$4*$A$4*RTD("tos.rtd",,"OPEN_INT","."&amp;U$2&amp;U$1&amp;"P"&amp;$A37)*RTD("tos.rtd",,"GAMMA","."&amp;U$2&amp;U$1&amp;"P"&amp;$A37))/1000000,($A$4*$A$4*RTD("tos.rtd",,"OPEN_INT","."&amp;U$2&amp;U$1&amp;"C"&amp;$A37)*RTD("tos.rtd",,"GAMMA","."&amp;U$2&amp;U$1&amp;"C"&amp;$A37)-$A$4*$A$4*RTD("tos.rtd",,"OPEN_INT","."&amp;U$2&amp;U$1&amp;"P"&amp;$A37)*RTD("tos.rtd",,"GAMMA","."&amp;U$2&amp;U$1&amp;"P"&amp;$A37))/1000000),0),IF($A$2="SKEW",IFERROR(VALUE(IF(RTD("tos.rtd",,"IMPL_VOL","."&amp;U$2&amp;U$1&amp;"P"&amp;$A37)="N/A",0,RTD("tos.rtd",,"IMPL_VOL","."&amp;U$2&amp;U$1&amp;"P"&amp;$A37))),0)-IFERROR(VALUE(IF(RTD("tos.rtd",,"IMPL_VOL","."&amp;U$2&amp;U$1&amp;"C"&amp;$A37)="N/A",0,RTD("tos.rtd",,"IMPL_VOL","."&amp;U$2&amp;U$1&amp;"C"&amp;$A37))),0),IF($A$2="MAXPAIN",IF($A$4&gt;$A37,($A$4-$A37)*IF(RTD("tos.rtd",,"OPEN_INT","."&amp;U$2&amp;U$1&amp;"C"&amp;$A37)="N/A",0,RTD("tos.rtd",,"OPEN_INT","."&amp;U$2&amp;U$1&amp;"C"&amp;$A37)),0)+IF($A$4&lt;$A37,($A$5-$A$4)*IF(RTD("tos.rtd",,"OPEN_INT","."&amp;U$2&amp;U$1&amp;"P"&amp;$A37)="N/A",0,RTD("tos.rtd",,"OPEN_INT","."&amp;U$2&amp;U$1&amp;"P"&amp;$A37)),0),IF($X$1="ABS",IF(RTD("tos.rtd",,$A$2,"."&amp;U$2&amp;U$1&amp;"C"&amp;$A37)="N/A",0,RTD("tos.rtd",,$A$2,"."&amp;U$2&amp;U$1&amp;"C"&amp;$A37))+IF(RTD("tos.rtd",,$A$2,"."&amp;U$2&amp;U$1&amp;"P"&amp;$A37)="N/A",0,RTD("tos.rtd",,$A$2,"."&amp;U$2&amp;U$1&amp;"P"&amp;$A37)),IF(RTD("tos.rtd",,$A$2,"."&amp;U$2&amp;U$1&amp;"C"&amp;$A37)="N/A",0,RTD("tos.rtd",,$A$2,"."&amp;U$2&amp;U$1&amp;"C"&amp;$A37))-IF(RTD("tos.rtd",,$A$2,"."&amp;U$2&amp;U$1&amp;"P"&amp;$A37)="N/A",0,RTD("tos.rtd",,$A$2,"."&amp;U$2&amp;U$1&amp;"P"&amp;$A37))))))))))</f>
        <v>0</v>
      </c>
      <c r="V37" s="12">
        <f ca="1">IF($A$2="PREMIUM_OI",IFERROR(IF($X$1="ABS",(100*RTD("tos.rtd",,"OPEN_INT","."&amp;V$2&amp;V$1&amp;"C"&amp;$A37)*RTD("tos.rtd",,"LAST","."&amp;V$2&amp;V$1&amp;"C"&amp;$A37)+100*RTD("tos.rtd",,"OPEN_INT","."&amp;V$2&amp;V$1&amp;"P"&amp;$A37)*RTD("tos.rtd",,"LAST","."&amp;V$2&amp;V$1&amp;"P"&amp;$A37))/1000000,(100*RTD("tos.rtd",,"OPEN_INT","."&amp;V$2&amp;V$1&amp;"C"&amp;$A37)*RTD("tos.rtd",,"LAST","."&amp;V$2&amp;V$1&amp;"C"&amp;$A37)-100*RTD("tos.rtd",,"OPEN_INT","."&amp;V$2&amp;V$1&amp;"P"&amp;$A37)*RTD("tos.rtd",,"LAST","."&amp;V$2&amp;V$1&amp;"P"&amp;$A37))/1000000),0),IF($A$2="PREMIUM",IFERROR(IF($X$1="ABS",(100*RTD("tos.rtd",,"VOLUME","."&amp;V$2&amp;V$1&amp;"C"&amp;$A37)*RTD("tos.rtd",,"LAST","."&amp;V$2&amp;V$1&amp;"C"&amp;$A37)+100*RTD("tos.rtd",,"VOLUME","."&amp;V$2&amp;V$1&amp;"P"&amp;$A37)*RTD("tos.rtd",,"LAST","."&amp;V$2&amp;V$1&amp;"P"&amp;$A37))/1000000,(100*RTD("tos.rtd",,"VOLUME","."&amp;V$2&amp;V$1&amp;"C"&amp;$A37)*RTD("tos.rtd",,"LAST","."&amp;V$2&amp;V$1&amp;"C"&amp;$A37)-100*RTD("tos.rtd",,"VOLUME","."&amp;V$2&amp;V$1&amp;"P"&amp;$A37)*RTD("tos.rtd",,"LAST","."&amp;V$2&amp;V$1&amp;"P"&amp;$A37))/1000000),0),IF($A$2="DEX",IFERROR(IF($X$1="ABS",(100*RTD("tos.rtd",,"OPEN_INT","."&amp;V$2&amp;V$1&amp;"C"&amp;$A37)*RTD("tos.rtd",,"DELTA","."&amp;V$2&amp;V$1&amp;"C"&amp;$A37)+100*RTD("tos.rtd",,"OPEN_INT","."&amp;V$2&amp;V$1&amp;"P"&amp;$A37)*RTD("tos.rtd",,"DELTA","."&amp;V$2&amp;V$1&amp;"P"&amp;$A37))/1000,(100*RTD("tos.rtd",,"OPEN_INT","."&amp;V$2&amp;V$1&amp;"C"&amp;$A37)*RTD("tos.rtd",,"DELTA","."&amp;V$2&amp;V$1&amp;"C"&amp;$A37)-100*RTD("tos.rtd",,"OPEN_INT","."&amp;V$2&amp;V$1&amp;"P"&amp;$A37)*RTD("tos.rtd",,"DELTA","."&amp;V$2&amp;V$1&amp;"P"&amp;$A37))/1000),0),IF($A$2="VEX",IFERROR(IF($X$1="ABS",($A$4*$A$4*RTD("tos.rtd",,"VOLUME","."&amp;V$2&amp;V$1&amp;"C"&amp;$A37)*RTD("tos.rtd",,"GAMMA","."&amp;V$2&amp;V$1&amp;"C"&amp;$A37)+$A$4*$A$4*RTD("tos.rtd",,"VOLUME","."&amp;V$2&amp;V$1&amp;"P"&amp;$A37)*RTD("tos.rtd",,"GAMMA","."&amp;V$2&amp;V$1&amp;"P"&amp;$A37))/1000000,($A$4*$A$4*RTD("tos.rtd",,"VOLUME","."&amp;V$2&amp;V$1&amp;"C"&amp;$A37)*RTD("tos.rtd",,"GAMMA","."&amp;V$2&amp;V$1&amp;"C"&amp;$A37)-$A$4*$A$4*RTD("tos.rtd",,"VOLUME","."&amp;V$2&amp;V$1&amp;"P"&amp;$A37)*RTD("tos.rtd",,"GAMMA","."&amp;V$2&amp;V$1&amp;"P"&amp;$A37))/1000000),0),IF($A$2="GEX",IFERROR(IF($X$1="ABS",($A$4*$A$4*RTD("tos.rtd",,"OPEN_INT","."&amp;V$2&amp;V$1&amp;"C"&amp;$A37)*RTD("tos.rtd",,"GAMMA","."&amp;V$2&amp;V$1&amp;"C"&amp;$A37)+$A$4*$A$4*RTD("tos.rtd",,"OPEN_INT","."&amp;V$2&amp;V$1&amp;"P"&amp;$A37)*RTD("tos.rtd",,"GAMMA","."&amp;V$2&amp;V$1&amp;"P"&amp;$A37))/1000000,($A$4*$A$4*RTD("tos.rtd",,"OPEN_INT","."&amp;V$2&amp;V$1&amp;"C"&amp;$A37)*RTD("tos.rtd",,"GAMMA","."&amp;V$2&amp;V$1&amp;"C"&amp;$A37)-$A$4*$A$4*RTD("tos.rtd",,"OPEN_INT","."&amp;V$2&amp;V$1&amp;"P"&amp;$A37)*RTD("tos.rtd",,"GAMMA","."&amp;V$2&amp;V$1&amp;"P"&amp;$A37))/1000000),0),IF($A$2="SKEW",IFERROR(VALUE(IF(RTD("tos.rtd",,"IMPL_VOL","."&amp;V$2&amp;V$1&amp;"P"&amp;$A37)="N/A",0,RTD("tos.rtd",,"IMPL_VOL","."&amp;V$2&amp;V$1&amp;"P"&amp;$A37))),0)-IFERROR(VALUE(IF(RTD("tos.rtd",,"IMPL_VOL","."&amp;V$2&amp;V$1&amp;"C"&amp;$A37)="N/A",0,RTD("tos.rtd",,"IMPL_VOL","."&amp;V$2&amp;V$1&amp;"C"&amp;$A37))),0),IF($A$2="MAXPAIN",IF($A$4&gt;$A37,($A$4-$A37)*IF(RTD("tos.rtd",,"OPEN_INT","."&amp;V$2&amp;V$1&amp;"C"&amp;$A37)="N/A",0,RTD("tos.rtd",,"OPEN_INT","."&amp;V$2&amp;V$1&amp;"C"&amp;$A37)),0)+IF($A$4&lt;$A37,($A$5-$A$4)*IF(RTD("tos.rtd",,"OPEN_INT","."&amp;V$2&amp;V$1&amp;"P"&amp;$A37)="N/A",0,RTD("tos.rtd",,"OPEN_INT","."&amp;V$2&amp;V$1&amp;"P"&amp;$A37)),0),IF($X$1="ABS",IF(RTD("tos.rtd",,$A$2,"."&amp;V$2&amp;V$1&amp;"C"&amp;$A37)="N/A",0,RTD("tos.rtd",,$A$2,"."&amp;V$2&amp;V$1&amp;"C"&amp;$A37))+IF(RTD("tos.rtd",,$A$2,"."&amp;V$2&amp;V$1&amp;"P"&amp;$A37)="N/A",0,RTD("tos.rtd",,$A$2,"."&amp;V$2&amp;V$1&amp;"P"&amp;$A37)),IF(RTD("tos.rtd",,$A$2,"."&amp;V$2&amp;V$1&amp;"C"&amp;$A37)="N/A",0,RTD("tos.rtd",,$A$2,"."&amp;V$2&amp;V$1&amp;"C"&amp;$A37))-IF(RTD("tos.rtd",,$A$2,"."&amp;V$2&amp;V$1&amp;"P"&amp;$A37)="N/A",0,RTD("tos.rtd",,$A$2,"."&amp;V$2&amp;V$1&amp;"P"&amp;$A37))))))))))</f>
        <v>0</v>
      </c>
      <c r="W37" s="54">
        <f ca="1">IF($A$2="PREMIUM_OI",IFERROR(IF($X$1="ABS",(100*RTD("tos.rtd",,"OPEN_INT","."&amp;W$2&amp;W$1&amp;"C"&amp;$A37)*RTD("tos.rtd",,"LAST","."&amp;W$2&amp;W$1&amp;"C"&amp;$A37)+100*RTD("tos.rtd",,"OPEN_INT","."&amp;W$2&amp;W$1&amp;"P"&amp;$A37)*RTD("tos.rtd",,"LAST","."&amp;W$2&amp;W$1&amp;"P"&amp;$A37))/1000000,(100*RTD("tos.rtd",,"OPEN_INT","."&amp;W$2&amp;W$1&amp;"C"&amp;$A37)*RTD("tos.rtd",,"LAST","."&amp;W$2&amp;W$1&amp;"C"&amp;$A37)-100*RTD("tos.rtd",,"OPEN_INT","."&amp;W$2&amp;W$1&amp;"P"&amp;$A37)*RTD("tos.rtd",,"LAST","."&amp;W$2&amp;W$1&amp;"P"&amp;$A37))/1000000),0),IF($A$2="PREMIUM",IFERROR(IF($X$1="ABS",(100*RTD("tos.rtd",,"VOLUME","."&amp;W$2&amp;W$1&amp;"C"&amp;$A37)*RTD("tos.rtd",,"LAST","."&amp;W$2&amp;W$1&amp;"C"&amp;$A37)+100*RTD("tos.rtd",,"VOLUME","."&amp;W$2&amp;W$1&amp;"P"&amp;$A37)*RTD("tos.rtd",,"LAST","."&amp;W$2&amp;W$1&amp;"P"&amp;$A37))/1000000,(100*RTD("tos.rtd",,"VOLUME","."&amp;W$2&amp;W$1&amp;"C"&amp;$A37)*RTD("tos.rtd",,"LAST","."&amp;W$2&amp;W$1&amp;"C"&amp;$A37)-100*RTD("tos.rtd",,"VOLUME","."&amp;W$2&amp;W$1&amp;"P"&amp;$A37)*RTD("tos.rtd",,"LAST","."&amp;W$2&amp;W$1&amp;"P"&amp;$A37))/1000000),0),IF($A$2="DEX",IFERROR(IF($X$1="ABS",(100*RTD("tos.rtd",,"OPEN_INT","."&amp;W$2&amp;W$1&amp;"C"&amp;$A37)*RTD("tos.rtd",,"DELTA","."&amp;W$2&amp;W$1&amp;"C"&amp;$A37)+100*RTD("tos.rtd",,"OPEN_INT","."&amp;W$2&amp;W$1&amp;"P"&amp;$A37)*RTD("tos.rtd",,"DELTA","."&amp;W$2&amp;W$1&amp;"P"&amp;$A37))/1000,(100*RTD("tos.rtd",,"OPEN_INT","."&amp;W$2&amp;W$1&amp;"C"&amp;$A37)*RTD("tos.rtd",,"DELTA","."&amp;W$2&amp;W$1&amp;"C"&amp;$A37)-100*RTD("tos.rtd",,"OPEN_INT","."&amp;W$2&amp;W$1&amp;"P"&amp;$A37)*RTD("tos.rtd",,"DELTA","."&amp;W$2&amp;W$1&amp;"P"&amp;$A37))/1000),0),IF($A$2="VEX",IFERROR(IF($X$1="ABS",($A$4*$A$4*RTD("tos.rtd",,"VOLUME","."&amp;W$2&amp;W$1&amp;"C"&amp;$A37)*RTD("tos.rtd",,"GAMMA","."&amp;W$2&amp;W$1&amp;"C"&amp;$A37)+$A$4*$A$4*RTD("tos.rtd",,"VOLUME","."&amp;W$2&amp;W$1&amp;"P"&amp;$A37)*RTD("tos.rtd",,"GAMMA","."&amp;W$2&amp;W$1&amp;"P"&amp;$A37))/1000000,($A$4*$A$4*RTD("tos.rtd",,"VOLUME","."&amp;W$2&amp;W$1&amp;"C"&amp;$A37)*RTD("tos.rtd",,"GAMMA","."&amp;W$2&amp;W$1&amp;"C"&amp;$A37)-$A$4*$A$4*RTD("tos.rtd",,"VOLUME","."&amp;W$2&amp;W$1&amp;"P"&amp;$A37)*RTD("tos.rtd",,"GAMMA","."&amp;W$2&amp;W$1&amp;"P"&amp;$A37))/1000000),0),IF($A$2="GEX",IFERROR(IF($X$1="ABS",($A$4*$A$4*RTD("tos.rtd",,"OPEN_INT","."&amp;W$2&amp;W$1&amp;"C"&amp;$A37)*RTD("tos.rtd",,"GAMMA","."&amp;W$2&amp;W$1&amp;"C"&amp;$A37)+$A$4*$A$4*RTD("tos.rtd",,"OPEN_INT","."&amp;W$2&amp;W$1&amp;"P"&amp;$A37)*RTD("tos.rtd",,"GAMMA","."&amp;W$2&amp;W$1&amp;"P"&amp;$A37))/1000000,($A$4*$A$4*RTD("tos.rtd",,"OPEN_INT","."&amp;W$2&amp;W$1&amp;"C"&amp;$A37)*RTD("tos.rtd",,"GAMMA","."&amp;W$2&amp;W$1&amp;"C"&amp;$A37)-$A$4*$A$4*RTD("tos.rtd",,"OPEN_INT","."&amp;W$2&amp;W$1&amp;"P"&amp;$A37)*RTD("tos.rtd",,"GAMMA","."&amp;W$2&amp;W$1&amp;"P"&amp;$A37))/1000000),0),IF($A$2="SKEW",IFERROR(VALUE(IF(RTD("tos.rtd",,"IMPL_VOL","."&amp;W$2&amp;W$1&amp;"P"&amp;$A37)="N/A",0,RTD("tos.rtd",,"IMPL_VOL","."&amp;W$2&amp;W$1&amp;"P"&amp;$A37))),0)-IFERROR(VALUE(IF(RTD("tos.rtd",,"IMPL_VOL","."&amp;W$2&amp;W$1&amp;"C"&amp;$A37)="N/A",0,RTD("tos.rtd",,"IMPL_VOL","."&amp;W$2&amp;W$1&amp;"C"&amp;$A37))),0),IF($A$2="MAXPAIN",IF($A$4&gt;$A37,($A$4-$A37)*IF(RTD("tos.rtd",,"OPEN_INT","."&amp;W$2&amp;W$1&amp;"C"&amp;$A37)="N/A",0,RTD("tos.rtd",,"OPEN_INT","."&amp;W$2&amp;W$1&amp;"C"&amp;$A37)),0)+IF($A$4&lt;$A37,($A$5-$A$4)*IF(RTD("tos.rtd",,"OPEN_INT","."&amp;W$2&amp;W$1&amp;"P"&amp;$A37)="N/A",0,RTD("tos.rtd",,"OPEN_INT","."&amp;W$2&amp;W$1&amp;"P"&amp;$A37)),0),IF($X$1="ABS",IF(RTD("tos.rtd",,$A$2,"."&amp;W$2&amp;W$1&amp;"C"&amp;$A37)="N/A",0,RTD("tos.rtd",,$A$2,"."&amp;W$2&amp;W$1&amp;"C"&amp;$A37))+IF(RTD("tos.rtd",,$A$2,"."&amp;W$2&amp;W$1&amp;"P"&amp;$A37)="N/A",0,RTD("tos.rtd",,$A$2,"."&amp;W$2&amp;W$1&amp;"P"&amp;$A37)),IF(RTD("tos.rtd",,$A$2,"."&amp;W$2&amp;W$1&amp;"C"&amp;$A37)="N/A",0,RTD("tos.rtd",,$A$2,"."&amp;W$2&amp;W$1&amp;"C"&amp;$A37))-IF(RTD("tos.rtd",,$A$2,"."&amp;W$2&amp;W$1&amp;"P"&amp;$A37)="N/A",0,RTD("tos.rtd",,$A$2,"."&amp;W$2&amp;W$1&amp;"P"&amp;$A37))))))))))</f>
        <v>0</v>
      </c>
      <c r="X37" s="57">
        <f t="shared" ca="1" si="8"/>
        <v>0</v>
      </c>
      <c r="Y37" s="27">
        <f t="shared" ca="1" si="9"/>
        <v>0</v>
      </c>
      <c r="Z37" s="27">
        <f ca="1">+'OI-VOL'!Y37</f>
        <v>-2346</v>
      </c>
      <c r="AA37" s="27" t="b">
        <f t="shared" ca="1" si="10"/>
        <v>0</v>
      </c>
      <c r="AB37" s="27">
        <f t="shared" si="11"/>
        <v>10807750</v>
      </c>
      <c r="AC37" s="18">
        <f>MAX(0, $A37-AC$4)*IF(RTD("tos.rtd",,"OPEN_INT","."&amp;$AB$3&amp;$AB$4&amp;"C"&amp;AC$4)="N/A",0,RTD("tos.rtd",,"OPEN_INT","."&amp;$AB$3&amp;$AB$4&amp;"C"&amp;AC$4))*100 + MAX(0, AC$4-$A37)*IF(RTD("tos.rtd",,"OPEN_INT","."&amp;$AB$3&amp;$AB$4&amp;"P"&amp;AC$4)="N/A",0,RTD("tos.rtd",,"OPEN_INT","."&amp;$AB$3&amp;$AB$4&amp;"P"&amp;AC$4))*100</f>
        <v>0</v>
      </c>
      <c r="AD37" s="18">
        <f>MAX(0, $A37-AD$4)*IF(RTD("tos.rtd",,"OPEN_INT","."&amp;$AB$3&amp;$AB$4&amp;"C"&amp;AD$4)="N/A",0,RTD("tos.rtd",,"OPEN_INT","."&amp;$AB$3&amp;$AB$4&amp;"C"&amp;AD$4))*100 + MAX(0, AD$4-$A37)*IF(RTD("tos.rtd",,"OPEN_INT","."&amp;$AB$3&amp;$AB$4&amp;"P"&amp;AD$4)="N/A",0,RTD("tos.rtd",,"OPEN_INT","."&amp;$AB$3&amp;$AB$4&amp;"P"&amp;AD$4))*100</f>
        <v>0</v>
      </c>
      <c r="AE37" s="18">
        <f>MAX(0, $A37-AE$4)*IF(RTD("tos.rtd",,"OPEN_INT","."&amp;$AB$3&amp;$AB$4&amp;"C"&amp;AE$4)="N/A",0,RTD("tos.rtd",,"OPEN_INT","."&amp;$AB$3&amp;$AB$4&amp;"C"&amp;AE$4))*100 + MAX(0, AE$4-$A37)*IF(RTD("tos.rtd",,"OPEN_INT","."&amp;$AB$3&amp;$AB$4&amp;"P"&amp;AE$4)="N/A",0,RTD("tos.rtd",,"OPEN_INT","."&amp;$AB$3&amp;$AB$4&amp;"P"&amp;AE$4))*100</f>
        <v>0</v>
      </c>
      <c r="AF37" s="18">
        <f>MAX(0, $A37-AF$4)*IF(RTD("tos.rtd",,"OPEN_INT","."&amp;$AB$3&amp;$AB$4&amp;"C"&amp;AF$4)="N/A",0,RTD("tos.rtd",,"OPEN_INT","."&amp;$AB$3&amp;$AB$4&amp;"C"&amp;AF$4))*100 + MAX(0, AF$4-$A37)*IF(RTD("tos.rtd",,"OPEN_INT","."&amp;$AB$3&amp;$AB$4&amp;"P"&amp;AF$4)="N/A",0,RTD("tos.rtd",,"OPEN_INT","."&amp;$AB$3&amp;$AB$4&amp;"P"&amp;AF$4))*100</f>
        <v>0</v>
      </c>
      <c r="AG37" s="18">
        <f>MAX(0, $A37-AG$4)*IF(RTD("tos.rtd",,"OPEN_INT","."&amp;$AB$3&amp;$AB$4&amp;"C"&amp;AG$4)="N/A",0,RTD("tos.rtd",,"OPEN_INT","."&amp;$AB$3&amp;$AB$4&amp;"C"&amp;AG$4))*100 + MAX(0, AG$4-$A37)*IF(RTD("tos.rtd",,"OPEN_INT","."&amp;$AB$3&amp;$AB$4&amp;"P"&amp;AG$4)="N/A",0,RTD("tos.rtd",,"OPEN_INT","."&amp;$AB$3&amp;$AB$4&amp;"P"&amp;AG$4))*100</f>
        <v>0</v>
      </c>
      <c r="AH37" s="18">
        <f>MAX(0, $A37-AH$4)*IF(RTD("tos.rtd",,"OPEN_INT","."&amp;$AB$3&amp;$AB$4&amp;"C"&amp;AH$4)="N/A",0,RTD("tos.rtd",,"OPEN_INT","."&amp;$AB$3&amp;$AB$4&amp;"C"&amp;AH$4))*100 + MAX(0, AH$4-$A37)*IF(RTD("tos.rtd",,"OPEN_INT","."&amp;$AB$3&amp;$AB$4&amp;"P"&amp;AH$4)="N/A",0,RTD("tos.rtd",,"OPEN_INT","."&amp;$AB$3&amp;$AB$4&amp;"P"&amp;AH$4))*100</f>
        <v>0</v>
      </c>
      <c r="AI37" s="18">
        <f>MAX(0, $A37-AI$4)*IF(RTD("tos.rtd",,"OPEN_INT","."&amp;$AB$3&amp;$AB$4&amp;"C"&amp;AI$4)="N/A",0,RTD("tos.rtd",,"OPEN_INT","."&amp;$AB$3&amp;$AB$4&amp;"C"&amp;AI$4))*100 + MAX(0, AI$4-$A37)*IF(RTD("tos.rtd",,"OPEN_INT","."&amp;$AB$3&amp;$AB$4&amp;"P"&amp;AI$4)="N/A",0,RTD("tos.rtd",,"OPEN_INT","."&amp;$AB$3&amp;$AB$4&amp;"P"&amp;AI$4))*100</f>
        <v>0</v>
      </c>
      <c r="AJ37" s="18">
        <f>MAX(0, $A37-AJ$4)*IF(RTD("tos.rtd",,"OPEN_INT","."&amp;$AB$3&amp;$AB$4&amp;"C"&amp;AJ$4)="N/A",0,RTD("tos.rtd",,"OPEN_INT","."&amp;$AB$3&amp;$AB$4&amp;"C"&amp;AJ$4))*100 + MAX(0, AJ$4-$A37)*IF(RTD("tos.rtd",,"OPEN_INT","."&amp;$AB$3&amp;$AB$4&amp;"P"&amp;AJ$4)="N/A",0,RTD("tos.rtd",,"OPEN_INT","."&amp;$AB$3&amp;$AB$4&amp;"P"&amp;AJ$4))*100</f>
        <v>3750</v>
      </c>
      <c r="AK37" s="18">
        <f>MAX(0, $A37-AK$4)*IF(RTD("tos.rtd",,"OPEN_INT","."&amp;$AB$3&amp;$AB$4&amp;"C"&amp;AK$4)="N/A",0,RTD("tos.rtd",,"OPEN_INT","."&amp;$AB$3&amp;$AB$4&amp;"C"&amp;AK$4))*100 + MAX(0, AK$4-$A37)*IF(RTD("tos.rtd",,"OPEN_INT","."&amp;$AB$3&amp;$AB$4&amp;"P"&amp;AK$4)="N/A",0,RTD("tos.rtd",,"OPEN_INT","."&amp;$AB$3&amp;$AB$4&amp;"P"&amp;AK$4))*100</f>
        <v>9600</v>
      </c>
      <c r="AL37" s="18">
        <f>MAX(0, $A37-AL$4)*IF(RTD("tos.rtd",,"OPEN_INT","."&amp;$AB$3&amp;$AB$4&amp;"C"&amp;AL$4)="N/A",0,RTD("tos.rtd",,"OPEN_INT","."&amp;$AB$3&amp;$AB$4&amp;"C"&amp;AL$4))*100 + MAX(0, AL$4-$A37)*IF(RTD("tos.rtd",,"OPEN_INT","."&amp;$AB$3&amp;$AB$4&amp;"P"&amp;AL$4)="N/A",0,RTD("tos.rtd",,"OPEN_INT","."&amp;$AB$3&amp;$AB$4&amp;"P"&amp;AL$4))*100</f>
        <v>0</v>
      </c>
      <c r="AM37" s="18">
        <f>MAX(0, $A37-AM$4)*IF(RTD("tos.rtd",,"OPEN_INT","."&amp;$AB$3&amp;$AB$4&amp;"C"&amp;AM$4)="N/A",0,RTD("tos.rtd",,"OPEN_INT","."&amp;$AB$3&amp;$AB$4&amp;"C"&amp;AM$4))*100 + MAX(0, AM$4-$A37)*IF(RTD("tos.rtd",,"OPEN_INT","."&amp;$AB$3&amp;$AB$4&amp;"P"&amp;AM$4)="N/A",0,RTD("tos.rtd",,"OPEN_INT","."&amp;$AB$3&amp;$AB$4&amp;"P"&amp;AM$4))*100</f>
        <v>0</v>
      </c>
      <c r="AN37" s="18">
        <f>MAX(0, $A37-AN$4)*IF(RTD("tos.rtd",,"OPEN_INT","."&amp;$AB$3&amp;$AB$4&amp;"C"&amp;AN$4)="N/A",0,RTD("tos.rtd",,"OPEN_INT","."&amp;$AB$3&amp;$AB$4&amp;"C"&amp;AN$4))*100 + MAX(0, AN$4-$A37)*IF(RTD("tos.rtd",,"OPEN_INT","."&amp;$AB$3&amp;$AB$4&amp;"P"&amp;AN$4)="N/A",0,RTD("tos.rtd",,"OPEN_INT","."&amp;$AB$3&amp;$AB$4&amp;"P"&amp;AN$4))*100</f>
        <v>0</v>
      </c>
      <c r="AO37" s="18">
        <f>MAX(0, $A37-AO$4)*IF(RTD("tos.rtd",,"OPEN_INT","."&amp;$AB$3&amp;$AB$4&amp;"C"&amp;AO$4)="N/A",0,RTD("tos.rtd",,"OPEN_INT","."&amp;$AB$3&amp;$AB$4&amp;"C"&amp;AO$4))*100 + MAX(0, AO$4-$A37)*IF(RTD("tos.rtd",,"OPEN_INT","."&amp;$AB$3&amp;$AB$4&amp;"P"&amp;AO$4)="N/A",0,RTD("tos.rtd",,"OPEN_INT","."&amp;$AB$3&amp;$AB$4&amp;"P"&amp;AO$4))*100</f>
        <v>0</v>
      </c>
      <c r="AP37" s="18">
        <f>MAX(0, $A37-AP$4)*IF(RTD("tos.rtd",,"OPEN_INT","."&amp;$AB$3&amp;$AB$4&amp;"C"&amp;AP$4)="N/A",0,RTD("tos.rtd",,"OPEN_INT","."&amp;$AB$3&amp;$AB$4&amp;"C"&amp;AP$4))*100 + MAX(0, AP$4-$A37)*IF(RTD("tos.rtd",,"OPEN_INT","."&amp;$AB$3&amp;$AB$4&amp;"P"&amp;AP$4)="N/A",0,RTD("tos.rtd",,"OPEN_INT","."&amp;$AB$3&amp;$AB$4&amp;"P"&amp;AP$4))*100</f>
        <v>114000</v>
      </c>
      <c r="AQ37" s="18">
        <f>MAX(0, $A37-AQ$4)*IF(RTD("tos.rtd",,"OPEN_INT","."&amp;$AB$3&amp;$AB$4&amp;"C"&amp;AQ$4)="N/A",0,RTD("tos.rtd",,"OPEN_INT","."&amp;$AB$3&amp;$AB$4&amp;"C"&amp;AQ$4))*100 + MAX(0, AQ$4-$A37)*IF(RTD("tos.rtd",,"OPEN_INT","."&amp;$AB$3&amp;$AB$4&amp;"P"&amp;AQ$4)="N/A",0,RTD("tos.rtd",,"OPEN_INT","."&amp;$AB$3&amp;$AB$4&amp;"P"&amp;AQ$4))*100</f>
        <v>0</v>
      </c>
      <c r="AR37" s="18">
        <f>MAX(0, $A37-AR$4)*IF(RTD("tos.rtd",,"OPEN_INT","."&amp;$AB$3&amp;$AB$4&amp;"C"&amp;AR$4)="N/A",0,RTD("tos.rtd",,"OPEN_INT","."&amp;$AB$3&amp;$AB$4&amp;"C"&amp;AR$4))*100 + MAX(0, AR$4-$A37)*IF(RTD("tos.rtd",,"OPEN_INT","."&amp;$AB$3&amp;$AB$4&amp;"P"&amp;AR$4)="N/A",0,RTD("tos.rtd",,"OPEN_INT","."&amp;$AB$3&amp;$AB$4&amp;"P"&amp;AR$4))*100</f>
        <v>45050</v>
      </c>
      <c r="AS37" s="18">
        <f>MAX(0, $A37-AS$4)*IF(RTD("tos.rtd",,"OPEN_INT","."&amp;$AB$3&amp;$AB$4&amp;"C"&amp;AS$4)="N/A",0,RTD("tos.rtd",,"OPEN_INT","."&amp;$AB$3&amp;$AB$4&amp;"C"&amp;AS$4))*100 + MAX(0, AS$4-$A37)*IF(RTD("tos.rtd",,"OPEN_INT","."&amp;$AB$3&amp;$AB$4&amp;"P"&amp;AS$4)="N/A",0,RTD("tos.rtd",,"OPEN_INT","."&amp;$AB$3&amp;$AB$4&amp;"P"&amp;AS$4))*100</f>
        <v>4800</v>
      </c>
      <c r="AT37" s="18">
        <f>MAX(0, $A37-AT$4)*IF(RTD("tos.rtd",,"OPEN_INT","."&amp;$AB$3&amp;$AB$4&amp;"C"&amp;AT$4)="N/A",0,RTD("tos.rtd",,"OPEN_INT","."&amp;$AB$3&amp;$AB$4&amp;"C"&amp;AT$4))*100 + MAX(0, AT$4-$A37)*IF(RTD("tos.rtd",,"OPEN_INT","."&amp;$AB$3&amp;$AB$4&amp;"P"&amp;AT$4)="N/A",0,RTD("tos.rtd",,"OPEN_INT","."&amp;$AB$3&amp;$AB$4&amp;"P"&amp;AT$4))*100</f>
        <v>46500</v>
      </c>
      <c r="AU37" s="18">
        <f>MAX(0, $A37-AU$4)*IF(RTD("tos.rtd",,"OPEN_INT","."&amp;$AB$3&amp;$AB$4&amp;"C"&amp;AU$4)="N/A",0,RTD("tos.rtd",,"OPEN_INT","."&amp;$AB$3&amp;$AB$4&amp;"C"&amp;AU$4))*100 + MAX(0, AU$4-$A37)*IF(RTD("tos.rtd",,"OPEN_INT","."&amp;$AB$3&amp;$AB$4&amp;"P"&amp;AU$4)="N/A",0,RTD("tos.rtd",,"OPEN_INT","."&amp;$AB$3&amp;$AB$4&amp;"P"&amp;AU$4))*100</f>
        <v>49000</v>
      </c>
      <c r="AV37" s="18">
        <f>MAX(0, $A37-AV$4)*IF(RTD("tos.rtd",,"OPEN_INT","."&amp;$AB$3&amp;$AB$4&amp;"C"&amp;AV$4)="N/A",0,RTD("tos.rtd",,"OPEN_INT","."&amp;$AB$3&amp;$AB$4&amp;"C"&amp;AV$4))*100 + MAX(0, AV$4-$A37)*IF(RTD("tos.rtd",,"OPEN_INT","."&amp;$AB$3&amp;$AB$4&amp;"P"&amp;AV$4)="N/A",0,RTD("tos.rtd",,"OPEN_INT","."&amp;$AB$3&amp;$AB$4&amp;"P"&amp;AV$4))*100</f>
        <v>26000</v>
      </c>
      <c r="AW37" s="18">
        <f>MAX(0, $A37-AW$4)*IF(RTD("tos.rtd",,"OPEN_INT","."&amp;$AB$3&amp;$AB$4&amp;"C"&amp;AW$4)="N/A",0,RTD("tos.rtd",,"OPEN_INT","."&amp;$AB$3&amp;$AB$4&amp;"C"&amp;AW$4))*100 + MAX(0, AW$4-$A37)*IF(RTD("tos.rtd",,"OPEN_INT","."&amp;$AB$3&amp;$AB$4&amp;"P"&amp;AW$4)="N/A",0,RTD("tos.rtd",,"OPEN_INT","."&amp;$AB$3&amp;$AB$4&amp;"P"&amp;AW$4))*100</f>
        <v>96600</v>
      </c>
      <c r="AX37" s="18">
        <f>MAX(0, $A37-AX$4)*IF(RTD("tos.rtd",,"OPEN_INT","."&amp;$AB$3&amp;$AB$4&amp;"C"&amp;AX$4)="N/A",0,RTD("tos.rtd",,"OPEN_INT","."&amp;$AB$3&amp;$AB$4&amp;"C"&amp;AX$4))*100 + MAX(0, AX$4-$A37)*IF(RTD("tos.rtd",,"OPEN_INT","."&amp;$AB$3&amp;$AB$4&amp;"P"&amp;AX$4)="N/A",0,RTD("tos.rtd",,"OPEN_INT","."&amp;$AB$3&amp;$AB$4&amp;"P"&amp;AX$4))*100</f>
        <v>111100</v>
      </c>
      <c r="AY37" s="18">
        <f>MAX(0, $A37-AY$4)*IF(RTD("tos.rtd",,"OPEN_INT","."&amp;$AB$3&amp;$AB$4&amp;"C"&amp;AY$4)="N/A",0,RTD("tos.rtd",,"OPEN_INT","."&amp;$AB$3&amp;$AB$4&amp;"C"&amp;AY$4))*100 + MAX(0, AY$4-$A37)*IF(RTD("tos.rtd",,"OPEN_INT","."&amp;$AB$3&amp;$AB$4&amp;"P"&amp;AY$4)="N/A",0,RTD("tos.rtd",,"OPEN_INT","."&amp;$AB$3&amp;$AB$4&amp;"P"&amp;AY$4))*100</f>
        <v>123500</v>
      </c>
      <c r="AZ37" s="18">
        <f>MAX(0, $A37-AZ$4)*IF(RTD("tos.rtd",,"OPEN_INT","."&amp;$AB$3&amp;$AB$4&amp;"C"&amp;AZ$4)="N/A",0,RTD("tos.rtd",,"OPEN_INT","."&amp;$AB$3&amp;$AB$4&amp;"C"&amp;AZ$4))*100 + MAX(0, AZ$4-$A37)*IF(RTD("tos.rtd",,"OPEN_INT","."&amp;$AB$3&amp;$AB$4&amp;"P"&amp;AZ$4)="N/A",0,RTD("tos.rtd",,"OPEN_INT","."&amp;$AB$3&amp;$AB$4&amp;"P"&amp;AZ$4))*100</f>
        <v>933300</v>
      </c>
      <c r="BA37" s="18">
        <f>MAX(0, $A37-BA$4)*IF(RTD("tos.rtd",,"OPEN_INT","."&amp;$AB$3&amp;$AB$4&amp;"C"&amp;BA$4)="N/A",0,RTD("tos.rtd",,"OPEN_INT","."&amp;$AB$3&amp;$AB$4&amp;"C"&amp;BA$4))*100 + MAX(0, BA$4-$A37)*IF(RTD("tos.rtd",,"OPEN_INT","."&amp;$AB$3&amp;$AB$4&amp;"P"&amp;BA$4)="N/A",0,RTD("tos.rtd",,"OPEN_INT","."&amp;$AB$3&amp;$AB$4&amp;"P"&amp;BA$4))*100</f>
        <v>227200</v>
      </c>
      <c r="BB37" s="18">
        <f>MAX(0, $A37-BB$4)*IF(RTD("tos.rtd",,"OPEN_INT","."&amp;$AB$3&amp;$AB$4&amp;"C"&amp;BB$4)="N/A",0,RTD("tos.rtd",,"OPEN_INT","."&amp;$AB$3&amp;$AB$4&amp;"C"&amp;BB$4))*100 + MAX(0, BB$4-$A37)*IF(RTD("tos.rtd",,"OPEN_INT","."&amp;$AB$3&amp;$AB$4&amp;"P"&amp;BB$4)="N/A",0,RTD("tos.rtd",,"OPEN_INT","."&amp;$AB$3&amp;$AB$4&amp;"P"&amp;BB$4))*100</f>
        <v>819000</v>
      </c>
      <c r="BC37" s="18">
        <f>MAX(0, $A37-BC$4)*IF(RTD("tos.rtd",,"OPEN_INT","."&amp;$AB$3&amp;$AB$4&amp;"C"&amp;BC$4)="N/A",0,RTD("tos.rtd",,"OPEN_INT","."&amp;$AB$3&amp;$AB$4&amp;"C"&amp;BC$4))*100 + MAX(0, BC$4-$A37)*IF(RTD("tos.rtd",,"OPEN_INT","."&amp;$AB$3&amp;$AB$4&amp;"P"&amp;BC$4)="N/A",0,RTD("tos.rtd",,"OPEN_INT","."&amp;$AB$3&amp;$AB$4&amp;"P"&amp;BC$4))*100</f>
        <v>685200</v>
      </c>
      <c r="BD37" s="18">
        <f>MAX(0, $A37-BD$4)*IF(RTD("tos.rtd",,"OPEN_INT","."&amp;$AB$3&amp;$AB$4&amp;"C"&amp;BD$4)="N/A",0,RTD("tos.rtd",,"OPEN_INT","."&amp;$AB$3&amp;$AB$4&amp;"C"&amp;BD$4))*100 + MAX(0, BD$4-$A37)*IF(RTD("tos.rtd",,"OPEN_INT","."&amp;$AB$3&amp;$AB$4&amp;"P"&amp;BD$4)="N/A",0,RTD("tos.rtd",,"OPEN_INT","."&amp;$AB$3&amp;$AB$4&amp;"P"&amp;BD$4))*100</f>
        <v>1912750</v>
      </c>
      <c r="BE37" s="18">
        <f>MAX(0, $A37-BE$4)*IF(RTD("tos.rtd",,"OPEN_INT","."&amp;$AB$3&amp;$AB$4&amp;"C"&amp;BE$4)="N/A",0,RTD("tos.rtd",,"OPEN_INT","."&amp;$AB$3&amp;$AB$4&amp;"C"&amp;BE$4))*100 + MAX(0, BE$4-$A37)*IF(RTD("tos.rtd",,"OPEN_INT","."&amp;$AB$3&amp;$AB$4&amp;"P"&amp;BE$4)="N/A",0,RTD("tos.rtd",,"OPEN_INT","."&amp;$AB$3&amp;$AB$4&amp;"P"&amp;BE$4))*100</f>
        <v>1964200</v>
      </c>
      <c r="BF37" s="18">
        <f>MAX(0, $A37-BF$4)*IF(RTD("tos.rtd",,"OPEN_INT","."&amp;$AB$3&amp;$AB$4&amp;"C"&amp;BF$4)="N/A",0,RTD("tos.rtd",,"OPEN_INT","."&amp;$AB$3&amp;$AB$4&amp;"C"&amp;BF$4))*100 + MAX(0, BF$4-$A37)*IF(RTD("tos.rtd",,"OPEN_INT","."&amp;$AB$3&amp;$AB$4&amp;"P"&amp;BF$4)="N/A",0,RTD("tos.rtd",,"OPEN_INT","."&amp;$AB$3&amp;$AB$4&amp;"P"&amp;BF$4))*100</f>
        <v>1667400</v>
      </c>
      <c r="BG37" s="18">
        <f>MAX(0, $A37-BG$4)*IF(RTD("tos.rtd",,"OPEN_INT","."&amp;$AB$3&amp;$AB$4&amp;"C"&amp;BG$4)="N/A",0,RTD("tos.rtd",,"OPEN_INT","."&amp;$AB$3&amp;$AB$4&amp;"C"&amp;BG$4))*100 + MAX(0, BG$4-$A37)*IF(RTD("tos.rtd",,"OPEN_INT","."&amp;$AB$3&amp;$AB$4&amp;"P"&amp;BG$4)="N/A",0,RTD("tos.rtd",,"OPEN_INT","."&amp;$AB$3&amp;$AB$4&amp;"P"&amp;BG$4))*100</f>
        <v>1390900</v>
      </c>
      <c r="BH37" s="18">
        <f>MAX(0, $A37-BH$4)*IF(RTD("tos.rtd",,"OPEN_INT","."&amp;$AB$3&amp;$AB$4&amp;"C"&amp;BH$4)="N/A",0,RTD("tos.rtd",,"OPEN_INT","."&amp;$AB$3&amp;$AB$4&amp;"C"&amp;BH$4))*100 + MAX(0, BH$4-$A37)*IF(RTD("tos.rtd",,"OPEN_INT","."&amp;$AB$3&amp;$AB$4&amp;"P"&amp;BH$4)="N/A",0,RTD("tos.rtd",,"OPEN_INT","."&amp;$AB$3&amp;$AB$4&amp;"P"&amp;BH$4))*100</f>
        <v>453750</v>
      </c>
      <c r="BI37" s="18">
        <f>MAX(0, $A37-BI$4)*IF(RTD("tos.rtd",,"OPEN_INT","."&amp;$AB$3&amp;$AB$4&amp;"C"&amp;BI$4)="N/A",0,RTD("tos.rtd",,"OPEN_INT","."&amp;$AB$3&amp;$AB$4&amp;"C"&amp;BI$4))*100 + MAX(0, BI$4-$A37)*IF(RTD("tos.rtd",,"OPEN_INT","."&amp;$AB$3&amp;$AB$4&amp;"P"&amp;BI$4)="N/A",0,RTD("tos.rtd",,"OPEN_INT","."&amp;$AB$3&amp;$AB$4&amp;"P"&amp;BI$4))*100</f>
        <v>0</v>
      </c>
      <c r="BJ37" s="18">
        <f>MAX(0, $A37-BJ$4)*IF(RTD("tos.rtd",,"OPEN_INT","."&amp;$AB$3&amp;$AB$4&amp;"C"&amp;BJ$4)="N/A",0,RTD("tos.rtd",,"OPEN_INT","."&amp;$AB$3&amp;$AB$4&amp;"C"&amp;BJ$4))*100 + MAX(0, BJ$4-$A37)*IF(RTD("tos.rtd",,"OPEN_INT","."&amp;$AB$3&amp;$AB$4&amp;"P"&amp;BJ$4)="N/A",0,RTD("tos.rtd",,"OPEN_INT","."&amp;$AB$3&amp;$AB$4&amp;"P"&amp;BJ$4))*100</f>
        <v>42100</v>
      </c>
      <c r="BK37" s="18">
        <f>MAX(0, $A37-BK$4)*IF(RTD("tos.rtd",,"OPEN_INT","."&amp;$AB$3&amp;$AB$4&amp;"C"&amp;BK$4)="N/A",0,RTD("tos.rtd",,"OPEN_INT","."&amp;$AB$3&amp;$AB$4&amp;"C"&amp;BK$4))*100 + MAX(0, BK$4-$A37)*IF(RTD("tos.rtd",,"OPEN_INT","."&amp;$AB$3&amp;$AB$4&amp;"P"&amp;BK$4)="N/A",0,RTD("tos.rtd",,"OPEN_INT","."&amp;$AB$3&amp;$AB$4&amp;"P"&amp;BK$4))*100</f>
        <v>15100</v>
      </c>
      <c r="BL37" s="18">
        <f>MAX(0, $A37-BL$4)*IF(RTD("tos.rtd",,"OPEN_INT","."&amp;$AB$3&amp;$AB$4&amp;"C"&amp;BL$4)="N/A",0,RTD("tos.rtd",,"OPEN_INT","."&amp;$AB$3&amp;$AB$4&amp;"C"&amp;BL$4))*100 + MAX(0, BL$4-$A37)*IF(RTD("tos.rtd",,"OPEN_INT","."&amp;$AB$3&amp;$AB$4&amp;"P"&amp;BL$4)="N/A",0,RTD("tos.rtd",,"OPEN_INT","."&amp;$AB$3&amp;$AB$4&amp;"P"&amp;BL$4))*100</f>
        <v>39150</v>
      </c>
      <c r="BM37" s="18">
        <f>MAX(0, $A37-BM$4)*IF(RTD("tos.rtd",,"OPEN_INT","."&amp;$AB$3&amp;$AB$4&amp;"C"&amp;BM$4)="N/A",0,RTD("tos.rtd",,"OPEN_INT","."&amp;$AB$3&amp;$AB$4&amp;"C"&amp;BM$4))*100 + MAX(0, BM$4-$A37)*IF(RTD("tos.rtd",,"OPEN_INT","."&amp;$AB$3&amp;$AB$4&amp;"P"&amp;BM$4)="N/A",0,RTD("tos.rtd",,"OPEN_INT","."&amp;$AB$3&amp;$AB$4&amp;"P"&amp;BM$4))*100</f>
        <v>3200</v>
      </c>
      <c r="BN37" s="18">
        <f>MAX(0, $A37-BN$4)*IF(RTD("tos.rtd",,"OPEN_INT","."&amp;$AB$3&amp;$AB$4&amp;"C"&amp;BN$4)="N/A",0,RTD("tos.rtd",,"OPEN_INT","."&amp;$AB$3&amp;$AB$4&amp;"C"&amp;BN$4))*100 + MAX(0, BN$4-$A37)*IF(RTD("tos.rtd",,"OPEN_INT","."&amp;$AB$3&amp;$AB$4&amp;"P"&amp;BN$4)="N/A",0,RTD("tos.rtd",,"OPEN_INT","."&amp;$AB$3&amp;$AB$4&amp;"P"&amp;BN$4))*100</f>
        <v>2000</v>
      </c>
      <c r="BO37" s="18">
        <f>MAX(0, $A37-BO$4)*IF(RTD("tos.rtd",,"OPEN_INT","."&amp;$AB$3&amp;$AB$4&amp;"C"&amp;BO$4)="N/A",0,RTD("tos.rtd",,"OPEN_INT","."&amp;$AB$3&amp;$AB$4&amp;"C"&amp;BO$4))*100 + MAX(0, BO$4-$A37)*IF(RTD("tos.rtd",,"OPEN_INT","."&amp;$AB$3&amp;$AB$4&amp;"P"&amp;BO$4)="N/A",0,RTD("tos.rtd",,"OPEN_INT","."&amp;$AB$3&amp;$AB$4&amp;"P"&amp;BO$4))*100</f>
        <v>9300</v>
      </c>
      <c r="BP37" s="18">
        <f>MAX(0, $A37-BP$4)*IF(RTD("tos.rtd",,"OPEN_INT","."&amp;$AB$3&amp;$AB$4&amp;"C"&amp;BP$4)="N/A",0,RTD("tos.rtd",,"OPEN_INT","."&amp;$AB$3&amp;$AB$4&amp;"C"&amp;BP$4))*100 + MAX(0, BP$4-$A37)*IF(RTD("tos.rtd",,"OPEN_INT","."&amp;$AB$3&amp;$AB$4&amp;"P"&amp;BP$4)="N/A",0,RTD("tos.rtd",,"OPEN_INT","."&amp;$AB$3&amp;$AB$4&amp;"P"&amp;BP$4))*100</f>
        <v>13300</v>
      </c>
      <c r="BQ37" s="18">
        <f>MAX(0, $A37-BQ$4)*IF(RTD("tos.rtd",,"OPEN_INT","."&amp;$AB$3&amp;$AB$4&amp;"C"&amp;BQ$4)="N/A",0,RTD("tos.rtd",,"OPEN_INT","."&amp;$AB$3&amp;$AB$4&amp;"C"&amp;BQ$4))*100 + MAX(0, BQ$4-$A37)*IF(RTD("tos.rtd",,"OPEN_INT","."&amp;$AB$3&amp;$AB$4&amp;"P"&amp;BQ$4)="N/A",0,RTD("tos.rtd",,"OPEN_INT","."&amp;$AB$3&amp;$AB$4&amp;"P"&amp;BQ$4))*100</f>
        <v>0</v>
      </c>
      <c r="BR37" s="18">
        <f>MAX(0, $A37-BR$4)*IF(RTD("tos.rtd",,"OPEN_INT","."&amp;$AB$3&amp;$AB$4&amp;"C"&amp;BR$4)="N/A",0,RTD("tos.rtd",,"OPEN_INT","."&amp;$AB$3&amp;$AB$4&amp;"C"&amp;BR$4))*100 + MAX(0, BR$4-$A37)*IF(RTD("tos.rtd",,"OPEN_INT","."&amp;$AB$3&amp;$AB$4&amp;"P"&amp;BR$4)="N/A",0,RTD("tos.rtd",,"OPEN_INT","."&amp;$AB$3&amp;$AB$4&amp;"P"&amp;BR$4))*100</f>
        <v>0</v>
      </c>
      <c r="BS37" s="18">
        <f>MAX(0, $A37-BS$4)*IF(RTD("tos.rtd",,"OPEN_INT","."&amp;$AB$3&amp;$AB$4&amp;"C"&amp;BS$4)="N/A",0,RTD("tos.rtd",,"OPEN_INT","."&amp;$AB$3&amp;$AB$4&amp;"C"&amp;BS$4))*100 + MAX(0, BS$4-$A37)*IF(RTD("tos.rtd",,"OPEN_INT","."&amp;$AB$3&amp;$AB$4&amp;"P"&amp;BS$4)="N/A",0,RTD("tos.rtd",,"OPEN_INT","."&amp;$AB$3&amp;$AB$4&amp;"P"&amp;BS$4))*100</f>
        <v>0</v>
      </c>
      <c r="BT37" s="18">
        <f>MAX(0, $A37-BT$4)*IF(RTD("tos.rtd",,"OPEN_INT","."&amp;$AB$3&amp;$AB$4&amp;"C"&amp;BT$4)="N/A",0,RTD("tos.rtd",,"OPEN_INT","."&amp;$AB$3&amp;$AB$4&amp;"C"&amp;BT$4))*100 + MAX(0, BT$4-$A37)*IF(RTD("tos.rtd",,"OPEN_INT","."&amp;$AB$3&amp;$AB$4&amp;"P"&amp;BT$4)="N/A",0,RTD("tos.rtd",,"OPEN_INT","."&amp;$AB$3&amp;$AB$4&amp;"P"&amp;BT$4))*100</f>
        <v>0</v>
      </c>
      <c r="BU37" s="18">
        <f>MAX(0, $A37-BU$4)*IF(RTD("tos.rtd",,"OPEN_INT","."&amp;$AB$3&amp;$AB$4&amp;"C"&amp;BU$4)="N/A",0,RTD("tos.rtd",,"OPEN_INT","."&amp;$AB$3&amp;$AB$4&amp;"C"&amp;BU$4))*100 + MAX(0, BU$4-$A37)*IF(RTD("tos.rtd",,"OPEN_INT","."&amp;$AB$3&amp;$AB$4&amp;"P"&amp;BU$4)="N/A",0,RTD("tos.rtd",,"OPEN_INT","."&amp;$AB$3&amp;$AB$4&amp;"P"&amp;BU$4))*100</f>
        <v>0</v>
      </c>
      <c r="BV37" s="18">
        <f>MAX(0, $A37-BV$4)*IF(RTD("tos.rtd",,"OPEN_INT","."&amp;$AB$3&amp;$AB$4&amp;"C"&amp;BV$4)="N/A",0,RTD("tos.rtd",,"OPEN_INT","."&amp;$AB$3&amp;$AB$4&amp;"C"&amp;BV$4))*100 + MAX(0, BV$4-$A37)*IF(RTD("tos.rtd",,"OPEN_INT","."&amp;$AB$3&amp;$AB$4&amp;"P"&amp;BV$4)="N/A",0,RTD("tos.rtd",,"OPEN_INT","."&amp;$AB$3&amp;$AB$4&amp;"P"&amp;BV$4))*100</f>
        <v>0</v>
      </c>
      <c r="BW37" s="18">
        <f>MAX(0, $A37-BW$4)*IF(RTD("tos.rtd",,"OPEN_INT","."&amp;$AB$3&amp;$AB$4&amp;"C"&amp;BW$4)="N/A",0,RTD("tos.rtd",,"OPEN_INT","."&amp;$AB$3&amp;$AB$4&amp;"C"&amp;BW$4))*100 + MAX(0, BW$4-$A37)*IF(RTD("tos.rtd",,"OPEN_INT","."&amp;$AB$3&amp;$AB$4&amp;"P"&amp;BW$4)="N/A",0,RTD("tos.rtd",,"OPEN_INT","."&amp;$AB$3&amp;$AB$4&amp;"P"&amp;BW$4))*100</f>
        <v>0</v>
      </c>
    </row>
    <row r="38" spans="1:75" s="19" customFormat="1" ht="11.1" customHeight="1" thickBot="1" x14ac:dyDescent="0.3">
      <c r="A38" s="23">
        <f t="shared" si="12"/>
        <v>5</v>
      </c>
      <c r="B38" s="14">
        <f ca="1">IF($A$2="PREMIUM_OI",IFERROR(IF($X$1="ABS",(100*RTD("tos.rtd",,"OPEN_INT","."&amp;B$2&amp;B$1&amp;"C"&amp;$A38)*RTD("tos.rtd",,"LAST","."&amp;B$2&amp;B$1&amp;"C"&amp;$A38)+100*RTD("tos.rtd",,"OPEN_INT","."&amp;B$2&amp;B$1&amp;"P"&amp;$A38)*RTD("tos.rtd",,"LAST","."&amp;B$2&amp;B$1&amp;"P"&amp;$A38))/1000000,(100*RTD("tos.rtd",,"OPEN_INT","."&amp;B$2&amp;B$1&amp;"C"&amp;$A38)*RTD("tos.rtd",,"LAST","."&amp;B$2&amp;B$1&amp;"C"&amp;$A38)-100*RTD("tos.rtd",,"OPEN_INT","."&amp;B$2&amp;B$1&amp;"P"&amp;$A38)*RTD("tos.rtd",,"LAST","."&amp;B$2&amp;B$1&amp;"P"&amp;$A38))/1000000),0),IF($A$2="PREMIUM",IFERROR(IF($X$1="ABS",(100*RTD("tos.rtd",,"VOLUME","."&amp;B$2&amp;B$1&amp;"C"&amp;$A38)*RTD("tos.rtd",,"LAST","."&amp;B$2&amp;B$1&amp;"C"&amp;$A38)+100*RTD("tos.rtd",,"VOLUME","."&amp;B$2&amp;B$1&amp;"P"&amp;$A38)*RTD("tos.rtd",,"LAST","."&amp;B$2&amp;B$1&amp;"P"&amp;$A38))/1000000,(100*RTD("tos.rtd",,"VOLUME","."&amp;B$2&amp;B$1&amp;"C"&amp;$A38)*RTD("tos.rtd",,"LAST","."&amp;B$2&amp;B$1&amp;"C"&amp;$A38)-100*RTD("tos.rtd",,"VOLUME","."&amp;B$2&amp;B$1&amp;"P"&amp;$A38)*RTD("tos.rtd",,"LAST","."&amp;B$2&amp;B$1&amp;"P"&amp;$A38))/1000000),0),IF($A$2="DEX",IFERROR(IF($X$1="ABS",(100*RTD("tos.rtd",,"OPEN_INT","."&amp;B$2&amp;B$1&amp;"C"&amp;$A38)*RTD("tos.rtd",,"DELTA","."&amp;B$2&amp;B$1&amp;"C"&amp;$A38)+100*RTD("tos.rtd",,"OPEN_INT","."&amp;B$2&amp;B$1&amp;"P"&amp;$A38)*RTD("tos.rtd",,"DELTA","."&amp;B$2&amp;B$1&amp;"P"&amp;$A38))/1000,(100*RTD("tos.rtd",,"OPEN_INT","."&amp;B$2&amp;B$1&amp;"C"&amp;$A38)*RTD("tos.rtd",,"DELTA","."&amp;B$2&amp;B$1&amp;"C"&amp;$A38)-100*RTD("tos.rtd",,"OPEN_INT","."&amp;B$2&amp;B$1&amp;"P"&amp;$A38)*RTD("tos.rtd",,"DELTA","."&amp;B$2&amp;B$1&amp;"P"&amp;$A38))/1000),0),IF($A$2="VEX",IFERROR(IF($X$1="ABS",($A$4*$A$4*RTD("tos.rtd",,"VOLUME","."&amp;B$2&amp;B$1&amp;"C"&amp;$A38)*RTD("tos.rtd",,"GAMMA","."&amp;B$2&amp;B$1&amp;"C"&amp;$A38)+$A$4*$A$4*RTD("tos.rtd",,"VOLUME","."&amp;B$2&amp;B$1&amp;"P"&amp;$A38)*RTD("tos.rtd",,"GAMMA","."&amp;B$2&amp;B$1&amp;"P"&amp;$A38))/1000000,($A$4*$A$4*RTD("tos.rtd",,"VOLUME","."&amp;B$2&amp;B$1&amp;"C"&amp;$A38)*RTD("tos.rtd",,"GAMMA","."&amp;B$2&amp;B$1&amp;"C"&amp;$A38)-$A$4*$A$4*RTD("tos.rtd",,"VOLUME","."&amp;B$2&amp;B$1&amp;"P"&amp;$A38)*RTD("tos.rtd",,"GAMMA","."&amp;B$2&amp;B$1&amp;"P"&amp;$A38))/1000000),0),IF($A$2="GEX",IFERROR(IF($X$1="ABS",($A$4*$A$4*RTD("tos.rtd",,"OPEN_INT","."&amp;B$2&amp;B$1&amp;"C"&amp;$A38)*RTD("tos.rtd",,"GAMMA","."&amp;B$2&amp;B$1&amp;"C"&amp;$A38)+$A$4*$A$4*RTD("tos.rtd",,"OPEN_INT","."&amp;B$2&amp;B$1&amp;"P"&amp;$A38)*RTD("tos.rtd",,"GAMMA","."&amp;B$2&amp;B$1&amp;"P"&amp;$A38))/1000000,($A$4*$A$4*RTD("tos.rtd",,"OPEN_INT","."&amp;B$2&amp;B$1&amp;"C"&amp;$A38)*RTD("tos.rtd",,"GAMMA","."&amp;B$2&amp;B$1&amp;"C"&amp;$A38)-$A$4*$A$4*RTD("tos.rtd",,"OPEN_INT","."&amp;B$2&amp;B$1&amp;"P"&amp;$A38)*RTD("tos.rtd",,"GAMMA","."&amp;B$2&amp;B$1&amp;"P"&amp;$A38))/1000000),0),IF($A$2="SKEW",IFERROR(VALUE(IF(RTD("tos.rtd",,"IMPL_VOL","."&amp;B$2&amp;B$1&amp;"P"&amp;$A38)="N/A",0,RTD("tos.rtd",,"IMPL_VOL","."&amp;B$2&amp;B$1&amp;"P"&amp;$A38))),0)-IFERROR(VALUE(IF(RTD("tos.rtd",,"IMPL_VOL","."&amp;B$2&amp;B$1&amp;"C"&amp;$A38)="N/A",0,RTD("tos.rtd",,"IMPL_VOL","."&amp;B$2&amp;B$1&amp;"C"&amp;$A38))),0),IF($A$2="MAXPAIN",IF($A$4&gt;$A38,($A$4-$A38)*IF(RTD("tos.rtd",,"OPEN_INT","."&amp;B$2&amp;B$1&amp;"C"&amp;$A38)="N/A",0,RTD("tos.rtd",,"OPEN_INT","."&amp;B$2&amp;B$1&amp;"C"&amp;$A38)),0)+IF($A$4&lt;$A38,($A$5-$A$4)*IF(RTD("tos.rtd",,"OPEN_INT","."&amp;B$2&amp;B$1&amp;"P"&amp;$A38)="N/A",0,RTD("tos.rtd",,"OPEN_INT","."&amp;B$2&amp;B$1&amp;"P"&amp;$A38)),0),IF($X$1="ABS",IF(RTD("tos.rtd",,$A$2,"."&amp;B$2&amp;B$1&amp;"C"&amp;$A38)="N/A",0,RTD("tos.rtd",,$A$2,"."&amp;B$2&amp;B$1&amp;"C"&amp;$A38))+IF(RTD("tos.rtd",,$A$2,"."&amp;B$2&amp;B$1&amp;"P"&amp;$A38)="N/A",0,RTD("tos.rtd",,$A$2,"."&amp;B$2&amp;B$1&amp;"P"&amp;$A38)),IF(RTD("tos.rtd",,$A$2,"."&amp;B$2&amp;B$1&amp;"C"&amp;$A38)="N/A",0,RTD("tos.rtd",,$A$2,"."&amp;B$2&amp;B$1&amp;"C"&amp;$A38))-IF(RTD("tos.rtd",,$A$2,"."&amp;B$2&amp;B$1&amp;"P"&amp;$A38)="N/A",0,RTD("tos.rtd",,$A$2,"."&amp;B$2&amp;B$1&amp;"P"&amp;$A38))))))))))</f>
        <v>0</v>
      </c>
      <c r="C38" s="14">
        <f ca="1">IF($A$2="PREMIUM_OI",IFERROR(IF($X$1="ABS",(100*RTD("tos.rtd",,"OPEN_INT","."&amp;C$2&amp;C$1&amp;"C"&amp;$A38)*RTD("tos.rtd",,"LAST","."&amp;C$2&amp;C$1&amp;"C"&amp;$A38)+100*RTD("tos.rtd",,"OPEN_INT","."&amp;C$2&amp;C$1&amp;"P"&amp;$A38)*RTD("tos.rtd",,"LAST","."&amp;C$2&amp;C$1&amp;"P"&amp;$A38))/1000000,(100*RTD("tos.rtd",,"OPEN_INT","."&amp;C$2&amp;C$1&amp;"C"&amp;$A38)*RTD("tos.rtd",,"LAST","."&amp;C$2&amp;C$1&amp;"C"&amp;$A38)-100*RTD("tos.rtd",,"OPEN_INT","."&amp;C$2&amp;C$1&amp;"P"&amp;$A38)*RTD("tos.rtd",,"LAST","."&amp;C$2&amp;C$1&amp;"P"&amp;$A38))/1000000),0),IF($A$2="PREMIUM",IFERROR(IF($X$1="ABS",(100*RTD("tos.rtd",,"VOLUME","."&amp;C$2&amp;C$1&amp;"C"&amp;$A38)*RTD("tos.rtd",,"LAST","."&amp;C$2&amp;C$1&amp;"C"&amp;$A38)+100*RTD("tos.rtd",,"VOLUME","."&amp;C$2&amp;C$1&amp;"P"&amp;$A38)*RTD("tos.rtd",,"LAST","."&amp;C$2&amp;C$1&amp;"P"&amp;$A38))/1000000,(100*RTD("tos.rtd",,"VOLUME","."&amp;C$2&amp;C$1&amp;"C"&amp;$A38)*RTD("tos.rtd",,"LAST","."&amp;C$2&amp;C$1&amp;"C"&amp;$A38)-100*RTD("tos.rtd",,"VOLUME","."&amp;C$2&amp;C$1&amp;"P"&amp;$A38)*RTD("tos.rtd",,"LAST","."&amp;C$2&amp;C$1&amp;"P"&amp;$A38))/1000000),0),IF($A$2="DEX",IFERROR(IF($X$1="ABS",(100*RTD("tos.rtd",,"OPEN_INT","."&amp;C$2&amp;C$1&amp;"C"&amp;$A38)*RTD("tos.rtd",,"DELTA","."&amp;C$2&amp;C$1&amp;"C"&amp;$A38)+100*RTD("tos.rtd",,"OPEN_INT","."&amp;C$2&amp;C$1&amp;"P"&amp;$A38)*RTD("tos.rtd",,"DELTA","."&amp;C$2&amp;C$1&amp;"P"&amp;$A38))/1000,(100*RTD("tos.rtd",,"OPEN_INT","."&amp;C$2&amp;C$1&amp;"C"&amp;$A38)*RTD("tos.rtd",,"DELTA","."&amp;C$2&amp;C$1&amp;"C"&amp;$A38)-100*RTD("tos.rtd",,"OPEN_INT","."&amp;C$2&amp;C$1&amp;"P"&amp;$A38)*RTD("tos.rtd",,"DELTA","."&amp;C$2&amp;C$1&amp;"P"&amp;$A38))/1000),0),IF($A$2="VEX",IFERROR(IF($X$1="ABS",($A$4*$A$4*RTD("tos.rtd",,"VOLUME","."&amp;C$2&amp;C$1&amp;"C"&amp;$A38)*RTD("tos.rtd",,"GAMMA","."&amp;C$2&amp;C$1&amp;"C"&amp;$A38)+$A$4*$A$4*RTD("tos.rtd",,"VOLUME","."&amp;C$2&amp;C$1&amp;"P"&amp;$A38)*RTD("tos.rtd",,"GAMMA","."&amp;C$2&amp;C$1&amp;"P"&amp;$A38))/1000000,($A$4*$A$4*RTD("tos.rtd",,"VOLUME","."&amp;C$2&amp;C$1&amp;"C"&amp;$A38)*RTD("tos.rtd",,"GAMMA","."&amp;C$2&amp;C$1&amp;"C"&amp;$A38)-$A$4*$A$4*RTD("tos.rtd",,"VOLUME","."&amp;C$2&amp;C$1&amp;"P"&amp;$A38)*RTD("tos.rtd",,"GAMMA","."&amp;C$2&amp;C$1&amp;"P"&amp;$A38))/1000000),0),IF($A$2="GEX",IFERROR(IF($X$1="ABS",($A$4*$A$4*RTD("tos.rtd",,"OPEN_INT","."&amp;C$2&amp;C$1&amp;"C"&amp;$A38)*RTD("tos.rtd",,"GAMMA","."&amp;C$2&amp;C$1&amp;"C"&amp;$A38)+$A$4*$A$4*RTD("tos.rtd",,"OPEN_INT","."&amp;C$2&amp;C$1&amp;"P"&amp;$A38)*RTD("tos.rtd",,"GAMMA","."&amp;C$2&amp;C$1&amp;"P"&amp;$A38))/1000000,($A$4*$A$4*RTD("tos.rtd",,"OPEN_INT","."&amp;C$2&amp;C$1&amp;"C"&amp;$A38)*RTD("tos.rtd",,"GAMMA","."&amp;C$2&amp;C$1&amp;"C"&amp;$A38)-$A$4*$A$4*RTD("tos.rtd",,"OPEN_INT","."&amp;C$2&amp;C$1&amp;"P"&amp;$A38)*RTD("tos.rtd",,"GAMMA","."&amp;C$2&amp;C$1&amp;"P"&amp;$A38))/1000000),0),IF($A$2="SKEW",IFERROR(VALUE(IF(RTD("tos.rtd",,"IMPL_VOL","."&amp;C$2&amp;C$1&amp;"P"&amp;$A38)="N/A",0,RTD("tos.rtd",,"IMPL_VOL","."&amp;C$2&amp;C$1&amp;"P"&amp;$A38))),0)-IFERROR(VALUE(IF(RTD("tos.rtd",,"IMPL_VOL","."&amp;C$2&amp;C$1&amp;"C"&amp;$A38)="N/A",0,RTD("tos.rtd",,"IMPL_VOL","."&amp;C$2&amp;C$1&amp;"C"&amp;$A38))),0),IF($A$2="MAXPAIN",IF($A$4&gt;$A38,($A$4-$A38)*IF(RTD("tos.rtd",,"OPEN_INT","."&amp;C$2&amp;C$1&amp;"C"&amp;$A38)="N/A",0,RTD("tos.rtd",,"OPEN_INT","."&amp;C$2&amp;C$1&amp;"C"&amp;$A38)),0)+IF($A$4&lt;$A38,($A$5-$A$4)*IF(RTD("tos.rtd",,"OPEN_INT","."&amp;C$2&amp;C$1&amp;"P"&amp;$A38)="N/A",0,RTD("tos.rtd",,"OPEN_INT","."&amp;C$2&amp;C$1&amp;"P"&amp;$A38)),0),IF($X$1="ABS",IF(RTD("tos.rtd",,$A$2,"."&amp;C$2&amp;C$1&amp;"C"&amp;$A38)="N/A",0,RTD("tos.rtd",,$A$2,"."&amp;C$2&amp;C$1&amp;"C"&amp;$A38))+IF(RTD("tos.rtd",,$A$2,"."&amp;C$2&amp;C$1&amp;"P"&amp;$A38)="N/A",0,RTD("tos.rtd",,$A$2,"."&amp;C$2&amp;C$1&amp;"P"&amp;$A38)),IF(RTD("tos.rtd",,$A$2,"."&amp;C$2&amp;C$1&amp;"C"&amp;$A38)="N/A",0,RTD("tos.rtd",,$A$2,"."&amp;C$2&amp;C$1&amp;"C"&amp;$A38))-IF(RTD("tos.rtd",,$A$2,"."&amp;C$2&amp;C$1&amp;"P"&amp;$A38)="N/A",0,RTD("tos.rtd",,$A$2,"."&amp;C$2&amp;C$1&amp;"P"&amp;$A38))))))))))</f>
        <v>0</v>
      </c>
      <c r="D38" s="12">
        <f ca="1">IF($A$2="PREMIUM_OI",IFERROR(IF($X$1="ABS",(100*RTD("tos.rtd",,"OPEN_INT","."&amp;D$2&amp;D$1&amp;"C"&amp;$A38)*RTD("tos.rtd",,"LAST","."&amp;D$2&amp;D$1&amp;"C"&amp;$A38)+100*RTD("tos.rtd",,"OPEN_INT","."&amp;D$2&amp;D$1&amp;"P"&amp;$A38)*RTD("tos.rtd",,"LAST","."&amp;D$2&amp;D$1&amp;"P"&amp;$A38))/1000000,(100*RTD("tos.rtd",,"OPEN_INT","."&amp;D$2&amp;D$1&amp;"C"&amp;$A38)*RTD("tos.rtd",,"LAST","."&amp;D$2&amp;D$1&amp;"C"&amp;$A38)-100*RTD("tos.rtd",,"OPEN_INT","."&amp;D$2&amp;D$1&amp;"P"&amp;$A38)*RTD("tos.rtd",,"LAST","."&amp;D$2&amp;D$1&amp;"P"&amp;$A38))/1000000),0),IF($A$2="PREMIUM",IFERROR(IF($X$1="ABS",(100*RTD("tos.rtd",,"VOLUME","."&amp;D$2&amp;D$1&amp;"C"&amp;$A38)*RTD("tos.rtd",,"LAST","."&amp;D$2&amp;D$1&amp;"C"&amp;$A38)+100*RTD("tos.rtd",,"VOLUME","."&amp;D$2&amp;D$1&amp;"P"&amp;$A38)*RTD("tos.rtd",,"LAST","."&amp;D$2&amp;D$1&amp;"P"&amp;$A38))/1000000,(100*RTD("tos.rtd",,"VOLUME","."&amp;D$2&amp;D$1&amp;"C"&amp;$A38)*RTD("tos.rtd",,"LAST","."&amp;D$2&amp;D$1&amp;"C"&amp;$A38)-100*RTD("tos.rtd",,"VOLUME","."&amp;D$2&amp;D$1&amp;"P"&amp;$A38)*RTD("tos.rtd",,"LAST","."&amp;D$2&amp;D$1&amp;"P"&amp;$A38))/1000000),0),IF($A$2="DEX",IFERROR(IF($X$1="ABS",(100*RTD("tos.rtd",,"OPEN_INT","."&amp;D$2&amp;D$1&amp;"C"&amp;$A38)*RTD("tos.rtd",,"DELTA","."&amp;D$2&amp;D$1&amp;"C"&amp;$A38)+100*RTD("tos.rtd",,"OPEN_INT","."&amp;D$2&amp;D$1&amp;"P"&amp;$A38)*RTD("tos.rtd",,"DELTA","."&amp;D$2&amp;D$1&amp;"P"&amp;$A38))/1000,(100*RTD("tos.rtd",,"OPEN_INT","."&amp;D$2&amp;D$1&amp;"C"&amp;$A38)*RTD("tos.rtd",,"DELTA","."&amp;D$2&amp;D$1&amp;"C"&amp;$A38)-100*RTD("tos.rtd",,"OPEN_INT","."&amp;D$2&amp;D$1&amp;"P"&amp;$A38)*RTD("tos.rtd",,"DELTA","."&amp;D$2&amp;D$1&amp;"P"&amp;$A38))/1000),0),IF($A$2="VEX",IFERROR(IF($X$1="ABS",($A$4*$A$4*RTD("tos.rtd",,"VOLUME","."&amp;D$2&amp;D$1&amp;"C"&amp;$A38)*RTD("tos.rtd",,"GAMMA","."&amp;D$2&amp;D$1&amp;"C"&amp;$A38)+$A$4*$A$4*RTD("tos.rtd",,"VOLUME","."&amp;D$2&amp;D$1&amp;"P"&amp;$A38)*RTD("tos.rtd",,"GAMMA","."&amp;D$2&amp;D$1&amp;"P"&amp;$A38))/1000000,($A$4*$A$4*RTD("tos.rtd",,"VOLUME","."&amp;D$2&amp;D$1&amp;"C"&amp;$A38)*RTD("tos.rtd",,"GAMMA","."&amp;D$2&amp;D$1&amp;"C"&amp;$A38)-$A$4*$A$4*RTD("tos.rtd",,"VOLUME","."&amp;D$2&amp;D$1&amp;"P"&amp;$A38)*RTD("tos.rtd",,"GAMMA","."&amp;D$2&amp;D$1&amp;"P"&amp;$A38))/1000000),0),IF($A$2="GEX",IFERROR(IF($X$1="ABS",($A$4*$A$4*RTD("tos.rtd",,"OPEN_INT","."&amp;D$2&amp;D$1&amp;"C"&amp;$A38)*RTD("tos.rtd",,"GAMMA","."&amp;D$2&amp;D$1&amp;"C"&amp;$A38)+$A$4*$A$4*RTD("tos.rtd",,"OPEN_INT","."&amp;D$2&amp;D$1&amp;"P"&amp;$A38)*RTD("tos.rtd",,"GAMMA","."&amp;D$2&amp;D$1&amp;"P"&amp;$A38))/1000000,($A$4*$A$4*RTD("tos.rtd",,"OPEN_INT","."&amp;D$2&amp;D$1&amp;"C"&amp;$A38)*RTD("tos.rtd",,"GAMMA","."&amp;D$2&amp;D$1&amp;"C"&amp;$A38)-$A$4*$A$4*RTD("tos.rtd",,"OPEN_INT","."&amp;D$2&amp;D$1&amp;"P"&amp;$A38)*RTD("tos.rtd",,"GAMMA","."&amp;D$2&amp;D$1&amp;"P"&amp;$A38))/1000000),0),IF($A$2="SKEW",IFERROR(VALUE(IF(RTD("tos.rtd",,"IMPL_VOL","."&amp;D$2&amp;D$1&amp;"P"&amp;$A38)="N/A",0,RTD("tos.rtd",,"IMPL_VOL","."&amp;D$2&amp;D$1&amp;"P"&amp;$A38))),0)-IFERROR(VALUE(IF(RTD("tos.rtd",,"IMPL_VOL","."&amp;D$2&amp;D$1&amp;"C"&amp;$A38)="N/A",0,RTD("tos.rtd",,"IMPL_VOL","."&amp;D$2&amp;D$1&amp;"C"&amp;$A38))),0),IF($A$2="MAXPAIN",IF($A$4&gt;$A38,($A$4-$A38)*IF(RTD("tos.rtd",,"OPEN_INT","."&amp;D$2&amp;D$1&amp;"C"&amp;$A38)="N/A",0,RTD("tos.rtd",,"OPEN_INT","."&amp;D$2&amp;D$1&amp;"C"&amp;$A38)),0)+IF($A$4&lt;$A38,($A$5-$A$4)*IF(RTD("tos.rtd",,"OPEN_INT","."&amp;D$2&amp;D$1&amp;"P"&amp;$A38)="N/A",0,RTD("tos.rtd",,"OPEN_INT","."&amp;D$2&amp;D$1&amp;"P"&amp;$A38)),0),IF($X$1="ABS",IF(RTD("tos.rtd",,$A$2,"."&amp;D$2&amp;D$1&amp;"C"&amp;$A38)="N/A",0,RTD("tos.rtd",,$A$2,"."&amp;D$2&amp;D$1&amp;"C"&amp;$A38))+IF(RTD("tos.rtd",,$A$2,"."&amp;D$2&amp;D$1&amp;"P"&amp;$A38)="N/A",0,RTD("tos.rtd",,$A$2,"."&amp;D$2&amp;D$1&amp;"P"&amp;$A38)),IF(RTD("tos.rtd",,$A$2,"."&amp;D$2&amp;D$1&amp;"C"&amp;$A38)="N/A",0,RTD("tos.rtd",,$A$2,"."&amp;D$2&amp;D$1&amp;"C"&amp;$A38))-IF(RTD("tos.rtd",,$A$2,"."&amp;D$2&amp;D$1&amp;"P"&amp;$A38)="N/A",0,RTD("tos.rtd",,$A$2,"."&amp;D$2&amp;D$1&amp;"P"&amp;$A38))))))))))</f>
        <v>0</v>
      </c>
      <c r="E38" s="12">
        <f ca="1">IF($A$2="PREMIUM_OI",IFERROR(IF($X$1="ABS",(100*RTD("tos.rtd",,"OPEN_INT","."&amp;E$2&amp;E$1&amp;"C"&amp;$A38)*RTD("tos.rtd",,"LAST","."&amp;E$2&amp;E$1&amp;"C"&amp;$A38)+100*RTD("tos.rtd",,"OPEN_INT","."&amp;E$2&amp;E$1&amp;"P"&amp;$A38)*RTD("tos.rtd",,"LAST","."&amp;E$2&amp;E$1&amp;"P"&amp;$A38))/1000000,(100*RTD("tos.rtd",,"OPEN_INT","."&amp;E$2&amp;E$1&amp;"C"&amp;$A38)*RTD("tos.rtd",,"LAST","."&amp;E$2&amp;E$1&amp;"C"&amp;$A38)-100*RTD("tos.rtd",,"OPEN_INT","."&amp;E$2&amp;E$1&amp;"P"&amp;$A38)*RTD("tos.rtd",,"LAST","."&amp;E$2&amp;E$1&amp;"P"&amp;$A38))/1000000),0),IF($A$2="PREMIUM",IFERROR(IF($X$1="ABS",(100*RTD("tos.rtd",,"VOLUME","."&amp;E$2&amp;E$1&amp;"C"&amp;$A38)*RTD("tos.rtd",,"LAST","."&amp;E$2&amp;E$1&amp;"C"&amp;$A38)+100*RTD("tos.rtd",,"VOLUME","."&amp;E$2&amp;E$1&amp;"P"&amp;$A38)*RTD("tos.rtd",,"LAST","."&amp;E$2&amp;E$1&amp;"P"&amp;$A38))/1000000,(100*RTD("tos.rtd",,"VOLUME","."&amp;E$2&amp;E$1&amp;"C"&amp;$A38)*RTD("tos.rtd",,"LAST","."&amp;E$2&amp;E$1&amp;"C"&amp;$A38)-100*RTD("tos.rtd",,"VOLUME","."&amp;E$2&amp;E$1&amp;"P"&amp;$A38)*RTD("tos.rtd",,"LAST","."&amp;E$2&amp;E$1&amp;"P"&amp;$A38))/1000000),0),IF($A$2="DEX",IFERROR(IF($X$1="ABS",(100*RTD("tos.rtd",,"OPEN_INT","."&amp;E$2&amp;E$1&amp;"C"&amp;$A38)*RTD("tos.rtd",,"DELTA","."&amp;E$2&amp;E$1&amp;"C"&amp;$A38)+100*RTD("tos.rtd",,"OPEN_INT","."&amp;E$2&amp;E$1&amp;"P"&amp;$A38)*RTD("tos.rtd",,"DELTA","."&amp;E$2&amp;E$1&amp;"P"&amp;$A38))/1000,(100*RTD("tos.rtd",,"OPEN_INT","."&amp;E$2&amp;E$1&amp;"C"&amp;$A38)*RTD("tos.rtd",,"DELTA","."&amp;E$2&amp;E$1&amp;"C"&amp;$A38)-100*RTD("tos.rtd",,"OPEN_INT","."&amp;E$2&amp;E$1&amp;"P"&amp;$A38)*RTD("tos.rtd",,"DELTA","."&amp;E$2&amp;E$1&amp;"P"&amp;$A38))/1000),0),IF($A$2="VEX",IFERROR(IF($X$1="ABS",($A$4*$A$4*RTD("tos.rtd",,"VOLUME","."&amp;E$2&amp;E$1&amp;"C"&amp;$A38)*RTD("tos.rtd",,"GAMMA","."&amp;E$2&amp;E$1&amp;"C"&amp;$A38)+$A$4*$A$4*RTD("tos.rtd",,"VOLUME","."&amp;E$2&amp;E$1&amp;"P"&amp;$A38)*RTD("tos.rtd",,"GAMMA","."&amp;E$2&amp;E$1&amp;"P"&amp;$A38))/1000000,($A$4*$A$4*RTD("tos.rtd",,"VOLUME","."&amp;E$2&amp;E$1&amp;"C"&amp;$A38)*RTD("tos.rtd",,"GAMMA","."&amp;E$2&amp;E$1&amp;"C"&amp;$A38)-$A$4*$A$4*RTD("tos.rtd",,"VOLUME","."&amp;E$2&amp;E$1&amp;"P"&amp;$A38)*RTD("tos.rtd",,"GAMMA","."&amp;E$2&amp;E$1&amp;"P"&amp;$A38))/1000000),0),IF($A$2="GEX",IFERROR(IF($X$1="ABS",($A$4*$A$4*RTD("tos.rtd",,"OPEN_INT","."&amp;E$2&amp;E$1&amp;"C"&amp;$A38)*RTD("tos.rtd",,"GAMMA","."&amp;E$2&amp;E$1&amp;"C"&amp;$A38)+$A$4*$A$4*RTD("tos.rtd",,"OPEN_INT","."&amp;E$2&amp;E$1&amp;"P"&amp;$A38)*RTD("tos.rtd",,"GAMMA","."&amp;E$2&amp;E$1&amp;"P"&amp;$A38))/1000000,($A$4*$A$4*RTD("tos.rtd",,"OPEN_INT","."&amp;E$2&amp;E$1&amp;"C"&amp;$A38)*RTD("tos.rtd",,"GAMMA","."&amp;E$2&amp;E$1&amp;"C"&amp;$A38)-$A$4*$A$4*RTD("tos.rtd",,"OPEN_INT","."&amp;E$2&amp;E$1&amp;"P"&amp;$A38)*RTD("tos.rtd",,"GAMMA","."&amp;E$2&amp;E$1&amp;"P"&amp;$A38))/1000000),0),IF($A$2="SKEW",IFERROR(VALUE(IF(RTD("tos.rtd",,"IMPL_VOL","."&amp;E$2&amp;E$1&amp;"P"&amp;$A38)="N/A",0,RTD("tos.rtd",,"IMPL_VOL","."&amp;E$2&amp;E$1&amp;"P"&amp;$A38))),0)-IFERROR(VALUE(IF(RTD("tos.rtd",,"IMPL_VOL","."&amp;E$2&amp;E$1&amp;"C"&amp;$A38)="N/A",0,RTD("tos.rtd",,"IMPL_VOL","."&amp;E$2&amp;E$1&amp;"C"&amp;$A38))),0),IF($A$2="MAXPAIN",IF($A$4&gt;$A38,($A$4-$A38)*IF(RTD("tos.rtd",,"OPEN_INT","."&amp;E$2&amp;E$1&amp;"C"&amp;$A38)="N/A",0,RTD("tos.rtd",,"OPEN_INT","."&amp;E$2&amp;E$1&amp;"C"&amp;$A38)),0)+IF($A$4&lt;$A38,($A$5-$A$4)*IF(RTD("tos.rtd",,"OPEN_INT","."&amp;E$2&amp;E$1&amp;"P"&amp;$A38)="N/A",0,RTD("tos.rtd",,"OPEN_INT","."&amp;E$2&amp;E$1&amp;"P"&amp;$A38)),0),IF($X$1="ABS",IF(RTD("tos.rtd",,$A$2,"."&amp;E$2&amp;E$1&amp;"C"&amp;$A38)="N/A",0,RTD("tos.rtd",,$A$2,"."&amp;E$2&amp;E$1&amp;"C"&amp;$A38))+IF(RTD("tos.rtd",,$A$2,"."&amp;E$2&amp;E$1&amp;"P"&amp;$A38)="N/A",0,RTD("tos.rtd",,$A$2,"."&amp;E$2&amp;E$1&amp;"P"&amp;$A38)),IF(RTD("tos.rtd",,$A$2,"."&amp;E$2&amp;E$1&amp;"C"&amp;$A38)="N/A",0,RTD("tos.rtd",,$A$2,"."&amp;E$2&amp;E$1&amp;"C"&amp;$A38))-IF(RTD("tos.rtd",,$A$2,"."&amp;E$2&amp;E$1&amp;"P"&amp;$A38)="N/A",0,RTD("tos.rtd",,$A$2,"."&amp;E$2&amp;E$1&amp;"P"&amp;$A38))))))))))</f>
        <v>0</v>
      </c>
      <c r="F38" s="12">
        <f ca="1">IF($A$2="PREMIUM_OI",IFERROR(IF($X$1="ABS",(100*RTD("tos.rtd",,"OPEN_INT","."&amp;F$2&amp;F$1&amp;"C"&amp;$A38)*RTD("tos.rtd",,"LAST","."&amp;F$2&amp;F$1&amp;"C"&amp;$A38)+100*RTD("tos.rtd",,"OPEN_INT","."&amp;F$2&amp;F$1&amp;"P"&amp;$A38)*RTD("tos.rtd",,"LAST","."&amp;F$2&amp;F$1&amp;"P"&amp;$A38))/1000000,(100*RTD("tos.rtd",,"OPEN_INT","."&amp;F$2&amp;F$1&amp;"C"&amp;$A38)*RTD("tos.rtd",,"LAST","."&amp;F$2&amp;F$1&amp;"C"&amp;$A38)-100*RTD("tos.rtd",,"OPEN_INT","."&amp;F$2&amp;F$1&amp;"P"&amp;$A38)*RTD("tos.rtd",,"LAST","."&amp;F$2&amp;F$1&amp;"P"&amp;$A38))/1000000),0),IF($A$2="PREMIUM",IFERROR(IF($X$1="ABS",(100*RTD("tos.rtd",,"VOLUME","."&amp;F$2&amp;F$1&amp;"C"&amp;$A38)*RTD("tos.rtd",,"LAST","."&amp;F$2&amp;F$1&amp;"C"&amp;$A38)+100*RTD("tos.rtd",,"VOLUME","."&amp;F$2&amp;F$1&amp;"P"&amp;$A38)*RTD("tos.rtd",,"LAST","."&amp;F$2&amp;F$1&amp;"P"&amp;$A38))/1000000,(100*RTD("tos.rtd",,"VOLUME","."&amp;F$2&amp;F$1&amp;"C"&amp;$A38)*RTD("tos.rtd",,"LAST","."&amp;F$2&amp;F$1&amp;"C"&amp;$A38)-100*RTD("tos.rtd",,"VOLUME","."&amp;F$2&amp;F$1&amp;"P"&amp;$A38)*RTD("tos.rtd",,"LAST","."&amp;F$2&amp;F$1&amp;"P"&amp;$A38))/1000000),0),IF($A$2="DEX",IFERROR(IF($X$1="ABS",(100*RTD("tos.rtd",,"OPEN_INT","."&amp;F$2&amp;F$1&amp;"C"&amp;$A38)*RTD("tos.rtd",,"DELTA","."&amp;F$2&amp;F$1&amp;"C"&amp;$A38)+100*RTD("tos.rtd",,"OPEN_INT","."&amp;F$2&amp;F$1&amp;"P"&amp;$A38)*RTD("tos.rtd",,"DELTA","."&amp;F$2&amp;F$1&amp;"P"&amp;$A38))/1000,(100*RTD("tos.rtd",,"OPEN_INT","."&amp;F$2&amp;F$1&amp;"C"&amp;$A38)*RTD("tos.rtd",,"DELTA","."&amp;F$2&amp;F$1&amp;"C"&amp;$A38)-100*RTD("tos.rtd",,"OPEN_INT","."&amp;F$2&amp;F$1&amp;"P"&amp;$A38)*RTD("tos.rtd",,"DELTA","."&amp;F$2&amp;F$1&amp;"P"&amp;$A38))/1000),0),IF($A$2="VEX",IFERROR(IF($X$1="ABS",($A$4*$A$4*RTD("tos.rtd",,"VOLUME","."&amp;F$2&amp;F$1&amp;"C"&amp;$A38)*RTD("tos.rtd",,"GAMMA","."&amp;F$2&amp;F$1&amp;"C"&amp;$A38)+$A$4*$A$4*RTD("tos.rtd",,"VOLUME","."&amp;F$2&amp;F$1&amp;"P"&amp;$A38)*RTD("tos.rtd",,"GAMMA","."&amp;F$2&amp;F$1&amp;"P"&amp;$A38))/1000000,($A$4*$A$4*RTD("tos.rtd",,"VOLUME","."&amp;F$2&amp;F$1&amp;"C"&amp;$A38)*RTD("tos.rtd",,"GAMMA","."&amp;F$2&amp;F$1&amp;"C"&amp;$A38)-$A$4*$A$4*RTD("tos.rtd",,"VOLUME","."&amp;F$2&amp;F$1&amp;"P"&amp;$A38)*RTD("tos.rtd",,"GAMMA","."&amp;F$2&amp;F$1&amp;"P"&amp;$A38))/1000000),0),IF($A$2="GEX",IFERROR(IF($X$1="ABS",($A$4*$A$4*RTD("tos.rtd",,"OPEN_INT","."&amp;F$2&amp;F$1&amp;"C"&amp;$A38)*RTD("tos.rtd",,"GAMMA","."&amp;F$2&amp;F$1&amp;"C"&amp;$A38)+$A$4*$A$4*RTD("tos.rtd",,"OPEN_INT","."&amp;F$2&amp;F$1&amp;"P"&amp;$A38)*RTD("tos.rtd",,"GAMMA","."&amp;F$2&amp;F$1&amp;"P"&amp;$A38))/1000000,($A$4*$A$4*RTD("tos.rtd",,"OPEN_INT","."&amp;F$2&amp;F$1&amp;"C"&amp;$A38)*RTD("tos.rtd",,"GAMMA","."&amp;F$2&amp;F$1&amp;"C"&amp;$A38)-$A$4*$A$4*RTD("tos.rtd",,"OPEN_INT","."&amp;F$2&amp;F$1&amp;"P"&amp;$A38)*RTD("tos.rtd",,"GAMMA","."&amp;F$2&amp;F$1&amp;"P"&amp;$A38))/1000000),0),IF($A$2="SKEW",IFERROR(VALUE(IF(RTD("tos.rtd",,"IMPL_VOL","."&amp;F$2&amp;F$1&amp;"P"&amp;$A38)="N/A",0,RTD("tos.rtd",,"IMPL_VOL","."&amp;F$2&amp;F$1&amp;"P"&amp;$A38))),0)-IFERROR(VALUE(IF(RTD("tos.rtd",,"IMPL_VOL","."&amp;F$2&amp;F$1&amp;"C"&amp;$A38)="N/A",0,RTD("tos.rtd",,"IMPL_VOL","."&amp;F$2&amp;F$1&amp;"C"&amp;$A38))),0),IF($A$2="MAXPAIN",IF($A$4&gt;$A38,($A$4-$A38)*IF(RTD("tos.rtd",,"OPEN_INT","."&amp;F$2&amp;F$1&amp;"C"&amp;$A38)="N/A",0,RTD("tos.rtd",,"OPEN_INT","."&amp;F$2&amp;F$1&amp;"C"&amp;$A38)),0)+IF($A$4&lt;$A38,($A$5-$A$4)*IF(RTD("tos.rtd",,"OPEN_INT","."&amp;F$2&amp;F$1&amp;"P"&amp;$A38)="N/A",0,RTD("tos.rtd",,"OPEN_INT","."&amp;F$2&amp;F$1&amp;"P"&amp;$A38)),0),IF($X$1="ABS",IF(RTD("tos.rtd",,$A$2,"."&amp;F$2&amp;F$1&amp;"C"&amp;$A38)="N/A",0,RTD("tos.rtd",,$A$2,"."&amp;F$2&amp;F$1&amp;"C"&amp;$A38))+IF(RTD("tos.rtd",,$A$2,"."&amp;F$2&amp;F$1&amp;"P"&amp;$A38)="N/A",0,RTD("tos.rtd",,$A$2,"."&amp;F$2&amp;F$1&amp;"P"&amp;$A38)),IF(RTD("tos.rtd",,$A$2,"."&amp;F$2&amp;F$1&amp;"C"&amp;$A38)="N/A",0,RTD("tos.rtd",,$A$2,"."&amp;F$2&amp;F$1&amp;"C"&amp;$A38))-IF(RTD("tos.rtd",,$A$2,"."&amp;F$2&amp;F$1&amp;"P"&amp;$A38)="N/A",0,RTD("tos.rtd",,$A$2,"."&amp;F$2&amp;F$1&amp;"P"&amp;$A38))))))))))</f>
        <v>0</v>
      </c>
      <c r="G38" s="54">
        <f ca="1">IF($A$2="PREMIUM_OI",IFERROR(IF($X$1="ABS",(100*RTD("tos.rtd",,"OPEN_INT","."&amp;G$2&amp;G$1&amp;"C"&amp;$A38)*RTD("tos.rtd",,"LAST","."&amp;G$2&amp;G$1&amp;"C"&amp;$A38)+100*RTD("tos.rtd",,"OPEN_INT","."&amp;G$2&amp;G$1&amp;"P"&amp;$A38)*RTD("tos.rtd",,"LAST","."&amp;G$2&amp;G$1&amp;"P"&amp;$A38))/1000000,(100*RTD("tos.rtd",,"OPEN_INT","."&amp;G$2&amp;G$1&amp;"C"&amp;$A38)*RTD("tos.rtd",,"LAST","."&amp;G$2&amp;G$1&amp;"C"&amp;$A38)-100*RTD("tos.rtd",,"OPEN_INT","."&amp;G$2&amp;G$1&amp;"P"&amp;$A38)*RTD("tos.rtd",,"LAST","."&amp;G$2&amp;G$1&amp;"P"&amp;$A38))/1000000),0),IF($A$2="PREMIUM",IFERROR(IF($X$1="ABS",(100*RTD("tos.rtd",,"VOLUME","."&amp;G$2&amp;G$1&amp;"C"&amp;$A38)*RTD("tos.rtd",,"LAST","."&amp;G$2&amp;G$1&amp;"C"&amp;$A38)+100*RTD("tos.rtd",,"VOLUME","."&amp;G$2&amp;G$1&amp;"P"&amp;$A38)*RTD("tos.rtd",,"LAST","."&amp;G$2&amp;G$1&amp;"P"&amp;$A38))/1000000,(100*RTD("tos.rtd",,"VOLUME","."&amp;G$2&amp;G$1&amp;"C"&amp;$A38)*RTD("tos.rtd",,"LAST","."&amp;G$2&amp;G$1&amp;"C"&amp;$A38)-100*RTD("tos.rtd",,"VOLUME","."&amp;G$2&amp;G$1&amp;"P"&amp;$A38)*RTD("tos.rtd",,"LAST","."&amp;G$2&amp;G$1&amp;"P"&amp;$A38))/1000000),0),IF($A$2="DEX",IFERROR(IF($X$1="ABS",(100*RTD("tos.rtd",,"OPEN_INT","."&amp;G$2&amp;G$1&amp;"C"&amp;$A38)*RTD("tos.rtd",,"DELTA","."&amp;G$2&amp;G$1&amp;"C"&amp;$A38)+100*RTD("tos.rtd",,"OPEN_INT","."&amp;G$2&amp;G$1&amp;"P"&amp;$A38)*RTD("tos.rtd",,"DELTA","."&amp;G$2&amp;G$1&amp;"P"&amp;$A38))/1000,(100*RTD("tos.rtd",,"OPEN_INT","."&amp;G$2&amp;G$1&amp;"C"&amp;$A38)*RTD("tos.rtd",,"DELTA","."&amp;G$2&amp;G$1&amp;"C"&amp;$A38)-100*RTD("tos.rtd",,"OPEN_INT","."&amp;G$2&amp;G$1&amp;"P"&amp;$A38)*RTD("tos.rtd",,"DELTA","."&amp;G$2&amp;G$1&amp;"P"&amp;$A38))/1000),0),IF($A$2="VEX",IFERROR(IF($X$1="ABS",($A$4*$A$4*RTD("tos.rtd",,"VOLUME","."&amp;G$2&amp;G$1&amp;"C"&amp;$A38)*RTD("tos.rtd",,"GAMMA","."&amp;G$2&amp;G$1&amp;"C"&amp;$A38)+$A$4*$A$4*RTD("tos.rtd",,"VOLUME","."&amp;G$2&amp;G$1&amp;"P"&amp;$A38)*RTD("tos.rtd",,"GAMMA","."&amp;G$2&amp;G$1&amp;"P"&amp;$A38))/1000000,($A$4*$A$4*RTD("tos.rtd",,"VOLUME","."&amp;G$2&amp;G$1&amp;"C"&amp;$A38)*RTD("tos.rtd",,"GAMMA","."&amp;G$2&amp;G$1&amp;"C"&amp;$A38)-$A$4*$A$4*RTD("tos.rtd",,"VOLUME","."&amp;G$2&amp;G$1&amp;"P"&amp;$A38)*RTD("tos.rtd",,"GAMMA","."&amp;G$2&amp;G$1&amp;"P"&amp;$A38))/1000000),0),IF($A$2="GEX",IFERROR(IF($X$1="ABS",($A$4*$A$4*RTD("tos.rtd",,"OPEN_INT","."&amp;G$2&amp;G$1&amp;"C"&amp;$A38)*RTD("tos.rtd",,"GAMMA","."&amp;G$2&amp;G$1&amp;"C"&amp;$A38)+$A$4*$A$4*RTD("tos.rtd",,"OPEN_INT","."&amp;G$2&amp;G$1&amp;"P"&amp;$A38)*RTD("tos.rtd",,"GAMMA","."&amp;G$2&amp;G$1&amp;"P"&amp;$A38))/1000000,($A$4*$A$4*RTD("tos.rtd",,"OPEN_INT","."&amp;G$2&amp;G$1&amp;"C"&amp;$A38)*RTD("tos.rtd",,"GAMMA","."&amp;G$2&amp;G$1&amp;"C"&amp;$A38)-$A$4*$A$4*RTD("tos.rtd",,"OPEN_INT","."&amp;G$2&amp;G$1&amp;"P"&amp;$A38)*RTD("tos.rtd",,"GAMMA","."&amp;G$2&amp;G$1&amp;"P"&amp;$A38))/1000000),0),IF($A$2="SKEW",IFERROR(VALUE(IF(RTD("tos.rtd",,"IMPL_VOL","."&amp;G$2&amp;G$1&amp;"P"&amp;$A38)="N/A",0,RTD("tos.rtd",,"IMPL_VOL","."&amp;G$2&amp;G$1&amp;"P"&amp;$A38))),0)-IFERROR(VALUE(IF(RTD("tos.rtd",,"IMPL_VOL","."&amp;G$2&amp;G$1&amp;"C"&amp;$A38)="N/A",0,RTD("tos.rtd",,"IMPL_VOL","."&amp;G$2&amp;G$1&amp;"C"&amp;$A38))),0),IF($A$2="MAXPAIN",IF($A$4&gt;$A38,($A$4-$A38)*IF(RTD("tos.rtd",,"OPEN_INT","."&amp;G$2&amp;G$1&amp;"C"&amp;$A38)="N/A",0,RTD("tos.rtd",,"OPEN_INT","."&amp;G$2&amp;G$1&amp;"C"&amp;$A38)),0)+IF($A$4&lt;$A38,($A$5-$A$4)*IF(RTD("tos.rtd",,"OPEN_INT","."&amp;G$2&amp;G$1&amp;"P"&amp;$A38)="N/A",0,RTD("tos.rtd",,"OPEN_INT","."&amp;G$2&amp;G$1&amp;"P"&amp;$A38)),0),IF($X$1="ABS",IF(RTD("tos.rtd",,$A$2,"."&amp;G$2&amp;G$1&amp;"C"&amp;$A38)="N/A",0,RTD("tos.rtd",,$A$2,"."&amp;G$2&amp;G$1&amp;"C"&amp;$A38))+IF(RTD("tos.rtd",,$A$2,"."&amp;G$2&amp;G$1&amp;"P"&amp;$A38)="N/A",0,RTD("tos.rtd",,$A$2,"."&amp;G$2&amp;G$1&amp;"P"&amp;$A38)),IF(RTD("tos.rtd",,$A$2,"."&amp;G$2&amp;G$1&amp;"C"&amp;$A38)="N/A",0,RTD("tos.rtd",,$A$2,"."&amp;G$2&amp;G$1&amp;"C"&amp;$A38))-IF(RTD("tos.rtd",,$A$2,"."&amp;G$2&amp;G$1&amp;"P"&amp;$A38)="N/A",0,RTD("tos.rtd",,$A$2,"."&amp;G$2&amp;G$1&amp;"P"&amp;$A38))))))))))</f>
        <v>0</v>
      </c>
      <c r="H38" s="14">
        <f ca="1">IF($A$2="PREMIUM_OI",IFERROR(IF($X$1="ABS",(100*RTD("tos.rtd",,"OPEN_INT","."&amp;H$2&amp;H$1&amp;"C"&amp;$A38)*RTD("tos.rtd",,"LAST","."&amp;H$2&amp;H$1&amp;"C"&amp;$A38)+100*RTD("tos.rtd",,"OPEN_INT","."&amp;H$2&amp;H$1&amp;"P"&amp;$A38)*RTD("tos.rtd",,"LAST","."&amp;H$2&amp;H$1&amp;"P"&amp;$A38))/1000000,(100*RTD("tos.rtd",,"OPEN_INT","."&amp;H$2&amp;H$1&amp;"C"&amp;$A38)*RTD("tos.rtd",,"LAST","."&amp;H$2&amp;H$1&amp;"C"&amp;$A38)-100*RTD("tos.rtd",,"OPEN_INT","."&amp;H$2&amp;H$1&amp;"P"&amp;$A38)*RTD("tos.rtd",,"LAST","."&amp;H$2&amp;H$1&amp;"P"&amp;$A38))/1000000),0),IF($A$2="PREMIUM",IFERROR(IF($X$1="ABS",(100*RTD("tos.rtd",,"VOLUME","."&amp;H$2&amp;H$1&amp;"C"&amp;$A38)*RTD("tos.rtd",,"LAST","."&amp;H$2&amp;H$1&amp;"C"&amp;$A38)+100*RTD("tos.rtd",,"VOLUME","."&amp;H$2&amp;H$1&amp;"P"&amp;$A38)*RTD("tos.rtd",,"LAST","."&amp;H$2&amp;H$1&amp;"P"&amp;$A38))/1000000,(100*RTD("tos.rtd",,"VOLUME","."&amp;H$2&amp;H$1&amp;"C"&amp;$A38)*RTD("tos.rtd",,"LAST","."&amp;H$2&amp;H$1&amp;"C"&amp;$A38)-100*RTD("tos.rtd",,"VOLUME","."&amp;H$2&amp;H$1&amp;"P"&amp;$A38)*RTD("tos.rtd",,"LAST","."&amp;H$2&amp;H$1&amp;"P"&amp;$A38))/1000000),0),IF($A$2="DEX",IFERROR(IF($X$1="ABS",(100*RTD("tos.rtd",,"OPEN_INT","."&amp;H$2&amp;H$1&amp;"C"&amp;$A38)*RTD("tos.rtd",,"DELTA","."&amp;H$2&amp;H$1&amp;"C"&amp;$A38)+100*RTD("tos.rtd",,"OPEN_INT","."&amp;H$2&amp;H$1&amp;"P"&amp;$A38)*RTD("tos.rtd",,"DELTA","."&amp;H$2&amp;H$1&amp;"P"&amp;$A38))/1000,(100*RTD("tos.rtd",,"OPEN_INT","."&amp;H$2&amp;H$1&amp;"C"&amp;$A38)*RTD("tos.rtd",,"DELTA","."&amp;H$2&amp;H$1&amp;"C"&amp;$A38)-100*RTD("tos.rtd",,"OPEN_INT","."&amp;H$2&amp;H$1&amp;"P"&amp;$A38)*RTD("tos.rtd",,"DELTA","."&amp;H$2&amp;H$1&amp;"P"&amp;$A38))/1000),0),IF($A$2="VEX",IFERROR(IF($X$1="ABS",($A$4*$A$4*RTD("tos.rtd",,"VOLUME","."&amp;H$2&amp;H$1&amp;"C"&amp;$A38)*RTD("tos.rtd",,"GAMMA","."&amp;H$2&amp;H$1&amp;"C"&amp;$A38)+$A$4*$A$4*RTD("tos.rtd",,"VOLUME","."&amp;H$2&amp;H$1&amp;"P"&amp;$A38)*RTD("tos.rtd",,"GAMMA","."&amp;H$2&amp;H$1&amp;"P"&amp;$A38))/1000000,($A$4*$A$4*RTD("tos.rtd",,"VOLUME","."&amp;H$2&amp;H$1&amp;"C"&amp;$A38)*RTD("tos.rtd",,"GAMMA","."&amp;H$2&amp;H$1&amp;"C"&amp;$A38)-$A$4*$A$4*RTD("tos.rtd",,"VOLUME","."&amp;H$2&amp;H$1&amp;"P"&amp;$A38)*RTD("tos.rtd",,"GAMMA","."&amp;H$2&amp;H$1&amp;"P"&amp;$A38))/1000000),0),IF($A$2="GEX",IFERROR(IF($X$1="ABS",($A$4*$A$4*RTD("tos.rtd",,"OPEN_INT","."&amp;H$2&amp;H$1&amp;"C"&amp;$A38)*RTD("tos.rtd",,"GAMMA","."&amp;H$2&amp;H$1&amp;"C"&amp;$A38)+$A$4*$A$4*RTD("tos.rtd",,"OPEN_INT","."&amp;H$2&amp;H$1&amp;"P"&amp;$A38)*RTD("tos.rtd",,"GAMMA","."&amp;H$2&amp;H$1&amp;"P"&amp;$A38))/1000000,($A$4*$A$4*RTD("tos.rtd",,"OPEN_INT","."&amp;H$2&amp;H$1&amp;"C"&amp;$A38)*RTD("tos.rtd",,"GAMMA","."&amp;H$2&amp;H$1&amp;"C"&amp;$A38)-$A$4*$A$4*RTD("tos.rtd",,"OPEN_INT","."&amp;H$2&amp;H$1&amp;"P"&amp;$A38)*RTD("tos.rtd",,"GAMMA","."&amp;H$2&amp;H$1&amp;"P"&amp;$A38))/1000000),0),IF($A$2="SKEW",IFERROR(VALUE(IF(RTD("tos.rtd",,"IMPL_VOL","."&amp;H$2&amp;H$1&amp;"P"&amp;$A38)="N/A",0,RTD("tos.rtd",,"IMPL_VOL","."&amp;H$2&amp;H$1&amp;"P"&amp;$A38))),0)-IFERROR(VALUE(IF(RTD("tos.rtd",,"IMPL_VOL","."&amp;H$2&amp;H$1&amp;"C"&amp;$A38)="N/A",0,RTD("tos.rtd",,"IMPL_VOL","."&amp;H$2&amp;H$1&amp;"C"&amp;$A38))),0),IF($A$2="MAXPAIN",IF($A$4&gt;$A38,($A$4-$A38)*IF(RTD("tos.rtd",,"OPEN_INT","."&amp;H$2&amp;H$1&amp;"C"&amp;$A38)="N/A",0,RTD("tos.rtd",,"OPEN_INT","."&amp;H$2&amp;H$1&amp;"C"&amp;$A38)),0)+IF($A$4&lt;$A38,($A$5-$A$4)*IF(RTD("tos.rtd",,"OPEN_INT","."&amp;H$2&amp;H$1&amp;"P"&amp;$A38)="N/A",0,RTD("tos.rtd",,"OPEN_INT","."&amp;H$2&amp;H$1&amp;"P"&amp;$A38)),0),IF($X$1="ABS",IF(RTD("tos.rtd",,$A$2,"."&amp;H$2&amp;H$1&amp;"C"&amp;$A38)="N/A",0,RTD("tos.rtd",,$A$2,"."&amp;H$2&amp;H$1&amp;"C"&amp;$A38))+IF(RTD("tos.rtd",,$A$2,"."&amp;H$2&amp;H$1&amp;"P"&amp;$A38)="N/A",0,RTD("tos.rtd",,$A$2,"."&amp;H$2&amp;H$1&amp;"P"&amp;$A38)),IF(RTD("tos.rtd",,$A$2,"."&amp;H$2&amp;H$1&amp;"C"&amp;$A38)="N/A",0,RTD("tos.rtd",,$A$2,"."&amp;H$2&amp;H$1&amp;"C"&amp;$A38))-IF(RTD("tos.rtd",,$A$2,"."&amp;H$2&amp;H$1&amp;"P"&amp;$A38)="N/A",0,RTD("tos.rtd",,$A$2,"."&amp;H$2&amp;H$1&amp;"P"&amp;$A38))))))))))</f>
        <v>0</v>
      </c>
      <c r="I38" s="12">
        <f ca="1">IF($A$2="PREMIUM_OI",IFERROR(IF($X$1="ABS",(100*RTD("tos.rtd",,"OPEN_INT","."&amp;I$2&amp;I$1&amp;"C"&amp;$A38)*RTD("tos.rtd",,"LAST","."&amp;I$2&amp;I$1&amp;"C"&amp;$A38)+100*RTD("tos.rtd",,"OPEN_INT","."&amp;I$2&amp;I$1&amp;"P"&amp;$A38)*RTD("tos.rtd",,"LAST","."&amp;I$2&amp;I$1&amp;"P"&amp;$A38))/1000000,(100*RTD("tos.rtd",,"OPEN_INT","."&amp;I$2&amp;I$1&amp;"C"&amp;$A38)*RTD("tos.rtd",,"LAST","."&amp;I$2&amp;I$1&amp;"C"&amp;$A38)-100*RTD("tos.rtd",,"OPEN_INT","."&amp;I$2&amp;I$1&amp;"P"&amp;$A38)*RTD("tos.rtd",,"LAST","."&amp;I$2&amp;I$1&amp;"P"&amp;$A38))/1000000),0),IF($A$2="PREMIUM",IFERROR(IF($X$1="ABS",(100*RTD("tos.rtd",,"VOLUME","."&amp;I$2&amp;I$1&amp;"C"&amp;$A38)*RTD("tos.rtd",,"LAST","."&amp;I$2&amp;I$1&amp;"C"&amp;$A38)+100*RTD("tos.rtd",,"VOLUME","."&amp;I$2&amp;I$1&amp;"P"&amp;$A38)*RTD("tos.rtd",,"LAST","."&amp;I$2&amp;I$1&amp;"P"&amp;$A38))/1000000,(100*RTD("tos.rtd",,"VOLUME","."&amp;I$2&amp;I$1&amp;"C"&amp;$A38)*RTD("tos.rtd",,"LAST","."&amp;I$2&amp;I$1&amp;"C"&amp;$A38)-100*RTD("tos.rtd",,"VOLUME","."&amp;I$2&amp;I$1&amp;"P"&amp;$A38)*RTD("tos.rtd",,"LAST","."&amp;I$2&amp;I$1&amp;"P"&amp;$A38))/1000000),0),IF($A$2="DEX",IFERROR(IF($X$1="ABS",(100*RTD("tos.rtd",,"OPEN_INT","."&amp;I$2&amp;I$1&amp;"C"&amp;$A38)*RTD("tos.rtd",,"DELTA","."&amp;I$2&amp;I$1&amp;"C"&amp;$A38)+100*RTD("tos.rtd",,"OPEN_INT","."&amp;I$2&amp;I$1&amp;"P"&amp;$A38)*RTD("tos.rtd",,"DELTA","."&amp;I$2&amp;I$1&amp;"P"&amp;$A38))/1000,(100*RTD("tos.rtd",,"OPEN_INT","."&amp;I$2&amp;I$1&amp;"C"&amp;$A38)*RTD("tos.rtd",,"DELTA","."&amp;I$2&amp;I$1&amp;"C"&amp;$A38)-100*RTD("tos.rtd",,"OPEN_INT","."&amp;I$2&amp;I$1&amp;"P"&amp;$A38)*RTD("tos.rtd",,"DELTA","."&amp;I$2&amp;I$1&amp;"P"&amp;$A38))/1000),0),IF($A$2="VEX",IFERROR(IF($X$1="ABS",($A$4*$A$4*RTD("tos.rtd",,"VOLUME","."&amp;I$2&amp;I$1&amp;"C"&amp;$A38)*RTD("tos.rtd",,"GAMMA","."&amp;I$2&amp;I$1&amp;"C"&amp;$A38)+$A$4*$A$4*RTD("tos.rtd",,"VOLUME","."&amp;I$2&amp;I$1&amp;"P"&amp;$A38)*RTD("tos.rtd",,"GAMMA","."&amp;I$2&amp;I$1&amp;"P"&amp;$A38))/1000000,($A$4*$A$4*RTD("tos.rtd",,"VOLUME","."&amp;I$2&amp;I$1&amp;"C"&amp;$A38)*RTD("tos.rtd",,"GAMMA","."&amp;I$2&amp;I$1&amp;"C"&amp;$A38)-$A$4*$A$4*RTD("tos.rtd",,"VOLUME","."&amp;I$2&amp;I$1&amp;"P"&amp;$A38)*RTD("tos.rtd",,"GAMMA","."&amp;I$2&amp;I$1&amp;"P"&amp;$A38))/1000000),0),IF($A$2="GEX",IFERROR(IF($X$1="ABS",($A$4*$A$4*RTD("tos.rtd",,"OPEN_INT","."&amp;I$2&amp;I$1&amp;"C"&amp;$A38)*RTD("tos.rtd",,"GAMMA","."&amp;I$2&amp;I$1&amp;"C"&amp;$A38)+$A$4*$A$4*RTD("tos.rtd",,"OPEN_INT","."&amp;I$2&amp;I$1&amp;"P"&amp;$A38)*RTD("tos.rtd",,"GAMMA","."&amp;I$2&amp;I$1&amp;"P"&amp;$A38))/1000000,($A$4*$A$4*RTD("tos.rtd",,"OPEN_INT","."&amp;I$2&amp;I$1&amp;"C"&amp;$A38)*RTD("tos.rtd",,"GAMMA","."&amp;I$2&amp;I$1&amp;"C"&amp;$A38)-$A$4*$A$4*RTD("tos.rtd",,"OPEN_INT","."&amp;I$2&amp;I$1&amp;"P"&amp;$A38)*RTD("tos.rtd",,"GAMMA","."&amp;I$2&amp;I$1&amp;"P"&amp;$A38))/1000000),0),IF($A$2="SKEW",IFERROR(VALUE(IF(RTD("tos.rtd",,"IMPL_VOL","."&amp;I$2&amp;I$1&amp;"P"&amp;$A38)="N/A",0,RTD("tos.rtd",,"IMPL_VOL","."&amp;I$2&amp;I$1&amp;"P"&amp;$A38))),0)-IFERROR(VALUE(IF(RTD("tos.rtd",,"IMPL_VOL","."&amp;I$2&amp;I$1&amp;"C"&amp;$A38)="N/A",0,RTD("tos.rtd",,"IMPL_VOL","."&amp;I$2&amp;I$1&amp;"C"&amp;$A38))),0),IF($A$2="MAXPAIN",IF($A$4&gt;$A38,($A$4-$A38)*IF(RTD("tos.rtd",,"OPEN_INT","."&amp;I$2&amp;I$1&amp;"C"&amp;$A38)="N/A",0,RTD("tos.rtd",,"OPEN_INT","."&amp;I$2&amp;I$1&amp;"C"&amp;$A38)),0)+IF($A$4&lt;$A38,($A$5-$A$4)*IF(RTD("tos.rtd",,"OPEN_INT","."&amp;I$2&amp;I$1&amp;"P"&amp;$A38)="N/A",0,RTD("tos.rtd",,"OPEN_INT","."&amp;I$2&amp;I$1&amp;"P"&amp;$A38)),0),IF($X$1="ABS",IF(RTD("tos.rtd",,$A$2,"."&amp;I$2&amp;I$1&amp;"C"&amp;$A38)="N/A",0,RTD("tos.rtd",,$A$2,"."&amp;I$2&amp;I$1&amp;"C"&amp;$A38))+IF(RTD("tos.rtd",,$A$2,"."&amp;I$2&amp;I$1&amp;"P"&amp;$A38)="N/A",0,RTD("tos.rtd",,$A$2,"."&amp;I$2&amp;I$1&amp;"P"&amp;$A38)),IF(RTD("tos.rtd",,$A$2,"."&amp;I$2&amp;I$1&amp;"C"&amp;$A38)="N/A",0,RTD("tos.rtd",,$A$2,"."&amp;I$2&amp;I$1&amp;"C"&amp;$A38))-IF(RTD("tos.rtd",,$A$2,"."&amp;I$2&amp;I$1&amp;"P"&amp;$A38)="N/A",0,RTD("tos.rtd",,$A$2,"."&amp;I$2&amp;I$1&amp;"P"&amp;$A38))))))))))</f>
        <v>0</v>
      </c>
      <c r="J38" s="12">
        <f ca="1">IF($A$2="PREMIUM_OI",IFERROR(IF($X$1="ABS",(100*RTD("tos.rtd",,"OPEN_INT","."&amp;J$2&amp;J$1&amp;"C"&amp;$A38)*RTD("tos.rtd",,"LAST","."&amp;J$2&amp;J$1&amp;"C"&amp;$A38)+100*RTD("tos.rtd",,"OPEN_INT","."&amp;J$2&amp;J$1&amp;"P"&amp;$A38)*RTD("tos.rtd",,"LAST","."&amp;J$2&amp;J$1&amp;"P"&amp;$A38))/1000000,(100*RTD("tos.rtd",,"OPEN_INT","."&amp;J$2&amp;J$1&amp;"C"&amp;$A38)*RTD("tos.rtd",,"LAST","."&amp;J$2&amp;J$1&amp;"C"&amp;$A38)-100*RTD("tos.rtd",,"OPEN_INT","."&amp;J$2&amp;J$1&amp;"P"&amp;$A38)*RTD("tos.rtd",,"LAST","."&amp;J$2&amp;J$1&amp;"P"&amp;$A38))/1000000),0),IF($A$2="PREMIUM",IFERROR(IF($X$1="ABS",(100*RTD("tos.rtd",,"VOLUME","."&amp;J$2&amp;J$1&amp;"C"&amp;$A38)*RTD("tos.rtd",,"LAST","."&amp;J$2&amp;J$1&amp;"C"&amp;$A38)+100*RTD("tos.rtd",,"VOLUME","."&amp;J$2&amp;J$1&amp;"P"&amp;$A38)*RTD("tos.rtd",,"LAST","."&amp;J$2&amp;J$1&amp;"P"&amp;$A38))/1000000,(100*RTD("tos.rtd",,"VOLUME","."&amp;J$2&amp;J$1&amp;"C"&amp;$A38)*RTD("tos.rtd",,"LAST","."&amp;J$2&amp;J$1&amp;"C"&amp;$A38)-100*RTD("tos.rtd",,"VOLUME","."&amp;J$2&amp;J$1&amp;"P"&amp;$A38)*RTD("tos.rtd",,"LAST","."&amp;J$2&amp;J$1&amp;"P"&amp;$A38))/1000000),0),IF($A$2="DEX",IFERROR(IF($X$1="ABS",(100*RTD("tos.rtd",,"OPEN_INT","."&amp;J$2&amp;J$1&amp;"C"&amp;$A38)*RTD("tos.rtd",,"DELTA","."&amp;J$2&amp;J$1&amp;"C"&amp;$A38)+100*RTD("tos.rtd",,"OPEN_INT","."&amp;J$2&amp;J$1&amp;"P"&amp;$A38)*RTD("tos.rtd",,"DELTA","."&amp;J$2&amp;J$1&amp;"P"&amp;$A38))/1000,(100*RTD("tos.rtd",,"OPEN_INT","."&amp;J$2&amp;J$1&amp;"C"&amp;$A38)*RTD("tos.rtd",,"DELTA","."&amp;J$2&amp;J$1&amp;"C"&amp;$A38)-100*RTD("tos.rtd",,"OPEN_INT","."&amp;J$2&amp;J$1&amp;"P"&amp;$A38)*RTD("tos.rtd",,"DELTA","."&amp;J$2&amp;J$1&amp;"P"&amp;$A38))/1000),0),IF($A$2="VEX",IFERROR(IF($X$1="ABS",($A$4*$A$4*RTD("tos.rtd",,"VOLUME","."&amp;J$2&amp;J$1&amp;"C"&amp;$A38)*RTD("tos.rtd",,"GAMMA","."&amp;J$2&amp;J$1&amp;"C"&amp;$A38)+$A$4*$A$4*RTD("tos.rtd",,"VOLUME","."&amp;J$2&amp;J$1&amp;"P"&amp;$A38)*RTD("tos.rtd",,"GAMMA","."&amp;J$2&amp;J$1&amp;"P"&amp;$A38))/1000000,($A$4*$A$4*RTD("tos.rtd",,"VOLUME","."&amp;J$2&amp;J$1&amp;"C"&amp;$A38)*RTD("tos.rtd",,"GAMMA","."&amp;J$2&amp;J$1&amp;"C"&amp;$A38)-$A$4*$A$4*RTD("tos.rtd",,"VOLUME","."&amp;J$2&amp;J$1&amp;"P"&amp;$A38)*RTD("tos.rtd",,"GAMMA","."&amp;J$2&amp;J$1&amp;"P"&amp;$A38))/1000000),0),IF($A$2="GEX",IFERROR(IF($X$1="ABS",($A$4*$A$4*RTD("tos.rtd",,"OPEN_INT","."&amp;J$2&amp;J$1&amp;"C"&amp;$A38)*RTD("tos.rtd",,"GAMMA","."&amp;J$2&amp;J$1&amp;"C"&amp;$A38)+$A$4*$A$4*RTD("tos.rtd",,"OPEN_INT","."&amp;J$2&amp;J$1&amp;"P"&amp;$A38)*RTD("tos.rtd",,"GAMMA","."&amp;J$2&amp;J$1&amp;"P"&amp;$A38))/1000000,($A$4*$A$4*RTD("tos.rtd",,"OPEN_INT","."&amp;J$2&amp;J$1&amp;"C"&amp;$A38)*RTD("tos.rtd",,"GAMMA","."&amp;J$2&amp;J$1&amp;"C"&amp;$A38)-$A$4*$A$4*RTD("tos.rtd",,"OPEN_INT","."&amp;J$2&amp;J$1&amp;"P"&amp;$A38)*RTD("tos.rtd",,"GAMMA","."&amp;J$2&amp;J$1&amp;"P"&amp;$A38))/1000000),0),IF($A$2="SKEW",IFERROR(VALUE(IF(RTD("tos.rtd",,"IMPL_VOL","."&amp;J$2&amp;J$1&amp;"P"&amp;$A38)="N/A",0,RTD("tos.rtd",,"IMPL_VOL","."&amp;J$2&amp;J$1&amp;"P"&amp;$A38))),0)-IFERROR(VALUE(IF(RTD("tos.rtd",,"IMPL_VOL","."&amp;J$2&amp;J$1&amp;"C"&amp;$A38)="N/A",0,RTD("tos.rtd",,"IMPL_VOL","."&amp;J$2&amp;J$1&amp;"C"&amp;$A38))),0),IF($A$2="MAXPAIN",IF($A$4&gt;$A38,($A$4-$A38)*IF(RTD("tos.rtd",,"OPEN_INT","."&amp;J$2&amp;J$1&amp;"C"&amp;$A38)="N/A",0,RTD("tos.rtd",,"OPEN_INT","."&amp;J$2&amp;J$1&amp;"C"&amp;$A38)),0)+IF($A$4&lt;$A38,($A$5-$A$4)*IF(RTD("tos.rtd",,"OPEN_INT","."&amp;J$2&amp;J$1&amp;"P"&amp;$A38)="N/A",0,RTD("tos.rtd",,"OPEN_INT","."&amp;J$2&amp;J$1&amp;"P"&amp;$A38)),0),IF($X$1="ABS",IF(RTD("tos.rtd",,$A$2,"."&amp;J$2&amp;J$1&amp;"C"&amp;$A38)="N/A",0,RTD("tos.rtd",,$A$2,"."&amp;J$2&amp;J$1&amp;"C"&amp;$A38))+IF(RTD("tos.rtd",,$A$2,"."&amp;J$2&amp;J$1&amp;"P"&amp;$A38)="N/A",0,RTD("tos.rtd",,$A$2,"."&amp;J$2&amp;J$1&amp;"P"&amp;$A38)),IF(RTD("tos.rtd",,$A$2,"."&amp;J$2&amp;J$1&amp;"C"&amp;$A38)="N/A",0,RTD("tos.rtd",,$A$2,"."&amp;J$2&amp;J$1&amp;"C"&amp;$A38))-IF(RTD("tos.rtd",,$A$2,"."&amp;J$2&amp;J$1&amp;"P"&amp;$A38)="N/A",0,RTD("tos.rtd",,$A$2,"."&amp;J$2&amp;J$1&amp;"P"&amp;$A38))))))))))</f>
        <v>0</v>
      </c>
      <c r="K38" s="12">
        <f ca="1">IF($A$2="PREMIUM_OI",IFERROR(IF($X$1="ABS",(100*RTD("tos.rtd",,"OPEN_INT","."&amp;K$2&amp;K$1&amp;"C"&amp;$A38)*RTD("tos.rtd",,"LAST","."&amp;K$2&amp;K$1&amp;"C"&amp;$A38)+100*RTD("tos.rtd",,"OPEN_INT","."&amp;K$2&amp;K$1&amp;"P"&amp;$A38)*RTD("tos.rtd",,"LAST","."&amp;K$2&amp;K$1&amp;"P"&amp;$A38))/1000000,(100*RTD("tos.rtd",,"OPEN_INT","."&amp;K$2&amp;K$1&amp;"C"&amp;$A38)*RTD("tos.rtd",,"LAST","."&amp;K$2&amp;K$1&amp;"C"&amp;$A38)-100*RTD("tos.rtd",,"OPEN_INT","."&amp;K$2&amp;K$1&amp;"P"&amp;$A38)*RTD("tos.rtd",,"LAST","."&amp;K$2&amp;K$1&amp;"P"&amp;$A38))/1000000),0),IF($A$2="PREMIUM",IFERROR(IF($X$1="ABS",(100*RTD("tos.rtd",,"VOLUME","."&amp;K$2&amp;K$1&amp;"C"&amp;$A38)*RTD("tos.rtd",,"LAST","."&amp;K$2&amp;K$1&amp;"C"&amp;$A38)+100*RTD("tos.rtd",,"VOLUME","."&amp;K$2&amp;K$1&amp;"P"&amp;$A38)*RTD("tos.rtd",,"LAST","."&amp;K$2&amp;K$1&amp;"P"&amp;$A38))/1000000,(100*RTD("tos.rtd",,"VOLUME","."&amp;K$2&amp;K$1&amp;"C"&amp;$A38)*RTD("tos.rtd",,"LAST","."&amp;K$2&amp;K$1&amp;"C"&amp;$A38)-100*RTD("tos.rtd",,"VOLUME","."&amp;K$2&amp;K$1&amp;"P"&amp;$A38)*RTD("tos.rtd",,"LAST","."&amp;K$2&amp;K$1&amp;"P"&amp;$A38))/1000000),0),IF($A$2="DEX",IFERROR(IF($X$1="ABS",(100*RTD("tos.rtd",,"OPEN_INT","."&amp;K$2&amp;K$1&amp;"C"&amp;$A38)*RTD("tos.rtd",,"DELTA","."&amp;K$2&amp;K$1&amp;"C"&amp;$A38)+100*RTD("tos.rtd",,"OPEN_INT","."&amp;K$2&amp;K$1&amp;"P"&amp;$A38)*RTD("tos.rtd",,"DELTA","."&amp;K$2&amp;K$1&amp;"P"&amp;$A38))/1000,(100*RTD("tos.rtd",,"OPEN_INT","."&amp;K$2&amp;K$1&amp;"C"&amp;$A38)*RTD("tos.rtd",,"DELTA","."&amp;K$2&amp;K$1&amp;"C"&amp;$A38)-100*RTD("tos.rtd",,"OPEN_INT","."&amp;K$2&amp;K$1&amp;"P"&amp;$A38)*RTD("tos.rtd",,"DELTA","."&amp;K$2&amp;K$1&amp;"P"&amp;$A38))/1000),0),IF($A$2="VEX",IFERROR(IF($X$1="ABS",($A$4*$A$4*RTD("tos.rtd",,"VOLUME","."&amp;K$2&amp;K$1&amp;"C"&amp;$A38)*RTD("tos.rtd",,"GAMMA","."&amp;K$2&amp;K$1&amp;"C"&amp;$A38)+$A$4*$A$4*RTD("tos.rtd",,"VOLUME","."&amp;K$2&amp;K$1&amp;"P"&amp;$A38)*RTD("tos.rtd",,"GAMMA","."&amp;K$2&amp;K$1&amp;"P"&amp;$A38))/1000000,($A$4*$A$4*RTD("tos.rtd",,"VOLUME","."&amp;K$2&amp;K$1&amp;"C"&amp;$A38)*RTD("tos.rtd",,"GAMMA","."&amp;K$2&amp;K$1&amp;"C"&amp;$A38)-$A$4*$A$4*RTD("tos.rtd",,"VOLUME","."&amp;K$2&amp;K$1&amp;"P"&amp;$A38)*RTD("tos.rtd",,"GAMMA","."&amp;K$2&amp;K$1&amp;"P"&amp;$A38))/1000000),0),IF($A$2="GEX",IFERROR(IF($X$1="ABS",($A$4*$A$4*RTD("tos.rtd",,"OPEN_INT","."&amp;K$2&amp;K$1&amp;"C"&amp;$A38)*RTD("tos.rtd",,"GAMMA","."&amp;K$2&amp;K$1&amp;"C"&amp;$A38)+$A$4*$A$4*RTD("tos.rtd",,"OPEN_INT","."&amp;K$2&amp;K$1&amp;"P"&amp;$A38)*RTD("tos.rtd",,"GAMMA","."&amp;K$2&amp;K$1&amp;"P"&amp;$A38))/1000000,($A$4*$A$4*RTD("tos.rtd",,"OPEN_INT","."&amp;K$2&amp;K$1&amp;"C"&amp;$A38)*RTD("tos.rtd",,"GAMMA","."&amp;K$2&amp;K$1&amp;"C"&amp;$A38)-$A$4*$A$4*RTD("tos.rtd",,"OPEN_INT","."&amp;K$2&amp;K$1&amp;"P"&amp;$A38)*RTD("tos.rtd",,"GAMMA","."&amp;K$2&amp;K$1&amp;"P"&amp;$A38))/1000000),0),IF($A$2="SKEW",IFERROR(VALUE(IF(RTD("tos.rtd",,"IMPL_VOL","."&amp;K$2&amp;K$1&amp;"P"&amp;$A38)="N/A",0,RTD("tos.rtd",,"IMPL_VOL","."&amp;K$2&amp;K$1&amp;"P"&amp;$A38))),0)-IFERROR(VALUE(IF(RTD("tos.rtd",,"IMPL_VOL","."&amp;K$2&amp;K$1&amp;"C"&amp;$A38)="N/A",0,RTD("tos.rtd",,"IMPL_VOL","."&amp;K$2&amp;K$1&amp;"C"&amp;$A38))),0),IF($A$2="MAXPAIN",IF($A$4&gt;$A38,($A$4-$A38)*IF(RTD("tos.rtd",,"OPEN_INT","."&amp;K$2&amp;K$1&amp;"C"&amp;$A38)="N/A",0,RTD("tos.rtd",,"OPEN_INT","."&amp;K$2&amp;K$1&amp;"C"&amp;$A38)),0)+IF($A$4&lt;$A38,($A$5-$A$4)*IF(RTD("tos.rtd",,"OPEN_INT","."&amp;K$2&amp;K$1&amp;"P"&amp;$A38)="N/A",0,RTD("tos.rtd",,"OPEN_INT","."&amp;K$2&amp;K$1&amp;"P"&amp;$A38)),0),IF($X$1="ABS",IF(RTD("tos.rtd",,$A$2,"."&amp;K$2&amp;K$1&amp;"C"&amp;$A38)="N/A",0,RTD("tos.rtd",,$A$2,"."&amp;K$2&amp;K$1&amp;"C"&amp;$A38))+IF(RTD("tos.rtd",,$A$2,"."&amp;K$2&amp;K$1&amp;"P"&amp;$A38)="N/A",0,RTD("tos.rtd",,$A$2,"."&amp;K$2&amp;K$1&amp;"P"&amp;$A38)),IF(RTD("tos.rtd",,$A$2,"."&amp;K$2&amp;K$1&amp;"C"&amp;$A38)="N/A",0,RTD("tos.rtd",,$A$2,"."&amp;K$2&amp;K$1&amp;"C"&amp;$A38))-IF(RTD("tos.rtd",,$A$2,"."&amp;K$2&amp;K$1&amp;"P"&amp;$A38)="N/A",0,RTD("tos.rtd",,$A$2,"."&amp;K$2&amp;K$1&amp;"P"&amp;$A38))))))))))</f>
        <v>0</v>
      </c>
      <c r="L38" s="54">
        <f ca="1">IF($A$2="PREMIUM_OI",IFERROR(IF($X$1="ABS",(100*RTD("tos.rtd",,"OPEN_INT","."&amp;L$2&amp;L$1&amp;"C"&amp;$A38)*RTD("tos.rtd",,"LAST","."&amp;L$2&amp;L$1&amp;"C"&amp;$A38)+100*RTD("tos.rtd",,"OPEN_INT","."&amp;L$2&amp;L$1&amp;"P"&amp;$A38)*RTD("tos.rtd",,"LAST","."&amp;L$2&amp;L$1&amp;"P"&amp;$A38))/1000000,(100*RTD("tos.rtd",,"OPEN_INT","."&amp;L$2&amp;L$1&amp;"C"&amp;$A38)*RTD("tos.rtd",,"LAST","."&amp;L$2&amp;L$1&amp;"C"&amp;$A38)-100*RTD("tos.rtd",,"OPEN_INT","."&amp;L$2&amp;L$1&amp;"P"&amp;$A38)*RTD("tos.rtd",,"LAST","."&amp;L$2&amp;L$1&amp;"P"&amp;$A38))/1000000),0),IF($A$2="PREMIUM",IFERROR(IF($X$1="ABS",(100*RTD("tos.rtd",,"VOLUME","."&amp;L$2&amp;L$1&amp;"C"&amp;$A38)*RTD("tos.rtd",,"LAST","."&amp;L$2&amp;L$1&amp;"C"&amp;$A38)+100*RTD("tos.rtd",,"VOLUME","."&amp;L$2&amp;L$1&amp;"P"&amp;$A38)*RTD("tos.rtd",,"LAST","."&amp;L$2&amp;L$1&amp;"P"&amp;$A38))/1000000,(100*RTD("tos.rtd",,"VOLUME","."&amp;L$2&amp;L$1&amp;"C"&amp;$A38)*RTD("tos.rtd",,"LAST","."&amp;L$2&amp;L$1&amp;"C"&amp;$A38)-100*RTD("tos.rtd",,"VOLUME","."&amp;L$2&amp;L$1&amp;"P"&amp;$A38)*RTD("tos.rtd",,"LAST","."&amp;L$2&amp;L$1&amp;"P"&amp;$A38))/1000000),0),IF($A$2="DEX",IFERROR(IF($X$1="ABS",(100*RTD("tos.rtd",,"OPEN_INT","."&amp;L$2&amp;L$1&amp;"C"&amp;$A38)*RTD("tos.rtd",,"DELTA","."&amp;L$2&amp;L$1&amp;"C"&amp;$A38)+100*RTD("tos.rtd",,"OPEN_INT","."&amp;L$2&amp;L$1&amp;"P"&amp;$A38)*RTD("tos.rtd",,"DELTA","."&amp;L$2&amp;L$1&amp;"P"&amp;$A38))/1000,(100*RTD("tos.rtd",,"OPEN_INT","."&amp;L$2&amp;L$1&amp;"C"&amp;$A38)*RTD("tos.rtd",,"DELTA","."&amp;L$2&amp;L$1&amp;"C"&amp;$A38)-100*RTD("tos.rtd",,"OPEN_INT","."&amp;L$2&amp;L$1&amp;"P"&amp;$A38)*RTD("tos.rtd",,"DELTA","."&amp;L$2&amp;L$1&amp;"P"&amp;$A38))/1000),0),IF($A$2="VEX",IFERROR(IF($X$1="ABS",($A$4*$A$4*RTD("tos.rtd",,"VOLUME","."&amp;L$2&amp;L$1&amp;"C"&amp;$A38)*RTD("tos.rtd",,"GAMMA","."&amp;L$2&amp;L$1&amp;"C"&amp;$A38)+$A$4*$A$4*RTD("tos.rtd",,"VOLUME","."&amp;L$2&amp;L$1&amp;"P"&amp;$A38)*RTD("tos.rtd",,"GAMMA","."&amp;L$2&amp;L$1&amp;"P"&amp;$A38))/1000000,($A$4*$A$4*RTD("tos.rtd",,"VOLUME","."&amp;L$2&amp;L$1&amp;"C"&amp;$A38)*RTD("tos.rtd",,"GAMMA","."&amp;L$2&amp;L$1&amp;"C"&amp;$A38)-$A$4*$A$4*RTD("tos.rtd",,"VOLUME","."&amp;L$2&amp;L$1&amp;"P"&amp;$A38)*RTD("tos.rtd",,"GAMMA","."&amp;L$2&amp;L$1&amp;"P"&amp;$A38))/1000000),0),IF($A$2="GEX",IFERROR(IF($X$1="ABS",($A$4*$A$4*RTD("tos.rtd",,"OPEN_INT","."&amp;L$2&amp;L$1&amp;"C"&amp;$A38)*RTD("tos.rtd",,"GAMMA","."&amp;L$2&amp;L$1&amp;"C"&amp;$A38)+$A$4*$A$4*RTD("tos.rtd",,"OPEN_INT","."&amp;L$2&amp;L$1&amp;"P"&amp;$A38)*RTD("tos.rtd",,"GAMMA","."&amp;L$2&amp;L$1&amp;"P"&amp;$A38))/1000000,($A$4*$A$4*RTD("tos.rtd",,"OPEN_INT","."&amp;L$2&amp;L$1&amp;"C"&amp;$A38)*RTD("tos.rtd",,"GAMMA","."&amp;L$2&amp;L$1&amp;"C"&amp;$A38)-$A$4*$A$4*RTD("tos.rtd",,"OPEN_INT","."&amp;L$2&amp;L$1&amp;"P"&amp;$A38)*RTD("tos.rtd",,"GAMMA","."&amp;L$2&amp;L$1&amp;"P"&amp;$A38))/1000000),0),IF($A$2="SKEW",IFERROR(VALUE(IF(RTD("tos.rtd",,"IMPL_VOL","."&amp;L$2&amp;L$1&amp;"P"&amp;$A38)="N/A",0,RTD("tos.rtd",,"IMPL_VOL","."&amp;L$2&amp;L$1&amp;"P"&amp;$A38))),0)-IFERROR(VALUE(IF(RTD("tos.rtd",,"IMPL_VOL","."&amp;L$2&amp;L$1&amp;"C"&amp;$A38)="N/A",0,RTD("tos.rtd",,"IMPL_VOL","."&amp;L$2&amp;L$1&amp;"C"&amp;$A38))),0),IF($A$2="MAXPAIN",IF($A$4&gt;$A38,($A$4-$A38)*IF(RTD("tos.rtd",,"OPEN_INT","."&amp;L$2&amp;L$1&amp;"C"&amp;$A38)="N/A",0,RTD("tos.rtd",,"OPEN_INT","."&amp;L$2&amp;L$1&amp;"C"&amp;$A38)),0)+IF($A$4&lt;$A38,($A$5-$A$4)*IF(RTD("tos.rtd",,"OPEN_INT","."&amp;L$2&amp;L$1&amp;"P"&amp;$A38)="N/A",0,RTD("tos.rtd",,"OPEN_INT","."&amp;L$2&amp;L$1&amp;"P"&amp;$A38)),0),IF($X$1="ABS",IF(RTD("tos.rtd",,$A$2,"."&amp;L$2&amp;L$1&amp;"C"&amp;$A38)="N/A",0,RTD("tos.rtd",,$A$2,"."&amp;L$2&amp;L$1&amp;"C"&amp;$A38))+IF(RTD("tos.rtd",,$A$2,"."&amp;L$2&amp;L$1&amp;"P"&amp;$A38)="N/A",0,RTD("tos.rtd",,$A$2,"."&amp;L$2&amp;L$1&amp;"P"&amp;$A38)),IF(RTD("tos.rtd",,$A$2,"."&amp;L$2&amp;L$1&amp;"C"&amp;$A38)="N/A",0,RTD("tos.rtd",,$A$2,"."&amp;L$2&amp;L$1&amp;"C"&amp;$A38))-IF(RTD("tos.rtd",,$A$2,"."&amp;L$2&amp;L$1&amp;"P"&amp;$A38)="N/A",0,RTD("tos.rtd",,$A$2,"."&amp;L$2&amp;L$1&amp;"P"&amp;$A38))))))))))</f>
        <v>0</v>
      </c>
      <c r="M38" s="12">
        <f ca="1">IF($A$2="PREMIUM_OI",IFERROR(IF($X$1="ABS",(100*RTD("tos.rtd",,"OPEN_INT","."&amp;M$2&amp;M$1&amp;"C"&amp;$A38)*RTD("tos.rtd",,"LAST","."&amp;M$2&amp;M$1&amp;"C"&amp;$A38)+100*RTD("tos.rtd",,"OPEN_INT","."&amp;M$2&amp;M$1&amp;"P"&amp;$A38)*RTD("tos.rtd",,"LAST","."&amp;M$2&amp;M$1&amp;"P"&amp;$A38))/1000000,(100*RTD("tos.rtd",,"OPEN_INT","."&amp;M$2&amp;M$1&amp;"C"&amp;$A38)*RTD("tos.rtd",,"LAST","."&amp;M$2&amp;M$1&amp;"C"&amp;$A38)-100*RTD("tos.rtd",,"OPEN_INT","."&amp;M$2&amp;M$1&amp;"P"&amp;$A38)*RTD("tos.rtd",,"LAST","."&amp;M$2&amp;M$1&amp;"P"&amp;$A38))/1000000),0),IF($A$2="PREMIUM",IFERROR(IF($X$1="ABS",(100*RTD("tos.rtd",,"VOLUME","."&amp;M$2&amp;M$1&amp;"C"&amp;$A38)*RTD("tos.rtd",,"LAST","."&amp;M$2&amp;M$1&amp;"C"&amp;$A38)+100*RTD("tos.rtd",,"VOLUME","."&amp;M$2&amp;M$1&amp;"P"&amp;$A38)*RTD("tos.rtd",,"LAST","."&amp;M$2&amp;M$1&amp;"P"&amp;$A38))/1000000,(100*RTD("tos.rtd",,"VOLUME","."&amp;M$2&amp;M$1&amp;"C"&amp;$A38)*RTD("tos.rtd",,"LAST","."&amp;M$2&amp;M$1&amp;"C"&amp;$A38)-100*RTD("tos.rtd",,"VOLUME","."&amp;M$2&amp;M$1&amp;"P"&amp;$A38)*RTD("tos.rtd",,"LAST","."&amp;M$2&amp;M$1&amp;"P"&amp;$A38))/1000000),0),IF($A$2="DEX",IFERROR(IF($X$1="ABS",(100*RTD("tos.rtd",,"OPEN_INT","."&amp;M$2&amp;M$1&amp;"C"&amp;$A38)*RTD("tos.rtd",,"DELTA","."&amp;M$2&amp;M$1&amp;"C"&amp;$A38)+100*RTD("tos.rtd",,"OPEN_INT","."&amp;M$2&amp;M$1&amp;"P"&amp;$A38)*RTD("tos.rtd",,"DELTA","."&amp;M$2&amp;M$1&amp;"P"&amp;$A38))/1000,(100*RTD("tos.rtd",,"OPEN_INT","."&amp;M$2&amp;M$1&amp;"C"&amp;$A38)*RTD("tos.rtd",,"DELTA","."&amp;M$2&amp;M$1&amp;"C"&amp;$A38)-100*RTD("tos.rtd",,"OPEN_INT","."&amp;M$2&amp;M$1&amp;"P"&amp;$A38)*RTD("tos.rtd",,"DELTA","."&amp;M$2&amp;M$1&amp;"P"&amp;$A38))/1000),0),IF($A$2="VEX",IFERROR(IF($X$1="ABS",($A$4*$A$4*RTD("tos.rtd",,"VOLUME","."&amp;M$2&amp;M$1&amp;"C"&amp;$A38)*RTD("tos.rtd",,"GAMMA","."&amp;M$2&amp;M$1&amp;"C"&amp;$A38)+$A$4*$A$4*RTD("tos.rtd",,"VOLUME","."&amp;M$2&amp;M$1&amp;"P"&amp;$A38)*RTD("tos.rtd",,"GAMMA","."&amp;M$2&amp;M$1&amp;"P"&amp;$A38))/1000000,($A$4*$A$4*RTD("tos.rtd",,"VOLUME","."&amp;M$2&amp;M$1&amp;"C"&amp;$A38)*RTD("tos.rtd",,"GAMMA","."&amp;M$2&amp;M$1&amp;"C"&amp;$A38)-$A$4*$A$4*RTD("tos.rtd",,"VOLUME","."&amp;M$2&amp;M$1&amp;"P"&amp;$A38)*RTD("tos.rtd",,"GAMMA","."&amp;M$2&amp;M$1&amp;"P"&amp;$A38))/1000000),0),IF($A$2="GEX",IFERROR(IF($X$1="ABS",($A$4*$A$4*RTD("tos.rtd",,"OPEN_INT","."&amp;M$2&amp;M$1&amp;"C"&amp;$A38)*RTD("tos.rtd",,"GAMMA","."&amp;M$2&amp;M$1&amp;"C"&amp;$A38)+$A$4*$A$4*RTD("tos.rtd",,"OPEN_INT","."&amp;M$2&amp;M$1&amp;"P"&amp;$A38)*RTD("tos.rtd",,"GAMMA","."&amp;M$2&amp;M$1&amp;"P"&amp;$A38))/1000000,($A$4*$A$4*RTD("tos.rtd",,"OPEN_INT","."&amp;M$2&amp;M$1&amp;"C"&amp;$A38)*RTD("tos.rtd",,"GAMMA","."&amp;M$2&amp;M$1&amp;"C"&amp;$A38)-$A$4*$A$4*RTD("tos.rtd",,"OPEN_INT","."&amp;M$2&amp;M$1&amp;"P"&amp;$A38)*RTD("tos.rtd",,"GAMMA","."&amp;M$2&amp;M$1&amp;"P"&amp;$A38))/1000000),0),IF($A$2="SKEW",IFERROR(VALUE(IF(RTD("tos.rtd",,"IMPL_VOL","."&amp;M$2&amp;M$1&amp;"P"&amp;$A38)="N/A",0,RTD("tos.rtd",,"IMPL_VOL","."&amp;M$2&amp;M$1&amp;"P"&amp;$A38))),0)-IFERROR(VALUE(IF(RTD("tos.rtd",,"IMPL_VOL","."&amp;M$2&amp;M$1&amp;"C"&amp;$A38)="N/A",0,RTD("tos.rtd",,"IMPL_VOL","."&amp;M$2&amp;M$1&amp;"C"&amp;$A38))),0),IF($A$2="MAXPAIN",IF($A$4&gt;$A38,($A$4-$A38)*IF(RTD("tos.rtd",,"OPEN_INT","."&amp;M$2&amp;M$1&amp;"C"&amp;$A38)="N/A",0,RTD("tos.rtd",,"OPEN_INT","."&amp;M$2&amp;M$1&amp;"C"&amp;$A38)),0)+IF($A$4&lt;$A38,($A$5-$A$4)*IF(RTD("tos.rtd",,"OPEN_INT","."&amp;M$2&amp;M$1&amp;"P"&amp;$A38)="N/A",0,RTD("tos.rtd",,"OPEN_INT","."&amp;M$2&amp;M$1&amp;"P"&amp;$A38)),0),IF($X$1="ABS",IF(RTD("tos.rtd",,$A$2,"."&amp;M$2&amp;M$1&amp;"C"&amp;$A38)="N/A",0,RTD("tos.rtd",,$A$2,"."&amp;M$2&amp;M$1&amp;"C"&amp;$A38))+IF(RTD("tos.rtd",,$A$2,"."&amp;M$2&amp;M$1&amp;"P"&amp;$A38)="N/A",0,RTD("tos.rtd",,$A$2,"."&amp;M$2&amp;M$1&amp;"P"&amp;$A38)),IF(RTD("tos.rtd",,$A$2,"."&amp;M$2&amp;M$1&amp;"C"&amp;$A38)="N/A",0,RTD("tos.rtd",,$A$2,"."&amp;M$2&amp;M$1&amp;"C"&amp;$A38))-IF(RTD("tos.rtd",,$A$2,"."&amp;M$2&amp;M$1&amp;"P"&amp;$A38)="N/A",0,RTD("tos.rtd",,$A$2,"."&amp;M$2&amp;M$1&amp;"P"&amp;$A38))))))))))</f>
        <v>0</v>
      </c>
      <c r="N38" s="12">
        <f ca="1">IF($A$2="PREMIUM_OI",IFERROR(IF($X$1="ABS",(100*RTD("tos.rtd",,"OPEN_INT","."&amp;N$2&amp;N$1&amp;"C"&amp;$A38)*RTD("tos.rtd",,"LAST","."&amp;N$2&amp;N$1&amp;"C"&amp;$A38)+100*RTD("tos.rtd",,"OPEN_INT","."&amp;N$2&amp;N$1&amp;"P"&amp;$A38)*RTD("tos.rtd",,"LAST","."&amp;N$2&amp;N$1&amp;"P"&amp;$A38))/1000000,(100*RTD("tos.rtd",,"OPEN_INT","."&amp;N$2&amp;N$1&amp;"C"&amp;$A38)*RTD("tos.rtd",,"LAST","."&amp;N$2&amp;N$1&amp;"C"&amp;$A38)-100*RTD("tos.rtd",,"OPEN_INT","."&amp;N$2&amp;N$1&amp;"P"&amp;$A38)*RTD("tos.rtd",,"LAST","."&amp;N$2&amp;N$1&amp;"P"&amp;$A38))/1000000),0),IF($A$2="PREMIUM",IFERROR(IF($X$1="ABS",(100*RTD("tos.rtd",,"VOLUME","."&amp;N$2&amp;N$1&amp;"C"&amp;$A38)*RTD("tos.rtd",,"LAST","."&amp;N$2&amp;N$1&amp;"C"&amp;$A38)+100*RTD("tos.rtd",,"VOLUME","."&amp;N$2&amp;N$1&amp;"P"&amp;$A38)*RTD("tos.rtd",,"LAST","."&amp;N$2&amp;N$1&amp;"P"&amp;$A38))/1000000,(100*RTD("tos.rtd",,"VOLUME","."&amp;N$2&amp;N$1&amp;"C"&amp;$A38)*RTD("tos.rtd",,"LAST","."&amp;N$2&amp;N$1&amp;"C"&amp;$A38)-100*RTD("tos.rtd",,"VOLUME","."&amp;N$2&amp;N$1&amp;"P"&amp;$A38)*RTD("tos.rtd",,"LAST","."&amp;N$2&amp;N$1&amp;"P"&amp;$A38))/1000000),0),IF($A$2="DEX",IFERROR(IF($X$1="ABS",(100*RTD("tos.rtd",,"OPEN_INT","."&amp;N$2&amp;N$1&amp;"C"&amp;$A38)*RTD("tos.rtd",,"DELTA","."&amp;N$2&amp;N$1&amp;"C"&amp;$A38)+100*RTD("tos.rtd",,"OPEN_INT","."&amp;N$2&amp;N$1&amp;"P"&amp;$A38)*RTD("tos.rtd",,"DELTA","."&amp;N$2&amp;N$1&amp;"P"&amp;$A38))/1000,(100*RTD("tos.rtd",,"OPEN_INT","."&amp;N$2&amp;N$1&amp;"C"&amp;$A38)*RTD("tos.rtd",,"DELTA","."&amp;N$2&amp;N$1&amp;"C"&amp;$A38)-100*RTD("tos.rtd",,"OPEN_INT","."&amp;N$2&amp;N$1&amp;"P"&amp;$A38)*RTD("tos.rtd",,"DELTA","."&amp;N$2&amp;N$1&amp;"P"&amp;$A38))/1000),0),IF($A$2="VEX",IFERROR(IF($X$1="ABS",($A$4*$A$4*RTD("tos.rtd",,"VOLUME","."&amp;N$2&amp;N$1&amp;"C"&amp;$A38)*RTD("tos.rtd",,"GAMMA","."&amp;N$2&amp;N$1&amp;"C"&amp;$A38)+$A$4*$A$4*RTD("tos.rtd",,"VOLUME","."&amp;N$2&amp;N$1&amp;"P"&amp;$A38)*RTD("tos.rtd",,"GAMMA","."&amp;N$2&amp;N$1&amp;"P"&amp;$A38))/1000000,($A$4*$A$4*RTD("tos.rtd",,"VOLUME","."&amp;N$2&amp;N$1&amp;"C"&amp;$A38)*RTD("tos.rtd",,"GAMMA","."&amp;N$2&amp;N$1&amp;"C"&amp;$A38)-$A$4*$A$4*RTD("tos.rtd",,"VOLUME","."&amp;N$2&amp;N$1&amp;"P"&amp;$A38)*RTD("tos.rtd",,"GAMMA","."&amp;N$2&amp;N$1&amp;"P"&amp;$A38))/1000000),0),IF($A$2="GEX",IFERROR(IF($X$1="ABS",($A$4*$A$4*RTD("tos.rtd",,"OPEN_INT","."&amp;N$2&amp;N$1&amp;"C"&amp;$A38)*RTD("tos.rtd",,"GAMMA","."&amp;N$2&amp;N$1&amp;"C"&amp;$A38)+$A$4*$A$4*RTD("tos.rtd",,"OPEN_INT","."&amp;N$2&amp;N$1&amp;"P"&amp;$A38)*RTD("tos.rtd",,"GAMMA","."&amp;N$2&amp;N$1&amp;"P"&amp;$A38))/1000000,($A$4*$A$4*RTD("tos.rtd",,"OPEN_INT","."&amp;N$2&amp;N$1&amp;"C"&amp;$A38)*RTD("tos.rtd",,"GAMMA","."&amp;N$2&amp;N$1&amp;"C"&amp;$A38)-$A$4*$A$4*RTD("tos.rtd",,"OPEN_INT","."&amp;N$2&amp;N$1&amp;"P"&amp;$A38)*RTD("tos.rtd",,"GAMMA","."&amp;N$2&amp;N$1&amp;"P"&amp;$A38))/1000000),0),IF($A$2="SKEW",IFERROR(VALUE(IF(RTD("tos.rtd",,"IMPL_VOL","."&amp;N$2&amp;N$1&amp;"P"&amp;$A38)="N/A",0,RTD("tos.rtd",,"IMPL_VOL","."&amp;N$2&amp;N$1&amp;"P"&amp;$A38))),0)-IFERROR(VALUE(IF(RTD("tos.rtd",,"IMPL_VOL","."&amp;N$2&amp;N$1&amp;"C"&amp;$A38)="N/A",0,RTD("tos.rtd",,"IMPL_VOL","."&amp;N$2&amp;N$1&amp;"C"&amp;$A38))),0),IF($A$2="MAXPAIN",IF($A$4&gt;$A38,($A$4-$A38)*IF(RTD("tos.rtd",,"OPEN_INT","."&amp;N$2&amp;N$1&amp;"C"&amp;$A38)="N/A",0,RTD("tos.rtd",,"OPEN_INT","."&amp;N$2&amp;N$1&amp;"C"&amp;$A38)),0)+IF($A$4&lt;$A38,($A$5-$A$4)*IF(RTD("tos.rtd",,"OPEN_INT","."&amp;N$2&amp;N$1&amp;"P"&amp;$A38)="N/A",0,RTD("tos.rtd",,"OPEN_INT","."&amp;N$2&amp;N$1&amp;"P"&amp;$A38)),0),IF($X$1="ABS",IF(RTD("tos.rtd",,$A$2,"."&amp;N$2&amp;N$1&amp;"C"&amp;$A38)="N/A",0,RTD("tos.rtd",,$A$2,"."&amp;N$2&amp;N$1&amp;"C"&amp;$A38))+IF(RTD("tos.rtd",,$A$2,"."&amp;N$2&amp;N$1&amp;"P"&amp;$A38)="N/A",0,RTD("tos.rtd",,$A$2,"."&amp;N$2&amp;N$1&amp;"P"&amp;$A38)),IF(RTD("tos.rtd",,$A$2,"."&amp;N$2&amp;N$1&amp;"C"&amp;$A38)="N/A",0,RTD("tos.rtd",,$A$2,"."&amp;N$2&amp;N$1&amp;"C"&amp;$A38))-IF(RTD("tos.rtd",,$A$2,"."&amp;N$2&amp;N$1&amp;"P"&amp;$A38)="N/A",0,RTD("tos.rtd",,$A$2,"."&amp;N$2&amp;N$1&amp;"P"&amp;$A38))))))))))</f>
        <v>0</v>
      </c>
      <c r="O38" s="12">
        <f ca="1">IF($A$2="PREMIUM_OI",IFERROR(IF($X$1="ABS",(100*RTD("tos.rtd",,"OPEN_INT","."&amp;O$2&amp;O$1&amp;"C"&amp;$A38)*RTD("tos.rtd",,"LAST","."&amp;O$2&amp;O$1&amp;"C"&amp;$A38)+100*RTD("tos.rtd",,"OPEN_INT","."&amp;O$2&amp;O$1&amp;"P"&amp;$A38)*RTD("tos.rtd",,"LAST","."&amp;O$2&amp;O$1&amp;"P"&amp;$A38))/1000000,(100*RTD("tos.rtd",,"OPEN_INT","."&amp;O$2&amp;O$1&amp;"C"&amp;$A38)*RTD("tos.rtd",,"LAST","."&amp;O$2&amp;O$1&amp;"C"&amp;$A38)-100*RTD("tos.rtd",,"OPEN_INT","."&amp;O$2&amp;O$1&amp;"P"&amp;$A38)*RTD("tos.rtd",,"LAST","."&amp;O$2&amp;O$1&amp;"P"&amp;$A38))/1000000),0),IF($A$2="PREMIUM",IFERROR(IF($X$1="ABS",(100*RTD("tos.rtd",,"VOLUME","."&amp;O$2&amp;O$1&amp;"C"&amp;$A38)*RTD("tos.rtd",,"LAST","."&amp;O$2&amp;O$1&amp;"C"&amp;$A38)+100*RTD("tos.rtd",,"VOLUME","."&amp;O$2&amp;O$1&amp;"P"&amp;$A38)*RTD("tos.rtd",,"LAST","."&amp;O$2&amp;O$1&amp;"P"&amp;$A38))/1000000,(100*RTD("tos.rtd",,"VOLUME","."&amp;O$2&amp;O$1&amp;"C"&amp;$A38)*RTD("tos.rtd",,"LAST","."&amp;O$2&amp;O$1&amp;"C"&amp;$A38)-100*RTD("tos.rtd",,"VOLUME","."&amp;O$2&amp;O$1&amp;"P"&amp;$A38)*RTD("tos.rtd",,"LAST","."&amp;O$2&amp;O$1&amp;"P"&amp;$A38))/1000000),0),IF($A$2="DEX",IFERROR(IF($X$1="ABS",(100*RTD("tos.rtd",,"OPEN_INT","."&amp;O$2&amp;O$1&amp;"C"&amp;$A38)*RTD("tos.rtd",,"DELTA","."&amp;O$2&amp;O$1&amp;"C"&amp;$A38)+100*RTD("tos.rtd",,"OPEN_INT","."&amp;O$2&amp;O$1&amp;"P"&amp;$A38)*RTD("tos.rtd",,"DELTA","."&amp;O$2&amp;O$1&amp;"P"&amp;$A38))/1000,(100*RTD("tos.rtd",,"OPEN_INT","."&amp;O$2&amp;O$1&amp;"C"&amp;$A38)*RTD("tos.rtd",,"DELTA","."&amp;O$2&amp;O$1&amp;"C"&amp;$A38)-100*RTD("tos.rtd",,"OPEN_INT","."&amp;O$2&amp;O$1&amp;"P"&amp;$A38)*RTD("tos.rtd",,"DELTA","."&amp;O$2&amp;O$1&amp;"P"&amp;$A38))/1000),0),IF($A$2="VEX",IFERROR(IF($X$1="ABS",($A$4*$A$4*RTD("tos.rtd",,"VOLUME","."&amp;O$2&amp;O$1&amp;"C"&amp;$A38)*RTD("tos.rtd",,"GAMMA","."&amp;O$2&amp;O$1&amp;"C"&amp;$A38)+$A$4*$A$4*RTD("tos.rtd",,"VOLUME","."&amp;O$2&amp;O$1&amp;"P"&amp;$A38)*RTD("tos.rtd",,"GAMMA","."&amp;O$2&amp;O$1&amp;"P"&amp;$A38))/1000000,($A$4*$A$4*RTD("tos.rtd",,"VOLUME","."&amp;O$2&amp;O$1&amp;"C"&amp;$A38)*RTD("tos.rtd",,"GAMMA","."&amp;O$2&amp;O$1&amp;"C"&amp;$A38)-$A$4*$A$4*RTD("tos.rtd",,"VOLUME","."&amp;O$2&amp;O$1&amp;"P"&amp;$A38)*RTD("tos.rtd",,"GAMMA","."&amp;O$2&amp;O$1&amp;"P"&amp;$A38))/1000000),0),IF($A$2="GEX",IFERROR(IF($X$1="ABS",($A$4*$A$4*RTD("tos.rtd",,"OPEN_INT","."&amp;O$2&amp;O$1&amp;"C"&amp;$A38)*RTD("tos.rtd",,"GAMMA","."&amp;O$2&amp;O$1&amp;"C"&amp;$A38)+$A$4*$A$4*RTD("tos.rtd",,"OPEN_INT","."&amp;O$2&amp;O$1&amp;"P"&amp;$A38)*RTD("tos.rtd",,"GAMMA","."&amp;O$2&amp;O$1&amp;"P"&amp;$A38))/1000000,($A$4*$A$4*RTD("tos.rtd",,"OPEN_INT","."&amp;O$2&amp;O$1&amp;"C"&amp;$A38)*RTD("tos.rtd",,"GAMMA","."&amp;O$2&amp;O$1&amp;"C"&amp;$A38)-$A$4*$A$4*RTD("tos.rtd",,"OPEN_INT","."&amp;O$2&amp;O$1&amp;"P"&amp;$A38)*RTD("tos.rtd",,"GAMMA","."&amp;O$2&amp;O$1&amp;"P"&amp;$A38))/1000000),0),IF($A$2="SKEW",IFERROR(VALUE(IF(RTD("tos.rtd",,"IMPL_VOL","."&amp;O$2&amp;O$1&amp;"P"&amp;$A38)="N/A",0,RTD("tos.rtd",,"IMPL_VOL","."&amp;O$2&amp;O$1&amp;"P"&amp;$A38))),0)-IFERROR(VALUE(IF(RTD("tos.rtd",,"IMPL_VOL","."&amp;O$2&amp;O$1&amp;"C"&amp;$A38)="N/A",0,RTD("tos.rtd",,"IMPL_VOL","."&amp;O$2&amp;O$1&amp;"C"&amp;$A38))),0),IF($A$2="MAXPAIN",IF($A$4&gt;$A38,($A$4-$A38)*IF(RTD("tos.rtd",,"OPEN_INT","."&amp;O$2&amp;O$1&amp;"C"&amp;$A38)="N/A",0,RTD("tos.rtd",,"OPEN_INT","."&amp;O$2&amp;O$1&amp;"C"&amp;$A38)),0)+IF($A$4&lt;$A38,($A$5-$A$4)*IF(RTD("tos.rtd",,"OPEN_INT","."&amp;O$2&amp;O$1&amp;"P"&amp;$A38)="N/A",0,RTD("tos.rtd",,"OPEN_INT","."&amp;O$2&amp;O$1&amp;"P"&amp;$A38)),0),IF($X$1="ABS",IF(RTD("tos.rtd",,$A$2,"."&amp;O$2&amp;O$1&amp;"C"&amp;$A38)="N/A",0,RTD("tos.rtd",,$A$2,"."&amp;O$2&amp;O$1&amp;"C"&amp;$A38))+IF(RTD("tos.rtd",,$A$2,"."&amp;O$2&amp;O$1&amp;"P"&amp;$A38)="N/A",0,RTD("tos.rtd",,$A$2,"."&amp;O$2&amp;O$1&amp;"P"&amp;$A38)),IF(RTD("tos.rtd",,$A$2,"."&amp;O$2&amp;O$1&amp;"C"&amp;$A38)="N/A",0,RTD("tos.rtd",,$A$2,"."&amp;O$2&amp;O$1&amp;"C"&amp;$A38))-IF(RTD("tos.rtd",,$A$2,"."&amp;O$2&amp;O$1&amp;"P"&amp;$A38)="N/A",0,RTD("tos.rtd",,$A$2,"."&amp;O$2&amp;O$1&amp;"P"&amp;$A38))))))))))</f>
        <v>0</v>
      </c>
      <c r="P38" s="12">
        <f ca="1">IF($A$2="PREMIUM_OI",IFERROR(IF($X$1="ABS",(100*RTD("tos.rtd",,"OPEN_INT","."&amp;P$2&amp;P$1&amp;"C"&amp;$A38)*RTD("tos.rtd",,"LAST","."&amp;P$2&amp;P$1&amp;"C"&amp;$A38)+100*RTD("tos.rtd",,"OPEN_INT","."&amp;P$2&amp;P$1&amp;"P"&amp;$A38)*RTD("tos.rtd",,"LAST","."&amp;P$2&amp;P$1&amp;"P"&amp;$A38))/1000000,(100*RTD("tos.rtd",,"OPEN_INT","."&amp;P$2&amp;P$1&amp;"C"&amp;$A38)*RTD("tos.rtd",,"LAST","."&amp;P$2&amp;P$1&amp;"C"&amp;$A38)-100*RTD("tos.rtd",,"OPEN_INT","."&amp;P$2&amp;P$1&amp;"P"&amp;$A38)*RTD("tos.rtd",,"LAST","."&amp;P$2&amp;P$1&amp;"P"&amp;$A38))/1000000),0),IF($A$2="PREMIUM",IFERROR(IF($X$1="ABS",(100*RTD("tos.rtd",,"VOLUME","."&amp;P$2&amp;P$1&amp;"C"&amp;$A38)*RTD("tos.rtd",,"LAST","."&amp;P$2&amp;P$1&amp;"C"&amp;$A38)+100*RTD("tos.rtd",,"VOLUME","."&amp;P$2&amp;P$1&amp;"P"&amp;$A38)*RTD("tos.rtd",,"LAST","."&amp;P$2&amp;P$1&amp;"P"&amp;$A38))/1000000,(100*RTD("tos.rtd",,"VOLUME","."&amp;P$2&amp;P$1&amp;"C"&amp;$A38)*RTD("tos.rtd",,"LAST","."&amp;P$2&amp;P$1&amp;"C"&amp;$A38)-100*RTD("tos.rtd",,"VOLUME","."&amp;P$2&amp;P$1&amp;"P"&amp;$A38)*RTD("tos.rtd",,"LAST","."&amp;P$2&amp;P$1&amp;"P"&amp;$A38))/1000000),0),IF($A$2="DEX",IFERROR(IF($X$1="ABS",(100*RTD("tos.rtd",,"OPEN_INT","."&amp;P$2&amp;P$1&amp;"C"&amp;$A38)*RTD("tos.rtd",,"DELTA","."&amp;P$2&amp;P$1&amp;"C"&amp;$A38)+100*RTD("tos.rtd",,"OPEN_INT","."&amp;P$2&amp;P$1&amp;"P"&amp;$A38)*RTD("tos.rtd",,"DELTA","."&amp;P$2&amp;P$1&amp;"P"&amp;$A38))/1000,(100*RTD("tos.rtd",,"OPEN_INT","."&amp;P$2&amp;P$1&amp;"C"&amp;$A38)*RTD("tos.rtd",,"DELTA","."&amp;P$2&amp;P$1&amp;"C"&amp;$A38)-100*RTD("tos.rtd",,"OPEN_INT","."&amp;P$2&amp;P$1&amp;"P"&amp;$A38)*RTD("tos.rtd",,"DELTA","."&amp;P$2&amp;P$1&amp;"P"&amp;$A38))/1000),0),IF($A$2="VEX",IFERROR(IF($X$1="ABS",($A$4*$A$4*RTD("tos.rtd",,"VOLUME","."&amp;P$2&amp;P$1&amp;"C"&amp;$A38)*RTD("tos.rtd",,"GAMMA","."&amp;P$2&amp;P$1&amp;"C"&amp;$A38)+$A$4*$A$4*RTD("tos.rtd",,"VOLUME","."&amp;P$2&amp;P$1&amp;"P"&amp;$A38)*RTD("tos.rtd",,"GAMMA","."&amp;P$2&amp;P$1&amp;"P"&amp;$A38))/1000000,($A$4*$A$4*RTD("tos.rtd",,"VOLUME","."&amp;P$2&amp;P$1&amp;"C"&amp;$A38)*RTD("tos.rtd",,"GAMMA","."&amp;P$2&amp;P$1&amp;"C"&amp;$A38)-$A$4*$A$4*RTD("tos.rtd",,"VOLUME","."&amp;P$2&amp;P$1&amp;"P"&amp;$A38)*RTD("tos.rtd",,"GAMMA","."&amp;P$2&amp;P$1&amp;"P"&amp;$A38))/1000000),0),IF($A$2="GEX",IFERROR(IF($X$1="ABS",($A$4*$A$4*RTD("tos.rtd",,"OPEN_INT","."&amp;P$2&amp;P$1&amp;"C"&amp;$A38)*RTD("tos.rtd",,"GAMMA","."&amp;P$2&amp;P$1&amp;"C"&amp;$A38)+$A$4*$A$4*RTD("tos.rtd",,"OPEN_INT","."&amp;P$2&amp;P$1&amp;"P"&amp;$A38)*RTD("tos.rtd",,"GAMMA","."&amp;P$2&amp;P$1&amp;"P"&amp;$A38))/1000000,($A$4*$A$4*RTD("tos.rtd",,"OPEN_INT","."&amp;P$2&amp;P$1&amp;"C"&amp;$A38)*RTD("tos.rtd",,"GAMMA","."&amp;P$2&amp;P$1&amp;"C"&amp;$A38)-$A$4*$A$4*RTD("tos.rtd",,"OPEN_INT","."&amp;P$2&amp;P$1&amp;"P"&amp;$A38)*RTD("tos.rtd",,"GAMMA","."&amp;P$2&amp;P$1&amp;"P"&amp;$A38))/1000000),0),IF($A$2="SKEW",IFERROR(VALUE(IF(RTD("tos.rtd",,"IMPL_VOL","."&amp;P$2&amp;P$1&amp;"P"&amp;$A38)="N/A",0,RTD("tos.rtd",,"IMPL_VOL","."&amp;P$2&amp;P$1&amp;"P"&amp;$A38))),0)-IFERROR(VALUE(IF(RTD("tos.rtd",,"IMPL_VOL","."&amp;P$2&amp;P$1&amp;"C"&amp;$A38)="N/A",0,RTD("tos.rtd",,"IMPL_VOL","."&amp;P$2&amp;P$1&amp;"C"&amp;$A38))),0),IF($A$2="MAXPAIN",IF($A$4&gt;$A38,($A$4-$A38)*IF(RTD("tos.rtd",,"OPEN_INT","."&amp;P$2&amp;P$1&amp;"C"&amp;$A38)="N/A",0,RTD("tos.rtd",,"OPEN_INT","."&amp;P$2&amp;P$1&amp;"C"&amp;$A38)),0)+IF($A$4&lt;$A38,($A$5-$A$4)*IF(RTD("tos.rtd",,"OPEN_INT","."&amp;P$2&amp;P$1&amp;"P"&amp;$A38)="N/A",0,RTD("tos.rtd",,"OPEN_INT","."&amp;P$2&amp;P$1&amp;"P"&amp;$A38)),0),IF($X$1="ABS",IF(RTD("tos.rtd",,$A$2,"."&amp;P$2&amp;P$1&amp;"C"&amp;$A38)="N/A",0,RTD("tos.rtd",,$A$2,"."&amp;P$2&amp;P$1&amp;"C"&amp;$A38))+IF(RTD("tos.rtd",,$A$2,"."&amp;P$2&amp;P$1&amp;"P"&amp;$A38)="N/A",0,RTD("tos.rtd",,$A$2,"."&amp;P$2&amp;P$1&amp;"P"&amp;$A38)),IF(RTD("tos.rtd",,$A$2,"."&amp;P$2&amp;P$1&amp;"C"&amp;$A38)="N/A",0,RTD("tos.rtd",,$A$2,"."&amp;P$2&amp;P$1&amp;"C"&amp;$A38))-IF(RTD("tos.rtd",,$A$2,"."&amp;P$2&amp;P$1&amp;"P"&amp;$A38)="N/A",0,RTD("tos.rtd",,$A$2,"."&amp;P$2&amp;P$1&amp;"P"&amp;$A38))))))))))</f>
        <v>0</v>
      </c>
      <c r="Q38" s="12">
        <f ca="1">IF($A$2="PREMIUM_OI",IFERROR(IF($X$1="ABS",(100*RTD("tos.rtd",,"OPEN_INT","."&amp;Q$2&amp;Q$1&amp;"C"&amp;$A38)*RTD("tos.rtd",,"LAST","."&amp;Q$2&amp;Q$1&amp;"C"&amp;$A38)+100*RTD("tos.rtd",,"OPEN_INT","."&amp;Q$2&amp;Q$1&amp;"P"&amp;$A38)*RTD("tos.rtd",,"LAST","."&amp;Q$2&amp;Q$1&amp;"P"&amp;$A38))/1000000,(100*RTD("tos.rtd",,"OPEN_INT","."&amp;Q$2&amp;Q$1&amp;"C"&amp;$A38)*RTD("tos.rtd",,"LAST","."&amp;Q$2&amp;Q$1&amp;"C"&amp;$A38)-100*RTD("tos.rtd",,"OPEN_INT","."&amp;Q$2&amp;Q$1&amp;"P"&amp;$A38)*RTD("tos.rtd",,"LAST","."&amp;Q$2&amp;Q$1&amp;"P"&amp;$A38))/1000000),0),IF($A$2="PREMIUM",IFERROR(IF($X$1="ABS",(100*RTD("tos.rtd",,"VOLUME","."&amp;Q$2&amp;Q$1&amp;"C"&amp;$A38)*RTD("tos.rtd",,"LAST","."&amp;Q$2&amp;Q$1&amp;"C"&amp;$A38)+100*RTD("tos.rtd",,"VOLUME","."&amp;Q$2&amp;Q$1&amp;"P"&amp;$A38)*RTD("tos.rtd",,"LAST","."&amp;Q$2&amp;Q$1&amp;"P"&amp;$A38))/1000000,(100*RTD("tos.rtd",,"VOLUME","."&amp;Q$2&amp;Q$1&amp;"C"&amp;$A38)*RTD("tos.rtd",,"LAST","."&amp;Q$2&amp;Q$1&amp;"C"&amp;$A38)-100*RTD("tos.rtd",,"VOLUME","."&amp;Q$2&amp;Q$1&amp;"P"&amp;$A38)*RTD("tos.rtd",,"LAST","."&amp;Q$2&amp;Q$1&amp;"P"&amp;$A38))/1000000),0),IF($A$2="DEX",IFERROR(IF($X$1="ABS",(100*RTD("tos.rtd",,"OPEN_INT","."&amp;Q$2&amp;Q$1&amp;"C"&amp;$A38)*RTD("tos.rtd",,"DELTA","."&amp;Q$2&amp;Q$1&amp;"C"&amp;$A38)+100*RTD("tos.rtd",,"OPEN_INT","."&amp;Q$2&amp;Q$1&amp;"P"&amp;$A38)*RTD("tos.rtd",,"DELTA","."&amp;Q$2&amp;Q$1&amp;"P"&amp;$A38))/1000,(100*RTD("tos.rtd",,"OPEN_INT","."&amp;Q$2&amp;Q$1&amp;"C"&amp;$A38)*RTD("tos.rtd",,"DELTA","."&amp;Q$2&amp;Q$1&amp;"C"&amp;$A38)-100*RTD("tos.rtd",,"OPEN_INT","."&amp;Q$2&amp;Q$1&amp;"P"&amp;$A38)*RTD("tos.rtd",,"DELTA","."&amp;Q$2&amp;Q$1&amp;"P"&amp;$A38))/1000),0),IF($A$2="VEX",IFERROR(IF($X$1="ABS",($A$4*$A$4*RTD("tos.rtd",,"VOLUME","."&amp;Q$2&amp;Q$1&amp;"C"&amp;$A38)*RTD("tos.rtd",,"GAMMA","."&amp;Q$2&amp;Q$1&amp;"C"&amp;$A38)+$A$4*$A$4*RTD("tos.rtd",,"VOLUME","."&amp;Q$2&amp;Q$1&amp;"P"&amp;$A38)*RTD("tos.rtd",,"GAMMA","."&amp;Q$2&amp;Q$1&amp;"P"&amp;$A38))/1000000,($A$4*$A$4*RTD("tos.rtd",,"VOLUME","."&amp;Q$2&amp;Q$1&amp;"C"&amp;$A38)*RTD("tos.rtd",,"GAMMA","."&amp;Q$2&amp;Q$1&amp;"C"&amp;$A38)-$A$4*$A$4*RTD("tos.rtd",,"VOLUME","."&amp;Q$2&amp;Q$1&amp;"P"&amp;$A38)*RTD("tos.rtd",,"GAMMA","."&amp;Q$2&amp;Q$1&amp;"P"&amp;$A38))/1000000),0),IF($A$2="GEX",IFERROR(IF($X$1="ABS",($A$4*$A$4*RTD("tos.rtd",,"OPEN_INT","."&amp;Q$2&amp;Q$1&amp;"C"&amp;$A38)*RTD("tos.rtd",,"GAMMA","."&amp;Q$2&amp;Q$1&amp;"C"&amp;$A38)+$A$4*$A$4*RTD("tos.rtd",,"OPEN_INT","."&amp;Q$2&amp;Q$1&amp;"P"&amp;$A38)*RTD("tos.rtd",,"GAMMA","."&amp;Q$2&amp;Q$1&amp;"P"&amp;$A38))/1000000,($A$4*$A$4*RTD("tos.rtd",,"OPEN_INT","."&amp;Q$2&amp;Q$1&amp;"C"&amp;$A38)*RTD("tos.rtd",,"GAMMA","."&amp;Q$2&amp;Q$1&amp;"C"&amp;$A38)-$A$4*$A$4*RTD("tos.rtd",,"OPEN_INT","."&amp;Q$2&amp;Q$1&amp;"P"&amp;$A38)*RTD("tos.rtd",,"GAMMA","."&amp;Q$2&amp;Q$1&amp;"P"&amp;$A38))/1000000),0),IF($A$2="SKEW",IFERROR(VALUE(IF(RTD("tos.rtd",,"IMPL_VOL","."&amp;Q$2&amp;Q$1&amp;"P"&amp;$A38)="N/A",0,RTD("tos.rtd",,"IMPL_VOL","."&amp;Q$2&amp;Q$1&amp;"P"&amp;$A38))),0)-IFERROR(VALUE(IF(RTD("tos.rtd",,"IMPL_VOL","."&amp;Q$2&amp;Q$1&amp;"C"&amp;$A38)="N/A",0,RTD("tos.rtd",,"IMPL_VOL","."&amp;Q$2&amp;Q$1&amp;"C"&amp;$A38))),0),IF($A$2="MAXPAIN",IF($A$4&gt;$A38,($A$4-$A38)*IF(RTD("tos.rtd",,"OPEN_INT","."&amp;Q$2&amp;Q$1&amp;"C"&amp;$A38)="N/A",0,RTD("tos.rtd",,"OPEN_INT","."&amp;Q$2&amp;Q$1&amp;"C"&amp;$A38)),0)+IF($A$4&lt;$A38,($A$5-$A$4)*IF(RTD("tos.rtd",,"OPEN_INT","."&amp;Q$2&amp;Q$1&amp;"P"&amp;$A38)="N/A",0,RTD("tos.rtd",,"OPEN_INT","."&amp;Q$2&amp;Q$1&amp;"P"&amp;$A38)),0),IF($X$1="ABS",IF(RTD("tos.rtd",,$A$2,"."&amp;Q$2&amp;Q$1&amp;"C"&amp;$A38)="N/A",0,RTD("tos.rtd",,$A$2,"."&amp;Q$2&amp;Q$1&amp;"C"&amp;$A38))+IF(RTD("tos.rtd",,$A$2,"."&amp;Q$2&amp;Q$1&amp;"P"&amp;$A38)="N/A",0,RTD("tos.rtd",,$A$2,"."&amp;Q$2&amp;Q$1&amp;"P"&amp;$A38)),IF(RTD("tos.rtd",,$A$2,"."&amp;Q$2&amp;Q$1&amp;"C"&amp;$A38)="N/A",0,RTD("tos.rtd",,$A$2,"."&amp;Q$2&amp;Q$1&amp;"C"&amp;$A38))-IF(RTD("tos.rtd",,$A$2,"."&amp;Q$2&amp;Q$1&amp;"P"&amp;$A38)="N/A",0,RTD("tos.rtd",,$A$2,"."&amp;Q$2&amp;Q$1&amp;"P"&amp;$A38))))))))))</f>
        <v>0</v>
      </c>
      <c r="R38" s="12">
        <f ca="1">IF($A$2="PREMIUM_OI",IFERROR(IF($X$1="ABS",(100*RTD("tos.rtd",,"OPEN_INT","."&amp;R$2&amp;R$1&amp;"C"&amp;$A38)*RTD("tos.rtd",,"LAST","."&amp;R$2&amp;R$1&amp;"C"&amp;$A38)+100*RTD("tos.rtd",,"OPEN_INT","."&amp;R$2&amp;R$1&amp;"P"&amp;$A38)*RTD("tos.rtd",,"LAST","."&amp;R$2&amp;R$1&amp;"P"&amp;$A38))/1000000,(100*RTD("tos.rtd",,"OPEN_INT","."&amp;R$2&amp;R$1&amp;"C"&amp;$A38)*RTD("tos.rtd",,"LAST","."&amp;R$2&amp;R$1&amp;"C"&amp;$A38)-100*RTD("tos.rtd",,"OPEN_INT","."&amp;R$2&amp;R$1&amp;"P"&amp;$A38)*RTD("tos.rtd",,"LAST","."&amp;R$2&amp;R$1&amp;"P"&amp;$A38))/1000000),0),IF($A$2="PREMIUM",IFERROR(IF($X$1="ABS",(100*RTD("tos.rtd",,"VOLUME","."&amp;R$2&amp;R$1&amp;"C"&amp;$A38)*RTD("tos.rtd",,"LAST","."&amp;R$2&amp;R$1&amp;"C"&amp;$A38)+100*RTD("tos.rtd",,"VOLUME","."&amp;R$2&amp;R$1&amp;"P"&amp;$A38)*RTD("tos.rtd",,"LAST","."&amp;R$2&amp;R$1&amp;"P"&amp;$A38))/1000000,(100*RTD("tos.rtd",,"VOLUME","."&amp;R$2&amp;R$1&amp;"C"&amp;$A38)*RTD("tos.rtd",,"LAST","."&amp;R$2&amp;R$1&amp;"C"&amp;$A38)-100*RTD("tos.rtd",,"VOLUME","."&amp;R$2&amp;R$1&amp;"P"&amp;$A38)*RTD("tos.rtd",,"LAST","."&amp;R$2&amp;R$1&amp;"P"&amp;$A38))/1000000),0),IF($A$2="DEX",IFERROR(IF($X$1="ABS",(100*RTD("tos.rtd",,"OPEN_INT","."&amp;R$2&amp;R$1&amp;"C"&amp;$A38)*RTD("tos.rtd",,"DELTA","."&amp;R$2&amp;R$1&amp;"C"&amp;$A38)+100*RTD("tos.rtd",,"OPEN_INT","."&amp;R$2&amp;R$1&amp;"P"&amp;$A38)*RTD("tos.rtd",,"DELTA","."&amp;R$2&amp;R$1&amp;"P"&amp;$A38))/1000,(100*RTD("tos.rtd",,"OPEN_INT","."&amp;R$2&amp;R$1&amp;"C"&amp;$A38)*RTD("tos.rtd",,"DELTA","."&amp;R$2&amp;R$1&amp;"C"&amp;$A38)-100*RTD("tos.rtd",,"OPEN_INT","."&amp;R$2&amp;R$1&amp;"P"&amp;$A38)*RTD("tos.rtd",,"DELTA","."&amp;R$2&amp;R$1&amp;"P"&amp;$A38))/1000),0),IF($A$2="VEX",IFERROR(IF($X$1="ABS",($A$4*$A$4*RTD("tos.rtd",,"VOLUME","."&amp;R$2&amp;R$1&amp;"C"&amp;$A38)*RTD("tos.rtd",,"GAMMA","."&amp;R$2&amp;R$1&amp;"C"&amp;$A38)+$A$4*$A$4*RTD("tos.rtd",,"VOLUME","."&amp;R$2&amp;R$1&amp;"P"&amp;$A38)*RTD("tos.rtd",,"GAMMA","."&amp;R$2&amp;R$1&amp;"P"&amp;$A38))/1000000,($A$4*$A$4*RTD("tos.rtd",,"VOLUME","."&amp;R$2&amp;R$1&amp;"C"&amp;$A38)*RTD("tos.rtd",,"GAMMA","."&amp;R$2&amp;R$1&amp;"C"&amp;$A38)-$A$4*$A$4*RTD("tos.rtd",,"VOLUME","."&amp;R$2&amp;R$1&amp;"P"&amp;$A38)*RTD("tos.rtd",,"GAMMA","."&amp;R$2&amp;R$1&amp;"P"&amp;$A38))/1000000),0),IF($A$2="GEX",IFERROR(IF($X$1="ABS",($A$4*$A$4*RTD("tos.rtd",,"OPEN_INT","."&amp;R$2&amp;R$1&amp;"C"&amp;$A38)*RTD("tos.rtd",,"GAMMA","."&amp;R$2&amp;R$1&amp;"C"&amp;$A38)+$A$4*$A$4*RTD("tos.rtd",,"OPEN_INT","."&amp;R$2&amp;R$1&amp;"P"&amp;$A38)*RTD("tos.rtd",,"GAMMA","."&amp;R$2&amp;R$1&amp;"P"&amp;$A38))/1000000,($A$4*$A$4*RTD("tos.rtd",,"OPEN_INT","."&amp;R$2&amp;R$1&amp;"C"&amp;$A38)*RTD("tos.rtd",,"GAMMA","."&amp;R$2&amp;R$1&amp;"C"&amp;$A38)-$A$4*$A$4*RTD("tos.rtd",,"OPEN_INT","."&amp;R$2&amp;R$1&amp;"P"&amp;$A38)*RTD("tos.rtd",,"GAMMA","."&amp;R$2&amp;R$1&amp;"P"&amp;$A38))/1000000),0),IF($A$2="SKEW",IFERROR(VALUE(IF(RTD("tos.rtd",,"IMPL_VOL","."&amp;R$2&amp;R$1&amp;"P"&amp;$A38)="N/A",0,RTD("tos.rtd",,"IMPL_VOL","."&amp;R$2&amp;R$1&amp;"P"&amp;$A38))),0)-IFERROR(VALUE(IF(RTD("tos.rtd",,"IMPL_VOL","."&amp;R$2&amp;R$1&amp;"C"&amp;$A38)="N/A",0,RTD("tos.rtd",,"IMPL_VOL","."&amp;R$2&amp;R$1&amp;"C"&amp;$A38))),0),IF($A$2="MAXPAIN",IF($A$4&gt;$A38,($A$4-$A38)*IF(RTD("tos.rtd",,"OPEN_INT","."&amp;R$2&amp;R$1&amp;"C"&amp;$A38)="N/A",0,RTD("tos.rtd",,"OPEN_INT","."&amp;R$2&amp;R$1&amp;"C"&amp;$A38)),0)+IF($A$4&lt;$A38,($A$5-$A$4)*IF(RTD("tos.rtd",,"OPEN_INT","."&amp;R$2&amp;R$1&amp;"P"&amp;$A38)="N/A",0,RTD("tos.rtd",,"OPEN_INT","."&amp;R$2&amp;R$1&amp;"P"&amp;$A38)),0),IF($X$1="ABS",IF(RTD("tos.rtd",,$A$2,"."&amp;R$2&amp;R$1&amp;"C"&amp;$A38)="N/A",0,RTD("tos.rtd",,$A$2,"."&amp;R$2&amp;R$1&amp;"C"&amp;$A38))+IF(RTD("tos.rtd",,$A$2,"."&amp;R$2&amp;R$1&amp;"P"&amp;$A38)="N/A",0,RTD("tos.rtd",,$A$2,"."&amp;R$2&amp;R$1&amp;"P"&amp;$A38)),IF(RTD("tos.rtd",,$A$2,"."&amp;R$2&amp;R$1&amp;"C"&amp;$A38)="N/A",0,RTD("tos.rtd",,$A$2,"."&amp;R$2&amp;R$1&amp;"C"&amp;$A38))-IF(RTD("tos.rtd",,$A$2,"."&amp;R$2&amp;R$1&amp;"P"&amp;$A38)="N/A",0,RTD("tos.rtd",,$A$2,"."&amp;R$2&amp;R$1&amp;"P"&amp;$A38))))))))))</f>
        <v>0</v>
      </c>
      <c r="S38" s="12">
        <f ca="1">IF($A$2="PREMIUM_OI",IFERROR(IF($X$1="ABS",(100*RTD("tos.rtd",,"OPEN_INT","."&amp;S$2&amp;S$1&amp;"C"&amp;$A38)*RTD("tos.rtd",,"LAST","."&amp;S$2&amp;S$1&amp;"C"&amp;$A38)+100*RTD("tos.rtd",,"OPEN_INT","."&amp;S$2&amp;S$1&amp;"P"&amp;$A38)*RTD("tos.rtd",,"LAST","."&amp;S$2&amp;S$1&amp;"P"&amp;$A38))/1000000,(100*RTD("tos.rtd",,"OPEN_INT","."&amp;S$2&amp;S$1&amp;"C"&amp;$A38)*RTD("tos.rtd",,"LAST","."&amp;S$2&amp;S$1&amp;"C"&amp;$A38)-100*RTD("tos.rtd",,"OPEN_INT","."&amp;S$2&amp;S$1&amp;"P"&amp;$A38)*RTD("tos.rtd",,"LAST","."&amp;S$2&amp;S$1&amp;"P"&amp;$A38))/1000000),0),IF($A$2="PREMIUM",IFERROR(IF($X$1="ABS",(100*RTD("tos.rtd",,"VOLUME","."&amp;S$2&amp;S$1&amp;"C"&amp;$A38)*RTD("tos.rtd",,"LAST","."&amp;S$2&amp;S$1&amp;"C"&amp;$A38)+100*RTD("tos.rtd",,"VOLUME","."&amp;S$2&amp;S$1&amp;"P"&amp;$A38)*RTD("tos.rtd",,"LAST","."&amp;S$2&amp;S$1&amp;"P"&amp;$A38))/1000000,(100*RTD("tos.rtd",,"VOLUME","."&amp;S$2&amp;S$1&amp;"C"&amp;$A38)*RTD("tos.rtd",,"LAST","."&amp;S$2&amp;S$1&amp;"C"&amp;$A38)-100*RTD("tos.rtd",,"VOLUME","."&amp;S$2&amp;S$1&amp;"P"&amp;$A38)*RTD("tos.rtd",,"LAST","."&amp;S$2&amp;S$1&amp;"P"&amp;$A38))/1000000),0),IF($A$2="DEX",IFERROR(IF($X$1="ABS",(100*RTD("tos.rtd",,"OPEN_INT","."&amp;S$2&amp;S$1&amp;"C"&amp;$A38)*RTD("tos.rtd",,"DELTA","."&amp;S$2&amp;S$1&amp;"C"&amp;$A38)+100*RTD("tos.rtd",,"OPEN_INT","."&amp;S$2&amp;S$1&amp;"P"&amp;$A38)*RTD("tos.rtd",,"DELTA","."&amp;S$2&amp;S$1&amp;"P"&amp;$A38))/1000,(100*RTD("tos.rtd",,"OPEN_INT","."&amp;S$2&amp;S$1&amp;"C"&amp;$A38)*RTD("tos.rtd",,"DELTA","."&amp;S$2&amp;S$1&amp;"C"&amp;$A38)-100*RTD("tos.rtd",,"OPEN_INT","."&amp;S$2&amp;S$1&amp;"P"&amp;$A38)*RTD("tos.rtd",,"DELTA","."&amp;S$2&amp;S$1&amp;"P"&amp;$A38))/1000),0),IF($A$2="VEX",IFERROR(IF($X$1="ABS",($A$4*$A$4*RTD("tos.rtd",,"VOLUME","."&amp;S$2&amp;S$1&amp;"C"&amp;$A38)*RTD("tos.rtd",,"GAMMA","."&amp;S$2&amp;S$1&amp;"C"&amp;$A38)+$A$4*$A$4*RTD("tos.rtd",,"VOLUME","."&amp;S$2&amp;S$1&amp;"P"&amp;$A38)*RTD("tos.rtd",,"GAMMA","."&amp;S$2&amp;S$1&amp;"P"&amp;$A38))/1000000,($A$4*$A$4*RTD("tos.rtd",,"VOLUME","."&amp;S$2&amp;S$1&amp;"C"&amp;$A38)*RTD("tos.rtd",,"GAMMA","."&amp;S$2&amp;S$1&amp;"C"&amp;$A38)-$A$4*$A$4*RTD("tos.rtd",,"VOLUME","."&amp;S$2&amp;S$1&amp;"P"&amp;$A38)*RTD("tos.rtd",,"GAMMA","."&amp;S$2&amp;S$1&amp;"P"&amp;$A38))/1000000),0),IF($A$2="GEX",IFERROR(IF($X$1="ABS",($A$4*$A$4*RTD("tos.rtd",,"OPEN_INT","."&amp;S$2&amp;S$1&amp;"C"&amp;$A38)*RTD("tos.rtd",,"GAMMA","."&amp;S$2&amp;S$1&amp;"C"&amp;$A38)+$A$4*$A$4*RTD("tos.rtd",,"OPEN_INT","."&amp;S$2&amp;S$1&amp;"P"&amp;$A38)*RTD("tos.rtd",,"GAMMA","."&amp;S$2&amp;S$1&amp;"P"&amp;$A38))/1000000,($A$4*$A$4*RTD("tos.rtd",,"OPEN_INT","."&amp;S$2&amp;S$1&amp;"C"&amp;$A38)*RTD("tos.rtd",,"GAMMA","."&amp;S$2&amp;S$1&amp;"C"&amp;$A38)-$A$4*$A$4*RTD("tos.rtd",,"OPEN_INT","."&amp;S$2&amp;S$1&amp;"P"&amp;$A38)*RTD("tos.rtd",,"GAMMA","."&amp;S$2&amp;S$1&amp;"P"&amp;$A38))/1000000),0),IF($A$2="SKEW",IFERROR(VALUE(IF(RTD("tos.rtd",,"IMPL_VOL","."&amp;S$2&amp;S$1&amp;"P"&amp;$A38)="N/A",0,RTD("tos.rtd",,"IMPL_VOL","."&amp;S$2&amp;S$1&amp;"P"&amp;$A38))),0)-IFERROR(VALUE(IF(RTD("tos.rtd",,"IMPL_VOL","."&amp;S$2&amp;S$1&amp;"C"&amp;$A38)="N/A",0,RTD("tos.rtd",,"IMPL_VOL","."&amp;S$2&amp;S$1&amp;"C"&amp;$A38))),0),IF($A$2="MAXPAIN",IF($A$4&gt;$A38,($A$4-$A38)*IF(RTD("tos.rtd",,"OPEN_INT","."&amp;S$2&amp;S$1&amp;"C"&amp;$A38)="N/A",0,RTD("tos.rtd",,"OPEN_INT","."&amp;S$2&amp;S$1&amp;"C"&amp;$A38)),0)+IF($A$4&lt;$A38,($A$5-$A$4)*IF(RTD("tos.rtd",,"OPEN_INT","."&amp;S$2&amp;S$1&amp;"P"&amp;$A38)="N/A",0,RTD("tos.rtd",,"OPEN_INT","."&amp;S$2&amp;S$1&amp;"P"&amp;$A38)),0),IF($X$1="ABS",IF(RTD("tos.rtd",,$A$2,"."&amp;S$2&amp;S$1&amp;"C"&amp;$A38)="N/A",0,RTD("tos.rtd",,$A$2,"."&amp;S$2&amp;S$1&amp;"C"&amp;$A38))+IF(RTD("tos.rtd",,$A$2,"."&amp;S$2&amp;S$1&amp;"P"&amp;$A38)="N/A",0,RTD("tos.rtd",,$A$2,"."&amp;S$2&amp;S$1&amp;"P"&amp;$A38)),IF(RTD("tos.rtd",,$A$2,"."&amp;S$2&amp;S$1&amp;"C"&amp;$A38)="N/A",0,RTD("tos.rtd",,$A$2,"."&amp;S$2&amp;S$1&amp;"C"&amp;$A38))-IF(RTD("tos.rtd",,$A$2,"."&amp;S$2&amp;S$1&amp;"P"&amp;$A38)="N/A",0,RTD("tos.rtd",,$A$2,"."&amp;S$2&amp;S$1&amp;"P"&amp;$A38))))))))))</f>
        <v>0</v>
      </c>
      <c r="T38" s="12">
        <f ca="1">IF($A$2="PREMIUM_OI",IFERROR(IF($X$1="ABS",(100*RTD("tos.rtd",,"OPEN_INT","."&amp;T$2&amp;T$1&amp;"C"&amp;$A38)*RTD("tos.rtd",,"LAST","."&amp;T$2&amp;T$1&amp;"C"&amp;$A38)+100*RTD("tos.rtd",,"OPEN_INT","."&amp;T$2&amp;T$1&amp;"P"&amp;$A38)*RTD("tos.rtd",,"LAST","."&amp;T$2&amp;T$1&amp;"P"&amp;$A38))/1000000,(100*RTD("tos.rtd",,"OPEN_INT","."&amp;T$2&amp;T$1&amp;"C"&amp;$A38)*RTD("tos.rtd",,"LAST","."&amp;T$2&amp;T$1&amp;"C"&amp;$A38)-100*RTD("tos.rtd",,"OPEN_INT","."&amp;T$2&amp;T$1&amp;"P"&amp;$A38)*RTD("tos.rtd",,"LAST","."&amp;T$2&amp;T$1&amp;"P"&amp;$A38))/1000000),0),IF($A$2="PREMIUM",IFERROR(IF($X$1="ABS",(100*RTD("tos.rtd",,"VOLUME","."&amp;T$2&amp;T$1&amp;"C"&amp;$A38)*RTD("tos.rtd",,"LAST","."&amp;T$2&amp;T$1&amp;"C"&amp;$A38)+100*RTD("tos.rtd",,"VOLUME","."&amp;T$2&amp;T$1&amp;"P"&amp;$A38)*RTD("tos.rtd",,"LAST","."&amp;T$2&amp;T$1&amp;"P"&amp;$A38))/1000000,(100*RTD("tos.rtd",,"VOLUME","."&amp;T$2&amp;T$1&amp;"C"&amp;$A38)*RTD("tos.rtd",,"LAST","."&amp;T$2&amp;T$1&amp;"C"&amp;$A38)-100*RTD("tos.rtd",,"VOLUME","."&amp;T$2&amp;T$1&amp;"P"&amp;$A38)*RTD("tos.rtd",,"LAST","."&amp;T$2&amp;T$1&amp;"P"&amp;$A38))/1000000),0),IF($A$2="DEX",IFERROR(IF($X$1="ABS",(100*RTD("tos.rtd",,"OPEN_INT","."&amp;T$2&amp;T$1&amp;"C"&amp;$A38)*RTD("tos.rtd",,"DELTA","."&amp;T$2&amp;T$1&amp;"C"&amp;$A38)+100*RTD("tos.rtd",,"OPEN_INT","."&amp;T$2&amp;T$1&amp;"P"&amp;$A38)*RTD("tos.rtd",,"DELTA","."&amp;T$2&amp;T$1&amp;"P"&amp;$A38))/1000,(100*RTD("tos.rtd",,"OPEN_INT","."&amp;T$2&amp;T$1&amp;"C"&amp;$A38)*RTD("tos.rtd",,"DELTA","."&amp;T$2&amp;T$1&amp;"C"&amp;$A38)-100*RTD("tos.rtd",,"OPEN_INT","."&amp;T$2&amp;T$1&amp;"P"&amp;$A38)*RTD("tos.rtd",,"DELTA","."&amp;T$2&amp;T$1&amp;"P"&amp;$A38))/1000),0),IF($A$2="VEX",IFERROR(IF($X$1="ABS",($A$4*$A$4*RTD("tos.rtd",,"VOLUME","."&amp;T$2&amp;T$1&amp;"C"&amp;$A38)*RTD("tos.rtd",,"GAMMA","."&amp;T$2&amp;T$1&amp;"C"&amp;$A38)+$A$4*$A$4*RTD("tos.rtd",,"VOLUME","."&amp;T$2&amp;T$1&amp;"P"&amp;$A38)*RTD("tos.rtd",,"GAMMA","."&amp;T$2&amp;T$1&amp;"P"&amp;$A38))/1000000,($A$4*$A$4*RTD("tos.rtd",,"VOLUME","."&amp;T$2&amp;T$1&amp;"C"&amp;$A38)*RTD("tos.rtd",,"GAMMA","."&amp;T$2&amp;T$1&amp;"C"&amp;$A38)-$A$4*$A$4*RTD("tos.rtd",,"VOLUME","."&amp;T$2&amp;T$1&amp;"P"&amp;$A38)*RTD("tos.rtd",,"GAMMA","."&amp;T$2&amp;T$1&amp;"P"&amp;$A38))/1000000),0),IF($A$2="GEX",IFERROR(IF($X$1="ABS",($A$4*$A$4*RTD("tos.rtd",,"OPEN_INT","."&amp;T$2&amp;T$1&amp;"C"&amp;$A38)*RTD("tos.rtd",,"GAMMA","."&amp;T$2&amp;T$1&amp;"C"&amp;$A38)+$A$4*$A$4*RTD("tos.rtd",,"OPEN_INT","."&amp;T$2&amp;T$1&amp;"P"&amp;$A38)*RTD("tos.rtd",,"GAMMA","."&amp;T$2&amp;T$1&amp;"P"&amp;$A38))/1000000,($A$4*$A$4*RTD("tos.rtd",,"OPEN_INT","."&amp;T$2&amp;T$1&amp;"C"&amp;$A38)*RTD("tos.rtd",,"GAMMA","."&amp;T$2&amp;T$1&amp;"C"&amp;$A38)-$A$4*$A$4*RTD("tos.rtd",,"OPEN_INT","."&amp;T$2&amp;T$1&amp;"P"&amp;$A38)*RTD("tos.rtd",,"GAMMA","."&amp;T$2&amp;T$1&amp;"P"&amp;$A38))/1000000),0),IF($A$2="SKEW",IFERROR(VALUE(IF(RTD("tos.rtd",,"IMPL_VOL","."&amp;T$2&amp;T$1&amp;"P"&amp;$A38)="N/A",0,RTD("tos.rtd",,"IMPL_VOL","."&amp;T$2&amp;T$1&amp;"P"&amp;$A38))),0)-IFERROR(VALUE(IF(RTD("tos.rtd",,"IMPL_VOL","."&amp;T$2&amp;T$1&amp;"C"&amp;$A38)="N/A",0,RTD("tos.rtd",,"IMPL_VOL","."&amp;T$2&amp;T$1&amp;"C"&amp;$A38))),0),IF($A$2="MAXPAIN",IF($A$4&gt;$A38,($A$4-$A38)*IF(RTD("tos.rtd",,"OPEN_INT","."&amp;T$2&amp;T$1&amp;"C"&amp;$A38)="N/A",0,RTD("tos.rtd",,"OPEN_INT","."&amp;T$2&amp;T$1&amp;"C"&amp;$A38)),0)+IF($A$4&lt;$A38,($A$5-$A$4)*IF(RTD("tos.rtd",,"OPEN_INT","."&amp;T$2&amp;T$1&amp;"P"&amp;$A38)="N/A",0,RTD("tos.rtd",,"OPEN_INT","."&amp;T$2&amp;T$1&amp;"P"&amp;$A38)),0),IF($X$1="ABS",IF(RTD("tos.rtd",,$A$2,"."&amp;T$2&amp;T$1&amp;"C"&amp;$A38)="N/A",0,RTD("tos.rtd",,$A$2,"."&amp;T$2&amp;T$1&amp;"C"&amp;$A38))+IF(RTD("tos.rtd",,$A$2,"."&amp;T$2&amp;T$1&amp;"P"&amp;$A38)="N/A",0,RTD("tos.rtd",,$A$2,"."&amp;T$2&amp;T$1&amp;"P"&amp;$A38)),IF(RTD("tos.rtd",,$A$2,"."&amp;T$2&amp;T$1&amp;"C"&amp;$A38)="N/A",0,RTD("tos.rtd",,$A$2,"."&amp;T$2&amp;T$1&amp;"C"&amp;$A38))-IF(RTD("tos.rtd",,$A$2,"."&amp;T$2&amp;T$1&amp;"P"&amp;$A38)="N/A",0,RTD("tos.rtd",,$A$2,"."&amp;T$2&amp;T$1&amp;"P"&amp;$A38))))))))))</f>
        <v>0</v>
      </c>
      <c r="U38" s="12">
        <f ca="1">IF($A$2="PREMIUM_OI",IFERROR(IF($X$1="ABS",(100*RTD("tos.rtd",,"OPEN_INT","."&amp;U$2&amp;U$1&amp;"C"&amp;$A38)*RTD("tos.rtd",,"LAST","."&amp;U$2&amp;U$1&amp;"C"&amp;$A38)+100*RTD("tos.rtd",,"OPEN_INT","."&amp;U$2&amp;U$1&amp;"P"&amp;$A38)*RTD("tos.rtd",,"LAST","."&amp;U$2&amp;U$1&amp;"P"&amp;$A38))/1000000,(100*RTD("tos.rtd",,"OPEN_INT","."&amp;U$2&amp;U$1&amp;"C"&amp;$A38)*RTD("tos.rtd",,"LAST","."&amp;U$2&amp;U$1&amp;"C"&amp;$A38)-100*RTD("tos.rtd",,"OPEN_INT","."&amp;U$2&amp;U$1&amp;"P"&amp;$A38)*RTD("tos.rtd",,"LAST","."&amp;U$2&amp;U$1&amp;"P"&amp;$A38))/1000000),0),IF($A$2="PREMIUM",IFERROR(IF($X$1="ABS",(100*RTD("tos.rtd",,"VOLUME","."&amp;U$2&amp;U$1&amp;"C"&amp;$A38)*RTD("tos.rtd",,"LAST","."&amp;U$2&amp;U$1&amp;"C"&amp;$A38)+100*RTD("tos.rtd",,"VOLUME","."&amp;U$2&amp;U$1&amp;"P"&amp;$A38)*RTD("tos.rtd",,"LAST","."&amp;U$2&amp;U$1&amp;"P"&amp;$A38))/1000000,(100*RTD("tos.rtd",,"VOLUME","."&amp;U$2&amp;U$1&amp;"C"&amp;$A38)*RTD("tos.rtd",,"LAST","."&amp;U$2&amp;U$1&amp;"C"&amp;$A38)-100*RTD("tos.rtd",,"VOLUME","."&amp;U$2&amp;U$1&amp;"P"&amp;$A38)*RTD("tos.rtd",,"LAST","."&amp;U$2&amp;U$1&amp;"P"&amp;$A38))/1000000),0),IF($A$2="DEX",IFERROR(IF($X$1="ABS",(100*RTD("tos.rtd",,"OPEN_INT","."&amp;U$2&amp;U$1&amp;"C"&amp;$A38)*RTD("tos.rtd",,"DELTA","."&amp;U$2&amp;U$1&amp;"C"&amp;$A38)+100*RTD("tos.rtd",,"OPEN_INT","."&amp;U$2&amp;U$1&amp;"P"&amp;$A38)*RTD("tos.rtd",,"DELTA","."&amp;U$2&amp;U$1&amp;"P"&amp;$A38))/1000,(100*RTD("tos.rtd",,"OPEN_INT","."&amp;U$2&amp;U$1&amp;"C"&amp;$A38)*RTD("tos.rtd",,"DELTA","."&amp;U$2&amp;U$1&amp;"C"&amp;$A38)-100*RTD("tos.rtd",,"OPEN_INT","."&amp;U$2&amp;U$1&amp;"P"&amp;$A38)*RTD("tos.rtd",,"DELTA","."&amp;U$2&amp;U$1&amp;"P"&amp;$A38))/1000),0),IF($A$2="VEX",IFERROR(IF($X$1="ABS",($A$4*$A$4*RTD("tos.rtd",,"VOLUME","."&amp;U$2&amp;U$1&amp;"C"&amp;$A38)*RTD("tos.rtd",,"GAMMA","."&amp;U$2&amp;U$1&amp;"C"&amp;$A38)+$A$4*$A$4*RTD("tos.rtd",,"VOLUME","."&amp;U$2&amp;U$1&amp;"P"&amp;$A38)*RTD("tos.rtd",,"GAMMA","."&amp;U$2&amp;U$1&amp;"P"&amp;$A38))/1000000,($A$4*$A$4*RTD("tos.rtd",,"VOLUME","."&amp;U$2&amp;U$1&amp;"C"&amp;$A38)*RTD("tos.rtd",,"GAMMA","."&amp;U$2&amp;U$1&amp;"C"&amp;$A38)-$A$4*$A$4*RTD("tos.rtd",,"VOLUME","."&amp;U$2&amp;U$1&amp;"P"&amp;$A38)*RTD("tos.rtd",,"GAMMA","."&amp;U$2&amp;U$1&amp;"P"&amp;$A38))/1000000),0),IF($A$2="GEX",IFERROR(IF($X$1="ABS",($A$4*$A$4*RTD("tos.rtd",,"OPEN_INT","."&amp;U$2&amp;U$1&amp;"C"&amp;$A38)*RTD("tos.rtd",,"GAMMA","."&amp;U$2&amp;U$1&amp;"C"&amp;$A38)+$A$4*$A$4*RTD("tos.rtd",,"OPEN_INT","."&amp;U$2&amp;U$1&amp;"P"&amp;$A38)*RTD("tos.rtd",,"GAMMA","."&amp;U$2&amp;U$1&amp;"P"&amp;$A38))/1000000,($A$4*$A$4*RTD("tos.rtd",,"OPEN_INT","."&amp;U$2&amp;U$1&amp;"C"&amp;$A38)*RTD("tos.rtd",,"GAMMA","."&amp;U$2&amp;U$1&amp;"C"&amp;$A38)-$A$4*$A$4*RTD("tos.rtd",,"OPEN_INT","."&amp;U$2&amp;U$1&amp;"P"&amp;$A38)*RTD("tos.rtd",,"GAMMA","."&amp;U$2&amp;U$1&amp;"P"&amp;$A38))/1000000),0),IF($A$2="SKEW",IFERROR(VALUE(IF(RTD("tos.rtd",,"IMPL_VOL","."&amp;U$2&amp;U$1&amp;"P"&amp;$A38)="N/A",0,RTD("tos.rtd",,"IMPL_VOL","."&amp;U$2&amp;U$1&amp;"P"&amp;$A38))),0)-IFERROR(VALUE(IF(RTD("tos.rtd",,"IMPL_VOL","."&amp;U$2&amp;U$1&amp;"C"&amp;$A38)="N/A",0,RTD("tos.rtd",,"IMPL_VOL","."&amp;U$2&amp;U$1&amp;"C"&amp;$A38))),0),IF($A$2="MAXPAIN",IF($A$4&gt;$A38,($A$4-$A38)*IF(RTD("tos.rtd",,"OPEN_INT","."&amp;U$2&amp;U$1&amp;"C"&amp;$A38)="N/A",0,RTD("tos.rtd",,"OPEN_INT","."&amp;U$2&amp;U$1&amp;"C"&amp;$A38)),0)+IF($A$4&lt;$A38,($A$5-$A$4)*IF(RTD("tos.rtd",,"OPEN_INT","."&amp;U$2&amp;U$1&amp;"P"&amp;$A38)="N/A",0,RTD("tos.rtd",,"OPEN_INT","."&amp;U$2&amp;U$1&amp;"P"&amp;$A38)),0),IF($X$1="ABS",IF(RTD("tos.rtd",,$A$2,"."&amp;U$2&amp;U$1&amp;"C"&amp;$A38)="N/A",0,RTD("tos.rtd",,$A$2,"."&amp;U$2&amp;U$1&amp;"C"&amp;$A38))+IF(RTD("tos.rtd",,$A$2,"."&amp;U$2&amp;U$1&amp;"P"&amp;$A38)="N/A",0,RTD("tos.rtd",,$A$2,"."&amp;U$2&amp;U$1&amp;"P"&amp;$A38)),IF(RTD("tos.rtd",,$A$2,"."&amp;U$2&amp;U$1&amp;"C"&amp;$A38)="N/A",0,RTD("tos.rtd",,$A$2,"."&amp;U$2&amp;U$1&amp;"C"&amp;$A38))-IF(RTD("tos.rtd",,$A$2,"."&amp;U$2&amp;U$1&amp;"P"&amp;$A38)="N/A",0,RTD("tos.rtd",,$A$2,"."&amp;U$2&amp;U$1&amp;"P"&amp;$A38))))))))))</f>
        <v>0</v>
      </c>
      <c r="V38" s="12">
        <f ca="1">IF($A$2="PREMIUM_OI",IFERROR(IF($X$1="ABS",(100*RTD("tos.rtd",,"OPEN_INT","."&amp;V$2&amp;V$1&amp;"C"&amp;$A38)*RTD("tos.rtd",,"LAST","."&amp;V$2&amp;V$1&amp;"C"&amp;$A38)+100*RTD("tos.rtd",,"OPEN_INT","."&amp;V$2&amp;V$1&amp;"P"&amp;$A38)*RTD("tos.rtd",,"LAST","."&amp;V$2&amp;V$1&amp;"P"&amp;$A38))/1000000,(100*RTD("tos.rtd",,"OPEN_INT","."&amp;V$2&amp;V$1&amp;"C"&amp;$A38)*RTD("tos.rtd",,"LAST","."&amp;V$2&amp;V$1&amp;"C"&amp;$A38)-100*RTD("tos.rtd",,"OPEN_INT","."&amp;V$2&amp;V$1&amp;"P"&amp;$A38)*RTD("tos.rtd",,"LAST","."&amp;V$2&amp;V$1&amp;"P"&amp;$A38))/1000000),0),IF($A$2="PREMIUM",IFERROR(IF($X$1="ABS",(100*RTD("tos.rtd",,"VOLUME","."&amp;V$2&amp;V$1&amp;"C"&amp;$A38)*RTD("tos.rtd",,"LAST","."&amp;V$2&amp;V$1&amp;"C"&amp;$A38)+100*RTD("tos.rtd",,"VOLUME","."&amp;V$2&amp;V$1&amp;"P"&amp;$A38)*RTD("tos.rtd",,"LAST","."&amp;V$2&amp;V$1&amp;"P"&amp;$A38))/1000000,(100*RTD("tos.rtd",,"VOLUME","."&amp;V$2&amp;V$1&amp;"C"&amp;$A38)*RTD("tos.rtd",,"LAST","."&amp;V$2&amp;V$1&amp;"C"&amp;$A38)-100*RTD("tos.rtd",,"VOLUME","."&amp;V$2&amp;V$1&amp;"P"&amp;$A38)*RTD("tos.rtd",,"LAST","."&amp;V$2&amp;V$1&amp;"P"&amp;$A38))/1000000),0),IF($A$2="DEX",IFERROR(IF($X$1="ABS",(100*RTD("tos.rtd",,"OPEN_INT","."&amp;V$2&amp;V$1&amp;"C"&amp;$A38)*RTD("tos.rtd",,"DELTA","."&amp;V$2&amp;V$1&amp;"C"&amp;$A38)+100*RTD("tos.rtd",,"OPEN_INT","."&amp;V$2&amp;V$1&amp;"P"&amp;$A38)*RTD("tos.rtd",,"DELTA","."&amp;V$2&amp;V$1&amp;"P"&amp;$A38))/1000,(100*RTD("tos.rtd",,"OPEN_INT","."&amp;V$2&amp;V$1&amp;"C"&amp;$A38)*RTD("tos.rtd",,"DELTA","."&amp;V$2&amp;V$1&amp;"C"&amp;$A38)-100*RTD("tos.rtd",,"OPEN_INT","."&amp;V$2&amp;V$1&amp;"P"&amp;$A38)*RTD("tos.rtd",,"DELTA","."&amp;V$2&amp;V$1&amp;"P"&amp;$A38))/1000),0),IF($A$2="VEX",IFERROR(IF($X$1="ABS",($A$4*$A$4*RTD("tos.rtd",,"VOLUME","."&amp;V$2&amp;V$1&amp;"C"&amp;$A38)*RTD("tos.rtd",,"GAMMA","."&amp;V$2&amp;V$1&amp;"C"&amp;$A38)+$A$4*$A$4*RTD("tos.rtd",,"VOLUME","."&amp;V$2&amp;V$1&amp;"P"&amp;$A38)*RTD("tos.rtd",,"GAMMA","."&amp;V$2&amp;V$1&amp;"P"&amp;$A38))/1000000,($A$4*$A$4*RTD("tos.rtd",,"VOLUME","."&amp;V$2&amp;V$1&amp;"C"&amp;$A38)*RTD("tos.rtd",,"GAMMA","."&amp;V$2&amp;V$1&amp;"C"&amp;$A38)-$A$4*$A$4*RTD("tos.rtd",,"VOLUME","."&amp;V$2&amp;V$1&amp;"P"&amp;$A38)*RTD("tos.rtd",,"GAMMA","."&amp;V$2&amp;V$1&amp;"P"&amp;$A38))/1000000),0),IF($A$2="GEX",IFERROR(IF($X$1="ABS",($A$4*$A$4*RTD("tos.rtd",,"OPEN_INT","."&amp;V$2&amp;V$1&amp;"C"&amp;$A38)*RTD("tos.rtd",,"GAMMA","."&amp;V$2&amp;V$1&amp;"C"&amp;$A38)+$A$4*$A$4*RTD("tos.rtd",,"OPEN_INT","."&amp;V$2&amp;V$1&amp;"P"&amp;$A38)*RTD("tos.rtd",,"GAMMA","."&amp;V$2&amp;V$1&amp;"P"&amp;$A38))/1000000,($A$4*$A$4*RTD("tos.rtd",,"OPEN_INT","."&amp;V$2&amp;V$1&amp;"C"&amp;$A38)*RTD("tos.rtd",,"GAMMA","."&amp;V$2&amp;V$1&amp;"C"&amp;$A38)-$A$4*$A$4*RTD("tos.rtd",,"OPEN_INT","."&amp;V$2&amp;V$1&amp;"P"&amp;$A38)*RTD("tos.rtd",,"GAMMA","."&amp;V$2&amp;V$1&amp;"P"&amp;$A38))/1000000),0),IF($A$2="SKEW",IFERROR(VALUE(IF(RTD("tos.rtd",,"IMPL_VOL","."&amp;V$2&amp;V$1&amp;"P"&amp;$A38)="N/A",0,RTD("tos.rtd",,"IMPL_VOL","."&amp;V$2&amp;V$1&amp;"P"&amp;$A38))),0)-IFERROR(VALUE(IF(RTD("tos.rtd",,"IMPL_VOL","."&amp;V$2&amp;V$1&amp;"C"&amp;$A38)="N/A",0,RTD("tos.rtd",,"IMPL_VOL","."&amp;V$2&amp;V$1&amp;"C"&amp;$A38))),0),IF($A$2="MAXPAIN",IF($A$4&gt;$A38,($A$4-$A38)*IF(RTD("tos.rtd",,"OPEN_INT","."&amp;V$2&amp;V$1&amp;"C"&amp;$A38)="N/A",0,RTD("tos.rtd",,"OPEN_INT","."&amp;V$2&amp;V$1&amp;"C"&amp;$A38)),0)+IF($A$4&lt;$A38,($A$5-$A$4)*IF(RTD("tos.rtd",,"OPEN_INT","."&amp;V$2&amp;V$1&amp;"P"&amp;$A38)="N/A",0,RTD("tos.rtd",,"OPEN_INT","."&amp;V$2&amp;V$1&amp;"P"&amp;$A38)),0),IF($X$1="ABS",IF(RTD("tos.rtd",,$A$2,"."&amp;V$2&amp;V$1&amp;"C"&amp;$A38)="N/A",0,RTD("tos.rtd",,$A$2,"."&amp;V$2&amp;V$1&amp;"C"&amp;$A38))+IF(RTD("tos.rtd",,$A$2,"."&amp;V$2&amp;V$1&amp;"P"&amp;$A38)="N/A",0,RTD("tos.rtd",,$A$2,"."&amp;V$2&amp;V$1&amp;"P"&amp;$A38)),IF(RTD("tos.rtd",,$A$2,"."&amp;V$2&amp;V$1&amp;"C"&amp;$A38)="N/A",0,RTD("tos.rtd",,$A$2,"."&amp;V$2&amp;V$1&amp;"C"&amp;$A38))-IF(RTD("tos.rtd",,$A$2,"."&amp;V$2&amp;V$1&amp;"P"&amp;$A38)="N/A",0,RTD("tos.rtd",,$A$2,"."&amp;V$2&amp;V$1&amp;"P"&amp;$A38))))))))))</f>
        <v>0</v>
      </c>
      <c r="W38" s="54">
        <f ca="1">IF($A$2="PREMIUM_OI",IFERROR(IF($X$1="ABS",(100*RTD("tos.rtd",,"OPEN_INT","."&amp;W$2&amp;W$1&amp;"C"&amp;$A38)*RTD("tos.rtd",,"LAST","."&amp;W$2&amp;W$1&amp;"C"&amp;$A38)+100*RTD("tos.rtd",,"OPEN_INT","."&amp;W$2&amp;W$1&amp;"P"&amp;$A38)*RTD("tos.rtd",,"LAST","."&amp;W$2&amp;W$1&amp;"P"&amp;$A38))/1000000,(100*RTD("tos.rtd",,"OPEN_INT","."&amp;W$2&amp;W$1&amp;"C"&amp;$A38)*RTD("tos.rtd",,"LAST","."&amp;W$2&amp;W$1&amp;"C"&amp;$A38)-100*RTD("tos.rtd",,"OPEN_INT","."&amp;W$2&amp;W$1&amp;"P"&amp;$A38)*RTD("tos.rtd",,"LAST","."&amp;W$2&amp;W$1&amp;"P"&amp;$A38))/1000000),0),IF($A$2="PREMIUM",IFERROR(IF($X$1="ABS",(100*RTD("tos.rtd",,"VOLUME","."&amp;W$2&amp;W$1&amp;"C"&amp;$A38)*RTD("tos.rtd",,"LAST","."&amp;W$2&amp;W$1&amp;"C"&amp;$A38)+100*RTD("tos.rtd",,"VOLUME","."&amp;W$2&amp;W$1&amp;"P"&amp;$A38)*RTD("tos.rtd",,"LAST","."&amp;W$2&amp;W$1&amp;"P"&amp;$A38))/1000000,(100*RTD("tos.rtd",,"VOLUME","."&amp;W$2&amp;W$1&amp;"C"&amp;$A38)*RTD("tos.rtd",,"LAST","."&amp;W$2&amp;W$1&amp;"C"&amp;$A38)-100*RTD("tos.rtd",,"VOLUME","."&amp;W$2&amp;W$1&amp;"P"&amp;$A38)*RTD("tos.rtd",,"LAST","."&amp;W$2&amp;W$1&amp;"P"&amp;$A38))/1000000),0),IF($A$2="DEX",IFERROR(IF($X$1="ABS",(100*RTD("tos.rtd",,"OPEN_INT","."&amp;W$2&amp;W$1&amp;"C"&amp;$A38)*RTD("tos.rtd",,"DELTA","."&amp;W$2&amp;W$1&amp;"C"&amp;$A38)+100*RTD("tos.rtd",,"OPEN_INT","."&amp;W$2&amp;W$1&amp;"P"&amp;$A38)*RTD("tos.rtd",,"DELTA","."&amp;W$2&amp;W$1&amp;"P"&amp;$A38))/1000,(100*RTD("tos.rtd",,"OPEN_INT","."&amp;W$2&amp;W$1&amp;"C"&amp;$A38)*RTD("tos.rtd",,"DELTA","."&amp;W$2&amp;W$1&amp;"C"&amp;$A38)-100*RTD("tos.rtd",,"OPEN_INT","."&amp;W$2&amp;W$1&amp;"P"&amp;$A38)*RTD("tos.rtd",,"DELTA","."&amp;W$2&amp;W$1&amp;"P"&amp;$A38))/1000),0),IF($A$2="VEX",IFERROR(IF($X$1="ABS",($A$4*$A$4*RTD("tos.rtd",,"VOLUME","."&amp;W$2&amp;W$1&amp;"C"&amp;$A38)*RTD("tos.rtd",,"GAMMA","."&amp;W$2&amp;W$1&amp;"C"&amp;$A38)+$A$4*$A$4*RTD("tos.rtd",,"VOLUME","."&amp;W$2&amp;W$1&amp;"P"&amp;$A38)*RTD("tos.rtd",,"GAMMA","."&amp;W$2&amp;W$1&amp;"P"&amp;$A38))/1000000,($A$4*$A$4*RTD("tos.rtd",,"VOLUME","."&amp;W$2&amp;W$1&amp;"C"&amp;$A38)*RTD("tos.rtd",,"GAMMA","."&amp;W$2&amp;W$1&amp;"C"&amp;$A38)-$A$4*$A$4*RTD("tos.rtd",,"VOLUME","."&amp;W$2&amp;W$1&amp;"P"&amp;$A38)*RTD("tos.rtd",,"GAMMA","."&amp;W$2&amp;W$1&amp;"P"&amp;$A38))/1000000),0),IF($A$2="GEX",IFERROR(IF($X$1="ABS",($A$4*$A$4*RTD("tos.rtd",,"OPEN_INT","."&amp;W$2&amp;W$1&amp;"C"&amp;$A38)*RTD("tos.rtd",,"GAMMA","."&amp;W$2&amp;W$1&amp;"C"&amp;$A38)+$A$4*$A$4*RTD("tos.rtd",,"OPEN_INT","."&amp;W$2&amp;W$1&amp;"P"&amp;$A38)*RTD("tos.rtd",,"GAMMA","."&amp;W$2&amp;W$1&amp;"P"&amp;$A38))/1000000,($A$4*$A$4*RTD("tos.rtd",,"OPEN_INT","."&amp;W$2&amp;W$1&amp;"C"&amp;$A38)*RTD("tos.rtd",,"GAMMA","."&amp;W$2&amp;W$1&amp;"C"&amp;$A38)-$A$4*$A$4*RTD("tos.rtd",,"OPEN_INT","."&amp;W$2&amp;W$1&amp;"P"&amp;$A38)*RTD("tos.rtd",,"GAMMA","."&amp;W$2&amp;W$1&amp;"P"&amp;$A38))/1000000),0),IF($A$2="SKEW",IFERROR(VALUE(IF(RTD("tos.rtd",,"IMPL_VOL","."&amp;W$2&amp;W$1&amp;"P"&amp;$A38)="N/A",0,RTD("tos.rtd",,"IMPL_VOL","."&amp;W$2&amp;W$1&amp;"P"&amp;$A38))),0)-IFERROR(VALUE(IF(RTD("tos.rtd",,"IMPL_VOL","."&amp;W$2&amp;W$1&amp;"C"&amp;$A38)="N/A",0,RTD("tos.rtd",,"IMPL_VOL","."&amp;W$2&amp;W$1&amp;"C"&amp;$A38))),0),IF($A$2="MAXPAIN",IF($A$4&gt;$A38,($A$4-$A38)*IF(RTD("tos.rtd",,"OPEN_INT","."&amp;W$2&amp;W$1&amp;"C"&amp;$A38)="N/A",0,RTD("tos.rtd",,"OPEN_INT","."&amp;W$2&amp;W$1&amp;"C"&amp;$A38)),0)+IF($A$4&lt;$A38,($A$5-$A$4)*IF(RTD("tos.rtd",,"OPEN_INT","."&amp;W$2&amp;W$1&amp;"P"&amp;$A38)="N/A",0,RTD("tos.rtd",,"OPEN_INT","."&amp;W$2&amp;W$1&amp;"P"&amp;$A38)),0),IF($X$1="ABS",IF(RTD("tos.rtd",,$A$2,"."&amp;W$2&amp;W$1&amp;"C"&amp;$A38)="N/A",0,RTD("tos.rtd",,$A$2,"."&amp;W$2&amp;W$1&amp;"C"&amp;$A38))+IF(RTD("tos.rtd",,$A$2,"."&amp;W$2&amp;W$1&amp;"P"&amp;$A38)="N/A",0,RTD("tos.rtd",,$A$2,"."&amp;W$2&amp;W$1&amp;"P"&amp;$A38)),IF(RTD("tos.rtd",,$A$2,"."&amp;W$2&amp;W$1&amp;"C"&amp;$A38)="N/A",0,RTD("tos.rtd",,$A$2,"."&amp;W$2&amp;W$1&amp;"C"&amp;$A38))-IF(RTD("tos.rtd",,$A$2,"."&amp;W$2&amp;W$1&amp;"P"&amp;$A38)="N/A",0,RTD("tos.rtd",,$A$2,"."&amp;W$2&amp;W$1&amp;"P"&amp;$A38))))))))))</f>
        <v>0</v>
      </c>
      <c r="X38" s="57">
        <f t="shared" ca="1" si="8"/>
        <v>0</v>
      </c>
      <c r="Y38" s="27">
        <f t="shared" ca="1" si="9"/>
        <v>0</v>
      </c>
      <c r="Z38" s="27">
        <f ca="1">+'OI-VOL'!Y38</f>
        <v>12700</v>
      </c>
      <c r="AA38" s="27" t="b">
        <f t="shared" ca="1" si="10"/>
        <v>0</v>
      </c>
      <c r="AB38" s="27">
        <f t="shared" si="11"/>
        <v>14052050</v>
      </c>
      <c r="AC38" s="18">
        <f>MAX(0, $A38-AC$4)*IF(RTD("tos.rtd",,"OPEN_INT","."&amp;$AB$3&amp;$AB$4&amp;"C"&amp;AC$4)="N/A",0,RTD("tos.rtd",,"OPEN_INT","."&amp;$AB$3&amp;$AB$4&amp;"C"&amp;AC$4))*100 + MAX(0, AC$4-$A38)*IF(RTD("tos.rtd",,"OPEN_INT","."&amp;$AB$3&amp;$AB$4&amp;"P"&amp;AC$4)="N/A",0,RTD("tos.rtd",,"OPEN_INT","."&amp;$AB$3&amp;$AB$4&amp;"P"&amp;AC$4))*100</f>
        <v>0</v>
      </c>
      <c r="AD38" s="18">
        <f>MAX(0, $A38-AD$4)*IF(RTD("tos.rtd",,"OPEN_INT","."&amp;$AB$3&amp;$AB$4&amp;"C"&amp;AD$4)="N/A",0,RTD("tos.rtd",,"OPEN_INT","."&amp;$AB$3&amp;$AB$4&amp;"C"&amp;AD$4))*100 + MAX(0, AD$4-$A38)*IF(RTD("tos.rtd",,"OPEN_INT","."&amp;$AB$3&amp;$AB$4&amp;"P"&amp;AD$4)="N/A",0,RTD("tos.rtd",,"OPEN_INT","."&amp;$AB$3&amp;$AB$4&amp;"P"&amp;AD$4))*100</f>
        <v>0</v>
      </c>
      <c r="AE38" s="18">
        <f>MAX(0, $A38-AE$4)*IF(RTD("tos.rtd",,"OPEN_INT","."&amp;$AB$3&amp;$AB$4&amp;"C"&amp;AE$4)="N/A",0,RTD("tos.rtd",,"OPEN_INT","."&amp;$AB$3&amp;$AB$4&amp;"C"&amp;AE$4))*100 + MAX(0, AE$4-$A38)*IF(RTD("tos.rtd",,"OPEN_INT","."&amp;$AB$3&amp;$AB$4&amp;"P"&amp;AE$4)="N/A",0,RTD("tos.rtd",,"OPEN_INT","."&amp;$AB$3&amp;$AB$4&amp;"P"&amp;AE$4))*100</f>
        <v>0</v>
      </c>
      <c r="AF38" s="18">
        <f>MAX(0, $A38-AF$4)*IF(RTD("tos.rtd",,"OPEN_INT","."&amp;$AB$3&amp;$AB$4&amp;"C"&amp;AF$4)="N/A",0,RTD("tos.rtd",,"OPEN_INT","."&amp;$AB$3&amp;$AB$4&amp;"C"&amp;AF$4))*100 + MAX(0, AF$4-$A38)*IF(RTD("tos.rtd",,"OPEN_INT","."&amp;$AB$3&amp;$AB$4&amp;"P"&amp;AF$4)="N/A",0,RTD("tos.rtd",,"OPEN_INT","."&amp;$AB$3&amp;$AB$4&amp;"P"&amp;AF$4))*100</f>
        <v>0</v>
      </c>
      <c r="AG38" s="18">
        <f>MAX(0, $A38-AG$4)*IF(RTD("tos.rtd",,"OPEN_INT","."&amp;$AB$3&amp;$AB$4&amp;"C"&amp;AG$4)="N/A",0,RTD("tos.rtd",,"OPEN_INT","."&amp;$AB$3&amp;$AB$4&amp;"C"&amp;AG$4))*100 + MAX(0, AG$4-$A38)*IF(RTD("tos.rtd",,"OPEN_INT","."&amp;$AB$3&amp;$AB$4&amp;"P"&amp;AG$4)="N/A",0,RTD("tos.rtd",,"OPEN_INT","."&amp;$AB$3&amp;$AB$4&amp;"P"&amp;AG$4))*100</f>
        <v>0</v>
      </c>
      <c r="AH38" s="18">
        <f>MAX(0, $A38-AH$4)*IF(RTD("tos.rtd",,"OPEN_INT","."&amp;$AB$3&amp;$AB$4&amp;"C"&amp;AH$4)="N/A",0,RTD("tos.rtd",,"OPEN_INT","."&amp;$AB$3&amp;$AB$4&amp;"C"&amp;AH$4))*100 + MAX(0, AH$4-$A38)*IF(RTD("tos.rtd",,"OPEN_INT","."&amp;$AB$3&amp;$AB$4&amp;"P"&amp;AH$4)="N/A",0,RTD("tos.rtd",,"OPEN_INT","."&amp;$AB$3&amp;$AB$4&amp;"P"&amp;AH$4))*100</f>
        <v>0</v>
      </c>
      <c r="AI38" s="18">
        <f>MAX(0, $A38-AI$4)*IF(RTD("tos.rtd",,"OPEN_INT","."&amp;$AB$3&amp;$AB$4&amp;"C"&amp;AI$4)="N/A",0,RTD("tos.rtd",,"OPEN_INT","."&amp;$AB$3&amp;$AB$4&amp;"C"&amp;AI$4))*100 + MAX(0, AI$4-$A38)*IF(RTD("tos.rtd",,"OPEN_INT","."&amp;$AB$3&amp;$AB$4&amp;"P"&amp;AI$4)="N/A",0,RTD("tos.rtd",,"OPEN_INT","."&amp;$AB$3&amp;$AB$4&amp;"P"&amp;AI$4))*100</f>
        <v>0</v>
      </c>
      <c r="AJ38" s="18">
        <f>MAX(0, $A38-AJ$4)*IF(RTD("tos.rtd",,"OPEN_INT","."&amp;$AB$3&amp;$AB$4&amp;"C"&amp;AJ$4)="N/A",0,RTD("tos.rtd",,"OPEN_INT","."&amp;$AB$3&amp;$AB$4&amp;"C"&amp;AJ$4))*100 + MAX(0, AJ$4-$A38)*IF(RTD("tos.rtd",,"OPEN_INT","."&amp;$AB$3&amp;$AB$4&amp;"P"&amp;AJ$4)="N/A",0,RTD("tos.rtd",,"OPEN_INT","."&amp;$AB$3&amp;$AB$4&amp;"P"&amp;AJ$4))*100</f>
        <v>3900</v>
      </c>
      <c r="AK38" s="18">
        <f>MAX(0, $A38-AK$4)*IF(RTD("tos.rtd",,"OPEN_INT","."&amp;$AB$3&amp;$AB$4&amp;"C"&amp;AK$4)="N/A",0,RTD("tos.rtd",,"OPEN_INT","."&amp;$AB$3&amp;$AB$4&amp;"C"&amp;AK$4))*100 + MAX(0, AK$4-$A38)*IF(RTD("tos.rtd",,"OPEN_INT","."&amp;$AB$3&amp;$AB$4&amp;"P"&amp;AK$4)="N/A",0,RTD("tos.rtd",,"OPEN_INT","."&amp;$AB$3&amp;$AB$4&amp;"P"&amp;AK$4))*100</f>
        <v>10000</v>
      </c>
      <c r="AL38" s="18">
        <f>MAX(0, $A38-AL$4)*IF(RTD("tos.rtd",,"OPEN_INT","."&amp;$AB$3&amp;$AB$4&amp;"C"&amp;AL$4)="N/A",0,RTD("tos.rtd",,"OPEN_INT","."&amp;$AB$3&amp;$AB$4&amp;"C"&amp;AL$4))*100 + MAX(0, AL$4-$A38)*IF(RTD("tos.rtd",,"OPEN_INT","."&amp;$AB$3&amp;$AB$4&amp;"P"&amp;AL$4)="N/A",0,RTD("tos.rtd",,"OPEN_INT","."&amp;$AB$3&amp;$AB$4&amp;"P"&amp;AL$4))*100</f>
        <v>0</v>
      </c>
      <c r="AM38" s="18">
        <f>MAX(0, $A38-AM$4)*IF(RTD("tos.rtd",,"OPEN_INT","."&amp;$AB$3&amp;$AB$4&amp;"C"&amp;AM$4)="N/A",0,RTD("tos.rtd",,"OPEN_INT","."&amp;$AB$3&amp;$AB$4&amp;"C"&amp;AM$4))*100 + MAX(0, AM$4-$A38)*IF(RTD("tos.rtd",,"OPEN_INT","."&amp;$AB$3&amp;$AB$4&amp;"P"&amp;AM$4)="N/A",0,RTD("tos.rtd",,"OPEN_INT","."&amp;$AB$3&amp;$AB$4&amp;"P"&amp;AM$4))*100</f>
        <v>0</v>
      </c>
      <c r="AN38" s="18">
        <f>MAX(0, $A38-AN$4)*IF(RTD("tos.rtd",,"OPEN_INT","."&amp;$AB$3&amp;$AB$4&amp;"C"&amp;AN$4)="N/A",0,RTD("tos.rtd",,"OPEN_INT","."&amp;$AB$3&amp;$AB$4&amp;"C"&amp;AN$4))*100 + MAX(0, AN$4-$A38)*IF(RTD("tos.rtd",,"OPEN_INT","."&amp;$AB$3&amp;$AB$4&amp;"P"&amp;AN$4)="N/A",0,RTD("tos.rtd",,"OPEN_INT","."&amp;$AB$3&amp;$AB$4&amp;"P"&amp;AN$4))*100</f>
        <v>0</v>
      </c>
      <c r="AO38" s="18">
        <f>MAX(0, $A38-AO$4)*IF(RTD("tos.rtd",,"OPEN_INT","."&amp;$AB$3&amp;$AB$4&amp;"C"&amp;AO$4)="N/A",0,RTD("tos.rtd",,"OPEN_INT","."&amp;$AB$3&amp;$AB$4&amp;"C"&amp;AO$4))*100 + MAX(0, AO$4-$A38)*IF(RTD("tos.rtd",,"OPEN_INT","."&amp;$AB$3&amp;$AB$4&amp;"P"&amp;AO$4)="N/A",0,RTD("tos.rtd",,"OPEN_INT","."&amp;$AB$3&amp;$AB$4&amp;"P"&amp;AO$4))*100</f>
        <v>0</v>
      </c>
      <c r="AP38" s="18">
        <f>MAX(0, $A38-AP$4)*IF(RTD("tos.rtd",,"OPEN_INT","."&amp;$AB$3&amp;$AB$4&amp;"C"&amp;AP$4)="N/A",0,RTD("tos.rtd",,"OPEN_INT","."&amp;$AB$3&amp;$AB$4&amp;"C"&amp;AP$4))*100 + MAX(0, AP$4-$A38)*IF(RTD("tos.rtd",,"OPEN_INT","."&amp;$AB$3&amp;$AB$4&amp;"P"&amp;AP$4)="N/A",0,RTD("tos.rtd",,"OPEN_INT","."&amp;$AB$3&amp;$AB$4&amp;"P"&amp;AP$4))*100</f>
        <v>120000</v>
      </c>
      <c r="AQ38" s="18">
        <f>MAX(0, $A38-AQ$4)*IF(RTD("tos.rtd",,"OPEN_INT","."&amp;$AB$3&amp;$AB$4&amp;"C"&amp;AQ$4)="N/A",0,RTD("tos.rtd",,"OPEN_INT","."&amp;$AB$3&amp;$AB$4&amp;"C"&amp;AQ$4))*100 + MAX(0, AQ$4-$A38)*IF(RTD("tos.rtd",,"OPEN_INT","."&amp;$AB$3&amp;$AB$4&amp;"P"&amp;AQ$4)="N/A",0,RTD("tos.rtd",,"OPEN_INT","."&amp;$AB$3&amp;$AB$4&amp;"P"&amp;AQ$4))*100</f>
        <v>0</v>
      </c>
      <c r="AR38" s="18">
        <f>MAX(0, $A38-AR$4)*IF(RTD("tos.rtd",,"OPEN_INT","."&amp;$AB$3&amp;$AB$4&amp;"C"&amp;AR$4)="N/A",0,RTD("tos.rtd",,"OPEN_INT","."&amp;$AB$3&amp;$AB$4&amp;"C"&amp;AR$4))*100 + MAX(0, AR$4-$A38)*IF(RTD("tos.rtd",,"OPEN_INT","."&amp;$AB$3&amp;$AB$4&amp;"P"&amp;AR$4)="N/A",0,RTD("tos.rtd",,"OPEN_INT","."&amp;$AB$3&amp;$AB$4&amp;"P"&amp;AR$4))*100</f>
        <v>47700</v>
      </c>
      <c r="AS38" s="18">
        <f>MAX(0, $A38-AS$4)*IF(RTD("tos.rtd",,"OPEN_INT","."&amp;$AB$3&amp;$AB$4&amp;"C"&amp;AS$4)="N/A",0,RTD("tos.rtd",,"OPEN_INT","."&amp;$AB$3&amp;$AB$4&amp;"C"&amp;AS$4))*100 + MAX(0, AS$4-$A38)*IF(RTD("tos.rtd",,"OPEN_INT","."&amp;$AB$3&amp;$AB$4&amp;"P"&amp;AS$4)="N/A",0,RTD("tos.rtd",,"OPEN_INT","."&amp;$AB$3&amp;$AB$4&amp;"P"&amp;AS$4))*100</f>
        <v>5100</v>
      </c>
      <c r="AT38" s="18">
        <f>MAX(0, $A38-AT$4)*IF(RTD("tos.rtd",,"OPEN_INT","."&amp;$AB$3&amp;$AB$4&amp;"C"&amp;AT$4)="N/A",0,RTD("tos.rtd",,"OPEN_INT","."&amp;$AB$3&amp;$AB$4&amp;"C"&amp;AT$4))*100 + MAX(0, AT$4-$A38)*IF(RTD("tos.rtd",,"OPEN_INT","."&amp;$AB$3&amp;$AB$4&amp;"P"&amp;AT$4)="N/A",0,RTD("tos.rtd",,"OPEN_INT","."&amp;$AB$3&amp;$AB$4&amp;"P"&amp;AT$4))*100</f>
        <v>49600</v>
      </c>
      <c r="AU38" s="18">
        <f>MAX(0, $A38-AU$4)*IF(RTD("tos.rtd",,"OPEN_INT","."&amp;$AB$3&amp;$AB$4&amp;"C"&amp;AU$4)="N/A",0,RTD("tos.rtd",,"OPEN_INT","."&amp;$AB$3&amp;$AB$4&amp;"C"&amp;AU$4))*100 + MAX(0, AU$4-$A38)*IF(RTD("tos.rtd",,"OPEN_INT","."&amp;$AB$3&amp;$AB$4&amp;"P"&amp;AU$4)="N/A",0,RTD("tos.rtd",,"OPEN_INT","."&amp;$AB$3&amp;$AB$4&amp;"P"&amp;AU$4))*100</f>
        <v>52500</v>
      </c>
      <c r="AV38" s="18">
        <f>MAX(0, $A38-AV$4)*IF(RTD("tos.rtd",,"OPEN_INT","."&amp;$AB$3&amp;$AB$4&amp;"C"&amp;AV$4)="N/A",0,RTD("tos.rtd",,"OPEN_INT","."&amp;$AB$3&amp;$AB$4&amp;"C"&amp;AV$4))*100 + MAX(0, AV$4-$A38)*IF(RTD("tos.rtd",,"OPEN_INT","."&amp;$AB$3&amp;$AB$4&amp;"P"&amp;AV$4)="N/A",0,RTD("tos.rtd",,"OPEN_INT","."&amp;$AB$3&amp;$AB$4&amp;"P"&amp;AV$4))*100</f>
        <v>28000</v>
      </c>
      <c r="AW38" s="18">
        <f>MAX(0, $A38-AW$4)*IF(RTD("tos.rtd",,"OPEN_INT","."&amp;$AB$3&amp;$AB$4&amp;"C"&amp;AW$4)="N/A",0,RTD("tos.rtd",,"OPEN_INT","."&amp;$AB$3&amp;$AB$4&amp;"C"&amp;AW$4))*100 + MAX(0, AW$4-$A38)*IF(RTD("tos.rtd",,"OPEN_INT","."&amp;$AB$3&amp;$AB$4&amp;"P"&amp;AW$4)="N/A",0,RTD("tos.rtd",,"OPEN_INT","."&amp;$AB$3&amp;$AB$4&amp;"P"&amp;AW$4))*100</f>
        <v>104650</v>
      </c>
      <c r="AX38" s="18">
        <f>MAX(0, $A38-AX$4)*IF(RTD("tos.rtd",,"OPEN_INT","."&amp;$AB$3&amp;$AB$4&amp;"C"&amp;AX$4)="N/A",0,RTD("tos.rtd",,"OPEN_INT","."&amp;$AB$3&amp;$AB$4&amp;"C"&amp;AX$4))*100 + MAX(0, AX$4-$A38)*IF(RTD("tos.rtd",,"OPEN_INT","."&amp;$AB$3&amp;$AB$4&amp;"P"&amp;AX$4)="N/A",0,RTD("tos.rtd",,"OPEN_INT","."&amp;$AB$3&amp;$AB$4&amp;"P"&amp;AX$4))*100</f>
        <v>121200</v>
      </c>
      <c r="AY38" s="18">
        <f>MAX(0, $A38-AY$4)*IF(RTD("tos.rtd",,"OPEN_INT","."&amp;$AB$3&amp;$AB$4&amp;"C"&amp;AY$4)="N/A",0,RTD("tos.rtd",,"OPEN_INT","."&amp;$AB$3&amp;$AB$4&amp;"C"&amp;AY$4))*100 + MAX(0, AY$4-$A38)*IF(RTD("tos.rtd",,"OPEN_INT","."&amp;$AB$3&amp;$AB$4&amp;"P"&amp;AY$4)="N/A",0,RTD("tos.rtd",,"OPEN_INT","."&amp;$AB$3&amp;$AB$4&amp;"P"&amp;AY$4))*100</f>
        <v>135850</v>
      </c>
      <c r="AZ38" s="18">
        <f>MAX(0, $A38-AZ$4)*IF(RTD("tos.rtd",,"OPEN_INT","."&amp;$AB$3&amp;$AB$4&amp;"C"&amp;AZ$4)="N/A",0,RTD("tos.rtd",,"OPEN_INT","."&amp;$AB$3&amp;$AB$4&amp;"C"&amp;AZ$4))*100 + MAX(0, AZ$4-$A38)*IF(RTD("tos.rtd",,"OPEN_INT","."&amp;$AB$3&amp;$AB$4&amp;"P"&amp;AZ$4)="N/A",0,RTD("tos.rtd",,"OPEN_INT","."&amp;$AB$3&amp;$AB$4&amp;"P"&amp;AZ$4))*100</f>
        <v>1037000</v>
      </c>
      <c r="BA38" s="18">
        <f>MAX(0, $A38-BA$4)*IF(RTD("tos.rtd",,"OPEN_INT","."&amp;$AB$3&amp;$AB$4&amp;"C"&amp;BA$4)="N/A",0,RTD("tos.rtd",,"OPEN_INT","."&amp;$AB$3&amp;$AB$4&amp;"C"&amp;BA$4))*100 + MAX(0, BA$4-$A38)*IF(RTD("tos.rtd",,"OPEN_INT","."&amp;$AB$3&amp;$AB$4&amp;"P"&amp;BA$4)="N/A",0,RTD("tos.rtd",,"OPEN_INT","."&amp;$AB$3&amp;$AB$4&amp;"P"&amp;BA$4))*100</f>
        <v>255600</v>
      </c>
      <c r="BB38" s="18">
        <f>MAX(0, $A38-BB$4)*IF(RTD("tos.rtd",,"OPEN_INT","."&amp;$AB$3&amp;$AB$4&amp;"C"&amp;BB$4)="N/A",0,RTD("tos.rtd",,"OPEN_INT","."&amp;$AB$3&amp;$AB$4&amp;"C"&amp;BB$4))*100 + MAX(0, BB$4-$A38)*IF(RTD("tos.rtd",,"OPEN_INT","."&amp;$AB$3&amp;$AB$4&amp;"P"&amp;BB$4)="N/A",0,RTD("tos.rtd",,"OPEN_INT","."&amp;$AB$3&amp;$AB$4&amp;"P"&amp;BB$4))*100</f>
        <v>936000</v>
      </c>
      <c r="BC38" s="18">
        <f>MAX(0, $A38-BC$4)*IF(RTD("tos.rtd",,"OPEN_INT","."&amp;$AB$3&amp;$AB$4&amp;"C"&amp;BC$4)="N/A",0,RTD("tos.rtd",,"OPEN_INT","."&amp;$AB$3&amp;$AB$4&amp;"C"&amp;BC$4))*100 + MAX(0, BC$4-$A38)*IF(RTD("tos.rtd",,"OPEN_INT","."&amp;$AB$3&amp;$AB$4&amp;"P"&amp;BC$4)="N/A",0,RTD("tos.rtd",,"OPEN_INT","."&amp;$AB$3&amp;$AB$4&amp;"P"&amp;BC$4))*100</f>
        <v>799400</v>
      </c>
      <c r="BD38" s="18">
        <f>MAX(0, $A38-BD$4)*IF(RTD("tos.rtd",,"OPEN_INT","."&amp;$AB$3&amp;$AB$4&amp;"C"&amp;BD$4)="N/A",0,RTD("tos.rtd",,"OPEN_INT","."&amp;$AB$3&amp;$AB$4&amp;"C"&amp;BD$4))*100 + MAX(0, BD$4-$A38)*IF(RTD("tos.rtd",,"OPEN_INT","."&amp;$AB$3&amp;$AB$4&amp;"P"&amp;BD$4)="N/A",0,RTD("tos.rtd",,"OPEN_INT","."&amp;$AB$3&amp;$AB$4&amp;"P"&amp;BD$4))*100</f>
        <v>2295300</v>
      </c>
      <c r="BE38" s="18">
        <f>MAX(0, $A38-BE$4)*IF(RTD("tos.rtd",,"OPEN_INT","."&amp;$AB$3&amp;$AB$4&amp;"C"&amp;BE$4)="N/A",0,RTD("tos.rtd",,"OPEN_INT","."&amp;$AB$3&amp;$AB$4&amp;"C"&amp;BE$4))*100 + MAX(0, BE$4-$A38)*IF(RTD("tos.rtd",,"OPEN_INT","."&amp;$AB$3&amp;$AB$4&amp;"P"&amp;BE$4)="N/A",0,RTD("tos.rtd",,"OPEN_INT","."&amp;$AB$3&amp;$AB$4&amp;"P"&amp;BE$4))*100</f>
        <v>2455250</v>
      </c>
      <c r="BF38" s="18">
        <f>MAX(0, $A38-BF$4)*IF(RTD("tos.rtd",,"OPEN_INT","."&amp;$AB$3&amp;$AB$4&amp;"C"&amp;BF$4)="N/A",0,RTD("tos.rtd",,"OPEN_INT","."&amp;$AB$3&amp;$AB$4&amp;"C"&amp;BF$4))*100 + MAX(0, BF$4-$A38)*IF(RTD("tos.rtd",,"OPEN_INT","."&amp;$AB$3&amp;$AB$4&amp;"P"&amp;BF$4)="N/A",0,RTD("tos.rtd",,"OPEN_INT","."&amp;$AB$3&amp;$AB$4&amp;"P"&amp;BF$4))*100</f>
        <v>2223200</v>
      </c>
      <c r="BG38" s="18">
        <f>MAX(0, $A38-BG$4)*IF(RTD("tos.rtd",,"OPEN_INT","."&amp;$AB$3&amp;$AB$4&amp;"C"&amp;BG$4)="N/A",0,RTD("tos.rtd",,"OPEN_INT","."&amp;$AB$3&amp;$AB$4&amp;"C"&amp;BG$4))*100 + MAX(0, BG$4-$A38)*IF(RTD("tos.rtd",,"OPEN_INT","."&amp;$AB$3&amp;$AB$4&amp;"P"&amp;BG$4)="N/A",0,RTD("tos.rtd",,"OPEN_INT","."&amp;$AB$3&amp;$AB$4&amp;"P"&amp;BG$4))*100</f>
        <v>2086350</v>
      </c>
      <c r="BH38" s="18">
        <f>MAX(0, $A38-BH$4)*IF(RTD("tos.rtd",,"OPEN_INT","."&amp;$AB$3&amp;$AB$4&amp;"C"&amp;BH$4)="N/A",0,RTD("tos.rtd",,"OPEN_INT","."&amp;$AB$3&amp;$AB$4&amp;"C"&amp;BH$4))*100 + MAX(0, BH$4-$A38)*IF(RTD("tos.rtd",,"OPEN_INT","."&amp;$AB$3&amp;$AB$4&amp;"P"&amp;BH$4)="N/A",0,RTD("tos.rtd",,"OPEN_INT","."&amp;$AB$3&amp;$AB$4&amp;"P"&amp;BH$4))*100</f>
        <v>907500</v>
      </c>
      <c r="BI38" s="18">
        <f>MAX(0, $A38-BI$4)*IF(RTD("tos.rtd",,"OPEN_INT","."&amp;$AB$3&amp;$AB$4&amp;"C"&amp;BI$4)="N/A",0,RTD("tos.rtd",,"OPEN_INT","."&amp;$AB$3&amp;$AB$4&amp;"C"&amp;BI$4))*100 + MAX(0, BI$4-$A38)*IF(RTD("tos.rtd",,"OPEN_INT","."&amp;$AB$3&amp;$AB$4&amp;"P"&amp;BI$4)="N/A",0,RTD("tos.rtd",,"OPEN_INT","."&amp;$AB$3&amp;$AB$4&amp;"P"&amp;BI$4))*100</f>
        <v>321150</v>
      </c>
      <c r="BJ38" s="18">
        <f>MAX(0, $A38-BJ$4)*IF(RTD("tos.rtd",,"OPEN_INT","."&amp;$AB$3&amp;$AB$4&amp;"C"&amp;BJ$4)="N/A",0,RTD("tos.rtd",,"OPEN_INT","."&amp;$AB$3&amp;$AB$4&amp;"C"&amp;BJ$4))*100 + MAX(0, BJ$4-$A38)*IF(RTD("tos.rtd",,"OPEN_INT","."&amp;$AB$3&amp;$AB$4&amp;"P"&amp;BJ$4)="N/A",0,RTD("tos.rtd",,"OPEN_INT","."&amp;$AB$3&amp;$AB$4&amp;"P"&amp;BJ$4))*100</f>
        <v>0</v>
      </c>
      <c r="BK38" s="18">
        <f>MAX(0, $A38-BK$4)*IF(RTD("tos.rtd",,"OPEN_INT","."&amp;$AB$3&amp;$AB$4&amp;"C"&amp;BK$4)="N/A",0,RTD("tos.rtd",,"OPEN_INT","."&amp;$AB$3&amp;$AB$4&amp;"C"&amp;BK$4))*100 + MAX(0, BK$4-$A38)*IF(RTD("tos.rtd",,"OPEN_INT","."&amp;$AB$3&amp;$AB$4&amp;"P"&amp;BK$4)="N/A",0,RTD("tos.rtd",,"OPEN_INT","."&amp;$AB$3&amp;$AB$4&amp;"P"&amp;BK$4))*100</f>
        <v>7550</v>
      </c>
      <c r="BL38" s="18">
        <f>MAX(0, $A38-BL$4)*IF(RTD("tos.rtd",,"OPEN_INT","."&amp;$AB$3&amp;$AB$4&amp;"C"&amp;BL$4)="N/A",0,RTD("tos.rtd",,"OPEN_INT","."&amp;$AB$3&amp;$AB$4&amp;"C"&amp;BL$4))*100 + MAX(0, BL$4-$A38)*IF(RTD("tos.rtd",,"OPEN_INT","."&amp;$AB$3&amp;$AB$4&amp;"P"&amp;BL$4)="N/A",0,RTD("tos.rtd",,"OPEN_INT","."&amp;$AB$3&amp;$AB$4&amp;"P"&amp;BL$4))*100</f>
        <v>26100</v>
      </c>
      <c r="BM38" s="18">
        <f>MAX(0, $A38-BM$4)*IF(RTD("tos.rtd",,"OPEN_INT","."&amp;$AB$3&amp;$AB$4&amp;"C"&amp;BM$4)="N/A",0,RTD("tos.rtd",,"OPEN_INT","."&amp;$AB$3&amp;$AB$4&amp;"C"&amp;BM$4))*100 + MAX(0, BM$4-$A38)*IF(RTD("tos.rtd",,"OPEN_INT","."&amp;$AB$3&amp;$AB$4&amp;"P"&amp;BM$4)="N/A",0,RTD("tos.rtd",,"OPEN_INT","."&amp;$AB$3&amp;$AB$4&amp;"P"&amp;BM$4))*100</f>
        <v>2400</v>
      </c>
      <c r="BN38" s="18">
        <f>MAX(0, $A38-BN$4)*IF(RTD("tos.rtd",,"OPEN_INT","."&amp;$AB$3&amp;$AB$4&amp;"C"&amp;BN$4)="N/A",0,RTD("tos.rtd",,"OPEN_INT","."&amp;$AB$3&amp;$AB$4&amp;"C"&amp;BN$4))*100 + MAX(0, BN$4-$A38)*IF(RTD("tos.rtd",,"OPEN_INT","."&amp;$AB$3&amp;$AB$4&amp;"P"&amp;BN$4)="N/A",0,RTD("tos.rtd",,"OPEN_INT","."&amp;$AB$3&amp;$AB$4&amp;"P"&amp;BN$4))*100</f>
        <v>1600</v>
      </c>
      <c r="BO38" s="18">
        <f>MAX(0, $A38-BO$4)*IF(RTD("tos.rtd",,"OPEN_INT","."&amp;$AB$3&amp;$AB$4&amp;"C"&amp;BO$4)="N/A",0,RTD("tos.rtd",,"OPEN_INT","."&amp;$AB$3&amp;$AB$4&amp;"C"&amp;BO$4))*100 + MAX(0, BO$4-$A38)*IF(RTD("tos.rtd",,"OPEN_INT","."&amp;$AB$3&amp;$AB$4&amp;"P"&amp;BO$4)="N/A",0,RTD("tos.rtd",,"OPEN_INT","."&amp;$AB$3&amp;$AB$4&amp;"P"&amp;BO$4))*100</f>
        <v>7750</v>
      </c>
      <c r="BP38" s="18">
        <f>MAX(0, $A38-BP$4)*IF(RTD("tos.rtd",,"OPEN_INT","."&amp;$AB$3&amp;$AB$4&amp;"C"&amp;BP$4)="N/A",0,RTD("tos.rtd",,"OPEN_INT","."&amp;$AB$3&amp;$AB$4&amp;"C"&amp;BP$4))*100 + MAX(0, BP$4-$A38)*IF(RTD("tos.rtd",,"OPEN_INT","."&amp;$AB$3&amp;$AB$4&amp;"P"&amp;BP$4)="N/A",0,RTD("tos.rtd",,"OPEN_INT","."&amp;$AB$3&amp;$AB$4&amp;"P"&amp;BP$4))*100</f>
        <v>11400</v>
      </c>
      <c r="BQ38" s="18">
        <f>MAX(0, $A38-BQ$4)*IF(RTD("tos.rtd",,"OPEN_INT","."&amp;$AB$3&amp;$AB$4&amp;"C"&amp;BQ$4)="N/A",0,RTD("tos.rtd",,"OPEN_INT","."&amp;$AB$3&amp;$AB$4&amp;"C"&amp;BQ$4))*100 + MAX(0, BQ$4-$A38)*IF(RTD("tos.rtd",,"OPEN_INT","."&amp;$AB$3&amp;$AB$4&amp;"P"&amp;BQ$4)="N/A",0,RTD("tos.rtd",,"OPEN_INT","."&amp;$AB$3&amp;$AB$4&amp;"P"&amp;BQ$4))*100</f>
        <v>0</v>
      </c>
      <c r="BR38" s="18">
        <f>MAX(0, $A38-BR$4)*IF(RTD("tos.rtd",,"OPEN_INT","."&amp;$AB$3&amp;$AB$4&amp;"C"&amp;BR$4)="N/A",0,RTD("tos.rtd",,"OPEN_INT","."&amp;$AB$3&amp;$AB$4&amp;"C"&amp;BR$4))*100 + MAX(0, BR$4-$A38)*IF(RTD("tos.rtd",,"OPEN_INT","."&amp;$AB$3&amp;$AB$4&amp;"P"&amp;BR$4)="N/A",0,RTD("tos.rtd",,"OPEN_INT","."&amp;$AB$3&amp;$AB$4&amp;"P"&amp;BR$4))*100</f>
        <v>0</v>
      </c>
      <c r="BS38" s="18">
        <f>MAX(0, $A38-BS$4)*IF(RTD("tos.rtd",,"OPEN_INT","."&amp;$AB$3&amp;$AB$4&amp;"C"&amp;BS$4)="N/A",0,RTD("tos.rtd",,"OPEN_INT","."&amp;$AB$3&amp;$AB$4&amp;"C"&amp;BS$4))*100 + MAX(0, BS$4-$A38)*IF(RTD("tos.rtd",,"OPEN_INT","."&amp;$AB$3&amp;$AB$4&amp;"P"&amp;BS$4)="N/A",0,RTD("tos.rtd",,"OPEN_INT","."&amp;$AB$3&amp;$AB$4&amp;"P"&amp;BS$4))*100</f>
        <v>0</v>
      </c>
      <c r="BT38" s="18">
        <f>MAX(0, $A38-BT$4)*IF(RTD("tos.rtd",,"OPEN_INT","."&amp;$AB$3&amp;$AB$4&amp;"C"&amp;BT$4)="N/A",0,RTD("tos.rtd",,"OPEN_INT","."&amp;$AB$3&amp;$AB$4&amp;"C"&amp;BT$4))*100 + MAX(0, BT$4-$A38)*IF(RTD("tos.rtd",,"OPEN_INT","."&amp;$AB$3&amp;$AB$4&amp;"P"&amp;BT$4)="N/A",0,RTD("tos.rtd",,"OPEN_INT","."&amp;$AB$3&amp;$AB$4&amp;"P"&amp;BT$4))*100</f>
        <v>0</v>
      </c>
      <c r="BU38" s="18">
        <f>MAX(0, $A38-BU$4)*IF(RTD("tos.rtd",,"OPEN_INT","."&amp;$AB$3&amp;$AB$4&amp;"C"&amp;BU$4)="N/A",0,RTD("tos.rtd",,"OPEN_INT","."&amp;$AB$3&amp;$AB$4&amp;"C"&amp;BU$4))*100 + MAX(0, BU$4-$A38)*IF(RTD("tos.rtd",,"OPEN_INT","."&amp;$AB$3&amp;$AB$4&amp;"P"&amp;BU$4)="N/A",0,RTD("tos.rtd",,"OPEN_INT","."&amp;$AB$3&amp;$AB$4&amp;"P"&amp;BU$4))*100</f>
        <v>0</v>
      </c>
      <c r="BV38" s="18">
        <f>MAX(0, $A38-BV$4)*IF(RTD("tos.rtd",,"OPEN_INT","."&amp;$AB$3&amp;$AB$4&amp;"C"&amp;BV$4)="N/A",0,RTD("tos.rtd",,"OPEN_INT","."&amp;$AB$3&amp;$AB$4&amp;"C"&amp;BV$4))*100 + MAX(0, BV$4-$A38)*IF(RTD("tos.rtd",,"OPEN_INT","."&amp;$AB$3&amp;$AB$4&amp;"P"&amp;BV$4)="N/A",0,RTD("tos.rtd",,"OPEN_INT","."&amp;$AB$3&amp;$AB$4&amp;"P"&amp;BV$4))*100</f>
        <v>0</v>
      </c>
      <c r="BW38" s="18">
        <f>MAX(0, $A38-BW$4)*IF(RTD("tos.rtd",,"OPEN_INT","."&amp;$AB$3&amp;$AB$4&amp;"C"&amp;BW$4)="N/A",0,RTD("tos.rtd",,"OPEN_INT","."&amp;$AB$3&amp;$AB$4&amp;"C"&amp;BW$4))*100 + MAX(0, BW$4-$A38)*IF(RTD("tos.rtd",,"OPEN_INT","."&amp;$AB$3&amp;$AB$4&amp;"P"&amp;BW$4)="N/A",0,RTD("tos.rtd",,"OPEN_INT","."&amp;$AB$3&amp;$AB$4&amp;"P"&amp;BW$4))*100</f>
        <v>0</v>
      </c>
    </row>
    <row r="39" spans="1:75" s="19" customFormat="1" ht="11.1" customHeight="1" thickBot="1" x14ac:dyDescent="0.3">
      <c r="A39" s="23">
        <f t="shared" si="12"/>
        <v>4.5</v>
      </c>
      <c r="B39" s="14">
        <f ca="1">IF($A$2="PREMIUM_OI",IFERROR(IF($X$1="ABS",(100*RTD("tos.rtd",,"OPEN_INT","."&amp;B$2&amp;B$1&amp;"C"&amp;$A39)*RTD("tos.rtd",,"LAST","."&amp;B$2&amp;B$1&amp;"C"&amp;$A39)+100*RTD("tos.rtd",,"OPEN_INT","."&amp;B$2&amp;B$1&amp;"P"&amp;$A39)*RTD("tos.rtd",,"LAST","."&amp;B$2&amp;B$1&amp;"P"&amp;$A39))/1000000,(100*RTD("tos.rtd",,"OPEN_INT","."&amp;B$2&amp;B$1&amp;"C"&amp;$A39)*RTD("tos.rtd",,"LAST","."&amp;B$2&amp;B$1&amp;"C"&amp;$A39)-100*RTD("tos.rtd",,"OPEN_INT","."&amp;B$2&amp;B$1&amp;"P"&amp;$A39)*RTD("tos.rtd",,"LAST","."&amp;B$2&amp;B$1&amp;"P"&amp;$A39))/1000000),0),IF($A$2="PREMIUM",IFERROR(IF($X$1="ABS",(100*RTD("tos.rtd",,"VOLUME","."&amp;B$2&amp;B$1&amp;"C"&amp;$A39)*RTD("tos.rtd",,"LAST","."&amp;B$2&amp;B$1&amp;"C"&amp;$A39)+100*RTD("tos.rtd",,"VOLUME","."&amp;B$2&amp;B$1&amp;"P"&amp;$A39)*RTD("tos.rtd",,"LAST","."&amp;B$2&amp;B$1&amp;"P"&amp;$A39))/1000000,(100*RTD("tos.rtd",,"VOLUME","."&amp;B$2&amp;B$1&amp;"C"&amp;$A39)*RTD("tos.rtd",,"LAST","."&amp;B$2&amp;B$1&amp;"C"&amp;$A39)-100*RTD("tos.rtd",,"VOLUME","."&amp;B$2&amp;B$1&amp;"P"&amp;$A39)*RTD("tos.rtd",,"LAST","."&amp;B$2&amp;B$1&amp;"P"&amp;$A39))/1000000),0),IF($A$2="DEX",IFERROR(IF($X$1="ABS",(100*RTD("tos.rtd",,"OPEN_INT","."&amp;B$2&amp;B$1&amp;"C"&amp;$A39)*RTD("tos.rtd",,"DELTA","."&amp;B$2&amp;B$1&amp;"C"&amp;$A39)+100*RTD("tos.rtd",,"OPEN_INT","."&amp;B$2&amp;B$1&amp;"P"&amp;$A39)*RTD("tos.rtd",,"DELTA","."&amp;B$2&amp;B$1&amp;"P"&amp;$A39))/1000,(100*RTD("tos.rtd",,"OPEN_INT","."&amp;B$2&amp;B$1&amp;"C"&amp;$A39)*RTD("tos.rtd",,"DELTA","."&amp;B$2&amp;B$1&amp;"C"&amp;$A39)-100*RTD("tos.rtd",,"OPEN_INT","."&amp;B$2&amp;B$1&amp;"P"&amp;$A39)*RTD("tos.rtd",,"DELTA","."&amp;B$2&amp;B$1&amp;"P"&amp;$A39))/1000),0),IF($A$2="VEX",IFERROR(IF($X$1="ABS",($A$4*$A$4*RTD("tos.rtd",,"VOLUME","."&amp;B$2&amp;B$1&amp;"C"&amp;$A39)*RTD("tos.rtd",,"GAMMA","."&amp;B$2&amp;B$1&amp;"C"&amp;$A39)+$A$4*$A$4*RTD("tos.rtd",,"VOLUME","."&amp;B$2&amp;B$1&amp;"P"&amp;$A39)*RTD("tos.rtd",,"GAMMA","."&amp;B$2&amp;B$1&amp;"P"&amp;$A39))/1000000,($A$4*$A$4*RTD("tos.rtd",,"VOLUME","."&amp;B$2&amp;B$1&amp;"C"&amp;$A39)*RTD("tos.rtd",,"GAMMA","."&amp;B$2&amp;B$1&amp;"C"&amp;$A39)-$A$4*$A$4*RTD("tos.rtd",,"VOLUME","."&amp;B$2&amp;B$1&amp;"P"&amp;$A39)*RTD("tos.rtd",,"GAMMA","."&amp;B$2&amp;B$1&amp;"P"&amp;$A39))/1000000),0),IF($A$2="GEX",IFERROR(IF($X$1="ABS",($A$4*$A$4*RTD("tos.rtd",,"OPEN_INT","."&amp;B$2&amp;B$1&amp;"C"&amp;$A39)*RTD("tos.rtd",,"GAMMA","."&amp;B$2&amp;B$1&amp;"C"&amp;$A39)+$A$4*$A$4*RTD("tos.rtd",,"OPEN_INT","."&amp;B$2&amp;B$1&amp;"P"&amp;$A39)*RTD("tos.rtd",,"GAMMA","."&amp;B$2&amp;B$1&amp;"P"&amp;$A39))/1000000,($A$4*$A$4*RTD("tos.rtd",,"OPEN_INT","."&amp;B$2&amp;B$1&amp;"C"&amp;$A39)*RTD("tos.rtd",,"GAMMA","."&amp;B$2&amp;B$1&amp;"C"&amp;$A39)-$A$4*$A$4*RTD("tos.rtd",,"OPEN_INT","."&amp;B$2&amp;B$1&amp;"P"&amp;$A39)*RTD("tos.rtd",,"GAMMA","."&amp;B$2&amp;B$1&amp;"P"&amp;$A39))/1000000),0),IF($A$2="SKEW",IFERROR(VALUE(IF(RTD("tos.rtd",,"IMPL_VOL","."&amp;B$2&amp;B$1&amp;"P"&amp;$A39)="N/A",0,RTD("tos.rtd",,"IMPL_VOL","."&amp;B$2&amp;B$1&amp;"P"&amp;$A39))),0)-IFERROR(VALUE(IF(RTD("tos.rtd",,"IMPL_VOL","."&amp;B$2&amp;B$1&amp;"C"&amp;$A39)="N/A",0,RTD("tos.rtd",,"IMPL_VOL","."&amp;B$2&amp;B$1&amp;"C"&amp;$A39))),0),IF($A$2="MAXPAIN",IF($A$4&gt;$A39,($A$4-$A39)*IF(RTD("tos.rtd",,"OPEN_INT","."&amp;B$2&amp;B$1&amp;"C"&amp;$A39)="N/A",0,RTD("tos.rtd",,"OPEN_INT","."&amp;B$2&amp;B$1&amp;"C"&amp;$A39)),0)+IF($A$4&lt;$A39,($A$5-$A$4)*IF(RTD("tos.rtd",,"OPEN_INT","."&amp;B$2&amp;B$1&amp;"P"&amp;$A39)="N/A",0,RTD("tos.rtd",,"OPEN_INT","."&amp;B$2&amp;B$1&amp;"P"&amp;$A39)),0),IF($X$1="ABS",IF(RTD("tos.rtd",,$A$2,"."&amp;B$2&amp;B$1&amp;"C"&amp;$A39)="N/A",0,RTD("tos.rtd",,$A$2,"."&amp;B$2&amp;B$1&amp;"C"&amp;$A39))+IF(RTD("tos.rtd",,$A$2,"."&amp;B$2&amp;B$1&amp;"P"&amp;$A39)="N/A",0,RTD("tos.rtd",,$A$2,"."&amp;B$2&amp;B$1&amp;"P"&amp;$A39)),IF(RTD("tos.rtd",,$A$2,"."&amp;B$2&amp;B$1&amp;"C"&amp;$A39)="N/A",0,RTD("tos.rtd",,$A$2,"."&amp;B$2&amp;B$1&amp;"C"&amp;$A39))-IF(RTD("tos.rtd",,$A$2,"."&amp;B$2&amp;B$1&amp;"P"&amp;$A39)="N/A",0,RTD("tos.rtd",,$A$2,"."&amp;B$2&amp;B$1&amp;"P"&amp;$A39))))))))))</f>
        <v>0</v>
      </c>
      <c r="C39" s="14">
        <f ca="1">IF($A$2="PREMIUM_OI",IFERROR(IF($X$1="ABS",(100*RTD("tos.rtd",,"OPEN_INT","."&amp;C$2&amp;C$1&amp;"C"&amp;$A39)*RTD("tos.rtd",,"LAST","."&amp;C$2&amp;C$1&amp;"C"&amp;$A39)+100*RTD("tos.rtd",,"OPEN_INT","."&amp;C$2&amp;C$1&amp;"P"&amp;$A39)*RTD("tos.rtd",,"LAST","."&amp;C$2&amp;C$1&amp;"P"&amp;$A39))/1000000,(100*RTD("tos.rtd",,"OPEN_INT","."&amp;C$2&amp;C$1&amp;"C"&amp;$A39)*RTD("tos.rtd",,"LAST","."&amp;C$2&amp;C$1&amp;"C"&amp;$A39)-100*RTD("tos.rtd",,"OPEN_INT","."&amp;C$2&amp;C$1&amp;"P"&amp;$A39)*RTD("tos.rtd",,"LAST","."&amp;C$2&amp;C$1&amp;"P"&amp;$A39))/1000000),0),IF($A$2="PREMIUM",IFERROR(IF($X$1="ABS",(100*RTD("tos.rtd",,"VOLUME","."&amp;C$2&amp;C$1&amp;"C"&amp;$A39)*RTD("tos.rtd",,"LAST","."&amp;C$2&amp;C$1&amp;"C"&amp;$A39)+100*RTD("tos.rtd",,"VOLUME","."&amp;C$2&amp;C$1&amp;"P"&amp;$A39)*RTD("tos.rtd",,"LAST","."&amp;C$2&amp;C$1&amp;"P"&amp;$A39))/1000000,(100*RTD("tos.rtd",,"VOLUME","."&amp;C$2&amp;C$1&amp;"C"&amp;$A39)*RTD("tos.rtd",,"LAST","."&amp;C$2&amp;C$1&amp;"C"&amp;$A39)-100*RTD("tos.rtd",,"VOLUME","."&amp;C$2&amp;C$1&amp;"P"&amp;$A39)*RTD("tos.rtd",,"LAST","."&amp;C$2&amp;C$1&amp;"P"&amp;$A39))/1000000),0),IF($A$2="DEX",IFERROR(IF($X$1="ABS",(100*RTD("tos.rtd",,"OPEN_INT","."&amp;C$2&amp;C$1&amp;"C"&amp;$A39)*RTD("tos.rtd",,"DELTA","."&amp;C$2&amp;C$1&amp;"C"&amp;$A39)+100*RTD("tos.rtd",,"OPEN_INT","."&amp;C$2&amp;C$1&amp;"P"&amp;$A39)*RTD("tos.rtd",,"DELTA","."&amp;C$2&amp;C$1&amp;"P"&amp;$A39))/1000,(100*RTD("tos.rtd",,"OPEN_INT","."&amp;C$2&amp;C$1&amp;"C"&amp;$A39)*RTD("tos.rtd",,"DELTA","."&amp;C$2&amp;C$1&amp;"C"&amp;$A39)-100*RTD("tos.rtd",,"OPEN_INT","."&amp;C$2&amp;C$1&amp;"P"&amp;$A39)*RTD("tos.rtd",,"DELTA","."&amp;C$2&amp;C$1&amp;"P"&amp;$A39))/1000),0),IF($A$2="VEX",IFERROR(IF($X$1="ABS",($A$4*$A$4*RTD("tos.rtd",,"VOLUME","."&amp;C$2&amp;C$1&amp;"C"&amp;$A39)*RTD("tos.rtd",,"GAMMA","."&amp;C$2&amp;C$1&amp;"C"&amp;$A39)+$A$4*$A$4*RTD("tos.rtd",,"VOLUME","."&amp;C$2&amp;C$1&amp;"P"&amp;$A39)*RTD("tos.rtd",,"GAMMA","."&amp;C$2&amp;C$1&amp;"P"&amp;$A39))/1000000,($A$4*$A$4*RTD("tos.rtd",,"VOLUME","."&amp;C$2&amp;C$1&amp;"C"&amp;$A39)*RTD("tos.rtd",,"GAMMA","."&amp;C$2&amp;C$1&amp;"C"&amp;$A39)-$A$4*$A$4*RTD("tos.rtd",,"VOLUME","."&amp;C$2&amp;C$1&amp;"P"&amp;$A39)*RTD("tos.rtd",,"GAMMA","."&amp;C$2&amp;C$1&amp;"P"&amp;$A39))/1000000),0),IF($A$2="GEX",IFERROR(IF($X$1="ABS",($A$4*$A$4*RTD("tos.rtd",,"OPEN_INT","."&amp;C$2&amp;C$1&amp;"C"&amp;$A39)*RTD("tos.rtd",,"GAMMA","."&amp;C$2&amp;C$1&amp;"C"&amp;$A39)+$A$4*$A$4*RTD("tos.rtd",,"OPEN_INT","."&amp;C$2&amp;C$1&amp;"P"&amp;$A39)*RTD("tos.rtd",,"GAMMA","."&amp;C$2&amp;C$1&amp;"P"&amp;$A39))/1000000,($A$4*$A$4*RTD("tos.rtd",,"OPEN_INT","."&amp;C$2&amp;C$1&amp;"C"&amp;$A39)*RTD("tos.rtd",,"GAMMA","."&amp;C$2&amp;C$1&amp;"C"&amp;$A39)-$A$4*$A$4*RTD("tos.rtd",,"OPEN_INT","."&amp;C$2&amp;C$1&amp;"P"&amp;$A39)*RTD("tos.rtd",,"GAMMA","."&amp;C$2&amp;C$1&amp;"P"&amp;$A39))/1000000),0),IF($A$2="SKEW",IFERROR(VALUE(IF(RTD("tos.rtd",,"IMPL_VOL","."&amp;C$2&amp;C$1&amp;"P"&amp;$A39)="N/A",0,RTD("tos.rtd",,"IMPL_VOL","."&amp;C$2&amp;C$1&amp;"P"&amp;$A39))),0)-IFERROR(VALUE(IF(RTD("tos.rtd",,"IMPL_VOL","."&amp;C$2&amp;C$1&amp;"C"&amp;$A39)="N/A",0,RTD("tos.rtd",,"IMPL_VOL","."&amp;C$2&amp;C$1&amp;"C"&amp;$A39))),0),IF($A$2="MAXPAIN",IF($A$4&gt;$A39,($A$4-$A39)*IF(RTD("tos.rtd",,"OPEN_INT","."&amp;C$2&amp;C$1&amp;"C"&amp;$A39)="N/A",0,RTD("tos.rtd",,"OPEN_INT","."&amp;C$2&amp;C$1&amp;"C"&amp;$A39)),0)+IF($A$4&lt;$A39,($A$5-$A$4)*IF(RTD("tos.rtd",,"OPEN_INT","."&amp;C$2&amp;C$1&amp;"P"&amp;$A39)="N/A",0,RTD("tos.rtd",,"OPEN_INT","."&amp;C$2&amp;C$1&amp;"P"&amp;$A39)),0),IF($X$1="ABS",IF(RTD("tos.rtd",,$A$2,"."&amp;C$2&amp;C$1&amp;"C"&amp;$A39)="N/A",0,RTD("tos.rtd",,$A$2,"."&amp;C$2&amp;C$1&amp;"C"&amp;$A39))+IF(RTD("tos.rtd",,$A$2,"."&amp;C$2&amp;C$1&amp;"P"&amp;$A39)="N/A",0,RTD("tos.rtd",,$A$2,"."&amp;C$2&amp;C$1&amp;"P"&amp;$A39)),IF(RTD("tos.rtd",,$A$2,"."&amp;C$2&amp;C$1&amp;"C"&amp;$A39)="N/A",0,RTD("tos.rtd",,$A$2,"."&amp;C$2&amp;C$1&amp;"C"&amp;$A39))-IF(RTD("tos.rtd",,$A$2,"."&amp;C$2&amp;C$1&amp;"P"&amp;$A39)="N/A",0,RTD("tos.rtd",,$A$2,"."&amp;C$2&amp;C$1&amp;"P"&amp;$A39))))))))))</f>
        <v>0</v>
      </c>
      <c r="D39" s="12">
        <f ca="1">IF($A$2="PREMIUM_OI",IFERROR(IF($X$1="ABS",(100*RTD("tos.rtd",,"OPEN_INT","."&amp;D$2&amp;D$1&amp;"C"&amp;$A39)*RTD("tos.rtd",,"LAST","."&amp;D$2&amp;D$1&amp;"C"&amp;$A39)+100*RTD("tos.rtd",,"OPEN_INT","."&amp;D$2&amp;D$1&amp;"P"&amp;$A39)*RTD("tos.rtd",,"LAST","."&amp;D$2&amp;D$1&amp;"P"&amp;$A39))/1000000,(100*RTD("tos.rtd",,"OPEN_INT","."&amp;D$2&amp;D$1&amp;"C"&amp;$A39)*RTD("tos.rtd",,"LAST","."&amp;D$2&amp;D$1&amp;"C"&amp;$A39)-100*RTD("tos.rtd",,"OPEN_INT","."&amp;D$2&amp;D$1&amp;"P"&amp;$A39)*RTD("tos.rtd",,"LAST","."&amp;D$2&amp;D$1&amp;"P"&amp;$A39))/1000000),0),IF($A$2="PREMIUM",IFERROR(IF($X$1="ABS",(100*RTD("tos.rtd",,"VOLUME","."&amp;D$2&amp;D$1&amp;"C"&amp;$A39)*RTD("tos.rtd",,"LAST","."&amp;D$2&amp;D$1&amp;"C"&amp;$A39)+100*RTD("tos.rtd",,"VOLUME","."&amp;D$2&amp;D$1&amp;"P"&amp;$A39)*RTD("tos.rtd",,"LAST","."&amp;D$2&amp;D$1&amp;"P"&amp;$A39))/1000000,(100*RTD("tos.rtd",,"VOLUME","."&amp;D$2&amp;D$1&amp;"C"&amp;$A39)*RTD("tos.rtd",,"LAST","."&amp;D$2&amp;D$1&amp;"C"&amp;$A39)-100*RTD("tos.rtd",,"VOLUME","."&amp;D$2&amp;D$1&amp;"P"&amp;$A39)*RTD("tos.rtd",,"LAST","."&amp;D$2&amp;D$1&amp;"P"&amp;$A39))/1000000),0),IF($A$2="DEX",IFERROR(IF($X$1="ABS",(100*RTD("tos.rtd",,"OPEN_INT","."&amp;D$2&amp;D$1&amp;"C"&amp;$A39)*RTD("tos.rtd",,"DELTA","."&amp;D$2&amp;D$1&amp;"C"&amp;$A39)+100*RTD("tos.rtd",,"OPEN_INT","."&amp;D$2&amp;D$1&amp;"P"&amp;$A39)*RTD("tos.rtd",,"DELTA","."&amp;D$2&amp;D$1&amp;"P"&amp;$A39))/1000,(100*RTD("tos.rtd",,"OPEN_INT","."&amp;D$2&amp;D$1&amp;"C"&amp;$A39)*RTD("tos.rtd",,"DELTA","."&amp;D$2&amp;D$1&amp;"C"&amp;$A39)-100*RTD("tos.rtd",,"OPEN_INT","."&amp;D$2&amp;D$1&amp;"P"&amp;$A39)*RTD("tos.rtd",,"DELTA","."&amp;D$2&amp;D$1&amp;"P"&amp;$A39))/1000),0),IF($A$2="VEX",IFERROR(IF($X$1="ABS",($A$4*$A$4*RTD("tos.rtd",,"VOLUME","."&amp;D$2&amp;D$1&amp;"C"&amp;$A39)*RTD("tos.rtd",,"GAMMA","."&amp;D$2&amp;D$1&amp;"C"&amp;$A39)+$A$4*$A$4*RTD("tos.rtd",,"VOLUME","."&amp;D$2&amp;D$1&amp;"P"&amp;$A39)*RTD("tos.rtd",,"GAMMA","."&amp;D$2&amp;D$1&amp;"P"&amp;$A39))/1000000,($A$4*$A$4*RTD("tos.rtd",,"VOLUME","."&amp;D$2&amp;D$1&amp;"C"&amp;$A39)*RTD("tos.rtd",,"GAMMA","."&amp;D$2&amp;D$1&amp;"C"&amp;$A39)-$A$4*$A$4*RTD("tos.rtd",,"VOLUME","."&amp;D$2&amp;D$1&amp;"P"&amp;$A39)*RTD("tos.rtd",,"GAMMA","."&amp;D$2&amp;D$1&amp;"P"&amp;$A39))/1000000),0),IF($A$2="GEX",IFERROR(IF($X$1="ABS",($A$4*$A$4*RTD("tos.rtd",,"OPEN_INT","."&amp;D$2&amp;D$1&amp;"C"&amp;$A39)*RTD("tos.rtd",,"GAMMA","."&amp;D$2&amp;D$1&amp;"C"&amp;$A39)+$A$4*$A$4*RTD("tos.rtd",,"OPEN_INT","."&amp;D$2&amp;D$1&amp;"P"&amp;$A39)*RTD("tos.rtd",,"GAMMA","."&amp;D$2&amp;D$1&amp;"P"&amp;$A39))/1000000,($A$4*$A$4*RTD("tos.rtd",,"OPEN_INT","."&amp;D$2&amp;D$1&amp;"C"&amp;$A39)*RTD("tos.rtd",,"GAMMA","."&amp;D$2&amp;D$1&amp;"C"&amp;$A39)-$A$4*$A$4*RTD("tos.rtd",,"OPEN_INT","."&amp;D$2&amp;D$1&amp;"P"&amp;$A39)*RTD("tos.rtd",,"GAMMA","."&amp;D$2&amp;D$1&amp;"P"&amp;$A39))/1000000),0),IF($A$2="SKEW",IFERROR(VALUE(IF(RTD("tos.rtd",,"IMPL_VOL","."&amp;D$2&amp;D$1&amp;"P"&amp;$A39)="N/A",0,RTD("tos.rtd",,"IMPL_VOL","."&amp;D$2&amp;D$1&amp;"P"&amp;$A39))),0)-IFERROR(VALUE(IF(RTD("tos.rtd",,"IMPL_VOL","."&amp;D$2&amp;D$1&amp;"C"&amp;$A39)="N/A",0,RTD("tos.rtd",,"IMPL_VOL","."&amp;D$2&amp;D$1&amp;"C"&amp;$A39))),0),IF($A$2="MAXPAIN",IF($A$4&gt;$A39,($A$4-$A39)*IF(RTD("tos.rtd",,"OPEN_INT","."&amp;D$2&amp;D$1&amp;"C"&amp;$A39)="N/A",0,RTD("tos.rtd",,"OPEN_INT","."&amp;D$2&amp;D$1&amp;"C"&amp;$A39)),0)+IF($A$4&lt;$A39,($A$5-$A$4)*IF(RTD("tos.rtd",,"OPEN_INT","."&amp;D$2&amp;D$1&amp;"P"&amp;$A39)="N/A",0,RTD("tos.rtd",,"OPEN_INT","."&amp;D$2&amp;D$1&amp;"P"&amp;$A39)),0),IF($X$1="ABS",IF(RTD("tos.rtd",,$A$2,"."&amp;D$2&amp;D$1&amp;"C"&amp;$A39)="N/A",0,RTD("tos.rtd",,$A$2,"."&amp;D$2&amp;D$1&amp;"C"&amp;$A39))+IF(RTD("tos.rtd",,$A$2,"."&amp;D$2&amp;D$1&amp;"P"&amp;$A39)="N/A",0,RTD("tos.rtd",,$A$2,"."&amp;D$2&amp;D$1&amp;"P"&amp;$A39)),IF(RTD("tos.rtd",,$A$2,"."&amp;D$2&amp;D$1&amp;"C"&amp;$A39)="N/A",0,RTD("tos.rtd",,$A$2,"."&amp;D$2&amp;D$1&amp;"C"&amp;$A39))-IF(RTD("tos.rtd",,$A$2,"."&amp;D$2&amp;D$1&amp;"P"&amp;$A39)="N/A",0,RTD("tos.rtd",,$A$2,"."&amp;D$2&amp;D$1&amp;"P"&amp;$A39))))))))))</f>
        <v>0</v>
      </c>
      <c r="E39" s="12">
        <f ca="1">IF($A$2="PREMIUM_OI",IFERROR(IF($X$1="ABS",(100*RTD("tos.rtd",,"OPEN_INT","."&amp;E$2&amp;E$1&amp;"C"&amp;$A39)*RTD("tos.rtd",,"LAST","."&amp;E$2&amp;E$1&amp;"C"&amp;$A39)+100*RTD("tos.rtd",,"OPEN_INT","."&amp;E$2&amp;E$1&amp;"P"&amp;$A39)*RTD("tos.rtd",,"LAST","."&amp;E$2&amp;E$1&amp;"P"&amp;$A39))/1000000,(100*RTD("tos.rtd",,"OPEN_INT","."&amp;E$2&amp;E$1&amp;"C"&amp;$A39)*RTD("tos.rtd",,"LAST","."&amp;E$2&amp;E$1&amp;"C"&amp;$A39)-100*RTD("tos.rtd",,"OPEN_INT","."&amp;E$2&amp;E$1&amp;"P"&amp;$A39)*RTD("tos.rtd",,"LAST","."&amp;E$2&amp;E$1&amp;"P"&amp;$A39))/1000000),0),IF($A$2="PREMIUM",IFERROR(IF($X$1="ABS",(100*RTD("tos.rtd",,"VOLUME","."&amp;E$2&amp;E$1&amp;"C"&amp;$A39)*RTD("tos.rtd",,"LAST","."&amp;E$2&amp;E$1&amp;"C"&amp;$A39)+100*RTD("tos.rtd",,"VOLUME","."&amp;E$2&amp;E$1&amp;"P"&amp;$A39)*RTD("tos.rtd",,"LAST","."&amp;E$2&amp;E$1&amp;"P"&amp;$A39))/1000000,(100*RTD("tos.rtd",,"VOLUME","."&amp;E$2&amp;E$1&amp;"C"&amp;$A39)*RTD("tos.rtd",,"LAST","."&amp;E$2&amp;E$1&amp;"C"&amp;$A39)-100*RTD("tos.rtd",,"VOLUME","."&amp;E$2&amp;E$1&amp;"P"&amp;$A39)*RTD("tos.rtd",,"LAST","."&amp;E$2&amp;E$1&amp;"P"&amp;$A39))/1000000),0),IF($A$2="DEX",IFERROR(IF($X$1="ABS",(100*RTD("tos.rtd",,"OPEN_INT","."&amp;E$2&amp;E$1&amp;"C"&amp;$A39)*RTD("tos.rtd",,"DELTA","."&amp;E$2&amp;E$1&amp;"C"&amp;$A39)+100*RTD("tos.rtd",,"OPEN_INT","."&amp;E$2&amp;E$1&amp;"P"&amp;$A39)*RTD("tos.rtd",,"DELTA","."&amp;E$2&amp;E$1&amp;"P"&amp;$A39))/1000,(100*RTD("tos.rtd",,"OPEN_INT","."&amp;E$2&amp;E$1&amp;"C"&amp;$A39)*RTD("tos.rtd",,"DELTA","."&amp;E$2&amp;E$1&amp;"C"&amp;$A39)-100*RTD("tos.rtd",,"OPEN_INT","."&amp;E$2&amp;E$1&amp;"P"&amp;$A39)*RTD("tos.rtd",,"DELTA","."&amp;E$2&amp;E$1&amp;"P"&amp;$A39))/1000),0),IF($A$2="VEX",IFERROR(IF($X$1="ABS",($A$4*$A$4*RTD("tos.rtd",,"VOLUME","."&amp;E$2&amp;E$1&amp;"C"&amp;$A39)*RTD("tos.rtd",,"GAMMA","."&amp;E$2&amp;E$1&amp;"C"&amp;$A39)+$A$4*$A$4*RTD("tos.rtd",,"VOLUME","."&amp;E$2&amp;E$1&amp;"P"&amp;$A39)*RTD("tos.rtd",,"GAMMA","."&amp;E$2&amp;E$1&amp;"P"&amp;$A39))/1000000,($A$4*$A$4*RTD("tos.rtd",,"VOLUME","."&amp;E$2&amp;E$1&amp;"C"&amp;$A39)*RTD("tos.rtd",,"GAMMA","."&amp;E$2&amp;E$1&amp;"C"&amp;$A39)-$A$4*$A$4*RTD("tos.rtd",,"VOLUME","."&amp;E$2&amp;E$1&amp;"P"&amp;$A39)*RTD("tos.rtd",,"GAMMA","."&amp;E$2&amp;E$1&amp;"P"&amp;$A39))/1000000),0),IF($A$2="GEX",IFERROR(IF($X$1="ABS",($A$4*$A$4*RTD("tos.rtd",,"OPEN_INT","."&amp;E$2&amp;E$1&amp;"C"&amp;$A39)*RTD("tos.rtd",,"GAMMA","."&amp;E$2&amp;E$1&amp;"C"&amp;$A39)+$A$4*$A$4*RTD("tos.rtd",,"OPEN_INT","."&amp;E$2&amp;E$1&amp;"P"&amp;$A39)*RTD("tos.rtd",,"GAMMA","."&amp;E$2&amp;E$1&amp;"P"&amp;$A39))/1000000,($A$4*$A$4*RTD("tos.rtd",,"OPEN_INT","."&amp;E$2&amp;E$1&amp;"C"&amp;$A39)*RTD("tos.rtd",,"GAMMA","."&amp;E$2&amp;E$1&amp;"C"&amp;$A39)-$A$4*$A$4*RTD("tos.rtd",,"OPEN_INT","."&amp;E$2&amp;E$1&amp;"P"&amp;$A39)*RTD("tos.rtd",,"GAMMA","."&amp;E$2&amp;E$1&amp;"P"&amp;$A39))/1000000),0),IF($A$2="SKEW",IFERROR(VALUE(IF(RTD("tos.rtd",,"IMPL_VOL","."&amp;E$2&amp;E$1&amp;"P"&amp;$A39)="N/A",0,RTD("tos.rtd",,"IMPL_VOL","."&amp;E$2&amp;E$1&amp;"P"&amp;$A39))),0)-IFERROR(VALUE(IF(RTD("tos.rtd",,"IMPL_VOL","."&amp;E$2&amp;E$1&amp;"C"&amp;$A39)="N/A",0,RTD("tos.rtd",,"IMPL_VOL","."&amp;E$2&amp;E$1&amp;"C"&amp;$A39))),0),IF($A$2="MAXPAIN",IF($A$4&gt;$A39,($A$4-$A39)*IF(RTD("tos.rtd",,"OPEN_INT","."&amp;E$2&amp;E$1&amp;"C"&amp;$A39)="N/A",0,RTD("tos.rtd",,"OPEN_INT","."&amp;E$2&amp;E$1&amp;"C"&amp;$A39)),0)+IF($A$4&lt;$A39,($A$5-$A$4)*IF(RTD("tos.rtd",,"OPEN_INT","."&amp;E$2&amp;E$1&amp;"P"&amp;$A39)="N/A",0,RTD("tos.rtd",,"OPEN_INT","."&amp;E$2&amp;E$1&amp;"P"&amp;$A39)),0),IF($X$1="ABS",IF(RTD("tos.rtd",,$A$2,"."&amp;E$2&amp;E$1&amp;"C"&amp;$A39)="N/A",0,RTD("tos.rtd",,$A$2,"."&amp;E$2&amp;E$1&amp;"C"&amp;$A39))+IF(RTD("tos.rtd",,$A$2,"."&amp;E$2&amp;E$1&amp;"P"&amp;$A39)="N/A",0,RTD("tos.rtd",,$A$2,"."&amp;E$2&amp;E$1&amp;"P"&amp;$A39)),IF(RTD("tos.rtd",,$A$2,"."&amp;E$2&amp;E$1&amp;"C"&amp;$A39)="N/A",0,RTD("tos.rtd",,$A$2,"."&amp;E$2&amp;E$1&amp;"C"&amp;$A39))-IF(RTD("tos.rtd",,$A$2,"."&amp;E$2&amp;E$1&amp;"P"&amp;$A39)="N/A",0,RTD("tos.rtd",,$A$2,"."&amp;E$2&amp;E$1&amp;"P"&amp;$A39))))))))))</f>
        <v>0</v>
      </c>
      <c r="F39" s="12">
        <f ca="1">IF($A$2="PREMIUM_OI",IFERROR(IF($X$1="ABS",(100*RTD("tos.rtd",,"OPEN_INT","."&amp;F$2&amp;F$1&amp;"C"&amp;$A39)*RTD("tos.rtd",,"LAST","."&amp;F$2&amp;F$1&amp;"C"&amp;$A39)+100*RTD("tos.rtd",,"OPEN_INT","."&amp;F$2&amp;F$1&amp;"P"&amp;$A39)*RTD("tos.rtd",,"LAST","."&amp;F$2&amp;F$1&amp;"P"&amp;$A39))/1000000,(100*RTD("tos.rtd",,"OPEN_INT","."&amp;F$2&amp;F$1&amp;"C"&amp;$A39)*RTD("tos.rtd",,"LAST","."&amp;F$2&amp;F$1&amp;"C"&amp;$A39)-100*RTD("tos.rtd",,"OPEN_INT","."&amp;F$2&amp;F$1&amp;"P"&amp;$A39)*RTD("tos.rtd",,"LAST","."&amp;F$2&amp;F$1&amp;"P"&amp;$A39))/1000000),0),IF($A$2="PREMIUM",IFERROR(IF($X$1="ABS",(100*RTD("tos.rtd",,"VOLUME","."&amp;F$2&amp;F$1&amp;"C"&amp;$A39)*RTD("tos.rtd",,"LAST","."&amp;F$2&amp;F$1&amp;"C"&amp;$A39)+100*RTD("tos.rtd",,"VOLUME","."&amp;F$2&amp;F$1&amp;"P"&amp;$A39)*RTD("tos.rtd",,"LAST","."&amp;F$2&amp;F$1&amp;"P"&amp;$A39))/1000000,(100*RTD("tos.rtd",,"VOLUME","."&amp;F$2&amp;F$1&amp;"C"&amp;$A39)*RTD("tos.rtd",,"LAST","."&amp;F$2&amp;F$1&amp;"C"&amp;$A39)-100*RTD("tos.rtd",,"VOLUME","."&amp;F$2&amp;F$1&amp;"P"&amp;$A39)*RTD("tos.rtd",,"LAST","."&amp;F$2&amp;F$1&amp;"P"&amp;$A39))/1000000),0),IF($A$2="DEX",IFERROR(IF($X$1="ABS",(100*RTD("tos.rtd",,"OPEN_INT","."&amp;F$2&amp;F$1&amp;"C"&amp;$A39)*RTD("tos.rtd",,"DELTA","."&amp;F$2&amp;F$1&amp;"C"&amp;$A39)+100*RTD("tos.rtd",,"OPEN_INT","."&amp;F$2&amp;F$1&amp;"P"&amp;$A39)*RTD("tos.rtd",,"DELTA","."&amp;F$2&amp;F$1&amp;"P"&amp;$A39))/1000,(100*RTD("tos.rtd",,"OPEN_INT","."&amp;F$2&amp;F$1&amp;"C"&amp;$A39)*RTD("tos.rtd",,"DELTA","."&amp;F$2&amp;F$1&amp;"C"&amp;$A39)-100*RTD("tos.rtd",,"OPEN_INT","."&amp;F$2&amp;F$1&amp;"P"&amp;$A39)*RTD("tos.rtd",,"DELTA","."&amp;F$2&amp;F$1&amp;"P"&amp;$A39))/1000),0),IF($A$2="VEX",IFERROR(IF($X$1="ABS",($A$4*$A$4*RTD("tos.rtd",,"VOLUME","."&amp;F$2&amp;F$1&amp;"C"&amp;$A39)*RTD("tos.rtd",,"GAMMA","."&amp;F$2&amp;F$1&amp;"C"&amp;$A39)+$A$4*$A$4*RTD("tos.rtd",,"VOLUME","."&amp;F$2&amp;F$1&amp;"P"&amp;$A39)*RTD("tos.rtd",,"GAMMA","."&amp;F$2&amp;F$1&amp;"P"&amp;$A39))/1000000,($A$4*$A$4*RTD("tos.rtd",,"VOLUME","."&amp;F$2&amp;F$1&amp;"C"&amp;$A39)*RTD("tos.rtd",,"GAMMA","."&amp;F$2&amp;F$1&amp;"C"&amp;$A39)-$A$4*$A$4*RTD("tos.rtd",,"VOLUME","."&amp;F$2&amp;F$1&amp;"P"&amp;$A39)*RTD("tos.rtd",,"GAMMA","."&amp;F$2&amp;F$1&amp;"P"&amp;$A39))/1000000),0),IF($A$2="GEX",IFERROR(IF($X$1="ABS",($A$4*$A$4*RTD("tos.rtd",,"OPEN_INT","."&amp;F$2&amp;F$1&amp;"C"&amp;$A39)*RTD("tos.rtd",,"GAMMA","."&amp;F$2&amp;F$1&amp;"C"&amp;$A39)+$A$4*$A$4*RTD("tos.rtd",,"OPEN_INT","."&amp;F$2&amp;F$1&amp;"P"&amp;$A39)*RTD("tos.rtd",,"GAMMA","."&amp;F$2&amp;F$1&amp;"P"&amp;$A39))/1000000,($A$4*$A$4*RTD("tos.rtd",,"OPEN_INT","."&amp;F$2&amp;F$1&amp;"C"&amp;$A39)*RTD("tos.rtd",,"GAMMA","."&amp;F$2&amp;F$1&amp;"C"&amp;$A39)-$A$4*$A$4*RTD("tos.rtd",,"OPEN_INT","."&amp;F$2&amp;F$1&amp;"P"&amp;$A39)*RTD("tos.rtd",,"GAMMA","."&amp;F$2&amp;F$1&amp;"P"&amp;$A39))/1000000),0),IF($A$2="SKEW",IFERROR(VALUE(IF(RTD("tos.rtd",,"IMPL_VOL","."&amp;F$2&amp;F$1&amp;"P"&amp;$A39)="N/A",0,RTD("tos.rtd",,"IMPL_VOL","."&amp;F$2&amp;F$1&amp;"P"&amp;$A39))),0)-IFERROR(VALUE(IF(RTD("tos.rtd",,"IMPL_VOL","."&amp;F$2&amp;F$1&amp;"C"&amp;$A39)="N/A",0,RTD("tos.rtd",,"IMPL_VOL","."&amp;F$2&amp;F$1&amp;"C"&amp;$A39))),0),IF($A$2="MAXPAIN",IF($A$4&gt;$A39,($A$4-$A39)*IF(RTD("tos.rtd",,"OPEN_INT","."&amp;F$2&amp;F$1&amp;"C"&amp;$A39)="N/A",0,RTD("tos.rtd",,"OPEN_INT","."&amp;F$2&amp;F$1&amp;"C"&amp;$A39)),0)+IF($A$4&lt;$A39,($A$5-$A$4)*IF(RTD("tos.rtd",,"OPEN_INT","."&amp;F$2&amp;F$1&amp;"P"&amp;$A39)="N/A",0,RTD("tos.rtd",,"OPEN_INT","."&amp;F$2&amp;F$1&amp;"P"&amp;$A39)),0),IF($X$1="ABS",IF(RTD("tos.rtd",,$A$2,"."&amp;F$2&amp;F$1&amp;"C"&amp;$A39)="N/A",0,RTD("tos.rtd",,$A$2,"."&amp;F$2&amp;F$1&amp;"C"&amp;$A39))+IF(RTD("tos.rtd",,$A$2,"."&amp;F$2&amp;F$1&amp;"P"&amp;$A39)="N/A",0,RTD("tos.rtd",,$A$2,"."&amp;F$2&amp;F$1&amp;"P"&amp;$A39)),IF(RTD("tos.rtd",,$A$2,"."&amp;F$2&amp;F$1&amp;"C"&amp;$A39)="N/A",0,RTD("tos.rtd",,$A$2,"."&amp;F$2&amp;F$1&amp;"C"&amp;$A39))-IF(RTD("tos.rtd",,$A$2,"."&amp;F$2&amp;F$1&amp;"P"&amp;$A39)="N/A",0,RTD("tos.rtd",,$A$2,"."&amp;F$2&amp;F$1&amp;"P"&amp;$A39))))))))))</f>
        <v>0</v>
      </c>
      <c r="G39" s="54">
        <f ca="1">IF($A$2="PREMIUM_OI",IFERROR(IF($X$1="ABS",(100*RTD("tos.rtd",,"OPEN_INT","."&amp;G$2&amp;G$1&amp;"C"&amp;$A39)*RTD("tos.rtd",,"LAST","."&amp;G$2&amp;G$1&amp;"C"&amp;$A39)+100*RTD("tos.rtd",,"OPEN_INT","."&amp;G$2&amp;G$1&amp;"P"&amp;$A39)*RTD("tos.rtd",,"LAST","."&amp;G$2&amp;G$1&amp;"P"&amp;$A39))/1000000,(100*RTD("tos.rtd",,"OPEN_INT","."&amp;G$2&amp;G$1&amp;"C"&amp;$A39)*RTD("tos.rtd",,"LAST","."&amp;G$2&amp;G$1&amp;"C"&amp;$A39)-100*RTD("tos.rtd",,"OPEN_INT","."&amp;G$2&amp;G$1&amp;"P"&amp;$A39)*RTD("tos.rtd",,"LAST","."&amp;G$2&amp;G$1&amp;"P"&amp;$A39))/1000000),0),IF($A$2="PREMIUM",IFERROR(IF($X$1="ABS",(100*RTD("tos.rtd",,"VOLUME","."&amp;G$2&amp;G$1&amp;"C"&amp;$A39)*RTD("tos.rtd",,"LAST","."&amp;G$2&amp;G$1&amp;"C"&amp;$A39)+100*RTD("tos.rtd",,"VOLUME","."&amp;G$2&amp;G$1&amp;"P"&amp;$A39)*RTD("tos.rtd",,"LAST","."&amp;G$2&amp;G$1&amp;"P"&amp;$A39))/1000000,(100*RTD("tos.rtd",,"VOLUME","."&amp;G$2&amp;G$1&amp;"C"&amp;$A39)*RTD("tos.rtd",,"LAST","."&amp;G$2&amp;G$1&amp;"C"&amp;$A39)-100*RTD("tos.rtd",,"VOLUME","."&amp;G$2&amp;G$1&amp;"P"&amp;$A39)*RTD("tos.rtd",,"LAST","."&amp;G$2&amp;G$1&amp;"P"&amp;$A39))/1000000),0),IF($A$2="DEX",IFERROR(IF($X$1="ABS",(100*RTD("tos.rtd",,"OPEN_INT","."&amp;G$2&amp;G$1&amp;"C"&amp;$A39)*RTD("tos.rtd",,"DELTA","."&amp;G$2&amp;G$1&amp;"C"&amp;$A39)+100*RTD("tos.rtd",,"OPEN_INT","."&amp;G$2&amp;G$1&amp;"P"&amp;$A39)*RTD("tos.rtd",,"DELTA","."&amp;G$2&amp;G$1&amp;"P"&amp;$A39))/1000,(100*RTD("tos.rtd",,"OPEN_INT","."&amp;G$2&amp;G$1&amp;"C"&amp;$A39)*RTD("tos.rtd",,"DELTA","."&amp;G$2&amp;G$1&amp;"C"&amp;$A39)-100*RTD("tos.rtd",,"OPEN_INT","."&amp;G$2&amp;G$1&amp;"P"&amp;$A39)*RTD("tos.rtd",,"DELTA","."&amp;G$2&amp;G$1&amp;"P"&amp;$A39))/1000),0),IF($A$2="VEX",IFERROR(IF($X$1="ABS",($A$4*$A$4*RTD("tos.rtd",,"VOLUME","."&amp;G$2&amp;G$1&amp;"C"&amp;$A39)*RTD("tos.rtd",,"GAMMA","."&amp;G$2&amp;G$1&amp;"C"&amp;$A39)+$A$4*$A$4*RTD("tos.rtd",,"VOLUME","."&amp;G$2&amp;G$1&amp;"P"&amp;$A39)*RTD("tos.rtd",,"GAMMA","."&amp;G$2&amp;G$1&amp;"P"&amp;$A39))/1000000,($A$4*$A$4*RTD("tos.rtd",,"VOLUME","."&amp;G$2&amp;G$1&amp;"C"&amp;$A39)*RTD("tos.rtd",,"GAMMA","."&amp;G$2&amp;G$1&amp;"C"&amp;$A39)-$A$4*$A$4*RTD("tos.rtd",,"VOLUME","."&amp;G$2&amp;G$1&amp;"P"&amp;$A39)*RTD("tos.rtd",,"GAMMA","."&amp;G$2&amp;G$1&amp;"P"&amp;$A39))/1000000),0),IF($A$2="GEX",IFERROR(IF($X$1="ABS",($A$4*$A$4*RTD("tos.rtd",,"OPEN_INT","."&amp;G$2&amp;G$1&amp;"C"&amp;$A39)*RTD("tos.rtd",,"GAMMA","."&amp;G$2&amp;G$1&amp;"C"&amp;$A39)+$A$4*$A$4*RTD("tos.rtd",,"OPEN_INT","."&amp;G$2&amp;G$1&amp;"P"&amp;$A39)*RTD("tos.rtd",,"GAMMA","."&amp;G$2&amp;G$1&amp;"P"&amp;$A39))/1000000,($A$4*$A$4*RTD("tos.rtd",,"OPEN_INT","."&amp;G$2&amp;G$1&amp;"C"&amp;$A39)*RTD("tos.rtd",,"GAMMA","."&amp;G$2&amp;G$1&amp;"C"&amp;$A39)-$A$4*$A$4*RTD("tos.rtd",,"OPEN_INT","."&amp;G$2&amp;G$1&amp;"P"&amp;$A39)*RTD("tos.rtd",,"GAMMA","."&amp;G$2&amp;G$1&amp;"P"&amp;$A39))/1000000),0),IF($A$2="SKEW",IFERROR(VALUE(IF(RTD("tos.rtd",,"IMPL_VOL","."&amp;G$2&amp;G$1&amp;"P"&amp;$A39)="N/A",0,RTD("tos.rtd",,"IMPL_VOL","."&amp;G$2&amp;G$1&amp;"P"&amp;$A39))),0)-IFERROR(VALUE(IF(RTD("tos.rtd",,"IMPL_VOL","."&amp;G$2&amp;G$1&amp;"C"&amp;$A39)="N/A",0,RTD("tos.rtd",,"IMPL_VOL","."&amp;G$2&amp;G$1&amp;"C"&amp;$A39))),0),IF($A$2="MAXPAIN",IF($A$4&gt;$A39,($A$4-$A39)*IF(RTD("tos.rtd",,"OPEN_INT","."&amp;G$2&amp;G$1&amp;"C"&amp;$A39)="N/A",0,RTD("tos.rtd",,"OPEN_INT","."&amp;G$2&amp;G$1&amp;"C"&amp;$A39)),0)+IF($A$4&lt;$A39,($A$5-$A$4)*IF(RTD("tos.rtd",,"OPEN_INT","."&amp;G$2&amp;G$1&amp;"P"&amp;$A39)="N/A",0,RTD("tos.rtd",,"OPEN_INT","."&amp;G$2&amp;G$1&amp;"P"&amp;$A39)),0),IF($X$1="ABS",IF(RTD("tos.rtd",,$A$2,"."&amp;G$2&amp;G$1&amp;"C"&amp;$A39)="N/A",0,RTD("tos.rtd",,$A$2,"."&amp;G$2&amp;G$1&amp;"C"&amp;$A39))+IF(RTD("tos.rtd",,$A$2,"."&amp;G$2&amp;G$1&amp;"P"&amp;$A39)="N/A",0,RTD("tos.rtd",,$A$2,"."&amp;G$2&amp;G$1&amp;"P"&amp;$A39)),IF(RTD("tos.rtd",,$A$2,"."&amp;G$2&amp;G$1&amp;"C"&amp;$A39)="N/A",0,RTD("tos.rtd",,$A$2,"."&amp;G$2&amp;G$1&amp;"C"&amp;$A39))-IF(RTD("tos.rtd",,$A$2,"."&amp;G$2&amp;G$1&amp;"P"&amp;$A39)="N/A",0,RTD("tos.rtd",,$A$2,"."&amp;G$2&amp;G$1&amp;"P"&amp;$A39))))))))))</f>
        <v>0</v>
      </c>
      <c r="H39" s="14">
        <f ca="1">IF($A$2="PREMIUM_OI",IFERROR(IF($X$1="ABS",(100*RTD("tos.rtd",,"OPEN_INT","."&amp;H$2&amp;H$1&amp;"C"&amp;$A39)*RTD("tos.rtd",,"LAST","."&amp;H$2&amp;H$1&amp;"C"&amp;$A39)+100*RTD("tos.rtd",,"OPEN_INT","."&amp;H$2&amp;H$1&amp;"P"&amp;$A39)*RTD("tos.rtd",,"LAST","."&amp;H$2&amp;H$1&amp;"P"&amp;$A39))/1000000,(100*RTD("tos.rtd",,"OPEN_INT","."&amp;H$2&amp;H$1&amp;"C"&amp;$A39)*RTD("tos.rtd",,"LAST","."&amp;H$2&amp;H$1&amp;"C"&amp;$A39)-100*RTD("tos.rtd",,"OPEN_INT","."&amp;H$2&amp;H$1&amp;"P"&amp;$A39)*RTD("tos.rtd",,"LAST","."&amp;H$2&amp;H$1&amp;"P"&amp;$A39))/1000000),0),IF($A$2="PREMIUM",IFERROR(IF($X$1="ABS",(100*RTD("tos.rtd",,"VOLUME","."&amp;H$2&amp;H$1&amp;"C"&amp;$A39)*RTD("tos.rtd",,"LAST","."&amp;H$2&amp;H$1&amp;"C"&amp;$A39)+100*RTD("tos.rtd",,"VOLUME","."&amp;H$2&amp;H$1&amp;"P"&amp;$A39)*RTD("tos.rtd",,"LAST","."&amp;H$2&amp;H$1&amp;"P"&amp;$A39))/1000000,(100*RTD("tos.rtd",,"VOLUME","."&amp;H$2&amp;H$1&amp;"C"&amp;$A39)*RTD("tos.rtd",,"LAST","."&amp;H$2&amp;H$1&amp;"C"&amp;$A39)-100*RTD("tos.rtd",,"VOLUME","."&amp;H$2&amp;H$1&amp;"P"&amp;$A39)*RTD("tos.rtd",,"LAST","."&amp;H$2&amp;H$1&amp;"P"&amp;$A39))/1000000),0),IF($A$2="DEX",IFERROR(IF($X$1="ABS",(100*RTD("tos.rtd",,"OPEN_INT","."&amp;H$2&amp;H$1&amp;"C"&amp;$A39)*RTD("tos.rtd",,"DELTA","."&amp;H$2&amp;H$1&amp;"C"&amp;$A39)+100*RTD("tos.rtd",,"OPEN_INT","."&amp;H$2&amp;H$1&amp;"P"&amp;$A39)*RTD("tos.rtd",,"DELTA","."&amp;H$2&amp;H$1&amp;"P"&amp;$A39))/1000,(100*RTD("tos.rtd",,"OPEN_INT","."&amp;H$2&amp;H$1&amp;"C"&amp;$A39)*RTD("tos.rtd",,"DELTA","."&amp;H$2&amp;H$1&amp;"C"&amp;$A39)-100*RTD("tos.rtd",,"OPEN_INT","."&amp;H$2&amp;H$1&amp;"P"&amp;$A39)*RTD("tos.rtd",,"DELTA","."&amp;H$2&amp;H$1&amp;"P"&amp;$A39))/1000),0),IF($A$2="VEX",IFERROR(IF($X$1="ABS",($A$4*$A$4*RTD("tos.rtd",,"VOLUME","."&amp;H$2&amp;H$1&amp;"C"&amp;$A39)*RTD("tos.rtd",,"GAMMA","."&amp;H$2&amp;H$1&amp;"C"&amp;$A39)+$A$4*$A$4*RTD("tos.rtd",,"VOLUME","."&amp;H$2&amp;H$1&amp;"P"&amp;$A39)*RTD("tos.rtd",,"GAMMA","."&amp;H$2&amp;H$1&amp;"P"&amp;$A39))/1000000,($A$4*$A$4*RTD("tos.rtd",,"VOLUME","."&amp;H$2&amp;H$1&amp;"C"&amp;$A39)*RTD("tos.rtd",,"GAMMA","."&amp;H$2&amp;H$1&amp;"C"&amp;$A39)-$A$4*$A$4*RTD("tos.rtd",,"VOLUME","."&amp;H$2&amp;H$1&amp;"P"&amp;$A39)*RTD("tos.rtd",,"GAMMA","."&amp;H$2&amp;H$1&amp;"P"&amp;$A39))/1000000),0),IF($A$2="GEX",IFERROR(IF($X$1="ABS",($A$4*$A$4*RTD("tos.rtd",,"OPEN_INT","."&amp;H$2&amp;H$1&amp;"C"&amp;$A39)*RTD("tos.rtd",,"GAMMA","."&amp;H$2&amp;H$1&amp;"C"&amp;$A39)+$A$4*$A$4*RTD("tos.rtd",,"OPEN_INT","."&amp;H$2&amp;H$1&amp;"P"&amp;$A39)*RTD("tos.rtd",,"GAMMA","."&amp;H$2&amp;H$1&amp;"P"&amp;$A39))/1000000,($A$4*$A$4*RTD("tos.rtd",,"OPEN_INT","."&amp;H$2&amp;H$1&amp;"C"&amp;$A39)*RTD("tos.rtd",,"GAMMA","."&amp;H$2&amp;H$1&amp;"C"&amp;$A39)-$A$4*$A$4*RTD("tos.rtd",,"OPEN_INT","."&amp;H$2&amp;H$1&amp;"P"&amp;$A39)*RTD("tos.rtd",,"GAMMA","."&amp;H$2&amp;H$1&amp;"P"&amp;$A39))/1000000),0),IF($A$2="SKEW",IFERROR(VALUE(IF(RTD("tos.rtd",,"IMPL_VOL","."&amp;H$2&amp;H$1&amp;"P"&amp;$A39)="N/A",0,RTD("tos.rtd",,"IMPL_VOL","."&amp;H$2&amp;H$1&amp;"P"&amp;$A39))),0)-IFERROR(VALUE(IF(RTD("tos.rtd",,"IMPL_VOL","."&amp;H$2&amp;H$1&amp;"C"&amp;$A39)="N/A",0,RTD("tos.rtd",,"IMPL_VOL","."&amp;H$2&amp;H$1&amp;"C"&amp;$A39))),0),IF($A$2="MAXPAIN",IF($A$4&gt;$A39,($A$4-$A39)*IF(RTD("tos.rtd",,"OPEN_INT","."&amp;H$2&amp;H$1&amp;"C"&amp;$A39)="N/A",0,RTD("tos.rtd",,"OPEN_INT","."&amp;H$2&amp;H$1&amp;"C"&amp;$A39)),0)+IF($A$4&lt;$A39,($A$5-$A$4)*IF(RTD("tos.rtd",,"OPEN_INT","."&amp;H$2&amp;H$1&amp;"P"&amp;$A39)="N/A",0,RTD("tos.rtd",,"OPEN_INT","."&amp;H$2&amp;H$1&amp;"P"&amp;$A39)),0),IF($X$1="ABS",IF(RTD("tos.rtd",,$A$2,"."&amp;H$2&amp;H$1&amp;"C"&amp;$A39)="N/A",0,RTD("tos.rtd",,$A$2,"."&amp;H$2&amp;H$1&amp;"C"&amp;$A39))+IF(RTD("tos.rtd",,$A$2,"."&amp;H$2&amp;H$1&amp;"P"&amp;$A39)="N/A",0,RTD("tos.rtd",,$A$2,"."&amp;H$2&amp;H$1&amp;"P"&amp;$A39)),IF(RTD("tos.rtd",,$A$2,"."&amp;H$2&amp;H$1&amp;"C"&amp;$A39)="N/A",0,RTD("tos.rtd",,$A$2,"."&amp;H$2&amp;H$1&amp;"C"&amp;$A39))-IF(RTD("tos.rtd",,$A$2,"."&amp;H$2&amp;H$1&amp;"P"&amp;$A39)="N/A",0,RTD("tos.rtd",,$A$2,"."&amp;H$2&amp;H$1&amp;"P"&amp;$A39))))))))))</f>
        <v>0</v>
      </c>
      <c r="I39" s="12">
        <f ca="1">IF($A$2="PREMIUM_OI",IFERROR(IF($X$1="ABS",(100*RTD("tos.rtd",,"OPEN_INT","."&amp;I$2&amp;I$1&amp;"C"&amp;$A39)*RTD("tos.rtd",,"LAST","."&amp;I$2&amp;I$1&amp;"C"&amp;$A39)+100*RTD("tos.rtd",,"OPEN_INT","."&amp;I$2&amp;I$1&amp;"P"&amp;$A39)*RTD("tos.rtd",,"LAST","."&amp;I$2&amp;I$1&amp;"P"&amp;$A39))/1000000,(100*RTD("tos.rtd",,"OPEN_INT","."&amp;I$2&amp;I$1&amp;"C"&amp;$A39)*RTD("tos.rtd",,"LAST","."&amp;I$2&amp;I$1&amp;"C"&amp;$A39)-100*RTD("tos.rtd",,"OPEN_INT","."&amp;I$2&amp;I$1&amp;"P"&amp;$A39)*RTD("tos.rtd",,"LAST","."&amp;I$2&amp;I$1&amp;"P"&amp;$A39))/1000000),0),IF($A$2="PREMIUM",IFERROR(IF($X$1="ABS",(100*RTD("tos.rtd",,"VOLUME","."&amp;I$2&amp;I$1&amp;"C"&amp;$A39)*RTD("tos.rtd",,"LAST","."&amp;I$2&amp;I$1&amp;"C"&amp;$A39)+100*RTD("tos.rtd",,"VOLUME","."&amp;I$2&amp;I$1&amp;"P"&amp;$A39)*RTD("tos.rtd",,"LAST","."&amp;I$2&amp;I$1&amp;"P"&amp;$A39))/1000000,(100*RTD("tos.rtd",,"VOLUME","."&amp;I$2&amp;I$1&amp;"C"&amp;$A39)*RTD("tos.rtd",,"LAST","."&amp;I$2&amp;I$1&amp;"C"&amp;$A39)-100*RTD("tos.rtd",,"VOLUME","."&amp;I$2&amp;I$1&amp;"P"&amp;$A39)*RTD("tos.rtd",,"LAST","."&amp;I$2&amp;I$1&amp;"P"&amp;$A39))/1000000),0),IF($A$2="DEX",IFERROR(IF($X$1="ABS",(100*RTD("tos.rtd",,"OPEN_INT","."&amp;I$2&amp;I$1&amp;"C"&amp;$A39)*RTD("tos.rtd",,"DELTA","."&amp;I$2&amp;I$1&amp;"C"&amp;$A39)+100*RTD("tos.rtd",,"OPEN_INT","."&amp;I$2&amp;I$1&amp;"P"&amp;$A39)*RTD("tos.rtd",,"DELTA","."&amp;I$2&amp;I$1&amp;"P"&amp;$A39))/1000,(100*RTD("tos.rtd",,"OPEN_INT","."&amp;I$2&amp;I$1&amp;"C"&amp;$A39)*RTD("tos.rtd",,"DELTA","."&amp;I$2&amp;I$1&amp;"C"&amp;$A39)-100*RTD("tos.rtd",,"OPEN_INT","."&amp;I$2&amp;I$1&amp;"P"&amp;$A39)*RTD("tos.rtd",,"DELTA","."&amp;I$2&amp;I$1&amp;"P"&amp;$A39))/1000),0),IF($A$2="VEX",IFERROR(IF($X$1="ABS",($A$4*$A$4*RTD("tos.rtd",,"VOLUME","."&amp;I$2&amp;I$1&amp;"C"&amp;$A39)*RTD("tos.rtd",,"GAMMA","."&amp;I$2&amp;I$1&amp;"C"&amp;$A39)+$A$4*$A$4*RTD("tos.rtd",,"VOLUME","."&amp;I$2&amp;I$1&amp;"P"&amp;$A39)*RTD("tos.rtd",,"GAMMA","."&amp;I$2&amp;I$1&amp;"P"&amp;$A39))/1000000,($A$4*$A$4*RTD("tos.rtd",,"VOLUME","."&amp;I$2&amp;I$1&amp;"C"&amp;$A39)*RTD("tos.rtd",,"GAMMA","."&amp;I$2&amp;I$1&amp;"C"&amp;$A39)-$A$4*$A$4*RTD("tos.rtd",,"VOLUME","."&amp;I$2&amp;I$1&amp;"P"&amp;$A39)*RTD("tos.rtd",,"GAMMA","."&amp;I$2&amp;I$1&amp;"P"&amp;$A39))/1000000),0),IF($A$2="GEX",IFERROR(IF($X$1="ABS",($A$4*$A$4*RTD("tos.rtd",,"OPEN_INT","."&amp;I$2&amp;I$1&amp;"C"&amp;$A39)*RTD("tos.rtd",,"GAMMA","."&amp;I$2&amp;I$1&amp;"C"&amp;$A39)+$A$4*$A$4*RTD("tos.rtd",,"OPEN_INT","."&amp;I$2&amp;I$1&amp;"P"&amp;$A39)*RTD("tos.rtd",,"GAMMA","."&amp;I$2&amp;I$1&amp;"P"&amp;$A39))/1000000,($A$4*$A$4*RTD("tos.rtd",,"OPEN_INT","."&amp;I$2&amp;I$1&amp;"C"&amp;$A39)*RTD("tos.rtd",,"GAMMA","."&amp;I$2&amp;I$1&amp;"C"&amp;$A39)-$A$4*$A$4*RTD("tos.rtd",,"OPEN_INT","."&amp;I$2&amp;I$1&amp;"P"&amp;$A39)*RTD("tos.rtd",,"GAMMA","."&amp;I$2&amp;I$1&amp;"P"&amp;$A39))/1000000),0),IF($A$2="SKEW",IFERROR(VALUE(IF(RTD("tos.rtd",,"IMPL_VOL","."&amp;I$2&amp;I$1&amp;"P"&amp;$A39)="N/A",0,RTD("tos.rtd",,"IMPL_VOL","."&amp;I$2&amp;I$1&amp;"P"&amp;$A39))),0)-IFERROR(VALUE(IF(RTD("tos.rtd",,"IMPL_VOL","."&amp;I$2&amp;I$1&amp;"C"&amp;$A39)="N/A",0,RTD("tos.rtd",,"IMPL_VOL","."&amp;I$2&amp;I$1&amp;"C"&amp;$A39))),0),IF($A$2="MAXPAIN",IF($A$4&gt;$A39,($A$4-$A39)*IF(RTD("tos.rtd",,"OPEN_INT","."&amp;I$2&amp;I$1&amp;"C"&amp;$A39)="N/A",0,RTD("tos.rtd",,"OPEN_INT","."&amp;I$2&amp;I$1&amp;"C"&amp;$A39)),0)+IF($A$4&lt;$A39,($A$5-$A$4)*IF(RTD("tos.rtd",,"OPEN_INT","."&amp;I$2&amp;I$1&amp;"P"&amp;$A39)="N/A",0,RTD("tos.rtd",,"OPEN_INT","."&amp;I$2&amp;I$1&amp;"P"&amp;$A39)),0),IF($X$1="ABS",IF(RTD("tos.rtd",,$A$2,"."&amp;I$2&amp;I$1&amp;"C"&amp;$A39)="N/A",0,RTD("tos.rtd",,$A$2,"."&amp;I$2&amp;I$1&amp;"C"&amp;$A39))+IF(RTD("tos.rtd",,$A$2,"."&amp;I$2&amp;I$1&amp;"P"&amp;$A39)="N/A",0,RTD("tos.rtd",,$A$2,"."&amp;I$2&amp;I$1&amp;"P"&amp;$A39)),IF(RTD("tos.rtd",,$A$2,"."&amp;I$2&amp;I$1&amp;"C"&amp;$A39)="N/A",0,RTD("tos.rtd",,$A$2,"."&amp;I$2&amp;I$1&amp;"C"&amp;$A39))-IF(RTD("tos.rtd",,$A$2,"."&amp;I$2&amp;I$1&amp;"P"&amp;$A39)="N/A",0,RTD("tos.rtd",,$A$2,"."&amp;I$2&amp;I$1&amp;"P"&amp;$A39))))))))))</f>
        <v>0</v>
      </c>
      <c r="J39" s="12">
        <f ca="1">IF($A$2="PREMIUM_OI",IFERROR(IF($X$1="ABS",(100*RTD("tos.rtd",,"OPEN_INT","."&amp;J$2&amp;J$1&amp;"C"&amp;$A39)*RTD("tos.rtd",,"LAST","."&amp;J$2&amp;J$1&amp;"C"&amp;$A39)+100*RTD("tos.rtd",,"OPEN_INT","."&amp;J$2&amp;J$1&amp;"P"&amp;$A39)*RTD("tos.rtd",,"LAST","."&amp;J$2&amp;J$1&amp;"P"&amp;$A39))/1000000,(100*RTD("tos.rtd",,"OPEN_INT","."&amp;J$2&amp;J$1&amp;"C"&amp;$A39)*RTD("tos.rtd",,"LAST","."&amp;J$2&amp;J$1&amp;"C"&amp;$A39)-100*RTD("tos.rtd",,"OPEN_INT","."&amp;J$2&amp;J$1&amp;"P"&amp;$A39)*RTD("tos.rtd",,"LAST","."&amp;J$2&amp;J$1&amp;"P"&amp;$A39))/1000000),0),IF($A$2="PREMIUM",IFERROR(IF($X$1="ABS",(100*RTD("tos.rtd",,"VOLUME","."&amp;J$2&amp;J$1&amp;"C"&amp;$A39)*RTD("tos.rtd",,"LAST","."&amp;J$2&amp;J$1&amp;"C"&amp;$A39)+100*RTD("tos.rtd",,"VOLUME","."&amp;J$2&amp;J$1&amp;"P"&amp;$A39)*RTD("tos.rtd",,"LAST","."&amp;J$2&amp;J$1&amp;"P"&amp;$A39))/1000000,(100*RTD("tos.rtd",,"VOLUME","."&amp;J$2&amp;J$1&amp;"C"&amp;$A39)*RTD("tos.rtd",,"LAST","."&amp;J$2&amp;J$1&amp;"C"&amp;$A39)-100*RTD("tos.rtd",,"VOLUME","."&amp;J$2&amp;J$1&amp;"P"&amp;$A39)*RTD("tos.rtd",,"LAST","."&amp;J$2&amp;J$1&amp;"P"&amp;$A39))/1000000),0),IF($A$2="DEX",IFERROR(IF($X$1="ABS",(100*RTD("tos.rtd",,"OPEN_INT","."&amp;J$2&amp;J$1&amp;"C"&amp;$A39)*RTD("tos.rtd",,"DELTA","."&amp;J$2&amp;J$1&amp;"C"&amp;$A39)+100*RTD("tos.rtd",,"OPEN_INT","."&amp;J$2&amp;J$1&amp;"P"&amp;$A39)*RTD("tos.rtd",,"DELTA","."&amp;J$2&amp;J$1&amp;"P"&amp;$A39))/1000,(100*RTD("tos.rtd",,"OPEN_INT","."&amp;J$2&amp;J$1&amp;"C"&amp;$A39)*RTD("tos.rtd",,"DELTA","."&amp;J$2&amp;J$1&amp;"C"&amp;$A39)-100*RTD("tos.rtd",,"OPEN_INT","."&amp;J$2&amp;J$1&amp;"P"&amp;$A39)*RTD("tos.rtd",,"DELTA","."&amp;J$2&amp;J$1&amp;"P"&amp;$A39))/1000),0),IF($A$2="VEX",IFERROR(IF($X$1="ABS",($A$4*$A$4*RTD("tos.rtd",,"VOLUME","."&amp;J$2&amp;J$1&amp;"C"&amp;$A39)*RTD("tos.rtd",,"GAMMA","."&amp;J$2&amp;J$1&amp;"C"&amp;$A39)+$A$4*$A$4*RTD("tos.rtd",,"VOLUME","."&amp;J$2&amp;J$1&amp;"P"&amp;$A39)*RTD("tos.rtd",,"GAMMA","."&amp;J$2&amp;J$1&amp;"P"&amp;$A39))/1000000,($A$4*$A$4*RTD("tos.rtd",,"VOLUME","."&amp;J$2&amp;J$1&amp;"C"&amp;$A39)*RTD("tos.rtd",,"GAMMA","."&amp;J$2&amp;J$1&amp;"C"&amp;$A39)-$A$4*$A$4*RTD("tos.rtd",,"VOLUME","."&amp;J$2&amp;J$1&amp;"P"&amp;$A39)*RTD("tos.rtd",,"GAMMA","."&amp;J$2&amp;J$1&amp;"P"&amp;$A39))/1000000),0),IF($A$2="GEX",IFERROR(IF($X$1="ABS",($A$4*$A$4*RTD("tos.rtd",,"OPEN_INT","."&amp;J$2&amp;J$1&amp;"C"&amp;$A39)*RTD("tos.rtd",,"GAMMA","."&amp;J$2&amp;J$1&amp;"C"&amp;$A39)+$A$4*$A$4*RTD("tos.rtd",,"OPEN_INT","."&amp;J$2&amp;J$1&amp;"P"&amp;$A39)*RTD("tos.rtd",,"GAMMA","."&amp;J$2&amp;J$1&amp;"P"&amp;$A39))/1000000,($A$4*$A$4*RTD("tos.rtd",,"OPEN_INT","."&amp;J$2&amp;J$1&amp;"C"&amp;$A39)*RTD("tos.rtd",,"GAMMA","."&amp;J$2&amp;J$1&amp;"C"&amp;$A39)-$A$4*$A$4*RTD("tos.rtd",,"OPEN_INT","."&amp;J$2&amp;J$1&amp;"P"&amp;$A39)*RTD("tos.rtd",,"GAMMA","."&amp;J$2&amp;J$1&amp;"P"&amp;$A39))/1000000),0),IF($A$2="SKEW",IFERROR(VALUE(IF(RTD("tos.rtd",,"IMPL_VOL","."&amp;J$2&amp;J$1&amp;"P"&amp;$A39)="N/A",0,RTD("tos.rtd",,"IMPL_VOL","."&amp;J$2&amp;J$1&amp;"P"&amp;$A39))),0)-IFERROR(VALUE(IF(RTD("tos.rtd",,"IMPL_VOL","."&amp;J$2&amp;J$1&amp;"C"&amp;$A39)="N/A",0,RTD("tos.rtd",,"IMPL_VOL","."&amp;J$2&amp;J$1&amp;"C"&amp;$A39))),0),IF($A$2="MAXPAIN",IF($A$4&gt;$A39,($A$4-$A39)*IF(RTD("tos.rtd",,"OPEN_INT","."&amp;J$2&amp;J$1&amp;"C"&amp;$A39)="N/A",0,RTD("tos.rtd",,"OPEN_INT","."&amp;J$2&amp;J$1&amp;"C"&amp;$A39)),0)+IF($A$4&lt;$A39,($A$5-$A$4)*IF(RTD("tos.rtd",,"OPEN_INT","."&amp;J$2&amp;J$1&amp;"P"&amp;$A39)="N/A",0,RTD("tos.rtd",,"OPEN_INT","."&amp;J$2&amp;J$1&amp;"P"&amp;$A39)),0),IF($X$1="ABS",IF(RTD("tos.rtd",,$A$2,"."&amp;J$2&amp;J$1&amp;"C"&amp;$A39)="N/A",0,RTD("tos.rtd",,$A$2,"."&amp;J$2&amp;J$1&amp;"C"&amp;$A39))+IF(RTD("tos.rtd",,$A$2,"."&amp;J$2&amp;J$1&amp;"P"&amp;$A39)="N/A",0,RTD("tos.rtd",,$A$2,"."&amp;J$2&amp;J$1&amp;"P"&amp;$A39)),IF(RTD("tos.rtd",,$A$2,"."&amp;J$2&amp;J$1&amp;"C"&amp;$A39)="N/A",0,RTD("tos.rtd",,$A$2,"."&amp;J$2&amp;J$1&amp;"C"&amp;$A39))-IF(RTD("tos.rtd",,$A$2,"."&amp;J$2&amp;J$1&amp;"P"&amp;$A39)="N/A",0,RTD("tos.rtd",,$A$2,"."&amp;J$2&amp;J$1&amp;"P"&amp;$A39))))))))))</f>
        <v>0</v>
      </c>
      <c r="K39" s="12">
        <f ca="1">IF($A$2="PREMIUM_OI",IFERROR(IF($X$1="ABS",(100*RTD("tos.rtd",,"OPEN_INT","."&amp;K$2&amp;K$1&amp;"C"&amp;$A39)*RTD("tos.rtd",,"LAST","."&amp;K$2&amp;K$1&amp;"C"&amp;$A39)+100*RTD("tos.rtd",,"OPEN_INT","."&amp;K$2&amp;K$1&amp;"P"&amp;$A39)*RTD("tos.rtd",,"LAST","."&amp;K$2&amp;K$1&amp;"P"&amp;$A39))/1000000,(100*RTD("tos.rtd",,"OPEN_INT","."&amp;K$2&amp;K$1&amp;"C"&amp;$A39)*RTD("tos.rtd",,"LAST","."&amp;K$2&amp;K$1&amp;"C"&amp;$A39)-100*RTD("tos.rtd",,"OPEN_INT","."&amp;K$2&amp;K$1&amp;"P"&amp;$A39)*RTD("tos.rtd",,"LAST","."&amp;K$2&amp;K$1&amp;"P"&amp;$A39))/1000000),0),IF($A$2="PREMIUM",IFERROR(IF($X$1="ABS",(100*RTD("tos.rtd",,"VOLUME","."&amp;K$2&amp;K$1&amp;"C"&amp;$A39)*RTD("tos.rtd",,"LAST","."&amp;K$2&amp;K$1&amp;"C"&amp;$A39)+100*RTD("tos.rtd",,"VOLUME","."&amp;K$2&amp;K$1&amp;"P"&amp;$A39)*RTD("tos.rtd",,"LAST","."&amp;K$2&amp;K$1&amp;"P"&amp;$A39))/1000000,(100*RTD("tos.rtd",,"VOLUME","."&amp;K$2&amp;K$1&amp;"C"&amp;$A39)*RTD("tos.rtd",,"LAST","."&amp;K$2&amp;K$1&amp;"C"&amp;$A39)-100*RTD("tos.rtd",,"VOLUME","."&amp;K$2&amp;K$1&amp;"P"&amp;$A39)*RTD("tos.rtd",,"LAST","."&amp;K$2&amp;K$1&amp;"P"&amp;$A39))/1000000),0),IF($A$2="DEX",IFERROR(IF($X$1="ABS",(100*RTD("tos.rtd",,"OPEN_INT","."&amp;K$2&amp;K$1&amp;"C"&amp;$A39)*RTD("tos.rtd",,"DELTA","."&amp;K$2&amp;K$1&amp;"C"&amp;$A39)+100*RTD("tos.rtd",,"OPEN_INT","."&amp;K$2&amp;K$1&amp;"P"&amp;$A39)*RTD("tos.rtd",,"DELTA","."&amp;K$2&amp;K$1&amp;"P"&amp;$A39))/1000,(100*RTD("tos.rtd",,"OPEN_INT","."&amp;K$2&amp;K$1&amp;"C"&amp;$A39)*RTD("tos.rtd",,"DELTA","."&amp;K$2&amp;K$1&amp;"C"&amp;$A39)-100*RTD("tos.rtd",,"OPEN_INT","."&amp;K$2&amp;K$1&amp;"P"&amp;$A39)*RTD("tos.rtd",,"DELTA","."&amp;K$2&amp;K$1&amp;"P"&amp;$A39))/1000),0),IF($A$2="VEX",IFERROR(IF($X$1="ABS",($A$4*$A$4*RTD("tos.rtd",,"VOLUME","."&amp;K$2&amp;K$1&amp;"C"&amp;$A39)*RTD("tos.rtd",,"GAMMA","."&amp;K$2&amp;K$1&amp;"C"&amp;$A39)+$A$4*$A$4*RTD("tos.rtd",,"VOLUME","."&amp;K$2&amp;K$1&amp;"P"&amp;$A39)*RTD("tos.rtd",,"GAMMA","."&amp;K$2&amp;K$1&amp;"P"&amp;$A39))/1000000,($A$4*$A$4*RTD("tos.rtd",,"VOLUME","."&amp;K$2&amp;K$1&amp;"C"&amp;$A39)*RTD("tos.rtd",,"GAMMA","."&amp;K$2&amp;K$1&amp;"C"&amp;$A39)-$A$4*$A$4*RTD("tos.rtd",,"VOLUME","."&amp;K$2&amp;K$1&amp;"P"&amp;$A39)*RTD("tos.rtd",,"GAMMA","."&amp;K$2&amp;K$1&amp;"P"&amp;$A39))/1000000),0),IF($A$2="GEX",IFERROR(IF($X$1="ABS",($A$4*$A$4*RTD("tos.rtd",,"OPEN_INT","."&amp;K$2&amp;K$1&amp;"C"&amp;$A39)*RTD("tos.rtd",,"GAMMA","."&amp;K$2&amp;K$1&amp;"C"&amp;$A39)+$A$4*$A$4*RTD("tos.rtd",,"OPEN_INT","."&amp;K$2&amp;K$1&amp;"P"&amp;$A39)*RTD("tos.rtd",,"GAMMA","."&amp;K$2&amp;K$1&amp;"P"&amp;$A39))/1000000,($A$4*$A$4*RTD("tos.rtd",,"OPEN_INT","."&amp;K$2&amp;K$1&amp;"C"&amp;$A39)*RTD("tos.rtd",,"GAMMA","."&amp;K$2&amp;K$1&amp;"C"&amp;$A39)-$A$4*$A$4*RTD("tos.rtd",,"OPEN_INT","."&amp;K$2&amp;K$1&amp;"P"&amp;$A39)*RTD("tos.rtd",,"GAMMA","."&amp;K$2&amp;K$1&amp;"P"&amp;$A39))/1000000),0),IF($A$2="SKEW",IFERROR(VALUE(IF(RTD("tos.rtd",,"IMPL_VOL","."&amp;K$2&amp;K$1&amp;"P"&amp;$A39)="N/A",0,RTD("tos.rtd",,"IMPL_VOL","."&amp;K$2&amp;K$1&amp;"P"&amp;$A39))),0)-IFERROR(VALUE(IF(RTD("tos.rtd",,"IMPL_VOL","."&amp;K$2&amp;K$1&amp;"C"&amp;$A39)="N/A",0,RTD("tos.rtd",,"IMPL_VOL","."&amp;K$2&amp;K$1&amp;"C"&amp;$A39))),0),IF($A$2="MAXPAIN",IF($A$4&gt;$A39,($A$4-$A39)*IF(RTD("tos.rtd",,"OPEN_INT","."&amp;K$2&amp;K$1&amp;"C"&amp;$A39)="N/A",0,RTD("tos.rtd",,"OPEN_INT","."&amp;K$2&amp;K$1&amp;"C"&amp;$A39)),0)+IF($A$4&lt;$A39,($A$5-$A$4)*IF(RTD("tos.rtd",,"OPEN_INT","."&amp;K$2&amp;K$1&amp;"P"&amp;$A39)="N/A",0,RTD("tos.rtd",,"OPEN_INT","."&amp;K$2&amp;K$1&amp;"P"&amp;$A39)),0),IF($X$1="ABS",IF(RTD("tos.rtd",,$A$2,"."&amp;K$2&amp;K$1&amp;"C"&amp;$A39)="N/A",0,RTD("tos.rtd",,$A$2,"."&amp;K$2&amp;K$1&amp;"C"&amp;$A39))+IF(RTD("tos.rtd",,$A$2,"."&amp;K$2&amp;K$1&amp;"P"&amp;$A39)="N/A",0,RTD("tos.rtd",,$A$2,"."&amp;K$2&amp;K$1&amp;"P"&amp;$A39)),IF(RTD("tos.rtd",,$A$2,"."&amp;K$2&amp;K$1&amp;"C"&amp;$A39)="N/A",0,RTD("tos.rtd",,$A$2,"."&amp;K$2&amp;K$1&amp;"C"&amp;$A39))-IF(RTD("tos.rtd",,$A$2,"."&amp;K$2&amp;K$1&amp;"P"&amp;$A39)="N/A",0,RTD("tos.rtd",,$A$2,"."&amp;K$2&amp;K$1&amp;"P"&amp;$A39))))))))))</f>
        <v>0</v>
      </c>
      <c r="L39" s="54">
        <f ca="1">IF($A$2="PREMIUM_OI",IFERROR(IF($X$1="ABS",(100*RTD("tos.rtd",,"OPEN_INT","."&amp;L$2&amp;L$1&amp;"C"&amp;$A39)*RTD("tos.rtd",,"LAST","."&amp;L$2&amp;L$1&amp;"C"&amp;$A39)+100*RTD("tos.rtd",,"OPEN_INT","."&amp;L$2&amp;L$1&amp;"P"&amp;$A39)*RTD("tos.rtd",,"LAST","."&amp;L$2&amp;L$1&amp;"P"&amp;$A39))/1000000,(100*RTD("tos.rtd",,"OPEN_INT","."&amp;L$2&amp;L$1&amp;"C"&amp;$A39)*RTD("tos.rtd",,"LAST","."&amp;L$2&amp;L$1&amp;"C"&amp;$A39)-100*RTD("tos.rtd",,"OPEN_INT","."&amp;L$2&amp;L$1&amp;"P"&amp;$A39)*RTD("tos.rtd",,"LAST","."&amp;L$2&amp;L$1&amp;"P"&amp;$A39))/1000000),0),IF($A$2="PREMIUM",IFERROR(IF($X$1="ABS",(100*RTD("tos.rtd",,"VOLUME","."&amp;L$2&amp;L$1&amp;"C"&amp;$A39)*RTD("tos.rtd",,"LAST","."&amp;L$2&amp;L$1&amp;"C"&amp;$A39)+100*RTD("tos.rtd",,"VOLUME","."&amp;L$2&amp;L$1&amp;"P"&amp;$A39)*RTD("tos.rtd",,"LAST","."&amp;L$2&amp;L$1&amp;"P"&amp;$A39))/1000000,(100*RTD("tos.rtd",,"VOLUME","."&amp;L$2&amp;L$1&amp;"C"&amp;$A39)*RTD("tos.rtd",,"LAST","."&amp;L$2&amp;L$1&amp;"C"&amp;$A39)-100*RTD("tos.rtd",,"VOLUME","."&amp;L$2&amp;L$1&amp;"P"&amp;$A39)*RTD("tos.rtd",,"LAST","."&amp;L$2&amp;L$1&amp;"P"&amp;$A39))/1000000),0),IF($A$2="DEX",IFERROR(IF($X$1="ABS",(100*RTD("tos.rtd",,"OPEN_INT","."&amp;L$2&amp;L$1&amp;"C"&amp;$A39)*RTD("tos.rtd",,"DELTA","."&amp;L$2&amp;L$1&amp;"C"&amp;$A39)+100*RTD("tos.rtd",,"OPEN_INT","."&amp;L$2&amp;L$1&amp;"P"&amp;$A39)*RTD("tos.rtd",,"DELTA","."&amp;L$2&amp;L$1&amp;"P"&amp;$A39))/1000,(100*RTD("tos.rtd",,"OPEN_INT","."&amp;L$2&amp;L$1&amp;"C"&amp;$A39)*RTD("tos.rtd",,"DELTA","."&amp;L$2&amp;L$1&amp;"C"&amp;$A39)-100*RTD("tos.rtd",,"OPEN_INT","."&amp;L$2&amp;L$1&amp;"P"&amp;$A39)*RTD("tos.rtd",,"DELTA","."&amp;L$2&amp;L$1&amp;"P"&amp;$A39))/1000),0),IF($A$2="VEX",IFERROR(IF($X$1="ABS",($A$4*$A$4*RTD("tos.rtd",,"VOLUME","."&amp;L$2&amp;L$1&amp;"C"&amp;$A39)*RTD("tos.rtd",,"GAMMA","."&amp;L$2&amp;L$1&amp;"C"&amp;$A39)+$A$4*$A$4*RTD("tos.rtd",,"VOLUME","."&amp;L$2&amp;L$1&amp;"P"&amp;$A39)*RTD("tos.rtd",,"GAMMA","."&amp;L$2&amp;L$1&amp;"P"&amp;$A39))/1000000,($A$4*$A$4*RTD("tos.rtd",,"VOLUME","."&amp;L$2&amp;L$1&amp;"C"&amp;$A39)*RTD("tos.rtd",,"GAMMA","."&amp;L$2&amp;L$1&amp;"C"&amp;$A39)-$A$4*$A$4*RTD("tos.rtd",,"VOLUME","."&amp;L$2&amp;L$1&amp;"P"&amp;$A39)*RTD("tos.rtd",,"GAMMA","."&amp;L$2&amp;L$1&amp;"P"&amp;$A39))/1000000),0),IF($A$2="GEX",IFERROR(IF($X$1="ABS",($A$4*$A$4*RTD("tos.rtd",,"OPEN_INT","."&amp;L$2&amp;L$1&amp;"C"&amp;$A39)*RTD("tos.rtd",,"GAMMA","."&amp;L$2&amp;L$1&amp;"C"&amp;$A39)+$A$4*$A$4*RTD("tos.rtd",,"OPEN_INT","."&amp;L$2&amp;L$1&amp;"P"&amp;$A39)*RTD("tos.rtd",,"GAMMA","."&amp;L$2&amp;L$1&amp;"P"&amp;$A39))/1000000,($A$4*$A$4*RTD("tos.rtd",,"OPEN_INT","."&amp;L$2&amp;L$1&amp;"C"&amp;$A39)*RTD("tos.rtd",,"GAMMA","."&amp;L$2&amp;L$1&amp;"C"&amp;$A39)-$A$4*$A$4*RTD("tos.rtd",,"OPEN_INT","."&amp;L$2&amp;L$1&amp;"P"&amp;$A39)*RTD("tos.rtd",,"GAMMA","."&amp;L$2&amp;L$1&amp;"P"&amp;$A39))/1000000),0),IF($A$2="SKEW",IFERROR(VALUE(IF(RTD("tos.rtd",,"IMPL_VOL","."&amp;L$2&amp;L$1&amp;"P"&amp;$A39)="N/A",0,RTD("tos.rtd",,"IMPL_VOL","."&amp;L$2&amp;L$1&amp;"P"&amp;$A39))),0)-IFERROR(VALUE(IF(RTD("tos.rtd",,"IMPL_VOL","."&amp;L$2&amp;L$1&amp;"C"&amp;$A39)="N/A",0,RTD("tos.rtd",,"IMPL_VOL","."&amp;L$2&amp;L$1&amp;"C"&amp;$A39))),0),IF($A$2="MAXPAIN",IF($A$4&gt;$A39,($A$4-$A39)*IF(RTD("tos.rtd",,"OPEN_INT","."&amp;L$2&amp;L$1&amp;"C"&amp;$A39)="N/A",0,RTD("tos.rtd",,"OPEN_INT","."&amp;L$2&amp;L$1&amp;"C"&amp;$A39)),0)+IF($A$4&lt;$A39,($A$5-$A$4)*IF(RTD("tos.rtd",,"OPEN_INT","."&amp;L$2&amp;L$1&amp;"P"&amp;$A39)="N/A",0,RTD("tos.rtd",,"OPEN_INT","."&amp;L$2&amp;L$1&amp;"P"&amp;$A39)),0),IF($X$1="ABS",IF(RTD("tos.rtd",,$A$2,"."&amp;L$2&amp;L$1&amp;"C"&amp;$A39)="N/A",0,RTD("tos.rtd",,$A$2,"."&amp;L$2&amp;L$1&amp;"C"&amp;$A39))+IF(RTD("tos.rtd",,$A$2,"."&amp;L$2&amp;L$1&amp;"P"&amp;$A39)="N/A",0,RTD("tos.rtd",,$A$2,"."&amp;L$2&amp;L$1&amp;"P"&amp;$A39)),IF(RTD("tos.rtd",,$A$2,"."&amp;L$2&amp;L$1&amp;"C"&amp;$A39)="N/A",0,RTD("tos.rtd",,$A$2,"."&amp;L$2&amp;L$1&amp;"C"&amp;$A39))-IF(RTD("tos.rtd",,$A$2,"."&amp;L$2&amp;L$1&amp;"P"&amp;$A39)="N/A",0,RTD("tos.rtd",,$A$2,"."&amp;L$2&amp;L$1&amp;"P"&amp;$A39))))))))))</f>
        <v>0</v>
      </c>
      <c r="M39" s="12">
        <f ca="1">IF($A$2="PREMIUM_OI",IFERROR(IF($X$1="ABS",(100*RTD("tos.rtd",,"OPEN_INT","."&amp;M$2&amp;M$1&amp;"C"&amp;$A39)*RTD("tos.rtd",,"LAST","."&amp;M$2&amp;M$1&amp;"C"&amp;$A39)+100*RTD("tos.rtd",,"OPEN_INT","."&amp;M$2&amp;M$1&amp;"P"&amp;$A39)*RTD("tos.rtd",,"LAST","."&amp;M$2&amp;M$1&amp;"P"&amp;$A39))/1000000,(100*RTD("tos.rtd",,"OPEN_INT","."&amp;M$2&amp;M$1&amp;"C"&amp;$A39)*RTD("tos.rtd",,"LAST","."&amp;M$2&amp;M$1&amp;"C"&amp;$A39)-100*RTD("tos.rtd",,"OPEN_INT","."&amp;M$2&amp;M$1&amp;"P"&amp;$A39)*RTD("tos.rtd",,"LAST","."&amp;M$2&amp;M$1&amp;"P"&amp;$A39))/1000000),0),IF($A$2="PREMIUM",IFERROR(IF($X$1="ABS",(100*RTD("tos.rtd",,"VOLUME","."&amp;M$2&amp;M$1&amp;"C"&amp;$A39)*RTD("tos.rtd",,"LAST","."&amp;M$2&amp;M$1&amp;"C"&amp;$A39)+100*RTD("tos.rtd",,"VOLUME","."&amp;M$2&amp;M$1&amp;"P"&amp;$A39)*RTD("tos.rtd",,"LAST","."&amp;M$2&amp;M$1&amp;"P"&amp;$A39))/1000000,(100*RTD("tos.rtd",,"VOLUME","."&amp;M$2&amp;M$1&amp;"C"&amp;$A39)*RTD("tos.rtd",,"LAST","."&amp;M$2&amp;M$1&amp;"C"&amp;$A39)-100*RTD("tos.rtd",,"VOLUME","."&amp;M$2&amp;M$1&amp;"P"&amp;$A39)*RTD("tos.rtd",,"LAST","."&amp;M$2&amp;M$1&amp;"P"&amp;$A39))/1000000),0),IF($A$2="DEX",IFERROR(IF($X$1="ABS",(100*RTD("tos.rtd",,"OPEN_INT","."&amp;M$2&amp;M$1&amp;"C"&amp;$A39)*RTD("tos.rtd",,"DELTA","."&amp;M$2&amp;M$1&amp;"C"&amp;$A39)+100*RTD("tos.rtd",,"OPEN_INT","."&amp;M$2&amp;M$1&amp;"P"&amp;$A39)*RTD("tos.rtd",,"DELTA","."&amp;M$2&amp;M$1&amp;"P"&amp;$A39))/1000,(100*RTD("tos.rtd",,"OPEN_INT","."&amp;M$2&amp;M$1&amp;"C"&amp;$A39)*RTD("tos.rtd",,"DELTA","."&amp;M$2&amp;M$1&amp;"C"&amp;$A39)-100*RTD("tos.rtd",,"OPEN_INT","."&amp;M$2&amp;M$1&amp;"P"&amp;$A39)*RTD("tos.rtd",,"DELTA","."&amp;M$2&amp;M$1&amp;"P"&amp;$A39))/1000),0),IF($A$2="VEX",IFERROR(IF($X$1="ABS",($A$4*$A$4*RTD("tos.rtd",,"VOLUME","."&amp;M$2&amp;M$1&amp;"C"&amp;$A39)*RTD("tos.rtd",,"GAMMA","."&amp;M$2&amp;M$1&amp;"C"&amp;$A39)+$A$4*$A$4*RTD("tos.rtd",,"VOLUME","."&amp;M$2&amp;M$1&amp;"P"&amp;$A39)*RTD("tos.rtd",,"GAMMA","."&amp;M$2&amp;M$1&amp;"P"&amp;$A39))/1000000,($A$4*$A$4*RTD("tos.rtd",,"VOLUME","."&amp;M$2&amp;M$1&amp;"C"&amp;$A39)*RTD("tos.rtd",,"GAMMA","."&amp;M$2&amp;M$1&amp;"C"&amp;$A39)-$A$4*$A$4*RTD("tos.rtd",,"VOLUME","."&amp;M$2&amp;M$1&amp;"P"&amp;$A39)*RTD("tos.rtd",,"GAMMA","."&amp;M$2&amp;M$1&amp;"P"&amp;$A39))/1000000),0),IF($A$2="GEX",IFERROR(IF($X$1="ABS",($A$4*$A$4*RTD("tos.rtd",,"OPEN_INT","."&amp;M$2&amp;M$1&amp;"C"&amp;$A39)*RTD("tos.rtd",,"GAMMA","."&amp;M$2&amp;M$1&amp;"C"&amp;$A39)+$A$4*$A$4*RTD("tos.rtd",,"OPEN_INT","."&amp;M$2&amp;M$1&amp;"P"&amp;$A39)*RTD("tos.rtd",,"GAMMA","."&amp;M$2&amp;M$1&amp;"P"&amp;$A39))/1000000,($A$4*$A$4*RTD("tos.rtd",,"OPEN_INT","."&amp;M$2&amp;M$1&amp;"C"&amp;$A39)*RTD("tos.rtd",,"GAMMA","."&amp;M$2&amp;M$1&amp;"C"&amp;$A39)-$A$4*$A$4*RTD("tos.rtd",,"OPEN_INT","."&amp;M$2&amp;M$1&amp;"P"&amp;$A39)*RTD("tos.rtd",,"GAMMA","."&amp;M$2&amp;M$1&amp;"P"&amp;$A39))/1000000),0),IF($A$2="SKEW",IFERROR(VALUE(IF(RTD("tos.rtd",,"IMPL_VOL","."&amp;M$2&amp;M$1&amp;"P"&amp;$A39)="N/A",0,RTD("tos.rtd",,"IMPL_VOL","."&amp;M$2&amp;M$1&amp;"P"&amp;$A39))),0)-IFERROR(VALUE(IF(RTD("tos.rtd",,"IMPL_VOL","."&amp;M$2&amp;M$1&amp;"C"&amp;$A39)="N/A",0,RTD("tos.rtd",,"IMPL_VOL","."&amp;M$2&amp;M$1&amp;"C"&amp;$A39))),0),IF($A$2="MAXPAIN",IF($A$4&gt;$A39,($A$4-$A39)*IF(RTD("tos.rtd",,"OPEN_INT","."&amp;M$2&amp;M$1&amp;"C"&amp;$A39)="N/A",0,RTD("tos.rtd",,"OPEN_INT","."&amp;M$2&amp;M$1&amp;"C"&amp;$A39)),0)+IF($A$4&lt;$A39,($A$5-$A$4)*IF(RTD("tos.rtd",,"OPEN_INT","."&amp;M$2&amp;M$1&amp;"P"&amp;$A39)="N/A",0,RTD("tos.rtd",,"OPEN_INT","."&amp;M$2&amp;M$1&amp;"P"&amp;$A39)),0),IF($X$1="ABS",IF(RTD("tos.rtd",,$A$2,"."&amp;M$2&amp;M$1&amp;"C"&amp;$A39)="N/A",0,RTD("tos.rtd",,$A$2,"."&amp;M$2&amp;M$1&amp;"C"&amp;$A39))+IF(RTD("tos.rtd",,$A$2,"."&amp;M$2&amp;M$1&amp;"P"&amp;$A39)="N/A",0,RTD("tos.rtd",,$A$2,"."&amp;M$2&amp;M$1&amp;"P"&amp;$A39)),IF(RTD("tos.rtd",,$A$2,"."&amp;M$2&amp;M$1&amp;"C"&amp;$A39)="N/A",0,RTD("tos.rtd",,$A$2,"."&amp;M$2&amp;M$1&amp;"C"&amp;$A39))-IF(RTD("tos.rtd",,$A$2,"."&amp;M$2&amp;M$1&amp;"P"&amp;$A39)="N/A",0,RTD("tos.rtd",,$A$2,"."&amp;M$2&amp;M$1&amp;"P"&amp;$A39))))))))))</f>
        <v>0</v>
      </c>
      <c r="N39" s="12">
        <f ca="1">IF($A$2="PREMIUM_OI",IFERROR(IF($X$1="ABS",(100*RTD("tos.rtd",,"OPEN_INT","."&amp;N$2&amp;N$1&amp;"C"&amp;$A39)*RTD("tos.rtd",,"LAST","."&amp;N$2&amp;N$1&amp;"C"&amp;$A39)+100*RTD("tos.rtd",,"OPEN_INT","."&amp;N$2&amp;N$1&amp;"P"&amp;$A39)*RTD("tos.rtd",,"LAST","."&amp;N$2&amp;N$1&amp;"P"&amp;$A39))/1000000,(100*RTD("tos.rtd",,"OPEN_INT","."&amp;N$2&amp;N$1&amp;"C"&amp;$A39)*RTD("tos.rtd",,"LAST","."&amp;N$2&amp;N$1&amp;"C"&amp;$A39)-100*RTD("tos.rtd",,"OPEN_INT","."&amp;N$2&amp;N$1&amp;"P"&amp;$A39)*RTD("tos.rtd",,"LAST","."&amp;N$2&amp;N$1&amp;"P"&amp;$A39))/1000000),0),IF($A$2="PREMIUM",IFERROR(IF($X$1="ABS",(100*RTD("tos.rtd",,"VOLUME","."&amp;N$2&amp;N$1&amp;"C"&amp;$A39)*RTD("tos.rtd",,"LAST","."&amp;N$2&amp;N$1&amp;"C"&amp;$A39)+100*RTD("tos.rtd",,"VOLUME","."&amp;N$2&amp;N$1&amp;"P"&amp;$A39)*RTD("tos.rtd",,"LAST","."&amp;N$2&amp;N$1&amp;"P"&amp;$A39))/1000000,(100*RTD("tos.rtd",,"VOLUME","."&amp;N$2&amp;N$1&amp;"C"&amp;$A39)*RTD("tos.rtd",,"LAST","."&amp;N$2&amp;N$1&amp;"C"&amp;$A39)-100*RTD("tos.rtd",,"VOLUME","."&amp;N$2&amp;N$1&amp;"P"&amp;$A39)*RTD("tos.rtd",,"LAST","."&amp;N$2&amp;N$1&amp;"P"&amp;$A39))/1000000),0),IF($A$2="DEX",IFERROR(IF($X$1="ABS",(100*RTD("tos.rtd",,"OPEN_INT","."&amp;N$2&amp;N$1&amp;"C"&amp;$A39)*RTD("tos.rtd",,"DELTA","."&amp;N$2&amp;N$1&amp;"C"&amp;$A39)+100*RTD("tos.rtd",,"OPEN_INT","."&amp;N$2&amp;N$1&amp;"P"&amp;$A39)*RTD("tos.rtd",,"DELTA","."&amp;N$2&amp;N$1&amp;"P"&amp;$A39))/1000,(100*RTD("tos.rtd",,"OPEN_INT","."&amp;N$2&amp;N$1&amp;"C"&amp;$A39)*RTD("tos.rtd",,"DELTA","."&amp;N$2&amp;N$1&amp;"C"&amp;$A39)-100*RTD("tos.rtd",,"OPEN_INT","."&amp;N$2&amp;N$1&amp;"P"&amp;$A39)*RTD("tos.rtd",,"DELTA","."&amp;N$2&amp;N$1&amp;"P"&amp;$A39))/1000),0),IF($A$2="VEX",IFERROR(IF($X$1="ABS",($A$4*$A$4*RTD("tos.rtd",,"VOLUME","."&amp;N$2&amp;N$1&amp;"C"&amp;$A39)*RTD("tos.rtd",,"GAMMA","."&amp;N$2&amp;N$1&amp;"C"&amp;$A39)+$A$4*$A$4*RTD("tos.rtd",,"VOLUME","."&amp;N$2&amp;N$1&amp;"P"&amp;$A39)*RTD("tos.rtd",,"GAMMA","."&amp;N$2&amp;N$1&amp;"P"&amp;$A39))/1000000,($A$4*$A$4*RTD("tos.rtd",,"VOLUME","."&amp;N$2&amp;N$1&amp;"C"&amp;$A39)*RTD("tos.rtd",,"GAMMA","."&amp;N$2&amp;N$1&amp;"C"&amp;$A39)-$A$4*$A$4*RTD("tos.rtd",,"VOLUME","."&amp;N$2&amp;N$1&amp;"P"&amp;$A39)*RTD("tos.rtd",,"GAMMA","."&amp;N$2&amp;N$1&amp;"P"&amp;$A39))/1000000),0),IF($A$2="GEX",IFERROR(IF($X$1="ABS",($A$4*$A$4*RTD("tos.rtd",,"OPEN_INT","."&amp;N$2&amp;N$1&amp;"C"&amp;$A39)*RTD("tos.rtd",,"GAMMA","."&amp;N$2&amp;N$1&amp;"C"&amp;$A39)+$A$4*$A$4*RTD("tos.rtd",,"OPEN_INT","."&amp;N$2&amp;N$1&amp;"P"&amp;$A39)*RTD("tos.rtd",,"GAMMA","."&amp;N$2&amp;N$1&amp;"P"&amp;$A39))/1000000,($A$4*$A$4*RTD("tos.rtd",,"OPEN_INT","."&amp;N$2&amp;N$1&amp;"C"&amp;$A39)*RTD("tos.rtd",,"GAMMA","."&amp;N$2&amp;N$1&amp;"C"&amp;$A39)-$A$4*$A$4*RTD("tos.rtd",,"OPEN_INT","."&amp;N$2&amp;N$1&amp;"P"&amp;$A39)*RTD("tos.rtd",,"GAMMA","."&amp;N$2&amp;N$1&amp;"P"&amp;$A39))/1000000),0),IF($A$2="SKEW",IFERROR(VALUE(IF(RTD("tos.rtd",,"IMPL_VOL","."&amp;N$2&amp;N$1&amp;"P"&amp;$A39)="N/A",0,RTD("tos.rtd",,"IMPL_VOL","."&amp;N$2&amp;N$1&amp;"P"&amp;$A39))),0)-IFERROR(VALUE(IF(RTD("tos.rtd",,"IMPL_VOL","."&amp;N$2&amp;N$1&amp;"C"&amp;$A39)="N/A",0,RTD("tos.rtd",,"IMPL_VOL","."&amp;N$2&amp;N$1&amp;"C"&amp;$A39))),0),IF($A$2="MAXPAIN",IF($A$4&gt;$A39,($A$4-$A39)*IF(RTD("tos.rtd",,"OPEN_INT","."&amp;N$2&amp;N$1&amp;"C"&amp;$A39)="N/A",0,RTD("tos.rtd",,"OPEN_INT","."&amp;N$2&amp;N$1&amp;"C"&amp;$A39)),0)+IF($A$4&lt;$A39,($A$5-$A$4)*IF(RTD("tos.rtd",,"OPEN_INT","."&amp;N$2&amp;N$1&amp;"P"&amp;$A39)="N/A",0,RTD("tos.rtd",,"OPEN_INT","."&amp;N$2&amp;N$1&amp;"P"&amp;$A39)),0),IF($X$1="ABS",IF(RTD("tos.rtd",,$A$2,"."&amp;N$2&amp;N$1&amp;"C"&amp;$A39)="N/A",0,RTD("tos.rtd",,$A$2,"."&amp;N$2&amp;N$1&amp;"C"&amp;$A39))+IF(RTD("tos.rtd",,$A$2,"."&amp;N$2&amp;N$1&amp;"P"&amp;$A39)="N/A",0,RTD("tos.rtd",,$A$2,"."&amp;N$2&amp;N$1&amp;"P"&amp;$A39)),IF(RTD("tos.rtd",,$A$2,"."&amp;N$2&amp;N$1&amp;"C"&amp;$A39)="N/A",0,RTD("tos.rtd",,$A$2,"."&amp;N$2&amp;N$1&amp;"C"&amp;$A39))-IF(RTD("tos.rtd",,$A$2,"."&amp;N$2&amp;N$1&amp;"P"&amp;$A39)="N/A",0,RTD("tos.rtd",,$A$2,"."&amp;N$2&amp;N$1&amp;"P"&amp;$A39))))))))))</f>
        <v>0</v>
      </c>
      <c r="O39" s="12">
        <f ca="1">IF($A$2="PREMIUM_OI",IFERROR(IF($X$1="ABS",(100*RTD("tos.rtd",,"OPEN_INT","."&amp;O$2&amp;O$1&amp;"C"&amp;$A39)*RTD("tos.rtd",,"LAST","."&amp;O$2&amp;O$1&amp;"C"&amp;$A39)+100*RTD("tos.rtd",,"OPEN_INT","."&amp;O$2&amp;O$1&amp;"P"&amp;$A39)*RTD("tos.rtd",,"LAST","."&amp;O$2&amp;O$1&amp;"P"&amp;$A39))/1000000,(100*RTD("tos.rtd",,"OPEN_INT","."&amp;O$2&amp;O$1&amp;"C"&amp;$A39)*RTD("tos.rtd",,"LAST","."&amp;O$2&amp;O$1&amp;"C"&amp;$A39)-100*RTD("tos.rtd",,"OPEN_INT","."&amp;O$2&amp;O$1&amp;"P"&amp;$A39)*RTD("tos.rtd",,"LAST","."&amp;O$2&amp;O$1&amp;"P"&amp;$A39))/1000000),0),IF($A$2="PREMIUM",IFERROR(IF($X$1="ABS",(100*RTD("tos.rtd",,"VOLUME","."&amp;O$2&amp;O$1&amp;"C"&amp;$A39)*RTD("tos.rtd",,"LAST","."&amp;O$2&amp;O$1&amp;"C"&amp;$A39)+100*RTD("tos.rtd",,"VOLUME","."&amp;O$2&amp;O$1&amp;"P"&amp;$A39)*RTD("tos.rtd",,"LAST","."&amp;O$2&amp;O$1&amp;"P"&amp;$A39))/1000000,(100*RTD("tos.rtd",,"VOLUME","."&amp;O$2&amp;O$1&amp;"C"&amp;$A39)*RTD("tos.rtd",,"LAST","."&amp;O$2&amp;O$1&amp;"C"&amp;$A39)-100*RTD("tos.rtd",,"VOLUME","."&amp;O$2&amp;O$1&amp;"P"&amp;$A39)*RTD("tos.rtd",,"LAST","."&amp;O$2&amp;O$1&amp;"P"&amp;$A39))/1000000),0),IF($A$2="DEX",IFERROR(IF($X$1="ABS",(100*RTD("tos.rtd",,"OPEN_INT","."&amp;O$2&amp;O$1&amp;"C"&amp;$A39)*RTD("tos.rtd",,"DELTA","."&amp;O$2&amp;O$1&amp;"C"&amp;$A39)+100*RTD("tos.rtd",,"OPEN_INT","."&amp;O$2&amp;O$1&amp;"P"&amp;$A39)*RTD("tos.rtd",,"DELTA","."&amp;O$2&amp;O$1&amp;"P"&amp;$A39))/1000,(100*RTD("tos.rtd",,"OPEN_INT","."&amp;O$2&amp;O$1&amp;"C"&amp;$A39)*RTD("tos.rtd",,"DELTA","."&amp;O$2&amp;O$1&amp;"C"&amp;$A39)-100*RTD("tos.rtd",,"OPEN_INT","."&amp;O$2&amp;O$1&amp;"P"&amp;$A39)*RTD("tos.rtd",,"DELTA","."&amp;O$2&amp;O$1&amp;"P"&amp;$A39))/1000),0),IF($A$2="VEX",IFERROR(IF($X$1="ABS",($A$4*$A$4*RTD("tos.rtd",,"VOLUME","."&amp;O$2&amp;O$1&amp;"C"&amp;$A39)*RTD("tos.rtd",,"GAMMA","."&amp;O$2&amp;O$1&amp;"C"&amp;$A39)+$A$4*$A$4*RTD("tos.rtd",,"VOLUME","."&amp;O$2&amp;O$1&amp;"P"&amp;$A39)*RTD("tos.rtd",,"GAMMA","."&amp;O$2&amp;O$1&amp;"P"&amp;$A39))/1000000,($A$4*$A$4*RTD("tos.rtd",,"VOLUME","."&amp;O$2&amp;O$1&amp;"C"&amp;$A39)*RTD("tos.rtd",,"GAMMA","."&amp;O$2&amp;O$1&amp;"C"&amp;$A39)-$A$4*$A$4*RTD("tos.rtd",,"VOLUME","."&amp;O$2&amp;O$1&amp;"P"&amp;$A39)*RTD("tos.rtd",,"GAMMA","."&amp;O$2&amp;O$1&amp;"P"&amp;$A39))/1000000),0),IF($A$2="GEX",IFERROR(IF($X$1="ABS",($A$4*$A$4*RTD("tos.rtd",,"OPEN_INT","."&amp;O$2&amp;O$1&amp;"C"&amp;$A39)*RTD("tos.rtd",,"GAMMA","."&amp;O$2&amp;O$1&amp;"C"&amp;$A39)+$A$4*$A$4*RTD("tos.rtd",,"OPEN_INT","."&amp;O$2&amp;O$1&amp;"P"&amp;$A39)*RTD("tos.rtd",,"GAMMA","."&amp;O$2&amp;O$1&amp;"P"&amp;$A39))/1000000,($A$4*$A$4*RTD("tos.rtd",,"OPEN_INT","."&amp;O$2&amp;O$1&amp;"C"&amp;$A39)*RTD("tos.rtd",,"GAMMA","."&amp;O$2&amp;O$1&amp;"C"&amp;$A39)-$A$4*$A$4*RTD("tos.rtd",,"OPEN_INT","."&amp;O$2&amp;O$1&amp;"P"&amp;$A39)*RTD("tos.rtd",,"GAMMA","."&amp;O$2&amp;O$1&amp;"P"&amp;$A39))/1000000),0),IF($A$2="SKEW",IFERROR(VALUE(IF(RTD("tos.rtd",,"IMPL_VOL","."&amp;O$2&amp;O$1&amp;"P"&amp;$A39)="N/A",0,RTD("tos.rtd",,"IMPL_VOL","."&amp;O$2&amp;O$1&amp;"P"&amp;$A39))),0)-IFERROR(VALUE(IF(RTD("tos.rtd",,"IMPL_VOL","."&amp;O$2&amp;O$1&amp;"C"&amp;$A39)="N/A",0,RTD("tos.rtd",,"IMPL_VOL","."&amp;O$2&amp;O$1&amp;"C"&amp;$A39))),0),IF($A$2="MAXPAIN",IF($A$4&gt;$A39,($A$4-$A39)*IF(RTD("tos.rtd",,"OPEN_INT","."&amp;O$2&amp;O$1&amp;"C"&amp;$A39)="N/A",0,RTD("tos.rtd",,"OPEN_INT","."&amp;O$2&amp;O$1&amp;"C"&amp;$A39)),0)+IF($A$4&lt;$A39,($A$5-$A$4)*IF(RTD("tos.rtd",,"OPEN_INT","."&amp;O$2&amp;O$1&amp;"P"&amp;$A39)="N/A",0,RTD("tos.rtd",,"OPEN_INT","."&amp;O$2&amp;O$1&amp;"P"&amp;$A39)),0),IF($X$1="ABS",IF(RTD("tos.rtd",,$A$2,"."&amp;O$2&amp;O$1&amp;"C"&amp;$A39)="N/A",0,RTD("tos.rtd",,$A$2,"."&amp;O$2&amp;O$1&amp;"C"&amp;$A39))+IF(RTD("tos.rtd",,$A$2,"."&amp;O$2&amp;O$1&amp;"P"&amp;$A39)="N/A",0,RTD("tos.rtd",,$A$2,"."&amp;O$2&amp;O$1&amp;"P"&amp;$A39)),IF(RTD("tos.rtd",,$A$2,"."&amp;O$2&amp;O$1&amp;"C"&amp;$A39)="N/A",0,RTD("tos.rtd",,$A$2,"."&amp;O$2&amp;O$1&amp;"C"&amp;$A39))-IF(RTD("tos.rtd",,$A$2,"."&amp;O$2&amp;O$1&amp;"P"&amp;$A39)="N/A",0,RTD("tos.rtd",,$A$2,"."&amp;O$2&amp;O$1&amp;"P"&amp;$A39))))))))))</f>
        <v>0</v>
      </c>
      <c r="P39" s="12">
        <f ca="1">IF($A$2="PREMIUM_OI",IFERROR(IF($X$1="ABS",(100*RTD("tos.rtd",,"OPEN_INT","."&amp;P$2&amp;P$1&amp;"C"&amp;$A39)*RTD("tos.rtd",,"LAST","."&amp;P$2&amp;P$1&amp;"C"&amp;$A39)+100*RTD("tos.rtd",,"OPEN_INT","."&amp;P$2&amp;P$1&amp;"P"&amp;$A39)*RTD("tos.rtd",,"LAST","."&amp;P$2&amp;P$1&amp;"P"&amp;$A39))/1000000,(100*RTD("tos.rtd",,"OPEN_INT","."&amp;P$2&amp;P$1&amp;"C"&amp;$A39)*RTD("tos.rtd",,"LAST","."&amp;P$2&amp;P$1&amp;"C"&amp;$A39)-100*RTD("tos.rtd",,"OPEN_INT","."&amp;P$2&amp;P$1&amp;"P"&amp;$A39)*RTD("tos.rtd",,"LAST","."&amp;P$2&amp;P$1&amp;"P"&amp;$A39))/1000000),0),IF($A$2="PREMIUM",IFERROR(IF($X$1="ABS",(100*RTD("tos.rtd",,"VOLUME","."&amp;P$2&amp;P$1&amp;"C"&amp;$A39)*RTD("tos.rtd",,"LAST","."&amp;P$2&amp;P$1&amp;"C"&amp;$A39)+100*RTD("tos.rtd",,"VOLUME","."&amp;P$2&amp;P$1&amp;"P"&amp;$A39)*RTD("tos.rtd",,"LAST","."&amp;P$2&amp;P$1&amp;"P"&amp;$A39))/1000000,(100*RTD("tos.rtd",,"VOLUME","."&amp;P$2&amp;P$1&amp;"C"&amp;$A39)*RTD("tos.rtd",,"LAST","."&amp;P$2&amp;P$1&amp;"C"&amp;$A39)-100*RTD("tos.rtd",,"VOLUME","."&amp;P$2&amp;P$1&amp;"P"&amp;$A39)*RTD("tos.rtd",,"LAST","."&amp;P$2&amp;P$1&amp;"P"&amp;$A39))/1000000),0),IF($A$2="DEX",IFERROR(IF($X$1="ABS",(100*RTD("tos.rtd",,"OPEN_INT","."&amp;P$2&amp;P$1&amp;"C"&amp;$A39)*RTD("tos.rtd",,"DELTA","."&amp;P$2&amp;P$1&amp;"C"&amp;$A39)+100*RTD("tos.rtd",,"OPEN_INT","."&amp;P$2&amp;P$1&amp;"P"&amp;$A39)*RTD("tos.rtd",,"DELTA","."&amp;P$2&amp;P$1&amp;"P"&amp;$A39))/1000,(100*RTD("tos.rtd",,"OPEN_INT","."&amp;P$2&amp;P$1&amp;"C"&amp;$A39)*RTD("tos.rtd",,"DELTA","."&amp;P$2&amp;P$1&amp;"C"&amp;$A39)-100*RTD("tos.rtd",,"OPEN_INT","."&amp;P$2&amp;P$1&amp;"P"&amp;$A39)*RTD("tos.rtd",,"DELTA","."&amp;P$2&amp;P$1&amp;"P"&amp;$A39))/1000),0),IF($A$2="VEX",IFERROR(IF($X$1="ABS",($A$4*$A$4*RTD("tos.rtd",,"VOLUME","."&amp;P$2&amp;P$1&amp;"C"&amp;$A39)*RTD("tos.rtd",,"GAMMA","."&amp;P$2&amp;P$1&amp;"C"&amp;$A39)+$A$4*$A$4*RTD("tos.rtd",,"VOLUME","."&amp;P$2&amp;P$1&amp;"P"&amp;$A39)*RTD("tos.rtd",,"GAMMA","."&amp;P$2&amp;P$1&amp;"P"&amp;$A39))/1000000,($A$4*$A$4*RTD("tos.rtd",,"VOLUME","."&amp;P$2&amp;P$1&amp;"C"&amp;$A39)*RTD("tos.rtd",,"GAMMA","."&amp;P$2&amp;P$1&amp;"C"&amp;$A39)-$A$4*$A$4*RTD("tos.rtd",,"VOLUME","."&amp;P$2&amp;P$1&amp;"P"&amp;$A39)*RTD("tos.rtd",,"GAMMA","."&amp;P$2&amp;P$1&amp;"P"&amp;$A39))/1000000),0),IF($A$2="GEX",IFERROR(IF($X$1="ABS",($A$4*$A$4*RTD("tos.rtd",,"OPEN_INT","."&amp;P$2&amp;P$1&amp;"C"&amp;$A39)*RTD("tos.rtd",,"GAMMA","."&amp;P$2&amp;P$1&amp;"C"&amp;$A39)+$A$4*$A$4*RTD("tos.rtd",,"OPEN_INT","."&amp;P$2&amp;P$1&amp;"P"&amp;$A39)*RTD("tos.rtd",,"GAMMA","."&amp;P$2&amp;P$1&amp;"P"&amp;$A39))/1000000,($A$4*$A$4*RTD("tos.rtd",,"OPEN_INT","."&amp;P$2&amp;P$1&amp;"C"&amp;$A39)*RTD("tos.rtd",,"GAMMA","."&amp;P$2&amp;P$1&amp;"C"&amp;$A39)-$A$4*$A$4*RTD("tos.rtd",,"OPEN_INT","."&amp;P$2&amp;P$1&amp;"P"&amp;$A39)*RTD("tos.rtd",,"GAMMA","."&amp;P$2&amp;P$1&amp;"P"&amp;$A39))/1000000),0),IF($A$2="SKEW",IFERROR(VALUE(IF(RTD("tos.rtd",,"IMPL_VOL","."&amp;P$2&amp;P$1&amp;"P"&amp;$A39)="N/A",0,RTD("tos.rtd",,"IMPL_VOL","."&amp;P$2&amp;P$1&amp;"P"&amp;$A39))),0)-IFERROR(VALUE(IF(RTD("tos.rtd",,"IMPL_VOL","."&amp;P$2&amp;P$1&amp;"C"&amp;$A39)="N/A",0,RTD("tos.rtd",,"IMPL_VOL","."&amp;P$2&amp;P$1&amp;"C"&amp;$A39))),0),IF($A$2="MAXPAIN",IF($A$4&gt;$A39,($A$4-$A39)*IF(RTD("tos.rtd",,"OPEN_INT","."&amp;P$2&amp;P$1&amp;"C"&amp;$A39)="N/A",0,RTD("tos.rtd",,"OPEN_INT","."&amp;P$2&amp;P$1&amp;"C"&amp;$A39)),0)+IF($A$4&lt;$A39,($A$5-$A$4)*IF(RTD("tos.rtd",,"OPEN_INT","."&amp;P$2&amp;P$1&amp;"P"&amp;$A39)="N/A",0,RTD("tos.rtd",,"OPEN_INT","."&amp;P$2&amp;P$1&amp;"P"&amp;$A39)),0),IF($X$1="ABS",IF(RTD("tos.rtd",,$A$2,"."&amp;P$2&amp;P$1&amp;"C"&amp;$A39)="N/A",0,RTD("tos.rtd",,$A$2,"."&amp;P$2&amp;P$1&amp;"C"&amp;$A39))+IF(RTD("tos.rtd",,$A$2,"."&amp;P$2&amp;P$1&amp;"P"&amp;$A39)="N/A",0,RTD("tos.rtd",,$A$2,"."&amp;P$2&amp;P$1&amp;"P"&amp;$A39)),IF(RTD("tos.rtd",,$A$2,"."&amp;P$2&amp;P$1&amp;"C"&amp;$A39)="N/A",0,RTD("tos.rtd",,$A$2,"."&amp;P$2&amp;P$1&amp;"C"&amp;$A39))-IF(RTD("tos.rtd",,$A$2,"."&amp;P$2&amp;P$1&amp;"P"&amp;$A39)="N/A",0,RTD("tos.rtd",,$A$2,"."&amp;P$2&amp;P$1&amp;"P"&amp;$A39))))))))))</f>
        <v>0</v>
      </c>
      <c r="Q39" s="12">
        <f ca="1">IF($A$2="PREMIUM_OI",IFERROR(IF($X$1="ABS",(100*RTD("tos.rtd",,"OPEN_INT","."&amp;Q$2&amp;Q$1&amp;"C"&amp;$A39)*RTD("tos.rtd",,"LAST","."&amp;Q$2&amp;Q$1&amp;"C"&amp;$A39)+100*RTD("tos.rtd",,"OPEN_INT","."&amp;Q$2&amp;Q$1&amp;"P"&amp;$A39)*RTD("tos.rtd",,"LAST","."&amp;Q$2&amp;Q$1&amp;"P"&amp;$A39))/1000000,(100*RTD("tos.rtd",,"OPEN_INT","."&amp;Q$2&amp;Q$1&amp;"C"&amp;$A39)*RTD("tos.rtd",,"LAST","."&amp;Q$2&amp;Q$1&amp;"C"&amp;$A39)-100*RTD("tos.rtd",,"OPEN_INT","."&amp;Q$2&amp;Q$1&amp;"P"&amp;$A39)*RTD("tos.rtd",,"LAST","."&amp;Q$2&amp;Q$1&amp;"P"&amp;$A39))/1000000),0),IF($A$2="PREMIUM",IFERROR(IF($X$1="ABS",(100*RTD("tos.rtd",,"VOLUME","."&amp;Q$2&amp;Q$1&amp;"C"&amp;$A39)*RTD("tos.rtd",,"LAST","."&amp;Q$2&amp;Q$1&amp;"C"&amp;$A39)+100*RTD("tos.rtd",,"VOLUME","."&amp;Q$2&amp;Q$1&amp;"P"&amp;$A39)*RTD("tos.rtd",,"LAST","."&amp;Q$2&amp;Q$1&amp;"P"&amp;$A39))/1000000,(100*RTD("tos.rtd",,"VOLUME","."&amp;Q$2&amp;Q$1&amp;"C"&amp;$A39)*RTD("tos.rtd",,"LAST","."&amp;Q$2&amp;Q$1&amp;"C"&amp;$A39)-100*RTD("tos.rtd",,"VOLUME","."&amp;Q$2&amp;Q$1&amp;"P"&amp;$A39)*RTD("tos.rtd",,"LAST","."&amp;Q$2&amp;Q$1&amp;"P"&amp;$A39))/1000000),0),IF($A$2="DEX",IFERROR(IF($X$1="ABS",(100*RTD("tos.rtd",,"OPEN_INT","."&amp;Q$2&amp;Q$1&amp;"C"&amp;$A39)*RTD("tos.rtd",,"DELTA","."&amp;Q$2&amp;Q$1&amp;"C"&amp;$A39)+100*RTD("tos.rtd",,"OPEN_INT","."&amp;Q$2&amp;Q$1&amp;"P"&amp;$A39)*RTD("tos.rtd",,"DELTA","."&amp;Q$2&amp;Q$1&amp;"P"&amp;$A39))/1000,(100*RTD("tos.rtd",,"OPEN_INT","."&amp;Q$2&amp;Q$1&amp;"C"&amp;$A39)*RTD("tos.rtd",,"DELTA","."&amp;Q$2&amp;Q$1&amp;"C"&amp;$A39)-100*RTD("tos.rtd",,"OPEN_INT","."&amp;Q$2&amp;Q$1&amp;"P"&amp;$A39)*RTD("tos.rtd",,"DELTA","."&amp;Q$2&amp;Q$1&amp;"P"&amp;$A39))/1000),0),IF($A$2="VEX",IFERROR(IF($X$1="ABS",($A$4*$A$4*RTD("tos.rtd",,"VOLUME","."&amp;Q$2&amp;Q$1&amp;"C"&amp;$A39)*RTD("tos.rtd",,"GAMMA","."&amp;Q$2&amp;Q$1&amp;"C"&amp;$A39)+$A$4*$A$4*RTD("tos.rtd",,"VOLUME","."&amp;Q$2&amp;Q$1&amp;"P"&amp;$A39)*RTD("tos.rtd",,"GAMMA","."&amp;Q$2&amp;Q$1&amp;"P"&amp;$A39))/1000000,($A$4*$A$4*RTD("tos.rtd",,"VOLUME","."&amp;Q$2&amp;Q$1&amp;"C"&amp;$A39)*RTD("tos.rtd",,"GAMMA","."&amp;Q$2&amp;Q$1&amp;"C"&amp;$A39)-$A$4*$A$4*RTD("tos.rtd",,"VOLUME","."&amp;Q$2&amp;Q$1&amp;"P"&amp;$A39)*RTD("tos.rtd",,"GAMMA","."&amp;Q$2&amp;Q$1&amp;"P"&amp;$A39))/1000000),0),IF($A$2="GEX",IFERROR(IF($X$1="ABS",($A$4*$A$4*RTD("tos.rtd",,"OPEN_INT","."&amp;Q$2&amp;Q$1&amp;"C"&amp;$A39)*RTD("tos.rtd",,"GAMMA","."&amp;Q$2&amp;Q$1&amp;"C"&amp;$A39)+$A$4*$A$4*RTD("tos.rtd",,"OPEN_INT","."&amp;Q$2&amp;Q$1&amp;"P"&amp;$A39)*RTD("tos.rtd",,"GAMMA","."&amp;Q$2&amp;Q$1&amp;"P"&amp;$A39))/1000000,($A$4*$A$4*RTD("tos.rtd",,"OPEN_INT","."&amp;Q$2&amp;Q$1&amp;"C"&amp;$A39)*RTD("tos.rtd",,"GAMMA","."&amp;Q$2&amp;Q$1&amp;"C"&amp;$A39)-$A$4*$A$4*RTD("tos.rtd",,"OPEN_INT","."&amp;Q$2&amp;Q$1&amp;"P"&amp;$A39)*RTD("tos.rtd",,"GAMMA","."&amp;Q$2&amp;Q$1&amp;"P"&amp;$A39))/1000000),0),IF($A$2="SKEW",IFERROR(VALUE(IF(RTD("tos.rtd",,"IMPL_VOL","."&amp;Q$2&amp;Q$1&amp;"P"&amp;$A39)="N/A",0,RTD("tos.rtd",,"IMPL_VOL","."&amp;Q$2&amp;Q$1&amp;"P"&amp;$A39))),0)-IFERROR(VALUE(IF(RTD("tos.rtd",,"IMPL_VOL","."&amp;Q$2&amp;Q$1&amp;"C"&amp;$A39)="N/A",0,RTD("tos.rtd",,"IMPL_VOL","."&amp;Q$2&amp;Q$1&amp;"C"&amp;$A39))),0),IF($A$2="MAXPAIN",IF($A$4&gt;$A39,($A$4-$A39)*IF(RTD("tos.rtd",,"OPEN_INT","."&amp;Q$2&amp;Q$1&amp;"C"&amp;$A39)="N/A",0,RTD("tos.rtd",,"OPEN_INT","."&amp;Q$2&amp;Q$1&amp;"C"&amp;$A39)),0)+IF($A$4&lt;$A39,($A$5-$A$4)*IF(RTD("tos.rtd",,"OPEN_INT","."&amp;Q$2&amp;Q$1&amp;"P"&amp;$A39)="N/A",0,RTD("tos.rtd",,"OPEN_INT","."&amp;Q$2&amp;Q$1&amp;"P"&amp;$A39)),0),IF($X$1="ABS",IF(RTD("tos.rtd",,$A$2,"."&amp;Q$2&amp;Q$1&amp;"C"&amp;$A39)="N/A",0,RTD("tos.rtd",,$A$2,"."&amp;Q$2&amp;Q$1&amp;"C"&amp;$A39))+IF(RTD("tos.rtd",,$A$2,"."&amp;Q$2&amp;Q$1&amp;"P"&amp;$A39)="N/A",0,RTD("tos.rtd",,$A$2,"."&amp;Q$2&amp;Q$1&amp;"P"&amp;$A39)),IF(RTD("tos.rtd",,$A$2,"."&amp;Q$2&amp;Q$1&amp;"C"&amp;$A39)="N/A",0,RTD("tos.rtd",,$A$2,"."&amp;Q$2&amp;Q$1&amp;"C"&amp;$A39))-IF(RTD("tos.rtd",,$A$2,"."&amp;Q$2&amp;Q$1&amp;"P"&amp;$A39)="N/A",0,RTD("tos.rtd",,$A$2,"."&amp;Q$2&amp;Q$1&amp;"P"&amp;$A39))))))))))</f>
        <v>0</v>
      </c>
      <c r="R39" s="12">
        <f ca="1">IF($A$2="PREMIUM_OI",IFERROR(IF($X$1="ABS",(100*RTD("tos.rtd",,"OPEN_INT","."&amp;R$2&amp;R$1&amp;"C"&amp;$A39)*RTD("tos.rtd",,"LAST","."&amp;R$2&amp;R$1&amp;"C"&amp;$A39)+100*RTD("tos.rtd",,"OPEN_INT","."&amp;R$2&amp;R$1&amp;"P"&amp;$A39)*RTD("tos.rtd",,"LAST","."&amp;R$2&amp;R$1&amp;"P"&amp;$A39))/1000000,(100*RTD("tos.rtd",,"OPEN_INT","."&amp;R$2&amp;R$1&amp;"C"&amp;$A39)*RTD("tos.rtd",,"LAST","."&amp;R$2&amp;R$1&amp;"C"&amp;$A39)-100*RTD("tos.rtd",,"OPEN_INT","."&amp;R$2&amp;R$1&amp;"P"&amp;$A39)*RTD("tos.rtd",,"LAST","."&amp;R$2&amp;R$1&amp;"P"&amp;$A39))/1000000),0),IF($A$2="PREMIUM",IFERROR(IF($X$1="ABS",(100*RTD("tos.rtd",,"VOLUME","."&amp;R$2&amp;R$1&amp;"C"&amp;$A39)*RTD("tos.rtd",,"LAST","."&amp;R$2&amp;R$1&amp;"C"&amp;$A39)+100*RTD("tos.rtd",,"VOLUME","."&amp;R$2&amp;R$1&amp;"P"&amp;$A39)*RTD("tos.rtd",,"LAST","."&amp;R$2&amp;R$1&amp;"P"&amp;$A39))/1000000,(100*RTD("tos.rtd",,"VOLUME","."&amp;R$2&amp;R$1&amp;"C"&amp;$A39)*RTD("tos.rtd",,"LAST","."&amp;R$2&amp;R$1&amp;"C"&amp;$A39)-100*RTD("tos.rtd",,"VOLUME","."&amp;R$2&amp;R$1&amp;"P"&amp;$A39)*RTD("tos.rtd",,"LAST","."&amp;R$2&amp;R$1&amp;"P"&amp;$A39))/1000000),0),IF($A$2="DEX",IFERROR(IF($X$1="ABS",(100*RTD("tos.rtd",,"OPEN_INT","."&amp;R$2&amp;R$1&amp;"C"&amp;$A39)*RTD("tos.rtd",,"DELTA","."&amp;R$2&amp;R$1&amp;"C"&amp;$A39)+100*RTD("tos.rtd",,"OPEN_INT","."&amp;R$2&amp;R$1&amp;"P"&amp;$A39)*RTD("tos.rtd",,"DELTA","."&amp;R$2&amp;R$1&amp;"P"&amp;$A39))/1000,(100*RTD("tos.rtd",,"OPEN_INT","."&amp;R$2&amp;R$1&amp;"C"&amp;$A39)*RTD("tos.rtd",,"DELTA","."&amp;R$2&amp;R$1&amp;"C"&amp;$A39)-100*RTD("tos.rtd",,"OPEN_INT","."&amp;R$2&amp;R$1&amp;"P"&amp;$A39)*RTD("tos.rtd",,"DELTA","."&amp;R$2&amp;R$1&amp;"P"&amp;$A39))/1000),0),IF($A$2="VEX",IFERROR(IF($X$1="ABS",($A$4*$A$4*RTD("tos.rtd",,"VOLUME","."&amp;R$2&amp;R$1&amp;"C"&amp;$A39)*RTD("tos.rtd",,"GAMMA","."&amp;R$2&amp;R$1&amp;"C"&amp;$A39)+$A$4*$A$4*RTD("tos.rtd",,"VOLUME","."&amp;R$2&amp;R$1&amp;"P"&amp;$A39)*RTD("tos.rtd",,"GAMMA","."&amp;R$2&amp;R$1&amp;"P"&amp;$A39))/1000000,($A$4*$A$4*RTD("tos.rtd",,"VOLUME","."&amp;R$2&amp;R$1&amp;"C"&amp;$A39)*RTD("tos.rtd",,"GAMMA","."&amp;R$2&amp;R$1&amp;"C"&amp;$A39)-$A$4*$A$4*RTD("tos.rtd",,"VOLUME","."&amp;R$2&amp;R$1&amp;"P"&amp;$A39)*RTD("tos.rtd",,"GAMMA","."&amp;R$2&amp;R$1&amp;"P"&amp;$A39))/1000000),0),IF($A$2="GEX",IFERROR(IF($X$1="ABS",($A$4*$A$4*RTD("tos.rtd",,"OPEN_INT","."&amp;R$2&amp;R$1&amp;"C"&amp;$A39)*RTD("tos.rtd",,"GAMMA","."&amp;R$2&amp;R$1&amp;"C"&amp;$A39)+$A$4*$A$4*RTD("tos.rtd",,"OPEN_INT","."&amp;R$2&amp;R$1&amp;"P"&amp;$A39)*RTD("tos.rtd",,"GAMMA","."&amp;R$2&amp;R$1&amp;"P"&amp;$A39))/1000000,($A$4*$A$4*RTD("tos.rtd",,"OPEN_INT","."&amp;R$2&amp;R$1&amp;"C"&amp;$A39)*RTD("tos.rtd",,"GAMMA","."&amp;R$2&amp;R$1&amp;"C"&amp;$A39)-$A$4*$A$4*RTD("tos.rtd",,"OPEN_INT","."&amp;R$2&amp;R$1&amp;"P"&amp;$A39)*RTD("tos.rtd",,"GAMMA","."&amp;R$2&amp;R$1&amp;"P"&amp;$A39))/1000000),0),IF($A$2="SKEW",IFERROR(VALUE(IF(RTD("tos.rtd",,"IMPL_VOL","."&amp;R$2&amp;R$1&amp;"P"&amp;$A39)="N/A",0,RTD("tos.rtd",,"IMPL_VOL","."&amp;R$2&amp;R$1&amp;"P"&amp;$A39))),0)-IFERROR(VALUE(IF(RTD("tos.rtd",,"IMPL_VOL","."&amp;R$2&amp;R$1&amp;"C"&amp;$A39)="N/A",0,RTD("tos.rtd",,"IMPL_VOL","."&amp;R$2&amp;R$1&amp;"C"&amp;$A39))),0),IF($A$2="MAXPAIN",IF($A$4&gt;$A39,($A$4-$A39)*IF(RTD("tos.rtd",,"OPEN_INT","."&amp;R$2&amp;R$1&amp;"C"&amp;$A39)="N/A",0,RTD("tos.rtd",,"OPEN_INT","."&amp;R$2&amp;R$1&amp;"C"&amp;$A39)),0)+IF($A$4&lt;$A39,($A$5-$A$4)*IF(RTD("tos.rtd",,"OPEN_INT","."&amp;R$2&amp;R$1&amp;"P"&amp;$A39)="N/A",0,RTD("tos.rtd",,"OPEN_INT","."&amp;R$2&amp;R$1&amp;"P"&amp;$A39)),0),IF($X$1="ABS",IF(RTD("tos.rtd",,$A$2,"."&amp;R$2&amp;R$1&amp;"C"&amp;$A39)="N/A",0,RTD("tos.rtd",,$A$2,"."&amp;R$2&amp;R$1&amp;"C"&amp;$A39))+IF(RTD("tos.rtd",,$A$2,"."&amp;R$2&amp;R$1&amp;"P"&amp;$A39)="N/A",0,RTD("tos.rtd",,$A$2,"."&amp;R$2&amp;R$1&amp;"P"&amp;$A39)),IF(RTD("tos.rtd",,$A$2,"."&amp;R$2&amp;R$1&amp;"C"&amp;$A39)="N/A",0,RTD("tos.rtd",,$A$2,"."&amp;R$2&amp;R$1&amp;"C"&amp;$A39))-IF(RTD("tos.rtd",,$A$2,"."&amp;R$2&amp;R$1&amp;"P"&amp;$A39)="N/A",0,RTD("tos.rtd",,$A$2,"."&amp;R$2&amp;R$1&amp;"P"&amp;$A39))))))))))</f>
        <v>0</v>
      </c>
      <c r="S39" s="12">
        <f ca="1">IF($A$2="PREMIUM_OI",IFERROR(IF($X$1="ABS",(100*RTD("tos.rtd",,"OPEN_INT","."&amp;S$2&amp;S$1&amp;"C"&amp;$A39)*RTD("tos.rtd",,"LAST","."&amp;S$2&amp;S$1&amp;"C"&amp;$A39)+100*RTD("tos.rtd",,"OPEN_INT","."&amp;S$2&amp;S$1&amp;"P"&amp;$A39)*RTD("tos.rtd",,"LAST","."&amp;S$2&amp;S$1&amp;"P"&amp;$A39))/1000000,(100*RTD("tos.rtd",,"OPEN_INT","."&amp;S$2&amp;S$1&amp;"C"&amp;$A39)*RTD("tos.rtd",,"LAST","."&amp;S$2&amp;S$1&amp;"C"&amp;$A39)-100*RTD("tos.rtd",,"OPEN_INT","."&amp;S$2&amp;S$1&amp;"P"&amp;$A39)*RTD("tos.rtd",,"LAST","."&amp;S$2&amp;S$1&amp;"P"&amp;$A39))/1000000),0),IF($A$2="PREMIUM",IFERROR(IF($X$1="ABS",(100*RTD("tos.rtd",,"VOLUME","."&amp;S$2&amp;S$1&amp;"C"&amp;$A39)*RTD("tos.rtd",,"LAST","."&amp;S$2&amp;S$1&amp;"C"&amp;$A39)+100*RTD("tos.rtd",,"VOLUME","."&amp;S$2&amp;S$1&amp;"P"&amp;$A39)*RTD("tos.rtd",,"LAST","."&amp;S$2&amp;S$1&amp;"P"&amp;$A39))/1000000,(100*RTD("tos.rtd",,"VOLUME","."&amp;S$2&amp;S$1&amp;"C"&amp;$A39)*RTD("tos.rtd",,"LAST","."&amp;S$2&amp;S$1&amp;"C"&amp;$A39)-100*RTD("tos.rtd",,"VOLUME","."&amp;S$2&amp;S$1&amp;"P"&amp;$A39)*RTD("tos.rtd",,"LAST","."&amp;S$2&amp;S$1&amp;"P"&amp;$A39))/1000000),0),IF($A$2="DEX",IFERROR(IF($X$1="ABS",(100*RTD("tos.rtd",,"OPEN_INT","."&amp;S$2&amp;S$1&amp;"C"&amp;$A39)*RTD("tos.rtd",,"DELTA","."&amp;S$2&amp;S$1&amp;"C"&amp;$A39)+100*RTD("tos.rtd",,"OPEN_INT","."&amp;S$2&amp;S$1&amp;"P"&amp;$A39)*RTD("tos.rtd",,"DELTA","."&amp;S$2&amp;S$1&amp;"P"&amp;$A39))/1000,(100*RTD("tos.rtd",,"OPEN_INT","."&amp;S$2&amp;S$1&amp;"C"&amp;$A39)*RTD("tos.rtd",,"DELTA","."&amp;S$2&amp;S$1&amp;"C"&amp;$A39)-100*RTD("tos.rtd",,"OPEN_INT","."&amp;S$2&amp;S$1&amp;"P"&amp;$A39)*RTD("tos.rtd",,"DELTA","."&amp;S$2&amp;S$1&amp;"P"&amp;$A39))/1000),0),IF($A$2="VEX",IFERROR(IF($X$1="ABS",($A$4*$A$4*RTD("tos.rtd",,"VOLUME","."&amp;S$2&amp;S$1&amp;"C"&amp;$A39)*RTD("tos.rtd",,"GAMMA","."&amp;S$2&amp;S$1&amp;"C"&amp;$A39)+$A$4*$A$4*RTD("tos.rtd",,"VOLUME","."&amp;S$2&amp;S$1&amp;"P"&amp;$A39)*RTD("tos.rtd",,"GAMMA","."&amp;S$2&amp;S$1&amp;"P"&amp;$A39))/1000000,($A$4*$A$4*RTD("tos.rtd",,"VOLUME","."&amp;S$2&amp;S$1&amp;"C"&amp;$A39)*RTD("tos.rtd",,"GAMMA","."&amp;S$2&amp;S$1&amp;"C"&amp;$A39)-$A$4*$A$4*RTD("tos.rtd",,"VOLUME","."&amp;S$2&amp;S$1&amp;"P"&amp;$A39)*RTD("tos.rtd",,"GAMMA","."&amp;S$2&amp;S$1&amp;"P"&amp;$A39))/1000000),0),IF($A$2="GEX",IFERROR(IF($X$1="ABS",($A$4*$A$4*RTD("tos.rtd",,"OPEN_INT","."&amp;S$2&amp;S$1&amp;"C"&amp;$A39)*RTD("tos.rtd",,"GAMMA","."&amp;S$2&amp;S$1&amp;"C"&amp;$A39)+$A$4*$A$4*RTD("tos.rtd",,"OPEN_INT","."&amp;S$2&amp;S$1&amp;"P"&amp;$A39)*RTD("tos.rtd",,"GAMMA","."&amp;S$2&amp;S$1&amp;"P"&amp;$A39))/1000000,($A$4*$A$4*RTD("tos.rtd",,"OPEN_INT","."&amp;S$2&amp;S$1&amp;"C"&amp;$A39)*RTD("tos.rtd",,"GAMMA","."&amp;S$2&amp;S$1&amp;"C"&amp;$A39)-$A$4*$A$4*RTD("tos.rtd",,"OPEN_INT","."&amp;S$2&amp;S$1&amp;"P"&amp;$A39)*RTD("tos.rtd",,"GAMMA","."&amp;S$2&amp;S$1&amp;"P"&amp;$A39))/1000000),0),IF($A$2="SKEW",IFERROR(VALUE(IF(RTD("tos.rtd",,"IMPL_VOL","."&amp;S$2&amp;S$1&amp;"P"&amp;$A39)="N/A",0,RTD("tos.rtd",,"IMPL_VOL","."&amp;S$2&amp;S$1&amp;"P"&amp;$A39))),0)-IFERROR(VALUE(IF(RTD("tos.rtd",,"IMPL_VOL","."&amp;S$2&amp;S$1&amp;"C"&amp;$A39)="N/A",0,RTD("tos.rtd",,"IMPL_VOL","."&amp;S$2&amp;S$1&amp;"C"&amp;$A39))),0),IF($A$2="MAXPAIN",IF($A$4&gt;$A39,($A$4-$A39)*IF(RTD("tos.rtd",,"OPEN_INT","."&amp;S$2&amp;S$1&amp;"C"&amp;$A39)="N/A",0,RTD("tos.rtd",,"OPEN_INT","."&amp;S$2&amp;S$1&amp;"C"&amp;$A39)),0)+IF($A$4&lt;$A39,($A$5-$A$4)*IF(RTD("tos.rtd",,"OPEN_INT","."&amp;S$2&amp;S$1&amp;"P"&amp;$A39)="N/A",0,RTD("tos.rtd",,"OPEN_INT","."&amp;S$2&amp;S$1&amp;"P"&amp;$A39)),0),IF($X$1="ABS",IF(RTD("tos.rtd",,$A$2,"."&amp;S$2&amp;S$1&amp;"C"&amp;$A39)="N/A",0,RTD("tos.rtd",,$A$2,"."&amp;S$2&amp;S$1&amp;"C"&amp;$A39))+IF(RTD("tos.rtd",,$A$2,"."&amp;S$2&amp;S$1&amp;"P"&amp;$A39)="N/A",0,RTD("tos.rtd",,$A$2,"."&amp;S$2&amp;S$1&amp;"P"&amp;$A39)),IF(RTD("tos.rtd",,$A$2,"."&amp;S$2&amp;S$1&amp;"C"&amp;$A39)="N/A",0,RTD("tos.rtd",,$A$2,"."&amp;S$2&amp;S$1&amp;"C"&amp;$A39))-IF(RTD("tos.rtd",,$A$2,"."&amp;S$2&amp;S$1&amp;"P"&amp;$A39)="N/A",0,RTD("tos.rtd",,$A$2,"."&amp;S$2&amp;S$1&amp;"P"&amp;$A39))))))))))</f>
        <v>0</v>
      </c>
      <c r="T39" s="12">
        <f ca="1">IF($A$2="PREMIUM_OI",IFERROR(IF($X$1="ABS",(100*RTD("tos.rtd",,"OPEN_INT","."&amp;T$2&amp;T$1&amp;"C"&amp;$A39)*RTD("tos.rtd",,"LAST","."&amp;T$2&amp;T$1&amp;"C"&amp;$A39)+100*RTD("tos.rtd",,"OPEN_INT","."&amp;T$2&amp;T$1&amp;"P"&amp;$A39)*RTD("tos.rtd",,"LAST","."&amp;T$2&amp;T$1&amp;"P"&amp;$A39))/1000000,(100*RTD("tos.rtd",,"OPEN_INT","."&amp;T$2&amp;T$1&amp;"C"&amp;$A39)*RTD("tos.rtd",,"LAST","."&amp;T$2&amp;T$1&amp;"C"&amp;$A39)-100*RTD("tos.rtd",,"OPEN_INT","."&amp;T$2&amp;T$1&amp;"P"&amp;$A39)*RTD("tos.rtd",,"LAST","."&amp;T$2&amp;T$1&amp;"P"&amp;$A39))/1000000),0),IF($A$2="PREMIUM",IFERROR(IF($X$1="ABS",(100*RTD("tos.rtd",,"VOLUME","."&amp;T$2&amp;T$1&amp;"C"&amp;$A39)*RTD("tos.rtd",,"LAST","."&amp;T$2&amp;T$1&amp;"C"&amp;$A39)+100*RTD("tos.rtd",,"VOLUME","."&amp;T$2&amp;T$1&amp;"P"&amp;$A39)*RTD("tos.rtd",,"LAST","."&amp;T$2&amp;T$1&amp;"P"&amp;$A39))/1000000,(100*RTD("tos.rtd",,"VOLUME","."&amp;T$2&amp;T$1&amp;"C"&amp;$A39)*RTD("tos.rtd",,"LAST","."&amp;T$2&amp;T$1&amp;"C"&amp;$A39)-100*RTD("tos.rtd",,"VOLUME","."&amp;T$2&amp;T$1&amp;"P"&amp;$A39)*RTD("tos.rtd",,"LAST","."&amp;T$2&amp;T$1&amp;"P"&amp;$A39))/1000000),0),IF($A$2="DEX",IFERROR(IF($X$1="ABS",(100*RTD("tos.rtd",,"OPEN_INT","."&amp;T$2&amp;T$1&amp;"C"&amp;$A39)*RTD("tos.rtd",,"DELTA","."&amp;T$2&amp;T$1&amp;"C"&amp;$A39)+100*RTD("tos.rtd",,"OPEN_INT","."&amp;T$2&amp;T$1&amp;"P"&amp;$A39)*RTD("tos.rtd",,"DELTA","."&amp;T$2&amp;T$1&amp;"P"&amp;$A39))/1000,(100*RTD("tos.rtd",,"OPEN_INT","."&amp;T$2&amp;T$1&amp;"C"&amp;$A39)*RTD("tos.rtd",,"DELTA","."&amp;T$2&amp;T$1&amp;"C"&amp;$A39)-100*RTD("tos.rtd",,"OPEN_INT","."&amp;T$2&amp;T$1&amp;"P"&amp;$A39)*RTD("tos.rtd",,"DELTA","."&amp;T$2&amp;T$1&amp;"P"&amp;$A39))/1000),0),IF($A$2="VEX",IFERROR(IF($X$1="ABS",($A$4*$A$4*RTD("tos.rtd",,"VOLUME","."&amp;T$2&amp;T$1&amp;"C"&amp;$A39)*RTD("tos.rtd",,"GAMMA","."&amp;T$2&amp;T$1&amp;"C"&amp;$A39)+$A$4*$A$4*RTD("tos.rtd",,"VOLUME","."&amp;T$2&amp;T$1&amp;"P"&amp;$A39)*RTD("tos.rtd",,"GAMMA","."&amp;T$2&amp;T$1&amp;"P"&amp;$A39))/1000000,($A$4*$A$4*RTD("tos.rtd",,"VOLUME","."&amp;T$2&amp;T$1&amp;"C"&amp;$A39)*RTD("tos.rtd",,"GAMMA","."&amp;T$2&amp;T$1&amp;"C"&amp;$A39)-$A$4*$A$4*RTD("tos.rtd",,"VOLUME","."&amp;T$2&amp;T$1&amp;"P"&amp;$A39)*RTD("tos.rtd",,"GAMMA","."&amp;T$2&amp;T$1&amp;"P"&amp;$A39))/1000000),0),IF($A$2="GEX",IFERROR(IF($X$1="ABS",($A$4*$A$4*RTD("tos.rtd",,"OPEN_INT","."&amp;T$2&amp;T$1&amp;"C"&amp;$A39)*RTD("tos.rtd",,"GAMMA","."&amp;T$2&amp;T$1&amp;"C"&amp;$A39)+$A$4*$A$4*RTD("tos.rtd",,"OPEN_INT","."&amp;T$2&amp;T$1&amp;"P"&amp;$A39)*RTD("tos.rtd",,"GAMMA","."&amp;T$2&amp;T$1&amp;"P"&amp;$A39))/1000000,($A$4*$A$4*RTD("tos.rtd",,"OPEN_INT","."&amp;T$2&amp;T$1&amp;"C"&amp;$A39)*RTD("tos.rtd",,"GAMMA","."&amp;T$2&amp;T$1&amp;"C"&amp;$A39)-$A$4*$A$4*RTD("tos.rtd",,"OPEN_INT","."&amp;T$2&amp;T$1&amp;"P"&amp;$A39)*RTD("tos.rtd",,"GAMMA","."&amp;T$2&amp;T$1&amp;"P"&amp;$A39))/1000000),0),IF($A$2="SKEW",IFERROR(VALUE(IF(RTD("tos.rtd",,"IMPL_VOL","."&amp;T$2&amp;T$1&amp;"P"&amp;$A39)="N/A",0,RTD("tos.rtd",,"IMPL_VOL","."&amp;T$2&amp;T$1&amp;"P"&amp;$A39))),0)-IFERROR(VALUE(IF(RTD("tos.rtd",,"IMPL_VOL","."&amp;T$2&amp;T$1&amp;"C"&amp;$A39)="N/A",0,RTD("tos.rtd",,"IMPL_VOL","."&amp;T$2&amp;T$1&amp;"C"&amp;$A39))),0),IF($A$2="MAXPAIN",IF($A$4&gt;$A39,($A$4-$A39)*IF(RTD("tos.rtd",,"OPEN_INT","."&amp;T$2&amp;T$1&amp;"C"&amp;$A39)="N/A",0,RTD("tos.rtd",,"OPEN_INT","."&amp;T$2&amp;T$1&amp;"C"&amp;$A39)),0)+IF($A$4&lt;$A39,($A$5-$A$4)*IF(RTD("tos.rtd",,"OPEN_INT","."&amp;T$2&amp;T$1&amp;"P"&amp;$A39)="N/A",0,RTD("tos.rtd",,"OPEN_INT","."&amp;T$2&amp;T$1&amp;"P"&amp;$A39)),0),IF($X$1="ABS",IF(RTD("tos.rtd",,$A$2,"."&amp;T$2&amp;T$1&amp;"C"&amp;$A39)="N/A",0,RTD("tos.rtd",,$A$2,"."&amp;T$2&amp;T$1&amp;"C"&amp;$A39))+IF(RTD("tos.rtd",,$A$2,"."&amp;T$2&amp;T$1&amp;"P"&amp;$A39)="N/A",0,RTD("tos.rtd",,$A$2,"."&amp;T$2&amp;T$1&amp;"P"&amp;$A39)),IF(RTD("tos.rtd",,$A$2,"."&amp;T$2&amp;T$1&amp;"C"&amp;$A39)="N/A",0,RTD("tos.rtd",,$A$2,"."&amp;T$2&amp;T$1&amp;"C"&amp;$A39))-IF(RTD("tos.rtd",,$A$2,"."&amp;T$2&amp;T$1&amp;"P"&amp;$A39)="N/A",0,RTD("tos.rtd",,$A$2,"."&amp;T$2&amp;T$1&amp;"P"&amp;$A39))))))))))</f>
        <v>0</v>
      </c>
      <c r="U39" s="12">
        <f ca="1">IF($A$2="PREMIUM_OI",IFERROR(IF($X$1="ABS",(100*RTD("tos.rtd",,"OPEN_INT","."&amp;U$2&amp;U$1&amp;"C"&amp;$A39)*RTD("tos.rtd",,"LAST","."&amp;U$2&amp;U$1&amp;"C"&amp;$A39)+100*RTD("tos.rtd",,"OPEN_INT","."&amp;U$2&amp;U$1&amp;"P"&amp;$A39)*RTD("tos.rtd",,"LAST","."&amp;U$2&amp;U$1&amp;"P"&amp;$A39))/1000000,(100*RTD("tos.rtd",,"OPEN_INT","."&amp;U$2&amp;U$1&amp;"C"&amp;$A39)*RTD("tos.rtd",,"LAST","."&amp;U$2&amp;U$1&amp;"C"&amp;$A39)-100*RTD("tos.rtd",,"OPEN_INT","."&amp;U$2&amp;U$1&amp;"P"&amp;$A39)*RTD("tos.rtd",,"LAST","."&amp;U$2&amp;U$1&amp;"P"&amp;$A39))/1000000),0),IF($A$2="PREMIUM",IFERROR(IF($X$1="ABS",(100*RTD("tos.rtd",,"VOLUME","."&amp;U$2&amp;U$1&amp;"C"&amp;$A39)*RTD("tos.rtd",,"LAST","."&amp;U$2&amp;U$1&amp;"C"&amp;$A39)+100*RTD("tos.rtd",,"VOLUME","."&amp;U$2&amp;U$1&amp;"P"&amp;$A39)*RTD("tos.rtd",,"LAST","."&amp;U$2&amp;U$1&amp;"P"&amp;$A39))/1000000,(100*RTD("tos.rtd",,"VOLUME","."&amp;U$2&amp;U$1&amp;"C"&amp;$A39)*RTD("tos.rtd",,"LAST","."&amp;U$2&amp;U$1&amp;"C"&amp;$A39)-100*RTD("tos.rtd",,"VOLUME","."&amp;U$2&amp;U$1&amp;"P"&amp;$A39)*RTD("tos.rtd",,"LAST","."&amp;U$2&amp;U$1&amp;"P"&amp;$A39))/1000000),0),IF($A$2="DEX",IFERROR(IF($X$1="ABS",(100*RTD("tos.rtd",,"OPEN_INT","."&amp;U$2&amp;U$1&amp;"C"&amp;$A39)*RTD("tos.rtd",,"DELTA","."&amp;U$2&amp;U$1&amp;"C"&amp;$A39)+100*RTD("tos.rtd",,"OPEN_INT","."&amp;U$2&amp;U$1&amp;"P"&amp;$A39)*RTD("tos.rtd",,"DELTA","."&amp;U$2&amp;U$1&amp;"P"&amp;$A39))/1000,(100*RTD("tos.rtd",,"OPEN_INT","."&amp;U$2&amp;U$1&amp;"C"&amp;$A39)*RTD("tos.rtd",,"DELTA","."&amp;U$2&amp;U$1&amp;"C"&amp;$A39)-100*RTD("tos.rtd",,"OPEN_INT","."&amp;U$2&amp;U$1&amp;"P"&amp;$A39)*RTD("tos.rtd",,"DELTA","."&amp;U$2&amp;U$1&amp;"P"&amp;$A39))/1000),0),IF($A$2="VEX",IFERROR(IF($X$1="ABS",($A$4*$A$4*RTD("tos.rtd",,"VOLUME","."&amp;U$2&amp;U$1&amp;"C"&amp;$A39)*RTD("tos.rtd",,"GAMMA","."&amp;U$2&amp;U$1&amp;"C"&amp;$A39)+$A$4*$A$4*RTD("tos.rtd",,"VOLUME","."&amp;U$2&amp;U$1&amp;"P"&amp;$A39)*RTD("tos.rtd",,"GAMMA","."&amp;U$2&amp;U$1&amp;"P"&amp;$A39))/1000000,($A$4*$A$4*RTD("tos.rtd",,"VOLUME","."&amp;U$2&amp;U$1&amp;"C"&amp;$A39)*RTD("tos.rtd",,"GAMMA","."&amp;U$2&amp;U$1&amp;"C"&amp;$A39)-$A$4*$A$4*RTD("tos.rtd",,"VOLUME","."&amp;U$2&amp;U$1&amp;"P"&amp;$A39)*RTD("tos.rtd",,"GAMMA","."&amp;U$2&amp;U$1&amp;"P"&amp;$A39))/1000000),0),IF($A$2="GEX",IFERROR(IF($X$1="ABS",($A$4*$A$4*RTD("tos.rtd",,"OPEN_INT","."&amp;U$2&amp;U$1&amp;"C"&amp;$A39)*RTD("tos.rtd",,"GAMMA","."&amp;U$2&amp;U$1&amp;"C"&amp;$A39)+$A$4*$A$4*RTD("tos.rtd",,"OPEN_INT","."&amp;U$2&amp;U$1&amp;"P"&amp;$A39)*RTD("tos.rtd",,"GAMMA","."&amp;U$2&amp;U$1&amp;"P"&amp;$A39))/1000000,($A$4*$A$4*RTD("tos.rtd",,"OPEN_INT","."&amp;U$2&amp;U$1&amp;"C"&amp;$A39)*RTD("tos.rtd",,"GAMMA","."&amp;U$2&amp;U$1&amp;"C"&amp;$A39)-$A$4*$A$4*RTD("tos.rtd",,"OPEN_INT","."&amp;U$2&amp;U$1&amp;"P"&amp;$A39)*RTD("tos.rtd",,"GAMMA","."&amp;U$2&amp;U$1&amp;"P"&amp;$A39))/1000000),0),IF($A$2="SKEW",IFERROR(VALUE(IF(RTD("tos.rtd",,"IMPL_VOL","."&amp;U$2&amp;U$1&amp;"P"&amp;$A39)="N/A",0,RTD("tos.rtd",,"IMPL_VOL","."&amp;U$2&amp;U$1&amp;"P"&amp;$A39))),0)-IFERROR(VALUE(IF(RTD("tos.rtd",,"IMPL_VOL","."&amp;U$2&amp;U$1&amp;"C"&amp;$A39)="N/A",0,RTD("tos.rtd",,"IMPL_VOL","."&amp;U$2&amp;U$1&amp;"C"&amp;$A39))),0),IF($A$2="MAXPAIN",IF($A$4&gt;$A39,($A$4-$A39)*IF(RTD("tos.rtd",,"OPEN_INT","."&amp;U$2&amp;U$1&amp;"C"&amp;$A39)="N/A",0,RTD("tos.rtd",,"OPEN_INT","."&amp;U$2&amp;U$1&amp;"C"&amp;$A39)),0)+IF($A$4&lt;$A39,($A$5-$A$4)*IF(RTD("tos.rtd",,"OPEN_INT","."&amp;U$2&amp;U$1&amp;"P"&amp;$A39)="N/A",0,RTD("tos.rtd",,"OPEN_INT","."&amp;U$2&amp;U$1&amp;"P"&amp;$A39)),0),IF($X$1="ABS",IF(RTD("tos.rtd",,$A$2,"."&amp;U$2&amp;U$1&amp;"C"&amp;$A39)="N/A",0,RTD("tos.rtd",,$A$2,"."&amp;U$2&amp;U$1&amp;"C"&amp;$A39))+IF(RTD("tos.rtd",,$A$2,"."&amp;U$2&amp;U$1&amp;"P"&amp;$A39)="N/A",0,RTD("tos.rtd",,$A$2,"."&amp;U$2&amp;U$1&amp;"P"&amp;$A39)),IF(RTD("tos.rtd",,$A$2,"."&amp;U$2&amp;U$1&amp;"C"&amp;$A39)="N/A",0,RTD("tos.rtd",,$A$2,"."&amp;U$2&amp;U$1&amp;"C"&amp;$A39))-IF(RTD("tos.rtd",,$A$2,"."&amp;U$2&amp;U$1&amp;"P"&amp;$A39)="N/A",0,RTD("tos.rtd",,$A$2,"."&amp;U$2&amp;U$1&amp;"P"&amp;$A39))))))))))</f>
        <v>0</v>
      </c>
      <c r="V39" s="12">
        <f ca="1">IF($A$2="PREMIUM_OI",IFERROR(IF($X$1="ABS",(100*RTD("tos.rtd",,"OPEN_INT","."&amp;V$2&amp;V$1&amp;"C"&amp;$A39)*RTD("tos.rtd",,"LAST","."&amp;V$2&amp;V$1&amp;"C"&amp;$A39)+100*RTD("tos.rtd",,"OPEN_INT","."&amp;V$2&amp;V$1&amp;"P"&amp;$A39)*RTD("tos.rtd",,"LAST","."&amp;V$2&amp;V$1&amp;"P"&amp;$A39))/1000000,(100*RTD("tos.rtd",,"OPEN_INT","."&amp;V$2&amp;V$1&amp;"C"&amp;$A39)*RTD("tos.rtd",,"LAST","."&amp;V$2&amp;V$1&amp;"C"&amp;$A39)-100*RTD("tos.rtd",,"OPEN_INT","."&amp;V$2&amp;V$1&amp;"P"&amp;$A39)*RTD("tos.rtd",,"LAST","."&amp;V$2&amp;V$1&amp;"P"&amp;$A39))/1000000),0),IF($A$2="PREMIUM",IFERROR(IF($X$1="ABS",(100*RTD("tos.rtd",,"VOLUME","."&amp;V$2&amp;V$1&amp;"C"&amp;$A39)*RTD("tos.rtd",,"LAST","."&amp;V$2&amp;V$1&amp;"C"&amp;$A39)+100*RTD("tos.rtd",,"VOLUME","."&amp;V$2&amp;V$1&amp;"P"&amp;$A39)*RTD("tos.rtd",,"LAST","."&amp;V$2&amp;V$1&amp;"P"&amp;$A39))/1000000,(100*RTD("tos.rtd",,"VOLUME","."&amp;V$2&amp;V$1&amp;"C"&amp;$A39)*RTD("tos.rtd",,"LAST","."&amp;V$2&amp;V$1&amp;"C"&amp;$A39)-100*RTD("tos.rtd",,"VOLUME","."&amp;V$2&amp;V$1&amp;"P"&amp;$A39)*RTD("tos.rtd",,"LAST","."&amp;V$2&amp;V$1&amp;"P"&amp;$A39))/1000000),0),IF($A$2="DEX",IFERROR(IF($X$1="ABS",(100*RTD("tos.rtd",,"OPEN_INT","."&amp;V$2&amp;V$1&amp;"C"&amp;$A39)*RTD("tos.rtd",,"DELTA","."&amp;V$2&amp;V$1&amp;"C"&amp;$A39)+100*RTD("tos.rtd",,"OPEN_INT","."&amp;V$2&amp;V$1&amp;"P"&amp;$A39)*RTD("tos.rtd",,"DELTA","."&amp;V$2&amp;V$1&amp;"P"&amp;$A39))/1000,(100*RTD("tos.rtd",,"OPEN_INT","."&amp;V$2&amp;V$1&amp;"C"&amp;$A39)*RTD("tos.rtd",,"DELTA","."&amp;V$2&amp;V$1&amp;"C"&amp;$A39)-100*RTD("tos.rtd",,"OPEN_INT","."&amp;V$2&amp;V$1&amp;"P"&amp;$A39)*RTD("tos.rtd",,"DELTA","."&amp;V$2&amp;V$1&amp;"P"&amp;$A39))/1000),0),IF($A$2="VEX",IFERROR(IF($X$1="ABS",($A$4*$A$4*RTD("tos.rtd",,"VOLUME","."&amp;V$2&amp;V$1&amp;"C"&amp;$A39)*RTD("tos.rtd",,"GAMMA","."&amp;V$2&amp;V$1&amp;"C"&amp;$A39)+$A$4*$A$4*RTD("tos.rtd",,"VOLUME","."&amp;V$2&amp;V$1&amp;"P"&amp;$A39)*RTD("tos.rtd",,"GAMMA","."&amp;V$2&amp;V$1&amp;"P"&amp;$A39))/1000000,($A$4*$A$4*RTD("tos.rtd",,"VOLUME","."&amp;V$2&amp;V$1&amp;"C"&amp;$A39)*RTD("tos.rtd",,"GAMMA","."&amp;V$2&amp;V$1&amp;"C"&amp;$A39)-$A$4*$A$4*RTD("tos.rtd",,"VOLUME","."&amp;V$2&amp;V$1&amp;"P"&amp;$A39)*RTD("tos.rtd",,"GAMMA","."&amp;V$2&amp;V$1&amp;"P"&amp;$A39))/1000000),0),IF($A$2="GEX",IFERROR(IF($X$1="ABS",($A$4*$A$4*RTD("tos.rtd",,"OPEN_INT","."&amp;V$2&amp;V$1&amp;"C"&amp;$A39)*RTD("tos.rtd",,"GAMMA","."&amp;V$2&amp;V$1&amp;"C"&amp;$A39)+$A$4*$A$4*RTD("tos.rtd",,"OPEN_INT","."&amp;V$2&amp;V$1&amp;"P"&amp;$A39)*RTD("tos.rtd",,"GAMMA","."&amp;V$2&amp;V$1&amp;"P"&amp;$A39))/1000000,($A$4*$A$4*RTD("tos.rtd",,"OPEN_INT","."&amp;V$2&amp;V$1&amp;"C"&amp;$A39)*RTD("tos.rtd",,"GAMMA","."&amp;V$2&amp;V$1&amp;"C"&amp;$A39)-$A$4*$A$4*RTD("tos.rtd",,"OPEN_INT","."&amp;V$2&amp;V$1&amp;"P"&amp;$A39)*RTD("tos.rtd",,"GAMMA","."&amp;V$2&amp;V$1&amp;"P"&amp;$A39))/1000000),0),IF($A$2="SKEW",IFERROR(VALUE(IF(RTD("tos.rtd",,"IMPL_VOL","."&amp;V$2&amp;V$1&amp;"P"&amp;$A39)="N/A",0,RTD("tos.rtd",,"IMPL_VOL","."&amp;V$2&amp;V$1&amp;"P"&amp;$A39))),0)-IFERROR(VALUE(IF(RTD("tos.rtd",,"IMPL_VOL","."&amp;V$2&amp;V$1&amp;"C"&amp;$A39)="N/A",0,RTD("tos.rtd",,"IMPL_VOL","."&amp;V$2&amp;V$1&amp;"C"&amp;$A39))),0),IF($A$2="MAXPAIN",IF($A$4&gt;$A39,($A$4-$A39)*IF(RTD("tos.rtd",,"OPEN_INT","."&amp;V$2&amp;V$1&amp;"C"&amp;$A39)="N/A",0,RTD("tos.rtd",,"OPEN_INT","."&amp;V$2&amp;V$1&amp;"C"&amp;$A39)),0)+IF($A$4&lt;$A39,($A$5-$A$4)*IF(RTD("tos.rtd",,"OPEN_INT","."&amp;V$2&amp;V$1&amp;"P"&amp;$A39)="N/A",0,RTD("tos.rtd",,"OPEN_INT","."&amp;V$2&amp;V$1&amp;"P"&amp;$A39)),0),IF($X$1="ABS",IF(RTD("tos.rtd",,$A$2,"."&amp;V$2&amp;V$1&amp;"C"&amp;$A39)="N/A",0,RTD("tos.rtd",,$A$2,"."&amp;V$2&amp;V$1&amp;"C"&amp;$A39))+IF(RTD("tos.rtd",,$A$2,"."&amp;V$2&amp;V$1&amp;"P"&amp;$A39)="N/A",0,RTD("tos.rtd",,$A$2,"."&amp;V$2&amp;V$1&amp;"P"&amp;$A39)),IF(RTD("tos.rtd",,$A$2,"."&amp;V$2&amp;V$1&amp;"C"&amp;$A39)="N/A",0,RTD("tos.rtd",,$A$2,"."&amp;V$2&amp;V$1&amp;"C"&amp;$A39))-IF(RTD("tos.rtd",,$A$2,"."&amp;V$2&amp;V$1&amp;"P"&amp;$A39)="N/A",0,RTD("tos.rtd",,$A$2,"."&amp;V$2&amp;V$1&amp;"P"&amp;$A39))))))))))</f>
        <v>0</v>
      </c>
      <c r="W39" s="54">
        <f ca="1">IF($A$2="PREMIUM_OI",IFERROR(IF($X$1="ABS",(100*RTD("tos.rtd",,"OPEN_INT","."&amp;W$2&amp;W$1&amp;"C"&amp;$A39)*RTD("tos.rtd",,"LAST","."&amp;W$2&amp;W$1&amp;"C"&amp;$A39)+100*RTD("tos.rtd",,"OPEN_INT","."&amp;W$2&amp;W$1&amp;"P"&amp;$A39)*RTD("tos.rtd",,"LAST","."&amp;W$2&amp;W$1&amp;"P"&amp;$A39))/1000000,(100*RTD("tos.rtd",,"OPEN_INT","."&amp;W$2&amp;W$1&amp;"C"&amp;$A39)*RTD("tos.rtd",,"LAST","."&amp;W$2&amp;W$1&amp;"C"&amp;$A39)-100*RTD("tos.rtd",,"OPEN_INT","."&amp;W$2&amp;W$1&amp;"P"&amp;$A39)*RTD("tos.rtd",,"LAST","."&amp;W$2&amp;W$1&amp;"P"&amp;$A39))/1000000),0),IF($A$2="PREMIUM",IFERROR(IF($X$1="ABS",(100*RTD("tos.rtd",,"VOLUME","."&amp;W$2&amp;W$1&amp;"C"&amp;$A39)*RTD("tos.rtd",,"LAST","."&amp;W$2&amp;W$1&amp;"C"&amp;$A39)+100*RTD("tos.rtd",,"VOLUME","."&amp;W$2&amp;W$1&amp;"P"&amp;$A39)*RTD("tos.rtd",,"LAST","."&amp;W$2&amp;W$1&amp;"P"&amp;$A39))/1000000,(100*RTD("tos.rtd",,"VOLUME","."&amp;W$2&amp;W$1&amp;"C"&amp;$A39)*RTD("tos.rtd",,"LAST","."&amp;W$2&amp;W$1&amp;"C"&amp;$A39)-100*RTD("tos.rtd",,"VOLUME","."&amp;W$2&amp;W$1&amp;"P"&amp;$A39)*RTD("tos.rtd",,"LAST","."&amp;W$2&amp;W$1&amp;"P"&amp;$A39))/1000000),0),IF($A$2="DEX",IFERROR(IF($X$1="ABS",(100*RTD("tos.rtd",,"OPEN_INT","."&amp;W$2&amp;W$1&amp;"C"&amp;$A39)*RTD("tos.rtd",,"DELTA","."&amp;W$2&amp;W$1&amp;"C"&amp;$A39)+100*RTD("tos.rtd",,"OPEN_INT","."&amp;W$2&amp;W$1&amp;"P"&amp;$A39)*RTD("tos.rtd",,"DELTA","."&amp;W$2&amp;W$1&amp;"P"&amp;$A39))/1000,(100*RTD("tos.rtd",,"OPEN_INT","."&amp;W$2&amp;W$1&amp;"C"&amp;$A39)*RTD("tos.rtd",,"DELTA","."&amp;W$2&amp;W$1&amp;"C"&amp;$A39)-100*RTD("tos.rtd",,"OPEN_INT","."&amp;W$2&amp;W$1&amp;"P"&amp;$A39)*RTD("tos.rtd",,"DELTA","."&amp;W$2&amp;W$1&amp;"P"&amp;$A39))/1000),0),IF($A$2="VEX",IFERROR(IF($X$1="ABS",($A$4*$A$4*RTD("tos.rtd",,"VOLUME","."&amp;W$2&amp;W$1&amp;"C"&amp;$A39)*RTD("tos.rtd",,"GAMMA","."&amp;W$2&amp;W$1&amp;"C"&amp;$A39)+$A$4*$A$4*RTD("tos.rtd",,"VOLUME","."&amp;W$2&amp;W$1&amp;"P"&amp;$A39)*RTD("tos.rtd",,"GAMMA","."&amp;W$2&amp;W$1&amp;"P"&amp;$A39))/1000000,($A$4*$A$4*RTD("tos.rtd",,"VOLUME","."&amp;W$2&amp;W$1&amp;"C"&amp;$A39)*RTD("tos.rtd",,"GAMMA","."&amp;W$2&amp;W$1&amp;"C"&amp;$A39)-$A$4*$A$4*RTD("tos.rtd",,"VOLUME","."&amp;W$2&amp;W$1&amp;"P"&amp;$A39)*RTD("tos.rtd",,"GAMMA","."&amp;W$2&amp;W$1&amp;"P"&amp;$A39))/1000000),0),IF($A$2="GEX",IFERROR(IF($X$1="ABS",($A$4*$A$4*RTD("tos.rtd",,"OPEN_INT","."&amp;W$2&amp;W$1&amp;"C"&amp;$A39)*RTD("tos.rtd",,"GAMMA","."&amp;W$2&amp;W$1&amp;"C"&amp;$A39)+$A$4*$A$4*RTD("tos.rtd",,"OPEN_INT","."&amp;W$2&amp;W$1&amp;"P"&amp;$A39)*RTD("tos.rtd",,"GAMMA","."&amp;W$2&amp;W$1&amp;"P"&amp;$A39))/1000000,($A$4*$A$4*RTD("tos.rtd",,"OPEN_INT","."&amp;W$2&amp;W$1&amp;"C"&amp;$A39)*RTD("tos.rtd",,"GAMMA","."&amp;W$2&amp;W$1&amp;"C"&amp;$A39)-$A$4*$A$4*RTD("tos.rtd",,"OPEN_INT","."&amp;W$2&amp;W$1&amp;"P"&amp;$A39)*RTD("tos.rtd",,"GAMMA","."&amp;W$2&amp;W$1&amp;"P"&amp;$A39))/1000000),0),IF($A$2="SKEW",IFERROR(VALUE(IF(RTD("tos.rtd",,"IMPL_VOL","."&amp;W$2&amp;W$1&amp;"P"&amp;$A39)="N/A",0,RTD("tos.rtd",,"IMPL_VOL","."&amp;W$2&amp;W$1&amp;"P"&amp;$A39))),0)-IFERROR(VALUE(IF(RTD("tos.rtd",,"IMPL_VOL","."&amp;W$2&amp;W$1&amp;"C"&amp;$A39)="N/A",0,RTD("tos.rtd",,"IMPL_VOL","."&amp;W$2&amp;W$1&amp;"C"&amp;$A39))),0),IF($A$2="MAXPAIN",IF($A$4&gt;$A39,($A$4-$A39)*IF(RTD("tos.rtd",,"OPEN_INT","."&amp;W$2&amp;W$1&amp;"C"&amp;$A39)="N/A",0,RTD("tos.rtd",,"OPEN_INT","."&amp;W$2&amp;W$1&amp;"C"&amp;$A39)),0)+IF($A$4&lt;$A39,($A$5-$A$4)*IF(RTD("tos.rtd",,"OPEN_INT","."&amp;W$2&amp;W$1&amp;"P"&amp;$A39)="N/A",0,RTD("tos.rtd",,"OPEN_INT","."&amp;W$2&amp;W$1&amp;"P"&amp;$A39)),0),IF($X$1="ABS",IF(RTD("tos.rtd",,$A$2,"."&amp;W$2&amp;W$1&amp;"C"&amp;$A39)="N/A",0,RTD("tos.rtd",,$A$2,"."&amp;W$2&amp;W$1&amp;"C"&amp;$A39))+IF(RTD("tos.rtd",,$A$2,"."&amp;W$2&amp;W$1&amp;"P"&amp;$A39)="N/A",0,RTD("tos.rtd",,$A$2,"."&amp;W$2&amp;W$1&amp;"P"&amp;$A39)),IF(RTD("tos.rtd",,$A$2,"."&amp;W$2&amp;W$1&amp;"C"&amp;$A39)="N/A",0,RTD("tos.rtd",,$A$2,"."&amp;W$2&amp;W$1&amp;"C"&amp;$A39))-IF(RTD("tos.rtd",,$A$2,"."&amp;W$2&amp;W$1&amp;"P"&amp;$A39)="N/A",0,RTD("tos.rtd",,$A$2,"."&amp;W$2&amp;W$1&amp;"P"&amp;$A39))))))))))</f>
        <v>0</v>
      </c>
      <c r="X39" s="57">
        <f t="shared" ca="1" si="8"/>
        <v>0</v>
      </c>
      <c r="Y39" s="27">
        <f t="shared" ca="1" si="9"/>
        <v>0</v>
      </c>
      <c r="Z39" s="27">
        <f ca="1">+'OI-VOL'!Y39</f>
        <v>-18066</v>
      </c>
      <c r="AA39" s="27" t="b">
        <f t="shared" ca="1" si="10"/>
        <v>0</v>
      </c>
      <c r="AB39" s="27">
        <f t="shared" si="11"/>
        <v>17739700</v>
      </c>
      <c r="AC39" s="18">
        <f>MAX(0, $A39-AC$4)*IF(RTD("tos.rtd",,"OPEN_INT","."&amp;$AB$3&amp;$AB$4&amp;"C"&amp;AC$4)="N/A",0,RTD("tos.rtd",,"OPEN_INT","."&amp;$AB$3&amp;$AB$4&amp;"C"&amp;AC$4))*100 + MAX(0, AC$4-$A39)*IF(RTD("tos.rtd",,"OPEN_INT","."&amp;$AB$3&amp;$AB$4&amp;"P"&amp;AC$4)="N/A",0,RTD("tos.rtd",,"OPEN_INT","."&amp;$AB$3&amp;$AB$4&amp;"P"&amp;AC$4))*100</f>
        <v>0</v>
      </c>
      <c r="AD39" s="18">
        <f>MAX(0, $A39-AD$4)*IF(RTD("tos.rtd",,"OPEN_INT","."&amp;$AB$3&amp;$AB$4&amp;"C"&amp;AD$4)="N/A",0,RTD("tos.rtd",,"OPEN_INT","."&amp;$AB$3&amp;$AB$4&amp;"C"&amp;AD$4))*100 + MAX(0, AD$4-$A39)*IF(RTD("tos.rtd",,"OPEN_INT","."&amp;$AB$3&amp;$AB$4&amp;"P"&amp;AD$4)="N/A",0,RTD("tos.rtd",,"OPEN_INT","."&amp;$AB$3&amp;$AB$4&amp;"P"&amp;AD$4))*100</f>
        <v>0</v>
      </c>
      <c r="AE39" s="18">
        <f>MAX(0, $A39-AE$4)*IF(RTD("tos.rtd",,"OPEN_INT","."&amp;$AB$3&amp;$AB$4&amp;"C"&amp;AE$4)="N/A",0,RTD("tos.rtd",,"OPEN_INT","."&amp;$AB$3&amp;$AB$4&amp;"C"&amp;AE$4))*100 + MAX(0, AE$4-$A39)*IF(RTD("tos.rtd",,"OPEN_INT","."&amp;$AB$3&amp;$AB$4&amp;"P"&amp;AE$4)="N/A",0,RTD("tos.rtd",,"OPEN_INT","."&amp;$AB$3&amp;$AB$4&amp;"P"&amp;AE$4))*100</f>
        <v>0</v>
      </c>
      <c r="AF39" s="18">
        <f>MAX(0, $A39-AF$4)*IF(RTD("tos.rtd",,"OPEN_INT","."&amp;$AB$3&amp;$AB$4&amp;"C"&amp;AF$4)="N/A",0,RTD("tos.rtd",,"OPEN_INT","."&amp;$AB$3&amp;$AB$4&amp;"C"&amp;AF$4))*100 + MAX(0, AF$4-$A39)*IF(RTD("tos.rtd",,"OPEN_INT","."&amp;$AB$3&amp;$AB$4&amp;"P"&amp;AF$4)="N/A",0,RTD("tos.rtd",,"OPEN_INT","."&amp;$AB$3&amp;$AB$4&amp;"P"&amp;AF$4))*100</f>
        <v>0</v>
      </c>
      <c r="AG39" s="18">
        <f>MAX(0, $A39-AG$4)*IF(RTD("tos.rtd",,"OPEN_INT","."&amp;$AB$3&amp;$AB$4&amp;"C"&amp;AG$4)="N/A",0,RTD("tos.rtd",,"OPEN_INT","."&amp;$AB$3&amp;$AB$4&amp;"C"&amp;AG$4))*100 + MAX(0, AG$4-$A39)*IF(RTD("tos.rtd",,"OPEN_INT","."&amp;$AB$3&amp;$AB$4&amp;"P"&amp;AG$4)="N/A",0,RTD("tos.rtd",,"OPEN_INT","."&amp;$AB$3&amp;$AB$4&amp;"P"&amp;AG$4))*100</f>
        <v>0</v>
      </c>
      <c r="AH39" s="18">
        <f>MAX(0, $A39-AH$4)*IF(RTD("tos.rtd",,"OPEN_INT","."&amp;$AB$3&amp;$AB$4&amp;"C"&amp;AH$4)="N/A",0,RTD("tos.rtd",,"OPEN_INT","."&amp;$AB$3&amp;$AB$4&amp;"C"&amp;AH$4))*100 + MAX(0, AH$4-$A39)*IF(RTD("tos.rtd",,"OPEN_INT","."&amp;$AB$3&amp;$AB$4&amp;"P"&amp;AH$4)="N/A",0,RTD("tos.rtd",,"OPEN_INT","."&amp;$AB$3&amp;$AB$4&amp;"P"&amp;AH$4))*100</f>
        <v>0</v>
      </c>
      <c r="AI39" s="18">
        <f>MAX(0, $A39-AI$4)*IF(RTD("tos.rtd",,"OPEN_INT","."&amp;$AB$3&amp;$AB$4&amp;"C"&amp;AI$4)="N/A",0,RTD("tos.rtd",,"OPEN_INT","."&amp;$AB$3&amp;$AB$4&amp;"C"&amp;AI$4))*100 + MAX(0, AI$4-$A39)*IF(RTD("tos.rtd",,"OPEN_INT","."&amp;$AB$3&amp;$AB$4&amp;"P"&amp;AI$4)="N/A",0,RTD("tos.rtd",,"OPEN_INT","."&amp;$AB$3&amp;$AB$4&amp;"P"&amp;AI$4))*100</f>
        <v>0</v>
      </c>
      <c r="AJ39" s="18">
        <f>MAX(0, $A39-AJ$4)*IF(RTD("tos.rtd",,"OPEN_INT","."&amp;$AB$3&amp;$AB$4&amp;"C"&amp;AJ$4)="N/A",0,RTD("tos.rtd",,"OPEN_INT","."&amp;$AB$3&amp;$AB$4&amp;"C"&amp;AJ$4))*100 + MAX(0, AJ$4-$A39)*IF(RTD("tos.rtd",,"OPEN_INT","."&amp;$AB$3&amp;$AB$4&amp;"P"&amp;AJ$4)="N/A",0,RTD("tos.rtd",,"OPEN_INT","."&amp;$AB$3&amp;$AB$4&amp;"P"&amp;AJ$4))*100</f>
        <v>4050</v>
      </c>
      <c r="AK39" s="18">
        <f>MAX(0, $A39-AK$4)*IF(RTD("tos.rtd",,"OPEN_INT","."&amp;$AB$3&amp;$AB$4&amp;"C"&amp;AK$4)="N/A",0,RTD("tos.rtd",,"OPEN_INT","."&amp;$AB$3&amp;$AB$4&amp;"C"&amp;AK$4))*100 + MAX(0, AK$4-$A39)*IF(RTD("tos.rtd",,"OPEN_INT","."&amp;$AB$3&amp;$AB$4&amp;"P"&amp;AK$4)="N/A",0,RTD("tos.rtd",,"OPEN_INT","."&amp;$AB$3&amp;$AB$4&amp;"P"&amp;AK$4))*100</f>
        <v>10400</v>
      </c>
      <c r="AL39" s="18">
        <f>MAX(0, $A39-AL$4)*IF(RTD("tos.rtd",,"OPEN_INT","."&amp;$AB$3&amp;$AB$4&amp;"C"&amp;AL$4)="N/A",0,RTD("tos.rtd",,"OPEN_INT","."&amp;$AB$3&amp;$AB$4&amp;"C"&amp;AL$4))*100 + MAX(0, AL$4-$A39)*IF(RTD("tos.rtd",,"OPEN_INT","."&amp;$AB$3&amp;$AB$4&amp;"P"&amp;AL$4)="N/A",0,RTD("tos.rtd",,"OPEN_INT","."&amp;$AB$3&amp;$AB$4&amp;"P"&amp;AL$4))*100</f>
        <v>0</v>
      </c>
      <c r="AM39" s="18">
        <f>MAX(0, $A39-AM$4)*IF(RTD("tos.rtd",,"OPEN_INT","."&amp;$AB$3&amp;$AB$4&amp;"C"&amp;AM$4)="N/A",0,RTD("tos.rtd",,"OPEN_INT","."&amp;$AB$3&amp;$AB$4&amp;"C"&amp;AM$4))*100 + MAX(0, AM$4-$A39)*IF(RTD("tos.rtd",,"OPEN_INT","."&amp;$AB$3&amp;$AB$4&amp;"P"&amp;AM$4)="N/A",0,RTD("tos.rtd",,"OPEN_INT","."&amp;$AB$3&amp;$AB$4&amp;"P"&amp;AM$4))*100</f>
        <v>0</v>
      </c>
      <c r="AN39" s="18">
        <f>MAX(0, $A39-AN$4)*IF(RTD("tos.rtd",,"OPEN_INT","."&amp;$AB$3&amp;$AB$4&amp;"C"&amp;AN$4)="N/A",0,RTD("tos.rtd",,"OPEN_INT","."&amp;$AB$3&amp;$AB$4&amp;"C"&amp;AN$4))*100 + MAX(0, AN$4-$A39)*IF(RTD("tos.rtd",,"OPEN_INT","."&amp;$AB$3&amp;$AB$4&amp;"P"&amp;AN$4)="N/A",0,RTD("tos.rtd",,"OPEN_INT","."&amp;$AB$3&amp;$AB$4&amp;"P"&amp;AN$4))*100</f>
        <v>0</v>
      </c>
      <c r="AO39" s="18">
        <f>MAX(0, $A39-AO$4)*IF(RTD("tos.rtd",,"OPEN_INT","."&amp;$AB$3&amp;$AB$4&amp;"C"&amp;AO$4)="N/A",0,RTD("tos.rtd",,"OPEN_INT","."&amp;$AB$3&amp;$AB$4&amp;"C"&amp;AO$4))*100 + MAX(0, AO$4-$A39)*IF(RTD("tos.rtd",,"OPEN_INT","."&amp;$AB$3&amp;$AB$4&amp;"P"&amp;AO$4)="N/A",0,RTD("tos.rtd",,"OPEN_INT","."&amp;$AB$3&amp;$AB$4&amp;"P"&amp;AO$4))*100</f>
        <v>0</v>
      </c>
      <c r="AP39" s="18">
        <f>MAX(0, $A39-AP$4)*IF(RTD("tos.rtd",,"OPEN_INT","."&amp;$AB$3&amp;$AB$4&amp;"C"&amp;AP$4)="N/A",0,RTD("tos.rtd",,"OPEN_INT","."&amp;$AB$3&amp;$AB$4&amp;"C"&amp;AP$4))*100 + MAX(0, AP$4-$A39)*IF(RTD("tos.rtd",,"OPEN_INT","."&amp;$AB$3&amp;$AB$4&amp;"P"&amp;AP$4)="N/A",0,RTD("tos.rtd",,"OPEN_INT","."&amp;$AB$3&amp;$AB$4&amp;"P"&amp;AP$4))*100</f>
        <v>126000</v>
      </c>
      <c r="AQ39" s="18">
        <f>MAX(0, $A39-AQ$4)*IF(RTD("tos.rtd",,"OPEN_INT","."&amp;$AB$3&amp;$AB$4&amp;"C"&amp;AQ$4)="N/A",0,RTD("tos.rtd",,"OPEN_INT","."&amp;$AB$3&amp;$AB$4&amp;"C"&amp;AQ$4))*100 + MAX(0, AQ$4-$A39)*IF(RTD("tos.rtd",,"OPEN_INT","."&amp;$AB$3&amp;$AB$4&amp;"P"&amp;AQ$4)="N/A",0,RTD("tos.rtd",,"OPEN_INT","."&amp;$AB$3&amp;$AB$4&amp;"P"&amp;AQ$4))*100</f>
        <v>0</v>
      </c>
      <c r="AR39" s="18">
        <f>MAX(0, $A39-AR$4)*IF(RTD("tos.rtd",,"OPEN_INT","."&amp;$AB$3&amp;$AB$4&amp;"C"&amp;AR$4)="N/A",0,RTD("tos.rtd",,"OPEN_INT","."&amp;$AB$3&amp;$AB$4&amp;"C"&amp;AR$4))*100 + MAX(0, AR$4-$A39)*IF(RTD("tos.rtd",,"OPEN_INT","."&amp;$AB$3&amp;$AB$4&amp;"P"&amp;AR$4)="N/A",0,RTD("tos.rtd",,"OPEN_INT","."&amp;$AB$3&amp;$AB$4&amp;"P"&amp;AR$4))*100</f>
        <v>50350</v>
      </c>
      <c r="AS39" s="18">
        <f>MAX(0, $A39-AS$4)*IF(RTD("tos.rtd",,"OPEN_INT","."&amp;$AB$3&amp;$AB$4&amp;"C"&amp;AS$4)="N/A",0,RTD("tos.rtd",,"OPEN_INT","."&amp;$AB$3&amp;$AB$4&amp;"C"&amp;AS$4))*100 + MAX(0, AS$4-$A39)*IF(RTD("tos.rtd",,"OPEN_INT","."&amp;$AB$3&amp;$AB$4&amp;"P"&amp;AS$4)="N/A",0,RTD("tos.rtd",,"OPEN_INT","."&amp;$AB$3&amp;$AB$4&amp;"P"&amp;AS$4))*100</f>
        <v>5400</v>
      </c>
      <c r="AT39" s="18">
        <f>MAX(0, $A39-AT$4)*IF(RTD("tos.rtd",,"OPEN_INT","."&amp;$AB$3&amp;$AB$4&amp;"C"&amp;AT$4)="N/A",0,RTD("tos.rtd",,"OPEN_INT","."&amp;$AB$3&amp;$AB$4&amp;"C"&amp;AT$4))*100 + MAX(0, AT$4-$A39)*IF(RTD("tos.rtd",,"OPEN_INT","."&amp;$AB$3&amp;$AB$4&amp;"P"&amp;AT$4)="N/A",0,RTD("tos.rtd",,"OPEN_INT","."&amp;$AB$3&amp;$AB$4&amp;"P"&amp;AT$4))*100</f>
        <v>52700</v>
      </c>
      <c r="AU39" s="18">
        <f>MAX(0, $A39-AU$4)*IF(RTD("tos.rtd",,"OPEN_INT","."&amp;$AB$3&amp;$AB$4&amp;"C"&amp;AU$4)="N/A",0,RTD("tos.rtd",,"OPEN_INT","."&amp;$AB$3&amp;$AB$4&amp;"C"&amp;AU$4))*100 + MAX(0, AU$4-$A39)*IF(RTD("tos.rtd",,"OPEN_INT","."&amp;$AB$3&amp;$AB$4&amp;"P"&amp;AU$4)="N/A",0,RTD("tos.rtd",,"OPEN_INT","."&amp;$AB$3&amp;$AB$4&amp;"P"&amp;AU$4))*100</f>
        <v>56000</v>
      </c>
      <c r="AV39" s="18">
        <f>MAX(0, $A39-AV$4)*IF(RTD("tos.rtd",,"OPEN_INT","."&amp;$AB$3&amp;$AB$4&amp;"C"&amp;AV$4)="N/A",0,RTD("tos.rtd",,"OPEN_INT","."&amp;$AB$3&amp;$AB$4&amp;"C"&amp;AV$4))*100 + MAX(0, AV$4-$A39)*IF(RTD("tos.rtd",,"OPEN_INT","."&amp;$AB$3&amp;$AB$4&amp;"P"&amp;AV$4)="N/A",0,RTD("tos.rtd",,"OPEN_INT","."&amp;$AB$3&amp;$AB$4&amp;"P"&amp;AV$4))*100</f>
        <v>30000</v>
      </c>
      <c r="AW39" s="18">
        <f>MAX(0, $A39-AW$4)*IF(RTD("tos.rtd",,"OPEN_INT","."&amp;$AB$3&amp;$AB$4&amp;"C"&amp;AW$4)="N/A",0,RTD("tos.rtd",,"OPEN_INT","."&amp;$AB$3&amp;$AB$4&amp;"C"&amp;AW$4))*100 + MAX(0, AW$4-$A39)*IF(RTD("tos.rtd",,"OPEN_INT","."&amp;$AB$3&amp;$AB$4&amp;"P"&amp;AW$4)="N/A",0,RTD("tos.rtd",,"OPEN_INT","."&amp;$AB$3&amp;$AB$4&amp;"P"&amp;AW$4))*100</f>
        <v>112700</v>
      </c>
      <c r="AX39" s="18">
        <f>MAX(0, $A39-AX$4)*IF(RTD("tos.rtd",,"OPEN_INT","."&amp;$AB$3&amp;$AB$4&amp;"C"&amp;AX$4)="N/A",0,RTD("tos.rtd",,"OPEN_INT","."&amp;$AB$3&amp;$AB$4&amp;"C"&amp;AX$4))*100 + MAX(0, AX$4-$A39)*IF(RTD("tos.rtd",,"OPEN_INT","."&amp;$AB$3&amp;$AB$4&amp;"P"&amp;AX$4)="N/A",0,RTD("tos.rtd",,"OPEN_INT","."&amp;$AB$3&amp;$AB$4&amp;"P"&amp;AX$4))*100</f>
        <v>131300</v>
      </c>
      <c r="AY39" s="18">
        <f>MAX(0, $A39-AY$4)*IF(RTD("tos.rtd",,"OPEN_INT","."&amp;$AB$3&amp;$AB$4&amp;"C"&amp;AY$4)="N/A",0,RTD("tos.rtd",,"OPEN_INT","."&amp;$AB$3&amp;$AB$4&amp;"C"&amp;AY$4))*100 + MAX(0, AY$4-$A39)*IF(RTD("tos.rtd",,"OPEN_INT","."&amp;$AB$3&amp;$AB$4&amp;"P"&amp;AY$4)="N/A",0,RTD("tos.rtd",,"OPEN_INT","."&amp;$AB$3&amp;$AB$4&amp;"P"&amp;AY$4))*100</f>
        <v>148200</v>
      </c>
      <c r="AZ39" s="18">
        <f>MAX(0, $A39-AZ$4)*IF(RTD("tos.rtd",,"OPEN_INT","."&amp;$AB$3&amp;$AB$4&amp;"C"&amp;AZ$4)="N/A",0,RTD("tos.rtd",,"OPEN_INT","."&amp;$AB$3&amp;$AB$4&amp;"C"&amp;AZ$4))*100 + MAX(0, AZ$4-$A39)*IF(RTD("tos.rtd",,"OPEN_INT","."&amp;$AB$3&amp;$AB$4&amp;"P"&amp;AZ$4)="N/A",0,RTD("tos.rtd",,"OPEN_INT","."&amp;$AB$3&amp;$AB$4&amp;"P"&amp;AZ$4))*100</f>
        <v>1140700</v>
      </c>
      <c r="BA39" s="18">
        <f>MAX(0, $A39-BA$4)*IF(RTD("tos.rtd",,"OPEN_INT","."&amp;$AB$3&amp;$AB$4&amp;"C"&amp;BA$4)="N/A",0,RTD("tos.rtd",,"OPEN_INT","."&amp;$AB$3&amp;$AB$4&amp;"C"&amp;BA$4))*100 + MAX(0, BA$4-$A39)*IF(RTD("tos.rtd",,"OPEN_INT","."&amp;$AB$3&amp;$AB$4&amp;"P"&amp;BA$4)="N/A",0,RTD("tos.rtd",,"OPEN_INT","."&amp;$AB$3&amp;$AB$4&amp;"P"&amp;BA$4))*100</f>
        <v>284000</v>
      </c>
      <c r="BB39" s="18">
        <f>MAX(0, $A39-BB$4)*IF(RTD("tos.rtd",,"OPEN_INT","."&amp;$AB$3&amp;$AB$4&amp;"C"&amp;BB$4)="N/A",0,RTD("tos.rtd",,"OPEN_INT","."&amp;$AB$3&amp;$AB$4&amp;"C"&amp;BB$4))*100 + MAX(0, BB$4-$A39)*IF(RTD("tos.rtd",,"OPEN_INT","."&amp;$AB$3&amp;$AB$4&amp;"P"&amp;BB$4)="N/A",0,RTD("tos.rtd",,"OPEN_INT","."&amp;$AB$3&amp;$AB$4&amp;"P"&amp;BB$4))*100</f>
        <v>1053000</v>
      </c>
      <c r="BC39" s="18">
        <f>MAX(0, $A39-BC$4)*IF(RTD("tos.rtd",,"OPEN_INT","."&amp;$AB$3&amp;$AB$4&amp;"C"&amp;BC$4)="N/A",0,RTD("tos.rtd",,"OPEN_INT","."&amp;$AB$3&amp;$AB$4&amp;"C"&amp;BC$4))*100 + MAX(0, BC$4-$A39)*IF(RTD("tos.rtd",,"OPEN_INT","."&amp;$AB$3&amp;$AB$4&amp;"P"&amp;BC$4)="N/A",0,RTD("tos.rtd",,"OPEN_INT","."&amp;$AB$3&amp;$AB$4&amp;"P"&amp;BC$4))*100</f>
        <v>913600</v>
      </c>
      <c r="BD39" s="18">
        <f>MAX(0, $A39-BD$4)*IF(RTD("tos.rtd",,"OPEN_INT","."&amp;$AB$3&amp;$AB$4&amp;"C"&amp;BD$4)="N/A",0,RTD("tos.rtd",,"OPEN_INT","."&amp;$AB$3&amp;$AB$4&amp;"C"&amp;BD$4))*100 + MAX(0, BD$4-$A39)*IF(RTD("tos.rtd",,"OPEN_INT","."&amp;$AB$3&amp;$AB$4&amp;"P"&amp;BD$4)="N/A",0,RTD("tos.rtd",,"OPEN_INT","."&amp;$AB$3&amp;$AB$4&amp;"P"&amp;BD$4))*100</f>
        <v>2677850</v>
      </c>
      <c r="BE39" s="18">
        <f>MAX(0, $A39-BE$4)*IF(RTD("tos.rtd",,"OPEN_INT","."&amp;$AB$3&amp;$AB$4&amp;"C"&amp;BE$4)="N/A",0,RTD("tos.rtd",,"OPEN_INT","."&amp;$AB$3&amp;$AB$4&amp;"C"&amp;BE$4))*100 + MAX(0, BE$4-$A39)*IF(RTD("tos.rtd",,"OPEN_INT","."&amp;$AB$3&amp;$AB$4&amp;"P"&amp;BE$4)="N/A",0,RTD("tos.rtd",,"OPEN_INT","."&amp;$AB$3&amp;$AB$4&amp;"P"&amp;BE$4))*100</f>
        <v>2946300</v>
      </c>
      <c r="BF39" s="18">
        <f>MAX(0, $A39-BF$4)*IF(RTD("tos.rtd",,"OPEN_INT","."&amp;$AB$3&amp;$AB$4&amp;"C"&amp;BF$4)="N/A",0,RTD("tos.rtd",,"OPEN_INT","."&amp;$AB$3&amp;$AB$4&amp;"C"&amp;BF$4))*100 + MAX(0, BF$4-$A39)*IF(RTD("tos.rtd",,"OPEN_INT","."&amp;$AB$3&amp;$AB$4&amp;"P"&amp;BF$4)="N/A",0,RTD("tos.rtd",,"OPEN_INT","."&amp;$AB$3&amp;$AB$4&amp;"P"&amp;BF$4))*100</f>
        <v>2779000</v>
      </c>
      <c r="BG39" s="18">
        <f>MAX(0, $A39-BG$4)*IF(RTD("tos.rtd",,"OPEN_INT","."&amp;$AB$3&amp;$AB$4&amp;"C"&amp;BG$4)="N/A",0,RTD("tos.rtd",,"OPEN_INT","."&amp;$AB$3&amp;$AB$4&amp;"C"&amp;BG$4))*100 + MAX(0, BG$4-$A39)*IF(RTD("tos.rtd",,"OPEN_INT","."&amp;$AB$3&amp;$AB$4&amp;"P"&amp;BG$4)="N/A",0,RTD("tos.rtd",,"OPEN_INT","."&amp;$AB$3&amp;$AB$4&amp;"P"&amp;BG$4))*100</f>
        <v>2781800</v>
      </c>
      <c r="BH39" s="18">
        <f>MAX(0, $A39-BH$4)*IF(RTD("tos.rtd",,"OPEN_INT","."&amp;$AB$3&amp;$AB$4&amp;"C"&amp;BH$4)="N/A",0,RTD("tos.rtd",,"OPEN_INT","."&amp;$AB$3&amp;$AB$4&amp;"C"&amp;BH$4))*100 + MAX(0, BH$4-$A39)*IF(RTD("tos.rtd",,"OPEN_INT","."&amp;$AB$3&amp;$AB$4&amp;"P"&amp;BH$4)="N/A",0,RTD("tos.rtd",,"OPEN_INT","."&amp;$AB$3&amp;$AB$4&amp;"P"&amp;BH$4))*100</f>
        <v>1361250</v>
      </c>
      <c r="BI39" s="18">
        <f>MAX(0, $A39-BI$4)*IF(RTD("tos.rtd",,"OPEN_INT","."&amp;$AB$3&amp;$AB$4&amp;"C"&amp;BI$4)="N/A",0,RTD("tos.rtd",,"OPEN_INT","."&amp;$AB$3&amp;$AB$4&amp;"C"&amp;BI$4))*100 + MAX(0, BI$4-$A39)*IF(RTD("tos.rtd",,"OPEN_INT","."&amp;$AB$3&amp;$AB$4&amp;"P"&amp;BI$4)="N/A",0,RTD("tos.rtd",,"OPEN_INT","."&amp;$AB$3&amp;$AB$4&amp;"P"&amp;BI$4))*100</f>
        <v>642300</v>
      </c>
      <c r="BJ39" s="18">
        <f>MAX(0, $A39-BJ$4)*IF(RTD("tos.rtd",,"OPEN_INT","."&amp;$AB$3&amp;$AB$4&amp;"C"&amp;BJ$4)="N/A",0,RTD("tos.rtd",,"OPEN_INT","."&amp;$AB$3&amp;$AB$4&amp;"C"&amp;BJ$4))*100 + MAX(0, BJ$4-$A39)*IF(RTD("tos.rtd",,"OPEN_INT","."&amp;$AB$3&amp;$AB$4&amp;"P"&amp;BJ$4)="N/A",0,RTD("tos.rtd",,"OPEN_INT","."&amp;$AB$3&amp;$AB$4&amp;"P"&amp;BJ$4))*100</f>
        <v>401250</v>
      </c>
      <c r="BK39" s="18">
        <f>MAX(0, $A39-BK$4)*IF(RTD("tos.rtd",,"OPEN_INT","."&amp;$AB$3&amp;$AB$4&amp;"C"&amp;BK$4)="N/A",0,RTD("tos.rtd",,"OPEN_INT","."&amp;$AB$3&amp;$AB$4&amp;"C"&amp;BK$4))*100 + MAX(0, BK$4-$A39)*IF(RTD("tos.rtd",,"OPEN_INT","."&amp;$AB$3&amp;$AB$4&amp;"P"&amp;BK$4)="N/A",0,RTD("tos.rtd",,"OPEN_INT","."&amp;$AB$3&amp;$AB$4&amp;"P"&amp;BK$4))*100</f>
        <v>0</v>
      </c>
      <c r="BL39" s="18">
        <f>MAX(0, $A39-BL$4)*IF(RTD("tos.rtd",,"OPEN_INT","."&amp;$AB$3&amp;$AB$4&amp;"C"&amp;BL$4)="N/A",0,RTD("tos.rtd",,"OPEN_INT","."&amp;$AB$3&amp;$AB$4&amp;"C"&amp;BL$4))*100 + MAX(0, BL$4-$A39)*IF(RTD("tos.rtd",,"OPEN_INT","."&amp;$AB$3&amp;$AB$4&amp;"P"&amp;BL$4)="N/A",0,RTD("tos.rtd",,"OPEN_INT","."&amp;$AB$3&amp;$AB$4&amp;"P"&amp;BL$4))*100</f>
        <v>13050</v>
      </c>
      <c r="BM39" s="18">
        <f>MAX(0, $A39-BM$4)*IF(RTD("tos.rtd",,"OPEN_INT","."&amp;$AB$3&amp;$AB$4&amp;"C"&amp;BM$4)="N/A",0,RTD("tos.rtd",,"OPEN_INT","."&amp;$AB$3&amp;$AB$4&amp;"C"&amp;BM$4))*100 + MAX(0, BM$4-$A39)*IF(RTD("tos.rtd",,"OPEN_INT","."&amp;$AB$3&amp;$AB$4&amp;"P"&amp;BM$4)="N/A",0,RTD("tos.rtd",,"OPEN_INT","."&amp;$AB$3&amp;$AB$4&amp;"P"&amp;BM$4))*100</f>
        <v>1600</v>
      </c>
      <c r="BN39" s="18">
        <f>MAX(0, $A39-BN$4)*IF(RTD("tos.rtd",,"OPEN_INT","."&amp;$AB$3&amp;$AB$4&amp;"C"&amp;BN$4)="N/A",0,RTD("tos.rtd",,"OPEN_INT","."&amp;$AB$3&amp;$AB$4&amp;"C"&amp;BN$4))*100 + MAX(0, BN$4-$A39)*IF(RTD("tos.rtd",,"OPEN_INT","."&amp;$AB$3&amp;$AB$4&amp;"P"&amp;BN$4)="N/A",0,RTD("tos.rtd",,"OPEN_INT","."&amp;$AB$3&amp;$AB$4&amp;"P"&amp;BN$4))*100</f>
        <v>1200</v>
      </c>
      <c r="BO39" s="18">
        <f>MAX(0, $A39-BO$4)*IF(RTD("tos.rtd",,"OPEN_INT","."&amp;$AB$3&amp;$AB$4&amp;"C"&amp;BO$4)="N/A",0,RTD("tos.rtd",,"OPEN_INT","."&amp;$AB$3&amp;$AB$4&amp;"C"&amp;BO$4))*100 + MAX(0, BO$4-$A39)*IF(RTD("tos.rtd",,"OPEN_INT","."&amp;$AB$3&amp;$AB$4&amp;"P"&amp;BO$4)="N/A",0,RTD("tos.rtd",,"OPEN_INT","."&amp;$AB$3&amp;$AB$4&amp;"P"&amp;BO$4))*100</f>
        <v>6200</v>
      </c>
      <c r="BP39" s="18">
        <f>MAX(0, $A39-BP$4)*IF(RTD("tos.rtd",,"OPEN_INT","."&amp;$AB$3&amp;$AB$4&amp;"C"&amp;BP$4)="N/A",0,RTD("tos.rtd",,"OPEN_INT","."&amp;$AB$3&amp;$AB$4&amp;"C"&amp;BP$4))*100 + MAX(0, BP$4-$A39)*IF(RTD("tos.rtd",,"OPEN_INT","."&amp;$AB$3&amp;$AB$4&amp;"P"&amp;BP$4)="N/A",0,RTD("tos.rtd",,"OPEN_INT","."&amp;$AB$3&amp;$AB$4&amp;"P"&amp;BP$4))*100</f>
        <v>9500</v>
      </c>
      <c r="BQ39" s="18">
        <f>MAX(0, $A39-BQ$4)*IF(RTD("tos.rtd",,"OPEN_INT","."&amp;$AB$3&amp;$AB$4&amp;"C"&amp;BQ$4)="N/A",0,RTD("tos.rtd",,"OPEN_INT","."&amp;$AB$3&amp;$AB$4&amp;"C"&amp;BQ$4))*100 + MAX(0, BQ$4-$A39)*IF(RTD("tos.rtd",,"OPEN_INT","."&amp;$AB$3&amp;$AB$4&amp;"P"&amp;BQ$4)="N/A",0,RTD("tos.rtd",,"OPEN_INT","."&amp;$AB$3&amp;$AB$4&amp;"P"&amp;BQ$4))*100</f>
        <v>0</v>
      </c>
      <c r="BR39" s="18">
        <f>MAX(0, $A39-BR$4)*IF(RTD("tos.rtd",,"OPEN_INT","."&amp;$AB$3&amp;$AB$4&amp;"C"&amp;BR$4)="N/A",0,RTD("tos.rtd",,"OPEN_INT","."&amp;$AB$3&amp;$AB$4&amp;"C"&amp;BR$4))*100 + MAX(0, BR$4-$A39)*IF(RTD("tos.rtd",,"OPEN_INT","."&amp;$AB$3&amp;$AB$4&amp;"P"&amp;BR$4)="N/A",0,RTD("tos.rtd",,"OPEN_INT","."&amp;$AB$3&amp;$AB$4&amp;"P"&amp;BR$4))*100</f>
        <v>0</v>
      </c>
      <c r="BS39" s="18">
        <f>MAX(0, $A39-BS$4)*IF(RTD("tos.rtd",,"OPEN_INT","."&amp;$AB$3&amp;$AB$4&amp;"C"&amp;BS$4)="N/A",0,RTD("tos.rtd",,"OPEN_INT","."&amp;$AB$3&amp;$AB$4&amp;"C"&amp;BS$4))*100 + MAX(0, BS$4-$A39)*IF(RTD("tos.rtd",,"OPEN_INT","."&amp;$AB$3&amp;$AB$4&amp;"P"&amp;BS$4)="N/A",0,RTD("tos.rtd",,"OPEN_INT","."&amp;$AB$3&amp;$AB$4&amp;"P"&amp;BS$4))*100</f>
        <v>0</v>
      </c>
      <c r="BT39" s="18">
        <f>MAX(0, $A39-BT$4)*IF(RTD("tos.rtd",,"OPEN_INT","."&amp;$AB$3&amp;$AB$4&amp;"C"&amp;BT$4)="N/A",0,RTD("tos.rtd",,"OPEN_INT","."&amp;$AB$3&amp;$AB$4&amp;"C"&amp;BT$4))*100 + MAX(0, BT$4-$A39)*IF(RTD("tos.rtd",,"OPEN_INT","."&amp;$AB$3&amp;$AB$4&amp;"P"&amp;BT$4)="N/A",0,RTD("tos.rtd",,"OPEN_INT","."&amp;$AB$3&amp;$AB$4&amp;"P"&amp;BT$4))*100</f>
        <v>0</v>
      </c>
      <c r="BU39" s="18">
        <f>MAX(0, $A39-BU$4)*IF(RTD("tos.rtd",,"OPEN_INT","."&amp;$AB$3&amp;$AB$4&amp;"C"&amp;BU$4)="N/A",0,RTD("tos.rtd",,"OPEN_INT","."&amp;$AB$3&amp;$AB$4&amp;"C"&amp;BU$4))*100 + MAX(0, BU$4-$A39)*IF(RTD("tos.rtd",,"OPEN_INT","."&amp;$AB$3&amp;$AB$4&amp;"P"&amp;BU$4)="N/A",0,RTD("tos.rtd",,"OPEN_INT","."&amp;$AB$3&amp;$AB$4&amp;"P"&amp;BU$4))*100</f>
        <v>0</v>
      </c>
      <c r="BV39" s="18">
        <f>MAX(0, $A39-BV$4)*IF(RTD("tos.rtd",,"OPEN_INT","."&amp;$AB$3&amp;$AB$4&amp;"C"&amp;BV$4)="N/A",0,RTD("tos.rtd",,"OPEN_INT","."&amp;$AB$3&amp;$AB$4&amp;"C"&amp;BV$4))*100 + MAX(0, BV$4-$A39)*IF(RTD("tos.rtd",,"OPEN_INT","."&amp;$AB$3&amp;$AB$4&amp;"P"&amp;BV$4)="N/A",0,RTD("tos.rtd",,"OPEN_INT","."&amp;$AB$3&amp;$AB$4&amp;"P"&amp;BV$4))*100</f>
        <v>0</v>
      </c>
      <c r="BW39" s="18">
        <f>MAX(0, $A39-BW$4)*IF(RTD("tos.rtd",,"OPEN_INT","."&amp;$AB$3&amp;$AB$4&amp;"C"&amp;BW$4)="N/A",0,RTD("tos.rtd",,"OPEN_INT","."&amp;$AB$3&amp;$AB$4&amp;"C"&amp;BW$4))*100 + MAX(0, BW$4-$A39)*IF(RTD("tos.rtd",,"OPEN_INT","."&amp;$AB$3&amp;$AB$4&amp;"P"&amp;BW$4)="N/A",0,RTD("tos.rtd",,"OPEN_INT","."&amp;$AB$3&amp;$AB$4&amp;"P"&amp;BW$4))*100</f>
        <v>0</v>
      </c>
    </row>
    <row r="40" spans="1:75" s="19" customFormat="1" ht="11.1" customHeight="1" thickBot="1" x14ac:dyDescent="0.3">
      <c r="A40" s="23">
        <f t="shared" si="12"/>
        <v>4</v>
      </c>
      <c r="B40" s="14">
        <f ca="1">IF($A$2="PREMIUM_OI",IFERROR(IF($X$1="ABS",(100*RTD("tos.rtd",,"OPEN_INT","."&amp;B$2&amp;B$1&amp;"C"&amp;$A40)*RTD("tos.rtd",,"LAST","."&amp;B$2&amp;B$1&amp;"C"&amp;$A40)+100*RTD("tos.rtd",,"OPEN_INT","."&amp;B$2&amp;B$1&amp;"P"&amp;$A40)*RTD("tos.rtd",,"LAST","."&amp;B$2&amp;B$1&amp;"P"&amp;$A40))/1000000,(100*RTD("tos.rtd",,"OPEN_INT","."&amp;B$2&amp;B$1&amp;"C"&amp;$A40)*RTD("tos.rtd",,"LAST","."&amp;B$2&amp;B$1&amp;"C"&amp;$A40)-100*RTD("tos.rtd",,"OPEN_INT","."&amp;B$2&amp;B$1&amp;"P"&amp;$A40)*RTD("tos.rtd",,"LAST","."&amp;B$2&amp;B$1&amp;"P"&amp;$A40))/1000000),0),IF($A$2="PREMIUM",IFERROR(IF($X$1="ABS",(100*RTD("tos.rtd",,"VOLUME","."&amp;B$2&amp;B$1&amp;"C"&amp;$A40)*RTD("tos.rtd",,"LAST","."&amp;B$2&amp;B$1&amp;"C"&amp;$A40)+100*RTD("tos.rtd",,"VOLUME","."&amp;B$2&amp;B$1&amp;"P"&amp;$A40)*RTD("tos.rtd",,"LAST","."&amp;B$2&amp;B$1&amp;"P"&amp;$A40))/1000000,(100*RTD("tos.rtd",,"VOLUME","."&amp;B$2&amp;B$1&amp;"C"&amp;$A40)*RTD("tos.rtd",,"LAST","."&amp;B$2&amp;B$1&amp;"C"&amp;$A40)-100*RTD("tos.rtd",,"VOLUME","."&amp;B$2&amp;B$1&amp;"P"&amp;$A40)*RTD("tos.rtd",,"LAST","."&amp;B$2&amp;B$1&amp;"P"&amp;$A40))/1000000),0),IF($A$2="DEX",IFERROR(IF($X$1="ABS",(100*RTD("tos.rtd",,"OPEN_INT","."&amp;B$2&amp;B$1&amp;"C"&amp;$A40)*RTD("tos.rtd",,"DELTA","."&amp;B$2&amp;B$1&amp;"C"&amp;$A40)+100*RTD("tos.rtd",,"OPEN_INT","."&amp;B$2&amp;B$1&amp;"P"&amp;$A40)*RTD("tos.rtd",,"DELTA","."&amp;B$2&amp;B$1&amp;"P"&amp;$A40))/1000,(100*RTD("tos.rtd",,"OPEN_INT","."&amp;B$2&amp;B$1&amp;"C"&amp;$A40)*RTD("tos.rtd",,"DELTA","."&amp;B$2&amp;B$1&amp;"C"&amp;$A40)-100*RTD("tos.rtd",,"OPEN_INT","."&amp;B$2&amp;B$1&amp;"P"&amp;$A40)*RTD("tos.rtd",,"DELTA","."&amp;B$2&amp;B$1&amp;"P"&amp;$A40))/1000),0),IF($A$2="VEX",IFERROR(IF($X$1="ABS",($A$4*$A$4*RTD("tos.rtd",,"VOLUME","."&amp;B$2&amp;B$1&amp;"C"&amp;$A40)*RTD("tos.rtd",,"GAMMA","."&amp;B$2&amp;B$1&amp;"C"&amp;$A40)+$A$4*$A$4*RTD("tos.rtd",,"VOLUME","."&amp;B$2&amp;B$1&amp;"P"&amp;$A40)*RTD("tos.rtd",,"GAMMA","."&amp;B$2&amp;B$1&amp;"P"&amp;$A40))/1000000,($A$4*$A$4*RTD("tos.rtd",,"VOLUME","."&amp;B$2&amp;B$1&amp;"C"&amp;$A40)*RTD("tos.rtd",,"GAMMA","."&amp;B$2&amp;B$1&amp;"C"&amp;$A40)-$A$4*$A$4*RTD("tos.rtd",,"VOLUME","."&amp;B$2&amp;B$1&amp;"P"&amp;$A40)*RTD("tos.rtd",,"GAMMA","."&amp;B$2&amp;B$1&amp;"P"&amp;$A40))/1000000),0),IF($A$2="GEX",IFERROR(IF($X$1="ABS",($A$4*$A$4*RTD("tos.rtd",,"OPEN_INT","."&amp;B$2&amp;B$1&amp;"C"&amp;$A40)*RTD("tos.rtd",,"GAMMA","."&amp;B$2&amp;B$1&amp;"C"&amp;$A40)+$A$4*$A$4*RTD("tos.rtd",,"OPEN_INT","."&amp;B$2&amp;B$1&amp;"P"&amp;$A40)*RTD("tos.rtd",,"GAMMA","."&amp;B$2&amp;B$1&amp;"P"&amp;$A40))/1000000,($A$4*$A$4*RTD("tos.rtd",,"OPEN_INT","."&amp;B$2&amp;B$1&amp;"C"&amp;$A40)*RTD("tos.rtd",,"GAMMA","."&amp;B$2&amp;B$1&amp;"C"&amp;$A40)-$A$4*$A$4*RTD("tos.rtd",,"OPEN_INT","."&amp;B$2&amp;B$1&amp;"P"&amp;$A40)*RTD("tos.rtd",,"GAMMA","."&amp;B$2&amp;B$1&amp;"P"&amp;$A40))/1000000),0),IF($A$2="SKEW",IFERROR(VALUE(IF(RTD("tos.rtd",,"IMPL_VOL","."&amp;B$2&amp;B$1&amp;"P"&amp;$A40)="N/A",0,RTD("tos.rtd",,"IMPL_VOL","."&amp;B$2&amp;B$1&amp;"P"&amp;$A40))),0)-IFERROR(VALUE(IF(RTD("tos.rtd",,"IMPL_VOL","."&amp;B$2&amp;B$1&amp;"C"&amp;$A40)="N/A",0,RTD("tos.rtd",,"IMPL_VOL","."&amp;B$2&amp;B$1&amp;"C"&amp;$A40))),0),IF($A$2="MAXPAIN",IF($A$4&gt;$A40,($A$4-$A40)*IF(RTD("tos.rtd",,"OPEN_INT","."&amp;B$2&amp;B$1&amp;"C"&amp;$A40)="N/A",0,RTD("tos.rtd",,"OPEN_INT","."&amp;B$2&amp;B$1&amp;"C"&amp;$A40)),0)+IF($A$4&lt;$A40,($A$5-$A$4)*IF(RTD("tos.rtd",,"OPEN_INT","."&amp;B$2&amp;B$1&amp;"P"&amp;$A40)="N/A",0,RTD("tos.rtd",,"OPEN_INT","."&amp;B$2&amp;B$1&amp;"P"&amp;$A40)),0),IF($X$1="ABS",IF(RTD("tos.rtd",,$A$2,"."&amp;B$2&amp;B$1&amp;"C"&amp;$A40)="N/A",0,RTD("tos.rtd",,$A$2,"."&amp;B$2&amp;B$1&amp;"C"&amp;$A40))+IF(RTD("tos.rtd",,$A$2,"."&amp;B$2&amp;B$1&amp;"P"&amp;$A40)="N/A",0,RTD("tos.rtd",,$A$2,"."&amp;B$2&amp;B$1&amp;"P"&amp;$A40)),IF(RTD("tos.rtd",,$A$2,"."&amp;B$2&amp;B$1&amp;"C"&amp;$A40)="N/A",0,RTD("tos.rtd",,$A$2,"."&amp;B$2&amp;B$1&amp;"C"&amp;$A40))-IF(RTD("tos.rtd",,$A$2,"."&amp;B$2&amp;B$1&amp;"P"&amp;$A40)="N/A",0,RTD("tos.rtd",,$A$2,"."&amp;B$2&amp;B$1&amp;"P"&amp;$A40))))))))))</f>
        <v>0</v>
      </c>
      <c r="C40" s="14">
        <f ca="1">IF($A$2="PREMIUM_OI",IFERROR(IF($X$1="ABS",(100*RTD("tos.rtd",,"OPEN_INT","."&amp;C$2&amp;C$1&amp;"C"&amp;$A40)*RTD("tos.rtd",,"LAST","."&amp;C$2&amp;C$1&amp;"C"&amp;$A40)+100*RTD("tos.rtd",,"OPEN_INT","."&amp;C$2&amp;C$1&amp;"P"&amp;$A40)*RTD("tos.rtd",,"LAST","."&amp;C$2&amp;C$1&amp;"P"&amp;$A40))/1000000,(100*RTD("tos.rtd",,"OPEN_INT","."&amp;C$2&amp;C$1&amp;"C"&amp;$A40)*RTD("tos.rtd",,"LAST","."&amp;C$2&amp;C$1&amp;"C"&amp;$A40)-100*RTD("tos.rtd",,"OPEN_INT","."&amp;C$2&amp;C$1&amp;"P"&amp;$A40)*RTD("tos.rtd",,"LAST","."&amp;C$2&amp;C$1&amp;"P"&amp;$A40))/1000000),0),IF($A$2="PREMIUM",IFERROR(IF($X$1="ABS",(100*RTD("tos.rtd",,"VOLUME","."&amp;C$2&amp;C$1&amp;"C"&amp;$A40)*RTD("tos.rtd",,"LAST","."&amp;C$2&amp;C$1&amp;"C"&amp;$A40)+100*RTD("tos.rtd",,"VOLUME","."&amp;C$2&amp;C$1&amp;"P"&amp;$A40)*RTD("tos.rtd",,"LAST","."&amp;C$2&amp;C$1&amp;"P"&amp;$A40))/1000000,(100*RTD("tos.rtd",,"VOLUME","."&amp;C$2&amp;C$1&amp;"C"&amp;$A40)*RTD("tos.rtd",,"LAST","."&amp;C$2&amp;C$1&amp;"C"&amp;$A40)-100*RTD("tos.rtd",,"VOLUME","."&amp;C$2&amp;C$1&amp;"P"&amp;$A40)*RTD("tos.rtd",,"LAST","."&amp;C$2&amp;C$1&amp;"P"&amp;$A40))/1000000),0),IF($A$2="DEX",IFERROR(IF($X$1="ABS",(100*RTD("tos.rtd",,"OPEN_INT","."&amp;C$2&amp;C$1&amp;"C"&amp;$A40)*RTD("tos.rtd",,"DELTA","."&amp;C$2&amp;C$1&amp;"C"&amp;$A40)+100*RTD("tos.rtd",,"OPEN_INT","."&amp;C$2&amp;C$1&amp;"P"&amp;$A40)*RTD("tos.rtd",,"DELTA","."&amp;C$2&amp;C$1&amp;"P"&amp;$A40))/1000,(100*RTD("tos.rtd",,"OPEN_INT","."&amp;C$2&amp;C$1&amp;"C"&amp;$A40)*RTD("tos.rtd",,"DELTA","."&amp;C$2&amp;C$1&amp;"C"&amp;$A40)-100*RTD("tos.rtd",,"OPEN_INT","."&amp;C$2&amp;C$1&amp;"P"&amp;$A40)*RTD("tos.rtd",,"DELTA","."&amp;C$2&amp;C$1&amp;"P"&amp;$A40))/1000),0),IF($A$2="VEX",IFERROR(IF($X$1="ABS",($A$4*$A$4*RTD("tos.rtd",,"VOLUME","."&amp;C$2&amp;C$1&amp;"C"&amp;$A40)*RTD("tos.rtd",,"GAMMA","."&amp;C$2&amp;C$1&amp;"C"&amp;$A40)+$A$4*$A$4*RTD("tos.rtd",,"VOLUME","."&amp;C$2&amp;C$1&amp;"P"&amp;$A40)*RTD("tos.rtd",,"GAMMA","."&amp;C$2&amp;C$1&amp;"P"&amp;$A40))/1000000,($A$4*$A$4*RTD("tos.rtd",,"VOLUME","."&amp;C$2&amp;C$1&amp;"C"&amp;$A40)*RTD("tos.rtd",,"GAMMA","."&amp;C$2&amp;C$1&amp;"C"&amp;$A40)-$A$4*$A$4*RTD("tos.rtd",,"VOLUME","."&amp;C$2&amp;C$1&amp;"P"&amp;$A40)*RTD("tos.rtd",,"GAMMA","."&amp;C$2&amp;C$1&amp;"P"&amp;$A40))/1000000),0),IF($A$2="GEX",IFERROR(IF($X$1="ABS",($A$4*$A$4*RTD("tos.rtd",,"OPEN_INT","."&amp;C$2&amp;C$1&amp;"C"&amp;$A40)*RTD("tos.rtd",,"GAMMA","."&amp;C$2&amp;C$1&amp;"C"&amp;$A40)+$A$4*$A$4*RTD("tos.rtd",,"OPEN_INT","."&amp;C$2&amp;C$1&amp;"P"&amp;$A40)*RTD("tos.rtd",,"GAMMA","."&amp;C$2&amp;C$1&amp;"P"&amp;$A40))/1000000,($A$4*$A$4*RTD("tos.rtd",,"OPEN_INT","."&amp;C$2&amp;C$1&amp;"C"&amp;$A40)*RTD("tos.rtd",,"GAMMA","."&amp;C$2&amp;C$1&amp;"C"&amp;$A40)-$A$4*$A$4*RTD("tos.rtd",,"OPEN_INT","."&amp;C$2&amp;C$1&amp;"P"&amp;$A40)*RTD("tos.rtd",,"GAMMA","."&amp;C$2&amp;C$1&amp;"P"&amp;$A40))/1000000),0),IF($A$2="SKEW",IFERROR(VALUE(IF(RTD("tos.rtd",,"IMPL_VOL","."&amp;C$2&amp;C$1&amp;"P"&amp;$A40)="N/A",0,RTD("tos.rtd",,"IMPL_VOL","."&amp;C$2&amp;C$1&amp;"P"&amp;$A40))),0)-IFERROR(VALUE(IF(RTD("tos.rtd",,"IMPL_VOL","."&amp;C$2&amp;C$1&amp;"C"&amp;$A40)="N/A",0,RTD("tos.rtd",,"IMPL_VOL","."&amp;C$2&amp;C$1&amp;"C"&amp;$A40))),0),IF($A$2="MAXPAIN",IF($A$4&gt;$A40,($A$4-$A40)*IF(RTD("tos.rtd",,"OPEN_INT","."&amp;C$2&amp;C$1&amp;"C"&amp;$A40)="N/A",0,RTD("tos.rtd",,"OPEN_INT","."&amp;C$2&amp;C$1&amp;"C"&amp;$A40)),0)+IF($A$4&lt;$A40,($A$5-$A$4)*IF(RTD("tos.rtd",,"OPEN_INT","."&amp;C$2&amp;C$1&amp;"P"&amp;$A40)="N/A",0,RTD("tos.rtd",,"OPEN_INT","."&amp;C$2&amp;C$1&amp;"P"&amp;$A40)),0),IF($X$1="ABS",IF(RTD("tos.rtd",,$A$2,"."&amp;C$2&amp;C$1&amp;"C"&amp;$A40)="N/A",0,RTD("tos.rtd",,$A$2,"."&amp;C$2&amp;C$1&amp;"C"&amp;$A40))+IF(RTD("tos.rtd",,$A$2,"."&amp;C$2&amp;C$1&amp;"P"&amp;$A40)="N/A",0,RTD("tos.rtd",,$A$2,"."&amp;C$2&amp;C$1&amp;"P"&amp;$A40)),IF(RTD("tos.rtd",,$A$2,"."&amp;C$2&amp;C$1&amp;"C"&amp;$A40)="N/A",0,RTD("tos.rtd",,$A$2,"."&amp;C$2&amp;C$1&amp;"C"&amp;$A40))-IF(RTD("tos.rtd",,$A$2,"."&amp;C$2&amp;C$1&amp;"P"&amp;$A40)="N/A",0,RTD("tos.rtd",,$A$2,"."&amp;C$2&amp;C$1&amp;"P"&amp;$A40))))))))))</f>
        <v>0</v>
      </c>
      <c r="D40" s="12">
        <f ca="1">IF($A$2="PREMIUM_OI",IFERROR(IF($X$1="ABS",(100*RTD("tos.rtd",,"OPEN_INT","."&amp;D$2&amp;D$1&amp;"C"&amp;$A40)*RTD("tos.rtd",,"LAST","."&amp;D$2&amp;D$1&amp;"C"&amp;$A40)+100*RTD("tos.rtd",,"OPEN_INT","."&amp;D$2&amp;D$1&amp;"P"&amp;$A40)*RTD("tos.rtd",,"LAST","."&amp;D$2&amp;D$1&amp;"P"&amp;$A40))/1000000,(100*RTD("tos.rtd",,"OPEN_INT","."&amp;D$2&amp;D$1&amp;"C"&amp;$A40)*RTD("tos.rtd",,"LAST","."&amp;D$2&amp;D$1&amp;"C"&amp;$A40)-100*RTD("tos.rtd",,"OPEN_INT","."&amp;D$2&amp;D$1&amp;"P"&amp;$A40)*RTD("tos.rtd",,"LAST","."&amp;D$2&amp;D$1&amp;"P"&amp;$A40))/1000000),0),IF($A$2="PREMIUM",IFERROR(IF($X$1="ABS",(100*RTD("tos.rtd",,"VOLUME","."&amp;D$2&amp;D$1&amp;"C"&amp;$A40)*RTD("tos.rtd",,"LAST","."&amp;D$2&amp;D$1&amp;"C"&amp;$A40)+100*RTD("tos.rtd",,"VOLUME","."&amp;D$2&amp;D$1&amp;"P"&amp;$A40)*RTD("tos.rtd",,"LAST","."&amp;D$2&amp;D$1&amp;"P"&amp;$A40))/1000000,(100*RTD("tos.rtd",,"VOLUME","."&amp;D$2&amp;D$1&amp;"C"&amp;$A40)*RTD("tos.rtd",,"LAST","."&amp;D$2&amp;D$1&amp;"C"&amp;$A40)-100*RTD("tos.rtd",,"VOLUME","."&amp;D$2&amp;D$1&amp;"P"&amp;$A40)*RTD("tos.rtd",,"LAST","."&amp;D$2&amp;D$1&amp;"P"&amp;$A40))/1000000),0),IF($A$2="DEX",IFERROR(IF($X$1="ABS",(100*RTD("tos.rtd",,"OPEN_INT","."&amp;D$2&amp;D$1&amp;"C"&amp;$A40)*RTD("tos.rtd",,"DELTA","."&amp;D$2&amp;D$1&amp;"C"&amp;$A40)+100*RTD("tos.rtd",,"OPEN_INT","."&amp;D$2&amp;D$1&amp;"P"&amp;$A40)*RTD("tos.rtd",,"DELTA","."&amp;D$2&amp;D$1&amp;"P"&amp;$A40))/1000,(100*RTD("tos.rtd",,"OPEN_INT","."&amp;D$2&amp;D$1&amp;"C"&amp;$A40)*RTD("tos.rtd",,"DELTA","."&amp;D$2&amp;D$1&amp;"C"&amp;$A40)-100*RTD("tos.rtd",,"OPEN_INT","."&amp;D$2&amp;D$1&amp;"P"&amp;$A40)*RTD("tos.rtd",,"DELTA","."&amp;D$2&amp;D$1&amp;"P"&amp;$A40))/1000),0),IF($A$2="VEX",IFERROR(IF($X$1="ABS",($A$4*$A$4*RTD("tos.rtd",,"VOLUME","."&amp;D$2&amp;D$1&amp;"C"&amp;$A40)*RTD("tos.rtd",,"GAMMA","."&amp;D$2&amp;D$1&amp;"C"&amp;$A40)+$A$4*$A$4*RTD("tos.rtd",,"VOLUME","."&amp;D$2&amp;D$1&amp;"P"&amp;$A40)*RTD("tos.rtd",,"GAMMA","."&amp;D$2&amp;D$1&amp;"P"&amp;$A40))/1000000,($A$4*$A$4*RTD("tos.rtd",,"VOLUME","."&amp;D$2&amp;D$1&amp;"C"&amp;$A40)*RTD("tos.rtd",,"GAMMA","."&amp;D$2&amp;D$1&amp;"C"&amp;$A40)-$A$4*$A$4*RTD("tos.rtd",,"VOLUME","."&amp;D$2&amp;D$1&amp;"P"&amp;$A40)*RTD("tos.rtd",,"GAMMA","."&amp;D$2&amp;D$1&amp;"P"&amp;$A40))/1000000),0),IF($A$2="GEX",IFERROR(IF($X$1="ABS",($A$4*$A$4*RTD("tos.rtd",,"OPEN_INT","."&amp;D$2&amp;D$1&amp;"C"&amp;$A40)*RTD("tos.rtd",,"GAMMA","."&amp;D$2&amp;D$1&amp;"C"&amp;$A40)+$A$4*$A$4*RTD("tos.rtd",,"OPEN_INT","."&amp;D$2&amp;D$1&amp;"P"&amp;$A40)*RTD("tos.rtd",,"GAMMA","."&amp;D$2&amp;D$1&amp;"P"&amp;$A40))/1000000,($A$4*$A$4*RTD("tos.rtd",,"OPEN_INT","."&amp;D$2&amp;D$1&amp;"C"&amp;$A40)*RTD("tos.rtd",,"GAMMA","."&amp;D$2&amp;D$1&amp;"C"&amp;$A40)-$A$4*$A$4*RTD("tos.rtd",,"OPEN_INT","."&amp;D$2&amp;D$1&amp;"P"&amp;$A40)*RTD("tos.rtd",,"GAMMA","."&amp;D$2&amp;D$1&amp;"P"&amp;$A40))/1000000),0),IF($A$2="SKEW",IFERROR(VALUE(IF(RTD("tos.rtd",,"IMPL_VOL","."&amp;D$2&amp;D$1&amp;"P"&amp;$A40)="N/A",0,RTD("tos.rtd",,"IMPL_VOL","."&amp;D$2&amp;D$1&amp;"P"&amp;$A40))),0)-IFERROR(VALUE(IF(RTD("tos.rtd",,"IMPL_VOL","."&amp;D$2&amp;D$1&amp;"C"&amp;$A40)="N/A",0,RTD("tos.rtd",,"IMPL_VOL","."&amp;D$2&amp;D$1&amp;"C"&amp;$A40))),0),IF($A$2="MAXPAIN",IF($A$4&gt;$A40,($A$4-$A40)*IF(RTD("tos.rtd",,"OPEN_INT","."&amp;D$2&amp;D$1&amp;"C"&amp;$A40)="N/A",0,RTD("tos.rtd",,"OPEN_INT","."&amp;D$2&amp;D$1&amp;"C"&amp;$A40)),0)+IF($A$4&lt;$A40,($A$5-$A$4)*IF(RTD("tos.rtd",,"OPEN_INT","."&amp;D$2&amp;D$1&amp;"P"&amp;$A40)="N/A",0,RTD("tos.rtd",,"OPEN_INT","."&amp;D$2&amp;D$1&amp;"P"&amp;$A40)),0),IF($X$1="ABS",IF(RTD("tos.rtd",,$A$2,"."&amp;D$2&amp;D$1&amp;"C"&amp;$A40)="N/A",0,RTD("tos.rtd",,$A$2,"."&amp;D$2&amp;D$1&amp;"C"&amp;$A40))+IF(RTD("tos.rtd",,$A$2,"."&amp;D$2&amp;D$1&amp;"P"&amp;$A40)="N/A",0,RTD("tos.rtd",,$A$2,"."&amp;D$2&amp;D$1&amp;"P"&amp;$A40)),IF(RTD("tos.rtd",,$A$2,"."&amp;D$2&amp;D$1&amp;"C"&amp;$A40)="N/A",0,RTD("tos.rtd",,$A$2,"."&amp;D$2&amp;D$1&amp;"C"&amp;$A40))-IF(RTD("tos.rtd",,$A$2,"."&amp;D$2&amp;D$1&amp;"P"&amp;$A40)="N/A",0,RTD("tos.rtd",,$A$2,"."&amp;D$2&amp;D$1&amp;"P"&amp;$A40))))))))))</f>
        <v>0</v>
      </c>
      <c r="E40" s="12">
        <f ca="1">IF($A$2="PREMIUM_OI",IFERROR(IF($X$1="ABS",(100*RTD("tos.rtd",,"OPEN_INT","."&amp;E$2&amp;E$1&amp;"C"&amp;$A40)*RTD("tos.rtd",,"LAST","."&amp;E$2&amp;E$1&amp;"C"&amp;$A40)+100*RTD("tos.rtd",,"OPEN_INT","."&amp;E$2&amp;E$1&amp;"P"&amp;$A40)*RTD("tos.rtd",,"LAST","."&amp;E$2&amp;E$1&amp;"P"&amp;$A40))/1000000,(100*RTD("tos.rtd",,"OPEN_INT","."&amp;E$2&amp;E$1&amp;"C"&amp;$A40)*RTD("tos.rtd",,"LAST","."&amp;E$2&amp;E$1&amp;"C"&amp;$A40)-100*RTD("tos.rtd",,"OPEN_INT","."&amp;E$2&amp;E$1&amp;"P"&amp;$A40)*RTD("tos.rtd",,"LAST","."&amp;E$2&amp;E$1&amp;"P"&amp;$A40))/1000000),0),IF($A$2="PREMIUM",IFERROR(IF($X$1="ABS",(100*RTD("tos.rtd",,"VOLUME","."&amp;E$2&amp;E$1&amp;"C"&amp;$A40)*RTD("tos.rtd",,"LAST","."&amp;E$2&amp;E$1&amp;"C"&amp;$A40)+100*RTD("tos.rtd",,"VOLUME","."&amp;E$2&amp;E$1&amp;"P"&amp;$A40)*RTD("tos.rtd",,"LAST","."&amp;E$2&amp;E$1&amp;"P"&amp;$A40))/1000000,(100*RTD("tos.rtd",,"VOLUME","."&amp;E$2&amp;E$1&amp;"C"&amp;$A40)*RTD("tos.rtd",,"LAST","."&amp;E$2&amp;E$1&amp;"C"&amp;$A40)-100*RTD("tos.rtd",,"VOLUME","."&amp;E$2&amp;E$1&amp;"P"&amp;$A40)*RTD("tos.rtd",,"LAST","."&amp;E$2&amp;E$1&amp;"P"&amp;$A40))/1000000),0),IF($A$2="DEX",IFERROR(IF($X$1="ABS",(100*RTD("tos.rtd",,"OPEN_INT","."&amp;E$2&amp;E$1&amp;"C"&amp;$A40)*RTD("tos.rtd",,"DELTA","."&amp;E$2&amp;E$1&amp;"C"&amp;$A40)+100*RTD("tos.rtd",,"OPEN_INT","."&amp;E$2&amp;E$1&amp;"P"&amp;$A40)*RTD("tos.rtd",,"DELTA","."&amp;E$2&amp;E$1&amp;"P"&amp;$A40))/1000,(100*RTD("tos.rtd",,"OPEN_INT","."&amp;E$2&amp;E$1&amp;"C"&amp;$A40)*RTD("tos.rtd",,"DELTA","."&amp;E$2&amp;E$1&amp;"C"&amp;$A40)-100*RTD("tos.rtd",,"OPEN_INT","."&amp;E$2&amp;E$1&amp;"P"&amp;$A40)*RTD("tos.rtd",,"DELTA","."&amp;E$2&amp;E$1&amp;"P"&amp;$A40))/1000),0),IF($A$2="VEX",IFERROR(IF($X$1="ABS",($A$4*$A$4*RTD("tos.rtd",,"VOLUME","."&amp;E$2&amp;E$1&amp;"C"&amp;$A40)*RTD("tos.rtd",,"GAMMA","."&amp;E$2&amp;E$1&amp;"C"&amp;$A40)+$A$4*$A$4*RTD("tos.rtd",,"VOLUME","."&amp;E$2&amp;E$1&amp;"P"&amp;$A40)*RTD("tos.rtd",,"GAMMA","."&amp;E$2&amp;E$1&amp;"P"&amp;$A40))/1000000,($A$4*$A$4*RTD("tos.rtd",,"VOLUME","."&amp;E$2&amp;E$1&amp;"C"&amp;$A40)*RTD("tos.rtd",,"GAMMA","."&amp;E$2&amp;E$1&amp;"C"&amp;$A40)-$A$4*$A$4*RTD("tos.rtd",,"VOLUME","."&amp;E$2&amp;E$1&amp;"P"&amp;$A40)*RTD("tos.rtd",,"GAMMA","."&amp;E$2&amp;E$1&amp;"P"&amp;$A40))/1000000),0),IF($A$2="GEX",IFERROR(IF($X$1="ABS",($A$4*$A$4*RTD("tos.rtd",,"OPEN_INT","."&amp;E$2&amp;E$1&amp;"C"&amp;$A40)*RTD("tos.rtd",,"GAMMA","."&amp;E$2&amp;E$1&amp;"C"&amp;$A40)+$A$4*$A$4*RTD("tos.rtd",,"OPEN_INT","."&amp;E$2&amp;E$1&amp;"P"&amp;$A40)*RTD("tos.rtd",,"GAMMA","."&amp;E$2&amp;E$1&amp;"P"&amp;$A40))/1000000,($A$4*$A$4*RTD("tos.rtd",,"OPEN_INT","."&amp;E$2&amp;E$1&amp;"C"&amp;$A40)*RTD("tos.rtd",,"GAMMA","."&amp;E$2&amp;E$1&amp;"C"&amp;$A40)-$A$4*$A$4*RTD("tos.rtd",,"OPEN_INT","."&amp;E$2&amp;E$1&amp;"P"&amp;$A40)*RTD("tos.rtd",,"GAMMA","."&amp;E$2&amp;E$1&amp;"P"&amp;$A40))/1000000),0),IF($A$2="SKEW",IFERROR(VALUE(IF(RTD("tos.rtd",,"IMPL_VOL","."&amp;E$2&amp;E$1&amp;"P"&amp;$A40)="N/A",0,RTD("tos.rtd",,"IMPL_VOL","."&amp;E$2&amp;E$1&amp;"P"&amp;$A40))),0)-IFERROR(VALUE(IF(RTD("tos.rtd",,"IMPL_VOL","."&amp;E$2&amp;E$1&amp;"C"&amp;$A40)="N/A",0,RTD("tos.rtd",,"IMPL_VOL","."&amp;E$2&amp;E$1&amp;"C"&amp;$A40))),0),IF($A$2="MAXPAIN",IF($A$4&gt;$A40,($A$4-$A40)*IF(RTD("tos.rtd",,"OPEN_INT","."&amp;E$2&amp;E$1&amp;"C"&amp;$A40)="N/A",0,RTD("tos.rtd",,"OPEN_INT","."&amp;E$2&amp;E$1&amp;"C"&amp;$A40)),0)+IF($A$4&lt;$A40,($A$5-$A$4)*IF(RTD("tos.rtd",,"OPEN_INT","."&amp;E$2&amp;E$1&amp;"P"&amp;$A40)="N/A",0,RTD("tos.rtd",,"OPEN_INT","."&amp;E$2&amp;E$1&amp;"P"&amp;$A40)),0),IF($X$1="ABS",IF(RTD("tos.rtd",,$A$2,"."&amp;E$2&amp;E$1&amp;"C"&amp;$A40)="N/A",0,RTD("tos.rtd",,$A$2,"."&amp;E$2&amp;E$1&amp;"C"&amp;$A40))+IF(RTD("tos.rtd",,$A$2,"."&amp;E$2&amp;E$1&amp;"P"&amp;$A40)="N/A",0,RTD("tos.rtd",,$A$2,"."&amp;E$2&amp;E$1&amp;"P"&amp;$A40)),IF(RTD("tos.rtd",,$A$2,"."&amp;E$2&amp;E$1&amp;"C"&amp;$A40)="N/A",0,RTD("tos.rtd",,$A$2,"."&amp;E$2&amp;E$1&amp;"C"&amp;$A40))-IF(RTD("tos.rtd",,$A$2,"."&amp;E$2&amp;E$1&amp;"P"&amp;$A40)="N/A",0,RTD("tos.rtd",,$A$2,"."&amp;E$2&amp;E$1&amp;"P"&amp;$A40))))))))))</f>
        <v>0</v>
      </c>
      <c r="F40" s="12">
        <f ca="1">IF($A$2="PREMIUM_OI",IFERROR(IF($X$1="ABS",(100*RTD("tos.rtd",,"OPEN_INT","."&amp;F$2&amp;F$1&amp;"C"&amp;$A40)*RTD("tos.rtd",,"LAST","."&amp;F$2&amp;F$1&amp;"C"&amp;$A40)+100*RTD("tos.rtd",,"OPEN_INT","."&amp;F$2&amp;F$1&amp;"P"&amp;$A40)*RTD("tos.rtd",,"LAST","."&amp;F$2&amp;F$1&amp;"P"&amp;$A40))/1000000,(100*RTD("tos.rtd",,"OPEN_INT","."&amp;F$2&amp;F$1&amp;"C"&amp;$A40)*RTD("tos.rtd",,"LAST","."&amp;F$2&amp;F$1&amp;"C"&amp;$A40)-100*RTD("tos.rtd",,"OPEN_INT","."&amp;F$2&amp;F$1&amp;"P"&amp;$A40)*RTD("tos.rtd",,"LAST","."&amp;F$2&amp;F$1&amp;"P"&amp;$A40))/1000000),0),IF($A$2="PREMIUM",IFERROR(IF($X$1="ABS",(100*RTD("tos.rtd",,"VOLUME","."&amp;F$2&amp;F$1&amp;"C"&amp;$A40)*RTD("tos.rtd",,"LAST","."&amp;F$2&amp;F$1&amp;"C"&amp;$A40)+100*RTD("tos.rtd",,"VOLUME","."&amp;F$2&amp;F$1&amp;"P"&amp;$A40)*RTD("tos.rtd",,"LAST","."&amp;F$2&amp;F$1&amp;"P"&amp;$A40))/1000000,(100*RTD("tos.rtd",,"VOLUME","."&amp;F$2&amp;F$1&amp;"C"&amp;$A40)*RTD("tos.rtd",,"LAST","."&amp;F$2&amp;F$1&amp;"C"&amp;$A40)-100*RTD("tos.rtd",,"VOLUME","."&amp;F$2&amp;F$1&amp;"P"&amp;$A40)*RTD("tos.rtd",,"LAST","."&amp;F$2&amp;F$1&amp;"P"&amp;$A40))/1000000),0),IF($A$2="DEX",IFERROR(IF($X$1="ABS",(100*RTD("tos.rtd",,"OPEN_INT","."&amp;F$2&amp;F$1&amp;"C"&amp;$A40)*RTD("tos.rtd",,"DELTA","."&amp;F$2&amp;F$1&amp;"C"&amp;$A40)+100*RTD("tos.rtd",,"OPEN_INT","."&amp;F$2&amp;F$1&amp;"P"&amp;$A40)*RTD("tos.rtd",,"DELTA","."&amp;F$2&amp;F$1&amp;"P"&amp;$A40))/1000,(100*RTD("tos.rtd",,"OPEN_INT","."&amp;F$2&amp;F$1&amp;"C"&amp;$A40)*RTD("tos.rtd",,"DELTA","."&amp;F$2&amp;F$1&amp;"C"&amp;$A40)-100*RTD("tos.rtd",,"OPEN_INT","."&amp;F$2&amp;F$1&amp;"P"&amp;$A40)*RTD("tos.rtd",,"DELTA","."&amp;F$2&amp;F$1&amp;"P"&amp;$A40))/1000),0),IF($A$2="VEX",IFERROR(IF($X$1="ABS",($A$4*$A$4*RTD("tos.rtd",,"VOLUME","."&amp;F$2&amp;F$1&amp;"C"&amp;$A40)*RTD("tos.rtd",,"GAMMA","."&amp;F$2&amp;F$1&amp;"C"&amp;$A40)+$A$4*$A$4*RTD("tos.rtd",,"VOLUME","."&amp;F$2&amp;F$1&amp;"P"&amp;$A40)*RTD("tos.rtd",,"GAMMA","."&amp;F$2&amp;F$1&amp;"P"&amp;$A40))/1000000,($A$4*$A$4*RTD("tos.rtd",,"VOLUME","."&amp;F$2&amp;F$1&amp;"C"&amp;$A40)*RTD("tos.rtd",,"GAMMA","."&amp;F$2&amp;F$1&amp;"C"&amp;$A40)-$A$4*$A$4*RTD("tos.rtd",,"VOLUME","."&amp;F$2&amp;F$1&amp;"P"&amp;$A40)*RTD("tos.rtd",,"GAMMA","."&amp;F$2&amp;F$1&amp;"P"&amp;$A40))/1000000),0),IF($A$2="GEX",IFERROR(IF($X$1="ABS",($A$4*$A$4*RTD("tos.rtd",,"OPEN_INT","."&amp;F$2&amp;F$1&amp;"C"&amp;$A40)*RTD("tos.rtd",,"GAMMA","."&amp;F$2&amp;F$1&amp;"C"&amp;$A40)+$A$4*$A$4*RTD("tos.rtd",,"OPEN_INT","."&amp;F$2&amp;F$1&amp;"P"&amp;$A40)*RTD("tos.rtd",,"GAMMA","."&amp;F$2&amp;F$1&amp;"P"&amp;$A40))/1000000,($A$4*$A$4*RTD("tos.rtd",,"OPEN_INT","."&amp;F$2&amp;F$1&amp;"C"&amp;$A40)*RTD("tos.rtd",,"GAMMA","."&amp;F$2&amp;F$1&amp;"C"&amp;$A40)-$A$4*$A$4*RTD("tos.rtd",,"OPEN_INT","."&amp;F$2&amp;F$1&amp;"P"&amp;$A40)*RTD("tos.rtd",,"GAMMA","."&amp;F$2&amp;F$1&amp;"P"&amp;$A40))/1000000),0),IF($A$2="SKEW",IFERROR(VALUE(IF(RTD("tos.rtd",,"IMPL_VOL","."&amp;F$2&amp;F$1&amp;"P"&amp;$A40)="N/A",0,RTD("tos.rtd",,"IMPL_VOL","."&amp;F$2&amp;F$1&amp;"P"&amp;$A40))),0)-IFERROR(VALUE(IF(RTD("tos.rtd",,"IMPL_VOL","."&amp;F$2&amp;F$1&amp;"C"&amp;$A40)="N/A",0,RTD("tos.rtd",,"IMPL_VOL","."&amp;F$2&amp;F$1&amp;"C"&amp;$A40))),0),IF($A$2="MAXPAIN",IF($A$4&gt;$A40,($A$4-$A40)*IF(RTD("tos.rtd",,"OPEN_INT","."&amp;F$2&amp;F$1&amp;"C"&amp;$A40)="N/A",0,RTD("tos.rtd",,"OPEN_INT","."&amp;F$2&amp;F$1&amp;"C"&amp;$A40)),0)+IF($A$4&lt;$A40,($A$5-$A$4)*IF(RTD("tos.rtd",,"OPEN_INT","."&amp;F$2&amp;F$1&amp;"P"&amp;$A40)="N/A",0,RTD("tos.rtd",,"OPEN_INT","."&amp;F$2&amp;F$1&amp;"P"&amp;$A40)),0),IF($X$1="ABS",IF(RTD("tos.rtd",,$A$2,"."&amp;F$2&amp;F$1&amp;"C"&amp;$A40)="N/A",0,RTD("tos.rtd",,$A$2,"."&amp;F$2&amp;F$1&amp;"C"&amp;$A40))+IF(RTD("tos.rtd",,$A$2,"."&amp;F$2&amp;F$1&amp;"P"&amp;$A40)="N/A",0,RTD("tos.rtd",,$A$2,"."&amp;F$2&amp;F$1&amp;"P"&amp;$A40)),IF(RTD("tos.rtd",,$A$2,"."&amp;F$2&amp;F$1&amp;"C"&amp;$A40)="N/A",0,RTD("tos.rtd",,$A$2,"."&amp;F$2&amp;F$1&amp;"C"&amp;$A40))-IF(RTD("tos.rtd",,$A$2,"."&amp;F$2&amp;F$1&amp;"P"&amp;$A40)="N/A",0,RTD("tos.rtd",,$A$2,"."&amp;F$2&amp;F$1&amp;"P"&amp;$A40))))))))))</f>
        <v>0</v>
      </c>
      <c r="G40" s="54">
        <f ca="1">IF($A$2="PREMIUM_OI",IFERROR(IF($X$1="ABS",(100*RTD("tos.rtd",,"OPEN_INT","."&amp;G$2&amp;G$1&amp;"C"&amp;$A40)*RTD("tos.rtd",,"LAST","."&amp;G$2&amp;G$1&amp;"C"&amp;$A40)+100*RTD("tos.rtd",,"OPEN_INT","."&amp;G$2&amp;G$1&amp;"P"&amp;$A40)*RTD("tos.rtd",,"LAST","."&amp;G$2&amp;G$1&amp;"P"&amp;$A40))/1000000,(100*RTD("tos.rtd",,"OPEN_INT","."&amp;G$2&amp;G$1&amp;"C"&amp;$A40)*RTD("tos.rtd",,"LAST","."&amp;G$2&amp;G$1&amp;"C"&amp;$A40)-100*RTD("tos.rtd",,"OPEN_INT","."&amp;G$2&amp;G$1&amp;"P"&amp;$A40)*RTD("tos.rtd",,"LAST","."&amp;G$2&amp;G$1&amp;"P"&amp;$A40))/1000000),0),IF($A$2="PREMIUM",IFERROR(IF($X$1="ABS",(100*RTD("tos.rtd",,"VOLUME","."&amp;G$2&amp;G$1&amp;"C"&amp;$A40)*RTD("tos.rtd",,"LAST","."&amp;G$2&amp;G$1&amp;"C"&amp;$A40)+100*RTD("tos.rtd",,"VOLUME","."&amp;G$2&amp;G$1&amp;"P"&amp;$A40)*RTD("tos.rtd",,"LAST","."&amp;G$2&amp;G$1&amp;"P"&amp;$A40))/1000000,(100*RTD("tos.rtd",,"VOLUME","."&amp;G$2&amp;G$1&amp;"C"&amp;$A40)*RTD("tos.rtd",,"LAST","."&amp;G$2&amp;G$1&amp;"C"&amp;$A40)-100*RTD("tos.rtd",,"VOLUME","."&amp;G$2&amp;G$1&amp;"P"&amp;$A40)*RTD("tos.rtd",,"LAST","."&amp;G$2&amp;G$1&amp;"P"&amp;$A40))/1000000),0),IF($A$2="DEX",IFERROR(IF($X$1="ABS",(100*RTD("tos.rtd",,"OPEN_INT","."&amp;G$2&amp;G$1&amp;"C"&amp;$A40)*RTD("tos.rtd",,"DELTA","."&amp;G$2&amp;G$1&amp;"C"&amp;$A40)+100*RTD("tos.rtd",,"OPEN_INT","."&amp;G$2&amp;G$1&amp;"P"&amp;$A40)*RTD("tos.rtd",,"DELTA","."&amp;G$2&amp;G$1&amp;"P"&amp;$A40))/1000,(100*RTD("tos.rtd",,"OPEN_INT","."&amp;G$2&amp;G$1&amp;"C"&amp;$A40)*RTD("tos.rtd",,"DELTA","."&amp;G$2&amp;G$1&amp;"C"&amp;$A40)-100*RTD("tos.rtd",,"OPEN_INT","."&amp;G$2&amp;G$1&amp;"P"&amp;$A40)*RTD("tos.rtd",,"DELTA","."&amp;G$2&amp;G$1&amp;"P"&amp;$A40))/1000),0),IF($A$2="VEX",IFERROR(IF($X$1="ABS",($A$4*$A$4*RTD("tos.rtd",,"VOLUME","."&amp;G$2&amp;G$1&amp;"C"&amp;$A40)*RTD("tos.rtd",,"GAMMA","."&amp;G$2&amp;G$1&amp;"C"&amp;$A40)+$A$4*$A$4*RTD("tos.rtd",,"VOLUME","."&amp;G$2&amp;G$1&amp;"P"&amp;$A40)*RTD("tos.rtd",,"GAMMA","."&amp;G$2&amp;G$1&amp;"P"&amp;$A40))/1000000,($A$4*$A$4*RTD("tos.rtd",,"VOLUME","."&amp;G$2&amp;G$1&amp;"C"&amp;$A40)*RTD("tos.rtd",,"GAMMA","."&amp;G$2&amp;G$1&amp;"C"&amp;$A40)-$A$4*$A$4*RTD("tos.rtd",,"VOLUME","."&amp;G$2&amp;G$1&amp;"P"&amp;$A40)*RTD("tos.rtd",,"GAMMA","."&amp;G$2&amp;G$1&amp;"P"&amp;$A40))/1000000),0),IF($A$2="GEX",IFERROR(IF($X$1="ABS",($A$4*$A$4*RTD("tos.rtd",,"OPEN_INT","."&amp;G$2&amp;G$1&amp;"C"&amp;$A40)*RTD("tos.rtd",,"GAMMA","."&amp;G$2&amp;G$1&amp;"C"&amp;$A40)+$A$4*$A$4*RTD("tos.rtd",,"OPEN_INT","."&amp;G$2&amp;G$1&amp;"P"&amp;$A40)*RTD("tos.rtd",,"GAMMA","."&amp;G$2&amp;G$1&amp;"P"&amp;$A40))/1000000,($A$4*$A$4*RTD("tos.rtd",,"OPEN_INT","."&amp;G$2&amp;G$1&amp;"C"&amp;$A40)*RTD("tos.rtd",,"GAMMA","."&amp;G$2&amp;G$1&amp;"C"&amp;$A40)-$A$4*$A$4*RTD("tos.rtd",,"OPEN_INT","."&amp;G$2&amp;G$1&amp;"P"&amp;$A40)*RTD("tos.rtd",,"GAMMA","."&amp;G$2&amp;G$1&amp;"P"&amp;$A40))/1000000),0),IF($A$2="SKEW",IFERROR(VALUE(IF(RTD("tos.rtd",,"IMPL_VOL","."&amp;G$2&amp;G$1&amp;"P"&amp;$A40)="N/A",0,RTD("tos.rtd",,"IMPL_VOL","."&amp;G$2&amp;G$1&amp;"P"&amp;$A40))),0)-IFERROR(VALUE(IF(RTD("tos.rtd",,"IMPL_VOL","."&amp;G$2&amp;G$1&amp;"C"&amp;$A40)="N/A",0,RTD("tos.rtd",,"IMPL_VOL","."&amp;G$2&amp;G$1&amp;"C"&amp;$A40))),0),IF($A$2="MAXPAIN",IF($A$4&gt;$A40,($A$4-$A40)*IF(RTD("tos.rtd",,"OPEN_INT","."&amp;G$2&amp;G$1&amp;"C"&amp;$A40)="N/A",0,RTD("tos.rtd",,"OPEN_INT","."&amp;G$2&amp;G$1&amp;"C"&amp;$A40)),0)+IF($A$4&lt;$A40,($A$5-$A$4)*IF(RTD("tos.rtd",,"OPEN_INT","."&amp;G$2&amp;G$1&amp;"P"&amp;$A40)="N/A",0,RTD("tos.rtd",,"OPEN_INT","."&amp;G$2&amp;G$1&amp;"P"&amp;$A40)),0),IF($X$1="ABS",IF(RTD("tos.rtd",,$A$2,"."&amp;G$2&amp;G$1&amp;"C"&amp;$A40)="N/A",0,RTD("tos.rtd",,$A$2,"."&amp;G$2&amp;G$1&amp;"C"&amp;$A40))+IF(RTD("tos.rtd",,$A$2,"."&amp;G$2&amp;G$1&amp;"P"&amp;$A40)="N/A",0,RTD("tos.rtd",,$A$2,"."&amp;G$2&amp;G$1&amp;"P"&amp;$A40)),IF(RTD("tos.rtd",,$A$2,"."&amp;G$2&amp;G$1&amp;"C"&amp;$A40)="N/A",0,RTD("tos.rtd",,$A$2,"."&amp;G$2&amp;G$1&amp;"C"&amp;$A40))-IF(RTD("tos.rtd",,$A$2,"."&amp;G$2&amp;G$1&amp;"P"&amp;$A40)="N/A",0,RTD("tos.rtd",,$A$2,"."&amp;G$2&amp;G$1&amp;"P"&amp;$A40))))))))))</f>
        <v>0</v>
      </c>
      <c r="H40" s="14">
        <f ca="1">IF($A$2="PREMIUM_OI",IFERROR(IF($X$1="ABS",(100*RTD("tos.rtd",,"OPEN_INT","."&amp;H$2&amp;H$1&amp;"C"&amp;$A40)*RTD("tos.rtd",,"LAST","."&amp;H$2&amp;H$1&amp;"C"&amp;$A40)+100*RTD("tos.rtd",,"OPEN_INT","."&amp;H$2&amp;H$1&amp;"P"&amp;$A40)*RTD("tos.rtd",,"LAST","."&amp;H$2&amp;H$1&amp;"P"&amp;$A40))/1000000,(100*RTD("tos.rtd",,"OPEN_INT","."&amp;H$2&amp;H$1&amp;"C"&amp;$A40)*RTD("tos.rtd",,"LAST","."&amp;H$2&amp;H$1&amp;"C"&amp;$A40)-100*RTD("tos.rtd",,"OPEN_INT","."&amp;H$2&amp;H$1&amp;"P"&amp;$A40)*RTD("tos.rtd",,"LAST","."&amp;H$2&amp;H$1&amp;"P"&amp;$A40))/1000000),0),IF($A$2="PREMIUM",IFERROR(IF($X$1="ABS",(100*RTD("tos.rtd",,"VOLUME","."&amp;H$2&amp;H$1&amp;"C"&amp;$A40)*RTD("tos.rtd",,"LAST","."&amp;H$2&amp;H$1&amp;"C"&amp;$A40)+100*RTD("tos.rtd",,"VOLUME","."&amp;H$2&amp;H$1&amp;"P"&amp;$A40)*RTD("tos.rtd",,"LAST","."&amp;H$2&amp;H$1&amp;"P"&amp;$A40))/1000000,(100*RTD("tos.rtd",,"VOLUME","."&amp;H$2&amp;H$1&amp;"C"&amp;$A40)*RTD("tos.rtd",,"LAST","."&amp;H$2&amp;H$1&amp;"C"&amp;$A40)-100*RTD("tos.rtd",,"VOLUME","."&amp;H$2&amp;H$1&amp;"P"&amp;$A40)*RTD("tos.rtd",,"LAST","."&amp;H$2&amp;H$1&amp;"P"&amp;$A40))/1000000),0),IF($A$2="DEX",IFERROR(IF($X$1="ABS",(100*RTD("tos.rtd",,"OPEN_INT","."&amp;H$2&amp;H$1&amp;"C"&amp;$A40)*RTD("tos.rtd",,"DELTA","."&amp;H$2&amp;H$1&amp;"C"&amp;$A40)+100*RTD("tos.rtd",,"OPEN_INT","."&amp;H$2&amp;H$1&amp;"P"&amp;$A40)*RTD("tos.rtd",,"DELTA","."&amp;H$2&amp;H$1&amp;"P"&amp;$A40))/1000,(100*RTD("tos.rtd",,"OPEN_INT","."&amp;H$2&amp;H$1&amp;"C"&amp;$A40)*RTD("tos.rtd",,"DELTA","."&amp;H$2&amp;H$1&amp;"C"&amp;$A40)-100*RTD("tos.rtd",,"OPEN_INT","."&amp;H$2&amp;H$1&amp;"P"&amp;$A40)*RTD("tos.rtd",,"DELTA","."&amp;H$2&amp;H$1&amp;"P"&amp;$A40))/1000),0),IF($A$2="VEX",IFERROR(IF($X$1="ABS",($A$4*$A$4*RTD("tos.rtd",,"VOLUME","."&amp;H$2&amp;H$1&amp;"C"&amp;$A40)*RTD("tos.rtd",,"GAMMA","."&amp;H$2&amp;H$1&amp;"C"&amp;$A40)+$A$4*$A$4*RTD("tos.rtd",,"VOLUME","."&amp;H$2&amp;H$1&amp;"P"&amp;$A40)*RTD("tos.rtd",,"GAMMA","."&amp;H$2&amp;H$1&amp;"P"&amp;$A40))/1000000,($A$4*$A$4*RTD("tos.rtd",,"VOLUME","."&amp;H$2&amp;H$1&amp;"C"&amp;$A40)*RTD("tos.rtd",,"GAMMA","."&amp;H$2&amp;H$1&amp;"C"&amp;$A40)-$A$4*$A$4*RTD("tos.rtd",,"VOLUME","."&amp;H$2&amp;H$1&amp;"P"&amp;$A40)*RTD("tos.rtd",,"GAMMA","."&amp;H$2&amp;H$1&amp;"P"&amp;$A40))/1000000),0),IF($A$2="GEX",IFERROR(IF($X$1="ABS",($A$4*$A$4*RTD("tos.rtd",,"OPEN_INT","."&amp;H$2&amp;H$1&amp;"C"&amp;$A40)*RTD("tos.rtd",,"GAMMA","."&amp;H$2&amp;H$1&amp;"C"&amp;$A40)+$A$4*$A$4*RTD("tos.rtd",,"OPEN_INT","."&amp;H$2&amp;H$1&amp;"P"&amp;$A40)*RTD("tos.rtd",,"GAMMA","."&amp;H$2&amp;H$1&amp;"P"&amp;$A40))/1000000,($A$4*$A$4*RTD("tos.rtd",,"OPEN_INT","."&amp;H$2&amp;H$1&amp;"C"&amp;$A40)*RTD("tos.rtd",,"GAMMA","."&amp;H$2&amp;H$1&amp;"C"&amp;$A40)-$A$4*$A$4*RTD("tos.rtd",,"OPEN_INT","."&amp;H$2&amp;H$1&amp;"P"&amp;$A40)*RTD("tos.rtd",,"GAMMA","."&amp;H$2&amp;H$1&amp;"P"&amp;$A40))/1000000),0),IF($A$2="SKEW",IFERROR(VALUE(IF(RTD("tos.rtd",,"IMPL_VOL","."&amp;H$2&amp;H$1&amp;"P"&amp;$A40)="N/A",0,RTD("tos.rtd",,"IMPL_VOL","."&amp;H$2&amp;H$1&amp;"P"&amp;$A40))),0)-IFERROR(VALUE(IF(RTD("tos.rtd",,"IMPL_VOL","."&amp;H$2&amp;H$1&amp;"C"&amp;$A40)="N/A",0,RTD("tos.rtd",,"IMPL_VOL","."&amp;H$2&amp;H$1&amp;"C"&amp;$A40))),0),IF($A$2="MAXPAIN",IF($A$4&gt;$A40,($A$4-$A40)*IF(RTD("tos.rtd",,"OPEN_INT","."&amp;H$2&amp;H$1&amp;"C"&amp;$A40)="N/A",0,RTD("tos.rtd",,"OPEN_INT","."&amp;H$2&amp;H$1&amp;"C"&amp;$A40)),0)+IF($A$4&lt;$A40,($A$5-$A$4)*IF(RTD("tos.rtd",,"OPEN_INT","."&amp;H$2&amp;H$1&amp;"P"&amp;$A40)="N/A",0,RTD("tos.rtd",,"OPEN_INT","."&amp;H$2&amp;H$1&amp;"P"&amp;$A40)),0),IF($X$1="ABS",IF(RTD("tos.rtd",,$A$2,"."&amp;H$2&amp;H$1&amp;"C"&amp;$A40)="N/A",0,RTD("tos.rtd",,$A$2,"."&amp;H$2&amp;H$1&amp;"C"&amp;$A40))+IF(RTD("tos.rtd",,$A$2,"."&amp;H$2&amp;H$1&amp;"P"&amp;$A40)="N/A",0,RTD("tos.rtd",,$A$2,"."&amp;H$2&amp;H$1&amp;"P"&amp;$A40)),IF(RTD("tos.rtd",,$A$2,"."&amp;H$2&amp;H$1&amp;"C"&amp;$A40)="N/A",0,RTD("tos.rtd",,$A$2,"."&amp;H$2&amp;H$1&amp;"C"&amp;$A40))-IF(RTD("tos.rtd",,$A$2,"."&amp;H$2&amp;H$1&amp;"P"&amp;$A40)="N/A",0,RTD("tos.rtd",,$A$2,"."&amp;H$2&amp;H$1&amp;"P"&amp;$A40))))))))))</f>
        <v>0</v>
      </c>
      <c r="I40" s="12">
        <f ca="1">IF($A$2="PREMIUM_OI",IFERROR(IF($X$1="ABS",(100*RTD("tos.rtd",,"OPEN_INT","."&amp;I$2&amp;I$1&amp;"C"&amp;$A40)*RTD("tos.rtd",,"LAST","."&amp;I$2&amp;I$1&amp;"C"&amp;$A40)+100*RTD("tos.rtd",,"OPEN_INT","."&amp;I$2&amp;I$1&amp;"P"&amp;$A40)*RTD("tos.rtd",,"LAST","."&amp;I$2&amp;I$1&amp;"P"&amp;$A40))/1000000,(100*RTD("tos.rtd",,"OPEN_INT","."&amp;I$2&amp;I$1&amp;"C"&amp;$A40)*RTD("tos.rtd",,"LAST","."&amp;I$2&amp;I$1&amp;"C"&amp;$A40)-100*RTD("tos.rtd",,"OPEN_INT","."&amp;I$2&amp;I$1&amp;"P"&amp;$A40)*RTD("tos.rtd",,"LAST","."&amp;I$2&amp;I$1&amp;"P"&amp;$A40))/1000000),0),IF($A$2="PREMIUM",IFERROR(IF($X$1="ABS",(100*RTD("tos.rtd",,"VOLUME","."&amp;I$2&amp;I$1&amp;"C"&amp;$A40)*RTD("tos.rtd",,"LAST","."&amp;I$2&amp;I$1&amp;"C"&amp;$A40)+100*RTD("tos.rtd",,"VOLUME","."&amp;I$2&amp;I$1&amp;"P"&amp;$A40)*RTD("tos.rtd",,"LAST","."&amp;I$2&amp;I$1&amp;"P"&amp;$A40))/1000000,(100*RTD("tos.rtd",,"VOLUME","."&amp;I$2&amp;I$1&amp;"C"&amp;$A40)*RTD("tos.rtd",,"LAST","."&amp;I$2&amp;I$1&amp;"C"&amp;$A40)-100*RTD("tos.rtd",,"VOLUME","."&amp;I$2&amp;I$1&amp;"P"&amp;$A40)*RTD("tos.rtd",,"LAST","."&amp;I$2&amp;I$1&amp;"P"&amp;$A40))/1000000),0),IF($A$2="DEX",IFERROR(IF($X$1="ABS",(100*RTD("tos.rtd",,"OPEN_INT","."&amp;I$2&amp;I$1&amp;"C"&amp;$A40)*RTD("tos.rtd",,"DELTA","."&amp;I$2&amp;I$1&amp;"C"&amp;$A40)+100*RTD("tos.rtd",,"OPEN_INT","."&amp;I$2&amp;I$1&amp;"P"&amp;$A40)*RTD("tos.rtd",,"DELTA","."&amp;I$2&amp;I$1&amp;"P"&amp;$A40))/1000,(100*RTD("tos.rtd",,"OPEN_INT","."&amp;I$2&amp;I$1&amp;"C"&amp;$A40)*RTD("tos.rtd",,"DELTA","."&amp;I$2&amp;I$1&amp;"C"&amp;$A40)-100*RTD("tos.rtd",,"OPEN_INT","."&amp;I$2&amp;I$1&amp;"P"&amp;$A40)*RTD("tos.rtd",,"DELTA","."&amp;I$2&amp;I$1&amp;"P"&amp;$A40))/1000),0),IF($A$2="VEX",IFERROR(IF($X$1="ABS",($A$4*$A$4*RTD("tos.rtd",,"VOLUME","."&amp;I$2&amp;I$1&amp;"C"&amp;$A40)*RTD("tos.rtd",,"GAMMA","."&amp;I$2&amp;I$1&amp;"C"&amp;$A40)+$A$4*$A$4*RTD("tos.rtd",,"VOLUME","."&amp;I$2&amp;I$1&amp;"P"&amp;$A40)*RTD("tos.rtd",,"GAMMA","."&amp;I$2&amp;I$1&amp;"P"&amp;$A40))/1000000,($A$4*$A$4*RTD("tos.rtd",,"VOLUME","."&amp;I$2&amp;I$1&amp;"C"&amp;$A40)*RTD("tos.rtd",,"GAMMA","."&amp;I$2&amp;I$1&amp;"C"&amp;$A40)-$A$4*$A$4*RTD("tos.rtd",,"VOLUME","."&amp;I$2&amp;I$1&amp;"P"&amp;$A40)*RTD("tos.rtd",,"GAMMA","."&amp;I$2&amp;I$1&amp;"P"&amp;$A40))/1000000),0),IF($A$2="GEX",IFERROR(IF($X$1="ABS",($A$4*$A$4*RTD("tos.rtd",,"OPEN_INT","."&amp;I$2&amp;I$1&amp;"C"&amp;$A40)*RTD("tos.rtd",,"GAMMA","."&amp;I$2&amp;I$1&amp;"C"&amp;$A40)+$A$4*$A$4*RTD("tos.rtd",,"OPEN_INT","."&amp;I$2&amp;I$1&amp;"P"&amp;$A40)*RTD("tos.rtd",,"GAMMA","."&amp;I$2&amp;I$1&amp;"P"&amp;$A40))/1000000,($A$4*$A$4*RTD("tos.rtd",,"OPEN_INT","."&amp;I$2&amp;I$1&amp;"C"&amp;$A40)*RTD("tos.rtd",,"GAMMA","."&amp;I$2&amp;I$1&amp;"C"&amp;$A40)-$A$4*$A$4*RTD("tos.rtd",,"OPEN_INT","."&amp;I$2&amp;I$1&amp;"P"&amp;$A40)*RTD("tos.rtd",,"GAMMA","."&amp;I$2&amp;I$1&amp;"P"&amp;$A40))/1000000),0),IF($A$2="SKEW",IFERROR(VALUE(IF(RTD("tos.rtd",,"IMPL_VOL","."&amp;I$2&amp;I$1&amp;"P"&amp;$A40)="N/A",0,RTD("tos.rtd",,"IMPL_VOL","."&amp;I$2&amp;I$1&amp;"P"&amp;$A40))),0)-IFERROR(VALUE(IF(RTD("tos.rtd",,"IMPL_VOL","."&amp;I$2&amp;I$1&amp;"C"&amp;$A40)="N/A",0,RTD("tos.rtd",,"IMPL_VOL","."&amp;I$2&amp;I$1&amp;"C"&amp;$A40))),0),IF($A$2="MAXPAIN",IF($A$4&gt;$A40,($A$4-$A40)*IF(RTD("tos.rtd",,"OPEN_INT","."&amp;I$2&amp;I$1&amp;"C"&amp;$A40)="N/A",0,RTD("tos.rtd",,"OPEN_INT","."&amp;I$2&amp;I$1&amp;"C"&amp;$A40)),0)+IF($A$4&lt;$A40,($A$5-$A$4)*IF(RTD("tos.rtd",,"OPEN_INT","."&amp;I$2&amp;I$1&amp;"P"&amp;$A40)="N/A",0,RTD("tos.rtd",,"OPEN_INT","."&amp;I$2&amp;I$1&amp;"P"&amp;$A40)),0),IF($X$1="ABS",IF(RTD("tos.rtd",,$A$2,"."&amp;I$2&amp;I$1&amp;"C"&amp;$A40)="N/A",0,RTD("tos.rtd",,$A$2,"."&amp;I$2&amp;I$1&amp;"C"&amp;$A40))+IF(RTD("tos.rtd",,$A$2,"."&amp;I$2&amp;I$1&amp;"P"&amp;$A40)="N/A",0,RTD("tos.rtd",,$A$2,"."&amp;I$2&amp;I$1&amp;"P"&amp;$A40)),IF(RTD("tos.rtd",,$A$2,"."&amp;I$2&amp;I$1&amp;"C"&amp;$A40)="N/A",0,RTD("tos.rtd",,$A$2,"."&amp;I$2&amp;I$1&amp;"C"&amp;$A40))-IF(RTD("tos.rtd",,$A$2,"."&amp;I$2&amp;I$1&amp;"P"&amp;$A40)="N/A",0,RTD("tos.rtd",,$A$2,"."&amp;I$2&amp;I$1&amp;"P"&amp;$A40))))))))))</f>
        <v>0</v>
      </c>
      <c r="J40" s="12">
        <f ca="1">IF($A$2="PREMIUM_OI",IFERROR(IF($X$1="ABS",(100*RTD("tos.rtd",,"OPEN_INT","."&amp;J$2&amp;J$1&amp;"C"&amp;$A40)*RTD("tos.rtd",,"LAST","."&amp;J$2&amp;J$1&amp;"C"&amp;$A40)+100*RTD("tos.rtd",,"OPEN_INT","."&amp;J$2&amp;J$1&amp;"P"&amp;$A40)*RTD("tos.rtd",,"LAST","."&amp;J$2&amp;J$1&amp;"P"&amp;$A40))/1000000,(100*RTD("tos.rtd",,"OPEN_INT","."&amp;J$2&amp;J$1&amp;"C"&amp;$A40)*RTD("tos.rtd",,"LAST","."&amp;J$2&amp;J$1&amp;"C"&amp;$A40)-100*RTD("tos.rtd",,"OPEN_INT","."&amp;J$2&amp;J$1&amp;"P"&amp;$A40)*RTD("tos.rtd",,"LAST","."&amp;J$2&amp;J$1&amp;"P"&amp;$A40))/1000000),0),IF($A$2="PREMIUM",IFERROR(IF($X$1="ABS",(100*RTD("tos.rtd",,"VOLUME","."&amp;J$2&amp;J$1&amp;"C"&amp;$A40)*RTD("tos.rtd",,"LAST","."&amp;J$2&amp;J$1&amp;"C"&amp;$A40)+100*RTD("tos.rtd",,"VOLUME","."&amp;J$2&amp;J$1&amp;"P"&amp;$A40)*RTD("tos.rtd",,"LAST","."&amp;J$2&amp;J$1&amp;"P"&amp;$A40))/1000000,(100*RTD("tos.rtd",,"VOLUME","."&amp;J$2&amp;J$1&amp;"C"&amp;$A40)*RTD("tos.rtd",,"LAST","."&amp;J$2&amp;J$1&amp;"C"&amp;$A40)-100*RTD("tos.rtd",,"VOLUME","."&amp;J$2&amp;J$1&amp;"P"&amp;$A40)*RTD("tos.rtd",,"LAST","."&amp;J$2&amp;J$1&amp;"P"&amp;$A40))/1000000),0),IF($A$2="DEX",IFERROR(IF($X$1="ABS",(100*RTD("tos.rtd",,"OPEN_INT","."&amp;J$2&amp;J$1&amp;"C"&amp;$A40)*RTD("tos.rtd",,"DELTA","."&amp;J$2&amp;J$1&amp;"C"&amp;$A40)+100*RTD("tos.rtd",,"OPEN_INT","."&amp;J$2&amp;J$1&amp;"P"&amp;$A40)*RTD("tos.rtd",,"DELTA","."&amp;J$2&amp;J$1&amp;"P"&amp;$A40))/1000,(100*RTD("tos.rtd",,"OPEN_INT","."&amp;J$2&amp;J$1&amp;"C"&amp;$A40)*RTD("tos.rtd",,"DELTA","."&amp;J$2&amp;J$1&amp;"C"&amp;$A40)-100*RTD("tos.rtd",,"OPEN_INT","."&amp;J$2&amp;J$1&amp;"P"&amp;$A40)*RTD("tos.rtd",,"DELTA","."&amp;J$2&amp;J$1&amp;"P"&amp;$A40))/1000),0),IF($A$2="VEX",IFERROR(IF($X$1="ABS",($A$4*$A$4*RTD("tos.rtd",,"VOLUME","."&amp;J$2&amp;J$1&amp;"C"&amp;$A40)*RTD("tos.rtd",,"GAMMA","."&amp;J$2&amp;J$1&amp;"C"&amp;$A40)+$A$4*$A$4*RTD("tos.rtd",,"VOLUME","."&amp;J$2&amp;J$1&amp;"P"&amp;$A40)*RTD("tos.rtd",,"GAMMA","."&amp;J$2&amp;J$1&amp;"P"&amp;$A40))/1000000,($A$4*$A$4*RTD("tos.rtd",,"VOLUME","."&amp;J$2&amp;J$1&amp;"C"&amp;$A40)*RTD("tos.rtd",,"GAMMA","."&amp;J$2&amp;J$1&amp;"C"&amp;$A40)-$A$4*$A$4*RTD("tos.rtd",,"VOLUME","."&amp;J$2&amp;J$1&amp;"P"&amp;$A40)*RTD("tos.rtd",,"GAMMA","."&amp;J$2&amp;J$1&amp;"P"&amp;$A40))/1000000),0),IF($A$2="GEX",IFERROR(IF($X$1="ABS",($A$4*$A$4*RTD("tos.rtd",,"OPEN_INT","."&amp;J$2&amp;J$1&amp;"C"&amp;$A40)*RTD("tos.rtd",,"GAMMA","."&amp;J$2&amp;J$1&amp;"C"&amp;$A40)+$A$4*$A$4*RTD("tos.rtd",,"OPEN_INT","."&amp;J$2&amp;J$1&amp;"P"&amp;$A40)*RTD("tos.rtd",,"GAMMA","."&amp;J$2&amp;J$1&amp;"P"&amp;$A40))/1000000,($A$4*$A$4*RTD("tos.rtd",,"OPEN_INT","."&amp;J$2&amp;J$1&amp;"C"&amp;$A40)*RTD("tos.rtd",,"GAMMA","."&amp;J$2&amp;J$1&amp;"C"&amp;$A40)-$A$4*$A$4*RTD("tos.rtd",,"OPEN_INT","."&amp;J$2&amp;J$1&amp;"P"&amp;$A40)*RTD("tos.rtd",,"GAMMA","."&amp;J$2&amp;J$1&amp;"P"&amp;$A40))/1000000),0),IF($A$2="SKEW",IFERROR(VALUE(IF(RTD("tos.rtd",,"IMPL_VOL","."&amp;J$2&amp;J$1&amp;"P"&amp;$A40)="N/A",0,RTD("tos.rtd",,"IMPL_VOL","."&amp;J$2&amp;J$1&amp;"P"&amp;$A40))),0)-IFERROR(VALUE(IF(RTD("tos.rtd",,"IMPL_VOL","."&amp;J$2&amp;J$1&amp;"C"&amp;$A40)="N/A",0,RTD("tos.rtd",,"IMPL_VOL","."&amp;J$2&amp;J$1&amp;"C"&amp;$A40))),0),IF($A$2="MAXPAIN",IF($A$4&gt;$A40,($A$4-$A40)*IF(RTD("tos.rtd",,"OPEN_INT","."&amp;J$2&amp;J$1&amp;"C"&amp;$A40)="N/A",0,RTD("tos.rtd",,"OPEN_INT","."&amp;J$2&amp;J$1&amp;"C"&amp;$A40)),0)+IF($A$4&lt;$A40,($A$5-$A$4)*IF(RTD("tos.rtd",,"OPEN_INT","."&amp;J$2&amp;J$1&amp;"P"&amp;$A40)="N/A",0,RTD("tos.rtd",,"OPEN_INT","."&amp;J$2&amp;J$1&amp;"P"&amp;$A40)),0),IF($X$1="ABS",IF(RTD("tos.rtd",,$A$2,"."&amp;J$2&amp;J$1&amp;"C"&amp;$A40)="N/A",0,RTD("tos.rtd",,$A$2,"."&amp;J$2&amp;J$1&amp;"C"&amp;$A40))+IF(RTD("tos.rtd",,$A$2,"."&amp;J$2&amp;J$1&amp;"P"&amp;$A40)="N/A",0,RTD("tos.rtd",,$A$2,"."&amp;J$2&amp;J$1&amp;"P"&amp;$A40)),IF(RTD("tos.rtd",,$A$2,"."&amp;J$2&amp;J$1&amp;"C"&amp;$A40)="N/A",0,RTD("tos.rtd",,$A$2,"."&amp;J$2&amp;J$1&amp;"C"&amp;$A40))-IF(RTD("tos.rtd",,$A$2,"."&amp;J$2&amp;J$1&amp;"P"&amp;$A40)="N/A",0,RTD("tos.rtd",,$A$2,"."&amp;J$2&amp;J$1&amp;"P"&amp;$A40))))))))))</f>
        <v>0</v>
      </c>
      <c r="K40" s="12">
        <f ca="1">IF($A$2="PREMIUM_OI",IFERROR(IF($X$1="ABS",(100*RTD("tos.rtd",,"OPEN_INT","."&amp;K$2&amp;K$1&amp;"C"&amp;$A40)*RTD("tos.rtd",,"LAST","."&amp;K$2&amp;K$1&amp;"C"&amp;$A40)+100*RTD("tos.rtd",,"OPEN_INT","."&amp;K$2&amp;K$1&amp;"P"&amp;$A40)*RTD("tos.rtd",,"LAST","."&amp;K$2&amp;K$1&amp;"P"&amp;$A40))/1000000,(100*RTD("tos.rtd",,"OPEN_INT","."&amp;K$2&amp;K$1&amp;"C"&amp;$A40)*RTD("tos.rtd",,"LAST","."&amp;K$2&amp;K$1&amp;"C"&amp;$A40)-100*RTD("tos.rtd",,"OPEN_INT","."&amp;K$2&amp;K$1&amp;"P"&amp;$A40)*RTD("tos.rtd",,"LAST","."&amp;K$2&amp;K$1&amp;"P"&amp;$A40))/1000000),0),IF($A$2="PREMIUM",IFERROR(IF($X$1="ABS",(100*RTD("tos.rtd",,"VOLUME","."&amp;K$2&amp;K$1&amp;"C"&amp;$A40)*RTD("tos.rtd",,"LAST","."&amp;K$2&amp;K$1&amp;"C"&amp;$A40)+100*RTD("tos.rtd",,"VOLUME","."&amp;K$2&amp;K$1&amp;"P"&amp;$A40)*RTD("tos.rtd",,"LAST","."&amp;K$2&amp;K$1&amp;"P"&amp;$A40))/1000000,(100*RTD("tos.rtd",,"VOLUME","."&amp;K$2&amp;K$1&amp;"C"&amp;$A40)*RTD("tos.rtd",,"LAST","."&amp;K$2&amp;K$1&amp;"C"&amp;$A40)-100*RTD("tos.rtd",,"VOLUME","."&amp;K$2&amp;K$1&amp;"P"&amp;$A40)*RTD("tos.rtd",,"LAST","."&amp;K$2&amp;K$1&amp;"P"&amp;$A40))/1000000),0),IF($A$2="DEX",IFERROR(IF($X$1="ABS",(100*RTD("tos.rtd",,"OPEN_INT","."&amp;K$2&amp;K$1&amp;"C"&amp;$A40)*RTD("tos.rtd",,"DELTA","."&amp;K$2&amp;K$1&amp;"C"&amp;$A40)+100*RTD("tos.rtd",,"OPEN_INT","."&amp;K$2&amp;K$1&amp;"P"&amp;$A40)*RTD("tos.rtd",,"DELTA","."&amp;K$2&amp;K$1&amp;"P"&amp;$A40))/1000,(100*RTD("tos.rtd",,"OPEN_INT","."&amp;K$2&amp;K$1&amp;"C"&amp;$A40)*RTD("tos.rtd",,"DELTA","."&amp;K$2&amp;K$1&amp;"C"&amp;$A40)-100*RTD("tos.rtd",,"OPEN_INT","."&amp;K$2&amp;K$1&amp;"P"&amp;$A40)*RTD("tos.rtd",,"DELTA","."&amp;K$2&amp;K$1&amp;"P"&amp;$A40))/1000),0),IF($A$2="VEX",IFERROR(IF($X$1="ABS",($A$4*$A$4*RTD("tos.rtd",,"VOLUME","."&amp;K$2&amp;K$1&amp;"C"&amp;$A40)*RTD("tos.rtd",,"GAMMA","."&amp;K$2&amp;K$1&amp;"C"&amp;$A40)+$A$4*$A$4*RTD("tos.rtd",,"VOLUME","."&amp;K$2&amp;K$1&amp;"P"&amp;$A40)*RTD("tos.rtd",,"GAMMA","."&amp;K$2&amp;K$1&amp;"P"&amp;$A40))/1000000,($A$4*$A$4*RTD("tos.rtd",,"VOLUME","."&amp;K$2&amp;K$1&amp;"C"&amp;$A40)*RTD("tos.rtd",,"GAMMA","."&amp;K$2&amp;K$1&amp;"C"&amp;$A40)-$A$4*$A$4*RTD("tos.rtd",,"VOLUME","."&amp;K$2&amp;K$1&amp;"P"&amp;$A40)*RTD("tos.rtd",,"GAMMA","."&amp;K$2&amp;K$1&amp;"P"&amp;$A40))/1000000),0),IF($A$2="GEX",IFERROR(IF($X$1="ABS",($A$4*$A$4*RTD("tos.rtd",,"OPEN_INT","."&amp;K$2&amp;K$1&amp;"C"&amp;$A40)*RTD("tos.rtd",,"GAMMA","."&amp;K$2&amp;K$1&amp;"C"&amp;$A40)+$A$4*$A$4*RTD("tos.rtd",,"OPEN_INT","."&amp;K$2&amp;K$1&amp;"P"&amp;$A40)*RTD("tos.rtd",,"GAMMA","."&amp;K$2&amp;K$1&amp;"P"&amp;$A40))/1000000,($A$4*$A$4*RTD("tos.rtd",,"OPEN_INT","."&amp;K$2&amp;K$1&amp;"C"&amp;$A40)*RTD("tos.rtd",,"GAMMA","."&amp;K$2&amp;K$1&amp;"C"&amp;$A40)-$A$4*$A$4*RTD("tos.rtd",,"OPEN_INT","."&amp;K$2&amp;K$1&amp;"P"&amp;$A40)*RTD("tos.rtd",,"GAMMA","."&amp;K$2&amp;K$1&amp;"P"&amp;$A40))/1000000),0),IF($A$2="SKEW",IFERROR(VALUE(IF(RTD("tos.rtd",,"IMPL_VOL","."&amp;K$2&amp;K$1&amp;"P"&amp;$A40)="N/A",0,RTD("tos.rtd",,"IMPL_VOL","."&amp;K$2&amp;K$1&amp;"P"&amp;$A40))),0)-IFERROR(VALUE(IF(RTD("tos.rtd",,"IMPL_VOL","."&amp;K$2&amp;K$1&amp;"C"&amp;$A40)="N/A",0,RTD("tos.rtd",,"IMPL_VOL","."&amp;K$2&amp;K$1&amp;"C"&amp;$A40))),0),IF($A$2="MAXPAIN",IF($A$4&gt;$A40,($A$4-$A40)*IF(RTD("tos.rtd",,"OPEN_INT","."&amp;K$2&amp;K$1&amp;"C"&amp;$A40)="N/A",0,RTD("tos.rtd",,"OPEN_INT","."&amp;K$2&amp;K$1&amp;"C"&amp;$A40)),0)+IF($A$4&lt;$A40,($A$5-$A$4)*IF(RTD("tos.rtd",,"OPEN_INT","."&amp;K$2&amp;K$1&amp;"P"&amp;$A40)="N/A",0,RTD("tos.rtd",,"OPEN_INT","."&amp;K$2&amp;K$1&amp;"P"&amp;$A40)),0),IF($X$1="ABS",IF(RTD("tos.rtd",,$A$2,"."&amp;K$2&amp;K$1&amp;"C"&amp;$A40)="N/A",0,RTD("tos.rtd",,$A$2,"."&amp;K$2&amp;K$1&amp;"C"&amp;$A40))+IF(RTD("tos.rtd",,$A$2,"."&amp;K$2&amp;K$1&amp;"P"&amp;$A40)="N/A",0,RTD("tos.rtd",,$A$2,"."&amp;K$2&amp;K$1&amp;"P"&amp;$A40)),IF(RTD("tos.rtd",,$A$2,"."&amp;K$2&amp;K$1&amp;"C"&amp;$A40)="N/A",0,RTD("tos.rtd",,$A$2,"."&amp;K$2&amp;K$1&amp;"C"&amp;$A40))-IF(RTD("tos.rtd",,$A$2,"."&amp;K$2&amp;K$1&amp;"P"&amp;$A40)="N/A",0,RTD("tos.rtd",,$A$2,"."&amp;K$2&amp;K$1&amp;"P"&amp;$A40))))))))))</f>
        <v>0</v>
      </c>
      <c r="L40" s="54">
        <f ca="1">IF($A$2="PREMIUM_OI",IFERROR(IF($X$1="ABS",(100*RTD("tos.rtd",,"OPEN_INT","."&amp;L$2&amp;L$1&amp;"C"&amp;$A40)*RTD("tos.rtd",,"LAST","."&amp;L$2&amp;L$1&amp;"C"&amp;$A40)+100*RTD("tos.rtd",,"OPEN_INT","."&amp;L$2&amp;L$1&amp;"P"&amp;$A40)*RTD("tos.rtd",,"LAST","."&amp;L$2&amp;L$1&amp;"P"&amp;$A40))/1000000,(100*RTD("tos.rtd",,"OPEN_INT","."&amp;L$2&amp;L$1&amp;"C"&amp;$A40)*RTD("tos.rtd",,"LAST","."&amp;L$2&amp;L$1&amp;"C"&amp;$A40)-100*RTD("tos.rtd",,"OPEN_INT","."&amp;L$2&amp;L$1&amp;"P"&amp;$A40)*RTD("tos.rtd",,"LAST","."&amp;L$2&amp;L$1&amp;"P"&amp;$A40))/1000000),0),IF($A$2="PREMIUM",IFERROR(IF($X$1="ABS",(100*RTD("tos.rtd",,"VOLUME","."&amp;L$2&amp;L$1&amp;"C"&amp;$A40)*RTD("tos.rtd",,"LAST","."&amp;L$2&amp;L$1&amp;"C"&amp;$A40)+100*RTD("tos.rtd",,"VOLUME","."&amp;L$2&amp;L$1&amp;"P"&amp;$A40)*RTD("tos.rtd",,"LAST","."&amp;L$2&amp;L$1&amp;"P"&amp;$A40))/1000000,(100*RTD("tos.rtd",,"VOLUME","."&amp;L$2&amp;L$1&amp;"C"&amp;$A40)*RTD("tos.rtd",,"LAST","."&amp;L$2&amp;L$1&amp;"C"&amp;$A40)-100*RTD("tos.rtd",,"VOLUME","."&amp;L$2&amp;L$1&amp;"P"&amp;$A40)*RTD("tos.rtd",,"LAST","."&amp;L$2&amp;L$1&amp;"P"&amp;$A40))/1000000),0),IF($A$2="DEX",IFERROR(IF($X$1="ABS",(100*RTD("tos.rtd",,"OPEN_INT","."&amp;L$2&amp;L$1&amp;"C"&amp;$A40)*RTD("tos.rtd",,"DELTA","."&amp;L$2&amp;L$1&amp;"C"&amp;$A40)+100*RTD("tos.rtd",,"OPEN_INT","."&amp;L$2&amp;L$1&amp;"P"&amp;$A40)*RTD("tos.rtd",,"DELTA","."&amp;L$2&amp;L$1&amp;"P"&amp;$A40))/1000,(100*RTD("tos.rtd",,"OPEN_INT","."&amp;L$2&amp;L$1&amp;"C"&amp;$A40)*RTD("tos.rtd",,"DELTA","."&amp;L$2&amp;L$1&amp;"C"&amp;$A40)-100*RTD("tos.rtd",,"OPEN_INT","."&amp;L$2&amp;L$1&amp;"P"&amp;$A40)*RTD("tos.rtd",,"DELTA","."&amp;L$2&amp;L$1&amp;"P"&amp;$A40))/1000),0),IF($A$2="VEX",IFERROR(IF($X$1="ABS",($A$4*$A$4*RTD("tos.rtd",,"VOLUME","."&amp;L$2&amp;L$1&amp;"C"&amp;$A40)*RTD("tos.rtd",,"GAMMA","."&amp;L$2&amp;L$1&amp;"C"&amp;$A40)+$A$4*$A$4*RTD("tos.rtd",,"VOLUME","."&amp;L$2&amp;L$1&amp;"P"&amp;$A40)*RTD("tos.rtd",,"GAMMA","."&amp;L$2&amp;L$1&amp;"P"&amp;$A40))/1000000,($A$4*$A$4*RTD("tos.rtd",,"VOLUME","."&amp;L$2&amp;L$1&amp;"C"&amp;$A40)*RTD("tos.rtd",,"GAMMA","."&amp;L$2&amp;L$1&amp;"C"&amp;$A40)-$A$4*$A$4*RTD("tos.rtd",,"VOLUME","."&amp;L$2&amp;L$1&amp;"P"&amp;$A40)*RTD("tos.rtd",,"GAMMA","."&amp;L$2&amp;L$1&amp;"P"&amp;$A40))/1000000),0),IF($A$2="GEX",IFERROR(IF($X$1="ABS",($A$4*$A$4*RTD("tos.rtd",,"OPEN_INT","."&amp;L$2&amp;L$1&amp;"C"&amp;$A40)*RTD("tos.rtd",,"GAMMA","."&amp;L$2&amp;L$1&amp;"C"&amp;$A40)+$A$4*$A$4*RTD("tos.rtd",,"OPEN_INT","."&amp;L$2&amp;L$1&amp;"P"&amp;$A40)*RTD("tos.rtd",,"GAMMA","."&amp;L$2&amp;L$1&amp;"P"&amp;$A40))/1000000,($A$4*$A$4*RTD("tos.rtd",,"OPEN_INT","."&amp;L$2&amp;L$1&amp;"C"&amp;$A40)*RTD("tos.rtd",,"GAMMA","."&amp;L$2&amp;L$1&amp;"C"&amp;$A40)-$A$4*$A$4*RTD("tos.rtd",,"OPEN_INT","."&amp;L$2&amp;L$1&amp;"P"&amp;$A40)*RTD("tos.rtd",,"GAMMA","."&amp;L$2&amp;L$1&amp;"P"&amp;$A40))/1000000),0),IF($A$2="SKEW",IFERROR(VALUE(IF(RTD("tos.rtd",,"IMPL_VOL","."&amp;L$2&amp;L$1&amp;"P"&amp;$A40)="N/A",0,RTD("tos.rtd",,"IMPL_VOL","."&amp;L$2&amp;L$1&amp;"P"&amp;$A40))),0)-IFERROR(VALUE(IF(RTD("tos.rtd",,"IMPL_VOL","."&amp;L$2&amp;L$1&amp;"C"&amp;$A40)="N/A",0,RTD("tos.rtd",,"IMPL_VOL","."&amp;L$2&amp;L$1&amp;"C"&amp;$A40))),0),IF($A$2="MAXPAIN",IF($A$4&gt;$A40,($A$4-$A40)*IF(RTD("tos.rtd",,"OPEN_INT","."&amp;L$2&amp;L$1&amp;"C"&amp;$A40)="N/A",0,RTD("tos.rtd",,"OPEN_INT","."&amp;L$2&amp;L$1&amp;"C"&amp;$A40)),0)+IF($A$4&lt;$A40,($A$5-$A$4)*IF(RTD("tos.rtd",,"OPEN_INT","."&amp;L$2&amp;L$1&amp;"P"&amp;$A40)="N/A",0,RTD("tos.rtd",,"OPEN_INT","."&amp;L$2&amp;L$1&amp;"P"&amp;$A40)),0),IF($X$1="ABS",IF(RTD("tos.rtd",,$A$2,"."&amp;L$2&amp;L$1&amp;"C"&amp;$A40)="N/A",0,RTD("tos.rtd",,$A$2,"."&amp;L$2&amp;L$1&amp;"C"&amp;$A40))+IF(RTD("tos.rtd",,$A$2,"."&amp;L$2&amp;L$1&amp;"P"&amp;$A40)="N/A",0,RTD("tos.rtd",,$A$2,"."&amp;L$2&amp;L$1&amp;"P"&amp;$A40)),IF(RTD("tos.rtd",,$A$2,"."&amp;L$2&amp;L$1&amp;"C"&amp;$A40)="N/A",0,RTD("tos.rtd",,$A$2,"."&amp;L$2&amp;L$1&amp;"C"&amp;$A40))-IF(RTD("tos.rtd",,$A$2,"."&amp;L$2&amp;L$1&amp;"P"&amp;$A40)="N/A",0,RTD("tos.rtd",,$A$2,"."&amp;L$2&amp;L$1&amp;"P"&amp;$A40))))))))))</f>
        <v>0</v>
      </c>
      <c r="M40" s="12">
        <f ca="1">IF($A$2="PREMIUM_OI",IFERROR(IF($X$1="ABS",(100*RTD("tos.rtd",,"OPEN_INT","."&amp;M$2&amp;M$1&amp;"C"&amp;$A40)*RTD("tos.rtd",,"LAST","."&amp;M$2&amp;M$1&amp;"C"&amp;$A40)+100*RTD("tos.rtd",,"OPEN_INT","."&amp;M$2&amp;M$1&amp;"P"&amp;$A40)*RTD("tos.rtd",,"LAST","."&amp;M$2&amp;M$1&amp;"P"&amp;$A40))/1000000,(100*RTD("tos.rtd",,"OPEN_INT","."&amp;M$2&amp;M$1&amp;"C"&amp;$A40)*RTD("tos.rtd",,"LAST","."&amp;M$2&amp;M$1&amp;"C"&amp;$A40)-100*RTD("tos.rtd",,"OPEN_INT","."&amp;M$2&amp;M$1&amp;"P"&amp;$A40)*RTD("tos.rtd",,"LAST","."&amp;M$2&amp;M$1&amp;"P"&amp;$A40))/1000000),0),IF($A$2="PREMIUM",IFERROR(IF($X$1="ABS",(100*RTD("tos.rtd",,"VOLUME","."&amp;M$2&amp;M$1&amp;"C"&amp;$A40)*RTD("tos.rtd",,"LAST","."&amp;M$2&amp;M$1&amp;"C"&amp;$A40)+100*RTD("tos.rtd",,"VOLUME","."&amp;M$2&amp;M$1&amp;"P"&amp;$A40)*RTD("tos.rtd",,"LAST","."&amp;M$2&amp;M$1&amp;"P"&amp;$A40))/1000000,(100*RTD("tos.rtd",,"VOLUME","."&amp;M$2&amp;M$1&amp;"C"&amp;$A40)*RTD("tos.rtd",,"LAST","."&amp;M$2&amp;M$1&amp;"C"&amp;$A40)-100*RTD("tos.rtd",,"VOLUME","."&amp;M$2&amp;M$1&amp;"P"&amp;$A40)*RTD("tos.rtd",,"LAST","."&amp;M$2&amp;M$1&amp;"P"&amp;$A40))/1000000),0),IF($A$2="DEX",IFERROR(IF($X$1="ABS",(100*RTD("tos.rtd",,"OPEN_INT","."&amp;M$2&amp;M$1&amp;"C"&amp;$A40)*RTD("tos.rtd",,"DELTA","."&amp;M$2&amp;M$1&amp;"C"&amp;$A40)+100*RTD("tos.rtd",,"OPEN_INT","."&amp;M$2&amp;M$1&amp;"P"&amp;$A40)*RTD("tos.rtd",,"DELTA","."&amp;M$2&amp;M$1&amp;"P"&amp;$A40))/1000,(100*RTD("tos.rtd",,"OPEN_INT","."&amp;M$2&amp;M$1&amp;"C"&amp;$A40)*RTD("tos.rtd",,"DELTA","."&amp;M$2&amp;M$1&amp;"C"&amp;$A40)-100*RTD("tos.rtd",,"OPEN_INT","."&amp;M$2&amp;M$1&amp;"P"&amp;$A40)*RTD("tos.rtd",,"DELTA","."&amp;M$2&amp;M$1&amp;"P"&amp;$A40))/1000),0),IF($A$2="VEX",IFERROR(IF($X$1="ABS",($A$4*$A$4*RTD("tos.rtd",,"VOLUME","."&amp;M$2&amp;M$1&amp;"C"&amp;$A40)*RTD("tos.rtd",,"GAMMA","."&amp;M$2&amp;M$1&amp;"C"&amp;$A40)+$A$4*$A$4*RTD("tos.rtd",,"VOLUME","."&amp;M$2&amp;M$1&amp;"P"&amp;$A40)*RTD("tos.rtd",,"GAMMA","."&amp;M$2&amp;M$1&amp;"P"&amp;$A40))/1000000,($A$4*$A$4*RTD("tos.rtd",,"VOLUME","."&amp;M$2&amp;M$1&amp;"C"&amp;$A40)*RTD("tos.rtd",,"GAMMA","."&amp;M$2&amp;M$1&amp;"C"&amp;$A40)-$A$4*$A$4*RTD("tos.rtd",,"VOLUME","."&amp;M$2&amp;M$1&amp;"P"&amp;$A40)*RTD("tos.rtd",,"GAMMA","."&amp;M$2&amp;M$1&amp;"P"&amp;$A40))/1000000),0),IF($A$2="GEX",IFERROR(IF($X$1="ABS",($A$4*$A$4*RTD("tos.rtd",,"OPEN_INT","."&amp;M$2&amp;M$1&amp;"C"&amp;$A40)*RTD("tos.rtd",,"GAMMA","."&amp;M$2&amp;M$1&amp;"C"&amp;$A40)+$A$4*$A$4*RTD("tos.rtd",,"OPEN_INT","."&amp;M$2&amp;M$1&amp;"P"&amp;$A40)*RTD("tos.rtd",,"GAMMA","."&amp;M$2&amp;M$1&amp;"P"&amp;$A40))/1000000,($A$4*$A$4*RTD("tos.rtd",,"OPEN_INT","."&amp;M$2&amp;M$1&amp;"C"&amp;$A40)*RTD("tos.rtd",,"GAMMA","."&amp;M$2&amp;M$1&amp;"C"&amp;$A40)-$A$4*$A$4*RTD("tos.rtd",,"OPEN_INT","."&amp;M$2&amp;M$1&amp;"P"&amp;$A40)*RTD("tos.rtd",,"GAMMA","."&amp;M$2&amp;M$1&amp;"P"&amp;$A40))/1000000),0),IF($A$2="SKEW",IFERROR(VALUE(IF(RTD("tos.rtd",,"IMPL_VOL","."&amp;M$2&amp;M$1&amp;"P"&amp;$A40)="N/A",0,RTD("tos.rtd",,"IMPL_VOL","."&amp;M$2&amp;M$1&amp;"P"&amp;$A40))),0)-IFERROR(VALUE(IF(RTD("tos.rtd",,"IMPL_VOL","."&amp;M$2&amp;M$1&amp;"C"&amp;$A40)="N/A",0,RTD("tos.rtd",,"IMPL_VOL","."&amp;M$2&amp;M$1&amp;"C"&amp;$A40))),0),IF($A$2="MAXPAIN",IF($A$4&gt;$A40,($A$4-$A40)*IF(RTD("tos.rtd",,"OPEN_INT","."&amp;M$2&amp;M$1&amp;"C"&amp;$A40)="N/A",0,RTD("tos.rtd",,"OPEN_INT","."&amp;M$2&amp;M$1&amp;"C"&amp;$A40)),0)+IF($A$4&lt;$A40,($A$5-$A$4)*IF(RTD("tos.rtd",,"OPEN_INT","."&amp;M$2&amp;M$1&amp;"P"&amp;$A40)="N/A",0,RTD("tos.rtd",,"OPEN_INT","."&amp;M$2&amp;M$1&amp;"P"&amp;$A40)),0),IF($X$1="ABS",IF(RTD("tos.rtd",,$A$2,"."&amp;M$2&amp;M$1&amp;"C"&amp;$A40)="N/A",0,RTD("tos.rtd",,$A$2,"."&amp;M$2&amp;M$1&amp;"C"&amp;$A40))+IF(RTD("tos.rtd",,$A$2,"."&amp;M$2&amp;M$1&amp;"P"&amp;$A40)="N/A",0,RTD("tos.rtd",,$A$2,"."&amp;M$2&amp;M$1&amp;"P"&amp;$A40)),IF(RTD("tos.rtd",,$A$2,"."&amp;M$2&amp;M$1&amp;"C"&amp;$A40)="N/A",0,RTD("tos.rtd",,$A$2,"."&amp;M$2&amp;M$1&amp;"C"&amp;$A40))-IF(RTD("tos.rtd",,$A$2,"."&amp;M$2&amp;M$1&amp;"P"&amp;$A40)="N/A",0,RTD("tos.rtd",,$A$2,"."&amp;M$2&amp;M$1&amp;"P"&amp;$A40))))))))))</f>
        <v>0</v>
      </c>
      <c r="N40" s="12">
        <f ca="1">IF($A$2="PREMIUM_OI",IFERROR(IF($X$1="ABS",(100*RTD("tos.rtd",,"OPEN_INT","."&amp;N$2&amp;N$1&amp;"C"&amp;$A40)*RTD("tos.rtd",,"LAST","."&amp;N$2&amp;N$1&amp;"C"&amp;$A40)+100*RTD("tos.rtd",,"OPEN_INT","."&amp;N$2&amp;N$1&amp;"P"&amp;$A40)*RTD("tos.rtd",,"LAST","."&amp;N$2&amp;N$1&amp;"P"&amp;$A40))/1000000,(100*RTD("tos.rtd",,"OPEN_INT","."&amp;N$2&amp;N$1&amp;"C"&amp;$A40)*RTD("tos.rtd",,"LAST","."&amp;N$2&amp;N$1&amp;"C"&amp;$A40)-100*RTD("tos.rtd",,"OPEN_INT","."&amp;N$2&amp;N$1&amp;"P"&amp;$A40)*RTD("tos.rtd",,"LAST","."&amp;N$2&amp;N$1&amp;"P"&amp;$A40))/1000000),0),IF($A$2="PREMIUM",IFERROR(IF($X$1="ABS",(100*RTD("tos.rtd",,"VOLUME","."&amp;N$2&amp;N$1&amp;"C"&amp;$A40)*RTD("tos.rtd",,"LAST","."&amp;N$2&amp;N$1&amp;"C"&amp;$A40)+100*RTD("tos.rtd",,"VOLUME","."&amp;N$2&amp;N$1&amp;"P"&amp;$A40)*RTD("tos.rtd",,"LAST","."&amp;N$2&amp;N$1&amp;"P"&amp;$A40))/1000000,(100*RTD("tos.rtd",,"VOLUME","."&amp;N$2&amp;N$1&amp;"C"&amp;$A40)*RTD("tos.rtd",,"LAST","."&amp;N$2&amp;N$1&amp;"C"&amp;$A40)-100*RTD("tos.rtd",,"VOLUME","."&amp;N$2&amp;N$1&amp;"P"&amp;$A40)*RTD("tos.rtd",,"LAST","."&amp;N$2&amp;N$1&amp;"P"&amp;$A40))/1000000),0),IF($A$2="DEX",IFERROR(IF($X$1="ABS",(100*RTD("tos.rtd",,"OPEN_INT","."&amp;N$2&amp;N$1&amp;"C"&amp;$A40)*RTD("tos.rtd",,"DELTA","."&amp;N$2&amp;N$1&amp;"C"&amp;$A40)+100*RTD("tos.rtd",,"OPEN_INT","."&amp;N$2&amp;N$1&amp;"P"&amp;$A40)*RTD("tos.rtd",,"DELTA","."&amp;N$2&amp;N$1&amp;"P"&amp;$A40))/1000,(100*RTD("tos.rtd",,"OPEN_INT","."&amp;N$2&amp;N$1&amp;"C"&amp;$A40)*RTD("tos.rtd",,"DELTA","."&amp;N$2&amp;N$1&amp;"C"&amp;$A40)-100*RTD("tos.rtd",,"OPEN_INT","."&amp;N$2&amp;N$1&amp;"P"&amp;$A40)*RTD("tos.rtd",,"DELTA","."&amp;N$2&amp;N$1&amp;"P"&amp;$A40))/1000),0),IF($A$2="VEX",IFERROR(IF($X$1="ABS",($A$4*$A$4*RTD("tos.rtd",,"VOLUME","."&amp;N$2&amp;N$1&amp;"C"&amp;$A40)*RTD("tos.rtd",,"GAMMA","."&amp;N$2&amp;N$1&amp;"C"&amp;$A40)+$A$4*$A$4*RTD("tos.rtd",,"VOLUME","."&amp;N$2&amp;N$1&amp;"P"&amp;$A40)*RTD("tos.rtd",,"GAMMA","."&amp;N$2&amp;N$1&amp;"P"&amp;$A40))/1000000,($A$4*$A$4*RTD("tos.rtd",,"VOLUME","."&amp;N$2&amp;N$1&amp;"C"&amp;$A40)*RTD("tos.rtd",,"GAMMA","."&amp;N$2&amp;N$1&amp;"C"&amp;$A40)-$A$4*$A$4*RTD("tos.rtd",,"VOLUME","."&amp;N$2&amp;N$1&amp;"P"&amp;$A40)*RTD("tos.rtd",,"GAMMA","."&amp;N$2&amp;N$1&amp;"P"&amp;$A40))/1000000),0),IF($A$2="GEX",IFERROR(IF($X$1="ABS",($A$4*$A$4*RTD("tos.rtd",,"OPEN_INT","."&amp;N$2&amp;N$1&amp;"C"&amp;$A40)*RTD("tos.rtd",,"GAMMA","."&amp;N$2&amp;N$1&amp;"C"&amp;$A40)+$A$4*$A$4*RTD("tos.rtd",,"OPEN_INT","."&amp;N$2&amp;N$1&amp;"P"&amp;$A40)*RTD("tos.rtd",,"GAMMA","."&amp;N$2&amp;N$1&amp;"P"&amp;$A40))/1000000,($A$4*$A$4*RTD("tos.rtd",,"OPEN_INT","."&amp;N$2&amp;N$1&amp;"C"&amp;$A40)*RTD("tos.rtd",,"GAMMA","."&amp;N$2&amp;N$1&amp;"C"&amp;$A40)-$A$4*$A$4*RTD("tos.rtd",,"OPEN_INT","."&amp;N$2&amp;N$1&amp;"P"&amp;$A40)*RTD("tos.rtd",,"GAMMA","."&amp;N$2&amp;N$1&amp;"P"&amp;$A40))/1000000),0),IF($A$2="SKEW",IFERROR(VALUE(IF(RTD("tos.rtd",,"IMPL_VOL","."&amp;N$2&amp;N$1&amp;"P"&amp;$A40)="N/A",0,RTD("tos.rtd",,"IMPL_VOL","."&amp;N$2&amp;N$1&amp;"P"&amp;$A40))),0)-IFERROR(VALUE(IF(RTD("tos.rtd",,"IMPL_VOL","."&amp;N$2&amp;N$1&amp;"C"&amp;$A40)="N/A",0,RTD("tos.rtd",,"IMPL_VOL","."&amp;N$2&amp;N$1&amp;"C"&amp;$A40))),0),IF($A$2="MAXPAIN",IF($A$4&gt;$A40,($A$4-$A40)*IF(RTD("tos.rtd",,"OPEN_INT","."&amp;N$2&amp;N$1&amp;"C"&amp;$A40)="N/A",0,RTD("tos.rtd",,"OPEN_INT","."&amp;N$2&amp;N$1&amp;"C"&amp;$A40)),0)+IF($A$4&lt;$A40,($A$5-$A$4)*IF(RTD("tos.rtd",,"OPEN_INT","."&amp;N$2&amp;N$1&amp;"P"&amp;$A40)="N/A",0,RTD("tos.rtd",,"OPEN_INT","."&amp;N$2&amp;N$1&amp;"P"&amp;$A40)),0),IF($X$1="ABS",IF(RTD("tos.rtd",,$A$2,"."&amp;N$2&amp;N$1&amp;"C"&amp;$A40)="N/A",0,RTD("tos.rtd",,$A$2,"."&amp;N$2&amp;N$1&amp;"C"&amp;$A40))+IF(RTD("tos.rtd",,$A$2,"."&amp;N$2&amp;N$1&amp;"P"&amp;$A40)="N/A",0,RTD("tos.rtd",,$A$2,"."&amp;N$2&amp;N$1&amp;"P"&amp;$A40)),IF(RTD("tos.rtd",,$A$2,"."&amp;N$2&amp;N$1&amp;"C"&amp;$A40)="N/A",0,RTD("tos.rtd",,$A$2,"."&amp;N$2&amp;N$1&amp;"C"&amp;$A40))-IF(RTD("tos.rtd",,$A$2,"."&amp;N$2&amp;N$1&amp;"P"&amp;$A40)="N/A",0,RTD("tos.rtd",,$A$2,"."&amp;N$2&amp;N$1&amp;"P"&amp;$A40))))))))))</f>
        <v>0</v>
      </c>
      <c r="O40" s="12">
        <f ca="1">IF($A$2="PREMIUM_OI",IFERROR(IF($X$1="ABS",(100*RTD("tos.rtd",,"OPEN_INT","."&amp;O$2&amp;O$1&amp;"C"&amp;$A40)*RTD("tos.rtd",,"LAST","."&amp;O$2&amp;O$1&amp;"C"&amp;$A40)+100*RTD("tos.rtd",,"OPEN_INT","."&amp;O$2&amp;O$1&amp;"P"&amp;$A40)*RTD("tos.rtd",,"LAST","."&amp;O$2&amp;O$1&amp;"P"&amp;$A40))/1000000,(100*RTD("tos.rtd",,"OPEN_INT","."&amp;O$2&amp;O$1&amp;"C"&amp;$A40)*RTD("tos.rtd",,"LAST","."&amp;O$2&amp;O$1&amp;"C"&amp;$A40)-100*RTD("tos.rtd",,"OPEN_INT","."&amp;O$2&amp;O$1&amp;"P"&amp;$A40)*RTD("tos.rtd",,"LAST","."&amp;O$2&amp;O$1&amp;"P"&amp;$A40))/1000000),0),IF($A$2="PREMIUM",IFERROR(IF($X$1="ABS",(100*RTD("tos.rtd",,"VOLUME","."&amp;O$2&amp;O$1&amp;"C"&amp;$A40)*RTD("tos.rtd",,"LAST","."&amp;O$2&amp;O$1&amp;"C"&amp;$A40)+100*RTD("tos.rtd",,"VOLUME","."&amp;O$2&amp;O$1&amp;"P"&amp;$A40)*RTD("tos.rtd",,"LAST","."&amp;O$2&amp;O$1&amp;"P"&amp;$A40))/1000000,(100*RTD("tos.rtd",,"VOLUME","."&amp;O$2&amp;O$1&amp;"C"&amp;$A40)*RTD("tos.rtd",,"LAST","."&amp;O$2&amp;O$1&amp;"C"&amp;$A40)-100*RTD("tos.rtd",,"VOLUME","."&amp;O$2&amp;O$1&amp;"P"&amp;$A40)*RTD("tos.rtd",,"LAST","."&amp;O$2&amp;O$1&amp;"P"&amp;$A40))/1000000),0),IF($A$2="DEX",IFERROR(IF($X$1="ABS",(100*RTD("tos.rtd",,"OPEN_INT","."&amp;O$2&amp;O$1&amp;"C"&amp;$A40)*RTD("tos.rtd",,"DELTA","."&amp;O$2&amp;O$1&amp;"C"&amp;$A40)+100*RTD("tos.rtd",,"OPEN_INT","."&amp;O$2&amp;O$1&amp;"P"&amp;$A40)*RTD("tos.rtd",,"DELTA","."&amp;O$2&amp;O$1&amp;"P"&amp;$A40))/1000,(100*RTD("tos.rtd",,"OPEN_INT","."&amp;O$2&amp;O$1&amp;"C"&amp;$A40)*RTD("tos.rtd",,"DELTA","."&amp;O$2&amp;O$1&amp;"C"&amp;$A40)-100*RTD("tos.rtd",,"OPEN_INT","."&amp;O$2&amp;O$1&amp;"P"&amp;$A40)*RTD("tos.rtd",,"DELTA","."&amp;O$2&amp;O$1&amp;"P"&amp;$A40))/1000),0),IF($A$2="VEX",IFERROR(IF($X$1="ABS",($A$4*$A$4*RTD("tos.rtd",,"VOLUME","."&amp;O$2&amp;O$1&amp;"C"&amp;$A40)*RTD("tos.rtd",,"GAMMA","."&amp;O$2&amp;O$1&amp;"C"&amp;$A40)+$A$4*$A$4*RTD("tos.rtd",,"VOLUME","."&amp;O$2&amp;O$1&amp;"P"&amp;$A40)*RTD("tos.rtd",,"GAMMA","."&amp;O$2&amp;O$1&amp;"P"&amp;$A40))/1000000,($A$4*$A$4*RTD("tos.rtd",,"VOLUME","."&amp;O$2&amp;O$1&amp;"C"&amp;$A40)*RTD("tos.rtd",,"GAMMA","."&amp;O$2&amp;O$1&amp;"C"&amp;$A40)-$A$4*$A$4*RTD("tos.rtd",,"VOLUME","."&amp;O$2&amp;O$1&amp;"P"&amp;$A40)*RTD("tos.rtd",,"GAMMA","."&amp;O$2&amp;O$1&amp;"P"&amp;$A40))/1000000),0),IF($A$2="GEX",IFERROR(IF($X$1="ABS",($A$4*$A$4*RTD("tos.rtd",,"OPEN_INT","."&amp;O$2&amp;O$1&amp;"C"&amp;$A40)*RTD("tos.rtd",,"GAMMA","."&amp;O$2&amp;O$1&amp;"C"&amp;$A40)+$A$4*$A$4*RTD("tos.rtd",,"OPEN_INT","."&amp;O$2&amp;O$1&amp;"P"&amp;$A40)*RTD("tos.rtd",,"GAMMA","."&amp;O$2&amp;O$1&amp;"P"&amp;$A40))/1000000,($A$4*$A$4*RTD("tos.rtd",,"OPEN_INT","."&amp;O$2&amp;O$1&amp;"C"&amp;$A40)*RTD("tos.rtd",,"GAMMA","."&amp;O$2&amp;O$1&amp;"C"&amp;$A40)-$A$4*$A$4*RTD("tos.rtd",,"OPEN_INT","."&amp;O$2&amp;O$1&amp;"P"&amp;$A40)*RTD("tos.rtd",,"GAMMA","."&amp;O$2&amp;O$1&amp;"P"&amp;$A40))/1000000),0),IF($A$2="SKEW",IFERROR(VALUE(IF(RTD("tos.rtd",,"IMPL_VOL","."&amp;O$2&amp;O$1&amp;"P"&amp;$A40)="N/A",0,RTD("tos.rtd",,"IMPL_VOL","."&amp;O$2&amp;O$1&amp;"P"&amp;$A40))),0)-IFERROR(VALUE(IF(RTD("tos.rtd",,"IMPL_VOL","."&amp;O$2&amp;O$1&amp;"C"&amp;$A40)="N/A",0,RTD("tos.rtd",,"IMPL_VOL","."&amp;O$2&amp;O$1&amp;"C"&amp;$A40))),0),IF($A$2="MAXPAIN",IF($A$4&gt;$A40,($A$4-$A40)*IF(RTD("tos.rtd",,"OPEN_INT","."&amp;O$2&amp;O$1&amp;"C"&amp;$A40)="N/A",0,RTD("tos.rtd",,"OPEN_INT","."&amp;O$2&amp;O$1&amp;"C"&amp;$A40)),0)+IF($A$4&lt;$A40,($A$5-$A$4)*IF(RTD("tos.rtd",,"OPEN_INT","."&amp;O$2&amp;O$1&amp;"P"&amp;$A40)="N/A",0,RTD("tos.rtd",,"OPEN_INT","."&amp;O$2&amp;O$1&amp;"P"&amp;$A40)),0),IF($X$1="ABS",IF(RTD("tos.rtd",,$A$2,"."&amp;O$2&amp;O$1&amp;"C"&amp;$A40)="N/A",0,RTD("tos.rtd",,$A$2,"."&amp;O$2&amp;O$1&amp;"C"&amp;$A40))+IF(RTD("tos.rtd",,$A$2,"."&amp;O$2&amp;O$1&amp;"P"&amp;$A40)="N/A",0,RTD("tos.rtd",,$A$2,"."&amp;O$2&amp;O$1&amp;"P"&amp;$A40)),IF(RTD("tos.rtd",,$A$2,"."&amp;O$2&amp;O$1&amp;"C"&amp;$A40)="N/A",0,RTD("tos.rtd",,$A$2,"."&amp;O$2&amp;O$1&amp;"C"&amp;$A40))-IF(RTD("tos.rtd",,$A$2,"."&amp;O$2&amp;O$1&amp;"P"&amp;$A40)="N/A",0,RTD("tos.rtd",,$A$2,"."&amp;O$2&amp;O$1&amp;"P"&amp;$A40))))))))))</f>
        <v>0</v>
      </c>
      <c r="P40" s="12">
        <f ca="1">IF($A$2="PREMIUM_OI",IFERROR(IF($X$1="ABS",(100*RTD("tos.rtd",,"OPEN_INT","."&amp;P$2&amp;P$1&amp;"C"&amp;$A40)*RTD("tos.rtd",,"LAST","."&amp;P$2&amp;P$1&amp;"C"&amp;$A40)+100*RTD("tos.rtd",,"OPEN_INT","."&amp;P$2&amp;P$1&amp;"P"&amp;$A40)*RTD("tos.rtd",,"LAST","."&amp;P$2&amp;P$1&amp;"P"&amp;$A40))/1000000,(100*RTD("tos.rtd",,"OPEN_INT","."&amp;P$2&amp;P$1&amp;"C"&amp;$A40)*RTD("tos.rtd",,"LAST","."&amp;P$2&amp;P$1&amp;"C"&amp;$A40)-100*RTD("tos.rtd",,"OPEN_INT","."&amp;P$2&amp;P$1&amp;"P"&amp;$A40)*RTD("tos.rtd",,"LAST","."&amp;P$2&amp;P$1&amp;"P"&amp;$A40))/1000000),0),IF($A$2="PREMIUM",IFERROR(IF($X$1="ABS",(100*RTD("tos.rtd",,"VOLUME","."&amp;P$2&amp;P$1&amp;"C"&amp;$A40)*RTD("tos.rtd",,"LAST","."&amp;P$2&amp;P$1&amp;"C"&amp;$A40)+100*RTD("tos.rtd",,"VOLUME","."&amp;P$2&amp;P$1&amp;"P"&amp;$A40)*RTD("tos.rtd",,"LAST","."&amp;P$2&amp;P$1&amp;"P"&amp;$A40))/1000000,(100*RTD("tos.rtd",,"VOLUME","."&amp;P$2&amp;P$1&amp;"C"&amp;$A40)*RTD("tos.rtd",,"LAST","."&amp;P$2&amp;P$1&amp;"C"&amp;$A40)-100*RTD("tos.rtd",,"VOLUME","."&amp;P$2&amp;P$1&amp;"P"&amp;$A40)*RTD("tos.rtd",,"LAST","."&amp;P$2&amp;P$1&amp;"P"&amp;$A40))/1000000),0),IF($A$2="DEX",IFERROR(IF($X$1="ABS",(100*RTD("tos.rtd",,"OPEN_INT","."&amp;P$2&amp;P$1&amp;"C"&amp;$A40)*RTD("tos.rtd",,"DELTA","."&amp;P$2&amp;P$1&amp;"C"&amp;$A40)+100*RTD("tos.rtd",,"OPEN_INT","."&amp;P$2&amp;P$1&amp;"P"&amp;$A40)*RTD("tos.rtd",,"DELTA","."&amp;P$2&amp;P$1&amp;"P"&amp;$A40))/1000,(100*RTD("tos.rtd",,"OPEN_INT","."&amp;P$2&amp;P$1&amp;"C"&amp;$A40)*RTD("tos.rtd",,"DELTA","."&amp;P$2&amp;P$1&amp;"C"&amp;$A40)-100*RTD("tos.rtd",,"OPEN_INT","."&amp;P$2&amp;P$1&amp;"P"&amp;$A40)*RTD("tos.rtd",,"DELTA","."&amp;P$2&amp;P$1&amp;"P"&amp;$A40))/1000),0),IF($A$2="VEX",IFERROR(IF($X$1="ABS",($A$4*$A$4*RTD("tos.rtd",,"VOLUME","."&amp;P$2&amp;P$1&amp;"C"&amp;$A40)*RTD("tos.rtd",,"GAMMA","."&amp;P$2&amp;P$1&amp;"C"&amp;$A40)+$A$4*$A$4*RTD("tos.rtd",,"VOLUME","."&amp;P$2&amp;P$1&amp;"P"&amp;$A40)*RTD("tos.rtd",,"GAMMA","."&amp;P$2&amp;P$1&amp;"P"&amp;$A40))/1000000,($A$4*$A$4*RTD("tos.rtd",,"VOLUME","."&amp;P$2&amp;P$1&amp;"C"&amp;$A40)*RTD("tos.rtd",,"GAMMA","."&amp;P$2&amp;P$1&amp;"C"&amp;$A40)-$A$4*$A$4*RTD("tos.rtd",,"VOLUME","."&amp;P$2&amp;P$1&amp;"P"&amp;$A40)*RTD("tos.rtd",,"GAMMA","."&amp;P$2&amp;P$1&amp;"P"&amp;$A40))/1000000),0),IF($A$2="GEX",IFERROR(IF($X$1="ABS",($A$4*$A$4*RTD("tos.rtd",,"OPEN_INT","."&amp;P$2&amp;P$1&amp;"C"&amp;$A40)*RTD("tos.rtd",,"GAMMA","."&amp;P$2&amp;P$1&amp;"C"&amp;$A40)+$A$4*$A$4*RTD("tos.rtd",,"OPEN_INT","."&amp;P$2&amp;P$1&amp;"P"&amp;$A40)*RTD("tos.rtd",,"GAMMA","."&amp;P$2&amp;P$1&amp;"P"&amp;$A40))/1000000,($A$4*$A$4*RTD("tos.rtd",,"OPEN_INT","."&amp;P$2&amp;P$1&amp;"C"&amp;$A40)*RTD("tos.rtd",,"GAMMA","."&amp;P$2&amp;P$1&amp;"C"&amp;$A40)-$A$4*$A$4*RTD("tos.rtd",,"OPEN_INT","."&amp;P$2&amp;P$1&amp;"P"&amp;$A40)*RTD("tos.rtd",,"GAMMA","."&amp;P$2&amp;P$1&amp;"P"&amp;$A40))/1000000),0),IF($A$2="SKEW",IFERROR(VALUE(IF(RTD("tos.rtd",,"IMPL_VOL","."&amp;P$2&amp;P$1&amp;"P"&amp;$A40)="N/A",0,RTD("tos.rtd",,"IMPL_VOL","."&amp;P$2&amp;P$1&amp;"P"&amp;$A40))),0)-IFERROR(VALUE(IF(RTD("tos.rtd",,"IMPL_VOL","."&amp;P$2&amp;P$1&amp;"C"&amp;$A40)="N/A",0,RTD("tos.rtd",,"IMPL_VOL","."&amp;P$2&amp;P$1&amp;"C"&amp;$A40))),0),IF($A$2="MAXPAIN",IF($A$4&gt;$A40,($A$4-$A40)*IF(RTD("tos.rtd",,"OPEN_INT","."&amp;P$2&amp;P$1&amp;"C"&amp;$A40)="N/A",0,RTD("tos.rtd",,"OPEN_INT","."&amp;P$2&amp;P$1&amp;"C"&amp;$A40)),0)+IF($A$4&lt;$A40,($A$5-$A$4)*IF(RTD("tos.rtd",,"OPEN_INT","."&amp;P$2&amp;P$1&amp;"P"&amp;$A40)="N/A",0,RTD("tos.rtd",,"OPEN_INT","."&amp;P$2&amp;P$1&amp;"P"&amp;$A40)),0),IF($X$1="ABS",IF(RTD("tos.rtd",,$A$2,"."&amp;P$2&amp;P$1&amp;"C"&amp;$A40)="N/A",0,RTD("tos.rtd",,$A$2,"."&amp;P$2&amp;P$1&amp;"C"&amp;$A40))+IF(RTD("tos.rtd",,$A$2,"."&amp;P$2&amp;P$1&amp;"P"&amp;$A40)="N/A",0,RTD("tos.rtd",,$A$2,"."&amp;P$2&amp;P$1&amp;"P"&amp;$A40)),IF(RTD("tos.rtd",,$A$2,"."&amp;P$2&amp;P$1&amp;"C"&amp;$A40)="N/A",0,RTD("tos.rtd",,$A$2,"."&amp;P$2&amp;P$1&amp;"C"&amp;$A40))-IF(RTD("tos.rtd",,$A$2,"."&amp;P$2&amp;P$1&amp;"P"&amp;$A40)="N/A",0,RTD("tos.rtd",,$A$2,"."&amp;P$2&amp;P$1&amp;"P"&amp;$A40))))))))))</f>
        <v>0</v>
      </c>
      <c r="Q40" s="12">
        <f ca="1">IF($A$2="PREMIUM_OI",IFERROR(IF($X$1="ABS",(100*RTD("tos.rtd",,"OPEN_INT","."&amp;Q$2&amp;Q$1&amp;"C"&amp;$A40)*RTD("tos.rtd",,"LAST","."&amp;Q$2&amp;Q$1&amp;"C"&amp;$A40)+100*RTD("tos.rtd",,"OPEN_INT","."&amp;Q$2&amp;Q$1&amp;"P"&amp;$A40)*RTD("tos.rtd",,"LAST","."&amp;Q$2&amp;Q$1&amp;"P"&amp;$A40))/1000000,(100*RTD("tos.rtd",,"OPEN_INT","."&amp;Q$2&amp;Q$1&amp;"C"&amp;$A40)*RTD("tos.rtd",,"LAST","."&amp;Q$2&amp;Q$1&amp;"C"&amp;$A40)-100*RTD("tos.rtd",,"OPEN_INT","."&amp;Q$2&amp;Q$1&amp;"P"&amp;$A40)*RTD("tos.rtd",,"LAST","."&amp;Q$2&amp;Q$1&amp;"P"&amp;$A40))/1000000),0),IF($A$2="PREMIUM",IFERROR(IF($X$1="ABS",(100*RTD("tos.rtd",,"VOLUME","."&amp;Q$2&amp;Q$1&amp;"C"&amp;$A40)*RTD("tos.rtd",,"LAST","."&amp;Q$2&amp;Q$1&amp;"C"&amp;$A40)+100*RTD("tos.rtd",,"VOLUME","."&amp;Q$2&amp;Q$1&amp;"P"&amp;$A40)*RTD("tos.rtd",,"LAST","."&amp;Q$2&amp;Q$1&amp;"P"&amp;$A40))/1000000,(100*RTD("tos.rtd",,"VOLUME","."&amp;Q$2&amp;Q$1&amp;"C"&amp;$A40)*RTD("tos.rtd",,"LAST","."&amp;Q$2&amp;Q$1&amp;"C"&amp;$A40)-100*RTD("tos.rtd",,"VOLUME","."&amp;Q$2&amp;Q$1&amp;"P"&amp;$A40)*RTD("tos.rtd",,"LAST","."&amp;Q$2&amp;Q$1&amp;"P"&amp;$A40))/1000000),0),IF($A$2="DEX",IFERROR(IF($X$1="ABS",(100*RTD("tos.rtd",,"OPEN_INT","."&amp;Q$2&amp;Q$1&amp;"C"&amp;$A40)*RTD("tos.rtd",,"DELTA","."&amp;Q$2&amp;Q$1&amp;"C"&amp;$A40)+100*RTD("tos.rtd",,"OPEN_INT","."&amp;Q$2&amp;Q$1&amp;"P"&amp;$A40)*RTD("tos.rtd",,"DELTA","."&amp;Q$2&amp;Q$1&amp;"P"&amp;$A40))/1000,(100*RTD("tos.rtd",,"OPEN_INT","."&amp;Q$2&amp;Q$1&amp;"C"&amp;$A40)*RTD("tos.rtd",,"DELTA","."&amp;Q$2&amp;Q$1&amp;"C"&amp;$A40)-100*RTD("tos.rtd",,"OPEN_INT","."&amp;Q$2&amp;Q$1&amp;"P"&amp;$A40)*RTD("tos.rtd",,"DELTA","."&amp;Q$2&amp;Q$1&amp;"P"&amp;$A40))/1000),0),IF($A$2="VEX",IFERROR(IF($X$1="ABS",($A$4*$A$4*RTD("tos.rtd",,"VOLUME","."&amp;Q$2&amp;Q$1&amp;"C"&amp;$A40)*RTD("tos.rtd",,"GAMMA","."&amp;Q$2&amp;Q$1&amp;"C"&amp;$A40)+$A$4*$A$4*RTD("tos.rtd",,"VOLUME","."&amp;Q$2&amp;Q$1&amp;"P"&amp;$A40)*RTD("tos.rtd",,"GAMMA","."&amp;Q$2&amp;Q$1&amp;"P"&amp;$A40))/1000000,($A$4*$A$4*RTD("tos.rtd",,"VOLUME","."&amp;Q$2&amp;Q$1&amp;"C"&amp;$A40)*RTD("tos.rtd",,"GAMMA","."&amp;Q$2&amp;Q$1&amp;"C"&amp;$A40)-$A$4*$A$4*RTD("tos.rtd",,"VOLUME","."&amp;Q$2&amp;Q$1&amp;"P"&amp;$A40)*RTD("tos.rtd",,"GAMMA","."&amp;Q$2&amp;Q$1&amp;"P"&amp;$A40))/1000000),0),IF($A$2="GEX",IFERROR(IF($X$1="ABS",($A$4*$A$4*RTD("tos.rtd",,"OPEN_INT","."&amp;Q$2&amp;Q$1&amp;"C"&amp;$A40)*RTD("tos.rtd",,"GAMMA","."&amp;Q$2&amp;Q$1&amp;"C"&amp;$A40)+$A$4*$A$4*RTD("tos.rtd",,"OPEN_INT","."&amp;Q$2&amp;Q$1&amp;"P"&amp;$A40)*RTD("tos.rtd",,"GAMMA","."&amp;Q$2&amp;Q$1&amp;"P"&amp;$A40))/1000000,($A$4*$A$4*RTD("tos.rtd",,"OPEN_INT","."&amp;Q$2&amp;Q$1&amp;"C"&amp;$A40)*RTD("tos.rtd",,"GAMMA","."&amp;Q$2&amp;Q$1&amp;"C"&amp;$A40)-$A$4*$A$4*RTD("tos.rtd",,"OPEN_INT","."&amp;Q$2&amp;Q$1&amp;"P"&amp;$A40)*RTD("tos.rtd",,"GAMMA","."&amp;Q$2&amp;Q$1&amp;"P"&amp;$A40))/1000000),0),IF($A$2="SKEW",IFERROR(VALUE(IF(RTD("tos.rtd",,"IMPL_VOL","."&amp;Q$2&amp;Q$1&amp;"P"&amp;$A40)="N/A",0,RTD("tos.rtd",,"IMPL_VOL","."&amp;Q$2&amp;Q$1&amp;"P"&amp;$A40))),0)-IFERROR(VALUE(IF(RTD("tos.rtd",,"IMPL_VOL","."&amp;Q$2&amp;Q$1&amp;"C"&amp;$A40)="N/A",0,RTD("tos.rtd",,"IMPL_VOL","."&amp;Q$2&amp;Q$1&amp;"C"&amp;$A40))),0),IF($A$2="MAXPAIN",IF($A$4&gt;$A40,($A$4-$A40)*IF(RTD("tos.rtd",,"OPEN_INT","."&amp;Q$2&amp;Q$1&amp;"C"&amp;$A40)="N/A",0,RTD("tos.rtd",,"OPEN_INT","."&amp;Q$2&amp;Q$1&amp;"C"&amp;$A40)),0)+IF($A$4&lt;$A40,($A$5-$A$4)*IF(RTD("tos.rtd",,"OPEN_INT","."&amp;Q$2&amp;Q$1&amp;"P"&amp;$A40)="N/A",0,RTD("tos.rtd",,"OPEN_INT","."&amp;Q$2&amp;Q$1&amp;"P"&amp;$A40)),0),IF($X$1="ABS",IF(RTD("tos.rtd",,$A$2,"."&amp;Q$2&amp;Q$1&amp;"C"&amp;$A40)="N/A",0,RTD("tos.rtd",,$A$2,"."&amp;Q$2&amp;Q$1&amp;"C"&amp;$A40))+IF(RTD("tos.rtd",,$A$2,"."&amp;Q$2&amp;Q$1&amp;"P"&amp;$A40)="N/A",0,RTD("tos.rtd",,$A$2,"."&amp;Q$2&amp;Q$1&amp;"P"&amp;$A40)),IF(RTD("tos.rtd",,$A$2,"."&amp;Q$2&amp;Q$1&amp;"C"&amp;$A40)="N/A",0,RTD("tos.rtd",,$A$2,"."&amp;Q$2&amp;Q$1&amp;"C"&amp;$A40))-IF(RTD("tos.rtd",,$A$2,"."&amp;Q$2&amp;Q$1&amp;"P"&amp;$A40)="N/A",0,RTD("tos.rtd",,$A$2,"."&amp;Q$2&amp;Q$1&amp;"P"&amp;$A40))))))))))</f>
        <v>0</v>
      </c>
      <c r="R40" s="12">
        <f ca="1">IF($A$2="PREMIUM_OI",IFERROR(IF($X$1="ABS",(100*RTD("tos.rtd",,"OPEN_INT","."&amp;R$2&amp;R$1&amp;"C"&amp;$A40)*RTD("tos.rtd",,"LAST","."&amp;R$2&amp;R$1&amp;"C"&amp;$A40)+100*RTD("tos.rtd",,"OPEN_INT","."&amp;R$2&amp;R$1&amp;"P"&amp;$A40)*RTD("tos.rtd",,"LAST","."&amp;R$2&amp;R$1&amp;"P"&amp;$A40))/1000000,(100*RTD("tos.rtd",,"OPEN_INT","."&amp;R$2&amp;R$1&amp;"C"&amp;$A40)*RTD("tos.rtd",,"LAST","."&amp;R$2&amp;R$1&amp;"C"&amp;$A40)-100*RTD("tos.rtd",,"OPEN_INT","."&amp;R$2&amp;R$1&amp;"P"&amp;$A40)*RTD("tos.rtd",,"LAST","."&amp;R$2&amp;R$1&amp;"P"&amp;$A40))/1000000),0),IF($A$2="PREMIUM",IFERROR(IF($X$1="ABS",(100*RTD("tos.rtd",,"VOLUME","."&amp;R$2&amp;R$1&amp;"C"&amp;$A40)*RTD("tos.rtd",,"LAST","."&amp;R$2&amp;R$1&amp;"C"&amp;$A40)+100*RTD("tos.rtd",,"VOLUME","."&amp;R$2&amp;R$1&amp;"P"&amp;$A40)*RTD("tos.rtd",,"LAST","."&amp;R$2&amp;R$1&amp;"P"&amp;$A40))/1000000,(100*RTD("tos.rtd",,"VOLUME","."&amp;R$2&amp;R$1&amp;"C"&amp;$A40)*RTD("tos.rtd",,"LAST","."&amp;R$2&amp;R$1&amp;"C"&amp;$A40)-100*RTD("tos.rtd",,"VOLUME","."&amp;R$2&amp;R$1&amp;"P"&amp;$A40)*RTD("tos.rtd",,"LAST","."&amp;R$2&amp;R$1&amp;"P"&amp;$A40))/1000000),0),IF($A$2="DEX",IFERROR(IF($X$1="ABS",(100*RTD("tos.rtd",,"OPEN_INT","."&amp;R$2&amp;R$1&amp;"C"&amp;$A40)*RTD("tos.rtd",,"DELTA","."&amp;R$2&amp;R$1&amp;"C"&amp;$A40)+100*RTD("tos.rtd",,"OPEN_INT","."&amp;R$2&amp;R$1&amp;"P"&amp;$A40)*RTD("tos.rtd",,"DELTA","."&amp;R$2&amp;R$1&amp;"P"&amp;$A40))/1000,(100*RTD("tos.rtd",,"OPEN_INT","."&amp;R$2&amp;R$1&amp;"C"&amp;$A40)*RTD("tos.rtd",,"DELTA","."&amp;R$2&amp;R$1&amp;"C"&amp;$A40)-100*RTD("tos.rtd",,"OPEN_INT","."&amp;R$2&amp;R$1&amp;"P"&amp;$A40)*RTD("tos.rtd",,"DELTA","."&amp;R$2&amp;R$1&amp;"P"&amp;$A40))/1000),0),IF($A$2="VEX",IFERROR(IF($X$1="ABS",($A$4*$A$4*RTD("tos.rtd",,"VOLUME","."&amp;R$2&amp;R$1&amp;"C"&amp;$A40)*RTD("tos.rtd",,"GAMMA","."&amp;R$2&amp;R$1&amp;"C"&amp;$A40)+$A$4*$A$4*RTD("tos.rtd",,"VOLUME","."&amp;R$2&amp;R$1&amp;"P"&amp;$A40)*RTD("tos.rtd",,"GAMMA","."&amp;R$2&amp;R$1&amp;"P"&amp;$A40))/1000000,($A$4*$A$4*RTD("tos.rtd",,"VOLUME","."&amp;R$2&amp;R$1&amp;"C"&amp;$A40)*RTD("tos.rtd",,"GAMMA","."&amp;R$2&amp;R$1&amp;"C"&amp;$A40)-$A$4*$A$4*RTD("tos.rtd",,"VOLUME","."&amp;R$2&amp;R$1&amp;"P"&amp;$A40)*RTD("tos.rtd",,"GAMMA","."&amp;R$2&amp;R$1&amp;"P"&amp;$A40))/1000000),0),IF($A$2="GEX",IFERROR(IF($X$1="ABS",($A$4*$A$4*RTD("tos.rtd",,"OPEN_INT","."&amp;R$2&amp;R$1&amp;"C"&amp;$A40)*RTD("tos.rtd",,"GAMMA","."&amp;R$2&amp;R$1&amp;"C"&amp;$A40)+$A$4*$A$4*RTD("tos.rtd",,"OPEN_INT","."&amp;R$2&amp;R$1&amp;"P"&amp;$A40)*RTD("tos.rtd",,"GAMMA","."&amp;R$2&amp;R$1&amp;"P"&amp;$A40))/1000000,($A$4*$A$4*RTD("tos.rtd",,"OPEN_INT","."&amp;R$2&amp;R$1&amp;"C"&amp;$A40)*RTD("tos.rtd",,"GAMMA","."&amp;R$2&amp;R$1&amp;"C"&amp;$A40)-$A$4*$A$4*RTD("tos.rtd",,"OPEN_INT","."&amp;R$2&amp;R$1&amp;"P"&amp;$A40)*RTD("tos.rtd",,"GAMMA","."&amp;R$2&amp;R$1&amp;"P"&amp;$A40))/1000000),0),IF($A$2="SKEW",IFERROR(VALUE(IF(RTD("tos.rtd",,"IMPL_VOL","."&amp;R$2&amp;R$1&amp;"P"&amp;$A40)="N/A",0,RTD("tos.rtd",,"IMPL_VOL","."&amp;R$2&amp;R$1&amp;"P"&amp;$A40))),0)-IFERROR(VALUE(IF(RTD("tos.rtd",,"IMPL_VOL","."&amp;R$2&amp;R$1&amp;"C"&amp;$A40)="N/A",0,RTD("tos.rtd",,"IMPL_VOL","."&amp;R$2&amp;R$1&amp;"C"&amp;$A40))),0),IF($A$2="MAXPAIN",IF($A$4&gt;$A40,($A$4-$A40)*IF(RTD("tos.rtd",,"OPEN_INT","."&amp;R$2&amp;R$1&amp;"C"&amp;$A40)="N/A",0,RTD("tos.rtd",,"OPEN_INT","."&amp;R$2&amp;R$1&amp;"C"&amp;$A40)),0)+IF($A$4&lt;$A40,($A$5-$A$4)*IF(RTD("tos.rtd",,"OPEN_INT","."&amp;R$2&amp;R$1&amp;"P"&amp;$A40)="N/A",0,RTD("tos.rtd",,"OPEN_INT","."&amp;R$2&amp;R$1&amp;"P"&amp;$A40)),0),IF($X$1="ABS",IF(RTD("tos.rtd",,$A$2,"."&amp;R$2&amp;R$1&amp;"C"&amp;$A40)="N/A",0,RTD("tos.rtd",,$A$2,"."&amp;R$2&amp;R$1&amp;"C"&amp;$A40))+IF(RTD("tos.rtd",,$A$2,"."&amp;R$2&amp;R$1&amp;"P"&amp;$A40)="N/A",0,RTD("tos.rtd",,$A$2,"."&amp;R$2&amp;R$1&amp;"P"&amp;$A40)),IF(RTD("tos.rtd",,$A$2,"."&amp;R$2&amp;R$1&amp;"C"&amp;$A40)="N/A",0,RTD("tos.rtd",,$A$2,"."&amp;R$2&amp;R$1&amp;"C"&amp;$A40))-IF(RTD("tos.rtd",,$A$2,"."&amp;R$2&amp;R$1&amp;"P"&amp;$A40)="N/A",0,RTD("tos.rtd",,$A$2,"."&amp;R$2&amp;R$1&amp;"P"&amp;$A40))))))))))</f>
        <v>0</v>
      </c>
      <c r="S40" s="12">
        <f ca="1">IF($A$2="PREMIUM_OI",IFERROR(IF($X$1="ABS",(100*RTD("tos.rtd",,"OPEN_INT","."&amp;S$2&amp;S$1&amp;"C"&amp;$A40)*RTD("tos.rtd",,"LAST","."&amp;S$2&amp;S$1&amp;"C"&amp;$A40)+100*RTD("tos.rtd",,"OPEN_INT","."&amp;S$2&amp;S$1&amp;"P"&amp;$A40)*RTD("tos.rtd",,"LAST","."&amp;S$2&amp;S$1&amp;"P"&amp;$A40))/1000000,(100*RTD("tos.rtd",,"OPEN_INT","."&amp;S$2&amp;S$1&amp;"C"&amp;$A40)*RTD("tos.rtd",,"LAST","."&amp;S$2&amp;S$1&amp;"C"&amp;$A40)-100*RTD("tos.rtd",,"OPEN_INT","."&amp;S$2&amp;S$1&amp;"P"&amp;$A40)*RTD("tos.rtd",,"LAST","."&amp;S$2&amp;S$1&amp;"P"&amp;$A40))/1000000),0),IF($A$2="PREMIUM",IFERROR(IF($X$1="ABS",(100*RTD("tos.rtd",,"VOLUME","."&amp;S$2&amp;S$1&amp;"C"&amp;$A40)*RTD("tos.rtd",,"LAST","."&amp;S$2&amp;S$1&amp;"C"&amp;$A40)+100*RTD("tos.rtd",,"VOLUME","."&amp;S$2&amp;S$1&amp;"P"&amp;$A40)*RTD("tos.rtd",,"LAST","."&amp;S$2&amp;S$1&amp;"P"&amp;$A40))/1000000,(100*RTD("tos.rtd",,"VOLUME","."&amp;S$2&amp;S$1&amp;"C"&amp;$A40)*RTD("tos.rtd",,"LAST","."&amp;S$2&amp;S$1&amp;"C"&amp;$A40)-100*RTD("tos.rtd",,"VOLUME","."&amp;S$2&amp;S$1&amp;"P"&amp;$A40)*RTD("tos.rtd",,"LAST","."&amp;S$2&amp;S$1&amp;"P"&amp;$A40))/1000000),0),IF($A$2="DEX",IFERROR(IF($X$1="ABS",(100*RTD("tos.rtd",,"OPEN_INT","."&amp;S$2&amp;S$1&amp;"C"&amp;$A40)*RTD("tos.rtd",,"DELTA","."&amp;S$2&amp;S$1&amp;"C"&amp;$A40)+100*RTD("tos.rtd",,"OPEN_INT","."&amp;S$2&amp;S$1&amp;"P"&amp;$A40)*RTD("tos.rtd",,"DELTA","."&amp;S$2&amp;S$1&amp;"P"&amp;$A40))/1000,(100*RTD("tos.rtd",,"OPEN_INT","."&amp;S$2&amp;S$1&amp;"C"&amp;$A40)*RTD("tos.rtd",,"DELTA","."&amp;S$2&amp;S$1&amp;"C"&amp;$A40)-100*RTD("tos.rtd",,"OPEN_INT","."&amp;S$2&amp;S$1&amp;"P"&amp;$A40)*RTD("tos.rtd",,"DELTA","."&amp;S$2&amp;S$1&amp;"P"&amp;$A40))/1000),0),IF($A$2="VEX",IFERROR(IF($X$1="ABS",($A$4*$A$4*RTD("tos.rtd",,"VOLUME","."&amp;S$2&amp;S$1&amp;"C"&amp;$A40)*RTD("tos.rtd",,"GAMMA","."&amp;S$2&amp;S$1&amp;"C"&amp;$A40)+$A$4*$A$4*RTD("tos.rtd",,"VOLUME","."&amp;S$2&amp;S$1&amp;"P"&amp;$A40)*RTD("tos.rtd",,"GAMMA","."&amp;S$2&amp;S$1&amp;"P"&amp;$A40))/1000000,($A$4*$A$4*RTD("tos.rtd",,"VOLUME","."&amp;S$2&amp;S$1&amp;"C"&amp;$A40)*RTD("tos.rtd",,"GAMMA","."&amp;S$2&amp;S$1&amp;"C"&amp;$A40)-$A$4*$A$4*RTD("tos.rtd",,"VOLUME","."&amp;S$2&amp;S$1&amp;"P"&amp;$A40)*RTD("tos.rtd",,"GAMMA","."&amp;S$2&amp;S$1&amp;"P"&amp;$A40))/1000000),0),IF($A$2="GEX",IFERROR(IF($X$1="ABS",($A$4*$A$4*RTD("tos.rtd",,"OPEN_INT","."&amp;S$2&amp;S$1&amp;"C"&amp;$A40)*RTD("tos.rtd",,"GAMMA","."&amp;S$2&amp;S$1&amp;"C"&amp;$A40)+$A$4*$A$4*RTD("tos.rtd",,"OPEN_INT","."&amp;S$2&amp;S$1&amp;"P"&amp;$A40)*RTD("tos.rtd",,"GAMMA","."&amp;S$2&amp;S$1&amp;"P"&amp;$A40))/1000000,($A$4*$A$4*RTD("tos.rtd",,"OPEN_INT","."&amp;S$2&amp;S$1&amp;"C"&amp;$A40)*RTD("tos.rtd",,"GAMMA","."&amp;S$2&amp;S$1&amp;"C"&amp;$A40)-$A$4*$A$4*RTD("tos.rtd",,"OPEN_INT","."&amp;S$2&amp;S$1&amp;"P"&amp;$A40)*RTD("tos.rtd",,"GAMMA","."&amp;S$2&amp;S$1&amp;"P"&amp;$A40))/1000000),0),IF($A$2="SKEW",IFERROR(VALUE(IF(RTD("tos.rtd",,"IMPL_VOL","."&amp;S$2&amp;S$1&amp;"P"&amp;$A40)="N/A",0,RTD("tos.rtd",,"IMPL_VOL","."&amp;S$2&amp;S$1&amp;"P"&amp;$A40))),0)-IFERROR(VALUE(IF(RTD("tos.rtd",,"IMPL_VOL","."&amp;S$2&amp;S$1&amp;"C"&amp;$A40)="N/A",0,RTD("tos.rtd",,"IMPL_VOL","."&amp;S$2&amp;S$1&amp;"C"&amp;$A40))),0),IF($A$2="MAXPAIN",IF($A$4&gt;$A40,($A$4-$A40)*IF(RTD("tos.rtd",,"OPEN_INT","."&amp;S$2&amp;S$1&amp;"C"&amp;$A40)="N/A",0,RTD("tos.rtd",,"OPEN_INT","."&amp;S$2&amp;S$1&amp;"C"&amp;$A40)),0)+IF($A$4&lt;$A40,($A$5-$A$4)*IF(RTD("tos.rtd",,"OPEN_INT","."&amp;S$2&amp;S$1&amp;"P"&amp;$A40)="N/A",0,RTD("tos.rtd",,"OPEN_INT","."&amp;S$2&amp;S$1&amp;"P"&amp;$A40)),0),IF($X$1="ABS",IF(RTD("tos.rtd",,$A$2,"."&amp;S$2&amp;S$1&amp;"C"&amp;$A40)="N/A",0,RTD("tos.rtd",,$A$2,"."&amp;S$2&amp;S$1&amp;"C"&amp;$A40))+IF(RTD("tos.rtd",,$A$2,"."&amp;S$2&amp;S$1&amp;"P"&amp;$A40)="N/A",0,RTD("tos.rtd",,$A$2,"."&amp;S$2&amp;S$1&amp;"P"&amp;$A40)),IF(RTD("tos.rtd",,$A$2,"."&amp;S$2&amp;S$1&amp;"C"&amp;$A40)="N/A",0,RTD("tos.rtd",,$A$2,"."&amp;S$2&amp;S$1&amp;"C"&amp;$A40))-IF(RTD("tos.rtd",,$A$2,"."&amp;S$2&amp;S$1&amp;"P"&amp;$A40)="N/A",0,RTD("tos.rtd",,$A$2,"."&amp;S$2&amp;S$1&amp;"P"&amp;$A40))))))))))</f>
        <v>0</v>
      </c>
      <c r="T40" s="12">
        <f ca="1">IF($A$2="PREMIUM_OI",IFERROR(IF($X$1="ABS",(100*RTD("tos.rtd",,"OPEN_INT","."&amp;T$2&amp;T$1&amp;"C"&amp;$A40)*RTD("tos.rtd",,"LAST","."&amp;T$2&amp;T$1&amp;"C"&amp;$A40)+100*RTD("tos.rtd",,"OPEN_INT","."&amp;T$2&amp;T$1&amp;"P"&amp;$A40)*RTD("tos.rtd",,"LAST","."&amp;T$2&amp;T$1&amp;"P"&amp;$A40))/1000000,(100*RTD("tos.rtd",,"OPEN_INT","."&amp;T$2&amp;T$1&amp;"C"&amp;$A40)*RTD("tos.rtd",,"LAST","."&amp;T$2&amp;T$1&amp;"C"&amp;$A40)-100*RTD("tos.rtd",,"OPEN_INT","."&amp;T$2&amp;T$1&amp;"P"&amp;$A40)*RTD("tos.rtd",,"LAST","."&amp;T$2&amp;T$1&amp;"P"&amp;$A40))/1000000),0),IF($A$2="PREMIUM",IFERROR(IF($X$1="ABS",(100*RTD("tos.rtd",,"VOLUME","."&amp;T$2&amp;T$1&amp;"C"&amp;$A40)*RTD("tos.rtd",,"LAST","."&amp;T$2&amp;T$1&amp;"C"&amp;$A40)+100*RTD("tos.rtd",,"VOLUME","."&amp;T$2&amp;T$1&amp;"P"&amp;$A40)*RTD("tos.rtd",,"LAST","."&amp;T$2&amp;T$1&amp;"P"&amp;$A40))/1000000,(100*RTD("tos.rtd",,"VOLUME","."&amp;T$2&amp;T$1&amp;"C"&amp;$A40)*RTD("tos.rtd",,"LAST","."&amp;T$2&amp;T$1&amp;"C"&amp;$A40)-100*RTD("tos.rtd",,"VOLUME","."&amp;T$2&amp;T$1&amp;"P"&amp;$A40)*RTD("tos.rtd",,"LAST","."&amp;T$2&amp;T$1&amp;"P"&amp;$A40))/1000000),0),IF($A$2="DEX",IFERROR(IF($X$1="ABS",(100*RTD("tos.rtd",,"OPEN_INT","."&amp;T$2&amp;T$1&amp;"C"&amp;$A40)*RTD("tos.rtd",,"DELTA","."&amp;T$2&amp;T$1&amp;"C"&amp;$A40)+100*RTD("tos.rtd",,"OPEN_INT","."&amp;T$2&amp;T$1&amp;"P"&amp;$A40)*RTD("tos.rtd",,"DELTA","."&amp;T$2&amp;T$1&amp;"P"&amp;$A40))/1000,(100*RTD("tos.rtd",,"OPEN_INT","."&amp;T$2&amp;T$1&amp;"C"&amp;$A40)*RTD("tos.rtd",,"DELTA","."&amp;T$2&amp;T$1&amp;"C"&amp;$A40)-100*RTD("tos.rtd",,"OPEN_INT","."&amp;T$2&amp;T$1&amp;"P"&amp;$A40)*RTD("tos.rtd",,"DELTA","."&amp;T$2&amp;T$1&amp;"P"&amp;$A40))/1000),0),IF($A$2="VEX",IFERROR(IF($X$1="ABS",($A$4*$A$4*RTD("tos.rtd",,"VOLUME","."&amp;T$2&amp;T$1&amp;"C"&amp;$A40)*RTD("tos.rtd",,"GAMMA","."&amp;T$2&amp;T$1&amp;"C"&amp;$A40)+$A$4*$A$4*RTD("tos.rtd",,"VOLUME","."&amp;T$2&amp;T$1&amp;"P"&amp;$A40)*RTD("tos.rtd",,"GAMMA","."&amp;T$2&amp;T$1&amp;"P"&amp;$A40))/1000000,($A$4*$A$4*RTD("tos.rtd",,"VOLUME","."&amp;T$2&amp;T$1&amp;"C"&amp;$A40)*RTD("tos.rtd",,"GAMMA","."&amp;T$2&amp;T$1&amp;"C"&amp;$A40)-$A$4*$A$4*RTD("tos.rtd",,"VOLUME","."&amp;T$2&amp;T$1&amp;"P"&amp;$A40)*RTD("tos.rtd",,"GAMMA","."&amp;T$2&amp;T$1&amp;"P"&amp;$A40))/1000000),0),IF($A$2="GEX",IFERROR(IF($X$1="ABS",($A$4*$A$4*RTD("tos.rtd",,"OPEN_INT","."&amp;T$2&amp;T$1&amp;"C"&amp;$A40)*RTD("tos.rtd",,"GAMMA","."&amp;T$2&amp;T$1&amp;"C"&amp;$A40)+$A$4*$A$4*RTD("tos.rtd",,"OPEN_INT","."&amp;T$2&amp;T$1&amp;"P"&amp;$A40)*RTD("tos.rtd",,"GAMMA","."&amp;T$2&amp;T$1&amp;"P"&amp;$A40))/1000000,($A$4*$A$4*RTD("tos.rtd",,"OPEN_INT","."&amp;T$2&amp;T$1&amp;"C"&amp;$A40)*RTD("tos.rtd",,"GAMMA","."&amp;T$2&amp;T$1&amp;"C"&amp;$A40)-$A$4*$A$4*RTD("tos.rtd",,"OPEN_INT","."&amp;T$2&amp;T$1&amp;"P"&amp;$A40)*RTD("tos.rtd",,"GAMMA","."&amp;T$2&amp;T$1&amp;"P"&amp;$A40))/1000000),0),IF($A$2="SKEW",IFERROR(VALUE(IF(RTD("tos.rtd",,"IMPL_VOL","."&amp;T$2&amp;T$1&amp;"P"&amp;$A40)="N/A",0,RTD("tos.rtd",,"IMPL_VOL","."&amp;T$2&amp;T$1&amp;"P"&amp;$A40))),0)-IFERROR(VALUE(IF(RTD("tos.rtd",,"IMPL_VOL","."&amp;T$2&amp;T$1&amp;"C"&amp;$A40)="N/A",0,RTD("tos.rtd",,"IMPL_VOL","."&amp;T$2&amp;T$1&amp;"C"&amp;$A40))),0),IF($A$2="MAXPAIN",IF($A$4&gt;$A40,($A$4-$A40)*IF(RTD("tos.rtd",,"OPEN_INT","."&amp;T$2&amp;T$1&amp;"C"&amp;$A40)="N/A",0,RTD("tos.rtd",,"OPEN_INT","."&amp;T$2&amp;T$1&amp;"C"&amp;$A40)),0)+IF($A$4&lt;$A40,($A$5-$A$4)*IF(RTD("tos.rtd",,"OPEN_INT","."&amp;T$2&amp;T$1&amp;"P"&amp;$A40)="N/A",0,RTD("tos.rtd",,"OPEN_INT","."&amp;T$2&amp;T$1&amp;"P"&amp;$A40)),0),IF($X$1="ABS",IF(RTD("tos.rtd",,$A$2,"."&amp;T$2&amp;T$1&amp;"C"&amp;$A40)="N/A",0,RTD("tos.rtd",,$A$2,"."&amp;T$2&amp;T$1&amp;"C"&amp;$A40))+IF(RTD("tos.rtd",,$A$2,"."&amp;T$2&amp;T$1&amp;"P"&amp;$A40)="N/A",0,RTD("tos.rtd",,$A$2,"."&amp;T$2&amp;T$1&amp;"P"&amp;$A40)),IF(RTD("tos.rtd",,$A$2,"."&amp;T$2&amp;T$1&amp;"C"&amp;$A40)="N/A",0,RTD("tos.rtd",,$A$2,"."&amp;T$2&amp;T$1&amp;"C"&amp;$A40))-IF(RTD("tos.rtd",,$A$2,"."&amp;T$2&amp;T$1&amp;"P"&amp;$A40)="N/A",0,RTD("tos.rtd",,$A$2,"."&amp;T$2&amp;T$1&amp;"P"&amp;$A40))))))))))</f>
        <v>0</v>
      </c>
      <c r="U40" s="12">
        <f ca="1">IF($A$2="PREMIUM_OI",IFERROR(IF($X$1="ABS",(100*RTD("tos.rtd",,"OPEN_INT","."&amp;U$2&amp;U$1&amp;"C"&amp;$A40)*RTD("tos.rtd",,"LAST","."&amp;U$2&amp;U$1&amp;"C"&amp;$A40)+100*RTD("tos.rtd",,"OPEN_INT","."&amp;U$2&amp;U$1&amp;"P"&amp;$A40)*RTD("tos.rtd",,"LAST","."&amp;U$2&amp;U$1&amp;"P"&amp;$A40))/1000000,(100*RTD("tos.rtd",,"OPEN_INT","."&amp;U$2&amp;U$1&amp;"C"&amp;$A40)*RTD("tos.rtd",,"LAST","."&amp;U$2&amp;U$1&amp;"C"&amp;$A40)-100*RTD("tos.rtd",,"OPEN_INT","."&amp;U$2&amp;U$1&amp;"P"&amp;$A40)*RTD("tos.rtd",,"LAST","."&amp;U$2&amp;U$1&amp;"P"&amp;$A40))/1000000),0),IF($A$2="PREMIUM",IFERROR(IF($X$1="ABS",(100*RTD("tos.rtd",,"VOLUME","."&amp;U$2&amp;U$1&amp;"C"&amp;$A40)*RTD("tos.rtd",,"LAST","."&amp;U$2&amp;U$1&amp;"C"&amp;$A40)+100*RTD("tos.rtd",,"VOLUME","."&amp;U$2&amp;U$1&amp;"P"&amp;$A40)*RTD("tos.rtd",,"LAST","."&amp;U$2&amp;U$1&amp;"P"&amp;$A40))/1000000,(100*RTD("tos.rtd",,"VOLUME","."&amp;U$2&amp;U$1&amp;"C"&amp;$A40)*RTD("tos.rtd",,"LAST","."&amp;U$2&amp;U$1&amp;"C"&amp;$A40)-100*RTD("tos.rtd",,"VOLUME","."&amp;U$2&amp;U$1&amp;"P"&amp;$A40)*RTD("tos.rtd",,"LAST","."&amp;U$2&amp;U$1&amp;"P"&amp;$A40))/1000000),0),IF($A$2="DEX",IFERROR(IF($X$1="ABS",(100*RTD("tos.rtd",,"OPEN_INT","."&amp;U$2&amp;U$1&amp;"C"&amp;$A40)*RTD("tos.rtd",,"DELTA","."&amp;U$2&amp;U$1&amp;"C"&amp;$A40)+100*RTD("tos.rtd",,"OPEN_INT","."&amp;U$2&amp;U$1&amp;"P"&amp;$A40)*RTD("tos.rtd",,"DELTA","."&amp;U$2&amp;U$1&amp;"P"&amp;$A40))/1000,(100*RTD("tos.rtd",,"OPEN_INT","."&amp;U$2&amp;U$1&amp;"C"&amp;$A40)*RTD("tos.rtd",,"DELTA","."&amp;U$2&amp;U$1&amp;"C"&amp;$A40)-100*RTD("tos.rtd",,"OPEN_INT","."&amp;U$2&amp;U$1&amp;"P"&amp;$A40)*RTD("tos.rtd",,"DELTA","."&amp;U$2&amp;U$1&amp;"P"&amp;$A40))/1000),0),IF($A$2="VEX",IFERROR(IF($X$1="ABS",($A$4*$A$4*RTD("tos.rtd",,"VOLUME","."&amp;U$2&amp;U$1&amp;"C"&amp;$A40)*RTD("tos.rtd",,"GAMMA","."&amp;U$2&amp;U$1&amp;"C"&amp;$A40)+$A$4*$A$4*RTD("tos.rtd",,"VOLUME","."&amp;U$2&amp;U$1&amp;"P"&amp;$A40)*RTD("tos.rtd",,"GAMMA","."&amp;U$2&amp;U$1&amp;"P"&amp;$A40))/1000000,($A$4*$A$4*RTD("tos.rtd",,"VOLUME","."&amp;U$2&amp;U$1&amp;"C"&amp;$A40)*RTD("tos.rtd",,"GAMMA","."&amp;U$2&amp;U$1&amp;"C"&amp;$A40)-$A$4*$A$4*RTD("tos.rtd",,"VOLUME","."&amp;U$2&amp;U$1&amp;"P"&amp;$A40)*RTD("tos.rtd",,"GAMMA","."&amp;U$2&amp;U$1&amp;"P"&amp;$A40))/1000000),0),IF($A$2="GEX",IFERROR(IF($X$1="ABS",($A$4*$A$4*RTD("tos.rtd",,"OPEN_INT","."&amp;U$2&amp;U$1&amp;"C"&amp;$A40)*RTD("tos.rtd",,"GAMMA","."&amp;U$2&amp;U$1&amp;"C"&amp;$A40)+$A$4*$A$4*RTD("tos.rtd",,"OPEN_INT","."&amp;U$2&amp;U$1&amp;"P"&amp;$A40)*RTD("tos.rtd",,"GAMMA","."&amp;U$2&amp;U$1&amp;"P"&amp;$A40))/1000000,($A$4*$A$4*RTD("tos.rtd",,"OPEN_INT","."&amp;U$2&amp;U$1&amp;"C"&amp;$A40)*RTD("tos.rtd",,"GAMMA","."&amp;U$2&amp;U$1&amp;"C"&amp;$A40)-$A$4*$A$4*RTD("tos.rtd",,"OPEN_INT","."&amp;U$2&amp;U$1&amp;"P"&amp;$A40)*RTD("tos.rtd",,"GAMMA","."&amp;U$2&amp;U$1&amp;"P"&amp;$A40))/1000000),0),IF($A$2="SKEW",IFERROR(VALUE(IF(RTD("tos.rtd",,"IMPL_VOL","."&amp;U$2&amp;U$1&amp;"P"&amp;$A40)="N/A",0,RTD("tos.rtd",,"IMPL_VOL","."&amp;U$2&amp;U$1&amp;"P"&amp;$A40))),0)-IFERROR(VALUE(IF(RTD("tos.rtd",,"IMPL_VOL","."&amp;U$2&amp;U$1&amp;"C"&amp;$A40)="N/A",0,RTD("tos.rtd",,"IMPL_VOL","."&amp;U$2&amp;U$1&amp;"C"&amp;$A40))),0),IF($A$2="MAXPAIN",IF($A$4&gt;$A40,($A$4-$A40)*IF(RTD("tos.rtd",,"OPEN_INT","."&amp;U$2&amp;U$1&amp;"C"&amp;$A40)="N/A",0,RTD("tos.rtd",,"OPEN_INT","."&amp;U$2&amp;U$1&amp;"C"&amp;$A40)),0)+IF($A$4&lt;$A40,($A$5-$A$4)*IF(RTD("tos.rtd",,"OPEN_INT","."&amp;U$2&amp;U$1&amp;"P"&amp;$A40)="N/A",0,RTD("tos.rtd",,"OPEN_INT","."&amp;U$2&amp;U$1&amp;"P"&amp;$A40)),0),IF($X$1="ABS",IF(RTD("tos.rtd",,$A$2,"."&amp;U$2&amp;U$1&amp;"C"&amp;$A40)="N/A",0,RTD("tos.rtd",,$A$2,"."&amp;U$2&amp;U$1&amp;"C"&amp;$A40))+IF(RTD("tos.rtd",,$A$2,"."&amp;U$2&amp;U$1&amp;"P"&amp;$A40)="N/A",0,RTD("tos.rtd",,$A$2,"."&amp;U$2&amp;U$1&amp;"P"&amp;$A40)),IF(RTD("tos.rtd",,$A$2,"."&amp;U$2&amp;U$1&amp;"C"&amp;$A40)="N/A",0,RTD("tos.rtd",,$A$2,"."&amp;U$2&amp;U$1&amp;"C"&amp;$A40))-IF(RTD("tos.rtd",,$A$2,"."&amp;U$2&amp;U$1&amp;"P"&amp;$A40)="N/A",0,RTD("tos.rtd",,$A$2,"."&amp;U$2&amp;U$1&amp;"P"&amp;$A40))))))))))</f>
        <v>0</v>
      </c>
      <c r="V40" s="12">
        <f ca="1">IF($A$2="PREMIUM_OI",IFERROR(IF($X$1="ABS",(100*RTD("tos.rtd",,"OPEN_INT","."&amp;V$2&amp;V$1&amp;"C"&amp;$A40)*RTD("tos.rtd",,"LAST","."&amp;V$2&amp;V$1&amp;"C"&amp;$A40)+100*RTD("tos.rtd",,"OPEN_INT","."&amp;V$2&amp;V$1&amp;"P"&amp;$A40)*RTD("tos.rtd",,"LAST","."&amp;V$2&amp;V$1&amp;"P"&amp;$A40))/1000000,(100*RTD("tos.rtd",,"OPEN_INT","."&amp;V$2&amp;V$1&amp;"C"&amp;$A40)*RTD("tos.rtd",,"LAST","."&amp;V$2&amp;V$1&amp;"C"&amp;$A40)-100*RTD("tos.rtd",,"OPEN_INT","."&amp;V$2&amp;V$1&amp;"P"&amp;$A40)*RTD("tos.rtd",,"LAST","."&amp;V$2&amp;V$1&amp;"P"&amp;$A40))/1000000),0),IF($A$2="PREMIUM",IFERROR(IF($X$1="ABS",(100*RTD("tos.rtd",,"VOLUME","."&amp;V$2&amp;V$1&amp;"C"&amp;$A40)*RTD("tos.rtd",,"LAST","."&amp;V$2&amp;V$1&amp;"C"&amp;$A40)+100*RTD("tos.rtd",,"VOLUME","."&amp;V$2&amp;V$1&amp;"P"&amp;$A40)*RTD("tos.rtd",,"LAST","."&amp;V$2&amp;V$1&amp;"P"&amp;$A40))/1000000,(100*RTD("tos.rtd",,"VOLUME","."&amp;V$2&amp;V$1&amp;"C"&amp;$A40)*RTD("tos.rtd",,"LAST","."&amp;V$2&amp;V$1&amp;"C"&amp;$A40)-100*RTD("tos.rtd",,"VOLUME","."&amp;V$2&amp;V$1&amp;"P"&amp;$A40)*RTD("tos.rtd",,"LAST","."&amp;V$2&amp;V$1&amp;"P"&amp;$A40))/1000000),0),IF($A$2="DEX",IFERROR(IF($X$1="ABS",(100*RTD("tos.rtd",,"OPEN_INT","."&amp;V$2&amp;V$1&amp;"C"&amp;$A40)*RTD("tos.rtd",,"DELTA","."&amp;V$2&amp;V$1&amp;"C"&amp;$A40)+100*RTD("tos.rtd",,"OPEN_INT","."&amp;V$2&amp;V$1&amp;"P"&amp;$A40)*RTD("tos.rtd",,"DELTA","."&amp;V$2&amp;V$1&amp;"P"&amp;$A40))/1000,(100*RTD("tos.rtd",,"OPEN_INT","."&amp;V$2&amp;V$1&amp;"C"&amp;$A40)*RTD("tos.rtd",,"DELTA","."&amp;V$2&amp;V$1&amp;"C"&amp;$A40)-100*RTD("tos.rtd",,"OPEN_INT","."&amp;V$2&amp;V$1&amp;"P"&amp;$A40)*RTD("tos.rtd",,"DELTA","."&amp;V$2&amp;V$1&amp;"P"&amp;$A40))/1000),0),IF($A$2="VEX",IFERROR(IF($X$1="ABS",($A$4*$A$4*RTD("tos.rtd",,"VOLUME","."&amp;V$2&amp;V$1&amp;"C"&amp;$A40)*RTD("tos.rtd",,"GAMMA","."&amp;V$2&amp;V$1&amp;"C"&amp;$A40)+$A$4*$A$4*RTD("tos.rtd",,"VOLUME","."&amp;V$2&amp;V$1&amp;"P"&amp;$A40)*RTD("tos.rtd",,"GAMMA","."&amp;V$2&amp;V$1&amp;"P"&amp;$A40))/1000000,($A$4*$A$4*RTD("tos.rtd",,"VOLUME","."&amp;V$2&amp;V$1&amp;"C"&amp;$A40)*RTD("tos.rtd",,"GAMMA","."&amp;V$2&amp;V$1&amp;"C"&amp;$A40)-$A$4*$A$4*RTD("tos.rtd",,"VOLUME","."&amp;V$2&amp;V$1&amp;"P"&amp;$A40)*RTD("tos.rtd",,"GAMMA","."&amp;V$2&amp;V$1&amp;"P"&amp;$A40))/1000000),0),IF($A$2="GEX",IFERROR(IF($X$1="ABS",($A$4*$A$4*RTD("tos.rtd",,"OPEN_INT","."&amp;V$2&amp;V$1&amp;"C"&amp;$A40)*RTD("tos.rtd",,"GAMMA","."&amp;V$2&amp;V$1&amp;"C"&amp;$A40)+$A$4*$A$4*RTD("tos.rtd",,"OPEN_INT","."&amp;V$2&amp;V$1&amp;"P"&amp;$A40)*RTD("tos.rtd",,"GAMMA","."&amp;V$2&amp;V$1&amp;"P"&amp;$A40))/1000000,($A$4*$A$4*RTD("tos.rtd",,"OPEN_INT","."&amp;V$2&amp;V$1&amp;"C"&amp;$A40)*RTD("tos.rtd",,"GAMMA","."&amp;V$2&amp;V$1&amp;"C"&amp;$A40)-$A$4*$A$4*RTD("tos.rtd",,"OPEN_INT","."&amp;V$2&amp;V$1&amp;"P"&amp;$A40)*RTD("tos.rtd",,"GAMMA","."&amp;V$2&amp;V$1&amp;"P"&amp;$A40))/1000000),0),IF($A$2="SKEW",IFERROR(VALUE(IF(RTD("tos.rtd",,"IMPL_VOL","."&amp;V$2&amp;V$1&amp;"P"&amp;$A40)="N/A",0,RTD("tos.rtd",,"IMPL_VOL","."&amp;V$2&amp;V$1&amp;"P"&amp;$A40))),0)-IFERROR(VALUE(IF(RTD("tos.rtd",,"IMPL_VOL","."&amp;V$2&amp;V$1&amp;"C"&amp;$A40)="N/A",0,RTD("tos.rtd",,"IMPL_VOL","."&amp;V$2&amp;V$1&amp;"C"&amp;$A40))),0),IF($A$2="MAXPAIN",IF($A$4&gt;$A40,($A$4-$A40)*IF(RTD("tos.rtd",,"OPEN_INT","."&amp;V$2&amp;V$1&amp;"C"&amp;$A40)="N/A",0,RTD("tos.rtd",,"OPEN_INT","."&amp;V$2&amp;V$1&amp;"C"&amp;$A40)),0)+IF($A$4&lt;$A40,($A$5-$A$4)*IF(RTD("tos.rtd",,"OPEN_INT","."&amp;V$2&amp;V$1&amp;"P"&amp;$A40)="N/A",0,RTD("tos.rtd",,"OPEN_INT","."&amp;V$2&amp;V$1&amp;"P"&amp;$A40)),0),IF($X$1="ABS",IF(RTD("tos.rtd",,$A$2,"."&amp;V$2&amp;V$1&amp;"C"&amp;$A40)="N/A",0,RTD("tos.rtd",,$A$2,"."&amp;V$2&amp;V$1&amp;"C"&amp;$A40))+IF(RTD("tos.rtd",,$A$2,"."&amp;V$2&amp;V$1&amp;"P"&amp;$A40)="N/A",0,RTD("tos.rtd",,$A$2,"."&amp;V$2&amp;V$1&amp;"P"&amp;$A40)),IF(RTD("tos.rtd",,$A$2,"."&amp;V$2&amp;V$1&amp;"C"&amp;$A40)="N/A",0,RTD("tos.rtd",,$A$2,"."&amp;V$2&amp;V$1&amp;"C"&amp;$A40))-IF(RTD("tos.rtd",,$A$2,"."&amp;V$2&amp;V$1&amp;"P"&amp;$A40)="N/A",0,RTD("tos.rtd",,$A$2,"."&amp;V$2&amp;V$1&amp;"P"&amp;$A40))))))))))</f>
        <v>0</v>
      </c>
      <c r="W40" s="54">
        <f ca="1">IF($A$2="PREMIUM_OI",IFERROR(IF($X$1="ABS",(100*RTD("tos.rtd",,"OPEN_INT","."&amp;W$2&amp;W$1&amp;"C"&amp;$A40)*RTD("tos.rtd",,"LAST","."&amp;W$2&amp;W$1&amp;"C"&amp;$A40)+100*RTD("tos.rtd",,"OPEN_INT","."&amp;W$2&amp;W$1&amp;"P"&amp;$A40)*RTD("tos.rtd",,"LAST","."&amp;W$2&amp;W$1&amp;"P"&amp;$A40))/1000000,(100*RTD("tos.rtd",,"OPEN_INT","."&amp;W$2&amp;W$1&amp;"C"&amp;$A40)*RTD("tos.rtd",,"LAST","."&amp;W$2&amp;W$1&amp;"C"&amp;$A40)-100*RTD("tos.rtd",,"OPEN_INT","."&amp;W$2&amp;W$1&amp;"P"&amp;$A40)*RTD("tos.rtd",,"LAST","."&amp;W$2&amp;W$1&amp;"P"&amp;$A40))/1000000),0),IF($A$2="PREMIUM",IFERROR(IF($X$1="ABS",(100*RTD("tos.rtd",,"VOLUME","."&amp;W$2&amp;W$1&amp;"C"&amp;$A40)*RTD("tos.rtd",,"LAST","."&amp;W$2&amp;W$1&amp;"C"&amp;$A40)+100*RTD("tos.rtd",,"VOLUME","."&amp;W$2&amp;W$1&amp;"P"&amp;$A40)*RTD("tos.rtd",,"LAST","."&amp;W$2&amp;W$1&amp;"P"&amp;$A40))/1000000,(100*RTD("tos.rtd",,"VOLUME","."&amp;W$2&amp;W$1&amp;"C"&amp;$A40)*RTD("tos.rtd",,"LAST","."&amp;W$2&amp;W$1&amp;"C"&amp;$A40)-100*RTD("tos.rtd",,"VOLUME","."&amp;W$2&amp;W$1&amp;"P"&amp;$A40)*RTD("tos.rtd",,"LAST","."&amp;W$2&amp;W$1&amp;"P"&amp;$A40))/1000000),0),IF($A$2="DEX",IFERROR(IF($X$1="ABS",(100*RTD("tos.rtd",,"OPEN_INT","."&amp;W$2&amp;W$1&amp;"C"&amp;$A40)*RTD("tos.rtd",,"DELTA","."&amp;W$2&amp;W$1&amp;"C"&amp;$A40)+100*RTD("tos.rtd",,"OPEN_INT","."&amp;W$2&amp;W$1&amp;"P"&amp;$A40)*RTD("tos.rtd",,"DELTA","."&amp;W$2&amp;W$1&amp;"P"&amp;$A40))/1000,(100*RTD("tos.rtd",,"OPEN_INT","."&amp;W$2&amp;W$1&amp;"C"&amp;$A40)*RTD("tos.rtd",,"DELTA","."&amp;W$2&amp;W$1&amp;"C"&amp;$A40)-100*RTD("tos.rtd",,"OPEN_INT","."&amp;W$2&amp;W$1&amp;"P"&amp;$A40)*RTD("tos.rtd",,"DELTA","."&amp;W$2&amp;W$1&amp;"P"&amp;$A40))/1000),0),IF($A$2="VEX",IFERROR(IF($X$1="ABS",($A$4*$A$4*RTD("tos.rtd",,"VOLUME","."&amp;W$2&amp;W$1&amp;"C"&amp;$A40)*RTD("tos.rtd",,"GAMMA","."&amp;W$2&amp;W$1&amp;"C"&amp;$A40)+$A$4*$A$4*RTD("tos.rtd",,"VOLUME","."&amp;W$2&amp;W$1&amp;"P"&amp;$A40)*RTD("tos.rtd",,"GAMMA","."&amp;W$2&amp;W$1&amp;"P"&amp;$A40))/1000000,($A$4*$A$4*RTD("tos.rtd",,"VOLUME","."&amp;W$2&amp;W$1&amp;"C"&amp;$A40)*RTD("tos.rtd",,"GAMMA","."&amp;W$2&amp;W$1&amp;"C"&amp;$A40)-$A$4*$A$4*RTD("tos.rtd",,"VOLUME","."&amp;W$2&amp;W$1&amp;"P"&amp;$A40)*RTD("tos.rtd",,"GAMMA","."&amp;W$2&amp;W$1&amp;"P"&amp;$A40))/1000000),0),IF($A$2="GEX",IFERROR(IF($X$1="ABS",($A$4*$A$4*RTD("tos.rtd",,"OPEN_INT","."&amp;W$2&amp;W$1&amp;"C"&amp;$A40)*RTD("tos.rtd",,"GAMMA","."&amp;W$2&amp;W$1&amp;"C"&amp;$A40)+$A$4*$A$4*RTD("tos.rtd",,"OPEN_INT","."&amp;W$2&amp;W$1&amp;"P"&amp;$A40)*RTD("tos.rtd",,"GAMMA","."&amp;W$2&amp;W$1&amp;"P"&amp;$A40))/1000000,($A$4*$A$4*RTD("tos.rtd",,"OPEN_INT","."&amp;W$2&amp;W$1&amp;"C"&amp;$A40)*RTD("tos.rtd",,"GAMMA","."&amp;W$2&amp;W$1&amp;"C"&amp;$A40)-$A$4*$A$4*RTD("tos.rtd",,"OPEN_INT","."&amp;W$2&amp;W$1&amp;"P"&amp;$A40)*RTD("tos.rtd",,"GAMMA","."&amp;W$2&amp;W$1&amp;"P"&amp;$A40))/1000000),0),IF($A$2="SKEW",IFERROR(VALUE(IF(RTD("tos.rtd",,"IMPL_VOL","."&amp;W$2&amp;W$1&amp;"P"&amp;$A40)="N/A",0,RTD("tos.rtd",,"IMPL_VOL","."&amp;W$2&amp;W$1&amp;"P"&amp;$A40))),0)-IFERROR(VALUE(IF(RTD("tos.rtd",,"IMPL_VOL","."&amp;W$2&amp;W$1&amp;"C"&amp;$A40)="N/A",0,RTD("tos.rtd",,"IMPL_VOL","."&amp;W$2&amp;W$1&amp;"C"&amp;$A40))),0),IF($A$2="MAXPAIN",IF($A$4&gt;$A40,($A$4-$A40)*IF(RTD("tos.rtd",,"OPEN_INT","."&amp;W$2&amp;W$1&amp;"C"&amp;$A40)="N/A",0,RTD("tos.rtd",,"OPEN_INT","."&amp;W$2&amp;W$1&amp;"C"&amp;$A40)),0)+IF($A$4&lt;$A40,($A$5-$A$4)*IF(RTD("tos.rtd",,"OPEN_INT","."&amp;W$2&amp;W$1&amp;"P"&amp;$A40)="N/A",0,RTD("tos.rtd",,"OPEN_INT","."&amp;W$2&amp;W$1&amp;"P"&amp;$A40)),0),IF($X$1="ABS",IF(RTD("tos.rtd",,$A$2,"."&amp;W$2&amp;W$1&amp;"C"&amp;$A40)="N/A",0,RTD("tos.rtd",,$A$2,"."&amp;W$2&amp;W$1&amp;"C"&amp;$A40))+IF(RTD("tos.rtd",,$A$2,"."&amp;W$2&amp;W$1&amp;"P"&amp;$A40)="N/A",0,RTD("tos.rtd",,$A$2,"."&amp;W$2&amp;W$1&amp;"P"&amp;$A40)),IF(RTD("tos.rtd",,$A$2,"."&amp;W$2&amp;W$1&amp;"C"&amp;$A40)="N/A",0,RTD("tos.rtd",,$A$2,"."&amp;W$2&amp;W$1&amp;"C"&amp;$A40))-IF(RTD("tos.rtd",,$A$2,"."&amp;W$2&amp;W$1&amp;"P"&amp;$A40)="N/A",0,RTD("tos.rtd",,$A$2,"."&amp;W$2&amp;W$1&amp;"P"&amp;$A40))))))))))</f>
        <v>0</v>
      </c>
      <c r="X40" s="57">
        <f t="shared" ca="1" si="8"/>
        <v>0</v>
      </c>
      <c r="Y40" s="27">
        <f t="shared" ca="1" si="9"/>
        <v>0</v>
      </c>
      <c r="Z40" s="27">
        <f ca="1">+'OI-VOL'!Y40</f>
        <v>414</v>
      </c>
      <c r="AA40" s="27" t="b">
        <f t="shared" ca="1" si="10"/>
        <v>0</v>
      </c>
      <c r="AB40" s="27">
        <f t="shared" si="11"/>
        <v>21544050</v>
      </c>
      <c r="AC40" s="18">
        <f>MAX(0, $A40-AC$4)*IF(RTD("tos.rtd",,"OPEN_INT","."&amp;$AB$3&amp;$AB$4&amp;"C"&amp;AC$4)="N/A",0,RTD("tos.rtd",,"OPEN_INT","."&amp;$AB$3&amp;$AB$4&amp;"C"&amp;AC$4))*100 + MAX(0, AC$4-$A40)*IF(RTD("tos.rtd",,"OPEN_INT","."&amp;$AB$3&amp;$AB$4&amp;"P"&amp;AC$4)="N/A",0,RTD("tos.rtd",,"OPEN_INT","."&amp;$AB$3&amp;$AB$4&amp;"P"&amp;AC$4))*100</f>
        <v>0</v>
      </c>
      <c r="AD40" s="18">
        <f>MAX(0, $A40-AD$4)*IF(RTD("tos.rtd",,"OPEN_INT","."&amp;$AB$3&amp;$AB$4&amp;"C"&amp;AD$4)="N/A",0,RTD("tos.rtd",,"OPEN_INT","."&amp;$AB$3&amp;$AB$4&amp;"C"&amp;AD$4))*100 + MAX(0, AD$4-$A40)*IF(RTD("tos.rtd",,"OPEN_INT","."&amp;$AB$3&amp;$AB$4&amp;"P"&amp;AD$4)="N/A",0,RTD("tos.rtd",,"OPEN_INT","."&amp;$AB$3&amp;$AB$4&amp;"P"&amp;AD$4))*100</f>
        <v>0</v>
      </c>
      <c r="AE40" s="18">
        <f>MAX(0, $A40-AE$4)*IF(RTD("tos.rtd",,"OPEN_INT","."&amp;$AB$3&amp;$AB$4&amp;"C"&amp;AE$4)="N/A",0,RTD("tos.rtd",,"OPEN_INT","."&amp;$AB$3&amp;$AB$4&amp;"C"&amp;AE$4))*100 + MAX(0, AE$4-$A40)*IF(RTD("tos.rtd",,"OPEN_INT","."&amp;$AB$3&amp;$AB$4&amp;"P"&amp;AE$4)="N/A",0,RTD("tos.rtd",,"OPEN_INT","."&amp;$AB$3&amp;$AB$4&amp;"P"&amp;AE$4))*100</f>
        <v>0</v>
      </c>
      <c r="AF40" s="18">
        <f>MAX(0, $A40-AF$4)*IF(RTD("tos.rtd",,"OPEN_INT","."&amp;$AB$3&amp;$AB$4&amp;"C"&amp;AF$4)="N/A",0,RTD("tos.rtd",,"OPEN_INT","."&amp;$AB$3&amp;$AB$4&amp;"C"&amp;AF$4))*100 + MAX(0, AF$4-$A40)*IF(RTD("tos.rtd",,"OPEN_INT","."&amp;$AB$3&amp;$AB$4&amp;"P"&amp;AF$4)="N/A",0,RTD("tos.rtd",,"OPEN_INT","."&amp;$AB$3&amp;$AB$4&amp;"P"&amp;AF$4))*100</f>
        <v>0</v>
      </c>
      <c r="AG40" s="18">
        <f>MAX(0, $A40-AG$4)*IF(RTD("tos.rtd",,"OPEN_INT","."&amp;$AB$3&amp;$AB$4&amp;"C"&amp;AG$4)="N/A",0,RTD("tos.rtd",,"OPEN_INT","."&amp;$AB$3&amp;$AB$4&amp;"C"&amp;AG$4))*100 + MAX(0, AG$4-$A40)*IF(RTD("tos.rtd",,"OPEN_INT","."&amp;$AB$3&amp;$AB$4&amp;"P"&amp;AG$4)="N/A",0,RTD("tos.rtd",,"OPEN_INT","."&amp;$AB$3&amp;$AB$4&amp;"P"&amp;AG$4))*100</f>
        <v>0</v>
      </c>
      <c r="AH40" s="18">
        <f>MAX(0, $A40-AH$4)*IF(RTD("tos.rtd",,"OPEN_INT","."&amp;$AB$3&amp;$AB$4&amp;"C"&amp;AH$4)="N/A",0,RTD("tos.rtd",,"OPEN_INT","."&amp;$AB$3&amp;$AB$4&amp;"C"&amp;AH$4))*100 + MAX(0, AH$4-$A40)*IF(RTD("tos.rtd",,"OPEN_INT","."&amp;$AB$3&amp;$AB$4&amp;"P"&amp;AH$4)="N/A",0,RTD("tos.rtd",,"OPEN_INT","."&amp;$AB$3&amp;$AB$4&amp;"P"&amp;AH$4))*100</f>
        <v>0</v>
      </c>
      <c r="AI40" s="18">
        <f>MAX(0, $A40-AI$4)*IF(RTD("tos.rtd",,"OPEN_INT","."&amp;$AB$3&amp;$AB$4&amp;"C"&amp;AI$4)="N/A",0,RTD("tos.rtd",,"OPEN_INT","."&amp;$AB$3&amp;$AB$4&amp;"C"&amp;AI$4))*100 + MAX(0, AI$4-$A40)*IF(RTD("tos.rtd",,"OPEN_INT","."&amp;$AB$3&amp;$AB$4&amp;"P"&amp;AI$4)="N/A",0,RTD("tos.rtd",,"OPEN_INT","."&amp;$AB$3&amp;$AB$4&amp;"P"&amp;AI$4))*100</f>
        <v>0</v>
      </c>
      <c r="AJ40" s="18">
        <f>MAX(0, $A40-AJ$4)*IF(RTD("tos.rtd",,"OPEN_INT","."&amp;$AB$3&amp;$AB$4&amp;"C"&amp;AJ$4)="N/A",0,RTD("tos.rtd",,"OPEN_INT","."&amp;$AB$3&amp;$AB$4&amp;"C"&amp;AJ$4))*100 + MAX(0, AJ$4-$A40)*IF(RTD("tos.rtd",,"OPEN_INT","."&amp;$AB$3&amp;$AB$4&amp;"P"&amp;AJ$4)="N/A",0,RTD("tos.rtd",,"OPEN_INT","."&amp;$AB$3&amp;$AB$4&amp;"P"&amp;AJ$4))*100</f>
        <v>4200</v>
      </c>
      <c r="AK40" s="18">
        <f>MAX(0, $A40-AK$4)*IF(RTD("tos.rtd",,"OPEN_INT","."&amp;$AB$3&amp;$AB$4&amp;"C"&amp;AK$4)="N/A",0,RTD("tos.rtd",,"OPEN_INT","."&amp;$AB$3&amp;$AB$4&amp;"C"&amp;AK$4))*100 + MAX(0, AK$4-$A40)*IF(RTD("tos.rtd",,"OPEN_INT","."&amp;$AB$3&amp;$AB$4&amp;"P"&amp;AK$4)="N/A",0,RTD("tos.rtd",,"OPEN_INT","."&amp;$AB$3&amp;$AB$4&amp;"P"&amp;AK$4))*100</f>
        <v>10800</v>
      </c>
      <c r="AL40" s="18">
        <f>MAX(0, $A40-AL$4)*IF(RTD("tos.rtd",,"OPEN_INT","."&amp;$AB$3&amp;$AB$4&amp;"C"&amp;AL$4)="N/A",0,RTD("tos.rtd",,"OPEN_INT","."&amp;$AB$3&amp;$AB$4&amp;"C"&amp;AL$4))*100 + MAX(0, AL$4-$A40)*IF(RTD("tos.rtd",,"OPEN_INT","."&amp;$AB$3&amp;$AB$4&amp;"P"&amp;AL$4)="N/A",0,RTD("tos.rtd",,"OPEN_INT","."&amp;$AB$3&amp;$AB$4&amp;"P"&amp;AL$4))*100</f>
        <v>0</v>
      </c>
      <c r="AM40" s="18">
        <f>MAX(0, $A40-AM$4)*IF(RTD("tos.rtd",,"OPEN_INT","."&amp;$AB$3&amp;$AB$4&amp;"C"&amp;AM$4)="N/A",0,RTD("tos.rtd",,"OPEN_INT","."&amp;$AB$3&amp;$AB$4&amp;"C"&amp;AM$4))*100 + MAX(0, AM$4-$A40)*IF(RTD("tos.rtd",,"OPEN_INT","."&amp;$AB$3&amp;$AB$4&amp;"P"&amp;AM$4)="N/A",0,RTD("tos.rtd",,"OPEN_INT","."&amp;$AB$3&amp;$AB$4&amp;"P"&amp;AM$4))*100</f>
        <v>0</v>
      </c>
      <c r="AN40" s="18">
        <f>MAX(0, $A40-AN$4)*IF(RTD("tos.rtd",,"OPEN_INT","."&amp;$AB$3&amp;$AB$4&amp;"C"&amp;AN$4)="N/A",0,RTD("tos.rtd",,"OPEN_INT","."&amp;$AB$3&amp;$AB$4&amp;"C"&amp;AN$4))*100 + MAX(0, AN$4-$A40)*IF(RTD("tos.rtd",,"OPEN_INT","."&amp;$AB$3&amp;$AB$4&amp;"P"&amp;AN$4)="N/A",0,RTD("tos.rtd",,"OPEN_INT","."&amp;$AB$3&amp;$AB$4&amp;"P"&amp;AN$4))*100</f>
        <v>0</v>
      </c>
      <c r="AO40" s="18">
        <f>MAX(0, $A40-AO$4)*IF(RTD("tos.rtd",,"OPEN_INT","."&amp;$AB$3&amp;$AB$4&amp;"C"&amp;AO$4)="N/A",0,RTD("tos.rtd",,"OPEN_INT","."&amp;$AB$3&amp;$AB$4&amp;"C"&amp;AO$4))*100 + MAX(0, AO$4-$A40)*IF(RTD("tos.rtd",,"OPEN_INT","."&amp;$AB$3&amp;$AB$4&amp;"P"&amp;AO$4)="N/A",0,RTD("tos.rtd",,"OPEN_INT","."&amp;$AB$3&amp;$AB$4&amp;"P"&amp;AO$4))*100</f>
        <v>0</v>
      </c>
      <c r="AP40" s="18">
        <f>MAX(0, $A40-AP$4)*IF(RTD("tos.rtd",,"OPEN_INT","."&amp;$AB$3&amp;$AB$4&amp;"C"&amp;AP$4)="N/A",0,RTD("tos.rtd",,"OPEN_INT","."&amp;$AB$3&amp;$AB$4&amp;"C"&amp;AP$4))*100 + MAX(0, AP$4-$A40)*IF(RTD("tos.rtd",,"OPEN_INT","."&amp;$AB$3&amp;$AB$4&amp;"P"&amp;AP$4)="N/A",0,RTD("tos.rtd",,"OPEN_INT","."&amp;$AB$3&amp;$AB$4&amp;"P"&amp;AP$4))*100</f>
        <v>132000</v>
      </c>
      <c r="AQ40" s="18">
        <f>MAX(0, $A40-AQ$4)*IF(RTD("tos.rtd",,"OPEN_INT","."&amp;$AB$3&amp;$AB$4&amp;"C"&amp;AQ$4)="N/A",0,RTD("tos.rtd",,"OPEN_INT","."&amp;$AB$3&amp;$AB$4&amp;"C"&amp;AQ$4))*100 + MAX(0, AQ$4-$A40)*IF(RTD("tos.rtd",,"OPEN_INT","."&amp;$AB$3&amp;$AB$4&amp;"P"&amp;AQ$4)="N/A",0,RTD("tos.rtd",,"OPEN_INT","."&amp;$AB$3&amp;$AB$4&amp;"P"&amp;AQ$4))*100</f>
        <v>0</v>
      </c>
      <c r="AR40" s="18">
        <f>MAX(0, $A40-AR$4)*IF(RTD("tos.rtd",,"OPEN_INT","."&amp;$AB$3&amp;$AB$4&amp;"C"&amp;AR$4)="N/A",0,RTD("tos.rtd",,"OPEN_INT","."&amp;$AB$3&amp;$AB$4&amp;"C"&amp;AR$4))*100 + MAX(0, AR$4-$A40)*IF(RTD("tos.rtd",,"OPEN_INT","."&amp;$AB$3&amp;$AB$4&amp;"P"&amp;AR$4)="N/A",0,RTD("tos.rtd",,"OPEN_INT","."&amp;$AB$3&amp;$AB$4&amp;"P"&amp;AR$4))*100</f>
        <v>53000</v>
      </c>
      <c r="AS40" s="18">
        <f>MAX(0, $A40-AS$4)*IF(RTD("tos.rtd",,"OPEN_INT","."&amp;$AB$3&amp;$AB$4&amp;"C"&amp;AS$4)="N/A",0,RTD("tos.rtd",,"OPEN_INT","."&amp;$AB$3&amp;$AB$4&amp;"C"&amp;AS$4))*100 + MAX(0, AS$4-$A40)*IF(RTD("tos.rtd",,"OPEN_INT","."&amp;$AB$3&amp;$AB$4&amp;"P"&amp;AS$4)="N/A",0,RTD("tos.rtd",,"OPEN_INT","."&amp;$AB$3&amp;$AB$4&amp;"P"&amp;AS$4))*100</f>
        <v>5700</v>
      </c>
      <c r="AT40" s="18">
        <f>MAX(0, $A40-AT$4)*IF(RTD("tos.rtd",,"OPEN_INT","."&amp;$AB$3&amp;$AB$4&amp;"C"&amp;AT$4)="N/A",0,RTD("tos.rtd",,"OPEN_INT","."&amp;$AB$3&amp;$AB$4&amp;"C"&amp;AT$4))*100 + MAX(0, AT$4-$A40)*IF(RTD("tos.rtd",,"OPEN_INT","."&amp;$AB$3&amp;$AB$4&amp;"P"&amp;AT$4)="N/A",0,RTD("tos.rtd",,"OPEN_INT","."&amp;$AB$3&amp;$AB$4&amp;"P"&amp;AT$4))*100</f>
        <v>55800</v>
      </c>
      <c r="AU40" s="18">
        <f>MAX(0, $A40-AU$4)*IF(RTD("tos.rtd",,"OPEN_INT","."&amp;$AB$3&amp;$AB$4&amp;"C"&amp;AU$4)="N/A",0,RTD("tos.rtd",,"OPEN_INT","."&amp;$AB$3&amp;$AB$4&amp;"C"&amp;AU$4))*100 + MAX(0, AU$4-$A40)*IF(RTD("tos.rtd",,"OPEN_INT","."&amp;$AB$3&amp;$AB$4&amp;"P"&amp;AU$4)="N/A",0,RTD("tos.rtd",,"OPEN_INT","."&amp;$AB$3&amp;$AB$4&amp;"P"&amp;AU$4))*100</f>
        <v>59500</v>
      </c>
      <c r="AV40" s="18">
        <f>MAX(0, $A40-AV$4)*IF(RTD("tos.rtd",,"OPEN_INT","."&amp;$AB$3&amp;$AB$4&amp;"C"&amp;AV$4)="N/A",0,RTD("tos.rtd",,"OPEN_INT","."&amp;$AB$3&amp;$AB$4&amp;"C"&amp;AV$4))*100 + MAX(0, AV$4-$A40)*IF(RTD("tos.rtd",,"OPEN_INT","."&amp;$AB$3&amp;$AB$4&amp;"P"&amp;AV$4)="N/A",0,RTD("tos.rtd",,"OPEN_INT","."&amp;$AB$3&amp;$AB$4&amp;"P"&amp;AV$4))*100</f>
        <v>32000</v>
      </c>
      <c r="AW40" s="18">
        <f>MAX(0, $A40-AW$4)*IF(RTD("tos.rtd",,"OPEN_INT","."&amp;$AB$3&amp;$AB$4&amp;"C"&amp;AW$4)="N/A",0,RTD("tos.rtd",,"OPEN_INT","."&amp;$AB$3&amp;$AB$4&amp;"C"&amp;AW$4))*100 + MAX(0, AW$4-$A40)*IF(RTD("tos.rtd",,"OPEN_INT","."&amp;$AB$3&amp;$AB$4&amp;"P"&amp;AW$4)="N/A",0,RTD("tos.rtd",,"OPEN_INT","."&amp;$AB$3&amp;$AB$4&amp;"P"&amp;AW$4))*100</f>
        <v>120750</v>
      </c>
      <c r="AX40" s="18">
        <f>MAX(0, $A40-AX$4)*IF(RTD("tos.rtd",,"OPEN_INT","."&amp;$AB$3&amp;$AB$4&amp;"C"&amp;AX$4)="N/A",0,RTD("tos.rtd",,"OPEN_INT","."&amp;$AB$3&amp;$AB$4&amp;"C"&amp;AX$4))*100 + MAX(0, AX$4-$A40)*IF(RTD("tos.rtd",,"OPEN_INT","."&amp;$AB$3&amp;$AB$4&amp;"P"&amp;AX$4)="N/A",0,RTD("tos.rtd",,"OPEN_INT","."&amp;$AB$3&amp;$AB$4&amp;"P"&amp;AX$4))*100</f>
        <v>141400</v>
      </c>
      <c r="AY40" s="18">
        <f>MAX(0, $A40-AY$4)*IF(RTD("tos.rtd",,"OPEN_INT","."&amp;$AB$3&amp;$AB$4&amp;"C"&amp;AY$4)="N/A",0,RTD("tos.rtd",,"OPEN_INT","."&amp;$AB$3&amp;$AB$4&amp;"C"&amp;AY$4))*100 + MAX(0, AY$4-$A40)*IF(RTD("tos.rtd",,"OPEN_INT","."&amp;$AB$3&amp;$AB$4&amp;"P"&amp;AY$4)="N/A",0,RTD("tos.rtd",,"OPEN_INT","."&amp;$AB$3&amp;$AB$4&amp;"P"&amp;AY$4))*100</f>
        <v>160550</v>
      </c>
      <c r="AZ40" s="18">
        <f>MAX(0, $A40-AZ$4)*IF(RTD("tos.rtd",,"OPEN_INT","."&amp;$AB$3&amp;$AB$4&amp;"C"&amp;AZ$4)="N/A",0,RTD("tos.rtd",,"OPEN_INT","."&amp;$AB$3&amp;$AB$4&amp;"C"&amp;AZ$4))*100 + MAX(0, AZ$4-$A40)*IF(RTD("tos.rtd",,"OPEN_INT","."&amp;$AB$3&amp;$AB$4&amp;"P"&amp;AZ$4)="N/A",0,RTD("tos.rtd",,"OPEN_INT","."&amp;$AB$3&amp;$AB$4&amp;"P"&amp;AZ$4))*100</f>
        <v>1244400</v>
      </c>
      <c r="BA40" s="18">
        <f>MAX(0, $A40-BA$4)*IF(RTD("tos.rtd",,"OPEN_INT","."&amp;$AB$3&amp;$AB$4&amp;"C"&amp;BA$4)="N/A",0,RTD("tos.rtd",,"OPEN_INT","."&amp;$AB$3&amp;$AB$4&amp;"C"&amp;BA$4))*100 + MAX(0, BA$4-$A40)*IF(RTD("tos.rtd",,"OPEN_INT","."&amp;$AB$3&amp;$AB$4&amp;"P"&amp;BA$4)="N/A",0,RTD("tos.rtd",,"OPEN_INT","."&amp;$AB$3&amp;$AB$4&amp;"P"&amp;BA$4))*100</f>
        <v>312400</v>
      </c>
      <c r="BB40" s="18">
        <f>MAX(0, $A40-BB$4)*IF(RTD("tos.rtd",,"OPEN_INT","."&amp;$AB$3&amp;$AB$4&amp;"C"&amp;BB$4)="N/A",0,RTD("tos.rtd",,"OPEN_INT","."&amp;$AB$3&amp;$AB$4&amp;"C"&amp;BB$4))*100 + MAX(0, BB$4-$A40)*IF(RTD("tos.rtd",,"OPEN_INT","."&amp;$AB$3&amp;$AB$4&amp;"P"&amp;BB$4)="N/A",0,RTD("tos.rtd",,"OPEN_INT","."&amp;$AB$3&amp;$AB$4&amp;"P"&amp;BB$4))*100</f>
        <v>1170000</v>
      </c>
      <c r="BC40" s="18">
        <f>MAX(0, $A40-BC$4)*IF(RTD("tos.rtd",,"OPEN_INT","."&amp;$AB$3&amp;$AB$4&amp;"C"&amp;BC$4)="N/A",0,RTD("tos.rtd",,"OPEN_INT","."&amp;$AB$3&amp;$AB$4&amp;"C"&amp;BC$4))*100 + MAX(0, BC$4-$A40)*IF(RTD("tos.rtd",,"OPEN_INT","."&amp;$AB$3&amp;$AB$4&amp;"P"&amp;BC$4)="N/A",0,RTD("tos.rtd",,"OPEN_INT","."&amp;$AB$3&amp;$AB$4&amp;"P"&amp;BC$4))*100</f>
        <v>1027800</v>
      </c>
      <c r="BD40" s="18">
        <f>MAX(0, $A40-BD$4)*IF(RTD("tos.rtd",,"OPEN_INT","."&amp;$AB$3&amp;$AB$4&amp;"C"&amp;BD$4)="N/A",0,RTD("tos.rtd",,"OPEN_INT","."&amp;$AB$3&amp;$AB$4&amp;"C"&amp;BD$4))*100 + MAX(0, BD$4-$A40)*IF(RTD("tos.rtd",,"OPEN_INT","."&amp;$AB$3&amp;$AB$4&amp;"P"&amp;BD$4)="N/A",0,RTD("tos.rtd",,"OPEN_INT","."&amp;$AB$3&amp;$AB$4&amp;"P"&amp;BD$4))*100</f>
        <v>3060400</v>
      </c>
      <c r="BE40" s="18">
        <f>MAX(0, $A40-BE$4)*IF(RTD("tos.rtd",,"OPEN_INT","."&amp;$AB$3&amp;$AB$4&amp;"C"&amp;BE$4)="N/A",0,RTD("tos.rtd",,"OPEN_INT","."&amp;$AB$3&amp;$AB$4&amp;"C"&amp;BE$4))*100 + MAX(0, BE$4-$A40)*IF(RTD("tos.rtd",,"OPEN_INT","."&amp;$AB$3&amp;$AB$4&amp;"P"&amp;BE$4)="N/A",0,RTD("tos.rtd",,"OPEN_INT","."&amp;$AB$3&amp;$AB$4&amp;"P"&amp;BE$4))*100</f>
        <v>3437350</v>
      </c>
      <c r="BF40" s="18">
        <f>MAX(0, $A40-BF$4)*IF(RTD("tos.rtd",,"OPEN_INT","."&amp;$AB$3&amp;$AB$4&amp;"C"&amp;BF$4)="N/A",0,RTD("tos.rtd",,"OPEN_INT","."&amp;$AB$3&amp;$AB$4&amp;"C"&amp;BF$4))*100 + MAX(0, BF$4-$A40)*IF(RTD("tos.rtd",,"OPEN_INT","."&amp;$AB$3&amp;$AB$4&amp;"P"&amp;BF$4)="N/A",0,RTD("tos.rtd",,"OPEN_INT","."&amp;$AB$3&amp;$AB$4&amp;"P"&amp;BF$4))*100</f>
        <v>3334800</v>
      </c>
      <c r="BG40" s="18">
        <f>MAX(0, $A40-BG$4)*IF(RTD("tos.rtd",,"OPEN_INT","."&amp;$AB$3&amp;$AB$4&amp;"C"&amp;BG$4)="N/A",0,RTD("tos.rtd",,"OPEN_INT","."&amp;$AB$3&amp;$AB$4&amp;"C"&amp;BG$4))*100 + MAX(0, BG$4-$A40)*IF(RTD("tos.rtd",,"OPEN_INT","."&amp;$AB$3&amp;$AB$4&amp;"P"&amp;BG$4)="N/A",0,RTD("tos.rtd",,"OPEN_INT","."&amp;$AB$3&amp;$AB$4&amp;"P"&amp;BG$4))*100</f>
        <v>3477250</v>
      </c>
      <c r="BH40" s="18">
        <f>MAX(0, $A40-BH$4)*IF(RTD("tos.rtd",,"OPEN_INT","."&amp;$AB$3&amp;$AB$4&amp;"C"&amp;BH$4)="N/A",0,RTD("tos.rtd",,"OPEN_INT","."&amp;$AB$3&amp;$AB$4&amp;"C"&amp;BH$4))*100 + MAX(0, BH$4-$A40)*IF(RTD("tos.rtd",,"OPEN_INT","."&amp;$AB$3&amp;$AB$4&amp;"P"&amp;BH$4)="N/A",0,RTD("tos.rtd",,"OPEN_INT","."&amp;$AB$3&amp;$AB$4&amp;"P"&amp;BH$4))*100</f>
        <v>1815000</v>
      </c>
      <c r="BI40" s="18">
        <f>MAX(0, $A40-BI$4)*IF(RTD("tos.rtd",,"OPEN_INT","."&amp;$AB$3&amp;$AB$4&amp;"C"&amp;BI$4)="N/A",0,RTD("tos.rtd",,"OPEN_INT","."&amp;$AB$3&amp;$AB$4&amp;"C"&amp;BI$4))*100 + MAX(0, BI$4-$A40)*IF(RTD("tos.rtd",,"OPEN_INT","."&amp;$AB$3&amp;$AB$4&amp;"P"&amp;BI$4)="N/A",0,RTD("tos.rtd",,"OPEN_INT","."&amp;$AB$3&amp;$AB$4&amp;"P"&amp;BI$4))*100</f>
        <v>963450</v>
      </c>
      <c r="BJ40" s="18">
        <f>MAX(0, $A40-BJ$4)*IF(RTD("tos.rtd",,"OPEN_INT","."&amp;$AB$3&amp;$AB$4&amp;"C"&amp;BJ$4)="N/A",0,RTD("tos.rtd",,"OPEN_INT","."&amp;$AB$3&amp;$AB$4&amp;"C"&amp;BJ$4))*100 + MAX(0, BJ$4-$A40)*IF(RTD("tos.rtd",,"OPEN_INT","."&amp;$AB$3&amp;$AB$4&amp;"P"&amp;BJ$4)="N/A",0,RTD("tos.rtd",,"OPEN_INT","."&amp;$AB$3&amp;$AB$4&amp;"P"&amp;BJ$4))*100</f>
        <v>802500</v>
      </c>
      <c r="BK40" s="18">
        <f>MAX(0, $A40-BK$4)*IF(RTD("tos.rtd",,"OPEN_INT","."&amp;$AB$3&amp;$AB$4&amp;"C"&amp;BK$4)="N/A",0,RTD("tos.rtd",,"OPEN_INT","."&amp;$AB$3&amp;$AB$4&amp;"C"&amp;BK$4))*100 + MAX(0, BK$4-$A40)*IF(RTD("tos.rtd",,"OPEN_INT","."&amp;$AB$3&amp;$AB$4&amp;"P"&amp;BK$4)="N/A",0,RTD("tos.rtd",,"OPEN_INT","."&amp;$AB$3&amp;$AB$4&amp;"P"&amp;BK$4))*100</f>
        <v>109150</v>
      </c>
      <c r="BL40" s="18">
        <f>MAX(0, $A40-BL$4)*IF(RTD("tos.rtd",,"OPEN_INT","."&amp;$AB$3&amp;$AB$4&amp;"C"&amp;BL$4)="N/A",0,RTD("tos.rtd",,"OPEN_INT","."&amp;$AB$3&amp;$AB$4&amp;"C"&amp;BL$4))*100 + MAX(0, BL$4-$A40)*IF(RTD("tos.rtd",,"OPEN_INT","."&amp;$AB$3&amp;$AB$4&amp;"P"&amp;BL$4)="N/A",0,RTD("tos.rtd",,"OPEN_INT","."&amp;$AB$3&amp;$AB$4&amp;"P"&amp;BL$4))*100</f>
        <v>0</v>
      </c>
      <c r="BM40" s="18">
        <f>MAX(0, $A40-BM$4)*IF(RTD("tos.rtd",,"OPEN_INT","."&amp;$AB$3&amp;$AB$4&amp;"C"&amp;BM$4)="N/A",0,RTD("tos.rtd",,"OPEN_INT","."&amp;$AB$3&amp;$AB$4&amp;"C"&amp;BM$4))*100 + MAX(0, BM$4-$A40)*IF(RTD("tos.rtd",,"OPEN_INT","."&amp;$AB$3&amp;$AB$4&amp;"P"&amp;BM$4)="N/A",0,RTD("tos.rtd",,"OPEN_INT","."&amp;$AB$3&amp;$AB$4&amp;"P"&amp;BM$4))*100</f>
        <v>800</v>
      </c>
      <c r="BN40" s="18">
        <f>MAX(0, $A40-BN$4)*IF(RTD("tos.rtd",,"OPEN_INT","."&amp;$AB$3&amp;$AB$4&amp;"C"&amp;BN$4)="N/A",0,RTD("tos.rtd",,"OPEN_INT","."&amp;$AB$3&amp;$AB$4&amp;"C"&amp;BN$4))*100 + MAX(0, BN$4-$A40)*IF(RTD("tos.rtd",,"OPEN_INT","."&amp;$AB$3&amp;$AB$4&amp;"P"&amp;BN$4)="N/A",0,RTD("tos.rtd",,"OPEN_INT","."&amp;$AB$3&amp;$AB$4&amp;"P"&amp;BN$4))*100</f>
        <v>800</v>
      </c>
      <c r="BO40" s="18">
        <f>MAX(0, $A40-BO$4)*IF(RTD("tos.rtd",,"OPEN_INT","."&amp;$AB$3&amp;$AB$4&amp;"C"&amp;BO$4)="N/A",0,RTD("tos.rtd",,"OPEN_INT","."&amp;$AB$3&amp;$AB$4&amp;"C"&amp;BO$4))*100 + MAX(0, BO$4-$A40)*IF(RTD("tos.rtd",,"OPEN_INT","."&amp;$AB$3&amp;$AB$4&amp;"P"&amp;BO$4)="N/A",0,RTD("tos.rtd",,"OPEN_INT","."&amp;$AB$3&amp;$AB$4&amp;"P"&amp;BO$4))*100</f>
        <v>4650</v>
      </c>
      <c r="BP40" s="18">
        <f>MAX(0, $A40-BP$4)*IF(RTD("tos.rtd",,"OPEN_INT","."&amp;$AB$3&amp;$AB$4&amp;"C"&amp;BP$4)="N/A",0,RTD("tos.rtd",,"OPEN_INT","."&amp;$AB$3&amp;$AB$4&amp;"C"&amp;BP$4))*100 + MAX(0, BP$4-$A40)*IF(RTD("tos.rtd",,"OPEN_INT","."&amp;$AB$3&amp;$AB$4&amp;"P"&amp;BP$4)="N/A",0,RTD("tos.rtd",,"OPEN_INT","."&amp;$AB$3&amp;$AB$4&amp;"P"&amp;BP$4))*100</f>
        <v>7600</v>
      </c>
      <c r="BQ40" s="18">
        <f>MAX(0, $A40-BQ$4)*IF(RTD("tos.rtd",,"OPEN_INT","."&amp;$AB$3&amp;$AB$4&amp;"C"&amp;BQ$4)="N/A",0,RTD("tos.rtd",,"OPEN_INT","."&amp;$AB$3&amp;$AB$4&amp;"C"&amp;BQ$4))*100 + MAX(0, BQ$4-$A40)*IF(RTD("tos.rtd",,"OPEN_INT","."&amp;$AB$3&amp;$AB$4&amp;"P"&amp;BQ$4)="N/A",0,RTD("tos.rtd",,"OPEN_INT","."&amp;$AB$3&amp;$AB$4&amp;"P"&amp;BQ$4))*100</f>
        <v>0</v>
      </c>
      <c r="BR40" s="18">
        <f>MAX(0, $A40-BR$4)*IF(RTD("tos.rtd",,"OPEN_INT","."&amp;$AB$3&amp;$AB$4&amp;"C"&amp;BR$4)="N/A",0,RTD("tos.rtd",,"OPEN_INT","."&amp;$AB$3&amp;$AB$4&amp;"C"&amp;BR$4))*100 + MAX(0, BR$4-$A40)*IF(RTD("tos.rtd",,"OPEN_INT","."&amp;$AB$3&amp;$AB$4&amp;"P"&amp;BR$4)="N/A",0,RTD("tos.rtd",,"OPEN_INT","."&amp;$AB$3&amp;$AB$4&amp;"P"&amp;BR$4))*100</f>
        <v>0</v>
      </c>
      <c r="BS40" s="18">
        <f>MAX(0, $A40-BS$4)*IF(RTD("tos.rtd",,"OPEN_INT","."&amp;$AB$3&amp;$AB$4&amp;"C"&amp;BS$4)="N/A",0,RTD("tos.rtd",,"OPEN_INT","."&amp;$AB$3&amp;$AB$4&amp;"C"&amp;BS$4))*100 + MAX(0, BS$4-$A40)*IF(RTD("tos.rtd",,"OPEN_INT","."&amp;$AB$3&amp;$AB$4&amp;"P"&amp;BS$4)="N/A",0,RTD("tos.rtd",,"OPEN_INT","."&amp;$AB$3&amp;$AB$4&amp;"P"&amp;BS$4))*100</f>
        <v>0</v>
      </c>
      <c r="BT40" s="18">
        <f>MAX(0, $A40-BT$4)*IF(RTD("tos.rtd",,"OPEN_INT","."&amp;$AB$3&amp;$AB$4&amp;"C"&amp;BT$4)="N/A",0,RTD("tos.rtd",,"OPEN_INT","."&amp;$AB$3&amp;$AB$4&amp;"C"&amp;BT$4))*100 + MAX(0, BT$4-$A40)*IF(RTD("tos.rtd",,"OPEN_INT","."&amp;$AB$3&amp;$AB$4&amp;"P"&amp;BT$4)="N/A",0,RTD("tos.rtd",,"OPEN_INT","."&amp;$AB$3&amp;$AB$4&amp;"P"&amp;BT$4))*100</f>
        <v>0</v>
      </c>
      <c r="BU40" s="18">
        <f>MAX(0, $A40-BU$4)*IF(RTD("tos.rtd",,"OPEN_INT","."&amp;$AB$3&amp;$AB$4&amp;"C"&amp;BU$4)="N/A",0,RTD("tos.rtd",,"OPEN_INT","."&amp;$AB$3&amp;$AB$4&amp;"C"&amp;BU$4))*100 + MAX(0, BU$4-$A40)*IF(RTD("tos.rtd",,"OPEN_INT","."&amp;$AB$3&amp;$AB$4&amp;"P"&amp;BU$4)="N/A",0,RTD("tos.rtd",,"OPEN_INT","."&amp;$AB$3&amp;$AB$4&amp;"P"&amp;BU$4))*100</f>
        <v>0</v>
      </c>
      <c r="BV40" s="18">
        <f>MAX(0, $A40-BV$4)*IF(RTD("tos.rtd",,"OPEN_INT","."&amp;$AB$3&amp;$AB$4&amp;"C"&amp;BV$4)="N/A",0,RTD("tos.rtd",,"OPEN_INT","."&amp;$AB$3&amp;$AB$4&amp;"C"&amp;BV$4))*100 + MAX(0, BV$4-$A40)*IF(RTD("tos.rtd",,"OPEN_INT","."&amp;$AB$3&amp;$AB$4&amp;"P"&amp;BV$4)="N/A",0,RTD("tos.rtd",,"OPEN_INT","."&amp;$AB$3&amp;$AB$4&amp;"P"&amp;BV$4))*100</f>
        <v>0</v>
      </c>
      <c r="BW40" s="18">
        <f>MAX(0, $A40-BW$4)*IF(RTD("tos.rtd",,"OPEN_INT","."&amp;$AB$3&amp;$AB$4&amp;"C"&amp;BW$4)="N/A",0,RTD("tos.rtd",,"OPEN_INT","."&amp;$AB$3&amp;$AB$4&amp;"C"&amp;BW$4))*100 + MAX(0, BW$4-$A40)*IF(RTD("tos.rtd",,"OPEN_INT","."&amp;$AB$3&amp;$AB$4&amp;"P"&amp;BW$4)="N/A",0,RTD("tos.rtd",,"OPEN_INT","."&amp;$AB$3&amp;$AB$4&amp;"P"&amp;BW$4))*100</f>
        <v>0</v>
      </c>
    </row>
    <row r="41" spans="1:75" s="19" customFormat="1" ht="11.1" customHeight="1" thickBot="1" x14ac:dyDescent="0.3">
      <c r="A41" s="23">
        <f t="shared" si="12"/>
        <v>3.5</v>
      </c>
      <c r="B41" s="14">
        <f ca="1">IF($A$2="PREMIUM_OI",IFERROR(IF($X$1="ABS",(100*RTD("tos.rtd",,"OPEN_INT","."&amp;B$2&amp;B$1&amp;"C"&amp;$A41)*RTD("tos.rtd",,"LAST","."&amp;B$2&amp;B$1&amp;"C"&amp;$A41)+100*RTD("tos.rtd",,"OPEN_INT","."&amp;B$2&amp;B$1&amp;"P"&amp;$A41)*RTD("tos.rtd",,"LAST","."&amp;B$2&amp;B$1&amp;"P"&amp;$A41))/1000000,(100*RTD("tos.rtd",,"OPEN_INT","."&amp;B$2&amp;B$1&amp;"C"&amp;$A41)*RTD("tos.rtd",,"LAST","."&amp;B$2&amp;B$1&amp;"C"&amp;$A41)-100*RTD("tos.rtd",,"OPEN_INT","."&amp;B$2&amp;B$1&amp;"P"&amp;$A41)*RTD("tos.rtd",,"LAST","."&amp;B$2&amp;B$1&amp;"P"&amp;$A41))/1000000),0),IF($A$2="PREMIUM",IFERROR(IF($X$1="ABS",(100*RTD("tos.rtd",,"VOLUME","."&amp;B$2&amp;B$1&amp;"C"&amp;$A41)*RTD("tos.rtd",,"LAST","."&amp;B$2&amp;B$1&amp;"C"&amp;$A41)+100*RTD("tos.rtd",,"VOLUME","."&amp;B$2&amp;B$1&amp;"P"&amp;$A41)*RTD("tos.rtd",,"LAST","."&amp;B$2&amp;B$1&amp;"P"&amp;$A41))/1000000,(100*RTD("tos.rtd",,"VOLUME","."&amp;B$2&amp;B$1&amp;"C"&amp;$A41)*RTD("tos.rtd",,"LAST","."&amp;B$2&amp;B$1&amp;"C"&amp;$A41)-100*RTD("tos.rtd",,"VOLUME","."&amp;B$2&amp;B$1&amp;"P"&amp;$A41)*RTD("tos.rtd",,"LAST","."&amp;B$2&amp;B$1&amp;"P"&amp;$A41))/1000000),0),IF($A$2="DEX",IFERROR(IF($X$1="ABS",(100*RTD("tos.rtd",,"OPEN_INT","."&amp;B$2&amp;B$1&amp;"C"&amp;$A41)*RTD("tos.rtd",,"DELTA","."&amp;B$2&amp;B$1&amp;"C"&amp;$A41)+100*RTD("tos.rtd",,"OPEN_INT","."&amp;B$2&amp;B$1&amp;"P"&amp;$A41)*RTD("tos.rtd",,"DELTA","."&amp;B$2&amp;B$1&amp;"P"&amp;$A41))/1000,(100*RTD("tos.rtd",,"OPEN_INT","."&amp;B$2&amp;B$1&amp;"C"&amp;$A41)*RTD("tos.rtd",,"DELTA","."&amp;B$2&amp;B$1&amp;"C"&amp;$A41)-100*RTD("tos.rtd",,"OPEN_INT","."&amp;B$2&amp;B$1&amp;"P"&amp;$A41)*RTD("tos.rtd",,"DELTA","."&amp;B$2&amp;B$1&amp;"P"&amp;$A41))/1000),0),IF($A$2="VEX",IFERROR(IF($X$1="ABS",($A$4*$A$4*RTD("tos.rtd",,"VOLUME","."&amp;B$2&amp;B$1&amp;"C"&amp;$A41)*RTD("tos.rtd",,"GAMMA","."&amp;B$2&amp;B$1&amp;"C"&amp;$A41)+$A$4*$A$4*RTD("tos.rtd",,"VOLUME","."&amp;B$2&amp;B$1&amp;"P"&amp;$A41)*RTD("tos.rtd",,"GAMMA","."&amp;B$2&amp;B$1&amp;"P"&amp;$A41))/1000000,($A$4*$A$4*RTD("tos.rtd",,"VOLUME","."&amp;B$2&amp;B$1&amp;"C"&amp;$A41)*RTD("tos.rtd",,"GAMMA","."&amp;B$2&amp;B$1&amp;"C"&amp;$A41)-$A$4*$A$4*RTD("tos.rtd",,"VOLUME","."&amp;B$2&amp;B$1&amp;"P"&amp;$A41)*RTD("tos.rtd",,"GAMMA","."&amp;B$2&amp;B$1&amp;"P"&amp;$A41))/1000000),0),IF($A$2="GEX",IFERROR(IF($X$1="ABS",($A$4*$A$4*RTD("tos.rtd",,"OPEN_INT","."&amp;B$2&amp;B$1&amp;"C"&amp;$A41)*RTD("tos.rtd",,"GAMMA","."&amp;B$2&amp;B$1&amp;"C"&amp;$A41)+$A$4*$A$4*RTD("tos.rtd",,"OPEN_INT","."&amp;B$2&amp;B$1&amp;"P"&amp;$A41)*RTD("tos.rtd",,"GAMMA","."&amp;B$2&amp;B$1&amp;"P"&amp;$A41))/1000000,($A$4*$A$4*RTD("tos.rtd",,"OPEN_INT","."&amp;B$2&amp;B$1&amp;"C"&amp;$A41)*RTD("tos.rtd",,"GAMMA","."&amp;B$2&amp;B$1&amp;"C"&amp;$A41)-$A$4*$A$4*RTD("tos.rtd",,"OPEN_INT","."&amp;B$2&amp;B$1&amp;"P"&amp;$A41)*RTD("tos.rtd",,"GAMMA","."&amp;B$2&amp;B$1&amp;"P"&amp;$A41))/1000000),0),IF($A$2="SKEW",IFERROR(VALUE(IF(RTD("tos.rtd",,"IMPL_VOL","."&amp;B$2&amp;B$1&amp;"P"&amp;$A41)="N/A",0,RTD("tos.rtd",,"IMPL_VOL","."&amp;B$2&amp;B$1&amp;"P"&amp;$A41))),0)-IFERROR(VALUE(IF(RTD("tos.rtd",,"IMPL_VOL","."&amp;B$2&amp;B$1&amp;"C"&amp;$A41)="N/A",0,RTD("tos.rtd",,"IMPL_VOL","."&amp;B$2&amp;B$1&amp;"C"&amp;$A41))),0),IF($A$2="MAXPAIN",IF($A$4&gt;$A41,($A$4-$A41)*IF(RTD("tos.rtd",,"OPEN_INT","."&amp;B$2&amp;B$1&amp;"C"&amp;$A41)="N/A",0,RTD("tos.rtd",,"OPEN_INT","."&amp;B$2&amp;B$1&amp;"C"&amp;$A41)),0)+IF($A$4&lt;$A41,($A$5-$A$4)*IF(RTD("tos.rtd",,"OPEN_INT","."&amp;B$2&amp;B$1&amp;"P"&amp;$A41)="N/A",0,RTD("tos.rtd",,"OPEN_INT","."&amp;B$2&amp;B$1&amp;"P"&amp;$A41)),0),IF($X$1="ABS",IF(RTD("tos.rtd",,$A$2,"."&amp;B$2&amp;B$1&amp;"C"&amp;$A41)="N/A",0,RTD("tos.rtd",,$A$2,"."&amp;B$2&amp;B$1&amp;"C"&amp;$A41))+IF(RTD("tos.rtd",,$A$2,"."&amp;B$2&amp;B$1&amp;"P"&amp;$A41)="N/A",0,RTD("tos.rtd",,$A$2,"."&amp;B$2&amp;B$1&amp;"P"&amp;$A41)),IF(RTD("tos.rtd",,$A$2,"."&amp;B$2&amp;B$1&amp;"C"&amp;$A41)="N/A",0,RTD("tos.rtd",,$A$2,"."&amp;B$2&amp;B$1&amp;"C"&amp;$A41))-IF(RTD("tos.rtd",,$A$2,"."&amp;B$2&amp;B$1&amp;"P"&amp;$A41)="N/A",0,RTD("tos.rtd",,$A$2,"."&amp;B$2&amp;B$1&amp;"P"&amp;$A41))))))))))</f>
        <v>0</v>
      </c>
      <c r="C41" s="14">
        <f ca="1">IF($A$2="PREMIUM_OI",IFERROR(IF($X$1="ABS",(100*RTD("tos.rtd",,"OPEN_INT","."&amp;C$2&amp;C$1&amp;"C"&amp;$A41)*RTD("tos.rtd",,"LAST","."&amp;C$2&amp;C$1&amp;"C"&amp;$A41)+100*RTD("tos.rtd",,"OPEN_INT","."&amp;C$2&amp;C$1&amp;"P"&amp;$A41)*RTD("tos.rtd",,"LAST","."&amp;C$2&amp;C$1&amp;"P"&amp;$A41))/1000000,(100*RTD("tos.rtd",,"OPEN_INT","."&amp;C$2&amp;C$1&amp;"C"&amp;$A41)*RTD("tos.rtd",,"LAST","."&amp;C$2&amp;C$1&amp;"C"&amp;$A41)-100*RTD("tos.rtd",,"OPEN_INT","."&amp;C$2&amp;C$1&amp;"P"&amp;$A41)*RTD("tos.rtd",,"LAST","."&amp;C$2&amp;C$1&amp;"P"&amp;$A41))/1000000),0),IF($A$2="PREMIUM",IFERROR(IF($X$1="ABS",(100*RTD("tos.rtd",,"VOLUME","."&amp;C$2&amp;C$1&amp;"C"&amp;$A41)*RTD("tos.rtd",,"LAST","."&amp;C$2&amp;C$1&amp;"C"&amp;$A41)+100*RTD("tos.rtd",,"VOLUME","."&amp;C$2&amp;C$1&amp;"P"&amp;$A41)*RTD("tos.rtd",,"LAST","."&amp;C$2&amp;C$1&amp;"P"&amp;$A41))/1000000,(100*RTD("tos.rtd",,"VOLUME","."&amp;C$2&amp;C$1&amp;"C"&amp;$A41)*RTD("tos.rtd",,"LAST","."&amp;C$2&amp;C$1&amp;"C"&amp;$A41)-100*RTD("tos.rtd",,"VOLUME","."&amp;C$2&amp;C$1&amp;"P"&amp;$A41)*RTD("tos.rtd",,"LAST","."&amp;C$2&amp;C$1&amp;"P"&amp;$A41))/1000000),0),IF($A$2="DEX",IFERROR(IF($X$1="ABS",(100*RTD("tos.rtd",,"OPEN_INT","."&amp;C$2&amp;C$1&amp;"C"&amp;$A41)*RTD("tos.rtd",,"DELTA","."&amp;C$2&amp;C$1&amp;"C"&amp;$A41)+100*RTD("tos.rtd",,"OPEN_INT","."&amp;C$2&amp;C$1&amp;"P"&amp;$A41)*RTD("tos.rtd",,"DELTA","."&amp;C$2&amp;C$1&amp;"P"&amp;$A41))/1000,(100*RTD("tos.rtd",,"OPEN_INT","."&amp;C$2&amp;C$1&amp;"C"&amp;$A41)*RTD("tos.rtd",,"DELTA","."&amp;C$2&amp;C$1&amp;"C"&amp;$A41)-100*RTD("tos.rtd",,"OPEN_INT","."&amp;C$2&amp;C$1&amp;"P"&amp;$A41)*RTD("tos.rtd",,"DELTA","."&amp;C$2&amp;C$1&amp;"P"&amp;$A41))/1000),0),IF($A$2="VEX",IFERROR(IF($X$1="ABS",($A$4*$A$4*RTD("tos.rtd",,"VOLUME","."&amp;C$2&amp;C$1&amp;"C"&amp;$A41)*RTD("tos.rtd",,"GAMMA","."&amp;C$2&amp;C$1&amp;"C"&amp;$A41)+$A$4*$A$4*RTD("tos.rtd",,"VOLUME","."&amp;C$2&amp;C$1&amp;"P"&amp;$A41)*RTD("tos.rtd",,"GAMMA","."&amp;C$2&amp;C$1&amp;"P"&amp;$A41))/1000000,($A$4*$A$4*RTD("tos.rtd",,"VOLUME","."&amp;C$2&amp;C$1&amp;"C"&amp;$A41)*RTD("tos.rtd",,"GAMMA","."&amp;C$2&amp;C$1&amp;"C"&amp;$A41)-$A$4*$A$4*RTD("tos.rtd",,"VOLUME","."&amp;C$2&amp;C$1&amp;"P"&amp;$A41)*RTD("tos.rtd",,"GAMMA","."&amp;C$2&amp;C$1&amp;"P"&amp;$A41))/1000000),0),IF($A$2="GEX",IFERROR(IF($X$1="ABS",($A$4*$A$4*RTD("tos.rtd",,"OPEN_INT","."&amp;C$2&amp;C$1&amp;"C"&amp;$A41)*RTD("tos.rtd",,"GAMMA","."&amp;C$2&amp;C$1&amp;"C"&amp;$A41)+$A$4*$A$4*RTD("tos.rtd",,"OPEN_INT","."&amp;C$2&amp;C$1&amp;"P"&amp;$A41)*RTD("tos.rtd",,"GAMMA","."&amp;C$2&amp;C$1&amp;"P"&amp;$A41))/1000000,($A$4*$A$4*RTD("tos.rtd",,"OPEN_INT","."&amp;C$2&amp;C$1&amp;"C"&amp;$A41)*RTD("tos.rtd",,"GAMMA","."&amp;C$2&amp;C$1&amp;"C"&amp;$A41)-$A$4*$A$4*RTD("tos.rtd",,"OPEN_INT","."&amp;C$2&amp;C$1&amp;"P"&amp;$A41)*RTD("tos.rtd",,"GAMMA","."&amp;C$2&amp;C$1&amp;"P"&amp;$A41))/1000000),0),IF($A$2="SKEW",IFERROR(VALUE(IF(RTD("tos.rtd",,"IMPL_VOL","."&amp;C$2&amp;C$1&amp;"P"&amp;$A41)="N/A",0,RTD("tos.rtd",,"IMPL_VOL","."&amp;C$2&amp;C$1&amp;"P"&amp;$A41))),0)-IFERROR(VALUE(IF(RTD("tos.rtd",,"IMPL_VOL","."&amp;C$2&amp;C$1&amp;"C"&amp;$A41)="N/A",0,RTD("tos.rtd",,"IMPL_VOL","."&amp;C$2&amp;C$1&amp;"C"&amp;$A41))),0),IF($A$2="MAXPAIN",IF($A$4&gt;$A41,($A$4-$A41)*IF(RTD("tos.rtd",,"OPEN_INT","."&amp;C$2&amp;C$1&amp;"C"&amp;$A41)="N/A",0,RTD("tos.rtd",,"OPEN_INT","."&amp;C$2&amp;C$1&amp;"C"&amp;$A41)),0)+IF($A$4&lt;$A41,($A$5-$A$4)*IF(RTD("tos.rtd",,"OPEN_INT","."&amp;C$2&amp;C$1&amp;"P"&amp;$A41)="N/A",0,RTD("tos.rtd",,"OPEN_INT","."&amp;C$2&amp;C$1&amp;"P"&amp;$A41)),0),IF($X$1="ABS",IF(RTD("tos.rtd",,$A$2,"."&amp;C$2&amp;C$1&amp;"C"&amp;$A41)="N/A",0,RTD("tos.rtd",,$A$2,"."&amp;C$2&amp;C$1&amp;"C"&amp;$A41))+IF(RTD("tos.rtd",,$A$2,"."&amp;C$2&amp;C$1&amp;"P"&amp;$A41)="N/A",0,RTD("tos.rtd",,$A$2,"."&amp;C$2&amp;C$1&amp;"P"&amp;$A41)),IF(RTD("tos.rtd",,$A$2,"."&amp;C$2&amp;C$1&amp;"C"&amp;$A41)="N/A",0,RTD("tos.rtd",,$A$2,"."&amp;C$2&amp;C$1&amp;"C"&amp;$A41))-IF(RTD("tos.rtd",,$A$2,"."&amp;C$2&amp;C$1&amp;"P"&amp;$A41)="N/A",0,RTD("tos.rtd",,$A$2,"."&amp;C$2&amp;C$1&amp;"P"&amp;$A41))))))))))</f>
        <v>0</v>
      </c>
      <c r="D41" s="12">
        <f ca="1">IF($A$2="PREMIUM_OI",IFERROR(IF($X$1="ABS",(100*RTD("tos.rtd",,"OPEN_INT","."&amp;D$2&amp;D$1&amp;"C"&amp;$A41)*RTD("tos.rtd",,"LAST","."&amp;D$2&amp;D$1&amp;"C"&amp;$A41)+100*RTD("tos.rtd",,"OPEN_INT","."&amp;D$2&amp;D$1&amp;"P"&amp;$A41)*RTD("tos.rtd",,"LAST","."&amp;D$2&amp;D$1&amp;"P"&amp;$A41))/1000000,(100*RTD("tos.rtd",,"OPEN_INT","."&amp;D$2&amp;D$1&amp;"C"&amp;$A41)*RTD("tos.rtd",,"LAST","."&amp;D$2&amp;D$1&amp;"C"&amp;$A41)-100*RTD("tos.rtd",,"OPEN_INT","."&amp;D$2&amp;D$1&amp;"P"&amp;$A41)*RTD("tos.rtd",,"LAST","."&amp;D$2&amp;D$1&amp;"P"&amp;$A41))/1000000),0),IF($A$2="PREMIUM",IFERROR(IF($X$1="ABS",(100*RTD("tos.rtd",,"VOLUME","."&amp;D$2&amp;D$1&amp;"C"&amp;$A41)*RTD("tos.rtd",,"LAST","."&amp;D$2&amp;D$1&amp;"C"&amp;$A41)+100*RTD("tos.rtd",,"VOLUME","."&amp;D$2&amp;D$1&amp;"P"&amp;$A41)*RTD("tos.rtd",,"LAST","."&amp;D$2&amp;D$1&amp;"P"&amp;$A41))/1000000,(100*RTD("tos.rtd",,"VOLUME","."&amp;D$2&amp;D$1&amp;"C"&amp;$A41)*RTD("tos.rtd",,"LAST","."&amp;D$2&amp;D$1&amp;"C"&amp;$A41)-100*RTD("tos.rtd",,"VOLUME","."&amp;D$2&amp;D$1&amp;"P"&amp;$A41)*RTD("tos.rtd",,"LAST","."&amp;D$2&amp;D$1&amp;"P"&amp;$A41))/1000000),0),IF($A$2="DEX",IFERROR(IF($X$1="ABS",(100*RTD("tos.rtd",,"OPEN_INT","."&amp;D$2&amp;D$1&amp;"C"&amp;$A41)*RTD("tos.rtd",,"DELTA","."&amp;D$2&amp;D$1&amp;"C"&amp;$A41)+100*RTD("tos.rtd",,"OPEN_INT","."&amp;D$2&amp;D$1&amp;"P"&amp;$A41)*RTD("tos.rtd",,"DELTA","."&amp;D$2&amp;D$1&amp;"P"&amp;$A41))/1000,(100*RTD("tos.rtd",,"OPEN_INT","."&amp;D$2&amp;D$1&amp;"C"&amp;$A41)*RTD("tos.rtd",,"DELTA","."&amp;D$2&amp;D$1&amp;"C"&amp;$A41)-100*RTD("tos.rtd",,"OPEN_INT","."&amp;D$2&amp;D$1&amp;"P"&amp;$A41)*RTD("tos.rtd",,"DELTA","."&amp;D$2&amp;D$1&amp;"P"&amp;$A41))/1000),0),IF($A$2="VEX",IFERROR(IF($X$1="ABS",($A$4*$A$4*RTD("tos.rtd",,"VOLUME","."&amp;D$2&amp;D$1&amp;"C"&amp;$A41)*RTD("tos.rtd",,"GAMMA","."&amp;D$2&amp;D$1&amp;"C"&amp;$A41)+$A$4*$A$4*RTD("tos.rtd",,"VOLUME","."&amp;D$2&amp;D$1&amp;"P"&amp;$A41)*RTD("tos.rtd",,"GAMMA","."&amp;D$2&amp;D$1&amp;"P"&amp;$A41))/1000000,($A$4*$A$4*RTD("tos.rtd",,"VOLUME","."&amp;D$2&amp;D$1&amp;"C"&amp;$A41)*RTD("tos.rtd",,"GAMMA","."&amp;D$2&amp;D$1&amp;"C"&amp;$A41)-$A$4*$A$4*RTD("tos.rtd",,"VOLUME","."&amp;D$2&amp;D$1&amp;"P"&amp;$A41)*RTD("tos.rtd",,"GAMMA","."&amp;D$2&amp;D$1&amp;"P"&amp;$A41))/1000000),0),IF($A$2="GEX",IFERROR(IF($X$1="ABS",($A$4*$A$4*RTD("tos.rtd",,"OPEN_INT","."&amp;D$2&amp;D$1&amp;"C"&amp;$A41)*RTD("tos.rtd",,"GAMMA","."&amp;D$2&amp;D$1&amp;"C"&amp;$A41)+$A$4*$A$4*RTD("tos.rtd",,"OPEN_INT","."&amp;D$2&amp;D$1&amp;"P"&amp;$A41)*RTD("tos.rtd",,"GAMMA","."&amp;D$2&amp;D$1&amp;"P"&amp;$A41))/1000000,($A$4*$A$4*RTD("tos.rtd",,"OPEN_INT","."&amp;D$2&amp;D$1&amp;"C"&amp;$A41)*RTD("tos.rtd",,"GAMMA","."&amp;D$2&amp;D$1&amp;"C"&amp;$A41)-$A$4*$A$4*RTD("tos.rtd",,"OPEN_INT","."&amp;D$2&amp;D$1&amp;"P"&amp;$A41)*RTD("tos.rtd",,"GAMMA","."&amp;D$2&amp;D$1&amp;"P"&amp;$A41))/1000000),0),IF($A$2="SKEW",IFERROR(VALUE(IF(RTD("tos.rtd",,"IMPL_VOL","."&amp;D$2&amp;D$1&amp;"P"&amp;$A41)="N/A",0,RTD("tos.rtd",,"IMPL_VOL","."&amp;D$2&amp;D$1&amp;"P"&amp;$A41))),0)-IFERROR(VALUE(IF(RTD("tos.rtd",,"IMPL_VOL","."&amp;D$2&amp;D$1&amp;"C"&amp;$A41)="N/A",0,RTD("tos.rtd",,"IMPL_VOL","."&amp;D$2&amp;D$1&amp;"C"&amp;$A41))),0),IF($A$2="MAXPAIN",IF($A$4&gt;$A41,($A$4-$A41)*IF(RTD("tos.rtd",,"OPEN_INT","."&amp;D$2&amp;D$1&amp;"C"&amp;$A41)="N/A",0,RTD("tos.rtd",,"OPEN_INT","."&amp;D$2&amp;D$1&amp;"C"&amp;$A41)),0)+IF($A$4&lt;$A41,($A$5-$A$4)*IF(RTD("tos.rtd",,"OPEN_INT","."&amp;D$2&amp;D$1&amp;"P"&amp;$A41)="N/A",0,RTD("tos.rtd",,"OPEN_INT","."&amp;D$2&amp;D$1&amp;"P"&amp;$A41)),0),IF($X$1="ABS",IF(RTD("tos.rtd",,$A$2,"."&amp;D$2&amp;D$1&amp;"C"&amp;$A41)="N/A",0,RTD("tos.rtd",,$A$2,"."&amp;D$2&amp;D$1&amp;"C"&amp;$A41))+IF(RTD("tos.rtd",,$A$2,"."&amp;D$2&amp;D$1&amp;"P"&amp;$A41)="N/A",0,RTD("tos.rtd",,$A$2,"."&amp;D$2&amp;D$1&amp;"P"&amp;$A41)),IF(RTD("tos.rtd",,$A$2,"."&amp;D$2&amp;D$1&amp;"C"&amp;$A41)="N/A",0,RTD("tos.rtd",,$A$2,"."&amp;D$2&amp;D$1&amp;"C"&amp;$A41))-IF(RTD("tos.rtd",,$A$2,"."&amp;D$2&amp;D$1&amp;"P"&amp;$A41)="N/A",0,RTD("tos.rtd",,$A$2,"."&amp;D$2&amp;D$1&amp;"P"&amp;$A41))))))))))</f>
        <v>0</v>
      </c>
      <c r="E41" s="12">
        <f ca="1">IF($A$2="PREMIUM_OI",IFERROR(IF($X$1="ABS",(100*RTD("tos.rtd",,"OPEN_INT","."&amp;E$2&amp;E$1&amp;"C"&amp;$A41)*RTD("tos.rtd",,"LAST","."&amp;E$2&amp;E$1&amp;"C"&amp;$A41)+100*RTD("tos.rtd",,"OPEN_INT","."&amp;E$2&amp;E$1&amp;"P"&amp;$A41)*RTD("tos.rtd",,"LAST","."&amp;E$2&amp;E$1&amp;"P"&amp;$A41))/1000000,(100*RTD("tos.rtd",,"OPEN_INT","."&amp;E$2&amp;E$1&amp;"C"&amp;$A41)*RTD("tos.rtd",,"LAST","."&amp;E$2&amp;E$1&amp;"C"&amp;$A41)-100*RTD("tos.rtd",,"OPEN_INT","."&amp;E$2&amp;E$1&amp;"P"&amp;$A41)*RTD("tos.rtd",,"LAST","."&amp;E$2&amp;E$1&amp;"P"&amp;$A41))/1000000),0),IF($A$2="PREMIUM",IFERROR(IF($X$1="ABS",(100*RTD("tos.rtd",,"VOLUME","."&amp;E$2&amp;E$1&amp;"C"&amp;$A41)*RTD("tos.rtd",,"LAST","."&amp;E$2&amp;E$1&amp;"C"&amp;$A41)+100*RTD("tos.rtd",,"VOLUME","."&amp;E$2&amp;E$1&amp;"P"&amp;$A41)*RTD("tos.rtd",,"LAST","."&amp;E$2&amp;E$1&amp;"P"&amp;$A41))/1000000,(100*RTD("tos.rtd",,"VOLUME","."&amp;E$2&amp;E$1&amp;"C"&amp;$A41)*RTD("tos.rtd",,"LAST","."&amp;E$2&amp;E$1&amp;"C"&amp;$A41)-100*RTD("tos.rtd",,"VOLUME","."&amp;E$2&amp;E$1&amp;"P"&amp;$A41)*RTD("tos.rtd",,"LAST","."&amp;E$2&amp;E$1&amp;"P"&amp;$A41))/1000000),0),IF($A$2="DEX",IFERROR(IF($X$1="ABS",(100*RTD("tos.rtd",,"OPEN_INT","."&amp;E$2&amp;E$1&amp;"C"&amp;$A41)*RTD("tos.rtd",,"DELTA","."&amp;E$2&amp;E$1&amp;"C"&amp;$A41)+100*RTD("tos.rtd",,"OPEN_INT","."&amp;E$2&amp;E$1&amp;"P"&amp;$A41)*RTD("tos.rtd",,"DELTA","."&amp;E$2&amp;E$1&amp;"P"&amp;$A41))/1000,(100*RTD("tos.rtd",,"OPEN_INT","."&amp;E$2&amp;E$1&amp;"C"&amp;$A41)*RTD("tos.rtd",,"DELTA","."&amp;E$2&amp;E$1&amp;"C"&amp;$A41)-100*RTD("tos.rtd",,"OPEN_INT","."&amp;E$2&amp;E$1&amp;"P"&amp;$A41)*RTD("tos.rtd",,"DELTA","."&amp;E$2&amp;E$1&amp;"P"&amp;$A41))/1000),0),IF($A$2="VEX",IFERROR(IF($X$1="ABS",($A$4*$A$4*RTD("tos.rtd",,"VOLUME","."&amp;E$2&amp;E$1&amp;"C"&amp;$A41)*RTD("tos.rtd",,"GAMMA","."&amp;E$2&amp;E$1&amp;"C"&amp;$A41)+$A$4*$A$4*RTD("tos.rtd",,"VOLUME","."&amp;E$2&amp;E$1&amp;"P"&amp;$A41)*RTD("tos.rtd",,"GAMMA","."&amp;E$2&amp;E$1&amp;"P"&amp;$A41))/1000000,($A$4*$A$4*RTD("tos.rtd",,"VOLUME","."&amp;E$2&amp;E$1&amp;"C"&amp;$A41)*RTD("tos.rtd",,"GAMMA","."&amp;E$2&amp;E$1&amp;"C"&amp;$A41)-$A$4*$A$4*RTD("tos.rtd",,"VOLUME","."&amp;E$2&amp;E$1&amp;"P"&amp;$A41)*RTD("tos.rtd",,"GAMMA","."&amp;E$2&amp;E$1&amp;"P"&amp;$A41))/1000000),0),IF($A$2="GEX",IFERROR(IF($X$1="ABS",($A$4*$A$4*RTD("tos.rtd",,"OPEN_INT","."&amp;E$2&amp;E$1&amp;"C"&amp;$A41)*RTD("tos.rtd",,"GAMMA","."&amp;E$2&amp;E$1&amp;"C"&amp;$A41)+$A$4*$A$4*RTD("tos.rtd",,"OPEN_INT","."&amp;E$2&amp;E$1&amp;"P"&amp;$A41)*RTD("tos.rtd",,"GAMMA","."&amp;E$2&amp;E$1&amp;"P"&amp;$A41))/1000000,($A$4*$A$4*RTD("tos.rtd",,"OPEN_INT","."&amp;E$2&amp;E$1&amp;"C"&amp;$A41)*RTD("tos.rtd",,"GAMMA","."&amp;E$2&amp;E$1&amp;"C"&amp;$A41)-$A$4*$A$4*RTD("tos.rtd",,"OPEN_INT","."&amp;E$2&amp;E$1&amp;"P"&amp;$A41)*RTD("tos.rtd",,"GAMMA","."&amp;E$2&amp;E$1&amp;"P"&amp;$A41))/1000000),0),IF($A$2="SKEW",IFERROR(VALUE(IF(RTD("tos.rtd",,"IMPL_VOL","."&amp;E$2&amp;E$1&amp;"P"&amp;$A41)="N/A",0,RTD("tos.rtd",,"IMPL_VOL","."&amp;E$2&amp;E$1&amp;"P"&amp;$A41))),0)-IFERROR(VALUE(IF(RTD("tos.rtd",,"IMPL_VOL","."&amp;E$2&amp;E$1&amp;"C"&amp;$A41)="N/A",0,RTD("tos.rtd",,"IMPL_VOL","."&amp;E$2&amp;E$1&amp;"C"&amp;$A41))),0),IF($A$2="MAXPAIN",IF($A$4&gt;$A41,($A$4-$A41)*IF(RTD("tos.rtd",,"OPEN_INT","."&amp;E$2&amp;E$1&amp;"C"&amp;$A41)="N/A",0,RTD("tos.rtd",,"OPEN_INT","."&amp;E$2&amp;E$1&amp;"C"&amp;$A41)),0)+IF($A$4&lt;$A41,($A$5-$A$4)*IF(RTD("tos.rtd",,"OPEN_INT","."&amp;E$2&amp;E$1&amp;"P"&amp;$A41)="N/A",0,RTD("tos.rtd",,"OPEN_INT","."&amp;E$2&amp;E$1&amp;"P"&amp;$A41)),0),IF($X$1="ABS",IF(RTD("tos.rtd",,$A$2,"."&amp;E$2&amp;E$1&amp;"C"&amp;$A41)="N/A",0,RTD("tos.rtd",,$A$2,"."&amp;E$2&amp;E$1&amp;"C"&amp;$A41))+IF(RTD("tos.rtd",,$A$2,"."&amp;E$2&amp;E$1&amp;"P"&amp;$A41)="N/A",0,RTD("tos.rtd",,$A$2,"."&amp;E$2&amp;E$1&amp;"P"&amp;$A41)),IF(RTD("tos.rtd",,$A$2,"."&amp;E$2&amp;E$1&amp;"C"&amp;$A41)="N/A",0,RTD("tos.rtd",,$A$2,"."&amp;E$2&amp;E$1&amp;"C"&amp;$A41))-IF(RTD("tos.rtd",,$A$2,"."&amp;E$2&amp;E$1&amp;"P"&amp;$A41)="N/A",0,RTD("tos.rtd",,$A$2,"."&amp;E$2&amp;E$1&amp;"P"&amp;$A41))))))))))</f>
        <v>0</v>
      </c>
      <c r="F41" s="12">
        <f ca="1">IF($A$2="PREMIUM_OI",IFERROR(IF($X$1="ABS",(100*RTD("tos.rtd",,"OPEN_INT","."&amp;F$2&amp;F$1&amp;"C"&amp;$A41)*RTD("tos.rtd",,"LAST","."&amp;F$2&amp;F$1&amp;"C"&amp;$A41)+100*RTD("tos.rtd",,"OPEN_INT","."&amp;F$2&amp;F$1&amp;"P"&amp;$A41)*RTD("tos.rtd",,"LAST","."&amp;F$2&amp;F$1&amp;"P"&amp;$A41))/1000000,(100*RTD("tos.rtd",,"OPEN_INT","."&amp;F$2&amp;F$1&amp;"C"&amp;$A41)*RTD("tos.rtd",,"LAST","."&amp;F$2&amp;F$1&amp;"C"&amp;$A41)-100*RTD("tos.rtd",,"OPEN_INT","."&amp;F$2&amp;F$1&amp;"P"&amp;$A41)*RTD("tos.rtd",,"LAST","."&amp;F$2&amp;F$1&amp;"P"&amp;$A41))/1000000),0),IF($A$2="PREMIUM",IFERROR(IF($X$1="ABS",(100*RTD("tos.rtd",,"VOLUME","."&amp;F$2&amp;F$1&amp;"C"&amp;$A41)*RTD("tos.rtd",,"LAST","."&amp;F$2&amp;F$1&amp;"C"&amp;$A41)+100*RTD("tos.rtd",,"VOLUME","."&amp;F$2&amp;F$1&amp;"P"&amp;$A41)*RTD("tos.rtd",,"LAST","."&amp;F$2&amp;F$1&amp;"P"&amp;$A41))/1000000,(100*RTD("tos.rtd",,"VOLUME","."&amp;F$2&amp;F$1&amp;"C"&amp;$A41)*RTD("tos.rtd",,"LAST","."&amp;F$2&amp;F$1&amp;"C"&amp;$A41)-100*RTD("tos.rtd",,"VOLUME","."&amp;F$2&amp;F$1&amp;"P"&amp;$A41)*RTD("tos.rtd",,"LAST","."&amp;F$2&amp;F$1&amp;"P"&amp;$A41))/1000000),0),IF($A$2="DEX",IFERROR(IF($X$1="ABS",(100*RTD("tos.rtd",,"OPEN_INT","."&amp;F$2&amp;F$1&amp;"C"&amp;$A41)*RTD("tos.rtd",,"DELTA","."&amp;F$2&amp;F$1&amp;"C"&amp;$A41)+100*RTD("tos.rtd",,"OPEN_INT","."&amp;F$2&amp;F$1&amp;"P"&amp;$A41)*RTD("tos.rtd",,"DELTA","."&amp;F$2&amp;F$1&amp;"P"&amp;$A41))/1000,(100*RTD("tos.rtd",,"OPEN_INT","."&amp;F$2&amp;F$1&amp;"C"&amp;$A41)*RTD("tos.rtd",,"DELTA","."&amp;F$2&amp;F$1&amp;"C"&amp;$A41)-100*RTD("tos.rtd",,"OPEN_INT","."&amp;F$2&amp;F$1&amp;"P"&amp;$A41)*RTD("tos.rtd",,"DELTA","."&amp;F$2&amp;F$1&amp;"P"&amp;$A41))/1000),0),IF($A$2="VEX",IFERROR(IF($X$1="ABS",($A$4*$A$4*RTD("tos.rtd",,"VOLUME","."&amp;F$2&amp;F$1&amp;"C"&amp;$A41)*RTD("tos.rtd",,"GAMMA","."&amp;F$2&amp;F$1&amp;"C"&amp;$A41)+$A$4*$A$4*RTD("tos.rtd",,"VOLUME","."&amp;F$2&amp;F$1&amp;"P"&amp;$A41)*RTD("tos.rtd",,"GAMMA","."&amp;F$2&amp;F$1&amp;"P"&amp;$A41))/1000000,($A$4*$A$4*RTD("tos.rtd",,"VOLUME","."&amp;F$2&amp;F$1&amp;"C"&amp;$A41)*RTD("tos.rtd",,"GAMMA","."&amp;F$2&amp;F$1&amp;"C"&amp;$A41)-$A$4*$A$4*RTD("tos.rtd",,"VOLUME","."&amp;F$2&amp;F$1&amp;"P"&amp;$A41)*RTD("tos.rtd",,"GAMMA","."&amp;F$2&amp;F$1&amp;"P"&amp;$A41))/1000000),0),IF($A$2="GEX",IFERROR(IF($X$1="ABS",($A$4*$A$4*RTD("tos.rtd",,"OPEN_INT","."&amp;F$2&amp;F$1&amp;"C"&amp;$A41)*RTD("tos.rtd",,"GAMMA","."&amp;F$2&amp;F$1&amp;"C"&amp;$A41)+$A$4*$A$4*RTD("tos.rtd",,"OPEN_INT","."&amp;F$2&amp;F$1&amp;"P"&amp;$A41)*RTD("tos.rtd",,"GAMMA","."&amp;F$2&amp;F$1&amp;"P"&amp;$A41))/1000000,($A$4*$A$4*RTD("tos.rtd",,"OPEN_INT","."&amp;F$2&amp;F$1&amp;"C"&amp;$A41)*RTD("tos.rtd",,"GAMMA","."&amp;F$2&amp;F$1&amp;"C"&amp;$A41)-$A$4*$A$4*RTD("tos.rtd",,"OPEN_INT","."&amp;F$2&amp;F$1&amp;"P"&amp;$A41)*RTD("tos.rtd",,"GAMMA","."&amp;F$2&amp;F$1&amp;"P"&amp;$A41))/1000000),0),IF($A$2="SKEW",IFERROR(VALUE(IF(RTD("tos.rtd",,"IMPL_VOL","."&amp;F$2&amp;F$1&amp;"P"&amp;$A41)="N/A",0,RTD("tos.rtd",,"IMPL_VOL","."&amp;F$2&amp;F$1&amp;"P"&amp;$A41))),0)-IFERROR(VALUE(IF(RTD("tos.rtd",,"IMPL_VOL","."&amp;F$2&amp;F$1&amp;"C"&amp;$A41)="N/A",0,RTD("tos.rtd",,"IMPL_VOL","."&amp;F$2&amp;F$1&amp;"C"&amp;$A41))),0),IF($A$2="MAXPAIN",IF($A$4&gt;$A41,($A$4-$A41)*IF(RTD("tos.rtd",,"OPEN_INT","."&amp;F$2&amp;F$1&amp;"C"&amp;$A41)="N/A",0,RTD("tos.rtd",,"OPEN_INT","."&amp;F$2&amp;F$1&amp;"C"&amp;$A41)),0)+IF($A$4&lt;$A41,($A$5-$A$4)*IF(RTD("tos.rtd",,"OPEN_INT","."&amp;F$2&amp;F$1&amp;"P"&amp;$A41)="N/A",0,RTD("tos.rtd",,"OPEN_INT","."&amp;F$2&amp;F$1&amp;"P"&amp;$A41)),0),IF($X$1="ABS",IF(RTD("tos.rtd",,$A$2,"."&amp;F$2&amp;F$1&amp;"C"&amp;$A41)="N/A",0,RTD("tos.rtd",,$A$2,"."&amp;F$2&amp;F$1&amp;"C"&amp;$A41))+IF(RTD("tos.rtd",,$A$2,"."&amp;F$2&amp;F$1&amp;"P"&amp;$A41)="N/A",0,RTD("tos.rtd",,$A$2,"."&amp;F$2&amp;F$1&amp;"P"&amp;$A41)),IF(RTD("tos.rtd",,$A$2,"."&amp;F$2&amp;F$1&amp;"C"&amp;$A41)="N/A",0,RTD("tos.rtd",,$A$2,"."&amp;F$2&amp;F$1&amp;"C"&amp;$A41))-IF(RTD("tos.rtd",,$A$2,"."&amp;F$2&amp;F$1&amp;"P"&amp;$A41)="N/A",0,RTD("tos.rtd",,$A$2,"."&amp;F$2&amp;F$1&amp;"P"&amp;$A41))))))))))</f>
        <v>0</v>
      </c>
      <c r="G41" s="54">
        <f ca="1">IF($A$2="PREMIUM_OI",IFERROR(IF($X$1="ABS",(100*RTD("tos.rtd",,"OPEN_INT","."&amp;G$2&amp;G$1&amp;"C"&amp;$A41)*RTD("tos.rtd",,"LAST","."&amp;G$2&amp;G$1&amp;"C"&amp;$A41)+100*RTD("tos.rtd",,"OPEN_INT","."&amp;G$2&amp;G$1&amp;"P"&amp;$A41)*RTD("tos.rtd",,"LAST","."&amp;G$2&amp;G$1&amp;"P"&amp;$A41))/1000000,(100*RTD("tos.rtd",,"OPEN_INT","."&amp;G$2&amp;G$1&amp;"C"&amp;$A41)*RTD("tos.rtd",,"LAST","."&amp;G$2&amp;G$1&amp;"C"&amp;$A41)-100*RTD("tos.rtd",,"OPEN_INT","."&amp;G$2&amp;G$1&amp;"P"&amp;$A41)*RTD("tos.rtd",,"LAST","."&amp;G$2&amp;G$1&amp;"P"&amp;$A41))/1000000),0),IF($A$2="PREMIUM",IFERROR(IF($X$1="ABS",(100*RTD("tos.rtd",,"VOLUME","."&amp;G$2&amp;G$1&amp;"C"&amp;$A41)*RTD("tos.rtd",,"LAST","."&amp;G$2&amp;G$1&amp;"C"&amp;$A41)+100*RTD("tos.rtd",,"VOLUME","."&amp;G$2&amp;G$1&amp;"P"&amp;$A41)*RTD("tos.rtd",,"LAST","."&amp;G$2&amp;G$1&amp;"P"&amp;$A41))/1000000,(100*RTD("tos.rtd",,"VOLUME","."&amp;G$2&amp;G$1&amp;"C"&amp;$A41)*RTD("tos.rtd",,"LAST","."&amp;G$2&amp;G$1&amp;"C"&amp;$A41)-100*RTD("tos.rtd",,"VOLUME","."&amp;G$2&amp;G$1&amp;"P"&amp;$A41)*RTD("tos.rtd",,"LAST","."&amp;G$2&amp;G$1&amp;"P"&amp;$A41))/1000000),0),IF($A$2="DEX",IFERROR(IF($X$1="ABS",(100*RTD("tos.rtd",,"OPEN_INT","."&amp;G$2&amp;G$1&amp;"C"&amp;$A41)*RTD("tos.rtd",,"DELTA","."&amp;G$2&amp;G$1&amp;"C"&amp;$A41)+100*RTD("tos.rtd",,"OPEN_INT","."&amp;G$2&amp;G$1&amp;"P"&amp;$A41)*RTD("tos.rtd",,"DELTA","."&amp;G$2&amp;G$1&amp;"P"&amp;$A41))/1000,(100*RTD("tos.rtd",,"OPEN_INT","."&amp;G$2&amp;G$1&amp;"C"&amp;$A41)*RTD("tos.rtd",,"DELTA","."&amp;G$2&amp;G$1&amp;"C"&amp;$A41)-100*RTD("tos.rtd",,"OPEN_INT","."&amp;G$2&amp;G$1&amp;"P"&amp;$A41)*RTD("tos.rtd",,"DELTA","."&amp;G$2&amp;G$1&amp;"P"&amp;$A41))/1000),0),IF($A$2="VEX",IFERROR(IF($X$1="ABS",($A$4*$A$4*RTD("tos.rtd",,"VOLUME","."&amp;G$2&amp;G$1&amp;"C"&amp;$A41)*RTD("tos.rtd",,"GAMMA","."&amp;G$2&amp;G$1&amp;"C"&amp;$A41)+$A$4*$A$4*RTD("tos.rtd",,"VOLUME","."&amp;G$2&amp;G$1&amp;"P"&amp;$A41)*RTD("tos.rtd",,"GAMMA","."&amp;G$2&amp;G$1&amp;"P"&amp;$A41))/1000000,($A$4*$A$4*RTD("tos.rtd",,"VOLUME","."&amp;G$2&amp;G$1&amp;"C"&amp;$A41)*RTD("tos.rtd",,"GAMMA","."&amp;G$2&amp;G$1&amp;"C"&amp;$A41)-$A$4*$A$4*RTD("tos.rtd",,"VOLUME","."&amp;G$2&amp;G$1&amp;"P"&amp;$A41)*RTD("tos.rtd",,"GAMMA","."&amp;G$2&amp;G$1&amp;"P"&amp;$A41))/1000000),0),IF($A$2="GEX",IFERROR(IF($X$1="ABS",($A$4*$A$4*RTD("tos.rtd",,"OPEN_INT","."&amp;G$2&amp;G$1&amp;"C"&amp;$A41)*RTD("tos.rtd",,"GAMMA","."&amp;G$2&amp;G$1&amp;"C"&amp;$A41)+$A$4*$A$4*RTD("tos.rtd",,"OPEN_INT","."&amp;G$2&amp;G$1&amp;"P"&amp;$A41)*RTD("tos.rtd",,"GAMMA","."&amp;G$2&amp;G$1&amp;"P"&amp;$A41))/1000000,($A$4*$A$4*RTD("tos.rtd",,"OPEN_INT","."&amp;G$2&amp;G$1&amp;"C"&amp;$A41)*RTD("tos.rtd",,"GAMMA","."&amp;G$2&amp;G$1&amp;"C"&amp;$A41)-$A$4*$A$4*RTD("tos.rtd",,"OPEN_INT","."&amp;G$2&amp;G$1&amp;"P"&amp;$A41)*RTD("tos.rtd",,"GAMMA","."&amp;G$2&amp;G$1&amp;"P"&amp;$A41))/1000000),0),IF($A$2="SKEW",IFERROR(VALUE(IF(RTD("tos.rtd",,"IMPL_VOL","."&amp;G$2&amp;G$1&amp;"P"&amp;$A41)="N/A",0,RTD("tos.rtd",,"IMPL_VOL","."&amp;G$2&amp;G$1&amp;"P"&amp;$A41))),0)-IFERROR(VALUE(IF(RTD("tos.rtd",,"IMPL_VOL","."&amp;G$2&amp;G$1&amp;"C"&amp;$A41)="N/A",0,RTD("tos.rtd",,"IMPL_VOL","."&amp;G$2&amp;G$1&amp;"C"&amp;$A41))),0),IF($A$2="MAXPAIN",IF($A$4&gt;$A41,($A$4-$A41)*IF(RTD("tos.rtd",,"OPEN_INT","."&amp;G$2&amp;G$1&amp;"C"&amp;$A41)="N/A",0,RTD("tos.rtd",,"OPEN_INT","."&amp;G$2&amp;G$1&amp;"C"&amp;$A41)),0)+IF($A$4&lt;$A41,($A$5-$A$4)*IF(RTD("tos.rtd",,"OPEN_INT","."&amp;G$2&amp;G$1&amp;"P"&amp;$A41)="N/A",0,RTD("tos.rtd",,"OPEN_INT","."&amp;G$2&amp;G$1&amp;"P"&amp;$A41)),0),IF($X$1="ABS",IF(RTD("tos.rtd",,$A$2,"."&amp;G$2&amp;G$1&amp;"C"&amp;$A41)="N/A",0,RTD("tos.rtd",,$A$2,"."&amp;G$2&amp;G$1&amp;"C"&amp;$A41))+IF(RTD("tos.rtd",,$A$2,"."&amp;G$2&amp;G$1&amp;"P"&amp;$A41)="N/A",0,RTD("tos.rtd",,$A$2,"."&amp;G$2&amp;G$1&amp;"P"&amp;$A41)),IF(RTD("tos.rtd",,$A$2,"."&amp;G$2&amp;G$1&amp;"C"&amp;$A41)="N/A",0,RTD("tos.rtd",,$A$2,"."&amp;G$2&amp;G$1&amp;"C"&amp;$A41))-IF(RTD("tos.rtd",,$A$2,"."&amp;G$2&amp;G$1&amp;"P"&amp;$A41)="N/A",0,RTD("tos.rtd",,$A$2,"."&amp;G$2&amp;G$1&amp;"P"&amp;$A41))))))))))</f>
        <v>0</v>
      </c>
      <c r="H41" s="14">
        <f ca="1">IF($A$2="PREMIUM_OI",IFERROR(IF($X$1="ABS",(100*RTD("tos.rtd",,"OPEN_INT","."&amp;H$2&amp;H$1&amp;"C"&amp;$A41)*RTD("tos.rtd",,"LAST","."&amp;H$2&amp;H$1&amp;"C"&amp;$A41)+100*RTD("tos.rtd",,"OPEN_INT","."&amp;H$2&amp;H$1&amp;"P"&amp;$A41)*RTD("tos.rtd",,"LAST","."&amp;H$2&amp;H$1&amp;"P"&amp;$A41))/1000000,(100*RTD("tos.rtd",,"OPEN_INT","."&amp;H$2&amp;H$1&amp;"C"&amp;$A41)*RTD("tos.rtd",,"LAST","."&amp;H$2&amp;H$1&amp;"C"&amp;$A41)-100*RTD("tos.rtd",,"OPEN_INT","."&amp;H$2&amp;H$1&amp;"P"&amp;$A41)*RTD("tos.rtd",,"LAST","."&amp;H$2&amp;H$1&amp;"P"&amp;$A41))/1000000),0),IF($A$2="PREMIUM",IFERROR(IF($X$1="ABS",(100*RTD("tos.rtd",,"VOLUME","."&amp;H$2&amp;H$1&amp;"C"&amp;$A41)*RTD("tos.rtd",,"LAST","."&amp;H$2&amp;H$1&amp;"C"&amp;$A41)+100*RTD("tos.rtd",,"VOLUME","."&amp;H$2&amp;H$1&amp;"P"&amp;$A41)*RTD("tos.rtd",,"LAST","."&amp;H$2&amp;H$1&amp;"P"&amp;$A41))/1000000,(100*RTD("tos.rtd",,"VOLUME","."&amp;H$2&amp;H$1&amp;"C"&amp;$A41)*RTD("tos.rtd",,"LAST","."&amp;H$2&amp;H$1&amp;"C"&amp;$A41)-100*RTD("tos.rtd",,"VOLUME","."&amp;H$2&amp;H$1&amp;"P"&amp;$A41)*RTD("tos.rtd",,"LAST","."&amp;H$2&amp;H$1&amp;"P"&amp;$A41))/1000000),0),IF($A$2="DEX",IFERROR(IF($X$1="ABS",(100*RTD("tos.rtd",,"OPEN_INT","."&amp;H$2&amp;H$1&amp;"C"&amp;$A41)*RTD("tos.rtd",,"DELTA","."&amp;H$2&amp;H$1&amp;"C"&amp;$A41)+100*RTD("tos.rtd",,"OPEN_INT","."&amp;H$2&amp;H$1&amp;"P"&amp;$A41)*RTD("tos.rtd",,"DELTA","."&amp;H$2&amp;H$1&amp;"P"&amp;$A41))/1000,(100*RTD("tos.rtd",,"OPEN_INT","."&amp;H$2&amp;H$1&amp;"C"&amp;$A41)*RTD("tos.rtd",,"DELTA","."&amp;H$2&amp;H$1&amp;"C"&amp;$A41)-100*RTD("tos.rtd",,"OPEN_INT","."&amp;H$2&amp;H$1&amp;"P"&amp;$A41)*RTD("tos.rtd",,"DELTA","."&amp;H$2&amp;H$1&amp;"P"&amp;$A41))/1000),0),IF($A$2="VEX",IFERROR(IF($X$1="ABS",($A$4*$A$4*RTD("tos.rtd",,"VOLUME","."&amp;H$2&amp;H$1&amp;"C"&amp;$A41)*RTD("tos.rtd",,"GAMMA","."&amp;H$2&amp;H$1&amp;"C"&amp;$A41)+$A$4*$A$4*RTD("tos.rtd",,"VOLUME","."&amp;H$2&amp;H$1&amp;"P"&amp;$A41)*RTD("tos.rtd",,"GAMMA","."&amp;H$2&amp;H$1&amp;"P"&amp;$A41))/1000000,($A$4*$A$4*RTD("tos.rtd",,"VOLUME","."&amp;H$2&amp;H$1&amp;"C"&amp;$A41)*RTD("tos.rtd",,"GAMMA","."&amp;H$2&amp;H$1&amp;"C"&amp;$A41)-$A$4*$A$4*RTD("tos.rtd",,"VOLUME","."&amp;H$2&amp;H$1&amp;"P"&amp;$A41)*RTD("tos.rtd",,"GAMMA","."&amp;H$2&amp;H$1&amp;"P"&amp;$A41))/1000000),0),IF($A$2="GEX",IFERROR(IF($X$1="ABS",($A$4*$A$4*RTD("tos.rtd",,"OPEN_INT","."&amp;H$2&amp;H$1&amp;"C"&amp;$A41)*RTD("tos.rtd",,"GAMMA","."&amp;H$2&amp;H$1&amp;"C"&amp;$A41)+$A$4*$A$4*RTD("tos.rtd",,"OPEN_INT","."&amp;H$2&amp;H$1&amp;"P"&amp;$A41)*RTD("tos.rtd",,"GAMMA","."&amp;H$2&amp;H$1&amp;"P"&amp;$A41))/1000000,($A$4*$A$4*RTD("tos.rtd",,"OPEN_INT","."&amp;H$2&amp;H$1&amp;"C"&amp;$A41)*RTD("tos.rtd",,"GAMMA","."&amp;H$2&amp;H$1&amp;"C"&amp;$A41)-$A$4*$A$4*RTD("tos.rtd",,"OPEN_INT","."&amp;H$2&amp;H$1&amp;"P"&amp;$A41)*RTD("tos.rtd",,"GAMMA","."&amp;H$2&amp;H$1&amp;"P"&amp;$A41))/1000000),0),IF($A$2="SKEW",IFERROR(VALUE(IF(RTD("tos.rtd",,"IMPL_VOL","."&amp;H$2&amp;H$1&amp;"P"&amp;$A41)="N/A",0,RTD("tos.rtd",,"IMPL_VOL","."&amp;H$2&amp;H$1&amp;"P"&amp;$A41))),0)-IFERROR(VALUE(IF(RTD("tos.rtd",,"IMPL_VOL","."&amp;H$2&amp;H$1&amp;"C"&amp;$A41)="N/A",0,RTD("tos.rtd",,"IMPL_VOL","."&amp;H$2&amp;H$1&amp;"C"&amp;$A41))),0),IF($A$2="MAXPAIN",IF($A$4&gt;$A41,($A$4-$A41)*IF(RTD("tos.rtd",,"OPEN_INT","."&amp;H$2&amp;H$1&amp;"C"&amp;$A41)="N/A",0,RTD("tos.rtd",,"OPEN_INT","."&amp;H$2&amp;H$1&amp;"C"&amp;$A41)),0)+IF($A$4&lt;$A41,($A$5-$A$4)*IF(RTD("tos.rtd",,"OPEN_INT","."&amp;H$2&amp;H$1&amp;"P"&amp;$A41)="N/A",0,RTD("tos.rtd",,"OPEN_INT","."&amp;H$2&amp;H$1&amp;"P"&amp;$A41)),0),IF($X$1="ABS",IF(RTD("tos.rtd",,$A$2,"."&amp;H$2&amp;H$1&amp;"C"&amp;$A41)="N/A",0,RTD("tos.rtd",,$A$2,"."&amp;H$2&amp;H$1&amp;"C"&amp;$A41))+IF(RTD("tos.rtd",,$A$2,"."&amp;H$2&amp;H$1&amp;"P"&amp;$A41)="N/A",0,RTD("tos.rtd",,$A$2,"."&amp;H$2&amp;H$1&amp;"P"&amp;$A41)),IF(RTD("tos.rtd",,$A$2,"."&amp;H$2&amp;H$1&amp;"C"&amp;$A41)="N/A",0,RTD("tos.rtd",,$A$2,"."&amp;H$2&amp;H$1&amp;"C"&amp;$A41))-IF(RTD("tos.rtd",,$A$2,"."&amp;H$2&amp;H$1&amp;"P"&amp;$A41)="N/A",0,RTD("tos.rtd",,$A$2,"."&amp;H$2&amp;H$1&amp;"P"&amp;$A41))))))))))</f>
        <v>0</v>
      </c>
      <c r="I41" s="12">
        <f ca="1">IF($A$2="PREMIUM_OI",IFERROR(IF($X$1="ABS",(100*RTD("tos.rtd",,"OPEN_INT","."&amp;I$2&amp;I$1&amp;"C"&amp;$A41)*RTD("tos.rtd",,"LAST","."&amp;I$2&amp;I$1&amp;"C"&amp;$A41)+100*RTD("tos.rtd",,"OPEN_INT","."&amp;I$2&amp;I$1&amp;"P"&amp;$A41)*RTD("tos.rtd",,"LAST","."&amp;I$2&amp;I$1&amp;"P"&amp;$A41))/1000000,(100*RTD("tos.rtd",,"OPEN_INT","."&amp;I$2&amp;I$1&amp;"C"&amp;$A41)*RTD("tos.rtd",,"LAST","."&amp;I$2&amp;I$1&amp;"C"&amp;$A41)-100*RTD("tos.rtd",,"OPEN_INT","."&amp;I$2&amp;I$1&amp;"P"&amp;$A41)*RTD("tos.rtd",,"LAST","."&amp;I$2&amp;I$1&amp;"P"&amp;$A41))/1000000),0),IF($A$2="PREMIUM",IFERROR(IF($X$1="ABS",(100*RTD("tos.rtd",,"VOLUME","."&amp;I$2&amp;I$1&amp;"C"&amp;$A41)*RTD("tos.rtd",,"LAST","."&amp;I$2&amp;I$1&amp;"C"&amp;$A41)+100*RTD("tos.rtd",,"VOLUME","."&amp;I$2&amp;I$1&amp;"P"&amp;$A41)*RTD("tos.rtd",,"LAST","."&amp;I$2&amp;I$1&amp;"P"&amp;$A41))/1000000,(100*RTD("tos.rtd",,"VOLUME","."&amp;I$2&amp;I$1&amp;"C"&amp;$A41)*RTD("tos.rtd",,"LAST","."&amp;I$2&amp;I$1&amp;"C"&amp;$A41)-100*RTD("tos.rtd",,"VOLUME","."&amp;I$2&amp;I$1&amp;"P"&amp;$A41)*RTD("tos.rtd",,"LAST","."&amp;I$2&amp;I$1&amp;"P"&amp;$A41))/1000000),0),IF($A$2="DEX",IFERROR(IF($X$1="ABS",(100*RTD("tos.rtd",,"OPEN_INT","."&amp;I$2&amp;I$1&amp;"C"&amp;$A41)*RTD("tos.rtd",,"DELTA","."&amp;I$2&amp;I$1&amp;"C"&amp;$A41)+100*RTD("tos.rtd",,"OPEN_INT","."&amp;I$2&amp;I$1&amp;"P"&amp;$A41)*RTD("tos.rtd",,"DELTA","."&amp;I$2&amp;I$1&amp;"P"&amp;$A41))/1000,(100*RTD("tos.rtd",,"OPEN_INT","."&amp;I$2&amp;I$1&amp;"C"&amp;$A41)*RTD("tos.rtd",,"DELTA","."&amp;I$2&amp;I$1&amp;"C"&amp;$A41)-100*RTD("tos.rtd",,"OPEN_INT","."&amp;I$2&amp;I$1&amp;"P"&amp;$A41)*RTD("tos.rtd",,"DELTA","."&amp;I$2&amp;I$1&amp;"P"&amp;$A41))/1000),0),IF($A$2="VEX",IFERROR(IF($X$1="ABS",($A$4*$A$4*RTD("tos.rtd",,"VOLUME","."&amp;I$2&amp;I$1&amp;"C"&amp;$A41)*RTD("tos.rtd",,"GAMMA","."&amp;I$2&amp;I$1&amp;"C"&amp;$A41)+$A$4*$A$4*RTD("tos.rtd",,"VOLUME","."&amp;I$2&amp;I$1&amp;"P"&amp;$A41)*RTD("tos.rtd",,"GAMMA","."&amp;I$2&amp;I$1&amp;"P"&amp;$A41))/1000000,($A$4*$A$4*RTD("tos.rtd",,"VOLUME","."&amp;I$2&amp;I$1&amp;"C"&amp;$A41)*RTD("tos.rtd",,"GAMMA","."&amp;I$2&amp;I$1&amp;"C"&amp;$A41)-$A$4*$A$4*RTD("tos.rtd",,"VOLUME","."&amp;I$2&amp;I$1&amp;"P"&amp;$A41)*RTD("tos.rtd",,"GAMMA","."&amp;I$2&amp;I$1&amp;"P"&amp;$A41))/1000000),0),IF($A$2="GEX",IFERROR(IF($X$1="ABS",($A$4*$A$4*RTD("tos.rtd",,"OPEN_INT","."&amp;I$2&amp;I$1&amp;"C"&amp;$A41)*RTD("tos.rtd",,"GAMMA","."&amp;I$2&amp;I$1&amp;"C"&amp;$A41)+$A$4*$A$4*RTD("tos.rtd",,"OPEN_INT","."&amp;I$2&amp;I$1&amp;"P"&amp;$A41)*RTD("tos.rtd",,"GAMMA","."&amp;I$2&amp;I$1&amp;"P"&amp;$A41))/1000000,($A$4*$A$4*RTD("tos.rtd",,"OPEN_INT","."&amp;I$2&amp;I$1&amp;"C"&amp;$A41)*RTD("tos.rtd",,"GAMMA","."&amp;I$2&amp;I$1&amp;"C"&amp;$A41)-$A$4*$A$4*RTD("tos.rtd",,"OPEN_INT","."&amp;I$2&amp;I$1&amp;"P"&amp;$A41)*RTD("tos.rtd",,"GAMMA","."&amp;I$2&amp;I$1&amp;"P"&amp;$A41))/1000000),0),IF($A$2="SKEW",IFERROR(VALUE(IF(RTD("tos.rtd",,"IMPL_VOL","."&amp;I$2&amp;I$1&amp;"P"&amp;$A41)="N/A",0,RTD("tos.rtd",,"IMPL_VOL","."&amp;I$2&amp;I$1&amp;"P"&amp;$A41))),0)-IFERROR(VALUE(IF(RTD("tos.rtd",,"IMPL_VOL","."&amp;I$2&amp;I$1&amp;"C"&amp;$A41)="N/A",0,RTD("tos.rtd",,"IMPL_VOL","."&amp;I$2&amp;I$1&amp;"C"&amp;$A41))),0),IF($A$2="MAXPAIN",IF($A$4&gt;$A41,($A$4-$A41)*IF(RTD("tos.rtd",,"OPEN_INT","."&amp;I$2&amp;I$1&amp;"C"&amp;$A41)="N/A",0,RTD("tos.rtd",,"OPEN_INT","."&amp;I$2&amp;I$1&amp;"C"&amp;$A41)),0)+IF($A$4&lt;$A41,($A$5-$A$4)*IF(RTD("tos.rtd",,"OPEN_INT","."&amp;I$2&amp;I$1&amp;"P"&amp;$A41)="N/A",0,RTD("tos.rtd",,"OPEN_INT","."&amp;I$2&amp;I$1&amp;"P"&amp;$A41)),0),IF($X$1="ABS",IF(RTD("tos.rtd",,$A$2,"."&amp;I$2&amp;I$1&amp;"C"&amp;$A41)="N/A",0,RTD("tos.rtd",,$A$2,"."&amp;I$2&amp;I$1&amp;"C"&amp;$A41))+IF(RTD("tos.rtd",,$A$2,"."&amp;I$2&amp;I$1&amp;"P"&amp;$A41)="N/A",0,RTD("tos.rtd",,$A$2,"."&amp;I$2&amp;I$1&amp;"P"&amp;$A41)),IF(RTD("tos.rtd",,$A$2,"."&amp;I$2&amp;I$1&amp;"C"&amp;$A41)="N/A",0,RTD("tos.rtd",,$A$2,"."&amp;I$2&amp;I$1&amp;"C"&amp;$A41))-IF(RTD("tos.rtd",,$A$2,"."&amp;I$2&amp;I$1&amp;"P"&amp;$A41)="N/A",0,RTD("tos.rtd",,$A$2,"."&amp;I$2&amp;I$1&amp;"P"&amp;$A41))))))))))</f>
        <v>0</v>
      </c>
      <c r="J41" s="12">
        <f ca="1">IF($A$2="PREMIUM_OI",IFERROR(IF($X$1="ABS",(100*RTD("tos.rtd",,"OPEN_INT","."&amp;J$2&amp;J$1&amp;"C"&amp;$A41)*RTD("tos.rtd",,"LAST","."&amp;J$2&amp;J$1&amp;"C"&amp;$A41)+100*RTD("tos.rtd",,"OPEN_INT","."&amp;J$2&amp;J$1&amp;"P"&amp;$A41)*RTD("tos.rtd",,"LAST","."&amp;J$2&amp;J$1&amp;"P"&amp;$A41))/1000000,(100*RTD("tos.rtd",,"OPEN_INT","."&amp;J$2&amp;J$1&amp;"C"&amp;$A41)*RTD("tos.rtd",,"LAST","."&amp;J$2&amp;J$1&amp;"C"&amp;$A41)-100*RTD("tos.rtd",,"OPEN_INT","."&amp;J$2&amp;J$1&amp;"P"&amp;$A41)*RTD("tos.rtd",,"LAST","."&amp;J$2&amp;J$1&amp;"P"&amp;$A41))/1000000),0),IF($A$2="PREMIUM",IFERROR(IF($X$1="ABS",(100*RTD("tos.rtd",,"VOLUME","."&amp;J$2&amp;J$1&amp;"C"&amp;$A41)*RTD("tos.rtd",,"LAST","."&amp;J$2&amp;J$1&amp;"C"&amp;$A41)+100*RTD("tos.rtd",,"VOLUME","."&amp;J$2&amp;J$1&amp;"P"&amp;$A41)*RTD("tos.rtd",,"LAST","."&amp;J$2&amp;J$1&amp;"P"&amp;$A41))/1000000,(100*RTD("tos.rtd",,"VOLUME","."&amp;J$2&amp;J$1&amp;"C"&amp;$A41)*RTD("tos.rtd",,"LAST","."&amp;J$2&amp;J$1&amp;"C"&amp;$A41)-100*RTD("tos.rtd",,"VOLUME","."&amp;J$2&amp;J$1&amp;"P"&amp;$A41)*RTD("tos.rtd",,"LAST","."&amp;J$2&amp;J$1&amp;"P"&amp;$A41))/1000000),0),IF($A$2="DEX",IFERROR(IF($X$1="ABS",(100*RTD("tos.rtd",,"OPEN_INT","."&amp;J$2&amp;J$1&amp;"C"&amp;$A41)*RTD("tos.rtd",,"DELTA","."&amp;J$2&amp;J$1&amp;"C"&amp;$A41)+100*RTD("tos.rtd",,"OPEN_INT","."&amp;J$2&amp;J$1&amp;"P"&amp;$A41)*RTD("tos.rtd",,"DELTA","."&amp;J$2&amp;J$1&amp;"P"&amp;$A41))/1000,(100*RTD("tos.rtd",,"OPEN_INT","."&amp;J$2&amp;J$1&amp;"C"&amp;$A41)*RTD("tos.rtd",,"DELTA","."&amp;J$2&amp;J$1&amp;"C"&amp;$A41)-100*RTD("tos.rtd",,"OPEN_INT","."&amp;J$2&amp;J$1&amp;"P"&amp;$A41)*RTD("tos.rtd",,"DELTA","."&amp;J$2&amp;J$1&amp;"P"&amp;$A41))/1000),0),IF($A$2="VEX",IFERROR(IF($X$1="ABS",($A$4*$A$4*RTD("tos.rtd",,"VOLUME","."&amp;J$2&amp;J$1&amp;"C"&amp;$A41)*RTD("tos.rtd",,"GAMMA","."&amp;J$2&amp;J$1&amp;"C"&amp;$A41)+$A$4*$A$4*RTD("tos.rtd",,"VOLUME","."&amp;J$2&amp;J$1&amp;"P"&amp;$A41)*RTD("tos.rtd",,"GAMMA","."&amp;J$2&amp;J$1&amp;"P"&amp;$A41))/1000000,($A$4*$A$4*RTD("tos.rtd",,"VOLUME","."&amp;J$2&amp;J$1&amp;"C"&amp;$A41)*RTD("tos.rtd",,"GAMMA","."&amp;J$2&amp;J$1&amp;"C"&amp;$A41)-$A$4*$A$4*RTD("tos.rtd",,"VOLUME","."&amp;J$2&amp;J$1&amp;"P"&amp;$A41)*RTD("tos.rtd",,"GAMMA","."&amp;J$2&amp;J$1&amp;"P"&amp;$A41))/1000000),0),IF($A$2="GEX",IFERROR(IF($X$1="ABS",($A$4*$A$4*RTD("tos.rtd",,"OPEN_INT","."&amp;J$2&amp;J$1&amp;"C"&amp;$A41)*RTD("tos.rtd",,"GAMMA","."&amp;J$2&amp;J$1&amp;"C"&amp;$A41)+$A$4*$A$4*RTD("tos.rtd",,"OPEN_INT","."&amp;J$2&amp;J$1&amp;"P"&amp;$A41)*RTD("tos.rtd",,"GAMMA","."&amp;J$2&amp;J$1&amp;"P"&amp;$A41))/1000000,($A$4*$A$4*RTD("tos.rtd",,"OPEN_INT","."&amp;J$2&amp;J$1&amp;"C"&amp;$A41)*RTD("tos.rtd",,"GAMMA","."&amp;J$2&amp;J$1&amp;"C"&amp;$A41)-$A$4*$A$4*RTD("tos.rtd",,"OPEN_INT","."&amp;J$2&amp;J$1&amp;"P"&amp;$A41)*RTD("tos.rtd",,"GAMMA","."&amp;J$2&amp;J$1&amp;"P"&amp;$A41))/1000000),0),IF($A$2="SKEW",IFERROR(VALUE(IF(RTD("tos.rtd",,"IMPL_VOL","."&amp;J$2&amp;J$1&amp;"P"&amp;$A41)="N/A",0,RTD("tos.rtd",,"IMPL_VOL","."&amp;J$2&amp;J$1&amp;"P"&amp;$A41))),0)-IFERROR(VALUE(IF(RTD("tos.rtd",,"IMPL_VOL","."&amp;J$2&amp;J$1&amp;"C"&amp;$A41)="N/A",0,RTD("tos.rtd",,"IMPL_VOL","."&amp;J$2&amp;J$1&amp;"C"&amp;$A41))),0),IF($A$2="MAXPAIN",IF($A$4&gt;$A41,($A$4-$A41)*IF(RTD("tos.rtd",,"OPEN_INT","."&amp;J$2&amp;J$1&amp;"C"&amp;$A41)="N/A",0,RTD("tos.rtd",,"OPEN_INT","."&amp;J$2&amp;J$1&amp;"C"&amp;$A41)),0)+IF($A$4&lt;$A41,($A$5-$A$4)*IF(RTD("tos.rtd",,"OPEN_INT","."&amp;J$2&amp;J$1&amp;"P"&amp;$A41)="N/A",0,RTD("tos.rtd",,"OPEN_INT","."&amp;J$2&amp;J$1&amp;"P"&amp;$A41)),0),IF($X$1="ABS",IF(RTD("tos.rtd",,$A$2,"."&amp;J$2&amp;J$1&amp;"C"&amp;$A41)="N/A",0,RTD("tos.rtd",,$A$2,"."&amp;J$2&amp;J$1&amp;"C"&amp;$A41))+IF(RTD("tos.rtd",,$A$2,"."&amp;J$2&amp;J$1&amp;"P"&amp;$A41)="N/A",0,RTD("tos.rtd",,$A$2,"."&amp;J$2&amp;J$1&amp;"P"&amp;$A41)),IF(RTD("tos.rtd",,$A$2,"."&amp;J$2&amp;J$1&amp;"C"&amp;$A41)="N/A",0,RTD("tos.rtd",,$A$2,"."&amp;J$2&amp;J$1&amp;"C"&amp;$A41))-IF(RTD("tos.rtd",,$A$2,"."&amp;J$2&amp;J$1&amp;"P"&amp;$A41)="N/A",0,RTD("tos.rtd",,$A$2,"."&amp;J$2&amp;J$1&amp;"P"&amp;$A41))))))))))</f>
        <v>0</v>
      </c>
      <c r="K41" s="12">
        <f ca="1">IF($A$2="PREMIUM_OI",IFERROR(IF($X$1="ABS",(100*RTD("tos.rtd",,"OPEN_INT","."&amp;K$2&amp;K$1&amp;"C"&amp;$A41)*RTD("tos.rtd",,"LAST","."&amp;K$2&amp;K$1&amp;"C"&amp;$A41)+100*RTD("tos.rtd",,"OPEN_INT","."&amp;K$2&amp;K$1&amp;"P"&amp;$A41)*RTD("tos.rtd",,"LAST","."&amp;K$2&amp;K$1&amp;"P"&amp;$A41))/1000000,(100*RTD("tos.rtd",,"OPEN_INT","."&amp;K$2&amp;K$1&amp;"C"&amp;$A41)*RTD("tos.rtd",,"LAST","."&amp;K$2&amp;K$1&amp;"C"&amp;$A41)-100*RTD("tos.rtd",,"OPEN_INT","."&amp;K$2&amp;K$1&amp;"P"&amp;$A41)*RTD("tos.rtd",,"LAST","."&amp;K$2&amp;K$1&amp;"P"&amp;$A41))/1000000),0),IF($A$2="PREMIUM",IFERROR(IF($X$1="ABS",(100*RTD("tos.rtd",,"VOLUME","."&amp;K$2&amp;K$1&amp;"C"&amp;$A41)*RTD("tos.rtd",,"LAST","."&amp;K$2&amp;K$1&amp;"C"&amp;$A41)+100*RTD("tos.rtd",,"VOLUME","."&amp;K$2&amp;K$1&amp;"P"&amp;$A41)*RTD("tos.rtd",,"LAST","."&amp;K$2&amp;K$1&amp;"P"&amp;$A41))/1000000,(100*RTD("tos.rtd",,"VOLUME","."&amp;K$2&amp;K$1&amp;"C"&amp;$A41)*RTD("tos.rtd",,"LAST","."&amp;K$2&amp;K$1&amp;"C"&amp;$A41)-100*RTD("tos.rtd",,"VOLUME","."&amp;K$2&amp;K$1&amp;"P"&amp;$A41)*RTD("tos.rtd",,"LAST","."&amp;K$2&amp;K$1&amp;"P"&amp;$A41))/1000000),0),IF($A$2="DEX",IFERROR(IF($X$1="ABS",(100*RTD("tos.rtd",,"OPEN_INT","."&amp;K$2&amp;K$1&amp;"C"&amp;$A41)*RTD("tos.rtd",,"DELTA","."&amp;K$2&amp;K$1&amp;"C"&amp;$A41)+100*RTD("tos.rtd",,"OPEN_INT","."&amp;K$2&amp;K$1&amp;"P"&amp;$A41)*RTD("tos.rtd",,"DELTA","."&amp;K$2&amp;K$1&amp;"P"&amp;$A41))/1000,(100*RTD("tos.rtd",,"OPEN_INT","."&amp;K$2&amp;K$1&amp;"C"&amp;$A41)*RTD("tos.rtd",,"DELTA","."&amp;K$2&amp;K$1&amp;"C"&amp;$A41)-100*RTD("tos.rtd",,"OPEN_INT","."&amp;K$2&amp;K$1&amp;"P"&amp;$A41)*RTD("tos.rtd",,"DELTA","."&amp;K$2&amp;K$1&amp;"P"&amp;$A41))/1000),0),IF($A$2="VEX",IFERROR(IF($X$1="ABS",($A$4*$A$4*RTD("tos.rtd",,"VOLUME","."&amp;K$2&amp;K$1&amp;"C"&amp;$A41)*RTD("tos.rtd",,"GAMMA","."&amp;K$2&amp;K$1&amp;"C"&amp;$A41)+$A$4*$A$4*RTD("tos.rtd",,"VOLUME","."&amp;K$2&amp;K$1&amp;"P"&amp;$A41)*RTD("tos.rtd",,"GAMMA","."&amp;K$2&amp;K$1&amp;"P"&amp;$A41))/1000000,($A$4*$A$4*RTD("tos.rtd",,"VOLUME","."&amp;K$2&amp;K$1&amp;"C"&amp;$A41)*RTD("tos.rtd",,"GAMMA","."&amp;K$2&amp;K$1&amp;"C"&amp;$A41)-$A$4*$A$4*RTD("tos.rtd",,"VOLUME","."&amp;K$2&amp;K$1&amp;"P"&amp;$A41)*RTD("tos.rtd",,"GAMMA","."&amp;K$2&amp;K$1&amp;"P"&amp;$A41))/1000000),0),IF($A$2="GEX",IFERROR(IF($X$1="ABS",($A$4*$A$4*RTD("tos.rtd",,"OPEN_INT","."&amp;K$2&amp;K$1&amp;"C"&amp;$A41)*RTD("tos.rtd",,"GAMMA","."&amp;K$2&amp;K$1&amp;"C"&amp;$A41)+$A$4*$A$4*RTD("tos.rtd",,"OPEN_INT","."&amp;K$2&amp;K$1&amp;"P"&amp;$A41)*RTD("tos.rtd",,"GAMMA","."&amp;K$2&amp;K$1&amp;"P"&amp;$A41))/1000000,($A$4*$A$4*RTD("tos.rtd",,"OPEN_INT","."&amp;K$2&amp;K$1&amp;"C"&amp;$A41)*RTD("tos.rtd",,"GAMMA","."&amp;K$2&amp;K$1&amp;"C"&amp;$A41)-$A$4*$A$4*RTD("tos.rtd",,"OPEN_INT","."&amp;K$2&amp;K$1&amp;"P"&amp;$A41)*RTD("tos.rtd",,"GAMMA","."&amp;K$2&amp;K$1&amp;"P"&amp;$A41))/1000000),0),IF($A$2="SKEW",IFERROR(VALUE(IF(RTD("tos.rtd",,"IMPL_VOL","."&amp;K$2&amp;K$1&amp;"P"&amp;$A41)="N/A",0,RTD("tos.rtd",,"IMPL_VOL","."&amp;K$2&amp;K$1&amp;"P"&amp;$A41))),0)-IFERROR(VALUE(IF(RTD("tos.rtd",,"IMPL_VOL","."&amp;K$2&amp;K$1&amp;"C"&amp;$A41)="N/A",0,RTD("tos.rtd",,"IMPL_VOL","."&amp;K$2&amp;K$1&amp;"C"&amp;$A41))),0),IF($A$2="MAXPAIN",IF($A$4&gt;$A41,($A$4-$A41)*IF(RTD("tos.rtd",,"OPEN_INT","."&amp;K$2&amp;K$1&amp;"C"&amp;$A41)="N/A",0,RTD("tos.rtd",,"OPEN_INT","."&amp;K$2&amp;K$1&amp;"C"&amp;$A41)),0)+IF($A$4&lt;$A41,($A$5-$A$4)*IF(RTD("tos.rtd",,"OPEN_INT","."&amp;K$2&amp;K$1&amp;"P"&amp;$A41)="N/A",0,RTD("tos.rtd",,"OPEN_INT","."&amp;K$2&amp;K$1&amp;"P"&amp;$A41)),0),IF($X$1="ABS",IF(RTD("tos.rtd",,$A$2,"."&amp;K$2&amp;K$1&amp;"C"&amp;$A41)="N/A",0,RTD("tos.rtd",,$A$2,"."&amp;K$2&amp;K$1&amp;"C"&amp;$A41))+IF(RTD("tos.rtd",,$A$2,"."&amp;K$2&amp;K$1&amp;"P"&amp;$A41)="N/A",0,RTD("tos.rtd",,$A$2,"."&amp;K$2&amp;K$1&amp;"P"&amp;$A41)),IF(RTD("tos.rtd",,$A$2,"."&amp;K$2&amp;K$1&amp;"C"&amp;$A41)="N/A",0,RTD("tos.rtd",,$A$2,"."&amp;K$2&amp;K$1&amp;"C"&amp;$A41))-IF(RTD("tos.rtd",,$A$2,"."&amp;K$2&amp;K$1&amp;"P"&amp;$A41)="N/A",0,RTD("tos.rtd",,$A$2,"."&amp;K$2&amp;K$1&amp;"P"&amp;$A41))))))))))</f>
        <v>0</v>
      </c>
      <c r="L41" s="54">
        <f ca="1">IF($A$2="PREMIUM_OI",IFERROR(IF($X$1="ABS",(100*RTD("tos.rtd",,"OPEN_INT","."&amp;L$2&amp;L$1&amp;"C"&amp;$A41)*RTD("tos.rtd",,"LAST","."&amp;L$2&amp;L$1&amp;"C"&amp;$A41)+100*RTD("tos.rtd",,"OPEN_INT","."&amp;L$2&amp;L$1&amp;"P"&amp;$A41)*RTD("tos.rtd",,"LAST","."&amp;L$2&amp;L$1&amp;"P"&amp;$A41))/1000000,(100*RTD("tos.rtd",,"OPEN_INT","."&amp;L$2&amp;L$1&amp;"C"&amp;$A41)*RTD("tos.rtd",,"LAST","."&amp;L$2&amp;L$1&amp;"C"&amp;$A41)-100*RTD("tos.rtd",,"OPEN_INT","."&amp;L$2&amp;L$1&amp;"P"&amp;$A41)*RTD("tos.rtd",,"LAST","."&amp;L$2&amp;L$1&amp;"P"&amp;$A41))/1000000),0),IF($A$2="PREMIUM",IFERROR(IF($X$1="ABS",(100*RTD("tos.rtd",,"VOLUME","."&amp;L$2&amp;L$1&amp;"C"&amp;$A41)*RTD("tos.rtd",,"LAST","."&amp;L$2&amp;L$1&amp;"C"&amp;$A41)+100*RTD("tos.rtd",,"VOLUME","."&amp;L$2&amp;L$1&amp;"P"&amp;$A41)*RTD("tos.rtd",,"LAST","."&amp;L$2&amp;L$1&amp;"P"&amp;$A41))/1000000,(100*RTD("tos.rtd",,"VOLUME","."&amp;L$2&amp;L$1&amp;"C"&amp;$A41)*RTD("tos.rtd",,"LAST","."&amp;L$2&amp;L$1&amp;"C"&amp;$A41)-100*RTD("tos.rtd",,"VOLUME","."&amp;L$2&amp;L$1&amp;"P"&amp;$A41)*RTD("tos.rtd",,"LAST","."&amp;L$2&amp;L$1&amp;"P"&amp;$A41))/1000000),0),IF($A$2="DEX",IFERROR(IF($X$1="ABS",(100*RTD("tos.rtd",,"OPEN_INT","."&amp;L$2&amp;L$1&amp;"C"&amp;$A41)*RTD("tos.rtd",,"DELTA","."&amp;L$2&amp;L$1&amp;"C"&amp;$A41)+100*RTD("tos.rtd",,"OPEN_INT","."&amp;L$2&amp;L$1&amp;"P"&amp;$A41)*RTD("tos.rtd",,"DELTA","."&amp;L$2&amp;L$1&amp;"P"&amp;$A41))/1000,(100*RTD("tos.rtd",,"OPEN_INT","."&amp;L$2&amp;L$1&amp;"C"&amp;$A41)*RTD("tos.rtd",,"DELTA","."&amp;L$2&amp;L$1&amp;"C"&amp;$A41)-100*RTD("tos.rtd",,"OPEN_INT","."&amp;L$2&amp;L$1&amp;"P"&amp;$A41)*RTD("tos.rtd",,"DELTA","."&amp;L$2&amp;L$1&amp;"P"&amp;$A41))/1000),0),IF($A$2="VEX",IFERROR(IF($X$1="ABS",($A$4*$A$4*RTD("tos.rtd",,"VOLUME","."&amp;L$2&amp;L$1&amp;"C"&amp;$A41)*RTD("tos.rtd",,"GAMMA","."&amp;L$2&amp;L$1&amp;"C"&amp;$A41)+$A$4*$A$4*RTD("tos.rtd",,"VOLUME","."&amp;L$2&amp;L$1&amp;"P"&amp;$A41)*RTD("tos.rtd",,"GAMMA","."&amp;L$2&amp;L$1&amp;"P"&amp;$A41))/1000000,($A$4*$A$4*RTD("tos.rtd",,"VOLUME","."&amp;L$2&amp;L$1&amp;"C"&amp;$A41)*RTD("tos.rtd",,"GAMMA","."&amp;L$2&amp;L$1&amp;"C"&amp;$A41)-$A$4*$A$4*RTD("tos.rtd",,"VOLUME","."&amp;L$2&amp;L$1&amp;"P"&amp;$A41)*RTD("tos.rtd",,"GAMMA","."&amp;L$2&amp;L$1&amp;"P"&amp;$A41))/1000000),0),IF($A$2="GEX",IFERROR(IF($X$1="ABS",($A$4*$A$4*RTD("tos.rtd",,"OPEN_INT","."&amp;L$2&amp;L$1&amp;"C"&amp;$A41)*RTD("tos.rtd",,"GAMMA","."&amp;L$2&amp;L$1&amp;"C"&amp;$A41)+$A$4*$A$4*RTD("tos.rtd",,"OPEN_INT","."&amp;L$2&amp;L$1&amp;"P"&amp;$A41)*RTD("tos.rtd",,"GAMMA","."&amp;L$2&amp;L$1&amp;"P"&amp;$A41))/1000000,($A$4*$A$4*RTD("tos.rtd",,"OPEN_INT","."&amp;L$2&amp;L$1&amp;"C"&amp;$A41)*RTD("tos.rtd",,"GAMMA","."&amp;L$2&amp;L$1&amp;"C"&amp;$A41)-$A$4*$A$4*RTD("tos.rtd",,"OPEN_INT","."&amp;L$2&amp;L$1&amp;"P"&amp;$A41)*RTD("tos.rtd",,"GAMMA","."&amp;L$2&amp;L$1&amp;"P"&amp;$A41))/1000000),0),IF($A$2="SKEW",IFERROR(VALUE(IF(RTD("tos.rtd",,"IMPL_VOL","."&amp;L$2&amp;L$1&amp;"P"&amp;$A41)="N/A",0,RTD("tos.rtd",,"IMPL_VOL","."&amp;L$2&amp;L$1&amp;"P"&amp;$A41))),0)-IFERROR(VALUE(IF(RTD("tos.rtd",,"IMPL_VOL","."&amp;L$2&amp;L$1&amp;"C"&amp;$A41)="N/A",0,RTD("tos.rtd",,"IMPL_VOL","."&amp;L$2&amp;L$1&amp;"C"&amp;$A41))),0),IF($A$2="MAXPAIN",IF($A$4&gt;$A41,($A$4-$A41)*IF(RTD("tos.rtd",,"OPEN_INT","."&amp;L$2&amp;L$1&amp;"C"&amp;$A41)="N/A",0,RTD("tos.rtd",,"OPEN_INT","."&amp;L$2&amp;L$1&amp;"C"&amp;$A41)),0)+IF($A$4&lt;$A41,($A$5-$A$4)*IF(RTD("tos.rtd",,"OPEN_INT","."&amp;L$2&amp;L$1&amp;"P"&amp;$A41)="N/A",0,RTD("tos.rtd",,"OPEN_INT","."&amp;L$2&amp;L$1&amp;"P"&amp;$A41)),0),IF($X$1="ABS",IF(RTD("tos.rtd",,$A$2,"."&amp;L$2&amp;L$1&amp;"C"&amp;$A41)="N/A",0,RTD("tos.rtd",,$A$2,"."&amp;L$2&amp;L$1&amp;"C"&amp;$A41))+IF(RTD("tos.rtd",,$A$2,"."&amp;L$2&amp;L$1&amp;"P"&amp;$A41)="N/A",0,RTD("tos.rtd",,$A$2,"."&amp;L$2&amp;L$1&amp;"P"&amp;$A41)),IF(RTD("tos.rtd",,$A$2,"."&amp;L$2&amp;L$1&amp;"C"&amp;$A41)="N/A",0,RTD("tos.rtd",,$A$2,"."&amp;L$2&amp;L$1&amp;"C"&amp;$A41))-IF(RTD("tos.rtd",,$A$2,"."&amp;L$2&amp;L$1&amp;"P"&amp;$A41)="N/A",0,RTD("tos.rtd",,$A$2,"."&amp;L$2&amp;L$1&amp;"P"&amp;$A41))))))))))</f>
        <v>0</v>
      </c>
      <c r="M41" s="12">
        <f ca="1">IF($A$2="PREMIUM_OI",IFERROR(IF($X$1="ABS",(100*RTD("tos.rtd",,"OPEN_INT","."&amp;M$2&amp;M$1&amp;"C"&amp;$A41)*RTD("tos.rtd",,"LAST","."&amp;M$2&amp;M$1&amp;"C"&amp;$A41)+100*RTD("tos.rtd",,"OPEN_INT","."&amp;M$2&amp;M$1&amp;"P"&amp;$A41)*RTD("tos.rtd",,"LAST","."&amp;M$2&amp;M$1&amp;"P"&amp;$A41))/1000000,(100*RTD("tos.rtd",,"OPEN_INT","."&amp;M$2&amp;M$1&amp;"C"&amp;$A41)*RTD("tos.rtd",,"LAST","."&amp;M$2&amp;M$1&amp;"C"&amp;$A41)-100*RTD("tos.rtd",,"OPEN_INT","."&amp;M$2&amp;M$1&amp;"P"&amp;$A41)*RTD("tos.rtd",,"LAST","."&amp;M$2&amp;M$1&amp;"P"&amp;$A41))/1000000),0),IF($A$2="PREMIUM",IFERROR(IF($X$1="ABS",(100*RTD("tos.rtd",,"VOLUME","."&amp;M$2&amp;M$1&amp;"C"&amp;$A41)*RTD("tos.rtd",,"LAST","."&amp;M$2&amp;M$1&amp;"C"&amp;$A41)+100*RTD("tos.rtd",,"VOLUME","."&amp;M$2&amp;M$1&amp;"P"&amp;$A41)*RTD("tos.rtd",,"LAST","."&amp;M$2&amp;M$1&amp;"P"&amp;$A41))/1000000,(100*RTD("tos.rtd",,"VOLUME","."&amp;M$2&amp;M$1&amp;"C"&amp;$A41)*RTD("tos.rtd",,"LAST","."&amp;M$2&amp;M$1&amp;"C"&amp;$A41)-100*RTD("tos.rtd",,"VOLUME","."&amp;M$2&amp;M$1&amp;"P"&amp;$A41)*RTD("tos.rtd",,"LAST","."&amp;M$2&amp;M$1&amp;"P"&amp;$A41))/1000000),0),IF($A$2="DEX",IFERROR(IF($X$1="ABS",(100*RTD("tos.rtd",,"OPEN_INT","."&amp;M$2&amp;M$1&amp;"C"&amp;$A41)*RTD("tos.rtd",,"DELTA","."&amp;M$2&amp;M$1&amp;"C"&amp;$A41)+100*RTD("tos.rtd",,"OPEN_INT","."&amp;M$2&amp;M$1&amp;"P"&amp;$A41)*RTD("tos.rtd",,"DELTA","."&amp;M$2&amp;M$1&amp;"P"&amp;$A41))/1000,(100*RTD("tos.rtd",,"OPEN_INT","."&amp;M$2&amp;M$1&amp;"C"&amp;$A41)*RTD("tos.rtd",,"DELTA","."&amp;M$2&amp;M$1&amp;"C"&amp;$A41)-100*RTD("tos.rtd",,"OPEN_INT","."&amp;M$2&amp;M$1&amp;"P"&amp;$A41)*RTD("tos.rtd",,"DELTA","."&amp;M$2&amp;M$1&amp;"P"&amp;$A41))/1000),0),IF($A$2="VEX",IFERROR(IF($X$1="ABS",($A$4*$A$4*RTD("tos.rtd",,"VOLUME","."&amp;M$2&amp;M$1&amp;"C"&amp;$A41)*RTD("tos.rtd",,"GAMMA","."&amp;M$2&amp;M$1&amp;"C"&amp;$A41)+$A$4*$A$4*RTD("tos.rtd",,"VOLUME","."&amp;M$2&amp;M$1&amp;"P"&amp;$A41)*RTD("tos.rtd",,"GAMMA","."&amp;M$2&amp;M$1&amp;"P"&amp;$A41))/1000000,($A$4*$A$4*RTD("tos.rtd",,"VOLUME","."&amp;M$2&amp;M$1&amp;"C"&amp;$A41)*RTD("tos.rtd",,"GAMMA","."&amp;M$2&amp;M$1&amp;"C"&amp;$A41)-$A$4*$A$4*RTD("tos.rtd",,"VOLUME","."&amp;M$2&amp;M$1&amp;"P"&amp;$A41)*RTD("tos.rtd",,"GAMMA","."&amp;M$2&amp;M$1&amp;"P"&amp;$A41))/1000000),0),IF($A$2="GEX",IFERROR(IF($X$1="ABS",($A$4*$A$4*RTD("tos.rtd",,"OPEN_INT","."&amp;M$2&amp;M$1&amp;"C"&amp;$A41)*RTD("tos.rtd",,"GAMMA","."&amp;M$2&amp;M$1&amp;"C"&amp;$A41)+$A$4*$A$4*RTD("tos.rtd",,"OPEN_INT","."&amp;M$2&amp;M$1&amp;"P"&amp;$A41)*RTD("tos.rtd",,"GAMMA","."&amp;M$2&amp;M$1&amp;"P"&amp;$A41))/1000000,($A$4*$A$4*RTD("tos.rtd",,"OPEN_INT","."&amp;M$2&amp;M$1&amp;"C"&amp;$A41)*RTD("tos.rtd",,"GAMMA","."&amp;M$2&amp;M$1&amp;"C"&amp;$A41)-$A$4*$A$4*RTD("tos.rtd",,"OPEN_INT","."&amp;M$2&amp;M$1&amp;"P"&amp;$A41)*RTD("tos.rtd",,"GAMMA","."&amp;M$2&amp;M$1&amp;"P"&amp;$A41))/1000000),0),IF($A$2="SKEW",IFERROR(VALUE(IF(RTD("tos.rtd",,"IMPL_VOL","."&amp;M$2&amp;M$1&amp;"P"&amp;$A41)="N/A",0,RTD("tos.rtd",,"IMPL_VOL","."&amp;M$2&amp;M$1&amp;"P"&amp;$A41))),0)-IFERROR(VALUE(IF(RTD("tos.rtd",,"IMPL_VOL","."&amp;M$2&amp;M$1&amp;"C"&amp;$A41)="N/A",0,RTD("tos.rtd",,"IMPL_VOL","."&amp;M$2&amp;M$1&amp;"C"&amp;$A41))),0),IF($A$2="MAXPAIN",IF($A$4&gt;$A41,($A$4-$A41)*IF(RTD("tos.rtd",,"OPEN_INT","."&amp;M$2&amp;M$1&amp;"C"&amp;$A41)="N/A",0,RTD("tos.rtd",,"OPEN_INT","."&amp;M$2&amp;M$1&amp;"C"&amp;$A41)),0)+IF($A$4&lt;$A41,($A$5-$A$4)*IF(RTD("tos.rtd",,"OPEN_INT","."&amp;M$2&amp;M$1&amp;"P"&amp;$A41)="N/A",0,RTD("tos.rtd",,"OPEN_INT","."&amp;M$2&amp;M$1&amp;"P"&amp;$A41)),0),IF($X$1="ABS",IF(RTD("tos.rtd",,$A$2,"."&amp;M$2&amp;M$1&amp;"C"&amp;$A41)="N/A",0,RTD("tos.rtd",,$A$2,"."&amp;M$2&amp;M$1&amp;"C"&amp;$A41))+IF(RTD("tos.rtd",,$A$2,"."&amp;M$2&amp;M$1&amp;"P"&amp;$A41)="N/A",0,RTD("tos.rtd",,$A$2,"."&amp;M$2&amp;M$1&amp;"P"&amp;$A41)),IF(RTD("tos.rtd",,$A$2,"."&amp;M$2&amp;M$1&amp;"C"&amp;$A41)="N/A",0,RTD("tos.rtd",,$A$2,"."&amp;M$2&amp;M$1&amp;"C"&amp;$A41))-IF(RTD("tos.rtd",,$A$2,"."&amp;M$2&amp;M$1&amp;"P"&amp;$A41)="N/A",0,RTD("tos.rtd",,$A$2,"."&amp;M$2&amp;M$1&amp;"P"&amp;$A41))))))))))</f>
        <v>0</v>
      </c>
      <c r="N41" s="12">
        <f ca="1">IF($A$2="PREMIUM_OI",IFERROR(IF($X$1="ABS",(100*RTD("tos.rtd",,"OPEN_INT","."&amp;N$2&amp;N$1&amp;"C"&amp;$A41)*RTD("tos.rtd",,"LAST","."&amp;N$2&amp;N$1&amp;"C"&amp;$A41)+100*RTD("tos.rtd",,"OPEN_INT","."&amp;N$2&amp;N$1&amp;"P"&amp;$A41)*RTD("tos.rtd",,"LAST","."&amp;N$2&amp;N$1&amp;"P"&amp;$A41))/1000000,(100*RTD("tos.rtd",,"OPEN_INT","."&amp;N$2&amp;N$1&amp;"C"&amp;$A41)*RTD("tos.rtd",,"LAST","."&amp;N$2&amp;N$1&amp;"C"&amp;$A41)-100*RTD("tos.rtd",,"OPEN_INT","."&amp;N$2&amp;N$1&amp;"P"&amp;$A41)*RTD("tos.rtd",,"LAST","."&amp;N$2&amp;N$1&amp;"P"&amp;$A41))/1000000),0),IF($A$2="PREMIUM",IFERROR(IF($X$1="ABS",(100*RTD("tos.rtd",,"VOLUME","."&amp;N$2&amp;N$1&amp;"C"&amp;$A41)*RTD("tos.rtd",,"LAST","."&amp;N$2&amp;N$1&amp;"C"&amp;$A41)+100*RTD("tos.rtd",,"VOLUME","."&amp;N$2&amp;N$1&amp;"P"&amp;$A41)*RTD("tos.rtd",,"LAST","."&amp;N$2&amp;N$1&amp;"P"&amp;$A41))/1000000,(100*RTD("tos.rtd",,"VOLUME","."&amp;N$2&amp;N$1&amp;"C"&amp;$A41)*RTD("tos.rtd",,"LAST","."&amp;N$2&amp;N$1&amp;"C"&amp;$A41)-100*RTD("tos.rtd",,"VOLUME","."&amp;N$2&amp;N$1&amp;"P"&amp;$A41)*RTD("tos.rtd",,"LAST","."&amp;N$2&amp;N$1&amp;"P"&amp;$A41))/1000000),0),IF($A$2="DEX",IFERROR(IF($X$1="ABS",(100*RTD("tos.rtd",,"OPEN_INT","."&amp;N$2&amp;N$1&amp;"C"&amp;$A41)*RTD("tos.rtd",,"DELTA","."&amp;N$2&amp;N$1&amp;"C"&amp;$A41)+100*RTD("tos.rtd",,"OPEN_INT","."&amp;N$2&amp;N$1&amp;"P"&amp;$A41)*RTD("tos.rtd",,"DELTA","."&amp;N$2&amp;N$1&amp;"P"&amp;$A41))/1000,(100*RTD("tos.rtd",,"OPEN_INT","."&amp;N$2&amp;N$1&amp;"C"&amp;$A41)*RTD("tos.rtd",,"DELTA","."&amp;N$2&amp;N$1&amp;"C"&amp;$A41)-100*RTD("tos.rtd",,"OPEN_INT","."&amp;N$2&amp;N$1&amp;"P"&amp;$A41)*RTD("tos.rtd",,"DELTA","."&amp;N$2&amp;N$1&amp;"P"&amp;$A41))/1000),0),IF($A$2="VEX",IFERROR(IF($X$1="ABS",($A$4*$A$4*RTD("tos.rtd",,"VOLUME","."&amp;N$2&amp;N$1&amp;"C"&amp;$A41)*RTD("tos.rtd",,"GAMMA","."&amp;N$2&amp;N$1&amp;"C"&amp;$A41)+$A$4*$A$4*RTD("tos.rtd",,"VOLUME","."&amp;N$2&amp;N$1&amp;"P"&amp;$A41)*RTD("tos.rtd",,"GAMMA","."&amp;N$2&amp;N$1&amp;"P"&amp;$A41))/1000000,($A$4*$A$4*RTD("tos.rtd",,"VOLUME","."&amp;N$2&amp;N$1&amp;"C"&amp;$A41)*RTD("tos.rtd",,"GAMMA","."&amp;N$2&amp;N$1&amp;"C"&amp;$A41)-$A$4*$A$4*RTD("tos.rtd",,"VOLUME","."&amp;N$2&amp;N$1&amp;"P"&amp;$A41)*RTD("tos.rtd",,"GAMMA","."&amp;N$2&amp;N$1&amp;"P"&amp;$A41))/1000000),0),IF($A$2="GEX",IFERROR(IF($X$1="ABS",($A$4*$A$4*RTD("tos.rtd",,"OPEN_INT","."&amp;N$2&amp;N$1&amp;"C"&amp;$A41)*RTD("tos.rtd",,"GAMMA","."&amp;N$2&amp;N$1&amp;"C"&amp;$A41)+$A$4*$A$4*RTD("tos.rtd",,"OPEN_INT","."&amp;N$2&amp;N$1&amp;"P"&amp;$A41)*RTD("tos.rtd",,"GAMMA","."&amp;N$2&amp;N$1&amp;"P"&amp;$A41))/1000000,($A$4*$A$4*RTD("tos.rtd",,"OPEN_INT","."&amp;N$2&amp;N$1&amp;"C"&amp;$A41)*RTD("tos.rtd",,"GAMMA","."&amp;N$2&amp;N$1&amp;"C"&amp;$A41)-$A$4*$A$4*RTD("tos.rtd",,"OPEN_INT","."&amp;N$2&amp;N$1&amp;"P"&amp;$A41)*RTD("tos.rtd",,"GAMMA","."&amp;N$2&amp;N$1&amp;"P"&amp;$A41))/1000000),0),IF($A$2="SKEW",IFERROR(VALUE(IF(RTD("tos.rtd",,"IMPL_VOL","."&amp;N$2&amp;N$1&amp;"P"&amp;$A41)="N/A",0,RTD("tos.rtd",,"IMPL_VOL","."&amp;N$2&amp;N$1&amp;"P"&amp;$A41))),0)-IFERROR(VALUE(IF(RTD("tos.rtd",,"IMPL_VOL","."&amp;N$2&amp;N$1&amp;"C"&amp;$A41)="N/A",0,RTD("tos.rtd",,"IMPL_VOL","."&amp;N$2&amp;N$1&amp;"C"&amp;$A41))),0),IF($A$2="MAXPAIN",IF($A$4&gt;$A41,($A$4-$A41)*IF(RTD("tos.rtd",,"OPEN_INT","."&amp;N$2&amp;N$1&amp;"C"&amp;$A41)="N/A",0,RTD("tos.rtd",,"OPEN_INT","."&amp;N$2&amp;N$1&amp;"C"&amp;$A41)),0)+IF($A$4&lt;$A41,($A$5-$A$4)*IF(RTD("tos.rtd",,"OPEN_INT","."&amp;N$2&amp;N$1&amp;"P"&amp;$A41)="N/A",0,RTD("tos.rtd",,"OPEN_INT","."&amp;N$2&amp;N$1&amp;"P"&amp;$A41)),0),IF($X$1="ABS",IF(RTD("tos.rtd",,$A$2,"."&amp;N$2&amp;N$1&amp;"C"&amp;$A41)="N/A",0,RTD("tos.rtd",,$A$2,"."&amp;N$2&amp;N$1&amp;"C"&amp;$A41))+IF(RTD("tos.rtd",,$A$2,"."&amp;N$2&amp;N$1&amp;"P"&amp;$A41)="N/A",0,RTD("tos.rtd",,$A$2,"."&amp;N$2&amp;N$1&amp;"P"&amp;$A41)),IF(RTD("tos.rtd",,$A$2,"."&amp;N$2&amp;N$1&amp;"C"&amp;$A41)="N/A",0,RTD("tos.rtd",,$A$2,"."&amp;N$2&amp;N$1&amp;"C"&amp;$A41))-IF(RTD("tos.rtd",,$A$2,"."&amp;N$2&amp;N$1&amp;"P"&amp;$A41)="N/A",0,RTD("tos.rtd",,$A$2,"."&amp;N$2&amp;N$1&amp;"P"&amp;$A41))))))))))</f>
        <v>0</v>
      </c>
      <c r="O41" s="12">
        <f ca="1">IF($A$2="PREMIUM_OI",IFERROR(IF($X$1="ABS",(100*RTD("tos.rtd",,"OPEN_INT","."&amp;O$2&amp;O$1&amp;"C"&amp;$A41)*RTD("tos.rtd",,"LAST","."&amp;O$2&amp;O$1&amp;"C"&amp;$A41)+100*RTD("tos.rtd",,"OPEN_INT","."&amp;O$2&amp;O$1&amp;"P"&amp;$A41)*RTD("tos.rtd",,"LAST","."&amp;O$2&amp;O$1&amp;"P"&amp;$A41))/1000000,(100*RTD("tos.rtd",,"OPEN_INT","."&amp;O$2&amp;O$1&amp;"C"&amp;$A41)*RTD("tos.rtd",,"LAST","."&amp;O$2&amp;O$1&amp;"C"&amp;$A41)-100*RTD("tos.rtd",,"OPEN_INT","."&amp;O$2&amp;O$1&amp;"P"&amp;$A41)*RTD("tos.rtd",,"LAST","."&amp;O$2&amp;O$1&amp;"P"&amp;$A41))/1000000),0),IF($A$2="PREMIUM",IFERROR(IF($X$1="ABS",(100*RTD("tos.rtd",,"VOLUME","."&amp;O$2&amp;O$1&amp;"C"&amp;$A41)*RTD("tos.rtd",,"LAST","."&amp;O$2&amp;O$1&amp;"C"&amp;$A41)+100*RTD("tos.rtd",,"VOLUME","."&amp;O$2&amp;O$1&amp;"P"&amp;$A41)*RTD("tos.rtd",,"LAST","."&amp;O$2&amp;O$1&amp;"P"&amp;$A41))/1000000,(100*RTD("tos.rtd",,"VOLUME","."&amp;O$2&amp;O$1&amp;"C"&amp;$A41)*RTD("tos.rtd",,"LAST","."&amp;O$2&amp;O$1&amp;"C"&amp;$A41)-100*RTD("tos.rtd",,"VOLUME","."&amp;O$2&amp;O$1&amp;"P"&amp;$A41)*RTD("tos.rtd",,"LAST","."&amp;O$2&amp;O$1&amp;"P"&amp;$A41))/1000000),0),IF($A$2="DEX",IFERROR(IF($X$1="ABS",(100*RTD("tos.rtd",,"OPEN_INT","."&amp;O$2&amp;O$1&amp;"C"&amp;$A41)*RTD("tos.rtd",,"DELTA","."&amp;O$2&amp;O$1&amp;"C"&amp;$A41)+100*RTD("tos.rtd",,"OPEN_INT","."&amp;O$2&amp;O$1&amp;"P"&amp;$A41)*RTD("tos.rtd",,"DELTA","."&amp;O$2&amp;O$1&amp;"P"&amp;$A41))/1000,(100*RTD("tos.rtd",,"OPEN_INT","."&amp;O$2&amp;O$1&amp;"C"&amp;$A41)*RTD("tos.rtd",,"DELTA","."&amp;O$2&amp;O$1&amp;"C"&amp;$A41)-100*RTD("tos.rtd",,"OPEN_INT","."&amp;O$2&amp;O$1&amp;"P"&amp;$A41)*RTD("tos.rtd",,"DELTA","."&amp;O$2&amp;O$1&amp;"P"&amp;$A41))/1000),0),IF($A$2="VEX",IFERROR(IF($X$1="ABS",($A$4*$A$4*RTD("tos.rtd",,"VOLUME","."&amp;O$2&amp;O$1&amp;"C"&amp;$A41)*RTD("tos.rtd",,"GAMMA","."&amp;O$2&amp;O$1&amp;"C"&amp;$A41)+$A$4*$A$4*RTD("tos.rtd",,"VOLUME","."&amp;O$2&amp;O$1&amp;"P"&amp;$A41)*RTD("tos.rtd",,"GAMMA","."&amp;O$2&amp;O$1&amp;"P"&amp;$A41))/1000000,($A$4*$A$4*RTD("tos.rtd",,"VOLUME","."&amp;O$2&amp;O$1&amp;"C"&amp;$A41)*RTD("tos.rtd",,"GAMMA","."&amp;O$2&amp;O$1&amp;"C"&amp;$A41)-$A$4*$A$4*RTD("tos.rtd",,"VOLUME","."&amp;O$2&amp;O$1&amp;"P"&amp;$A41)*RTD("tos.rtd",,"GAMMA","."&amp;O$2&amp;O$1&amp;"P"&amp;$A41))/1000000),0),IF($A$2="GEX",IFERROR(IF($X$1="ABS",($A$4*$A$4*RTD("tos.rtd",,"OPEN_INT","."&amp;O$2&amp;O$1&amp;"C"&amp;$A41)*RTD("tos.rtd",,"GAMMA","."&amp;O$2&amp;O$1&amp;"C"&amp;$A41)+$A$4*$A$4*RTD("tos.rtd",,"OPEN_INT","."&amp;O$2&amp;O$1&amp;"P"&amp;$A41)*RTD("tos.rtd",,"GAMMA","."&amp;O$2&amp;O$1&amp;"P"&amp;$A41))/1000000,($A$4*$A$4*RTD("tos.rtd",,"OPEN_INT","."&amp;O$2&amp;O$1&amp;"C"&amp;$A41)*RTD("tos.rtd",,"GAMMA","."&amp;O$2&amp;O$1&amp;"C"&amp;$A41)-$A$4*$A$4*RTD("tos.rtd",,"OPEN_INT","."&amp;O$2&amp;O$1&amp;"P"&amp;$A41)*RTD("tos.rtd",,"GAMMA","."&amp;O$2&amp;O$1&amp;"P"&amp;$A41))/1000000),0),IF($A$2="SKEW",IFERROR(VALUE(IF(RTD("tos.rtd",,"IMPL_VOL","."&amp;O$2&amp;O$1&amp;"P"&amp;$A41)="N/A",0,RTD("tos.rtd",,"IMPL_VOL","."&amp;O$2&amp;O$1&amp;"P"&amp;$A41))),0)-IFERROR(VALUE(IF(RTD("tos.rtd",,"IMPL_VOL","."&amp;O$2&amp;O$1&amp;"C"&amp;$A41)="N/A",0,RTD("tos.rtd",,"IMPL_VOL","."&amp;O$2&amp;O$1&amp;"C"&amp;$A41))),0),IF($A$2="MAXPAIN",IF($A$4&gt;$A41,($A$4-$A41)*IF(RTD("tos.rtd",,"OPEN_INT","."&amp;O$2&amp;O$1&amp;"C"&amp;$A41)="N/A",0,RTD("tos.rtd",,"OPEN_INT","."&amp;O$2&amp;O$1&amp;"C"&amp;$A41)),0)+IF($A$4&lt;$A41,($A$5-$A$4)*IF(RTD("tos.rtd",,"OPEN_INT","."&amp;O$2&amp;O$1&amp;"P"&amp;$A41)="N/A",0,RTD("tos.rtd",,"OPEN_INT","."&amp;O$2&amp;O$1&amp;"P"&amp;$A41)),0),IF($X$1="ABS",IF(RTD("tos.rtd",,$A$2,"."&amp;O$2&amp;O$1&amp;"C"&amp;$A41)="N/A",0,RTD("tos.rtd",,$A$2,"."&amp;O$2&amp;O$1&amp;"C"&amp;$A41))+IF(RTD("tos.rtd",,$A$2,"."&amp;O$2&amp;O$1&amp;"P"&amp;$A41)="N/A",0,RTD("tos.rtd",,$A$2,"."&amp;O$2&amp;O$1&amp;"P"&amp;$A41)),IF(RTD("tos.rtd",,$A$2,"."&amp;O$2&amp;O$1&amp;"C"&amp;$A41)="N/A",0,RTD("tos.rtd",,$A$2,"."&amp;O$2&amp;O$1&amp;"C"&amp;$A41))-IF(RTD("tos.rtd",,$A$2,"."&amp;O$2&amp;O$1&amp;"P"&amp;$A41)="N/A",0,RTD("tos.rtd",,$A$2,"."&amp;O$2&amp;O$1&amp;"P"&amp;$A41))))))))))</f>
        <v>0</v>
      </c>
      <c r="P41" s="12">
        <f ca="1">IF($A$2="PREMIUM_OI",IFERROR(IF($X$1="ABS",(100*RTD("tos.rtd",,"OPEN_INT","."&amp;P$2&amp;P$1&amp;"C"&amp;$A41)*RTD("tos.rtd",,"LAST","."&amp;P$2&amp;P$1&amp;"C"&amp;$A41)+100*RTD("tos.rtd",,"OPEN_INT","."&amp;P$2&amp;P$1&amp;"P"&amp;$A41)*RTD("tos.rtd",,"LAST","."&amp;P$2&amp;P$1&amp;"P"&amp;$A41))/1000000,(100*RTD("tos.rtd",,"OPEN_INT","."&amp;P$2&amp;P$1&amp;"C"&amp;$A41)*RTD("tos.rtd",,"LAST","."&amp;P$2&amp;P$1&amp;"C"&amp;$A41)-100*RTD("tos.rtd",,"OPEN_INT","."&amp;P$2&amp;P$1&amp;"P"&amp;$A41)*RTD("tos.rtd",,"LAST","."&amp;P$2&amp;P$1&amp;"P"&amp;$A41))/1000000),0),IF($A$2="PREMIUM",IFERROR(IF($X$1="ABS",(100*RTD("tos.rtd",,"VOLUME","."&amp;P$2&amp;P$1&amp;"C"&amp;$A41)*RTD("tos.rtd",,"LAST","."&amp;P$2&amp;P$1&amp;"C"&amp;$A41)+100*RTD("tos.rtd",,"VOLUME","."&amp;P$2&amp;P$1&amp;"P"&amp;$A41)*RTD("tos.rtd",,"LAST","."&amp;P$2&amp;P$1&amp;"P"&amp;$A41))/1000000,(100*RTD("tos.rtd",,"VOLUME","."&amp;P$2&amp;P$1&amp;"C"&amp;$A41)*RTD("tos.rtd",,"LAST","."&amp;P$2&amp;P$1&amp;"C"&amp;$A41)-100*RTD("tos.rtd",,"VOLUME","."&amp;P$2&amp;P$1&amp;"P"&amp;$A41)*RTD("tos.rtd",,"LAST","."&amp;P$2&amp;P$1&amp;"P"&amp;$A41))/1000000),0),IF($A$2="DEX",IFERROR(IF($X$1="ABS",(100*RTD("tos.rtd",,"OPEN_INT","."&amp;P$2&amp;P$1&amp;"C"&amp;$A41)*RTD("tos.rtd",,"DELTA","."&amp;P$2&amp;P$1&amp;"C"&amp;$A41)+100*RTD("tos.rtd",,"OPEN_INT","."&amp;P$2&amp;P$1&amp;"P"&amp;$A41)*RTD("tos.rtd",,"DELTA","."&amp;P$2&amp;P$1&amp;"P"&amp;$A41))/1000,(100*RTD("tos.rtd",,"OPEN_INT","."&amp;P$2&amp;P$1&amp;"C"&amp;$A41)*RTD("tos.rtd",,"DELTA","."&amp;P$2&amp;P$1&amp;"C"&amp;$A41)-100*RTD("tos.rtd",,"OPEN_INT","."&amp;P$2&amp;P$1&amp;"P"&amp;$A41)*RTD("tos.rtd",,"DELTA","."&amp;P$2&amp;P$1&amp;"P"&amp;$A41))/1000),0),IF($A$2="VEX",IFERROR(IF($X$1="ABS",($A$4*$A$4*RTD("tos.rtd",,"VOLUME","."&amp;P$2&amp;P$1&amp;"C"&amp;$A41)*RTD("tos.rtd",,"GAMMA","."&amp;P$2&amp;P$1&amp;"C"&amp;$A41)+$A$4*$A$4*RTD("tos.rtd",,"VOLUME","."&amp;P$2&amp;P$1&amp;"P"&amp;$A41)*RTD("tos.rtd",,"GAMMA","."&amp;P$2&amp;P$1&amp;"P"&amp;$A41))/1000000,($A$4*$A$4*RTD("tos.rtd",,"VOLUME","."&amp;P$2&amp;P$1&amp;"C"&amp;$A41)*RTD("tos.rtd",,"GAMMA","."&amp;P$2&amp;P$1&amp;"C"&amp;$A41)-$A$4*$A$4*RTD("tos.rtd",,"VOLUME","."&amp;P$2&amp;P$1&amp;"P"&amp;$A41)*RTD("tos.rtd",,"GAMMA","."&amp;P$2&amp;P$1&amp;"P"&amp;$A41))/1000000),0),IF($A$2="GEX",IFERROR(IF($X$1="ABS",($A$4*$A$4*RTD("tos.rtd",,"OPEN_INT","."&amp;P$2&amp;P$1&amp;"C"&amp;$A41)*RTD("tos.rtd",,"GAMMA","."&amp;P$2&amp;P$1&amp;"C"&amp;$A41)+$A$4*$A$4*RTD("tos.rtd",,"OPEN_INT","."&amp;P$2&amp;P$1&amp;"P"&amp;$A41)*RTD("tos.rtd",,"GAMMA","."&amp;P$2&amp;P$1&amp;"P"&amp;$A41))/1000000,($A$4*$A$4*RTD("tos.rtd",,"OPEN_INT","."&amp;P$2&amp;P$1&amp;"C"&amp;$A41)*RTD("tos.rtd",,"GAMMA","."&amp;P$2&amp;P$1&amp;"C"&amp;$A41)-$A$4*$A$4*RTD("tos.rtd",,"OPEN_INT","."&amp;P$2&amp;P$1&amp;"P"&amp;$A41)*RTD("tos.rtd",,"GAMMA","."&amp;P$2&amp;P$1&amp;"P"&amp;$A41))/1000000),0),IF($A$2="SKEW",IFERROR(VALUE(IF(RTD("tos.rtd",,"IMPL_VOL","."&amp;P$2&amp;P$1&amp;"P"&amp;$A41)="N/A",0,RTD("tos.rtd",,"IMPL_VOL","."&amp;P$2&amp;P$1&amp;"P"&amp;$A41))),0)-IFERROR(VALUE(IF(RTD("tos.rtd",,"IMPL_VOL","."&amp;P$2&amp;P$1&amp;"C"&amp;$A41)="N/A",0,RTD("tos.rtd",,"IMPL_VOL","."&amp;P$2&amp;P$1&amp;"C"&amp;$A41))),0),IF($A$2="MAXPAIN",IF($A$4&gt;$A41,($A$4-$A41)*IF(RTD("tos.rtd",,"OPEN_INT","."&amp;P$2&amp;P$1&amp;"C"&amp;$A41)="N/A",0,RTD("tos.rtd",,"OPEN_INT","."&amp;P$2&amp;P$1&amp;"C"&amp;$A41)),0)+IF($A$4&lt;$A41,($A$5-$A$4)*IF(RTD("tos.rtd",,"OPEN_INT","."&amp;P$2&amp;P$1&amp;"P"&amp;$A41)="N/A",0,RTD("tos.rtd",,"OPEN_INT","."&amp;P$2&amp;P$1&amp;"P"&amp;$A41)),0),IF($X$1="ABS",IF(RTD("tos.rtd",,$A$2,"."&amp;P$2&amp;P$1&amp;"C"&amp;$A41)="N/A",0,RTD("tos.rtd",,$A$2,"."&amp;P$2&amp;P$1&amp;"C"&amp;$A41))+IF(RTD("tos.rtd",,$A$2,"."&amp;P$2&amp;P$1&amp;"P"&amp;$A41)="N/A",0,RTD("tos.rtd",,$A$2,"."&amp;P$2&amp;P$1&amp;"P"&amp;$A41)),IF(RTD("tos.rtd",,$A$2,"."&amp;P$2&amp;P$1&amp;"C"&amp;$A41)="N/A",0,RTD("tos.rtd",,$A$2,"."&amp;P$2&amp;P$1&amp;"C"&amp;$A41))-IF(RTD("tos.rtd",,$A$2,"."&amp;P$2&amp;P$1&amp;"P"&amp;$A41)="N/A",0,RTD("tos.rtd",,$A$2,"."&amp;P$2&amp;P$1&amp;"P"&amp;$A41))))))))))</f>
        <v>0</v>
      </c>
      <c r="Q41" s="12">
        <f ca="1">IF($A$2="PREMIUM_OI",IFERROR(IF($X$1="ABS",(100*RTD("tos.rtd",,"OPEN_INT","."&amp;Q$2&amp;Q$1&amp;"C"&amp;$A41)*RTD("tos.rtd",,"LAST","."&amp;Q$2&amp;Q$1&amp;"C"&amp;$A41)+100*RTD("tos.rtd",,"OPEN_INT","."&amp;Q$2&amp;Q$1&amp;"P"&amp;$A41)*RTD("tos.rtd",,"LAST","."&amp;Q$2&amp;Q$1&amp;"P"&amp;$A41))/1000000,(100*RTD("tos.rtd",,"OPEN_INT","."&amp;Q$2&amp;Q$1&amp;"C"&amp;$A41)*RTD("tos.rtd",,"LAST","."&amp;Q$2&amp;Q$1&amp;"C"&amp;$A41)-100*RTD("tos.rtd",,"OPEN_INT","."&amp;Q$2&amp;Q$1&amp;"P"&amp;$A41)*RTD("tos.rtd",,"LAST","."&amp;Q$2&amp;Q$1&amp;"P"&amp;$A41))/1000000),0),IF($A$2="PREMIUM",IFERROR(IF($X$1="ABS",(100*RTD("tos.rtd",,"VOLUME","."&amp;Q$2&amp;Q$1&amp;"C"&amp;$A41)*RTD("tos.rtd",,"LAST","."&amp;Q$2&amp;Q$1&amp;"C"&amp;$A41)+100*RTD("tos.rtd",,"VOLUME","."&amp;Q$2&amp;Q$1&amp;"P"&amp;$A41)*RTD("tos.rtd",,"LAST","."&amp;Q$2&amp;Q$1&amp;"P"&amp;$A41))/1000000,(100*RTD("tos.rtd",,"VOLUME","."&amp;Q$2&amp;Q$1&amp;"C"&amp;$A41)*RTD("tos.rtd",,"LAST","."&amp;Q$2&amp;Q$1&amp;"C"&amp;$A41)-100*RTD("tos.rtd",,"VOLUME","."&amp;Q$2&amp;Q$1&amp;"P"&amp;$A41)*RTD("tos.rtd",,"LAST","."&amp;Q$2&amp;Q$1&amp;"P"&amp;$A41))/1000000),0),IF($A$2="DEX",IFERROR(IF($X$1="ABS",(100*RTD("tos.rtd",,"OPEN_INT","."&amp;Q$2&amp;Q$1&amp;"C"&amp;$A41)*RTD("tos.rtd",,"DELTA","."&amp;Q$2&amp;Q$1&amp;"C"&amp;$A41)+100*RTD("tos.rtd",,"OPEN_INT","."&amp;Q$2&amp;Q$1&amp;"P"&amp;$A41)*RTD("tos.rtd",,"DELTA","."&amp;Q$2&amp;Q$1&amp;"P"&amp;$A41))/1000,(100*RTD("tos.rtd",,"OPEN_INT","."&amp;Q$2&amp;Q$1&amp;"C"&amp;$A41)*RTD("tos.rtd",,"DELTA","."&amp;Q$2&amp;Q$1&amp;"C"&amp;$A41)-100*RTD("tos.rtd",,"OPEN_INT","."&amp;Q$2&amp;Q$1&amp;"P"&amp;$A41)*RTD("tos.rtd",,"DELTA","."&amp;Q$2&amp;Q$1&amp;"P"&amp;$A41))/1000),0),IF($A$2="VEX",IFERROR(IF($X$1="ABS",($A$4*$A$4*RTD("tos.rtd",,"VOLUME","."&amp;Q$2&amp;Q$1&amp;"C"&amp;$A41)*RTD("tos.rtd",,"GAMMA","."&amp;Q$2&amp;Q$1&amp;"C"&amp;$A41)+$A$4*$A$4*RTD("tos.rtd",,"VOLUME","."&amp;Q$2&amp;Q$1&amp;"P"&amp;$A41)*RTD("tos.rtd",,"GAMMA","."&amp;Q$2&amp;Q$1&amp;"P"&amp;$A41))/1000000,($A$4*$A$4*RTD("tos.rtd",,"VOLUME","."&amp;Q$2&amp;Q$1&amp;"C"&amp;$A41)*RTD("tos.rtd",,"GAMMA","."&amp;Q$2&amp;Q$1&amp;"C"&amp;$A41)-$A$4*$A$4*RTD("tos.rtd",,"VOLUME","."&amp;Q$2&amp;Q$1&amp;"P"&amp;$A41)*RTD("tos.rtd",,"GAMMA","."&amp;Q$2&amp;Q$1&amp;"P"&amp;$A41))/1000000),0),IF($A$2="GEX",IFERROR(IF($X$1="ABS",($A$4*$A$4*RTD("tos.rtd",,"OPEN_INT","."&amp;Q$2&amp;Q$1&amp;"C"&amp;$A41)*RTD("tos.rtd",,"GAMMA","."&amp;Q$2&amp;Q$1&amp;"C"&amp;$A41)+$A$4*$A$4*RTD("tos.rtd",,"OPEN_INT","."&amp;Q$2&amp;Q$1&amp;"P"&amp;$A41)*RTD("tos.rtd",,"GAMMA","."&amp;Q$2&amp;Q$1&amp;"P"&amp;$A41))/1000000,($A$4*$A$4*RTD("tos.rtd",,"OPEN_INT","."&amp;Q$2&amp;Q$1&amp;"C"&amp;$A41)*RTD("tos.rtd",,"GAMMA","."&amp;Q$2&amp;Q$1&amp;"C"&amp;$A41)-$A$4*$A$4*RTD("tos.rtd",,"OPEN_INT","."&amp;Q$2&amp;Q$1&amp;"P"&amp;$A41)*RTD("tos.rtd",,"GAMMA","."&amp;Q$2&amp;Q$1&amp;"P"&amp;$A41))/1000000),0),IF($A$2="SKEW",IFERROR(VALUE(IF(RTD("tos.rtd",,"IMPL_VOL","."&amp;Q$2&amp;Q$1&amp;"P"&amp;$A41)="N/A",0,RTD("tos.rtd",,"IMPL_VOL","."&amp;Q$2&amp;Q$1&amp;"P"&amp;$A41))),0)-IFERROR(VALUE(IF(RTD("tos.rtd",,"IMPL_VOL","."&amp;Q$2&amp;Q$1&amp;"C"&amp;$A41)="N/A",0,RTD("tos.rtd",,"IMPL_VOL","."&amp;Q$2&amp;Q$1&amp;"C"&amp;$A41))),0),IF($A$2="MAXPAIN",IF($A$4&gt;$A41,($A$4-$A41)*IF(RTD("tos.rtd",,"OPEN_INT","."&amp;Q$2&amp;Q$1&amp;"C"&amp;$A41)="N/A",0,RTD("tos.rtd",,"OPEN_INT","."&amp;Q$2&amp;Q$1&amp;"C"&amp;$A41)),0)+IF($A$4&lt;$A41,($A$5-$A$4)*IF(RTD("tos.rtd",,"OPEN_INT","."&amp;Q$2&amp;Q$1&amp;"P"&amp;$A41)="N/A",0,RTD("tos.rtd",,"OPEN_INT","."&amp;Q$2&amp;Q$1&amp;"P"&amp;$A41)),0),IF($X$1="ABS",IF(RTD("tos.rtd",,$A$2,"."&amp;Q$2&amp;Q$1&amp;"C"&amp;$A41)="N/A",0,RTD("tos.rtd",,$A$2,"."&amp;Q$2&amp;Q$1&amp;"C"&amp;$A41))+IF(RTD("tos.rtd",,$A$2,"."&amp;Q$2&amp;Q$1&amp;"P"&amp;$A41)="N/A",0,RTD("tos.rtd",,$A$2,"."&amp;Q$2&amp;Q$1&amp;"P"&amp;$A41)),IF(RTD("tos.rtd",,$A$2,"."&amp;Q$2&amp;Q$1&amp;"C"&amp;$A41)="N/A",0,RTD("tos.rtd",,$A$2,"."&amp;Q$2&amp;Q$1&amp;"C"&amp;$A41))-IF(RTD("tos.rtd",,$A$2,"."&amp;Q$2&amp;Q$1&amp;"P"&amp;$A41)="N/A",0,RTD("tos.rtd",,$A$2,"."&amp;Q$2&amp;Q$1&amp;"P"&amp;$A41))))))))))</f>
        <v>0</v>
      </c>
      <c r="R41" s="12">
        <f ca="1">IF($A$2="PREMIUM_OI",IFERROR(IF($X$1="ABS",(100*RTD("tos.rtd",,"OPEN_INT","."&amp;R$2&amp;R$1&amp;"C"&amp;$A41)*RTD("tos.rtd",,"LAST","."&amp;R$2&amp;R$1&amp;"C"&amp;$A41)+100*RTD("tos.rtd",,"OPEN_INT","."&amp;R$2&amp;R$1&amp;"P"&amp;$A41)*RTD("tos.rtd",,"LAST","."&amp;R$2&amp;R$1&amp;"P"&amp;$A41))/1000000,(100*RTD("tos.rtd",,"OPEN_INT","."&amp;R$2&amp;R$1&amp;"C"&amp;$A41)*RTD("tos.rtd",,"LAST","."&amp;R$2&amp;R$1&amp;"C"&amp;$A41)-100*RTD("tos.rtd",,"OPEN_INT","."&amp;R$2&amp;R$1&amp;"P"&amp;$A41)*RTD("tos.rtd",,"LAST","."&amp;R$2&amp;R$1&amp;"P"&amp;$A41))/1000000),0),IF($A$2="PREMIUM",IFERROR(IF($X$1="ABS",(100*RTD("tos.rtd",,"VOLUME","."&amp;R$2&amp;R$1&amp;"C"&amp;$A41)*RTD("tos.rtd",,"LAST","."&amp;R$2&amp;R$1&amp;"C"&amp;$A41)+100*RTD("tos.rtd",,"VOLUME","."&amp;R$2&amp;R$1&amp;"P"&amp;$A41)*RTD("tos.rtd",,"LAST","."&amp;R$2&amp;R$1&amp;"P"&amp;$A41))/1000000,(100*RTD("tos.rtd",,"VOLUME","."&amp;R$2&amp;R$1&amp;"C"&amp;$A41)*RTD("tos.rtd",,"LAST","."&amp;R$2&amp;R$1&amp;"C"&amp;$A41)-100*RTD("tos.rtd",,"VOLUME","."&amp;R$2&amp;R$1&amp;"P"&amp;$A41)*RTD("tos.rtd",,"LAST","."&amp;R$2&amp;R$1&amp;"P"&amp;$A41))/1000000),0),IF($A$2="DEX",IFERROR(IF($X$1="ABS",(100*RTD("tos.rtd",,"OPEN_INT","."&amp;R$2&amp;R$1&amp;"C"&amp;$A41)*RTD("tos.rtd",,"DELTA","."&amp;R$2&amp;R$1&amp;"C"&amp;$A41)+100*RTD("tos.rtd",,"OPEN_INT","."&amp;R$2&amp;R$1&amp;"P"&amp;$A41)*RTD("tos.rtd",,"DELTA","."&amp;R$2&amp;R$1&amp;"P"&amp;$A41))/1000,(100*RTD("tos.rtd",,"OPEN_INT","."&amp;R$2&amp;R$1&amp;"C"&amp;$A41)*RTD("tos.rtd",,"DELTA","."&amp;R$2&amp;R$1&amp;"C"&amp;$A41)-100*RTD("tos.rtd",,"OPEN_INT","."&amp;R$2&amp;R$1&amp;"P"&amp;$A41)*RTD("tos.rtd",,"DELTA","."&amp;R$2&amp;R$1&amp;"P"&amp;$A41))/1000),0),IF($A$2="VEX",IFERROR(IF($X$1="ABS",($A$4*$A$4*RTD("tos.rtd",,"VOLUME","."&amp;R$2&amp;R$1&amp;"C"&amp;$A41)*RTD("tos.rtd",,"GAMMA","."&amp;R$2&amp;R$1&amp;"C"&amp;$A41)+$A$4*$A$4*RTD("tos.rtd",,"VOLUME","."&amp;R$2&amp;R$1&amp;"P"&amp;$A41)*RTD("tos.rtd",,"GAMMA","."&amp;R$2&amp;R$1&amp;"P"&amp;$A41))/1000000,($A$4*$A$4*RTD("tos.rtd",,"VOLUME","."&amp;R$2&amp;R$1&amp;"C"&amp;$A41)*RTD("tos.rtd",,"GAMMA","."&amp;R$2&amp;R$1&amp;"C"&amp;$A41)-$A$4*$A$4*RTD("tos.rtd",,"VOLUME","."&amp;R$2&amp;R$1&amp;"P"&amp;$A41)*RTD("tos.rtd",,"GAMMA","."&amp;R$2&amp;R$1&amp;"P"&amp;$A41))/1000000),0),IF($A$2="GEX",IFERROR(IF($X$1="ABS",($A$4*$A$4*RTD("tos.rtd",,"OPEN_INT","."&amp;R$2&amp;R$1&amp;"C"&amp;$A41)*RTD("tos.rtd",,"GAMMA","."&amp;R$2&amp;R$1&amp;"C"&amp;$A41)+$A$4*$A$4*RTD("tos.rtd",,"OPEN_INT","."&amp;R$2&amp;R$1&amp;"P"&amp;$A41)*RTD("tos.rtd",,"GAMMA","."&amp;R$2&amp;R$1&amp;"P"&amp;$A41))/1000000,($A$4*$A$4*RTD("tos.rtd",,"OPEN_INT","."&amp;R$2&amp;R$1&amp;"C"&amp;$A41)*RTD("tos.rtd",,"GAMMA","."&amp;R$2&amp;R$1&amp;"C"&amp;$A41)-$A$4*$A$4*RTD("tos.rtd",,"OPEN_INT","."&amp;R$2&amp;R$1&amp;"P"&amp;$A41)*RTD("tos.rtd",,"GAMMA","."&amp;R$2&amp;R$1&amp;"P"&amp;$A41))/1000000),0),IF($A$2="SKEW",IFERROR(VALUE(IF(RTD("tos.rtd",,"IMPL_VOL","."&amp;R$2&amp;R$1&amp;"P"&amp;$A41)="N/A",0,RTD("tos.rtd",,"IMPL_VOL","."&amp;R$2&amp;R$1&amp;"P"&amp;$A41))),0)-IFERROR(VALUE(IF(RTD("tos.rtd",,"IMPL_VOL","."&amp;R$2&amp;R$1&amp;"C"&amp;$A41)="N/A",0,RTD("tos.rtd",,"IMPL_VOL","."&amp;R$2&amp;R$1&amp;"C"&amp;$A41))),0),IF($A$2="MAXPAIN",IF($A$4&gt;$A41,($A$4-$A41)*IF(RTD("tos.rtd",,"OPEN_INT","."&amp;R$2&amp;R$1&amp;"C"&amp;$A41)="N/A",0,RTD("tos.rtd",,"OPEN_INT","."&amp;R$2&amp;R$1&amp;"C"&amp;$A41)),0)+IF($A$4&lt;$A41,($A$5-$A$4)*IF(RTD("tos.rtd",,"OPEN_INT","."&amp;R$2&amp;R$1&amp;"P"&amp;$A41)="N/A",0,RTD("tos.rtd",,"OPEN_INT","."&amp;R$2&amp;R$1&amp;"P"&amp;$A41)),0),IF($X$1="ABS",IF(RTD("tos.rtd",,$A$2,"."&amp;R$2&amp;R$1&amp;"C"&amp;$A41)="N/A",0,RTD("tos.rtd",,$A$2,"."&amp;R$2&amp;R$1&amp;"C"&amp;$A41))+IF(RTD("tos.rtd",,$A$2,"."&amp;R$2&amp;R$1&amp;"P"&amp;$A41)="N/A",0,RTD("tos.rtd",,$A$2,"."&amp;R$2&amp;R$1&amp;"P"&amp;$A41)),IF(RTD("tos.rtd",,$A$2,"."&amp;R$2&amp;R$1&amp;"C"&amp;$A41)="N/A",0,RTD("tos.rtd",,$A$2,"."&amp;R$2&amp;R$1&amp;"C"&amp;$A41))-IF(RTD("tos.rtd",,$A$2,"."&amp;R$2&amp;R$1&amp;"P"&amp;$A41)="N/A",0,RTD("tos.rtd",,$A$2,"."&amp;R$2&amp;R$1&amp;"P"&amp;$A41))))))))))</f>
        <v>0</v>
      </c>
      <c r="S41" s="12">
        <f ca="1">IF($A$2="PREMIUM_OI",IFERROR(IF($X$1="ABS",(100*RTD("tos.rtd",,"OPEN_INT","."&amp;S$2&amp;S$1&amp;"C"&amp;$A41)*RTD("tos.rtd",,"LAST","."&amp;S$2&amp;S$1&amp;"C"&amp;$A41)+100*RTD("tos.rtd",,"OPEN_INT","."&amp;S$2&amp;S$1&amp;"P"&amp;$A41)*RTD("tos.rtd",,"LAST","."&amp;S$2&amp;S$1&amp;"P"&amp;$A41))/1000000,(100*RTD("tos.rtd",,"OPEN_INT","."&amp;S$2&amp;S$1&amp;"C"&amp;$A41)*RTD("tos.rtd",,"LAST","."&amp;S$2&amp;S$1&amp;"C"&amp;$A41)-100*RTD("tos.rtd",,"OPEN_INT","."&amp;S$2&amp;S$1&amp;"P"&amp;$A41)*RTD("tos.rtd",,"LAST","."&amp;S$2&amp;S$1&amp;"P"&amp;$A41))/1000000),0),IF($A$2="PREMIUM",IFERROR(IF($X$1="ABS",(100*RTD("tos.rtd",,"VOLUME","."&amp;S$2&amp;S$1&amp;"C"&amp;$A41)*RTD("tos.rtd",,"LAST","."&amp;S$2&amp;S$1&amp;"C"&amp;$A41)+100*RTD("tos.rtd",,"VOLUME","."&amp;S$2&amp;S$1&amp;"P"&amp;$A41)*RTD("tos.rtd",,"LAST","."&amp;S$2&amp;S$1&amp;"P"&amp;$A41))/1000000,(100*RTD("tos.rtd",,"VOLUME","."&amp;S$2&amp;S$1&amp;"C"&amp;$A41)*RTD("tos.rtd",,"LAST","."&amp;S$2&amp;S$1&amp;"C"&amp;$A41)-100*RTD("tos.rtd",,"VOLUME","."&amp;S$2&amp;S$1&amp;"P"&amp;$A41)*RTD("tos.rtd",,"LAST","."&amp;S$2&amp;S$1&amp;"P"&amp;$A41))/1000000),0),IF($A$2="DEX",IFERROR(IF($X$1="ABS",(100*RTD("tos.rtd",,"OPEN_INT","."&amp;S$2&amp;S$1&amp;"C"&amp;$A41)*RTD("tos.rtd",,"DELTA","."&amp;S$2&amp;S$1&amp;"C"&amp;$A41)+100*RTD("tos.rtd",,"OPEN_INT","."&amp;S$2&amp;S$1&amp;"P"&amp;$A41)*RTD("tos.rtd",,"DELTA","."&amp;S$2&amp;S$1&amp;"P"&amp;$A41))/1000,(100*RTD("tos.rtd",,"OPEN_INT","."&amp;S$2&amp;S$1&amp;"C"&amp;$A41)*RTD("tos.rtd",,"DELTA","."&amp;S$2&amp;S$1&amp;"C"&amp;$A41)-100*RTD("tos.rtd",,"OPEN_INT","."&amp;S$2&amp;S$1&amp;"P"&amp;$A41)*RTD("tos.rtd",,"DELTA","."&amp;S$2&amp;S$1&amp;"P"&amp;$A41))/1000),0),IF($A$2="VEX",IFERROR(IF($X$1="ABS",($A$4*$A$4*RTD("tos.rtd",,"VOLUME","."&amp;S$2&amp;S$1&amp;"C"&amp;$A41)*RTD("tos.rtd",,"GAMMA","."&amp;S$2&amp;S$1&amp;"C"&amp;$A41)+$A$4*$A$4*RTD("tos.rtd",,"VOLUME","."&amp;S$2&amp;S$1&amp;"P"&amp;$A41)*RTD("tos.rtd",,"GAMMA","."&amp;S$2&amp;S$1&amp;"P"&amp;$A41))/1000000,($A$4*$A$4*RTD("tos.rtd",,"VOLUME","."&amp;S$2&amp;S$1&amp;"C"&amp;$A41)*RTD("tos.rtd",,"GAMMA","."&amp;S$2&amp;S$1&amp;"C"&amp;$A41)-$A$4*$A$4*RTD("tos.rtd",,"VOLUME","."&amp;S$2&amp;S$1&amp;"P"&amp;$A41)*RTD("tos.rtd",,"GAMMA","."&amp;S$2&amp;S$1&amp;"P"&amp;$A41))/1000000),0),IF($A$2="GEX",IFERROR(IF($X$1="ABS",($A$4*$A$4*RTD("tos.rtd",,"OPEN_INT","."&amp;S$2&amp;S$1&amp;"C"&amp;$A41)*RTD("tos.rtd",,"GAMMA","."&amp;S$2&amp;S$1&amp;"C"&amp;$A41)+$A$4*$A$4*RTD("tos.rtd",,"OPEN_INT","."&amp;S$2&amp;S$1&amp;"P"&amp;$A41)*RTD("tos.rtd",,"GAMMA","."&amp;S$2&amp;S$1&amp;"P"&amp;$A41))/1000000,($A$4*$A$4*RTD("tos.rtd",,"OPEN_INT","."&amp;S$2&amp;S$1&amp;"C"&amp;$A41)*RTD("tos.rtd",,"GAMMA","."&amp;S$2&amp;S$1&amp;"C"&amp;$A41)-$A$4*$A$4*RTD("tos.rtd",,"OPEN_INT","."&amp;S$2&amp;S$1&amp;"P"&amp;$A41)*RTD("tos.rtd",,"GAMMA","."&amp;S$2&amp;S$1&amp;"P"&amp;$A41))/1000000),0),IF($A$2="SKEW",IFERROR(VALUE(IF(RTD("tos.rtd",,"IMPL_VOL","."&amp;S$2&amp;S$1&amp;"P"&amp;$A41)="N/A",0,RTD("tos.rtd",,"IMPL_VOL","."&amp;S$2&amp;S$1&amp;"P"&amp;$A41))),0)-IFERROR(VALUE(IF(RTD("tos.rtd",,"IMPL_VOL","."&amp;S$2&amp;S$1&amp;"C"&amp;$A41)="N/A",0,RTD("tos.rtd",,"IMPL_VOL","."&amp;S$2&amp;S$1&amp;"C"&amp;$A41))),0),IF($A$2="MAXPAIN",IF($A$4&gt;$A41,($A$4-$A41)*IF(RTD("tos.rtd",,"OPEN_INT","."&amp;S$2&amp;S$1&amp;"C"&amp;$A41)="N/A",0,RTD("tos.rtd",,"OPEN_INT","."&amp;S$2&amp;S$1&amp;"C"&amp;$A41)),0)+IF($A$4&lt;$A41,($A$5-$A$4)*IF(RTD("tos.rtd",,"OPEN_INT","."&amp;S$2&amp;S$1&amp;"P"&amp;$A41)="N/A",0,RTD("tos.rtd",,"OPEN_INT","."&amp;S$2&amp;S$1&amp;"P"&amp;$A41)),0),IF($X$1="ABS",IF(RTD("tos.rtd",,$A$2,"."&amp;S$2&amp;S$1&amp;"C"&amp;$A41)="N/A",0,RTD("tos.rtd",,$A$2,"."&amp;S$2&amp;S$1&amp;"C"&amp;$A41))+IF(RTD("tos.rtd",,$A$2,"."&amp;S$2&amp;S$1&amp;"P"&amp;$A41)="N/A",0,RTD("tos.rtd",,$A$2,"."&amp;S$2&amp;S$1&amp;"P"&amp;$A41)),IF(RTD("tos.rtd",,$A$2,"."&amp;S$2&amp;S$1&amp;"C"&amp;$A41)="N/A",0,RTD("tos.rtd",,$A$2,"."&amp;S$2&amp;S$1&amp;"C"&amp;$A41))-IF(RTD("tos.rtd",,$A$2,"."&amp;S$2&amp;S$1&amp;"P"&amp;$A41)="N/A",0,RTD("tos.rtd",,$A$2,"."&amp;S$2&amp;S$1&amp;"P"&amp;$A41))))))))))</f>
        <v>0</v>
      </c>
      <c r="T41" s="12">
        <f ca="1">IF($A$2="PREMIUM_OI",IFERROR(IF($X$1="ABS",(100*RTD("tos.rtd",,"OPEN_INT","."&amp;T$2&amp;T$1&amp;"C"&amp;$A41)*RTD("tos.rtd",,"LAST","."&amp;T$2&amp;T$1&amp;"C"&amp;$A41)+100*RTD("tos.rtd",,"OPEN_INT","."&amp;T$2&amp;T$1&amp;"P"&amp;$A41)*RTD("tos.rtd",,"LAST","."&amp;T$2&amp;T$1&amp;"P"&amp;$A41))/1000000,(100*RTD("tos.rtd",,"OPEN_INT","."&amp;T$2&amp;T$1&amp;"C"&amp;$A41)*RTD("tos.rtd",,"LAST","."&amp;T$2&amp;T$1&amp;"C"&amp;$A41)-100*RTD("tos.rtd",,"OPEN_INT","."&amp;T$2&amp;T$1&amp;"P"&amp;$A41)*RTD("tos.rtd",,"LAST","."&amp;T$2&amp;T$1&amp;"P"&amp;$A41))/1000000),0),IF($A$2="PREMIUM",IFERROR(IF($X$1="ABS",(100*RTD("tos.rtd",,"VOLUME","."&amp;T$2&amp;T$1&amp;"C"&amp;$A41)*RTD("tos.rtd",,"LAST","."&amp;T$2&amp;T$1&amp;"C"&amp;$A41)+100*RTD("tos.rtd",,"VOLUME","."&amp;T$2&amp;T$1&amp;"P"&amp;$A41)*RTD("tos.rtd",,"LAST","."&amp;T$2&amp;T$1&amp;"P"&amp;$A41))/1000000,(100*RTD("tos.rtd",,"VOLUME","."&amp;T$2&amp;T$1&amp;"C"&amp;$A41)*RTD("tos.rtd",,"LAST","."&amp;T$2&amp;T$1&amp;"C"&amp;$A41)-100*RTD("tos.rtd",,"VOLUME","."&amp;T$2&amp;T$1&amp;"P"&amp;$A41)*RTD("tos.rtd",,"LAST","."&amp;T$2&amp;T$1&amp;"P"&amp;$A41))/1000000),0),IF($A$2="DEX",IFERROR(IF($X$1="ABS",(100*RTD("tos.rtd",,"OPEN_INT","."&amp;T$2&amp;T$1&amp;"C"&amp;$A41)*RTD("tos.rtd",,"DELTA","."&amp;T$2&amp;T$1&amp;"C"&amp;$A41)+100*RTD("tos.rtd",,"OPEN_INT","."&amp;T$2&amp;T$1&amp;"P"&amp;$A41)*RTD("tos.rtd",,"DELTA","."&amp;T$2&amp;T$1&amp;"P"&amp;$A41))/1000,(100*RTD("tos.rtd",,"OPEN_INT","."&amp;T$2&amp;T$1&amp;"C"&amp;$A41)*RTD("tos.rtd",,"DELTA","."&amp;T$2&amp;T$1&amp;"C"&amp;$A41)-100*RTD("tos.rtd",,"OPEN_INT","."&amp;T$2&amp;T$1&amp;"P"&amp;$A41)*RTD("tos.rtd",,"DELTA","."&amp;T$2&amp;T$1&amp;"P"&amp;$A41))/1000),0),IF($A$2="VEX",IFERROR(IF($X$1="ABS",($A$4*$A$4*RTD("tos.rtd",,"VOLUME","."&amp;T$2&amp;T$1&amp;"C"&amp;$A41)*RTD("tos.rtd",,"GAMMA","."&amp;T$2&amp;T$1&amp;"C"&amp;$A41)+$A$4*$A$4*RTD("tos.rtd",,"VOLUME","."&amp;T$2&amp;T$1&amp;"P"&amp;$A41)*RTD("tos.rtd",,"GAMMA","."&amp;T$2&amp;T$1&amp;"P"&amp;$A41))/1000000,($A$4*$A$4*RTD("tos.rtd",,"VOLUME","."&amp;T$2&amp;T$1&amp;"C"&amp;$A41)*RTD("tos.rtd",,"GAMMA","."&amp;T$2&amp;T$1&amp;"C"&amp;$A41)-$A$4*$A$4*RTD("tos.rtd",,"VOLUME","."&amp;T$2&amp;T$1&amp;"P"&amp;$A41)*RTD("tos.rtd",,"GAMMA","."&amp;T$2&amp;T$1&amp;"P"&amp;$A41))/1000000),0),IF($A$2="GEX",IFERROR(IF($X$1="ABS",($A$4*$A$4*RTD("tos.rtd",,"OPEN_INT","."&amp;T$2&amp;T$1&amp;"C"&amp;$A41)*RTD("tos.rtd",,"GAMMA","."&amp;T$2&amp;T$1&amp;"C"&amp;$A41)+$A$4*$A$4*RTD("tos.rtd",,"OPEN_INT","."&amp;T$2&amp;T$1&amp;"P"&amp;$A41)*RTD("tos.rtd",,"GAMMA","."&amp;T$2&amp;T$1&amp;"P"&amp;$A41))/1000000,($A$4*$A$4*RTD("tos.rtd",,"OPEN_INT","."&amp;T$2&amp;T$1&amp;"C"&amp;$A41)*RTD("tos.rtd",,"GAMMA","."&amp;T$2&amp;T$1&amp;"C"&amp;$A41)-$A$4*$A$4*RTD("tos.rtd",,"OPEN_INT","."&amp;T$2&amp;T$1&amp;"P"&amp;$A41)*RTD("tos.rtd",,"GAMMA","."&amp;T$2&amp;T$1&amp;"P"&amp;$A41))/1000000),0),IF($A$2="SKEW",IFERROR(VALUE(IF(RTD("tos.rtd",,"IMPL_VOL","."&amp;T$2&amp;T$1&amp;"P"&amp;$A41)="N/A",0,RTD("tos.rtd",,"IMPL_VOL","."&amp;T$2&amp;T$1&amp;"P"&amp;$A41))),0)-IFERROR(VALUE(IF(RTD("tos.rtd",,"IMPL_VOL","."&amp;T$2&amp;T$1&amp;"C"&amp;$A41)="N/A",0,RTD("tos.rtd",,"IMPL_VOL","."&amp;T$2&amp;T$1&amp;"C"&amp;$A41))),0),IF($A$2="MAXPAIN",IF($A$4&gt;$A41,($A$4-$A41)*IF(RTD("tos.rtd",,"OPEN_INT","."&amp;T$2&amp;T$1&amp;"C"&amp;$A41)="N/A",0,RTD("tos.rtd",,"OPEN_INT","."&amp;T$2&amp;T$1&amp;"C"&amp;$A41)),0)+IF($A$4&lt;$A41,($A$5-$A$4)*IF(RTD("tos.rtd",,"OPEN_INT","."&amp;T$2&amp;T$1&amp;"P"&amp;$A41)="N/A",0,RTD("tos.rtd",,"OPEN_INT","."&amp;T$2&amp;T$1&amp;"P"&amp;$A41)),0),IF($X$1="ABS",IF(RTD("tos.rtd",,$A$2,"."&amp;T$2&amp;T$1&amp;"C"&amp;$A41)="N/A",0,RTD("tos.rtd",,$A$2,"."&amp;T$2&amp;T$1&amp;"C"&amp;$A41))+IF(RTD("tos.rtd",,$A$2,"."&amp;T$2&amp;T$1&amp;"P"&amp;$A41)="N/A",0,RTD("tos.rtd",,$A$2,"."&amp;T$2&amp;T$1&amp;"P"&amp;$A41)),IF(RTD("tos.rtd",,$A$2,"."&amp;T$2&amp;T$1&amp;"C"&amp;$A41)="N/A",0,RTD("tos.rtd",,$A$2,"."&amp;T$2&amp;T$1&amp;"C"&amp;$A41))-IF(RTD("tos.rtd",,$A$2,"."&amp;T$2&amp;T$1&amp;"P"&amp;$A41)="N/A",0,RTD("tos.rtd",,$A$2,"."&amp;T$2&amp;T$1&amp;"P"&amp;$A41))))))))))</f>
        <v>0</v>
      </c>
      <c r="U41" s="12">
        <f ca="1">IF($A$2="PREMIUM_OI",IFERROR(IF($X$1="ABS",(100*RTD("tos.rtd",,"OPEN_INT","."&amp;U$2&amp;U$1&amp;"C"&amp;$A41)*RTD("tos.rtd",,"LAST","."&amp;U$2&amp;U$1&amp;"C"&amp;$A41)+100*RTD("tos.rtd",,"OPEN_INT","."&amp;U$2&amp;U$1&amp;"P"&amp;$A41)*RTD("tos.rtd",,"LAST","."&amp;U$2&amp;U$1&amp;"P"&amp;$A41))/1000000,(100*RTD("tos.rtd",,"OPEN_INT","."&amp;U$2&amp;U$1&amp;"C"&amp;$A41)*RTD("tos.rtd",,"LAST","."&amp;U$2&amp;U$1&amp;"C"&amp;$A41)-100*RTD("tos.rtd",,"OPEN_INT","."&amp;U$2&amp;U$1&amp;"P"&amp;$A41)*RTD("tos.rtd",,"LAST","."&amp;U$2&amp;U$1&amp;"P"&amp;$A41))/1000000),0),IF($A$2="PREMIUM",IFERROR(IF($X$1="ABS",(100*RTD("tos.rtd",,"VOLUME","."&amp;U$2&amp;U$1&amp;"C"&amp;$A41)*RTD("tos.rtd",,"LAST","."&amp;U$2&amp;U$1&amp;"C"&amp;$A41)+100*RTD("tos.rtd",,"VOLUME","."&amp;U$2&amp;U$1&amp;"P"&amp;$A41)*RTD("tos.rtd",,"LAST","."&amp;U$2&amp;U$1&amp;"P"&amp;$A41))/1000000,(100*RTD("tos.rtd",,"VOLUME","."&amp;U$2&amp;U$1&amp;"C"&amp;$A41)*RTD("tos.rtd",,"LAST","."&amp;U$2&amp;U$1&amp;"C"&amp;$A41)-100*RTD("tos.rtd",,"VOLUME","."&amp;U$2&amp;U$1&amp;"P"&amp;$A41)*RTD("tos.rtd",,"LAST","."&amp;U$2&amp;U$1&amp;"P"&amp;$A41))/1000000),0),IF($A$2="DEX",IFERROR(IF($X$1="ABS",(100*RTD("tos.rtd",,"OPEN_INT","."&amp;U$2&amp;U$1&amp;"C"&amp;$A41)*RTD("tos.rtd",,"DELTA","."&amp;U$2&amp;U$1&amp;"C"&amp;$A41)+100*RTD("tos.rtd",,"OPEN_INT","."&amp;U$2&amp;U$1&amp;"P"&amp;$A41)*RTD("tos.rtd",,"DELTA","."&amp;U$2&amp;U$1&amp;"P"&amp;$A41))/1000,(100*RTD("tos.rtd",,"OPEN_INT","."&amp;U$2&amp;U$1&amp;"C"&amp;$A41)*RTD("tos.rtd",,"DELTA","."&amp;U$2&amp;U$1&amp;"C"&amp;$A41)-100*RTD("tos.rtd",,"OPEN_INT","."&amp;U$2&amp;U$1&amp;"P"&amp;$A41)*RTD("tos.rtd",,"DELTA","."&amp;U$2&amp;U$1&amp;"P"&amp;$A41))/1000),0),IF($A$2="VEX",IFERROR(IF($X$1="ABS",($A$4*$A$4*RTD("tos.rtd",,"VOLUME","."&amp;U$2&amp;U$1&amp;"C"&amp;$A41)*RTD("tos.rtd",,"GAMMA","."&amp;U$2&amp;U$1&amp;"C"&amp;$A41)+$A$4*$A$4*RTD("tos.rtd",,"VOLUME","."&amp;U$2&amp;U$1&amp;"P"&amp;$A41)*RTD("tos.rtd",,"GAMMA","."&amp;U$2&amp;U$1&amp;"P"&amp;$A41))/1000000,($A$4*$A$4*RTD("tos.rtd",,"VOLUME","."&amp;U$2&amp;U$1&amp;"C"&amp;$A41)*RTD("tos.rtd",,"GAMMA","."&amp;U$2&amp;U$1&amp;"C"&amp;$A41)-$A$4*$A$4*RTD("tos.rtd",,"VOLUME","."&amp;U$2&amp;U$1&amp;"P"&amp;$A41)*RTD("tos.rtd",,"GAMMA","."&amp;U$2&amp;U$1&amp;"P"&amp;$A41))/1000000),0),IF($A$2="GEX",IFERROR(IF($X$1="ABS",($A$4*$A$4*RTD("tos.rtd",,"OPEN_INT","."&amp;U$2&amp;U$1&amp;"C"&amp;$A41)*RTD("tos.rtd",,"GAMMA","."&amp;U$2&amp;U$1&amp;"C"&amp;$A41)+$A$4*$A$4*RTD("tos.rtd",,"OPEN_INT","."&amp;U$2&amp;U$1&amp;"P"&amp;$A41)*RTD("tos.rtd",,"GAMMA","."&amp;U$2&amp;U$1&amp;"P"&amp;$A41))/1000000,($A$4*$A$4*RTD("tos.rtd",,"OPEN_INT","."&amp;U$2&amp;U$1&amp;"C"&amp;$A41)*RTD("tos.rtd",,"GAMMA","."&amp;U$2&amp;U$1&amp;"C"&amp;$A41)-$A$4*$A$4*RTD("tos.rtd",,"OPEN_INT","."&amp;U$2&amp;U$1&amp;"P"&amp;$A41)*RTD("tos.rtd",,"GAMMA","."&amp;U$2&amp;U$1&amp;"P"&amp;$A41))/1000000),0),IF($A$2="SKEW",IFERROR(VALUE(IF(RTD("tos.rtd",,"IMPL_VOL","."&amp;U$2&amp;U$1&amp;"P"&amp;$A41)="N/A",0,RTD("tos.rtd",,"IMPL_VOL","."&amp;U$2&amp;U$1&amp;"P"&amp;$A41))),0)-IFERROR(VALUE(IF(RTD("tos.rtd",,"IMPL_VOL","."&amp;U$2&amp;U$1&amp;"C"&amp;$A41)="N/A",0,RTD("tos.rtd",,"IMPL_VOL","."&amp;U$2&amp;U$1&amp;"C"&amp;$A41))),0),IF($A$2="MAXPAIN",IF($A$4&gt;$A41,($A$4-$A41)*IF(RTD("tos.rtd",,"OPEN_INT","."&amp;U$2&amp;U$1&amp;"C"&amp;$A41)="N/A",0,RTD("tos.rtd",,"OPEN_INT","."&amp;U$2&amp;U$1&amp;"C"&amp;$A41)),0)+IF($A$4&lt;$A41,($A$5-$A$4)*IF(RTD("tos.rtd",,"OPEN_INT","."&amp;U$2&amp;U$1&amp;"P"&amp;$A41)="N/A",0,RTD("tos.rtd",,"OPEN_INT","."&amp;U$2&amp;U$1&amp;"P"&amp;$A41)),0),IF($X$1="ABS",IF(RTD("tos.rtd",,$A$2,"."&amp;U$2&amp;U$1&amp;"C"&amp;$A41)="N/A",0,RTD("tos.rtd",,$A$2,"."&amp;U$2&amp;U$1&amp;"C"&amp;$A41))+IF(RTD("tos.rtd",,$A$2,"."&amp;U$2&amp;U$1&amp;"P"&amp;$A41)="N/A",0,RTD("tos.rtd",,$A$2,"."&amp;U$2&amp;U$1&amp;"P"&amp;$A41)),IF(RTD("tos.rtd",,$A$2,"."&amp;U$2&amp;U$1&amp;"C"&amp;$A41)="N/A",0,RTD("tos.rtd",,$A$2,"."&amp;U$2&amp;U$1&amp;"C"&amp;$A41))-IF(RTD("tos.rtd",,$A$2,"."&amp;U$2&amp;U$1&amp;"P"&amp;$A41)="N/A",0,RTD("tos.rtd",,$A$2,"."&amp;U$2&amp;U$1&amp;"P"&amp;$A41))))))))))</f>
        <v>0</v>
      </c>
      <c r="V41" s="12">
        <f ca="1">IF($A$2="PREMIUM_OI",IFERROR(IF($X$1="ABS",(100*RTD("tos.rtd",,"OPEN_INT","."&amp;V$2&amp;V$1&amp;"C"&amp;$A41)*RTD("tos.rtd",,"LAST","."&amp;V$2&amp;V$1&amp;"C"&amp;$A41)+100*RTD("tos.rtd",,"OPEN_INT","."&amp;V$2&amp;V$1&amp;"P"&amp;$A41)*RTD("tos.rtd",,"LAST","."&amp;V$2&amp;V$1&amp;"P"&amp;$A41))/1000000,(100*RTD("tos.rtd",,"OPEN_INT","."&amp;V$2&amp;V$1&amp;"C"&amp;$A41)*RTD("tos.rtd",,"LAST","."&amp;V$2&amp;V$1&amp;"C"&amp;$A41)-100*RTD("tos.rtd",,"OPEN_INT","."&amp;V$2&amp;V$1&amp;"P"&amp;$A41)*RTD("tos.rtd",,"LAST","."&amp;V$2&amp;V$1&amp;"P"&amp;$A41))/1000000),0),IF($A$2="PREMIUM",IFERROR(IF($X$1="ABS",(100*RTD("tos.rtd",,"VOLUME","."&amp;V$2&amp;V$1&amp;"C"&amp;$A41)*RTD("tos.rtd",,"LAST","."&amp;V$2&amp;V$1&amp;"C"&amp;$A41)+100*RTD("tos.rtd",,"VOLUME","."&amp;V$2&amp;V$1&amp;"P"&amp;$A41)*RTD("tos.rtd",,"LAST","."&amp;V$2&amp;V$1&amp;"P"&amp;$A41))/1000000,(100*RTD("tos.rtd",,"VOLUME","."&amp;V$2&amp;V$1&amp;"C"&amp;$A41)*RTD("tos.rtd",,"LAST","."&amp;V$2&amp;V$1&amp;"C"&amp;$A41)-100*RTD("tos.rtd",,"VOLUME","."&amp;V$2&amp;V$1&amp;"P"&amp;$A41)*RTD("tos.rtd",,"LAST","."&amp;V$2&amp;V$1&amp;"P"&amp;$A41))/1000000),0),IF($A$2="DEX",IFERROR(IF($X$1="ABS",(100*RTD("tos.rtd",,"OPEN_INT","."&amp;V$2&amp;V$1&amp;"C"&amp;$A41)*RTD("tos.rtd",,"DELTA","."&amp;V$2&amp;V$1&amp;"C"&amp;$A41)+100*RTD("tos.rtd",,"OPEN_INT","."&amp;V$2&amp;V$1&amp;"P"&amp;$A41)*RTD("tos.rtd",,"DELTA","."&amp;V$2&amp;V$1&amp;"P"&amp;$A41))/1000,(100*RTD("tos.rtd",,"OPEN_INT","."&amp;V$2&amp;V$1&amp;"C"&amp;$A41)*RTD("tos.rtd",,"DELTA","."&amp;V$2&amp;V$1&amp;"C"&amp;$A41)-100*RTD("tos.rtd",,"OPEN_INT","."&amp;V$2&amp;V$1&amp;"P"&amp;$A41)*RTD("tos.rtd",,"DELTA","."&amp;V$2&amp;V$1&amp;"P"&amp;$A41))/1000),0),IF($A$2="VEX",IFERROR(IF($X$1="ABS",($A$4*$A$4*RTD("tos.rtd",,"VOLUME","."&amp;V$2&amp;V$1&amp;"C"&amp;$A41)*RTD("tos.rtd",,"GAMMA","."&amp;V$2&amp;V$1&amp;"C"&amp;$A41)+$A$4*$A$4*RTD("tos.rtd",,"VOLUME","."&amp;V$2&amp;V$1&amp;"P"&amp;$A41)*RTD("tos.rtd",,"GAMMA","."&amp;V$2&amp;V$1&amp;"P"&amp;$A41))/1000000,($A$4*$A$4*RTD("tos.rtd",,"VOLUME","."&amp;V$2&amp;V$1&amp;"C"&amp;$A41)*RTD("tos.rtd",,"GAMMA","."&amp;V$2&amp;V$1&amp;"C"&amp;$A41)-$A$4*$A$4*RTD("tos.rtd",,"VOLUME","."&amp;V$2&amp;V$1&amp;"P"&amp;$A41)*RTD("tos.rtd",,"GAMMA","."&amp;V$2&amp;V$1&amp;"P"&amp;$A41))/1000000),0),IF($A$2="GEX",IFERROR(IF($X$1="ABS",($A$4*$A$4*RTD("tos.rtd",,"OPEN_INT","."&amp;V$2&amp;V$1&amp;"C"&amp;$A41)*RTD("tos.rtd",,"GAMMA","."&amp;V$2&amp;V$1&amp;"C"&amp;$A41)+$A$4*$A$4*RTD("tos.rtd",,"OPEN_INT","."&amp;V$2&amp;V$1&amp;"P"&amp;$A41)*RTD("tos.rtd",,"GAMMA","."&amp;V$2&amp;V$1&amp;"P"&amp;$A41))/1000000,($A$4*$A$4*RTD("tos.rtd",,"OPEN_INT","."&amp;V$2&amp;V$1&amp;"C"&amp;$A41)*RTD("tos.rtd",,"GAMMA","."&amp;V$2&amp;V$1&amp;"C"&amp;$A41)-$A$4*$A$4*RTD("tos.rtd",,"OPEN_INT","."&amp;V$2&amp;V$1&amp;"P"&amp;$A41)*RTD("tos.rtd",,"GAMMA","."&amp;V$2&amp;V$1&amp;"P"&amp;$A41))/1000000),0),IF($A$2="SKEW",IFERROR(VALUE(IF(RTD("tos.rtd",,"IMPL_VOL","."&amp;V$2&amp;V$1&amp;"P"&amp;$A41)="N/A",0,RTD("tos.rtd",,"IMPL_VOL","."&amp;V$2&amp;V$1&amp;"P"&amp;$A41))),0)-IFERROR(VALUE(IF(RTD("tos.rtd",,"IMPL_VOL","."&amp;V$2&amp;V$1&amp;"C"&amp;$A41)="N/A",0,RTD("tos.rtd",,"IMPL_VOL","."&amp;V$2&amp;V$1&amp;"C"&amp;$A41))),0),IF($A$2="MAXPAIN",IF($A$4&gt;$A41,($A$4-$A41)*IF(RTD("tos.rtd",,"OPEN_INT","."&amp;V$2&amp;V$1&amp;"C"&amp;$A41)="N/A",0,RTD("tos.rtd",,"OPEN_INT","."&amp;V$2&amp;V$1&amp;"C"&amp;$A41)),0)+IF($A$4&lt;$A41,($A$5-$A$4)*IF(RTD("tos.rtd",,"OPEN_INT","."&amp;V$2&amp;V$1&amp;"P"&amp;$A41)="N/A",0,RTD("tos.rtd",,"OPEN_INT","."&amp;V$2&amp;V$1&amp;"P"&amp;$A41)),0),IF($X$1="ABS",IF(RTD("tos.rtd",,$A$2,"."&amp;V$2&amp;V$1&amp;"C"&amp;$A41)="N/A",0,RTD("tos.rtd",,$A$2,"."&amp;V$2&amp;V$1&amp;"C"&amp;$A41))+IF(RTD("tos.rtd",,$A$2,"."&amp;V$2&amp;V$1&amp;"P"&amp;$A41)="N/A",0,RTD("tos.rtd",,$A$2,"."&amp;V$2&amp;V$1&amp;"P"&amp;$A41)),IF(RTD("tos.rtd",,$A$2,"."&amp;V$2&amp;V$1&amp;"C"&amp;$A41)="N/A",0,RTD("tos.rtd",,$A$2,"."&amp;V$2&amp;V$1&amp;"C"&amp;$A41))-IF(RTD("tos.rtd",,$A$2,"."&amp;V$2&amp;V$1&amp;"P"&amp;$A41)="N/A",0,RTD("tos.rtd",,$A$2,"."&amp;V$2&amp;V$1&amp;"P"&amp;$A41))))))))))</f>
        <v>0</v>
      </c>
      <c r="W41" s="54">
        <f ca="1">IF($A$2="PREMIUM_OI",IFERROR(IF($X$1="ABS",(100*RTD("tos.rtd",,"OPEN_INT","."&amp;W$2&amp;W$1&amp;"C"&amp;$A41)*RTD("tos.rtd",,"LAST","."&amp;W$2&amp;W$1&amp;"C"&amp;$A41)+100*RTD("tos.rtd",,"OPEN_INT","."&amp;W$2&amp;W$1&amp;"P"&amp;$A41)*RTD("tos.rtd",,"LAST","."&amp;W$2&amp;W$1&amp;"P"&amp;$A41))/1000000,(100*RTD("tos.rtd",,"OPEN_INT","."&amp;W$2&amp;W$1&amp;"C"&amp;$A41)*RTD("tos.rtd",,"LAST","."&amp;W$2&amp;W$1&amp;"C"&amp;$A41)-100*RTD("tos.rtd",,"OPEN_INT","."&amp;W$2&amp;W$1&amp;"P"&amp;$A41)*RTD("tos.rtd",,"LAST","."&amp;W$2&amp;W$1&amp;"P"&amp;$A41))/1000000),0),IF($A$2="PREMIUM",IFERROR(IF($X$1="ABS",(100*RTD("tos.rtd",,"VOLUME","."&amp;W$2&amp;W$1&amp;"C"&amp;$A41)*RTD("tos.rtd",,"LAST","."&amp;W$2&amp;W$1&amp;"C"&amp;$A41)+100*RTD("tos.rtd",,"VOLUME","."&amp;W$2&amp;W$1&amp;"P"&amp;$A41)*RTD("tos.rtd",,"LAST","."&amp;W$2&amp;W$1&amp;"P"&amp;$A41))/1000000,(100*RTD("tos.rtd",,"VOLUME","."&amp;W$2&amp;W$1&amp;"C"&amp;$A41)*RTD("tos.rtd",,"LAST","."&amp;W$2&amp;W$1&amp;"C"&amp;$A41)-100*RTD("tos.rtd",,"VOLUME","."&amp;W$2&amp;W$1&amp;"P"&amp;$A41)*RTD("tos.rtd",,"LAST","."&amp;W$2&amp;W$1&amp;"P"&amp;$A41))/1000000),0),IF($A$2="DEX",IFERROR(IF($X$1="ABS",(100*RTD("tos.rtd",,"OPEN_INT","."&amp;W$2&amp;W$1&amp;"C"&amp;$A41)*RTD("tos.rtd",,"DELTA","."&amp;W$2&amp;W$1&amp;"C"&amp;$A41)+100*RTD("tos.rtd",,"OPEN_INT","."&amp;W$2&amp;W$1&amp;"P"&amp;$A41)*RTD("tos.rtd",,"DELTA","."&amp;W$2&amp;W$1&amp;"P"&amp;$A41))/1000,(100*RTD("tos.rtd",,"OPEN_INT","."&amp;W$2&amp;W$1&amp;"C"&amp;$A41)*RTD("tos.rtd",,"DELTA","."&amp;W$2&amp;W$1&amp;"C"&amp;$A41)-100*RTD("tos.rtd",,"OPEN_INT","."&amp;W$2&amp;W$1&amp;"P"&amp;$A41)*RTD("tos.rtd",,"DELTA","."&amp;W$2&amp;W$1&amp;"P"&amp;$A41))/1000),0),IF($A$2="VEX",IFERROR(IF($X$1="ABS",($A$4*$A$4*RTD("tos.rtd",,"VOLUME","."&amp;W$2&amp;W$1&amp;"C"&amp;$A41)*RTD("tos.rtd",,"GAMMA","."&amp;W$2&amp;W$1&amp;"C"&amp;$A41)+$A$4*$A$4*RTD("tos.rtd",,"VOLUME","."&amp;W$2&amp;W$1&amp;"P"&amp;$A41)*RTD("tos.rtd",,"GAMMA","."&amp;W$2&amp;W$1&amp;"P"&amp;$A41))/1000000,($A$4*$A$4*RTD("tos.rtd",,"VOLUME","."&amp;W$2&amp;W$1&amp;"C"&amp;$A41)*RTD("tos.rtd",,"GAMMA","."&amp;W$2&amp;W$1&amp;"C"&amp;$A41)-$A$4*$A$4*RTD("tos.rtd",,"VOLUME","."&amp;W$2&amp;W$1&amp;"P"&amp;$A41)*RTD("tos.rtd",,"GAMMA","."&amp;W$2&amp;W$1&amp;"P"&amp;$A41))/1000000),0),IF($A$2="GEX",IFERROR(IF($X$1="ABS",($A$4*$A$4*RTD("tos.rtd",,"OPEN_INT","."&amp;W$2&amp;W$1&amp;"C"&amp;$A41)*RTD("tos.rtd",,"GAMMA","."&amp;W$2&amp;W$1&amp;"C"&amp;$A41)+$A$4*$A$4*RTD("tos.rtd",,"OPEN_INT","."&amp;W$2&amp;W$1&amp;"P"&amp;$A41)*RTD("tos.rtd",,"GAMMA","."&amp;W$2&amp;W$1&amp;"P"&amp;$A41))/1000000,($A$4*$A$4*RTD("tos.rtd",,"OPEN_INT","."&amp;W$2&amp;W$1&amp;"C"&amp;$A41)*RTD("tos.rtd",,"GAMMA","."&amp;W$2&amp;W$1&amp;"C"&amp;$A41)-$A$4*$A$4*RTD("tos.rtd",,"OPEN_INT","."&amp;W$2&amp;W$1&amp;"P"&amp;$A41)*RTD("tos.rtd",,"GAMMA","."&amp;W$2&amp;W$1&amp;"P"&amp;$A41))/1000000),0),IF($A$2="SKEW",IFERROR(VALUE(IF(RTD("tos.rtd",,"IMPL_VOL","."&amp;W$2&amp;W$1&amp;"P"&amp;$A41)="N/A",0,RTD("tos.rtd",,"IMPL_VOL","."&amp;W$2&amp;W$1&amp;"P"&amp;$A41))),0)-IFERROR(VALUE(IF(RTD("tos.rtd",,"IMPL_VOL","."&amp;W$2&amp;W$1&amp;"C"&amp;$A41)="N/A",0,RTD("tos.rtd",,"IMPL_VOL","."&amp;W$2&amp;W$1&amp;"C"&amp;$A41))),0),IF($A$2="MAXPAIN",IF($A$4&gt;$A41,($A$4-$A41)*IF(RTD("tos.rtd",,"OPEN_INT","."&amp;W$2&amp;W$1&amp;"C"&amp;$A41)="N/A",0,RTD("tos.rtd",,"OPEN_INT","."&amp;W$2&amp;W$1&amp;"C"&amp;$A41)),0)+IF($A$4&lt;$A41,($A$5-$A$4)*IF(RTD("tos.rtd",,"OPEN_INT","."&amp;W$2&amp;W$1&amp;"P"&amp;$A41)="N/A",0,RTD("tos.rtd",,"OPEN_INT","."&amp;W$2&amp;W$1&amp;"P"&amp;$A41)),0),IF($X$1="ABS",IF(RTD("tos.rtd",,$A$2,"."&amp;W$2&amp;W$1&amp;"C"&amp;$A41)="N/A",0,RTD("tos.rtd",,$A$2,"."&amp;W$2&amp;W$1&amp;"C"&amp;$A41))+IF(RTD("tos.rtd",,$A$2,"."&amp;W$2&amp;W$1&amp;"P"&amp;$A41)="N/A",0,RTD("tos.rtd",,$A$2,"."&amp;W$2&amp;W$1&amp;"P"&amp;$A41)),IF(RTD("tos.rtd",,$A$2,"."&amp;W$2&amp;W$1&amp;"C"&amp;$A41)="N/A",0,RTD("tos.rtd",,$A$2,"."&amp;W$2&amp;W$1&amp;"C"&amp;$A41))-IF(RTD("tos.rtd",,$A$2,"."&amp;W$2&amp;W$1&amp;"P"&amp;$A41)="N/A",0,RTD("tos.rtd",,$A$2,"."&amp;W$2&amp;W$1&amp;"P"&amp;$A41))))))))))</f>
        <v>0</v>
      </c>
      <c r="X41" s="57">
        <f t="shared" ca="1" si="8"/>
        <v>0</v>
      </c>
      <c r="Y41" s="27">
        <f t="shared" ca="1" si="9"/>
        <v>0</v>
      </c>
      <c r="Z41" s="27">
        <f ca="1">+'OI-VOL'!Y41</f>
        <v>3453</v>
      </c>
      <c r="AA41" s="27" t="b">
        <f t="shared" ca="1" si="10"/>
        <v>0</v>
      </c>
      <c r="AB41" s="27">
        <f t="shared" si="11"/>
        <v>25478450</v>
      </c>
      <c r="AC41" s="18">
        <f>MAX(0, $A41-AC$4)*IF(RTD("tos.rtd",,"OPEN_INT","."&amp;$AB$3&amp;$AB$4&amp;"C"&amp;AC$4)="N/A",0,RTD("tos.rtd",,"OPEN_INT","."&amp;$AB$3&amp;$AB$4&amp;"C"&amp;AC$4))*100 + MAX(0, AC$4-$A41)*IF(RTD("tos.rtd",,"OPEN_INT","."&amp;$AB$3&amp;$AB$4&amp;"P"&amp;AC$4)="N/A",0,RTD("tos.rtd",,"OPEN_INT","."&amp;$AB$3&amp;$AB$4&amp;"P"&amp;AC$4))*100</f>
        <v>0</v>
      </c>
      <c r="AD41" s="18">
        <f>MAX(0, $A41-AD$4)*IF(RTD("tos.rtd",,"OPEN_INT","."&amp;$AB$3&amp;$AB$4&amp;"C"&amp;AD$4)="N/A",0,RTD("tos.rtd",,"OPEN_INT","."&amp;$AB$3&amp;$AB$4&amp;"C"&amp;AD$4))*100 + MAX(0, AD$4-$A41)*IF(RTD("tos.rtd",,"OPEN_INT","."&amp;$AB$3&amp;$AB$4&amp;"P"&amp;AD$4)="N/A",0,RTD("tos.rtd",,"OPEN_INT","."&amp;$AB$3&amp;$AB$4&amp;"P"&amp;AD$4))*100</f>
        <v>0</v>
      </c>
      <c r="AE41" s="18">
        <f>MAX(0, $A41-AE$4)*IF(RTD("tos.rtd",,"OPEN_INT","."&amp;$AB$3&amp;$AB$4&amp;"C"&amp;AE$4)="N/A",0,RTD("tos.rtd",,"OPEN_INT","."&amp;$AB$3&amp;$AB$4&amp;"C"&amp;AE$4))*100 + MAX(0, AE$4-$A41)*IF(RTD("tos.rtd",,"OPEN_INT","."&amp;$AB$3&amp;$AB$4&amp;"P"&amp;AE$4)="N/A",0,RTD("tos.rtd",,"OPEN_INT","."&amp;$AB$3&amp;$AB$4&amp;"P"&amp;AE$4))*100</f>
        <v>0</v>
      </c>
      <c r="AF41" s="18">
        <f>MAX(0, $A41-AF$4)*IF(RTD("tos.rtd",,"OPEN_INT","."&amp;$AB$3&amp;$AB$4&amp;"C"&amp;AF$4)="N/A",0,RTD("tos.rtd",,"OPEN_INT","."&amp;$AB$3&amp;$AB$4&amp;"C"&amp;AF$4))*100 + MAX(0, AF$4-$A41)*IF(RTD("tos.rtd",,"OPEN_INT","."&amp;$AB$3&amp;$AB$4&amp;"P"&amp;AF$4)="N/A",0,RTD("tos.rtd",,"OPEN_INT","."&amp;$AB$3&amp;$AB$4&amp;"P"&amp;AF$4))*100</f>
        <v>0</v>
      </c>
      <c r="AG41" s="18">
        <f>MAX(0, $A41-AG$4)*IF(RTD("tos.rtd",,"OPEN_INT","."&amp;$AB$3&amp;$AB$4&amp;"C"&amp;AG$4)="N/A",0,RTD("tos.rtd",,"OPEN_INT","."&amp;$AB$3&amp;$AB$4&amp;"C"&amp;AG$4))*100 + MAX(0, AG$4-$A41)*IF(RTD("tos.rtd",,"OPEN_INT","."&amp;$AB$3&amp;$AB$4&amp;"P"&amp;AG$4)="N/A",0,RTD("tos.rtd",,"OPEN_INT","."&amp;$AB$3&amp;$AB$4&amp;"P"&amp;AG$4))*100</f>
        <v>0</v>
      </c>
      <c r="AH41" s="18">
        <f>MAX(0, $A41-AH$4)*IF(RTD("tos.rtd",,"OPEN_INT","."&amp;$AB$3&amp;$AB$4&amp;"C"&amp;AH$4)="N/A",0,RTD("tos.rtd",,"OPEN_INT","."&amp;$AB$3&amp;$AB$4&amp;"C"&amp;AH$4))*100 + MAX(0, AH$4-$A41)*IF(RTD("tos.rtd",,"OPEN_INT","."&amp;$AB$3&amp;$AB$4&amp;"P"&amp;AH$4)="N/A",0,RTD("tos.rtd",,"OPEN_INT","."&amp;$AB$3&amp;$AB$4&amp;"P"&amp;AH$4))*100</f>
        <v>0</v>
      </c>
      <c r="AI41" s="18">
        <f>MAX(0, $A41-AI$4)*IF(RTD("tos.rtd",,"OPEN_INT","."&amp;$AB$3&amp;$AB$4&amp;"C"&amp;AI$4)="N/A",0,RTD("tos.rtd",,"OPEN_INT","."&amp;$AB$3&amp;$AB$4&amp;"C"&amp;AI$4))*100 + MAX(0, AI$4-$A41)*IF(RTD("tos.rtd",,"OPEN_INT","."&amp;$AB$3&amp;$AB$4&amp;"P"&amp;AI$4)="N/A",0,RTD("tos.rtd",,"OPEN_INT","."&amp;$AB$3&amp;$AB$4&amp;"P"&amp;AI$4))*100</f>
        <v>0</v>
      </c>
      <c r="AJ41" s="18">
        <f>MAX(0, $A41-AJ$4)*IF(RTD("tos.rtd",,"OPEN_INT","."&amp;$AB$3&amp;$AB$4&amp;"C"&amp;AJ$4)="N/A",0,RTD("tos.rtd",,"OPEN_INT","."&amp;$AB$3&amp;$AB$4&amp;"C"&amp;AJ$4))*100 + MAX(0, AJ$4-$A41)*IF(RTD("tos.rtd",,"OPEN_INT","."&amp;$AB$3&amp;$AB$4&amp;"P"&amp;AJ$4)="N/A",0,RTD("tos.rtd",,"OPEN_INT","."&amp;$AB$3&amp;$AB$4&amp;"P"&amp;AJ$4))*100</f>
        <v>4350</v>
      </c>
      <c r="AK41" s="18">
        <f>MAX(0, $A41-AK$4)*IF(RTD("tos.rtd",,"OPEN_INT","."&amp;$AB$3&amp;$AB$4&amp;"C"&amp;AK$4)="N/A",0,RTD("tos.rtd",,"OPEN_INT","."&amp;$AB$3&amp;$AB$4&amp;"C"&amp;AK$4))*100 + MAX(0, AK$4-$A41)*IF(RTD("tos.rtd",,"OPEN_INT","."&amp;$AB$3&amp;$AB$4&amp;"P"&amp;AK$4)="N/A",0,RTD("tos.rtd",,"OPEN_INT","."&amp;$AB$3&amp;$AB$4&amp;"P"&amp;AK$4))*100</f>
        <v>11200</v>
      </c>
      <c r="AL41" s="18">
        <f>MAX(0, $A41-AL$4)*IF(RTD("tos.rtd",,"OPEN_INT","."&amp;$AB$3&amp;$AB$4&amp;"C"&amp;AL$4)="N/A",0,RTD("tos.rtd",,"OPEN_INT","."&amp;$AB$3&amp;$AB$4&amp;"C"&amp;AL$4))*100 + MAX(0, AL$4-$A41)*IF(RTD("tos.rtd",,"OPEN_INT","."&amp;$AB$3&amp;$AB$4&amp;"P"&amp;AL$4)="N/A",0,RTD("tos.rtd",,"OPEN_INT","."&amp;$AB$3&amp;$AB$4&amp;"P"&amp;AL$4))*100</f>
        <v>0</v>
      </c>
      <c r="AM41" s="18">
        <f>MAX(0, $A41-AM$4)*IF(RTD("tos.rtd",,"OPEN_INT","."&amp;$AB$3&amp;$AB$4&amp;"C"&amp;AM$4)="N/A",0,RTD("tos.rtd",,"OPEN_INT","."&amp;$AB$3&amp;$AB$4&amp;"C"&amp;AM$4))*100 + MAX(0, AM$4-$A41)*IF(RTD("tos.rtd",,"OPEN_INT","."&amp;$AB$3&amp;$AB$4&amp;"P"&amp;AM$4)="N/A",0,RTD("tos.rtd",,"OPEN_INT","."&amp;$AB$3&amp;$AB$4&amp;"P"&amp;AM$4))*100</f>
        <v>0</v>
      </c>
      <c r="AN41" s="18">
        <f>MAX(0, $A41-AN$4)*IF(RTD("tos.rtd",,"OPEN_INT","."&amp;$AB$3&amp;$AB$4&amp;"C"&amp;AN$4)="N/A",0,RTD("tos.rtd",,"OPEN_INT","."&amp;$AB$3&amp;$AB$4&amp;"C"&amp;AN$4))*100 + MAX(0, AN$4-$A41)*IF(RTD("tos.rtd",,"OPEN_INT","."&amp;$AB$3&amp;$AB$4&amp;"P"&amp;AN$4)="N/A",0,RTD("tos.rtd",,"OPEN_INT","."&amp;$AB$3&amp;$AB$4&amp;"P"&amp;AN$4))*100</f>
        <v>0</v>
      </c>
      <c r="AO41" s="18">
        <f>MAX(0, $A41-AO$4)*IF(RTD("tos.rtd",,"OPEN_INT","."&amp;$AB$3&amp;$AB$4&amp;"C"&amp;AO$4)="N/A",0,RTD("tos.rtd",,"OPEN_INT","."&amp;$AB$3&amp;$AB$4&amp;"C"&amp;AO$4))*100 + MAX(0, AO$4-$A41)*IF(RTD("tos.rtd",,"OPEN_INT","."&amp;$AB$3&amp;$AB$4&amp;"P"&amp;AO$4)="N/A",0,RTD("tos.rtd",,"OPEN_INT","."&amp;$AB$3&amp;$AB$4&amp;"P"&amp;AO$4))*100</f>
        <v>0</v>
      </c>
      <c r="AP41" s="18">
        <f>MAX(0, $A41-AP$4)*IF(RTD("tos.rtd",,"OPEN_INT","."&amp;$AB$3&amp;$AB$4&amp;"C"&amp;AP$4)="N/A",0,RTD("tos.rtd",,"OPEN_INT","."&amp;$AB$3&amp;$AB$4&amp;"C"&amp;AP$4))*100 + MAX(0, AP$4-$A41)*IF(RTD("tos.rtd",,"OPEN_INT","."&amp;$AB$3&amp;$AB$4&amp;"P"&amp;AP$4)="N/A",0,RTD("tos.rtd",,"OPEN_INT","."&amp;$AB$3&amp;$AB$4&amp;"P"&amp;AP$4))*100</f>
        <v>138000</v>
      </c>
      <c r="AQ41" s="18">
        <f>MAX(0, $A41-AQ$4)*IF(RTD("tos.rtd",,"OPEN_INT","."&amp;$AB$3&amp;$AB$4&amp;"C"&amp;AQ$4)="N/A",0,RTD("tos.rtd",,"OPEN_INT","."&amp;$AB$3&amp;$AB$4&amp;"C"&amp;AQ$4))*100 + MAX(0, AQ$4-$A41)*IF(RTD("tos.rtd",,"OPEN_INT","."&amp;$AB$3&amp;$AB$4&amp;"P"&amp;AQ$4)="N/A",0,RTD("tos.rtd",,"OPEN_INT","."&amp;$AB$3&amp;$AB$4&amp;"P"&amp;AQ$4))*100</f>
        <v>0</v>
      </c>
      <c r="AR41" s="18">
        <f>MAX(0, $A41-AR$4)*IF(RTD("tos.rtd",,"OPEN_INT","."&amp;$AB$3&amp;$AB$4&amp;"C"&amp;AR$4)="N/A",0,RTD("tos.rtd",,"OPEN_INT","."&amp;$AB$3&amp;$AB$4&amp;"C"&amp;AR$4))*100 + MAX(0, AR$4-$A41)*IF(RTD("tos.rtd",,"OPEN_INT","."&amp;$AB$3&amp;$AB$4&amp;"P"&amp;AR$4)="N/A",0,RTD("tos.rtd",,"OPEN_INT","."&amp;$AB$3&amp;$AB$4&amp;"P"&amp;AR$4))*100</f>
        <v>55650</v>
      </c>
      <c r="AS41" s="18">
        <f>MAX(0, $A41-AS$4)*IF(RTD("tos.rtd",,"OPEN_INT","."&amp;$AB$3&amp;$AB$4&amp;"C"&amp;AS$4)="N/A",0,RTD("tos.rtd",,"OPEN_INT","."&amp;$AB$3&amp;$AB$4&amp;"C"&amp;AS$4))*100 + MAX(0, AS$4-$A41)*IF(RTD("tos.rtd",,"OPEN_INT","."&amp;$AB$3&amp;$AB$4&amp;"P"&amp;AS$4)="N/A",0,RTD("tos.rtd",,"OPEN_INT","."&amp;$AB$3&amp;$AB$4&amp;"P"&amp;AS$4))*100</f>
        <v>6000</v>
      </c>
      <c r="AT41" s="18">
        <f>MAX(0, $A41-AT$4)*IF(RTD("tos.rtd",,"OPEN_INT","."&amp;$AB$3&amp;$AB$4&amp;"C"&amp;AT$4)="N/A",0,RTD("tos.rtd",,"OPEN_INT","."&amp;$AB$3&amp;$AB$4&amp;"C"&amp;AT$4))*100 + MAX(0, AT$4-$A41)*IF(RTD("tos.rtd",,"OPEN_INT","."&amp;$AB$3&amp;$AB$4&amp;"P"&amp;AT$4)="N/A",0,RTD("tos.rtd",,"OPEN_INT","."&amp;$AB$3&amp;$AB$4&amp;"P"&amp;AT$4))*100</f>
        <v>58900</v>
      </c>
      <c r="AU41" s="18">
        <f>MAX(0, $A41-AU$4)*IF(RTD("tos.rtd",,"OPEN_INT","."&amp;$AB$3&amp;$AB$4&amp;"C"&amp;AU$4)="N/A",0,RTD("tos.rtd",,"OPEN_INT","."&amp;$AB$3&amp;$AB$4&amp;"C"&amp;AU$4))*100 + MAX(0, AU$4-$A41)*IF(RTD("tos.rtd",,"OPEN_INT","."&amp;$AB$3&amp;$AB$4&amp;"P"&amp;AU$4)="N/A",0,RTD("tos.rtd",,"OPEN_INT","."&amp;$AB$3&amp;$AB$4&amp;"P"&amp;AU$4))*100</f>
        <v>63000</v>
      </c>
      <c r="AV41" s="18">
        <f>MAX(0, $A41-AV$4)*IF(RTD("tos.rtd",,"OPEN_INT","."&amp;$AB$3&amp;$AB$4&amp;"C"&amp;AV$4)="N/A",0,RTD("tos.rtd",,"OPEN_INT","."&amp;$AB$3&amp;$AB$4&amp;"C"&amp;AV$4))*100 + MAX(0, AV$4-$A41)*IF(RTD("tos.rtd",,"OPEN_INT","."&amp;$AB$3&amp;$AB$4&amp;"P"&amp;AV$4)="N/A",0,RTD("tos.rtd",,"OPEN_INT","."&amp;$AB$3&amp;$AB$4&amp;"P"&amp;AV$4))*100</f>
        <v>34000</v>
      </c>
      <c r="AW41" s="18">
        <f>MAX(0, $A41-AW$4)*IF(RTD("tos.rtd",,"OPEN_INT","."&amp;$AB$3&amp;$AB$4&amp;"C"&amp;AW$4)="N/A",0,RTD("tos.rtd",,"OPEN_INT","."&amp;$AB$3&amp;$AB$4&amp;"C"&amp;AW$4))*100 + MAX(0, AW$4-$A41)*IF(RTD("tos.rtd",,"OPEN_INT","."&amp;$AB$3&amp;$AB$4&amp;"P"&amp;AW$4)="N/A",0,RTD("tos.rtd",,"OPEN_INT","."&amp;$AB$3&amp;$AB$4&amp;"P"&amp;AW$4))*100</f>
        <v>128800</v>
      </c>
      <c r="AX41" s="18">
        <f>MAX(0, $A41-AX$4)*IF(RTD("tos.rtd",,"OPEN_INT","."&amp;$AB$3&amp;$AB$4&amp;"C"&amp;AX$4)="N/A",0,RTD("tos.rtd",,"OPEN_INT","."&amp;$AB$3&amp;$AB$4&amp;"C"&amp;AX$4))*100 + MAX(0, AX$4-$A41)*IF(RTD("tos.rtd",,"OPEN_INT","."&amp;$AB$3&amp;$AB$4&amp;"P"&amp;AX$4)="N/A",0,RTD("tos.rtd",,"OPEN_INT","."&amp;$AB$3&amp;$AB$4&amp;"P"&amp;AX$4))*100</f>
        <v>151500</v>
      </c>
      <c r="AY41" s="18">
        <f>MAX(0, $A41-AY$4)*IF(RTD("tos.rtd",,"OPEN_INT","."&amp;$AB$3&amp;$AB$4&amp;"C"&amp;AY$4)="N/A",0,RTD("tos.rtd",,"OPEN_INT","."&amp;$AB$3&amp;$AB$4&amp;"C"&amp;AY$4))*100 + MAX(0, AY$4-$A41)*IF(RTD("tos.rtd",,"OPEN_INT","."&amp;$AB$3&amp;$AB$4&amp;"P"&amp;AY$4)="N/A",0,RTD("tos.rtd",,"OPEN_INT","."&amp;$AB$3&amp;$AB$4&amp;"P"&amp;AY$4))*100</f>
        <v>172900</v>
      </c>
      <c r="AZ41" s="18">
        <f>MAX(0, $A41-AZ$4)*IF(RTD("tos.rtd",,"OPEN_INT","."&amp;$AB$3&amp;$AB$4&amp;"C"&amp;AZ$4)="N/A",0,RTD("tos.rtd",,"OPEN_INT","."&amp;$AB$3&amp;$AB$4&amp;"C"&amp;AZ$4))*100 + MAX(0, AZ$4-$A41)*IF(RTD("tos.rtd",,"OPEN_INT","."&amp;$AB$3&amp;$AB$4&amp;"P"&amp;AZ$4)="N/A",0,RTD("tos.rtd",,"OPEN_INT","."&amp;$AB$3&amp;$AB$4&amp;"P"&amp;AZ$4))*100</f>
        <v>1348100</v>
      </c>
      <c r="BA41" s="18">
        <f>MAX(0, $A41-BA$4)*IF(RTD("tos.rtd",,"OPEN_INT","."&amp;$AB$3&amp;$AB$4&amp;"C"&amp;BA$4)="N/A",0,RTD("tos.rtd",,"OPEN_INT","."&amp;$AB$3&amp;$AB$4&amp;"C"&amp;BA$4))*100 + MAX(0, BA$4-$A41)*IF(RTD("tos.rtd",,"OPEN_INT","."&amp;$AB$3&amp;$AB$4&amp;"P"&amp;BA$4)="N/A",0,RTD("tos.rtd",,"OPEN_INT","."&amp;$AB$3&amp;$AB$4&amp;"P"&amp;BA$4))*100</f>
        <v>340800</v>
      </c>
      <c r="BB41" s="18">
        <f>MAX(0, $A41-BB$4)*IF(RTD("tos.rtd",,"OPEN_INT","."&amp;$AB$3&amp;$AB$4&amp;"C"&amp;BB$4)="N/A",0,RTD("tos.rtd",,"OPEN_INT","."&amp;$AB$3&amp;$AB$4&amp;"C"&amp;BB$4))*100 + MAX(0, BB$4-$A41)*IF(RTD("tos.rtd",,"OPEN_INT","."&amp;$AB$3&amp;$AB$4&amp;"P"&amp;BB$4)="N/A",0,RTD("tos.rtd",,"OPEN_INT","."&amp;$AB$3&amp;$AB$4&amp;"P"&amp;BB$4))*100</f>
        <v>1287000</v>
      </c>
      <c r="BC41" s="18">
        <f>MAX(0, $A41-BC$4)*IF(RTD("tos.rtd",,"OPEN_INT","."&amp;$AB$3&amp;$AB$4&amp;"C"&amp;BC$4)="N/A",0,RTD("tos.rtd",,"OPEN_INT","."&amp;$AB$3&amp;$AB$4&amp;"C"&amp;BC$4))*100 + MAX(0, BC$4-$A41)*IF(RTD("tos.rtd",,"OPEN_INT","."&amp;$AB$3&amp;$AB$4&amp;"P"&amp;BC$4)="N/A",0,RTD("tos.rtd",,"OPEN_INT","."&amp;$AB$3&amp;$AB$4&amp;"P"&amp;BC$4))*100</f>
        <v>1142000</v>
      </c>
      <c r="BD41" s="18">
        <f>MAX(0, $A41-BD$4)*IF(RTD("tos.rtd",,"OPEN_INT","."&amp;$AB$3&amp;$AB$4&amp;"C"&amp;BD$4)="N/A",0,RTD("tos.rtd",,"OPEN_INT","."&amp;$AB$3&amp;$AB$4&amp;"C"&amp;BD$4))*100 + MAX(0, BD$4-$A41)*IF(RTD("tos.rtd",,"OPEN_INT","."&amp;$AB$3&amp;$AB$4&amp;"P"&amp;BD$4)="N/A",0,RTD("tos.rtd",,"OPEN_INT","."&amp;$AB$3&amp;$AB$4&amp;"P"&amp;BD$4))*100</f>
        <v>3442950</v>
      </c>
      <c r="BE41" s="18">
        <f>MAX(0, $A41-BE$4)*IF(RTD("tos.rtd",,"OPEN_INT","."&amp;$AB$3&amp;$AB$4&amp;"C"&amp;BE$4)="N/A",0,RTD("tos.rtd",,"OPEN_INT","."&amp;$AB$3&amp;$AB$4&amp;"C"&amp;BE$4))*100 + MAX(0, BE$4-$A41)*IF(RTD("tos.rtd",,"OPEN_INT","."&amp;$AB$3&amp;$AB$4&amp;"P"&amp;BE$4)="N/A",0,RTD("tos.rtd",,"OPEN_INT","."&amp;$AB$3&amp;$AB$4&amp;"P"&amp;BE$4))*100</f>
        <v>3928400</v>
      </c>
      <c r="BF41" s="18">
        <f>MAX(0, $A41-BF$4)*IF(RTD("tos.rtd",,"OPEN_INT","."&amp;$AB$3&amp;$AB$4&amp;"C"&amp;BF$4)="N/A",0,RTD("tos.rtd",,"OPEN_INT","."&amp;$AB$3&amp;$AB$4&amp;"C"&amp;BF$4))*100 + MAX(0, BF$4-$A41)*IF(RTD("tos.rtd",,"OPEN_INT","."&amp;$AB$3&amp;$AB$4&amp;"P"&amp;BF$4)="N/A",0,RTD("tos.rtd",,"OPEN_INT","."&amp;$AB$3&amp;$AB$4&amp;"P"&amp;BF$4))*100</f>
        <v>3890600</v>
      </c>
      <c r="BG41" s="18">
        <f>MAX(0, $A41-BG$4)*IF(RTD("tos.rtd",,"OPEN_INT","."&amp;$AB$3&amp;$AB$4&amp;"C"&amp;BG$4)="N/A",0,RTD("tos.rtd",,"OPEN_INT","."&amp;$AB$3&amp;$AB$4&amp;"C"&amp;BG$4))*100 + MAX(0, BG$4-$A41)*IF(RTD("tos.rtd",,"OPEN_INT","."&amp;$AB$3&amp;$AB$4&amp;"P"&amp;BG$4)="N/A",0,RTD("tos.rtd",,"OPEN_INT","."&amp;$AB$3&amp;$AB$4&amp;"P"&amp;BG$4))*100</f>
        <v>4172700</v>
      </c>
      <c r="BH41" s="18">
        <f>MAX(0, $A41-BH$4)*IF(RTD("tos.rtd",,"OPEN_INT","."&amp;$AB$3&amp;$AB$4&amp;"C"&amp;BH$4)="N/A",0,RTD("tos.rtd",,"OPEN_INT","."&amp;$AB$3&amp;$AB$4&amp;"C"&amp;BH$4))*100 + MAX(0, BH$4-$A41)*IF(RTD("tos.rtd",,"OPEN_INT","."&amp;$AB$3&amp;$AB$4&amp;"P"&amp;BH$4)="N/A",0,RTD("tos.rtd",,"OPEN_INT","."&amp;$AB$3&amp;$AB$4&amp;"P"&amp;BH$4))*100</f>
        <v>2268750</v>
      </c>
      <c r="BI41" s="18">
        <f>MAX(0, $A41-BI$4)*IF(RTD("tos.rtd",,"OPEN_INT","."&amp;$AB$3&amp;$AB$4&amp;"C"&amp;BI$4)="N/A",0,RTD("tos.rtd",,"OPEN_INT","."&amp;$AB$3&amp;$AB$4&amp;"C"&amp;BI$4))*100 + MAX(0, BI$4-$A41)*IF(RTD("tos.rtd",,"OPEN_INT","."&amp;$AB$3&amp;$AB$4&amp;"P"&amp;BI$4)="N/A",0,RTD("tos.rtd",,"OPEN_INT","."&amp;$AB$3&amp;$AB$4&amp;"P"&amp;BI$4))*100</f>
        <v>1284600</v>
      </c>
      <c r="BJ41" s="18">
        <f>MAX(0, $A41-BJ$4)*IF(RTD("tos.rtd",,"OPEN_INT","."&amp;$AB$3&amp;$AB$4&amp;"C"&amp;BJ$4)="N/A",0,RTD("tos.rtd",,"OPEN_INT","."&amp;$AB$3&amp;$AB$4&amp;"C"&amp;BJ$4))*100 + MAX(0, BJ$4-$A41)*IF(RTD("tos.rtd",,"OPEN_INT","."&amp;$AB$3&amp;$AB$4&amp;"P"&amp;BJ$4)="N/A",0,RTD("tos.rtd",,"OPEN_INT","."&amp;$AB$3&amp;$AB$4&amp;"P"&amp;BJ$4))*100</f>
        <v>1203750</v>
      </c>
      <c r="BK41" s="18">
        <f>MAX(0, $A41-BK$4)*IF(RTD("tos.rtd",,"OPEN_INT","."&amp;$AB$3&amp;$AB$4&amp;"C"&amp;BK$4)="N/A",0,RTD("tos.rtd",,"OPEN_INT","."&amp;$AB$3&amp;$AB$4&amp;"C"&amp;BK$4))*100 + MAX(0, BK$4-$A41)*IF(RTD("tos.rtd",,"OPEN_INT","."&amp;$AB$3&amp;$AB$4&amp;"P"&amp;BK$4)="N/A",0,RTD("tos.rtd",,"OPEN_INT","."&amp;$AB$3&amp;$AB$4&amp;"P"&amp;BK$4))*100</f>
        <v>218300</v>
      </c>
      <c r="BL41" s="18">
        <f>MAX(0, $A41-BL$4)*IF(RTD("tos.rtd",,"OPEN_INT","."&amp;$AB$3&amp;$AB$4&amp;"C"&amp;BL$4)="N/A",0,RTD("tos.rtd",,"OPEN_INT","."&amp;$AB$3&amp;$AB$4&amp;"C"&amp;BL$4))*100 + MAX(0, BL$4-$A41)*IF(RTD("tos.rtd",,"OPEN_INT","."&amp;$AB$3&amp;$AB$4&amp;"P"&amp;BL$4)="N/A",0,RTD("tos.rtd",,"OPEN_INT","."&amp;$AB$3&amp;$AB$4&amp;"P"&amp;BL$4))*100</f>
        <v>117000</v>
      </c>
      <c r="BM41" s="18">
        <f>MAX(0, $A41-BM$4)*IF(RTD("tos.rtd",,"OPEN_INT","."&amp;$AB$3&amp;$AB$4&amp;"C"&amp;BM$4)="N/A",0,RTD("tos.rtd",,"OPEN_INT","."&amp;$AB$3&amp;$AB$4&amp;"C"&amp;BM$4))*100 + MAX(0, BM$4-$A41)*IF(RTD("tos.rtd",,"OPEN_INT","."&amp;$AB$3&amp;$AB$4&amp;"P"&amp;BM$4)="N/A",0,RTD("tos.rtd",,"OPEN_INT","."&amp;$AB$3&amp;$AB$4&amp;"P"&amp;BM$4))*100</f>
        <v>0</v>
      </c>
      <c r="BN41" s="18">
        <f>MAX(0, $A41-BN$4)*IF(RTD("tos.rtd",,"OPEN_INT","."&amp;$AB$3&amp;$AB$4&amp;"C"&amp;BN$4)="N/A",0,RTD("tos.rtd",,"OPEN_INT","."&amp;$AB$3&amp;$AB$4&amp;"C"&amp;BN$4))*100 + MAX(0, BN$4-$A41)*IF(RTD("tos.rtd",,"OPEN_INT","."&amp;$AB$3&amp;$AB$4&amp;"P"&amp;BN$4)="N/A",0,RTD("tos.rtd",,"OPEN_INT","."&amp;$AB$3&amp;$AB$4&amp;"P"&amp;BN$4))*100</f>
        <v>400</v>
      </c>
      <c r="BO41" s="18">
        <f>MAX(0, $A41-BO$4)*IF(RTD("tos.rtd",,"OPEN_INT","."&amp;$AB$3&amp;$AB$4&amp;"C"&amp;BO$4)="N/A",0,RTD("tos.rtd",,"OPEN_INT","."&amp;$AB$3&amp;$AB$4&amp;"C"&amp;BO$4))*100 + MAX(0, BO$4-$A41)*IF(RTD("tos.rtd",,"OPEN_INT","."&amp;$AB$3&amp;$AB$4&amp;"P"&amp;BO$4)="N/A",0,RTD("tos.rtd",,"OPEN_INT","."&amp;$AB$3&amp;$AB$4&amp;"P"&amp;BO$4))*100</f>
        <v>3100</v>
      </c>
      <c r="BP41" s="18">
        <f>MAX(0, $A41-BP$4)*IF(RTD("tos.rtd",,"OPEN_INT","."&amp;$AB$3&amp;$AB$4&amp;"C"&amp;BP$4)="N/A",0,RTD("tos.rtd",,"OPEN_INT","."&amp;$AB$3&amp;$AB$4&amp;"C"&amp;BP$4))*100 + MAX(0, BP$4-$A41)*IF(RTD("tos.rtd",,"OPEN_INT","."&amp;$AB$3&amp;$AB$4&amp;"P"&amp;BP$4)="N/A",0,RTD("tos.rtd",,"OPEN_INT","."&amp;$AB$3&amp;$AB$4&amp;"P"&amp;BP$4))*100</f>
        <v>5700</v>
      </c>
      <c r="BQ41" s="18">
        <f>MAX(0, $A41-BQ$4)*IF(RTD("tos.rtd",,"OPEN_INT","."&amp;$AB$3&amp;$AB$4&amp;"C"&amp;BQ$4)="N/A",0,RTD("tos.rtd",,"OPEN_INT","."&amp;$AB$3&amp;$AB$4&amp;"C"&amp;BQ$4))*100 + MAX(0, BQ$4-$A41)*IF(RTD("tos.rtd",,"OPEN_INT","."&amp;$AB$3&amp;$AB$4&amp;"P"&amp;BQ$4)="N/A",0,RTD("tos.rtd",,"OPEN_INT","."&amp;$AB$3&amp;$AB$4&amp;"P"&amp;BQ$4))*100</f>
        <v>0</v>
      </c>
      <c r="BR41" s="18">
        <f>MAX(0, $A41-BR$4)*IF(RTD("tos.rtd",,"OPEN_INT","."&amp;$AB$3&amp;$AB$4&amp;"C"&amp;BR$4)="N/A",0,RTD("tos.rtd",,"OPEN_INT","."&amp;$AB$3&amp;$AB$4&amp;"C"&amp;BR$4))*100 + MAX(0, BR$4-$A41)*IF(RTD("tos.rtd",,"OPEN_INT","."&amp;$AB$3&amp;$AB$4&amp;"P"&amp;BR$4)="N/A",0,RTD("tos.rtd",,"OPEN_INT","."&amp;$AB$3&amp;$AB$4&amp;"P"&amp;BR$4))*100</f>
        <v>0</v>
      </c>
      <c r="BS41" s="18">
        <f>MAX(0, $A41-BS$4)*IF(RTD("tos.rtd",,"OPEN_INT","."&amp;$AB$3&amp;$AB$4&amp;"C"&amp;BS$4)="N/A",0,RTD("tos.rtd",,"OPEN_INT","."&amp;$AB$3&amp;$AB$4&amp;"C"&amp;BS$4))*100 + MAX(0, BS$4-$A41)*IF(RTD("tos.rtd",,"OPEN_INT","."&amp;$AB$3&amp;$AB$4&amp;"P"&amp;BS$4)="N/A",0,RTD("tos.rtd",,"OPEN_INT","."&amp;$AB$3&amp;$AB$4&amp;"P"&amp;BS$4))*100</f>
        <v>0</v>
      </c>
      <c r="BT41" s="18">
        <f>MAX(0, $A41-BT$4)*IF(RTD("tos.rtd",,"OPEN_INT","."&amp;$AB$3&amp;$AB$4&amp;"C"&amp;BT$4)="N/A",0,RTD("tos.rtd",,"OPEN_INT","."&amp;$AB$3&amp;$AB$4&amp;"C"&amp;BT$4))*100 + MAX(0, BT$4-$A41)*IF(RTD("tos.rtd",,"OPEN_INT","."&amp;$AB$3&amp;$AB$4&amp;"P"&amp;BT$4)="N/A",0,RTD("tos.rtd",,"OPEN_INT","."&amp;$AB$3&amp;$AB$4&amp;"P"&amp;BT$4))*100</f>
        <v>0</v>
      </c>
      <c r="BU41" s="18">
        <f>MAX(0, $A41-BU$4)*IF(RTD("tos.rtd",,"OPEN_INT","."&amp;$AB$3&amp;$AB$4&amp;"C"&amp;BU$4)="N/A",0,RTD("tos.rtd",,"OPEN_INT","."&amp;$AB$3&amp;$AB$4&amp;"C"&amp;BU$4))*100 + MAX(0, BU$4-$A41)*IF(RTD("tos.rtd",,"OPEN_INT","."&amp;$AB$3&amp;$AB$4&amp;"P"&amp;BU$4)="N/A",0,RTD("tos.rtd",,"OPEN_INT","."&amp;$AB$3&amp;$AB$4&amp;"P"&amp;BU$4))*100</f>
        <v>0</v>
      </c>
      <c r="BV41" s="18">
        <f>MAX(0, $A41-BV$4)*IF(RTD("tos.rtd",,"OPEN_INT","."&amp;$AB$3&amp;$AB$4&amp;"C"&amp;BV$4)="N/A",0,RTD("tos.rtd",,"OPEN_INT","."&amp;$AB$3&amp;$AB$4&amp;"C"&amp;BV$4))*100 + MAX(0, BV$4-$A41)*IF(RTD("tos.rtd",,"OPEN_INT","."&amp;$AB$3&amp;$AB$4&amp;"P"&amp;BV$4)="N/A",0,RTD("tos.rtd",,"OPEN_INT","."&amp;$AB$3&amp;$AB$4&amp;"P"&amp;BV$4))*100</f>
        <v>0</v>
      </c>
      <c r="BW41" s="18">
        <f>MAX(0, $A41-BW$4)*IF(RTD("tos.rtd",,"OPEN_INT","."&amp;$AB$3&amp;$AB$4&amp;"C"&amp;BW$4)="N/A",0,RTD("tos.rtd",,"OPEN_INT","."&amp;$AB$3&amp;$AB$4&amp;"C"&amp;BW$4))*100 + MAX(0, BW$4-$A41)*IF(RTD("tos.rtd",,"OPEN_INT","."&amp;$AB$3&amp;$AB$4&amp;"P"&amp;BW$4)="N/A",0,RTD("tos.rtd",,"OPEN_INT","."&amp;$AB$3&amp;$AB$4&amp;"P"&amp;BW$4))*100</f>
        <v>0</v>
      </c>
    </row>
    <row r="42" spans="1:75" s="19" customFormat="1" ht="11.1" customHeight="1" thickBot="1" x14ac:dyDescent="0.3">
      <c r="A42" s="23">
        <f t="shared" si="12"/>
        <v>3</v>
      </c>
      <c r="B42" s="14">
        <f ca="1">IF($A$2="PREMIUM_OI",IFERROR(IF($X$1="ABS",(100*RTD("tos.rtd",,"OPEN_INT","."&amp;B$2&amp;B$1&amp;"C"&amp;$A42)*RTD("tos.rtd",,"LAST","."&amp;B$2&amp;B$1&amp;"C"&amp;$A42)+100*RTD("tos.rtd",,"OPEN_INT","."&amp;B$2&amp;B$1&amp;"P"&amp;$A42)*RTD("tos.rtd",,"LAST","."&amp;B$2&amp;B$1&amp;"P"&amp;$A42))/1000000,(100*RTD("tos.rtd",,"OPEN_INT","."&amp;B$2&amp;B$1&amp;"C"&amp;$A42)*RTD("tos.rtd",,"LAST","."&amp;B$2&amp;B$1&amp;"C"&amp;$A42)-100*RTD("tos.rtd",,"OPEN_INT","."&amp;B$2&amp;B$1&amp;"P"&amp;$A42)*RTD("tos.rtd",,"LAST","."&amp;B$2&amp;B$1&amp;"P"&amp;$A42))/1000000),0),IF($A$2="PREMIUM",IFERROR(IF($X$1="ABS",(100*RTD("tos.rtd",,"VOLUME","."&amp;B$2&amp;B$1&amp;"C"&amp;$A42)*RTD("tos.rtd",,"LAST","."&amp;B$2&amp;B$1&amp;"C"&amp;$A42)+100*RTD("tos.rtd",,"VOLUME","."&amp;B$2&amp;B$1&amp;"P"&amp;$A42)*RTD("tos.rtd",,"LAST","."&amp;B$2&amp;B$1&amp;"P"&amp;$A42))/1000000,(100*RTD("tos.rtd",,"VOLUME","."&amp;B$2&amp;B$1&amp;"C"&amp;$A42)*RTD("tos.rtd",,"LAST","."&amp;B$2&amp;B$1&amp;"C"&amp;$A42)-100*RTD("tos.rtd",,"VOLUME","."&amp;B$2&amp;B$1&amp;"P"&amp;$A42)*RTD("tos.rtd",,"LAST","."&amp;B$2&amp;B$1&amp;"P"&amp;$A42))/1000000),0),IF($A$2="DEX",IFERROR(IF($X$1="ABS",(100*RTD("tos.rtd",,"OPEN_INT","."&amp;B$2&amp;B$1&amp;"C"&amp;$A42)*RTD("tos.rtd",,"DELTA","."&amp;B$2&amp;B$1&amp;"C"&amp;$A42)+100*RTD("tos.rtd",,"OPEN_INT","."&amp;B$2&amp;B$1&amp;"P"&amp;$A42)*RTD("tos.rtd",,"DELTA","."&amp;B$2&amp;B$1&amp;"P"&amp;$A42))/1000,(100*RTD("tos.rtd",,"OPEN_INT","."&amp;B$2&amp;B$1&amp;"C"&amp;$A42)*RTD("tos.rtd",,"DELTA","."&amp;B$2&amp;B$1&amp;"C"&amp;$A42)-100*RTD("tos.rtd",,"OPEN_INT","."&amp;B$2&amp;B$1&amp;"P"&amp;$A42)*RTD("tos.rtd",,"DELTA","."&amp;B$2&amp;B$1&amp;"P"&amp;$A42))/1000),0),IF($A$2="VEX",IFERROR(IF($X$1="ABS",($A$4*$A$4*RTD("tos.rtd",,"VOLUME","."&amp;B$2&amp;B$1&amp;"C"&amp;$A42)*RTD("tos.rtd",,"GAMMA","."&amp;B$2&amp;B$1&amp;"C"&amp;$A42)+$A$4*$A$4*RTD("tos.rtd",,"VOLUME","."&amp;B$2&amp;B$1&amp;"P"&amp;$A42)*RTD("tos.rtd",,"GAMMA","."&amp;B$2&amp;B$1&amp;"P"&amp;$A42))/1000000,($A$4*$A$4*RTD("tos.rtd",,"VOLUME","."&amp;B$2&amp;B$1&amp;"C"&amp;$A42)*RTD("tos.rtd",,"GAMMA","."&amp;B$2&amp;B$1&amp;"C"&amp;$A42)-$A$4*$A$4*RTD("tos.rtd",,"VOLUME","."&amp;B$2&amp;B$1&amp;"P"&amp;$A42)*RTD("tos.rtd",,"GAMMA","."&amp;B$2&amp;B$1&amp;"P"&amp;$A42))/1000000),0),IF($A$2="GEX",IFERROR(IF($X$1="ABS",($A$4*$A$4*RTD("tos.rtd",,"OPEN_INT","."&amp;B$2&amp;B$1&amp;"C"&amp;$A42)*RTD("tos.rtd",,"GAMMA","."&amp;B$2&amp;B$1&amp;"C"&amp;$A42)+$A$4*$A$4*RTD("tos.rtd",,"OPEN_INT","."&amp;B$2&amp;B$1&amp;"P"&amp;$A42)*RTD("tos.rtd",,"GAMMA","."&amp;B$2&amp;B$1&amp;"P"&amp;$A42))/1000000,($A$4*$A$4*RTD("tos.rtd",,"OPEN_INT","."&amp;B$2&amp;B$1&amp;"C"&amp;$A42)*RTD("tos.rtd",,"GAMMA","."&amp;B$2&amp;B$1&amp;"C"&amp;$A42)-$A$4*$A$4*RTD("tos.rtd",,"OPEN_INT","."&amp;B$2&amp;B$1&amp;"P"&amp;$A42)*RTD("tos.rtd",,"GAMMA","."&amp;B$2&amp;B$1&amp;"P"&amp;$A42))/1000000),0),IF($A$2="SKEW",IFERROR(VALUE(IF(RTD("tos.rtd",,"IMPL_VOL","."&amp;B$2&amp;B$1&amp;"P"&amp;$A42)="N/A",0,RTD("tos.rtd",,"IMPL_VOL","."&amp;B$2&amp;B$1&amp;"P"&amp;$A42))),0)-IFERROR(VALUE(IF(RTD("tos.rtd",,"IMPL_VOL","."&amp;B$2&amp;B$1&amp;"C"&amp;$A42)="N/A",0,RTD("tos.rtd",,"IMPL_VOL","."&amp;B$2&amp;B$1&amp;"C"&amp;$A42))),0),IF($A$2="MAXPAIN",IF($A$4&gt;$A42,($A$4-$A42)*IF(RTD("tos.rtd",,"OPEN_INT","."&amp;B$2&amp;B$1&amp;"C"&amp;$A42)="N/A",0,RTD("tos.rtd",,"OPEN_INT","."&amp;B$2&amp;B$1&amp;"C"&amp;$A42)),0)+IF($A$4&lt;$A42,($A$5-$A$4)*IF(RTD("tos.rtd",,"OPEN_INT","."&amp;B$2&amp;B$1&amp;"P"&amp;$A42)="N/A",0,RTD("tos.rtd",,"OPEN_INT","."&amp;B$2&amp;B$1&amp;"P"&amp;$A42)),0),IF($X$1="ABS",IF(RTD("tos.rtd",,$A$2,"."&amp;B$2&amp;B$1&amp;"C"&amp;$A42)="N/A",0,RTD("tos.rtd",,$A$2,"."&amp;B$2&amp;B$1&amp;"C"&amp;$A42))+IF(RTD("tos.rtd",,$A$2,"."&amp;B$2&amp;B$1&amp;"P"&amp;$A42)="N/A",0,RTD("tos.rtd",,$A$2,"."&amp;B$2&amp;B$1&amp;"P"&amp;$A42)),IF(RTD("tos.rtd",,$A$2,"."&amp;B$2&amp;B$1&amp;"C"&amp;$A42)="N/A",0,RTD("tos.rtd",,$A$2,"."&amp;B$2&amp;B$1&amp;"C"&amp;$A42))-IF(RTD("tos.rtd",,$A$2,"."&amp;B$2&amp;B$1&amp;"P"&amp;$A42)="N/A",0,RTD("tos.rtd",,$A$2,"."&amp;B$2&amp;B$1&amp;"P"&amp;$A42))))))))))</f>
        <v>0</v>
      </c>
      <c r="C42" s="14">
        <f ca="1">IF($A$2="PREMIUM_OI",IFERROR(IF($X$1="ABS",(100*RTD("tos.rtd",,"OPEN_INT","."&amp;C$2&amp;C$1&amp;"C"&amp;$A42)*RTD("tos.rtd",,"LAST","."&amp;C$2&amp;C$1&amp;"C"&amp;$A42)+100*RTD("tos.rtd",,"OPEN_INT","."&amp;C$2&amp;C$1&amp;"P"&amp;$A42)*RTD("tos.rtd",,"LAST","."&amp;C$2&amp;C$1&amp;"P"&amp;$A42))/1000000,(100*RTD("tos.rtd",,"OPEN_INT","."&amp;C$2&amp;C$1&amp;"C"&amp;$A42)*RTD("tos.rtd",,"LAST","."&amp;C$2&amp;C$1&amp;"C"&amp;$A42)-100*RTD("tos.rtd",,"OPEN_INT","."&amp;C$2&amp;C$1&amp;"P"&amp;$A42)*RTD("tos.rtd",,"LAST","."&amp;C$2&amp;C$1&amp;"P"&amp;$A42))/1000000),0),IF($A$2="PREMIUM",IFERROR(IF($X$1="ABS",(100*RTD("tos.rtd",,"VOLUME","."&amp;C$2&amp;C$1&amp;"C"&amp;$A42)*RTD("tos.rtd",,"LAST","."&amp;C$2&amp;C$1&amp;"C"&amp;$A42)+100*RTD("tos.rtd",,"VOLUME","."&amp;C$2&amp;C$1&amp;"P"&amp;$A42)*RTD("tos.rtd",,"LAST","."&amp;C$2&amp;C$1&amp;"P"&amp;$A42))/1000000,(100*RTD("tos.rtd",,"VOLUME","."&amp;C$2&amp;C$1&amp;"C"&amp;$A42)*RTD("tos.rtd",,"LAST","."&amp;C$2&amp;C$1&amp;"C"&amp;$A42)-100*RTD("tos.rtd",,"VOLUME","."&amp;C$2&amp;C$1&amp;"P"&amp;$A42)*RTD("tos.rtd",,"LAST","."&amp;C$2&amp;C$1&amp;"P"&amp;$A42))/1000000),0),IF($A$2="DEX",IFERROR(IF($X$1="ABS",(100*RTD("tos.rtd",,"OPEN_INT","."&amp;C$2&amp;C$1&amp;"C"&amp;$A42)*RTD("tos.rtd",,"DELTA","."&amp;C$2&amp;C$1&amp;"C"&amp;$A42)+100*RTD("tos.rtd",,"OPEN_INT","."&amp;C$2&amp;C$1&amp;"P"&amp;$A42)*RTD("tos.rtd",,"DELTA","."&amp;C$2&amp;C$1&amp;"P"&amp;$A42))/1000,(100*RTD("tos.rtd",,"OPEN_INT","."&amp;C$2&amp;C$1&amp;"C"&amp;$A42)*RTD("tos.rtd",,"DELTA","."&amp;C$2&amp;C$1&amp;"C"&amp;$A42)-100*RTD("tos.rtd",,"OPEN_INT","."&amp;C$2&amp;C$1&amp;"P"&amp;$A42)*RTD("tos.rtd",,"DELTA","."&amp;C$2&amp;C$1&amp;"P"&amp;$A42))/1000),0),IF($A$2="VEX",IFERROR(IF($X$1="ABS",($A$4*$A$4*RTD("tos.rtd",,"VOLUME","."&amp;C$2&amp;C$1&amp;"C"&amp;$A42)*RTD("tos.rtd",,"GAMMA","."&amp;C$2&amp;C$1&amp;"C"&amp;$A42)+$A$4*$A$4*RTD("tos.rtd",,"VOLUME","."&amp;C$2&amp;C$1&amp;"P"&amp;$A42)*RTD("tos.rtd",,"GAMMA","."&amp;C$2&amp;C$1&amp;"P"&amp;$A42))/1000000,($A$4*$A$4*RTD("tos.rtd",,"VOLUME","."&amp;C$2&amp;C$1&amp;"C"&amp;$A42)*RTD("tos.rtd",,"GAMMA","."&amp;C$2&amp;C$1&amp;"C"&amp;$A42)-$A$4*$A$4*RTD("tos.rtd",,"VOLUME","."&amp;C$2&amp;C$1&amp;"P"&amp;$A42)*RTD("tos.rtd",,"GAMMA","."&amp;C$2&amp;C$1&amp;"P"&amp;$A42))/1000000),0),IF($A$2="GEX",IFERROR(IF($X$1="ABS",($A$4*$A$4*RTD("tos.rtd",,"OPEN_INT","."&amp;C$2&amp;C$1&amp;"C"&amp;$A42)*RTD("tos.rtd",,"GAMMA","."&amp;C$2&amp;C$1&amp;"C"&amp;$A42)+$A$4*$A$4*RTD("tos.rtd",,"OPEN_INT","."&amp;C$2&amp;C$1&amp;"P"&amp;$A42)*RTD("tos.rtd",,"GAMMA","."&amp;C$2&amp;C$1&amp;"P"&amp;$A42))/1000000,($A$4*$A$4*RTD("tos.rtd",,"OPEN_INT","."&amp;C$2&amp;C$1&amp;"C"&amp;$A42)*RTD("tos.rtd",,"GAMMA","."&amp;C$2&amp;C$1&amp;"C"&amp;$A42)-$A$4*$A$4*RTD("tos.rtd",,"OPEN_INT","."&amp;C$2&amp;C$1&amp;"P"&amp;$A42)*RTD("tos.rtd",,"GAMMA","."&amp;C$2&amp;C$1&amp;"P"&amp;$A42))/1000000),0),IF($A$2="SKEW",IFERROR(VALUE(IF(RTD("tos.rtd",,"IMPL_VOL","."&amp;C$2&amp;C$1&amp;"P"&amp;$A42)="N/A",0,RTD("tos.rtd",,"IMPL_VOL","."&amp;C$2&amp;C$1&amp;"P"&amp;$A42))),0)-IFERROR(VALUE(IF(RTD("tos.rtd",,"IMPL_VOL","."&amp;C$2&amp;C$1&amp;"C"&amp;$A42)="N/A",0,RTD("tos.rtd",,"IMPL_VOL","."&amp;C$2&amp;C$1&amp;"C"&amp;$A42))),0),IF($A$2="MAXPAIN",IF($A$4&gt;$A42,($A$4-$A42)*IF(RTD("tos.rtd",,"OPEN_INT","."&amp;C$2&amp;C$1&amp;"C"&amp;$A42)="N/A",0,RTD("tos.rtd",,"OPEN_INT","."&amp;C$2&amp;C$1&amp;"C"&amp;$A42)),0)+IF($A$4&lt;$A42,($A$5-$A$4)*IF(RTD("tos.rtd",,"OPEN_INT","."&amp;C$2&amp;C$1&amp;"P"&amp;$A42)="N/A",0,RTD("tos.rtd",,"OPEN_INT","."&amp;C$2&amp;C$1&amp;"P"&amp;$A42)),0),IF($X$1="ABS",IF(RTD("tos.rtd",,$A$2,"."&amp;C$2&amp;C$1&amp;"C"&amp;$A42)="N/A",0,RTD("tos.rtd",,$A$2,"."&amp;C$2&amp;C$1&amp;"C"&amp;$A42))+IF(RTD("tos.rtd",,$A$2,"."&amp;C$2&amp;C$1&amp;"P"&amp;$A42)="N/A",0,RTD("tos.rtd",,$A$2,"."&amp;C$2&amp;C$1&amp;"P"&amp;$A42)),IF(RTD("tos.rtd",,$A$2,"."&amp;C$2&amp;C$1&amp;"C"&amp;$A42)="N/A",0,RTD("tos.rtd",,$A$2,"."&amp;C$2&amp;C$1&amp;"C"&amp;$A42))-IF(RTD("tos.rtd",,$A$2,"."&amp;C$2&amp;C$1&amp;"P"&amp;$A42)="N/A",0,RTD("tos.rtd",,$A$2,"."&amp;C$2&amp;C$1&amp;"P"&amp;$A42))))))))))</f>
        <v>0</v>
      </c>
      <c r="D42" s="12">
        <f ca="1">IF($A$2="PREMIUM_OI",IFERROR(IF($X$1="ABS",(100*RTD("tos.rtd",,"OPEN_INT","."&amp;D$2&amp;D$1&amp;"C"&amp;$A42)*RTD("tos.rtd",,"LAST","."&amp;D$2&amp;D$1&amp;"C"&amp;$A42)+100*RTD("tos.rtd",,"OPEN_INT","."&amp;D$2&amp;D$1&amp;"P"&amp;$A42)*RTD("tos.rtd",,"LAST","."&amp;D$2&amp;D$1&amp;"P"&amp;$A42))/1000000,(100*RTD("tos.rtd",,"OPEN_INT","."&amp;D$2&amp;D$1&amp;"C"&amp;$A42)*RTD("tos.rtd",,"LAST","."&amp;D$2&amp;D$1&amp;"C"&amp;$A42)-100*RTD("tos.rtd",,"OPEN_INT","."&amp;D$2&amp;D$1&amp;"P"&amp;$A42)*RTD("tos.rtd",,"LAST","."&amp;D$2&amp;D$1&amp;"P"&amp;$A42))/1000000),0),IF($A$2="PREMIUM",IFERROR(IF($X$1="ABS",(100*RTD("tos.rtd",,"VOLUME","."&amp;D$2&amp;D$1&amp;"C"&amp;$A42)*RTD("tos.rtd",,"LAST","."&amp;D$2&amp;D$1&amp;"C"&amp;$A42)+100*RTD("tos.rtd",,"VOLUME","."&amp;D$2&amp;D$1&amp;"P"&amp;$A42)*RTD("tos.rtd",,"LAST","."&amp;D$2&amp;D$1&amp;"P"&amp;$A42))/1000000,(100*RTD("tos.rtd",,"VOLUME","."&amp;D$2&amp;D$1&amp;"C"&amp;$A42)*RTD("tos.rtd",,"LAST","."&amp;D$2&amp;D$1&amp;"C"&amp;$A42)-100*RTD("tos.rtd",,"VOLUME","."&amp;D$2&amp;D$1&amp;"P"&amp;$A42)*RTD("tos.rtd",,"LAST","."&amp;D$2&amp;D$1&amp;"P"&amp;$A42))/1000000),0),IF($A$2="DEX",IFERROR(IF($X$1="ABS",(100*RTD("tos.rtd",,"OPEN_INT","."&amp;D$2&amp;D$1&amp;"C"&amp;$A42)*RTD("tos.rtd",,"DELTA","."&amp;D$2&amp;D$1&amp;"C"&amp;$A42)+100*RTD("tos.rtd",,"OPEN_INT","."&amp;D$2&amp;D$1&amp;"P"&amp;$A42)*RTD("tos.rtd",,"DELTA","."&amp;D$2&amp;D$1&amp;"P"&amp;$A42))/1000,(100*RTD("tos.rtd",,"OPEN_INT","."&amp;D$2&amp;D$1&amp;"C"&amp;$A42)*RTD("tos.rtd",,"DELTA","."&amp;D$2&amp;D$1&amp;"C"&amp;$A42)-100*RTD("tos.rtd",,"OPEN_INT","."&amp;D$2&amp;D$1&amp;"P"&amp;$A42)*RTD("tos.rtd",,"DELTA","."&amp;D$2&amp;D$1&amp;"P"&amp;$A42))/1000),0),IF($A$2="VEX",IFERROR(IF($X$1="ABS",($A$4*$A$4*RTD("tos.rtd",,"VOLUME","."&amp;D$2&amp;D$1&amp;"C"&amp;$A42)*RTD("tos.rtd",,"GAMMA","."&amp;D$2&amp;D$1&amp;"C"&amp;$A42)+$A$4*$A$4*RTD("tos.rtd",,"VOLUME","."&amp;D$2&amp;D$1&amp;"P"&amp;$A42)*RTD("tos.rtd",,"GAMMA","."&amp;D$2&amp;D$1&amp;"P"&amp;$A42))/1000000,($A$4*$A$4*RTD("tos.rtd",,"VOLUME","."&amp;D$2&amp;D$1&amp;"C"&amp;$A42)*RTD("tos.rtd",,"GAMMA","."&amp;D$2&amp;D$1&amp;"C"&amp;$A42)-$A$4*$A$4*RTD("tos.rtd",,"VOLUME","."&amp;D$2&amp;D$1&amp;"P"&amp;$A42)*RTD("tos.rtd",,"GAMMA","."&amp;D$2&amp;D$1&amp;"P"&amp;$A42))/1000000),0),IF($A$2="GEX",IFERROR(IF($X$1="ABS",($A$4*$A$4*RTD("tos.rtd",,"OPEN_INT","."&amp;D$2&amp;D$1&amp;"C"&amp;$A42)*RTD("tos.rtd",,"GAMMA","."&amp;D$2&amp;D$1&amp;"C"&amp;$A42)+$A$4*$A$4*RTD("tos.rtd",,"OPEN_INT","."&amp;D$2&amp;D$1&amp;"P"&amp;$A42)*RTD("tos.rtd",,"GAMMA","."&amp;D$2&amp;D$1&amp;"P"&amp;$A42))/1000000,($A$4*$A$4*RTD("tos.rtd",,"OPEN_INT","."&amp;D$2&amp;D$1&amp;"C"&amp;$A42)*RTD("tos.rtd",,"GAMMA","."&amp;D$2&amp;D$1&amp;"C"&amp;$A42)-$A$4*$A$4*RTD("tos.rtd",,"OPEN_INT","."&amp;D$2&amp;D$1&amp;"P"&amp;$A42)*RTD("tos.rtd",,"GAMMA","."&amp;D$2&amp;D$1&amp;"P"&amp;$A42))/1000000),0),IF($A$2="SKEW",IFERROR(VALUE(IF(RTD("tos.rtd",,"IMPL_VOL","."&amp;D$2&amp;D$1&amp;"P"&amp;$A42)="N/A",0,RTD("tos.rtd",,"IMPL_VOL","."&amp;D$2&amp;D$1&amp;"P"&amp;$A42))),0)-IFERROR(VALUE(IF(RTD("tos.rtd",,"IMPL_VOL","."&amp;D$2&amp;D$1&amp;"C"&amp;$A42)="N/A",0,RTD("tos.rtd",,"IMPL_VOL","."&amp;D$2&amp;D$1&amp;"C"&amp;$A42))),0),IF($A$2="MAXPAIN",IF($A$4&gt;$A42,($A$4-$A42)*IF(RTD("tos.rtd",,"OPEN_INT","."&amp;D$2&amp;D$1&amp;"C"&amp;$A42)="N/A",0,RTD("tos.rtd",,"OPEN_INT","."&amp;D$2&amp;D$1&amp;"C"&amp;$A42)),0)+IF($A$4&lt;$A42,($A$5-$A$4)*IF(RTD("tos.rtd",,"OPEN_INT","."&amp;D$2&amp;D$1&amp;"P"&amp;$A42)="N/A",0,RTD("tos.rtd",,"OPEN_INT","."&amp;D$2&amp;D$1&amp;"P"&amp;$A42)),0),IF($X$1="ABS",IF(RTD("tos.rtd",,$A$2,"."&amp;D$2&amp;D$1&amp;"C"&amp;$A42)="N/A",0,RTD("tos.rtd",,$A$2,"."&amp;D$2&amp;D$1&amp;"C"&amp;$A42))+IF(RTD("tos.rtd",,$A$2,"."&amp;D$2&amp;D$1&amp;"P"&amp;$A42)="N/A",0,RTD("tos.rtd",,$A$2,"."&amp;D$2&amp;D$1&amp;"P"&amp;$A42)),IF(RTD("tos.rtd",,$A$2,"."&amp;D$2&amp;D$1&amp;"C"&amp;$A42)="N/A",0,RTD("tos.rtd",,$A$2,"."&amp;D$2&amp;D$1&amp;"C"&amp;$A42))-IF(RTD("tos.rtd",,$A$2,"."&amp;D$2&amp;D$1&amp;"P"&amp;$A42)="N/A",0,RTD("tos.rtd",,$A$2,"."&amp;D$2&amp;D$1&amp;"P"&amp;$A42))))))))))</f>
        <v>0</v>
      </c>
      <c r="E42" s="12">
        <f ca="1">IF($A$2="PREMIUM_OI",IFERROR(IF($X$1="ABS",(100*RTD("tos.rtd",,"OPEN_INT","."&amp;E$2&amp;E$1&amp;"C"&amp;$A42)*RTD("tos.rtd",,"LAST","."&amp;E$2&amp;E$1&amp;"C"&amp;$A42)+100*RTD("tos.rtd",,"OPEN_INT","."&amp;E$2&amp;E$1&amp;"P"&amp;$A42)*RTD("tos.rtd",,"LAST","."&amp;E$2&amp;E$1&amp;"P"&amp;$A42))/1000000,(100*RTD("tos.rtd",,"OPEN_INT","."&amp;E$2&amp;E$1&amp;"C"&amp;$A42)*RTD("tos.rtd",,"LAST","."&amp;E$2&amp;E$1&amp;"C"&amp;$A42)-100*RTD("tos.rtd",,"OPEN_INT","."&amp;E$2&amp;E$1&amp;"P"&amp;$A42)*RTD("tos.rtd",,"LAST","."&amp;E$2&amp;E$1&amp;"P"&amp;$A42))/1000000),0),IF($A$2="PREMIUM",IFERROR(IF($X$1="ABS",(100*RTD("tos.rtd",,"VOLUME","."&amp;E$2&amp;E$1&amp;"C"&amp;$A42)*RTD("tos.rtd",,"LAST","."&amp;E$2&amp;E$1&amp;"C"&amp;$A42)+100*RTD("tos.rtd",,"VOLUME","."&amp;E$2&amp;E$1&amp;"P"&amp;$A42)*RTD("tos.rtd",,"LAST","."&amp;E$2&amp;E$1&amp;"P"&amp;$A42))/1000000,(100*RTD("tos.rtd",,"VOLUME","."&amp;E$2&amp;E$1&amp;"C"&amp;$A42)*RTD("tos.rtd",,"LAST","."&amp;E$2&amp;E$1&amp;"C"&amp;$A42)-100*RTD("tos.rtd",,"VOLUME","."&amp;E$2&amp;E$1&amp;"P"&amp;$A42)*RTD("tos.rtd",,"LAST","."&amp;E$2&amp;E$1&amp;"P"&amp;$A42))/1000000),0),IF($A$2="DEX",IFERROR(IF($X$1="ABS",(100*RTD("tos.rtd",,"OPEN_INT","."&amp;E$2&amp;E$1&amp;"C"&amp;$A42)*RTD("tos.rtd",,"DELTA","."&amp;E$2&amp;E$1&amp;"C"&amp;$A42)+100*RTD("tos.rtd",,"OPEN_INT","."&amp;E$2&amp;E$1&amp;"P"&amp;$A42)*RTD("tos.rtd",,"DELTA","."&amp;E$2&amp;E$1&amp;"P"&amp;$A42))/1000,(100*RTD("tos.rtd",,"OPEN_INT","."&amp;E$2&amp;E$1&amp;"C"&amp;$A42)*RTD("tos.rtd",,"DELTA","."&amp;E$2&amp;E$1&amp;"C"&amp;$A42)-100*RTD("tos.rtd",,"OPEN_INT","."&amp;E$2&amp;E$1&amp;"P"&amp;$A42)*RTD("tos.rtd",,"DELTA","."&amp;E$2&amp;E$1&amp;"P"&amp;$A42))/1000),0),IF($A$2="VEX",IFERROR(IF($X$1="ABS",($A$4*$A$4*RTD("tos.rtd",,"VOLUME","."&amp;E$2&amp;E$1&amp;"C"&amp;$A42)*RTD("tos.rtd",,"GAMMA","."&amp;E$2&amp;E$1&amp;"C"&amp;$A42)+$A$4*$A$4*RTD("tos.rtd",,"VOLUME","."&amp;E$2&amp;E$1&amp;"P"&amp;$A42)*RTD("tos.rtd",,"GAMMA","."&amp;E$2&amp;E$1&amp;"P"&amp;$A42))/1000000,($A$4*$A$4*RTD("tos.rtd",,"VOLUME","."&amp;E$2&amp;E$1&amp;"C"&amp;$A42)*RTD("tos.rtd",,"GAMMA","."&amp;E$2&amp;E$1&amp;"C"&amp;$A42)-$A$4*$A$4*RTD("tos.rtd",,"VOLUME","."&amp;E$2&amp;E$1&amp;"P"&amp;$A42)*RTD("tos.rtd",,"GAMMA","."&amp;E$2&amp;E$1&amp;"P"&amp;$A42))/1000000),0),IF($A$2="GEX",IFERROR(IF($X$1="ABS",($A$4*$A$4*RTD("tos.rtd",,"OPEN_INT","."&amp;E$2&amp;E$1&amp;"C"&amp;$A42)*RTD("tos.rtd",,"GAMMA","."&amp;E$2&amp;E$1&amp;"C"&amp;$A42)+$A$4*$A$4*RTD("tos.rtd",,"OPEN_INT","."&amp;E$2&amp;E$1&amp;"P"&amp;$A42)*RTD("tos.rtd",,"GAMMA","."&amp;E$2&amp;E$1&amp;"P"&amp;$A42))/1000000,($A$4*$A$4*RTD("tos.rtd",,"OPEN_INT","."&amp;E$2&amp;E$1&amp;"C"&amp;$A42)*RTD("tos.rtd",,"GAMMA","."&amp;E$2&amp;E$1&amp;"C"&amp;$A42)-$A$4*$A$4*RTD("tos.rtd",,"OPEN_INT","."&amp;E$2&amp;E$1&amp;"P"&amp;$A42)*RTD("tos.rtd",,"GAMMA","."&amp;E$2&amp;E$1&amp;"P"&amp;$A42))/1000000),0),IF($A$2="SKEW",IFERROR(VALUE(IF(RTD("tos.rtd",,"IMPL_VOL","."&amp;E$2&amp;E$1&amp;"P"&amp;$A42)="N/A",0,RTD("tos.rtd",,"IMPL_VOL","."&amp;E$2&amp;E$1&amp;"P"&amp;$A42))),0)-IFERROR(VALUE(IF(RTD("tos.rtd",,"IMPL_VOL","."&amp;E$2&amp;E$1&amp;"C"&amp;$A42)="N/A",0,RTD("tos.rtd",,"IMPL_VOL","."&amp;E$2&amp;E$1&amp;"C"&amp;$A42))),0),IF($A$2="MAXPAIN",IF($A$4&gt;$A42,($A$4-$A42)*IF(RTD("tos.rtd",,"OPEN_INT","."&amp;E$2&amp;E$1&amp;"C"&amp;$A42)="N/A",0,RTD("tos.rtd",,"OPEN_INT","."&amp;E$2&amp;E$1&amp;"C"&amp;$A42)),0)+IF($A$4&lt;$A42,($A$5-$A$4)*IF(RTD("tos.rtd",,"OPEN_INT","."&amp;E$2&amp;E$1&amp;"P"&amp;$A42)="N/A",0,RTD("tos.rtd",,"OPEN_INT","."&amp;E$2&amp;E$1&amp;"P"&amp;$A42)),0),IF($X$1="ABS",IF(RTD("tos.rtd",,$A$2,"."&amp;E$2&amp;E$1&amp;"C"&amp;$A42)="N/A",0,RTD("tos.rtd",,$A$2,"."&amp;E$2&amp;E$1&amp;"C"&amp;$A42))+IF(RTD("tos.rtd",,$A$2,"."&amp;E$2&amp;E$1&amp;"P"&amp;$A42)="N/A",0,RTD("tos.rtd",,$A$2,"."&amp;E$2&amp;E$1&amp;"P"&amp;$A42)),IF(RTD("tos.rtd",,$A$2,"."&amp;E$2&amp;E$1&amp;"C"&amp;$A42)="N/A",0,RTD("tos.rtd",,$A$2,"."&amp;E$2&amp;E$1&amp;"C"&amp;$A42))-IF(RTD("tos.rtd",,$A$2,"."&amp;E$2&amp;E$1&amp;"P"&amp;$A42)="N/A",0,RTD("tos.rtd",,$A$2,"."&amp;E$2&amp;E$1&amp;"P"&amp;$A42))))))))))</f>
        <v>0</v>
      </c>
      <c r="F42" s="12">
        <f ca="1">IF($A$2="PREMIUM_OI",IFERROR(IF($X$1="ABS",(100*RTD("tos.rtd",,"OPEN_INT","."&amp;F$2&amp;F$1&amp;"C"&amp;$A42)*RTD("tos.rtd",,"LAST","."&amp;F$2&amp;F$1&amp;"C"&amp;$A42)+100*RTD("tos.rtd",,"OPEN_INT","."&amp;F$2&amp;F$1&amp;"P"&amp;$A42)*RTD("tos.rtd",,"LAST","."&amp;F$2&amp;F$1&amp;"P"&amp;$A42))/1000000,(100*RTD("tos.rtd",,"OPEN_INT","."&amp;F$2&amp;F$1&amp;"C"&amp;$A42)*RTD("tos.rtd",,"LAST","."&amp;F$2&amp;F$1&amp;"C"&amp;$A42)-100*RTD("tos.rtd",,"OPEN_INT","."&amp;F$2&amp;F$1&amp;"P"&amp;$A42)*RTD("tos.rtd",,"LAST","."&amp;F$2&amp;F$1&amp;"P"&amp;$A42))/1000000),0),IF($A$2="PREMIUM",IFERROR(IF($X$1="ABS",(100*RTD("tos.rtd",,"VOLUME","."&amp;F$2&amp;F$1&amp;"C"&amp;$A42)*RTD("tos.rtd",,"LAST","."&amp;F$2&amp;F$1&amp;"C"&amp;$A42)+100*RTD("tos.rtd",,"VOLUME","."&amp;F$2&amp;F$1&amp;"P"&amp;$A42)*RTD("tos.rtd",,"LAST","."&amp;F$2&amp;F$1&amp;"P"&amp;$A42))/1000000,(100*RTD("tos.rtd",,"VOLUME","."&amp;F$2&amp;F$1&amp;"C"&amp;$A42)*RTD("tos.rtd",,"LAST","."&amp;F$2&amp;F$1&amp;"C"&amp;$A42)-100*RTD("tos.rtd",,"VOLUME","."&amp;F$2&amp;F$1&amp;"P"&amp;$A42)*RTD("tos.rtd",,"LAST","."&amp;F$2&amp;F$1&amp;"P"&amp;$A42))/1000000),0),IF($A$2="DEX",IFERROR(IF($X$1="ABS",(100*RTD("tos.rtd",,"OPEN_INT","."&amp;F$2&amp;F$1&amp;"C"&amp;$A42)*RTD("tos.rtd",,"DELTA","."&amp;F$2&amp;F$1&amp;"C"&amp;$A42)+100*RTD("tos.rtd",,"OPEN_INT","."&amp;F$2&amp;F$1&amp;"P"&amp;$A42)*RTD("tos.rtd",,"DELTA","."&amp;F$2&amp;F$1&amp;"P"&amp;$A42))/1000,(100*RTD("tos.rtd",,"OPEN_INT","."&amp;F$2&amp;F$1&amp;"C"&amp;$A42)*RTD("tos.rtd",,"DELTA","."&amp;F$2&amp;F$1&amp;"C"&amp;$A42)-100*RTD("tos.rtd",,"OPEN_INT","."&amp;F$2&amp;F$1&amp;"P"&amp;$A42)*RTD("tos.rtd",,"DELTA","."&amp;F$2&amp;F$1&amp;"P"&amp;$A42))/1000),0),IF($A$2="VEX",IFERROR(IF($X$1="ABS",($A$4*$A$4*RTD("tos.rtd",,"VOLUME","."&amp;F$2&amp;F$1&amp;"C"&amp;$A42)*RTD("tos.rtd",,"GAMMA","."&amp;F$2&amp;F$1&amp;"C"&amp;$A42)+$A$4*$A$4*RTD("tos.rtd",,"VOLUME","."&amp;F$2&amp;F$1&amp;"P"&amp;$A42)*RTD("tos.rtd",,"GAMMA","."&amp;F$2&amp;F$1&amp;"P"&amp;$A42))/1000000,($A$4*$A$4*RTD("tos.rtd",,"VOLUME","."&amp;F$2&amp;F$1&amp;"C"&amp;$A42)*RTD("tos.rtd",,"GAMMA","."&amp;F$2&amp;F$1&amp;"C"&amp;$A42)-$A$4*$A$4*RTD("tos.rtd",,"VOLUME","."&amp;F$2&amp;F$1&amp;"P"&amp;$A42)*RTD("tos.rtd",,"GAMMA","."&amp;F$2&amp;F$1&amp;"P"&amp;$A42))/1000000),0),IF($A$2="GEX",IFERROR(IF($X$1="ABS",($A$4*$A$4*RTD("tos.rtd",,"OPEN_INT","."&amp;F$2&amp;F$1&amp;"C"&amp;$A42)*RTD("tos.rtd",,"GAMMA","."&amp;F$2&amp;F$1&amp;"C"&amp;$A42)+$A$4*$A$4*RTD("tos.rtd",,"OPEN_INT","."&amp;F$2&amp;F$1&amp;"P"&amp;$A42)*RTD("tos.rtd",,"GAMMA","."&amp;F$2&amp;F$1&amp;"P"&amp;$A42))/1000000,($A$4*$A$4*RTD("tos.rtd",,"OPEN_INT","."&amp;F$2&amp;F$1&amp;"C"&amp;$A42)*RTD("tos.rtd",,"GAMMA","."&amp;F$2&amp;F$1&amp;"C"&amp;$A42)-$A$4*$A$4*RTD("tos.rtd",,"OPEN_INT","."&amp;F$2&amp;F$1&amp;"P"&amp;$A42)*RTD("tos.rtd",,"GAMMA","."&amp;F$2&amp;F$1&amp;"P"&amp;$A42))/1000000),0),IF($A$2="SKEW",IFERROR(VALUE(IF(RTD("tos.rtd",,"IMPL_VOL","."&amp;F$2&amp;F$1&amp;"P"&amp;$A42)="N/A",0,RTD("tos.rtd",,"IMPL_VOL","."&amp;F$2&amp;F$1&amp;"P"&amp;$A42))),0)-IFERROR(VALUE(IF(RTD("tos.rtd",,"IMPL_VOL","."&amp;F$2&amp;F$1&amp;"C"&amp;$A42)="N/A",0,RTD("tos.rtd",,"IMPL_VOL","."&amp;F$2&amp;F$1&amp;"C"&amp;$A42))),0),IF($A$2="MAXPAIN",IF($A$4&gt;$A42,($A$4-$A42)*IF(RTD("tos.rtd",,"OPEN_INT","."&amp;F$2&amp;F$1&amp;"C"&amp;$A42)="N/A",0,RTD("tos.rtd",,"OPEN_INT","."&amp;F$2&amp;F$1&amp;"C"&amp;$A42)),0)+IF($A$4&lt;$A42,($A$5-$A$4)*IF(RTD("tos.rtd",,"OPEN_INT","."&amp;F$2&amp;F$1&amp;"P"&amp;$A42)="N/A",0,RTD("tos.rtd",,"OPEN_INT","."&amp;F$2&amp;F$1&amp;"P"&amp;$A42)),0),IF($X$1="ABS",IF(RTD("tos.rtd",,$A$2,"."&amp;F$2&amp;F$1&amp;"C"&amp;$A42)="N/A",0,RTD("tos.rtd",,$A$2,"."&amp;F$2&amp;F$1&amp;"C"&amp;$A42))+IF(RTD("tos.rtd",,$A$2,"."&amp;F$2&amp;F$1&amp;"P"&amp;$A42)="N/A",0,RTD("tos.rtd",,$A$2,"."&amp;F$2&amp;F$1&amp;"P"&amp;$A42)),IF(RTD("tos.rtd",,$A$2,"."&amp;F$2&amp;F$1&amp;"C"&amp;$A42)="N/A",0,RTD("tos.rtd",,$A$2,"."&amp;F$2&amp;F$1&amp;"C"&amp;$A42))-IF(RTD("tos.rtd",,$A$2,"."&amp;F$2&amp;F$1&amp;"P"&amp;$A42)="N/A",0,RTD("tos.rtd",,$A$2,"."&amp;F$2&amp;F$1&amp;"P"&amp;$A42))))))))))</f>
        <v>0</v>
      </c>
      <c r="G42" s="54">
        <f ca="1">IF($A$2="PREMIUM_OI",IFERROR(IF($X$1="ABS",(100*RTD("tos.rtd",,"OPEN_INT","."&amp;G$2&amp;G$1&amp;"C"&amp;$A42)*RTD("tos.rtd",,"LAST","."&amp;G$2&amp;G$1&amp;"C"&amp;$A42)+100*RTD("tos.rtd",,"OPEN_INT","."&amp;G$2&amp;G$1&amp;"P"&amp;$A42)*RTD("tos.rtd",,"LAST","."&amp;G$2&amp;G$1&amp;"P"&amp;$A42))/1000000,(100*RTD("tos.rtd",,"OPEN_INT","."&amp;G$2&amp;G$1&amp;"C"&amp;$A42)*RTD("tos.rtd",,"LAST","."&amp;G$2&amp;G$1&amp;"C"&amp;$A42)-100*RTD("tos.rtd",,"OPEN_INT","."&amp;G$2&amp;G$1&amp;"P"&amp;$A42)*RTD("tos.rtd",,"LAST","."&amp;G$2&amp;G$1&amp;"P"&amp;$A42))/1000000),0),IF($A$2="PREMIUM",IFERROR(IF($X$1="ABS",(100*RTD("tos.rtd",,"VOLUME","."&amp;G$2&amp;G$1&amp;"C"&amp;$A42)*RTD("tos.rtd",,"LAST","."&amp;G$2&amp;G$1&amp;"C"&amp;$A42)+100*RTD("tos.rtd",,"VOLUME","."&amp;G$2&amp;G$1&amp;"P"&amp;$A42)*RTD("tos.rtd",,"LAST","."&amp;G$2&amp;G$1&amp;"P"&amp;$A42))/1000000,(100*RTD("tos.rtd",,"VOLUME","."&amp;G$2&amp;G$1&amp;"C"&amp;$A42)*RTD("tos.rtd",,"LAST","."&amp;G$2&amp;G$1&amp;"C"&amp;$A42)-100*RTD("tos.rtd",,"VOLUME","."&amp;G$2&amp;G$1&amp;"P"&amp;$A42)*RTD("tos.rtd",,"LAST","."&amp;G$2&amp;G$1&amp;"P"&amp;$A42))/1000000),0),IF($A$2="DEX",IFERROR(IF($X$1="ABS",(100*RTD("tos.rtd",,"OPEN_INT","."&amp;G$2&amp;G$1&amp;"C"&amp;$A42)*RTD("tos.rtd",,"DELTA","."&amp;G$2&amp;G$1&amp;"C"&amp;$A42)+100*RTD("tos.rtd",,"OPEN_INT","."&amp;G$2&amp;G$1&amp;"P"&amp;$A42)*RTD("tos.rtd",,"DELTA","."&amp;G$2&amp;G$1&amp;"P"&amp;$A42))/1000,(100*RTD("tos.rtd",,"OPEN_INT","."&amp;G$2&amp;G$1&amp;"C"&amp;$A42)*RTD("tos.rtd",,"DELTA","."&amp;G$2&amp;G$1&amp;"C"&amp;$A42)-100*RTD("tos.rtd",,"OPEN_INT","."&amp;G$2&amp;G$1&amp;"P"&amp;$A42)*RTD("tos.rtd",,"DELTA","."&amp;G$2&amp;G$1&amp;"P"&amp;$A42))/1000),0),IF($A$2="VEX",IFERROR(IF($X$1="ABS",($A$4*$A$4*RTD("tos.rtd",,"VOLUME","."&amp;G$2&amp;G$1&amp;"C"&amp;$A42)*RTD("tos.rtd",,"GAMMA","."&amp;G$2&amp;G$1&amp;"C"&amp;$A42)+$A$4*$A$4*RTD("tos.rtd",,"VOLUME","."&amp;G$2&amp;G$1&amp;"P"&amp;$A42)*RTD("tos.rtd",,"GAMMA","."&amp;G$2&amp;G$1&amp;"P"&amp;$A42))/1000000,($A$4*$A$4*RTD("tos.rtd",,"VOLUME","."&amp;G$2&amp;G$1&amp;"C"&amp;$A42)*RTD("tos.rtd",,"GAMMA","."&amp;G$2&amp;G$1&amp;"C"&amp;$A42)-$A$4*$A$4*RTD("tos.rtd",,"VOLUME","."&amp;G$2&amp;G$1&amp;"P"&amp;$A42)*RTD("tos.rtd",,"GAMMA","."&amp;G$2&amp;G$1&amp;"P"&amp;$A42))/1000000),0),IF($A$2="GEX",IFERROR(IF($X$1="ABS",($A$4*$A$4*RTD("tos.rtd",,"OPEN_INT","."&amp;G$2&amp;G$1&amp;"C"&amp;$A42)*RTD("tos.rtd",,"GAMMA","."&amp;G$2&amp;G$1&amp;"C"&amp;$A42)+$A$4*$A$4*RTD("tos.rtd",,"OPEN_INT","."&amp;G$2&amp;G$1&amp;"P"&amp;$A42)*RTD("tos.rtd",,"GAMMA","."&amp;G$2&amp;G$1&amp;"P"&amp;$A42))/1000000,($A$4*$A$4*RTD("tos.rtd",,"OPEN_INT","."&amp;G$2&amp;G$1&amp;"C"&amp;$A42)*RTD("tos.rtd",,"GAMMA","."&amp;G$2&amp;G$1&amp;"C"&amp;$A42)-$A$4*$A$4*RTD("tos.rtd",,"OPEN_INT","."&amp;G$2&amp;G$1&amp;"P"&amp;$A42)*RTD("tos.rtd",,"GAMMA","."&amp;G$2&amp;G$1&amp;"P"&amp;$A42))/1000000),0),IF($A$2="SKEW",IFERROR(VALUE(IF(RTD("tos.rtd",,"IMPL_VOL","."&amp;G$2&amp;G$1&amp;"P"&amp;$A42)="N/A",0,RTD("tos.rtd",,"IMPL_VOL","."&amp;G$2&amp;G$1&amp;"P"&amp;$A42))),0)-IFERROR(VALUE(IF(RTD("tos.rtd",,"IMPL_VOL","."&amp;G$2&amp;G$1&amp;"C"&amp;$A42)="N/A",0,RTD("tos.rtd",,"IMPL_VOL","."&amp;G$2&amp;G$1&amp;"C"&amp;$A42))),0),IF($A$2="MAXPAIN",IF($A$4&gt;$A42,($A$4-$A42)*IF(RTD("tos.rtd",,"OPEN_INT","."&amp;G$2&amp;G$1&amp;"C"&amp;$A42)="N/A",0,RTD("tos.rtd",,"OPEN_INT","."&amp;G$2&amp;G$1&amp;"C"&amp;$A42)),0)+IF($A$4&lt;$A42,($A$5-$A$4)*IF(RTD("tos.rtd",,"OPEN_INT","."&amp;G$2&amp;G$1&amp;"P"&amp;$A42)="N/A",0,RTD("tos.rtd",,"OPEN_INT","."&amp;G$2&amp;G$1&amp;"P"&amp;$A42)),0),IF($X$1="ABS",IF(RTD("tos.rtd",,$A$2,"."&amp;G$2&amp;G$1&amp;"C"&amp;$A42)="N/A",0,RTD("tos.rtd",,$A$2,"."&amp;G$2&amp;G$1&amp;"C"&amp;$A42))+IF(RTD("tos.rtd",,$A$2,"."&amp;G$2&amp;G$1&amp;"P"&amp;$A42)="N/A",0,RTD("tos.rtd",,$A$2,"."&amp;G$2&amp;G$1&amp;"P"&amp;$A42)),IF(RTD("tos.rtd",,$A$2,"."&amp;G$2&amp;G$1&amp;"C"&amp;$A42)="N/A",0,RTD("tos.rtd",,$A$2,"."&amp;G$2&amp;G$1&amp;"C"&amp;$A42))-IF(RTD("tos.rtd",,$A$2,"."&amp;G$2&amp;G$1&amp;"P"&amp;$A42)="N/A",0,RTD("tos.rtd",,$A$2,"."&amp;G$2&amp;G$1&amp;"P"&amp;$A42))))))))))</f>
        <v>0</v>
      </c>
      <c r="H42" s="14">
        <f ca="1">IF($A$2="PREMIUM_OI",IFERROR(IF($X$1="ABS",(100*RTD("tos.rtd",,"OPEN_INT","."&amp;H$2&amp;H$1&amp;"C"&amp;$A42)*RTD("tos.rtd",,"LAST","."&amp;H$2&amp;H$1&amp;"C"&amp;$A42)+100*RTD("tos.rtd",,"OPEN_INT","."&amp;H$2&amp;H$1&amp;"P"&amp;$A42)*RTD("tos.rtd",,"LAST","."&amp;H$2&amp;H$1&amp;"P"&amp;$A42))/1000000,(100*RTD("tos.rtd",,"OPEN_INT","."&amp;H$2&amp;H$1&amp;"C"&amp;$A42)*RTD("tos.rtd",,"LAST","."&amp;H$2&amp;H$1&amp;"C"&amp;$A42)-100*RTD("tos.rtd",,"OPEN_INT","."&amp;H$2&amp;H$1&amp;"P"&amp;$A42)*RTD("tos.rtd",,"LAST","."&amp;H$2&amp;H$1&amp;"P"&amp;$A42))/1000000),0),IF($A$2="PREMIUM",IFERROR(IF($X$1="ABS",(100*RTD("tos.rtd",,"VOLUME","."&amp;H$2&amp;H$1&amp;"C"&amp;$A42)*RTD("tos.rtd",,"LAST","."&amp;H$2&amp;H$1&amp;"C"&amp;$A42)+100*RTD("tos.rtd",,"VOLUME","."&amp;H$2&amp;H$1&amp;"P"&amp;$A42)*RTD("tos.rtd",,"LAST","."&amp;H$2&amp;H$1&amp;"P"&amp;$A42))/1000000,(100*RTD("tos.rtd",,"VOLUME","."&amp;H$2&amp;H$1&amp;"C"&amp;$A42)*RTD("tos.rtd",,"LAST","."&amp;H$2&amp;H$1&amp;"C"&amp;$A42)-100*RTD("tos.rtd",,"VOLUME","."&amp;H$2&amp;H$1&amp;"P"&amp;$A42)*RTD("tos.rtd",,"LAST","."&amp;H$2&amp;H$1&amp;"P"&amp;$A42))/1000000),0),IF($A$2="DEX",IFERROR(IF($X$1="ABS",(100*RTD("tos.rtd",,"OPEN_INT","."&amp;H$2&amp;H$1&amp;"C"&amp;$A42)*RTD("tos.rtd",,"DELTA","."&amp;H$2&amp;H$1&amp;"C"&amp;$A42)+100*RTD("tos.rtd",,"OPEN_INT","."&amp;H$2&amp;H$1&amp;"P"&amp;$A42)*RTD("tos.rtd",,"DELTA","."&amp;H$2&amp;H$1&amp;"P"&amp;$A42))/1000,(100*RTD("tos.rtd",,"OPEN_INT","."&amp;H$2&amp;H$1&amp;"C"&amp;$A42)*RTD("tos.rtd",,"DELTA","."&amp;H$2&amp;H$1&amp;"C"&amp;$A42)-100*RTD("tos.rtd",,"OPEN_INT","."&amp;H$2&amp;H$1&amp;"P"&amp;$A42)*RTD("tos.rtd",,"DELTA","."&amp;H$2&amp;H$1&amp;"P"&amp;$A42))/1000),0),IF($A$2="VEX",IFERROR(IF($X$1="ABS",($A$4*$A$4*RTD("tos.rtd",,"VOLUME","."&amp;H$2&amp;H$1&amp;"C"&amp;$A42)*RTD("tos.rtd",,"GAMMA","."&amp;H$2&amp;H$1&amp;"C"&amp;$A42)+$A$4*$A$4*RTD("tos.rtd",,"VOLUME","."&amp;H$2&amp;H$1&amp;"P"&amp;$A42)*RTD("tos.rtd",,"GAMMA","."&amp;H$2&amp;H$1&amp;"P"&amp;$A42))/1000000,($A$4*$A$4*RTD("tos.rtd",,"VOLUME","."&amp;H$2&amp;H$1&amp;"C"&amp;$A42)*RTD("tos.rtd",,"GAMMA","."&amp;H$2&amp;H$1&amp;"C"&amp;$A42)-$A$4*$A$4*RTD("tos.rtd",,"VOLUME","."&amp;H$2&amp;H$1&amp;"P"&amp;$A42)*RTD("tos.rtd",,"GAMMA","."&amp;H$2&amp;H$1&amp;"P"&amp;$A42))/1000000),0),IF($A$2="GEX",IFERROR(IF($X$1="ABS",($A$4*$A$4*RTD("tos.rtd",,"OPEN_INT","."&amp;H$2&amp;H$1&amp;"C"&amp;$A42)*RTD("tos.rtd",,"GAMMA","."&amp;H$2&amp;H$1&amp;"C"&amp;$A42)+$A$4*$A$4*RTD("tos.rtd",,"OPEN_INT","."&amp;H$2&amp;H$1&amp;"P"&amp;$A42)*RTD("tos.rtd",,"GAMMA","."&amp;H$2&amp;H$1&amp;"P"&amp;$A42))/1000000,($A$4*$A$4*RTD("tos.rtd",,"OPEN_INT","."&amp;H$2&amp;H$1&amp;"C"&amp;$A42)*RTD("tos.rtd",,"GAMMA","."&amp;H$2&amp;H$1&amp;"C"&amp;$A42)-$A$4*$A$4*RTD("tos.rtd",,"OPEN_INT","."&amp;H$2&amp;H$1&amp;"P"&amp;$A42)*RTD("tos.rtd",,"GAMMA","."&amp;H$2&amp;H$1&amp;"P"&amp;$A42))/1000000),0),IF($A$2="SKEW",IFERROR(VALUE(IF(RTD("tos.rtd",,"IMPL_VOL","."&amp;H$2&amp;H$1&amp;"P"&amp;$A42)="N/A",0,RTD("tos.rtd",,"IMPL_VOL","."&amp;H$2&amp;H$1&amp;"P"&amp;$A42))),0)-IFERROR(VALUE(IF(RTD("tos.rtd",,"IMPL_VOL","."&amp;H$2&amp;H$1&amp;"C"&amp;$A42)="N/A",0,RTD("tos.rtd",,"IMPL_VOL","."&amp;H$2&amp;H$1&amp;"C"&amp;$A42))),0),IF($A$2="MAXPAIN",IF($A$4&gt;$A42,($A$4-$A42)*IF(RTD("tos.rtd",,"OPEN_INT","."&amp;H$2&amp;H$1&amp;"C"&amp;$A42)="N/A",0,RTD("tos.rtd",,"OPEN_INT","."&amp;H$2&amp;H$1&amp;"C"&amp;$A42)),0)+IF($A$4&lt;$A42,($A$5-$A$4)*IF(RTD("tos.rtd",,"OPEN_INT","."&amp;H$2&amp;H$1&amp;"P"&amp;$A42)="N/A",0,RTD("tos.rtd",,"OPEN_INT","."&amp;H$2&amp;H$1&amp;"P"&amp;$A42)),0),IF($X$1="ABS",IF(RTD("tos.rtd",,$A$2,"."&amp;H$2&amp;H$1&amp;"C"&amp;$A42)="N/A",0,RTD("tos.rtd",,$A$2,"."&amp;H$2&amp;H$1&amp;"C"&amp;$A42))+IF(RTD("tos.rtd",,$A$2,"."&amp;H$2&amp;H$1&amp;"P"&amp;$A42)="N/A",0,RTD("tos.rtd",,$A$2,"."&amp;H$2&amp;H$1&amp;"P"&amp;$A42)),IF(RTD("tos.rtd",,$A$2,"."&amp;H$2&amp;H$1&amp;"C"&amp;$A42)="N/A",0,RTD("tos.rtd",,$A$2,"."&amp;H$2&amp;H$1&amp;"C"&amp;$A42))-IF(RTD("tos.rtd",,$A$2,"."&amp;H$2&amp;H$1&amp;"P"&amp;$A42)="N/A",0,RTD("tos.rtd",,$A$2,"."&amp;H$2&amp;H$1&amp;"P"&amp;$A42))))))))))</f>
        <v>0</v>
      </c>
      <c r="I42" s="12">
        <f ca="1">IF($A$2="PREMIUM_OI",IFERROR(IF($X$1="ABS",(100*RTD("tos.rtd",,"OPEN_INT","."&amp;I$2&amp;I$1&amp;"C"&amp;$A42)*RTD("tos.rtd",,"LAST","."&amp;I$2&amp;I$1&amp;"C"&amp;$A42)+100*RTD("tos.rtd",,"OPEN_INT","."&amp;I$2&amp;I$1&amp;"P"&amp;$A42)*RTD("tos.rtd",,"LAST","."&amp;I$2&amp;I$1&amp;"P"&amp;$A42))/1000000,(100*RTD("tos.rtd",,"OPEN_INT","."&amp;I$2&amp;I$1&amp;"C"&amp;$A42)*RTD("tos.rtd",,"LAST","."&amp;I$2&amp;I$1&amp;"C"&amp;$A42)-100*RTD("tos.rtd",,"OPEN_INT","."&amp;I$2&amp;I$1&amp;"P"&amp;$A42)*RTD("tos.rtd",,"LAST","."&amp;I$2&amp;I$1&amp;"P"&amp;$A42))/1000000),0),IF($A$2="PREMIUM",IFERROR(IF($X$1="ABS",(100*RTD("tos.rtd",,"VOLUME","."&amp;I$2&amp;I$1&amp;"C"&amp;$A42)*RTD("tos.rtd",,"LAST","."&amp;I$2&amp;I$1&amp;"C"&amp;$A42)+100*RTD("tos.rtd",,"VOLUME","."&amp;I$2&amp;I$1&amp;"P"&amp;$A42)*RTD("tos.rtd",,"LAST","."&amp;I$2&amp;I$1&amp;"P"&amp;$A42))/1000000,(100*RTD("tos.rtd",,"VOLUME","."&amp;I$2&amp;I$1&amp;"C"&amp;$A42)*RTD("tos.rtd",,"LAST","."&amp;I$2&amp;I$1&amp;"C"&amp;$A42)-100*RTD("tos.rtd",,"VOLUME","."&amp;I$2&amp;I$1&amp;"P"&amp;$A42)*RTD("tos.rtd",,"LAST","."&amp;I$2&amp;I$1&amp;"P"&amp;$A42))/1000000),0),IF($A$2="DEX",IFERROR(IF($X$1="ABS",(100*RTD("tos.rtd",,"OPEN_INT","."&amp;I$2&amp;I$1&amp;"C"&amp;$A42)*RTD("tos.rtd",,"DELTA","."&amp;I$2&amp;I$1&amp;"C"&amp;$A42)+100*RTD("tos.rtd",,"OPEN_INT","."&amp;I$2&amp;I$1&amp;"P"&amp;$A42)*RTD("tos.rtd",,"DELTA","."&amp;I$2&amp;I$1&amp;"P"&amp;$A42))/1000,(100*RTD("tos.rtd",,"OPEN_INT","."&amp;I$2&amp;I$1&amp;"C"&amp;$A42)*RTD("tos.rtd",,"DELTA","."&amp;I$2&amp;I$1&amp;"C"&amp;$A42)-100*RTD("tos.rtd",,"OPEN_INT","."&amp;I$2&amp;I$1&amp;"P"&amp;$A42)*RTD("tos.rtd",,"DELTA","."&amp;I$2&amp;I$1&amp;"P"&amp;$A42))/1000),0),IF($A$2="VEX",IFERROR(IF($X$1="ABS",($A$4*$A$4*RTD("tos.rtd",,"VOLUME","."&amp;I$2&amp;I$1&amp;"C"&amp;$A42)*RTD("tos.rtd",,"GAMMA","."&amp;I$2&amp;I$1&amp;"C"&amp;$A42)+$A$4*$A$4*RTD("tos.rtd",,"VOLUME","."&amp;I$2&amp;I$1&amp;"P"&amp;$A42)*RTD("tos.rtd",,"GAMMA","."&amp;I$2&amp;I$1&amp;"P"&amp;$A42))/1000000,($A$4*$A$4*RTD("tos.rtd",,"VOLUME","."&amp;I$2&amp;I$1&amp;"C"&amp;$A42)*RTD("tos.rtd",,"GAMMA","."&amp;I$2&amp;I$1&amp;"C"&amp;$A42)-$A$4*$A$4*RTD("tos.rtd",,"VOLUME","."&amp;I$2&amp;I$1&amp;"P"&amp;$A42)*RTD("tos.rtd",,"GAMMA","."&amp;I$2&amp;I$1&amp;"P"&amp;$A42))/1000000),0),IF($A$2="GEX",IFERROR(IF($X$1="ABS",($A$4*$A$4*RTD("tos.rtd",,"OPEN_INT","."&amp;I$2&amp;I$1&amp;"C"&amp;$A42)*RTD("tos.rtd",,"GAMMA","."&amp;I$2&amp;I$1&amp;"C"&amp;$A42)+$A$4*$A$4*RTD("tos.rtd",,"OPEN_INT","."&amp;I$2&amp;I$1&amp;"P"&amp;$A42)*RTD("tos.rtd",,"GAMMA","."&amp;I$2&amp;I$1&amp;"P"&amp;$A42))/1000000,($A$4*$A$4*RTD("tos.rtd",,"OPEN_INT","."&amp;I$2&amp;I$1&amp;"C"&amp;$A42)*RTD("tos.rtd",,"GAMMA","."&amp;I$2&amp;I$1&amp;"C"&amp;$A42)-$A$4*$A$4*RTD("tos.rtd",,"OPEN_INT","."&amp;I$2&amp;I$1&amp;"P"&amp;$A42)*RTD("tos.rtd",,"GAMMA","."&amp;I$2&amp;I$1&amp;"P"&amp;$A42))/1000000),0),IF($A$2="SKEW",IFERROR(VALUE(IF(RTD("tos.rtd",,"IMPL_VOL","."&amp;I$2&amp;I$1&amp;"P"&amp;$A42)="N/A",0,RTD("tos.rtd",,"IMPL_VOL","."&amp;I$2&amp;I$1&amp;"P"&amp;$A42))),0)-IFERROR(VALUE(IF(RTD("tos.rtd",,"IMPL_VOL","."&amp;I$2&amp;I$1&amp;"C"&amp;$A42)="N/A",0,RTD("tos.rtd",,"IMPL_VOL","."&amp;I$2&amp;I$1&amp;"C"&amp;$A42))),0),IF($A$2="MAXPAIN",IF($A$4&gt;$A42,($A$4-$A42)*IF(RTD("tos.rtd",,"OPEN_INT","."&amp;I$2&amp;I$1&amp;"C"&amp;$A42)="N/A",0,RTD("tos.rtd",,"OPEN_INT","."&amp;I$2&amp;I$1&amp;"C"&amp;$A42)),0)+IF($A$4&lt;$A42,($A$5-$A$4)*IF(RTD("tos.rtd",,"OPEN_INT","."&amp;I$2&amp;I$1&amp;"P"&amp;$A42)="N/A",0,RTD("tos.rtd",,"OPEN_INT","."&amp;I$2&amp;I$1&amp;"P"&amp;$A42)),0),IF($X$1="ABS",IF(RTD("tos.rtd",,$A$2,"."&amp;I$2&amp;I$1&amp;"C"&amp;$A42)="N/A",0,RTD("tos.rtd",,$A$2,"."&amp;I$2&amp;I$1&amp;"C"&amp;$A42))+IF(RTD("tos.rtd",,$A$2,"."&amp;I$2&amp;I$1&amp;"P"&amp;$A42)="N/A",0,RTD("tos.rtd",,$A$2,"."&amp;I$2&amp;I$1&amp;"P"&amp;$A42)),IF(RTD("tos.rtd",,$A$2,"."&amp;I$2&amp;I$1&amp;"C"&amp;$A42)="N/A",0,RTD("tos.rtd",,$A$2,"."&amp;I$2&amp;I$1&amp;"C"&amp;$A42))-IF(RTD("tos.rtd",,$A$2,"."&amp;I$2&amp;I$1&amp;"P"&amp;$A42)="N/A",0,RTD("tos.rtd",,$A$2,"."&amp;I$2&amp;I$1&amp;"P"&amp;$A42))))))))))</f>
        <v>0</v>
      </c>
      <c r="J42" s="12">
        <f ca="1">IF($A$2="PREMIUM_OI",IFERROR(IF($X$1="ABS",(100*RTD("tos.rtd",,"OPEN_INT","."&amp;J$2&amp;J$1&amp;"C"&amp;$A42)*RTD("tos.rtd",,"LAST","."&amp;J$2&amp;J$1&amp;"C"&amp;$A42)+100*RTD("tos.rtd",,"OPEN_INT","."&amp;J$2&amp;J$1&amp;"P"&amp;$A42)*RTD("tos.rtd",,"LAST","."&amp;J$2&amp;J$1&amp;"P"&amp;$A42))/1000000,(100*RTD("tos.rtd",,"OPEN_INT","."&amp;J$2&amp;J$1&amp;"C"&amp;$A42)*RTD("tos.rtd",,"LAST","."&amp;J$2&amp;J$1&amp;"C"&amp;$A42)-100*RTD("tos.rtd",,"OPEN_INT","."&amp;J$2&amp;J$1&amp;"P"&amp;$A42)*RTD("tos.rtd",,"LAST","."&amp;J$2&amp;J$1&amp;"P"&amp;$A42))/1000000),0),IF($A$2="PREMIUM",IFERROR(IF($X$1="ABS",(100*RTD("tos.rtd",,"VOLUME","."&amp;J$2&amp;J$1&amp;"C"&amp;$A42)*RTD("tos.rtd",,"LAST","."&amp;J$2&amp;J$1&amp;"C"&amp;$A42)+100*RTD("tos.rtd",,"VOLUME","."&amp;J$2&amp;J$1&amp;"P"&amp;$A42)*RTD("tos.rtd",,"LAST","."&amp;J$2&amp;J$1&amp;"P"&amp;$A42))/1000000,(100*RTD("tos.rtd",,"VOLUME","."&amp;J$2&amp;J$1&amp;"C"&amp;$A42)*RTD("tos.rtd",,"LAST","."&amp;J$2&amp;J$1&amp;"C"&amp;$A42)-100*RTD("tos.rtd",,"VOLUME","."&amp;J$2&amp;J$1&amp;"P"&amp;$A42)*RTD("tos.rtd",,"LAST","."&amp;J$2&amp;J$1&amp;"P"&amp;$A42))/1000000),0),IF($A$2="DEX",IFERROR(IF($X$1="ABS",(100*RTD("tos.rtd",,"OPEN_INT","."&amp;J$2&amp;J$1&amp;"C"&amp;$A42)*RTD("tos.rtd",,"DELTA","."&amp;J$2&amp;J$1&amp;"C"&amp;$A42)+100*RTD("tos.rtd",,"OPEN_INT","."&amp;J$2&amp;J$1&amp;"P"&amp;$A42)*RTD("tos.rtd",,"DELTA","."&amp;J$2&amp;J$1&amp;"P"&amp;$A42))/1000,(100*RTD("tos.rtd",,"OPEN_INT","."&amp;J$2&amp;J$1&amp;"C"&amp;$A42)*RTD("tos.rtd",,"DELTA","."&amp;J$2&amp;J$1&amp;"C"&amp;$A42)-100*RTD("tos.rtd",,"OPEN_INT","."&amp;J$2&amp;J$1&amp;"P"&amp;$A42)*RTD("tos.rtd",,"DELTA","."&amp;J$2&amp;J$1&amp;"P"&amp;$A42))/1000),0),IF($A$2="VEX",IFERROR(IF($X$1="ABS",($A$4*$A$4*RTD("tos.rtd",,"VOLUME","."&amp;J$2&amp;J$1&amp;"C"&amp;$A42)*RTD("tos.rtd",,"GAMMA","."&amp;J$2&amp;J$1&amp;"C"&amp;$A42)+$A$4*$A$4*RTD("tos.rtd",,"VOLUME","."&amp;J$2&amp;J$1&amp;"P"&amp;$A42)*RTD("tos.rtd",,"GAMMA","."&amp;J$2&amp;J$1&amp;"P"&amp;$A42))/1000000,($A$4*$A$4*RTD("tos.rtd",,"VOLUME","."&amp;J$2&amp;J$1&amp;"C"&amp;$A42)*RTD("tos.rtd",,"GAMMA","."&amp;J$2&amp;J$1&amp;"C"&amp;$A42)-$A$4*$A$4*RTD("tos.rtd",,"VOLUME","."&amp;J$2&amp;J$1&amp;"P"&amp;$A42)*RTD("tos.rtd",,"GAMMA","."&amp;J$2&amp;J$1&amp;"P"&amp;$A42))/1000000),0),IF($A$2="GEX",IFERROR(IF($X$1="ABS",($A$4*$A$4*RTD("tos.rtd",,"OPEN_INT","."&amp;J$2&amp;J$1&amp;"C"&amp;$A42)*RTD("tos.rtd",,"GAMMA","."&amp;J$2&amp;J$1&amp;"C"&amp;$A42)+$A$4*$A$4*RTD("tos.rtd",,"OPEN_INT","."&amp;J$2&amp;J$1&amp;"P"&amp;$A42)*RTD("tos.rtd",,"GAMMA","."&amp;J$2&amp;J$1&amp;"P"&amp;$A42))/1000000,($A$4*$A$4*RTD("tos.rtd",,"OPEN_INT","."&amp;J$2&amp;J$1&amp;"C"&amp;$A42)*RTD("tos.rtd",,"GAMMA","."&amp;J$2&amp;J$1&amp;"C"&amp;$A42)-$A$4*$A$4*RTD("tos.rtd",,"OPEN_INT","."&amp;J$2&amp;J$1&amp;"P"&amp;$A42)*RTD("tos.rtd",,"GAMMA","."&amp;J$2&amp;J$1&amp;"P"&amp;$A42))/1000000),0),IF($A$2="SKEW",IFERROR(VALUE(IF(RTD("tos.rtd",,"IMPL_VOL","."&amp;J$2&amp;J$1&amp;"P"&amp;$A42)="N/A",0,RTD("tos.rtd",,"IMPL_VOL","."&amp;J$2&amp;J$1&amp;"P"&amp;$A42))),0)-IFERROR(VALUE(IF(RTD("tos.rtd",,"IMPL_VOL","."&amp;J$2&amp;J$1&amp;"C"&amp;$A42)="N/A",0,RTD("tos.rtd",,"IMPL_VOL","."&amp;J$2&amp;J$1&amp;"C"&amp;$A42))),0),IF($A$2="MAXPAIN",IF($A$4&gt;$A42,($A$4-$A42)*IF(RTD("tos.rtd",,"OPEN_INT","."&amp;J$2&amp;J$1&amp;"C"&amp;$A42)="N/A",0,RTD("tos.rtd",,"OPEN_INT","."&amp;J$2&amp;J$1&amp;"C"&amp;$A42)),0)+IF($A$4&lt;$A42,($A$5-$A$4)*IF(RTD("tos.rtd",,"OPEN_INT","."&amp;J$2&amp;J$1&amp;"P"&amp;$A42)="N/A",0,RTD("tos.rtd",,"OPEN_INT","."&amp;J$2&amp;J$1&amp;"P"&amp;$A42)),0),IF($X$1="ABS",IF(RTD("tos.rtd",,$A$2,"."&amp;J$2&amp;J$1&amp;"C"&amp;$A42)="N/A",0,RTD("tos.rtd",,$A$2,"."&amp;J$2&amp;J$1&amp;"C"&amp;$A42))+IF(RTD("tos.rtd",,$A$2,"."&amp;J$2&amp;J$1&amp;"P"&amp;$A42)="N/A",0,RTD("tos.rtd",,$A$2,"."&amp;J$2&amp;J$1&amp;"P"&amp;$A42)),IF(RTD("tos.rtd",,$A$2,"."&amp;J$2&amp;J$1&amp;"C"&amp;$A42)="N/A",0,RTD("tos.rtd",,$A$2,"."&amp;J$2&amp;J$1&amp;"C"&amp;$A42))-IF(RTD("tos.rtd",,$A$2,"."&amp;J$2&amp;J$1&amp;"P"&amp;$A42)="N/A",0,RTD("tos.rtd",,$A$2,"."&amp;J$2&amp;J$1&amp;"P"&amp;$A42))))))))))</f>
        <v>0</v>
      </c>
      <c r="K42" s="12">
        <f ca="1">IF($A$2="PREMIUM_OI",IFERROR(IF($X$1="ABS",(100*RTD("tos.rtd",,"OPEN_INT","."&amp;K$2&amp;K$1&amp;"C"&amp;$A42)*RTD("tos.rtd",,"LAST","."&amp;K$2&amp;K$1&amp;"C"&amp;$A42)+100*RTD("tos.rtd",,"OPEN_INT","."&amp;K$2&amp;K$1&amp;"P"&amp;$A42)*RTD("tos.rtd",,"LAST","."&amp;K$2&amp;K$1&amp;"P"&amp;$A42))/1000000,(100*RTD("tos.rtd",,"OPEN_INT","."&amp;K$2&amp;K$1&amp;"C"&amp;$A42)*RTD("tos.rtd",,"LAST","."&amp;K$2&amp;K$1&amp;"C"&amp;$A42)-100*RTD("tos.rtd",,"OPEN_INT","."&amp;K$2&amp;K$1&amp;"P"&amp;$A42)*RTD("tos.rtd",,"LAST","."&amp;K$2&amp;K$1&amp;"P"&amp;$A42))/1000000),0),IF($A$2="PREMIUM",IFERROR(IF($X$1="ABS",(100*RTD("tos.rtd",,"VOLUME","."&amp;K$2&amp;K$1&amp;"C"&amp;$A42)*RTD("tos.rtd",,"LAST","."&amp;K$2&amp;K$1&amp;"C"&amp;$A42)+100*RTD("tos.rtd",,"VOLUME","."&amp;K$2&amp;K$1&amp;"P"&amp;$A42)*RTD("tos.rtd",,"LAST","."&amp;K$2&amp;K$1&amp;"P"&amp;$A42))/1000000,(100*RTD("tos.rtd",,"VOLUME","."&amp;K$2&amp;K$1&amp;"C"&amp;$A42)*RTD("tos.rtd",,"LAST","."&amp;K$2&amp;K$1&amp;"C"&amp;$A42)-100*RTD("tos.rtd",,"VOLUME","."&amp;K$2&amp;K$1&amp;"P"&amp;$A42)*RTD("tos.rtd",,"LAST","."&amp;K$2&amp;K$1&amp;"P"&amp;$A42))/1000000),0),IF($A$2="DEX",IFERROR(IF($X$1="ABS",(100*RTD("tos.rtd",,"OPEN_INT","."&amp;K$2&amp;K$1&amp;"C"&amp;$A42)*RTD("tos.rtd",,"DELTA","."&amp;K$2&amp;K$1&amp;"C"&amp;$A42)+100*RTD("tos.rtd",,"OPEN_INT","."&amp;K$2&amp;K$1&amp;"P"&amp;$A42)*RTD("tos.rtd",,"DELTA","."&amp;K$2&amp;K$1&amp;"P"&amp;$A42))/1000,(100*RTD("tos.rtd",,"OPEN_INT","."&amp;K$2&amp;K$1&amp;"C"&amp;$A42)*RTD("tos.rtd",,"DELTA","."&amp;K$2&amp;K$1&amp;"C"&amp;$A42)-100*RTD("tos.rtd",,"OPEN_INT","."&amp;K$2&amp;K$1&amp;"P"&amp;$A42)*RTD("tos.rtd",,"DELTA","."&amp;K$2&amp;K$1&amp;"P"&amp;$A42))/1000),0),IF($A$2="VEX",IFERROR(IF($X$1="ABS",($A$4*$A$4*RTD("tos.rtd",,"VOLUME","."&amp;K$2&amp;K$1&amp;"C"&amp;$A42)*RTD("tos.rtd",,"GAMMA","."&amp;K$2&amp;K$1&amp;"C"&amp;$A42)+$A$4*$A$4*RTD("tos.rtd",,"VOLUME","."&amp;K$2&amp;K$1&amp;"P"&amp;$A42)*RTD("tos.rtd",,"GAMMA","."&amp;K$2&amp;K$1&amp;"P"&amp;$A42))/1000000,($A$4*$A$4*RTD("tos.rtd",,"VOLUME","."&amp;K$2&amp;K$1&amp;"C"&amp;$A42)*RTD("tos.rtd",,"GAMMA","."&amp;K$2&amp;K$1&amp;"C"&amp;$A42)-$A$4*$A$4*RTD("tos.rtd",,"VOLUME","."&amp;K$2&amp;K$1&amp;"P"&amp;$A42)*RTD("tos.rtd",,"GAMMA","."&amp;K$2&amp;K$1&amp;"P"&amp;$A42))/1000000),0),IF($A$2="GEX",IFERROR(IF($X$1="ABS",($A$4*$A$4*RTD("tos.rtd",,"OPEN_INT","."&amp;K$2&amp;K$1&amp;"C"&amp;$A42)*RTD("tos.rtd",,"GAMMA","."&amp;K$2&amp;K$1&amp;"C"&amp;$A42)+$A$4*$A$4*RTD("tos.rtd",,"OPEN_INT","."&amp;K$2&amp;K$1&amp;"P"&amp;$A42)*RTD("tos.rtd",,"GAMMA","."&amp;K$2&amp;K$1&amp;"P"&amp;$A42))/1000000,($A$4*$A$4*RTD("tos.rtd",,"OPEN_INT","."&amp;K$2&amp;K$1&amp;"C"&amp;$A42)*RTD("tos.rtd",,"GAMMA","."&amp;K$2&amp;K$1&amp;"C"&amp;$A42)-$A$4*$A$4*RTD("tos.rtd",,"OPEN_INT","."&amp;K$2&amp;K$1&amp;"P"&amp;$A42)*RTD("tos.rtd",,"GAMMA","."&amp;K$2&amp;K$1&amp;"P"&amp;$A42))/1000000),0),IF($A$2="SKEW",IFERROR(VALUE(IF(RTD("tos.rtd",,"IMPL_VOL","."&amp;K$2&amp;K$1&amp;"P"&amp;$A42)="N/A",0,RTD("tos.rtd",,"IMPL_VOL","."&amp;K$2&amp;K$1&amp;"P"&amp;$A42))),0)-IFERROR(VALUE(IF(RTD("tos.rtd",,"IMPL_VOL","."&amp;K$2&amp;K$1&amp;"C"&amp;$A42)="N/A",0,RTD("tos.rtd",,"IMPL_VOL","."&amp;K$2&amp;K$1&amp;"C"&amp;$A42))),0),IF($A$2="MAXPAIN",IF($A$4&gt;$A42,($A$4-$A42)*IF(RTD("tos.rtd",,"OPEN_INT","."&amp;K$2&amp;K$1&amp;"C"&amp;$A42)="N/A",0,RTD("tos.rtd",,"OPEN_INT","."&amp;K$2&amp;K$1&amp;"C"&amp;$A42)),0)+IF($A$4&lt;$A42,($A$5-$A$4)*IF(RTD("tos.rtd",,"OPEN_INT","."&amp;K$2&amp;K$1&amp;"P"&amp;$A42)="N/A",0,RTD("tos.rtd",,"OPEN_INT","."&amp;K$2&amp;K$1&amp;"P"&amp;$A42)),0),IF($X$1="ABS",IF(RTD("tos.rtd",,$A$2,"."&amp;K$2&amp;K$1&amp;"C"&amp;$A42)="N/A",0,RTD("tos.rtd",,$A$2,"."&amp;K$2&amp;K$1&amp;"C"&amp;$A42))+IF(RTD("tos.rtd",,$A$2,"."&amp;K$2&amp;K$1&amp;"P"&amp;$A42)="N/A",0,RTD("tos.rtd",,$A$2,"."&amp;K$2&amp;K$1&amp;"P"&amp;$A42)),IF(RTD("tos.rtd",,$A$2,"."&amp;K$2&amp;K$1&amp;"C"&amp;$A42)="N/A",0,RTD("tos.rtd",,$A$2,"."&amp;K$2&amp;K$1&amp;"C"&amp;$A42))-IF(RTD("tos.rtd",,$A$2,"."&amp;K$2&amp;K$1&amp;"P"&amp;$A42)="N/A",0,RTD("tos.rtd",,$A$2,"."&amp;K$2&amp;K$1&amp;"P"&amp;$A42))))))))))</f>
        <v>0</v>
      </c>
      <c r="L42" s="54">
        <f ca="1">IF($A$2="PREMIUM_OI",IFERROR(IF($X$1="ABS",(100*RTD("tos.rtd",,"OPEN_INT","."&amp;L$2&amp;L$1&amp;"C"&amp;$A42)*RTD("tos.rtd",,"LAST","."&amp;L$2&amp;L$1&amp;"C"&amp;$A42)+100*RTD("tos.rtd",,"OPEN_INT","."&amp;L$2&amp;L$1&amp;"P"&amp;$A42)*RTD("tos.rtd",,"LAST","."&amp;L$2&amp;L$1&amp;"P"&amp;$A42))/1000000,(100*RTD("tos.rtd",,"OPEN_INT","."&amp;L$2&amp;L$1&amp;"C"&amp;$A42)*RTD("tos.rtd",,"LAST","."&amp;L$2&amp;L$1&amp;"C"&amp;$A42)-100*RTD("tos.rtd",,"OPEN_INT","."&amp;L$2&amp;L$1&amp;"P"&amp;$A42)*RTD("tos.rtd",,"LAST","."&amp;L$2&amp;L$1&amp;"P"&amp;$A42))/1000000),0),IF($A$2="PREMIUM",IFERROR(IF($X$1="ABS",(100*RTD("tos.rtd",,"VOLUME","."&amp;L$2&amp;L$1&amp;"C"&amp;$A42)*RTD("tos.rtd",,"LAST","."&amp;L$2&amp;L$1&amp;"C"&amp;$A42)+100*RTD("tos.rtd",,"VOLUME","."&amp;L$2&amp;L$1&amp;"P"&amp;$A42)*RTD("tos.rtd",,"LAST","."&amp;L$2&amp;L$1&amp;"P"&amp;$A42))/1000000,(100*RTD("tos.rtd",,"VOLUME","."&amp;L$2&amp;L$1&amp;"C"&amp;$A42)*RTD("tos.rtd",,"LAST","."&amp;L$2&amp;L$1&amp;"C"&amp;$A42)-100*RTD("tos.rtd",,"VOLUME","."&amp;L$2&amp;L$1&amp;"P"&amp;$A42)*RTD("tos.rtd",,"LAST","."&amp;L$2&amp;L$1&amp;"P"&amp;$A42))/1000000),0),IF($A$2="DEX",IFERROR(IF($X$1="ABS",(100*RTD("tos.rtd",,"OPEN_INT","."&amp;L$2&amp;L$1&amp;"C"&amp;$A42)*RTD("tos.rtd",,"DELTA","."&amp;L$2&amp;L$1&amp;"C"&amp;$A42)+100*RTD("tos.rtd",,"OPEN_INT","."&amp;L$2&amp;L$1&amp;"P"&amp;$A42)*RTD("tos.rtd",,"DELTA","."&amp;L$2&amp;L$1&amp;"P"&amp;$A42))/1000,(100*RTD("tos.rtd",,"OPEN_INT","."&amp;L$2&amp;L$1&amp;"C"&amp;$A42)*RTD("tos.rtd",,"DELTA","."&amp;L$2&amp;L$1&amp;"C"&amp;$A42)-100*RTD("tos.rtd",,"OPEN_INT","."&amp;L$2&amp;L$1&amp;"P"&amp;$A42)*RTD("tos.rtd",,"DELTA","."&amp;L$2&amp;L$1&amp;"P"&amp;$A42))/1000),0),IF($A$2="VEX",IFERROR(IF($X$1="ABS",($A$4*$A$4*RTD("tos.rtd",,"VOLUME","."&amp;L$2&amp;L$1&amp;"C"&amp;$A42)*RTD("tos.rtd",,"GAMMA","."&amp;L$2&amp;L$1&amp;"C"&amp;$A42)+$A$4*$A$4*RTD("tos.rtd",,"VOLUME","."&amp;L$2&amp;L$1&amp;"P"&amp;$A42)*RTD("tos.rtd",,"GAMMA","."&amp;L$2&amp;L$1&amp;"P"&amp;$A42))/1000000,($A$4*$A$4*RTD("tos.rtd",,"VOLUME","."&amp;L$2&amp;L$1&amp;"C"&amp;$A42)*RTD("tos.rtd",,"GAMMA","."&amp;L$2&amp;L$1&amp;"C"&amp;$A42)-$A$4*$A$4*RTD("tos.rtd",,"VOLUME","."&amp;L$2&amp;L$1&amp;"P"&amp;$A42)*RTD("tos.rtd",,"GAMMA","."&amp;L$2&amp;L$1&amp;"P"&amp;$A42))/1000000),0),IF($A$2="GEX",IFERROR(IF($X$1="ABS",($A$4*$A$4*RTD("tos.rtd",,"OPEN_INT","."&amp;L$2&amp;L$1&amp;"C"&amp;$A42)*RTD("tos.rtd",,"GAMMA","."&amp;L$2&amp;L$1&amp;"C"&amp;$A42)+$A$4*$A$4*RTD("tos.rtd",,"OPEN_INT","."&amp;L$2&amp;L$1&amp;"P"&amp;$A42)*RTD("tos.rtd",,"GAMMA","."&amp;L$2&amp;L$1&amp;"P"&amp;$A42))/1000000,($A$4*$A$4*RTD("tos.rtd",,"OPEN_INT","."&amp;L$2&amp;L$1&amp;"C"&amp;$A42)*RTD("tos.rtd",,"GAMMA","."&amp;L$2&amp;L$1&amp;"C"&amp;$A42)-$A$4*$A$4*RTD("tos.rtd",,"OPEN_INT","."&amp;L$2&amp;L$1&amp;"P"&amp;$A42)*RTD("tos.rtd",,"GAMMA","."&amp;L$2&amp;L$1&amp;"P"&amp;$A42))/1000000),0),IF($A$2="SKEW",IFERROR(VALUE(IF(RTD("tos.rtd",,"IMPL_VOL","."&amp;L$2&amp;L$1&amp;"P"&amp;$A42)="N/A",0,RTD("tos.rtd",,"IMPL_VOL","."&amp;L$2&amp;L$1&amp;"P"&amp;$A42))),0)-IFERROR(VALUE(IF(RTD("tos.rtd",,"IMPL_VOL","."&amp;L$2&amp;L$1&amp;"C"&amp;$A42)="N/A",0,RTD("tos.rtd",,"IMPL_VOL","."&amp;L$2&amp;L$1&amp;"C"&amp;$A42))),0),IF($A$2="MAXPAIN",IF($A$4&gt;$A42,($A$4-$A42)*IF(RTD("tos.rtd",,"OPEN_INT","."&amp;L$2&amp;L$1&amp;"C"&amp;$A42)="N/A",0,RTD("tos.rtd",,"OPEN_INT","."&amp;L$2&amp;L$1&amp;"C"&amp;$A42)),0)+IF($A$4&lt;$A42,($A$5-$A$4)*IF(RTD("tos.rtd",,"OPEN_INT","."&amp;L$2&amp;L$1&amp;"P"&amp;$A42)="N/A",0,RTD("tos.rtd",,"OPEN_INT","."&amp;L$2&amp;L$1&amp;"P"&amp;$A42)),0),IF($X$1="ABS",IF(RTD("tos.rtd",,$A$2,"."&amp;L$2&amp;L$1&amp;"C"&amp;$A42)="N/A",0,RTD("tos.rtd",,$A$2,"."&amp;L$2&amp;L$1&amp;"C"&amp;$A42))+IF(RTD("tos.rtd",,$A$2,"."&amp;L$2&amp;L$1&amp;"P"&amp;$A42)="N/A",0,RTD("tos.rtd",,$A$2,"."&amp;L$2&amp;L$1&amp;"P"&amp;$A42)),IF(RTD("tos.rtd",,$A$2,"."&amp;L$2&amp;L$1&amp;"C"&amp;$A42)="N/A",0,RTD("tos.rtd",,$A$2,"."&amp;L$2&amp;L$1&amp;"C"&amp;$A42))-IF(RTD("tos.rtd",,$A$2,"."&amp;L$2&amp;L$1&amp;"P"&amp;$A42)="N/A",0,RTD("tos.rtd",,$A$2,"."&amp;L$2&amp;L$1&amp;"P"&amp;$A42))))))))))</f>
        <v>0</v>
      </c>
      <c r="M42" s="12">
        <f ca="1">IF($A$2="PREMIUM_OI",IFERROR(IF($X$1="ABS",(100*RTD("tos.rtd",,"OPEN_INT","."&amp;M$2&amp;M$1&amp;"C"&amp;$A42)*RTD("tos.rtd",,"LAST","."&amp;M$2&amp;M$1&amp;"C"&amp;$A42)+100*RTD("tos.rtd",,"OPEN_INT","."&amp;M$2&amp;M$1&amp;"P"&amp;$A42)*RTD("tos.rtd",,"LAST","."&amp;M$2&amp;M$1&amp;"P"&amp;$A42))/1000000,(100*RTD("tos.rtd",,"OPEN_INT","."&amp;M$2&amp;M$1&amp;"C"&amp;$A42)*RTD("tos.rtd",,"LAST","."&amp;M$2&amp;M$1&amp;"C"&amp;$A42)-100*RTD("tos.rtd",,"OPEN_INT","."&amp;M$2&amp;M$1&amp;"P"&amp;$A42)*RTD("tos.rtd",,"LAST","."&amp;M$2&amp;M$1&amp;"P"&amp;$A42))/1000000),0),IF($A$2="PREMIUM",IFERROR(IF($X$1="ABS",(100*RTD("tos.rtd",,"VOLUME","."&amp;M$2&amp;M$1&amp;"C"&amp;$A42)*RTD("tos.rtd",,"LAST","."&amp;M$2&amp;M$1&amp;"C"&amp;$A42)+100*RTD("tos.rtd",,"VOLUME","."&amp;M$2&amp;M$1&amp;"P"&amp;$A42)*RTD("tos.rtd",,"LAST","."&amp;M$2&amp;M$1&amp;"P"&amp;$A42))/1000000,(100*RTD("tos.rtd",,"VOLUME","."&amp;M$2&amp;M$1&amp;"C"&amp;$A42)*RTD("tos.rtd",,"LAST","."&amp;M$2&amp;M$1&amp;"C"&amp;$A42)-100*RTD("tos.rtd",,"VOLUME","."&amp;M$2&amp;M$1&amp;"P"&amp;$A42)*RTD("tos.rtd",,"LAST","."&amp;M$2&amp;M$1&amp;"P"&amp;$A42))/1000000),0),IF($A$2="DEX",IFERROR(IF($X$1="ABS",(100*RTD("tos.rtd",,"OPEN_INT","."&amp;M$2&amp;M$1&amp;"C"&amp;$A42)*RTD("tos.rtd",,"DELTA","."&amp;M$2&amp;M$1&amp;"C"&amp;$A42)+100*RTD("tos.rtd",,"OPEN_INT","."&amp;M$2&amp;M$1&amp;"P"&amp;$A42)*RTD("tos.rtd",,"DELTA","."&amp;M$2&amp;M$1&amp;"P"&amp;$A42))/1000,(100*RTD("tos.rtd",,"OPEN_INT","."&amp;M$2&amp;M$1&amp;"C"&amp;$A42)*RTD("tos.rtd",,"DELTA","."&amp;M$2&amp;M$1&amp;"C"&amp;$A42)-100*RTD("tos.rtd",,"OPEN_INT","."&amp;M$2&amp;M$1&amp;"P"&amp;$A42)*RTD("tos.rtd",,"DELTA","."&amp;M$2&amp;M$1&amp;"P"&amp;$A42))/1000),0),IF($A$2="VEX",IFERROR(IF($X$1="ABS",($A$4*$A$4*RTD("tos.rtd",,"VOLUME","."&amp;M$2&amp;M$1&amp;"C"&amp;$A42)*RTD("tos.rtd",,"GAMMA","."&amp;M$2&amp;M$1&amp;"C"&amp;$A42)+$A$4*$A$4*RTD("tos.rtd",,"VOLUME","."&amp;M$2&amp;M$1&amp;"P"&amp;$A42)*RTD("tos.rtd",,"GAMMA","."&amp;M$2&amp;M$1&amp;"P"&amp;$A42))/1000000,($A$4*$A$4*RTD("tos.rtd",,"VOLUME","."&amp;M$2&amp;M$1&amp;"C"&amp;$A42)*RTD("tos.rtd",,"GAMMA","."&amp;M$2&amp;M$1&amp;"C"&amp;$A42)-$A$4*$A$4*RTD("tos.rtd",,"VOLUME","."&amp;M$2&amp;M$1&amp;"P"&amp;$A42)*RTD("tos.rtd",,"GAMMA","."&amp;M$2&amp;M$1&amp;"P"&amp;$A42))/1000000),0),IF($A$2="GEX",IFERROR(IF($X$1="ABS",($A$4*$A$4*RTD("tos.rtd",,"OPEN_INT","."&amp;M$2&amp;M$1&amp;"C"&amp;$A42)*RTD("tos.rtd",,"GAMMA","."&amp;M$2&amp;M$1&amp;"C"&amp;$A42)+$A$4*$A$4*RTD("tos.rtd",,"OPEN_INT","."&amp;M$2&amp;M$1&amp;"P"&amp;$A42)*RTD("tos.rtd",,"GAMMA","."&amp;M$2&amp;M$1&amp;"P"&amp;$A42))/1000000,($A$4*$A$4*RTD("tos.rtd",,"OPEN_INT","."&amp;M$2&amp;M$1&amp;"C"&amp;$A42)*RTD("tos.rtd",,"GAMMA","."&amp;M$2&amp;M$1&amp;"C"&amp;$A42)-$A$4*$A$4*RTD("tos.rtd",,"OPEN_INT","."&amp;M$2&amp;M$1&amp;"P"&amp;$A42)*RTD("tos.rtd",,"GAMMA","."&amp;M$2&amp;M$1&amp;"P"&amp;$A42))/1000000),0),IF($A$2="SKEW",IFERROR(VALUE(IF(RTD("tos.rtd",,"IMPL_VOL","."&amp;M$2&amp;M$1&amp;"P"&amp;$A42)="N/A",0,RTD("tos.rtd",,"IMPL_VOL","."&amp;M$2&amp;M$1&amp;"P"&amp;$A42))),0)-IFERROR(VALUE(IF(RTD("tos.rtd",,"IMPL_VOL","."&amp;M$2&amp;M$1&amp;"C"&amp;$A42)="N/A",0,RTD("tos.rtd",,"IMPL_VOL","."&amp;M$2&amp;M$1&amp;"C"&amp;$A42))),0),IF($A$2="MAXPAIN",IF($A$4&gt;$A42,($A$4-$A42)*IF(RTD("tos.rtd",,"OPEN_INT","."&amp;M$2&amp;M$1&amp;"C"&amp;$A42)="N/A",0,RTD("tos.rtd",,"OPEN_INT","."&amp;M$2&amp;M$1&amp;"C"&amp;$A42)),0)+IF($A$4&lt;$A42,($A$5-$A$4)*IF(RTD("tos.rtd",,"OPEN_INT","."&amp;M$2&amp;M$1&amp;"P"&amp;$A42)="N/A",0,RTD("tos.rtd",,"OPEN_INT","."&amp;M$2&amp;M$1&amp;"P"&amp;$A42)),0),IF($X$1="ABS",IF(RTD("tos.rtd",,$A$2,"."&amp;M$2&amp;M$1&amp;"C"&amp;$A42)="N/A",0,RTD("tos.rtd",,$A$2,"."&amp;M$2&amp;M$1&amp;"C"&amp;$A42))+IF(RTD("tos.rtd",,$A$2,"."&amp;M$2&amp;M$1&amp;"P"&amp;$A42)="N/A",0,RTD("tos.rtd",,$A$2,"."&amp;M$2&amp;M$1&amp;"P"&amp;$A42)),IF(RTD("tos.rtd",,$A$2,"."&amp;M$2&amp;M$1&amp;"C"&amp;$A42)="N/A",0,RTD("tos.rtd",,$A$2,"."&amp;M$2&amp;M$1&amp;"C"&amp;$A42))-IF(RTD("tos.rtd",,$A$2,"."&amp;M$2&amp;M$1&amp;"P"&amp;$A42)="N/A",0,RTD("tos.rtd",,$A$2,"."&amp;M$2&amp;M$1&amp;"P"&amp;$A42))))))))))</f>
        <v>0</v>
      </c>
      <c r="N42" s="12">
        <f ca="1">IF($A$2="PREMIUM_OI",IFERROR(IF($X$1="ABS",(100*RTD("tos.rtd",,"OPEN_INT","."&amp;N$2&amp;N$1&amp;"C"&amp;$A42)*RTD("tos.rtd",,"LAST","."&amp;N$2&amp;N$1&amp;"C"&amp;$A42)+100*RTD("tos.rtd",,"OPEN_INT","."&amp;N$2&amp;N$1&amp;"P"&amp;$A42)*RTD("tos.rtd",,"LAST","."&amp;N$2&amp;N$1&amp;"P"&amp;$A42))/1000000,(100*RTD("tos.rtd",,"OPEN_INT","."&amp;N$2&amp;N$1&amp;"C"&amp;$A42)*RTD("tos.rtd",,"LAST","."&amp;N$2&amp;N$1&amp;"C"&amp;$A42)-100*RTD("tos.rtd",,"OPEN_INT","."&amp;N$2&amp;N$1&amp;"P"&amp;$A42)*RTD("tos.rtd",,"LAST","."&amp;N$2&amp;N$1&amp;"P"&amp;$A42))/1000000),0),IF($A$2="PREMIUM",IFERROR(IF($X$1="ABS",(100*RTD("tos.rtd",,"VOLUME","."&amp;N$2&amp;N$1&amp;"C"&amp;$A42)*RTD("tos.rtd",,"LAST","."&amp;N$2&amp;N$1&amp;"C"&amp;$A42)+100*RTD("tos.rtd",,"VOLUME","."&amp;N$2&amp;N$1&amp;"P"&amp;$A42)*RTD("tos.rtd",,"LAST","."&amp;N$2&amp;N$1&amp;"P"&amp;$A42))/1000000,(100*RTD("tos.rtd",,"VOLUME","."&amp;N$2&amp;N$1&amp;"C"&amp;$A42)*RTD("tos.rtd",,"LAST","."&amp;N$2&amp;N$1&amp;"C"&amp;$A42)-100*RTD("tos.rtd",,"VOLUME","."&amp;N$2&amp;N$1&amp;"P"&amp;$A42)*RTD("tos.rtd",,"LAST","."&amp;N$2&amp;N$1&amp;"P"&amp;$A42))/1000000),0),IF($A$2="DEX",IFERROR(IF($X$1="ABS",(100*RTD("tos.rtd",,"OPEN_INT","."&amp;N$2&amp;N$1&amp;"C"&amp;$A42)*RTD("tos.rtd",,"DELTA","."&amp;N$2&amp;N$1&amp;"C"&amp;$A42)+100*RTD("tos.rtd",,"OPEN_INT","."&amp;N$2&amp;N$1&amp;"P"&amp;$A42)*RTD("tos.rtd",,"DELTA","."&amp;N$2&amp;N$1&amp;"P"&amp;$A42))/1000,(100*RTD("tos.rtd",,"OPEN_INT","."&amp;N$2&amp;N$1&amp;"C"&amp;$A42)*RTD("tos.rtd",,"DELTA","."&amp;N$2&amp;N$1&amp;"C"&amp;$A42)-100*RTD("tos.rtd",,"OPEN_INT","."&amp;N$2&amp;N$1&amp;"P"&amp;$A42)*RTD("tos.rtd",,"DELTA","."&amp;N$2&amp;N$1&amp;"P"&amp;$A42))/1000),0),IF($A$2="VEX",IFERROR(IF($X$1="ABS",($A$4*$A$4*RTD("tos.rtd",,"VOLUME","."&amp;N$2&amp;N$1&amp;"C"&amp;$A42)*RTD("tos.rtd",,"GAMMA","."&amp;N$2&amp;N$1&amp;"C"&amp;$A42)+$A$4*$A$4*RTD("tos.rtd",,"VOLUME","."&amp;N$2&amp;N$1&amp;"P"&amp;$A42)*RTD("tos.rtd",,"GAMMA","."&amp;N$2&amp;N$1&amp;"P"&amp;$A42))/1000000,($A$4*$A$4*RTD("tos.rtd",,"VOLUME","."&amp;N$2&amp;N$1&amp;"C"&amp;$A42)*RTD("tos.rtd",,"GAMMA","."&amp;N$2&amp;N$1&amp;"C"&amp;$A42)-$A$4*$A$4*RTD("tos.rtd",,"VOLUME","."&amp;N$2&amp;N$1&amp;"P"&amp;$A42)*RTD("tos.rtd",,"GAMMA","."&amp;N$2&amp;N$1&amp;"P"&amp;$A42))/1000000),0),IF($A$2="GEX",IFERROR(IF($X$1="ABS",($A$4*$A$4*RTD("tos.rtd",,"OPEN_INT","."&amp;N$2&amp;N$1&amp;"C"&amp;$A42)*RTD("tos.rtd",,"GAMMA","."&amp;N$2&amp;N$1&amp;"C"&amp;$A42)+$A$4*$A$4*RTD("tos.rtd",,"OPEN_INT","."&amp;N$2&amp;N$1&amp;"P"&amp;$A42)*RTD("tos.rtd",,"GAMMA","."&amp;N$2&amp;N$1&amp;"P"&amp;$A42))/1000000,($A$4*$A$4*RTD("tos.rtd",,"OPEN_INT","."&amp;N$2&amp;N$1&amp;"C"&amp;$A42)*RTD("tos.rtd",,"GAMMA","."&amp;N$2&amp;N$1&amp;"C"&amp;$A42)-$A$4*$A$4*RTD("tos.rtd",,"OPEN_INT","."&amp;N$2&amp;N$1&amp;"P"&amp;$A42)*RTD("tos.rtd",,"GAMMA","."&amp;N$2&amp;N$1&amp;"P"&amp;$A42))/1000000),0),IF($A$2="SKEW",IFERROR(VALUE(IF(RTD("tos.rtd",,"IMPL_VOL","."&amp;N$2&amp;N$1&amp;"P"&amp;$A42)="N/A",0,RTD("tos.rtd",,"IMPL_VOL","."&amp;N$2&amp;N$1&amp;"P"&amp;$A42))),0)-IFERROR(VALUE(IF(RTD("tos.rtd",,"IMPL_VOL","."&amp;N$2&amp;N$1&amp;"C"&amp;$A42)="N/A",0,RTD("tos.rtd",,"IMPL_VOL","."&amp;N$2&amp;N$1&amp;"C"&amp;$A42))),0),IF($A$2="MAXPAIN",IF($A$4&gt;$A42,($A$4-$A42)*IF(RTD("tos.rtd",,"OPEN_INT","."&amp;N$2&amp;N$1&amp;"C"&amp;$A42)="N/A",0,RTD("tos.rtd",,"OPEN_INT","."&amp;N$2&amp;N$1&amp;"C"&amp;$A42)),0)+IF($A$4&lt;$A42,($A$5-$A$4)*IF(RTD("tos.rtd",,"OPEN_INT","."&amp;N$2&amp;N$1&amp;"P"&amp;$A42)="N/A",0,RTD("tos.rtd",,"OPEN_INT","."&amp;N$2&amp;N$1&amp;"P"&amp;$A42)),0),IF($X$1="ABS",IF(RTD("tos.rtd",,$A$2,"."&amp;N$2&amp;N$1&amp;"C"&amp;$A42)="N/A",0,RTD("tos.rtd",,$A$2,"."&amp;N$2&amp;N$1&amp;"C"&amp;$A42))+IF(RTD("tos.rtd",,$A$2,"."&amp;N$2&amp;N$1&amp;"P"&amp;$A42)="N/A",0,RTD("tos.rtd",,$A$2,"."&amp;N$2&amp;N$1&amp;"P"&amp;$A42)),IF(RTD("tos.rtd",,$A$2,"."&amp;N$2&amp;N$1&amp;"C"&amp;$A42)="N/A",0,RTD("tos.rtd",,$A$2,"."&amp;N$2&amp;N$1&amp;"C"&amp;$A42))-IF(RTD("tos.rtd",,$A$2,"."&amp;N$2&amp;N$1&amp;"P"&amp;$A42)="N/A",0,RTD("tos.rtd",,$A$2,"."&amp;N$2&amp;N$1&amp;"P"&amp;$A42))))))))))</f>
        <v>0</v>
      </c>
      <c r="O42" s="12">
        <f ca="1">IF($A$2="PREMIUM_OI",IFERROR(IF($X$1="ABS",(100*RTD("tos.rtd",,"OPEN_INT","."&amp;O$2&amp;O$1&amp;"C"&amp;$A42)*RTD("tos.rtd",,"LAST","."&amp;O$2&amp;O$1&amp;"C"&amp;$A42)+100*RTD("tos.rtd",,"OPEN_INT","."&amp;O$2&amp;O$1&amp;"P"&amp;$A42)*RTD("tos.rtd",,"LAST","."&amp;O$2&amp;O$1&amp;"P"&amp;$A42))/1000000,(100*RTD("tos.rtd",,"OPEN_INT","."&amp;O$2&amp;O$1&amp;"C"&amp;$A42)*RTD("tos.rtd",,"LAST","."&amp;O$2&amp;O$1&amp;"C"&amp;$A42)-100*RTD("tos.rtd",,"OPEN_INT","."&amp;O$2&amp;O$1&amp;"P"&amp;$A42)*RTD("tos.rtd",,"LAST","."&amp;O$2&amp;O$1&amp;"P"&amp;$A42))/1000000),0),IF($A$2="PREMIUM",IFERROR(IF($X$1="ABS",(100*RTD("tos.rtd",,"VOLUME","."&amp;O$2&amp;O$1&amp;"C"&amp;$A42)*RTD("tos.rtd",,"LAST","."&amp;O$2&amp;O$1&amp;"C"&amp;$A42)+100*RTD("tos.rtd",,"VOLUME","."&amp;O$2&amp;O$1&amp;"P"&amp;$A42)*RTD("tos.rtd",,"LAST","."&amp;O$2&amp;O$1&amp;"P"&amp;$A42))/1000000,(100*RTD("tos.rtd",,"VOLUME","."&amp;O$2&amp;O$1&amp;"C"&amp;$A42)*RTD("tos.rtd",,"LAST","."&amp;O$2&amp;O$1&amp;"C"&amp;$A42)-100*RTD("tos.rtd",,"VOLUME","."&amp;O$2&amp;O$1&amp;"P"&amp;$A42)*RTD("tos.rtd",,"LAST","."&amp;O$2&amp;O$1&amp;"P"&amp;$A42))/1000000),0),IF($A$2="DEX",IFERROR(IF($X$1="ABS",(100*RTD("tos.rtd",,"OPEN_INT","."&amp;O$2&amp;O$1&amp;"C"&amp;$A42)*RTD("tos.rtd",,"DELTA","."&amp;O$2&amp;O$1&amp;"C"&amp;$A42)+100*RTD("tos.rtd",,"OPEN_INT","."&amp;O$2&amp;O$1&amp;"P"&amp;$A42)*RTD("tos.rtd",,"DELTA","."&amp;O$2&amp;O$1&amp;"P"&amp;$A42))/1000,(100*RTD("tos.rtd",,"OPEN_INT","."&amp;O$2&amp;O$1&amp;"C"&amp;$A42)*RTD("tos.rtd",,"DELTA","."&amp;O$2&amp;O$1&amp;"C"&amp;$A42)-100*RTD("tos.rtd",,"OPEN_INT","."&amp;O$2&amp;O$1&amp;"P"&amp;$A42)*RTD("tos.rtd",,"DELTA","."&amp;O$2&amp;O$1&amp;"P"&amp;$A42))/1000),0),IF($A$2="VEX",IFERROR(IF($X$1="ABS",($A$4*$A$4*RTD("tos.rtd",,"VOLUME","."&amp;O$2&amp;O$1&amp;"C"&amp;$A42)*RTD("tos.rtd",,"GAMMA","."&amp;O$2&amp;O$1&amp;"C"&amp;$A42)+$A$4*$A$4*RTD("tos.rtd",,"VOLUME","."&amp;O$2&amp;O$1&amp;"P"&amp;$A42)*RTD("tos.rtd",,"GAMMA","."&amp;O$2&amp;O$1&amp;"P"&amp;$A42))/1000000,($A$4*$A$4*RTD("tos.rtd",,"VOLUME","."&amp;O$2&amp;O$1&amp;"C"&amp;$A42)*RTD("tos.rtd",,"GAMMA","."&amp;O$2&amp;O$1&amp;"C"&amp;$A42)-$A$4*$A$4*RTD("tos.rtd",,"VOLUME","."&amp;O$2&amp;O$1&amp;"P"&amp;$A42)*RTD("tos.rtd",,"GAMMA","."&amp;O$2&amp;O$1&amp;"P"&amp;$A42))/1000000),0),IF($A$2="GEX",IFERROR(IF($X$1="ABS",($A$4*$A$4*RTD("tos.rtd",,"OPEN_INT","."&amp;O$2&amp;O$1&amp;"C"&amp;$A42)*RTD("tos.rtd",,"GAMMA","."&amp;O$2&amp;O$1&amp;"C"&amp;$A42)+$A$4*$A$4*RTD("tos.rtd",,"OPEN_INT","."&amp;O$2&amp;O$1&amp;"P"&amp;$A42)*RTD("tos.rtd",,"GAMMA","."&amp;O$2&amp;O$1&amp;"P"&amp;$A42))/1000000,($A$4*$A$4*RTD("tos.rtd",,"OPEN_INT","."&amp;O$2&amp;O$1&amp;"C"&amp;$A42)*RTD("tos.rtd",,"GAMMA","."&amp;O$2&amp;O$1&amp;"C"&amp;$A42)-$A$4*$A$4*RTD("tos.rtd",,"OPEN_INT","."&amp;O$2&amp;O$1&amp;"P"&amp;$A42)*RTD("tos.rtd",,"GAMMA","."&amp;O$2&amp;O$1&amp;"P"&amp;$A42))/1000000),0),IF($A$2="SKEW",IFERROR(VALUE(IF(RTD("tos.rtd",,"IMPL_VOL","."&amp;O$2&amp;O$1&amp;"P"&amp;$A42)="N/A",0,RTD("tos.rtd",,"IMPL_VOL","."&amp;O$2&amp;O$1&amp;"P"&amp;$A42))),0)-IFERROR(VALUE(IF(RTD("tos.rtd",,"IMPL_VOL","."&amp;O$2&amp;O$1&amp;"C"&amp;$A42)="N/A",0,RTD("tos.rtd",,"IMPL_VOL","."&amp;O$2&amp;O$1&amp;"C"&amp;$A42))),0),IF($A$2="MAXPAIN",IF($A$4&gt;$A42,($A$4-$A42)*IF(RTD("tos.rtd",,"OPEN_INT","."&amp;O$2&amp;O$1&amp;"C"&amp;$A42)="N/A",0,RTD("tos.rtd",,"OPEN_INT","."&amp;O$2&amp;O$1&amp;"C"&amp;$A42)),0)+IF($A$4&lt;$A42,($A$5-$A$4)*IF(RTD("tos.rtd",,"OPEN_INT","."&amp;O$2&amp;O$1&amp;"P"&amp;$A42)="N/A",0,RTD("tos.rtd",,"OPEN_INT","."&amp;O$2&amp;O$1&amp;"P"&amp;$A42)),0),IF($X$1="ABS",IF(RTD("tos.rtd",,$A$2,"."&amp;O$2&amp;O$1&amp;"C"&amp;$A42)="N/A",0,RTD("tos.rtd",,$A$2,"."&amp;O$2&amp;O$1&amp;"C"&amp;$A42))+IF(RTD("tos.rtd",,$A$2,"."&amp;O$2&amp;O$1&amp;"P"&amp;$A42)="N/A",0,RTD("tos.rtd",,$A$2,"."&amp;O$2&amp;O$1&amp;"P"&amp;$A42)),IF(RTD("tos.rtd",,$A$2,"."&amp;O$2&amp;O$1&amp;"C"&amp;$A42)="N/A",0,RTD("tos.rtd",,$A$2,"."&amp;O$2&amp;O$1&amp;"C"&amp;$A42))-IF(RTD("tos.rtd",,$A$2,"."&amp;O$2&amp;O$1&amp;"P"&amp;$A42)="N/A",0,RTD("tos.rtd",,$A$2,"."&amp;O$2&amp;O$1&amp;"P"&amp;$A42))))))))))</f>
        <v>0</v>
      </c>
      <c r="P42" s="12">
        <f ca="1">IF($A$2="PREMIUM_OI",IFERROR(IF($X$1="ABS",(100*RTD("tos.rtd",,"OPEN_INT","."&amp;P$2&amp;P$1&amp;"C"&amp;$A42)*RTD("tos.rtd",,"LAST","."&amp;P$2&amp;P$1&amp;"C"&amp;$A42)+100*RTD("tos.rtd",,"OPEN_INT","."&amp;P$2&amp;P$1&amp;"P"&amp;$A42)*RTD("tos.rtd",,"LAST","."&amp;P$2&amp;P$1&amp;"P"&amp;$A42))/1000000,(100*RTD("tos.rtd",,"OPEN_INT","."&amp;P$2&amp;P$1&amp;"C"&amp;$A42)*RTD("tos.rtd",,"LAST","."&amp;P$2&amp;P$1&amp;"C"&amp;$A42)-100*RTD("tos.rtd",,"OPEN_INT","."&amp;P$2&amp;P$1&amp;"P"&amp;$A42)*RTD("tos.rtd",,"LAST","."&amp;P$2&amp;P$1&amp;"P"&amp;$A42))/1000000),0),IF($A$2="PREMIUM",IFERROR(IF($X$1="ABS",(100*RTD("tos.rtd",,"VOLUME","."&amp;P$2&amp;P$1&amp;"C"&amp;$A42)*RTD("tos.rtd",,"LAST","."&amp;P$2&amp;P$1&amp;"C"&amp;$A42)+100*RTD("tos.rtd",,"VOLUME","."&amp;P$2&amp;P$1&amp;"P"&amp;$A42)*RTD("tos.rtd",,"LAST","."&amp;P$2&amp;P$1&amp;"P"&amp;$A42))/1000000,(100*RTD("tos.rtd",,"VOLUME","."&amp;P$2&amp;P$1&amp;"C"&amp;$A42)*RTD("tos.rtd",,"LAST","."&amp;P$2&amp;P$1&amp;"C"&amp;$A42)-100*RTD("tos.rtd",,"VOLUME","."&amp;P$2&amp;P$1&amp;"P"&amp;$A42)*RTD("tos.rtd",,"LAST","."&amp;P$2&amp;P$1&amp;"P"&amp;$A42))/1000000),0),IF($A$2="DEX",IFERROR(IF($X$1="ABS",(100*RTD("tos.rtd",,"OPEN_INT","."&amp;P$2&amp;P$1&amp;"C"&amp;$A42)*RTD("tos.rtd",,"DELTA","."&amp;P$2&amp;P$1&amp;"C"&amp;$A42)+100*RTD("tos.rtd",,"OPEN_INT","."&amp;P$2&amp;P$1&amp;"P"&amp;$A42)*RTD("tos.rtd",,"DELTA","."&amp;P$2&amp;P$1&amp;"P"&amp;$A42))/1000,(100*RTD("tos.rtd",,"OPEN_INT","."&amp;P$2&amp;P$1&amp;"C"&amp;$A42)*RTD("tos.rtd",,"DELTA","."&amp;P$2&amp;P$1&amp;"C"&amp;$A42)-100*RTD("tos.rtd",,"OPEN_INT","."&amp;P$2&amp;P$1&amp;"P"&amp;$A42)*RTD("tos.rtd",,"DELTA","."&amp;P$2&amp;P$1&amp;"P"&amp;$A42))/1000),0),IF($A$2="VEX",IFERROR(IF($X$1="ABS",($A$4*$A$4*RTD("tos.rtd",,"VOLUME","."&amp;P$2&amp;P$1&amp;"C"&amp;$A42)*RTD("tos.rtd",,"GAMMA","."&amp;P$2&amp;P$1&amp;"C"&amp;$A42)+$A$4*$A$4*RTD("tos.rtd",,"VOLUME","."&amp;P$2&amp;P$1&amp;"P"&amp;$A42)*RTD("tos.rtd",,"GAMMA","."&amp;P$2&amp;P$1&amp;"P"&amp;$A42))/1000000,($A$4*$A$4*RTD("tos.rtd",,"VOLUME","."&amp;P$2&amp;P$1&amp;"C"&amp;$A42)*RTD("tos.rtd",,"GAMMA","."&amp;P$2&amp;P$1&amp;"C"&amp;$A42)-$A$4*$A$4*RTD("tos.rtd",,"VOLUME","."&amp;P$2&amp;P$1&amp;"P"&amp;$A42)*RTD("tos.rtd",,"GAMMA","."&amp;P$2&amp;P$1&amp;"P"&amp;$A42))/1000000),0),IF($A$2="GEX",IFERROR(IF($X$1="ABS",($A$4*$A$4*RTD("tos.rtd",,"OPEN_INT","."&amp;P$2&amp;P$1&amp;"C"&amp;$A42)*RTD("tos.rtd",,"GAMMA","."&amp;P$2&amp;P$1&amp;"C"&amp;$A42)+$A$4*$A$4*RTD("tos.rtd",,"OPEN_INT","."&amp;P$2&amp;P$1&amp;"P"&amp;$A42)*RTD("tos.rtd",,"GAMMA","."&amp;P$2&amp;P$1&amp;"P"&amp;$A42))/1000000,($A$4*$A$4*RTD("tos.rtd",,"OPEN_INT","."&amp;P$2&amp;P$1&amp;"C"&amp;$A42)*RTD("tos.rtd",,"GAMMA","."&amp;P$2&amp;P$1&amp;"C"&amp;$A42)-$A$4*$A$4*RTD("tos.rtd",,"OPEN_INT","."&amp;P$2&amp;P$1&amp;"P"&amp;$A42)*RTD("tos.rtd",,"GAMMA","."&amp;P$2&amp;P$1&amp;"P"&amp;$A42))/1000000),0),IF($A$2="SKEW",IFERROR(VALUE(IF(RTD("tos.rtd",,"IMPL_VOL","."&amp;P$2&amp;P$1&amp;"P"&amp;$A42)="N/A",0,RTD("tos.rtd",,"IMPL_VOL","."&amp;P$2&amp;P$1&amp;"P"&amp;$A42))),0)-IFERROR(VALUE(IF(RTD("tos.rtd",,"IMPL_VOL","."&amp;P$2&amp;P$1&amp;"C"&amp;$A42)="N/A",0,RTD("tos.rtd",,"IMPL_VOL","."&amp;P$2&amp;P$1&amp;"C"&amp;$A42))),0),IF($A$2="MAXPAIN",IF($A$4&gt;$A42,($A$4-$A42)*IF(RTD("tos.rtd",,"OPEN_INT","."&amp;P$2&amp;P$1&amp;"C"&amp;$A42)="N/A",0,RTD("tos.rtd",,"OPEN_INT","."&amp;P$2&amp;P$1&amp;"C"&amp;$A42)),0)+IF($A$4&lt;$A42,($A$5-$A$4)*IF(RTD("tos.rtd",,"OPEN_INT","."&amp;P$2&amp;P$1&amp;"P"&amp;$A42)="N/A",0,RTD("tos.rtd",,"OPEN_INT","."&amp;P$2&amp;P$1&amp;"P"&amp;$A42)),0),IF($X$1="ABS",IF(RTD("tos.rtd",,$A$2,"."&amp;P$2&amp;P$1&amp;"C"&amp;$A42)="N/A",0,RTD("tos.rtd",,$A$2,"."&amp;P$2&amp;P$1&amp;"C"&amp;$A42))+IF(RTD("tos.rtd",,$A$2,"."&amp;P$2&amp;P$1&amp;"P"&amp;$A42)="N/A",0,RTD("tos.rtd",,$A$2,"."&amp;P$2&amp;P$1&amp;"P"&amp;$A42)),IF(RTD("tos.rtd",,$A$2,"."&amp;P$2&amp;P$1&amp;"C"&amp;$A42)="N/A",0,RTD("tos.rtd",,$A$2,"."&amp;P$2&amp;P$1&amp;"C"&amp;$A42))-IF(RTD("tos.rtd",,$A$2,"."&amp;P$2&amp;P$1&amp;"P"&amp;$A42)="N/A",0,RTD("tos.rtd",,$A$2,"."&amp;P$2&amp;P$1&amp;"P"&amp;$A42))))))))))</f>
        <v>0</v>
      </c>
      <c r="Q42" s="12">
        <f ca="1">IF($A$2="PREMIUM_OI",IFERROR(IF($X$1="ABS",(100*RTD("tos.rtd",,"OPEN_INT","."&amp;Q$2&amp;Q$1&amp;"C"&amp;$A42)*RTD("tos.rtd",,"LAST","."&amp;Q$2&amp;Q$1&amp;"C"&amp;$A42)+100*RTD("tos.rtd",,"OPEN_INT","."&amp;Q$2&amp;Q$1&amp;"P"&amp;$A42)*RTD("tos.rtd",,"LAST","."&amp;Q$2&amp;Q$1&amp;"P"&amp;$A42))/1000000,(100*RTD("tos.rtd",,"OPEN_INT","."&amp;Q$2&amp;Q$1&amp;"C"&amp;$A42)*RTD("tos.rtd",,"LAST","."&amp;Q$2&amp;Q$1&amp;"C"&amp;$A42)-100*RTD("tos.rtd",,"OPEN_INT","."&amp;Q$2&amp;Q$1&amp;"P"&amp;$A42)*RTD("tos.rtd",,"LAST","."&amp;Q$2&amp;Q$1&amp;"P"&amp;$A42))/1000000),0),IF($A$2="PREMIUM",IFERROR(IF($X$1="ABS",(100*RTD("tos.rtd",,"VOLUME","."&amp;Q$2&amp;Q$1&amp;"C"&amp;$A42)*RTD("tos.rtd",,"LAST","."&amp;Q$2&amp;Q$1&amp;"C"&amp;$A42)+100*RTD("tos.rtd",,"VOLUME","."&amp;Q$2&amp;Q$1&amp;"P"&amp;$A42)*RTD("tos.rtd",,"LAST","."&amp;Q$2&amp;Q$1&amp;"P"&amp;$A42))/1000000,(100*RTD("tos.rtd",,"VOLUME","."&amp;Q$2&amp;Q$1&amp;"C"&amp;$A42)*RTD("tos.rtd",,"LAST","."&amp;Q$2&amp;Q$1&amp;"C"&amp;$A42)-100*RTD("tos.rtd",,"VOLUME","."&amp;Q$2&amp;Q$1&amp;"P"&amp;$A42)*RTD("tos.rtd",,"LAST","."&amp;Q$2&amp;Q$1&amp;"P"&amp;$A42))/1000000),0),IF($A$2="DEX",IFERROR(IF($X$1="ABS",(100*RTD("tos.rtd",,"OPEN_INT","."&amp;Q$2&amp;Q$1&amp;"C"&amp;$A42)*RTD("tos.rtd",,"DELTA","."&amp;Q$2&amp;Q$1&amp;"C"&amp;$A42)+100*RTD("tos.rtd",,"OPEN_INT","."&amp;Q$2&amp;Q$1&amp;"P"&amp;$A42)*RTD("tos.rtd",,"DELTA","."&amp;Q$2&amp;Q$1&amp;"P"&amp;$A42))/1000,(100*RTD("tos.rtd",,"OPEN_INT","."&amp;Q$2&amp;Q$1&amp;"C"&amp;$A42)*RTD("tos.rtd",,"DELTA","."&amp;Q$2&amp;Q$1&amp;"C"&amp;$A42)-100*RTD("tos.rtd",,"OPEN_INT","."&amp;Q$2&amp;Q$1&amp;"P"&amp;$A42)*RTD("tos.rtd",,"DELTA","."&amp;Q$2&amp;Q$1&amp;"P"&amp;$A42))/1000),0),IF($A$2="VEX",IFERROR(IF($X$1="ABS",($A$4*$A$4*RTD("tos.rtd",,"VOLUME","."&amp;Q$2&amp;Q$1&amp;"C"&amp;$A42)*RTD("tos.rtd",,"GAMMA","."&amp;Q$2&amp;Q$1&amp;"C"&amp;$A42)+$A$4*$A$4*RTD("tos.rtd",,"VOLUME","."&amp;Q$2&amp;Q$1&amp;"P"&amp;$A42)*RTD("tos.rtd",,"GAMMA","."&amp;Q$2&amp;Q$1&amp;"P"&amp;$A42))/1000000,($A$4*$A$4*RTD("tos.rtd",,"VOLUME","."&amp;Q$2&amp;Q$1&amp;"C"&amp;$A42)*RTD("tos.rtd",,"GAMMA","."&amp;Q$2&amp;Q$1&amp;"C"&amp;$A42)-$A$4*$A$4*RTD("tos.rtd",,"VOLUME","."&amp;Q$2&amp;Q$1&amp;"P"&amp;$A42)*RTD("tos.rtd",,"GAMMA","."&amp;Q$2&amp;Q$1&amp;"P"&amp;$A42))/1000000),0),IF($A$2="GEX",IFERROR(IF($X$1="ABS",($A$4*$A$4*RTD("tos.rtd",,"OPEN_INT","."&amp;Q$2&amp;Q$1&amp;"C"&amp;$A42)*RTD("tos.rtd",,"GAMMA","."&amp;Q$2&amp;Q$1&amp;"C"&amp;$A42)+$A$4*$A$4*RTD("tos.rtd",,"OPEN_INT","."&amp;Q$2&amp;Q$1&amp;"P"&amp;$A42)*RTD("tos.rtd",,"GAMMA","."&amp;Q$2&amp;Q$1&amp;"P"&amp;$A42))/1000000,($A$4*$A$4*RTD("tos.rtd",,"OPEN_INT","."&amp;Q$2&amp;Q$1&amp;"C"&amp;$A42)*RTD("tos.rtd",,"GAMMA","."&amp;Q$2&amp;Q$1&amp;"C"&amp;$A42)-$A$4*$A$4*RTD("tos.rtd",,"OPEN_INT","."&amp;Q$2&amp;Q$1&amp;"P"&amp;$A42)*RTD("tos.rtd",,"GAMMA","."&amp;Q$2&amp;Q$1&amp;"P"&amp;$A42))/1000000),0),IF($A$2="SKEW",IFERROR(VALUE(IF(RTD("tos.rtd",,"IMPL_VOL","."&amp;Q$2&amp;Q$1&amp;"P"&amp;$A42)="N/A",0,RTD("tos.rtd",,"IMPL_VOL","."&amp;Q$2&amp;Q$1&amp;"P"&amp;$A42))),0)-IFERROR(VALUE(IF(RTD("tos.rtd",,"IMPL_VOL","."&amp;Q$2&amp;Q$1&amp;"C"&amp;$A42)="N/A",0,RTD("tos.rtd",,"IMPL_VOL","."&amp;Q$2&amp;Q$1&amp;"C"&amp;$A42))),0),IF($A$2="MAXPAIN",IF($A$4&gt;$A42,($A$4-$A42)*IF(RTD("tos.rtd",,"OPEN_INT","."&amp;Q$2&amp;Q$1&amp;"C"&amp;$A42)="N/A",0,RTD("tos.rtd",,"OPEN_INT","."&amp;Q$2&amp;Q$1&amp;"C"&amp;$A42)),0)+IF($A$4&lt;$A42,($A$5-$A$4)*IF(RTD("tos.rtd",,"OPEN_INT","."&amp;Q$2&amp;Q$1&amp;"P"&amp;$A42)="N/A",0,RTD("tos.rtd",,"OPEN_INT","."&amp;Q$2&amp;Q$1&amp;"P"&amp;$A42)),0),IF($X$1="ABS",IF(RTD("tos.rtd",,$A$2,"."&amp;Q$2&amp;Q$1&amp;"C"&amp;$A42)="N/A",0,RTD("tos.rtd",,$A$2,"."&amp;Q$2&amp;Q$1&amp;"C"&amp;$A42))+IF(RTD("tos.rtd",,$A$2,"."&amp;Q$2&amp;Q$1&amp;"P"&amp;$A42)="N/A",0,RTD("tos.rtd",,$A$2,"."&amp;Q$2&amp;Q$1&amp;"P"&amp;$A42)),IF(RTD("tos.rtd",,$A$2,"."&amp;Q$2&amp;Q$1&amp;"C"&amp;$A42)="N/A",0,RTD("tos.rtd",,$A$2,"."&amp;Q$2&amp;Q$1&amp;"C"&amp;$A42))-IF(RTD("tos.rtd",,$A$2,"."&amp;Q$2&amp;Q$1&amp;"P"&amp;$A42)="N/A",0,RTD("tos.rtd",,$A$2,"."&amp;Q$2&amp;Q$1&amp;"P"&amp;$A42))))))))))</f>
        <v>0</v>
      </c>
      <c r="R42" s="12">
        <f ca="1">IF($A$2="PREMIUM_OI",IFERROR(IF($X$1="ABS",(100*RTD("tos.rtd",,"OPEN_INT","."&amp;R$2&amp;R$1&amp;"C"&amp;$A42)*RTD("tos.rtd",,"LAST","."&amp;R$2&amp;R$1&amp;"C"&amp;$A42)+100*RTD("tos.rtd",,"OPEN_INT","."&amp;R$2&amp;R$1&amp;"P"&amp;$A42)*RTD("tos.rtd",,"LAST","."&amp;R$2&amp;R$1&amp;"P"&amp;$A42))/1000000,(100*RTD("tos.rtd",,"OPEN_INT","."&amp;R$2&amp;R$1&amp;"C"&amp;$A42)*RTD("tos.rtd",,"LAST","."&amp;R$2&amp;R$1&amp;"C"&amp;$A42)-100*RTD("tos.rtd",,"OPEN_INT","."&amp;R$2&amp;R$1&amp;"P"&amp;$A42)*RTD("tos.rtd",,"LAST","."&amp;R$2&amp;R$1&amp;"P"&amp;$A42))/1000000),0),IF($A$2="PREMIUM",IFERROR(IF($X$1="ABS",(100*RTD("tos.rtd",,"VOLUME","."&amp;R$2&amp;R$1&amp;"C"&amp;$A42)*RTD("tos.rtd",,"LAST","."&amp;R$2&amp;R$1&amp;"C"&amp;$A42)+100*RTD("tos.rtd",,"VOLUME","."&amp;R$2&amp;R$1&amp;"P"&amp;$A42)*RTD("tos.rtd",,"LAST","."&amp;R$2&amp;R$1&amp;"P"&amp;$A42))/1000000,(100*RTD("tos.rtd",,"VOLUME","."&amp;R$2&amp;R$1&amp;"C"&amp;$A42)*RTD("tos.rtd",,"LAST","."&amp;R$2&amp;R$1&amp;"C"&amp;$A42)-100*RTD("tos.rtd",,"VOLUME","."&amp;R$2&amp;R$1&amp;"P"&amp;$A42)*RTD("tos.rtd",,"LAST","."&amp;R$2&amp;R$1&amp;"P"&amp;$A42))/1000000),0),IF($A$2="DEX",IFERROR(IF($X$1="ABS",(100*RTD("tos.rtd",,"OPEN_INT","."&amp;R$2&amp;R$1&amp;"C"&amp;$A42)*RTD("tos.rtd",,"DELTA","."&amp;R$2&amp;R$1&amp;"C"&amp;$A42)+100*RTD("tos.rtd",,"OPEN_INT","."&amp;R$2&amp;R$1&amp;"P"&amp;$A42)*RTD("tos.rtd",,"DELTA","."&amp;R$2&amp;R$1&amp;"P"&amp;$A42))/1000,(100*RTD("tos.rtd",,"OPEN_INT","."&amp;R$2&amp;R$1&amp;"C"&amp;$A42)*RTD("tos.rtd",,"DELTA","."&amp;R$2&amp;R$1&amp;"C"&amp;$A42)-100*RTD("tos.rtd",,"OPEN_INT","."&amp;R$2&amp;R$1&amp;"P"&amp;$A42)*RTD("tos.rtd",,"DELTA","."&amp;R$2&amp;R$1&amp;"P"&amp;$A42))/1000),0),IF($A$2="VEX",IFERROR(IF($X$1="ABS",($A$4*$A$4*RTD("tos.rtd",,"VOLUME","."&amp;R$2&amp;R$1&amp;"C"&amp;$A42)*RTD("tos.rtd",,"GAMMA","."&amp;R$2&amp;R$1&amp;"C"&amp;$A42)+$A$4*$A$4*RTD("tos.rtd",,"VOLUME","."&amp;R$2&amp;R$1&amp;"P"&amp;$A42)*RTD("tos.rtd",,"GAMMA","."&amp;R$2&amp;R$1&amp;"P"&amp;$A42))/1000000,($A$4*$A$4*RTD("tos.rtd",,"VOLUME","."&amp;R$2&amp;R$1&amp;"C"&amp;$A42)*RTD("tos.rtd",,"GAMMA","."&amp;R$2&amp;R$1&amp;"C"&amp;$A42)-$A$4*$A$4*RTD("tos.rtd",,"VOLUME","."&amp;R$2&amp;R$1&amp;"P"&amp;$A42)*RTD("tos.rtd",,"GAMMA","."&amp;R$2&amp;R$1&amp;"P"&amp;$A42))/1000000),0),IF($A$2="GEX",IFERROR(IF($X$1="ABS",($A$4*$A$4*RTD("tos.rtd",,"OPEN_INT","."&amp;R$2&amp;R$1&amp;"C"&amp;$A42)*RTD("tos.rtd",,"GAMMA","."&amp;R$2&amp;R$1&amp;"C"&amp;$A42)+$A$4*$A$4*RTD("tos.rtd",,"OPEN_INT","."&amp;R$2&amp;R$1&amp;"P"&amp;$A42)*RTD("tos.rtd",,"GAMMA","."&amp;R$2&amp;R$1&amp;"P"&amp;$A42))/1000000,($A$4*$A$4*RTD("tos.rtd",,"OPEN_INT","."&amp;R$2&amp;R$1&amp;"C"&amp;$A42)*RTD("tos.rtd",,"GAMMA","."&amp;R$2&amp;R$1&amp;"C"&amp;$A42)-$A$4*$A$4*RTD("tos.rtd",,"OPEN_INT","."&amp;R$2&amp;R$1&amp;"P"&amp;$A42)*RTD("tos.rtd",,"GAMMA","."&amp;R$2&amp;R$1&amp;"P"&amp;$A42))/1000000),0),IF($A$2="SKEW",IFERROR(VALUE(IF(RTD("tos.rtd",,"IMPL_VOL","."&amp;R$2&amp;R$1&amp;"P"&amp;$A42)="N/A",0,RTD("tos.rtd",,"IMPL_VOL","."&amp;R$2&amp;R$1&amp;"P"&amp;$A42))),0)-IFERROR(VALUE(IF(RTD("tos.rtd",,"IMPL_VOL","."&amp;R$2&amp;R$1&amp;"C"&amp;$A42)="N/A",0,RTD("tos.rtd",,"IMPL_VOL","."&amp;R$2&amp;R$1&amp;"C"&amp;$A42))),0),IF($A$2="MAXPAIN",IF($A$4&gt;$A42,($A$4-$A42)*IF(RTD("tos.rtd",,"OPEN_INT","."&amp;R$2&amp;R$1&amp;"C"&amp;$A42)="N/A",0,RTD("tos.rtd",,"OPEN_INT","."&amp;R$2&amp;R$1&amp;"C"&amp;$A42)),0)+IF($A$4&lt;$A42,($A$5-$A$4)*IF(RTD("tos.rtd",,"OPEN_INT","."&amp;R$2&amp;R$1&amp;"P"&amp;$A42)="N/A",0,RTD("tos.rtd",,"OPEN_INT","."&amp;R$2&amp;R$1&amp;"P"&amp;$A42)),0),IF($X$1="ABS",IF(RTD("tos.rtd",,$A$2,"."&amp;R$2&amp;R$1&amp;"C"&amp;$A42)="N/A",0,RTD("tos.rtd",,$A$2,"."&amp;R$2&amp;R$1&amp;"C"&amp;$A42))+IF(RTD("tos.rtd",,$A$2,"."&amp;R$2&amp;R$1&amp;"P"&amp;$A42)="N/A",0,RTD("tos.rtd",,$A$2,"."&amp;R$2&amp;R$1&amp;"P"&amp;$A42)),IF(RTD("tos.rtd",,$A$2,"."&amp;R$2&amp;R$1&amp;"C"&amp;$A42)="N/A",0,RTD("tos.rtd",,$A$2,"."&amp;R$2&amp;R$1&amp;"C"&amp;$A42))-IF(RTD("tos.rtd",,$A$2,"."&amp;R$2&amp;R$1&amp;"P"&amp;$A42)="N/A",0,RTD("tos.rtd",,$A$2,"."&amp;R$2&amp;R$1&amp;"P"&amp;$A42))))))))))</f>
        <v>0</v>
      </c>
      <c r="S42" s="12">
        <f ca="1">IF($A$2="PREMIUM_OI",IFERROR(IF($X$1="ABS",(100*RTD("tos.rtd",,"OPEN_INT","."&amp;S$2&amp;S$1&amp;"C"&amp;$A42)*RTD("tos.rtd",,"LAST","."&amp;S$2&amp;S$1&amp;"C"&amp;$A42)+100*RTD("tos.rtd",,"OPEN_INT","."&amp;S$2&amp;S$1&amp;"P"&amp;$A42)*RTD("tos.rtd",,"LAST","."&amp;S$2&amp;S$1&amp;"P"&amp;$A42))/1000000,(100*RTD("tos.rtd",,"OPEN_INT","."&amp;S$2&amp;S$1&amp;"C"&amp;$A42)*RTD("tos.rtd",,"LAST","."&amp;S$2&amp;S$1&amp;"C"&amp;$A42)-100*RTD("tos.rtd",,"OPEN_INT","."&amp;S$2&amp;S$1&amp;"P"&amp;$A42)*RTD("tos.rtd",,"LAST","."&amp;S$2&amp;S$1&amp;"P"&amp;$A42))/1000000),0),IF($A$2="PREMIUM",IFERROR(IF($X$1="ABS",(100*RTD("tos.rtd",,"VOLUME","."&amp;S$2&amp;S$1&amp;"C"&amp;$A42)*RTD("tos.rtd",,"LAST","."&amp;S$2&amp;S$1&amp;"C"&amp;$A42)+100*RTD("tos.rtd",,"VOLUME","."&amp;S$2&amp;S$1&amp;"P"&amp;$A42)*RTD("tos.rtd",,"LAST","."&amp;S$2&amp;S$1&amp;"P"&amp;$A42))/1000000,(100*RTD("tos.rtd",,"VOLUME","."&amp;S$2&amp;S$1&amp;"C"&amp;$A42)*RTD("tos.rtd",,"LAST","."&amp;S$2&amp;S$1&amp;"C"&amp;$A42)-100*RTD("tos.rtd",,"VOLUME","."&amp;S$2&amp;S$1&amp;"P"&amp;$A42)*RTD("tos.rtd",,"LAST","."&amp;S$2&amp;S$1&amp;"P"&amp;$A42))/1000000),0),IF($A$2="DEX",IFERROR(IF($X$1="ABS",(100*RTD("tos.rtd",,"OPEN_INT","."&amp;S$2&amp;S$1&amp;"C"&amp;$A42)*RTD("tos.rtd",,"DELTA","."&amp;S$2&amp;S$1&amp;"C"&amp;$A42)+100*RTD("tos.rtd",,"OPEN_INT","."&amp;S$2&amp;S$1&amp;"P"&amp;$A42)*RTD("tos.rtd",,"DELTA","."&amp;S$2&amp;S$1&amp;"P"&amp;$A42))/1000,(100*RTD("tos.rtd",,"OPEN_INT","."&amp;S$2&amp;S$1&amp;"C"&amp;$A42)*RTD("tos.rtd",,"DELTA","."&amp;S$2&amp;S$1&amp;"C"&amp;$A42)-100*RTD("tos.rtd",,"OPEN_INT","."&amp;S$2&amp;S$1&amp;"P"&amp;$A42)*RTD("tos.rtd",,"DELTA","."&amp;S$2&amp;S$1&amp;"P"&amp;$A42))/1000),0),IF($A$2="VEX",IFERROR(IF($X$1="ABS",($A$4*$A$4*RTD("tos.rtd",,"VOLUME","."&amp;S$2&amp;S$1&amp;"C"&amp;$A42)*RTD("tos.rtd",,"GAMMA","."&amp;S$2&amp;S$1&amp;"C"&amp;$A42)+$A$4*$A$4*RTD("tos.rtd",,"VOLUME","."&amp;S$2&amp;S$1&amp;"P"&amp;$A42)*RTD("tos.rtd",,"GAMMA","."&amp;S$2&amp;S$1&amp;"P"&amp;$A42))/1000000,($A$4*$A$4*RTD("tos.rtd",,"VOLUME","."&amp;S$2&amp;S$1&amp;"C"&amp;$A42)*RTD("tos.rtd",,"GAMMA","."&amp;S$2&amp;S$1&amp;"C"&amp;$A42)-$A$4*$A$4*RTD("tos.rtd",,"VOLUME","."&amp;S$2&amp;S$1&amp;"P"&amp;$A42)*RTD("tos.rtd",,"GAMMA","."&amp;S$2&amp;S$1&amp;"P"&amp;$A42))/1000000),0),IF($A$2="GEX",IFERROR(IF($X$1="ABS",($A$4*$A$4*RTD("tos.rtd",,"OPEN_INT","."&amp;S$2&amp;S$1&amp;"C"&amp;$A42)*RTD("tos.rtd",,"GAMMA","."&amp;S$2&amp;S$1&amp;"C"&amp;$A42)+$A$4*$A$4*RTD("tos.rtd",,"OPEN_INT","."&amp;S$2&amp;S$1&amp;"P"&amp;$A42)*RTD("tos.rtd",,"GAMMA","."&amp;S$2&amp;S$1&amp;"P"&amp;$A42))/1000000,($A$4*$A$4*RTD("tos.rtd",,"OPEN_INT","."&amp;S$2&amp;S$1&amp;"C"&amp;$A42)*RTD("tos.rtd",,"GAMMA","."&amp;S$2&amp;S$1&amp;"C"&amp;$A42)-$A$4*$A$4*RTD("tos.rtd",,"OPEN_INT","."&amp;S$2&amp;S$1&amp;"P"&amp;$A42)*RTD("tos.rtd",,"GAMMA","."&amp;S$2&amp;S$1&amp;"P"&amp;$A42))/1000000),0),IF($A$2="SKEW",IFERROR(VALUE(IF(RTD("tos.rtd",,"IMPL_VOL","."&amp;S$2&amp;S$1&amp;"P"&amp;$A42)="N/A",0,RTD("tos.rtd",,"IMPL_VOL","."&amp;S$2&amp;S$1&amp;"P"&amp;$A42))),0)-IFERROR(VALUE(IF(RTD("tos.rtd",,"IMPL_VOL","."&amp;S$2&amp;S$1&amp;"C"&amp;$A42)="N/A",0,RTD("tos.rtd",,"IMPL_VOL","."&amp;S$2&amp;S$1&amp;"C"&amp;$A42))),0),IF($A$2="MAXPAIN",IF($A$4&gt;$A42,($A$4-$A42)*IF(RTD("tos.rtd",,"OPEN_INT","."&amp;S$2&amp;S$1&amp;"C"&amp;$A42)="N/A",0,RTD("tos.rtd",,"OPEN_INT","."&amp;S$2&amp;S$1&amp;"C"&amp;$A42)),0)+IF($A$4&lt;$A42,($A$5-$A$4)*IF(RTD("tos.rtd",,"OPEN_INT","."&amp;S$2&amp;S$1&amp;"P"&amp;$A42)="N/A",0,RTD("tos.rtd",,"OPEN_INT","."&amp;S$2&amp;S$1&amp;"P"&amp;$A42)),0),IF($X$1="ABS",IF(RTD("tos.rtd",,$A$2,"."&amp;S$2&amp;S$1&amp;"C"&amp;$A42)="N/A",0,RTD("tos.rtd",,$A$2,"."&amp;S$2&amp;S$1&amp;"C"&amp;$A42))+IF(RTD("tos.rtd",,$A$2,"."&amp;S$2&amp;S$1&amp;"P"&amp;$A42)="N/A",0,RTD("tos.rtd",,$A$2,"."&amp;S$2&amp;S$1&amp;"P"&amp;$A42)),IF(RTD("tos.rtd",,$A$2,"."&amp;S$2&amp;S$1&amp;"C"&amp;$A42)="N/A",0,RTD("tos.rtd",,$A$2,"."&amp;S$2&amp;S$1&amp;"C"&amp;$A42))-IF(RTD("tos.rtd",,$A$2,"."&amp;S$2&amp;S$1&amp;"P"&amp;$A42)="N/A",0,RTD("tos.rtd",,$A$2,"."&amp;S$2&amp;S$1&amp;"P"&amp;$A42))))))))))</f>
        <v>0</v>
      </c>
      <c r="T42" s="12">
        <f ca="1">IF($A$2="PREMIUM_OI",IFERROR(IF($X$1="ABS",(100*RTD("tos.rtd",,"OPEN_INT","."&amp;T$2&amp;T$1&amp;"C"&amp;$A42)*RTD("tos.rtd",,"LAST","."&amp;T$2&amp;T$1&amp;"C"&amp;$A42)+100*RTD("tos.rtd",,"OPEN_INT","."&amp;T$2&amp;T$1&amp;"P"&amp;$A42)*RTD("tos.rtd",,"LAST","."&amp;T$2&amp;T$1&amp;"P"&amp;$A42))/1000000,(100*RTD("tos.rtd",,"OPEN_INT","."&amp;T$2&amp;T$1&amp;"C"&amp;$A42)*RTD("tos.rtd",,"LAST","."&amp;T$2&amp;T$1&amp;"C"&amp;$A42)-100*RTD("tos.rtd",,"OPEN_INT","."&amp;T$2&amp;T$1&amp;"P"&amp;$A42)*RTD("tos.rtd",,"LAST","."&amp;T$2&amp;T$1&amp;"P"&amp;$A42))/1000000),0),IF($A$2="PREMIUM",IFERROR(IF($X$1="ABS",(100*RTD("tos.rtd",,"VOLUME","."&amp;T$2&amp;T$1&amp;"C"&amp;$A42)*RTD("tos.rtd",,"LAST","."&amp;T$2&amp;T$1&amp;"C"&amp;$A42)+100*RTD("tos.rtd",,"VOLUME","."&amp;T$2&amp;T$1&amp;"P"&amp;$A42)*RTD("tos.rtd",,"LAST","."&amp;T$2&amp;T$1&amp;"P"&amp;$A42))/1000000,(100*RTD("tos.rtd",,"VOLUME","."&amp;T$2&amp;T$1&amp;"C"&amp;$A42)*RTD("tos.rtd",,"LAST","."&amp;T$2&amp;T$1&amp;"C"&amp;$A42)-100*RTD("tos.rtd",,"VOLUME","."&amp;T$2&amp;T$1&amp;"P"&amp;$A42)*RTD("tos.rtd",,"LAST","."&amp;T$2&amp;T$1&amp;"P"&amp;$A42))/1000000),0),IF($A$2="DEX",IFERROR(IF($X$1="ABS",(100*RTD("tos.rtd",,"OPEN_INT","."&amp;T$2&amp;T$1&amp;"C"&amp;$A42)*RTD("tos.rtd",,"DELTA","."&amp;T$2&amp;T$1&amp;"C"&amp;$A42)+100*RTD("tos.rtd",,"OPEN_INT","."&amp;T$2&amp;T$1&amp;"P"&amp;$A42)*RTD("tos.rtd",,"DELTA","."&amp;T$2&amp;T$1&amp;"P"&amp;$A42))/1000,(100*RTD("tos.rtd",,"OPEN_INT","."&amp;T$2&amp;T$1&amp;"C"&amp;$A42)*RTD("tos.rtd",,"DELTA","."&amp;T$2&amp;T$1&amp;"C"&amp;$A42)-100*RTD("tos.rtd",,"OPEN_INT","."&amp;T$2&amp;T$1&amp;"P"&amp;$A42)*RTD("tos.rtd",,"DELTA","."&amp;T$2&amp;T$1&amp;"P"&amp;$A42))/1000),0),IF($A$2="VEX",IFERROR(IF($X$1="ABS",($A$4*$A$4*RTD("tos.rtd",,"VOLUME","."&amp;T$2&amp;T$1&amp;"C"&amp;$A42)*RTD("tos.rtd",,"GAMMA","."&amp;T$2&amp;T$1&amp;"C"&amp;$A42)+$A$4*$A$4*RTD("tos.rtd",,"VOLUME","."&amp;T$2&amp;T$1&amp;"P"&amp;$A42)*RTD("tos.rtd",,"GAMMA","."&amp;T$2&amp;T$1&amp;"P"&amp;$A42))/1000000,($A$4*$A$4*RTD("tos.rtd",,"VOLUME","."&amp;T$2&amp;T$1&amp;"C"&amp;$A42)*RTD("tos.rtd",,"GAMMA","."&amp;T$2&amp;T$1&amp;"C"&amp;$A42)-$A$4*$A$4*RTD("tos.rtd",,"VOLUME","."&amp;T$2&amp;T$1&amp;"P"&amp;$A42)*RTD("tos.rtd",,"GAMMA","."&amp;T$2&amp;T$1&amp;"P"&amp;$A42))/1000000),0),IF($A$2="GEX",IFERROR(IF($X$1="ABS",($A$4*$A$4*RTD("tos.rtd",,"OPEN_INT","."&amp;T$2&amp;T$1&amp;"C"&amp;$A42)*RTD("tos.rtd",,"GAMMA","."&amp;T$2&amp;T$1&amp;"C"&amp;$A42)+$A$4*$A$4*RTD("tos.rtd",,"OPEN_INT","."&amp;T$2&amp;T$1&amp;"P"&amp;$A42)*RTD("tos.rtd",,"GAMMA","."&amp;T$2&amp;T$1&amp;"P"&amp;$A42))/1000000,($A$4*$A$4*RTD("tos.rtd",,"OPEN_INT","."&amp;T$2&amp;T$1&amp;"C"&amp;$A42)*RTD("tos.rtd",,"GAMMA","."&amp;T$2&amp;T$1&amp;"C"&amp;$A42)-$A$4*$A$4*RTD("tos.rtd",,"OPEN_INT","."&amp;T$2&amp;T$1&amp;"P"&amp;$A42)*RTD("tos.rtd",,"GAMMA","."&amp;T$2&amp;T$1&amp;"P"&amp;$A42))/1000000),0),IF($A$2="SKEW",IFERROR(VALUE(IF(RTD("tos.rtd",,"IMPL_VOL","."&amp;T$2&amp;T$1&amp;"P"&amp;$A42)="N/A",0,RTD("tos.rtd",,"IMPL_VOL","."&amp;T$2&amp;T$1&amp;"P"&amp;$A42))),0)-IFERROR(VALUE(IF(RTD("tos.rtd",,"IMPL_VOL","."&amp;T$2&amp;T$1&amp;"C"&amp;$A42)="N/A",0,RTD("tos.rtd",,"IMPL_VOL","."&amp;T$2&amp;T$1&amp;"C"&amp;$A42))),0),IF($A$2="MAXPAIN",IF($A$4&gt;$A42,($A$4-$A42)*IF(RTD("tos.rtd",,"OPEN_INT","."&amp;T$2&amp;T$1&amp;"C"&amp;$A42)="N/A",0,RTD("tos.rtd",,"OPEN_INT","."&amp;T$2&amp;T$1&amp;"C"&amp;$A42)),0)+IF($A$4&lt;$A42,($A$5-$A$4)*IF(RTD("tos.rtd",,"OPEN_INT","."&amp;T$2&amp;T$1&amp;"P"&amp;$A42)="N/A",0,RTD("tos.rtd",,"OPEN_INT","."&amp;T$2&amp;T$1&amp;"P"&amp;$A42)),0),IF($X$1="ABS",IF(RTD("tos.rtd",,$A$2,"."&amp;T$2&amp;T$1&amp;"C"&amp;$A42)="N/A",0,RTD("tos.rtd",,$A$2,"."&amp;T$2&amp;T$1&amp;"C"&amp;$A42))+IF(RTD("tos.rtd",,$A$2,"."&amp;T$2&amp;T$1&amp;"P"&amp;$A42)="N/A",0,RTD("tos.rtd",,$A$2,"."&amp;T$2&amp;T$1&amp;"P"&amp;$A42)),IF(RTD("tos.rtd",,$A$2,"."&amp;T$2&amp;T$1&amp;"C"&amp;$A42)="N/A",0,RTD("tos.rtd",,$A$2,"."&amp;T$2&amp;T$1&amp;"C"&amp;$A42))-IF(RTD("tos.rtd",,$A$2,"."&amp;T$2&amp;T$1&amp;"P"&amp;$A42)="N/A",0,RTD("tos.rtd",,$A$2,"."&amp;T$2&amp;T$1&amp;"P"&amp;$A42))))))))))</f>
        <v>0</v>
      </c>
      <c r="U42" s="12">
        <f ca="1">IF($A$2="PREMIUM_OI",IFERROR(IF($X$1="ABS",(100*RTD("tos.rtd",,"OPEN_INT","."&amp;U$2&amp;U$1&amp;"C"&amp;$A42)*RTD("tos.rtd",,"LAST","."&amp;U$2&amp;U$1&amp;"C"&amp;$A42)+100*RTD("tos.rtd",,"OPEN_INT","."&amp;U$2&amp;U$1&amp;"P"&amp;$A42)*RTD("tos.rtd",,"LAST","."&amp;U$2&amp;U$1&amp;"P"&amp;$A42))/1000000,(100*RTD("tos.rtd",,"OPEN_INT","."&amp;U$2&amp;U$1&amp;"C"&amp;$A42)*RTD("tos.rtd",,"LAST","."&amp;U$2&amp;U$1&amp;"C"&amp;$A42)-100*RTD("tos.rtd",,"OPEN_INT","."&amp;U$2&amp;U$1&amp;"P"&amp;$A42)*RTD("tos.rtd",,"LAST","."&amp;U$2&amp;U$1&amp;"P"&amp;$A42))/1000000),0),IF($A$2="PREMIUM",IFERROR(IF($X$1="ABS",(100*RTD("tos.rtd",,"VOLUME","."&amp;U$2&amp;U$1&amp;"C"&amp;$A42)*RTD("tos.rtd",,"LAST","."&amp;U$2&amp;U$1&amp;"C"&amp;$A42)+100*RTD("tos.rtd",,"VOLUME","."&amp;U$2&amp;U$1&amp;"P"&amp;$A42)*RTD("tos.rtd",,"LAST","."&amp;U$2&amp;U$1&amp;"P"&amp;$A42))/1000000,(100*RTD("tos.rtd",,"VOLUME","."&amp;U$2&amp;U$1&amp;"C"&amp;$A42)*RTD("tos.rtd",,"LAST","."&amp;U$2&amp;U$1&amp;"C"&amp;$A42)-100*RTD("tos.rtd",,"VOLUME","."&amp;U$2&amp;U$1&amp;"P"&amp;$A42)*RTD("tos.rtd",,"LAST","."&amp;U$2&amp;U$1&amp;"P"&amp;$A42))/1000000),0),IF($A$2="DEX",IFERROR(IF($X$1="ABS",(100*RTD("tos.rtd",,"OPEN_INT","."&amp;U$2&amp;U$1&amp;"C"&amp;$A42)*RTD("tos.rtd",,"DELTA","."&amp;U$2&amp;U$1&amp;"C"&amp;$A42)+100*RTD("tos.rtd",,"OPEN_INT","."&amp;U$2&amp;U$1&amp;"P"&amp;$A42)*RTD("tos.rtd",,"DELTA","."&amp;U$2&amp;U$1&amp;"P"&amp;$A42))/1000,(100*RTD("tos.rtd",,"OPEN_INT","."&amp;U$2&amp;U$1&amp;"C"&amp;$A42)*RTD("tos.rtd",,"DELTA","."&amp;U$2&amp;U$1&amp;"C"&amp;$A42)-100*RTD("tos.rtd",,"OPEN_INT","."&amp;U$2&amp;U$1&amp;"P"&amp;$A42)*RTD("tos.rtd",,"DELTA","."&amp;U$2&amp;U$1&amp;"P"&amp;$A42))/1000),0),IF($A$2="VEX",IFERROR(IF($X$1="ABS",($A$4*$A$4*RTD("tos.rtd",,"VOLUME","."&amp;U$2&amp;U$1&amp;"C"&amp;$A42)*RTD("tos.rtd",,"GAMMA","."&amp;U$2&amp;U$1&amp;"C"&amp;$A42)+$A$4*$A$4*RTD("tos.rtd",,"VOLUME","."&amp;U$2&amp;U$1&amp;"P"&amp;$A42)*RTD("tos.rtd",,"GAMMA","."&amp;U$2&amp;U$1&amp;"P"&amp;$A42))/1000000,($A$4*$A$4*RTD("tos.rtd",,"VOLUME","."&amp;U$2&amp;U$1&amp;"C"&amp;$A42)*RTD("tos.rtd",,"GAMMA","."&amp;U$2&amp;U$1&amp;"C"&amp;$A42)-$A$4*$A$4*RTD("tos.rtd",,"VOLUME","."&amp;U$2&amp;U$1&amp;"P"&amp;$A42)*RTD("tos.rtd",,"GAMMA","."&amp;U$2&amp;U$1&amp;"P"&amp;$A42))/1000000),0),IF($A$2="GEX",IFERROR(IF($X$1="ABS",($A$4*$A$4*RTD("tos.rtd",,"OPEN_INT","."&amp;U$2&amp;U$1&amp;"C"&amp;$A42)*RTD("tos.rtd",,"GAMMA","."&amp;U$2&amp;U$1&amp;"C"&amp;$A42)+$A$4*$A$4*RTD("tos.rtd",,"OPEN_INT","."&amp;U$2&amp;U$1&amp;"P"&amp;$A42)*RTD("tos.rtd",,"GAMMA","."&amp;U$2&amp;U$1&amp;"P"&amp;$A42))/1000000,($A$4*$A$4*RTD("tos.rtd",,"OPEN_INT","."&amp;U$2&amp;U$1&amp;"C"&amp;$A42)*RTD("tos.rtd",,"GAMMA","."&amp;U$2&amp;U$1&amp;"C"&amp;$A42)-$A$4*$A$4*RTD("tos.rtd",,"OPEN_INT","."&amp;U$2&amp;U$1&amp;"P"&amp;$A42)*RTD("tos.rtd",,"GAMMA","."&amp;U$2&amp;U$1&amp;"P"&amp;$A42))/1000000),0),IF($A$2="SKEW",IFERROR(VALUE(IF(RTD("tos.rtd",,"IMPL_VOL","."&amp;U$2&amp;U$1&amp;"P"&amp;$A42)="N/A",0,RTD("tos.rtd",,"IMPL_VOL","."&amp;U$2&amp;U$1&amp;"P"&amp;$A42))),0)-IFERROR(VALUE(IF(RTD("tos.rtd",,"IMPL_VOL","."&amp;U$2&amp;U$1&amp;"C"&amp;$A42)="N/A",0,RTD("tos.rtd",,"IMPL_VOL","."&amp;U$2&amp;U$1&amp;"C"&amp;$A42))),0),IF($A$2="MAXPAIN",IF($A$4&gt;$A42,($A$4-$A42)*IF(RTD("tos.rtd",,"OPEN_INT","."&amp;U$2&amp;U$1&amp;"C"&amp;$A42)="N/A",0,RTD("tos.rtd",,"OPEN_INT","."&amp;U$2&amp;U$1&amp;"C"&amp;$A42)),0)+IF($A$4&lt;$A42,($A$5-$A$4)*IF(RTD("tos.rtd",,"OPEN_INT","."&amp;U$2&amp;U$1&amp;"P"&amp;$A42)="N/A",0,RTD("tos.rtd",,"OPEN_INT","."&amp;U$2&amp;U$1&amp;"P"&amp;$A42)),0),IF($X$1="ABS",IF(RTD("tos.rtd",,$A$2,"."&amp;U$2&amp;U$1&amp;"C"&amp;$A42)="N/A",0,RTD("tos.rtd",,$A$2,"."&amp;U$2&amp;U$1&amp;"C"&amp;$A42))+IF(RTD("tos.rtd",,$A$2,"."&amp;U$2&amp;U$1&amp;"P"&amp;$A42)="N/A",0,RTD("tos.rtd",,$A$2,"."&amp;U$2&amp;U$1&amp;"P"&amp;$A42)),IF(RTD("tos.rtd",,$A$2,"."&amp;U$2&amp;U$1&amp;"C"&amp;$A42)="N/A",0,RTD("tos.rtd",,$A$2,"."&amp;U$2&amp;U$1&amp;"C"&amp;$A42))-IF(RTD("tos.rtd",,$A$2,"."&amp;U$2&amp;U$1&amp;"P"&amp;$A42)="N/A",0,RTD("tos.rtd",,$A$2,"."&amp;U$2&amp;U$1&amp;"P"&amp;$A42))))))))))</f>
        <v>0</v>
      </c>
      <c r="V42" s="12">
        <f ca="1">IF($A$2="PREMIUM_OI",IFERROR(IF($X$1="ABS",(100*RTD("tos.rtd",,"OPEN_INT","."&amp;V$2&amp;V$1&amp;"C"&amp;$A42)*RTD("tos.rtd",,"LAST","."&amp;V$2&amp;V$1&amp;"C"&amp;$A42)+100*RTD("tos.rtd",,"OPEN_INT","."&amp;V$2&amp;V$1&amp;"P"&amp;$A42)*RTD("tos.rtd",,"LAST","."&amp;V$2&amp;V$1&amp;"P"&amp;$A42))/1000000,(100*RTD("tos.rtd",,"OPEN_INT","."&amp;V$2&amp;V$1&amp;"C"&amp;$A42)*RTD("tos.rtd",,"LAST","."&amp;V$2&amp;V$1&amp;"C"&amp;$A42)-100*RTD("tos.rtd",,"OPEN_INT","."&amp;V$2&amp;V$1&amp;"P"&amp;$A42)*RTD("tos.rtd",,"LAST","."&amp;V$2&amp;V$1&amp;"P"&amp;$A42))/1000000),0),IF($A$2="PREMIUM",IFERROR(IF($X$1="ABS",(100*RTD("tos.rtd",,"VOLUME","."&amp;V$2&amp;V$1&amp;"C"&amp;$A42)*RTD("tos.rtd",,"LAST","."&amp;V$2&amp;V$1&amp;"C"&amp;$A42)+100*RTD("tos.rtd",,"VOLUME","."&amp;V$2&amp;V$1&amp;"P"&amp;$A42)*RTD("tos.rtd",,"LAST","."&amp;V$2&amp;V$1&amp;"P"&amp;$A42))/1000000,(100*RTD("tos.rtd",,"VOLUME","."&amp;V$2&amp;V$1&amp;"C"&amp;$A42)*RTD("tos.rtd",,"LAST","."&amp;V$2&amp;V$1&amp;"C"&amp;$A42)-100*RTD("tos.rtd",,"VOLUME","."&amp;V$2&amp;V$1&amp;"P"&amp;$A42)*RTD("tos.rtd",,"LAST","."&amp;V$2&amp;V$1&amp;"P"&amp;$A42))/1000000),0),IF($A$2="DEX",IFERROR(IF($X$1="ABS",(100*RTD("tos.rtd",,"OPEN_INT","."&amp;V$2&amp;V$1&amp;"C"&amp;$A42)*RTD("tos.rtd",,"DELTA","."&amp;V$2&amp;V$1&amp;"C"&amp;$A42)+100*RTD("tos.rtd",,"OPEN_INT","."&amp;V$2&amp;V$1&amp;"P"&amp;$A42)*RTD("tos.rtd",,"DELTA","."&amp;V$2&amp;V$1&amp;"P"&amp;$A42))/1000,(100*RTD("tos.rtd",,"OPEN_INT","."&amp;V$2&amp;V$1&amp;"C"&amp;$A42)*RTD("tos.rtd",,"DELTA","."&amp;V$2&amp;V$1&amp;"C"&amp;$A42)-100*RTD("tos.rtd",,"OPEN_INT","."&amp;V$2&amp;V$1&amp;"P"&amp;$A42)*RTD("tos.rtd",,"DELTA","."&amp;V$2&amp;V$1&amp;"P"&amp;$A42))/1000),0),IF($A$2="VEX",IFERROR(IF($X$1="ABS",($A$4*$A$4*RTD("tos.rtd",,"VOLUME","."&amp;V$2&amp;V$1&amp;"C"&amp;$A42)*RTD("tos.rtd",,"GAMMA","."&amp;V$2&amp;V$1&amp;"C"&amp;$A42)+$A$4*$A$4*RTD("tos.rtd",,"VOLUME","."&amp;V$2&amp;V$1&amp;"P"&amp;$A42)*RTD("tos.rtd",,"GAMMA","."&amp;V$2&amp;V$1&amp;"P"&amp;$A42))/1000000,($A$4*$A$4*RTD("tos.rtd",,"VOLUME","."&amp;V$2&amp;V$1&amp;"C"&amp;$A42)*RTD("tos.rtd",,"GAMMA","."&amp;V$2&amp;V$1&amp;"C"&amp;$A42)-$A$4*$A$4*RTD("tos.rtd",,"VOLUME","."&amp;V$2&amp;V$1&amp;"P"&amp;$A42)*RTD("tos.rtd",,"GAMMA","."&amp;V$2&amp;V$1&amp;"P"&amp;$A42))/1000000),0),IF($A$2="GEX",IFERROR(IF($X$1="ABS",($A$4*$A$4*RTD("tos.rtd",,"OPEN_INT","."&amp;V$2&amp;V$1&amp;"C"&amp;$A42)*RTD("tos.rtd",,"GAMMA","."&amp;V$2&amp;V$1&amp;"C"&amp;$A42)+$A$4*$A$4*RTD("tos.rtd",,"OPEN_INT","."&amp;V$2&amp;V$1&amp;"P"&amp;$A42)*RTD("tos.rtd",,"GAMMA","."&amp;V$2&amp;V$1&amp;"P"&amp;$A42))/1000000,($A$4*$A$4*RTD("tos.rtd",,"OPEN_INT","."&amp;V$2&amp;V$1&amp;"C"&amp;$A42)*RTD("tos.rtd",,"GAMMA","."&amp;V$2&amp;V$1&amp;"C"&amp;$A42)-$A$4*$A$4*RTD("tos.rtd",,"OPEN_INT","."&amp;V$2&amp;V$1&amp;"P"&amp;$A42)*RTD("tos.rtd",,"GAMMA","."&amp;V$2&amp;V$1&amp;"P"&amp;$A42))/1000000),0),IF($A$2="SKEW",IFERROR(VALUE(IF(RTD("tos.rtd",,"IMPL_VOL","."&amp;V$2&amp;V$1&amp;"P"&amp;$A42)="N/A",0,RTD("tos.rtd",,"IMPL_VOL","."&amp;V$2&amp;V$1&amp;"P"&amp;$A42))),0)-IFERROR(VALUE(IF(RTD("tos.rtd",,"IMPL_VOL","."&amp;V$2&amp;V$1&amp;"C"&amp;$A42)="N/A",0,RTD("tos.rtd",,"IMPL_VOL","."&amp;V$2&amp;V$1&amp;"C"&amp;$A42))),0),IF($A$2="MAXPAIN",IF($A$4&gt;$A42,($A$4-$A42)*IF(RTD("tos.rtd",,"OPEN_INT","."&amp;V$2&amp;V$1&amp;"C"&amp;$A42)="N/A",0,RTD("tos.rtd",,"OPEN_INT","."&amp;V$2&amp;V$1&amp;"C"&amp;$A42)),0)+IF($A$4&lt;$A42,($A$5-$A$4)*IF(RTD("tos.rtd",,"OPEN_INT","."&amp;V$2&amp;V$1&amp;"P"&amp;$A42)="N/A",0,RTD("tos.rtd",,"OPEN_INT","."&amp;V$2&amp;V$1&amp;"P"&amp;$A42)),0),IF($X$1="ABS",IF(RTD("tos.rtd",,$A$2,"."&amp;V$2&amp;V$1&amp;"C"&amp;$A42)="N/A",0,RTD("tos.rtd",,$A$2,"."&amp;V$2&amp;V$1&amp;"C"&amp;$A42))+IF(RTD("tos.rtd",,$A$2,"."&amp;V$2&amp;V$1&amp;"P"&amp;$A42)="N/A",0,RTD("tos.rtd",,$A$2,"."&amp;V$2&amp;V$1&amp;"P"&amp;$A42)),IF(RTD("tos.rtd",,$A$2,"."&amp;V$2&amp;V$1&amp;"C"&amp;$A42)="N/A",0,RTD("tos.rtd",,$A$2,"."&amp;V$2&amp;V$1&amp;"C"&amp;$A42))-IF(RTD("tos.rtd",,$A$2,"."&amp;V$2&amp;V$1&amp;"P"&amp;$A42)="N/A",0,RTD("tos.rtd",,$A$2,"."&amp;V$2&amp;V$1&amp;"P"&amp;$A42))))))))))</f>
        <v>0</v>
      </c>
      <c r="W42" s="54">
        <f ca="1">IF($A$2="PREMIUM_OI",IFERROR(IF($X$1="ABS",(100*RTD("tos.rtd",,"OPEN_INT","."&amp;W$2&amp;W$1&amp;"C"&amp;$A42)*RTD("tos.rtd",,"LAST","."&amp;W$2&amp;W$1&amp;"C"&amp;$A42)+100*RTD("tos.rtd",,"OPEN_INT","."&amp;W$2&amp;W$1&amp;"P"&amp;$A42)*RTD("tos.rtd",,"LAST","."&amp;W$2&amp;W$1&amp;"P"&amp;$A42))/1000000,(100*RTD("tos.rtd",,"OPEN_INT","."&amp;W$2&amp;W$1&amp;"C"&amp;$A42)*RTD("tos.rtd",,"LAST","."&amp;W$2&amp;W$1&amp;"C"&amp;$A42)-100*RTD("tos.rtd",,"OPEN_INT","."&amp;W$2&amp;W$1&amp;"P"&amp;$A42)*RTD("tos.rtd",,"LAST","."&amp;W$2&amp;W$1&amp;"P"&amp;$A42))/1000000),0),IF($A$2="PREMIUM",IFERROR(IF($X$1="ABS",(100*RTD("tos.rtd",,"VOLUME","."&amp;W$2&amp;W$1&amp;"C"&amp;$A42)*RTD("tos.rtd",,"LAST","."&amp;W$2&amp;W$1&amp;"C"&amp;$A42)+100*RTD("tos.rtd",,"VOLUME","."&amp;W$2&amp;W$1&amp;"P"&amp;$A42)*RTD("tos.rtd",,"LAST","."&amp;W$2&amp;W$1&amp;"P"&amp;$A42))/1000000,(100*RTD("tos.rtd",,"VOLUME","."&amp;W$2&amp;W$1&amp;"C"&amp;$A42)*RTD("tos.rtd",,"LAST","."&amp;W$2&amp;W$1&amp;"C"&amp;$A42)-100*RTD("tos.rtd",,"VOLUME","."&amp;W$2&amp;W$1&amp;"P"&amp;$A42)*RTD("tos.rtd",,"LAST","."&amp;W$2&amp;W$1&amp;"P"&amp;$A42))/1000000),0),IF($A$2="DEX",IFERROR(IF($X$1="ABS",(100*RTD("tos.rtd",,"OPEN_INT","."&amp;W$2&amp;W$1&amp;"C"&amp;$A42)*RTD("tos.rtd",,"DELTA","."&amp;W$2&amp;W$1&amp;"C"&amp;$A42)+100*RTD("tos.rtd",,"OPEN_INT","."&amp;W$2&amp;W$1&amp;"P"&amp;$A42)*RTD("tos.rtd",,"DELTA","."&amp;W$2&amp;W$1&amp;"P"&amp;$A42))/1000,(100*RTD("tos.rtd",,"OPEN_INT","."&amp;W$2&amp;W$1&amp;"C"&amp;$A42)*RTD("tos.rtd",,"DELTA","."&amp;W$2&amp;W$1&amp;"C"&amp;$A42)-100*RTD("tos.rtd",,"OPEN_INT","."&amp;W$2&amp;W$1&amp;"P"&amp;$A42)*RTD("tos.rtd",,"DELTA","."&amp;W$2&amp;W$1&amp;"P"&amp;$A42))/1000),0),IF($A$2="VEX",IFERROR(IF($X$1="ABS",($A$4*$A$4*RTD("tos.rtd",,"VOLUME","."&amp;W$2&amp;W$1&amp;"C"&amp;$A42)*RTD("tos.rtd",,"GAMMA","."&amp;W$2&amp;W$1&amp;"C"&amp;$A42)+$A$4*$A$4*RTD("tos.rtd",,"VOLUME","."&amp;W$2&amp;W$1&amp;"P"&amp;$A42)*RTD("tos.rtd",,"GAMMA","."&amp;W$2&amp;W$1&amp;"P"&amp;$A42))/1000000,($A$4*$A$4*RTD("tos.rtd",,"VOLUME","."&amp;W$2&amp;W$1&amp;"C"&amp;$A42)*RTD("tos.rtd",,"GAMMA","."&amp;W$2&amp;W$1&amp;"C"&amp;$A42)-$A$4*$A$4*RTD("tos.rtd",,"VOLUME","."&amp;W$2&amp;W$1&amp;"P"&amp;$A42)*RTD("tos.rtd",,"GAMMA","."&amp;W$2&amp;W$1&amp;"P"&amp;$A42))/1000000),0),IF($A$2="GEX",IFERROR(IF($X$1="ABS",($A$4*$A$4*RTD("tos.rtd",,"OPEN_INT","."&amp;W$2&amp;W$1&amp;"C"&amp;$A42)*RTD("tos.rtd",,"GAMMA","."&amp;W$2&amp;W$1&amp;"C"&amp;$A42)+$A$4*$A$4*RTD("tos.rtd",,"OPEN_INT","."&amp;W$2&amp;W$1&amp;"P"&amp;$A42)*RTD("tos.rtd",,"GAMMA","."&amp;W$2&amp;W$1&amp;"P"&amp;$A42))/1000000,($A$4*$A$4*RTD("tos.rtd",,"OPEN_INT","."&amp;W$2&amp;W$1&amp;"C"&amp;$A42)*RTD("tos.rtd",,"GAMMA","."&amp;W$2&amp;W$1&amp;"C"&amp;$A42)-$A$4*$A$4*RTD("tos.rtd",,"OPEN_INT","."&amp;W$2&amp;W$1&amp;"P"&amp;$A42)*RTD("tos.rtd",,"GAMMA","."&amp;W$2&amp;W$1&amp;"P"&amp;$A42))/1000000),0),IF($A$2="SKEW",IFERROR(VALUE(IF(RTD("tos.rtd",,"IMPL_VOL","."&amp;W$2&amp;W$1&amp;"P"&amp;$A42)="N/A",0,RTD("tos.rtd",,"IMPL_VOL","."&amp;W$2&amp;W$1&amp;"P"&amp;$A42))),0)-IFERROR(VALUE(IF(RTD("tos.rtd",,"IMPL_VOL","."&amp;W$2&amp;W$1&amp;"C"&amp;$A42)="N/A",0,RTD("tos.rtd",,"IMPL_VOL","."&amp;W$2&amp;W$1&amp;"C"&amp;$A42))),0),IF($A$2="MAXPAIN",IF($A$4&gt;$A42,($A$4-$A42)*IF(RTD("tos.rtd",,"OPEN_INT","."&amp;W$2&amp;W$1&amp;"C"&amp;$A42)="N/A",0,RTD("tos.rtd",,"OPEN_INT","."&amp;W$2&amp;W$1&amp;"C"&amp;$A42)),0)+IF($A$4&lt;$A42,($A$5-$A$4)*IF(RTD("tos.rtd",,"OPEN_INT","."&amp;W$2&amp;W$1&amp;"P"&amp;$A42)="N/A",0,RTD("tos.rtd",,"OPEN_INT","."&amp;W$2&amp;W$1&amp;"P"&amp;$A42)),0),IF($X$1="ABS",IF(RTD("tos.rtd",,$A$2,"."&amp;W$2&amp;W$1&amp;"C"&amp;$A42)="N/A",0,RTD("tos.rtd",,$A$2,"."&amp;W$2&amp;W$1&amp;"C"&amp;$A42))+IF(RTD("tos.rtd",,$A$2,"."&amp;W$2&amp;W$1&amp;"P"&amp;$A42)="N/A",0,RTD("tos.rtd",,$A$2,"."&amp;W$2&amp;W$1&amp;"P"&amp;$A42)),IF(RTD("tos.rtd",,$A$2,"."&amp;W$2&amp;W$1&amp;"C"&amp;$A42)="N/A",0,RTD("tos.rtd",,$A$2,"."&amp;W$2&amp;W$1&amp;"C"&amp;$A42))-IF(RTD("tos.rtd",,$A$2,"."&amp;W$2&amp;W$1&amp;"P"&amp;$A42)="N/A",0,RTD("tos.rtd",,$A$2,"."&amp;W$2&amp;W$1&amp;"P"&amp;$A42))))))))))</f>
        <v>0</v>
      </c>
      <c r="X42" s="57">
        <f t="shared" ca="1" si="8"/>
        <v>0</v>
      </c>
      <c r="Y42" s="27">
        <f t="shared" ca="1" si="9"/>
        <v>0</v>
      </c>
      <c r="Z42" s="27">
        <f ca="1">+'OI-VOL'!Y42</f>
        <v>6308</v>
      </c>
      <c r="AA42" s="27" t="b">
        <f t="shared" ca="1" si="10"/>
        <v>0</v>
      </c>
      <c r="AB42" s="27">
        <f t="shared" si="11"/>
        <v>29433250</v>
      </c>
      <c r="AC42" s="18">
        <f>MAX(0, $A42-AC$4)*IF(RTD("tos.rtd",,"OPEN_INT","."&amp;$AB$3&amp;$AB$4&amp;"C"&amp;AC$4)="N/A",0,RTD("tos.rtd",,"OPEN_INT","."&amp;$AB$3&amp;$AB$4&amp;"C"&amp;AC$4))*100 + MAX(0, AC$4-$A42)*IF(RTD("tos.rtd",,"OPEN_INT","."&amp;$AB$3&amp;$AB$4&amp;"P"&amp;AC$4)="N/A",0,RTD("tos.rtd",,"OPEN_INT","."&amp;$AB$3&amp;$AB$4&amp;"P"&amp;AC$4))*100</f>
        <v>0</v>
      </c>
      <c r="AD42" s="18">
        <f>MAX(0, $A42-AD$4)*IF(RTD("tos.rtd",,"OPEN_INT","."&amp;$AB$3&amp;$AB$4&amp;"C"&amp;AD$4)="N/A",0,RTD("tos.rtd",,"OPEN_INT","."&amp;$AB$3&amp;$AB$4&amp;"C"&amp;AD$4))*100 + MAX(0, AD$4-$A42)*IF(RTD("tos.rtd",,"OPEN_INT","."&amp;$AB$3&amp;$AB$4&amp;"P"&amp;AD$4)="N/A",0,RTD("tos.rtd",,"OPEN_INT","."&amp;$AB$3&amp;$AB$4&amp;"P"&amp;AD$4))*100</f>
        <v>0</v>
      </c>
      <c r="AE42" s="18">
        <f>MAX(0, $A42-AE$4)*IF(RTD("tos.rtd",,"OPEN_INT","."&amp;$AB$3&amp;$AB$4&amp;"C"&amp;AE$4)="N/A",0,RTD("tos.rtd",,"OPEN_INT","."&amp;$AB$3&amp;$AB$4&amp;"C"&amp;AE$4))*100 + MAX(0, AE$4-$A42)*IF(RTD("tos.rtd",,"OPEN_INT","."&amp;$AB$3&amp;$AB$4&amp;"P"&amp;AE$4)="N/A",0,RTD("tos.rtd",,"OPEN_INT","."&amp;$AB$3&amp;$AB$4&amp;"P"&amp;AE$4))*100</f>
        <v>0</v>
      </c>
      <c r="AF42" s="18">
        <f>MAX(0, $A42-AF$4)*IF(RTD("tos.rtd",,"OPEN_INT","."&amp;$AB$3&amp;$AB$4&amp;"C"&amp;AF$4)="N/A",0,RTD("tos.rtd",,"OPEN_INT","."&amp;$AB$3&amp;$AB$4&amp;"C"&amp;AF$4))*100 + MAX(0, AF$4-$A42)*IF(RTD("tos.rtd",,"OPEN_INT","."&amp;$AB$3&amp;$AB$4&amp;"P"&amp;AF$4)="N/A",0,RTD("tos.rtd",,"OPEN_INT","."&amp;$AB$3&amp;$AB$4&amp;"P"&amp;AF$4))*100</f>
        <v>0</v>
      </c>
      <c r="AG42" s="18">
        <f>MAX(0, $A42-AG$4)*IF(RTD("tos.rtd",,"OPEN_INT","."&amp;$AB$3&amp;$AB$4&amp;"C"&amp;AG$4)="N/A",0,RTD("tos.rtd",,"OPEN_INT","."&amp;$AB$3&amp;$AB$4&amp;"C"&amp;AG$4))*100 + MAX(0, AG$4-$A42)*IF(RTD("tos.rtd",,"OPEN_INT","."&amp;$AB$3&amp;$AB$4&amp;"P"&amp;AG$4)="N/A",0,RTD("tos.rtd",,"OPEN_INT","."&amp;$AB$3&amp;$AB$4&amp;"P"&amp;AG$4))*100</f>
        <v>0</v>
      </c>
      <c r="AH42" s="18">
        <f>MAX(0, $A42-AH$4)*IF(RTD("tos.rtd",,"OPEN_INT","."&amp;$AB$3&amp;$AB$4&amp;"C"&amp;AH$4)="N/A",0,RTD("tos.rtd",,"OPEN_INT","."&amp;$AB$3&amp;$AB$4&amp;"C"&amp;AH$4))*100 + MAX(0, AH$4-$A42)*IF(RTD("tos.rtd",,"OPEN_INT","."&amp;$AB$3&amp;$AB$4&amp;"P"&amp;AH$4)="N/A",0,RTD("tos.rtd",,"OPEN_INT","."&amp;$AB$3&amp;$AB$4&amp;"P"&amp;AH$4))*100</f>
        <v>0</v>
      </c>
      <c r="AI42" s="18">
        <f>MAX(0, $A42-AI$4)*IF(RTD("tos.rtd",,"OPEN_INT","."&amp;$AB$3&amp;$AB$4&amp;"C"&amp;AI$4)="N/A",0,RTD("tos.rtd",,"OPEN_INT","."&amp;$AB$3&amp;$AB$4&amp;"C"&amp;AI$4))*100 + MAX(0, AI$4-$A42)*IF(RTD("tos.rtd",,"OPEN_INT","."&amp;$AB$3&amp;$AB$4&amp;"P"&amp;AI$4)="N/A",0,RTD("tos.rtd",,"OPEN_INT","."&amp;$AB$3&amp;$AB$4&amp;"P"&amp;AI$4))*100</f>
        <v>0</v>
      </c>
      <c r="AJ42" s="18">
        <f>MAX(0, $A42-AJ$4)*IF(RTD("tos.rtd",,"OPEN_INT","."&amp;$AB$3&amp;$AB$4&amp;"C"&amp;AJ$4)="N/A",0,RTD("tos.rtd",,"OPEN_INT","."&amp;$AB$3&amp;$AB$4&amp;"C"&amp;AJ$4))*100 + MAX(0, AJ$4-$A42)*IF(RTD("tos.rtd",,"OPEN_INT","."&amp;$AB$3&amp;$AB$4&amp;"P"&amp;AJ$4)="N/A",0,RTD("tos.rtd",,"OPEN_INT","."&amp;$AB$3&amp;$AB$4&amp;"P"&amp;AJ$4))*100</f>
        <v>4500</v>
      </c>
      <c r="AK42" s="18">
        <f>MAX(0, $A42-AK$4)*IF(RTD("tos.rtd",,"OPEN_INT","."&amp;$AB$3&amp;$AB$4&amp;"C"&amp;AK$4)="N/A",0,RTD("tos.rtd",,"OPEN_INT","."&amp;$AB$3&amp;$AB$4&amp;"C"&amp;AK$4))*100 + MAX(0, AK$4-$A42)*IF(RTD("tos.rtd",,"OPEN_INT","."&amp;$AB$3&amp;$AB$4&amp;"P"&amp;AK$4)="N/A",0,RTD("tos.rtd",,"OPEN_INT","."&amp;$AB$3&amp;$AB$4&amp;"P"&amp;AK$4))*100</f>
        <v>11600</v>
      </c>
      <c r="AL42" s="18">
        <f>MAX(0, $A42-AL$4)*IF(RTD("tos.rtd",,"OPEN_INT","."&amp;$AB$3&amp;$AB$4&amp;"C"&amp;AL$4)="N/A",0,RTD("tos.rtd",,"OPEN_INT","."&amp;$AB$3&amp;$AB$4&amp;"C"&amp;AL$4))*100 + MAX(0, AL$4-$A42)*IF(RTD("tos.rtd",,"OPEN_INT","."&amp;$AB$3&amp;$AB$4&amp;"P"&amp;AL$4)="N/A",0,RTD("tos.rtd",,"OPEN_INT","."&amp;$AB$3&amp;$AB$4&amp;"P"&amp;AL$4))*100</f>
        <v>0</v>
      </c>
      <c r="AM42" s="18">
        <f>MAX(0, $A42-AM$4)*IF(RTD("tos.rtd",,"OPEN_INT","."&amp;$AB$3&amp;$AB$4&amp;"C"&amp;AM$4)="N/A",0,RTD("tos.rtd",,"OPEN_INT","."&amp;$AB$3&amp;$AB$4&amp;"C"&amp;AM$4))*100 + MAX(0, AM$4-$A42)*IF(RTD("tos.rtd",,"OPEN_INT","."&amp;$AB$3&amp;$AB$4&amp;"P"&amp;AM$4)="N/A",0,RTD("tos.rtd",,"OPEN_INT","."&amp;$AB$3&amp;$AB$4&amp;"P"&amp;AM$4))*100</f>
        <v>0</v>
      </c>
      <c r="AN42" s="18">
        <f>MAX(0, $A42-AN$4)*IF(RTD("tos.rtd",,"OPEN_INT","."&amp;$AB$3&amp;$AB$4&amp;"C"&amp;AN$4)="N/A",0,RTD("tos.rtd",,"OPEN_INT","."&amp;$AB$3&amp;$AB$4&amp;"C"&amp;AN$4))*100 + MAX(0, AN$4-$A42)*IF(RTD("tos.rtd",,"OPEN_INT","."&amp;$AB$3&amp;$AB$4&amp;"P"&amp;AN$4)="N/A",0,RTD("tos.rtd",,"OPEN_INT","."&amp;$AB$3&amp;$AB$4&amp;"P"&amp;AN$4))*100</f>
        <v>0</v>
      </c>
      <c r="AO42" s="18">
        <f>MAX(0, $A42-AO$4)*IF(RTD("tos.rtd",,"OPEN_INT","."&amp;$AB$3&amp;$AB$4&amp;"C"&amp;AO$4)="N/A",0,RTD("tos.rtd",,"OPEN_INT","."&amp;$AB$3&amp;$AB$4&amp;"C"&amp;AO$4))*100 + MAX(0, AO$4-$A42)*IF(RTD("tos.rtd",,"OPEN_INT","."&amp;$AB$3&amp;$AB$4&amp;"P"&amp;AO$4)="N/A",0,RTD("tos.rtd",,"OPEN_INT","."&amp;$AB$3&amp;$AB$4&amp;"P"&amp;AO$4))*100</f>
        <v>0</v>
      </c>
      <c r="AP42" s="18">
        <f>MAX(0, $A42-AP$4)*IF(RTD("tos.rtd",,"OPEN_INT","."&amp;$AB$3&amp;$AB$4&amp;"C"&amp;AP$4)="N/A",0,RTD("tos.rtd",,"OPEN_INT","."&amp;$AB$3&amp;$AB$4&amp;"C"&amp;AP$4))*100 + MAX(0, AP$4-$A42)*IF(RTD("tos.rtd",,"OPEN_INT","."&amp;$AB$3&amp;$AB$4&amp;"P"&amp;AP$4)="N/A",0,RTD("tos.rtd",,"OPEN_INT","."&amp;$AB$3&amp;$AB$4&amp;"P"&amp;AP$4))*100</f>
        <v>144000</v>
      </c>
      <c r="AQ42" s="18">
        <f>MAX(0, $A42-AQ$4)*IF(RTD("tos.rtd",,"OPEN_INT","."&amp;$AB$3&amp;$AB$4&amp;"C"&amp;AQ$4)="N/A",0,RTD("tos.rtd",,"OPEN_INT","."&amp;$AB$3&amp;$AB$4&amp;"C"&amp;AQ$4))*100 + MAX(0, AQ$4-$A42)*IF(RTD("tos.rtd",,"OPEN_INT","."&amp;$AB$3&amp;$AB$4&amp;"P"&amp;AQ$4)="N/A",0,RTD("tos.rtd",,"OPEN_INT","."&amp;$AB$3&amp;$AB$4&amp;"P"&amp;AQ$4))*100</f>
        <v>0</v>
      </c>
      <c r="AR42" s="18">
        <f>MAX(0, $A42-AR$4)*IF(RTD("tos.rtd",,"OPEN_INT","."&amp;$AB$3&amp;$AB$4&amp;"C"&amp;AR$4)="N/A",0,RTD("tos.rtd",,"OPEN_INT","."&amp;$AB$3&amp;$AB$4&amp;"C"&amp;AR$4))*100 + MAX(0, AR$4-$A42)*IF(RTD("tos.rtd",,"OPEN_INT","."&amp;$AB$3&amp;$AB$4&amp;"P"&amp;AR$4)="N/A",0,RTD("tos.rtd",,"OPEN_INT","."&amp;$AB$3&amp;$AB$4&amp;"P"&amp;AR$4))*100</f>
        <v>58300</v>
      </c>
      <c r="AS42" s="18">
        <f>MAX(0, $A42-AS$4)*IF(RTD("tos.rtd",,"OPEN_INT","."&amp;$AB$3&amp;$AB$4&amp;"C"&amp;AS$4)="N/A",0,RTD("tos.rtd",,"OPEN_INT","."&amp;$AB$3&amp;$AB$4&amp;"C"&amp;AS$4))*100 + MAX(0, AS$4-$A42)*IF(RTD("tos.rtd",,"OPEN_INT","."&amp;$AB$3&amp;$AB$4&amp;"P"&amp;AS$4)="N/A",0,RTD("tos.rtd",,"OPEN_INT","."&amp;$AB$3&amp;$AB$4&amp;"P"&amp;AS$4))*100</f>
        <v>6300</v>
      </c>
      <c r="AT42" s="18">
        <f>MAX(0, $A42-AT$4)*IF(RTD("tos.rtd",,"OPEN_INT","."&amp;$AB$3&amp;$AB$4&amp;"C"&amp;AT$4)="N/A",0,RTD("tos.rtd",,"OPEN_INT","."&amp;$AB$3&amp;$AB$4&amp;"C"&amp;AT$4))*100 + MAX(0, AT$4-$A42)*IF(RTD("tos.rtd",,"OPEN_INT","."&amp;$AB$3&amp;$AB$4&amp;"P"&amp;AT$4)="N/A",0,RTD("tos.rtd",,"OPEN_INT","."&amp;$AB$3&amp;$AB$4&amp;"P"&amp;AT$4))*100</f>
        <v>62000</v>
      </c>
      <c r="AU42" s="18">
        <f>MAX(0, $A42-AU$4)*IF(RTD("tos.rtd",,"OPEN_INT","."&amp;$AB$3&amp;$AB$4&amp;"C"&amp;AU$4)="N/A",0,RTD("tos.rtd",,"OPEN_INT","."&amp;$AB$3&amp;$AB$4&amp;"C"&amp;AU$4))*100 + MAX(0, AU$4-$A42)*IF(RTD("tos.rtd",,"OPEN_INT","."&amp;$AB$3&amp;$AB$4&amp;"P"&amp;AU$4)="N/A",0,RTD("tos.rtd",,"OPEN_INT","."&amp;$AB$3&amp;$AB$4&amp;"P"&amp;AU$4))*100</f>
        <v>66500</v>
      </c>
      <c r="AV42" s="18">
        <f>MAX(0, $A42-AV$4)*IF(RTD("tos.rtd",,"OPEN_INT","."&amp;$AB$3&amp;$AB$4&amp;"C"&amp;AV$4)="N/A",0,RTD("tos.rtd",,"OPEN_INT","."&amp;$AB$3&amp;$AB$4&amp;"C"&amp;AV$4))*100 + MAX(0, AV$4-$A42)*IF(RTD("tos.rtd",,"OPEN_INT","."&amp;$AB$3&amp;$AB$4&amp;"P"&amp;AV$4)="N/A",0,RTD("tos.rtd",,"OPEN_INT","."&amp;$AB$3&amp;$AB$4&amp;"P"&amp;AV$4))*100</f>
        <v>36000</v>
      </c>
      <c r="AW42" s="18">
        <f>MAX(0, $A42-AW$4)*IF(RTD("tos.rtd",,"OPEN_INT","."&amp;$AB$3&amp;$AB$4&amp;"C"&amp;AW$4)="N/A",0,RTD("tos.rtd",,"OPEN_INT","."&amp;$AB$3&amp;$AB$4&amp;"C"&amp;AW$4))*100 + MAX(0, AW$4-$A42)*IF(RTD("tos.rtd",,"OPEN_INT","."&amp;$AB$3&amp;$AB$4&amp;"P"&amp;AW$4)="N/A",0,RTD("tos.rtd",,"OPEN_INT","."&amp;$AB$3&amp;$AB$4&amp;"P"&amp;AW$4))*100</f>
        <v>136850</v>
      </c>
      <c r="AX42" s="18">
        <f>MAX(0, $A42-AX$4)*IF(RTD("tos.rtd",,"OPEN_INT","."&amp;$AB$3&amp;$AB$4&amp;"C"&amp;AX$4)="N/A",0,RTD("tos.rtd",,"OPEN_INT","."&amp;$AB$3&amp;$AB$4&amp;"C"&amp;AX$4))*100 + MAX(0, AX$4-$A42)*IF(RTD("tos.rtd",,"OPEN_INT","."&amp;$AB$3&amp;$AB$4&amp;"P"&amp;AX$4)="N/A",0,RTD("tos.rtd",,"OPEN_INT","."&amp;$AB$3&amp;$AB$4&amp;"P"&amp;AX$4))*100</f>
        <v>161600</v>
      </c>
      <c r="AY42" s="18">
        <f>MAX(0, $A42-AY$4)*IF(RTD("tos.rtd",,"OPEN_INT","."&amp;$AB$3&amp;$AB$4&amp;"C"&amp;AY$4)="N/A",0,RTD("tos.rtd",,"OPEN_INT","."&amp;$AB$3&amp;$AB$4&amp;"C"&amp;AY$4))*100 + MAX(0, AY$4-$A42)*IF(RTD("tos.rtd",,"OPEN_INT","."&amp;$AB$3&amp;$AB$4&amp;"P"&amp;AY$4)="N/A",0,RTD("tos.rtd",,"OPEN_INT","."&amp;$AB$3&amp;$AB$4&amp;"P"&amp;AY$4))*100</f>
        <v>185250</v>
      </c>
      <c r="AZ42" s="18">
        <f>MAX(0, $A42-AZ$4)*IF(RTD("tos.rtd",,"OPEN_INT","."&amp;$AB$3&amp;$AB$4&amp;"C"&amp;AZ$4)="N/A",0,RTD("tos.rtd",,"OPEN_INT","."&amp;$AB$3&amp;$AB$4&amp;"C"&amp;AZ$4))*100 + MAX(0, AZ$4-$A42)*IF(RTD("tos.rtd",,"OPEN_INT","."&amp;$AB$3&amp;$AB$4&amp;"P"&amp;AZ$4)="N/A",0,RTD("tos.rtd",,"OPEN_INT","."&amp;$AB$3&amp;$AB$4&amp;"P"&amp;AZ$4))*100</f>
        <v>1451800</v>
      </c>
      <c r="BA42" s="18">
        <f>MAX(0, $A42-BA$4)*IF(RTD("tos.rtd",,"OPEN_INT","."&amp;$AB$3&amp;$AB$4&amp;"C"&amp;BA$4)="N/A",0,RTD("tos.rtd",,"OPEN_INT","."&amp;$AB$3&amp;$AB$4&amp;"C"&amp;BA$4))*100 + MAX(0, BA$4-$A42)*IF(RTD("tos.rtd",,"OPEN_INT","."&amp;$AB$3&amp;$AB$4&amp;"P"&amp;BA$4)="N/A",0,RTD("tos.rtd",,"OPEN_INT","."&amp;$AB$3&amp;$AB$4&amp;"P"&amp;BA$4))*100</f>
        <v>369200</v>
      </c>
      <c r="BB42" s="18">
        <f>MAX(0, $A42-BB$4)*IF(RTD("tos.rtd",,"OPEN_INT","."&amp;$AB$3&amp;$AB$4&amp;"C"&amp;BB$4)="N/A",0,RTD("tos.rtd",,"OPEN_INT","."&amp;$AB$3&amp;$AB$4&amp;"C"&amp;BB$4))*100 + MAX(0, BB$4-$A42)*IF(RTD("tos.rtd",,"OPEN_INT","."&amp;$AB$3&amp;$AB$4&amp;"P"&amp;BB$4)="N/A",0,RTD("tos.rtd",,"OPEN_INT","."&amp;$AB$3&amp;$AB$4&amp;"P"&amp;BB$4))*100</f>
        <v>1404000</v>
      </c>
      <c r="BC42" s="18">
        <f>MAX(0, $A42-BC$4)*IF(RTD("tos.rtd",,"OPEN_INT","."&amp;$AB$3&amp;$AB$4&amp;"C"&amp;BC$4)="N/A",0,RTD("tos.rtd",,"OPEN_INT","."&amp;$AB$3&amp;$AB$4&amp;"C"&amp;BC$4))*100 + MAX(0, BC$4-$A42)*IF(RTD("tos.rtd",,"OPEN_INT","."&amp;$AB$3&amp;$AB$4&amp;"P"&amp;BC$4)="N/A",0,RTD("tos.rtd",,"OPEN_INT","."&amp;$AB$3&amp;$AB$4&amp;"P"&amp;BC$4))*100</f>
        <v>1256200</v>
      </c>
      <c r="BD42" s="18">
        <f>MAX(0, $A42-BD$4)*IF(RTD("tos.rtd",,"OPEN_INT","."&amp;$AB$3&amp;$AB$4&amp;"C"&amp;BD$4)="N/A",0,RTD("tos.rtd",,"OPEN_INT","."&amp;$AB$3&amp;$AB$4&amp;"C"&amp;BD$4))*100 + MAX(0, BD$4-$A42)*IF(RTD("tos.rtd",,"OPEN_INT","."&amp;$AB$3&amp;$AB$4&amp;"P"&amp;BD$4)="N/A",0,RTD("tos.rtd",,"OPEN_INT","."&amp;$AB$3&amp;$AB$4&amp;"P"&amp;BD$4))*100</f>
        <v>3825500</v>
      </c>
      <c r="BE42" s="18">
        <f>MAX(0, $A42-BE$4)*IF(RTD("tos.rtd",,"OPEN_INT","."&amp;$AB$3&amp;$AB$4&amp;"C"&amp;BE$4)="N/A",0,RTD("tos.rtd",,"OPEN_INT","."&amp;$AB$3&amp;$AB$4&amp;"C"&amp;BE$4))*100 + MAX(0, BE$4-$A42)*IF(RTD("tos.rtd",,"OPEN_INT","."&amp;$AB$3&amp;$AB$4&amp;"P"&amp;BE$4)="N/A",0,RTD("tos.rtd",,"OPEN_INT","."&amp;$AB$3&amp;$AB$4&amp;"P"&amp;BE$4))*100</f>
        <v>4419450</v>
      </c>
      <c r="BF42" s="18">
        <f>MAX(0, $A42-BF$4)*IF(RTD("tos.rtd",,"OPEN_INT","."&amp;$AB$3&amp;$AB$4&amp;"C"&amp;BF$4)="N/A",0,RTD("tos.rtd",,"OPEN_INT","."&amp;$AB$3&amp;$AB$4&amp;"C"&amp;BF$4))*100 + MAX(0, BF$4-$A42)*IF(RTD("tos.rtd",,"OPEN_INT","."&amp;$AB$3&amp;$AB$4&amp;"P"&amp;BF$4)="N/A",0,RTD("tos.rtd",,"OPEN_INT","."&amp;$AB$3&amp;$AB$4&amp;"P"&amp;BF$4))*100</f>
        <v>4446400</v>
      </c>
      <c r="BG42" s="18">
        <f>MAX(0, $A42-BG$4)*IF(RTD("tos.rtd",,"OPEN_INT","."&amp;$AB$3&amp;$AB$4&amp;"C"&amp;BG$4)="N/A",0,RTD("tos.rtd",,"OPEN_INT","."&amp;$AB$3&amp;$AB$4&amp;"C"&amp;BG$4))*100 + MAX(0, BG$4-$A42)*IF(RTD("tos.rtd",,"OPEN_INT","."&amp;$AB$3&amp;$AB$4&amp;"P"&amp;BG$4)="N/A",0,RTD("tos.rtd",,"OPEN_INT","."&amp;$AB$3&amp;$AB$4&amp;"P"&amp;BG$4))*100</f>
        <v>4868150</v>
      </c>
      <c r="BH42" s="18">
        <f>MAX(0, $A42-BH$4)*IF(RTD("tos.rtd",,"OPEN_INT","."&amp;$AB$3&amp;$AB$4&amp;"C"&amp;BH$4)="N/A",0,RTD("tos.rtd",,"OPEN_INT","."&amp;$AB$3&amp;$AB$4&amp;"C"&amp;BH$4))*100 + MAX(0, BH$4-$A42)*IF(RTD("tos.rtd",,"OPEN_INT","."&amp;$AB$3&amp;$AB$4&amp;"P"&amp;BH$4)="N/A",0,RTD("tos.rtd",,"OPEN_INT","."&amp;$AB$3&amp;$AB$4&amp;"P"&amp;BH$4))*100</f>
        <v>2722500</v>
      </c>
      <c r="BI42" s="18">
        <f>MAX(0, $A42-BI$4)*IF(RTD("tos.rtd",,"OPEN_INT","."&amp;$AB$3&amp;$AB$4&amp;"C"&amp;BI$4)="N/A",0,RTD("tos.rtd",,"OPEN_INT","."&amp;$AB$3&amp;$AB$4&amp;"C"&amp;BI$4))*100 + MAX(0, BI$4-$A42)*IF(RTD("tos.rtd",,"OPEN_INT","."&amp;$AB$3&amp;$AB$4&amp;"P"&amp;BI$4)="N/A",0,RTD("tos.rtd",,"OPEN_INT","."&amp;$AB$3&amp;$AB$4&amp;"P"&amp;BI$4))*100</f>
        <v>1605750</v>
      </c>
      <c r="BJ42" s="18">
        <f>MAX(0, $A42-BJ$4)*IF(RTD("tos.rtd",,"OPEN_INT","."&amp;$AB$3&amp;$AB$4&amp;"C"&amp;BJ$4)="N/A",0,RTD("tos.rtd",,"OPEN_INT","."&amp;$AB$3&amp;$AB$4&amp;"C"&amp;BJ$4))*100 + MAX(0, BJ$4-$A42)*IF(RTD("tos.rtd",,"OPEN_INT","."&amp;$AB$3&amp;$AB$4&amp;"P"&amp;BJ$4)="N/A",0,RTD("tos.rtd",,"OPEN_INT","."&amp;$AB$3&amp;$AB$4&amp;"P"&amp;BJ$4))*100</f>
        <v>1605000</v>
      </c>
      <c r="BK42" s="18">
        <f>MAX(0, $A42-BK$4)*IF(RTD("tos.rtd",,"OPEN_INT","."&amp;$AB$3&amp;$AB$4&amp;"C"&amp;BK$4)="N/A",0,RTD("tos.rtd",,"OPEN_INT","."&amp;$AB$3&amp;$AB$4&amp;"C"&amp;BK$4))*100 + MAX(0, BK$4-$A42)*IF(RTD("tos.rtd",,"OPEN_INT","."&amp;$AB$3&amp;$AB$4&amp;"P"&amp;BK$4)="N/A",0,RTD("tos.rtd",,"OPEN_INT","."&amp;$AB$3&amp;$AB$4&amp;"P"&amp;BK$4))*100</f>
        <v>327450</v>
      </c>
      <c r="BL42" s="18">
        <f>MAX(0, $A42-BL$4)*IF(RTD("tos.rtd",,"OPEN_INT","."&amp;$AB$3&amp;$AB$4&amp;"C"&amp;BL$4)="N/A",0,RTD("tos.rtd",,"OPEN_INT","."&amp;$AB$3&amp;$AB$4&amp;"C"&amp;BL$4))*100 + MAX(0, BL$4-$A42)*IF(RTD("tos.rtd",,"OPEN_INT","."&amp;$AB$3&amp;$AB$4&amp;"P"&amp;BL$4)="N/A",0,RTD("tos.rtd",,"OPEN_INT","."&amp;$AB$3&amp;$AB$4&amp;"P"&amp;BL$4))*100</f>
        <v>234000</v>
      </c>
      <c r="BM42" s="18">
        <f>MAX(0, $A42-BM$4)*IF(RTD("tos.rtd",,"OPEN_INT","."&amp;$AB$3&amp;$AB$4&amp;"C"&amp;BM$4)="N/A",0,RTD("tos.rtd",,"OPEN_INT","."&amp;$AB$3&amp;$AB$4&amp;"C"&amp;BM$4))*100 + MAX(0, BM$4-$A42)*IF(RTD("tos.rtd",,"OPEN_INT","."&amp;$AB$3&amp;$AB$4&amp;"P"&amp;BM$4)="N/A",0,RTD("tos.rtd",,"OPEN_INT","."&amp;$AB$3&amp;$AB$4&amp;"P"&amp;BM$4))*100</f>
        <v>19600</v>
      </c>
      <c r="BN42" s="18">
        <f>MAX(0, $A42-BN$4)*IF(RTD("tos.rtd",,"OPEN_INT","."&amp;$AB$3&amp;$AB$4&amp;"C"&amp;BN$4)="N/A",0,RTD("tos.rtd",,"OPEN_INT","."&amp;$AB$3&amp;$AB$4&amp;"C"&amp;BN$4))*100 + MAX(0, BN$4-$A42)*IF(RTD("tos.rtd",,"OPEN_INT","."&amp;$AB$3&amp;$AB$4&amp;"P"&amp;BN$4)="N/A",0,RTD("tos.rtd",,"OPEN_INT","."&amp;$AB$3&amp;$AB$4&amp;"P"&amp;BN$4))*100</f>
        <v>0</v>
      </c>
      <c r="BO42" s="18">
        <f>MAX(0, $A42-BO$4)*IF(RTD("tos.rtd",,"OPEN_INT","."&amp;$AB$3&amp;$AB$4&amp;"C"&amp;BO$4)="N/A",0,RTD("tos.rtd",,"OPEN_INT","."&amp;$AB$3&amp;$AB$4&amp;"C"&amp;BO$4))*100 + MAX(0, BO$4-$A42)*IF(RTD("tos.rtd",,"OPEN_INT","."&amp;$AB$3&amp;$AB$4&amp;"P"&amp;BO$4)="N/A",0,RTD("tos.rtd",,"OPEN_INT","."&amp;$AB$3&amp;$AB$4&amp;"P"&amp;BO$4))*100</f>
        <v>1550</v>
      </c>
      <c r="BP42" s="18">
        <f>MAX(0, $A42-BP$4)*IF(RTD("tos.rtd",,"OPEN_INT","."&amp;$AB$3&amp;$AB$4&amp;"C"&amp;BP$4)="N/A",0,RTD("tos.rtd",,"OPEN_INT","."&amp;$AB$3&amp;$AB$4&amp;"C"&amp;BP$4))*100 + MAX(0, BP$4-$A42)*IF(RTD("tos.rtd",,"OPEN_INT","."&amp;$AB$3&amp;$AB$4&amp;"P"&amp;BP$4)="N/A",0,RTD("tos.rtd",,"OPEN_INT","."&amp;$AB$3&amp;$AB$4&amp;"P"&amp;BP$4))*100</f>
        <v>3800</v>
      </c>
      <c r="BQ42" s="18">
        <f>MAX(0, $A42-BQ$4)*IF(RTD("tos.rtd",,"OPEN_INT","."&amp;$AB$3&amp;$AB$4&amp;"C"&amp;BQ$4)="N/A",0,RTD("tos.rtd",,"OPEN_INT","."&amp;$AB$3&amp;$AB$4&amp;"C"&amp;BQ$4))*100 + MAX(0, BQ$4-$A42)*IF(RTD("tos.rtd",,"OPEN_INT","."&amp;$AB$3&amp;$AB$4&amp;"P"&amp;BQ$4)="N/A",0,RTD("tos.rtd",,"OPEN_INT","."&amp;$AB$3&amp;$AB$4&amp;"P"&amp;BQ$4))*100</f>
        <v>0</v>
      </c>
      <c r="BR42" s="18">
        <f>MAX(0, $A42-BR$4)*IF(RTD("tos.rtd",,"OPEN_INT","."&amp;$AB$3&amp;$AB$4&amp;"C"&amp;BR$4)="N/A",0,RTD("tos.rtd",,"OPEN_INT","."&amp;$AB$3&amp;$AB$4&amp;"C"&amp;BR$4))*100 + MAX(0, BR$4-$A42)*IF(RTD("tos.rtd",,"OPEN_INT","."&amp;$AB$3&amp;$AB$4&amp;"P"&amp;BR$4)="N/A",0,RTD("tos.rtd",,"OPEN_INT","."&amp;$AB$3&amp;$AB$4&amp;"P"&amp;BR$4))*100</f>
        <v>0</v>
      </c>
      <c r="BS42" s="18">
        <f>MAX(0, $A42-BS$4)*IF(RTD("tos.rtd",,"OPEN_INT","."&amp;$AB$3&amp;$AB$4&amp;"C"&amp;BS$4)="N/A",0,RTD("tos.rtd",,"OPEN_INT","."&amp;$AB$3&amp;$AB$4&amp;"C"&amp;BS$4))*100 + MAX(0, BS$4-$A42)*IF(RTD("tos.rtd",,"OPEN_INT","."&amp;$AB$3&amp;$AB$4&amp;"P"&amp;BS$4)="N/A",0,RTD("tos.rtd",,"OPEN_INT","."&amp;$AB$3&amp;$AB$4&amp;"P"&amp;BS$4))*100</f>
        <v>0</v>
      </c>
      <c r="BT42" s="18">
        <f>MAX(0, $A42-BT$4)*IF(RTD("tos.rtd",,"OPEN_INT","."&amp;$AB$3&amp;$AB$4&amp;"C"&amp;BT$4)="N/A",0,RTD("tos.rtd",,"OPEN_INT","."&amp;$AB$3&amp;$AB$4&amp;"C"&amp;BT$4))*100 + MAX(0, BT$4-$A42)*IF(RTD("tos.rtd",,"OPEN_INT","."&amp;$AB$3&amp;$AB$4&amp;"P"&amp;BT$4)="N/A",0,RTD("tos.rtd",,"OPEN_INT","."&amp;$AB$3&amp;$AB$4&amp;"P"&amp;BT$4))*100</f>
        <v>0</v>
      </c>
      <c r="BU42" s="18">
        <f>MAX(0, $A42-BU$4)*IF(RTD("tos.rtd",,"OPEN_INT","."&amp;$AB$3&amp;$AB$4&amp;"C"&amp;BU$4)="N/A",0,RTD("tos.rtd",,"OPEN_INT","."&amp;$AB$3&amp;$AB$4&amp;"C"&amp;BU$4))*100 + MAX(0, BU$4-$A42)*IF(RTD("tos.rtd",,"OPEN_INT","."&amp;$AB$3&amp;$AB$4&amp;"P"&amp;BU$4)="N/A",0,RTD("tos.rtd",,"OPEN_INT","."&amp;$AB$3&amp;$AB$4&amp;"P"&amp;BU$4))*100</f>
        <v>0</v>
      </c>
      <c r="BV42" s="18">
        <f>MAX(0, $A42-BV$4)*IF(RTD("tos.rtd",,"OPEN_INT","."&amp;$AB$3&amp;$AB$4&amp;"C"&amp;BV$4)="N/A",0,RTD("tos.rtd",,"OPEN_INT","."&amp;$AB$3&amp;$AB$4&amp;"C"&amp;BV$4))*100 + MAX(0, BV$4-$A42)*IF(RTD("tos.rtd",,"OPEN_INT","."&amp;$AB$3&amp;$AB$4&amp;"P"&amp;BV$4)="N/A",0,RTD("tos.rtd",,"OPEN_INT","."&amp;$AB$3&amp;$AB$4&amp;"P"&amp;BV$4))*100</f>
        <v>0</v>
      </c>
      <c r="BW42" s="18">
        <f>MAX(0, $A42-BW$4)*IF(RTD("tos.rtd",,"OPEN_INT","."&amp;$AB$3&amp;$AB$4&amp;"C"&amp;BW$4)="N/A",0,RTD("tos.rtd",,"OPEN_INT","."&amp;$AB$3&amp;$AB$4&amp;"C"&amp;BW$4))*100 + MAX(0, BW$4-$A42)*IF(RTD("tos.rtd",,"OPEN_INT","."&amp;$AB$3&amp;$AB$4&amp;"P"&amp;BW$4)="N/A",0,RTD("tos.rtd",,"OPEN_INT","."&amp;$AB$3&amp;$AB$4&amp;"P"&amp;BW$4))*100</f>
        <v>0</v>
      </c>
    </row>
    <row r="43" spans="1:75" s="19" customFormat="1" ht="11.1" customHeight="1" thickBot="1" x14ac:dyDescent="0.3">
      <c r="A43" s="23">
        <f t="shared" si="12"/>
        <v>2.5</v>
      </c>
      <c r="B43" s="14">
        <f ca="1">IF($A$2="PREMIUM_OI",IFERROR(IF($X$1="ABS",(100*RTD("tos.rtd",,"OPEN_INT","."&amp;B$2&amp;B$1&amp;"C"&amp;$A43)*RTD("tos.rtd",,"LAST","."&amp;B$2&amp;B$1&amp;"C"&amp;$A43)+100*RTD("tos.rtd",,"OPEN_INT","."&amp;B$2&amp;B$1&amp;"P"&amp;$A43)*RTD("tos.rtd",,"LAST","."&amp;B$2&amp;B$1&amp;"P"&amp;$A43))/1000000,(100*RTD("tos.rtd",,"OPEN_INT","."&amp;B$2&amp;B$1&amp;"C"&amp;$A43)*RTD("tos.rtd",,"LAST","."&amp;B$2&amp;B$1&amp;"C"&amp;$A43)-100*RTD("tos.rtd",,"OPEN_INT","."&amp;B$2&amp;B$1&amp;"P"&amp;$A43)*RTD("tos.rtd",,"LAST","."&amp;B$2&amp;B$1&amp;"P"&amp;$A43))/1000000),0),IF($A$2="PREMIUM",IFERROR(IF($X$1="ABS",(100*RTD("tos.rtd",,"VOLUME","."&amp;B$2&amp;B$1&amp;"C"&amp;$A43)*RTD("tos.rtd",,"LAST","."&amp;B$2&amp;B$1&amp;"C"&amp;$A43)+100*RTD("tos.rtd",,"VOLUME","."&amp;B$2&amp;B$1&amp;"P"&amp;$A43)*RTD("tos.rtd",,"LAST","."&amp;B$2&amp;B$1&amp;"P"&amp;$A43))/1000000,(100*RTD("tos.rtd",,"VOLUME","."&amp;B$2&amp;B$1&amp;"C"&amp;$A43)*RTD("tos.rtd",,"LAST","."&amp;B$2&amp;B$1&amp;"C"&amp;$A43)-100*RTD("tos.rtd",,"VOLUME","."&amp;B$2&amp;B$1&amp;"P"&amp;$A43)*RTD("tos.rtd",,"LAST","."&amp;B$2&amp;B$1&amp;"P"&amp;$A43))/1000000),0),IF($A$2="DEX",IFERROR(IF($X$1="ABS",(100*RTD("tos.rtd",,"OPEN_INT","."&amp;B$2&amp;B$1&amp;"C"&amp;$A43)*RTD("tos.rtd",,"DELTA","."&amp;B$2&amp;B$1&amp;"C"&amp;$A43)+100*RTD("tos.rtd",,"OPEN_INT","."&amp;B$2&amp;B$1&amp;"P"&amp;$A43)*RTD("tos.rtd",,"DELTA","."&amp;B$2&amp;B$1&amp;"P"&amp;$A43))/1000,(100*RTD("tos.rtd",,"OPEN_INT","."&amp;B$2&amp;B$1&amp;"C"&amp;$A43)*RTD("tos.rtd",,"DELTA","."&amp;B$2&amp;B$1&amp;"C"&amp;$A43)-100*RTD("tos.rtd",,"OPEN_INT","."&amp;B$2&amp;B$1&amp;"P"&amp;$A43)*RTD("tos.rtd",,"DELTA","."&amp;B$2&amp;B$1&amp;"P"&amp;$A43))/1000),0),IF($A$2="VEX",IFERROR(IF($X$1="ABS",($A$4*$A$4*RTD("tos.rtd",,"VOLUME","."&amp;B$2&amp;B$1&amp;"C"&amp;$A43)*RTD("tos.rtd",,"GAMMA","."&amp;B$2&amp;B$1&amp;"C"&amp;$A43)+$A$4*$A$4*RTD("tos.rtd",,"VOLUME","."&amp;B$2&amp;B$1&amp;"P"&amp;$A43)*RTD("tos.rtd",,"GAMMA","."&amp;B$2&amp;B$1&amp;"P"&amp;$A43))/1000000,($A$4*$A$4*RTD("tos.rtd",,"VOLUME","."&amp;B$2&amp;B$1&amp;"C"&amp;$A43)*RTD("tos.rtd",,"GAMMA","."&amp;B$2&amp;B$1&amp;"C"&amp;$A43)-$A$4*$A$4*RTD("tos.rtd",,"VOLUME","."&amp;B$2&amp;B$1&amp;"P"&amp;$A43)*RTD("tos.rtd",,"GAMMA","."&amp;B$2&amp;B$1&amp;"P"&amp;$A43))/1000000),0),IF($A$2="GEX",IFERROR(IF($X$1="ABS",($A$4*$A$4*RTD("tos.rtd",,"OPEN_INT","."&amp;B$2&amp;B$1&amp;"C"&amp;$A43)*RTD("tos.rtd",,"GAMMA","."&amp;B$2&amp;B$1&amp;"C"&amp;$A43)+$A$4*$A$4*RTD("tos.rtd",,"OPEN_INT","."&amp;B$2&amp;B$1&amp;"P"&amp;$A43)*RTD("tos.rtd",,"GAMMA","."&amp;B$2&amp;B$1&amp;"P"&amp;$A43))/1000000,($A$4*$A$4*RTD("tos.rtd",,"OPEN_INT","."&amp;B$2&amp;B$1&amp;"C"&amp;$A43)*RTD("tos.rtd",,"GAMMA","."&amp;B$2&amp;B$1&amp;"C"&amp;$A43)-$A$4*$A$4*RTD("tos.rtd",,"OPEN_INT","."&amp;B$2&amp;B$1&amp;"P"&amp;$A43)*RTD("tos.rtd",,"GAMMA","."&amp;B$2&amp;B$1&amp;"P"&amp;$A43))/1000000),0),IF($A$2="SKEW",IFERROR(VALUE(IF(RTD("tos.rtd",,"IMPL_VOL","."&amp;B$2&amp;B$1&amp;"P"&amp;$A43)="N/A",0,RTD("tos.rtd",,"IMPL_VOL","."&amp;B$2&amp;B$1&amp;"P"&amp;$A43))),0)-IFERROR(VALUE(IF(RTD("tos.rtd",,"IMPL_VOL","."&amp;B$2&amp;B$1&amp;"C"&amp;$A43)="N/A",0,RTD("tos.rtd",,"IMPL_VOL","."&amp;B$2&amp;B$1&amp;"C"&amp;$A43))),0),IF($A$2="MAXPAIN",IF($A$4&gt;$A43,($A$4-$A43)*IF(RTD("tos.rtd",,"OPEN_INT","."&amp;B$2&amp;B$1&amp;"C"&amp;$A43)="N/A",0,RTD("tos.rtd",,"OPEN_INT","."&amp;B$2&amp;B$1&amp;"C"&amp;$A43)),0)+IF($A$4&lt;$A43,($A$5-$A$4)*IF(RTD("tos.rtd",,"OPEN_INT","."&amp;B$2&amp;B$1&amp;"P"&amp;$A43)="N/A",0,RTD("tos.rtd",,"OPEN_INT","."&amp;B$2&amp;B$1&amp;"P"&amp;$A43)),0),IF($X$1="ABS",IF(RTD("tos.rtd",,$A$2,"."&amp;B$2&amp;B$1&amp;"C"&amp;$A43)="N/A",0,RTD("tos.rtd",,$A$2,"."&amp;B$2&amp;B$1&amp;"C"&amp;$A43))+IF(RTD("tos.rtd",,$A$2,"."&amp;B$2&amp;B$1&amp;"P"&amp;$A43)="N/A",0,RTD("tos.rtd",,$A$2,"."&amp;B$2&amp;B$1&amp;"P"&amp;$A43)),IF(RTD("tos.rtd",,$A$2,"."&amp;B$2&amp;B$1&amp;"C"&amp;$A43)="N/A",0,RTD("tos.rtd",,$A$2,"."&amp;B$2&amp;B$1&amp;"C"&amp;$A43))-IF(RTD("tos.rtd",,$A$2,"."&amp;B$2&amp;B$1&amp;"P"&amp;$A43)="N/A",0,RTD("tos.rtd",,$A$2,"."&amp;B$2&amp;B$1&amp;"P"&amp;$A43))))))))))</f>
        <v>0</v>
      </c>
      <c r="C43" s="14">
        <f ca="1">IF($A$2="PREMIUM_OI",IFERROR(IF($X$1="ABS",(100*RTD("tos.rtd",,"OPEN_INT","."&amp;C$2&amp;C$1&amp;"C"&amp;$A43)*RTD("tos.rtd",,"LAST","."&amp;C$2&amp;C$1&amp;"C"&amp;$A43)+100*RTD("tos.rtd",,"OPEN_INT","."&amp;C$2&amp;C$1&amp;"P"&amp;$A43)*RTD("tos.rtd",,"LAST","."&amp;C$2&amp;C$1&amp;"P"&amp;$A43))/1000000,(100*RTD("tos.rtd",,"OPEN_INT","."&amp;C$2&amp;C$1&amp;"C"&amp;$A43)*RTD("tos.rtd",,"LAST","."&amp;C$2&amp;C$1&amp;"C"&amp;$A43)-100*RTD("tos.rtd",,"OPEN_INT","."&amp;C$2&amp;C$1&amp;"P"&amp;$A43)*RTD("tos.rtd",,"LAST","."&amp;C$2&amp;C$1&amp;"P"&amp;$A43))/1000000),0),IF($A$2="PREMIUM",IFERROR(IF($X$1="ABS",(100*RTD("tos.rtd",,"VOLUME","."&amp;C$2&amp;C$1&amp;"C"&amp;$A43)*RTD("tos.rtd",,"LAST","."&amp;C$2&amp;C$1&amp;"C"&amp;$A43)+100*RTD("tos.rtd",,"VOLUME","."&amp;C$2&amp;C$1&amp;"P"&amp;$A43)*RTD("tos.rtd",,"LAST","."&amp;C$2&amp;C$1&amp;"P"&amp;$A43))/1000000,(100*RTD("tos.rtd",,"VOLUME","."&amp;C$2&amp;C$1&amp;"C"&amp;$A43)*RTD("tos.rtd",,"LAST","."&amp;C$2&amp;C$1&amp;"C"&amp;$A43)-100*RTD("tos.rtd",,"VOLUME","."&amp;C$2&amp;C$1&amp;"P"&amp;$A43)*RTD("tos.rtd",,"LAST","."&amp;C$2&amp;C$1&amp;"P"&amp;$A43))/1000000),0),IF($A$2="DEX",IFERROR(IF($X$1="ABS",(100*RTD("tos.rtd",,"OPEN_INT","."&amp;C$2&amp;C$1&amp;"C"&amp;$A43)*RTD("tos.rtd",,"DELTA","."&amp;C$2&amp;C$1&amp;"C"&amp;$A43)+100*RTD("tos.rtd",,"OPEN_INT","."&amp;C$2&amp;C$1&amp;"P"&amp;$A43)*RTD("tos.rtd",,"DELTA","."&amp;C$2&amp;C$1&amp;"P"&amp;$A43))/1000,(100*RTD("tos.rtd",,"OPEN_INT","."&amp;C$2&amp;C$1&amp;"C"&amp;$A43)*RTD("tos.rtd",,"DELTA","."&amp;C$2&amp;C$1&amp;"C"&amp;$A43)-100*RTD("tos.rtd",,"OPEN_INT","."&amp;C$2&amp;C$1&amp;"P"&amp;$A43)*RTD("tos.rtd",,"DELTA","."&amp;C$2&amp;C$1&amp;"P"&amp;$A43))/1000),0),IF($A$2="VEX",IFERROR(IF($X$1="ABS",($A$4*$A$4*RTD("tos.rtd",,"VOLUME","."&amp;C$2&amp;C$1&amp;"C"&amp;$A43)*RTD("tos.rtd",,"GAMMA","."&amp;C$2&amp;C$1&amp;"C"&amp;$A43)+$A$4*$A$4*RTD("tos.rtd",,"VOLUME","."&amp;C$2&amp;C$1&amp;"P"&amp;$A43)*RTD("tos.rtd",,"GAMMA","."&amp;C$2&amp;C$1&amp;"P"&amp;$A43))/1000000,($A$4*$A$4*RTD("tos.rtd",,"VOLUME","."&amp;C$2&amp;C$1&amp;"C"&amp;$A43)*RTD("tos.rtd",,"GAMMA","."&amp;C$2&amp;C$1&amp;"C"&amp;$A43)-$A$4*$A$4*RTD("tos.rtd",,"VOLUME","."&amp;C$2&amp;C$1&amp;"P"&amp;$A43)*RTD("tos.rtd",,"GAMMA","."&amp;C$2&amp;C$1&amp;"P"&amp;$A43))/1000000),0),IF($A$2="GEX",IFERROR(IF($X$1="ABS",($A$4*$A$4*RTD("tos.rtd",,"OPEN_INT","."&amp;C$2&amp;C$1&amp;"C"&amp;$A43)*RTD("tos.rtd",,"GAMMA","."&amp;C$2&amp;C$1&amp;"C"&amp;$A43)+$A$4*$A$4*RTD("tos.rtd",,"OPEN_INT","."&amp;C$2&amp;C$1&amp;"P"&amp;$A43)*RTD("tos.rtd",,"GAMMA","."&amp;C$2&amp;C$1&amp;"P"&amp;$A43))/1000000,($A$4*$A$4*RTD("tos.rtd",,"OPEN_INT","."&amp;C$2&amp;C$1&amp;"C"&amp;$A43)*RTD("tos.rtd",,"GAMMA","."&amp;C$2&amp;C$1&amp;"C"&amp;$A43)-$A$4*$A$4*RTD("tos.rtd",,"OPEN_INT","."&amp;C$2&amp;C$1&amp;"P"&amp;$A43)*RTD("tos.rtd",,"GAMMA","."&amp;C$2&amp;C$1&amp;"P"&amp;$A43))/1000000),0),IF($A$2="SKEW",IFERROR(VALUE(IF(RTD("tos.rtd",,"IMPL_VOL","."&amp;C$2&amp;C$1&amp;"P"&amp;$A43)="N/A",0,RTD("tos.rtd",,"IMPL_VOL","."&amp;C$2&amp;C$1&amp;"P"&amp;$A43))),0)-IFERROR(VALUE(IF(RTD("tos.rtd",,"IMPL_VOL","."&amp;C$2&amp;C$1&amp;"C"&amp;$A43)="N/A",0,RTD("tos.rtd",,"IMPL_VOL","."&amp;C$2&amp;C$1&amp;"C"&amp;$A43))),0),IF($A$2="MAXPAIN",IF($A$4&gt;$A43,($A$4-$A43)*IF(RTD("tos.rtd",,"OPEN_INT","."&amp;C$2&amp;C$1&amp;"C"&amp;$A43)="N/A",0,RTD("tos.rtd",,"OPEN_INT","."&amp;C$2&amp;C$1&amp;"C"&amp;$A43)),0)+IF($A$4&lt;$A43,($A$5-$A$4)*IF(RTD("tos.rtd",,"OPEN_INT","."&amp;C$2&amp;C$1&amp;"P"&amp;$A43)="N/A",0,RTD("tos.rtd",,"OPEN_INT","."&amp;C$2&amp;C$1&amp;"P"&amp;$A43)),0),IF($X$1="ABS",IF(RTD("tos.rtd",,$A$2,"."&amp;C$2&amp;C$1&amp;"C"&amp;$A43)="N/A",0,RTD("tos.rtd",,$A$2,"."&amp;C$2&amp;C$1&amp;"C"&amp;$A43))+IF(RTD("tos.rtd",,$A$2,"."&amp;C$2&amp;C$1&amp;"P"&amp;$A43)="N/A",0,RTD("tos.rtd",,$A$2,"."&amp;C$2&amp;C$1&amp;"P"&amp;$A43)),IF(RTD("tos.rtd",,$A$2,"."&amp;C$2&amp;C$1&amp;"C"&amp;$A43)="N/A",0,RTD("tos.rtd",,$A$2,"."&amp;C$2&amp;C$1&amp;"C"&amp;$A43))-IF(RTD("tos.rtd",,$A$2,"."&amp;C$2&amp;C$1&amp;"P"&amp;$A43)="N/A",0,RTD("tos.rtd",,$A$2,"."&amp;C$2&amp;C$1&amp;"P"&amp;$A43))))))))))</f>
        <v>0</v>
      </c>
      <c r="D43" s="12">
        <f ca="1">IF($A$2="PREMIUM_OI",IFERROR(IF($X$1="ABS",(100*RTD("tos.rtd",,"OPEN_INT","."&amp;D$2&amp;D$1&amp;"C"&amp;$A43)*RTD("tos.rtd",,"LAST","."&amp;D$2&amp;D$1&amp;"C"&amp;$A43)+100*RTD("tos.rtd",,"OPEN_INT","."&amp;D$2&amp;D$1&amp;"P"&amp;$A43)*RTD("tos.rtd",,"LAST","."&amp;D$2&amp;D$1&amp;"P"&amp;$A43))/1000000,(100*RTD("tos.rtd",,"OPEN_INT","."&amp;D$2&amp;D$1&amp;"C"&amp;$A43)*RTD("tos.rtd",,"LAST","."&amp;D$2&amp;D$1&amp;"C"&amp;$A43)-100*RTD("tos.rtd",,"OPEN_INT","."&amp;D$2&amp;D$1&amp;"P"&amp;$A43)*RTD("tos.rtd",,"LAST","."&amp;D$2&amp;D$1&amp;"P"&amp;$A43))/1000000),0),IF($A$2="PREMIUM",IFERROR(IF($X$1="ABS",(100*RTD("tos.rtd",,"VOLUME","."&amp;D$2&amp;D$1&amp;"C"&amp;$A43)*RTD("tos.rtd",,"LAST","."&amp;D$2&amp;D$1&amp;"C"&amp;$A43)+100*RTD("tos.rtd",,"VOLUME","."&amp;D$2&amp;D$1&amp;"P"&amp;$A43)*RTD("tos.rtd",,"LAST","."&amp;D$2&amp;D$1&amp;"P"&amp;$A43))/1000000,(100*RTD("tos.rtd",,"VOLUME","."&amp;D$2&amp;D$1&amp;"C"&amp;$A43)*RTD("tos.rtd",,"LAST","."&amp;D$2&amp;D$1&amp;"C"&amp;$A43)-100*RTD("tos.rtd",,"VOLUME","."&amp;D$2&amp;D$1&amp;"P"&amp;$A43)*RTD("tos.rtd",,"LAST","."&amp;D$2&amp;D$1&amp;"P"&amp;$A43))/1000000),0),IF($A$2="DEX",IFERROR(IF($X$1="ABS",(100*RTD("tos.rtd",,"OPEN_INT","."&amp;D$2&amp;D$1&amp;"C"&amp;$A43)*RTD("tos.rtd",,"DELTA","."&amp;D$2&amp;D$1&amp;"C"&amp;$A43)+100*RTD("tos.rtd",,"OPEN_INT","."&amp;D$2&amp;D$1&amp;"P"&amp;$A43)*RTD("tos.rtd",,"DELTA","."&amp;D$2&amp;D$1&amp;"P"&amp;$A43))/1000,(100*RTD("tos.rtd",,"OPEN_INT","."&amp;D$2&amp;D$1&amp;"C"&amp;$A43)*RTD("tos.rtd",,"DELTA","."&amp;D$2&amp;D$1&amp;"C"&amp;$A43)-100*RTD("tos.rtd",,"OPEN_INT","."&amp;D$2&amp;D$1&amp;"P"&amp;$A43)*RTD("tos.rtd",,"DELTA","."&amp;D$2&amp;D$1&amp;"P"&amp;$A43))/1000),0),IF($A$2="VEX",IFERROR(IF($X$1="ABS",($A$4*$A$4*RTD("tos.rtd",,"VOLUME","."&amp;D$2&amp;D$1&amp;"C"&amp;$A43)*RTD("tos.rtd",,"GAMMA","."&amp;D$2&amp;D$1&amp;"C"&amp;$A43)+$A$4*$A$4*RTD("tos.rtd",,"VOLUME","."&amp;D$2&amp;D$1&amp;"P"&amp;$A43)*RTD("tos.rtd",,"GAMMA","."&amp;D$2&amp;D$1&amp;"P"&amp;$A43))/1000000,($A$4*$A$4*RTD("tos.rtd",,"VOLUME","."&amp;D$2&amp;D$1&amp;"C"&amp;$A43)*RTD("tos.rtd",,"GAMMA","."&amp;D$2&amp;D$1&amp;"C"&amp;$A43)-$A$4*$A$4*RTD("tos.rtd",,"VOLUME","."&amp;D$2&amp;D$1&amp;"P"&amp;$A43)*RTD("tos.rtd",,"GAMMA","."&amp;D$2&amp;D$1&amp;"P"&amp;$A43))/1000000),0),IF($A$2="GEX",IFERROR(IF($X$1="ABS",($A$4*$A$4*RTD("tos.rtd",,"OPEN_INT","."&amp;D$2&amp;D$1&amp;"C"&amp;$A43)*RTD("tos.rtd",,"GAMMA","."&amp;D$2&amp;D$1&amp;"C"&amp;$A43)+$A$4*$A$4*RTD("tos.rtd",,"OPEN_INT","."&amp;D$2&amp;D$1&amp;"P"&amp;$A43)*RTD("tos.rtd",,"GAMMA","."&amp;D$2&amp;D$1&amp;"P"&amp;$A43))/1000000,($A$4*$A$4*RTD("tos.rtd",,"OPEN_INT","."&amp;D$2&amp;D$1&amp;"C"&amp;$A43)*RTD("tos.rtd",,"GAMMA","."&amp;D$2&amp;D$1&amp;"C"&amp;$A43)-$A$4*$A$4*RTD("tos.rtd",,"OPEN_INT","."&amp;D$2&amp;D$1&amp;"P"&amp;$A43)*RTD("tos.rtd",,"GAMMA","."&amp;D$2&amp;D$1&amp;"P"&amp;$A43))/1000000),0),IF($A$2="SKEW",IFERROR(VALUE(IF(RTD("tos.rtd",,"IMPL_VOL","."&amp;D$2&amp;D$1&amp;"P"&amp;$A43)="N/A",0,RTD("tos.rtd",,"IMPL_VOL","."&amp;D$2&amp;D$1&amp;"P"&amp;$A43))),0)-IFERROR(VALUE(IF(RTD("tos.rtd",,"IMPL_VOL","."&amp;D$2&amp;D$1&amp;"C"&amp;$A43)="N/A",0,RTD("tos.rtd",,"IMPL_VOL","."&amp;D$2&amp;D$1&amp;"C"&amp;$A43))),0),IF($A$2="MAXPAIN",IF($A$4&gt;$A43,($A$4-$A43)*IF(RTD("tos.rtd",,"OPEN_INT","."&amp;D$2&amp;D$1&amp;"C"&amp;$A43)="N/A",0,RTD("tos.rtd",,"OPEN_INT","."&amp;D$2&amp;D$1&amp;"C"&amp;$A43)),0)+IF($A$4&lt;$A43,($A$5-$A$4)*IF(RTD("tos.rtd",,"OPEN_INT","."&amp;D$2&amp;D$1&amp;"P"&amp;$A43)="N/A",0,RTD("tos.rtd",,"OPEN_INT","."&amp;D$2&amp;D$1&amp;"P"&amp;$A43)),0),IF($X$1="ABS",IF(RTD("tos.rtd",,$A$2,"."&amp;D$2&amp;D$1&amp;"C"&amp;$A43)="N/A",0,RTD("tos.rtd",,$A$2,"."&amp;D$2&amp;D$1&amp;"C"&amp;$A43))+IF(RTD("tos.rtd",,$A$2,"."&amp;D$2&amp;D$1&amp;"P"&amp;$A43)="N/A",0,RTD("tos.rtd",,$A$2,"."&amp;D$2&amp;D$1&amp;"P"&amp;$A43)),IF(RTD("tos.rtd",,$A$2,"."&amp;D$2&amp;D$1&amp;"C"&amp;$A43)="N/A",0,RTD("tos.rtd",,$A$2,"."&amp;D$2&amp;D$1&amp;"C"&amp;$A43))-IF(RTD("tos.rtd",,$A$2,"."&amp;D$2&amp;D$1&amp;"P"&amp;$A43)="N/A",0,RTD("tos.rtd",,$A$2,"."&amp;D$2&amp;D$1&amp;"P"&amp;$A43))))))))))</f>
        <v>0</v>
      </c>
      <c r="E43" s="12">
        <f ca="1">IF($A$2="PREMIUM_OI",IFERROR(IF($X$1="ABS",(100*RTD("tos.rtd",,"OPEN_INT","."&amp;E$2&amp;E$1&amp;"C"&amp;$A43)*RTD("tos.rtd",,"LAST","."&amp;E$2&amp;E$1&amp;"C"&amp;$A43)+100*RTD("tos.rtd",,"OPEN_INT","."&amp;E$2&amp;E$1&amp;"P"&amp;$A43)*RTD("tos.rtd",,"LAST","."&amp;E$2&amp;E$1&amp;"P"&amp;$A43))/1000000,(100*RTD("tos.rtd",,"OPEN_INT","."&amp;E$2&amp;E$1&amp;"C"&amp;$A43)*RTD("tos.rtd",,"LAST","."&amp;E$2&amp;E$1&amp;"C"&amp;$A43)-100*RTD("tos.rtd",,"OPEN_INT","."&amp;E$2&amp;E$1&amp;"P"&amp;$A43)*RTD("tos.rtd",,"LAST","."&amp;E$2&amp;E$1&amp;"P"&amp;$A43))/1000000),0),IF($A$2="PREMIUM",IFERROR(IF($X$1="ABS",(100*RTD("tos.rtd",,"VOLUME","."&amp;E$2&amp;E$1&amp;"C"&amp;$A43)*RTD("tos.rtd",,"LAST","."&amp;E$2&amp;E$1&amp;"C"&amp;$A43)+100*RTD("tos.rtd",,"VOLUME","."&amp;E$2&amp;E$1&amp;"P"&amp;$A43)*RTD("tos.rtd",,"LAST","."&amp;E$2&amp;E$1&amp;"P"&amp;$A43))/1000000,(100*RTD("tos.rtd",,"VOLUME","."&amp;E$2&amp;E$1&amp;"C"&amp;$A43)*RTD("tos.rtd",,"LAST","."&amp;E$2&amp;E$1&amp;"C"&amp;$A43)-100*RTD("tos.rtd",,"VOLUME","."&amp;E$2&amp;E$1&amp;"P"&amp;$A43)*RTD("tos.rtd",,"LAST","."&amp;E$2&amp;E$1&amp;"P"&amp;$A43))/1000000),0),IF($A$2="DEX",IFERROR(IF($X$1="ABS",(100*RTD("tos.rtd",,"OPEN_INT","."&amp;E$2&amp;E$1&amp;"C"&amp;$A43)*RTD("tos.rtd",,"DELTA","."&amp;E$2&amp;E$1&amp;"C"&amp;$A43)+100*RTD("tos.rtd",,"OPEN_INT","."&amp;E$2&amp;E$1&amp;"P"&amp;$A43)*RTD("tos.rtd",,"DELTA","."&amp;E$2&amp;E$1&amp;"P"&amp;$A43))/1000,(100*RTD("tos.rtd",,"OPEN_INT","."&amp;E$2&amp;E$1&amp;"C"&amp;$A43)*RTD("tos.rtd",,"DELTA","."&amp;E$2&amp;E$1&amp;"C"&amp;$A43)-100*RTD("tos.rtd",,"OPEN_INT","."&amp;E$2&amp;E$1&amp;"P"&amp;$A43)*RTD("tos.rtd",,"DELTA","."&amp;E$2&amp;E$1&amp;"P"&amp;$A43))/1000),0),IF($A$2="VEX",IFERROR(IF($X$1="ABS",($A$4*$A$4*RTD("tos.rtd",,"VOLUME","."&amp;E$2&amp;E$1&amp;"C"&amp;$A43)*RTD("tos.rtd",,"GAMMA","."&amp;E$2&amp;E$1&amp;"C"&amp;$A43)+$A$4*$A$4*RTD("tos.rtd",,"VOLUME","."&amp;E$2&amp;E$1&amp;"P"&amp;$A43)*RTD("tos.rtd",,"GAMMA","."&amp;E$2&amp;E$1&amp;"P"&amp;$A43))/1000000,($A$4*$A$4*RTD("tos.rtd",,"VOLUME","."&amp;E$2&amp;E$1&amp;"C"&amp;$A43)*RTD("tos.rtd",,"GAMMA","."&amp;E$2&amp;E$1&amp;"C"&amp;$A43)-$A$4*$A$4*RTD("tos.rtd",,"VOLUME","."&amp;E$2&amp;E$1&amp;"P"&amp;$A43)*RTD("tos.rtd",,"GAMMA","."&amp;E$2&amp;E$1&amp;"P"&amp;$A43))/1000000),0),IF($A$2="GEX",IFERROR(IF($X$1="ABS",($A$4*$A$4*RTD("tos.rtd",,"OPEN_INT","."&amp;E$2&amp;E$1&amp;"C"&amp;$A43)*RTD("tos.rtd",,"GAMMA","."&amp;E$2&amp;E$1&amp;"C"&amp;$A43)+$A$4*$A$4*RTD("tos.rtd",,"OPEN_INT","."&amp;E$2&amp;E$1&amp;"P"&amp;$A43)*RTD("tos.rtd",,"GAMMA","."&amp;E$2&amp;E$1&amp;"P"&amp;$A43))/1000000,($A$4*$A$4*RTD("tos.rtd",,"OPEN_INT","."&amp;E$2&amp;E$1&amp;"C"&amp;$A43)*RTD("tos.rtd",,"GAMMA","."&amp;E$2&amp;E$1&amp;"C"&amp;$A43)-$A$4*$A$4*RTD("tos.rtd",,"OPEN_INT","."&amp;E$2&amp;E$1&amp;"P"&amp;$A43)*RTD("tos.rtd",,"GAMMA","."&amp;E$2&amp;E$1&amp;"P"&amp;$A43))/1000000),0),IF($A$2="SKEW",IFERROR(VALUE(IF(RTD("tos.rtd",,"IMPL_VOL","."&amp;E$2&amp;E$1&amp;"P"&amp;$A43)="N/A",0,RTD("tos.rtd",,"IMPL_VOL","."&amp;E$2&amp;E$1&amp;"P"&amp;$A43))),0)-IFERROR(VALUE(IF(RTD("tos.rtd",,"IMPL_VOL","."&amp;E$2&amp;E$1&amp;"C"&amp;$A43)="N/A",0,RTD("tos.rtd",,"IMPL_VOL","."&amp;E$2&amp;E$1&amp;"C"&amp;$A43))),0),IF($A$2="MAXPAIN",IF($A$4&gt;$A43,($A$4-$A43)*IF(RTD("tos.rtd",,"OPEN_INT","."&amp;E$2&amp;E$1&amp;"C"&amp;$A43)="N/A",0,RTD("tos.rtd",,"OPEN_INT","."&amp;E$2&amp;E$1&amp;"C"&amp;$A43)),0)+IF($A$4&lt;$A43,($A$5-$A$4)*IF(RTD("tos.rtd",,"OPEN_INT","."&amp;E$2&amp;E$1&amp;"P"&amp;$A43)="N/A",0,RTD("tos.rtd",,"OPEN_INT","."&amp;E$2&amp;E$1&amp;"P"&amp;$A43)),0),IF($X$1="ABS",IF(RTD("tos.rtd",,$A$2,"."&amp;E$2&amp;E$1&amp;"C"&amp;$A43)="N/A",0,RTD("tos.rtd",,$A$2,"."&amp;E$2&amp;E$1&amp;"C"&amp;$A43))+IF(RTD("tos.rtd",,$A$2,"."&amp;E$2&amp;E$1&amp;"P"&amp;$A43)="N/A",0,RTD("tos.rtd",,$A$2,"."&amp;E$2&amp;E$1&amp;"P"&amp;$A43)),IF(RTD("tos.rtd",,$A$2,"."&amp;E$2&amp;E$1&amp;"C"&amp;$A43)="N/A",0,RTD("tos.rtd",,$A$2,"."&amp;E$2&amp;E$1&amp;"C"&amp;$A43))-IF(RTD("tos.rtd",,$A$2,"."&amp;E$2&amp;E$1&amp;"P"&amp;$A43)="N/A",0,RTD("tos.rtd",,$A$2,"."&amp;E$2&amp;E$1&amp;"P"&amp;$A43))))))))))</f>
        <v>0</v>
      </c>
      <c r="F43" s="12">
        <f ca="1">IF($A$2="PREMIUM_OI",IFERROR(IF($X$1="ABS",(100*RTD("tos.rtd",,"OPEN_INT","."&amp;F$2&amp;F$1&amp;"C"&amp;$A43)*RTD("tos.rtd",,"LAST","."&amp;F$2&amp;F$1&amp;"C"&amp;$A43)+100*RTD("tos.rtd",,"OPEN_INT","."&amp;F$2&amp;F$1&amp;"P"&amp;$A43)*RTD("tos.rtd",,"LAST","."&amp;F$2&amp;F$1&amp;"P"&amp;$A43))/1000000,(100*RTD("tos.rtd",,"OPEN_INT","."&amp;F$2&amp;F$1&amp;"C"&amp;$A43)*RTD("tos.rtd",,"LAST","."&amp;F$2&amp;F$1&amp;"C"&amp;$A43)-100*RTD("tos.rtd",,"OPEN_INT","."&amp;F$2&amp;F$1&amp;"P"&amp;$A43)*RTD("tos.rtd",,"LAST","."&amp;F$2&amp;F$1&amp;"P"&amp;$A43))/1000000),0),IF($A$2="PREMIUM",IFERROR(IF($X$1="ABS",(100*RTD("tos.rtd",,"VOLUME","."&amp;F$2&amp;F$1&amp;"C"&amp;$A43)*RTD("tos.rtd",,"LAST","."&amp;F$2&amp;F$1&amp;"C"&amp;$A43)+100*RTD("tos.rtd",,"VOLUME","."&amp;F$2&amp;F$1&amp;"P"&amp;$A43)*RTD("tos.rtd",,"LAST","."&amp;F$2&amp;F$1&amp;"P"&amp;$A43))/1000000,(100*RTD("tos.rtd",,"VOLUME","."&amp;F$2&amp;F$1&amp;"C"&amp;$A43)*RTD("tos.rtd",,"LAST","."&amp;F$2&amp;F$1&amp;"C"&amp;$A43)-100*RTD("tos.rtd",,"VOLUME","."&amp;F$2&amp;F$1&amp;"P"&amp;$A43)*RTD("tos.rtd",,"LAST","."&amp;F$2&amp;F$1&amp;"P"&amp;$A43))/1000000),0),IF($A$2="DEX",IFERROR(IF($X$1="ABS",(100*RTD("tos.rtd",,"OPEN_INT","."&amp;F$2&amp;F$1&amp;"C"&amp;$A43)*RTD("tos.rtd",,"DELTA","."&amp;F$2&amp;F$1&amp;"C"&amp;$A43)+100*RTD("tos.rtd",,"OPEN_INT","."&amp;F$2&amp;F$1&amp;"P"&amp;$A43)*RTD("tos.rtd",,"DELTA","."&amp;F$2&amp;F$1&amp;"P"&amp;$A43))/1000,(100*RTD("tos.rtd",,"OPEN_INT","."&amp;F$2&amp;F$1&amp;"C"&amp;$A43)*RTD("tos.rtd",,"DELTA","."&amp;F$2&amp;F$1&amp;"C"&amp;$A43)-100*RTD("tos.rtd",,"OPEN_INT","."&amp;F$2&amp;F$1&amp;"P"&amp;$A43)*RTD("tos.rtd",,"DELTA","."&amp;F$2&amp;F$1&amp;"P"&amp;$A43))/1000),0),IF($A$2="VEX",IFERROR(IF($X$1="ABS",($A$4*$A$4*RTD("tos.rtd",,"VOLUME","."&amp;F$2&amp;F$1&amp;"C"&amp;$A43)*RTD("tos.rtd",,"GAMMA","."&amp;F$2&amp;F$1&amp;"C"&amp;$A43)+$A$4*$A$4*RTD("tos.rtd",,"VOLUME","."&amp;F$2&amp;F$1&amp;"P"&amp;$A43)*RTD("tos.rtd",,"GAMMA","."&amp;F$2&amp;F$1&amp;"P"&amp;$A43))/1000000,($A$4*$A$4*RTD("tos.rtd",,"VOLUME","."&amp;F$2&amp;F$1&amp;"C"&amp;$A43)*RTD("tos.rtd",,"GAMMA","."&amp;F$2&amp;F$1&amp;"C"&amp;$A43)-$A$4*$A$4*RTD("tos.rtd",,"VOLUME","."&amp;F$2&amp;F$1&amp;"P"&amp;$A43)*RTD("tos.rtd",,"GAMMA","."&amp;F$2&amp;F$1&amp;"P"&amp;$A43))/1000000),0),IF($A$2="GEX",IFERROR(IF($X$1="ABS",($A$4*$A$4*RTD("tos.rtd",,"OPEN_INT","."&amp;F$2&amp;F$1&amp;"C"&amp;$A43)*RTD("tos.rtd",,"GAMMA","."&amp;F$2&amp;F$1&amp;"C"&amp;$A43)+$A$4*$A$4*RTD("tos.rtd",,"OPEN_INT","."&amp;F$2&amp;F$1&amp;"P"&amp;$A43)*RTD("tos.rtd",,"GAMMA","."&amp;F$2&amp;F$1&amp;"P"&amp;$A43))/1000000,($A$4*$A$4*RTD("tos.rtd",,"OPEN_INT","."&amp;F$2&amp;F$1&amp;"C"&amp;$A43)*RTD("tos.rtd",,"GAMMA","."&amp;F$2&amp;F$1&amp;"C"&amp;$A43)-$A$4*$A$4*RTD("tos.rtd",,"OPEN_INT","."&amp;F$2&amp;F$1&amp;"P"&amp;$A43)*RTD("tos.rtd",,"GAMMA","."&amp;F$2&amp;F$1&amp;"P"&amp;$A43))/1000000),0),IF($A$2="SKEW",IFERROR(VALUE(IF(RTD("tos.rtd",,"IMPL_VOL","."&amp;F$2&amp;F$1&amp;"P"&amp;$A43)="N/A",0,RTD("tos.rtd",,"IMPL_VOL","."&amp;F$2&amp;F$1&amp;"P"&amp;$A43))),0)-IFERROR(VALUE(IF(RTD("tos.rtd",,"IMPL_VOL","."&amp;F$2&amp;F$1&amp;"C"&amp;$A43)="N/A",0,RTD("tos.rtd",,"IMPL_VOL","."&amp;F$2&amp;F$1&amp;"C"&amp;$A43))),0),IF($A$2="MAXPAIN",IF($A$4&gt;$A43,($A$4-$A43)*IF(RTD("tos.rtd",,"OPEN_INT","."&amp;F$2&amp;F$1&amp;"C"&amp;$A43)="N/A",0,RTD("tos.rtd",,"OPEN_INT","."&amp;F$2&amp;F$1&amp;"C"&amp;$A43)),0)+IF($A$4&lt;$A43,($A$5-$A$4)*IF(RTD("tos.rtd",,"OPEN_INT","."&amp;F$2&amp;F$1&amp;"P"&amp;$A43)="N/A",0,RTD("tos.rtd",,"OPEN_INT","."&amp;F$2&amp;F$1&amp;"P"&amp;$A43)),0),IF($X$1="ABS",IF(RTD("tos.rtd",,$A$2,"."&amp;F$2&amp;F$1&amp;"C"&amp;$A43)="N/A",0,RTD("tos.rtd",,$A$2,"."&amp;F$2&amp;F$1&amp;"C"&amp;$A43))+IF(RTD("tos.rtd",,$A$2,"."&amp;F$2&amp;F$1&amp;"P"&amp;$A43)="N/A",0,RTD("tos.rtd",,$A$2,"."&amp;F$2&amp;F$1&amp;"P"&amp;$A43)),IF(RTD("tos.rtd",,$A$2,"."&amp;F$2&amp;F$1&amp;"C"&amp;$A43)="N/A",0,RTD("tos.rtd",,$A$2,"."&amp;F$2&amp;F$1&amp;"C"&amp;$A43))-IF(RTD("tos.rtd",,$A$2,"."&amp;F$2&amp;F$1&amp;"P"&amp;$A43)="N/A",0,RTD("tos.rtd",,$A$2,"."&amp;F$2&amp;F$1&amp;"P"&amp;$A43))))))))))</f>
        <v>0</v>
      </c>
      <c r="G43" s="54">
        <f ca="1">IF($A$2="PREMIUM_OI",IFERROR(IF($X$1="ABS",(100*RTD("tos.rtd",,"OPEN_INT","."&amp;G$2&amp;G$1&amp;"C"&amp;$A43)*RTD("tos.rtd",,"LAST","."&amp;G$2&amp;G$1&amp;"C"&amp;$A43)+100*RTD("tos.rtd",,"OPEN_INT","."&amp;G$2&amp;G$1&amp;"P"&amp;$A43)*RTD("tos.rtd",,"LAST","."&amp;G$2&amp;G$1&amp;"P"&amp;$A43))/1000000,(100*RTD("tos.rtd",,"OPEN_INT","."&amp;G$2&amp;G$1&amp;"C"&amp;$A43)*RTD("tos.rtd",,"LAST","."&amp;G$2&amp;G$1&amp;"C"&amp;$A43)-100*RTD("tos.rtd",,"OPEN_INT","."&amp;G$2&amp;G$1&amp;"P"&amp;$A43)*RTD("tos.rtd",,"LAST","."&amp;G$2&amp;G$1&amp;"P"&amp;$A43))/1000000),0),IF($A$2="PREMIUM",IFERROR(IF($X$1="ABS",(100*RTD("tos.rtd",,"VOLUME","."&amp;G$2&amp;G$1&amp;"C"&amp;$A43)*RTD("tos.rtd",,"LAST","."&amp;G$2&amp;G$1&amp;"C"&amp;$A43)+100*RTD("tos.rtd",,"VOLUME","."&amp;G$2&amp;G$1&amp;"P"&amp;$A43)*RTD("tos.rtd",,"LAST","."&amp;G$2&amp;G$1&amp;"P"&amp;$A43))/1000000,(100*RTD("tos.rtd",,"VOLUME","."&amp;G$2&amp;G$1&amp;"C"&amp;$A43)*RTD("tos.rtd",,"LAST","."&amp;G$2&amp;G$1&amp;"C"&amp;$A43)-100*RTD("tos.rtd",,"VOLUME","."&amp;G$2&amp;G$1&amp;"P"&amp;$A43)*RTD("tos.rtd",,"LAST","."&amp;G$2&amp;G$1&amp;"P"&amp;$A43))/1000000),0),IF($A$2="DEX",IFERROR(IF($X$1="ABS",(100*RTD("tos.rtd",,"OPEN_INT","."&amp;G$2&amp;G$1&amp;"C"&amp;$A43)*RTD("tos.rtd",,"DELTA","."&amp;G$2&amp;G$1&amp;"C"&amp;$A43)+100*RTD("tos.rtd",,"OPEN_INT","."&amp;G$2&amp;G$1&amp;"P"&amp;$A43)*RTD("tos.rtd",,"DELTA","."&amp;G$2&amp;G$1&amp;"P"&amp;$A43))/1000,(100*RTD("tos.rtd",,"OPEN_INT","."&amp;G$2&amp;G$1&amp;"C"&amp;$A43)*RTD("tos.rtd",,"DELTA","."&amp;G$2&amp;G$1&amp;"C"&amp;$A43)-100*RTD("tos.rtd",,"OPEN_INT","."&amp;G$2&amp;G$1&amp;"P"&amp;$A43)*RTD("tos.rtd",,"DELTA","."&amp;G$2&amp;G$1&amp;"P"&amp;$A43))/1000),0),IF($A$2="VEX",IFERROR(IF($X$1="ABS",($A$4*$A$4*RTD("tos.rtd",,"VOLUME","."&amp;G$2&amp;G$1&amp;"C"&amp;$A43)*RTD("tos.rtd",,"GAMMA","."&amp;G$2&amp;G$1&amp;"C"&amp;$A43)+$A$4*$A$4*RTD("tos.rtd",,"VOLUME","."&amp;G$2&amp;G$1&amp;"P"&amp;$A43)*RTD("tos.rtd",,"GAMMA","."&amp;G$2&amp;G$1&amp;"P"&amp;$A43))/1000000,($A$4*$A$4*RTD("tos.rtd",,"VOLUME","."&amp;G$2&amp;G$1&amp;"C"&amp;$A43)*RTD("tos.rtd",,"GAMMA","."&amp;G$2&amp;G$1&amp;"C"&amp;$A43)-$A$4*$A$4*RTD("tos.rtd",,"VOLUME","."&amp;G$2&amp;G$1&amp;"P"&amp;$A43)*RTD("tos.rtd",,"GAMMA","."&amp;G$2&amp;G$1&amp;"P"&amp;$A43))/1000000),0),IF($A$2="GEX",IFERROR(IF($X$1="ABS",($A$4*$A$4*RTD("tos.rtd",,"OPEN_INT","."&amp;G$2&amp;G$1&amp;"C"&amp;$A43)*RTD("tos.rtd",,"GAMMA","."&amp;G$2&amp;G$1&amp;"C"&amp;$A43)+$A$4*$A$4*RTD("tos.rtd",,"OPEN_INT","."&amp;G$2&amp;G$1&amp;"P"&amp;$A43)*RTD("tos.rtd",,"GAMMA","."&amp;G$2&amp;G$1&amp;"P"&amp;$A43))/1000000,($A$4*$A$4*RTD("tos.rtd",,"OPEN_INT","."&amp;G$2&amp;G$1&amp;"C"&amp;$A43)*RTD("tos.rtd",,"GAMMA","."&amp;G$2&amp;G$1&amp;"C"&amp;$A43)-$A$4*$A$4*RTD("tos.rtd",,"OPEN_INT","."&amp;G$2&amp;G$1&amp;"P"&amp;$A43)*RTD("tos.rtd",,"GAMMA","."&amp;G$2&amp;G$1&amp;"P"&amp;$A43))/1000000),0),IF($A$2="SKEW",IFERROR(VALUE(IF(RTD("tos.rtd",,"IMPL_VOL","."&amp;G$2&amp;G$1&amp;"P"&amp;$A43)="N/A",0,RTD("tos.rtd",,"IMPL_VOL","."&amp;G$2&amp;G$1&amp;"P"&amp;$A43))),0)-IFERROR(VALUE(IF(RTD("tos.rtd",,"IMPL_VOL","."&amp;G$2&amp;G$1&amp;"C"&amp;$A43)="N/A",0,RTD("tos.rtd",,"IMPL_VOL","."&amp;G$2&amp;G$1&amp;"C"&amp;$A43))),0),IF($A$2="MAXPAIN",IF($A$4&gt;$A43,($A$4-$A43)*IF(RTD("tos.rtd",,"OPEN_INT","."&amp;G$2&amp;G$1&amp;"C"&amp;$A43)="N/A",0,RTD("tos.rtd",,"OPEN_INT","."&amp;G$2&amp;G$1&amp;"C"&amp;$A43)),0)+IF($A$4&lt;$A43,($A$5-$A$4)*IF(RTD("tos.rtd",,"OPEN_INT","."&amp;G$2&amp;G$1&amp;"P"&amp;$A43)="N/A",0,RTD("tos.rtd",,"OPEN_INT","."&amp;G$2&amp;G$1&amp;"P"&amp;$A43)),0),IF($X$1="ABS",IF(RTD("tos.rtd",,$A$2,"."&amp;G$2&amp;G$1&amp;"C"&amp;$A43)="N/A",0,RTD("tos.rtd",,$A$2,"."&amp;G$2&amp;G$1&amp;"C"&amp;$A43))+IF(RTD("tos.rtd",,$A$2,"."&amp;G$2&amp;G$1&amp;"P"&amp;$A43)="N/A",0,RTD("tos.rtd",,$A$2,"."&amp;G$2&amp;G$1&amp;"P"&amp;$A43)),IF(RTD("tos.rtd",,$A$2,"."&amp;G$2&amp;G$1&amp;"C"&amp;$A43)="N/A",0,RTD("tos.rtd",,$A$2,"."&amp;G$2&amp;G$1&amp;"C"&amp;$A43))-IF(RTD("tos.rtd",,$A$2,"."&amp;G$2&amp;G$1&amp;"P"&amp;$A43)="N/A",0,RTD("tos.rtd",,$A$2,"."&amp;G$2&amp;G$1&amp;"P"&amp;$A43))))))))))</f>
        <v>0</v>
      </c>
      <c r="H43" s="14">
        <f ca="1">IF($A$2="PREMIUM_OI",IFERROR(IF($X$1="ABS",(100*RTD("tos.rtd",,"OPEN_INT","."&amp;H$2&amp;H$1&amp;"C"&amp;$A43)*RTD("tos.rtd",,"LAST","."&amp;H$2&amp;H$1&amp;"C"&amp;$A43)+100*RTD("tos.rtd",,"OPEN_INT","."&amp;H$2&amp;H$1&amp;"P"&amp;$A43)*RTD("tos.rtd",,"LAST","."&amp;H$2&amp;H$1&amp;"P"&amp;$A43))/1000000,(100*RTD("tos.rtd",,"OPEN_INT","."&amp;H$2&amp;H$1&amp;"C"&amp;$A43)*RTD("tos.rtd",,"LAST","."&amp;H$2&amp;H$1&amp;"C"&amp;$A43)-100*RTD("tos.rtd",,"OPEN_INT","."&amp;H$2&amp;H$1&amp;"P"&amp;$A43)*RTD("tos.rtd",,"LAST","."&amp;H$2&amp;H$1&amp;"P"&amp;$A43))/1000000),0),IF($A$2="PREMIUM",IFERROR(IF($X$1="ABS",(100*RTD("tos.rtd",,"VOLUME","."&amp;H$2&amp;H$1&amp;"C"&amp;$A43)*RTD("tos.rtd",,"LAST","."&amp;H$2&amp;H$1&amp;"C"&amp;$A43)+100*RTD("tos.rtd",,"VOLUME","."&amp;H$2&amp;H$1&amp;"P"&amp;$A43)*RTD("tos.rtd",,"LAST","."&amp;H$2&amp;H$1&amp;"P"&amp;$A43))/1000000,(100*RTD("tos.rtd",,"VOLUME","."&amp;H$2&amp;H$1&amp;"C"&amp;$A43)*RTD("tos.rtd",,"LAST","."&amp;H$2&amp;H$1&amp;"C"&amp;$A43)-100*RTD("tos.rtd",,"VOLUME","."&amp;H$2&amp;H$1&amp;"P"&amp;$A43)*RTD("tos.rtd",,"LAST","."&amp;H$2&amp;H$1&amp;"P"&amp;$A43))/1000000),0),IF($A$2="DEX",IFERROR(IF($X$1="ABS",(100*RTD("tos.rtd",,"OPEN_INT","."&amp;H$2&amp;H$1&amp;"C"&amp;$A43)*RTD("tos.rtd",,"DELTA","."&amp;H$2&amp;H$1&amp;"C"&amp;$A43)+100*RTD("tos.rtd",,"OPEN_INT","."&amp;H$2&amp;H$1&amp;"P"&amp;$A43)*RTD("tos.rtd",,"DELTA","."&amp;H$2&amp;H$1&amp;"P"&amp;$A43))/1000,(100*RTD("tos.rtd",,"OPEN_INT","."&amp;H$2&amp;H$1&amp;"C"&amp;$A43)*RTD("tos.rtd",,"DELTA","."&amp;H$2&amp;H$1&amp;"C"&amp;$A43)-100*RTD("tos.rtd",,"OPEN_INT","."&amp;H$2&amp;H$1&amp;"P"&amp;$A43)*RTD("tos.rtd",,"DELTA","."&amp;H$2&amp;H$1&amp;"P"&amp;$A43))/1000),0),IF($A$2="VEX",IFERROR(IF($X$1="ABS",($A$4*$A$4*RTD("tos.rtd",,"VOLUME","."&amp;H$2&amp;H$1&amp;"C"&amp;$A43)*RTD("tos.rtd",,"GAMMA","."&amp;H$2&amp;H$1&amp;"C"&amp;$A43)+$A$4*$A$4*RTD("tos.rtd",,"VOLUME","."&amp;H$2&amp;H$1&amp;"P"&amp;$A43)*RTD("tos.rtd",,"GAMMA","."&amp;H$2&amp;H$1&amp;"P"&amp;$A43))/1000000,($A$4*$A$4*RTD("tos.rtd",,"VOLUME","."&amp;H$2&amp;H$1&amp;"C"&amp;$A43)*RTD("tos.rtd",,"GAMMA","."&amp;H$2&amp;H$1&amp;"C"&amp;$A43)-$A$4*$A$4*RTD("tos.rtd",,"VOLUME","."&amp;H$2&amp;H$1&amp;"P"&amp;$A43)*RTD("tos.rtd",,"GAMMA","."&amp;H$2&amp;H$1&amp;"P"&amp;$A43))/1000000),0),IF($A$2="GEX",IFERROR(IF($X$1="ABS",($A$4*$A$4*RTD("tos.rtd",,"OPEN_INT","."&amp;H$2&amp;H$1&amp;"C"&amp;$A43)*RTD("tos.rtd",,"GAMMA","."&amp;H$2&amp;H$1&amp;"C"&amp;$A43)+$A$4*$A$4*RTD("tos.rtd",,"OPEN_INT","."&amp;H$2&amp;H$1&amp;"P"&amp;$A43)*RTD("tos.rtd",,"GAMMA","."&amp;H$2&amp;H$1&amp;"P"&amp;$A43))/1000000,($A$4*$A$4*RTD("tos.rtd",,"OPEN_INT","."&amp;H$2&amp;H$1&amp;"C"&amp;$A43)*RTD("tos.rtd",,"GAMMA","."&amp;H$2&amp;H$1&amp;"C"&amp;$A43)-$A$4*$A$4*RTD("tos.rtd",,"OPEN_INT","."&amp;H$2&amp;H$1&amp;"P"&amp;$A43)*RTD("tos.rtd",,"GAMMA","."&amp;H$2&amp;H$1&amp;"P"&amp;$A43))/1000000),0),IF($A$2="SKEW",IFERROR(VALUE(IF(RTD("tos.rtd",,"IMPL_VOL","."&amp;H$2&amp;H$1&amp;"P"&amp;$A43)="N/A",0,RTD("tos.rtd",,"IMPL_VOL","."&amp;H$2&amp;H$1&amp;"P"&amp;$A43))),0)-IFERROR(VALUE(IF(RTD("tos.rtd",,"IMPL_VOL","."&amp;H$2&amp;H$1&amp;"C"&amp;$A43)="N/A",0,RTD("tos.rtd",,"IMPL_VOL","."&amp;H$2&amp;H$1&amp;"C"&amp;$A43))),0),IF($A$2="MAXPAIN",IF($A$4&gt;$A43,($A$4-$A43)*IF(RTD("tos.rtd",,"OPEN_INT","."&amp;H$2&amp;H$1&amp;"C"&amp;$A43)="N/A",0,RTD("tos.rtd",,"OPEN_INT","."&amp;H$2&amp;H$1&amp;"C"&amp;$A43)),0)+IF($A$4&lt;$A43,($A$5-$A$4)*IF(RTD("tos.rtd",,"OPEN_INT","."&amp;H$2&amp;H$1&amp;"P"&amp;$A43)="N/A",0,RTD("tos.rtd",,"OPEN_INT","."&amp;H$2&amp;H$1&amp;"P"&amp;$A43)),0),IF($X$1="ABS",IF(RTD("tos.rtd",,$A$2,"."&amp;H$2&amp;H$1&amp;"C"&amp;$A43)="N/A",0,RTD("tos.rtd",,$A$2,"."&amp;H$2&amp;H$1&amp;"C"&amp;$A43))+IF(RTD("tos.rtd",,$A$2,"."&amp;H$2&amp;H$1&amp;"P"&amp;$A43)="N/A",0,RTD("tos.rtd",,$A$2,"."&amp;H$2&amp;H$1&amp;"P"&amp;$A43)),IF(RTD("tos.rtd",,$A$2,"."&amp;H$2&amp;H$1&amp;"C"&amp;$A43)="N/A",0,RTD("tos.rtd",,$A$2,"."&amp;H$2&amp;H$1&amp;"C"&amp;$A43))-IF(RTD("tos.rtd",,$A$2,"."&amp;H$2&amp;H$1&amp;"P"&amp;$A43)="N/A",0,RTD("tos.rtd",,$A$2,"."&amp;H$2&amp;H$1&amp;"P"&amp;$A43))))))))))</f>
        <v>0</v>
      </c>
      <c r="I43" s="12">
        <f ca="1">IF($A$2="PREMIUM_OI",IFERROR(IF($X$1="ABS",(100*RTD("tos.rtd",,"OPEN_INT","."&amp;I$2&amp;I$1&amp;"C"&amp;$A43)*RTD("tos.rtd",,"LAST","."&amp;I$2&amp;I$1&amp;"C"&amp;$A43)+100*RTD("tos.rtd",,"OPEN_INT","."&amp;I$2&amp;I$1&amp;"P"&amp;$A43)*RTD("tos.rtd",,"LAST","."&amp;I$2&amp;I$1&amp;"P"&amp;$A43))/1000000,(100*RTD("tos.rtd",,"OPEN_INT","."&amp;I$2&amp;I$1&amp;"C"&amp;$A43)*RTD("tos.rtd",,"LAST","."&amp;I$2&amp;I$1&amp;"C"&amp;$A43)-100*RTD("tos.rtd",,"OPEN_INT","."&amp;I$2&amp;I$1&amp;"P"&amp;$A43)*RTD("tos.rtd",,"LAST","."&amp;I$2&amp;I$1&amp;"P"&amp;$A43))/1000000),0),IF($A$2="PREMIUM",IFERROR(IF($X$1="ABS",(100*RTD("tos.rtd",,"VOLUME","."&amp;I$2&amp;I$1&amp;"C"&amp;$A43)*RTD("tos.rtd",,"LAST","."&amp;I$2&amp;I$1&amp;"C"&amp;$A43)+100*RTD("tos.rtd",,"VOLUME","."&amp;I$2&amp;I$1&amp;"P"&amp;$A43)*RTD("tos.rtd",,"LAST","."&amp;I$2&amp;I$1&amp;"P"&amp;$A43))/1000000,(100*RTD("tos.rtd",,"VOLUME","."&amp;I$2&amp;I$1&amp;"C"&amp;$A43)*RTD("tos.rtd",,"LAST","."&amp;I$2&amp;I$1&amp;"C"&amp;$A43)-100*RTD("tos.rtd",,"VOLUME","."&amp;I$2&amp;I$1&amp;"P"&amp;$A43)*RTD("tos.rtd",,"LAST","."&amp;I$2&amp;I$1&amp;"P"&amp;$A43))/1000000),0),IF($A$2="DEX",IFERROR(IF($X$1="ABS",(100*RTD("tos.rtd",,"OPEN_INT","."&amp;I$2&amp;I$1&amp;"C"&amp;$A43)*RTD("tos.rtd",,"DELTA","."&amp;I$2&amp;I$1&amp;"C"&amp;$A43)+100*RTD("tos.rtd",,"OPEN_INT","."&amp;I$2&amp;I$1&amp;"P"&amp;$A43)*RTD("tos.rtd",,"DELTA","."&amp;I$2&amp;I$1&amp;"P"&amp;$A43))/1000,(100*RTD("tos.rtd",,"OPEN_INT","."&amp;I$2&amp;I$1&amp;"C"&amp;$A43)*RTD("tos.rtd",,"DELTA","."&amp;I$2&amp;I$1&amp;"C"&amp;$A43)-100*RTD("tos.rtd",,"OPEN_INT","."&amp;I$2&amp;I$1&amp;"P"&amp;$A43)*RTD("tos.rtd",,"DELTA","."&amp;I$2&amp;I$1&amp;"P"&amp;$A43))/1000),0),IF($A$2="VEX",IFERROR(IF($X$1="ABS",($A$4*$A$4*RTD("tos.rtd",,"VOLUME","."&amp;I$2&amp;I$1&amp;"C"&amp;$A43)*RTD("tos.rtd",,"GAMMA","."&amp;I$2&amp;I$1&amp;"C"&amp;$A43)+$A$4*$A$4*RTD("tos.rtd",,"VOLUME","."&amp;I$2&amp;I$1&amp;"P"&amp;$A43)*RTD("tos.rtd",,"GAMMA","."&amp;I$2&amp;I$1&amp;"P"&amp;$A43))/1000000,($A$4*$A$4*RTD("tos.rtd",,"VOLUME","."&amp;I$2&amp;I$1&amp;"C"&amp;$A43)*RTD("tos.rtd",,"GAMMA","."&amp;I$2&amp;I$1&amp;"C"&amp;$A43)-$A$4*$A$4*RTD("tos.rtd",,"VOLUME","."&amp;I$2&amp;I$1&amp;"P"&amp;$A43)*RTD("tos.rtd",,"GAMMA","."&amp;I$2&amp;I$1&amp;"P"&amp;$A43))/1000000),0),IF($A$2="GEX",IFERROR(IF($X$1="ABS",($A$4*$A$4*RTD("tos.rtd",,"OPEN_INT","."&amp;I$2&amp;I$1&amp;"C"&amp;$A43)*RTD("tos.rtd",,"GAMMA","."&amp;I$2&amp;I$1&amp;"C"&amp;$A43)+$A$4*$A$4*RTD("tos.rtd",,"OPEN_INT","."&amp;I$2&amp;I$1&amp;"P"&amp;$A43)*RTD("tos.rtd",,"GAMMA","."&amp;I$2&amp;I$1&amp;"P"&amp;$A43))/1000000,($A$4*$A$4*RTD("tos.rtd",,"OPEN_INT","."&amp;I$2&amp;I$1&amp;"C"&amp;$A43)*RTD("tos.rtd",,"GAMMA","."&amp;I$2&amp;I$1&amp;"C"&amp;$A43)-$A$4*$A$4*RTD("tos.rtd",,"OPEN_INT","."&amp;I$2&amp;I$1&amp;"P"&amp;$A43)*RTD("tos.rtd",,"GAMMA","."&amp;I$2&amp;I$1&amp;"P"&amp;$A43))/1000000),0),IF($A$2="SKEW",IFERROR(VALUE(IF(RTD("tos.rtd",,"IMPL_VOL","."&amp;I$2&amp;I$1&amp;"P"&amp;$A43)="N/A",0,RTD("tos.rtd",,"IMPL_VOL","."&amp;I$2&amp;I$1&amp;"P"&amp;$A43))),0)-IFERROR(VALUE(IF(RTD("tos.rtd",,"IMPL_VOL","."&amp;I$2&amp;I$1&amp;"C"&amp;$A43)="N/A",0,RTD("tos.rtd",,"IMPL_VOL","."&amp;I$2&amp;I$1&amp;"C"&amp;$A43))),0),IF($A$2="MAXPAIN",IF($A$4&gt;$A43,($A$4-$A43)*IF(RTD("tos.rtd",,"OPEN_INT","."&amp;I$2&amp;I$1&amp;"C"&amp;$A43)="N/A",0,RTD("tos.rtd",,"OPEN_INT","."&amp;I$2&amp;I$1&amp;"C"&amp;$A43)),0)+IF($A$4&lt;$A43,($A$5-$A$4)*IF(RTD("tos.rtd",,"OPEN_INT","."&amp;I$2&amp;I$1&amp;"P"&amp;$A43)="N/A",0,RTD("tos.rtd",,"OPEN_INT","."&amp;I$2&amp;I$1&amp;"P"&amp;$A43)),0),IF($X$1="ABS",IF(RTD("tos.rtd",,$A$2,"."&amp;I$2&amp;I$1&amp;"C"&amp;$A43)="N/A",0,RTD("tos.rtd",,$A$2,"."&amp;I$2&amp;I$1&amp;"C"&amp;$A43))+IF(RTD("tos.rtd",,$A$2,"."&amp;I$2&amp;I$1&amp;"P"&amp;$A43)="N/A",0,RTD("tos.rtd",,$A$2,"."&amp;I$2&amp;I$1&amp;"P"&amp;$A43)),IF(RTD("tos.rtd",,$A$2,"."&amp;I$2&amp;I$1&amp;"C"&amp;$A43)="N/A",0,RTD("tos.rtd",,$A$2,"."&amp;I$2&amp;I$1&amp;"C"&amp;$A43))-IF(RTD("tos.rtd",,$A$2,"."&amp;I$2&amp;I$1&amp;"P"&amp;$A43)="N/A",0,RTD("tos.rtd",,$A$2,"."&amp;I$2&amp;I$1&amp;"P"&amp;$A43))))))))))</f>
        <v>0</v>
      </c>
      <c r="J43" s="12">
        <f ca="1">IF($A$2="PREMIUM_OI",IFERROR(IF($X$1="ABS",(100*RTD("tos.rtd",,"OPEN_INT","."&amp;J$2&amp;J$1&amp;"C"&amp;$A43)*RTD("tos.rtd",,"LAST","."&amp;J$2&amp;J$1&amp;"C"&amp;$A43)+100*RTD("tos.rtd",,"OPEN_INT","."&amp;J$2&amp;J$1&amp;"P"&amp;$A43)*RTD("tos.rtd",,"LAST","."&amp;J$2&amp;J$1&amp;"P"&amp;$A43))/1000000,(100*RTD("tos.rtd",,"OPEN_INT","."&amp;J$2&amp;J$1&amp;"C"&amp;$A43)*RTD("tos.rtd",,"LAST","."&amp;J$2&amp;J$1&amp;"C"&amp;$A43)-100*RTD("tos.rtd",,"OPEN_INT","."&amp;J$2&amp;J$1&amp;"P"&amp;$A43)*RTD("tos.rtd",,"LAST","."&amp;J$2&amp;J$1&amp;"P"&amp;$A43))/1000000),0),IF($A$2="PREMIUM",IFERROR(IF($X$1="ABS",(100*RTD("tos.rtd",,"VOLUME","."&amp;J$2&amp;J$1&amp;"C"&amp;$A43)*RTD("tos.rtd",,"LAST","."&amp;J$2&amp;J$1&amp;"C"&amp;$A43)+100*RTD("tos.rtd",,"VOLUME","."&amp;J$2&amp;J$1&amp;"P"&amp;$A43)*RTD("tos.rtd",,"LAST","."&amp;J$2&amp;J$1&amp;"P"&amp;$A43))/1000000,(100*RTD("tos.rtd",,"VOLUME","."&amp;J$2&amp;J$1&amp;"C"&amp;$A43)*RTD("tos.rtd",,"LAST","."&amp;J$2&amp;J$1&amp;"C"&amp;$A43)-100*RTD("tos.rtd",,"VOLUME","."&amp;J$2&amp;J$1&amp;"P"&amp;$A43)*RTD("tos.rtd",,"LAST","."&amp;J$2&amp;J$1&amp;"P"&amp;$A43))/1000000),0),IF($A$2="DEX",IFERROR(IF($X$1="ABS",(100*RTD("tos.rtd",,"OPEN_INT","."&amp;J$2&amp;J$1&amp;"C"&amp;$A43)*RTD("tos.rtd",,"DELTA","."&amp;J$2&amp;J$1&amp;"C"&amp;$A43)+100*RTD("tos.rtd",,"OPEN_INT","."&amp;J$2&amp;J$1&amp;"P"&amp;$A43)*RTD("tos.rtd",,"DELTA","."&amp;J$2&amp;J$1&amp;"P"&amp;$A43))/1000,(100*RTD("tos.rtd",,"OPEN_INT","."&amp;J$2&amp;J$1&amp;"C"&amp;$A43)*RTD("tos.rtd",,"DELTA","."&amp;J$2&amp;J$1&amp;"C"&amp;$A43)-100*RTD("tos.rtd",,"OPEN_INT","."&amp;J$2&amp;J$1&amp;"P"&amp;$A43)*RTD("tos.rtd",,"DELTA","."&amp;J$2&amp;J$1&amp;"P"&amp;$A43))/1000),0),IF($A$2="VEX",IFERROR(IF($X$1="ABS",($A$4*$A$4*RTD("tos.rtd",,"VOLUME","."&amp;J$2&amp;J$1&amp;"C"&amp;$A43)*RTD("tos.rtd",,"GAMMA","."&amp;J$2&amp;J$1&amp;"C"&amp;$A43)+$A$4*$A$4*RTD("tos.rtd",,"VOLUME","."&amp;J$2&amp;J$1&amp;"P"&amp;$A43)*RTD("tos.rtd",,"GAMMA","."&amp;J$2&amp;J$1&amp;"P"&amp;$A43))/1000000,($A$4*$A$4*RTD("tos.rtd",,"VOLUME","."&amp;J$2&amp;J$1&amp;"C"&amp;$A43)*RTD("tos.rtd",,"GAMMA","."&amp;J$2&amp;J$1&amp;"C"&amp;$A43)-$A$4*$A$4*RTD("tos.rtd",,"VOLUME","."&amp;J$2&amp;J$1&amp;"P"&amp;$A43)*RTD("tos.rtd",,"GAMMA","."&amp;J$2&amp;J$1&amp;"P"&amp;$A43))/1000000),0),IF($A$2="GEX",IFERROR(IF($X$1="ABS",($A$4*$A$4*RTD("tos.rtd",,"OPEN_INT","."&amp;J$2&amp;J$1&amp;"C"&amp;$A43)*RTD("tos.rtd",,"GAMMA","."&amp;J$2&amp;J$1&amp;"C"&amp;$A43)+$A$4*$A$4*RTD("tos.rtd",,"OPEN_INT","."&amp;J$2&amp;J$1&amp;"P"&amp;$A43)*RTD("tos.rtd",,"GAMMA","."&amp;J$2&amp;J$1&amp;"P"&amp;$A43))/1000000,($A$4*$A$4*RTD("tos.rtd",,"OPEN_INT","."&amp;J$2&amp;J$1&amp;"C"&amp;$A43)*RTD("tos.rtd",,"GAMMA","."&amp;J$2&amp;J$1&amp;"C"&amp;$A43)-$A$4*$A$4*RTD("tos.rtd",,"OPEN_INT","."&amp;J$2&amp;J$1&amp;"P"&amp;$A43)*RTD("tos.rtd",,"GAMMA","."&amp;J$2&amp;J$1&amp;"P"&amp;$A43))/1000000),0),IF($A$2="SKEW",IFERROR(VALUE(IF(RTD("tos.rtd",,"IMPL_VOL","."&amp;J$2&amp;J$1&amp;"P"&amp;$A43)="N/A",0,RTD("tos.rtd",,"IMPL_VOL","."&amp;J$2&amp;J$1&amp;"P"&amp;$A43))),0)-IFERROR(VALUE(IF(RTD("tos.rtd",,"IMPL_VOL","."&amp;J$2&amp;J$1&amp;"C"&amp;$A43)="N/A",0,RTD("tos.rtd",,"IMPL_VOL","."&amp;J$2&amp;J$1&amp;"C"&amp;$A43))),0),IF($A$2="MAXPAIN",IF($A$4&gt;$A43,($A$4-$A43)*IF(RTD("tos.rtd",,"OPEN_INT","."&amp;J$2&amp;J$1&amp;"C"&amp;$A43)="N/A",0,RTD("tos.rtd",,"OPEN_INT","."&amp;J$2&amp;J$1&amp;"C"&amp;$A43)),0)+IF($A$4&lt;$A43,($A$5-$A$4)*IF(RTD("tos.rtd",,"OPEN_INT","."&amp;J$2&amp;J$1&amp;"P"&amp;$A43)="N/A",0,RTD("tos.rtd",,"OPEN_INT","."&amp;J$2&amp;J$1&amp;"P"&amp;$A43)),0),IF($X$1="ABS",IF(RTD("tos.rtd",,$A$2,"."&amp;J$2&amp;J$1&amp;"C"&amp;$A43)="N/A",0,RTD("tos.rtd",,$A$2,"."&amp;J$2&amp;J$1&amp;"C"&amp;$A43))+IF(RTD("tos.rtd",,$A$2,"."&amp;J$2&amp;J$1&amp;"P"&amp;$A43)="N/A",0,RTD("tos.rtd",,$A$2,"."&amp;J$2&amp;J$1&amp;"P"&amp;$A43)),IF(RTD("tos.rtd",,$A$2,"."&amp;J$2&amp;J$1&amp;"C"&amp;$A43)="N/A",0,RTD("tos.rtd",,$A$2,"."&amp;J$2&amp;J$1&amp;"C"&amp;$A43))-IF(RTD("tos.rtd",,$A$2,"."&amp;J$2&amp;J$1&amp;"P"&amp;$A43)="N/A",0,RTD("tos.rtd",,$A$2,"."&amp;J$2&amp;J$1&amp;"P"&amp;$A43))))))))))</f>
        <v>0</v>
      </c>
      <c r="K43" s="12">
        <f ca="1">IF($A$2="PREMIUM_OI",IFERROR(IF($X$1="ABS",(100*RTD("tos.rtd",,"OPEN_INT","."&amp;K$2&amp;K$1&amp;"C"&amp;$A43)*RTD("tos.rtd",,"LAST","."&amp;K$2&amp;K$1&amp;"C"&amp;$A43)+100*RTD("tos.rtd",,"OPEN_INT","."&amp;K$2&amp;K$1&amp;"P"&amp;$A43)*RTD("tos.rtd",,"LAST","."&amp;K$2&amp;K$1&amp;"P"&amp;$A43))/1000000,(100*RTD("tos.rtd",,"OPEN_INT","."&amp;K$2&amp;K$1&amp;"C"&amp;$A43)*RTD("tos.rtd",,"LAST","."&amp;K$2&amp;K$1&amp;"C"&amp;$A43)-100*RTD("tos.rtd",,"OPEN_INT","."&amp;K$2&amp;K$1&amp;"P"&amp;$A43)*RTD("tos.rtd",,"LAST","."&amp;K$2&amp;K$1&amp;"P"&amp;$A43))/1000000),0),IF($A$2="PREMIUM",IFERROR(IF($X$1="ABS",(100*RTD("tos.rtd",,"VOLUME","."&amp;K$2&amp;K$1&amp;"C"&amp;$A43)*RTD("tos.rtd",,"LAST","."&amp;K$2&amp;K$1&amp;"C"&amp;$A43)+100*RTD("tos.rtd",,"VOLUME","."&amp;K$2&amp;K$1&amp;"P"&amp;$A43)*RTD("tos.rtd",,"LAST","."&amp;K$2&amp;K$1&amp;"P"&amp;$A43))/1000000,(100*RTD("tos.rtd",,"VOLUME","."&amp;K$2&amp;K$1&amp;"C"&amp;$A43)*RTD("tos.rtd",,"LAST","."&amp;K$2&amp;K$1&amp;"C"&amp;$A43)-100*RTD("tos.rtd",,"VOLUME","."&amp;K$2&amp;K$1&amp;"P"&amp;$A43)*RTD("tos.rtd",,"LAST","."&amp;K$2&amp;K$1&amp;"P"&amp;$A43))/1000000),0),IF($A$2="DEX",IFERROR(IF($X$1="ABS",(100*RTD("tos.rtd",,"OPEN_INT","."&amp;K$2&amp;K$1&amp;"C"&amp;$A43)*RTD("tos.rtd",,"DELTA","."&amp;K$2&amp;K$1&amp;"C"&amp;$A43)+100*RTD("tos.rtd",,"OPEN_INT","."&amp;K$2&amp;K$1&amp;"P"&amp;$A43)*RTD("tos.rtd",,"DELTA","."&amp;K$2&amp;K$1&amp;"P"&amp;$A43))/1000,(100*RTD("tos.rtd",,"OPEN_INT","."&amp;K$2&amp;K$1&amp;"C"&amp;$A43)*RTD("tos.rtd",,"DELTA","."&amp;K$2&amp;K$1&amp;"C"&amp;$A43)-100*RTD("tos.rtd",,"OPEN_INT","."&amp;K$2&amp;K$1&amp;"P"&amp;$A43)*RTD("tos.rtd",,"DELTA","."&amp;K$2&amp;K$1&amp;"P"&amp;$A43))/1000),0),IF($A$2="VEX",IFERROR(IF($X$1="ABS",($A$4*$A$4*RTD("tos.rtd",,"VOLUME","."&amp;K$2&amp;K$1&amp;"C"&amp;$A43)*RTD("tos.rtd",,"GAMMA","."&amp;K$2&amp;K$1&amp;"C"&amp;$A43)+$A$4*$A$4*RTD("tos.rtd",,"VOLUME","."&amp;K$2&amp;K$1&amp;"P"&amp;$A43)*RTD("tos.rtd",,"GAMMA","."&amp;K$2&amp;K$1&amp;"P"&amp;$A43))/1000000,($A$4*$A$4*RTD("tos.rtd",,"VOLUME","."&amp;K$2&amp;K$1&amp;"C"&amp;$A43)*RTD("tos.rtd",,"GAMMA","."&amp;K$2&amp;K$1&amp;"C"&amp;$A43)-$A$4*$A$4*RTD("tos.rtd",,"VOLUME","."&amp;K$2&amp;K$1&amp;"P"&amp;$A43)*RTD("tos.rtd",,"GAMMA","."&amp;K$2&amp;K$1&amp;"P"&amp;$A43))/1000000),0),IF($A$2="GEX",IFERROR(IF($X$1="ABS",($A$4*$A$4*RTD("tos.rtd",,"OPEN_INT","."&amp;K$2&amp;K$1&amp;"C"&amp;$A43)*RTD("tos.rtd",,"GAMMA","."&amp;K$2&amp;K$1&amp;"C"&amp;$A43)+$A$4*$A$4*RTD("tos.rtd",,"OPEN_INT","."&amp;K$2&amp;K$1&amp;"P"&amp;$A43)*RTD("tos.rtd",,"GAMMA","."&amp;K$2&amp;K$1&amp;"P"&amp;$A43))/1000000,($A$4*$A$4*RTD("tos.rtd",,"OPEN_INT","."&amp;K$2&amp;K$1&amp;"C"&amp;$A43)*RTD("tos.rtd",,"GAMMA","."&amp;K$2&amp;K$1&amp;"C"&amp;$A43)-$A$4*$A$4*RTD("tos.rtd",,"OPEN_INT","."&amp;K$2&amp;K$1&amp;"P"&amp;$A43)*RTD("tos.rtd",,"GAMMA","."&amp;K$2&amp;K$1&amp;"P"&amp;$A43))/1000000),0),IF($A$2="SKEW",IFERROR(VALUE(IF(RTD("tos.rtd",,"IMPL_VOL","."&amp;K$2&amp;K$1&amp;"P"&amp;$A43)="N/A",0,RTD("tos.rtd",,"IMPL_VOL","."&amp;K$2&amp;K$1&amp;"P"&amp;$A43))),0)-IFERROR(VALUE(IF(RTD("tos.rtd",,"IMPL_VOL","."&amp;K$2&amp;K$1&amp;"C"&amp;$A43)="N/A",0,RTD("tos.rtd",,"IMPL_VOL","."&amp;K$2&amp;K$1&amp;"C"&amp;$A43))),0),IF($A$2="MAXPAIN",IF($A$4&gt;$A43,($A$4-$A43)*IF(RTD("tos.rtd",,"OPEN_INT","."&amp;K$2&amp;K$1&amp;"C"&amp;$A43)="N/A",0,RTD("tos.rtd",,"OPEN_INT","."&amp;K$2&amp;K$1&amp;"C"&amp;$A43)),0)+IF($A$4&lt;$A43,($A$5-$A$4)*IF(RTD("tos.rtd",,"OPEN_INT","."&amp;K$2&amp;K$1&amp;"P"&amp;$A43)="N/A",0,RTD("tos.rtd",,"OPEN_INT","."&amp;K$2&amp;K$1&amp;"P"&amp;$A43)),0),IF($X$1="ABS",IF(RTD("tos.rtd",,$A$2,"."&amp;K$2&amp;K$1&amp;"C"&amp;$A43)="N/A",0,RTD("tos.rtd",,$A$2,"."&amp;K$2&amp;K$1&amp;"C"&amp;$A43))+IF(RTD("tos.rtd",,$A$2,"."&amp;K$2&amp;K$1&amp;"P"&amp;$A43)="N/A",0,RTD("tos.rtd",,$A$2,"."&amp;K$2&amp;K$1&amp;"P"&amp;$A43)),IF(RTD("tos.rtd",,$A$2,"."&amp;K$2&amp;K$1&amp;"C"&amp;$A43)="N/A",0,RTD("tos.rtd",,$A$2,"."&amp;K$2&amp;K$1&amp;"C"&amp;$A43))-IF(RTD("tos.rtd",,$A$2,"."&amp;K$2&amp;K$1&amp;"P"&amp;$A43)="N/A",0,RTD("tos.rtd",,$A$2,"."&amp;K$2&amp;K$1&amp;"P"&amp;$A43))))))))))</f>
        <v>0</v>
      </c>
      <c r="L43" s="54">
        <f ca="1">IF($A$2="PREMIUM_OI",IFERROR(IF($X$1="ABS",(100*RTD("tos.rtd",,"OPEN_INT","."&amp;L$2&amp;L$1&amp;"C"&amp;$A43)*RTD("tos.rtd",,"LAST","."&amp;L$2&amp;L$1&amp;"C"&amp;$A43)+100*RTD("tos.rtd",,"OPEN_INT","."&amp;L$2&amp;L$1&amp;"P"&amp;$A43)*RTD("tos.rtd",,"LAST","."&amp;L$2&amp;L$1&amp;"P"&amp;$A43))/1000000,(100*RTD("tos.rtd",,"OPEN_INT","."&amp;L$2&amp;L$1&amp;"C"&amp;$A43)*RTD("tos.rtd",,"LAST","."&amp;L$2&amp;L$1&amp;"C"&amp;$A43)-100*RTD("tos.rtd",,"OPEN_INT","."&amp;L$2&amp;L$1&amp;"P"&amp;$A43)*RTD("tos.rtd",,"LAST","."&amp;L$2&amp;L$1&amp;"P"&amp;$A43))/1000000),0),IF($A$2="PREMIUM",IFERROR(IF($X$1="ABS",(100*RTD("tos.rtd",,"VOLUME","."&amp;L$2&amp;L$1&amp;"C"&amp;$A43)*RTD("tos.rtd",,"LAST","."&amp;L$2&amp;L$1&amp;"C"&amp;$A43)+100*RTD("tos.rtd",,"VOLUME","."&amp;L$2&amp;L$1&amp;"P"&amp;$A43)*RTD("tos.rtd",,"LAST","."&amp;L$2&amp;L$1&amp;"P"&amp;$A43))/1000000,(100*RTD("tos.rtd",,"VOLUME","."&amp;L$2&amp;L$1&amp;"C"&amp;$A43)*RTD("tos.rtd",,"LAST","."&amp;L$2&amp;L$1&amp;"C"&amp;$A43)-100*RTD("tos.rtd",,"VOLUME","."&amp;L$2&amp;L$1&amp;"P"&amp;$A43)*RTD("tos.rtd",,"LAST","."&amp;L$2&amp;L$1&amp;"P"&amp;$A43))/1000000),0),IF($A$2="DEX",IFERROR(IF($X$1="ABS",(100*RTD("tos.rtd",,"OPEN_INT","."&amp;L$2&amp;L$1&amp;"C"&amp;$A43)*RTD("tos.rtd",,"DELTA","."&amp;L$2&amp;L$1&amp;"C"&amp;$A43)+100*RTD("tos.rtd",,"OPEN_INT","."&amp;L$2&amp;L$1&amp;"P"&amp;$A43)*RTD("tos.rtd",,"DELTA","."&amp;L$2&amp;L$1&amp;"P"&amp;$A43))/1000,(100*RTD("tos.rtd",,"OPEN_INT","."&amp;L$2&amp;L$1&amp;"C"&amp;$A43)*RTD("tos.rtd",,"DELTA","."&amp;L$2&amp;L$1&amp;"C"&amp;$A43)-100*RTD("tos.rtd",,"OPEN_INT","."&amp;L$2&amp;L$1&amp;"P"&amp;$A43)*RTD("tos.rtd",,"DELTA","."&amp;L$2&amp;L$1&amp;"P"&amp;$A43))/1000),0),IF($A$2="VEX",IFERROR(IF($X$1="ABS",($A$4*$A$4*RTD("tos.rtd",,"VOLUME","."&amp;L$2&amp;L$1&amp;"C"&amp;$A43)*RTD("tos.rtd",,"GAMMA","."&amp;L$2&amp;L$1&amp;"C"&amp;$A43)+$A$4*$A$4*RTD("tos.rtd",,"VOLUME","."&amp;L$2&amp;L$1&amp;"P"&amp;$A43)*RTD("tos.rtd",,"GAMMA","."&amp;L$2&amp;L$1&amp;"P"&amp;$A43))/1000000,($A$4*$A$4*RTD("tos.rtd",,"VOLUME","."&amp;L$2&amp;L$1&amp;"C"&amp;$A43)*RTD("tos.rtd",,"GAMMA","."&amp;L$2&amp;L$1&amp;"C"&amp;$A43)-$A$4*$A$4*RTD("tos.rtd",,"VOLUME","."&amp;L$2&amp;L$1&amp;"P"&amp;$A43)*RTD("tos.rtd",,"GAMMA","."&amp;L$2&amp;L$1&amp;"P"&amp;$A43))/1000000),0),IF($A$2="GEX",IFERROR(IF($X$1="ABS",($A$4*$A$4*RTD("tos.rtd",,"OPEN_INT","."&amp;L$2&amp;L$1&amp;"C"&amp;$A43)*RTD("tos.rtd",,"GAMMA","."&amp;L$2&amp;L$1&amp;"C"&amp;$A43)+$A$4*$A$4*RTD("tos.rtd",,"OPEN_INT","."&amp;L$2&amp;L$1&amp;"P"&amp;$A43)*RTD("tos.rtd",,"GAMMA","."&amp;L$2&amp;L$1&amp;"P"&amp;$A43))/1000000,($A$4*$A$4*RTD("tos.rtd",,"OPEN_INT","."&amp;L$2&amp;L$1&amp;"C"&amp;$A43)*RTD("tos.rtd",,"GAMMA","."&amp;L$2&amp;L$1&amp;"C"&amp;$A43)-$A$4*$A$4*RTD("tos.rtd",,"OPEN_INT","."&amp;L$2&amp;L$1&amp;"P"&amp;$A43)*RTD("tos.rtd",,"GAMMA","."&amp;L$2&amp;L$1&amp;"P"&amp;$A43))/1000000),0),IF($A$2="SKEW",IFERROR(VALUE(IF(RTD("tos.rtd",,"IMPL_VOL","."&amp;L$2&amp;L$1&amp;"P"&amp;$A43)="N/A",0,RTD("tos.rtd",,"IMPL_VOL","."&amp;L$2&amp;L$1&amp;"P"&amp;$A43))),0)-IFERROR(VALUE(IF(RTD("tos.rtd",,"IMPL_VOL","."&amp;L$2&amp;L$1&amp;"C"&amp;$A43)="N/A",0,RTD("tos.rtd",,"IMPL_VOL","."&amp;L$2&amp;L$1&amp;"C"&amp;$A43))),0),IF($A$2="MAXPAIN",IF($A$4&gt;$A43,($A$4-$A43)*IF(RTD("tos.rtd",,"OPEN_INT","."&amp;L$2&amp;L$1&amp;"C"&amp;$A43)="N/A",0,RTD("tos.rtd",,"OPEN_INT","."&amp;L$2&amp;L$1&amp;"C"&amp;$A43)),0)+IF($A$4&lt;$A43,($A$5-$A$4)*IF(RTD("tos.rtd",,"OPEN_INT","."&amp;L$2&amp;L$1&amp;"P"&amp;$A43)="N/A",0,RTD("tos.rtd",,"OPEN_INT","."&amp;L$2&amp;L$1&amp;"P"&amp;$A43)),0),IF($X$1="ABS",IF(RTD("tos.rtd",,$A$2,"."&amp;L$2&amp;L$1&amp;"C"&amp;$A43)="N/A",0,RTD("tos.rtd",,$A$2,"."&amp;L$2&amp;L$1&amp;"C"&amp;$A43))+IF(RTD("tos.rtd",,$A$2,"."&amp;L$2&amp;L$1&amp;"P"&amp;$A43)="N/A",0,RTD("tos.rtd",,$A$2,"."&amp;L$2&amp;L$1&amp;"P"&amp;$A43)),IF(RTD("tos.rtd",,$A$2,"."&amp;L$2&amp;L$1&amp;"C"&amp;$A43)="N/A",0,RTD("tos.rtd",,$A$2,"."&amp;L$2&amp;L$1&amp;"C"&amp;$A43))-IF(RTD("tos.rtd",,$A$2,"."&amp;L$2&amp;L$1&amp;"P"&amp;$A43)="N/A",0,RTD("tos.rtd",,$A$2,"."&amp;L$2&amp;L$1&amp;"P"&amp;$A43))))))))))</f>
        <v>0</v>
      </c>
      <c r="M43" s="12">
        <f ca="1">IF($A$2="PREMIUM_OI",IFERROR(IF($X$1="ABS",(100*RTD("tos.rtd",,"OPEN_INT","."&amp;M$2&amp;M$1&amp;"C"&amp;$A43)*RTD("tos.rtd",,"LAST","."&amp;M$2&amp;M$1&amp;"C"&amp;$A43)+100*RTD("tos.rtd",,"OPEN_INT","."&amp;M$2&amp;M$1&amp;"P"&amp;$A43)*RTD("tos.rtd",,"LAST","."&amp;M$2&amp;M$1&amp;"P"&amp;$A43))/1000000,(100*RTD("tos.rtd",,"OPEN_INT","."&amp;M$2&amp;M$1&amp;"C"&amp;$A43)*RTD("tos.rtd",,"LAST","."&amp;M$2&amp;M$1&amp;"C"&amp;$A43)-100*RTD("tos.rtd",,"OPEN_INT","."&amp;M$2&amp;M$1&amp;"P"&amp;$A43)*RTD("tos.rtd",,"LAST","."&amp;M$2&amp;M$1&amp;"P"&amp;$A43))/1000000),0),IF($A$2="PREMIUM",IFERROR(IF($X$1="ABS",(100*RTD("tos.rtd",,"VOLUME","."&amp;M$2&amp;M$1&amp;"C"&amp;$A43)*RTD("tos.rtd",,"LAST","."&amp;M$2&amp;M$1&amp;"C"&amp;$A43)+100*RTD("tos.rtd",,"VOLUME","."&amp;M$2&amp;M$1&amp;"P"&amp;$A43)*RTD("tos.rtd",,"LAST","."&amp;M$2&amp;M$1&amp;"P"&amp;$A43))/1000000,(100*RTD("tos.rtd",,"VOLUME","."&amp;M$2&amp;M$1&amp;"C"&amp;$A43)*RTD("tos.rtd",,"LAST","."&amp;M$2&amp;M$1&amp;"C"&amp;$A43)-100*RTD("tos.rtd",,"VOLUME","."&amp;M$2&amp;M$1&amp;"P"&amp;$A43)*RTD("tos.rtd",,"LAST","."&amp;M$2&amp;M$1&amp;"P"&amp;$A43))/1000000),0),IF($A$2="DEX",IFERROR(IF($X$1="ABS",(100*RTD("tos.rtd",,"OPEN_INT","."&amp;M$2&amp;M$1&amp;"C"&amp;$A43)*RTD("tos.rtd",,"DELTA","."&amp;M$2&amp;M$1&amp;"C"&amp;$A43)+100*RTD("tos.rtd",,"OPEN_INT","."&amp;M$2&amp;M$1&amp;"P"&amp;$A43)*RTD("tos.rtd",,"DELTA","."&amp;M$2&amp;M$1&amp;"P"&amp;$A43))/1000,(100*RTD("tos.rtd",,"OPEN_INT","."&amp;M$2&amp;M$1&amp;"C"&amp;$A43)*RTD("tos.rtd",,"DELTA","."&amp;M$2&amp;M$1&amp;"C"&amp;$A43)-100*RTD("tos.rtd",,"OPEN_INT","."&amp;M$2&amp;M$1&amp;"P"&amp;$A43)*RTD("tos.rtd",,"DELTA","."&amp;M$2&amp;M$1&amp;"P"&amp;$A43))/1000),0),IF($A$2="VEX",IFERROR(IF($X$1="ABS",($A$4*$A$4*RTD("tos.rtd",,"VOLUME","."&amp;M$2&amp;M$1&amp;"C"&amp;$A43)*RTD("tos.rtd",,"GAMMA","."&amp;M$2&amp;M$1&amp;"C"&amp;$A43)+$A$4*$A$4*RTD("tos.rtd",,"VOLUME","."&amp;M$2&amp;M$1&amp;"P"&amp;$A43)*RTD("tos.rtd",,"GAMMA","."&amp;M$2&amp;M$1&amp;"P"&amp;$A43))/1000000,($A$4*$A$4*RTD("tos.rtd",,"VOLUME","."&amp;M$2&amp;M$1&amp;"C"&amp;$A43)*RTD("tos.rtd",,"GAMMA","."&amp;M$2&amp;M$1&amp;"C"&amp;$A43)-$A$4*$A$4*RTD("tos.rtd",,"VOLUME","."&amp;M$2&amp;M$1&amp;"P"&amp;$A43)*RTD("tos.rtd",,"GAMMA","."&amp;M$2&amp;M$1&amp;"P"&amp;$A43))/1000000),0),IF($A$2="GEX",IFERROR(IF($X$1="ABS",($A$4*$A$4*RTD("tos.rtd",,"OPEN_INT","."&amp;M$2&amp;M$1&amp;"C"&amp;$A43)*RTD("tos.rtd",,"GAMMA","."&amp;M$2&amp;M$1&amp;"C"&amp;$A43)+$A$4*$A$4*RTD("tos.rtd",,"OPEN_INT","."&amp;M$2&amp;M$1&amp;"P"&amp;$A43)*RTD("tos.rtd",,"GAMMA","."&amp;M$2&amp;M$1&amp;"P"&amp;$A43))/1000000,($A$4*$A$4*RTD("tos.rtd",,"OPEN_INT","."&amp;M$2&amp;M$1&amp;"C"&amp;$A43)*RTD("tos.rtd",,"GAMMA","."&amp;M$2&amp;M$1&amp;"C"&amp;$A43)-$A$4*$A$4*RTD("tos.rtd",,"OPEN_INT","."&amp;M$2&amp;M$1&amp;"P"&amp;$A43)*RTD("tos.rtd",,"GAMMA","."&amp;M$2&amp;M$1&amp;"P"&amp;$A43))/1000000),0),IF($A$2="SKEW",IFERROR(VALUE(IF(RTD("tos.rtd",,"IMPL_VOL","."&amp;M$2&amp;M$1&amp;"P"&amp;$A43)="N/A",0,RTD("tos.rtd",,"IMPL_VOL","."&amp;M$2&amp;M$1&amp;"P"&amp;$A43))),0)-IFERROR(VALUE(IF(RTD("tos.rtd",,"IMPL_VOL","."&amp;M$2&amp;M$1&amp;"C"&amp;$A43)="N/A",0,RTD("tos.rtd",,"IMPL_VOL","."&amp;M$2&amp;M$1&amp;"C"&amp;$A43))),0),IF($A$2="MAXPAIN",IF($A$4&gt;$A43,($A$4-$A43)*IF(RTD("tos.rtd",,"OPEN_INT","."&amp;M$2&amp;M$1&amp;"C"&amp;$A43)="N/A",0,RTD("tos.rtd",,"OPEN_INT","."&amp;M$2&amp;M$1&amp;"C"&amp;$A43)),0)+IF($A$4&lt;$A43,($A$5-$A$4)*IF(RTD("tos.rtd",,"OPEN_INT","."&amp;M$2&amp;M$1&amp;"P"&amp;$A43)="N/A",0,RTD("tos.rtd",,"OPEN_INT","."&amp;M$2&amp;M$1&amp;"P"&amp;$A43)),0),IF($X$1="ABS",IF(RTD("tos.rtd",,$A$2,"."&amp;M$2&amp;M$1&amp;"C"&amp;$A43)="N/A",0,RTD("tos.rtd",,$A$2,"."&amp;M$2&amp;M$1&amp;"C"&amp;$A43))+IF(RTD("tos.rtd",,$A$2,"."&amp;M$2&amp;M$1&amp;"P"&amp;$A43)="N/A",0,RTD("tos.rtd",,$A$2,"."&amp;M$2&amp;M$1&amp;"P"&amp;$A43)),IF(RTD("tos.rtd",,$A$2,"."&amp;M$2&amp;M$1&amp;"C"&amp;$A43)="N/A",0,RTD("tos.rtd",,$A$2,"."&amp;M$2&amp;M$1&amp;"C"&amp;$A43))-IF(RTD("tos.rtd",,$A$2,"."&amp;M$2&amp;M$1&amp;"P"&amp;$A43)="N/A",0,RTD("tos.rtd",,$A$2,"."&amp;M$2&amp;M$1&amp;"P"&amp;$A43))))))))))</f>
        <v>0</v>
      </c>
      <c r="N43" s="12">
        <f ca="1">IF($A$2="PREMIUM_OI",IFERROR(IF($X$1="ABS",(100*RTD("tos.rtd",,"OPEN_INT","."&amp;N$2&amp;N$1&amp;"C"&amp;$A43)*RTD("tos.rtd",,"LAST","."&amp;N$2&amp;N$1&amp;"C"&amp;$A43)+100*RTD("tos.rtd",,"OPEN_INT","."&amp;N$2&amp;N$1&amp;"P"&amp;$A43)*RTD("tos.rtd",,"LAST","."&amp;N$2&amp;N$1&amp;"P"&amp;$A43))/1000000,(100*RTD("tos.rtd",,"OPEN_INT","."&amp;N$2&amp;N$1&amp;"C"&amp;$A43)*RTD("tos.rtd",,"LAST","."&amp;N$2&amp;N$1&amp;"C"&amp;$A43)-100*RTD("tos.rtd",,"OPEN_INT","."&amp;N$2&amp;N$1&amp;"P"&amp;$A43)*RTD("tos.rtd",,"LAST","."&amp;N$2&amp;N$1&amp;"P"&amp;$A43))/1000000),0),IF($A$2="PREMIUM",IFERROR(IF($X$1="ABS",(100*RTD("tos.rtd",,"VOLUME","."&amp;N$2&amp;N$1&amp;"C"&amp;$A43)*RTD("tos.rtd",,"LAST","."&amp;N$2&amp;N$1&amp;"C"&amp;$A43)+100*RTD("tos.rtd",,"VOLUME","."&amp;N$2&amp;N$1&amp;"P"&amp;$A43)*RTD("tos.rtd",,"LAST","."&amp;N$2&amp;N$1&amp;"P"&amp;$A43))/1000000,(100*RTD("tos.rtd",,"VOLUME","."&amp;N$2&amp;N$1&amp;"C"&amp;$A43)*RTD("tos.rtd",,"LAST","."&amp;N$2&amp;N$1&amp;"C"&amp;$A43)-100*RTD("tos.rtd",,"VOLUME","."&amp;N$2&amp;N$1&amp;"P"&amp;$A43)*RTD("tos.rtd",,"LAST","."&amp;N$2&amp;N$1&amp;"P"&amp;$A43))/1000000),0),IF($A$2="DEX",IFERROR(IF($X$1="ABS",(100*RTD("tos.rtd",,"OPEN_INT","."&amp;N$2&amp;N$1&amp;"C"&amp;$A43)*RTD("tos.rtd",,"DELTA","."&amp;N$2&amp;N$1&amp;"C"&amp;$A43)+100*RTD("tos.rtd",,"OPEN_INT","."&amp;N$2&amp;N$1&amp;"P"&amp;$A43)*RTD("tos.rtd",,"DELTA","."&amp;N$2&amp;N$1&amp;"P"&amp;$A43))/1000,(100*RTD("tos.rtd",,"OPEN_INT","."&amp;N$2&amp;N$1&amp;"C"&amp;$A43)*RTD("tos.rtd",,"DELTA","."&amp;N$2&amp;N$1&amp;"C"&amp;$A43)-100*RTD("tos.rtd",,"OPEN_INT","."&amp;N$2&amp;N$1&amp;"P"&amp;$A43)*RTD("tos.rtd",,"DELTA","."&amp;N$2&amp;N$1&amp;"P"&amp;$A43))/1000),0),IF($A$2="VEX",IFERROR(IF($X$1="ABS",($A$4*$A$4*RTD("tos.rtd",,"VOLUME","."&amp;N$2&amp;N$1&amp;"C"&amp;$A43)*RTD("tos.rtd",,"GAMMA","."&amp;N$2&amp;N$1&amp;"C"&amp;$A43)+$A$4*$A$4*RTD("tos.rtd",,"VOLUME","."&amp;N$2&amp;N$1&amp;"P"&amp;$A43)*RTD("tos.rtd",,"GAMMA","."&amp;N$2&amp;N$1&amp;"P"&amp;$A43))/1000000,($A$4*$A$4*RTD("tos.rtd",,"VOLUME","."&amp;N$2&amp;N$1&amp;"C"&amp;$A43)*RTD("tos.rtd",,"GAMMA","."&amp;N$2&amp;N$1&amp;"C"&amp;$A43)-$A$4*$A$4*RTD("tos.rtd",,"VOLUME","."&amp;N$2&amp;N$1&amp;"P"&amp;$A43)*RTD("tos.rtd",,"GAMMA","."&amp;N$2&amp;N$1&amp;"P"&amp;$A43))/1000000),0),IF($A$2="GEX",IFERROR(IF($X$1="ABS",($A$4*$A$4*RTD("tos.rtd",,"OPEN_INT","."&amp;N$2&amp;N$1&amp;"C"&amp;$A43)*RTD("tos.rtd",,"GAMMA","."&amp;N$2&amp;N$1&amp;"C"&amp;$A43)+$A$4*$A$4*RTD("tos.rtd",,"OPEN_INT","."&amp;N$2&amp;N$1&amp;"P"&amp;$A43)*RTD("tos.rtd",,"GAMMA","."&amp;N$2&amp;N$1&amp;"P"&amp;$A43))/1000000,($A$4*$A$4*RTD("tos.rtd",,"OPEN_INT","."&amp;N$2&amp;N$1&amp;"C"&amp;$A43)*RTD("tos.rtd",,"GAMMA","."&amp;N$2&amp;N$1&amp;"C"&amp;$A43)-$A$4*$A$4*RTD("tos.rtd",,"OPEN_INT","."&amp;N$2&amp;N$1&amp;"P"&amp;$A43)*RTD("tos.rtd",,"GAMMA","."&amp;N$2&amp;N$1&amp;"P"&amp;$A43))/1000000),0),IF($A$2="SKEW",IFERROR(VALUE(IF(RTD("tos.rtd",,"IMPL_VOL","."&amp;N$2&amp;N$1&amp;"P"&amp;$A43)="N/A",0,RTD("tos.rtd",,"IMPL_VOL","."&amp;N$2&amp;N$1&amp;"P"&amp;$A43))),0)-IFERROR(VALUE(IF(RTD("tos.rtd",,"IMPL_VOL","."&amp;N$2&amp;N$1&amp;"C"&amp;$A43)="N/A",0,RTD("tos.rtd",,"IMPL_VOL","."&amp;N$2&amp;N$1&amp;"C"&amp;$A43))),0),IF($A$2="MAXPAIN",IF($A$4&gt;$A43,($A$4-$A43)*IF(RTD("tos.rtd",,"OPEN_INT","."&amp;N$2&amp;N$1&amp;"C"&amp;$A43)="N/A",0,RTD("tos.rtd",,"OPEN_INT","."&amp;N$2&amp;N$1&amp;"C"&amp;$A43)),0)+IF($A$4&lt;$A43,($A$5-$A$4)*IF(RTD("tos.rtd",,"OPEN_INT","."&amp;N$2&amp;N$1&amp;"P"&amp;$A43)="N/A",0,RTD("tos.rtd",,"OPEN_INT","."&amp;N$2&amp;N$1&amp;"P"&amp;$A43)),0),IF($X$1="ABS",IF(RTD("tos.rtd",,$A$2,"."&amp;N$2&amp;N$1&amp;"C"&amp;$A43)="N/A",0,RTD("tos.rtd",,$A$2,"."&amp;N$2&amp;N$1&amp;"C"&amp;$A43))+IF(RTD("tos.rtd",,$A$2,"."&amp;N$2&amp;N$1&amp;"P"&amp;$A43)="N/A",0,RTD("tos.rtd",,$A$2,"."&amp;N$2&amp;N$1&amp;"P"&amp;$A43)),IF(RTD("tos.rtd",,$A$2,"."&amp;N$2&amp;N$1&amp;"C"&amp;$A43)="N/A",0,RTD("tos.rtd",,$A$2,"."&amp;N$2&amp;N$1&amp;"C"&amp;$A43))-IF(RTD("tos.rtd",,$A$2,"."&amp;N$2&amp;N$1&amp;"P"&amp;$A43)="N/A",0,RTD("tos.rtd",,$A$2,"."&amp;N$2&amp;N$1&amp;"P"&amp;$A43))))))))))</f>
        <v>0</v>
      </c>
      <c r="O43" s="12">
        <f ca="1">IF($A$2="PREMIUM_OI",IFERROR(IF($X$1="ABS",(100*RTD("tos.rtd",,"OPEN_INT","."&amp;O$2&amp;O$1&amp;"C"&amp;$A43)*RTD("tos.rtd",,"LAST","."&amp;O$2&amp;O$1&amp;"C"&amp;$A43)+100*RTD("tos.rtd",,"OPEN_INT","."&amp;O$2&amp;O$1&amp;"P"&amp;$A43)*RTD("tos.rtd",,"LAST","."&amp;O$2&amp;O$1&amp;"P"&amp;$A43))/1000000,(100*RTD("tos.rtd",,"OPEN_INT","."&amp;O$2&amp;O$1&amp;"C"&amp;$A43)*RTD("tos.rtd",,"LAST","."&amp;O$2&amp;O$1&amp;"C"&amp;$A43)-100*RTD("tos.rtd",,"OPEN_INT","."&amp;O$2&amp;O$1&amp;"P"&amp;$A43)*RTD("tos.rtd",,"LAST","."&amp;O$2&amp;O$1&amp;"P"&amp;$A43))/1000000),0),IF($A$2="PREMIUM",IFERROR(IF($X$1="ABS",(100*RTD("tos.rtd",,"VOLUME","."&amp;O$2&amp;O$1&amp;"C"&amp;$A43)*RTD("tos.rtd",,"LAST","."&amp;O$2&amp;O$1&amp;"C"&amp;$A43)+100*RTD("tos.rtd",,"VOLUME","."&amp;O$2&amp;O$1&amp;"P"&amp;$A43)*RTD("tos.rtd",,"LAST","."&amp;O$2&amp;O$1&amp;"P"&amp;$A43))/1000000,(100*RTD("tos.rtd",,"VOLUME","."&amp;O$2&amp;O$1&amp;"C"&amp;$A43)*RTD("tos.rtd",,"LAST","."&amp;O$2&amp;O$1&amp;"C"&amp;$A43)-100*RTD("tos.rtd",,"VOLUME","."&amp;O$2&amp;O$1&amp;"P"&amp;$A43)*RTD("tos.rtd",,"LAST","."&amp;O$2&amp;O$1&amp;"P"&amp;$A43))/1000000),0),IF($A$2="DEX",IFERROR(IF($X$1="ABS",(100*RTD("tos.rtd",,"OPEN_INT","."&amp;O$2&amp;O$1&amp;"C"&amp;$A43)*RTD("tos.rtd",,"DELTA","."&amp;O$2&amp;O$1&amp;"C"&amp;$A43)+100*RTD("tos.rtd",,"OPEN_INT","."&amp;O$2&amp;O$1&amp;"P"&amp;$A43)*RTD("tos.rtd",,"DELTA","."&amp;O$2&amp;O$1&amp;"P"&amp;$A43))/1000,(100*RTD("tos.rtd",,"OPEN_INT","."&amp;O$2&amp;O$1&amp;"C"&amp;$A43)*RTD("tos.rtd",,"DELTA","."&amp;O$2&amp;O$1&amp;"C"&amp;$A43)-100*RTD("tos.rtd",,"OPEN_INT","."&amp;O$2&amp;O$1&amp;"P"&amp;$A43)*RTD("tos.rtd",,"DELTA","."&amp;O$2&amp;O$1&amp;"P"&amp;$A43))/1000),0),IF($A$2="VEX",IFERROR(IF($X$1="ABS",($A$4*$A$4*RTD("tos.rtd",,"VOLUME","."&amp;O$2&amp;O$1&amp;"C"&amp;$A43)*RTD("tos.rtd",,"GAMMA","."&amp;O$2&amp;O$1&amp;"C"&amp;$A43)+$A$4*$A$4*RTD("tos.rtd",,"VOLUME","."&amp;O$2&amp;O$1&amp;"P"&amp;$A43)*RTD("tos.rtd",,"GAMMA","."&amp;O$2&amp;O$1&amp;"P"&amp;$A43))/1000000,($A$4*$A$4*RTD("tos.rtd",,"VOLUME","."&amp;O$2&amp;O$1&amp;"C"&amp;$A43)*RTD("tos.rtd",,"GAMMA","."&amp;O$2&amp;O$1&amp;"C"&amp;$A43)-$A$4*$A$4*RTD("tos.rtd",,"VOLUME","."&amp;O$2&amp;O$1&amp;"P"&amp;$A43)*RTD("tos.rtd",,"GAMMA","."&amp;O$2&amp;O$1&amp;"P"&amp;$A43))/1000000),0),IF($A$2="GEX",IFERROR(IF($X$1="ABS",($A$4*$A$4*RTD("tos.rtd",,"OPEN_INT","."&amp;O$2&amp;O$1&amp;"C"&amp;$A43)*RTD("tos.rtd",,"GAMMA","."&amp;O$2&amp;O$1&amp;"C"&amp;$A43)+$A$4*$A$4*RTD("tos.rtd",,"OPEN_INT","."&amp;O$2&amp;O$1&amp;"P"&amp;$A43)*RTD("tos.rtd",,"GAMMA","."&amp;O$2&amp;O$1&amp;"P"&amp;$A43))/1000000,($A$4*$A$4*RTD("tos.rtd",,"OPEN_INT","."&amp;O$2&amp;O$1&amp;"C"&amp;$A43)*RTD("tos.rtd",,"GAMMA","."&amp;O$2&amp;O$1&amp;"C"&amp;$A43)-$A$4*$A$4*RTD("tos.rtd",,"OPEN_INT","."&amp;O$2&amp;O$1&amp;"P"&amp;$A43)*RTD("tos.rtd",,"GAMMA","."&amp;O$2&amp;O$1&amp;"P"&amp;$A43))/1000000),0),IF($A$2="SKEW",IFERROR(VALUE(IF(RTD("tos.rtd",,"IMPL_VOL","."&amp;O$2&amp;O$1&amp;"P"&amp;$A43)="N/A",0,RTD("tos.rtd",,"IMPL_VOL","."&amp;O$2&amp;O$1&amp;"P"&amp;$A43))),0)-IFERROR(VALUE(IF(RTD("tos.rtd",,"IMPL_VOL","."&amp;O$2&amp;O$1&amp;"C"&amp;$A43)="N/A",0,RTD("tos.rtd",,"IMPL_VOL","."&amp;O$2&amp;O$1&amp;"C"&amp;$A43))),0),IF($A$2="MAXPAIN",IF($A$4&gt;$A43,($A$4-$A43)*IF(RTD("tos.rtd",,"OPEN_INT","."&amp;O$2&amp;O$1&amp;"C"&amp;$A43)="N/A",0,RTD("tos.rtd",,"OPEN_INT","."&amp;O$2&amp;O$1&amp;"C"&amp;$A43)),0)+IF($A$4&lt;$A43,($A$5-$A$4)*IF(RTD("tos.rtd",,"OPEN_INT","."&amp;O$2&amp;O$1&amp;"P"&amp;$A43)="N/A",0,RTD("tos.rtd",,"OPEN_INT","."&amp;O$2&amp;O$1&amp;"P"&amp;$A43)),0),IF($X$1="ABS",IF(RTD("tos.rtd",,$A$2,"."&amp;O$2&amp;O$1&amp;"C"&amp;$A43)="N/A",0,RTD("tos.rtd",,$A$2,"."&amp;O$2&amp;O$1&amp;"C"&amp;$A43))+IF(RTD("tos.rtd",,$A$2,"."&amp;O$2&amp;O$1&amp;"P"&amp;$A43)="N/A",0,RTD("tos.rtd",,$A$2,"."&amp;O$2&amp;O$1&amp;"P"&amp;$A43)),IF(RTD("tos.rtd",,$A$2,"."&amp;O$2&amp;O$1&amp;"C"&amp;$A43)="N/A",0,RTD("tos.rtd",,$A$2,"."&amp;O$2&amp;O$1&amp;"C"&amp;$A43))-IF(RTD("tos.rtd",,$A$2,"."&amp;O$2&amp;O$1&amp;"P"&amp;$A43)="N/A",0,RTD("tos.rtd",,$A$2,"."&amp;O$2&amp;O$1&amp;"P"&amp;$A43))))))))))</f>
        <v>0</v>
      </c>
      <c r="P43" s="12">
        <f ca="1">IF($A$2="PREMIUM_OI",IFERROR(IF($X$1="ABS",(100*RTD("tos.rtd",,"OPEN_INT","."&amp;P$2&amp;P$1&amp;"C"&amp;$A43)*RTD("tos.rtd",,"LAST","."&amp;P$2&amp;P$1&amp;"C"&amp;$A43)+100*RTD("tos.rtd",,"OPEN_INT","."&amp;P$2&amp;P$1&amp;"P"&amp;$A43)*RTD("tos.rtd",,"LAST","."&amp;P$2&amp;P$1&amp;"P"&amp;$A43))/1000000,(100*RTD("tos.rtd",,"OPEN_INT","."&amp;P$2&amp;P$1&amp;"C"&amp;$A43)*RTD("tos.rtd",,"LAST","."&amp;P$2&amp;P$1&amp;"C"&amp;$A43)-100*RTD("tos.rtd",,"OPEN_INT","."&amp;P$2&amp;P$1&amp;"P"&amp;$A43)*RTD("tos.rtd",,"LAST","."&amp;P$2&amp;P$1&amp;"P"&amp;$A43))/1000000),0),IF($A$2="PREMIUM",IFERROR(IF($X$1="ABS",(100*RTD("tos.rtd",,"VOLUME","."&amp;P$2&amp;P$1&amp;"C"&amp;$A43)*RTD("tos.rtd",,"LAST","."&amp;P$2&amp;P$1&amp;"C"&amp;$A43)+100*RTD("tos.rtd",,"VOLUME","."&amp;P$2&amp;P$1&amp;"P"&amp;$A43)*RTD("tos.rtd",,"LAST","."&amp;P$2&amp;P$1&amp;"P"&amp;$A43))/1000000,(100*RTD("tos.rtd",,"VOLUME","."&amp;P$2&amp;P$1&amp;"C"&amp;$A43)*RTD("tos.rtd",,"LAST","."&amp;P$2&amp;P$1&amp;"C"&amp;$A43)-100*RTD("tos.rtd",,"VOLUME","."&amp;P$2&amp;P$1&amp;"P"&amp;$A43)*RTD("tos.rtd",,"LAST","."&amp;P$2&amp;P$1&amp;"P"&amp;$A43))/1000000),0),IF($A$2="DEX",IFERROR(IF($X$1="ABS",(100*RTD("tos.rtd",,"OPEN_INT","."&amp;P$2&amp;P$1&amp;"C"&amp;$A43)*RTD("tos.rtd",,"DELTA","."&amp;P$2&amp;P$1&amp;"C"&amp;$A43)+100*RTD("tos.rtd",,"OPEN_INT","."&amp;P$2&amp;P$1&amp;"P"&amp;$A43)*RTD("tos.rtd",,"DELTA","."&amp;P$2&amp;P$1&amp;"P"&amp;$A43))/1000,(100*RTD("tos.rtd",,"OPEN_INT","."&amp;P$2&amp;P$1&amp;"C"&amp;$A43)*RTD("tos.rtd",,"DELTA","."&amp;P$2&amp;P$1&amp;"C"&amp;$A43)-100*RTD("tos.rtd",,"OPEN_INT","."&amp;P$2&amp;P$1&amp;"P"&amp;$A43)*RTD("tos.rtd",,"DELTA","."&amp;P$2&amp;P$1&amp;"P"&amp;$A43))/1000),0),IF($A$2="VEX",IFERROR(IF($X$1="ABS",($A$4*$A$4*RTD("tos.rtd",,"VOLUME","."&amp;P$2&amp;P$1&amp;"C"&amp;$A43)*RTD("tos.rtd",,"GAMMA","."&amp;P$2&amp;P$1&amp;"C"&amp;$A43)+$A$4*$A$4*RTD("tos.rtd",,"VOLUME","."&amp;P$2&amp;P$1&amp;"P"&amp;$A43)*RTD("tos.rtd",,"GAMMA","."&amp;P$2&amp;P$1&amp;"P"&amp;$A43))/1000000,($A$4*$A$4*RTD("tos.rtd",,"VOLUME","."&amp;P$2&amp;P$1&amp;"C"&amp;$A43)*RTD("tos.rtd",,"GAMMA","."&amp;P$2&amp;P$1&amp;"C"&amp;$A43)-$A$4*$A$4*RTD("tos.rtd",,"VOLUME","."&amp;P$2&amp;P$1&amp;"P"&amp;$A43)*RTD("tos.rtd",,"GAMMA","."&amp;P$2&amp;P$1&amp;"P"&amp;$A43))/1000000),0),IF($A$2="GEX",IFERROR(IF($X$1="ABS",($A$4*$A$4*RTD("tos.rtd",,"OPEN_INT","."&amp;P$2&amp;P$1&amp;"C"&amp;$A43)*RTD("tos.rtd",,"GAMMA","."&amp;P$2&amp;P$1&amp;"C"&amp;$A43)+$A$4*$A$4*RTD("tos.rtd",,"OPEN_INT","."&amp;P$2&amp;P$1&amp;"P"&amp;$A43)*RTD("tos.rtd",,"GAMMA","."&amp;P$2&amp;P$1&amp;"P"&amp;$A43))/1000000,($A$4*$A$4*RTD("tos.rtd",,"OPEN_INT","."&amp;P$2&amp;P$1&amp;"C"&amp;$A43)*RTD("tos.rtd",,"GAMMA","."&amp;P$2&amp;P$1&amp;"C"&amp;$A43)-$A$4*$A$4*RTD("tos.rtd",,"OPEN_INT","."&amp;P$2&amp;P$1&amp;"P"&amp;$A43)*RTD("tos.rtd",,"GAMMA","."&amp;P$2&amp;P$1&amp;"P"&amp;$A43))/1000000),0),IF($A$2="SKEW",IFERROR(VALUE(IF(RTD("tos.rtd",,"IMPL_VOL","."&amp;P$2&amp;P$1&amp;"P"&amp;$A43)="N/A",0,RTD("tos.rtd",,"IMPL_VOL","."&amp;P$2&amp;P$1&amp;"P"&amp;$A43))),0)-IFERROR(VALUE(IF(RTD("tos.rtd",,"IMPL_VOL","."&amp;P$2&amp;P$1&amp;"C"&amp;$A43)="N/A",0,RTD("tos.rtd",,"IMPL_VOL","."&amp;P$2&amp;P$1&amp;"C"&amp;$A43))),0),IF($A$2="MAXPAIN",IF($A$4&gt;$A43,($A$4-$A43)*IF(RTD("tos.rtd",,"OPEN_INT","."&amp;P$2&amp;P$1&amp;"C"&amp;$A43)="N/A",0,RTD("tos.rtd",,"OPEN_INT","."&amp;P$2&amp;P$1&amp;"C"&amp;$A43)),0)+IF($A$4&lt;$A43,($A$5-$A$4)*IF(RTD("tos.rtd",,"OPEN_INT","."&amp;P$2&amp;P$1&amp;"P"&amp;$A43)="N/A",0,RTD("tos.rtd",,"OPEN_INT","."&amp;P$2&amp;P$1&amp;"P"&amp;$A43)),0),IF($X$1="ABS",IF(RTD("tos.rtd",,$A$2,"."&amp;P$2&amp;P$1&amp;"C"&amp;$A43)="N/A",0,RTD("tos.rtd",,$A$2,"."&amp;P$2&amp;P$1&amp;"C"&amp;$A43))+IF(RTD("tos.rtd",,$A$2,"."&amp;P$2&amp;P$1&amp;"P"&amp;$A43)="N/A",0,RTD("tos.rtd",,$A$2,"."&amp;P$2&amp;P$1&amp;"P"&amp;$A43)),IF(RTD("tos.rtd",,$A$2,"."&amp;P$2&amp;P$1&amp;"C"&amp;$A43)="N/A",0,RTD("tos.rtd",,$A$2,"."&amp;P$2&amp;P$1&amp;"C"&amp;$A43))-IF(RTD("tos.rtd",,$A$2,"."&amp;P$2&amp;P$1&amp;"P"&amp;$A43)="N/A",0,RTD("tos.rtd",,$A$2,"."&amp;P$2&amp;P$1&amp;"P"&amp;$A43))))))))))</f>
        <v>0</v>
      </c>
      <c r="Q43" s="12">
        <f ca="1">IF($A$2="PREMIUM_OI",IFERROR(IF($X$1="ABS",(100*RTD("tos.rtd",,"OPEN_INT","."&amp;Q$2&amp;Q$1&amp;"C"&amp;$A43)*RTD("tos.rtd",,"LAST","."&amp;Q$2&amp;Q$1&amp;"C"&amp;$A43)+100*RTD("tos.rtd",,"OPEN_INT","."&amp;Q$2&amp;Q$1&amp;"P"&amp;$A43)*RTD("tos.rtd",,"LAST","."&amp;Q$2&amp;Q$1&amp;"P"&amp;$A43))/1000000,(100*RTD("tos.rtd",,"OPEN_INT","."&amp;Q$2&amp;Q$1&amp;"C"&amp;$A43)*RTD("tos.rtd",,"LAST","."&amp;Q$2&amp;Q$1&amp;"C"&amp;$A43)-100*RTD("tos.rtd",,"OPEN_INT","."&amp;Q$2&amp;Q$1&amp;"P"&amp;$A43)*RTD("tos.rtd",,"LAST","."&amp;Q$2&amp;Q$1&amp;"P"&amp;$A43))/1000000),0),IF($A$2="PREMIUM",IFERROR(IF($X$1="ABS",(100*RTD("tos.rtd",,"VOLUME","."&amp;Q$2&amp;Q$1&amp;"C"&amp;$A43)*RTD("tos.rtd",,"LAST","."&amp;Q$2&amp;Q$1&amp;"C"&amp;$A43)+100*RTD("tos.rtd",,"VOLUME","."&amp;Q$2&amp;Q$1&amp;"P"&amp;$A43)*RTD("tos.rtd",,"LAST","."&amp;Q$2&amp;Q$1&amp;"P"&amp;$A43))/1000000,(100*RTD("tos.rtd",,"VOLUME","."&amp;Q$2&amp;Q$1&amp;"C"&amp;$A43)*RTD("tos.rtd",,"LAST","."&amp;Q$2&amp;Q$1&amp;"C"&amp;$A43)-100*RTD("tos.rtd",,"VOLUME","."&amp;Q$2&amp;Q$1&amp;"P"&amp;$A43)*RTD("tos.rtd",,"LAST","."&amp;Q$2&amp;Q$1&amp;"P"&amp;$A43))/1000000),0),IF($A$2="DEX",IFERROR(IF($X$1="ABS",(100*RTD("tos.rtd",,"OPEN_INT","."&amp;Q$2&amp;Q$1&amp;"C"&amp;$A43)*RTD("tos.rtd",,"DELTA","."&amp;Q$2&amp;Q$1&amp;"C"&amp;$A43)+100*RTD("tos.rtd",,"OPEN_INT","."&amp;Q$2&amp;Q$1&amp;"P"&amp;$A43)*RTD("tos.rtd",,"DELTA","."&amp;Q$2&amp;Q$1&amp;"P"&amp;$A43))/1000,(100*RTD("tos.rtd",,"OPEN_INT","."&amp;Q$2&amp;Q$1&amp;"C"&amp;$A43)*RTD("tos.rtd",,"DELTA","."&amp;Q$2&amp;Q$1&amp;"C"&amp;$A43)-100*RTD("tos.rtd",,"OPEN_INT","."&amp;Q$2&amp;Q$1&amp;"P"&amp;$A43)*RTD("tos.rtd",,"DELTA","."&amp;Q$2&amp;Q$1&amp;"P"&amp;$A43))/1000),0),IF($A$2="VEX",IFERROR(IF($X$1="ABS",($A$4*$A$4*RTD("tos.rtd",,"VOLUME","."&amp;Q$2&amp;Q$1&amp;"C"&amp;$A43)*RTD("tos.rtd",,"GAMMA","."&amp;Q$2&amp;Q$1&amp;"C"&amp;$A43)+$A$4*$A$4*RTD("tos.rtd",,"VOLUME","."&amp;Q$2&amp;Q$1&amp;"P"&amp;$A43)*RTD("tos.rtd",,"GAMMA","."&amp;Q$2&amp;Q$1&amp;"P"&amp;$A43))/1000000,($A$4*$A$4*RTD("tos.rtd",,"VOLUME","."&amp;Q$2&amp;Q$1&amp;"C"&amp;$A43)*RTD("tos.rtd",,"GAMMA","."&amp;Q$2&amp;Q$1&amp;"C"&amp;$A43)-$A$4*$A$4*RTD("tos.rtd",,"VOLUME","."&amp;Q$2&amp;Q$1&amp;"P"&amp;$A43)*RTD("tos.rtd",,"GAMMA","."&amp;Q$2&amp;Q$1&amp;"P"&amp;$A43))/1000000),0),IF($A$2="GEX",IFERROR(IF($X$1="ABS",($A$4*$A$4*RTD("tos.rtd",,"OPEN_INT","."&amp;Q$2&amp;Q$1&amp;"C"&amp;$A43)*RTD("tos.rtd",,"GAMMA","."&amp;Q$2&amp;Q$1&amp;"C"&amp;$A43)+$A$4*$A$4*RTD("tos.rtd",,"OPEN_INT","."&amp;Q$2&amp;Q$1&amp;"P"&amp;$A43)*RTD("tos.rtd",,"GAMMA","."&amp;Q$2&amp;Q$1&amp;"P"&amp;$A43))/1000000,($A$4*$A$4*RTD("tos.rtd",,"OPEN_INT","."&amp;Q$2&amp;Q$1&amp;"C"&amp;$A43)*RTD("tos.rtd",,"GAMMA","."&amp;Q$2&amp;Q$1&amp;"C"&amp;$A43)-$A$4*$A$4*RTD("tos.rtd",,"OPEN_INT","."&amp;Q$2&amp;Q$1&amp;"P"&amp;$A43)*RTD("tos.rtd",,"GAMMA","."&amp;Q$2&amp;Q$1&amp;"P"&amp;$A43))/1000000),0),IF($A$2="SKEW",IFERROR(VALUE(IF(RTD("tos.rtd",,"IMPL_VOL","."&amp;Q$2&amp;Q$1&amp;"P"&amp;$A43)="N/A",0,RTD("tos.rtd",,"IMPL_VOL","."&amp;Q$2&amp;Q$1&amp;"P"&amp;$A43))),0)-IFERROR(VALUE(IF(RTD("tos.rtd",,"IMPL_VOL","."&amp;Q$2&amp;Q$1&amp;"C"&amp;$A43)="N/A",0,RTD("tos.rtd",,"IMPL_VOL","."&amp;Q$2&amp;Q$1&amp;"C"&amp;$A43))),0),IF($A$2="MAXPAIN",IF($A$4&gt;$A43,($A$4-$A43)*IF(RTD("tos.rtd",,"OPEN_INT","."&amp;Q$2&amp;Q$1&amp;"C"&amp;$A43)="N/A",0,RTD("tos.rtd",,"OPEN_INT","."&amp;Q$2&amp;Q$1&amp;"C"&amp;$A43)),0)+IF($A$4&lt;$A43,($A$5-$A$4)*IF(RTD("tos.rtd",,"OPEN_INT","."&amp;Q$2&amp;Q$1&amp;"P"&amp;$A43)="N/A",0,RTD("tos.rtd",,"OPEN_INT","."&amp;Q$2&amp;Q$1&amp;"P"&amp;$A43)),0),IF($X$1="ABS",IF(RTD("tos.rtd",,$A$2,"."&amp;Q$2&amp;Q$1&amp;"C"&amp;$A43)="N/A",0,RTD("tos.rtd",,$A$2,"."&amp;Q$2&amp;Q$1&amp;"C"&amp;$A43))+IF(RTD("tos.rtd",,$A$2,"."&amp;Q$2&amp;Q$1&amp;"P"&amp;$A43)="N/A",0,RTD("tos.rtd",,$A$2,"."&amp;Q$2&amp;Q$1&amp;"P"&amp;$A43)),IF(RTD("tos.rtd",,$A$2,"."&amp;Q$2&amp;Q$1&amp;"C"&amp;$A43)="N/A",0,RTD("tos.rtd",,$A$2,"."&amp;Q$2&amp;Q$1&amp;"C"&amp;$A43))-IF(RTD("tos.rtd",,$A$2,"."&amp;Q$2&amp;Q$1&amp;"P"&amp;$A43)="N/A",0,RTD("tos.rtd",,$A$2,"."&amp;Q$2&amp;Q$1&amp;"P"&amp;$A43))))))))))</f>
        <v>0</v>
      </c>
      <c r="R43" s="12">
        <f ca="1">IF($A$2="PREMIUM_OI",IFERROR(IF($X$1="ABS",(100*RTD("tos.rtd",,"OPEN_INT","."&amp;R$2&amp;R$1&amp;"C"&amp;$A43)*RTD("tos.rtd",,"LAST","."&amp;R$2&amp;R$1&amp;"C"&amp;$A43)+100*RTD("tos.rtd",,"OPEN_INT","."&amp;R$2&amp;R$1&amp;"P"&amp;$A43)*RTD("tos.rtd",,"LAST","."&amp;R$2&amp;R$1&amp;"P"&amp;$A43))/1000000,(100*RTD("tos.rtd",,"OPEN_INT","."&amp;R$2&amp;R$1&amp;"C"&amp;$A43)*RTD("tos.rtd",,"LAST","."&amp;R$2&amp;R$1&amp;"C"&amp;$A43)-100*RTD("tos.rtd",,"OPEN_INT","."&amp;R$2&amp;R$1&amp;"P"&amp;$A43)*RTD("tos.rtd",,"LAST","."&amp;R$2&amp;R$1&amp;"P"&amp;$A43))/1000000),0),IF($A$2="PREMIUM",IFERROR(IF($X$1="ABS",(100*RTD("tos.rtd",,"VOLUME","."&amp;R$2&amp;R$1&amp;"C"&amp;$A43)*RTD("tos.rtd",,"LAST","."&amp;R$2&amp;R$1&amp;"C"&amp;$A43)+100*RTD("tos.rtd",,"VOLUME","."&amp;R$2&amp;R$1&amp;"P"&amp;$A43)*RTD("tos.rtd",,"LAST","."&amp;R$2&amp;R$1&amp;"P"&amp;$A43))/1000000,(100*RTD("tos.rtd",,"VOLUME","."&amp;R$2&amp;R$1&amp;"C"&amp;$A43)*RTD("tos.rtd",,"LAST","."&amp;R$2&amp;R$1&amp;"C"&amp;$A43)-100*RTD("tos.rtd",,"VOLUME","."&amp;R$2&amp;R$1&amp;"P"&amp;$A43)*RTD("tos.rtd",,"LAST","."&amp;R$2&amp;R$1&amp;"P"&amp;$A43))/1000000),0),IF($A$2="DEX",IFERROR(IF($X$1="ABS",(100*RTD("tos.rtd",,"OPEN_INT","."&amp;R$2&amp;R$1&amp;"C"&amp;$A43)*RTD("tos.rtd",,"DELTA","."&amp;R$2&amp;R$1&amp;"C"&amp;$A43)+100*RTD("tos.rtd",,"OPEN_INT","."&amp;R$2&amp;R$1&amp;"P"&amp;$A43)*RTD("tos.rtd",,"DELTA","."&amp;R$2&amp;R$1&amp;"P"&amp;$A43))/1000,(100*RTD("tos.rtd",,"OPEN_INT","."&amp;R$2&amp;R$1&amp;"C"&amp;$A43)*RTD("tos.rtd",,"DELTA","."&amp;R$2&amp;R$1&amp;"C"&amp;$A43)-100*RTD("tos.rtd",,"OPEN_INT","."&amp;R$2&amp;R$1&amp;"P"&amp;$A43)*RTD("tos.rtd",,"DELTA","."&amp;R$2&amp;R$1&amp;"P"&amp;$A43))/1000),0),IF($A$2="VEX",IFERROR(IF($X$1="ABS",($A$4*$A$4*RTD("tos.rtd",,"VOLUME","."&amp;R$2&amp;R$1&amp;"C"&amp;$A43)*RTD("tos.rtd",,"GAMMA","."&amp;R$2&amp;R$1&amp;"C"&amp;$A43)+$A$4*$A$4*RTD("tos.rtd",,"VOLUME","."&amp;R$2&amp;R$1&amp;"P"&amp;$A43)*RTD("tos.rtd",,"GAMMA","."&amp;R$2&amp;R$1&amp;"P"&amp;$A43))/1000000,($A$4*$A$4*RTD("tos.rtd",,"VOLUME","."&amp;R$2&amp;R$1&amp;"C"&amp;$A43)*RTD("tos.rtd",,"GAMMA","."&amp;R$2&amp;R$1&amp;"C"&amp;$A43)-$A$4*$A$4*RTD("tos.rtd",,"VOLUME","."&amp;R$2&amp;R$1&amp;"P"&amp;$A43)*RTD("tos.rtd",,"GAMMA","."&amp;R$2&amp;R$1&amp;"P"&amp;$A43))/1000000),0),IF($A$2="GEX",IFERROR(IF($X$1="ABS",($A$4*$A$4*RTD("tos.rtd",,"OPEN_INT","."&amp;R$2&amp;R$1&amp;"C"&amp;$A43)*RTD("tos.rtd",,"GAMMA","."&amp;R$2&amp;R$1&amp;"C"&amp;$A43)+$A$4*$A$4*RTD("tos.rtd",,"OPEN_INT","."&amp;R$2&amp;R$1&amp;"P"&amp;$A43)*RTD("tos.rtd",,"GAMMA","."&amp;R$2&amp;R$1&amp;"P"&amp;$A43))/1000000,($A$4*$A$4*RTD("tos.rtd",,"OPEN_INT","."&amp;R$2&amp;R$1&amp;"C"&amp;$A43)*RTD("tos.rtd",,"GAMMA","."&amp;R$2&amp;R$1&amp;"C"&amp;$A43)-$A$4*$A$4*RTD("tos.rtd",,"OPEN_INT","."&amp;R$2&amp;R$1&amp;"P"&amp;$A43)*RTD("tos.rtd",,"GAMMA","."&amp;R$2&amp;R$1&amp;"P"&amp;$A43))/1000000),0),IF($A$2="SKEW",IFERROR(VALUE(IF(RTD("tos.rtd",,"IMPL_VOL","."&amp;R$2&amp;R$1&amp;"P"&amp;$A43)="N/A",0,RTD("tos.rtd",,"IMPL_VOL","."&amp;R$2&amp;R$1&amp;"P"&amp;$A43))),0)-IFERROR(VALUE(IF(RTD("tos.rtd",,"IMPL_VOL","."&amp;R$2&amp;R$1&amp;"C"&amp;$A43)="N/A",0,RTD("tos.rtd",,"IMPL_VOL","."&amp;R$2&amp;R$1&amp;"C"&amp;$A43))),0),IF($A$2="MAXPAIN",IF($A$4&gt;$A43,($A$4-$A43)*IF(RTD("tos.rtd",,"OPEN_INT","."&amp;R$2&amp;R$1&amp;"C"&amp;$A43)="N/A",0,RTD("tos.rtd",,"OPEN_INT","."&amp;R$2&amp;R$1&amp;"C"&amp;$A43)),0)+IF($A$4&lt;$A43,($A$5-$A$4)*IF(RTD("tos.rtd",,"OPEN_INT","."&amp;R$2&amp;R$1&amp;"P"&amp;$A43)="N/A",0,RTD("tos.rtd",,"OPEN_INT","."&amp;R$2&amp;R$1&amp;"P"&amp;$A43)),0),IF($X$1="ABS",IF(RTD("tos.rtd",,$A$2,"."&amp;R$2&amp;R$1&amp;"C"&amp;$A43)="N/A",0,RTD("tos.rtd",,$A$2,"."&amp;R$2&amp;R$1&amp;"C"&amp;$A43))+IF(RTD("tos.rtd",,$A$2,"."&amp;R$2&amp;R$1&amp;"P"&amp;$A43)="N/A",0,RTD("tos.rtd",,$A$2,"."&amp;R$2&amp;R$1&amp;"P"&amp;$A43)),IF(RTD("tos.rtd",,$A$2,"."&amp;R$2&amp;R$1&amp;"C"&amp;$A43)="N/A",0,RTD("tos.rtd",,$A$2,"."&amp;R$2&amp;R$1&amp;"C"&amp;$A43))-IF(RTD("tos.rtd",,$A$2,"."&amp;R$2&amp;R$1&amp;"P"&amp;$A43)="N/A",0,RTD("tos.rtd",,$A$2,"."&amp;R$2&amp;R$1&amp;"P"&amp;$A43))))))))))</f>
        <v>0</v>
      </c>
      <c r="S43" s="12">
        <f ca="1">IF($A$2="PREMIUM_OI",IFERROR(IF($X$1="ABS",(100*RTD("tos.rtd",,"OPEN_INT","."&amp;S$2&amp;S$1&amp;"C"&amp;$A43)*RTD("tos.rtd",,"LAST","."&amp;S$2&amp;S$1&amp;"C"&amp;$A43)+100*RTD("tos.rtd",,"OPEN_INT","."&amp;S$2&amp;S$1&amp;"P"&amp;$A43)*RTD("tos.rtd",,"LAST","."&amp;S$2&amp;S$1&amp;"P"&amp;$A43))/1000000,(100*RTD("tos.rtd",,"OPEN_INT","."&amp;S$2&amp;S$1&amp;"C"&amp;$A43)*RTD("tos.rtd",,"LAST","."&amp;S$2&amp;S$1&amp;"C"&amp;$A43)-100*RTD("tos.rtd",,"OPEN_INT","."&amp;S$2&amp;S$1&amp;"P"&amp;$A43)*RTD("tos.rtd",,"LAST","."&amp;S$2&amp;S$1&amp;"P"&amp;$A43))/1000000),0),IF($A$2="PREMIUM",IFERROR(IF($X$1="ABS",(100*RTD("tos.rtd",,"VOLUME","."&amp;S$2&amp;S$1&amp;"C"&amp;$A43)*RTD("tos.rtd",,"LAST","."&amp;S$2&amp;S$1&amp;"C"&amp;$A43)+100*RTD("tos.rtd",,"VOLUME","."&amp;S$2&amp;S$1&amp;"P"&amp;$A43)*RTD("tos.rtd",,"LAST","."&amp;S$2&amp;S$1&amp;"P"&amp;$A43))/1000000,(100*RTD("tos.rtd",,"VOLUME","."&amp;S$2&amp;S$1&amp;"C"&amp;$A43)*RTD("tos.rtd",,"LAST","."&amp;S$2&amp;S$1&amp;"C"&amp;$A43)-100*RTD("tos.rtd",,"VOLUME","."&amp;S$2&amp;S$1&amp;"P"&amp;$A43)*RTD("tos.rtd",,"LAST","."&amp;S$2&amp;S$1&amp;"P"&amp;$A43))/1000000),0),IF($A$2="DEX",IFERROR(IF($X$1="ABS",(100*RTD("tos.rtd",,"OPEN_INT","."&amp;S$2&amp;S$1&amp;"C"&amp;$A43)*RTD("tos.rtd",,"DELTA","."&amp;S$2&amp;S$1&amp;"C"&amp;$A43)+100*RTD("tos.rtd",,"OPEN_INT","."&amp;S$2&amp;S$1&amp;"P"&amp;$A43)*RTD("tos.rtd",,"DELTA","."&amp;S$2&amp;S$1&amp;"P"&amp;$A43))/1000,(100*RTD("tos.rtd",,"OPEN_INT","."&amp;S$2&amp;S$1&amp;"C"&amp;$A43)*RTD("tos.rtd",,"DELTA","."&amp;S$2&amp;S$1&amp;"C"&amp;$A43)-100*RTD("tos.rtd",,"OPEN_INT","."&amp;S$2&amp;S$1&amp;"P"&amp;$A43)*RTD("tos.rtd",,"DELTA","."&amp;S$2&amp;S$1&amp;"P"&amp;$A43))/1000),0),IF($A$2="VEX",IFERROR(IF($X$1="ABS",($A$4*$A$4*RTD("tos.rtd",,"VOLUME","."&amp;S$2&amp;S$1&amp;"C"&amp;$A43)*RTD("tos.rtd",,"GAMMA","."&amp;S$2&amp;S$1&amp;"C"&amp;$A43)+$A$4*$A$4*RTD("tos.rtd",,"VOLUME","."&amp;S$2&amp;S$1&amp;"P"&amp;$A43)*RTD("tos.rtd",,"GAMMA","."&amp;S$2&amp;S$1&amp;"P"&amp;$A43))/1000000,($A$4*$A$4*RTD("tos.rtd",,"VOLUME","."&amp;S$2&amp;S$1&amp;"C"&amp;$A43)*RTD("tos.rtd",,"GAMMA","."&amp;S$2&amp;S$1&amp;"C"&amp;$A43)-$A$4*$A$4*RTD("tos.rtd",,"VOLUME","."&amp;S$2&amp;S$1&amp;"P"&amp;$A43)*RTD("tos.rtd",,"GAMMA","."&amp;S$2&amp;S$1&amp;"P"&amp;$A43))/1000000),0),IF($A$2="GEX",IFERROR(IF($X$1="ABS",($A$4*$A$4*RTD("tos.rtd",,"OPEN_INT","."&amp;S$2&amp;S$1&amp;"C"&amp;$A43)*RTD("tos.rtd",,"GAMMA","."&amp;S$2&amp;S$1&amp;"C"&amp;$A43)+$A$4*$A$4*RTD("tos.rtd",,"OPEN_INT","."&amp;S$2&amp;S$1&amp;"P"&amp;$A43)*RTD("tos.rtd",,"GAMMA","."&amp;S$2&amp;S$1&amp;"P"&amp;$A43))/1000000,($A$4*$A$4*RTD("tos.rtd",,"OPEN_INT","."&amp;S$2&amp;S$1&amp;"C"&amp;$A43)*RTD("tos.rtd",,"GAMMA","."&amp;S$2&amp;S$1&amp;"C"&amp;$A43)-$A$4*$A$4*RTD("tos.rtd",,"OPEN_INT","."&amp;S$2&amp;S$1&amp;"P"&amp;$A43)*RTD("tos.rtd",,"GAMMA","."&amp;S$2&amp;S$1&amp;"P"&amp;$A43))/1000000),0),IF($A$2="SKEW",IFERROR(VALUE(IF(RTD("tos.rtd",,"IMPL_VOL","."&amp;S$2&amp;S$1&amp;"P"&amp;$A43)="N/A",0,RTD("tos.rtd",,"IMPL_VOL","."&amp;S$2&amp;S$1&amp;"P"&amp;$A43))),0)-IFERROR(VALUE(IF(RTD("tos.rtd",,"IMPL_VOL","."&amp;S$2&amp;S$1&amp;"C"&amp;$A43)="N/A",0,RTD("tos.rtd",,"IMPL_VOL","."&amp;S$2&amp;S$1&amp;"C"&amp;$A43))),0),IF($A$2="MAXPAIN",IF($A$4&gt;$A43,($A$4-$A43)*IF(RTD("tos.rtd",,"OPEN_INT","."&amp;S$2&amp;S$1&amp;"C"&amp;$A43)="N/A",0,RTD("tos.rtd",,"OPEN_INT","."&amp;S$2&amp;S$1&amp;"C"&amp;$A43)),0)+IF($A$4&lt;$A43,($A$5-$A$4)*IF(RTD("tos.rtd",,"OPEN_INT","."&amp;S$2&amp;S$1&amp;"P"&amp;$A43)="N/A",0,RTD("tos.rtd",,"OPEN_INT","."&amp;S$2&amp;S$1&amp;"P"&amp;$A43)),0),IF($X$1="ABS",IF(RTD("tos.rtd",,$A$2,"."&amp;S$2&amp;S$1&amp;"C"&amp;$A43)="N/A",0,RTD("tos.rtd",,$A$2,"."&amp;S$2&amp;S$1&amp;"C"&amp;$A43))+IF(RTD("tos.rtd",,$A$2,"."&amp;S$2&amp;S$1&amp;"P"&amp;$A43)="N/A",0,RTD("tos.rtd",,$A$2,"."&amp;S$2&amp;S$1&amp;"P"&amp;$A43)),IF(RTD("tos.rtd",,$A$2,"."&amp;S$2&amp;S$1&amp;"C"&amp;$A43)="N/A",0,RTD("tos.rtd",,$A$2,"."&amp;S$2&amp;S$1&amp;"C"&amp;$A43))-IF(RTD("tos.rtd",,$A$2,"."&amp;S$2&amp;S$1&amp;"P"&amp;$A43)="N/A",0,RTD("tos.rtd",,$A$2,"."&amp;S$2&amp;S$1&amp;"P"&amp;$A43))))))))))</f>
        <v>0</v>
      </c>
      <c r="T43" s="12">
        <f ca="1">IF($A$2="PREMIUM_OI",IFERROR(IF($X$1="ABS",(100*RTD("tos.rtd",,"OPEN_INT","."&amp;T$2&amp;T$1&amp;"C"&amp;$A43)*RTD("tos.rtd",,"LAST","."&amp;T$2&amp;T$1&amp;"C"&amp;$A43)+100*RTD("tos.rtd",,"OPEN_INT","."&amp;T$2&amp;T$1&amp;"P"&amp;$A43)*RTD("tos.rtd",,"LAST","."&amp;T$2&amp;T$1&amp;"P"&amp;$A43))/1000000,(100*RTD("tos.rtd",,"OPEN_INT","."&amp;T$2&amp;T$1&amp;"C"&amp;$A43)*RTD("tos.rtd",,"LAST","."&amp;T$2&amp;T$1&amp;"C"&amp;$A43)-100*RTD("tos.rtd",,"OPEN_INT","."&amp;T$2&amp;T$1&amp;"P"&amp;$A43)*RTD("tos.rtd",,"LAST","."&amp;T$2&amp;T$1&amp;"P"&amp;$A43))/1000000),0),IF($A$2="PREMIUM",IFERROR(IF($X$1="ABS",(100*RTD("tos.rtd",,"VOLUME","."&amp;T$2&amp;T$1&amp;"C"&amp;$A43)*RTD("tos.rtd",,"LAST","."&amp;T$2&amp;T$1&amp;"C"&amp;$A43)+100*RTD("tos.rtd",,"VOLUME","."&amp;T$2&amp;T$1&amp;"P"&amp;$A43)*RTD("tos.rtd",,"LAST","."&amp;T$2&amp;T$1&amp;"P"&amp;$A43))/1000000,(100*RTD("tos.rtd",,"VOLUME","."&amp;T$2&amp;T$1&amp;"C"&amp;$A43)*RTD("tos.rtd",,"LAST","."&amp;T$2&amp;T$1&amp;"C"&amp;$A43)-100*RTD("tos.rtd",,"VOLUME","."&amp;T$2&amp;T$1&amp;"P"&amp;$A43)*RTD("tos.rtd",,"LAST","."&amp;T$2&amp;T$1&amp;"P"&amp;$A43))/1000000),0),IF($A$2="DEX",IFERROR(IF($X$1="ABS",(100*RTD("tos.rtd",,"OPEN_INT","."&amp;T$2&amp;T$1&amp;"C"&amp;$A43)*RTD("tos.rtd",,"DELTA","."&amp;T$2&amp;T$1&amp;"C"&amp;$A43)+100*RTD("tos.rtd",,"OPEN_INT","."&amp;T$2&amp;T$1&amp;"P"&amp;$A43)*RTD("tos.rtd",,"DELTA","."&amp;T$2&amp;T$1&amp;"P"&amp;$A43))/1000,(100*RTD("tos.rtd",,"OPEN_INT","."&amp;T$2&amp;T$1&amp;"C"&amp;$A43)*RTD("tos.rtd",,"DELTA","."&amp;T$2&amp;T$1&amp;"C"&amp;$A43)-100*RTD("tos.rtd",,"OPEN_INT","."&amp;T$2&amp;T$1&amp;"P"&amp;$A43)*RTD("tos.rtd",,"DELTA","."&amp;T$2&amp;T$1&amp;"P"&amp;$A43))/1000),0),IF($A$2="VEX",IFERROR(IF($X$1="ABS",($A$4*$A$4*RTD("tos.rtd",,"VOLUME","."&amp;T$2&amp;T$1&amp;"C"&amp;$A43)*RTD("tos.rtd",,"GAMMA","."&amp;T$2&amp;T$1&amp;"C"&amp;$A43)+$A$4*$A$4*RTD("tos.rtd",,"VOLUME","."&amp;T$2&amp;T$1&amp;"P"&amp;$A43)*RTD("tos.rtd",,"GAMMA","."&amp;T$2&amp;T$1&amp;"P"&amp;$A43))/1000000,($A$4*$A$4*RTD("tos.rtd",,"VOLUME","."&amp;T$2&amp;T$1&amp;"C"&amp;$A43)*RTD("tos.rtd",,"GAMMA","."&amp;T$2&amp;T$1&amp;"C"&amp;$A43)-$A$4*$A$4*RTD("tos.rtd",,"VOLUME","."&amp;T$2&amp;T$1&amp;"P"&amp;$A43)*RTD("tos.rtd",,"GAMMA","."&amp;T$2&amp;T$1&amp;"P"&amp;$A43))/1000000),0),IF($A$2="GEX",IFERROR(IF($X$1="ABS",($A$4*$A$4*RTD("tos.rtd",,"OPEN_INT","."&amp;T$2&amp;T$1&amp;"C"&amp;$A43)*RTD("tos.rtd",,"GAMMA","."&amp;T$2&amp;T$1&amp;"C"&amp;$A43)+$A$4*$A$4*RTD("tos.rtd",,"OPEN_INT","."&amp;T$2&amp;T$1&amp;"P"&amp;$A43)*RTD("tos.rtd",,"GAMMA","."&amp;T$2&amp;T$1&amp;"P"&amp;$A43))/1000000,($A$4*$A$4*RTD("tos.rtd",,"OPEN_INT","."&amp;T$2&amp;T$1&amp;"C"&amp;$A43)*RTD("tos.rtd",,"GAMMA","."&amp;T$2&amp;T$1&amp;"C"&amp;$A43)-$A$4*$A$4*RTD("tos.rtd",,"OPEN_INT","."&amp;T$2&amp;T$1&amp;"P"&amp;$A43)*RTD("tos.rtd",,"GAMMA","."&amp;T$2&amp;T$1&amp;"P"&amp;$A43))/1000000),0),IF($A$2="SKEW",IFERROR(VALUE(IF(RTD("tos.rtd",,"IMPL_VOL","."&amp;T$2&amp;T$1&amp;"P"&amp;$A43)="N/A",0,RTD("tos.rtd",,"IMPL_VOL","."&amp;T$2&amp;T$1&amp;"P"&amp;$A43))),0)-IFERROR(VALUE(IF(RTD("tos.rtd",,"IMPL_VOL","."&amp;T$2&amp;T$1&amp;"C"&amp;$A43)="N/A",0,RTD("tos.rtd",,"IMPL_VOL","."&amp;T$2&amp;T$1&amp;"C"&amp;$A43))),0),IF($A$2="MAXPAIN",IF($A$4&gt;$A43,($A$4-$A43)*IF(RTD("tos.rtd",,"OPEN_INT","."&amp;T$2&amp;T$1&amp;"C"&amp;$A43)="N/A",0,RTD("tos.rtd",,"OPEN_INT","."&amp;T$2&amp;T$1&amp;"C"&amp;$A43)),0)+IF($A$4&lt;$A43,($A$5-$A$4)*IF(RTD("tos.rtd",,"OPEN_INT","."&amp;T$2&amp;T$1&amp;"P"&amp;$A43)="N/A",0,RTD("tos.rtd",,"OPEN_INT","."&amp;T$2&amp;T$1&amp;"P"&amp;$A43)),0),IF($X$1="ABS",IF(RTD("tos.rtd",,$A$2,"."&amp;T$2&amp;T$1&amp;"C"&amp;$A43)="N/A",0,RTD("tos.rtd",,$A$2,"."&amp;T$2&amp;T$1&amp;"C"&amp;$A43))+IF(RTD("tos.rtd",,$A$2,"."&amp;T$2&amp;T$1&amp;"P"&amp;$A43)="N/A",0,RTD("tos.rtd",,$A$2,"."&amp;T$2&amp;T$1&amp;"P"&amp;$A43)),IF(RTD("tos.rtd",,$A$2,"."&amp;T$2&amp;T$1&amp;"C"&amp;$A43)="N/A",0,RTD("tos.rtd",,$A$2,"."&amp;T$2&amp;T$1&amp;"C"&amp;$A43))-IF(RTD("tos.rtd",,$A$2,"."&amp;T$2&amp;T$1&amp;"P"&amp;$A43)="N/A",0,RTD("tos.rtd",,$A$2,"."&amp;T$2&amp;T$1&amp;"P"&amp;$A43))))))))))</f>
        <v>0</v>
      </c>
      <c r="U43" s="12">
        <f ca="1">IF($A$2="PREMIUM_OI",IFERROR(IF($X$1="ABS",(100*RTD("tos.rtd",,"OPEN_INT","."&amp;U$2&amp;U$1&amp;"C"&amp;$A43)*RTD("tos.rtd",,"LAST","."&amp;U$2&amp;U$1&amp;"C"&amp;$A43)+100*RTD("tos.rtd",,"OPEN_INT","."&amp;U$2&amp;U$1&amp;"P"&amp;$A43)*RTD("tos.rtd",,"LAST","."&amp;U$2&amp;U$1&amp;"P"&amp;$A43))/1000000,(100*RTD("tos.rtd",,"OPEN_INT","."&amp;U$2&amp;U$1&amp;"C"&amp;$A43)*RTD("tos.rtd",,"LAST","."&amp;U$2&amp;U$1&amp;"C"&amp;$A43)-100*RTD("tos.rtd",,"OPEN_INT","."&amp;U$2&amp;U$1&amp;"P"&amp;$A43)*RTD("tos.rtd",,"LAST","."&amp;U$2&amp;U$1&amp;"P"&amp;$A43))/1000000),0),IF($A$2="PREMIUM",IFERROR(IF($X$1="ABS",(100*RTD("tos.rtd",,"VOLUME","."&amp;U$2&amp;U$1&amp;"C"&amp;$A43)*RTD("tos.rtd",,"LAST","."&amp;U$2&amp;U$1&amp;"C"&amp;$A43)+100*RTD("tos.rtd",,"VOLUME","."&amp;U$2&amp;U$1&amp;"P"&amp;$A43)*RTD("tos.rtd",,"LAST","."&amp;U$2&amp;U$1&amp;"P"&amp;$A43))/1000000,(100*RTD("tos.rtd",,"VOLUME","."&amp;U$2&amp;U$1&amp;"C"&amp;$A43)*RTD("tos.rtd",,"LAST","."&amp;U$2&amp;U$1&amp;"C"&amp;$A43)-100*RTD("tos.rtd",,"VOLUME","."&amp;U$2&amp;U$1&amp;"P"&amp;$A43)*RTD("tos.rtd",,"LAST","."&amp;U$2&amp;U$1&amp;"P"&amp;$A43))/1000000),0),IF($A$2="DEX",IFERROR(IF($X$1="ABS",(100*RTD("tos.rtd",,"OPEN_INT","."&amp;U$2&amp;U$1&amp;"C"&amp;$A43)*RTD("tos.rtd",,"DELTA","."&amp;U$2&amp;U$1&amp;"C"&amp;$A43)+100*RTD("tos.rtd",,"OPEN_INT","."&amp;U$2&amp;U$1&amp;"P"&amp;$A43)*RTD("tos.rtd",,"DELTA","."&amp;U$2&amp;U$1&amp;"P"&amp;$A43))/1000,(100*RTD("tos.rtd",,"OPEN_INT","."&amp;U$2&amp;U$1&amp;"C"&amp;$A43)*RTD("tos.rtd",,"DELTA","."&amp;U$2&amp;U$1&amp;"C"&amp;$A43)-100*RTD("tos.rtd",,"OPEN_INT","."&amp;U$2&amp;U$1&amp;"P"&amp;$A43)*RTD("tos.rtd",,"DELTA","."&amp;U$2&amp;U$1&amp;"P"&amp;$A43))/1000),0),IF($A$2="VEX",IFERROR(IF($X$1="ABS",($A$4*$A$4*RTD("tos.rtd",,"VOLUME","."&amp;U$2&amp;U$1&amp;"C"&amp;$A43)*RTD("tos.rtd",,"GAMMA","."&amp;U$2&amp;U$1&amp;"C"&amp;$A43)+$A$4*$A$4*RTD("tos.rtd",,"VOLUME","."&amp;U$2&amp;U$1&amp;"P"&amp;$A43)*RTD("tos.rtd",,"GAMMA","."&amp;U$2&amp;U$1&amp;"P"&amp;$A43))/1000000,($A$4*$A$4*RTD("tos.rtd",,"VOLUME","."&amp;U$2&amp;U$1&amp;"C"&amp;$A43)*RTD("tos.rtd",,"GAMMA","."&amp;U$2&amp;U$1&amp;"C"&amp;$A43)-$A$4*$A$4*RTD("tos.rtd",,"VOLUME","."&amp;U$2&amp;U$1&amp;"P"&amp;$A43)*RTD("tos.rtd",,"GAMMA","."&amp;U$2&amp;U$1&amp;"P"&amp;$A43))/1000000),0),IF($A$2="GEX",IFERROR(IF($X$1="ABS",($A$4*$A$4*RTD("tos.rtd",,"OPEN_INT","."&amp;U$2&amp;U$1&amp;"C"&amp;$A43)*RTD("tos.rtd",,"GAMMA","."&amp;U$2&amp;U$1&amp;"C"&amp;$A43)+$A$4*$A$4*RTD("tos.rtd",,"OPEN_INT","."&amp;U$2&amp;U$1&amp;"P"&amp;$A43)*RTD("tos.rtd",,"GAMMA","."&amp;U$2&amp;U$1&amp;"P"&amp;$A43))/1000000,($A$4*$A$4*RTD("tos.rtd",,"OPEN_INT","."&amp;U$2&amp;U$1&amp;"C"&amp;$A43)*RTD("tos.rtd",,"GAMMA","."&amp;U$2&amp;U$1&amp;"C"&amp;$A43)-$A$4*$A$4*RTD("tos.rtd",,"OPEN_INT","."&amp;U$2&amp;U$1&amp;"P"&amp;$A43)*RTD("tos.rtd",,"GAMMA","."&amp;U$2&amp;U$1&amp;"P"&amp;$A43))/1000000),0),IF($A$2="SKEW",IFERROR(VALUE(IF(RTD("tos.rtd",,"IMPL_VOL","."&amp;U$2&amp;U$1&amp;"P"&amp;$A43)="N/A",0,RTD("tos.rtd",,"IMPL_VOL","."&amp;U$2&amp;U$1&amp;"P"&amp;$A43))),0)-IFERROR(VALUE(IF(RTD("tos.rtd",,"IMPL_VOL","."&amp;U$2&amp;U$1&amp;"C"&amp;$A43)="N/A",0,RTD("tos.rtd",,"IMPL_VOL","."&amp;U$2&amp;U$1&amp;"C"&amp;$A43))),0),IF($A$2="MAXPAIN",IF($A$4&gt;$A43,($A$4-$A43)*IF(RTD("tos.rtd",,"OPEN_INT","."&amp;U$2&amp;U$1&amp;"C"&amp;$A43)="N/A",0,RTD("tos.rtd",,"OPEN_INT","."&amp;U$2&amp;U$1&amp;"C"&amp;$A43)),0)+IF($A$4&lt;$A43,($A$5-$A$4)*IF(RTD("tos.rtd",,"OPEN_INT","."&amp;U$2&amp;U$1&amp;"P"&amp;$A43)="N/A",0,RTD("tos.rtd",,"OPEN_INT","."&amp;U$2&amp;U$1&amp;"P"&amp;$A43)),0),IF($X$1="ABS",IF(RTD("tos.rtd",,$A$2,"."&amp;U$2&amp;U$1&amp;"C"&amp;$A43)="N/A",0,RTD("tos.rtd",,$A$2,"."&amp;U$2&amp;U$1&amp;"C"&amp;$A43))+IF(RTD("tos.rtd",,$A$2,"."&amp;U$2&amp;U$1&amp;"P"&amp;$A43)="N/A",0,RTD("tos.rtd",,$A$2,"."&amp;U$2&amp;U$1&amp;"P"&amp;$A43)),IF(RTD("tos.rtd",,$A$2,"."&amp;U$2&amp;U$1&amp;"C"&amp;$A43)="N/A",0,RTD("tos.rtd",,$A$2,"."&amp;U$2&amp;U$1&amp;"C"&amp;$A43))-IF(RTD("tos.rtd",,$A$2,"."&amp;U$2&amp;U$1&amp;"P"&amp;$A43)="N/A",0,RTD("tos.rtd",,$A$2,"."&amp;U$2&amp;U$1&amp;"P"&amp;$A43))))))))))</f>
        <v>0</v>
      </c>
      <c r="V43" s="12">
        <f ca="1">IF($A$2="PREMIUM_OI",IFERROR(IF($X$1="ABS",(100*RTD("tos.rtd",,"OPEN_INT","."&amp;V$2&amp;V$1&amp;"C"&amp;$A43)*RTD("tos.rtd",,"LAST","."&amp;V$2&amp;V$1&amp;"C"&amp;$A43)+100*RTD("tos.rtd",,"OPEN_INT","."&amp;V$2&amp;V$1&amp;"P"&amp;$A43)*RTD("tos.rtd",,"LAST","."&amp;V$2&amp;V$1&amp;"P"&amp;$A43))/1000000,(100*RTD("tos.rtd",,"OPEN_INT","."&amp;V$2&amp;V$1&amp;"C"&amp;$A43)*RTD("tos.rtd",,"LAST","."&amp;V$2&amp;V$1&amp;"C"&amp;$A43)-100*RTD("tos.rtd",,"OPEN_INT","."&amp;V$2&amp;V$1&amp;"P"&amp;$A43)*RTD("tos.rtd",,"LAST","."&amp;V$2&amp;V$1&amp;"P"&amp;$A43))/1000000),0),IF($A$2="PREMIUM",IFERROR(IF($X$1="ABS",(100*RTD("tos.rtd",,"VOLUME","."&amp;V$2&amp;V$1&amp;"C"&amp;$A43)*RTD("tos.rtd",,"LAST","."&amp;V$2&amp;V$1&amp;"C"&amp;$A43)+100*RTD("tos.rtd",,"VOLUME","."&amp;V$2&amp;V$1&amp;"P"&amp;$A43)*RTD("tos.rtd",,"LAST","."&amp;V$2&amp;V$1&amp;"P"&amp;$A43))/1000000,(100*RTD("tos.rtd",,"VOLUME","."&amp;V$2&amp;V$1&amp;"C"&amp;$A43)*RTD("tos.rtd",,"LAST","."&amp;V$2&amp;V$1&amp;"C"&amp;$A43)-100*RTD("tos.rtd",,"VOLUME","."&amp;V$2&amp;V$1&amp;"P"&amp;$A43)*RTD("tos.rtd",,"LAST","."&amp;V$2&amp;V$1&amp;"P"&amp;$A43))/1000000),0),IF($A$2="DEX",IFERROR(IF($X$1="ABS",(100*RTD("tos.rtd",,"OPEN_INT","."&amp;V$2&amp;V$1&amp;"C"&amp;$A43)*RTD("tos.rtd",,"DELTA","."&amp;V$2&amp;V$1&amp;"C"&amp;$A43)+100*RTD("tos.rtd",,"OPEN_INT","."&amp;V$2&amp;V$1&amp;"P"&amp;$A43)*RTD("tos.rtd",,"DELTA","."&amp;V$2&amp;V$1&amp;"P"&amp;$A43))/1000,(100*RTD("tos.rtd",,"OPEN_INT","."&amp;V$2&amp;V$1&amp;"C"&amp;$A43)*RTD("tos.rtd",,"DELTA","."&amp;V$2&amp;V$1&amp;"C"&amp;$A43)-100*RTD("tos.rtd",,"OPEN_INT","."&amp;V$2&amp;V$1&amp;"P"&amp;$A43)*RTD("tos.rtd",,"DELTA","."&amp;V$2&amp;V$1&amp;"P"&amp;$A43))/1000),0),IF($A$2="VEX",IFERROR(IF($X$1="ABS",($A$4*$A$4*RTD("tos.rtd",,"VOLUME","."&amp;V$2&amp;V$1&amp;"C"&amp;$A43)*RTD("tos.rtd",,"GAMMA","."&amp;V$2&amp;V$1&amp;"C"&amp;$A43)+$A$4*$A$4*RTD("tos.rtd",,"VOLUME","."&amp;V$2&amp;V$1&amp;"P"&amp;$A43)*RTD("tos.rtd",,"GAMMA","."&amp;V$2&amp;V$1&amp;"P"&amp;$A43))/1000000,($A$4*$A$4*RTD("tos.rtd",,"VOLUME","."&amp;V$2&amp;V$1&amp;"C"&amp;$A43)*RTD("tos.rtd",,"GAMMA","."&amp;V$2&amp;V$1&amp;"C"&amp;$A43)-$A$4*$A$4*RTD("tos.rtd",,"VOLUME","."&amp;V$2&amp;V$1&amp;"P"&amp;$A43)*RTD("tos.rtd",,"GAMMA","."&amp;V$2&amp;V$1&amp;"P"&amp;$A43))/1000000),0),IF($A$2="GEX",IFERROR(IF($X$1="ABS",($A$4*$A$4*RTD("tos.rtd",,"OPEN_INT","."&amp;V$2&amp;V$1&amp;"C"&amp;$A43)*RTD("tos.rtd",,"GAMMA","."&amp;V$2&amp;V$1&amp;"C"&amp;$A43)+$A$4*$A$4*RTD("tos.rtd",,"OPEN_INT","."&amp;V$2&amp;V$1&amp;"P"&amp;$A43)*RTD("tos.rtd",,"GAMMA","."&amp;V$2&amp;V$1&amp;"P"&amp;$A43))/1000000,($A$4*$A$4*RTD("tos.rtd",,"OPEN_INT","."&amp;V$2&amp;V$1&amp;"C"&amp;$A43)*RTD("tos.rtd",,"GAMMA","."&amp;V$2&amp;V$1&amp;"C"&amp;$A43)-$A$4*$A$4*RTD("tos.rtd",,"OPEN_INT","."&amp;V$2&amp;V$1&amp;"P"&amp;$A43)*RTD("tos.rtd",,"GAMMA","."&amp;V$2&amp;V$1&amp;"P"&amp;$A43))/1000000),0),IF($A$2="SKEW",IFERROR(VALUE(IF(RTD("tos.rtd",,"IMPL_VOL","."&amp;V$2&amp;V$1&amp;"P"&amp;$A43)="N/A",0,RTD("tos.rtd",,"IMPL_VOL","."&amp;V$2&amp;V$1&amp;"P"&amp;$A43))),0)-IFERROR(VALUE(IF(RTD("tos.rtd",,"IMPL_VOL","."&amp;V$2&amp;V$1&amp;"C"&amp;$A43)="N/A",0,RTD("tos.rtd",,"IMPL_VOL","."&amp;V$2&amp;V$1&amp;"C"&amp;$A43))),0),IF($A$2="MAXPAIN",IF($A$4&gt;$A43,($A$4-$A43)*IF(RTD("tos.rtd",,"OPEN_INT","."&amp;V$2&amp;V$1&amp;"C"&amp;$A43)="N/A",0,RTD("tos.rtd",,"OPEN_INT","."&amp;V$2&amp;V$1&amp;"C"&amp;$A43)),0)+IF($A$4&lt;$A43,($A$5-$A$4)*IF(RTD("tos.rtd",,"OPEN_INT","."&amp;V$2&amp;V$1&amp;"P"&amp;$A43)="N/A",0,RTD("tos.rtd",,"OPEN_INT","."&amp;V$2&amp;V$1&amp;"P"&amp;$A43)),0),IF($X$1="ABS",IF(RTD("tos.rtd",,$A$2,"."&amp;V$2&amp;V$1&amp;"C"&amp;$A43)="N/A",0,RTD("tos.rtd",,$A$2,"."&amp;V$2&amp;V$1&amp;"C"&amp;$A43))+IF(RTD("tos.rtd",,$A$2,"."&amp;V$2&amp;V$1&amp;"P"&amp;$A43)="N/A",0,RTD("tos.rtd",,$A$2,"."&amp;V$2&amp;V$1&amp;"P"&amp;$A43)),IF(RTD("tos.rtd",,$A$2,"."&amp;V$2&amp;V$1&amp;"C"&amp;$A43)="N/A",0,RTD("tos.rtd",,$A$2,"."&amp;V$2&amp;V$1&amp;"C"&amp;$A43))-IF(RTD("tos.rtd",,$A$2,"."&amp;V$2&amp;V$1&amp;"P"&amp;$A43)="N/A",0,RTD("tos.rtd",,$A$2,"."&amp;V$2&amp;V$1&amp;"P"&amp;$A43))))))))))</f>
        <v>0</v>
      </c>
      <c r="W43" s="54">
        <f ca="1">IF($A$2="PREMIUM_OI",IFERROR(IF($X$1="ABS",(100*RTD("tos.rtd",,"OPEN_INT","."&amp;W$2&amp;W$1&amp;"C"&amp;$A43)*RTD("tos.rtd",,"LAST","."&amp;W$2&amp;W$1&amp;"C"&amp;$A43)+100*RTD("tos.rtd",,"OPEN_INT","."&amp;W$2&amp;W$1&amp;"P"&amp;$A43)*RTD("tos.rtd",,"LAST","."&amp;W$2&amp;W$1&amp;"P"&amp;$A43))/1000000,(100*RTD("tos.rtd",,"OPEN_INT","."&amp;W$2&amp;W$1&amp;"C"&amp;$A43)*RTD("tos.rtd",,"LAST","."&amp;W$2&amp;W$1&amp;"C"&amp;$A43)-100*RTD("tos.rtd",,"OPEN_INT","."&amp;W$2&amp;W$1&amp;"P"&amp;$A43)*RTD("tos.rtd",,"LAST","."&amp;W$2&amp;W$1&amp;"P"&amp;$A43))/1000000),0),IF($A$2="PREMIUM",IFERROR(IF($X$1="ABS",(100*RTD("tos.rtd",,"VOLUME","."&amp;W$2&amp;W$1&amp;"C"&amp;$A43)*RTD("tos.rtd",,"LAST","."&amp;W$2&amp;W$1&amp;"C"&amp;$A43)+100*RTD("tos.rtd",,"VOLUME","."&amp;W$2&amp;W$1&amp;"P"&amp;$A43)*RTD("tos.rtd",,"LAST","."&amp;W$2&amp;W$1&amp;"P"&amp;$A43))/1000000,(100*RTD("tos.rtd",,"VOLUME","."&amp;W$2&amp;W$1&amp;"C"&amp;$A43)*RTD("tos.rtd",,"LAST","."&amp;W$2&amp;W$1&amp;"C"&amp;$A43)-100*RTD("tos.rtd",,"VOLUME","."&amp;W$2&amp;W$1&amp;"P"&amp;$A43)*RTD("tos.rtd",,"LAST","."&amp;W$2&amp;W$1&amp;"P"&amp;$A43))/1000000),0),IF($A$2="DEX",IFERROR(IF($X$1="ABS",(100*RTD("tos.rtd",,"OPEN_INT","."&amp;W$2&amp;W$1&amp;"C"&amp;$A43)*RTD("tos.rtd",,"DELTA","."&amp;W$2&amp;W$1&amp;"C"&amp;$A43)+100*RTD("tos.rtd",,"OPEN_INT","."&amp;W$2&amp;W$1&amp;"P"&amp;$A43)*RTD("tos.rtd",,"DELTA","."&amp;W$2&amp;W$1&amp;"P"&amp;$A43))/1000,(100*RTD("tos.rtd",,"OPEN_INT","."&amp;W$2&amp;W$1&amp;"C"&amp;$A43)*RTD("tos.rtd",,"DELTA","."&amp;W$2&amp;W$1&amp;"C"&amp;$A43)-100*RTD("tos.rtd",,"OPEN_INT","."&amp;W$2&amp;W$1&amp;"P"&amp;$A43)*RTD("tos.rtd",,"DELTA","."&amp;W$2&amp;W$1&amp;"P"&amp;$A43))/1000),0),IF($A$2="VEX",IFERROR(IF($X$1="ABS",($A$4*$A$4*RTD("tos.rtd",,"VOLUME","."&amp;W$2&amp;W$1&amp;"C"&amp;$A43)*RTD("tos.rtd",,"GAMMA","."&amp;W$2&amp;W$1&amp;"C"&amp;$A43)+$A$4*$A$4*RTD("tos.rtd",,"VOLUME","."&amp;W$2&amp;W$1&amp;"P"&amp;$A43)*RTD("tos.rtd",,"GAMMA","."&amp;W$2&amp;W$1&amp;"P"&amp;$A43))/1000000,($A$4*$A$4*RTD("tos.rtd",,"VOLUME","."&amp;W$2&amp;W$1&amp;"C"&amp;$A43)*RTD("tos.rtd",,"GAMMA","."&amp;W$2&amp;W$1&amp;"C"&amp;$A43)-$A$4*$A$4*RTD("tos.rtd",,"VOLUME","."&amp;W$2&amp;W$1&amp;"P"&amp;$A43)*RTD("tos.rtd",,"GAMMA","."&amp;W$2&amp;W$1&amp;"P"&amp;$A43))/1000000),0),IF($A$2="GEX",IFERROR(IF($X$1="ABS",($A$4*$A$4*RTD("tos.rtd",,"OPEN_INT","."&amp;W$2&amp;W$1&amp;"C"&amp;$A43)*RTD("tos.rtd",,"GAMMA","."&amp;W$2&amp;W$1&amp;"C"&amp;$A43)+$A$4*$A$4*RTD("tos.rtd",,"OPEN_INT","."&amp;W$2&amp;W$1&amp;"P"&amp;$A43)*RTD("tos.rtd",,"GAMMA","."&amp;W$2&amp;W$1&amp;"P"&amp;$A43))/1000000,($A$4*$A$4*RTD("tos.rtd",,"OPEN_INT","."&amp;W$2&amp;W$1&amp;"C"&amp;$A43)*RTD("tos.rtd",,"GAMMA","."&amp;W$2&amp;W$1&amp;"C"&amp;$A43)-$A$4*$A$4*RTD("tos.rtd",,"OPEN_INT","."&amp;W$2&amp;W$1&amp;"P"&amp;$A43)*RTD("tos.rtd",,"GAMMA","."&amp;W$2&amp;W$1&amp;"P"&amp;$A43))/1000000),0),IF($A$2="SKEW",IFERROR(VALUE(IF(RTD("tos.rtd",,"IMPL_VOL","."&amp;W$2&amp;W$1&amp;"P"&amp;$A43)="N/A",0,RTD("tos.rtd",,"IMPL_VOL","."&amp;W$2&amp;W$1&amp;"P"&amp;$A43))),0)-IFERROR(VALUE(IF(RTD("tos.rtd",,"IMPL_VOL","."&amp;W$2&amp;W$1&amp;"C"&amp;$A43)="N/A",0,RTD("tos.rtd",,"IMPL_VOL","."&amp;W$2&amp;W$1&amp;"C"&amp;$A43))),0),IF($A$2="MAXPAIN",IF($A$4&gt;$A43,($A$4-$A43)*IF(RTD("tos.rtd",,"OPEN_INT","."&amp;W$2&amp;W$1&amp;"C"&amp;$A43)="N/A",0,RTD("tos.rtd",,"OPEN_INT","."&amp;W$2&amp;W$1&amp;"C"&amp;$A43)),0)+IF($A$4&lt;$A43,($A$5-$A$4)*IF(RTD("tos.rtd",,"OPEN_INT","."&amp;W$2&amp;W$1&amp;"P"&amp;$A43)="N/A",0,RTD("tos.rtd",,"OPEN_INT","."&amp;W$2&amp;W$1&amp;"P"&amp;$A43)),0),IF($X$1="ABS",IF(RTD("tos.rtd",,$A$2,"."&amp;W$2&amp;W$1&amp;"C"&amp;$A43)="N/A",0,RTD("tos.rtd",,$A$2,"."&amp;W$2&amp;W$1&amp;"C"&amp;$A43))+IF(RTD("tos.rtd",,$A$2,"."&amp;W$2&amp;W$1&amp;"P"&amp;$A43)="N/A",0,RTD("tos.rtd",,$A$2,"."&amp;W$2&amp;W$1&amp;"P"&amp;$A43)),IF(RTD("tos.rtd",,$A$2,"."&amp;W$2&amp;W$1&amp;"C"&amp;$A43)="N/A",0,RTD("tos.rtd",,$A$2,"."&amp;W$2&amp;W$1&amp;"C"&amp;$A43))-IF(RTD("tos.rtd",,$A$2,"."&amp;W$2&amp;W$1&amp;"P"&amp;$A43)="N/A",0,RTD("tos.rtd",,$A$2,"."&amp;W$2&amp;W$1&amp;"P"&amp;$A43))))))))))</f>
        <v>0</v>
      </c>
      <c r="X43" s="57">
        <f t="shared" ca="1" si="8"/>
        <v>0</v>
      </c>
      <c r="Y43" s="27">
        <f t="shared" ca="1" si="9"/>
        <v>0</v>
      </c>
      <c r="Z43" s="27">
        <f ca="1">+'OI-VOL'!Y43</f>
        <v>-201</v>
      </c>
      <c r="AA43" s="27" t="b">
        <f t="shared" ca="1" si="10"/>
        <v>0</v>
      </c>
      <c r="AB43" s="27">
        <f t="shared" si="11"/>
        <v>33410200</v>
      </c>
      <c r="AC43" s="18">
        <f>MAX(0, $A43-AC$4)*IF(RTD("tos.rtd",,"OPEN_INT","."&amp;$AB$3&amp;$AB$4&amp;"C"&amp;AC$4)="N/A",0,RTD("tos.rtd",,"OPEN_INT","."&amp;$AB$3&amp;$AB$4&amp;"C"&amp;AC$4))*100 + MAX(0, AC$4-$A43)*IF(RTD("tos.rtd",,"OPEN_INT","."&amp;$AB$3&amp;$AB$4&amp;"P"&amp;AC$4)="N/A",0,RTD("tos.rtd",,"OPEN_INT","."&amp;$AB$3&amp;$AB$4&amp;"P"&amp;AC$4))*100</f>
        <v>0</v>
      </c>
      <c r="AD43" s="18">
        <f>MAX(0, $A43-AD$4)*IF(RTD("tos.rtd",,"OPEN_INT","."&amp;$AB$3&amp;$AB$4&amp;"C"&amp;AD$4)="N/A",0,RTD("tos.rtd",,"OPEN_INT","."&amp;$AB$3&amp;$AB$4&amp;"C"&amp;AD$4))*100 + MAX(0, AD$4-$A43)*IF(RTD("tos.rtd",,"OPEN_INT","."&amp;$AB$3&amp;$AB$4&amp;"P"&amp;AD$4)="N/A",0,RTD("tos.rtd",,"OPEN_INT","."&amp;$AB$3&amp;$AB$4&amp;"P"&amp;AD$4))*100</f>
        <v>0</v>
      </c>
      <c r="AE43" s="18">
        <f>MAX(0, $A43-AE$4)*IF(RTD("tos.rtd",,"OPEN_INT","."&amp;$AB$3&amp;$AB$4&amp;"C"&amp;AE$4)="N/A",0,RTD("tos.rtd",,"OPEN_INT","."&amp;$AB$3&amp;$AB$4&amp;"C"&amp;AE$4))*100 + MAX(0, AE$4-$A43)*IF(RTD("tos.rtd",,"OPEN_INT","."&amp;$AB$3&amp;$AB$4&amp;"P"&amp;AE$4)="N/A",0,RTD("tos.rtd",,"OPEN_INT","."&amp;$AB$3&amp;$AB$4&amp;"P"&amp;AE$4))*100</f>
        <v>0</v>
      </c>
      <c r="AF43" s="18">
        <f>MAX(0, $A43-AF$4)*IF(RTD("tos.rtd",,"OPEN_INT","."&amp;$AB$3&amp;$AB$4&amp;"C"&amp;AF$4)="N/A",0,RTD("tos.rtd",,"OPEN_INT","."&amp;$AB$3&amp;$AB$4&amp;"C"&amp;AF$4))*100 + MAX(0, AF$4-$A43)*IF(RTD("tos.rtd",,"OPEN_INT","."&amp;$AB$3&amp;$AB$4&amp;"P"&amp;AF$4)="N/A",0,RTD("tos.rtd",,"OPEN_INT","."&amp;$AB$3&amp;$AB$4&amp;"P"&amp;AF$4))*100</f>
        <v>0</v>
      </c>
      <c r="AG43" s="18">
        <f>MAX(0, $A43-AG$4)*IF(RTD("tos.rtd",,"OPEN_INT","."&amp;$AB$3&amp;$AB$4&amp;"C"&amp;AG$4)="N/A",0,RTD("tos.rtd",,"OPEN_INT","."&amp;$AB$3&amp;$AB$4&amp;"C"&amp;AG$4))*100 + MAX(0, AG$4-$A43)*IF(RTD("tos.rtd",,"OPEN_INT","."&amp;$AB$3&amp;$AB$4&amp;"P"&amp;AG$4)="N/A",0,RTD("tos.rtd",,"OPEN_INT","."&amp;$AB$3&amp;$AB$4&amp;"P"&amp;AG$4))*100</f>
        <v>0</v>
      </c>
      <c r="AH43" s="18">
        <f>MAX(0, $A43-AH$4)*IF(RTD("tos.rtd",,"OPEN_INT","."&amp;$AB$3&amp;$AB$4&amp;"C"&amp;AH$4)="N/A",0,RTD("tos.rtd",,"OPEN_INT","."&amp;$AB$3&amp;$AB$4&amp;"C"&amp;AH$4))*100 + MAX(0, AH$4-$A43)*IF(RTD("tos.rtd",,"OPEN_INT","."&amp;$AB$3&amp;$AB$4&amp;"P"&amp;AH$4)="N/A",0,RTD("tos.rtd",,"OPEN_INT","."&amp;$AB$3&amp;$AB$4&amp;"P"&amp;AH$4))*100</f>
        <v>0</v>
      </c>
      <c r="AI43" s="18">
        <f>MAX(0, $A43-AI$4)*IF(RTD("tos.rtd",,"OPEN_INT","."&amp;$AB$3&amp;$AB$4&amp;"C"&amp;AI$4)="N/A",0,RTD("tos.rtd",,"OPEN_INT","."&amp;$AB$3&amp;$AB$4&amp;"C"&amp;AI$4))*100 + MAX(0, AI$4-$A43)*IF(RTD("tos.rtd",,"OPEN_INT","."&amp;$AB$3&amp;$AB$4&amp;"P"&amp;AI$4)="N/A",0,RTD("tos.rtd",,"OPEN_INT","."&amp;$AB$3&amp;$AB$4&amp;"P"&amp;AI$4))*100</f>
        <v>0</v>
      </c>
      <c r="AJ43" s="18">
        <f>MAX(0, $A43-AJ$4)*IF(RTD("tos.rtd",,"OPEN_INT","."&amp;$AB$3&amp;$AB$4&amp;"C"&amp;AJ$4)="N/A",0,RTD("tos.rtd",,"OPEN_INT","."&amp;$AB$3&amp;$AB$4&amp;"C"&amp;AJ$4))*100 + MAX(0, AJ$4-$A43)*IF(RTD("tos.rtd",,"OPEN_INT","."&amp;$AB$3&amp;$AB$4&amp;"P"&amp;AJ$4)="N/A",0,RTD("tos.rtd",,"OPEN_INT","."&amp;$AB$3&amp;$AB$4&amp;"P"&amp;AJ$4))*100</f>
        <v>4650</v>
      </c>
      <c r="AK43" s="18">
        <f>MAX(0, $A43-AK$4)*IF(RTD("tos.rtd",,"OPEN_INT","."&amp;$AB$3&amp;$AB$4&amp;"C"&amp;AK$4)="N/A",0,RTD("tos.rtd",,"OPEN_INT","."&amp;$AB$3&amp;$AB$4&amp;"C"&amp;AK$4))*100 + MAX(0, AK$4-$A43)*IF(RTD("tos.rtd",,"OPEN_INT","."&amp;$AB$3&amp;$AB$4&amp;"P"&amp;AK$4)="N/A",0,RTD("tos.rtd",,"OPEN_INT","."&amp;$AB$3&amp;$AB$4&amp;"P"&amp;AK$4))*100</f>
        <v>12000</v>
      </c>
      <c r="AL43" s="18">
        <f>MAX(0, $A43-AL$4)*IF(RTD("tos.rtd",,"OPEN_INT","."&amp;$AB$3&amp;$AB$4&amp;"C"&amp;AL$4)="N/A",0,RTD("tos.rtd",,"OPEN_INT","."&amp;$AB$3&amp;$AB$4&amp;"C"&amp;AL$4))*100 + MAX(0, AL$4-$A43)*IF(RTD("tos.rtd",,"OPEN_INT","."&amp;$AB$3&amp;$AB$4&amp;"P"&amp;AL$4)="N/A",0,RTD("tos.rtd",,"OPEN_INT","."&amp;$AB$3&amp;$AB$4&amp;"P"&amp;AL$4))*100</f>
        <v>0</v>
      </c>
      <c r="AM43" s="18">
        <f>MAX(0, $A43-AM$4)*IF(RTD("tos.rtd",,"OPEN_INT","."&amp;$AB$3&amp;$AB$4&amp;"C"&amp;AM$4)="N/A",0,RTD("tos.rtd",,"OPEN_INT","."&amp;$AB$3&amp;$AB$4&amp;"C"&amp;AM$4))*100 + MAX(0, AM$4-$A43)*IF(RTD("tos.rtd",,"OPEN_INT","."&amp;$AB$3&amp;$AB$4&amp;"P"&amp;AM$4)="N/A",0,RTD("tos.rtd",,"OPEN_INT","."&amp;$AB$3&amp;$AB$4&amp;"P"&amp;AM$4))*100</f>
        <v>0</v>
      </c>
      <c r="AN43" s="18">
        <f>MAX(0, $A43-AN$4)*IF(RTD("tos.rtd",,"OPEN_INT","."&amp;$AB$3&amp;$AB$4&amp;"C"&amp;AN$4)="N/A",0,RTD("tos.rtd",,"OPEN_INT","."&amp;$AB$3&amp;$AB$4&amp;"C"&amp;AN$4))*100 + MAX(0, AN$4-$A43)*IF(RTD("tos.rtd",,"OPEN_INT","."&amp;$AB$3&amp;$AB$4&amp;"P"&amp;AN$4)="N/A",0,RTD("tos.rtd",,"OPEN_INT","."&amp;$AB$3&amp;$AB$4&amp;"P"&amp;AN$4))*100</f>
        <v>0</v>
      </c>
      <c r="AO43" s="18">
        <f>MAX(0, $A43-AO$4)*IF(RTD("tos.rtd",,"OPEN_INT","."&amp;$AB$3&amp;$AB$4&amp;"C"&amp;AO$4)="N/A",0,RTD("tos.rtd",,"OPEN_INT","."&amp;$AB$3&amp;$AB$4&amp;"C"&amp;AO$4))*100 + MAX(0, AO$4-$A43)*IF(RTD("tos.rtd",,"OPEN_INT","."&amp;$AB$3&amp;$AB$4&amp;"P"&amp;AO$4)="N/A",0,RTD("tos.rtd",,"OPEN_INT","."&amp;$AB$3&amp;$AB$4&amp;"P"&amp;AO$4))*100</f>
        <v>0</v>
      </c>
      <c r="AP43" s="18">
        <f>MAX(0, $A43-AP$4)*IF(RTD("tos.rtd",,"OPEN_INT","."&amp;$AB$3&amp;$AB$4&amp;"C"&amp;AP$4)="N/A",0,RTD("tos.rtd",,"OPEN_INT","."&amp;$AB$3&amp;$AB$4&amp;"C"&amp;AP$4))*100 + MAX(0, AP$4-$A43)*IF(RTD("tos.rtd",,"OPEN_INT","."&amp;$AB$3&amp;$AB$4&amp;"P"&amp;AP$4)="N/A",0,RTD("tos.rtd",,"OPEN_INT","."&amp;$AB$3&amp;$AB$4&amp;"P"&amp;AP$4))*100</f>
        <v>150000</v>
      </c>
      <c r="AQ43" s="18">
        <f>MAX(0, $A43-AQ$4)*IF(RTD("tos.rtd",,"OPEN_INT","."&amp;$AB$3&amp;$AB$4&amp;"C"&amp;AQ$4)="N/A",0,RTD("tos.rtd",,"OPEN_INT","."&amp;$AB$3&amp;$AB$4&amp;"C"&amp;AQ$4))*100 + MAX(0, AQ$4-$A43)*IF(RTD("tos.rtd",,"OPEN_INT","."&amp;$AB$3&amp;$AB$4&amp;"P"&amp;AQ$4)="N/A",0,RTD("tos.rtd",,"OPEN_INT","."&amp;$AB$3&amp;$AB$4&amp;"P"&amp;AQ$4))*100</f>
        <v>0</v>
      </c>
      <c r="AR43" s="18">
        <f>MAX(0, $A43-AR$4)*IF(RTD("tos.rtd",,"OPEN_INT","."&amp;$AB$3&amp;$AB$4&amp;"C"&amp;AR$4)="N/A",0,RTD("tos.rtd",,"OPEN_INT","."&amp;$AB$3&amp;$AB$4&amp;"C"&amp;AR$4))*100 + MAX(0, AR$4-$A43)*IF(RTD("tos.rtd",,"OPEN_INT","."&amp;$AB$3&amp;$AB$4&amp;"P"&amp;AR$4)="N/A",0,RTD("tos.rtd",,"OPEN_INT","."&amp;$AB$3&amp;$AB$4&amp;"P"&amp;AR$4))*100</f>
        <v>60950</v>
      </c>
      <c r="AS43" s="18">
        <f>MAX(0, $A43-AS$4)*IF(RTD("tos.rtd",,"OPEN_INT","."&amp;$AB$3&amp;$AB$4&amp;"C"&amp;AS$4)="N/A",0,RTD("tos.rtd",,"OPEN_INT","."&amp;$AB$3&amp;$AB$4&amp;"C"&amp;AS$4))*100 + MAX(0, AS$4-$A43)*IF(RTD("tos.rtd",,"OPEN_INT","."&amp;$AB$3&amp;$AB$4&amp;"P"&amp;AS$4)="N/A",0,RTD("tos.rtd",,"OPEN_INT","."&amp;$AB$3&amp;$AB$4&amp;"P"&amp;AS$4))*100</f>
        <v>6600</v>
      </c>
      <c r="AT43" s="18">
        <f>MAX(0, $A43-AT$4)*IF(RTD("tos.rtd",,"OPEN_INT","."&amp;$AB$3&amp;$AB$4&amp;"C"&amp;AT$4)="N/A",0,RTD("tos.rtd",,"OPEN_INT","."&amp;$AB$3&amp;$AB$4&amp;"C"&amp;AT$4))*100 + MAX(0, AT$4-$A43)*IF(RTD("tos.rtd",,"OPEN_INT","."&amp;$AB$3&amp;$AB$4&amp;"P"&amp;AT$4)="N/A",0,RTD("tos.rtd",,"OPEN_INT","."&amp;$AB$3&amp;$AB$4&amp;"P"&amp;AT$4))*100</f>
        <v>65100</v>
      </c>
      <c r="AU43" s="18">
        <f>MAX(0, $A43-AU$4)*IF(RTD("tos.rtd",,"OPEN_INT","."&amp;$AB$3&amp;$AB$4&amp;"C"&amp;AU$4)="N/A",0,RTD("tos.rtd",,"OPEN_INT","."&amp;$AB$3&amp;$AB$4&amp;"C"&amp;AU$4))*100 + MAX(0, AU$4-$A43)*IF(RTD("tos.rtd",,"OPEN_INT","."&amp;$AB$3&amp;$AB$4&amp;"P"&amp;AU$4)="N/A",0,RTD("tos.rtd",,"OPEN_INT","."&amp;$AB$3&amp;$AB$4&amp;"P"&amp;AU$4))*100</f>
        <v>70000</v>
      </c>
      <c r="AV43" s="18">
        <f>MAX(0, $A43-AV$4)*IF(RTD("tos.rtd",,"OPEN_INT","."&amp;$AB$3&amp;$AB$4&amp;"C"&amp;AV$4)="N/A",0,RTD("tos.rtd",,"OPEN_INT","."&amp;$AB$3&amp;$AB$4&amp;"C"&amp;AV$4))*100 + MAX(0, AV$4-$A43)*IF(RTD("tos.rtd",,"OPEN_INT","."&amp;$AB$3&amp;$AB$4&amp;"P"&amp;AV$4)="N/A",0,RTD("tos.rtd",,"OPEN_INT","."&amp;$AB$3&amp;$AB$4&amp;"P"&amp;AV$4))*100</f>
        <v>38000</v>
      </c>
      <c r="AW43" s="18">
        <f>MAX(0, $A43-AW$4)*IF(RTD("tos.rtd",,"OPEN_INT","."&amp;$AB$3&amp;$AB$4&amp;"C"&amp;AW$4)="N/A",0,RTD("tos.rtd",,"OPEN_INT","."&amp;$AB$3&amp;$AB$4&amp;"C"&amp;AW$4))*100 + MAX(0, AW$4-$A43)*IF(RTD("tos.rtd",,"OPEN_INT","."&amp;$AB$3&amp;$AB$4&amp;"P"&amp;AW$4)="N/A",0,RTD("tos.rtd",,"OPEN_INT","."&amp;$AB$3&amp;$AB$4&amp;"P"&amp;AW$4))*100</f>
        <v>144900</v>
      </c>
      <c r="AX43" s="18">
        <f>MAX(0, $A43-AX$4)*IF(RTD("tos.rtd",,"OPEN_INT","."&amp;$AB$3&amp;$AB$4&amp;"C"&amp;AX$4)="N/A",0,RTD("tos.rtd",,"OPEN_INT","."&amp;$AB$3&amp;$AB$4&amp;"C"&amp;AX$4))*100 + MAX(0, AX$4-$A43)*IF(RTD("tos.rtd",,"OPEN_INT","."&amp;$AB$3&amp;$AB$4&amp;"P"&amp;AX$4)="N/A",0,RTD("tos.rtd",,"OPEN_INT","."&amp;$AB$3&amp;$AB$4&amp;"P"&amp;AX$4))*100</f>
        <v>171700</v>
      </c>
      <c r="AY43" s="18">
        <f>MAX(0, $A43-AY$4)*IF(RTD("tos.rtd",,"OPEN_INT","."&amp;$AB$3&amp;$AB$4&amp;"C"&amp;AY$4)="N/A",0,RTD("tos.rtd",,"OPEN_INT","."&amp;$AB$3&amp;$AB$4&amp;"C"&amp;AY$4))*100 + MAX(0, AY$4-$A43)*IF(RTD("tos.rtd",,"OPEN_INT","."&amp;$AB$3&amp;$AB$4&amp;"P"&amp;AY$4)="N/A",0,RTD("tos.rtd",,"OPEN_INT","."&amp;$AB$3&amp;$AB$4&amp;"P"&amp;AY$4))*100</f>
        <v>197600</v>
      </c>
      <c r="AZ43" s="18">
        <f>MAX(0, $A43-AZ$4)*IF(RTD("tos.rtd",,"OPEN_INT","."&amp;$AB$3&amp;$AB$4&amp;"C"&amp;AZ$4)="N/A",0,RTD("tos.rtd",,"OPEN_INT","."&amp;$AB$3&amp;$AB$4&amp;"C"&amp;AZ$4))*100 + MAX(0, AZ$4-$A43)*IF(RTD("tos.rtd",,"OPEN_INT","."&amp;$AB$3&amp;$AB$4&amp;"P"&amp;AZ$4)="N/A",0,RTD("tos.rtd",,"OPEN_INT","."&amp;$AB$3&amp;$AB$4&amp;"P"&amp;AZ$4))*100</f>
        <v>1555500</v>
      </c>
      <c r="BA43" s="18">
        <f>MAX(0, $A43-BA$4)*IF(RTD("tos.rtd",,"OPEN_INT","."&amp;$AB$3&amp;$AB$4&amp;"C"&amp;BA$4)="N/A",0,RTD("tos.rtd",,"OPEN_INT","."&amp;$AB$3&amp;$AB$4&amp;"C"&amp;BA$4))*100 + MAX(0, BA$4-$A43)*IF(RTD("tos.rtd",,"OPEN_INT","."&amp;$AB$3&amp;$AB$4&amp;"P"&amp;BA$4)="N/A",0,RTD("tos.rtd",,"OPEN_INT","."&amp;$AB$3&amp;$AB$4&amp;"P"&amp;BA$4))*100</f>
        <v>397600</v>
      </c>
      <c r="BB43" s="18">
        <f>MAX(0, $A43-BB$4)*IF(RTD("tos.rtd",,"OPEN_INT","."&amp;$AB$3&amp;$AB$4&amp;"C"&amp;BB$4)="N/A",0,RTD("tos.rtd",,"OPEN_INT","."&amp;$AB$3&amp;$AB$4&amp;"C"&amp;BB$4))*100 + MAX(0, BB$4-$A43)*IF(RTD("tos.rtd",,"OPEN_INT","."&amp;$AB$3&amp;$AB$4&amp;"P"&amp;BB$4)="N/A",0,RTD("tos.rtd",,"OPEN_INT","."&amp;$AB$3&amp;$AB$4&amp;"P"&amp;BB$4))*100</f>
        <v>1521000</v>
      </c>
      <c r="BC43" s="18">
        <f>MAX(0, $A43-BC$4)*IF(RTD("tos.rtd",,"OPEN_INT","."&amp;$AB$3&amp;$AB$4&amp;"C"&amp;BC$4)="N/A",0,RTD("tos.rtd",,"OPEN_INT","."&amp;$AB$3&amp;$AB$4&amp;"C"&amp;BC$4))*100 + MAX(0, BC$4-$A43)*IF(RTD("tos.rtd",,"OPEN_INT","."&amp;$AB$3&amp;$AB$4&amp;"P"&amp;BC$4)="N/A",0,RTD("tos.rtd",,"OPEN_INT","."&amp;$AB$3&amp;$AB$4&amp;"P"&amp;BC$4))*100</f>
        <v>1370400</v>
      </c>
      <c r="BD43" s="18">
        <f>MAX(0, $A43-BD$4)*IF(RTD("tos.rtd",,"OPEN_INT","."&amp;$AB$3&amp;$AB$4&amp;"C"&amp;BD$4)="N/A",0,RTD("tos.rtd",,"OPEN_INT","."&amp;$AB$3&amp;$AB$4&amp;"C"&amp;BD$4))*100 + MAX(0, BD$4-$A43)*IF(RTD("tos.rtd",,"OPEN_INT","."&amp;$AB$3&amp;$AB$4&amp;"P"&amp;BD$4)="N/A",0,RTD("tos.rtd",,"OPEN_INT","."&amp;$AB$3&amp;$AB$4&amp;"P"&amp;BD$4))*100</f>
        <v>4208050</v>
      </c>
      <c r="BE43" s="18">
        <f>MAX(0, $A43-BE$4)*IF(RTD("tos.rtd",,"OPEN_INT","."&amp;$AB$3&amp;$AB$4&amp;"C"&amp;BE$4)="N/A",0,RTD("tos.rtd",,"OPEN_INT","."&amp;$AB$3&amp;$AB$4&amp;"C"&amp;BE$4))*100 + MAX(0, BE$4-$A43)*IF(RTD("tos.rtd",,"OPEN_INT","."&amp;$AB$3&amp;$AB$4&amp;"P"&amp;BE$4)="N/A",0,RTD("tos.rtd",,"OPEN_INT","."&amp;$AB$3&amp;$AB$4&amp;"P"&amp;BE$4))*100</f>
        <v>4910500</v>
      </c>
      <c r="BF43" s="18">
        <f>MAX(0, $A43-BF$4)*IF(RTD("tos.rtd",,"OPEN_INT","."&amp;$AB$3&amp;$AB$4&amp;"C"&amp;BF$4)="N/A",0,RTD("tos.rtd",,"OPEN_INT","."&amp;$AB$3&amp;$AB$4&amp;"C"&amp;BF$4))*100 + MAX(0, BF$4-$A43)*IF(RTD("tos.rtd",,"OPEN_INT","."&amp;$AB$3&amp;$AB$4&amp;"P"&amp;BF$4)="N/A",0,RTD("tos.rtd",,"OPEN_INT","."&amp;$AB$3&amp;$AB$4&amp;"P"&amp;BF$4))*100</f>
        <v>5002200</v>
      </c>
      <c r="BG43" s="18">
        <f>MAX(0, $A43-BG$4)*IF(RTD("tos.rtd",,"OPEN_INT","."&amp;$AB$3&amp;$AB$4&amp;"C"&amp;BG$4)="N/A",0,RTD("tos.rtd",,"OPEN_INT","."&amp;$AB$3&amp;$AB$4&amp;"C"&amp;BG$4))*100 + MAX(0, BG$4-$A43)*IF(RTD("tos.rtd",,"OPEN_INT","."&amp;$AB$3&amp;$AB$4&amp;"P"&amp;BG$4)="N/A",0,RTD("tos.rtd",,"OPEN_INT","."&amp;$AB$3&amp;$AB$4&amp;"P"&amp;BG$4))*100</f>
        <v>5563600</v>
      </c>
      <c r="BH43" s="18">
        <f>MAX(0, $A43-BH$4)*IF(RTD("tos.rtd",,"OPEN_INT","."&amp;$AB$3&amp;$AB$4&amp;"C"&amp;BH$4)="N/A",0,RTD("tos.rtd",,"OPEN_INT","."&amp;$AB$3&amp;$AB$4&amp;"C"&amp;BH$4))*100 + MAX(0, BH$4-$A43)*IF(RTD("tos.rtd",,"OPEN_INT","."&amp;$AB$3&amp;$AB$4&amp;"P"&amp;BH$4)="N/A",0,RTD("tos.rtd",,"OPEN_INT","."&amp;$AB$3&amp;$AB$4&amp;"P"&amp;BH$4))*100</f>
        <v>3176250</v>
      </c>
      <c r="BI43" s="18">
        <f>MAX(0, $A43-BI$4)*IF(RTD("tos.rtd",,"OPEN_INT","."&amp;$AB$3&amp;$AB$4&amp;"C"&amp;BI$4)="N/A",0,RTD("tos.rtd",,"OPEN_INT","."&amp;$AB$3&amp;$AB$4&amp;"C"&amp;BI$4))*100 + MAX(0, BI$4-$A43)*IF(RTD("tos.rtd",,"OPEN_INT","."&amp;$AB$3&amp;$AB$4&amp;"P"&amp;BI$4)="N/A",0,RTD("tos.rtd",,"OPEN_INT","."&amp;$AB$3&amp;$AB$4&amp;"P"&amp;BI$4))*100</f>
        <v>1926900</v>
      </c>
      <c r="BJ43" s="18">
        <f>MAX(0, $A43-BJ$4)*IF(RTD("tos.rtd",,"OPEN_INT","."&amp;$AB$3&amp;$AB$4&amp;"C"&amp;BJ$4)="N/A",0,RTD("tos.rtd",,"OPEN_INT","."&amp;$AB$3&amp;$AB$4&amp;"C"&amp;BJ$4))*100 + MAX(0, BJ$4-$A43)*IF(RTD("tos.rtd",,"OPEN_INT","."&amp;$AB$3&amp;$AB$4&amp;"P"&amp;BJ$4)="N/A",0,RTD("tos.rtd",,"OPEN_INT","."&amp;$AB$3&amp;$AB$4&amp;"P"&amp;BJ$4))*100</f>
        <v>2006250</v>
      </c>
      <c r="BK43" s="18">
        <f>MAX(0, $A43-BK$4)*IF(RTD("tos.rtd",,"OPEN_INT","."&amp;$AB$3&amp;$AB$4&amp;"C"&amp;BK$4)="N/A",0,RTD("tos.rtd",,"OPEN_INT","."&amp;$AB$3&amp;$AB$4&amp;"C"&amp;BK$4))*100 + MAX(0, BK$4-$A43)*IF(RTD("tos.rtd",,"OPEN_INT","."&amp;$AB$3&amp;$AB$4&amp;"P"&amp;BK$4)="N/A",0,RTD("tos.rtd",,"OPEN_INT","."&amp;$AB$3&amp;$AB$4&amp;"P"&amp;BK$4))*100</f>
        <v>436600</v>
      </c>
      <c r="BL43" s="18">
        <f>MAX(0, $A43-BL$4)*IF(RTD("tos.rtd",,"OPEN_INT","."&amp;$AB$3&amp;$AB$4&amp;"C"&amp;BL$4)="N/A",0,RTD("tos.rtd",,"OPEN_INT","."&amp;$AB$3&amp;$AB$4&amp;"C"&amp;BL$4))*100 + MAX(0, BL$4-$A43)*IF(RTD("tos.rtd",,"OPEN_INT","."&amp;$AB$3&amp;$AB$4&amp;"P"&amp;BL$4)="N/A",0,RTD("tos.rtd",,"OPEN_INT","."&amp;$AB$3&amp;$AB$4&amp;"P"&amp;BL$4))*100</f>
        <v>351000</v>
      </c>
      <c r="BM43" s="18">
        <f>MAX(0, $A43-BM$4)*IF(RTD("tos.rtd",,"OPEN_INT","."&amp;$AB$3&amp;$AB$4&amp;"C"&amp;BM$4)="N/A",0,RTD("tos.rtd",,"OPEN_INT","."&amp;$AB$3&amp;$AB$4&amp;"C"&amp;BM$4))*100 + MAX(0, BM$4-$A43)*IF(RTD("tos.rtd",,"OPEN_INT","."&amp;$AB$3&amp;$AB$4&amp;"P"&amp;BM$4)="N/A",0,RTD("tos.rtd",,"OPEN_INT","."&amp;$AB$3&amp;$AB$4&amp;"P"&amp;BM$4))*100</f>
        <v>39200</v>
      </c>
      <c r="BN43" s="18">
        <f>MAX(0, $A43-BN$4)*IF(RTD("tos.rtd",,"OPEN_INT","."&amp;$AB$3&amp;$AB$4&amp;"C"&amp;BN$4)="N/A",0,RTD("tos.rtd",,"OPEN_INT","."&amp;$AB$3&amp;$AB$4&amp;"C"&amp;BN$4))*100 + MAX(0, BN$4-$A43)*IF(RTD("tos.rtd",,"OPEN_INT","."&amp;$AB$3&amp;$AB$4&amp;"P"&amp;BN$4)="N/A",0,RTD("tos.rtd",,"OPEN_INT","."&amp;$AB$3&amp;$AB$4&amp;"P"&amp;BN$4))*100</f>
        <v>21750</v>
      </c>
      <c r="BO43" s="18">
        <f>MAX(0, $A43-BO$4)*IF(RTD("tos.rtd",,"OPEN_INT","."&amp;$AB$3&amp;$AB$4&amp;"C"&amp;BO$4)="N/A",0,RTD("tos.rtd",,"OPEN_INT","."&amp;$AB$3&amp;$AB$4&amp;"C"&amp;BO$4))*100 + MAX(0, BO$4-$A43)*IF(RTD("tos.rtd",,"OPEN_INT","."&amp;$AB$3&amp;$AB$4&amp;"P"&amp;BO$4)="N/A",0,RTD("tos.rtd",,"OPEN_INT","."&amp;$AB$3&amp;$AB$4&amp;"P"&amp;BO$4))*100</f>
        <v>0</v>
      </c>
      <c r="BP43" s="18">
        <f>MAX(0, $A43-BP$4)*IF(RTD("tos.rtd",,"OPEN_INT","."&amp;$AB$3&amp;$AB$4&amp;"C"&amp;BP$4)="N/A",0,RTD("tos.rtd",,"OPEN_INT","."&amp;$AB$3&amp;$AB$4&amp;"C"&amp;BP$4))*100 + MAX(0, BP$4-$A43)*IF(RTD("tos.rtd",,"OPEN_INT","."&amp;$AB$3&amp;$AB$4&amp;"P"&amp;BP$4)="N/A",0,RTD("tos.rtd",,"OPEN_INT","."&amp;$AB$3&amp;$AB$4&amp;"P"&amp;BP$4))*100</f>
        <v>1900</v>
      </c>
      <c r="BQ43" s="18">
        <f>MAX(0, $A43-BQ$4)*IF(RTD("tos.rtd",,"OPEN_INT","."&amp;$AB$3&amp;$AB$4&amp;"C"&amp;BQ$4)="N/A",0,RTD("tos.rtd",,"OPEN_INT","."&amp;$AB$3&amp;$AB$4&amp;"C"&amp;BQ$4))*100 + MAX(0, BQ$4-$A43)*IF(RTD("tos.rtd",,"OPEN_INT","."&amp;$AB$3&amp;$AB$4&amp;"P"&amp;BQ$4)="N/A",0,RTD("tos.rtd",,"OPEN_INT","."&amp;$AB$3&amp;$AB$4&amp;"P"&amp;BQ$4))*100</f>
        <v>0</v>
      </c>
      <c r="BR43" s="18">
        <f>MAX(0, $A43-BR$4)*IF(RTD("tos.rtd",,"OPEN_INT","."&amp;$AB$3&amp;$AB$4&amp;"C"&amp;BR$4)="N/A",0,RTD("tos.rtd",,"OPEN_INT","."&amp;$AB$3&amp;$AB$4&amp;"C"&amp;BR$4))*100 + MAX(0, BR$4-$A43)*IF(RTD("tos.rtd",,"OPEN_INT","."&amp;$AB$3&amp;$AB$4&amp;"P"&amp;BR$4)="N/A",0,RTD("tos.rtd",,"OPEN_INT","."&amp;$AB$3&amp;$AB$4&amp;"P"&amp;BR$4))*100</f>
        <v>0</v>
      </c>
      <c r="BS43" s="18">
        <f>MAX(0, $A43-BS$4)*IF(RTD("tos.rtd",,"OPEN_INT","."&amp;$AB$3&amp;$AB$4&amp;"C"&amp;BS$4)="N/A",0,RTD("tos.rtd",,"OPEN_INT","."&amp;$AB$3&amp;$AB$4&amp;"C"&amp;BS$4))*100 + MAX(0, BS$4-$A43)*IF(RTD("tos.rtd",,"OPEN_INT","."&amp;$AB$3&amp;$AB$4&amp;"P"&amp;BS$4)="N/A",0,RTD("tos.rtd",,"OPEN_INT","."&amp;$AB$3&amp;$AB$4&amp;"P"&amp;BS$4))*100</f>
        <v>0</v>
      </c>
      <c r="BT43" s="18">
        <f>MAX(0, $A43-BT$4)*IF(RTD("tos.rtd",,"OPEN_INT","."&amp;$AB$3&amp;$AB$4&amp;"C"&amp;BT$4)="N/A",0,RTD("tos.rtd",,"OPEN_INT","."&amp;$AB$3&amp;$AB$4&amp;"C"&amp;BT$4))*100 + MAX(0, BT$4-$A43)*IF(RTD("tos.rtd",,"OPEN_INT","."&amp;$AB$3&amp;$AB$4&amp;"P"&amp;BT$4)="N/A",0,RTD("tos.rtd",,"OPEN_INT","."&amp;$AB$3&amp;$AB$4&amp;"P"&amp;BT$4))*100</f>
        <v>0</v>
      </c>
      <c r="BU43" s="18">
        <f>MAX(0, $A43-BU$4)*IF(RTD("tos.rtd",,"OPEN_INT","."&amp;$AB$3&amp;$AB$4&amp;"C"&amp;BU$4)="N/A",0,RTD("tos.rtd",,"OPEN_INT","."&amp;$AB$3&amp;$AB$4&amp;"C"&amp;BU$4))*100 + MAX(0, BU$4-$A43)*IF(RTD("tos.rtd",,"OPEN_INT","."&amp;$AB$3&amp;$AB$4&amp;"P"&amp;BU$4)="N/A",0,RTD("tos.rtd",,"OPEN_INT","."&amp;$AB$3&amp;$AB$4&amp;"P"&amp;BU$4))*100</f>
        <v>0</v>
      </c>
      <c r="BV43" s="18">
        <f>MAX(0, $A43-BV$4)*IF(RTD("tos.rtd",,"OPEN_INT","."&amp;$AB$3&amp;$AB$4&amp;"C"&amp;BV$4)="N/A",0,RTD("tos.rtd",,"OPEN_INT","."&amp;$AB$3&amp;$AB$4&amp;"C"&amp;BV$4))*100 + MAX(0, BV$4-$A43)*IF(RTD("tos.rtd",,"OPEN_INT","."&amp;$AB$3&amp;$AB$4&amp;"P"&amp;BV$4)="N/A",0,RTD("tos.rtd",,"OPEN_INT","."&amp;$AB$3&amp;$AB$4&amp;"P"&amp;BV$4))*100</f>
        <v>0</v>
      </c>
      <c r="BW43" s="18">
        <f>MAX(0, $A43-BW$4)*IF(RTD("tos.rtd",,"OPEN_INT","."&amp;$AB$3&amp;$AB$4&amp;"C"&amp;BW$4)="N/A",0,RTD("tos.rtd",,"OPEN_INT","."&amp;$AB$3&amp;$AB$4&amp;"C"&amp;BW$4))*100 + MAX(0, BW$4-$A43)*IF(RTD("tos.rtd",,"OPEN_INT","."&amp;$AB$3&amp;$AB$4&amp;"P"&amp;BW$4)="N/A",0,RTD("tos.rtd",,"OPEN_INT","."&amp;$AB$3&amp;$AB$4&amp;"P"&amp;BW$4))*100</f>
        <v>0</v>
      </c>
    </row>
    <row r="44" spans="1:75" s="19" customFormat="1" ht="11.1" customHeight="1" thickBot="1" x14ac:dyDescent="0.3">
      <c r="A44" s="23">
        <f t="shared" si="12"/>
        <v>2</v>
      </c>
      <c r="B44" s="14">
        <f ca="1">IF($A$2="PREMIUM_OI",IFERROR(IF($X$1="ABS",(100*RTD("tos.rtd",,"OPEN_INT","."&amp;B$2&amp;B$1&amp;"C"&amp;$A44)*RTD("tos.rtd",,"LAST","."&amp;B$2&amp;B$1&amp;"C"&amp;$A44)+100*RTD("tos.rtd",,"OPEN_INT","."&amp;B$2&amp;B$1&amp;"P"&amp;$A44)*RTD("tos.rtd",,"LAST","."&amp;B$2&amp;B$1&amp;"P"&amp;$A44))/1000000,(100*RTD("tos.rtd",,"OPEN_INT","."&amp;B$2&amp;B$1&amp;"C"&amp;$A44)*RTD("tos.rtd",,"LAST","."&amp;B$2&amp;B$1&amp;"C"&amp;$A44)-100*RTD("tos.rtd",,"OPEN_INT","."&amp;B$2&amp;B$1&amp;"P"&amp;$A44)*RTD("tos.rtd",,"LAST","."&amp;B$2&amp;B$1&amp;"P"&amp;$A44))/1000000),0),IF($A$2="PREMIUM",IFERROR(IF($X$1="ABS",(100*RTD("tos.rtd",,"VOLUME","."&amp;B$2&amp;B$1&amp;"C"&amp;$A44)*RTD("tos.rtd",,"LAST","."&amp;B$2&amp;B$1&amp;"C"&amp;$A44)+100*RTD("tos.rtd",,"VOLUME","."&amp;B$2&amp;B$1&amp;"P"&amp;$A44)*RTD("tos.rtd",,"LAST","."&amp;B$2&amp;B$1&amp;"P"&amp;$A44))/1000000,(100*RTD("tos.rtd",,"VOLUME","."&amp;B$2&amp;B$1&amp;"C"&amp;$A44)*RTD("tos.rtd",,"LAST","."&amp;B$2&amp;B$1&amp;"C"&amp;$A44)-100*RTD("tos.rtd",,"VOLUME","."&amp;B$2&amp;B$1&amp;"P"&amp;$A44)*RTD("tos.rtd",,"LAST","."&amp;B$2&amp;B$1&amp;"P"&amp;$A44))/1000000),0),IF($A$2="DEX",IFERROR(IF($X$1="ABS",(100*RTD("tos.rtd",,"OPEN_INT","."&amp;B$2&amp;B$1&amp;"C"&amp;$A44)*RTD("tos.rtd",,"DELTA","."&amp;B$2&amp;B$1&amp;"C"&amp;$A44)+100*RTD("tos.rtd",,"OPEN_INT","."&amp;B$2&amp;B$1&amp;"P"&amp;$A44)*RTD("tos.rtd",,"DELTA","."&amp;B$2&amp;B$1&amp;"P"&amp;$A44))/1000,(100*RTD("tos.rtd",,"OPEN_INT","."&amp;B$2&amp;B$1&amp;"C"&amp;$A44)*RTD("tos.rtd",,"DELTA","."&amp;B$2&amp;B$1&amp;"C"&amp;$A44)-100*RTD("tos.rtd",,"OPEN_INT","."&amp;B$2&amp;B$1&amp;"P"&amp;$A44)*RTD("tos.rtd",,"DELTA","."&amp;B$2&amp;B$1&amp;"P"&amp;$A44))/1000),0),IF($A$2="VEX",IFERROR(IF($X$1="ABS",($A$4*$A$4*RTD("tos.rtd",,"VOLUME","."&amp;B$2&amp;B$1&amp;"C"&amp;$A44)*RTD("tos.rtd",,"GAMMA","."&amp;B$2&amp;B$1&amp;"C"&amp;$A44)+$A$4*$A$4*RTD("tos.rtd",,"VOLUME","."&amp;B$2&amp;B$1&amp;"P"&amp;$A44)*RTD("tos.rtd",,"GAMMA","."&amp;B$2&amp;B$1&amp;"P"&amp;$A44))/1000000,($A$4*$A$4*RTD("tos.rtd",,"VOLUME","."&amp;B$2&amp;B$1&amp;"C"&amp;$A44)*RTD("tos.rtd",,"GAMMA","."&amp;B$2&amp;B$1&amp;"C"&amp;$A44)-$A$4*$A$4*RTD("tos.rtd",,"VOLUME","."&amp;B$2&amp;B$1&amp;"P"&amp;$A44)*RTD("tos.rtd",,"GAMMA","."&amp;B$2&amp;B$1&amp;"P"&amp;$A44))/1000000),0),IF($A$2="GEX",IFERROR(IF($X$1="ABS",($A$4*$A$4*RTD("tos.rtd",,"OPEN_INT","."&amp;B$2&amp;B$1&amp;"C"&amp;$A44)*RTD("tos.rtd",,"GAMMA","."&amp;B$2&amp;B$1&amp;"C"&amp;$A44)+$A$4*$A$4*RTD("tos.rtd",,"OPEN_INT","."&amp;B$2&amp;B$1&amp;"P"&amp;$A44)*RTD("tos.rtd",,"GAMMA","."&amp;B$2&amp;B$1&amp;"P"&amp;$A44))/1000000,($A$4*$A$4*RTD("tos.rtd",,"OPEN_INT","."&amp;B$2&amp;B$1&amp;"C"&amp;$A44)*RTD("tos.rtd",,"GAMMA","."&amp;B$2&amp;B$1&amp;"C"&amp;$A44)-$A$4*$A$4*RTD("tos.rtd",,"OPEN_INT","."&amp;B$2&amp;B$1&amp;"P"&amp;$A44)*RTD("tos.rtd",,"GAMMA","."&amp;B$2&amp;B$1&amp;"P"&amp;$A44))/1000000),0),IF($A$2="SKEW",IFERROR(VALUE(IF(RTD("tos.rtd",,"IMPL_VOL","."&amp;B$2&amp;B$1&amp;"P"&amp;$A44)="N/A",0,RTD("tos.rtd",,"IMPL_VOL","."&amp;B$2&amp;B$1&amp;"P"&amp;$A44))),0)-IFERROR(VALUE(IF(RTD("tos.rtd",,"IMPL_VOL","."&amp;B$2&amp;B$1&amp;"C"&amp;$A44)="N/A",0,RTD("tos.rtd",,"IMPL_VOL","."&amp;B$2&amp;B$1&amp;"C"&amp;$A44))),0),IF($A$2="MAXPAIN",IF($A$4&gt;$A44,($A$4-$A44)*IF(RTD("tos.rtd",,"OPEN_INT","."&amp;B$2&amp;B$1&amp;"C"&amp;$A44)="N/A",0,RTD("tos.rtd",,"OPEN_INT","."&amp;B$2&amp;B$1&amp;"C"&amp;$A44)),0)+IF($A$4&lt;$A44,($A$5-$A$4)*IF(RTD("tos.rtd",,"OPEN_INT","."&amp;B$2&amp;B$1&amp;"P"&amp;$A44)="N/A",0,RTD("tos.rtd",,"OPEN_INT","."&amp;B$2&amp;B$1&amp;"P"&amp;$A44)),0),IF($X$1="ABS",IF(RTD("tos.rtd",,$A$2,"."&amp;B$2&amp;B$1&amp;"C"&amp;$A44)="N/A",0,RTD("tos.rtd",,$A$2,"."&amp;B$2&amp;B$1&amp;"C"&amp;$A44))+IF(RTD("tos.rtd",,$A$2,"."&amp;B$2&amp;B$1&amp;"P"&amp;$A44)="N/A",0,RTD("tos.rtd",,$A$2,"."&amp;B$2&amp;B$1&amp;"P"&amp;$A44)),IF(RTD("tos.rtd",,$A$2,"."&amp;B$2&amp;B$1&amp;"C"&amp;$A44)="N/A",0,RTD("tos.rtd",,$A$2,"."&amp;B$2&amp;B$1&amp;"C"&amp;$A44))-IF(RTD("tos.rtd",,$A$2,"."&amp;B$2&amp;B$1&amp;"P"&amp;$A44)="N/A",0,RTD("tos.rtd",,$A$2,"."&amp;B$2&amp;B$1&amp;"P"&amp;$A44))))))))))</f>
        <v>0</v>
      </c>
      <c r="C44" s="14">
        <f ca="1">IF($A$2="PREMIUM_OI",IFERROR(IF($X$1="ABS",(100*RTD("tos.rtd",,"OPEN_INT","."&amp;C$2&amp;C$1&amp;"C"&amp;$A44)*RTD("tos.rtd",,"LAST","."&amp;C$2&amp;C$1&amp;"C"&amp;$A44)+100*RTD("tos.rtd",,"OPEN_INT","."&amp;C$2&amp;C$1&amp;"P"&amp;$A44)*RTD("tos.rtd",,"LAST","."&amp;C$2&amp;C$1&amp;"P"&amp;$A44))/1000000,(100*RTD("tos.rtd",,"OPEN_INT","."&amp;C$2&amp;C$1&amp;"C"&amp;$A44)*RTD("tos.rtd",,"LAST","."&amp;C$2&amp;C$1&amp;"C"&amp;$A44)-100*RTD("tos.rtd",,"OPEN_INT","."&amp;C$2&amp;C$1&amp;"P"&amp;$A44)*RTD("tos.rtd",,"LAST","."&amp;C$2&amp;C$1&amp;"P"&amp;$A44))/1000000),0),IF($A$2="PREMIUM",IFERROR(IF($X$1="ABS",(100*RTD("tos.rtd",,"VOLUME","."&amp;C$2&amp;C$1&amp;"C"&amp;$A44)*RTD("tos.rtd",,"LAST","."&amp;C$2&amp;C$1&amp;"C"&amp;$A44)+100*RTD("tos.rtd",,"VOLUME","."&amp;C$2&amp;C$1&amp;"P"&amp;$A44)*RTD("tos.rtd",,"LAST","."&amp;C$2&amp;C$1&amp;"P"&amp;$A44))/1000000,(100*RTD("tos.rtd",,"VOLUME","."&amp;C$2&amp;C$1&amp;"C"&amp;$A44)*RTD("tos.rtd",,"LAST","."&amp;C$2&amp;C$1&amp;"C"&amp;$A44)-100*RTD("tos.rtd",,"VOLUME","."&amp;C$2&amp;C$1&amp;"P"&amp;$A44)*RTD("tos.rtd",,"LAST","."&amp;C$2&amp;C$1&amp;"P"&amp;$A44))/1000000),0),IF($A$2="DEX",IFERROR(IF($X$1="ABS",(100*RTD("tos.rtd",,"OPEN_INT","."&amp;C$2&amp;C$1&amp;"C"&amp;$A44)*RTD("tos.rtd",,"DELTA","."&amp;C$2&amp;C$1&amp;"C"&amp;$A44)+100*RTD("tos.rtd",,"OPEN_INT","."&amp;C$2&amp;C$1&amp;"P"&amp;$A44)*RTD("tos.rtd",,"DELTA","."&amp;C$2&amp;C$1&amp;"P"&amp;$A44))/1000,(100*RTD("tos.rtd",,"OPEN_INT","."&amp;C$2&amp;C$1&amp;"C"&amp;$A44)*RTD("tos.rtd",,"DELTA","."&amp;C$2&amp;C$1&amp;"C"&amp;$A44)-100*RTD("tos.rtd",,"OPEN_INT","."&amp;C$2&amp;C$1&amp;"P"&amp;$A44)*RTD("tos.rtd",,"DELTA","."&amp;C$2&amp;C$1&amp;"P"&amp;$A44))/1000),0),IF($A$2="VEX",IFERROR(IF($X$1="ABS",($A$4*$A$4*RTD("tos.rtd",,"VOLUME","."&amp;C$2&amp;C$1&amp;"C"&amp;$A44)*RTD("tos.rtd",,"GAMMA","."&amp;C$2&amp;C$1&amp;"C"&amp;$A44)+$A$4*$A$4*RTD("tos.rtd",,"VOLUME","."&amp;C$2&amp;C$1&amp;"P"&amp;$A44)*RTD("tos.rtd",,"GAMMA","."&amp;C$2&amp;C$1&amp;"P"&amp;$A44))/1000000,($A$4*$A$4*RTD("tos.rtd",,"VOLUME","."&amp;C$2&amp;C$1&amp;"C"&amp;$A44)*RTD("tos.rtd",,"GAMMA","."&amp;C$2&amp;C$1&amp;"C"&amp;$A44)-$A$4*$A$4*RTD("tos.rtd",,"VOLUME","."&amp;C$2&amp;C$1&amp;"P"&amp;$A44)*RTD("tos.rtd",,"GAMMA","."&amp;C$2&amp;C$1&amp;"P"&amp;$A44))/1000000),0),IF($A$2="GEX",IFERROR(IF($X$1="ABS",($A$4*$A$4*RTD("tos.rtd",,"OPEN_INT","."&amp;C$2&amp;C$1&amp;"C"&amp;$A44)*RTD("tos.rtd",,"GAMMA","."&amp;C$2&amp;C$1&amp;"C"&amp;$A44)+$A$4*$A$4*RTD("tos.rtd",,"OPEN_INT","."&amp;C$2&amp;C$1&amp;"P"&amp;$A44)*RTD("tos.rtd",,"GAMMA","."&amp;C$2&amp;C$1&amp;"P"&amp;$A44))/1000000,($A$4*$A$4*RTD("tos.rtd",,"OPEN_INT","."&amp;C$2&amp;C$1&amp;"C"&amp;$A44)*RTD("tos.rtd",,"GAMMA","."&amp;C$2&amp;C$1&amp;"C"&amp;$A44)-$A$4*$A$4*RTD("tos.rtd",,"OPEN_INT","."&amp;C$2&amp;C$1&amp;"P"&amp;$A44)*RTD("tos.rtd",,"GAMMA","."&amp;C$2&amp;C$1&amp;"P"&amp;$A44))/1000000),0),IF($A$2="SKEW",IFERROR(VALUE(IF(RTD("tos.rtd",,"IMPL_VOL","."&amp;C$2&amp;C$1&amp;"P"&amp;$A44)="N/A",0,RTD("tos.rtd",,"IMPL_VOL","."&amp;C$2&amp;C$1&amp;"P"&amp;$A44))),0)-IFERROR(VALUE(IF(RTD("tos.rtd",,"IMPL_VOL","."&amp;C$2&amp;C$1&amp;"C"&amp;$A44)="N/A",0,RTD("tos.rtd",,"IMPL_VOL","."&amp;C$2&amp;C$1&amp;"C"&amp;$A44))),0),IF($A$2="MAXPAIN",IF($A$4&gt;$A44,($A$4-$A44)*IF(RTD("tos.rtd",,"OPEN_INT","."&amp;C$2&amp;C$1&amp;"C"&amp;$A44)="N/A",0,RTD("tos.rtd",,"OPEN_INT","."&amp;C$2&amp;C$1&amp;"C"&amp;$A44)),0)+IF($A$4&lt;$A44,($A$5-$A$4)*IF(RTD("tos.rtd",,"OPEN_INT","."&amp;C$2&amp;C$1&amp;"P"&amp;$A44)="N/A",0,RTD("tos.rtd",,"OPEN_INT","."&amp;C$2&amp;C$1&amp;"P"&amp;$A44)),0),IF($X$1="ABS",IF(RTD("tos.rtd",,$A$2,"."&amp;C$2&amp;C$1&amp;"C"&amp;$A44)="N/A",0,RTD("tos.rtd",,$A$2,"."&amp;C$2&amp;C$1&amp;"C"&amp;$A44))+IF(RTD("tos.rtd",,$A$2,"."&amp;C$2&amp;C$1&amp;"P"&amp;$A44)="N/A",0,RTD("tos.rtd",,$A$2,"."&amp;C$2&amp;C$1&amp;"P"&amp;$A44)),IF(RTD("tos.rtd",,$A$2,"."&amp;C$2&amp;C$1&amp;"C"&amp;$A44)="N/A",0,RTD("tos.rtd",,$A$2,"."&amp;C$2&amp;C$1&amp;"C"&amp;$A44))-IF(RTD("tos.rtd",,$A$2,"."&amp;C$2&amp;C$1&amp;"P"&amp;$A44)="N/A",0,RTD("tos.rtd",,$A$2,"."&amp;C$2&amp;C$1&amp;"P"&amp;$A44))))))))))</f>
        <v>0</v>
      </c>
      <c r="D44" s="12">
        <f ca="1">IF($A$2="PREMIUM_OI",IFERROR(IF($X$1="ABS",(100*RTD("tos.rtd",,"OPEN_INT","."&amp;D$2&amp;D$1&amp;"C"&amp;$A44)*RTD("tos.rtd",,"LAST","."&amp;D$2&amp;D$1&amp;"C"&amp;$A44)+100*RTD("tos.rtd",,"OPEN_INT","."&amp;D$2&amp;D$1&amp;"P"&amp;$A44)*RTD("tos.rtd",,"LAST","."&amp;D$2&amp;D$1&amp;"P"&amp;$A44))/1000000,(100*RTD("tos.rtd",,"OPEN_INT","."&amp;D$2&amp;D$1&amp;"C"&amp;$A44)*RTD("tos.rtd",,"LAST","."&amp;D$2&amp;D$1&amp;"C"&amp;$A44)-100*RTD("tos.rtd",,"OPEN_INT","."&amp;D$2&amp;D$1&amp;"P"&amp;$A44)*RTD("tos.rtd",,"LAST","."&amp;D$2&amp;D$1&amp;"P"&amp;$A44))/1000000),0),IF($A$2="PREMIUM",IFERROR(IF($X$1="ABS",(100*RTD("tos.rtd",,"VOLUME","."&amp;D$2&amp;D$1&amp;"C"&amp;$A44)*RTD("tos.rtd",,"LAST","."&amp;D$2&amp;D$1&amp;"C"&amp;$A44)+100*RTD("tos.rtd",,"VOLUME","."&amp;D$2&amp;D$1&amp;"P"&amp;$A44)*RTD("tos.rtd",,"LAST","."&amp;D$2&amp;D$1&amp;"P"&amp;$A44))/1000000,(100*RTD("tos.rtd",,"VOLUME","."&amp;D$2&amp;D$1&amp;"C"&amp;$A44)*RTD("tos.rtd",,"LAST","."&amp;D$2&amp;D$1&amp;"C"&amp;$A44)-100*RTD("tos.rtd",,"VOLUME","."&amp;D$2&amp;D$1&amp;"P"&amp;$A44)*RTD("tos.rtd",,"LAST","."&amp;D$2&amp;D$1&amp;"P"&amp;$A44))/1000000),0),IF($A$2="DEX",IFERROR(IF($X$1="ABS",(100*RTD("tos.rtd",,"OPEN_INT","."&amp;D$2&amp;D$1&amp;"C"&amp;$A44)*RTD("tos.rtd",,"DELTA","."&amp;D$2&amp;D$1&amp;"C"&amp;$A44)+100*RTD("tos.rtd",,"OPEN_INT","."&amp;D$2&amp;D$1&amp;"P"&amp;$A44)*RTD("tos.rtd",,"DELTA","."&amp;D$2&amp;D$1&amp;"P"&amp;$A44))/1000,(100*RTD("tos.rtd",,"OPEN_INT","."&amp;D$2&amp;D$1&amp;"C"&amp;$A44)*RTD("tos.rtd",,"DELTA","."&amp;D$2&amp;D$1&amp;"C"&amp;$A44)-100*RTD("tos.rtd",,"OPEN_INT","."&amp;D$2&amp;D$1&amp;"P"&amp;$A44)*RTD("tos.rtd",,"DELTA","."&amp;D$2&amp;D$1&amp;"P"&amp;$A44))/1000),0),IF($A$2="VEX",IFERROR(IF($X$1="ABS",($A$4*$A$4*RTD("tos.rtd",,"VOLUME","."&amp;D$2&amp;D$1&amp;"C"&amp;$A44)*RTD("tos.rtd",,"GAMMA","."&amp;D$2&amp;D$1&amp;"C"&amp;$A44)+$A$4*$A$4*RTD("tos.rtd",,"VOLUME","."&amp;D$2&amp;D$1&amp;"P"&amp;$A44)*RTD("tos.rtd",,"GAMMA","."&amp;D$2&amp;D$1&amp;"P"&amp;$A44))/1000000,($A$4*$A$4*RTD("tos.rtd",,"VOLUME","."&amp;D$2&amp;D$1&amp;"C"&amp;$A44)*RTD("tos.rtd",,"GAMMA","."&amp;D$2&amp;D$1&amp;"C"&amp;$A44)-$A$4*$A$4*RTD("tos.rtd",,"VOLUME","."&amp;D$2&amp;D$1&amp;"P"&amp;$A44)*RTD("tos.rtd",,"GAMMA","."&amp;D$2&amp;D$1&amp;"P"&amp;$A44))/1000000),0),IF($A$2="GEX",IFERROR(IF($X$1="ABS",($A$4*$A$4*RTD("tos.rtd",,"OPEN_INT","."&amp;D$2&amp;D$1&amp;"C"&amp;$A44)*RTD("tos.rtd",,"GAMMA","."&amp;D$2&amp;D$1&amp;"C"&amp;$A44)+$A$4*$A$4*RTD("tos.rtd",,"OPEN_INT","."&amp;D$2&amp;D$1&amp;"P"&amp;$A44)*RTD("tos.rtd",,"GAMMA","."&amp;D$2&amp;D$1&amp;"P"&amp;$A44))/1000000,($A$4*$A$4*RTD("tos.rtd",,"OPEN_INT","."&amp;D$2&amp;D$1&amp;"C"&amp;$A44)*RTD("tos.rtd",,"GAMMA","."&amp;D$2&amp;D$1&amp;"C"&amp;$A44)-$A$4*$A$4*RTD("tos.rtd",,"OPEN_INT","."&amp;D$2&amp;D$1&amp;"P"&amp;$A44)*RTD("tos.rtd",,"GAMMA","."&amp;D$2&amp;D$1&amp;"P"&amp;$A44))/1000000),0),IF($A$2="SKEW",IFERROR(VALUE(IF(RTD("tos.rtd",,"IMPL_VOL","."&amp;D$2&amp;D$1&amp;"P"&amp;$A44)="N/A",0,RTD("tos.rtd",,"IMPL_VOL","."&amp;D$2&amp;D$1&amp;"P"&amp;$A44))),0)-IFERROR(VALUE(IF(RTD("tos.rtd",,"IMPL_VOL","."&amp;D$2&amp;D$1&amp;"C"&amp;$A44)="N/A",0,RTD("tos.rtd",,"IMPL_VOL","."&amp;D$2&amp;D$1&amp;"C"&amp;$A44))),0),IF($A$2="MAXPAIN",IF($A$4&gt;$A44,($A$4-$A44)*IF(RTD("tos.rtd",,"OPEN_INT","."&amp;D$2&amp;D$1&amp;"C"&amp;$A44)="N/A",0,RTD("tos.rtd",,"OPEN_INT","."&amp;D$2&amp;D$1&amp;"C"&amp;$A44)),0)+IF($A$4&lt;$A44,($A$5-$A$4)*IF(RTD("tos.rtd",,"OPEN_INT","."&amp;D$2&amp;D$1&amp;"P"&amp;$A44)="N/A",0,RTD("tos.rtd",,"OPEN_INT","."&amp;D$2&amp;D$1&amp;"P"&amp;$A44)),0),IF($X$1="ABS",IF(RTD("tos.rtd",,$A$2,"."&amp;D$2&amp;D$1&amp;"C"&amp;$A44)="N/A",0,RTD("tos.rtd",,$A$2,"."&amp;D$2&amp;D$1&amp;"C"&amp;$A44))+IF(RTD("tos.rtd",,$A$2,"."&amp;D$2&amp;D$1&amp;"P"&amp;$A44)="N/A",0,RTD("tos.rtd",,$A$2,"."&amp;D$2&amp;D$1&amp;"P"&amp;$A44)),IF(RTD("tos.rtd",,$A$2,"."&amp;D$2&amp;D$1&amp;"C"&amp;$A44)="N/A",0,RTD("tos.rtd",,$A$2,"."&amp;D$2&amp;D$1&amp;"C"&amp;$A44))-IF(RTD("tos.rtd",,$A$2,"."&amp;D$2&amp;D$1&amp;"P"&amp;$A44)="N/A",0,RTD("tos.rtd",,$A$2,"."&amp;D$2&amp;D$1&amp;"P"&amp;$A44))))))))))</f>
        <v>0</v>
      </c>
      <c r="E44" s="12">
        <f ca="1">IF($A$2="PREMIUM_OI",IFERROR(IF($X$1="ABS",(100*RTD("tos.rtd",,"OPEN_INT","."&amp;E$2&amp;E$1&amp;"C"&amp;$A44)*RTD("tos.rtd",,"LAST","."&amp;E$2&amp;E$1&amp;"C"&amp;$A44)+100*RTD("tos.rtd",,"OPEN_INT","."&amp;E$2&amp;E$1&amp;"P"&amp;$A44)*RTD("tos.rtd",,"LAST","."&amp;E$2&amp;E$1&amp;"P"&amp;$A44))/1000000,(100*RTD("tos.rtd",,"OPEN_INT","."&amp;E$2&amp;E$1&amp;"C"&amp;$A44)*RTD("tos.rtd",,"LAST","."&amp;E$2&amp;E$1&amp;"C"&amp;$A44)-100*RTD("tos.rtd",,"OPEN_INT","."&amp;E$2&amp;E$1&amp;"P"&amp;$A44)*RTD("tos.rtd",,"LAST","."&amp;E$2&amp;E$1&amp;"P"&amp;$A44))/1000000),0),IF($A$2="PREMIUM",IFERROR(IF($X$1="ABS",(100*RTD("tos.rtd",,"VOLUME","."&amp;E$2&amp;E$1&amp;"C"&amp;$A44)*RTD("tos.rtd",,"LAST","."&amp;E$2&amp;E$1&amp;"C"&amp;$A44)+100*RTD("tos.rtd",,"VOLUME","."&amp;E$2&amp;E$1&amp;"P"&amp;$A44)*RTD("tos.rtd",,"LAST","."&amp;E$2&amp;E$1&amp;"P"&amp;$A44))/1000000,(100*RTD("tos.rtd",,"VOLUME","."&amp;E$2&amp;E$1&amp;"C"&amp;$A44)*RTD("tos.rtd",,"LAST","."&amp;E$2&amp;E$1&amp;"C"&amp;$A44)-100*RTD("tos.rtd",,"VOLUME","."&amp;E$2&amp;E$1&amp;"P"&amp;$A44)*RTD("tos.rtd",,"LAST","."&amp;E$2&amp;E$1&amp;"P"&amp;$A44))/1000000),0),IF($A$2="DEX",IFERROR(IF($X$1="ABS",(100*RTD("tos.rtd",,"OPEN_INT","."&amp;E$2&amp;E$1&amp;"C"&amp;$A44)*RTD("tos.rtd",,"DELTA","."&amp;E$2&amp;E$1&amp;"C"&amp;$A44)+100*RTD("tos.rtd",,"OPEN_INT","."&amp;E$2&amp;E$1&amp;"P"&amp;$A44)*RTD("tos.rtd",,"DELTA","."&amp;E$2&amp;E$1&amp;"P"&amp;$A44))/1000,(100*RTD("tos.rtd",,"OPEN_INT","."&amp;E$2&amp;E$1&amp;"C"&amp;$A44)*RTD("tos.rtd",,"DELTA","."&amp;E$2&amp;E$1&amp;"C"&amp;$A44)-100*RTD("tos.rtd",,"OPEN_INT","."&amp;E$2&amp;E$1&amp;"P"&amp;$A44)*RTD("tos.rtd",,"DELTA","."&amp;E$2&amp;E$1&amp;"P"&amp;$A44))/1000),0),IF($A$2="VEX",IFERROR(IF($X$1="ABS",($A$4*$A$4*RTD("tos.rtd",,"VOLUME","."&amp;E$2&amp;E$1&amp;"C"&amp;$A44)*RTD("tos.rtd",,"GAMMA","."&amp;E$2&amp;E$1&amp;"C"&amp;$A44)+$A$4*$A$4*RTD("tos.rtd",,"VOLUME","."&amp;E$2&amp;E$1&amp;"P"&amp;$A44)*RTD("tos.rtd",,"GAMMA","."&amp;E$2&amp;E$1&amp;"P"&amp;$A44))/1000000,($A$4*$A$4*RTD("tos.rtd",,"VOLUME","."&amp;E$2&amp;E$1&amp;"C"&amp;$A44)*RTD("tos.rtd",,"GAMMA","."&amp;E$2&amp;E$1&amp;"C"&amp;$A44)-$A$4*$A$4*RTD("tos.rtd",,"VOLUME","."&amp;E$2&amp;E$1&amp;"P"&amp;$A44)*RTD("tos.rtd",,"GAMMA","."&amp;E$2&amp;E$1&amp;"P"&amp;$A44))/1000000),0),IF($A$2="GEX",IFERROR(IF($X$1="ABS",($A$4*$A$4*RTD("tos.rtd",,"OPEN_INT","."&amp;E$2&amp;E$1&amp;"C"&amp;$A44)*RTD("tos.rtd",,"GAMMA","."&amp;E$2&amp;E$1&amp;"C"&amp;$A44)+$A$4*$A$4*RTD("tos.rtd",,"OPEN_INT","."&amp;E$2&amp;E$1&amp;"P"&amp;$A44)*RTD("tos.rtd",,"GAMMA","."&amp;E$2&amp;E$1&amp;"P"&amp;$A44))/1000000,($A$4*$A$4*RTD("tos.rtd",,"OPEN_INT","."&amp;E$2&amp;E$1&amp;"C"&amp;$A44)*RTD("tos.rtd",,"GAMMA","."&amp;E$2&amp;E$1&amp;"C"&amp;$A44)-$A$4*$A$4*RTD("tos.rtd",,"OPEN_INT","."&amp;E$2&amp;E$1&amp;"P"&amp;$A44)*RTD("tos.rtd",,"GAMMA","."&amp;E$2&amp;E$1&amp;"P"&amp;$A44))/1000000),0),IF($A$2="SKEW",IFERROR(VALUE(IF(RTD("tos.rtd",,"IMPL_VOL","."&amp;E$2&amp;E$1&amp;"P"&amp;$A44)="N/A",0,RTD("tos.rtd",,"IMPL_VOL","."&amp;E$2&amp;E$1&amp;"P"&amp;$A44))),0)-IFERROR(VALUE(IF(RTD("tos.rtd",,"IMPL_VOL","."&amp;E$2&amp;E$1&amp;"C"&amp;$A44)="N/A",0,RTD("tos.rtd",,"IMPL_VOL","."&amp;E$2&amp;E$1&amp;"C"&amp;$A44))),0),IF($A$2="MAXPAIN",IF($A$4&gt;$A44,($A$4-$A44)*IF(RTD("tos.rtd",,"OPEN_INT","."&amp;E$2&amp;E$1&amp;"C"&amp;$A44)="N/A",0,RTD("tos.rtd",,"OPEN_INT","."&amp;E$2&amp;E$1&amp;"C"&amp;$A44)),0)+IF($A$4&lt;$A44,($A$5-$A$4)*IF(RTD("tos.rtd",,"OPEN_INT","."&amp;E$2&amp;E$1&amp;"P"&amp;$A44)="N/A",0,RTD("tos.rtd",,"OPEN_INT","."&amp;E$2&amp;E$1&amp;"P"&amp;$A44)),0),IF($X$1="ABS",IF(RTD("tos.rtd",,$A$2,"."&amp;E$2&amp;E$1&amp;"C"&amp;$A44)="N/A",0,RTD("tos.rtd",,$A$2,"."&amp;E$2&amp;E$1&amp;"C"&amp;$A44))+IF(RTD("tos.rtd",,$A$2,"."&amp;E$2&amp;E$1&amp;"P"&amp;$A44)="N/A",0,RTD("tos.rtd",,$A$2,"."&amp;E$2&amp;E$1&amp;"P"&amp;$A44)),IF(RTD("tos.rtd",,$A$2,"."&amp;E$2&amp;E$1&amp;"C"&amp;$A44)="N/A",0,RTD("tos.rtd",,$A$2,"."&amp;E$2&amp;E$1&amp;"C"&amp;$A44))-IF(RTD("tos.rtd",,$A$2,"."&amp;E$2&amp;E$1&amp;"P"&amp;$A44)="N/A",0,RTD("tos.rtd",,$A$2,"."&amp;E$2&amp;E$1&amp;"P"&amp;$A44))))))))))</f>
        <v>0</v>
      </c>
      <c r="F44" s="12">
        <f ca="1">IF($A$2="PREMIUM_OI",IFERROR(IF($X$1="ABS",(100*RTD("tos.rtd",,"OPEN_INT","."&amp;F$2&amp;F$1&amp;"C"&amp;$A44)*RTD("tos.rtd",,"LAST","."&amp;F$2&amp;F$1&amp;"C"&amp;$A44)+100*RTD("tos.rtd",,"OPEN_INT","."&amp;F$2&amp;F$1&amp;"P"&amp;$A44)*RTD("tos.rtd",,"LAST","."&amp;F$2&amp;F$1&amp;"P"&amp;$A44))/1000000,(100*RTD("tos.rtd",,"OPEN_INT","."&amp;F$2&amp;F$1&amp;"C"&amp;$A44)*RTD("tos.rtd",,"LAST","."&amp;F$2&amp;F$1&amp;"C"&amp;$A44)-100*RTD("tos.rtd",,"OPEN_INT","."&amp;F$2&amp;F$1&amp;"P"&amp;$A44)*RTD("tos.rtd",,"LAST","."&amp;F$2&amp;F$1&amp;"P"&amp;$A44))/1000000),0),IF($A$2="PREMIUM",IFERROR(IF($X$1="ABS",(100*RTD("tos.rtd",,"VOLUME","."&amp;F$2&amp;F$1&amp;"C"&amp;$A44)*RTD("tos.rtd",,"LAST","."&amp;F$2&amp;F$1&amp;"C"&amp;$A44)+100*RTD("tos.rtd",,"VOLUME","."&amp;F$2&amp;F$1&amp;"P"&amp;$A44)*RTD("tos.rtd",,"LAST","."&amp;F$2&amp;F$1&amp;"P"&amp;$A44))/1000000,(100*RTD("tos.rtd",,"VOLUME","."&amp;F$2&amp;F$1&amp;"C"&amp;$A44)*RTD("tos.rtd",,"LAST","."&amp;F$2&amp;F$1&amp;"C"&amp;$A44)-100*RTD("tos.rtd",,"VOLUME","."&amp;F$2&amp;F$1&amp;"P"&amp;$A44)*RTD("tos.rtd",,"LAST","."&amp;F$2&amp;F$1&amp;"P"&amp;$A44))/1000000),0),IF($A$2="DEX",IFERROR(IF($X$1="ABS",(100*RTD("tos.rtd",,"OPEN_INT","."&amp;F$2&amp;F$1&amp;"C"&amp;$A44)*RTD("tos.rtd",,"DELTA","."&amp;F$2&amp;F$1&amp;"C"&amp;$A44)+100*RTD("tos.rtd",,"OPEN_INT","."&amp;F$2&amp;F$1&amp;"P"&amp;$A44)*RTD("tos.rtd",,"DELTA","."&amp;F$2&amp;F$1&amp;"P"&amp;$A44))/1000,(100*RTD("tos.rtd",,"OPEN_INT","."&amp;F$2&amp;F$1&amp;"C"&amp;$A44)*RTD("tos.rtd",,"DELTA","."&amp;F$2&amp;F$1&amp;"C"&amp;$A44)-100*RTD("tos.rtd",,"OPEN_INT","."&amp;F$2&amp;F$1&amp;"P"&amp;$A44)*RTD("tos.rtd",,"DELTA","."&amp;F$2&amp;F$1&amp;"P"&amp;$A44))/1000),0),IF($A$2="VEX",IFERROR(IF($X$1="ABS",($A$4*$A$4*RTD("tos.rtd",,"VOLUME","."&amp;F$2&amp;F$1&amp;"C"&amp;$A44)*RTD("tos.rtd",,"GAMMA","."&amp;F$2&amp;F$1&amp;"C"&amp;$A44)+$A$4*$A$4*RTD("tos.rtd",,"VOLUME","."&amp;F$2&amp;F$1&amp;"P"&amp;$A44)*RTD("tos.rtd",,"GAMMA","."&amp;F$2&amp;F$1&amp;"P"&amp;$A44))/1000000,($A$4*$A$4*RTD("tos.rtd",,"VOLUME","."&amp;F$2&amp;F$1&amp;"C"&amp;$A44)*RTD("tos.rtd",,"GAMMA","."&amp;F$2&amp;F$1&amp;"C"&amp;$A44)-$A$4*$A$4*RTD("tos.rtd",,"VOLUME","."&amp;F$2&amp;F$1&amp;"P"&amp;$A44)*RTD("tos.rtd",,"GAMMA","."&amp;F$2&amp;F$1&amp;"P"&amp;$A44))/1000000),0),IF($A$2="GEX",IFERROR(IF($X$1="ABS",($A$4*$A$4*RTD("tos.rtd",,"OPEN_INT","."&amp;F$2&amp;F$1&amp;"C"&amp;$A44)*RTD("tos.rtd",,"GAMMA","."&amp;F$2&amp;F$1&amp;"C"&amp;$A44)+$A$4*$A$4*RTD("tos.rtd",,"OPEN_INT","."&amp;F$2&amp;F$1&amp;"P"&amp;$A44)*RTD("tos.rtd",,"GAMMA","."&amp;F$2&amp;F$1&amp;"P"&amp;$A44))/1000000,($A$4*$A$4*RTD("tos.rtd",,"OPEN_INT","."&amp;F$2&amp;F$1&amp;"C"&amp;$A44)*RTD("tos.rtd",,"GAMMA","."&amp;F$2&amp;F$1&amp;"C"&amp;$A44)-$A$4*$A$4*RTD("tos.rtd",,"OPEN_INT","."&amp;F$2&amp;F$1&amp;"P"&amp;$A44)*RTD("tos.rtd",,"GAMMA","."&amp;F$2&amp;F$1&amp;"P"&amp;$A44))/1000000),0),IF($A$2="SKEW",IFERROR(VALUE(IF(RTD("tos.rtd",,"IMPL_VOL","."&amp;F$2&amp;F$1&amp;"P"&amp;$A44)="N/A",0,RTD("tos.rtd",,"IMPL_VOL","."&amp;F$2&amp;F$1&amp;"P"&amp;$A44))),0)-IFERROR(VALUE(IF(RTD("tos.rtd",,"IMPL_VOL","."&amp;F$2&amp;F$1&amp;"C"&amp;$A44)="N/A",0,RTD("tos.rtd",,"IMPL_VOL","."&amp;F$2&amp;F$1&amp;"C"&amp;$A44))),0),IF($A$2="MAXPAIN",IF($A$4&gt;$A44,($A$4-$A44)*IF(RTD("tos.rtd",,"OPEN_INT","."&amp;F$2&amp;F$1&amp;"C"&amp;$A44)="N/A",0,RTD("tos.rtd",,"OPEN_INT","."&amp;F$2&amp;F$1&amp;"C"&amp;$A44)),0)+IF($A$4&lt;$A44,($A$5-$A$4)*IF(RTD("tos.rtd",,"OPEN_INT","."&amp;F$2&amp;F$1&amp;"P"&amp;$A44)="N/A",0,RTD("tos.rtd",,"OPEN_INT","."&amp;F$2&amp;F$1&amp;"P"&amp;$A44)),0),IF($X$1="ABS",IF(RTD("tos.rtd",,$A$2,"."&amp;F$2&amp;F$1&amp;"C"&amp;$A44)="N/A",0,RTD("tos.rtd",,$A$2,"."&amp;F$2&amp;F$1&amp;"C"&amp;$A44))+IF(RTD("tos.rtd",,$A$2,"."&amp;F$2&amp;F$1&amp;"P"&amp;$A44)="N/A",0,RTD("tos.rtd",,$A$2,"."&amp;F$2&amp;F$1&amp;"P"&amp;$A44)),IF(RTD("tos.rtd",,$A$2,"."&amp;F$2&amp;F$1&amp;"C"&amp;$A44)="N/A",0,RTD("tos.rtd",,$A$2,"."&amp;F$2&amp;F$1&amp;"C"&amp;$A44))-IF(RTD("tos.rtd",,$A$2,"."&amp;F$2&amp;F$1&amp;"P"&amp;$A44)="N/A",0,RTD("tos.rtd",,$A$2,"."&amp;F$2&amp;F$1&amp;"P"&amp;$A44))))))))))</f>
        <v>0</v>
      </c>
      <c r="G44" s="54">
        <f ca="1">IF($A$2="PREMIUM_OI",IFERROR(IF($X$1="ABS",(100*RTD("tos.rtd",,"OPEN_INT","."&amp;G$2&amp;G$1&amp;"C"&amp;$A44)*RTD("tos.rtd",,"LAST","."&amp;G$2&amp;G$1&amp;"C"&amp;$A44)+100*RTD("tos.rtd",,"OPEN_INT","."&amp;G$2&amp;G$1&amp;"P"&amp;$A44)*RTD("tos.rtd",,"LAST","."&amp;G$2&amp;G$1&amp;"P"&amp;$A44))/1000000,(100*RTD("tos.rtd",,"OPEN_INT","."&amp;G$2&amp;G$1&amp;"C"&amp;$A44)*RTD("tos.rtd",,"LAST","."&amp;G$2&amp;G$1&amp;"C"&amp;$A44)-100*RTD("tos.rtd",,"OPEN_INT","."&amp;G$2&amp;G$1&amp;"P"&amp;$A44)*RTD("tos.rtd",,"LAST","."&amp;G$2&amp;G$1&amp;"P"&amp;$A44))/1000000),0),IF($A$2="PREMIUM",IFERROR(IF($X$1="ABS",(100*RTD("tos.rtd",,"VOLUME","."&amp;G$2&amp;G$1&amp;"C"&amp;$A44)*RTD("tos.rtd",,"LAST","."&amp;G$2&amp;G$1&amp;"C"&amp;$A44)+100*RTD("tos.rtd",,"VOLUME","."&amp;G$2&amp;G$1&amp;"P"&amp;$A44)*RTD("tos.rtd",,"LAST","."&amp;G$2&amp;G$1&amp;"P"&amp;$A44))/1000000,(100*RTD("tos.rtd",,"VOLUME","."&amp;G$2&amp;G$1&amp;"C"&amp;$A44)*RTD("tos.rtd",,"LAST","."&amp;G$2&amp;G$1&amp;"C"&amp;$A44)-100*RTD("tos.rtd",,"VOLUME","."&amp;G$2&amp;G$1&amp;"P"&amp;$A44)*RTD("tos.rtd",,"LAST","."&amp;G$2&amp;G$1&amp;"P"&amp;$A44))/1000000),0),IF($A$2="DEX",IFERROR(IF($X$1="ABS",(100*RTD("tos.rtd",,"OPEN_INT","."&amp;G$2&amp;G$1&amp;"C"&amp;$A44)*RTD("tos.rtd",,"DELTA","."&amp;G$2&amp;G$1&amp;"C"&amp;$A44)+100*RTD("tos.rtd",,"OPEN_INT","."&amp;G$2&amp;G$1&amp;"P"&amp;$A44)*RTD("tos.rtd",,"DELTA","."&amp;G$2&amp;G$1&amp;"P"&amp;$A44))/1000,(100*RTD("tos.rtd",,"OPEN_INT","."&amp;G$2&amp;G$1&amp;"C"&amp;$A44)*RTD("tos.rtd",,"DELTA","."&amp;G$2&amp;G$1&amp;"C"&amp;$A44)-100*RTD("tos.rtd",,"OPEN_INT","."&amp;G$2&amp;G$1&amp;"P"&amp;$A44)*RTD("tos.rtd",,"DELTA","."&amp;G$2&amp;G$1&amp;"P"&amp;$A44))/1000),0),IF($A$2="VEX",IFERROR(IF($X$1="ABS",($A$4*$A$4*RTD("tos.rtd",,"VOLUME","."&amp;G$2&amp;G$1&amp;"C"&amp;$A44)*RTD("tos.rtd",,"GAMMA","."&amp;G$2&amp;G$1&amp;"C"&amp;$A44)+$A$4*$A$4*RTD("tos.rtd",,"VOLUME","."&amp;G$2&amp;G$1&amp;"P"&amp;$A44)*RTD("tos.rtd",,"GAMMA","."&amp;G$2&amp;G$1&amp;"P"&amp;$A44))/1000000,($A$4*$A$4*RTD("tos.rtd",,"VOLUME","."&amp;G$2&amp;G$1&amp;"C"&amp;$A44)*RTD("tos.rtd",,"GAMMA","."&amp;G$2&amp;G$1&amp;"C"&amp;$A44)-$A$4*$A$4*RTD("tos.rtd",,"VOLUME","."&amp;G$2&amp;G$1&amp;"P"&amp;$A44)*RTD("tos.rtd",,"GAMMA","."&amp;G$2&amp;G$1&amp;"P"&amp;$A44))/1000000),0),IF($A$2="GEX",IFERROR(IF($X$1="ABS",($A$4*$A$4*RTD("tos.rtd",,"OPEN_INT","."&amp;G$2&amp;G$1&amp;"C"&amp;$A44)*RTD("tos.rtd",,"GAMMA","."&amp;G$2&amp;G$1&amp;"C"&amp;$A44)+$A$4*$A$4*RTD("tos.rtd",,"OPEN_INT","."&amp;G$2&amp;G$1&amp;"P"&amp;$A44)*RTD("tos.rtd",,"GAMMA","."&amp;G$2&amp;G$1&amp;"P"&amp;$A44))/1000000,($A$4*$A$4*RTD("tos.rtd",,"OPEN_INT","."&amp;G$2&amp;G$1&amp;"C"&amp;$A44)*RTD("tos.rtd",,"GAMMA","."&amp;G$2&amp;G$1&amp;"C"&amp;$A44)-$A$4*$A$4*RTD("tos.rtd",,"OPEN_INT","."&amp;G$2&amp;G$1&amp;"P"&amp;$A44)*RTD("tos.rtd",,"GAMMA","."&amp;G$2&amp;G$1&amp;"P"&amp;$A44))/1000000),0),IF($A$2="SKEW",IFERROR(VALUE(IF(RTD("tos.rtd",,"IMPL_VOL","."&amp;G$2&amp;G$1&amp;"P"&amp;$A44)="N/A",0,RTD("tos.rtd",,"IMPL_VOL","."&amp;G$2&amp;G$1&amp;"P"&amp;$A44))),0)-IFERROR(VALUE(IF(RTD("tos.rtd",,"IMPL_VOL","."&amp;G$2&amp;G$1&amp;"C"&amp;$A44)="N/A",0,RTD("tos.rtd",,"IMPL_VOL","."&amp;G$2&amp;G$1&amp;"C"&amp;$A44))),0),IF($A$2="MAXPAIN",IF($A$4&gt;$A44,($A$4-$A44)*IF(RTD("tos.rtd",,"OPEN_INT","."&amp;G$2&amp;G$1&amp;"C"&amp;$A44)="N/A",0,RTD("tos.rtd",,"OPEN_INT","."&amp;G$2&amp;G$1&amp;"C"&amp;$A44)),0)+IF($A$4&lt;$A44,($A$5-$A$4)*IF(RTD("tos.rtd",,"OPEN_INT","."&amp;G$2&amp;G$1&amp;"P"&amp;$A44)="N/A",0,RTD("tos.rtd",,"OPEN_INT","."&amp;G$2&amp;G$1&amp;"P"&amp;$A44)),0),IF($X$1="ABS",IF(RTD("tos.rtd",,$A$2,"."&amp;G$2&amp;G$1&amp;"C"&amp;$A44)="N/A",0,RTD("tos.rtd",,$A$2,"."&amp;G$2&amp;G$1&amp;"C"&amp;$A44))+IF(RTD("tos.rtd",,$A$2,"."&amp;G$2&amp;G$1&amp;"P"&amp;$A44)="N/A",0,RTD("tos.rtd",,$A$2,"."&amp;G$2&amp;G$1&amp;"P"&amp;$A44)),IF(RTD("tos.rtd",,$A$2,"."&amp;G$2&amp;G$1&amp;"C"&amp;$A44)="N/A",0,RTD("tos.rtd",,$A$2,"."&amp;G$2&amp;G$1&amp;"C"&amp;$A44))-IF(RTD("tos.rtd",,$A$2,"."&amp;G$2&amp;G$1&amp;"P"&amp;$A44)="N/A",0,RTD("tos.rtd",,$A$2,"."&amp;G$2&amp;G$1&amp;"P"&amp;$A44))))))))))</f>
        <v>0</v>
      </c>
      <c r="H44" s="14">
        <f ca="1">IF($A$2="PREMIUM_OI",IFERROR(IF($X$1="ABS",(100*RTD("tos.rtd",,"OPEN_INT","."&amp;H$2&amp;H$1&amp;"C"&amp;$A44)*RTD("tos.rtd",,"LAST","."&amp;H$2&amp;H$1&amp;"C"&amp;$A44)+100*RTD("tos.rtd",,"OPEN_INT","."&amp;H$2&amp;H$1&amp;"P"&amp;$A44)*RTD("tos.rtd",,"LAST","."&amp;H$2&amp;H$1&amp;"P"&amp;$A44))/1000000,(100*RTD("tos.rtd",,"OPEN_INT","."&amp;H$2&amp;H$1&amp;"C"&amp;$A44)*RTD("tos.rtd",,"LAST","."&amp;H$2&amp;H$1&amp;"C"&amp;$A44)-100*RTD("tos.rtd",,"OPEN_INT","."&amp;H$2&amp;H$1&amp;"P"&amp;$A44)*RTD("tos.rtd",,"LAST","."&amp;H$2&amp;H$1&amp;"P"&amp;$A44))/1000000),0),IF($A$2="PREMIUM",IFERROR(IF($X$1="ABS",(100*RTD("tos.rtd",,"VOLUME","."&amp;H$2&amp;H$1&amp;"C"&amp;$A44)*RTD("tos.rtd",,"LAST","."&amp;H$2&amp;H$1&amp;"C"&amp;$A44)+100*RTD("tos.rtd",,"VOLUME","."&amp;H$2&amp;H$1&amp;"P"&amp;$A44)*RTD("tos.rtd",,"LAST","."&amp;H$2&amp;H$1&amp;"P"&amp;$A44))/1000000,(100*RTD("tos.rtd",,"VOLUME","."&amp;H$2&amp;H$1&amp;"C"&amp;$A44)*RTD("tos.rtd",,"LAST","."&amp;H$2&amp;H$1&amp;"C"&amp;$A44)-100*RTD("tos.rtd",,"VOLUME","."&amp;H$2&amp;H$1&amp;"P"&amp;$A44)*RTD("tos.rtd",,"LAST","."&amp;H$2&amp;H$1&amp;"P"&amp;$A44))/1000000),0),IF($A$2="DEX",IFERROR(IF($X$1="ABS",(100*RTD("tos.rtd",,"OPEN_INT","."&amp;H$2&amp;H$1&amp;"C"&amp;$A44)*RTD("tos.rtd",,"DELTA","."&amp;H$2&amp;H$1&amp;"C"&amp;$A44)+100*RTD("tos.rtd",,"OPEN_INT","."&amp;H$2&amp;H$1&amp;"P"&amp;$A44)*RTD("tos.rtd",,"DELTA","."&amp;H$2&amp;H$1&amp;"P"&amp;$A44))/1000,(100*RTD("tos.rtd",,"OPEN_INT","."&amp;H$2&amp;H$1&amp;"C"&amp;$A44)*RTD("tos.rtd",,"DELTA","."&amp;H$2&amp;H$1&amp;"C"&amp;$A44)-100*RTD("tos.rtd",,"OPEN_INT","."&amp;H$2&amp;H$1&amp;"P"&amp;$A44)*RTD("tos.rtd",,"DELTA","."&amp;H$2&amp;H$1&amp;"P"&amp;$A44))/1000),0),IF($A$2="VEX",IFERROR(IF($X$1="ABS",($A$4*$A$4*RTD("tos.rtd",,"VOLUME","."&amp;H$2&amp;H$1&amp;"C"&amp;$A44)*RTD("tos.rtd",,"GAMMA","."&amp;H$2&amp;H$1&amp;"C"&amp;$A44)+$A$4*$A$4*RTD("tos.rtd",,"VOLUME","."&amp;H$2&amp;H$1&amp;"P"&amp;$A44)*RTD("tos.rtd",,"GAMMA","."&amp;H$2&amp;H$1&amp;"P"&amp;$A44))/1000000,($A$4*$A$4*RTD("tos.rtd",,"VOLUME","."&amp;H$2&amp;H$1&amp;"C"&amp;$A44)*RTD("tos.rtd",,"GAMMA","."&amp;H$2&amp;H$1&amp;"C"&amp;$A44)-$A$4*$A$4*RTD("tos.rtd",,"VOLUME","."&amp;H$2&amp;H$1&amp;"P"&amp;$A44)*RTD("tos.rtd",,"GAMMA","."&amp;H$2&amp;H$1&amp;"P"&amp;$A44))/1000000),0),IF($A$2="GEX",IFERROR(IF($X$1="ABS",($A$4*$A$4*RTD("tos.rtd",,"OPEN_INT","."&amp;H$2&amp;H$1&amp;"C"&amp;$A44)*RTD("tos.rtd",,"GAMMA","."&amp;H$2&amp;H$1&amp;"C"&amp;$A44)+$A$4*$A$4*RTD("tos.rtd",,"OPEN_INT","."&amp;H$2&amp;H$1&amp;"P"&amp;$A44)*RTD("tos.rtd",,"GAMMA","."&amp;H$2&amp;H$1&amp;"P"&amp;$A44))/1000000,($A$4*$A$4*RTD("tos.rtd",,"OPEN_INT","."&amp;H$2&amp;H$1&amp;"C"&amp;$A44)*RTD("tos.rtd",,"GAMMA","."&amp;H$2&amp;H$1&amp;"C"&amp;$A44)-$A$4*$A$4*RTD("tos.rtd",,"OPEN_INT","."&amp;H$2&amp;H$1&amp;"P"&amp;$A44)*RTD("tos.rtd",,"GAMMA","."&amp;H$2&amp;H$1&amp;"P"&amp;$A44))/1000000),0),IF($A$2="SKEW",IFERROR(VALUE(IF(RTD("tos.rtd",,"IMPL_VOL","."&amp;H$2&amp;H$1&amp;"P"&amp;$A44)="N/A",0,RTD("tos.rtd",,"IMPL_VOL","."&amp;H$2&amp;H$1&amp;"P"&amp;$A44))),0)-IFERROR(VALUE(IF(RTD("tos.rtd",,"IMPL_VOL","."&amp;H$2&amp;H$1&amp;"C"&amp;$A44)="N/A",0,RTD("tos.rtd",,"IMPL_VOL","."&amp;H$2&amp;H$1&amp;"C"&amp;$A44))),0),IF($A$2="MAXPAIN",IF($A$4&gt;$A44,($A$4-$A44)*IF(RTD("tos.rtd",,"OPEN_INT","."&amp;H$2&amp;H$1&amp;"C"&amp;$A44)="N/A",0,RTD("tos.rtd",,"OPEN_INT","."&amp;H$2&amp;H$1&amp;"C"&amp;$A44)),0)+IF($A$4&lt;$A44,($A$5-$A$4)*IF(RTD("tos.rtd",,"OPEN_INT","."&amp;H$2&amp;H$1&amp;"P"&amp;$A44)="N/A",0,RTD("tos.rtd",,"OPEN_INT","."&amp;H$2&amp;H$1&amp;"P"&amp;$A44)),0),IF($X$1="ABS",IF(RTD("tos.rtd",,$A$2,"."&amp;H$2&amp;H$1&amp;"C"&amp;$A44)="N/A",0,RTD("tos.rtd",,$A$2,"."&amp;H$2&amp;H$1&amp;"C"&amp;$A44))+IF(RTD("tos.rtd",,$A$2,"."&amp;H$2&amp;H$1&amp;"P"&amp;$A44)="N/A",0,RTD("tos.rtd",,$A$2,"."&amp;H$2&amp;H$1&amp;"P"&amp;$A44)),IF(RTD("tos.rtd",,$A$2,"."&amp;H$2&amp;H$1&amp;"C"&amp;$A44)="N/A",0,RTD("tos.rtd",,$A$2,"."&amp;H$2&amp;H$1&amp;"C"&amp;$A44))-IF(RTD("tos.rtd",,$A$2,"."&amp;H$2&amp;H$1&amp;"P"&amp;$A44)="N/A",0,RTD("tos.rtd",,$A$2,"."&amp;H$2&amp;H$1&amp;"P"&amp;$A44))))))))))</f>
        <v>0</v>
      </c>
      <c r="I44" s="12">
        <f ca="1">IF($A$2="PREMIUM_OI",IFERROR(IF($X$1="ABS",(100*RTD("tos.rtd",,"OPEN_INT","."&amp;I$2&amp;I$1&amp;"C"&amp;$A44)*RTD("tos.rtd",,"LAST","."&amp;I$2&amp;I$1&amp;"C"&amp;$A44)+100*RTD("tos.rtd",,"OPEN_INT","."&amp;I$2&amp;I$1&amp;"P"&amp;$A44)*RTD("tos.rtd",,"LAST","."&amp;I$2&amp;I$1&amp;"P"&amp;$A44))/1000000,(100*RTD("tos.rtd",,"OPEN_INT","."&amp;I$2&amp;I$1&amp;"C"&amp;$A44)*RTD("tos.rtd",,"LAST","."&amp;I$2&amp;I$1&amp;"C"&amp;$A44)-100*RTD("tos.rtd",,"OPEN_INT","."&amp;I$2&amp;I$1&amp;"P"&amp;$A44)*RTD("tos.rtd",,"LAST","."&amp;I$2&amp;I$1&amp;"P"&amp;$A44))/1000000),0),IF($A$2="PREMIUM",IFERROR(IF($X$1="ABS",(100*RTD("tos.rtd",,"VOLUME","."&amp;I$2&amp;I$1&amp;"C"&amp;$A44)*RTD("tos.rtd",,"LAST","."&amp;I$2&amp;I$1&amp;"C"&amp;$A44)+100*RTD("tos.rtd",,"VOLUME","."&amp;I$2&amp;I$1&amp;"P"&amp;$A44)*RTD("tos.rtd",,"LAST","."&amp;I$2&amp;I$1&amp;"P"&amp;$A44))/1000000,(100*RTD("tos.rtd",,"VOLUME","."&amp;I$2&amp;I$1&amp;"C"&amp;$A44)*RTD("tos.rtd",,"LAST","."&amp;I$2&amp;I$1&amp;"C"&amp;$A44)-100*RTD("tos.rtd",,"VOLUME","."&amp;I$2&amp;I$1&amp;"P"&amp;$A44)*RTD("tos.rtd",,"LAST","."&amp;I$2&amp;I$1&amp;"P"&amp;$A44))/1000000),0),IF($A$2="DEX",IFERROR(IF($X$1="ABS",(100*RTD("tos.rtd",,"OPEN_INT","."&amp;I$2&amp;I$1&amp;"C"&amp;$A44)*RTD("tos.rtd",,"DELTA","."&amp;I$2&amp;I$1&amp;"C"&amp;$A44)+100*RTD("tos.rtd",,"OPEN_INT","."&amp;I$2&amp;I$1&amp;"P"&amp;$A44)*RTD("tos.rtd",,"DELTA","."&amp;I$2&amp;I$1&amp;"P"&amp;$A44))/1000,(100*RTD("tos.rtd",,"OPEN_INT","."&amp;I$2&amp;I$1&amp;"C"&amp;$A44)*RTD("tos.rtd",,"DELTA","."&amp;I$2&amp;I$1&amp;"C"&amp;$A44)-100*RTD("tos.rtd",,"OPEN_INT","."&amp;I$2&amp;I$1&amp;"P"&amp;$A44)*RTD("tos.rtd",,"DELTA","."&amp;I$2&amp;I$1&amp;"P"&amp;$A44))/1000),0),IF($A$2="VEX",IFERROR(IF($X$1="ABS",($A$4*$A$4*RTD("tos.rtd",,"VOLUME","."&amp;I$2&amp;I$1&amp;"C"&amp;$A44)*RTD("tos.rtd",,"GAMMA","."&amp;I$2&amp;I$1&amp;"C"&amp;$A44)+$A$4*$A$4*RTD("tos.rtd",,"VOLUME","."&amp;I$2&amp;I$1&amp;"P"&amp;$A44)*RTD("tos.rtd",,"GAMMA","."&amp;I$2&amp;I$1&amp;"P"&amp;$A44))/1000000,($A$4*$A$4*RTD("tos.rtd",,"VOLUME","."&amp;I$2&amp;I$1&amp;"C"&amp;$A44)*RTD("tos.rtd",,"GAMMA","."&amp;I$2&amp;I$1&amp;"C"&amp;$A44)-$A$4*$A$4*RTD("tos.rtd",,"VOLUME","."&amp;I$2&amp;I$1&amp;"P"&amp;$A44)*RTD("tos.rtd",,"GAMMA","."&amp;I$2&amp;I$1&amp;"P"&amp;$A44))/1000000),0),IF($A$2="GEX",IFERROR(IF($X$1="ABS",($A$4*$A$4*RTD("tos.rtd",,"OPEN_INT","."&amp;I$2&amp;I$1&amp;"C"&amp;$A44)*RTD("tos.rtd",,"GAMMA","."&amp;I$2&amp;I$1&amp;"C"&amp;$A44)+$A$4*$A$4*RTD("tos.rtd",,"OPEN_INT","."&amp;I$2&amp;I$1&amp;"P"&amp;$A44)*RTD("tos.rtd",,"GAMMA","."&amp;I$2&amp;I$1&amp;"P"&amp;$A44))/1000000,($A$4*$A$4*RTD("tos.rtd",,"OPEN_INT","."&amp;I$2&amp;I$1&amp;"C"&amp;$A44)*RTD("tos.rtd",,"GAMMA","."&amp;I$2&amp;I$1&amp;"C"&amp;$A44)-$A$4*$A$4*RTD("tos.rtd",,"OPEN_INT","."&amp;I$2&amp;I$1&amp;"P"&amp;$A44)*RTD("tos.rtd",,"GAMMA","."&amp;I$2&amp;I$1&amp;"P"&amp;$A44))/1000000),0),IF($A$2="SKEW",IFERROR(VALUE(IF(RTD("tos.rtd",,"IMPL_VOL","."&amp;I$2&amp;I$1&amp;"P"&amp;$A44)="N/A",0,RTD("tos.rtd",,"IMPL_VOL","."&amp;I$2&amp;I$1&amp;"P"&amp;$A44))),0)-IFERROR(VALUE(IF(RTD("tos.rtd",,"IMPL_VOL","."&amp;I$2&amp;I$1&amp;"C"&amp;$A44)="N/A",0,RTD("tos.rtd",,"IMPL_VOL","."&amp;I$2&amp;I$1&amp;"C"&amp;$A44))),0),IF($A$2="MAXPAIN",IF($A$4&gt;$A44,($A$4-$A44)*IF(RTD("tos.rtd",,"OPEN_INT","."&amp;I$2&amp;I$1&amp;"C"&amp;$A44)="N/A",0,RTD("tos.rtd",,"OPEN_INT","."&amp;I$2&amp;I$1&amp;"C"&amp;$A44)),0)+IF($A$4&lt;$A44,($A$5-$A$4)*IF(RTD("tos.rtd",,"OPEN_INT","."&amp;I$2&amp;I$1&amp;"P"&amp;$A44)="N/A",0,RTD("tos.rtd",,"OPEN_INT","."&amp;I$2&amp;I$1&amp;"P"&amp;$A44)),0),IF($X$1="ABS",IF(RTD("tos.rtd",,$A$2,"."&amp;I$2&amp;I$1&amp;"C"&amp;$A44)="N/A",0,RTD("tos.rtd",,$A$2,"."&amp;I$2&amp;I$1&amp;"C"&amp;$A44))+IF(RTD("tos.rtd",,$A$2,"."&amp;I$2&amp;I$1&amp;"P"&amp;$A44)="N/A",0,RTD("tos.rtd",,$A$2,"."&amp;I$2&amp;I$1&amp;"P"&amp;$A44)),IF(RTD("tos.rtd",,$A$2,"."&amp;I$2&amp;I$1&amp;"C"&amp;$A44)="N/A",0,RTD("tos.rtd",,$A$2,"."&amp;I$2&amp;I$1&amp;"C"&amp;$A44))-IF(RTD("tos.rtd",,$A$2,"."&amp;I$2&amp;I$1&amp;"P"&amp;$A44)="N/A",0,RTD("tos.rtd",,$A$2,"."&amp;I$2&amp;I$1&amp;"P"&amp;$A44))))))))))</f>
        <v>0</v>
      </c>
      <c r="J44" s="12">
        <f ca="1">IF($A$2="PREMIUM_OI",IFERROR(IF($X$1="ABS",(100*RTD("tos.rtd",,"OPEN_INT","."&amp;J$2&amp;J$1&amp;"C"&amp;$A44)*RTD("tos.rtd",,"LAST","."&amp;J$2&amp;J$1&amp;"C"&amp;$A44)+100*RTD("tos.rtd",,"OPEN_INT","."&amp;J$2&amp;J$1&amp;"P"&amp;$A44)*RTD("tos.rtd",,"LAST","."&amp;J$2&amp;J$1&amp;"P"&amp;$A44))/1000000,(100*RTD("tos.rtd",,"OPEN_INT","."&amp;J$2&amp;J$1&amp;"C"&amp;$A44)*RTD("tos.rtd",,"LAST","."&amp;J$2&amp;J$1&amp;"C"&amp;$A44)-100*RTD("tos.rtd",,"OPEN_INT","."&amp;J$2&amp;J$1&amp;"P"&amp;$A44)*RTD("tos.rtd",,"LAST","."&amp;J$2&amp;J$1&amp;"P"&amp;$A44))/1000000),0),IF($A$2="PREMIUM",IFERROR(IF($X$1="ABS",(100*RTD("tos.rtd",,"VOLUME","."&amp;J$2&amp;J$1&amp;"C"&amp;$A44)*RTD("tos.rtd",,"LAST","."&amp;J$2&amp;J$1&amp;"C"&amp;$A44)+100*RTD("tos.rtd",,"VOLUME","."&amp;J$2&amp;J$1&amp;"P"&amp;$A44)*RTD("tos.rtd",,"LAST","."&amp;J$2&amp;J$1&amp;"P"&amp;$A44))/1000000,(100*RTD("tos.rtd",,"VOLUME","."&amp;J$2&amp;J$1&amp;"C"&amp;$A44)*RTD("tos.rtd",,"LAST","."&amp;J$2&amp;J$1&amp;"C"&amp;$A44)-100*RTD("tos.rtd",,"VOLUME","."&amp;J$2&amp;J$1&amp;"P"&amp;$A44)*RTD("tos.rtd",,"LAST","."&amp;J$2&amp;J$1&amp;"P"&amp;$A44))/1000000),0),IF($A$2="DEX",IFERROR(IF($X$1="ABS",(100*RTD("tos.rtd",,"OPEN_INT","."&amp;J$2&amp;J$1&amp;"C"&amp;$A44)*RTD("tos.rtd",,"DELTA","."&amp;J$2&amp;J$1&amp;"C"&amp;$A44)+100*RTD("tos.rtd",,"OPEN_INT","."&amp;J$2&amp;J$1&amp;"P"&amp;$A44)*RTD("tos.rtd",,"DELTA","."&amp;J$2&amp;J$1&amp;"P"&amp;$A44))/1000,(100*RTD("tos.rtd",,"OPEN_INT","."&amp;J$2&amp;J$1&amp;"C"&amp;$A44)*RTD("tos.rtd",,"DELTA","."&amp;J$2&amp;J$1&amp;"C"&amp;$A44)-100*RTD("tos.rtd",,"OPEN_INT","."&amp;J$2&amp;J$1&amp;"P"&amp;$A44)*RTD("tos.rtd",,"DELTA","."&amp;J$2&amp;J$1&amp;"P"&amp;$A44))/1000),0),IF($A$2="VEX",IFERROR(IF($X$1="ABS",($A$4*$A$4*RTD("tos.rtd",,"VOLUME","."&amp;J$2&amp;J$1&amp;"C"&amp;$A44)*RTD("tos.rtd",,"GAMMA","."&amp;J$2&amp;J$1&amp;"C"&amp;$A44)+$A$4*$A$4*RTD("tos.rtd",,"VOLUME","."&amp;J$2&amp;J$1&amp;"P"&amp;$A44)*RTD("tos.rtd",,"GAMMA","."&amp;J$2&amp;J$1&amp;"P"&amp;$A44))/1000000,($A$4*$A$4*RTD("tos.rtd",,"VOLUME","."&amp;J$2&amp;J$1&amp;"C"&amp;$A44)*RTD("tos.rtd",,"GAMMA","."&amp;J$2&amp;J$1&amp;"C"&amp;$A44)-$A$4*$A$4*RTD("tos.rtd",,"VOLUME","."&amp;J$2&amp;J$1&amp;"P"&amp;$A44)*RTD("tos.rtd",,"GAMMA","."&amp;J$2&amp;J$1&amp;"P"&amp;$A44))/1000000),0),IF($A$2="GEX",IFERROR(IF($X$1="ABS",($A$4*$A$4*RTD("tos.rtd",,"OPEN_INT","."&amp;J$2&amp;J$1&amp;"C"&amp;$A44)*RTD("tos.rtd",,"GAMMA","."&amp;J$2&amp;J$1&amp;"C"&amp;$A44)+$A$4*$A$4*RTD("tos.rtd",,"OPEN_INT","."&amp;J$2&amp;J$1&amp;"P"&amp;$A44)*RTD("tos.rtd",,"GAMMA","."&amp;J$2&amp;J$1&amp;"P"&amp;$A44))/1000000,($A$4*$A$4*RTD("tos.rtd",,"OPEN_INT","."&amp;J$2&amp;J$1&amp;"C"&amp;$A44)*RTD("tos.rtd",,"GAMMA","."&amp;J$2&amp;J$1&amp;"C"&amp;$A44)-$A$4*$A$4*RTD("tos.rtd",,"OPEN_INT","."&amp;J$2&amp;J$1&amp;"P"&amp;$A44)*RTD("tos.rtd",,"GAMMA","."&amp;J$2&amp;J$1&amp;"P"&amp;$A44))/1000000),0),IF($A$2="SKEW",IFERROR(VALUE(IF(RTD("tos.rtd",,"IMPL_VOL","."&amp;J$2&amp;J$1&amp;"P"&amp;$A44)="N/A",0,RTD("tos.rtd",,"IMPL_VOL","."&amp;J$2&amp;J$1&amp;"P"&amp;$A44))),0)-IFERROR(VALUE(IF(RTD("tos.rtd",,"IMPL_VOL","."&amp;J$2&amp;J$1&amp;"C"&amp;$A44)="N/A",0,RTD("tos.rtd",,"IMPL_VOL","."&amp;J$2&amp;J$1&amp;"C"&amp;$A44))),0),IF($A$2="MAXPAIN",IF($A$4&gt;$A44,($A$4-$A44)*IF(RTD("tos.rtd",,"OPEN_INT","."&amp;J$2&amp;J$1&amp;"C"&amp;$A44)="N/A",0,RTD("tos.rtd",,"OPEN_INT","."&amp;J$2&amp;J$1&amp;"C"&amp;$A44)),0)+IF($A$4&lt;$A44,($A$5-$A$4)*IF(RTD("tos.rtd",,"OPEN_INT","."&amp;J$2&amp;J$1&amp;"P"&amp;$A44)="N/A",0,RTD("tos.rtd",,"OPEN_INT","."&amp;J$2&amp;J$1&amp;"P"&amp;$A44)),0),IF($X$1="ABS",IF(RTD("tos.rtd",,$A$2,"."&amp;J$2&amp;J$1&amp;"C"&amp;$A44)="N/A",0,RTD("tos.rtd",,$A$2,"."&amp;J$2&amp;J$1&amp;"C"&amp;$A44))+IF(RTD("tos.rtd",,$A$2,"."&amp;J$2&amp;J$1&amp;"P"&amp;$A44)="N/A",0,RTD("tos.rtd",,$A$2,"."&amp;J$2&amp;J$1&amp;"P"&amp;$A44)),IF(RTD("tos.rtd",,$A$2,"."&amp;J$2&amp;J$1&amp;"C"&amp;$A44)="N/A",0,RTD("tos.rtd",,$A$2,"."&amp;J$2&amp;J$1&amp;"C"&amp;$A44))-IF(RTD("tos.rtd",,$A$2,"."&amp;J$2&amp;J$1&amp;"P"&amp;$A44)="N/A",0,RTD("tos.rtd",,$A$2,"."&amp;J$2&amp;J$1&amp;"P"&amp;$A44))))))))))</f>
        <v>0</v>
      </c>
      <c r="K44" s="12">
        <f ca="1">IF($A$2="PREMIUM_OI",IFERROR(IF($X$1="ABS",(100*RTD("tos.rtd",,"OPEN_INT","."&amp;K$2&amp;K$1&amp;"C"&amp;$A44)*RTD("tos.rtd",,"LAST","."&amp;K$2&amp;K$1&amp;"C"&amp;$A44)+100*RTD("tos.rtd",,"OPEN_INT","."&amp;K$2&amp;K$1&amp;"P"&amp;$A44)*RTD("tos.rtd",,"LAST","."&amp;K$2&amp;K$1&amp;"P"&amp;$A44))/1000000,(100*RTD("tos.rtd",,"OPEN_INT","."&amp;K$2&amp;K$1&amp;"C"&amp;$A44)*RTD("tos.rtd",,"LAST","."&amp;K$2&amp;K$1&amp;"C"&amp;$A44)-100*RTD("tos.rtd",,"OPEN_INT","."&amp;K$2&amp;K$1&amp;"P"&amp;$A44)*RTD("tos.rtd",,"LAST","."&amp;K$2&amp;K$1&amp;"P"&amp;$A44))/1000000),0),IF($A$2="PREMIUM",IFERROR(IF($X$1="ABS",(100*RTD("tos.rtd",,"VOLUME","."&amp;K$2&amp;K$1&amp;"C"&amp;$A44)*RTD("tos.rtd",,"LAST","."&amp;K$2&amp;K$1&amp;"C"&amp;$A44)+100*RTD("tos.rtd",,"VOLUME","."&amp;K$2&amp;K$1&amp;"P"&amp;$A44)*RTD("tos.rtd",,"LAST","."&amp;K$2&amp;K$1&amp;"P"&amp;$A44))/1000000,(100*RTD("tos.rtd",,"VOLUME","."&amp;K$2&amp;K$1&amp;"C"&amp;$A44)*RTD("tos.rtd",,"LAST","."&amp;K$2&amp;K$1&amp;"C"&amp;$A44)-100*RTD("tos.rtd",,"VOLUME","."&amp;K$2&amp;K$1&amp;"P"&amp;$A44)*RTD("tos.rtd",,"LAST","."&amp;K$2&amp;K$1&amp;"P"&amp;$A44))/1000000),0),IF($A$2="DEX",IFERROR(IF($X$1="ABS",(100*RTD("tos.rtd",,"OPEN_INT","."&amp;K$2&amp;K$1&amp;"C"&amp;$A44)*RTD("tos.rtd",,"DELTA","."&amp;K$2&amp;K$1&amp;"C"&amp;$A44)+100*RTD("tos.rtd",,"OPEN_INT","."&amp;K$2&amp;K$1&amp;"P"&amp;$A44)*RTD("tos.rtd",,"DELTA","."&amp;K$2&amp;K$1&amp;"P"&amp;$A44))/1000,(100*RTD("tos.rtd",,"OPEN_INT","."&amp;K$2&amp;K$1&amp;"C"&amp;$A44)*RTD("tos.rtd",,"DELTA","."&amp;K$2&amp;K$1&amp;"C"&amp;$A44)-100*RTD("tos.rtd",,"OPEN_INT","."&amp;K$2&amp;K$1&amp;"P"&amp;$A44)*RTD("tos.rtd",,"DELTA","."&amp;K$2&amp;K$1&amp;"P"&amp;$A44))/1000),0),IF($A$2="VEX",IFERROR(IF($X$1="ABS",($A$4*$A$4*RTD("tos.rtd",,"VOLUME","."&amp;K$2&amp;K$1&amp;"C"&amp;$A44)*RTD("tos.rtd",,"GAMMA","."&amp;K$2&amp;K$1&amp;"C"&amp;$A44)+$A$4*$A$4*RTD("tos.rtd",,"VOLUME","."&amp;K$2&amp;K$1&amp;"P"&amp;$A44)*RTD("tos.rtd",,"GAMMA","."&amp;K$2&amp;K$1&amp;"P"&amp;$A44))/1000000,($A$4*$A$4*RTD("tos.rtd",,"VOLUME","."&amp;K$2&amp;K$1&amp;"C"&amp;$A44)*RTD("tos.rtd",,"GAMMA","."&amp;K$2&amp;K$1&amp;"C"&amp;$A44)-$A$4*$A$4*RTD("tos.rtd",,"VOLUME","."&amp;K$2&amp;K$1&amp;"P"&amp;$A44)*RTD("tos.rtd",,"GAMMA","."&amp;K$2&amp;K$1&amp;"P"&amp;$A44))/1000000),0),IF($A$2="GEX",IFERROR(IF($X$1="ABS",($A$4*$A$4*RTD("tos.rtd",,"OPEN_INT","."&amp;K$2&amp;K$1&amp;"C"&amp;$A44)*RTD("tos.rtd",,"GAMMA","."&amp;K$2&amp;K$1&amp;"C"&amp;$A44)+$A$4*$A$4*RTD("tos.rtd",,"OPEN_INT","."&amp;K$2&amp;K$1&amp;"P"&amp;$A44)*RTD("tos.rtd",,"GAMMA","."&amp;K$2&amp;K$1&amp;"P"&amp;$A44))/1000000,($A$4*$A$4*RTD("tos.rtd",,"OPEN_INT","."&amp;K$2&amp;K$1&amp;"C"&amp;$A44)*RTD("tos.rtd",,"GAMMA","."&amp;K$2&amp;K$1&amp;"C"&amp;$A44)-$A$4*$A$4*RTD("tos.rtd",,"OPEN_INT","."&amp;K$2&amp;K$1&amp;"P"&amp;$A44)*RTD("tos.rtd",,"GAMMA","."&amp;K$2&amp;K$1&amp;"P"&amp;$A44))/1000000),0),IF($A$2="SKEW",IFERROR(VALUE(IF(RTD("tos.rtd",,"IMPL_VOL","."&amp;K$2&amp;K$1&amp;"P"&amp;$A44)="N/A",0,RTD("tos.rtd",,"IMPL_VOL","."&amp;K$2&amp;K$1&amp;"P"&amp;$A44))),0)-IFERROR(VALUE(IF(RTD("tos.rtd",,"IMPL_VOL","."&amp;K$2&amp;K$1&amp;"C"&amp;$A44)="N/A",0,RTD("tos.rtd",,"IMPL_VOL","."&amp;K$2&amp;K$1&amp;"C"&amp;$A44))),0),IF($A$2="MAXPAIN",IF($A$4&gt;$A44,($A$4-$A44)*IF(RTD("tos.rtd",,"OPEN_INT","."&amp;K$2&amp;K$1&amp;"C"&amp;$A44)="N/A",0,RTD("tos.rtd",,"OPEN_INT","."&amp;K$2&amp;K$1&amp;"C"&amp;$A44)),0)+IF($A$4&lt;$A44,($A$5-$A$4)*IF(RTD("tos.rtd",,"OPEN_INT","."&amp;K$2&amp;K$1&amp;"P"&amp;$A44)="N/A",0,RTD("tos.rtd",,"OPEN_INT","."&amp;K$2&amp;K$1&amp;"P"&amp;$A44)),0),IF($X$1="ABS",IF(RTD("tos.rtd",,$A$2,"."&amp;K$2&amp;K$1&amp;"C"&amp;$A44)="N/A",0,RTD("tos.rtd",,$A$2,"."&amp;K$2&amp;K$1&amp;"C"&amp;$A44))+IF(RTD("tos.rtd",,$A$2,"."&amp;K$2&amp;K$1&amp;"P"&amp;$A44)="N/A",0,RTD("tos.rtd",,$A$2,"."&amp;K$2&amp;K$1&amp;"P"&amp;$A44)),IF(RTD("tos.rtd",,$A$2,"."&amp;K$2&amp;K$1&amp;"C"&amp;$A44)="N/A",0,RTD("tos.rtd",,$A$2,"."&amp;K$2&amp;K$1&amp;"C"&amp;$A44))-IF(RTD("tos.rtd",,$A$2,"."&amp;K$2&amp;K$1&amp;"P"&amp;$A44)="N/A",0,RTD("tos.rtd",,$A$2,"."&amp;K$2&amp;K$1&amp;"P"&amp;$A44))))))))))</f>
        <v>0</v>
      </c>
      <c r="L44" s="54">
        <f ca="1">IF($A$2="PREMIUM_OI",IFERROR(IF($X$1="ABS",(100*RTD("tos.rtd",,"OPEN_INT","."&amp;L$2&amp;L$1&amp;"C"&amp;$A44)*RTD("tos.rtd",,"LAST","."&amp;L$2&amp;L$1&amp;"C"&amp;$A44)+100*RTD("tos.rtd",,"OPEN_INT","."&amp;L$2&amp;L$1&amp;"P"&amp;$A44)*RTD("tos.rtd",,"LAST","."&amp;L$2&amp;L$1&amp;"P"&amp;$A44))/1000000,(100*RTD("tos.rtd",,"OPEN_INT","."&amp;L$2&amp;L$1&amp;"C"&amp;$A44)*RTD("tos.rtd",,"LAST","."&amp;L$2&amp;L$1&amp;"C"&amp;$A44)-100*RTD("tos.rtd",,"OPEN_INT","."&amp;L$2&amp;L$1&amp;"P"&amp;$A44)*RTD("tos.rtd",,"LAST","."&amp;L$2&amp;L$1&amp;"P"&amp;$A44))/1000000),0),IF($A$2="PREMIUM",IFERROR(IF($X$1="ABS",(100*RTD("tos.rtd",,"VOLUME","."&amp;L$2&amp;L$1&amp;"C"&amp;$A44)*RTD("tos.rtd",,"LAST","."&amp;L$2&amp;L$1&amp;"C"&amp;$A44)+100*RTD("tos.rtd",,"VOLUME","."&amp;L$2&amp;L$1&amp;"P"&amp;$A44)*RTD("tos.rtd",,"LAST","."&amp;L$2&amp;L$1&amp;"P"&amp;$A44))/1000000,(100*RTD("tos.rtd",,"VOLUME","."&amp;L$2&amp;L$1&amp;"C"&amp;$A44)*RTD("tos.rtd",,"LAST","."&amp;L$2&amp;L$1&amp;"C"&amp;$A44)-100*RTD("tos.rtd",,"VOLUME","."&amp;L$2&amp;L$1&amp;"P"&amp;$A44)*RTD("tos.rtd",,"LAST","."&amp;L$2&amp;L$1&amp;"P"&amp;$A44))/1000000),0),IF($A$2="DEX",IFERROR(IF($X$1="ABS",(100*RTD("tos.rtd",,"OPEN_INT","."&amp;L$2&amp;L$1&amp;"C"&amp;$A44)*RTD("tos.rtd",,"DELTA","."&amp;L$2&amp;L$1&amp;"C"&amp;$A44)+100*RTD("tos.rtd",,"OPEN_INT","."&amp;L$2&amp;L$1&amp;"P"&amp;$A44)*RTD("tos.rtd",,"DELTA","."&amp;L$2&amp;L$1&amp;"P"&amp;$A44))/1000,(100*RTD("tos.rtd",,"OPEN_INT","."&amp;L$2&amp;L$1&amp;"C"&amp;$A44)*RTD("tos.rtd",,"DELTA","."&amp;L$2&amp;L$1&amp;"C"&amp;$A44)-100*RTD("tos.rtd",,"OPEN_INT","."&amp;L$2&amp;L$1&amp;"P"&amp;$A44)*RTD("tos.rtd",,"DELTA","."&amp;L$2&amp;L$1&amp;"P"&amp;$A44))/1000),0),IF($A$2="VEX",IFERROR(IF($X$1="ABS",($A$4*$A$4*RTD("tos.rtd",,"VOLUME","."&amp;L$2&amp;L$1&amp;"C"&amp;$A44)*RTD("tos.rtd",,"GAMMA","."&amp;L$2&amp;L$1&amp;"C"&amp;$A44)+$A$4*$A$4*RTD("tos.rtd",,"VOLUME","."&amp;L$2&amp;L$1&amp;"P"&amp;$A44)*RTD("tos.rtd",,"GAMMA","."&amp;L$2&amp;L$1&amp;"P"&amp;$A44))/1000000,($A$4*$A$4*RTD("tos.rtd",,"VOLUME","."&amp;L$2&amp;L$1&amp;"C"&amp;$A44)*RTD("tos.rtd",,"GAMMA","."&amp;L$2&amp;L$1&amp;"C"&amp;$A44)-$A$4*$A$4*RTD("tos.rtd",,"VOLUME","."&amp;L$2&amp;L$1&amp;"P"&amp;$A44)*RTD("tos.rtd",,"GAMMA","."&amp;L$2&amp;L$1&amp;"P"&amp;$A44))/1000000),0),IF($A$2="GEX",IFERROR(IF($X$1="ABS",($A$4*$A$4*RTD("tos.rtd",,"OPEN_INT","."&amp;L$2&amp;L$1&amp;"C"&amp;$A44)*RTD("tos.rtd",,"GAMMA","."&amp;L$2&amp;L$1&amp;"C"&amp;$A44)+$A$4*$A$4*RTD("tos.rtd",,"OPEN_INT","."&amp;L$2&amp;L$1&amp;"P"&amp;$A44)*RTD("tos.rtd",,"GAMMA","."&amp;L$2&amp;L$1&amp;"P"&amp;$A44))/1000000,($A$4*$A$4*RTD("tos.rtd",,"OPEN_INT","."&amp;L$2&amp;L$1&amp;"C"&amp;$A44)*RTD("tos.rtd",,"GAMMA","."&amp;L$2&amp;L$1&amp;"C"&amp;$A44)-$A$4*$A$4*RTD("tos.rtd",,"OPEN_INT","."&amp;L$2&amp;L$1&amp;"P"&amp;$A44)*RTD("tos.rtd",,"GAMMA","."&amp;L$2&amp;L$1&amp;"P"&amp;$A44))/1000000),0),IF($A$2="SKEW",IFERROR(VALUE(IF(RTD("tos.rtd",,"IMPL_VOL","."&amp;L$2&amp;L$1&amp;"P"&amp;$A44)="N/A",0,RTD("tos.rtd",,"IMPL_VOL","."&amp;L$2&amp;L$1&amp;"P"&amp;$A44))),0)-IFERROR(VALUE(IF(RTD("tos.rtd",,"IMPL_VOL","."&amp;L$2&amp;L$1&amp;"C"&amp;$A44)="N/A",0,RTD("tos.rtd",,"IMPL_VOL","."&amp;L$2&amp;L$1&amp;"C"&amp;$A44))),0),IF($A$2="MAXPAIN",IF($A$4&gt;$A44,($A$4-$A44)*IF(RTD("tos.rtd",,"OPEN_INT","."&amp;L$2&amp;L$1&amp;"C"&amp;$A44)="N/A",0,RTD("tos.rtd",,"OPEN_INT","."&amp;L$2&amp;L$1&amp;"C"&amp;$A44)),0)+IF($A$4&lt;$A44,($A$5-$A$4)*IF(RTD("tos.rtd",,"OPEN_INT","."&amp;L$2&amp;L$1&amp;"P"&amp;$A44)="N/A",0,RTD("tos.rtd",,"OPEN_INT","."&amp;L$2&amp;L$1&amp;"P"&amp;$A44)),0),IF($X$1="ABS",IF(RTD("tos.rtd",,$A$2,"."&amp;L$2&amp;L$1&amp;"C"&amp;$A44)="N/A",0,RTD("tos.rtd",,$A$2,"."&amp;L$2&amp;L$1&amp;"C"&amp;$A44))+IF(RTD("tos.rtd",,$A$2,"."&amp;L$2&amp;L$1&amp;"P"&amp;$A44)="N/A",0,RTD("tos.rtd",,$A$2,"."&amp;L$2&amp;L$1&amp;"P"&amp;$A44)),IF(RTD("tos.rtd",,$A$2,"."&amp;L$2&amp;L$1&amp;"C"&amp;$A44)="N/A",0,RTD("tos.rtd",,$A$2,"."&amp;L$2&amp;L$1&amp;"C"&amp;$A44))-IF(RTD("tos.rtd",,$A$2,"."&amp;L$2&amp;L$1&amp;"P"&amp;$A44)="N/A",0,RTD("tos.rtd",,$A$2,"."&amp;L$2&amp;L$1&amp;"P"&amp;$A44))))))))))</f>
        <v>0</v>
      </c>
      <c r="M44" s="12">
        <f ca="1">IF($A$2="PREMIUM_OI",IFERROR(IF($X$1="ABS",(100*RTD("tos.rtd",,"OPEN_INT","."&amp;M$2&amp;M$1&amp;"C"&amp;$A44)*RTD("tos.rtd",,"LAST","."&amp;M$2&amp;M$1&amp;"C"&amp;$A44)+100*RTD("tos.rtd",,"OPEN_INT","."&amp;M$2&amp;M$1&amp;"P"&amp;$A44)*RTD("tos.rtd",,"LAST","."&amp;M$2&amp;M$1&amp;"P"&amp;$A44))/1000000,(100*RTD("tos.rtd",,"OPEN_INT","."&amp;M$2&amp;M$1&amp;"C"&amp;$A44)*RTD("tos.rtd",,"LAST","."&amp;M$2&amp;M$1&amp;"C"&amp;$A44)-100*RTD("tos.rtd",,"OPEN_INT","."&amp;M$2&amp;M$1&amp;"P"&amp;$A44)*RTD("tos.rtd",,"LAST","."&amp;M$2&amp;M$1&amp;"P"&amp;$A44))/1000000),0),IF($A$2="PREMIUM",IFERROR(IF($X$1="ABS",(100*RTD("tos.rtd",,"VOLUME","."&amp;M$2&amp;M$1&amp;"C"&amp;$A44)*RTD("tos.rtd",,"LAST","."&amp;M$2&amp;M$1&amp;"C"&amp;$A44)+100*RTD("tos.rtd",,"VOLUME","."&amp;M$2&amp;M$1&amp;"P"&amp;$A44)*RTD("tos.rtd",,"LAST","."&amp;M$2&amp;M$1&amp;"P"&amp;$A44))/1000000,(100*RTD("tos.rtd",,"VOLUME","."&amp;M$2&amp;M$1&amp;"C"&amp;$A44)*RTD("tos.rtd",,"LAST","."&amp;M$2&amp;M$1&amp;"C"&amp;$A44)-100*RTD("tos.rtd",,"VOLUME","."&amp;M$2&amp;M$1&amp;"P"&amp;$A44)*RTD("tos.rtd",,"LAST","."&amp;M$2&amp;M$1&amp;"P"&amp;$A44))/1000000),0),IF($A$2="DEX",IFERROR(IF($X$1="ABS",(100*RTD("tos.rtd",,"OPEN_INT","."&amp;M$2&amp;M$1&amp;"C"&amp;$A44)*RTD("tos.rtd",,"DELTA","."&amp;M$2&amp;M$1&amp;"C"&amp;$A44)+100*RTD("tos.rtd",,"OPEN_INT","."&amp;M$2&amp;M$1&amp;"P"&amp;$A44)*RTD("tos.rtd",,"DELTA","."&amp;M$2&amp;M$1&amp;"P"&amp;$A44))/1000,(100*RTD("tos.rtd",,"OPEN_INT","."&amp;M$2&amp;M$1&amp;"C"&amp;$A44)*RTD("tos.rtd",,"DELTA","."&amp;M$2&amp;M$1&amp;"C"&amp;$A44)-100*RTD("tos.rtd",,"OPEN_INT","."&amp;M$2&amp;M$1&amp;"P"&amp;$A44)*RTD("tos.rtd",,"DELTA","."&amp;M$2&amp;M$1&amp;"P"&amp;$A44))/1000),0),IF($A$2="VEX",IFERROR(IF($X$1="ABS",($A$4*$A$4*RTD("tos.rtd",,"VOLUME","."&amp;M$2&amp;M$1&amp;"C"&amp;$A44)*RTD("tos.rtd",,"GAMMA","."&amp;M$2&amp;M$1&amp;"C"&amp;$A44)+$A$4*$A$4*RTD("tos.rtd",,"VOLUME","."&amp;M$2&amp;M$1&amp;"P"&amp;$A44)*RTD("tos.rtd",,"GAMMA","."&amp;M$2&amp;M$1&amp;"P"&amp;$A44))/1000000,($A$4*$A$4*RTD("tos.rtd",,"VOLUME","."&amp;M$2&amp;M$1&amp;"C"&amp;$A44)*RTD("tos.rtd",,"GAMMA","."&amp;M$2&amp;M$1&amp;"C"&amp;$A44)-$A$4*$A$4*RTD("tos.rtd",,"VOLUME","."&amp;M$2&amp;M$1&amp;"P"&amp;$A44)*RTD("tos.rtd",,"GAMMA","."&amp;M$2&amp;M$1&amp;"P"&amp;$A44))/1000000),0),IF($A$2="GEX",IFERROR(IF($X$1="ABS",($A$4*$A$4*RTD("tos.rtd",,"OPEN_INT","."&amp;M$2&amp;M$1&amp;"C"&amp;$A44)*RTD("tos.rtd",,"GAMMA","."&amp;M$2&amp;M$1&amp;"C"&amp;$A44)+$A$4*$A$4*RTD("tos.rtd",,"OPEN_INT","."&amp;M$2&amp;M$1&amp;"P"&amp;$A44)*RTD("tos.rtd",,"GAMMA","."&amp;M$2&amp;M$1&amp;"P"&amp;$A44))/1000000,($A$4*$A$4*RTD("tos.rtd",,"OPEN_INT","."&amp;M$2&amp;M$1&amp;"C"&amp;$A44)*RTD("tos.rtd",,"GAMMA","."&amp;M$2&amp;M$1&amp;"C"&amp;$A44)-$A$4*$A$4*RTD("tos.rtd",,"OPEN_INT","."&amp;M$2&amp;M$1&amp;"P"&amp;$A44)*RTD("tos.rtd",,"GAMMA","."&amp;M$2&amp;M$1&amp;"P"&amp;$A44))/1000000),0),IF($A$2="SKEW",IFERROR(VALUE(IF(RTD("tos.rtd",,"IMPL_VOL","."&amp;M$2&amp;M$1&amp;"P"&amp;$A44)="N/A",0,RTD("tos.rtd",,"IMPL_VOL","."&amp;M$2&amp;M$1&amp;"P"&amp;$A44))),0)-IFERROR(VALUE(IF(RTD("tos.rtd",,"IMPL_VOL","."&amp;M$2&amp;M$1&amp;"C"&amp;$A44)="N/A",0,RTD("tos.rtd",,"IMPL_VOL","."&amp;M$2&amp;M$1&amp;"C"&amp;$A44))),0),IF($A$2="MAXPAIN",IF($A$4&gt;$A44,($A$4-$A44)*IF(RTD("tos.rtd",,"OPEN_INT","."&amp;M$2&amp;M$1&amp;"C"&amp;$A44)="N/A",0,RTD("tos.rtd",,"OPEN_INT","."&amp;M$2&amp;M$1&amp;"C"&amp;$A44)),0)+IF($A$4&lt;$A44,($A$5-$A$4)*IF(RTD("tos.rtd",,"OPEN_INT","."&amp;M$2&amp;M$1&amp;"P"&amp;$A44)="N/A",0,RTD("tos.rtd",,"OPEN_INT","."&amp;M$2&amp;M$1&amp;"P"&amp;$A44)),0),IF($X$1="ABS",IF(RTD("tos.rtd",,$A$2,"."&amp;M$2&amp;M$1&amp;"C"&amp;$A44)="N/A",0,RTD("tos.rtd",,$A$2,"."&amp;M$2&amp;M$1&amp;"C"&amp;$A44))+IF(RTD("tos.rtd",,$A$2,"."&amp;M$2&amp;M$1&amp;"P"&amp;$A44)="N/A",0,RTD("tos.rtd",,$A$2,"."&amp;M$2&amp;M$1&amp;"P"&amp;$A44)),IF(RTD("tos.rtd",,$A$2,"."&amp;M$2&amp;M$1&amp;"C"&amp;$A44)="N/A",0,RTD("tos.rtd",,$A$2,"."&amp;M$2&amp;M$1&amp;"C"&amp;$A44))-IF(RTD("tos.rtd",,$A$2,"."&amp;M$2&amp;M$1&amp;"P"&amp;$A44)="N/A",0,RTD("tos.rtd",,$A$2,"."&amp;M$2&amp;M$1&amp;"P"&amp;$A44))))))))))</f>
        <v>0</v>
      </c>
      <c r="N44" s="12">
        <f ca="1">IF($A$2="PREMIUM_OI",IFERROR(IF($X$1="ABS",(100*RTD("tos.rtd",,"OPEN_INT","."&amp;N$2&amp;N$1&amp;"C"&amp;$A44)*RTD("tos.rtd",,"LAST","."&amp;N$2&amp;N$1&amp;"C"&amp;$A44)+100*RTD("tos.rtd",,"OPEN_INT","."&amp;N$2&amp;N$1&amp;"P"&amp;$A44)*RTD("tos.rtd",,"LAST","."&amp;N$2&amp;N$1&amp;"P"&amp;$A44))/1000000,(100*RTD("tos.rtd",,"OPEN_INT","."&amp;N$2&amp;N$1&amp;"C"&amp;$A44)*RTD("tos.rtd",,"LAST","."&amp;N$2&amp;N$1&amp;"C"&amp;$A44)-100*RTD("tos.rtd",,"OPEN_INT","."&amp;N$2&amp;N$1&amp;"P"&amp;$A44)*RTD("tos.rtd",,"LAST","."&amp;N$2&amp;N$1&amp;"P"&amp;$A44))/1000000),0),IF($A$2="PREMIUM",IFERROR(IF($X$1="ABS",(100*RTD("tos.rtd",,"VOLUME","."&amp;N$2&amp;N$1&amp;"C"&amp;$A44)*RTD("tos.rtd",,"LAST","."&amp;N$2&amp;N$1&amp;"C"&amp;$A44)+100*RTD("tos.rtd",,"VOLUME","."&amp;N$2&amp;N$1&amp;"P"&amp;$A44)*RTD("tos.rtd",,"LAST","."&amp;N$2&amp;N$1&amp;"P"&amp;$A44))/1000000,(100*RTD("tos.rtd",,"VOLUME","."&amp;N$2&amp;N$1&amp;"C"&amp;$A44)*RTD("tos.rtd",,"LAST","."&amp;N$2&amp;N$1&amp;"C"&amp;$A44)-100*RTD("tos.rtd",,"VOLUME","."&amp;N$2&amp;N$1&amp;"P"&amp;$A44)*RTD("tos.rtd",,"LAST","."&amp;N$2&amp;N$1&amp;"P"&amp;$A44))/1000000),0),IF($A$2="DEX",IFERROR(IF($X$1="ABS",(100*RTD("tos.rtd",,"OPEN_INT","."&amp;N$2&amp;N$1&amp;"C"&amp;$A44)*RTD("tos.rtd",,"DELTA","."&amp;N$2&amp;N$1&amp;"C"&amp;$A44)+100*RTD("tos.rtd",,"OPEN_INT","."&amp;N$2&amp;N$1&amp;"P"&amp;$A44)*RTD("tos.rtd",,"DELTA","."&amp;N$2&amp;N$1&amp;"P"&amp;$A44))/1000,(100*RTD("tos.rtd",,"OPEN_INT","."&amp;N$2&amp;N$1&amp;"C"&amp;$A44)*RTD("tos.rtd",,"DELTA","."&amp;N$2&amp;N$1&amp;"C"&amp;$A44)-100*RTD("tos.rtd",,"OPEN_INT","."&amp;N$2&amp;N$1&amp;"P"&amp;$A44)*RTD("tos.rtd",,"DELTA","."&amp;N$2&amp;N$1&amp;"P"&amp;$A44))/1000),0),IF($A$2="VEX",IFERROR(IF($X$1="ABS",($A$4*$A$4*RTD("tos.rtd",,"VOLUME","."&amp;N$2&amp;N$1&amp;"C"&amp;$A44)*RTD("tos.rtd",,"GAMMA","."&amp;N$2&amp;N$1&amp;"C"&amp;$A44)+$A$4*$A$4*RTD("tos.rtd",,"VOLUME","."&amp;N$2&amp;N$1&amp;"P"&amp;$A44)*RTD("tos.rtd",,"GAMMA","."&amp;N$2&amp;N$1&amp;"P"&amp;$A44))/1000000,($A$4*$A$4*RTD("tos.rtd",,"VOLUME","."&amp;N$2&amp;N$1&amp;"C"&amp;$A44)*RTD("tos.rtd",,"GAMMA","."&amp;N$2&amp;N$1&amp;"C"&amp;$A44)-$A$4*$A$4*RTD("tos.rtd",,"VOLUME","."&amp;N$2&amp;N$1&amp;"P"&amp;$A44)*RTD("tos.rtd",,"GAMMA","."&amp;N$2&amp;N$1&amp;"P"&amp;$A44))/1000000),0),IF($A$2="GEX",IFERROR(IF($X$1="ABS",($A$4*$A$4*RTD("tos.rtd",,"OPEN_INT","."&amp;N$2&amp;N$1&amp;"C"&amp;$A44)*RTD("tos.rtd",,"GAMMA","."&amp;N$2&amp;N$1&amp;"C"&amp;$A44)+$A$4*$A$4*RTD("tos.rtd",,"OPEN_INT","."&amp;N$2&amp;N$1&amp;"P"&amp;$A44)*RTD("tos.rtd",,"GAMMA","."&amp;N$2&amp;N$1&amp;"P"&amp;$A44))/1000000,($A$4*$A$4*RTD("tos.rtd",,"OPEN_INT","."&amp;N$2&amp;N$1&amp;"C"&amp;$A44)*RTD("tos.rtd",,"GAMMA","."&amp;N$2&amp;N$1&amp;"C"&amp;$A44)-$A$4*$A$4*RTD("tos.rtd",,"OPEN_INT","."&amp;N$2&amp;N$1&amp;"P"&amp;$A44)*RTD("tos.rtd",,"GAMMA","."&amp;N$2&amp;N$1&amp;"P"&amp;$A44))/1000000),0),IF($A$2="SKEW",IFERROR(VALUE(IF(RTD("tos.rtd",,"IMPL_VOL","."&amp;N$2&amp;N$1&amp;"P"&amp;$A44)="N/A",0,RTD("tos.rtd",,"IMPL_VOL","."&amp;N$2&amp;N$1&amp;"P"&amp;$A44))),0)-IFERROR(VALUE(IF(RTD("tos.rtd",,"IMPL_VOL","."&amp;N$2&amp;N$1&amp;"C"&amp;$A44)="N/A",0,RTD("tos.rtd",,"IMPL_VOL","."&amp;N$2&amp;N$1&amp;"C"&amp;$A44))),0),IF($A$2="MAXPAIN",IF($A$4&gt;$A44,($A$4-$A44)*IF(RTD("tos.rtd",,"OPEN_INT","."&amp;N$2&amp;N$1&amp;"C"&amp;$A44)="N/A",0,RTD("tos.rtd",,"OPEN_INT","."&amp;N$2&amp;N$1&amp;"C"&amp;$A44)),0)+IF($A$4&lt;$A44,($A$5-$A$4)*IF(RTD("tos.rtd",,"OPEN_INT","."&amp;N$2&amp;N$1&amp;"P"&amp;$A44)="N/A",0,RTD("tos.rtd",,"OPEN_INT","."&amp;N$2&amp;N$1&amp;"P"&amp;$A44)),0),IF($X$1="ABS",IF(RTD("tos.rtd",,$A$2,"."&amp;N$2&amp;N$1&amp;"C"&amp;$A44)="N/A",0,RTD("tos.rtd",,$A$2,"."&amp;N$2&amp;N$1&amp;"C"&amp;$A44))+IF(RTD("tos.rtd",,$A$2,"."&amp;N$2&amp;N$1&amp;"P"&amp;$A44)="N/A",0,RTD("tos.rtd",,$A$2,"."&amp;N$2&amp;N$1&amp;"P"&amp;$A44)),IF(RTD("tos.rtd",,$A$2,"."&amp;N$2&amp;N$1&amp;"C"&amp;$A44)="N/A",0,RTD("tos.rtd",,$A$2,"."&amp;N$2&amp;N$1&amp;"C"&amp;$A44))-IF(RTD("tos.rtd",,$A$2,"."&amp;N$2&amp;N$1&amp;"P"&amp;$A44)="N/A",0,RTD("tos.rtd",,$A$2,"."&amp;N$2&amp;N$1&amp;"P"&amp;$A44))))))))))</f>
        <v>0</v>
      </c>
      <c r="O44" s="12">
        <f ca="1">IF($A$2="PREMIUM_OI",IFERROR(IF($X$1="ABS",(100*RTD("tos.rtd",,"OPEN_INT","."&amp;O$2&amp;O$1&amp;"C"&amp;$A44)*RTD("tos.rtd",,"LAST","."&amp;O$2&amp;O$1&amp;"C"&amp;$A44)+100*RTD("tos.rtd",,"OPEN_INT","."&amp;O$2&amp;O$1&amp;"P"&amp;$A44)*RTD("tos.rtd",,"LAST","."&amp;O$2&amp;O$1&amp;"P"&amp;$A44))/1000000,(100*RTD("tos.rtd",,"OPEN_INT","."&amp;O$2&amp;O$1&amp;"C"&amp;$A44)*RTD("tos.rtd",,"LAST","."&amp;O$2&amp;O$1&amp;"C"&amp;$A44)-100*RTD("tos.rtd",,"OPEN_INT","."&amp;O$2&amp;O$1&amp;"P"&amp;$A44)*RTD("tos.rtd",,"LAST","."&amp;O$2&amp;O$1&amp;"P"&amp;$A44))/1000000),0),IF($A$2="PREMIUM",IFERROR(IF($X$1="ABS",(100*RTD("tos.rtd",,"VOLUME","."&amp;O$2&amp;O$1&amp;"C"&amp;$A44)*RTD("tos.rtd",,"LAST","."&amp;O$2&amp;O$1&amp;"C"&amp;$A44)+100*RTD("tos.rtd",,"VOLUME","."&amp;O$2&amp;O$1&amp;"P"&amp;$A44)*RTD("tos.rtd",,"LAST","."&amp;O$2&amp;O$1&amp;"P"&amp;$A44))/1000000,(100*RTD("tos.rtd",,"VOLUME","."&amp;O$2&amp;O$1&amp;"C"&amp;$A44)*RTD("tos.rtd",,"LAST","."&amp;O$2&amp;O$1&amp;"C"&amp;$A44)-100*RTD("tos.rtd",,"VOLUME","."&amp;O$2&amp;O$1&amp;"P"&amp;$A44)*RTD("tos.rtd",,"LAST","."&amp;O$2&amp;O$1&amp;"P"&amp;$A44))/1000000),0),IF($A$2="DEX",IFERROR(IF($X$1="ABS",(100*RTD("tos.rtd",,"OPEN_INT","."&amp;O$2&amp;O$1&amp;"C"&amp;$A44)*RTD("tos.rtd",,"DELTA","."&amp;O$2&amp;O$1&amp;"C"&amp;$A44)+100*RTD("tos.rtd",,"OPEN_INT","."&amp;O$2&amp;O$1&amp;"P"&amp;$A44)*RTD("tos.rtd",,"DELTA","."&amp;O$2&amp;O$1&amp;"P"&amp;$A44))/1000,(100*RTD("tos.rtd",,"OPEN_INT","."&amp;O$2&amp;O$1&amp;"C"&amp;$A44)*RTD("tos.rtd",,"DELTA","."&amp;O$2&amp;O$1&amp;"C"&amp;$A44)-100*RTD("tos.rtd",,"OPEN_INT","."&amp;O$2&amp;O$1&amp;"P"&amp;$A44)*RTD("tos.rtd",,"DELTA","."&amp;O$2&amp;O$1&amp;"P"&amp;$A44))/1000),0),IF($A$2="VEX",IFERROR(IF($X$1="ABS",($A$4*$A$4*RTD("tos.rtd",,"VOLUME","."&amp;O$2&amp;O$1&amp;"C"&amp;$A44)*RTD("tos.rtd",,"GAMMA","."&amp;O$2&amp;O$1&amp;"C"&amp;$A44)+$A$4*$A$4*RTD("tos.rtd",,"VOLUME","."&amp;O$2&amp;O$1&amp;"P"&amp;$A44)*RTD("tos.rtd",,"GAMMA","."&amp;O$2&amp;O$1&amp;"P"&amp;$A44))/1000000,($A$4*$A$4*RTD("tos.rtd",,"VOLUME","."&amp;O$2&amp;O$1&amp;"C"&amp;$A44)*RTD("tos.rtd",,"GAMMA","."&amp;O$2&amp;O$1&amp;"C"&amp;$A44)-$A$4*$A$4*RTD("tos.rtd",,"VOLUME","."&amp;O$2&amp;O$1&amp;"P"&amp;$A44)*RTD("tos.rtd",,"GAMMA","."&amp;O$2&amp;O$1&amp;"P"&amp;$A44))/1000000),0),IF($A$2="GEX",IFERROR(IF($X$1="ABS",($A$4*$A$4*RTD("tos.rtd",,"OPEN_INT","."&amp;O$2&amp;O$1&amp;"C"&amp;$A44)*RTD("tos.rtd",,"GAMMA","."&amp;O$2&amp;O$1&amp;"C"&amp;$A44)+$A$4*$A$4*RTD("tos.rtd",,"OPEN_INT","."&amp;O$2&amp;O$1&amp;"P"&amp;$A44)*RTD("tos.rtd",,"GAMMA","."&amp;O$2&amp;O$1&amp;"P"&amp;$A44))/1000000,($A$4*$A$4*RTD("tos.rtd",,"OPEN_INT","."&amp;O$2&amp;O$1&amp;"C"&amp;$A44)*RTD("tos.rtd",,"GAMMA","."&amp;O$2&amp;O$1&amp;"C"&amp;$A44)-$A$4*$A$4*RTD("tos.rtd",,"OPEN_INT","."&amp;O$2&amp;O$1&amp;"P"&amp;$A44)*RTD("tos.rtd",,"GAMMA","."&amp;O$2&amp;O$1&amp;"P"&amp;$A44))/1000000),0),IF($A$2="SKEW",IFERROR(VALUE(IF(RTD("tos.rtd",,"IMPL_VOL","."&amp;O$2&amp;O$1&amp;"P"&amp;$A44)="N/A",0,RTD("tos.rtd",,"IMPL_VOL","."&amp;O$2&amp;O$1&amp;"P"&amp;$A44))),0)-IFERROR(VALUE(IF(RTD("tos.rtd",,"IMPL_VOL","."&amp;O$2&amp;O$1&amp;"C"&amp;$A44)="N/A",0,RTD("tos.rtd",,"IMPL_VOL","."&amp;O$2&amp;O$1&amp;"C"&amp;$A44))),0),IF($A$2="MAXPAIN",IF($A$4&gt;$A44,($A$4-$A44)*IF(RTD("tos.rtd",,"OPEN_INT","."&amp;O$2&amp;O$1&amp;"C"&amp;$A44)="N/A",0,RTD("tos.rtd",,"OPEN_INT","."&amp;O$2&amp;O$1&amp;"C"&amp;$A44)),0)+IF($A$4&lt;$A44,($A$5-$A$4)*IF(RTD("tos.rtd",,"OPEN_INT","."&amp;O$2&amp;O$1&amp;"P"&amp;$A44)="N/A",0,RTD("tos.rtd",,"OPEN_INT","."&amp;O$2&amp;O$1&amp;"P"&amp;$A44)),0),IF($X$1="ABS",IF(RTD("tos.rtd",,$A$2,"."&amp;O$2&amp;O$1&amp;"C"&amp;$A44)="N/A",0,RTD("tos.rtd",,$A$2,"."&amp;O$2&amp;O$1&amp;"C"&amp;$A44))+IF(RTD("tos.rtd",,$A$2,"."&amp;O$2&amp;O$1&amp;"P"&amp;$A44)="N/A",0,RTD("tos.rtd",,$A$2,"."&amp;O$2&amp;O$1&amp;"P"&amp;$A44)),IF(RTD("tos.rtd",,$A$2,"."&amp;O$2&amp;O$1&amp;"C"&amp;$A44)="N/A",0,RTD("tos.rtd",,$A$2,"."&amp;O$2&amp;O$1&amp;"C"&amp;$A44))-IF(RTD("tos.rtd",,$A$2,"."&amp;O$2&amp;O$1&amp;"P"&amp;$A44)="N/A",0,RTD("tos.rtd",,$A$2,"."&amp;O$2&amp;O$1&amp;"P"&amp;$A44))))))))))</f>
        <v>0</v>
      </c>
      <c r="P44" s="12">
        <f ca="1">IF($A$2="PREMIUM_OI",IFERROR(IF($X$1="ABS",(100*RTD("tos.rtd",,"OPEN_INT","."&amp;P$2&amp;P$1&amp;"C"&amp;$A44)*RTD("tos.rtd",,"LAST","."&amp;P$2&amp;P$1&amp;"C"&amp;$A44)+100*RTD("tos.rtd",,"OPEN_INT","."&amp;P$2&amp;P$1&amp;"P"&amp;$A44)*RTD("tos.rtd",,"LAST","."&amp;P$2&amp;P$1&amp;"P"&amp;$A44))/1000000,(100*RTD("tos.rtd",,"OPEN_INT","."&amp;P$2&amp;P$1&amp;"C"&amp;$A44)*RTD("tos.rtd",,"LAST","."&amp;P$2&amp;P$1&amp;"C"&amp;$A44)-100*RTD("tos.rtd",,"OPEN_INT","."&amp;P$2&amp;P$1&amp;"P"&amp;$A44)*RTD("tos.rtd",,"LAST","."&amp;P$2&amp;P$1&amp;"P"&amp;$A44))/1000000),0),IF($A$2="PREMIUM",IFERROR(IF($X$1="ABS",(100*RTD("tos.rtd",,"VOLUME","."&amp;P$2&amp;P$1&amp;"C"&amp;$A44)*RTD("tos.rtd",,"LAST","."&amp;P$2&amp;P$1&amp;"C"&amp;$A44)+100*RTD("tos.rtd",,"VOLUME","."&amp;P$2&amp;P$1&amp;"P"&amp;$A44)*RTD("tos.rtd",,"LAST","."&amp;P$2&amp;P$1&amp;"P"&amp;$A44))/1000000,(100*RTD("tos.rtd",,"VOLUME","."&amp;P$2&amp;P$1&amp;"C"&amp;$A44)*RTD("tos.rtd",,"LAST","."&amp;P$2&amp;P$1&amp;"C"&amp;$A44)-100*RTD("tos.rtd",,"VOLUME","."&amp;P$2&amp;P$1&amp;"P"&amp;$A44)*RTD("tos.rtd",,"LAST","."&amp;P$2&amp;P$1&amp;"P"&amp;$A44))/1000000),0),IF($A$2="DEX",IFERROR(IF($X$1="ABS",(100*RTD("tos.rtd",,"OPEN_INT","."&amp;P$2&amp;P$1&amp;"C"&amp;$A44)*RTD("tos.rtd",,"DELTA","."&amp;P$2&amp;P$1&amp;"C"&amp;$A44)+100*RTD("tos.rtd",,"OPEN_INT","."&amp;P$2&amp;P$1&amp;"P"&amp;$A44)*RTD("tos.rtd",,"DELTA","."&amp;P$2&amp;P$1&amp;"P"&amp;$A44))/1000,(100*RTD("tos.rtd",,"OPEN_INT","."&amp;P$2&amp;P$1&amp;"C"&amp;$A44)*RTD("tos.rtd",,"DELTA","."&amp;P$2&amp;P$1&amp;"C"&amp;$A44)-100*RTD("tos.rtd",,"OPEN_INT","."&amp;P$2&amp;P$1&amp;"P"&amp;$A44)*RTD("tos.rtd",,"DELTA","."&amp;P$2&amp;P$1&amp;"P"&amp;$A44))/1000),0),IF($A$2="VEX",IFERROR(IF($X$1="ABS",($A$4*$A$4*RTD("tos.rtd",,"VOLUME","."&amp;P$2&amp;P$1&amp;"C"&amp;$A44)*RTD("tos.rtd",,"GAMMA","."&amp;P$2&amp;P$1&amp;"C"&amp;$A44)+$A$4*$A$4*RTD("tos.rtd",,"VOLUME","."&amp;P$2&amp;P$1&amp;"P"&amp;$A44)*RTD("tos.rtd",,"GAMMA","."&amp;P$2&amp;P$1&amp;"P"&amp;$A44))/1000000,($A$4*$A$4*RTD("tos.rtd",,"VOLUME","."&amp;P$2&amp;P$1&amp;"C"&amp;$A44)*RTD("tos.rtd",,"GAMMA","."&amp;P$2&amp;P$1&amp;"C"&amp;$A44)-$A$4*$A$4*RTD("tos.rtd",,"VOLUME","."&amp;P$2&amp;P$1&amp;"P"&amp;$A44)*RTD("tos.rtd",,"GAMMA","."&amp;P$2&amp;P$1&amp;"P"&amp;$A44))/1000000),0),IF($A$2="GEX",IFERROR(IF($X$1="ABS",($A$4*$A$4*RTD("tos.rtd",,"OPEN_INT","."&amp;P$2&amp;P$1&amp;"C"&amp;$A44)*RTD("tos.rtd",,"GAMMA","."&amp;P$2&amp;P$1&amp;"C"&amp;$A44)+$A$4*$A$4*RTD("tos.rtd",,"OPEN_INT","."&amp;P$2&amp;P$1&amp;"P"&amp;$A44)*RTD("tos.rtd",,"GAMMA","."&amp;P$2&amp;P$1&amp;"P"&amp;$A44))/1000000,($A$4*$A$4*RTD("tos.rtd",,"OPEN_INT","."&amp;P$2&amp;P$1&amp;"C"&amp;$A44)*RTD("tos.rtd",,"GAMMA","."&amp;P$2&amp;P$1&amp;"C"&amp;$A44)-$A$4*$A$4*RTD("tos.rtd",,"OPEN_INT","."&amp;P$2&amp;P$1&amp;"P"&amp;$A44)*RTD("tos.rtd",,"GAMMA","."&amp;P$2&amp;P$1&amp;"P"&amp;$A44))/1000000),0),IF($A$2="SKEW",IFERROR(VALUE(IF(RTD("tos.rtd",,"IMPL_VOL","."&amp;P$2&amp;P$1&amp;"P"&amp;$A44)="N/A",0,RTD("tos.rtd",,"IMPL_VOL","."&amp;P$2&amp;P$1&amp;"P"&amp;$A44))),0)-IFERROR(VALUE(IF(RTD("tos.rtd",,"IMPL_VOL","."&amp;P$2&amp;P$1&amp;"C"&amp;$A44)="N/A",0,RTD("tos.rtd",,"IMPL_VOL","."&amp;P$2&amp;P$1&amp;"C"&amp;$A44))),0),IF($A$2="MAXPAIN",IF($A$4&gt;$A44,($A$4-$A44)*IF(RTD("tos.rtd",,"OPEN_INT","."&amp;P$2&amp;P$1&amp;"C"&amp;$A44)="N/A",0,RTD("tos.rtd",,"OPEN_INT","."&amp;P$2&amp;P$1&amp;"C"&amp;$A44)),0)+IF($A$4&lt;$A44,($A$5-$A$4)*IF(RTD("tos.rtd",,"OPEN_INT","."&amp;P$2&amp;P$1&amp;"P"&amp;$A44)="N/A",0,RTD("tos.rtd",,"OPEN_INT","."&amp;P$2&amp;P$1&amp;"P"&amp;$A44)),0),IF($X$1="ABS",IF(RTD("tos.rtd",,$A$2,"."&amp;P$2&amp;P$1&amp;"C"&amp;$A44)="N/A",0,RTD("tos.rtd",,$A$2,"."&amp;P$2&amp;P$1&amp;"C"&amp;$A44))+IF(RTD("tos.rtd",,$A$2,"."&amp;P$2&amp;P$1&amp;"P"&amp;$A44)="N/A",0,RTD("tos.rtd",,$A$2,"."&amp;P$2&amp;P$1&amp;"P"&amp;$A44)),IF(RTD("tos.rtd",,$A$2,"."&amp;P$2&amp;P$1&amp;"C"&amp;$A44)="N/A",0,RTD("tos.rtd",,$A$2,"."&amp;P$2&amp;P$1&amp;"C"&amp;$A44))-IF(RTD("tos.rtd",,$A$2,"."&amp;P$2&amp;P$1&amp;"P"&amp;$A44)="N/A",0,RTD("tos.rtd",,$A$2,"."&amp;P$2&amp;P$1&amp;"P"&amp;$A44))))))))))</f>
        <v>0</v>
      </c>
      <c r="Q44" s="12">
        <f ca="1">IF($A$2="PREMIUM_OI",IFERROR(IF($X$1="ABS",(100*RTD("tos.rtd",,"OPEN_INT","."&amp;Q$2&amp;Q$1&amp;"C"&amp;$A44)*RTD("tos.rtd",,"LAST","."&amp;Q$2&amp;Q$1&amp;"C"&amp;$A44)+100*RTD("tos.rtd",,"OPEN_INT","."&amp;Q$2&amp;Q$1&amp;"P"&amp;$A44)*RTD("tos.rtd",,"LAST","."&amp;Q$2&amp;Q$1&amp;"P"&amp;$A44))/1000000,(100*RTD("tos.rtd",,"OPEN_INT","."&amp;Q$2&amp;Q$1&amp;"C"&amp;$A44)*RTD("tos.rtd",,"LAST","."&amp;Q$2&amp;Q$1&amp;"C"&amp;$A44)-100*RTD("tos.rtd",,"OPEN_INT","."&amp;Q$2&amp;Q$1&amp;"P"&amp;$A44)*RTD("tos.rtd",,"LAST","."&amp;Q$2&amp;Q$1&amp;"P"&amp;$A44))/1000000),0),IF($A$2="PREMIUM",IFERROR(IF($X$1="ABS",(100*RTD("tos.rtd",,"VOLUME","."&amp;Q$2&amp;Q$1&amp;"C"&amp;$A44)*RTD("tos.rtd",,"LAST","."&amp;Q$2&amp;Q$1&amp;"C"&amp;$A44)+100*RTD("tos.rtd",,"VOLUME","."&amp;Q$2&amp;Q$1&amp;"P"&amp;$A44)*RTD("tos.rtd",,"LAST","."&amp;Q$2&amp;Q$1&amp;"P"&amp;$A44))/1000000,(100*RTD("tos.rtd",,"VOLUME","."&amp;Q$2&amp;Q$1&amp;"C"&amp;$A44)*RTD("tos.rtd",,"LAST","."&amp;Q$2&amp;Q$1&amp;"C"&amp;$A44)-100*RTD("tos.rtd",,"VOLUME","."&amp;Q$2&amp;Q$1&amp;"P"&amp;$A44)*RTD("tos.rtd",,"LAST","."&amp;Q$2&amp;Q$1&amp;"P"&amp;$A44))/1000000),0),IF($A$2="DEX",IFERROR(IF($X$1="ABS",(100*RTD("tos.rtd",,"OPEN_INT","."&amp;Q$2&amp;Q$1&amp;"C"&amp;$A44)*RTD("tos.rtd",,"DELTA","."&amp;Q$2&amp;Q$1&amp;"C"&amp;$A44)+100*RTD("tos.rtd",,"OPEN_INT","."&amp;Q$2&amp;Q$1&amp;"P"&amp;$A44)*RTD("tos.rtd",,"DELTA","."&amp;Q$2&amp;Q$1&amp;"P"&amp;$A44))/1000,(100*RTD("tos.rtd",,"OPEN_INT","."&amp;Q$2&amp;Q$1&amp;"C"&amp;$A44)*RTD("tos.rtd",,"DELTA","."&amp;Q$2&amp;Q$1&amp;"C"&amp;$A44)-100*RTD("tos.rtd",,"OPEN_INT","."&amp;Q$2&amp;Q$1&amp;"P"&amp;$A44)*RTD("tos.rtd",,"DELTA","."&amp;Q$2&amp;Q$1&amp;"P"&amp;$A44))/1000),0),IF($A$2="VEX",IFERROR(IF($X$1="ABS",($A$4*$A$4*RTD("tos.rtd",,"VOLUME","."&amp;Q$2&amp;Q$1&amp;"C"&amp;$A44)*RTD("tos.rtd",,"GAMMA","."&amp;Q$2&amp;Q$1&amp;"C"&amp;$A44)+$A$4*$A$4*RTD("tos.rtd",,"VOLUME","."&amp;Q$2&amp;Q$1&amp;"P"&amp;$A44)*RTD("tos.rtd",,"GAMMA","."&amp;Q$2&amp;Q$1&amp;"P"&amp;$A44))/1000000,($A$4*$A$4*RTD("tos.rtd",,"VOLUME","."&amp;Q$2&amp;Q$1&amp;"C"&amp;$A44)*RTD("tos.rtd",,"GAMMA","."&amp;Q$2&amp;Q$1&amp;"C"&amp;$A44)-$A$4*$A$4*RTD("tos.rtd",,"VOLUME","."&amp;Q$2&amp;Q$1&amp;"P"&amp;$A44)*RTD("tos.rtd",,"GAMMA","."&amp;Q$2&amp;Q$1&amp;"P"&amp;$A44))/1000000),0),IF($A$2="GEX",IFERROR(IF($X$1="ABS",($A$4*$A$4*RTD("tos.rtd",,"OPEN_INT","."&amp;Q$2&amp;Q$1&amp;"C"&amp;$A44)*RTD("tos.rtd",,"GAMMA","."&amp;Q$2&amp;Q$1&amp;"C"&amp;$A44)+$A$4*$A$4*RTD("tos.rtd",,"OPEN_INT","."&amp;Q$2&amp;Q$1&amp;"P"&amp;$A44)*RTD("tos.rtd",,"GAMMA","."&amp;Q$2&amp;Q$1&amp;"P"&amp;$A44))/1000000,($A$4*$A$4*RTD("tos.rtd",,"OPEN_INT","."&amp;Q$2&amp;Q$1&amp;"C"&amp;$A44)*RTD("tos.rtd",,"GAMMA","."&amp;Q$2&amp;Q$1&amp;"C"&amp;$A44)-$A$4*$A$4*RTD("tos.rtd",,"OPEN_INT","."&amp;Q$2&amp;Q$1&amp;"P"&amp;$A44)*RTD("tos.rtd",,"GAMMA","."&amp;Q$2&amp;Q$1&amp;"P"&amp;$A44))/1000000),0),IF($A$2="SKEW",IFERROR(VALUE(IF(RTD("tos.rtd",,"IMPL_VOL","."&amp;Q$2&amp;Q$1&amp;"P"&amp;$A44)="N/A",0,RTD("tos.rtd",,"IMPL_VOL","."&amp;Q$2&amp;Q$1&amp;"P"&amp;$A44))),0)-IFERROR(VALUE(IF(RTD("tos.rtd",,"IMPL_VOL","."&amp;Q$2&amp;Q$1&amp;"C"&amp;$A44)="N/A",0,RTD("tos.rtd",,"IMPL_VOL","."&amp;Q$2&amp;Q$1&amp;"C"&amp;$A44))),0),IF($A$2="MAXPAIN",IF($A$4&gt;$A44,($A$4-$A44)*IF(RTD("tos.rtd",,"OPEN_INT","."&amp;Q$2&amp;Q$1&amp;"C"&amp;$A44)="N/A",0,RTD("tos.rtd",,"OPEN_INT","."&amp;Q$2&amp;Q$1&amp;"C"&amp;$A44)),0)+IF($A$4&lt;$A44,($A$5-$A$4)*IF(RTD("tos.rtd",,"OPEN_INT","."&amp;Q$2&amp;Q$1&amp;"P"&amp;$A44)="N/A",0,RTD("tos.rtd",,"OPEN_INT","."&amp;Q$2&amp;Q$1&amp;"P"&amp;$A44)),0),IF($X$1="ABS",IF(RTD("tos.rtd",,$A$2,"."&amp;Q$2&amp;Q$1&amp;"C"&amp;$A44)="N/A",0,RTD("tos.rtd",,$A$2,"."&amp;Q$2&amp;Q$1&amp;"C"&amp;$A44))+IF(RTD("tos.rtd",,$A$2,"."&amp;Q$2&amp;Q$1&amp;"P"&amp;$A44)="N/A",0,RTD("tos.rtd",,$A$2,"."&amp;Q$2&amp;Q$1&amp;"P"&amp;$A44)),IF(RTD("tos.rtd",,$A$2,"."&amp;Q$2&amp;Q$1&amp;"C"&amp;$A44)="N/A",0,RTD("tos.rtd",,$A$2,"."&amp;Q$2&amp;Q$1&amp;"C"&amp;$A44))-IF(RTD("tos.rtd",,$A$2,"."&amp;Q$2&amp;Q$1&amp;"P"&amp;$A44)="N/A",0,RTD("tos.rtd",,$A$2,"."&amp;Q$2&amp;Q$1&amp;"P"&amp;$A44))))))))))</f>
        <v>0</v>
      </c>
      <c r="R44" s="12">
        <f ca="1">IF($A$2="PREMIUM_OI",IFERROR(IF($X$1="ABS",(100*RTD("tos.rtd",,"OPEN_INT","."&amp;R$2&amp;R$1&amp;"C"&amp;$A44)*RTD("tos.rtd",,"LAST","."&amp;R$2&amp;R$1&amp;"C"&amp;$A44)+100*RTD("tos.rtd",,"OPEN_INT","."&amp;R$2&amp;R$1&amp;"P"&amp;$A44)*RTD("tos.rtd",,"LAST","."&amp;R$2&amp;R$1&amp;"P"&amp;$A44))/1000000,(100*RTD("tos.rtd",,"OPEN_INT","."&amp;R$2&amp;R$1&amp;"C"&amp;$A44)*RTD("tos.rtd",,"LAST","."&amp;R$2&amp;R$1&amp;"C"&amp;$A44)-100*RTD("tos.rtd",,"OPEN_INT","."&amp;R$2&amp;R$1&amp;"P"&amp;$A44)*RTD("tos.rtd",,"LAST","."&amp;R$2&amp;R$1&amp;"P"&amp;$A44))/1000000),0),IF($A$2="PREMIUM",IFERROR(IF($X$1="ABS",(100*RTD("tos.rtd",,"VOLUME","."&amp;R$2&amp;R$1&amp;"C"&amp;$A44)*RTD("tos.rtd",,"LAST","."&amp;R$2&amp;R$1&amp;"C"&amp;$A44)+100*RTD("tos.rtd",,"VOLUME","."&amp;R$2&amp;R$1&amp;"P"&amp;$A44)*RTD("tos.rtd",,"LAST","."&amp;R$2&amp;R$1&amp;"P"&amp;$A44))/1000000,(100*RTD("tos.rtd",,"VOLUME","."&amp;R$2&amp;R$1&amp;"C"&amp;$A44)*RTD("tos.rtd",,"LAST","."&amp;R$2&amp;R$1&amp;"C"&amp;$A44)-100*RTD("tos.rtd",,"VOLUME","."&amp;R$2&amp;R$1&amp;"P"&amp;$A44)*RTD("tos.rtd",,"LAST","."&amp;R$2&amp;R$1&amp;"P"&amp;$A44))/1000000),0),IF($A$2="DEX",IFERROR(IF($X$1="ABS",(100*RTD("tos.rtd",,"OPEN_INT","."&amp;R$2&amp;R$1&amp;"C"&amp;$A44)*RTD("tos.rtd",,"DELTA","."&amp;R$2&amp;R$1&amp;"C"&amp;$A44)+100*RTD("tos.rtd",,"OPEN_INT","."&amp;R$2&amp;R$1&amp;"P"&amp;$A44)*RTD("tos.rtd",,"DELTA","."&amp;R$2&amp;R$1&amp;"P"&amp;$A44))/1000,(100*RTD("tos.rtd",,"OPEN_INT","."&amp;R$2&amp;R$1&amp;"C"&amp;$A44)*RTD("tos.rtd",,"DELTA","."&amp;R$2&amp;R$1&amp;"C"&amp;$A44)-100*RTD("tos.rtd",,"OPEN_INT","."&amp;R$2&amp;R$1&amp;"P"&amp;$A44)*RTD("tos.rtd",,"DELTA","."&amp;R$2&amp;R$1&amp;"P"&amp;$A44))/1000),0),IF($A$2="VEX",IFERROR(IF($X$1="ABS",($A$4*$A$4*RTD("tos.rtd",,"VOLUME","."&amp;R$2&amp;R$1&amp;"C"&amp;$A44)*RTD("tos.rtd",,"GAMMA","."&amp;R$2&amp;R$1&amp;"C"&amp;$A44)+$A$4*$A$4*RTD("tos.rtd",,"VOLUME","."&amp;R$2&amp;R$1&amp;"P"&amp;$A44)*RTD("tos.rtd",,"GAMMA","."&amp;R$2&amp;R$1&amp;"P"&amp;$A44))/1000000,($A$4*$A$4*RTD("tos.rtd",,"VOLUME","."&amp;R$2&amp;R$1&amp;"C"&amp;$A44)*RTD("tos.rtd",,"GAMMA","."&amp;R$2&amp;R$1&amp;"C"&amp;$A44)-$A$4*$A$4*RTD("tos.rtd",,"VOLUME","."&amp;R$2&amp;R$1&amp;"P"&amp;$A44)*RTD("tos.rtd",,"GAMMA","."&amp;R$2&amp;R$1&amp;"P"&amp;$A44))/1000000),0),IF($A$2="GEX",IFERROR(IF($X$1="ABS",($A$4*$A$4*RTD("tos.rtd",,"OPEN_INT","."&amp;R$2&amp;R$1&amp;"C"&amp;$A44)*RTD("tos.rtd",,"GAMMA","."&amp;R$2&amp;R$1&amp;"C"&amp;$A44)+$A$4*$A$4*RTD("tos.rtd",,"OPEN_INT","."&amp;R$2&amp;R$1&amp;"P"&amp;$A44)*RTD("tos.rtd",,"GAMMA","."&amp;R$2&amp;R$1&amp;"P"&amp;$A44))/1000000,($A$4*$A$4*RTD("tos.rtd",,"OPEN_INT","."&amp;R$2&amp;R$1&amp;"C"&amp;$A44)*RTD("tos.rtd",,"GAMMA","."&amp;R$2&amp;R$1&amp;"C"&amp;$A44)-$A$4*$A$4*RTD("tos.rtd",,"OPEN_INT","."&amp;R$2&amp;R$1&amp;"P"&amp;$A44)*RTD("tos.rtd",,"GAMMA","."&amp;R$2&amp;R$1&amp;"P"&amp;$A44))/1000000),0),IF($A$2="SKEW",IFERROR(VALUE(IF(RTD("tos.rtd",,"IMPL_VOL","."&amp;R$2&amp;R$1&amp;"P"&amp;$A44)="N/A",0,RTD("tos.rtd",,"IMPL_VOL","."&amp;R$2&amp;R$1&amp;"P"&amp;$A44))),0)-IFERROR(VALUE(IF(RTD("tos.rtd",,"IMPL_VOL","."&amp;R$2&amp;R$1&amp;"C"&amp;$A44)="N/A",0,RTD("tos.rtd",,"IMPL_VOL","."&amp;R$2&amp;R$1&amp;"C"&amp;$A44))),0),IF($A$2="MAXPAIN",IF($A$4&gt;$A44,($A$4-$A44)*IF(RTD("tos.rtd",,"OPEN_INT","."&amp;R$2&amp;R$1&amp;"C"&amp;$A44)="N/A",0,RTD("tos.rtd",,"OPEN_INT","."&amp;R$2&amp;R$1&amp;"C"&amp;$A44)),0)+IF($A$4&lt;$A44,($A$5-$A$4)*IF(RTD("tos.rtd",,"OPEN_INT","."&amp;R$2&amp;R$1&amp;"P"&amp;$A44)="N/A",0,RTD("tos.rtd",,"OPEN_INT","."&amp;R$2&amp;R$1&amp;"P"&amp;$A44)),0),IF($X$1="ABS",IF(RTD("tos.rtd",,$A$2,"."&amp;R$2&amp;R$1&amp;"C"&amp;$A44)="N/A",0,RTD("tos.rtd",,$A$2,"."&amp;R$2&amp;R$1&amp;"C"&amp;$A44))+IF(RTD("tos.rtd",,$A$2,"."&amp;R$2&amp;R$1&amp;"P"&amp;$A44)="N/A",0,RTD("tos.rtd",,$A$2,"."&amp;R$2&amp;R$1&amp;"P"&amp;$A44)),IF(RTD("tos.rtd",,$A$2,"."&amp;R$2&amp;R$1&amp;"C"&amp;$A44)="N/A",0,RTD("tos.rtd",,$A$2,"."&amp;R$2&amp;R$1&amp;"C"&amp;$A44))-IF(RTD("tos.rtd",,$A$2,"."&amp;R$2&amp;R$1&amp;"P"&amp;$A44)="N/A",0,RTD("tos.rtd",,$A$2,"."&amp;R$2&amp;R$1&amp;"P"&amp;$A44))))))))))</f>
        <v>0</v>
      </c>
      <c r="S44" s="12">
        <f ca="1">IF($A$2="PREMIUM_OI",IFERROR(IF($X$1="ABS",(100*RTD("tos.rtd",,"OPEN_INT","."&amp;S$2&amp;S$1&amp;"C"&amp;$A44)*RTD("tos.rtd",,"LAST","."&amp;S$2&amp;S$1&amp;"C"&amp;$A44)+100*RTD("tos.rtd",,"OPEN_INT","."&amp;S$2&amp;S$1&amp;"P"&amp;$A44)*RTD("tos.rtd",,"LAST","."&amp;S$2&amp;S$1&amp;"P"&amp;$A44))/1000000,(100*RTD("tos.rtd",,"OPEN_INT","."&amp;S$2&amp;S$1&amp;"C"&amp;$A44)*RTD("tos.rtd",,"LAST","."&amp;S$2&amp;S$1&amp;"C"&amp;$A44)-100*RTD("tos.rtd",,"OPEN_INT","."&amp;S$2&amp;S$1&amp;"P"&amp;$A44)*RTD("tos.rtd",,"LAST","."&amp;S$2&amp;S$1&amp;"P"&amp;$A44))/1000000),0),IF($A$2="PREMIUM",IFERROR(IF($X$1="ABS",(100*RTD("tos.rtd",,"VOLUME","."&amp;S$2&amp;S$1&amp;"C"&amp;$A44)*RTD("tos.rtd",,"LAST","."&amp;S$2&amp;S$1&amp;"C"&amp;$A44)+100*RTD("tos.rtd",,"VOLUME","."&amp;S$2&amp;S$1&amp;"P"&amp;$A44)*RTD("tos.rtd",,"LAST","."&amp;S$2&amp;S$1&amp;"P"&amp;$A44))/1000000,(100*RTD("tos.rtd",,"VOLUME","."&amp;S$2&amp;S$1&amp;"C"&amp;$A44)*RTD("tos.rtd",,"LAST","."&amp;S$2&amp;S$1&amp;"C"&amp;$A44)-100*RTD("tos.rtd",,"VOLUME","."&amp;S$2&amp;S$1&amp;"P"&amp;$A44)*RTD("tos.rtd",,"LAST","."&amp;S$2&amp;S$1&amp;"P"&amp;$A44))/1000000),0),IF($A$2="DEX",IFERROR(IF($X$1="ABS",(100*RTD("tos.rtd",,"OPEN_INT","."&amp;S$2&amp;S$1&amp;"C"&amp;$A44)*RTD("tos.rtd",,"DELTA","."&amp;S$2&amp;S$1&amp;"C"&amp;$A44)+100*RTD("tos.rtd",,"OPEN_INT","."&amp;S$2&amp;S$1&amp;"P"&amp;$A44)*RTD("tos.rtd",,"DELTA","."&amp;S$2&amp;S$1&amp;"P"&amp;$A44))/1000,(100*RTD("tos.rtd",,"OPEN_INT","."&amp;S$2&amp;S$1&amp;"C"&amp;$A44)*RTD("tos.rtd",,"DELTA","."&amp;S$2&amp;S$1&amp;"C"&amp;$A44)-100*RTD("tos.rtd",,"OPEN_INT","."&amp;S$2&amp;S$1&amp;"P"&amp;$A44)*RTD("tos.rtd",,"DELTA","."&amp;S$2&amp;S$1&amp;"P"&amp;$A44))/1000),0),IF($A$2="VEX",IFERROR(IF($X$1="ABS",($A$4*$A$4*RTD("tos.rtd",,"VOLUME","."&amp;S$2&amp;S$1&amp;"C"&amp;$A44)*RTD("tos.rtd",,"GAMMA","."&amp;S$2&amp;S$1&amp;"C"&amp;$A44)+$A$4*$A$4*RTD("tos.rtd",,"VOLUME","."&amp;S$2&amp;S$1&amp;"P"&amp;$A44)*RTD("tos.rtd",,"GAMMA","."&amp;S$2&amp;S$1&amp;"P"&amp;$A44))/1000000,($A$4*$A$4*RTD("tos.rtd",,"VOLUME","."&amp;S$2&amp;S$1&amp;"C"&amp;$A44)*RTD("tos.rtd",,"GAMMA","."&amp;S$2&amp;S$1&amp;"C"&amp;$A44)-$A$4*$A$4*RTD("tos.rtd",,"VOLUME","."&amp;S$2&amp;S$1&amp;"P"&amp;$A44)*RTD("tos.rtd",,"GAMMA","."&amp;S$2&amp;S$1&amp;"P"&amp;$A44))/1000000),0),IF($A$2="GEX",IFERROR(IF($X$1="ABS",($A$4*$A$4*RTD("tos.rtd",,"OPEN_INT","."&amp;S$2&amp;S$1&amp;"C"&amp;$A44)*RTD("tos.rtd",,"GAMMA","."&amp;S$2&amp;S$1&amp;"C"&amp;$A44)+$A$4*$A$4*RTD("tos.rtd",,"OPEN_INT","."&amp;S$2&amp;S$1&amp;"P"&amp;$A44)*RTD("tos.rtd",,"GAMMA","."&amp;S$2&amp;S$1&amp;"P"&amp;$A44))/1000000,($A$4*$A$4*RTD("tos.rtd",,"OPEN_INT","."&amp;S$2&amp;S$1&amp;"C"&amp;$A44)*RTD("tos.rtd",,"GAMMA","."&amp;S$2&amp;S$1&amp;"C"&amp;$A44)-$A$4*$A$4*RTD("tos.rtd",,"OPEN_INT","."&amp;S$2&amp;S$1&amp;"P"&amp;$A44)*RTD("tos.rtd",,"GAMMA","."&amp;S$2&amp;S$1&amp;"P"&amp;$A44))/1000000),0),IF($A$2="SKEW",IFERROR(VALUE(IF(RTD("tos.rtd",,"IMPL_VOL","."&amp;S$2&amp;S$1&amp;"P"&amp;$A44)="N/A",0,RTD("tos.rtd",,"IMPL_VOL","."&amp;S$2&amp;S$1&amp;"P"&amp;$A44))),0)-IFERROR(VALUE(IF(RTD("tos.rtd",,"IMPL_VOL","."&amp;S$2&amp;S$1&amp;"C"&amp;$A44)="N/A",0,RTD("tos.rtd",,"IMPL_VOL","."&amp;S$2&amp;S$1&amp;"C"&amp;$A44))),0),IF($A$2="MAXPAIN",IF($A$4&gt;$A44,($A$4-$A44)*IF(RTD("tos.rtd",,"OPEN_INT","."&amp;S$2&amp;S$1&amp;"C"&amp;$A44)="N/A",0,RTD("tos.rtd",,"OPEN_INT","."&amp;S$2&amp;S$1&amp;"C"&amp;$A44)),0)+IF($A$4&lt;$A44,($A$5-$A$4)*IF(RTD("tos.rtd",,"OPEN_INT","."&amp;S$2&amp;S$1&amp;"P"&amp;$A44)="N/A",0,RTD("tos.rtd",,"OPEN_INT","."&amp;S$2&amp;S$1&amp;"P"&amp;$A44)),0),IF($X$1="ABS",IF(RTD("tos.rtd",,$A$2,"."&amp;S$2&amp;S$1&amp;"C"&amp;$A44)="N/A",0,RTD("tos.rtd",,$A$2,"."&amp;S$2&amp;S$1&amp;"C"&amp;$A44))+IF(RTD("tos.rtd",,$A$2,"."&amp;S$2&amp;S$1&amp;"P"&amp;$A44)="N/A",0,RTD("tos.rtd",,$A$2,"."&amp;S$2&amp;S$1&amp;"P"&amp;$A44)),IF(RTD("tos.rtd",,$A$2,"."&amp;S$2&amp;S$1&amp;"C"&amp;$A44)="N/A",0,RTD("tos.rtd",,$A$2,"."&amp;S$2&amp;S$1&amp;"C"&amp;$A44))-IF(RTD("tos.rtd",,$A$2,"."&amp;S$2&amp;S$1&amp;"P"&amp;$A44)="N/A",0,RTD("tos.rtd",,$A$2,"."&amp;S$2&amp;S$1&amp;"P"&amp;$A44))))))))))</f>
        <v>0</v>
      </c>
      <c r="T44" s="12">
        <f ca="1">IF($A$2="PREMIUM_OI",IFERROR(IF($X$1="ABS",(100*RTD("tos.rtd",,"OPEN_INT","."&amp;T$2&amp;T$1&amp;"C"&amp;$A44)*RTD("tos.rtd",,"LAST","."&amp;T$2&amp;T$1&amp;"C"&amp;$A44)+100*RTD("tos.rtd",,"OPEN_INT","."&amp;T$2&amp;T$1&amp;"P"&amp;$A44)*RTD("tos.rtd",,"LAST","."&amp;T$2&amp;T$1&amp;"P"&amp;$A44))/1000000,(100*RTD("tos.rtd",,"OPEN_INT","."&amp;T$2&amp;T$1&amp;"C"&amp;$A44)*RTD("tos.rtd",,"LAST","."&amp;T$2&amp;T$1&amp;"C"&amp;$A44)-100*RTD("tos.rtd",,"OPEN_INT","."&amp;T$2&amp;T$1&amp;"P"&amp;$A44)*RTD("tos.rtd",,"LAST","."&amp;T$2&amp;T$1&amp;"P"&amp;$A44))/1000000),0),IF($A$2="PREMIUM",IFERROR(IF($X$1="ABS",(100*RTD("tos.rtd",,"VOLUME","."&amp;T$2&amp;T$1&amp;"C"&amp;$A44)*RTD("tos.rtd",,"LAST","."&amp;T$2&amp;T$1&amp;"C"&amp;$A44)+100*RTD("tos.rtd",,"VOLUME","."&amp;T$2&amp;T$1&amp;"P"&amp;$A44)*RTD("tos.rtd",,"LAST","."&amp;T$2&amp;T$1&amp;"P"&amp;$A44))/1000000,(100*RTD("tos.rtd",,"VOLUME","."&amp;T$2&amp;T$1&amp;"C"&amp;$A44)*RTD("tos.rtd",,"LAST","."&amp;T$2&amp;T$1&amp;"C"&amp;$A44)-100*RTD("tos.rtd",,"VOLUME","."&amp;T$2&amp;T$1&amp;"P"&amp;$A44)*RTD("tos.rtd",,"LAST","."&amp;T$2&amp;T$1&amp;"P"&amp;$A44))/1000000),0),IF($A$2="DEX",IFERROR(IF($X$1="ABS",(100*RTD("tos.rtd",,"OPEN_INT","."&amp;T$2&amp;T$1&amp;"C"&amp;$A44)*RTD("tos.rtd",,"DELTA","."&amp;T$2&amp;T$1&amp;"C"&amp;$A44)+100*RTD("tos.rtd",,"OPEN_INT","."&amp;T$2&amp;T$1&amp;"P"&amp;$A44)*RTD("tos.rtd",,"DELTA","."&amp;T$2&amp;T$1&amp;"P"&amp;$A44))/1000,(100*RTD("tos.rtd",,"OPEN_INT","."&amp;T$2&amp;T$1&amp;"C"&amp;$A44)*RTD("tos.rtd",,"DELTA","."&amp;T$2&amp;T$1&amp;"C"&amp;$A44)-100*RTD("tos.rtd",,"OPEN_INT","."&amp;T$2&amp;T$1&amp;"P"&amp;$A44)*RTD("tos.rtd",,"DELTA","."&amp;T$2&amp;T$1&amp;"P"&amp;$A44))/1000),0),IF($A$2="VEX",IFERROR(IF($X$1="ABS",($A$4*$A$4*RTD("tos.rtd",,"VOLUME","."&amp;T$2&amp;T$1&amp;"C"&amp;$A44)*RTD("tos.rtd",,"GAMMA","."&amp;T$2&amp;T$1&amp;"C"&amp;$A44)+$A$4*$A$4*RTD("tos.rtd",,"VOLUME","."&amp;T$2&amp;T$1&amp;"P"&amp;$A44)*RTD("tos.rtd",,"GAMMA","."&amp;T$2&amp;T$1&amp;"P"&amp;$A44))/1000000,($A$4*$A$4*RTD("tos.rtd",,"VOLUME","."&amp;T$2&amp;T$1&amp;"C"&amp;$A44)*RTD("tos.rtd",,"GAMMA","."&amp;T$2&amp;T$1&amp;"C"&amp;$A44)-$A$4*$A$4*RTD("tos.rtd",,"VOLUME","."&amp;T$2&amp;T$1&amp;"P"&amp;$A44)*RTD("tos.rtd",,"GAMMA","."&amp;T$2&amp;T$1&amp;"P"&amp;$A44))/1000000),0),IF($A$2="GEX",IFERROR(IF($X$1="ABS",($A$4*$A$4*RTD("tos.rtd",,"OPEN_INT","."&amp;T$2&amp;T$1&amp;"C"&amp;$A44)*RTD("tos.rtd",,"GAMMA","."&amp;T$2&amp;T$1&amp;"C"&amp;$A44)+$A$4*$A$4*RTD("tos.rtd",,"OPEN_INT","."&amp;T$2&amp;T$1&amp;"P"&amp;$A44)*RTD("tos.rtd",,"GAMMA","."&amp;T$2&amp;T$1&amp;"P"&amp;$A44))/1000000,($A$4*$A$4*RTD("tos.rtd",,"OPEN_INT","."&amp;T$2&amp;T$1&amp;"C"&amp;$A44)*RTD("tos.rtd",,"GAMMA","."&amp;T$2&amp;T$1&amp;"C"&amp;$A44)-$A$4*$A$4*RTD("tos.rtd",,"OPEN_INT","."&amp;T$2&amp;T$1&amp;"P"&amp;$A44)*RTD("tos.rtd",,"GAMMA","."&amp;T$2&amp;T$1&amp;"P"&amp;$A44))/1000000),0),IF($A$2="SKEW",IFERROR(VALUE(IF(RTD("tos.rtd",,"IMPL_VOL","."&amp;T$2&amp;T$1&amp;"P"&amp;$A44)="N/A",0,RTD("tos.rtd",,"IMPL_VOL","."&amp;T$2&amp;T$1&amp;"P"&amp;$A44))),0)-IFERROR(VALUE(IF(RTD("tos.rtd",,"IMPL_VOL","."&amp;T$2&amp;T$1&amp;"C"&amp;$A44)="N/A",0,RTD("tos.rtd",,"IMPL_VOL","."&amp;T$2&amp;T$1&amp;"C"&amp;$A44))),0),IF($A$2="MAXPAIN",IF($A$4&gt;$A44,($A$4-$A44)*IF(RTD("tos.rtd",,"OPEN_INT","."&amp;T$2&amp;T$1&amp;"C"&amp;$A44)="N/A",0,RTD("tos.rtd",,"OPEN_INT","."&amp;T$2&amp;T$1&amp;"C"&amp;$A44)),0)+IF($A$4&lt;$A44,($A$5-$A$4)*IF(RTD("tos.rtd",,"OPEN_INT","."&amp;T$2&amp;T$1&amp;"P"&amp;$A44)="N/A",0,RTD("tos.rtd",,"OPEN_INT","."&amp;T$2&amp;T$1&amp;"P"&amp;$A44)),0),IF($X$1="ABS",IF(RTD("tos.rtd",,$A$2,"."&amp;T$2&amp;T$1&amp;"C"&amp;$A44)="N/A",0,RTD("tos.rtd",,$A$2,"."&amp;T$2&amp;T$1&amp;"C"&amp;$A44))+IF(RTD("tos.rtd",,$A$2,"."&amp;T$2&amp;T$1&amp;"P"&amp;$A44)="N/A",0,RTD("tos.rtd",,$A$2,"."&amp;T$2&amp;T$1&amp;"P"&amp;$A44)),IF(RTD("tos.rtd",,$A$2,"."&amp;T$2&amp;T$1&amp;"C"&amp;$A44)="N/A",0,RTD("tos.rtd",,$A$2,"."&amp;T$2&amp;T$1&amp;"C"&amp;$A44))-IF(RTD("tos.rtd",,$A$2,"."&amp;T$2&amp;T$1&amp;"P"&amp;$A44)="N/A",0,RTD("tos.rtd",,$A$2,"."&amp;T$2&amp;T$1&amp;"P"&amp;$A44))))))))))</f>
        <v>0</v>
      </c>
      <c r="U44" s="12">
        <f ca="1">IF($A$2="PREMIUM_OI",IFERROR(IF($X$1="ABS",(100*RTD("tos.rtd",,"OPEN_INT","."&amp;U$2&amp;U$1&amp;"C"&amp;$A44)*RTD("tos.rtd",,"LAST","."&amp;U$2&amp;U$1&amp;"C"&amp;$A44)+100*RTD("tos.rtd",,"OPEN_INT","."&amp;U$2&amp;U$1&amp;"P"&amp;$A44)*RTD("tos.rtd",,"LAST","."&amp;U$2&amp;U$1&amp;"P"&amp;$A44))/1000000,(100*RTD("tos.rtd",,"OPEN_INT","."&amp;U$2&amp;U$1&amp;"C"&amp;$A44)*RTD("tos.rtd",,"LAST","."&amp;U$2&amp;U$1&amp;"C"&amp;$A44)-100*RTD("tos.rtd",,"OPEN_INT","."&amp;U$2&amp;U$1&amp;"P"&amp;$A44)*RTD("tos.rtd",,"LAST","."&amp;U$2&amp;U$1&amp;"P"&amp;$A44))/1000000),0),IF($A$2="PREMIUM",IFERROR(IF($X$1="ABS",(100*RTD("tos.rtd",,"VOLUME","."&amp;U$2&amp;U$1&amp;"C"&amp;$A44)*RTD("tos.rtd",,"LAST","."&amp;U$2&amp;U$1&amp;"C"&amp;$A44)+100*RTD("tos.rtd",,"VOLUME","."&amp;U$2&amp;U$1&amp;"P"&amp;$A44)*RTD("tos.rtd",,"LAST","."&amp;U$2&amp;U$1&amp;"P"&amp;$A44))/1000000,(100*RTD("tos.rtd",,"VOLUME","."&amp;U$2&amp;U$1&amp;"C"&amp;$A44)*RTD("tos.rtd",,"LAST","."&amp;U$2&amp;U$1&amp;"C"&amp;$A44)-100*RTD("tos.rtd",,"VOLUME","."&amp;U$2&amp;U$1&amp;"P"&amp;$A44)*RTD("tos.rtd",,"LAST","."&amp;U$2&amp;U$1&amp;"P"&amp;$A44))/1000000),0),IF($A$2="DEX",IFERROR(IF($X$1="ABS",(100*RTD("tos.rtd",,"OPEN_INT","."&amp;U$2&amp;U$1&amp;"C"&amp;$A44)*RTD("tos.rtd",,"DELTA","."&amp;U$2&amp;U$1&amp;"C"&amp;$A44)+100*RTD("tos.rtd",,"OPEN_INT","."&amp;U$2&amp;U$1&amp;"P"&amp;$A44)*RTD("tos.rtd",,"DELTA","."&amp;U$2&amp;U$1&amp;"P"&amp;$A44))/1000,(100*RTD("tos.rtd",,"OPEN_INT","."&amp;U$2&amp;U$1&amp;"C"&amp;$A44)*RTD("tos.rtd",,"DELTA","."&amp;U$2&amp;U$1&amp;"C"&amp;$A44)-100*RTD("tos.rtd",,"OPEN_INT","."&amp;U$2&amp;U$1&amp;"P"&amp;$A44)*RTD("tos.rtd",,"DELTA","."&amp;U$2&amp;U$1&amp;"P"&amp;$A44))/1000),0),IF($A$2="VEX",IFERROR(IF($X$1="ABS",($A$4*$A$4*RTD("tos.rtd",,"VOLUME","."&amp;U$2&amp;U$1&amp;"C"&amp;$A44)*RTD("tos.rtd",,"GAMMA","."&amp;U$2&amp;U$1&amp;"C"&amp;$A44)+$A$4*$A$4*RTD("tos.rtd",,"VOLUME","."&amp;U$2&amp;U$1&amp;"P"&amp;$A44)*RTD("tos.rtd",,"GAMMA","."&amp;U$2&amp;U$1&amp;"P"&amp;$A44))/1000000,($A$4*$A$4*RTD("tos.rtd",,"VOLUME","."&amp;U$2&amp;U$1&amp;"C"&amp;$A44)*RTD("tos.rtd",,"GAMMA","."&amp;U$2&amp;U$1&amp;"C"&amp;$A44)-$A$4*$A$4*RTD("tos.rtd",,"VOLUME","."&amp;U$2&amp;U$1&amp;"P"&amp;$A44)*RTD("tos.rtd",,"GAMMA","."&amp;U$2&amp;U$1&amp;"P"&amp;$A44))/1000000),0),IF($A$2="GEX",IFERROR(IF($X$1="ABS",($A$4*$A$4*RTD("tos.rtd",,"OPEN_INT","."&amp;U$2&amp;U$1&amp;"C"&amp;$A44)*RTD("tos.rtd",,"GAMMA","."&amp;U$2&amp;U$1&amp;"C"&amp;$A44)+$A$4*$A$4*RTD("tos.rtd",,"OPEN_INT","."&amp;U$2&amp;U$1&amp;"P"&amp;$A44)*RTD("tos.rtd",,"GAMMA","."&amp;U$2&amp;U$1&amp;"P"&amp;$A44))/1000000,($A$4*$A$4*RTD("tos.rtd",,"OPEN_INT","."&amp;U$2&amp;U$1&amp;"C"&amp;$A44)*RTD("tos.rtd",,"GAMMA","."&amp;U$2&amp;U$1&amp;"C"&amp;$A44)-$A$4*$A$4*RTD("tos.rtd",,"OPEN_INT","."&amp;U$2&amp;U$1&amp;"P"&amp;$A44)*RTD("tos.rtd",,"GAMMA","."&amp;U$2&amp;U$1&amp;"P"&amp;$A44))/1000000),0),IF($A$2="SKEW",IFERROR(VALUE(IF(RTD("tos.rtd",,"IMPL_VOL","."&amp;U$2&amp;U$1&amp;"P"&amp;$A44)="N/A",0,RTD("tos.rtd",,"IMPL_VOL","."&amp;U$2&amp;U$1&amp;"P"&amp;$A44))),0)-IFERROR(VALUE(IF(RTD("tos.rtd",,"IMPL_VOL","."&amp;U$2&amp;U$1&amp;"C"&amp;$A44)="N/A",0,RTD("tos.rtd",,"IMPL_VOL","."&amp;U$2&amp;U$1&amp;"C"&amp;$A44))),0),IF($A$2="MAXPAIN",IF($A$4&gt;$A44,($A$4-$A44)*IF(RTD("tos.rtd",,"OPEN_INT","."&amp;U$2&amp;U$1&amp;"C"&amp;$A44)="N/A",0,RTD("tos.rtd",,"OPEN_INT","."&amp;U$2&amp;U$1&amp;"C"&amp;$A44)),0)+IF($A$4&lt;$A44,($A$5-$A$4)*IF(RTD("tos.rtd",,"OPEN_INT","."&amp;U$2&amp;U$1&amp;"P"&amp;$A44)="N/A",0,RTD("tos.rtd",,"OPEN_INT","."&amp;U$2&amp;U$1&amp;"P"&amp;$A44)),0),IF($X$1="ABS",IF(RTD("tos.rtd",,$A$2,"."&amp;U$2&amp;U$1&amp;"C"&amp;$A44)="N/A",0,RTD("tos.rtd",,$A$2,"."&amp;U$2&amp;U$1&amp;"C"&amp;$A44))+IF(RTD("tos.rtd",,$A$2,"."&amp;U$2&amp;U$1&amp;"P"&amp;$A44)="N/A",0,RTD("tos.rtd",,$A$2,"."&amp;U$2&amp;U$1&amp;"P"&amp;$A44)),IF(RTD("tos.rtd",,$A$2,"."&amp;U$2&amp;U$1&amp;"C"&amp;$A44)="N/A",0,RTD("tos.rtd",,$A$2,"."&amp;U$2&amp;U$1&amp;"C"&amp;$A44))-IF(RTD("tos.rtd",,$A$2,"."&amp;U$2&amp;U$1&amp;"P"&amp;$A44)="N/A",0,RTD("tos.rtd",,$A$2,"."&amp;U$2&amp;U$1&amp;"P"&amp;$A44))))))))))</f>
        <v>0</v>
      </c>
      <c r="V44" s="12">
        <f ca="1">IF($A$2="PREMIUM_OI",IFERROR(IF($X$1="ABS",(100*RTD("tos.rtd",,"OPEN_INT","."&amp;V$2&amp;V$1&amp;"C"&amp;$A44)*RTD("tos.rtd",,"LAST","."&amp;V$2&amp;V$1&amp;"C"&amp;$A44)+100*RTD("tos.rtd",,"OPEN_INT","."&amp;V$2&amp;V$1&amp;"P"&amp;$A44)*RTD("tos.rtd",,"LAST","."&amp;V$2&amp;V$1&amp;"P"&amp;$A44))/1000000,(100*RTD("tos.rtd",,"OPEN_INT","."&amp;V$2&amp;V$1&amp;"C"&amp;$A44)*RTD("tos.rtd",,"LAST","."&amp;V$2&amp;V$1&amp;"C"&amp;$A44)-100*RTD("tos.rtd",,"OPEN_INT","."&amp;V$2&amp;V$1&amp;"P"&amp;$A44)*RTD("tos.rtd",,"LAST","."&amp;V$2&amp;V$1&amp;"P"&amp;$A44))/1000000),0),IF($A$2="PREMIUM",IFERROR(IF($X$1="ABS",(100*RTD("tos.rtd",,"VOLUME","."&amp;V$2&amp;V$1&amp;"C"&amp;$A44)*RTD("tos.rtd",,"LAST","."&amp;V$2&amp;V$1&amp;"C"&amp;$A44)+100*RTD("tos.rtd",,"VOLUME","."&amp;V$2&amp;V$1&amp;"P"&amp;$A44)*RTD("tos.rtd",,"LAST","."&amp;V$2&amp;V$1&amp;"P"&amp;$A44))/1000000,(100*RTD("tos.rtd",,"VOLUME","."&amp;V$2&amp;V$1&amp;"C"&amp;$A44)*RTD("tos.rtd",,"LAST","."&amp;V$2&amp;V$1&amp;"C"&amp;$A44)-100*RTD("tos.rtd",,"VOLUME","."&amp;V$2&amp;V$1&amp;"P"&amp;$A44)*RTD("tos.rtd",,"LAST","."&amp;V$2&amp;V$1&amp;"P"&amp;$A44))/1000000),0),IF($A$2="DEX",IFERROR(IF($X$1="ABS",(100*RTD("tos.rtd",,"OPEN_INT","."&amp;V$2&amp;V$1&amp;"C"&amp;$A44)*RTD("tos.rtd",,"DELTA","."&amp;V$2&amp;V$1&amp;"C"&amp;$A44)+100*RTD("tos.rtd",,"OPEN_INT","."&amp;V$2&amp;V$1&amp;"P"&amp;$A44)*RTD("tos.rtd",,"DELTA","."&amp;V$2&amp;V$1&amp;"P"&amp;$A44))/1000,(100*RTD("tos.rtd",,"OPEN_INT","."&amp;V$2&amp;V$1&amp;"C"&amp;$A44)*RTD("tos.rtd",,"DELTA","."&amp;V$2&amp;V$1&amp;"C"&amp;$A44)-100*RTD("tos.rtd",,"OPEN_INT","."&amp;V$2&amp;V$1&amp;"P"&amp;$A44)*RTD("tos.rtd",,"DELTA","."&amp;V$2&amp;V$1&amp;"P"&amp;$A44))/1000),0),IF($A$2="VEX",IFERROR(IF($X$1="ABS",($A$4*$A$4*RTD("tos.rtd",,"VOLUME","."&amp;V$2&amp;V$1&amp;"C"&amp;$A44)*RTD("tos.rtd",,"GAMMA","."&amp;V$2&amp;V$1&amp;"C"&amp;$A44)+$A$4*$A$4*RTD("tos.rtd",,"VOLUME","."&amp;V$2&amp;V$1&amp;"P"&amp;$A44)*RTD("tos.rtd",,"GAMMA","."&amp;V$2&amp;V$1&amp;"P"&amp;$A44))/1000000,($A$4*$A$4*RTD("tos.rtd",,"VOLUME","."&amp;V$2&amp;V$1&amp;"C"&amp;$A44)*RTD("tos.rtd",,"GAMMA","."&amp;V$2&amp;V$1&amp;"C"&amp;$A44)-$A$4*$A$4*RTD("tos.rtd",,"VOLUME","."&amp;V$2&amp;V$1&amp;"P"&amp;$A44)*RTD("tos.rtd",,"GAMMA","."&amp;V$2&amp;V$1&amp;"P"&amp;$A44))/1000000),0),IF($A$2="GEX",IFERROR(IF($X$1="ABS",($A$4*$A$4*RTD("tos.rtd",,"OPEN_INT","."&amp;V$2&amp;V$1&amp;"C"&amp;$A44)*RTD("tos.rtd",,"GAMMA","."&amp;V$2&amp;V$1&amp;"C"&amp;$A44)+$A$4*$A$4*RTD("tos.rtd",,"OPEN_INT","."&amp;V$2&amp;V$1&amp;"P"&amp;$A44)*RTD("tos.rtd",,"GAMMA","."&amp;V$2&amp;V$1&amp;"P"&amp;$A44))/1000000,($A$4*$A$4*RTD("tos.rtd",,"OPEN_INT","."&amp;V$2&amp;V$1&amp;"C"&amp;$A44)*RTD("tos.rtd",,"GAMMA","."&amp;V$2&amp;V$1&amp;"C"&amp;$A44)-$A$4*$A$4*RTD("tos.rtd",,"OPEN_INT","."&amp;V$2&amp;V$1&amp;"P"&amp;$A44)*RTD("tos.rtd",,"GAMMA","."&amp;V$2&amp;V$1&amp;"P"&amp;$A44))/1000000),0),IF($A$2="SKEW",IFERROR(VALUE(IF(RTD("tos.rtd",,"IMPL_VOL","."&amp;V$2&amp;V$1&amp;"P"&amp;$A44)="N/A",0,RTD("tos.rtd",,"IMPL_VOL","."&amp;V$2&amp;V$1&amp;"P"&amp;$A44))),0)-IFERROR(VALUE(IF(RTD("tos.rtd",,"IMPL_VOL","."&amp;V$2&amp;V$1&amp;"C"&amp;$A44)="N/A",0,RTD("tos.rtd",,"IMPL_VOL","."&amp;V$2&amp;V$1&amp;"C"&amp;$A44))),0),IF($A$2="MAXPAIN",IF($A$4&gt;$A44,($A$4-$A44)*IF(RTD("tos.rtd",,"OPEN_INT","."&amp;V$2&amp;V$1&amp;"C"&amp;$A44)="N/A",0,RTD("tos.rtd",,"OPEN_INT","."&amp;V$2&amp;V$1&amp;"C"&amp;$A44)),0)+IF($A$4&lt;$A44,($A$5-$A$4)*IF(RTD("tos.rtd",,"OPEN_INT","."&amp;V$2&amp;V$1&amp;"P"&amp;$A44)="N/A",0,RTD("tos.rtd",,"OPEN_INT","."&amp;V$2&amp;V$1&amp;"P"&amp;$A44)),0),IF($X$1="ABS",IF(RTD("tos.rtd",,$A$2,"."&amp;V$2&amp;V$1&amp;"C"&amp;$A44)="N/A",0,RTD("tos.rtd",,$A$2,"."&amp;V$2&amp;V$1&amp;"C"&amp;$A44))+IF(RTD("tos.rtd",,$A$2,"."&amp;V$2&amp;V$1&amp;"P"&amp;$A44)="N/A",0,RTD("tos.rtd",,$A$2,"."&amp;V$2&amp;V$1&amp;"P"&amp;$A44)),IF(RTD("tos.rtd",,$A$2,"."&amp;V$2&amp;V$1&amp;"C"&amp;$A44)="N/A",0,RTD("tos.rtd",,$A$2,"."&amp;V$2&amp;V$1&amp;"C"&amp;$A44))-IF(RTD("tos.rtd",,$A$2,"."&amp;V$2&amp;V$1&amp;"P"&amp;$A44)="N/A",0,RTD("tos.rtd",,$A$2,"."&amp;V$2&amp;V$1&amp;"P"&amp;$A44))))))))))</f>
        <v>0</v>
      </c>
      <c r="W44" s="54">
        <f ca="1">IF($A$2="PREMIUM_OI",IFERROR(IF($X$1="ABS",(100*RTD("tos.rtd",,"OPEN_INT","."&amp;W$2&amp;W$1&amp;"C"&amp;$A44)*RTD("tos.rtd",,"LAST","."&amp;W$2&amp;W$1&amp;"C"&amp;$A44)+100*RTD("tos.rtd",,"OPEN_INT","."&amp;W$2&amp;W$1&amp;"P"&amp;$A44)*RTD("tos.rtd",,"LAST","."&amp;W$2&amp;W$1&amp;"P"&amp;$A44))/1000000,(100*RTD("tos.rtd",,"OPEN_INT","."&amp;W$2&amp;W$1&amp;"C"&amp;$A44)*RTD("tos.rtd",,"LAST","."&amp;W$2&amp;W$1&amp;"C"&amp;$A44)-100*RTD("tos.rtd",,"OPEN_INT","."&amp;W$2&amp;W$1&amp;"P"&amp;$A44)*RTD("tos.rtd",,"LAST","."&amp;W$2&amp;W$1&amp;"P"&amp;$A44))/1000000),0),IF($A$2="PREMIUM",IFERROR(IF($X$1="ABS",(100*RTD("tos.rtd",,"VOLUME","."&amp;W$2&amp;W$1&amp;"C"&amp;$A44)*RTD("tos.rtd",,"LAST","."&amp;W$2&amp;W$1&amp;"C"&amp;$A44)+100*RTD("tos.rtd",,"VOLUME","."&amp;W$2&amp;W$1&amp;"P"&amp;$A44)*RTD("tos.rtd",,"LAST","."&amp;W$2&amp;W$1&amp;"P"&amp;$A44))/1000000,(100*RTD("tos.rtd",,"VOLUME","."&amp;W$2&amp;W$1&amp;"C"&amp;$A44)*RTD("tos.rtd",,"LAST","."&amp;W$2&amp;W$1&amp;"C"&amp;$A44)-100*RTD("tos.rtd",,"VOLUME","."&amp;W$2&amp;W$1&amp;"P"&amp;$A44)*RTD("tos.rtd",,"LAST","."&amp;W$2&amp;W$1&amp;"P"&amp;$A44))/1000000),0),IF($A$2="DEX",IFERROR(IF($X$1="ABS",(100*RTD("tos.rtd",,"OPEN_INT","."&amp;W$2&amp;W$1&amp;"C"&amp;$A44)*RTD("tos.rtd",,"DELTA","."&amp;W$2&amp;W$1&amp;"C"&amp;$A44)+100*RTD("tos.rtd",,"OPEN_INT","."&amp;W$2&amp;W$1&amp;"P"&amp;$A44)*RTD("tos.rtd",,"DELTA","."&amp;W$2&amp;W$1&amp;"P"&amp;$A44))/1000,(100*RTD("tos.rtd",,"OPEN_INT","."&amp;W$2&amp;W$1&amp;"C"&amp;$A44)*RTD("tos.rtd",,"DELTA","."&amp;W$2&amp;W$1&amp;"C"&amp;$A44)-100*RTD("tos.rtd",,"OPEN_INT","."&amp;W$2&amp;W$1&amp;"P"&amp;$A44)*RTD("tos.rtd",,"DELTA","."&amp;W$2&amp;W$1&amp;"P"&amp;$A44))/1000),0),IF($A$2="VEX",IFERROR(IF($X$1="ABS",($A$4*$A$4*RTD("tos.rtd",,"VOLUME","."&amp;W$2&amp;W$1&amp;"C"&amp;$A44)*RTD("tos.rtd",,"GAMMA","."&amp;W$2&amp;W$1&amp;"C"&amp;$A44)+$A$4*$A$4*RTD("tos.rtd",,"VOLUME","."&amp;W$2&amp;W$1&amp;"P"&amp;$A44)*RTD("tos.rtd",,"GAMMA","."&amp;W$2&amp;W$1&amp;"P"&amp;$A44))/1000000,($A$4*$A$4*RTD("tos.rtd",,"VOLUME","."&amp;W$2&amp;W$1&amp;"C"&amp;$A44)*RTD("tos.rtd",,"GAMMA","."&amp;W$2&amp;W$1&amp;"C"&amp;$A44)-$A$4*$A$4*RTD("tos.rtd",,"VOLUME","."&amp;W$2&amp;W$1&amp;"P"&amp;$A44)*RTD("tos.rtd",,"GAMMA","."&amp;W$2&amp;W$1&amp;"P"&amp;$A44))/1000000),0),IF($A$2="GEX",IFERROR(IF($X$1="ABS",($A$4*$A$4*RTD("tos.rtd",,"OPEN_INT","."&amp;W$2&amp;W$1&amp;"C"&amp;$A44)*RTD("tos.rtd",,"GAMMA","."&amp;W$2&amp;W$1&amp;"C"&amp;$A44)+$A$4*$A$4*RTD("tos.rtd",,"OPEN_INT","."&amp;W$2&amp;W$1&amp;"P"&amp;$A44)*RTD("tos.rtd",,"GAMMA","."&amp;W$2&amp;W$1&amp;"P"&amp;$A44))/1000000,($A$4*$A$4*RTD("tos.rtd",,"OPEN_INT","."&amp;W$2&amp;W$1&amp;"C"&amp;$A44)*RTD("tos.rtd",,"GAMMA","."&amp;W$2&amp;W$1&amp;"C"&amp;$A44)-$A$4*$A$4*RTD("tos.rtd",,"OPEN_INT","."&amp;W$2&amp;W$1&amp;"P"&amp;$A44)*RTD("tos.rtd",,"GAMMA","."&amp;W$2&amp;W$1&amp;"P"&amp;$A44))/1000000),0),IF($A$2="SKEW",IFERROR(VALUE(IF(RTD("tos.rtd",,"IMPL_VOL","."&amp;W$2&amp;W$1&amp;"P"&amp;$A44)="N/A",0,RTD("tos.rtd",,"IMPL_VOL","."&amp;W$2&amp;W$1&amp;"P"&amp;$A44))),0)-IFERROR(VALUE(IF(RTD("tos.rtd",,"IMPL_VOL","."&amp;W$2&amp;W$1&amp;"C"&amp;$A44)="N/A",0,RTD("tos.rtd",,"IMPL_VOL","."&amp;W$2&amp;W$1&amp;"C"&amp;$A44))),0),IF($A$2="MAXPAIN",IF($A$4&gt;$A44,($A$4-$A44)*IF(RTD("tos.rtd",,"OPEN_INT","."&amp;W$2&amp;W$1&amp;"C"&amp;$A44)="N/A",0,RTD("tos.rtd",,"OPEN_INT","."&amp;W$2&amp;W$1&amp;"C"&amp;$A44)),0)+IF($A$4&lt;$A44,($A$5-$A$4)*IF(RTD("tos.rtd",,"OPEN_INT","."&amp;W$2&amp;W$1&amp;"P"&amp;$A44)="N/A",0,RTD("tos.rtd",,"OPEN_INT","."&amp;W$2&amp;W$1&amp;"P"&amp;$A44)),0),IF($X$1="ABS",IF(RTD("tos.rtd",,$A$2,"."&amp;W$2&amp;W$1&amp;"C"&amp;$A44)="N/A",0,RTD("tos.rtd",,$A$2,"."&amp;W$2&amp;W$1&amp;"C"&amp;$A44))+IF(RTD("tos.rtd",,$A$2,"."&amp;W$2&amp;W$1&amp;"P"&amp;$A44)="N/A",0,RTD("tos.rtd",,$A$2,"."&amp;W$2&amp;W$1&amp;"P"&amp;$A44)),IF(RTD("tos.rtd",,$A$2,"."&amp;W$2&amp;W$1&amp;"C"&amp;$A44)="N/A",0,RTD("tos.rtd",,$A$2,"."&amp;W$2&amp;W$1&amp;"C"&amp;$A44))-IF(RTD("tos.rtd",,$A$2,"."&amp;W$2&amp;W$1&amp;"P"&amp;$A44)="N/A",0,RTD("tos.rtd",,$A$2,"."&amp;W$2&amp;W$1&amp;"P"&amp;$A44))))))))))</f>
        <v>0</v>
      </c>
      <c r="X44" s="57">
        <f t="shared" ca="1" si="8"/>
        <v>0</v>
      </c>
      <c r="Y44" s="27">
        <f t="shared" ca="1" si="9"/>
        <v>0</v>
      </c>
      <c r="Z44" s="27">
        <f ca="1">+'OI-VOL'!Y44</f>
        <v>1429</v>
      </c>
      <c r="AA44" s="27" t="b">
        <f t="shared" ca="1" si="10"/>
        <v>0</v>
      </c>
      <c r="AB44" s="27">
        <f t="shared" si="11"/>
        <v>37391850</v>
      </c>
      <c r="AC44" s="18">
        <f>MAX(0, $A44-AC$4)*IF(RTD("tos.rtd",,"OPEN_INT","."&amp;$AB$3&amp;$AB$4&amp;"C"&amp;AC$4)="N/A",0,RTD("tos.rtd",,"OPEN_INT","."&amp;$AB$3&amp;$AB$4&amp;"C"&amp;AC$4))*100 + MAX(0, AC$4-$A44)*IF(RTD("tos.rtd",,"OPEN_INT","."&amp;$AB$3&amp;$AB$4&amp;"P"&amp;AC$4)="N/A",0,RTD("tos.rtd",,"OPEN_INT","."&amp;$AB$3&amp;$AB$4&amp;"P"&amp;AC$4))*100</f>
        <v>0</v>
      </c>
      <c r="AD44" s="18">
        <f>MAX(0, $A44-AD$4)*IF(RTD("tos.rtd",,"OPEN_INT","."&amp;$AB$3&amp;$AB$4&amp;"C"&amp;AD$4)="N/A",0,RTD("tos.rtd",,"OPEN_INT","."&amp;$AB$3&amp;$AB$4&amp;"C"&amp;AD$4))*100 + MAX(0, AD$4-$A44)*IF(RTD("tos.rtd",,"OPEN_INT","."&amp;$AB$3&amp;$AB$4&amp;"P"&amp;AD$4)="N/A",0,RTD("tos.rtd",,"OPEN_INT","."&amp;$AB$3&amp;$AB$4&amp;"P"&amp;AD$4))*100</f>
        <v>0</v>
      </c>
      <c r="AE44" s="18">
        <f>MAX(0, $A44-AE$4)*IF(RTD("tos.rtd",,"OPEN_INT","."&amp;$AB$3&amp;$AB$4&amp;"C"&amp;AE$4)="N/A",0,RTD("tos.rtd",,"OPEN_INT","."&amp;$AB$3&amp;$AB$4&amp;"C"&amp;AE$4))*100 + MAX(0, AE$4-$A44)*IF(RTD("tos.rtd",,"OPEN_INT","."&amp;$AB$3&amp;$AB$4&amp;"P"&amp;AE$4)="N/A",0,RTD("tos.rtd",,"OPEN_INT","."&amp;$AB$3&amp;$AB$4&amp;"P"&amp;AE$4))*100</f>
        <v>0</v>
      </c>
      <c r="AF44" s="18">
        <f>MAX(0, $A44-AF$4)*IF(RTD("tos.rtd",,"OPEN_INT","."&amp;$AB$3&amp;$AB$4&amp;"C"&amp;AF$4)="N/A",0,RTD("tos.rtd",,"OPEN_INT","."&amp;$AB$3&amp;$AB$4&amp;"C"&amp;AF$4))*100 + MAX(0, AF$4-$A44)*IF(RTD("tos.rtd",,"OPEN_INT","."&amp;$AB$3&amp;$AB$4&amp;"P"&amp;AF$4)="N/A",0,RTD("tos.rtd",,"OPEN_INT","."&amp;$AB$3&amp;$AB$4&amp;"P"&amp;AF$4))*100</f>
        <v>0</v>
      </c>
      <c r="AG44" s="18">
        <f>MAX(0, $A44-AG$4)*IF(RTD("tos.rtd",,"OPEN_INT","."&amp;$AB$3&amp;$AB$4&amp;"C"&amp;AG$4)="N/A",0,RTD("tos.rtd",,"OPEN_INT","."&amp;$AB$3&amp;$AB$4&amp;"C"&amp;AG$4))*100 + MAX(0, AG$4-$A44)*IF(RTD("tos.rtd",,"OPEN_INT","."&amp;$AB$3&amp;$AB$4&amp;"P"&amp;AG$4)="N/A",0,RTD("tos.rtd",,"OPEN_INT","."&amp;$AB$3&amp;$AB$4&amp;"P"&amp;AG$4))*100</f>
        <v>0</v>
      </c>
      <c r="AH44" s="18">
        <f>MAX(0, $A44-AH$4)*IF(RTD("tos.rtd",,"OPEN_INT","."&amp;$AB$3&amp;$AB$4&amp;"C"&amp;AH$4)="N/A",0,RTD("tos.rtd",,"OPEN_INT","."&amp;$AB$3&amp;$AB$4&amp;"C"&amp;AH$4))*100 + MAX(0, AH$4-$A44)*IF(RTD("tos.rtd",,"OPEN_INT","."&amp;$AB$3&amp;$AB$4&amp;"P"&amp;AH$4)="N/A",0,RTD("tos.rtd",,"OPEN_INT","."&amp;$AB$3&amp;$AB$4&amp;"P"&amp;AH$4))*100</f>
        <v>0</v>
      </c>
      <c r="AI44" s="18">
        <f>MAX(0, $A44-AI$4)*IF(RTD("tos.rtd",,"OPEN_INT","."&amp;$AB$3&amp;$AB$4&amp;"C"&amp;AI$4)="N/A",0,RTD("tos.rtd",,"OPEN_INT","."&amp;$AB$3&amp;$AB$4&amp;"C"&amp;AI$4))*100 + MAX(0, AI$4-$A44)*IF(RTD("tos.rtd",,"OPEN_INT","."&amp;$AB$3&amp;$AB$4&amp;"P"&amp;AI$4)="N/A",0,RTD("tos.rtd",,"OPEN_INT","."&amp;$AB$3&amp;$AB$4&amp;"P"&amp;AI$4))*100</f>
        <v>0</v>
      </c>
      <c r="AJ44" s="18">
        <f>MAX(0, $A44-AJ$4)*IF(RTD("tos.rtd",,"OPEN_INT","."&amp;$AB$3&amp;$AB$4&amp;"C"&amp;AJ$4)="N/A",0,RTD("tos.rtd",,"OPEN_INT","."&amp;$AB$3&amp;$AB$4&amp;"C"&amp;AJ$4))*100 + MAX(0, AJ$4-$A44)*IF(RTD("tos.rtd",,"OPEN_INT","."&amp;$AB$3&amp;$AB$4&amp;"P"&amp;AJ$4)="N/A",0,RTD("tos.rtd",,"OPEN_INT","."&amp;$AB$3&amp;$AB$4&amp;"P"&amp;AJ$4))*100</f>
        <v>4800</v>
      </c>
      <c r="AK44" s="18">
        <f>MAX(0, $A44-AK$4)*IF(RTD("tos.rtd",,"OPEN_INT","."&amp;$AB$3&amp;$AB$4&amp;"C"&amp;AK$4)="N/A",0,RTD("tos.rtd",,"OPEN_INT","."&amp;$AB$3&amp;$AB$4&amp;"C"&amp;AK$4))*100 + MAX(0, AK$4-$A44)*IF(RTD("tos.rtd",,"OPEN_INT","."&amp;$AB$3&amp;$AB$4&amp;"P"&amp;AK$4)="N/A",0,RTD("tos.rtd",,"OPEN_INT","."&amp;$AB$3&amp;$AB$4&amp;"P"&amp;AK$4))*100</f>
        <v>12400</v>
      </c>
      <c r="AL44" s="18">
        <f>MAX(0, $A44-AL$4)*IF(RTD("tos.rtd",,"OPEN_INT","."&amp;$AB$3&amp;$AB$4&amp;"C"&amp;AL$4)="N/A",0,RTD("tos.rtd",,"OPEN_INT","."&amp;$AB$3&amp;$AB$4&amp;"C"&amp;AL$4))*100 + MAX(0, AL$4-$A44)*IF(RTD("tos.rtd",,"OPEN_INT","."&amp;$AB$3&amp;$AB$4&amp;"P"&amp;AL$4)="N/A",0,RTD("tos.rtd",,"OPEN_INT","."&amp;$AB$3&amp;$AB$4&amp;"P"&amp;AL$4))*100</f>
        <v>0</v>
      </c>
      <c r="AM44" s="18">
        <f>MAX(0, $A44-AM$4)*IF(RTD("tos.rtd",,"OPEN_INT","."&amp;$AB$3&amp;$AB$4&amp;"C"&amp;AM$4)="N/A",0,RTD("tos.rtd",,"OPEN_INT","."&amp;$AB$3&amp;$AB$4&amp;"C"&amp;AM$4))*100 + MAX(0, AM$4-$A44)*IF(RTD("tos.rtd",,"OPEN_INT","."&amp;$AB$3&amp;$AB$4&amp;"P"&amp;AM$4)="N/A",0,RTD("tos.rtd",,"OPEN_INT","."&amp;$AB$3&amp;$AB$4&amp;"P"&amp;AM$4))*100</f>
        <v>0</v>
      </c>
      <c r="AN44" s="18">
        <f>MAX(0, $A44-AN$4)*IF(RTD("tos.rtd",,"OPEN_INT","."&amp;$AB$3&amp;$AB$4&amp;"C"&amp;AN$4)="N/A",0,RTD("tos.rtd",,"OPEN_INT","."&amp;$AB$3&amp;$AB$4&amp;"C"&amp;AN$4))*100 + MAX(0, AN$4-$A44)*IF(RTD("tos.rtd",,"OPEN_INT","."&amp;$AB$3&amp;$AB$4&amp;"P"&amp;AN$4)="N/A",0,RTD("tos.rtd",,"OPEN_INT","."&amp;$AB$3&amp;$AB$4&amp;"P"&amp;AN$4))*100</f>
        <v>0</v>
      </c>
      <c r="AO44" s="18">
        <f>MAX(0, $A44-AO$4)*IF(RTD("tos.rtd",,"OPEN_INT","."&amp;$AB$3&amp;$AB$4&amp;"C"&amp;AO$4)="N/A",0,RTD("tos.rtd",,"OPEN_INT","."&amp;$AB$3&amp;$AB$4&amp;"C"&amp;AO$4))*100 + MAX(0, AO$4-$A44)*IF(RTD("tos.rtd",,"OPEN_INT","."&amp;$AB$3&amp;$AB$4&amp;"P"&amp;AO$4)="N/A",0,RTD("tos.rtd",,"OPEN_INT","."&amp;$AB$3&amp;$AB$4&amp;"P"&amp;AO$4))*100</f>
        <v>0</v>
      </c>
      <c r="AP44" s="18">
        <f>MAX(0, $A44-AP$4)*IF(RTD("tos.rtd",,"OPEN_INT","."&amp;$AB$3&amp;$AB$4&amp;"C"&amp;AP$4)="N/A",0,RTD("tos.rtd",,"OPEN_INT","."&amp;$AB$3&amp;$AB$4&amp;"C"&amp;AP$4))*100 + MAX(0, AP$4-$A44)*IF(RTD("tos.rtd",,"OPEN_INT","."&amp;$AB$3&amp;$AB$4&amp;"P"&amp;AP$4)="N/A",0,RTD("tos.rtd",,"OPEN_INT","."&amp;$AB$3&amp;$AB$4&amp;"P"&amp;AP$4))*100</f>
        <v>156000</v>
      </c>
      <c r="AQ44" s="18">
        <f>MAX(0, $A44-AQ$4)*IF(RTD("tos.rtd",,"OPEN_INT","."&amp;$AB$3&amp;$AB$4&amp;"C"&amp;AQ$4)="N/A",0,RTD("tos.rtd",,"OPEN_INT","."&amp;$AB$3&amp;$AB$4&amp;"C"&amp;AQ$4))*100 + MAX(0, AQ$4-$A44)*IF(RTD("tos.rtd",,"OPEN_INT","."&amp;$AB$3&amp;$AB$4&amp;"P"&amp;AQ$4)="N/A",0,RTD("tos.rtd",,"OPEN_INT","."&amp;$AB$3&amp;$AB$4&amp;"P"&amp;AQ$4))*100</f>
        <v>0</v>
      </c>
      <c r="AR44" s="18">
        <f>MAX(0, $A44-AR$4)*IF(RTD("tos.rtd",,"OPEN_INT","."&amp;$AB$3&amp;$AB$4&amp;"C"&amp;AR$4)="N/A",0,RTD("tos.rtd",,"OPEN_INT","."&amp;$AB$3&amp;$AB$4&amp;"C"&amp;AR$4))*100 + MAX(0, AR$4-$A44)*IF(RTD("tos.rtd",,"OPEN_INT","."&amp;$AB$3&amp;$AB$4&amp;"P"&amp;AR$4)="N/A",0,RTD("tos.rtd",,"OPEN_INT","."&amp;$AB$3&amp;$AB$4&amp;"P"&amp;AR$4))*100</f>
        <v>63600</v>
      </c>
      <c r="AS44" s="18">
        <f>MAX(0, $A44-AS$4)*IF(RTD("tos.rtd",,"OPEN_INT","."&amp;$AB$3&amp;$AB$4&amp;"C"&amp;AS$4)="N/A",0,RTD("tos.rtd",,"OPEN_INT","."&amp;$AB$3&amp;$AB$4&amp;"C"&amp;AS$4))*100 + MAX(0, AS$4-$A44)*IF(RTD("tos.rtd",,"OPEN_INT","."&amp;$AB$3&amp;$AB$4&amp;"P"&amp;AS$4)="N/A",0,RTD("tos.rtd",,"OPEN_INT","."&amp;$AB$3&amp;$AB$4&amp;"P"&amp;AS$4))*100</f>
        <v>6900</v>
      </c>
      <c r="AT44" s="18">
        <f>MAX(0, $A44-AT$4)*IF(RTD("tos.rtd",,"OPEN_INT","."&amp;$AB$3&amp;$AB$4&amp;"C"&amp;AT$4)="N/A",0,RTD("tos.rtd",,"OPEN_INT","."&amp;$AB$3&amp;$AB$4&amp;"C"&amp;AT$4))*100 + MAX(0, AT$4-$A44)*IF(RTD("tos.rtd",,"OPEN_INT","."&amp;$AB$3&amp;$AB$4&amp;"P"&amp;AT$4)="N/A",0,RTD("tos.rtd",,"OPEN_INT","."&amp;$AB$3&amp;$AB$4&amp;"P"&amp;AT$4))*100</f>
        <v>68200</v>
      </c>
      <c r="AU44" s="18">
        <f>MAX(0, $A44-AU$4)*IF(RTD("tos.rtd",,"OPEN_INT","."&amp;$AB$3&amp;$AB$4&amp;"C"&amp;AU$4)="N/A",0,RTD("tos.rtd",,"OPEN_INT","."&amp;$AB$3&amp;$AB$4&amp;"C"&amp;AU$4))*100 + MAX(0, AU$4-$A44)*IF(RTD("tos.rtd",,"OPEN_INT","."&amp;$AB$3&amp;$AB$4&amp;"P"&amp;AU$4)="N/A",0,RTD("tos.rtd",,"OPEN_INT","."&amp;$AB$3&amp;$AB$4&amp;"P"&amp;AU$4))*100</f>
        <v>73500</v>
      </c>
      <c r="AV44" s="18">
        <f>MAX(0, $A44-AV$4)*IF(RTD("tos.rtd",,"OPEN_INT","."&amp;$AB$3&amp;$AB$4&amp;"C"&amp;AV$4)="N/A",0,RTD("tos.rtd",,"OPEN_INT","."&amp;$AB$3&amp;$AB$4&amp;"C"&amp;AV$4))*100 + MAX(0, AV$4-$A44)*IF(RTD("tos.rtd",,"OPEN_INT","."&amp;$AB$3&amp;$AB$4&amp;"P"&amp;AV$4)="N/A",0,RTD("tos.rtd",,"OPEN_INT","."&amp;$AB$3&amp;$AB$4&amp;"P"&amp;AV$4))*100</f>
        <v>40000</v>
      </c>
      <c r="AW44" s="18">
        <f>MAX(0, $A44-AW$4)*IF(RTD("tos.rtd",,"OPEN_INT","."&amp;$AB$3&amp;$AB$4&amp;"C"&amp;AW$4)="N/A",0,RTD("tos.rtd",,"OPEN_INT","."&amp;$AB$3&amp;$AB$4&amp;"C"&amp;AW$4))*100 + MAX(0, AW$4-$A44)*IF(RTD("tos.rtd",,"OPEN_INT","."&amp;$AB$3&amp;$AB$4&amp;"P"&amp;AW$4)="N/A",0,RTD("tos.rtd",,"OPEN_INT","."&amp;$AB$3&amp;$AB$4&amp;"P"&amp;AW$4))*100</f>
        <v>152950</v>
      </c>
      <c r="AX44" s="18">
        <f>MAX(0, $A44-AX$4)*IF(RTD("tos.rtd",,"OPEN_INT","."&amp;$AB$3&amp;$AB$4&amp;"C"&amp;AX$4)="N/A",0,RTD("tos.rtd",,"OPEN_INT","."&amp;$AB$3&amp;$AB$4&amp;"C"&amp;AX$4))*100 + MAX(0, AX$4-$A44)*IF(RTD("tos.rtd",,"OPEN_INT","."&amp;$AB$3&amp;$AB$4&amp;"P"&amp;AX$4)="N/A",0,RTD("tos.rtd",,"OPEN_INT","."&amp;$AB$3&amp;$AB$4&amp;"P"&amp;AX$4))*100</f>
        <v>181800</v>
      </c>
      <c r="AY44" s="18">
        <f>MAX(0, $A44-AY$4)*IF(RTD("tos.rtd",,"OPEN_INT","."&amp;$AB$3&amp;$AB$4&amp;"C"&amp;AY$4)="N/A",0,RTD("tos.rtd",,"OPEN_INT","."&amp;$AB$3&amp;$AB$4&amp;"C"&amp;AY$4))*100 + MAX(0, AY$4-$A44)*IF(RTD("tos.rtd",,"OPEN_INT","."&amp;$AB$3&amp;$AB$4&amp;"P"&amp;AY$4)="N/A",0,RTD("tos.rtd",,"OPEN_INT","."&amp;$AB$3&amp;$AB$4&amp;"P"&amp;AY$4))*100</f>
        <v>209950</v>
      </c>
      <c r="AZ44" s="18">
        <f>MAX(0, $A44-AZ$4)*IF(RTD("tos.rtd",,"OPEN_INT","."&amp;$AB$3&amp;$AB$4&amp;"C"&amp;AZ$4)="N/A",0,RTD("tos.rtd",,"OPEN_INT","."&amp;$AB$3&amp;$AB$4&amp;"C"&amp;AZ$4))*100 + MAX(0, AZ$4-$A44)*IF(RTD("tos.rtd",,"OPEN_INT","."&amp;$AB$3&amp;$AB$4&amp;"P"&amp;AZ$4)="N/A",0,RTD("tos.rtd",,"OPEN_INT","."&amp;$AB$3&amp;$AB$4&amp;"P"&amp;AZ$4))*100</f>
        <v>1659200</v>
      </c>
      <c r="BA44" s="18">
        <f>MAX(0, $A44-BA$4)*IF(RTD("tos.rtd",,"OPEN_INT","."&amp;$AB$3&amp;$AB$4&amp;"C"&amp;BA$4)="N/A",0,RTD("tos.rtd",,"OPEN_INT","."&amp;$AB$3&amp;$AB$4&amp;"C"&amp;BA$4))*100 + MAX(0, BA$4-$A44)*IF(RTD("tos.rtd",,"OPEN_INT","."&amp;$AB$3&amp;$AB$4&amp;"P"&amp;BA$4)="N/A",0,RTD("tos.rtd",,"OPEN_INT","."&amp;$AB$3&amp;$AB$4&amp;"P"&amp;BA$4))*100</f>
        <v>426000</v>
      </c>
      <c r="BB44" s="18">
        <f>MAX(0, $A44-BB$4)*IF(RTD("tos.rtd",,"OPEN_INT","."&amp;$AB$3&amp;$AB$4&amp;"C"&amp;BB$4)="N/A",0,RTD("tos.rtd",,"OPEN_INT","."&amp;$AB$3&amp;$AB$4&amp;"C"&amp;BB$4))*100 + MAX(0, BB$4-$A44)*IF(RTD("tos.rtd",,"OPEN_INT","."&amp;$AB$3&amp;$AB$4&amp;"P"&amp;BB$4)="N/A",0,RTD("tos.rtd",,"OPEN_INT","."&amp;$AB$3&amp;$AB$4&amp;"P"&amp;BB$4))*100</f>
        <v>1638000</v>
      </c>
      <c r="BC44" s="18">
        <f>MAX(0, $A44-BC$4)*IF(RTD("tos.rtd",,"OPEN_INT","."&amp;$AB$3&amp;$AB$4&amp;"C"&amp;BC$4)="N/A",0,RTD("tos.rtd",,"OPEN_INT","."&amp;$AB$3&amp;$AB$4&amp;"C"&amp;BC$4))*100 + MAX(0, BC$4-$A44)*IF(RTD("tos.rtd",,"OPEN_INT","."&amp;$AB$3&amp;$AB$4&amp;"P"&amp;BC$4)="N/A",0,RTD("tos.rtd",,"OPEN_INT","."&amp;$AB$3&amp;$AB$4&amp;"P"&amp;BC$4))*100</f>
        <v>1484600</v>
      </c>
      <c r="BD44" s="18">
        <f>MAX(0, $A44-BD$4)*IF(RTD("tos.rtd",,"OPEN_INT","."&amp;$AB$3&amp;$AB$4&amp;"C"&amp;BD$4)="N/A",0,RTD("tos.rtd",,"OPEN_INT","."&amp;$AB$3&amp;$AB$4&amp;"C"&amp;BD$4))*100 + MAX(0, BD$4-$A44)*IF(RTD("tos.rtd",,"OPEN_INT","."&amp;$AB$3&amp;$AB$4&amp;"P"&amp;BD$4)="N/A",0,RTD("tos.rtd",,"OPEN_INT","."&amp;$AB$3&amp;$AB$4&amp;"P"&amp;BD$4))*100</f>
        <v>4590600</v>
      </c>
      <c r="BE44" s="18">
        <f>MAX(0, $A44-BE$4)*IF(RTD("tos.rtd",,"OPEN_INT","."&amp;$AB$3&amp;$AB$4&amp;"C"&amp;BE$4)="N/A",0,RTD("tos.rtd",,"OPEN_INT","."&amp;$AB$3&amp;$AB$4&amp;"C"&amp;BE$4))*100 + MAX(0, BE$4-$A44)*IF(RTD("tos.rtd",,"OPEN_INT","."&amp;$AB$3&amp;$AB$4&amp;"P"&amp;BE$4)="N/A",0,RTD("tos.rtd",,"OPEN_INT","."&amp;$AB$3&amp;$AB$4&amp;"P"&amp;BE$4))*100</f>
        <v>5401550</v>
      </c>
      <c r="BF44" s="18">
        <f>MAX(0, $A44-BF$4)*IF(RTD("tos.rtd",,"OPEN_INT","."&amp;$AB$3&amp;$AB$4&amp;"C"&amp;BF$4)="N/A",0,RTD("tos.rtd",,"OPEN_INT","."&amp;$AB$3&amp;$AB$4&amp;"C"&amp;BF$4))*100 + MAX(0, BF$4-$A44)*IF(RTD("tos.rtd",,"OPEN_INT","."&amp;$AB$3&amp;$AB$4&amp;"P"&amp;BF$4)="N/A",0,RTD("tos.rtd",,"OPEN_INT","."&amp;$AB$3&amp;$AB$4&amp;"P"&amp;BF$4))*100</f>
        <v>5558000</v>
      </c>
      <c r="BG44" s="18">
        <f>MAX(0, $A44-BG$4)*IF(RTD("tos.rtd",,"OPEN_INT","."&amp;$AB$3&amp;$AB$4&amp;"C"&amp;BG$4)="N/A",0,RTD("tos.rtd",,"OPEN_INT","."&amp;$AB$3&amp;$AB$4&amp;"C"&amp;BG$4))*100 + MAX(0, BG$4-$A44)*IF(RTD("tos.rtd",,"OPEN_INT","."&amp;$AB$3&amp;$AB$4&amp;"P"&amp;BG$4)="N/A",0,RTD("tos.rtd",,"OPEN_INT","."&amp;$AB$3&amp;$AB$4&amp;"P"&amp;BG$4))*100</f>
        <v>6259050</v>
      </c>
      <c r="BH44" s="18">
        <f>MAX(0, $A44-BH$4)*IF(RTD("tos.rtd",,"OPEN_INT","."&amp;$AB$3&amp;$AB$4&amp;"C"&amp;BH$4)="N/A",0,RTD("tos.rtd",,"OPEN_INT","."&amp;$AB$3&amp;$AB$4&amp;"C"&amp;BH$4))*100 + MAX(0, BH$4-$A44)*IF(RTD("tos.rtd",,"OPEN_INT","."&amp;$AB$3&amp;$AB$4&amp;"P"&amp;BH$4)="N/A",0,RTD("tos.rtd",,"OPEN_INT","."&amp;$AB$3&amp;$AB$4&amp;"P"&amp;BH$4))*100</f>
        <v>3630000</v>
      </c>
      <c r="BI44" s="18">
        <f>MAX(0, $A44-BI$4)*IF(RTD("tos.rtd",,"OPEN_INT","."&amp;$AB$3&amp;$AB$4&amp;"C"&amp;BI$4)="N/A",0,RTD("tos.rtd",,"OPEN_INT","."&amp;$AB$3&amp;$AB$4&amp;"C"&amp;BI$4))*100 + MAX(0, BI$4-$A44)*IF(RTD("tos.rtd",,"OPEN_INT","."&amp;$AB$3&amp;$AB$4&amp;"P"&amp;BI$4)="N/A",0,RTD("tos.rtd",,"OPEN_INT","."&amp;$AB$3&amp;$AB$4&amp;"P"&amp;BI$4))*100</f>
        <v>2248050</v>
      </c>
      <c r="BJ44" s="18">
        <f>MAX(0, $A44-BJ$4)*IF(RTD("tos.rtd",,"OPEN_INT","."&amp;$AB$3&amp;$AB$4&amp;"C"&amp;BJ$4)="N/A",0,RTD("tos.rtd",,"OPEN_INT","."&amp;$AB$3&amp;$AB$4&amp;"C"&amp;BJ$4))*100 + MAX(0, BJ$4-$A44)*IF(RTD("tos.rtd",,"OPEN_INT","."&amp;$AB$3&amp;$AB$4&amp;"P"&amp;BJ$4)="N/A",0,RTD("tos.rtd",,"OPEN_INT","."&amp;$AB$3&amp;$AB$4&amp;"P"&amp;BJ$4))*100</f>
        <v>2407500</v>
      </c>
      <c r="BK44" s="18">
        <f>MAX(0, $A44-BK$4)*IF(RTD("tos.rtd",,"OPEN_INT","."&amp;$AB$3&amp;$AB$4&amp;"C"&amp;BK$4)="N/A",0,RTD("tos.rtd",,"OPEN_INT","."&amp;$AB$3&amp;$AB$4&amp;"C"&amp;BK$4))*100 + MAX(0, BK$4-$A44)*IF(RTD("tos.rtd",,"OPEN_INT","."&amp;$AB$3&amp;$AB$4&amp;"P"&amp;BK$4)="N/A",0,RTD("tos.rtd",,"OPEN_INT","."&amp;$AB$3&amp;$AB$4&amp;"P"&amp;BK$4))*100</f>
        <v>545750</v>
      </c>
      <c r="BL44" s="18">
        <f>MAX(0, $A44-BL$4)*IF(RTD("tos.rtd",,"OPEN_INT","."&amp;$AB$3&amp;$AB$4&amp;"C"&amp;BL$4)="N/A",0,RTD("tos.rtd",,"OPEN_INT","."&amp;$AB$3&amp;$AB$4&amp;"C"&amp;BL$4))*100 + MAX(0, BL$4-$A44)*IF(RTD("tos.rtd",,"OPEN_INT","."&amp;$AB$3&amp;$AB$4&amp;"P"&amp;BL$4)="N/A",0,RTD("tos.rtd",,"OPEN_INT","."&amp;$AB$3&amp;$AB$4&amp;"P"&amp;BL$4))*100</f>
        <v>468000</v>
      </c>
      <c r="BM44" s="18">
        <f>MAX(0, $A44-BM$4)*IF(RTD("tos.rtd",,"OPEN_INT","."&amp;$AB$3&amp;$AB$4&amp;"C"&amp;BM$4)="N/A",0,RTD("tos.rtd",,"OPEN_INT","."&amp;$AB$3&amp;$AB$4&amp;"C"&amp;BM$4))*100 + MAX(0, BM$4-$A44)*IF(RTD("tos.rtd",,"OPEN_INT","."&amp;$AB$3&amp;$AB$4&amp;"P"&amp;BM$4)="N/A",0,RTD("tos.rtd",,"OPEN_INT","."&amp;$AB$3&amp;$AB$4&amp;"P"&amp;BM$4))*100</f>
        <v>58800</v>
      </c>
      <c r="BN44" s="18">
        <f>MAX(0, $A44-BN$4)*IF(RTD("tos.rtd",,"OPEN_INT","."&amp;$AB$3&amp;$AB$4&amp;"C"&amp;BN$4)="N/A",0,RTD("tos.rtd",,"OPEN_INT","."&amp;$AB$3&amp;$AB$4&amp;"C"&amp;BN$4))*100 + MAX(0, BN$4-$A44)*IF(RTD("tos.rtd",,"OPEN_INT","."&amp;$AB$3&amp;$AB$4&amp;"P"&amp;BN$4)="N/A",0,RTD("tos.rtd",,"OPEN_INT","."&amp;$AB$3&amp;$AB$4&amp;"P"&amp;BN$4))*100</f>
        <v>43500</v>
      </c>
      <c r="BO44" s="18">
        <f>MAX(0, $A44-BO$4)*IF(RTD("tos.rtd",,"OPEN_INT","."&amp;$AB$3&amp;$AB$4&amp;"C"&amp;BO$4)="N/A",0,RTD("tos.rtd",,"OPEN_INT","."&amp;$AB$3&amp;$AB$4&amp;"C"&amp;BO$4))*100 + MAX(0, BO$4-$A44)*IF(RTD("tos.rtd",,"OPEN_INT","."&amp;$AB$3&amp;$AB$4&amp;"P"&amp;BO$4)="N/A",0,RTD("tos.rtd",,"OPEN_INT","."&amp;$AB$3&amp;$AB$4&amp;"P"&amp;BO$4))*100</f>
        <v>3150</v>
      </c>
      <c r="BP44" s="18">
        <f>MAX(0, $A44-BP$4)*IF(RTD("tos.rtd",,"OPEN_INT","."&amp;$AB$3&amp;$AB$4&amp;"C"&amp;BP$4)="N/A",0,RTD("tos.rtd",,"OPEN_INT","."&amp;$AB$3&amp;$AB$4&amp;"C"&amp;BP$4))*100 + MAX(0, BP$4-$A44)*IF(RTD("tos.rtd",,"OPEN_INT","."&amp;$AB$3&amp;$AB$4&amp;"P"&amp;BP$4)="N/A",0,RTD("tos.rtd",,"OPEN_INT","."&amp;$AB$3&amp;$AB$4&amp;"P"&amp;BP$4))*100</f>
        <v>0</v>
      </c>
      <c r="BQ44" s="18">
        <f>MAX(0, $A44-BQ$4)*IF(RTD("tos.rtd",,"OPEN_INT","."&amp;$AB$3&amp;$AB$4&amp;"C"&amp;BQ$4)="N/A",0,RTD("tos.rtd",,"OPEN_INT","."&amp;$AB$3&amp;$AB$4&amp;"C"&amp;BQ$4))*100 + MAX(0, BQ$4-$A44)*IF(RTD("tos.rtd",,"OPEN_INT","."&amp;$AB$3&amp;$AB$4&amp;"P"&amp;BQ$4)="N/A",0,RTD("tos.rtd",,"OPEN_INT","."&amp;$AB$3&amp;$AB$4&amp;"P"&amp;BQ$4))*100</f>
        <v>0</v>
      </c>
      <c r="BR44" s="18">
        <f>MAX(0, $A44-BR$4)*IF(RTD("tos.rtd",,"OPEN_INT","."&amp;$AB$3&amp;$AB$4&amp;"C"&amp;BR$4)="N/A",0,RTD("tos.rtd",,"OPEN_INT","."&amp;$AB$3&amp;$AB$4&amp;"C"&amp;BR$4))*100 + MAX(0, BR$4-$A44)*IF(RTD("tos.rtd",,"OPEN_INT","."&amp;$AB$3&amp;$AB$4&amp;"P"&amp;BR$4)="N/A",0,RTD("tos.rtd",,"OPEN_INT","."&amp;$AB$3&amp;$AB$4&amp;"P"&amp;BR$4))*100</f>
        <v>0</v>
      </c>
      <c r="BS44" s="18">
        <f>MAX(0, $A44-BS$4)*IF(RTD("tos.rtd",,"OPEN_INT","."&amp;$AB$3&amp;$AB$4&amp;"C"&amp;BS$4)="N/A",0,RTD("tos.rtd",,"OPEN_INT","."&amp;$AB$3&amp;$AB$4&amp;"C"&amp;BS$4))*100 + MAX(0, BS$4-$A44)*IF(RTD("tos.rtd",,"OPEN_INT","."&amp;$AB$3&amp;$AB$4&amp;"P"&amp;BS$4)="N/A",0,RTD("tos.rtd",,"OPEN_INT","."&amp;$AB$3&amp;$AB$4&amp;"P"&amp;BS$4))*100</f>
        <v>0</v>
      </c>
      <c r="BT44" s="18">
        <f>MAX(0, $A44-BT$4)*IF(RTD("tos.rtd",,"OPEN_INT","."&amp;$AB$3&amp;$AB$4&amp;"C"&amp;BT$4)="N/A",0,RTD("tos.rtd",,"OPEN_INT","."&amp;$AB$3&amp;$AB$4&amp;"C"&amp;BT$4))*100 + MAX(0, BT$4-$A44)*IF(RTD("tos.rtd",,"OPEN_INT","."&amp;$AB$3&amp;$AB$4&amp;"P"&amp;BT$4)="N/A",0,RTD("tos.rtd",,"OPEN_INT","."&amp;$AB$3&amp;$AB$4&amp;"P"&amp;BT$4))*100</f>
        <v>0</v>
      </c>
      <c r="BU44" s="18">
        <f>MAX(0, $A44-BU$4)*IF(RTD("tos.rtd",,"OPEN_INT","."&amp;$AB$3&amp;$AB$4&amp;"C"&amp;BU$4)="N/A",0,RTD("tos.rtd",,"OPEN_INT","."&amp;$AB$3&amp;$AB$4&amp;"C"&amp;BU$4))*100 + MAX(0, BU$4-$A44)*IF(RTD("tos.rtd",,"OPEN_INT","."&amp;$AB$3&amp;$AB$4&amp;"P"&amp;BU$4)="N/A",0,RTD("tos.rtd",,"OPEN_INT","."&amp;$AB$3&amp;$AB$4&amp;"P"&amp;BU$4))*100</f>
        <v>0</v>
      </c>
      <c r="BV44" s="18">
        <f>MAX(0, $A44-BV$4)*IF(RTD("tos.rtd",,"OPEN_INT","."&amp;$AB$3&amp;$AB$4&amp;"C"&amp;BV$4)="N/A",0,RTD("tos.rtd",,"OPEN_INT","."&amp;$AB$3&amp;$AB$4&amp;"C"&amp;BV$4))*100 + MAX(0, BV$4-$A44)*IF(RTD("tos.rtd",,"OPEN_INT","."&amp;$AB$3&amp;$AB$4&amp;"P"&amp;BV$4)="N/A",0,RTD("tos.rtd",,"OPEN_INT","."&amp;$AB$3&amp;$AB$4&amp;"P"&amp;BV$4))*100</f>
        <v>0</v>
      </c>
      <c r="BW44" s="18">
        <f>MAX(0, $A44-BW$4)*IF(RTD("tos.rtd",,"OPEN_INT","."&amp;$AB$3&amp;$AB$4&amp;"C"&amp;BW$4)="N/A",0,RTD("tos.rtd",,"OPEN_INT","."&amp;$AB$3&amp;$AB$4&amp;"C"&amp;BW$4))*100 + MAX(0, BW$4-$A44)*IF(RTD("tos.rtd",,"OPEN_INT","."&amp;$AB$3&amp;$AB$4&amp;"P"&amp;BW$4)="N/A",0,RTD("tos.rtd",,"OPEN_INT","."&amp;$AB$3&amp;$AB$4&amp;"P"&amp;BW$4))*100</f>
        <v>0</v>
      </c>
    </row>
    <row r="45" spans="1:75" s="19" customFormat="1" ht="11.1" customHeight="1" thickBot="1" x14ac:dyDescent="0.3">
      <c r="A45" s="23">
        <f t="shared" si="12"/>
        <v>1.5</v>
      </c>
      <c r="B45" s="14">
        <f ca="1">IF($A$2="PREMIUM_OI",IFERROR(IF($X$1="ABS",(100*RTD("tos.rtd",,"OPEN_INT","."&amp;B$2&amp;B$1&amp;"C"&amp;$A45)*RTD("tos.rtd",,"LAST","."&amp;B$2&amp;B$1&amp;"C"&amp;$A45)+100*RTD("tos.rtd",,"OPEN_INT","."&amp;B$2&amp;B$1&amp;"P"&amp;$A45)*RTD("tos.rtd",,"LAST","."&amp;B$2&amp;B$1&amp;"P"&amp;$A45))/1000000,(100*RTD("tos.rtd",,"OPEN_INT","."&amp;B$2&amp;B$1&amp;"C"&amp;$A45)*RTD("tos.rtd",,"LAST","."&amp;B$2&amp;B$1&amp;"C"&amp;$A45)-100*RTD("tos.rtd",,"OPEN_INT","."&amp;B$2&amp;B$1&amp;"P"&amp;$A45)*RTD("tos.rtd",,"LAST","."&amp;B$2&amp;B$1&amp;"P"&amp;$A45))/1000000),0),IF($A$2="PREMIUM",IFERROR(IF($X$1="ABS",(100*RTD("tos.rtd",,"VOLUME","."&amp;B$2&amp;B$1&amp;"C"&amp;$A45)*RTD("tos.rtd",,"LAST","."&amp;B$2&amp;B$1&amp;"C"&amp;$A45)+100*RTD("tos.rtd",,"VOLUME","."&amp;B$2&amp;B$1&amp;"P"&amp;$A45)*RTD("tos.rtd",,"LAST","."&amp;B$2&amp;B$1&amp;"P"&amp;$A45))/1000000,(100*RTD("tos.rtd",,"VOLUME","."&amp;B$2&amp;B$1&amp;"C"&amp;$A45)*RTD("tos.rtd",,"LAST","."&amp;B$2&amp;B$1&amp;"C"&amp;$A45)-100*RTD("tos.rtd",,"VOLUME","."&amp;B$2&amp;B$1&amp;"P"&amp;$A45)*RTD("tos.rtd",,"LAST","."&amp;B$2&amp;B$1&amp;"P"&amp;$A45))/1000000),0),IF($A$2="DEX",IFERROR(IF($X$1="ABS",(100*RTD("tos.rtd",,"OPEN_INT","."&amp;B$2&amp;B$1&amp;"C"&amp;$A45)*RTD("tos.rtd",,"DELTA","."&amp;B$2&amp;B$1&amp;"C"&amp;$A45)+100*RTD("tos.rtd",,"OPEN_INT","."&amp;B$2&amp;B$1&amp;"P"&amp;$A45)*RTD("tos.rtd",,"DELTA","."&amp;B$2&amp;B$1&amp;"P"&amp;$A45))/1000,(100*RTD("tos.rtd",,"OPEN_INT","."&amp;B$2&amp;B$1&amp;"C"&amp;$A45)*RTD("tos.rtd",,"DELTA","."&amp;B$2&amp;B$1&amp;"C"&amp;$A45)-100*RTD("tos.rtd",,"OPEN_INT","."&amp;B$2&amp;B$1&amp;"P"&amp;$A45)*RTD("tos.rtd",,"DELTA","."&amp;B$2&amp;B$1&amp;"P"&amp;$A45))/1000),0),IF($A$2="VEX",IFERROR(IF($X$1="ABS",($A$4*$A$4*RTD("tos.rtd",,"VOLUME","."&amp;B$2&amp;B$1&amp;"C"&amp;$A45)*RTD("tos.rtd",,"GAMMA","."&amp;B$2&amp;B$1&amp;"C"&amp;$A45)+$A$4*$A$4*RTD("tos.rtd",,"VOLUME","."&amp;B$2&amp;B$1&amp;"P"&amp;$A45)*RTD("tos.rtd",,"GAMMA","."&amp;B$2&amp;B$1&amp;"P"&amp;$A45))/1000000,($A$4*$A$4*RTD("tos.rtd",,"VOLUME","."&amp;B$2&amp;B$1&amp;"C"&amp;$A45)*RTD("tos.rtd",,"GAMMA","."&amp;B$2&amp;B$1&amp;"C"&amp;$A45)-$A$4*$A$4*RTD("tos.rtd",,"VOLUME","."&amp;B$2&amp;B$1&amp;"P"&amp;$A45)*RTD("tos.rtd",,"GAMMA","."&amp;B$2&amp;B$1&amp;"P"&amp;$A45))/1000000),0),IF($A$2="GEX",IFERROR(IF($X$1="ABS",($A$4*$A$4*RTD("tos.rtd",,"OPEN_INT","."&amp;B$2&amp;B$1&amp;"C"&amp;$A45)*RTD("tos.rtd",,"GAMMA","."&amp;B$2&amp;B$1&amp;"C"&amp;$A45)+$A$4*$A$4*RTD("tos.rtd",,"OPEN_INT","."&amp;B$2&amp;B$1&amp;"P"&amp;$A45)*RTD("tos.rtd",,"GAMMA","."&amp;B$2&amp;B$1&amp;"P"&amp;$A45))/1000000,($A$4*$A$4*RTD("tos.rtd",,"OPEN_INT","."&amp;B$2&amp;B$1&amp;"C"&amp;$A45)*RTD("tos.rtd",,"GAMMA","."&amp;B$2&amp;B$1&amp;"C"&amp;$A45)-$A$4*$A$4*RTD("tos.rtd",,"OPEN_INT","."&amp;B$2&amp;B$1&amp;"P"&amp;$A45)*RTD("tos.rtd",,"GAMMA","."&amp;B$2&amp;B$1&amp;"P"&amp;$A45))/1000000),0),IF($A$2="SKEW",IFERROR(VALUE(IF(RTD("tos.rtd",,"IMPL_VOL","."&amp;B$2&amp;B$1&amp;"P"&amp;$A45)="N/A",0,RTD("tos.rtd",,"IMPL_VOL","."&amp;B$2&amp;B$1&amp;"P"&amp;$A45))),0)-IFERROR(VALUE(IF(RTD("tos.rtd",,"IMPL_VOL","."&amp;B$2&amp;B$1&amp;"C"&amp;$A45)="N/A",0,RTD("tos.rtd",,"IMPL_VOL","."&amp;B$2&amp;B$1&amp;"C"&amp;$A45))),0),IF($A$2="MAXPAIN",IF($A$4&gt;$A45,($A$4-$A45)*IF(RTD("tos.rtd",,"OPEN_INT","."&amp;B$2&amp;B$1&amp;"C"&amp;$A45)="N/A",0,RTD("tos.rtd",,"OPEN_INT","."&amp;B$2&amp;B$1&amp;"C"&amp;$A45)),0)+IF($A$4&lt;$A45,($A$5-$A$4)*IF(RTD("tos.rtd",,"OPEN_INT","."&amp;B$2&amp;B$1&amp;"P"&amp;$A45)="N/A",0,RTD("tos.rtd",,"OPEN_INT","."&amp;B$2&amp;B$1&amp;"P"&amp;$A45)),0),IF($X$1="ABS",IF(RTD("tos.rtd",,$A$2,"."&amp;B$2&amp;B$1&amp;"C"&amp;$A45)="N/A",0,RTD("tos.rtd",,$A$2,"."&amp;B$2&amp;B$1&amp;"C"&amp;$A45))+IF(RTD("tos.rtd",,$A$2,"."&amp;B$2&amp;B$1&amp;"P"&amp;$A45)="N/A",0,RTD("tos.rtd",,$A$2,"."&amp;B$2&amp;B$1&amp;"P"&amp;$A45)),IF(RTD("tos.rtd",,$A$2,"."&amp;B$2&amp;B$1&amp;"C"&amp;$A45)="N/A",0,RTD("tos.rtd",,$A$2,"."&amp;B$2&amp;B$1&amp;"C"&amp;$A45))-IF(RTD("tos.rtd",,$A$2,"."&amp;B$2&amp;B$1&amp;"P"&amp;$A45)="N/A",0,RTD("tos.rtd",,$A$2,"."&amp;B$2&amp;B$1&amp;"P"&amp;$A45))))))))))</f>
        <v>0</v>
      </c>
      <c r="C45" s="14">
        <f ca="1">IF($A$2="PREMIUM_OI",IFERROR(IF($X$1="ABS",(100*RTD("tos.rtd",,"OPEN_INT","."&amp;C$2&amp;C$1&amp;"C"&amp;$A45)*RTD("tos.rtd",,"LAST","."&amp;C$2&amp;C$1&amp;"C"&amp;$A45)+100*RTD("tos.rtd",,"OPEN_INT","."&amp;C$2&amp;C$1&amp;"P"&amp;$A45)*RTD("tos.rtd",,"LAST","."&amp;C$2&amp;C$1&amp;"P"&amp;$A45))/1000000,(100*RTD("tos.rtd",,"OPEN_INT","."&amp;C$2&amp;C$1&amp;"C"&amp;$A45)*RTD("tos.rtd",,"LAST","."&amp;C$2&amp;C$1&amp;"C"&amp;$A45)-100*RTD("tos.rtd",,"OPEN_INT","."&amp;C$2&amp;C$1&amp;"P"&amp;$A45)*RTD("tos.rtd",,"LAST","."&amp;C$2&amp;C$1&amp;"P"&amp;$A45))/1000000),0),IF($A$2="PREMIUM",IFERROR(IF($X$1="ABS",(100*RTD("tos.rtd",,"VOLUME","."&amp;C$2&amp;C$1&amp;"C"&amp;$A45)*RTD("tos.rtd",,"LAST","."&amp;C$2&amp;C$1&amp;"C"&amp;$A45)+100*RTD("tos.rtd",,"VOLUME","."&amp;C$2&amp;C$1&amp;"P"&amp;$A45)*RTD("tos.rtd",,"LAST","."&amp;C$2&amp;C$1&amp;"P"&amp;$A45))/1000000,(100*RTD("tos.rtd",,"VOLUME","."&amp;C$2&amp;C$1&amp;"C"&amp;$A45)*RTD("tos.rtd",,"LAST","."&amp;C$2&amp;C$1&amp;"C"&amp;$A45)-100*RTD("tos.rtd",,"VOLUME","."&amp;C$2&amp;C$1&amp;"P"&amp;$A45)*RTD("tos.rtd",,"LAST","."&amp;C$2&amp;C$1&amp;"P"&amp;$A45))/1000000),0),IF($A$2="DEX",IFERROR(IF($X$1="ABS",(100*RTD("tos.rtd",,"OPEN_INT","."&amp;C$2&amp;C$1&amp;"C"&amp;$A45)*RTD("tos.rtd",,"DELTA","."&amp;C$2&amp;C$1&amp;"C"&amp;$A45)+100*RTD("tos.rtd",,"OPEN_INT","."&amp;C$2&amp;C$1&amp;"P"&amp;$A45)*RTD("tos.rtd",,"DELTA","."&amp;C$2&amp;C$1&amp;"P"&amp;$A45))/1000,(100*RTD("tos.rtd",,"OPEN_INT","."&amp;C$2&amp;C$1&amp;"C"&amp;$A45)*RTD("tos.rtd",,"DELTA","."&amp;C$2&amp;C$1&amp;"C"&amp;$A45)-100*RTD("tos.rtd",,"OPEN_INT","."&amp;C$2&amp;C$1&amp;"P"&amp;$A45)*RTD("tos.rtd",,"DELTA","."&amp;C$2&amp;C$1&amp;"P"&amp;$A45))/1000),0),IF($A$2="VEX",IFERROR(IF($X$1="ABS",($A$4*$A$4*RTD("tos.rtd",,"VOLUME","."&amp;C$2&amp;C$1&amp;"C"&amp;$A45)*RTD("tos.rtd",,"GAMMA","."&amp;C$2&amp;C$1&amp;"C"&amp;$A45)+$A$4*$A$4*RTD("tos.rtd",,"VOLUME","."&amp;C$2&amp;C$1&amp;"P"&amp;$A45)*RTD("tos.rtd",,"GAMMA","."&amp;C$2&amp;C$1&amp;"P"&amp;$A45))/1000000,($A$4*$A$4*RTD("tos.rtd",,"VOLUME","."&amp;C$2&amp;C$1&amp;"C"&amp;$A45)*RTD("tos.rtd",,"GAMMA","."&amp;C$2&amp;C$1&amp;"C"&amp;$A45)-$A$4*$A$4*RTD("tos.rtd",,"VOLUME","."&amp;C$2&amp;C$1&amp;"P"&amp;$A45)*RTD("tos.rtd",,"GAMMA","."&amp;C$2&amp;C$1&amp;"P"&amp;$A45))/1000000),0),IF($A$2="GEX",IFERROR(IF($X$1="ABS",($A$4*$A$4*RTD("tos.rtd",,"OPEN_INT","."&amp;C$2&amp;C$1&amp;"C"&amp;$A45)*RTD("tos.rtd",,"GAMMA","."&amp;C$2&amp;C$1&amp;"C"&amp;$A45)+$A$4*$A$4*RTD("tos.rtd",,"OPEN_INT","."&amp;C$2&amp;C$1&amp;"P"&amp;$A45)*RTD("tos.rtd",,"GAMMA","."&amp;C$2&amp;C$1&amp;"P"&amp;$A45))/1000000,($A$4*$A$4*RTD("tos.rtd",,"OPEN_INT","."&amp;C$2&amp;C$1&amp;"C"&amp;$A45)*RTD("tos.rtd",,"GAMMA","."&amp;C$2&amp;C$1&amp;"C"&amp;$A45)-$A$4*$A$4*RTD("tos.rtd",,"OPEN_INT","."&amp;C$2&amp;C$1&amp;"P"&amp;$A45)*RTD("tos.rtd",,"GAMMA","."&amp;C$2&amp;C$1&amp;"P"&amp;$A45))/1000000),0),IF($A$2="SKEW",IFERROR(VALUE(IF(RTD("tos.rtd",,"IMPL_VOL","."&amp;C$2&amp;C$1&amp;"P"&amp;$A45)="N/A",0,RTD("tos.rtd",,"IMPL_VOL","."&amp;C$2&amp;C$1&amp;"P"&amp;$A45))),0)-IFERROR(VALUE(IF(RTD("tos.rtd",,"IMPL_VOL","."&amp;C$2&amp;C$1&amp;"C"&amp;$A45)="N/A",0,RTD("tos.rtd",,"IMPL_VOL","."&amp;C$2&amp;C$1&amp;"C"&amp;$A45))),0),IF($A$2="MAXPAIN",IF($A$4&gt;$A45,($A$4-$A45)*IF(RTD("tos.rtd",,"OPEN_INT","."&amp;C$2&amp;C$1&amp;"C"&amp;$A45)="N/A",0,RTD("tos.rtd",,"OPEN_INT","."&amp;C$2&amp;C$1&amp;"C"&amp;$A45)),0)+IF($A$4&lt;$A45,($A$5-$A$4)*IF(RTD("tos.rtd",,"OPEN_INT","."&amp;C$2&amp;C$1&amp;"P"&amp;$A45)="N/A",0,RTD("tos.rtd",,"OPEN_INT","."&amp;C$2&amp;C$1&amp;"P"&amp;$A45)),0),IF($X$1="ABS",IF(RTD("tos.rtd",,$A$2,"."&amp;C$2&amp;C$1&amp;"C"&amp;$A45)="N/A",0,RTD("tos.rtd",,$A$2,"."&amp;C$2&amp;C$1&amp;"C"&amp;$A45))+IF(RTD("tos.rtd",,$A$2,"."&amp;C$2&amp;C$1&amp;"P"&amp;$A45)="N/A",0,RTD("tos.rtd",,$A$2,"."&amp;C$2&amp;C$1&amp;"P"&amp;$A45)),IF(RTD("tos.rtd",,$A$2,"."&amp;C$2&amp;C$1&amp;"C"&amp;$A45)="N/A",0,RTD("tos.rtd",,$A$2,"."&amp;C$2&amp;C$1&amp;"C"&amp;$A45))-IF(RTD("tos.rtd",,$A$2,"."&amp;C$2&amp;C$1&amp;"P"&amp;$A45)="N/A",0,RTD("tos.rtd",,$A$2,"."&amp;C$2&amp;C$1&amp;"P"&amp;$A45))))))))))</f>
        <v>0</v>
      </c>
      <c r="D45" s="12">
        <f ca="1">IF($A$2="PREMIUM_OI",IFERROR(IF($X$1="ABS",(100*RTD("tos.rtd",,"OPEN_INT","."&amp;D$2&amp;D$1&amp;"C"&amp;$A45)*RTD("tos.rtd",,"LAST","."&amp;D$2&amp;D$1&amp;"C"&amp;$A45)+100*RTD("tos.rtd",,"OPEN_INT","."&amp;D$2&amp;D$1&amp;"P"&amp;$A45)*RTD("tos.rtd",,"LAST","."&amp;D$2&amp;D$1&amp;"P"&amp;$A45))/1000000,(100*RTD("tos.rtd",,"OPEN_INT","."&amp;D$2&amp;D$1&amp;"C"&amp;$A45)*RTD("tos.rtd",,"LAST","."&amp;D$2&amp;D$1&amp;"C"&amp;$A45)-100*RTD("tos.rtd",,"OPEN_INT","."&amp;D$2&amp;D$1&amp;"P"&amp;$A45)*RTD("tos.rtd",,"LAST","."&amp;D$2&amp;D$1&amp;"P"&amp;$A45))/1000000),0),IF($A$2="PREMIUM",IFERROR(IF($X$1="ABS",(100*RTD("tos.rtd",,"VOLUME","."&amp;D$2&amp;D$1&amp;"C"&amp;$A45)*RTD("tos.rtd",,"LAST","."&amp;D$2&amp;D$1&amp;"C"&amp;$A45)+100*RTD("tos.rtd",,"VOLUME","."&amp;D$2&amp;D$1&amp;"P"&amp;$A45)*RTD("tos.rtd",,"LAST","."&amp;D$2&amp;D$1&amp;"P"&amp;$A45))/1000000,(100*RTD("tos.rtd",,"VOLUME","."&amp;D$2&amp;D$1&amp;"C"&amp;$A45)*RTD("tos.rtd",,"LAST","."&amp;D$2&amp;D$1&amp;"C"&amp;$A45)-100*RTD("tos.rtd",,"VOLUME","."&amp;D$2&amp;D$1&amp;"P"&amp;$A45)*RTD("tos.rtd",,"LAST","."&amp;D$2&amp;D$1&amp;"P"&amp;$A45))/1000000),0),IF($A$2="DEX",IFERROR(IF($X$1="ABS",(100*RTD("tos.rtd",,"OPEN_INT","."&amp;D$2&amp;D$1&amp;"C"&amp;$A45)*RTD("tos.rtd",,"DELTA","."&amp;D$2&amp;D$1&amp;"C"&amp;$A45)+100*RTD("tos.rtd",,"OPEN_INT","."&amp;D$2&amp;D$1&amp;"P"&amp;$A45)*RTD("tos.rtd",,"DELTA","."&amp;D$2&amp;D$1&amp;"P"&amp;$A45))/1000,(100*RTD("tos.rtd",,"OPEN_INT","."&amp;D$2&amp;D$1&amp;"C"&amp;$A45)*RTD("tos.rtd",,"DELTA","."&amp;D$2&amp;D$1&amp;"C"&amp;$A45)-100*RTD("tos.rtd",,"OPEN_INT","."&amp;D$2&amp;D$1&amp;"P"&amp;$A45)*RTD("tos.rtd",,"DELTA","."&amp;D$2&amp;D$1&amp;"P"&amp;$A45))/1000),0),IF($A$2="VEX",IFERROR(IF($X$1="ABS",($A$4*$A$4*RTD("tos.rtd",,"VOLUME","."&amp;D$2&amp;D$1&amp;"C"&amp;$A45)*RTD("tos.rtd",,"GAMMA","."&amp;D$2&amp;D$1&amp;"C"&amp;$A45)+$A$4*$A$4*RTD("tos.rtd",,"VOLUME","."&amp;D$2&amp;D$1&amp;"P"&amp;$A45)*RTD("tos.rtd",,"GAMMA","."&amp;D$2&amp;D$1&amp;"P"&amp;$A45))/1000000,($A$4*$A$4*RTD("tos.rtd",,"VOLUME","."&amp;D$2&amp;D$1&amp;"C"&amp;$A45)*RTD("tos.rtd",,"GAMMA","."&amp;D$2&amp;D$1&amp;"C"&amp;$A45)-$A$4*$A$4*RTD("tos.rtd",,"VOLUME","."&amp;D$2&amp;D$1&amp;"P"&amp;$A45)*RTD("tos.rtd",,"GAMMA","."&amp;D$2&amp;D$1&amp;"P"&amp;$A45))/1000000),0),IF($A$2="GEX",IFERROR(IF($X$1="ABS",($A$4*$A$4*RTD("tos.rtd",,"OPEN_INT","."&amp;D$2&amp;D$1&amp;"C"&amp;$A45)*RTD("tos.rtd",,"GAMMA","."&amp;D$2&amp;D$1&amp;"C"&amp;$A45)+$A$4*$A$4*RTD("tos.rtd",,"OPEN_INT","."&amp;D$2&amp;D$1&amp;"P"&amp;$A45)*RTD("tos.rtd",,"GAMMA","."&amp;D$2&amp;D$1&amp;"P"&amp;$A45))/1000000,($A$4*$A$4*RTD("tos.rtd",,"OPEN_INT","."&amp;D$2&amp;D$1&amp;"C"&amp;$A45)*RTD("tos.rtd",,"GAMMA","."&amp;D$2&amp;D$1&amp;"C"&amp;$A45)-$A$4*$A$4*RTD("tos.rtd",,"OPEN_INT","."&amp;D$2&amp;D$1&amp;"P"&amp;$A45)*RTD("tos.rtd",,"GAMMA","."&amp;D$2&amp;D$1&amp;"P"&amp;$A45))/1000000),0),IF($A$2="SKEW",IFERROR(VALUE(IF(RTD("tos.rtd",,"IMPL_VOL","."&amp;D$2&amp;D$1&amp;"P"&amp;$A45)="N/A",0,RTD("tos.rtd",,"IMPL_VOL","."&amp;D$2&amp;D$1&amp;"P"&amp;$A45))),0)-IFERROR(VALUE(IF(RTD("tos.rtd",,"IMPL_VOL","."&amp;D$2&amp;D$1&amp;"C"&amp;$A45)="N/A",0,RTD("tos.rtd",,"IMPL_VOL","."&amp;D$2&amp;D$1&amp;"C"&amp;$A45))),0),IF($A$2="MAXPAIN",IF($A$4&gt;$A45,($A$4-$A45)*IF(RTD("tos.rtd",,"OPEN_INT","."&amp;D$2&amp;D$1&amp;"C"&amp;$A45)="N/A",0,RTD("tos.rtd",,"OPEN_INT","."&amp;D$2&amp;D$1&amp;"C"&amp;$A45)),0)+IF($A$4&lt;$A45,($A$5-$A$4)*IF(RTD("tos.rtd",,"OPEN_INT","."&amp;D$2&amp;D$1&amp;"P"&amp;$A45)="N/A",0,RTD("tos.rtd",,"OPEN_INT","."&amp;D$2&amp;D$1&amp;"P"&amp;$A45)),0),IF($X$1="ABS",IF(RTD("tos.rtd",,$A$2,"."&amp;D$2&amp;D$1&amp;"C"&amp;$A45)="N/A",0,RTD("tos.rtd",,$A$2,"."&amp;D$2&amp;D$1&amp;"C"&amp;$A45))+IF(RTD("tos.rtd",,$A$2,"."&amp;D$2&amp;D$1&amp;"P"&amp;$A45)="N/A",0,RTD("tos.rtd",,$A$2,"."&amp;D$2&amp;D$1&amp;"P"&amp;$A45)),IF(RTD("tos.rtd",,$A$2,"."&amp;D$2&amp;D$1&amp;"C"&amp;$A45)="N/A",0,RTD("tos.rtd",,$A$2,"."&amp;D$2&amp;D$1&amp;"C"&amp;$A45))-IF(RTD("tos.rtd",,$A$2,"."&amp;D$2&amp;D$1&amp;"P"&amp;$A45)="N/A",0,RTD("tos.rtd",,$A$2,"."&amp;D$2&amp;D$1&amp;"P"&amp;$A45))))))))))</f>
        <v>0</v>
      </c>
      <c r="E45" s="12">
        <f ca="1">IF($A$2="PREMIUM_OI",IFERROR(IF($X$1="ABS",(100*RTD("tos.rtd",,"OPEN_INT","."&amp;E$2&amp;E$1&amp;"C"&amp;$A45)*RTD("tos.rtd",,"LAST","."&amp;E$2&amp;E$1&amp;"C"&amp;$A45)+100*RTD("tos.rtd",,"OPEN_INT","."&amp;E$2&amp;E$1&amp;"P"&amp;$A45)*RTD("tos.rtd",,"LAST","."&amp;E$2&amp;E$1&amp;"P"&amp;$A45))/1000000,(100*RTD("tos.rtd",,"OPEN_INT","."&amp;E$2&amp;E$1&amp;"C"&amp;$A45)*RTD("tos.rtd",,"LAST","."&amp;E$2&amp;E$1&amp;"C"&amp;$A45)-100*RTD("tos.rtd",,"OPEN_INT","."&amp;E$2&amp;E$1&amp;"P"&amp;$A45)*RTD("tos.rtd",,"LAST","."&amp;E$2&amp;E$1&amp;"P"&amp;$A45))/1000000),0),IF($A$2="PREMIUM",IFERROR(IF($X$1="ABS",(100*RTD("tos.rtd",,"VOLUME","."&amp;E$2&amp;E$1&amp;"C"&amp;$A45)*RTD("tos.rtd",,"LAST","."&amp;E$2&amp;E$1&amp;"C"&amp;$A45)+100*RTD("tos.rtd",,"VOLUME","."&amp;E$2&amp;E$1&amp;"P"&amp;$A45)*RTD("tos.rtd",,"LAST","."&amp;E$2&amp;E$1&amp;"P"&amp;$A45))/1000000,(100*RTD("tos.rtd",,"VOLUME","."&amp;E$2&amp;E$1&amp;"C"&amp;$A45)*RTD("tos.rtd",,"LAST","."&amp;E$2&amp;E$1&amp;"C"&amp;$A45)-100*RTD("tos.rtd",,"VOLUME","."&amp;E$2&amp;E$1&amp;"P"&amp;$A45)*RTD("tos.rtd",,"LAST","."&amp;E$2&amp;E$1&amp;"P"&amp;$A45))/1000000),0),IF($A$2="DEX",IFERROR(IF($X$1="ABS",(100*RTD("tos.rtd",,"OPEN_INT","."&amp;E$2&amp;E$1&amp;"C"&amp;$A45)*RTD("tos.rtd",,"DELTA","."&amp;E$2&amp;E$1&amp;"C"&amp;$A45)+100*RTD("tos.rtd",,"OPEN_INT","."&amp;E$2&amp;E$1&amp;"P"&amp;$A45)*RTD("tos.rtd",,"DELTA","."&amp;E$2&amp;E$1&amp;"P"&amp;$A45))/1000,(100*RTD("tos.rtd",,"OPEN_INT","."&amp;E$2&amp;E$1&amp;"C"&amp;$A45)*RTD("tos.rtd",,"DELTA","."&amp;E$2&amp;E$1&amp;"C"&amp;$A45)-100*RTD("tos.rtd",,"OPEN_INT","."&amp;E$2&amp;E$1&amp;"P"&amp;$A45)*RTD("tos.rtd",,"DELTA","."&amp;E$2&amp;E$1&amp;"P"&amp;$A45))/1000),0),IF($A$2="VEX",IFERROR(IF($X$1="ABS",($A$4*$A$4*RTD("tos.rtd",,"VOLUME","."&amp;E$2&amp;E$1&amp;"C"&amp;$A45)*RTD("tos.rtd",,"GAMMA","."&amp;E$2&amp;E$1&amp;"C"&amp;$A45)+$A$4*$A$4*RTD("tos.rtd",,"VOLUME","."&amp;E$2&amp;E$1&amp;"P"&amp;$A45)*RTD("tos.rtd",,"GAMMA","."&amp;E$2&amp;E$1&amp;"P"&amp;$A45))/1000000,($A$4*$A$4*RTD("tos.rtd",,"VOLUME","."&amp;E$2&amp;E$1&amp;"C"&amp;$A45)*RTD("tos.rtd",,"GAMMA","."&amp;E$2&amp;E$1&amp;"C"&amp;$A45)-$A$4*$A$4*RTD("tos.rtd",,"VOLUME","."&amp;E$2&amp;E$1&amp;"P"&amp;$A45)*RTD("tos.rtd",,"GAMMA","."&amp;E$2&amp;E$1&amp;"P"&amp;$A45))/1000000),0),IF($A$2="GEX",IFERROR(IF($X$1="ABS",($A$4*$A$4*RTD("tos.rtd",,"OPEN_INT","."&amp;E$2&amp;E$1&amp;"C"&amp;$A45)*RTD("tos.rtd",,"GAMMA","."&amp;E$2&amp;E$1&amp;"C"&amp;$A45)+$A$4*$A$4*RTD("tos.rtd",,"OPEN_INT","."&amp;E$2&amp;E$1&amp;"P"&amp;$A45)*RTD("tos.rtd",,"GAMMA","."&amp;E$2&amp;E$1&amp;"P"&amp;$A45))/1000000,($A$4*$A$4*RTD("tos.rtd",,"OPEN_INT","."&amp;E$2&amp;E$1&amp;"C"&amp;$A45)*RTD("tos.rtd",,"GAMMA","."&amp;E$2&amp;E$1&amp;"C"&amp;$A45)-$A$4*$A$4*RTD("tos.rtd",,"OPEN_INT","."&amp;E$2&amp;E$1&amp;"P"&amp;$A45)*RTD("tos.rtd",,"GAMMA","."&amp;E$2&amp;E$1&amp;"P"&amp;$A45))/1000000),0),IF($A$2="SKEW",IFERROR(VALUE(IF(RTD("tos.rtd",,"IMPL_VOL","."&amp;E$2&amp;E$1&amp;"P"&amp;$A45)="N/A",0,RTD("tos.rtd",,"IMPL_VOL","."&amp;E$2&amp;E$1&amp;"P"&amp;$A45))),0)-IFERROR(VALUE(IF(RTD("tos.rtd",,"IMPL_VOL","."&amp;E$2&amp;E$1&amp;"C"&amp;$A45)="N/A",0,RTD("tos.rtd",,"IMPL_VOL","."&amp;E$2&amp;E$1&amp;"C"&amp;$A45))),0),IF($A$2="MAXPAIN",IF($A$4&gt;$A45,($A$4-$A45)*IF(RTD("tos.rtd",,"OPEN_INT","."&amp;E$2&amp;E$1&amp;"C"&amp;$A45)="N/A",0,RTD("tos.rtd",,"OPEN_INT","."&amp;E$2&amp;E$1&amp;"C"&amp;$A45)),0)+IF($A$4&lt;$A45,($A$5-$A$4)*IF(RTD("tos.rtd",,"OPEN_INT","."&amp;E$2&amp;E$1&amp;"P"&amp;$A45)="N/A",0,RTD("tos.rtd",,"OPEN_INT","."&amp;E$2&amp;E$1&amp;"P"&amp;$A45)),0),IF($X$1="ABS",IF(RTD("tos.rtd",,$A$2,"."&amp;E$2&amp;E$1&amp;"C"&amp;$A45)="N/A",0,RTD("tos.rtd",,$A$2,"."&amp;E$2&amp;E$1&amp;"C"&amp;$A45))+IF(RTD("tos.rtd",,$A$2,"."&amp;E$2&amp;E$1&amp;"P"&amp;$A45)="N/A",0,RTD("tos.rtd",,$A$2,"."&amp;E$2&amp;E$1&amp;"P"&amp;$A45)),IF(RTD("tos.rtd",,$A$2,"."&amp;E$2&amp;E$1&amp;"C"&amp;$A45)="N/A",0,RTD("tos.rtd",,$A$2,"."&amp;E$2&amp;E$1&amp;"C"&amp;$A45))-IF(RTD("tos.rtd",,$A$2,"."&amp;E$2&amp;E$1&amp;"P"&amp;$A45)="N/A",0,RTD("tos.rtd",,$A$2,"."&amp;E$2&amp;E$1&amp;"P"&amp;$A45))))))))))</f>
        <v>0</v>
      </c>
      <c r="F45" s="12">
        <f ca="1">IF($A$2="PREMIUM_OI",IFERROR(IF($X$1="ABS",(100*RTD("tos.rtd",,"OPEN_INT","."&amp;F$2&amp;F$1&amp;"C"&amp;$A45)*RTD("tos.rtd",,"LAST","."&amp;F$2&amp;F$1&amp;"C"&amp;$A45)+100*RTD("tos.rtd",,"OPEN_INT","."&amp;F$2&amp;F$1&amp;"P"&amp;$A45)*RTD("tos.rtd",,"LAST","."&amp;F$2&amp;F$1&amp;"P"&amp;$A45))/1000000,(100*RTD("tos.rtd",,"OPEN_INT","."&amp;F$2&amp;F$1&amp;"C"&amp;$A45)*RTD("tos.rtd",,"LAST","."&amp;F$2&amp;F$1&amp;"C"&amp;$A45)-100*RTD("tos.rtd",,"OPEN_INT","."&amp;F$2&amp;F$1&amp;"P"&amp;$A45)*RTD("tos.rtd",,"LAST","."&amp;F$2&amp;F$1&amp;"P"&amp;$A45))/1000000),0),IF($A$2="PREMIUM",IFERROR(IF($X$1="ABS",(100*RTD("tos.rtd",,"VOLUME","."&amp;F$2&amp;F$1&amp;"C"&amp;$A45)*RTD("tos.rtd",,"LAST","."&amp;F$2&amp;F$1&amp;"C"&amp;$A45)+100*RTD("tos.rtd",,"VOLUME","."&amp;F$2&amp;F$1&amp;"P"&amp;$A45)*RTD("tos.rtd",,"LAST","."&amp;F$2&amp;F$1&amp;"P"&amp;$A45))/1000000,(100*RTD("tos.rtd",,"VOLUME","."&amp;F$2&amp;F$1&amp;"C"&amp;$A45)*RTD("tos.rtd",,"LAST","."&amp;F$2&amp;F$1&amp;"C"&amp;$A45)-100*RTD("tos.rtd",,"VOLUME","."&amp;F$2&amp;F$1&amp;"P"&amp;$A45)*RTD("tos.rtd",,"LAST","."&amp;F$2&amp;F$1&amp;"P"&amp;$A45))/1000000),0),IF($A$2="DEX",IFERROR(IF($X$1="ABS",(100*RTD("tos.rtd",,"OPEN_INT","."&amp;F$2&amp;F$1&amp;"C"&amp;$A45)*RTD("tos.rtd",,"DELTA","."&amp;F$2&amp;F$1&amp;"C"&amp;$A45)+100*RTD("tos.rtd",,"OPEN_INT","."&amp;F$2&amp;F$1&amp;"P"&amp;$A45)*RTD("tos.rtd",,"DELTA","."&amp;F$2&amp;F$1&amp;"P"&amp;$A45))/1000,(100*RTD("tos.rtd",,"OPEN_INT","."&amp;F$2&amp;F$1&amp;"C"&amp;$A45)*RTD("tos.rtd",,"DELTA","."&amp;F$2&amp;F$1&amp;"C"&amp;$A45)-100*RTD("tos.rtd",,"OPEN_INT","."&amp;F$2&amp;F$1&amp;"P"&amp;$A45)*RTD("tos.rtd",,"DELTA","."&amp;F$2&amp;F$1&amp;"P"&amp;$A45))/1000),0),IF($A$2="VEX",IFERROR(IF($X$1="ABS",($A$4*$A$4*RTD("tos.rtd",,"VOLUME","."&amp;F$2&amp;F$1&amp;"C"&amp;$A45)*RTD("tos.rtd",,"GAMMA","."&amp;F$2&amp;F$1&amp;"C"&amp;$A45)+$A$4*$A$4*RTD("tos.rtd",,"VOLUME","."&amp;F$2&amp;F$1&amp;"P"&amp;$A45)*RTD("tos.rtd",,"GAMMA","."&amp;F$2&amp;F$1&amp;"P"&amp;$A45))/1000000,($A$4*$A$4*RTD("tos.rtd",,"VOLUME","."&amp;F$2&amp;F$1&amp;"C"&amp;$A45)*RTD("tos.rtd",,"GAMMA","."&amp;F$2&amp;F$1&amp;"C"&amp;$A45)-$A$4*$A$4*RTD("tos.rtd",,"VOLUME","."&amp;F$2&amp;F$1&amp;"P"&amp;$A45)*RTD("tos.rtd",,"GAMMA","."&amp;F$2&amp;F$1&amp;"P"&amp;$A45))/1000000),0),IF($A$2="GEX",IFERROR(IF($X$1="ABS",($A$4*$A$4*RTD("tos.rtd",,"OPEN_INT","."&amp;F$2&amp;F$1&amp;"C"&amp;$A45)*RTD("tos.rtd",,"GAMMA","."&amp;F$2&amp;F$1&amp;"C"&amp;$A45)+$A$4*$A$4*RTD("tos.rtd",,"OPEN_INT","."&amp;F$2&amp;F$1&amp;"P"&amp;$A45)*RTD("tos.rtd",,"GAMMA","."&amp;F$2&amp;F$1&amp;"P"&amp;$A45))/1000000,($A$4*$A$4*RTD("tos.rtd",,"OPEN_INT","."&amp;F$2&amp;F$1&amp;"C"&amp;$A45)*RTD("tos.rtd",,"GAMMA","."&amp;F$2&amp;F$1&amp;"C"&amp;$A45)-$A$4*$A$4*RTD("tos.rtd",,"OPEN_INT","."&amp;F$2&amp;F$1&amp;"P"&amp;$A45)*RTD("tos.rtd",,"GAMMA","."&amp;F$2&amp;F$1&amp;"P"&amp;$A45))/1000000),0),IF($A$2="SKEW",IFERROR(VALUE(IF(RTD("tos.rtd",,"IMPL_VOL","."&amp;F$2&amp;F$1&amp;"P"&amp;$A45)="N/A",0,RTD("tos.rtd",,"IMPL_VOL","."&amp;F$2&amp;F$1&amp;"P"&amp;$A45))),0)-IFERROR(VALUE(IF(RTD("tos.rtd",,"IMPL_VOL","."&amp;F$2&amp;F$1&amp;"C"&amp;$A45)="N/A",0,RTD("tos.rtd",,"IMPL_VOL","."&amp;F$2&amp;F$1&amp;"C"&amp;$A45))),0),IF($A$2="MAXPAIN",IF($A$4&gt;$A45,($A$4-$A45)*IF(RTD("tos.rtd",,"OPEN_INT","."&amp;F$2&amp;F$1&amp;"C"&amp;$A45)="N/A",0,RTD("tos.rtd",,"OPEN_INT","."&amp;F$2&amp;F$1&amp;"C"&amp;$A45)),0)+IF($A$4&lt;$A45,($A$5-$A$4)*IF(RTD("tos.rtd",,"OPEN_INT","."&amp;F$2&amp;F$1&amp;"P"&amp;$A45)="N/A",0,RTD("tos.rtd",,"OPEN_INT","."&amp;F$2&amp;F$1&amp;"P"&amp;$A45)),0),IF($X$1="ABS",IF(RTD("tos.rtd",,$A$2,"."&amp;F$2&amp;F$1&amp;"C"&amp;$A45)="N/A",0,RTD("tos.rtd",,$A$2,"."&amp;F$2&amp;F$1&amp;"C"&amp;$A45))+IF(RTD("tos.rtd",,$A$2,"."&amp;F$2&amp;F$1&amp;"P"&amp;$A45)="N/A",0,RTD("tos.rtd",,$A$2,"."&amp;F$2&amp;F$1&amp;"P"&amp;$A45)),IF(RTD("tos.rtd",,$A$2,"."&amp;F$2&amp;F$1&amp;"C"&amp;$A45)="N/A",0,RTD("tos.rtd",,$A$2,"."&amp;F$2&amp;F$1&amp;"C"&amp;$A45))-IF(RTD("tos.rtd",,$A$2,"."&amp;F$2&amp;F$1&amp;"P"&amp;$A45)="N/A",0,RTD("tos.rtd",,$A$2,"."&amp;F$2&amp;F$1&amp;"P"&amp;$A45))))))))))</f>
        <v>0</v>
      </c>
      <c r="G45" s="54">
        <f ca="1">IF($A$2="PREMIUM_OI",IFERROR(IF($X$1="ABS",(100*RTD("tos.rtd",,"OPEN_INT","."&amp;G$2&amp;G$1&amp;"C"&amp;$A45)*RTD("tos.rtd",,"LAST","."&amp;G$2&amp;G$1&amp;"C"&amp;$A45)+100*RTD("tos.rtd",,"OPEN_INT","."&amp;G$2&amp;G$1&amp;"P"&amp;$A45)*RTD("tos.rtd",,"LAST","."&amp;G$2&amp;G$1&amp;"P"&amp;$A45))/1000000,(100*RTD("tos.rtd",,"OPEN_INT","."&amp;G$2&amp;G$1&amp;"C"&amp;$A45)*RTD("tos.rtd",,"LAST","."&amp;G$2&amp;G$1&amp;"C"&amp;$A45)-100*RTD("tos.rtd",,"OPEN_INT","."&amp;G$2&amp;G$1&amp;"P"&amp;$A45)*RTD("tos.rtd",,"LAST","."&amp;G$2&amp;G$1&amp;"P"&amp;$A45))/1000000),0),IF($A$2="PREMIUM",IFERROR(IF($X$1="ABS",(100*RTD("tos.rtd",,"VOLUME","."&amp;G$2&amp;G$1&amp;"C"&amp;$A45)*RTD("tos.rtd",,"LAST","."&amp;G$2&amp;G$1&amp;"C"&amp;$A45)+100*RTD("tos.rtd",,"VOLUME","."&amp;G$2&amp;G$1&amp;"P"&amp;$A45)*RTD("tos.rtd",,"LAST","."&amp;G$2&amp;G$1&amp;"P"&amp;$A45))/1000000,(100*RTD("tos.rtd",,"VOLUME","."&amp;G$2&amp;G$1&amp;"C"&amp;$A45)*RTD("tos.rtd",,"LAST","."&amp;G$2&amp;G$1&amp;"C"&amp;$A45)-100*RTD("tos.rtd",,"VOLUME","."&amp;G$2&amp;G$1&amp;"P"&amp;$A45)*RTD("tos.rtd",,"LAST","."&amp;G$2&amp;G$1&amp;"P"&amp;$A45))/1000000),0),IF($A$2="DEX",IFERROR(IF($X$1="ABS",(100*RTD("tos.rtd",,"OPEN_INT","."&amp;G$2&amp;G$1&amp;"C"&amp;$A45)*RTD("tos.rtd",,"DELTA","."&amp;G$2&amp;G$1&amp;"C"&amp;$A45)+100*RTD("tos.rtd",,"OPEN_INT","."&amp;G$2&amp;G$1&amp;"P"&amp;$A45)*RTD("tos.rtd",,"DELTA","."&amp;G$2&amp;G$1&amp;"P"&amp;$A45))/1000,(100*RTD("tos.rtd",,"OPEN_INT","."&amp;G$2&amp;G$1&amp;"C"&amp;$A45)*RTD("tos.rtd",,"DELTA","."&amp;G$2&amp;G$1&amp;"C"&amp;$A45)-100*RTD("tos.rtd",,"OPEN_INT","."&amp;G$2&amp;G$1&amp;"P"&amp;$A45)*RTD("tos.rtd",,"DELTA","."&amp;G$2&amp;G$1&amp;"P"&amp;$A45))/1000),0),IF($A$2="VEX",IFERROR(IF($X$1="ABS",($A$4*$A$4*RTD("tos.rtd",,"VOLUME","."&amp;G$2&amp;G$1&amp;"C"&amp;$A45)*RTD("tos.rtd",,"GAMMA","."&amp;G$2&amp;G$1&amp;"C"&amp;$A45)+$A$4*$A$4*RTD("tos.rtd",,"VOLUME","."&amp;G$2&amp;G$1&amp;"P"&amp;$A45)*RTD("tos.rtd",,"GAMMA","."&amp;G$2&amp;G$1&amp;"P"&amp;$A45))/1000000,($A$4*$A$4*RTD("tos.rtd",,"VOLUME","."&amp;G$2&amp;G$1&amp;"C"&amp;$A45)*RTD("tos.rtd",,"GAMMA","."&amp;G$2&amp;G$1&amp;"C"&amp;$A45)-$A$4*$A$4*RTD("tos.rtd",,"VOLUME","."&amp;G$2&amp;G$1&amp;"P"&amp;$A45)*RTD("tos.rtd",,"GAMMA","."&amp;G$2&amp;G$1&amp;"P"&amp;$A45))/1000000),0),IF($A$2="GEX",IFERROR(IF($X$1="ABS",($A$4*$A$4*RTD("tos.rtd",,"OPEN_INT","."&amp;G$2&amp;G$1&amp;"C"&amp;$A45)*RTD("tos.rtd",,"GAMMA","."&amp;G$2&amp;G$1&amp;"C"&amp;$A45)+$A$4*$A$4*RTD("tos.rtd",,"OPEN_INT","."&amp;G$2&amp;G$1&amp;"P"&amp;$A45)*RTD("tos.rtd",,"GAMMA","."&amp;G$2&amp;G$1&amp;"P"&amp;$A45))/1000000,($A$4*$A$4*RTD("tos.rtd",,"OPEN_INT","."&amp;G$2&amp;G$1&amp;"C"&amp;$A45)*RTD("tos.rtd",,"GAMMA","."&amp;G$2&amp;G$1&amp;"C"&amp;$A45)-$A$4*$A$4*RTD("tos.rtd",,"OPEN_INT","."&amp;G$2&amp;G$1&amp;"P"&amp;$A45)*RTD("tos.rtd",,"GAMMA","."&amp;G$2&amp;G$1&amp;"P"&amp;$A45))/1000000),0),IF($A$2="SKEW",IFERROR(VALUE(IF(RTD("tos.rtd",,"IMPL_VOL","."&amp;G$2&amp;G$1&amp;"P"&amp;$A45)="N/A",0,RTD("tos.rtd",,"IMPL_VOL","."&amp;G$2&amp;G$1&amp;"P"&amp;$A45))),0)-IFERROR(VALUE(IF(RTD("tos.rtd",,"IMPL_VOL","."&amp;G$2&amp;G$1&amp;"C"&amp;$A45)="N/A",0,RTD("tos.rtd",,"IMPL_VOL","."&amp;G$2&amp;G$1&amp;"C"&amp;$A45))),0),IF($A$2="MAXPAIN",IF($A$4&gt;$A45,($A$4-$A45)*IF(RTD("tos.rtd",,"OPEN_INT","."&amp;G$2&amp;G$1&amp;"C"&amp;$A45)="N/A",0,RTD("tos.rtd",,"OPEN_INT","."&amp;G$2&amp;G$1&amp;"C"&amp;$A45)),0)+IF($A$4&lt;$A45,($A$5-$A$4)*IF(RTD("tos.rtd",,"OPEN_INT","."&amp;G$2&amp;G$1&amp;"P"&amp;$A45)="N/A",0,RTD("tos.rtd",,"OPEN_INT","."&amp;G$2&amp;G$1&amp;"P"&amp;$A45)),0),IF($X$1="ABS",IF(RTD("tos.rtd",,$A$2,"."&amp;G$2&amp;G$1&amp;"C"&amp;$A45)="N/A",0,RTD("tos.rtd",,$A$2,"."&amp;G$2&amp;G$1&amp;"C"&amp;$A45))+IF(RTD("tos.rtd",,$A$2,"."&amp;G$2&amp;G$1&amp;"P"&amp;$A45)="N/A",0,RTD("tos.rtd",,$A$2,"."&amp;G$2&amp;G$1&amp;"P"&amp;$A45)),IF(RTD("tos.rtd",,$A$2,"."&amp;G$2&amp;G$1&amp;"C"&amp;$A45)="N/A",0,RTD("tos.rtd",,$A$2,"."&amp;G$2&amp;G$1&amp;"C"&amp;$A45))-IF(RTD("tos.rtd",,$A$2,"."&amp;G$2&amp;G$1&amp;"P"&amp;$A45)="N/A",0,RTD("tos.rtd",,$A$2,"."&amp;G$2&amp;G$1&amp;"P"&amp;$A45))))))))))</f>
        <v>0</v>
      </c>
      <c r="H45" s="14">
        <f ca="1">IF($A$2="PREMIUM_OI",IFERROR(IF($X$1="ABS",(100*RTD("tos.rtd",,"OPEN_INT","."&amp;H$2&amp;H$1&amp;"C"&amp;$A45)*RTD("tos.rtd",,"LAST","."&amp;H$2&amp;H$1&amp;"C"&amp;$A45)+100*RTD("tos.rtd",,"OPEN_INT","."&amp;H$2&amp;H$1&amp;"P"&amp;$A45)*RTD("tos.rtd",,"LAST","."&amp;H$2&amp;H$1&amp;"P"&amp;$A45))/1000000,(100*RTD("tos.rtd",,"OPEN_INT","."&amp;H$2&amp;H$1&amp;"C"&amp;$A45)*RTD("tos.rtd",,"LAST","."&amp;H$2&amp;H$1&amp;"C"&amp;$A45)-100*RTD("tos.rtd",,"OPEN_INT","."&amp;H$2&amp;H$1&amp;"P"&amp;$A45)*RTD("tos.rtd",,"LAST","."&amp;H$2&amp;H$1&amp;"P"&amp;$A45))/1000000),0),IF($A$2="PREMIUM",IFERROR(IF($X$1="ABS",(100*RTD("tos.rtd",,"VOLUME","."&amp;H$2&amp;H$1&amp;"C"&amp;$A45)*RTD("tos.rtd",,"LAST","."&amp;H$2&amp;H$1&amp;"C"&amp;$A45)+100*RTD("tos.rtd",,"VOLUME","."&amp;H$2&amp;H$1&amp;"P"&amp;$A45)*RTD("tos.rtd",,"LAST","."&amp;H$2&amp;H$1&amp;"P"&amp;$A45))/1000000,(100*RTD("tos.rtd",,"VOLUME","."&amp;H$2&amp;H$1&amp;"C"&amp;$A45)*RTD("tos.rtd",,"LAST","."&amp;H$2&amp;H$1&amp;"C"&amp;$A45)-100*RTD("tos.rtd",,"VOLUME","."&amp;H$2&amp;H$1&amp;"P"&amp;$A45)*RTD("tos.rtd",,"LAST","."&amp;H$2&amp;H$1&amp;"P"&amp;$A45))/1000000),0),IF($A$2="DEX",IFERROR(IF($X$1="ABS",(100*RTD("tos.rtd",,"OPEN_INT","."&amp;H$2&amp;H$1&amp;"C"&amp;$A45)*RTD("tos.rtd",,"DELTA","."&amp;H$2&amp;H$1&amp;"C"&amp;$A45)+100*RTD("tos.rtd",,"OPEN_INT","."&amp;H$2&amp;H$1&amp;"P"&amp;$A45)*RTD("tos.rtd",,"DELTA","."&amp;H$2&amp;H$1&amp;"P"&amp;$A45))/1000,(100*RTD("tos.rtd",,"OPEN_INT","."&amp;H$2&amp;H$1&amp;"C"&amp;$A45)*RTD("tos.rtd",,"DELTA","."&amp;H$2&amp;H$1&amp;"C"&amp;$A45)-100*RTD("tos.rtd",,"OPEN_INT","."&amp;H$2&amp;H$1&amp;"P"&amp;$A45)*RTD("tos.rtd",,"DELTA","."&amp;H$2&amp;H$1&amp;"P"&amp;$A45))/1000),0),IF($A$2="VEX",IFERROR(IF($X$1="ABS",($A$4*$A$4*RTD("tos.rtd",,"VOLUME","."&amp;H$2&amp;H$1&amp;"C"&amp;$A45)*RTD("tos.rtd",,"GAMMA","."&amp;H$2&amp;H$1&amp;"C"&amp;$A45)+$A$4*$A$4*RTD("tos.rtd",,"VOLUME","."&amp;H$2&amp;H$1&amp;"P"&amp;$A45)*RTD("tos.rtd",,"GAMMA","."&amp;H$2&amp;H$1&amp;"P"&amp;$A45))/1000000,($A$4*$A$4*RTD("tos.rtd",,"VOLUME","."&amp;H$2&amp;H$1&amp;"C"&amp;$A45)*RTD("tos.rtd",,"GAMMA","."&amp;H$2&amp;H$1&amp;"C"&amp;$A45)-$A$4*$A$4*RTD("tos.rtd",,"VOLUME","."&amp;H$2&amp;H$1&amp;"P"&amp;$A45)*RTD("tos.rtd",,"GAMMA","."&amp;H$2&amp;H$1&amp;"P"&amp;$A45))/1000000),0),IF($A$2="GEX",IFERROR(IF($X$1="ABS",($A$4*$A$4*RTD("tos.rtd",,"OPEN_INT","."&amp;H$2&amp;H$1&amp;"C"&amp;$A45)*RTD("tos.rtd",,"GAMMA","."&amp;H$2&amp;H$1&amp;"C"&amp;$A45)+$A$4*$A$4*RTD("tos.rtd",,"OPEN_INT","."&amp;H$2&amp;H$1&amp;"P"&amp;$A45)*RTD("tos.rtd",,"GAMMA","."&amp;H$2&amp;H$1&amp;"P"&amp;$A45))/1000000,($A$4*$A$4*RTD("tos.rtd",,"OPEN_INT","."&amp;H$2&amp;H$1&amp;"C"&amp;$A45)*RTD("tos.rtd",,"GAMMA","."&amp;H$2&amp;H$1&amp;"C"&amp;$A45)-$A$4*$A$4*RTD("tos.rtd",,"OPEN_INT","."&amp;H$2&amp;H$1&amp;"P"&amp;$A45)*RTD("tos.rtd",,"GAMMA","."&amp;H$2&amp;H$1&amp;"P"&amp;$A45))/1000000),0),IF($A$2="SKEW",IFERROR(VALUE(IF(RTD("tos.rtd",,"IMPL_VOL","."&amp;H$2&amp;H$1&amp;"P"&amp;$A45)="N/A",0,RTD("tos.rtd",,"IMPL_VOL","."&amp;H$2&amp;H$1&amp;"P"&amp;$A45))),0)-IFERROR(VALUE(IF(RTD("tos.rtd",,"IMPL_VOL","."&amp;H$2&amp;H$1&amp;"C"&amp;$A45)="N/A",0,RTD("tos.rtd",,"IMPL_VOL","."&amp;H$2&amp;H$1&amp;"C"&amp;$A45))),0),IF($A$2="MAXPAIN",IF($A$4&gt;$A45,($A$4-$A45)*IF(RTD("tos.rtd",,"OPEN_INT","."&amp;H$2&amp;H$1&amp;"C"&amp;$A45)="N/A",0,RTD("tos.rtd",,"OPEN_INT","."&amp;H$2&amp;H$1&amp;"C"&amp;$A45)),0)+IF($A$4&lt;$A45,($A$5-$A$4)*IF(RTD("tos.rtd",,"OPEN_INT","."&amp;H$2&amp;H$1&amp;"P"&amp;$A45)="N/A",0,RTD("tos.rtd",,"OPEN_INT","."&amp;H$2&amp;H$1&amp;"P"&amp;$A45)),0),IF($X$1="ABS",IF(RTD("tos.rtd",,$A$2,"."&amp;H$2&amp;H$1&amp;"C"&amp;$A45)="N/A",0,RTD("tos.rtd",,$A$2,"."&amp;H$2&amp;H$1&amp;"C"&amp;$A45))+IF(RTD("tos.rtd",,$A$2,"."&amp;H$2&amp;H$1&amp;"P"&amp;$A45)="N/A",0,RTD("tos.rtd",,$A$2,"."&amp;H$2&amp;H$1&amp;"P"&amp;$A45)),IF(RTD("tos.rtd",,$A$2,"."&amp;H$2&amp;H$1&amp;"C"&amp;$A45)="N/A",0,RTD("tos.rtd",,$A$2,"."&amp;H$2&amp;H$1&amp;"C"&amp;$A45))-IF(RTD("tos.rtd",,$A$2,"."&amp;H$2&amp;H$1&amp;"P"&amp;$A45)="N/A",0,RTD("tos.rtd",,$A$2,"."&amp;H$2&amp;H$1&amp;"P"&amp;$A45))))))))))</f>
        <v>0</v>
      </c>
      <c r="I45" s="12">
        <f ca="1">IF($A$2="PREMIUM_OI",IFERROR(IF($X$1="ABS",(100*RTD("tos.rtd",,"OPEN_INT","."&amp;I$2&amp;I$1&amp;"C"&amp;$A45)*RTD("tos.rtd",,"LAST","."&amp;I$2&amp;I$1&amp;"C"&amp;$A45)+100*RTD("tos.rtd",,"OPEN_INT","."&amp;I$2&amp;I$1&amp;"P"&amp;$A45)*RTD("tos.rtd",,"LAST","."&amp;I$2&amp;I$1&amp;"P"&amp;$A45))/1000000,(100*RTD("tos.rtd",,"OPEN_INT","."&amp;I$2&amp;I$1&amp;"C"&amp;$A45)*RTD("tos.rtd",,"LAST","."&amp;I$2&amp;I$1&amp;"C"&amp;$A45)-100*RTD("tos.rtd",,"OPEN_INT","."&amp;I$2&amp;I$1&amp;"P"&amp;$A45)*RTD("tos.rtd",,"LAST","."&amp;I$2&amp;I$1&amp;"P"&amp;$A45))/1000000),0),IF($A$2="PREMIUM",IFERROR(IF($X$1="ABS",(100*RTD("tos.rtd",,"VOLUME","."&amp;I$2&amp;I$1&amp;"C"&amp;$A45)*RTD("tos.rtd",,"LAST","."&amp;I$2&amp;I$1&amp;"C"&amp;$A45)+100*RTD("tos.rtd",,"VOLUME","."&amp;I$2&amp;I$1&amp;"P"&amp;$A45)*RTD("tos.rtd",,"LAST","."&amp;I$2&amp;I$1&amp;"P"&amp;$A45))/1000000,(100*RTD("tos.rtd",,"VOLUME","."&amp;I$2&amp;I$1&amp;"C"&amp;$A45)*RTD("tos.rtd",,"LAST","."&amp;I$2&amp;I$1&amp;"C"&amp;$A45)-100*RTD("tos.rtd",,"VOLUME","."&amp;I$2&amp;I$1&amp;"P"&amp;$A45)*RTD("tos.rtd",,"LAST","."&amp;I$2&amp;I$1&amp;"P"&amp;$A45))/1000000),0),IF($A$2="DEX",IFERROR(IF($X$1="ABS",(100*RTD("tos.rtd",,"OPEN_INT","."&amp;I$2&amp;I$1&amp;"C"&amp;$A45)*RTD("tos.rtd",,"DELTA","."&amp;I$2&amp;I$1&amp;"C"&amp;$A45)+100*RTD("tos.rtd",,"OPEN_INT","."&amp;I$2&amp;I$1&amp;"P"&amp;$A45)*RTD("tos.rtd",,"DELTA","."&amp;I$2&amp;I$1&amp;"P"&amp;$A45))/1000,(100*RTD("tos.rtd",,"OPEN_INT","."&amp;I$2&amp;I$1&amp;"C"&amp;$A45)*RTD("tos.rtd",,"DELTA","."&amp;I$2&amp;I$1&amp;"C"&amp;$A45)-100*RTD("tos.rtd",,"OPEN_INT","."&amp;I$2&amp;I$1&amp;"P"&amp;$A45)*RTD("tos.rtd",,"DELTA","."&amp;I$2&amp;I$1&amp;"P"&amp;$A45))/1000),0),IF($A$2="VEX",IFERROR(IF($X$1="ABS",($A$4*$A$4*RTD("tos.rtd",,"VOLUME","."&amp;I$2&amp;I$1&amp;"C"&amp;$A45)*RTD("tos.rtd",,"GAMMA","."&amp;I$2&amp;I$1&amp;"C"&amp;$A45)+$A$4*$A$4*RTD("tos.rtd",,"VOLUME","."&amp;I$2&amp;I$1&amp;"P"&amp;$A45)*RTD("tos.rtd",,"GAMMA","."&amp;I$2&amp;I$1&amp;"P"&amp;$A45))/1000000,($A$4*$A$4*RTD("tos.rtd",,"VOLUME","."&amp;I$2&amp;I$1&amp;"C"&amp;$A45)*RTD("tos.rtd",,"GAMMA","."&amp;I$2&amp;I$1&amp;"C"&amp;$A45)-$A$4*$A$4*RTD("tos.rtd",,"VOLUME","."&amp;I$2&amp;I$1&amp;"P"&amp;$A45)*RTD("tos.rtd",,"GAMMA","."&amp;I$2&amp;I$1&amp;"P"&amp;$A45))/1000000),0),IF($A$2="GEX",IFERROR(IF($X$1="ABS",($A$4*$A$4*RTD("tos.rtd",,"OPEN_INT","."&amp;I$2&amp;I$1&amp;"C"&amp;$A45)*RTD("tos.rtd",,"GAMMA","."&amp;I$2&amp;I$1&amp;"C"&amp;$A45)+$A$4*$A$4*RTD("tos.rtd",,"OPEN_INT","."&amp;I$2&amp;I$1&amp;"P"&amp;$A45)*RTD("tos.rtd",,"GAMMA","."&amp;I$2&amp;I$1&amp;"P"&amp;$A45))/1000000,($A$4*$A$4*RTD("tos.rtd",,"OPEN_INT","."&amp;I$2&amp;I$1&amp;"C"&amp;$A45)*RTD("tos.rtd",,"GAMMA","."&amp;I$2&amp;I$1&amp;"C"&amp;$A45)-$A$4*$A$4*RTD("tos.rtd",,"OPEN_INT","."&amp;I$2&amp;I$1&amp;"P"&amp;$A45)*RTD("tos.rtd",,"GAMMA","."&amp;I$2&amp;I$1&amp;"P"&amp;$A45))/1000000),0),IF($A$2="SKEW",IFERROR(VALUE(IF(RTD("tos.rtd",,"IMPL_VOL","."&amp;I$2&amp;I$1&amp;"P"&amp;$A45)="N/A",0,RTD("tos.rtd",,"IMPL_VOL","."&amp;I$2&amp;I$1&amp;"P"&amp;$A45))),0)-IFERROR(VALUE(IF(RTD("tos.rtd",,"IMPL_VOL","."&amp;I$2&amp;I$1&amp;"C"&amp;$A45)="N/A",0,RTD("tos.rtd",,"IMPL_VOL","."&amp;I$2&amp;I$1&amp;"C"&amp;$A45))),0),IF($A$2="MAXPAIN",IF($A$4&gt;$A45,($A$4-$A45)*IF(RTD("tos.rtd",,"OPEN_INT","."&amp;I$2&amp;I$1&amp;"C"&amp;$A45)="N/A",0,RTD("tos.rtd",,"OPEN_INT","."&amp;I$2&amp;I$1&amp;"C"&amp;$A45)),0)+IF($A$4&lt;$A45,($A$5-$A$4)*IF(RTD("tos.rtd",,"OPEN_INT","."&amp;I$2&amp;I$1&amp;"P"&amp;$A45)="N/A",0,RTD("tos.rtd",,"OPEN_INT","."&amp;I$2&amp;I$1&amp;"P"&amp;$A45)),0),IF($X$1="ABS",IF(RTD("tos.rtd",,$A$2,"."&amp;I$2&amp;I$1&amp;"C"&amp;$A45)="N/A",0,RTD("tos.rtd",,$A$2,"."&amp;I$2&amp;I$1&amp;"C"&amp;$A45))+IF(RTD("tos.rtd",,$A$2,"."&amp;I$2&amp;I$1&amp;"P"&amp;$A45)="N/A",0,RTD("tos.rtd",,$A$2,"."&amp;I$2&amp;I$1&amp;"P"&amp;$A45)),IF(RTD("tos.rtd",,$A$2,"."&amp;I$2&amp;I$1&amp;"C"&amp;$A45)="N/A",0,RTD("tos.rtd",,$A$2,"."&amp;I$2&amp;I$1&amp;"C"&amp;$A45))-IF(RTD("tos.rtd",,$A$2,"."&amp;I$2&amp;I$1&amp;"P"&amp;$A45)="N/A",0,RTD("tos.rtd",,$A$2,"."&amp;I$2&amp;I$1&amp;"P"&amp;$A45))))))))))</f>
        <v>0</v>
      </c>
      <c r="J45" s="12">
        <f ca="1">IF($A$2="PREMIUM_OI",IFERROR(IF($X$1="ABS",(100*RTD("tos.rtd",,"OPEN_INT","."&amp;J$2&amp;J$1&amp;"C"&amp;$A45)*RTD("tos.rtd",,"LAST","."&amp;J$2&amp;J$1&amp;"C"&amp;$A45)+100*RTD("tos.rtd",,"OPEN_INT","."&amp;J$2&amp;J$1&amp;"P"&amp;$A45)*RTD("tos.rtd",,"LAST","."&amp;J$2&amp;J$1&amp;"P"&amp;$A45))/1000000,(100*RTD("tos.rtd",,"OPEN_INT","."&amp;J$2&amp;J$1&amp;"C"&amp;$A45)*RTD("tos.rtd",,"LAST","."&amp;J$2&amp;J$1&amp;"C"&amp;$A45)-100*RTD("tos.rtd",,"OPEN_INT","."&amp;J$2&amp;J$1&amp;"P"&amp;$A45)*RTD("tos.rtd",,"LAST","."&amp;J$2&amp;J$1&amp;"P"&amp;$A45))/1000000),0),IF($A$2="PREMIUM",IFERROR(IF($X$1="ABS",(100*RTD("tos.rtd",,"VOLUME","."&amp;J$2&amp;J$1&amp;"C"&amp;$A45)*RTD("tos.rtd",,"LAST","."&amp;J$2&amp;J$1&amp;"C"&amp;$A45)+100*RTD("tos.rtd",,"VOLUME","."&amp;J$2&amp;J$1&amp;"P"&amp;$A45)*RTD("tos.rtd",,"LAST","."&amp;J$2&amp;J$1&amp;"P"&amp;$A45))/1000000,(100*RTD("tos.rtd",,"VOLUME","."&amp;J$2&amp;J$1&amp;"C"&amp;$A45)*RTD("tos.rtd",,"LAST","."&amp;J$2&amp;J$1&amp;"C"&amp;$A45)-100*RTD("tos.rtd",,"VOLUME","."&amp;J$2&amp;J$1&amp;"P"&amp;$A45)*RTD("tos.rtd",,"LAST","."&amp;J$2&amp;J$1&amp;"P"&amp;$A45))/1000000),0),IF($A$2="DEX",IFERROR(IF($X$1="ABS",(100*RTD("tos.rtd",,"OPEN_INT","."&amp;J$2&amp;J$1&amp;"C"&amp;$A45)*RTD("tos.rtd",,"DELTA","."&amp;J$2&amp;J$1&amp;"C"&amp;$A45)+100*RTD("tos.rtd",,"OPEN_INT","."&amp;J$2&amp;J$1&amp;"P"&amp;$A45)*RTD("tos.rtd",,"DELTA","."&amp;J$2&amp;J$1&amp;"P"&amp;$A45))/1000,(100*RTD("tos.rtd",,"OPEN_INT","."&amp;J$2&amp;J$1&amp;"C"&amp;$A45)*RTD("tos.rtd",,"DELTA","."&amp;J$2&amp;J$1&amp;"C"&amp;$A45)-100*RTD("tos.rtd",,"OPEN_INT","."&amp;J$2&amp;J$1&amp;"P"&amp;$A45)*RTD("tos.rtd",,"DELTA","."&amp;J$2&amp;J$1&amp;"P"&amp;$A45))/1000),0),IF($A$2="VEX",IFERROR(IF($X$1="ABS",($A$4*$A$4*RTD("tos.rtd",,"VOLUME","."&amp;J$2&amp;J$1&amp;"C"&amp;$A45)*RTD("tos.rtd",,"GAMMA","."&amp;J$2&amp;J$1&amp;"C"&amp;$A45)+$A$4*$A$4*RTD("tos.rtd",,"VOLUME","."&amp;J$2&amp;J$1&amp;"P"&amp;$A45)*RTD("tos.rtd",,"GAMMA","."&amp;J$2&amp;J$1&amp;"P"&amp;$A45))/1000000,($A$4*$A$4*RTD("tos.rtd",,"VOLUME","."&amp;J$2&amp;J$1&amp;"C"&amp;$A45)*RTD("tos.rtd",,"GAMMA","."&amp;J$2&amp;J$1&amp;"C"&amp;$A45)-$A$4*$A$4*RTD("tos.rtd",,"VOLUME","."&amp;J$2&amp;J$1&amp;"P"&amp;$A45)*RTD("tos.rtd",,"GAMMA","."&amp;J$2&amp;J$1&amp;"P"&amp;$A45))/1000000),0),IF($A$2="GEX",IFERROR(IF($X$1="ABS",($A$4*$A$4*RTD("tos.rtd",,"OPEN_INT","."&amp;J$2&amp;J$1&amp;"C"&amp;$A45)*RTD("tos.rtd",,"GAMMA","."&amp;J$2&amp;J$1&amp;"C"&amp;$A45)+$A$4*$A$4*RTD("tos.rtd",,"OPEN_INT","."&amp;J$2&amp;J$1&amp;"P"&amp;$A45)*RTD("tos.rtd",,"GAMMA","."&amp;J$2&amp;J$1&amp;"P"&amp;$A45))/1000000,($A$4*$A$4*RTD("tos.rtd",,"OPEN_INT","."&amp;J$2&amp;J$1&amp;"C"&amp;$A45)*RTD("tos.rtd",,"GAMMA","."&amp;J$2&amp;J$1&amp;"C"&amp;$A45)-$A$4*$A$4*RTD("tos.rtd",,"OPEN_INT","."&amp;J$2&amp;J$1&amp;"P"&amp;$A45)*RTD("tos.rtd",,"GAMMA","."&amp;J$2&amp;J$1&amp;"P"&amp;$A45))/1000000),0),IF($A$2="SKEW",IFERROR(VALUE(IF(RTD("tos.rtd",,"IMPL_VOL","."&amp;J$2&amp;J$1&amp;"P"&amp;$A45)="N/A",0,RTD("tos.rtd",,"IMPL_VOL","."&amp;J$2&amp;J$1&amp;"P"&amp;$A45))),0)-IFERROR(VALUE(IF(RTD("tos.rtd",,"IMPL_VOL","."&amp;J$2&amp;J$1&amp;"C"&amp;$A45)="N/A",0,RTD("tos.rtd",,"IMPL_VOL","."&amp;J$2&amp;J$1&amp;"C"&amp;$A45))),0),IF($A$2="MAXPAIN",IF($A$4&gt;$A45,($A$4-$A45)*IF(RTD("tos.rtd",,"OPEN_INT","."&amp;J$2&amp;J$1&amp;"C"&amp;$A45)="N/A",0,RTD("tos.rtd",,"OPEN_INT","."&amp;J$2&amp;J$1&amp;"C"&amp;$A45)),0)+IF($A$4&lt;$A45,($A$5-$A$4)*IF(RTD("tos.rtd",,"OPEN_INT","."&amp;J$2&amp;J$1&amp;"P"&amp;$A45)="N/A",0,RTD("tos.rtd",,"OPEN_INT","."&amp;J$2&amp;J$1&amp;"P"&amp;$A45)),0),IF($X$1="ABS",IF(RTD("tos.rtd",,$A$2,"."&amp;J$2&amp;J$1&amp;"C"&amp;$A45)="N/A",0,RTD("tos.rtd",,$A$2,"."&amp;J$2&amp;J$1&amp;"C"&amp;$A45))+IF(RTD("tos.rtd",,$A$2,"."&amp;J$2&amp;J$1&amp;"P"&amp;$A45)="N/A",0,RTD("tos.rtd",,$A$2,"."&amp;J$2&amp;J$1&amp;"P"&amp;$A45)),IF(RTD("tos.rtd",,$A$2,"."&amp;J$2&amp;J$1&amp;"C"&amp;$A45)="N/A",0,RTD("tos.rtd",,$A$2,"."&amp;J$2&amp;J$1&amp;"C"&amp;$A45))-IF(RTD("tos.rtd",,$A$2,"."&amp;J$2&amp;J$1&amp;"P"&amp;$A45)="N/A",0,RTD("tos.rtd",,$A$2,"."&amp;J$2&amp;J$1&amp;"P"&amp;$A45))))))))))</f>
        <v>0</v>
      </c>
      <c r="K45" s="12">
        <f ca="1">IF($A$2="PREMIUM_OI",IFERROR(IF($X$1="ABS",(100*RTD("tos.rtd",,"OPEN_INT","."&amp;K$2&amp;K$1&amp;"C"&amp;$A45)*RTD("tos.rtd",,"LAST","."&amp;K$2&amp;K$1&amp;"C"&amp;$A45)+100*RTD("tos.rtd",,"OPEN_INT","."&amp;K$2&amp;K$1&amp;"P"&amp;$A45)*RTD("tos.rtd",,"LAST","."&amp;K$2&amp;K$1&amp;"P"&amp;$A45))/1000000,(100*RTD("tos.rtd",,"OPEN_INT","."&amp;K$2&amp;K$1&amp;"C"&amp;$A45)*RTD("tos.rtd",,"LAST","."&amp;K$2&amp;K$1&amp;"C"&amp;$A45)-100*RTD("tos.rtd",,"OPEN_INT","."&amp;K$2&amp;K$1&amp;"P"&amp;$A45)*RTD("tos.rtd",,"LAST","."&amp;K$2&amp;K$1&amp;"P"&amp;$A45))/1000000),0),IF($A$2="PREMIUM",IFERROR(IF($X$1="ABS",(100*RTD("tos.rtd",,"VOLUME","."&amp;K$2&amp;K$1&amp;"C"&amp;$A45)*RTD("tos.rtd",,"LAST","."&amp;K$2&amp;K$1&amp;"C"&amp;$A45)+100*RTD("tos.rtd",,"VOLUME","."&amp;K$2&amp;K$1&amp;"P"&amp;$A45)*RTD("tos.rtd",,"LAST","."&amp;K$2&amp;K$1&amp;"P"&amp;$A45))/1000000,(100*RTD("tos.rtd",,"VOLUME","."&amp;K$2&amp;K$1&amp;"C"&amp;$A45)*RTD("tos.rtd",,"LAST","."&amp;K$2&amp;K$1&amp;"C"&amp;$A45)-100*RTD("tos.rtd",,"VOLUME","."&amp;K$2&amp;K$1&amp;"P"&amp;$A45)*RTD("tos.rtd",,"LAST","."&amp;K$2&amp;K$1&amp;"P"&amp;$A45))/1000000),0),IF($A$2="DEX",IFERROR(IF($X$1="ABS",(100*RTD("tos.rtd",,"OPEN_INT","."&amp;K$2&amp;K$1&amp;"C"&amp;$A45)*RTD("tos.rtd",,"DELTA","."&amp;K$2&amp;K$1&amp;"C"&amp;$A45)+100*RTD("tos.rtd",,"OPEN_INT","."&amp;K$2&amp;K$1&amp;"P"&amp;$A45)*RTD("tos.rtd",,"DELTA","."&amp;K$2&amp;K$1&amp;"P"&amp;$A45))/1000,(100*RTD("tos.rtd",,"OPEN_INT","."&amp;K$2&amp;K$1&amp;"C"&amp;$A45)*RTD("tos.rtd",,"DELTA","."&amp;K$2&amp;K$1&amp;"C"&amp;$A45)-100*RTD("tos.rtd",,"OPEN_INT","."&amp;K$2&amp;K$1&amp;"P"&amp;$A45)*RTD("tos.rtd",,"DELTA","."&amp;K$2&amp;K$1&amp;"P"&amp;$A45))/1000),0),IF($A$2="VEX",IFERROR(IF($X$1="ABS",($A$4*$A$4*RTD("tos.rtd",,"VOLUME","."&amp;K$2&amp;K$1&amp;"C"&amp;$A45)*RTD("tos.rtd",,"GAMMA","."&amp;K$2&amp;K$1&amp;"C"&amp;$A45)+$A$4*$A$4*RTD("tos.rtd",,"VOLUME","."&amp;K$2&amp;K$1&amp;"P"&amp;$A45)*RTD("tos.rtd",,"GAMMA","."&amp;K$2&amp;K$1&amp;"P"&amp;$A45))/1000000,($A$4*$A$4*RTD("tos.rtd",,"VOLUME","."&amp;K$2&amp;K$1&amp;"C"&amp;$A45)*RTD("tos.rtd",,"GAMMA","."&amp;K$2&amp;K$1&amp;"C"&amp;$A45)-$A$4*$A$4*RTD("tos.rtd",,"VOLUME","."&amp;K$2&amp;K$1&amp;"P"&amp;$A45)*RTD("tos.rtd",,"GAMMA","."&amp;K$2&amp;K$1&amp;"P"&amp;$A45))/1000000),0),IF($A$2="GEX",IFERROR(IF($X$1="ABS",($A$4*$A$4*RTD("tos.rtd",,"OPEN_INT","."&amp;K$2&amp;K$1&amp;"C"&amp;$A45)*RTD("tos.rtd",,"GAMMA","."&amp;K$2&amp;K$1&amp;"C"&amp;$A45)+$A$4*$A$4*RTD("tos.rtd",,"OPEN_INT","."&amp;K$2&amp;K$1&amp;"P"&amp;$A45)*RTD("tos.rtd",,"GAMMA","."&amp;K$2&amp;K$1&amp;"P"&amp;$A45))/1000000,($A$4*$A$4*RTD("tos.rtd",,"OPEN_INT","."&amp;K$2&amp;K$1&amp;"C"&amp;$A45)*RTD("tos.rtd",,"GAMMA","."&amp;K$2&amp;K$1&amp;"C"&amp;$A45)-$A$4*$A$4*RTD("tos.rtd",,"OPEN_INT","."&amp;K$2&amp;K$1&amp;"P"&amp;$A45)*RTD("tos.rtd",,"GAMMA","."&amp;K$2&amp;K$1&amp;"P"&amp;$A45))/1000000),0),IF($A$2="SKEW",IFERROR(VALUE(IF(RTD("tos.rtd",,"IMPL_VOL","."&amp;K$2&amp;K$1&amp;"P"&amp;$A45)="N/A",0,RTD("tos.rtd",,"IMPL_VOL","."&amp;K$2&amp;K$1&amp;"P"&amp;$A45))),0)-IFERROR(VALUE(IF(RTD("tos.rtd",,"IMPL_VOL","."&amp;K$2&amp;K$1&amp;"C"&amp;$A45)="N/A",0,RTD("tos.rtd",,"IMPL_VOL","."&amp;K$2&amp;K$1&amp;"C"&amp;$A45))),0),IF($A$2="MAXPAIN",IF($A$4&gt;$A45,($A$4-$A45)*IF(RTD("tos.rtd",,"OPEN_INT","."&amp;K$2&amp;K$1&amp;"C"&amp;$A45)="N/A",0,RTD("tos.rtd",,"OPEN_INT","."&amp;K$2&amp;K$1&amp;"C"&amp;$A45)),0)+IF($A$4&lt;$A45,($A$5-$A$4)*IF(RTD("tos.rtd",,"OPEN_INT","."&amp;K$2&amp;K$1&amp;"P"&amp;$A45)="N/A",0,RTD("tos.rtd",,"OPEN_INT","."&amp;K$2&amp;K$1&amp;"P"&amp;$A45)),0),IF($X$1="ABS",IF(RTD("tos.rtd",,$A$2,"."&amp;K$2&amp;K$1&amp;"C"&amp;$A45)="N/A",0,RTD("tos.rtd",,$A$2,"."&amp;K$2&amp;K$1&amp;"C"&amp;$A45))+IF(RTD("tos.rtd",,$A$2,"."&amp;K$2&amp;K$1&amp;"P"&amp;$A45)="N/A",0,RTD("tos.rtd",,$A$2,"."&amp;K$2&amp;K$1&amp;"P"&amp;$A45)),IF(RTD("tos.rtd",,$A$2,"."&amp;K$2&amp;K$1&amp;"C"&amp;$A45)="N/A",0,RTD("tos.rtd",,$A$2,"."&amp;K$2&amp;K$1&amp;"C"&amp;$A45))-IF(RTD("tos.rtd",,$A$2,"."&amp;K$2&amp;K$1&amp;"P"&amp;$A45)="N/A",0,RTD("tos.rtd",,$A$2,"."&amp;K$2&amp;K$1&amp;"P"&amp;$A45))))))))))</f>
        <v>0</v>
      </c>
      <c r="L45" s="54">
        <f ca="1">IF($A$2="PREMIUM_OI",IFERROR(IF($X$1="ABS",(100*RTD("tos.rtd",,"OPEN_INT","."&amp;L$2&amp;L$1&amp;"C"&amp;$A45)*RTD("tos.rtd",,"LAST","."&amp;L$2&amp;L$1&amp;"C"&amp;$A45)+100*RTD("tos.rtd",,"OPEN_INT","."&amp;L$2&amp;L$1&amp;"P"&amp;$A45)*RTD("tos.rtd",,"LAST","."&amp;L$2&amp;L$1&amp;"P"&amp;$A45))/1000000,(100*RTD("tos.rtd",,"OPEN_INT","."&amp;L$2&amp;L$1&amp;"C"&amp;$A45)*RTD("tos.rtd",,"LAST","."&amp;L$2&amp;L$1&amp;"C"&amp;$A45)-100*RTD("tos.rtd",,"OPEN_INT","."&amp;L$2&amp;L$1&amp;"P"&amp;$A45)*RTD("tos.rtd",,"LAST","."&amp;L$2&amp;L$1&amp;"P"&amp;$A45))/1000000),0),IF($A$2="PREMIUM",IFERROR(IF($X$1="ABS",(100*RTD("tos.rtd",,"VOLUME","."&amp;L$2&amp;L$1&amp;"C"&amp;$A45)*RTD("tos.rtd",,"LAST","."&amp;L$2&amp;L$1&amp;"C"&amp;$A45)+100*RTD("tos.rtd",,"VOLUME","."&amp;L$2&amp;L$1&amp;"P"&amp;$A45)*RTD("tos.rtd",,"LAST","."&amp;L$2&amp;L$1&amp;"P"&amp;$A45))/1000000,(100*RTD("tos.rtd",,"VOLUME","."&amp;L$2&amp;L$1&amp;"C"&amp;$A45)*RTD("tos.rtd",,"LAST","."&amp;L$2&amp;L$1&amp;"C"&amp;$A45)-100*RTD("tos.rtd",,"VOLUME","."&amp;L$2&amp;L$1&amp;"P"&amp;$A45)*RTD("tos.rtd",,"LAST","."&amp;L$2&amp;L$1&amp;"P"&amp;$A45))/1000000),0),IF($A$2="DEX",IFERROR(IF($X$1="ABS",(100*RTD("tos.rtd",,"OPEN_INT","."&amp;L$2&amp;L$1&amp;"C"&amp;$A45)*RTD("tos.rtd",,"DELTA","."&amp;L$2&amp;L$1&amp;"C"&amp;$A45)+100*RTD("tos.rtd",,"OPEN_INT","."&amp;L$2&amp;L$1&amp;"P"&amp;$A45)*RTD("tos.rtd",,"DELTA","."&amp;L$2&amp;L$1&amp;"P"&amp;$A45))/1000,(100*RTD("tos.rtd",,"OPEN_INT","."&amp;L$2&amp;L$1&amp;"C"&amp;$A45)*RTD("tos.rtd",,"DELTA","."&amp;L$2&amp;L$1&amp;"C"&amp;$A45)-100*RTD("tos.rtd",,"OPEN_INT","."&amp;L$2&amp;L$1&amp;"P"&amp;$A45)*RTD("tos.rtd",,"DELTA","."&amp;L$2&amp;L$1&amp;"P"&amp;$A45))/1000),0),IF($A$2="VEX",IFERROR(IF($X$1="ABS",($A$4*$A$4*RTD("tos.rtd",,"VOLUME","."&amp;L$2&amp;L$1&amp;"C"&amp;$A45)*RTD("tos.rtd",,"GAMMA","."&amp;L$2&amp;L$1&amp;"C"&amp;$A45)+$A$4*$A$4*RTD("tos.rtd",,"VOLUME","."&amp;L$2&amp;L$1&amp;"P"&amp;$A45)*RTD("tos.rtd",,"GAMMA","."&amp;L$2&amp;L$1&amp;"P"&amp;$A45))/1000000,($A$4*$A$4*RTD("tos.rtd",,"VOLUME","."&amp;L$2&amp;L$1&amp;"C"&amp;$A45)*RTD("tos.rtd",,"GAMMA","."&amp;L$2&amp;L$1&amp;"C"&amp;$A45)-$A$4*$A$4*RTD("tos.rtd",,"VOLUME","."&amp;L$2&amp;L$1&amp;"P"&amp;$A45)*RTD("tos.rtd",,"GAMMA","."&amp;L$2&amp;L$1&amp;"P"&amp;$A45))/1000000),0),IF($A$2="GEX",IFERROR(IF($X$1="ABS",($A$4*$A$4*RTD("tos.rtd",,"OPEN_INT","."&amp;L$2&amp;L$1&amp;"C"&amp;$A45)*RTD("tos.rtd",,"GAMMA","."&amp;L$2&amp;L$1&amp;"C"&amp;$A45)+$A$4*$A$4*RTD("tos.rtd",,"OPEN_INT","."&amp;L$2&amp;L$1&amp;"P"&amp;$A45)*RTD("tos.rtd",,"GAMMA","."&amp;L$2&amp;L$1&amp;"P"&amp;$A45))/1000000,($A$4*$A$4*RTD("tos.rtd",,"OPEN_INT","."&amp;L$2&amp;L$1&amp;"C"&amp;$A45)*RTD("tos.rtd",,"GAMMA","."&amp;L$2&amp;L$1&amp;"C"&amp;$A45)-$A$4*$A$4*RTD("tos.rtd",,"OPEN_INT","."&amp;L$2&amp;L$1&amp;"P"&amp;$A45)*RTD("tos.rtd",,"GAMMA","."&amp;L$2&amp;L$1&amp;"P"&amp;$A45))/1000000),0),IF($A$2="SKEW",IFERROR(VALUE(IF(RTD("tos.rtd",,"IMPL_VOL","."&amp;L$2&amp;L$1&amp;"P"&amp;$A45)="N/A",0,RTD("tos.rtd",,"IMPL_VOL","."&amp;L$2&amp;L$1&amp;"P"&amp;$A45))),0)-IFERROR(VALUE(IF(RTD("tos.rtd",,"IMPL_VOL","."&amp;L$2&amp;L$1&amp;"C"&amp;$A45)="N/A",0,RTD("tos.rtd",,"IMPL_VOL","."&amp;L$2&amp;L$1&amp;"C"&amp;$A45))),0),IF($A$2="MAXPAIN",IF($A$4&gt;$A45,($A$4-$A45)*IF(RTD("tos.rtd",,"OPEN_INT","."&amp;L$2&amp;L$1&amp;"C"&amp;$A45)="N/A",0,RTD("tos.rtd",,"OPEN_INT","."&amp;L$2&amp;L$1&amp;"C"&amp;$A45)),0)+IF($A$4&lt;$A45,($A$5-$A$4)*IF(RTD("tos.rtd",,"OPEN_INT","."&amp;L$2&amp;L$1&amp;"P"&amp;$A45)="N/A",0,RTD("tos.rtd",,"OPEN_INT","."&amp;L$2&amp;L$1&amp;"P"&amp;$A45)),0),IF($X$1="ABS",IF(RTD("tos.rtd",,$A$2,"."&amp;L$2&amp;L$1&amp;"C"&amp;$A45)="N/A",0,RTD("tos.rtd",,$A$2,"."&amp;L$2&amp;L$1&amp;"C"&amp;$A45))+IF(RTD("tos.rtd",,$A$2,"."&amp;L$2&amp;L$1&amp;"P"&amp;$A45)="N/A",0,RTD("tos.rtd",,$A$2,"."&amp;L$2&amp;L$1&amp;"P"&amp;$A45)),IF(RTD("tos.rtd",,$A$2,"."&amp;L$2&amp;L$1&amp;"C"&amp;$A45)="N/A",0,RTD("tos.rtd",,$A$2,"."&amp;L$2&amp;L$1&amp;"C"&amp;$A45))-IF(RTD("tos.rtd",,$A$2,"."&amp;L$2&amp;L$1&amp;"P"&amp;$A45)="N/A",0,RTD("tos.rtd",,$A$2,"."&amp;L$2&amp;L$1&amp;"P"&amp;$A45))))))))))</f>
        <v>0</v>
      </c>
      <c r="M45" s="12">
        <f ca="1">IF($A$2="PREMIUM_OI",IFERROR(IF($X$1="ABS",(100*RTD("tos.rtd",,"OPEN_INT","."&amp;M$2&amp;M$1&amp;"C"&amp;$A45)*RTD("tos.rtd",,"LAST","."&amp;M$2&amp;M$1&amp;"C"&amp;$A45)+100*RTD("tos.rtd",,"OPEN_INT","."&amp;M$2&amp;M$1&amp;"P"&amp;$A45)*RTD("tos.rtd",,"LAST","."&amp;M$2&amp;M$1&amp;"P"&amp;$A45))/1000000,(100*RTD("tos.rtd",,"OPEN_INT","."&amp;M$2&amp;M$1&amp;"C"&amp;$A45)*RTD("tos.rtd",,"LAST","."&amp;M$2&amp;M$1&amp;"C"&amp;$A45)-100*RTD("tos.rtd",,"OPEN_INT","."&amp;M$2&amp;M$1&amp;"P"&amp;$A45)*RTD("tos.rtd",,"LAST","."&amp;M$2&amp;M$1&amp;"P"&amp;$A45))/1000000),0),IF($A$2="PREMIUM",IFERROR(IF($X$1="ABS",(100*RTD("tos.rtd",,"VOLUME","."&amp;M$2&amp;M$1&amp;"C"&amp;$A45)*RTD("tos.rtd",,"LAST","."&amp;M$2&amp;M$1&amp;"C"&amp;$A45)+100*RTD("tos.rtd",,"VOLUME","."&amp;M$2&amp;M$1&amp;"P"&amp;$A45)*RTD("tos.rtd",,"LAST","."&amp;M$2&amp;M$1&amp;"P"&amp;$A45))/1000000,(100*RTD("tos.rtd",,"VOLUME","."&amp;M$2&amp;M$1&amp;"C"&amp;$A45)*RTD("tos.rtd",,"LAST","."&amp;M$2&amp;M$1&amp;"C"&amp;$A45)-100*RTD("tos.rtd",,"VOLUME","."&amp;M$2&amp;M$1&amp;"P"&amp;$A45)*RTD("tos.rtd",,"LAST","."&amp;M$2&amp;M$1&amp;"P"&amp;$A45))/1000000),0),IF($A$2="DEX",IFERROR(IF($X$1="ABS",(100*RTD("tos.rtd",,"OPEN_INT","."&amp;M$2&amp;M$1&amp;"C"&amp;$A45)*RTD("tos.rtd",,"DELTA","."&amp;M$2&amp;M$1&amp;"C"&amp;$A45)+100*RTD("tos.rtd",,"OPEN_INT","."&amp;M$2&amp;M$1&amp;"P"&amp;$A45)*RTD("tos.rtd",,"DELTA","."&amp;M$2&amp;M$1&amp;"P"&amp;$A45))/1000,(100*RTD("tos.rtd",,"OPEN_INT","."&amp;M$2&amp;M$1&amp;"C"&amp;$A45)*RTD("tos.rtd",,"DELTA","."&amp;M$2&amp;M$1&amp;"C"&amp;$A45)-100*RTD("tos.rtd",,"OPEN_INT","."&amp;M$2&amp;M$1&amp;"P"&amp;$A45)*RTD("tos.rtd",,"DELTA","."&amp;M$2&amp;M$1&amp;"P"&amp;$A45))/1000),0),IF($A$2="VEX",IFERROR(IF($X$1="ABS",($A$4*$A$4*RTD("tos.rtd",,"VOLUME","."&amp;M$2&amp;M$1&amp;"C"&amp;$A45)*RTD("tos.rtd",,"GAMMA","."&amp;M$2&amp;M$1&amp;"C"&amp;$A45)+$A$4*$A$4*RTD("tos.rtd",,"VOLUME","."&amp;M$2&amp;M$1&amp;"P"&amp;$A45)*RTD("tos.rtd",,"GAMMA","."&amp;M$2&amp;M$1&amp;"P"&amp;$A45))/1000000,($A$4*$A$4*RTD("tos.rtd",,"VOLUME","."&amp;M$2&amp;M$1&amp;"C"&amp;$A45)*RTD("tos.rtd",,"GAMMA","."&amp;M$2&amp;M$1&amp;"C"&amp;$A45)-$A$4*$A$4*RTD("tos.rtd",,"VOLUME","."&amp;M$2&amp;M$1&amp;"P"&amp;$A45)*RTD("tos.rtd",,"GAMMA","."&amp;M$2&amp;M$1&amp;"P"&amp;$A45))/1000000),0),IF($A$2="GEX",IFERROR(IF($X$1="ABS",($A$4*$A$4*RTD("tos.rtd",,"OPEN_INT","."&amp;M$2&amp;M$1&amp;"C"&amp;$A45)*RTD("tos.rtd",,"GAMMA","."&amp;M$2&amp;M$1&amp;"C"&amp;$A45)+$A$4*$A$4*RTD("tos.rtd",,"OPEN_INT","."&amp;M$2&amp;M$1&amp;"P"&amp;$A45)*RTD("tos.rtd",,"GAMMA","."&amp;M$2&amp;M$1&amp;"P"&amp;$A45))/1000000,($A$4*$A$4*RTD("tos.rtd",,"OPEN_INT","."&amp;M$2&amp;M$1&amp;"C"&amp;$A45)*RTD("tos.rtd",,"GAMMA","."&amp;M$2&amp;M$1&amp;"C"&amp;$A45)-$A$4*$A$4*RTD("tos.rtd",,"OPEN_INT","."&amp;M$2&amp;M$1&amp;"P"&amp;$A45)*RTD("tos.rtd",,"GAMMA","."&amp;M$2&amp;M$1&amp;"P"&amp;$A45))/1000000),0),IF($A$2="SKEW",IFERROR(VALUE(IF(RTD("tos.rtd",,"IMPL_VOL","."&amp;M$2&amp;M$1&amp;"P"&amp;$A45)="N/A",0,RTD("tos.rtd",,"IMPL_VOL","."&amp;M$2&amp;M$1&amp;"P"&amp;$A45))),0)-IFERROR(VALUE(IF(RTD("tos.rtd",,"IMPL_VOL","."&amp;M$2&amp;M$1&amp;"C"&amp;$A45)="N/A",0,RTD("tos.rtd",,"IMPL_VOL","."&amp;M$2&amp;M$1&amp;"C"&amp;$A45))),0),IF($A$2="MAXPAIN",IF($A$4&gt;$A45,($A$4-$A45)*IF(RTD("tos.rtd",,"OPEN_INT","."&amp;M$2&amp;M$1&amp;"C"&amp;$A45)="N/A",0,RTD("tos.rtd",,"OPEN_INT","."&amp;M$2&amp;M$1&amp;"C"&amp;$A45)),0)+IF($A$4&lt;$A45,($A$5-$A$4)*IF(RTD("tos.rtd",,"OPEN_INT","."&amp;M$2&amp;M$1&amp;"P"&amp;$A45)="N/A",0,RTD("tos.rtd",,"OPEN_INT","."&amp;M$2&amp;M$1&amp;"P"&amp;$A45)),0),IF($X$1="ABS",IF(RTD("tos.rtd",,$A$2,"."&amp;M$2&amp;M$1&amp;"C"&amp;$A45)="N/A",0,RTD("tos.rtd",,$A$2,"."&amp;M$2&amp;M$1&amp;"C"&amp;$A45))+IF(RTD("tos.rtd",,$A$2,"."&amp;M$2&amp;M$1&amp;"P"&amp;$A45)="N/A",0,RTD("tos.rtd",,$A$2,"."&amp;M$2&amp;M$1&amp;"P"&amp;$A45)),IF(RTD("tos.rtd",,$A$2,"."&amp;M$2&amp;M$1&amp;"C"&amp;$A45)="N/A",0,RTD("tos.rtd",,$A$2,"."&amp;M$2&amp;M$1&amp;"C"&amp;$A45))-IF(RTD("tos.rtd",,$A$2,"."&amp;M$2&amp;M$1&amp;"P"&amp;$A45)="N/A",0,RTD("tos.rtd",,$A$2,"."&amp;M$2&amp;M$1&amp;"P"&amp;$A45))))))))))</f>
        <v>0</v>
      </c>
      <c r="N45" s="12">
        <f ca="1">IF($A$2="PREMIUM_OI",IFERROR(IF($X$1="ABS",(100*RTD("tos.rtd",,"OPEN_INT","."&amp;N$2&amp;N$1&amp;"C"&amp;$A45)*RTD("tos.rtd",,"LAST","."&amp;N$2&amp;N$1&amp;"C"&amp;$A45)+100*RTD("tos.rtd",,"OPEN_INT","."&amp;N$2&amp;N$1&amp;"P"&amp;$A45)*RTD("tos.rtd",,"LAST","."&amp;N$2&amp;N$1&amp;"P"&amp;$A45))/1000000,(100*RTD("tos.rtd",,"OPEN_INT","."&amp;N$2&amp;N$1&amp;"C"&amp;$A45)*RTD("tos.rtd",,"LAST","."&amp;N$2&amp;N$1&amp;"C"&amp;$A45)-100*RTD("tos.rtd",,"OPEN_INT","."&amp;N$2&amp;N$1&amp;"P"&amp;$A45)*RTD("tos.rtd",,"LAST","."&amp;N$2&amp;N$1&amp;"P"&amp;$A45))/1000000),0),IF($A$2="PREMIUM",IFERROR(IF($X$1="ABS",(100*RTD("tos.rtd",,"VOLUME","."&amp;N$2&amp;N$1&amp;"C"&amp;$A45)*RTD("tos.rtd",,"LAST","."&amp;N$2&amp;N$1&amp;"C"&amp;$A45)+100*RTD("tos.rtd",,"VOLUME","."&amp;N$2&amp;N$1&amp;"P"&amp;$A45)*RTD("tos.rtd",,"LAST","."&amp;N$2&amp;N$1&amp;"P"&amp;$A45))/1000000,(100*RTD("tos.rtd",,"VOLUME","."&amp;N$2&amp;N$1&amp;"C"&amp;$A45)*RTD("tos.rtd",,"LAST","."&amp;N$2&amp;N$1&amp;"C"&amp;$A45)-100*RTD("tos.rtd",,"VOLUME","."&amp;N$2&amp;N$1&amp;"P"&amp;$A45)*RTD("tos.rtd",,"LAST","."&amp;N$2&amp;N$1&amp;"P"&amp;$A45))/1000000),0),IF($A$2="DEX",IFERROR(IF($X$1="ABS",(100*RTD("tos.rtd",,"OPEN_INT","."&amp;N$2&amp;N$1&amp;"C"&amp;$A45)*RTD("tos.rtd",,"DELTA","."&amp;N$2&amp;N$1&amp;"C"&amp;$A45)+100*RTD("tos.rtd",,"OPEN_INT","."&amp;N$2&amp;N$1&amp;"P"&amp;$A45)*RTD("tos.rtd",,"DELTA","."&amp;N$2&amp;N$1&amp;"P"&amp;$A45))/1000,(100*RTD("tos.rtd",,"OPEN_INT","."&amp;N$2&amp;N$1&amp;"C"&amp;$A45)*RTD("tos.rtd",,"DELTA","."&amp;N$2&amp;N$1&amp;"C"&amp;$A45)-100*RTD("tos.rtd",,"OPEN_INT","."&amp;N$2&amp;N$1&amp;"P"&amp;$A45)*RTD("tos.rtd",,"DELTA","."&amp;N$2&amp;N$1&amp;"P"&amp;$A45))/1000),0),IF($A$2="VEX",IFERROR(IF($X$1="ABS",($A$4*$A$4*RTD("tos.rtd",,"VOLUME","."&amp;N$2&amp;N$1&amp;"C"&amp;$A45)*RTD("tos.rtd",,"GAMMA","."&amp;N$2&amp;N$1&amp;"C"&amp;$A45)+$A$4*$A$4*RTD("tos.rtd",,"VOLUME","."&amp;N$2&amp;N$1&amp;"P"&amp;$A45)*RTD("tos.rtd",,"GAMMA","."&amp;N$2&amp;N$1&amp;"P"&amp;$A45))/1000000,($A$4*$A$4*RTD("tos.rtd",,"VOLUME","."&amp;N$2&amp;N$1&amp;"C"&amp;$A45)*RTD("tos.rtd",,"GAMMA","."&amp;N$2&amp;N$1&amp;"C"&amp;$A45)-$A$4*$A$4*RTD("tos.rtd",,"VOLUME","."&amp;N$2&amp;N$1&amp;"P"&amp;$A45)*RTD("tos.rtd",,"GAMMA","."&amp;N$2&amp;N$1&amp;"P"&amp;$A45))/1000000),0),IF($A$2="GEX",IFERROR(IF($X$1="ABS",($A$4*$A$4*RTD("tos.rtd",,"OPEN_INT","."&amp;N$2&amp;N$1&amp;"C"&amp;$A45)*RTD("tos.rtd",,"GAMMA","."&amp;N$2&amp;N$1&amp;"C"&amp;$A45)+$A$4*$A$4*RTD("tos.rtd",,"OPEN_INT","."&amp;N$2&amp;N$1&amp;"P"&amp;$A45)*RTD("tos.rtd",,"GAMMA","."&amp;N$2&amp;N$1&amp;"P"&amp;$A45))/1000000,($A$4*$A$4*RTD("tos.rtd",,"OPEN_INT","."&amp;N$2&amp;N$1&amp;"C"&amp;$A45)*RTD("tos.rtd",,"GAMMA","."&amp;N$2&amp;N$1&amp;"C"&amp;$A45)-$A$4*$A$4*RTD("tos.rtd",,"OPEN_INT","."&amp;N$2&amp;N$1&amp;"P"&amp;$A45)*RTD("tos.rtd",,"GAMMA","."&amp;N$2&amp;N$1&amp;"P"&amp;$A45))/1000000),0),IF($A$2="SKEW",IFERROR(VALUE(IF(RTD("tos.rtd",,"IMPL_VOL","."&amp;N$2&amp;N$1&amp;"P"&amp;$A45)="N/A",0,RTD("tos.rtd",,"IMPL_VOL","."&amp;N$2&amp;N$1&amp;"P"&amp;$A45))),0)-IFERROR(VALUE(IF(RTD("tos.rtd",,"IMPL_VOL","."&amp;N$2&amp;N$1&amp;"C"&amp;$A45)="N/A",0,RTD("tos.rtd",,"IMPL_VOL","."&amp;N$2&amp;N$1&amp;"C"&amp;$A45))),0),IF($A$2="MAXPAIN",IF($A$4&gt;$A45,($A$4-$A45)*IF(RTD("tos.rtd",,"OPEN_INT","."&amp;N$2&amp;N$1&amp;"C"&amp;$A45)="N/A",0,RTD("tos.rtd",,"OPEN_INT","."&amp;N$2&amp;N$1&amp;"C"&amp;$A45)),0)+IF($A$4&lt;$A45,($A$5-$A$4)*IF(RTD("tos.rtd",,"OPEN_INT","."&amp;N$2&amp;N$1&amp;"P"&amp;$A45)="N/A",0,RTD("tos.rtd",,"OPEN_INT","."&amp;N$2&amp;N$1&amp;"P"&amp;$A45)),0),IF($X$1="ABS",IF(RTD("tos.rtd",,$A$2,"."&amp;N$2&amp;N$1&amp;"C"&amp;$A45)="N/A",0,RTD("tos.rtd",,$A$2,"."&amp;N$2&amp;N$1&amp;"C"&amp;$A45))+IF(RTD("tos.rtd",,$A$2,"."&amp;N$2&amp;N$1&amp;"P"&amp;$A45)="N/A",0,RTD("tos.rtd",,$A$2,"."&amp;N$2&amp;N$1&amp;"P"&amp;$A45)),IF(RTD("tos.rtd",,$A$2,"."&amp;N$2&amp;N$1&amp;"C"&amp;$A45)="N/A",0,RTD("tos.rtd",,$A$2,"."&amp;N$2&amp;N$1&amp;"C"&amp;$A45))-IF(RTD("tos.rtd",,$A$2,"."&amp;N$2&amp;N$1&amp;"P"&amp;$A45)="N/A",0,RTD("tos.rtd",,$A$2,"."&amp;N$2&amp;N$1&amp;"P"&amp;$A45))))))))))</f>
        <v>0</v>
      </c>
      <c r="O45" s="12">
        <f ca="1">IF($A$2="PREMIUM_OI",IFERROR(IF($X$1="ABS",(100*RTD("tos.rtd",,"OPEN_INT","."&amp;O$2&amp;O$1&amp;"C"&amp;$A45)*RTD("tos.rtd",,"LAST","."&amp;O$2&amp;O$1&amp;"C"&amp;$A45)+100*RTD("tos.rtd",,"OPEN_INT","."&amp;O$2&amp;O$1&amp;"P"&amp;$A45)*RTD("tos.rtd",,"LAST","."&amp;O$2&amp;O$1&amp;"P"&amp;$A45))/1000000,(100*RTD("tos.rtd",,"OPEN_INT","."&amp;O$2&amp;O$1&amp;"C"&amp;$A45)*RTD("tos.rtd",,"LAST","."&amp;O$2&amp;O$1&amp;"C"&amp;$A45)-100*RTD("tos.rtd",,"OPEN_INT","."&amp;O$2&amp;O$1&amp;"P"&amp;$A45)*RTD("tos.rtd",,"LAST","."&amp;O$2&amp;O$1&amp;"P"&amp;$A45))/1000000),0),IF($A$2="PREMIUM",IFERROR(IF($X$1="ABS",(100*RTD("tos.rtd",,"VOLUME","."&amp;O$2&amp;O$1&amp;"C"&amp;$A45)*RTD("tos.rtd",,"LAST","."&amp;O$2&amp;O$1&amp;"C"&amp;$A45)+100*RTD("tos.rtd",,"VOLUME","."&amp;O$2&amp;O$1&amp;"P"&amp;$A45)*RTD("tos.rtd",,"LAST","."&amp;O$2&amp;O$1&amp;"P"&amp;$A45))/1000000,(100*RTD("tos.rtd",,"VOLUME","."&amp;O$2&amp;O$1&amp;"C"&amp;$A45)*RTD("tos.rtd",,"LAST","."&amp;O$2&amp;O$1&amp;"C"&amp;$A45)-100*RTD("tos.rtd",,"VOLUME","."&amp;O$2&amp;O$1&amp;"P"&amp;$A45)*RTD("tos.rtd",,"LAST","."&amp;O$2&amp;O$1&amp;"P"&amp;$A45))/1000000),0),IF($A$2="DEX",IFERROR(IF($X$1="ABS",(100*RTD("tos.rtd",,"OPEN_INT","."&amp;O$2&amp;O$1&amp;"C"&amp;$A45)*RTD("tos.rtd",,"DELTA","."&amp;O$2&amp;O$1&amp;"C"&amp;$A45)+100*RTD("tos.rtd",,"OPEN_INT","."&amp;O$2&amp;O$1&amp;"P"&amp;$A45)*RTD("tos.rtd",,"DELTA","."&amp;O$2&amp;O$1&amp;"P"&amp;$A45))/1000,(100*RTD("tos.rtd",,"OPEN_INT","."&amp;O$2&amp;O$1&amp;"C"&amp;$A45)*RTD("tos.rtd",,"DELTA","."&amp;O$2&amp;O$1&amp;"C"&amp;$A45)-100*RTD("tos.rtd",,"OPEN_INT","."&amp;O$2&amp;O$1&amp;"P"&amp;$A45)*RTD("tos.rtd",,"DELTA","."&amp;O$2&amp;O$1&amp;"P"&amp;$A45))/1000),0),IF($A$2="VEX",IFERROR(IF($X$1="ABS",($A$4*$A$4*RTD("tos.rtd",,"VOLUME","."&amp;O$2&amp;O$1&amp;"C"&amp;$A45)*RTD("tos.rtd",,"GAMMA","."&amp;O$2&amp;O$1&amp;"C"&amp;$A45)+$A$4*$A$4*RTD("tos.rtd",,"VOLUME","."&amp;O$2&amp;O$1&amp;"P"&amp;$A45)*RTD("tos.rtd",,"GAMMA","."&amp;O$2&amp;O$1&amp;"P"&amp;$A45))/1000000,($A$4*$A$4*RTD("tos.rtd",,"VOLUME","."&amp;O$2&amp;O$1&amp;"C"&amp;$A45)*RTD("tos.rtd",,"GAMMA","."&amp;O$2&amp;O$1&amp;"C"&amp;$A45)-$A$4*$A$4*RTD("tos.rtd",,"VOLUME","."&amp;O$2&amp;O$1&amp;"P"&amp;$A45)*RTD("tos.rtd",,"GAMMA","."&amp;O$2&amp;O$1&amp;"P"&amp;$A45))/1000000),0),IF($A$2="GEX",IFERROR(IF($X$1="ABS",($A$4*$A$4*RTD("tos.rtd",,"OPEN_INT","."&amp;O$2&amp;O$1&amp;"C"&amp;$A45)*RTD("tos.rtd",,"GAMMA","."&amp;O$2&amp;O$1&amp;"C"&amp;$A45)+$A$4*$A$4*RTD("tos.rtd",,"OPEN_INT","."&amp;O$2&amp;O$1&amp;"P"&amp;$A45)*RTD("tos.rtd",,"GAMMA","."&amp;O$2&amp;O$1&amp;"P"&amp;$A45))/1000000,($A$4*$A$4*RTD("tos.rtd",,"OPEN_INT","."&amp;O$2&amp;O$1&amp;"C"&amp;$A45)*RTD("tos.rtd",,"GAMMA","."&amp;O$2&amp;O$1&amp;"C"&amp;$A45)-$A$4*$A$4*RTD("tos.rtd",,"OPEN_INT","."&amp;O$2&amp;O$1&amp;"P"&amp;$A45)*RTD("tos.rtd",,"GAMMA","."&amp;O$2&amp;O$1&amp;"P"&amp;$A45))/1000000),0),IF($A$2="SKEW",IFERROR(VALUE(IF(RTD("tos.rtd",,"IMPL_VOL","."&amp;O$2&amp;O$1&amp;"P"&amp;$A45)="N/A",0,RTD("tos.rtd",,"IMPL_VOL","."&amp;O$2&amp;O$1&amp;"P"&amp;$A45))),0)-IFERROR(VALUE(IF(RTD("tos.rtd",,"IMPL_VOL","."&amp;O$2&amp;O$1&amp;"C"&amp;$A45)="N/A",0,RTD("tos.rtd",,"IMPL_VOL","."&amp;O$2&amp;O$1&amp;"C"&amp;$A45))),0),IF($A$2="MAXPAIN",IF($A$4&gt;$A45,($A$4-$A45)*IF(RTD("tos.rtd",,"OPEN_INT","."&amp;O$2&amp;O$1&amp;"C"&amp;$A45)="N/A",0,RTD("tos.rtd",,"OPEN_INT","."&amp;O$2&amp;O$1&amp;"C"&amp;$A45)),0)+IF($A$4&lt;$A45,($A$5-$A$4)*IF(RTD("tos.rtd",,"OPEN_INT","."&amp;O$2&amp;O$1&amp;"P"&amp;$A45)="N/A",0,RTD("tos.rtd",,"OPEN_INT","."&amp;O$2&amp;O$1&amp;"P"&amp;$A45)),0),IF($X$1="ABS",IF(RTD("tos.rtd",,$A$2,"."&amp;O$2&amp;O$1&amp;"C"&amp;$A45)="N/A",0,RTD("tos.rtd",,$A$2,"."&amp;O$2&amp;O$1&amp;"C"&amp;$A45))+IF(RTD("tos.rtd",,$A$2,"."&amp;O$2&amp;O$1&amp;"P"&amp;$A45)="N/A",0,RTD("tos.rtd",,$A$2,"."&amp;O$2&amp;O$1&amp;"P"&amp;$A45)),IF(RTD("tos.rtd",,$A$2,"."&amp;O$2&amp;O$1&amp;"C"&amp;$A45)="N/A",0,RTD("tos.rtd",,$A$2,"."&amp;O$2&amp;O$1&amp;"C"&amp;$A45))-IF(RTD("tos.rtd",,$A$2,"."&amp;O$2&amp;O$1&amp;"P"&amp;$A45)="N/A",0,RTD("tos.rtd",,$A$2,"."&amp;O$2&amp;O$1&amp;"P"&amp;$A45))))))))))</f>
        <v>0</v>
      </c>
      <c r="P45" s="12">
        <f ca="1">IF($A$2="PREMIUM_OI",IFERROR(IF($X$1="ABS",(100*RTD("tos.rtd",,"OPEN_INT","."&amp;P$2&amp;P$1&amp;"C"&amp;$A45)*RTD("tos.rtd",,"LAST","."&amp;P$2&amp;P$1&amp;"C"&amp;$A45)+100*RTD("tos.rtd",,"OPEN_INT","."&amp;P$2&amp;P$1&amp;"P"&amp;$A45)*RTD("tos.rtd",,"LAST","."&amp;P$2&amp;P$1&amp;"P"&amp;$A45))/1000000,(100*RTD("tos.rtd",,"OPEN_INT","."&amp;P$2&amp;P$1&amp;"C"&amp;$A45)*RTD("tos.rtd",,"LAST","."&amp;P$2&amp;P$1&amp;"C"&amp;$A45)-100*RTD("tos.rtd",,"OPEN_INT","."&amp;P$2&amp;P$1&amp;"P"&amp;$A45)*RTD("tos.rtd",,"LAST","."&amp;P$2&amp;P$1&amp;"P"&amp;$A45))/1000000),0),IF($A$2="PREMIUM",IFERROR(IF($X$1="ABS",(100*RTD("tos.rtd",,"VOLUME","."&amp;P$2&amp;P$1&amp;"C"&amp;$A45)*RTD("tos.rtd",,"LAST","."&amp;P$2&amp;P$1&amp;"C"&amp;$A45)+100*RTD("tos.rtd",,"VOLUME","."&amp;P$2&amp;P$1&amp;"P"&amp;$A45)*RTD("tos.rtd",,"LAST","."&amp;P$2&amp;P$1&amp;"P"&amp;$A45))/1000000,(100*RTD("tos.rtd",,"VOLUME","."&amp;P$2&amp;P$1&amp;"C"&amp;$A45)*RTD("tos.rtd",,"LAST","."&amp;P$2&amp;P$1&amp;"C"&amp;$A45)-100*RTD("tos.rtd",,"VOLUME","."&amp;P$2&amp;P$1&amp;"P"&amp;$A45)*RTD("tos.rtd",,"LAST","."&amp;P$2&amp;P$1&amp;"P"&amp;$A45))/1000000),0),IF($A$2="DEX",IFERROR(IF($X$1="ABS",(100*RTD("tos.rtd",,"OPEN_INT","."&amp;P$2&amp;P$1&amp;"C"&amp;$A45)*RTD("tos.rtd",,"DELTA","."&amp;P$2&amp;P$1&amp;"C"&amp;$A45)+100*RTD("tos.rtd",,"OPEN_INT","."&amp;P$2&amp;P$1&amp;"P"&amp;$A45)*RTD("tos.rtd",,"DELTA","."&amp;P$2&amp;P$1&amp;"P"&amp;$A45))/1000,(100*RTD("tos.rtd",,"OPEN_INT","."&amp;P$2&amp;P$1&amp;"C"&amp;$A45)*RTD("tos.rtd",,"DELTA","."&amp;P$2&amp;P$1&amp;"C"&amp;$A45)-100*RTD("tos.rtd",,"OPEN_INT","."&amp;P$2&amp;P$1&amp;"P"&amp;$A45)*RTD("tos.rtd",,"DELTA","."&amp;P$2&amp;P$1&amp;"P"&amp;$A45))/1000),0),IF($A$2="VEX",IFERROR(IF($X$1="ABS",($A$4*$A$4*RTD("tos.rtd",,"VOLUME","."&amp;P$2&amp;P$1&amp;"C"&amp;$A45)*RTD("tos.rtd",,"GAMMA","."&amp;P$2&amp;P$1&amp;"C"&amp;$A45)+$A$4*$A$4*RTD("tos.rtd",,"VOLUME","."&amp;P$2&amp;P$1&amp;"P"&amp;$A45)*RTD("tos.rtd",,"GAMMA","."&amp;P$2&amp;P$1&amp;"P"&amp;$A45))/1000000,($A$4*$A$4*RTD("tos.rtd",,"VOLUME","."&amp;P$2&amp;P$1&amp;"C"&amp;$A45)*RTD("tos.rtd",,"GAMMA","."&amp;P$2&amp;P$1&amp;"C"&amp;$A45)-$A$4*$A$4*RTD("tos.rtd",,"VOLUME","."&amp;P$2&amp;P$1&amp;"P"&amp;$A45)*RTD("tos.rtd",,"GAMMA","."&amp;P$2&amp;P$1&amp;"P"&amp;$A45))/1000000),0),IF($A$2="GEX",IFERROR(IF($X$1="ABS",($A$4*$A$4*RTD("tos.rtd",,"OPEN_INT","."&amp;P$2&amp;P$1&amp;"C"&amp;$A45)*RTD("tos.rtd",,"GAMMA","."&amp;P$2&amp;P$1&amp;"C"&amp;$A45)+$A$4*$A$4*RTD("tos.rtd",,"OPEN_INT","."&amp;P$2&amp;P$1&amp;"P"&amp;$A45)*RTD("tos.rtd",,"GAMMA","."&amp;P$2&amp;P$1&amp;"P"&amp;$A45))/1000000,($A$4*$A$4*RTD("tos.rtd",,"OPEN_INT","."&amp;P$2&amp;P$1&amp;"C"&amp;$A45)*RTD("tos.rtd",,"GAMMA","."&amp;P$2&amp;P$1&amp;"C"&amp;$A45)-$A$4*$A$4*RTD("tos.rtd",,"OPEN_INT","."&amp;P$2&amp;P$1&amp;"P"&amp;$A45)*RTD("tos.rtd",,"GAMMA","."&amp;P$2&amp;P$1&amp;"P"&amp;$A45))/1000000),0),IF($A$2="SKEW",IFERROR(VALUE(IF(RTD("tos.rtd",,"IMPL_VOL","."&amp;P$2&amp;P$1&amp;"P"&amp;$A45)="N/A",0,RTD("tos.rtd",,"IMPL_VOL","."&amp;P$2&amp;P$1&amp;"P"&amp;$A45))),0)-IFERROR(VALUE(IF(RTD("tos.rtd",,"IMPL_VOL","."&amp;P$2&amp;P$1&amp;"C"&amp;$A45)="N/A",0,RTD("tos.rtd",,"IMPL_VOL","."&amp;P$2&amp;P$1&amp;"C"&amp;$A45))),0),IF($A$2="MAXPAIN",IF($A$4&gt;$A45,($A$4-$A45)*IF(RTD("tos.rtd",,"OPEN_INT","."&amp;P$2&amp;P$1&amp;"C"&amp;$A45)="N/A",0,RTD("tos.rtd",,"OPEN_INT","."&amp;P$2&amp;P$1&amp;"C"&amp;$A45)),0)+IF($A$4&lt;$A45,($A$5-$A$4)*IF(RTD("tos.rtd",,"OPEN_INT","."&amp;P$2&amp;P$1&amp;"P"&amp;$A45)="N/A",0,RTD("tos.rtd",,"OPEN_INT","."&amp;P$2&amp;P$1&amp;"P"&amp;$A45)),0),IF($X$1="ABS",IF(RTD("tos.rtd",,$A$2,"."&amp;P$2&amp;P$1&amp;"C"&amp;$A45)="N/A",0,RTD("tos.rtd",,$A$2,"."&amp;P$2&amp;P$1&amp;"C"&amp;$A45))+IF(RTD("tos.rtd",,$A$2,"."&amp;P$2&amp;P$1&amp;"P"&amp;$A45)="N/A",0,RTD("tos.rtd",,$A$2,"."&amp;P$2&amp;P$1&amp;"P"&amp;$A45)),IF(RTD("tos.rtd",,$A$2,"."&amp;P$2&amp;P$1&amp;"C"&amp;$A45)="N/A",0,RTD("tos.rtd",,$A$2,"."&amp;P$2&amp;P$1&amp;"C"&amp;$A45))-IF(RTD("tos.rtd",,$A$2,"."&amp;P$2&amp;P$1&amp;"P"&amp;$A45)="N/A",0,RTD("tos.rtd",,$A$2,"."&amp;P$2&amp;P$1&amp;"P"&amp;$A45))))))))))</f>
        <v>0</v>
      </c>
      <c r="Q45" s="12">
        <f ca="1">IF($A$2="PREMIUM_OI",IFERROR(IF($X$1="ABS",(100*RTD("tos.rtd",,"OPEN_INT","."&amp;Q$2&amp;Q$1&amp;"C"&amp;$A45)*RTD("tos.rtd",,"LAST","."&amp;Q$2&amp;Q$1&amp;"C"&amp;$A45)+100*RTD("tos.rtd",,"OPEN_INT","."&amp;Q$2&amp;Q$1&amp;"P"&amp;$A45)*RTD("tos.rtd",,"LAST","."&amp;Q$2&amp;Q$1&amp;"P"&amp;$A45))/1000000,(100*RTD("tos.rtd",,"OPEN_INT","."&amp;Q$2&amp;Q$1&amp;"C"&amp;$A45)*RTD("tos.rtd",,"LAST","."&amp;Q$2&amp;Q$1&amp;"C"&amp;$A45)-100*RTD("tos.rtd",,"OPEN_INT","."&amp;Q$2&amp;Q$1&amp;"P"&amp;$A45)*RTD("tos.rtd",,"LAST","."&amp;Q$2&amp;Q$1&amp;"P"&amp;$A45))/1000000),0),IF($A$2="PREMIUM",IFERROR(IF($X$1="ABS",(100*RTD("tos.rtd",,"VOLUME","."&amp;Q$2&amp;Q$1&amp;"C"&amp;$A45)*RTD("tos.rtd",,"LAST","."&amp;Q$2&amp;Q$1&amp;"C"&amp;$A45)+100*RTD("tos.rtd",,"VOLUME","."&amp;Q$2&amp;Q$1&amp;"P"&amp;$A45)*RTD("tos.rtd",,"LAST","."&amp;Q$2&amp;Q$1&amp;"P"&amp;$A45))/1000000,(100*RTD("tos.rtd",,"VOLUME","."&amp;Q$2&amp;Q$1&amp;"C"&amp;$A45)*RTD("tos.rtd",,"LAST","."&amp;Q$2&amp;Q$1&amp;"C"&amp;$A45)-100*RTD("tos.rtd",,"VOLUME","."&amp;Q$2&amp;Q$1&amp;"P"&amp;$A45)*RTD("tos.rtd",,"LAST","."&amp;Q$2&amp;Q$1&amp;"P"&amp;$A45))/1000000),0),IF($A$2="DEX",IFERROR(IF($X$1="ABS",(100*RTD("tos.rtd",,"OPEN_INT","."&amp;Q$2&amp;Q$1&amp;"C"&amp;$A45)*RTD("tos.rtd",,"DELTA","."&amp;Q$2&amp;Q$1&amp;"C"&amp;$A45)+100*RTD("tos.rtd",,"OPEN_INT","."&amp;Q$2&amp;Q$1&amp;"P"&amp;$A45)*RTD("tos.rtd",,"DELTA","."&amp;Q$2&amp;Q$1&amp;"P"&amp;$A45))/1000,(100*RTD("tos.rtd",,"OPEN_INT","."&amp;Q$2&amp;Q$1&amp;"C"&amp;$A45)*RTD("tos.rtd",,"DELTA","."&amp;Q$2&amp;Q$1&amp;"C"&amp;$A45)-100*RTD("tos.rtd",,"OPEN_INT","."&amp;Q$2&amp;Q$1&amp;"P"&amp;$A45)*RTD("tos.rtd",,"DELTA","."&amp;Q$2&amp;Q$1&amp;"P"&amp;$A45))/1000),0),IF($A$2="VEX",IFERROR(IF($X$1="ABS",($A$4*$A$4*RTD("tos.rtd",,"VOLUME","."&amp;Q$2&amp;Q$1&amp;"C"&amp;$A45)*RTD("tos.rtd",,"GAMMA","."&amp;Q$2&amp;Q$1&amp;"C"&amp;$A45)+$A$4*$A$4*RTD("tos.rtd",,"VOLUME","."&amp;Q$2&amp;Q$1&amp;"P"&amp;$A45)*RTD("tos.rtd",,"GAMMA","."&amp;Q$2&amp;Q$1&amp;"P"&amp;$A45))/1000000,($A$4*$A$4*RTD("tos.rtd",,"VOLUME","."&amp;Q$2&amp;Q$1&amp;"C"&amp;$A45)*RTD("tos.rtd",,"GAMMA","."&amp;Q$2&amp;Q$1&amp;"C"&amp;$A45)-$A$4*$A$4*RTD("tos.rtd",,"VOLUME","."&amp;Q$2&amp;Q$1&amp;"P"&amp;$A45)*RTD("tos.rtd",,"GAMMA","."&amp;Q$2&amp;Q$1&amp;"P"&amp;$A45))/1000000),0),IF($A$2="GEX",IFERROR(IF($X$1="ABS",($A$4*$A$4*RTD("tos.rtd",,"OPEN_INT","."&amp;Q$2&amp;Q$1&amp;"C"&amp;$A45)*RTD("tos.rtd",,"GAMMA","."&amp;Q$2&amp;Q$1&amp;"C"&amp;$A45)+$A$4*$A$4*RTD("tos.rtd",,"OPEN_INT","."&amp;Q$2&amp;Q$1&amp;"P"&amp;$A45)*RTD("tos.rtd",,"GAMMA","."&amp;Q$2&amp;Q$1&amp;"P"&amp;$A45))/1000000,($A$4*$A$4*RTD("tos.rtd",,"OPEN_INT","."&amp;Q$2&amp;Q$1&amp;"C"&amp;$A45)*RTD("tos.rtd",,"GAMMA","."&amp;Q$2&amp;Q$1&amp;"C"&amp;$A45)-$A$4*$A$4*RTD("tos.rtd",,"OPEN_INT","."&amp;Q$2&amp;Q$1&amp;"P"&amp;$A45)*RTD("tos.rtd",,"GAMMA","."&amp;Q$2&amp;Q$1&amp;"P"&amp;$A45))/1000000),0),IF($A$2="SKEW",IFERROR(VALUE(IF(RTD("tos.rtd",,"IMPL_VOL","."&amp;Q$2&amp;Q$1&amp;"P"&amp;$A45)="N/A",0,RTD("tos.rtd",,"IMPL_VOL","."&amp;Q$2&amp;Q$1&amp;"P"&amp;$A45))),0)-IFERROR(VALUE(IF(RTD("tos.rtd",,"IMPL_VOL","."&amp;Q$2&amp;Q$1&amp;"C"&amp;$A45)="N/A",0,RTD("tos.rtd",,"IMPL_VOL","."&amp;Q$2&amp;Q$1&amp;"C"&amp;$A45))),0),IF($A$2="MAXPAIN",IF($A$4&gt;$A45,($A$4-$A45)*IF(RTD("tos.rtd",,"OPEN_INT","."&amp;Q$2&amp;Q$1&amp;"C"&amp;$A45)="N/A",0,RTD("tos.rtd",,"OPEN_INT","."&amp;Q$2&amp;Q$1&amp;"C"&amp;$A45)),0)+IF($A$4&lt;$A45,($A$5-$A$4)*IF(RTD("tos.rtd",,"OPEN_INT","."&amp;Q$2&amp;Q$1&amp;"P"&amp;$A45)="N/A",0,RTD("tos.rtd",,"OPEN_INT","."&amp;Q$2&amp;Q$1&amp;"P"&amp;$A45)),0),IF($X$1="ABS",IF(RTD("tos.rtd",,$A$2,"."&amp;Q$2&amp;Q$1&amp;"C"&amp;$A45)="N/A",0,RTD("tos.rtd",,$A$2,"."&amp;Q$2&amp;Q$1&amp;"C"&amp;$A45))+IF(RTD("tos.rtd",,$A$2,"."&amp;Q$2&amp;Q$1&amp;"P"&amp;$A45)="N/A",0,RTD("tos.rtd",,$A$2,"."&amp;Q$2&amp;Q$1&amp;"P"&amp;$A45)),IF(RTD("tos.rtd",,$A$2,"."&amp;Q$2&amp;Q$1&amp;"C"&amp;$A45)="N/A",0,RTD("tos.rtd",,$A$2,"."&amp;Q$2&amp;Q$1&amp;"C"&amp;$A45))-IF(RTD("tos.rtd",,$A$2,"."&amp;Q$2&amp;Q$1&amp;"P"&amp;$A45)="N/A",0,RTD("tos.rtd",,$A$2,"."&amp;Q$2&amp;Q$1&amp;"P"&amp;$A45))))))))))</f>
        <v>0</v>
      </c>
      <c r="R45" s="12">
        <f ca="1">IF($A$2="PREMIUM_OI",IFERROR(IF($X$1="ABS",(100*RTD("tos.rtd",,"OPEN_INT","."&amp;R$2&amp;R$1&amp;"C"&amp;$A45)*RTD("tos.rtd",,"LAST","."&amp;R$2&amp;R$1&amp;"C"&amp;$A45)+100*RTD("tos.rtd",,"OPEN_INT","."&amp;R$2&amp;R$1&amp;"P"&amp;$A45)*RTD("tos.rtd",,"LAST","."&amp;R$2&amp;R$1&amp;"P"&amp;$A45))/1000000,(100*RTD("tos.rtd",,"OPEN_INT","."&amp;R$2&amp;R$1&amp;"C"&amp;$A45)*RTD("tos.rtd",,"LAST","."&amp;R$2&amp;R$1&amp;"C"&amp;$A45)-100*RTD("tos.rtd",,"OPEN_INT","."&amp;R$2&amp;R$1&amp;"P"&amp;$A45)*RTD("tos.rtd",,"LAST","."&amp;R$2&amp;R$1&amp;"P"&amp;$A45))/1000000),0),IF($A$2="PREMIUM",IFERROR(IF($X$1="ABS",(100*RTD("tos.rtd",,"VOLUME","."&amp;R$2&amp;R$1&amp;"C"&amp;$A45)*RTD("tos.rtd",,"LAST","."&amp;R$2&amp;R$1&amp;"C"&amp;$A45)+100*RTD("tos.rtd",,"VOLUME","."&amp;R$2&amp;R$1&amp;"P"&amp;$A45)*RTD("tos.rtd",,"LAST","."&amp;R$2&amp;R$1&amp;"P"&amp;$A45))/1000000,(100*RTD("tos.rtd",,"VOLUME","."&amp;R$2&amp;R$1&amp;"C"&amp;$A45)*RTD("tos.rtd",,"LAST","."&amp;R$2&amp;R$1&amp;"C"&amp;$A45)-100*RTD("tos.rtd",,"VOLUME","."&amp;R$2&amp;R$1&amp;"P"&amp;$A45)*RTD("tos.rtd",,"LAST","."&amp;R$2&amp;R$1&amp;"P"&amp;$A45))/1000000),0),IF($A$2="DEX",IFERROR(IF($X$1="ABS",(100*RTD("tos.rtd",,"OPEN_INT","."&amp;R$2&amp;R$1&amp;"C"&amp;$A45)*RTD("tos.rtd",,"DELTA","."&amp;R$2&amp;R$1&amp;"C"&amp;$A45)+100*RTD("tos.rtd",,"OPEN_INT","."&amp;R$2&amp;R$1&amp;"P"&amp;$A45)*RTD("tos.rtd",,"DELTA","."&amp;R$2&amp;R$1&amp;"P"&amp;$A45))/1000,(100*RTD("tos.rtd",,"OPEN_INT","."&amp;R$2&amp;R$1&amp;"C"&amp;$A45)*RTD("tos.rtd",,"DELTA","."&amp;R$2&amp;R$1&amp;"C"&amp;$A45)-100*RTD("tos.rtd",,"OPEN_INT","."&amp;R$2&amp;R$1&amp;"P"&amp;$A45)*RTD("tos.rtd",,"DELTA","."&amp;R$2&amp;R$1&amp;"P"&amp;$A45))/1000),0),IF($A$2="VEX",IFERROR(IF($X$1="ABS",($A$4*$A$4*RTD("tos.rtd",,"VOLUME","."&amp;R$2&amp;R$1&amp;"C"&amp;$A45)*RTD("tos.rtd",,"GAMMA","."&amp;R$2&amp;R$1&amp;"C"&amp;$A45)+$A$4*$A$4*RTD("tos.rtd",,"VOLUME","."&amp;R$2&amp;R$1&amp;"P"&amp;$A45)*RTD("tos.rtd",,"GAMMA","."&amp;R$2&amp;R$1&amp;"P"&amp;$A45))/1000000,($A$4*$A$4*RTD("tos.rtd",,"VOLUME","."&amp;R$2&amp;R$1&amp;"C"&amp;$A45)*RTD("tos.rtd",,"GAMMA","."&amp;R$2&amp;R$1&amp;"C"&amp;$A45)-$A$4*$A$4*RTD("tos.rtd",,"VOLUME","."&amp;R$2&amp;R$1&amp;"P"&amp;$A45)*RTD("tos.rtd",,"GAMMA","."&amp;R$2&amp;R$1&amp;"P"&amp;$A45))/1000000),0),IF($A$2="GEX",IFERROR(IF($X$1="ABS",($A$4*$A$4*RTD("tos.rtd",,"OPEN_INT","."&amp;R$2&amp;R$1&amp;"C"&amp;$A45)*RTD("tos.rtd",,"GAMMA","."&amp;R$2&amp;R$1&amp;"C"&amp;$A45)+$A$4*$A$4*RTD("tos.rtd",,"OPEN_INT","."&amp;R$2&amp;R$1&amp;"P"&amp;$A45)*RTD("tos.rtd",,"GAMMA","."&amp;R$2&amp;R$1&amp;"P"&amp;$A45))/1000000,($A$4*$A$4*RTD("tos.rtd",,"OPEN_INT","."&amp;R$2&amp;R$1&amp;"C"&amp;$A45)*RTD("tos.rtd",,"GAMMA","."&amp;R$2&amp;R$1&amp;"C"&amp;$A45)-$A$4*$A$4*RTD("tos.rtd",,"OPEN_INT","."&amp;R$2&amp;R$1&amp;"P"&amp;$A45)*RTD("tos.rtd",,"GAMMA","."&amp;R$2&amp;R$1&amp;"P"&amp;$A45))/1000000),0),IF($A$2="SKEW",IFERROR(VALUE(IF(RTD("tos.rtd",,"IMPL_VOL","."&amp;R$2&amp;R$1&amp;"P"&amp;$A45)="N/A",0,RTD("tos.rtd",,"IMPL_VOL","."&amp;R$2&amp;R$1&amp;"P"&amp;$A45))),0)-IFERROR(VALUE(IF(RTD("tos.rtd",,"IMPL_VOL","."&amp;R$2&amp;R$1&amp;"C"&amp;$A45)="N/A",0,RTD("tos.rtd",,"IMPL_VOL","."&amp;R$2&amp;R$1&amp;"C"&amp;$A45))),0),IF($A$2="MAXPAIN",IF($A$4&gt;$A45,($A$4-$A45)*IF(RTD("tos.rtd",,"OPEN_INT","."&amp;R$2&amp;R$1&amp;"C"&amp;$A45)="N/A",0,RTD("tos.rtd",,"OPEN_INT","."&amp;R$2&amp;R$1&amp;"C"&amp;$A45)),0)+IF($A$4&lt;$A45,($A$5-$A$4)*IF(RTD("tos.rtd",,"OPEN_INT","."&amp;R$2&amp;R$1&amp;"P"&amp;$A45)="N/A",0,RTD("tos.rtd",,"OPEN_INT","."&amp;R$2&amp;R$1&amp;"P"&amp;$A45)),0),IF($X$1="ABS",IF(RTD("tos.rtd",,$A$2,"."&amp;R$2&amp;R$1&amp;"C"&amp;$A45)="N/A",0,RTD("tos.rtd",,$A$2,"."&amp;R$2&amp;R$1&amp;"C"&amp;$A45))+IF(RTD("tos.rtd",,$A$2,"."&amp;R$2&amp;R$1&amp;"P"&amp;$A45)="N/A",0,RTD("tos.rtd",,$A$2,"."&amp;R$2&amp;R$1&amp;"P"&amp;$A45)),IF(RTD("tos.rtd",,$A$2,"."&amp;R$2&amp;R$1&amp;"C"&amp;$A45)="N/A",0,RTD("tos.rtd",,$A$2,"."&amp;R$2&amp;R$1&amp;"C"&amp;$A45))-IF(RTD("tos.rtd",,$A$2,"."&amp;R$2&amp;R$1&amp;"P"&amp;$A45)="N/A",0,RTD("tos.rtd",,$A$2,"."&amp;R$2&amp;R$1&amp;"P"&amp;$A45))))))))))</f>
        <v>0</v>
      </c>
      <c r="S45" s="12">
        <f ca="1">IF($A$2="PREMIUM_OI",IFERROR(IF($X$1="ABS",(100*RTD("tos.rtd",,"OPEN_INT","."&amp;S$2&amp;S$1&amp;"C"&amp;$A45)*RTD("tos.rtd",,"LAST","."&amp;S$2&amp;S$1&amp;"C"&amp;$A45)+100*RTD("tos.rtd",,"OPEN_INT","."&amp;S$2&amp;S$1&amp;"P"&amp;$A45)*RTD("tos.rtd",,"LAST","."&amp;S$2&amp;S$1&amp;"P"&amp;$A45))/1000000,(100*RTD("tos.rtd",,"OPEN_INT","."&amp;S$2&amp;S$1&amp;"C"&amp;$A45)*RTD("tos.rtd",,"LAST","."&amp;S$2&amp;S$1&amp;"C"&amp;$A45)-100*RTD("tos.rtd",,"OPEN_INT","."&amp;S$2&amp;S$1&amp;"P"&amp;$A45)*RTD("tos.rtd",,"LAST","."&amp;S$2&amp;S$1&amp;"P"&amp;$A45))/1000000),0),IF($A$2="PREMIUM",IFERROR(IF($X$1="ABS",(100*RTD("tos.rtd",,"VOLUME","."&amp;S$2&amp;S$1&amp;"C"&amp;$A45)*RTD("tos.rtd",,"LAST","."&amp;S$2&amp;S$1&amp;"C"&amp;$A45)+100*RTD("tos.rtd",,"VOLUME","."&amp;S$2&amp;S$1&amp;"P"&amp;$A45)*RTD("tos.rtd",,"LAST","."&amp;S$2&amp;S$1&amp;"P"&amp;$A45))/1000000,(100*RTD("tos.rtd",,"VOLUME","."&amp;S$2&amp;S$1&amp;"C"&amp;$A45)*RTD("tos.rtd",,"LAST","."&amp;S$2&amp;S$1&amp;"C"&amp;$A45)-100*RTD("tos.rtd",,"VOLUME","."&amp;S$2&amp;S$1&amp;"P"&amp;$A45)*RTD("tos.rtd",,"LAST","."&amp;S$2&amp;S$1&amp;"P"&amp;$A45))/1000000),0),IF($A$2="DEX",IFERROR(IF($X$1="ABS",(100*RTD("tos.rtd",,"OPEN_INT","."&amp;S$2&amp;S$1&amp;"C"&amp;$A45)*RTD("tos.rtd",,"DELTA","."&amp;S$2&amp;S$1&amp;"C"&amp;$A45)+100*RTD("tos.rtd",,"OPEN_INT","."&amp;S$2&amp;S$1&amp;"P"&amp;$A45)*RTD("tos.rtd",,"DELTA","."&amp;S$2&amp;S$1&amp;"P"&amp;$A45))/1000,(100*RTD("tos.rtd",,"OPEN_INT","."&amp;S$2&amp;S$1&amp;"C"&amp;$A45)*RTD("tos.rtd",,"DELTA","."&amp;S$2&amp;S$1&amp;"C"&amp;$A45)-100*RTD("tos.rtd",,"OPEN_INT","."&amp;S$2&amp;S$1&amp;"P"&amp;$A45)*RTD("tos.rtd",,"DELTA","."&amp;S$2&amp;S$1&amp;"P"&amp;$A45))/1000),0),IF($A$2="VEX",IFERROR(IF($X$1="ABS",($A$4*$A$4*RTD("tos.rtd",,"VOLUME","."&amp;S$2&amp;S$1&amp;"C"&amp;$A45)*RTD("tos.rtd",,"GAMMA","."&amp;S$2&amp;S$1&amp;"C"&amp;$A45)+$A$4*$A$4*RTD("tos.rtd",,"VOLUME","."&amp;S$2&amp;S$1&amp;"P"&amp;$A45)*RTD("tos.rtd",,"GAMMA","."&amp;S$2&amp;S$1&amp;"P"&amp;$A45))/1000000,($A$4*$A$4*RTD("tos.rtd",,"VOLUME","."&amp;S$2&amp;S$1&amp;"C"&amp;$A45)*RTD("tos.rtd",,"GAMMA","."&amp;S$2&amp;S$1&amp;"C"&amp;$A45)-$A$4*$A$4*RTD("tos.rtd",,"VOLUME","."&amp;S$2&amp;S$1&amp;"P"&amp;$A45)*RTD("tos.rtd",,"GAMMA","."&amp;S$2&amp;S$1&amp;"P"&amp;$A45))/1000000),0),IF($A$2="GEX",IFERROR(IF($X$1="ABS",($A$4*$A$4*RTD("tos.rtd",,"OPEN_INT","."&amp;S$2&amp;S$1&amp;"C"&amp;$A45)*RTD("tos.rtd",,"GAMMA","."&amp;S$2&amp;S$1&amp;"C"&amp;$A45)+$A$4*$A$4*RTD("tos.rtd",,"OPEN_INT","."&amp;S$2&amp;S$1&amp;"P"&amp;$A45)*RTD("tos.rtd",,"GAMMA","."&amp;S$2&amp;S$1&amp;"P"&amp;$A45))/1000000,($A$4*$A$4*RTD("tos.rtd",,"OPEN_INT","."&amp;S$2&amp;S$1&amp;"C"&amp;$A45)*RTD("tos.rtd",,"GAMMA","."&amp;S$2&amp;S$1&amp;"C"&amp;$A45)-$A$4*$A$4*RTD("tos.rtd",,"OPEN_INT","."&amp;S$2&amp;S$1&amp;"P"&amp;$A45)*RTD("tos.rtd",,"GAMMA","."&amp;S$2&amp;S$1&amp;"P"&amp;$A45))/1000000),0),IF($A$2="SKEW",IFERROR(VALUE(IF(RTD("tos.rtd",,"IMPL_VOL","."&amp;S$2&amp;S$1&amp;"P"&amp;$A45)="N/A",0,RTD("tos.rtd",,"IMPL_VOL","."&amp;S$2&amp;S$1&amp;"P"&amp;$A45))),0)-IFERROR(VALUE(IF(RTD("tos.rtd",,"IMPL_VOL","."&amp;S$2&amp;S$1&amp;"C"&amp;$A45)="N/A",0,RTD("tos.rtd",,"IMPL_VOL","."&amp;S$2&amp;S$1&amp;"C"&amp;$A45))),0),IF($A$2="MAXPAIN",IF($A$4&gt;$A45,($A$4-$A45)*IF(RTD("tos.rtd",,"OPEN_INT","."&amp;S$2&amp;S$1&amp;"C"&amp;$A45)="N/A",0,RTD("tos.rtd",,"OPEN_INT","."&amp;S$2&amp;S$1&amp;"C"&amp;$A45)),0)+IF($A$4&lt;$A45,($A$5-$A$4)*IF(RTD("tos.rtd",,"OPEN_INT","."&amp;S$2&amp;S$1&amp;"P"&amp;$A45)="N/A",0,RTD("tos.rtd",,"OPEN_INT","."&amp;S$2&amp;S$1&amp;"P"&amp;$A45)),0),IF($X$1="ABS",IF(RTD("tos.rtd",,$A$2,"."&amp;S$2&amp;S$1&amp;"C"&amp;$A45)="N/A",0,RTD("tos.rtd",,$A$2,"."&amp;S$2&amp;S$1&amp;"C"&amp;$A45))+IF(RTD("tos.rtd",,$A$2,"."&amp;S$2&amp;S$1&amp;"P"&amp;$A45)="N/A",0,RTD("tos.rtd",,$A$2,"."&amp;S$2&amp;S$1&amp;"P"&amp;$A45)),IF(RTD("tos.rtd",,$A$2,"."&amp;S$2&amp;S$1&amp;"C"&amp;$A45)="N/A",0,RTD("tos.rtd",,$A$2,"."&amp;S$2&amp;S$1&amp;"C"&amp;$A45))-IF(RTD("tos.rtd",,$A$2,"."&amp;S$2&amp;S$1&amp;"P"&amp;$A45)="N/A",0,RTD("tos.rtd",,$A$2,"."&amp;S$2&amp;S$1&amp;"P"&amp;$A45))))))))))</f>
        <v>0</v>
      </c>
      <c r="T45" s="12">
        <f ca="1">IF($A$2="PREMIUM_OI",IFERROR(IF($X$1="ABS",(100*RTD("tos.rtd",,"OPEN_INT","."&amp;T$2&amp;T$1&amp;"C"&amp;$A45)*RTD("tos.rtd",,"LAST","."&amp;T$2&amp;T$1&amp;"C"&amp;$A45)+100*RTD("tos.rtd",,"OPEN_INT","."&amp;T$2&amp;T$1&amp;"P"&amp;$A45)*RTD("tos.rtd",,"LAST","."&amp;T$2&amp;T$1&amp;"P"&amp;$A45))/1000000,(100*RTD("tos.rtd",,"OPEN_INT","."&amp;T$2&amp;T$1&amp;"C"&amp;$A45)*RTD("tos.rtd",,"LAST","."&amp;T$2&amp;T$1&amp;"C"&amp;$A45)-100*RTD("tos.rtd",,"OPEN_INT","."&amp;T$2&amp;T$1&amp;"P"&amp;$A45)*RTD("tos.rtd",,"LAST","."&amp;T$2&amp;T$1&amp;"P"&amp;$A45))/1000000),0),IF($A$2="PREMIUM",IFERROR(IF($X$1="ABS",(100*RTD("tos.rtd",,"VOLUME","."&amp;T$2&amp;T$1&amp;"C"&amp;$A45)*RTD("tos.rtd",,"LAST","."&amp;T$2&amp;T$1&amp;"C"&amp;$A45)+100*RTD("tos.rtd",,"VOLUME","."&amp;T$2&amp;T$1&amp;"P"&amp;$A45)*RTD("tos.rtd",,"LAST","."&amp;T$2&amp;T$1&amp;"P"&amp;$A45))/1000000,(100*RTD("tos.rtd",,"VOLUME","."&amp;T$2&amp;T$1&amp;"C"&amp;$A45)*RTD("tos.rtd",,"LAST","."&amp;T$2&amp;T$1&amp;"C"&amp;$A45)-100*RTD("tos.rtd",,"VOLUME","."&amp;T$2&amp;T$1&amp;"P"&amp;$A45)*RTD("tos.rtd",,"LAST","."&amp;T$2&amp;T$1&amp;"P"&amp;$A45))/1000000),0),IF($A$2="DEX",IFERROR(IF($X$1="ABS",(100*RTD("tos.rtd",,"OPEN_INT","."&amp;T$2&amp;T$1&amp;"C"&amp;$A45)*RTD("tos.rtd",,"DELTA","."&amp;T$2&amp;T$1&amp;"C"&amp;$A45)+100*RTD("tos.rtd",,"OPEN_INT","."&amp;T$2&amp;T$1&amp;"P"&amp;$A45)*RTD("tos.rtd",,"DELTA","."&amp;T$2&amp;T$1&amp;"P"&amp;$A45))/1000,(100*RTD("tos.rtd",,"OPEN_INT","."&amp;T$2&amp;T$1&amp;"C"&amp;$A45)*RTD("tos.rtd",,"DELTA","."&amp;T$2&amp;T$1&amp;"C"&amp;$A45)-100*RTD("tos.rtd",,"OPEN_INT","."&amp;T$2&amp;T$1&amp;"P"&amp;$A45)*RTD("tos.rtd",,"DELTA","."&amp;T$2&amp;T$1&amp;"P"&amp;$A45))/1000),0),IF($A$2="VEX",IFERROR(IF($X$1="ABS",($A$4*$A$4*RTD("tos.rtd",,"VOLUME","."&amp;T$2&amp;T$1&amp;"C"&amp;$A45)*RTD("tos.rtd",,"GAMMA","."&amp;T$2&amp;T$1&amp;"C"&amp;$A45)+$A$4*$A$4*RTD("tos.rtd",,"VOLUME","."&amp;T$2&amp;T$1&amp;"P"&amp;$A45)*RTD("tos.rtd",,"GAMMA","."&amp;T$2&amp;T$1&amp;"P"&amp;$A45))/1000000,($A$4*$A$4*RTD("tos.rtd",,"VOLUME","."&amp;T$2&amp;T$1&amp;"C"&amp;$A45)*RTD("tos.rtd",,"GAMMA","."&amp;T$2&amp;T$1&amp;"C"&amp;$A45)-$A$4*$A$4*RTD("tos.rtd",,"VOLUME","."&amp;T$2&amp;T$1&amp;"P"&amp;$A45)*RTD("tos.rtd",,"GAMMA","."&amp;T$2&amp;T$1&amp;"P"&amp;$A45))/1000000),0),IF($A$2="GEX",IFERROR(IF($X$1="ABS",($A$4*$A$4*RTD("tos.rtd",,"OPEN_INT","."&amp;T$2&amp;T$1&amp;"C"&amp;$A45)*RTD("tos.rtd",,"GAMMA","."&amp;T$2&amp;T$1&amp;"C"&amp;$A45)+$A$4*$A$4*RTD("tos.rtd",,"OPEN_INT","."&amp;T$2&amp;T$1&amp;"P"&amp;$A45)*RTD("tos.rtd",,"GAMMA","."&amp;T$2&amp;T$1&amp;"P"&amp;$A45))/1000000,($A$4*$A$4*RTD("tos.rtd",,"OPEN_INT","."&amp;T$2&amp;T$1&amp;"C"&amp;$A45)*RTD("tos.rtd",,"GAMMA","."&amp;T$2&amp;T$1&amp;"C"&amp;$A45)-$A$4*$A$4*RTD("tos.rtd",,"OPEN_INT","."&amp;T$2&amp;T$1&amp;"P"&amp;$A45)*RTD("tos.rtd",,"GAMMA","."&amp;T$2&amp;T$1&amp;"P"&amp;$A45))/1000000),0),IF($A$2="SKEW",IFERROR(VALUE(IF(RTD("tos.rtd",,"IMPL_VOL","."&amp;T$2&amp;T$1&amp;"P"&amp;$A45)="N/A",0,RTD("tos.rtd",,"IMPL_VOL","."&amp;T$2&amp;T$1&amp;"P"&amp;$A45))),0)-IFERROR(VALUE(IF(RTD("tos.rtd",,"IMPL_VOL","."&amp;T$2&amp;T$1&amp;"C"&amp;$A45)="N/A",0,RTD("tos.rtd",,"IMPL_VOL","."&amp;T$2&amp;T$1&amp;"C"&amp;$A45))),0),IF($A$2="MAXPAIN",IF($A$4&gt;$A45,($A$4-$A45)*IF(RTD("tos.rtd",,"OPEN_INT","."&amp;T$2&amp;T$1&amp;"C"&amp;$A45)="N/A",0,RTD("tos.rtd",,"OPEN_INT","."&amp;T$2&amp;T$1&amp;"C"&amp;$A45)),0)+IF($A$4&lt;$A45,($A$5-$A$4)*IF(RTD("tos.rtd",,"OPEN_INT","."&amp;T$2&amp;T$1&amp;"P"&amp;$A45)="N/A",0,RTD("tos.rtd",,"OPEN_INT","."&amp;T$2&amp;T$1&amp;"P"&amp;$A45)),0),IF($X$1="ABS",IF(RTD("tos.rtd",,$A$2,"."&amp;T$2&amp;T$1&amp;"C"&amp;$A45)="N/A",0,RTD("tos.rtd",,$A$2,"."&amp;T$2&amp;T$1&amp;"C"&amp;$A45))+IF(RTD("tos.rtd",,$A$2,"."&amp;T$2&amp;T$1&amp;"P"&amp;$A45)="N/A",0,RTD("tos.rtd",,$A$2,"."&amp;T$2&amp;T$1&amp;"P"&amp;$A45)),IF(RTD("tos.rtd",,$A$2,"."&amp;T$2&amp;T$1&amp;"C"&amp;$A45)="N/A",0,RTD("tos.rtd",,$A$2,"."&amp;T$2&amp;T$1&amp;"C"&amp;$A45))-IF(RTD("tos.rtd",,$A$2,"."&amp;T$2&amp;T$1&amp;"P"&amp;$A45)="N/A",0,RTD("tos.rtd",,$A$2,"."&amp;T$2&amp;T$1&amp;"P"&amp;$A45))))))))))</f>
        <v>0</v>
      </c>
      <c r="U45" s="12">
        <f ca="1">IF($A$2="PREMIUM_OI",IFERROR(IF($X$1="ABS",(100*RTD("tos.rtd",,"OPEN_INT","."&amp;U$2&amp;U$1&amp;"C"&amp;$A45)*RTD("tos.rtd",,"LAST","."&amp;U$2&amp;U$1&amp;"C"&amp;$A45)+100*RTD("tos.rtd",,"OPEN_INT","."&amp;U$2&amp;U$1&amp;"P"&amp;$A45)*RTD("tos.rtd",,"LAST","."&amp;U$2&amp;U$1&amp;"P"&amp;$A45))/1000000,(100*RTD("tos.rtd",,"OPEN_INT","."&amp;U$2&amp;U$1&amp;"C"&amp;$A45)*RTD("tos.rtd",,"LAST","."&amp;U$2&amp;U$1&amp;"C"&amp;$A45)-100*RTD("tos.rtd",,"OPEN_INT","."&amp;U$2&amp;U$1&amp;"P"&amp;$A45)*RTD("tos.rtd",,"LAST","."&amp;U$2&amp;U$1&amp;"P"&amp;$A45))/1000000),0),IF($A$2="PREMIUM",IFERROR(IF($X$1="ABS",(100*RTD("tos.rtd",,"VOLUME","."&amp;U$2&amp;U$1&amp;"C"&amp;$A45)*RTD("tos.rtd",,"LAST","."&amp;U$2&amp;U$1&amp;"C"&amp;$A45)+100*RTD("tos.rtd",,"VOLUME","."&amp;U$2&amp;U$1&amp;"P"&amp;$A45)*RTD("tos.rtd",,"LAST","."&amp;U$2&amp;U$1&amp;"P"&amp;$A45))/1000000,(100*RTD("tos.rtd",,"VOLUME","."&amp;U$2&amp;U$1&amp;"C"&amp;$A45)*RTD("tos.rtd",,"LAST","."&amp;U$2&amp;U$1&amp;"C"&amp;$A45)-100*RTD("tos.rtd",,"VOLUME","."&amp;U$2&amp;U$1&amp;"P"&amp;$A45)*RTD("tos.rtd",,"LAST","."&amp;U$2&amp;U$1&amp;"P"&amp;$A45))/1000000),0),IF($A$2="DEX",IFERROR(IF($X$1="ABS",(100*RTD("tos.rtd",,"OPEN_INT","."&amp;U$2&amp;U$1&amp;"C"&amp;$A45)*RTD("tos.rtd",,"DELTA","."&amp;U$2&amp;U$1&amp;"C"&amp;$A45)+100*RTD("tos.rtd",,"OPEN_INT","."&amp;U$2&amp;U$1&amp;"P"&amp;$A45)*RTD("tos.rtd",,"DELTA","."&amp;U$2&amp;U$1&amp;"P"&amp;$A45))/1000,(100*RTD("tos.rtd",,"OPEN_INT","."&amp;U$2&amp;U$1&amp;"C"&amp;$A45)*RTD("tos.rtd",,"DELTA","."&amp;U$2&amp;U$1&amp;"C"&amp;$A45)-100*RTD("tos.rtd",,"OPEN_INT","."&amp;U$2&amp;U$1&amp;"P"&amp;$A45)*RTD("tos.rtd",,"DELTA","."&amp;U$2&amp;U$1&amp;"P"&amp;$A45))/1000),0),IF($A$2="VEX",IFERROR(IF($X$1="ABS",($A$4*$A$4*RTD("tos.rtd",,"VOLUME","."&amp;U$2&amp;U$1&amp;"C"&amp;$A45)*RTD("tos.rtd",,"GAMMA","."&amp;U$2&amp;U$1&amp;"C"&amp;$A45)+$A$4*$A$4*RTD("tos.rtd",,"VOLUME","."&amp;U$2&amp;U$1&amp;"P"&amp;$A45)*RTD("tos.rtd",,"GAMMA","."&amp;U$2&amp;U$1&amp;"P"&amp;$A45))/1000000,($A$4*$A$4*RTD("tos.rtd",,"VOLUME","."&amp;U$2&amp;U$1&amp;"C"&amp;$A45)*RTD("tos.rtd",,"GAMMA","."&amp;U$2&amp;U$1&amp;"C"&amp;$A45)-$A$4*$A$4*RTD("tos.rtd",,"VOLUME","."&amp;U$2&amp;U$1&amp;"P"&amp;$A45)*RTD("tos.rtd",,"GAMMA","."&amp;U$2&amp;U$1&amp;"P"&amp;$A45))/1000000),0),IF($A$2="GEX",IFERROR(IF($X$1="ABS",($A$4*$A$4*RTD("tos.rtd",,"OPEN_INT","."&amp;U$2&amp;U$1&amp;"C"&amp;$A45)*RTD("tos.rtd",,"GAMMA","."&amp;U$2&amp;U$1&amp;"C"&amp;$A45)+$A$4*$A$4*RTD("tos.rtd",,"OPEN_INT","."&amp;U$2&amp;U$1&amp;"P"&amp;$A45)*RTD("tos.rtd",,"GAMMA","."&amp;U$2&amp;U$1&amp;"P"&amp;$A45))/1000000,($A$4*$A$4*RTD("tos.rtd",,"OPEN_INT","."&amp;U$2&amp;U$1&amp;"C"&amp;$A45)*RTD("tos.rtd",,"GAMMA","."&amp;U$2&amp;U$1&amp;"C"&amp;$A45)-$A$4*$A$4*RTD("tos.rtd",,"OPEN_INT","."&amp;U$2&amp;U$1&amp;"P"&amp;$A45)*RTD("tos.rtd",,"GAMMA","."&amp;U$2&amp;U$1&amp;"P"&amp;$A45))/1000000),0),IF($A$2="SKEW",IFERROR(VALUE(IF(RTD("tos.rtd",,"IMPL_VOL","."&amp;U$2&amp;U$1&amp;"P"&amp;$A45)="N/A",0,RTD("tos.rtd",,"IMPL_VOL","."&amp;U$2&amp;U$1&amp;"P"&amp;$A45))),0)-IFERROR(VALUE(IF(RTD("tos.rtd",,"IMPL_VOL","."&amp;U$2&amp;U$1&amp;"C"&amp;$A45)="N/A",0,RTD("tos.rtd",,"IMPL_VOL","."&amp;U$2&amp;U$1&amp;"C"&amp;$A45))),0),IF($A$2="MAXPAIN",IF($A$4&gt;$A45,($A$4-$A45)*IF(RTD("tos.rtd",,"OPEN_INT","."&amp;U$2&amp;U$1&amp;"C"&amp;$A45)="N/A",0,RTD("tos.rtd",,"OPEN_INT","."&amp;U$2&amp;U$1&amp;"C"&amp;$A45)),0)+IF($A$4&lt;$A45,($A$5-$A$4)*IF(RTD("tos.rtd",,"OPEN_INT","."&amp;U$2&amp;U$1&amp;"P"&amp;$A45)="N/A",0,RTD("tos.rtd",,"OPEN_INT","."&amp;U$2&amp;U$1&amp;"P"&amp;$A45)),0),IF($X$1="ABS",IF(RTD("tos.rtd",,$A$2,"."&amp;U$2&amp;U$1&amp;"C"&amp;$A45)="N/A",0,RTD("tos.rtd",,$A$2,"."&amp;U$2&amp;U$1&amp;"C"&amp;$A45))+IF(RTD("tos.rtd",,$A$2,"."&amp;U$2&amp;U$1&amp;"P"&amp;$A45)="N/A",0,RTD("tos.rtd",,$A$2,"."&amp;U$2&amp;U$1&amp;"P"&amp;$A45)),IF(RTD("tos.rtd",,$A$2,"."&amp;U$2&amp;U$1&amp;"C"&amp;$A45)="N/A",0,RTD("tos.rtd",,$A$2,"."&amp;U$2&amp;U$1&amp;"C"&amp;$A45))-IF(RTD("tos.rtd",,$A$2,"."&amp;U$2&amp;U$1&amp;"P"&amp;$A45)="N/A",0,RTD("tos.rtd",,$A$2,"."&amp;U$2&amp;U$1&amp;"P"&amp;$A45))))))))))</f>
        <v>0</v>
      </c>
      <c r="V45" s="12">
        <f ca="1">IF($A$2="PREMIUM_OI",IFERROR(IF($X$1="ABS",(100*RTD("tos.rtd",,"OPEN_INT","."&amp;V$2&amp;V$1&amp;"C"&amp;$A45)*RTD("tos.rtd",,"LAST","."&amp;V$2&amp;V$1&amp;"C"&amp;$A45)+100*RTD("tos.rtd",,"OPEN_INT","."&amp;V$2&amp;V$1&amp;"P"&amp;$A45)*RTD("tos.rtd",,"LAST","."&amp;V$2&amp;V$1&amp;"P"&amp;$A45))/1000000,(100*RTD("tos.rtd",,"OPEN_INT","."&amp;V$2&amp;V$1&amp;"C"&amp;$A45)*RTD("tos.rtd",,"LAST","."&amp;V$2&amp;V$1&amp;"C"&amp;$A45)-100*RTD("tos.rtd",,"OPEN_INT","."&amp;V$2&amp;V$1&amp;"P"&amp;$A45)*RTD("tos.rtd",,"LAST","."&amp;V$2&amp;V$1&amp;"P"&amp;$A45))/1000000),0),IF($A$2="PREMIUM",IFERROR(IF($X$1="ABS",(100*RTD("tos.rtd",,"VOLUME","."&amp;V$2&amp;V$1&amp;"C"&amp;$A45)*RTD("tos.rtd",,"LAST","."&amp;V$2&amp;V$1&amp;"C"&amp;$A45)+100*RTD("tos.rtd",,"VOLUME","."&amp;V$2&amp;V$1&amp;"P"&amp;$A45)*RTD("tos.rtd",,"LAST","."&amp;V$2&amp;V$1&amp;"P"&amp;$A45))/1000000,(100*RTD("tos.rtd",,"VOLUME","."&amp;V$2&amp;V$1&amp;"C"&amp;$A45)*RTD("tos.rtd",,"LAST","."&amp;V$2&amp;V$1&amp;"C"&amp;$A45)-100*RTD("tos.rtd",,"VOLUME","."&amp;V$2&amp;V$1&amp;"P"&amp;$A45)*RTD("tos.rtd",,"LAST","."&amp;V$2&amp;V$1&amp;"P"&amp;$A45))/1000000),0),IF($A$2="DEX",IFERROR(IF($X$1="ABS",(100*RTD("tos.rtd",,"OPEN_INT","."&amp;V$2&amp;V$1&amp;"C"&amp;$A45)*RTD("tos.rtd",,"DELTA","."&amp;V$2&amp;V$1&amp;"C"&amp;$A45)+100*RTD("tos.rtd",,"OPEN_INT","."&amp;V$2&amp;V$1&amp;"P"&amp;$A45)*RTD("tos.rtd",,"DELTA","."&amp;V$2&amp;V$1&amp;"P"&amp;$A45))/1000,(100*RTD("tos.rtd",,"OPEN_INT","."&amp;V$2&amp;V$1&amp;"C"&amp;$A45)*RTD("tos.rtd",,"DELTA","."&amp;V$2&amp;V$1&amp;"C"&amp;$A45)-100*RTD("tos.rtd",,"OPEN_INT","."&amp;V$2&amp;V$1&amp;"P"&amp;$A45)*RTD("tos.rtd",,"DELTA","."&amp;V$2&amp;V$1&amp;"P"&amp;$A45))/1000),0),IF($A$2="VEX",IFERROR(IF($X$1="ABS",($A$4*$A$4*RTD("tos.rtd",,"VOLUME","."&amp;V$2&amp;V$1&amp;"C"&amp;$A45)*RTD("tos.rtd",,"GAMMA","."&amp;V$2&amp;V$1&amp;"C"&amp;$A45)+$A$4*$A$4*RTD("tos.rtd",,"VOLUME","."&amp;V$2&amp;V$1&amp;"P"&amp;$A45)*RTD("tos.rtd",,"GAMMA","."&amp;V$2&amp;V$1&amp;"P"&amp;$A45))/1000000,($A$4*$A$4*RTD("tos.rtd",,"VOLUME","."&amp;V$2&amp;V$1&amp;"C"&amp;$A45)*RTD("tos.rtd",,"GAMMA","."&amp;V$2&amp;V$1&amp;"C"&amp;$A45)-$A$4*$A$4*RTD("tos.rtd",,"VOLUME","."&amp;V$2&amp;V$1&amp;"P"&amp;$A45)*RTD("tos.rtd",,"GAMMA","."&amp;V$2&amp;V$1&amp;"P"&amp;$A45))/1000000),0),IF($A$2="GEX",IFERROR(IF($X$1="ABS",($A$4*$A$4*RTD("tos.rtd",,"OPEN_INT","."&amp;V$2&amp;V$1&amp;"C"&amp;$A45)*RTD("tos.rtd",,"GAMMA","."&amp;V$2&amp;V$1&amp;"C"&amp;$A45)+$A$4*$A$4*RTD("tos.rtd",,"OPEN_INT","."&amp;V$2&amp;V$1&amp;"P"&amp;$A45)*RTD("tos.rtd",,"GAMMA","."&amp;V$2&amp;V$1&amp;"P"&amp;$A45))/1000000,($A$4*$A$4*RTD("tos.rtd",,"OPEN_INT","."&amp;V$2&amp;V$1&amp;"C"&amp;$A45)*RTD("tos.rtd",,"GAMMA","."&amp;V$2&amp;V$1&amp;"C"&amp;$A45)-$A$4*$A$4*RTD("tos.rtd",,"OPEN_INT","."&amp;V$2&amp;V$1&amp;"P"&amp;$A45)*RTD("tos.rtd",,"GAMMA","."&amp;V$2&amp;V$1&amp;"P"&amp;$A45))/1000000),0),IF($A$2="SKEW",IFERROR(VALUE(IF(RTD("tos.rtd",,"IMPL_VOL","."&amp;V$2&amp;V$1&amp;"P"&amp;$A45)="N/A",0,RTD("tos.rtd",,"IMPL_VOL","."&amp;V$2&amp;V$1&amp;"P"&amp;$A45))),0)-IFERROR(VALUE(IF(RTD("tos.rtd",,"IMPL_VOL","."&amp;V$2&amp;V$1&amp;"C"&amp;$A45)="N/A",0,RTD("tos.rtd",,"IMPL_VOL","."&amp;V$2&amp;V$1&amp;"C"&amp;$A45))),0),IF($A$2="MAXPAIN",IF($A$4&gt;$A45,($A$4-$A45)*IF(RTD("tos.rtd",,"OPEN_INT","."&amp;V$2&amp;V$1&amp;"C"&amp;$A45)="N/A",0,RTD("tos.rtd",,"OPEN_INT","."&amp;V$2&amp;V$1&amp;"C"&amp;$A45)),0)+IF($A$4&lt;$A45,($A$5-$A$4)*IF(RTD("tos.rtd",,"OPEN_INT","."&amp;V$2&amp;V$1&amp;"P"&amp;$A45)="N/A",0,RTD("tos.rtd",,"OPEN_INT","."&amp;V$2&amp;V$1&amp;"P"&amp;$A45)),0),IF($X$1="ABS",IF(RTD("tos.rtd",,$A$2,"."&amp;V$2&amp;V$1&amp;"C"&amp;$A45)="N/A",0,RTD("tos.rtd",,$A$2,"."&amp;V$2&amp;V$1&amp;"C"&amp;$A45))+IF(RTD("tos.rtd",,$A$2,"."&amp;V$2&amp;V$1&amp;"P"&amp;$A45)="N/A",0,RTD("tos.rtd",,$A$2,"."&amp;V$2&amp;V$1&amp;"P"&amp;$A45)),IF(RTD("tos.rtd",,$A$2,"."&amp;V$2&amp;V$1&amp;"C"&amp;$A45)="N/A",0,RTD("tos.rtd",,$A$2,"."&amp;V$2&amp;V$1&amp;"C"&amp;$A45))-IF(RTD("tos.rtd",,$A$2,"."&amp;V$2&amp;V$1&amp;"P"&amp;$A45)="N/A",0,RTD("tos.rtd",,$A$2,"."&amp;V$2&amp;V$1&amp;"P"&amp;$A45))))))))))</f>
        <v>0</v>
      </c>
      <c r="W45" s="54">
        <f ca="1">IF($A$2="PREMIUM_OI",IFERROR(IF($X$1="ABS",(100*RTD("tos.rtd",,"OPEN_INT","."&amp;W$2&amp;W$1&amp;"C"&amp;$A45)*RTD("tos.rtd",,"LAST","."&amp;W$2&amp;W$1&amp;"C"&amp;$A45)+100*RTD("tos.rtd",,"OPEN_INT","."&amp;W$2&amp;W$1&amp;"P"&amp;$A45)*RTD("tos.rtd",,"LAST","."&amp;W$2&amp;W$1&amp;"P"&amp;$A45))/1000000,(100*RTD("tos.rtd",,"OPEN_INT","."&amp;W$2&amp;W$1&amp;"C"&amp;$A45)*RTD("tos.rtd",,"LAST","."&amp;W$2&amp;W$1&amp;"C"&amp;$A45)-100*RTD("tos.rtd",,"OPEN_INT","."&amp;W$2&amp;W$1&amp;"P"&amp;$A45)*RTD("tos.rtd",,"LAST","."&amp;W$2&amp;W$1&amp;"P"&amp;$A45))/1000000),0),IF($A$2="PREMIUM",IFERROR(IF($X$1="ABS",(100*RTD("tos.rtd",,"VOLUME","."&amp;W$2&amp;W$1&amp;"C"&amp;$A45)*RTD("tos.rtd",,"LAST","."&amp;W$2&amp;W$1&amp;"C"&amp;$A45)+100*RTD("tos.rtd",,"VOLUME","."&amp;W$2&amp;W$1&amp;"P"&amp;$A45)*RTD("tos.rtd",,"LAST","."&amp;W$2&amp;W$1&amp;"P"&amp;$A45))/1000000,(100*RTD("tos.rtd",,"VOLUME","."&amp;W$2&amp;W$1&amp;"C"&amp;$A45)*RTD("tos.rtd",,"LAST","."&amp;W$2&amp;W$1&amp;"C"&amp;$A45)-100*RTD("tos.rtd",,"VOLUME","."&amp;W$2&amp;W$1&amp;"P"&amp;$A45)*RTD("tos.rtd",,"LAST","."&amp;W$2&amp;W$1&amp;"P"&amp;$A45))/1000000),0),IF($A$2="DEX",IFERROR(IF($X$1="ABS",(100*RTD("tos.rtd",,"OPEN_INT","."&amp;W$2&amp;W$1&amp;"C"&amp;$A45)*RTD("tos.rtd",,"DELTA","."&amp;W$2&amp;W$1&amp;"C"&amp;$A45)+100*RTD("tos.rtd",,"OPEN_INT","."&amp;W$2&amp;W$1&amp;"P"&amp;$A45)*RTD("tos.rtd",,"DELTA","."&amp;W$2&amp;W$1&amp;"P"&amp;$A45))/1000,(100*RTD("tos.rtd",,"OPEN_INT","."&amp;W$2&amp;W$1&amp;"C"&amp;$A45)*RTD("tos.rtd",,"DELTA","."&amp;W$2&amp;W$1&amp;"C"&amp;$A45)-100*RTD("tos.rtd",,"OPEN_INT","."&amp;W$2&amp;W$1&amp;"P"&amp;$A45)*RTD("tos.rtd",,"DELTA","."&amp;W$2&amp;W$1&amp;"P"&amp;$A45))/1000),0),IF($A$2="VEX",IFERROR(IF($X$1="ABS",($A$4*$A$4*RTD("tos.rtd",,"VOLUME","."&amp;W$2&amp;W$1&amp;"C"&amp;$A45)*RTD("tos.rtd",,"GAMMA","."&amp;W$2&amp;W$1&amp;"C"&amp;$A45)+$A$4*$A$4*RTD("tos.rtd",,"VOLUME","."&amp;W$2&amp;W$1&amp;"P"&amp;$A45)*RTD("tos.rtd",,"GAMMA","."&amp;W$2&amp;W$1&amp;"P"&amp;$A45))/1000000,($A$4*$A$4*RTD("tos.rtd",,"VOLUME","."&amp;W$2&amp;W$1&amp;"C"&amp;$A45)*RTD("tos.rtd",,"GAMMA","."&amp;W$2&amp;W$1&amp;"C"&amp;$A45)-$A$4*$A$4*RTD("tos.rtd",,"VOLUME","."&amp;W$2&amp;W$1&amp;"P"&amp;$A45)*RTD("tos.rtd",,"GAMMA","."&amp;W$2&amp;W$1&amp;"P"&amp;$A45))/1000000),0),IF($A$2="GEX",IFERROR(IF($X$1="ABS",($A$4*$A$4*RTD("tos.rtd",,"OPEN_INT","."&amp;W$2&amp;W$1&amp;"C"&amp;$A45)*RTD("tos.rtd",,"GAMMA","."&amp;W$2&amp;W$1&amp;"C"&amp;$A45)+$A$4*$A$4*RTD("tos.rtd",,"OPEN_INT","."&amp;W$2&amp;W$1&amp;"P"&amp;$A45)*RTD("tos.rtd",,"GAMMA","."&amp;W$2&amp;W$1&amp;"P"&amp;$A45))/1000000,($A$4*$A$4*RTD("tos.rtd",,"OPEN_INT","."&amp;W$2&amp;W$1&amp;"C"&amp;$A45)*RTD("tos.rtd",,"GAMMA","."&amp;W$2&amp;W$1&amp;"C"&amp;$A45)-$A$4*$A$4*RTD("tos.rtd",,"OPEN_INT","."&amp;W$2&amp;W$1&amp;"P"&amp;$A45)*RTD("tos.rtd",,"GAMMA","."&amp;W$2&amp;W$1&amp;"P"&amp;$A45))/1000000),0),IF($A$2="SKEW",IFERROR(VALUE(IF(RTD("tos.rtd",,"IMPL_VOL","."&amp;W$2&amp;W$1&amp;"P"&amp;$A45)="N/A",0,RTD("tos.rtd",,"IMPL_VOL","."&amp;W$2&amp;W$1&amp;"P"&amp;$A45))),0)-IFERROR(VALUE(IF(RTD("tos.rtd",,"IMPL_VOL","."&amp;W$2&amp;W$1&amp;"C"&amp;$A45)="N/A",0,RTD("tos.rtd",,"IMPL_VOL","."&amp;W$2&amp;W$1&amp;"C"&amp;$A45))),0),IF($A$2="MAXPAIN",IF($A$4&gt;$A45,($A$4-$A45)*IF(RTD("tos.rtd",,"OPEN_INT","."&amp;W$2&amp;W$1&amp;"C"&amp;$A45)="N/A",0,RTD("tos.rtd",,"OPEN_INT","."&amp;W$2&amp;W$1&amp;"C"&amp;$A45)),0)+IF($A$4&lt;$A45,($A$5-$A$4)*IF(RTD("tos.rtd",,"OPEN_INT","."&amp;W$2&amp;W$1&amp;"P"&amp;$A45)="N/A",0,RTD("tos.rtd",,"OPEN_INT","."&amp;W$2&amp;W$1&amp;"P"&amp;$A45)),0),IF($X$1="ABS",IF(RTD("tos.rtd",,$A$2,"."&amp;W$2&amp;W$1&amp;"C"&amp;$A45)="N/A",0,RTD("tos.rtd",,$A$2,"."&amp;W$2&amp;W$1&amp;"C"&amp;$A45))+IF(RTD("tos.rtd",,$A$2,"."&amp;W$2&amp;W$1&amp;"P"&amp;$A45)="N/A",0,RTD("tos.rtd",,$A$2,"."&amp;W$2&amp;W$1&amp;"P"&amp;$A45)),IF(RTD("tos.rtd",,$A$2,"."&amp;W$2&amp;W$1&amp;"C"&amp;$A45)="N/A",0,RTD("tos.rtd",,$A$2,"."&amp;W$2&amp;W$1&amp;"C"&amp;$A45))-IF(RTD("tos.rtd",,$A$2,"."&amp;W$2&amp;W$1&amp;"P"&amp;$A45)="N/A",0,RTD("tos.rtd",,$A$2,"."&amp;W$2&amp;W$1&amp;"P"&amp;$A45))))))))))</f>
        <v>0</v>
      </c>
      <c r="X45" s="57">
        <f t="shared" ca="1" si="8"/>
        <v>0</v>
      </c>
      <c r="Y45" s="27">
        <f t="shared" ca="1" si="9"/>
        <v>0</v>
      </c>
      <c r="Z45" s="27">
        <f ca="1">+'OI-VOL'!Y45</f>
        <v>-15104</v>
      </c>
      <c r="AA45" s="27" t="b">
        <f t="shared" ca="1" si="10"/>
        <v>0</v>
      </c>
      <c r="AB45" s="27">
        <f t="shared" si="11"/>
        <v>41397700</v>
      </c>
      <c r="AC45" s="18">
        <f>MAX(0, $A45-AC$4)*IF(RTD("tos.rtd",,"OPEN_INT","."&amp;$AB$3&amp;$AB$4&amp;"C"&amp;AC$4)="N/A",0,RTD("tos.rtd",,"OPEN_INT","."&amp;$AB$3&amp;$AB$4&amp;"C"&amp;AC$4))*100 + MAX(0, AC$4-$A45)*IF(RTD("tos.rtd",,"OPEN_INT","."&amp;$AB$3&amp;$AB$4&amp;"P"&amp;AC$4)="N/A",0,RTD("tos.rtd",,"OPEN_INT","."&amp;$AB$3&amp;$AB$4&amp;"P"&amp;AC$4))*100</f>
        <v>0</v>
      </c>
      <c r="AD45" s="18">
        <f>MAX(0, $A45-AD$4)*IF(RTD("tos.rtd",,"OPEN_INT","."&amp;$AB$3&amp;$AB$4&amp;"C"&amp;AD$4)="N/A",0,RTD("tos.rtd",,"OPEN_INT","."&amp;$AB$3&amp;$AB$4&amp;"C"&amp;AD$4))*100 + MAX(0, AD$4-$A45)*IF(RTD("tos.rtd",,"OPEN_INT","."&amp;$AB$3&amp;$AB$4&amp;"P"&amp;AD$4)="N/A",0,RTD("tos.rtd",,"OPEN_INT","."&amp;$AB$3&amp;$AB$4&amp;"P"&amp;AD$4))*100</f>
        <v>0</v>
      </c>
      <c r="AE45" s="18">
        <f>MAX(0, $A45-AE$4)*IF(RTD("tos.rtd",,"OPEN_INT","."&amp;$AB$3&amp;$AB$4&amp;"C"&amp;AE$4)="N/A",0,RTD("tos.rtd",,"OPEN_INT","."&amp;$AB$3&amp;$AB$4&amp;"C"&amp;AE$4))*100 + MAX(0, AE$4-$A45)*IF(RTD("tos.rtd",,"OPEN_INT","."&amp;$AB$3&amp;$AB$4&amp;"P"&amp;AE$4)="N/A",0,RTD("tos.rtd",,"OPEN_INT","."&amp;$AB$3&amp;$AB$4&amp;"P"&amp;AE$4))*100</f>
        <v>0</v>
      </c>
      <c r="AF45" s="18">
        <f>MAX(0, $A45-AF$4)*IF(RTD("tos.rtd",,"OPEN_INT","."&amp;$AB$3&amp;$AB$4&amp;"C"&amp;AF$4)="N/A",0,RTD("tos.rtd",,"OPEN_INT","."&amp;$AB$3&amp;$AB$4&amp;"C"&amp;AF$4))*100 + MAX(0, AF$4-$A45)*IF(RTD("tos.rtd",,"OPEN_INT","."&amp;$AB$3&amp;$AB$4&amp;"P"&amp;AF$4)="N/A",0,RTD("tos.rtd",,"OPEN_INT","."&amp;$AB$3&amp;$AB$4&amp;"P"&amp;AF$4))*100</f>
        <v>0</v>
      </c>
      <c r="AG45" s="18">
        <f>MAX(0, $A45-AG$4)*IF(RTD("tos.rtd",,"OPEN_INT","."&amp;$AB$3&amp;$AB$4&amp;"C"&amp;AG$4)="N/A",0,RTD("tos.rtd",,"OPEN_INT","."&amp;$AB$3&amp;$AB$4&amp;"C"&amp;AG$4))*100 + MAX(0, AG$4-$A45)*IF(RTD("tos.rtd",,"OPEN_INT","."&amp;$AB$3&amp;$AB$4&amp;"P"&amp;AG$4)="N/A",0,RTD("tos.rtd",,"OPEN_INT","."&amp;$AB$3&amp;$AB$4&amp;"P"&amp;AG$4))*100</f>
        <v>0</v>
      </c>
      <c r="AH45" s="18">
        <f>MAX(0, $A45-AH$4)*IF(RTD("tos.rtd",,"OPEN_INT","."&amp;$AB$3&amp;$AB$4&amp;"C"&amp;AH$4)="N/A",0,RTD("tos.rtd",,"OPEN_INT","."&amp;$AB$3&amp;$AB$4&amp;"C"&amp;AH$4))*100 + MAX(0, AH$4-$A45)*IF(RTD("tos.rtd",,"OPEN_INT","."&amp;$AB$3&amp;$AB$4&amp;"P"&amp;AH$4)="N/A",0,RTD("tos.rtd",,"OPEN_INT","."&amp;$AB$3&amp;$AB$4&amp;"P"&amp;AH$4))*100</f>
        <v>0</v>
      </c>
      <c r="AI45" s="18">
        <f>MAX(0, $A45-AI$4)*IF(RTD("tos.rtd",,"OPEN_INT","."&amp;$AB$3&amp;$AB$4&amp;"C"&amp;AI$4)="N/A",0,RTD("tos.rtd",,"OPEN_INT","."&amp;$AB$3&amp;$AB$4&amp;"C"&amp;AI$4))*100 + MAX(0, AI$4-$A45)*IF(RTD("tos.rtd",,"OPEN_INT","."&amp;$AB$3&amp;$AB$4&amp;"P"&amp;AI$4)="N/A",0,RTD("tos.rtd",,"OPEN_INT","."&amp;$AB$3&amp;$AB$4&amp;"P"&amp;AI$4))*100</f>
        <v>0</v>
      </c>
      <c r="AJ45" s="18">
        <f>MAX(0, $A45-AJ$4)*IF(RTD("tos.rtd",,"OPEN_INT","."&amp;$AB$3&amp;$AB$4&amp;"C"&amp;AJ$4)="N/A",0,RTD("tos.rtd",,"OPEN_INT","."&amp;$AB$3&amp;$AB$4&amp;"C"&amp;AJ$4))*100 + MAX(0, AJ$4-$A45)*IF(RTD("tos.rtd",,"OPEN_INT","."&amp;$AB$3&amp;$AB$4&amp;"P"&amp;AJ$4)="N/A",0,RTD("tos.rtd",,"OPEN_INT","."&amp;$AB$3&amp;$AB$4&amp;"P"&amp;AJ$4))*100</f>
        <v>4950</v>
      </c>
      <c r="AK45" s="18">
        <f>MAX(0, $A45-AK$4)*IF(RTD("tos.rtd",,"OPEN_INT","."&amp;$AB$3&amp;$AB$4&amp;"C"&amp;AK$4)="N/A",0,RTD("tos.rtd",,"OPEN_INT","."&amp;$AB$3&amp;$AB$4&amp;"C"&amp;AK$4))*100 + MAX(0, AK$4-$A45)*IF(RTD("tos.rtd",,"OPEN_INT","."&amp;$AB$3&amp;$AB$4&amp;"P"&amp;AK$4)="N/A",0,RTD("tos.rtd",,"OPEN_INT","."&amp;$AB$3&amp;$AB$4&amp;"P"&amp;AK$4))*100</f>
        <v>12800</v>
      </c>
      <c r="AL45" s="18">
        <f>MAX(0, $A45-AL$4)*IF(RTD("tos.rtd",,"OPEN_INT","."&amp;$AB$3&amp;$AB$4&amp;"C"&amp;AL$4)="N/A",0,RTD("tos.rtd",,"OPEN_INT","."&amp;$AB$3&amp;$AB$4&amp;"C"&amp;AL$4))*100 + MAX(0, AL$4-$A45)*IF(RTD("tos.rtd",,"OPEN_INT","."&amp;$AB$3&amp;$AB$4&amp;"P"&amp;AL$4)="N/A",0,RTD("tos.rtd",,"OPEN_INT","."&amp;$AB$3&amp;$AB$4&amp;"P"&amp;AL$4))*100</f>
        <v>0</v>
      </c>
      <c r="AM45" s="18">
        <f>MAX(0, $A45-AM$4)*IF(RTD("tos.rtd",,"OPEN_INT","."&amp;$AB$3&amp;$AB$4&amp;"C"&amp;AM$4)="N/A",0,RTD("tos.rtd",,"OPEN_INT","."&amp;$AB$3&amp;$AB$4&amp;"C"&amp;AM$4))*100 + MAX(0, AM$4-$A45)*IF(RTD("tos.rtd",,"OPEN_INT","."&amp;$AB$3&amp;$AB$4&amp;"P"&amp;AM$4)="N/A",0,RTD("tos.rtd",,"OPEN_INT","."&amp;$AB$3&amp;$AB$4&amp;"P"&amp;AM$4))*100</f>
        <v>0</v>
      </c>
      <c r="AN45" s="18">
        <f>MAX(0, $A45-AN$4)*IF(RTD("tos.rtd",,"OPEN_INT","."&amp;$AB$3&amp;$AB$4&amp;"C"&amp;AN$4)="N/A",0,RTD("tos.rtd",,"OPEN_INT","."&amp;$AB$3&amp;$AB$4&amp;"C"&amp;AN$4))*100 + MAX(0, AN$4-$A45)*IF(RTD("tos.rtd",,"OPEN_INT","."&amp;$AB$3&amp;$AB$4&amp;"P"&amp;AN$4)="N/A",0,RTD("tos.rtd",,"OPEN_INT","."&amp;$AB$3&amp;$AB$4&amp;"P"&amp;AN$4))*100</f>
        <v>0</v>
      </c>
      <c r="AO45" s="18">
        <f>MAX(0, $A45-AO$4)*IF(RTD("tos.rtd",,"OPEN_INT","."&amp;$AB$3&amp;$AB$4&amp;"C"&amp;AO$4)="N/A",0,RTD("tos.rtd",,"OPEN_INT","."&amp;$AB$3&amp;$AB$4&amp;"C"&amp;AO$4))*100 + MAX(0, AO$4-$A45)*IF(RTD("tos.rtd",,"OPEN_INT","."&amp;$AB$3&amp;$AB$4&amp;"P"&amp;AO$4)="N/A",0,RTD("tos.rtd",,"OPEN_INT","."&amp;$AB$3&amp;$AB$4&amp;"P"&amp;AO$4))*100</f>
        <v>0</v>
      </c>
      <c r="AP45" s="18">
        <f>MAX(0, $A45-AP$4)*IF(RTD("tos.rtd",,"OPEN_INT","."&amp;$AB$3&amp;$AB$4&amp;"C"&amp;AP$4)="N/A",0,RTD("tos.rtd",,"OPEN_INT","."&amp;$AB$3&amp;$AB$4&amp;"C"&amp;AP$4))*100 + MAX(0, AP$4-$A45)*IF(RTD("tos.rtd",,"OPEN_INT","."&amp;$AB$3&amp;$AB$4&amp;"P"&amp;AP$4)="N/A",0,RTD("tos.rtd",,"OPEN_INT","."&amp;$AB$3&amp;$AB$4&amp;"P"&amp;AP$4))*100</f>
        <v>162000</v>
      </c>
      <c r="AQ45" s="18">
        <f>MAX(0, $A45-AQ$4)*IF(RTD("tos.rtd",,"OPEN_INT","."&amp;$AB$3&amp;$AB$4&amp;"C"&amp;AQ$4)="N/A",0,RTD("tos.rtd",,"OPEN_INT","."&amp;$AB$3&amp;$AB$4&amp;"C"&amp;AQ$4))*100 + MAX(0, AQ$4-$A45)*IF(RTD("tos.rtd",,"OPEN_INT","."&amp;$AB$3&amp;$AB$4&amp;"P"&amp;AQ$4)="N/A",0,RTD("tos.rtd",,"OPEN_INT","."&amp;$AB$3&amp;$AB$4&amp;"P"&amp;AQ$4))*100</f>
        <v>0</v>
      </c>
      <c r="AR45" s="18">
        <f>MAX(0, $A45-AR$4)*IF(RTD("tos.rtd",,"OPEN_INT","."&amp;$AB$3&amp;$AB$4&amp;"C"&amp;AR$4)="N/A",0,RTD("tos.rtd",,"OPEN_INT","."&amp;$AB$3&amp;$AB$4&amp;"C"&amp;AR$4))*100 + MAX(0, AR$4-$A45)*IF(RTD("tos.rtd",,"OPEN_INT","."&amp;$AB$3&amp;$AB$4&amp;"P"&amp;AR$4)="N/A",0,RTD("tos.rtd",,"OPEN_INT","."&amp;$AB$3&amp;$AB$4&amp;"P"&amp;AR$4))*100</f>
        <v>66250</v>
      </c>
      <c r="AS45" s="18">
        <f>MAX(0, $A45-AS$4)*IF(RTD("tos.rtd",,"OPEN_INT","."&amp;$AB$3&amp;$AB$4&amp;"C"&amp;AS$4)="N/A",0,RTD("tos.rtd",,"OPEN_INT","."&amp;$AB$3&amp;$AB$4&amp;"C"&amp;AS$4))*100 + MAX(0, AS$4-$A45)*IF(RTD("tos.rtd",,"OPEN_INT","."&amp;$AB$3&amp;$AB$4&amp;"P"&amp;AS$4)="N/A",0,RTD("tos.rtd",,"OPEN_INT","."&amp;$AB$3&amp;$AB$4&amp;"P"&amp;AS$4))*100</f>
        <v>7200</v>
      </c>
      <c r="AT45" s="18">
        <f>MAX(0, $A45-AT$4)*IF(RTD("tos.rtd",,"OPEN_INT","."&amp;$AB$3&amp;$AB$4&amp;"C"&amp;AT$4)="N/A",0,RTD("tos.rtd",,"OPEN_INT","."&amp;$AB$3&amp;$AB$4&amp;"C"&amp;AT$4))*100 + MAX(0, AT$4-$A45)*IF(RTD("tos.rtd",,"OPEN_INT","."&amp;$AB$3&amp;$AB$4&amp;"P"&amp;AT$4)="N/A",0,RTD("tos.rtd",,"OPEN_INT","."&amp;$AB$3&amp;$AB$4&amp;"P"&amp;AT$4))*100</f>
        <v>71300</v>
      </c>
      <c r="AU45" s="18">
        <f>MAX(0, $A45-AU$4)*IF(RTD("tos.rtd",,"OPEN_INT","."&amp;$AB$3&amp;$AB$4&amp;"C"&amp;AU$4)="N/A",0,RTD("tos.rtd",,"OPEN_INT","."&amp;$AB$3&amp;$AB$4&amp;"C"&amp;AU$4))*100 + MAX(0, AU$4-$A45)*IF(RTD("tos.rtd",,"OPEN_INT","."&amp;$AB$3&amp;$AB$4&amp;"P"&amp;AU$4)="N/A",0,RTD("tos.rtd",,"OPEN_INT","."&amp;$AB$3&amp;$AB$4&amp;"P"&amp;AU$4))*100</f>
        <v>77000</v>
      </c>
      <c r="AV45" s="18">
        <f>MAX(0, $A45-AV$4)*IF(RTD("tos.rtd",,"OPEN_INT","."&amp;$AB$3&amp;$AB$4&amp;"C"&amp;AV$4)="N/A",0,RTD("tos.rtd",,"OPEN_INT","."&amp;$AB$3&amp;$AB$4&amp;"C"&amp;AV$4))*100 + MAX(0, AV$4-$A45)*IF(RTD("tos.rtd",,"OPEN_INT","."&amp;$AB$3&amp;$AB$4&amp;"P"&amp;AV$4)="N/A",0,RTD("tos.rtd",,"OPEN_INT","."&amp;$AB$3&amp;$AB$4&amp;"P"&amp;AV$4))*100</f>
        <v>42000</v>
      </c>
      <c r="AW45" s="18">
        <f>MAX(0, $A45-AW$4)*IF(RTD("tos.rtd",,"OPEN_INT","."&amp;$AB$3&amp;$AB$4&amp;"C"&amp;AW$4)="N/A",0,RTD("tos.rtd",,"OPEN_INT","."&amp;$AB$3&amp;$AB$4&amp;"C"&amp;AW$4))*100 + MAX(0, AW$4-$A45)*IF(RTD("tos.rtd",,"OPEN_INT","."&amp;$AB$3&amp;$AB$4&amp;"P"&amp;AW$4)="N/A",0,RTD("tos.rtd",,"OPEN_INT","."&amp;$AB$3&amp;$AB$4&amp;"P"&amp;AW$4))*100</f>
        <v>161000</v>
      </c>
      <c r="AX45" s="18">
        <f>MAX(0, $A45-AX$4)*IF(RTD("tos.rtd",,"OPEN_INT","."&amp;$AB$3&amp;$AB$4&amp;"C"&amp;AX$4)="N/A",0,RTD("tos.rtd",,"OPEN_INT","."&amp;$AB$3&amp;$AB$4&amp;"C"&amp;AX$4))*100 + MAX(0, AX$4-$A45)*IF(RTD("tos.rtd",,"OPEN_INT","."&amp;$AB$3&amp;$AB$4&amp;"P"&amp;AX$4)="N/A",0,RTD("tos.rtd",,"OPEN_INT","."&amp;$AB$3&amp;$AB$4&amp;"P"&amp;AX$4))*100</f>
        <v>191900</v>
      </c>
      <c r="AY45" s="18">
        <f>MAX(0, $A45-AY$4)*IF(RTD("tos.rtd",,"OPEN_INT","."&amp;$AB$3&amp;$AB$4&amp;"C"&amp;AY$4)="N/A",0,RTD("tos.rtd",,"OPEN_INT","."&amp;$AB$3&amp;$AB$4&amp;"C"&amp;AY$4))*100 + MAX(0, AY$4-$A45)*IF(RTD("tos.rtd",,"OPEN_INT","."&amp;$AB$3&amp;$AB$4&amp;"P"&amp;AY$4)="N/A",0,RTD("tos.rtd",,"OPEN_INT","."&amp;$AB$3&amp;$AB$4&amp;"P"&amp;AY$4))*100</f>
        <v>222300</v>
      </c>
      <c r="AZ45" s="18">
        <f>MAX(0, $A45-AZ$4)*IF(RTD("tos.rtd",,"OPEN_INT","."&amp;$AB$3&amp;$AB$4&amp;"C"&amp;AZ$4)="N/A",0,RTD("tos.rtd",,"OPEN_INT","."&amp;$AB$3&amp;$AB$4&amp;"C"&amp;AZ$4))*100 + MAX(0, AZ$4-$A45)*IF(RTD("tos.rtd",,"OPEN_INT","."&amp;$AB$3&amp;$AB$4&amp;"P"&amp;AZ$4)="N/A",0,RTD("tos.rtd",,"OPEN_INT","."&amp;$AB$3&amp;$AB$4&amp;"P"&amp;AZ$4))*100</f>
        <v>1762900</v>
      </c>
      <c r="BA45" s="18">
        <f>MAX(0, $A45-BA$4)*IF(RTD("tos.rtd",,"OPEN_INT","."&amp;$AB$3&amp;$AB$4&amp;"C"&amp;BA$4)="N/A",0,RTD("tos.rtd",,"OPEN_INT","."&amp;$AB$3&amp;$AB$4&amp;"C"&amp;BA$4))*100 + MAX(0, BA$4-$A45)*IF(RTD("tos.rtd",,"OPEN_INT","."&amp;$AB$3&amp;$AB$4&amp;"P"&amp;BA$4)="N/A",0,RTD("tos.rtd",,"OPEN_INT","."&amp;$AB$3&amp;$AB$4&amp;"P"&amp;BA$4))*100</f>
        <v>454400</v>
      </c>
      <c r="BB45" s="18">
        <f>MAX(0, $A45-BB$4)*IF(RTD("tos.rtd",,"OPEN_INT","."&amp;$AB$3&amp;$AB$4&amp;"C"&amp;BB$4)="N/A",0,RTD("tos.rtd",,"OPEN_INT","."&amp;$AB$3&amp;$AB$4&amp;"C"&amp;BB$4))*100 + MAX(0, BB$4-$A45)*IF(RTD("tos.rtd",,"OPEN_INT","."&amp;$AB$3&amp;$AB$4&amp;"P"&amp;BB$4)="N/A",0,RTD("tos.rtd",,"OPEN_INT","."&amp;$AB$3&amp;$AB$4&amp;"P"&amp;BB$4))*100</f>
        <v>1755000</v>
      </c>
      <c r="BC45" s="18">
        <f>MAX(0, $A45-BC$4)*IF(RTD("tos.rtd",,"OPEN_INT","."&amp;$AB$3&amp;$AB$4&amp;"C"&amp;BC$4)="N/A",0,RTD("tos.rtd",,"OPEN_INT","."&amp;$AB$3&amp;$AB$4&amp;"C"&amp;BC$4))*100 + MAX(0, BC$4-$A45)*IF(RTD("tos.rtd",,"OPEN_INT","."&amp;$AB$3&amp;$AB$4&amp;"P"&amp;BC$4)="N/A",0,RTD("tos.rtd",,"OPEN_INT","."&amp;$AB$3&amp;$AB$4&amp;"P"&amp;BC$4))*100</f>
        <v>1598800</v>
      </c>
      <c r="BD45" s="18">
        <f>MAX(0, $A45-BD$4)*IF(RTD("tos.rtd",,"OPEN_INT","."&amp;$AB$3&amp;$AB$4&amp;"C"&amp;BD$4)="N/A",0,RTD("tos.rtd",,"OPEN_INT","."&amp;$AB$3&amp;$AB$4&amp;"C"&amp;BD$4))*100 + MAX(0, BD$4-$A45)*IF(RTD("tos.rtd",,"OPEN_INT","."&amp;$AB$3&amp;$AB$4&amp;"P"&amp;BD$4)="N/A",0,RTD("tos.rtd",,"OPEN_INT","."&amp;$AB$3&amp;$AB$4&amp;"P"&amp;BD$4))*100</f>
        <v>4973150</v>
      </c>
      <c r="BE45" s="18">
        <f>MAX(0, $A45-BE$4)*IF(RTD("tos.rtd",,"OPEN_INT","."&amp;$AB$3&amp;$AB$4&amp;"C"&amp;BE$4)="N/A",0,RTD("tos.rtd",,"OPEN_INT","."&amp;$AB$3&amp;$AB$4&amp;"C"&amp;BE$4))*100 + MAX(0, BE$4-$A45)*IF(RTD("tos.rtd",,"OPEN_INT","."&amp;$AB$3&amp;$AB$4&amp;"P"&amp;BE$4)="N/A",0,RTD("tos.rtd",,"OPEN_INT","."&amp;$AB$3&amp;$AB$4&amp;"P"&amp;BE$4))*100</f>
        <v>5892600</v>
      </c>
      <c r="BF45" s="18">
        <f>MAX(0, $A45-BF$4)*IF(RTD("tos.rtd",,"OPEN_INT","."&amp;$AB$3&amp;$AB$4&amp;"C"&amp;BF$4)="N/A",0,RTD("tos.rtd",,"OPEN_INT","."&amp;$AB$3&amp;$AB$4&amp;"C"&amp;BF$4))*100 + MAX(0, BF$4-$A45)*IF(RTD("tos.rtd",,"OPEN_INT","."&amp;$AB$3&amp;$AB$4&amp;"P"&amp;BF$4)="N/A",0,RTD("tos.rtd",,"OPEN_INT","."&amp;$AB$3&amp;$AB$4&amp;"P"&amp;BF$4))*100</f>
        <v>6113800</v>
      </c>
      <c r="BG45" s="18">
        <f>MAX(0, $A45-BG$4)*IF(RTD("tos.rtd",,"OPEN_INT","."&amp;$AB$3&amp;$AB$4&amp;"C"&amp;BG$4)="N/A",0,RTD("tos.rtd",,"OPEN_INT","."&amp;$AB$3&amp;$AB$4&amp;"C"&amp;BG$4))*100 + MAX(0, BG$4-$A45)*IF(RTD("tos.rtd",,"OPEN_INT","."&amp;$AB$3&amp;$AB$4&amp;"P"&amp;BG$4)="N/A",0,RTD("tos.rtd",,"OPEN_INT","."&amp;$AB$3&amp;$AB$4&amp;"P"&amp;BG$4))*100</f>
        <v>6954500</v>
      </c>
      <c r="BH45" s="18">
        <f>MAX(0, $A45-BH$4)*IF(RTD("tos.rtd",,"OPEN_INT","."&amp;$AB$3&amp;$AB$4&amp;"C"&amp;BH$4)="N/A",0,RTD("tos.rtd",,"OPEN_INT","."&amp;$AB$3&amp;$AB$4&amp;"C"&amp;BH$4))*100 + MAX(0, BH$4-$A45)*IF(RTD("tos.rtd",,"OPEN_INT","."&amp;$AB$3&amp;$AB$4&amp;"P"&amp;BH$4)="N/A",0,RTD("tos.rtd",,"OPEN_INT","."&amp;$AB$3&amp;$AB$4&amp;"P"&amp;BH$4))*100</f>
        <v>4083750</v>
      </c>
      <c r="BI45" s="18">
        <f>MAX(0, $A45-BI$4)*IF(RTD("tos.rtd",,"OPEN_INT","."&amp;$AB$3&amp;$AB$4&amp;"C"&amp;BI$4)="N/A",0,RTD("tos.rtd",,"OPEN_INT","."&amp;$AB$3&amp;$AB$4&amp;"C"&amp;BI$4))*100 + MAX(0, BI$4-$A45)*IF(RTD("tos.rtd",,"OPEN_INT","."&amp;$AB$3&amp;$AB$4&amp;"P"&amp;BI$4)="N/A",0,RTD("tos.rtd",,"OPEN_INT","."&amp;$AB$3&amp;$AB$4&amp;"P"&amp;BI$4))*100</f>
        <v>2569200</v>
      </c>
      <c r="BJ45" s="18">
        <f>MAX(0, $A45-BJ$4)*IF(RTD("tos.rtd",,"OPEN_INT","."&amp;$AB$3&amp;$AB$4&amp;"C"&amp;BJ$4)="N/A",0,RTD("tos.rtd",,"OPEN_INT","."&amp;$AB$3&amp;$AB$4&amp;"C"&amp;BJ$4))*100 + MAX(0, BJ$4-$A45)*IF(RTD("tos.rtd",,"OPEN_INT","."&amp;$AB$3&amp;$AB$4&amp;"P"&amp;BJ$4)="N/A",0,RTD("tos.rtd",,"OPEN_INT","."&amp;$AB$3&amp;$AB$4&amp;"P"&amp;BJ$4))*100</f>
        <v>2808750</v>
      </c>
      <c r="BK45" s="18">
        <f>MAX(0, $A45-BK$4)*IF(RTD("tos.rtd",,"OPEN_INT","."&amp;$AB$3&amp;$AB$4&amp;"C"&amp;BK$4)="N/A",0,RTD("tos.rtd",,"OPEN_INT","."&amp;$AB$3&amp;$AB$4&amp;"C"&amp;BK$4))*100 + MAX(0, BK$4-$A45)*IF(RTD("tos.rtd",,"OPEN_INT","."&amp;$AB$3&amp;$AB$4&amp;"P"&amp;BK$4)="N/A",0,RTD("tos.rtd",,"OPEN_INT","."&amp;$AB$3&amp;$AB$4&amp;"P"&amp;BK$4))*100</f>
        <v>654900</v>
      </c>
      <c r="BL45" s="18">
        <f>MAX(0, $A45-BL$4)*IF(RTD("tos.rtd",,"OPEN_INT","."&amp;$AB$3&amp;$AB$4&amp;"C"&amp;BL$4)="N/A",0,RTD("tos.rtd",,"OPEN_INT","."&amp;$AB$3&amp;$AB$4&amp;"C"&amp;BL$4))*100 + MAX(0, BL$4-$A45)*IF(RTD("tos.rtd",,"OPEN_INT","."&amp;$AB$3&amp;$AB$4&amp;"P"&amp;BL$4)="N/A",0,RTD("tos.rtd",,"OPEN_INT","."&amp;$AB$3&amp;$AB$4&amp;"P"&amp;BL$4))*100</f>
        <v>585000</v>
      </c>
      <c r="BM45" s="18">
        <f>MAX(0, $A45-BM$4)*IF(RTD("tos.rtd",,"OPEN_INT","."&amp;$AB$3&amp;$AB$4&amp;"C"&amp;BM$4)="N/A",0,RTD("tos.rtd",,"OPEN_INT","."&amp;$AB$3&amp;$AB$4&amp;"C"&amp;BM$4))*100 + MAX(0, BM$4-$A45)*IF(RTD("tos.rtd",,"OPEN_INT","."&amp;$AB$3&amp;$AB$4&amp;"P"&amp;BM$4)="N/A",0,RTD("tos.rtd",,"OPEN_INT","."&amp;$AB$3&amp;$AB$4&amp;"P"&amp;BM$4))*100</f>
        <v>78400</v>
      </c>
      <c r="BN45" s="18">
        <f>MAX(0, $A45-BN$4)*IF(RTD("tos.rtd",,"OPEN_INT","."&amp;$AB$3&amp;$AB$4&amp;"C"&amp;BN$4)="N/A",0,RTD("tos.rtd",,"OPEN_INT","."&amp;$AB$3&amp;$AB$4&amp;"C"&amp;BN$4))*100 + MAX(0, BN$4-$A45)*IF(RTD("tos.rtd",,"OPEN_INT","."&amp;$AB$3&amp;$AB$4&amp;"P"&amp;BN$4)="N/A",0,RTD("tos.rtd",,"OPEN_INT","."&amp;$AB$3&amp;$AB$4&amp;"P"&amp;BN$4))*100</f>
        <v>65250</v>
      </c>
      <c r="BO45" s="18">
        <f>MAX(0, $A45-BO$4)*IF(RTD("tos.rtd",,"OPEN_INT","."&amp;$AB$3&amp;$AB$4&amp;"C"&amp;BO$4)="N/A",0,RTD("tos.rtd",,"OPEN_INT","."&amp;$AB$3&amp;$AB$4&amp;"C"&amp;BO$4))*100 + MAX(0, BO$4-$A45)*IF(RTD("tos.rtd",,"OPEN_INT","."&amp;$AB$3&amp;$AB$4&amp;"P"&amp;BO$4)="N/A",0,RTD("tos.rtd",,"OPEN_INT","."&amp;$AB$3&amp;$AB$4&amp;"P"&amp;BO$4))*100</f>
        <v>6300</v>
      </c>
      <c r="BP45" s="18">
        <f>MAX(0, $A45-BP$4)*IF(RTD("tos.rtd",,"OPEN_INT","."&amp;$AB$3&amp;$AB$4&amp;"C"&amp;BP$4)="N/A",0,RTD("tos.rtd",,"OPEN_INT","."&amp;$AB$3&amp;$AB$4&amp;"C"&amp;BP$4))*100 + MAX(0, BP$4-$A45)*IF(RTD("tos.rtd",,"OPEN_INT","."&amp;$AB$3&amp;$AB$4&amp;"P"&amp;BP$4)="N/A",0,RTD("tos.rtd",,"OPEN_INT","."&amp;$AB$3&amp;$AB$4&amp;"P"&amp;BP$4))*100</f>
        <v>22300</v>
      </c>
      <c r="BQ45" s="18">
        <f>MAX(0, $A45-BQ$4)*IF(RTD("tos.rtd",,"OPEN_INT","."&amp;$AB$3&amp;$AB$4&amp;"C"&amp;BQ$4)="N/A",0,RTD("tos.rtd",,"OPEN_INT","."&amp;$AB$3&amp;$AB$4&amp;"C"&amp;BQ$4))*100 + MAX(0, BQ$4-$A45)*IF(RTD("tos.rtd",,"OPEN_INT","."&amp;$AB$3&amp;$AB$4&amp;"P"&amp;BQ$4)="N/A",0,RTD("tos.rtd",,"OPEN_INT","."&amp;$AB$3&amp;$AB$4&amp;"P"&amp;BQ$4))*100</f>
        <v>0</v>
      </c>
      <c r="BR45" s="18">
        <f>MAX(0, $A45-BR$4)*IF(RTD("tos.rtd",,"OPEN_INT","."&amp;$AB$3&amp;$AB$4&amp;"C"&amp;BR$4)="N/A",0,RTD("tos.rtd",,"OPEN_INT","."&amp;$AB$3&amp;$AB$4&amp;"C"&amp;BR$4))*100 + MAX(0, BR$4-$A45)*IF(RTD("tos.rtd",,"OPEN_INT","."&amp;$AB$3&amp;$AB$4&amp;"P"&amp;BR$4)="N/A",0,RTD("tos.rtd",,"OPEN_INT","."&amp;$AB$3&amp;$AB$4&amp;"P"&amp;BR$4))*100</f>
        <v>0</v>
      </c>
      <c r="BS45" s="18">
        <f>MAX(0, $A45-BS$4)*IF(RTD("tos.rtd",,"OPEN_INT","."&amp;$AB$3&amp;$AB$4&amp;"C"&amp;BS$4)="N/A",0,RTD("tos.rtd",,"OPEN_INT","."&amp;$AB$3&amp;$AB$4&amp;"C"&amp;BS$4))*100 + MAX(0, BS$4-$A45)*IF(RTD("tos.rtd",,"OPEN_INT","."&amp;$AB$3&amp;$AB$4&amp;"P"&amp;BS$4)="N/A",0,RTD("tos.rtd",,"OPEN_INT","."&amp;$AB$3&amp;$AB$4&amp;"P"&amp;BS$4))*100</f>
        <v>0</v>
      </c>
      <c r="BT45" s="18">
        <f>MAX(0, $A45-BT$4)*IF(RTD("tos.rtd",,"OPEN_INT","."&amp;$AB$3&amp;$AB$4&amp;"C"&amp;BT$4)="N/A",0,RTD("tos.rtd",,"OPEN_INT","."&amp;$AB$3&amp;$AB$4&amp;"C"&amp;BT$4))*100 + MAX(0, BT$4-$A45)*IF(RTD("tos.rtd",,"OPEN_INT","."&amp;$AB$3&amp;$AB$4&amp;"P"&amp;BT$4)="N/A",0,RTD("tos.rtd",,"OPEN_INT","."&amp;$AB$3&amp;$AB$4&amp;"P"&amp;BT$4))*100</f>
        <v>0</v>
      </c>
      <c r="BU45" s="18">
        <f>MAX(0, $A45-BU$4)*IF(RTD("tos.rtd",,"OPEN_INT","."&amp;$AB$3&amp;$AB$4&amp;"C"&amp;BU$4)="N/A",0,RTD("tos.rtd",,"OPEN_INT","."&amp;$AB$3&amp;$AB$4&amp;"C"&amp;BU$4))*100 + MAX(0, BU$4-$A45)*IF(RTD("tos.rtd",,"OPEN_INT","."&amp;$AB$3&amp;$AB$4&amp;"P"&amp;BU$4)="N/A",0,RTD("tos.rtd",,"OPEN_INT","."&amp;$AB$3&amp;$AB$4&amp;"P"&amp;BU$4))*100</f>
        <v>0</v>
      </c>
      <c r="BV45" s="18">
        <f>MAX(0, $A45-BV$4)*IF(RTD("tos.rtd",,"OPEN_INT","."&amp;$AB$3&amp;$AB$4&amp;"C"&amp;BV$4)="N/A",0,RTD("tos.rtd",,"OPEN_INT","."&amp;$AB$3&amp;$AB$4&amp;"C"&amp;BV$4))*100 + MAX(0, BV$4-$A45)*IF(RTD("tos.rtd",,"OPEN_INT","."&amp;$AB$3&amp;$AB$4&amp;"P"&amp;BV$4)="N/A",0,RTD("tos.rtd",,"OPEN_INT","."&amp;$AB$3&amp;$AB$4&amp;"P"&amp;BV$4))*100</f>
        <v>0</v>
      </c>
      <c r="BW45" s="18">
        <f>MAX(0, $A45-BW$4)*IF(RTD("tos.rtd",,"OPEN_INT","."&amp;$AB$3&amp;$AB$4&amp;"C"&amp;BW$4)="N/A",0,RTD("tos.rtd",,"OPEN_INT","."&amp;$AB$3&amp;$AB$4&amp;"C"&amp;BW$4))*100 + MAX(0, BW$4-$A45)*IF(RTD("tos.rtd",,"OPEN_INT","."&amp;$AB$3&amp;$AB$4&amp;"P"&amp;BW$4)="N/A",0,RTD("tos.rtd",,"OPEN_INT","."&amp;$AB$3&amp;$AB$4&amp;"P"&amp;BW$4))*100</f>
        <v>0</v>
      </c>
    </row>
    <row r="46" spans="1:75" s="19" customFormat="1" ht="11.1" customHeight="1" thickBot="1" x14ac:dyDescent="0.3">
      <c r="A46" s="23">
        <f t="shared" si="12"/>
        <v>1</v>
      </c>
      <c r="B46" s="14">
        <f ca="1">IF($A$2="PREMIUM_OI",IFERROR(IF($X$1="ABS",(100*RTD("tos.rtd",,"OPEN_INT","."&amp;B$2&amp;B$1&amp;"C"&amp;$A46)*RTD("tos.rtd",,"LAST","."&amp;B$2&amp;B$1&amp;"C"&amp;$A46)+100*RTD("tos.rtd",,"OPEN_INT","."&amp;B$2&amp;B$1&amp;"P"&amp;$A46)*RTD("tos.rtd",,"LAST","."&amp;B$2&amp;B$1&amp;"P"&amp;$A46))/1000000,(100*RTD("tos.rtd",,"OPEN_INT","."&amp;B$2&amp;B$1&amp;"C"&amp;$A46)*RTD("tos.rtd",,"LAST","."&amp;B$2&amp;B$1&amp;"C"&amp;$A46)-100*RTD("tos.rtd",,"OPEN_INT","."&amp;B$2&amp;B$1&amp;"P"&amp;$A46)*RTD("tos.rtd",,"LAST","."&amp;B$2&amp;B$1&amp;"P"&amp;$A46))/1000000),0),IF($A$2="PREMIUM",IFERROR(IF($X$1="ABS",(100*RTD("tos.rtd",,"VOLUME","."&amp;B$2&amp;B$1&amp;"C"&amp;$A46)*RTD("tos.rtd",,"LAST","."&amp;B$2&amp;B$1&amp;"C"&amp;$A46)+100*RTD("tos.rtd",,"VOLUME","."&amp;B$2&amp;B$1&amp;"P"&amp;$A46)*RTD("tos.rtd",,"LAST","."&amp;B$2&amp;B$1&amp;"P"&amp;$A46))/1000000,(100*RTD("tos.rtd",,"VOLUME","."&amp;B$2&amp;B$1&amp;"C"&amp;$A46)*RTD("tos.rtd",,"LAST","."&amp;B$2&amp;B$1&amp;"C"&amp;$A46)-100*RTD("tos.rtd",,"VOLUME","."&amp;B$2&amp;B$1&amp;"P"&amp;$A46)*RTD("tos.rtd",,"LAST","."&amp;B$2&amp;B$1&amp;"P"&amp;$A46))/1000000),0),IF($A$2="DEX",IFERROR(IF($X$1="ABS",(100*RTD("tos.rtd",,"OPEN_INT","."&amp;B$2&amp;B$1&amp;"C"&amp;$A46)*RTD("tos.rtd",,"DELTA","."&amp;B$2&amp;B$1&amp;"C"&amp;$A46)+100*RTD("tos.rtd",,"OPEN_INT","."&amp;B$2&amp;B$1&amp;"P"&amp;$A46)*RTD("tos.rtd",,"DELTA","."&amp;B$2&amp;B$1&amp;"P"&amp;$A46))/1000,(100*RTD("tos.rtd",,"OPEN_INT","."&amp;B$2&amp;B$1&amp;"C"&amp;$A46)*RTD("tos.rtd",,"DELTA","."&amp;B$2&amp;B$1&amp;"C"&amp;$A46)-100*RTD("tos.rtd",,"OPEN_INT","."&amp;B$2&amp;B$1&amp;"P"&amp;$A46)*RTD("tos.rtd",,"DELTA","."&amp;B$2&amp;B$1&amp;"P"&amp;$A46))/1000),0),IF($A$2="VEX",IFERROR(IF($X$1="ABS",($A$4*$A$4*RTD("tos.rtd",,"VOLUME","."&amp;B$2&amp;B$1&amp;"C"&amp;$A46)*RTD("tos.rtd",,"GAMMA","."&amp;B$2&amp;B$1&amp;"C"&amp;$A46)+$A$4*$A$4*RTD("tos.rtd",,"VOLUME","."&amp;B$2&amp;B$1&amp;"P"&amp;$A46)*RTD("tos.rtd",,"GAMMA","."&amp;B$2&amp;B$1&amp;"P"&amp;$A46))/1000000,($A$4*$A$4*RTD("tos.rtd",,"VOLUME","."&amp;B$2&amp;B$1&amp;"C"&amp;$A46)*RTD("tos.rtd",,"GAMMA","."&amp;B$2&amp;B$1&amp;"C"&amp;$A46)-$A$4*$A$4*RTD("tos.rtd",,"VOLUME","."&amp;B$2&amp;B$1&amp;"P"&amp;$A46)*RTD("tos.rtd",,"GAMMA","."&amp;B$2&amp;B$1&amp;"P"&amp;$A46))/1000000),0),IF($A$2="GEX",IFERROR(IF($X$1="ABS",($A$4*$A$4*RTD("tos.rtd",,"OPEN_INT","."&amp;B$2&amp;B$1&amp;"C"&amp;$A46)*RTD("tos.rtd",,"GAMMA","."&amp;B$2&amp;B$1&amp;"C"&amp;$A46)+$A$4*$A$4*RTD("tos.rtd",,"OPEN_INT","."&amp;B$2&amp;B$1&amp;"P"&amp;$A46)*RTD("tos.rtd",,"GAMMA","."&amp;B$2&amp;B$1&amp;"P"&amp;$A46))/1000000,($A$4*$A$4*RTD("tos.rtd",,"OPEN_INT","."&amp;B$2&amp;B$1&amp;"C"&amp;$A46)*RTD("tos.rtd",,"GAMMA","."&amp;B$2&amp;B$1&amp;"C"&amp;$A46)-$A$4*$A$4*RTD("tos.rtd",,"OPEN_INT","."&amp;B$2&amp;B$1&amp;"P"&amp;$A46)*RTD("tos.rtd",,"GAMMA","."&amp;B$2&amp;B$1&amp;"P"&amp;$A46))/1000000),0),IF($A$2="SKEW",IFERROR(VALUE(IF(RTD("tos.rtd",,"IMPL_VOL","."&amp;B$2&amp;B$1&amp;"P"&amp;$A46)="N/A",0,RTD("tos.rtd",,"IMPL_VOL","."&amp;B$2&amp;B$1&amp;"P"&amp;$A46))),0)-IFERROR(VALUE(IF(RTD("tos.rtd",,"IMPL_VOL","."&amp;B$2&amp;B$1&amp;"C"&amp;$A46)="N/A",0,RTD("tos.rtd",,"IMPL_VOL","."&amp;B$2&amp;B$1&amp;"C"&amp;$A46))),0),IF($A$2="MAXPAIN",IF($A$4&gt;$A46,($A$4-$A46)*IF(RTD("tos.rtd",,"OPEN_INT","."&amp;B$2&amp;B$1&amp;"C"&amp;$A46)="N/A",0,RTD("tos.rtd",,"OPEN_INT","."&amp;B$2&amp;B$1&amp;"C"&amp;$A46)),0)+IF($A$4&lt;$A46,($A$5-$A$4)*IF(RTD("tos.rtd",,"OPEN_INT","."&amp;B$2&amp;B$1&amp;"P"&amp;$A46)="N/A",0,RTD("tos.rtd",,"OPEN_INT","."&amp;B$2&amp;B$1&amp;"P"&amp;$A46)),0),IF($X$1="ABS",IF(RTD("tos.rtd",,$A$2,"."&amp;B$2&amp;B$1&amp;"C"&amp;$A46)="N/A",0,RTD("tos.rtd",,$A$2,"."&amp;B$2&amp;B$1&amp;"C"&amp;$A46))+IF(RTD("tos.rtd",,$A$2,"."&amp;B$2&amp;B$1&amp;"P"&amp;$A46)="N/A",0,RTD("tos.rtd",,$A$2,"."&amp;B$2&amp;B$1&amp;"P"&amp;$A46)),IF(RTD("tos.rtd",,$A$2,"."&amp;B$2&amp;B$1&amp;"C"&amp;$A46)="N/A",0,RTD("tos.rtd",,$A$2,"."&amp;B$2&amp;B$1&amp;"C"&amp;$A46))-IF(RTD("tos.rtd",,$A$2,"."&amp;B$2&amp;B$1&amp;"P"&amp;$A46)="N/A",0,RTD("tos.rtd",,$A$2,"."&amp;B$2&amp;B$1&amp;"P"&amp;$A46))))))))))</f>
        <v>0</v>
      </c>
      <c r="C46" s="14">
        <f ca="1">IF($A$2="PREMIUM_OI",IFERROR(IF($X$1="ABS",(100*RTD("tos.rtd",,"OPEN_INT","."&amp;C$2&amp;C$1&amp;"C"&amp;$A46)*RTD("tos.rtd",,"LAST","."&amp;C$2&amp;C$1&amp;"C"&amp;$A46)+100*RTD("tos.rtd",,"OPEN_INT","."&amp;C$2&amp;C$1&amp;"P"&amp;$A46)*RTD("tos.rtd",,"LAST","."&amp;C$2&amp;C$1&amp;"P"&amp;$A46))/1000000,(100*RTD("tos.rtd",,"OPEN_INT","."&amp;C$2&amp;C$1&amp;"C"&amp;$A46)*RTD("tos.rtd",,"LAST","."&amp;C$2&amp;C$1&amp;"C"&amp;$A46)-100*RTD("tos.rtd",,"OPEN_INT","."&amp;C$2&amp;C$1&amp;"P"&amp;$A46)*RTD("tos.rtd",,"LAST","."&amp;C$2&amp;C$1&amp;"P"&amp;$A46))/1000000),0),IF($A$2="PREMIUM",IFERROR(IF($X$1="ABS",(100*RTD("tos.rtd",,"VOLUME","."&amp;C$2&amp;C$1&amp;"C"&amp;$A46)*RTD("tos.rtd",,"LAST","."&amp;C$2&amp;C$1&amp;"C"&amp;$A46)+100*RTD("tos.rtd",,"VOLUME","."&amp;C$2&amp;C$1&amp;"P"&amp;$A46)*RTD("tos.rtd",,"LAST","."&amp;C$2&amp;C$1&amp;"P"&amp;$A46))/1000000,(100*RTD("tos.rtd",,"VOLUME","."&amp;C$2&amp;C$1&amp;"C"&amp;$A46)*RTD("tos.rtd",,"LAST","."&amp;C$2&amp;C$1&amp;"C"&amp;$A46)-100*RTD("tos.rtd",,"VOLUME","."&amp;C$2&amp;C$1&amp;"P"&amp;$A46)*RTD("tos.rtd",,"LAST","."&amp;C$2&amp;C$1&amp;"P"&amp;$A46))/1000000),0),IF($A$2="DEX",IFERROR(IF($X$1="ABS",(100*RTD("tos.rtd",,"OPEN_INT","."&amp;C$2&amp;C$1&amp;"C"&amp;$A46)*RTD("tos.rtd",,"DELTA","."&amp;C$2&amp;C$1&amp;"C"&amp;$A46)+100*RTD("tos.rtd",,"OPEN_INT","."&amp;C$2&amp;C$1&amp;"P"&amp;$A46)*RTD("tos.rtd",,"DELTA","."&amp;C$2&amp;C$1&amp;"P"&amp;$A46))/1000,(100*RTD("tos.rtd",,"OPEN_INT","."&amp;C$2&amp;C$1&amp;"C"&amp;$A46)*RTD("tos.rtd",,"DELTA","."&amp;C$2&amp;C$1&amp;"C"&amp;$A46)-100*RTD("tos.rtd",,"OPEN_INT","."&amp;C$2&amp;C$1&amp;"P"&amp;$A46)*RTD("tos.rtd",,"DELTA","."&amp;C$2&amp;C$1&amp;"P"&amp;$A46))/1000),0),IF($A$2="VEX",IFERROR(IF($X$1="ABS",($A$4*$A$4*RTD("tos.rtd",,"VOLUME","."&amp;C$2&amp;C$1&amp;"C"&amp;$A46)*RTD("tos.rtd",,"GAMMA","."&amp;C$2&amp;C$1&amp;"C"&amp;$A46)+$A$4*$A$4*RTD("tos.rtd",,"VOLUME","."&amp;C$2&amp;C$1&amp;"P"&amp;$A46)*RTD("tos.rtd",,"GAMMA","."&amp;C$2&amp;C$1&amp;"P"&amp;$A46))/1000000,($A$4*$A$4*RTD("tos.rtd",,"VOLUME","."&amp;C$2&amp;C$1&amp;"C"&amp;$A46)*RTD("tos.rtd",,"GAMMA","."&amp;C$2&amp;C$1&amp;"C"&amp;$A46)-$A$4*$A$4*RTD("tos.rtd",,"VOLUME","."&amp;C$2&amp;C$1&amp;"P"&amp;$A46)*RTD("tos.rtd",,"GAMMA","."&amp;C$2&amp;C$1&amp;"P"&amp;$A46))/1000000),0),IF($A$2="GEX",IFERROR(IF($X$1="ABS",($A$4*$A$4*RTD("tos.rtd",,"OPEN_INT","."&amp;C$2&amp;C$1&amp;"C"&amp;$A46)*RTD("tos.rtd",,"GAMMA","."&amp;C$2&amp;C$1&amp;"C"&amp;$A46)+$A$4*$A$4*RTD("tos.rtd",,"OPEN_INT","."&amp;C$2&amp;C$1&amp;"P"&amp;$A46)*RTD("tos.rtd",,"GAMMA","."&amp;C$2&amp;C$1&amp;"P"&amp;$A46))/1000000,($A$4*$A$4*RTD("tos.rtd",,"OPEN_INT","."&amp;C$2&amp;C$1&amp;"C"&amp;$A46)*RTD("tos.rtd",,"GAMMA","."&amp;C$2&amp;C$1&amp;"C"&amp;$A46)-$A$4*$A$4*RTD("tos.rtd",,"OPEN_INT","."&amp;C$2&amp;C$1&amp;"P"&amp;$A46)*RTD("tos.rtd",,"GAMMA","."&amp;C$2&amp;C$1&amp;"P"&amp;$A46))/1000000),0),IF($A$2="SKEW",IFERROR(VALUE(IF(RTD("tos.rtd",,"IMPL_VOL","."&amp;C$2&amp;C$1&amp;"P"&amp;$A46)="N/A",0,RTD("tos.rtd",,"IMPL_VOL","."&amp;C$2&amp;C$1&amp;"P"&amp;$A46))),0)-IFERROR(VALUE(IF(RTD("tos.rtd",,"IMPL_VOL","."&amp;C$2&amp;C$1&amp;"C"&amp;$A46)="N/A",0,RTD("tos.rtd",,"IMPL_VOL","."&amp;C$2&amp;C$1&amp;"C"&amp;$A46))),0),IF($A$2="MAXPAIN",IF($A$4&gt;$A46,($A$4-$A46)*IF(RTD("tos.rtd",,"OPEN_INT","."&amp;C$2&amp;C$1&amp;"C"&amp;$A46)="N/A",0,RTD("tos.rtd",,"OPEN_INT","."&amp;C$2&amp;C$1&amp;"C"&amp;$A46)),0)+IF($A$4&lt;$A46,($A$5-$A$4)*IF(RTD("tos.rtd",,"OPEN_INT","."&amp;C$2&amp;C$1&amp;"P"&amp;$A46)="N/A",0,RTD("tos.rtd",,"OPEN_INT","."&amp;C$2&amp;C$1&amp;"P"&amp;$A46)),0),IF($X$1="ABS",IF(RTD("tos.rtd",,$A$2,"."&amp;C$2&amp;C$1&amp;"C"&amp;$A46)="N/A",0,RTD("tos.rtd",,$A$2,"."&amp;C$2&amp;C$1&amp;"C"&amp;$A46))+IF(RTD("tos.rtd",,$A$2,"."&amp;C$2&amp;C$1&amp;"P"&amp;$A46)="N/A",0,RTD("tos.rtd",,$A$2,"."&amp;C$2&amp;C$1&amp;"P"&amp;$A46)),IF(RTD("tos.rtd",,$A$2,"."&amp;C$2&amp;C$1&amp;"C"&amp;$A46)="N/A",0,RTD("tos.rtd",,$A$2,"."&amp;C$2&amp;C$1&amp;"C"&amp;$A46))-IF(RTD("tos.rtd",,$A$2,"."&amp;C$2&amp;C$1&amp;"P"&amp;$A46)="N/A",0,RTD("tos.rtd",,$A$2,"."&amp;C$2&amp;C$1&amp;"P"&amp;$A46))))))))))</f>
        <v>0</v>
      </c>
      <c r="D46" s="12">
        <f ca="1">IF($A$2="PREMIUM_OI",IFERROR(IF($X$1="ABS",(100*RTD("tos.rtd",,"OPEN_INT","."&amp;D$2&amp;D$1&amp;"C"&amp;$A46)*RTD("tos.rtd",,"LAST","."&amp;D$2&amp;D$1&amp;"C"&amp;$A46)+100*RTD("tos.rtd",,"OPEN_INT","."&amp;D$2&amp;D$1&amp;"P"&amp;$A46)*RTD("tos.rtd",,"LAST","."&amp;D$2&amp;D$1&amp;"P"&amp;$A46))/1000000,(100*RTD("tos.rtd",,"OPEN_INT","."&amp;D$2&amp;D$1&amp;"C"&amp;$A46)*RTD("tos.rtd",,"LAST","."&amp;D$2&amp;D$1&amp;"C"&amp;$A46)-100*RTD("tos.rtd",,"OPEN_INT","."&amp;D$2&amp;D$1&amp;"P"&amp;$A46)*RTD("tos.rtd",,"LAST","."&amp;D$2&amp;D$1&amp;"P"&amp;$A46))/1000000),0),IF($A$2="PREMIUM",IFERROR(IF($X$1="ABS",(100*RTD("tos.rtd",,"VOLUME","."&amp;D$2&amp;D$1&amp;"C"&amp;$A46)*RTD("tos.rtd",,"LAST","."&amp;D$2&amp;D$1&amp;"C"&amp;$A46)+100*RTD("tos.rtd",,"VOLUME","."&amp;D$2&amp;D$1&amp;"P"&amp;$A46)*RTD("tos.rtd",,"LAST","."&amp;D$2&amp;D$1&amp;"P"&amp;$A46))/1000000,(100*RTD("tos.rtd",,"VOLUME","."&amp;D$2&amp;D$1&amp;"C"&amp;$A46)*RTD("tos.rtd",,"LAST","."&amp;D$2&amp;D$1&amp;"C"&amp;$A46)-100*RTD("tos.rtd",,"VOLUME","."&amp;D$2&amp;D$1&amp;"P"&amp;$A46)*RTD("tos.rtd",,"LAST","."&amp;D$2&amp;D$1&amp;"P"&amp;$A46))/1000000),0),IF($A$2="DEX",IFERROR(IF($X$1="ABS",(100*RTD("tos.rtd",,"OPEN_INT","."&amp;D$2&amp;D$1&amp;"C"&amp;$A46)*RTD("tos.rtd",,"DELTA","."&amp;D$2&amp;D$1&amp;"C"&amp;$A46)+100*RTD("tos.rtd",,"OPEN_INT","."&amp;D$2&amp;D$1&amp;"P"&amp;$A46)*RTD("tos.rtd",,"DELTA","."&amp;D$2&amp;D$1&amp;"P"&amp;$A46))/1000,(100*RTD("tos.rtd",,"OPEN_INT","."&amp;D$2&amp;D$1&amp;"C"&amp;$A46)*RTD("tos.rtd",,"DELTA","."&amp;D$2&amp;D$1&amp;"C"&amp;$A46)-100*RTD("tos.rtd",,"OPEN_INT","."&amp;D$2&amp;D$1&amp;"P"&amp;$A46)*RTD("tos.rtd",,"DELTA","."&amp;D$2&amp;D$1&amp;"P"&amp;$A46))/1000),0),IF($A$2="VEX",IFERROR(IF($X$1="ABS",($A$4*$A$4*RTD("tos.rtd",,"VOLUME","."&amp;D$2&amp;D$1&amp;"C"&amp;$A46)*RTD("tos.rtd",,"GAMMA","."&amp;D$2&amp;D$1&amp;"C"&amp;$A46)+$A$4*$A$4*RTD("tos.rtd",,"VOLUME","."&amp;D$2&amp;D$1&amp;"P"&amp;$A46)*RTD("tos.rtd",,"GAMMA","."&amp;D$2&amp;D$1&amp;"P"&amp;$A46))/1000000,($A$4*$A$4*RTD("tos.rtd",,"VOLUME","."&amp;D$2&amp;D$1&amp;"C"&amp;$A46)*RTD("tos.rtd",,"GAMMA","."&amp;D$2&amp;D$1&amp;"C"&amp;$A46)-$A$4*$A$4*RTD("tos.rtd",,"VOLUME","."&amp;D$2&amp;D$1&amp;"P"&amp;$A46)*RTD("tos.rtd",,"GAMMA","."&amp;D$2&amp;D$1&amp;"P"&amp;$A46))/1000000),0),IF($A$2="GEX",IFERROR(IF($X$1="ABS",($A$4*$A$4*RTD("tos.rtd",,"OPEN_INT","."&amp;D$2&amp;D$1&amp;"C"&amp;$A46)*RTD("tos.rtd",,"GAMMA","."&amp;D$2&amp;D$1&amp;"C"&amp;$A46)+$A$4*$A$4*RTD("tos.rtd",,"OPEN_INT","."&amp;D$2&amp;D$1&amp;"P"&amp;$A46)*RTD("tos.rtd",,"GAMMA","."&amp;D$2&amp;D$1&amp;"P"&amp;$A46))/1000000,($A$4*$A$4*RTD("tos.rtd",,"OPEN_INT","."&amp;D$2&amp;D$1&amp;"C"&amp;$A46)*RTD("tos.rtd",,"GAMMA","."&amp;D$2&amp;D$1&amp;"C"&amp;$A46)-$A$4*$A$4*RTD("tos.rtd",,"OPEN_INT","."&amp;D$2&amp;D$1&amp;"P"&amp;$A46)*RTD("tos.rtd",,"GAMMA","."&amp;D$2&amp;D$1&amp;"P"&amp;$A46))/1000000),0),IF($A$2="SKEW",IFERROR(VALUE(IF(RTD("tos.rtd",,"IMPL_VOL","."&amp;D$2&amp;D$1&amp;"P"&amp;$A46)="N/A",0,RTD("tos.rtd",,"IMPL_VOL","."&amp;D$2&amp;D$1&amp;"P"&amp;$A46))),0)-IFERROR(VALUE(IF(RTD("tos.rtd",,"IMPL_VOL","."&amp;D$2&amp;D$1&amp;"C"&amp;$A46)="N/A",0,RTD("tos.rtd",,"IMPL_VOL","."&amp;D$2&amp;D$1&amp;"C"&amp;$A46))),0),IF($A$2="MAXPAIN",IF($A$4&gt;$A46,($A$4-$A46)*IF(RTD("tos.rtd",,"OPEN_INT","."&amp;D$2&amp;D$1&amp;"C"&amp;$A46)="N/A",0,RTD("tos.rtd",,"OPEN_INT","."&amp;D$2&amp;D$1&amp;"C"&amp;$A46)),0)+IF($A$4&lt;$A46,($A$5-$A$4)*IF(RTD("tos.rtd",,"OPEN_INT","."&amp;D$2&amp;D$1&amp;"P"&amp;$A46)="N/A",0,RTD("tos.rtd",,"OPEN_INT","."&amp;D$2&amp;D$1&amp;"P"&amp;$A46)),0),IF($X$1="ABS",IF(RTD("tos.rtd",,$A$2,"."&amp;D$2&amp;D$1&amp;"C"&amp;$A46)="N/A",0,RTD("tos.rtd",,$A$2,"."&amp;D$2&amp;D$1&amp;"C"&amp;$A46))+IF(RTD("tos.rtd",,$A$2,"."&amp;D$2&amp;D$1&amp;"P"&amp;$A46)="N/A",0,RTD("tos.rtd",,$A$2,"."&amp;D$2&amp;D$1&amp;"P"&amp;$A46)),IF(RTD("tos.rtd",,$A$2,"."&amp;D$2&amp;D$1&amp;"C"&amp;$A46)="N/A",0,RTD("tos.rtd",,$A$2,"."&amp;D$2&amp;D$1&amp;"C"&amp;$A46))-IF(RTD("tos.rtd",,$A$2,"."&amp;D$2&amp;D$1&amp;"P"&amp;$A46)="N/A",0,RTD("tos.rtd",,$A$2,"."&amp;D$2&amp;D$1&amp;"P"&amp;$A46))))))))))</f>
        <v>0</v>
      </c>
      <c r="E46" s="12">
        <f ca="1">IF($A$2="PREMIUM_OI",IFERROR(IF($X$1="ABS",(100*RTD("tos.rtd",,"OPEN_INT","."&amp;E$2&amp;E$1&amp;"C"&amp;$A46)*RTD("tos.rtd",,"LAST","."&amp;E$2&amp;E$1&amp;"C"&amp;$A46)+100*RTD("tos.rtd",,"OPEN_INT","."&amp;E$2&amp;E$1&amp;"P"&amp;$A46)*RTD("tos.rtd",,"LAST","."&amp;E$2&amp;E$1&amp;"P"&amp;$A46))/1000000,(100*RTD("tos.rtd",,"OPEN_INT","."&amp;E$2&amp;E$1&amp;"C"&amp;$A46)*RTD("tos.rtd",,"LAST","."&amp;E$2&amp;E$1&amp;"C"&amp;$A46)-100*RTD("tos.rtd",,"OPEN_INT","."&amp;E$2&amp;E$1&amp;"P"&amp;$A46)*RTD("tos.rtd",,"LAST","."&amp;E$2&amp;E$1&amp;"P"&amp;$A46))/1000000),0),IF($A$2="PREMIUM",IFERROR(IF($X$1="ABS",(100*RTD("tos.rtd",,"VOLUME","."&amp;E$2&amp;E$1&amp;"C"&amp;$A46)*RTD("tos.rtd",,"LAST","."&amp;E$2&amp;E$1&amp;"C"&amp;$A46)+100*RTD("tos.rtd",,"VOLUME","."&amp;E$2&amp;E$1&amp;"P"&amp;$A46)*RTD("tos.rtd",,"LAST","."&amp;E$2&amp;E$1&amp;"P"&amp;$A46))/1000000,(100*RTD("tos.rtd",,"VOLUME","."&amp;E$2&amp;E$1&amp;"C"&amp;$A46)*RTD("tos.rtd",,"LAST","."&amp;E$2&amp;E$1&amp;"C"&amp;$A46)-100*RTD("tos.rtd",,"VOLUME","."&amp;E$2&amp;E$1&amp;"P"&amp;$A46)*RTD("tos.rtd",,"LAST","."&amp;E$2&amp;E$1&amp;"P"&amp;$A46))/1000000),0),IF($A$2="DEX",IFERROR(IF($X$1="ABS",(100*RTD("tos.rtd",,"OPEN_INT","."&amp;E$2&amp;E$1&amp;"C"&amp;$A46)*RTD("tos.rtd",,"DELTA","."&amp;E$2&amp;E$1&amp;"C"&amp;$A46)+100*RTD("tos.rtd",,"OPEN_INT","."&amp;E$2&amp;E$1&amp;"P"&amp;$A46)*RTD("tos.rtd",,"DELTA","."&amp;E$2&amp;E$1&amp;"P"&amp;$A46))/1000,(100*RTD("tos.rtd",,"OPEN_INT","."&amp;E$2&amp;E$1&amp;"C"&amp;$A46)*RTD("tos.rtd",,"DELTA","."&amp;E$2&amp;E$1&amp;"C"&amp;$A46)-100*RTD("tos.rtd",,"OPEN_INT","."&amp;E$2&amp;E$1&amp;"P"&amp;$A46)*RTD("tos.rtd",,"DELTA","."&amp;E$2&amp;E$1&amp;"P"&amp;$A46))/1000),0),IF($A$2="VEX",IFERROR(IF($X$1="ABS",($A$4*$A$4*RTD("tos.rtd",,"VOLUME","."&amp;E$2&amp;E$1&amp;"C"&amp;$A46)*RTD("tos.rtd",,"GAMMA","."&amp;E$2&amp;E$1&amp;"C"&amp;$A46)+$A$4*$A$4*RTD("tos.rtd",,"VOLUME","."&amp;E$2&amp;E$1&amp;"P"&amp;$A46)*RTD("tos.rtd",,"GAMMA","."&amp;E$2&amp;E$1&amp;"P"&amp;$A46))/1000000,($A$4*$A$4*RTD("tos.rtd",,"VOLUME","."&amp;E$2&amp;E$1&amp;"C"&amp;$A46)*RTD("tos.rtd",,"GAMMA","."&amp;E$2&amp;E$1&amp;"C"&amp;$A46)-$A$4*$A$4*RTD("tos.rtd",,"VOLUME","."&amp;E$2&amp;E$1&amp;"P"&amp;$A46)*RTD("tos.rtd",,"GAMMA","."&amp;E$2&amp;E$1&amp;"P"&amp;$A46))/1000000),0),IF($A$2="GEX",IFERROR(IF($X$1="ABS",($A$4*$A$4*RTD("tos.rtd",,"OPEN_INT","."&amp;E$2&amp;E$1&amp;"C"&amp;$A46)*RTD("tos.rtd",,"GAMMA","."&amp;E$2&amp;E$1&amp;"C"&amp;$A46)+$A$4*$A$4*RTD("tos.rtd",,"OPEN_INT","."&amp;E$2&amp;E$1&amp;"P"&amp;$A46)*RTD("tos.rtd",,"GAMMA","."&amp;E$2&amp;E$1&amp;"P"&amp;$A46))/1000000,($A$4*$A$4*RTD("tos.rtd",,"OPEN_INT","."&amp;E$2&amp;E$1&amp;"C"&amp;$A46)*RTD("tos.rtd",,"GAMMA","."&amp;E$2&amp;E$1&amp;"C"&amp;$A46)-$A$4*$A$4*RTD("tos.rtd",,"OPEN_INT","."&amp;E$2&amp;E$1&amp;"P"&amp;$A46)*RTD("tos.rtd",,"GAMMA","."&amp;E$2&amp;E$1&amp;"P"&amp;$A46))/1000000),0),IF($A$2="SKEW",IFERROR(VALUE(IF(RTD("tos.rtd",,"IMPL_VOL","."&amp;E$2&amp;E$1&amp;"P"&amp;$A46)="N/A",0,RTD("tos.rtd",,"IMPL_VOL","."&amp;E$2&amp;E$1&amp;"P"&amp;$A46))),0)-IFERROR(VALUE(IF(RTD("tos.rtd",,"IMPL_VOL","."&amp;E$2&amp;E$1&amp;"C"&amp;$A46)="N/A",0,RTD("tos.rtd",,"IMPL_VOL","."&amp;E$2&amp;E$1&amp;"C"&amp;$A46))),0),IF($A$2="MAXPAIN",IF($A$4&gt;$A46,($A$4-$A46)*IF(RTD("tos.rtd",,"OPEN_INT","."&amp;E$2&amp;E$1&amp;"C"&amp;$A46)="N/A",0,RTD("tos.rtd",,"OPEN_INT","."&amp;E$2&amp;E$1&amp;"C"&amp;$A46)),0)+IF($A$4&lt;$A46,($A$5-$A$4)*IF(RTD("tos.rtd",,"OPEN_INT","."&amp;E$2&amp;E$1&amp;"P"&amp;$A46)="N/A",0,RTD("tos.rtd",,"OPEN_INT","."&amp;E$2&amp;E$1&amp;"P"&amp;$A46)),0),IF($X$1="ABS",IF(RTD("tos.rtd",,$A$2,"."&amp;E$2&amp;E$1&amp;"C"&amp;$A46)="N/A",0,RTD("tos.rtd",,$A$2,"."&amp;E$2&amp;E$1&amp;"C"&amp;$A46))+IF(RTD("tos.rtd",,$A$2,"."&amp;E$2&amp;E$1&amp;"P"&amp;$A46)="N/A",0,RTD("tos.rtd",,$A$2,"."&amp;E$2&amp;E$1&amp;"P"&amp;$A46)),IF(RTD("tos.rtd",,$A$2,"."&amp;E$2&amp;E$1&amp;"C"&amp;$A46)="N/A",0,RTD("tos.rtd",,$A$2,"."&amp;E$2&amp;E$1&amp;"C"&amp;$A46))-IF(RTD("tos.rtd",,$A$2,"."&amp;E$2&amp;E$1&amp;"P"&amp;$A46)="N/A",0,RTD("tos.rtd",,$A$2,"."&amp;E$2&amp;E$1&amp;"P"&amp;$A46))))))))))</f>
        <v>0</v>
      </c>
      <c r="F46" s="12">
        <f ca="1">IF($A$2="PREMIUM_OI",IFERROR(IF($X$1="ABS",(100*RTD("tos.rtd",,"OPEN_INT","."&amp;F$2&amp;F$1&amp;"C"&amp;$A46)*RTD("tos.rtd",,"LAST","."&amp;F$2&amp;F$1&amp;"C"&amp;$A46)+100*RTD("tos.rtd",,"OPEN_INT","."&amp;F$2&amp;F$1&amp;"P"&amp;$A46)*RTD("tos.rtd",,"LAST","."&amp;F$2&amp;F$1&amp;"P"&amp;$A46))/1000000,(100*RTD("tos.rtd",,"OPEN_INT","."&amp;F$2&amp;F$1&amp;"C"&amp;$A46)*RTD("tos.rtd",,"LAST","."&amp;F$2&amp;F$1&amp;"C"&amp;$A46)-100*RTD("tos.rtd",,"OPEN_INT","."&amp;F$2&amp;F$1&amp;"P"&amp;$A46)*RTD("tos.rtd",,"LAST","."&amp;F$2&amp;F$1&amp;"P"&amp;$A46))/1000000),0),IF($A$2="PREMIUM",IFERROR(IF($X$1="ABS",(100*RTD("tos.rtd",,"VOLUME","."&amp;F$2&amp;F$1&amp;"C"&amp;$A46)*RTD("tos.rtd",,"LAST","."&amp;F$2&amp;F$1&amp;"C"&amp;$A46)+100*RTD("tos.rtd",,"VOLUME","."&amp;F$2&amp;F$1&amp;"P"&amp;$A46)*RTD("tos.rtd",,"LAST","."&amp;F$2&amp;F$1&amp;"P"&amp;$A46))/1000000,(100*RTD("tos.rtd",,"VOLUME","."&amp;F$2&amp;F$1&amp;"C"&amp;$A46)*RTD("tos.rtd",,"LAST","."&amp;F$2&amp;F$1&amp;"C"&amp;$A46)-100*RTD("tos.rtd",,"VOLUME","."&amp;F$2&amp;F$1&amp;"P"&amp;$A46)*RTD("tos.rtd",,"LAST","."&amp;F$2&amp;F$1&amp;"P"&amp;$A46))/1000000),0),IF($A$2="DEX",IFERROR(IF($X$1="ABS",(100*RTD("tos.rtd",,"OPEN_INT","."&amp;F$2&amp;F$1&amp;"C"&amp;$A46)*RTD("tos.rtd",,"DELTA","."&amp;F$2&amp;F$1&amp;"C"&amp;$A46)+100*RTD("tos.rtd",,"OPEN_INT","."&amp;F$2&amp;F$1&amp;"P"&amp;$A46)*RTD("tos.rtd",,"DELTA","."&amp;F$2&amp;F$1&amp;"P"&amp;$A46))/1000,(100*RTD("tos.rtd",,"OPEN_INT","."&amp;F$2&amp;F$1&amp;"C"&amp;$A46)*RTD("tos.rtd",,"DELTA","."&amp;F$2&amp;F$1&amp;"C"&amp;$A46)-100*RTD("tos.rtd",,"OPEN_INT","."&amp;F$2&amp;F$1&amp;"P"&amp;$A46)*RTD("tos.rtd",,"DELTA","."&amp;F$2&amp;F$1&amp;"P"&amp;$A46))/1000),0),IF($A$2="VEX",IFERROR(IF($X$1="ABS",($A$4*$A$4*RTD("tos.rtd",,"VOLUME","."&amp;F$2&amp;F$1&amp;"C"&amp;$A46)*RTD("tos.rtd",,"GAMMA","."&amp;F$2&amp;F$1&amp;"C"&amp;$A46)+$A$4*$A$4*RTD("tos.rtd",,"VOLUME","."&amp;F$2&amp;F$1&amp;"P"&amp;$A46)*RTD("tos.rtd",,"GAMMA","."&amp;F$2&amp;F$1&amp;"P"&amp;$A46))/1000000,($A$4*$A$4*RTD("tos.rtd",,"VOLUME","."&amp;F$2&amp;F$1&amp;"C"&amp;$A46)*RTD("tos.rtd",,"GAMMA","."&amp;F$2&amp;F$1&amp;"C"&amp;$A46)-$A$4*$A$4*RTD("tos.rtd",,"VOLUME","."&amp;F$2&amp;F$1&amp;"P"&amp;$A46)*RTD("tos.rtd",,"GAMMA","."&amp;F$2&amp;F$1&amp;"P"&amp;$A46))/1000000),0),IF($A$2="GEX",IFERROR(IF($X$1="ABS",($A$4*$A$4*RTD("tos.rtd",,"OPEN_INT","."&amp;F$2&amp;F$1&amp;"C"&amp;$A46)*RTD("tos.rtd",,"GAMMA","."&amp;F$2&amp;F$1&amp;"C"&amp;$A46)+$A$4*$A$4*RTD("tos.rtd",,"OPEN_INT","."&amp;F$2&amp;F$1&amp;"P"&amp;$A46)*RTD("tos.rtd",,"GAMMA","."&amp;F$2&amp;F$1&amp;"P"&amp;$A46))/1000000,($A$4*$A$4*RTD("tos.rtd",,"OPEN_INT","."&amp;F$2&amp;F$1&amp;"C"&amp;$A46)*RTD("tos.rtd",,"GAMMA","."&amp;F$2&amp;F$1&amp;"C"&amp;$A46)-$A$4*$A$4*RTD("tos.rtd",,"OPEN_INT","."&amp;F$2&amp;F$1&amp;"P"&amp;$A46)*RTD("tos.rtd",,"GAMMA","."&amp;F$2&amp;F$1&amp;"P"&amp;$A46))/1000000),0),IF($A$2="SKEW",IFERROR(VALUE(IF(RTD("tos.rtd",,"IMPL_VOL","."&amp;F$2&amp;F$1&amp;"P"&amp;$A46)="N/A",0,RTD("tos.rtd",,"IMPL_VOL","."&amp;F$2&amp;F$1&amp;"P"&amp;$A46))),0)-IFERROR(VALUE(IF(RTD("tos.rtd",,"IMPL_VOL","."&amp;F$2&amp;F$1&amp;"C"&amp;$A46)="N/A",0,RTD("tos.rtd",,"IMPL_VOL","."&amp;F$2&amp;F$1&amp;"C"&amp;$A46))),0),IF($A$2="MAXPAIN",IF($A$4&gt;$A46,($A$4-$A46)*IF(RTD("tos.rtd",,"OPEN_INT","."&amp;F$2&amp;F$1&amp;"C"&amp;$A46)="N/A",0,RTD("tos.rtd",,"OPEN_INT","."&amp;F$2&amp;F$1&amp;"C"&amp;$A46)),0)+IF($A$4&lt;$A46,($A$5-$A$4)*IF(RTD("tos.rtd",,"OPEN_INT","."&amp;F$2&amp;F$1&amp;"P"&amp;$A46)="N/A",0,RTD("tos.rtd",,"OPEN_INT","."&amp;F$2&amp;F$1&amp;"P"&amp;$A46)),0),IF($X$1="ABS",IF(RTD("tos.rtd",,$A$2,"."&amp;F$2&amp;F$1&amp;"C"&amp;$A46)="N/A",0,RTD("tos.rtd",,$A$2,"."&amp;F$2&amp;F$1&amp;"C"&amp;$A46))+IF(RTD("tos.rtd",,$A$2,"."&amp;F$2&amp;F$1&amp;"P"&amp;$A46)="N/A",0,RTD("tos.rtd",,$A$2,"."&amp;F$2&amp;F$1&amp;"P"&amp;$A46)),IF(RTD("tos.rtd",,$A$2,"."&amp;F$2&amp;F$1&amp;"C"&amp;$A46)="N/A",0,RTD("tos.rtd",,$A$2,"."&amp;F$2&amp;F$1&amp;"C"&amp;$A46))-IF(RTD("tos.rtd",,$A$2,"."&amp;F$2&amp;F$1&amp;"P"&amp;$A46)="N/A",0,RTD("tos.rtd",,$A$2,"."&amp;F$2&amp;F$1&amp;"P"&amp;$A46))))))))))</f>
        <v>0</v>
      </c>
      <c r="G46" s="54">
        <f ca="1">IF($A$2="PREMIUM_OI",IFERROR(IF($X$1="ABS",(100*RTD("tos.rtd",,"OPEN_INT","."&amp;G$2&amp;G$1&amp;"C"&amp;$A46)*RTD("tos.rtd",,"LAST","."&amp;G$2&amp;G$1&amp;"C"&amp;$A46)+100*RTD("tos.rtd",,"OPEN_INT","."&amp;G$2&amp;G$1&amp;"P"&amp;$A46)*RTD("tos.rtd",,"LAST","."&amp;G$2&amp;G$1&amp;"P"&amp;$A46))/1000000,(100*RTD("tos.rtd",,"OPEN_INT","."&amp;G$2&amp;G$1&amp;"C"&amp;$A46)*RTD("tos.rtd",,"LAST","."&amp;G$2&amp;G$1&amp;"C"&amp;$A46)-100*RTD("tos.rtd",,"OPEN_INT","."&amp;G$2&amp;G$1&amp;"P"&amp;$A46)*RTD("tos.rtd",,"LAST","."&amp;G$2&amp;G$1&amp;"P"&amp;$A46))/1000000),0),IF($A$2="PREMIUM",IFERROR(IF($X$1="ABS",(100*RTD("tos.rtd",,"VOLUME","."&amp;G$2&amp;G$1&amp;"C"&amp;$A46)*RTD("tos.rtd",,"LAST","."&amp;G$2&amp;G$1&amp;"C"&amp;$A46)+100*RTD("tos.rtd",,"VOLUME","."&amp;G$2&amp;G$1&amp;"P"&amp;$A46)*RTD("tos.rtd",,"LAST","."&amp;G$2&amp;G$1&amp;"P"&amp;$A46))/1000000,(100*RTD("tos.rtd",,"VOLUME","."&amp;G$2&amp;G$1&amp;"C"&amp;$A46)*RTD("tos.rtd",,"LAST","."&amp;G$2&amp;G$1&amp;"C"&amp;$A46)-100*RTD("tos.rtd",,"VOLUME","."&amp;G$2&amp;G$1&amp;"P"&amp;$A46)*RTD("tos.rtd",,"LAST","."&amp;G$2&amp;G$1&amp;"P"&amp;$A46))/1000000),0),IF($A$2="DEX",IFERROR(IF($X$1="ABS",(100*RTD("tos.rtd",,"OPEN_INT","."&amp;G$2&amp;G$1&amp;"C"&amp;$A46)*RTD("tos.rtd",,"DELTA","."&amp;G$2&amp;G$1&amp;"C"&amp;$A46)+100*RTD("tos.rtd",,"OPEN_INT","."&amp;G$2&amp;G$1&amp;"P"&amp;$A46)*RTD("tos.rtd",,"DELTA","."&amp;G$2&amp;G$1&amp;"P"&amp;$A46))/1000,(100*RTD("tos.rtd",,"OPEN_INT","."&amp;G$2&amp;G$1&amp;"C"&amp;$A46)*RTD("tos.rtd",,"DELTA","."&amp;G$2&amp;G$1&amp;"C"&amp;$A46)-100*RTD("tos.rtd",,"OPEN_INT","."&amp;G$2&amp;G$1&amp;"P"&amp;$A46)*RTD("tos.rtd",,"DELTA","."&amp;G$2&amp;G$1&amp;"P"&amp;$A46))/1000),0),IF($A$2="VEX",IFERROR(IF($X$1="ABS",($A$4*$A$4*RTD("tos.rtd",,"VOLUME","."&amp;G$2&amp;G$1&amp;"C"&amp;$A46)*RTD("tos.rtd",,"GAMMA","."&amp;G$2&amp;G$1&amp;"C"&amp;$A46)+$A$4*$A$4*RTD("tos.rtd",,"VOLUME","."&amp;G$2&amp;G$1&amp;"P"&amp;$A46)*RTD("tos.rtd",,"GAMMA","."&amp;G$2&amp;G$1&amp;"P"&amp;$A46))/1000000,($A$4*$A$4*RTD("tos.rtd",,"VOLUME","."&amp;G$2&amp;G$1&amp;"C"&amp;$A46)*RTD("tos.rtd",,"GAMMA","."&amp;G$2&amp;G$1&amp;"C"&amp;$A46)-$A$4*$A$4*RTD("tos.rtd",,"VOLUME","."&amp;G$2&amp;G$1&amp;"P"&amp;$A46)*RTD("tos.rtd",,"GAMMA","."&amp;G$2&amp;G$1&amp;"P"&amp;$A46))/1000000),0),IF($A$2="GEX",IFERROR(IF($X$1="ABS",($A$4*$A$4*RTD("tos.rtd",,"OPEN_INT","."&amp;G$2&amp;G$1&amp;"C"&amp;$A46)*RTD("tos.rtd",,"GAMMA","."&amp;G$2&amp;G$1&amp;"C"&amp;$A46)+$A$4*$A$4*RTD("tos.rtd",,"OPEN_INT","."&amp;G$2&amp;G$1&amp;"P"&amp;$A46)*RTD("tos.rtd",,"GAMMA","."&amp;G$2&amp;G$1&amp;"P"&amp;$A46))/1000000,($A$4*$A$4*RTD("tos.rtd",,"OPEN_INT","."&amp;G$2&amp;G$1&amp;"C"&amp;$A46)*RTD("tos.rtd",,"GAMMA","."&amp;G$2&amp;G$1&amp;"C"&amp;$A46)-$A$4*$A$4*RTD("tos.rtd",,"OPEN_INT","."&amp;G$2&amp;G$1&amp;"P"&amp;$A46)*RTD("tos.rtd",,"GAMMA","."&amp;G$2&amp;G$1&amp;"P"&amp;$A46))/1000000),0),IF($A$2="SKEW",IFERROR(VALUE(IF(RTD("tos.rtd",,"IMPL_VOL","."&amp;G$2&amp;G$1&amp;"P"&amp;$A46)="N/A",0,RTD("tos.rtd",,"IMPL_VOL","."&amp;G$2&amp;G$1&amp;"P"&amp;$A46))),0)-IFERROR(VALUE(IF(RTD("tos.rtd",,"IMPL_VOL","."&amp;G$2&amp;G$1&amp;"C"&amp;$A46)="N/A",0,RTD("tos.rtd",,"IMPL_VOL","."&amp;G$2&amp;G$1&amp;"C"&amp;$A46))),0),IF($A$2="MAXPAIN",IF($A$4&gt;$A46,($A$4-$A46)*IF(RTD("tos.rtd",,"OPEN_INT","."&amp;G$2&amp;G$1&amp;"C"&amp;$A46)="N/A",0,RTD("tos.rtd",,"OPEN_INT","."&amp;G$2&amp;G$1&amp;"C"&amp;$A46)),0)+IF($A$4&lt;$A46,($A$5-$A$4)*IF(RTD("tos.rtd",,"OPEN_INT","."&amp;G$2&amp;G$1&amp;"P"&amp;$A46)="N/A",0,RTD("tos.rtd",,"OPEN_INT","."&amp;G$2&amp;G$1&amp;"P"&amp;$A46)),0),IF($X$1="ABS",IF(RTD("tos.rtd",,$A$2,"."&amp;G$2&amp;G$1&amp;"C"&amp;$A46)="N/A",0,RTD("tos.rtd",,$A$2,"."&amp;G$2&amp;G$1&amp;"C"&amp;$A46))+IF(RTD("tos.rtd",,$A$2,"."&amp;G$2&amp;G$1&amp;"P"&amp;$A46)="N/A",0,RTD("tos.rtd",,$A$2,"."&amp;G$2&amp;G$1&amp;"P"&amp;$A46)),IF(RTD("tos.rtd",,$A$2,"."&amp;G$2&amp;G$1&amp;"C"&amp;$A46)="N/A",0,RTD("tos.rtd",,$A$2,"."&amp;G$2&amp;G$1&amp;"C"&amp;$A46))-IF(RTD("tos.rtd",,$A$2,"."&amp;G$2&amp;G$1&amp;"P"&amp;$A46)="N/A",0,RTD("tos.rtd",,$A$2,"."&amp;G$2&amp;G$1&amp;"P"&amp;$A46))))))))))</f>
        <v>0</v>
      </c>
      <c r="H46" s="14">
        <f ca="1">IF($A$2="PREMIUM_OI",IFERROR(IF($X$1="ABS",(100*RTD("tos.rtd",,"OPEN_INT","."&amp;H$2&amp;H$1&amp;"C"&amp;$A46)*RTD("tos.rtd",,"LAST","."&amp;H$2&amp;H$1&amp;"C"&amp;$A46)+100*RTD("tos.rtd",,"OPEN_INT","."&amp;H$2&amp;H$1&amp;"P"&amp;$A46)*RTD("tos.rtd",,"LAST","."&amp;H$2&amp;H$1&amp;"P"&amp;$A46))/1000000,(100*RTD("tos.rtd",,"OPEN_INT","."&amp;H$2&amp;H$1&amp;"C"&amp;$A46)*RTD("tos.rtd",,"LAST","."&amp;H$2&amp;H$1&amp;"C"&amp;$A46)-100*RTD("tos.rtd",,"OPEN_INT","."&amp;H$2&amp;H$1&amp;"P"&amp;$A46)*RTD("tos.rtd",,"LAST","."&amp;H$2&amp;H$1&amp;"P"&amp;$A46))/1000000),0),IF($A$2="PREMIUM",IFERROR(IF($X$1="ABS",(100*RTD("tos.rtd",,"VOLUME","."&amp;H$2&amp;H$1&amp;"C"&amp;$A46)*RTD("tos.rtd",,"LAST","."&amp;H$2&amp;H$1&amp;"C"&amp;$A46)+100*RTD("tos.rtd",,"VOLUME","."&amp;H$2&amp;H$1&amp;"P"&amp;$A46)*RTD("tos.rtd",,"LAST","."&amp;H$2&amp;H$1&amp;"P"&amp;$A46))/1000000,(100*RTD("tos.rtd",,"VOLUME","."&amp;H$2&amp;H$1&amp;"C"&amp;$A46)*RTD("tos.rtd",,"LAST","."&amp;H$2&amp;H$1&amp;"C"&amp;$A46)-100*RTD("tos.rtd",,"VOLUME","."&amp;H$2&amp;H$1&amp;"P"&amp;$A46)*RTD("tos.rtd",,"LAST","."&amp;H$2&amp;H$1&amp;"P"&amp;$A46))/1000000),0),IF($A$2="DEX",IFERROR(IF($X$1="ABS",(100*RTD("tos.rtd",,"OPEN_INT","."&amp;H$2&amp;H$1&amp;"C"&amp;$A46)*RTD("tos.rtd",,"DELTA","."&amp;H$2&amp;H$1&amp;"C"&amp;$A46)+100*RTD("tos.rtd",,"OPEN_INT","."&amp;H$2&amp;H$1&amp;"P"&amp;$A46)*RTD("tos.rtd",,"DELTA","."&amp;H$2&amp;H$1&amp;"P"&amp;$A46))/1000,(100*RTD("tos.rtd",,"OPEN_INT","."&amp;H$2&amp;H$1&amp;"C"&amp;$A46)*RTD("tos.rtd",,"DELTA","."&amp;H$2&amp;H$1&amp;"C"&amp;$A46)-100*RTD("tos.rtd",,"OPEN_INT","."&amp;H$2&amp;H$1&amp;"P"&amp;$A46)*RTD("tos.rtd",,"DELTA","."&amp;H$2&amp;H$1&amp;"P"&amp;$A46))/1000),0),IF($A$2="VEX",IFERROR(IF($X$1="ABS",($A$4*$A$4*RTD("tos.rtd",,"VOLUME","."&amp;H$2&amp;H$1&amp;"C"&amp;$A46)*RTD("tos.rtd",,"GAMMA","."&amp;H$2&amp;H$1&amp;"C"&amp;$A46)+$A$4*$A$4*RTD("tos.rtd",,"VOLUME","."&amp;H$2&amp;H$1&amp;"P"&amp;$A46)*RTD("tos.rtd",,"GAMMA","."&amp;H$2&amp;H$1&amp;"P"&amp;$A46))/1000000,($A$4*$A$4*RTD("tos.rtd",,"VOLUME","."&amp;H$2&amp;H$1&amp;"C"&amp;$A46)*RTD("tos.rtd",,"GAMMA","."&amp;H$2&amp;H$1&amp;"C"&amp;$A46)-$A$4*$A$4*RTD("tos.rtd",,"VOLUME","."&amp;H$2&amp;H$1&amp;"P"&amp;$A46)*RTD("tos.rtd",,"GAMMA","."&amp;H$2&amp;H$1&amp;"P"&amp;$A46))/1000000),0),IF($A$2="GEX",IFERROR(IF($X$1="ABS",($A$4*$A$4*RTD("tos.rtd",,"OPEN_INT","."&amp;H$2&amp;H$1&amp;"C"&amp;$A46)*RTD("tos.rtd",,"GAMMA","."&amp;H$2&amp;H$1&amp;"C"&amp;$A46)+$A$4*$A$4*RTD("tos.rtd",,"OPEN_INT","."&amp;H$2&amp;H$1&amp;"P"&amp;$A46)*RTD("tos.rtd",,"GAMMA","."&amp;H$2&amp;H$1&amp;"P"&amp;$A46))/1000000,($A$4*$A$4*RTD("tos.rtd",,"OPEN_INT","."&amp;H$2&amp;H$1&amp;"C"&amp;$A46)*RTD("tos.rtd",,"GAMMA","."&amp;H$2&amp;H$1&amp;"C"&amp;$A46)-$A$4*$A$4*RTD("tos.rtd",,"OPEN_INT","."&amp;H$2&amp;H$1&amp;"P"&amp;$A46)*RTD("tos.rtd",,"GAMMA","."&amp;H$2&amp;H$1&amp;"P"&amp;$A46))/1000000),0),IF($A$2="SKEW",IFERROR(VALUE(IF(RTD("tos.rtd",,"IMPL_VOL","."&amp;H$2&amp;H$1&amp;"P"&amp;$A46)="N/A",0,RTD("tos.rtd",,"IMPL_VOL","."&amp;H$2&amp;H$1&amp;"P"&amp;$A46))),0)-IFERROR(VALUE(IF(RTD("tos.rtd",,"IMPL_VOL","."&amp;H$2&amp;H$1&amp;"C"&amp;$A46)="N/A",0,RTD("tos.rtd",,"IMPL_VOL","."&amp;H$2&amp;H$1&amp;"C"&amp;$A46))),0),IF($A$2="MAXPAIN",IF($A$4&gt;$A46,($A$4-$A46)*IF(RTD("tos.rtd",,"OPEN_INT","."&amp;H$2&amp;H$1&amp;"C"&amp;$A46)="N/A",0,RTD("tos.rtd",,"OPEN_INT","."&amp;H$2&amp;H$1&amp;"C"&amp;$A46)),0)+IF($A$4&lt;$A46,($A$5-$A$4)*IF(RTD("tos.rtd",,"OPEN_INT","."&amp;H$2&amp;H$1&amp;"P"&amp;$A46)="N/A",0,RTD("tos.rtd",,"OPEN_INT","."&amp;H$2&amp;H$1&amp;"P"&amp;$A46)),0),IF($X$1="ABS",IF(RTD("tos.rtd",,$A$2,"."&amp;H$2&amp;H$1&amp;"C"&amp;$A46)="N/A",0,RTD("tos.rtd",,$A$2,"."&amp;H$2&amp;H$1&amp;"C"&amp;$A46))+IF(RTD("tos.rtd",,$A$2,"."&amp;H$2&amp;H$1&amp;"P"&amp;$A46)="N/A",0,RTD("tos.rtd",,$A$2,"."&amp;H$2&amp;H$1&amp;"P"&amp;$A46)),IF(RTD("tos.rtd",,$A$2,"."&amp;H$2&amp;H$1&amp;"C"&amp;$A46)="N/A",0,RTD("tos.rtd",,$A$2,"."&amp;H$2&amp;H$1&amp;"C"&amp;$A46))-IF(RTD("tos.rtd",,$A$2,"."&amp;H$2&amp;H$1&amp;"P"&amp;$A46)="N/A",0,RTD("tos.rtd",,$A$2,"."&amp;H$2&amp;H$1&amp;"P"&amp;$A46))))))))))</f>
        <v>0</v>
      </c>
      <c r="I46" s="12">
        <f ca="1">IF($A$2="PREMIUM_OI",IFERROR(IF($X$1="ABS",(100*RTD("tos.rtd",,"OPEN_INT","."&amp;I$2&amp;I$1&amp;"C"&amp;$A46)*RTD("tos.rtd",,"LAST","."&amp;I$2&amp;I$1&amp;"C"&amp;$A46)+100*RTD("tos.rtd",,"OPEN_INT","."&amp;I$2&amp;I$1&amp;"P"&amp;$A46)*RTD("tos.rtd",,"LAST","."&amp;I$2&amp;I$1&amp;"P"&amp;$A46))/1000000,(100*RTD("tos.rtd",,"OPEN_INT","."&amp;I$2&amp;I$1&amp;"C"&amp;$A46)*RTD("tos.rtd",,"LAST","."&amp;I$2&amp;I$1&amp;"C"&amp;$A46)-100*RTD("tos.rtd",,"OPEN_INT","."&amp;I$2&amp;I$1&amp;"P"&amp;$A46)*RTD("tos.rtd",,"LAST","."&amp;I$2&amp;I$1&amp;"P"&amp;$A46))/1000000),0),IF($A$2="PREMIUM",IFERROR(IF($X$1="ABS",(100*RTD("tos.rtd",,"VOLUME","."&amp;I$2&amp;I$1&amp;"C"&amp;$A46)*RTD("tos.rtd",,"LAST","."&amp;I$2&amp;I$1&amp;"C"&amp;$A46)+100*RTD("tos.rtd",,"VOLUME","."&amp;I$2&amp;I$1&amp;"P"&amp;$A46)*RTD("tos.rtd",,"LAST","."&amp;I$2&amp;I$1&amp;"P"&amp;$A46))/1000000,(100*RTD("tos.rtd",,"VOLUME","."&amp;I$2&amp;I$1&amp;"C"&amp;$A46)*RTD("tos.rtd",,"LAST","."&amp;I$2&amp;I$1&amp;"C"&amp;$A46)-100*RTD("tos.rtd",,"VOLUME","."&amp;I$2&amp;I$1&amp;"P"&amp;$A46)*RTD("tos.rtd",,"LAST","."&amp;I$2&amp;I$1&amp;"P"&amp;$A46))/1000000),0),IF($A$2="DEX",IFERROR(IF($X$1="ABS",(100*RTD("tos.rtd",,"OPEN_INT","."&amp;I$2&amp;I$1&amp;"C"&amp;$A46)*RTD("tos.rtd",,"DELTA","."&amp;I$2&amp;I$1&amp;"C"&amp;$A46)+100*RTD("tos.rtd",,"OPEN_INT","."&amp;I$2&amp;I$1&amp;"P"&amp;$A46)*RTD("tos.rtd",,"DELTA","."&amp;I$2&amp;I$1&amp;"P"&amp;$A46))/1000,(100*RTD("tos.rtd",,"OPEN_INT","."&amp;I$2&amp;I$1&amp;"C"&amp;$A46)*RTD("tos.rtd",,"DELTA","."&amp;I$2&amp;I$1&amp;"C"&amp;$A46)-100*RTD("tos.rtd",,"OPEN_INT","."&amp;I$2&amp;I$1&amp;"P"&amp;$A46)*RTD("tos.rtd",,"DELTA","."&amp;I$2&amp;I$1&amp;"P"&amp;$A46))/1000),0),IF($A$2="VEX",IFERROR(IF($X$1="ABS",($A$4*$A$4*RTD("tos.rtd",,"VOLUME","."&amp;I$2&amp;I$1&amp;"C"&amp;$A46)*RTD("tos.rtd",,"GAMMA","."&amp;I$2&amp;I$1&amp;"C"&amp;$A46)+$A$4*$A$4*RTD("tos.rtd",,"VOLUME","."&amp;I$2&amp;I$1&amp;"P"&amp;$A46)*RTD("tos.rtd",,"GAMMA","."&amp;I$2&amp;I$1&amp;"P"&amp;$A46))/1000000,($A$4*$A$4*RTD("tos.rtd",,"VOLUME","."&amp;I$2&amp;I$1&amp;"C"&amp;$A46)*RTD("tos.rtd",,"GAMMA","."&amp;I$2&amp;I$1&amp;"C"&amp;$A46)-$A$4*$A$4*RTD("tos.rtd",,"VOLUME","."&amp;I$2&amp;I$1&amp;"P"&amp;$A46)*RTD("tos.rtd",,"GAMMA","."&amp;I$2&amp;I$1&amp;"P"&amp;$A46))/1000000),0),IF($A$2="GEX",IFERROR(IF($X$1="ABS",($A$4*$A$4*RTD("tos.rtd",,"OPEN_INT","."&amp;I$2&amp;I$1&amp;"C"&amp;$A46)*RTD("tos.rtd",,"GAMMA","."&amp;I$2&amp;I$1&amp;"C"&amp;$A46)+$A$4*$A$4*RTD("tos.rtd",,"OPEN_INT","."&amp;I$2&amp;I$1&amp;"P"&amp;$A46)*RTD("tos.rtd",,"GAMMA","."&amp;I$2&amp;I$1&amp;"P"&amp;$A46))/1000000,($A$4*$A$4*RTD("tos.rtd",,"OPEN_INT","."&amp;I$2&amp;I$1&amp;"C"&amp;$A46)*RTD("tos.rtd",,"GAMMA","."&amp;I$2&amp;I$1&amp;"C"&amp;$A46)-$A$4*$A$4*RTD("tos.rtd",,"OPEN_INT","."&amp;I$2&amp;I$1&amp;"P"&amp;$A46)*RTD("tos.rtd",,"GAMMA","."&amp;I$2&amp;I$1&amp;"P"&amp;$A46))/1000000),0),IF($A$2="SKEW",IFERROR(VALUE(IF(RTD("tos.rtd",,"IMPL_VOL","."&amp;I$2&amp;I$1&amp;"P"&amp;$A46)="N/A",0,RTD("tos.rtd",,"IMPL_VOL","."&amp;I$2&amp;I$1&amp;"P"&amp;$A46))),0)-IFERROR(VALUE(IF(RTD("tos.rtd",,"IMPL_VOL","."&amp;I$2&amp;I$1&amp;"C"&amp;$A46)="N/A",0,RTD("tos.rtd",,"IMPL_VOL","."&amp;I$2&amp;I$1&amp;"C"&amp;$A46))),0),IF($A$2="MAXPAIN",IF($A$4&gt;$A46,($A$4-$A46)*IF(RTD("tos.rtd",,"OPEN_INT","."&amp;I$2&amp;I$1&amp;"C"&amp;$A46)="N/A",0,RTD("tos.rtd",,"OPEN_INT","."&amp;I$2&amp;I$1&amp;"C"&amp;$A46)),0)+IF($A$4&lt;$A46,($A$5-$A$4)*IF(RTD("tos.rtd",,"OPEN_INT","."&amp;I$2&amp;I$1&amp;"P"&amp;$A46)="N/A",0,RTD("tos.rtd",,"OPEN_INT","."&amp;I$2&amp;I$1&amp;"P"&amp;$A46)),0),IF($X$1="ABS",IF(RTD("tos.rtd",,$A$2,"."&amp;I$2&amp;I$1&amp;"C"&amp;$A46)="N/A",0,RTD("tos.rtd",,$A$2,"."&amp;I$2&amp;I$1&amp;"C"&amp;$A46))+IF(RTD("tos.rtd",,$A$2,"."&amp;I$2&amp;I$1&amp;"P"&amp;$A46)="N/A",0,RTD("tos.rtd",,$A$2,"."&amp;I$2&amp;I$1&amp;"P"&amp;$A46)),IF(RTD("tos.rtd",,$A$2,"."&amp;I$2&amp;I$1&amp;"C"&amp;$A46)="N/A",0,RTD("tos.rtd",,$A$2,"."&amp;I$2&amp;I$1&amp;"C"&amp;$A46))-IF(RTD("tos.rtd",,$A$2,"."&amp;I$2&amp;I$1&amp;"P"&amp;$A46)="N/A",0,RTD("tos.rtd",,$A$2,"."&amp;I$2&amp;I$1&amp;"P"&amp;$A46))))))))))</f>
        <v>0</v>
      </c>
      <c r="J46" s="12">
        <f ca="1">IF($A$2="PREMIUM_OI",IFERROR(IF($X$1="ABS",(100*RTD("tos.rtd",,"OPEN_INT","."&amp;J$2&amp;J$1&amp;"C"&amp;$A46)*RTD("tos.rtd",,"LAST","."&amp;J$2&amp;J$1&amp;"C"&amp;$A46)+100*RTD("tos.rtd",,"OPEN_INT","."&amp;J$2&amp;J$1&amp;"P"&amp;$A46)*RTD("tos.rtd",,"LAST","."&amp;J$2&amp;J$1&amp;"P"&amp;$A46))/1000000,(100*RTD("tos.rtd",,"OPEN_INT","."&amp;J$2&amp;J$1&amp;"C"&amp;$A46)*RTD("tos.rtd",,"LAST","."&amp;J$2&amp;J$1&amp;"C"&amp;$A46)-100*RTD("tos.rtd",,"OPEN_INT","."&amp;J$2&amp;J$1&amp;"P"&amp;$A46)*RTD("tos.rtd",,"LAST","."&amp;J$2&amp;J$1&amp;"P"&amp;$A46))/1000000),0),IF($A$2="PREMIUM",IFERROR(IF($X$1="ABS",(100*RTD("tos.rtd",,"VOLUME","."&amp;J$2&amp;J$1&amp;"C"&amp;$A46)*RTD("tos.rtd",,"LAST","."&amp;J$2&amp;J$1&amp;"C"&amp;$A46)+100*RTD("tos.rtd",,"VOLUME","."&amp;J$2&amp;J$1&amp;"P"&amp;$A46)*RTD("tos.rtd",,"LAST","."&amp;J$2&amp;J$1&amp;"P"&amp;$A46))/1000000,(100*RTD("tos.rtd",,"VOLUME","."&amp;J$2&amp;J$1&amp;"C"&amp;$A46)*RTD("tos.rtd",,"LAST","."&amp;J$2&amp;J$1&amp;"C"&amp;$A46)-100*RTD("tos.rtd",,"VOLUME","."&amp;J$2&amp;J$1&amp;"P"&amp;$A46)*RTD("tos.rtd",,"LAST","."&amp;J$2&amp;J$1&amp;"P"&amp;$A46))/1000000),0),IF($A$2="DEX",IFERROR(IF($X$1="ABS",(100*RTD("tos.rtd",,"OPEN_INT","."&amp;J$2&amp;J$1&amp;"C"&amp;$A46)*RTD("tos.rtd",,"DELTA","."&amp;J$2&amp;J$1&amp;"C"&amp;$A46)+100*RTD("tos.rtd",,"OPEN_INT","."&amp;J$2&amp;J$1&amp;"P"&amp;$A46)*RTD("tos.rtd",,"DELTA","."&amp;J$2&amp;J$1&amp;"P"&amp;$A46))/1000,(100*RTD("tos.rtd",,"OPEN_INT","."&amp;J$2&amp;J$1&amp;"C"&amp;$A46)*RTD("tos.rtd",,"DELTA","."&amp;J$2&amp;J$1&amp;"C"&amp;$A46)-100*RTD("tos.rtd",,"OPEN_INT","."&amp;J$2&amp;J$1&amp;"P"&amp;$A46)*RTD("tos.rtd",,"DELTA","."&amp;J$2&amp;J$1&amp;"P"&amp;$A46))/1000),0),IF($A$2="VEX",IFERROR(IF($X$1="ABS",($A$4*$A$4*RTD("tos.rtd",,"VOLUME","."&amp;J$2&amp;J$1&amp;"C"&amp;$A46)*RTD("tos.rtd",,"GAMMA","."&amp;J$2&amp;J$1&amp;"C"&amp;$A46)+$A$4*$A$4*RTD("tos.rtd",,"VOLUME","."&amp;J$2&amp;J$1&amp;"P"&amp;$A46)*RTD("tos.rtd",,"GAMMA","."&amp;J$2&amp;J$1&amp;"P"&amp;$A46))/1000000,($A$4*$A$4*RTD("tos.rtd",,"VOLUME","."&amp;J$2&amp;J$1&amp;"C"&amp;$A46)*RTD("tos.rtd",,"GAMMA","."&amp;J$2&amp;J$1&amp;"C"&amp;$A46)-$A$4*$A$4*RTD("tos.rtd",,"VOLUME","."&amp;J$2&amp;J$1&amp;"P"&amp;$A46)*RTD("tos.rtd",,"GAMMA","."&amp;J$2&amp;J$1&amp;"P"&amp;$A46))/1000000),0),IF($A$2="GEX",IFERROR(IF($X$1="ABS",($A$4*$A$4*RTD("tos.rtd",,"OPEN_INT","."&amp;J$2&amp;J$1&amp;"C"&amp;$A46)*RTD("tos.rtd",,"GAMMA","."&amp;J$2&amp;J$1&amp;"C"&amp;$A46)+$A$4*$A$4*RTD("tos.rtd",,"OPEN_INT","."&amp;J$2&amp;J$1&amp;"P"&amp;$A46)*RTD("tos.rtd",,"GAMMA","."&amp;J$2&amp;J$1&amp;"P"&amp;$A46))/1000000,($A$4*$A$4*RTD("tos.rtd",,"OPEN_INT","."&amp;J$2&amp;J$1&amp;"C"&amp;$A46)*RTD("tos.rtd",,"GAMMA","."&amp;J$2&amp;J$1&amp;"C"&amp;$A46)-$A$4*$A$4*RTD("tos.rtd",,"OPEN_INT","."&amp;J$2&amp;J$1&amp;"P"&amp;$A46)*RTD("tos.rtd",,"GAMMA","."&amp;J$2&amp;J$1&amp;"P"&amp;$A46))/1000000),0),IF($A$2="SKEW",IFERROR(VALUE(IF(RTD("tos.rtd",,"IMPL_VOL","."&amp;J$2&amp;J$1&amp;"P"&amp;$A46)="N/A",0,RTD("tos.rtd",,"IMPL_VOL","."&amp;J$2&amp;J$1&amp;"P"&amp;$A46))),0)-IFERROR(VALUE(IF(RTD("tos.rtd",,"IMPL_VOL","."&amp;J$2&amp;J$1&amp;"C"&amp;$A46)="N/A",0,RTD("tos.rtd",,"IMPL_VOL","."&amp;J$2&amp;J$1&amp;"C"&amp;$A46))),0),IF($A$2="MAXPAIN",IF($A$4&gt;$A46,($A$4-$A46)*IF(RTD("tos.rtd",,"OPEN_INT","."&amp;J$2&amp;J$1&amp;"C"&amp;$A46)="N/A",0,RTD("tos.rtd",,"OPEN_INT","."&amp;J$2&amp;J$1&amp;"C"&amp;$A46)),0)+IF($A$4&lt;$A46,($A$5-$A$4)*IF(RTD("tos.rtd",,"OPEN_INT","."&amp;J$2&amp;J$1&amp;"P"&amp;$A46)="N/A",0,RTD("tos.rtd",,"OPEN_INT","."&amp;J$2&amp;J$1&amp;"P"&amp;$A46)),0),IF($X$1="ABS",IF(RTD("tos.rtd",,$A$2,"."&amp;J$2&amp;J$1&amp;"C"&amp;$A46)="N/A",0,RTD("tos.rtd",,$A$2,"."&amp;J$2&amp;J$1&amp;"C"&amp;$A46))+IF(RTD("tos.rtd",,$A$2,"."&amp;J$2&amp;J$1&amp;"P"&amp;$A46)="N/A",0,RTD("tos.rtd",,$A$2,"."&amp;J$2&amp;J$1&amp;"P"&amp;$A46)),IF(RTD("tos.rtd",,$A$2,"."&amp;J$2&amp;J$1&amp;"C"&amp;$A46)="N/A",0,RTD("tos.rtd",,$A$2,"."&amp;J$2&amp;J$1&amp;"C"&amp;$A46))-IF(RTD("tos.rtd",,$A$2,"."&amp;J$2&amp;J$1&amp;"P"&amp;$A46)="N/A",0,RTD("tos.rtd",,$A$2,"."&amp;J$2&amp;J$1&amp;"P"&amp;$A46))))))))))</f>
        <v>0</v>
      </c>
      <c r="K46" s="12">
        <f ca="1">IF($A$2="PREMIUM_OI",IFERROR(IF($X$1="ABS",(100*RTD("tos.rtd",,"OPEN_INT","."&amp;K$2&amp;K$1&amp;"C"&amp;$A46)*RTD("tos.rtd",,"LAST","."&amp;K$2&amp;K$1&amp;"C"&amp;$A46)+100*RTD("tos.rtd",,"OPEN_INT","."&amp;K$2&amp;K$1&amp;"P"&amp;$A46)*RTD("tos.rtd",,"LAST","."&amp;K$2&amp;K$1&amp;"P"&amp;$A46))/1000000,(100*RTD("tos.rtd",,"OPEN_INT","."&amp;K$2&amp;K$1&amp;"C"&amp;$A46)*RTD("tos.rtd",,"LAST","."&amp;K$2&amp;K$1&amp;"C"&amp;$A46)-100*RTD("tos.rtd",,"OPEN_INT","."&amp;K$2&amp;K$1&amp;"P"&amp;$A46)*RTD("tos.rtd",,"LAST","."&amp;K$2&amp;K$1&amp;"P"&amp;$A46))/1000000),0),IF($A$2="PREMIUM",IFERROR(IF($X$1="ABS",(100*RTD("tos.rtd",,"VOLUME","."&amp;K$2&amp;K$1&amp;"C"&amp;$A46)*RTD("tos.rtd",,"LAST","."&amp;K$2&amp;K$1&amp;"C"&amp;$A46)+100*RTD("tos.rtd",,"VOLUME","."&amp;K$2&amp;K$1&amp;"P"&amp;$A46)*RTD("tos.rtd",,"LAST","."&amp;K$2&amp;K$1&amp;"P"&amp;$A46))/1000000,(100*RTD("tos.rtd",,"VOLUME","."&amp;K$2&amp;K$1&amp;"C"&amp;$A46)*RTD("tos.rtd",,"LAST","."&amp;K$2&amp;K$1&amp;"C"&amp;$A46)-100*RTD("tos.rtd",,"VOLUME","."&amp;K$2&amp;K$1&amp;"P"&amp;$A46)*RTD("tos.rtd",,"LAST","."&amp;K$2&amp;K$1&amp;"P"&amp;$A46))/1000000),0),IF($A$2="DEX",IFERROR(IF($X$1="ABS",(100*RTD("tos.rtd",,"OPEN_INT","."&amp;K$2&amp;K$1&amp;"C"&amp;$A46)*RTD("tos.rtd",,"DELTA","."&amp;K$2&amp;K$1&amp;"C"&amp;$A46)+100*RTD("tos.rtd",,"OPEN_INT","."&amp;K$2&amp;K$1&amp;"P"&amp;$A46)*RTD("tos.rtd",,"DELTA","."&amp;K$2&amp;K$1&amp;"P"&amp;$A46))/1000,(100*RTD("tos.rtd",,"OPEN_INT","."&amp;K$2&amp;K$1&amp;"C"&amp;$A46)*RTD("tos.rtd",,"DELTA","."&amp;K$2&amp;K$1&amp;"C"&amp;$A46)-100*RTD("tos.rtd",,"OPEN_INT","."&amp;K$2&amp;K$1&amp;"P"&amp;$A46)*RTD("tos.rtd",,"DELTA","."&amp;K$2&amp;K$1&amp;"P"&amp;$A46))/1000),0),IF($A$2="VEX",IFERROR(IF($X$1="ABS",($A$4*$A$4*RTD("tos.rtd",,"VOLUME","."&amp;K$2&amp;K$1&amp;"C"&amp;$A46)*RTD("tos.rtd",,"GAMMA","."&amp;K$2&amp;K$1&amp;"C"&amp;$A46)+$A$4*$A$4*RTD("tos.rtd",,"VOLUME","."&amp;K$2&amp;K$1&amp;"P"&amp;$A46)*RTD("tos.rtd",,"GAMMA","."&amp;K$2&amp;K$1&amp;"P"&amp;$A46))/1000000,($A$4*$A$4*RTD("tos.rtd",,"VOLUME","."&amp;K$2&amp;K$1&amp;"C"&amp;$A46)*RTD("tos.rtd",,"GAMMA","."&amp;K$2&amp;K$1&amp;"C"&amp;$A46)-$A$4*$A$4*RTD("tos.rtd",,"VOLUME","."&amp;K$2&amp;K$1&amp;"P"&amp;$A46)*RTD("tos.rtd",,"GAMMA","."&amp;K$2&amp;K$1&amp;"P"&amp;$A46))/1000000),0),IF($A$2="GEX",IFERROR(IF($X$1="ABS",($A$4*$A$4*RTD("tos.rtd",,"OPEN_INT","."&amp;K$2&amp;K$1&amp;"C"&amp;$A46)*RTD("tos.rtd",,"GAMMA","."&amp;K$2&amp;K$1&amp;"C"&amp;$A46)+$A$4*$A$4*RTD("tos.rtd",,"OPEN_INT","."&amp;K$2&amp;K$1&amp;"P"&amp;$A46)*RTD("tos.rtd",,"GAMMA","."&amp;K$2&amp;K$1&amp;"P"&amp;$A46))/1000000,($A$4*$A$4*RTD("tos.rtd",,"OPEN_INT","."&amp;K$2&amp;K$1&amp;"C"&amp;$A46)*RTD("tos.rtd",,"GAMMA","."&amp;K$2&amp;K$1&amp;"C"&amp;$A46)-$A$4*$A$4*RTD("tos.rtd",,"OPEN_INT","."&amp;K$2&amp;K$1&amp;"P"&amp;$A46)*RTD("tos.rtd",,"GAMMA","."&amp;K$2&amp;K$1&amp;"P"&amp;$A46))/1000000),0),IF($A$2="SKEW",IFERROR(VALUE(IF(RTD("tos.rtd",,"IMPL_VOL","."&amp;K$2&amp;K$1&amp;"P"&amp;$A46)="N/A",0,RTD("tos.rtd",,"IMPL_VOL","."&amp;K$2&amp;K$1&amp;"P"&amp;$A46))),0)-IFERROR(VALUE(IF(RTD("tos.rtd",,"IMPL_VOL","."&amp;K$2&amp;K$1&amp;"C"&amp;$A46)="N/A",0,RTD("tos.rtd",,"IMPL_VOL","."&amp;K$2&amp;K$1&amp;"C"&amp;$A46))),0),IF($A$2="MAXPAIN",IF($A$4&gt;$A46,($A$4-$A46)*IF(RTD("tos.rtd",,"OPEN_INT","."&amp;K$2&amp;K$1&amp;"C"&amp;$A46)="N/A",0,RTD("tos.rtd",,"OPEN_INT","."&amp;K$2&amp;K$1&amp;"C"&amp;$A46)),0)+IF($A$4&lt;$A46,($A$5-$A$4)*IF(RTD("tos.rtd",,"OPEN_INT","."&amp;K$2&amp;K$1&amp;"P"&amp;$A46)="N/A",0,RTD("tos.rtd",,"OPEN_INT","."&amp;K$2&amp;K$1&amp;"P"&amp;$A46)),0),IF($X$1="ABS",IF(RTD("tos.rtd",,$A$2,"."&amp;K$2&amp;K$1&amp;"C"&amp;$A46)="N/A",0,RTD("tos.rtd",,$A$2,"."&amp;K$2&amp;K$1&amp;"C"&amp;$A46))+IF(RTD("tos.rtd",,$A$2,"."&amp;K$2&amp;K$1&amp;"P"&amp;$A46)="N/A",0,RTD("tos.rtd",,$A$2,"."&amp;K$2&amp;K$1&amp;"P"&amp;$A46)),IF(RTD("tos.rtd",,$A$2,"."&amp;K$2&amp;K$1&amp;"C"&amp;$A46)="N/A",0,RTD("tos.rtd",,$A$2,"."&amp;K$2&amp;K$1&amp;"C"&amp;$A46))-IF(RTD("tos.rtd",,$A$2,"."&amp;K$2&amp;K$1&amp;"P"&amp;$A46)="N/A",0,RTD("tos.rtd",,$A$2,"."&amp;K$2&amp;K$1&amp;"P"&amp;$A46))))))))))</f>
        <v>0</v>
      </c>
      <c r="L46" s="54">
        <f ca="1">IF($A$2="PREMIUM_OI",IFERROR(IF($X$1="ABS",(100*RTD("tos.rtd",,"OPEN_INT","."&amp;L$2&amp;L$1&amp;"C"&amp;$A46)*RTD("tos.rtd",,"LAST","."&amp;L$2&amp;L$1&amp;"C"&amp;$A46)+100*RTD("tos.rtd",,"OPEN_INT","."&amp;L$2&amp;L$1&amp;"P"&amp;$A46)*RTD("tos.rtd",,"LAST","."&amp;L$2&amp;L$1&amp;"P"&amp;$A46))/1000000,(100*RTD("tos.rtd",,"OPEN_INT","."&amp;L$2&amp;L$1&amp;"C"&amp;$A46)*RTD("tos.rtd",,"LAST","."&amp;L$2&amp;L$1&amp;"C"&amp;$A46)-100*RTD("tos.rtd",,"OPEN_INT","."&amp;L$2&amp;L$1&amp;"P"&amp;$A46)*RTD("tos.rtd",,"LAST","."&amp;L$2&amp;L$1&amp;"P"&amp;$A46))/1000000),0),IF($A$2="PREMIUM",IFERROR(IF($X$1="ABS",(100*RTD("tos.rtd",,"VOLUME","."&amp;L$2&amp;L$1&amp;"C"&amp;$A46)*RTD("tos.rtd",,"LAST","."&amp;L$2&amp;L$1&amp;"C"&amp;$A46)+100*RTD("tos.rtd",,"VOLUME","."&amp;L$2&amp;L$1&amp;"P"&amp;$A46)*RTD("tos.rtd",,"LAST","."&amp;L$2&amp;L$1&amp;"P"&amp;$A46))/1000000,(100*RTD("tos.rtd",,"VOLUME","."&amp;L$2&amp;L$1&amp;"C"&amp;$A46)*RTD("tos.rtd",,"LAST","."&amp;L$2&amp;L$1&amp;"C"&amp;$A46)-100*RTD("tos.rtd",,"VOLUME","."&amp;L$2&amp;L$1&amp;"P"&amp;$A46)*RTD("tos.rtd",,"LAST","."&amp;L$2&amp;L$1&amp;"P"&amp;$A46))/1000000),0),IF($A$2="DEX",IFERROR(IF($X$1="ABS",(100*RTD("tos.rtd",,"OPEN_INT","."&amp;L$2&amp;L$1&amp;"C"&amp;$A46)*RTD("tos.rtd",,"DELTA","."&amp;L$2&amp;L$1&amp;"C"&amp;$A46)+100*RTD("tos.rtd",,"OPEN_INT","."&amp;L$2&amp;L$1&amp;"P"&amp;$A46)*RTD("tos.rtd",,"DELTA","."&amp;L$2&amp;L$1&amp;"P"&amp;$A46))/1000,(100*RTD("tos.rtd",,"OPEN_INT","."&amp;L$2&amp;L$1&amp;"C"&amp;$A46)*RTD("tos.rtd",,"DELTA","."&amp;L$2&amp;L$1&amp;"C"&amp;$A46)-100*RTD("tos.rtd",,"OPEN_INT","."&amp;L$2&amp;L$1&amp;"P"&amp;$A46)*RTD("tos.rtd",,"DELTA","."&amp;L$2&amp;L$1&amp;"P"&amp;$A46))/1000),0),IF($A$2="VEX",IFERROR(IF($X$1="ABS",($A$4*$A$4*RTD("tos.rtd",,"VOLUME","."&amp;L$2&amp;L$1&amp;"C"&amp;$A46)*RTD("tos.rtd",,"GAMMA","."&amp;L$2&amp;L$1&amp;"C"&amp;$A46)+$A$4*$A$4*RTD("tos.rtd",,"VOLUME","."&amp;L$2&amp;L$1&amp;"P"&amp;$A46)*RTD("tos.rtd",,"GAMMA","."&amp;L$2&amp;L$1&amp;"P"&amp;$A46))/1000000,($A$4*$A$4*RTD("tos.rtd",,"VOLUME","."&amp;L$2&amp;L$1&amp;"C"&amp;$A46)*RTD("tos.rtd",,"GAMMA","."&amp;L$2&amp;L$1&amp;"C"&amp;$A46)-$A$4*$A$4*RTD("tos.rtd",,"VOLUME","."&amp;L$2&amp;L$1&amp;"P"&amp;$A46)*RTD("tos.rtd",,"GAMMA","."&amp;L$2&amp;L$1&amp;"P"&amp;$A46))/1000000),0),IF($A$2="GEX",IFERROR(IF($X$1="ABS",($A$4*$A$4*RTD("tos.rtd",,"OPEN_INT","."&amp;L$2&amp;L$1&amp;"C"&amp;$A46)*RTD("tos.rtd",,"GAMMA","."&amp;L$2&amp;L$1&amp;"C"&amp;$A46)+$A$4*$A$4*RTD("tos.rtd",,"OPEN_INT","."&amp;L$2&amp;L$1&amp;"P"&amp;$A46)*RTD("tos.rtd",,"GAMMA","."&amp;L$2&amp;L$1&amp;"P"&amp;$A46))/1000000,($A$4*$A$4*RTD("tos.rtd",,"OPEN_INT","."&amp;L$2&amp;L$1&amp;"C"&amp;$A46)*RTD("tos.rtd",,"GAMMA","."&amp;L$2&amp;L$1&amp;"C"&amp;$A46)-$A$4*$A$4*RTD("tos.rtd",,"OPEN_INT","."&amp;L$2&amp;L$1&amp;"P"&amp;$A46)*RTD("tos.rtd",,"GAMMA","."&amp;L$2&amp;L$1&amp;"P"&amp;$A46))/1000000),0),IF($A$2="SKEW",IFERROR(VALUE(IF(RTD("tos.rtd",,"IMPL_VOL","."&amp;L$2&amp;L$1&amp;"P"&amp;$A46)="N/A",0,RTD("tos.rtd",,"IMPL_VOL","."&amp;L$2&amp;L$1&amp;"P"&amp;$A46))),0)-IFERROR(VALUE(IF(RTD("tos.rtd",,"IMPL_VOL","."&amp;L$2&amp;L$1&amp;"C"&amp;$A46)="N/A",0,RTD("tos.rtd",,"IMPL_VOL","."&amp;L$2&amp;L$1&amp;"C"&amp;$A46))),0),IF($A$2="MAXPAIN",IF($A$4&gt;$A46,($A$4-$A46)*IF(RTD("tos.rtd",,"OPEN_INT","."&amp;L$2&amp;L$1&amp;"C"&amp;$A46)="N/A",0,RTD("tos.rtd",,"OPEN_INT","."&amp;L$2&amp;L$1&amp;"C"&amp;$A46)),0)+IF($A$4&lt;$A46,($A$5-$A$4)*IF(RTD("tos.rtd",,"OPEN_INT","."&amp;L$2&amp;L$1&amp;"P"&amp;$A46)="N/A",0,RTD("tos.rtd",,"OPEN_INT","."&amp;L$2&amp;L$1&amp;"P"&amp;$A46)),0),IF($X$1="ABS",IF(RTD("tos.rtd",,$A$2,"."&amp;L$2&amp;L$1&amp;"C"&amp;$A46)="N/A",0,RTD("tos.rtd",,$A$2,"."&amp;L$2&amp;L$1&amp;"C"&amp;$A46))+IF(RTD("tos.rtd",,$A$2,"."&amp;L$2&amp;L$1&amp;"P"&amp;$A46)="N/A",0,RTD("tos.rtd",,$A$2,"."&amp;L$2&amp;L$1&amp;"P"&amp;$A46)),IF(RTD("tos.rtd",,$A$2,"."&amp;L$2&amp;L$1&amp;"C"&amp;$A46)="N/A",0,RTD("tos.rtd",,$A$2,"."&amp;L$2&amp;L$1&amp;"C"&amp;$A46))-IF(RTD("tos.rtd",,$A$2,"."&amp;L$2&amp;L$1&amp;"P"&amp;$A46)="N/A",0,RTD("tos.rtd",,$A$2,"."&amp;L$2&amp;L$1&amp;"P"&amp;$A46))))))))))</f>
        <v>0</v>
      </c>
      <c r="M46" s="12">
        <f ca="1">IF($A$2="PREMIUM_OI",IFERROR(IF($X$1="ABS",(100*RTD("tos.rtd",,"OPEN_INT","."&amp;M$2&amp;M$1&amp;"C"&amp;$A46)*RTD("tos.rtd",,"LAST","."&amp;M$2&amp;M$1&amp;"C"&amp;$A46)+100*RTD("tos.rtd",,"OPEN_INT","."&amp;M$2&amp;M$1&amp;"P"&amp;$A46)*RTD("tos.rtd",,"LAST","."&amp;M$2&amp;M$1&amp;"P"&amp;$A46))/1000000,(100*RTD("tos.rtd",,"OPEN_INT","."&amp;M$2&amp;M$1&amp;"C"&amp;$A46)*RTD("tos.rtd",,"LAST","."&amp;M$2&amp;M$1&amp;"C"&amp;$A46)-100*RTD("tos.rtd",,"OPEN_INT","."&amp;M$2&amp;M$1&amp;"P"&amp;$A46)*RTD("tos.rtd",,"LAST","."&amp;M$2&amp;M$1&amp;"P"&amp;$A46))/1000000),0),IF($A$2="PREMIUM",IFERROR(IF($X$1="ABS",(100*RTD("tos.rtd",,"VOLUME","."&amp;M$2&amp;M$1&amp;"C"&amp;$A46)*RTD("tos.rtd",,"LAST","."&amp;M$2&amp;M$1&amp;"C"&amp;$A46)+100*RTD("tos.rtd",,"VOLUME","."&amp;M$2&amp;M$1&amp;"P"&amp;$A46)*RTD("tos.rtd",,"LAST","."&amp;M$2&amp;M$1&amp;"P"&amp;$A46))/1000000,(100*RTD("tos.rtd",,"VOLUME","."&amp;M$2&amp;M$1&amp;"C"&amp;$A46)*RTD("tos.rtd",,"LAST","."&amp;M$2&amp;M$1&amp;"C"&amp;$A46)-100*RTD("tos.rtd",,"VOLUME","."&amp;M$2&amp;M$1&amp;"P"&amp;$A46)*RTD("tos.rtd",,"LAST","."&amp;M$2&amp;M$1&amp;"P"&amp;$A46))/1000000),0),IF($A$2="DEX",IFERROR(IF($X$1="ABS",(100*RTD("tos.rtd",,"OPEN_INT","."&amp;M$2&amp;M$1&amp;"C"&amp;$A46)*RTD("tos.rtd",,"DELTA","."&amp;M$2&amp;M$1&amp;"C"&amp;$A46)+100*RTD("tos.rtd",,"OPEN_INT","."&amp;M$2&amp;M$1&amp;"P"&amp;$A46)*RTD("tos.rtd",,"DELTA","."&amp;M$2&amp;M$1&amp;"P"&amp;$A46))/1000,(100*RTD("tos.rtd",,"OPEN_INT","."&amp;M$2&amp;M$1&amp;"C"&amp;$A46)*RTD("tos.rtd",,"DELTA","."&amp;M$2&amp;M$1&amp;"C"&amp;$A46)-100*RTD("tos.rtd",,"OPEN_INT","."&amp;M$2&amp;M$1&amp;"P"&amp;$A46)*RTD("tos.rtd",,"DELTA","."&amp;M$2&amp;M$1&amp;"P"&amp;$A46))/1000),0),IF($A$2="VEX",IFERROR(IF($X$1="ABS",($A$4*$A$4*RTD("tos.rtd",,"VOLUME","."&amp;M$2&amp;M$1&amp;"C"&amp;$A46)*RTD("tos.rtd",,"GAMMA","."&amp;M$2&amp;M$1&amp;"C"&amp;$A46)+$A$4*$A$4*RTD("tos.rtd",,"VOLUME","."&amp;M$2&amp;M$1&amp;"P"&amp;$A46)*RTD("tos.rtd",,"GAMMA","."&amp;M$2&amp;M$1&amp;"P"&amp;$A46))/1000000,($A$4*$A$4*RTD("tos.rtd",,"VOLUME","."&amp;M$2&amp;M$1&amp;"C"&amp;$A46)*RTD("tos.rtd",,"GAMMA","."&amp;M$2&amp;M$1&amp;"C"&amp;$A46)-$A$4*$A$4*RTD("tos.rtd",,"VOLUME","."&amp;M$2&amp;M$1&amp;"P"&amp;$A46)*RTD("tos.rtd",,"GAMMA","."&amp;M$2&amp;M$1&amp;"P"&amp;$A46))/1000000),0),IF($A$2="GEX",IFERROR(IF($X$1="ABS",($A$4*$A$4*RTD("tos.rtd",,"OPEN_INT","."&amp;M$2&amp;M$1&amp;"C"&amp;$A46)*RTD("tos.rtd",,"GAMMA","."&amp;M$2&amp;M$1&amp;"C"&amp;$A46)+$A$4*$A$4*RTD("tos.rtd",,"OPEN_INT","."&amp;M$2&amp;M$1&amp;"P"&amp;$A46)*RTD("tos.rtd",,"GAMMA","."&amp;M$2&amp;M$1&amp;"P"&amp;$A46))/1000000,($A$4*$A$4*RTD("tos.rtd",,"OPEN_INT","."&amp;M$2&amp;M$1&amp;"C"&amp;$A46)*RTD("tos.rtd",,"GAMMA","."&amp;M$2&amp;M$1&amp;"C"&amp;$A46)-$A$4*$A$4*RTD("tos.rtd",,"OPEN_INT","."&amp;M$2&amp;M$1&amp;"P"&amp;$A46)*RTD("tos.rtd",,"GAMMA","."&amp;M$2&amp;M$1&amp;"P"&amp;$A46))/1000000),0),IF($A$2="SKEW",IFERROR(VALUE(IF(RTD("tos.rtd",,"IMPL_VOL","."&amp;M$2&amp;M$1&amp;"P"&amp;$A46)="N/A",0,RTD("tos.rtd",,"IMPL_VOL","."&amp;M$2&amp;M$1&amp;"P"&amp;$A46))),0)-IFERROR(VALUE(IF(RTD("tos.rtd",,"IMPL_VOL","."&amp;M$2&amp;M$1&amp;"C"&amp;$A46)="N/A",0,RTD("tos.rtd",,"IMPL_VOL","."&amp;M$2&amp;M$1&amp;"C"&amp;$A46))),0),IF($A$2="MAXPAIN",IF($A$4&gt;$A46,($A$4-$A46)*IF(RTD("tos.rtd",,"OPEN_INT","."&amp;M$2&amp;M$1&amp;"C"&amp;$A46)="N/A",0,RTD("tos.rtd",,"OPEN_INT","."&amp;M$2&amp;M$1&amp;"C"&amp;$A46)),0)+IF($A$4&lt;$A46,($A$5-$A$4)*IF(RTD("tos.rtd",,"OPEN_INT","."&amp;M$2&amp;M$1&amp;"P"&amp;$A46)="N/A",0,RTD("tos.rtd",,"OPEN_INT","."&amp;M$2&amp;M$1&amp;"P"&amp;$A46)),0),IF($X$1="ABS",IF(RTD("tos.rtd",,$A$2,"."&amp;M$2&amp;M$1&amp;"C"&amp;$A46)="N/A",0,RTD("tos.rtd",,$A$2,"."&amp;M$2&amp;M$1&amp;"C"&amp;$A46))+IF(RTD("tos.rtd",,$A$2,"."&amp;M$2&amp;M$1&amp;"P"&amp;$A46)="N/A",0,RTD("tos.rtd",,$A$2,"."&amp;M$2&amp;M$1&amp;"P"&amp;$A46)),IF(RTD("tos.rtd",,$A$2,"."&amp;M$2&amp;M$1&amp;"C"&amp;$A46)="N/A",0,RTD("tos.rtd",,$A$2,"."&amp;M$2&amp;M$1&amp;"C"&amp;$A46))-IF(RTD("tos.rtd",,$A$2,"."&amp;M$2&amp;M$1&amp;"P"&amp;$A46)="N/A",0,RTD("tos.rtd",,$A$2,"."&amp;M$2&amp;M$1&amp;"P"&amp;$A46))))))))))</f>
        <v>0</v>
      </c>
      <c r="N46" s="12">
        <f ca="1">IF($A$2="PREMIUM_OI",IFERROR(IF($X$1="ABS",(100*RTD("tos.rtd",,"OPEN_INT","."&amp;N$2&amp;N$1&amp;"C"&amp;$A46)*RTD("tos.rtd",,"LAST","."&amp;N$2&amp;N$1&amp;"C"&amp;$A46)+100*RTD("tos.rtd",,"OPEN_INT","."&amp;N$2&amp;N$1&amp;"P"&amp;$A46)*RTD("tos.rtd",,"LAST","."&amp;N$2&amp;N$1&amp;"P"&amp;$A46))/1000000,(100*RTD("tos.rtd",,"OPEN_INT","."&amp;N$2&amp;N$1&amp;"C"&amp;$A46)*RTD("tos.rtd",,"LAST","."&amp;N$2&amp;N$1&amp;"C"&amp;$A46)-100*RTD("tos.rtd",,"OPEN_INT","."&amp;N$2&amp;N$1&amp;"P"&amp;$A46)*RTD("tos.rtd",,"LAST","."&amp;N$2&amp;N$1&amp;"P"&amp;$A46))/1000000),0),IF($A$2="PREMIUM",IFERROR(IF($X$1="ABS",(100*RTD("tos.rtd",,"VOLUME","."&amp;N$2&amp;N$1&amp;"C"&amp;$A46)*RTD("tos.rtd",,"LAST","."&amp;N$2&amp;N$1&amp;"C"&amp;$A46)+100*RTD("tos.rtd",,"VOLUME","."&amp;N$2&amp;N$1&amp;"P"&amp;$A46)*RTD("tos.rtd",,"LAST","."&amp;N$2&amp;N$1&amp;"P"&amp;$A46))/1000000,(100*RTD("tos.rtd",,"VOLUME","."&amp;N$2&amp;N$1&amp;"C"&amp;$A46)*RTD("tos.rtd",,"LAST","."&amp;N$2&amp;N$1&amp;"C"&amp;$A46)-100*RTD("tos.rtd",,"VOLUME","."&amp;N$2&amp;N$1&amp;"P"&amp;$A46)*RTD("tos.rtd",,"LAST","."&amp;N$2&amp;N$1&amp;"P"&amp;$A46))/1000000),0),IF($A$2="DEX",IFERROR(IF($X$1="ABS",(100*RTD("tos.rtd",,"OPEN_INT","."&amp;N$2&amp;N$1&amp;"C"&amp;$A46)*RTD("tos.rtd",,"DELTA","."&amp;N$2&amp;N$1&amp;"C"&amp;$A46)+100*RTD("tos.rtd",,"OPEN_INT","."&amp;N$2&amp;N$1&amp;"P"&amp;$A46)*RTD("tos.rtd",,"DELTA","."&amp;N$2&amp;N$1&amp;"P"&amp;$A46))/1000,(100*RTD("tos.rtd",,"OPEN_INT","."&amp;N$2&amp;N$1&amp;"C"&amp;$A46)*RTD("tos.rtd",,"DELTA","."&amp;N$2&amp;N$1&amp;"C"&amp;$A46)-100*RTD("tos.rtd",,"OPEN_INT","."&amp;N$2&amp;N$1&amp;"P"&amp;$A46)*RTD("tos.rtd",,"DELTA","."&amp;N$2&amp;N$1&amp;"P"&amp;$A46))/1000),0),IF($A$2="VEX",IFERROR(IF($X$1="ABS",($A$4*$A$4*RTD("tos.rtd",,"VOLUME","."&amp;N$2&amp;N$1&amp;"C"&amp;$A46)*RTD("tos.rtd",,"GAMMA","."&amp;N$2&amp;N$1&amp;"C"&amp;$A46)+$A$4*$A$4*RTD("tos.rtd",,"VOLUME","."&amp;N$2&amp;N$1&amp;"P"&amp;$A46)*RTD("tos.rtd",,"GAMMA","."&amp;N$2&amp;N$1&amp;"P"&amp;$A46))/1000000,($A$4*$A$4*RTD("tos.rtd",,"VOLUME","."&amp;N$2&amp;N$1&amp;"C"&amp;$A46)*RTD("tos.rtd",,"GAMMA","."&amp;N$2&amp;N$1&amp;"C"&amp;$A46)-$A$4*$A$4*RTD("tos.rtd",,"VOLUME","."&amp;N$2&amp;N$1&amp;"P"&amp;$A46)*RTD("tos.rtd",,"GAMMA","."&amp;N$2&amp;N$1&amp;"P"&amp;$A46))/1000000),0),IF($A$2="GEX",IFERROR(IF($X$1="ABS",($A$4*$A$4*RTD("tos.rtd",,"OPEN_INT","."&amp;N$2&amp;N$1&amp;"C"&amp;$A46)*RTD("tos.rtd",,"GAMMA","."&amp;N$2&amp;N$1&amp;"C"&amp;$A46)+$A$4*$A$4*RTD("tos.rtd",,"OPEN_INT","."&amp;N$2&amp;N$1&amp;"P"&amp;$A46)*RTD("tos.rtd",,"GAMMA","."&amp;N$2&amp;N$1&amp;"P"&amp;$A46))/1000000,($A$4*$A$4*RTD("tos.rtd",,"OPEN_INT","."&amp;N$2&amp;N$1&amp;"C"&amp;$A46)*RTD("tos.rtd",,"GAMMA","."&amp;N$2&amp;N$1&amp;"C"&amp;$A46)-$A$4*$A$4*RTD("tos.rtd",,"OPEN_INT","."&amp;N$2&amp;N$1&amp;"P"&amp;$A46)*RTD("tos.rtd",,"GAMMA","."&amp;N$2&amp;N$1&amp;"P"&amp;$A46))/1000000),0),IF($A$2="SKEW",IFERROR(VALUE(IF(RTD("tos.rtd",,"IMPL_VOL","."&amp;N$2&amp;N$1&amp;"P"&amp;$A46)="N/A",0,RTD("tos.rtd",,"IMPL_VOL","."&amp;N$2&amp;N$1&amp;"P"&amp;$A46))),0)-IFERROR(VALUE(IF(RTD("tos.rtd",,"IMPL_VOL","."&amp;N$2&amp;N$1&amp;"C"&amp;$A46)="N/A",0,RTD("tos.rtd",,"IMPL_VOL","."&amp;N$2&amp;N$1&amp;"C"&amp;$A46))),0),IF($A$2="MAXPAIN",IF($A$4&gt;$A46,($A$4-$A46)*IF(RTD("tos.rtd",,"OPEN_INT","."&amp;N$2&amp;N$1&amp;"C"&amp;$A46)="N/A",0,RTD("tos.rtd",,"OPEN_INT","."&amp;N$2&amp;N$1&amp;"C"&amp;$A46)),0)+IF($A$4&lt;$A46,($A$5-$A$4)*IF(RTD("tos.rtd",,"OPEN_INT","."&amp;N$2&amp;N$1&amp;"P"&amp;$A46)="N/A",0,RTD("tos.rtd",,"OPEN_INT","."&amp;N$2&amp;N$1&amp;"P"&amp;$A46)),0),IF($X$1="ABS",IF(RTD("tos.rtd",,$A$2,"."&amp;N$2&amp;N$1&amp;"C"&amp;$A46)="N/A",0,RTD("tos.rtd",,$A$2,"."&amp;N$2&amp;N$1&amp;"C"&amp;$A46))+IF(RTD("tos.rtd",,$A$2,"."&amp;N$2&amp;N$1&amp;"P"&amp;$A46)="N/A",0,RTD("tos.rtd",,$A$2,"."&amp;N$2&amp;N$1&amp;"P"&amp;$A46)),IF(RTD("tos.rtd",,$A$2,"."&amp;N$2&amp;N$1&amp;"C"&amp;$A46)="N/A",0,RTD("tos.rtd",,$A$2,"."&amp;N$2&amp;N$1&amp;"C"&amp;$A46))-IF(RTD("tos.rtd",,$A$2,"."&amp;N$2&amp;N$1&amp;"P"&amp;$A46)="N/A",0,RTD("tos.rtd",,$A$2,"."&amp;N$2&amp;N$1&amp;"P"&amp;$A46))))))))))</f>
        <v>0</v>
      </c>
      <c r="O46" s="12">
        <f ca="1">IF($A$2="PREMIUM_OI",IFERROR(IF($X$1="ABS",(100*RTD("tos.rtd",,"OPEN_INT","."&amp;O$2&amp;O$1&amp;"C"&amp;$A46)*RTD("tos.rtd",,"LAST","."&amp;O$2&amp;O$1&amp;"C"&amp;$A46)+100*RTD("tos.rtd",,"OPEN_INT","."&amp;O$2&amp;O$1&amp;"P"&amp;$A46)*RTD("tos.rtd",,"LAST","."&amp;O$2&amp;O$1&amp;"P"&amp;$A46))/1000000,(100*RTD("tos.rtd",,"OPEN_INT","."&amp;O$2&amp;O$1&amp;"C"&amp;$A46)*RTD("tos.rtd",,"LAST","."&amp;O$2&amp;O$1&amp;"C"&amp;$A46)-100*RTD("tos.rtd",,"OPEN_INT","."&amp;O$2&amp;O$1&amp;"P"&amp;$A46)*RTD("tos.rtd",,"LAST","."&amp;O$2&amp;O$1&amp;"P"&amp;$A46))/1000000),0),IF($A$2="PREMIUM",IFERROR(IF($X$1="ABS",(100*RTD("tos.rtd",,"VOLUME","."&amp;O$2&amp;O$1&amp;"C"&amp;$A46)*RTD("tos.rtd",,"LAST","."&amp;O$2&amp;O$1&amp;"C"&amp;$A46)+100*RTD("tos.rtd",,"VOLUME","."&amp;O$2&amp;O$1&amp;"P"&amp;$A46)*RTD("tos.rtd",,"LAST","."&amp;O$2&amp;O$1&amp;"P"&amp;$A46))/1000000,(100*RTD("tos.rtd",,"VOLUME","."&amp;O$2&amp;O$1&amp;"C"&amp;$A46)*RTD("tos.rtd",,"LAST","."&amp;O$2&amp;O$1&amp;"C"&amp;$A46)-100*RTD("tos.rtd",,"VOLUME","."&amp;O$2&amp;O$1&amp;"P"&amp;$A46)*RTD("tos.rtd",,"LAST","."&amp;O$2&amp;O$1&amp;"P"&amp;$A46))/1000000),0),IF($A$2="DEX",IFERROR(IF($X$1="ABS",(100*RTD("tos.rtd",,"OPEN_INT","."&amp;O$2&amp;O$1&amp;"C"&amp;$A46)*RTD("tos.rtd",,"DELTA","."&amp;O$2&amp;O$1&amp;"C"&amp;$A46)+100*RTD("tos.rtd",,"OPEN_INT","."&amp;O$2&amp;O$1&amp;"P"&amp;$A46)*RTD("tos.rtd",,"DELTA","."&amp;O$2&amp;O$1&amp;"P"&amp;$A46))/1000,(100*RTD("tos.rtd",,"OPEN_INT","."&amp;O$2&amp;O$1&amp;"C"&amp;$A46)*RTD("tos.rtd",,"DELTA","."&amp;O$2&amp;O$1&amp;"C"&amp;$A46)-100*RTD("tos.rtd",,"OPEN_INT","."&amp;O$2&amp;O$1&amp;"P"&amp;$A46)*RTD("tos.rtd",,"DELTA","."&amp;O$2&amp;O$1&amp;"P"&amp;$A46))/1000),0),IF($A$2="VEX",IFERROR(IF($X$1="ABS",($A$4*$A$4*RTD("tos.rtd",,"VOLUME","."&amp;O$2&amp;O$1&amp;"C"&amp;$A46)*RTD("tos.rtd",,"GAMMA","."&amp;O$2&amp;O$1&amp;"C"&amp;$A46)+$A$4*$A$4*RTD("tos.rtd",,"VOLUME","."&amp;O$2&amp;O$1&amp;"P"&amp;$A46)*RTD("tos.rtd",,"GAMMA","."&amp;O$2&amp;O$1&amp;"P"&amp;$A46))/1000000,($A$4*$A$4*RTD("tos.rtd",,"VOLUME","."&amp;O$2&amp;O$1&amp;"C"&amp;$A46)*RTD("tos.rtd",,"GAMMA","."&amp;O$2&amp;O$1&amp;"C"&amp;$A46)-$A$4*$A$4*RTD("tos.rtd",,"VOLUME","."&amp;O$2&amp;O$1&amp;"P"&amp;$A46)*RTD("tos.rtd",,"GAMMA","."&amp;O$2&amp;O$1&amp;"P"&amp;$A46))/1000000),0),IF($A$2="GEX",IFERROR(IF($X$1="ABS",($A$4*$A$4*RTD("tos.rtd",,"OPEN_INT","."&amp;O$2&amp;O$1&amp;"C"&amp;$A46)*RTD("tos.rtd",,"GAMMA","."&amp;O$2&amp;O$1&amp;"C"&amp;$A46)+$A$4*$A$4*RTD("tos.rtd",,"OPEN_INT","."&amp;O$2&amp;O$1&amp;"P"&amp;$A46)*RTD("tos.rtd",,"GAMMA","."&amp;O$2&amp;O$1&amp;"P"&amp;$A46))/1000000,($A$4*$A$4*RTD("tos.rtd",,"OPEN_INT","."&amp;O$2&amp;O$1&amp;"C"&amp;$A46)*RTD("tos.rtd",,"GAMMA","."&amp;O$2&amp;O$1&amp;"C"&amp;$A46)-$A$4*$A$4*RTD("tos.rtd",,"OPEN_INT","."&amp;O$2&amp;O$1&amp;"P"&amp;$A46)*RTD("tos.rtd",,"GAMMA","."&amp;O$2&amp;O$1&amp;"P"&amp;$A46))/1000000),0),IF($A$2="SKEW",IFERROR(VALUE(IF(RTD("tos.rtd",,"IMPL_VOL","."&amp;O$2&amp;O$1&amp;"P"&amp;$A46)="N/A",0,RTD("tos.rtd",,"IMPL_VOL","."&amp;O$2&amp;O$1&amp;"P"&amp;$A46))),0)-IFERROR(VALUE(IF(RTD("tos.rtd",,"IMPL_VOL","."&amp;O$2&amp;O$1&amp;"C"&amp;$A46)="N/A",0,RTD("tos.rtd",,"IMPL_VOL","."&amp;O$2&amp;O$1&amp;"C"&amp;$A46))),0),IF($A$2="MAXPAIN",IF($A$4&gt;$A46,($A$4-$A46)*IF(RTD("tos.rtd",,"OPEN_INT","."&amp;O$2&amp;O$1&amp;"C"&amp;$A46)="N/A",0,RTD("tos.rtd",,"OPEN_INT","."&amp;O$2&amp;O$1&amp;"C"&amp;$A46)),0)+IF($A$4&lt;$A46,($A$5-$A$4)*IF(RTD("tos.rtd",,"OPEN_INT","."&amp;O$2&amp;O$1&amp;"P"&amp;$A46)="N/A",0,RTD("tos.rtd",,"OPEN_INT","."&amp;O$2&amp;O$1&amp;"P"&amp;$A46)),0),IF($X$1="ABS",IF(RTD("tos.rtd",,$A$2,"."&amp;O$2&amp;O$1&amp;"C"&amp;$A46)="N/A",0,RTD("tos.rtd",,$A$2,"."&amp;O$2&amp;O$1&amp;"C"&amp;$A46))+IF(RTD("tos.rtd",,$A$2,"."&amp;O$2&amp;O$1&amp;"P"&amp;$A46)="N/A",0,RTD("tos.rtd",,$A$2,"."&amp;O$2&amp;O$1&amp;"P"&amp;$A46)),IF(RTD("tos.rtd",,$A$2,"."&amp;O$2&amp;O$1&amp;"C"&amp;$A46)="N/A",0,RTD("tos.rtd",,$A$2,"."&amp;O$2&amp;O$1&amp;"C"&amp;$A46))-IF(RTD("tos.rtd",,$A$2,"."&amp;O$2&amp;O$1&amp;"P"&amp;$A46)="N/A",0,RTD("tos.rtd",,$A$2,"."&amp;O$2&amp;O$1&amp;"P"&amp;$A46))))))))))</f>
        <v>0</v>
      </c>
      <c r="P46" s="12">
        <f ca="1">IF($A$2="PREMIUM_OI",IFERROR(IF($X$1="ABS",(100*RTD("tos.rtd",,"OPEN_INT","."&amp;P$2&amp;P$1&amp;"C"&amp;$A46)*RTD("tos.rtd",,"LAST","."&amp;P$2&amp;P$1&amp;"C"&amp;$A46)+100*RTD("tos.rtd",,"OPEN_INT","."&amp;P$2&amp;P$1&amp;"P"&amp;$A46)*RTD("tos.rtd",,"LAST","."&amp;P$2&amp;P$1&amp;"P"&amp;$A46))/1000000,(100*RTD("tos.rtd",,"OPEN_INT","."&amp;P$2&amp;P$1&amp;"C"&amp;$A46)*RTD("tos.rtd",,"LAST","."&amp;P$2&amp;P$1&amp;"C"&amp;$A46)-100*RTD("tos.rtd",,"OPEN_INT","."&amp;P$2&amp;P$1&amp;"P"&amp;$A46)*RTD("tos.rtd",,"LAST","."&amp;P$2&amp;P$1&amp;"P"&amp;$A46))/1000000),0),IF($A$2="PREMIUM",IFERROR(IF($X$1="ABS",(100*RTD("tos.rtd",,"VOLUME","."&amp;P$2&amp;P$1&amp;"C"&amp;$A46)*RTD("tos.rtd",,"LAST","."&amp;P$2&amp;P$1&amp;"C"&amp;$A46)+100*RTD("tos.rtd",,"VOLUME","."&amp;P$2&amp;P$1&amp;"P"&amp;$A46)*RTD("tos.rtd",,"LAST","."&amp;P$2&amp;P$1&amp;"P"&amp;$A46))/1000000,(100*RTD("tos.rtd",,"VOLUME","."&amp;P$2&amp;P$1&amp;"C"&amp;$A46)*RTD("tos.rtd",,"LAST","."&amp;P$2&amp;P$1&amp;"C"&amp;$A46)-100*RTD("tos.rtd",,"VOLUME","."&amp;P$2&amp;P$1&amp;"P"&amp;$A46)*RTD("tos.rtd",,"LAST","."&amp;P$2&amp;P$1&amp;"P"&amp;$A46))/1000000),0),IF($A$2="DEX",IFERROR(IF($X$1="ABS",(100*RTD("tos.rtd",,"OPEN_INT","."&amp;P$2&amp;P$1&amp;"C"&amp;$A46)*RTD("tos.rtd",,"DELTA","."&amp;P$2&amp;P$1&amp;"C"&amp;$A46)+100*RTD("tos.rtd",,"OPEN_INT","."&amp;P$2&amp;P$1&amp;"P"&amp;$A46)*RTD("tos.rtd",,"DELTA","."&amp;P$2&amp;P$1&amp;"P"&amp;$A46))/1000,(100*RTD("tos.rtd",,"OPEN_INT","."&amp;P$2&amp;P$1&amp;"C"&amp;$A46)*RTD("tos.rtd",,"DELTA","."&amp;P$2&amp;P$1&amp;"C"&amp;$A46)-100*RTD("tos.rtd",,"OPEN_INT","."&amp;P$2&amp;P$1&amp;"P"&amp;$A46)*RTD("tos.rtd",,"DELTA","."&amp;P$2&amp;P$1&amp;"P"&amp;$A46))/1000),0),IF($A$2="VEX",IFERROR(IF($X$1="ABS",($A$4*$A$4*RTD("tos.rtd",,"VOLUME","."&amp;P$2&amp;P$1&amp;"C"&amp;$A46)*RTD("tos.rtd",,"GAMMA","."&amp;P$2&amp;P$1&amp;"C"&amp;$A46)+$A$4*$A$4*RTD("tos.rtd",,"VOLUME","."&amp;P$2&amp;P$1&amp;"P"&amp;$A46)*RTD("tos.rtd",,"GAMMA","."&amp;P$2&amp;P$1&amp;"P"&amp;$A46))/1000000,($A$4*$A$4*RTD("tos.rtd",,"VOLUME","."&amp;P$2&amp;P$1&amp;"C"&amp;$A46)*RTD("tos.rtd",,"GAMMA","."&amp;P$2&amp;P$1&amp;"C"&amp;$A46)-$A$4*$A$4*RTD("tos.rtd",,"VOLUME","."&amp;P$2&amp;P$1&amp;"P"&amp;$A46)*RTD("tos.rtd",,"GAMMA","."&amp;P$2&amp;P$1&amp;"P"&amp;$A46))/1000000),0),IF($A$2="GEX",IFERROR(IF($X$1="ABS",($A$4*$A$4*RTD("tos.rtd",,"OPEN_INT","."&amp;P$2&amp;P$1&amp;"C"&amp;$A46)*RTD("tos.rtd",,"GAMMA","."&amp;P$2&amp;P$1&amp;"C"&amp;$A46)+$A$4*$A$4*RTD("tos.rtd",,"OPEN_INT","."&amp;P$2&amp;P$1&amp;"P"&amp;$A46)*RTD("tos.rtd",,"GAMMA","."&amp;P$2&amp;P$1&amp;"P"&amp;$A46))/1000000,($A$4*$A$4*RTD("tos.rtd",,"OPEN_INT","."&amp;P$2&amp;P$1&amp;"C"&amp;$A46)*RTD("tos.rtd",,"GAMMA","."&amp;P$2&amp;P$1&amp;"C"&amp;$A46)-$A$4*$A$4*RTD("tos.rtd",,"OPEN_INT","."&amp;P$2&amp;P$1&amp;"P"&amp;$A46)*RTD("tos.rtd",,"GAMMA","."&amp;P$2&amp;P$1&amp;"P"&amp;$A46))/1000000),0),IF($A$2="SKEW",IFERROR(VALUE(IF(RTD("tos.rtd",,"IMPL_VOL","."&amp;P$2&amp;P$1&amp;"P"&amp;$A46)="N/A",0,RTD("tos.rtd",,"IMPL_VOL","."&amp;P$2&amp;P$1&amp;"P"&amp;$A46))),0)-IFERROR(VALUE(IF(RTD("tos.rtd",,"IMPL_VOL","."&amp;P$2&amp;P$1&amp;"C"&amp;$A46)="N/A",0,RTD("tos.rtd",,"IMPL_VOL","."&amp;P$2&amp;P$1&amp;"C"&amp;$A46))),0),IF($A$2="MAXPAIN",IF($A$4&gt;$A46,($A$4-$A46)*IF(RTD("tos.rtd",,"OPEN_INT","."&amp;P$2&amp;P$1&amp;"C"&amp;$A46)="N/A",0,RTD("tos.rtd",,"OPEN_INT","."&amp;P$2&amp;P$1&amp;"C"&amp;$A46)),0)+IF($A$4&lt;$A46,($A$5-$A$4)*IF(RTD("tos.rtd",,"OPEN_INT","."&amp;P$2&amp;P$1&amp;"P"&amp;$A46)="N/A",0,RTD("tos.rtd",,"OPEN_INT","."&amp;P$2&amp;P$1&amp;"P"&amp;$A46)),0),IF($X$1="ABS",IF(RTD("tos.rtd",,$A$2,"."&amp;P$2&amp;P$1&amp;"C"&amp;$A46)="N/A",0,RTD("tos.rtd",,$A$2,"."&amp;P$2&amp;P$1&amp;"C"&amp;$A46))+IF(RTD("tos.rtd",,$A$2,"."&amp;P$2&amp;P$1&amp;"P"&amp;$A46)="N/A",0,RTD("tos.rtd",,$A$2,"."&amp;P$2&amp;P$1&amp;"P"&amp;$A46)),IF(RTD("tos.rtd",,$A$2,"."&amp;P$2&amp;P$1&amp;"C"&amp;$A46)="N/A",0,RTD("tos.rtd",,$A$2,"."&amp;P$2&amp;P$1&amp;"C"&amp;$A46))-IF(RTD("tos.rtd",,$A$2,"."&amp;P$2&amp;P$1&amp;"P"&amp;$A46)="N/A",0,RTD("tos.rtd",,$A$2,"."&amp;P$2&amp;P$1&amp;"P"&amp;$A46))))))))))</f>
        <v>0</v>
      </c>
      <c r="Q46" s="12">
        <f ca="1">IF($A$2="PREMIUM_OI",IFERROR(IF($X$1="ABS",(100*RTD("tos.rtd",,"OPEN_INT","."&amp;Q$2&amp;Q$1&amp;"C"&amp;$A46)*RTD("tos.rtd",,"LAST","."&amp;Q$2&amp;Q$1&amp;"C"&amp;$A46)+100*RTD("tos.rtd",,"OPEN_INT","."&amp;Q$2&amp;Q$1&amp;"P"&amp;$A46)*RTD("tos.rtd",,"LAST","."&amp;Q$2&amp;Q$1&amp;"P"&amp;$A46))/1000000,(100*RTD("tos.rtd",,"OPEN_INT","."&amp;Q$2&amp;Q$1&amp;"C"&amp;$A46)*RTD("tos.rtd",,"LAST","."&amp;Q$2&amp;Q$1&amp;"C"&amp;$A46)-100*RTD("tos.rtd",,"OPEN_INT","."&amp;Q$2&amp;Q$1&amp;"P"&amp;$A46)*RTD("tos.rtd",,"LAST","."&amp;Q$2&amp;Q$1&amp;"P"&amp;$A46))/1000000),0),IF($A$2="PREMIUM",IFERROR(IF($X$1="ABS",(100*RTD("tos.rtd",,"VOLUME","."&amp;Q$2&amp;Q$1&amp;"C"&amp;$A46)*RTD("tos.rtd",,"LAST","."&amp;Q$2&amp;Q$1&amp;"C"&amp;$A46)+100*RTD("tos.rtd",,"VOLUME","."&amp;Q$2&amp;Q$1&amp;"P"&amp;$A46)*RTD("tos.rtd",,"LAST","."&amp;Q$2&amp;Q$1&amp;"P"&amp;$A46))/1000000,(100*RTD("tos.rtd",,"VOLUME","."&amp;Q$2&amp;Q$1&amp;"C"&amp;$A46)*RTD("tos.rtd",,"LAST","."&amp;Q$2&amp;Q$1&amp;"C"&amp;$A46)-100*RTD("tos.rtd",,"VOLUME","."&amp;Q$2&amp;Q$1&amp;"P"&amp;$A46)*RTD("tos.rtd",,"LAST","."&amp;Q$2&amp;Q$1&amp;"P"&amp;$A46))/1000000),0),IF($A$2="DEX",IFERROR(IF($X$1="ABS",(100*RTD("tos.rtd",,"OPEN_INT","."&amp;Q$2&amp;Q$1&amp;"C"&amp;$A46)*RTD("tos.rtd",,"DELTA","."&amp;Q$2&amp;Q$1&amp;"C"&amp;$A46)+100*RTD("tos.rtd",,"OPEN_INT","."&amp;Q$2&amp;Q$1&amp;"P"&amp;$A46)*RTD("tos.rtd",,"DELTA","."&amp;Q$2&amp;Q$1&amp;"P"&amp;$A46))/1000,(100*RTD("tos.rtd",,"OPEN_INT","."&amp;Q$2&amp;Q$1&amp;"C"&amp;$A46)*RTD("tos.rtd",,"DELTA","."&amp;Q$2&amp;Q$1&amp;"C"&amp;$A46)-100*RTD("tos.rtd",,"OPEN_INT","."&amp;Q$2&amp;Q$1&amp;"P"&amp;$A46)*RTD("tos.rtd",,"DELTA","."&amp;Q$2&amp;Q$1&amp;"P"&amp;$A46))/1000),0),IF($A$2="VEX",IFERROR(IF($X$1="ABS",($A$4*$A$4*RTD("tos.rtd",,"VOLUME","."&amp;Q$2&amp;Q$1&amp;"C"&amp;$A46)*RTD("tos.rtd",,"GAMMA","."&amp;Q$2&amp;Q$1&amp;"C"&amp;$A46)+$A$4*$A$4*RTD("tos.rtd",,"VOLUME","."&amp;Q$2&amp;Q$1&amp;"P"&amp;$A46)*RTD("tos.rtd",,"GAMMA","."&amp;Q$2&amp;Q$1&amp;"P"&amp;$A46))/1000000,($A$4*$A$4*RTD("tos.rtd",,"VOLUME","."&amp;Q$2&amp;Q$1&amp;"C"&amp;$A46)*RTD("tos.rtd",,"GAMMA","."&amp;Q$2&amp;Q$1&amp;"C"&amp;$A46)-$A$4*$A$4*RTD("tos.rtd",,"VOLUME","."&amp;Q$2&amp;Q$1&amp;"P"&amp;$A46)*RTD("tos.rtd",,"GAMMA","."&amp;Q$2&amp;Q$1&amp;"P"&amp;$A46))/1000000),0),IF($A$2="GEX",IFERROR(IF($X$1="ABS",($A$4*$A$4*RTD("tos.rtd",,"OPEN_INT","."&amp;Q$2&amp;Q$1&amp;"C"&amp;$A46)*RTD("tos.rtd",,"GAMMA","."&amp;Q$2&amp;Q$1&amp;"C"&amp;$A46)+$A$4*$A$4*RTD("tos.rtd",,"OPEN_INT","."&amp;Q$2&amp;Q$1&amp;"P"&amp;$A46)*RTD("tos.rtd",,"GAMMA","."&amp;Q$2&amp;Q$1&amp;"P"&amp;$A46))/1000000,($A$4*$A$4*RTD("tos.rtd",,"OPEN_INT","."&amp;Q$2&amp;Q$1&amp;"C"&amp;$A46)*RTD("tos.rtd",,"GAMMA","."&amp;Q$2&amp;Q$1&amp;"C"&amp;$A46)-$A$4*$A$4*RTD("tos.rtd",,"OPEN_INT","."&amp;Q$2&amp;Q$1&amp;"P"&amp;$A46)*RTD("tos.rtd",,"GAMMA","."&amp;Q$2&amp;Q$1&amp;"P"&amp;$A46))/1000000),0),IF($A$2="SKEW",IFERROR(VALUE(IF(RTD("tos.rtd",,"IMPL_VOL","."&amp;Q$2&amp;Q$1&amp;"P"&amp;$A46)="N/A",0,RTD("tos.rtd",,"IMPL_VOL","."&amp;Q$2&amp;Q$1&amp;"P"&amp;$A46))),0)-IFERROR(VALUE(IF(RTD("tos.rtd",,"IMPL_VOL","."&amp;Q$2&amp;Q$1&amp;"C"&amp;$A46)="N/A",0,RTD("tos.rtd",,"IMPL_VOL","."&amp;Q$2&amp;Q$1&amp;"C"&amp;$A46))),0),IF($A$2="MAXPAIN",IF($A$4&gt;$A46,($A$4-$A46)*IF(RTD("tos.rtd",,"OPEN_INT","."&amp;Q$2&amp;Q$1&amp;"C"&amp;$A46)="N/A",0,RTD("tos.rtd",,"OPEN_INT","."&amp;Q$2&amp;Q$1&amp;"C"&amp;$A46)),0)+IF($A$4&lt;$A46,($A$5-$A$4)*IF(RTD("tos.rtd",,"OPEN_INT","."&amp;Q$2&amp;Q$1&amp;"P"&amp;$A46)="N/A",0,RTD("tos.rtd",,"OPEN_INT","."&amp;Q$2&amp;Q$1&amp;"P"&amp;$A46)),0),IF($X$1="ABS",IF(RTD("tos.rtd",,$A$2,"."&amp;Q$2&amp;Q$1&amp;"C"&amp;$A46)="N/A",0,RTD("tos.rtd",,$A$2,"."&amp;Q$2&amp;Q$1&amp;"C"&amp;$A46))+IF(RTD("tos.rtd",,$A$2,"."&amp;Q$2&amp;Q$1&amp;"P"&amp;$A46)="N/A",0,RTD("tos.rtd",,$A$2,"."&amp;Q$2&amp;Q$1&amp;"P"&amp;$A46)),IF(RTD("tos.rtd",,$A$2,"."&amp;Q$2&amp;Q$1&amp;"C"&amp;$A46)="N/A",0,RTD("tos.rtd",,$A$2,"."&amp;Q$2&amp;Q$1&amp;"C"&amp;$A46))-IF(RTD("tos.rtd",,$A$2,"."&amp;Q$2&amp;Q$1&amp;"P"&amp;$A46)="N/A",0,RTD("tos.rtd",,$A$2,"."&amp;Q$2&amp;Q$1&amp;"P"&amp;$A46))))))))))</f>
        <v>0</v>
      </c>
      <c r="R46" s="12">
        <f ca="1">IF($A$2="PREMIUM_OI",IFERROR(IF($X$1="ABS",(100*RTD("tos.rtd",,"OPEN_INT","."&amp;R$2&amp;R$1&amp;"C"&amp;$A46)*RTD("tos.rtd",,"LAST","."&amp;R$2&amp;R$1&amp;"C"&amp;$A46)+100*RTD("tos.rtd",,"OPEN_INT","."&amp;R$2&amp;R$1&amp;"P"&amp;$A46)*RTD("tos.rtd",,"LAST","."&amp;R$2&amp;R$1&amp;"P"&amp;$A46))/1000000,(100*RTD("tos.rtd",,"OPEN_INT","."&amp;R$2&amp;R$1&amp;"C"&amp;$A46)*RTD("tos.rtd",,"LAST","."&amp;R$2&amp;R$1&amp;"C"&amp;$A46)-100*RTD("tos.rtd",,"OPEN_INT","."&amp;R$2&amp;R$1&amp;"P"&amp;$A46)*RTD("tos.rtd",,"LAST","."&amp;R$2&amp;R$1&amp;"P"&amp;$A46))/1000000),0),IF($A$2="PREMIUM",IFERROR(IF($X$1="ABS",(100*RTD("tos.rtd",,"VOLUME","."&amp;R$2&amp;R$1&amp;"C"&amp;$A46)*RTD("tos.rtd",,"LAST","."&amp;R$2&amp;R$1&amp;"C"&amp;$A46)+100*RTD("tos.rtd",,"VOLUME","."&amp;R$2&amp;R$1&amp;"P"&amp;$A46)*RTD("tos.rtd",,"LAST","."&amp;R$2&amp;R$1&amp;"P"&amp;$A46))/1000000,(100*RTD("tos.rtd",,"VOLUME","."&amp;R$2&amp;R$1&amp;"C"&amp;$A46)*RTD("tos.rtd",,"LAST","."&amp;R$2&amp;R$1&amp;"C"&amp;$A46)-100*RTD("tos.rtd",,"VOLUME","."&amp;R$2&amp;R$1&amp;"P"&amp;$A46)*RTD("tos.rtd",,"LAST","."&amp;R$2&amp;R$1&amp;"P"&amp;$A46))/1000000),0),IF($A$2="DEX",IFERROR(IF($X$1="ABS",(100*RTD("tos.rtd",,"OPEN_INT","."&amp;R$2&amp;R$1&amp;"C"&amp;$A46)*RTD("tos.rtd",,"DELTA","."&amp;R$2&amp;R$1&amp;"C"&amp;$A46)+100*RTD("tos.rtd",,"OPEN_INT","."&amp;R$2&amp;R$1&amp;"P"&amp;$A46)*RTD("tos.rtd",,"DELTA","."&amp;R$2&amp;R$1&amp;"P"&amp;$A46))/1000,(100*RTD("tos.rtd",,"OPEN_INT","."&amp;R$2&amp;R$1&amp;"C"&amp;$A46)*RTD("tos.rtd",,"DELTA","."&amp;R$2&amp;R$1&amp;"C"&amp;$A46)-100*RTD("tos.rtd",,"OPEN_INT","."&amp;R$2&amp;R$1&amp;"P"&amp;$A46)*RTD("tos.rtd",,"DELTA","."&amp;R$2&amp;R$1&amp;"P"&amp;$A46))/1000),0),IF($A$2="VEX",IFERROR(IF($X$1="ABS",($A$4*$A$4*RTD("tos.rtd",,"VOLUME","."&amp;R$2&amp;R$1&amp;"C"&amp;$A46)*RTD("tos.rtd",,"GAMMA","."&amp;R$2&amp;R$1&amp;"C"&amp;$A46)+$A$4*$A$4*RTD("tos.rtd",,"VOLUME","."&amp;R$2&amp;R$1&amp;"P"&amp;$A46)*RTD("tos.rtd",,"GAMMA","."&amp;R$2&amp;R$1&amp;"P"&amp;$A46))/1000000,($A$4*$A$4*RTD("tos.rtd",,"VOLUME","."&amp;R$2&amp;R$1&amp;"C"&amp;$A46)*RTD("tos.rtd",,"GAMMA","."&amp;R$2&amp;R$1&amp;"C"&amp;$A46)-$A$4*$A$4*RTD("tos.rtd",,"VOLUME","."&amp;R$2&amp;R$1&amp;"P"&amp;$A46)*RTD("tos.rtd",,"GAMMA","."&amp;R$2&amp;R$1&amp;"P"&amp;$A46))/1000000),0),IF($A$2="GEX",IFERROR(IF($X$1="ABS",($A$4*$A$4*RTD("tos.rtd",,"OPEN_INT","."&amp;R$2&amp;R$1&amp;"C"&amp;$A46)*RTD("tos.rtd",,"GAMMA","."&amp;R$2&amp;R$1&amp;"C"&amp;$A46)+$A$4*$A$4*RTD("tos.rtd",,"OPEN_INT","."&amp;R$2&amp;R$1&amp;"P"&amp;$A46)*RTD("tos.rtd",,"GAMMA","."&amp;R$2&amp;R$1&amp;"P"&amp;$A46))/1000000,($A$4*$A$4*RTD("tos.rtd",,"OPEN_INT","."&amp;R$2&amp;R$1&amp;"C"&amp;$A46)*RTD("tos.rtd",,"GAMMA","."&amp;R$2&amp;R$1&amp;"C"&amp;$A46)-$A$4*$A$4*RTD("tos.rtd",,"OPEN_INT","."&amp;R$2&amp;R$1&amp;"P"&amp;$A46)*RTD("tos.rtd",,"GAMMA","."&amp;R$2&amp;R$1&amp;"P"&amp;$A46))/1000000),0),IF($A$2="SKEW",IFERROR(VALUE(IF(RTD("tos.rtd",,"IMPL_VOL","."&amp;R$2&amp;R$1&amp;"P"&amp;$A46)="N/A",0,RTD("tos.rtd",,"IMPL_VOL","."&amp;R$2&amp;R$1&amp;"P"&amp;$A46))),0)-IFERROR(VALUE(IF(RTD("tos.rtd",,"IMPL_VOL","."&amp;R$2&amp;R$1&amp;"C"&amp;$A46)="N/A",0,RTD("tos.rtd",,"IMPL_VOL","."&amp;R$2&amp;R$1&amp;"C"&amp;$A46))),0),IF($A$2="MAXPAIN",IF($A$4&gt;$A46,($A$4-$A46)*IF(RTD("tos.rtd",,"OPEN_INT","."&amp;R$2&amp;R$1&amp;"C"&amp;$A46)="N/A",0,RTD("tos.rtd",,"OPEN_INT","."&amp;R$2&amp;R$1&amp;"C"&amp;$A46)),0)+IF($A$4&lt;$A46,($A$5-$A$4)*IF(RTD("tos.rtd",,"OPEN_INT","."&amp;R$2&amp;R$1&amp;"P"&amp;$A46)="N/A",0,RTD("tos.rtd",,"OPEN_INT","."&amp;R$2&amp;R$1&amp;"P"&amp;$A46)),0),IF($X$1="ABS",IF(RTD("tos.rtd",,$A$2,"."&amp;R$2&amp;R$1&amp;"C"&amp;$A46)="N/A",0,RTD("tos.rtd",,$A$2,"."&amp;R$2&amp;R$1&amp;"C"&amp;$A46))+IF(RTD("tos.rtd",,$A$2,"."&amp;R$2&amp;R$1&amp;"P"&amp;$A46)="N/A",0,RTD("tos.rtd",,$A$2,"."&amp;R$2&amp;R$1&amp;"P"&amp;$A46)),IF(RTD("tos.rtd",,$A$2,"."&amp;R$2&amp;R$1&amp;"C"&amp;$A46)="N/A",0,RTD("tos.rtd",,$A$2,"."&amp;R$2&amp;R$1&amp;"C"&amp;$A46))-IF(RTD("tos.rtd",,$A$2,"."&amp;R$2&amp;R$1&amp;"P"&amp;$A46)="N/A",0,RTD("tos.rtd",,$A$2,"."&amp;R$2&amp;R$1&amp;"P"&amp;$A46))))))))))</f>
        <v>0</v>
      </c>
      <c r="S46" s="12">
        <f ca="1">IF($A$2="PREMIUM_OI",IFERROR(IF($X$1="ABS",(100*RTD("tos.rtd",,"OPEN_INT","."&amp;S$2&amp;S$1&amp;"C"&amp;$A46)*RTD("tos.rtd",,"LAST","."&amp;S$2&amp;S$1&amp;"C"&amp;$A46)+100*RTD("tos.rtd",,"OPEN_INT","."&amp;S$2&amp;S$1&amp;"P"&amp;$A46)*RTD("tos.rtd",,"LAST","."&amp;S$2&amp;S$1&amp;"P"&amp;$A46))/1000000,(100*RTD("tos.rtd",,"OPEN_INT","."&amp;S$2&amp;S$1&amp;"C"&amp;$A46)*RTD("tos.rtd",,"LAST","."&amp;S$2&amp;S$1&amp;"C"&amp;$A46)-100*RTD("tos.rtd",,"OPEN_INT","."&amp;S$2&amp;S$1&amp;"P"&amp;$A46)*RTD("tos.rtd",,"LAST","."&amp;S$2&amp;S$1&amp;"P"&amp;$A46))/1000000),0),IF($A$2="PREMIUM",IFERROR(IF($X$1="ABS",(100*RTD("tos.rtd",,"VOLUME","."&amp;S$2&amp;S$1&amp;"C"&amp;$A46)*RTD("tos.rtd",,"LAST","."&amp;S$2&amp;S$1&amp;"C"&amp;$A46)+100*RTD("tos.rtd",,"VOLUME","."&amp;S$2&amp;S$1&amp;"P"&amp;$A46)*RTD("tos.rtd",,"LAST","."&amp;S$2&amp;S$1&amp;"P"&amp;$A46))/1000000,(100*RTD("tos.rtd",,"VOLUME","."&amp;S$2&amp;S$1&amp;"C"&amp;$A46)*RTD("tos.rtd",,"LAST","."&amp;S$2&amp;S$1&amp;"C"&amp;$A46)-100*RTD("tos.rtd",,"VOLUME","."&amp;S$2&amp;S$1&amp;"P"&amp;$A46)*RTD("tos.rtd",,"LAST","."&amp;S$2&amp;S$1&amp;"P"&amp;$A46))/1000000),0),IF($A$2="DEX",IFERROR(IF($X$1="ABS",(100*RTD("tos.rtd",,"OPEN_INT","."&amp;S$2&amp;S$1&amp;"C"&amp;$A46)*RTD("tos.rtd",,"DELTA","."&amp;S$2&amp;S$1&amp;"C"&amp;$A46)+100*RTD("tos.rtd",,"OPEN_INT","."&amp;S$2&amp;S$1&amp;"P"&amp;$A46)*RTD("tos.rtd",,"DELTA","."&amp;S$2&amp;S$1&amp;"P"&amp;$A46))/1000,(100*RTD("tos.rtd",,"OPEN_INT","."&amp;S$2&amp;S$1&amp;"C"&amp;$A46)*RTD("tos.rtd",,"DELTA","."&amp;S$2&amp;S$1&amp;"C"&amp;$A46)-100*RTD("tos.rtd",,"OPEN_INT","."&amp;S$2&amp;S$1&amp;"P"&amp;$A46)*RTD("tos.rtd",,"DELTA","."&amp;S$2&amp;S$1&amp;"P"&amp;$A46))/1000),0),IF($A$2="VEX",IFERROR(IF($X$1="ABS",($A$4*$A$4*RTD("tos.rtd",,"VOLUME","."&amp;S$2&amp;S$1&amp;"C"&amp;$A46)*RTD("tos.rtd",,"GAMMA","."&amp;S$2&amp;S$1&amp;"C"&amp;$A46)+$A$4*$A$4*RTD("tos.rtd",,"VOLUME","."&amp;S$2&amp;S$1&amp;"P"&amp;$A46)*RTD("tos.rtd",,"GAMMA","."&amp;S$2&amp;S$1&amp;"P"&amp;$A46))/1000000,($A$4*$A$4*RTD("tos.rtd",,"VOLUME","."&amp;S$2&amp;S$1&amp;"C"&amp;$A46)*RTD("tos.rtd",,"GAMMA","."&amp;S$2&amp;S$1&amp;"C"&amp;$A46)-$A$4*$A$4*RTD("tos.rtd",,"VOLUME","."&amp;S$2&amp;S$1&amp;"P"&amp;$A46)*RTD("tos.rtd",,"GAMMA","."&amp;S$2&amp;S$1&amp;"P"&amp;$A46))/1000000),0),IF($A$2="GEX",IFERROR(IF($X$1="ABS",($A$4*$A$4*RTD("tos.rtd",,"OPEN_INT","."&amp;S$2&amp;S$1&amp;"C"&amp;$A46)*RTD("tos.rtd",,"GAMMA","."&amp;S$2&amp;S$1&amp;"C"&amp;$A46)+$A$4*$A$4*RTD("tos.rtd",,"OPEN_INT","."&amp;S$2&amp;S$1&amp;"P"&amp;$A46)*RTD("tos.rtd",,"GAMMA","."&amp;S$2&amp;S$1&amp;"P"&amp;$A46))/1000000,($A$4*$A$4*RTD("tos.rtd",,"OPEN_INT","."&amp;S$2&amp;S$1&amp;"C"&amp;$A46)*RTD("tos.rtd",,"GAMMA","."&amp;S$2&amp;S$1&amp;"C"&amp;$A46)-$A$4*$A$4*RTD("tos.rtd",,"OPEN_INT","."&amp;S$2&amp;S$1&amp;"P"&amp;$A46)*RTD("tos.rtd",,"GAMMA","."&amp;S$2&amp;S$1&amp;"P"&amp;$A46))/1000000),0),IF($A$2="SKEW",IFERROR(VALUE(IF(RTD("tos.rtd",,"IMPL_VOL","."&amp;S$2&amp;S$1&amp;"P"&amp;$A46)="N/A",0,RTD("tos.rtd",,"IMPL_VOL","."&amp;S$2&amp;S$1&amp;"P"&amp;$A46))),0)-IFERROR(VALUE(IF(RTD("tos.rtd",,"IMPL_VOL","."&amp;S$2&amp;S$1&amp;"C"&amp;$A46)="N/A",0,RTD("tos.rtd",,"IMPL_VOL","."&amp;S$2&amp;S$1&amp;"C"&amp;$A46))),0),IF($A$2="MAXPAIN",IF($A$4&gt;$A46,($A$4-$A46)*IF(RTD("tos.rtd",,"OPEN_INT","."&amp;S$2&amp;S$1&amp;"C"&amp;$A46)="N/A",0,RTD("tos.rtd",,"OPEN_INT","."&amp;S$2&amp;S$1&amp;"C"&amp;$A46)),0)+IF($A$4&lt;$A46,($A$5-$A$4)*IF(RTD("tos.rtd",,"OPEN_INT","."&amp;S$2&amp;S$1&amp;"P"&amp;$A46)="N/A",0,RTD("tos.rtd",,"OPEN_INT","."&amp;S$2&amp;S$1&amp;"P"&amp;$A46)),0),IF($X$1="ABS",IF(RTD("tos.rtd",,$A$2,"."&amp;S$2&amp;S$1&amp;"C"&amp;$A46)="N/A",0,RTD("tos.rtd",,$A$2,"."&amp;S$2&amp;S$1&amp;"C"&amp;$A46))+IF(RTD("tos.rtd",,$A$2,"."&amp;S$2&amp;S$1&amp;"P"&amp;$A46)="N/A",0,RTD("tos.rtd",,$A$2,"."&amp;S$2&amp;S$1&amp;"P"&amp;$A46)),IF(RTD("tos.rtd",,$A$2,"."&amp;S$2&amp;S$1&amp;"C"&amp;$A46)="N/A",0,RTD("tos.rtd",,$A$2,"."&amp;S$2&amp;S$1&amp;"C"&amp;$A46))-IF(RTD("tos.rtd",,$A$2,"."&amp;S$2&amp;S$1&amp;"P"&amp;$A46)="N/A",0,RTD("tos.rtd",,$A$2,"."&amp;S$2&amp;S$1&amp;"P"&amp;$A46))))))))))</f>
        <v>0</v>
      </c>
      <c r="T46" s="12">
        <f ca="1">IF($A$2="PREMIUM_OI",IFERROR(IF($X$1="ABS",(100*RTD("tos.rtd",,"OPEN_INT","."&amp;T$2&amp;T$1&amp;"C"&amp;$A46)*RTD("tos.rtd",,"LAST","."&amp;T$2&amp;T$1&amp;"C"&amp;$A46)+100*RTD("tos.rtd",,"OPEN_INT","."&amp;T$2&amp;T$1&amp;"P"&amp;$A46)*RTD("tos.rtd",,"LAST","."&amp;T$2&amp;T$1&amp;"P"&amp;$A46))/1000000,(100*RTD("tos.rtd",,"OPEN_INT","."&amp;T$2&amp;T$1&amp;"C"&amp;$A46)*RTD("tos.rtd",,"LAST","."&amp;T$2&amp;T$1&amp;"C"&amp;$A46)-100*RTD("tos.rtd",,"OPEN_INT","."&amp;T$2&amp;T$1&amp;"P"&amp;$A46)*RTD("tos.rtd",,"LAST","."&amp;T$2&amp;T$1&amp;"P"&amp;$A46))/1000000),0),IF($A$2="PREMIUM",IFERROR(IF($X$1="ABS",(100*RTD("tos.rtd",,"VOLUME","."&amp;T$2&amp;T$1&amp;"C"&amp;$A46)*RTD("tos.rtd",,"LAST","."&amp;T$2&amp;T$1&amp;"C"&amp;$A46)+100*RTD("tos.rtd",,"VOLUME","."&amp;T$2&amp;T$1&amp;"P"&amp;$A46)*RTD("tos.rtd",,"LAST","."&amp;T$2&amp;T$1&amp;"P"&amp;$A46))/1000000,(100*RTD("tos.rtd",,"VOLUME","."&amp;T$2&amp;T$1&amp;"C"&amp;$A46)*RTD("tos.rtd",,"LAST","."&amp;T$2&amp;T$1&amp;"C"&amp;$A46)-100*RTD("tos.rtd",,"VOLUME","."&amp;T$2&amp;T$1&amp;"P"&amp;$A46)*RTD("tos.rtd",,"LAST","."&amp;T$2&amp;T$1&amp;"P"&amp;$A46))/1000000),0),IF($A$2="DEX",IFERROR(IF($X$1="ABS",(100*RTD("tos.rtd",,"OPEN_INT","."&amp;T$2&amp;T$1&amp;"C"&amp;$A46)*RTD("tos.rtd",,"DELTA","."&amp;T$2&amp;T$1&amp;"C"&amp;$A46)+100*RTD("tos.rtd",,"OPEN_INT","."&amp;T$2&amp;T$1&amp;"P"&amp;$A46)*RTD("tos.rtd",,"DELTA","."&amp;T$2&amp;T$1&amp;"P"&amp;$A46))/1000,(100*RTD("tos.rtd",,"OPEN_INT","."&amp;T$2&amp;T$1&amp;"C"&amp;$A46)*RTD("tos.rtd",,"DELTA","."&amp;T$2&amp;T$1&amp;"C"&amp;$A46)-100*RTD("tos.rtd",,"OPEN_INT","."&amp;T$2&amp;T$1&amp;"P"&amp;$A46)*RTD("tos.rtd",,"DELTA","."&amp;T$2&amp;T$1&amp;"P"&amp;$A46))/1000),0),IF($A$2="VEX",IFERROR(IF($X$1="ABS",($A$4*$A$4*RTD("tos.rtd",,"VOLUME","."&amp;T$2&amp;T$1&amp;"C"&amp;$A46)*RTD("tos.rtd",,"GAMMA","."&amp;T$2&amp;T$1&amp;"C"&amp;$A46)+$A$4*$A$4*RTD("tos.rtd",,"VOLUME","."&amp;T$2&amp;T$1&amp;"P"&amp;$A46)*RTD("tos.rtd",,"GAMMA","."&amp;T$2&amp;T$1&amp;"P"&amp;$A46))/1000000,($A$4*$A$4*RTD("tos.rtd",,"VOLUME","."&amp;T$2&amp;T$1&amp;"C"&amp;$A46)*RTD("tos.rtd",,"GAMMA","."&amp;T$2&amp;T$1&amp;"C"&amp;$A46)-$A$4*$A$4*RTD("tos.rtd",,"VOLUME","."&amp;T$2&amp;T$1&amp;"P"&amp;$A46)*RTD("tos.rtd",,"GAMMA","."&amp;T$2&amp;T$1&amp;"P"&amp;$A46))/1000000),0),IF($A$2="GEX",IFERROR(IF($X$1="ABS",($A$4*$A$4*RTD("tos.rtd",,"OPEN_INT","."&amp;T$2&amp;T$1&amp;"C"&amp;$A46)*RTD("tos.rtd",,"GAMMA","."&amp;T$2&amp;T$1&amp;"C"&amp;$A46)+$A$4*$A$4*RTD("tos.rtd",,"OPEN_INT","."&amp;T$2&amp;T$1&amp;"P"&amp;$A46)*RTD("tos.rtd",,"GAMMA","."&amp;T$2&amp;T$1&amp;"P"&amp;$A46))/1000000,($A$4*$A$4*RTD("tos.rtd",,"OPEN_INT","."&amp;T$2&amp;T$1&amp;"C"&amp;$A46)*RTD("tos.rtd",,"GAMMA","."&amp;T$2&amp;T$1&amp;"C"&amp;$A46)-$A$4*$A$4*RTD("tos.rtd",,"OPEN_INT","."&amp;T$2&amp;T$1&amp;"P"&amp;$A46)*RTD("tos.rtd",,"GAMMA","."&amp;T$2&amp;T$1&amp;"P"&amp;$A46))/1000000),0),IF($A$2="SKEW",IFERROR(VALUE(IF(RTD("tos.rtd",,"IMPL_VOL","."&amp;T$2&amp;T$1&amp;"P"&amp;$A46)="N/A",0,RTD("tos.rtd",,"IMPL_VOL","."&amp;T$2&amp;T$1&amp;"P"&amp;$A46))),0)-IFERROR(VALUE(IF(RTD("tos.rtd",,"IMPL_VOL","."&amp;T$2&amp;T$1&amp;"C"&amp;$A46)="N/A",0,RTD("tos.rtd",,"IMPL_VOL","."&amp;T$2&amp;T$1&amp;"C"&amp;$A46))),0),IF($A$2="MAXPAIN",IF($A$4&gt;$A46,($A$4-$A46)*IF(RTD("tos.rtd",,"OPEN_INT","."&amp;T$2&amp;T$1&amp;"C"&amp;$A46)="N/A",0,RTD("tos.rtd",,"OPEN_INT","."&amp;T$2&amp;T$1&amp;"C"&amp;$A46)),0)+IF($A$4&lt;$A46,($A$5-$A$4)*IF(RTD("tos.rtd",,"OPEN_INT","."&amp;T$2&amp;T$1&amp;"P"&amp;$A46)="N/A",0,RTD("tos.rtd",,"OPEN_INT","."&amp;T$2&amp;T$1&amp;"P"&amp;$A46)),0),IF($X$1="ABS",IF(RTD("tos.rtd",,$A$2,"."&amp;T$2&amp;T$1&amp;"C"&amp;$A46)="N/A",0,RTD("tos.rtd",,$A$2,"."&amp;T$2&amp;T$1&amp;"C"&amp;$A46))+IF(RTD("tos.rtd",,$A$2,"."&amp;T$2&amp;T$1&amp;"P"&amp;$A46)="N/A",0,RTD("tos.rtd",,$A$2,"."&amp;T$2&amp;T$1&amp;"P"&amp;$A46)),IF(RTD("tos.rtd",,$A$2,"."&amp;T$2&amp;T$1&amp;"C"&amp;$A46)="N/A",0,RTD("tos.rtd",,$A$2,"."&amp;T$2&amp;T$1&amp;"C"&amp;$A46))-IF(RTD("tos.rtd",,$A$2,"."&amp;T$2&amp;T$1&amp;"P"&amp;$A46)="N/A",0,RTD("tos.rtd",,$A$2,"."&amp;T$2&amp;T$1&amp;"P"&amp;$A46))))))))))</f>
        <v>0</v>
      </c>
      <c r="U46" s="12">
        <f ca="1">IF($A$2="PREMIUM_OI",IFERROR(IF($X$1="ABS",(100*RTD("tos.rtd",,"OPEN_INT","."&amp;U$2&amp;U$1&amp;"C"&amp;$A46)*RTD("tos.rtd",,"LAST","."&amp;U$2&amp;U$1&amp;"C"&amp;$A46)+100*RTD("tos.rtd",,"OPEN_INT","."&amp;U$2&amp;U$1&amp;"P"&amp;$A46)*RTD("tos.rtd",,"LAST","."&amp;U$2&amp;U$1&amp;"P"&amp;$A46))/1000000,(100*RTD("tos.rtd",,"OPEN_INT","."&amp;U$2&amp;U$1&amp;"C"&amp;$A46)*RTD("tos.rtd",,"LAST","."&amp;U$2&amp;U$1&amp;"C"&amp;$A46)-100*RTD("tos.rtd",,"OPEN_INT","."&amp;U$2&amp;U$1&amp;"P"&amp;$A46)*RTD("tos.rtd",,"LAST","."&amp;U$2&amp;U$1&amp;"P"&amp;$A46))/1000000),0),IF($A$2="PREMIUM",IFERROR(IF($X$1="ABS",(100*RTD("tos.rtd",,"VOLUME","."&amp;U$2&amp;U$1&amp;"C"&amp;$A46)*RTD("tos.rtd",,"LAST","."&amp;U$2&amp;U$1&amp;"C"&amp;$A46)+100*RTD("tos.rtd",,"VOLUME","."&amp;U$2&amp;U$1&amp;"P"&amp;$A46)*RTD("tos.rtd",,"LAST","."&amp;U$2&amp;U$1&amp;"P"&amp;$A46))/1000000,(100*RTD("tos.rtd",,"VOLUME","."&amp;U$2&amp;U$1&amp;"C"&amp;$A46)*RTD("tos.rtd",,"LAST","."&amp;U$2&amp;U$1&amp;"C"&amp;$A46)-100*RTD("tos.rtd",,"VOLUME","."&amp;U$2&amp;U$1&amp;"P"&amp;$A46)*RTD("tos.rtd",,"LAST","."&amp;U$2&amp;U$1&amp;"P"&amp;$A46))/1000000),0),IF($A$2="DEX",IFERROR(IF($X$1="ABS",(100*RTD("tos.rtd",,"OPEN_INT","."&amp;U$2&amp;U$1&amp;"C"&amp;$A46)*RTD("tos.rtd",,"DELTA","."&amp;U$2&amp;U$1&amp;"C"&amp;$A46)+100*RTD("tos.rtd",,"OPEN_INT","."&amp;U$2&amp;U$1&amp;"P"&amp;$A46)*RTD("tos.rtd",,"DELTA","."&amp;U$2&amp;U$1&amp;"P"&amp;$A46))/1000,(100*RTD("tos.rtd",,"OPEN_INT","."&amp;U$2&amp;U$1&amp;"C"&amp;$A46)*RTD("tos.rtd",,"DELTA","."&amp;U$2&amp;U$1&amp;"C"&amp;$A46)-100*RTD("tos.rtd",,"OPEN_INT","."&amp;U$2&amp;U$1&amp;"P"&amp;$A46)*RTD("tos.rtd",,"DELTA","."&amp;U$2&amp;U$1&amp;"P"&amp;$A46))/1000),0),IF($A$2="VEX",IFERROR(IF($X$1="ABS",($A$4*$A$4*RTD("tos.rtd",,"VOLUME","."&amp;U$2&amp;U$1&amp;"C"&amp;$A46)*RTD("tos.rtd",,"GAMMA","."&amp;U$2&amp;U$1&amp;"C"&amp;$A46)+$A$4*$A$4*RTD("tos.rtd",,"VOLUME","."&amp;U$2&amp;U$1&amp;"P"&amp;$A46)*RTD("tos.rtd",,"GAMMA","."&amp;U$2&amp;U$1&amp;"P"&amp;$A46))/1000000,($A$4*$A$4*RTD("tos.rtd",,"VOLUME","."&amp;U$2&amp;U$1&amp;"C"&amp;$A46)*RTD("tos.rtd",,"GAMMA","."&amp;U$2&amp;U$1&amp;"C"&amp;$A46)-$A$4*$A$4*RTD("tos.rtd",,"VOLUME","."&amp;U$2&amp;U$1&amp;"P"&amp;$A46)*RTD("tos.rtd",,"GAMMA","."&amp;U$2&amp;U$1&amp;"P"&amp;$A46))/1000000),0),IF($A$2="GEX",IFERROR(IF($X$1="ABS",($A$4*$A$4*RTD("tos.rtd",,"OPEN_INT","."&amp;U$2&amp;U$1&amp;"C"&amp;$A46)*RTD("tos.rtd",,"GAMMA","."&amp;U$2&amp;U$1&amp;"C"&amp;$A46)+$A$4*$A$4*RTD("tos.rtd",,"OPEN_INT","."&amp;U$2&amp;U$1&amp;"P"&amp;$A46)*RTD("tos.rtd",,"GAMMA","."&amp;U$2&amp;U$1&amp;"P"&amp;$A46))/1000000,($A$4*$A$4*RTD("tos.rtd",,"OPEN_INT","."&amp;U$2&amp;U$1&amp;"C"&amp;$A46)*RTD("tos.rtd",,"GAMMA","."&amp;U$2&amp;U$1&amp;"C"&amp;$A46)-$A$4*$A$4*RTD("tos.rtd",,"OPEN_INT","."&amp;U$2&amp;U$1&amp;"P"&amp;$A46)*RTD("tos.rtd",,"GAMMA","."&amp;U$2&amp;U$1&amp;"P"&amp;$A46))/1000000),0),IF($A$2="SKEW",IFERROR(VALUE(IF(RTD("tos.rtd",,"IMPL_VOL","."&amp;U$2&amp;U$1&amp;"P"&amp;$A46)="N/A",0,RTD("tos.rtd",,"IMPL_VOL","."&amp;U$2&amp;U$1&amp;"P"&amp;$A46))),0)-IFERROR(VALUE(IF(RTD("tos.rtd",,"IMPL_VOL","."&amp;U$2&amp;U$1&amp;"C"&amp;$A46)="N/A",0,RTD("tos.rtd",,"IMPL_VOL","."&amp;U$2&amp;U$1&amp;"C"&amp;$A46))),0),IF($A$2="MAXPAIN",IF($A$4&gt;$A46,($A$4-$A46)*IF(RTD("tos.rtd",,"OPEN_INT","."&amp;U$2&amp;U$1&amp;"C"&amp;$A46)="N/A",0,RTD("tos.rtd",,"OPEN_INT","."&amp;U$2&amp;U$1&amp;"C"&amp;$A46)),0)+IF($A$4&lt;$A46,($A$5-$A$4)*IF(RTD("tos.rtd",,"OPEN_INT","."&amp;U$2&amp;U$1&amp;"P"&amp;$A46)="N/A",0,RTD("tos.rtd",,"OPEN_INT","."&amp;U$2&amp;U$1&amp;"P"&amp;$A46)),0),IF($X$1="ABS",IF(RTD("tos.rtd",,$A$2,"."&amp;U$2&amp;U$1&amp;"C"&amp;$A46)="N/A",0,RTD("tos.rtd",,$A$2,"."&amp;U$2&amp;U$1&amp;"C"&amp;$A46))+IF(RTD("tos.rtd",,$A$2,"."&amp;U$2&amp;U$1&amp;"P"&amp;$A46)="N/A",0,RTD("tos.rtd",,$A$2,"."&amp;U$2&amp;U$1&amp;"P"&amp;$A46)),IF(RTD("tos.rtd",,$A$2,"."&amp;U$2&amp;U$1&amp;"C"&amp;$A46)="N/A",0,RTD("tos.rtd",,$A$2,"."&amp;U$2&amp;U$1&amp;"C"&amp;$A46))-IF(RTD("tos.rtd",,$A$2,"."&amp;U$2&amp;U$1&amp;"P"&amp;$A46)="N/A",0,RTD("tos.rtd",,$A$2,"."&amp;U$2&amp;U$1&amp;"P"&amp;$A46))))))))))</f>
        <v>0</v>
      </c>
      <c r="V46" s="12">
        <f ca="1">IF($A$2="PREMIUM_OI",IFERROR(IF($X$1="ABS",(100*RTD("tos.rtd",,"OPEN_INT","."&amp;V$2&amp;V$1&amp;"C"&amp;$A46)*RTD("tos.rtd",,"LAST","."&amp;V$2&amp;V$1&amp;"C"&amp;$A46)+100*RTD("tos.rtd",,"OPEN_INT","."&amp;V$2&amp;V$1&amp;"P"&amp;$A46)*RTD("tos.rtd",,"LAST","."&amp;V$2&amp;V$1&amp;"P"&amp;$A46))/1000000,(100*RTD("tos.rtd",,"OPEN_INT","."&amp;V$2&amp;V$1&amp;"C"&amp;$A46)*RTD("tos.rtd",,"LAST","."&amp;V$2&amp;V$1&amp;"C"&amp;$A46)-100*RTD("tos.rtd",,"OPEN_INT","."&amp;V$2&amp;V$1&amp;"P"&amp;$A46)*RTD("tos.rtd",,"LAST","."&amp;V$2&amp;V$1&amp;"P"&amp;$A46))/1000000),0),IF($A$2="PREMIUM",IFERROR(IF($X$1="ABS",(100*RTD("tos.rtd",,"VOLUME","."&amp;V$2&amp;V$1&amp;"C"&amp;$A46)*RTD("tos.rtd",,"LAST","."&amp;V$2&amp;V$1&amp;"C"&amp;$A46)+100*RTD("tos.rtd",,"VOLUME","."&amp;V$2&amp;V$1&amp;"P"&amp;$A46)*RTD("tos.rtd",,"LAST","."&amp;V$2&amp;V$1&amp;"P"&amp;$A46))/1000000,(100*RTD("tos.rtd",,"VOLUME","."&amp;V$2&amp;V$1&amp;"C"&amp;$A46)*RTD("tos.rtd",,"LAST","."&amp;V$2&amp;V$1&amp;"C"&amp;$A46)-100*RTD("tos.rtd",,"VOLUME","."&amp;V$2&amp;V$1&amp;"P"&amp;$A46)*RTD("tos.rtd",,"LAST","."&amp;V$2&amp;V$1&amp;"P"&amp;$A46))/1000000),0),IF($A$2="DEX",IFERROR(IF($X$1="ABS",(100*RTD("tos.rtd",,"OPEN_INT","."&amp;V$2&amp;V$1&amp;"C"&amp;$A46)*RTD("tos.rtd",,"DELTA","."&amp;V$2&amp;V$1&amp;"C"&amp;$A46)+100*RTD("tos.rtd",,"OPEN_INT","."&amp;V$2&amp;V$1&amp;"P"&amp;$A46)*RTD("tos.rtd",,"DELTA","."&amp;V$2&amp;V$1&amp;"P"&amp;$A46))/1000,(100*RTD("tos.rtd",,"OPEN_INT","."&amp;V$2&amp;V$1&amp;"C"&amp;$A46)*RTD("tos.rtd",,"DELTA","."&amp;V$2&amp;V$1&amp;"C"&amp;$A46)-100*RTD("tos.rtd",,"OPEN_INT","."&amp;V$2&amp;V$1&amp;"P"&amp;$A46)*RTD("tos.rtd",,"DELTA","."&amp;V$2&amp;V$1&amp;"P"&amp;$A46))/1000),0),IF($A$2="VEX",IFERROR(IF($X$1="ABS",($A$4*$A$4*RTD("tos.rtd",,"VOLUME","."&amp;V$2&amp;V$1&amp;"C"&amp;$A46)*RTD("tos.rtd",,"GAMMA","."&amp;V$2&amp;V$1&amp;"C"&amp;$A46)+$A$4*$A$4*RTD("tos.rtd",,"VOLUME","."&amp;V$2&amp;V$1&amp;"P"&amp;$A46)*RTD("tos.rtd",,"GAMMA","."&amp;V$2&amp;V$1&amp;"P"&amp;$A46))/1000000,($A$4*$A$4*RTD("tos.rtd",,"VOLUME","."&amp;V$2&amp;V$1&amp;"C"&amp;$A46)*RTD("tos.rtd",,"GAMMA","."&amp;V$2&amp;V$1&amp;"C"&amp;$A46)-$A$4*$A$4*RTD("tos.rtd",,"VOLUME","."&amp;V$2&amp;V$1&amp;"P"&amp;$A46)*RTD("tos.rtd",,"GAMMA","."&amp;V$2&amp;V$1&amp;"P"&amp;$A46))/1000000),0),IF($A$2="GEX",IFERROR(IF($X$1="ABS",($A$4*$A$4*RTD("tos.rtd",,"OPEN_INT","."&amp;V$2&amp;V$1&amp;"C"&amp;$A46)*RTD("tos.rtd",,"GAMMA","."&amp;V$2&amp;V$1&amp;"C"&amp;$A46)+$A$4*$A$4*RTD("tos.rtd",,"OPEN_INT","."&amp;V$2&amp;V$1&amp;"P"&amp;$A46)*RTD("tos.rtd",,"GAMMA","."&amp;V$2&amp;V$1&amp;"P"&amp;$A46))/1000000,($A$4*$A$4*RTD("tos.rtd",,"OPEN_INT","."&amp;V$2&amp;V$1&amp;"C"&amp;$A46)*RTD("tos.rtd",,"GAMMA","."&amp;V$2&amp;V$1&amp;"C"&amp;$A46)-$A$4*$A$4*RTD("tos.rtd",,"OPEN_INT","."&amp;V$2&amp;V$1&amp;"P"&amp;$A46)*RTD("tos.rtd",,"GAMMA","."&amp;V$2&amp;V$1&amp;"P"&amp;$A46))/1000000),0),IF($A$2="SKEW",IFERROR(VALUE(IF(RTD("tos.rtd",,"IMPL_VOL","."&amp;V$2&amp;V$1&amp;"P"&amp;$A46)="N/A",0,RTD("tos.rtd",,"IMPL_VOL","."&amp;V$2&amp;V$1&amp;"P"&amp;$A46))),0)-IFERROR(VALUE(IF(RTD("tos.rtd",,"IMPL_VOL","."&amp;V$2&amp;V$1&amp;"C"&amp;$A46)="N/A",0,RTD("tos.rtd",,"IMPL_VOL","."&amp;V$2&amp;V$1&amp;"C"&amp;$A46))),0),IF($A$2="MAXPAIN",IF($A$4&gt;$A46,($A$4-$A46)*IF(RTD("tos.rtd",,"OPEN_INT","."&amp;V$2&amp;V$1&amp;"C"&amp;$A46)="N/A",0,RTD("tos.rtd",,"OPEN_INT","."&amp;V$2&amp;V$1&amp;"C"&amp;$A46)),0)+IF($A$4&lt;$A46,($A$5-$A$4)*IF(RTD("tos.rtd",,"OPEN_INT","."&amp;V$2&amp;V$1&amp;"P"&amp;$A46)="N/A",0,RTD("tos.rtd",,"OPEN_INT","."&amp;V$2&amp;V$1&amp;"P"&amp;$A46)),0),IF($X$1="ABS",IF(RTD("tos.rtd",,$A$2,"."&amp;V$2&amp;V$1&amp;"C"&amp;$A46)="N/A",0,RTD("tos.rtd",,$A$2,"."&amp;V$2&amp;V$1&amp;"C"&amp;$A46))+IF(RTD("tos.rtd",,$A$2,"."&amp;V$2&amp;V$1&amp;"P"&amp;$A46)="N/A",0,RTD("tos.rtd",,$A$2,"."&amp;V$2&amp;V$1&amp;"P"&amp;$A46)),IF(RTD("tos.rtd",,$A$2,"."&amp;V$2&amp;V$1&amp;"C"&amp;$A46)="N/A",0,RTD("tos.rtd",,$A$2,"."&amp;V$2&amp;V$1&amp;"C"&amp;$A46))-IF(RTD("tos.rtd",,$A$2,"."&amp;V$2&amp;V$1&amp;"P"&amp;$A46)="N/A",0,RTD("tos.rtd",,$A$2,"."&amp;V$2&amp;V$1&amp;"P"&amp;$A46))))))))))</f>
        <v>0</v>
      </c>
      <c r="W46" s="54">
        <f ca="1">IF($A$2="PREMIUM_OI",IFERROR(IF($X$1="ABS",(100*RTD("tos.rtd",,"OPEN_INT","."&amp;W$2&amp;W$1&amp;"C"&amp;$A46)*RTD("tos.rtd",,"LAST","."&amp;W$2&amp;W$1&amp;"C"&amp;$A46)+100*RTD("tos.rtd",,"OPEN_INT","."&amp;W$2&amp;W$1&amp;"P"&amp;$A46)*RTD("tos.rtd",,"LAST","."&amp;W$2&amp;W$1&amp;"P"&amp;$A46))/1000000,(100*RTD("tos.rtd",,"OPEN_INT","."&amp;W$2&amp;W$1&amp;"C"&amp;$A46)*RTD("tos.rtd",,"LAST","."&amp;W$2&amp;W$1&amp;"C"&amp;$A46)-100*RTD("tos.rtd",,"OPEN_INT","."&amp;W$2&amp;W$1&amp;"P"&amp;$A46)*RTD("tos.rtd",,"LAST","."&amp;W$2&amp;W$1&amp;"P"&amp;$A46))/1000000),0),IF($A$2="PREMIUM",IFERROR(IF($X$1="ABS",(100*RTD("tos.rtd",,"VOLUME","."&amp;W$2&amp;W$1&amp;"C"&amp;$A46)*RTD("tos.rtd",,"LAST","."&amp;W$2&amp;W$1&amp;"C"&amp;$A46)+100*RTD("tos.rtd",,"VOLUME","."&amp;W$2&amp;W$1&amp;"P"&amp;$A46)*RTD("tos.rtd",,"LAST","."&amp;W$2&amp;W$1&amp;"P"&amp;$A46))/1000000,(100*RTD("tos.rtd",,"VOLUME","."&amp;W$2&amp;W$1&amp;"C"&amp;$A46)*RTD("tos.rtd",,"LAST","."&amp;W$2&amp;W$1&amp;"C"&amp;$A46)-100*RTD("tos.rtd",,"VOLUME","."&amp;W$2&amp;W$1&amp;"P"&amp;$A46)*RTD("tos.rtd",,"LAST","."&amp;W$2&amp;W$1&amp;"P"&amp;$A46))/1000000),0),IF($A$2="DEX",IFERROR(IF($X$1="ABS",(100*RTD("tos.rtd",,"OPEN_INT","."&amp;W$2&amp;W$1&amp;"C"&amp;$A46)*RTD("tos.rtd",,"DELTA","."&amp;W$2&amp;W$1&amp;"C"&amp;$A46)+100*RTD("tos.rtd",,"OPEN_INT","."&amp;W$2&amp;W$1&amp;"P"&amp;$A46)*RTD("tos.rtd",,"DELTA","."&amp;W$2&amp;W$1&amp;"P"&amp;$A46))/1000,(100*RTD("tos.rtd",,"OPEN_INT","."&amp;W$2&amp;W$1&amp;"C"&amp;$A46)*RTD("tos.rtd",,"DELTA","."&amp;W$2&amp;W$1&amp;"C"&amp;$A46)-100*RTD("tos.rtd",,"OPEN_INT","."&amp;W$2&amp;W$1&amp;"P"&amp;$A46)*RTD("tos.rtd",,"DELTA","."&amp;W$2&amp;W$1&amp;"P"&amp;$A46))/1000),0),IF($A$2="VEX",IFERROR(IF($X$1="ABS",($A$4*$A$4*RTD("tos.rtd",,"VOLUME","."&amp;W$2&amp;W$1&amp;"C"&amp;$A46)*RTD("tos.rtd",,"GAMMA","."&amp;W$2&amp;W$1&amp;"C"&amp;$A46)+$A$4*$A$4*RTD("tos.rtd",,"VOLUME","."&amp;W$2&amp;W$1&amp;"P"&amp;$A46)*RTD("tos.rtd",,"GAMMA","."&amp;W$2&amp;W$1&amp;"P"&amp;$A46))/1000000,($A$4*$A$4*RTD("tos.rtd",,"VOLUME","."&amp;W$2&amp;W$1&amp;"C"&amp;$A46)*RTD("tos.rtd",,"GAMMA","."&amp;W$2&amp;W$1&amp;"C"&amp;$A46)-$A$4*$A$4*RTD("tos.rtd",,"VOLUME","."&amp;W$2&amp;W$1&amp;"P"&amp;$A46)*RTD("tos.rtd",,"GAMMA","."&amp;W$2&amp;W$1&amp;"P"&amp;$A46))/1000000),0),IF($A$2="GEX",IFERROR(IF($X$1="ABS",($A$4*$A$4*RTD("tos.rtd",,"OPEN_INT","."&amp;W$2&amp;W$1&amp;"C"&amp;$A46)*RTD("tos.rtd",,"GAMMA","."&amp;W$2&amp;W$1&amp;"C"&amp;$A46)+$A$4*$A$4*RTD("tos.rtd",,"OPEN_INT","."&amp;W$2&amp;W$1&amp;"P"&amp;$A46)*RTD("tos.rtd",,"GAMMA","."&amp;W$2&amp;W$1&amp;"P"&amp;$A46))/1000000,($A$4*$A$4*RTD("tos.rtd",,"OPEN_INT","."&amp;W$2&amp;W$1&amp;"C"&amp;$A46)*RTD("tos.rtd",,"GAMMA","."&amp;W$2&amp;W$1&amp;"C"&amp;$A46)-$A$4*$A$4*RTD("tos.rtd",,"OPEN_INT","."&amp;W$2&amp;W$1&amp;"P"&amp;$A46)*RTD("tos.rtd",,"GAMMA","."&amp;W$2&amp;W$1&amp;"P"&amp;$A46))/1000000),0),IF($A$2="SKEW",IFERROR(VALUE(IF(RTD("tos.rtd",,"IMPL_VOL","."&amp;W$2&amp;W$1&amp;"P"&amp;$A46)="N/A",0,RTD("tos.rtd",,"IMPL_VOL","."&amp;W$2&amp;W$1&amp;"P"&amp;$A46))),0)-IFERROR(VALUE(IF(RTD("tos.rtd",,"IMPL_VOL","."&amp;W$2&amp;W$1&amp;"C"&amp;$A46)="N/A",0,RTD("tos.rtd",,"IMPL_VOL","."&amp;W$2&amp;W$1&amp;"C"&amp;$A46))),0),IF($A$2="MAXPAIN",IF($A$4&gt;$A46,($A$4-$A46)*IF(RTD("tos.rtd",,"OPEN_INT","."&amp;W$2&amp;W$1&amp;"C"&amp;$A46)="N/A",0,RTD("tos.rtd",,"OPEN_INT","."&amp;W$2&amp;W$1&amp;"C"&amp;$A46)),0)+IF($A$4&lt;$A46,($A$5-$A$4)*IF(RTD("tos.rtd",,"OPEN_INT","."&amp;W$2&amp;W$1&amp;"P"&amp;$A46)="N/A",0,RTD("tos.rtd",,"OPEN_INT","."&amp;W$2&amp;W$1&amp;"P"&amp;$A46)),0),IF($X$1="ABS",IF(RTD("tos.rtd",,$A$2,"."&amp;W$2&amp;W$1&amp;"C"&amp;$A46)="N/A",0,RTD("tos.rtd",,$A$2,"."&amp;W$2&amp;W$1&amp;"C"&amp;$A46))+IF(RTD("tos.rtd",,$A$2,"."&amp;W$2&amp;W$1&amp;"P"&amp;$A46)="N/A",0,RTD("tos.rtd",,$A$2,"."&amp;W$2&amp;W$1&amp;"P"&amp;$A46)),IF(RTD("tos.rtd",,$A$2,"."&amp;W$2&amp;W$1&amp;"C"&amp;$A46)="N/A",0,RTD("tos.rtd",,$A$2,"."&amp;W$2&amp;W$1&amp;"C"&amp;$A46))-IF(RTD("tos.rtd",,$A$2,"."&amp;W$2&amp;W$1&amp;"P"&amp;$A46)="N/A",0,RTD("tos.rtd",,$A$2,"."&amp;W$2&amp;W$1&amp;"P"&amp;$A46))))))))))</f>
        <v>0</v>
      </c>
      <c r="X46" s="57">
        <f t="shared" ca="1" si="8"/>
        <v>0</v>
      </c>
      <c r="Y46" s="27">
        <f t="shared" ca="1" si="9"/>
        <v>0</v>
      </c>
      <c r="Z46" s="27">
        <f ca="1">+'OI-VOL'!Y46</f>
        <v>-32606</v>
      </c>
      <c r="AA46" s="27" t="b">
        <f t="shared" ca="1" si="10"/>
        <v>0</v>
      </c>
      <c r="AB46" s="27">
        <f t="shared" si="11"/>
        <v>45403550</v>
      </c>
      <c r="AC46" s="18">
        <f>MAX(0, $A46-AC$4)*IF(RTD("tos.rtd",,"OPEN_INT","."&amp;$AB$3&amp;$AB$4&amp;"C"&amp;AC$4)="N/A",0,RTD("tos.rtd",,"OPEN_INT","."&amp;$AB$3&amp;$AB$4&amp;"C"&amp;AC$4))*100 + MAX(0, AC$4-$A46)*IF(RTD("tos.rtd",,"OPEN_INT","."&amp;$AB$3&amp;$AB$4&amp;"P"&amp;AC$4)="N/A",0,RTD("tos.rtd",,"OPEN_INT","."&amp;$AB$3&amp;$AB$4&amp;"P"&amp;AC$4))*100</f>
        <v>0</v>
      </c>
      <c r="AD46" s="18">
        <f>MAX(0, $A46-AD$4)*IF(RTD("tos.rtd",,"OPEN_INT","."&amp;$AB$3&amp;$AB$4&amp;"C"&amp;AD$4)="N/A",0,RTD("tos.rtd",,"OPEN_INT","."&amp;$AB$3&amp;$AB$4&amp;"C"&amp;AD$4))*100 + MAX(0, AD$4-$A46)*IF(RTD("tos.rtd",,"OPEN_INT","."&amp;$AB$3&amp;$AB$4&amp;"P"&amp;AD$4)="N/A",0,RTD("tos.rtd",,"OPEN_INT","."&amp;$AB$3&amp;$AB$4&amp;"P"&amp;AD$4))*100</f>
        <v>0</v>
      </c>
      <c r="AE46" s="18">
        <f>MAX(0, $A46-AE$4)*IF(RTD("tos.rtd",,"OPEN_INT","."&amp;$AB$3&amp;$AB$4&amp;"C"&amp;AE$4)="N/A",0,RTD("tos.rtd",,"OPEN_INT","."&amp;$AB$3&amp;$AB$4&amp;"C"&amp;AE$4))*100 + MAX(0, AE$4-$A46)*IF(RTD("tos.rtd",,"OPEN_INT","."&amp;$AB$3&amp;$AB$4&amp;"P"&amp;AE$4)="N/A",0,RTD("tos.rtd",,"OPEN_INT","."&amp;$AB$3&amp;$AB$4&amp;"P"&amp;AE$4))*100</f>
        <v>0</v>
      </c>
      <c r="AF46" s="18">
        <f>MAX(0, $A46-AF$4)*IF(RTD("tos.rtd",,"OPEN_INT","."&amp;$AB$3&amp;$AB$4&amp;"C"&amp;AF$4)="N/A",0,RTD("tos.rtd",,"OPEN_INT","."&amp;$AB$3&amp;$AB$4&amp;"C"&amp;AF$4))*100 + MAX(0, AF$4-$A46)*IF(RTD("tos.rtd",,"OPEN_INT","."&amp;$AB$3&amp;$AB$4&amp;"P"&amp;AF$4)="N/A",0,RTD("tos.rtd",,"OPEN_INT","."&amp;$AB$3&amp;$AB$4&amp;"P"&amp;AF$4))*100</f>
        <v>0</v>
      </c>
      <c r="AG46" s="18">
        <f>MAX(0, $A46-AG$4)*IF(RTD("tos.rtd",,"OPEN_INT","."&amp;$AB$3&amp;$AB$4&amp;"C"&amp;AG$4)="N/A",0,RTD("tos.rtd",,"OPEN_INT","."&amp;$AB$3&amp;$AB$4&amp;"C"&amp;AG$4))*100 + MAX(0, AG$4-$A46)*IF(RTD("tos.rtd",,"OPEN_INT","."&amp;$AB$3&amp;$AB$4&amp;"P"&amp;AG$4)="N/A",0,RTD("tos.rtd",,"OPEN_INT","."&amp;$AB$3&amp;$AB$4&amp;"P"&amp;AG$4))*100</f>
        <v>0</v>
      </c>
      <c r="AH46" s="18">
        <f>MAX(0, $A46-AH$4)*IF(RTD("tos.rtd",,"OPEN_INT","."&amp;$AB$3&amp;$AB$4&amp;"C"&amp;AH$4)="N/A",0,RTD("tos.rtd",,"OPEN_INT","."&amp;$AB$3&amp;$AB$4&amp;"C"&amp;AH$4))*100 + MAX(0, AH$4-$A46)*IF(RTD("tos.rtd",,"OPEN_INT","."&amp;$AB$3&amp;$AB$4&amp;"P"&amp;AH$4)="N/A",0,RTD("tos.rtd",,"OPEN_INT","."&amp;$AB$3&amp;$AB$4&amp;"P"&amp;AH$4))*100</f>
        <v>0</v>
      </c>
      <c r="AI46" s="18">
        <f>MAX(0, $A46-AI$4)*IF(RTD("tos.rtd",,"OPEN_INT","."&amp;$AB$3&amp;$AB$4&amp;"C"&amp;AI$4)="N/A",0,RTD("tos.rtd",,"OPEN_INT","."&amp;$AB$3&amp;$AB$4&amp;"C"&amp;AI$4))*100 + MAX(0, AI$4-$A46)*IF(RTD("tos.rtd",,"OPEN_INT","."&amp;$AB$3&amp;$AB$4&amp;"P"&amp;AI$4)="N/A",0,RTD("tos.rtd",,"OPEN_INT","."&amp;$AB$3&amp;$AB$4&amp;"P"&amp;AI$4))*100</f>
        <v>0</v>
      </c>
      <c r="AJ46" s="18">
        <f>MAX(0, $A46-AJ$4)*IF(RTD("tos.rtd",,"OPEN_INT","."&amp;$AB$3&amp;$AB$4&amp;"C"&amp;AJ$4)="N/A",0,RTD("tos.rtd",,"OPEN_INT","."&amp;$AB$3&amp;$AB$4&amp;"C"&amp;AJ$4))*100 + MAX(0, AJ$4-$A46)*IF(RTD("tos.rtd",,"OPEN_INT","."&amp;$AB$3&amp;$AB$4&amp;"P"&amp;AJ$4)="N/A",0,RTD("tos.rtd",,"OPEN_INT","."&amp;$AB$3&amp;$AB$4&amp;"P"&amp;AJ$4))*100</f>
        <v>5100</v>
      </c>
      <c r="AK46" s="18">
        <f>MAX(0, $A46-AK$4)*IF(RTD("tos.rtd",,"OPEN_INT","."&amp;$AB$3&amp;$AB$4&amp;"C"&amp;AK$4)="N/A",0,RTD("tos.rtd",,"OPEN_INT","."&amp;$AB$3&amp;$AB$4&amp;"C"&amp;AK$4))*100 + MAX(0, AK$4-$A46)*IF(RTD("tos.rtd",,"OPEN_INT","."&amp;$AB$3&amp;$AB$4&amp;"P"&amp;AK$4)="N/A",0,RTD("tos.rtd",,"OPEN_INT","."&amp;$AB$3&amp;$AB$4&amp;"P"&amp;AK$4))*100</f>
        <v>13200</v>
      </c>
      <c r="AL46" s="18">
        <f>MAX(0, $A46-AL$4)*IF(RTD("tos.rtd",,"OPEN_INT","."&amp;$AB$3&amp;$AB$4&amp;"C"&amp;AL$4)="N/A",0,RTD("tos.rtd",,"OPEN_INT","."&amp;$AB$3&amp;$AB$4&amp;"C"&amp;AL$4))*100 + MAX(0, AL$4-$A46)*IF(RTD("tos.rtd",,"OPEN_INT","."&amp;$AB$3&amp;$AB$4&amp;"P"&amp;AL$4)="N/A",0,RTD("tos.rtd",,"OPEN_INT","."&amp;$AB$3&amp;$AB$4&amp;"P"&amp;AL$4))*100</f>
        <v>0</v>
      </c>
      <c r="AM46" s="18">
        <f>MAX(0, $A46-AM$4)*IF(RTD("tos.rtd",,"OPEN_INT","."&amp;$AB$3&amp;$AB$4&amp;"C"&amp;AM$4)="N/A",0,RTD("tos.rtd",,"OPEN_INT","."&amp;$AB$3&amp;$AB$4&amp;"C"&amp;AM$4))*100 + MAX(0, AM$4-$A46)*IF(RTD("tos.rtd",,"OPEN_INT","."&amp;$AB$3&amp;$AB$4&amp;"P"&amp;AM$4)="N/A",0,RTD("tos.rtd",,"OPEN_INT","."&amp;$AB$3&amp;$AB$4&amp;"P"&amp;AM$4))*100</f>
        <v>0</v>
      </c>
      <c r="AN46" s="18">
        <f>MAX(0, $A46-AN$4)*IF(RTD("tos.rtd",,"OPEN_INT","."&amp;$AB$3&amp;$AB$4&amp;"C"&amp;AN$4)="N/A",0,RTD("tos.rtd",,"OPEN_INT","."&amp;$AB$3&amp;$AB$4&amp;"C"&amp;AN$4))*100 + MAX(0, AN$4-$A46)*IF(RTD("tos.rtd",,"OPEN_INT","."&amp;$AB$3&amp;$AB$4&amp;"P"&amp;AN$4)="N/A",0,RTD("tos.rtd",,"OPEN_INT","."&amp;$AB$3&amp;$AB$4&amp;"P"&amp;AN$4))*100</f>
        <v>0</v>
      </c>
      <c r="AO46" s="18">
        <f>MAX(0, $A46-AO$4)*IF(RTD("tos.rtd",,"OPEN_INT","."&amp;$AB$3&amp;$AB$4&amp;"C"&amp;AO$4)="N/A",0,RTD("tos.rtd",,"OPEN_INT","."&amp;$AB$3&amp;$AB$4&amp;"C"&amp;AO$4))*100 + MAX(0, AO$4-$A46)*IF(RTD("tos.rtd",,"OPEN_INT","."&amp;$AB$3&amp;$AB$4&amp;"P"&amp;AO$4)="N/A",0,RTD("tos.rtd",,"OPEN_INT","."&amp;$AB$3&amp;$AB$4&amp;"P"&amp;AO$4))*100</f>
        <v>0</v>
      </c>
      <c r="AP46" s="18">
        <f>MAX(0, $A46-AP$4)*IF(RTD("tos.rtd",,"OPEN_INT","."&amp;$AB$3&amp;$AB$4&amp;"C"&amp;AP$4)="N/A",0,RTD("tos.rtd",,"OPEN_INT","."&amp;$AB$3&amp;$AB$4&amp;"C"&amp;AP$4))*100 + MAX(0, AP$4-$A46)*IF(RTD("tos.rtd",,"OPEN_INT","."&amp;$AB$3&amp;$AB$4&amp;"P"&amp;AP$4)="N/A",0,RTD("tos.rtd",,"OPEN_INT","."&amp;$AB$3&amp;$AB$4&amp;"P"&amp;AP$4))*100</f>
        <v>168000</v>
      </c>
      <c r="AQ46" s="18">
        <f>MAX(0, $A46-AQ$4)*IF(RTD("tos.rtd",,"OPEN_INT","."&amp;$AB$3&amp;$AB$4&amp;"C"&amp;AQ$4)="N/A",0,RTD("tos.rtd",,"OPEN_INT","."&amp;$AB$3&amp;$AB$4&amp;"C"&amp;AQ$4))*100 + MAX(0, AQ$4-$A46)*IF(RTD("tos.rtd",,"OPEN_INT","."&amp;$AB$3&amp;$AB$4&amp;"P"&amp;AQ$4)="N/A",0,RTD("tos.rtd",,"OPEN_INT","."&amp;$AB$3&amp;$AB$4&amp;"P"&amp;AQ$4))*100</f>
        <v>0</v>
      </c>
      <c r="AR46" s="18">
        <f>MAX(0, $A46-AR$4)*IF(RTD("tos.rtd",,"OPEN_INT","."&amp;$AB$3&amp;$AB$4&amp;"C"&amp;AR$4)="N/A",0,RTD("tos.rtd",,"OPEN_INT","."&amp;$AB$3&amp;$AB$4&amp;"C"&amp;AR$4))*100 + MAX(0, AR$4-$A46)*IF(RTD("tos.rtd",,"OPEN_INT","."&amp;$AB$3&amp;$AB$4&amp;"P"&amp;AR$4)="N/A",0,RTD("tos.rtd",,"OPEN_INT","."&amp;$AB$3&amp;$AB$4&amp;"P"&amp;AR$4))*100</f>
        <v>68900</v>
      </c>
      <c r="AS46" s="18">
        <f>MAX(0, $A46-AS$4)*IF(RTD("tos.rtd",,"OPEN_INT","."&amp;$AB$3&amp;$AB$4&amp;"C"&amp;AS$4)="N/A",0,RTD("tos.rtd",,"OPEN_INT","."&amp;$AB$3&amp;$AB$4&amp;"C"&amp;AS$4))*100 + MAX(0, AS$4-$A46)*IF(RTD("tos.rtd",,"OPEN_INT","."&amp;$AB$3&amp;$AB$4&amp;"P"&amp;AS$4)="N/A",0,RTD("tos.rtd",,"OPEN_INT","."&amp;$AB$3&amp;$AB$4&amp;"P"&amp;AS$4))*100</f>
        <v>7500</v>
      </c>
      <c r="AT46" s="18">
        <f>MAX(0, $A46-AT$4)*IF(RTD("tos.rtd",,"OPEN_INT","."&amp;$AB$3&amp;$AB$4&amp;"C"&amp;AT$4)="N/A",0,RTD("tos.rtd",,"OPEN_INT","."&amp;$AB$3&amp;$AB$4&amp;"C"&amp;AT$4))*100 + MAX(0, AT$4-$A46)*IF(RTD("tos.rtd",,"OPEN_INT","."&amp;$AB$3&amp;$AB$4&amp;"P"&amp;AT$4)="N/A",0,RTD("tos.rtd",,"OPEN_INT","."&amp;$AB$3&amp;$AB$4&amp;"P"&amp;AT$4))*100</f>
        <v>74400</v>
      </c>
      <c r="AU46" s="18">
        <f>MAX(0, $A46-AU$4)*IF(RTD("tos.rtd",,"OPEN_INT","."&amp;$AB$3&amp;$AB$4&amp;"C"&amp;AU$4)="N/A",0,RTD("tos.rtd",,"OPEN_INT","."&amp;$AB$3&amp;$AB$4&amp;"C"&amp;AU$4))*100 + MAX(0, AU$4-$A46)*IF(RTD("tos.rtd",,"OPEN_INT","."&amp;$AB$3&amp;$AB$4&amp;"P"&amp;AU$4)="N/A",0,RTD("tos.rtd",,"OPEN_INT","."&amp;$AB$3&amp;$AB$4&amp;"P"&amp;AU$4))*100</f>
        <v>80500</v>
      </c>
      <c r="AV46" s="18">
        <f>MAX(0, $A46-AV$4)*IF(RTD("tos.rtd",,"OPEN_INT","."&amp;$AB$3&amp;$AB$4&amp;"C"&amp;AV$4)="N/A",0,RTD("tos.rtd",,"OPEN_INT","."&amp;$AB$3&amp;$AB$4&amp;"C"&amp;AV$4))*100 + MAX(0, AV$4-$A46)*IF(RTD("tos.rtd",,"OPEN_INT","."&amp;$AB$3&amp;$AB$4&amp;"P"&amp;AV$4)="N/A",0,RTD("tos.rtd",,"OPEN_INT","."&amp;$AB$3&amp;$AB$4&amp;"P"&amp;AV$4))*100</f>
        <v>44000</v>
      </c>
      <c r="AW46" s="18">
        <f>MAX(0, $A46-AW$4)*IF(RTD("tos.rtd",,"OPEN_INT","."&amp;$AB$3&amp;$AB$4&amp;"C"&amp;AW$4)="N/A",0,RTD("tos.rtd",,"OPEN_INT","."&amp;$AB$3&amp;$AB$4&amp;"C"&amp;AW$4))*100 + MAX(0, AW$4-$A46)*IF(RTD("tos.rtd",,"OPEN_INT","."&amp;$AB$3&amp;$AB$4&amp;"P"&amp;AW$4)="N/A",0,RTD("tos.rtd",,"OPEN_INT","."&amp;$AB$3&amp;$AB$4&amp;"P"&amp;AW$4))*100</f>
        <v>169050</v>
      </c>
      <c r="AX46" s="18">
        <f>MAX(0, $A46-AX$4)*IF(RTD("tos.rtd",,"OPEN_INT","."&amp;$AB$3&amp;$AB$4&amp;"C"&amp;AX$4)="N/A",0,RTD("tos.rtd",,"OPEN_INT","."&amp;$AB$3&amp;$AB$4&amp;"C"&amp;AX$4))*100 + MAX(0, AX$4-$A46)*IF(RTD("tos.rtd",,"OPEN_INT","."&amp;$AB$3&amp;$AB$4&amp;"P"&amp;AX$4)="N/A",0,RTD("tos.rtd",,"OPEN_INT","."&amp;$AB$3&amp;$AB$4&amp;"P"&amp;AX$4))*100</f>
        <v>202000</v>
      </c>
      <c r="AY46" s="18">
        <f>MAX(0, $A46-AY$4)*IF(RTD("tos.rtd",,"OPEN_INT","."&amp;$AB$3&amp;$AB$4&amp;"C"&amp;AY$4)="N/A",0,RTD("tos.rtd",,"OPEN_INT","."&amp;$AB$3&amp;$AB$4&amp;"C"&amp;AY$4))*100 + MAX(0, AY$4-$A46)*IF(RTD("tos.rtd",,"OPEN_INT","."&amp;$AB$3&amp;$AB$4&amp;"P"&amp;AY$4)="N/A",0,RTD("tos.rtd",,"OPEN_INT","."&amp;$AB$3&amp;$AB$4&amp;"P"&amp;AY$4))*100</f>
        <v>234650</v>
      </c>
      <c r="AZ46" s="18">
        <f>MAX(0, $A46-AZ$4)*IF(RTD("tos.rtd",,"OPEN_INT","."&amp;$AB$3&amp;$AB$4&amp;"C"&amp;AZ$4)="N/A",0,RTD("tos.rtd",,"OPEN_INT","."&amp;$AB$3&amp;$AB$4&amp;"C"&amp;AZ$4))*100 + MAX(0, AZ$4-$A46)*IF(RTD("tos.rtd",,"OPEN_INT","."&amp;$AB$3&amp;$AB$4&amp;"P"&amp;AZ$4)="N/A",0,RTD("tos.rtd",,"OPEN_INT","."&amp;$AB$3&amp;$AB$4&amp;"P"&amp;AZ$4))*100</f>
        <v>1866600</v>
      </c>
      <c r="BA46" s="18">
        <f>MAX(0, $A46-BA$4)*IF(RTD("tos.rtd",,"OPEN_INT","."&amp;$AB$3&amp;$AB$4&amp;"C"&amp;BA$4)="N/A",0,RTD("tos.rtd",,"OPEN_INT","."&amp;$AB$3&amp;$AB$4&amp;"C"&amp;BA$4))*100 + MAX(0, BA$4-$A46)*IF(RTD("tos.rtd",,"OPEN_INT","."&amp;$AB$3&amp;$AB$4&amp;"P"&amp;BA$4)="N/A",0,RTD("tos.rtd",,"OPEN_INT","."&amp;$AB$3&amp;$AB$4&amp;"P"&amp;BA$4))*100</f>
        <v>482800</v>
      </c>
      <c r="BB46" s="18">
        <f>MAX(0, $A46-BB$4)*IF(RTD("tos.rtd",,"OPEN_INT","."&amp;$AB$3&amp;$AB$4&amp;"C"&amp;BB$4)="N/A",0,RTD("tos.rtd",,"OPEN_INT","."&amp;$AB$3&amp;$AB$4&amp;"C"&amp;BB$4))*100 + MAX(0, BB$4-$A46)*IF(RTD("tos.rtd",,"OPEN_INT","."&amp;$AB$3&amp;$AB$4&amp;"P"&amp;BB$4)="N/A",0,RTD("tos.rtd",,"OPEN_INT","."&amp;$AB$3&amp;$AB$4&amp;"P"&amp;BB$4))*100</f>
        <v>1872000</v>
      </c>
      <c r="BC46" s="18">
        <f>MAX(0, $A46-BC$4)*IF(RTD("tos.rtd",,"OPEN_INT","."&amp;$AB$3&amp;$AB$4&amp;"C"&amp;BC$4)="N/A",0,RTD("tos.rtd",,"OPEN_INT","."&amp;$AB$3&amp;$AB$4&amp;"C"&amp;BC$4))*100 + MAX(0, BC$4-$A46)*IF(RTD("tos.rtd",,"OPEN_INT","."&amp;$AB$3&amp;$AB$4&amp;"P"&amp;BC$4)="N/A",0,RTD("tos.rtd",,"OPEN_INT","."&amp;$AB$3&amp;$AB$4&amp;"P"&amp;BC$4))*100</f>
        <v>1713000</v>
      </c>
      <c r="BD46" s="18">
        <f>MAX(0, $A46-BD$4)*IF(RTD("tos.rtd",,"OPEN_INT","."&amp;$AB$3&amp;$AB$4&amp;"C"&amp;BD$4)="N/A",0,RTD("tos.rtd",,"OPEN_INT","."&amp;$AB$3&amp;$AB$4&amp;"C"&amp;BD$4))*100 + MAX(0, BD$4-$A46)*IF(RTD("tos.rtd",,"OPEN_INT","."&amp;$AB$3&amp;$AB$4&amp;"P"&amp;BD$4)="N/A",0,RTD("tos.rtd",,"OPEN_INT","."&amp;$AB$3&amp;$AB$4&amp;"P"&amp;BD$4))*100</f>
        <v>5355700</v>
      </c>
      <c r="BE46" s="18">
        <f>MAX(0, $A46-BE$4)*IF(RTD("tos.rtd",,"OPEN_INT","."&amp;$AB$3&amp;$AB$4&amp;"C"&amp;BE$4)="N/A",0,RTD("tos.rtd",,"OPEN_INT","."&amp;$AB$3&amp;$AB$4&amp;"C"&amp;BE$4))*100 + MAX(0, BE$4-$A46)*IF(RTD("tos.rtd",,"OPEN_INT","."&amp;$AB$3&amp;$AB$4&amp;"P"&amp;BE$4)="N/A",0,RTD("tos.rtd",,"OPEN_INT","."&amp;$AB$3&amp;$AB$4&amp;"P"&amp;BE$4))*100</f>
        <v>6383650</v>
      </c>
      <c r="BF46" s="18">
        <f>MAX(0, $A46-BF$4)*IF(RTD("tos.rtd",,"OPEN_INT","."&amp;$AB$3&amp;$AB$4&amp;"C"&amp;BF$4)="N/A",0,RTD("tos.rtd",,"OPEN_INT","."&amp;$AB$3&amp;$AB$4&amp;"C"&amp;BF$4))*100 + MAX(0, BF$4-$A46)*IF(RTD("tos.rtd",,"OPEN_INT","."&amp;$AB$3&amp;$AB$4&amp;"P"&amp;BF$4)="N/A",0,RTD("tos.rtd",,"OPEN_INT","."&amp;$AB$3&amp;$AB$4&amp;"P"&amp;BF$4))*100</f>
        <v>6669600</v>
      </c>
      <c r="BG46" s="18">
        <f>MAX(0, $A46-BG$4)*IF(RTD("tos.rtd",,"OPEN_INT","."&amp;$AB$3&amp;$AB$4&amp;"C"&amp;BG$4)="N/A",0,RTD("tos.rtd",,"OPEN_INT","."&amp;$AB$3&amp;$AB$4&amp;"C"&amp;BG$4))*100 + MAX(0, BG$4-$A46)*IF(RTD("tos.rtd",,"OPEN_INT","."&amp;$AB$3&amp;$AB$4&amp;"P"&amp;BG$4)="N/A",0,RTD("tos.rtd",,"OPEN_INT","."&amp;$AB$3&amp;$AB$4&amp;"P"&amp;BG$4))*100</f>
        <v>7649950</v>
      </c>
      <c r="BH46" s="18">
        <f>MAX(0, $A46-BH$4)*IF(RTD("tos.rtd",,"OPEN_INT","."&amp;$AB$3&amp;$AB$4&amp;"C"&amp;BH$4)="N/A",0,RTD("tos.rtd",,"OPEN_INT","."&amp;$AB$3&amp;$AB$4&amp;"C"&amp;BH$4))*100 + MAX(0, BH$4-$A46)*IF(RTD("tos.rtd",,"OPEN_INT","."&amp;$AB$3&amp;$AB$4&amp;"P"&amp;BH$4)="N/A",0,RTD("tos.rtd",,"OPEN_INT","."&amp;$AB$3&amp;$AB$4&amp;"P"&amp;BH$4))*100</f>
        <v>4537500</v>
      </c>
      <c r="BI46" s="18">
        <f>MAX(0, $A46-BI$4)*IF(RTD("tos.rtd",,"OPEN_INT","."&amp;$AB$3&amp;$AB$4&amp;"C"&amp;BI$4)="N/A",0,RTD("tos.rtd",,"OPEN_INT","."&amp;$AB$3&amp;$AB$4&amp;"C"&amp;BI$4))*100 + MAX(0, BI$4-$A46)*IF(RTD("tos.rtd",,"OPEN_INT","."&amp;$AB$3&amp;$AB$4&amp;"P"&amp;BI$4)="N/A",0,RTD("tos.rtd",,"OPEN_INT","."&amp;$AB$3&amp;$AB$4&amp;"P"&amp;BI$4))*100</f>
        <v>2890350</v>
      </c>
      <c r="BJ46" s="18">
        <f>MAX(0, $A46-BJ$4)*IF(RTD("tos.rtd",,"OPEN_INT","."&amp;$AB$3&amp;$AB$4&amp;"C"&amp;BJ$4)="N/A",0,RTD("tos.rtd",,"OPEN_INT","."&amp;$AB$3&amp;$AB$4&amp;"C"&amp;BJ$4))*100 + MAX(0, BJ$4-$A46)*IF(RTD("tos.rtd",,"OPEN_INT","."&amp;$AB$3&amp;$AB$4&amp;"P"&amp;BJ$4)="N/A",0,RTD("tos.rtd",,"OPEN_INT","."&amp;$AB$3&amp;$AB$4&amp;"P"&amp;BJ$4))*100</f>
        <v>3210000</v>
      </c>
      <c r="BK46" s="18">
        <f>MAX(0, $A46-BK$4)*IF(RTD("tos.rtd",,"OPEN_INT","."&amp;$AB$3&amp;$AB$4&amp;"C"&amp;BK$4)="N/A",0,RTD("tos.rtd",,"OPEN_INT","."&amp;$AB$3&amp;$AB$4&amp;"C"&amp;BK$4))*100 + MAX(0, BK$4-$A46)*IF(RTD("tos.rtd",,"OPEN_INT","."&amp;$AB$3&amp;$AB$4&amp;"P"&amp;BK$4)="N/A",0,RTD("tos.rtd",,"OPEN_INT","."&amp;$AB$3&amp;$AB$4&amp;"P"&amp;BK$4))*100</f>
        <v>764050</v>
      </c>
      <c r="BL46" s="18">
        <f>MAX(0, $A46-BL$4)*IF(RTD("tos.rtd",,"OPEN_INT","."&amp;$AB$3&amp;$AB$4&amp;"C"&amp;BL$4)="N/A",0,RTD("tos.rtd",,"OPEN_INT","."&amp;$AB$3&amp;$AB$4&amp;"C"&amp;BL$4))*100 + MAX(0, BL$4-$A46)*IF(RTD("tos.rtd",,"OPEN_INT","."&amp;$AB$3&amp;$AB$4&amp;"P"&amp;BL$4)="N/A",0,RTD("tos.rtd",,"OPEN_INT","."&amp;$AB$3&amp;$AB$4&amp;"P"&amp;BL$4))*100</f>
        <v>702000</v>
      </c>
      <c r="BM46" s="18">
        <f>MAX(0, $A46-BM$4)*IF(RTD("tos.rtd",,"OPEN_INT","."&amp;$AB$3&amp;$AB$4&amp;"C"&amp;BM$4)="N/A",0,RTD("tos.rtd",,"OPEN_INT","."&amp;$AB$3&amp;$AB$4&amp;"C"&amp;BM$4))*100 + MAX(0, BM$4-$A46)*IF(RTD("tos.rtd",,"OPEN_INT","."&amp;$AB$3&amp;$AB$4&amp;"P"&amp;BM$4)="N/A",0,RTD("tos.rtd",,"OPEN_INT","."&amp;$AB$3&amp;$AB$4&amp;"P"&amp;BM$4))*100</f>
        <v>98000</v>
      </c>
      <c r="BN46" s="18">
        <f>MAX(0, $A46-BN$4)*IF(RTD("tos.rtd",,"OPEN_INT","."&amp;$AB$3&amp;$AB$4&amp;"C"&amp;BN$4)="N/A",0,RTD("tos.rtd",,"OPEN_INT","."&amp;$AB$3&amp;$AB$4&amp;"C"&amp;BN$4))*100 + MAX(0, BN$4-$A46)*IF(RTD("tos.rtd",,"OPEN_INT","."&amp;$AB$3&amp;$AB$4&amp;"P"&amp;BN$4)="N/A",0,RTD("tos.rtd",,"OPEN_INT","."&amp;$AB$3&amp;$AB$4&amp;"P"&amp;BN$4))*100</f>
        <v>87000</v>
      </c>
      <c r="BO46" s="18">
        <f>MAX(0, $A46-BO$4)*IF(RTD("tos.rtd",,"OPEN_INT","."&amp;$AB$3&amp;$AB$4&amp;"C"&amp;BO$4)="N/A",0,RTD("tos.rtd",,"OPEN_INT","."&amp;$AB$3&amp;$AB$4&amp;"C"&amp;BO$4))*100 + MAX(0, BO$4-$A46)*IF(RTD("tos.rtd",,"OPEN_INT","."&amp;$AB$3&amp;$AB$4&amp;"P"&amp;BO$4)="N/A",0,RTD("tos.rtd",,"OPEN_INT","."&amp;$AB$3&amp;$AB$4&amp;"P"&amp;BO$4))*100</f>
        <v>9450</v>
      </c>
      <c r="BP46" s="18">
        <f>MAX(0, $A46-BP$4)*IF(RTD("tos.rtd",,"OPEN_INT","."&amp;$AB$3&amp;$AB$4&amp;"C"&amp;BP$4)="N/A",0,RTD("tos.rtd",,"OPEN_INT","."&amp;$AB$3&amp;$AB$4&amp;"C"&amp;BP$4))*100 + MAX(0, BP$4-$A46)*IF(RTD("tos.rtd",,"OPEN_INT","."&amp;$AB$3&amp;$AB$4&amp;"P"&amp;BP$4)="N/A",0,RTD("tos.rtd",,"OPEN_INT","."&amp;$AB$3&amp;$AB$4&amp;"P"&amp;BP$4))*100</f>
        <v>44600</v>
      </c>
      <c r="BQ46" s="18">
        <f>MAX(0, $A46-BQ$4)*IF(RTD("tos.rtd",,"OPEN_INT","."&amp;$AB$3&amp;$AB$4&amp;"C"&amp;BQ$4)="N/A",0,RTD("tos.rtd",,"OPEN_INT","."&amp;$AB$3&amp;$AB$4&amp;"C"&amp;BQ$4))*100 + MAX(0, BQ$4-$A46)*IF(RTD("tos.rtd",,"OPEN_INT","."&amp;$AB$3&amp;$AB$4&amp;"P"&amp;BQ$4)="N/A",0,RTD("tos.rtd",,"OPEN_INT","."&amp;$AB$3&amp;$AB$4&amp;"P"&amp;BQ$4))*100</f>
        <v>0</v>
      </c>
      <c r="BR46" s="18">
        <f>MAX(0, $A46-BR$4)*IF(RTD("tos.rtd",,"OPEN_INT","."&amp;$AB$3&amp;$AB$4&amp;"C"&amp;BR$4)="N/A",0,RTD("tos.rtd",,"OPEN_INT","."&amp;$AB$3&amp;$AB$4&amp;"C"&amp;BR$4))*100 + MAX(0, BR$4-$A46)*IF(RTD("tos.rtd",,"OPEN_INT","."&amp;$AB$3&amp;$AB$4&amp;"P"&amp;BR$4)="N/A",0,RTD("tos.rtd",,"OPEN_INT","."&amp;$AB$3&amp;$AB$4&amp;"P"&amp;BR$4))*100</f>
        <v>0</v>
      </c>
      <c r="BS46" s="18">
        <f>MAX(0, $A46-BS$4)*IF(RTD("tos.rtd",,"OPEN_INT","."&amp;$AB$3&amp;$AB$4&amp;"C"&amp;BS$4)="N/A",0,RTD("tos.rtd",,"OPEN_INT","."&amp;$AB$3&amp;$AB$4&amp;"C"&amp;BS$4))*100 + MAX(0, BS$4-$A46)*IF(RTD("tos.rtd",,"OPEN_INT","."&amp;$AB$3&amp;$AB$4&amp;"P"&amp;BS$4)="N/A",0,RTD("tos.rtd",,"OPEN_INT","."&amp;$AB$3&amp;$AB$4&amp;"P"&amp;BS$4))*100</f>
        <v>0</v>
      </c>
      <c r="BT46" s="18">
        <f>MAX(0, $A46-BT$4)*IF(RTD("tos.rtd",,"OPEN_INT","."&amp;$AB$3&amp;$AB$4&amp;"C"&amp;BT$4)="N/A",0,RTD("tos.rtd",,"OPEN_INT","."&amp;$AB$3&amp;$AB$4&amp;"C"&amp;BT$4))*100 + MAX(0, BT$4-$A46)*IF(RTD("tos.rtd",,"OPEN_INT","."&amp;$AB$3&amp;$AB$4&amp;"P"&amp;BT$4)="N/A",0,RTD("tos.rtd",,"OPEN_INT","."&amp;$AB$3&amp;$AB$4&amp;"P"&amp;BT$4))*100</f>
        <v>0</v>
      </c>
      <c r="BU46" s="18">
        <f>MAX(0, $A46-BU$4)*IF(RTD("tos.rtd",,"OPEN_INT","."&amp;$AB$3&amp;$AB$4&amp;"C"&amp;BU$4)="N/A",0,RTD("tos.rtd",,"OPEN_INT","."&amp;$AB$3&amp;$AB$4&amp;"C"&amp;BU$4))*100 + MAX(0, BU$4-$A46)*IF(RTD("tos.rtd",,"OPEN_INT","."&amp;$AB$3&amp;$AB$4&amp;"P"&amp;BU$4)="N/A",0,RTD("tos.rtd",,"OPEN_INT","."&amp;$AB$3&amp;$AB$4&amp;"P"&amp;BU$4))*100</f>
        <v>0</v>
      </c>
      <c r="BV46" s="18">
        <f>MAX(0, $A46-BV$4)*IF(RTD("tos.rtd",,"OPEN_INT","."&amp;$AB$3&amp;$AB$4&amp;"C"&amp;BV$4)="N/A",0,RTD("tos.rtd",,"OPEN_INT","."&amp;$AB$3&amp;$AB$4&amp;"C"&amp;BV$4))*100 + MAX(0, BV$4-$A46)*IF(RTD("tos.rtd",,"OPEN_INT","."&amp;$AB$3&amp;$AB$4&amp;"P"&amp;BV$4)="N/A",0,RTD("tos.rtd",,"OPEN_INT","."&amp;$AB$3&amp;$AB$4&amp;"P"&amp;BV$4))*100</f>
        <v>0</v>
      </c>
      <c r="BW46" s="18">
        <f>MAX(0, $A46-BW$4)*IF(RTD("tos.rtd",,"OPEN_INT","."&amp;$AB$3&amp;$AB$4&amp;"C"&amp;BW$4)="N/A",0,RTD("tos.rtd",,"OPEN_INT","."&amp;$AB$3&amp;$AB$4&amp;"C"&amp;BW$4))*100 + MAX(0, BW$4-$A46)*IF(RTD("tos.rtd",,"OPEN_INT","."&amp;$AB$3&amp;$AB$4&amp;"P"&amp;BW$4)="N/A",0,RTD("tos.rtd",,"OPEN_INT","."&amp;$AB$3&amp;$AB$4&amp;"P"&amp;BW$4))*100</f>
        <v>0</v>
      </c>
    </row>
    <row r="47" spans="1:75" s="19" customFormat="1" ht="11.1" customHeight="1" thickBot="1" x14ac:dyDescent="0.3">
      <c r="A47" s="23">
        <f t="shared" si="12"/>
        <v>0.5</v>
      </c>
      <c r="B47" s="14">
        <f ca="1">IF($A$2="PREMIUM_OI",IFERROR(IF($X$1="ABS",(100*RTD("tos.rtd",,"OPEN_INT","."&amp;B$2&amp;B$1&amp;"C"&amp;$A47)*RTD("tos.rtd",,"LAST","."&amp;B$2&amp;B$1&amp;"C"&amp;$A47)+100*RTD("tos.rtd",,"OPEN_INT","."&amp;B$2&amp;B$1&amp;"P"&amp;$A47)*RTD("tos.rtd",,"LAST","."&amp;B$2&amp;B$1&amp;"P"&amp;$A47))/1000000,(100*RTD("tos.rtd",,"OPEN_INT","."&amp;B$2&amp;B$1&amp;"C"&amp;$A47)*RTD("tos.rtd",,"LAST","."&amp;B$2&amp;B$1&amp;"C"&amp;$A47)-100*RTD("tos.rtd",,"OPEN_INT","."&amp;B$2&amp;B$1&amp;"P"&amp;$A47)*RTD("tos.rtd",,"LAST","."&amp;B$2&amp;B$1&amp;"P"&amp;$A47))/1000000),0),IF($A$2="PREMIUM",IFERROR(IF($X$1="ABS",(100*RTD("tos.rtd",,"VOLUME","."&amp;B$2&amp;B$1&amp;"C"&amp;$A47)*RTD("tos.rtd",,"LAST","."&amp;B$2&amp;B$1&amp;"C"&amp;$A47)+100*RTD("tos.rtd",,"VOLUME","."&amp;B$2&amp;B$1&amp;"P"&amp;$A47)*RTD("tos.rtd",,"LAST","."&amp;B$2&amp;B$1&amp;"P"&amp;$A47))/1000000,(100*RTD("tos.rtd",,"VOLUME","."&amp;B$2&amp;B$1&amp;"C"&amp;$A47)*RTD("tos.rtd",,"LAST","."&amp;B$2&amp;B$1&amp;"C"&amp;$A47)-100*RTD("tos.rtd",,"VOLUME","."&amp;B$2&amp;B$1&amp;"P"&amp;$A47)*RTD("tos.rtd",,"LAST","."&amp;B$2&amp;B$1&amp;"P"&amp;$A47))/1000000),0),IF($A$2="DEX",IFERROR(IF($X$1="ABS",(100*RTD("tos.rtd",,"OPEN_INT","."&amp;B$2&amp;B$1&amp;"C"&amp;$A47)*RTD("tos.rtd",,"DELTA","."&amp;B$2&amp;B$1&amp;"C"&amp;$A47)+100*RTD("tos.rtd",,"OPEN_INT","."&amp;B$2&amp;B$1&amp;"P"&amp;$A47)*RTD("tos.rtd",,"DELTA","."&amp;B$2&amp;B$1&amp;"P"&amp;$A47))/1000,(100*RTD("tos.rtd",,"OPEN_INT","."&amp;B$2&amp;B$1&amp;"C"&amp;$A47)*RTD("tos.rtd",,"DELTA","."&amp;B$2&amp;B$1&amp;"C"&amp;$A47)-100*RTD("tos.rtd",,"OPEN_INT","."&amp;B$2&amp;B$1&amp;"P"&amp;$A47)*RTD("tos.rtd",,"DELTA","."&amp;B$2&amp;B$1&amp;"P"&amp;$A47))/1000),0),IF($A$2="VEX",IFERROR(IF($X$1="ABS",($A$4*$A$4*RTD("tos.rtd",,"VOLUME","."&amp;B$2&amp;B$1&amp;"C"&amp;$A47)*RTD("tos.rtd",,"GAMMA","."&amp;B$2&amp;B$1&amp;"C"&amp;$A47)+$A$4*$A$4*RTD("tos.rtd",,"VOLUME","."&amp;B$2&amp;B$1&amp;"P"&amp;$A47)*RTD("tos.rtd",,"GAMMA","."&amp;B$2&amp;B$1&amp;"P"&amp;$A47))/1000000,($A$4*$A$4*RTD("tos.rtd",,"VOLUME","."&amp;B$2&amp;B$1&amp;"C"&amp;$A47)*RTD("tos.rtd",,"GAMMA","."&amp;B$2&amp;B$1&amp;"C"&amp;$A47)-$A$4*$A$4*RTD("tos.rtd",,"VOLUME","."&amp;B$2&amp;B$1&amp;"P"&amp;$A47)*RTD("tos.rtd",,"GAMMA","."&amp;B$2&amp;B$1&amp;"P"&amp;$A47))/1000000),0),IF($A$2="GEX",IFERROR(IF($X$1="ABS",($A$4*$A$4*RTD("tos.rtd",,"OPEN_INT","."&amp;B$2&amp;B$1&amp;"C"&amp;$A47)*RTD("tos.rtd",,"GAMMA","."&amp;B$2&amp;B$1&amp;"C"&amp;$A47)+$A$4*$A$4*RTD("tos.rtd",,"OPEN_INT","."&amp;B$2&amp;B$1&amp;"P"&amp;$A47)*RTD("tos.rtd",,"GAMMA","."&amp;B$2&amp;B$1&amp;"P"&amp;$A47))/1000000,($A$4*$A$4*RTD("tos.rtd",,"OPEN_INT","."&amp;B$2&amp;B$1&amp;"C"&amp;$A47)*RTD("tos.rtd",,"GAMMA","."&amp;B$2&amp;B$1&amp;"C"&amp;$A47)-$A$4*$A$4*RTD("tos.rtd",,"OPEN_INT","."&amp;B$2&amp;B$1&amp;"P"&amp;$A47)*RTD("tos.rtd",,"GAMMA","."&amp;B$2&amp;B$1&amp;"P"&amp;$A47))/1000000),0),IF($A$2="SKEW",IFERROR(VALUE(IF(RTD("tos.rtd",,"IMPL_VOL","."&amp;B$2&amp;B$1&amp;"P"&amp;$A47)="N/A",0,RTD("tos.rtd",,"IMPL_VOL","."&amp;B$2&amp;B$1&amp;"P"&amp;$A47))),0)-IFERROR(VALUE(IF(RTD("tos.rtd",,"IMPL_VOL","."&amp;B$2&amp;B$1&amp;"C"&amp;$A47)="N/A",0,RTD("tos.rtd",,"IMPL_VOL","."&amp;B$2&amp;B$1&amp;"C"&amp;$A47))),0),IF($A$2="MAXPAIN",IF($A$4&gt;$A47,($A$4-$A47)*IF(RTD("tos.rtd",,"OPEN_INT","."&amp;B$2&amp;B$1&amp;"C"&amp;$A47)="N/A",0,RTD("tos.rtd",,"OPEN_INT","."&amp;B$2&amp;B$1&amp;"C"&amp;$A47)),0)+IF($A$4&lt;$A47,($A$5-$A$4)*IF(RTD("tos.rtd",,"OPEN_INT","."&amp;B$2&amp;B$1&amp;"P"&amp;$A47)="N/A",0,RTD("tos.rtd",,"OPEN_INT","."&amp;B$2&amp;B$1&amp;"P"&amp;$A47)),0),IF($X$1="ABS",IF(RTD("tos.rtd",,$A$2,"."&amp;B$2&amp;B$1&amp;"C"&amp;$A47)="N/A",0,RTD("tos.rtd",,$A$2,"."&amp;B$2&amp;B$1&amp;"C"&amp;$A47))+IF(RTD("tos.rtd",,$A$2,"."&amp;B$2&amp;B$1&amp;"P"&amp;$A47)="N/A",0,RTD("tos.rtd",,$A$2,"."&amp;B$2&amp;B$1&amp;"P"&amp;$A47)),IF(RTD("tos.rtd",,$A$2,"."&amp;B$2&amp;B$1&amp;"C"&amp;$A47)="N/A",0,RTD("tos.rtd",,$A$2,"."&amp;B$2&amp;B$1&amp;"C"&amp;$A47))-IF(RTD("tos.rtd",,$A$2,"."&amp;B$2&amp;B$1&amp;"P"&amp;$A47)="N/A",0,RTD("tos.rtd",,$A$2,"."&amp;B$2&amp;B$1&amp;"P"&amp;$A47))))))))))</f>
        <v>0</v>
      </c>
      <c r="C47" s="14">
        <f ca="1">IF($A$2="PREMIUM_OI",IFERROR(IF($X$1="ABS",(100*RTD("tos.rtd",,"OPEN_INT","."&amp;C$2&amp;C$1&amp;"C"&amp;$A47)*RTD("tos.rtd",,"LAST","."&amp;C$2&amp;C$1&amp;"C"&amp;$A47)+100*RTD("tos.rtd",,"OPEN_INT","."&amp;C$2&amp;C$1&amp;"P"&amp;$A47)*RTD("tos.rtd",,"LAST","."&amp;C$2&amp;C$1&amp;"P"&amp;$A47))/1000000,(100*RTD("tos.rtd",,"OPEN_INT","."&amp;C$2&amp;C$1&amp;"C"&amp;$A47)*RTD("tos.rtd",,"LAST","."&amp;C$2&amp;C$1&amp;"C"&amp;$A47)-100*RTD("tos.rtd",,"OPEN_INT","."&amp;C$2&amp;C$1&amp;"P"&amp;$A47)*RTD("tos.rtd",,"LAST","."&amp;C$2&amp;C$1&amp;"P"&amp;$A47))/1000000),0),IF($A$2="PREMIUM",IFERROR(IF($X$1="ABS",(100*RTD("tos.rtd",,"VOLUME","."&amp;C$2&amp;C$1&amp;"C"&amp;$A47)*RTD("tos.rtd",,"LAST","."&amp;C$2&amp;C$1&amp;"C"&amp;$A47)+100*RTD("tos.rtd",,"VOLUME","."&amp;C$2&amp;C$1&amp;"P"&amp;$A47)*RTD("tos.rtd",,"LAST","."&amp;C$2&amp;C$1&amp;"P"&amp;$A47))/1000000,(100*RTD("tos.rtd",,"VOLUME","."&amp;C$2&amp;C$1&amp;"C"&amp;$A47)*RTD("tos.rtd",,"LAST","."&amp;C$2&amp;C$1&amp;"C"&amp;$A47)-100*RTD("tos.rtd",,"VOLUME","."&amp;C$2&amp;C$1&amp;"P"&amp;$A47)*RTD("tos.rtd",,"LAST","."&amp;C$2&amp;C$1&amp;"P"&amp;$A47))/1000000),0),IF($A$2="DEX",IFERROR(IF($X$1="ABS",(100*RTD("tos.rtd",,"OPEN_INT","."&amp;C$2&amp;C$1&amp;"C"&amp;$A47)*RTD("tos.rtd",,"DELTA","."&amp;C$2&amp;C$1&amp;"C"&amp;$A47)+100*RTD("tos.rtd",,"OPEN_INT","."&amp;C$2&amp;C$1&amp;"P"&amp;$A47)*RTD("tos.rtd",,"DELTA","."&amp;C$2&amp;C$1&amp;"P"&amp;$A47))/1000,(100*RTD("tos.rtd",,"OPEN_INT","."&amp;C$2&amp;C$1&amp;"C"&amp;$A47)*RTD("tos.rtd",,"DELTA","."&amp;C$2&amp;C$1&amp;"C"&amp;$A47)-100*RTD("tos.rtd",,"OPEN_INT","."&amp;C$2&amp;C$1&amp;"P"&amp;$A47)*RTD("tos.rtd",,"DELTA","."&amp;C$2&amp;C$1&amp;"P"&amp;$A47))/1000),0),IF($A$2="VEX",IFERROR(IF($X$1="ABS",($A$4*$A$4*RTD("tos.rtd",,"VOLUME","."&amp;C$2&amp;C$1&amp;"C"&amp;$A47)*RTD("tos.rtd",,"GAMMA","."&amp;C$2&amp;C$1&amp;"C"&amp;$A47)+$A$4*$A$4*RTD("tos.rtd",,"VOLUME","."&amp;C$2&amp;C$1&amp;"P"&amp;$A47)*RTD("tos.rtd",,"GAMMA","."&amp;C$2&amp;C$1&amp;"P"&amp;$A47))/1000000,($A$4*$A$4*RTD("tos.rtd",,"VOLUME","."&amp;C$2&amp;C$1&amp;"C"&amp;$A47)*RTD("tos.rtd",,"GAMMA","."&amp;C$2&amp;C$1&amp;"C"&amp;$A47)-$A$4*$A$4*RTD("tos.rtd",,"VOLUME","."&amp;C$2&amp;C$1&amp;"P"&amp;$A47)*RTD("tos.rtd",,"GAMMA","."&amp;C$2&amp;C$1&amp;"P"&amp;$A47))/1000000),0),IF($A$2="GEX",IFERROR(IF($X$1="ABS",($A$4*$A$4*RTD("tos.rtd",,"OPEN_INT","."&amp;C$2&amp;C$1&amp;"C"&amp;$A47)*RTD("tos.rtd",,"GAMMA","."&amp;C$2&amp;C$1&amp;"C"&amp;$A47)+$A$4*$A$4*RTD("tos.rtd",,"OPEN_INT","."&amp;C$2&amp;C$1&amp;"P"&amp;$A47)*RTD("tos.rtd",,"GAMMA","."&amp;C$2&amp;C$1&amp;"P"&amp;$A47))/1000000,($A$4*$A$4*RTD("tos.rtd",,"OPEN_INT","."&amp;C$2&amp;C$1&amp;"C"&amp;$A47)*RTD("tos.rtd",,"GAMMA","."&amp;C$2&amp;C$1&amp;"C"&amp;$A47)-$A$4*$A$4*RTD("tos.rtd",,"OPEN_INT","."&amp;C$2&amp;C$1&amp;"P"&amp;$A47)*RTD("tos.rtd",,"GAMMA","."&amp;C$2&amp;C$1&amp;"P"&amp;$A47))/1000000),0),IF($A$2="SKEW",IFERROR(VALUE(IF(RTD("tos.rtd",,"IMPL_VOL","."&amp;C$2&amp;C$1&amp;"P"&amp;$A47)="N/A",0,RTD("tos.rtd",,"IMPL_VOL","."&amp;C$2&amp;C$1&amp;"P"&amp;$A47))),0)-IFERROR(VALUE(IF(RTD("tos.rtd",,"IMPL_VOL","."&amp;C$2&amp;C$1&amp;"C"&amp;$A47)="N/A",0,RTD("tos.rtd",,"IMPL_VOL","."&amp;C$2&amp;C$1&amp;"C"&amp;$A47))),0),IF($A$2="MAXPAIN",IF($A$4&gt;$A47,($A$4-$A47)*IF(RTD("tos.rtd",,"OPEN_INT","."&amp;C$2&amp;C$1&amp;"C"&amp;$A47)="N/A",0,RTD("tos.rtd",,"OPEN_INT","."&amp;C$2&amp;C$1&amp;"C"&amp;$A47)),0)+IF($A$4&lt;$A47,($A$5-$A$4)*IF(RTD("tos.rtd",,"OPEN_INT","."&amp;C$2&amp;C$1&amp;"P"&amp;$A47)="N/A",0,RTD("tos.rtd",,"OPEN_INT","."&amp;C$2&amp;C$1&amp;"P"&amp;$A47)),0),IF($X$1="ABS",IF(RTD("tos.rtd",,$A$2,"."&amp;C$2&amp;C$1&amp;"C"&amp;$A47)="N/A",0,RTD("tos.rtd",,$A$2,"."&amp;C$2&amp;C$1&amp;"C"&amp;$A47))+IF(RTD("tos.rtd",,$A$2,"."&amp;C$2&amp;C$1&amp;"P"&amp;$A47)="N/A",0,RTD("tos.rtd",,$A$2,"."&amp;C$2&amp;C$1&amp;"P"&amp;$A47)),IF(RTD("tos.rtd",,$A$2,"."&amp;C$2&amp;C$1&amp;"C"&amp;$A47)="N/A",0,RTD("tos.rtd",,$A$2,"."&amp;C$2&amp;C$1&amp;"C"&amp;$A47))-IF(RTD("tos.rtd",,$A$2,"."&amp;C$2&amp;C$1&amp;"P"&amp;$A47)="N/A",0,RTD("tos.rtd",,$A$2,"."&amp;C$2&amp;C$1&amp;"P"&amp;$A47))))))))))</f>
        <v>0</v>
      </c>
      <c r="D47" s="12">
        <f ca="1">IF($A$2="PREMIUM_OI",IFERROR(IF($X$1="ABS",(100*RTD("tos.rtd",,"OPEN_INT","."&amp;D$2&amp;D$1&amp;"C"&amp;$A47)*RTD("tos.rtd",,"LAST","."&amp;D$2&amp;D$1&amp;"C"&amp;$A47)+100*RTD("tos.rtd",,"OPEN_INT","."&amp;D$2&amp;D$1&amp;"P"&amp;$A47)*RTD("tos.rtd",,"LAST","."&amp;D$2&amp;D$1&amp;"P"&amp;$A47))/1000000,(100*RTD("tos.rtd",,"OPEN_INT","."&amp;D$2&amp;D$1&amp;"C"&amp;$A47)*RTD("tos.rtd",,"LAST","."&amp;D$2&amp;D$1&amp;"C"&amp;$A47)-100*RTD("tos.rtd",,"OPEN_INT","."&amp;D$2&amp;D$1&amp;"P"&amp;$A47)*RTD("tos.rtd",,"LAST","."&amp;D$2&amp;D$1&amp;"P"&amp;$A47))/1000000),0),IF($A$2="PREMIUM",IFERROR(IF($X$1="ABS",(100*RTD("tos.rtd",,"VOLUME","."&amp;D$2&amp;D$1&amp;"C"&amp;$A47)*RTD("tos.rtd",,"LAST","."&amp;D$2&amp;D$1&amp;"C"&amp;$A47)+100*RTD("tos.rtd",,"VOLUME","."&amp;D$2&amp;D$1&amp;"P"&amp;$A47)*RTD("tos.rtd",,"LAST","."&amp;D$2&amp;D$1&amp;"P"&amp;$A47))/1000000,(100*RTD("tos.rtd",,"VOLUME","."&amp;D$2&amp;D$1&amp;"C"&amp;$A47)*RTD("tos.rtd",,"LAST","."&amp;D$2&amp;D$1&amp;"C"&amp;$A47)-100*RTD("tos.rtd",,"VOLUME","."&amp;D$2&amp;D$1&amp;"P"&amp;$A47)*RTD("tos.rtd",,"LAST","."&amp;D$2&amp;D$1&amp;"P"&amp;$A47))/1000000),0),IF($A$2="DEX",IFERROR(IF($X$1="ABS",(100*RTD("tos.rtd",,"OPEN_INT","."&amp;D$2&amp;D$1&amp;"C"&amp;$A47)*RTD("tos.rtd",,"DELTA","."&amp;D$2&amp;D$1&amp;"C"&amp;$A47)+100*RTD("tos.rtd",,"OPEN_INT","."&amp;D$2&amp;D$1&amp;"P"&amp;$A47)*RTD("tos.rtd",,"DELTA","."&amp;D$2&amp;D$1&amp;"P"&amp;$A47))/1000,(100*RTD("tos.rtd",,"OPEN_INT","."&amp;D$2&amp;D$1&amp;"C"&amp;$A47)*RTD("tos.rtd",,"DELTA","."&amp;D$2&amp;D$1&amp;"C"&amp;$A47)-100*RTD("tos.rtd",,"OPEN_INT","."&amp;D$2&amp;D$1&amp;"P"&amp;$A47)*RTD("tos.rtd",,"DELTA","."&amp;D$2&amp;D$1&amp;"P"&amp;$A47))/1000),0),IF($A$2="VEX",IFERROR(IF($X$1="ABS",($A$4*$A$4*RTD("tos.rtd",,"VOLUME","."&amp;D$2&amp;D$1&amp;"C"&amp;$A47)*RTD("tos.rtd",,"GAMMA","."&amp;D$2&amp;D$1&amp;"C"&amp;$A47)+$A$4*$A$4*RTD("tos.rtd",,"VOLUME","."&amp;D$2&amp;D$1&amp;"P"&amp;$A47)*RTD("tos.rtd",,"GAMMA","."&amp;D$2&amp;D$1&amp;"P"&amp;$A47))/1000000,($A$4*$A$4*RTD("tos.rtd",,"VOLUME","."&amp;D$2&amp;D$1&amp;"C"&amp;$A47)*RTD("tos.rtd",,"GAMMA","."&amp;D$2&amp;D$1&amp;"C"&amp;$A47)-$A$4*$A$4*RTD("tos.rtd",,"VOLUME","."&amp;D$2&amp;D$1&amp;"P"&amp;$A47)*RTD("tos.rtd",,"GAMMA","."&amp;D$2&amp;D$1&amp;"P"&amp;$A47))/1000000),0),IF($A$2="GEX",IFERROR(IF($X$1="ABS",($A$4*$A$4*RTD("tos.rtd",,"OPEN_INT","."&amp;D$2&amp;D$1&amp;"C"&amp;$A47)*RTD("tos.rtd",,"GAMMA","."&amp;D$2&amp;D$1&amp;"C"&amp;$A47)+$A$4*$A$4*RTD("tos.rtd",,"OPEN_INT","."&amp;D$2&amp;D$1&amp;"P"&amp;$A47)*RTD("tos.rtd",,"GAMMA","."&amp;D$2&amp;D$1&amp;"P"&amp;$A47))/1000000,($A$4*$A$4*RTD("tos.rtd",,"OPEN_INT","."&amp;D$2&amp;D$1&amp;"C"&amp;$A47)*RTD("tos.rtd",,"GAMMA","."&amp;D$2&amp;D$1&amp;"C"&amp;$A47)-$A$4*$A$4*RTD("tos.rtd",,"OPEN_INT","."&amp;D$2&amp;D$1&amp;"P"&amp;$A47)*RTD("tos.rtd",,"GAMMA","."&amp;D$2&amp;D$1&amp;"P"&amp;$A47))/1000000),0),IF($A$2="SKEW",IFERROR(VALUE(IF(RTD("tos.rtd",,"IMPL_VOL","."&amp;D$2&amp;D$1&amp;"P"&amp;$A47)="N/A",0,RTD("tos.rtd",,"IMPL_VOL","."&amp;D$2&amp;D$1&amp;"P"&amp;$A47))),0)-IFERROR(VALUE(IF(RTD("tos.rtd",,"IMPL_VOL","."&amp;D$2&amp;D$1&amp;"C"&amp;$A47)="N/A",0,RTD("tos.rtd",,"IMPL_VOL","."&amp;D$2&amp;D$1&amp;"C"&amp;$A47))),0),IF($A$2="MAXPAIN",IF($A$4&gt;$A47,($A$4-$A47)*IF(RTD("tos.rtd",,"OPEN_INT","."&amp;D$2&amp;D$1&amp;"C"&amp;$A47)="N/A",0,RTD("tos.rtd",,"OPEN_INT","."&amp;D$2&amp;D$1&amp;"C"&amp;$A47)),0)+IF($A$4&lt;$A47,($A$5-$A$4)*IF(RTD("tos.rtd",,"OPEN_INT","."&amp;D$2&amp;D$1&amp;"P"&amp;$A47)="N/A",0,RTD("tos.rtd",,"OPEN_INT","."&amp;D$2&amp;D$1&amp;"P"&amp;$A47)),0),IF($X$1="ABS",IF(RTD("tos.rtd",,$A$2,"."&amp;D$2&amp;D$1&amp;"C"&amp;$A47)="N/A",0,RTD("tos.rtd",,$A$2,"."&amp;D$2&amp;D$1&amp;"C"&amp;$A47))+IF(RTD("tos.rtd",,$A$2,"."&amp;D$2&amp;D$1&amp;"P"&amp;$A47)="N/A",0,RTD("tos.rtd",,$A$2,"."&amp;D$2&amp;D$1&amp;"P"&amp;$A47)),IF(RTD("tos.rtd",,$A$2,"."&amp;D$2&amp;D$1&amp;"C"&amp;$A47)="N/A",0,RTD("tos.rtd",,$A$2,"."&amp;D$2&amp;D$1&amp;"C"&amp;$A47))-IF(RTD("tos.rtd",,$A$2,"."&amp;D$2&amp;D$1&amp;"P"&amp;$A47)="N/A",0,RTD("tos.rtd",,$A$2,"."&amp;D$2&amp;D$1&amp;"P"&amp;$A47))))))))))</f>
        <v>0</v>
      </c>
      <c r="E47" s="12">
        <f ca="1">IF($A$2="PREMIUM_OI",IFERROR(IF($X$1="ABS",(100*RTD("tos.rtd",,"OPEN_INT","."&amp;E$2&amp;E$1&amp;"C"&amp;$A47)*RTD("tos.rtd",,"LAST","."&amp;E$2&amp;E$1&amp;"C"&amp;$A47)+100*RTD("tos.rtd",,"OPEN_INT","."&amp;E$2&amp;E$1&amp;"P"&amp;$A47)*RTD("tos.rtd",,"LAST","."&amp;E$2&amp;E$1&amp;"P"&amp;$A47))/1000000,(100*RTD("tos.rtd",,"OPEN_INT","."&amp;E$2&amp;E$1&amp;"C"&amp;$A47)*RTD("tos.rtd",,"LAST","."&amp;E$2&amp;E$1&amp;"C"&amp;$A47)-100*RTD("tos.rtd",,"OPEN_INT","."&amp;E$2&amp;E$1&amp;"P"&amp;$A47)*RTD("tos.rtd",,"LAST","."&amp;E$2&amp;E$1&amp;"P"&amp;$A47))/1000000),0),IF($A$2="PREMIUM",IFERROR(IF($X$1="ABS",(100*RTD("tos.rtd",,"VOLUME","."&amp;E$2&amp;E$1&amp;"C"&amp;$A47)*RTD("tos.rtd",,"LAST","."&amp;E$2&amp;E$1&amp;"C"&amp;$A47)+100*RTD("tos.rtd",,"VOLUME","."&amp;E$2&amp;E$1&amp;"P"&amp;$A47)*RTD("tos.rtd",,"LAST","."&amp;E$2&amp;E$1&amp;"P"&amp;$A47))/1000000,(100*RTD("tos.rtd",,"VOLUME","."&amp;E$2&amp;E$1&amp;"C"&amp;$A47)*RTD("tos.rtd",,"LAST","."&amp;E$2&amp;E$1&amp;"C"&amp;$A47)-100*RTD("tos.rtd",,"VOLUME","."&amp;E$2&amp;E$1&amp;"P"&amp;$A47)*RTD("tos.rtd",,"LAST","."&amp;E$2&amp;E$1&amp;"P"&amp;$A47))/1000000),0),IF($A$2="DEX",IFERROR(IF($X$1="ABS",(100*RTD("tos.rtd",,"OPEN_INT","."&amp;E$2&amp;E$1&amp;"C"&amp;$A47)*RTD("tos.rtd",,"DELTA","."&amp;E$2&amp;E$1&amp;"C"&amp;$A47)+100*RTD("tos.rtd",,"OPEN_INT","."&amp;E$2&amp;E$1&amp;"P"&amp;$A47)*RTD("tos.rtd",,"DELTA","."&amp;E$2&amp;E$1&amp;"P"&amp;$A47))/1000,(100*RTD("tos.rtd",,"OPEN_INT","."&amp;E$2&amp;E$1&amp;"C"&amp;$A47)*RTD("tos.rtd",,"DELTA","."&amp;E$2&amp;E$1&amp;"C"&amp;$A47)-100*RTD("tos.rtd",,"OPEN_INT","."&amp;E$2&amp;E$1&amp;"P"&amp;$A47)*RTD("tos.rtd",,"DELTA","."&amp;E$2&amp;E$1&amp;"P"&amp;$A47))/1000),0),IF($A$2="VEX",IFERROR(IF($X$1="ABS",($A$4*$A$4*RTD("tos.rtd",,"VOLUME","."&amp;E$2&amp;E$1&amp;"C"&amp;$A47)*RTD("tos.rtd",,"GAMMA","."&amp;E$2&amp;E$1&amp;"C"&amp;$A47)+$A$4*$A$4*RTD("tos.rtd",,"VOLUME","."&amp;E$2&amp;E$1&amp;"P"&amp;$A47)*RTD("tos.rtd",,"GAMMA","."&amp;E$2&amp;E$1&amp;"P"&amp;$A47))/1000000,($A$4*$A$4*RTD("tos.rtd",,"VOLUME","."&amp;E$2&amp;E$1&amp;"C"&amp;$A47)*RTD("tos.rtd",,"GAMMA","."&amp;E$2&amp;E$1&amp;"C"&amp;$A47)-$A$4*$A$4*RTD("tos.rtd",,"VOLUME","."&amp;E$2&amp;E$1&amp;"P"&amp;$A47)*RTD("tos.rtd",,"GAMMA","."&amp;E$2&amp;E$1&amp;"P"&amp;$A47))/1000000),0),IF($A$2="GEX",IFERROR(IF($X$1="ABS",($A$4*$A$4*RTD("tos.rtd",,"OPEN_INT","."&amp;E$2&amp;E$1&amp;"C"&amp;$A47)*RTD("tos.rtd",,"GAMMA","."&amp;E$2&amp;E$1&amp;"C"&amp;$A47)+$A$4*$A$4*RTD("tos.rtd",,"OPEN_INT","."&amp;E$2&amp;E$1&amp;"P"&amp;$A47)*RTD("tos.rtd",,"GAMMA","."&amp;E$2&amp;E$1&amp;"P"&amp;$A47))/1000000,($A$4*$A$4*RTD("tos.rtd",,"OPEN_INT","."&amp;E$2&amp;E$1&amp;"C"&amp;$A47)*RTD("tos.rtd",,"GAMMA","."&amp;E$2&amp;E$1&amp;"C"&amp;$A47)-$A$4*$A$4*RTD("tos.rtd",,"OPEN_INT","."&amp;E$2&amp;E$1&amp;"P"&amp;$A47)*RTD("tos.rtd",,"GAMMA","."&amp;E$2&amp;E$1&amp;"P"&amp;$A47))/1000000),0),IF($A$2="SKEW",IFERROR(VALUE(IF(RTD("tos.rtd",,"IMPL_VOL","."&amp;E$2&amp;E$1&amp;"P"&amp;$A47)="N/A",0,RTD("tos.rtd",,"IMPL_VOL","."&amp;E$2&amp;E$1&amp;"P"&amp;$A47))),0)-IFERROR(VALUE(IF(RTD("tos.rtd",,"IMPL_VOL","."&amp;E$2&amp;E$1&amp;"C"&amp;$A47)="N/A",0,RTD("tos.rtd",,"IMPL_VOL","."&amp;E$2&amp;E$1&amp;"C"&amp;$A47))),0),IF($A$2="MAXPAIN",IF($A$4&gt;$A47,($A$4-$A47)*IF(RTD("tos.rtd",,"OPEN_INT","."&amp;E$2&amp;E$1&amp;"C"&amp;$A47)="N/A",0,RTD("tos.rtd",,"OPEN_INT","."&amp;E$2&amp;E$1&amp;"C"&amp;$A47)),0)+IF($A$4&lt;$A47,($A$5-$A$4)*IF(RTD("tos.rtd",,"OPEN_INT","."&amp;E$2&amp;E$1&amp;"P"&amp;$A47)="N/A",0,RTD("tos.rtd",,"OPEN_INT","."&amp;E$2&amp;E$1&amp;"P"&amp;$A47)),0),IF($X$1="ABS",IF(RTD("tos.rtd",,$A$2,"."&amp;E$2&amp;E$1&amp;"C"&amp;$A47)="N/A",0,RTD("tos.rtd",,$A$2,"."&amp;E$2&amp;E$1&amp;"C"&amp;$A47))+IF(RTD("tos.rtd",,$A$2,"."&amp;E$2&amp;E$1&amp;"P"&amp;$A47)="N/A",0,RTD("tos.rtd",,$A$2,"."&amp;E$2&amp;E$1&amp;"P"&amp;$A47)),IF(RTD("tos.rtd",,$A$2,"."&amp;E$2&amp;E$1&amp;"C"&amp;$A47)="N/A",0,RTD("tos.rtd",,$A$2,"."&amp;E$2&amp;E$1&amp;"C"&amp;$A47))-IF(RTD("tos.rtd",,$A$2,"."&amp;E$2&amp;E$1&amp;"P"&amp;$A47)="N/A",0,RTD("tos.rtd",,$A$2,"."&amp;E$2&amp;E$1&amp;"P"&amp;$A47))))))))))</f>
        <v>0</v>
      </c>
      <c r="F47" s="12">
        <f ca="1">IF($A$2="PREMIUM_OI",IFERROR(IF($X$1="ABS",(100*RTD("tos.rtd",,"OPEN_INT","."&amp;F$2&amp;F$1&amp;"C"&amp;$A47)*RTD("tos.rtd",,"LAST","."&amp;F$2&amp;F$1&amp;"C"&amp;$A47)+100*RTD("tos.rtd",,"OPEN_INT","."&amp;F$2&amp;F$1&amp;"P"&amp;$A47)*RTD("tos.rtd",,"LAST","."&amp;F$2&amp;F$1&amp;"P"&amp;$A47))/1000000,(100*RTD("tos.rtd",,"OPEN_INT","."&amp;F$2&amp;F$1&amp;"C"&amp;$A47)*RTD("tos.rtd",,"LAST","."&amp;F$2&amp;F$1&amp;"C"&amp;$A47)-100*RTD("tos.rtd",,"OPEN_INT","."&amp;F$2&amp;F$1&amp;"P"&amp;$A47)*RTD("tos.rtd",,"LAST","."&amp;F$2&amp;F$1&amp;"P"&amp;$A47))/1000000),0),IF($A$2="PREMIUM",IFERROR(IF($X$1="ABS",(100*RTD("tos.rtd",,"VOLUME","."&amp;F$2&amp;F$1&amp;"C"&amp;$A47)*RTD("tos.rtd",,"LAST","."&amp;F$2&amp;F$1&amp;"C"&amp;$A47)+100*RTD("tos.rtd",,"VOLUME","."&amp;F$2&amp;F$1&amp;"P"&amp;$A47)*RTD("tos.rtd",,"LAST","."&amp;F$2&amp;F$1&amp;"P"&amp;$A47))/1000000,(100*RTD("tos.rtd",,"VOLUME","."&amp;F$2&amp;F$1&amp;"C"&amp;$A47)*RTD("tos.rtd",,"LAST","."&amp;F$2&amp;F$1&amp;"C"&amp;$A47)-100*RTD("tos.rtd",,"VOLUME","."&amp;F$2&amp;F$1&amp;"P"&amp;$A47)*RTD("tos.rtd",,"LAST","."&amp;F$2&amp;F$1&amp;"P"&amp;$A47))/1000000),0),IF($A$2="DEX",IFERROR(IF($X$1="ABS",(100*RTD("tos.rtd",,"OPEN_INT","."&amp;F$2&amp;F$1&amp;"C"&amp;$A47)*RTD("tos.rtd",,"DELTA","."&amp;F$2&amp;F$1&amp;"C"&amp;$A47)+100*RTD("tos.rtd",,"OPEN_INT","."&amp;F$2&amp;F$1&amp;"P"&amp;$A47)*RTD("tos.rtd",,"DELTA","."&amp;F$2&amp;F$1&amp;"P"&amp;$A47))/1000,(100*RTD("tos.rtd",,"OPEN_INT","."&amp;F$2&amp;F$1&amp;"C"&amp;$A47)*RTD("tos.rtd",,"DELTA","."&amp;F$2&amp;F$1&amp;"C"&amp;$A47)-100*RTD("tos.rtd",,"OPEN_INT","."&amp;F$2&amp;F$1&amp;"P"&amp;$A47)*RTD("tos.rtd",,"DELTA","."&amp;F$2&amp;F$1&amp;"P"&amp;$A47))/1000),0),IF($A$2="VEX",IFERROR(IF($X$1="ABS",($A$4*$A$4*RTD("tos.rtd",,"VOLUME","."&amp;F$2&amp;F$1&amp;"C"&amp;$A47)*RTD("tos.rtd",,"GAMMA","."&amp;F$2&amp;F$1&amp;"C"&amp;$A47)+$A$4*$A$4*RTD("tos.rtd",,"VOLUME","."&amp;F$2&amp;F$1&amp;"P"&amp;$A47)*RTD("tos.rtd",,"GAMMA","."&amp;F$2&amp;F$1&amp;"P"&amp;$A47))/1000000,($A$4*$A$4*RTD("tos.rtd",,"VOLUME","."&amp;F$2&amp;F$1&amp;"C"&amp;$A47)*RTD("tos.rtd",,"GAMMA","."&amp;F$2&amp;F$1&amp;"C"&amp;$A47)-$A$4*$A$4*RTD("tos.rtd",,"VOLUME","."&amp;F$2&amp;F$1&amp;"P"&amp;$A47)*RTD("tos.rtd",,"GAMMA","."&amp;F$2&amp;F$1&amp;"P"&amp;$A47))/1000000),0),IF($A$2="GEX",IFERROR(IF($X$1="ABS",($A$4*$A$4*RTD("tos.rtd",,"OPEN_INT","."&amp;F$2&amp;F$1&amp;"C"&amp;$A47)*RTD("tos.rtd",,"GAMMA","."&amp;F$2&amp;F$1&amp;"C"&amp;$A47)+$A$4*$A$4*RTD("tos.rtd",,"OPEN_INT","."&amp;F$2&amp;F$1&amp;"P"&amp;$A47)*RTD("tos.rtd",,"GAMMA","."&amp;F$2&amp;F$1&amp;"P"&amp;$A47))/1000000,($A$4*$A$4*RTD("tos.rtd",,"OPEN_INT","."&amp;F$2&amp;F$1&amp;"C"&amp;$A47)*RTD("tos.rtd",,"GAMMA","."&amp;F$2&amp;F$1&amp;"C"&amp;$A47)-$A$4*$A$4*RTD("tos.rtd",,"OPEN_INT","."&amp;F$2&amp;F$1&amp;"P"&amp;$A47)*RTD("tos.rtd",,"GAMMA","."&amp;F$2&amp;F$1&amp;"P"&amp;$A47))/1000000),0),IF($A$2="SKEW",IFERROR(VALUE(IF(RTD("tos.rtd",,"IMPL_VOL","."&amp;F$2&amp;F$1&amp;"P"&amp;$A47)="N/A",0,RTD("tos.rtd",,"IMPL_VOL","."&amp;F$2&amp;F$1&amp;"P"&amp;$A47))),0)-IFERROR(VALUE(IF(RTD("tos.rtd",,"IMPL_VOL","."&amp;F$2&amp;F$1&amp;"C"&amp;$A47)="N/A",0,RTD("tos.rtd",,"IMPL_VOL","."&amp;F$2&amp;F$1&amp;"C"&amp;$A47))),0),IF($A$2="MAXPAIN",IF($A$4&gt;$A47,($A$4-$A47)*IF(RTD("tos.rtd",,"OPEN_INT","."&amp;F$2&amp;F$1&amp;"C"&amp;$A47)="N/A",0,RTD("tos.rtd",,"OPEN_INT","."&amp;F$2&amp;F$1&amp;"C"&amp;$A47)),0)+IF($A$4&lt;$A47,($A$5-$A$4)*IF(RTD("tos.rtd",,"OPEN_INT","."&amp;F$2&amp;F$1&amp;"P"&amp;$A47)="N/A",0,RTD("tos.rtd",,"OPEN_INT","."&amp;F$2&amp;F$1&amp;"P"&amp;$A47)),0),IF($X$1="ABS",IF(RTD("tos.rtd",,$A$2,"."&amp;F$2&amp;F$1&amp;"C"&amp;$A47)="N/A",0,RTD("tos.rtd",,$A$2,"."&amp;F$2&amp;F$1&amp;"C"&amp;$A47))+IF(RTD("tos.rtd",,$A$2,"."&amp;F$2&amp;F$1&amp;"P"&amp;$A47)="N/A",0,RTD("tos.rtd",,$A$2,"."&amp;F$2&amp;F$1&amp;"P"&amp;$A47)),IF(RTD("tos.rtd",,$A$2,"."&amp;F$2&amp;F$1&amp;"C"&amp;$A47)="N/A",0,RTD("tos.rtd",,$A$2,"."&amp;F$2&amp;F$1&amp;"C"&amp;$A47))-IF(RTD("tos.rtd",,$A$2,"."&amp;F$2&amp;F$1&amp;"P"&amp;$A47)="N/A",0,RTD("tos.rtd",,$A$2,"."&amp;F$2&amp;F$1&amp;"P"&amp;$A47))))))))))</f>
        <v>0</v>
      </c>
      <c r="G47" s="54">
        <f ca="1">IF($A$2="PREMIUM_OI",IFERROR(IF($X$1="ABS",(100*RTD("tos.rtd",,"OPEN_INT","."&amp;G$2&amp;G$1&amp;"C"&amp;$A47)*RTD("tos.rtd",,"LAST","."&amp;G$2&amp;G$1&amp;"C"&amp;$A47)+100*RTD("tos.rtd",,"OPEN_INT","."&amp;G$2&amp;G$1&amp;"P"&amp;$A47)*RTD("tos.rtd",,"LAST","."&amp;G$2&amp;G$1&amp;"P"&amp;$A47))/1000000,(100*RTD("tos.rtd",,"OPEN_INT","."&amp;G$2&amp;G$1&amp;"C"&amp;$A47)*RTD("tos.rtd",,"LAST","."&amp;G$2&amp;G$1&amp;"C"&amp;$A47)-100*RTD("tos.rtd",,"OPEN_INT","."&amp;G$2&amp;G$1&amp;"P"&amp;$A47)*RTD("tos.rtd",,"LAST","."&amp;G$2&amp;G$1&amp;"P"&amp;$A47))/1000000),0),IF($A$2="PREMIUM",IFERROR(IF($X$1="ABS",(100*RTD("tos.rtd",,"VOLUME","."&amp;G$2&amp;G$1&amp;"C"&amp;$A47)*RTD("tos.rtd",,"LAST","."&amp;G$2&amp;G$1&amp;"C"&amp;$A47)+100*RTD("tos.rtd",,"VOLUME","."&amp;G$2&amp;G$1&amp;"P"&amp;$A47)*RTD("tos.rtd",,"LAST","."&amp;G$2&amp;G$1&amp;"P"&amp;$A47))/1000000,(100*RTD("tos.rtd",,"VOLUME","."&amp;G$2&amp;G$1&amp;"C"&amp;$A47)*RTD("tos.rtd",,"LAST","."&amp;G$2&amp;G$1&amp;"C"&amp;$A47)-100*RTD("tos.rtd",,"VOLUME","."&amp;G$2&amp;G$1&amp;"P"&amp;$A47)*RTD("tos.rtd",,"LAST","."&amp;G$2&amp;G$1&amp;"P"&amp;$A47))/1000000),0),IF($A$2="DEX",IFERROR(IF($X$1="ABS",(100*RTD("tos.rtd",,"OPEN_INT","."&amp;G$2&amp;G$1&amp;"C"&amp;$A47)*RTD("tos.rtd",,"DELTA","."&amp;G$2&amp;G$1&amp;"C"&amp;$A47)+100*RTD("tos.rtd",,"OPEN_INT","."&amp;G$2&amp;G$1&amp;"P"&amp;$A47)*RTD("tos.rtd",,"DELTA","."&amp;G$2&amp;G$1&amp;"P"&amp;$A47))/1000,(100*RTD("tos.rtd",,"OPEN_INT","."&amp;G$2&amp;G$1&amp;"C"&amp;$A47)*RTD("tos.rtd",,"DELTA","."&amp;G$2&amp;G$1&amp;"C"&amp;$A47)-100*RTD("tos.rtd",,"OPEN_INT","."&amp;G$2&amp;G$1&amp;"P"&amp;$A47)*RTD("tos.rtd",,"DELTA","."&amp;G$2&amp;G$1&amp;"P"&amp;$A47))/1000),0),IF($A$2="VEX",IFERROR(IF($X$1="ABS",($A$4*$A$4*RTD("tos.rtd",,"VOLUME","."&amp;G$2&amp;G$1&amp;"C"&amp;$A47)*RTD("tos.rtd",,"GAMMA","."&amp;G$2&amp;G$1&amp;"C"&amp;$A47)+$A$4*$A$4*RTD("tos.rtd",,"VOLUME","."&amp;G$2&amp;G$1&amp;"P"&amp;$A47)*RTD("tos.rtd",,"GAMMA","."&amp;G$2&amp;G$1&amp;"P"&amp;$A47))/1000000,($A$4*$A$4*RTD("tos.rtd",,"VOLUME","."&amp;G$2&amp;G$1&amp;"C"&amp;$A47)*RTD("tos.rtd",,"GAMMA","."&amp;G$2&amp;G$1&amp;"C"&amp;$A47)-$A$4*$A$4*RTD("tos.rtd",,"VOLUME","."&amp;G$2&amp;G$1&amp;"P"&amp;$A47)*RTD("tos.rtd",,"GAMMA","."&amp;G$2&amp;G$1&amp;"P"&amp;$A47))/1000000),0),IF($A$2="GEX",IFERROR(IF($X$1="ABS",($A$4*$A$4*RTD("tos.rtd",,"OPEN_INT","."&amp;G$2&amp;G$1&amp;"C"&amp;$A47)*RTD("tos.rtd",,"GAMMA","."&amp;G$2&amp;G$1&amp;"C"&amp;$A47)+$A$4*$A$4*RTD("tos.rtd",,"OPEN_INT","."&amp;G$2&amp;G$1&amp;"P"&amp;$A47)*RTD("tos.rtd",,"GAMMA","."&amp;G$2&amp;G$1&amp;"P"&amp;$A47))/1000000,($A$4*$A$4*RTD("tos.rtd",,"OPEN_INT","."&amp;G$2&amp;G$1&amp;"C"&amp;$A47)*RTD("tos.rtd",,"GAMMA","."&amp;G$2&amp;G$1&amp;"C"&amp;$A47)-$A$4*$A$4*RTD("tos.rtd",,"OPEN_INT","."&amp;G$2&amp;G$1&amp;"P"&amp;$A47)*RTD("tos.rtd",,"GAMMA","."&amp;G$2&amp;G$1&amp;"P"&amp;$A47))/1000000),0),IF($A$2="SKEW",IFERROR(VALUE(IF(RTD("tos.rtd",,"IMPL_VOL","."&amp;G$2&amp;G$1&amp;"P"&amp;$A47)="N/A",0,RTD("tos.rtd",,"IMPL_VOL","."&amp;G$2&amp;G$1&amp;"P"&amp;$A47))),0)-IFERROR(VALUE(IF(RTD("tos.rtd",,"IMPL_VOL","."&amp;G$2&amp;G$1&amp;"C"&amp;$A47)="N/A",0,RTD("tos.rtd",,"IMPL_VOL","."&amp;G$2&amp;G$1&amp;"C"&amp;$A47))),0),IF($A$2="MAXPAIN",IF($A$4&gt;$A47,($A$4-$A47)*IF(RTD("tos.rtd",,"OPEN_INT","."&amp;G$2&amp;G$1&amp;"C"&amp;$A47)="N/A",0,RTD("tos.rtd",,"OPEN_INT","."&amp;G$2&amp;G$1&amp;"C"&amp;$A47)),0)+IF($A$4&lt;$A47,($A$5-$A$4)*IF(RTD("tos.rtd",,"OPEN_INT","."&amp;G$2&amp;G$1&amp;"P"&amp;$A47)="N/A",0,RTD("tos.rtd",,"OPEN_INT","."&amp;G$2&amp;G$1&amp;"P"&amp;$A47)),0),IF($X$1="ABS",IF(RTD("tos.rtd",,$A$2,"."&amp;G$2&amp;G$1&amp;"C"&amp;$A47)="N/A",0,RTD("tos.rtd",,$A$2,"."&amp;G$2&amp;G$1&amp;"C"&amp;$A47))+IF(RTD("tos.rtd",,$A$2,"."&amp;G$2&amp;G$1&amp;"P"&amp;$A47)="N/A",0,RTD("tos.rtd",,$A$2,"."&amp;G$2&amp;G$1&amp;"P"&amp;$A47)),IF(RTD("tos.rtd",,$A$2,"."&amp;G$2&amp;G$1&amp;"C"&amp;$A47)="N/A",0,RTD("tos.rtd",,$A$2,"."&amp;G$2&amp;G$1&amp;"C"&amp;$A47))-IF(RTD("tos.rtd",,$A$2,"."&amp;G$2&amp;G$1&amp;"P"&amp;$A47)="N/A",0,RTD("tos.rtd",,$A$2,"."&amp;G$2&amp;G$1&amp;"P"&amp;$A47))))))))))</f>
        <v>0</v>
      </c>
      <c r="H47" s="14">
        <f ca="1">IF($A$2="PREMIUM_OI",IFERROR(IF($X$1="ABS",(100*RTD("tos.rtd",,"OPEN_INT","."&amp;H$2&amp;H$1&amp;"C"&amp;$A47)*RTD("tos.rtd",,"LAST","."&amp;H$2&amp;H$1&amp;"C"&amp;$A47)+100*RTD("tos.rtd",,"OPEN_INT","."&amp;H$2&amp;H$1&amp;"P"&amp;$A47)*RTD("tos.rtd",,"LAST","."&amp;H$2&amp;H$1&amp;"P"&amp;$A47))/1000000,(100*RTD("tos.rtd",,"OPEN_INT","."&amp;H$2&amp;H$1&amp;"C"&amp;$A47)*RTD("tos.rtd",,"LAST","."&amp;H$2&amp;H$1&amp;"C"&amp;$A47)-100*RTD("tos.rtd",,"OPEN_INT","."&amp;H$2&amp;H$1&amp;"P"&amp;$A47)*RTD("tos.rtd",,"LAST","."&amp;H$2&amp;H$1&amp;"P"&amp;$A47))/1000000),0),IF($A$2="PREMIUM",IFERROR(IF($X$1="ABS",(100*RTD("tos.rtd",,"VOLUME","."&amp;H$2&amp;H$1&amp;"C"&amp;$A47)*RTD("tos.rtd",,"LAST","."&amp;H$2&amp;H$1&amp;"C"&amp;$A47)+100*RTD("tos.rtd",,"VOLUME","."&amp;H$2&amp;H$1&amp;"P"&amp;$A47)*RTD("tos.rtd",,"LAST","."&amp;H$2&amp;H$1&amp;"P"&amp;$A47))/1000000,(100*RTD("tos.rtd",,"VOLUME","."&amp;H$2&amp;H$1&amp;"C"&amp;$A47)*RTD("tos.rtd",,"LAST","."&amp;H$2&amp;H$1&amp;"C"&amp;$A47)-100*RTD("tos.rtd",,"VOLUME","."&amp;H$2&amp;H$1&amp;"P"&amp;$A47)*RTD("tos.rtd",,"LAST","."&amp;H$2&amp;H$1&amp;"P"&amp;$A47))/1000000),0),IF($A$2="DEX",IFERROR(IF($X$1="ABS",(100*RTD("tos.rtd",,"OPEN_INT","."&amp;H$2&amp;H$1&amp;"C"&amp;$A47)*RTD("tos.rtd",,"DELTA","."&amp;H$2&amp;H$1&amp;"C"&amp;$A47)+100*RTD("tos.rtd",,"OPEN_INT","."&amp;H$2&amp;H$1&amp;"P"&amp;$A47)*RTD("tos.rtd",,"DELTA","."&amp;H$2&amp;H$1&amp;"P"&amp;$A47))/1000,(100*RTD("tos.rtd",,"OPEN_INT","."&amp;H$2&amp;H$1&amp;"C"&amp;$A47)*RTD("tos.rtd",,"DELTA","."&amp;H$2&amp;H$1&amp;"C"&amp;$A47)-100*RTD("tos.rtd",,"OPEN_INT","."&amp;H$2&amp;H$1&amp;"P"&amp;$A47)*RTD("tos.rtd",,"DELTA","."&amp;H$2&amp;H$1&amp;"P"&amp;$A47))/1000),0),IF($A$2="VEX",IFERROR(IF($X$1="ABS",($A$4*$A$4*RTD("tos.rtd",,"VOLUME","."&amp;H$2&amp;H$1&amp;"C"&amp;$A47)*RTD("tos.rtd",,"GAMMA","."&amp;H$2&amp;H$1&amp;"C"&amp;$A47)+$A$4*$A$4*RTD("tos.rtd",,"VOLUME","."&amp;H$2&amp;H$1&amp;"P"&amp;$A47)*RTD("tos.rtd",,"GAMMA","."&amp;H$2&amp;H$1&amp;"P"&amp;$A47))/1000000,($A$4*$A$4*RTD("tos.rtd",,"VOLUME","."&amp;H$2&amp;H$1&amp;"C"&amp;$A47)*RTD("tos.rtd",,"GAMMA","."&amp;H$2&amp;H$1&amp;"C"&amp;$A47)-$A$4*$A$4*RTD("tos.rtd",,"VOLUME","."&amp;H$2&amp;H$1&amp;"P"&amp;$A47)*RTD("tos.rtd",,"GAMMA","."&amp;H$2&amp;H$1&amp;"P"&amp;$A47))/1000000),0),IF($A$2="GEX",IFERROR(IF($X$1="ABS",($A$4*$A$4*RTD("tos.rtd",,"OPEN_INT","."&amp;H$2&amp;H$1&amp;"C"&amp;$A47)*RTD("tos.rtd",,"GAMMA","."&amp;H$2&amp;H$1&amp;"C"&amp;$A47)+$A$4*$A$4*RTD("tos.rtd",,"OPEN_INT","."&amp;H$2&amp;H$1&amp;"P"&amp;$A47)*RTD("tos.rtd",,"GAMMA","."&amp;H$2&amp;H$1&amp;"P"&amp;$A47))/1000000,($A$4*$A$4*RTD("tos.rtd",,"OPEN_INT","."&amp;H$2&amp;H$1&amp;"C"&amp;$A47)*RTD("tos.rtd",,"GAMMA","."&amp;H$2&amp;H$1&amp;"C"&amp;$A47)-$A$4*$A$4*RTD("tos.rtd",,"OPEN_INT","."&amp;H$2&amp;H$1&amp;"P"&amp;$A47)*RTD("tos.rtd",,"GAMMA","."&amp;H$2&amp;H$1&amp;"P"&amp;$A47))/1000000),0),IF($A$2="SKEW",IFERROR(VALUE(IF(RTD("tos.rtd",,"IMPL_VOL","."&amp;H$2&amp;H$1&amp;"P"&amp;$A47)="N/A",0,RTD("tos.rtd",,"IMPL_VOL","."&amp;H$2&amp;H$1&amp;"P"&amp;$A47))),0)-IFERROR(VALUE(IF(RTD("tos.rtd",,"IMPL_VOL","."&amp;H$2&amp;H$1&amp;"C"&amp;$A47)="N/A",0,RTD("tos.rtd",,"IMPL_VOL","."&amp;H$2&amp;H$1&amp;"C"&amp;$A47))),0),IF($A$2="MAXPAIN",IF($A$4&gt;$A47,($A$4-$A47)*IF(RTD("tos.rtd",,"OPEN_INT","."&amp;H$2&amp;H$1&amp;"C"&amp;$A47)="N/A",0,RTD("tos.rtd",,"OPEN_INT","."&amp;H$2&amp;H$1&amp;"C"&amp;$A47)),0)+IF($A$4&lt;$A47,($A$5-$A$4)*IF(RTD("tos.rtd",,"OPEN_INT","."&amp;H$2&amp;H$1&amp;"P"&amp;$A47)="N/A",0,RTD("tos.rtd",,"OPEN_INT","."&amp;H$2&amp;H$1&amp;"P"&amp;$A47)),0),IF($X$1="ABS",IF(RTD("tos.rtd",,$A$2,"."&amp;H$2&amp;H$1&amp;"C"&amp;$A47)="N/A",0,RTD("tos.rtd",,$A$2,"."&amp;H$2&amp;H$1&amp;"C"&amp;$A47))+IF(RTD("tos.rtd",,$A$2,"."&amp;H$2&amp;H$1&amp;"P"&amp;$A47)="N/A",0,RTD("tos.rtd",,$A$2,"."&amp;H$2&amp;H$1&amp;"P"&amp;$A47)),IF(RTD("tos.rtd",,$A$2,"."&amp;H$2&amp;H$1&amp;"C"&amp;$A47)="N/A",0,RTD("tos.rtd",,$A$2,"."&amp;H$2&amp;H$1&amp;"C"&amp;$A47))-IF(RTD("tos.rtd",,$A$2,"."&amp;H$2&amp;H$1&amp;"P"&amp;$A47)="N/A",0,RTD("tos.rtd",,$A$2,"."&amp;H$2&amp;H$1&amp;"P"&amp;$A47))))))))))</f>
        <v>0</v>
      </c>
      <c r="I47" s="12">
        <f ca="1">IF($A$2="PREMIUM_OI",IFERROR(IF($X$1="ABS",(100*RTD("tos.rtd",,"OPEN_INT","."&amp;I$2&amp;I$1&amp;"C"&amp;$A47)*RTD("tos.rtd",,"LAST","."&amp;I$2&amp;I$1&amp;"C"&amp;$A47)+100*RTD("tos.rtd",,"OPEN_INT","."&amp;I$2&amp;I$1&amp;"P"&amp;$A47)*RTD("tos.rtd",,"LAST","."&amp;I$2&amp;I$1&amp;"P"&amp;$A47))/1000000,(100*RTD("tos.rtd",,"OPEN_INT","."&amp;I$2&amp;I$1&amp;"C"&amp;$A47)*RTD("tos.rtd",,"LAST","."&amp;I$2&amp;I$1&amp;"C"&amp;$A47)-100*RTD("tos.rtd",,"OPEN_INT","."&amp;I$2&amp;I$1&amp;"P"&amp;$A47)*RTD("tos.rtd",,"LAST","."&amp;I$2&amp;I$1&amp;"P"&amp;$A47))/1000000),0),IF($A$2="PREMIUM",IFERROR(IF($X$1="ABS",(100*RTD("tos.rtd",,"VOLUME","."&amp;I$2&amp;I$1&amp;"C"&amp;$A47)*RTD("tos.rtd",,"LAST","."&amp;I$2&amp;I$1&amp;"C"&amp;$A47)+100*RTD("tos.rtd",,"VOLUME","."&amp;I$2&amp;I$1&amp;"P"&amp;$A47)*RTD("tos.rtd",,"LAST","."&amp;I$2&amp;I$1&amp;"P"&amp;$A47))/1000000,(100*RTD("tos.rtd",,"VOLUME","."&amp;I$2&amp;I$1&amp;"C"&amp;$A47)*RTD("tos.rtd",,"LAST","."&amp;I$2&amp;I$1&amp;"C"&amp;$A47)-100*RTD("tos.rtd",,"VOLUME","."&amp;I$2&amp;I$1&amp;"P"&amp;$A47)*RTD("tos.rtd",,"LAST","."&amp;I$2&amp;I$1&amp;"P"&amp;$A47))/1000000),0),IF($A$2="DEX",IFERROR(IF($X$1="ABS",(100*RTD("tos.rtd",,"OPEN_INT","."&amp;I$2&amp;I$1&amp;"C"&amp;$A47)*RTD("tos.rtd",,"DELTA","."&amp;I$2&amp;I$1&amp;"C"&amp;$A47)+100*RTD("tos.rtd",,"OPEN_INT","."&amp;I$2&amp;I$1&amp;"P"&amp;$A47)*RTD("tos.rtd",,"DELTA","."&amp;I$2&amp;I$1&amp;"P"&amp;$A47))/1000,(100*RTD("tos.rtd",,"OPEN_INT","."&amp;I$2&amp;I$1&amp;"C"&amp;$A47)*RTD("tos.rtd",,"DELTA","."&amp;I$2&amp;I$1&amp;"C"&amp;$A47)-100*RTD("tos.rtd",,"OPEN_INT","."&amp;I$2&amp;I$1&amp;"P"&amp;$A47)*RTD("tos.rtd",,"DELTA","."&amp;I$2&amp;I$1&amp;"P"&amp;$A47))/1000),0),IF($A$2="VEX",IFERROR(IF($X$1="ABS",($A$4*$A$4*RTD("tos.rtd",,"VOLUME","."&amp;I$2&amp;I$1&amp;"C"&amp;$A47)*RTD("tos.rtd",,"GAMMA","."&amp;I$2&amp;I$1&amp;"C"&amp;$A47)+$A$4*$A$4*RTD("tos.rtd",,"VOLUME","."&amp;I$2&amp;I$1&amp;"P"&amp;$A47)*RTD("tos.rtd",,"GAMMA","."&amp;I$2&amp;I$1&amp;"P"&amp;$A47))/1000000,($A$4*$A$4*RTD("tos.rtd",,"VOLUME","."&amp;I$2&amp;I$1&amp;"C"&amp;$A47)*RTD("tos.rtd",,"GAMMA","."&amp;I$2&amp;I$1&amp;"C"&amp;$A47)-$A$4*$A$4*RTD("tos.rtd",,"VOLUME","."&amp;I$2&amp;I$1&amp;"P"&amp;$A47)*RTD("tos.rtd",,"GAMMA","."&amp;I$2&amp;I$1&amp;"P"&amp;$A47))/1000000),0),IF($A$2="GEX",IFERROR(IF($X$1="ABS",($A$4*$A$4*RTD("tos.rtd",,"OPEN_INT","."&amp;I$2&amp;I$1&amp;"C"&amp;$A47)*RTD("tos.rtd",,"GAMMA","."&amp;I$2&amp;I$1&amp;"C"&amp;$A47)+$A$4*$A$4*RTD("tos.rtd",,"OPEN_INT","."&amp;I$2&amp;I$1&amp;"P"&amp;$A47)*RTD("tos.rtd",,"GAMMA","."&amp;I$2&amp;I$1&amp;"P"&amp;$A47))/1000000,($A$4*$A$4*RTD("tos.rtd",,"OPEN_INT","."&amp;I$2&amp;I$1&amp;"C"&amp;$A47)*RTD("tos.rtd",,"GAMMA","."&amp;I$2&amp;I$1&amp;"C"&amp;$A47)-$A$4*$A$4*RTD("tos.rtd",,"OPEN_INT","."&amp;I$2&amp;I$1&amp;"P"&amp;$A47)*RTD("tos.rtd",,"GAMMA","."&amp;I$2&amp;I$1&amp;"P"&amp;$A47))/1000000),0),IF($A$2="SKEW",IFERROR(VALUE(IF(RTD("tos.rtd",,"IMPL_VOL","."&amp;I$2&amp;I$1&amp;"P"&amp;$A47)="N/A",0,RTD("tos.rtd",,"IMPL_VOL","."&amp;I$2&amp;I$1&amp;"P"&amp;$A47))),0)-IFERROR(VALUE(IF(RTD("tos.rtd",,"IMPL_VOL","."&amp;I$2&amp;I$1&amp;"C"&amp;$A47)="N/A",0,RTD("tos.rtd",,"IMPL_VOL","."&amp;I$2&amp;I$1&amp;"C"&amp;$A47))),0),IF($A$2="MAXPAIN",IF($A$4&gt;$A47,($A$4-$A47)*IF(RTD("tos.rtd",,"OPEN_INT","."&amp;I$2&amp;I$1&amp;"C"&amp;$A47)="N/A",0,RTD("tos.rtd",,"OPEN_INT","."&amp;I$2&amp;I$1&amp;"C"&amp;$A47)),0)+IF($A$4&lt;$A47,($A$5-$A$4)*IF(RTD("tos.rtd",,"OPEN_INT","."&amp;I$2&amp;I$1&amp;"P"&amp;$A47)="N/A",0,RTD("tos.rtd",,"OPEN_INT","."&amp;I$2&amp;I$1&amp;"P"&amp;$A47)),0),IF($X$1="ABS",IF(RTD("tos.rtd",,$A$2,"."&amp;I$2&amp;I$1&amp;"C"&amp;$A47)="N/A",0,RTD("tos.rtd",,$A$2,"."&amp;I$2&amp;I$1&amp;"C"&amp;$A47))+IF(RTD("tos.rtd",,$A$2,"."&amp;I$2&amp;I$1&amp;"P"&amp;$A47)="N/A",0,RTD("tos.rtd",,$A$2,"."&amp;I$2&amp;I$1&amp;"P"&amp;$A47)),IF(RTD("tos.rtd",,$A$2,"."&amp;I$2&amp;I$1&amp;"C"&amp;$A47)="N/A",0,RTD("tos.rtd",,$A$2,"."&amp;I$2&amp;I$1&amp;"C"&amp;$A47))-IF(RTD("tos.rtd",,$A$2,"."&amp;I$2&amp;I$1&amp;"P"&amp;$A47)="N/A",0,RTD("tos.rtd",,$A$2,"."&amp;I$2&amp;I$1&amp;"P"&amp;$A47))))))))))</f>
        <v>0</v>
      </c>
      <c r="J47" s="12">
        <f ca="1">IF($A$2="PREMIUM_OI",IFERROR(IF($X$1="ABS",(100*RTD("tos.rtd",,"OPEN_INT","."&amp;J$2&amp;J$1&amp;"C"&amp;$A47)*RTD("tos.rtd",,"LAST","."&amp;J$2&amp;J$1&amp;"C"&amp;$A47)+100*RTD("tos.rtd",,"OPEN_INT","."&amp;J$2&amp;J$1&amp;"P"&amp;$A47)*RTD("tos.rtd",,"LAST","."&amp;J$2&amp;J$1&amp;"P"&amp;$A47))/1000000,(100*RTD("tos.rtd",,"OPEN_INT","."&amp;J$2&amp;J$1&amp;"C"&amp;$A47)*RTD("tos.rtd",,"LAST","."&amp;J$2&amp;J$1&amp;"C"&amp;$A47)-100*RTD("tos.rtd",,"OPEN_INT","."&amp;J$2&amp;J$1&amp;"P"&amp;$A47)*RTD("tos.rtd",,"LAST","."&amp;J$2&amp;J$1&amp;"P"&amp;$A47))/1000000),0),IF($A$2="PREMIUM",IFERROR(IF($X$1="ABS",(100*RTD("tos.rtd",,"VOLUME","."&amp;J$2&amp;J$1&amp;"C"&amp;$A47)*RTD("tos.rtd",,"LAST","."&amp;J$2&amp;J$1&amp;"C"&amp;$A47)+100*RTD("tos.rtd",,"VOLUME","."&amp;J$2&amp;J$1&amp;"P"&amp;$A47)*RTD("tos.rtd",,"LAST","."&amp;J$2&amp;J$1&amp;"P"&amp;$A47))/1000000,(100*RTD("tos.rtd",,"VOLUME","."&amp;J$2&amp;J$1&amp;"C"&amp;$A47)*RTD("tos.rtd",,"LAST","."&amp;J$2&amp;J$1&amp;"C"&amp;$A47)-100*RTD("tos.rtd",,"VOLUME","."&amp;J$2&amp;J$1&amp;"P"&amp;$A47)*RTD("tos.rtd",,"LAST","."&amp;J$2&amp;J$1&amp;"P"&amp;$A47))/1000000),0),IF($A$2="DEX",IFERROR(IF($X$1="ABS",(100*RTD("tos.rtd",,"OPEN_INT","."&amp;J$2&amp;J$1&amp;"C"&amp;$A47)*RTD("tos.rtd",,"DELTA","."&amp;J$2&amp;J$1&amp;"C"&amp;$A47)+100*RTD("tos.rtd",,"OPEN_INT","."&amp;J$2&amp;J$1&amp;"P"&amp;$A47)*RTD("tos.rtd",,"DELTA","."&amp;J$2&amp;J$1&amp;"P"&amp;$A47))/1000,(100*RTD("tos.rtd",,"OPEN_INT","."&amp;J$2&amp;J$1&amp;"C"&amp;$A47)*RTD("tos.rtd",,"DELTA","."&amp;J$2&amp;J$1&amp;"C"&amp;$A47)-100*RTD("tos.rtd",,"OPEN_INT","."&amp;J$2&amp;J$1&amp;"P"&amp;$A47)*RTD("tos.rtd",,"DELTA","."&amp;J$2&amp;J$1&amp;"P"&amp;$A47))/1000),0),IF($A$2="VEX",IFERROR(IF($X$1="ABS",($A$4*$A$4*RTD("tos.rtd",,"VOLUME","."&amp;J$2&amp;J$1&amp;"C"&amp;$A47)*RTD("tos.rtd",,"GAMMA","."&amp;J$2&amp;J$1&amp;"C"&amp;$A47)+$A$4*$A$4*RTD("tos.rtd",,"VOLUME","."&amp;J$2&amp;J$1&amp;"P"&amp;$A47)*RTD("tos.rtd",,"GAMMA","."&amp;J$2&amp;J$1&amp;"P"&amp;$A47))/1000000,($A$4*$A$4*RTD("tos.rtd",,"VOLUME","."&amp;J$2&amp;J$1&amp;"C"&amp;$A47)*RTD("tos.rtd",,"GAMMA","."&amp;J$2&amp;J$1&amp;"C"&amp;$A47)-$A$4*$A$4*RTD("tos.rtd",,"VOLUME","."&amp;J$2&amp;J$1&amp;"P"&amp;$A47)*RTD("tos.rtd",,"GAMMA","."&amp;J$2&amp;J$1&amp;"P"&amp;$A47))/1000000),0),IF($A$2="GEX",IFERROR(IF($X$1="ABS",($A$4*$A$4*RTD("tos.rtd",,"OPEN_INT","."&amp;J$2&amp;J$1&amp;"C"&amp;$A47)*RTD("tos.rtd",,"GAMMA","."&amp;J$2&amp;J$1&amp;"C"&amp;$A47)+$A$4*$A$4*RTD("tos.rtd",,"OPEN_INT","."&amp;J$2&amp;J$1&amp;"P"&amp;$A47)*RTD("tos.rtd",,"GAMMA","."&amp;J$2&amp;J$1&amp;"P"&amp;$A47))/1000000,($A$4*$A$4*RTD("tos.rtd",,"OPEN_INT","."&amp;J$2&amp;J$1&amp;"C"&amp;$A47)*RTD("tos.rtd",,"GAMMA","."&amp;J$2&amp;J$1&amp;"C"&amp;$A47)-$A$4*$A$4*RTD("tos.rtd",,"OPEN_INT","."&amp;J$2&amp;J$1&amp;"P"&amp;$A47)*RTD("tos.rtd",,"GAMMA","."&amp;J$2&amp;J$1&amp;"P"&amp;$A47))/1000000),0),IF($A$2="SKEW",IFERROR(VALUE(IF(RTD("tos.rtd",,"IMPL_VOL","."&amp;J$2&amp;J$1&amp;"P"&amp;$A47)="N/A",0,RTD("tos.rtd",,"IMPL_VOL","."&amp;J$2&amp;J$1&amp;"P"&amp;$A47))),0)-IFERROR(VALUE(IF(RTD("tos.rtd",,"IMPL_VOL","."&amp;J$2&amp;J$1&amp;"C"&amp;$A47)="N/A",0,RTD("tos.rtd",,"IMPL_VOL","."&amp;J$2&amp;J$1&amp;"C"&amp;$A47))),0),IF($A$2="MAXPAIN",IF($A$4&gt;$A47,($A$4-$A47)*IF(RTD("tos.rtd",,"OPEN_INT","."&amp;J$2&amp;J$1&amp;"C"&amp;$A47)="N/A",0,RTD("tos.rtd",,"OPEN_INT","."&amp;J$2&amp;J$1&amp;"C"&amp;$A47)),0)+IF($A$4&lt;$A47,($A$5-$A$4)*IF(RTD("tos.rtd",,"OPEN_INT","."&amp;J$2&amp;J$1&amp;"P"&amp;$A47)="N/A",0,RTD("tos.rtd",,"OPEN_INT","."&amp;J$2&amp;J$1&amp;"P"&amp;$A47)),0),IF($X$1="ABS",IF(RTD("tos.rtd",,$A$2,"."&amp;J$2&amp;J$1&amp;"C"&amp;$A47)="N/A",0,RTD("tos.rtd",,$A$2,"."&amp;J$2&amp;J$1&amp;"C"&amp;$A47))+IF(RTD("tos.rtd",,$A$2,"."&amp;J$2&amp;J$1&amp;"P"&amp;$A47)="N/A",0,RTD("tos.rtd",,$A$2,"."&amp;J$2&amp;J$1&amp;"P"&amp;$A47)),IF(RTD("tos.rtd",,$A$2,"."&amp;J$2&amp;J$1&amp;"C"&amp;$A47)="N/A",0,RTD("tos.rtd",,$A$2,"."&amp;J$2&amp;J$1&amp;"C"&amp;$A47))-IF(RTD("tos.rtd",,$A$2,"."&amp;J$2&amp;J$1&amp;"P"&amp;$A47)="N/A",0,RTD("tos.rtd",,$A$2,"."&amp;J$2&amp;J$1&amp;"P"&amp;$A47))))))))))</f>
        <v>0</v>
      </c>
      <c r="K47" s="12">
        <f ca="1">IF($A$2="PREMIUM_OI",IFERROR(IF($X$1="ABS",(100*RTD("tos.rtd",,"OPEN_INT","."&amp;K$2&amp;K$1&amp;"C"&amp;$A47)*RTD("tos.rtd",,"LAST","."&amp;K$2&amp;K$1&amp;"C"&amp;$A47)+100*RTD("tos.rtd",,"OPEN_INT","."&amp;K$2&amp;K$1&amp;"P"&amp;$A47)*RTD("tos.rtd",,"LAST","."&amp;K$2&amp;K$1&amp;"P"&amp;$A47))/1000000,(100*RTD("tos.rtd",,"OPEN_INT","."&amp;K$2&amp;K$1&amp;"C"&amp;$A47)*RTD("tos.rtd",,"LAST","."&amp;K$2&amp;K$1&amp;"C"&amp;$A47)-100*RTD("tos.rtd",,"OPEN_INT","."&amp;K$2&amp;K$1&amp;"P"&amp;$A47)*RTD("tos.rtd",,"LAST","."&amp;K$2&amp;K$1&amp;"P"&amp;$A47))/1000000),0),IF($A$2="PREMIUM",IFERROR(IF($X$1="ABS",(100*RTD("tos.rtd",,"VOLUME","."&amp;K$2&amp;K$1&amp;"C"&amp;$A47)*RTD("tos.rtd",,"LAST","."&amp;K$2&amp;K$1&amp;"C"&amp;$A47)+100*RTD("tos.rtd",,"VOLUME","."&amp;K$2&amp;K$1&amp;"P"&amp;$A47)*RTD("tos.rtd",,"LAST","."&amp;K$2&amp;K$1&amp;"P"&amp;$A47))/1000000,(100*RTD("tos.rtd",,"VOLUME","."&amp;K$2&amp;K$1&amp;"C"&amp;$A47)*RTD("tos.rtd",,"LAST","."&amp;K$2&amp;K$1&amp;"C"&amp;$A47)-100*RTD("tos.rtd",,"VOLUME","."&amp;K$2&amp;K$1&amp;"P"&amp;$A47)*RTD("tos.rtd",,"LAST","."&amp;K$2&amp;K$1&amp;"P"&amp;$A47))/1000000),0),IF($A$2="DEX",IFERROR(IF($X$1="ABS",(100*RTD("tos.rtd",,"OPEN_INT","."&amp;K$2&amp;K$1&amp;"C"&amp;$A47)*RTD("tos.rtd",,"DELTA","."&amp;K$2&amp;K$1&amp;"C"&amp;$A47)+100*RTD("tos.rtd",,"OPEN_INT","."&amp;K$2&amp;K$1&amp;"P"&amp;$A47)*RTD("tos.rtd",,"DELTA","."&amp;K$2&amp;K$1&amp;"P"&amp;$A47))/1000,(100*RTD("tos.rtd",,"OPEN_INT","."&amp;K$2&amp;K$1&amp;"C"&amp;$A47)*RTD("tos.rtd",,"DELTA","."&amp;K$2&amp;K$1&amp;"C"&amp;$A47)-100*RTD("tos.rtd",,"OPEN_INT","."&amp;K$2&amp;K$1&amp;"P"&amp;$A47)*RTD("tos.rtd",,"DELTA","."&amp;K$2&amp;K$1&amp;"P"&amp;$A47))/1000),0),IF($A$2="VEX",IFERROR(IF($X$1="ABS",($A$4*$A$4*RTD("tos.rtd",,"VOLUME","."&amp;K$2&amp;K$1&amp;"C"&amp;$A47)*RTD("tos.rtd",,"GAMMA","."&amp;K$2&amp;K$1&amp;"C"&amp;$A47)+$A$4*$A$4*RTD("tos.rtd",,"VOLUME","."&amp;K$2&amp;K$1&amp;"P"&amp;$A47)*RTD("tos.rtd",,"GAMMA","."&amp;K$2&amp;K$1&amp;"P"&amp;$A47))/1000000,($A$4*$A$4*RTD("tos.rtd",,"VOLUME","."&amp;K$2&amp;K$1&amp;"C"&amp;$A47)*RTD("tos.rtd",,"GAMMA","."&amp;K$2&amp;K$1&amp;"C"&amp;$A47)-$A$4*$A$4*RTD("tos.rtd",,"VOLUME","."&amp;K$2&amp;K$1&amp;"P"&amp;$A47)*RTD("tos.rtd",,"GAMMA","."&amp;K$2&amp;K$1&amp;"P"&amp;$A47))/1000000),0),IF($A$2="GEX",IFERROR(IF($X$1="ABS",($A$4*$A$4*RTD("tos.rtd",,"OPEN_INT","."&amp;K$2&amp;K$1&amp;"C"&amp;$A47)*RTD("tos.rtd",,"GAMMA","."&amp;K$2&amp;K$1&amp;"C"&amp;$A47)+$A$4*$A$4*RTD("tos.rtd",,"OPEN_INT","."&amp;K$2&amp;K$1&amp;"P"&amp;$A47)*RTD("tos.rtd",,"GAMMA","."&amp;K$2&amp;K$1&amp;"P"&amp;$A47))/1000000,($A$4*$A$4*RTD("tos.rtd",,"OPEN_INT","."&amp;K$2&amp;K$1&amp;"C"&amp;$A47)*RTD("tos.rtd",,"GAMMA","."&amp;K$2&amp;K$1&amp;"C"&amp;$A47)-$A$4*$A$4*RTD("tos.rtd",,"OPEN_INT","."&amp;K$2&amp;K$1&amp;"P"&amp;$A47)*RTD("tos.rtd",,"GAMMA","."&amp;K$2&amp;K$1&amp;"P"&amp;$A47))/1000000),0),IF($A$2="SKEW",IFERROR(VALUE(IF(RTD("tos.rtd",,"IMPL_VOL","."&amp;K$2&amp;K$1&amp;"P"&amp;$A47)="N/A",0,RTD("tos.rtd",,"IMPL_VOL","."&amp;K$2&amp;K$1&amp;"P"&amp;$A47))),0)-IFERROR(VALUE(IF(RTD("tos.rtd",,"IMPL_VOL","."&amp;K$2&amp;K$1&amp;"C"&amp;$A47)="N/A",0,RTD("tos.rtd",,"IMPL_VOL","."&amp;K$2&amp;K$1&amp;"C"&amp;$A47))),0),IF($A$2="MAXPAIN",IF($A$4&gt;$A47,($A$4-$A47)*IF(RTD("tos.rtd",,"OPEN_INT","."&amp;K$2&amp;K$1&amp;"C"&amp;$A47)="N/A",0,RTD("tos.rtd",,"OPEN_INT","."&amp;K$2&amp;K$1&amp;"C"&amp;$A47)),0)+IF($A$4&lt;$A47,($A$5-$A$4)*IF(RTD("tos.rtd",,"OPEN_INT","."&amp;K$2&amp;K$1&amp;"P"&amp;$A47)="N/A",0,RTD("tos.rtd",,"OPEN_INT","."&amp;K$2&amp;K$1&amp;"P"&amp;$A47)),0),IF($X$1="ABS",IF(RTD("tos.rtd",,$A$2,"."&amp;K$2&amp;K$1&amp;"C"&amp;$A47)="N/A",0,RTD("tos.rtd",,$A$2,"."&amp;K$2&amp;K$1&amp;"C"&amp;$A47))+IF(RTD("tos.rtd",,$A$2,"."&amp;K$2&amp;K$1&amp;"P"&amp;$A47)="N/A",0,RTD("tos.rtd",,$A$2,"."&amp;K$2&amp;K$1&amp;"P"&amp;$A47)),IF(RTD("tos.rtd",,$A$2,"."&amp;K$2&amp;K$1&amp;"C"&amp;$A47)="N/A",0,RTD("tos.rtd",,$A$2,"."&amp;K$2&amp;K$1&amp;"C"&amp;$A47))-IF(RTD("tos.rtd",,$A$2,"."&amp;K$2&amp;K$1&amp;"P"&amp;$A47)="N/A",0,RTD("tos.rtd",,$A$2,"."&amp;K$2&amp;K$1&amp;"P"&amp;$A47))))))))))</f>
        <v>0</v>
      </c>
      <c r="L47" s="54">
        <f ca="1">IF($A$2="PREMIUM_OI",IFERROR(IF($X$1="ABS",(100*RTD("tos.rtd",,"OPEN_INT","."&amp;L$2&amp;L$1&amp;"C"&amp;$A47)*RTD("tos.rtd",,"LAST","."&amp;L$2&amp;L$1&amp;"C"&amp;$A47)+100*RTD("tos.rtd",,"OPEN_INT","."&amp;L$2&amp;L$1&amp;"P"&amp;$A47)*RTD("tos.rtd",,"LAST","."&amp;L$2&amp;L$1&amp;"P"&amp;$A47))/1000000,(100*RTD("tos.rtd",,"OPEN_INT","."&amp;L$2&amp;L$1&amp;"C"&amp;$A47)*RTD("tos.rtd",,"LAST","."&amp;L$2&amp;L$1&amp;"C"&amp;$A47)-100*RTD("tos.rtd",,"OPEN_INT","."&amp;L$2&amp;L$1&amp;"P"&amp;$A47)*RTD("tos.rtd",,"LAST","."&amp;L$2&amp;L$1&amp;"P"&amp;$A47))/1000000),0),IF($A$2="PREMIUM",IFERROR(IF($X$1="ABS",(100*RTD("tos.rtd",,"VOLUME","."&amp;L$2&amp;L$1&amp;"C"&amp;$A47)*RTD("tos.rtd",,"LAST","."&amp;L$2&amp;L$1&amp;"C"&amp;$A47)+100*RTD("tos.rtd",,"VOLUME","."&amp;L$2&amp;L$1&amp;"P"&amp;$A47)*RTD("tos.rtd",,"LAST","."&amp;L$2&amp;L$1&amp;"P"&amp;$A47))/1000000,(100*RTD("tos.rtd",,"VOLUME","."&amp;L$2&amp;L$1&amp;"C"&amp;$A47)*RTD("tos.rtd",,"LAST","."&amp;L$2&amp;L$1&amp;"C"&amp;$A47)-100*RTD("tos.rtd",,"VOLUME","."&amp;L$2&amp;L$1&amp;"P"&amp;$A47)*RTD("tos.rtd",,"LAST","."&amp;L$2&amp;L$1&amp;"P"&amp;$A47))/1000000),0),IF($A$2="DEX",IFERROR(IF($X$1="ABS",(100*RTD("tos.rtd",,"OPEN_INT","."&amp;L$2&amp;L$1&amp;"C"&amp;$A47)*RTD("tos.rtd",,"DELTA","."&amp;L$2&amp;L$1&amp;"C"&amp;$A47)+100*RTD("tos.rtd",,"OPEN_INT","."&amp;L$2&amp;L$1&amp;"P"&amp;$A47)*RTD("tos.rtd",,"DELTA","."&amp;L$2&amp;L$1&amp;"P"&amp;$A47))/1000,(100*RTD("tos.rtd",,"OPEN_INT","."&amp;L$2&amp;L$1&amp;"C"&amp;$A47)*RTD("tos.rtd",,"DELTA","."&amp;L$2&amp;L$1&amp;"C"&amp;$A47)-100*RTD("tos.rtd",,"OPEN_INT","."&amp;L$2&amp;L$1&amp;"P"&amp;$A47)*RTD("tos.rtd",,"DELTA","."&amp;L$2&amp;L$1&amp;"P"&amp;$A47))/1000),0),IF($A$2="VEX",IFERROR(IF($X$1="ABS",($A$4*$A$4*RTD("tos.rtd",,"VOLUME","."&amp;L$2&amp;L$1&amp;"C"&amp;$A47)*RTD("tos.rtd",,"GAMMA","."&amp;L$2&amp;L$1&amp;"C"&amp;$A47)+$A$4*$A$4*RTD("tos.rtd",,"VOLUME","."&amp;L$2&amp;L$1&amp;"P"&amp;$A47)*RTD("tos.rtd",,"GAMMA","."&amp;L$2&amp;L$1&amp;"P"&amp;$A47))/1000000,($A$4*$A$4*RTD("tos.rtd",,"VOLUME","."&amp;L$2&amp;L$1&amp;"C"&amp;$A47)*RTD("tos.rtd",,"GAMMA","."&amp;L$2&amp;L$1&amp;"C"&amp;$A47)-$A$4*$A$4*RTD("tos.rtd",,"VOLUME","."&amp;L$2&amp;L$1&amp;"P"&amp;$A47)*RTD("tos.rtd",,"GAMMA","."&amp;L$2&amp;L$1&amp;"P"&amp;$A47))/1000000),0),IF($A$2="GEX",IFERROR(IF($X$1="ABS",($A$4*$A$4*RTD("tos.rtd",,"OPEN_INT","."&amp;L$2&amp;L$1&amp;"C"&amp;$A47)*RTD("tos.rtd",,"GAMMA","."&amp;L$2&amp;L$1&amp;"C"&amp;$A47)+$A$4*$A$4*RTD("tos.rtd",,"OPEN_INT","."&amp;L$2&amp;L$1&amp;"P"&amp;$A47)*RTD("tos.rtd",,"GAMMA","."&amp;L$2&amp;L$1&amp;"P"&amp;$A47))/1000000,($A$4*$A$4*RTD("tos.rtd",,"OPEN_INT","."&amp;L$2&amp;L$1&amp;"C"&amp;$A47)*RTD("tos.rtd",,"GAMMA","."&amp;L$2&amp;L$1&amp;"C"&amp;$A47)-$A$4*$A$4*RTD("tos.rtd",,"OPEN_INT","."&amp;L$2&amp;L$1&amp;"P"&amp;$A47)*RTD("tos.rtd",,"GAMMA","."&amp;L$2&amp;L$1&amp;"P"&amp;$A47))/1000000),0),IF($A$2="SKEW",IFERROR(VALUE(IF(RTD("tos.rtd",,"IMPL_VOL","."&amp;L$2&amp;L$1&amp;"P"&amp;$A47)="N/A",0,RTD("tos.rtd",,"IMPL_VOL","."&amp;L$2&amp;L$1&amp;"P"&amp;$A47))),0)-IFERROR(VALUE(IF(RTD("tos.rtd",,"IMPL_VOL","."&amp;L$2&amp;L$1&amp;"C"&amp;$A47)="N/A",0,RTD("tos.rtd",,"IMPL_VOL","."&amp;L$2&amp;L$1&amp;"C"&amp;$A47))),0),IF($A$2="MAXPAIN",IF($A$4&gt;$A47,($A$4-$A47)*IF(RTD("tos.rtd",,"OPEN_INT","."&amp;L$2&amp;L$1&amp;"C"&amp;$A47)="N/A",0,RTD("tos.rtd",,"OPEN_INT","."&amp;L$2&amp;L$1&amp;"C"&amp;$A47)),0)+IF($A$4&lt;$A47,($A$5-$A$4)*IF(RTD("tos.rtd",,"OPEN_INT","."&amp;L$2&amp;L$1&amp;"P"&amp;$A47)="N/A",0,RTD("tos.rtd",,"OPEN_INT","."&amp;L$2&amp;L$1&amp;"P"&amp;$A47)),0),IF($X$1="ABS",IF(RTD("tos.rtd",,$A$2,"."&amp;L$2&amp;L$1&amp;"C"&amp;$A47)="N/A",0,RTD("tos.rtd",,$A$2,"."&amp;L$2&amp;L$1&amp;"C"&amp;$A47))+IF(RTD("tos.rtd",,$A$2,"."&amp;L$2&amp;L$1&amp;"P"&amp;$A47)="N/A",0,RTD("tos.rtd",,$A$2,"."&amp;L$2&amp;L$1&amp;"P"&amp;$A47)),IF(RTD("tos.rtd",,$A$2,"."&amp;L$2&amp;L$1&amp;"C"&amp;$A47)="N/A",0,RTD("tos.rtd",,$A$2,"."&amp;L$2&amp;L$1&amp;"C"&amp;$A47))-IF(RTD("tos.rtd",,$A$2,"."&amp;L$2&amp;L$1&amp;"P"&amp;$A47)="N/A",0,RTD("tos.rtd",,$A$2,"."&amp;L$2&amp;L$1&amp;"P"&amp;$A47))))))))))</f>
        <v>0</v>
      </c>
      <c r="M47" s="12">
        <f ca="1">IF($A$2="PREMIUM_OI",IFERROR(IF($X$1="ABS",(100*RTD("tos.rtd",,"OPEN_INT","."&amp;M$2&amp;M$1&amp;"C"&amp;$A47)*RTD("tos.rtd",,"LAST","."&amp;M$2&amp;M$1&amp;"C"&amp;$A47)+100*RTD("tos.rtd",,"OPEN_INT","."&amp;M$2&amp;M$1&amp;"P"&amp;$A47)*RTD("tos.rtd",,"LAST","."&amp;M$2&amp;M$1&amp;"P"&amp;$A47))/1000000,(100*RTD("tos.rtd",,"OPEN_INT","."&amp;M$2&amp;M$1&amp;"C"&amp;$A47)*RTD("tos.rtd",,"LAST","."&amp;M$2&amp;M$1&amp;"C"&amp;$A47)-100*RTD("tos.rtd",,"OPEN_INT","."&amp;M$2&amp;M$1&amp;"P"&amp;$A47)*RTD("tos.rtd",,"LAST","."&amp;M$2&amp;M$1&amp;"P"&amp;$A47))/1000000),0),IF($A$2="PREMIUM",IFERROR(IF($X$1="ABS",(100*RTD("tos.rtd",,"VOLUME","."&amp;M$2&amp;M$1&amp;"C"&amp;$A47)*RTD("tos.rtd",,"LAST","."&amp;M$2&amp;M$1&amp;"C"&amp;$A47)+100*RTD("tos.rtd",,"VOLUME","."&amp;M$2&amp;M$1&amp;"P"&amp;$A47)*RTD("tos.rtd",,"LAST","."&amp;M$2&amp;M$1&amp;"P"&amp;$A47))/1000000,(100*RTD("tos.rtd",,"VOLUME","."&amp;M$2&amp;M$1&amp;"C"&amp;$A47)*RTD("tos.rtd",,"LAST","."&amp;M$2&amp;M$1&amp;"C"&amp;$A47)-100*RTD("tos.rtd",,"VOLUME","."&amp;M$2&amp;M$1&amp;"P"&amp;$A47)*RTD("tos.rtd",,"LAST","."&amp;M$2&amp;M$1&amp;"P"&amp;$A47))/1000000),0),IF($A$2="DEX",IFERROR(IF($X$1="ABS",(100*RTD("tos.rtd",,"OPEN_INT","."&amp;M$2&amp;M$1&amp;"C"&amp;$A47)*RTD("tos.rtd",,"DELTA","."&amp;M$2&amp;M$1&amp;"C"&amp;$A47)+100*RTD("tos.rtd",,"OPEN_INT","."&amp;M$2&amp;M$1&amp;"P"&amp;$A47)*RTD("tos.rtd",,"DELTA","."&amp;M$2&amp;M$1&amp;"P"&amp;$A47))/1000,(100*RTD("tos.rtd",,"OPEN_INT","."&amp;M$2&amp;M$1&amp;"C"&amp;$A47)*RTD("tos.rtd",,"DELTA","."&amp;M$2&amp;M$1&amp;"C"&amp;$A47)-100*RTD("tos.rtd",,"OPEN_INT","."&amp;M$2&amp;M$1&amp;"P"&amp;$A47)*RTD("tos.rtd",,"DELTA","."&amp;M$2&amp;M$1&amp;"P"&amp;$A47))/1000),0),IF($A$2="VEX",IFERROR(IF($X$1="ABS",($A$4*$A$4*RTD("tos.rtd",,"VOLUME","."&amp;M$2&amp;M$1&amp;"C"&amp;$A47)*RTD("tos.rtd",,"GAMMA","."&amp;M$2&amp;M$1&amp;"C"&amp;$A47)+$A$4*$A$4*RTD("tos.rtd",,"VOLUME","."&amp;M$2&amp;M$1&amp;"P"&amp;$A47)*RTD("tos.rtd",,"GAMMA","."&amp;M$2&amp;M$1&amp;"P"&amp;$A47))/1000000,($A$4*$A$4*RTD("tos.rtd",,"VOLUME","."&amp;M$2&amp;M$1&amp;"C"&amp;$A47)*RTD("tos.rtd",,"GAMMA","."&amp;M$2&amp;M$1&amp;"C"&amp;$A47)-$A$4*$A$4*RTD("tos.rtd",,"VOLUME","."&amp;M$2&amp;M$1&amp;"P"&amp;$A47)*RTD("tos.rtd",,"GAMMA","."&amp;M$2&amp;M$1&amp;"P"&amp;$A47))/1000000),0),IF($A$2="GEX",IFERROR(IF($X$1="ABS",($A$4*$A$4*RTD("tos.rtd",,"OPEN_INT","."&amp;M$2&amp;M$1&amp;"C"&amp;$A47)*RTD("tos.rtd",,"GAMMA","."&amp;M$2&amp;M$1&amp;"C"&amp;$A47)+$A$4*$A$4*RTD("tos.rtd",,"OPEN_INT","."&amp;M$2&amp;M$1&amp;"P"&amp;$A47)*RTD("tos.rtd",,"GAMMA","."&amp;M$2&amp;M$1&amp;"P"&amp;$A47))/1000000,($A$4*$A$4*RTD("tos.rtd",,"OPEN_INT","."&amp;M$2&amp;M$1&amp;"C"&amp;$A47)*RTD("tos.rtd",,"GAMMA","."&amp;M$2&amp;M$1&amp;"C"&amp;$A47)-$A$4*$A$4*RTD("tos.rtd",,"OPEN_INT","."&amp;M$2&amp;M$1&amp;"P"&amp;$A47)*RTD("tos.rtd",,"GAMMA","."&amp;M$2&amp;M$1&amp;"P"&amp;$A47))/1000000),0),IF($A$2="SKEW",IFERROR(VALUE(IF(RTD("tos.rtd",,"IMPL_VOL","."&amp;M$2&amp;M$1&amp;"P"&amp;$A47)="N/A",0,RTD("tos.rtd",,"IMPL_VOL","."&amp;M$2&amp;M$1&amp;"P"&amp;$A47))),0)-IFERROR(VALUE(IF(RTD("tos.rtd",,"IMPL_VOL","."&amp;M$2&amp;M$1&amp;"C"&amp;$A47)="N/A",0,RTD("tos.rtd",,"IMPL_VOL","."&amp;M$2&amp;M$1&amp;"C"&amp;$A47))),0),IF($A$2="MAXPAIN",IF($A$4&gt;$A47,($A$4-$A47)*IF(RTD("tos.rtd",,"OPEN_INT","."&amp;M$2&amp;M$1&amp;"C"&amp;$A47)="N/A",0,RTD("tos.rtd",,"OPEN_INT","."&amp;M$2&amp;M$1&amp;"C"&amp;$A47)),0)+IF($A$4&lt;$A47,($A$5-$A$4)*IF(RTD("tos.rtd",,"OPEN_INT","."&amp;M$2&amp;M$1&amp;"P"&amp;$A47)="N/A",0,RTD("tos.rtd",,"OPEN_INT","."&amp;M$2&amp;M$1&amp;"P"&amp;$A47)),0),IF($X$1="ABS",IF(RTD("tos.rtd",,$A$2,"."&amp;M$2&amp;M$1&amp;"C"&amp;$A47)="N/A",0,RTD("tos.rtd",,$A$2,"."&amp;M$2&amp;M$1&amp;"C"&amp;$A47))+IF(RTD("tos.rtd",,$A$2,"."&amp;M$2&amp;M$1&amp;"P"&amp;$A47)="N/A",0,RTD("tos.rtd",,$A$2,"."&amp;M$2&amp;M$1&amp;"P"&amp;$A47)),IF(RTD("tos.rtd",,$A$2,"."&amp;M$2&amp;M$1&amp;"C"&amp;$A47)="N/A",0,RTD("tos.rtd",,$A$2,"."&amp;M$2&amp;M$1&amp;"C"&amp;$A47))-IF(RTD("tos.rtd",,$A$2,"."&amp;M$2&amp;M$1&amp;"P"&amp;$A47)="N/A",0,RTD("tos.rtd",,$A$2,"."&amp;M$2&amp;M$1&amp;"P"&amp;$A47))))))))))</f>
        <v>0</v>
      </c>
      <c r="N47" s="12">
        <f ca="1">IF($A$2="PREMIUM_OI",IFERROR(IF($X$1="ABS",(100*RTD("tos.rtd",,"OPEN_INT","."&amp;N$2&amp;N$1&amp;"C"&amp;$A47)*RTD("tos.rtd",,"LAST","."&amp;N$2&amp;N$1&amp;"C"&amp;$A47)+100*RTD("tos.rtd",,"OPEN_INT","."&amp;N$2&amp;N$1&amp;"P"&amp;$A47)*RTD("tos.rtd",,"LAST","."&amp;N$2&amp;N$1&amp;"P"&amp;$A47))/1000000,(100*RTD("tos.rtd",,"OPEN_INT","."&amp;N$2&amp;N$1&amp;"C"&amp;$A47)*RTD("tos.rtd",,"LAST","."&amp;N$2&amp;N$1&amp;"C"&amp;$A47)-100*RTD("tos.rtd",,"OPEN_INT","."&amp;N$2&amp;N$1&amp;"P"&amp;$A47)*RTD("tos.rtd",,"LAST","."&amp;N$2&amp;N$1&amp;"P"&amp;$A47))/1000000),0),IF($A$2="PREMIUM",IFERROR(IF($X$1="ABS",(100*RTD("tos.rtd",,"VOLUME","."&amp;N$2&amp;N$1&amp;"C"&amp;$A47)*RTD("tos.rtd",,"LAST","."&amp;N$2&amp;N$1&amp;"C"&amp;$A47)+100*RTD("tos.rtd",,"VOLUME","."&amp;N$2&amp;N$1&amp;"P"&amp;$A47)*RTD("tos.rtd",,"LAST","."&amp;N$2&amp;N$1&amp;"P"&amp;$A47))/1000000,(100*RTD("tos.rtd",,"VOLUME","."&amp;N$2&amp;N$1&amp;"C"&amp;$A47)*RTD("tos.rtd",,"LAST","."&amp;N$2&amp;N$1&amp;"C"&amp;$A47)-100*RTD("tos.rtd",,"VOLUME","."&amp;N$2&amp;N$1&amp;"P"&amp;$A47)*RTD("tos.rtd",,"LAST","."&amp;N$2&amp;N$1&amp;"P"&amp;$A47))/1000000),0),IF($A$2="DEX",IFERROR(IF($X$1="ABS",(100*RTD("tos.rtd",,"OPEN_INT","."&amp;N$2&amp;N$1&amp;"C"&amp;$A47)*RTD("tos.rtd",,"DELTA","."&amp;N$2&amp;N$1&amp;"C"&amp;$A47)+100*RTD("tos.rtd",,"OPEN_INT","."&amp;N$2&amp;N$1&amp;"P"&amp;$A47)*RTD("tos.rtd",,"DELTA","."&amp;N$2&amp;N$1&amp;"P"&amp;$A47))/1000,(100*RTD("tos.rtd",,"OPEN_INT","."&amp;N$2&amp;N$1&amp;"C"&amp;$A47)*RTD("tos.rtd",,"DELTA","."&amp;N$2&amp;N$1&amp;"C"&amp;$A47)-100*RTD("tos.rtd",,"OPEN_INT","."&amp;N$2&amp;N$1&amp;"P"&amp;$A47)*RTD("tos.rtd",,"DELTA","."&amp;N$2&amp;N$1&amp;"P"&amp;$A47))/1000),0),IF($A$2="VEX",IFERROR(IF($X$1="ABS",($A$4*$A$4*RTD("tos.rtd",,"VOLUME","."&amp;N$2&amp;N$1&amp;"C"&amp;$A47)*RTD("tos.rtd",,"GAMMA","."&amp;N$2&amp;N$1&amp;"C"&amp;$A47)+$A$4*$A$4*RTD("tos.rtd",,"VOLUME","."&amp;N$2&amp;N$1&amp;"P"&amp;$A47)*RTD("tos.rtd",,"GAMMA","."&amp;N$2&amp;N$1&amp;"P"&amp;$A47))/1000000,($A$4*$A$4*RTD("tos.rtd",,"VOLUME","."&amp;N$2&amp;N$1&amp;"C"&amp;$A47)*RTD("tos.rtd",,"GAMMA","."&amp;N$2&amp;N$1&amp;"C"&amp;$A47)-$A$4*$A$4*RTD("tos.rtd",,"VOLUME","."&amp;N$2&amp;N$1&amp;"P"&amp;$A47)*RTD("tos.rtd",,"GAMMA","."&amp;N$2&amp;N$1&amp;"P"&amp;$A47))/1000000),0),IF($A$2="GEX",IFERROR(IF($X$1="ABS",($A$4*$A$4*RTD("tos.rtd",,"OPEN_INT","."&amp;N$2&amp;N$1&amp;"C"&amp;$A47)*RTD("tos.rtd",,"GAMMA","."&amp;N$2&amp;N$1&amp;"C"&amp;$A47)+$A$4*$A$4*RTD("tos.rtd",,"OPEN_INT","."&amp;N$2&amp;N$1&amp;"P"&amp;$A47)*RTD("tos.rtd",,"GAMMA","."&amp;N$2&amp;N$1&amp;"P"&amp;$A47))/1000000,($A$4*$A$4*RTD("tos.rtd",,"OPEN_INT","."&amp;N$2&amp;N$1&amp;"C"&amp;$A47)*RTD("tos.rtd",,"GAMMA","."&amp;N$2&amp;N$1&amp;"C"&amp;$A47)-$A$4*$A$4*RTD("tos.rtd",,"OPEN_INT","."&amp;N$2&amp;N$1&amp;"P"&amp;$A47)*RTD("tos.rtd",,"GAMMA","."&amp;N$2&amp;N$1&amp;"P"&amp;$A47))/1000000),0),IF($A$2="SKEW",IFERROR(VALUE(IF(RTD("tos.rtd",,"IMPL_VOL","."&amp;N$2&amp;N$1&amp;"P"&amp;$A47)="N/A",0,RTD("tos.rtd",,"IMPL_VOL","."&amp;N$2&amp;N$1&amp;"P"&amp;$A47))),0)-IFERROR(VALUE(IF(RTD("tos.rtd",,"IMPL_VOL","."&amp;N$2&amp;N$1&amp;"C"&amp;$A47)="N/A",0,RTD("tos.rtd",,"IMPL_VOL","."&amp;N$2&amp;N$1&amp;"C"&amp;$A47))),0),IF($A$2="MAXPAIN",IF($A$4&gt;$A47,($A$4-$A47)*IF(RTD("tos.rtd",,"OPEN_INT","."&amp;N$2&amp;N$1&amp;"C"&amp;$A47)="N/A",0,RTD("tos.rtd",,"OPEN_INT","."&amp;N$2&amp;N$1&amp;"C"&amp;$A47)),0)+IF($A$4&lt;$A47,($A$5-$A$4)*IF(RTD("tos.rtd",,"OPEN_INT","."&amp;N$2&amp;N$1&amp;"P"&amp;$A47)="N/A",0,RTD("tos.rtd",,"OPEN_INT","."&amp;N$2&amp;N$1&amp;"P"&amp;$A47)),0),IF($X$1="ABS",IF(RTD("tos.rtd",,$A$2,"."&amp;N$2&amp;N$1&amp;"C"&amp;$A47)="N/A",0,RTD("tos.rtd",,$A$2,"."&amp;N$2&amp;N$1&amp;"C"&amp;$A47))+IF(RTD("tos.rtd",,$A$2,"."&amp;N$2&amp;N$1&amp;"P"&amp;$A47)="N/A",0,RTD("tos.rtd",,$A$2,"."&amp;N$2&amp;N$1&amp;"P"&amp;$A47)),IF(RTD("tos.rtd",,$A$2,"."&amp;N$2&amp;N$1&amp;"C"&amp;$A47)="N/A",0,RTD("tos.rtd",,$A$2,"."&amp;N$2&amp;N$1&amp;"C"&amp;$A47))-IF(RTD("tos.rtd",,$A$2,"."&amp;N$2&amp;N$1&amp;"P"&amp;$A47)="N/A",0,RTD("tos.rtd",,$A$2,"."&amp;N$2&amp;N$1&amp;"P"&amp;$A47))))))))))</f>
        <v>0</v>
      </c>
      <c r="O47" s="12">
        <f ca="1">IF($A$2="PREMIUM_OI",IFERROR(IF($X$1="ABS",(100*RTD("tos.rtd",,"OPEN_INT","."&amp;O$2&amp;O$1&amp;"C"&amp;$A47)*RTD("tos.rtd",,"LAST","."&amp;O$2&amp;O$1&amp;"C"&amp;$A47)+100*RTD("tos.rtd",,"OPEN_INT","."&amp;O$2&amp;O$1&amp;"P"&amp;$A47)*RTD("tos.rtd",,"LAST","."&amp;O$2&amp;O$1&amp;"P"&amp;$A47))/1000000,(100*RTD("tos.rtd",,"OPEN_INT","."&amp;O$2&amp;O$1&amp;"C"&amp;$A47)*RTD("tos.rtd",,"LAST","."&amp;O$2&amp;O$1&amp;"C"&amp;$A47)-100*RTD("tos.rtd",,"OPEN_INT","."&amp;O$2&amp;O$1&amp;"P"&amp;$A47)*RTD("tos.rtd",,"LAST","."&amp;O$2&amp;O$1&amp;"P"&amp;$A47))/1000000),0),IF($A$2="PREMIUM",IFERROR(IF($X$1="ABS",(100*RTD("tos.rtd",,"VOLUME","."&amp;O$2&amp;O$1&amp;"C"&amp;$A47)*RTD("tos.rtd",,"LAST","."&amp;O$2&amp;O$1&amp;"C"&amp;$A47)+100*RTD("tos.rtd",,"VOLUME","."&amp;O$2&amp;O$1&amp;"P"&amp;$A47)*RTD("tos.rtd",,"LAST","."&amp;O$2&amp;O$1&amp;"P"&amp;$A47))/1000000,(100*RTD("tos.rtd",,"VOLUME","."&amp;O$2&amp;O$1&amp;"C"&amp;$A47)*RTD("tos.rtd",,"LAST","."&amp;O$2&amp;O$1&amp;"C"&amp;$A47)-100*RTD("tos.rtd",,"VOLUME","."&amp;O$2&amp;O$1&amp;"P"&amp;$A47)*RTD("tos.rtd",,"LAST","."&amp;O$2&amp;O$1&amp;"P"&amp;$A47))/1000000),0),IF($A$2="DEX",IFERROR(IF($X$1="ABS",(100*RTD("tos.rtd",,"OPEN_INT","."&amp;O$2&amp;O$1&amp;"C"&amp;$A47)*RTD("tos.rtd",,"DELTA","."&amp;O$2&amp;O$1&amp;"C"&amp;$A47)+100*RTD("tos.rtd",,"OPEN_INT","."&amp;O$2&amp;O$1&amp;"P"&amp;$A47)*RTD("tos.rtd",,"DELTA","."&amp;O$2&amp;O$1&amp;"P"&amp;$A47))/1000,(100*RTD("tos.rtd",,"OPEN_INT","."&amp;O$2&amp;O$1&amp;"C"&amp;$A47)*RTD("tos.rtd",,"DELTA","."&amp;O$2&amp;O$1&amp;"C"&amp;$A47)-100*RTD("tos.rtd",,"OPEN_INT","."&amp;O$2&amp;O$1&amp;"P"&amp;$A47)*RTD("tos.rtd",,"DELTA","."&amp;O$2&amp;O$1&amp;"P"&amp;$A47))/1000),0),IF($A$2="VEX",IFERROR(IF($X$1="ABS",($A$4*$A$4*RTD("tos.rtd",,"VOLUME","."&amp;O$2&amp;O$1&amp;"C"&amp;$A47)*RTD("tos.rtd",,"GAMMA","."&amp;O$2&amp;O$1&amp;"C"&amp;$A47)+$A$4*$A$4*RTD("tos.rtd",,"VOLUME","."&amp;O$2&amp;O$1&amp;"P"&amp;$A47)*RTD("tos.rtd",,"GAMMA","."&amp;O$2&amp;O$1&amp;"P"&amp;$A47))/1000000,($A$4*$A$4*RTD("tos.rtd",,"VOLUME","."&amp;O$2&amp;O$1&amp;"C"&amp;$A47)*RTD("tos.rtd",,"GAMMA","."&amp;O$2&amp;O$1&amp;"C"&amp;$A47)-$A$4*$A$4*RTD("tos.rtd",,"VOLUME","."&amp;O$2&amp;O$1&amp;"P"&amp;$A47)*RTD("tos.rtd",,"GAMMA","."&amp;O$2&amp;O$1&amp;"P"&amp;$A47))/1000000),0),IF($A$2="GEX",IFERROR(IF($X$1="ABS",($A$4*$A$4*RTD("tos.rtd",,"OPEN_INT","."&amp;O$2&amp;O$1&amp;"C"&amp;$A47)*RTD("tos.rtd",,"GAMMA","."&amp;O$2&amp;O$1&amp;"C"&amp;$A47)+$A$4*$A$4*RTD("tos.rtd",,"OPEN_INT","."&amp;O$2&amp;O$1&amp;"P"&amp;$A47)*RTD("tos.rtd",,"GAMMA","."&amp;O$2&amp;O$1&amp;"P"&amp;$A47))/1000000,($A$4*$A$4*RTD("tos.rtd",,"OPEN_INT","."&amp;O$2&amp;O$1&amp;"C"&amp;$A47)*RTD("tos.rtd",,"GAMMA","."&amp;O$2&amp;O$1&amp;"C"&amp;$A47)-$A$4*$A$4*RTD("tos.rtd",,"OPEN_INT","."&amp;O$2&amp;O$1&amp;"P"&amp;$A47)*RTD("tos.rtd",,"GAMMA","."&amp;O$2&amp;O$1&amp;"P"&amp;$A47))/1000000),0),IF($A$2="SKEW",IFERROR(VALUE(IF(RTD("tos.rtd",,"IMPL_VOL","."&amp;O$2&amp;O$1&amp;"P"&amp;$A47)="N/A",0,RTD("tos.rtd",,"IMPL_VOL","."&amp;O$2&amp;O$1&amp;"P"&amp;$A47))),0)-IFERROR(VALUE(IF(RTD("tos.rtd",,"IMPL_VOL","."&amp;O$2&amp;O$1&amp;"C"&amp;$A47)="N/A",0,RTD("tos.rtd",,"IMPL_VOL","."&amp;O$2&amp;O$1&amp;"C"&amp;$A47))),0),IF($A$2="MAXPAIN",IF($A$4&gt;$A47,($A$4-$A47)*IF(RTD("tos.rtd",,"OPEN_INT","."&amp;O$2&amp;O$1&amp;"C"&amp;$A47)="N/A",0,RTD("tos.rtd",,"OPEN_INT","."&amp;O$2&amp;O$1&amp;"C"&amp;$A47)),0)+IF($A$4&lt;$A47,($A$5-$A$4)*IF(RTD("tos.rtd",,"OPEN_INT","."&amp;O$2&amp;O$1&amp;"P"&amp;$A47)="N/A",0,RTD("tos.rtd",,"OPEN_INT","."&amp;O$2&amp;O$1&amp;"P"&amp;$A47)),0),IF($X$1="ABS",IF(RTD("tos.rtd",,$A$2,"."&amp;O$2&amp;O$1&amp;"C"&amp;$A47)="N/A",0,RTD("tos.rtd",,$A$2,"."&amp;O$2&amp;O$1&amp;"C"&amp;$A47))+IF(RTD("tos.rtd",,$A$2,"."&amp;O$2&amp;O$1&amp;"P"&amp;$A47)="N/A",0,RTD("tos.rtd",,$A$2,"."&amp;O$2&amp;O$1&amp;"P"&amp;$A47)),IF(RTD("tos.rtd",,$A$2,"."&amp;O$2&amp;O$1&amp;"C"&amp;$A47)="N/A",0,RTD("tos.rtd",,$A$2,"."&amp;O$2&amp;O$1&amp;"C"&amp;$A47))-IF(RTD("tos.rtd",,$A$2,"."&amp;O$2&amp;O$1&amp;"P"&amp;$A47)="N/A",0,RTD("tos.rtd",,$A$2,"."&amp;O$2&amp;O$1&amp;"P"&amp;$A47))))))))))</f>
        <v>0</v>
      </c>
      <c r="P47" s="12">
        <f ca="1">IF($A$2="PREMIUM_OI",IFERROR(IF($X$1="ABS",(100*RTD("tos.rtd",,"OPEN_INT","."&amp;P$2&amp;P$1&amp;"C"&amp;$A47)*RTD("tos.rtd",,"LAST","."&amp;P$2&amp;P$1&amp;"C"&amp;$A47)+100*RTD("tos.rtd",,"OPEN_INT","."&amp;P$2&amp;P$1&amp;"P"&amp;$A47)*RTD("tos.rtd",,"LAST","."&amp;P$2&amp;P$1&amp;"P"&amp;$A47))/1000000,(100*RTD("tos.rtd",,"OPEN_INT","."&amp;P$2&amp;P$1&amp;"C"&amp;$A47)*RTD("tos.rtd",,"LAST","."&amp;P$2&amp;P$1&amp;"C"&amp;$A47)-100*RTD("tos.rtd",,"OPEN_INT","."&amp;P$2&amp;P$1&amp;"P"&amp;$A47)*RTD("tos.rtd",,"LAST","."&amp;P$2&amp;P$1&amp;"P"&amp;$A47))/1000000),0),IF($A$2="PREMIUM",IFERROR(IF($X$1="ABS",(100*RTD("tos.rtd",,"VOLUME","."&amp;P$2&amp;P$1&amp;"C"&amp;$A47)*RTD("tos.rtd",,"LAST","."&amp;P$2&amp;P$1&amp;"C"&amp;$A47)+100*RTD("tos.rtd",,"VOLUME","."&amp;P$2&amp;P$1&amp;"P"&amp;$A47)*RTD("tos.rtd",,"LAST","."&amp;P$2&amp;P$1&amp;"P"&amp;$A47))/1000000,(100*RTD("tos.rtd",,"VOLUME","."&amp;P$2&amp;P$1&amp;"C"&amp;$A47)*RTD("tos.rtd",,"LAST","."&amp;P$2&amp;P$1&amp;"C"&amp;$A47)-100*RTD("tos.rtd",,"VOLUME","."&amp;P$2&amp;P$1&amp;"P"&amp;$A47)*RTD("tos.rtd",,"LAST","."&amp;P$2&amp;P$1&amp;"P"&amp;$A47))/1000000),0),IF($A$2="DEX",IFERROR(IF($X$1="ABS",(100*RTD("tos.rtd",,"OPEN_INT","."&amp;P$2&amp;P$1&amp;"C"&amp;$A47)*RTD("tos.rtd",,"DELTA","."&amp;P$2&amp;P$1&amp;"C"&amp;$A47)+100*RTD("tos.rtd",,"OPEN_INT","."&amp;P$2&amp;P$1&amp;"P"&amp;$A47)*RTD("tos.rtd",,"DELTA","."&amp;P$2&amp;P$1&amp;"P"&amp;$A47))/1000,(100*RTD("tos.rtd",,"OPEN_INT","."&amp;P$2&amp;P$1&amp;"C"&amp;$A47)*RTD("tos.rtd",,"DELTA","."&amp;P$2&amp;P$1&amp;"C"&amp;$A47)-100*RTD("tos.rtd",,"OPEN_INT","."&amp;P$2&amp;P$1&amp;"P"&amp;$A47)*RTD("tos.rtd",,"DELTA","."&amp;P$2&amp;P$1&amp;"P"&amp;$A47))/1000),0),IF($A$2="VEX",IFERROR(IF($X$1="ABS",($A$4*$A$4*RTD("tos.rtd",,"VOLUME","."&amp;P$2&amp;P$1&amp;"C"&amp;$A47)*RTD("tos.rtd",,"GAMMA","."&amp;P$2&amp;P$1&amp;"C"&amp;$A47)+$A$4*$A$4*RTD("tos.rtd",,"VOLUME","."&amp;P$2&amp;P$1&amp;"P"&amp;$A47)*RTD("tos.rtd",,"GAMMA","."&amp;P$2&amp;P$1&amp;"P"&amp;$A47))/1000000,($A$4*$A$4*RTD("tos.rtd",,"VOLUME","."&amp;P$2&amp;P$1&amp;"C"&amp;$A47)*RTD("tos.rtd",,"GAMMA","."&amp;P$2&amp;P$1&amp;"C"&amp;$A47)-$A$4*$A$4*RTD("tos.rtd",,"VOLUME","."&amp;P$2&amp;P$1&amp;"P"&amp;$A47)*RTD("tos.rtd",,"GAMMA","."&amp;P$2&amp;P$1&amp;"P"&amp;$A47))/1000000),0),IF($A$2="GEX",IFERROR(IF($X$1="ABS",($A$4*$A$4*RTD("tos.rtd",,"OPEN_INT","."&amp;P$2&amp;P$1&amp;"C"&amp;$A47)*RTD("tos.rtd",,"GAMMA","."&amp;P$2&amp;P$1&amp;"C"&amp;$A47)+$A$4*$A$4*RTD("tos.rtd",,"OPEN_INT","."&amp;P$2&amp;P$1&amp;"P"&amp;$A47)*RTD("tos.rtd",,"GAMMA","."&amp;P$2&amp;P$1&amp;"P"&amp;$A47))/1000000,($A$4*$A$4*RTD("tos.rtd",,"OPEN_INT","."&amp;P$2&amp;P$1&amp;"C"&amp;$A47)*RTD("tos.rtd",,"GAMMA","."&amp;P$2&amp;P$1&amp;"C"&amp;$A47)-$A$4*$A$4*RTD("tos.rtd",,"OPEN_INT","."&amp;P$2&amp;P$1&amp;"P"&amp;$A47)*RTD("tos.rtd",,"GAMMA","."&amp;P$2&amp;P$1&amp;"P"&amp;$A47))/1000000),0),IF($A$2="SKEW",IFERROR(VALUE(IF(RTD("tos.rtd",,"IMPL_VOL","."&amp;P$2&amp;P$1&amp;"P"&amp;$A47)="N/A",0,RTD("tos.rtd",,"IMPL_VOL","."&amp;P$2&amp;P$1&amp;"P"&amp;$A47))),0)-IFERROR(VALUE(IF(RTD("tos.rtd",,"IMPL_VOL","."&amp;P$2&amp;P$1&amp;"C"&amp;$A47)="N/A",0,RTD("tos.rtd",,"IMPL_VOL","."&amp;P$2&amp;P$1&amp;"C"&amp;$A47))),0),IF($A$2="MAXPAIN",IF($A$4&gt;$A47,($A$4-$A47)*IF(RTD("tos.rtd",,"OPEN_INT","."&amp;P$2&amp;P$1&amp;"C"&amp;$A47)="N/A",0,RTD("tos.rtd",,"OPEN_INT","."&amp;P$2&amp;P$1&amp;"C"&amp;$A47)),0)+IF($A$4&lt;$A47,($A$5-$A$4)*IF(RTD("tos.rtd",,"OPEN_INT","."&amp;P$2&amp;P$1&amp;"P"&amp;$A47)="N/A",0,RTD("tos.rtd",,"OPEN_INT","."&amp;P$2&amp;P$1&amp;"P"&amp;$A47)),0),IF($X$1="ABS",IF(RTD("tos.rtd",,$A$2,"."&amp;P$2&amp;P$1&amp;"C"&amp;$A47)="N/A",0,RTD("tos.rtd",,$A$2,"."&amp;P$2&amp;P$1&amp;"C"&amp;$A47))+IF(RTD("tos.rtd",,$A$2,"."&amp;P$2&amp;P$1&amp;"P"&amp;$A47)="N/A",0,RTD("tos.rtd",,$A$2,"."&amp;P$2&amp;P$1&amp;"P"&amp;$A47)),IF(RTD("tos.rtd",,$A$2,"."&amp;P$2&amp;P$1&amp;"C"&amp;$A47)="N/A",0,RTD("tos.rtd",,$A$2,"."&amp;P$2&amp;P$1&amp;"C"&amp;$A47))-IF(RTD("tos.rtd",,$A$2,"."&amp;P$2&amp;P$1&amp;"P"&amp;$A47)="N/A",0,RTD("tos.rtd",,$A$2,"."&amp;P$2&amp;P$1&amp;"P"&amp;$A47))))))))))</f>
        <v>0</v>
      </c>
      <c r="Q47" s="12">
        <f ca="1">IF($A$2="PREMIUM_OI",IFERROR(IF($X$1="ABS",(100*RTD("tos.rtd",,"OPEN_INT","."&amp;Q$2&amp;Q$1&amp;"C"&amp;$A47)*RTD("tos.rtd",,"LAST","."&amp;Q$2&amp;Q$1&amp;"C"&amp;$A47)+100*RTD("tos.rtd",,"OPEN_INT","."&amp;Q$2&amp;Q$1&amp;"P"&amp;$A47)*RTD("tos.rtd",,"LAST","."&amp;Q$2&amp;Q$1&amp;"P"&amp;$A47))/1000000,(100*RTD("tos.rtd",,"OPEN_INT","."&amp;Q$2&amp;Q$1&amp;"C"&amp;$A47)*RTD("tos.rtd",,"LAST","."&amp;Q$2&amp;Q$1&amp;"C"&amp;$A47)-100*RTD("tos.rtd",,"OPEN_INT","."&amp;Q$2&amp;Q$1&amp;"P"&amp;$A47)*RTD("tos.rtd",,"LAST","."&amp;Q$2&amp;Q$1&amp;"P"&amp;$A47))/1000000),0),IF($A$2="PREMIUM",IFERROR(IF($X$1="ABS",(100*RTD("tos.rtd",,"VOLUME","."&amp;Q$2&amp;Q$1&amp;"C"&amp;$A47)*RTD("tos.rtd",,"LAST","."&amp;Q$2&amp;Q$1&amp;"C"&amp;$A47)+100*RTD("tos.rtd",,"VOLUME","."&amp;Q$2&amp;Q$1&amp;"P"&amp;$A47)*RTD("tos.rtd",,"LAST","."&amp;Q$2&amp;Q$1&amp;"P"&amp;$A47))/1000000,(100*RTD("tos.rtd",,"VOLUME","."&amp;Q$2&amp;Q$1&amp;"C"&amp;$A47)*RTD("tos.rtd",,"LAST","."&amp;Q$2&amp;Q$1&amp;"C"&amp;$A47)-100*RTD("tos.rtd",,"VOLUME","."&amp;Q$2&amp;Q$1&amp;"P"&amp;$A47)*RTD("tos.rtd",,"LAST","."&amp;Q$2&amp;Q$1&amp;"P"&amp;$A47))/1000000),0),IF($A$2="DEX",IFERROR(IF($X$1="ABS",(100*RTD("tos.rtd",,"OPEN_INT","."&amp;Q$2&amp;Q$1&amp;"C"&amp;$A47)*RTD("tos.rtd",,"DELTA","."&amp;Q$2&amp;Q$1&amp;"C"&amp;$A47)+100*RTD("tos.rtd",,"OPEN_INT","."&amp;Q$2&amp;Q$1&amp;"P"&amp;$A47)*RTD("tos.rtd",,"DELTA","."&amp;Q$2&amp;Q$1&amp;"P"&amp;$A47))/1000,(100*RTD("tos.rtd",,"OPEN_INT","."&amp;Q$2&amp;Q$1&amp;"C"&amp;$A47)*RTD("tos.rtd",,"DELTA","."&amp;Q$2&amp;Q$1&amp;"C"&amp;$A47)-100*RTD("tos.rtd",,"OPEN_INT","."&amp;Q$2&amp;Q$1&amp;"P"&amp;$A47)*RTD("tos.rtd",,"DELTA","."&amp;Q$2&amp;Q$1&amp;"P"&amp;$A47))/1000),0),IF($A$2="VEX",IFERROR(IF($X$1="ABS",($A$4*$A$4*RTD("tos.rtd",,"VOLUME","."&amp;Q$2&amp;Q$1&amp;"C"&amp;$A47)*RTD("tos.rtd",,"GAMMA","."&amp;Q$2&amp;Q$1&amp;"C"&amp;$A47)+$A$4*$A$4*RTD("tos.rtd",,"VOLUME","."&amp;Q$2&amp;Q$1&amp;"P"&amp;$A47)*RTD("tos.rtd",,"GAMMA","."&amp;Q$2&amp;Q$1&amp;"P"&amp;$A47))/1000000,($A$4*$A$4*RTD("tos.rtd",,"VOLUME","."&amp;Q$2&amp;Q$1&amp;"C"&amp;$A47)*RTD("tos.rtd",,"GAMMA","."&amp;Q$2&amp;Q$1&amp;"C"&amp;$A47)-$A$4*$A$4*RTD("tos.rtd",,"VOLUME","."&amp;Q$2&amp;Q$1&amp;"P"&amp;$A47)*RTD("tos.rtd",,"GAMMA","."&amp;Q$2&amp;Q$1&amp;"P"&amp;$A47))/1000000),0),IF($A$2="GEX",IFERROR(IF($X$1="ABS",($A$4*$A$4*RTD("tos.rtd",,"OPEN_INT","."&amp;Q$2&amp;Q$1&amp;"C"&amp;$A47)*RTD("tos.rtd",,"GAMMA","."&amp;Q$2&amp;Q$1&amp;"C"&amp;$A47)+$A$4*$A$4*RTD("tos.rtd",,"OPEN_INT","."&amp;Q$2&amp;Q$1&amp;"P"&amp;$A47)*RTD("tos.rtd",,"GAMMA","."&amp;Q$2&amp;Q$1&amp;"P"&amp;$A47))/1000000,($A$4*$A$4*RTD("tos.rtd",,"OPEN_INT","."&amp;Q$2&amp;Q$1&amp;"C"&amp;$A47)*RTD("tos.rtd",,"GAMMA","."&amp;Q$2&amp;Q$1&amp;"C"&amp;$A47)-$A$4*$A$4*RTD("tos.rtd",,"OPEN_INT","."&amp;Q$2&amp;Q$1&amp;"P"&amp;$A47)*RTD("tos.rtd",,"GAMMA","."&amp;Q$2&amp;Q$1&amp;"P"&amp;$A47))/1000000),0),IF($A$2="SKEW",IFERROR(VALUE(IF(RTD("tos.rtd",,"IMPL_VOL","."&amp;Q$2&amp;Q$1&amp;"P"&amp;$A47)="N/A",0,RTD("tos.rtd",,"IMPL_VOL","."&amp;Q$2&amp;Q$1&amp;"P"&amp;$A47))),0)-IFERROR(VALUE(IF(RTD("tos.rtd",,"IMPL_VOL","."&amp;Q$2&amp;Q$1&amp;"C"&amp;$A47)="N/A",0,RTD("tos.rtd",,"IMPL_VOL","."&amp;Q$2&amp;Q$1&amp;"C"&amp;$A47))),0),IF($A$2="MAXPAIN",IF($A$4&gt;$A47,($A$4-$A47)*IF(RTD("tos.rtd",,"OPEN_INT","."&amp;Q$2&amp;Q$1&amp;"C"&amp;$A47)="N/A",0,RTD("tos.rtd",,"OPEN_INT","."&amp;Q$2&amp;Q$1&amp;"C"&amp;$A47)),0)+IF($A$4&lt;$A47,($A$5-$A$4)*IF(RTD("tos.rtd",,"OPEN_INT","."&amp;Q$2&amp;Q$1&amp;"P"&amp;$A47)="N/A",0,RTD("tos.rtd",,"OPEN_INT","."&amp;Q$2&amp;Q$1&amp;"P"&amp;$A47)),0),IF($X$1="ABS",IF(RTD("tos.rtd",,$A$2,"."&amp;Q$2&amp;Q$1&amp;"C"&amp;$A47)="N/A",0,RTD("tos.rtd",,$A$2,"."&amp;Q$2&amp;Q$1&amp;"C"&amp;$A47))+IF(RTD("tos.rtd",,$A$2,"."&amp;Q$2&amp;Q$1&amp;"P"&amp;$A47)="N/A",0,RTD("tos.rtd",,$A$2,"."&amp;Q$2&amp;Q$1&amp;"P"&amp;$A47)),IF(RTD("tos.rtd",,$A$2,"."&amp;Q$2&amp;Q$1&amp;"C"&amp;$A47)="N/A",0,RTD("tos.rtd",,$A$2,"."&amp;Q$2&amp;Q$1&amp;"C"&amp;$A47))-IF(RTD("tos.rtd",,$A$2,"."&amp;Q$2&amp;Q$1&amp;"P"&amp;$A47)="N/A",0,RTD("tos.rtd",,$A$2,"."&amp;Q$2&amp;Q$1&amp;"P"&amp;$A47))))))))))</f>
        <v>0</v>
      </c>
      <c r="R47" s="12">
        <f ca="1">IF($A$2="PREMIUM_OI",IFERROR(IF($X$1="ABS",(100*RTD("tos.rtd",,"OPEN_INT","."&amp;R$2&amp;R$1&amp;"C"&amp;$A47)*RTD("tos.rtd",,"LAST","."&amp;R$2&amp;R$1&amp;"C"&amp;$A47)+100*RTD("tos.rtd",,"OPEN_INT","."&amp;R$2&amp;R$1&amp;"P"&amp;$A47)*RTD("tos.rtd",,"LAST","."&amp;R$2&amp;R$1&amp;"P"&amp;$A47))/1000000,(100*RTD("tos.rtd",,"OPEN_INT","."&amp;R$2&amp;R$1&amp;"C"&amp;$A47)*RTD("tos.rtd",,"LAST","."&amp;R$2&amp;R$1&amp;"C"&amp;$A47)-100*RTD("tos.rtd",,"OPEN_INT","."&amp;R$2&amp;R$1&amp;"P"&amp;$A47)*RTD("tos.rtd",,"LAST","."&amp;R$2&amp;R$1&amp;"P"&amp;$A47))/1000000),0),IF($A$2="PREMIUM",IFERROR(IF($X$1="ABS",(100*RTD("tos.rtd",,"VOLUME","."&amp;R$2&amp;R$1&amp;"C"&amp;$A47)*RTD("tos.rtd",,"LAST","."&amp;R$2&amp;R$1&amp;"C"&amp;$A47)+100*RTD("tos.rtd",,"VOLUME","."&amp;R$2&amp;R$1&amp;"P"&amp;$A47)*RTD("tos.rtd",,"LAST","."&amp;R$2&amp;R$1&amp;"P"&amp;$A47))/1000000,(100*RTD("tos.rtd",,"VOLUME","."&amp;R$2&amp;R$1&amp;"C"&amp;$A47)*RTD("tos.rtd",,"LAST","."&amp;R$2&amp;R$1&amp;"C"&amp;$A47)-100*RTD("tos.rtd",,"VOLUME","."&amp;R$2&amp;R$1&amp;"P"&amp;$A47)*RTD("tos.rtd",,"LAST","."&amp;R$2&amp;R$1&amp;"P"&amp;$A47))/1000000),0),IF($A$2="DEX",IFERROR(IF($X$1="ABS",(100*RTD("tos.rtd",,"OPEN_INT","."&amp;R$2&amp;R$1&amp;"C"&amp;$A47)*RTD("tos.rtd",,"DELTA","."&amp;R$2&amp;R$1&amp;"C"&amp;$A47)+100*RTD("tos.rtd",,"OPEN_INT","."&amp;R$2&amp;R$1&amp;"P"&amp;$A47)*RTD("tos.rtd",,"DELTA","."&amp;R$2&amp;R$1&amp;"P"&amp;$A47))/1000,(100*RTD("tos.rtd",,"OPEN_INT","."&amp;R$2&amp;R$1&amp;"C"&amp;$A47)*RTD("tos.rtd",,"DELTA","."&amp;R$2&amp;R$1&amp;"C"&amp;$A47)-100*RTD("tos.rtd",,"OPEN_INT","."&amp;R$2&amp;R$1&amp;"P"&amp;$A47)*RTD("tos.rtd",,"DELTA","."&amp;R$2&amp;R$1&amp;"P"&amp;$A47))/1000),0),IF($A$2="VEX",IFERROR(IF($X$1="ABS",($A$4*$A$4*RTD("tos.rtd",,"VOLUME","."&amp;R$2&amp;R$1&amp;"C"&amp;$A47)*RTD("tos.rtd",,"GAMMA","."&amp;R$2&amp;R$1&amp;"C"&amp;$A47)+$A$4*$A$4*RTD("tos.rtd",,"VOLUME","."&amp;R$2&amp;R$1&amp;"P"&amp;$A47)*RTD("tos.rtd",,"GAMMA","."&amp;R$2&amp;R$1&amp;"P"&amp;$A47))/1000000,($A$4*$A$4*RTD("tos.rtd",,"VOLUME","."&amp;R$2&amp;R$1&amp;"C"&amp;$A47)*RTD("tos.rtd",,"GAMMA","."&amp;R$2&amp;R$1&amp;"C"&amp;$A47)-$A$4*$A$4*RTD("tos.rtd",,"VOLUME","."&amp;R$2&amp;R$1&amp;"P"&amp;$A47)*RTD("tos.rtd",,"GAMMA","."&amp;R$2&amp;R$1&amp;"P"&amp;$A47))/1000000),0),IF($A$2="GEX",IFERROR(IF($X$1="ABS",($A$4*$A$4*RTD("tos.rtd",,"OPEN_INT","."&amp;R$2&amp;R$1&amp;"C"&amp;$A47)*RTD("tos.rtd",,"GAMMA","."&amp;R$2&amp;R$1&amp;"C"&amp;$A47)+$A$4*$A$4*RTD("tos.rtd",,"OPEN_INT","."&amp;R$2&amp;R$1&amp;"P"&amp;$A47)*RTD("tos.rtd",,"GAMMA","."&amp;R$2&amp;R$1&amp;"P"&amp;$A47))/1000000,($A$4*$A$4*RTD("tos.rtd",,"OPEN_INT","."&amp;R$2&amp;R$1&amp;"C"&amp;$A47)*RTD("tos.rtd",,"GAMMA","."&amp;R$2&amp;R$1&amp;"C"&amp;$A47)-$A$4*$A$4*RTD("tos.rtd",,"OPEN_INT","."&amp;R$2&amp;R$1&amp;"P"&amp;$A47)*RTD("tos.rtd",,"GAMMA","."&amp;R$2&amp;R$1&amp;"P"&amp;$A47))/1000000),0),IF($A$2="SKEW",IFERROR(VALUE(IF(RTD("tos.rtd",,"IMPL_VOL","."&amp;R$2&amp;R$1&amp;"P"&amp;$A47)="N/A",0,RTD("tos.rtd",,"IMPL_VOL","."&amp;R$2&amp;R$1&amp;"P"&amp;$A47))),0)-IFERROR(VALUE(IF(RTD("tos.rtd",,"IMPL_VOL","."&amp;R$2&amp;R$1&amp;"C"&amp;$A47)="N/A",0,RTD("tos.rtd",,"IMPL_VOL","."&amp;R$2&amp;R$1&amp;"C"&amp;$A47))),0),IF($A$2="MAXPAIN",IF($A$4&gt;$A47,($A$4-$A47)*IF(RTD("tos.rtd",,"OPEN_INT","."&amp;R$2&amp;R$1&amp;"C"&amp;$A47)="N/A",0,RTD("tos.rtd",,"OPEN_INT","."&amp;R$2&amp;R$1&amp;"C"&amp;$A47)),0)+IF($A$4&lt;$A47,($A$5-$A$4)*IF(RTD("tos.rtd",,"OPEN_INT","."&amp;R$2&amp;R$1&amp;"P"&amp;$A47)="N/A",0,RTD("tos.rtd",,"OPEN_INT","."&amp;R$2&amp;R$1&amp;"P"&amp;$A47)),0),IF($X$1="ABS",IF(RTD("tos.rtd",,$A$2,"."&amp;R$2&amp;R$1&amp;"C"&amp;$A47)="N/A",0,RTD("tos.rtd",,$A$2,"."&amp;R$2&amp;R$1&amp;"C"&amp;$A47))+IF(RTD("tos.rtd",,$A$2,"."&amp;R$2&amp;R$1&amp;"P"&amp;$A47)="N/A",0,RTD("tos.rtd",,$A$2,"."&amp;R$2&amp;R$1&amp;"P"&amp;$A47)),IF(RTD("tos.rtd",,$A$2,"."&amp;R$2&amp;R$1&amp;"C"&amp;$A47)="N/A",0,RTD("tos.rtd",,$A$2,"."&amp;R$2&amp;R$1&amp;"C"&amp;$A47))-IF(RTD("tos.rtd",,$A$2,"."&amp;R$2&amp;R$1&amp;"P"&amp;$A47)="N/A",0,RTD("tos.rtd",,$A$2,"."&amp;R$2&amp;R$1&amp;"P"&amp;$A47))))))))))</f>
        <v>0</v>
      </c>
      <c r="S47" s="12">
        <f ca="1">IF($A$2="PREMIUM_OI",IFERROR(IF($X$1="ABS",(100*RTD("tos.rtd",,"OPEN_INT","."&amp;S$2&amp;S$1&amp;"C"&amp;$A47)*RTD("tos.rtd",,"LAST","."&amp;S$2&amp;S$1&amp;"C"&amp;$A47)+100*RTD("tos.rtd",,"OPEN_INT","."&amp;S$2&amp;S$1&amp;"P"&amp;$A47)*RTD("tos.rtd",,"LAST","."&amp;S$2&amp;S$1&amp;"P"&amp;$A47))/1000000,(100*RTD("tos.rtd",,"OPEN_INT","."&amp;S$2&amp;S$1&amp;"C"&amp;$A47)*RTD("tos.rtd",,"LAST","."&amp;S$2&amp;S$1&amp;"C"&amp;$A47)-100*RTD("tos.rtd",,"OPEN_INT","."&amp;S$2&amp;S$1&amp;"P"&amp;$A47)*RTD("tos.rtd",,"LAST","."&amp;S$2&amp;S$1&amp;"P"&amp;$A47))/1000000),0),IF($A$2="PREMIUM",IFERROR(IF($X$1="ABS",(100*RTD("tos.rtd",,"VOLUME","."&amp;S$2&amp;S$1&amp;"C"&amp;$A47)*RTD("tos.rtd",,"LAST","."&amp;S$2&amp;S$1&amp;"C"&amp;$A47)+100*RTD("tos.rtd",,"VOLUME","."&amp;S$2&amp;S$1&amp;"P"&amp;$A47)*RTD("tos.rtd",,"LAST","."&amp;S$2&amp;S$1&amp;"P"&amp;$A47))/1000000,(100*RTD("tos.rtd",,"VOLUME","."&amp;S$2&amp;S$1&amp;"C"&amp;$A47)*RTD("tos.rtd",,"LAST","."&amp;S$2&amp;S$1&amp;"C"&amp;$A47)-100*RTD("tos.rtd",,"VOLUME","."&amp;S$2&amp;S$1&amp;"P"&amp;$A47)*RTD("tos.rtd",,"LAST","."&amp;S$2&amp;S$1&amp;"P"&amp;$A47))/1000000),0),IF($A$2="DEX",IFERROR(IF($X$1="ABS",(100*RTD("tos.rtd",,"OPEN_INT","."&amp;S$2&amp;S$1&amp;"C"&amp;$A47)*RTD("tos.rtd",,"DELTA","."&amp;S$2&amp;S$1&amp;"C"&amp;$A47)+100*RTD("tos.rtd",,"OPEN_INT","."&amp;S$2&amp;S$1&amp;"P"&amp;$A47)*RTD("tos.rtd",,"DELTA","."&amp;S$2&amp;S$1&amp;"P"&amp;$A47))/1000,(100*RTD("tos.rtd",,"OPEN_INT","."&amp;S$2&amp;S$1&amp;"C"&amp;$A47)*RTD("tos.rtd",,"DELTA","."&amp;S$2&amp;S$1&amp;"C"&amp;$A47)-100*RTD("tos.rtd",,"OPEN_INT","."&amp;S$2&amp;S$1&amp;"P"&amp;$A47)*RTD("tos.rtd",,"DELTA","."&amp;S$2&amp;S$1&amp;"P"&amp;$A47))/1000),0),IF($A$2="VEX",IFERROR(IF($X$1="ABS",($A$4*$A$4*RTD("tos.rtd",,"VOLUME","."&amp;S$2&amp;S$1&amp;"C"&amp;$A47)*RTD("tos.rtd",,"GAMMA","."&amp;S$2&amp;S$1&amp;"C"&amp;$A47)+$A$4*$A$4*RTD("tos.rtd",,"VOLUME","."&amp;S$2&amp;S$1&amp;"P"&amp;$A47)*RTD("tos.rtd",,"GAMMA","."&amp;S$2&amp;S$1&amp;"P"&amp;$A47))/1000000,($A$4*$A$4*RTD("tos.rtd",,"VOLUME","."&amp;S$2&amp;S$1&amp;"C"&amp;$A47)*RTD("tos.rtd",,"GAMMA","."&amp;S$2&amp;S$1&amp;"C"&amp;$A47)-$A$4*$A$4*RTD("tos.rtd",,"VOLUME","."&amp;S$2&amp;S$1&amp;"P"&amp;$A47)*RTD("tos.rtd",,"GAMMA","."&amp;S$2&amp;S$1&amp;"P"&amp;$A47))/1000000),0),IF($A$2="GEX",IFERROR(IF($X$1="ABS",($A$4*$A$4*RTD("tos.rtd",,"OPEN_INT","."&amp;S$2&amp;S$1&amp;"C"&amp;$A47)*RTD("tos.rtd",,"GAMMA","."&amp;S$2&amp;S$1&amp;"C"&amp;$A47)+$A$4*$A$4*RTD("tos.rtd",,"OPEN_INT","."&amp;S$2&amp;S$1&amp;"P"&amp;$A47)*RTD("tos.rtd",,"GAMMA","."&amp;S$2&amp;S$1&amp;"P"&amp;$A47))/1000000,($A$4*$A$4*RTD("tos.rtd",,"OPEN_INT","."&amp;S$2&amp;S$1&amp;"C"&amp;$A47)*RTD("tos.rtd",,"GAMMA","."&amp;S$2&amp;S$1&amp;"C"&amp;$A47)-$A$4*$A$4*RTD("tos.rtd",,"OPEN_INT","."&amp;S$2&amp;S$1&amp;"P"&amp;$A47)*RTD("tos.rtd",,"GAMMA","."&amp;S$2&amp;S$1&amp;"P"&amp;$A47))/1000000),0),IF($A$2="SKEW",IFERROR(VALUE(IF(RTD("tos.rtd",,"IMPL_VOL","."&amp;S$2&amp;S$1&amp;"P"&amp;$A47)="N/A",0,RTD("tos.rtd",,"IMPL_VOL","."&amp;S$2&amp;S$1&amp;"P"&amp;$A47))),0)-IFERROR(VALUE(IF(RTD("tos.rtd",,"IMPL_VOL","."&amp;S$2&amp;S$1&amp;"C"&amp;$A47)="N/A",0,RTD("tos.rtd",,"IMPL_VOL","."&amp;S$2&amp;S$1&amp;"C"&amp;$A47))),0),IF($A$2="MAXPAIN",IF($A$4&gt;$A47,($A$4-$A47)*IF(RTD("tos.rtd",,"OPEN_INT","."&amp;S$2&amp;S$1&amp;"C"&amp;$A47)="N/A",0,RTD("tos.rtd",,"OPEN_INT","."&amp;S$2&amp;S$1&amp;"C"&amp;$A47)),0)+IF($A$4&lt;$A47,($A$5-$A$4)*IF(RTD("tos.rtd",,"OPEN_INT","."&amp;S$2&amp;S$1&amp;"P"&amp;$A47)="N/A",0,RTD("tos.rtd",,"OPEN_INT","."&amp;S$2&amp;S$1&amp;"P"&amp;$A47)),0),IF($X$1="ABS",IF(RTD("tos.rtd",,$A$2,"."&amp;S$2&amp;S$1&amp;"C"&amp;$A47)="N/A",0,RTD("tos.rtd",,$A$2,"."&amp;S$2&amp;S$1&amp;"C"&amp;$A47))+IF(RTD("tos.rtd",,$A$2,"."&amp;S$2&amp;S$1&amp;"P"&amp;$A47)="N/A",0,RTD("tos.rtd",,$A$2,"."&amp;S$2&amp;S$1&amp;"P"&amp;$A47)),IF(RTD("tos.rtd",,$A$2,"."&amp;S$2&amp;S$1&amp;"C"&amp;$A47)="N/A",0,RTD("tos.rtd",,$A$2,"."&amp;S$2&amp;S$1&amp;"C"&amp;$A47))-IF(RTD("tos.rtd",,$A$2,"."&amp;S$2&amp;S$1&amp;"P"&amp;$A47)="N/A",0,RTD("tos.rtd",,$A$2,"."&amp;S$2&amp;S$1&amp;"P"&amp;$A47))))))))))</f>
        <v>0</v>
      </c>
      <c r="T47" s="12">
        <f ca="1">IF($A$2="PREMIUM_OI",IFERROR(IF($X$1="ABS",(100*RTD("tos.rtd",,"OPEN_INT","."&amp;T$2&amp;T$1&amp;"C"&amp;$A47)*RTD("tos.rtd",,"LAST","."&amp;T$2&amp;T$1&amp;"C"&amp;$A47)+100*RTD("tos.rtd",,"OPEN_INT","."&amp;T$2&amp;T$1&amp;"P"&amp;$A47)*RTD("tos.rtd",,"LAST","."&amp;T$2&amp;T$1&amp;"P"&amp;$A47))/1000000,(100*RTD("tos.rtd",,"OPEN_INT","."&amp;T$2&amp;T$1&amp;"C"&amp;$A47)*RTD("tos.rtd",,"LAST","."&amp;T$2&amp;T$1&amp;"C"&amp;$A47)-100*RTD("tos.rtd",,"OPEN_INT","."&amp;T$2&amp;T$1&amp;"P"&amp;$A47)*RTD("tos.rtd",,"LAST","."&amp;T$2&amp;T$1&amp;"P"&amp;$A47))/1000000),0),IF($A$2="PREMIUM",IFERROR(IF($X$1="ABS",(100*RTD("tos.rtd",,"VOLUME","."&amp;T$2&amp;T$1&amp;"C"&amp;$A47)*RTD("tos.rtd",,"LAST","."&amp;T$2&amp;T$1&amp;"C"&amp;$A47)+100*RTD("tos.rtd",,"VOLUME","."&amp;T$2&amp;T$1&amp;"P"&amp;$A47)*RTD("tos.rtd",,"LAST","."&amp;T$2&amp;T$1&amp;"P"&amp;$A47))/1000000,(100*RTD("tos.rtd",,"VOLUME","."&amp;T$2&amp;T$1&amp;"C"&amp;$A47)*RTD("tos.rtd",,"LAST","."&amp;T$2&amp;T$1&amp;"C"&amp;$A47)-100*RTD("tos.rtd",,"VOLUME","."&amp;T$2&amp;T$1&amp;"P"&amp;$A47)*RTD("tos.rtd",,"LAST","."&amp;T$2&amp;T$1&amp;"P"&amp;$A47))/1000000),0),IF($A$2="DEX",IFERROR(IF($X$1="ABS",(100*RTD("tos.rtd",,"OPEN_INT","."&amp;T$2&amp;T$1&amp;"C"&amp;$A47)*RTD("tos.rtd",,"DELTA","."&amp;T$2&amp;T$1&amp;"C"&amp;$A47)+100*RTD("tos.rtd",,"OPEN_INT","."&amp;T$2&amp;T$1&amp;"P"&amp;$A47)*RTD("tos.rtd",,"DELTA","."&amp;T$2&amp;T$1&amp;"P"&amp;$A47))/1000,(100*RTD("tos.rtd",,"OPEN_INT","."&amp;T$2&amp;T$1&amp;"C"&amp;$A47)*RTD("tos.rtd",,"DELTA","."&amp;T$2&amp;T$1&amp;"C"&amp;$A47)-100*RTD("tos.rtd",,"OPEN_INT","."&amp;T$2&amp;T$1&amp;"P"&amp;$A47)*RTD("tos.rtd",,"DELTA","."&amp;T$2&amp;T$1&amp;"P"&amp;$A47))/1000),0),IF($A$2="VEX",IFERROR(IF($X$1="ABS",($A$4*$A$4*RTD("tos.rtd",,"VOLUME","."&amp;T$2&amp;T$1&amp;"C"&amp;$A47)*RTD("tos.rtd",,"GAMMA","."&amp;T$2&amp;T$1&amp;"C"&amp;$A47)+$A$4*$A$4*RTD("tos.rtd",,"VOLUME","."&amp;T$2&amp;T$1&amp;"P"&amp;$A47)*RTD("tos.rtd",,"GAMMA","."&amp;T$2&amp;T$1&amp;"P"&amp;$A47))/1000000,($A$4*$A$4*RTD("tos.rtd",,"VOLUME","."&amp;T$2&amp;T$1&amp;"C"&amp;$A47)*RTD("tos.rtd",,"GAMMA","."&amp;T$2&amp;T$1&amp;"C"&amp;$A47)-$A$4*$A$4*RTD("tos.rtd",,"VOLUME","."&amp;T$2&amp;T$1&amp;"P"&amp;$A47)*RTD("tos.rtd",,"GAMMA","."&amp;T$2&amp;T$1&amp;"P"&amp;$A47))/1000000),0),IF($A$2="GEX",IFERROR(IF($X$1="ABS",($A$4*$A$4*RTD("tos.rtd",,"OPEN_INT","."&amp;T$2&amp;T$1&amp;"C"&amp;$A47)*RTD("tos.rtd",,"GAMMA","."&amp;T$2&amp;T$1&amp;"C"&amp;$A47)+$A$4*$A$4*RTD("tos.rtd",,"OPEN_INT","."&amp;T$2&amp;T$1&amp;"P"&amp;$A47)*RTD("tos.rtd",,"GAMMA","."&amp;T$2&amp;T$1&amp;"P"&amp;$A47))/1000000,($A$4*$A$4*RTD("tos.rtd",,"OPEN_INT","."&amp;T$2&amp;T$1&amp;"C"&amp;$A47)*RTD("tos.rtd",,"GAMMA","."&amp;T$2&amp;T$1&amp;"C"&amp;$A47)-$A$4*$A$4*RTD("tos.rtd",,"OPEN_INT","."&amp;T$2&amp;T$1&amp;"P"&amp;$A47)*RTD("tos.rtd",,"GAMMA","."&amp;T$2&amp;T$1&amp;"P"&amp;$A47))/1000000),0),IF($A$2="SKEW",IFERROR(VALUE(IF(RTD("tos.rtd",,"IMPL_VOL","."&amp;T$2&amp;T$1&amp;"P"&amp;$A47)="N/A",0,RTD("tos.rtd",,"IMPL_VOL","."&amp;T$2&amp;T$1&amp;"P"&amp;$A47))),0)-IFERROR(VALUE(IF(RTD("tos.rtd",,"IMPL_VOL","."&amp;T$2&amp;T$1&amp;"C"&amp;$A47)="N/A",0,RTD("tos.rtd",,"IMPL_VOL","."&amp;T$2&amp;T$1&amp;"C"&amp;$A47))),0),IF($A$2="MAXPAIN",IF($A$4&gt;$A47,($A$4-$A47)*IF(RTD("tos.rtd",,"OPEN_INT","."&amp;T$2&amp;T$1&amp;"C"&amp;$A47)="N/A",0,RTD("tos.rtd",,"OPEN_INT","."&amp;T$2&amp;T$1&amp;"C"&amp;$A47)),0)+IF($A$4&lt;$A47,($A$5-$A$4)*IF(RTD("tos.rtd",,"OPEN_INT","."&amp;T$2&amp;T$1&amp;"P"&amp;$A47)="N/A",0,RTD("tos.rtd",,"OPEN_INT","."&amp;T$2&amp;T$1&amp;"P"&amp;$A47)),0),IF($X$1="ABS",IF(RTD("tos.rtd",,$A$2,"."&amp;T$2&amp;T$1&amp;"C"&amp;$A47)="N/A",0,RTD("tos.rtd",,$A$2,"."&amp;T$2&amp;T$1&amp;"C"&amp;$A47))+IF(RTD("tos.rtd",,$A$2,"."&amp;T$2&amp;T$1&amp;"P"&amp;$A47)="N/A",0,RTD("tos.rtd",,$A$2,"."&amp;T$2&amp;T$1&amp;"P"&amp;$A47)),IF(RTD("tos.rtd",,$A$2,"."&amp;T$2&amp;T$1&amp;"C"&amp;$A47)="N/A",0,RTD("tos.rtd",,$A$2,"."&amp;T$2&amp;T$1&amp;"C"&amp;$A47))-IF(RTD("tos.rtd",,$A$2,"."&amp;T$2&amp;T$1&amp;"P"&amp;$A47)="N/A",0,RTD("tos.rtd",,$A$2,"."&amp;T$2&amp;T$1&amp;"P"&amp;$A47))))))))))</f>
        <v>0</v>
      </c>
      <c r="U47" s="12">
        <f ca="1">IF($A$2="PREMIUM_OI",IFERROR(IF($X$1="ABS",(100*RTD("tos.rtd",,"OPEN_INT","."&amp;U$2&amp;U$1&amp;"C"&amp;$A47)*RTD("tos.rtd",,"LAST","."&amp;U$2&amp;U$1&amp;"C"&amp;$A47)+100*RTD("tos.rtd",,"OPEN_INT","."&amp;U$2&amp;U$1&amp;"P"&amp;$A47)*RTD("tos.rtd",,"LAST","."&amp;U$2&amp;U$1&amp;"P"&amp;$A47))/1000000,(100*RTD("tos.rtd",,"OPEN_INT","."&amp;U$2&amp;U$1&amp;"C"&amp;$A47)*RTD("tos.rtd",,"LAST","."&amp;U$2&amp;U$1&amp;"C"&amp;$A47)-100*RTD("tos.rtd",,"OPEN_INT","."&amp;U$2&amp;U$1&amp;"P"&amp;$A47)*RTD("tos.rtd",,"LAST","."&amp;U$2&amp;U$1&amp;"P"&amp;$A47))/1000000),0),IF($A$2="PREMIUM",IFERROR(IF($X$1="ABS",(100*RTD("tos.rtd",,"VOLUME","."&amp;U$2&amp;U$1&amp;"C"&amp;$A47)*RTD("tos.rtd",,"LAST","."&amp;U$2&amp;U$1&amp;"C"&amp;$A47)+100*RTD("tos.rtd",,"VOLUME","."&amp;U$2&amp;U$1&amp;"P"&amp;$A47)*RTD("tos.rtd",,"LAST","."&amp;U$2&amp;U$1&amp;"P"&amp;$A47))/1000000,(100*RTD("tos.rtd",,"VOLUME","."&amp;U$2&amp;U$1&amp;"C"&amp;$A47)*RTD("tos.rtd",,"LAST","."&amp;U$2&amp;U$1&amp;"C"&amp;$A47)-100*RTD("tos.rtd",,"VOLUME","."&amp;U$2&amp;U$1&amp;"P"&amp;$A47)*RTD("tos.rtd",,"LAST","."&amp;U$2&amp;U$1&amp;"P"&amp;$A47))/1000000),0),IF($A$2="DEX",IFERROR(IF($X$1="ABS",(100*RTD("tos.rtd",,"OPEN_INT","."&amp;U$2&amp;U$1&amp;"C"&amp;$A47)*RTD("tos.rtd",,"DELTA","."&amp;U$2&amp;U$1&amp;"C"&amp;$A47)+100*RTD("tos.rtd",,"OPEN_INT","."&amp;U$2&amp;U$1&amp;"P"&amp;$A47)*RTD("tos.rtd",,"DELTA","."&amp;U$2&amp;U$1&amp;"P"&amp;$A47))/1000,(100*RTD("tos.rtd",,"OPEN_INT","."&amp;U$2&amp;U$1&amp;"C"&amp;$A47)*RTD("tos.rtd",,"DELTA","."&amp;U$2&amp;U$1&amp;"C"&amp;$A47)-100*RTD("tos.rtd",,"OPEN_INT","."&amp;U$2&amp;U$1&amp;"P"&amp;$A47)*RTD("tos.rtd",,"DELTA","."&amp;U$2&amp;U$1&amp;"P"&amp;$A47))/1000),0),IF($A$2="VEX",IFERROR(IF($X$1="ABS",($A$4*$A$4*RTD("tos.rtd",,"VOLUME","."&amp;U$2&amp;U$1&amp;"C"&amp;$A47)*RTD("tos.rtd",,"GAMMA","."&amp;U$2&amp;U$1&amp;"C"&amp;$A47)+$A$4*$A$4*RTD("tos.rtd",,"VOLUME","."&amp;U$2&amp;U$1&amp;"P"&amp;$A47)*RTD("tos.rtd",,"GAMMA","."&amp;U$2&amp;U$1&amp;"P"&amp;$A47))/1000000,($A$4*$A$4*RTD("tos.rtd",,"VOLUME","."&amp;U$2&amp;U$1&amp;"C"&amp;$A47)*RTD("tos.rtd",,"GAMMA","."&amp;U$2&amp;U$1&amp;"C"&amp;$A47)-$A$4*$A$4*RTD("tos.rtd",,"VOLUME","."&amp;U$2&amp;U$1&amp;"P"&amp;$A47)*RTD("tos.rtd",,"GAMMA","."&amp;U$2&amp;U$1&amp;"P"&amp;$A47))/1000000),0),IF($A$2="GEX",IFERROR(IF($X$1="ABS",($A$4*$A$4*RTD("tos.rtd",,"OPEN_INT","."&amp;U$2&amp;U$1&amp;"C"&amp;$A47)*RTD("tos.rtd",,"GAMMA","."&amp;U$2&amp;U$1&amp;"C"&amp;$A47)+$A$4*$A$4*RTD("tos.rtd",,"OPEN_INT","."&amp;U$2&amp;U$1&amp;"P"&amp;$A47)*RTD("tos.rtd",,"GAMMA","."&amp;U$2&amp;U$1&amp;"P"&amp;$A47))/1000000,($A$4*$A$4*RTD("tos.rtd",,"OPEN_INT","."&amp;U$2&amp;U$1&amp;"C"&amp;$A47)*RTD("tos.rtd",,"GAMMA","."&amp;U$2&amp;U$1&amp;"C"&amp;$A47)-$A$4*$A$4*RTD("tos.rtd",,"OPEN_INT","."&amp;U$2&amp;U$1&amp;"P"&amp;$A47)*RTD("tos.rtd",,"GAMMA","."&amp;U$2&amp;U$1&amp;"P"&amp;$A47))/1000000),0),IF($A$2="SKEW",IFERROR(VALUE(IF(RTD("tos.rtd",,"IMPL_VOL","."&amp;U$2&amp;U$1&amp;"P"&amp;$A47)="N/A",0,RTD("tos.rtd",,"IMPL_VOL","."&amp;U$2&amp;U$1&amp;"P"&amp;$A47))),0)-IFERROR(VALUE(IF(RTD("tos.rtd",,"IMPL_VOL","."&amp;U$2&amp;U$1&amp;"C"&amp;$A47)="N/A",0,RTD("tos.rtd",,"IMPL_VOL","."&amp;U$2&amp;U$1&amp;"C"&amp;$A47))),0),IF($A$2="MAXPAIN",IF($A$4&gt;$A47,($A$4-$A47)*IF(RTD("tos.rtd",,"OPEN_INT","."&amp;U$2&amp;U$1&amp;"C"&amp;$A47)="N/A",0,RTD("tos.rtd",,"OPEN_INT","."&amp;U$2&amp;U$1&amp;"C"&amp;$A47)),0)+IF($A$4&lt;$A47,($A$5-$A$4)*IF(RTD("tos.rtd",,"OPEN_INT","."&amp;U$2&amp;U$1&amp;"P"&amp;$A47)="N/A",0,RTD("tos.rtd",,"OPEN_INT","."&amp;U$2&amp;U$1&amp;"P"&amp;$A47)),0),IF($X$1="ABS",IF(RTD("tos.rtd",,$A$2,"."&amp;U$2&amp;U$1&amp;"C"&amp;$A47)="N/A",0,RTD("tos.rtd",,$A$2,"."&amp;U$2&amp;U$1&amp;"C"&amp;$A47))+IF(RTD("tos.rtd",,$A$2,"."&amp;U$2&amp;U$1&amp;"P"&amp;$A47)="N/A",0,RTD("tos.rtd",,$A$2,"."&amp;U$2&amp;U$1&amp;"P"&amp;$A47)),IF(RTD("tos.rtd",,$A$2,"."&amp;U$2&amp;U$1&amp;"C"&amp;$A47)="N/A",0,RTD("tos.rtd",,$A$2,"."&amp;U$2&amp;U$1&amp;"C"&amp;$A47))-IF(RTD("tos.rtd",,$A$2,"."&amp;U$2&amp;U$1&amp;"P"&amp;$A47)="N/A",0,RTD("tos.rtd",,$A$2,"."&amp;U$2&amp;U$1&amp;"P"&amp;$A47))))))))))</f>
        <v>0</v>
      </c>
      <c r="V47" s="12">
        <f ca="1">IF($A$2="PREMIUM_OI",IFERROR(IF($X$1="ABS",(100*RTD("tos.rtd",,"OPEN_INT","."&amp;V$2&amp;V$1&amp;"C"&amp;$A47)*RTD("tos.rtd",,"LAST","."&amp;V$2&amp;V$1&amp;"C"&amp;$A47)+100*RTD("tos.rtd",,"OPEN_INT","."&amp;V$2&amp;V$1&amp;"P"&amp;$A47)*RTD("tos.rtd",,"LAST","."&amp;V$2&amp;V$1&amp;"P"&amp;$A47))/1000000,(100*RTD("tos.rtd",,"OPEN_INT","."&amp;V$2&amp;V$1&amp;"C"&amp;$A47)*RTD("tos.rtd",,"LAST","."&amp;V$2&amp;V$1&amp;"C"&amp;$A47)-100*RTD("tos.rtd",,"OPEN_INT","."&amp;V$2&amp;V$1&amp;"P"&amp;$A47)*RTD("tos.rtd",,"LAST","."&amp;V$2&amp;V$1&amp;"P"&amp;$A47))/1000000),0),IF($A$2="PREMIUM",IFERROR(IF($X$1="ABS",(100*RTD("tos.rtd",,"VOLUME","."&amp;V$2&amp;V$1&amp;"C"&amp;$A47)*RTD("tos.rtd",,"LAST","."&amp;V$2&amp;V$1&amp;"C"&amp;$A47)+100*RTD("tos.rtd",,"VOLUME","."&amp;V$2&amp;V$1&amp;"P"&amp;$A47)*RTD("tos.rtd",,"LAST","."&amp;V$2&amp;V$1&amp;"P"&amp;$A47))/1000000,(100*RTD("tos.rtd",,"VOLUME","."&amp;V$2&amp;V$1&amp;"C"&amp;$A47)*RTD("tos.rtd",,"LAST","."&amp;V$2&amp;V$1&amp;"C"&amp;$A47)-100*RTD("tos.rtd",,"VOLUME","."&amp;V$2&amp;V$1&amp;"P"&amp;$A47)*RTD("tos.rtd",,"LAST","."&amp;V$2&amp;V$1&amp;"P"&amp;$A47))/1000000),0),IF($A$2="DEX",IFERROR(IF($X$1="ABS",(100*RTD("tos.rtd",,"OPEN_INT","."&amp;V$2&amp;V$1&amp;"C"&amp;$A47)*RTD("tos.rtd",,"DELTA","."&amp;V$2&amp;V$1&amp;"C"&amp;$A47)+100*RTD("tos.rtd",,"OPEN_INT","."&amp;V$2&amp;V$1&amp;"P"&amp;$A47)*RTD("tos.rtd",,"DELTA","."&amp;V$2&amp;V$1&amp;"P"&amp;$A47))/1000,(100*RTD("tos.rtd",,"OPEN_INT","."&amp;V$2&amp;V$1&amp;"C"&amp;$A47)*RTD("tos.rtd",,"DELTA","."&amp;V$2&amp;V$1&amp;"C"&amp;$A47)-100*RTD("tos.rtd",,"OPEN_INT","."&amp;V$2&amp;V$1&amp;"P"&amp;$A47)*RTD("tos.rtd",,"DELTA","."&amp;V$2&amp;V$1&amp;"P"&amp;$A47))/1000),0),IF($A$2="VEX",IFERROR(IF($X$1="ABS",($A$4*$A$4*RTD("tos.rtd",,"VOLUME","."&amp;V$2&amp;V$1&amp;"C"&amp;$A47)*RTD("tos.rtd",,"GAMMA","."&amp;V$2&amp;V$1&amp;"C"&amp;$A47)+$A$4*$A$4*RTD("tos.rtd",,"VOLUME","."&amp;V$2&amp;V$1&amp;"P"&amp;$A47)*RTD("tos.rtd",,"GAMMA","."&amp;V$2&amp;V$1&amp;"P"&amp;$A47))/1000000,($A$4*$A$4*RTD("tos.rtd",,"VOLUME","."&amp;V$2&amp;V$1&amp;"C"&amp;$A47)*RTD("tos.rtd",,"GAMMA","."&amp;V$2&amp;V$1&amp;"C"&amp;$A47)-$A$4*$A$4*RTD("tos.rtd",,"VOLUME","."&amp;V$2&amp;V$1&amp;"P"&amp;$A47)*RTD("tos.rtd",,"GAMMA","."&amp;V$2&amp;V$1&amp;"P"&amp;$A47))/1000000),0),IF($A$2="GEX",IFERROR(IF($X$1="ABS",($A$4*$A$4*RTD("tos.rtd",,"OPEN_INT","."&amp;V$2&amp;V$1&amp;"C"&amp;$A47)*RTD("tos.rtd",,"GAMMA","."&amp;V$2&amp;V$1&amp;"C"&amp;$A47)+$A$4*$A$4*RTD("tos.rtd",,"OPEN_INT","."&amp;V$2&amp;V$1&amp;"P"&amp;$A47)*RTD("tos.rtd",,"GAMMA","."&amp;V$2&amp;V$1&amp;"P"&amp;$A47))/1000000,($A$4*$A$4*RTD("tos.rtd",,"OPEN_INT","."&amp;V$2&amp;V$1&amp;"C"&amp;$A47)*RTD("tos.rtd",,"GAMMA","."&amp;V$2&amp;V$1&amp;"C"&amp;$A47)-$A$4*$A$4*RTD("tos.rtd",,"OPEN_INT","."&amp;V$2&amp;V$1&amp;"P"&amp;$A47)*RTD("tos.rtd",,"GAMMA","."&amp;V$2&amp;V$1&amp;"P"&amp;$A47))/1000000),0),IF($A$2="SKEW",IFERROR(VALUE(IF(RTD("tos.rtd",,"IMPL_VOL","."&amp;V$2&amp;V$1&amp;"P"&amp;$A47)="N/A",0,RTD("tos.rtd",,"IMPL_VOL","."&amp;V$2&amp;V$1&amp;"P"&amp;$A47))),0)-IFERROR(VALUE(IF(RTD("tos.rtd",,"IMPL_VOL","."&amp;V$2&amp;V$1&amp;"C"&amp;$A47)="N/A",0,RTD("tos.rtd",,"IMPL_VOL","."&amp;V$2&amp;V$1&amp;"C"&amp;$A47))),0),IF($A$2="MAXPAIN",IF($A$4&gt;$A47,($A$4-$A47)*IF(RTD("tos.rtd",,"OPEN_INT","."&amp;V$2&amp;V$1&amp;"C"&amp;$A47)="N/A",0,RTD("tos.rtd",,"OPEN_INT","."&amp;V$2&amp;V$1&amp;"C"&amp;$A47)),0)+IF($A$4&lt;$A47,($A$5-$A$4)*IF(RTD("tos.rtd",,"OPEN_INT","."&amp;V$2&amp;V$1&amp;"P"&amp;$A47)="N/A",0,RTD("tos.rtd",,"OPEN_INT","."&amp;V$2&amp;V$1&amp;"P"&amp;$A47)),0),IF($X$1="ABS",IF(RTD("tos.rtd",,$A$2,"."&amp;V$2&amp;V$1&amp;"C"&amp;$A47)="N/A",0,RTD("tos.rtd",,$A$2,"."&amp;V$2&amp;V$1&amp;"C"&amp;$A47))+IF(RTD("tos.rtd",,$A$2,"."&amp;V$2&amp;V$1&amp;"P"&amp;$A47)="N/A",0,RTD("tos.rtd",,$A$2,"."&amp;V$2&amp;V$1&amp;"P"&amp;$A47)),IF(RTD("tos.rtd",,$A$2,"."&amp;V$2&amp;V$1&amp;"C"&amp;$A47)="N/A",0,RTD("tos.rtd",,$A$2,"."&amp;V$2&amp;V$1&amp;"C"&amp;$A47))-IF(RTD("tos.rtd",,$A$2,"."&amp;V$2&amp;V$1&amp;"P"&amp;$A47)="N/A",0,RTD("tos.rtd",,$A$2,"."&amp;V$2&amp;V$1&amp;"P"&amp;$A47))))))))))</f>
        <v>0</v>
      </c>
      <c r="W47" s="54">
        <f ca="1">IF($A$2="PREMIUM_OI",IFERROR(IF($X$1="ABS",(100*RTD("tos.rtd",,"OPEN_INT","."&amp;W$2&amp;W$1&amp;"C"&amp;$A47)*RTD("tos.rtd",,"LAST","."&amp;W$2&amp;W$1&amp;"C"&amp;$A47)+100*RTD("tos.rtd",,"OPEN_INT","."&amp;W$2&amp;W$1&amp;"P"&amp;$A47)*RTD("tos.rtd",,"LAST","."&amp;W$2&amp;W$1&amp;"P"&amp;$A47))/1000000,(100*RTD("tos.rtd",,"OPEN_INT","."&amp;W$2&amp;W$1&amp;"C"&amp;$A47)*RTD("tos.rtd",,"LAST","."&amp;W$2&amp;W$1&amp;"C"&amp;$A47)-100*RTD("tos.rtd",,"OPEN_INT","."&amp;W$2&amp;W$1&amp;"P"&amp;$A47)*RTD("tos.rtd",,"LAST","."&amp;W$2&amp;W$1&amp;"P"&amp;$A47))/1000000),0),IF($A$2="PREMIUM",IFERROR(IF($X$1="ABS",(100*RTD("tos.rtd",,"VOLUME","."&amp;W$2&amp;W$1&amp;"C"&amp;$A47)*RTD("tos.rtd",,"LAST","."&amp;W$2&amp;W$1&amp;"C"&amp;$A47)+100*RTD("tos.rtd",,"VOLUME","."&amp;W$2&amp;W$1&amp;"P"&amp;$A47)*RTD("tos.rtd",,"LAST","."&amp;W$2&amp;W$1&amp;"P"&amp;$A47))/1000000,(100*RTD("tos.rtd",,"VOLUME","."&amp;W$2&amp;W$1&amp;"C"&amp;$A47)*RTD("tos.rtd",,"LAST","."&amp;W$2&amp;W$1&amp;"C"&amp;$A47)-100*RTD("tos.rtd",,"VOLUME","."&amp;W$2&amp;W$1&amp;"P"&amp;$A47)*RTD("tos.rtd",,"LAST","."&amp;W$2&amp;W$1&amp;"P"&amp;$A47))/1000000),0),IF($A$2="DEX",IFERROR(IF($X$1="ABS",(100*RTD("tos.rtd",,"OPEN_INT","."&amp;W$2&amp;W$1&amp;"C"&amp;$A47)*RTD("tos.rtd",,"DELTA","."&amp;W$2&amp;W$1&amp;"C"&amp;$A47)+100*RTD("tos.rtd",,"OPEN_INT","."&amp;W$2&amp;W$1&amp;"P"&amp;$A47)*RTD("tos.rtd",,"DELTA","."&amp;W$2&amp;W$1&amp;"P"&amp;$A47))/1000,(100*RTD("tos.rtd",,"OPEN_INT","."&amp;W$2&amp;W$1&amp;"C"&amp;$A47)*RTD("tos.rtd",,"DELTA","."&amp;W$2&amp;W$1&amp;"C"&amp;$A47)-100*RTD("tos.rtd",,"OPEN_INT","."&amp;W$2&amp;W$1&amp;"P"&amp;$A47)*RTD("tos.rtd",,"DELTA","."&amp;W$2&amp;W$1&amp;"P"&amp;$A47))/1000),0),IF($A$2="VEX",IFERROR(IF($X$1="ABS",($A$4*$A$4*RTD("tos.rtd",,"VOLUME","."&amp;W$2&amp;W$1&amp;"C"&amp;$A47)*RTD("tos.rtd",,"GAMMA","."&amp;W$2&amp;W$1&amp;"C"&amp;$A47)+$A$4*$A$4*RTD("tos.rtd",,"VOLUME","."&amp;W$2&amp;W$1&amp;"P"&amp;$A47)*RTD("tos.rtd",,"GAMMA","."&amp;W$2&amp;W$1&amp;"P"&amp;$A47))/1000000,($A$4*$A$4*RTD("tos.rtd",,"VOLUME","."&amp;W$2&amp;W$1&amp;"C"&amp;$A47)*RTD("tos.rtd",,"GAMMA","."&amp;W$2&amp;W$1&amp;"C"&amp;$A47)-$A$4*$A$4*RTD("tos.rtd",,"VOLUME","."&amp;W$2&amp;W$1&amp;"P"&amp;$A47)*RTD("tos.rtd",,"GAMMA","."&amp;W$2&amp;W$1&amp;"P"&amp;$A47))/1000000),0),IF($A$2="GEX",IFERROR(IF($X$1="ABS",($A$4*$A$4*RTD("tos.rtd",,"OPEN_INT","."&amp;W$2&amp;W$1&amp;"C"&amp;$A47)*RTD("tos.rtd",,"GAMMA","."&amp;W$2&amp;W$1&amp;"C"&amp;$A47)+$A$4*$A$4*RTD("tos.rtd",,"OPEN_INT","."&amp;W$2&amp;W$1&amp;"P"&amp;$A47)*RTD("tos.rtd",,"GAMMA","."&amp;W$2&amp;W$1&amp;"P"&amp;$A47))/1000000,($A$4*$A$4*RTD("tos.rtd",,"OPEN_INT","."&amp;W$2&amp;W$1&amp;"C"&amp;$A47)*RTD("tos.rtd",,"GAMMA","."&amp;W$2&amp;W$1&amp;"C"&amp;$A47)-$A$4*$A$4*RTD("tos.rtd",,"OPEN_INT","."&amp;W$2&amp;W$1&amp;"P"&amp;$A47)*RTD("tos.rtd",,"GAMMA","."&amp;W$2&amp;W$1&amp;"P"&amp;$A47))/1000000),0),IF($A$2="SKEW",IFERROR(VALUE(IF(RTD("tos.rtd",,"IMPL_VOL","."&amp;W$2&amp;W$1&amp;"P"&amp;$A47)="N/A",0,RTD("tos.rtd",,"IMPL_VOL","."&amp;W$2&amp;W$1&amp;"P"&amp;$A47))),0)-IFERROR(VALUE(IF(RTD("tos.rtd",,"IMPL_VOL","."&amp;W$2&amp;W$1&amp;"C"&amp;$A47)="N/A",0,RTD("tos.rtd",,"IMPL_VOL","."&amp;W$2&amp;W$1&amp;"C"&amp;$A47))),0),IF($A$2="MAXPAIN",IF($A$4&gt;$A47,($A$4-$A47)*IF(RTD("tos.rtd",,"OPEN_INT","."&amp;W$2&amp;W$1&amp;"C"&amp;$A47)="N/A",0,RTD("tos.rtd",,"OPEN_INT","."&amp;W$2&amp;W$1&amp;"C"&amp;$A47)),0)+IF($A$4&lt;$A47,($A$5-$A$4)*IF(RTD("tos.rtd",,"OPEN_INT","."&amp;W$2&amp;W$1&amp;"P"&amp;$A47)="N/A",0,RTD("tos.rtd",,"OPEN_INT","."&amp;W$2&amp;W$1&amp;"P"&amp;$A47)),0),IF($X$1="ABS",IF(RTD("tos.rtd",,$A$2,"."&amp;W$2&amp;W$1&amp;"C"&amp;$A47)="N/A",0,RTD("tos.rtd",,$A$2,"."&amp;W$2&amp;W$1&amp;"C"&amp;$A47))+IF(RTD("tos.rtd",,$A$2,"."&amp;W$2&amp;W$1&amp;"P"&amp;$A47)="N/A",0,RTD("tos.rtd",,$A$2,"."&amp;W$2&amp;W$1&amp;"P"&amp;$A47)),IF(RTD("tos.rtd",,$A$2,"."&amp;W$2&amp;W$1&amp;"C"&amp;$A47)="N/A",0,RTD("tos.rtd",,$A$2,"."&amp;W$2&amp;W$1&amp;"C"&amp;$A47))-IF(RTD("tos.rtd",,$A$2,"."&amp;W$2&amp;W$1&amp;"P"&amp;$A47)="N/A",0,RTD("tos.rtd",,$A$2,"."&amp;W$2&amp;W$1&amp;"P"&amp;$A47))))))))))</f>
        <v>0</v>
      </c>
      <c r="X47" s="57">
        <f t="shared" ca="1" si="8"/>
        <v>0</v>
      </c>
      <c r="Y47" s="27">
        <f t="shared" ca="1" si="9"/>
        <v>0</v>
      </c>
      <c r="Z47" s="27">
        <f ca="1">+'OI-VOL'!Y47</f>
        <v>-23936</v>
      </c>
      <c r="AA47" s="27" t="b">
        <f t="shared" ca="1" si="10"/>
        <v>0</v>
      </c>
      <c r="AB47" s="27">
        <f t="shared" si="11"/>
        <v>49409400</v>
      </c>
      <c r="AC47" s="18">
        <f>MAX(0, $A47-AC$4)*IF(RTD("tos.rtd",,"OPEN_INT","."&amp;$AB$3&amp;$AB$4&amp;"C"&amp;AC$4)="N/A",0,RTD("tos.rtd",,"OPEN_INT","."&amp;$AB$3&amp;$AB$4&amp;"C"&amp;AC$4))*100 + MAX(0, AC$4-$A47)*IF(RTD("tos.rtd",,"OPEN_INT","."&amp;$AB$3&amp;$AB$4&amp;"P"&amp;AC$4)="N/A",0,RTD("tos.rtd",,"OPEN_INT","."&amp;$AB$3&amp;$AB$4&amp;"P"&amp;AC$4))*100</f>
        <v>0</v>
      </c>
      <c r="AD47" s="18">
        <f>MAX(0, $A47-AD$4)*IF(RTD("tos.rtd",,"OPEN_INT","."&amp;$AB$3&amp;$AB$4&amp;"C"&amp;AD$4)="N/A",0,RTD("tos.rtd",,"OPEN_INT","."&amp;$AB$3&amp;$AB$4&amp;"C"&amp;AD$4))*100 + MAX(0, AD$4-$A47)*IF(RTD("tos.rtd",,"OPEN_INT","."&amp;$AB$3&amp;$AB$4&amp;"P"&amp;AD$4)="N/A",0,RTD("tos.rtd",,"OPEN_INT","."&amp;$AB$3&amp;$AB$4&amp;"P"&amp;AD$4))*100</f>
        <v>0</v>
      </c>
      <c r="AE47" s="18">
        <f>MAX(0, $A47-AE$4)*IF(RTD("tos.rtd",,"OPEN_INT","."&amp;$AB$3&amp;$AB$4&amp;"C"&amp;AE$4)="N/A",0,RTD("tos.rtd",,"OPEN_INT","."&amp;$AB$3&amp;$AB$4&amp;"C"&amp;AE$4))*100 + MAX(0, AE$4-$A47)*IF(RTD("tos.rtd",,"OPEN_INT","."&amp;$AB$3&amp;$AB$4&amp;"P"&amp;AE$4)="N/A",0,RTD("tos.rtd",,"OPEN_INT","."&amp;$AB$3&amp;$AB$4&amp;"P"&amp;AE$4))*100</f>
        <v>0</v>
      </c>
      <c r="AF47" s="18">
        <f>MAX(0, $A47-AF$4)*IF(RTD("tos.rtd",,"OPEN_INT","."&amp;$AB$3&amp;$AB$4&amp;"C"&amp;AF$4)="N/A",0,RTD("tos.rtd",,"OPEN_INT","."&amp;$AB$3&amp;$AB$4&amp;"C"&amp;AF$4))*100 + MAX(0, AF$4-$A47)*IF(RTD("tos.rtd",,"OPEN_INT","."&amp;$AB$3&amp;$AB$4&amp;"P"&amp;AF$4)="N/A",0,RTD("tos.rtd",,"OPEN_INT","."&amp;$AB$3&amp;$AB$4&amp;"P"&amp;AF$4))*100</f>
        <v>0</v>
      </c>
      <c r="AG47" s="18">
        <f>MAX(0, $A47-AG$4)*IF(RTD("tos.rtd",,"OPEN_INT","."&amp;$AB$3&amp;$AB$4&amp;"C"&amp;AG$4)="N/A",0,RTD("tos.rtd",,"OPEN_INT","."&amp;$AB$3&amp;$AB$4&amp;"C"&amp;AG$4))*100 + MAX(0, AG$4-$A47)*IF(RTD("tos.rtd",,"OPEN_INT","."&amp;$AB$3&amp;$AB$4&amp;"P"&amp;AG$4)="N/A",0,RTD("tos.rtd",,"OPEN_INT","."&amp;$AB$3&amp;$AB$4&amp;"P"&amp;AG$4))*100</f>
        <v>0</v>
      </c>
      <c r="AH47" s="18">
        <f>MAX(0, $A47-AH$4)*IF(RTD("tos.rtd",,"OPEN_INT","."&amp;$AB$3&amp;$AB$4&amp;"C"&amp;AH$4)="N/A",0,RTD("tos.rtd",,"OPEN_INT","."&amp;$AB$3&amp;$AB$4&amp;"C"&amp;AH$4))*100 + MAX(0, AH$4-$A47)*IF(RTD("tos.rtd",,"OPEN_INT","."&amp;$AB$3&amp;$AB$4&amp;"P"&amp;AH$4)="N/A",0,RTD("tos.rtd",,"OPEN_INT","."&amp;$AB$3&amp;$AB$4&amp;"P"&amp;AH$4))*100</f>
        <v>0</v>
      </c>
      <c r="AI47" s="18">
        <f>MAX(0, $A47-AI$4)*IF(RTD("tos.rtd",,"OPEN_INT","."&amp;$AB$3&amp;$AB$4&amp;"C"&amp;AI$4)="N/A",0,RTD("tos.rtd",,"OPEN_INT","."&amp;$AB$3&amp;$AB$4&amp;"C"&amp;AI$4))*100 + MAX(0, AI$4-$A47)*IF(RTD("tos.rtd",,"OPEN_INT","."&amp;$AB$3&amp;$AB$4&amp;"P"&amp;AI$4)="N/A",0,RTD("tos.rtd",,"OPEN_INT","."&amp;$AB$3&amp;$AB$4&amp;"P"&amp;AI$4))*100</f>
        <v>0</v>
      </c>
      <c r="AJ47" s="18">
        <f>MAX(0, $A47-AJ$4)*IF(RTD("tos.rtd",,"OPEN_INT","."&amp;$AB$3&amp;$AB$4&amp;"C"&amp;AJ$4)="N/A",0,RTD("tos.rtd",,"OPEN_INT","."&amp;$AB$3&amp;$AB$4&amp;"C"&amp;AJ$4))*100 + MAX(0, AJ$4-$A47)*IF(RTD("tos.rtd",,"OPEN_INT","."&amp;$AB$3&amp;$AB$4&amp;"P"&amp;AJ$4)="N/A",0,RTD("tos.rtd",,"OPEN_INT","."&amp;$AB$3&amp;$AB$4&amp;"P"&amp;AJ$4))*100</f>
        <v>5250</v>
      </c>
      <c r="AK47" s="18">
        <f>MAX(0, $A47-AK$4)*IF(RTD("tos.rtd",,"OPEN_INT","."&amp;$AB$3&amp;$AB$4&amp;"C"&amp;AK$4)="N/A",0,RTD("tos.rtd",,"OPEN_INT","."&amp;$AB$3&amp;$AB$4&amp;"C"&amp;AK$4))*100 + MAX(0, AK$4-$A47)*IF(RTD("tos.rtd",,"OPEN_INT","."&amp;$AB$3&amp;$AB$4&amp;"P"&amp;AK$4)="N/A",0,RTD("tos.rtd",,"OPEN_INT","."&amp;$AB$3&amp;$AB$4&amp;"P"&amp;AK$4))*100</f>
        <v>13600</v>
      </c>
      <c r="AL47" s="18">
        <f>MAX(0, $A47-AL$4)*IF(RTD("tos.rtd",,"OPEN_INT","."&amp;$AB$3&amp;$AB$4&amp;"C"&amp;AL$4)="N/A",0,RTD("tos.rtd",,"OPEN_INT","."&amp;$AB$3&amp;$AB$4&amp;"C"&amp;AL$4))*100 + MAX(0, AL$4-$A47)*IF(RTD("tos.rtd",,"OPEN_INT","."&amp;$AB$3&amp;$AB$4&amp;"P"&amp;AL$4)="N/A",0,RTD("tos.rtd",,"OPEN_INT","."&amp;$AB$3&amp;$AB$4&amp;"P"&amp;AL$4))*100</f>
        <v>0</v>
      </c>
      <c r="AM47" s="18">
        <f>MAX(0, $A47-AM$4)*IF(RTD("tos.rtd",,"OPEN_INT","."&amp;$AB$3&amp;$AB$4&amp;"C"&amp;AM$4)="N/A",0,RTD("tos.rtd",,"OPEN_INT","."&amp;$AB$3&amp;$AB$4&amp;"C"&amp;AM$4))*100 + MAX(0, AM$4-$A47)*IF(RTD("tos.rtd",,"OPEN_INT","."&amp;$AB$3&amp;$AB$4&amp;"P"&amp;AM$4)="N/A",0,RTD("tos.rtd",,"OPEN_INT","."&amp;$AB$3&amp;$AB$4&amp;"P"&amp;AM$4))*100</f>
        <v>0</v>
      </c>
      <c r="AN47" s="18">
        <f>MAX(0, $A47-AN$4)*IF(RTD("tos.rtd",,"OPEN_INT","."&amp;$AB$3&amp;$AB$4&amp;"C"&amp;AN$4)="N/A",0,RTD("tos.rtd",,"OPEN_INT","."&amp;$AB$3&amp;$AB$4&amp;"C"&amp;AN$4))*100 + MAX(0, AN$4-$A47)*IF(RTD("tos.rtd",,"OPEN_INT","."&amp;$AB$3&amp;$AB$4&amp;"P"&amp;AN$4)="N/A",0,RTD("tos.rtd",,"OPEN_INT","."&amp;$AB$3&amp;$AB$4&amp;"P"&amp;AN$4))*100</f>
        <v>0</v>
      </c>
      <c r="AO47" s="18">
        <f>MAX(0, $A47-AO$4)*IF(RTD("tos.rtd",,"OPEN_INT","."&amp;$AB$3&amp;$AB$4&amp;"C"&amp;AO$4)="N/A",0,RTD("tos.rtd",,"OPEN_INT","."&amp;$AB$3&amp;$AB$4&amp;"C"&amp;AO$4))*100 + MAX(0, AO$4-$A47)*IF(RTD("tos.rtd",,"OPEN_INT","."&amp;$AB$3&amp;$AB$4&amp;"P"&amp;AO$4)="N/A",0,RTD("tos.rtd",,"OPEN_INT","."&amp;$AB$3&amp;$AB$4&amp;"P"&amp;AO$4))*100</f>
        <v>0</v>
      </c>
      <c r="AP47" s="18">
        <f>MAX(0, $A47-AP$4)*IF(RTD("tos.rtd",,"OPEN_INT","."&amp;$AB$3&amp;$AB$4&amp;"C"&amp;AP$4)="N/A",0,RTD("tos.rtd",,"OPEN_INT","."&amp;$AB$3&amp;$AB$4&amp;"C"&amp;AP$4))*100 + MAX(0, AP$4-$A47)*IF(RTD("tos.rtd",,"OPEN_INT","."&amp;$AB$3&amp;$AB$4&amp;"P"&amp;AP$4)="N/A",0,RTD("tos.rtd",,"OPEN_INT","."&amp;$AB$3&amp;$AB$4&amp;"P"&amp;AP$4))*100</f>
        <v>174000</v>
      </c>
      <c r="AQ47" s="18">
        <f>MAX(0, $A47-AQ$4)*IF(RTD("tos.rtd",,"OPEN_INT","."&amp;$AB$3&amp;$AB$4&amp;"C"&amp;AQ$4)="N/A",0,RTD("tos.rtd",,"OPEN_INT","."&amp;$AB$3&amp;$AB$4&amp;"C"&amp;AQ$4))*100 + MAX(0, AQ$4-$A47)*IF(RTD("tos.rtd",,"OPEN_INT","."&amp;$AB$3&amp;$AB$4&amp;"P"&amp;AQ$4)="N/A",0,RTD("tos.rtd",,"OPEN_INT","."&amp;$AB$3&amp;$AB$4&amp;"P"&amp;AQ$4))*100</f>
        <v>0</v>
      </c>
      <c r="AR47" s="18">
        <f>MAX(0, $A47-AR$4)*IF(RTD("tos.rtd",,"OPEN_INT","."&amp;$AB$3&amp;$AB$4&amp;"C"&amp;AR$4)="N/A",0,RTD("tos.rtd",,"OPEN_INT","."&amp;$AB$3&amp;$AB$4&amp;"C"&amp;AR$4))*100 + MAX(0, AR$4-$A47)*IF(RTD("tos.rtd",,"OPEN_INT","."&amp;$AB$3&amp;$AB$4&amp;"P"&amp;AR$4)="N/A",0,RTD("tos.rtd",,"OPEN_INT","."&amp;$AB$3&amp;$AB$4&amp;"P"&amp;AR$4))*100</f>
        <v>71550</v>
      </c>
      <c r="AS47" s="18">
        <f>MAX(0, $A47-AS$4)*IF(RTD("tos.rtd",,"OPEN_INT","."&amp;$AB$3&amp;$AB$4&amp;"C"&amp;AS$4)="N/A",0,RTD("tos.rtd",,"OPEN_INT","."&amp;$AB$3&amp;$AB$4&amp;"C"&amp;AS$4))*100 + MAX(0, AS$4-$A47)*IF(RTD("tos.rtd",,"OPEN_INT","."&amp;$AB$3&amp;$AB$4&amp;"P"&amp;AS$4)="N/A",0,RTD("tos.rtd",,"OPEN_INT","."&amp;$AB$3&amp;$AB$4&amp;"P"&amp;AS$4))*100</f>
        <v>7800</v>
      </c>
      <c r="AT47" s="18">
        <f>MAX(0, $A47-AT$4)*IF(RTD("tos.rtd",,"OPEN_INT","."&amp;$AB$3&amp;$AB$4&amp;"C"&amp;AT$4)="N/A",0,RTD("tos.rtd",,"OPEN_INT","."&amp;$AB$3&amp;$AB$4&amp;"C"&amp;AT$4))*100 + MAX(0, AT$4-$A47)*IF(RTD("tos.rtd",,"OPEN_INT","."&amp;$AB$3&amp;$AB$4&amp;"P"&amp;AT$4)="N/A",0,RTD("tos.rtd",,"OPEN_INT","."&amp;$AB$3&amp;$AB$4&amp;"P"&amp;AT$4))*100</f>
        <v>77500</v>
      </c>
      <c r="AU47" s="18">
        <f>MAX(0, $A47-AU$4)*IF(RTD("tos.rtd",,"OPEN_INT","."&amp;$AB$3&amp;$AB$4&amp;"C"&amp;AU$4)="N/A",0,RTD("tos.rtd",,"OPEN_INT","."&amp;$AB$3&amp;$AB$4&amp;"C"&amp;AU$4))*100 + MAX(0, AU$4-$A47)*IF(RTD("tos.rtd",,"OPEN_INT","."&amp;$AB$3&amp;$AB$4&amp;"P"&amp;AU$4)="N/A",0,RTD("tos.rtd",,"OPEN_INT","."&amp;$AB$3&amp;$AB$4&amp;"P"&amp;AU$4))*100</f>
        <v>84000</v>
      </c>
      <c r="AV47" s="18">
        <f>MAX(0, $A47-AV$4)*IF(RTD("tos.rtd",,"OPEN_INT","."&amp;$AB$3&amp;$AB$4&amp;"C"&amp;AV$4)="N/A",0,RTD("tos.rtd",,"OPEN_INT","."&amp;$AB$3&amp;$AB$4&amp;"C"&amp;AV$4))*100 + MAX(0, AV$4-$A47)*IF(RTD("tos.rtd",,"OPEN_INT","."&amp;$AB$3&amp;$AB$4&amp;"P"&amp;AV$4)="N/A",0,RTD("tos.rtd",,"OPEN_INT","."&amp;$AB$3&amp;$AB$4&amp;"P"&amp;AV$4))*100</f>
        <v>46000</v>
      </c>
      <c r="AW47" s="18">
        <f>MAX(0, $A47-AW$4)*IF(RTD("tos.rtd",,"OPEN_INT","."&amp;$AB$3&amp;$AB$4&amp;"C"&amp;AW$4)="N/A",0,RTD("tos.rtd",,"OPEN_INT","."&amp;$AB$3&amp;$AB$4&amp;"C"&amp;AW$4))*100 + MAX(0, AW$4-$A47)*IF(RTD("tos.rtd",,"OPEN_INT","."&amp;$AB$3&amp;$AB$4&amp;"P"&amp;AW$4)="N/A",0,RTD("tos.rtd",,"OPEN_INT","."&amp;$AB$3&amp;$AB$4&amp;"P"&amp;AW$4))*100</f>
        <v>177100</v>
      </c>
      <c r="AX47" s="18">
        <f>MAX(0, $A47-AX$4)*IF(RTD("tos.rtd",,"OPEN_INT","."&amp;$AB$3&amp;$AB$4&amp;"C"&amp;AX$4)="N/A",0,RTD("tos.rtd",,"OPEN_INT","."&amp;$AB$3&amp;$AB$4&amp;"C"&amp;AX$4))*100 + MAX(0, AX$4-$A47)*IF(RTD("tos.rtd",,"OPEN_INT","."&amp;$AB$3&amp;$AB$4&amp;"P"&amp;AX$4)="N/A",0,RTD("tos.rtd",,"OPEN_INT","."&amp;$AB$3&amp;$AB$4&amp;"P"&amp;AX$4))*100</f>
        <v>212100</v>
      </c>
      <c r="AY47" s="18">
        <f>MAX(0, $A47-AY$4)*IF(RTD("tos.rtd",,"OPEN_INT","."&amp;$AB$3&amp;$AB$4&amp;"C"&amp;AY$4)="N/A",0,RTD("tos.rtd",,"OPEN_INT","."&amp;$AB$3&amp;$AB$4&amp;"C"&amp;AY$4))*100 + MAX(0, AY$4-$A47)*IF(RTD("tos.rtd",,"OPEN_INT","."&amp;$AB$3&amp;$AB$4&amp;"P"&amp;AY$4)="N/A",0,RTD("tos.rtd",,"OPEN_INT","."&amp;$AB$3&amp;$AB$4&amp;"P"&amp;AY$4))*100</f>
        <v>247000</v>
      </c>
      <c r="AZ47" s="18">
        <f>MAX(0, $A47-AZ$4)*IF(RTD("tos.rtd",,"OPEN_INT","."&amp;$AB$3&amp;$AB$4&amp;"C"&amp;AZ$4)="N/A",0,RTD("tos.rtd",,"OPEN_INT","."&amp;$AB$3&amp;$AB$4&amp;"C"&amp;AZ$4))*100 + MAX(0, AZ$4-$A47)*IF(RTD("tos.rtd",,"OPEN_INT","."&amp;$AB$3&amp;$AB$4&amp;"P"&amp;AZ$4)="N/A",0,RTD("tos.rtd",,"OPEN_INT","."&amp;$AB$3&amp;$AB$4&amp;"P"&amp;AZ$4))*100</f>
        <v>1970300</v>
      </c>
      <c r="BA47" s="18">
        <f>MAX(0, $A47-BA$4)*IF(RTD("tos.rtd",,"OPEN_INT","."&amp;$AB$3&amp;$AB$4&amp;"C"&amp;BA$4)="N/A",0,RTD("tos.rtd",,"OPEN_INT","."&amp;$AB$3&amp;$AB$4&amp;"C"&amp;BA$4))*100 + MAX(0, BA$4-$A47)*IF(RTD("tos.rtd",,"OPEN_INT","."&amp;$AB$3&amp;$AB$4&amp;"P"&amp;BA$4)="N/A",0,RTD("tos.rtd",,"OPEN_INT","."&amp;$AB$3&amp;$AB$4&amp;"P"&amp;BA$4))*100</f>
        <v>511200</v>
      </c>
      <c r="BB47" s="18">
        <f>MAX(0, $A47-BB$4)*IF(RTD("tos.rtd",,"OPEN_INT","."&amp;$AB$3&amp;$AB$4&amp;"C"&amp;BB$4)="N/A",0,RTD("tos.rtd",,"OPEN_INT","."&amp;$AB$3&amp;$AB$4&amp;"C"&amp;BB$4))*100 + MAX(0, BB$4-$A47)*IF(RTD("tos.rtd",,"OPEN_INT","."&amp;$AB$3&amp;$AB$4&amp;"P"&amp;BB$4)="N/A",0,RTD("tos.rtd",,"OPEN_INT","."&amp;$AB$3&amp;$AB$4&amp;"P"&amp;BB$4))*100</f>
        <v>1989000</v>
      </c>
      <c r="BC47" s="18">
        <f>MAX(0, $A47-BC$4)*IF(RTD("tos.rtd",,"OPEN_INT","."&amp;$AB$3&amp;$AB$4&amp;"C"&amp;BC$4)="N/A",0,RTD("tos.rtd",,"OPEN_INT","."&amp;$AB$3&amp;$AB$4&amp;"C"&amp;BC$4))*100 + MAX(0, BC$4-$A47)*IF(RTD("tos.rtd",,"OPEN_INT","."&amp;$AB$3&amp;$AB$4&amp;"P"&amp;BC$4)="N/A",0,RTD("tos.rtd",,"OPEN_INT","."&amp;$AB$3&amp;$AB$4&amp;"P"&amp;BC$4))*100</f>
        <v>1827200</v>
      </c>
      <c r="BD47" s="18">
        <f>MAX(0, $A47-BD$4)*IF(RTD("tos.rtd",,"OPEN_INT","."&amp;$AB$3&amp;$AB$4&amp;"C"&amp;BD$4)="N/A",0,RTD("tos.rtd",,"OPEN_INT","."&amp;$AB$3&amp;$AB$4&amp;"C"&amp;BD$4))*100 + MAX(0, BD$4-$A47)*IF(RTD("tos.rtd",,"OPEN_INT","."&amp;$AB$3&amp;$AB$4&amp;"P"&amp;BD$4)="N/A",0,RTD("tos.rtd",,"OPEN_INT","."&amp;$AB$3&amp;$AB$4&amp;"P"&amp;BD$4))*100</f>
        <v>5738250</v>
      </c>
      <c r="BE47" s="18">
        <f>MAX(0, $A47-BE$4)*IF(RTD("tos.rtd",,"OPEN_INT","."&amp;$AB$3&amp;$AB$4&amp;"C"&amp;BE$4)="N/A",0,RTD("tos.rtd",,"OPEN_INT","."&amp;$AB$3&amp;$AB$4&amp;"C"&amp;BE$4))*100 + MAX(0, BE$4-$A47)*IF(RTD("tos.rtd",,"OPEN_INT","."&amp;$AB$3&amp;$AB$4&amp;"P"&amp;BE$4)="N/A",0,RTD("tos.rtd",,"OPEN_INT","."&amp;$AB$3&amp;$AB$4&amp;"P"&amp;BE$4))*100</f>
        <v>6874700</v>
      </c>
      <c r="BF47" s="18">
        <f>MAX(0, $A47-BF$4)*IF(RTD("tos.rtd",,"OPEN_INT","."&amp;$AB$3&amp;$AB$4&amp;"C"&amp;BF$4)="N/A",0,RTD("tos.rtd",,"OPEN_INT","."&amp;$AB$3&amp;$AB$4&amp;"C"&amp;BF$4))*100 + MAX(0, BF$4-$A47)*IF(RTD("tos.rtd",,"OPEN_INT","."&amp;$AB$3&amp;$AB$4&amp;"P"&amp;BF$4)="N/A",0,RTD("tos.rtd",,"OPEN_INT","."&amp;$AB$3&amp;$AB$4&amp;"P"&amp;BF$4))*100</f>
        <v>7225400</v>
      </c>
      <c r="BG47" s="18">
        <f>MAX(0, $A47-BG$4)*IF(RTD("tos.rtd",,"OPEN_INT","."&amp;$AB$3&amp;$AB$4&amp;"C"&amp;BG$4)="N/A",0,RTD("tos.rtd",,"OPEN_INT","."&amp;$AB$3&amp;$AB$4&amp;"C"&amp;BG$4))*100 + MAX(0, BG$4-$A47)*IF(RTD("tos.rtd",,"OPEN_INT","."&amp;$AB$3&amp;$AB$4&amp;"P"&amp;BG$4)="N/A",0,RTD("tos.rtd",,"OPEN_INT","."&amp;$AB$3&amp;$AB$4&amp;"P"&amp;BG$4))*100</f>
        <v>8345400</v>
      </c>
      <c r="BH47" s="18">
        <f>MAX(0, $A47-BH$4)*IF(RTD("tos.rtd",,"OPEN_INT","."&amp;$AB$3&amp;$AB$4&amp;"C"&amp;BH$4)="N/A",0,RTD("tos.rtd",,"OPEN_INT","."&amp;$AB$3&amp;$AB$4&amp;"C"&amp;BH$4))*100 + MAX(0, BH$4-$A47)*IF(RTD("tos.rtd",,"OPEN_INT","."&amp;$AB$3&amp;$AB$4&amp;"P"&amp;BH$4)="N/A",0,RTD("tos.rtd",,"OPEN_INT","."&amp;$AB$3&amp;$AB$4&amp;"P"&amp;BH$4))*100</f>
        <v>4991250</v>
      </c>
      <c r="BI47" s="18">
        <f>MAX(0, $A47-BI$4)*IF(RTD("tos.rtd",,"OPEN_INT","."&amp;$AB$3&amp;$AB$4&amp;"C"&amp;BI$4)="N/A",0,RTD("tos.rtd",,"OPEN_INT","."&amp;$AB$3&amp;$AB$4&amp;"C"&amp;BI$4))*100 + MAX(0, BI$4-$A47)*IF(RTD("tos.rtd",,"OPEN_INT","."&amp;$AB$3&amp;$AB$4&amp;"P"&amp;BI$4)="N/A",0,RTD("tos.rtd",,"OPEN_INT","."&amp;$AB$3&amp;$AB$4&amp;"P"&amp;BI$4))*100</f>
        <v>3211500</v>
      </c>
      <c r="BJ47" s="18">
        <f>MAX(0, $A47-BJ$4)*IF(RTD("tos.rtd",,"OPEN_INT","."&amp;$AB$3&amp;$AB$4&amp;"C"&amp;BJ$4)="N/A",0,RTD("tos.rtd",,"OPEN_INT","."&amp;$AB$3&amp;$AB$4&amp;"C"&amp;BJ$4))*100 + MAX(0, BJ$4-$A47)*IF(RTD("tos.rtd",,"OPEN_INT","."&amp;$AB$3&amp;$AB$4&amp;"P"&amp;BJ$4)="N/A",0,RTD("tos.rtd",,"OPEN_INT","."&amp;$AB$3&amp;$AB$4&amp;"P"&amp;BJ$4))*100</f>
        <v>3611250</v>
      </c>
      <c r="BK47" s="18">
        <f>MAX(0, $A47-BK$4)*IF(RTD("tos.rtd",,"OPEN_INT","."&amp;$AB$3&amp;$AB$4&amp;"C"&amp;BK$4)="N/A",0,RTD("tos.rtd",,"OPEN_INT","."&amp;$AB$3&amp;$AB$4&amp;"C"&amp;BK$4))*100 + MAX(0, BK$4-$A47)*IF(RTD("tos.rtd",,"OPEN_INT","."&amp;$AB$3&amp;$AB$4&amp;"P"&amp;BK$4)="N/A",0,RTD("tos.rtd",,"OPEN_INT","."&amp;$AB$3&amp;$AB$4&amp;"P"&amp;BK$4))*100</f>
        <v>873200</v>
      </c>
      <c r="BL47" s="18">
        <f>MAX(0, $A47-BL$4)*IF(RTD("tos.rtd",,"OPEN_INT","."&amp;$AB$3&amp;$AB$4&amp;"C"&amp;BL$4)="N/A",0,RTD("tos.rtd",,"OPEN_INT","."&amp;$AB$3&amp;$AB$4&amp;"C"&amp;BL$4))*100 + MAX(0, BL$4-$A47)*IF(RTD("tos.rtd",,"OPEN_INT","."&amp;$AB$3&amp;$AB$4&amp;"P"&amp;BL$4)="N/A",0,RTD("tos.rtd",,"OPEN_INT","."&amp;$AB$3&amp;$AB$4&amp;"P"&amp;BL$4))*100</f>
        <v>819000</v>
      </c>
      <c r="BM47" s="18">
        <f>MAX(0, $A47-BM$4)*IF(RTD("tos.rtd",,"OPEN_INT","."&amp;$AB$3&amp;$AB$4&amp;"C"&amp;BM$4)="N/A",0,RTD("tos.rtd",,"OPEN_INT","."&amp;$AB$3&amp;$AB$4&amp;"C"&amp;BM$4))*100 + MAX(0, BM$4-$A47)*IF(RTD("tos.rtd",,"OPEN_INT","."&amp;$AB$3&amp;$AB$4&amp;"P"&amp;BM$4)="N/A",0,RTD("tos.rtd",,"OPEN_INT","."&amp;$AB$3&amp;$AB$4&amp;"P"&amp;BM$4))*100</f>
        <v>117600</v>
      </c>
      <c r="BN47" s="18">
        <f>MAX(0, $A47-BN$4)*IF(RTD("tos.rtd",,"OPEN_INT","."&amp;$AB$3&amp;$AB$4&amp;"C"&amp;BN$4)="N/A",0,RTD("tos.rtd",,"OPEN_INT","."&amp;$AB$3&amp;$AB$4&amp;"C"&amp;BN$4))*100 + MAX(0, BN$4-$A47)*IF(RTD("tos.rtd",,"OPEN_INT","."&amp;$AB$3&amp;$AB$4&amp;"P"&amp;BN$4)="N/A",0,RTD("tos.rtd",,"OPEN_INT","."&amp;$AB$3&amp;$AB$4&amp;"P"&amp;BN$4))*100</f>
        <v>108750</v>
      </c>
      <c r="BO47" s="18">
        <f>MAX(0, $A47-BO$4)*IF(RTD("tos.rtd",,"OPEN_INT","."&amp;$AB$3&amp;$AB$4&amp;"C"&amp;BO$4)="N/A",0,RTD("tos.rtd",,"OPEN_INT","."&amp;$AB$3&amp;$AB$4&amp;"C"&amp;BO$4))*100 + MAX(0, BO$4-$A47)*IF(RTD("tos.rtd",,"OPEN_INT","."&amp;$AB$3&amp;$AB$4&amp;"P"&amp;BO$4)="N/A",0,RTD("tos.rtd",,"OPEN_INT","."&amp;$AB$3&amp;$AB$4&amp;"P"&amp;BO$4))*100</f>
        <v>12600</v>
      </c>
      <c r="BP47" s="18">
        <f>MAX(0, $A47-BP$4)*IF(RTD("tos.rtd",,"OPEN_INT","."&amp;$AB$3&amp;$AB$4&amp;"C"&amp;BP$4)="N/A",0,RTD("tos.rtd",,"OPEN_INT","."&amp;$AB$3&amp;$AB$4&amp;"C"&amp;BP$4))*100 + MAX(0, BP$4-$A47)*IF(RTD("tos.rtd",,"OPEN_INT","."&amp;$AB$3&amp;$AB$4&amp;"P"&amp;BP$4)="N/A",0,RTD("tos.rtd",,"OPEN_INT","."&amp;$AB$3&amp;$AB$4&amp;"P"&amp;BP$4))*100</f>
        <v>66900</v>
      </c>
      <c r="BQ47" s="18">
        <f>MAX(0, $A47-BQ$4)*IF(RTD("tos.rtd",,"OPEN_INT","."&amp;$AB$3&amp;$AB$4&amp;"C"&amp;BQ$4)="N/A",0,RTD("tos.rtd",,"OPEN_INT","."&amp;$AB$3&amp;$AB$4&amp;"C"&amp;BQ$4))*100 + MAX(0, BQ$4-$A47)*IF(RTD("tos.rtd",,"OPEN_INT","."&amp;$AB$3&amp;$AB$4&amp;"P"&amp;BQ$4)="N/A",0,RTD("tos.rtd",,"OPEN_INT","."&amp;$AB$3&amp;$AB$4&amp;"P"&amp;BQ$4))*100</f>
        <v>0</v>
      </c>
      <c r="BR47" s="18">
        <f>MAX(0, $A47-BR$4)*IF(RTD("tos.rtd",,"OPEN_INT","."&amp;$AB$3&amp;$AB$4&amp;"C"&amp;BR$4)="N/A",0,RTD("tos.rtd",,"OPEN_INT","."&amp;$AB$3&amp;$AB$4&amp;"C"&amp;BR$4))*100 + MAX(0, BR$4-$A47)*IF(RTD("tos.rtd",,"OPEN_INT","."&amp;$AB$3&amp;$AB$4&amp;"P"&amp;BR$4)="N/A",0,RTD("tos.rtd",,"OPEN_INT","."&amp;$AB$3&amp;$AB$4&amp;"P"&amp;BR$4))*100</f>
        <v>0</v>
      </c>
      <c r="BS47" s="18">
        <f>MAX(0, $A47-BS$4)*IF(RTD("tos.rtd",,"OPEN_INT","."&amp;$AB$3&amp;$AB$4&amp;"C"&amp;BS$4)="N/A",0,RTD("tos.rtd",,"OPEN_INT","."&amp;$AB$3&amp;$AB$4&amp;"C"&amp;BS$4))*100 + MAX(0, BS$4-$A47)*IF(RTD("tos.rtd",,"OPEN_INT","."&amp;$AB$3&amp;$AB$4&amp;"P"&amp;BS$4)="N/A",0,RTD("tos.rtd",,"OPEN_INT","."&amp;$AB$3&amp;$AB$4&amp;"P"&amp;BS$4))*100</f>
        <v>0</v>
      </c>
      <c r="BT47" s="18">
        <f>MAX(0, $A47-BT$4)*IF(RTD("tos.rtd",,"OPEN_INT","."&amp;$AB$3&amp;$AB$4&amp;"C"&amp;BT$4)="N/A",0,RTD("tos.rtd",,"OPEN_INT","."&amp;$AB$3&amp;$AB$4&amp;"C"&amp;BT$4))*100 + MAX(0, BT$4-$A47)*IF(RTD("tos.rtd",,"OPEN_INT","."&amp;$AB$3&amp;$AB$4&amp;"P"&amp;BT$4)="N/A",0,RTD("tos.rtd",,"OPEN_INT","."&amp;$AB$3&amp;$AB$4&amp;"P"&amp;BT$4))*100</f>
        <v>0</v>
      </c>
      <c r="BU47" s="18">
        <f>MAX(0, $A47-BU$4)*IF(RTD("tos.rtd",,"OPEN_INT","."&amp;$AB$3&amp;$AB$4&amp;"C"&amp;BU$4)="N/A",0,RTD("tos.rtd",,"OPEN_INT","."&amp;$AB$3&amp;$AB$4&amp;"C"&amp;BU$4))*100 + MAX(0, BU$4-$A47)*IF(RTD("tos.rtd",,"OPEN_INT","."&amp;$AB$3&amp;$AB$4&amp;"P"&amp;BU$4)="N/A",0,RTD("tos.rtd",,"OPEN_INT","."&amp;$AB$3&amp;$AB$4&amp;"P"&amp;BU$4))*100</f>
        <v>0</v>
      </c>
      <c r="BV47" s="18">
        <f>MAX(0, $A47-BV$4)*IF(RTD("tos.rtd",,"OPEN_INT","."&amp;$AB$3&amp;$AB$4&amp;"C"&amp;BV$4)="N/A",0,RTD("tos.rtd",,"OPEN_INT","."&amp;$AB$3&amp;$AB$4&amp;"C"&amp;BV$4))*100 + MAX(0, BV$4-$A47)*IF(RTD("tos.rtd",,"OPEN_INT","."&amp;$AB$3&amp;$AB$4&amp;"P"&amp;BV$4)="N/A",0,RTD("tos.rtd",,"OPEN_INT","."&amp;$AB$3&amp;$AB$4&amp;"P"&amp;BV$4))*100</f>
        <v>0</v>
      </c>
      <c r="BW47" s="18">
        <f>MAX(0, $A47-BW$4)*IF(RTD("tos.rtd",,"OPEN_INT","."&amp;$AB$3&amp;$AB$4&amp;"C"&amp;BW$4)="N/A",0,RTD("tos.rtd",,"OPEN_INT","."&amp;$AB$3&amp;$AB$4&amp;"C"&amp;BW$4))*100 + MAX(0, BW$4-$A47)*IF(RTD("tos.rtd",,"OPEN_INT","."&amp;$AB$3&amp;$AB$4&amp;"P"&amp;BW$4)="N/A",0,RTD("tos.rtd",,"OPEN_INT","."&amp;$AB$3&amp;$AB$4&amp;"P"&amp;BW$4))*100</f>
        <v>0</v>
      </c>
    </row>
    <row r="48" spans="1:75" s="19" customFormat="1" ht="11.1" customHeight="1" thickBot="1" x14ac:dyDescent="0.3">
      <c r="A48" s="23">
        <f t="shared" si="12"/>
        <v>0</v>
      </c>
      <c r="B48" s="14">
        <f ca="1">IF($A$2="PREMIUM_OI",IFERROR(IF($X$1="ABS",(100*RTD("tos.rtd",,"OPEN_INT","."&amp;B$2&amp;B$1&amp;"C"&amp;$A48)*RTD("tos.rtd",,"LAST","."&amp;B$2&amp;B$1&amp;"C"&amp;$A48)+100*RTD("tos.rtd",,"OPEN_INT","."&amp;B$2&amp;B$1&amp;"P"&amp;$A48)*RTD("tos.rtd",,"LAST","."&amp;B$2&amp;B$1&amp;"P"&amp;$A48))/1000000,(100*RTD("tos.rtd",,"OPEN_INT","."&amp;B$2&amp;B$1&amp;"C"&amp;$A48)*RTD("tos.rtd",,"LAST","."&amp;B$2&amp;B$1&amp;"C"&amp;$A48)-100*RTD("tos.rtd",,"OPEN_INT","."&amp;B$2&amp;B$1&amp;"P"&amp;$A48)*RTD("tos.rtd",,"LAST","."&amp;B$2&amp;B$1&amp;"P"&amp;$A48))/1000000),0),IF($A$2="PREMIUM",IFERROR(IF($X$1="ABS",(100*RTD("tos.rtd",,"VOLUME","."&amp;B$2&amp;B$1&amp;"C"&amp;$A48)*RTD("tos.rtd",,"LAST","."&amp;B$2&amp;B$1&amp;"C"&amp;$A48)+100*RTD("tos.rtd",,"VOLUME","."&amp;B$2&amp;B$1&amp;"P"&amp;$A48)*RTD("tos.rtd",,"LAST","."&amp;B$2&amp;B$1&amp;"P"&amp;$A48))/1000000,(100*RTD("tos.rtd",,"VOLUME","."&amp;B$2&amp;B$1&amp;"C"&amp;$A48)*RTD("tos.rtd",,"LAST","."&amp;B$2&amp;B$1&amp;"C"&amp;$A48)-100*RTD("tos.rtd",,"VOLUME","."&amp;B$2&amp;B$1&amp;"P"&amp;$A48)*RTD("tos.rtd",,"LAST","."&amp;B$2&amp;B$1&amp;"P"&amp;$A48))/1000000),0),IF($A$2="DEX",IFERROR(IF($X$1="ABS",(100*RTD("tos.rtd",,"OPEN_INT","."&amp;B$2&amp;B$1&amp;"C"&amp;$A48)*RTD("tos.rtd",,"DELTA","."&amp;B$2&amp;B$1&amp;"C"&amp;$A48)+100*RTD("tos.rtd",,"OPEN_INT","."&amp;B$2&amp;B$1&amp;"P"&amp;$A48)*RTD("tos.rtd",,"DELTA","."&amp;B$2&amp;B$1&amp;"P"&amp;$A48))/1000,(100*RTD("tos.rtd",,"OPEN_INT","."&amp;B$2&amp;B$1&amp;"C"&amp;$A48)*RTD("tos.rtd",,"DELTA","."&amp;B$2&amp;B$1&amp;"C"&amp;$A48)-100*RTD("tos.rtd",,"OPEN_INT","."&amp;B$2&amp;B$1&amp;"P"&amp;$A48)*RTD("tos.rtd",,"DELTA","."&amp;B$2&amp;B$1&amp;"P"&amp;$A48))/1000),0),IF($A$2="VEX",IFERROR(IF($X$1="ABS",($A$4*$A$4*RTD("tos.rtd",,"VOLUME","."&amp;B$2&amp;B$1&amp;"C"&amp;$A48)*RTD("tos.rtd",,"GAMMA","."&amp;B$2&amp;B$1&amp;"C"&amp;$A48)+$A$4*$A$4*RTD("tos.rtd",,"VOLUME","."&amp;B$2&amp;B$1&amp;"P"&amp;$A48)*RTD("tos.rtd",,"GAMMA","."&amp;B$2&amp;B$1&amp;"P"&amp;$A48))/1000000,($A$4*$A$4*RTD("tos.rtd",,"VOLUME","."&amp;B$2&amp;B$1&amp;"C"&amp;$A48)*RTD("tos.rtd",,"GAMMA","."&amp;B$2&amp;B$1&amp;"C"&amp;$A48)-$A$4*$A$4*RTD("tos.rtd",,"VOLUME","."&amp;B$2&amp;B$1&amp;"P"&amp;$A48)*RTD("tos.rtd",,"GAMMA","."&amp;B$2&amp;B$1&amp;"P"&amp;$A48))/1000000),0),IF($A$2="GEX",IFERROR(IF($X$1="ABS",($A$4*$A$4*RTD("tos.rtd",,"OPEN_INT","."&amp;B$2&amp;B$1&amp;"C"&amp;$A48)*RTD("tos.rtd",,"GAMMA","."&amp;B$2&amp;B$1&amp;"C"&amp;$A48)+$A$4*$A$4*RTD("tos.rtd",,"OPEN_INT","."&amp;B$2&amp;B$1&amp;"P"&amp;$A48)*RTD("tos.rtd",,"GAMMA","."&amp;B$2&amp;B$1&amp;"P"&amp;$A48))/1000000,($A$4*$A$4*RTD("tos.rtd",,"OPEN_INT","."&amp;B$2&amp;B$1&amp;"C"&amp;$A48)*RTD("tos.rtd",,"GAMMA","."&amp;B$2&amp;B$1&amp;"C"&amp;$A48)-$A$4*$A$4*RTD("tos.rtd",,"OPEN_INT","."&amp;B$2&amp;B$1&amp;"P"&amp;$A48)*RTD("tos.rtd",,"GAMMA","."&amp;B$2&amp;B$1&amp;"P"&amp;$A48))/1000000),0),IF($A$2="SKEW",IFERROR(VALUE(IF(RTD("tos.rtd",,"IMPL_VOL","."&amp;B$2&amp;B$1&amp;"P"&amp;$A48)="N/A",0,RTD("tos.rtd",,"IMPL_VOL","."&amp;B$2&amp;B$1&amp;"P"&amp;$A48))),0)-IFERROR(VALUE(IF(RTD("tos.rtd",,"IMPL_VOL","."&amp;B$2&amp;B$1&amp;"C"&amp;$A48)="N/A",0,RTD("tos.rtd",,"IMPL_VOL","."&amp;B$2&amp;B$1&amp;"C"&amp;$A48))),0),IF($A$2="MAXPAIN",IF($A$4&gt;$A48,($A$4-$A48)*IF(RTD("tos.rtd",,"OPEN_INT","."&amp;B$2&amp;B$1&amp;"C"&amp;$A48)="N/A",0,RTD("tos.rtd",,"OPEN_INT","."&amp;B$2&amp;B$1&amp;"C"&amp;$A48)),0)+IF($A$4&lt;$A48,($A$5-$A$4)*IF(RTD("tos.rtd",,"OPEN_INT","."&amp;B$2&amp;B$1&amp;"P"&amp;$A48)="N/A",0,RTD("tos.rtd",,"OPEN_INT","."&amp;B$2&amp;B$1&amp;"P"&amp;$A48)),0),IF($X$1="ABS",IF(RTD("tos.rtd",,$A$2,"."&amp;B$2&amp;B$1&amp;"C"&amp;$A48)="N/A",0,RTD("tos.rtd",,$A$2,"."&amp;B$2&amp;B$1&amp;"C"&amp;$A48))+IF(RTD("tos.rtd",,$A$2,"."&amp;B$2&amp;B$1&amp;"P"&amp;$A48)="N/A",0,RTD("tos.rtd",,$A$2,"."&amp;B$2&amp;B$1&amp;"P"&amp;$A48)),IF(RTD("tos.rtd",,$A$2,"."&amp;B$2&amp;B$1&amp;"C"&amp;$A48)="N/A",0,RTD("tos.rtd",,$A$2,"."&amp;B$2&amp;B$1&amp;"C"&amp;$A48))-IF(RTD("tos.rtd",,$A$2,"."&amp;B$2&amp;B$1&amp;"P"&amp;$A48)="N/A",0,RTD("tos.rtd",,$A$2,"."&amp;B$2&amp;B$1&amp;"P"&amp;$A48))))))))))</f>
        <v>0</v>
      </c>
      <c r="C48" s="14">
        <f ca="1">IF($A$2="PREMIUM_OI",IFERROR(IF($X$1="ABS",(100*RTD("tos.rtd",,"OPEN_INT","."&amp;C$2&amp;C$1&amp;"C"&amp;$A48)*RTD("tos.rtd",,"LAST","."&amp;C$2&amp;C$1&amp;"C"&amp;$A48)+100*RTD("tos.rtd",,"OPEN_INT","."&amp;C$2&amp;C$1&amp;"P"&amp;$A48)*RTD("tos.rtd",,"LAST","."&amp;C$2&amp;C$1&amp;"P"&amp;$A48))/1000000,(100*RTD("tos.rtd",,"OPEN_INT","."&amp;C$2&amp;C$1&amp;"C"&amp;$A48)*RTD("tos.rtd",,"LAST","."&amp;C$2&amp;C$1&amp;"C"&amp;$A48)-100*RTD("tos.rtd",,"OPEN_INT","."&amp;C$2&amp;C$1&amp;"P"&amp;$A48)*RTD("tos.rtd",,"LAST","."&amp;C$2&amp;C$1&amp;"P"&amp;$A48))/1000000),0),IF($A$2="PREMIUM",IFERROR(IF($X$1="ABS",(100*RTD("tos.rtd",,"VOLUME","."&amp;C$2&amp;C$1&amp;"C"&amp;$A48)*RTD("tos.rtd",,"LAST","."&amp;C$2&amp;C$1&amp;"C"&amp;$A48)+100*RTD("tos.rtd",,"VOLUME","."&amp;C$2&amp;C$1&amp;"P"&amp;$A48)*RTD("tos.rtd",,"LAST","."&amp;C$2&amp;C$1&amp;"P"&amp;$A48))/1000000,(100*RTD("tos.rtd",,"VOLUME","."&amp;C$2&amp;C$1&amp;"C"&amp;$A48)*RTD("tos.rtd",,"LAST","."&amp;C$2&amp;C$1&amp;"C"&amp;$A48)-100*RTD("tos.rtd",,"VOLUME","."&amp;C$2&amp;C$1&amp;"P"&amp;$A48)*RTD("tos.rtd",,"LAST","."&amp;C$2&amp;C$1&amp;"P"&amp;$A48))/1000000),0),IF($A$2="DEX",IFERROR(IF($X$1="ABS",(100*RTD("tos.rtd",,"OPEN_INT","."&amp;C$2&amp;C$1&amp;"C"&amp;$A48)*RTD("tos.rtd",,"DELTA","."&amp;C$2&amp;C$1&amp;"C"&amp;$A48)+100*RTD("tos.rtd",,"OPEN_INT","."&amp;C$2&amp;C$1&amp;"P"&amp;$A48)*RTD("tos.rtd",,"DELTA","."&amp;C$2&amp;C$1&amp;"P"&amp;$A48))/1000,(100*RTD("tos.rtd",,"OPEN_INT","."&amp;C$2&amp;C$1&amp;"C"&amp;$A48)*RTD("tos.rtd",,"DELTA","."&amp;C$2&amp;C$1&amp;"C"&amp;$A48)-100*RTD("tos.rtd",,"OPEN_INT","."&amp;C$2&amp;C$1&amp;"P"&amp;$A48)*RTD("tos.rtd",,"DELTA","."&amp;C$2&amp;C$1&amp;"P"&amp;$A48))/1000),0),IF($A$2="VEX",IFERROR(IF($X$1="ABS",($A$4*$A$4*RTD("tos.rtd",,"VOLUME","."&amp;C$2&amp;C$1&amp;"C"&amp;$A48)*RTD("tos.rtd",,"GAMMA","."&amp;C$2&amp;C$1&amp;"C"&amp;$A48)+$A$4*$A$4*RTD("tos.rtd",,"VOLUME","."&amp;C$2&amp;C$1&amp;"P"&amp;$A48)*RTD("tos.rtd",,"GAMMA","."&amp;C$2&amp;C$1&amp;"P"&amp;$A48))/1000000,($A$4*$A$4*RTD("tos.rtd",,"VOLUME","."&amp;C$2&amp;C$1&amp;"C"&amp;$A48)*RTD("tos.rtd",,"GAMMA","."&amp;C$2&amp;C$1&amp;"C"&amp;$A48)-$A$4*$A$4*RTD("tos.rtd",,"VOLUME","."&amp;C$2&amp;C$1&amp;"P"&amp;$A48)*RTD("tos.rtd",,"GAMMA","."&amp;C$2&amp;C$1&amp;"P"&amp;$A48))/1000000),0),IF($A$2="GEX",IFERROR(IF($X$1="ABS",($A$4*$A$4*RTD("tos.rtd",,"OPEN_INT","."&amp;C$2&amp;C$1&amp;"C"&amp;$A48)*RTD("tos.rtd",,"GAMMA","."&amp;C$2&amp;C$1&amp;"C"&amp;$A48)+$A$4*$A$4*RTD("tos.rtd",,"OPEN_INT","."&amp;C$2&amp;C$1&amp;"P"&amp;$A48)*RTD("tos.rtd",,"GAMMA","."&amp;C$2&amp;C$1&amp;"P"&amp;$A48))/1000000,($A$4*$A$4*RTD("tos.rtd",,"OPEN_INT","."&amp;C$2&amp;C$1&amp;"C"&amp;$A48)*RTD("tos.rtd",,"GAMMA","."&amp;C$2&amp;C$1&amp;"C"&amp;$A48)-$A$4*$A$4*RTD("tos.rtd",,"OPEN_INT","."&amp;C$2&amp;C$1&amp;"P"&amp;$A48)*RTD("tos.rtd",,"GAMMA","."&amp;C$2&amp;C$1&amp;"P"&amp;$A48))/1000000),0),IF($A$2="SKEW",IFERROR(VALUE(IF(RTD("tos.rtd",,"IMPL_VOL","."&amp;C$2&amp;C$1&amp;"P"&amp;$A48)="N/A",0,RTD("tos.rtd",,"IMPL_VOL","."&amp;C$2&amp;C$1&amp;"P"&amp;$A48))),0)-IFERROR(VALUE(IF(RTD("tos.rtd",,"IMPL_VOL","."&amp;C$2&amp;C$1&amp;"C"&amp;$A48)="N/A",0,RTD("tos.rtd",,"IMPL_VOL","."&amp;C$2&amp;C$1&amp;"C"&amp;$A48))),0),IF($A$2="MAXPAIN",IF($A$4&gt;$A48,($A$4-$A48)*IF(RTD("tos.rtd",,"OPEN_INT","."&amp;C$2&amp;C$1&amp;"C"&amp;$A48)="N/A",0,RTD("tos.rtd",,"OPEN_INT","."&amp;C$2&amp;C$1&amp;"C"&amp;$A48)),0)+IF($A$4&lt;$A48,($A$5-$A$4)*IF(RTD("tos.rtd",,"OPEN_INT","."&amp;C$2&amp;C$1&amp;"P"&amp;$A48)="N/A",0,RTD("tos.rtd",,"OPEN_INT","."&amp;C$2&amp;C$1&amp;"P"&amp;$A48)),0),IF($X$1="ABS",IF(RTD("tos.rtd",,$A$2,"."&amp;C$2&amp;C$1&amp;"C"&amp;$A48)="N/A",0,RTD("tos.rtd",,$A$2,"."&amp;C$2&amp;C$1&amp;"C"&amp;$A48))+IF(RTD("tos.rtd",,$A$2,"."&amp;C$2&amp;C$1&amp;"P"&amp;$A48)="N/A",0,RTD("tos.rtd",,$A$2,"."&amp;C$2&amp;C$1&amp;"P"&amp;$A48)),IF(RTD("tos.rtd",,$A$2,"."&amp;C$2&amp;C$1&amp;"C"&amp;$A48)="N/A",0,RTD("tos.rtd",,$A$2,"."&amp;C$2&amp;C$1&amp;"C"&amp;$A48))-IF(RTD("tos.rtd",,$A$2,"."&amp;C$2&amp;C$1&amp;"P"&amp;$A48)="N/A",0,RTD("tos.rtd",,$A$2,"."&amp;C$2&amp;C$1&amp;"P"&amp;$A48))))))))))</f>
        <v>0</v>
      </c>
      <c r="D48" s="12">
        <f ca="1">IF($A$2="PREMIUM_OI",IFERROR(IF($X$1="ABS",(100*RTD("tos.rtd",,"OPEN_INT","."&amp;D$2&amp;D$1&amp;"C"&amp;$A48)*RTD("tos.rtd",,"LAST","."&amp;D$2&amp;D$1&amp;"C"&amp;$A48)+100*RTD("tos.rtd",,"OPEN_INT","."&amp;D$2&amp;D$1&amp;"P"&amp;$A48)*RTD("tos.rtd",,"LAST","."&amp;D$2&amp;D$1&amp;"P"&amp;$A48))/1000000,(100*RTD("tos.rtd",,"OPEN_INT","."&amp;D$2&amp;D$1&amp;"C"&amp;$A48)*RTD("tos.rtd",,"LAST","."&amp;D$2&amp;D$1&amp;"C"&amp;$A48)-100*RTD("tos.rtd",,"OPEN_INT","."&amp;D$2&amp;D$1&amp;"P"&amp;$A48)*RTD("tos.rtd",,"LAST","."&amp;D$2&amp;D$1&amp;"P"&amp;$A48))/1000000),0),IF($A$2="PREMIUM",IFERROR(IF($X$1="ABS",(100*RTD("tos.rtd",,"VOLUME","."&amp;D$2&amp;D$1&amp;"C"&amp;$A48)*RTD("tos.rtd",,"LAST","."&amp;D$2&amp;D$1&amp;"C"&amp;$A48)+100*RTD("tos.rtd",,"VOLUME","."&amp;D$2&amp;D$1&amp;"P"&amp;$A48)*RTD("tos.rtd",,"LAST","."&amp;D$2&amp;D$1&amp;"P"&amp;$A48))/1000000,(100*RTD("tos.rtd",,"VOLUME","."&amp;D$2&amp;D$1&amp;"C"&amp;$A48)*RTD("tos.rtd",,"LAST","."&amp;D$2&amp;D$1&amp;"C"&amp;$A48)-100*RTD("tos.rtd",,"VOLUME","."&amp;D$2&amp;D$1&amp;"P"&amp;$A48)*RTD("tos.rtd",,"LAST","."&amp;D$2&amp;D$1&amp;"P"&amp;$A48))/1000000),0),IF($A$2="DEX",IFERROR(IF($X$1="ABS",(100*RTD("tos.rtd",,"OPEN_INT","."&amp;D$2&amp;D$1&amp;"C"&amp;$A48)*RTD("tos.rtd",,"DELTA","."&amp;D$2&amp;D$1&amp;"C"&amp;$A48)+100*RTD("tos.rtd",,"OPEN_INT","."&amp;D$2&amp;D$1&amp;"P"&amp;$A48)*RTD("tos.rtd",,"DELTA","."&amp;D$2&amp;D$1&amp;"P"&amp;$A48))/1000,(100*RTD("tos.rtd",,"OPEN_INT","."&amp;D$2&amp;D$1&amp;"C"&amp;$A48)*RTD("tos.rtd",,"DELTA","."&amp;D$2&amp;D$1&amp;"C"&amp;$A48)-100*RTD("tos.rtd",,"OPEN_INT","."&amp;D$2&amp;D$1&amp;"P"&amp;$A48)*RTD("tos.rtd",,"DELTA","."&amp;D$2&amp;D$1&amp;"P"&amp;$A48))/1000),0),IF($A$2="VEX",IFERROR(IF($X$1="ABS",($A$4*$A$4*RTD("tos.rtd",,"VOLUME","."&amp;D$2&amp;D$1&amp;"C"&amp;$A48)*RTD("tos.rtd",,"GAMMA","."&amp;D$2&amp;D$1&amp;"C"&amp;$A48)+$A$4*$A$4*RTD("tos.rtd",,"VOLUME","."&amp;D$2&amp;D$1&amp;"P"&amp;$A48)*RTD("tos.rtd",,"GAMMA","."&amp;D$2&amp;D$1&amp;"P"&amp;$A48))/1000000,($A$4*$A$4*RTD("tos.rtd",,"VOLUME","."&amp;D$2&amp;D$1&amp;"C"&amp;$A48)*RTD("tos.rtd",,"GAMMA","."&amp;D$2&amp;D$1&amp;"C"&amp;$A48)-$A$4*$A$4*RTD("tos.rtd",,"VOLUME","."&amp;D$2&amp;D$1&amp;"P"&amp;$A48)*RTD("tos.rtd",,"GAMMA","."&amp;D$2&amp;D$1&amp;"P"&amp;$A48))/1000000),0),IF($A$2="GEX",IFERROR(IF($X$1="ABS",($A$4*$A$4*RTD("tos.rtd",,"OPEN_INT","."&amp;D$2&amp;D$1&amp;"C"&amp;$A48)*RTD("tos.rtd",,"GAMMA","."&amp;D$2&amp;D$1&amp;"C"&amp;$A48)+$A$4*$A$4*RTD("tos.rtd",,"OPEN_INT","."&amp;D$2&amp;D$1&amp;"P"&amp;$A48)*RTD("tos.rtd",,"GAMMA","."&amp;D$2&amp;D$1&amp;"P"&amp;$A48))/1000000,($A$4*$A$4*RTD("tos.rtd",,"OPEN_INT","."&amp;D$2&amp;D$1&amp;"C"&amp;$A48)*RTD("tos.rtd",,"GAMMA","."&amp;D$2&amp;D$1&amp;"C"&amp;$A48)-$A$4*$A$4*RTD("tos.rtd",,"OPEN_INT","."&amp;D$2&amp;D$1&amp;"P"&amp;$A48)*RTD("tos.rtd",,"GAMMA","."&amp;D$2&amp;D$1&amp;"P"&amp;$A48))/1000000),0),IF($A$2="SKEW",IFERROR(VALUE(IF(RTD("tos.rtd",,"IMPL_VOL","."&amp;D$2&amp;D$1&amp;"P"&amp;$A48)="N/A",0,RTD("tos.rtd",,"IMPL_VOL","."&amp;D$2&amp;D$1&amp;"P"&amp;$A48))),0)-IFERROR(VALUE(IF(RTD("tos.rtd",,"IMPL_VOL","."&amp;D$2&amp;D$1&amp;"C"&amp;$A48)="N/A",0,RTD("tos.rtd",,"IMPL_VOL","."&amp;D$2&amp;D$1&amp;"C"&amp;$A48))),0),IF($A$2="MAXPAIN",IF($A$4&gt;$A48,($A$4-$A48)*IF(RTD("tos.rtd",,"OPEN_INT","."&amp;D$2&amp;D$1&amp;"C"&amp;$A48)="N/A",0,RTD("tos.rtd",,"OPEN_INT","."&amp;D$2&amp;D$1&amp;"C"&amp;$A48)),0)+IF($A$4&lt;$A48,($A$5-$A$4)*IF(RTD("tos.rtd",,"OPEN_INT","."&amp;D$2&amp;D$1&amp;"P"&amp;$A48)="N/A",0,RTD("tos.rtd",,"OPEN_INT","."&amp;D$2&amp;D$1&amp;"P"&amp;$A48)),0),IF($X$1="ABS",IF(RTD("tos.rtd",,$A$2,"."&amp;D$2&amp;D$1&amp;"C"&amp;$A48)="N/A",0,RTD("tos.rtd",,$A$2,"."&amp;D$2&amp;D$1&amp;"C"&amp;$A48))+IF(RTD("tos.rtd",,$A$2,"."&amp;D$2&amp;D$1&amp;"P"&amp;$A48)="N/A",0,RTD("tos.rtd",,$A$2,"."&amp;D$2&amp;D$1&amp;"P"&amp;$A48)),IF(RTD("tos.rtd",,$A$2,"."&amp;D$2&amp;D$1&amp;"C"&amp;$A48)="N/A",0,RTD("tos.rtd",,$A$2,"."&amp;D$2&amp;D$1&amp;"C"&amp;$A48))-IF(RTD("tos.rtd",,$A$2,"."&amp;D$2&amp;D$1&amp;"P"&amp;$A48)="N/A",0,RTD("tos.rtd",,$A$2,"."&amp;D$2&amp;D$1&amp;"P"&amp;$A48))))))))))</f>
        <v>0</v>
      </c>
      <c r="E48" s="12">
        <f ca="1">IF($A$2="PREMIUM_OI",IFERROR(IF($X$1="ABS",(100*RTD("tos.rtd",,"OPEN_INT","."&amp;E$2&amp;E$1&amp;"C"&amp;$A48)*RTD("tos.rtd",,"LAST","."&amp;E$2&amp;E$1&amp;"C"&amp;$A48)+100*RTD("tos.rtd",,"OPEN_INT","."&amp;E$2&amp;E$1&amp;"P"&amp;$A48)*RTD("tos.rtd",,"LAST","."&amp;E$2&amp;E$1&amp;"P"&amp;$A48))/1000000,(100*RTD("tos.rtd",,"OPEN_INT","."&amp;E$2&amp;E$1&amp;"C"&amp;$A48)*RTD("tos.rtd",,"LAST","."&amp;E$2&amp;E$1&amp;"C"&amp;$A48)-100*RTD("tos.rtd",,"OPEN_INT","."&amp;E$2&amp;E$1&amp;"P"&amp;$A48)*RTD("tos.rtd",,"LAST","."&amp;E$2&amp;E$1&amp;"P"&amp;$A48))/1000000),0),IF($A$2="PREMIUM",IFERROR(IF($X$1="ABS",(100*RTD("tos.rtd",,"VOLUME","."&amp;E$2&amp;E$1&amp;"C"&amp;$A48)*RTD("tos.rtd",,"LAST","."&amp;E$2&amp;E$1&amp;"C"&amp;$A48)+100*RTD("tos.rtd",,"VOLUME","."&amp;E$2&amp;E$1&amp;"P"&amp;$A48)*RTD("tos.rtd",,"LAST","."&amp;E$2&amp;E$1&amp;"P"&amp;$A48))/1000000,(100*RTD("tos.rtd",,"VOLUME","."&amp;E$2&amp;E$1&amp;"C"&amp;$A48)*RTD("tos.rtd",,"LAST","."&amp;E$2&amp;E$1&amp;"C"&amp;$A48)-100*RTD("tos.rtd",,"VOLUME","."&amp;E$2&amp;E$1&amp;"P"&amp;$A48)*RTD("tos.rtd",,"LAST","."&amp;E$2&amp;E$1&amp;"P"&amp;$A48))/1000000),0),IF($A$2="DEX",IFERROR(IF($X$1="ABS",(100*RTD("tos.rtd",,"OPEN_INT","."&amp;E$2&amp;E$1&amp;"C"&amp;$A48)*RTD("tos.rtd",,"DELTA","."&amp;E$2&amp;E$1&amp;"C"&amp;$A48)+100*RTD("tos.rtd",,"OPEN_INT","."&amp;E$2&amp;E$1&amp;"P"&amp;$A48)*RTD("tos.rtd",,"DELTA","."&amp;E$2&amp;E$1&amp;"P"&amp;$A48))/1000,(100*RTD("tos.rtd",,"OPEN_INT","."&amp;E$2&amp;E$1&amp;"C"&amp;$A48)*RTD("tos.rtd",,"DELTA","."&amp;E$2&amp;E$1&amp;"C"&amp;$A48)-100*RTD("tos.rtd",,"OPEN_INT","."&amp;E$2&amp;E$1&amp;"P"&amp;$A48)*RTD("tos.rtd",,"DELTA","."&amp;E$2&amp;E$1&amp;"P"&amp;$A48))/1000),0),IF($A$2="VEX",IFERROR(IF($X$1="ABS",($A$4*$A$4*RTD("tos.rtd",,"VOLUME","."&amp;E$2&amp;E$1&amp;"C"&amp;$A48)*RTD("tos.rtd",,"GAMMA","."&amp;E$2&amp;E$1&amp;"C"&amp;$A48)+$A$4*$A$4*RTD("tos.rtd",,"VOLUME","."&amp;E$2&amp;E$1&amp;"P"&amp;$A48)*RTD("tos.rtd",,"GAMMA","."&amp;E$2&amp;E$1&amp;"P"&amp;$A48))/1000000,($A$4*$A$4*RTD("tos.rtd",,"VOLUME","."&amp;E$2&amp;E$1&amp;"C"&amp;$A48)*RTD("tos.rtd",,"GAMMA","."&amp;E$2&amp;E$1&amp;"C"&amp;$A48)-$A$4*$A$4*RTD("tos.rtd",,"VOLUME","."&amp;E$2&amp;E$1&amp;"P"&amp;$A48)*RTD("tos.rtd",,"GAMMA","."&amp;E$2&amp;E$1&amp;"P"&amp;$A48))/1000000),0),IF($A$2="GEX",IFERROR(IF($X$1="ABS",($A$4*$A$4*RTD("tos.rtd",,"OPEN_INT","."&amp;E$2&amp;E$1&amp;"C"&amp;$A48)*RTD("tos.rtd",,"GAMMA","."&amp;E$2&amp;E$1&amp;"C"&amp;$A48)+$A$4*$A$4*RTD("tos.rtd",,"OPEN_INT","."&amp;E$2&amp;E$1&amp;"P"&amp;$A48)*RTD("tos.rtd",,"GAMMA","."&amp;E$2&amp;E$1&amp;"P"&amp;$A48))/1000000,($A$4*$A$4*RTD("tos.rtd",,"OPEN_INT","."&amp;E$2&amp;E$1&amp;"C"&amp;$A48)*RTD("tos.rtd",,"GAMMA","."&amp;E$2&amp;E$1&amp;"C"&amp;$A48)-$A$4*$A$4*RTD("tos.rtd",,"OPEN_INT","."&amp;E$2&amp;E$1&amp;"P"&amp;$A48)*RTD("tos.rtd",,"GAMMA","."&amp;E$2&amp;E$1&amp;"P"&amp;$A48))/1000000),0),IF($A$2="SKEW",IFERROR(VALUE(IF(RTD("tos.rtd",,"IMPL_VOL","."&amp;E$2&amp;E$1&amp;"P"&amp;$A48)="N/A",0,RTD("tos.rtd",,"IMPL_VOL","."&amp;E$2&amp;E$1&amp;"P"&amp;$A48))),0)-IFERROR(VALUE(IF(RTD("tos.rtd",,"IMPL_VOL","."&amp;E$2&amp;E$1&amp;"C"&amp;$A48)="N/A",0,RTD("tos.rtd",,"IMPL_VOL","."&amp;E$2&amp;E$1&amp;"C"&amp;$A48))),0),IF($A$2="MAXPAIN",IF($A$4&gt;$A48,($A$4-$A48)*IF(RTD("tos.rtd",,"OPEN_INT","."&amp;E$2&amp;E$1&amp;"C"&amp;$A48)="N/A",0,RTD("tos.rtd",,"OPEN_INT","."&amp;E$2&amp;E$1&amp;"C"&amp;$A48)),0)+IF($A$4&lt;$A48,($A$5-$A$4)*IF(RTD("tos.rtd",,"OPEN_INT","."&amp;E$2&amp;E$1&amp;"P"&amp;$A48)="N/A",0,RTD("tos.rtd",,"OPEN_INT","."&amp;E$2&amp;E$1&amp;"P"&amp;$A48)),0),IF($X$1="ABS",IF(RTD("tos.rtd",,$A$2,"."&amp;E$2&amp;E$1&amp;"C"&amp;$A48)="N/A",0,RTD("tos.rtd",,$A$2,"."&amp;E$2&amp;E$1&amp;"C"&amp;$A48))+IF(RTD("tos.rtd",,$A$2,"."&amp;E$2&amp;E$1&amp;"P"&amp;$A48)="N/A",0,RTD("tos.rtd",,$A$2,"."&amp;E$2&amp;E$1&amp;"P"&amp;$A48)),IF(RTD("tos.rtd",,$A$2,"."&amp;E$2&amp;E$1&amp;"C"&amp;$A48)="N/A",0,RTD("tos.rtd",,$A$2,"."&amp;E$2&amp;E$1&amp;"C"&amp;$A48))-IF(RTD("tos.rtd",,$A$2,"."&amp;E$2&amp;E$1&amp;"P"&amp;$A48)="N/A",0,RTD("tos.rtd",,$A$2,"."&amp;E$2&amp;E$1&amp;"P"&amp;$A48))))))))))</f>
        <v>0</v>
      </c>
      <c r="F48" s="12">
        <f ca="1">IF($A$2="PREMIUM_OI",IFERROR(IF($X$1="ABS",(100*RTD("tos.rtd",,"OPEN_INT","."&amp;F$2&amp;F$1&amp;"C"&amp;$A48)*RTD("tos.rtd",,"LAST","."&amp;F$2&amp;F$1&amp;"C"&amp;$A48)+100*RTD("tos.rtd",,"OPEN_INT","."&amp;F$2&amp;F$1&amp;"P"&amp;$A48)*RTD("tos.rtd",,"LAST","."&amp;F$2&amp;F$1&amp;"P"&amp;$A48))/1000000,(100*RTD("tos.rtd",,"OPEN_INT","."&amp;F$2&amp;F$1&amp;"C"&amp;$A48)*RTD("tos.rtd",,"LAST","."&amp;F$2&amp;F$1&amp;"C"&amp;$A48)-100*RTD("tos.rtd",,"OPEN_INT","."&amp;F$2&amp;F$1&amp;"P"&amp;$A48)*RTD("tos.rtd",,"LAST","."&amp;F$2&amp;F$1&amp;"P"&amp;$A48))/1000000),0),IF($A$2="PREMIUM",IFERROR(IF($X$1="ABS",(100*RTD("tos.rtd",,"VOLUME","."&amp;F$2&amp;F$1&amp;"C"&amp;$A48)*RTD("tos.rtd",,"LAST","."&amp;F$2&amp;F$1&amp;"C"&amp;$A48)+100*RTD("tos.rtd",,"VOLUME","."&amp;F$2&amp;F$1&amp;"P"&amp;$A48)*RTD("tos.rtd",,"LAST","."&amp;F$2&amp;F$1&amp;"P"&amp;$A48))/1000000,(100*RTD("tos.rtd",,"VOLUME","."&amp;F$2&amp;F$1&amp;"C"&amp;$A48)*RTD("tos.rtd",,"LAST","."&amp;F$2&amp;F$1&amp;"C"&amp;$A48)-100*RTD("tos.rtd",,"VOLUME","."&amp;F$2&amp;F$1&amp;"P"&amp;$A48)*RTD("tos.rtd",,"LAST","."&amp;F$2&amp;F$1&amp;"P"&amp;$A48))/1000000),0),IF($A$2="DEX",IFERROR(IF($X$1="ABS",(100*RTD("tos.rtd",,"OPEN_INT","."&amp;F$2&amp;F$1&amp;"C"&amp;$A48)*RTD("tos.rtd",,"DELTA","."&amp;F$2&amp;F$1&amp;"C"&amp;$A48)+100*RTD("tos.rtd",,"OPEN_INT","."&amp;F$2&amp;F$1&amp;"P"&amp;$A48)*RTD("tos.rtd",,"DELTA","."&amp;F$2&amp;F$1&amp;"P"&amp;$A48))/1000,(100*RTD("tos.rtd",,"OPEN_INT","."&amp;F$2&amp;F$1&amp;"C"&amp;$A48)*RTD("tos.rtd",,"DELTA","."&amp;F$2&amp;F$1&amp;"C"&amp;$A48)-100*RTD("tos.rtd",,"OPEN_INT","."&amp;F$2&amp;F$1&amp;"P"&amp;$A48)*RTD("tos.rtd",,"DELTA","."&amp;F$2&amp;F$1&amp;"P"&amp;$A48))/1000),0),IF($A$2="VEX",IFERROR(IF($X$1="ABS",($A$4*$A$4*RTD("tos.rtd",,"VOLUME","."&amp;F$2&amp;F$1&amp;"C"&amp;$A48)*RTD("tos.rtd",,"GAMMA","."&amp;F$2&amp;F$1&amp;"C"&amp;$A48)+$A$4*$A$4*RTD("tos.rtd",,"VOLUME","."&amp;F$2&amp;F$1&amp;"P"&amp;$A48)*RTD("tos.rtd",,"GAMMA","."&amp;F$2&amp;F$1&amp;"P"&amp;$A48))/1000000,($A$4*$A$4*RTD("tos.rtd",,"VOLUME","."&amp;F$2&amp;F$1&amp;"C"&amp;$A48)*RTD("tos.rtd",,"GAMMA","."&amp;F$2&amp;F$1&amp;"C"&amp;$A48)-$A$4*$A$4*RTD("tos.rtd",,"VOLUME","."&amp;F$2&amp;F$1&amp;"P"&amp;$A48)*RTD("tos.rtd",,"GAMMA","."&amp;F$2&amp;F$1&amp;"P"&amp;$A48))/1000000),0),IF($A$2="GEX",IFERROR(IF($X$1="ABS",($A$4*$A$4*RTD("tos.rtd",,"OPEN_INT","."&amp;F$2&amp;F$1&amp;"C"&amp;$A48)*RTD("tos.rtd",,"GAMMA","."&amp;F$2&amp;F$1&amp;"C"&amp;$A48)+$A$4*$A$4*RTD("tos.rtd",,"OPEN_INT","."&amp;F$2&amp;F$1&amp;"P"&amp;$A48)*RTD("tos.rtd",,"GAMMA","."&amp;F$2&amp;F$1&amp;"P"&amp;$A48))/1000000,($A$4*$A$4*RTD("tos.rtd",,"OPEN_INT","."&amp;F$2&amp;F$1&amp;"C"&amp;$A48)*RTD("tos.rtd",,"GAMMA","."&amp;F$2&amp;F$1&amp;"C"&amp;$A48)-$A$4*$A$4*RTD("tos.rtd",,"OPEN_INT","."&amp;F$2&amp;F$1&amp;"P"&amp;$A48)*RTD("tos.rtd",,"GAMMA","."&amp;F$2&amp;F$1&amp;"P"&amp;$A48))/1000000),0),IF($A$2="SKEW",IFERROR(VALUE(IF(RTD("tos.rtd",,"IMPL_VOL","."&amp;F$2&amp;F$1&amp;"P"&amp;$A48)="N/A",0,RTD("tos.rtd",,"IMPL_VOL","."&amp;F$2&amp;F$1&amp;"P"&amp;$A48))),0)-IFERROR(VALUE(IF(RTD("tos.rtd",,"IMPL_VOL","."&amp;F$2&amp;F$1&amp;"C"&amp;$A48)="N/A",0,RTD("tos.rtd",,"IMPL_VOL","."&amp;F$2&amp;F$1&amp;"C"&amp;$A48))),0),IF($A$2="MAXPAIN",IF($A$4&gt;$A48,($A$4-$A48)*IF(RTD("tos.rtd",,"OPEN_INT","."&amp;F$2&amp;F$1&amp;"C"&amp;$A48)="N/A",0,RTD("tos.rtd",,"OPEN_INT","."&amp;F$2&amp;F$1&amp;"C"&amp;$A48)),0)+IF($A$4&lt;$A48,($A$5-$A$4)*IF(RTD("tos.rtd",,"OPEN_INT","."&amp;F$2&amp;F$1&amp;"P"&amp;$A48)="N/A",0,RTD("tos.rtd",,"OPEN_INT","."&amp;F$2&amp;F$1&amp;"P"&amp;$A48)),0),IF($X$1="ABS",IF(RTD("tos.rtd",,$A$2,"."&amp;F$2&amp;F$1&amp;"C"&amp;$A48)="N/A",0,RTD("tos.rtd",,$A$2,"."&amp;F$2&amp;F$1&amp;"C"&amp;$A48))+IF(RTD("tos.rtd",,$A$2,"."&amp;F$2&amp;F$1&amp;"P"&amp;$A48)="N/A",0,RTD("tos.rtd",,$A$2,"."&amp;F$2&amp;F$1&amp;"P"&amp;$A48)),IF(RTD("tos.rtd",,$A$2,"."&amp;F$2&amp;F$1&amp;"C"&amp;$A48)="N/A",0,RTD("tos.rtd",,$A$2,"."&amp;F$2&amp;F$1&amp;"C"&amp;$A48))-IF(RTD("tos.rtd",,$A$2,"."&amp;F$2&amp;F$1&amp;"P"&amp;$A48)="N/A",0,RTD("tos.rtd",,$A$2,"."&amp;F$2&amp;F$1&amp;"P"&amp;$A48))))))))))</f>
        <v>0</v>
      </c>
      <c r="G48" s="54">
        <f ca="1">IF($A$2="PREMIUM_OI",IFERROR(IF($X$1="ABS",(100*RTD("tos.rtd",,"OPEN_INT","."&amp;G$2&amp;G$1&amp;"C"&amp;$A48)*RTD("tos.rtd",,"LAST","."&amp;G$2&amp;G$1&amp;"C"&amp;$A48)+100*RTD("tos.rtd",,"OPEN_INT","."&amp;G$2&amp;G$1&amp;"P"&amp;$A48)*RTD("tos.rtd",,"LAST","."&amp;G$2&amp;G$1&amp;"P"&amp;$A48))/1000000,(100*RTD("tos.rtd",,"OPEN_INT","."&amp;G$2&amp;G$1&amp;"C"&amp;$A48)*RTD("tos.rtd",,"LAST","."&amp;G$2&amp;G$1&amp;"C"&amp;$A48)-100*RTD("tos.rtd",,"OPEN_INT","."&amp;G$2&amp;G$1&amp;"P"&amp;$A48)*RTD("tos.rtd",,"LAST","."&amp;G$2&amp;G$1&amp;"P"&amp;$A48))/1000000),0),IF($A$2="PREMIUM",IFERROR(IF($X$1="ABS",(100*RTD("tos.rtd",,"VOLUME","."&amp;G$2&amp;G$1&amp;"C"&amp;$A48)*RTD("tos.rtd",,"LAST","."&amp;G$2&amp;G$1&amp;"C"&amp;$A48)+100*RTD("tos.rtd",,"VOLUME","."&amp;G$2&amp;G$1&amp;"P"&amp;$A48)*RTD("tos.rtd",,"LAST","."&amp;G$2&amp;G$1&amp;"P"&amp;$A48))/1000000,(100*RTD("tos.rtd",,"VOLUME","."&amp;G$2&amp;G$1&amp;"C"&amp;$A48)*RTD("tos.rtd",,"LAST","."&amp;G$2&amp;G$1&amp;"C"&amp;$A48)-100*RTD("tos.rtd",,"VOLUME","."&amp;G$2&amp;G$1&amp;"P"&amp;$A48)*RTD("tos.rtd",,"LAST","."&amp;G$2&amp;G$1&amp;"P"&amp;$A48))/1000000),0),IF($A$2="DEX",IFERROR(IF($X$1="ABS",(100*RTD("tos.rtd",,"OPEN_INT","."&amp;G$2&amp;G$1&amp;"C"&amp;$A48)*RTD("tos.rtd",,"DELTA","."&amp;G$2&amp;G$1&amp;"C"&amp;$A48)+100*RTD("tos.rtd",,"OPEN_INT","."&amp;G$2&amp;G$1&amp;"P"&amp;$A48)*RTD("tos.rtd",,"DELTA","."&amp;G$2&amp;G$1&amp;"P"&amp;$A48))/1000,(100*RTD("tos.rtd",,"OPEN_INT","."&amp;G$2&amp;G$1&amp;"C"&amp;$A48)*RTD("tos.rtd",,"DELTA","."&amp;G$2&amp;G$1&amp;"C"&amp;$A48)-100*RTD("tos.rtd",,"OPEN_INT","."&amp;G$2&amp;G$1&amp;"P"&amp;$A48)*RTD("tos.rtd",,"DELTA","."&amp;G$2&amp;G$1&amp;"P"&amp;$A48))/1000),0),IF($A$2="VEX",IFERROR(IF($X$1="ABS",($A$4*$A$4*RTD("tos.rtd",,"VOLUME","."&amp;G$2&amp;G$1&amp;"C"&amp;$A48)*RTD("tos.rtd",,"GAMMA","."&amp;G$2&amp;G$1&amp;"C"&amp;$A48)+$A$4*$A$4*RTD("tos.rtd",,"VOLUME","."&amp;G$2&amp;G$1&amp;"P"&amp;$A48)*RTD("tos.rtd",,"GAMMA","."&amp;G$2&amp;G$1&amp;"P"&amp;$A48))/1000000,($A$4*$A$4*RTD("tos.rtd",,"VOLUME","."&amp;G$2&amp;G$1&amp;"C"&amp;$A48)*RTD("tos.rtd",,"GAMMA","."&amp;G$2&amp;G$1&amp;"C"&amp;$A48)-$A$4*$A$4*RTD("tos.rtd",,"VOLUME","."&amp;G$2&amp;G$1&amp;"P"&amp;$A48)*RTD("tos.rtd",,"GAMMA","."&amp;G$2&amp;G$1&amp;"P"&amp;$A48))/1000000),0),IF($A$2="GEX",IFERROR(IF($X$1="ABS",($A$4*$A$4*RTD("tos.rtd",,"OPEN_INT","."&amp;G$2&amp;G$1&amp;"C"&amp;$A48)*RTD("tos.rtd",,"GAMMA","."&amp;G$2&amp;G$1&amp;"C"&amp;$A48)+$A$4*$A$4*RTD("tos.rtd",,"OPEN_INT","."&amp;G$2&amp;G$1&amp;"P"&amp;$A48)*RTD("tos.rtd",,"GAMMA","."&amp;G$2&amp;G$1&amp;"P"&amp;$A48))/1000000,($A$4*$A$4*RTD("tos.rtd",,"OPEN_INT","."&amp;G$2&amp;G$1&amp;"C"&amp;$A48)*RTD("tos.rtd",,"GAMMA","."&amp;G$2&amp;G$1&amp;"C"&amp;$A48)-$A$4*$A$4*RTD("tos.rtd",,"OPEN_INT","."&amp;G$2&amp;G$1&amp;"P"&amp;$A48)*RTD("tos.rtd",,"GAMMA","."&amp;G$2&amp;G$1&amp;"P"&amp;$A48))/1000000),0),IF($A$2="SKEW",IFERROR(VALUE(IF(RTD("tos.rtd",,"IMPL_VOL","."&amp;G$2&amp;G$1&amp;"P"&amp;$A48)="N/A",0,RTD("tos.rtd",,"IMPL_VOL","."&amp;G$2&amp;G$1&amp;"P"&amp;$A48))),0)-IFERROR(VALUE(IF(RTD("tos.rtd",,"IMPL_VOL","."&amp;G$2&amp;G$1&amp;"C"&amp;$A48)="N/A",0,RTD("tos.rtd",,"IMPL_VOL","."&amp;G$2&amp;G$1&amp;"C"&amp;$A48))),0),IF($A$2="MAXPAIN",IF($A$4&gt;$A48,($A$4-$A48)*IF(RTD("tos.rtd",,"OPEN_INT","."&amp;G$2&amp;G$1&amp;"C"&amp;$A48)="N/A",0,RTD("tos.rtd",,"OPEN_INT","."&amp;G$2&amp;G$1&amp;"C"&amp;$A48)),0)+IF($A$4&lt;$A48,($A$5-$A$4)*IF(RTD("tos.rtd",,"OPEN_INT","."&amp;G$2&amp;G$1&amp;"P"&amp;$A48)="N/A",0,RTD("tos.rtd",,"OPEN_INT","."&amp;G$2&amp;G$1&amp;"P"&amp;$A48)),0),IF($X$1="ABS",IF(RTD("tos.rtd",,$A$2,"."&amp;G$2&amp;G$1&amp;"C"&amp;$A48)="N/A",0,RTD("tos.rtd",,$A$2,"."&amp;G$2&amp;G$1&amp;"C"&amp;$A48))+IF(RTD("tos.rtd",,$A$2,"."&amp;G$2&amp;G$1&amp;"P"&amp;$A48)="N/A",0,RTD("tos.rtd",,$A$2,"."&amp;G$2&amp;G$1&amp;"P"&amp;$A48)),IF(RTD("tos.rtd",,$A$2,"."&amp;G$2&amp;G$1&amp;"C"&amp;$A48)="N/A",0,RTD("tos.rtd",,$A$2,"."&amp;G$2&amp;G$1&amp;"C"&amp;$A48))-IF(RTD("tos.rtd",,$A$2,"."&amp;G$2&amp;G$1&amp;"P"&amp;$A48)="N/A",0,RTD("tos.rtd",,$A$2,"."&amp;G$2&amp;G$1&amp;"P"&amp;$A48))))))))))</f>
        <v>0</v>
      </c>
      <c r="H48" s="14">
        <f ca="1">IF($A$2="PREMIUM_OI",IFERROR(IF($X$1="ABS",(100*RTD("tos.rtd",,"OPEN_INT","."&amp;H$2&amp;H$1&amp;"C"&amp;$A48)*RTD("tos.rtd",,"LAST","."&amp;H$2&amp;H$1&amp;"C"&amp;$A48)+100*RTD("tos.rtd",,"OPEN_INT","."&amp;H$2&amp;H$1&amp;"P"&amp;$A48)*RTD("tos.rtd",,"LAST","."&amp;H$2&amp;H$1&amp;"P"&amp;$A48))/1000000,(100*RTD("tos.rtd",,"OPEN_INT","."&amp;H$2&amp;H$1&amp;"C"&amp;$A48)*RTD("tos.rtd",,"LAST","."&amp;H$2&amp;H$1&amp;"C"&amp;$A48)-100*RTD("tos.rtd",,"OPEN_INT","."&amp;H$2&amp;H$1&amp;"P"&amp;$A48)*RTD("tos.rtd",,"LAST","."&amp;H$2&amp;H$1&amp;"P"&amp;$A48))/1000000),0),IF($A$2="PREMIUM",IFERROR(IF($X$1="ABS",(100*RTD("tos.rtd",,"VOLUME","."&amp;H$2&amp;H$1&amp;"C"&amp;$A48)*RTD("tos.rtd",,"LAST","."&amp;H$2&amp;H$1&amp;"C"&amp;$A48)+100*RTD("tos.rtd",,"VOLUME","."&amp;H$2&amp;H$1&amp;"P"&amp;$A48)*RTD("tos.rtd",,"LAST","."&amp;H$2&amp;H$1&amp;"P"&amp;$A48))/1000000,(100*RTD("tos.rtd",,"VOLUME","."&amp;H$2&amp;H$1&amp;"C"&amp;$A48)*RTD("tos.rtd",,"LAST","."&amp;H$2&amp;H$1&amp;"C"&amp;$A48)-100*RTD("tos.rtd",,"VOLUME","."&amp;H$2&amp;H$1&amp;"P"&amp;$A48)*RTD("tos.rtd",,"LAST","."&amp;H$2&amp;H$1&amp;"P"&amp;$A48))/1000000),0),IF($A$2="DEX",IFERROR(IF($X$1="ABS",(100*RTD("tos.rtd",,"OPEN_INT","."&amp;H$2&amp;H$1&amp;"C"&amp;$A48)*RTD("tos.rtd",,"DELTA","."&amp;H$2&amp;H$1&amp;"C"&amp;$A48)+100*RTD("tos.rtd",,"OPEN_INT","."&amp;H$2&amp;H$1&amp;"P"&amp;$A48)*RTD("tos.rtd",,"DELTA","."&amp;H$2&amp;H$1&amp;"P"&amp;$A48))/1000,(100*RTD("tos.rtd",,"OPEN_INT","."&amp;H$2&amp;H$1&amp;"C"&amp;$A48)*RTD("tos.rtd",,"DELTA","."&amp;H$2&amp;H$1&amp;"C"&amp;$A48)-100*RTD("tos.rtd",,"OPEN_INT","."&amp;H$2&amp;H$1&amp;"P"&amp;$A48)*RTD("tos.rtd",,"DELTA","."&amp;H$2&amp;H$1&amp;"P"&amp;$A48))/1000),0),IF($A$2="VEX",IFERROR(IF($X$1="ABS",($A$4*$A$4*RTD("tos.rtd",,"VOLUME","."&amp;H$2&amp;H$1&amp;"C"&amp;$A48)*RTD("tos.rtd",,"GAMMA","."&amp;H$2&amp;H$1&amp;"C"&amp;$A48)+$A$4*$A$4*RTD("tos.rtd",,"VOLUME","."&amp;H$2&amp;H$1&amp;"P"&amp;$A48)*RTD("tos.rtd",,"GAMMA","."&amp;H$2&amp;H$1&amp;"P"&amp;$A48))/1000000,($A$4*$A$4*RTD("tos.rtd",,"VOLUME","."&amp;H$2&amp;H$1&amp;"C"&amp;$A48)*RTD("tos.rtd",,"GAMMA","."&amp;H$2&amp;H$1&amp;"C"&amp;$A48)-$A$4*$A$4*RTD("tos.rtd",,"VOLUME","."&amp;H$2&amp;H$1&amp;"P"&amp;$A48)*RTD("tos.rtd",,"GAMMA","."&amp;H$2&amp;H$1&amp;"P"&amp;$A48))/1000000),0),IF($A$2="GEX",IFERROR(IF($X$1="ABS",($A$4*$A$4*RTD("tos.rtd",,"OPEN_INT","."&amp;H$2&amp;H$1&amp;"C"&amp;$A48)*RTD("tos.rtd",,"GAMMA","."&amp;H$2&amp;H$1&amp;"C"&amp;$A48)+$A$4*$A$4*RTD("tos.rtd",,"OPEN_INT","."&amp;H$2&amp;H$1&amp;"P"&amp;$A48)*RTD("tos.rtd",,"GAMMA","."&amp;H$2&amp;H$1&amp;"P"&amp;$A48))/1000000,($A$4*$A$4*RTD("tos.rtd",,"OPEN_INT","."&amp;H$2&amp;H$1&amp;"C"&amp;$A48)*RTD("tos.rtd",,"GAMMA","."&amp;H$2&amp;H$1&amp;"C"&amp;$A48)-$A$4*$A$4*RTD("tos.rtd",,"OPEN_INT","."&amp;H$2&amp;H$1&amp;"P"&amp;$A48)*RTD("tos.rtd",,"GAMMA","."&amp;H$2&amp;H$1&amp;"P"&amp;$A48))/1000000),0),IF($A$2="SKEW",IFERROR(VALUE(IF(RTD("tos.rtd",,"IMPL_VOL","."&amp;H$2&amp;H$1&amp;"P"&amp;$A48)="N/A",0,RTD("tos.rtd",,"IMPL_VOL","."&amp;H$2&amp;H$1&amp;"P"&amp;$A48))),0)-IFERROR(VALUE(IF(RTD("tos.rtd",,"IMPL_VOL","."&amp;H$2&amp;H$1&amp;"C"&amp;$A48)="N/A",0,RTD("tos.rtd",,"IMPL_VOL","."&amp;H$2&amp;H$1&amp;"C"&amp;$A48))),0),IF($A$2="MAXPAIN",IF($A$4&gt;$A48,($A$4-$A48)*IF(RTD("tos.rtd",,"OPEN_INT","."&amp;H$2&amp;H$1&amp;"C"&amp;$A48)="N/A",0,RTD("tos.rtd",,"OPEN_INT","."&amp;H$2&amp;H$1&amp;"C"&amp;$A48)),0)+IF($A$4&lt;$A48,($A$5-$A$4)*IF(RTD("tos.rtd",,"OPEN_INT","."&amp;H$2&amp;H$1&amp;"P"&amp;$A48)="N/A",0,RTD("tos.rtd",,"OPEN_INT","."&amp;H$2&amp;H$1&amp;"P"&amp;$A48)),0),IF($X$1="ABS",IF(RTD("tos.rtd",,$A$2,"."&amp;H$2&amp;H$1&amp;"C"&amp;$A48)="N/A",0,RTD("tos.rtd",,$A$2,"."&amp;H$2&amp;H$1&amp;"C"&amp;$A48))+IF(RTD("tos.rtd",,$A$2,"."&amp;H$2&amp;H$1&amp;"P"&amp;$A48)="N/A",0,RTD("tos.rtd",,$A$2,"."&amp;H$2&amp;H$1&amp;"P"&amp;$A48)),IF(RTD("tos.rtd",,$A$2,"."&amp;H$2&amp;H$1&amp;"C"&amp;$A48)="N/A",0,RTD("tos.rtd",,$A$2,"."&amp;H$2&amp;H$1&amp;"C"&amp;$A48))-IF(RTD("tos.rtd",,$A$2,"."&amp;H$2&amp;H$1&amp;"P"&amp;$A48)="N/A",0,RTD("tos.rtd",,$A$2,"."&amp;H$2&amp;H$1&amp;"P"&amp;$A48))))))))))</f>
        <v>0</v>
      </c>
      <c r="I48" s="12">
        <f ca="1">IF($A$2="PREMIUM_OI",IFERROR(IF($X$1="ABS",(100*RTD("tos.rtd",,"OPEN_INT","."&amp;I$2&amp;I$1&amp;"C"&amp;$A48)*RTD("tos.rtd",,"LAST","."&amp;I$2&amp;I$1&amp;"C"&amp;$A48)+100*RTD("tos.rtd",,"OPEN_INT","."&amp;I$2&amp;I$1&amp;"P"&amp;$A48)*RTD("tos.rtd",,"LAST","."&amp;I$2&amp;I$1&amp;"P"&amp;$A48))/1000000,(100*RTD("tos.rtd",,"OPEN_INT","."&amp;I$2&amp;I$1&amp;"C"&amp;$A48)*RTD("tos.rtd",,"LAST","."&amp;I$2&amp;I$1&amp;"C"&amp;$A48)-100*RTD("tos.rtd",,"OPEN_INT","."&amp;I$2&amp;I$1&amp;"P"&amp;$A48)*RTD("tos.rtd",,"LAST","."&amp;I$2&amp;I$1&amp;"P"&amp;$A48))/1000000),0),IF($A$2="PREMIUM",IFERROR(IF($X$1="ABS",(100*RTD("tos.rtd",,"VOLUME","."&amp;I$2&amp;I$1&amp;"C"&amp;$A48)*RTD("tos.rtd",,"LAST","."&amp;I$2&amp;I$1&amp;"C"&amp;$A48)+100*RTD("tos.rtd",,"VOLUME","."&amp;I$2&amp;I$1&amp;"P"&amp;$A48)*RTD("tos.rtd",,"LAST","."&amp;I$2&amp;I$1&amp;"P"&amp;$A48))/1000000,(100*RTD("tos.rtd",,"VOLUME","."&amp;I$2&amp;I$1&amp;"C"&amp;$A48)*RTD("tos.rtd",,"LAST","."&amp;I$2&amp;I$1&amp;"C"&amp;$A48)-100*RTD("tos.rtd",,"VOLUME","."&amp;I$2&amp;I$1&amp;"P"&amp;$A48)*RTD("tos.rtd",,"LAST","."&amp;I$2&amp;I$1&amp;"P"&amp;$A48))/1000000),0),IF($A$2="DEX",IFERROR(IF($X$1="ABS",(100*RTD("tos.rtd",,"OPEN_INT","."&amp;I$2&amp;I$1&amp;"C"&amp;$A48)*RTD("tos.rtd",,"DELTA","."&amp;I$2&amp;I$1&amp;"C"&amp;$A48)+100*RTD("tos.rtd",,"OPEN_INT","."&amp;I$2&amp;I$1&amp;"P"&amp;$A48)*RTD("tos.rtd",,"DELTA","."&amp;I$2&amp;I$1&amp;"P"&amp;$A48))/1000,(100*RTD("tos.rtd",,"OPEN_INT","."&amp;I$2&amp;I$1&amp;"C"&amp;$A48)*RTD("tos.rtd",,"DELTA","."&amp;I$2&amp;I$1&amp;"C"&amp;$A48)-100*RTD("tos.rtd",,"OPEN_INT","."&amp;I$2&amp;I$1&amp;"P"&amp;$A48)*RTD("tos.rtd",,"DELTA","."&amp;I$2&amp;I$1&amp;"P"&amp;$A48))/1000),0),IF($A$2="VEX",IFERROR(IF($X$1="ABS",($A$4*$A$4*RTD("tos.rtd",,"VOLUME","."&amp;I$2&amp;I$1&amp;"C"&amp;$A48)*RTD("tos.rtd",,"GAMMA","."&amp;I$2&amp;I$1&amp;"C"&amp;$A48)+$A$4*$A$4*RTD("tos.rtd",,"VOLUME","."&amp;I$2&amp;I$1&amp;"P"&amp;$A48)*RTD("tos.rtd",,"GAMMA","."&amp;I$2&amp;I$1&amp;"P"&amp;$A48))/1000000,($A$4*$A$4*RTD("tos.rtd",,"VOLUME","."&amp;I$2&amp;I$1&amp;"C"&amp;$A48)*RTD("tos.rtd",,"GAMMA","."&amp;I$2&amp;I$1&amp;"C"&amp;$A48)-$A$4*$A$4*RTD("tos.rtd",,"VOLUME","."&amp;I$2&amp;I$1&amp;"P"&amp;$A48)*RTD("tos.rtd",,"GAMMA","."&amp;I$2&amp;I$1&amp;"P"&amp;$A48))/1000000),0),IF($A$2="GEX",IFERROR(IF($X$1="ABS",($A$4*$A$4*RTD("tos.rtd",,"OPEN_INT","."&amp;I$2&amp;I$1&amp;"C"&amp;$A48)*RTD("tos.rtd",,"GAMMA","."&amp;I$2&amp;I$1&amp;"C"&amp;$A48)+$A$4*$A$4*RTD("tos.rtd",,"OPEN_INT","."&amp;I$2&amp;I$1&amp;"P"&amp;$A48)*RTD("tos.rtd",,"GAMMA","."&amp;I$2&amp;I$1&amp;"P"&amp;$A48))/1000000,($A$4*$A$4*RTD("tos.rtd",,"OPEN_INT","."&amp;I$2&amp;I$1&amp;"C"&amp;$A48)*RTD("tos.rtd",,"GAMMA","."&amp;I$2&amp;I$1&amp;"C"&amp;$A48)-$A$4*$A$4*RTD("tos.rtd",,"OPEN_INT","."&amp;I$2&amp;I$1&amp;"P"&amp;$A48)*RTD("tos.rtd",,"GAMMA","."&amp;I$2&amp;I$1&amp;"P"&amp;$A48))/1000000),0),IF($A$2="SKEW",IFERROR(VALUE(IF(RTD("tos.rtd",,"IMPL_VOL","."&amp;I$2&amp;I$1&amp;"P"&amp;$A48)="N/A",0,RTD("tos.rtd",,"IMPL_VOL","."&amp;I$2&amp;I$1&amp;"P"&amp;$A48))),0)-IFERROR(VALUE(IF(RTD("tos.rtd",,"IMPL_VOL","."&amp;I$2&amp;I$1&amp;"C"&amp;$A48)="N/A",0,RTD("tos.rtd",,"IMPL_VOL","."&amp;I$2&amp;I$1&amp;"C"&amp;$A48))),0),IF($A$2="MAXPAIN",IF($A$4&gt;$A48,($A$4-$A48)*IF(RTD("tos.rtd",,"OPEN_INT","."&amp;I$2&amp;I$1&amp;"C"&amp;$A48)="N/A",0,RTD("tos.rtd",,"OPEN_INT","."&amp;I$2&amp;I$1&amp;"C"&amp;$A48)),0)+IF($A$4&lt;$A48,($A$5-$A$4)*IF(RTD("tos.rtd",,"OPEN_INT","."&amp;I$2&amp;I$1&amp;"P"&amp;$A48)="N/A",0,RTD("tos.rtd",,"OPEN_INT","."&amp;I$2&amp;I$1&amp;"P"&amp;$A48)),0),IF($X$1="ABS",IF(RTD("tos.rtd",,$A$2,"."&amp;I$2&amp;I$1&amp;"C"&amp;$A48)="N/A",0,RTD("tos.rtd",,$A$2,"."&amp;I$2&amp;I$1&amp;"C"&amp;$A48))+IF(RTD("tos.rtd",,$A$2,"."&amp;I$2&amp;I$1&amp;"P"&amp;$A48)="N/A",0,RTD("tos.rtd",,$A$2,"."&amp;I$2&amp;I$1&amp;"P"&amp;$A48)),IF(RTD("tos.rtd",,$A$2,"."&amp;I$2&amp;I$1&amp;"C"&amp;$A48)="N/A",0,RTD("tos.rtd",,$A$2,"."&amp;I$2&amp;I$1&amp;"C"&amp;$A48))-IF(RTD("tos.rtd",,$A$2,"."&amp;I$2&amp;I$1&amp;"P"&amp;$A48)="N/A",0,RTD("tos.rtd",,$A$2,"."&amp;I$2&amp;I$1&amp;"P"&amp;$A48))))))))))</f>
        <v>0</v>
      </c>
      <c r="J48" s="12">
        <f ca="1">IF($A$2="PREMIUM_OI",IFERROR(IF($X$1="ABS",(100*RTD("tos.rtd",,"OPEN_INT","."&amp;J$2&amp;J$1&amp;"C"&amp;$A48)*RTD("tos.rtd",,"LAST","."&amp;J$2&amp;J$1&amp;"C"&amp;$A48)+100*RTD("tos.rtd",,"OPEN_INT","."&amp;J$2&amp;J$1&amp;"P"&amp;$A48)*RTD("tos.rtd",,"LAST","."&amp;J$2&amp;J$1&amp;"P"&amp;$A48))/1000000,(100*RTD("tos.rtd",,"OPEN_INT","."&amp;J$2&amp;J$1&amp;"C"&amp;$A48)*RTD("tos.rtd",,"LAST","."&amp;J$2&amp;J$1&amp;"C"&amp;$A48)-100*RTD("tos.rtd",,"OPEN_INT","."&amp;J$2&amp;J$1&amp;"P"&amp;$A48)*RTD("tos.rtd",,"LAST","."&amp;J$2&amp;J$1&amp;"P"&amp;$A48))/1000000),0),IF($A$2="PREMIUM",IFERROR(IF($X$1="ABS",(100*RTD("tos.rtd",,"VOLUME","."&amp;J$2&amp;J$1&amp;"C"&amp;$A48)*RTD("tos.rtd",,"LAST","."&amp;J$2&amp;J$1&amp;"C"&amp;$A48)+100*RTD("tos.rtd",,"VOLUME","."&amp;J$2&amp;J$1&amp;"P"&amp;$A48)*RTD("tos.rtd",,"LAST","."&amp;J$2&amp;J$1&amp;"P"&amp;$A48))/1000000,(100*RTD("tos.rtd",,"VOLUME","."&amp;J$2&amp;J$1&amp;"C"&amp;$A48)*RTD("tos.rtd",,"LAST","."&amp;J$2&amp;J$1&amp;"C"&amp;$A48)-100*RTD("tos.rtd",,"VOLUME","."&amp;J$2&amp;J$1&amp;"P"&amp;$A48)*RTD("tos.rtd",,"LAST","."&amp;J$2&amp;J$1&amp;"P"&amp;$A48))/1000000),0),IF($A$2="DEX",IFERROR(IF($X$1="ABS",(100*RTD("tos.rtd",,"OPEN_INT","."&amp;J$2&amp;J$1&amp;"C"&amp;$A48)*RTD("tos.rtd",,"DELTA","."&amp;J$2&amp;J$1&amp;"C"&amp;$A48)+100*RTD("tos.rtd",,"OPEN_INT","."&amp;J$2&amp;J$1&amp;"P"&amp;$A48)*RTD("tos.rtd",,"DELTA","."&amp;J$2&amp;J$1&amp;"P"&amp;$A48))/1000,(100*RTD("tos.rtd",,"OPEN_INT","."&amp;J$2&amp;J$1&amp;"C"&amp;$A48)*RTD("tos.rtd",,"DELTA","."&amp;J$2&amp;J$1&amp;"C"&amp;$A48)-100*RTD("tos.rtd",,"OPEN_INT","."&amp;J$2&amp;J$1&amp;"P"&amp;$A48)*RTD("tos.rtd",,"DELTA","."&amp;J$2&amp;J$1&amp;"P"&amp;$A48))/1000),0),IF($A$2="VEX",IFERROR(IF($X$1="ABS",($A$4*$A$4*RTD("tos.rtd",,"VOLUME","."&amp;J$2&amp;J$1&amp;"C"&amp;$A48)*RTD("tos.rtd",,"GAMMA","."&amp;J$2&amp;J$1&amp;"C"&amp;$A48)+$A$4*$A$4*RTD("tos.rtd",,"VOLUME","."&amp;J$2&amp;J$1&amp;"P"&amp;$A48)*RTD("tos.rtd",,"GAMMA","."&amp;J$2&amp;J$1&amp;"P"&amp;$A48))/1000000,($A$4*$A$4*RTD("tos.rtd",,"VOLUME","."&amp;J$2&amp;J$1&amp;"C"&amp;$A48)*RTD("tos.rtd",,"GAMMA","."&amp;J$2&amp;J$1&amp;"C"&amp;$A48)-$A$4*$A$4*RTD("tos.rtd",,"VOLUME","."&amp;J$2&amp;J$1&amp;"P"&amp;$A48)*RTD("tos.rtd",,"GAMMA","."&amp;J$2&amp;J$1&amp;"P"&amp;$A48))/1000000),0),IF($A$2="GEX",IFERROR(IF($X$1="ABS",($A$4*$A$4*RTD("tos.rtd",,"OPEN_INT","."&amp;J$2&amp;J$1&amp;"C"&amp;$A48)*RTD("tos.rtd",,"GAMMA","."&amp;J$2&amp;J$1&amp;"C"&amp;$A48)+$A$4*$A$4*RTD("tos.rtd",,"OPEN_INT","."&amp;J$2&amp;J$1&amp;"P"&amp;$A48)*RTD("tos.rtd",,"GAMMA","."&amp;J$2&amp;J$1&amp;"P"&amp;$A48))/1000000,($A$4*$A$4*RTD("tos.rtd",,"OPEN_INT","."&amp;J$2&amp;J$1&amp;"C"&amp;$A48)*RTD("tos.rtd",,"GAMMA","."&amp;J$2&amp;J$1&amp;"C"&amp;$A48)-$A$4*$A$4*RTD("tos.rtd",,"OPEN_INT","."&amp;J$2&amp;J$1&amp;"P"&amp;$A48)*RTD("tos.rtd",,"GAMMA","."&amp;J$2&amp;J$1&amp;"P"&amp;$A48))/1000000),0),IF($A$2="SKEW",IFERROR(VALUE(IF(RTD("tos.rtd",,"IMPL_VOL","."&amp;J$2&amp;J$1&amp;"P"&amp;$A48)="N/A",0,RTD("tos.rtd",,"IMPL_VOL","."&amp;J$2&amp;J$1&amp;"P"&amp;$A48))),0)-IFERROR(VALUE(IF(RTD("tos.rtd",,"IMPL_VOL","."&amp;J$2&amp;J$1&amp;"C"&amp;$A48)="N/A",0,RTD("tos.rtd",,"IMPL_VOL","."&amp;J$2&amp;J$1&amp;"C"&amp;$A48))),0),IF($A$2="MAXPAIN",IF($A$4&gt;$A48,($A$4-$A48)*IF(RTD("tos.rtd",,"OPEN_INT","."&amp;J$2&amp;J$1&amp;"C"&amp;$A48)="N/A",0,RTD("tos.rtd",,"OPEN_INT","."&amp;J$2&amp;J$1&amp;"C"&amp;$A48)),0)+IF($A$4&lt;$A48,($A$5-$A$4)*IF(RTD("tos.rtd",,"OPEN_INT","."&amp;J$2&amp;J$1&amp;"P"&amp;$A48)="N/A",0,RTD("tos.rtd",,"OPEN_INT","."&amp;J$2&amp;J$1&amp;"P"&amp;$A48)),0),IF($X$1="ABS",IF(RTD("tos.rtd",,$A$2,"."&amp;J$2&amp;J$1&amp;"C"&amp;$A48)="N/A",0,RTD("tos.rtd",,$A$2,"."&amp;J$2&amp;J$1&amp;"C"&amp;$A48))+IF(RTD("tos.rtd",,$A$2,"."&amp;J$2&amp;J$1&amp;"P"&amp;$A48)="N/A",0,RTD("tos.rtd",,$A$2,"."&amp;J$2&amp;J$1&amp;"P"&amp;$A48)),IF(RTD("tos.rtd",,$A$2,"."&amp;J$2&amp;J$1&amp;"C"&amp;$A48)="N/A",0,RTD("tos.rtd",,$A$2,"."&amp;J$2&amp;J$1&amp;"C"&amp;$A48))-IF(RTD("tos.rtd",,$A$2,"."&amp;J$2&amp;J$1&amp;"P"&amp;$A48)="N/A",0,RTD("tos.rtd",,$A$2,"."&amp;J$2&amp;J$1&amp;"P"&amp;$A48))))))))))</f>
        <v>0</v>
      </c>
      <c r="K48" s="12">
        <f ca="1">IF($A$2="PREMIUM_OI",IFERROR(IF($X$1="ABS",(100*RTD("tos.rtd",,"OPEN_INT","."&amp;K$2&amp;K$1&amp;"C"&amp;$A48)*RTD("tos.rtd",,"LAST","."&amp;K$2&amp;K$1&amp;"C"&amp;$A48)+100*RTD("tos.rtd",,"OPEN_INT","."&amp;K$2&amp;K$1&amp;"P"&amp;$A48)*RTD("tos.rtd",,"LAST","."&amp;K$2&amp;K$1&amp;"P"&amp;$A48))/1000000,(100*RTD("tos.rtd",,"OPEN_INT","."&amp;K$2&amp;K$1&amp;"C"&amp;$A48)*RTD("tos.rtd",,"LAST","."&amp;K$2&amp;K$1&amp;"C"&amp;$A48)-100*RTD("tos.rtd",,"OPEN_INT","."&amp;K$2&amp;K$1&amp;"P"&amp;$A48)*RTD("tos.rtd",,"LAST","."&amp;K$2&amp;K$1&amp;"P"&amp;$A48))/1000000),0),IF($A$2="PREMIUM",IFERROR(IF($X$1="ABS",(100*RTD("tos.rtd",,"VOLUME","."&amp;K$2&amp;K$1&amp;"C"&amp;$A48)*RTD("tos.rtd",,"LAST","."&amp;K$2&amp;K$1&amp;"C"&amp;$A48)+100*RTD("tos.rtd",,"VOLUME","."&amp;K$2&amp;K$1&amp;"P"&amp;$A48)*RTD("tos.rtd",,"LAST","."&amp;K$2&amp;K$1&amp;"P"&amp;$A48))/1000000,(100*RTD("tos.rtd",,"VOLUME","."&amp;K$2&amp;K$1&amp;"C"&amp;$A48)*RTD("tos.rtd",,"LAST","."&amp;K$2&amp;K$1&amp;"C"&amp;$A48)-100*RTD("tos.rtd",,"VOLUME","."&amp;K$2&amp;K$1&amp;"P"&amp;$A48)*RTD("tos.rtd",,"LAST","."&amp;K$2&amp;K$1&amp;"P"&amp;$A48))/1000000),0),IF($A$2="DEX",IFERROR(IF($X$1="ABS",(100*RTD("tos.rtd",,"OPEN_INT","."&amp;K$2&amp;K$1&amp;"C"&amp;$A48)*RTD("tos.rtd",,"DELTA","."&amp;K$2&amp;K$1&amp;"C"&amp;$A48)+100*RTD("tos.rtd",,"OPEN_INT","."&amp;K$2&amp;K$1&amp;"P"&amp;$A48)*RTD("tos.rtd",,"DELTA","."&amp;K$2&amp;K$1&amp;"P"&amp;$A48))/1000,(100*RTD("tos.rtd",,"OPEN_INT","."&amp;K$2&amp;K$1&amp;"C"&amp;$A48)*RTD("tos.rtd",,"DELTA","."&amp;K$2&amp;K$1&amp;"C"&amp;$A48)-100*RTD("tos.rtd",,"OPEN_INT","."&amp;K$2&amp;K$1&amp;"P"&amp;$A48)*RTD("tos.rtd",,"DELTA","."&amp;K$2&amp;K$1&amp;"P"&amp;$A48))/1000),0),IF($A$2="VEX",IFERROR(IF($X$1="ABS",($A$4*$A$4*RTD("tos.rtd",,"VOLUME","."&amp;K$2&amp;K$1&amp;"C"&amp;$A48)*RTD("tos.rtd",,"GAMMA","."&amp;K$2&amp;K$1&amp;"C"&amp;$A48)+$A$4*$A$4*RTD("tos.rtd",,"VOLUME","."&amp;K$2&amp;K$1&amp;"P"&amp;$A48)*RTD("tos.rtd",,"GAMMA","."&amp;K$2&amp;K$1&amp;"P"&amp;$A48))/1000000,($A$4*$A$4*RTD("tos.rtd",,"VOLUME","."&amp;K$2&amp;K$1&amp;"C"&amp;$A48)*RTD("tos.rtd",,"GAMMA","."&amp;K$2&amp;K$1&amp;"C"&amp;$A48)-$A$4*$A$4*RTD("tos.rtd",,"VOLUME","."&amp;K$2&amp;K$1&amp;"P"&amp;$A48)*RTD("tos.rtd",,"GAMMA","."&amp;K$2&amp;K$1&amp;"P"&amp;$A48))/1000000),0),IF($A$2="GEX",IFERROR(IF($X$1="ABS",($A$4*$A$4*RTD("tos.rtd",,"OPEN_INT","."&amp;K$2&amp;K$1&amp;"C"&amp;$A48)*RTD("tos.rtd",,"GAMMA","."&amp;K$2&amp;K$1&amp;"C"&amp;$A48)+$A$4*$A$4*RTD("tos.rtd",,"OPEN_INT","."&amp;K$2&amp;K$1&amp;"P"&amp;$A48)*RTD("tos.rtd",,"GAMMA","."&amp;K$2&amp;K$1&amp;"P"&amp;$A48))/1000000,($A$4*$A$4*RTD("tos.rtd",,"OPEN_INT","."&amp;K$2&amp;K$1&amp;"C"&amp;$A48)*RTD("tos.rtd",,"GAMMA","."&amp;K$2&amp;K$1&amp;"C"&amp;$A48)-$A$4*$A$4*RTD("tos.rtd",,"OPEN_INT","."&amp;K$2&amp;K$1&amp;"P"&amp;$A48)*RTD("tos.rtd",,"GAMMA","."&amp;K$2&amp;K$1&amp;"P"&amp;$A48))/1000000),0),IF($A$2="SKEW",IFERROR(VALUE(IF(RTD("tos.rtd",,"IMPL_VOL","."&amp;K$2&amp;K$1&amp;"P"&amp;$A48)="N/A",0,RTD("tos.rtd",,"IMPL_VOL","."&amp;K$2&amp;K$1&amp;"P"&amp;$A48))),0)-IFERROR(VALUE(IF(RTD("tos.rtd",,"IMPL_VOL","."&amp;K$2&amp;K$1&amp;"C"&amp;$A48)="N/A",0,RTD("tos.rtd",,"IMPL_VOL","."&amp;K$2&amp;K$1&amp;"C"&amp;$A48))),0),IF($A$2="MAXPAIN",IF($A$4&gt;$A48,($A$4-$A48)*IF(RTD("tos.rtd",,"OPEN_INT","."&amp;K$2&amp;K$1&amp;"C"&amp;$A48)="N/A",0,RTD("tos.rtd",,"OPEN_INT","."&amp;K$2&amp;K$1&amp;"C"&amp;$A48)),0)+IF($A$4&lt;$A48,($A$5-$A$4)*IF(RTD("tos.rtd",,"OPEN_INT","."&amp;K$2&amp;K$1&amp;"P"&amp;$A48)="N/A",0,RTD("tos.rtd",,"OPEN_INT","."&amp;K$2&amp;K$1&amp;"P"&amp;$A48)),0),IF($X$1="ABS",IF(RTD("tos.rtd",,$A$2,"."&amp;K$2&amp;K$1&amp;"C"&amp;$A48)="N/A",0,RTD("tos.rtd",,$A$2,"."&amp;K$2&amp;K$1&amp;"C"&amp;$A48))+IF(RTD("tos.rtd",,$A$2,"."&amp;K$2&amp;K$1&amp;"P"&amp;$A48)="N/A",0,RTD("tos.rtd",,$A$2,"."&amp;K$2&amp;K$1&amp;"P"&amp;$A48)),IF(RTD("tos.rtd",,$A$2,"."&amp;K$2&amp;K$1&amp;"C"&amp;$A48)="N/A",0,RTD("tos.rtd",,$A$2,"."&amp;K$2&amp;K$1&amp;"C"&amp;$A48))-IF(RTD("tos.rtd",,$A$2,"."&amp;K$2&amp;K$1&amp;"P"&amp;$A48)="N/A",0,RTD("tos.rtd",,$A$2,"."&amp;K$2&amp;K$1&amp;"P"&amp;$A48))))))))))</f>
        <v>0</v>
      </c>
      <c r="L48" s="54">
        <f ca="1">IF($A$2="PREMIUM_OI",IFERROR(IF($X$1="ABS",(100*RTD("tos.rtd",,"OPEN_INT","."&amp;L$2&amp;L$1&amp;"C"&amp;$A48)*RTD("tos.rtd",,"LAST","."&amp;L$2&amp;L$1&amp;"C"&amp;$A48)+100*RTD("tos.rtd",,"OPEN_INT","."&amp;L$2&amp;L$1&amp;"P"&amp;$A48)*RTD("tos.rtd",,"LAST","."&amp;L$2&amp;L$1&amp;"P"&amp;$A48))/1000000,(100*RTD("tos.rtd",,"OPEN_INT","."&amp;L$2&amp;L$1&amp;"C"&amp;$A48)*RTD("tos.rtd",,"LAST","."&amp;L$2&amp;L$1&amp;"C"&amp;$A48)-100*RTD("tos.rtd",,"OPEN_INT","."&amp;L$2&amp;L$1&amp;"P"&amp;$A48)*RTD("tos.rtd",,"LAST","."&amp;L$2&amp;L$1&amp;"P"&amp;$A48))/1000000),0),IF($A$2="PREMIUM",IFERROR(IF($X$1="ABS",(100*RTD("tos.rtd",,"VOLUME","."&amp;L$2&amp;L$1&amp;"C"&amp;$A48)*RTD("tos.rtd",,"LAST","."&amp;L$2&amp;L$1&amp;"C"&amp;$A48)+100*RTD("tos.rtd",,"VOLUME","."&amp;L$2&amp;L$1&amp;"P"&amp;$A48)*RTD("tos.rtd",,"LAST","."&amp;L$2&amp;L$1&amp;"P"&amp;$A48))/1000000,(100*RTD("tos.rtd",,"VOLUME","."&amp;L$2&amp;L$1&amp;"C"&amp;$A48)*RTD("tos.rtd",,"LAST","."&amp;L$2&amp;L$1&amp;"C"&amp;$A48)-100*RTD("tos.rtd",,"VOLUME","."&amp;L$2&amp;L$1&amp;"P"&amp;$A48)*RTD("tos.rtd",,"LAST","."&amp;L$2&amp;L$1&amp;"P"&amp;$A48))/1000000),0),IF($A$2="DEX",IFERROR(IF($X$1="ABS",(100*RTD("tos.rtd",,"OPEN_INT","."&amp;L$2&amp;L$1&amp;"C"&amp;$A48)*RTD("tos.rtd",,"DELTA","."&amp;L$2&amp;L$1&amp;"C"&amp;$A48)+100*RTD("tos.rtd",,"OPEN_INT","."&amp;L$2&amp;L$1&amp;"P"&amp;$A48)*RTD("tos.rtd",,"DELTA","."&amp;L$2&amp;L$1&amp;"P"&amp;$A48))/1000,(100*RTD("tos.rtd",,"OPEN_INT","."&amp;L$2&amp;L$1&amp;"C"&amp;$A48)*RTD("tos.rtd",,"DELTA","."&amp;L$2&amp;L$1&amp;"C"&amp;$A48)-100*RTD("tos.rtd",,"OPEN_INT","."&amp;L$2&amp;L$1&amp;"P"&amp;$A48)*RTD("tos.rtd",,"DELTA","."&amp;L$2&amp;L$1&amp;"P"&amp;$A48))/1000),0),IF($A$2="VEX",IFERROR(IF($X$1="ABS",($A$4*$A$4*RTD("tos.rtd",,"VOLUME","."&amp;L$2&amp;L$1&amp;"C"&amp;$A48)*RTD("tos.rtd",,"GAMMA","."&amp;L$2&amp;L$1&amp;"C"&amp;$A48)+$A$4*$A$4*RTD("tos.rtd",,"VOLUME","."&amp;L$2&amp;L$1&amp;"P"&amp;$A48)*RTD("tos.rtd",,"GAMMA","."&amp;L$2&amp;L$1&amp;"P"&amp;$A48))/1000000,($A$4*$A$4*RTD("tos.rtd",,"VOLUME","."&amp;L$2&amp;L$1&amp;"C"&amp;$A48)*RTD("tos.rtd",,"GAMMA","."&amp;L$2&amp;L$1&amp;"C"&amp;$A48)-$A$4*$A$4*RTD("tos.rtd",,"VOLUME","."&amp;L$2&amp;L$1&amp;"P"&amp;$A48)*RTD("tos.rtd",,"GAMMA","."&amp;L$2&amp;L$1&amp;"P"&amp;$A48))/1000000),0),IF($A$2="GEX",IFERROR(IF($X$1="ABS",($A$4*$A$4*RTD("tos.rtd",,"OPEN_INT","."&amp;L$2&amp;L$1&amp;"C"&amp;$A48)*RTD("tos.rtd",,"GAMMA","."&amp;L$2&amp;L$1&amp;"C"&amp;$A48)+$A$4*$A$4*RTD("tos.rtd",,"OPEN_INT","."&amp;L$2&amp;L$1&amp;"P"&amp;$A48)*RTD("tos.rtd",,"GAMMA","."&amp;L$2&amp;L$1&amp;"P"&amp;$A48))/1000000,($A$4*$A$4*RTD("tos.rtd",,"OPEN_INT","."&amp;L$2&amp;L$1&amp;"C"&amp;$A48)*RTD("tos.rtd",,"GAMMA","."&amp;L$2&amp;L$1&amp;"C"&amp;$A48)-$A$4*$A$4*RTD("tos.rtd",,"OPEN_INT","."&amp;L$2&amp;L$1&amp;"P"&amp;$A48)*RTD("tos.rtd",,"GAMMA","."&amp;L$2&amp;L$1&amp;"P"&amp;$A48))/1000000),0),IF($A$2="SKEW",IFERROR(VALUE(IF(RTD("tos.rtd",,"IMPL_VOL","."&amp;L$2&amp;L$1&amp;"P"&amp;$A48)="N/A",0,RTD("tos.rtd",,"IMPL_VOL","."&amp;L$2&amp;L$1&amp;"P"&amp;$A48))),0)-IFERROR(VALUE(IF(RTD("tos.rtd",,"IMPL_VOL","."&amp;L$2&amp;L$1&amp;"C"&amp;$A48)="N/A",0,RTD("tos.rtd",,"IMPL_VOL","."&amp;L$2&amp;L$1&amp;"C"&amp;$A48))),0),IF($A$2="MAXPAIN",IF($A$4&gt;$A48,($A$4-$A48)*IF(RTD("tos.rtd",,"OPEN_INT","."&amp;L$2&amp;L$1&amp;"C"&amp;$A48)="N/A",0,RTD("tos.rtd",,"OPEN_INT","."&amp;L$2&amp;L$1&amp;"C"&amp;$A48)),0)+IF($A$4&lt;$A48,($A$5-$A$4)*IF(RTD("tos.rtd",,"OPEN_INT","."&amp;L$2&amp;L$1&amp;"P"&amp;$A48)="N/A",0,RTD("tos.rtd",,"OPEN_INT","."&amp;L$2&amp;L$1&amp;"P"&amp;$A48)),0),IF($X$1="ABS",IF(RTD("tos.rtd",,$A$2,"."&amp;L$2&amp;L$1&amp;"C"&amp;$A48)="N/A",0,RTD("tos.rtd",,$A$2,"."&amp;L$2&amp;L$1&amp;"C"&amp;$A48))+IF(RTD("tos.rtd",,$A$2,"."&amp;L$2&amp;L$1&amp;"P"&amp;$A48)="N/A",0,RTD("tos.rtd",,$A$2,"."&amp;L$2&amp;L$1&amp;"P"&amp;$A48)),IF(RTD("tos.rtd",,$A$2,"."&amp;L$2&amp;L$1&amp;"C"&amp;$A48)="N/A",0,RTD("tos.rtd",,$A$2,"."&amp;L$2&amp;L$1&amp;"C"&amp;$A48))-IF(RTD("tos.rtd",,$A$2,"."&amp;L$2&amp;L$1&amp;"P"&amp;$A48)="N/A",0,RTD("tos.rtd",,$A$2,"."&amp;L$2&amp;L$1&amp;"P"&amp;$A48))))))))))</f>
        <v>0</v>
      </c>
      <c r="M48" s="12">
        <f ca="1">IF($A$2="PREMIUM_OI",IFERROR(IF($X$1="ABS",(100*RTD("tos.rtd",,"OPEN_INT","."&amp;M$2&amp;M$1&amp;"C"&amp;$A48)*RTD("tos.rtd",,"LAST","."&amp;M$2&amp;M$1&amp;"C"&amp;$A48)+100*RTD("tos.rtd",,"OPEN_INT","."&amp;M$2&amp;M$1&amp;"P"&amp;$A48)*RTD("tos.rtd",,"LAST","."&amp;M$2&amp;M$1&amp;"P"&amp;$A48))/1000000,(100*RTD("tos.rtd",,"OPEN_INT","."&amp;M$2&amp;M$1&amp;"C"&amp;$A48)*RTD("tos.rtd",,"LAST","."&amp;M$2&amp;M$1&amp;"C"&amp;$A48)-100*RTD("tos.rtd",,"OPEN_INT","."&amp;M$2&amp;M$1&amp;"P"&amp;$A48)*RTD("tos.rtd",,"LAST","."&amp;M$2&amp;M$1&amp;"P"&amp;$A48))/1000000),0),IF($A$2="PREMIUM",IFERROR(IF($X$1="ABS",(100*RTD("tos.rtd",,"VOLUME","."&amp;M$2&amp;M$1&amp;"C"&amp;$A48)*RTD("tos.rtd",,"LAST","."&amp;M$2&amp;M$1&amp;"C"&amp;$A48)+100*RTD("tos.rtd",,"VOLUME","."&amp;M$2&amp;M$1&amp;"P"&amp;$A48)*RTD("tos.rtd",,"LAST","."&amp;M$2&amp;M$1&amp;"P"&amp;$A48))/1000000,(100*RTD("tos.rtd",,"VOLUME","."&amp;M$2&amp;M$1&amp;"C"&amp;$A48)*RTD("tos.rtd",,"LAST","."&amp;M$2&amp;M$1&amp;"C"&amp;$A48)-100*RTD("tos.rtd",,"VOLUME","."&amp;M$2&amp;M$1&amp;"P"&amp;$A48)*RTD("tos.rtd",,"LAST","."&amp;M$2&amp;M$1&amp;"P"&amp;$A48))/1000000),0),IF($A$2="DEX",IFERROR(IF($X$1="ABS",(100*RTD("tos.rtd",,"OPEN_INT","."&amp;M$2&amp;M$1&amp;"C"&amp;$A48)*RTD("tos.rtd",,"DELTA","."&amp;M$2&amp;M$1&amp;"C"&amp;$A48)+100*RTD("tos.rtd",,"OPEN_INT","."&amp;M$2&amp;M$1&amp;"P"&amp;$A48)*RTD("tos.rtd",,"DELTA","."&amp;M$2&amp;M$1&amp;"P"&amp;$A48))/1000,(100*RTD("tos.rtd",,"OPEN_INT","."&amp;M$2&amp;M$1&amp;"C"&amp;$A48)*RTD("tos.rtd",,"DELTA","."&amp;M$2&amp;M$1&amp;"C"&amp;$A48)-100*RTD("tos.rtd",,"OPEN_INT","."&amp;M$2&amp;M$1&amp;"P"&amp;$A48)*RTD("tos.rtd",,"DELTA","."&amp;M$2&amp;M$1&amp;"P"&amp;$A48))/1000),0),IF($A$2="VEX",IFERROR(IF($X$1="ABS",($A$4*$A$4*RTD("tos.rtd",,"VOLUME","."&amp;M$2&amp;M$1&amp;"C"&amp;$A48)*RTD("tos.rtd",,"GAMMA","."&amp;M$2&amp;M$1&amp;"C"&amp;$A48)+$A$4*$A$4*RTD("tos.rtd",,"VOLUME","."&amp;M$2&amp;M$1&amp;"P"&amp;$A48)*RTD("tos.rtd",,"GAMMA","."&amp;M$2&amp;M$1&amp;"P"&amp;$A48))/1000000,($A$4*$A$4*RTD("tos.rtd",,"VOLUME","."&amp;M$2&amp;M$1&amp;"C"&amp;$A48)*RTD("tos.rtd",,"GAMMA","."&amp;M$2&amp;M$1&amp;"C"&amp;$A48)-$A$4*$A$4*RTD("tos.rtd",,"VOLUME","."&amp;M$2&amp;M$1&amp;"P"&amp;$A48)*RTD("tos.rtd",,"GAMMA","."&amp;M$2&amp;M$1&amp;"P"&amp;$A48))/1000000),0),IF($A$2="GEX",IFERROR(IF($X$1="ABS",($A$4*$A$4*RTD("tos.rtd",,"OPEN_INT","."&amp;M$2&amp;M$1&amp;"C"&amp;$A48)*RTD("tos.rtd",,"GAMMA","."&amp;M$2&amp;M$1&amp;"C"&amp;$A48)+$A$4*$A$4*RTD("tos.rtd",,"OPEN_INT","."&amp;M$2&amp;M$1&amp;"P"&amp;$A48)*RTD("tos.rtd",,"GAMMA","."&amp;M$2&amp;M$1&amp;"P"&amp;$A48))/1000000,($A$4*$A$4*RTD("tos.rtd",,"OPEN_INT","."&amp;M$2&amp;M$1&amp;"C"&amp;$A48)*RTD("tos.rtd",,"GAMMA","."&amp;M$2&amp;M$1&amp;"C"&amp;$A48)-$A$4*$A$4*RTD("tos.rtd",,"OPEN_INT","."&amp;M$2&amp;M$1&amp;"P"&amp;$A48)*RTD("tos.rtd",,"GAMMA","."&amp;M$2&amp;M$1&amp;"P"&amp;$A48))/1000000),0),IF($A$2="SKEW",IFERROR(VALUE(IF(RTD("tos.rtd",,"IMPL_VOL","."&amp;M$2&amp;M$1&amp;"P"&amp;$A48)="N/A",0,RTD("tos.rtd",,"IMPL_VOL","."&amp;M$2&amp;M$1&amp;"P"&amp;$A48))),0)-IFERROR(VALUE(IF(RTD("tos.rtd",,"IMPL_VOL","."&amp;M$2&amp;M$1&amp;"C"&amp;$A48)="N/A",0,RTD("tos.rtd",,"IMPL_VOL","."&amp;M$2&amp;M$1&amp;"C"&amp;$A48))),0),IF($A$2="MAXPAIN",IF($A$4&gt;$A48,($A$4-$A48)*IF(RTD("tos.rtd",,"OPEN_INT","."&amp;M$2&amp;M$1&amp;"C"&amp;$A48)="N/A",0,RTD("tos.rtd",,"OPEN_INT","."&amp;M$2&amp;M$1&amp;"C"&amp;$A48)),0)+IF($A$4&lt;$A48,($A$5-$A$4)*IF(RTD("tos.rtd",,"OPEN_INT","."&amp;M$2&amp;M$1&amp;"P"&amp;$A48)="N/A",0,RTD("tos.rtd",,"OPEN_INT","."&amp;M$2&amp;M$1&amp;"P"&amp;$A48)),0),IF($X$1="ABS",IF(RTD("tos.rtd",,$A$2,"."&amp;M$2&amp;M$1&amp;"C"&amp;$A48)="N/A",0,RTD("tos.rtd",,$A$2,"."&amp;M$2&amp;M$1&amp;"C"&amp;$A48))+IF(RTD("tos.rtd",,$A$2,"."&amp;M$2&amp;M$1&amp;"P"&amp;$A48)="N/A",0,RTD("tos.rtd",,$A$2,"."&amp;M$2&amp;M$1&amp;"P"&amp;$A48)),IF(RTD("tos.rtd",,$A$2,"."&amp;M$2&amp;M$1&amp;"C"&amp;$A48)="N/A",0,RTD("tos.rtd",,$A$2,"."&amp;M$2&amp;M$1&amp;"C"&amp;$A48))-IF(RTD("tos.rtd",,$A$2,"."&amp;M$2&amp;M$1&amp;"P"&amp;$A48)="N/A",0,RTD("tos.rtd",,$A$2,"."&amp;M$2&amp;M$1&amp;"P"&amp;$A48))))))))))</f>
        <v>0</v>
      </c>
      <c r="N48" s="12">
        <f ca="1">IF($A$2="PREMIUM_OI",IFERROR(IF($X$1="ABS",(100*RTD("tos.rtd",,"OPEN_INT","."&amp;N$2&amp;N$1&amp;"C"&amp;$A48)*RTD("tos.rtd",,"LAST","."&amp;N$2&amp;N$1&amp;"C"&amp;$A48)+100*RTD("tos.rtd",,"OPEN_INT","."&amp;N$2&amp;N$1&amp;"P"&amp;$A48)*RTD("tos.rtd",,"LAST","."&amp;N$2&amp;N$1&amp;"P"&amp;$A48))/1000000,(100*RTD("tos.rtd",,"OPEN_INT","."&amp;N$2&amp;N$1&amp;"C"&amp;$A48)*RTD("tos.rtd",,"LAST","."&amp;N$2&amp;N$1&amp;"C"&amp;$A48)-100*RTD("tos.rtd",,"OPEN_INT","."&amp;N$2&amp;N$1&amp;"P"&amp;$A48)*RTD("tos.rtd",,"LAST","."&amp;N$2&amp;N$1&amp;"P"&amp;$A48))/1000000),0),IF($A$2="PREMIUM",IFERROR(IF($X$1="ABS",(100*RTD("tos.rtd",,"VOLUME","."&amp;N$2&amp;N$1&amp;"C"&amp;$A48)*RTD("tos.rtd",,"LAST","."&amp;N$2&amp;N$1&amp;"C"&amp;$A48)+100*RTD("tos.rtd",,"VOLUME","."&amp;N$2&amp;N$1&amp;"P"&amp;$A48)*RTD("tos.rtd",,"LAST","."&amp;N$2&amp;N$1&amp;"P"&amp;$A48))/1000000,(100*RTD("tos.rtd",,"VOLUME","."&amp;N$2&amp;N$1&amp;"C"&amp;$A48)*RTD("tos.rtd",,"LAST","."&amp;N$2&amp;N$1&amp;"C"&amp;$A48)-100*RTD("tos.rtd",,"VOLUME","."&amp;N$2&amp;N$1&amp;"P"&amp;$A48)*RTD("tos.rtd",,"LAST","."&amp;N$2&amp;N$1&amp;"P"&amp;$A48))/1000000),0),IF($A$2="DEX",IFERROR(IF($X$1="ABS",(100*RTD("tos.rtd",,"OPEN_INT","."&amp;N$2&amp;N$1&amp;"C"&amp;$A48)*RTD("tos.rtd",,"DELTA","."&amp;N$2&amp;N$1&amp;"C"&amp;$A48)+100*RTD("tos.rtd",,"OPEN_INT","."&amp;N$2&amp;N$1&amp;"P"&amp;$A48)*RTD("tos.rtd",,"DELTA","."&amp;N$2&amp;N$1&amp;"P"&amp;$A48))/1000,(100*RTD("tos.rtd",,"OPEN_INT","."&amp;N$2&amp;N$1&amp;"C"&amp;$A48)*RTD("tos.rtd",,"DELTA","."&amp;N$2&amp;N$1&amp;"C"&amp;$A48)-100*RTD("tos.rtd",,"OPEN_INT","."&amp;N$2&amp;N$1&amp;"P"&amp;$A48)*RTD("tos.rtd",,"DELTA","."&amp;N$2&amp;N$1&amp;"P"&amp;$A48))/1000),0),IF($A$2="VEX",IFERROR(IF($X$1="ABS",($A$4*$A$4*RTD("tos.rtd",,"VOLUME","."&amp;N$2&amp;N$1&amp;"C"&amp;$A48)*RTD("tos.rtd",,"GAMMA","."&amp;N$2&amp;N$1&amp;"C"&amp;$A48)+$A$4*$A$4*RTD("tos.rtd",,"VOLUME","."&amp;N$2&amp;N$1&amp;"P"&amp;$A48)*RTD("tos.rtd",,"GAMMA","."&amp;N$2&amp;N$1&amp;"P"&amp;$A48))/1000000,($A$4*$A$4*RTD("tos.rtd",,"VOLUME","."&amp;N$2&amp;N$1&amp;"C"&amp;$A48)*RTD("tos.rtd",,"GAMMA","."&amp;N$2&amp;N$1&amp;"C"&amp;$A48)-$A$4*$A$4*RTD("tos.rtd",,"VOLUME","."&amp;N$2&amp;N$1&amp;"P"&amp;$A48)*RTD("tos.rtd",,"GAMMA","."&amp;N$2&amp;N$1&amp;"P"&amp;$A48))/1000000),0),IF($A$2="GEX",IFERROR(IF($X$1="ABS",($A$4*$A$4*RTD("tos.rtd",,"OPEN_INT","."&amp;N$2&amp;N$1&amp;"C"&amp;$A48)*RTD("tos.rtd",,"GAMMA","."&amp;N$2&amp;N$1&amp;"C"&amp;$A48)+$A$4*$A$4*RTD("tos.rtd",,"OPEN_INT","."&amp;N$2&amp;N$1&amp;"P"&amp;$A48)*RTD("tos.rtd",,"GAMMA","."&amp;N$2&amp;N$1&amp;"P"&amp;$A48))/1000000,($A$4*$A$4*RTD("tos.rtd",,"OPEN_INT","."&amp;N$2&amp;N$1&amp;"C"&amp;$A48)*RTD("tos.rtd",,"GAMMA","."&amp;N$2&amp;N$1&amp;"C"&amp;$A48)-$A$4*$A$4*RTD("tos.rtd",,"OPEN_INT","."&amp;N$2&amp;N$1&amp;"P"&amp;$A48)*RTD("tos.rtd",,"GAMMA","."&amp;N$2&amp;N$1&amp;"P"&amp;$A48))/1000000),0),IF($A$2="SKEW",IFERROR(VALUE(IF(RTD("tos.rtd",,"IMPL_VOL","."&amp;N$2&amp;N$1&amp;"P"&amp;$A48)="N/A",0,RTD("tos.rtd",,"IMPL_VOL","."&amp;N$2&amp;N$1&amp;"P"&amp;$A48))),0)-IFERROR(VALUE(IF(RTD("tos.rtd",,"IMPL_VOL","."&amp;N$2&amp;N$1&amp;"C"&amp;$A48)="N/A",0,RTD("tos.rtd",,"IMPL_VOL","."&amp;N$2&amp;N$1&amp;"C"&amp;$A48))),0),IF($A$2="MAXPAIN",IF($A$4&gt;$A48,($A$4-$A48)*IF(RTD("tos.rtd",,"OPEN_INT","."&amp;N$2&amp;N$1&amp;"C"&amp;$A48)="N/A",0,RTD("tos.rtd",,"OPEN_INT","."&amp;N$2&amp;N$1&amp;"C"&amp;$A48)),0)+IF($A$4&lt;$A48,($A$5-$A$4)*IF(RTD("tos.rtd",,"OPEN_INT","."&amp;N$2&amp;N$1&amp;"P"&amp;$A48)="N/A",0,RTD("tos.rtd",,"OPEN_INT","."&amp;N$2&amp;N$1&amp;"P"&amp;$A48)),0),IF($X$1="ABS",IF(RTD("tos.rtd",,$A$2,"."&amp;N$2&amp;N$1&amp;"C"&amp;$A48)="N/A",0,RTD("tos.rtd",,$A$2,"."&amp;N$2&amp;N$1&amp;"C"&amp;$A48))+IF(RTD("tos.rtd",,$A$2,"."&amp;N$2&amp;N$1&amp;"P"&amp;$A48)="N/A",0,RTD("tos.rtd",,$A$2,"."&amp;N$2&amp;N$1&amp;"P"&amp;$A48)),IF(RTD("tos.rtd",,$A$2,"."&amp;N$2&amp;N$1&amp;"C"&amp;$A48)="N/A",0,RTD("tos.rtd",,$A$2,"."&amp;N$2&amp;N$1&amp;"C"&amp;$A48))-IF(RTD("tos.rtd",,$A$2,"."&amp;N$2&amp;N$1&amp;"P"&amp;$A48)="N/A",0,RTD("tos.rtd",,$A$2,"."&amp;N$2&amp;N$1&amp;"P"&amp;$A48))))))))))</f>
        <v>0</v>
      </c>
      <c r="O48" s="12">
        <f ca="1">IF($A$2="PREMIUM_OI",IFERROR(IF($X$1="ABS",(100*RTD("tos.rtd",,"OPEN_INT","."&amp;O$2&amp;O$1&amp;"C"&amp;$A48)*RTD("tos.rtd",,"LAST","."&amp;O$2&amp;O$1&amp;"C"&amp;$A48)+100*RTD("tos.rtd",,"OPEN_INT","."&amp;O$2&amp;O$1&amp;"P"&amp;$A48)*RTD("tos.rtd",,"LAST","."&amp;O$2&amp;O$1&amp;"P"&amp;$A48))/1000000,(100*RTD("tos.rtd",,"OPEN_INT","."&amp;O$2&amp;O$1&amp;"C"&amp;$A48)*RTD("tos.rtd",,"LAST","."&amp;O$2&amp;O$1&amp;"C"&amp;$A48)-100*RTD("tos.rtd",,"OPEN_INT","."&amp;O$2&amp;O$1&amp;"P"&amp;$A48)*RTD("tos.rtd",,"LAST","."&amp;O$2&amp;O$1&amp;"P"&amp;$A48))/1000000),0),IF($A$2="PREMIUM",IFERROR(IF($X$1="ABS",(100*RTD("tos.rtd",,"VOLUME","."&amp;O$2&amp;O$1&amp;"C"&amp;$A48)*RTD("tos.rtd",,"LAST","."&amp;O$2&amp;O$1&amp;"C"&amp;$A48)+100*RTD("tos.rtd",,"VOLUME","."&amp;O$2&amp;O$1&amp;"P"&amp;$A48)*RTD("tos.rtd",,"LAST","."&amp;O$2&amp;O$1&amp;"P"&amp;$A48))/1000000,(100*RTD("tos.rtd",,"VOLUME","."&amp;O$2&amp;O$1&amp;"C"&amp;$A48)*RTD("tos.rtd",,"LAST","."&amp;O$2&amp;O$1&amp;"C"&amp;$A48)-100*RTD("tos.rtd",,"VOLUME","."&amp;O$2&amp;O$1&amp;"P"&amp;$A48)*RTD("tos.rtd",,"LAST","."&amp;O$2&amp;O$1&amp;"P"&amp;$A48))/1000000),0),IF($A$2="DEX",IFERROR(IF($X$1="ABS",(100*RTD("tos.rtd",,"OPEN_INT","."&amp;O$2&amp;O$1&amp;"C"&amp;$A48)*RTD("tos.rtd",,"DELTA","."&amp;O$2&amp;O$1&amp;"C"&amp;$A48)+100*RTD("tos.rtd",,"OPEN_INT","."&amp;O$2&amp;O$1&amp;"P"&amp;$A48)*RTD("tos.rtd",,"DELTA","."&amp;O$2&amp;O$1&amp;"P"&amp;$A48))/1000,(100*RTD("tos.rtd",,"OPEN_INT","."&amp;O$2&amp;O$1&amp;"C"&amp;$A48)*RTD("tos.rtd",,"DELTA","."&amp;O$2&amp;O$1&amp;"C"&amp;$A48)-100*RTD("tos.rtd",,"OPEN_INT","."&amp;O$2&amp;O$1&amp;"P"&amp;$A48)*RTD("tos.rtd",,"DELTA","."&amp;O$2&amp;O$1&amp;"P"&amp;$A48))/1000),0),IF($A$2="VEX",IFERROR(IF($X$1="ABS",($A$4*$A$4*RTD("tos.rtd",,"VOLUME","."&amp;O$2&amp;O$1&amp;"C"&amp;$A48)*RTD("tos.rtd",,"GAMMA","."&amp;O$2&amp;O$1&amp;"C"&amp;$A48)+$A$4*$A$4*RTD("tos.rtd",,"VOLUME","."&amp;O$2&amp;O$1&amp;"P"&amp;$A48)*RTD("tos.rtd",,"GAMMA","."&amp;O$2&amp;O$1&amp;"P"&amp;$A48))/1000000,($A$4*$A$4*RTD("tos.rtd",,"VOLUME","."&amp;O$2&amp;O$1&amp;"C"&amp;$A48)*RTD("tos.rtd",,"GAMMA","."&amp;O$2&amp;O$1&amp;"C"&amp;$A48)-$A$4*$A$4*RTD("tos.rtd",,"VOLUME","."&amp;O$2&amp;O$1&amp;"P"&amp;$A48)*RTD("tos.rtd",,"GAMMA","."&amp;O$2&amp;O$1&amp;"P"&amp;$A48))/1000000),0),IF($A$2="GEX",IFERROR(IF($X$1="ABS",($A$4*$A$4*RTD("tos.rtd",,"OPEN_INT","."&amp;O$2&amp;O$1&amp;"C"&amp;$A48)*RTD("tos.rtd",,"GAMMA","."&amp;O$2&amp;O$1&amp;"C"&amp;$A48)+$A$4*$A$4*RTD("tos.rtd",,"OPEN_INT","."&amp;O$2&amp;O$1&amp;"P"&amp;$A48)*RTD("tos.rtd",,"GAMMA","."&amp;O$2&amp;O$1&amp;"P"&amp;$A48))/1000000,($A$4*$A$4*RTD("tos.rtd",,"OPEN_INT","."&amp;O$2&amp;O$1&amp;"C"&amp;$A48)*RTD("tos.rtd",,"GAMMA","."&amp;O$2&amp;O$1&amp;"C"&amp;$A48)-$A$4*$A$4*RTD("tos.rtd",,"OPEN_INT","."&amp;O$2&amp;O$1&amp;"P"&amp;$A48)*RTD("tos.rtd",,"GAMMA","."&amp;O$2&amp;O$1&amp;"P"&amp;$A48))/1000000),0),IF($A$2="SKEW",IFERROR(VALUE(IF(RTD("tos.rtd",,"IMPL_VOL","."&amp;O$2&amp;O$1&amp;"P"&amp;$A48)="N/A",0,RTD("tos.rtd",,"IMPL_VOL","."&amp;O$2&amp;O$1&amp;"P"&amp;$A48))),0)-IFERROR(VALUE(IF(RTD("tos.rtd",,"IMPL_VOL","."&amp;O$2&amp;O$1&amp;"C"&amp;$A48)="N/A",0,RTD("tos.rtd",,"IMPL_VOL","."&amp;O$2&amp;O$1&amp;"C"&amp;$A48))),0),IF($A$2="MAXPAIN",IF($A$4&gt;$A48,($A$4-$A48)*IF(RTD("tos.rtd",,"OPEN_INT","."&amp;O$2&amp;O$1&amp;"C"&amp;$A48)="N/A",0,RTD("tos.rtd",,"OPEN_INT","."&amp;O$2&amp;O$1&amp;"C"&amp;$A48)),0)+IF($A$4&lt;$A48,($A$5-$A$4)*IF(RTD("tos.rtd",,"OPEN_INT","."&amp;O$2&amp;O$1&amp;"P"&amp;$A48)="N/A",0,RTD("tos.rtd",,"OPEN_INT","."&amp;O$2&amp;O$1&amp;"P"&amp;$A48)),0),IF($X$1="ABS",IF(RTD("tos.rtd",,$A$2,"."&amp;O$2&amp;O$1&amp;"C"&amp;$A48)="N/A",0,RTD("tos.rtd",,$A$2,"."&amp;O$2&amp;O$1&amp;"C"&amp;$A48))+IF(RTD("tos.rtd",,$A$2,"."&amp;O$2&amp;O$1&amp;"P"&amp;$A48)="N/A",0,RTD("tos.rtd",,$A$2,"."&amp;O$2&amp;O$1&amp;"P"&amp;$A48)),IF(RTD("tos.rtd",,$A$2,"."&amp;O$2&amp;O$1&amp;"C"&amp;$A48)="N/A",0,RTD("tos.rtd",,$A$2,"."&amp;O$2&amp;O$1&amp;"C"&amp;$A48))-IF(RTD("tos.rtd",,$A$2,"."&amp;O$2&amp;O$1&amp;"P"&amp;$A48)="N/A",0,RTD("tos.rtd",,$A$2,"."&amp;O$2&amp;O$1&amp;"P"&amp;$A48))))))))))</f>
        <v>0</v>
      </c>
      <c r="P48" s="12">
        <f ca="1">IF($A$2="PREMIUM_OI",IFERROR(IF($X$1="ABS",(100*RTD("tos.rtd",,"OPEN_INT","."&amp;P$2&amp;P$1&amp;"C"&amp;$A48)*RTD("tos.rtd",,"LAST","."&amp;P$2&amp;P$1&amp;"C"&amp;$A48)+100*RTD("tos.rtd",,"OPEN_INT","."&amp;P$2&amp;P$1&amp;"P"&amp;$A48)*RTD("tos.rtd",,"LAST","."&amp;P$2&amp;P$1&amp;"P"&amp;$A48))/1000000,(100*RTD("tos.rtd",,"OPEN_INT","."&amp;P$2&amp;P$1&amp;"C"&amp;$A48)*RTD("tos.rtd",,"LAST","."&amp;P$2&amp;P$1&amp;"C"&amp;$A48)-100*RTD("tos.rtd",,"OPEN_INT","."&amp;P$2&amp;P$1&amp;"P"&amp;$A48)*RTD("tos.rtd",,"LAST","."&amp;P$2&amp;P$1&amp;"P"&amp;$A48))/1000000),0),IF($A$2="PREMIUM",IFERROR(IF($X$1="ABS",(100*RTD("tos.rtd",,"VOLUME","."&amp;P$2&amp;P$1&amp;"C"&amp;$A48)*RTD("tos.rtd",,"LAST","."&amp;P$2&amp;P$1&amp;"C"&amp;$A48)+100*RTD("tos.rtd",,"VOLUME","."&amp;P$2&amp;P$1&amp;"P"&amp;$A48)*RTD("tos.rtd",,"LAST","."&amp;P$2&amp;P$1&amp;"P"&amp;$A48))/1000000,(100*RTD("tos.rtd",,"VOLUME","."&amp;P$2&amp;P$1&amp;"C"&amp;$A48)*RTD("tos.rtd",,"LAST","."&amp;P$2&amp;P$1&amp;"C"&amp;$A48)-100*RTD("tos.rtd",,"VOLUME","."&amp;P$2&amp;P$1&amp;"P"&amp;$A48)*RTD("tos.rtd",,"LAST","."&amp;P$2&amp;P$1&amp;"P"&amp;$A48))/1000000),0),IF($A$2="DEX",IFERROR(IF($X$1="ABS",(100*RTD("tos.rtd",,"OPEN_INT","."&amp;P$2&amp;P$1&amp;"C"&amp;$A48)*RTD("tos.rtd",,"DELTA","."&amp;P$2&amp;P$1&amp;"C"&amp;$A48)+100*RTD("tos.rtd",,"OPEN_INT","."&amp;P$2&amp;P$1&amp;"P"&amp;$A48)*RTD("tos.rtd",,"DELTA","."&amp;P$2&amp;P$1&amp;"P"&amp;$A48))/1000,(100*RTD("tos.rtd",,"OPEN_INT","."&amp;P$2&amp;P$1&amp;"C"&amp;$A48)*RTD("tos.rtd",,"DELTA","."&amp;P$2&amp;P$1&amp;"C"&amp;$A48)-100*RTD("tos.rtd",,"OPEN_INT","."&amp;P$2&amp;P$1&amp;"P"&amp;$A48)*RTD("tos.rtd",,"DELTA","."&amp;P$2&amp;P$1&amp;"P"&amp;$A48))/1000),0),IF($A$2="VEX",IFERROR(IF($X$1="ABS",($A$4*$A$4*RTD("tos.rtd",,"VOLUME","."&amp;P$2&amp;P$1&amp;"C"&amp;$A48)*RTD("tos.rtd",,"GAMMA","."&amp;P$2&amp;P$1&amp;"C"&amp;$A48)+$A$4*$A$4*RTD("tos.rtd",,"VOLUME","."&amp;P$2&amp;P$1&amp;"P"&amp;$A48)*RTD("tos.rtd",,"GAMMA","."&amp;P$2&amp;P$1&amp;"P"&amp;$A48))/1000000,($A$4*$A$4*RTD("tos.rtd",,"VOLUME","."&amp;P$2&amp;P$1&amp;"C"&amp;$A48)*RTD("tos.rtd",,"GAMMA","."&amp;P$2&amp;P$1&amp;"C"&amp;$A48)-$A$4*$A$4*RTD("tos.rtd",,"VOLUME","."&amp;P$2&amp;P$1&amp;"P"&amp;$A48)*RTD("tos.rtd",,"GAMMA","."&amp;P$2&amp;P$1&amp;"P"&amp;$A48))/1000000),0),IF($A$2="GEX",IFERROR(IF($X$1="ABS",($A$4*$A$4*RTD("tos.rtd",,"OPEN_INT","."&amp;P$2&amp;P$1&amp;"C"&amp;$A48)*RTD("tos.rtd",,"GAMMA","."&amp;P$2&amp;P$1&amp;"C"&amp;$A48)+$A$4*$A$4*RTD("tos.rtd",,"OPEN_INT","."&amp;P$2&amp;P$1&amp;"P"&amp;$A48)*RTD("tos.rtd",,"GAMMA","."&amp;P$2&amp;P$1&amp;"P"&amp;$A48))/1000000,($A$4*$A$4*RTD("tos.rtd",,"OPEN_INT","."&amp;P$2&amp;P$1&amp;"C"&amp;$A48)*RTD("tos.rtd",,"GAMMA","."&amp;P$2&amp;P$1&amp;"C"&amp;$A48)-$A$4*$A$4*RTD("tos.rtd",,"OPEN_INT","."&amp;P$2&amp;P$1&amp;"P"&amp;$A48)*RTD("tos.rtd",,"GAMMA","."&amp;P$2&amp;P$1&amp;"P"&amp;$A48))/1000000),0),IF($A$2="SKEW",IFERROR(VALUE(IF(RTD("tos.rtd",,"IMPL_VOL","."&amp;P$2&amp;P$1&amp;"P"&amp;$A48)="N/A",0,RTD("tos.rtd",,"IMPL_VOL","."&amp;P$2&amp;P$1&amp;"P"&amp;$A48))),0)-IFERROR(VALUE(IF(RTD("tos.rtd",,"IMPL_VOL","."&amp;P$2&amp;P$1&amp;"C"&amp;$A48)="N/A",0,RTD("tos.rtd",,"IMPL_VOL","."&amp;P$2&amp;P$1&amp;"C"&amp;$A48))),0),IF($A$2="MAXPAIN",IF($A$4&gt;$A48,($A$4-$A48)*IF(RTD("tos.rtd",,"OPEN_INT","."&amp;P$2&amp;P$1&amp;"C"&amp;$A48)="N/A",0,RTD("tos.rtd",,"OPEN_INT","."&amp;P$2&amp;P$1&amp;"C"&amp;$A48)),0)+IF($A$4&lt;$A48,($A$5-$A$4)*IF(RTD("tos.rtd",,"OPEN_INT","."&amp;P$2&amp;P$1&amp;"P"&amp;$A48)="N/A",0,RTD("tos.rtd",,"OPEN_INT","."&amp;P$2&amp;P$1&amp;"P"&amp;$A48)),0),IF($X$1="ABS",IF(RTD("tos.rtd",,$A$2,"."&amp;P$2&amp;P$1&amp;"C"&amp;$A48)="N/A",0,RTD("tos.rtd",,$A$2,"."&amp;P$2&amp;P$1&amp;"C"&amp;$A48))+IF(RTD("tos.rtd",,$A$2,"."&amp;P$2&amp;P$1&amp;"P"&amp;$A48)="N/A",0,RTD("tos.rtd",,$A$2,"."&amp;P$2&amp;P$1&amp;"P"&amp;$A48)),IF(RTD("tos.rtd",,$A$2,"."&amp;P$2&amp;P$1&amp;"C"&amp;$A48)="N/A",0,RTD("tos.rtd",,$A$2,"."&amp;P$2&amp;P$1&amp;"C"&amp;$A48))-IF(RTD("tos.rtd",,$A$2,"."&amp;P$2&amp;P$1&amp;"P"&amp;$A48)="N/A",0,RTD("tos.rtd",,$A$2,"."&amp;P$2&amp;P$1&amp;"P"&amp;$A48))))))))))</f>
        <v>0</v>
      </c>
      <c r="Q48" s="12">
        <f ca="1">IF($A$2="PREMIUM_OI",IFERROR(IF($X$1="ABS",(100*RTD("tos.rtd",,"OPEN_INT","."&amp;Q$2&amp;Q$1&amp;"C"&amp;$A48)*RTD("tos.rtd",,"LAST","."&amp;Q$2&amp;Q$1&amp;"C"&amp;$A48)+100*RTD("tos.rtd",,"OPEN_INT","."&amp;Q$2&amp;Q$1&amp;"P"&amp;$A48)*RTD("tos.rtd",,"LAST","."&amp;Q$2&amp;Q$1&amp;"P"&amp;$A48))/1000000,(100*RTD("tos.rtd",,"OPEN_INT","."&amp;Q$2&amp;Q$1&amp;"C"&amp;$A48)*RTD("tos.rtd",,"LAST","."&amp;Q$2&amp;Q$1&amp;"C"&amp;$A48)-100*RTD("tos.rtd",,"OPEN_INT","."&amp;Q$2&amp;Q$1&amp;"P"&amp;$A48)*RTD("tos.rtd",,"LAST","."&amp;Q$2&amp;Q$1&amp;"P"&amp;$A48))/1000000),0),IF($A$2="PREMIUM",IFERROR(IF($X$1="ABS",(100*RTD("tos.rtd",,"VOLUME","."&amp;Q$2&amp;Q$1&amp;"C"&amp;$A48)*RTD("tos.rtd",,"LAST","."&amp;Q$2&amp;Q$1&amp;"C"&amp;$A48)+100*RTD("tos.rtd",,"VOLUME","."&amp;Q$2&amp;Q$1&amp;"P"&amp;$A48)*RTD("tos.rtd",,"LAST","."&amp;Q$2&amp;Q$1&amp;"P"&amp;$A48))/1000000,(100*RTD("tos.rtd",,"VOLUME","."&amp;Q$2&amp;Q$1&amp;"C"&amp;$A48)*RTD("tos.rtd",,"LAST","."&amp;Q$2&amp;Q$1&amp;"C"&amp;$A48)-100*RTD("tos.rtd",,"VOLUME","."&amp;Q$2&amp;Q$1&amp;"P"&amp;$A48)*RTD("tos.rtd",,"LAST","."&amp;Q$2&amp;Q$1&amp;"P"&amp;$A48))/1000000),0),IF($A$2="DEX",IFERROR(IF($X$1="ABS",(100*RTD("tos.rtd",,"OPEN_INT","."&amp;Q$2&amp;Q$1&amp;"C"&amp;$A48)*RTD("tos.rtd",,"DELTA","."&amp;Q$2&amp;Q$1&amp;"C"&amp;$A48)+100*RTD("tos.rtd",,"OPEN_INT","."&amp;Q$2&amp;Q$1&amp;"P"&amp;$A48)*RTD("tos.rtd",,"DELTA","."&amp;Q$2&amp;Q$1&amp;"P"&amp;$A48))/1000,(100*RTD("tos.rtd",,"OPEN_INT","."&amp;Q$2&amp;Q$1&amp;"C"&amp;$A48)*RTD("tos.rtd",,"DELTA","."&amp;Q$2&amp;Q$1&amp;"C"&amp;$A48)-100*RTD("tos.rtd",,"OPEN_INT","."&amp;Q$2&amp;Q$1&amp;"P"&amp;$A48)*RTD("tos.rtd",,"DELTA","."&amp;Q$2&amp;Q$1&amp;"P"&amp;$A48))/1000),0),IF($A$2="VEX",IFERROR(IF($X$1="ABS",($A$4*$A$4*RTD("tos.rtd",,"VOLUME","."&amp;Q$2&amp;Q$1&amp;"C"&amp;$A48)*RTD("tos.rtd",,"GAMMA","."&amp;Q$2&amp;Q$1&amp;"C"&amp;$A48)+$A$4*$A$4*RTD("tos.rtd",,"VOLUME","."&amp;Q$2&amp;Q$1&amp;"P"&amp;$A48)*RTD("tos.rtd",,"GAMMA","."&amp;Q$2&amp;Q$1&amp;"P"&amp;$A48))/1000000,($A$4*$A$4*RTD("tos.rtd",,"VOLUME","."&amp;Q$2&amp;Q$1&amp;"C"&amp;$A48)*RTD("tos.rtd",,"GAMMA","."&amp;Q$2&amp;Q$1&amp;"C"&amp;$A48)-$A$4*$A$4*RTD("tos.rtd",,"VOLUME","."&amp;Q$2&amp;Q$1&amp;"P"&amp;$A48)*RTD("tos.rtd",,"GAMMA","."&amp;Q$2&amp;Q$1&amp;"P"&amp;$A48))/1000000),0),IF($A$2="GEX",IFERROR(IF($X$1="ABS",($A$4*$A$4*RTD("tos.rtd",,"OPEN_INT","."&amp;Q$2&amp;Q$1&amp;"C"&amp;$A48)*RTD("tos.rtd",,"GAMMA","."&amp;Q$2&amp;Q$1&amp;"C"&amp;$A48)+$A$4*$A$4*RTD("tos.rtd",,"OPEN_INT","."&amp;Q$2&amp;Q$1&amp;"P"&amp;$A48)*RTD("tos.rtd",,"GAMMA","."&amp;Q$2&amp;Q$1&amp;"P"&amp;$A48))/1000000,($A$4*$A$4*RTD("tos.rtd",,"OPEN_INT","."&amp;Q$2&amp;Q$1&amp;"C"&amp;$A48)*RTD("tos.rtd",,"GAMMA","."&amp;Q$2&amp;Q$1&amp;"C"&amp;$A48)-$A$4*$A$4*RTD("tos.rtd",,"OPEN_INT","."&amp;Q$2&amp;Q$1&amp;"P"&amp;$A48)*RTD("tos.rtd",,"GAMMA","."&amp;Q$2&amp;Q$1&amp;"P"&amp;$A48))/1000000),0),IF($A$2="SKEW",IFERROR(VALUE(IF(RTD("tos.rtd",,"IMPL_VOL","."&amp;Q$2&amp;Q$1&amp;"P"&amp;$A48)="N/A",0,RTD("tos.rtd",,"IMPL_VOL","."&amp;Q$2&amp;Q$1&amp;"P"&amp;$A48))),0)-IFERROR(VALUE(IF(RTD("tos.rtd",,"IMPL_VOL","."&amp;Q$2&amp;Q$1&amp;"C"&amp;$A48)="N/A",0,RTD("tos.rtd",,"IMPL_VOL","."&amp;Q$2&amp;Q$1&amp;"C"&amp;$A48))),0),IF($A$2="MAXPAIN",IF($A$4&gt;$A48,($A$4-$A48)*IF(RTD("tos.rtd",,"OPEN_INT","."&amp;Q$2&amp;Q$1&amp;"C"&amp;$A48)="N/A",0,RTD("tos.rtd",,"OPEN_INT","."&amp;Q$2&amp;Q$1&amp;"C"&amp;$A48)),0)+IF($A$4&lt;$A48,($A$5-$A$4)*IF(RTD("tos.rtd",,"OPEN_INT","."&amp;Q$2&amp;Q$1&amp;"P"&amp;$A48)="N/A",0,RTD("tos.rtd",,"OPEN_INT","."&amp;Q$2&amp;Q$1&amp;"P"&amp;$A48)),0),IF($X$1="ABS",IF(RTD("tos.rtd",,$A$2,"."&amp;Q$2&amp;Q$1&amp;"C"&amp;$A48)="N/A",0,RTD("tos.rtd",,$A$2,"."&amp;Q$2&amp;Q$1&amp;"C"&amp;$A48))+IF(RTD("tos.rtd",,$A$2,"."&amp;Q$2&amp;Q$1&amp;"P"&amp;$A48)="N/A",0,RTD("tos.rtd",,$A$2,"."&amp;Q$2&amp;Q$1&amp;"P"&amp;$A48)),IF(RTD("tos.rtd",,$A$2,"."&amp;Q$2&amp;Q$1&amp;"C"&amp;$A48)="N/A",0,RTD("tos.rtd",,$A$2,"."&amp;Q$2&amp;Q$1&amp;"C"&amp;$A48))-IF(RTD("tos.rtd",,$A$2,"."&amp;Q$2&amp;Q$1&amp;"P"&amp;$A48)="N/A",0,RTD("tos.rtd",,$A$2,"."&amp;Q$2&amp;Q$1&amp;"P"&amp;$A48))))))))))</f>
        <v>0</v>
      </c>
      <c r="R48" s="12">
        <f ca="1">IF($A$2="PREMIUM_OI",IFERROR(IF($X$1="ABS",(100*RTD("tos.rtd",,"OPEN_INT","."&amp;R$2&amp;R$1&amp;"C"&amp;$A48)*RTD("tos.rtd",,"LAST","."&amp;R$2&amp;R$1&amp;"C"&amp;$A48)+100*RTD("tos.rtd",,"OPEN_INT","."&amp;R$2&amp;R$1&amp;"P"&amp;$A48)*RTD("tos.rtd",,"LAST","."&amp;R$2&amp;R$1&amp;"P"&amp;$A48))/1000000,(100*RTD("tos.rtd",,"OPEN_INT","."&amp;R$2&amp;R$1&amp;"C"&amp;$A48)*RTD("tos.rtd",,"LAST","."&amp;R$2&amp;R$1&amp;"C"&amp;$A48)-100*RTD("tos.rtd",,"OPEN_INT","."&amp;R$2&amp;R$1&amp;"P"&amp;$A48)*RTD("tos.rtd",,"LAST","."&amp;R$2&amp;R$1&amp;"P"&amp;$A48))/1000000),0),IF($A$2="PREMIUM",IFERROR(IF($X$1="ABS",(100*RTD("tos.rtd",,"VOLUME","."&amp;R$2&amp;R$1&amp;"C"&amp;$A48)*RTD("tos.rtd",,"LAST","."&amp;R$2&amp;R$1&amp;"C"&amp;$A48)+100*RTD("tos.rtd",,"VOLUME","."&amp;R$2&amp;R$1&amp;"P"&amp;$A48)*RTD("tos.rtd",,"LAST","."&amp;R$2&amp;R$1&amp;"P"&amp;$A48))/1000000,(100*RTD("tos.rtd",,"VOLUME","."&amp;R$2&amp;R$1&amp;"C"&amp;$A48)*RTD("tos.rtd",,"LAST","."&amp;R$2&amp;R$1&amp;"C"&amp;$A48)-100*RTD("tos.rtd",,"VOLUME","."&amp;R$2&amp;R$1&amp;"P"&amp;$A48)*RTD("tos.rtd",,"LAST","."&amp;R$2&amp;R$1&amp;"P"&amp;$A48))/1000000),0),IF($A$2="DEX",IFERROR(IF($X$1="ABS",(100*RTD("tos.rtd",,"OPEN_INT","."&amp;R$2&amp;R$1&amp;"C"&amp;$A48)*RTD("tos.rtd",,"DELTA","."&amp;R$2&amp;R$1&amp;"C"&amp;$A48)+100*RTD("tos.rtd",,"OPEN_INT","."&amp;R$2&amp;R$1&amp;"P"&amp;$A48)*RTD("tos.rtd",,"DELTA","."&amp;R$2&amp;R$1&amp;"P"&amp;$A48))/1000,(100*RTD("tos.rtd",,"OPEN_INT","."&amp;R$2&amp;R$1&amp;"C"&amp;$A48)*RTD("tos.rtd",,"DELTA","."&amp;R$2&amp;R$1&amp;"C"&amp;$A48)-100*RTD("tos.rtd",,"OPEN_INT","."&amp;R$2&amp;R$1&amp;"P"&amp;$A48)*RTD("tos.rtd",,"DELTA","."&amp;R$2&amp;R$1&amp;"P"&amp;$A48))/1000),0),IF($A$2="VEX",IFERROR(IF($X$1="ABS",($A$4*$A$4*RTD("tos.rtd",,"VOLUME","."&amp;R$2&amp;R$1&amp;"C"&amp;$A48)*RTD("tos.rtd",,"GAMMA","."&amp;R$2&amp;R$1&amp;"C"&amp;$A48)+$A$4*$A$4*RTD("tos.rtd",,"VOLUME","."&amp;R$2&amp;R$1&amp;"P"&amp;$A48)*RTD("tos.rtd",,"GAMMA","."&amp;R$2&amp;R$1&amp;"P"&amp;$A48))/1000000,($A$4*$A$4*RTD("tos.rtd",,"VOLUME","."&amp;R$2&amp;R$1&amp;"C"&amp;$A48)*RTD("tos.rtd",,"GAMMA","."&amp;R$2&amp;R$1&amp;"C"&amp;$A48)-$A$4*$A$4*RTD("tos.rtd",,"VOLUME","."&amp;R$2&amp;R$1&amp;"P"&amp;$A48)*RTD("tos.rtd",,"GAMMA","."&amp;R$2&amp;R$1&amp;"P"&amp;$A48))/1000000),0),IF($A$2="GEX",IFERROR(IF($X$1="ABS",($A$4*$A$4*RTD("tos.rtd",,"OPEN_INT","."&amp;R$2&amp;R$1&amp;"C"&amp;$A48)*RTD("tos.rtd",,"GAMMA","."&amp;R$2&amp;R$1&amp;"C"&amp;$A48)+$A$4*$A$4*RTD("tos.rtd",,"OPEN_INT","."&amp;R$2&amp;R$1&amp;"P"&amp;$A48)*RTD("tos.rtd",,"GAMMA","."&amp;R$2&amp;R$1&amp;"P"&amp;$A48))/1000000,($A$4*$A$4*RTD("tos.rtd",,"OPEN_INT","."&amp;R$2&amp;R$1&amp;"C"&amp;$A48)*RTD("tos.rtd",,"GAMMA","."&amp;R$2&amp;R$1&amp;"C"&amp;$A48)-$A$4*$A$4*RTD("tos.rtd",,"OPEN_INT","."&amp;R$2&amp;R$1&amp;"P"&amp;$A48)*RTD("tos.rtd",,"GAMMA","."&amp;R$2&amp;R$1&amp;"P"&amp;$A48))/1000000),0),IF($A$2="SKEW",IFERROR(VALUE(IF(RTD("tos.rtd",,"IMPL_VOL","."&amp;R$2&amp;R$1&amp;"P"&amp;$A48)="N/A",0,RTD("tos.rtd",,"IMPL_VOL","."&amp;R$2&amp;R$1&amp;"P"&amp;$A48))),0)-IFERROR(VALUE(IF(RTD("tos.rtd",,"IMPL_VOL","."&amp;R$2&amp;R$1&amp;"C"&amp;$A48)="N/A",0,RTD("tos.rtd",,"IMPL_VOL","."&amp;R$2&amp;R$1&amp;"C"&amp;$A48))),0),IF($A$2="MAXPAIN",IF($A$4&gt;$A48,($A$4-$A48)*IF(RTD("tos.rtd",,"OPEN_INT","."&amp;R$2&amp;R$1&amp;"C"&amp;$A48)="N/A",0,RTD("tos.rtd",,"OPEN_INT","."&amp;R$2&amp;R$1&amp;"C"&amp;$A48)),0)+IF($A$4&lt;$A48,($A$5-$A$4)*IF(RTD("tos.rtd",,"OPEN_INT","."&amp;R$2&amp;R$1&amp;"P"&amp;$A48)="N/A",0,RTD("tos.rtd",,"OPEN_INT","."&amp;R$2&amp;R$1&amp;"P"&amp;$A48)),0),IF($X$1="ABS",IF(RTD("tos.rtd",,$A$2,"."&amp;R$2&amp;R$1&amp;"C"&amp;$A48)="N/A",0,RTD("tos.rtd",,$A$2,"."&amp;R$2&amp;R$1&amp;"C"&amp;$A48))+IF(RTD("tos.rtd",,$A$2,"."&amp;R$2&amp;R$1&amp;"P"&amp;$A48)="N/A",0,RTD("tos.rtd",,$A$2,"."&amp;R$2&amp;R$1&amp;"P"&amp;$A48)),IF(RTD("tos.rtd",,$A$2,"."&amp;R$2&amp;R$1&amp;"C"&amp;$A48)="N/A",0,RTD("tos.rtd",,$A$2,"."&amp;R$2&amp;R$1&amp;"C"&amp;$A48))-IF(RTD("tos.rtd",,$A$2,"."&amp;R$2&amp;R$1&amp;"P"&amp;$A48)="N/A",0,RTD("tos.rtd",,$A$2,"."&amp;R$2&amp;R$1&amp;"P"&amp;$A48))))))))))</f>
        <v>0</v>
      </c>
      <c r="S48" s="12">
        <f ca="1">IF($A$2="PREMIUM_OI",IFERROR(IF($X$1="ABS",(100*RTD("tos.rtd",,"OPEN_INT","."&amp;S$2&amp;S$1&amp;"C"&amp;$A48)*RTD("tos.rtd",,"LAST","."&amp;S$2&amp;S$1&amp;"C"&amp;$A48)+100*RTD("tos.rtd",,"OPEN_INT","."&amp;S$2&amp;S$1&amp;"P"&amp;$A48)*RTD("tos.rtd",,"LAST","."&amp;S$2&amp;S$1&amp;"P"&amp;$A48))/1000000,(100*RTD("tos.rtd",,"OPEN_INT","."&amp;S$2&amp;S$1&amp;"C"&amp;$A48)*RTD("tos.rtd",,"LAST","."&amp;S$2&amp;S$1&amp;"C"&amp;$A48)-100*RTD("tos.rtd",,"OPEN_INT","."&amp;S$2&amp;S$1&amp;"P"&amp;$A48)*RTD("tos.rtd",,"LAST","."&amp;S$2&amp;S$1&amp;"P"&amp;$A48))/1000000),0),IF($A$2="PREMIUM",IFERROR(IF($X$1="ABS",(100*RTD("tos.rtd",,"VOLUME","."&amp;S$2&amp;S$1&amp;"C"&amp;$A48)*RTD("tos.rtd",,"LAST","."&amp;S$2&amp;S$1&amp;"C"&amp;$A48)+100*RTD("tos.rtd",,"VOLUME","."&amp;S$2&amp;S$1&amp;"P"&amp;$A48)*RTD("tos.rtd",,"LAST","."&amp;S$2&amp;S$1&amp;"P"&amp;$A48))/1000000,(100*RTD("tos.rtd",,"VOLUME","."&amp;S$2&amp;S$1&amp;"C"&amp;$A48)*RTD("tos.rtd",,"LAST","."&amp;S$2&amp;S$1&amp;"C"&amp;$A48)-100*RTD("tos.rtd",,"VOLUME","."&amp;S$2&amp;S$1&amp;"P"&amp;$A48)*RTD("tos.rtd",,"LAST","."&amp;S$2&amp;S$1&amp;"P"&amp;$A48))/1000000),0),IF($A$2="DEX",IFERROR(IF($X$1="ABS",(100*RTD("tos.rtd",,"OPEN_INT","."&amp;S$2&amp;S$1&amp;"C"&amp;$A48)*RTD("tos.rtd",,"DELTA","."&amp;S$2&amp;S$1&amp;"C"&amp;$A48)+100*RTD("tos.rtd",,"OPEN_INT","."&amp;S$2&amp;S$1&amp;"P"&amp;$A48)*RTD("tos.rtd",,"DELTA","."&amp;S$2&amp;S$1&amp;"P"&amp;$A48))/1000,(100*RTD("tos.rtd",,"OPEN_INT","."&amp;S$2&amp;S$1&amp;"C"&amp;$A48)*RTD("tos.rtd",,"DELTA","."&amp;S$2&amp;S$1&amp;"C"&amp;$A48)-100*RTD("tos.rtd",,"OPEN_INT","."&amp;S$2&amp;S$1&amp;"P"&amp;$A48)*RTD("tos.rtd",,"DELTA","."&amp;S$2&amp;S$1&amp;"P"&amp;$A48))/1000),0),IF($A$2="VEX",IFERROR(IF($X$1="ABS",($A$4*$A$4*RTD("tos.rtd",,"VOLUME","."&amp;S$2&amp;S$1&amp;"C"&amp;$A48)*RTD("tos.rtd",,"GAMMA","."&amp;S$2&amp;S$1&amp;"C"&amp;$A48)+$A$4*$A$4*RTD("tos.rtd",,"VOLUME","."&amp;S$2&amp;S$1&amp;"P"&amp;$A48)*RTD("tos.rtd",,"GAMMA","."&amp;S$2&amp;S$1&amp;"P"&amp;$A48))/1000000,($A$4*$A$4*RTD("tos.rtd",,"VOLUME","."&amp;S$2&amp;S$1&amp;"C"&amp;$A48)*RTD("tos.rtd",,"GAMMA","."&amp;S$2&amp;S$1&amp;"C"&amp;$A48)-$A$4*$A$4*RTD("tos.rtd",,"VOLUME","."&amp;S$2&amp;S$1&amp;"P"&amp;$A48)*RTD("tos.rtd",,"GAMMA","."&amp;S$2&amp;S$1&amp;"P"&amp;$A48))/1000000),0),IF($A$2="GEX",IFERROR(IF($X$1="ABS",($A$4*$A$4*RTD("tos.rtd",,"OPEN_INT","."&amp;S$2&amp;S$1&amp;"C"&amp;$A48)*RTD("tos.rtd",,"GAMMA","."&amp;S$2&amp;S$1&amp;"C"&amp;$A48)+$A$4*$A$4*RTD("tos.rtd",,"OPEN_INT","."&amp;S$2&amp;S$1&amp;"P"&amp;$A48)*RTD("tos.rtd",,"GAMMA","."&amp;S$2&amp;S$1&amp;"P"&amp;$A48))/1000000,($A$4*$A$4*RTD("tos.rtd",,"OPEN_INT","."&amp;S$2&amp;S$1&amp;"C"&amp;$A48)*RTD("tos.rtd",,"GAMMA","."&amp;S$2&amp;S$1&amp;"C"&amp;$A48)-$A$4*$A$4*RTD("tos.rtd",,"OPEN_INT","."&amp;S$2&amp;S$1&amp;"P"&amp;$A48)*RTD("tos.rtd",,"GAMMA","."&amp;S$2&amp;S$1&amp;"P"&amp;$A48))/1000000),0),IF($A$2="SKEW",IFERROR(VALUE(IF(RTD("tos.rtd",,"IMPL_VOL","."&amp;S$2&amp;S$1&amp;"P"&amp;$A48)="N/A",0,RTD("tos.rtd",,"IMPL_VOL","."&amp;S$2&amp;S$1&amp;"P"&amp;$A48))),0)-IFERROR(VALUE(IF(RTD("tos.rtd",,"IMPL_VOL","."&amp;S$2&amp;S$1&amp;"C"&amp;$A48)="N/A",0,RTD("tos.rtd",,"IMPL_VOL","."&amp;S$2&amp;S$1&amp;"C"&amp;$A48))),0),IF($A$2="MAXPAIN",IF($A$4&gt;$A48,($A$4-$A48)*IF(RTD("tos.rtd",,"OPEN_INT","."&amp;S$2&amp;S$1&amp;"C"&amp;$A48)="N/A",0,RTD("tos.rtd",,"OPEN_INT","."&amp;S$2&amp;S$1&amp;"C"&amp;$A48)),0)+IF($A$4&lt;$A48,($A$5-$A$4)*IF(RTD("tos.rtd",,"OPEN_INT","."&amp;S$2&amp;S$1&amp;"P"&amp;$A48)="N/A",0,RTD("tos.rtd",,"OPEN_INT","."&amp;S$2&amp;S$1&amp;"P"&amp;$A48)),0),IF($X$1="ABS",IF(RTD("tos.rtd",,$A$2,"."&amp;S$2&amp;S$1&amp;"C"&amp;$A48)="N/A",0,RTD("tos.rtd",,$A$2,"."&amp;S$2&amp;S$1&amp;"C"&amp;$A48))+IF(RTD("tos.rtd",,$A$2,"."&amp;S$2&amp;S$1&amp;"P"&amp;$A48)="N/A",0,RTD("tos.rtd",,$A$2,"."&amp;S$2&amp;S$1&amp;"P"&amp;$A48)),IF(RTD("tos.rtd",,$A$2,"."&amp;S$2&amp;S$1&amp;"C"&amp;$A48)="N/A",0,RTD("tos.rtd",,$A$2,"."&amp;S$2&amp;S$1&amp;"C"&amp;$A48))-IF(RTD("tos.rtd",,$A$2,"."&amp;S$2&amp;S$1&amp;"P"&amp;$A48)="N/A",0,RTD("tos.rtd",,$A$2,"."&amp;S$2&amp;S$1&amp;"P"&amp;$A48))))))))))</f>
        <v>0</v>
      </c>
      <c r="T48" s="12">
        <f ca="1">IF($A$2="PREMIUM_OI",IFERROR(IF($X$1="ABS",(100*RTD("tos.rtd",,"OPEN_INT","."&amp;T$2&amp;T$1&amp;"C"&amp;$A48)*RTD("tos.rtd",,"LAST","."&amp;T$2&amp;T$1&amp;"C"&amp;$A48)+100*RTD("tos.rtd",,"OPEN_INT","."&amp;T$2&amp;T$1&amp;"P"&amp;$A48)*RTD("tos.rtd",,"LAST","."&amp;T$2&amp;T$1&amp;"P"&amp;$A48))/1000000,(100*RTD("tos.rtd",,"OPEN_INT","."&amp;T$2&amp;T$1&amp;"C"&amp;$A48)*RTD("tos.rtd",,"LAST","."&amp;T$2&amp;T$1&amp;"C"&amp;$A48)-100*RTD("tos.rtd",,"OPEN_INT","."&amp;T$2&amp;T$1&amp;"P"&amp;$A48)*RTD("tos.rtd",,"LAST","."&amp;T$2&amp;T$1&amp;"P"&amp;$A48))/1000000),0),IF($A$2="PREMIUM",IFERROR(IF($X$1="ABS",(100*RTD("tos.rtd",,"VOLUME","."&amp;T$2&amp;T$1&amp;"C"&amp;$A48)*RTD("tos.rtd",,"LAST","."&amp;T$2&amp;T$1&amp;"C"&amp;$A48)+100*RTD("tos.rtd",,"VOLUME","."&amp;T$2&amp;T$1&amp;"P"&amp;$A48)*RTD("tos.rtd",,"LAST","."&amp;T$2&amp;T$1&amp;"P"&amp;$A48))/1000000,(100*RTD("tos.rtd",,"VOLUME","."&amp;T$2&amp;T$1&amp;"C"&amp;$A48)*RTD("tos.rtd",,"LAST","."&amp;T$2&amp;T$1&amp;"C"&amp;$A48)-100*RTD("tos.rtd",,"VOLUME","."&amp;T$2&amp;T$1&amp;"P"&amp;$A48)*RTD("tos.rtd",,"LAST","."&amp;T$2&amp;T$1&amp;"P"&amp;$A48))/1000000),0),IF($A$2="DEX",IFERROR(IF($X$1="ABS",(100*RTD("tos.rtd",,"OPEN_INT","."&amp;T$2&amp;T$1&amp;"C"&amp;$A48)*RTD("tos.rtd",,"DELTA","."&amp;T$2&amp;T$1&amp;"C"&amp;$A48)+100*RTD("tos.rtd",,"OPEN_INT","."&amp;T$2&amp;T$1&amp;"P"&amp;$A48)*RTD("tos.rtd",,"DELTA","."&amp;T$2&amp;T$1&amp;"P"&amp;$A48))/1000,(100*RTD("tos.rtd",,"OPEN_INT","."&amp;T$2&amp;T$1&amp;"C"&amp;$A48)*RTD("tos.rtd",,"DELTA","."&amp;T$2&amp;T$1&amp;"C"&amp;$A48)-100*RTD("tos.rtd",,"OPEN_INT","."&amp;T$2&amp;T$1&amp;"P"&amp;$A48)*RTD("tos.rtd",,"DELTA","."&amp;T$2&amp;T$1&amp;"P"&amp;$A48))/1000),0),IF($A$2="VEX",IFERROR(IF($X$1="ABS",($A$4*$A$4*RTD("tos.rtd",,"VOLUME","."&amp;T$2&amp;T$1&amp;"C"&amp;$A48)*RTD("tos.rtd",,"GAMMA","."&amp;T$2&amp;T$1&amp;"C"&amp;$A48)+$A$4*$A$4*RTD("tos.rtd",,"VOLUME","."&amp;T$2&amp;T$1&amp;"P"&amp;$A48)*RTD("tos.rtd",,"GAMMA","."&amp;T$2&amp;T$1&amp;"P"&amp;$A48))/1000000,($A$4*$A$4*RTD("tos.rtd",,"VOLUME","."&amp;T$2&amp;T$1&amp;"C"&amp;$A48)*RTD("tos.rtd",,"GAMMA","."&amp;T$2&amp;T$1&amp;"C"&amp;$A48)-$A$4*$A$4*RTD("tos.rtd",,"VOLUME","."&amp;T$2&amp;T$1&amp;"P"&amp;$A48)*RTD("tos.rtd",,"GAMMA","."&amp;T$2&amp;T$1&amp;"P"&amp;$A48))/1000000),0),IF($A$2="GEX",IFERROR(IF($X$1="ABS",($A$4*$A$4*RTD("tos.rtd",,"OPEN_INT","."&amp;T$2&amp;T$1&amp;"C"&amp;$A48)*RTD("tos.rtd",,"GAMMA","."&amp;T$2&amp;T$1&amp;"C"&amp;$A48)+$A$4*$A$4*RTD("tos.rtd",,"OPEN_INT","."&amp;T$2&amp;T$1&amp;"P"&amp;$A48)*RTD("tos.rtd",,"GAMMA","."&amp;T$2&amp;T$1&amp;"P"&amp;$A48))/1000000,($A$4*$A$4*RTD("tos.rtd",,"OPEN_INT","."&amp;T$2&amp;T$1&amp;"C"&amp;$A48)*RTD("tos.rtd",,"GAMMA","."&amp;T$2&amp;T$1&amp;"C"&amp;$A48)-$A$4*$A$4*RTD("tos.rtd",,"OPEN_INT","."&amp;T$2&amp;T$1&amp;"P"&amp;$A48)*RTD("tos.rtd",,"GAMMA","."&amp;T$2&amp;T$1&amp;"P"&amp;$A48))/1000000),0),IF($A$2="SKEW",IFERROR(VALUE(IF(RTD("tos.rtd",,"IMPL_VOL","."&amp;T$2&amp;T$1&amp;"P"&amp;$A48)="N/A",0,RTD("tos.rtd",,"IMPL_VOL","."&amp;T$2&amp;T$1&amp;"P"&amp;$A48))),0)-IFERROR(VALUE(IF(RTD("tos.rtd",,"IMPL_VOL","."&amp;T$2&amp;T$1&amp;"C"&amp;$A48)="N/A",0,RTD("tos.rtd",,"IMPL_VOL","."&amp;T$2&amp;T$1&amp;"C"&amp;$A48))),0),IF($A$2="MAXPAIN",IF($A$4&gt;$A48,($A$4-$A48)*IF(RTD("tos.rtd",,"OPEN_INT","."&amp;T$2&amp;T$1&amp;"C"&amp;$A48)="N/A",0,RTD("tos.rtd",,"OPEN_INT","."&amp;T$2&amp;T$1&amp;"C"&amp;$A48)),0)+IF($A$4&lt;$A48,($A$5-$A$4)*IF(RTD("tos.rtd",,"OPEN_INT","."&amp;T$2&amp;T$1&amp;"P"&amp;$A48)="N/A",0,RTD("tos.rtd",,"OPEN_INT","."&amp;T$2&amp;T$1&amp;"P"&amp;$A48)),0),IF($X$1="ABS",IF(RTD("tos.rtd",,$A$2,"."&amp;T$2&amp;T$1&amp;"C"&amp;$A48)="N/A",0,RTD("tos.rtd",,$A$2,"."&amp;T$2&amp;T$1&amp;"C"&amp;$A48))+IF(RTD("tos.rtd",,$A$2,"."&amp;T$2&amp;T$1&amp;"P"&amp;$A48)="N/A",0,RTD("tos.rtd",,$A$2,"."&amp;T$2&amp;T$1&amp;"P"&amp;$A48)),IF(RTD("tos.rtd",,$A$2,"."&amp;T$2&amp;T$1&amp;"C"&amp;$A48)="N/A",0,RTD("tos.rtd",,$A$2,"."&amp;T$2&amp;T$1&amp;"C"&amp;$A48))-IF(RTD("tos.rtd",,$A$2,"."&amp;T$2&amp;T$1&amp;"P"&amp;$A48)="N/A",0,RTD("tos.rtd",,$A$2,"."&amp;T$2&amp;T$1&amp;"P"&amp;$A48))))))))))</f>
        <v>0</v>
      </c>
      <c r="U48" s="12">
        <f ca="1">IF($A$2="PREMIUM_OI",IFERROR(IF($X$1="ABS",(100*RTD("tos.rtd",,"OPEN_INT","."&amp;U$2&amp;U$1&amp;"C"&amp;$A48)*RTD("tos.rtd",,"LAST","."&amp;U$2&amp;U$1&amp;"C"&amp;$A48)+100*RTD("tos.rtd",,"OPEN_INT","."&amp;U$2&amp;U$1&amp;"P"&amp;$A48)*RTD("tos.rtd",,"LAST","."&amp;U$2&amp;U$1&amp;"P"&amp;$A48))/1000000,(100*RTD("tos.rtd",,"OPEN_INT","."&amp;U$2&amp;U$1&amp;"C"&amp;$A48)*RTD("tos.rtd",,"LAST","."&amp;U$2&amp;U$1&amp;"C"&amp;$A48)-100*RTD("tos.rtd",,"OPEN_INT","."&amp;U$2&amp;U$1&amp;"P"&amp;$A48)*RTD("tos.rtd",,"LAST","."&amp;U$2&amp;U$1&amp;"P"&amp;$A48))/1000000),0),IF($A$2="PREMIUM",IFERROR(IF($X$1="ABS",(100*RTD("tos.rtd",,"VOLUME","."&amp;U$2&amp;U$1&amp;"C"&amp;$A48)*RTD("tos.rtd",,"LAST","."&amp;U$2&amp;U$1&amp;"C"&amp;$A48)+100*RTD("tos.rtd",,"VOLUME","."&amp;U$2&amp;U$1&amp;"P"&amp;$A48)*RTD("tos.rtd",,"LAST","."&amp;U$2&amp;U$1&amp;"P"&amp;$A48))/1000000,(100*RTD("tos.rtd",,"VOLUME","."&amp;U$2&amp;U$1&amp;"C"&amp;$A48)*RTD("tos.rtd",,"LAST","."&amp;U$2&amp;U$1&amp;"C"&amp;$A48)-100*RTD("tos.rtd",,"VOLUME","."&amp;U$2&amp;U$1&amp;"P"&amp;$A48)*RTD("tos.rtd",,"LAST","."&amp;U$2&amp;U$1&amp;"P"&amp;$A48))/1000000),0),IF($A$2="DEX",IFERROR(IF($X$1="ABS",(100*RTD("tos.rtd",,"OPEN_INT","."&amp;U$2&amp;U$1&amp;"C"&amp;$A48)*RTD("tos.rtd",,"DELTA","."&amp;U$2&amp;U$1&amp;"C"&amp;$A48)+100*RTD("tos.rtd",,"OPEN_INT","."&amp;U$2&amp;U$1&amp;"P"&amp;$A48)*RTD("tos.rtd",,"DELTA","."&amp;U$2&amp;U$1&amp;"P"&amp;$A48))/1000,(100*RTD("tos.rtd",,"OPEN_INT","."&amp;U$2&amp;U$1&amp;"C"&amp;$A48)*RTD("tos.rtd",,"DELTA","."&amp;U$2&amp;U$1&amp;"C"&amp;$A48)-100*RTD("tos.rtd",,"OPEN_INT","."&amp;U$2&amp;U$1&amp;"P"&amp;$A48)*RTD("tos.rtd",,"DELTA","."&amp;U$2&amp;U$1&amp;"P"&amp;$A48))/1000),0),IF($A$2="VEX",IFERROR(IF($X$1="ABS",($A$4*$A$4*RTD("tos.rtd",,"VOLUME","."&amp;U$2&amp;U$1&amp;"C"&amp;$A48)*RTD("tos.rtd",,"GAMMA","."&amp;U$2&amp;U$1&amp;"C"&amp;$A48)+$A$4*$A$4*RTD("tos.rtd",,"VOLUME","."&amp;U$2&amp;U$1&amp;"P"&amp;$A48)*RTD("tos.rtd",,"GAMMA","."&amp;U$2&amp;U$1&amp;"P"&amp;$A48))/1000000,($A$4*$A$4*RTD("tos.rtd",,"VOLUME","."&amp;U$2&amp;U$1&amp;"C"&amp;$A48)*RTD("tos.rtd",,"GAMMA","."&amp;U$2&amp;U$1&amp;"C"&amp;$A48)-$A$4*$A$4*RTD("tos.rtd",,"VOLUME","."&amp;U$2&amp;U$1&amp;"P"&amp;$A48)*RTD("tos.rtd",,"GAMMA","."&amp;U$2&amp;U$1&amp;"P"&amp;$A48))/1000000),0),IF($A$2="GEX",IFERROR(IF($X$1="ABS",($A$4*$A$4*RTD("tos.rtd",,"OPEN_INT","."&amp;U$2&amp;U$1&amp;"C"&amp;$A48)*RTD("tos.rtd",,"GAMMA","."&amp;U$2&amp;U$1&amp;"C"&amp;$A48)+$A$4*$A$4*RTD("tos.rtd",,"OPEN_INT","."&amp;U$2&amp;U$1&amp;"P"&amp;$A48)*RTD("tos.rtd",,"GAMMA","."&amp;U$2&amp;U$1&amp;"P"&amp;$A48))/1000000,($A$4*$A$4*RTD("tos.rtd",,"OPEN_INT","."&amp;U$2&amp;U$1&amp;"C"&amp;$A48)*RTD("tos.rtd",,"GAMMA","."&amp;U$2&amp;U$1&amp;"C"&amp;$A48)-$A$4*$A$4*RTD("tos.rtd",,"OPEN_INT","."&amp;U$2&amp;U$1&amp;"P"&amp;$A48)*RTD("tos.rtd",,"GAMMA","."&amp;U$2&amp;U$1&amp;"P"&amp;$A48))/1000000),0),IF($A$2="SKEW",IFERROR(VALUE(IF(RTD("tos.rtd",,"IMPL_VOL","."&amp;U$2&amp;U$1&amp;"P"&amp;$A48)="N/A",0,RTD("tos.rtd",,"IMPL_VOL","."&amp;U$2&amp;U$1&amp;"P"&amp;$A48))),0)-IFERROR(VALUE(IF(RTD("tos.rtd",,"IMPL_VOL","."&amp;U$2&amp;U$1&amp;"C"&amp;$A48)="N/A",0,RTD("tos.rtd",,"IMPL_VOL","."&amp;U$2&amp;U$1&amp;"C"&amp;$A48))),0),IF($A$2="MAXPAIN",IF($A$4&gt;$A48,($A$4-$A48)*IF(RTD("tos.rtd",,"OPEN_INT","."&amp;U$2&amp;U$1&amp;"C"&amp;$A48)="N/A",0,RTD("tos.rtd",,"OPEN_INT","."&amp;U$2&amp;U$1&amp;"C"&amp;$A48)),0)+IF($A$4&lt;$A48,($A$5-$A$4)*IF(RTD("tos.rtd",,"OPEN_INT","."&amp;U$2&amp;U$1&amp;"P"&amp;$A48)="N/A",0,RTD("tos.rtd",,"OPEN_INT","."&amp;U$2&amp;U$1&amp;"P"&amp;$A48)),0),IF($X$1="ABS",IF(RTD("tos.rtd",,$A$2,"."&amp;U$2&amp;U$1&amp;"C"&amp;$A48)="N/A",0,RTD("tos.rtd",,$A$2,"."&amp;U$2&amp;U$1&amp;"C"&amp;$A48))+IF(RTD("tos.rtd",,$A$2,"."&amp;U$2&amp;U$1&amp;"P"&amp;$A48)="N/A",0,RTD("tos.rtd",,$A$2,"."&amp;U$2&amp;U$1&amp;"P"&amp;$A48)),IF(RTD("tos.rtd",,$A$2,"."&amp;U$2&amp;U$1&amp;"C"&amp;$A48)="N/A",0,RTD("tos.rtd",,$A$2,"."&amp;U$2&amp;U$1&amp;"C"&amp;$A48))-IF(RTD("tos.rtd",,$A$2,"."&amp;U$2&amp;U$1&amp;"P"&amp;$A48)="N/A",0,RTD("tos.rtd",,$A$2,"."&amp;U$2&amp;U$1&amp;"P"&amp;$A48))))))))))</f>
        <v>0</v>
      </c>
      <c r="V48" s="12">
        <f ca="1">IF($A$2="PREMIUM_OI",IFERROR(IF($X$1="ABS",(100*RTD("tos.rtd",,"OPEN_INT","."&amp;V$2&amp;V$1&amp;"C"&amp;$A48)*RTD("tos.rtd",,"LAST","."&amp;V$2&amp;V$1&amp;"C"&amp;$A48)+100*RTD("tos.rtd",,"OPEN_INT","."&amp;V$2&amp;V$1&amp;"P"&amp;$A48)*RTD("tos.rtd",,"LAST","."&amp;V$2&amp;V$1&amp;"P"&amp;$A48))/1000000,(100*RTD("tos.rtd",,"OPEN_INT","."&amp;V$2&amp;V$1&amp;"C"&amp;$A48)*RTD("tos.rtd",,"LAST","."&amp;V$2&amp;V$1&amp;"C"&amp;$A48)-100*RTD("tos.rtd",,"OPEN_INT","."&amp;V$2&amp;V$1&amp;"P"&amp;$A48)*RTD("tos.rtd",,"LAST","."&amp;V$2&amp;V$1&amp;"P"&amp;$A48))/1000000),0),IF($A$2="PREMIUM",IFERROR(IF($X$1="ABS",(100*RTD("tos.rtd",,"VOLUME","."&amp;V$2&amp;V$1&amp;"C"&amp;$A48)*RTD("tos.rtd",,"LAST","."&amp;V$2&amp;V$1&amp;"C"&amp;$A48)+100*RTD("tos.rtd",,"VOLUME","."&amp;V$2&amp;V$1&amp;"P"&amp;$A48)*RTD("tos.rtd",,"LAST","."&amp;V$2&amp;V$1&amp;"P"&amp;$A48))/1000000,(100*RTD("tos.rtd",,"VOLUME","."&amp;V$2&amp;V$1&amp;"C"&amp;$A48)*RTD("tos.rtd",,"LAST","."&amp;V$2&amp;V$1&amp;"C"&amp;$A48)-100*RTD("tos.rtd",,"VOLUME","."&amp;V$2&amp;V$1&amp;"P"&amp;$A48)*RTD("tos.rtd",,"LAST","."&amp;V$2&amp;V$1&amp;"P"&amp;$A48))/1000000),0),IF($A$2="DEX",IFERROR(IF($X$1="ABS",(100*RTD("tos.rtd",,"OPEN_INT","."&amp;V$2&amp;V$1&amp;"C"&amp;$A48)*RTD("tos.rtd",,"DELTA","."&amp;V$2&amp;V$1&amp;"C"&amp;$A48)+100*RTD("tos.rtd",,"OPEN_INT","."&amp;V$2&amp;V$1&amp;"P"&amp;$A48)*RTD("tos.rtd",,"DELTA","."&amp;V$2&amp;V$1&amp;"P"&amp;$A48))/1000,(100*RTD("tos.rtd",,"OPEN_INT","."&amp;V$2&amp;V$1&amp;"C"&amp;$A48)*RTD("tos.rtd",,"DELTA","."&amp;V$2&amp;V$1&amp;"C"&amp;$A48)-100*RTD("tos.rtd",,"OPEN_INT","."&amp;V$2&amp;V$1&amp;"P"&amp;$A48)*RTD("tos.rtd",,"DELTA","."&amp;V$2&amp;V$1&amp;"P"&amp;$A48))/1000),0),IF($A$2="VEX",IFERROR(IF($X$1="ABS",($A$4*$A$4*RTD("tos.rtd",,"VOLUME","."&amp;V$2&amp;V$1&amp;"C"&amp;$A48)*RTD("tos.rtd",,"GAMMA","."&amp;V$2&amp;V$1&amp;"C"&amp;$A48)+$A$4*$A$4*RTD("tos.rtd",,"VOLUME","."&amp;V$2&amp;V$1&amp;"P"&amp;$A48)*RTD("tos.rtd",,"GAMMA","."&amp;V$2&amp;V$1&amp;"P"&amp;$A48))/1000000,($A$4*$A$4*RTD("tos.rtd",,"VOLUME","."&amp;V$2&amp;V$1&amp;"C"&amp;$A48)*RTD("tos.rtd",,"GAMMA","."&amp;V$2&amp;V$1&amp;"C"&amp;$A48)-$A$4*$A$4*RTD("tos.rtd",,"VOLUME","."&amp;V$2&amp;V$1&amp;"P"&amp;$A48)*RTD("tos.rtd",,"GAMMA","."&amp;V$2&amp;V$1&amp;"P"&amp;$A48))/1000000),0),IF($A$2="GEX",IFERROR(IF($X$1="ABS",($A$4*$A$4*RTD("tos.rtd",,"OPEN_INT","."&amp;V$2&amp;V$1&amp;"C"&amp;$A48)*RTD("tos.rtd",,"GAMMA","."&amp;V$2&amp;V$1&amp;"C"&amp;$A48)+$A$4*$A$4*RTD("tos.rtd",,"OPEN_INT","."&amp;V$2&amp;V$1&amp;"P"&amp;$A48)*RTD("tos.rtd",,"GAMMA","."&amp;V$2&amp;V$1&amp;"P"&amp;$A48))/1000000,($A$4*$A$4*RTD("tos.rtd",,"OPEN_INT","."&amp;V$2&amp;V$1&amp;"C"&amp;$A48)*RTD("tos.rtd",,"GAMMA","."&amp;V$2&amp;V$1&amp;"C"&amp;$A48)-$A$4*$A$4*RTD("tos.rtd",,"OPEN_INT","."&amp;V$2&amp;V$1&amp;"P"&amp;$A48)*RTD("tos.rtd",,"GAMMA","."&amp;V$2&amp;V$1&amp;"P"&amp;$A48))/1000000),0),IF($A$2="SKEW",IFERROR(VALUE(IF(RTD("tos.rtd",,"IMPL_VOL","."&amp;V$2&amp;V$1&amp;"P"&amp;$A48)="N/A",0,RTD("tos.rtd",,"IMPL_VOL","."&amp;V$2&amp;V$1&amp;"P"&amp;$A48))),0)-IFERROR(VALUE(IF(RTD("tos.rtd",,"IMPL_VOL","."&amp;V$2&amp;V$1&amp;"C"&amp;$A48)="N/A",0,RTD("tos.rtd",,"IMPL_VOL","."&amp;V$2&amp;V$1&amp;"C"&amp;$A48))),0),IF($A$2="MAXPAIN",IF($A$4&gt;$A48,($A$4-$A48)*IF(RTD("tos.rtd",,"OPEN_INT","."&amp;V$2&amp;V$1&amp;"C"&amp;$A48)="N/A",0,RTD("tos.rtd",,"OPEN_INT","."&amp;V$2&amp;V$1&amp;"C"&amp;$A48)),0)+IF($A$4&lt;$A48,($A$5-$A$4)*IF(RTD("tos.rtd",,"OPEN_INT","."&amp;V$2&amp;V$1&amp;"P"&amp;$A48)="N/A",0,RTD("tos.rtd",,"OPEN_INT","."&amp;V$2&amp;V$1&amp;"P"&amp;$A48)),0),IF($X$1="ABS",IF(RTD("tos.rtd",,$A$2,"."&amp;V$2&amp;V$1&amp;"C"&amp;$A48)="N/A",0,RTD("tos.rtd",,$A$2,"."&amp;V$2&amp;V$1&amp;"C"&amp;$A48))+IF(RTD("tos.rtd",,$A$2,"."&amp;V$2&amp;V$1&amp;"P"&amp;$A48)="N/A",0,RTD("tos.rtd",,$A$2,"."&amp;V$2&amp;V$1&amp;"P"&amp;$A48)),IF(RTD("tos.rtd",,$A$2,"."&amp;V$2&amp;V$1&amp;"C"&amp;$A48)="N/A",0,RTD("tos.rtd",,$A$2,"."&amp;V$2&amp;V$1&amp;"C"&amp;$A48))-IF(RTD("tos.rtd",,$A$2,"."&amp;V$2&amp;V$1&amp;"P"&amp;$A48)="N/A",0,RTD("tos.rtd",,$A$2,"."&amp;V$2&amp;V$1&amp;"P"&amp;$A48))))))))))</f>
        <v>0</v>
      </c>
      <c r="W48" s="54">
        <f ca="1">IF($A$2="PREMIUM_OI",IFERROR(IF($X$1="ABS",(100*RTD("tos.rtd",,"OPEN_INT","."&amp;W$2&amp;W$1&amp;"C"&amp;$A48)*RTD("tos.rtd",,"LAST","."&amp;W$2&amp;W$1&amp;"C"&amp;$A48)+100*RTD("tos.rtd",,"OPEN_INT","."&amp;W$2&amp;W$1&amp;"P"&amp;$A48)*RTD("tos.rtd",,"LAST","."&amp;W$2&amp;W$1&amp;"P"&amp;$A48))/1000000,(100*RTD("tos.rtd",,"OPEN_INT","."&amp;W$2&amp;W$1&amp;"C"&amp;$A48)*RTD("tos.rtd",,"LAST","."&amp;W$2&amp;W$1&amp;"C"&amp;$A48)-100*RTD("tos.rtd",,"OPEN_INT","."&amp;W$2&amp;W$1&amp;"P"&amp;$A48)*RTD("tos.rtd",,"LAST","."&amp;W$2&amp;W$1&amp;"P"&amp;$A48))/1000000),0),IF($A$2="PREMIUM",IFERROR(IF($X$1="ABS",(100*RTD("tos.rtd",,"VOLUME","."&amp;W$2&amp;W$1&amp;"C"&amp;$A48)*RTD("tos.rtd",,"LAST","."&amp;W$2&amp;W$1&amp;"C"&amp;$A48)+100*RTD("tos.rtd",,"VOLUME","."&amp;W$2&amp;W$1&amp;"P"&amp;$A48)*RTD("tos.rtd",,"LAST","."&amp;W$2&amp;W$1&amp;"P"&amp;$A48))/1000000,(100*RTD("tos.rtd",,"VOLUME","."&amp;W$2&amp;W$1&amp;"C"&amp;$A48)*RTD("tos.rtd",,"LAST","."&amp;W$2&amp;W$1&amp;"C"&amp;$A48)-100*RTD("tos.rtd",,"VOLUME","."&amp;W$2&amp;W$1&amp;"P"&amp;$A48)*RTD("tos.rtd",,"LAST","."&amp;W$2&amp;W$1&amp;"P"&amp;$A48))/1000000),0),IF($A$2="DEX",IFERROR(IF($X$1="ABS",(100*RTD("tos.rtd",,"OPEN_INT","."&amp;W$2&amp;W$1&amp;"C"&amp;$A48)*RTD("tos.rtd",,"DELTA","."&amp;W$2&amp;W$1&amp;"C"&amp;$A48)+100*RTD("tos.rtd",,"OPEN_INT","."&amp;W$2&amp;W$1&amp;"P"&amp;$A48)*RTD("tos.rtd",,"DELTA","."&amp;W$2&amp;W$1&amp;"P"&amp;$A48))/1000,(100*RTD("tos.rtd",,"OPEN_INT","."&amp;W$2&amp;W$1&amp;"C"&amp;$A48)*RTD("tos.rtd",,"DELTA","."&amp;W$2&amp;W$1&amp;"C"&amp;$A48)-100*RTD("tos.rtd",,"OPEN_INT","."&amp;W$2&amp;W$1&amp;"P"&amp;$A48)*RTD("tos.rtd",,"DELTA","."&amp;W$2&amp;W$1&amp;"P"&amp;$A48))/1000),0),IF($A$2="VEX",IFERROR(IF($X$1="ABS",($A$4*$A$4*RTD("tos.rtd",,"VOLUME","."&amp;W$2&amp;W$1&amp;"C"&amp;$A48)*RTD("tos.rtd",,"GAMMA","."&amp;W$2&amp;W$1&amp;"C"&amp;$A48)+$A$4*$A$4*RTD("tos.rtd",,"VOLUME","."&amp;W$2&amp;W$1&amp;"P"&amp;$A48)*RTD("tos.rtd",,"GAMMA","."&amp;W$2&amp;W$1&amp;"P"&amp;$A48))/1000000,($A$4*$A$4*RTD("tos.rtd",,"VOLUME","."&amp;W$2&amp;W$1&amp;"C"&amp;$A48)*RTD("tos.rtd",,"GAMMA","."&amp;W$2&amp;W$1&amp;"C"&amp;$A48)-$A$4*$A$4*RTD("tos.rtd",,"VOLUME","."&amp;W$2&amp;W$1&amp;"P"&amp;$A48)*RTD("tos.rtd",,"GAMMA","."&amp;W$2&amp;W$1&amp;"P"&amp;$A48))/1000000),0),IF($A$2="GEX",IFERROR(IF($X$1="ABS",($A$4*$A$4*RTD("tos.rtd",,"OPEN_INT","."&amp;W$2&amp;W$1&amp;"C"&amp;$A48)*RTD("tos.rtd",,"GAMMA","."&amp;W$2&amp;W$1&amp;"C"&amp;$A48)+$A$4*$A$4*RTD("tos.rtd",,"OPEN_INT","."&amp;W$2&amp;W$1&amp;"P"&amp;$A48)*RTD("tos.rtd",,"GAMMA","."&amp;W$2&amp;W$1&amp;"P"&amp;$A48))/1000000,($A$4*$A$4*RTD("tos.rtd",,"OPEN_INT","."&amp;W$2&amp;W$1&amp;"C"&amp;$A48)*RTD("tos.rtd",,"GAMMA","."&amp;W$2&amp;W$1&amp;"C"&amp;$A48)-$A$4*$A$4*RTD("tos.rtd",,"OPEN_INT","."&amp;W$2&amp;W$1&amp;"P"&amp;$A48)*RTD("tos.rtd",,"GAMMA","."&amp;W$2&amp;W$1&amp;"P"&amp;$A48))/1000000),0),IF($A$2="SKEW",IFERROR(VALUE(IF(RTD("tos.rtd",,"IMPL_VOL","."&amp;W$2&amp;W$1&amp;"P"&amp;$A48)="N/A",0,RTD("tos.rtd",,"IMPL_VOL","."&amp;W$2&amp;W$1&amp;"P"&amp;$A48))),0)-IFERROR(VALUE(IF(RTD("tos.rtd",,"IMPL_VOL","."&amp;W$2&amp;W$1&amp;"C"&amp;$A48)="N/A",0,RTD("tos.rtd",,"IMPL_VOL","."&amp;W$2&amp;W$1&amp;"C"&amp;$A48))),0),IF($A$2="MAXPAIN",IF($A$4&gt;$A48,($A$4-$A48)*IF(RTD("tos.rtd",,"OPEN_INT","."&amp;W$2&amp;W$1&amp;"C"&amp;$A48)="N/A",0,RTD("tos.rtd",,"OPEN_INT","."&amp;W$2&amp;W$1&amp;"C"&amp;$A48)),0)+IF($A$4&lt;$A48,($A$5-$A$4)*IF(RTD("tos.rtd",,"OPEN_INT","."&amp;W$2&amp;W$1&amp;"P"&amp;$A48)="N/A",0,RTD("tos.rtd",,"OPEN_INT","."&amp;W$2&amp;W$1&amp;"P"&amp;$A48)),0),IF($X$1="ABS",IF(RTD("tos.rtd",,$A$2,"."&amp;W$2&amp;W$1&amp;"C"&amp;$A48)="N/A",0,RTD("tos.rtd",,$A$2,"."&amp;W$2&amp;W$1&amp;"C"&amp;$A48))+IF(RTD("tos.rtd",,$A$2,"."&amp;W$2&amp;W$1&amp;"P"&amp;$A48)="N/A",0,RTD("tos.rtd",,$A$2,"."&amp;W$2&amp;W$1&amp;"P"&amp;$A48)),IF(RTD("tos.rtd",,$A$2,"."&amp;W$2&amp;W$1&amp;"C"&amp;$A48)="N/A",0,RTD("tos.rtd",,$A$2,"."&amp;W$2&amp;W$1&amp;"C"&amp;$A48))-IF(RTD("tos.rtd",,$A$2,"."&amp;W$2&amp;W$1&amp;"P"&amp;$A48)="N/A",0,RTD("tos.rtd",,$A$2,"."&amp;W$2&amp;W$1&amp;"P"&amp;$A48))))))))))</f>
        <v>0</v>
      </c>
      <c r="X48" s="57">
        <f t="shared" ca="1" si="8"/>
        <v>0</v>
      </c>
      <c r="Y48" s="27">
        <f t="shared" ca="1" si="9"/>
        <v>0</v>
      </c>
      <c r="Z48" s="27">
        <f ca="1">+'OI-VOL'!Y48</f>
        <v>0</v>
      </c>
      <c r="AA48" s="27" t="b">
        <f t="shared" ca="1" si="10"/>
        <v>0</v>
      </c>
      <c r="AB48" s="27">
        <f t="shared" si="11"/>
        <v>53415250</v>
      </c>
      <c r="AC48" s="18">
        <f>MAX(0, $A48-AC$4)*IF(RTD("tos.rtd",,"OPEN_INT","."&amp;$AB$3&amp;$AB$4&amp;"C"&amp;AC$4)="N/A",0,RTD("tos.rtd",,"OPEN_INT","."&amp;$AB$3&amp;$AB$4&amp;"C"&amp;AC$4))*100 + MAX(0, AC$4-$A48)*IF(RTD("tos.rtd",,"OPEN_INT","."&amp;$AB$3&amp;$AB$4&amp;"P"&amp;AC$4)="N/A",0,RTD("tos.rtd",,"OPEN_INT","."&amp;$AB$3&amp;$AB$4&amp;"P"&amp;AC$4))*100</f>
        <v>0</v>
      </c>
      <c r="AD48" s="18">
        <f>MAX(0, $A48-AD$4)*IF(RTD("tos.rtd",,"OPEN_INT","."&amp;$AB$3&amp;$AB$4&amp;"C"&amp;AD$4)="N/A",0,RTD("tos.rtd",,"OPEN_INT","."&amp;$AB$3&amp;$AB$4&amp;"C"&amp;AD$4))*100 + MAX(0, AD$4-$A48)*IF(RTD("tos.rtd",,"OPEN_INT","."&amp;$AB$3&amp;$AB$4&amp;"P"&amp;AD$4)="N/A",0,RTD("tos.rtd",,"OPEN_INT","."&amp;$AB$3&amp;$AB$4&amp;"P"&amp;AD$4))*100</f>
        <v>0</v>
      </c>
      <c r="AE48" s="18">
        <f>MAX(0, $A48-AE$4)*IF(RTD("tos.rtd",,"OPEN_INT","."&amp;$AB$3&amp;$AB$4&amp;"C"&amp;AE$4)="N/A",0,RTD("tos.rtd",,"OPEN_INT","."&amp;$AB$3&amp;$AB$4&amp;"C"&amp;AE$4))*100 + MAX(0, AE$4-$A48)*IF(RTD("tos.rtd",,"OPEN_INT","."&amp;$AB$3&amp;$AB$4&amp;"P"&amp;AE$4)="N/A",0,RTD("tos.rtd",,"OPEN_INT","."&amp;$AB$3&amp;$AB$4&amp;"P"&amp;AE$4))*100</f>
        <v>0</v>
      </c>
      <c r="AF48" s="18">
        <f>MAX(0, $A48-AF$4)*IF(RTD("tos.rtd",,"OPEN_INT","."&amp;$AB$3&amp;$AB$4&amp;"C"&amp;AF$4)="N/A",0,RTD("tos.rtd",,"OPEN_INT","."&amp;$AB$3&amp;$AB$4&amp;"C"&amp;AF$4))*100 + MAX(0, AF$4-$A48)*IF(RTD("tos.rtd",,"OPEN_INT","."&amp;$AB$3&amp;$AB$4&amp;"P"&amp;AF$4)="N/A",0,RTD("tos.rtd",,"OPEN_INT","."&amp;$AB$3&amp;$AB$4&amp;"P"&amp;AF$4))*100</f>
        <v>0</v>
      </c>
      <c r="AG48" s="18">
        <f>MAX(0, $A48-AG$4)*IF(RTD("tos.rtd",,"OPEN_INT","."&amp;$AB$3&amp;$AB$4&amp;"C"&amp;AG$4)="N/A",0,RTD("tos.rtd",,"OPEN_INT","."&amp;$AB$3&amp;$AB$4&amp;"C"&amp;AG$4))*100 + MAX(0, AG$4-$A48)*IF(RTD("tos.rtd",,"OPEN_INT","."&amp;$AB$3&amp;$AB$4&amp;"P"&amp;AG$4)="N/A",0,RTD("tos.rtd",,"OPEN_INT","."&amp;$AB$3&amp;$AB$4&amp;"P"&amp;AG$4))*100</f>
        <v>0</v>
      </c>
      <c r="AH48" s="18">
        <f>MAX(0, $A48-AH$4)*IF(RTD("tos.rtd",,"OPEN_INT","."&amp;$AB$3&amp;$AB$4&amp;"C"&amp;AH$4)="N/A",0,RTD("tos.rtd",,"OPEN_INT","."&amp;$AB$3&amp;$AB$4&amp;"C"&amp;AH$4))*100 + MAX(0, AH$4-$A48)*IF(RTD("tos.rtd",,"OPEN_INT","."&amp;$AB$3&amp;$AB$4&amp;"P"&amp;AH$4)="N/A",0,RTD("tos.rtd",,"OPEN_INT","."&amp;$AB$3&amp;$AB$4&amp;"P"&amp;AH$4))*100</f>
        <v>0</v>
      </c>
      <c r="AI48" s="18">
        <f>MAX(0, $A48-AI$4)*IF(RTD("tos.rtd",,"OPEN_INT","."&amp;$AB$3&amp;$AB$4&amp;"C"&amp;AI$4)="N/A",0,RTD("tos.rtd",,"OPEN_INT","."&amp;$AB$3&amp;$AB$4&amp;"C"&amp;AI$4))*100 + MAX(0, AI$4-$A48)*IF(RTD("tos.rtd",,"OPEN_INT","."&amp;$AB$3&amp;$AB$4&amp;"P"&amp;AI$4)="N/A",0,RTD("tos.rtd",,"OPEN_INT","."&amp;$AB$3&amp;$AB$4&amp;"P"&amp;AI$4))*100</f>
        <v>0</v>
      </c>
      <c r="AJ48" s="18">
        <f>MAX(0, $A48-AJ$4)*IF(RTD("tos.rtd",,"OPEN_INT","."&amp;$AB$3&amp;$AB$4&amp;"C"&amp;AJ$4)="N/A",0,RTD("tos.rtd",,"OPEN_INT","."&amp;$AB$3&amp;$AB$4&amp;"C"&amp;AJ$4))*100 + MAX(0, AJ$4-$A48)*IF(RTD("tos.rtd",,"OPEN_INT","."&amp;$AB$3&amp;$AB$4&amp;"P"&amp;AJ$4)="N/A",0,RTD("tos.rtd",,"OPEN_INT","."&amp;$AB$3&amp;$AB$4&amp;"P"&amp;AJ$4))*100</f>
        <v>5400</v>
      </c>
      <c r="AK48" s="18">
        <f>MAX(0, $A48-AK$4)*IF(RTD("tos.rtd",,"OPEN_INT","."&amp;$AB$3&amp;$AB$4&amp;"C"&amp;AK$4)="N/A",0,RTD("tos.rtd",,"OPEN_INT","."&amp;$AB$3&amp;$AB$4&amp;"C"&amp;AK$4))*100 + MAX(0, AK$4-$A48)*IF(RTD("tos.rtd",,"OPEN_INT","."&amp;$AB$3&amp;$AB$4&amp;"P"&amp;AK$4)="N/A",0,RTD("tos.rtd",,"OPEN_INT","."&amp;$AB$3&amp;$AB$4&amp;"P"&amp;AK$4))*100</f>
        <v>14000</v>
      </c>
      <c r="AL48" s="18">
        <f>MAX(0, $A48-AL$4)*IF(RTD("tos.rtd",,"OPEN_INT","."&amp;$AB$3&amp;$AB$4&amp;"C"&amp;AL$4)="N/A",0,RTD("tos.rtd",,"OPEN_INT","."&amp;$AB$3&amp;$AB$4&amp;"C"&amp;AL$4))*100 + MAX(0, AL$4-$A48)*IF(RTD("tos.rtd",,"OPEN_INT","."&amp;$AB$3&amp;$AB$4&amp;"P"&amp;AL$4)="N/A",0,RTD("tos.rtd",,"OPEN_INT","."&amp;$AB$3&amp;$AB$4&amp;"P"&amp;AL$4))*100</f>
        <v>0</v>
      </c>
      <c r="AM48" s="18">
        <f>MAX(0, $A48-AM$4)*IF(RTD("tos.rtd",,"OPEN_INT","."&amp;$AB$3&amp;$AB$4&amp;"C"&amp;AM$4)="N/A",0,RTD("tos.rtd",,"OPEN_INT","."&amp;$AB$3&amp;$AB$4&amp;"C"&amp;AM$4))*100 + MAX(0, AM$4-$A48)*IF(RTD("tos.rtd",,"OPEN_INT","."&amp;$AB$3&amp;$AB$4&amp;"P"&amp;AM$4)="N/A",0,RTD("tos.rtd",,"OPEN_INT","."&amp;$AB$3&amp;$AB$4&amp;"P"&amp;AM$4))*100</f>
        <v>0</v>
      </c>
      <c r="AN48" s="18">
        <f>MAX(0, $A48-AN$4)*IF(RTD("tos.rtd",,"OPEN_INT","."&amp;$AB$3&amp;$AB$4&amp;"C"&amp;AN$4)="N/A",0,RTD("tos.rtd",,"OPEN_INT","."&amp;$AB$3&amp;$AB$4&amp;"C"&amp;AN$4))*100 + MAX(0, AN$4-$A48)*IF(RTD("tos.rtd",,"OPEN_INT","."&amp;$AB$3&amp;$AB$4&amp;"P"&amp;AN$4)="N/A",0,RTD("tos.rtd",,"OPEN_INT","."&amp;$AB$3&amp;$AB$4&amp;"P"&amp;AN$4))*100</f>
        <v>0</v>
      </c>
      <c r="AO48" s="18">
        <f>MAX(0, $A48-AO$4)*IF(RTD("tos.rtd",,"OPEN_INT","."&amp;$AB$3&amp;$AB$4&amp;"C"&amp;AO$4)="N/A",0,RTD("tos.rtd",,"OPEN_INT","."&amp;$AB$3&amp;$AB$4&amp;"C"&amp;AO$4))*100 + MAX(0, AO$4-$A48)*IF(RTD("tos.rtd",,"OPEN_INT","."&amp;$AB$3&amp;$AB$4&amp;"P"&amp;AO$4)="N/A",0,RTD("tos.rtd",,"OPEN_INT","."&amp;$AB$3&amp;$AB$4&amp;"P"&amp;AO$4))*100</f>
        <v>0</v>
      </c>
      <c r="AP48" s="18">
        <f>MAX(0, $A48-AP$4)*IF(RTD("tos.rtd",,"OPEN_INT","."&amp;$AB$3&amp;$AB$4&amp;"C"&amp;AP$4)="N/A",0,RTD("tos.rtd",,"OPEN_INT","."&amp;$AB$3&amp;$AB$4&amp;"C"&amp;AP$4))*100 + MAX(0, AP$4-$A48)*IF(RTD("tos.rtd",,"OPEN_INT","."&amp;$AB$3&amp;$AB$4&amp;"P"&amp;AP$4)="N/A",0,RTD("tos.rtd",,"OPEN_INT","."&amp;$AB$3&amp;$AB$4&amp;"P"&amp;AP$4))*100</f>
        <v>180000</v>
      </c>
      <c r="AQ48" s="18">
        <f>MAX(0, $A48-AQ$4)*IF(RTD("tos.rtd",,"OPEN_INT","."&amp;$AB$3&amp;$AB$4&amp;"C"&amp;AQ$4)="N/A",0,RTD("tos.rtd",,"OPEN_INT","."&amp;$AB$3&amp;$AB$4&amp;"C"&amp;AQ$4))*100 + MAX(0, AQ$4-$A48)*IF(RTD("tos.rtd",,"OPEN_INT","."&amp;$AB$3&amp;$AB$4&amp;"P"&amp;AQ$4)="N/A",0,RTD("tos.rtd",,"OPEN_INT","."&amp;$AB$3&amp;$AB$4&amp;"P"&amp;AQ$4))*100</f>
        <v>0</v>
      </c>
      <c r="AR48" s="18">
        <f>MAX(0, $A48-AR$4)*IF(RTD("tos.rtd",,"OPEN_INT","."&amp;$AB$3&amp;$AB$4&amp;"C"&amp;AR$4)="N/A",0,RTD("tos.rtd",,"OPEN_INT","."&amp;$AB$3&amp;$AB$4&amp;"C"&amp;AR$4))*100 + MAX(0, AR$4-$A48)*IF(RTD("tos.rtd",,"OPEN_INT","."&amp;$AB$3&amp;$AB$4&amp;"P"&amp;AR$4)="N/A",0,RTD("tos.rtd",,"OPEN_INT","."&amp;$AB$3&amp;$AB$4&amp;"P"&amp;AR$4))*100</f>
        <v>74200</v>
      </c>
      <c r="AS48" s="18">
        <f>MAX(0, $A48-AS$4)*IF(RTD("tos.rtd",,"OPEN_INT","."&amp;$AB$3&amp;$AB$4&amp;"C"&amp;AS$4)="N/A",0,RTD("tos.rtd",,"OPEN_INT","."&amp;$AB$3&amp;$AB$4&amp;"C"&amp;AS$4))*100 + MAX(0, AS$4-$A48)*IF(RTD("tos.rtd",,"OPEN_INT","."&amp;$AB$3&amp;$AB$4&amp;"P"&amp;AS$4)="N/A",0,RTD("tos.rtd",,"OPEN_INT","."&amp;$AB$3&amp;$AB$4&amp;"P"&amp;AS$4))*100</f>
        <v>8100</v>
      </c>
      <c r="AT48" s="18">
        <f>MAX(0, $A48-AT$4)*IF(RTD("tos.rtd",,"OPEN_INT","."&amp;$AB$3&amp;$AB$4&amp;"C"&amp;AT$4)="N/A",0,RTD("tos.rtd",,"OPEN_INT","."&amp;$AB$3&amp;$AB$4&amp;"C"&amp;AT$4))*100 + MAX(0, AT$4-$A48)*IF(RTD("tos.rtd",,"OPEN_INT","."&amp;$AB$3&amp;$AB$4&amp;"P"&amp;AT$4)="N/A",0,RTD("tos.rtd",,"OPEN_INT","."&amp;$AB$3&amp;$AB$4&amp;"P"&amp;AT$4))*100</f>
        <v>80600</v>
      </c>
      <c r="AU48" s="18">
        <f>MAX(0, $A48-AU$4)*IF(RTD("tos.rtd",,"OPEN_INT","."&amp;$AB$3&amp;$AB$4&amp;"C"&amp;AU$4)="N/A",0,RTD("tos.rtd",,"OPEN_INT","."&amp;$AB$3&amp;$AB$4&amp;"C"&amp;AU$4))*100 + MAX(0, AU$4-$A48)*IF(RTD("tos.rtd",,"OPEN_INT","."&amp;$AB$3&amp;$AB$4&amp;"P"&amp;AU$4)="N/A",0,RTD("tos.rtd",,"OPEN_INT","."&amp;$AB$3&amp;$AB$4&amp;"P"&amp;AU$4))*100</f>
        <v>87500</v>
      </c>
      <c r="AV48" s="18">
        <f>MAX(0, $A48-AV$4)*IF(RTD("tos.rtd",,"OPEN_INT","."&amp;$AB$3&amp;$AB$4&amp;"C"&amp;AV$4)="N/A",0,RTD("tos.rtd",,"OPEN_INT","."&amp;$AB$3&amp;$AB$4&amp;"C"&amp;AV$4))*100 + MAX(0, AV$4-$A48)*IF(RTD("tos.rtd",,"OPEN_INT","."&amp;$AB$3&amp;$AB$4&amp;"P"&amp;AV$4)="N/A",0,RTD("tos.rtd",,"OPEN_INT","."&amp;$AB$3&amp;$AB$4&amp;"P"&amp;AV$4))*100</f>
        <v>48000</v>
      </c>
      <c r="AW48" s="18">
        <f>MAX(0, $A48-AW$4)*IF(RTD("tos.rtd",,"OPEN_INT","."&amp;$AB$3&amp;$AB$4&amp;"C"&amp;AW$4)="N/A",0,RTD("tos.rtd",,"OPEN_INT","."&amp;$AB$3&amp;$AB$4&amp;"C"&amp;AW$4))*100 + MAX(0, AW$4-$A48)*IF(RTD("tos.rtd",,"OPEN_INT","."&amp;$AB$3&amp;$AB$4&amp;"P"&amp;AW$4)="N/A",0,RTD("tos.rtd",,"OPEN_INT","."&amp;$AB$3&amp;$AB$4&amp;"P"&amp;AW$4))*100</f>
        <v>185150</v>
      </c>
      <c r="AX48" s="18">
        <f>MAX(0, $A48-AX$4)*IF(RTD("tos.rtd",,"OPEN_INT","."&amp;$AB$3&amp;$AB$4&amp;"C"&amp;AX$4)="N/A",0,RTD("tos.rtd",,"OPEN_INT","."&amp;$AB$3&amp;$AB$4&amp;"C"&amp;AX$4))*100 + MAX(0, AX$4-$A48)*IF(RTD("tos.rtd",,"OPEN_INT","."&amp;$AB$3&amp;$AB$4&amp;"P"&amp;AX$4)="N/A",0,RTD("tos.rtd",,"OPEN_INT","."&amp;$AB$3&amp;$AB$4&amp;"P"&amp;AX$4))*100</f>
        <v>222200</v>
      </c>
      <c r="AY48" s="18">
        <f>MAX(0, $A48-AY$4)*IF(RTD("tos.rtd",,"OPEN_INT","."&amp;$AB$3&amp;$AB$4&amp;"C"&amp;AY$4)="N/A",0,RTD("tos.rtd",,"OPEN_INT","."&amp;$AB$3&amp;$AB$4&amp;"C"&amp;AY$4))*100 + MAX(0, AY$4-$A48)*IF(RTD("tos.rtd",,"OPEN_INT","."&amp;$AB$3&amp;$AB$4&amp;"P"&amp;AY$4)="N/A",0,RTD("tos.rtd",,"OPEN_INT","."&amp;$AB$3&amp;$AB$4&amp;"P"&amp;AY$4))*100</f>
        <v>259350</v>
      </c>
      <c r="AZ48" s="18">
        <f>MAX(0, $A48-AZ$4)*IF(RTD("tos.rtd",,"OPEN_INT","."&amp;$AB$3&amp;$AB$4&amp;"C"&amp;AZ$4)="N/A",0,RTD("tos.rtd",,"OPEN_INT","."&amp;$AB$3&amp;$AB$4&amp;"C"&amp;AZ$4))*100 + MAX(0, AZ$4-$A48)*IF(RTD("tos.rtd",,"OPEN_INT","."&amp;$AB$3&amp;$AB$4&amp;"P"&amp;AZ$4)="N/A",0,RTD("tos.rtd",,"OPEN_INT","."&amp;$AB$3&amp;$AB$4&amp;"P"&amp;AZ$4))*100</f>
        <v>2074000</v>
      </c>
      <c r="BA48" s="18">
        <f>MAX(0, $A48-BA$4)*IF(RTD("tos.rtd",,"OPEN_INT","."&amp;$AB$3&amp;$AB$4&amp;"C"&amp;BA$4)="N/A",0,RTD("tos.rtd",,"OPEN_INT","."&amp;$AB$3&amp;$AB$4&amp;"C"&amp;BA$4))*100 + MAX(0, BA$4-$A48)*IF(RTD("tos.rtd",,"OPEN_INT","."&amp;$AB$3&amp;$AB$4&amp;"P"&amp;BA$4)="N/A",0,RTD("tos.rtd",,"OPEN_INT","."&amp;$AB$3&amp;$AB$4&amp;"P"&amp;BA$4))*100</f>
        <v>539600</v>
      </c>
      <c r="BB48" s="18">
        <f>MAX(0, $A48-BB$4)*IF(RTD("tos.rtd",,"OPEN_INT","."&amp;$AB$3&amp;$AB$4&amp;"C"&amp;BB$4)="N/A",0,RTD("tos.rtd",,"OPEN_INT","."&amp;$AB$3&amp;$AB$4&amp;"C"&amp;BB$4))*100 + MAX(0, BB$4-$A48)*IF(RTD("tos.rtd",,"OPEN_INT","."&amp;$AB$3&amp;$AB$4&amp;"P"&amp;BB$4)="N/A",0,RTD("tos.rtd",,"OPEN_INT","."&amp;$AB$3&amp;$AB$4&amp;"P"&amp;BB$4))*100</f>
        <v>2106000</v>
      </c>
      <c r="BC48" s="18">
        <f>MAX(0, $A48-BC$4)*IF(RTD("tos.rtd",,"OPEN_INT","."&amp;$AB$3&amp;$AB$4&amp;"C"&amp;BC$4)="N/A",0,RTD("tos.rtd",,"OPEN_INT","."&amp;$AB$3&amp;$AB$4&amp;"C"&amp;BC$4))*100 + MAX(0, BC$4-$A48)*IF(RTD("tos.rtd",,"OPEN_INT","."&amp;$AB$3&amp;$AB$4&amp;"P"&amp;BC$4)="N/A",0,RTD("tos.rtd",,"OPEN_INT","."&amp;$AB$3&amp;$AB$4&amp;"P"&amp;BC$4))*100</f>
        <v>1941400</v>
      </c>
      <c r="BD48" s="18">
        <f>MAX(0, $A48-BD$4)*IF(RTD("tos.rtd",,"OPEN_INT","."&amp;$AB$3&amp;$AB$4&amp;"C"&amp;BD$4)="N/A",0,RTD("tos.rtd",,"OPEN_INT","."&amp;$AB$3&amp;$AB$4&amp;"C"&amp;BD$4))*100 + MAX(0, BD$4-$A48)*IF(RTD("tos.rtd",,"OPEN_INT","."&amp;$AB$3&amp;$AB$4&amp;"P"&amp;BD$4)="N/A",0,RTD("tos.rtd",,"OPEN_INT","."&amp;$AB$3&amp;$AB$4&amp;"P"&amp;BD$4))*100</f>
        <v>6120800</v>
      </c>
      <c r="BE48" s="18">
        <f>MAX(0, $A48-BE$4)*IF(RTD("tos.rtd",,"OPEN_INT","."&amp;$AB$3&amp;$AB$4&amp;"C"&amp;BE$4)="N/A",0,RTD("tos.rtd",,"OPEN_INT","."&amp;$AB$3&amp;$AB$4&amp;"C"&amp;BE$4))*100 + MAX(0, BE$4-$A48)*IF(RTD("tos.rtd",,"OPEN_INT","."&amp;$AB$3&amp;$AB$4&amp;"P"&amp;BE$4)="N/A",0,RTD("tos.rtd",,"OPEN_INT","."&amp;$AB$3&amp;$AB$4&amp;"P"&amp;BE$4))*100</f>
        <v>7365750</v>
      </c>
      <c r="BF48" s="18">
        <f>MAX(0, $A48-BF$4)*IF(RTD("tos.rtd",,"OPEN_INT","."&amp;$AB$3&amp;$AB$4&amp;"C"&amp;BF$4)="N/A",0,RTD("tos.rtd",,"OPEN_INT","."&amp;$AB$3&amp;$AB$4&amp;"C"&amp;BF$4))*100 + MAX(0, BF$4-$A48)*IF(RTD("tos.rtd",,"OPEN_INT","."&amp;$AB$3&amp;$AB$4&amp;"P"&amp;BF$4)="N/A",0,RTD("tos.rtd",,"OPEN_INT","."&amp;$AB$3&amp;$AB$4&amp;"P"&amp;BF$4))*100</f>
        <v>7781200</v>
      </c>
      <c r="BG48" s="18">
        <f>MAX(0, $A48-BG$4)*IF(RTD("tos.rtd",,"OPEN_INT","."&amp;$AB$3&amp;$AB$4&amp;"C"&amp;BG$4)="N/A",0,RTD("tos.rtd",,"OPEN_INT","."&amp;$AB$3&amp;$AB$4&amp;"C"&amp;BG$4))*100 + MAX(0, BG$4-$A48)*IF(RTD("tos.rtd",,"OPEN_INT","."&amp;$AB$3&amp;$AB$4&amp;"P"&amp;BG$4)="N/A",0,RTD("tos.rtd",,"OPEN_INT","."&amp;$AB$3&amp;$AB$4&amp;"P"&amp;BG$4))*100</f>
        <v>9040850</v>
      </c>
      <c r="BH48" s="18">
        <f>MAX(0, $A48-BH$4)*IF(RTD("tos.rtd",,"OPEN_INT","."&amp;$AB$3&amp;$AB$4&amp;"C"&amp;BH$4)="N/A",0,RTD("tos.rtd",,"OPEN_INT","."&amp;$AB$3&amp;$AB$4&amp;"C"&amp;BH$4))*100 + MAX(0, BH$4-$A48)*IF(RTD("tos.rtd",,"OPEN_INT","."&amp;$AB$3&amp;$AB$4&amp;"P"&amp;BH$4)="N/A",0,RTD("tos.rtd",,"OPEN_INT","."&amp;$AB$3&amp;$AB$4&amp;"P"&amp;BH$4))*100</f>
        <v>5445000</v>
      </c>
      <c r="BI48" s="18">
        <f>MAX(0, $A48-BI$4)*IF(RTD("tos.rtd",,"OPEN_INT","."&amp;$AB$3&amp;$AB$4&amp;"C"&amp;BI$4)="N/A",0,RTD("tos.rtd",,"OPEN_INT","."&amp;$AB$3&amp;$AB$4&amp;"C"&amp;BI$4))*100 + MAX(0, BI$4-$A48)*IF(RTD("tos.rtd",,"OPEN_INT","."&amp;$AB$3&amp;$AB$4&amp;"P"&amp;BI$4)="N/A",0,RTD("tos.rtd",,"OPEN_INT","."&amp;$AB$3&amp;$AB$4&amp;"P"&amp;BI$4))*100</f>
        <v>3532650</v>
      </c>
      <c r="BJ48" s="18">
        <f>MAX(0, $A48-BJ$4)*IF(RTD("tos.rtd",,"OPEN_INT","."&amp;$AB$3&amp;$AB$4&amp;"C"&amp;BJ$4)="N/A",0,RTD("tos.rtd",,"OPEN_INT","."&amp;$AB$3&amp;$AB$4&amp;"C"&amp;BJ$4))*100 + MAX(0, BJ$4-$A48)*IF(RTD("tos.rtd",,"OPEN_INT","."&amp;$AB$3&amp;$AB$4&amp;"P"&amp;BJ$4)="N/A",0,RTD("tos.rtd",,"OPEN_INT","."&amp;$AB$3&amp;$AB$4&amp;"P"&amp;BJ$4))*100</f>
        <v>4012500</v>
      </c>
      <c r="BK48" s="18">
        <f>MAX(0, $A48-BK$4)*IF(RTD("tos.rtd",,"OPEN_INT","."&amp;$AB$3&amp;$AB$4&amp;"C"&amp;BK$4)="N/A",0,RTD("tos.rtd",,"OPEN_INT","."&amp;$AB$3&amp;$AB$4&amp;"C"&amp;BK$4))*100 + MAX(0, BK$4-$A48)*IF(RTD("tos.rtd",,"OPEN_INT","."&amp;$AB$3&amp;$AB$4&amp;"P"&amp;BK$4)="N/A",0,RTD("tos.rtd",,"OPEN_INT","."&amp;$AB$3&amp;$AB$4&amp;"P"&amp;BK$4))*100</f>
        <v>982350</v>
      </c>
      <c r="BL48" s="18">
        <f>MAX(0, $A48-BL$4)*IF(RTD("tos.rtd",,"OPEN_INT","."&amp;$AB$3&amp;$AB$4&amp;"C"&amp;BL$4)="N/A",0,RTD("tos.rtd",,"OPEN_INT","."&amp;$AB$3&amp;$AB$4&amp;"C"&amp;BL$4))*100 + MAX(0, BL$4-$A48)*IF(RTD("tos.rtd",,"OPEN_INT","."&amp;$AB$3&amp;$AB$4&amp;"P"&amp;BL$4)="N/A",0,RTD("tos.rtd",,"OPEN_INT","."&amp;$AB$3&amp;$AB$4&amp;"P"&amp;BL$4))*100</f>
        <v>936000</v>
      </c>
      <c r="BM48" s="18">
        <f>MAX(0, $A48-BM$4)*IF(RTD("tos.rtd",,"OPEN_INT","."&amp;$AB$3&amp;$AB$4&amp;"C"&amp;BM$4)="N/A",0,RTD("tos.rtd",,"OPEN_INT","."&amp;$AB$3&amp;$AB$4&amp;"C"&amp;BM$4))*100 + MAX(0, BM$4-$A48)*IF(RTD("tos.rtd",,"OPEN_INT","."&amp;$AB$3&amp;$AB$4&amp;"P"&amp;BM$4)="N/A",0,RTD("tos.rtd",,"OPEN_INT","."&amp;$AB$3&amp;$AB$4&amp;"P"&amp;BM$4))*100</f>
        <v>137200</v>
      </c>
      <c r="BN48" s="18">
        <f>MAX(0, $A48-BN$4)*IF(RTD("tos.rtd",,"OPEN_INT","."&amp;$AB$3&amp;$AB$4&amp;"C"&amp;BN$4)="N/A",0,RTD("tos.rtd",,"OPEN_INT","."&amp;$AB$3&amp;$AB$4&amp;"C"&amp;BN$4))*100 + MAX(0, BN$4-$A48)*IF(RTD("tos.rtd",,"OPEN_INT","."&amp;$AB$3&amp;$AB$4&amp;"P"&amp;BN$4)="N/A",0,RTD("tos.rtd",,"OPEN_INT","."&amp;$AB$3&amp;$AB$4&amp;"P"&amp;BN$4))*100</f>
        <v>130500</v>
      </c>
      <c r="BO48" s="18">
        <f>MAX(0, $A48-BO$4)*IF(RTD("tos.rtd",,"OPEN_INT","."&amp;$AB$3&amp;$AB$4&amp;"C"&amp;BO$4)="N/A",0,RTD("tos.rtd",,"OPEN_INT","."&amp;$AB$3&amp;$AB$4&amp;"C"&amp;BO$4))*100 + MAX(0, BO$4-$A48)*IF(RTD("tos.rtd",,"OPEN_INT","."&amp;$AB$3&amp;$AB$4&amp;"P"&amp;BO$4)="N/A",0,RTD("tos.rtd",,"OPEN_INT","."&amp;$AB$3&amp;$AB$4&amp;"P"&amp;BO$4))*100</f>
        <v>15750</v>
      </c>
      <c r="BP48" s="18">
        <f>MAX(0, $A48-BP$4)*IF(RTD("tos.rtd",,"OPEN_INT","."&amp;$AB$3&amp;$AB$4&amp;"C"&amp;BP$4)="N/A",0,RTD("tos.rtd",,"OPEN_INT","."&amp;$AB$3&amp;$AB$4&amp;"C"&amp;BP$4))*100 + MAX(0, BP$4-$A48)*IF(RTD("tos.rtd",,"OPEN_INT","."&amp;$AB$3&amp;$AB$4&amp;"P"&amp;BP$4)="N/A",0,RTD("tos.rtd",,"OPEN_INT","."&amp;$AB$3&amp;$AB$4&amp;"P"&amp;BP$4))*100</f>
        <v>89200</v>
      </c>
      <c r="BQ48" s="18">
        <f>MAX(0, $A48-BQ$4)*IF(RTD("tos.rtd",,"OPEN_INT","."&amp;$AB$3&amp;$AB$4&amp;"C"&amp;BQ$4)="N/A",0,RTD("tos.rtd",,"OPEN_INT","."&amp;$AB$3&amp;$AB$4&amp;"C"&amp;BQ$4))*100 + MAX(0, BQ$4-$A48)*IF(RTD("tos.rtd",,"OPEN_INT","."&amp;$AB$3&amp;$AB$4&amp;"P"&amp;BQ$4)="N/A",0,RTD("tos.rtd",,"OPEN_INT","."&amp;$AB$3&amp;$AB$4&amp;"P"&amp;BQ$4))*100</f>
        <v>0</v>
      </c>
      <c r="BR48" s="18">
        <f>MAX(0, $A48-BR$4)*IF(RTD("tos.rtd",,"OPEN_INT","."&amp;$AB$3&amp;$AB$4&amp;"C"&amp;BR$4)="N/A",0,RTD("tos.rtd",,"OPEN_INT","."&amp;$AB$3&amp;$AB$4&amp;"C"&amp;BR$4))*100 + MAX(0, BR$4-$A48)*IF(RTD("tos.rtd",,"OPEN_INT","."&amp;$AB$3&amp;$AB$4&amp;"P"&amp;BR$4)="N/A",0,RTD("tos.rtd",,"OPEN_INT","."&amp;$AB$3&amp;$AB$4&amp;"P"&amp;BR$4))*100</f>
        <v>0</v>
      </c>
      <c r="BS48" s="18">
        <f>MAX(0, $A48-BS$4)*IF(RTD("tos.rtd",,"OPEN_INT","."&amp;$AB$3&amp;$AB$4&amp;"C"&amp;BS$4)="N/A",0,RTD("tos.rtd",,"OPEN_INT","."&amp;$AB$3&amp;$AB$4&amp;"C"&amp;BS$4))*100 + MAX(0, BS$4-$A48)*IF(RTD("tos.rtd",,"OPEN_INT","."&amp;$AB$3&amp;$AB$4&amp;"P"&amp;BS$4)="N/A",0,RTD("tos.rtd",,"OPEN_INT","."&amp;$AB$3&amp;$AB$4&amp;"P"&amp;BS$4))*100</f>
        <v>0</v>
      </c>
      <c r="BT48" s="18">
        <f>MAX(0, $A48-BT$4)*IF(RTD("tos.rtd",,"OPEN_INT","."&amp;$AB$3&amp;$AB$4&amp;"C"&amp;BT$4)="N/A",0,RTD("tos.rtd",,"OPEN_INT","."&amp;$AB$3&amp;$AB$4&amp;"C"&amp;BT$4))*100 + MAX(0, BT$4-$A48)*IF(RTD("tos.rtd",,"OPEN_INT","."&amp;$AB$3&amp;$AB$4&amp;"P"&amp;BT$4)="N/A",0,RTD("tos.rtd",,"OPEN_INT","."&amp;$AB$3&amp;$AB$4&amp;"P"&amp;BT$4))*100</f>
        <v>0</v>
      </c>
      <c r="BU48" s="18">
        <f>MAX(0, $A48-BU$4)*IF(RTD("tos.rtd",,"OPEN_INT","."&amp;$AB$3&amp;$AB$4&amp;"C"&amp;BU$4)="N/A",0,RTD("tos.rtd",,"OPEN_INT","."&amp;$AB$3&amp;$AB$4&amp;"C"&amp;BU$4))*100 + MAX(0, BU$4-$A48)*IF(RTD("tos.rtd",,"OPEN_INT","."&amp;$AB$3&amp;$AB$4&amp;"P"&amp;BU$4)="N/A",0,RTD("tos.rtd",,"OPEN_INT","."&amp;$AB$3&amp;$AB$4&amp;"P"&amp;BU$4))*100</f>
        <v>0</v>
      </c>
      <c r="BV48" s="18">
        <f>MAX(0, $A48-BV$4)*IF(RTD("tos.rtd",,"OPEN_INT","."&amp;$AB$3&amp;$AB$4&amp;"C"&amp;BV$4)="N/A",0,RTD("tos.rtd",,"OPEN_INT","."&amp;$AB$3&amp;$AB$4&amp;"C"&amp;BV$4))*100 + MAX(0, BV$4-$A48)*IF(RTD("tos.rtd",,"OPEN_INT","."&amp;$AB$3&amp;$AB$4&amp;"P"&amp;BV$4)="N/A",0,RTD("tos.rtd",,"OPEN_INT","."&amp;$AB$3&amp;$AB$4&amp;"P"&amp;BV$4))*100</f>
        <v>0</v>
      </c>
      <c r="BW48" s="18">
        <f>MAX(0, $A48-BW$4)*IF(RTD("tos.rtd",,"OPEN_INT","."&amp;$AB$3&amp;$AB$4&amp;"C"&amp;BW$4)="N/A",0,RTD("tos.rtd",,"OPEN_INT","."&amp;$AB$3&amp;$AB$4&amp;"C"&amp;BW$4))*100 + MAX(0, BW$4-$A48)*IF(RTD("tos.rtd",,"OPEN_INT","."&amp;$AB$3&amp;$AB$4&amp;"P"&amp;BW$4)="N/A",0,RTD("tos.rtd",,"OPEN_INT","."&amp;$AB$3&amp;$AB$4&amp;"P"&amp;BW$4))*100</f>
        <v>0</v>
      </c>
    </row>
    <row r="49" spans="1:75" s="19" customFormat="1" ht="11.1" customHeight="1" thickBot="1" x14ac:dyDescent="0.3">
      <c r="A49" s="23">
        <f t="shared" si="12"/>
        <v>-0.5</v>
      </c>
      <c r="B49" s="14">
        <f ca="1">IF($A$2="PREMIUM_OI",IFERROR(IF($X$1="ABS",(100*RTD("tos.rtd",,"OPEN_INT","."&amp;B$2&amp;B$1&amp;"C"&amp;$A49)*RTD("tos.rtd",,"LAST","."&amp;B$2&amp;B$1&amp;"C"&amp;$A49)+100*RTD("tos.rtd",,"OPEN_INT","."&amp;B$2&amp;B$1&amp;"P"&amp;$A49)*RTD("tos.rtd",,"LAST","."&amp;B$2&amp;B$1&amp;"P"&amp;$A49))/1000000,(100*RTD("tos.rtd",,"OPEN_INT","."&amp;B$2&amp;B$1&amp;"C"&amp;$A49)*RTD("tos.rtd",,"LAST","."&amp;B$2&amp;B$1&amp;"C"&amp;$A49)-100*RTD("tos.rtd",,"OPEN_INT","."&amp;B$2&amp;B$1&amp;"P"&amp;$A49)*RTD("tos.rtd",,"LAST","."&amp;B$2&amp;B$1&amp;"P"&amp;$A49))/1000000),0),IF($A$2="PREMIUM",IFERROR(IF($X$1="ABS",(100*RTD("tos.rtd",,"VOLUME","."&amp;B$2&amp;B$1&amp;"C"&amp;$A49)*RTD("tos.rtd",,"LAST","."&amp;B$2&amp;B$1&amp;"C"&amp;$A49)+100*RTD("tos.rtd",,"VOLUME","."&amp;B$2&amp;B$1&amp;"P"&amp;$A49)*RTD("tos.rtd",,"LAST","."&amp;B$2&amp;B$1&amp;"P"&amp;$A49))/1000000,(100*RTD("tos.rtd",,"VOLUME","."&amp;B$2&amp;B$1&amp;"C"&amp;$A49)*RTD("tos.rtd",,"LAST","."&amp;B$2&amp;B$1&amp;"C"&amp;$A49)-100*RTD("tos.rtd",,"VOLUME","."&amp;B$2&amp;B$1&amp;"P"&amp;$A49)*RTD("tos.rtd",,"LAST","."&amp;B$2&amp;B$1&amp;"P"&amp;$A49))/1000000),0),IF($A$2="DEX",IFERROR(IF($X$1="ABS",(100*RTD("tos.rtd",,"OPEN_INT","."&amp;B$2&amp;B$1&amp;"C"&amp;$A49)*RTD("tos.rtd",,"DELTA","."&amp;B$2&amp;B$1&amp;"C"&amp;$A49)+100*RTD("tos.rtd",,"OPEN_INT","."&amp;B$2&amp;B$1&amp;"P"&amp;$A49)*RTD("tos.rtd",,"DELTA","."&amp;B$2&amp;B$1&amp;"P"&amp;$A49))/1000,(100*RTD("tos.rtd",,"OPEN_INT","."&amp;B$2&amp;B$1&amp;"C"&amp;$A49)*RTD("tos.rtd",,"DELTA","."&amp;B$2&amp;B$1&amp;"C"&amp;$A49)-100*RTD("tos.rtd",,"OPEN_INT","."&amp;B$2&amp;B$1&amp;"P"&amp;$A49)*RTD("tos.rtd",,"DELTA","."&amp;B$2&amp;B$1&amp;"P"&amp;$A49))/1000),0),IF($A$2="VEX",IFERROR(IF($X$1="ABS",($A$4*$A$4*RTD("tos.rtd",,"VOLUME","."&amp;B$2&amp;B$1&amp;"C"&amp;$A49)*RTD("tos.rtd",,"GAMMA","."&amp;B$2&amp;B$1&amp;"C"&amp;$A49)+$A$4*$A$4*RTD("tos.rtd",,"VOLUME","."&amp;B$2&amp;B$1&amp;"P"&amp;$A49)*RTD("tos.rtd",,"GAMMA","."&amp;B$2&amp;B$1&amp;"P"&amp;$A49))/1000000,($A$4*$A$4*RTD("tos.rtd",,"VOLUME","."&amp;B$2&amp;B$1&amp;"C"&amp;$A49)*RTD("tos.rtd",,"GAMMA","."&amp;B$2&amp;B$1&amp;"C"&amp;$A49)-$A$4*$A$4*RTD("tos.rtd",,"VOLUME","."&amp;B$2&amp;B$1&amp;"P"&amp;$A49)*RTD("tos.rtd",,"GAMMA","."&amp;B$2&amp;B$1&amp;"P"&amp;$A49))/1000000),0),IF($A$2="GEX",IFERROR(IF($X$1="ABS",($A$4*$A$4*RTD("tos.rtd",,"OPEN_INT","."&amp;B$2&amp;B$1&amp;"C"&amp;$A49)*RTD("tos.rtd",,"GAMMA","."&amp;B$2&amp;B$1&amp;"C"&amp;$A49)+$A$4*$A$4*RTD("tos.rtd",,"OPEN_INT","."&amp;B$2&amp;B$1&amp;"P"&amp;$A49)*RTD("tos.rtd",,"GAMMA","."&amp;B$2&amp;B$1&amp;"P"&amp;$A49))/1000000,($A$4*$A$4*RTD("tos.rtd",,"OPEN_INT","."&amp;B$2&amp;B$1&amp;"C"&amp;$A49)*RTD("tos.rtd",,"GAMMA","."&amp;B$2&amp;B$1&amp;"C"&amp;$A49)-$A$4*$A$4*RTD("tos.rtd",,"OPEN_INT","."&amp;B$2&amp;B$1&amp;"P"&amp;$A49)*RTD("tos.rtd",,"GAMMA","."&amp;B$2&amp;B$1&amp;"P"&amp;$A49))/1000000),0),IF($A$2="SKEW",IFERROR(VALUE(IF(RTD("tos.rtd",,"IMPL_VOL","."&amp;B$2&amp;B$1&amp;"P"&amp;$A49)="N/A",0,RTD("tos.rtd",,"IMPL_VOL","."&amp;B$2&amp;B$1&amp;"P"&amp;$A49))),0)-IFERROR(VALUE(IF(RTD("tos.rtd",,"IMPL_VOL","."&amp;B$2&amp;B$1&amp;"C"&amp;$A49)="N/A",0,RTD("tos.rtd",,"IMPL_VOL","."&amp;B$2&amp;B$1&amp;"C"&amp;$A49))),0),IF($A$2="MAXPAIN",IF($A$4&gt;$A49,($A$4-$A49)*IF(RTD("tos.rtd",,"OPEN_INT","."&amp;B$2&amp;B$1&amp;"C"&amp;$A49)="N/A",0,RTD("tos.rtd",,"OPEN_INT","."&amp;B$2&amp;B$1&amp;"C"&amp;$A49)),0)+IF($A$4&lt;$A49,($A$5-$A$4)*IF(RTD("tos.rtd",,"OPEN_INT","."&amp;B$2&amp;B$1&amp;"P"&amp;$A49)="N/A",0,RTD("tos.rtd",,"OPEN_INT","."&amp;B$2&amp;B$1&amp;"P"&amp;$A49)),0),IF($X$1="ABS",IF(RTD("tos.rtd",,$A$2,"."&amp;B$2&amp;B$1&amp;"C"&amp;$A49)="N/A",0,RTD("tos.rtd",,$A$2,"."&amp;B$2&amp;B$1&amp;"C"&amp;$A49))+IF(RTD("tos.rtd",,$A$2,"."&amp;B$2&amp;B$1&amp;"P"&amp;$A49)="N/A",0,RTD("tos.rtd",,$A$2,"."&amp;B$2&amp;B$1&amp;"P"&amp;$A49)),IF(RTD("tos.rtd",,$A$2,"."&amp;B$2&amp;B$1&amp;"C"&amp;$A49)="N/A",0,RTD("tos.rtd",,$A$2,"."&amp;B$2&amp;B$1&amp;"C"&amp;$A49))-IF(RTD("tos.rtd",,$A$2,"."&amp;B$2&amp;B$1&amp;"P"&amp;$A49)="N/A",0,RTD("tos.rtd",,$A$2,"."&amp;B$2&amp;B$1&amp;"P"&amp;$A49))))))))))</f>
        <v>0</v>
      </c>
      <c r="C49" s="14">
        <f ca="1">IF($A$2="PREMIUM_OI",IFERROR(IF($X$1="ABS",(100*RTD("tos.rtd",,"OPEN_INT","."&amp;C$2&amp;C$1&amp;"C"&amp;$A49)*RTD("tos.rtd",,"LAST","."&amp;C$2&amp;C$1&amp;"C"&amp;$A49)+100*RTD("tos.rtd",,"OPEN_INT","."&amp;C$2&amp;C$1&amp;"P"&amp;$A49)*RTD("tos.rtd",,"LAST","."&amp;C$2&amp;C$1&amp;"P"&amp;$A49))/1000000,(100*RTD("tos.rtd",,"OPEN_INT","."&amp;C$2&amp;C$1&amp;"C"&amp;$A49)*RTD("tos.rtd",,"LAST","."&amp;C$2&amp;C$1&amp;"C"&amp;$A49)-100*RTD("tos.rtd",,"OPEN_INT","."&amp;C$2&amp;C$1&amp;"P"&amp;$A49)*RTD("tos.rtd",,"LAST","."&amp;C$2&amp;C$1&amp;"P"&amp;$A49))/1000000),0),IF($A$2="PREMIUM",IFERROR(IF($X$1="ABS",(100*RTD("tos.rtd",,"VOLUME","."&amp;C$2&amp;C$1&amp;"C"&amp;$A49)*RTD("tos.rtd",,"LAST","."&amp;C$2&amp;C$1&amp;"C"&amp;$A49)+100*RTD("tos.rtd",,"VOLUME","."&amp;C$2&amp;C$1&amp;"P"&amp;$A49)*RTD("tos.rtd",,"LAST","."&amp;C$2&amp;C$1&amp;"P"&amp;$A49))/1000000,(100*RTD("tos.rtd",,"VOLUME","."&amp;C$2&amp;C$1&amp;"C"&amp;$A49)*RTD("tos.rtd",,"LAST","."&amp;C$2&amp;C$1&amp;"C"&amp;$A49)-100*RTD("tos.rtd",,"VOLUME","."&amp;C$2&amp;C$1&amp;"P"&amp;$A49)*RTD("tos.rtd",,"LAST","."&amp;C$2&amp;C$1&amp;"P"&amp;$A49))/1000000),0),IF($A$2="DEX",IFERROR(IF($X$1="ABS",(100*RTD("tos.rtd",,"OPEN_INT","."&amp;C$2&amp;C$1&amp;"C"&amp;$A49)*RTD("tos.rtd",,"DELTA","."&amp;C$2&amp;C$1&amp;"C"&amp;$A49)+100*RTD("tos.rtd",,"OPEN_INT","."&amp;C$2&amp;C$1&amp;"P"&amp;$A49)*RTD("tos.rtd",,"DELTA","."&amp;C$2&amp;C$1&amp;"P"&amp;$A49))/1000,(100*RTD("tos.rtd",,"OPEN_INT","."&amp;C$2&amp;C$1&amp;"C"&amp;$A49)*RTD("tos.rtd",,"DELTA","."&amp;C$2&amp;C$1&amp;"C"&amp;$A49)-100*RTD("tos.rtd",,"OPEN_INT","."&amp;C$2&amp;C$1&amp;"P"&amp;$A49)*RTD("tos.rtd",,"DELTA","."&amp;C$2&amp;C$1&amp;"P"&amp;$A49))/1000),0),IF($A$2="VEX",IFERROR(IF($X$1="ABS",($A$4*$A$4*RTD("tos.rtd",,"VOLUME","."&amp;C$2&amp;C$1&amp;"C"&amp;$A49)*RTD("tos.rtd",,"GAMMA","."&amp;C$2&amp;C$1&amp;"C"&amp;$A49)+$A$4*$A$4*RTD("tos.rtd",,"VOLUME","."&amp;C$2&amp;C$1&amp;"P"&amp;$A49)*RTD("tos.rtd",,"GAMMA","."&amp;C$2&amp;C$1&amp;"P"&amp;$A49))/1000000,($A$4*$A$4*RTD("tos.rtd",,"VOLUME","."&amp;C$2&amp;C$1&amp;"C"&amp;$A49)*RTD("tos.rtd",,"GAMMA","."&amp;C$2&amp;C$1&amp;"C"&amp;$A49)-$A$4*$A$4*RTD("tos.rtd",,"VOLUME","."&amp;C$2&amp;C$1&amp;"P"&amp;$A49)*RTD("tos.rtd",,"GAMMA","."&amp;C$2&amp;C$1&amp;"P"&amp;$A49))/1000000),0),IF($A$2="GEX",IFERROR(IF($X$1="ABS",($A$4*$A$4*RTD("tos.rtd",,"OPEN_INT","."&amp;C$2&amp;C$1&amp;"C"&amp;$A49)*RTD("tos.rtd",,"GAMMA","."&amp;C$2&amp;C$1&amp;"C"&amp;$A49)+$A$4*$A$4*RTD("tos.rtd",,"OPEN_INT","."&amp;C$2&amp;C$1&amp;"P"&amp;$A49)*RTD("tos.rtd",,"GAMMA","."&amp;C$2&amp;C$1&amp;"P"&amp;$A49))/1000000,($A$4*$A$4*RTD("tos.rtd",,"OPEN_INT","."&amp;C$2&amp;C$1&amp;"C"&amp;$A49)*RTD("tos.rtd",,"GAMMA","."&amp;C$2&amp;C$1&amp;"C"&amp;$A49)-$A$4*$A$4*RTD("tos.rtd",,"OPEN_INT","."&amp;C$2&amp;C$1&amp;"P"&amp;$A49)*RTD("tos.rtd",,"GAMMA","."&amp;C$2&amp;C$1&amp;"P"&amp;$A49))/1000000),0),IF($A$2="SKEW",IFERROR(VALUE(IF(RTD("tos.rtd",,"IMPL_VOL","."&amp;C$2&amp;C$1&amp;"P"&amp;$A49)="N/A",0,RTD("tos.rtd",,"IMPL_VOL","."&amp;C$2&amp;C$1&amp;"P"&amp;$A49))),0)-IFERROR(VALUE(IF(RTD("tos.rtd",,"IMPL_VOL","."&amp;C$2&amp;C$1&amp;"C"&amp;$A49)="N/A",0,RTD("tos.rtd",,"IMPL_VOL","."&amp;C$2&amp;C$1&amp;"C"&amp;$A49))),0),IF($A$2="MAXPAIN",IF($A$4&gt;$A49,($A$4-$A49)*IF(RTD("tos.rtd",,"OPEN_INT","."&amp;C$2&amp;C$1&amp;"C"&amp;$A49)="N/A",0,RTD("tos.rtd",,"OPEN_INT","."&amp;C$2&amp;C$1&amp;"C"&amp;$A49)),0)+IF($A$4&lt;$A49,($A$5-$A$4)*IF(RTD("tos.rtd",,"OPEN_INT","."&amp;C$2&amp;C$1&amp;"P"&amp;$A49)="N/A",0,RTD("tos.rtd",,"OPEN_INT","."&amp;C$2&amp;C$1&amp;"P"&amp;$A49)),0),IF($X$1="ABS",IF(RTD("tos.rtd",,$A$2,"."&amp;C$2&amp;C$1&amp;"C"&amp;$A49)="N/A",0,RTD("tos.rtd",,$A$2,"."&amp;C$2&amp;C$1&amp;"C"&amp;$A49))+IF(RTD("tos.rtd",,$A$2,"."&amp;C$2&amp;C$1&amp;"P"&amp;$A49)="N/A",0,RTD("tos.rtd",,$A$2,"."&amp;C$2&amp;C$1&amp;"P"&amp;$A49)),IF(RTD("tos.rtd",,$A$2,"."&amp;C$2&amp;C$1&amp;"C"&amp;$A49)="N/A",0,RTD("tos.rtd",,$A$2,"."&amp;C$2&amp;C$1&amp;"C"&amp;$A49))-IF(RTD("tos.rtd",,$A$2,"."&amp;C$2&amp;C$1&amp;"P"&amp;$A49)="N/A",0,RTD("tos.rtd",,$A$2,"."&amp;C$2&amp;C$1&amp;"P"&amp;$A49))))))))))</f>
        <v>0</v>
      </c>
      <c r="D49" s="12">
        <f ca="1">IF($A$2="PREMIUM_OI",IFERROR(IF($X$1="ABS",(100*RTD("tos.rtd",,"OPEN_INT","."&amp;D$2&amp;D$1&amp;"C"&amp;$A49)*RTD("tos.rtd",,"LAST","."&amp;D$2&amp;D$1&amp;"C"&amp;$A49)+100*RTD("tos.rtd",,"OPEN_INT","."&amp;D$2&amp;D$1&amp;"P"&amp;$A49)*RTD("tos.rtd",,"LAST","."&amp;D$2&amp;D$1&amp;"P"&amp;$A49))/1000000,(100*RTD("tos.rtd",,"OPEN_INT","."&amp;D$2&amp;D$1&amp;"C"&amp;$A49)*RTD("tos.rtd",,"LAST","."&amp;D$2&amp;D$1&amp;"C"&amp;$A49)-100*RTD("tos.rtd",,"OPEN_INT","."&amp;D$2&amp;D$1&amp;"P"&amp;$A49)*RTD("tos.rtd",,"LAST","."&amp;D$2&amp;D$1&amp;"P"&amp;$A49))/1000000),0),IF($A$2="PREMIUM",IFERROR(IF($X$1="ABS",(100*RTD("tos.rtd",,"VOLUME","."&amp;D$2&amp;D$1&amp;"C"&amp;$A49)*RTD("tos.rtd",,"LAST","."&amp;D$2&amp;D$1&amp;"C"&amp;$A49)+100*RTD("tos.rtd",,"VOLUME","."&amp;D$2&amp;D$1&amp;"P"&amp;$A49)*RTD("tos.rtd",,"LAST","."&amp;D$2&amp;D$1&amp;"P"&amp;$A49))/1000000,(100*RTD("tos.rtd",,"VOLUME","."&amp;D$2&amp;D$1&amp;"C"&amp;$A49)*RTD("tos.rtd",,"LAST","."&amp;D$2&amp;D$1&amp;"C"&amp;$A49)-100*RTD("tos.rtd",,"VOLUME","."&amp;D$2&amp;D$1&amp;"P"&amp;$A49)*RTD("tos.rtd",,"LAST","."&amp;D$2&amp;D$1&amp;"P"&amp;$A49))/1000000),0),IF($A$2="DEX",IFERROR(IF($X$1="ABS",(100*RTD("tos.rtd",,"OPEN_INT","."&amp;D$2&amp;D$1&amp;"C"&amp;$A49)*RTD("tos.rtd",,"DELTA","."&amp;D$2&amp;D$1&amp;"C"&amp;$A49)+100*RTD("tos.rtd",,"OPEN_INT","."&amp;D$2&amp;D$1&amp;"P"&amp;$A49)*RTD("tos.rtd",,"DELTA","."&amp;D$2&amp;D$1&amp;"P"&amp;$A49))/1000,(100*RTD("tos.rtd",,"OPEN_INT","."&amp;D$2&amp;D$1&amp;"C"&amp;$A49)*RTD("tos.rtd",,"DELTA","."&amp;D$2&amp;D$1&amp;"C"&amp;$A49)-100*RTD("tos.rtd",,"OPEN_INT","."&amp;D$2&amp;D$1&amp;"P"&amp;$A49)*RTD("tos.rtd",,"DELTA","."&amp;D$2&amp;D$1&amp;"P"&amp;$A49))/1000),0),IF($A$2="VEX",IFERROR(IF($X$1="ABS",($A$4*$A$4*RTD("tos.rtd",,"VOLUME","."&amp;D$2&amp;D$1&amp;"C"&amp;$A49)*RTD("tos.rtd",,"GAMMA","."&amp;D$2&amp;D$1&amp;"C"&amp;$A49)+$A$4*$A$4*RTD("tos.rtd",,"VOLUME","."&amp;D$2&amp;D$1&amp;"P"&amp;$A49)*RTD("tos.rtd",,"GAMMA","."&amp;D$2&amp;D$1&amp;"P"&amp;$A49))/1000000,($A$4*$A$4*RTD("tos.rtd",,"VOLUME","."&amp;D$2&amp;D$1&amp;"C"&amp;$A49)*RTD("tos.rtd",,"GAMMA","."&amp;D$2&amp;D$1&amp;"C"&amp;$A49)-$A$4*$A$4*RTD("tos.rtd",,"VOLUME","."&amp;D$2&amp;D$1&amp;"P"&amp;$A49)*RTD("tos.rtd",,"GAMMA","."&amp;D$2&amp;D$1&amp;"P"&amp;$A49))/1000000),0),IF($A$2="GEX",IFERROR(IF($X$1="ABS",($A$4*$A$4*RTD("tos.rtd",,"OPEN_INT","."&amp;D$2&amp;D$1&amp;"C"&amp;$A49)*RTD("tos.rtd",,"GAMMA","."&amp;D$2&amp;D$1&amp;"C"&amp;$A49)+$A$4*$A$4*RTD("tos.rtd",,"OPEN_INT","."&amp;D$2&amp;D$1&amp;"P"&amp;$A49)*RTD("tos.rtd",,"GAMMA","."&amp;D$2&amp;D$1&amp;"P"&amp;$A49))/1000000,($A$4*$A$4*RTD("tos.rtd",,"OPEN_INT","."&amp;D$2&amp;D$1&amp;"C"&amp;$A49)*RTD("tos.rtd",,"GAMMA","."&amp;D$2&amp;D$1&amp;"C"&amp;$A49)-$A$4*$A$4*RTD("tos.rtd",,"OPEN_INT","."&amp;D$2&amp;D$1&amp;"P"&amp;$A49)*RTD("tos.rtd",,"GAMMA","."&amp;D$2&amp;D$1&amp;"P"&amp;$A49))/1000000),0),IF($A$2="SKEW",IFERROR(VALUE(IF(RTD("tos.rtd",,"IMPL_VOL","."&amp;D$2&amp;D$1&amp;"P"&amp;$A49)="N/A",0,RTD("tos.rtd",,"IMPL_VOL","."&amp;D$2&amp;D$1&amp;"P"&amp;$A49))),0)-IFERROR(VALUE(IF(RTD("tos.rtd",,"IMPL_VOL","."&amp;D$2&amp;D$1&amp;"C"&amp;$A49)="N/A",0,RTD("tos.rtd",,"IMPL_VOL","."&amp;D$2&amp;D$1&amp;"C"&amp;$A49))),0),IF($A$2="MAXPAIN",IF($A$4&gt;$A49,($A$4-$A49)*IF(RTD("tos.rtd",,"OPEN_INT","."&amp;D$2&amp;D$1&amp;"C"&amp;$A49)="N/A",0,RTD("tos.rtd",,"OPEN_INT","."&amp;D$2&amp;D$1&amp;"C"&amp;$A49)),0)+IF($A$4&lt;$A49,($A$5-$A$4)*IF(RTD("tos.rtd",,"OPEN_INT","."&amp;D$2&amp;D$1&amp;"P"&amp;$A49)="N/A",0,RTD("tos.rtd",,"OPEN_INT","."&amp;D$2&amp;D$1&amp;"P"&amp;$A49)),0),IF($X$1="ABS",IF(RTD("tos.rtd",,$A$2,"."&amp;D$2&amp;D$1&amp;"C"&amp;$A49)="N/A",0,RTD("tos.rtd",,$A$2,"."&amp;D$2&amp;D$1&amp;"C"&amp;$A49))+IF(RTD("tos.rtd",,$A$2,"."&amp;D$2&amp;D$1&amp;"P"&amp;$A49)="N/A",0,RTD("tos.rtd",,$A$2,"."&amp;D$2&amp;D$1&amp;"P"&amp;$A49)),IF(RTD("tos.rtd",,$A$2,"."&amp;D$2&amp;D$1&amp;"C"&amp;$A49)="N/A",0,RTD("tos.rtd",,$A$2,"."&amp;D$2&amp;D$1&amp;"C"&amp;$A49))-IF(RTD("tos.rtd",,$A$2,"."&amp;D$2&amp;D$1&amp;"P"&amp;$A49)="N/A",0,RTD("tos.rtd",,$A$2,"."&amp;D$2&amp;D$1&amp;"P"&amp;$A49))))))))))</f>
        <v>0</v>
      </c>
      <c r="E49" s="12">
        <f ca="1">IF($A$2="PREMIUM_OI",IFERROR(IF($X$1="ABS",(100*RTD("tos.rtd",,"OPEN_INT","."&amp;E$2&amp;E$1&amp;"C"&amp;$A49)*RTD("tos.rtd",,"LAST","."&amp;E$2&amp;E$1&amp;"C"&amp;$A49)+100*RTD("tos.rtd",,"OPEN_INT","."&amp;E$2&amp;E$1&amp;"P"&amp;$A49)*RTD("tos.rtd",,"LAST","."&amp;E$2&amp;E$1&amp;"P"&amp;$A49))/1000000,(100*RTD("tos.rtd",,"OPEN_INT","."&amp;E$2&amp;E$1&amp;"C"&amp;$A49)*RTD("tos.rtd",,"LAST","."&amp;E$2&amp;E$1&amp;"C"&amp;$A49)-100*RTD("tos.rtd",,"OPEN_INT","."&amp;E$2&amp;E$1&amp;"P"&amp;$A49)*RTD("tos.rtd",,"LAST","."&amp;E$2&amp;E$1&amp;"P"&amp;$A49))/1000000),0),IF($A$2="PREMIUM",IFERROR(IF($X$1="ABS",(100*RTD("tos.rtd",,"VOLUME","."&amp;E$2&amp;E$1&amp;"C"&amp;$A49)*RTD("tos.rtd",,"LAST","."&amp;E$2&amp;E$1&amp;"C"&amp;$A49)+100*RTD("tos.rtd",,"VOLUME","."&amp;E$2&amp;E$1&amp;"P"&amp;$A49)*RTD("tos.rtd",,"LAST","."&amp;E$2&amp;E$1&amp;"P"&amp;$A49))/1000000,(100*RTD("tos.rtd",,"VOLUME","."&amp;E$2&amp;E$1&amp;"C"&amp;$A49)*RTD("tos.rtd",,"LAST","."&amp;E$2&amp;E$1&amp;"C"&amp;$A49)-100*RTD("tos.rtd",,"VOLUME","."&amp;E$2&amp;E$1&amp;"P"&amp;$A49)*RTD("tos.rtd",,"LAST","."&amp;E$2&amp;E$1&amp;"P"&amp;$A49))/1000000),0),IF($A$2="DEX",IFERROR(IF($X$1="ABS",(100*RTD("tos.rtd",,"OPEN_INT","."&amp;E$2&amp;E$1&amp;"C"&amp;$A49)*RTD("tos.rtd",,"DELTA","."&amp;E$2&amp;E$1&amp;"C"&amp;$A49)+100*RTD("tos.rtd",,"OPEN_INT","."&amp;E$2&amp;E$1&amp;"P"&amp;$A49)*RTD("tos.rtd",,"DELTA","."&amp;E$2&amp;E$1&amp;"P"&amp;$A49))/1000,(100*RTD("tos.rtd",,"OPEN_INT","."&amp;E$2&amp;E$1&amp;"C"&amp;$A49)*RTD("tos.rtd",,"DELTA","."&amp;E$2&amp;E$1&amp;"C"&amp;$A49)-100*RTD("tos.rtd",,"OPEN_INT","."&amp;E$2&amp;E$1&amp;"P"&amp;$A49)*RTD("tos.rtd",,"DELTA","."&amp;E$2&amp;E$1&amp;"P"&amp;$A49))/1000),0),IF($A$2="VEX",IFERROR(IF($X$1="ABS",($A$4*$A$4*RTD("tos.rtd",,"VOLUME","."&amp;E$2&amp;E$1&amp;"C"&amp;$A49)*RTD("tos.rtd",,"GAMMA","."&amp;E$2&amp;E$1&amp;"C"&amp;$A49)+$A$4*$A$4*RTD("tos.rtd",,"VOLUME","."&amp;E$2&amp;E$1&amp;"P"&amp;$A49)*RTD("tos.rtd",,"GAMMA","."&amp;E$2&amp;E$1&amp;"P"&amp;$A49))/1000000,($A$4*$A$4*RTD("tos.rtd",,"VOLUME","."&amp;E$2&amp;E$1&amp;"C"&amp;$A49)*RTD("tos.rtd",,"GAMMA","."&amp;E$2&amp;E$1&amp;"C"&amp;$A49)-$A$4*$A$4*RTD("tos.rtd",,"VOLUME","."&amp;E$2&amp;E$1&amp;"P"&amp;$A49)*RTD("tos.rtd",,"GAMMA","."&amp;E$2&amp;E$1&amp;"P"&amp;$A49))/1000000),0),IF($A$2="GEX",IFERROR(IF($X$1="ABS",($A$4*$A$4*RTD("tos.rtd",,"OPEN_INT","."&amp;E$2&amp;E$1&amp;"C"&amp;$A49)*RTD("tos.rtd",,"GAMMA","."&amp;E$2&amp;E$1&amp;"C"&amp;$A49)+$A$4*$A$4*RTD("tos.rtd",,"OPEN_INT","."&amp;E$2&amp;E$1&amp;"P"&amp;$A49)*RTD("tos.rtd",,"GAMMA","."&amp;E$2&amp;E$1&amp;"P"&amp;$A49))/1000000,($A$4*$A$4*RTD("tos.rtd",,"OPEN_INT","."&amp;E$2&amp;E$1&amp;"C"&amp;$A49)*RTD("tos.rtd",,"GAMMA","."&amp;E$2&amp;E$1&amp;"C"&amp;$A49)-$A$4*$A$4*RTD("tos.rtd",,"OPEN_INT","."&amp;E$2&amp;E$1&amp;"P"&amp;$A49)*RTD("tos.rtd",,"GAMMA","."&amp;E$2&amp;E$1&amp;"P"&amp;$A49))/1000000),0),IF($A$2="SKEW",IFERROR(VALUE(IF(RTD("tos.rtd",,"IMPL_VOL","."&amp;E$2&amp;E$1&amp;"P"&amp;$A49)="N/A",0,RTD("tos.rtd",,"IMPL_VOL","."&amp;E$2&amp;E$1&amp;"P"&amp;$A49))),0)-IFERROR(VALUE(IF(RTD("tos.rtd",,"IMPL_VOL","."&amp;E$2&amp;E$1&amp;"C"&amp;$A49)="N/A",0,RTD("tos.rtd",,"IMPL_VOL","."&amp;E$2&amp;E$1&amp;"C"&amp;$A49))),0),IF($A$2="MAXPAIN",IF($A$4&gt;$A49,($A$4-$A49)*IF(RTD("tos.rtd",,"OPEN_INT","."&amp;E$2&amp;E$1&amp;"C"&amp;$A49)="N/A",0,RTD("tos.rtd",,"OPEN_INT","."&amp;E$2&amp;E$1&amp;"C"&amp;$A49)),0)+IF($A$4&lt;$A49,($A$5-$A$4)*IF(RTD("tos.rtd",,"OPEN_INT","."&amp;E$2&amp;E$1&amp;"P"&amp;$A49)="N/A",0,RTD("tos.rtd",,"OPEN_INT","."&amp;E$2&amp;E$1&amp;"P"&amp;$A49)),0),IF($X$1="ABS",IF(RTD("tos.rtd",,$A$2,"."&amp;E$2&amp;E$1&amp;"C"&amp;$A49)="N/A",0,RTD("tos.rtd",,$A$2,"."&amp;E$2&amp;E$1&amp;"C"&amp;$A49))+IF(RTD("tos.rtd",,$A$2,"."&amp;E$2&amp;E$1&amp;"P"&amp;$A49)="N/A",0,RTD("tos.rtd",,$A$2,"."&amp;E$2&amp;E$1&amp;"P"&amp;$A49)),IF(RTD("tos.rtd",,$A$2,"."&amp;E$2&amp;E$1&amp;"C"&amp;$A49)="N/A",0,RTD("tos.rtd",,$A$2,"."&amp;E$2&amp;E$1&amp;"C"&amp;$A49))-IF(RTD("tos.rtd",,$A$2,"."&amp;E$2&amp;E$1&amp;"P"&amp;$A49)="N/A",0,RTD("tos.rtd",,$A$2,"."&amp;E$2&amp;E$1&amp;"P"&amp;$A49))))))))))</f>
        <v>0</v>
      </c>
      <c r="F49" s="12">
        <f ca="1">IF($A$2="PREMIUM_OI",IFERROR(IF($X$1="ABS",(100*RTD("tos.rtd",,"OPEN_INT","."&amp;F$2&amp;F$1&amp;"C"&amp;$A49)*RTD("tos.rtd",,"LAST","."&amp;F$2&amp;F$1&amp;"C"&amp;$A49)+100*RTD("tos.rtd",,"OPEN_INT","."&amp;F$2&amp;F$1&amp;"P"&amp;$A49)*RTD("tos.rtd",,"LAST","."&amp;F$2&amp;F$1&amp;"P"&amp;$A49))/1000000,(100*RTD("tos.rtd",,"OPEN_INT","."&amp;F$2&amp;F$1&amp;"C"&amp;$A49)*RTD("tos.rtd",,"LAST","."&amp;F$2&amp;F$1&amp;"C"&amp;$A49)-100*RTD("tos.rtd",,"OPEN_INT","."&amp;F$2&amp;F$1&amp;"P"&amp;$A49)*RTD("tos.rtd",,"LAST","."&amp;F$2&amp;F$1&amp;"P"&amp;$A49))/1000000),0),IF($A$2="PREMIUM",IFERROR(IF($X$1="ABS",(100*RTD("tos.rtd",,"VOLUME","."&amp;F$2&amp;F$1&amp;"C"&amp;$A49)*RTD("tos.rtd",,"LAST","."&amp;F$2&amp;F$1&amp;"C"&amp;$A49)+100*RTD("tos.rtd",,"VOLUME","."&amp;F$2&amp;F$1&amp;"P"&amp;$A49)*RTD("tos.rtd",,"LAST","."&amp;F$2&amp;F$1&amp;"P"&amp;$A49))/1000000,(100*RTD("tos.rtd",,"VOLUME","."&amp;F$2&amp;F$1&amp;"C"&amp;$A49)*RTD("tos.rtd",,"LAST","."&amp;F$2&amp;F$1&amp;"C"&amp;$A49)-100*RTD("tos.rtd",,"VOLUME","."&amp;F$2&amp;F$1&amp;"P"&amp;$A49)*RTD("tos.rtd",,"LAST","."&amp;F$2&amp;F$1&amp;"P"&amp;$A49))/1000000),0),IF($A$2="DEX",IFERROR(IF($X$1="ABS",(100*RTD("tos.rtd",,"OPEN_INT","."&amp;F$2&amp;F$1&amp;"C"&amp;$A49)*RTD("tos.rtd",,"DELTA","."&amp;F$2&amp;F$1&amp;"C"&amp;$A49)+100*RTD("tos.rtd",,"OPEN_INT","."&amp;F$2&amp;F$1&amp;"P"&amp;$A49)*RTD("tos.rtd",,"DELTA","."&amp;F$2&amp;F$1&amp;"P"&amp;$A49))/1000,(100*RTD("tos.rtd",,"OPEN_INT","."&amp;F$2&amp;F$1&amp;"C"&amp;$A49)*RTD("tos.rtd",,"DELTA","."&amp;F$2&amp;F$1&amp;"C"&amp;$A49)-100*RTD("tos.rtd",,"OPEN_INT","."&amp;F$2&amp;F$1&amp;"P"&amp;$A49)*RTD("tos.rtd",,"DELTA","."&amp;F$2&amp;F$1&amp;"P"&amp;$A49))/1000),0),IF($A$2="VEX",IFERROR(IF($X$1="ABS",($A$4*$A$4*RTD("tos.rtd",,"VOLUME","."&amp;F$2&amp;F$1&amp;"C"&amp;$A49)*RTD("tos.rtd",,"GAMMA","."&amp;F$2&amp;F$1&amp;"C"&amp;$A49)+$A$4*$A$4*RTD("tos.rtd",,"VOLUME","."&amp;F$2&amp;F$1&amp;"P"&amp;$A49)*RTD("tos.rtd",,"GAMMA","."&amp;F$2&amp;F$1&amp;"P"&amp;$A49))/1000000,($A$4*$A$4*RTD("tos.rtd",,"VOLUME","."&amp;F$2&amp;F$1&amp;"C"&amp;$A49)*RTD("tos.rtd",,"GAMMA","."&amp;F$2&amp;F$1&amp;"C"&amp;$A49)-$A$4*$A$4*RTD("tos.rtd",,"VOLUME","."&amp;F$2&amp;F$1&amp;"P"&amp;$A49)*RTD("tos.rtd",,"GAMMA","."&amp;F$2&amp;F$1&amp;"P"&amp;$A49))/1000000),0),IF($A$2="GEX",IFERROR(IF($X$1="ABS",($A$4*$A$4*RTD("tos.rtd",,"OPEN_INT","."&amp;F$2&amp;F$1&amp;"C"&amp;$A49)*RTD("tos.rtd",,"GAMMA","."&amp;F$2&amp;F$1&amp;"C"&amp;$A49)+$A$4*$A$4*RTD("tos.rtd",,"OPEN_INT","."&amp;F$2&amp;F$1&amp;"P"&amp;$A49)*RTD("tos.rtd",,"GAMMA","."&amp;F$2&amp;F$1&amp;"P"&amp;$A49))/1000000,($A$4*$A$4*RTD("tos.rtd",,"OPEN_INT","."&amp;F$2&amp;F$1&amp;"C"&amp;$A49)*RTD("tos.rtd",,"GAMMA","."&amp;F$2&amp;F$1&amp;"C"&amp;$A49)-$A$4*$A$4*RTD("tos.rtd",,"OPEN_INT","."&amp;F$2&amp;F$1&amp;"P"&amp;$A49)*RTD("tos.rtd",,"GAMMA","."&amp;F$2&amp;F$1&amp;"P"&amp;$A49))/1000000),0),IF($A$2="SKEW",IFERROR(VALUE(IF(RTD("tos.rtd",,"IMPL_VOL","."&amp;F$2&amp;F$1&amp;"P"&amp;$A49)="N/A",0,RTD("tos.rtd",,"IMPL_VOL","."&amp;F$2&amp;F$1&amp;"P"&amp;$A49))),0)-IFERROR(VALUE(IF(RTD("tos.rtd",,"IMPL_VOL","."&amp;F$2&amp;F$1&amp;"C"&amp;$A49)="N/A",0,RTD("tos.rtd",,"IMPL_VOL","."&amp;F$2&amp;F$1&amp;"C"&amp;$A49))),0),IF($A$2="MAXPAIN",IF($A$4&gt;$A49,($A$4-$A49)*IF(RTD("tos.rtd",,"OPEN_INT","."&amp;F$2&amp;F$1&amp;"C"&amp;$A49)="N/A",0,RTD("tos.rtd",,"OPEN_INT","."&amp;F$2&amp;F$1&amp;"C"&amp;$A49)),0)+IF($A$4&lt;$A49,($A$5-$A$4)*IF(RTD("tos.rtd",,"OPEN_INT","."&amp;F$2&amp;F$1&amp;"P"&amp;$A49)="N/A",0,RTD("tos.rtd",,"OPEN_INT","."&amp;F$2&amp;F$1&amp;"P"&amp;$A49)),0),IF($X$1="ABS",IF(RTD("tos.rtd",,$A$2,"."&amp;F$2&amp;F$1&amp;"C"&amp;$A49)="N/A",0,RTD("tos.rtd",,$A$2,"."&amp;F$2&amp;F$1&amp;"C"&amp;$A49))+IF(RTD("tos.rtd",,$A$2,"."&amp;F$2&amp;F$1&amp;"P"&amp;$A49)="N/A",0,RTD("tos.rtd",,$A$2,"."&amp;F$2&amp;F$1&amp;"P"&amp;$A49)),IF(RTD("tos.rtd",,$A$2,"."&amp;F$2&amp;F$1&amp;"C"&amp;$A49)="N/A",0,RTD("tos.rtd",,$A$2,"."&amp;F$2&amp;F$1&amp;"C"&amp;$A49))-IF(RTD("tos.rtd",,$A$2,"."&amp;F$2&amp;F$1&amp;"P"&amp;$A49)="N/A",0,RTD("tos.rtd",,$A$2,"."&amp;F$2&amp;F$1&amp;"P"&amp;$A49))))))))))</f>
        <v>0</v>
      </c>
      <c r="G49" s="54">
        <f ca="1">IF($A$2="PREMIUM_OI",IFERROR(IF($X$1="ABS",(100*RTD("tos.rtd",,"OPEN_INT","."&amp;G$2&amp;G$1&amp;"C"&amp;$A49)*RTD("tos.rtd",,"LAST","."&amp;G$2&amp;G$1&amp;"C"&amp;$A49)+100*RTD("tos.rtd",,"OPEN_INT","."&amp;G$2&amp;G$1&amp;"P"&amp;$A49)*RTD("tos.rtd",,"LAST","."&amp;G$2&amp;G$1&amp;"P"&amp;$A49))/1000000,(100*RTD("tos.rtd",,"OPEN_INT","."&amp;G$2&amp;G$1&amp;"C"&amp;$A49)*RTD("tos.rtd",,"LAST","."&amp;G$2&amp;G$1&amp;"C"&amp;$A49)-100*RTD("tos.rtd",,"OPEN_INT","."&amp;G$2&amp;G$1&amp;"P"&amp;$A49)*RTD("tos.rtd",,"LAST","."&amp;G$2&amp;G$1&amp;"P"&amp;$A49))/1000000),0),IF($A$2="PREMIUM",IFERROR(IF($X$1="ABS",(100*RTD("tos.rtd",,"VOLUME","."&amp;G$2&amp;G$1&amp;"C"&amp;$A49)*RTD("tos.rtd",,"LAST","."&amp;G$2&amp;G$1&amp;"C"&amp;$A49)+100*RTD("tos.rtd",,"VOLUME","."&amp;G$2&amp;G$1&amp;"P"&amp;$A49)*RTD("tos.rtd",,"LAST","."&amp;G$2&amp;G$1&amp;"P"&amp;$A49))/1000000,(100*RTD("tos.rtd",,"VOLUME","."&amp;G$2&amp;G$1&amp;"C"&amp;$A49)*RTD("tos.rtd",,"LAST","."&amp;G$2&amp;G$1&amp;"C"&amp;$A49)-100*RTD("tos.rtd",,"VOLUME","."&amp;G$2&amp;G$1&amp;"P"&amp;$A49)*RTD("tos.rtd",,"LAST","."&amp;G$2&amp;G$1&amp;"P"&amp;$A49))/1000000),0),IF($A$2="DEX",IFERROR(IF($X$1="ABS",(100*RTD("tos.rtd",,"OPEN_INT","."&amp;G$2&amp;G$1&amp;"C"&amp;$A49)*RTD("tos.rtd",,"DELTA","."&amp;G$2&amp;G$1&amp;"C"&amp;$A49)+100*RTD("tos.rtd",,"OPEN_INT","."&amp;G$2&amp;G$1&amp;"P"&amp;$A49)*RTD("tos.rtd",,"DELTA","."&amp;G$2&amp;G$1&amp;"P"&amp;$A49))/1000,(100*RTD("tos.rtd",,"OPEN_INT","."&amp;G$2&amp;G$1&amp;"C"&amp;$A49)*RTD("tos.rtd",,"DELTA","."&amp;G$2&amp;G$1&amp;"C"&amp;$A49)-100*RTD("tos.rtd",,"OPEN_INT","."&amp;G$2&amp;G$1&amp;"P"&amp;$A49)*RTD("tos.rtd",,"DELTA","."&amp;G$2&amp;G$1&amp;"P"&amp;$A49))/1000),0),IF($A$2="VEX",IFERROR(IF($X$1="ABS",($A$4*$A$4*RTD("tos.rtd",,"VOLUME","."&amp;G$2&amp;G$1&amp;"C"&amp;$A49)*RTD("tos.rtd",,"GAMMA","."&amp;G$2&amp;G$1&amp;"C"&amp;$A49)+$A$4*$A$4*RTD("tos.rtd",,"VOLUME","."&amp;G$2&amp;G$1&amp;"P"&amp;$A49)*RTD("tos.rtd",,"GAMMA","."&amp;G$2&amp;G$1&amp;"P"&amp;$A49))/1000000,($A$4*$A$4*RTD("tos.rtd",,"VOLUME","."&amp;G$2&amp;G$1&amp;"C"&amp;$A49)*RTD("tos.rtd",,"GAMMA","."&amp;G$2&amp;G$1&amp;"C"&amp;$A49)-$A$4*$A$4*RTD("tos.rtd",,"VOLUME","."&amp;G$2&amp;G$1&amp;"P"&amp;$A49)*RTD("tos.rtd",,"GAMMA","."&amp;G$2&amp;G$1&amp;"P"&amp;$A49))/1000000),0),IF($A$2="GEX",IFERROR(IF($X$1="ABS",($A$4*$A$4*RTD("tos.rtd",,"OPEN_INT","."&amp;G$2&amp;G$1&amp;"C"&amp;$A49)*RTD("tos.rtd",,"GAMMA","."&amp;G$2&amp;G$1&amp;"C"&amp;$A49)+$A$4*$A$4*RTD("tos.rtd",,"OPEN_INT","."&amp;G$2&amp;G$1&amp;"P"&amp;$A49)*RTD("tos.rtd",,"GAMMA","."&amp;G$2&amp;G$1&amp;"P"&amp;$A49))/1000000,($A$4*$A$4*RTD("tos.rtd",,"OPEN_INT","."&amp;G$2&amp;G$1&amp;"C"&amp;$A49)*RTD("tos.rtd",,"GAMMA","."&amp;G$2&amp;G$1&amp;"C"&amp;$A49)-$A$4*$A$4*RTD("tos.rtd",,"OPEN_INT","."&amp;G$2&amp;G$1&amp;"P"&amp;$A49)*RTD("tos.rtd",,"GAMMA","."&amp;G$2&amp;G$1&amp;"P"&amp;$A49))/1000000),0),IF($A$2="SKEW",IFERROR(VALUE(IF(RTD("tos.rtd",,"IMPL_VOL","."&amp;G$2&amp;G$1&amp;"P"&amp;$A49)="N/A",0,RTD("tos.rtd",,"IMPL_VOL","."&amp;G$2&amp;G$1&amp;"P"&amp;$A49))),0)-IFERROR(VALUE(IF(RTD("tos.rtd",,"IMPL_VOL","."&amp;G$2&amp;G$1&amp;"C"&amp;$A49)="N/A",0,RTD("tos.rtd",,"IMPL_VOL","."&amp;G$2&amp;G$1&amp;"C"&amp;$A49))),0),IF($A$2="MAXPAIN",IF($A$4&gt;$A49,($A$4-$A49)*IF(RTD("tos.rtd",,"OPEN_INT","."&amp;G$2&amp;G$1&amp;"C"&amp;$A49)="N/A",0,RTD("tos.rtd",,"OPEN_INT","."&amp;G$2&amp;G$1&amp;"C"&amp;$A49)),0)+IF($A$4&lt;$A49,($A$5-$A$4)*IF(RTD("tos.rtd",,"OPEN_INT","."&amp;G$2&amp;G$1&amp;"P"&amp;$A49)="N/A",0,RTD("tos.rtd",,"OPEN_INT","."&amp;G$2&amp;G$1&amp;"P"&amp;$A49)),0),IF($X$1="ABS",IF(RTD("tos.rtd",,$A$2,"."&amp;G$2&amp;G$1&amp;"C"&amp;$A49)="N/A",0,RTD("tos.rtd",,$A$2,"."&amp;G$2&amp;G$1&amp;"C"&amp;$A49))+IF(RTD("tos.rtd",,$A$2,"."&amp;G$2&amp;G$1&amp;"P"&amp;$A49)="N/A",0,RTD("tos.rtd",,$A$2,"."&amp;G$2&amp;G$1&amp;"P"&amp;$A49)),IF(RTD("tos.rtd",,$A$2,"."&amp;G$2&amp;G$1&amp;"C"&amp;$A49)="N/A",0,RTD("tos.rtd",,$A$2,"."&amp;G$2&amp;G$1&amp;"C"&amp;$A49))-IF(RTD("tos.rtd",,$A$2,"."&amp;G$2&amp;G$1&amp;"P"&amp;$A49)="N/A",0,RTD("tos.rtd",,$A$2,"."&amp;G$2&amp;G$1&amp;"P"&amp;$A49))))))))))</f>
        <v>0</v>
      </c>
      <c r="H49" s="14">
        <f ca="1">IF($A$2="PREMIUM_OI",IFERROR(IF($X$1="ABS",(100*RTD("tos.rtd",,"OPEN_INT","."&amp;H$2&amp;H$1&amp;"C"&amp;$A49)*RTD("tos.rtd",,"LAST","."&amp;H$2&amp;H$1&amp;"C"&amp;$A49)+100*RTD("tos.rtd",,"OPEN_INT","."&amp;H$2&amp;H$1&amp;"P"&amp;$A49)*RTD("tos.rtd",,"LAST","."&amp;H$2&amp;H$1&amp;"P"&amp;$A49))/1000000,(100*RTD("tos.rtd",,"OPEN_INT","."&amp;H$2&amp;H$1&amp;"C"&amp;$A49)*RTD("tos.rtd",,"LAST","."&amp;H$2&amp;H$1&amp;"C"&amp;$A49)-100*RTD("tos.rtd",,"OPEN_INT","."&amp;H$2&amp;H$1&amp;"P"&amp;$A49)*RTD("tos.rtd",,"LAST","."&amp;H$2&amp;H$1&amp;"P"&amp;$A49))/1000000),0),IF($A$2="PREMIUM",IFERROR(IF($X$1="ABS",(100*RTD("tos.rtd",,"VOLUME","."&amp;H$2&amp;H$1&amp;"C"&amp;$A49)*RTD("tos.rtd",,"LAST","."&amp;H$2&amp;H$1&amp;"C"&amp;$A49)+100*RTD("tos.rtd",,"VOLUME","."&amp;H$2&amp;H$1&amp;"P"&amp;$A49)*RTD("tos.rtd",,"LAST","."&amp;H$2&amp;H$1&amp;"P"&amp;$A49))/1000000,(100*RTD("tos.rtd",,"VOLUME","."&amp;H$2&amp;H$1&amp;"C"&amp;$A49)*RTD("tos.rtd",,"LAST","."&amp;H$2&amp;H$1&amp;"C"&amp;$A49)-100*RTD("tos.rtd",,"VOLUME","."&amp;H$2&amp;H$1&amp;"P"&amp;$A49)*RTD("tos.rtd",,"LAST","."&amp;H$2&amp;H$1&amp;"P"&amp;$A49))/1000000),0),IF($A$2="DEX",IFERROR(IF($X$1="ABS",(100*RTD("tos.rtd",,"OPEN_INT","."&amp;H$2&amp;H$1&amp;"C"&amp;$A49)*RTD("tos.rtd",,"DELTA","."&amp;H$2&amp;H$1&amp;"C"&amp;$A49)+100*RTD("tos.rtd",,"OPEN_INT","."&amp;H$2&amp;H$1&amp;"P"&amp;$A49)*RTD("tos.rtd",,"DELTA","."&amp;H$2&amp;H$1&amp;"P"&amp;$A49))/1000,(100*RTD("tos.rtd",,"OPEN_INT","."&amp;H$2&amp;H$1&amp;"C"&amp;$A49)*RTD("tos.rtd",,"DELTA","."&amp;H$2&amp;H$1&amp;"C"&amp;$A49)-100*RTD("tos.rtd",,"OPEN_INT","."&amp;H$2&amp;H$1&amp;"P"&amp;$A49)*RTD("tos.rtd",,"DELTA","."&amp;H$2&amp;H$1&amp;"P"&amp;$A49))/1000),0),IF($A$2="VEX",IFERROR(IF($X$1="ABS",($A$4*$A$4*RTD("tos.rtd",,"VOLUME","."&amp;H$2&amp;H$1&amp;"C"&amp;$A49)*RTD("tos.rtd",,"GAMMA","."&amp;H$2&amp;H$1&amp;"C"&amp;$A49)+$A$4*$A$4*RTD("tos.rtd",,"VOLUME","."&amp;H$2&amp;H$1&amp;"P"&amp;$A49)*RTD("tos.rtd",,"GAMMA","."&amp;H$2&amp;H$1&amp;"P"&amp;$A49))/1000000,($A$4*$A$4*RTD("tos.rtd",,"VOLUME","."&amp;H$2&amp;H$1&amp;"C"&amp;$A49)*RTD("tos.rtd",,"GAMMA","."&amp;H$2&amp;H$1&amp;"C"&amp;$A49)-$A$4*$A$4*RTD("tos.rtd",,"VOLUME","."&amp;H$2&amp;H$1&amp;"P"&amp;$A49)*RTD("tos.rtd",,"GAMMA","."&amp;H$2&amp;H$1&amp;"P"&amp;$A49))/1000000),0),IF($A$2="GEX",IFERROR(IF($X$1="ABS",($A$4*$A$4*RTD("tos.rtd",,"OPEN_INT","."&amp;H$2&amp;H$1&amp;"C"&amp;$A49)*RTD("tos.rtd",,"GAMMA","."&amp;H$2&amp;H$1&amp;"C"&amp;$A49)+$A$4*$A$4*RTD("tos.rtd",,"OPEN_INT","."&amp;H$2&amp;H$1&amp;"P"&amp;$A49)*RTD("tos.rtd",,"GAMMA","."&amp;H$2&amp;H$1&amp;"P"&amp;$A49))/1000000,($A$4*$A$4*RTD("tos.rtd",,"OPEN_INT","."&amp;H$2&amp;H$1&amp;"C"&amp;$A49)*RTD("tos.rtd",,"GAMMA","."&amp;H$2&amp;H$1&amp;"C"&amp;$A49)-$A$4*$A$4*RTD("tos.rtd",,"OPEN_INT","."&amp;H$2&amp;H$1&amp;"P"&amp;$A49)*RTD("tos.rtd",,"GAMMA","."&amp;H$2&amp;H$1&amp;"P"&amp;$A49))/1000000),0),IF($A$2="SKEW",IFERROR(VALUE(IF(RTD("tos.rtd",,"IMPL_VOL","."&amp;H$2&amp;H$1&amp;"P"&amp;$A49)="N/A",0,RTD("tos.rtd",,"IMPL_VOL","."&amp;H$2&amp;H$1&amp;"P"&amp;$A49))),0)-IFERROR(VALUE(IF(RTD("tos.rtd",,"IMPL_VOL","."&amp;H$2&amp;H$1&amp;"C"&amp;$A49)="N/A",0,RTD("tos.rtd",,"IMPL_VOL","."&amp;H$2&amp;H$1&amp;"C"&amp;$A49))),0),IF($A$2="MAXPAIN",IF($A$4&gt;$A49,($A$4-$A49)*IF(RTD("tos.rtd",,"OPEN_INT","."&amp;H$2&amp;H$1&amp;"C"&amp;$A49)="N/A",0,RTD("tos.rtd",,"OPEN_INT","."&amp;H$2&amp;H$1&amp;"C"&amp;$A49)),0)+IF($A$4&lt;$A49,($A$5-$A$4)*IF(RTD("tos.rtd",,"OPEN_INT","."&amp;H$2&amp;H$1&amp;"P"&amp;$A49)="N/A",0,RTD("tos.rtd",,"OPEN_INT","."&amp;H$2&amp;H$1&amp;"P"&amp;$A49)),0),IF($X$1="ABS",IF(RTD("tos.rtd",,$A$2,"."&amp;H$2&amp;H$1&amp;"C"&amp;$A49)="N/A",0,RTD("tos.rtd",,$A$2,"."&amp;H$2&amp;H$1&amp;"C"&amp;$A49))+IF(RTD("tos.rtd",,$A$2,"."&amp;H$2&amp;H$1&amp;"P"&amp;$A49)="N/A",0,RTD("tos.rtd",,$A$2,"."&amp;H$2&amp;H$1&amp;"P"&amp;$A49)),IF(RTD("tos.rtd",,$A$2,"."&amp;H$2&amp;H$1&amp;"C"&amp;$A49)="N/A",0,RTD("tos.rtd",,$A$2,"."&amp;H$2&amp;H$1&amp;"C"&amp;$A49))-IF(RTD("tos.rtd",,$A$2,"."&amp;H$2&amp;H$1&amp;"P"&amp;$A49)="N/A",0,RTD("tos.rtd",,$A$2,"."&amp;H$2&amp;H$1&amp;"P"&amp;$A49))))))))))</f>
        <v>0</v>
      </c>
      <c r="I49" s="12">
        <f ca="1">IF($A$2="PREMIUM_OI",IFERROR(IF($X$1="ABS",(100*RTD("tos.rtd",,"OPEN_INT","."&amp;I$2&amp;I$1&amp;"C"&amp;$A49)*RTD("tos.rtd",,"LAST","."&amp;I$2&amp;I$1&amp;"C"&amp;$A49)+100*RTD("tos.rtd",,"OPEN_INT","."&amp;I$2&amp;I$1&amp;"P"&amp;$A49)*RTD("tos.rtd",,"LAST","."&amp;I$2&amp;I$1&amp;"P"&amp;$A49))/1000000,(100*RTD("tos.rtd",,"OPEN_INT","."&amp;I$2&amp;I$1&amp;"C"&amp;$A49)*RTD("tos.rtd",,"LAST","."&amp;I$2&amp;I$1&amp;"C"&amp;$A49)-100*RTD("tos.rtd",,"OPEN_INT","."&amp;I$2&amp;I$1&amp;"P"&amp;$A49)*RTD("tos.rtd",,"LAST","."&amp;I$2&amp;I$1&amp;"P"&amp;$A49))/1000000),0),IF($A$2="PREMIUM",IFERROR(IF($X$1="ABS",(100*RTD("tos.rtd",,"VOLUME","."&amp;I$2&amp;I$1&amp;"C"&amp;$A49)*RTD("tos.rtd",,"LAST","."&amp;I$2&amp;I$1&amp;"C"&amp;$A49)+100*RTD("tos.rtd",,"VOLUME","."&amp;I$2&amp;I$1&amp;"P"&amp;$A49)*RTD("tos.rtd",,"LAST","."&amp;I$2&amp;I$1&amp;"P"&amp;$A49))/1000000,(100*RTD("tos.rtd",,"VOLUME","."&amp;I$2&amp;I$1&amp;"C"&amp;$A49)*RTD("tos.rtd",,"LAST","."&amp;I$2&amp;I$1&amp;"C"&amp;$A49)-100*RTD("tos.rtd",,"VOLUME","."&amp;I$2&amp;I$1&amp;"P"&amp;$A49)*RTD("tos.rtd",,"LAST","."&amp;I$2&amp;I$1&amp;"P"&amp;$A49))/1000000),0),IF($A$2="DEX",IFERROR(IF($X$1="ABS",(100*RTD("tos.rtd",,"OPEN_INT","."&amp;I$2&amp;I$1&amp;"C"&amp;$A49)*RTD("tos.rtd",,"DELTA","."&amp;I$2&amp;I$1&amp;"C"&amp;$A49)+100*RTD("tos.rtd",,"OPEN_INT","."&amp;I$2&amp;I$1&amp;"P"&amp;$A49)*RTD("tos.rtd",,"DELTA","."&amp;I$2&amp;I$1&amp;"P"&amp;$A49))/1000,(100*RTD("tos.rtd",,"OPEN_INT","."&amp;I$2&amp;I$1&amp;"C"&amp;$A49)*RTD("tos.rtd",,"DELTA","."&amp;I$2&amp;I$1&amp;"C"&amp;$A49)-100*RTD("tos.rtd",,"OPEN_INT","."&amp;I$2&amp;I$1&amp;"P"&amp;$A49)*RTD("tos.rtd",,"DELTA","."&amp;I$2&amp;I$1&amp;"P"&amp;$A49))/1000),0),IF($A$2="VEX",IFERROR(IF($X$1="ABS",($A$4*$A$4*RTD("tos.rtd",,"VOLUME","."&amp;I$2&amp;I$1&amp;"C"&amp;$A49)*RTD("tos.rtd",,"GAMMA","."&amp;I$2&amp;I$1&amp;"C"&amp;$A49)+$A$4*$A$4*RTD("tos.rtd",,"VOLUME","."&amp;I$2&amp;I$1&amp;"P"&amp;$A49)*RTD("tos.rtd",,"GAMMA","."&amp;I$2&amp;I$1&amp;"P"&amp;$A49))/1000000,($A$4*$A$4*RTD("tos.rtd",,"VOLUME","."&amp;I$2&amp;I$1&amp;"C"&amp;$A49)*RTD("tos.rtd",,"GAMMA","."&amp;I$2&amp;I$1&amp;"C"&amp;$A49)-$A$4*$A$4*RTD("tos.rtd",,"VOLUME","."&amp;I$2&amp;I$1&amp;"P"&amp;$A49)*RTD("tos.rtd",,"GAMMA","."&amp;I$2&amp;I$1&amp;"P"&amp;$A49))/1000000),0),IF($A$2="GEX",IFERROR(IF($X$1="ABS",($A$4*$A$4*RTD("tos.rtd",,"OPEN_INT","."&amp;I$2&amp;I$1&amp;"C"&amp;$A49)*RTD("tos.rtd",,"GAMMA","."&amp;I$2&amp;I$1&amp;"C"&amp;$A49)+$A$4*$A$4*RTD("tos.rtd",,"OPEN_INT","."&amp;I$2&amp;I$1&amp;"P"&amp;$A49)*RTD("tos.rtd",,"GAMMA","."&amp;I$2&amp;I$1&amp;"P"&amp;$A49))/1000000,($A$4*$A$4*RTD("tos.rtd",,"OPEN_INT","."&amp;I$2&amp;I$1&amp;"C"&amp;$A49)*RTD("tos.rtd",,"GAMMA","."&amp;I$2&amp;I$1&amp;"C"&amp;$A49)-$A$4*$A$4*RTD("tos.rtd",,"OPEN_INT","."&amp;I$2&amp;I$1&amp;"P"&amp;$A49)*RTD("tos.rtd",,"GAMMA","."&amp;I$2&amp;I$1&amp;"P"&amp;$A49))/1000000),0),IF($A$2="SKEW",IFERROR(VALUE(IF(RTD("tos.rtd",,"IMPL_VOL","."&amp;I$2&amp;I$1&amp;"P"&amp;$A49)="N/A",0,RTD("tos.rtd",,"IMPL_VOL","."&amp;I$2&amp;I$1&amp;"P"&amp;$A49))),0)-IFERROR(VALUE(IF(RTD("tos.rtd",,"IMPL_VOL","."&amp;I$2&amp;I$1&amp;"C"&amp;$A49)="N/A",0,RTD("tos.rtd",,"IMPL_VOL","."&amp;I$2&amp;I$1&amp;"C"&amp;$A49))),0),IF($A$2="MAXPAIN",IF($A$4&gt;$A49,($A$4-$A49)*IF(RTD("tos.rtd",,"OPEN_INT","."&amp;I$2&amp;I$1&amp;"C"&amp;$A49)="N/A",0,RTD("tos.rtd",,"OPEN_INT","."&amp;I$2&amp;I$1&amp;"C"&amp;$A49)),0)+IF($A$4&lt;$A49,($A$5-$A$4)*IF(RTD("tos.rtd",,"OPEN_INT","."&amp;I$2&amp;I$1&amp;"P"&amp;$A49)="N/A",0,RTD("tos.rtd",,"OPEN_INT","."&amp;I$2&amp;I$1&amp;"P"&amp;$A49)),0),IF($X$1="ABS",IF(RTD("tos.rtd",,$A$2,"."&amp;I$2&amp;I$1&amp;"C"&amp;$A49)="N/A",0,RTD("tos.rtd",,$A$2,"."&amp;I$2&amp;I$1&amp;"C"&amp;$A49))+IF(RTD("tos.rtd",,$A$2,"."&amp;I$2&amp;I$1&amp;"P"&amp;$A49)="N/A",0,RTD("tos.rtd",,$A$2,"."&amp;I$2&amp;I$1&amp;"P"&amp;$A49)),IF(RTD("tos.rtd",,$A$2,"."&amp;I$2&amp;I$1&amp;"C"&amp;$A49)="N/A",0,RTD("tos.rtd",,$A$2,"."&amp;I$2&amp;I$1&amp;"C"&amp;$A49))-IF(RTD("tos.rtd",,$A$2,"."&amp;I$2&amp;I$1&amp;"P"&amp;$A49)="N/A",0,RTD("tos.rtd",,$A$2,"."&amp;I$2&amp;I$1&amp;"P"&amp;$A49))))))))))</f>
        <v>0</v>
      </c>
      <c r="J49" s="12">
        <f ca="1">IF($A$2="PREMIUM_OI",IFERROR(IF($X$1="ABS",(100*RTD("tos.rtd",,"OPEN_INT","."&amp;J$2&amp;J$1&amp;"C"&amp;$A49)*RTD("tos.rtd",,"LAST","."&amp;J$2&amp;J$1&amp;"C"&amp;$A49)+100*RTD("tos.rtd",,"OPEN_INT","."&amp;J$2&amp;J$1&amp;"P"&amp;$A49)*RTD("tos.rtd",,"LAST","."&amp;J$2&amp;J$1&amp;"P"&amp;$A49))/1000000,(100*RTD("tos.rtd",,"OPEN_INT","."&amp;J$2&amp;J$1&amp;"C"&amp;$A49)*RTD("tos.rtd",,"LAST","."&amp;J$2&amp;J$1&amp;"C"&amp;$A49)-100*RTD("tos.rtd",,"OPEN_INT","."&amp;J$2&amp;J$1&amp;"P"&amp;$A49)*RTD("tos.rtd",,"LAST","."&amp;J$2&amp;J$1&amp;"P"&amp;$A49))/1000000),0),IF($A$2="PREMIUM",IFERROR(IF($X$1="ABS",(100*RTD("tos.rtd",,"VOLUME","."&amp;J$2&amp;J$1&amp;"C"&amp;$A49)*RTD("tos.rtd",,"LAST","."&amp;J$2&amp;J$1&amp;"C"&amp;$A49)+100*RTD("tos.rtd",,"VOLUME","."&amp;J$2&amp;J$1&amp;"P"&amp;$A49)*RTD("tos.rtd",,"LAST","."&amp;J$2&amp;J$1&amp;"P"&amp;$A49))/1000000,(100*RTD("tos.rtd",,"VOLUME","."&amp;J$2&amp;J$1&amp;"C"&amp;$A49)*RTD("tos.rtd",,"LAST","."&amp;J$2&amp;J$1&amp;"C"&amp;$A49)-100*RTD("tos.rtd",,"VOLUME","."&amp;J$2&amp;J$1&amp;"P"&amp;$A49)*RTD("tos.rtd",,"LAST","."&amp;J$2&amp;J$1&amp;"P"&amp;$A49))/1000000),0),IF($A$2="DEX",IFERROR(IF($X$1="ABS",(100*RTD("tos.rtd",,"OPEN_INT","."&amp;J$2&amp;J$1&amp;"C"&amp;$A49)*RTD("tos.rtd",,"DELTA","."&amp;J$2&amp;J$1&amp;"C"&amp;$A49)+100*RTD("tos.rtd",,"OPEN_INT","."&amp;J$2&amp;J$1&amp;"P"&amp;$A49)*RTD("tos.rtd",,"DELTA","."&amp;J$2&amp;J$1&amp;"P"&amp;$A49))/1000,(100*RTD("tos.rtd",,"OPEN_INT","."&amp;J$2&amp;J$1&amp;"C"&amp;$A49)*RTD("tos.rtd",,"DELTA","."&amp;J$2&amp;J$1&amp;"C"&amp;$A49)-100*RTD("tos.rtd",,"OPEN_INT","."&amp;J$2&amp;J$1&amp;"P"&amp;$A49)*RTD("tos.rtd",,"DELTA","."&amp;J$2&amp;J$1&amp;"P"&amp;$A49))/1000),0),IF($A$2="VEX",IFERROR(IF($X$1="ABS",($A$4*$A$4*RTD("tos.rtd",,"VOLUME","."&amp;J$2&amp;J$1&amp;"C"&amp;$A49)*RTD("tos.rtd",,"GAMMA","."&amp;J$2&amp;J$1&amp;"C"&amp;$A49)+$A$4*$A$4*RTD("tos.rtd",,"VOLUME","."&amp;J$2&amp;J$1&amp;"P"&amp;$A49)*RTD("tos.rtd",,"GAMMA","."&amp;J$2&amp;J$1&amp;"P"&amp;$A49))/1000000,($A$4*$A$4*RTD("tos.rtd",,"VOLUME","."&amp;J$2&amp;J$1&amp;"C"&amp;$A49)*RTD("tos.rtd",,"GAMMA","."&amp;J$2&amp;J$1&amp;"C"&amp;$A49)-$A$4*$A$4*RTD("tos.rtd",,"VOLUME","."&amp;J$2&amp;J$1&amp;"P"&amp;$A49)*RTD("tos.rtd",,"GAMMA","."&amp;J$2&amp;J$1&amp;"P"&amp;$A49))/1000000),0),IF($A$2="GEX",IFERROR(IF($X$1="ABS",($A$4*$A$4*RTD("tos.rtd",,"OPEN_INT","."&amp;J$2&amp;J$1&amp;"C"&amp;$A49)*RTD("tos.rtd",,"GAMMA","."&amp;J$2&amp;J$1&amp;"C"&amp;$A49)+$A$4*$A$4*RTD("tos.rtd",,"OPEN_INT","."&amp;J$2&amp;J$1&amp;"P"&amp;$A49)*RTD("tos.rtd",,"GAMMA","."&amp;J$2&amp;J$1&amp;"P"&amp;$A49))/1000000,($A$4*$A$4*RTD("tos.rtd",,"OPEN_INT","."&amp;J$2&amp;J$1&amp;"C"&amp;$A49)*RTD("tos.rtd",,"GAMMA","."&amp;J$2&amp;J$1&amp;"C"&amp;$A49)-$A$4*$A$4*RTD("tos.rtd",,"OPEN_INT","."&amp;J$2&amp;J$1&amp;"P"&amp;$A49)*RTD("tos.rtd",,"GAMMA","."&amp;J$2&amp;J$1&amp;"P"&amp;$A49))/1000000),0),IF($A$2="SKEW",IFERROR(VALUE(IF(RTD("tos.rtd",,"IMPL_VOL","."&amp;J$2&amp;J$1&amp;"P"&amp;$A49)="N/A",0,RTD("tos.rtd",,"IMPL_VOL","."&amp;J$2&amp;J$1&amp;"P"&amp;$A49))),0)-IFERROR(VALUE(IF(RTD("tos.rtd",,"IMPL_VOL","."&amp;J$2&amp;J$1&amp;"C"&amp;$A49)="N/A",0,RTD("tos.rtd",,"IMPL_VOL","."&amp;J$2&amp;J$1&amp;"C"&amp;$A49))),0),IF($A$2="MAXPAIN",IF($A$4&gt;$A49,($A$4-$A49)*IF(RTD("tos.rtd",,"OPEN_INT","."&amp;J$2&amp;J$1&amp;"C"&amp;$A49)="N/A",0,RTD("tos.rtd",,"OPEN_INT","."&amp;J$2&amp;J$1&amp;"C"&amp;$A49)),0)+IF($A$4&lt;$A49,($A$5-$A$4)*IF(RTD("tos.rtd",,"OPEN_INT","."&amp;J$2&amp;J$1&amp;"P"&amp;$A49)="N/A",0,RTD("tos.rtd",,"OPEN_INT","."&amp;J$2&amp;J$1&amp;"P"&amp;$A49)),0),IF($X$1="ABS",IF(RTD("tos.rtd",,$A$2,"."&amp;J$2&amp;J$1&amp;"C"&amp;$A49)="N/A",0,RTD("tos.rtd",,$A$2,"."&amp;J$2&amp;J$1&amp;"C"&amp;$A49))+IF(RTD("tos.rtd",,$A$2,"."&amp;J$2&amp;J$1&amp;"P"&amp;$A49)="N/A",0,RTD("tos.rtd",,$A$2,"."&amp;J$2&amp;J$1&amp;"P"&amp;$A49)),IF(RTD("tos.rtd",,$A$2,"."&amp;J$2&amp;J$1&amp;"C"&amp;$A49)="N/A",0,RTD("tos.rtd",,$A$2,"."&amp;J$2&amp;J$1&amp;"C"&amp;$A49))-IF(RTD("tos.rtd",,$A$2,"."&amp;J$2&amp;J$1&amp;"P"&amp;$A49)="N/A",0,RTD("tos.rtd",,$A$2,"."&amp;J$2&amp;J$1&amp;"P"&amp;$A49))))))))))</f>
        <v>0</v>
      </c>
      <c r="K49" s="12">
        <f ca="1">IF($A$2="PREMIUM_OI",IFERROR(IF($X$1="ABS",(100*RTD("tos.rtd",,"OPEN_INT","."&amp;K$2&amp;K$1&amp;"C"&amp;$A49)*RTD("tos.rtd",,"LAST","."&amp;K$2&amp;K$1&amp;"C"&amp;$A49)+100*RTD("tos.rtd",,"OPEN_INT","."&amp;K$2&amp;K$1&amp;"P"&amp;$A49)*RTD("tos.rtd",,"LAST","."&amp;K$2&amp;K$1&amp;"P"&amp;$A49))/1000000,(100*RTD("tos.rtd",,"OPEN_INT","."&amp;K$2&amp;K$1&amp;"C"&amp;$A49)*RTD("tos.rtd",,"LAST","."&amp;K$2&amp;K$1&amp;"C"&amp;$A49)-100*RTD("tos.rtd",,"OPEN_INT","."&amp;K$2&amp;K$1&amp;"P"&amp;$A49)*RTD("tos.rtd",,"LAST","."&amp;K$2&amp;K$1&amp;"P"&amp;$A49))/1000000),0),IF($A$2="PREMIUM",IFERROR(IF($X$1="ABS",(100*RTD("tos.rtd",,"VOLUME","."&amp;K$2&amp;K$1&amp;"C"&amp;$A49)*RTD("tos.rtd",,"LAST","."&amp;K$2&amp;K$1&amp;"C"&amp;$A49)+100*RTD("tos.rtd",,"VOLUME","."&amp;K$2&amp;K$1&amp;"P"&amp;$A49)*RTD("tos.rtd",,"LAST","."&amp;K$2&amp;K$1&amp;"P"&amp;$A49))/1000000,(100*RTD("tos.rtd",,"VOLUME","."&amp;K$2&amp;K$1&amp;"C"&amp;$A49)*RTD("tos.rtd",,"LAST","."&amp;K$2&amp;K$1&amp;"C"&amp;$A49)-100*RTD("tos.rtd",,"VOLUME","."&amp;K$2&amp;K$1&amp;"P"&amp;$A49)*RTD("tos.rtd",,"LAST","."&amp;K$2&amp;K$1&amp;"P"&amp;$A49))/1000000),0),IF($A$2="DEX",IFERROR(IF($X$1="ABS",(100*RTD("tos.rtd",,"OPEN_INT","."&amp;K$2&amp;K$1&amp;"C"&amp;$A49)*RTD("tos.rtd",,"DELTA","."&amp;K$2&amp;K$1&amp;"C"&amp;$A49)+100*RTD("tos.rtd",,"OPEN_INT","."&amp;K$2&amp;K$1&amp;"P"&amp;$A49)*RTD("tos.rtd",,"DELTA","."&amp;K$2&amp;K$1&amp;"P"&amp;$A49))/1000,(100*RTD("tos.rtd",,"OPEN_INT","."&amp;K$2&amp;K$1&amp;"C"&amp;$A49)*RTD("tos.rtd",,"DELTA","."&amp;K$2&amp;K$1&amp;"C"&amp;$A49)-100*RTD("tos.rtd",,"OPEN_INT","."&amp;K$2&amp;K$1&amp;"P"&amp;$A49)*RTD("tos.rtd",,"DELTA","."&amp;K$2&amp;K$1&amp;"P"&amp;$A49))/1000),0),IF($A$2="VEX",IFERROR(IF($X$1="ABS",($A$4*$A$4*RTD("tos.rtd",,"VOLUME","."&amp;K$2&amp;K$1&amp;"C"&amp;$A49)*RTD("tos.rtd",,"GAMMA","."&amp;K$2&amp;K$1&amp;"C"&amp;$A49)+$A$4*$A$4*RTD("tos.rtd",,"VOLUME","."&amp;K$2&amp;K$1&amp;"P"&amp;$A49)*RTD("tos.rtd",,"GAMMA","."&amp;K$2&amp;K$1&amp;"P"&amp;$A49))/1000000,($A$4*$A$4*RTD("tos.rtd",,"VOLUME","."&amp;K$2&amp;K$1&amp;"C"&amp;$A49)*RTD("tos.rtd",,"GAMMA","."&amp;K$2&amp;K$1&amp;"C"&amp;$A49)-$A$4*$A$4*RTD("tos.rtd",,"VOLUME","."&amp;K$2&amp;K$1&amp;"P"&amp;$A49)*RTD("tos.rtd",,"GAMMA","."&amp;K$2&amp;K$1&amp;"P"&amp;$A49))/1000000),0),IF($A$2="GEX",IFERROR(IF($X$1="ABS",($A$4*$A$4*RTD("tos.rtd",,"OPEN_INT","."&amp;K$2&amp;K$1&amp;"C"&amp;$A49)*RTD("tos.rtd",,"GAMMA","."&amp;K$2&amp;K$1&amp;"C"&amp;$A49)+$A$4*$A$4*RTD("tos.rtd",,"OPEN_INT","."&amp;K$2&amp;K$1&amp;"P"&amp;$A49)*RTD("tos.rtd",,"GAMMA","."&amp;K$2&amp;K$1&amp;"P"&amp;$A49))/1000000,($A$4*$A$4*RTD("tos.rtd",,"OPEN_INT","."&amp;K$2&amp;K$1&amp;"C"&amp;$A49)*RTD("tos.rtd",,"GAMMA","."&amp;K$2&amp;K$1&amp;"C"&amp;$A49)-$A$4*$A$4*RTD("tos.rtd",,"OPEN_INT","."&amp;K$2&amp;K$1&amp;"P"&amp;$A49)*RTD("tos.rtd",,"GAMMA","."&amp;K$2&amp;K$1&amp;"P"&amp;$A49))/1000000),0),IF($A$2="SKEW",IFERROR(VALUE(IF(RTD("tos.rtd",,"IMPL_VOL","."&amp;K$2&amp;K$1&amp;"P"&amp;$A49)="N/A",0,RTD("tos.rtd",,"IMPL_VOL","."&amp;K$2&amp;K$1&amp;"P"&amp;$A49))),0)-IFERROR(VALUE(IF(RTD("tos.rtd",,"IMPL_VOL","."&amp;K$2&amp;K$1&amp;"C"&amp;$A49)="N/A",0,RTD("tos.rtd",,"IMPL_VOL","."&amp;K$2&amp;K$1&amp;"C"&amp;$A49))),0),IF($A$2="MAXPAIN",IF($A$4&gt;$A49,($A$4-$A49)*IF(RTD("tos.rtd",,"OPEN_INT","."&amp;K$2&amp;K$1&amp;"C"&amp;$A49)="N/A",0,RTD("tos.rtd",,"OPEN_INT","."&amp;K$2&amp;K$1&amp;"C"&amp;$A49)),0)+IF($A$4&lt;$A49,($A$5-$A$4)*IF(RTD("tos.rtd",,"OPEN_INT","."&amp;K$2&amp;K$1&amp;"P"&amp;$A49)="N/A",0,RTD("tos.rtd",,"OPEN_INT","."&amp;K$2&amp;K$1&amp;"P"&amp;$A49)),0),IF($X$1="ABS",IF(RTD("tos.rtd",,$A$2,"."&amp;K$2&amp;K$1&amp;"C"&amp;$A49)="N/A",0,RTD("tos.rtd",,$A$2,"."&amp;K$2&amp;K$1&amp;"C"&amp;$A49))+IF(RTD("tos.rtd",,$A$2,"."&amp;K$2&amp;K$1&amp;"P"&amp;$A49)="N/A",0,RTD("tos.rtd",,$A$2,"."&amp;K$2&amp;K$1&amp;"P"&amp;$A49)),IF(RTD("tos.rtd",,$A$2,"."&amp;K$2&amp;K$1&amp;"C"&amp;$A49)="N/A",0,RTD("tos.rtd",,$A$2,"."&amp;K$2&amp;K$1&amp;"C"&amp;$A49))-IF(RTD("tos.rtd",,$A$2,"."&amp;K$2&amp;K$1&amp;"P"&amp;$A49)="N/A",0,RTD("tos.rtd",,$A$2,"."&amp;K$2&amp;K$1&amp;"P"&amp;$A49))))))))))</f>
        <v>0</v>
      </c>
      <c r="L49" s="54">
        <f ca="1">IF($A$2="PREMIUM_OI",IFERROR(IF($X$1="ABS",(100*RTD("tos.rtd",,"OPEN_INT","."&amp;L$2&amp;L$1&amp;"C"&amp;$A49)*RTD("tos.rtd",,"LAST","."&amp;L$2&amp;L$1&amp;"C"&amp;$A49)+100*RTD("tos.rtd",,"OPEN_INT","."&amp;L$2&amp;L$1&amp;"P"&amp;$A49)*RTD("tos.rtd",,"LAST","."&amp;L$2&amp;L$1&amp;"P"&amp;$A49))/1000000,(100*RTD("tos.rtd",,"OPEN_INT","."&amp;L$2&amp;L$1&amp;"C"&amp;$A49)*RTD("tos.rtd",,"LAST","."&amp;L$2&amp;L$1&amp;"C"&amp;$A49)-100*RTD("tos.rtd",,"OPEN_INT","."&amp;L$2&amp;L$1&amp;"P"&amp;$A49)*RTD("tos.rtd",,"LAST","."&amp;L$2&amp;L$1&amp;"P"&amp;$A49))/1000000),0),IF($A$2="PREMIUM",IFERROR(IF($X$1="ABS",(100*RTD("tos.rtd",,"VOLUME","."&amp;L$2&amp;L$1&amp;"C"&amp;$A49)*RTD("tos.rtd",,"LAST","."&amp;L$2&amp;L$1&amp;"C"&amp;$A49)+100*RTD("tos.rtd",,"VOLUME","."&amp;L$2&amp;L$1&amp;"P"&amp;$A49)*RTD("tos.rtd",,"LAST","."&amp;L$2&amp;L$1&amp;"P"&amp;$A49))/1000000,(100*RTD("tos.rtd",,"VOLUME","."&amp;L$2&amp;L$1&amp;"C"&amp;$A49)*RTD("tos.rtd",,"LAST","."&amp;L$2&amp;L$1&amp;"C"&amp;$A49)-100*RTD("tos.rtd",,"VOLUME","."&amp;L$2&amp;L$1&amp;"P"&amp;$A49)*RTD("tos.rtd",,"LAST","."&amp;L$2&amp;L$1&amp;"P"&amp;$A49))/1000000),0),IF($A$2="DEX",IFERROR(IF($X$1="ABS",(100*RTD("tos.rtd",,"OPEN_INT","."&amp;L$2&amp;L$1&amp;"C"&amp;$A49)*RTD("tos.rtd",,"DELTA","."&amp;L$2&amp;L$1&amp;"C"&amp;$A49)+100*RTD("tos.rtd",,"OPEN_INT","."&amp;L$2&amp;L$1&amp;"P"&amp;$A49)*RTD("tos.rtd",,"DELTA","."&amp;L$2&amp;L$1&amp;"P"&amp;$A49))/1000,(100*RTD("tos.rtd",,"OPEN_INT","."&amp;L$2&amp;L$1&amp;"C"&amp;$A49)*RTD("tos.rtd",,"DELTA","."&amp;L$2&amp;L$1&amp;"C"&amp;$A49)-100*RTD("tos.rtd",,"OPEN_INT","."&amp;L$2&amp;L$1&amp;"P"&amp;$A49)*RTD("tos.rtd",,"DELTA","."&amp;L$2&amp;L$1&amp;"P"&amp;$A49))/1000),0),IF($A$2="VEX",IFERROR(IF($X$1="ABS",($A$4*$A$4*RTD("tos.rtd",,"VOLUME","."&amp;L$2&amp;L$1&amp;"C"&amp;$A49)*RTD("tos.rtd",,"GAMMA","."&amp;L$2&amp;L$1&amp;"C"&amp;$A49)+$A$4*$A$4*RTD("tos.rtd",,"VOLUME","."&amp;L$2&amp;L$1&amp;"P"&amp;$A49)*RTD("tos.rtd",,"GAMMA","."&amp;L$2&amp;L$1&amp;"P"&amp;$A49))/1000000,($A$4*$A$4*RTD("tos.rtd",,"VOLUME","."&amp;L$2&amp;L$1&amp;"C"&amp;$A49)*RTD("tos.rtd",,"GAMMA","."&amp;L$2&amp;L$1&amp;"C"&amp;$A49)-$A$4*$A$4*RTD("tos.rtd",,"VOLUME","."&amp;L$2&amp;L$1&amp;"P"&amp;$A49)*RTD("tos.rtd",,"GAMMA","."&amp;L$2&amp;L$1&amp;"P"&amp;$A49))/1000000),0),IF($A$2="GEX",IFERROR(IF($X$1="ABS",($A$4*$A$4*RTD("tos.rtd",,"OPEN_INT","."&amp;L$2&amp;L$1&amp;"C"&amp;$A49)*RTD("tos.rtd",,"GAMMA","."&amp;L$2&amp;L$1&amp;"C"&amp;$A49)+$A$4*$A$4*RTD("tos.rtd",,"OPEN_INT","."&amp;L$2&amp;L$1&amp;"P"&amp;$A49)*RTD("tos.rtd",,"GAMMA","."&amp;L$2&amp;L$1&amp;"P"&amp;$A49))/1000000,($A$4*$A$4*RTD("tos.rtd",,"OPEN_INT","."&amp;L$2&amp;L$1&amp;"C"&amp;$A49)*RTD("tos.rtd",,"GAMMA","."&amp;L$2&amp;L$1&amp;"C"&amp;$A49)-$A$4*$A$4*RTD("tos.rtd",,"OPEN_INT","."&amp;L$2&amp;L$1&amp;"P"&amp;$A49)*RTD("tos.rtd",,"GAMMA","."&amp;L$2&amp;L$1&amp;"P"&amp;$A49))/1000000),0),IF($A$2="SKEW",IFERROR(VALUE(IF(RTD("tos.rtd",,"IMPL_VOL","."&amp;L$2&amp;L$1&amp;"P"&amp;$A49)="N/A",0,RTD("tos.rtd",,"IMPL_VOL","."&amp;L$2&amp;L$1&amp;"P"&amp;$A49))),0)-IFERROR(VALUE(IF(RTD("tos.rtd",,"IMPL_VOL","."&amp;L$2&amp;L$1&amp;"C"&amp;$A49)="N/A",0,RTD("tos.rtd",,"IMPL_VOL","."&amp;L$2&amp;L$1&amp;"C"&amp;$A49))),0),IF($A$2="MAXPAIN",IF($A$4&gt;$A49,($A$4-$A49)*IF(RTD("tos.rtd",,"OPEN_INT","."&amp;L$2&amp;L$1&amp;"C"&amp;$A49)="N/A",0,RTD("tos.rtd",,"OPEN_INT","."&amp;L$2&amp;L$1&amp;"C"&amp;$A49)),0)+IF($A$4&lt;$A49,($A$5-$A$4)*IF(RTD("tos.rtd",,"OPEN_INT","."&amp;L$2&amp;L$1&amp;"P"&amp;$A49)="N/A",0,RTD("tos.rtd",,"OPEN_INT","."&amp;L$2&amp;L$1&amp;"P"&amp;$A49)),0),IF($X$1="ABS",IF(RTD("tos.rtd",,$A$2,"."&amp;L$2&amp;L$1&amp;"C"&amp;$A49)="N/A",0,RTD("tos.rtd",,$A$2,"."&amp;L$2&amp;L$1&amp;"C"&amp;$A49))+IF(RTD("tos.rtd",,$A$2,"."&amp;L$2&amp;L$1&amp;"P"&amp;$A49)="N/A",0,RTD("tos.rtd",,$A$2,"."&amp;L$2&amp;L$1&amp;"P"&amp;$A49)),IF(RTD("tos.rtd",,$A$2,"."&amp;L$2&amp;L$1&amp;"C"&amp;$A49)="N/A",0,RTD("tos.rtd",,$A$2,"."&amp;L$2&amp;L$1&amp;"C"&amp;$A49))-IF(RTD("tos.rtd",,$A$2,"."&amp;L$2&amp;L$1&amp;"P"&amp;$A49)="N/A",0,RTD("tos.rtd",,$A$2,"."&amp;L$2&amp;L$1&amp;"P"&amp;$A49))))))))))</f>
        <v>0</v>
      </c>
      <c r="M49" s="12">
        <f ca="1">IF($A$2="PREMIUM_OI",IFERROR(IF($X$1="ABS",(100*RTD("tos.rtd",,"OPEN_INT","."&amp;M$2&amp;M$1&amp;"C"&amp;$A49)*RTD("tos.rtd",,"LAST","."&amp;M$2&amp;M$1&amp;"C"&amp;$A49)+100*RTD("tos.rtd",,"OPEN_INT","."&amp;M$2&amp;M$1&amp;"P"&amp;$A49)*RTD("tos.rtd",,"LAST","."&amp;M$2&amp;M$1&amp;"P"&amp;$A49))/1000000,(100*RTD("tos.rtd",,"OPEN_INT","."&amp;M$2&amp;M$1&amp;"C"&amp;$A49)*RTD("tos.rtd",,"LAST","."&amp;M$2&amp;M$1&amp;"C"&amp;$A49)-100*RTD("tos.rtd",,"OPEN_INT","."&amp;M$2&amp;M$1&amp;"P"&amp;$A49)*RTD("tos.rtd",,"LAST","."&amp;M$2&amp;M$1&amp;"P"&amp;$A49))/1000000),0),IF($A$2="PREMIUM",IFERROR(IF($X$1="ABS",(100*RTD("tos.rtd",,"VOLUME","."&amp;M$2&amp;M$1&amp;"C"&amp;$A49)*RTD("tos.rtd",,"LAST","."&amp;M$2&amp;M$1&amp;"C"&amp;$A49)+100*RTD("tos.rtd",,"VOLUME","."&amp;M$2&amp;M$1&amp;"P"&amp;$A49)*RTD("tos.rtd",,"LAST","."&amp;M$2&amp;M$1&amp;"P"&amp;$A49))/1000000,(100*RTD("tos.rtd",,"VOLUME","."&amp;M$2&amp;M$1&amp;"C"&amp;$A49)*RTD("tos.rtd",,"LAST","."&amp;M$2&amp;M$1&amp;"C"&amp;$A49)-100*RTD("tos.rtd",,"VOLUME","."&amp;M$2&amp;M$1&amp;"P"&amp;$A49)*RTD("tos.rtd",,"LAST","."&amp;M$2&amp;M$1&amp;"P"&amp;$A49))/1000000),0),IF($A$2="DEX",IFERROR(IF($X$1="ABS",(100*RTD("tos.rtd",,"OPEN_INT","."&amp;M$2&amp;M$1&amp;"C"&amp;$A49)*RTD("tos.rtd",,"DELTA","."&amp;M$2&amp;M$1&amp;"C"&amp;$A49)+100*RTD("tos.rtd",,"OPEN_INT","."&amp;M$2&amp;M$1&amp;"P"&amp;$A49)*RTD("tos.rtd",,"DELTA","."&amp;M$2&amp;M$1&amp;"P"&amp;$A49))/1000,(100*RTD("tos.rtd",,"OPEN_INT","."&amp;M$2&amp;M$1&amp;"C"&amp;$A49)*RTD("tos.rtd",,"DELTA","."&amp;M$2&amp;M$1&amp;"C"&amp;$A49)-100*RTD("tos.rtd",,"OPEN_INT","."&amp;M$2&amp;M$1&amp;"P"&amp;$A49)*RTD("tos.rtd",,"DELTA","."&amp;M$2&amp;M$1&amp;"P"&amp;$A49))/1000),0),IF($A$2="VEX",IFERROR(IF($X$1="ABS",($A$4*$A$4*RTD("tos.rtd",,"VOLUME","."&amp;M$2&amp;M$1&amp;"C"&amp;$A49)*RTD("tos.rtd",,"GAMMA","."&amp;M$2&amp;M$1&amp;"C"&amp;$A49)+$A$4*$A$4*RTD("tos.rtd",,"VOLUME","."&amp;M$2&amp;M$1&amp;"P"&amp;$A49)*RTD("tos.rtd",,"GAMMA","."&amp;M$2&amp;M$1&amp;"P"&amp;$A49))/1000000,($A$4*$A$4*RTD("tos.rtd",,"VOLUME","."&amp;M$2&amp;M$1&amp;"C"&amp;$A49)*RTD("tos.rtd",,"GAMMA","."&amp;M$2&amp;M$1&amp;"C"&amp;$A49)-$A$4*$A$4*RTD("tos.rtd",,"VOLUME","."&amp;M$2&amp;M$1&amp;"P"&amp;$A49)*RTD("tos.rtd",,"GAMMA","."&amp;M$2&amp;M$1&amp;"P"&amp;$A49))/1000000),0),IF($A$2="GEX",IFERROR(IF($X$1="ABS",($A$4*$A$4*RTD("tos.rtd",,"OPEN_INT","."&amp;M$2&amp;M$1&amp;"C"&amp;$A49)*RTD("tos.rtd",,"GAMMA","."&amp;M$2&amp;M$1&amp;"C"&amp;$A49)+$A$4*$A$4*RTD("tos.rtd",,"OPEN_INT","."&amp;M$2&amp;M$1&amp;"P"&amp;$A49)*RTD("tos.rtd",,"GAMMA","."&amp;M$2&amp;M$1&amp;"P"&amp;$A49))/1000000,($A$4*$A$4*RTD("tos.rtd",,"OPEN_INT","."&amp;M$2&amp;M$1&amp;"C"&amp;$A49)*RTD("tos.rtd",,"GAMMA","."&amp;M$2&amp;M$1&amp;"C"&amp;$A49)-$A$4*$A$4*RTD("tos.rtd",,"OPEN_INT","."&amp;M$2&amp;M$1&amp;"P"&amp;$A49)*RTD("tos.rtd",,"GAMMA","."&amp;M$2&amp;M$1&amp;"P"&amp;$A49))/1000000),0),IF($A$2="SKEW",IFERROR(VALUE(IF(RTD("tos.rtd",,"IMPL_VOL","."&amp;M$2&amp;M$1&amp;"P"&amp;$A49)="N/A",0,RTD("tos.rtd",,"IMPL_VOL","."&amp;M$2&amp;M$1&amp;"P"&amp;$A49))),0)-IFERROR(VALUE(IF(RTD("tos.rtd",,"IMPL_VOL","."&amp;M$2&amp;M$1&amp;"C"&amp;$A49)="N/A",0,RTD("tos.rtd",,"IMPL_VOL","."&amp;M$2&amp;M$1&amp;"C"&amp;$A49))),0),IF($A$2="MAXPAIN",IF($A$4&gt;$A49,($A$4-$A49)*IF(RTD("tos.rtd",,"OPEN_INT","."&amp;M$2&amp;M$1&amp;"C"&amp;$A49)="N/A",0,RTD("tos.rtd",,"OPEN_INT","."&amp;M$2&amp;M$1&amp;"C"&amp;$A49)),0)+IF($A$4&lt;$A49,($A$5-$A$4)*IF(RTD("tos.rtd",,"OPEN_INT","."&amp;M$2&amp;M$1&amp;"P"&amp;$A49)="N/A",0,RTD("tos.rtd",,"OPEN_INT","."&amp;M$2&amp;M$1&amp;"P"&amp;$A49)),0),IF($X$1="ABS",IF(RTD("tos.rtd",,$A$2,"."&amp;M$2&amp;M$1&amp;"C"&amp;$A49)="N/A",0,RTD("tos.rtd",,$A$2,"."&amp;M$2&amp;M$1&amp;"C"&amp;$A49))+IF(RTD("tos.rtd",,$A$2,"."&amp;M$2&amp;M$1&amp;"P"&amp;$A49)="N/A",0,RTD("tos.rtd",,$A$2,"."&amp;M$2&amp;M$1&amp;"P"&amp;$A49)),IF(RTD("tos.rtd",,$A$2,"."&amp;M$2&amp;M$1&amp;"C"&amp;$A49)="N/A",0,RTD("tos.rtd",,$A$2,"."&amp;M$2&amp;M$1&amp;"C"&amp;$A49))-IF(RTD("tos.rtd",,$A$2,"."&amp;M$2&amp;M$1&amp;"P"&amp;$A49)="N/A",0,RTD("tos.rtd",,$A$2,"."&amp;M$2&amp;M$1&amp;"P"&amp;$A49))))))))))</f>
        <v>0</v>
      </c>
      <c r="N49" s="12">
        <f ca="1">IF($A$2="PREMIUM_OI",IFERROR(IF($X$1="ABS",(100*RTD("tos.rtd",,"OPEN_INT","."&amp;N$2&amp;N$1&amp;"C"&amp;$A49)*RTD("tos.rtd",,"LAST","."&amp;N$2&amp;N$1&amp;"C"&amp;$A49)+100*RTD("tos.rtd",,"OPEN_INT","."&amp;N$2&amp;N$1&amp;"P"&amp;$A49)*RTD("tos.rtd",,"LAST","."&amp;N$2&amp;N$1&amp;"P"&amp;$A49))/1000000,(100*RTD("tos.rtd",,"OPEN_INT","."&amp;N$2&amp;N$1&amp;"C"&amp;$A49)*RTD("tos.rtd",,"LAST","."&amp;N$2&amp;N$1&amp;"C"&amp;$A49)-100*RTD("tos.rtd",,"OPEN_INT","."&amp;N$2&amp;N$1&amp;"P"&amp;$A49)*RTD("tos.rtd",,"LAST","."&amp;N$2&amp;N$1&amp;"P"&amp;$A49))/1000000),0),IF($A$2="PREMIUM",IFERROR(IF($X$1="ABS",(100*RTD("tos.rtd",,"VOLUME","."&amp;N$2&amp;N$1&amp;"C"&amp;$A49)*RTD("tos.rtd",,"LAST","."&amp;N$2&amp;N$1&amp;"C"&amp;$A49)+100*RTD("tos.rtd",,"VOLUME","."&amp;N$2&amp;N$1&amp;"P"&amp;$A49)*RTD("tos.rtd",,"LAST","."&amp;N$2&amp;N$1&amp;"P"&amp;$A49))/1000000,(100*RTD("tos.rtd",,"VOLUME","."&amp;N$2&amp;N$1&amp;"C"&amp;$A49)*RTD("tos.rtd",,"LAST","."&amp;N$2&amp;N$1&amp;"C"&amp;$A49)-100*RTD("tos.rtd",,"VOLUME","."&amp;N$2&amp;N$1&amp;"P"&amp;$A49)*RTD("tos.rtd",,"LAST","."&amp;N$2&amp;N$1&amp;"P"&amp;$A49))/1000000),0),IF($A$2="DEX",IFERROR(IF($X$1="ABS",(100*RTD("tos.rtd",,"OPEN_INT","."&amp;N$2&amp;N$1&amp;"C"&amp;$A49)*RTD("tos.rtd",,"DELTA","."&amp;N$2&amp;N$1&amp;"C"&amp;$A49)+100*RTD("tos.rtd",,"OPEN_INT","."&amp;N$2&amp;N$1&amp;"P"&amp;$A49)*RTD("tos.rtd",,"DELTA","."&amp;N$2&amp;N$1&amp;"P"&amp;$A49))/1000,(100*RTD("tos.rtd",,"OPEN_INT","."&amp;N$2&amp;N$1&amp;"C"&amp;$A49)*RTD("tos.rtd",,"DELTA","."&amp;N$2&amp;N$1&amp;"C"&amp;$A49)-100*RTD("tos.rtd",,"OPEN_INT","."&amp;N$2&amp;N$1&amp;"P"&amp;$A49)*RTD("tos.rtd",,"DELTA","."&amp;N$2&amp;N$1&amp;"P"&amp;$A49))/1000),0),IF($A$2="VEX",IFERROR(IF($X$1="ABS",($A$4*$A$4*RTD("tos.rtd",,"VOLUME","."&amp;N$2&amp;N$1&amp;"C"&amp;$A49)*RTD("tos.rtd",,"GAMMA","."&amp;N$2&amp;N$1&amp;"C"&amp;$A49)+$A$4*$A$4*RTD("tos.rtd",,"VOLUME","."&amp;N$2&amp;N$1&amp;"P"&amp;$A49)*RTD("tos.rtd",,"GAMMA","."&amp;N$2&amp;N$1&amp;"P"&amp;$A49))/1000000,($A$4*$A$4*RTD("tos.rtd",,"VOLUME","."&amp;N$2&amp;N$1&amp;"C"&amp;$A49)*RTD("tos.rtd",,"GAMMA","."&amp;N$2&amp;N$1&amp;"C"&amp;$A49)-$A$4*$A$4*RTD("tos.rtd",,"VOLUME","."&amp;N$2&amp;N$1&amp;"P"&amp;$A49)*RTD("tos.rtd",,"GAMMA","."&amp;N$2&amp;N$1&amp;"P"&amp;$A49))/1000000),0),IF($A$2="GEX",IFERROR(IF($X$1="ABS",($A$4*$A$4*RTD("tos.rtd",,"OPEN_INT","."&amp;N$2&amp;N$1&amp;"C"&amp;$A49)*RTD("tos.rtd",,"GAMMA","."&amp;N$2&amp;N$1&amp;"C"&amp;$A49)+$A$4*$A$4*RTD("tos.rtd",,"OPEN_INT","."&amp;N$2&amp;N$1&amp;"P"&amp;$A49)*RTD("tos.rtd",,"GAMMA","."&amp;N$2&amp;N$1&amp;"P"&amp;$A49))/1000000,($A$4*$A$4*RTD("tos.rtd",,"OPEN_INT","."&amp;N$2&amp;N$1&amp;"C"&amp;$A49)*RTD("tos.rtd",,"GAMMA","."&amp;N$2&amp;N$1&amp;"C"&amp;$A49)-$A$4*$A$4*RTD("tos.rtd",,"OPEN_INT","."&amp;N$2&amp;N$1&amp;"P"&amp;$A49)*RTD("tos.rtd",,"GAMMA","."&amp;N$2&amp;N$1&amp;"P"&amp;$A49))/1000000),0),IF($A$2="SKEW",IFERROR(VALUE(IF(RTD("tos.rtd",,"IMPL_VOL","."&amp;N$2&amp;N$1&amp;"P"&amp;$A49)="N/A",0,RTD("tos.rtd",,"IMPL_VOL","."&amp;N$2&amp;N$1&amp;"P"&amp;$A49))),0)-IFERROR(VALUE(IF(RTD("tos.rtd",,"IMPL_VOL","."&amp;N$2&amp;N$1&amp;"C"&amp;$A49)="N/A",0,RTD("tos.rtd",,"IMPL_VOL","."&amp;N$2&amp;N$1&amp;"C"&amp;$A49))),0),IF($A$2="MAXPAIN",IF($A$4&gt;$A49,($A$4-$A49)*IF(RTD("tos.rtd",,"OPEN_INT","."&amp;N$2&amp;N$1&amp;"C"&amp;$A49)="N/A",0,RTD("tos.rtd",,"OPEN_INT","."&amp;N$2&amp;N$1&amp;"C"&amp;$A49)),0)+IF($A$4&lt;$A49,($A$5-$A$4)*IF(RTD("tos.rtd",,"OPEN_INT","."&amp;N$2&amp;N$1&amp;"P"&amp;$A49)="N/A",0,RTD("tos.rtd",,"OPEN_INT","."&amp;N$2&amp;N$1&amp;"P"&amp;$A49)),0),IF($X$1="ABS",IF(RTD("tos.rtd",,$A$2,"."&amp;N$2&amp;N$1&amp;"C"&amp;$A49)="N/A",0,RTD("tos.rtd",,$A$2,"."&amp;N$2&amp;N$1&amp;"C"&amp;$A49))+IF(RTD("tos.rtd",,$A$2,"."&amp;N$2&amp;N$1&amp;"P"&amp;$A49)="N/A",0,RTD("tos.rtd",,$A$2,"."&amp;N$2&amp;N$1&amp;"P"&amp;$A49)),IF(RTD("tos.rtd",,$A$2,"."&amp;N$2&amp;N$1&amp;"C"&amp;$A49)="N/A",0,RTD("tos.rtd",,$A$2,"."&amp;N$2&amp;N$1&amp;"C"&amp;$A49))-IF(RTD("tos.rtd",,$A$2,"."&amp;N$2&amp;N$1&amp;"P"&amp;$A49)="N/A",0,RTD("tos.rtd",,$A$2,"."&amp;N$2&amp;N$1&amp;"P"&amp;$A49))))))))))</f>
        <v>0</v>
      </c>
      <c r="O49" s="12">
        <f ca="1">IF($A$2="PREMIUM_OI",IFERROR(IF($X$1="ABS",(100*RTD("tos.rtd",,"OPEN_INT","."&amp;O$2&amp;O$1&amp;"C"&amp;$A49)*RTD("tos.rtd",,"LAST","."&amp;O$2&amp;O$1&amp;"C"&amp;$A49)+100*RTD("tos.rtd",,"OPEN_INT","."&amp;O$2&amp;O$1&amp;"P"&amp;$A49)*RTD("tos.rtd",,"LAST","."&amp;O$2&amp;O$1&amp;"P"&amp;$A49))/1000000,(100*RTD("tos.rtd",,"OPEN_INT","."&amp;O$2&amp;O$1&amp;"C"&amp;$A49)*RTD("tos.rtd",,"LAST","."&amp;O$2&amp;O$1&amp;"C"&amp;$A49)-100*RTD("tos.rtd",,"OPEN_INT","."&amp;O$2&amp;O$1&amp;"P"&amp;$A49)*RTD("tos.rtd",,"LAST","."&amp;O$2&amp;O$1&amp;"P"&amp;$A49))/1000000),0),IF($A$2="PREMIUM",IFERROR(IF($X$1="ABS",(100*RTD("tos.rtd",,"VOLUME","."&amp;O$2&amp;O$1&amp;"C"&amp;$A49)*RTD("tos.rtd",,"LAST","."&amp;O$2&amp;O$1&amp;"C"&amp;$A49)+100*RTD("tos.rtd",,"VOLUME","."&amp;O$2&amp;O$1&amp;"P"&amp;$A49)*RTD("tos.rtd",,"LAST","."&amp;O$2&amp;O$1&amp;"P"&amp;$A49))/1000000,(100*RTD("tos.rtd",,"VOLUME","."&amp;O$2&amp;O$1&amp;"C"&amp;$A49)*RTD("tos.rtd",,"LAST","."&amp;O$2&amp;O$1&amp;"C"&amp;$A49)-100*RTD("tos.rtd",,"VOLUME","."&amp;O$2&amp;O$1&amp;"P"&amp;$A49)*RTD("tos.rtd",,"LAST","."&amp;O$2&amp;O$1&amp;"P"&amp;$A49))/1000000),0),IF($A$2="DEX",IFERROR(IF($X$1="ABS",(100*RTD("tos.rtd",,"OPEN_INT","."&amp;O$2&amp;O$1&amp;"C"&amp;$A49)*RTD("tos.rtd",,"DELTA","."&amp;O$2&amp;O$1&amp;"C"&amp;$A49)+100*RTD("tos.rtd",,"OPEN_INT","."&amp;O$2&amp;O$1&amp;"P"&amp;$A49)*RTD("tos.rtd",,"DELTA","."&amp;O$2&amp;O$1&amp;"P"&amp;$A49))/1000,(100*RTD("tos.rtd",,"OPEN_INT","."&amp;O$2&amp;O$1&amp;"C"&amp;$A49)*RTD("tos.rtd",,"DELTA","."&amp;O$2&amp;O$1&amp;"C"&amp;$A49)-100*RTD("tos.rtd",,"OPEN_INT","."&amp;O$2&amp;O$1&amp;"P"&amp;$A49)*RTD("tos.rtd",,"DELTA","."&amp;O$2&amp;O$1&amp;"P"&amp;$A49))/1000),0),IF($A$2="VEX",IFERROR(IF($X$1="ABS",($A$4*$A$4*RTD("tos.rtd",,"VOLUME","."&amp;O$2&amp;O$1&amp;"C"&amp;$A49)*RTD("tos.rtd",,"GAMMA","."&amp;O$2&amp;O$1&amp;"C"&amp;$A49)+$A$4*$A$4*RTD("tos.rtd",,"VOLUME","."&amp;O$2&amp;O$1&amp;"P"&amp;$A49)*RTD("tos.rtd",,"GAMMA","."&amp;O$2&amp;O$1&amp;"P"&amp;$A49))/1000000,($A$4*$A$4*RTD("tos.rtd",,"VOLUME","."&amp;O$2&amp;O$1&amp;"C"&amp;$A49)*RTD("tos.rtd",,"GAMMA","."&amp;O$2&amp;O$1&amp;"C"&amp;$A49)-$A$4*$A$4*RTD("tos.rtd",,"VOLUME","."&amp;O$2&amp;O$1&amp;"P"&amp;$A49)*RTD("tos.rtd",,"GAMMA","."&amp;O$2&amp;O$1&amp;"P"&amp;$A49))/1000000),0),IF($A$2="GEX",IFERROR(IF($X$1="ABS",($A$4*$A$4*RTD("tos.rtd",,"OPEN_INT","."&amp;O$2&amp;O$1&amp;"C"&amp;$A49)*RTD("tos.rtd",,"GAMMA","."&amp;O$2&amp;O$1&amp;"C"&amp;$A49)+$A$4*$A$4*RTD("tos.rtd",,"OPEN_INT","."&amp;O$2&amp;O$1&amp;"P"&amp;$A49)*RTD("tos.rtd",,"GAMMA","."&amp;O$2&amp;O$1&amp;"P"&amp;$A49))/1000000,($A$4*$A$4*RTD("tos.rtd",,"OPEN_INT","."&amp;O$2&amp;O$1&amp;"C"&amp;$A49)*RTD("tos.rtd",,"GAMMA","."&amp;O$2&amp;O$1&amp;"C"&amp;$A49)-$A$4*$A$4*RTD("tos.rtd",,"OPEN_INT","."&amp;O$2&amp;O$1&amp;"P"&amp;$A49)*RTD("tos.rtd",,"GAMMA","."&amp;O$2&amp;O$1&amp;"P"&amp;$A49))/1000000),0),IF($A$2="SKEW",IFERROR(VALUE(IF(RTD("tos.rtd",,"IMPL_VOL","."&amp;O$2&amp;O$1&amp;"P"&amp;$A49)="N/A",0,RTD("tos.rtd",,"IMPL_VOL","."&amp;O$2&amp;O$1&amp;"P"&amp;$A49))),0)-IFERROR(VALUE(IF(RTD("tos.rtd",,"IMPL_VOL","."&amp;O$2&amp;O$1&amp;"C"&amp;$A49)="N/A",0,RTD("tos.rtd",,"IMPL_VOL","."&amp;O$2&amp;O$1&amp;"C"&amp;$A49))),0),IF($A$2="MAXPAIN",IF($A$4&gt;$A49,($A$4-$A49)*IF(RTD("tos.rtd",,"OPEN_INT","."&amp;O$2&amp;O$1&amp;"C"&amp;$A49)="N/A",0,RTD("tos.rtd",,"OPEN_INT","."&amp;O$2&amp;O$1&amp;"C"&amp;$A49)),0)+IF($A$4&lt;$A49,($A$5-$A$4)*IF(RTD("tos.rtd",,"OPEN_INT","."&amp;O$2&amp;O$1&amp;"P"&amp;$A49)="N/A",0,RTD("tos.rtd",,"OPEN_INT","."&amp;O$2&amp;O$1&amp;"P"&amp;$A49)),0),IF($X$1="ABS",IF(RTD("tos.rtd",,$A$2,"."&amp;O$2&amp;O$1&amp;"C"&amp;$A49)="N/A",0,RTD("tos.rtd",,$A$2,"."&amp;O$2&amp;O$1&amp;"C"&amp;$A49))+IF(RTD("tos.rtd",,$A$2,"."&amp;O$2&amp;O$1&amp;"P"&amp;$A49)="N/A",0,RTD("tos.rtd",,$A$2,"."&amp;O$2&amp;O$1&amp;"P"&amp;$A49)),IF(RTD("tos.rtd",,$A$2,"."&amp;O$2&amp;O$1&amp;"C"&amp;$A49)="N/A",0,RTD("tos.rtd",,$A$2,"."&amp;O$2&amp;O$1&amp;"C"&amp;$A49))-IF(RTD("tos.rtd",,$A$2,"."&amp;O$2&amp;O$1&amp;"P"&amp;$A49)="N/A",0,RTD("tos.rtd",,$A$2,"."&amp;O$2&amp;O$1&amp;"P"&amp;$A49))))))))))</f>
        <v>0</v>
      </c>
      <c r="P49" s="12">
        <f ca="1">IF($A$2="PREMIUM_OI",IFERROR(IF($X$1="ABS",(100*RTD("tos.rtd",,"OPEN_INT","."&amp;P$2&amp;P$1&amp;"C"&amp;$A49)*RTD("tos.rtd",,"LAST","."&amp;P$2&amp;P$1&amp;"C"&amp;$A49)+100*RTD("tos.rtd",,"OPEN_INT","."&amp;P$2&amp;P$1&amp;"P"&amp;$A49)*RTD("tos.rtd",,"LAST","."&amp;P$2&amp;P$1&amp;"P"&amp;$A49))/1000000,(100*RTD("tos.rtd",,"OPEN_INT","."&amp;P$2&amp;P$1&amp;"C"&amp;$A49)*RTD("tos.rtd",,"LAST","."&amp;P$2&amp;P$1&amp;"C"&amp;$A49)-100*RTD("tos.rtd",,"OPEN_INT","."&amp;P$2&amp;P$1&amp;"P"&amp;$A49)*RTD("tos.rtd",,"LAST","."&amp;P$2&amp;P$1&amp;"P"&amp;$A49))/1000000),0),IF($A$2="PREMIUM",IFERROR(IF($X$1="ABS",(100*RTD("tos.rtd",,"VOLUME","."&amp;P$2&amp;P$1&amp;"C"&amp;$A49)*RTD("tos.rtd",,"LAST","."&amp;P$2&amp;P$1&amp;"C"&amp;$A49)+100*RTD("tos.rtd",,"VOLUME","."&amp;P$2&amp;P$1&amp;"P"&amp;$A49)*RTD("tos.rtd",,"LAST","."&amp;P$2&amp;P$1&amp;"P"&amp;$A49))/1000000,(100*RTD("tos.rtd",,"VOLUME","."&amp;P$2&amp;P$1&amp;"C"&amp;$A49)*RTD("tos.rtd",,"LAST","."&amp;P$2&amp;P$1&amp;"C"&amp;$A49)-100*RTD("tos.rtd",,"VOLUME","."&amp;P$2&amp;P$1&amp;"P"&amp;$A49)*RTD("tos.rtd",,"LAST","."&amp;P$2&amp;P$1&amp;"P"&amp;$A49))/1000000),0),IF($A$2="DEX",IFERROR(IF($X$1="ABS",(100*RTD("tos.rtd",,"OPEN_INT","."&amp;P$2&amp;P$1&amp;"C"&amp;$A49)*RTD("tos.rtd",,"DELTA","."&amp;P$2&amp;P$1&amp;"C"&amp;$A49)+100*RTD("tos.rtd",,"OPEN_INT","."&amp;P$2&amp;P$1&amp;"P"&amp;$A49)*RTD("tos.rtd",,"DELTA","."&amp;P$2&amp;P$1&amp;"P"&amp;$A49))/1000,(100*RTD("tos.rtd",,"OPEN_INT","."&amp;P$2&amp;P$1&amp;"C"&amp;$A49)*RTD("tos.rtd",,"DELTA","."&amp;P$2&amp;P$1&amp;"C"&amp;$A49)-100*RTD("tos.rtd",,"OPEN_INT","."&amp;P$2&amp;P$1&amp;"P"&amp;$A49)*RTD("tos.rtd",,"DELTA","."&amp;P$2&amp;P$1&amp;"P"&amp;$A49))/1000),0),IF($A$2="VEX",IFERROR(IF($X$1="ABS",($A$4*$A$4*RTD("tos.rtd",,"VOLUME","."&amp;P$2&amp;P$1&amp;"C"&amp;$A49)*RTD("tos.rtd",,"GAMMA","."&amp;P$2&amp;P$1&amp;"C"&amp;$A49)+$A$4*$A$4*RTD("tos.rtd",,"VOLUME","."&amp;P$2&amp;P$1&amp;"P"&amp;$A49)*RTD("tos.rtd",,"GAMMA","."&amp;P$2&amp;P$1&amp;"P"&amp;$A49))/1000000,($A$4*$A$4*RTD("tos.rtd",,"VOLUME","."&amp;P$2&amp;P$1&amp;"C"&amp;$A49)*RTD("tos.rtd",,"GAMMA","."&amp;P$2&amp;P$1&amp;"C"&amp;$A49)-$A$4*$A$4*RTD("tos.rtd",,"VOLUME","."&amp;P$2&amp;P$1&amp;"P"&amp;$A49)*RTD("tos.rtd",,"GAMMA","."&amp;P$2&amp;P$1&amp;"P"&amp;$A49))/1000000),0),IF($A$2="GEX",IFERROR(IF($X$1="ABS",($A$4*$A$4*RTD("tos.rtd",,"OPEN_INT","."&amp;P$2&amp;P$1&amp;"C"&amp;$A49)*RTD("tos.rtd",,"GAMMA","."&amp;P$2&amp;P$1&amp;"C"&amp;$A49)+$A$4*$A$4*RTD("tos.rtd",,"OPEN_INT","."&amp;P$2&amp;P$1&amp;"P"&amp;$A49)*RTD("tos.rtd",,"GAMMA","."&amp;P$2&amp;P$1&amp;"P"&amp;$A49))/1000000,($A$4*$A$4*RTD("tos.rtd",,"OPEN_INT","."&amp;P$2&amp;P$1&amp;"C"&amp;$A49)*RTD("tos.rtd",,"GAMMA","."&amp;P$2&amp;P$1&amp;"C"&amp;$A49)-$A$4*$A$4*RTD("tos.rtd",,"OPEN_INT","."&amp;P$2&amp;P$1&amp;"P"&amp;$A49)*RTD("tos.rtd",,"GAMMA","."&amp;P$2&amp;P$1&amp;"P"&amp;$A49))/1000000),0),IF($A$2="SKEW",IFERROR(VALUE(IF(RTD("tos.rtd",,"IMPL_VOL","."&amp;P$2&amp;P$1&amp;"P"&amp;$A49)="N/A",0,RTD("tos.rtd",,"IMPL_VOL","."&amp;P$2&amp;P$1&amp;"P"&amp;$A49))),0)-IFERROR(VALUE(IF(RTD("tos.rtd",,"IMPL_VOL","."&amp;P$2&amp;P$1&amp;"C"&amp;$A49)="N/A",0,RTD("tos.rtd",,"IMPL_VOL","."&amp;P$2&amp;P$1&amp;"C"&amp;$A49))),0),IF($A$2="MAXPAIN",IF($A$4&gt;$A49,($A$4-$A49)*IF(RTD("tos.rtd",,"OPEN_INT","."&amp;P$2&amp;P$1&amp;"C"&amp;$A49)="N/A",0,RTD("tos.rtd",,"OPEN_INT","."&amp;P$2&amp;P$1&amp;"C"&amp;$A49)),0)+IF($A$4&lt;$A49,($A$5-$A$4)*IF(RTD("tos.rtd",,"OPEN_INT","."&amp;P$2&amp;P$1&amp;"P"&amp;$A49)="N/A",0,RTD("tos.rtd",,"OPEN_INT","."&amp;P$2&amp;P$1&amp;"P"&amp;$A49)),0),IF($X$1="ABS",IF(RTD("tos.rtd",,$A$2,"."&amp;P$2&amp;P$1&amp;"C"&amp;$A49)="N/A",0,RTD("tos.rtd",,$A$2,"."&amp;P$2&amp;P$1&amp;"C"&amp;$A49))+IF(RTD("tos.rtd",,$A$2,"."&amp;P$2&amp;P$1&amp;"P"&amp;$A49)="N/A",0,RTD("tos.rtd",,$A$2,"."&amp;P$2&amp;P$1&amp;"P"&amp;$A49)),IF(RTD("tos.rtd",,$A$2,"."&amp;P$2&amp;P$1&amp;"C"&amp;$A49)="N/A",0,RTD("tos.rtd",,$A$2,"."&amp;P$2&amp;P$1&amp;"C"&amp;$A49))-IF(RTD("tos.rtd",,$A$2,"."&amp;P$2&amp;P$1&amp;"P"&amp;$A49)="N/A",0,RTD("tos.rtd",,$A$2,"."&amp;P$2&amp;P$1&amp;"P"&amp;$A49))))))))))</f>
        <v>0</v>
      </c>
      <c r="Q49" s="12">
        <f ca="1">IF($A$2="PREMIUM_OI",IFERROR(IF($X$1="ABS",(100*RTD("tos.rtd",,"OPEN_INT","."&amp;Q$2&amp;Q$1&amp;"C"&amp;$A49)*RTD("tos.rtd",,"LAST","."&amp;Q$2&amp;Q$1&amp;"C"&amp;$A49)+100*RTD("tos.rtd",,"OPEN_INT","."&amp;Q$2&amp;Q$1&amp;"P"&amp;$A49)*RTD("tos.rtd",,"LAST","."&amp;Q$2&amp;Q$1&amp;"P"&amp;$A49))/1000000,(100*RTD("tos.rtd",,"OPEN_INT","."&amp;Q$2&amp;Q$1&amp;"C"&amp;$A49)*RTD("tos.rtd",,"LAST","."&amp;Q$2&amp;Q$1&amp;"C"&amp;$A49)-100*RTD("tos.rtd",,"OPEN_INT","."&amp;Q$2&amp;Q$1&amp;"P"&amp;$A49)*RTD("tos.rtd",,"LAST","."&amp;Q$2&amp;Q$1&amp;"P"&amp;$A49))/1000000),0),IF($A$2="PREMIUM",IFERROR(IF($X$1="ABS",(100*RTD("tos.rtd",,"VOLUME","."&amp;Q$2&amp;Q$1&amp;"C"&amp;$A49)*RTD("tos.rtd",,"LAST","."&amp;Q$2&amp;Q$1&amp;"C"&amp;$A49)+100*RTD("tos.rtd",,"VOLUME","."&amp;Q$2&amp;Q$1&amp;"P"&amp;$A49)*RTD("tos.rtd",,"LAST","."&amp;Q$2&amp;Q$1&amp;"P"&amp;$A49))/1000000,(100*RTD("tos.rtd",,"VOLUME","."&amp;Q$2&amp;Q$1&amp;"C"&amp;$A49)*RTD("tos.rtd",,"LAST","."&amp;Q$2&amp;Q$1&amp;"C"&amp;$A49)-100*RTD("tos.rtd",,"VOLUME","."&amp;Q$2&amp;Q$1&amp;"P"&amp;$A49)*RTD("tos.rtd",,"LAST","."&amp;Q$2&amp;Q$1&amp;"P"&amp;$A49))/1000000),0),IF($A$2="DEX",IFERROR(IF($X$1="ABS",(100*RTD("tos.rtd",,"OPEN_INT","."&amp;Q$2&amp;Q$1&amp;"C"&amp;$A49)*RTD("tos.rtd",,"DELTA","."&amp;Q$2&amp;Q$1&amp;"C"&amp;$A49)+100*RTD("tos.rtd",,"OPEN_INT","."&amp;Q$2&amp;Q$1&amp;"P"&amp;$A49)*RTD("tos.rtd",,"DELTA","."&amp;Q$2&amp;Q$1&amp;"P"&amp;$A49))/1000,(100*RTD("tos.rtd",,"OPEN_INT","."&amp;Q$2&amp;Q$1&amp;"C"&amp;$A49)*RTD("tos.rtd",,"DELTA","."&amp;Q$2&amp;Q$1&amp;"C"&amp;$A49)-100*RTD("tos.rtd",,"OPEN_INT","."&amp;Q$2&amp;Q$1&amp;"P"&amp;$A49)*RTD("tos.rtd",,"DELTA","."&amp;Q$2&amp;Q$1&amp;"P"&amp;$A49))/1000),0),IF($A$2="VEX",IFERROR(IF($X$1="ABS",($A$4*$A$4*RTD("tos.rtd",,"VOLUME","."&amp;Q$2&amp;Q$1&amp;"C"&amp;$A49)*RTD("tos.rtd",,"GAMMA","."&amp;Q$2&amp;Q$1&amp;"C"&amp;$A49)+$A$4*$A$4*RTD("tos.rtd",,"VOLUME","."&amp;Q$2&amp;Q$1&amp;"P"&amp;$A49)*RTD("tos.rtd",,"GAMMA","."&amp;Q$2&amp;Q$1&amp;"P"&amp;$A49))/1000000,($A$4*$A$4*RTD("tos.rtd",,"VOLUME","."&amp;Q$2&amp;Q$1&amp;"C"&amp;$A49)*RTD("tos.rtd",,"GAMMA","."&amp;Q$2&amp;Q$1&amp;"C"&amp;$A49)-$A$4*$A$4*RTD("tos.rtd",,"VOLUME","."&amp;Q$2&amp;Q$1&amp;"P"&amp;$A49)*RTD("tos.rtd",,"GAMMA","."&amp;Q$2&amp;Q$1&amp;"P"&amp;$A49))/1000000),0),IF($A$2="GEX",IFERROR(IF($X$1="ABS",($A$4*$A$4*RTD("tos.rtd",,"OPEN_INT","."&amp;Q$2&amp;Q$1&amp;"C"&amp;$A49)*RTD("tos.rtd",,"GAMMA","."&amp;Q$2&amp;Q$1&amp;"C"&amp;$A49)+$A$4*$A$4*RTD("tos.rtd",,"OPEN_INT","."&amp;Q$2&amp;Q$1&amp;"P"&amp;$A49)*RTD("tos.rtd",,"GAMMA","."&amp;Q$2&amp;Q$1&amp;"P"&amp;$A49))/1000000,($A$4*$A$4*RTD("tos.rtd",,"OPEN_INT","."&amp;Q$2&amp;Q$1&amp;"C"&amp;$A49)*RTD("tos.rtd",,"GAMMA","."&amp;Q$2&amp;Q$1&amp;"C"&amp;$A49)-$A$4*$A$4*RTD("tos.rtd",,"OPEN_INT","."&amp;Q$2&amp;Q$1&amp;"P"&amp;$A49)*RTD("tos.rtd",,"GAMMA","."&amp;Q$2&amp;Q$1&amp;"P"&amp;$A49))/1000000),0),IF($A$2="SKEW",IFERROR(VALUE(IF(RTD("tos.rtd",,"IMPL_VOL","."&amp;Q$2&amp;Q$1&amp;"P"&amp;$A49)="N/A",0,RTD("tos.rtd",,"IMPL_VOL","."&amp;Q$2&amp;Q$1&amp;"P"&amp;$A49))),0)-IFERROR(VALUE(IF(RTD("tos.rtd",,"IMPL_VOL","."&amp;Q$2&amp;Q$1&amp;"C"&amp;$A49)="N/A",0,RTD("tos.rtd",,"IMPL_VOL","."&amp;Q$2&amp;Q$1&amp;"C"&amp;$A49))),0),IF($A$2="MAXPAIN",IF($A$4&gt;$A49,($A$4-$A49)*IF(RTD("tos.rtd",,"OPEN_INT","."&amp;Q$2&amp;Q$1&amp;"C"&amp;$A49)="N/A",0,RTD("tos.rtd",,"OPEN_INT","."&amp;Q$2&amp;Q$1&amp;"C"&amp;$A49)),0)+IF($A$4&lt;$A49,($A$5-$A$4)*IF(RTD("tos.rtd",,"OPEN_INT","."&amp;Q$2&amp;Q$1&amp;"P"&amp;$A49)="N/A",0,RTD("tos.rtd",,"OPEN_INT","."&amp;Q$2&amp;Q$1&amp;"P"&amp;$A49)),0),IF($X$1="ABS",IF(RTD("tos.rtd",,$A$2,"."&amp;Q$2&amp;Q$1&amp;"C"&amp;$A49)="N/A",0,RTD("tos.rtd",,$A$2,"."&amp;Q$2&amp;Q$1&amp;"C"&amp;$A49))+IF(RTD("tos.rtd",,$A$2,"."&amp;Q$2&amp;Q$1&amp;"P"&amp;$A49)="N/A",0,RTD("tos.rtd",,$A$2,"."&amp;Q$2&amp;Q$1&amp;"P"&amp;$A49)),IF(RTD("tos.rtd",,$A$2,"."&amp;Q$2&amp;Q$1&amp;"C"&amp;$A49)="N/A",0,RTD("tos.rtd",,$A$2,"."&amp;Q$2&amp;Q$1&amp;"C"&amp;$A49))-IF(RTD("tos.rtd",,$A$2,"."&amp;Q$2&amp;Q$1&amp;"P"&amp;$A49)="N/A",0,RTD("tos.rtd",,$A$2,"."&amp;Q$2&amp;Q$1&amp;"P"&amp;$A49))))))))))</f>
        <v>0</v>
      </c>
      <c r="R49" s="12">
        <f ca="1">IF($A$2="PREMIUM_OI",IFERROR(IF($X$1="ABS",(100*RTD("tos.rtd",,"OPEN_INT","."&amp;R$2&amp;R$1&amp;"C"&amp;$A49)*RTD("tos.rtd",,"LAST","."&amp;R$2&amp;R$1&amp;"C"&amp;$A49)+100*RTD("tos.rtd",,"OPEN_INT","."&amp;R$2&amp;R$1&amp;"P"&amp;$A49)*RTD("tos.rtd",,"LAST","."&amp;R$2&amp;R$1&amp;"P"&amp;$A49))/1000000,(100*RTD("tos.rtd",,"OPEN_INT","."&amp;R$2&amp;R$1&amp;"C"&amp;$A49)*RTD("tos.rtd",,"LAST","."&amp;R$2&amp;R$1&amp;"C"&amp;$A49)-100*RTD("tos.rtd",,"OPEN_INT","."&amp;R$2&amp;R$1&amp;"P"&amp;$A49)*RTD("tos.rtd",,"LAST","."&amp;R$2&amp;R$1&amp;"P"&amp;$A49))/1000000),0),IF($A$2="PREMIUM",IFERROR(IF($X$1="ABS",(100*RTD("tos.rtd",,"VOLUME","."&amp;R$2&amp;R$1&amp;"C"&amp;$A49)*RTD("tos.rtd",,"LAST","."&amp;R$2&amp;R$1&amp;"C"&amp;$A49)+100*RTD("tos.rtd",,"VOLUME","."&amp;R$2&amp;R$1&amp;"P"&amp;$A49)*RTD("tos.rtd",,"LAST","."&amp;R$2&amp;R$1&amp;"P"&amp;$A49))/1000000,(100*RTD("tos.rtd",,"VOLUME","."&amp;R$2&amp;R$1&amp;"C"&amp;$A49)*RTD("tos.rtd",,"LAST","."&amp;R$2&amp;R$1&amp;"C"&amp;$A49)-100*RTD("tos.rtd",,"VOLUME","."&amp;R$2&amp;R$1&amp;"P"&amp;$A49)*RTD("tos.rtd",,"LAST","."&amp;R$2&amp;R$1&amp;"P"&amp;$A49))/1000000),0),IF($A$2="DEX",IFERROR(IF($X$1="ABS",(100*RTD("tos.rtd",,"OPEN_INT","."&amp;R$2&amp;R$1&amp;"C"&amp;$A49)*RTD("tos.rtd",,"DELTA","."&amp;R$2&amp;R$1&amp;"C"&amp;$A49)+100*RTD("tos.rtd",,"OPEN_INT","."&amp;R$2&amp;R$1&amp;"P"&amp;$A49)*RTD("tos.rtd",,"DELTA","."&amp;R$2&amp;R$1&amp;"P"&amp;$A49))/1000,(100*RTD("tos.rtd",,"OPEN_INT","."&amp;R$2&amp;R$1&amp;"C"&amp;$A49)*RTD("tos.rtd",,"DELTA","."&amp;R$2&amp;R$1&amp;"C"&amp;$A49)-100*RTD("tos.rtd",,"OPEN_INT","."&amp;R$2&amp;R$1&amp;"P"&amp;$A49)*RTD("tos.rtd",,"DELTA","."&amp;R$2&amp;R$1&amp;"P"&amp;$A49))/1000),0),IF($A$2="VEX",IFERROR(IF($X$1="ABS",($A$4*$A$4*RTD("tos.rtd",,"VOLUME","."&amp;R$2&amp;R$1&amp;"C"&amp;$A49)*RTD("tos.rtd",,"GAMMA","."&amp;R$2&amp;R$1&amp;"C"&amp;$A49)+$A$4*$A$4*RTD("tos.rtd",,"VOLUME","."&amp;R$2&amp;R$1&amp;"P"&amp;$A49)*RTD("tos.rtd",,"GAMMA","."&amp;R$2&amp;R$1&amp;"P"&amp;$A49))/1000000,($A$4*$A$4*RTD("tos.rtd",,"VOLUME","."&amp;R$2&amp;R$1&amp;"C"&amp;$A49)*RTD("tos.rtd",,"GAMMA","."&amp;R$2&amp;R$1&amp;"C"&amp;$A49)-$A$4*$A$4*RTD("tos.rtd",,"VOLUME","."&amp;R$2&amp;R$1&amp;"P"&amp;$A49)*RTD("tos.rtd",,"GAMMA","."&amp;R$2&amp;R$1&amp;"P"&amp;$A49))/1000000),0),IF($A$2="GEX",IFERROR(IF($X$1="ABS",($A$4*$A$4*RTD("tos.rtd",,"OPEN_INT","."&amp;R$2&amp;R$1&amp;"C"&amp;$A49)*RTD("tos.rtd",,"GAMMA","."&amp;R$2&amp;R$1&amp;"C"&amp;$A49)+$A$4*$A$4*RTD("tos.rtd",,"OPEN_INT","."&amp;R$2&amp;R$1&amp;"P"&amp;$A49)*RTD("tos.rtd",,"GAMMA","."&amp;R$2&amp;R$1&amp;"P"&amp;$A49))/1000000,($A$4*$A$4*RTD("tos.rtd",,"OPEN_INT","."&amp;R$2&amp;R$1&amp;"C"&amp;$A49)*RTD("tos.rtd",,"GAMMA","."&amp;R$2&amp;R$1&amp;"C"&amp;$A49)-$A$4*$A$4*RTD("tos.rtd",,"OPEN_INT","."&amp;R$2&amp;R$1&amp;"P"&amp;$A49)*RTD("tos.rtd",,"GAMMA","."&amp;R$2&amp;R$1&amp;"P"&amp;$A49))/1000000),0),IF($A$2="SKEW",IFERROR(VALUE(IF(RTD("tos.rtd",,"IMPL_VOL","."&amp;R$2&amp;R$1&amp;"P"&amp;$A49)="N/A",0,RTD("tos.rtd",,"IMPL_VOL","."&amp;R$2&amp;R$1&amp;"P"&amp;$A49))),0)-IFERROR(VALUE(IF(RTD("tos.rtd",,"IMPL_VOL","."&amp;R$2&amp;R$1&amp;"C"&amp;$A49)="N/A",0,RTD("tos.rtd",,"IMPL_VOL","."&amp;R$2&amp;R$1&amp;"C"&amp;$A49))),0),IF($A$2="MAXPAIN",IF($A$4&gt;$A49,($A$4-$A49)*IF(RTD("tos.rtd",,"OPEN_INT","."&amp;R$2&amp;R$1&amp;"C"&amp;$A49)="N/A",0,RTD("tos.rtd",,"OPEN_INT","."&amp;R$2&amp;R$1&amp;"C"&amp;$A49)),0)+IF($A$4&lt;$A49,($A$5-$A$4)*IF(RTD("tos.rtd",,"OPEN_INT","."&amp;R$2&amp;R$1&amp;"P"&amp;$A49)="N/A",0,RTD("tos.rtd",,"OPEN_INT","."&amp;R$2&amp;R$1&amp;"P"&amp;$A49)),0),IF($X$1="ABS",IF(RTD("tos.rtd",,$A$2,"."&amp;R$2&amp;R$1&amp;"C"&amp;$A49)="N/A",0,RTD("tos.rtd",,$A$2,"."&amp;R$2&amp;R$1&amp;"C"&amp;$A49))+IF(RTD("tos.rtd",,$A$2,"."&amp;R$2&amp;R$1&amp;"P"&amp;$A49)="N/A",0,RTD("tos.rtd",,$A$2,"."&amp;R$2&amp;R$1&amp;"P"&amp;$A49)),IF(RTD("tos.rtd",,$A$2,"."&amp;R$2&amp;R$1&amp;"C"&amp;$A49)="N/A",0,RTD("tos.rtd",,$A$2,"."&amp;R$2&amp;R$1&amp;"C"&amp;$A49))-IF(RTD("tos.rtd",,$A$2,"."&amp;R$2&amp;R$1&amp;"P"&amp;$A49)="N/A",0,RTD("tos.rtd",,$A$2,"."&amp;R$2&amp;R$1&amp;"P"&amp;$A49))))))))))</f>
        <v>0</v>
      </c>
      <c r="S49" s="12">
        <f ca="1">IF($A$2="PREMIUM_OI",IFERROR(IF($X$1="ABS",(100*RTD("tos.rtd",,"OPEN_INT","."&amp;S$2&amp;S$1&amp;"C"&amp;$A49)*RTD("tos.rtd",,"LAST","."&amp;S$2&amp;S$1&amp;"C"&amp;$A49)+100*RTD("tos.rtd",,"OPEN_INT","."&amp;S$2&amp;S$1&amp;"P"&amp;$A49)*RTD("tos.rtd",,"LAST","."&amp;S$2&amp;S$1&amp;"P"&amp;$A49))/1000000,(100*RTD("tos.rtd",,"OPEN_INT","."&amp;S$2&amp;S$1&amp;"C"&amp;$A49)*RTD("tos.rtd",,"LAST","."&amp;S$2&amp;S$1&amp;"C"&amp;$A49)-100*RTD("tos.rtd",,"OPEN_INT","."&amp;S$2&amp;S$1&amp;"P"&amp;$A49)*RTD("tos.rtd",,"LAST","."&amp;S$2&amp;S$1&amp;"P"&amp;$A49))/1000000),0),IF($A$2="PREMIUM",IFERROR(IF($X$1="ABS",(100*RTD("tos.rtd",,"VOLUME","."&amp;S$2&amp;S$1&amp;"C"&amp;$A49)*RTD("tos.rtd",,"LAST","."&amp;S$2&amp;S$1&amp;"C"&amp;$A49)+100*RTD("tos.rtd",,"VOLUME","."&amp;S$2&amp;S$1&amp;"P"&amp;$A49)*RTD("tos.rtd",,"LAST","."&amp;S$2&amp;S$1&amp;"P"&amp;$A49))/1000000,(100*RTD("tos.rtd",,"VOLUME","."&amp;S$2&amp;S$1&amp;"C"&amp;$A49)*RTD("tos.rtd",,"LAST","."&amp;S$2&amp;S$1&amp;"C"&amp;$A49)-100*RTD("tos.rtd",,"VOLUME","."&amp;S$2&amp;S$1&amp;"P"&amp;$A49)*RTD("tos.rtd",,"LAST","."&amp;S$2&amp;S$1&amp;"P"&amp;$A49))/1000000),0),IF($A$2="DEX",IFERROR(IF($X$1="ABS",(100*RTD("tos.rtd",,"OPEN_INT","."&amp;S$2&amp;S$1&amp;"C"&amp;$A49)*RTD("tos.rtd",,"DELTA","."&amp;S$2&amp;S$1&amp;"C"&amp;$A49)+100*RTD("tos.rtd",,"OPEN_INT","."&amp;S$2&amp;S$1&amp;"P"&amp;$A49)*RTD("tos.rtd",,"DELTA","."&amp;S$2&amp;S$1&amp;"P"&amp;$A49))/1000,(100*RTD("tos.rtd",,"OPEN_INT","."&amp;S$2&amp;S$1&amp;"C"&amp;$A49)*RTD("tos.rtd",,"DELTA","."&amp;S$2&amp;S$1&amp;"C"&amp;$A49)-100*RTD("tos.rtd",,"OPEN_INT","."&amp;S$2&amp;S$1&amp;"P"&amp;$A49)*RTD("tos.rtd",,"DELTA","."&amp;S$2&amp;S$1&amp;"P"&amp;$A49))/1000),0),IF($A$2="VEX",IFERROR(IF($X$1="ABS",($A$4*$A$4*RTD("tos.rtd",,"VOLUME","."&amp;S$2&amp;S$1&amp;"C"&amp;$A49)*RTD("tos.rtd",,"GAMMA","."&amp;S$2&amp;S$1&amp;"C"&amp;$A49)+$A$4*$A$4*RTD("tos.rtd",,"VOLUME","."&amp;S$2&amp;S$1&amp;"P"&amp;$A49)*RTD("tos.rtd",,"GAMMA","."&amp;S$2&amp;S$1&amp;"P"&amp;$A49))/1000000,($A$4*$A$4*RTD("tos.rtd",,"VOLUME","."&amp;S$2&amp;S$1&amp;"C"&amp;$A49)*RTD("tos.rtd",,"GAMMA","."&amp;S$2&amp;S$1&amp;"C"&amp;$A49)-$A$4*$A$4*RTD("tos.rtd",,"VOLUME","."&amp;S$2&amp;S$1&amp;"P"&amp;$A49)*RTD("tos.rtd",,"GAMMA","."&amp;S$2&amp;S$1&amp;"P"&amp;$A49))/1000000),0),IF($A$2="GEX",IFERROR(IF($X$1="ABS",($A$4*$A$4*RTD("tos.rtd",,"OPEN_INT","."&amp;S$2&amp;S$1&amp;"C"&amp;$A49)*RTD("tos.rtd",,"GAMMA","."&amp;S$2&amp;S$1&amp;"C"&amp;$A49)+$A$4*$A$4*RTD("tos.rtd",,"OPEN_INT","."&amp;S$2&amp;S$1&amp;"P"&amp;$A49)*RTD("tos.rtd",,"GAMMA","."&amp;S$2&amp;S$1&amp;"P"&amp;$A49))/1000000,($A$4*$A$4*RTD("tos.rtd",,"OPEN_INT","."&amp;S$2&amp;S$1&amp;"C"&amp;$A49)*RTD("tos.rtd",,"GAMMA","."&amp;S$2&amp;S$1&amp;"C"&amp;$A49)-$A$4*$A$4*RTD("tos.rtd",,"OPEN_INT","."&amp;S$2&amp;S$1&amp;"P"&amp;$A49)*RTD("tos.rtd",,"GAMMA","."&amp;S$2&amp;S$1&amp;"P"&amp;$A49))/1000000),0),IF($A$2="SKEW",IFERROR(VALUE(IF(RTD("tos.rtd",,"IMPL_VOL","."&amp;S$2&amp;S$1&amp;"P"&amp;$A49)="N/A",0,RTD("tos.rtd",,"IMPL_VOL","."&amp;S$2&amp;S$1&amp;"P"&amp;$A49))),0)-IFERROR(VALUE(IF(RTD("tos.rtd",,"IMPL_VOL","."&amp;S$2&amp;S$1&amp;"C"&amp;$A49)="N/A",0,RTD("tos.rtd",,"IMPL_VOL","."&amp;S$2&amp;S$1&amp;"C"&amp;$A49))),0),IF($A$2="MAXPAIN",IF($A$4&gt;$A49,($A$4-$A49)*IF(RTD("tos.rtd",,"OPEN_INT","."&amp;S$2&amp;S$1&amp;"C"&amp;$A49)="N/A",0,RTD("tos.rtd",,"OPEN_INT","."&amp;S$2&amp;S$1&amp;"C"&amp;$A49)),0)+IF($A$4&lt;$A49,($A$5-$A$4)*IF(RTD("tos.rtd",,"OPEN_INT","."&amp;S$2&amp;S$1&amp;"P"&amp;$A49)="N/A",0,RTD("tos.rtd",,"OPEN_INT","."&amp;S$2&amp;S$1&amp;"P"&amp;$A49)),0),IF($X$1="ABS",IF(RTD("tos.rtd",,$A$2,"."&amp;S$2&amp;S$1&amp;"C"&amp;$A49)="N/A",0,RTD("tos.rtd",,$A$2,"."&amp;S$2&amp;S$1&amp;"C"&amp;$A49))+IF(RTD("tos.rtd",,$A$2,"."&amp;S$2&amp;S$1&amp;"P"&amp;$A49)="N/A",0,RTD("tos.rtd",,$A$2,"."&amp;S$2&amp;S$1&amp;"P"&amp;$A49)),IF(RTD("tos.rtd",,$A$2,"."&amp;S$2&amp;S$1&amp;"C"&amp;$A49)="N/A",0,RTD("tos.rtd",,$A$2,"."&amp;S$2&amp;S$1&amp;"C"&amp;$A49))-IF(RTD("tos.rtd",,$A$2,"."&amp;S$2&amp;S$1&amp;"P"&amp;$A49)="N/A",0,RTD("tos.rtd",,$A$2,"."&amp;S$2&amp;S$1&amp;"P"&amp;$A49))))))))))</f>
        <v>0</v>
      </c>
      <c r="T49" s="12">
        <f ca="1">IF($A$2="PREMIUM_OI",IFERROR(IF($X$1="ABS",(100*RTD("tos.rtd",,"OPEN_INT","."&amp;T$2&amp;T$1&amp;"C"&amp;$A49)*RTD("tos.rtd",,"LAST","."&amp;T$2&amp;T$1&amp;"C"&amp;$A49)+100*RTD("tos.rtd",,"OPEN_INT","."&amp;T$2&amp;T$1&amp;"P"&amp;$A49)*RTD("tos.rtd",,"LAST","."&amp;T$2&amp;T$1&amp;"P"&amp;$A49))/1000000,(100*RTD("tos.rtd",,"OPEN_INT","."&amp;T$2&amp;T$1&amp;"C"&amp;$A49)*RTD("tos.rtd",,"LAST","."&amp;T$2&amp;T$1&amp;"C"&amp;$A49)-100*RTD("tos.rtd",,"OPEN_INT","."&amp;T$2&amp;T$1&amp;"P"&amp;$A49)*RTD("tos.rtd",,"LAST","."&amp;T$2&amp;T$1&amp;"P"&amp;$A49))/1000000),0),IF($A$2="PREMIUM",IFERROR(IF($X$1="ABS",(100*RTD("tos.rtd",,"VOLUME","."&amp;T$2&amp;T$1&amp;"C"&amp;$A49)*RTD("tos.rtd",,"LAST","."&amp;T$2&amp;T$1&amp;"C"&amp;$A49)+100*RTD("tos.rtd",,"VOLUME","."&amp;T$2&amp;T$1&amp;"P"&amp;$A49)*RTD("tos.rtd",,"LAST","."&amp;T$2&amp;T$1&amp;"P"&amp;$A49))/1000000,(100*RTD("tos.rtd",,"VOLUME","."&amp;T$2&amp;T$1&amp;"C"&amp;$A49)*RTD("tos.rtd",,"LAST","."&amp;T$2&amp;T$1&amp;"C"&amp;$A49)-100*RTD("tos.rtd",,"VOLUME","."&amp;T$2&amp;T$1&amp;"P"&amp;$A49)*RTD("tos.rtd",,"LAST","."&amp;T$2&amp;T$1&amp;"P"&amp;$A49))/1000000),0),IF($A$2="DEX",IFERROR(IF($X$1="ABS",(100*RTD("tos.rtd",,"OPEN_INT","."&amp;T$2&amp;T$1&amp;"C"&amp;$A49)*RTD("tos.rtd",,"DELTA","."&amp;T$2&amp;T$1&amp;"C"&amp;$A49)+100*RTD("tos.rtd",,"OPEN_INT","."&amp;T$2&amp;T$1&amp;"P"&amp;$A49)*RTD("tos.rtd",,"DELTA","."&amp;T$2&amp;T$1&amp;"P"&amp;$A49))/1000,(100*RTD("tos.rtd",,"OPEN_INT","."&amp;T$2&amp;T$1&amp;"C"&amp;$A49)*RTD("tos.rtd",,"DELTA","."&amp;T$2&amp;T$1&amp;"C"&amp;$A49)-100*RTD("tos.rtd",,"OPEN_INT","."&amp;T$2&amp;T$1&amp;"P"&amp;$A49)*RTD("tos.rtd",,"DELTA","."&amp;T$2&amp;T$1&amp;"P"&amp;$A49))/1000),0),IF($A$2="VEX",IFERROR(IF($X$1="ABS",($A$4*$A$4*RTD("tos.rtd",,"VOLUME","."&amp;T$2&amp;T$1&amp;"C"&amp;$A49)*RTD("tos.rtd",,"GAMMA","."&amp;T$2&amp;T$1&amp;"C"&amp;$A49)+$A$4*$A$4*RTD("tos.rtd",,"VOLUME","."&amp;T$2&amp;T$1&amp;"P"&amp;$A49)*RTD("tos.rtd",,"GAMMA","."&amp;T$2&amp;T$1&amp;"P"&amp;$A49))/1000000,($A$4*$A$4*RTD("tos.rtd",,"VOLUME","."&amp;T$2&amp;T$1&amp;"C"&amp;$A49)*RTD("tos.rtd",,"GAMMA","."&amp;T$2&amp;T$1&amp;"C"&amp;$A49)-$A$4*$A$4*RTD("tos.rtd",,"VOLUME","."&amp;T$2&amp;T$1&amp;"P"&amp;$A49)*RTD("tos.rtd",,"GAMMA","."&amp;T$2&amp;T$1&amp;"P"&amp;$A49))/1000000),0),IF($A$2="GEX",IFERROR(IF($X$1="ABS",($A$4*$A$4*RTD("tos.rtd",,"OPEN_INT","."&amp;T$2&amp;T$1&amp;"C"&amp;$A49)*RTD("tos.rtd",,"GAMMA","."&amp;T$2&amp;T$1&amp;"C"&amp;$A49)+$A$4*$A$4*RTD("tos.rtd",,"OPEN_INT","."&amp;T$2&amp;T$1&amp;"P"&amp;$A49)*RTD("tos.rtd",,"GAMMA","."&amp;T$2&amp;T$1&amp;"P"&amp;$A49))/1000000,($A$4*$A$4*RTD("tos.rtd",,"OPEN_INT","."&amp;T$2&amp;T$1&amp;"C"&amp;$A49)*RTD("tos.rtd",,"GAMMA","."&amp;T$2&amp;T$1&amp;"C"&amp;$A49)-$A$4*$A$4*RTD("tos.rtd",,"OPEN_INT","."&amp;T$2&amp;T$1&amp;"P"&amp;$A49)*RTD("tos.rtd",,"GAMMA","."&amp;T$2&amp;T$1&amp;"P"&amp;$A49))/1000000),0),IF($A$2="SKEW",IFERROR(VALUE(IF(RTD("tos.rtd",,"IMPL_VOL","."&amp;T$2&amp;T$1&amp;"P"&amp;$A49)="N/A",0,RTD("tos.rtd",,"IMPL_VOL","."&amp;T$2&amp;T$1&amp;"P"&amp;$A49))),0)-IFERROR(VALUE(IF(RTD("tos.rtd",,"IMPL_VOL","."&amp;T$2&amp;T$1&amp;"C"&amp;$A49)="N/A",0,RTD("tos.rtd",,"IMPL_VOL","."&amp;T$2&amp;T$1&amp;"C"&amp;$A49))),0),IF($A$2="MAXPAIN",IF($A$4&gt;$A49,($A$4-$A49)*IF(RTD("tos.rtd",,"OPEN_INT","."&amp;T$2&amp;T$1&amp;"C"&amp;$A49)="N/A",0,RTD("tos.rtd",,"OPEN_INT","."&amp;T$2&amp;T$1&amp;"C"&amp;$A49)),0)+IF($A$4&lt;$A49,($A$5-$A$4)*IF(RTD("tos.rtd",,"OPEN_INT","."&amp;T$2&amp;T$1&amp;"P"&amp;$A49)="N/A",0,RTD("tos.rtd",,"OPEN_INT","."&amp;T$2&amp;T$1&amp;"P"&amp;$A49)),0),IF($X$1="ABS",IF(RTD("tos.rtd",,$A$2,"."&amp;T$2&amp;T$1&amp;"C"&amp;$A49)="N/A",0,RTD("tos.rtd",,$A$2,"."&amp;T$2&amp;T$1&amp;"C"&amp;$A49))+IF(RTD("tos.rtd",,$A$2,"."&amp;T$2&amp;T$1&amp;"P"&amp;$A49)="N/A",0,RTD("tos.rtd",,$A$2,"."&amp;T$2&amp;T$1&amp;"P"&amp;$A49)),IF(RTD("tos.rtd",,$A$2,"."&amp;T$2&amp;T$1&amp;"C"&amp;$A49)="N/A",0,RTD("tos.rtd",,$A$2,"."&amp;T$2&amp;T$1&amp;"C"&amp;$A49))-IF(RTD("tos.rtd",,$A$2,"."&amp;T$2&amp;T$1&amp;"P"&amp;$A49)="N/A",0,RTD("tos.rtd",,$A$2,"."&amp;T$2&amp;T$1&amp;"P"&amp;$A49))))))))))</f>
        <v>0</v>
      </c>
      <c r="U49" s="12">
        <f ca="1">IF($A$2="PREMIUM_OI",IFERROR(IF($X$1="ABS",(100*RTD("tos.rtd",,"OPEN_INT","."&amp;U$2&amp;U$1&amp;"C"&amp;$A49)*RTD("tos.rtd",,"LAST","."&amp;U$2&amp;U$1&amp;"C"&amp;$A49)+100*RTD("tos.rtd",,"OPEN_INT","."&amp;U$2&amp;U$1&amp;"P"&amp;$A49)*RTD("tos.rtd",,"LAST","."&amp;U$2&amp;U$1&amp;"P"&amp;$A49))/1000000,(100*RTD("tos.rtd",,"OPEN_INT","."&amp;U$2&amp;U$1&amp;"C"&amp;$A49)*RTD("tos.rtd",,"LAST","."&amp;U$2&amp;U$1&amp;"C"&amp;$A49)-100*RTD("tos.rtd",,"OPEN_INT","."&amp;U$2&amp;U$1&amp;"P"&amp;$A49)*RTD("tos.rtd",,"LAST","."&amp;U$2&amp;U$1&amp;"P"&amp;$A49))/1000000),0),IF($A$2="PREMIUM",IFERROR(IF($X$1="ABS",(100*RTD("tos.rtd",,"VOLUME","."&amp;U$2&amp;U$1&amp;"C"&amp;$A49)*RTD("tos.rtd",,"LAST","."&amp;U$2&amp;U$1&amp;"C"&amp;$A49)+100*RTD("tos.rtd",,"VOLUME","."&amp;U$2&amp;U$1&amp;"P"&amp;$A49)*RTD("tos.rtd",,"LAST","."&amp;U$2&amp;U$1&amp;"P"&amp;$A49))/1000000,(100*RTD("tos.rtd",,"VOLUME","."&amp;U$2&amp;U$1&amp;"C"&amp;$A49)*RTD("tos.rtd",,"LAST","."&amp;U$2&amp;U$1&amp;"C"&amp;$A49)-100*RTD("tos.rtd",,"VOLUME","."&amp;U$2&amp;U$1&amp;"P"&amp;$A49)*RTD("tos.rtd",,"LAST","."&amp;U$2&amp;U$1&amp;"P"&amp;$A49))/1000000),0),IF($A$2="DEX",IFERROR(IF($X$1="ABS",(100*RTD("tos.rtd",,"OPEN_INT","."&amp;U$2&amp;U$1&amp;"C"&amp;$A49)*RTD("tos.rtd",,"DELTA","."&amp;U$2&amp;U$1&amp;"C"&amp;$A49)+100*RTD("tos.rtd",,"OPEN_INT","."&amp;U$2&amp;U$1&amp;"P"&amp;$A49)*RTD("tos.rtd",,"DELTA","."&amp;U$2&amp;U$1&amp;"P"&amp;$A49))/1000,(100*RTD("tos.rtd",,"OPEN_INT","."&amp;U$2&amp;U$1&amp;"C"&amp;$A49)*RTD("tos.rtd",,"DELTA","."&amp;U$2&amp;U$1&amp;"C"&amp;$A49)-100*RTD("tos.rtd",,"OPEN_INT","."&amp;U$2&amp;U$1&amp;"P"&amp;$A49)*RTD("tos.rtd",,"DELTA","."&amp;U$2&amp;U$1&amp;"P"&amp;$A49))/1000),0),IF($A$2="VEX",IFERROR(IF($X$1="ABS",($A$4*$A$4*RTD("tos.rtd",,"VOLUME","."&amp;U$2&amp;U$1&amp;"C"&amp;$A49)*RTD("tos.rtd",,"GAMMA","."&amp;U$2&amp;U$1&amp;"C"&amp;$A49)+$A$4*$A$4*RTD("tos.rtd",,"VOLUME","."&amp;U$2&amp;U$1&amp;"P"&amp;$A49)*RTD("tos.rtd",,"GAMMA","."&amp;U$2&amp;U$1&amp;"P"&amp;$A49))/1000000,($A$4*$A$4*RTD("tos.rtd",,"VOLUME","."&amp;U$2&amp;U$1&amp;"C"&amp;$A49)*RTD("tos.rtd",,"GAMMA","."&amp;U$2&amp;U$1&amp;"C"&amp;$A49)-$A$4*$A$4*RTD("tos.rtd",,"VOLUME","."&amp;U$2&amp;U$1&amp;"P"&amp;$A49)*RTD("tos.rtd",,"GAMMA","."&amp;U$2&amp;U$1&amp;"P"&amp;$A49))/1000000),0),IF($A$2="GEX",IFERROR(IF($X$1="ABS",($A$4*$A$4*RTD("tos.rtd",,"OPEN_INT","."&amp;U$2&amp;U$1&amp;"C"&amp;$A49)*RTD("tos.rtd",,"GAMMA","."&amp;U$2&amp;U$1&amp;"C"&amp;$A49)+$A$4*$A$4*RTD("tos.rtd",,"OPEN_INT","."&amp;U$2&amp;U$1&amp;"P"&amp;$A49)*RTD("tos.rtd",,"GAMMA","."&amp;U$2&amp;U$1&amp;"P"&amp;$A49))/1000000,($A$4*$A$4*RTD("tos.rtd",,"OPEN_INT","."&amp;U$2&amp;U$1&amp;"C"&amp;$A49)*RTD("tos.rtd",,"GAMMA","."&amp;U$2&amp;U$1&amp;"C"&amp;$A49)-$A$4*$A$4*RTD("tos.rtd",,"OPEN_INT","."&amp;U$2&amp;U$1&amp;"P"&amp;$A49)*RTD("tos.rtd",,"GAMMA","."&amp;U$2&amp;U$1&amp;"P"&amp;$A49))/1000000),0),IF($A$2="SKEW",IFERROR(VALUE(IF(RTD("tos.rtd",,"IMPL_VOL","."&amp;U$2&amp;U$1&amp;"P"&amp;$A49)="N/A",0,RTD("tos.rtd",,"IMPL_VOL","."&amp;U$2&amp;U$1&amp;"P"&amp;$A49))),0)-IFERROR(VALUE(IF(RTD("tos.rtd",,"IMPL_VOL","."&amp;U$2&amp;U$1&amp;"C"&amp;$A49)="N/A",0,RTD("tos.rtd",,"IMPL_VOL","."&amp;U$2&amp;U$1&amp;"C"&amp;$A49))),0),IF($A$2="MAXPAIN",IF($A$4&gt;$A49,($A$4-$A49)*IF(RTD("tos.rtd",,"OPEN_INT","."&amp;U$2&amp;U$1&amp;"C"&amp;$A49)="N/A",0,RTD("tos.rtd",,"OPEN_INT","."&amp;U$2&amp;U$1&amp;"C"&amp;$A49)),0)+IF($A$4&lt;$A49,($A$5-$A$4)*IF(RTD("tos.rtd",,"OPEN_INT","."&amp;U$2&amp;U$1&amp;"P"&amp;$A49)="N/A",0,RTD("tos.rtd",,"OPEN_INT","."&amp;U$2&amp;U$1&amp;"P"&amp;$A49)),0),IF($X$1="ABS",IF(RTD("tos.rtd",,$A$2,"."&amp;U$2&amp;U$1&amp;"C"&amp;$A49)="N/A",0,RTD("tos.rtd",,$A$2,"."&amp;U$2&amp;U$1&amp;"C"&amp;$A49))+IF(RTD("tos.rtd",,$A$2,"."&amp;U$2&amp;U$1&amp;"P"&amp;$A49)="N/A",0,RTD("tos.rtd",,$A$2,"."&amp;U$2&amp;U$1&amp;"P"&amp;$A49)),IF(RTD("tos.rtd",,$A$2,"."&amp;U$2&amp;U$1&amp;"C"&amp;$A49)="N/A",0,RTD("tos.rtd",,$A$2,"."&amp;U$2&amp;U$1&amp;"C"&amp;$A49))-IF(RTD("tos.rtd",,$A$2,"."&amp;U$2&amp;U$1&amp;"P"&amp;$A49)="N/A",0,RTD("tos.rtd",,$A$2,"."&amp;U$2&amp;U$1&amp;"P"&amp;$A49))))))))))</f>
        <v>0</v>
      </c>
      <c r="V49" s="12">
        <f ca="1">IF($A$2="PREMIUM_OI",IFERROR(IF($X$1="ABS",(100*RTD("tos.rtd",,"OPEN_INT","."&amp;V$2&amp;V$1&amp;"C"&amp;$A49)*RTD("tos.rtd",,"LAST","."&amp;V$2&amp;V$1&amp;"C"&amp;$A49)+100*RTD("tos.rtd",,"OPEN_INT","."&amp;V$2&amp;V$1&amp;"P"&amp;$A49)*RTD("tos.rtd",,"LAST","."&amp;V$2&amp;V$1&amp;"P"&amp;$A49))/1000000,(100*RTD("tos.rtd",,"OPEN_INT","."&amp;V$2&amp;V$1&amp;"C"&amp;$A49)*RTD("tos.rtd",,"LAST","."&amp;V$2&amp;V$1&amp;"C"&amp;$A49)-100*RTD("tos.rtd",,"OPEN_INT","."&amp;V$2&amp;V$1&amp;"P"&amp;$A49)*RTD("tos.rtd",,"LAST","."&amp;V$2&amp;V$1&amp;"P"&amp;$A49))/1000000),0),IF($A$2="PREMIUM",IFERROR(IF($X$1="ABS",(100*RTD("tos.rtd",,"VOLUME","."&amp;V$2&amp;V$1&amp;"C"&amp;$A49)*RTD("tos.rtd",,"LAST","."&amp;V$2&amp;V$1&amp;"C"&amp;$A49)+100*RTD("tos.rtd",,"VOLUME","."&amp;V$2&amp;V$1&amp;"P"&amp;$A49)*RTD("tos.rtd",,"LAST","."&amp;V$2&amp;V$1&amp;"P"&amp;$A49))/1000000,(100*RTD("tos.rtd",,"VOLUME","."&amp;V$2&amp;V$1&amp;"C"&amp;$A49)*RTD("tos.rtd",,"LAST","."&amp;V$2&amp;V$1&amp;"C"&amp;$A49)-100*RTD("tos.rtd",,"VOLUME","."&amp;V$2&amp;V$1&amp;"P"&amp;$A49)*RTD("tos.rtd",,"LAST","."&amp;V$2&amp;V$1&amp;"P"&amp;$A49))/1000000),0),IF($A$2="DEX",IFERROR(IF($X$1="ABS",(100*RTD("tos.rtd",,"OPEN_INT","."&amp;V$2&amp;V$1&amp;"C"&amp;$A49)*RTD("tos.rtd",,"DELTA","."&amp;V$2&amp;V$1&amp;"C"&amp;$A49)+100*RTD("tos.rtd",,"OPEN_INT","."&amp;V$2&amp;V$1&amp;"P"&amp;$A49)*RTD("tos.rtd",,"DELTA","."&amp;V$2&amp;V$1&amp;"P"&amp;$A49))/1000,(100*RTD("tos.rtd",,"OPEN_INT","."&amp;V$2&amp;V$1&amp;"C"&amp;$A49)*RTD("tos.rtd",,"DELTA","."&amp;V$2&amp;V$1&amp;"C"&amp;$A49)-100*RTD("tos.rtd",,"OPEN_INT","."&amp;V$2&amp;V$1&amp;"P"&amp;$A49)*RTD("tos.rtd",,"DELTA","."&amp;V$2&amp;V$1&amp;"P"&amp;$A49))/1000),0),IF($A$2="VEX",IFERROR(IF($X$1="ABS",($A$4*$A$4*RTD("tos.rtd",,"VOLUME","."&amp;V$2&amp;V$1&amp;"C"&amp;$A49)*RTD("tos.rtd",,"GAMMA","."&amp;V$2&amp;V$1&amp;"C"&amp;$A49)+$A$4*$A$4*RTD("tos.rtd",,"VOLUME","."&amp;V$2&amp;V$1&amp;"P"&amp;$A49)*RTD("tos.rtd",,"GAMMA","."&amp;V$2&amp;V$1&amp;"P"&amp;$A49))/1000000,($A$4*$A$4*RTD("tos.rtd",,"VOLUME","."&amp;V$2&amp;V$1&amp;"C"&amp;$A49)*RTD("tos.rtd",,"GAMMA","."&amp;V$2&amp;V$1&amp;"C"&amp;$A49)-$A$4*$A$4*RTD("tos.rtd",,"VOLUME","."&amp;V$2&amp;V$1&amp;"P"&amp;$A49)*RTD("tos.rtd",,"GAMMA","."&amp;V$2&amp;V$1&amp;"P"&amp;$A49))/1000000),0),IF($A$2="GEX",IFERROR(IF($X$1="ABS",($A$4*$A$4*RTD("tos.rtd",,"OPEN_INT","."&amp;V$2&amp;V$1&amp;"C"&amp;$A49)*RTD("tos.rtd",,"GAMMA","."&amp;V$2&amp;V$1&amp;"C"&amp;$A49)+$A$4*$A$4*RTD("tos.rtd",,"OPEN_INT","."&amp;V$2&amp;V$1&amp;"P"&amp;$A49)*RTD("tos.rtd",,"GAMMA","."&amp;V$2&amp;V$1&amp;"P"&amp;$A49))/1000000,($A$4*$A$4*RTD("tos.rtd",,"OPEN_INT","."&amp;V$2&amp;V$1&amp;"C"&amp;$A49)*RTD("tos.rtd",,"GAMMA","."&amp;V$2&amp;V$1&amp;"C"&amp;$A49)-$A$4*$A$4*RTD("tos.rtd",,"OPEN_INT","."&amp;V$2&amp;V$1&amp;"P"&amp;$A49)*RTD("tos.rtd",,"GAMMA","."&amp;V$2&amp;V$1&amp;"P"&amp;$A49))/1000000),0),IF($A$2="SKEW",IFERROR(VALUE(IF(RTD("tos.rtd",,"IMPL_VOL","."&amp;V$2&amp;V$1&amp;"P"&amp;$A49)="N/A",0,RTD("tos.rtd",,"IMPL_VOL","."&amp;V$2&amp;V$1&amp;"P"&amp;$A49))),0)-IFERROR(VALUE(IF(RTD("tos.rtd",,"IMPL_VOL","."&amp;V$2&amp;V$1&amp;"C"&amp;$A49)="N/A",0,RTD("tos.rtd",,"IMPL_VOL","."&amp;V$2&amp;V$1&amp;"C"&amp;$A49))),0),IF($A$2="MAXPAIN",IF($A$4&gt;$A49,($A$4-$A49)*IF(RTD("tos.rtd",,"OPEN_INT","."&amp;V$2&amp;V$1&amp;"C"&amp;$A49)="N/A",0,RTD("tos.rtd",,"OPEN_INT","."&amp;V$2&amp;V$1&amp;"C"&amp;$A49)),0)+IF($A$4&lt;$A49,($A$5-$A$4)*IF(RTD("tos.rtd",,"OPEN_INT","."&amp;V$2&amp;V$1&amp;"P"&amp;$A49)="N/A",0,RTD("tos.rtd",,"OPEN_INT","."&amp;V$2&amp;V$1&amp;"P"&amp;$A49)),0),IF($X$1="ABS",IF(RTD("tos.rtd",,$A$2,"."&amp;V$2&amp;V$1&amp;"C"&amp;$A49)="N/A",0,RTD("tos.rtd",,$A$2,"."&amp;V$2&amp;V$1&amp;"C"&amp;$A49))+IF(RTD("tos.rtd",,$A$2,"."&amp;V$2&amp;V$1&amp;"P"&amp;$A49)="N/A",0,RTD("tos.rtd",,$A$2,"."&amp;V$2&amp;V$1&amp;"P"&amp;$A49)),IF(RTD("tos.rtd",,$A$2,"."&amp;V$2&amp;V$1&amp;"C"&amp;$A49)="N/A",0,RTD("tos.rtd",,$A$2,"."&amp;V$2&amp;V$1&amp;"C"&amp;$A49))-IF(RTD("tos.rtd",,$A$2,"."&amp;V$2&amp;V$1&amp;"P"&amp;$A49)="N/A",0,RTD("tos.rtd",,$A$2,"."&amp;V$2&amp;V$1&amp;"P"&amp;$A49))))))))))</f>
        <v>0</v>
      </c>
      <c r="W49" s="54">
        <f ca="1">IF($A$2="PREMIUM_OI",IFERROR(IF($X$1="ABS",(100*RTD("tos.rtd",,"OPEN_INT","."&amp;W$2&amp;W$1&amp;"C"&amp;$A49)*RTD("tos.rtd",,"LAST","."&amp;W$2&amp;W$1&amp;"C"&amp;$A49)+100*RTD("tos.rtd",,"OPEN_INT","."&amp;W$2&amp;W$1&amp;"P"&amp;$A49)*RTD("tos.rtd",,"LAST","."&amp;W$2&amp;W$1&amp;"P"&amp;$A49))/1000000,(100*RTD("tos.rtd",,"OPEN_INT","."&amp;W$2&amp;W$1&amp;"C"&amp;$A49)*RTD("tos.rtd",,"LAST","."&amp;W$2&amp;W$1&amp;"C"&amp;$A49)-100*RTD("tos.rtd",,"OPEN_INT","."&amp;W$2&amp;W$1&amp;"P"&amp;$A49)*RTD("tos.rtd",,"LAST","."&amp;W$2&amp;W$1&amp;"P"&amp;$A49))/1000000),0),IF($A$2="PREMIUM",IFERROR(IF($X$1="ABS",(100*RTD("tos.rtd",,"VOLUME","."&amp;W$2&amp;W$1&amp;"C"&amp;$A49)*RTD("tos.rtd",,"LAST","."&amp;W$2&amp;W$1&amp;"C"&amp;$A49)+100*RTD("tos.rtd",,"VOLUME","."&amp;W$2&amp;W$1&amp;"P"&amp;$A49)*RTD("tos.rtd",,"LAST","."&amp;W$2&amp;W$1&amp;"P"&amp;$A49))/1000000,(100*RTD("tos.rtd",,"VOLUME","."&amp;W$2&amp;W$1&amp;"C"&amp;$A49)*RTD("tos.rtd",,"LAST","."&amp;W$2&amp;W$1&amp;"C"&amp;$A49)-100*RTD("tos.rtd",,"VOLUME","."&amp;W$2&amp;W$1&amp;"P"&amp;$A49)*RTD("tos.rtd",,"LAST","."&amp;W$2&amp;W$1&amp;"P"&amp;$A49))/1000000),0),IF($A$2="DEX",IFERROR(IF($X$1="ABS",(100*RTD("tos.rtd",,"OPEN_INT","."&amp;W$2&amp;W$1&amp;"C"&amp;$A49)*RTD("tos.rtd",,"DELTA","."&amp;W$2&amp;W$1&amp;"C"&amp;$A49)+100*RTD("tos.rtd",,"OPEN_INT","."&amp;W$2&amp;W$1&amp;"P"&amp;$A49)*RTD("tos.rtd",,"DELTA","."&amp;W$2&amp;W$1&amp;"P"&amp;$A49))/1000,(100*RTD("tos.rtd",,"OPEN_INT","."&amp;W$2&amp;W$1&amp;"C"&amp;$A49)*RTD("tos.rtd",,"DELTA","."&amp;W$2&amp;W$1&amp;"C"&amp;$A49)-100*RTD("tos.rtd",,"OPEN_INT","."&amp;W$2&amp;W$1&amp;"P"&amp;$A49)*RTD("tos.rtd",,"DELTA","."&amp;W$2&amp;W$1&amp;"P"&amp;$A49))/1000),0),IF($A$2="VEX",IFERROR(IF($X$1="ABS",($A$4*$A$4*RTD("tos.rtd",,"VOLUME","."&amp;W$2&amp;W$1&amp;"C"&amp;$A49)*RTD("tos.rtd",,"GAMMA","."&amp;W$2&amp;W$1&amp;"C"&amp;$A49)+$A$4*$A$4*RTD("tos.rtd",,"VOLUME","."&amp;W$2&amp;W$1&amp;"P"&amp;$A49)*RTD("tos.rtd",,"GAMMA","."&amp;W$2&amp;W$1&amp;"P"&amp;$A49))/1000000,($A$4*$A$4*RTD("tos.rtd",,"VOLUME","."&amp;W$2&amp;W$1&amp;"C"&amp;$A49)*RTD("tos.rtd",,"GAMMA","."&amp;W$2&amp;W$1&amp;"C"&amp;$A49)-$A$4*$A$4*RTD("tos.rtd",,"VOLUME","."&amp;W$2&amp;W$1&amp;"P"&amp;$A49)*RTD("tos.rtd",,"GAMMA","."&amp;W$2&amp;W$1&amp;"P"&amp;$A49))/1000000),0),IF($A$2="GEX",IFERROR(IF($X$1="ABS",($A$4*$A$4*RTD("tos.rtd",,"OPEN_INT","."&amp;W$2&amp;W$1&amp;"C"&amp;$A49)*RTD("tos.rtd",,"GAMMA","."&amp;W$2&amp;W$1&amp;"C"&amp;$A49)+$A$4*$A$4*RTD("tos.rtd",,"OPEN_INT","."&amp;W$2&amp;W$1&amp;"P"&amp;$A49)*RTD("tos.rtd",,"GAMMA","."&amp;W$2&amp;W$1&amp;"P"&amp;$A49))/1000000,($A$4*$A$4*RTD("tos.rtd",,"OPEN_INT","."&amp;W$2&amp;W$1&amp;"C"&amp;$A49)*RTD("tos.rtd",,"GAMMA","."&amp;W$2&amp;W$1&amp;"C"&amp;$A49)-$A$4*$A$4*RTD("tos.rtd",,"OPEN_INT","."&amp;W$2&amp;W$1&amp;"P"&amp;$A49)*RTD("tos.rtd",,"GAMMA","."&amp;W$2&amp;W$1&amp;"P"&amp;$A49))/1000000),0),IF($A$2="SKEW",IFERROR(VALUE(IF(RTD("tos.rtd",,"IMPL_VOL","."&amp;W$2&amp;W$1&amp;"P"&amp;$A49)="N/A",0,RTD("tos.rtd",,"IMPL_VOL","."&amp;W$2&amp;W$1&amp;"P"&amp;$A49))),0)-IFERROR(VALUE(IF(RTD("tos.rtd",,"IMPL_VOL","."&amp;W$2&amp;W$1&amp;"C"&amp;$A49)="N/A",0,RTD("tos.rtd",,"IMPL_VOL","."&amp;W$2&amp;W$1&amp;"C"&amp;$A49))),0),IF($A$2="MAXPAIN",IF($A$4&gt;$A49,($A$4-$A49)*IF(RTD("tos.rtd",,"OPEN_INT","."&amp;W$2&amp;W$1&amp;"C"&amp;$A49)="N/A",0,RTD("tos.rtd",,"OPEN_INT","."&amp;W$2&amp;W$1&amp;"C"&amp;$A49)),0)+IF($A$4&lt;$A49,($A$5-$A$4)*IF(RTD("tos.rtd",,"OPEN_INT","."&amp;W$2&amp;W$1&amp;"P"&amp;$A49)="N/A",0,RTD("tos.rtd",,"OPEN_INT","."&amp;W$2&amp;W$1&amp;"P"&amp;$A49)),0),IF($X$1="ABS",IF(RTD("tos.rtd",,$A$2,"."&amp;W$2&amp;W$1&amp;"C"&amp;$A49)="N/A",0,RTD("tos.rtd",,$A$2,"."&amp;W$2&amp;W$1&amp;"C"&amp;$A49))+IF(RTD("tos.rtd",,$A$2,"."&amp;W$2&amp;W$1&amp;"P"&amp;$A49)="N/A",0,RTD("tos.rtd",,$A$2,"."&amp;W$2&amp;W$1&amp;"P"&amp;$A49)),IF(RTD("tos.rtd",,$A$2,"."&amp;W$2&amp;W$1&amp;"C"&amp;$A49)="N/A",0,RTD("tos.rtd",,$A$2,"."&amp;W$2&amp;W$1&amp;"C"&amp;$A49))-IF(RTD("tos.rtd",,$A$2,"."&amp;W$2&amp;W$1&amp;"P"&amp;$A49)="N/A",0,RTD("tos.rtd",,$A$2,"."&amp;W$2&amp;W$1&amp;"P"&amp;$A49))))))))))</f>
        <v>0</v>
      </c>
      <c r="X49" s="57">
        <f t="shared" ca="1" si="8"/>
        <v>0</v>
      </c>
      <c r="Y49" s="27">
        <f t="shared" ca="1" si="9"/>
        <v>0</v>
      </c>
      <c r="Z49" s="27">
        <f ca="1">+'OI-VOL'!Y49</f>
        <v>0</v>
      </c>
      <c r="AA49" s="27" t="b">
        <f t="shared" ca="1" si="10"/>
        <v>0</v>
      </c>
      <c r="AB49" s="27">
        <f t="shared" si="11"/>
        <v>57421100</v>
      </c>
      <c r="AC49" s="18">
        <f>MAX(0, $A49-AC$4)*IF(RTD("tos.rtd",,"OPEN_INT","."&amp;$AB$3&amp;$AB$4&amp;"C"&amp;AC$4)="N/A",0,RTD("tos.rtd",,"OPEN_INT","."&amp;$AB$3&amp;$AB$4&amp;"C"&amp;AC$4))*100 + MAX(0, AC$4-$A49)*IF(RTD("tos.rtd",,"OPEN_INT","."&amp;$AB$3&amp;$AB$4&amp;"P"&amp;AC$4)="N/A",0,RTD("tos.rtd",,"OPEN_INT","."&amp;$AB$3&amp;$AB$4&amp;"P"&amp;AC$4))*100</f>
        <v>0</v>
      </c>
      <c r="AD49" s="18">
        <f>MAX(0, $A49-AD$4)*IF(RTD("tos.rtd",,"OPEN_INT","."&amp;$AB$3&amp;$AB$4&amp;"C"&amp;AD$4)="N/A",0,RTD("tos.rtd",,"OPEN_INT","."&amp;$AB$3&amp;$AB$4&amp;"C"&amp;AD$4))*100 + MAX(0, AD$4-$A49)*IF(RTD("tos.rtd",,"OPEN_INT","."&amp;$AB$3&amp;$AB$4&amp;"P"&amp;AD$4)="N/A",0,RTD("tos.rtd",,"OPEN_INT","."&amp;$AB$3&amp;$AB$4&amp;"P"&amp;AD$4))*100</f>
        <v>0</v>
      </c>
      <c r="AE49" s="18">
        <f>MAX(0, $A49-AE$4)*IF(RTD("tos.rtd",,"OPEN_INT","."&amp;$AB$3&amp;$AB$4&amp;"C"&amp;AE$4)="N/A",0,RTD("tos.rtd",,"OPEN_INT","."&amp;$AB$3&amp;$AB$4&amp;"C"&amp;AE$4))*100 + MAX(0, AE$4-$A49)*IF(RTD("tos.rtd",,"OPEN_INT","."&amp;$AB$3&amp;$AB$4&amp;"P"&amp;AE$4)="N/A",0,RTD("tos.rtd",,"OPEN_INT","."&amp;$AB$3&amp;$AB$4&amp;"P"&amp;AE$4))*100</f>
        <v>0</v>
      </c>
      <c r="AF49" s="18">
        <f>MAX(0, $A49-AF$4)*IF(RTD("tos.rtd",,"OPEN_INT","."&amp;$AB$3&amp;$AB$4&amp;"C"&amp;AF$4)="N/A",0,RTD("tos.rtd",,"OPEN_INT","."&amp;$AB$3&amp;$AB$4&amp;"C"&amp;AF$4))*100 + MAX(0, AF$4-$A49)*IF(RTD("tos.rtd",,"OPEN_INT","."&amp;$AB$3&amp;$AB$4&amp;"P"&amp;AF$4)="N/A",0,RTD("tos.rtd",,"OPEN_INT","."&amp;$AB$3&amp;$AB$4&amp;"P"&amp;AF$4))*100</f>
        <v>0</v>
      </c>
      <c r="AG49" s="18">
        <f>MAX(0, $A49-AG$4)*IF(RTD("tos.rtd",,"OPEN_INT","."&amp;$AB$3&amp;$AB$4&amp;"C"&amp;AG$4)="N/A",0,RTD("tos.rtd",,"OPEN_INT","."&amp;$AB$3&amp;$AB$4&amp;"C"&amp;AG$4))*100 + MAX(0, AG$4-$A49)*IF(RTD("tos.rtd",,"OPEN_INT","."&amp;$AB$3&amp;$AB$4&amp;"P"&amp;AG$4)="N/A",0,RTD("tos.rtd",,"OPEN_INT","."&amp;$AB$3&amp;$AB$4&amp;"P"&amp;AG$4))*100</f>
        <v>0</v>
      </c>
      <c r="AH49" s="18">
        <f>MAX(0, $A49-AH$4)*IF(RTD("tos.rtd",,"OPEN_INT","."&amp;$AB$3&amp;$AB$4&amp;"C"&amp;AH$4)="N/A",0,RTD("tos.rtd",,"OPEN_INT","."&amp;$AB$3&amp;$AB$4&amp;"C"&amp;AH$4))*100 + MAX(0, AH$4-$A49)*IF(RTD("tos.rtd",,"OPEN_INT","."&amp;$AB$3&amp;$AB$4&amp;"P"&amp;AH$4)="N/A",0,RTD("tos.rtd",,"OPEN_INT","."&amp;$AB$3&amp;$AB$4&amp;"P"&amp;AH$4))*100</f>
        <v>0</v>
      </c>
      <c r="AI49" s="18">
        <f>MAX(0, $A49-AI$4)*IF(RTD("tos.rtd",,"OPEN_INT","."&amp;$AB$3&amp;$AB$4&amp;"C"&amp;AI$4)="N/A",0,RTD("tos.rtd",,"OPEN_INT","."&amp;$AB$3&amp;$AB$4&amp;"C"&amp;AI$4))*100 + MAX(0, AI$4-$A49)*IF(RTD("tos.rtd",,"OPEN_INT","."&amp;$AB$3&amp;$AB$4&amp;"P"&amp;AI$4)="N/A",0,RTD("tos.rtd",,"OPEN_INT","."&amp;$AB$3&amp;$AB$4&amp;"P"&amp;AI$4))*100</f>
        <v>0</v>
      </c>
      <c r="AJ49" s="18">
        <f>MAX(0, $A49-AJ$4)*IF(RTD("tos.rtd",,"OPEN_INT","."&amp;$AB$3&amp;$AB$4&amp;"C"&amp;AJ$4)="N/A",0,RTD("tos.rtd",,"OPEN_INT","."&amp;$AB$3&amp;$AB$4&amp;"C"&amp;AJ$4))*100 + MAX(0, AJ$4-$A49)*IF(RTD("tos.rtd",,"OPEN_INT","."&amp;$AB$3&amp;$AB$4&amp;"P"&amp;AJ$4)="N/A",0,RTD("tos.rtd",,"OPEN_INT","."&amp;$AB$3&amp;$AB$4&amp;"P"&amp;AJ$4))*100</f>
        <v>5550</v>
      </c>
      <c r="AK49" s="18">
        <f>MAX(0, $A49-AK$4)*IF(RTD("tos.rtd",,"OPEN_INT","."&amp;$AB$3&amp;$AB$4&amp;"C"&amp;AK$4)="N/A",0,RTD("tos.rtd",,"OPEN_INT","."&amp;$AB$3&amp;$AB$4&amp;"C"&amp;AK$4))*100 + MAX(0, AK$4-$A49)*IF(RTD("tos.rtd",,"OPEN_INT","."&amp;$AB$3&amp;$AB$4&amp;"P"&amp;AK$4)="N/A",0,RTD("tos.rtd",,"OPEN_INT","."&amp;$AB$3&amp;$AB$4&amp;"P"&amp;AK$4))*100</f>
        <v>14400</v>
      </c>
      <c r="AL49" s="18">
        <f>MAX(0, $A49-AL$4)*IF(RTD("tos.rtd",,"OPEN_INT","."&amp;$AB$3&amp;$AB$4&amp;"C"&amp;AL$4)="N/A",0,RTD("tos.rtd",,"OPEN_INT","."&amp;$AB$3&amp;$AB$4&amp;"C"&amp;AL$4))*100 + MAX(0, AL$4-$A49)*IF(RTD("tos.rtd",,"OPEN_INT","."&amp;$AB$3&amp;$AB$4&amp;"P"&amp;AL$4)="N/A",0,RTD("tos.rtd",,"OPEN_INT","."&amp;$AB$3&amp;$AB$4&amp;"P"&amp;AL$4))*100</f>
        <v>0</v>
      </c>
      <c r="AM49" s="18">
        <f>MAX(0, $A49-AM$4)*IF(RTD("tos.rtd",,"OPEN_INT","."&amp;$AB$3&amp;$AB$4&amp;"C"&amp;AM$4)="N/A",0,RTD("tos.rtd",,"OPEN_INT","."&amp;$AB$3&amp;$AB$4&amp;"C"&amp;AM$4))*100 + MAX(0, AM$4-$A49)*IF(RTD("tos.rtd",,"OPEN_INT","."&amp;$AB$3&amp;$AB$4&amp;"P"&amp;AM$4)="N/A",0,RTD("tos.rtd",,"OPEN_INT","."&amp;$AB$3&amp;$AB$4&amp;"P"&amp;AM$4))*100</f>
        <v>0</v>
      </c>
      <c r="AN49" s="18">
        <f>MAX(0, $A49-AN$4)*IF(RTD("tos.rtd",,"OPEN_INT","."&amp;$AB$3&amp;$AB$4&amp;"C"&amp;AN$4)="N/A",0,RTD("tos.rtd",,"OPEN_INT","."&amp;$AB$3&amp;$AB$4&amp;"C"&amp;AN$4))*100 + MAX(0, AN$4-$A49)*IF(RTD("tos.rtd",,"OPEN_INT","."&amp;$AB$3&amp;$AB$4&amp;"P"&amp;AN$4)="N/A",0,RTD("tos.rtd",,"OPEN_INT","."&amp;$AB$3&amp;$AB$4&amp;"P"&amp;AN$4))*100</f>
        <v>0</v>
      </c>
      <c r="AO49" s="18">
        <f>MAX(0, $A49-AO$4)*IF(RTD("tos.rtd",,"OPEN_INT","."&amp;$AB$3&amp;$AB$4&amp;"C"&amp;AO$4)="N/A",0,RTD("tos.rtd",,"OPEN_INT","."&amp;$AB$3&amp;$AB$4&amp;"C"&amp;AO$4))*100 + MAX(0, AO$4-$A49)*IF(RTD("tos.rtd",,"OPEN_INT","."&amp;$AB$3&amp;$AB$4&amp;"P"&amp;AO$4)="N/A",0,RTD("tos.rtd",,"OPEN_INT","."&amp;$AB$3&amp;$AB$4&amp;"P"&amp;AO$4))*100</f>
        <v>0</v>
      </c>
      <c r="AP49" s="18">
        <f>MAX(0, $A49-AP$4)*IF(RTD("tos.rtd",,"OPEN_INT","."&amp;$AB$3&amp;$AB$4&amp;"C"&amp;AP$4)="N/A",0,RTD("tos.rtd",,"OPEN_INT","."&amp;$AB$3&amp;$AB$4&amp;"C"&amp;AP$4))*100 + MAX(0, AP$4-$A49)*IF(RTD("tos.rtd",,"OPEN_INT","."&amp;$AB$3&amp;$AB$4&amp;"P"&amp;AP$4)="N/A",0,RTD("tos.rtd",,"OPEN_INT","."&amp;$AB$3&amp;$AB$4&amp;"P"&amp;AP$4))*100</f>
        <v>186000</v>
      </c>
      <c r="AQ49" s="18">
        <f>MAX(0, $A49-AQ$4)*IF(RTD("tos.rtd",,"OPEN_INT","."&amp;$AB$3&amp;$AB$4&amp;"C"&amp;AQ$4)="N/A",0,RTD("tos.rtd",,"OPEN_INT","."&amp;$AB$3&amp;$AB$4&amp;"C"&amp;AQ$4))*100 + MAX(0, AQ$4-$A49)*IF(RTD("tos.rtd",,"OPEN_INT","."&amp;$AB$3&amp;$AB$4&amp;"P"&amp;AQ$4)="N/A",0,RTD("tos.rtd",,"OPEN_INT","."&amp;$AB$3&amp;$AB$4&amp;"P"&amp;AQ$4))*100</f>
        <v>0</v>
      </c>
      <c r="AR49" s="18">
        <f>MAX(0, $A49-AR$4)*IF(RTD("tos.rtd",,"OPEN_INT","."&amp;$AB$3&amp;$AB$4&amp;"C"&amp;AR$4)="N/A",0,RTD("tos.rtd",,"OPEN_INT","."&amp;$AB$3&amp;$AB$4&amp;"C"&amp;AR$4))*100 + MAX(0, AR$4-$A49)*IF(RTD("tos.rtd",,"OPEN_INT","."&amp;$AB$3&amp;$AB$4&amp;"P"&amp;AR$4)="N/A",0,RTD("tos.rtd",,"OPEN_INT","."&amp;$AB$3&amp;$AB$4&amp;"P"&amp;AR$4))*100</f>
        <v>76850</v>
      </c>
      <c r="AS49" s="18">
        <f>MAX(0, $A49-AS$4)*IF(RTD("tos.rtd",,"OPEN_INT","."&amp;$AB$3&amp;$AB$4&amp;"C"&amp;AS$4)="N/A",0,RTD("tos.rtd",,"OPEN_INT","."&amp;$AB$3&amp;$AB$4&amp;"C"&amp;AS$4))*100 + MAX(0, AS$4-$A49)*IF(RTD("tos.rtd",,"OPEN_INT","."&amp;$AB$3&amp;$AB$4&amp;"P"&amp;AS$4)="N/A",0,RTD("tos.rtd",,"OPEN_INT","."&amp;$AB$3&amp;$AB$4&amp;"P"&amp;AS$4))*100</f>
        <v>8400</v>
      </c>
      <c r="AT49" s="18">
        <f>MAX(0, $A49-AT$4)*IF(RTD("tos.rtd",,"OPEN_INT","."&amp;$AB$3&amp;$AB$4&amp;"C"&amp;AT$4)="N/A",0,RTD("tos.rtd",,"OPEN_INT","."&amp;$AB$3&amp;$AB$4&amp;"C"&amp;AT$4))*100 + MAX(0, AT$4-$A49)*IF(RTD("tos.rtd",,"OPEN_INT","."&amp;$AB$3&amp;$AB$4&amp;"P"&amp;AT$4)="N/A",0,RTD("tos.rtd",,"OPEN_INT","."&amp;$AB$3&amp;$AB$4&amp;"P"&amp;AT$4))*100</f>
        <v>83700</v>
      </c>
      <c r="AU49" s="18">
        <f>MAX(0, $A49-AU$4)*IF(RTD("tos.rtd",,"OPEN_INT","."&amp;$AB$3&amp;$AB$4&amp;"C"&amp;AU$4)="N/A",0,RTD("tos.rtd",,"OPEN_INT","."&amp;$AB$3&amp;$AB$4&amp;"C"&amp;AU$4))*100 + MAX(0, AU$4-$A49)*IF(RTD("tos.rtd",,"OPEN_INT","."&amp;$AB$3&amp;$AB$4&amp;"P"&amp;AU$4)="N/A",0,RTD("tos.rtd",,"OPEN_INT","."&amp;$AB$3&amp;$AB$4&amp;"P"&amp;AU$4))*100</f>
        <v>91000</v>
      </c>
      <c r="AV49" s="18">
        <f>MAX(0, $A49-AV$4)*IF(RTD("tos.rtd",,"OPEN_INT","."&amp;$AB$3&amp;$AB$4&amp;"C"&amp;AV$4)="N/A",0,RTD("tos.rtd",,"OPEN_INT","."&amp;$AB$3&amp;$AB$4&amp;"C"&amp;AV$4))*100 + MAX(0, AV$4-$A49)*IF(RTD("tos.rtd",,"OPEN_INT","."&amp;$AB$3&amp;$AB$4&amp;"P"&amp;AV$4)="N/A",0,RTD("tos.rtd",,"OPEN_INT","."&amp;$AB$3&amp;$AB$4&amp;"P"&amp;AV$4))*100</f>
        <v>50000</v>
      </c>
      <c r="AW49" s="18">
        <f>MAX(0, $A49-AW$4)*IF(RTD("tos.rtd",,"OPEN_INT","."&amp;$AB$3&amp;$AB$4&amp;"C"&amp;AW$4)="N/A",0,RTD("tos.rtd",,"OPEN_INT","."&amp;$AB$3&amp;$AB$4&amp;"C"&amp;AW$4))*100 + MAX(0, AW$4-$A49)*IF(RTD("tos.rtd",,"OPEN_INT","."&amp;$AB$3&amp;$AB$4&amp;"P"&amp;AW$4)="N/A",0,RTD("tos.rtd",,"OPEN_INT","."&amp;$AB$3&amp;$AB$4&amp;"P"&amp;AW$4))*100</f>
        <v>193200</v>
      </c>
      <c r="AX49" s="18">
        <f>MAX(0, $A49-AX$4)*IF(RTD("tos.rtd",,"OPEN_INT","."&amp;$AB$3&amp;$AB$4&amp;"C"&amp;AX$4)="N/A",0,RTD("tos.rtd",,"OPEN_INT","."&amp;$AB$3&amp;$AB$4&amp;"C"&amp;AX$4))*100 + MAX(0, AX$4-$A49)*IF(RTD("tos.rtd",,"OPEN_INT","."&amp;$AB$3&amp;$AB$4&amp;"P"&amp;AX$4)="N/A",0,RTD("tos.rtd",,"OPEN_INT","."&amp;$AB$3&amp;$AB$4&amp;"P"&amp;AX$4))*100</f>
        <v>232300</v>
      </c>
      <c r="AY49" s="18">
        <f>MAX(0, $A49-AY$4)*IF(RTD("tos.rtd",,"OPEN_INT","."&amp;$AB$3&amp;$AB$4&amp;"C"&amp;AY$4)="N/A",0,RTD("tos.rtd",,"OPEN_INT","."&amp;$AB$3&amp;$AB$4&amp;"C"&amp;AY$4))*100 + MAX(0, AY$4-$A49)*IF(RTD("tos.rtd",,"OPEN_INT","."&amp;$AB$3&amp;$AB$4&amp;"P"&amp;AY$4)="N/A",0,RTD("tos.rtd",,"OPEN_INT","."&amp;$AB$3&amp;$AB$4&amp;"P"&amp;AY$4))*100</f>
        <v>271700</v>
      </c>
      <c r="AZ49" s="18">
        <f>MAX(0, $A49-AZ$4)*IF(RTD("tos.rtd",,"OPEN_INT","."&amp;$AB$3&amp;$AB$4&amp;"C"&amp;AZ$4)="N/A",0,RTD("tos.rtd",,"OPEN_INT","."&amp;$AB$3&amp;$AB$4&amp;"C"&amp;AZ$4))*100 + MAX(0, AZ$4-$A49)*IF(RTD("tos.rtd",,"OPEN_INT","."&amp;$AB$3&amp;$AB$4&amp;"P"&amp;AZ$4)="N/A",0,RTD("tos.rtd",,"OPEN_INT","."&amp;$AB$3&amp;$AB$4&amp;"P"&amp;AZ$4))*100</f>
        <v>2177700</v>
      </c>
      <c r="BA49" s="18">
        <f>MAX(0, $A49-BA$4)*IF(RTD("tos.rtd",,"OPEN_INT","."&amp;$AB$3&amp;$AB$4&amp;"C"&amp;BA$4)="N/A",0,RTD("tos.rtd",,"OPEN_INT","."&amp;$AB$3&amp;$AB$4&amp;"C"&amp;BA$4))*100 + MAX(0, BA$4-$A49)*IF(RTD("tos.rtd",,"OPEN_INT","."&amp;$AB$3&amp;$AB$4&amp;"P"&amp;BA$4)="N/A",0,RTD("tos.rtd",,"OPEN_INT","."&amp;$AB$3&amp;$AB$4&amp;"P"&amp;BA$4))*100</f>
        <v>568000</v>
      </c>
      <c r="BB49" s="18">
        <f>MAX(0, $A49-BB$4)*IF(RTD("tos.rtd",,"OPEN_INT","."&amp;$AB$3&amp;$AB$4&amp;"C"&amp;BB$4)="N/A",0,RTD("tos.rtd",,"OPEN_INT","."&amp;$AB$3&amp;$AB$4&amp;"C"&amp;BB$4))*100 + MAX(0, BB$4-$A49)*IF(RTD("tos.rtd",,"OPEN_INT","."&amp;$AB$3&amp;$AB$4&amp;"P"&amp;BB$4)="N/A",0,RTD("tos.rtd",,"OPEN_INT","."&amp;$AB$3&amp;$AB$4&amp;"P"&amp;BB$4))*100</f>
        <v>2223000</v>
      </c>
      <c r="BC49" s="18">
        <f>MAX(0, $A49-BC$4)*IF(RTD("tos.rtd",,"OPEN_INT","."&amp;$AB$3&amp;$AB$4&amp;"C"&amp;BC$4)="N/A",0,RTD("tos.rtd",,"OPEN_INT","."&amp;$AB$3&amp;$AB$4&amp;"C"&amp;BC$4))*100 + MAX(0, BC$4-$A49)*IF(RTD("tos.rtd",,"OPEN_INT","."&amp;$AB$3&amp;$AB$4&amp;"P"&amp;BC$4)="N/A",0,RTD("tos.rtd",,"OPEN_INT","."&amp;$AB$3&amp;$AB$4&amp;"P"&amp;BC$4))*100</f>
        <v>2055600</v>
      </c>
      <c r="BD49" s="18">
        <f>MAX(0, $A49-BD$4)*IF(RTD("tos.rtd",,"OPEN_INT","."&amp;$AB$3&amp;$AB$4&amp;"C"&amp;BD$4)="N/A",0,RTD("tos.rtd",,"OPEN_INT","."&amp;$AB$3&amp;$AB$4&amp;"C"&amp;BD$4))*100 + MAX(0, BD$4-$A49)*IF(RTD("tos.rtd",,"OPEN_INT","."&amp;$AB$3&amp;$AB$4&amp;"P"&amp;BD$4)="N/A",0,RTD("tos.rtd",,"OPEN_INT","."&amp;$AB$3&amp;$AB$4&amp;"P"&amp;BD$4))*100</f>
        <v>6503350</v>
      </c>
      <c r="BE49" s="18">
        <f>MAX(0, $A49-BE$4)*IF(RTD("tos.rtd",,"OPEN_INT","."&amp;$AB$3&amp;$AB$4&amp;"C"&amp;BE$4)="N/A",0,RTD("tos.rtd",,"OPEN_INT","."&amp;$AB$3&amp;$AB$4&amp;"C"&amp;BE$4))*100 + MAX(0, BE$4-$A49)*IF(RTD("tos.rtd",,"OPEN_INT","."&amp;$AB$3&amp;$AB$4&amp;"P"&amp;BE$4)="N/A",0,RTD("tos.rtd",,"OPEN_INT","."&amp;$AB$3&amp;$AB$4&amp;"P"&amp;BE$4))*100</f>
        <v>7856800</v>
      </c>
      <c r="BF49" s="18">
        <f>MAX(0, $A49-BF$4)*IF(RTD("tos.rtd",,"OPEN_INT","."&amp;$AB$3&amp;$AB$4&amp;"C"&amp;BF$4)="N/A",0,RTD("tos.rtd",,"OPEN_INT","."&amp;$AB$3&amp;$AB$4&amp;"C"&amp;BF$4))*100 + MAX(0, BF$4-$A49)*IF(RTD("tos.rtd",,"OPEN_INT","."&amp;$AB$3&amp;$AB$4&amp;"P"&amp;BF$4)="N/A",0,RTD("tos.rtd",,"OPEN_INT","."&amp;$AB$3&amp;$AB$4&amp;"P"&amp;BF$4))*100</f>
        <v>8337000</v>
      </c>
      <c r="BG49" s="18">
        <f>MAX(0, $A49-BG$4)*IF(RTD("tos.rtd",,"OPEN_INT","."&amp;$AB$3&amp;$AB$4&amp;"C"&amp;BG$4)="N/A",0,RTD("tos.rtd",,"OPEN_INT","."&amp;$AB$3&amp;$AB$4&amp;"C"&amp;BG$4))*100 + MAX(0, BG$4-$A49)*IF(RTD("tos.rtd",,"OPEN_INT","."&amp;$AB$3&amp;$AB$4&amp;"P"&amp;BG$4)="N/A",0,RTD("tos.rtd",,"OPEN_INT","."&amp;$AB$3&amp;$AB$4&amp;"P"&amp;BG$4))*100</f>
        <v>9736300</v>
      </c>
      <c r="BH49" s="18">
        <f>MAX(0, $A49-BH$4)*IF(RTD("tos.rtd",,"OPEN_INT","."&amp;$AB$3&amp;$AB$4&amp;"C"&amp;BH$4)="N/A",0,RTD("tos.rtd",,"OPEN_INT","."&amp;$AB$3&amp;$AB$4&amp;"C"&amp;BH$4))*100 + MAX(0, BH$4-$A49)*IF(RTD("tos.rtd",,"OPEN_INT","."&amp;$AB$3&amp;$AB$4&amp;"P"&amp;BH$4)="N/A",0,RTD("tos.rtd",,"OPEN_INT","."&amp;$AB$3&amp;$AB$4&amp;"P"&amp;BH$4))*100</f>
        <v>5898750</v>
      </c>
      <c r="BI49" s="18">
        <f>MAX(0, $A49-BI$4)*IF(RTD("tos.rtd",,"OPEN_INT","."&amp;$AB$3&amp;$AB$4&amp;"C"&amp;BI$4)="N/A",0,RTD("tos.rtd",,"OPEN_INT","."&amp;$AB$3&amp;$AB$4&amp;"C"&amp;BI$4))*100 + MAX(0, BI$4-$A49)*IF(RTD("tos.rtd",,"OPEN_INT","."&amp;$AB$3&amp;$AB$4&amp;"P"&amp;BI$4)="N/A",0,RTD("tos.rtd",,"OPEN_INT","."&amp;$AB$3&amp;$AB$4&amp;"P"&amp;BI$4))*100</f>
        <v>3853800</v>
      </c>
      <c r="BJ49" s="18">
        <f>MAX(0, $A49-BJ$4)*IF(RTD("tos.rtd",,"OPEN_INT","."&amp;$AB$3&amp;$AB$4&amp;"C"&amp;BJ$4)="N/A",0,RTD("tos.rtd",,"OPEN_INT","."&amp;$AB$3&amp;$AB$4&amp;"C"&amp;BJ$4))*100 + MAX(0, BJ$4-$A49)*IF(RTD("tos.rtd",,"OPEN_INT","."&amp;$AB$3&amp;$AB$4&amp;"P"&amp;BJ$4)="N/A",0,RTD("tos.rtd",,"OPEN_INT","."&amp;$AB$3&amp;$AB$4&amp;"P"&amp;BJ$4))*100</f>
        <v>4413750</v>
      </c>
      <c r="BK49" s="18">
        <f>MAX(0, $A49-BK$4)*IF(RTD("tos.rtd",,"OPEN_INT","."&amp;$AB$3&amp;$AB$4&amp;"C"&amp;BK$4)="N/A",0,RTD("tos.rtd",,"OPEN_INT","."&amp;$AB$3&amp;$AB$4&amp;"C"&amp;BK$4))*100 + MAX(0, BK$4-$A49)*IF(RTD("tos.rtd",,"OPEN_INT","."&amp;$AB$3&amp;$AB$4&amp;"P"&amp;BK$4)="N/A",0,RTD("tos.rtd",,"OPEN_INT","."&amp;$AB$3&amp;$AB$4&amp;"P"&amp;BK$4))*100</f>
        <v>1091500</v>
      </c>
      <c r="BL49" s="18">
        <f>MAX(0, $A49-BL$4)*IF(RTD("tos.rtd",,"OPEN_INT","."&amp;$AB$3&amp;$AB$4&amp;"C"&amp;BL$4)="N/A",0,RTD("tos.rtd",,"OPEN_INT","."&amp;$AB$3&amp;$AB$4&amp;"C"&amp;BL$4))*100 + MAX(0, BL$4-$A49)*IF(RTD("tos.rtd",,"OPEN_INT","."&amp;$AB$3&amp;$AB$4&amp;"P"&amp;BL$4)="N/A",0,RTD("tos.rtd",,"OPEN_INT","."&amp;$AB$3&amp;$AB$4&amp;"P"&amp;BL$4))*100</f>
        <v>1053000</v>
      </c>
      <c r="BM49" s="18">
        <f>MAX(0, $A49-BM$4)*IF(RTD("tos.rtd",,"OPEN_INT","."&amp;$AB$3&amp;$AB$4&amp;"C"&amp;BM$4)="N/A",0,RTD("tos.rtd",,"OPEN_INT","."&amp;$AB$3&amp;$AB$4&amp;"C"&amp;BM$4))*100 + MAX(0, BM$4-$A49)*IF(RTD("tos.rtd",,"OPEN_INT","."&amp;$AB$3&amp;$AB$4&amp;"P"&amp;BM$4)="N/A",0,RTD("tos.rtd",,"OPEN_INT","."&amp;$AB$3&amp;$AB$4&amp;"P"&amp;BM$4))*100</f>
        <v>156800</v>
      </c>
      <c r="BN49" s="18">
        <f>MAX(0, $A49-BN$4)*IF(RTD("tos.rtd",,"OPEN_INT","."&amp;$AB$3&amp;$AB$4&amp;"C"&amp;BN$4)="N/A",0,RTD("tos.rtd",,"OPEN_INT","."&amp;$AB$3&amp;$AB$4&amp;"C"&amp;BN$4))*100 + MAX(0, BN$4-$A49)*IF(RTD("tos.rtd",,"OPEN_INT","."&amp;$AB$3&amp;$AB$4&amp;"P"&amp;BN$4)="N/A",0,RTD("tos.rtd",,"OPEN_INT","."&amp;$AB$3&amp;$AB$4&amp;"P"&amp;BN$4))*100</f>
        <v>152250</v>
      </c>
      <c r="BO49" s="18">
        <f>MAX(0, $A49-BO$4)*IF(RTD("tos.rtd",,"OPEN_INT","."&amp;$AB$3&amp;$AB$4&amp;"C"&amp;BO$4)="N/A",0,RTD("tos.rtd",,"OPEN_INT","."&amp;$AB$3&amp;$AB$4&amp;"C"&amp;BO$4))*100 + MAX(0, BO$4-$A49)*IF(RTD("tos.rtd",,"OPEN_INT","."&amp;$AB$3&amp;$AB$4&amp;"P"&amp;BO$4)="N/A",0,RTD("tos.rtd",,"OPEN_INT","."&amp;$AB$3&amp;$AB$4&amp;"P"&amp;BO$4))*100</f>
        <v>18900</v>
      </c>
      <c r="BP49" s="18">
        <f>MAX(0, $A49-BP$4)*IF(RTD("tos.rtd",,"OPEN_INT","."&amp;$AB$3&amp;$AB$4&amp;"C"&amp;BP$4)="N/A",0,RTD("tos.rtd",,"OPEN_INT","."&amp;$AB$3&amp;$AB$4&amp;"C"&amp;BP$4))*100 + MAX(0, BP$4-$A49)*IF(RTD("tos.rtd",,"OPEN_INT","."&amp;$AB$3&amp;$AB$4&amp;"P"&amp;BP$4)="N/A",0,RTD("tos.rtd",,"OPEN_INT","."&amp;$AB$3&amp;$AB$4&amp;"P"&amp;BP$4))*100</f>
        <v>111500</v>
      </c>
      <c r="BQ49" s="18">
        <f>MAX(0, $A49-BQ$4)*IF(RTD("tos.rtd",,"OPEN_INT","."&amp;$AB$3&amp;$AB$4&amp;"C"&amp;BQ$4)="N/A",0,RTD("tos.rtd",,"OPEN_INT","."&amp;$AB$3&amp;$AB$4&amp;"C"&amp;BQ$4))*100 + MAX(0, BQ$4-$A49)*IF(RTD("tos.rtd",,"OPEN_INT","."&amp;$AB$3&amp;$AB$4&amp;"P"&amp;BQ$4)="N/A",0,RTD("tos.rtd",,"OPEN_INT","."&amp;$AB$3&amp;$AB$4&amp;"P"&amp;BQ$4))*100</f>
        <v>0</v>
      </c>
      <c r="BR49" s="18">
        <f>MAX(0, $A49-BR$4)*IF(RTD("tos.rtd",,"OPEN_INT","."&amp;$AB$3&amp;$AB$4&amp;"C"&amp;BR$4)="N/A",0,RTD("tos.rtd",,"OPEN_INT","."&amp;$AB$3&amp;$AB$4&amp;"C"&amp;BR$4))*100 + MAX(0, BR$4-$A49)*IF(RTD("tos.rtd",,"OPEN_INT","."&amp;$AB$3&amp;$AB$4&amp;"P"&amp;BR$4)="N/A",0,RTD("tos.rtd",,"OPEN_INT","."&amp;$AB$3&amp;$AB$4&amp;"P"&amp;BR$4))*100</f>
        <v>0</v>
      </c>
      <c r="BS49" s="18">
        <f>MAX(0, $A49-BS$4)*IF(RTD("tos.rtd",,"OPEN_INT","."&amp;$AB$3&amp;$AB$4&amp;"C"&amp;BS$4)="N/A",0,RTD("tos.rtd",,"OPEN_INT","."&amp;$AB$3&amp;$AB$4&amp;"C"&amp;BS$4))*100 + MAX(0, BS$4-$A49)*IF(RTD("tos.rtd",,"OPEN_INT","."&amp;$AB$3&amp;$AB$4&amp;"P"&amp;BS$4)="N/A",0,RTD("tos.rtd",,"OPEN_INT","."&amp;$AB$3&amp;$AB$4&amp;"P"&amp;BS$4))*100</f>
        <v>0</v>
      </c>
      <c r="BT49" s="18">
        <f>MAX(0, $A49-BT$4)*IF(RTD("tos.rtd",,"OPEN_INT","."&amp;$AB$3&amp;$AB$4&amp;"C"&amp;BT$4)="N/A",0,RTD("tos.rtd",,"OPEN_INT","."&amp;$AB$3&amp;$AB$4&amp;"C"&amp;BT$4))*100 + MAX(0, BT$4-$A49)*IF(RTD("tos.rtd",,"OPEN_INT","."&amp;$AB$3&amp;$AB$4&amp;"P"&amp;BT$4)="N/A",0,RTD("tos.rtd",,"OPEN_INT","."&amp;$AB$3&amp;$AB$4&amp;"P"&amp;BT$4))*100</f>
        <v>0</v>
      </c>
      <c r="BU49" s="18">
        <f>MAX(0, $A49-BU$4)*IF(RTD("tos.rtd",,"OPEN_INT","."&amp;$AB$3&amp;$AB$4&amp;"C"&amp;BU$4)="N/A",0,RTD("tos.rtd",,"OPEN_INT","."&amp;$AB$3&amp;$AB$4&amp;"C"&amp;BU$4))*100 + MAX(0, BU$4-$A49)*IF(RTD("tos.rtd",,"OPEN_INT","."&amp;$AB$3&amp;$AB$4&amp;"P"&amp;BU$4)="N/A",0,RTD("tos.rtd",,"OPEN_INT","."&amp;$AB$3&amp;$AB$4&amp;"P"&amp;BU$4))*100</f>
        <v>0</v>
      </c>
      <c r="BV49" s="18">
        <f>MAX(0, $A49-BV$4)*IF(RTD("tos.rtd",,"OPEN_INT","."&amp;$AB$3&amp;$AB$4&amp;"C"&amp;BV$4)="N/A",0,RTD("tos.rtd",,"OPEN_INT","."&amp;$AB$3&amp;$AB$4&amp;"C"&amp;BV$4))*100 + MAX(0, BV$4-$A49)*IF(RTD("tos.rtd",,"OPEN_INT","."&amp;$AB$3&amp;$AB$4&amp;"P"&amp;BV$4)="N/A",0,RTD("tos.rtd",,"OPEN_INT","."&amp;$AB$3&amp;$AB$4&amp;"P"&amp;BV$4))*100</f>
        <v>0</v>
      </c>
      <c r="BW49" s="18">
        <f>MAX(0, $A49-BW$4)*IF(RTD("tos.rtd",,"OPEN_INT","."&amp;$AB$3&amp;$AB$4&amp;"C"&amp;BW$4)="N/A",0,RTD("tos.rtd",,"OPEN_INT","."&amp;$AB$3&amp;$AB$4&amp;"C"&amp;BW$4))*100 + MAX(0, BW$4-$A49)*IF(RTD("tos.rtd",,"OPEN_INT","."&amp;$AB$3&amp;$AB$4&amp;"P"&amp;BW$4)="N/A",0,RTD("tos.rtd",,"OPEN_INT","."&amp;$AB$3&amp;$AB$4&amp;"P"&amp;BW$4))*100</f>
        <v>0</v>
      </c>
    </row>
    <row r="50" spans="1:75" s="19" customFormat="1" ht="11.1" customHeight="1" thickBot="1" x14ac:dyDescent="0.3">
      <c r="A50" s="23">
        <f t="shared" si="12"/>
        <v>-1</v>
      </c>
      <c r="B50" s="14">
        <f ca="1">IF($A$2="PREMIUM_OI",IFERROR(IF($X$1="ABS",(100*RTD("tos.rtd",,"OPEN_INT","."&amp;B$2&amp;B$1&amp;"C"&amp;$A50)*RTD("tos.rtd",,"LAST","."&amp;B$2&amp;B$1&amp;"C"&amp;$A50)+100*RTD("tos.rtd",,"OPEN_INT","."&amp;B$2&amp;B$1&amp;"P"&amp;$A50)*RTD("tos.rtd",,"LAST","."&amp;B$2&amp;B$1&amp;"P"&amp;$A50))/1000000,(100*RTD("tos.rtd",,"OPEN_INT","."&amp;B$2&amp;B$1&amp;"C"&amp;$A50)*RTD("tos.rtd",,"LAST","."&amp;B$2&amp;B$1&amp;"C"&amp;$A50)-100*RTD("tos.rtd",,"OPEN_INT","."&amp;B$2&amp;B$1&amp;"P"&amp;$A50)*RTD("tos.rtd",,"LAST","."&amp;B$2&amp;B$1&amp;"P"&amp;$A50))/1000000),0),IF($A$2="PREMIUM",IFERROR(IF($X$1="ABS",(100*RTD("tos.rtd",,"VOLUME","."&amp;B$2&amp;B$1&amp;"C"&amp;$A50)*RTD("tos.rtd",,"LAST","."&amp;B$2&amp;B$1&amp;"C"&amp;$A50)+100*RTD("tos.rtd",,"VOLUME","."&amp;B$2&amp;B$1&amp;"P"&amp;$A50)*RTD("tos.rtd",,"LAST","."&amp;B$2&amp;B$1&amp;"P"&amp;$A50))/1000000,(100*RTD("tos.rtd",,"VOLUME","."&amp;B$2&amp;B$1&amp;"C"&amp;$A50)*RTD("tos.rtd",,"LAST","."&amp;B$2&amp;B$1&amp;"C"&amp;$A50)-100*RTD("tos.rtd",,"VOLUME","."&amp;B$2&amp;B$1&amp;"P"&amp;$A50)*RTD("tos.rtd",,"LAST","."&amp;B$2&amp;B$1&amp;"P"&amp;$A50))/1000000),0),IF($A$2="DEX",IFERROR(IF($X$1="ABS",(100*RTD("tos.rtd",,"OPEN_INT","."&amp;B$2&amp;B$1&amp;"C"&amp;$A50)*RTD("tos.rtd",,"DELTA","."&amp;B$2&amp;B$1&amp;"C"&amp;$A50)+100*RTD("tos.rtd",,"OPEN_INT","."&amp;B$2&amp;B$1&amp;"P"&amp;$A50)*RTD("tos.rtd",,"DELTA","."&amp;B$2&amp;B$1&amp;"P"&amp;$A50))/1000,(100*RTD("tos.rtd",,"OPEN_INT","."&amp;B$2&amp;B$1&amp;"C"&amp;$A50)*RTD("tos.rtd",,"DELTA","."&amp;B$2&amp;B$1&amp;"C"&amp;$A50)-100*RTD("tos.rtd",,"OPEN_INT","."&amp;B$2&amp;B$1&amp;"P"&amp;$A50)*RTD("tos.rtd",,"DELTA","."&amp;B$2&amp;B$1&amp;"P"&amp;$A50))/1000),0),IF($A$2="VEX",IFERROR(IF($X$1="ABS",($A$4*$A$4*RTD("tos.rtd",,"VOLUME","."&amp;B$2&amp;B$1&amp;"C"&amp;$A50)*RTD("tos.rtd",,"GAMMA","."&amp;B$2&amp;B$1&amp;"C"&amp;$A50)+$A$4*$A$4*RTD("tos.rtd",,"VOLUME","."&amp;B$2&amp;B$1&amp;"P"&amp;$A50)*RTD("tos.rtd",,"GAMMA","."&amp;B$2&amp;B$1&amp;"P"&amp;$A50))/1000000,($A$4*$A$4*RTD("tos.rtd",,"VOLUME","."&amp;B$2&amp;B$1&amp;"C"&amp;$A50)*RTD("tos.rtd",,"GAMMA","."&amp;B$2&amp;B$1&amp;"C"&amp;$A50)-$A$4*$A$4*RTD("tos.rtd",,"VOLUME","."&amp;B$2&amp;B$1&amp;"P"&amp;$A50)*RTD("tos.rtd",,"GAMMA","."&amp;B$2&amp;B$1&amp;"P"&amp;$A50))/1000000),0),IF($A$2="GEX",IFERROR(IF($X$1="ABS",($A$4*$A$4*RTD("tos.rtd",,"OPEN_INT","."&amp;B$2&amp;B$1&amp;"C"&amp;$A50)*RTD("tos.rtd",,"GAMMA","."&amp;B$2&amp;B$1&amp;"C"&amp;$A50)+$A$4*$A$4*RTD("tos.rtd",,"OPEN_INT","."&amp;B$2&amp;B$1&amp;"P"&amp;$A50)*RTD("tos.rtd",,"GAMMA","."&amp;B$2&amp;B$1&amp;"P"&amp;$A50))/1000000,($A$4*$A$4*RTD("tos.rtd",,"OPEN_INT","."&amp;B$2&amp;B$1&amp;"C"&amp;$A50)*RTD("tos.rtd",,"GAMMA","."&amp;B$2&amp;B$1&amp;"C"&amp;$A50)-$A$4*$A$4*RTD("tos.rtd",,"OPEN_INT","."&amp;B$2&amp;B$1&amp;"P"&amp;$A50)*RTD("tos.rtd",,"GAMMA","."&amp;B$2&amp;B$1&amp;"P"&amp;$A50))/1000000),0),IF($A$2="SKEW",IFERROR(VALUE(IF(RTD("tos.rtd",,"IMPL_VOL","."&amp;B$2&amp;B$1&amp;"P"&amp;$A50)="N/A",0,RTD("tos.rtd",,"IMPL_VOL","."&amp;B$2&amp;B$1&amp;"P"&amp;$A50))),0)-IFERROR(VALUE(IF(RTD("tos.rtd",,"IMPL_VOL","."&amp;B$2&amp;B$1&amp;"C"&amp;$A50)="N/A",0,RTD("tos.rtd",,"IMPL_VOL","."&amp;B$2&amp;B$1&amp;"C"&amp;$A50))),0),IF($A$2="MAXPAIN",IF($A$4&gt;$A50,($A$4-$A50)*IF(RTD("tos.rtd",,"OPEN_INT","."&amp;B$2&amp;B$1&amp;"C"&amp;$A50)="N/A",0,RTD("tos.rtd",,"OPEN_INT","."&amp;B$2&amp;B$1&amp;"C"&amp;$A50)),0)+IF($A$4&lt;$A50,($A$5-$A$4)*IF(RTD("tos.rtd",,"OPEN_INT","."&amp;B$2&amp;B$1&amp;"P"&amp;$A50)="N/A",0,RTD("tos.rtd",,"OPEN_INT","."&amp;B$2&amp;B$1&amp;"P"&amp;$A50)),0),IF($X$1="ABS",IF(RTD("tos.rtd",,$A$2,"."&amp;B$2&amp;B$1&amp;"C"&amp;$A50)="N/A",0,RTD("tos.rtd",,$A$2,"."&amp;B$2&amp;B$1&amp;"C"&amp;$A50))+IF(RTD("tos.rtd",,$A$2,"."&amp;B$2&amp;B$1&amp;"P"&amp;$A50)="N/A",0,RTD("tos.rtd",,$A$2,"."&amp;B$2&amp;B$1&amp;"P"&amp;$A50)),IF(RTD("tos.rtd",,$A$2,"."&amp;B$2&amp;B$1&amp;"C"&amp;$A50)="N/A",0,RTD("tos.rtd",,$A$2,"."&amp;B$2&amp;B$1&amp;"C"&amp;$A50))-IF(RTD("tos.rtd",,$A$2,"."&amp;B$2&amp;B$1&amp;"P"&amp;$A50)="N/A",0,RTD("tos.rtd",,$A$2,"."&amp;B$2&amp;B$1&amp;"P"&amp;$A50))))))))))</f>
        <v>0</v>
      </c>
      <c r="C50" s="14">
        <f ca="1">IF($A$2="PREMIUM_OI",IFERROR(IF($X$1="ABS",(100*RTD("tos.rtd",,"OPEN_INT","."&amp;C$2&amp;C$1&amp;"C"&amp;$A50)*RTD("tos.rtd",,"LAST","."&amp;C$2&amp;C$1&amp;"C"&amp;$A50)+100*RTD("tos.rtd",,"OPEN_INT","."&amp;C$2&amp;C$1&amp;"P"&amp;$A50)*RTD("tos.rtd",,"LAST","."&amp;C$2&amp;C$1&amp;"P"&amp;$A50))/1000000,(100*RTD("tos.rtd",,"OPEN_INT","."&amp;C$2&amp;C$1&amp;"C"&amp;$A50)*RTD("tos.rtd",,"LAST","."&amp;C$2&amp;C$1&amp;"C"&amp;$A50)-100*RTD("tos.rtd",,"OPEN_INT","."&amp;C$2&amp;C$1&amp;"P"&amp;$A50)*RTD("tos.rtd",,"LAST","."&amp;C$2&amp;C$1&amp;"P"&amp;$A50))/1000000),0),IF($A$2="PREMIUM",IFERROR(IF($X$1="ABS",(100*RTD("tos.rtd",,"VOLUME","."&amp;C$2&amp;C$1&amp;"C"&amp;$A50)*RTD("tos.rtd",,"LAST","."&amp;C$2&amp;C$1&amp;"C"&amp;$A50)+100*RTD("tos.rtd",,"VOLUME","."&amp;C$2&amp;C$1&amp;"P"&amp;$A50)*RTD("tos.rtd",,"LAST","."&amp;C$2&amp;C$1&amp;"P"&amp;$A50))/1000000,(100*RTD("tos.rtd",,"VOLUME","."&amp;C$2&amp;C$1&amp;"C"&amp;$A50)*RTD("tos.rtd",,"LAST","."&amp;C$2&amp;C$1&amp;"C"&amp;$A50)-100*RTD("tos.rtd",,"VOLUME","."&amp;C$2&amp;C$1&amp;"P"&amp;$A50)*RTD("tos.rtd",,"LAST","."&amp;C$2&amp;C$1&amp;"P"&amp;$A50))/1000000),0),IF($A$2="DEX",IFERROR(IF($X$1="ABS",(100*RTD("tos.rtd",,"OPEN_INT","."&amp;C$2&amp;C$1&amp;"C"&amp;$A50)*RTD("tos.rtd",,"DELTA","."&amp;C$2&amp;C$1&amp;"C"&amp;$A50)+100*RTD("tos.rtd",,"OPEN_INT","."&amp;C$2&amp;C$1&amp;"P"&amp;$A50)*RTD("tos.rtd",,"DELTA","."&amp;C$2&amp;C$1&amp;"P"&amp;$A50))/1000,(100*RTD("tos.rtd",,"OPEN_INT","."&amp;C$2&amp;C$1&amp;"C"&amp;$A50)*RTD("tos.rtd",,"DELTA","."&amp;C$2&amp;C$1&amp;"C"&amp;$A50)-100*RTD("tos.rtd",,"OPEN_INT","."&amp;C$2&amp;C$1&amp;"P"&amp;$A50)*RTD("tos.rtd",,"DELTA","."&amp;C$2&amp;C$1&amp;"P"&amp;$A50))/1000),0),IF($A$2="VEX",IFERROR(IF($X$1="ABS",($A$4*$A$4*RTD("tos.rtd",,"VOLUME","."&amp;C$2&amp;C$1&amp;"C"&amp;$A50)*RTD("tos.rtd",,"GAMMA","."&amp;C$2&amp;C$1&amp;"C"&amp;$A50)+$A$4*$A$4*RTD("tos.rtd",,"VOLUME","."&amp;C$2&amp;C$1&amp;"P"&amp;$A50)*RTD("tos.rtd",,"GAMMA","."&amp;C$2&amp;C$1&amp;"P"&amp;$A50))/1000000,($A$4*$A$4*RTD("tos.rtd",,"VOLUME","."&amp;C$2&amp;C$1&amp;"C"&amp;$A50)*RTD("tos.rtd",,"GAMMA","."&amp;C$2&amp;C$1&amp;"C"&amp;$A50)-$A$4*$A$4*RTD("tos.rtd",,"VOLUME","."&amp;C$2&amp;C$1&amp;"P"&amp;$A50)*RTD("tos.rtd",,"GAMMA","."&amp;C$2&amp;C$1&amp;"P"&amp;$A50))/1000000),0),IF($A$2="GEX",IFERROR(IF($X$1="ABS",($A$4*$A$4*RTD("tos.rtd",,"OPEN_INT","."&amp;C$2&amp;C$1&amp;"C"&amp;$A50)*RTD("tos.rtd",,"GAMMA","."&amp;C$2&amp;C$1&amp;"C"&amp;$A50)+$A$4*$A$4*RTD("tos.rtd",,"OPEN_INT","."&amp;C$2&amp;C$1&amp;"P"&amp;$A50)*RTD("tos.rtd",,"GAMMA","."&amp;C$2&amp;C$1&amp;"P"&amp;$A50))/1000000,($A$4*$A$4*RTD("tos.rtd",,"OPEN_INT","."&amp;C$2&amp;C$1&amp;"C"&amp;$A50)*RTD("tos.rtd",,"GAMMA","."&amp;C$2&amp;C$1&amp;"C"&amp;$A50)-$A$4*$A$4*RTD("tos.rtd",,"OPEN_INT","."&amp;C$2&amp;C$1&amp;"P"&amp;$A50)*RTD("tos.rtd",,"GAMMA","."&amp;C$2&amp;C$1&amp;"P"&amp;$A50))/1000000),0),IF($A$2="SKEW",IFERROR(VALUE(IF(RTD("tos.rtd",,"IMPL_VOL","."&amp;C$2&amp;C$1&amp;"P"&amp;$A50)="N/A",0,RTD("tos.rtd",,"IMPL_VOL","."&amp;C$2&amp;C$1&amp;"P"&amp;$A50))),0)-IFERROR(VALUE(IF(RTD("tos.rtd",,"IMPL_VOL","."&amp;C$2&amp;C$1&amp;"C"&amp;$A50)="N/A",0,RTD("tos.rtd",,"IMPL_VOL","."&amp;C$2&amp;C$1&amp;"C"&amp;$A50))),0),IF($A$2="MAXPAIN",IF($A$4&gt;$A50,($A$4-$A50)*IF(RTD("tos.rtd",,"OPEN_INT","."&amp;C$2&amp;C$1&amp;"C"&amp;$A50)="N/A",0,RTD("tos.rtd",,"OPEN_INT","."&amp;C$2&amp;C$1&amp;"C"&amp;$A50)),0)+IF($A$4&lt;$A50,($A$5-$A$4)*IF(RTD("tos.rtd",,"OPEN_INT","."&amp;C$2&amp;C$1&amp;"P"&amp;$A50)="N/A",0,RTD("tos.rtd",,"OPEN_INT","."&amp;C$2&amp;C$1&amp;"P"&amp;$A50)),0),IF($X$1="ABS",IF(RTD("tos.rtd",,$A$2,"."&amp;C$2&amp;C$1&amp;"C"&amp;$A50)="N/A",0,RTD("tos.rtd",,$A$2,"."&amp;C$2&amp;C$1&amp;"C"&amp;$A50))+IF(RTD("tos.rtd",,$A$2,"."&amp;C$2&amp;C$1&amp;"P"&amp;$A50)="N/A",0,RTD("tos.rtd",,$A$2,"."&amp;C$2&amp;C$1&amp;"P"&amp;$A50)),IF(RTD("tos.rtd",,$A$2,"."&amp;C$2&amp;C$1&amp;"C"&amp;$A50)="N/A",0,RTD("tos.rtd",,$A$2,"."&amp;C$2&amp;C$1&amp;"C"&amp;$A50))-IF(RTD("tos.rtd",,$A$2,"."&amp;C$2&amp;C$1&amp;"P"&amp;$A50)="N/A",0,RTD("tos.rtd",,$A$2,"."&amp;C$2&amp;C$1&amp;"P"&amp;$A50))))))))))</f>
        <v>0</v>
      </c>
      <c r="D50" s="12">
        <f ca="1">IF($A$2="PREMIUM_OI",IFERROR(IF($X$1="ABS",(100*RTD("tos.rtd",,"OPEN_INT","."&amp;D$2&amp;D$1&amp;"C"&amp;$A50)*RTD("tos.rtd",,"LAST","."&amp;D$2&amp;D$1&amp;"C"&amp;$A50)+100*RTD("tos.rtd",,"OPEN_INT","."&amp;D$2&amp;D$1&amp;"P"&amp;$A50)*RTD("tos.rtd",,"LAST","."&amp;D$2&amp;D$1&amp;"P"&amp;$A50))/1000000,(100*RTD("tos.rtd",,"OPEN_INT","."&amp;D$2&amp;D$1&amp;"C"&amp;$A50)*RTD("tos.rtd",,"LAST","."&amp;D$2&amp;D$1&amp;"C"&amp;$A50)-100*RTD("tos.rtd",,"OPEN_INT","."&amp;D$2&amp;D$1&amp;"P"&amp;$A50)*RTD("tos.rtd",,"LAST","."&amp;D$2&amp;D$1&amp;"P"&amp;$A50))/1000000),0),IF($A$2="PREMIUM",IFERROR(IF($X$1="ABS",(100*RTD("tos.rtd",,"VOLUME","."&amp;D$2&amp;D$1&amp;"C"&amp;$A50)*RTD("tos.rtd",,"LAST","."&amp;D$2&amp;D$1&amp;"C"&amp;$A50)+100*RTD("tos.rtd",,"VOLUME","."&amp;D$2&amp;D$1&amp;"P"&amp;$A50)*RTD("tos.rtd",,"LAST","."&amp;D$2&amp;D$1&amp;"P"&amp;$A50))/1000000,(100*RTD("tos.rtd",,"VOLUME","."&amp;D$2&amp;D$1&amp;"C"&amp;$A50)*RTD("tos.rtd",,"LAST","."&amp;D$2&amp;D$1&amp;"C"&amp;$A50)-100*RTD("tos.rtd",,"VOLUME","."&amp;D$2&amp;D$1&amp;"P"&amp;$A50)*RTD("tos.rtd",,"LAST","."&amp;D$2&amp;D$1&amp;"P"&amp;$A50))/1000000),0),IF($A$2="DEX",IFERROR(IF($X$1="ABS",(100*RTD("tos.rtd",,"OPEN_INT","."&amp;D$2&amp;D$1&amp;"C"&amp;$A50)*RTD("tos.rtd",,"DELTA","."&amp;D$2&amp;D$1&amp;"C"&amp;$A50)+100*RTD("tos.rtd",,"OPEN_INT","."&amp;D$2&amp;D$1&amp;"P"&amp;$A50)*RTD("tos.rtd",,"DELTA","."&amp;D$2&amp;D$1&amp;"P"&amp;$A50))/1000,(100*RTD("tos.rtd",,"OPEN_INT","."&amp;D$2&amp;D$1&amp;"C"&amp;$A50)*RTD("tos.rtd",,"DELTA","."&amp;D$2&amp;D$1&amp;"C"&amp;$A50)-100*RTD("tos.rtd",,"OPEN_INT","."&amp;D$2&amp;D$1&amp;"P"&amp;$A50)*RTD("tos.rtd",,"DELTA","."&amp;D$2&amp;D$1&amp;"P"&amp;$A50))/1000),0),IF($A$2="VEX",IFERROR(IF($X$1="ABS",($A$4*$A$4*RTD("tos.rtd",,"VOLUME","."&amp;D$2&amp;D$1&amp;"C"&amp;$A50)*RTD("tos.rtd",,"GAMMA","."&amp;D$2&amp;D$1&amp;"C"&amp;$A50)+$A$4*$A$4*RTD("tos.rtd",,"VOLUME","."&amp;D$2&amp;D$1&amp;"P"&amp;$A50)*RTD("tos.rtd",,"GAMMA","."&amp;D$2&amp;D$1&amp;"P"&amp;$A50))/1000000,($A$4*$A$4*RTD("tos.rtd",,"VOLUME","."&amp;D$2&amp;D$1&amp;"C"&amp;$A50)*RTD("tos.rtd",,"GAMMA","."&amp;D$2&amp;D$1&amp;"C"&amp;$A50)-$A$4*$A$4*RTD("tos.rtd",,"VOLUME","."&amp;D$2&amp;D$1&amp;"P"&amp;$A50)*RTD("tos.rtd",,"GAMMA","."&amp;D$2&amp;D$1&amp;"P"&amp;$A50))/1000000),0),IF($A$2="GEX",IFERROR(IF($X$1="ABS",($A$4*$A$4*RTD("tos.rtd",,"OPEN_INT","."&amp;D$2&amp;D$1&amp;"C"&amp;$A50)*RTD("tos.rtd",,"GAMMA","."&amp;D$2&amp;D$1&amp;"C"&amp;$A50)+$A$4*$A$4*RTD("tos.rtd",,"OPEN_INT","."&amp;D$2&amp;D$1&amp;"P"&amp;$A50)*RTD("tos.rtd",,"GAMMA","."&amp;D$2&amp;D$1&amp;"P"&amp;$A50))/1000000,($A$4*$A$4*RTD("tos.rtd",,"OPEN_INT","."&amp;D$2&amp;D$1&amp;"C"&amp;$A50)*RTD("tos.rtd",,"GAMMA","."&amp;D$2&amp;D$1&amp;"C"&amp;$A50)-$A$4*$A$4*RTD("tos.rtd",,"OPEN_INT","."&amp;D$2&amp;D$1&amp;"P"&amp;$A50)*RTD("tos.rtd",,"GAMMA","."&amp;D$2&amp;D$1&amp;"P"&amp;$A50))/1000000),0),IF($A$2="SKEW",IFERROR(VALUE(IF(RTD("tos.rtd",,"IMPL_VOL","."&amp;D$2&amp;D$1&amp;"P"&amp;$A50)="N/A",0,RTD("tos.rtd",,"IMPL_VOL","."&amp;D$2&amp;D$1&amp;"P"&amp;$A50))),0)-IFERROR(VALUE(IF(RTD("tos.rtd",,"IMPL_VOL","."&amp;D$2&amp;D$1&amp;"C"&amp;$A50)="N/A",0,RTD("tos.rtd",,"IMPL_VOL","."&amp;D$2&amp;D$1&amp;"C"&amp;$A50))),0),IF($A$2="MAXPAIN",IF($A$4&gt;$A50,($A$4-$A50)*IF(RTD("tos.rtd",,"OPEN_INT","."&amp;D$2&amp;D$1&amp;"C"&amp;$A50)="N/A",0,RTD("tos.rtd",,"OPEN_INT","."&amp;D$2&amp;D$1&amp;"C"&amp;$A50)),0)+IF($A$4&lt;$A50,($A$5-$A$4)*IF(RTD("tos.rtd",,"OPEN_INT","."&amp;D$2&amp;D$1&amp;"P"&amp;$A50)="N/A",0,RTD("tos.rtd",,"OPEN_INT","."&amp;D$2&amp;D$1&amp;"P"&amp;$A50)),0),IF($X$1="ABS",IF(RTD("tos.rtd",,$A$2,"."&amp;D$2&amp;D$1&amp;"C"&amp;$A50)="N/A",0,RTD("tos.rtd",,$A$2,"."&amp;D$2&amp;D$1&amp;"C"&amp;$A50))+IF(RTD("tos.rtd",,$A$2,"."&amp;D$2&amp;D$1&amp;"P"&amp;$A50)="N/A",0,RTD("tos.rtd",,$A$2,"."&amp;D$2&amp;D$1&amp;"P"&amp;$A50)),IF(RTD("tos.rtd",,$A$2,"."&amp;D$2&amp;D$1&amp;"C"&amp;$A50)="N/A",0,RTD("tos.rtd",,$A$2,"."&amp;D$2&amp;D$1&amp;"C"&amp;$A50))-IF(RTD("tos.rtd",,$A$2,"."&amp;D$2&amp;D$1&amp;"P"&amp;$A50)="N/A",0,RTD("tos.rtd",,$A$2,"."&amp;D$2&amp;D$1&amp;"P"&amp;$A50))))))))))</f>
        <v>0</v>
      </c>
      <c r="E50" s="12">
        <f ca="1">IF($A$2="PREMIUM_OI",IFERROR(IF($X$1="ABS",(100*RTD("tos.rtd",,"OPEN_INT","."&amp;E$2&amp;E$1&amp;"C"&amp;$A50)*RTD("tos.rtd",,"LAST","."&amp;E$2&amp;E$1&amp;"C"&amp;$A50)+100*RTD("tos.rtd",,"OPEN_INT","."&amp;E$2&amp;E$1&amp;"P"&amp;$A50)*RTD("tos.rtd",,"LAST","."&amp;E$2&amp;E$1&amp;"P"&amp;$A50))/1000000,(100*RTD("tos.rtd",,"OPEN_INT","."&amp;E$2&amp;E$1&amp;"C"&amp;$A50)*RTD("tos.rtd",,"LAST","."&amp;E$2&amp;E$1&amp;"C"&amp;$A50)-100*RTD("tos.rtd",,"OPEN_INT","."&amp;E$2&amp;E$1&amp;"P"&amp;$A50)*RTD("tos.rtd",,"LAST","."&amp;E$2&amp;E$1&amp;"P"&amp;$A50))/1000000),0),IF($A$2="PREMIUM",IFERROR(IF($X$1="ABS",(100*RTD("tos.rtd",,"VOLUME","."&amp;E$2&amp;E$1&amp;"C"&amp;$A50)*RTD("tos.rtd",,"LAST","."&amp;E$2&amp;E$1&amp;"C"&amp;$A50)+100*RTD("tos.rtd",,"VOLUME","."&amp;E$2&amp;E$1&amp;"P"&amp;$A50)*RTD("tos.rtd",,"LAST","."&amp;E$2&amp;E$1&amp;"P"&amp;$A50))/1000000,(100*RTD("tos.rtd",,"VOLUME","."&amp;E$2&amp;E$1&amp;"C"&amp;$A50)*RTD("tos.rtd",,"LAST","."&amp;E$2&amp;E$1&amp;"C"&amp;$A50)-100*RTD("tos.rtd",,"VOLUME","."&amp;E$2&amp;E$1&amp;"P"&amp;$A50)*RTD("tos.rtd",,"LAST","."&amp;E$2&amp;E$1&amp;"P"&amp;$A50))/1000000),0),IF($A$2="DEX",IFERROR(IF($X$1="ABS",(100*RTD("tos.rtd",,"OPEN_INT","."&amp;E$2&amp;E$1&amp;"C"&amp;$A50)*RTD("tos.rtd",,"DELTA","."&amp;E$2&amp;E$1&amp;"C"&amp;$A50)+100*RTD("tos.rtd",,"OPEN_INT","."&amp;E$2&amp;E$1&amp;"P"&amp;$A50)*RTD("tos.rtd",,"DELTA","."&amp;E$2&amp;E$1&amp;"P"&amp;$A50))/1000,(100*RTD("tos.rtd",,"OPEN_INT","."&amp;E$2&amp;E$1&amp;"C"&amp;$A50)*RTD("tos.rtd",,"DELTA","."&amp;E$2&amp;E$1&amp;"C"&amp;$A50)-100*RTD("tos.rtd",,"OPEN_INT","."&amp;E$2&amp;E$1&amp;"P"&amp;$A50)*RTD("tos.rtd",,"DELTA","."&amp;E$2&amp;E$1&amp;"P"&amp;$A50))/1000),0),IF($A$2="VEX",IFERROR(IF($X$1="ABS",($A$4*$A$4*RTD("tos.rtd",,"VOLUME","."&amp;E$2&amp;E$1&amp;"C"&amp;$A50)*RTD("tos.rtd",,"GAMMA","."&amp;E$2&amp;E$1&amp;"C"&amp;$A50)+$A$4*$A$4*RTD("tos.rtd",,"VOLUME","."&amp;E$2&amp;E$1&amp;"P"&amp;$A50)*RTD("tos.rtd",,"GAMMA","."&amp;E$2&amp;E$1&amp;"P"&amp;$A50))/1000000,($A$4*$A$4*RTD("tos.rtd",,"VOLUME","."&amp;E$2&amp;E$1&amp;"C"&amp;$A50)*RTD("tos.rtd",,"GAMMA","."&amp;E$2&amp;E$1&amp;"C"&amp;$A50)-$A$4*$A$4*RTD("tos.rtd",,"VOLUME","."&amp;E$2&amp;E$1&amp;"P"&amp;$A50)*RTD("tos.rtd",,"GAMMA","."&amp;E$2&amp;E$1&amp;"P"&amp;$A50))/1000000),0),IF($A$2="GEX",IFERROR(IF($X$1="ABS",($A$4*$A$4*RTD("tos.rtd",,"OPEN_INT","."&amp;E$2&amp;E$1&amp;"C"&amp;$A50)*RTD("tos.rtd",,"GAMMA","."&amp;E$2&amp;E$1&amp;"C"&amp;$A50)+$A$4*$A$4*RTD("tos.rtd",,"OPEN_INT","."&amp;E$2&amp;E$1&amp;"P"&amp;$A50)*RTD("tos.rtd",,"GAMMA","."&amp;E$2&amp;E$1&amp;"P"&amp;$A50))/1000000,($A$4*$A$4*RTD("tos.rtd",,"OPEN_INT","."&amp;E$2&amp;E$1&amp;"C"&amp;$A50)*RTD("tos.rtd",,"GAMMA","."&amp;E$2&amp;E$1&amp;"C"&amp;$A50)-$A$4*$A$4*RTD("tos.rtd",,"OPEN_INT","."&amp;E$2&amp;E$1&amp;"P"&amp;$A50)*RTD("tos.rtd",,"GAMMA","."&amp;E$2&amp;E$1&amp;"P"&amp;$A50))/1000000),0),IF($A$2="SKEW",IFERROR(VALUE(IF(RTD("tos.rtd",,"IMPL_VOL","."&amp;E$2&amp;E$1&amp;"P"&amp;$A50)="N/A",0,RTD("tos.rtd",,"IMPL_VOL","."&amp;E$2&amp;E$1&amp;"P"&amp;$A50))),0)-IFERROR(VALUE(IF(RTD("tos.rtd",,"IMPL_VOL","."&amp;E$2&amp;E$1&amp;"C"&amp;$A50)="N/A",0,RTD("tos.rtd",,"IMPL_VOL","."&amp;E$2&amp;E$1&amp;"C"&amp;$A50))),0),IF($A$2="MAXPAIN",IF($A$4&gt;$A50,($A$4-$A50)*IF(RTD("tos.rtd",,"OPEN_INT","."&amp;E$2&amp;E$1&amp;"C"&amp;$A50)="N/A",0,RTD("tos.rtd",,"OPEN_INT","."&amp;E$2&amp;E$1&amp;"C"&amp;$A50)),0)+IF($A$4&lt;$A50,($A$5-$A$4)*IF(RTD("tos.rtd",,"OPEN_INT","."&amp;E$2&amp;E$1&amp;"P"&amp;$A50)="N/A",0,RTD("tos.rtd",,"OPEN_INT","."&amp;E$2&amp;E$1&amp;"P"&amp;$A50)),0),IF($X$1="ABS",IF(RTD("tos.rtd",,$A$2,"."&amp;E$2&amp;E$1&amp;"C"&amp;$A50)="N/A",0,RTD("tos.rtd",,$A$2,"."&amp;E$2&amp;E$1&amp;"C"&amp;$A50))+IF(RTD("tos.rtd",,$A$2,"."&amp;E$2&amp;E$1&amp;"P"&amp;$A50)="N/A",0,RTD("tos.rtd",,$A$2,"."&amp;E$2&amp;E$1&amp;"P"&amp;$A50)),IF(RTD("tos.rtd",,$A$2,"."&amp;E$2&amp;E$1&amp;"C"&amp;$A50)="N/A",0,RTD("tos.rtd",,$A$2,"."&amp;E$2&amp;E$1&amp;"C"&amp;$A50))-IF(RTD("tos.rtd",,$A$2,"."&amp;E$2&amp;E$1&amp;"P"&amp;$A50)="N/A",0,RTD("tos.rtd",,$A$2,"."&amp;E$2&amp;E$1&amp;"P"&amp;$A50))))))))))</f>
        <v>0</v>
      </c>
      <c r="F50" s="12">
        <f ca="1">IF($A$2="PREMIUM_OI",IFERROR(IF($X$1="ABS",(100*RTD("tos.rtd",,"OPEN_INT","."&amp;F$2&amp;F$1&amp;"C"&amp;$A50)*RTD("tos.rtd",,"LAST","."&amp;F$2&amp;F$1&amp;"C"&amp;$A50)+100*RTD("tos.rtd",,"OPEN_INT","."&amp;F$2&amp;F$1&amp;"P"&amp;$A50)*RTD("tos.rtd",,"LAST","."&amp;F$2&amp;F$1&amp;"P"&amp;$A50))/1000000,(100*RTD("tos.rtd",,"OPEN_INT","."&amp;F$2&amp;F$1&amp;"C"&amp;$A50)*RTD("tos.rtd",,"LAST","."&amp;F$2&amp;F$1&amp;"C"&amp;$A50)-100*RTD("tos.rtd",,"OPEN_INT","."&amp;F$2&amp;F$1&amp;"P"&amp;$A50)*RTD("tos.rtd",,"LAST","."&amp;F$2&amp;F$1&amp;"P"&amp;$A50))/1000000),0),IF($A$2="PREMIUM",IFERROR(IF($X$1="ABS",(100*RTD("tos.rtd",,"VOLUME","."&amp;F$2&amp;F$1&amp;"C"&amp;$A50)*RTD("tos.rtd",,"LAST","."&amp;F$2&amp;F$1&amp;"C"&amp;$A50)+100*RTD("tos.rtd",,"VOLUME","."&amp;F$2&amp;F$1&amp;"P"&amp;$A50)*RTD("tos.rtd",,"LAST","."&amp;F$2&amp;F$1&amp;"P"&amp;$A50))/1000000,(100*RTD("tos.rtd",,"VOLUME","."&amp;F$2&amp;F$1&amp;"C"&amp;$A50)*RTD("tos.rtd",,"LAST","."&amp;F$2&amp;F$1&amp;"C"&amp;$A50)-100*RTD("tos.rtd",,"VOLUME","."&amp;F$2&amp;F$1&amp;"P"&amp;$A50)*RTD("tos.rtd",,"LAST","."&amp;F$2&amp;F$1&amp;"P"&amp;$A50))/1000000),0),IF($A$2="DEX",IFERROR(IF($X$1="ABS",(100*RTD("tos.rtd",,"OPEN_INT","."&amp;F$2&amp;F$1&amp;"C"&amp;$A50)*RTD("tos.rtd",,"DELTA","."&amp;F$2&amp;F$1&amp;"C"&amp;$A50)+100*RTD("tos.rtd",,"OPEN_INT","."&amp;F$2&amp;F$1&amp;"P"&amp;$A50)*RTD("tos.rtd",,"DELTA","."&amp;F$2&amp;F$1&amp;"P"&amp;$A50))/1000,(100*RTD("tos.rtd",,"OPEN_INT","."&amp;F$2&amp;F$1&amp;"C"&amp;$A50)*RTD("tos.rtd",,"DELTA","."&amp;F$2&amp;F$1&amp;"C"&amp;$A50)-100*RTD("tos.rtd",,"OPEN_INT","."&amp;F$2&amp;F$1&amp;"P"&amp;$A50)*RTD("tos.rtd",,"DELTA","."&amp;F$2&amp;F$1&amp;"P"&amp;$A50))/1000),0),IF($A$2="VEX",IFERROR(IF($X$1="ABS",($A$4*$A$4*RTD("tos.rtd",,"VOLUME","."&amp;F$2&amp;F$1&amp;"C"&amp;$A50)*RTD("tos.rtd",,"GAMMA","."&amp;F$2&amp;F$1&amp;"C"&amp;$A50)+$A$4*$A$4*RTD("tos.rtd",,"VOLUME","."&amp;F$2&amp;F$1&amp;"P"&amp;$A50)*RTD("tos.rtd",,"GAMMA","."&amp;F$2&amp;F$1&amp;"P"&amp;$A50))/1000000,($A$4*$A$4*RTD("tos.rtd",,"VOLUME","."&amp;F$2&amp;F$1&amp;"C"&amp;$A50)*RTD("tos.rtd",,"GAMMA","."&amp;F$2&amp;F$1&amp;"C"&amp;$A50)-$A$4*$A$4*RTD("tos.rtd",,"VOLUME","."&amp;F$2&amp;F$1&amp;"P"&amp;$A50)*RTD("tos.rtd",,"GAMMA","."&amp;F$2&amp;F$1&amp;"P"&amp;$A50))/1000000),0),IF($A$2="GEX",IFERROR(IF($X$1="ABS",($A$4*$A$4*RTD("tos.rtd",,"OPEN_INT","."&amp;F$2&amp;F$1&amp;"C"&amp;$A50)*RTD("tos.rtd",,"GAMMA","."&amp;F$2&amp;F$1&amp;"C"&amp;$A50)+$A$4*$A$4*RTD("tos.rtd",,"OPEN_INT","."&amp;F$2&amp;F$1&amp;"P"&amp;$A50)*RTD("tos.rtd",,"GAMMA","."&amp;F$2&amp;F$1&amp;"P"&amp;$A50))/1000000,($A$4*$A$4*RTD("tos.rtd",,"OPEN_INT","."&amp;F$2&amp;F$1&amp;"C"&amp;$A50)*RTD("tos.rtd",,"GAMMA","."&amp;F$2&amp;F$1&amp;"C"&amp;$A50)-$A$4*$A$4*RTD("tos.rtd",,"OPEN_INT","."&amp;F$2&amp;F$1&amp;"P"&amp;$A50)*RTD("tos.rtd",,"GAMMA","."&amp;F$2&amp;F$1&amp;"P"&amp;$A50))/1000000),0),IF($A$2="SKEW",IFERROR(VALUE(IF(RTD("tos.rtd",,"IMPL_VOL","."&amp;F$2&amp;F$1&amp;"P"&amp;$A50)="N/A",0,RTD("tos.rtd",,"IMPL_VOL","."&amp;F$2&amp;F$1&amp;"P"&amp;$A50))),0)-IFERROR(VALUE(IF(RTD("tos.rtd",,"IMPL_VOL","."&amp;F$2&amp;F$1&amp;"C"&amp;$A50)="N/A",0,RTD("tos.rtd",,"IMPL_VOL","."&amp;F$2&amp;F$1&amp;"C"&amp;$A50))),0),IF($A$2="MAXPAIN",IF($A$4&gt;$A50,($A$4-$A50)*IF(RTD("tos.rtd",,"OPEN_INT","."&amp;F$2&amp;F$1&amp;"C"&amp;$A50)="N/A",0,RTD("tos.rtd",,"OPEN_INT","."&amp;F$2&amp;F$1&amp;"C"&amp;$A50)),0)+IF($A$4&lt;$A50,($A$5-$A$4)*IF(RTD("tos.rtd",,"OPEN_INT","."&amp;F$2&amp;F$1&amp;"P"&amp;$A50)="N/A",0,RTD("tos.rtd",,"OPEN_INT","."&amp;F$2&amp;F$1&amp;"P"&amp;$A50)),0),IF($X$1="ABS",IF(RTD("tos.rtd",,$A$2,"."&amp;F$2&amp;F$1&amp;"C"&amp;$A50)="N/A",0,RTD("tos.rtd",,$A$2,"."&amp;F$2&amp;F$1&amp;"C"&amp;$A50))+IF(RTD("tos.rtd",,$A$2,"."&amp;F$2&amp;F$1&amp;"P"&amp;$A50)="N/A",0,RTD("tos.rtd",,$A$2,"."&amp;F$2&amp;F$1&amp;"P"&amp;$A50)),IF(RTD("tos.rtd",,$A$2,"."&amp;F$2&amp;F$1&amp;"C"&amp;$A50)="N/A",0,RTD("tos.rtd",,$A$2,"."&amp;F$2&amp;F$1&amp;"C"&amp;$A50))-IF(RTD("tos.rtd",,$A$2,"."&amp;F$2&amp;F$1&amp;"P"&amp;$A50)="N/A",0,RTD("tos.rtd",,$A$2,"."&amp;F$2&amp;F$1&amp;"P"&amp;$A50))))))))))</f>
        <v>0</v>
      </c>
      <c r="G50" s="54">
        <f ca="1">IF($A$2="PREMIUM_OI",IFERROR(IF($X$1="ABS",(100*RTD("tos.rtd",,"OPEN_INT","."&amp;G$2&amp;G$1&amp;"C"&amp;$A50)*RTD("tos.rtd",,"LAST","."&amp;G$2&amp;G$1&amp;"C"&amp;$A50)+100*RTD("tos.rtd",,"OPEN_INT","."&amp;G$2&amp;G$1&amp;"P"&amp;$A50)*RTD("tos.rtd",,"LAST","."&amp;G$2&amp;G$1&amp;"P"&amp;$A50))/1000000,(100*RTD("tos.rtd",,"OPEN_INT","."&amp;G$2&amp;G$1&amp;"C"&amp;$A50)*RTD("tos.rtd",,"LAST","."&amp;G$2&amp;G$1&amp;"C"&amp;$A50)-100*RTD("tos.rtd",,"OPEN_INT","."&amp;G$2&amp;G$1&amp;"P"&amp;$A50)*RTD("tos.rtd",,"LAST","."&amp;G$2&amp;G$1&amp;"P"&amp;$A50))/1000000),0),IF($A$2="PREMIUM",IFERROR(IF($X$1="ABS",(100*RTD("tos.rtd",,"VOLUME","."&amp;G$2&amp;G$1&amp;"C"&amp;$A50)*RTD("tos.rtd",,"LAST","."&amp;G$2&amp;G$1&amp;"C"&amp;$A50)+100*RTD("tos.rtd",,"VOLUME","."&amp;G$2&amp;G$1&amp;"P"&amp;$A50)*RTD("tos.rtd",,"LAST","."&amp;G$2&amp;G$1&amp;"P"&amp;$A50))/1000000,(100*RTD("tos.rtd",,"VOLUME","."&amp;G$2&amp;G$1&amp;"C"&amp;$A50)*RTD("tos.rtd",,"LAST","."&amp;G$2&amp;G$1&amp;"C"&amp;$A50)-100*RTD("tos.rtd",,"VOLUME","."&amp;G$2&amp;G$1&amp;"P"&amp;$A50)*RTD("tos.rtd",,"LAST","."&amp;G$2&amp;G$1&amp;"P"&amp;$A50))/1000000),0),IF($A$2="DEX",IFERROR(IF($X$1="ABS",(100*RTD("tos.rtd",,"OPEN_INT","."&amp;G$2&amp;G$1&amp;"C"&amp;$A50)*RTD("tos.rtd",,"DELTA","."&amp;G$2&amp;G$1&amp;"C"&amp;$A50)+100*RTD("tos.rtd",,"OPEN_INT","."&amp;G$2&amp;G$1&amp;"P"&amp;$A50)*RTD("tos.rtd",,"DELTA","."&amp;G$2&amp;G$1&amp;"P"&amp;$A50))/1000,(100*RTD("tos.rtd",,"OPEN_INT","."&amp;G$2&amp;G$1&amp;"C"&amp;$A50)*RTD("tos.rtd",,"DELTA","."&amp;G$2&amp;G$1&amp;"C"&amp;$A50)-100*RTD("tos.rtd",,"OPEN_INT","."&amp;G$2&amp;G$1&amp;"P"&amp;$A50)*RTD("tos.rtd",,"DELTA","."&amp;G$2&amp;G$1&amp;"P"&amp;$A50))/1000),0),IF($A$2="VEX",IFERROR(IF($X$1="ABS",($A$4*$A$4*RTD("tos.rtd",,"VOLUME","."&amp;G$2&amp;G$1&amp;"C"&amp;$A50)*RTD("tos.rtd",,"GAMMA","."&amp;G$2&amp;G$1&amp;"C"&amp;$A50)+$A$4*$A$4*RTD("tos.rtd",,"VOLUME","."&amp;G$2&amp;G$1&amp;"P"&amp;$A50)*RTD("tos.rtd",,"GAMMA","."&amp;G$2&amp;G$1&amp;"P"&amp;$A50))/1000000,($A$4*$A$4*RTD("tos.rtd",,"VOLUME","."&amp;G$2&amp;G$1&amp;"C"&amp;$A50)*RTD("tos.rtd",,"GAMMA","."&amp;G$2&amp;G$1&amp;"C"&amp;$A50)-$A$4*$A$4*RTD("tos.rtd",,"VOLUME","."&amp;G$2&amp;G$1&amp;"P"&amp;$A50)*RTD("tos.rtd",,"GAMMA","."&amp;G$2&amp;G$1&amp;"P"&amp;$A50))/1000000),0),IF($A$2="GEX",IFERROR(IF($X$1="ABS",($A$4*$A$4*RTD("tos.rtd",,"OPEN_INT","."&amp;G$2&amp;G$1&amp;"C"&amp;$A50)*RTD("tos.rtd",,"GAMMA","."&amp;G$2&amp;G$1&amp;"C"&amp;$A50)+$A$4*$A$4*RTD("tos.rtd",,"OPEN_INT","."&amp;G$2&amp;G$1&amp;"P"&amp;$A50)*RTD("tos.rtd",,"GAMMA","."&amp;G$2&amp;G$1&amp;"P"&amp;$A50))/1000000,($A$4*$A$4*RTD("tos.rtd",,"OPEN_INT","."&amp;G$2&amp;G$1&amp;"C"&amp;$A50)*RTD("tos.rtd",,"GAMMA","."&amp;G$2&amp;G$1&amp;"C"&amp;$A50)-$A$4*$A$4*RTD("tos.rtd",,"OPEN_INT","."&amp;G$2&amp;G$1&amp;"P"&amp;$A50)*RTD("tos.rtd",,"GAMMA","."&amp;G$2&amp;G$1&amp;"P"&amp;$A50))/1000000),0),IF($A$2="SKEW",IFERROR(VALUE(IF(RTD("tos.rtd",,"IMPL_VOL","."&amp;G$2&amp;G$1&amp;"P"&amp;$A50)="N/A",0,RTD("tos.rtd",,"IMPL_VOL","."&amp;G$2&amp;G$1&amp;"P"&amp;$A50))),0)-IFERROR(VALUE(IF(RTD("tos.rtd",,"IMPL_VOL","."&amp;G$2&amp;G$1&amp;"C"&amp;$A50)="N/A",0,RTD("tos.rtd",,"IMPL_VOL","."&amp;G$2&amp;G$1&amp;"C"&amp;$A50))),0),IF($A$2="MAXPAIN",IF($A$4&gt;$A50,($A$4-$A50)*IF(RTD("tos.rtd",,"OPEN_INT","."&amp;G$2&amp;G$1&amp;"C"&amp;$A50)="N/A",0,RTD("tos.rtd",,"OPEN_INT","."&amp;G$2&amp;G$1&amp;"C"&amp;$A50)),0)+IF($A$4&lt;$A50,($A$5-$A$4)*IF(RTD("tos.rtd",,"OPEN_INT","."&amp;G$2&amp;G$1&amp;"P"&amp;$A50)="N/A",0,RTD("tos.rtd",,"OPEN_INT","."&amp;G$2&amp;G$1&amp;"P"&amp;$A50)),0),IF($X$1="ABS",IF(RTD("tos.rtd",,$A$2,"."&amp;G$2&amp;G$1&amp;"C"&amp;$A50)="N/A",0,RTD("tos.rtd",,$A$2,"."&amp;G$2&amp;G$1&amp;"C"&amp;$A50))+IF(RTD("tos.rtd",,$A$2,"."&amp;G$2&amp;G$1&amp;"P"&amp;$A50)="N/A",0,RTD("tos.rtd",,$A$2,"."&amp;G$2&amp;G$1&amp;"P"&amp;$A50)),IF(RTD("tos.rtd",,$A$2,"."&amp;G$2&amp;G$1&amp;"C"&amp;$A50)="N/A",0,RTD("tos.rtd",,$A$2,"."&amp;G$2&amp;G$1&amp;"C"&amp;$A50))-IF(RTD("tos.rtd",,$A$2,"."&amp;G$2&amp;G$1&amp;"P"&amp;$A50)="N/A",0,RTD("tos.rtd",,$A$2,"."&amp;G$2&amp;G$1&amp;"P"&amp;$A50))))))))))</f>
        <v>0</v>
      </c>
      <c r="H50" s="14">
        <f ca="1">IF($A$2="PREMIUM_OI",IFERROR(IF($X$1="ABS",(100*RTD("tos.rtd",,"OPEN_INT","."&amp;H$2&amp;H$1&amp;"C"&amp;$A50)*RTD("tos.rtd",,"LAST","."&amp;H$2&amp;H$1&amp;"C"&amp;$A50)+100*RTD("tos.rtd",,"OPEN_INT","."&amp;H$2&amp;H$1&amp;"P"&amp;$A50)*RTD("tos.rtd",,"LAST","."&amp;H$2&amp;H$1&amp;"P"&amp;$A50))/1000000,(100*RTD("tos.rtd",,"OPEN_INT","."&amp;H$2&amp;H$1&amp;"C"&amp;$A50)*RTD("tos.rtd",,"LAST","."&amp;H$2&amp;H$1&amp;"C"&amp;$A50)-100*RTD("tos.rtd",,"OPEN_INT","."&amp;H$2&amp;H$1&amp;"P"&amp;$A50)*RTD("tos.rtd",,"LAST","."&amp;H$2&amp;H$1&amp;"P"&amp;$A50))/1000000),0),IF($A$2="PREMIUM",IFERROR(IF($X$1="ABS",(100*RTD("tos.rtd",,"VOLUME","."&amp;H$2&amp;H$1&amp;"C"&amp;$A50)*RTD("tos.rtd",,"LAST","."&amp;H$2&amp;H$1&amp;"C"&amp;$A50)+100*RTD("tos.rtd",,"VOLUME","."&amp;H$2&amp;H$1&amp;"P"&amp;$A50)*RTD("tos.rtd",,"LAST","."&amp;H$2&amp;H$1&amp;"P"&amp;$A50))/1000000,(100*RTD("tos.rtd",,"VOLUME","."&amp;H$2&amp;H$1&amp;"C"&amp;$A50)*RTD("tos.rtd",,"LAST","."&amp;H$2&amp;H$1&amp;"C"&amp;$A50)-100*RTD("tos.rtd",,"VOLUME","."&amp;H$2&amp;H$1&amp;"P"&amp;$A50)*RTD("tos.rtd",,"LAST","."&amp;H$2&amp;H$1&amp;"P"&amp;$A50))/1000000),0),IF($A$2="DEX",IFERROR(IF($X$1="ABS",(100*RTD("tos.rtd",,"OPEN_INT","."&amp;H$2&amp;H$1&amp;"C"&amp;$A50)*RTD("tos.rtd",,"DELTA","."&amp;H$2&amp;H$1&amp;"C"&amp;$A50)+100*RTD("tos.rtd",,"OPEN_INT","."&amp;H$2&amp;H$1&amp;"P"&amp;$A50)*RTD("tos.rtd",,"DELTA","."&amp;H$2&amp;H$1&amp;"P"&amp;$A50))/1000,(100*RTD("tos.rtd",,"OPEN_INT","."&amp;H$2&amp;H$1&amp;"C"&amp;$A50)*RTD("tos.rtd",,"DELTA","."&amp;H$2&amp;H$1&amp;"C"&amp;$A50)-100*RTD("tos.rtd",,"OPEN_INT","."&amp;H$2&amp;H$1&amp;"P"&amp;$A50)*RTD("tos.rtd",,"DELTA","."&amp;H$2&amp;H$1&amp;"P"&amp;$A50))/1000),0),IF($A$2="VEX",IFERROR(IF($X$1="ABS",($A$4*$A$4*RTD("tos.rtd",,"VOLUME","."&amp;H$2&amp;H$1&amp;"C"&amp;$A50)*RTD("tos.rtd",,"GAMMA","."&amp;H$2&amp;H$1&amp;"C"&amp;$A50)+$A$4*$A$4*RTD("tos.rtd",,"VOLUME","."&amp;H$2&amp;H$1&amp;"P"&amp;$A50)*RTD("tos.rtd",,"GAMMA","."&amp;H$2&amp;H$1&amp;"P"&amp;$A50))/1000000,($A$4*$A$4*RTD("tos.rtd",,"VOLUME","."&amp;H$2&amp;H$1&amp;"C"&amp;$A50)*RTD("tos.rtd",,"GAMMA","."&amp;H$2&amp;H$1&amp;"C"&amp;$A50)-$A$4*$A$4*RTD("tos.rtd",,"VOLUME","."&amp;H$2&amp;H$1&amp;"P"&amp;$A50)*RTD("tos.rtd",,"GAMMA","."&amp;H$2&amp;H$1&amp;"P"&amp;$A50))/1000000),0),IF($A$2="GEX",IFERROR(IF($X$1="ABS",($A$4*$A$4*RTD("tos.rtd",,"OPEN_INT","."&amp;H$2&amp;H$1&amp;"C"&amp;$A50)*RTD("tos.rtd",,"GAMMA","."&amp;H$2&amp;H$1&amp;"C"&amp;$A50)+$A$4*$A$4*RTD("tos.rtd",,"OPEN_INT","."&amp;H$2&amp;H$1&amp;"P"&amp;$A50)*RTD("tos.rtd",,"GAMMA","."&amp;H$2&amp;H$1&amp;"P"&amp;$A50))/1000000,($A$4*$A$4*RTD("tos.rtd",,"OPEN_INT","."&amp;H$2&amp;H$1&amp;"C"&amp;$A50)*RTD("tos.rtd",,"GAMMA","."&amp;H$2&amp;H$1&amp;"C"&amp;$A50)-$A$4*$A$4*RTD("tos.rtd",,"OPEN_INT","."&amp;H$2&amp;H$1&amp;"P"&amp;$A50)*RTD("tos.rtd",,"GAMMA","."&amp;H$2&amp;H$1&amp;"P"&amp;$A50))/1000000),0),IF($A$2="SKEW",IFERROR(VALUE(IF(RTD("tos.rtd",,"IMPL_VOL","."&amp;H$2&amp;H$1&amp;"P"&amp;$A50)="N/A",0,RTD("tos.rtd",,"IMPL_VOL","."&amp;H$2&amp;H$1&amp;"P"&amp;$A50))),0)-IFERROR(VALUE(IF(RTD("tos.rtd",,"IMPL_VOL","."&amp;H$2&amp;H$1&amp;"C"&amp;$A50)="N/A",0,RTD("tos.rtd",,"IMPL_VOL","."&amp;H$2&amp;H$1&amp;"C"&amp;$A50))),0),IF($A$2="MAXPAIN",IF($A$4&gt;$A50,($A$4-$A50)*IF(RTD("tos.rtd",,"OPEN_INT","."&amp;H$2&amp;H$1&amp;"C"&amp;$A50)="N/A",0,RTD("tos.rtd",,"OPEN_INT","."&amp;H$2&amp;H$1&amp;"C"&amp;$A50)),0)+IF($A$4&lt;$A50,($A$5-$A$4)*IF(RTD("tos.rtd",,"OPEN_INT","."&amp;H$2&amp;H$1&amp;"P"&amp;$A50)="N/A",0,RTD("tos.rtd",,"OPEN_INT","."&amp;H$2&amp;H$1&amp;"P"&amp;$A50)),0),IF($X$1="ABS",IF(RTD("tos.rtd",,$A$2,"."&amp;H$2&amp;H$1&amp;"C"&amp;$A50)="N/A",0,RTD("tos.rtd",,$A$2,"."&amp;H$2&amp;H$1&amp;"C"&amp;$A50))+IF(RTD("tos.rtd",,$A$2,"."&amp;H$2&amp;H$1&amp;"P"&amp;$A50)="N/A",0,RTD("tos.rtd",,$A$2,"."&amp;H$2&amp;H$1&amp;"P"&amp;$A50)),IF(RTD("tos.rtd",,$A$2,"."&amp;H$2&amp;H$1&amp;"C"&amp;$A50)="N/A",0,RTD("tos.rtd",,$A$2,"."&amp;H$2&amp;H$1&amp;"C"&amp;$A50))-IF(RTD("tos.rtd",,$A$2,"."&amp;H$2&amp;H$1&amp;"P"&amp;$A50)="N/A",0,RTD("tos.rtd",,$A$2,"."&amp;H$2&amp;H$1&amp;"P"&amp;$A50))))))))))</f>
        <v>0</v>
      </c>
      <c r="I50" s="12">
        <f ca="1">IF($A$2="PREMIUM_OI",IFERROR(IF($X$1="ABS",(100*RTD("tos.rtd",,"OPEN_INT","."&amp;I$2&amp;I$1&amp;"C"&amp;$A50)*RTD("tos.rtd",,"LAST","."&amp;I$2&amp;I$1&amp;"C"&amp;$A50)+100*RTD("tos.rtd",,"OPEN_INT","."&amp;I$2&amp;I$1&amp;"P"&amp;$A50)*RTD("tos.rtd",,"LAST","."&amp;I$2&amp;I$1&amp;"P"&amp;$A50))/1000000,(100*RTD("tos.rtd",,"OPEN_INT","."&amp;I$2&amp;I$1&amp;"C"&amp;$A50)*RTD("tos.rtd",,"LAST","."&amp;I$2&amp;I$1&amp;"C"&amp;$A50)-100*RTD("tos.rtd",,"OPEN_INT","."&amp;I$2&amp;I$1&amp;"P"&amp;$A50)*RTD("tos.rtd",,"LAST","."&amp;I$2&amp;I$1&amp;"P"&amp;$A50))/1000000),0),IF($A$2="PREMIUM",IFERROR(IF($X$1="ABS",(100*RTD("tos.rtd",,"VOLUME","."&amp;I$2&amp;I$1&amp;"C"&amp;$A50)*RTD("tos.rtd",,"LAST","."&amp;I$2&amp;I$1&amp;"C"&amp;$A50)+100*RTD("tos.rtd",,"VOLUME","."&amp;I$2&amp;I$1&amp;"P"&amp;$A50)*RTD("tos.rtd",,"LAST","."&amp;I$2&amp;I$1&amp;"P"&amp;$A50))/1000000,(100*RTD("tos.rtd",,"VOLUME","."&amp;I$2&amp;I$1&amp;"C"&amp;$A50)*RTD("tos.rtd",,"LAST","."&amp;I$2&amp;I$1&amp;"C"&amp;$A50)-100*RTD("tos.rtd",,"VOLUME","."&amp;I$2&amp;I$1&amp;"P"&amp;$A50)*RTD("tos.rtd",,"LAST","."&amp;I$2&amp;I$1&amp;"P"&amp;$A50))/1000000),0),IF($A$2="DEX",IFERROR(IF($X$1="ABS",(100*RTD("tos.rtd",,"OPEN_INT","."&amp;I$2&amp;I$1&amp;"C"&amp;$A50)*RTD("tos.rtd",,"DELTA","."&amp;I$2&amp;I$1&amp;"C"&amp;$A50)+100*RTD("tos.rtd",,"OPEN_INT","."&amp;I$2&amp;I$1&amp;"P"&amp;$A50)*RTD("tos.rtd",,"DELTA","."&amp;I$2&amp;I$1&amp;"P"&amp;$A50))/1000,(100*RTD("tos.rtd",,"OPEN_INT","."&amp;I$2&amp;I$1&amp;"C"&amp;$A50)*RTD("tos.rtd",,"DELTA","."&amp;I$2&amp;I$1&amp;"C"&amp;$A50)-100*RTD("tos.rtd",,"OPEN_INT","."&amp;I$2&amp;I$1&amp;"P"&amp;$A50)*RTD("tos.rtd",,"DELTA","."&amp;I$2&amp;I$1&amp;"P"&amp;$A50))/1000),0),IF($A$2="VEX",IFERROR(IF($X$1="ABS",($A$4*$A$4*RTD("tos.rtd",,"VOLUME","."&amp;I$2&amp;I$1&amp;"C"&amp;$A50)*RTD("tos.rtd",,"GAMMA","."&amp;I$2&amp;I$1&amp;"C"&amp;$A50)+$A$4*$A$4*RTD("tos.rtd",,"VOLUME","."&amp;I$2&amp;I$1&amp;"P"&amp;$A50)*RTD("tos.rtd",,"GAMMA","."&amp;I$2&amp;I$1&amp;"P"&amp;$A50))/1000000,($A$4*$A$4*RTD("tos.rtd",,"VOLUME","."&amp;I$2&amp;I$1&amp;"C"&amp;$A50)*RTD("tos.rtd",,"GAMMA","."&amp;I$2&amp;I$1&amp;"C"&amp;$A50)-$A$4*$A$4*RTD("tos.rtd",,"VOLUME","."&amp;I$2&amp;I$1&amp;"P"&amp;$A50)*RTD("tos.rtd",,"GAMMA","."&amp;I$2&amp;I$1&amp;"P"&amp;$A50))/1000000),0),IF($A$2="GEX",IFERROR(IF($X$1="ABS",($A$4*$A$4*RTD("tos.rtd",,"OPEN_INT","."&amp;I$2&amp;I$1&amp;"C"&amp;$A50)*RTD("tos.rtd",,"GAMMA","."&amp;I$2&amp;I$1&amp;"C"&amp;$A50)+$A$4*$A$4*RTD("tos.rtd",,"OPEN_INT","."&amp;I$2&amp;I$1&amp;"P"&amp;$A50)*RTD("tos.rtd",,"GAMMA","."&amp;I$2&amp;I$1&amp;"P"&amp;$A50))/1000000,($A$4*$A$4*RTD("tos.rtd",,"OPEN_INT","."&amp;I$2&amp;I$1&amp;"C"&amp;$A50)*RTD("tos.rtd",,"GAMMA","."&amp;I$2&amp;I$1&amp;"C"&amp;$A50)-$A$4*$A$4*RTD("tos.rtd",,"OPEN_INT","."&amp;I$2&amp;I$1&amp;"P"&amp;$A50)*RTD("tos.rtd",,"GAMMA","."&amp;I$2&amp;I$1&amp;"P"&amp;$A50))/1000000),0),IF($A$2="SKEW",IFERROR(VALUE(IF(RTD("tos.rtd",,"IMPL_VOL","."&amp;I$2&amp;I$1&amp;"P"&amp;$A50)="N/A",0,RTD("tos.rtd",,"IMPL_VOL","."&amp;I$2&amp;I$1&amp;"P"&amp;$A50))),0)-IFERROR(VALUE(IF(RTD("tos.rtd",,"IMPL_VOL","."&amp;I$2&amp;I$1&amp;"C"&amp;$A50)="N/A",0,RTD("tos.rtd",,"IMPL_VOL","."&amp;I$2&amp;I$1&amp;"C"&amp;$A50))),0),IF($A$2="MAXPAIN",IF($A$4&gt;$A50,($A$4-$A50)*IF(RTD("tos.rtd",,"OPEN_INT","."&amp;I$2&amp;I$1&amp;"C"&amp;$A50)="N/A",0,RTD("tos.rtd",,"OPEN_INT","."&amp;I$2&amp;I$1&amp;"C"&amp;$A50)),0)+IF($A$4&lt;$A50,($A$5-$A$4)*IF(RTD("tos.rtd",,"OPEN_INT","."&amp;I$2&amp;I$1&amp;"P"&amp;$A50)="N/A",0,RTD("tos.rtd",,"OPEN_INT","."&amp;I$2&amp;I$1&amp;"P"&amp;$A50)),0),IF($X$1="ABS",IF(RTD("tos.rtd",,$A$2,"."&amp;I$2&amp;I$1&amp;"C"&amp;$A50)="N/A",0,RTD("tos.rtd",,$A$2,"."&amp;I$2&amp;I$1&amp;"C"&amp;$A50))+IF(RTD("tos.rtd",,$A$2,"."&amp;I$2&amp;I$1&amp;"P"&amp;$A50)="N/A",0,RTD("tos.rtd",,$A$2,"."&amp;I$2&amp;I$1&amp;"P"&amp;$A50)),IF(RTD("tos.rtd",,$A$2,"."&amp;I$2&amp;I$1&amp;"C"&amp;$A50)="N/A",0,RTD("tos.rtd",,$A$2,"."&amp;I$2&amp;I$1&amp;"C"&amp;$A50))-IF(RTD("tos.rtd",,$A$2,"."&amp;I$2&amp;I$1&amp;"P"&amp;$A50)="N/A",0,RTD("tos.rtd",,$A$2,"."&amp;I$2&amp;I$1&amp;"P"&amp;$A50))))))))))</f>
        <v>0</v>
      </c>
      <c r="J50" s="12">
        <f ca="1">IF($A$2="PREMIUM_OI",IFERROR(IF($X$1="ABS",(100*RTD("tos.rtd",,"OPEN_INT","."&amp;J$2&amp;J$1&amp;"C"&amp;$A50)*RTD("tos.rtd",,"LAST","."&amp;J$2&amp;J$1&amp;"C"&amp;$A50)+100*RTD("tos.rtd",,"OPEN_INT","."&amp;J$2&amp;J$1&amp;"P"&amp;$A50)*RTD("tos.rtd",,"LAST","."&amp;J$2&amp;J$1&amp;"P"&amp;$A50))/1000000,(100*RTD("tos.rtd",,"OPEN_INT","."&amp;J$2&amp;J$1&amp;"C"&amp;$A50)*RTD("tos.rtd",,"LAST","."&amp;J$2&amp;J$1&amp;"C"&amp;$A50)-100*RTD("tos.rtd",,"OPEN_INT","."&amp;J$2&amp;J$1&amp;"P"&amp;$A50)*RTD("tos.rtd",,"LAST","."&amp;J$2&amp;J$1&amp;"P"&amp;$A50))/1000000),0),IF($A$2="PREMIUM",IFERROR(IF($X$1="ABS",(100*RTD("tos.rtd",,"VOLUME","."&amp;J$2&amp;J$1&amp;"C"&amp;$A50)*RTD("tos.rtd",,"LAST","."&amp;J$2&amp;J$1&amp;"C"&amp;$A50)+100*RTD("tos.rtd",,"VOLUME","."&amp;J$2&amp;J$1&amp;"P"&amp;$A50)*RTD("tos.rtd",,"LAST","."&amp;J$2&amp;J$1&amp;"P"&amp;$A50))/1000000,(100*RTD("tos.rtd",,"VOLUME","."&amp;J$2&amp;J$1&amp;"C"&amp;$A50)*RTD("tos.rtd",,"LAST","."&amp;J$2&amp;J$1&amp;"C"&amp;$A50)-100*RTD("tos.rtd",,"VOLUME","."&amp;J$2&amp;J$1&amp;"P"&amp;$A50)*RTD("tos.rtd",,"LAST","."&amp;J$2&amp;J$1&amp;"P"&amp;$A50))/1000000),0),IF($A$2="DEX",IFERROR(IF($X$1="ABS",(100*RTD("tos.rtd",,"OPEN_INT","."&amp;J$2&amp;J$1&amp;"C"&amp;$A50)*RTD("tos.rtd",,"DELTA","."&amp;J$2&amp;J$1&amp;"C"&amp;$A50)+100*RTD("tos.rtd",,"OPEN_INT","."&amp;J$2&amp;J$1&amp;"P"&amp;$A50)*RTD("tos.rtd",,"DELTA","."&amp;J$2&amp;J$1&amp;"P"&amp;$A50))/1000,(100*RTD("tos.rtd",,"OPEN_INT","."&amp;J$2&amp;J$1&amp;"C"&amp;$A50)*RTD("tos.rtd",,"DELTA","."&amp;J$2&amp;J$1&amp;"C"&amp;$A50)-100*RTD("tos.rtd",,"OPEN_INT","."&amp;J$2&amp;J$1&amp;"P"&amp;$A50)*RTD("tos.rtd",,"DELTA","."&amp;J$2&amp;J$1&amp;"P"&amp;$A50))/1000),0),IF($A$2="VEX",IFERROR(IF($X$1="ABS",($A$4*$A$4*RTD("tos.rtd",,"VOLUME","."&amp;J$2&amp;J$1&amp;"C"&amp;$A50)*RTD("tos.rtd",,"GAMMA","."&amp;J$2&amp;J$1&amp;"C"&amp;$A50)+$A$4*$A$4*RTD("tos.rtd",,"VOLUME","."&amp;J$2&amp;J$1&amp;"P"&amp;$A50)*RTD("tos.rtd",,"GAMMA","."&amp;J$2&amp;J$1&amp;"P"&amp;$A50))/1000000,($A$4*$A$4*RTD("tos.rtd",,"VOLUME","."&amp;J$2&amp;J$1&amp;"C"&amp;$A50)*RTD("tos.rtd",,"GAMMA","."&amp;J$2&amp;J$1&amp;"C"&amp;$A50)-$A$4*$A$4*RTD("tos.rtd",,"VOLUME","."&amp;J$2&amp;J$1&amp;"P"&amp;$A50)*RTD("tos.rtd",,"GAMMA","."&amp;J$2&amp;J$1&amp;"P"&amp;$A50))/1000000),0),IF($A$2="GEX",IFERROR(IF($X$1="ABS",($A$4*$A$4*RTD("tos.rtd",,"OPEN_INT","."&amp;J$2&amp;J$1&amp;"C"&amp;$A50)*RTD("tos.rtd",,"GAMMA","."&amp;J$2&amp;J$1&amp;"C"&amp;$A50)+$A$4*$A$4*RTD("tos.rtd",,"OPEN_INT","."&amp;J$2&amp;J$1&amp;"P"&amp;$A50)*RTD("tos.rtd",,"GAMMA","."&amp;J$2&amp;J$1&amp;"P"&amp;$A50))/1000000,($A$4*$A$4*RTD("tos.rtd",,"OPEN_INT","."&amp;J$2&amp;J$1&amp;"C"&amp;$A50)*RTD("tos.rtd",,"GAMMA","."&amp;J$2&amp;J$1&amp;"C"&amp;$A50)-$A$4*$A$4*RTD("tos.rtd",,"OPEN_INT","."&amp;J$2&amp;J$1&amp;"P"&amp;$A50)*RTD("tos.rtd",,"GAMMA","."&amp;J$2&amp;J$1&amp;"P"&amp;$A50))/1000000),0),IF($A$2="SKEW",IFERROR(VALUE(IF(RTD("tos.rtd",,"IMPL_VOL","."&amp;J$2&amp;J$1&amp;"P"&amp;$A50)="N/A",0,RTD("tos.rtd",,"IMPL_VOL","."&amp;J$2&amp;J$1&amp;"P"&amp;$A50))),0)-IFERROR(VALUE(IF(RTD("tos.rtd",,"IMPL_VOL","."&amp;J$2&amp;J$1&amp;"C"&amp;$A50)="N/A",0,RTD("tos.rtd",,"IMPL_VOL","."&amp;J$2&amp;J$1&amp;"C"&amp;$A50))),0),IF($A$2="MAXPAIN",IF($A$4&gt;$A50,($A$4-$A50)*IF(RTD("tos.rtd",,"OPEN_INT","."&amp;J$2&amp;J$1&amp;"C"&amp;$A50)="N/A",0,RTD("tos.rtd",,"OPEN_INT","."&amp;J$2&amp;J$1&amp;"C"&amp;$A50)),0)+IF($A$4&lt;$A50,($A$5-$A$4)*IF(RTD("tos.rtd",,"OPEN_INT","."&amp;J$2&amp;J$1&amp;"P"&amp;$A50)="N/A",0,RTD("tos.rtd",,"OPEN_INT","."&amp;J$2&amp;J$1&amp;"P"&amp;$A50)),0),IF($X$1="ABS",IF(RTD("tos.rtd",,$A$2,"."&amp;J$2&amp;J$1&amp;"C"&amp;$A50)="N/A",0,RTD("tos.rtd",,$A$2,"."&amp;J$2&amp;J$1&amp;"C"&amp;$A50))+IF(RTD("tos.rtd",,$A$2,"."&amp;J$2&amp;J$1&amp;"P"&amp;$A50)="N/A",0,RTD("tos.rtd",,$A$2,"."&amp;J$2&amp;J$1&amp;"P"&amp;$A50)),IF(RTD("tos.rtd",,$A$2,"."&amp;J$2&amp;J$1&amp;"C"&amp;$A50)="N/A",0,RTD("tos.rtd",,$A$2,"."&amp;J$2&amp;J$1&amp;"C"&amp;$A50))-IF(RTD("tos.rtd",,$A$2,"."&amp;J$2&amp;J$1&amp;"P"&amp;$A50)="N/A",0,RTD("tos.rtd",,$A$2,"."&amp;J$2&amp;J$1&amp;"P"&amp;$A50))))))))))</f>
        <v>0</v>
      </c>
      <c r="K50" s="12">
        <f ca="1">IF($A$2="PREMIUM_OI",IFERROR(IF($X$1="ABS",(100*RTD("tos.rtd",,"OPEN_INT","."&amp;K$2&amp;K$1&amp;"C"&amp;$A50)*RTD("tos.rtd",,"LAST","."&amp;K$2&amp;K$1&amp;"C"&amp;$A50)+100*RTD("tos.rtd",,"OPEN_INT","."&amp;K$2&amp;K$1&amp;"P"&amp;$A50)*RTD("tos.rtd",,"LAST","."&amp;K$2&amp;K$1&amp;"P"&amp;$A50))/1000000,(100*RTD("tos.rtd",,"OPEN_INT","."&amp;K$2&amp;K$1&amp;"C"&amp;$A50)*RTD("tos.rtd",,"LAST","."&amp;K$2&amp;K$1&amp;"C"&amp;$A50)-100*RTD("tos.rtd",,"OPEN_INT","."&amp;K$2&amp;K$1&amp;"P"&amp;$A50)*RTD("tos.rtd",,"LAST","."&amp;K$2&amp;K$1&amp;"P"&amp;$A50))/1000000),0),IF($A$2="PREMIUM",IFERROR(IF($X$1="ABS",(100*RTD("tos.rtd",,"VOLUME","."&amp;K$2&amp;K$1&amp;"C"&amp;$A50)*RTD("tos.rtd",,"LAST","."&amp;K$2&amp;K$1&amp;"C"&amp;$A50)+100*RTD("tos.rtd",,"VOLUME","."&amp;K$2&amp;K$1&amp;"P"&amp;$A50)*RTD("tos.rtd",,"LAST","."&amp;K$2&amp;K$1&amp;"P"&amp;$A50))/1000000,(100*RTD("tos.rtd",,"VOLUME","."&amp;K$2&amp;K$1&amp;"C"&amp;$A50)*RTD("tos.rtd",,"LAST","."&amp;K$2&amp;K$1&amp;"C"&amp;$A50)-100*RTD("tos.rtd",,"VOLUME","."&amp;K$2&amp;K$1&amp;"P"&amp;$A50)*RTD("tos.rtd",,"LAST","."&amp;K$2&amp;K$1&amp;"P"&amp;$A50))/1000000),0),IF($A$2="DEX",IFERROR(IF($X$1="ABS",(100*RTD("tos.rtd",,"OPEN_INT","."&amp;K$2&amp;K$1&amp;"C"&amp;$A50)*RTD("tos.rtd",,"DELTA","."&amp;K$2&amp;K$1&amp;"C"&amp;$A50)+100*RTD("tos.rtd",,"OPEN_INT","."&amp;K$2&amp;K$1&amp;"P"&amp;$A50)*RTD("tos.rtd",,"DELTA","."&amp;K$2&amp;K$1&amp;"P"&amp;$A50))/1000,(100*RTD("tos.rtd",,"OPEN_INT","."&amp;K$2&amp;K$1&amp;"C"&amp;$A50)*RTD("tos.rtd",,"DELTA","."&amp;K$2&amp;K$1&amp;"C"&amp;$A50)-100*RTD("tos.rtd",,"OPEN_INT","."&amp;K$2&amp;K$1&amp;"P"&amp;$A50)*RTD("tos.rtd",,"DELTA","."&amp;K$2&amp;K$1&amp;"P"&amp;$A50))/1000),0),IF($A$2="VEX",IFERROR(IF($X$1="ABS",($A$4*$A$4*RTD("tos.rtd",,"VOLUME","."&amp;K$2&amp;K$1&amp;"C"&amp;$A50)*RTD("tos.rtd",,"GAMMA","."&amp;K$2&amp;K$1&amp;"C"&amp;$A50)+$A$4*$A$4*RTD("tos.rtd",,"VOLUME","."&amp;K$2&amp;K$1&amp;"P"&amp;$A50)*RTD("tos.rtd",,"GAMMA","."&amp;K$2&amp;K$1&amp;"P"&amp;$A50))/1000000,($A$4*$A$4*RTD("tos.rtd",,"VOLUME","."&amp;K$2&amp;K$1&amp;"C"&amp;$A50)*RTD("tos.rtd",,"GAMMA","."&amp;K$2&amp;K$1&amp;"C"&amp;$A50)-$A$4*$A$4*RTD("tos.rtd",,"VOLUME","."&amp;K$2&amp;K$1&amp;"P"&amp;$A50)*RTD("tos.rtd",,"GAMMA","."&amp;K$2&amp;K$1&amp;"P"&amp;$A50))/1000000),0),IF($A$2="GEX",IFERROR(IF($X$1="ABS",($A$4*$A$4*RTD("tos.rtd",,"OPEN_INT","."&amp;K$2&amp;K$1&amp;"C"&amp;$A50)*RTD("tos.rtd",,"GAMMA","."&amp;K$2&amp;K$1&amp;"C"&amp;$A50)+$A$4*$A$4*RTD("tos.rtd",,"OPEN_INT","."&amp;K$2&amp;K$1&amp;"P"&amp;$A50)*RTD("tos.rtd",,"GAMMA","."&amp;K$2&amp;K$1&amp;"P"&amp;$A50))/1000000,($A$4*$A$4*RTD("tos.rtd",,"OPEN_INT","."&amp;K$2&amp;K$1&amp;"C"&amp;$A50)*RTD("tos.rtd",,"GAMMA","."&amp;K$2&amp;K$1&amp;"C"&amp;$A50)-$A$4*$A$4*RTD("tos.rtd",,"OPEN_INT","."&amp;K$2&amp;K$1&amp;"P"&amp;$A50)*RTD("tos.rtd",,"GAMMA","."&amp;K$2&amp;K$1&amp;"P"&amp;$A50))/1000000),0),IF($A$2="SKEW",IFERROR(VALUE(IF(RTD("tos.rtd",,"IMPL_VOL","."&amp;K$2&amp;K$1&amp;"P"&amp;$A50)="N/A",0,RTD("tos.rtd",,"IMPL_VOL","."&amp;K$2&amp;K$1&amp;"P"&amp;$A50))),0)-IFERROR(VALUE(IF(RTD("tos.rtd",,"IMPL_VOL","."&amp;K$2&amp;K$1&amp;"C"&amp;$A50)="N/A",0,RTD("tos.rtd",,"IMPL_VOL","."&amp;K$2&amp;K$1&amp;"C"&amp;$A50))),0),IF($A$2="MAXPAIN",IF($A$4&gt;$A50,($A$4-$A50)*IF(RTD("tos.rtd",,"OPEN_INT","."&amp;K$2&amp;K$1&amp;"C"&amp;$A50)="N/A",0,RTD("tos.rtd",,"OPEN_INT","."&amp;K$2&amp;K$1&amp;"C"&amp;$A50)),0)+IF($A$4&lt;$A50,($A$5-$A$4)*IF(RTD("tos.rtd",,"OPEN_INT","."&amp;K$2&amp;K$1&amp;"P"&amp;$A50)="N/A",0,RTD("tos.rtd",,"OPEN_INT","."&amp;K$2&amp;K$1&amp;"P"&amp;$A50)),0),IF($X$1="ABS",IF(RTD("tos.rtd",,$A$2,"."&amp;K$2&amp;K$1&amp;"C"&amp;$A50)="N/A",0,RTD("tos.rtd",,$A$2,"."&amp;K$2&amp;K$1&amp;"C"&amp;$A50))+IF(RTD("tos.rtd",,$A$2,"."&amp;K$2&amp;K$1&amp;"P"&amp;$A50)="N/A",0,RTD("tos.rtd",,$A$2,"."&amp;K$2&amp;K$1&amp;"P"&amp;$A50)),IF(RTD("tos.rtd",,$A$2,"."&amp;K$2&amp;K$1&amp;"C"&amp;$A50)="N/A",0,RTD("tos.rtd",,$A$2,"."&amp;K$2&amp;K$1&amp;"C"&amp;$A50))-IF(RTD("tos.rtd",,$A$2,"."&amp;K$2&amp;K$1&amp;"P"&amp;$A50)="N/A",0,RTD("tos.rtd",,$A$2,"."&amp;K$2&amp;K$1&amp;"P"&amp;$A50))))))))))</f>
        <v>0</v>
      </c>
      <c r="L50" s="54">
        <f ca="1">IF($A$2="PREMIUM_OI",IFERROR(IF($X$1="ABS",(100*RTD("tos.rtd",,"OPEN_INT","."&amp;L$2&amp;L$1&amp;"C"&amp;$A50)*RTD("tos.rtd",,"LAST","."&amp;L$2&amp;L$1&amp;"C"&amp;$A50)+100*RTD("tos.rtd",,"OPEN_INT","."&amp;L$2&amp;L$1&amp;"P"&amp;$A50)*RTD("tos.rtd",,"LAST","."&amp;L$2&amp;L$1&amp;"P"&amp;$A50))/1000000,(100*RTD("tos.rtd",,"OPEN_INT","."&amp;L$2&amp;L$1&amp;"C"&amp;$A50)*RTD("tos.rtd",,"LAST","."&amp;L$2&amp;L$1&amp;"C"&amp;$A50)-100*RTD("tos.rtd",,"OPEN_INT","."&amp;L$2&amp;L$1&amp;"P"&amp;$A50)*RTD("tos.rtd",,"LAST","."&amp;L$2&amp;L$1&amp;"P"&amp;$A50))/1000000),0),IF($A$2="PREMIUM",IFERROR(IF($X$1="ABS",(100*RTD("tos.rtd",,"VOLUME","."&amp;L$2&amp;L$1&amp;"C"&amp;$A50)*RTD("tos.rtd",,"LAST","."&amp;L$2&amp;L$1&amp;"C"&amp;$A50)+100*RTD("tos.rtd",,"VOLUME","."&amp;L$2&amp;L$1&amp;"P"&amp;$A50)*RTD("tos.rtd",,"LAST","."&amp;L$2&amp;L$1&amp;"P"&amp;$A50))/1000000,(100*RTD("tos.rtd",,"VOLUME","."&amp;L$2&amp;L$1&amp;"C"&amp;$A50)*RTD("tos.rtd",,"LAST","."&amp;L$2&amp;L$1&amp;"C"&amp;$A50)-100*RTD("tos.rtd",,"VOLUME","."&amp;L$2&amp;L$1&amp;"P"&amp;$A50)*RTD("tos.rtd",,"LAST","."&amp;L$2&amp;L$1&amp;"P"&amp;$A50))/1000000),0),IF($A$2="DEX",IFERROR(IF($X$1="ABS",(100*RTD("tos.rtd",,"OPEN_INT","."&amp;L$2&amp;L$1&amp;"C"&amp;$A50)*RTD("tos.rtd",,"DELTA","."&amp;L$2&amp;L$1&amp;"C"&amp;$A50)+100*RTD("tos.rtd",,"OPEN_INT","."&amp;L$2&amp;L$1&amp;"P"&amp;$A50)*RTD("tos.rtd",,"DELTA","."&amp;L$2&amp;L$1&amp;"P"&amp;$A50))/1000,(100*RTD("tos.rtd",,"OPEN_INT","."&amp;L$2&amp;L$1&amp;"C"&amp;$A50)*RTD("tos.rtd",,"DELTA","."&amp;L$2&amp;L$1&amp;"C"&amp;$A50)-100*RTD("tos.rtd",,"OPEN_INT","."&amp;L$2&amp;L$1&amp;"P"&amp;$A50)*RTD("tos.rtd",,"DELTA","."&amp;L$2&amp;L$1&amp;"P"&amp;$A50))/1000),0),IF($A$2="VEX",IFERROR(IF($X$1="ABS",($A$4*$A$4*RTD("tos.rtd",,"VOLUME","."&amp;L$2&amp;L$1&amp;"C"&amp;$A50)*RTD("tos.rtd",,"GAMMA","."&amp;L$2&amp;L$1&amp;"C"&amp;$A50)+$A$4*$A$4*RTD("tos.rtd",,"VOLUME","."&amp;L$2&amp;L$1&amp;"P"&amp;$A50)*RTD("tos.rtd",,"GAMMA","."&amp;L$2&amp;L$1&amp;"P"&amp;$A50))/1000000,($A$4*$A$4*RTD("tos.rtd",,"VOLUME","."&amp;L$2&amp;L$1&amp;"C"&amp;$A50)*RTD("tos.rtd",,"GAMMA","."&amp;L$2&amp;L$1&amp;"C"&amp;$A50)-$A$4*$A$4*RTD("tos.rtd",,"VOLUME","."&amp;L$2&amp;L$1&amp;"P"&amp;$A50)*RTD("tos.rtd",,"GAMMA","."&amp;L$2&amp;L$1&amp;"P"&amp;$A50))/1000000),0),IF($A$2="GEX",IFERROR(IF($X$1="ABS",($A$4*$A$4*RTD("tos.rtd",,"OPEN_INT","."&amp;L$2&amp;L$1&amp;"C"&amp;$A50)*RTD("tos.rtd",,"GAMMA","."&amp;L$2&amp;L$1&amp;"C"&amp;$A50)+$A$4*$A$4*RTD("tos.rtd",,"OPEN_INT","."&amp;L$2&amp;L$1&amp;"P"&amp;$A50)*RTD("tos.rtd",,"GAMMA","."&amp;L$2&amp;L$1&amp;"P"&amp;$A50))/1000000,($A$4*$A$4*RTD("tos.rtd",,"OPEN_INT","."&amp;L$2&amp;L$1&amp;"C"&amp;$A50)*RTD("tos.rtd",,"GAMMA","."&amp;L$2&amp;L$1&amp;"C"&amp;$A50)-$A$4*$A$4*RTD("tos.rtd",,"OPEN_INT","."&amp;L$2&amp;L$1&amp;"P"&amp;$A50)*RTD("tos.rtd",,"GAMMA","."&amp;L$2&amp;L$1&amp;"P"&amp;$A50))/1000000),0),IF($A$2="SKEW",IFERROR(VALUE(IF(RTD("tos.rtd",,"IMPL_VOL","."&amp;L$2&amp;L$1&amp;"P"&amp;$A50)="N/A",0,RTD("tos.rtd",,"IMPL_VOL","."&amp;L$2&amp;L$1&amp;"P"&amp;$A50))),0)-IFERROR(VALUE(IF(RTD("tos.rtd",,"IMPL_VOL","."&amp;L$2&amp;L$1&amp;"C"&amp;$A50)="N/A",0,RTD("tos.rtd",,"IMPL_VOL","."&amp;L$2&amp;L$1&amp;"C"&amp;$A50))),0),IF($A$2="MAXPAIN",IF($A$4&gt;$A50,($A$4-$A50)*IF(RTD("tos.rtd",,"OPEN_INT","."&amp;L$2&amp;L$1&amp;"C"&amp;$A50)="N/A",0,RTD("tos.rtd",,"OPEN_INT","."&amp;L$2&amp;L$1&amp;"C"&amp;$A50)),0)+IF($A$4&lt;$A50,($A$5-$A$4)*IF(RTD("tos.rtd",,"OPEN_INT","."&amp;L$2&amp;L$1&amp;"P"&amp;$A50)="N/A",0,RTD("tos.rtd",,"OPEN_INT","."&amp;L$2&amp;L$1&amp;"P"&amp;$A50)),0),IF($X$1="ABS",IF(RTD("tos.rtd",,$A$2,"."&amp;L$2&amp;L$1&amp;"C"&amp;$A50)="N/A",0,RTD("tos.rtd",,$A$2,"."&amp;L$2&amp;L$1&amp;"C"&amp;$A50))+IF(RTD("tos.rtd",,$A$2,"."&amp;L$2&amp;L$1&amp;"P"&amp;$A50)="N/A",0,RTD("tos.rtd",,$A$2,"."&amp;L$2&amp;L$1&amp;"P"&amp;$A50)),IF(RTD("tos.rtd",,$A$2,"."&amp;L$2&amp;L$1&amp;"C"&amp;$A50)="N/A",0,RTD("tos.rtd",,$A$2,"."&amp;L$2&amp;L$1&amp;"C"&amp;$A50))-IF(RTD("tos.rtd",,$A$2,"."&amp;L$2&amp;L$1&amp;"P"&amp;$A50)="N/A",0,RTD("tos.rtd",,$A$2,"."&amp;L$2&amp;L$1&amp;"P"&amp;$A50))))))))))</f>
        <v>0</v>
      </c>
      <c r="M50" s="12">
        <f ca="1">IF($A$2="PREMIUM_OI",IFERROR(IF($X$1="ABS",(100*RTD("tos.rtd",,"OPEN_INT","."&amp;M$2&amp;M$1&amp;"C"&amp;$A50)*RTD("tos.rtd",,"LAST","."&amp;M$2&amp;M$1&amp;"C"&amp;$A50)+100*RTD("tos.rtd",,"OPEN_INT","."&amp;M$2&amp;M$1&amp;"P"&amp;$A50)*RTD("tos.rtd",,"LAST","."&amp;M$2&amp;M$1&amp;"P"&amp;$A50))/1000000,(100*RTD("tos.rtd",,"OPEN_INT","."&amp;M$2&amp;M$1&amp;"C"&amp;$A50)*RTD("tos.rtd",,"LAST","."&amp;M$2&amp;M$1&amp;"C"&amp;$A50)-100*RTD("tos.rtd",,"OPEN_INT","."&amp;M$2&amp;M$1&amp;"P"&amp;$A50)*RTD("tos.rtd",,"LAST","."&amp;M$2&amp;M$1&amp;"P"&amp;$A50))/1000000),0),IF($A$2="PREMIUM",IFERROR(IF($X$1="ABS",(100*RTD("tos.rtd",,"VOLUME","."&amp;M$2&amp;M$1&amp;"C"&amp;$A50)*RTD("tos.rtd",,"LAST","."&amp;M$2&amp;M$1&amp;"C"&amp;$A50)+100*RTD("tos.rtd",,"VOLUME","."&amp;M$2&amp;M$1&amp;"P"&amp;$A50)*RTD("tos.rtd",,"LAST","."&amp;M$2&amp;M$1&amp;"P"&amp;$A50))/1000000,(100*RTD("tos.rtd",,"VOLUME","."&amp;M$2&amp;M$1&amp;"C"&amp;$A50)*RTD("tos.rtd",,"LAST","."&amp;M$2&amp;M$1&amp;"C"&amp;$A50)-100*RTD("tos.rtd",,"VOLUME","."&amp;M$2&amp;M$1&amp;"P"&amp;$A50)*RTD("tos.rtd",,"LAST","."&amp;M$2&amp;M$1&amp;"P"&amp;$A50))/1000000),0),IF($A$2="DEX",IFERROR(IF($X$1="ABS",(100*RTD("tos.rtd",,"OPEN_INT","."&amp;M$2&amp;M$1&amp;"C"&amp;$A50)*RTD("tos.rtd",,"DELTA","."&amp;M$2&amp;M$1&amp;"C"&amp;$A50)+100*RTD("tos.rtd",,"OPEN_INT","."&amp;M$2&amp;M$1&amp;"P"&amp;$A50)*RTD("tos.rtd",,"DELTA","."&amp;M$2&amp;M$1&amp;"P"&amp;$A50))/1000,(100*RTD("tos.rtd",,"OPEN_INT","."&amp;M$2&amp;M$1&amp;"C"&amp;$A50)*RTD("tos.rtd",,"DELTA","."&amp;M$2&amp;M$1&amp;"C"&amp;$A50)-100*RTD("tos.rtd",,"OPEN_INT","."&amp;M$2&amp;M$1&amp;"P"&amp;$A50)*RTD("tos.rtd",,"DELTA","."&amp;M$2&amp;M$1&amp;"P"&amp;$A50))/1000),0),IF($A$2="VEX",IFERROR(IF($X$1="ABS",($A$4*$A$4*RTD("tos.rtd",,"VOLUME","."&amp;M$2&amp;M$1&amp;"C"&amp;$A50)*RTD("tos.rtd",,"GAMMA","."&amp;M$2&amp;M$1&amp;"C"&amp;$A50)+$A$4*$A$4*RTD("tos.rtd",,"VOLUME","."&amp;M$2&amp;M$1&amp;"P"&amp;$A50)*RTD("tos.rtd",,"GAMMA","."&amp;M$2&amp;M$1&amp;"P"&amp;$A50))/1000000,($A$4*$A$4*RTD("tos.rtd",,"VOLUME","."&amp;M$2&amp;M$1&amp;"C"&amp;$A50)*RTD("tos.rtd",,"GAMMA","."&amp;M$2&amp;M$1&amp;"C"&amp;$A50)-$A$4*$A$4*RTD("tos.rtd",,"VOLUME","."&amp;M$2&amp;M$1&amp;"P"&amp;$A50)*RTD("tos.rtd",,"GAMMA","."&amp;M$2&amp;M$1&amp;"P"&amp;$A50))/1000000),0),IF($A$2="GEX",IFERROR(IF($X$1="ABS",($A$4*$A$4*RTD("tos.rtd",,"OPEN_INT","."&amp;M$2&amp;M$1&amp;"C"&amp;$A50)*RTD("tos.rtd",,"GAMMA","."&amp;M$2&amp;M$1&amp;"C"&amp;$A50)+$A$4*$A$4*RTD("tos.rtd",,"OPEN_INT","."&amp;M$2&amp;M$1&amp;"P"&amp;$A50)*RTD("tos.rtd",,"GAMMA","."&amp;M$2&amp;M$1&amp;"P"&amp;$A50))/1000000,($A$4*$A$4*RTD("tos.rtd",,"OPEN_INT","."&amp;M$2&amp;M$1&amp;"C"&amp;$A50)*RTD("tos.rtd",,"GAMMA","."&amp;M$2&amp;M$1&amp;"C"&amp;$A50)-$A$4*$A$4*RTD("tos.rtd",,"OPEN_INT","."&amp;M$2&amp;M$1&amp;"P"&amp;$A50)*RTD("tos.rtd",,"GAMMA","."&amp;M$2&amp;M$1&amp;"P"&amp;$A50))/1000000),0),IF($A$2="SKEW",IFERROR(VALUE(IF(RTD("tos.rtd",,"IMPL_VOL","."&amp;M$2&amp;M$1&amp;"P"&amp;$A50)="N/A",0,RTD("tos.rtd",,"IMPL_VOL","."&amp;M$2&amp;M$1&amp;"P"&amp;$A50))),0)-IFERROR(VALUE(IF(RTD("tos.rtd",,"IMPL_VOL","."&amp;M$2&amp;M$1&amp;"C"&amp;$A50)="N/A",0,RTD("tos.rtd",,"IMPL_VOL","."&amp;M$2&amp;M$1&amp;"C"&amp;$A50))),0),IF($A$2="MAXPAIN",IF($A$4&gt;$A50,($A$4-$A50)*IF(RTD("tos.rtd",,"OPEN_INT","."&amp;M$2&amp;M$1&amp;"C"&amp;$A50)="N/A",0,RTD("tos.rtd",,"OPEN_INT","."&amp;M$2&amp;M$1&amp;"C"&amp;$A50)),0)+IF($A$4&lt;$A50,($A$5-$A$4)*IF(RTD("tos.rtd",,"OPEN_INT","."&amp;M$2&amp;M$1&amp;"P"&amp;$A50)="N/A",0,RTD("tos.rtd",,"OPEN_INT","."&amp;M$2&amp;M$1&amp;"P"&amp;$A50)),0),IF($X$1="ABS",IF(RTD("tos.rtd",,$A$2,"."&amp;M$2&amp;M$1&amp;"C"&amp;$A50)="N/A",0,RTD("tos.rtd",,$A$2,"."&amp;M$2&amp;M$1&amp;"C"&amp;$A50))+IF(RTD("tos.rtd",,$A$2,"."&amp;M$2&amp;M$1&amp;"P"&amp;$A50)="N/A",0,RTD("tos.rtd",,$A$2,"."&amp;M$2&amp;M$1&amp;"P"&amp;$A50)),IF(RTD("tos.rtd",,$A$2,"."&amp;M$2&amp;M$1&amp;"C"&amp;$A50)="N/A",0,RTD("tos.rtd",,$A$2,"."&amp;M$2&amp;M$1&amp;"C"&amp;$A50))-IF(RTD("tos.rtd",,$A$2,"."&amp;M$2&amp;M$1&amp;"P"&amp;$A50)="N/A",0,RTD("tos.rtd",,$A$2,"."&amp;M$2&amp;M$1&amp;"P"&amp;$A50))))))))))</f>
        <v>0</v>
      </c>
      <c r="N50" s="12">
        <f ca="1">IF($A$2="PREMIUM_OI",IFERROR(IF($X$1="ABS",(100*RTD("tos.rtd",,"OPEN_INT","."&amp;N$2&amp;N$1&amp;"C"&amp;$A50)*RTD("tos.rtd",,"LAST","."&amp;N$2&amp;N$1&amp;"C"&amp;$A50)+100*RTD("tos.rtd",,"OPEN_INT","."&amp;N$2&amp;N$1&amp;"P"&amp;$A50)*RTD("tos.rtd",,"LAST","."&amp;N$2&amp;N$1&amp;"P"&amp;$A50))/1000000,(100*RTD("tos.rtd",,"OPEN_INT","."&amp;N$2&amp;N$1&amp;"C"&amp;$A50)*RTD("tos.rtd",,"LAST","."&amp;N$2&amp;N$1&amp;"C"&amp;$A50)-100*RTD("tos.rtd",,"OPEN_INT","."&amp;N$2&amp;N$1&amp;"P"&amp;$A50)*RTD("tos.rtd",,"LAST","."&amp;N$2&amp;N$1&amp;"P"&amp;$A50))/1000000),0),IF($A$2="PREMIUM",IFERROR(IF($X$1="ABS",(100*RTD("tos.rtd",,"VOLUME","."&amp;N$2&amp;N$1&amp;"C"&amp;$A50)*RTD("tos.rtd",,"LAST","."&amp;N$2&amp;N$1&amp;"C"&amp;$A50)+100*RTD("tos.rtd",,"VOLUME","."&amp;N$2&amp;N$1&amp;"P"&amp;$A50)*RTD("tos.rtd",,"LAST","."&amp;N$2&amp;N$1&amp;"P"&amp;$A50))/1000000,(100*RTD("tos.rtd",,"VOLUME","."&amp;N$2&amp;N$1&amp;"C"&amp;$A50)*RTD("tos.rtd",,"LAST","."&amp;N$2&amp;N$1&amp;"C"&amp;$A50)-100*RTD("tos.rtd",,"VOLUME","."&amp;N$2&amp;N$1&amp;"P"&amp;$A50)*RTD("tos.rtd",,"LAST","."&amp;N$2&amp;N$1&amp;"P"&amp;$A50))/1000000),0),IF($A$2="DEX",IFERROR(IF($X$1="ABS",(100*RTD("tos.rtd",,"OPEN_INT","."&amp;N$2&amp;N$1&amp;"C"&amp;$A50)*RTD("tos.rtd",,"DELTA","."&amp;N$2&amp;N$1&amp;"C"&amp;$A50)+100*RTD("tos.rtd",,"OPEN_INT","."&amp;N$2&amp;N$1&amp;"P"&amp;$A50)*RTD("tos.rtd",,"DELTA","."&amp;N$2&amp;N$1&amp;"P"&amp;$A50))/1000,(100*RTD("tos.rtd",,"OPEN_INT","."&amp;N$2&amp;N$1&amp;"C"&amp;$A50)*RTD("tos.rtd",,"DELTA","."&amp;N$2&amp;N$1&amp;"C"&amp;$A50)-100*RTD("tos.rtd",,"OPEN_INT","."&amp;N$2&amp;N$1&amp;"P"&amp;$A50)*RTD("tos.rtd",,"DELTA","."&amp;N$2&amp;N$1&amp;"P"&amp;$A50))/1000),0),IF($A$2="VEX",IFERROR(IF($X$1="ABS",($A$4*$A$4*RTD("tos.rtd",,"VOLUME","."&amp;N$2&amp;N$1&amp;"C"&amp;$A50)*RTD("tos.rtd",,"GAMMA","."&amp;N$2&amp;N$1&amp;"C"&amp;$A50)+$A$4*$A$4*RTD("tos.rtd",,"VOLUME","."&amp;N$2&amp;N$1&amp;"P"&amp;$A50)*RTD("tos.rtd",,"GAMMA","."&amp;N$2&amp;N$1&amp;"P"&amp;$A50))/1000000,($A$4*$A$4*RTD("tos.rtd",,"VOLUME","."&amp;N$2&amp;N$1&amp;"C"&amp;$A50)*RTD("tos.rtd",,"GAMMA","."&amp;N$2&amp;N$1&amp;"C"&amp;$A50)-$A$4*$A$4*RTD("tos.rtd",,"VOLUME","."&amp;N$2&amp;N$1&amp;"P"&amp;$A50)*RTD("tos.rtd",,"GAMMA","."&amp;N$2&amp;N$1&amp;"P"&amp;$A50))/1000000),0),IF($A$2="GEX",IFERROR(IF($X$1="ABS",($A$4*$A$4*RTD("tos.rtd",,"OPEN_INT","."&amp;N$2&amp;N$1&amp;"C"&amp;$A50)*RTD("tos.rtd",,"GAMMA","."&amp;N$2&amp;N$1&amp;"C"&amp;$A50)+$A$4*$A$4*RTD("tos.rtd",,"OPEN_INT","."&amp;N$2&amp;N$1&amp;"P"&amp;$A50)*RTD("tos.rtd",,"GAMMA","."&amp;N$2&amp;N$1&amp;"P"&amp;$A50))/1000000,($A$4*$A$4*RTD("tos.rtd",,"OPEN_INT","."&amp;N$2&amp;N$1&amp;"C"&amp;$A50)*RTD("tos.rtd",,"GAMMA","."&amp;N$2&amp;N$1&amp;"C"&amp;$A50)-$A$4*$A$4*RTD("tos.rtd",,"OPEN_INT","."&amp;N$2&amp;N$1&amp;"P"&amp;$A50)*RTD("tos.rtd",,"GAMMA","."&amp;N$2&amp;N$1&amp;"P"&amp;$A50))/1000000),0),IF($A$2="SKEW",IFERROR(VALUE(IF(RTD("tos.rtd",,"IMPL_VOL","."&amp;N$2&amp;N$1&amp;"P"&amp;$A50)="N/A",0,RTD("tos.rtd",,"IMPL_VOL","."&amp;N$2&amp;N$1&amp;"P"&amp;$A50))),0)-IFERROR(VALUE(IF(RTD("tos.rtd",,"IMPL_VOL","."&amp;N$2&amp;N$1&amp;"C"&amp;$A50)="N/A",0,RTD("tos.rtd",,"IMPL_VOL","."&amp;N$2&amp;N$1&amp;"C"&amp;$A50))),0),IF($A$2="MAXPAIN",IF($A$4&gt;$A50,($A$4-$A50)*IF(RTD("tos.rtd",,"OPEN_INT","."&amp;N$2&amp;N$1&amp;"C"&amp;$A50)="N/A",0,RTD("tos.rtd",,"OPEN_INT","."&amp;N$2&amp;N$1&amp;"C"&amp;$A50)),0)+IF($A$4&lt;$A50,($A$5-$A$4)*IF(RTD("tos.rtd",,"OPEN_INT","."&amp;N$2&amp;N$1&amp;"P"&amp;$A50)="N/A",0,RTD("tos.rtd",,"OPEN_INT","."&amp;N$2&amp;N$1&amp;"P"&amp;$A50)),0),IF($X$1="ABS",IF(RTD("tos.rtd",,$A$2,"."&amp;N$2&amp;N$1&amp;"C"&amp;$A50)="N/A",0,RTD("tos.rtd",,$A$2,"."&amp;N$2&amp;N$1&amp;"C"&amp;$A50))+IF(RTD("tos.rtd",,$A$2,"."&amp;N$2&amp;N$1&amp;"P"&amp;$A50)="N/A",0,RTD("tos.rtd",,$A$2,"."&amp;N$2&amp;N$1&amp;"P"&amp;$A50)),IF(RTD("tos.rtd",,$A$2,"."&amp;N$2&amp;N$1&amp;"C"&amp;$A50)="N/A",0,RTD("tos.rtd",,$A$2,"."&amp;N$2&amp;N$1&amp;"C"&amp;$A50))-IF(RTD("tos.rtd",,$A$2,"."&amp;N$2&amp;N$1&amp;"P"&amp;$A50)="N/A",0,RTD("tos.rtd",,$A$2,"."&amp;N$2&amp;N$1&amp;"P"&amp;$A50))))))))))</f>
        <v>0</v>
      </c>
      <c r="O50" s="12">
        <f ca="1">IF($A$2="PREMIUM_OI",IFERROR(IF($X$1="ABS",(100*RTD("tos.rtd",,"OPEN_INT","."&amp;O$2&amp;O$1&amp;"C"&amp;$A50)*RTD("tos.rtd",,"LAST","."&amp;O$2&amp;O$1&amp;"C"&amp;$A50)+100*RTD("tos.rtd",,"OPEN_INT","."&amp;O$2&amp;O$1&amp;"P"&amp;$A50)*RTD("tos.rtd",,"LAST","."&amp;O$2&amp;O$1&amp;"P"&amp;$A50))/1000000,(100*RTD("tos.rtd",,"OPEN_INT","."&amp;O$2&amp;O$1&amp;"C"&amp;$A50)*RTD("tos.rtd",,"LAST","."&amp;O$2&amp;O$1&amp;"C"&amp;$A50)-100*RTD("tos.rtd",,"OPEN_INT","."&amp;O$2&amp;O$1&amp;"P"&amp;$A50)*RTD("tos.rtd",,"LAST","."&amp;O$2&amp;O$1&amp;"P"&amp;$A50))/1000000),0),IF($A$2="PREMIUM",IFERROR(IF($X$1="ABS",(100*RTD("tos.rtd",,"VOLUME","."&amp;O$2&amp;O$1&amp;"C"&amp;$A50)*RTD("tos.rtd",,"LAST","."&amp;O$2&amp;O$1&amp;"C"&amp;$A50)+100*RTD("tos.rtd",,"VOLUME","."&amp;O$2&amp;O$1&amp;"P"&amp;$A50)*RTD("tos.rtd",,"LAST","."&amp;O$2&amp;O$1&amp;"P"&amp;$A50))/1000000,(100*RTD("tos.rtd",,"VOLUME","."&amp;O$2&amp;O$1&amp;"C"&amp;$A50)*RTD("tos.rtd",,"LAST","."&amp;O$2&amp;O$1&amp;"C"&amp;$A50)-100*RTD("tos.rtd",,"VOLUME","."&amp;O$2&amp;O$1&amp;"P"&amp;$A50)*RTD("tos.rtd",,"LAST","."&amp;O$2&amp;O$1&amp;"P"&amp;$A50))/1000000),0),IF($A$2="DEX",IFERROR(IF($X$1="ABS",(100*RTD("tos.rtd",,"OPEN_INT","."&amp;O$2&amp;O$1&amp;"C"&amp;$A50)*RTD("tos.rtd",,"DELTA","."&amp;O$2&amp;O$1&amp;"C"&amp;$A50)+100*RTD("tos.rtd",,"OPEN_INT","."&amp;O$2&amp;O$1&amp;"P"&amp;$A50)*RTD("tos.rtd",,"DELTA","."&amp;O$2&amp;O$1&amp;"P"&amp;$A50))/1000,(100*RTD("tos.rtd",,"OPEN_INT","."&amp;O$2&amp;O$1&amp;"C"&amp;$A50)*RTD("tos.rtd",,"DELTA","."&amp;O$2&amp;O$1&amp;"C"&amp;$A50)-100*RTD("tos.rtd",,"OPEN_INT","."&amp;O$2&amp;O$1&amp;"P"&amp;$A50)*RTD("tos.rtd",,"DELTA","."&amp;O$2&amp;O$1&amp;"P"&amp;$A50))/1000),0),IF($A$2="VEX",IFERROR(IF($X$1="ABS",($A$4*$A$4*RTD("tos.rtd",,"VOLUME","."&amp;O$2&amp;O$1&amp;"C"&amp;$A50)*RTD("tos.rtd",,"GAMMA","."&amp;O$2&amp;O$1&amp;"C"&amp;$A50)+$A$4*$A$4*RTD("tos.rtd",,"VOLUME","."&amp;O$2&amp;O$1&amp;"P"&amp;$A50)*RTD("tos.rtd",,"GAMMA","."&amp;O$2&amp;O$1&amp;"P"&amp;$A50))/1000000,($A$4*$A$4*RTD("tos.rtd",,"VOLUME","."&amp;O$2&amp;O$1&amp;"C"&amp;$A50)*RTD("tos.rtd",,"GAMMA","."&amp;O$2&amp;O$1&amp;"C"&amp;$A50)-$A$4*$A$4*RTD("tos.rtd",,"VOLUME","."&amp;O$2&amp;O$1&amp;"P"&amp;$A50)*RTD("tos.rtd",,"GAMMA","."&amp;O$2&amp;O$1&amp;"P"&amp;$A50))/1000000),0),IF($A$2="GEX",IFERROR(IF($X$1="ABS",($A$4*$A$4*RTD("tos.rtd",,"OPEN_INT","."&amp;O$2&amp;O$1&amp;"C"&amp;$A50)*RTD("tos.rtd",,"GAMMA","."&amp;O$2&amp;O$1&amp;"C"&amp;$A50)+$A$4*$A$4*RTD("tos.rtd",,"OPEN_INT","."&amp;O$2&amp;O$1&amp;"P"&amp;$A50)*RTD("tos.rtd",,"GAMMA","."&amp;O$2&amp;O$1&amp;"P"&amp;$A50))/1000000,($A$4*$A$4*RTD("tos.rtd",,"OPEN_INT","."&amp;O$2&amp;O$1&amp;"C"&amp;$A50)*RTD("tos.rtd",,"GAMMA","."&amp;O$2&amp;O$1&amp;"C"&amp;$A50)-$A$4*$A$4*RTD("tos.rtd",,"OPEN_INT","."&amp;O$2&amp;O$1&amp;"P"&amp;$A50)*RTD("tos.rtd",,"GAMMA","."&amp;O$2&amp;O$1&amp;"P"&amp;$A50))/1000000),0),IF($A$2="SKEW",IFERROR(VALUE(IF(RTD("tos.rtd",,"IMPL_VOL","."&amp;O$2&amp;O$1&amp;"P"&amp;$A50)="N/A",0,RTD("tos.rtd",,"IMPL_VOL","."&amp;O$2&amp;O$1&amp;"P"&amp;$A50))),0)-IFERROR(VALUE(IF(RTD("tos.rtd",,"IMPL_VOL","."&amp;O$2&amp;O$1&amp;"C"&amp;$A50)="N/A",0,RTD("tos.rtd",,"IMPL_VOL","."&amp;O$2&amp;O$1&amp;"C"&amp;$A50))),0),IF($A$2="MAXPAIN",IF($A$4&gt;$A50,($A$4-$A50)*IF(RTD("tos.rtd",,"OPEN_INT","."&amp;O$2&amp;O$1&amp;"C"&amp;$A50)="N/A",0,RTD("tos.rtd",,"OPEN_INT","."&amp;O$2&amp;O$1&amp;"C"&amp;$A50)),0)+IF($A$4&lt;$A50,($A$5-$A$4)*IF(RTD("tos.rtd",,"OPEN_INT","."&amp;O$2&amp;O$1&amp;"P"&amp;$A50)="N/A",0,RTD("tos.rtd",,"OPEN_INT","."&amp;O$2&amp;O$1&amp;"P"&amp;$A50)),0),IF($X$1="ABS",IF(RTD("tos.rtd",,$A$2,"."&amp;O$2&amp;O$1&amp;"C"&amp;$A50)="N/A",0,RTD("tos.rtd",,$A$2,"."&amp;O$2&amp;O$1&amp;"C"&amp;$A50))+IF(RTD("tos.rtd",,$A$2,"."&amp;O$2&amp;O$1&amp;"P"&amp;$A50)="N/A",0,RTD("tos.rtd",,$A$2,"."&amp;O$2&amp;O$1&amp;"P"&amp;$A50)),IF(RTD("tos.rtd",,$A$2,"."&amp;O$2&amp;O$1&amp;"C"&amp;$A50)="N/A",0,RTD("tos.rtd",,$A$2,"."&amp;O$2&amp;O$1&amp;"C"&amp;$A50))-IF(RTD("tos.rtd",,$A$2,"."&amp;O$2&amp;O$1&amp;"P"&amp;$A50)="N/A",0,RTD("tos.rtd",,$A$2,"."&amp;O$2&amp;O$1&amp;"P"&amp;$A50))))))))))</f>
        <v>0</v>
      </c>
      <c r="P50" s="12">
        <f ca="1">IF($A$2="PREMIUM_OI",IFERROR(IF($X$1="ABS",(100*RTD("tos.rtd",,"OPEN_INT","."&amp;P$2&amp;P$1&amp;"C"&amp;$A50)*RTD("tos.rtd",,"LAST","."&amp;P$2&amp;P$1&amp;"C"&amp;$A50)+100*RTD("tos.rtd",,"OPEN_INT","."&amp;P$2&amp;P$1&amp;"P"&amp;$A50)*RTD("tos.rtd",,"LAST","."&amp;P$2&amp;P$1&amp;"P"&amp;$A50))/1000000,(100*RTD("tos.rtd",,"OPEN_INT","."&amp;P$2&amp;P$1&amp;"C"&amp;$A50)*RTD("tos.rtd",,"LAST","."&amp;P$2&amp;P$1&amp;"C"&amp;$A50)-100*RTD("tos.rtd",,"OPEN_INT","."&amp;P$2&amp;P$1&amp;"P"&amp;$A50)*RTD("tos.rtd",,"LAST","."&amp;P$2&amp;P$1&amp;"P"&amp;$A50))/1000000),0),IF($A$2="PREMIUM",IFERROR(IF($X$1="ABS",(100*RTD("tos.rtd",,"VOLUME","."&amp;P$2&amp;P$1&amp;"C"&amp;$A50)*RTD("tos.rtd",,"LAST","."&amp;P$2&amp;P$1&amp;"C"&amp;$A50)+100*RTD("tos.rtd",,"VOLUME","."&amp;P$2&amp;P$1&amp;"P"&amp;$A50)*RTD("tos.rtd",,"LAST","."&amp;P$2&amp;P$1&amp;"P"&amp;$A50))/1000000,(100*RTD("tos.rtd",,"VOLUME","."&amp;P$2&amp;P$1&amp;"C"&amp;$A50)*RTD("tos.rtd",,"LAST","."&amp;P$2&amp;P$1&amp;"C"&amp;$A50)-100*RTD("tos.rtd",,"VOLUME","."&amp;P$2&amp;P$1&amp;"P"&amp;$A50)*RTD("tos.rtd",,"LAST","."&amp;P$2&amp;P$1&amp;"P"&amp;$A50))/1000000),0),IF($A$2="DEX",IFERROR(IF($X$1="ABS",(100*RTD("tos.rtd",,"OPEN_INT","."&amp;P$2&amp;P$1&amp;"C"&amp;$A50)*RTD("tos.rtd",,"DELTA","."&amp;P$2&amp;P$1&amp;"C"&amp;$A50)+100*RTD("tos.rtd",,"OPEN_INT","."&amp;P$2&amp;P$1&amp;"P"&amp;$A50)*RTD("tos.rtd",,"DELTA","."&amp;P$2&amp;P$1&amp;"P"&amp;$A50))/1000,(100*RTD("tos.rtd",,"OPEN_INT","."&amp;P$2&amp;P$1&amp;"C"&amp;$A50)*RTD("tos.rtd",,"DELTA","."&amp;P$2&amp;P$1&amp;"C"&amp;$A50)-100*RTD("tos.rtd",,"OPEN_INT","."&amp;P$2&amp;P$1&amp;"P"&amp;$A50)*RTD("tos.rtd",,"DELTA","."&amp;P$2&amp;P$1&amp;"P"&amp;$A50))/1000),0),IF($A$2="VEX",IFERROR(IF($X$1="ABS",($A$4*$A$4*RTD("tos.rtd",,"VOLUME","."&amp;P$2&amp;P$1&amp;"C"&amp;$A50)*RTD("tos.rtd",,"GAMMA","."&amp;P$2&amp;P$1&amp;"C"&amp;$A50)+$A$4*$A$4*RTD("tos.rtd",,"VOLUME","."&amp;P$2&amp;P$1&amp;"P"&amp;$A50)*RTD("tos.rtd",,"GAMMA","."&amp;P$2&amp;P$1&amp;"P"&amp;$A50))/1000000,($A$4*$A$4*RTD("tos.rtd",,"VOLUME","."&amp;P$2&amp;P$1&amp;"C"&amp;$A50)*RTD("tos.rtd",,"GAMMA","."&amp;P$2&amp;P$1&amp;"C"&amp;$A50)-$A$4*$A$4*RTD("tos.rtd",,"VOLUME","."&amp;P$2&amp;P$1&amp;"P"&amp;$A50)*RTD("tos.rtd",,"GAMMA","."&amp;P$2&amp;P$1&amp;"P"&amp;$A50))/1000000),0),IF($A$2="GEX",IFERROR(IF($X$1="ABS",($A$4*$A$4*RTD("tos.rtd",,"OPEN_INT","."&amp;P$2&amp;P$1&amp;"C"&amp;$A50)*RTD("tos.rtd",,"GAMMA","."&amp;P$2&amp;P$1&amp;"C"&amp;$A50)+$A$4*$A$4*RTD("tos.rtd",,"OPEN_INT","."&amp;P$2&amp;P$1&amp;"P"&amp;$A50)*RTD("tos.rtd",,"GAMMA","."&amp;P$2&amp;P$1&amp;"P"&amp;$A50))/1000000,($A$4*$A$4*RTD("tos.rtd",,"OPEN_INT","."&amp;P$2&amp;P$1&amp;"C"&amp;$A50)*RTD("tos.rtd",,"GAMMA","."&amp;P$2&amp;P$1&amp;"C"&amp;$A50)-$A$4*$A$4*RTD("tos.rtd",,"OPEN_INT","."&amp;P$2&amp;P$1&amp;"P"&amp;$A50)*RTD("tos.rtd",,"GAMMA","."&amp;P$2&amp;P$1&amp;"P"&amp;$A50))/1000000),0),IF($A$2="SKEW",IFERROR(VALUE(IF(RTD("tos.rtd",,"IMPL_VOL","."&amp;P$2&amp;P$1&amp;"P"&amp;$A50)="N/A",0,RTD("tos.rtd",,"IMPL_VOL","."&amp;P$2&amp;P$1&amp;"P"&amp;$A50))),0)-IFERROR(VALUE(IF(RTD("tos.rtd",,"IMPL_VOL","."&amp;P$2&amp;P$1&amp;"C"&amp;$A50)="N/A",0,RTD("tos.rtd",,"IMPL_VOL","."&amp;P$2&amp;P$1&amp;"C"&amp;$A50))),0),IF($A$2="MAXPAIN",IF($A$4&gt;$A50,($A$4-$A50)*IF(RTD("tos.rtd",,"OPEN_INT","."&amp;P$2&amp;P$1&amp;"C"&amp;$A50)="N/A",0,RTD("tos.rtd",,"OPEN_INT","."&amp;P$2&amp;P$1&amp;"C"&amp;$A50)),0)+IF($A$4&lt;$A50,($A$5-$A$4)*IF(RTD("tos.rtd",,"OPEN_INT","."&amp;P$2&amp;P$1&amp;"P"&amp;$A50)="N/A",0,RTD("tos.rtd",,"OPEN_INT","."&amp;P$2&amp;P$1&amp;"P"&amp;$A50)),0),IF($X$1="ABS",IF(RTD("tos.rtd",,$A$2,"."&amp;P$2&amp;P$1&amp;"C"&amp;$A50)="N/A",0,RTD("tos.rtd",,$A$2,"."&amp;P$2&amp;P$1&amp;"C"&amp;$A50))+IF(RTD("tos.rtd",,$A$2,"."&amp;P$2&amp;P$1&amp;"P"&amp;$A50)="N/A",0,RTD("tos.rtd",,$A$2,"."&amp;P$2&amp;P$1&amp;"P"&amp;$A50)),IF(RTD("tos.rtd",,$A$2,"."&amp;P$2&amp;P$1&amp;"C"&amp;$A50)="N/A",0,RTD("tos.rtd",,$A$2,"."&amp;P$2&amp;P$1&amp;"C"&amp;$A50))-IF(RTD("tos.rtd",,$A$2,"."&amp;P$2&amp;P$1&amp;"P"&amp;$A50)="N/A",0,RTD("tos.rtd",,$A$2,"."&amp;P$2&amp;P$1&amp;"P"&amp;$A50))))))))))</f>
        <v>0</v>
      </c>
      <c r="Q50" s="12">
        <f ca="1">IF($A$2="PREMIUM_OI",IFERROR(IF($X$1="ABS",(100*RTD("tos.rtd",,"OPEN_INT","."&amp;Q$2&amp;Q$1&amp;"C"&amp;$A50)*RTD("tos.rtd",,"LAST","."&amp;Q$2&amp;Q$1&amp;"C"&amp;$A50)+100*RTD("tos.rtd",,"OPEN_INT","."&amp;Q$2&amp;Q$1&amp;"P"&amp;$A50)*RTD("tos.rtd",,"LAST","."&amp;Q$2&amp;Q$1&amp;"P"&amp;$A50))/1000000,(100*RTD("tos.rtd",,"OPEN_INT","."&amp;Q$2&amp;Q$1&amp;"C"&amp;$A50)*RTD("tos.rtd",,"LAST","."&amp;Q$2&amp;Q$1&amp;"C"&amp;$A50)-100*RTD("tos.rtd",,"OPEN_INT","."&amp;Q$2&amp;Q$1&amp;"P"&amp;$A50)*RTD("tos.rtd",,"LAST","."&amp;Q$2&amp;Q$1&amp;"P"&amp;$A50))/1000000),0),IF($A$2="PREMIUM",IFERROR(IF($X$1="ABS",(100*RTD("tos.rtd",,"VOLUME","."&amp;Q$2&amp;Q$1&amp;"C"&amp;$A50)*RTD("tos.rtd",,"LAST","."&amp;Q$2&amp;Q$1&amp;"C"&amp;$A50)+100*RTD("tos.rtd",,"VOLUME","."&amp;Q$2&amp;Q$1&amp;"P"&amp;$A50)*RTD("tos.rtd",,"LAST","."&amp;Q$2&amp;Q$1&amp;"P"&amp;$A50))/1000000,(100*RTD("tos.rtd",,"VOLUME","."&amp;Q$2&amp;Q$1&amp;"C"&amp;$A50)*RTD("tos.rtd",,"LAST","."&amp;Q$2&amp;Q$1&amp;"C"&amp;$A50)-100*RTD("tos.rtd",,"VOLUME","."&amp;Q$2&amp;Q$1&amp;"P"&amp;$A50)*RTD("tos.rtd",,"LAST","."&amp;Q$2&amp;Q$1&amp;"P"&amp;$A50))/1000000),0),IF($A$2="DEX",IFERROR(IF($X$1="ABS",(100*RTD("tos.rtd",,"OPEN_INT","."&amp;Q$2&amp;Q$1&amp;"C"&amp;$A50)*RTD("tos.rtd",,"DELTA","."&amp;Q$2&amp;Q$1&amp;"C"&amp;$A50)+100*RTD("tos.rtd",,"OPEN_INT","."&amp;Q$2&amp;Q$1&amp;"P"&amp;$A50)*RTD("tos.rtd",,"DELTA","."&amp;Q$2&amp;Q$1&amp;"P"&amp;$A50))/1000,(100*RTD("tos.rtd",,"OPEN_INT","."&amp;Q$2&amp;Q$1&amp;"C"&amp;$A50)*RTD("tos.rtd",,"DELTA","."&amp;Q$2&amp;Q$1&amp;"C"&amp;$A50)-100*RTD("tos.rtd",,"OPEN_INT","."&amp;Q$2&amp;Q$1&amp;"P"&amp;$A50)*RTD("tos.rtd",,"DELTA","."&amp;Q$2&amp;Q$1&amp;"P"&amp;$A50))/1000),0),IF($A$2="VEX",IFERROR(IF($X$1="ABS",($A$4*$A$4*RTD("tos.rtd",,"VOLUME","."&amp;Q$2&amp;Q$1&amp;"C"&amp;$A50)*RTD("tos.rtd",,"GAMMA","."&amp;Q$2&amp;Q$1&amp;"C"&amp;$A50)+$A$4*$A$4*RTD("tos.rtd",,"VOLUME","."&amp;Q$2&amp;Q$1&amp;"P"&amp;$A50)*RTD("tos.rtd",,"GAMMA","."&amp;Q$2&amp;Q$1&amp;"P"&amp;$A50))/1000000,($A$4*$A$4*RTD("tos.rtd",,"VOLUME","."&amp;Q$2&amp;Q$1&amp;"C"&amp;$A50)*RTD("tos.rtd",,"GAMMA","."&amp;Q$2&amp;Q$1&amp;"C"&amp;$A50)-$A$4*$A$4*RTD("tos.rtd",,"VOLUME","."&amp;Q$2&amp;Q$1&amp;"P"&amp;$A50)*RTD("tos.rtd",,"GAMMA","."&amp;Q$2&amp;Q$1&amp;"P"&amp;$A50))/1000000),0),IF($A$2="GEX",IFERROR(IF($X$1="ABS",($A$4*$A$4*RTD("tos.rtd",,"OPEN_INT","."&amp;Q$2&amp;Q$1&amp;"C"&amp;$A50)*RTD("tos.rtd",,"GAMMA","."&amp;Q$2&amp;Q$1&amp;"C"&amp;$A50)+$A$4*$A$4*RTD("tos.rtd",,"OPEN_INT","."&amp;Q$2&amp;Q$1&amp;"P"&amp;$A50)*RTD("tos.rtd",,"GAMMA","."&amp;Q$2&amp;Q$1&amp;"P"&amp;$A50))/1000000,($A$4*$A$4*RTD("tos.rtd",,"OPEN_INT","."&amp;Q$2&amp;Q$1&amp;"C"&amp;$A50)*RTD("tos.rtd",,"GAMMA","."&amp;Q$2&amp;Q$1&amp;"C"&amp;$A50)-$A$4*$A$4*RTD("tos.rtd",,"OPEN_INT","."&amp;Q$2&amp;Q$1&amp;"P"&amp;$A50)*RTD("tos.rtd",,"GAMMA","."&amp;Q$2&amp;Q$1&amp;"P"&amp;$A50))/1000000),0),IF($A$2="SKEW",IFERROR(VALUE(IF(RTD("tos.rtd",,"IMPL_VOL","."&amp;Q$2&amp;Q$1&amp;"P"&amp;$A50)="N/A",0,RTD("tos.rtd",,"IMPL_VOL","."&amp;Q$2&amp;Q$1&amp;"P"&amp;$A50))),0)-IFERROR(VALUE(IF(RTD("tos.rtd",,"IMPL_VOL","."&amp;Q$2&amp;Q$1&amp;"C"&amp;$A50)="N/A",0,RTD("tos.rtd",,"IMPL_VOL","."&amp;Q$2&amp;Q$1&amp;"C"&amp;$A50))),0),IF($A$2="MAXPAIN",IF($A$4&gt;$A50,($A$4-$A50)*IF(RTD("tos.rtd",,"OPEN_INT","."&amp;Q$2&amp;Q$1&amp;"C"&amp;$A50)="N/A",0,RTD("tos.rtd",,"OPEN_INT","."&amp;Q$2&amp;Q$1&amp;"C"&amp;$A50)),0)+IF($A$4&lt;$A50,($A$5-$A$4)*IF(RTD("tos.rtd",,"OPEN_INT","."&amp;Q$2&amp;Q$1&amp;"P"&amp;$A50)="N/A",0,RTD("tos.rtd",,"OPEN_INT","."&amp;Q$2&amp;Q$1&amp;"P"&amp;$A50)),0),IF($X$1="ABS",IF(RTD("tos.rtd",,$A$2,"."&amp;Q$2&amp;Q$1&amp;"C"&amp;$A50)="N/A",0,RTD("tos.rtd",,$A$2,"."&amp;Q$2&amp;Q$1&amp;"C"&amp;$A50))+IF(RTD("tos.rtd",,$A$2,"."&amp;Q$2&amp;Q$1&amp;"P"&amp;$A50)="N/A",0,RTD("tos.rtd",,$A$2,"."&amp;Q$2&amp;Q$1&amp;"P"&amp;$A50)),IF(RTD("tos.rtd",,$A$2,"."&amp;Q$2&amp;Q$1&amp;"C"&amp;$A50)="N/A",0,RTD("tos.rtd",,$A$2,"."&amp;Q$2&amp;Q$1&amp;"C"&amp;$A50))-IF(RTD("tos.rtd",,$A$2,"."&amp;Q$2&amp;Q$1&amp;"P"&amp;$A50)="N/A",0,RTD("tos.rtd",,$A$2,"."&amp;Q$2&amp;Q$1&amp;"P"&amp;$A50))))))))))</f>
        <v>0</v>
      </c>
      <c r="R50" s="12">
        <f ca="1">IF($A$2="PREMIUM_OI",IFERROR(IF($X$1="ABS",(100*RTD("tos.rtd",,"OPEN_INT","."&amp;R$2&amp;R$1&amp;"C"&amp;$A50)*RTD("tos.rtd",,"LAST","."&amp;R$2&amp;R$1&amp;"C"&amp;$A50)+100*RTD("tos.rtd",,"OPEN_INT","."&amp;R$2&amp;R$1&amp;"P"&amp;$A50)*RTD("tos.rtd",,"LAST","."&amp;R$2&amp;R$1&amp;"P"&amp;$A50))/1000000,(100*RTD("tos.rtd",,"OPEN_INT","."&amp;R$2&amp;R$1&amp;"C"&amp;$A50)*RTD("tos.rtd",,"LAST","."&amp;R$2&amp;R$1&amp;"C"&amp;$A50)-100*RTD("tos.rtd",,"OPEN_INT","."&amp;R$2&amp;R$1&amp;"P"&amp;$A50)*RTD("tos.rtd",,"LAST","."&amp;R$2&amp;R$1&amp;"P"&amp;$A50))/1000000),0),IF($A$2="PREMIUM",IFERROR(IF($X$1="ABS",(100*RTD("tos.rtd",,"VOLUME","."&amp;R$2&amp;R$1&amp;"C"&amp;$A50)*RTD("tos.rtd",,"LAST","."&amp;R$2&amp;R$1&amp;"C"&amp;$A50)+100*RTD("tos.rtd",,"VOLUME","."&amp;R$2&amp;R$1&amp;"P"&amp;$A50)*RTD("tos.rtd",,"LAST","."&amp;R$2&amp;R$1&amp;"P"&amp;$A50))/1000000,(100*RTD("tos.rtd",,"VOLUME","."&amp;R$2&amp;R$1&amp;"C"&amp;$A50)*RTD("tos.rtd",,"LAST","."&amp;R$2&amp;R$1&amp;"C"&amp;$A50)-100*RTD("tos.rtd",,"VOLUME","."&amp;R$2&amp;R$1&amp;"P"&amp;$A50)*RTD("tos.rtd",,"LAST","."&amp;R$2&amp;R$1&amp;"P"&amp;$A50))/1000000),0),IF($A$2="DEX",IFERROR(IF($X$1="ABS",(100*RTD("tos.rtd",,"OPEN_INT","."&amp;R$2&amp;R$1&amp;"C"&amp;$A50)*RTD("tos.rtd",,"DELTA","."&amp;R$2&amp;R$1&amp;"C"&amp;$A50)+100*RTD("tos.rtd",,"OPEN_INT","."&amp;R$2&amp;R$1&amp;"P"&amp;$A50)*RTD("tos.rtd",,"DELTA","."&amp;R$2&amp;R$1&amp;"P"&amp;$A50))/1000,(100*RTD("tos.rtd",,"OPEN_INT","."&amp;R$2&amp;R$1&amp;"C"&amp;$A50)*RTD("tos.rtd",,"DELTA","."&amp;R$2&amp;R$1&amp;"C"&amp;$A50)-100*RTD("tos.rtd",,"OPEN_INT","."&amp;R$2&amp;R$1&amp;"P"&amp;$A50)*RTD("tos.rtd",,"DELTA","."&amp;R$2&amp;R$1&amp;"P"&amp;$A50))/1000),0),IF($A$2="VEX",IFERROR(IF($X$1="ABS",($A$4*$A$4*RTD("tos.rtd",,"VOLUME","."&amp;R$2&amp;R$1&amp;"C"&amp;$A50)*RTD("tos.rtd",,"GAMMA","."&amp;R$2&amp;R$1&amp;"C"&amp;$A50)+$A$4*$A$4*RTD("tos.rtd",,"VOLUME","."&amp;R$2&amp;R$1&amp;"P"&amp;$A50)*RTD("tos.rtd",,"GAMMA","."&amp;R$2&amp;R$1&amp;"P"&amp;$A50))/1000000,($A$4*$A$4*RTD("tos.rtd",,"VOLUME","."&amp;R$2&amp;R$1&amp;"C"&amp;$A50)*RTD("tos.rtd",,"GAMMA","."&amp;R$2&amp;R$1&amp;"C"&amp;$A50)-$A$4*$A$4*RTD("tos.rtd",,"VOLUME","."&amp;R$2&amp;R$1&amp;"P"&amp;$A50)*RTD("tos.rtd",,"GAMMA","."&amp;R$2&amp;R$1&amp;"P"&amp;$A50))/1000000),0),IF($A$2="GEX",IFERROR(IF($X$1="ABS",($A$4*$A$4*RTD("tos.rtd",,"OPEN_INT","."&amp;R$2&amp;R$1&amp;"C"&amp;$A50)*RTD("tos.rtd",,"GAMMA","."&amp;R$2&amp;R$1&amp;"C"&amp;$A50)+$A$4*$A$4*RTD("tos.rtd",,"OPEN_INT","."&amp;R$2&amp;R$1&amp;"P"&amp;$A50)*RTD("tos.rtd",,"GAMMA","."&amp;R$2&amp;R$1&amp;"P"&amp;$A50))/1000000,($A$4*$A$4*RTD("tos.rtd",,"OPEN_INT","."&amp;R$2&amp;R$1&amp;"C"&amp;$A50)*RTD("tos.rtd",,"GAMMA","."&amp;R$2&amp;R$1&amp;"C"&amp;$A50)-$A$4*$A$4*RTD("tos.rtd",,"OPEN_INT","."&amp;R$2&amp;R$1&amp;"P"&amp;$A50)*RTD("tos.rtd",,"GAMMA","."&amp;R$2&amp;R$1&amp;"P"&amp;$A50))/1000000),0),IF($A$2="SKEW",IFERROR(VALUE(IF(RTD("tos.rtd",,"IMPL_VOL","."&amp;R$2&amp;R$1&amp;"P"&amp;$A50)="N/A",0,RTD("tos.rtd",,"IMPL_VOL","."&amp;R$2&amp;R$1&amp;"P"&amp;$A50))),0)-IFERROR(VALUE(IF(RTD("tos.rtd",,"IMPL_VOL","."&amp;R$2&amp;R$1&amp;"C"&amp;$A50)="N/A",0,RTD("tos.rtd",,"IMPL_VOL","."&amp;R$2&amp;R$1&amp;"C"&amp;$A50))),0),IF($A$2="MAXPAIN",IF($A$4&gt;$A50,($A$4-$A50)*IF(RTD("tos.rtd",,"OPEN_INT","."&amp;R$2&amp;R$1&amp;"C"&amp;$A50)="N/A",0,RTD("tos.rtd",,"OPEN_INT","."&amp;R$2&amp;R$1&amp;"C"&amp;$A50)),0)+IF($A$4&lt;$A50,($A$5-$A$4)*IF(RTD("tos.rtd",,"OPEN_INT","."&amp;R$2&amp;R$1&amp;"P"&amp;$A50)="N/A",0,RTD("tos.rtd",,"OPEN_INT","."&amp;R$2&amp;R$1&amp;"P"&amp;$A50)),0),IF($X$1="ABS",IF(RTD("tos.rtd",,$A$2,"."&amp;R$2&amp;R$1&amp;"C"&amp;$A50)="N/A",0,RTD("tos.rtd",,$A$2,"."&amp;R$2&amp;R$1&amp;"C"&amp;$A50))+IF(RTD("tos.rtd",,$A$2,"."&amp;R$2&amp;R$1&amp;"P"&amp;$A50)="N/A",0,RTD("tos.rtd",,$A$2,"."&amp;R$2&amp;R$1&amp;"P"&amp;$A50)),IF(RTD("tos.rtd",,$A$2,"."&amp;R$2&amp;R$1&amp;"C"&amp;$A50)="N/A",0,RTD("tos.rtd",,$A$2,"."&amp;R$2&amp;R$1&amp;"C"&amp;$A50))-IF(RTD("tos.rtd",,$A$2,"."&amp;R$2&amp;R$1&amp;"P"&amp;$A50)="N/A",0,RTD("tos.rtd",,$A$2,"."&amp;R$2&amp;R$1&amp;"P"&amp;$A50))))))))))</f>
        <v>0</v>
      </c>
      <c r="S50" s="12">
        <f ca="1">IF($A$2="PREMIUM_OI",IFERROR(IF($X$1="ABS",(100*RTD("tos.rtd",,"OPEN_INT","."&amp;S$2&amp;S$1&amp;"C"&amp;$A50)*RTD("tos.rtd",,"LAST","."&amp;S$2&amp;S$1&amp;"C"&amp;$A50)+100*RTD("tos.rtd",,"OPEN_INT","."&amp;S$2&amp;S$1&amp;"P"&amp;$A50)*RTD("tos.rtd",,"LAST","."&amp;S$2&amp;S$1&amp;"P"&amp;$A50))/1000000,(100*RTD("tos.rtd",,"OPEN_INT","."&amp;S$2&amp;S$1&amp;"C"&amp;$A50)*RTD("tos.rtd",,"LAST","."&amp;S$2&amp;S$1&amp;"C"&amp;$A50)-100*RTD("tos.rtd",,"OPEN_INT","."&amp;S$2&amp;S$1&amp;"P"&amp;$A50)*RTD("tos.rtd",,"LAST","."&amp;S$2&amp;S$1&amp;"P"&amp;$A50))/1000000),0),IF($A$2="PREMIUM",IFERROR(IF($X$1="ABS",(100*RTD("tos.rtd",,"VOLUME","."&amp;S$2&amp;S$1&amp;"C"&amp;$A50)*RTD("tos.rtd",,"LAST","."&amp;S$2&amp;S$1&amp;"C"&amp;$A50)+100*RTD("tos.rtd",,"VOLUME","."&amp;S$2&amp;S$1&amp;"P"&amp;$A50)*RTD("tos.rtd",,"LAST","."&amp;S$2&amp;S$1&amp;"P"&amp;$A50))/1000000,(100*RTD("tos.rtd",,"VOLUME","."&amp;S$2&amp;S$1&amp;"C"&amp;$A50)*RTD("tos.rtd",,"LAST","."&amp;S$2&amp;S$1&amp;"C"&amp;$A50)-100*RTD("tos.rtd",,"VOLUME","."&amp;S$2&amp;S$1&amp;"P"&amp;$A50)*RTD("tos.rtd",,"LAST","."&amp;S$2&amp;S$1&amp;"P"&amp;$A50))/1000000),0),IF($A$2="DEX",IFERROR(IF($X$1="ABS",(100*RTD("tos.rtd",,"OPEN_INT","."&amp;S$2&amp;S$1&amp;"C"&amp;$A50)*RTD("tos.rtd",,"DELTA","."&amp;S$2&amp;S$1&amp;"C"&amp;$A50)+100*RTD("tos.rtd",,"OPEN_INT","."&amp;S$2&amp;S$1&amp;"P"&amp;$A50)*RTD("tos.rtd",,"DELTA","."&amp;S$2&amp;S$1&amp;"P"&amp;$A50))/1000,(100*RTD("tos.rtd",,"OPEN_INT","."&amp;S$2&amp;S$1&amp;"C"&amp;$A50)*RTD("tos.rtd",,"DELTA","."&amp;S$2&amp;S$1&amp;"C"&amp;$A50)-100*RTD("tos.rtd",,"OPEN_INT","."&amp;S$2&amp;S$1&amp;"P"&amp;$A50)*RTD("tos.rtd",,"DELTA","."&amp;S$2&amp;S$1&amp;"P"&amp;$A50))/1000),0),IF($A$2="VEX",IFERROR(IF($X$1="ABS",($A$4*$A$4*RTD("tos.rtd",,"VOLUME","."&amp;S$2&amp;S$1&amp;"C"&amp;$A50)*RTD("tos.rtd",,"GAMMA","."&amp;S$2&amp;S$1&amp;"C"&amp;$A50)+$A$4*$A$4*RTD("tos.rtd",,"VOLUME","."&amp;S$2&amp;S$1&amp;"P"&amp;$A50)*RTD("tos.rtd",,"GAMMA","."&amp;S$2&amp;S$1&amp;"P"&amp;$A50))/1000000,($A$4*$A$4*RTD("tos.rtd",,"VOLUME","."&amp;S$2&amp;S$1&amp;"C"&amp;$A50)*RTD("tos.rtd",,"GAMMA","."&amp;S$2&amp;S$1&amp;"C"&amp;$A50)-$A$4*$A$4*RTD("tos.rtd",,"VOLUME","."&amp;S$2&amp;S$1&amp;"P"&amp;$A50)*RTD("tos.rtd",,"GAMMA","."&amp;S$2&amp;S$1&amp;"P"&amp;$A50))/1000000),0),IF($A$2="GEX",IFERROR(IF($X$1="ABS",($A$4*$A$4*RTD("tos.rtd",,"OPEN_INT","."&amp;S$2&amp;S$1&amp;"C"&amp;$A50)*RTD("tos.rtd",,"GAMMA","."&amp;S$2&amp;S$1&amp;"C"&amp;$A50)+$A$4*$A$4*RTD("tos.rtd",,"OPEN_INT","."&amp;S$2&amp;S$1&amp;"P"&amp;$A50)*RTD("tos.rtd",,"GAMMA","."&amp;S$2&amp;S$1&amp;"P"&amp;$A50))/1000000,($A$4*$A$4*RTD("tos.rtd",,"OPEN_INT","."&amp;S$2&amp;S$1&amp;"C"&amp;$A50)*RTD("tos.rtd",,"GAMMA","."&amp;S$2&amp;S$1&amp;"C"&amp;$A50)-$A$4*$A$4*RTD("tos.rtd",,"OPEN_INT","."&amp;S$2&amp;S$1&amp;"P"&amp;$A50)*RTD("tos.rtd",,"GAMMA","."&amp;S$2&amp;S$1&amp;"P"&amp;$A50))/1000000),0),IF($A$2="SKEW",IFERROR(VALUE(IF(RTD("tos.rtd",,"IMPL_VOL","."&amp;S$2&amp;S$1&amp;"P"&amp;$A50)="N/A",0,RTD("tos.rtd",,"IMPL_VOL","."&amp;S$2&amp;S$1&amp;"P"&amp;$A50))),0)-IFERROR(VALUE(IF(RTD("tos.rtd",,"IMPL_VOL","."&amp;S$2&amp;S$1&amp;"C"&amp;$A50)="N/A",0,RTD("tos.rtd",,"IMPL_VOL","."&amp;S$2&amp;S$1&amp;"C"&amp;$A50))),0),IF($A$2="MAXPAIN",IF($A$4&gt;$A50,($A$4-$A50)*IF(RTD("tos.rtd",,"OPEN_INT","."&amp;S$2&amp;S$1&amp;"C"&amp;$A50)="N/A",0,RTD("tos.rtd",,"OPEN_INT","."&amp;S$2&amp;S$1&amp;"C"&amp;$A50)),0)+IF($A$4&lt;$A50,($A$5-$A$4)*IF(RTD("tos.rtd",,"OPEN_INT","."&amp;S$2&amp;S$1&amp;"P"&amp;$A50)="N/A",0,RTD("tos.rtd",,"OPEN_INT","."&amp;S$2&amp;S$1&amp;"P"&amp;$A50)),0),IF($X$1="ABS",IF(RTD("tos.rtd",,$A$2,"."&amp;S$2&amp;S$1&amp;"C"&amp;$A50)="N/A",0,RTD("tos.rtd",,$A$2,"."&amp;S$2&amp;S$1&amp;"C"&amp;$A50))+IF(RTD("tos.rtd",,$A$2,"."&amp;S$2&amp;S$1&amp;"P"&amp;$A50)="N/A",0,RTD("tos.rtd",,$A$2,"."&amp;S$2&amp;S$1&amp;"P"&amp;$A50)),IF(RTD("tos.rtd",,$A$2,"."&amp;S$2&amp;S$1&amp;"C"&amp;$A50)="N/A",0,RTD("tos.rtd",,$A$2,"."&amp;S$2&amp;S$1&amp;"C"&amp;$A50))-IF(RTD("tos.rtd",,$A$2,"."&amp;S$2&amp;S$1&amp;"P"&amp;$A50)="N/A",0,RTD("tos.rtd",,$A$2,"."&amp;S$2&amp;S$1&amp;"P"&amp;$A50))))))))))</f>
        <v>0</v>
      </c>
      <c r="T50" s="12">
        <f ca="1">IF($A$2="PREMIUM_OI",IFERROR(IF($X$1="ABS",(100*RTD("tos.rtd",,"OPEN_INT","."&amp;T$2&amp;T$1&amp;"C"&amp;$A50)*RTD("tos.rtd",,"LAST","."&amp;T$2&amp;T$1&amp;"C"&amp;$A50)+100*RTD("tos.rtd",,"OPEN_INT","."&amp;T$2&amp;T$1&amp;"P"&amp;$A50)*RTD("tos.rtd",,"LAST","."&amp;T$2&amp;T$1&amp;"P"&amp;$A50))/1000000,(100*RTD("tos.rtd",,"OPEN_INT","."&amp;T$2&amp;T$1&amp;"C"&amp;$A50)*RTD("tos.rtd",,"LAST","."&amp;T$2&amp;T$1&amp;"C"&amp;$A50)-100*RTD("tos.rtd",,"OPEN_INT","."&amp;T$2&amp;T$1&amp;"P"&amp;$A50)*RTD("tos.rtd",,"LAST","."&amp;T$2&amp;T$1&amp;"P"&amp;$A50))/1000000),0),IF($A$2="PREMIUM",IFERROR(IF($X$1="ABS",(100*RTD("tos.rtd",,"VOLUME","."&amp;T$2&amp;T$1&amp;"C"&amp;$A50)*RTD("tos.rtd",,"LAST","."&amp;T$2&amp;T$1&amp;"C"&amp;$A50)+100*RTD("tos.rtd",,"VOLUME","."&amp;T$2&amp;T$1&amp;"P"&amp;$A50)*RTD("tos.rtd",,"LAST","."&amp;T$2&amp;T$1&amp;"P"&amp;$A50))/1000000,(100*RTD("tos.rtd",,"VOLUME","."&amp;T$2&amp;T$1&amp;"C"&amp;$A50)*RTD("tos.rtd",,"LAST","."&amp;T$2&amp;T$1&amp;"C"&amp;$A50)-100*RTD("tos.rtd",,"VOLUME","."&amp;T$2&amp;T$1&amp;"P"&amp;$A50)*RTD("tos.rtd",,"LAST","."&amp;T$2&amp;T$1&amp;"P"&amp;$A50))/1000000),0),IF($A$2="DEX",IFERROR(IF($X$1="ABS",(100*RTD("tos.rtd",,"OPEN_INT","."&amp;T$2&amp;T$1&amp;"C"&amp;$A50)*RTD("tos.rtd",,"DELTA","."&amp;T$2&amp;T$1&amp;"C"&amp;$A50)+100*RTD("tos.rtd",,"OPEN_INT","."&amp;T$2&amp;T$1&amp;"P"&amp;$A50)*RTD("tos.rtd",,"DELTA","."&amp;T$2&amp;T$1&amp;"P"&amp;$A50))/1000,(100*RTD("tos.rtd",,"OPEN_INT","."&amp;T$2&amp;T$1&amp;"C"&amp;$A50)*RTD("tos.rtd",,"DELTA","."&amp;T$2&amp;T$1&amp;"C"&amp;$A50)-100*RTD("tos.rtd",,"OPEN_INT","."&amp;T$2&amp;T$1&amp;"P"&amp;$A50)*RTD("tos.rtd",,"DELTA","."&amp;T$2&amp;T$1&amp;"P"&amp;$A50))/1000),0),IF($A$2="VEX",IFERROR(IF($X$1="ABS",($A$4*$A$4*RTD("tos.rtd",,"VOLUME","."&amp;T$2&amp;T$1&amp;"C"&amp;$A50)*RTD("tos.rtd",,"GAMMA","."&amp;T$2&amp;T$1&amp;"C"&amp;$A50)+$A$4*$A$4*RTD("tos.rtd",,"VOLUME","."&amp;T$2&amp;T$1&amp;"P"&amp;$A50)*RTD("tos.rtd",,"GAMMA","."&amp;T$2&amp;T$1&amp;"P"&amp;$A50))/1000000,($A$4*$A$4*RTD("tos.rtd",,"VOLUME","."&amp;T$2&amp;T$1&amp;"C"&amp;$A50)*RTD("tos.rtd",,"GAMMA","."&amp;T$2&amp;T$1&amp;"C"&amp;$A50)-$A$4*$A$4*RTD("tos.rtd",,"VOLUME","."&amp;T$2&amp;T$1&amp;"P"&amp;$A50)*RTD("tos.rtd",,"GAMMA","."&amp;T$2&amp;T$1&amp;"P"&amp;$A50))/1000000),0),IF($A$2="GEX",IFERROR(IF($X$1="ABS",($A$4*$A$4*RTD("tos.rtd",,"OPEN_INT","."&amp;T$2&amp;T$1&amp;"C"&amp;$A50)*RTD("tos.rtd",,"GAMMA","."&amp;T$2&amp;T$1&amp;"C"&amp;$A50)+$A$4*$A$4*RTD("tos.rtd",,"OPEN_INT","."&amp;T$2&amp;T$1&amp;"P"&amp;$A50)*RTD("tos.rtd",,"GAMMA","."&amp;T$2&amp;T$1&amp;"P"&amp;$A50))/1000000,($A$4*$A$4*RTD("tos.rtd",,"OPEN_INT","."&amp;T$2&amp;T$1&amp;"C"&amp;$A50)*RTD("tos.rtd",,"GAMMA","."&amp;T$2&amp;T$1&amp;"C"&amp;$A50)-$A$4*$A$4*RTD("tos.rtd",,"OPEN_INT","."&amp;T$2&amp;T$1&amp;"P"&amp;$A50)*RTD("tos.rtd",,"GAMMA","."&amp;T$2&amp;T$1&amp;"P"&amp;$A50))/1000000),0),IF($A$2="SKEW",IFERROR(VALUE(IF(RTD("tos.rtd",,"IMPL_VOL","."&amp;T$2&amp;T$1&amp;"P"&amp;$A50)="N/A",0,RTD("tos.rtd",,"IMPL_VOL","."&amp;T$2&amp;T$1&amp;"P"&amp;$A50))),0)-IFERROR(VALUE(IF(RTD("tos.rtd",,"IMPL_VOL","."&amp;T$2&amp;T$1&amp;"C"&amp;$A50)="N/A",0,RTD("tos.rtd",,"IMPL_VOL","."&amp;T$2&amp;T$1&amp;"C"&amp;$A50))),0),IF($A$2="MAXPAIN",IF($A$4&gt;$A50,($A$4-$A50)*IF(RTD("tos.rtd",,"OPEN_INT","."&amp;T$2&amp;T$1&amp;"C"&amp;$A50)="N/A",0,RTD("tos.rtd",,"OPEN_INT","."&amp;T$2&amp;T$1&amp;"C"&amp;$A50)),0)+IF($A$4&lt;$A50,($A$5-$A$4)*IF(RTD("tos.rtd",,"OPEN_INT","."&amp;T$2&amp;T$1&amp;"P"&amp;$A50)="N/A",0,RTD("tos.rtd",,"OPEN_INT","."&amp;T$2&amp;T$1&amp;"P"&amp;$A50)),0),IF($X$1="ABS",IF(RTD("tos.rtd",,$A$2,"."&amp;T$2&amp;T$1&amp;"C"&amp;$A50)="N/A",0,RTD("tos.rtd",,$A$2,"."&amp;T$2&amp;T$1&amp;"C"&amp;$A50))+IF(RTD("tos.rtd",,$A$2,"."&amp;T$2&amp;T$1&amp;"P"&amp;$A50)="N/A",0,RTD("tos.rtd",,$A$2,"."&amp;T$2&amp;T$1&amp;"P"&amp;$A50)),IF(RTD("tos.rtd",,$A$2,"."&amp;T$2&amp;T$1&amp;"C"&amp;$A50)="N/A",0,RTD("tos.rtd",,$A$2,"."&amp;T$2&amp;T$1&amp;"C"&amp;$A50))-IF(RTD("tos.rtd",,$A$2,"."&amp;T$2&amp;T$1&amp;"P"&amp;$A50)="N/A",0,RTD("tos.rtd",,$A$2,"."&amp;T$2&amp;T$1&amp;"P"&amp;$A50))))))))))</f>
        <v>0</v>
      </c>
      <c r="U50" s="12">
        <f ca="1">IF($A$2="PREMIUM_OI",IFERROR(IF($X$1="ABS",(100*RTD("tos.rtd",,"OPEN_INT","."&amp;U$2&amp;U$1&amp;"C"&amp;$A50)*RTD("tos.rtd",,"LAST","."&amp;U$2&amp;U$1&amp;"C"&amp;$A50)+100*RTD("tos.rtd",,"OPEN_INT","."&amp;U$2&amp;U$1&amp;"P"&amp;$A50)*RTD("tos.rtd",,"LAST","."&amp;U$2&amp;U$1&amp;"P"&amp;$A50))/1000000,(100*RTD("tos.rtd",,"OPEN_INT","."&amp;U$2&amp;U$1&amp;"C"&amp;$A50)*RTD("tos.rtd",,"LAST","."&amp;U$2&amp;U$1&amp;"C"&amp;$A50)-100*RTD("tos.rtd",,"OPEN_INT","."&amp;U$2&amp;U$1&amp;"P"&amp;$A50)*RTD("tos.rtd",,"LAST","."&amp;U$2&amp;U$1&amp;"P"&amp;$A50))/1000000),0),IF($A$2="PREMIUM",IFERROR(IF($X$1="ABS",(100*RTD("tos.rtd",,"VOLUME","."&amp;U$2&amp;U$1&amp;"C"&amp;$A50)*RTD("tos.rtd",,"LAST","."&amp;U$2&amp;U$1&amp;"C"&amp;$A50)+100*RTD("tos.rtd",,"VOLUME","."&amp;U$2&amp;U$1&amp;"P"&amp;$A50)*RTD("tos.rtd",,"LAST","."&amp;U$2&amp;U$1&amp;"P"&amp;$A50))/1000000,(100*RTD("tos.rtd",,"VOLUME","."&amp;U$2&amp;U$1&amp;"C"&amp;$A50)*RTD("tos.rtd",,"LAST","."&amp;U$2&amp;U$1&amp;"C"&amp;$A50)-100*RTD("tos.rtd",,"VOLUME","."&amp;U$2&amp;U$1&amp;"P"&amp;$A50)*RTD("tos.rtd",,"LAST","."&amp;U$2&amp;U$1&amp;"P"&amp;$A50))/1000000),0),IF($A$2="DEX",IFERROR(IF($X$1="ABS",(100*RTD("tos.rtd",,"OPEN_INT","."&amp;U$2&amp;U$1&amp;"C"&amp;$A50)*RTD("tos.rtd",,"DELTA","."&amp;U$2&amp;U$1&amp;"C"&amp;$A50)+100*RTD("tos.rtd",,"OPEN_INT","."&amp;U$2&amp;U$1&amp;"P"&amp;$A50)*RTD("tos.rtd",,"DELTA","."&amp;U$2&amp;U$1&amp;"P"&amp;$A50))/1000,(100*RTD("tos.rtd",,"OPEN_INT","."&amp;U$2&amp;U$1&amp;"C"&amp;$A50)*RTD("tos.rtd",,"DELTA","."&amp;U$2&amp;U$1&amp;"C"&amp;$A50)-100*RTD("tos.rtd",,"OPEN_INT","."&amp;U$2&amp;U$1&amp;"P"&amp;$A50)*RTD("tos.rtd",,"DELTA","."&amp;U$2&amp;U$1&amp;"P"&amp;$A50))/1000),0),IF($A$2="VEX",IFERROR(IF($X$1="ABS",($A$4*$A$4*RTD("tos.rtd",,"VOLUME","."&amp;U$2&amp;U$1&amp;"C"&amp;$A50)*RTD("tos.rtd",,"GAMMA","."&amp;U$2&amp;U$1&amp;"C"&amp;$A50)+$A$4*$A$4*RTD("tos.rtd",,"VOLUME","."&amp;U$2&amp;U$1&amp;"P"&amp;$A50)*RTD("tos.rtd",,"GAMMA","."&amp;U$2&amp;U$1&amp;"P"&amp;$A50))/1000000,($A$4*$A$4*RTD("tos.rtd",,"VOLUME","."&amp;U$2&amp;U$1&amp;"C"&amp;$A50)*RTD("tos.rtd",,"GAMMA","."&amp;U$2&amp;U$1&amp;"C"&amp;$A50)-$A$4*$A$4*RTD("tos.rtd",,"VOLUME","."&amp;U$2&amp;U$1&amp;"P"&amp;$A50)*RTD("tos.rtd",,"GAMMA","."&amp;U$2&amp;U$1&amp;"P"&amp;$A50))/1000000),0),IF($A$2="GEX",IFERROR(IF($X$1="ABS",($A$4*$A$4*RTD("tos.rtd",,"OPEN_INT","."&amp;U$2&amp;U$1&amp;"C"&amp;$A50)*RTD("tos.rtd",,"GAMMA","."&amp;U$2&amp;U$1&amp;"C"&amp;$A50)+$A$4*$A$4*RTD("tos.rtd",,"OPEN_INT","."&amp;U$2&amp;U$1&amp;"P"&amp;$A50)*RTD("tos.rtd",,"GAMMA","."&amp;U$2&amp;U$1&amp;"P"&amp;$A50))/1000000,($A$4*$A$4*RTD("tos.rtd",,"OPEN_INT","."&amp;U$2&amp;U$1&amp;"C"&amp;$A50)*RTD("tos.rtd",,"GAMMA","."&amp;U$2&amp;U$1&amp;"C"&amp;$A50)-$A$4*$A$4*RTD("tos.rtd",,"OPEN_INT","."&amp;U$2&amp;U$1&amp;"P"&amp;$A50)*RTD("tos.rtd",,"GAMMA","."&amp;U$2&amp;U$1&amp;"P"&amp;$A50))/1000000),0),IF($A$2="SKEW",IFERROR(VALUE(IF(RTD("tos.rtd",,"IMPL_VOL","."&amp;U$2&amp;U$1&amp;"P"&amp;$A50)="N/A",0,RTD("tos.rtd",,"IMPL_VOL","."&amp;U$2&amp;U$1&amp;"P"&amp;$A50))),0)-IFERROR(VALUE(IF(RTD("tos.rtd",,"IMPL_VOL","."&amp;U$2&amp;U$1&amp;"C"&amp;$A50)="N/A",0,RTD("tos.rtd",,"IMPL_VOL","."&amp;U$2&amp;U$1&amp;"C"&amp;$A50))),0),IF($A$2="MAXPAIN",IF($A$4&gt;$A50,($A$4-$A50)*IF(RTD("tos.rtd",,"OPEN_INT","."&amp;U$2&amp;U$1&amp;"C"&amp;$A50)="N/A",0,RTD("tos.rtd",,"OPEN_INT","."&amp;U$2&amp;U$1&amp;"C"&amp;$A50)),0)+IF($A$4&lt;$A50,($A$5-$A$4)*IF(RTD("tos.rtd",,"OPEN_INT","."&amp;U$2&amp;U$1&amp;"P"&amp;$A50)="N/A",0,RTD("tos.rtd",,"OPEN_INT","."&amp;U$2&amp;U$1&amp;"P"&amp;$A50)),0),IF($X$1="ABS",IF(RTD("tos.rtd",,$A$2,"."&amp;U$2&amp;U$1&amp;"C"&amp;$A50)="N/A",0,RTD("tos.rtd",,$A$2,"."&amp;U$2&amp;U$1&amp;"C"&amp;$A50))+IF(RTD("tos.rtd",,$A$2,"."&amp;U$2&amp;U$1&amp;"P"&amp;$A50)="N/A",0,RTD("tos.rtd",,$A$2,"."&amp;U$2&amp;U$1&amp;"P"&amp;$A50)),IF(RTD("tos.rtd",,$A$2,"."&amp;U$2&amp;U$1&amp;"C"&amp;$A50)="N/A",0,RTD("tos.rtd",,$A$2,"."&amp;U$2&amp;U$1&amp;"C"&amp;$A50))-IF(RTD("tos.rtd",,$A$2,"."&amp;U$2&amp;U$1&amp;"P"&amp;$A50)="N/A",0,RTD("tos.rtd",,$A$2,"."&amp;U$2&amp;U$1&amp;"P"&amp;$A50))))))))))</f>
        <v>0</v>
      </c>
      <c r="V50" s="12">
        <f ca="1">IF($A$2="PREMIUM_OI",IFERROR(IF($X$1="ABS",(100*RTD("tos.rtd",,"OPEN_INT","."&amp;V$2&amp;V$1&amp;"C"&amp;$A50)*RTD("tos.rtd",,"LAST","."&amp;V$2&amp;V$1&amp;"C"&amp;$A50)+100*RTD("tos.rtd",,"OPEN_INT","."&amp;V$2&amp;V$1&amp;"P"&amp;$A50)*RTD("tos.rtd",,"LAST","."&amp;V$2&amp;V$1&amp;"P"&amp;$A50))/1000000,(100*RTD("tos.rtd",,"OPEN_INT","."&amp;V$2&amp;V$1&amp;"C"&amp;$A50)*RTD("tos.rtd",,"LAST","."&amp;V$2&amp;V$1&amp;"C"&amp;$A50)-100*RTD("tos.rtd",,"OPEN_INT","."&amp;V$2&amp;V$1&amp;"P"&amp;$A50)*RTD("tos.rtd",,"LAST","."&amp;V$2&amp;V$1&amp;"P"&amp;$A50))/1000000),0),IF($A$2="PREMIUM",IFERROR(IF($X$1="ABS",(100*RTD("tos.rtd",,"VOLUME","."&amp;V$2&amp;V$1&amp;"C"&amp;$A50)*RTD("tos.rtd",,"LAST","."&amp;V$2&amp;V$1&amp;"C"&amp;$A50)+100*RTD("tos.rtd",,"VOLUME","."&amp;V$2&amp;V$1&amp;"P"&amp;$A50)*RTD("tos.rtd",,"LAST","."&amp;V$2&amp;V$1&amp;"P"&amp;$A50))/1000000,(100*RTD("tos.rtd",,"VOLUME","."&amp;V$2&amp;V$1&amp;"C"&amp;$A50)*RTD("tos.rtd",,"LAST","."&amp;V$2&amp;V$1&amp;"C"&amp;$A50)-100*RTD("tos.rtd",,"VOLUME","."&amp;V$2&amp;V$1&amp;"P"&amp;$A50)*RTD("tos.rtd",,"LAST","."&amp;V$2&amp;V$1&amp;"P"&amp;$A50))/1000000),0),IF($A$2="DEX",IFERROR(IF($X$1="ABS",(100*RTD("tos.rtd",,"OPEN_INT","."&amp;V$2&amp;V$1&amp;"C"&amp;$A50)*RTD("tos.rtd",,"DELTA","."&amp;V$2&amp;V$1&amp;"C"&amp;$A50)+100*RTD("tos.rtd",,"OPEN_INT","."&amp;V$2&amp;V$1&amp;"P"&amp;$A50)*RTD("tos.rtd",,"DELTA","."&amp;V$2&amp;V$1&amp;"P"&amp;$A50))/1000,(100*RTD("tos.rtd",,"OPEN_INT","."&amp;V$2&amp;V$1&amp;"C"&amp;$A50)*RTD("tos.rtd",,"DELTA","."&amp;V$2&amp;V$1&amp;"C"&amp;$A50)-100*RTD("tos.rtd",,"OPEN_INT","."&amp;V$2&amp;V$1&amp;"P"&amp;$A50)*RTD("tos.rtd",,"DELTA","."&amp;V$2&amp;V$1&amp;"P"&amp;$A50))/1000),0),IF($A$2="VEX",IFERROR(IF($X$1="ABS",($A$4*$A$4*RTD("tos.rtd",,"VOLUME","."&amp;V$2&amp;V$1&amp;"C"&amp;$A50)*RTD("tos.rtd",,"GAMMA","."&amp;V$2&amp;V$1&amp;"C"&amp;$A50)+$A$4*$A$4*RTD("tos.rtd",,"VOLUME","."&amp;V$2&amp;V$1&amp;"P"&amp;$A50)*RTD("tos.rtd",,"GAMMA","."&amp;V$2&amp;V$1&amp;"P"&amp;$A50))/1000000,($A$4*$A$4*RTD("tos.rtd",,"VOLUME","."&amp;V$2&amp;V$1&amp;"C"&amp;$A50)*RTD("tos.rtd",,"GAMMA","."&amp;V$2&amp;V$1&amp;"C"&amp;$A50)-$A$4*$A$4*RTD("tos.rtd",,"VOLUME","."&amp;V$2&amp;V$1&amp;"P"&amp;$A50)*RTD("tos.rtd",,"GAMMA","."&amp;V$2&amp;V$1&amp;"P"&amp;$A50))/1000000),0),IF($A$2="GEX",IFERROR(IF($X$1="ABS",($A$4*$A$4*RTD("tos.rtd",,"OPEN_INT","."&amp;V$2&amp;V$1&amp;"C"&amp;$A50)*RTD("tos.rtd",,"GAMMA","."&amp;V$2&amp;V$1&amp;"C"&amp;$A50)+$A$4*$A$4*RTD("tos.rtd",,"OPEN_INT","."&amp;V$2&amp;V$1&amp;"P"&amp;$A50)*RTD("tos.rtd",,"GAMMA","."&amp;V$2&amp;V$1&amp;"P"&amp;$A50))/1000000,($A$4*$A$4*RTD("tos.rtd",,"OPEN_INT","."&amp;V$2&amp;V$1&amp;"C"&amp;$A50)*RTD("tos.rtd",,"GAMMA","."&amp;V$2&amp;V$1&amp;"C"&amp;$A50)-$A$4*$A$4*RTD("tos.rtd",,"OPEN_INT","."&amp;V$2&amp;V$1&amp;"P"&amp;$A50)*RTD("tos.rtd",,"GAMMA","."&amp;V$2&amp;V$1&amp;"P"&amp;$A50))/1000000),0),IF($A$2="SKEW",IFERROR(VALUE(IF(RTD("tos.rtd",,"IMPL_VOL","."&amp;V$2&amp;V$1&amp;"P"&amp;$A50)="N/A",0,RTD("tos.rtd",,"IMPL_VOL","."&amp;V$2&amp;V$1&amp;"P"&amp;$A50))),0)-IFERROR(VALUE(IF(RTD("tos.rtd",,"IMPL_VOL","."&amp;V$2&amp;V$1&amp;"C"&amp;$A50)="N/A",0,RTD("tos.rtd",,"IMPL_VOL","."&amp;V$2&amp;V$1&amp;"C"&amp;$A50))),0),IF($A$2="MAXPAIN",IF($A$4&gt;$A50,($A$4-$A50)*IF(RTD("tos.rtd",,"OPEN_INT","."&amp;V$2&amp;V$1&amp;"C"&amp;$A50)="N/A",0,RTD("tos.rtd",,"OPEN_INT","."&amp;V$2&amp;V$1&amp;"C"&amp;$A50)),0)+IF($A$4&lt;$A50,($A$5-$A$4)*IF(RTD("tos.rtd",,"OPEN_INT","."&amp;V$2&amp;V$1&amp;"P"&amp;$A50)="N/A",0,RTD("tos.rtd",,"OPEN_INT","."&amp;V$2&amp;V$1&amp;"P"&amp;$A50)),0),IF($X$1="ABS",IF(RTD("tos.rtd",,$A$2,"."&amp;V$2&amp;V$1&amp;"C"&amp;$A50)="N/A",0,RTD("tos.rtd",,$A$2,"."&amp;V$2&amp;V$1&amp;"C"&amp;$A50))+IF(RTD("tos.rtd",,$A$2,"."&amp;V$2&amp;V$1&amp;"P"&amp;$A50)="N/A",0,RTD("tos.rtd",,$A$2,"."&amp;V$2&amp;V$1&amp;"P"&amp;$A50)),IF(RTD("tos.rtd",,$A$2,"."&amp;V$2&amp;V$1&amp;"C"&amp;$A50)="N/A",0,RTD("tos.rtd",,$A$2,"."&amp;V$2&amp;V$1&amp;"C"&amp;$A50))-IF(RTD("tos.rtd",,$A$2,"."&amp;V$2&amp;V$1&amp;"P"&amp;$A50)="N/A",0,RTD("tos.rtd",,$A$2,"."&amp;V$2&amp;V$1&amp;"P"&amp;$A50))))))))))</f>
        <v>0</v>
      </c>
      <c r="W50" s="54">
        <f ca="1">IF($A$2="PREMIUM_OI",IFERROR(IF($X$1="ABS",(100*RTD("tos.rtd",,"OPEN_INT","."&amp;W$2&amp;W$1&amp;"C"&amp;$A50)*RTD("tos.rtd",,"LAST","."&amp;W$2&amp;W$1&amp;"C"&amp;$A50)+100*RTD("tos.rtd",,"OPEN_INT","."&amp;W$2&amp;W$1&amp;"P"&amp;$A50)*RTD("tos.rtd",,"LAST","."&amp;W$2&amp;W$1&amp;"P"&amp;$A50))/1000000,(100*RTD("tos.rtd",,"OPEN_INT","."&amp;W$2&amp;W$1&amp;"C"&amp;$A50)*RTD("tos.rtd",,"LAST","."&amp;W$2&amp;W$1&amp;"C"&amp;$A50)-100*RTD("tos.rtd",,"OPEN_INT","."&amp;W$2&amp;W$1&amp;"P"&amp;$A50)*RTD("tos.rtd",,"LAST","."&amp;W$2&amp;W$1&amp;"P"&amp;$A50))/1000000),0),IF($A$2="PREMIUM",IFERROR(IF($X$1="ABS",(100*RTD("tos.rtd",,"VOLUME","."&amp;W$2&amp;W$1&amp;"C"&amp;$A50)*RTD("tos.rtd",,"LAST","."&amp;W$2&amp;W$1&amp;"C"&amp;$A50)+100*RTD("tos.rtd",,"VOLUME","."&amp;W$2&amp;W$1&amp;"P"&amp;$A50)*RTD("tos.rtd",,"LAST","."&amp;W$2&amp;W$1&amp;"P"&amp;$A50))/1000000,(100*RTD("tos.rtd",,"VOLUME","."&amp;W$2&amp;W$1&amp;"C"&amp;$A50)*RTD("tos.rtd",,"LAST","."&amp;W$2&amp;W$1&amp;"C"&amp;$A50)-100*RTD("tos.rtd",,"VOLUME","."&amp;W$2&amp;W$1&amp;"P"&amp;$A50)*RTD("tos.rtd",,"LAST","."&amp;W$2&amp;W$1&amp;"P"&amp;$A50))/1000000),0),IF($A$2="DEX",IFERROR(IF($X$1="ABS",(100*RTD("tos.rtd",,"OPEN_INT","."&amp;W$2&amp;W$1&amp;"C"&amp;$A50)*RTD("tos.rtd",,"DELTA","."&amp;W$2&amp;W$1&amp;"C"&amp;$A50)+100*RTD("tos.rtd",,"OPEN_INT","."&amp;W$2&amp;W$1&amp;"P"&amp;$A50)*RTD("tos.rtd",,"DELTA","."&amp;W$2&amp;W$1&amp;"P"&amp;$A50))/1000,(100*RTD("tos.rtd",,"OPEN_INT","."&amp;W$2&amp;W$1&amp;"C"&amp;$A50)*RTD("tos.rtd",,"DELTA","."&amp;W$2&amp;W$1&amp;"C"&amp;$A50)-100*RTD("tos.rtd",,"OPEN_INT","."&amp;W$2&amp;W$1&amp;"P"&amp;$A50)*RTD("tos.rtd",,"DELTA","."&amp;W$2&amp;W$1&amp;"P"&amp;$A50))/1000),0),IF($A$2="VEX",IFERROR(IF($X$1="ABS",($A$4*$A$4*RTD("tos.rtd",,"VOLUME","."&amp;W$2&amp;W$1&amp;"C"&amp;$A50)*RTD("tos.rtd",,"GAMMA","."&amp;W$2&amp;W$1&amp;"C"&amp;$A50)+$A$4*$A$4*RTD("tos.rtd",,"VOLUME","."&amp;W$2&amp;W$1&amp;"P"&amp;$A50)*RTD("tos.rtd",,"GAMMA","."&amp;W$2&amp;W$1&amp;"P"&amp;$A50))/1000000,($A$4*$A$4*RTD("tos.rtd",,"VOLUME","."&amp;W$2&amp;W$1&amp;"C"&amp;$A50)*RTD("tos.rtd",,"GAMMA","."&amp;W$2&amp;W$1&amp;"C"&amp;$A50)-$A$4*$A$4*RTD("tos.rtd",,"VOLUME","."&amp;W$2&amp;W$1&amp;"P"&amp;$A50)*RTD("tos.rtd",,"GAMMA","."&amp;W$2&amp;W$1&amp;"P"&amp;$A50))/1000000),0),IF($A$2="GEX",IFERROR(IF($X$1="ABS",($A$4*$A$4*RTD("tos.rtd",,"OPEN_INT","."&amp;W$2&amp;W$1&amp;"C"&amp;$A50)*RTD("tos.rtd",,"GAMMA","."&amp;W$2&amp;W$1&amp;"C"&amp;$A50)+$A$4*$A$4*RTD("tos.rtd",,"OPEN_INT","."&amp;W$2&amp;W$1&amp;"P"&amp;$A50)*RTD("tos.rtd",,"GAMMA","."&amp;W$2&amp;W$1&amp;"P"&amp;$A50))/1000000,($A$4*$A$4*RTD("tos.rtd",,"OPEN_INT","."&amp;W$2&amp;W$1&amp;"C"&amp;$A50)*RTD("tos.rtd",,"GAMMA","."&amp;W$2&amp;W$1&amp;"C"&amp;$A50)-$A$4*$A$4*RTD("tos.rtd",,"OPEN_INT","."&amp;W$2&amp;W$1&amp;"P"&amp;$A50)*RTD("tos.rtd",,"GAMMA","."&amp;W$2&amp;W$1&amp;"P"&amp;$A50))/1000000),0),IF($A$2="SKEW",IFERROR(VALUE(IF(RTD("tos.rtd",,"IMPL_VOL","."&amp;W$2&amp;W$1&amp;"P"&amp;$A50)="N/A",0,RTD("tos.rtd",,"IMPL_VOL","."&amp;W$2&amp;W$1&amp;"P"&amp;$A50))),0)-IFERROR(VALUE(IF(RTD("tos.rtd",,"IMPL_VOL","."&amp;W$2&amp;W$1&amp;"C"&amp;$A50)="N/A",0,RTD("tos.rtd",,"IMPL_VOL","."&amp;W$2&amp;W$1&amp;"C"&amp;$A50))),0),IF($A$2="MAXPAIN",IF($A$4&gt;$A50,($A$4-$A50)*IF(RTD("tos.rtd",,"OPEN_INT","."&amp;W$2&amp;W$1&amp;"C"&amp;$A50)="N/A",0,RTD("tos.rtd",,"OPEN_INT","."&amp;W$2&amp;W$1&amp;"C"&amp;$A50)),0)+IF($A$4&lt;$A50,($A$5-$A$4)*IF(RTD("tos.rtd",,"OPEN_INT","."&amp;W$2&amp;W$1&amp;"P"&amp;$A50)="N/A",0,RTD("tos.rtd",,"OPEN_INT","."&amp;W$2&amp;W$1&amp;"P"&amp;$A50)),0),IF($X$1="ABS",IF(RTD("tos.rtd",,$A$2,"."&amp;W$2&amp;W$1&amp;"C"&amp;$A50)="N/A",0,RTD("tos.rtd",,$A$2,"."&amp;W$2&amp;W$1&amp;"C"&amp;$A50))+IF(RTD("tos.rtd",,$A$2,"."&amp;W$2&amp;W$1&amp;"P"&amp;$A50)="N/A",0,RTD("tos.rtd",,$A$2,"."&amp;W$2&amp;W$1&amp;"P"&amp;$A50)),IF(RTD("tos.rtd",,$A$2,"."&amp;W$2&amp;W$1&amp;"C"&amp;$A50)="N/A",0,RTD("tos.rtd",,$A$2,"."&amp;W$2&amp;W$1&amp;"C"&amp;$A50))-IF(RTD("tos.rtd",,$A$2,"."&amp;W$2&amp;W$1&amp;"P"&amp;$A50)="N/A",0,RTD("tos.rtd",,$A$2,"."&amp;W$2&amp;W$1&amp;"P"&amp;$A50))))))))))</f>
        <v>0</v>
      </c>
      <c r="X50" s="57">
        <f t="shared" ca="1" si="8"/>
        <v>0</v>
      </c>
      <c r="Y50" s="27">
        <f t="shared" ca="1" si="9"/>
        <v>0</v>
      </c>
      <c r="Z50" s="27">
        <f ca="1">+'OI-VOL'!Y50</f>
        <v>0</v>
      </c>
      <c r="AA50" s="27" t="b">
        <f t="shared" ca="1" si="10"/>
        <v>0</v>
      </c>
      <c r="AB50" s="27">
        <f t="shared" si="11"/>
        <v>61426950</v>
      </c>
      <c r="AC50" s="18">
        <f>MAX(0, $A50-AC$4)*IF(RTD("tos.rtd",,"OPEN_INT","."&amp;$AB$3&amp;$AB$4&amp;"C"&amp;AC$4)="N/A",0,RTD("tos.rtd",,"OPEN_INT","."&amp;$AB$3&amp;$AB$4&amp;"C"&amp;AC$4))*100 + MAX(0, AC$4-$A50)*IF(RTD("tos.rtd",,"OPEN_INT","."&amp;$AB$3&amp;$AB$4&amp;"P"&amp;AC$4)="N/A",0,RTD("tos.rtd",,"OPEN_INT","."&amp;$AB$3&amp;$AB$4&amp;"P"&amp;AC$4))*100</f>
        <v>0</v>
      </c>
      <c r="AD50" s="18">
        <f>MAX(0, $A50-AD$4)*IF(RTD("tos.rtd",,"OPEN_INT","."&amp;$AB$3&amp;$AB$4&amp;"C"&amp;AD$4)="N/A",0,RTD("tos.rtd",,"OPEN_INT","."&amp;$AB$3&amp;$AB$4&amp;"C"&amp;AD$4))*100 + MAX(0, AD$4-$A50)*IF(RTD("tos.rtd",,"OPEN_INT","."&amp;$AB$3&amp;$AB$4&amp;"P"&amp;AD$4)="N/A",0,RTD("tos.rtd",,"OPEN_INT","."&amp;$AB$3&amp;$AB$4&amp;"P"&amp;AD$4))*100</f>
        <v>0</v>
      </c>
      <c r="AE50" s="18">
        <f>MAX(0, $A50-AE$4)*IF(RTD("tos.rtd",,"OPEN_INT","."&amp;$AB$3&amp;$AB$4&amp;"C"&amp;AE$4)="N/A",0,RTD("tos.rtd",,"OPEN_INT","."&amp;$AB$3&amp;$AB$4&amp;"C"&amp;AE$4))*100 + MAX(0, AE$4-$A50)*IF(RTD("tos.rtd",,"OPEN_INT","."&amp;$AB$3&amp;$AB$4&amp;"P"&amp;AE$4)="N/A",0,RTD("tos.rtd",,"OPEN_INT","."&amp;$AB$3&amp;$AB$4&amp;"P"&amp;AE$4))*100</f>
        <v>0</v>
      </c>
      <c r="AF50" s="18">
        <f>MAX(0, $A50-AF$4)*IF(RTD("tos.rtd",,"OPEN_INT","."&amp;$AB$3&amp;$AB$4&amp;"C"&amp;AF$4)="N/A",0,RTD("tos.rtd",,"OPEN_INT","."&amp;$AB$3&amp;$AB$4&amp;"C"&amp;AF$4))*100 + MAX(0, AF$4-$A50)*IF(RTD("tos.rtd",,"OPEN_INT","."&amp;$AB$3&amp;$AB$4&amp;"P"&amp;AF$4)="N/A",0,RTD("tos.rtd",,"OPEN_INT","."&amp;$AB$3&amp;$AB$4&amp;"P"&amp;AF$4))*100</f>
        <v>0</v>
      </c>
      <c r="AG50" s="18">
        <f>MAX(0, $A50-AG$4)*IF(RTD("tos.rtd",,"OPEN_INT","."&amp;$AB$3&amp;$AB$4&amp;"C"&amp;AG$4)="N/A",0,RTD("tos.rtd",,"OPEN_INT","."&amp;$AB$3&amp;$AB$4&amp;"C"&amp;AG$4))*100 + MAX(0, AG$4-$A50)*IF(RTD("tos.rtd",,"OPEN_INT","."&amp;$AB$3&amp;$AB$4&amp;"P"&amp;AG$4)="N/A",0,RTD("tos.rtd",,"OPEN_INT","."&amp;$AB$3&amp;$AB$4&amp;"P"&amp;AG$4))*100</f>
        <v>0</v>
      </c>
      <c r="AH50" s="18">
        <f>MAX(0, $A50-AH$4)*IF(RTD("tos.rtd",,"OPEN_INT","."&amp;$AB$3&amp;$AB$4&amp;"C"&amp;AH$4)="N/A",0,RTD("tos.rtd",,"OPEN_INT","."&amp;$AB$3&amp;$AB$4&amp;"C"&amp;AH$4))*100 + MAX(0, AH$4-$A50)*IF(RTD("tos.rtd",,"OPEN_INT","."&amp;$AB$3&amp;$AB$4&amp;"P"&amp;AH$4)="N/A",0,RTD("tos.rtd",,"OPEN_INT","."&amp;$AB$3&amp;$AB$4&amp;"P"&amp;AH$4))*100</f>
        <v>0</v>
      </c>
      <c r="AI50" s="18">
        <f>MAX(0, $A50-AI$4)*IF(RTD("tos.rtd",,"OPEN_INT","."&amp;$AB$3&amp;$AB$4&amp;"C"&amp;AI$4)="N/A",0,RTD("tos.rtd",,"OPEN_INT","."&amp;$AB$3&amp;$AB$4&amp;"C"&amp;AI$4))*100 + MAX(0, AI$4-$A50)*IF(RTD("tos.rtd",,"OPEN_INT","."&amp;$AB$3&amp;$AB$4&amp;"P"&amp;AI$4)="N/A",0,RTD("tos.rtd",,"OPEN_INT","."&amp;$AB$3&amp;$AB$4&amp;"P"&amp;AI$4))*100</f>
        <v>0</v>
      </c>
      <c r="AJ50" s="18">
        <f>MAX(0, $A50-AJ$4)*IF(RTD("tos.rtd",,"OPEN_INT","."&amp;$AB$3&amp;$AB$4&amp;"C"&amp;AJ$4)="N/A",0,RTD("tos.rtd",,"OPEN_INT","."&amp;$AB$3&amp;$AB$4&amp;"C"&amp;AJ$4))*100 + MAX(0, AJ$4-$A50)*IF(RTD("tos.rtd",,"OPEN_INT","."&amp;$AB$3&amp;$AB$4&amp;"P"&amp;AJ$4)="N/A",0,RTD("tos.rtd",,"OPEN_INT","."&amp;$AB$3&amp;$AB$4&amp;"P"&amp;AJ$4))*100</f>
        <v>5700</v>
      </c>
      <c r="AK50" s="18">
        <f>MAX(0, $A50-AK$4)*IF(RTD("tos.rtd",,"OPEN_INT","."&amp;$AB$3&amp;$AB$4&amp;"C"&amp;AK$4)="N/A",0,RTD("tos.rtd",,"OPEN_INT","."&amp;$AB$3&amp;$AB$4&amp;"C"&amp;AK$4))*100 + MAX(0, AK$4-$A50)*IF(RTD("tos.rtd",,"OPEN_INT","."&amp;$AB$3&amp;$AB$4&amp;"P"&amp;AK$4)="N/A",0,RTD("tos.rtd",,"OPEN_INT","."&amp;$AB$3&amp;$AB$4&amp;"P"&amp;AK$4))*100</f>
        <v>14800</v>
      </c>
      <c r="AL50" s="18">
        <f>MAX(0, $A50-AL$4)*IF(RTD("tos.rtd",,"OPEN_INT","."&amp;$AB$3&amp;$AB$4&amp;"C"&amp;AL$4)="N/A",0,RTD("tos.rtd",,"OPEN_INT","."&amp;$AB$3&amp;$AB$4&amp;"C"&amp;AL$4))*100 + MAX(0, AL$4-$A50)*IF(RTD("tos.rtd",,"OPEN_INT","."&amp;$AB$3&amp;$AB$4&amp;"P"&amp;AL$4)="N/A",0,RTD("tos.rtd",,"OPEN_INT","."&amp;$AB$3&amp;$AB$4&amp;"P"&amp;AL$4))*100</f>
        <v>0</v>
      </c>
      <c r="AM50" s="18">
        <f>MAX(0, $A50-AM$4)*IF(RTD("tos.rtd",,"OPEN_INT","."&amp;$AB$3&amp;$AB$4&amp;"C"&amp;AM$4)="N/A",0,RTD("tos.rtd",,"OPEN_INT","."&amp;$AB$3&amp;$AB$4&amp;"C"&amp;AM$4))*100 + MAX(0, AM$4-$A50)*IF(RTD("tos.rtd",,"OPEN_INT","."&amp;$AB$3&amp;$AB$4&amp;"P"&amp;AM$4)="N/A",0,RTD("tos.rtd",,"OPEN_INT","."&amp;$AB$3&amp;$AB$4&amp;"P"&amp;AM$4))*100</f>
        <v>0</v>
      </c>
      <c r="AN50" s="18">
        <f>MAX(0, $A50-AN$4)*IF(RTD("tos.rtd",,"OPEN_INT","."&amp;$AB$3&amp;$AB$4&amp;"C"&amp;AN$4)="N/A",0,RTD("tos.rtd",,"OPEN_INT","."&amp;$AB$3&amp;$AB$4&amp;"C"&amp;AN$4))*100 + MAX(0, AN$4-$A50)*IF(RTD("tos.rtd",,"OPEN_INT","."&amp;$AB$3&amp;$AB$4&amp;"P"&amp;AN$4)="N/A",0,RTD("tos.rtd",,"OPEN_INT","."&amp;$AB$3&amp;$AB$4&amp;"P"&amp;AN$4))*100</f>
        <v>0</v>
      </c>
      <c r="AO50" s="18">
        <f>MAX(0, $A50-AO$4)*IF(RTD("tos.rtd",,"OPEN_INT","."&amp;$AB$3&amp;$AB$4&amp;"C"&amp;AO$4)="N/A",0,RTD("tos.rtd",,"OPEN_INT","."&amp;$AB$3&amp;$AB$4&amp;"C"&amp;AO$4))*100 + MAX(0, AO$4-$A50)*IF(RTD("tos.rtd",,"OPEN_INT","."&amp;$AB$3&amp;$AB$4&amp;"P"&amp;AO$4)="N/A",0,RTD("tos.rtd",,"OPEN_INT","."&amp;$AB$3&amp;$AB$4&amp;"P"&amp;AO$4))*100</f>
        <v>0</v>
      </c>
      <c r="AP50" s="18">
        <f>MAX(0, $A50-AP$4)*IF(RTD("tos.rtd",,"OPEN_INT","."&amp;$AB$3&amp;$AB$4&amp;"C"&amp;AP$4)="N/A",0,RTD("tos.rtd",,"OPEN_INT","."&amp;$AB$3&amp;$AB$4&amp;"C"&amp;AP$4))*100 + MAX(0, AP$4-$A50)*IF(RTD("tos.rtd",,"OPEN_INT","."&amp;$AB$3&amp;$AB$4&amp;"P"&amp;AP$4)="N/A",0,RTD("tos.rtd",,"OPEN_INT","."&amp;$AB$3&amp;$AB$4&amp;"P"&amp;AP$4))*100</f>
        <v>192000</v>
      </c>
      <c r="AQ50" s="18">
        <f>MAX(0, $A50-AQ$4)*IF(RTD("tos.rtd",,"OPEN_INT","."&amp;$AB$3&amp;$AB$4&amp;"C"&amp;AQ$4)="N/A",0,RTD("tos.rtd",,"OPEN_INT","."&amp;$AB$3&amp;$AB$4&amp;"C"&amp;AQ$4))*100 + MAX(0, AQ$4-$A50)*IF(RTD("tos.rtd",,"OPEN_INT","."&amp;$AB$3&amp;$AB$4&amp;"P"&amp;AQ$4)="N/A",0,RTD("tos.rtd",,"OPEN_INT","."&amp;$AB$3&amp;$AB$4&amp;"P"&amp;AQ$4))*100</f>
        <v>0</v>
      </c>
      <c r="AR50" s="18">
        <f>MAX(0, $A50-AR$4)*IF(RTD("tos.rtd",,"OPEN_INT","."&amp;$AB$3&amp;$AB$4&amp;"C"&amp;AR$4)="N/A",0,RTD("tos.rtd",,"OPEN_INT","."&amp;$AB$3&amp;$AB$4&amp;"C"&amp;AR$4))*100 + MAX(0, AR$4-$A50)*IF(RTD("tos.rtd",,"OPEN_INT","."&amp;$AB$3&amp;$AB$4&amp;"P"&amp;AR$4)="N/A",0,RTD("tos.rtd",,"OPEN_INT","."&amp;$AB$3&amp;$AB$4&amp;"P"&amp;AR$4))*100</f>
        <v>79500</v>
      </c>
      <c r="AS50" s="18">
        <f>MAX(0, $A50-AS$4)*IF(RTD("tos.rtd",,"OPEN_INT","."&amp;$AB$3&amp;$AB$4&amp;"C"&amp;AS$4)="N/A",0,RTD("tos.rtd",,"OPEN_INT","."&amp;$AB$3&amp;$AB$4&amp;"C"&amp;AS$4))*100 + MAX(0, AS$4-$A50)*IF(RTD("tos.rtd",,"OPEN_INT","."&amp;$AB$3&amp;$AB$4&amp;"P"&amp;AS$4)="N/A",0,RTD("tos.rtd",,"OPEN_INT","."&amp;$AB$3&amp;$AB$4&amp;"P"&amp;AS$4))*100</f>
        <v>8700</v>
      </c>
      <c r="AT50" s="18">
        <f>MAX(0, $A50-AT$4)*IF(RTD("tos.rtd",,"OPEN_INT","."&amp;$AB$3&amp;$AB$4&amp;"C"&amp;AT$4)="N/A",0,RTD("tos.rtd",,"OPEN_INT","."&amp;$AB$3&amp;$AB$4&amp;"C"&amp;AT$4))*100 + MAX(0, AT$4-$A50)*IF(RTD("tos.rtd",,"OPEN_INT","."&amp;$AB$3&amp;$AB$4&amp;"P"&amp;AT$4)="N/A",0,RTD("tos.rtd",,"OPEN_INT","."&amp;$AB$3&amp;$AB$4&amp;"P"&amp;AT$4))*100</f>
        <v>86800</v>
      </c>
      <c r="AU50" s="18">
        <f>MAX(0, $A50-AU$4)*IF(RTD("tos.rtd",,"OPEN_INT","."&amp;$AB$3&amp;$AB$4&amp;"C"&amp;AU$4)="N/A",0,RTD("tos.rtd",,"OPEN_INT","."&amp;$AB$3&amp;$AB$4&amp;"C"&amp;AU$4))*100 + MAX(0, AU$4-$A50)*IF(RTD("tos.rtd",,"OPEN_INT","."&amp;$AB$3&amp;$AB$4&amp;"P"&amp;AU$4)="N/A",0,RTD("tos.rtd",,"OPEN_INT","."&amp;$AB$3&amp;$AB$4&amp;"P"&amp;AU$4))*100</f>
        <v>94500</v>
      </c>
      <c r="AV50" s="18">
        <f>MAX(0, $A50-AV$4)*IF(RTD("tos.rtd",,"OPEN_INT","."&amp;$AB$3&amp;$AB$4&amp;"C"&amp;AV$4)="N/A",0,RTD("tos.rtd",,"OPEN_INT","."&amp;$AB$3&amp;$AB$4&amp;"C"&amp;AV$4))*100 + MAX(0, AV$4-$A50)*IF(RTD("tos.rtd",,"OPEN_INT","."&amp;$AB$3&amp;$AB$4&amp;"P"&amp;AV$4)="N/A",0,RTD("tos.rtd",,"OPEN_INT","."&amp;$AB$3&amp;$AB$4&amp;"P"&amp;AV$4))*100</f>
        <v>52000</v>
      </c>
      <c r="AW50" s="18">
        <f>MAX(0, $A50-AW$4)*IF(RTD("tos.rtd",,"OPEN_INT","."&amp;$AB$3&amp;$AB$4&amp;"C"&amp;AW$4)="N/A",0,RTD("tos.rtd",,"OPEN_INT","."&amp;$AB$3&amp;$AB$4&amp;"C"&amp;AW$4))*100 + MAX(0, AW$4-$A50)*IF(RTD("tos.rtd",,"OPEN_INT","."&amp;$AB$3&amp;$AB$4&amp;"P"&amp;AW$4)="N/A",0,RTD("tos.rtd",,"OPEN_INT","."&amp;$AB$3&amp;$AB$4&amp;"P"&amp;AW$4))*100</f>
        <v>201250</v>
      </c>
      <c r="AX50" s="18">
        <f>MAX(0, $A50-AX$4)*IF(RTD("tos.rtd",,"OPEN_INT","."&amp;$AB$3&amp;$AB$4&amp;"C"&amp;AX$4)="N/A",0,RTD("tos.rtd",,"OPEN_INT","."&amp;$AB$3&amp;$AB$4&amp;"C"&amp;AX$4))*100 + MAX(0, AX$4-$A50)*IF(RTD("tos.rtd",,"OPEN_INT","."&amp;$AB$3&amp;$AB$4&amp;"P"&amp;AX$4)="N/A",0,RTD("tos.rtd",,"OPEN_INT","."&amp;$AB$3&amp;$AB$4&amp;"P"&amp;AX$4))*100</f>
        <v>242400</v>
      </c>
      <c r="AY50" s="18">
        <f>MAX(0, $A50-AY$4)*IF(RTD("tos.rtd",,"OPEN_INT","."&amp;$AB$3&amp;$AB$4&amp;"C"&amp;AY$4)="N/A",0,RTD("tos.rtd",,"OPEN_INT","."&amp;$AB$3&amp;$AB$4&amp;"C"&amp;AY$4))*100 + MAX(0, AY$4-$A50)*IF(RTD("tos.rtd",,"OPEN_INT","."&amp;$AB$3&amp;$AB$4&amp;"P"&amp;AY$4)="N/A",0,RTD("tos.rtd",,"OPEN_INT","."&amp;$AB$3&amp;$AB$4&amp;"P"&amp;AY$4))*100</f>
        <v>284050</v>
      </c>
      <c r="AZ50" s="18">
        <f>MAX(0, $A50-AZ$4)*IF(RTD("tos.rtd",,"OPEN_INT","."&amp;$AB$3&amp;$AB$4&amp;"C"&amp;AZ$4)="N/A",0,RTD("tos.rtd",,"OPEN_INT","."&amp;$AB$3&amp;$AB$4&amp;"C"&amp;AZ$4))*100 + MAX(0, AZ$4-$A50)*IF(RTD("tos.rtd",,"OPEN_INT","."&amp;$AB$3&amp;$AB$4&amp;"P"&amp;AZ$4)="N/A",0,RTD("tos.rtd",,"OPEN_INT","."&amp;$AB$3&amp;$AB$4&amp;"P"&amp;AZ$4))*100</f>
        <v>2281400</v>
      </c>
      <c r="BA50" s="18">
        <f>MAX(0, $A50-BA$4)*IF(RTD("tos.rtd",,"OPEN_INT","."&amp;$AB$3&amp;$AB$4&amp;"C"&amp;BA$4)="N/A",0,RTD("tos.rtd",,"OPEN_INT","."&amp;$AB$3&amp;$AB$4&amp;"C"&amp;BA$4))*100 + MAX(0, BA$4-$A50)*IF(RTD("tos.rtd",,"OPEN_INT","."&amp;$AB$3&amp;$AB$4&amp;"P"&amp;BA$4)="N/A",0,RTD("tos.rtd",,"OPEN_INT","."&amp;$AB$3&amp;$AB$4&amp;"P"&amp;BA$4))*100</f>
        <v>596400</v>
      </c>
      <c r="BB50" s="18">
        <f>MAX(0, $A50-BB$4)*IF(RTD("tos.rtd",,"OPEN_INT","."&amp;$AB$3&amp;$AB$4&amp;"C"&amp;BB$4)="N/A",0,RTD("tos.rtd",,"OPEN_INT","."&amp;$AB$3&amp;$AB$4&amp;"C"&amp;BB$4))*100 + MAX(0, BB$4-$A50)*IF(RTD("tos.rtd",,"OPEN_INT","."&amp;$AB$3&amp;$AB$4&amp;"P"&amp;BB$4)="N/A",0,RTD("tos.rtd",,"OPEN_INT","."&amp;$AB$3&amp;$AB$4&amp;"P"&amp;BB$4))*100</f>
        <v>2340000</v>
      </c>
      <c r="BC50" s="18">
        <f>MAX(0, $A50-BC$4)*IF(RTD("tos.rtd",,"OPEN_INT","."&amp;$AB$3&amp;$AB$4&amp;"C"&amp;BC$4)="N/A",0,RTD("tos.rtd",,"OPEN_INT","."&amp;$AB$3&amp;$AB$4&amp;"C"&amp;BC$4))*100 + MAX(0, BC$4-$A50)*IF(RTD("tos.rtd",,"OPEN_INT","."&amp;$AB$3&amp;$AB$4&amp;"P"&amp;BC$4)="N/A",0,RTD("tos.rtd",,"OPEN_INT","."&amp;$AB$3&amp;$AB$4&amp;"P"&amp;BC$4))*100</f>
        <v>2169800</v>
      </c>
      <c r="BD50" s="18">
        <f>MAX(0, $A50-BD$4)*IF(RTD("tos.rtd",,"OPEN_INT","."&amp;$AB$3&amp;$AB$4&amp;"C"&amp;BD$4)="N/A",0,RTD("tos.rtd",,"OPEN_INT","."&amp;$AB$3&amp;$AB$4&amp;"C"&amp;BD$4))*100 + MAX(0, BD$4-$A50)*IF(RTD("tos.rtd",,"OPEN_INT","."&amp;$AB$3&amp;$AB$4&amp;"P"&amp;BD$4)="N/A",0,RTD("tos.rtd",,"OPEN_INT","."&amp;$AB$3&amp;$AB$4&amp;"P"&amp;BD$4))*100</f>
        <v>6885900</v>
      </c>
      <c r="BE50" s="18">
        <f>MAX(0, $A50-BE$4)*IF(RTD("tos.rtd",,"OPEN_INT","."&amp;$AB$3&amp;$AB$4&amp;"C"&amp;BE$4)="N/A",0,RTD("tos.rtd",,"OPEN_INT","."&amp;$AB$3&amp;$AB$4&amp;"C"&amp;BE$4))*100 + MAX(0, BE$4-$A50)*IF(RTD("tos.rtd",,"OPEN_INT","."&amp;$AB$3&amp;$AB$4&amp;"P"&amp;BE$4)="N/A",0,RTD("tos.rtd",,"OPEN_INT","."&amp;$AB$3&amp;$AB$4&amp;"P"&amp;BE$4))*100</f>
        <v>8347850</v>
      </c>
      <c r="BF50" s="18">
        <f>MAX(0, $A50-BF$4)*IF(RTD("tos.rtd",,"OPEN_INT","."&amp;$AB$3&amp;$AB$4&amp;"C"&amp;BF$4)="N/A",0,RTD("tos.rtd",,"OPEN_INT","."&amp;$AB$3&amp;$AB$4&amp;"C"&amp;BF$4))*100 + MAX(0, BF$4-$A50)*IF(RTD("tos.rtd",,"OPEN_INT","."&amp;$AB$3&amp;$AB$4&amp;"P"&amp;BF$4)="N/A",0,RTD("tos.rtd",,"OPEN_INT","."&amp;$AB$3&amp;$AB$4&amp;"P"&amp;BF$4))*100</f>
        <v>8892800</v>
      </c>
      <c r="BG50" s="18">
        <f>MAX(0, $A50-BG$4)*IF(RTD("tos.rtd",,"OPEN_INT","."&amp;$AB$3&amp;$AB$4&amp;"C"&amp;BG$4)="N/A",0,RTD("tos.rtd",,"OPEN_INT","."&amp;$AB$3&amp;$AB$4&amp;"C"&amp;BG$4))*100 + MAX(0, BG$4-$A50)*IF(RTD("tos.rtd",,"OPEN_INT","."&amp;$AB$3&amp;$AB$4&amp;"P"&amp;BG$4)="N/A",0,RTD("tos.rtd",,"OPEN_INT","."&amp;$AB$3&amp;$AB$4&amp;"P"&amp;BG$4))*100</f>
        <v>10431750</v>
      </c>
      <c r="BH50" s="18">
        <f>MAX(0, $A50-BH$4)*IF(RTD("tos.rtd",,"OPEN_INT","."&amp;$AB$3&amp;$AB$4&amp;"C"&amp;BH$4)="N/A",0,RTD("tos.rtd",,"OPEN_INT","."&amp;$AB$3&amp;$AB$4&amp;"C"&amp;BH$4))*100 + MAX(0, BH$4-$A50)*IF(RTD("tos.rtd",,"OPEN_INT","."&amp;$AB$3&amp;$AB$4&amp;"P"&amp;BH$4)="N/A",0,RTD("tos.rtd",,"OPEN_INT","."&amp;$AB$3&amp;$AB$4&amp;"P"&amp;BH$4))*100</f>
        <v>6352500</v>
      </c>
      <c r="BI50" s="18">
        <f>MAX(0, $A50-BI$4)*IF(RTD("tos.rtd",,"OPEN_INT","."&amp;$AB$3&amp;$AB$4&amp;"C"&amp;BI$4)="N/A",0,RTD("tos.rtd",,"OPEN_INT","."&amp;$AB$3&amp;$AB$4&amp;"C"&amp;BI$4))*100 + MAX(0, BI$4-$A50)*IF(RTD("tos.rtd",,"OPEN_INT","."&amp;$AB$3&amp;$AB$4&amp;"P"&amp;BI$4)="N/A",0,RTD("tos.rtd",,"OPEN_INT","."&amp;$AB$3&amp;$AB$4&amp;"P"&amp;BI$4))*100</f>
        <v>4174950</v>
      </c>
      <c r="BJ50" s="18">
        <f>MAX(0, $A50-BJ$4)*IF(RTD("tos.rtd",,"OPEN_INT","."&amp;$AB$3&amp;$AB$4&amp;"C"&amp;BJ$4)="N/A",0,RTD("tos.rtd",,"OPEN_INT","."&amp;$AB$3&amp;$AB$4&amp;"C"&amp;BJ$4))*100 + MAX(0, BJ$4-$A50)*IF(RTD("tos.rtd",,"OPEN_INT","."&amp;$AB$3&amp;$AB$4&amp;"P"&amp;BJ$4)="N/A",0,RTD("tos.rtd",,"OPEN_INT","."&amp;$AB$3&amp;$AB$4&amp;"P"&amp;BJ$4))*100</f>
        <v>4815000</v>
      </c>
      <c r="BK50" s="18">
        <f>MAX(0, $A50-BK$4)*IF(RTD("tos.rtd",,"OPEN_INT","."&amp;$AB$3&amp;$AB$4&amp;"C"&amp;BK$4)="N/A",0,RTD("tos.rtd",,"OPEN_INT","."&amp;$AB$3&amp;$AB$4&amp;"C"&amp;BK$4))*100 + MAX(0, BK$4-$A50)*IF(RTD("tos.rtd",,"OPEN_INT","."&amp;$AB$3&amp;$AB$4&amp;"P"&amp;BK$4)="N/A",0,RTD("tos.rtd",,"OPEN_INT","."&amp;$AB$3&amp;$AB$4&amp;"P"&amp;BK$4))*100</f>
        <v>1200650</v>
      </c>
      <c r="BL50" s="18">
        <f>MAX(0, $A50-BL$4)*IF(RTD("tos.rtd",,"OPEN_INT","."&amp;$AB$3&amp;$AB$4&amp;"C"&amp;BL$4)="N/A",0,RTD("tos.rtd",,"OPEN_INT","."&amp;$AB$3&amp;$AB$4&amp;"C"&amp;BL$4))*100 + MAX(0, BL$4-$A50)*IF(RTD("tos.rtd",,"OPEN_INT","."&amp;$AB$3&amp;$AB$4&amp;"P"&amp;BL$4)="N/A",0,RTD("tos.rtd",,"OPEN_INT","."&amp;$AB$3&amp;$AB$4&amp;"P"&amp;BL$4))*100</f>
        <v>1170000</v>
      </c>
      <c r="BM50" s="18">
        <f>MAX(0, $A50-BM$4)*IF(RTD("tos.rtd",,"OPEN_INT","."&amp;$AB$3&amp;$AB$4&amp;"C"&amp;BM$4)="N/A",0,RTD("tos.rtd",,"OPEN_INT","."&amp;$AB$3&amp;$AB$4&amp;"C"&amp;BM$4))*100 + MAX(0, BM$4-$A50)*IF(RTD("tos.rtd",,"OPEN_INT","."&amp;$AB$3&amp;$AB$4&amp;"P"&amp;BM$4)="N/A",0,RTD("tos.rtd",,"OPEN_INT","."&amp;$AB$3&amp;$AB$4&amp;"P"&amp;BM$4))*100</f>
        <v>176400</v>
      </c>
      <c r="BN50" s="18">
        <f>MAX(0, $A50-BN$4)*IF(RTD("tos.rtd",,"OPEN_INT","."&amp;$AB$3&amp;$AB$4&amp;"C"&amp;BN$4)="N/A",0,RTD("tos.rtd",,"OPEN_INT","."&amp;$AB$3&amp;$AB$4&amp;"C"&amp;BN$4))*100 + MAX(0, BN$4-$A50)*IF(RTD("tos.rtd",,"OPEN_INT","."&amp;$AB$3&amp;$AB$4&amp;"P"&amp;BN$4)="N/A",0,RTD("tos.rtd",,"OPEN_INT","."&amp;$AB$3&amp;$AB$4&amp;"P"&amp;BN$4))*100</f>
        <v>174000</v>
      </c>
      <c r="BO50" s="18">
        <f>MAX(0, $A50-BO$4)*IF(RTD("tos.rtd",,"OPEN_INT","."&amp;$AB$3&amp;$AB$4&amp;"C"&amp;BO$4)="N/A",0,RTD("tos.rtd",,"OPEN_INT","."&amp;$AB$3&amp;$AB$4&amp;"C"&amp;BO$4))*100 + MAX(0, BO$4-$A50)*IF(RTD("tos.rtd",,"OPEN_INT","."&amp;$AB$3&amp;$AB$4&amp;"P"&amp;BO$4)="N/A",0,RTD("tos.rtd",,"OPEN_INT","."&amp;$AB$3&amp;$AB$4&amp;"P"&amp;BO$4))*100</f>
        <v>22050</v>
      </c>
      <c r="BP50" s="18">
        <f>MAX(0, $A50-BP$4)*IF(RTD("tos.rtd",,"OPEN_INT","."&amp;$AB$3&amp;$AB$4&amp;"C"&amp;BP$4)="N/A",0,RTD("tos.rtd",,"OPEN_INT","."&amp;$AB$3&amp;$AB$4&amp;"C"&amp;BP$4))*100 + MAX(0, BP$4-$A50)*IF(RTD("tos.rtd",,"OPEN_INT","."&amp;$AB$3&amp;$AB$4&amp;"P"&amp;BP$4)="N/A",0,RTD("tos.rtd",,"OPEN_INT","."&amp;$AB$3&amp;$AB$4&amp;"P"&amp;BP$4))*100</f>
        <v>133800</v>
      </c>
      <c r="BQ50" s="18">
        <f>MAX(0, $A50-BQ$4)*IF(RTD("tos.rtd",,"OPEN_INT","."&amp;$AB$3&amp;$AB$4&amp;"C"&amp;BQ$4)="N/A",0,RTD("tos.rtd",,"OPEN_INT","."&amp;$AB$3&amp;$AB$4&amp;"C"&amp;BQ$4))*100 + MAX(0, BQ$4-$A50)*IF(RTD("tos.rtd",,"OPEN_INT","."&amp;$AB$3&amp;$AB$4&amp;"P"&amp;BQ$4)="N/A",0,RTD("tos.rtd",,"OPEN_INT","."&amp;$AB$3&amp;$AB$4&amp;"P"&amp;BQ$4))*100</f>
        <v>0</v>
      </c>
      <c r="BR50" s="18">
        <f>MAX(0, $A50-BR$4)*IF(RTD("tos.rtd",,"OPEN_INT","."&amp;$AB$3&amp;$AB$4&amp;"C"&amp;BR$4)="N/A",0,RTD("tos.rtd",,"OPEN_INT","."&amp;$AB$3&amp;$AB$4&amp;"C"&amp;BR$4))*100 + MAX(0, BR$4-$A50)*IF(RTD("tos.rtd",,"OPEN_INT","."&amp;$AB$3&amp;$AB$4&amp;"P"&amp;BR$4)="N/A",0,RTD("tos.rtd",,"OPEN_INT","."&amp;$AB$3&amp;$AB$4&amp;"P"&amp;BR$4))*100</f>
        <v>0</v>
      </c>
      <c r="BS50" s="18">
        <f>MAX(0, $A50-BS$4)*IF(RTD("tos.rtd",,"OPEN_INT","."&amp;$AB$3&amp;$AB$4&amp;"C"&amp;BS$4)="N/A",0,RTD("tos.rtd",,"OPEN_INT","."&amp;$AB$3&amp;$AB$4&amp;"C"&amp;BS$4))*100 + MAX(0, BS$4-$A50)*IF(RTD("tos.rtd",,"OPEN_INT","."&amp;$AB$3&amp;$AB$4&amp;"P"&amp;BS$4)="N/A",0,RTD("tos.rtd",,"OPEN_INT","."&amp;$AB$3&amp;$AB$4&amp;"P"&amp;BS$4))*100</f>
        <v>0</v>
      </c>
      <c r="BT50" s="18">
        <f>MAX(0, $A50-BT$4)*IF(RTD("tos.rtd",,"OPEN_INT","."&amp;$AB$3&amp;$AB$4&amp;"C"&amp;BT$4)="N/A",0,RTD("tos.rtd",,"OPEN_INT","."&amp;$AB$3&amp;$AB$4&amp;"C"&amp;BT$4))*100 + MAX(0, BT$4-$A50)*IF(RTD("tos.rtd",,"OPEN_INT","."&amp;$AB$3&amp;$AB$4&amp;"P"&amp;BT$4)="N/A",0,RTD("tos.rtd",,"OPEN_INT","."&amp;$AB$3&amp;$AB$4&amp;"P"&amp;BT$4))*100</f>
        <v>0</v>
      </c>
      <c r="BU50" s="18">
        <f>MAX(0, $A50-BU$4)*IF(RTD("tos.rtd",,"OPEN_INT","."&amp;$AB$3&amp;$AB$4&amp;"C"&amp;BU$4)="N/A",0,RTD("tos.rtd",,"OPEN_INT","."&amp;$AB$3&amp;$AB$4&amp;"C"&amp;BU$4))*100 + MAX(0, BU$4-$A50)*IF(RTD("tos.rtd",,"OPEN_INT","."&amp;$AB$3&amp;$AB$4&amp;"P"&amp;BU$4)="N/A",0,RTD("tos.rtd",,"OPEN_INT","."&amp;$AB$3&amp;$AB$4&amp;"P"&amp;BU$4))*100</f>
        <v>0</v>
      </c>
      <c r="BV50" s="18">
        <f>MAX(0, $A50-BV$4)*IF(RTD("tos.rtd",,"OPEN_INT","."&amp;$AB$3&amp;$AB$4&amp;"C"&amp;BV$4)="N/A",0,RTD("tos.rtd",,"OPEN_INT","."&amp;$AB$3&amp;$AB$4&amp;"C"&amp;BV$4))*100 + MAX(0, BV$4-$A50)*IF(RTD("tos.rtd",,"OPEN_INT","."&amp;$AB$3&amp;$AB$4&amp;"P"&amp;BV$4)="N/A",0,RTD("tos.rtd",,"OPEN_INT","."&amp;$AB$3&amp;$AB$4&amp;"P"&amp;BV$4))*100</f>
        <v>0</v>
      </c>
      <c r="BW50" s="18">
        <f>MAX(0, $A50-BW$4)*IF(RTD("tos.rtd",,"OPEN_INT","."&amp;$AB$3&amp;$AB$4&amp;"C"&amp;BW$4)="N/A",0,RTD("tos.rtd",,"OPEN_INT","."&amp;$AB$3&amp;$AB$4&amp;"C"&amp;BW$4))*100 + MAX(0, BW$4-$A50)*IF(RTD("tos.rtd",,"OPEN_INT","."&amp;$AB$3&amp;$AB$4&amp;"P"&amp;BW$4)="N/A",0,RTD("tos.rtd",,"OPEN_INT","."&amp;$AB$3&amp;$AB$4&amp;"P"&amp;BW$4))*100</f>
        <v>0</v>
      </c>
    </row>
    <row r="51" spans="1:75" s="19" customFormat="1" ht="11.1" customHeight="1" thickBot="1" x14ac:dyDescent="0.3">
      <c r="A51" s="6">
        <f t="shared" si="12"/>
        <v>-1.5</v>
      </c>
      <c r="B51" s="15">
        <f ca="1">IF($A$2="PREMIUM_OI",IFERROR(IF($X$1="ABS",(100*RTD("tos.rtd",,"OPEN_INT","."&amp;B$2&amp;B$1&amp;"C"&amp;$A51)*RTD("tos.rtd",,"LAST","."&amp;B$2&amp;B$1&amp;"C"&amp;$A51)+100*RTD("tos.rtd",,"OPEN_INT","."&amp;B$2&amp;B$1&amp;"P"&amp;$A51)*RTD("tos.rtd",,"LAST","."&amp;B$2&amp;B$1&amp;"P"&amp;$A51))/1000000,(100*RTD("tos.rtd",,"OPEN_INT","."&amp;B$2&amp;B$1&amp;"C"&amp;$A51)*RTD("tos.rtd",,"LAST","."&amp;B$2&amp;B$1&amp;"C"&amp;$A51)-100*RTD("tos.rtd",,"OPEN_INT","."&amp;B$2&amp;B$1&amp;"P"&amp;$A51)*RTD("tos.rtd",,"LAST","."&amp;B$2&amp;B$1&amp;"P"&amp;$A51))/1000000),0),IF($A$2="PREMIUM",IFERROR(IF($X$1="ABS",(100*RTD("tos.rtd",,"VOLUME","."&amp;B$2&amp;B$1&amp;"C"&amp;$A51)*RTD("tos.rtd",,"LAST","."&amp;B$2&amp;B$1&amp;"C"&amp;$A51)+100*RTD("tos.rtd",,"VOLUME","."&amp;B$2&amp;B$1&amp;"P"&amp;$A51)*RTD("tos.rtd",,"LAST","."&amp;B$2&amp;B$1&amp;"P"&amp;$A51))/1000000,(100*RTD("tos.rtd",,"VOLUME","."&amp;B$2&amp;B$1&amp;"C"&amp;$A51)*RTD("tos.rtd",,"LAST","."&amp;B$2&amp;B$1&amp;"C"&amp;$A51)-100*RTD("tos.rtd",,"VOLUME","."&amp;B$2&amp;B$1&amp;"P"&amp;$A51)*RTD("tos.rtd",,"LAST","."&amp;B$2&amp;B$1&amp;"P"&amp;$A51))/1000000),0),IF($A$2="DEX",IFERROR(IF($X$1="ABS",(100*RTD("tos.rtd",,"OPEN_INT","."&amp;B$2&amp;B$1&amp;"C"&amp;$A51)*RTD("tos.rtd",,"DELTA","."&amp;B$2&amp;B$1&amp;"C"&amp;$A51)+100*RTD("tos.rtd",,"OPEN_INT","."&amp;B$2&amp;B$1&amp;"P"&amp;$A51)*RTD("tos.rtd",,"DELTA","."&amp;B$2&amp;B$1&amp;"P"&amp;$A51))/1000,(100*RTD("tos.rtd",,"OPEN_INT","."&amp;B$2&amp;B$1&amp;"C"&amp;$A51)*RTD("tos.rtd",,"DELTA","."&amp;B$2&amp;B$1&amp;"C"&amp;$A51)-100*RTD("tos.rtd",,"OPEN_INT","."&amp;B$2&amp;B$1&amp;"P"&amp;$A51)*RTD("tos.rtd",,"DELTA","."&amp;B$2&amp;B$1&amp;"P"&amp;$A51))/1000),0),IF($A$2="VEX",IFERROR(IF($X$1="ABS",($A$4*$A$4*RTD("tos.rtd",,"VOLUME","."&amp;B$2&amp;B$1&amp;"C"&amp;$A51)*RTD("tos.rtd",,"GAMMA","."&amp;B$2&amp;B$1&amp;"C"&amp;$A51)+$A$4*$A$4*RTD("tos.rtd",,"VOLUME","."&amp;B$2&amp;B$1&amp;"P"&amp;$A51)*RTD("tos.rtd",,"GAMMA","."&amp;B$2&amp;B$1&amp;"P"&amp;$A51))/1000000,($A$4*$A$4*RTD("tos.rtd",,"VOLUME","."&amp;B$2&amp;B$1&amp;"C"&amp;$A51)*RTD("tos.rtd",,"GAMMA","."&amp;B$2&amp;B$1&amp;"C"&amp;$A51)-$A$4*$A$4*RTD("tos.rtd",,"VOLUME","."&amp;B$2&amp;B$1&amp;"P"&amp;$A51)*RTD("tos.rtd",,"GAMMA","."&amp;B$2&amp;B$1&amp;"P"&amp;$A51))/1000000),0),IF($A$2="GEX",IFERROR(IF($X$1="ABS",($A$4*$A$4*RTD("tos.rtd",,"OPEN_INT","."&amp;B$2&amp;B$1&amp;"C"&amp;$A51)*RTD("tos.rtd",,"GAMMA","."&amp;B$2&amp;B$1&amp;"C"&amp;$A51)+$A$4*$A$4*RTD("tos.rtd",,"OPEN_INT","."&amp;B$2&amp;B$1&amp;"P"&amp;$A51)*RTD("tos.rtd",,"GAMMA","."&amp;B$2&amp;B$1&amp;"P"&amp;$A51))/1000000,($A$4*$A$4*RTD("tos.rtd",,"OPEN_INT","."&amp;B$2&amp;B$1&amp;"C"&amp;$A51)*RTD("tos.rtd",,"GAMMA","."&amp;B$2&amp;B$1&amp;"C"&amp;$A51)-$A$4*$A$4*RTD("tos.rtd",,"OPEN_INT","."&amp;B$2&amp;B$1&amp;"P"&amp;$A51)*RTD("tos.rtd",,"GAMMA","."&amp;B$2&amp;B$1&amp;"P"&amp;$A51))/1000000),0),IF($A$2="SKEW",IFERROR(VALUE(IF(RTD("tos.rtd",,"IMPL_VOL","."&amp;B$2&amp;B$1&amp;"P"&amp;$A51)="N/A",0,RTD("tos.rtd",,"IMPL_VOL","."&amp;B$2&amp;B$1&amp;"P"&amp;$A51))),0)-IFERROR(VALUE(IF(RTD("tos.rtd",,"IMPL_VOL","."&amp;B$2&amp;B$1&amp;"C"&amp;$A51)="N/A",0,RTD("tos.rtd",,"IMPL_VOL","."&amp;B$2&amp;B$1&amp;"C"&amp;$A51))),0),IF($A$2="MAXPAIN",IF($A$4&gt;$A51,($A$4-$A51)*IF(RTD("tos.rtd",,"OPEN_INT","."&amp;B$2&amp;B$1&amp;"C"&amp;$A51)="N/A",0,RTD("tos.rtd",,"OPEN_INT","."&amp;B$2&amp;B$1&amp;"C"&amp;$A51)),0)+IF($A$4&lt;$A51,($A$5-$A$4)*IF(RTD("tos.rtd",,"OPEN_INT","."&amp;B$2&amp;B$1&amp;"P"&amp;$A51)="N/A",0,RTD("tos.rtd",,"OPEN_INT","."&amp;B$2&amp;B$1&amp;"P"&amp;$A51)),0),IF($X$1="ABS",IF(RTD("tos.rtd",,$A$2,"."&amp;B$2&amp;B$1&amp;"C"&amp;$A51)="N/A",0,RTD("tos.rtd",,$A$2,"."&amp;B$2&amp;B$1&amp;"C"&amp;$A51))+IF(RTD("tos.rtd",,$A$2,"."&amp;B$2&amp;B$1&amp;"P"&amp;$A51)="N/A",0,RTD("tos.rtd",,$A$2,"."&amp;B$2&amp;B$1&amp;"P"&amp;$A51)),IF(RTD("tos.rtd",,$A$2,"."&amp;B$2&amp;B$1&amp;"C"&amp;$A51)="N/A",0,RTD("tos.rtd",,$A$2,"."&amp;B$2&amp;B$1&amp;"C"&amp;$A51))-IF(RTD("tos.rtd",,$A$2,"."&amp;B$2&amp;B$1&amp;"P"&amp;$A51)="N/A",0,RTD("tos.rtd",,$A$2,"."&amp;B$2&amp;B$1&amp;"P"&amp;$A51))))))))))</f>
        <v>0</v>
      </c>
      <c r="C51" s="15">
        <f ca="1">IF($A$2="PREMIUM_OI",IFERROR(IF($X$1="ABS",(100*RTD("tos.rtd",,"OPEN_INT","."&amp;C$2&amp;C$1&amp;"C"&amp;$A51)*RTD("tos.rtd",,"LAST","."&amp;C$2&amp;C$1&amp;"C"&amp;$A51)+100*RTD("tos.rtd",,"OPEN_INT","."&amp;C$2&amp;C$1&amp;"P"&amp;$A51)*RTD("tos.rtd",,"LAST","."&amp;C$2&amp;C$1&amp;"P"&amp;$A51))/1000000,(100*RTD("tos.rtd",,"OPEN_INT","."&amp;C$2&amp;C$1&amp;"C"&amp;$A51)*RTD("tos.rtd",,"LAST","."&amp;C$2&amp;C$1&amp;"C"&amp;$A51)-100*RTD("tos.rtd",,"OPEN_INT","."&amp;C$2&amp;C$1&amp;"P"&amp;$A51)*RTD("tos.rtd",,"LAST","."&amp;C$2&amp;C$1&amp;"P"&amp;$A51))/1000000),0),IF($A$2="PREMIUM",IFERROR(IF($X$1="ABS",(100*RTD("tos.rtd",,"VOLUME","."&amp;C$2&amp;C$1&amp;"C"&amp;$A51)*RTD("tos.rtd",,"LAST","."&amp;C$2&amp;C$1&amp;"C"&amp;$A51)+100*RTD("tos.rtd",,"VOLUME","."&amp;C$2&amp;C$1&amp;"P"&amp;$A51)*RTD("tos.rtd",,"LAST","."&amp;C$2&amp;C$1&amp;"P"&amp;$A51))/1000000,(100*RTD("tos.rtd",,"VOLUME","."&amp;C$2&amp;C$1&amp;"C"&amp;$A51)*RTD("tos.rtd",,"LAST","."&amp;C$2&amp;C$1&amp;"C"&amp;$A51)-100*RTD("tos.rtd",,"VOLUME","."&amp;C$2&amp;C$1&amp;"P"&amp;$A51)*RTD("tos.rtd",,"LAST","."&amp;C$2&amp;C$1&amp;"P"&amp;$A51))/1000000),0),IF($A$2="DEX",IFERROR(IF($X$1="ABS",(100*RTD("tos.rtd",,"OPEN_INT","."&amp;C$2&amp;C$1&amp;"C"&amp;$A51)*RTD("tos.rtd",,"DELTA","."&amp;C$2&amp;C$1&amp;"C"&amp;$A51)+100*RTD("tos.rtd",,"OPEN_INT","."&amp;C$2&amp;C$1&amp;"P"&amp;$A51)*RTD("tos.rtd",,"DELTA","."&amp;C$2&amp;C$1&amp;"P"&amp;$A51))/1000,(100*RTD("tos.rtd",,"OPEN_INT","."&amp;C$2&amp;C$1&amp;"C"&amp;$A51)*RTD("tos.rtd",,"DELTA","."&amp;C$2&amp;C$1&amp;"C"&amp;$A51)-100*RTD("tos.rtd",,"OPEN_INT","."&amp;C$2&amp;C$1&amp;"P"&amp;$A51)*RTD("tos.rtd",,"DELTA","."&amp;C$2&amp;C$1&amp;"P"&amp;$A51))/1000),0),IF($A$2="VEX",IFERROR(IF($X$1="ABS",($A$4*$A$4*RTD("tos.rtd",,"VOLUME","."&amp;C$2&amp;C$1&amp;"C"&amp;$A51)*RTD("tos.rtd",,"GAMMA","."&amp;C$2&amp;C$1&amp;"C"&amp;$A51)+$A$4*$A$4*RTD("tos.rtd",,"VOLUME","."&amp;C$2&amp;C$1&amp;"P"&amp;$A51)*RTD("tos.rtd",,"GAMMA","."&amp;C$2&amp;C$1&amp;"P"&amp;$A51))/1000000,($A$4*$A$4*RTD("tos.rtd",,"VOLUME","."&amp;C$2&amp;C$1&amp;"C"&amp;$A51)*RTD("tos.rtd",,"GAMMA","."&amp;C$2&amp;C$1&amp;"C"&amp;$A51)-$A$4*$A$4*RTD("tos.rtd",,"VOLUME","."&amp;C$2&amp;C$1&amp;"P"&amp;$A51)*RTD("tos.rtd",,"GAMMA","."&amp;C$2&amp;C$1&amp;"P"&amp;$A51))/1000000),0),IF($A$2="GEX",IFERROR(IF($X$1="ABS",($A$4*$A$4*RTD("tos.rtd",,"OPEN_INT","."&amp;C$2&amp;C$1&amp;"C"&amp;$A51)*RTD("tos.rtd",,"GAMMA","."&amp;C$2&amp;C$1&amp;"C"&amp;$A51)+$A$4*$A$4*RTD("tos.rtd",,"OPEN_INT","."&amp;C$2&amp;C$1&amp;"P"&amp;$A51)*RTD("tos.rtd",,"GAMMA","."&amp;C$2&amp;C$1&amp;"P"&amp;$A51))/1000000,($A$4*$A$4*RTD("tos.rtd",,"OPEN_INT","."&amp;C$2&amp;C$1&amp;"C"&amp;$A51)*RTD("tos.rtd",,"GAMMA","."&amp;C$2&amp;C$1&amp;"C"&amp;$A51)-$A$4*$A$4*RTD("tos.rtd",,"OPEN_INT","."&amp;C$2&amp;C$1&amp;"P"&amp;$A51)*RTD("tos.rtd",,"GAMMA","."&amp;C$2&amp;C$1&amp;"P"&amp;$A51))/1000000),0),IF($A$2="SKEW",IFERROR(VALUE(IF(RTD("tos.rtd",,"IMPL_VOL","."&amp;C$2&amp;C$1&amp;"P"&amp;$A51)="N/A",0,RTD("tos.rtd",,"IMPL_VOL","."&amp;C$2&amp;C$1&amp;"P"&amp;$A51))),0)-IFERROR(VALUE(IF(RTD("tos.rtd",,"IMPL_VOL","."&amp;C$2&amp;C$1&amp;"C"&amp;$A51)="N/A",0,RTD("tos.rtd",,"IMPL_VOL","."&amp;C$2&amp;C$1&amp;"C"&amp;$A51))),0),IF($A$2="MAXPAIN",IF($A$4&gt;$A51,($A$4-$A51)*IF(RTD("tos.rtd",,"OPEN_INT","."&amp;C$2&amp;C$1&amp;"C"&amp;$A51)="N/A",0,RTD("tos.rtd",,"OPEN_INT","."&amp;C$2&amp;C$1&amp;"C"&amp;$A51)),0)+IF($A$4&lt;$A51,($A$5-$A$4)*IF(RTD("tos.rtd",,"OPEN_INT","."&amp;C$2&amp;C$1&amp;"P"&amp;$A51)="N/A",0,RTD("tos.rtd",,"OPEN_INT","."&amp;C$2&amp;C$1&amp;"P"&amp;$A51)),0),IF($X$1="ABS",IF(RTD("tos.rtd",,$A$2,"."&amp;C$2&amp;C$1&amp;"C"&amp;$A51)="N/A",0,RTD("tos.rtd",,$A$2,"."&amp;C$2&amp;C$1&amp;"C"&amp;$A51))+IF(RTD("tos.rtd",,$A$2,"."&amp;C$2&amp;C$1&amp;"P"&amp;$A51)="N/A",0,RTD("tos.rtd",,$A$2,"."&amp;C$2&amp;C$1&amp;"P"&amp;$A51)),IF(RTD("tos.rtd",,$A$2,"."&amp;C$2&amp;C$1&amp;"C"&amp;$A51)="N/A",0,RTD("tos.rtd",,$A$2,"."&amp;C$2&amp;C$1&amp;"C"&amp;$A51))-IF(RTD("tos.rtd",,$A$2,"."&amp;C$2&amp;C$1&amp;"P"&amp;$A51)="N/A",0,RTD("tos.rtd",,$A$2,"."&amp;C$2&amp;C$1&amp;"P"&amp;$A51))))))))))</f>
        <v>0</v>
      </c>
      <c r="D51" s="16">
        <f ca="1">IF($A$2="PREMIUM_OI",IFERROR(IF($X$1="ABS",(100*RTD("tos.rtd",,"OPEN_INT","."&amp;D$2&amp;D$1&amp;"C"&amp;$A51)*RTD("tos.rtd",,"LAST","."&amp;D$2&amp;D$1&amp;"C"&amp;$A51)+100*RTD("tos.rtd",,"OPEN_INT","."&amp;D$2&amp;D$1&amp;"P"&amp;$A51)*RTD("tos.rtd",,"LAST","."&amp;D$2&amp;D$1&amp;"P"&amp;$A51))/1000000,(100*RTD("tos.rtd",,"OPEN_INT","."&amp;D$2&amp;D$1&amp;"C"&amp;$A51)*RTD("tos.rtd",,"LAST","."&amp;D$2&amp;D$1&amp;"C"&amp;$A51)-100*RTD("tos.rtd",,"OPEN_INT","."&amp;D$2&amp;D$1&amp;"P"&amp;$A51)*RTD("tos.rtd",,"LAST","."&amp;D$2&amp;D$1&amp;"P"&amp;$A51))/1000000),0),IF($A$2="PREMIUM",IFERROR(IF($X$1="ABS",(100*RTD("tos.rtd",,"VOLUME","."&amp;D$2&amp;D$1&amp;"C"&amp;$A51)*RTD("tos.rtd",,"LAST","."&amp;D$2&amp;D$1&amp;"C"&amp;$A51)+100*RTD("tos.rtd",,"VOLUME","."&amp;D$2&amp;D$1&amp;"P"&amp;$A51)*RTD("tos.rtd",,"LAST","."&amp;D$2&amp;D$1&amp;"P"&amp;$A51))/1000000,(100*RTD("tos.rtd",,"VOLUME","."&amp;D$2&amp;D$1&amp;"C"&amp;$A51)*RTD("tos.rtd",,"LAST","."&amp;D$2&amp;D$1&amp;"C"&amp;$A51)-100*RTD("tos.rtd",,"VOLUME","."&amp;D$2&amp;D$1&amp;"P"&amp;$A51)*RTD("tos.rtd",,"LAST","."&amp;D$2&amp;D$1&amp;"P"&amp;$A51))/1000000),0),IF($A$2="DEX",IFERROR(IF($X$1="ABS",(100*RTD("tos.rtd",,"OPEN_INT","."&amp;D$2&amp;D$1&amp;"C"&amp;$A51)*RTD("tos.rtd",,"DELTA","."&amp;D$2&amp;D$1&amp;"C"&amp;$A51)+100*RTD("tos.rtd",,"OPEN_INT","."&amp;D$2&amp;D$1&amp;"P"&amp;$A51)*RTD("tos.rtd",,"DELTA","."&amp;D$2&amp;D$1&amp;"P"&amp;$A51))/1000,(100*RTD("tos.rtd",,"OPEN_INT","."&amp;D$2&amp;D$1&amp;"C"&amp;$A51)*RTD("tos.rtd",,"DELTA","."&amp;D$2&amp;D$1&amp;"C"&amp;$A51)-100*RTD("tos.rtd",,"OPEN_INT","."&amp;D$2&amp;D$1&amp;"P"&amp;$A51)*RTD("tos.rtd",,"DELTA","."&amp;D$2&amp;D$1&amp;"P"&amp;$A51))/1000),0),IF($A$2="VEX",IFERROR(IF($X$1="ABS",($A$4*$A$4*RTD("tos.rtd",,"VOLUME","."&amp;D$2&amp;D$1&amp;"C"&amp;$A51)*RTD("tos.rtd",,"GAMMA","."&amp;D$2&amp;D$1&amp;"C"&amp;$A51)+$A$4*$A$4*RTD("tos.rtd",,"VOLUME","."&amp;D$2&amp;D$1&amp;"P"&amp;$A51)*RTD("tos.rtd",,"GAMMA","."&amp;D$2&amp;D$1&amp;"P"&amp;$A51))/1000000,($A$4*$A$4*RTD("tos.rtd",,"VOLUME","."&amp;D$2&amp;D$1&amp;"C"&amp;$A51)*RTD("tos.rtd",,"GAMMA","."&amp;D$2&amp;D$1&amp;"C"&amp;$A51)-$A$4*$A$4*RTD("tos.rtd",,"VOLUME","."&amp;D$2&amp;D$1&amp;"P"&amp;$A51)*RTD("tos.rtd",,"GAMMA","."&amp;D$2&amp;D$1&amp;"P"&amp;$A51))/1000000),0),IF($A$2="GEX",IFERROR(IF($X$1="ABS",($A$4*$A$4*RTD("tos.rtd",,"OPEN_INT","."&amp;D$2&amp;D$1&amp;"C"&amp;$A51)*RTD("tos.rtd",,"GAMMA","."&amp;D$2&amp;D$1&amp;"C"&amp;$A51)+$A$4*$A$4*RTD("tos.rtd",,"OPEN_INT","."&amp;D$2&amp;D$1&amp;"P"&amp;$A51)*RTD("tos.rtd",,"GAMMA","."&amp;D$2&amp;D$1&amp;"P"&amp;$A51))/1000000,($A$4*$A$4*RTD("tos.rtd",,"OPEN_INT","."&amp;D$2&amp;D$1&amp;"C"&amp;$A51)*RTD("tos.rtd",,"GAMMA","."&amp;D$2&amp;D$1&amp;"C"&amp;$A51)-$A$4*$A$4*RTD("tos.rtd",,"OPEN_INT","."&amp;D$2&amp;D$1&amp;"P"&amp;$A51)*RTD("tos.rtd",,"GAMMA","."&amp;D$2&amp;D$1&amp;"P"&amp;$A51))/1000000),0),IF($A$2="SKEW",IFERROR(VALUE(IF(RTD("tos.rtd",,"IMPL_VOL","."&amp;D$2&amp;D$1&amp;"P"&amp;$A51)="N/A",0,RTD("tos.rtd",,"IMPL_VOL","."&amp;D$2&amp;D$1&amp;"P"&amp;$A51))),0)-IFERROR(VALUE(IF(RTD("tos.rtd",,"IMPL_VOL","."&amp;D$2&amp;D$1&amp;"C"&amp;$A51)="N/A",0,RTD("tos.rtd",,"IMPL_VOL","."&amp;D$2&amp;D$1&amp;"C"&amp;$A51))),0),IF($A$2="MAXPAIN",IF($A$4&gt;$A51,($A$4-$A51)*IF(RTD("tos.rtd",,"OPEN_INT","."&amp;D$2&amp;D$1&amp;"C"&amp;$A51)="N/A",0,RTD("tos.rtd",,"OPEN_INT","."&amp;D$2&amp;D$1&amp;"C"&amp;$A51)),0)+IF($A$4&lt;$A51,($A$5-$A$4)*IF(RTD("tos.rtd",,"OPEN_INT","."&amp;D$2&amp;D$1&amp;"P"&amp;$A51)="N/A",0,RTD("tos.rtd",,"OPEN_INT","."&amp;D$2&amp;D$1&amp;"P"&amp;$A51)),0),IF($X$1="ABS",IF(RTD("tos.rtd",,$A$2,"."&amp;D$2&amp;D$1&amp;"C"&amp;$A51)="N/A",0,RTD("tos.rtd",,$A$2,"."&amp;D$2&amp;D$1&amp;"C"&amp;$A51))+IF(RTD("tos.rtd",,$A$2,"."&amp;D$2&amp;D$1&amp;"P"&amp;$A51)="N/A",0,RTD("tos.rtd",,$A$2,"."&amp;D$2&amp;D$1&amp;"P"&amp;$A51)),IF(RTD("tos.rtd",,$A$2,"."&amp;D$2&amp;D$1&amp;"C"&amp;$A51)="N/A",0,RTD("tos.rtd",,$A$2,"."&amp;D$2&amp;D$1&amp;"C"&amp;$A51))-IF(RTD("tos.rtd",,$A$2,"."&amp;D$2&amp;D$1&amp;"P"&amp;$A51)="N/A",0,RTD("tos.rtd",,$A$2,"."&amp;D$2&amp;D$1&amp;"P"&amp;$A51))))))))))</f>
        <v>0</v>
      </c>
      <c r="E51" s="16">
        <f ca="1">IF($A$2="PREMIUM_OI",IFERROR(IF($X$1="ABS",(100*RTD("tos.rtd",,"OPEN_INT","."&amp;E$2&amp;E$1&amp;"C"&amp;$A51)*RTD("tos.rtd",,"LAST","."&amp;E$2&amp;E$1&amp;"C"&amp;$A51)+100*RTD("tos.rtd",,"OPEN_INT","."&amp;E$2&amp;E$1&amp;"P"&amp;$A51)*RTD("tos.rtd",,"LAST","."&amp;E$2&amp;E$1&amp;"P"&amp;$A51))/1000000,(100*RTD("tos.rtd",,"OPEN_INT","."&amp;E$2&amp;E$1&amp;"C"&amp;$A51)*RTD("tos.rtd",,"LAST","."&amp;E$2&amp;E$1&amp;"C"&amp;$A51)-100*RTD("tos.rtd",,"OPEN_INT","."&amp;E$2&amp;E$1&amp;"P"&amp;$A51)*RTD("tos.rtd",,"LAST","."&amp;E$2&amp;E$1&amp;"P"&amp;$A51))/1000000),0),IF($A$2="PREMIUM",IFERROR(IF($X$1="ABS",(100*RTD("tos.rtd",,"VOLUME","."&amp;E$2&amp;E$1&amp;"C"&amp;$A51)*RTD("tos.rtd",,"LAST","."&amp;E$2&amp;E$1&amp;"C"&amp;$A51)+100*RTD("tos.rtd",,"VOLUME","."&amp;E$2&amp;E$1&amp;"P"&amp;$A51)*RTD("tos.rtd",,"LAST","."&amp;E$2&amp;E$1&amp;"P"&amp;$A51))/1000000,(100*RTD("tos.rtd",,"VOLUME","."&amp;E$2&amp;E$1&amp;"C"&amp;$A51)*RTD("tos.rtd",,"LAST","."&amp;E$2&amp;E$1&amp;"C"&amp;$A51)-100*RTD("tos.rtd",,"VOLUME","."&amp;E$2&amp;E$1&amp;"P"&amp;$A51)*RTD("tos.rtd",,"LAST","."&amp;E$2&amp;E$1&amp;"P"&amp;$A51))/1000000),0),IF($A$2="DEX",IFERROR(IF($X$1="ABS",(100*RTD("tos.rtd",,"OPEN_INT","."&amp;E$2&amp;E$1&amp;"C"&amp;$A51)*RTD("tos.rtd",,"DELTA","."&amp;E$2&amp;E$1&amp;"C"&amp;$A51)+100*RTD("tos.rtd",,"OPEN_INT","."&amp;E$2&amp;E$1&amp;"P"&amp;$A51)*RTD("tos.rtd",,"DELTA","."&amp;E$2&amp;E$1&amp;"P"&amp;$A51))/1000,(100*RTD("tos.rtd",,"OPEN_INT","."&amp;E$2&amp;E$1&amp;"C"&amp;$A51)*RTD("tos.rtd",,"DELTA","."&amp;E$2&amp;E$1&amp;"C"&amp;$A51)-100*RTD("tos.rtd",,"OPEN_INT","."&amp;E$2&amp;E$1&amp;"P"&amp;$A51)*RTD("tos.rtd",,"DELTA","."&amp;E$2&amp;E$1&amp;"P"&amp;$A51))/1000),0),IF($A$2="VEX",IFERROR(IF($X$1="ABS",($A$4*$A$4*RTD("tos.rtd",,"VOLUME","."&amp;E$2&amp;E$1&amp;"C"&amp;$A51)*RTD("tos.rtd",,"GAMMA","."&amp;E$2&amp;E$1&amp;"C"&amp;$A51)+$A$4*$A$4*RTD("tos.rtd",,"VOLUME","."&amp;E$2&amp;E$1&amp;"P"&amp;$A51)*RTD("tos.rtd",,"GAMMA","."&amp;E$2&amp;E$1&amp;"P"&amp;$A51))/1000000,($A$4*$A$4*RTD("tos.rtd",,"VOLUME","."&amp;E$2&amp;E$1&amp;"C"&amp;$A51)*RTD("tos.rtd",,"GAMMA","."&amp;E$2&amp;E$1&amp;"C"&amp;$A51)-$A$4*$A$4*RTD("tos.rtd",,"VOLUME","."&amp;E$2&amp;E$1&amp;"P"&amp;$A51)*RTD("tos.rtd",,"GAMMA","."&amp;E$2&amp;E$1&amp;"P"&amp;$A51))/1000000),0),IF($A$2="GEX",IFERROR(IF($X$1="ABS",($A$4*$A$4*RTD("tos.rtd",,"OPEN_INT","."&amp;E$2&amp;E$1&amp;"C"&amp;$A51)*RTD("tos.rtd",,"GAMMA","."&amp;E$2&amp;E$1&amp;"C"&amp;$A51)+$A$4*$A$4*RTD("tos.rtd",,"OPEN_INT","."&amp;E$2&amp;E$1&amp;"P"&amp;$A51)*RTD("tos.rtd",,"GAMMA","."&amp;E$2&amp;E$1&amp;"P"&amp;$A51))/1000000,($A$4*$A$4*RTD("tos.rtd",,"OPEN_INT","."&amp;E$2&amp;E$1&amp;"C"&amp;$A51)*RTD("tos.rtd",,"GAMMA","."&amp;E$2&amp;E$1&amp;"C"&amp;$A51)-$A$4*$A$4*RTD("tos.rtd",,"OPEN_INT","."&amp;E$2&amp;E$1&amp;"P"&amp;$A51)*RTD("tos.rtd",,"GAMMA","."&amp;E$2&amp;E$1&amp;"P"&amp;$A51))/1000000),0),IF($A$2="SKEW",IFERROR(VALUE(IF(RTD("tos.rtd",,"IMPL_VOL","."&amp;E$2&amp;E$1&amp;"P"&amp;$A51)="N/A",0,RTD("tos.rtd",,"IMPL_VOL","."&amp;E$2&amp;E$1&amp;"P"&amp;$A51))),0)-IFERROR(VALUE(IF(RTD("tos.rtd",,"IMPL_VOL","."&amp;E$2&amp;E$1&amp;"C"&amp;$A51)="N/A",0,RTD("tos.rtd",,"IMPL_VOL","."&amp;E$2&amp;E$1&amp;"C"&amp;$A51))),0),IF($A$2="MAXPAIN",IF($A$4&gt;$A51,($A$4-$A51)*IF(RTD("tos.rtd",,"OPEN_INT","."&amp;E$2&amp;E$1&amp;"C"&amp;$A51)="N/A",0,RTD("tos.rtd",,"OPEN_INT","."&amp;E$2&amp;E$1&amp;"C"&amp;$A51)),0)+IF($A$4&lt;$A51,($A$5-$A$4)*IF(RTD("tos.rtd",,"OPEN_INT","."&amp;E$2&amp;E$1&amp;"P"&amp;$A51)="N/A",0,RTD("tos.rtd",,"OPEN_INT","."&amp;E$2&amp;E$1&amp;"P"&amp;$A51)),0),IF($X$1="ABS",IF(RTD("tos.rtd",,$A$2,"."&amp;E$2&amp;E$1&amp;"C"&amp;$A51)="N/A",0,RTD("tos.rtd",,$A$2,"."&amp;E$2&amp;E$1&amp;"C"&amp;$A51))+IF(RTD("tos.rtd",,$A$2,"."&amp;E$2&amp;E$1&amp;"P"&amp;$A51)="N/A",0,RTD("tos.rtd",,$A$2,"."&amp;E$2&amp;E$1&amp;"P"&amp;$A51)),IF(RTD("tos.rtd",,$A$2,"."&amp;E$2&amp;E$1&amp;"C"&amp;$A51)="N/A",0,RTD("tos.rtd",,$A$2,"."&amp;E$2&amp;E$1&amp;"C"&amp;$A51))-IF(RTD("tos.rtd",,$A$2,"."&amp;E$2&amp;E$1&amp;"P"&amp;$A51)="N/A",0,RTD("tos.rtd",,$A$2,"."&amp;E$2&amp;E$1&amp;"P"&amp;$A51))))))))))</f>
        <v>0</v>
      </c>
      <c r="F51" s="16">
        <f ca="1">IF($A$2="PREMIUM_OI",IFERROR(IF($X$1="ABS",(100*RTD("tos.rtd",,"OPEN_INT","."&amp;F$2&amp;F$1&amp;"C"&amp;$A51)*RTD("tos.rtd",,"LAST","."&amp;F$2&amp;F$1&amp;"C"&amp;$A51)+100*RTD("tos.rtd",,"OPEN_INT","."&amp;F$2&amp;F$1&amp;"P"&amp;$A51)*RTD("tos.rtd",,"LAST","."&amp;F$2&amp;F$1&amp;"P"&amp;$A51))/1000000,(100*RTD("tos.rtd",,"OPEN_INT","."&amp;F$2&amp;F$1&amp;"C"&amp;$A51)*RTD("tos.rtd",,"LAST","."&amp;F$2&amp;F$1&amp;"C"&amp;$A51)-100*RTD("tos.rtd",,"OPEN_INT","."&amp;F$2&amp;F$1&amp;"P"&amp;$A51)*RTD("tos.rtd",,"LAST","."&amp;F$2&amp;F$1&amp;"P"&amp;$A51))/1000000),0),IF($A$2="PREMIUM",IFERROR(IF($X$1="ABS",(100*RTD("tos.rtd",,"VOLUME","."&amp;F$2&amp;F$1&amp;"C"&amp;$A51)*RTD("tos.rtd",,"LAST","."&amp;F$2&amp;F$1&amp;"C"&amp;$A51)+100*RTD("tos.rtd",,"VOLUME","."&amp;F$2&amp;F$1&amp;"P"&amp;$A51)*RTD("tos.rtd",,"LAST","."&amp;F$2&amp;F$1&amp;"P"&amp;$A51))/1000000,(100*RTD("tos.rtd",,"VOLUME","."&amp;F$2&amp;F$1&amp;"C"&amp;$A51)*RTD("tos.rtd",,"LAST","."&amp;F$2&amp;F$1&amp;"C"&amp;$A51)-100*RTD("tos.rtd",,"VOLUME","."&amp;F$2&amp;F$1&amp;"P"&amp;$A51)*RTD("tos.rtd",,"LAST","."&amp;F$2&amp;F$1&amp;"P"&amp;$A51))/1000000),0),IF($A$2="DEX",IFERROR(IF($X$1="ABS",(100*RTD("tos.rtd",,"OPEN_INT","."&amp;F$2&amp;F$1&amp;"C"&amp;$A51)*RTD("tos.rtd",,"DELTA","."&amp;F$2&amp;F$1&amp;"C"&amp;$A51)+100*RTD("tos.rtd",,"OPEN_INT","."&amp;F$2&amp;F$1&amp;"P"&amp;$A51)*RTD("tos.rtd",,"DELTA","."&amp;F$2&amp;F$1&amp;"P"&amp;$A51))/1000,(100*RTD("tos.rtd",,"OPEN_INT","."&amp;F$2&amp;F$1&amp;"C"&amp;$A51)*RTD("tos.rtd",,"DELTA","."&amp;F$2&amp;F$1&amp;"C"&amp;$A51)-100*RTD("tos.rtd",,"OPEN_INT","."&amp;F$2&amp;F$1&amp;"P"&amp;$A51)*RTD("tos.rtd",,"DELTA","."&amp;F$2&amp;F$1&amp;"P"&amp;$A51))/1000),0),IF($A$2="VEX",IFERROR(IF($X$1="ABS",($A$4*$A$4*RTD("tos.rtd",,"VOLUME","."&amp;F$2&amp;F$1&amp;"C"&amp;$A51)*RTD("tos.rtd",,"GAMMA","."&amp;F$2&amp;F$1&amp;"C"&amp;$A51)+$A$4*$A$4*RTD("tos.rtd",,"VOLUME","."&amp;F$2&amp;F$1&amp;"P"&amp;$A51)*RTD("tos.rtd",,"GAMMA","."&amp;F$2&amp;F$1&amp;"P"&amp;$A51))/1000000,($A$4*$A$4*RTD("tos.rtd",,"VOLUME","."&amp;F$2&amp;F$1&amp;"C"&amp;$A51)*RTD("tos.rtd",,"GAMMA","."&amp;F$2&amp;F$1&amp;"C"&amp;$A51)-$A$4*$A$4*RTD("tos.rtd",,"VOLUME","."&amp;F$2&amp;F$1&amp;"P"&amp;$A51)*RTD("tos.rtd",,"GAMMA","."&amp;F$2&amp;F$1&amp;"P"&amp;$A51))/1000000),0),IF($A$2="GEX",IFERROR(IF($X$1="ABS",($A$4*$A$4*RTD("tos.rtd",,"OPEN_INT","."&amp;F$2&amp;F$1&amp;"C"&amp;$A51)*RTD("tos.rtd",,"GAMMA","."&amp;F$2&amp;F$1&amp;"C"&amp;$A51)+$A$4*$A$4*RTD("tos.rtd",,"OPEN_INT","."&amp;F$2&amp;F$1&amp;"P"&amp;$A51)*RTD("tos.rtd",,"GAMMA","."&amp;F$2&amp;F$1&amp;"P"&amp;$A51))/1000000,($A$4*$A$4*RTD("tos.rtd",,"OPEN_INT","."&amp;F$2&amp;F$1&amp;"C"&amp;$A51)*RTD("tos.rtd",,"GAMMA","."&amp;F$2&amp;F$1&amp;"C"&amp;$A51)-$A$4*$A$4*RTD("tos.rtd",,"OPEN_INT","."&amp;F$2&amp;F$1&amp;"P"&amp;$A51)*RTD("tos.rtd",,"GAMMA","."&amp;F$2&amp;F$1&amp;"P"&amp;$A51))/1000000),0),IF($A$2="SKEW",IFERROR(VALUE(IF(RTD("tos.rtd",,"IMPL_VOL","."&amp;F$2&amp;F$1&amp;"P"&amp;$A51)="N/A",0,RTD("tos.rtd",,"IMPL_VOL","."&amp;F$2&amp;F$1&amp;"P"&amp;$A51))),0)-IFERROR(VALUE(IF(RTD("tos.rtd",,"IMPL_VOL","."&amp;F$2&amp;F$1&amp;"C"&amp;$A51)="N/A",0,RTD("tos.rtd",,"IMPL_VOL","."&amp;F$2&amp;F$1&amp;"C"&amp;$A51))),0),IF($A$2="MAXPAIN",IF($A$4&gt;$A51,($A$4-$A51)*IF(RTD("tos.rtd",,"OPEN_INT","."&amp;F$2&amp;F$1&amp;"C"&amp;$A51)="N/A",0,RTD("tos.rtd",,"OPEN_INT","."&amp;F$2&amp;F$1&amp;"C"&amp;$A51)),0)+IF($A$4&lt;$A51,($A$5-$A$4)*IF(RTD("tos.rtd",,"OPEN_INT","."&amp;F$2&amp;F$1&amp;"P"&amp;$A51)="N/A",0,RTD("tos.rtd",,"OPEN_INT","."&amp;F$2&amp;F$1&amp;"P"&amp;$A51)),0),IF($X$1="ABS",IF(RTD("tos.rtd",,$A$2,"."&amp;F$2&amp;F$1&amp;"C"&amp;$A51)="N/A",0,RTD("tos.rtd",,$A$2,"."&amp;F$2&amp;F$1&amp;"C"&amp;$A51))+IF(RTD("tos.rtd",,$A$2,"."&amp;F$2&amp;F$1&amp;"P"&amp;$A51)="N/A",0,RTD("tos.rtd",,$A$2,"."&amp;F$2&amp;F$1&amp;"P"&amp;$A51)),IF(RTD("tos.rtd",,$A$2,"."&amp;F$2&amp;F$1&amp;"C"&amp;$A51)="N/A",0,RTD("tos.rtd",,$A$2,"."&amp;F$2&amp;F$1&amp;"C"&amp;$A51))-IF(RTD("tos.rtd",,$A$2,"."&amp;F$2&amp;F$1&amp;"P"&amp;$A51)="N/A",0,RTD("tos.rtd",,$A$2,"."&amp;F$2&amp;F$1&amp;"P"&amp;$A51))))))))))</f>
        <v>0</v>
      </c>
      <c r="G51" s="55">
        <f ca="1">IF($A$2="PREMIUM_OI",IFERROR(IF($X$1="ABS",(100*RTD("tos.rtd",,"OPEN_INT","."&amp;G$2&amp;G$1&amp;"C"&amp;$A51)*RTD("tos.rtd",,"LAST","."&amp;G$2&amp;G$1&amp;"C"&amp;$A51)+100*RTD("tos.rtd",,"OPEN_INT","."&amp;G$2&amp;G$1&amp;"P"&amp;$A51)*RTD("tos.rtd",,"LAST","."&amp;G$2&amp;G$1&amp;"P"&amp;$A51))/1000000,(100*RTD("tos.rtd",,"OPEN_INT","."&amp;G$2&amp;G$1&amp;"C"&amp;$A51)*RTD("tos.rtd",,"LAST","."&amp;G$2&amp;G$1&amp;"C"&amp;$A51)-100*RTD("tos.rtd",,"OPEN_INT","."&amp;G$2&amp;G$1&amp;"P"&amp;$A51)*RTD("tos.rtd",,"LAST","."&amp;G$2&amp;G$1&amp;"P"&amp;$A51))/1000000),0),IF($A$2="PREMIUM",IFERROR(IF($X$1="ABS",(100*RTD("tos.rtd",,"VOLUME","."&amp;G$2&amp;G$1&amp;"C"&amp;$A51)*RTD("tos.rtd",,"LAST","."&amp;G$2&amp;G$1&amp;"C"&amp;$A51)+100*RTD("tos.rtd",,"VOLUME","."&amp;G$2&amp;G$1&amp;"P"&amp;$A51)*RTD("tos.rtd",,"LAST","."&amp;G$2&amp;G$1&amp;"P"&amp;$A51))/1000000,(100*RTD("tos.rtd",,"VOLUME","."&amp;G$2&amp;G$1&amp;"C"&amp;$A51)*RTD("tos.rtd",,"LAST","."&amp;G$2&amp;G$1&amp;"C"&amp;$A51)-100*RTD("tos.rtd",,"VOLUME","."&amp;G$2&amp;G$1&amp;"P"&amp;$A51)*RTD("tos.rtd",,"LAST","."&amp;G$2&amp;G$1&amp;"P"&amp;$A51))/1000000),0),IF($A$2="DEX",IFERROR(IF($X$1="ABS",(100*RTD("tos.rtd",,"OPEN_INT","."&amp;G$2&amp;G$1&amp;"C"&amp;$A51)*RTD("tos.rtd",,"DELTA","."&amp;G$2&amp;G$1&amp;"C"&amp;$A51)+100*RTD("tos.rtd",,"OPEN_INT","."&amp;G$2&amp;G$1&amp;"P"&amp;$A51)*RTD("tos.rtd",,"DELTA","."&amp;G$2&amp;G$1&amp;"P"&amp;$A51))/1000,(100*RTD("tos.rtd",,"OPEN_INT","."&amp;G$2&amp;G$1&amp;"C"&amp;$A51)*RTD("tos.rtd",,"DELTA","."&amp;G$2&amp;G$1&amp;"C"&amp;$A51)-100*RTD("tos.rtd",,"OPEN_INT","."&amp;G$2&amp;G$1&amp;"P"&amp;$A51)*RTD("tos.rtd",,"DELTA","."&amp;G$2&amp;G$1&amp;"P"&amp;$A51))/1000),0),IF($A$2="VEX",IFERROR(IF($X$1="ABS",($A$4*$A$4*RTD("tos.rtd",,"VOLUME","."&amp;G$2&amp;G$1&amp;"C"&amp;$A51)*RTD("tos.rtd",,"GAMMA","."&amp;G$2&amp;G$1&amp;"C"&amp;$A51)+$A$4*$A$4*RTD("tos.rtd",,"VOLUME","."&amp;G$2&amp;G$1&amp;"P"&amp;$A51)*RTD("tos.rtd",,"GAMMA","."&amp;G$2&amp;G$1&amp;"P"&amp;$A51))/1000000,($A$4*$A$4*RTD("tos.rtd",,"VOLUME","."&amp;G$2&amp;G$1&amp;"C"&amp;$A51)*RTD("tos.rtd",,"GAMMA","."&amp;G$2&amp;G$1&amp;"C"&amp;$A51)-$A$4*$A$4*RTD("tos.rtd",,"VOLUME","."&amp;G$2&amp;G$1&amp;"P"&amp;$A51)*RTD("tos.rtd",,"GAMMA","."&amp;G$2&amp;G$1&amp;"P"&amp;$A51))/1000000),0),IF($A$2="GEX",IFERROR(IF($X$1="ABS",($A$4*$A$4*RTD("tos.rtd",,"OPEN_INT","."&amp;G$2&amp;G$1&amp;"C"&amp;$A51)*RTD("tos.rtd",,"GAMMA","."&amp;G$2&amp;G$1&amp;"C"&amp;$A51)+$A$4*$A$4*RTD("tos.rtd",,"OPEN_INT","."&amp;G$2&amp;G$1&amp;"P"&amp;$A51)*RTD("tos.rtd",,"GAMMA","."&amp;G$2&amp;G$1&amp;"P"&amp;$A51))/1000000,($A$4*$A$4*RTD("tos.rtd",,"OPEN_INT","."&amp;G$2&amp;G$1&amp;"C"&amp;$A51)*RTD("tos.rtd",,"GAMMA","."&amp;G$2&amp;G$1&amp;"C"&amp;$A51)-$A$4*$A$4*RTD("tos.rtd",,"OPEN_INT","."&amp;G$2&amp;G$1&amp;"P"&amp;$A51)*RTD("tos.rtd",,"GAMMA","."&amp;G$2&amp;G$1&amp;"P"&amp;$A51))/1000000),0),IF($A$2="SKEW",IFERROR(VALUE(IF(RTD("tos.rtd",,"IMPL_VOL","."&amp;G$2&amp;G$1&amp;"P"&amp;$A51)="N/A",0,RTD("tos.rtd",,"IMPL_VOL","."&amp;G$2&amp;G$1&amp;"P"&amp;$A51))),0)-IFERROR(VALUE(IF(RTD("tos.rtd",,"IMPL_VOL","."&amp;G$2&amp;G$1&amp;"C"&amp;$A51)="N/A",0,RTD("tos.rtd",,"IMPL_VOL","."&amp;G$2&amp;G$1&amp;"C"&amp;$A51))),0),IF($A$2="MAXPAIN",IF($A$4&gt;$A51,($A$4-$A51)*IF(RTD("tos.rtd",,"OPEN_INT","."&amp;G$2&amp;G$1&amp;"C"&amp;$A51)="N/A",0,RTD("tos.rtd",,"OPEN_INT","."&amp;G$2&amp;G$1&amp;"C"&amp;$A51)),0)+IF($A$4&lt;$A51,($A$5-$A$4)*IF(RTD("tos.rtd",,"OPEN_INT","."&amp;G$2&amp;G$1&amp;"P"&amp;$A51)="N/A",0,RTD("tos.rtd",,"OPEN_INT","."&amp;G$2&amp;G$1&amp;"P"&amp;$A51)),0),IF($X$1="ABS",IF(RTD("tos.rtd",,$A$2,"."&amp;G$2&amp;G$1&amp;"C"&amp;$A51)="N/A",0,RTD("tos.rtd",,$A$2,"."&amp;G$2&amp;G$1&amp;"C"&amp;$A51))+IF(RTD("tos.rtd",,$A$2,"."&amp;G$2&amp;G$1&amp;"P"&amp;$A51)="N/A",0,RTD("tos.rtd",,$A$2,"."&amp;G$2&amp;G$1&amp;"P"&amp;$A51)),IF(RTD("tos.rtd",,$A$2,"."&amp;G$2&amp;G$1&amp;"C"&amp;$A51)="N/A",0,RTD("tos.rtd",,$A$2,"."&amp;G$2&amp;G$1&amp;"C"&amp;$A51))-IF(RTD("tos.rtd",,$A$2,"."&amp;G$2&amp;G$1&amp;"P"&amp;$A51)="N/A",0,RTD("tos.rtd",,$A$2,"."&amp;G$2&amp;G$1&amp;"P"&amp;$A51))))))))))</f>
        <v>0</v>
      </c>
      <c r="H51" s="15">
        <f ca="1">IF($A$2="PREMIUM_OI",IFERROR(IF($X$1="ABS",(100*RTD("tos.rtd",,"OPEN_INT","."&amp;H$2&amp;H$1&amp;"C"&amp;$A51)*RTD("tos.rtd",,"LAST","."&amp;H$2&amp;H$1&amp;"C"&amp;$A51)+100*RTD("tos.rtd",,"OPEN_INT","."&amp;H$2&amp;H$1&amp;"P"&amp;$A51)*RTD("tos.rtd",,"LAST","."&amp;H$2&amp;H$1&amp;"P"&amp;$A51))/1000000,(100*RTD("tos.rtd",,"OPEN_INT","."&amp;H$2&amp;H$1&amp;"C"&amp;$A51)*RTD("tos.rtd",,"LAST","."&amp;H$2&amp;H$1&amp;"C"&amp;$A51)-100*RTD("tos.rtd",,"OPEN_INT","."&amp;H$2&amp;H$1&amp;"P"&amp;$A51)*RTD("tos.rtd",,"LAST","."&amp;H$2&amp;H$1&amp;"P"&amp;$A51))/1000000),0),IF($A$2="PREMIUM",IFERROR(IF($X$1="ABS",(100*RTD("tos.rtd",,"VOLUME","."&amp;H$2&amp;H$1&amp;"C"&amp;$A51)*RTD("tos.rtd",,"LAST","."&amp;H$2&amp;H$1&amp;"C"&amp;$A51)+100*RTD("tos.rtd",,"VOLUME","."&amp;H$2&amp;H$1&amp;"P"&amp;$A51)*RTD("tos.rtd",,"LAST","."&amp;H$2&amp;H$1&amp;"P"&amp;$A51))/1000000,(100*RTD("tos.rtd",,"VOLUME","."&amp;H$2&amp;H$1&amp;"C"&amp;$A51)*RTD("tos.rtd",,"LAST","."&amp;H$2&amp;H$1&amp;"C"&amp;$A51)-100*RTD("tos.rtd",,"VOLUME","."&amp;H$2&amp;H$1&amp;"P"&amp;$A51)*RTD("tos.rtd",,"LAST","."&amp;H$2&amp;H$1&amp;"P"&amp;$A51))/1000000),0),IF($A$2="DEX",IFERROR(IF($X$1="ABS",(100*RTD("tos.rtd",,"OPEN_INT","."&amp;H$2&amp;H$1&amp;"C"&amp;$A51)*RTD("tos.rtd",,"DELTA","."&amp;H$2&amp;H$1&amp;"C"&amp;$A51)+100*RTD("tos.rtd",,"OPEN_INT","."&amp;H$2&amp;H$1&amp;"P"&amp;$A51)*RTD("tos.rtd",,"DELTA","."&amp;H$2&amp;H$1&amp;"P"&amp;$A51))/1000,(100*RTD("tos.rtd",,"OPEN_INT","."&amp;H$2&amp;H$1&amp;"C"&amp;$A51)*RTD("tos.rtd",,"DELTA","."&amp;H$2&amp;H$1&amp;"C"&amp;$A51)-100*RTD("tos.rtd",,"OPEN_INT","."&amp;H$2&amp;H$1&amp;"P"&amp;$A51)*RTD("tos.rtd",,"DELTA","."&amp;H$2&amp;H$1&amp;"P"&amp;$A51))/1000),0),IF($A$2="VEX",IFERROR(IF($X$1="ABS",($A$4*$A$4*RTD("tos.rtd",,"VOLUME","."&amp;H$2&amp;H$1&amp;"C"&amp;$A51)*RTD("tos.rtd",,"GAMMA","."&amp;H$2&amp;H$1&amp;"C"&amp;$A51)+$A$4*$A$4*RTD("tos.rtd",,"VOLUME","."&amp;H$2&amp;H$1&amp;"P"&amp;$A51)*RTD("tos.rtd",,"GAMMA","."&amp;H$2&amp;H$1&amp;"P"&amp;$A51))/1000000,($A$4*$A$4*RTD("tos.rtd",,"VOLUME","."&amp;H$2&amp;H$1&amp;"C"&amp;$A51)*RTD("tos.rtd",,"GAMMA","."&amp;H$2&amp;H$1&amp;"C"&amp;$A51)-$A$4*$A$4*RTD("tos.rtd",,"VOLUME","."&amp;H$2&amp;H$1&amp;"P"&amp;$A51)*RTD("tos.rtd",,"GAMMA","."&amp;H$2&amp;H$1&amp;"P"&amp;$A51))/1000000),0),IF($A$2="GEX",IFERROR(IF($X$1="ABS",($A$4*$A$4*RTD("tos.rtd",,"OPEN_INT","."&amp;H$2&amp;H$1&amp;"C"&amp;$A51)*RTD("tos.rtd",,"GAMMA","."&amp;H$2&amp;H$1&amp;"C"&amp;$A51)+$A$4*$A$4*RTD("tos.rtd",,"OPEN_INT","."&amp;H$2&amp;H$1&amp;"P"&amp;$A51)*RTD("tos.rtd",,"GAMMA","."&amp;H$2&amp;H$1&amp;"P"&amp;$A51))/1000000,($A$4*$A$4*RTD("tos.rtd",,"OPEN_INT","."&amp;H$2&amp;H$1&amp;"C"&amp;$A51)*RTD("tos.rtd",,"GAMMA","."&amp;H$2&amp;H$1&amp;"C"&amp;$A51)-$A$4*$A$4*RTD("tos.rtd",,"OPEN_INT","."&amp;H$2&amp;H$1&amp;"P"&amp;$A51)*RTD("tos.rtd",,"GAMMA","."&amp;H$2&amp;H$1&amp;"P"&amp;$A51))/1000000),0),IF($A$2="SKEW",IFERROR(VALUE(IF(RTD("tos.rtd",,"IMPL_VOL","."&amp;H$2&amp;H$1&amp;"P"&amp;$A51)="N/A",0,RTD("tos.rtd",,"IMPL_VOL","."&amp;H$2&amp;H$1&amp;"P"&amp;$A51))),0)-IFERROR(VALUE(IF(RTD("tos.rtd",,"IMPL_VOL","."&amp;H$2&amp;H$1&amp;"C"&amp;$A51)="N/A",0,RTD("tos.rtd",,"IMPL_VOL","."&amp;H$2&amp;H$1&amp;"C"&amp;$A51))),0),IF($A$2="MAXPAIN",IF($A$4&gt;$A51,($A$4-$A51)*IF(RTD("tos.rtd",,"OPEN_INT","."&amp;H$2&amp;H$1&amp;"C"&amp;$A51)="N/A",0,RTD("tos.rtd",,"OPEN_INT","."&amp;H$2&amp;H$1&amp;"C"&amp;$A51)),0)+IF($A$4&lt;$A51,($A$5-$A$4)*IF(RTD("tos.rtd",,"OPEN_INT","."&amp;H$2&amp;H$1&amp;"P"&amp;$A51)="N/A",0,RTD("tos.rtd",,"OPEN_INT","."&amp;H$2&amp;H$1&amp;"P"&amp;$A51)),0),IF($X$1="ABS",IF(RTD("tos.rtd",,$A$2,"."&amp;H$2&amp;H$1&amp;"C"&amp;$A51)="N/A",0,RTD("tos.rtd",,$A$2,"."&amp;H$2&amp;H$1&amp;"C"&amp;$A51))+IF(RTD("tos.rtd",,$A$2,"."&amp;H$2&amp;H$1&amp;"P"&amp;$A51)="N/A",0,RTD("tos.rtd",,$A$2,"."&amp;H$2&amp;H$1&amp;"P"&amp;$A51)),IF(RTD("tos.rtd",,$A$2,"."&amp;H$2&amp;H$1&amp;"C"&amp;$A51)="N/A",0,RTD("tos.rtd",,$A$2,"."&amp;H$2&amp;H$1&amp;"C"&amp;$A51))-IF(RTD("tos.rtd",,$A$2,"."&amp;H$2&amp;H$1&amp;"P"&amp;$A51)="N/A",0,RTD("tos.rtd",,$A$2,"."&amp;H$2&amp;H$1&amp;"P"&amp;$A51))))))))))</f>
        <v>0</v>
      </c>
      <c r="I51" s="16">
        <f ca="1">IF($A$2="PREMIUM_OI",IFERROR(IF($X$1="ABS",(100*RTD("tos.rtd",,"OPEN_INT","."&amp;I$2&amp;I$1&amp;"C"&amp;$A51)*RTD("tos.rtd",,"LAST","."&amp;I$2&amp;I$1&amp;"C"&amp;$A51)+100*RTD("tos.rtd",,"OPEN_INT","."&amp;I$2&amp;I$1&amp;"P"&amp;$A51)*RTD("tos.rtd",,"LAST","."&amp;I$2&amp;I$1&amp;"P"&amp;$A51))/1000000,(100*RTD("tos.rtd",,"OPEN_INT","."&amp;I$2&amp;I$1&amp;"C"&amp;$A51)*RTD("tos.rtd",,"LAST","."&amp;I$2&amp;I$1&amp;"C"&amp;$A51)-100*RTD("tos.rtd",,"OPEN_INT","."&amp;I$2&amp;I$1&amp;"P"&amp;$A51)*RTD("tos.rtd",,"LAST","."&amp;I$2&amp;I$1&amp;"P"&amp;$A51))/1000000),0),IF($A$2="PREMIUM",IFERROR(IF($X$1="ABS",(100*RTD("tos.rtd",,"VOLUME","."&amp;I$2&amp;I$1&amp;"C"&amp;$A51)*RTD("tos.rtd",,"LAST","."&amp;I$2&amp;I$1&amp;"C"&amp;$A51)+100*RTD("tos.rtd",,"VOLUME","."&amp;I$2&amp;I$1&amp;"P"&amp;$A51)*RTD("tos.rtd",,"LAST","."&amp;I$2&amp;I$1&amp;"P"&amp;$A51))/1000000,(100*RTD("tos.rtd",,"VOLUME","."&amp;I$2&amp;I$1&amp;"C"&amp;$A51)*RTD("tos.rtd",,"LAST","."&amp;I$2&amp;I$1&amp;"C"&amp;$A51)-100*RTD("tos.rtd",,"VOLUME","."&amp;I$2&amp;I$1&amp;"P"&amp;$A51)*RTD("tos.rtd",,"LAST","."&amp;I$2&amp;I$1&amp;"P"&amp;$A51))/1000000),0),IF($A$2="DEX",IFERROR(IF($X$1="ABS",(100*RTD("tos.rtd",,"OPEN_INT","."&amp;I$2&amp;I$1&amp;"C"&amp;$A51)*RTD("tos.rtd",,"DELTA","."&amp;I$2&amp;I$1&amp;"C"&amp;$A51)+100*RTD("tos.rtd",,"OPEN_INT","."&amp;I$2&amp;I$1&amp;"P"&amp;$A51)*RTD("tos.rtd",,"DELTA","."&amp;I$2&amp;I$1&amp;"P"&amp;$A51))/1000,(100*RTD("tos.rtd",,"OPEN_INT","."&amp;I$2&amp;I$1&amp;"C"&amp;$A51)*RTD("tos.rtd",,"DELTA","."&amp;I$2&amp;I$1&amp;"C"&amp;$A51)-100*RTD("tos.rtd",,"OPEN_INT","."&amp;I$2&amp;I$1&amp;"P"&amp;$A51)*RTD("tos.rtd",,"DELTA","."&amp;I$2&amp;I$1&amp;"P"&amp;$A51))/1000),0),IF($A$2="VEX",IFERROR(IF($X$1="ABS",($A$4*$A$4*RTD("tos.rtd",,"VOLUME","."&amp;I$2&amp;I$1&amp;"C"&amp;$A51)*RTD("tos.rtd",,"GAMMA","."&amp;I$2&amp;I$1&amp;"C"&amp;$A51)+$A$4*$A$4*RTD("tos.rtd",,"VOLUME","."&amp;I$2&amp;I$1&amp;"P"&amp;$A51)*RTD("tos.rtd",,"GAMMA","."&amp;I$2&amp;I$1&amp;"P"&amp;$A51))/1000000,($A$4*$A$4*RTD("tos.rtd",,"VOLUME","."&amp;I$2&amp;I$1&amp;"C"&amp;$A51)*RTD("tos.rtd",,"GAMMA","."&amp;I$2&amp;I$1&amp;"C"&amp;$A51)-$A$4*$A$4*RTD("tos.rtd",,"VOLUME","."&amp;I$2&amp;I$1&amp;"P"&amp;$A51)*RTD("tos.rtd",,"GAMMA","."&amp;I$2&amp;I$1&amp;"P"&amp;$A51))/1000000),0),IF($A$2="GEX",IFERROR(IF($X$1="ABS",($A$4*$A$4*RTD("tos.rtd",,"OPEN_INT","."&amp;I$2&amp;I$1&amp;"C"&amp;$A51)*RTD("tos.rtd",,"GAMMA","."&amp;I$2&amp;I$1&amp;"C"&amp;$A51)+$A$4*$A$4*RTD("tos.rtd",,"OPEN_INT","."&amp;I$2&amp;I$1&amp;"P"&amp;$A51)*RTD("tos.rtd",,"GAMMA","."&amp;I$2&amp;I$1&amp;"P"&amp;$A51))/1000000,($A$4*$A$4*RTD("tos.rtd",,"OPEN_INT","."&amp;I$2&amp;I$1&amp;"C"&amp;$A51)*RTD("tos.rtd",,"GAMMA","."&amp;I$2&amp;I$1&amp;"C"&amp;$A51)-$A$4*$A$4*RTD("tos.rtd",,"OPEN_INT","."&amp;I$2&amp;I$1&amp;"P"&amp;$A51)*RTD("tos.rtd",,"GAMMA","."&amp;I$2&amp;I$1&amp;"P"&amp;$A51))/1000000),0),IF($A$2="SKEW",IFERROR(VALUE(IF(RTD("tos.rtd",,"IMPL_VOL","."&amp;I$2&amp;I$1&amp;"P"&amp;$A51)="N/A",0,RTD("tos.rtd",,"IMPL_VOL","."&amp;I$2&amp;I$1&amp;"P"&amp;$A51))),0)-IFERROR(VALUE(IF(RTD("tos.rtd",,"IMPL_VOL","."&amp;I$2&amp;I$1&amp;"C"&amp;$A51)="N/A",0,RTD("tos.rtd",,"IMPL_VOL","."&amp;I$2&amp;I$1&amp;"C"&amp;$A51))),0),IF($A$2="MAXPAIN",IF($A$4&gt;$A51,($A$4-$A51)*IF(RTD("tos.rtd",,"OPEN_INT","."&amp;I$2&amp;I$1&amp;"C"&amp;$A51)="N/A",0,RTD("tos.rtd",,"OPEN_INT","."&amp;I$2&amp;I$1&amp;"C"&amp;$A51)),0)+IF($A$4&lt;$A51,($A$5-$A$4)*IF(RTD("tos.rtd",,"OPEN_INT","."&amp;I$2&amp;I$1&amp;"P"&amp;$A51)="N/A",0,RTD("tos.rtd",,"OPEN_INT","."&amp;I$2&amp;I$1&amp;"P"&amp;$A51)),0),IF($X$1="ABS",IF(RTD("tos.rtd",,$A$2,"."&amp;I$2&amp;I$1&amp;"C"&amp;$A51)="N/A",0,RTD("tos.rtd",,$A$2,"."&amp;I$2&amp;I$1&amp;"C"&amp;$A51))+IF(RTD("tos.rtd",,$A$2,"."&amp;I$2&amp;I$1&amp;"P"&amp;$A51)="N/A",0,RTD("tos.rtd",,$A$2,"."&amp;I$2&amp;I$1&amp;"P"&amp;$A51)),IF(RTD("tos.rtd",,$A$2,"."&amp;I$2&amp;I$1&amp;"C"&amp;$A51)="N/A",0,RTD("tos.rtd",,$A$2,"."&amp;I$2&amp;I$1&amp;"C"&amp;$A51))-IF(RTD("tos.rtd",,$A$2,"."&amp;I$2&amp;I$1&amp;"P"&amp;$A51)="N/A",0,RTD("tos.rtd",,$A$2,"."&amp;I$2&amp;I$1&amp;"P"&amp;$A51))))))))))</f>
        <v>0</v>
      </c>
      <c r="J51" s="16">
        <f ca="1">IF($A$2="PREMIUM_OI",IFERROR(IF($X$1="ABS",(100*RTD("tos.rtd",,"OPEN_INT","."&amp;J$2&amp;J$1&amp;"C"&amp;$A51)*RTD("tos.rtd",,"LAST","."&amp;J$2&amp;J$1&amp;"C"&amp;$A51)+100*RTD("tos.rtd",,"OPEN_INT","."&amp;J$2&amp;J$1&amp;"P"&amp;$A51)*RTD("tos.rtd",,"LAST","."&amp;J$2&amp;J$1&amp;"P"&amp;$A51))/1000000,(100*RTD("tos.rtd",,"OPEN_INT","."&amp;J$2&amp;J$1&amp;"C"&amp;$A51)*RTD("tos.rtd",,"LAST","."&amp;J$2&amp;J$1&amp;"C"&amp;$A51)-100*RTD("tos.rtd",,"OPEN_INT","."&amp;J$2&amp;J$1&amp;"P"&amp;$A51)*RTD("tos.rtd",,"LAST","."&amp;J$2&amp;J$1&amp;"P"&amp;$A51))/1000000),0),IF($A$2="PREMIUM",IFERROR(IF($X$1="ABS",(100*RTD("tos.rtd",,"VOLUME","."&amp;J$2&amp;J$1&amp;"C"&amp;$A51)*RTD("tos.rtd",,"LAST","."&amp;J$2&amp;J$1&amp;"C"&amp;$A51)+100*RTD("tos.rtd",,"VOLUME","."&amp;J$2&amp;J$1&amp;"P"&amp;$A51)*RTD("tos.rtd",,"LAST","."&amp;J$2&amp;J$1&amp;"P"&amp;$A51))/1000000,(100*RTD("tos.rtd",,"VOLUME","."&amp;J$2&amp;J$1&amp;"C"&amp;$A51)*RTD("tos.rtd",,"LAST","."&amp;J$2&amp;J$1&amp;"C"&amp;$A51)-100*RTD("tos.rtd",,"VOLUME","."&amp;J$2&amp;J$1&amp;"P"&amp;$A51)*RTD("tos.rtd",,"LAST","."&amp;J$2&amp;J$1&amp;"P"&amp;$A51))/1000000),0),IF($A$2="DEX",IFERROR(IF($X$1="ABS",(100*RTD("tos.rtd",,"OPEN_INT","."&amp;J$2&amp;J$1&amp;"C"&amp;$A51)*RTD("tos.rtd",,"DELTA","."&amp;J$2&amp;J$1&amp;"C"&amp;$A51)+100*RTD("tos.rtd",,"OPEN_INT","."&amp;J$2&amp;J$1&amp;"P"&amp;$A51)*RTD("tos.rtd",,"DELTA","."&amp;J$2&amp;J$1&amp;"P"&amp;$A51))/1000,(100*RTD("tos.rtd",,"OPEN_INT","."&amp;J$2&amp;J$1&amp;"C"&amp;$A51)*RTD("tos.rtd",,"DELTA","."&amp;J$2&amp;J$1&amp;"C"&amp;$A51)-100*RTD("tos.rtd",,"OPEN_INT","."&amp;J$2&amp;J$1&amp;"P"&amp;$A51)*RTD("tos.rtd",,"DELTA","."&amp;J$2&amp;J$1&amp;"P"&amp;$A51))/1000),0),IF($A$2="VEX",IFERROR(IF($X$1="ABS",($A$4*$A$4*RTD("tos.rtd",,"VOLUME","."&amp;J$2&amp;J$1&amp;"C"&amp;$A51)*RTD("tos.rtd",,"GAMMA","."&amp;J$2&amp;J$1&amp;"C"&amp;$A51)+$A$4*$A$4*RTD("tos.rtd",,"VOLUME","."&amp;J$2&amp;J$1&amp;"P"&amp;$A51)*RTD("tos.rtd",,"GAMMA","."&amp;J$2&amp;J$1&amp;"P"&amp;$A51))/1000000,($A$4*$A$4*RTD("tos.rtd",,"VOLUME","."&amp;J$2&amp;J$1&amp;"C"&amp;$A51)*RTD("tos.rtd",,"GAMMA","."&amp;J$2&amp;J$1&amp;"C"&amp;$A51)-$A$4*$A$4*RTD("tos.rtd",,"VOLUME","."&amp;J$2&amp;J$1&amp;"P"&amp;$A51)*RTD("tos.rtd",,"GAMMA","."&amp;J$2&amp;J$1&amp;"P"&amp;$A51))/1000000),0),IF($A$2="GEX",IFERROR(IF($X$1="ABS",($A$4*$A$4*RTD("tos.rtd",,"OPEN_INT","."&amp;J$2&amp;J$1&amp;"C"&amp;$A51)*RTD("tos.rtd",,"GAMMA","."&amp;J$2&amp;J$1&amp;"C"&amp;$A51)+$A$4*$A$4*RTD("tos.rtd",,"OPEN_INT","."&amp;J$2&amp;J$1&amp;"P"&amp;$A51)*RTD("tos.rtd",,"GAMMA","."&amp;J$2&amp;J$1&amp;"P"&amp;$A51))/1000000,($A$4*$A$4*RTD("tos.rtd",,"OPEN_INT","."&amp;J$2&amp;J$1&amp;"C"&amp;$A51)*RTD("tos.rtd",,"GAMMA","."&amp;J$2&amp;J$1&amp;"C"&amp;$A51)-$A$4*$A$4*RTD("tos.rtd",,"OPEN_INT","."&amp;J$2&amp;J$1&amp;"P"&amp;$A51)*RTD("tos.rtd",,"GAMMA","."&amp;J$2&amp;J$1&amp;"P"&amp;$A51))/1000000),0),IF($A$2="SKEW",IFERROR(VALUE(IF(RTD("tos.rtd",,"IMPL_VOL","."&amp;J$2&amp;J$1&amp;"P"&amp;$A51)="N/A",0,RTD("tos.rtd",,"IMPL_VOL","."&amp;J$2&amp;J$1&amp;"P"&amp;$A51))),0)-IFERROR(VALUE(IF(RTD("tos.rtd",,"IMPL_VOL","."&amp;J$2&amp;J$1&amp;"C"&amp;$A51)="N/A",0,RTD("tos.rtd",,"IMPL_VOL","."&amp;J$2&amp;J$1&amp;"C"&amp;$A51))),0),IF($A$2="MAXPAIN",IF($A$4&gt;$A51,($A$4-$A51)*IF(RTD("tos.rtd",,"OPEN_INT","."&amp;J$2&amp;J$1&amp;"C"&amp;$A51)="N/A",0,RTD("tos.rtd",,"OPEN_INT","."&amp;J$2&amp;J$1&amp;"C"&amp;$A51)),0)+IF($A$4&lt;$A51,($A$5-$A$4)*IF(RTD("tos.rtd",,"OPEN_INT","."&amp;J$2&amp;J$1&amp;"P"&amp;$A51)="N/A",0,RTD("tos.rtd",,"OPEN_INT","."&amp;J$2&amp;J$1&amp;"P"&amp;$A51)),0),IF($X$1="ABS",IF(RTD("tos.rtd",,$A$2,"."&amp;J$2&amp;J$1&amp;"C"&amp;$A51)="N/A",0,RTD("tos.rtd",,$A$2,"."&amp;J$2&amp;J$1&amp;"C"&amp;$A51))+IF(RTD("tos.rtd",,$A$2,"."&amp;J$2&amp;J$1&amp;"P"&amp;$A51)="N/A",0,RTD("tos.rtd",,$A$2,"."&amp;J$2&amp;J$1&amp;"P"&amp;$A51)),IF(RTD("tos.rtd",,$A$2,"."&amp;J$2&amp;J$1&amp;"C"&amp;$A51)="N/A",0,RTD("tos.rtd",,$A$2,"."&amp;J$2&amp;J$1&amp;"C"&amp;$A51))-IF(RTD("tos.rtd",,$A$2,"."&amp;J$2&amp;J$1&amp;"P"&amp;$A51)="N/A",0,RTD("tos.rtd",,$A$2,"."&amp;J$2&amp;J$1&amp;"P"&amp;$A51))))))))))</f>
        <v>0</v>
      </c>
      <c r="K51" s="16">
        <f ca="1">IF($A$2="PREMIUM_OI",IFERROR(IF($X$1="ABS",(100*RTD("tos.rtd",,"OPEN_INT","."&amp;K$2&amp;K$1&amp;"C"&amp;$A51)*RTD("tos.rtd",,"LAST","."&amp;K$2&amp;K$1&amp;"C"&amp;$A51)+100*RTD("tos.rtd",,"OPEN_INT","."&amp;K$2&amp;K$1&amp;"P"&amp;$A51)*RTD("tos.rtd",,"LAST","."&amp;K$2&amp;K$1&amp;"P"&amp;$A51))/1000000,(100*RTD("tos.rtd",,"OPEN_INT","."&amp;K$2&amp;K$1&amp;"C"&amp;$A51)*RTD("tos.rtd",,"LAST","."&amp;K$2&amp;K$1&amp;"C"&amp;$A51)-100*RTD("tos.rtd",,"OPEN_INT","."&amp;K$2&amp;K$1&amp;"P"&amp;$A51)*RTD("tos.rtd",,"LAST","."&amp;K$2&amp;K$1&amp;"P"&amp;$A51))/1000000),0),IF($A$2="PREMIUM",IFERROR(IF($X$1="ABS",(100*RTD("tos.rtd",,"VOLUME","."&amp;K$2&amp;K$1&amp;"C"&amp;$A51)*RTD("tos.rtd",,"LAST","."&amp;K$2&amp;K$1&amp;"C"&amp;$A51)+100*RTD("tos.rtd",,"VOLUME","."&amp;K$2&amp;K$1&amp;"P"&amp;$A51)*RTD("tos.rtd",,"LAST","."&amp;K$2&amp;K$1&amp;"P"&amp;$A51))/1000000,(100*RTD("tos.rtd",,"VOLUME","."&amp;K$2&amp;K$1&amp;"C"&amp;$A51)*RTD("tos.rtd",,"LAST","."&amp;K$2&amp;K$1&amp;"C"&amp;$A51)-100*RTD("tos.rtd",,"VOLUME","."&amp;K$2&amp;K$1&amp;"P"&amp;$A51)*RTD("tos.rtd",,"LAST","."&amp;K$2&amp;K$1&amp;"P"&amp;$A51))/1000000),0),IF($A$2="DEX",IFERROR(IF($X$1="ABS",(100*RTD("tos.rtd",,"OPEN_INT","."&amp;K$2&amp;K$1&amp;"C"&amp;$A51)*RTD("tos.rtd",,"DELTA","."&amp;K$2&amp;K$1&amp;"C"&amp;$A51)+100*RTD("tos.rtd",,"OPEN_INT","."&amp;K$2&amp;K$1&amp;"P"&amp;$A51)*RTD("tos.rtd",,"DELTA","."&amp;K$2&amp;K$1&amp;"P"&amp;$A51))/1000,(100*RTD("tos.rtd",,"OPEN_INT","."&amp;K$2&amp;K$1&amp;"C"&amp;$A51)*RTD("tos.rtd",,"DELTA","."&amp;K$2&amp;K$1&amp;"C"&amp;$A51)-100*RTD("tos.rtd",,"OPEN_INT","."&amp;K$2&amp;K$1&amp;"P"&amp;$A51)*RTD("tos.rtd",,"DELTA","."&amp;K$2&amp;K$1&amp;"P"&amp;$A51))/1000),0),IF($A$2="VEX",IFERROR(IF($X$1="ABS",($A$4*$A$4*RTD("tos.rtd",,"VOLUME","."&amp;K$2&amp;K$1&amp;"C"&amp;$A51)*RTD("tos.rtd",,"GAMMA","."&amp;K$2&amp;K$1&amp;"C"&amp;$A51)+$A$4*$A$4*RTD("tos.rtd",,"VOLUME","."&amp;K$2&amp;K$1&amp;"P"&amp;$A51)*RTD("tos.rtd",,"GAMMA","."&amp;K$2&amp;K$1&amp;"P"&amp;$A51))/1000000,($A$4*$A$4*RTD("tos.rtd",,"VOLUME","."&amp;K$2&amp;K$1&amp;"C"&amp;$A51)*RTD("tos.rtd",,"GAMMA","."&amp;K$2&amp;K$1&amp;"C"&amp;$A51)-$A$4*$A$4*RTD("tos.rtd",,"VOLUME","."&amp;K$2&amp;K$1&amp;"P"&amp;$A51)*RTD("tos.rtd",,"GAMMA","."&amp;K$2&amp;K$1&amp;"P"&amp;$A51))/1000000),0),IF($A$2="GEX",IFERROR(IF($X$1="ABS",($A$4*$A$4*RTD("tos.rtd",,"OPEN_INT","."&amp;K$2&amp;K$1&amp;"C"&amp;$A51)*RTD("tos.rtd",,"GAMMA","."&amp;K$2&amp;K$1&amp;"C"&amp;$A51)+$A$4*$A$4*RTD("tos.rtd",,"OPEN_INT","."&amp;K$2&amp;K$1&amp;"P"&amp;$A51)*RTD("tos.rtd",,"GAMMA","."&amp;K$2&amp;K$1&amp;"P"&amp;$A51))/1000000,($A$4*$A$4*RTD("tos.rtd",,"OPEN_INT","."&amp;K$2&amp;K$1&amp;"C"&amp;$A51)*RTD("tos.rtd",,"GAMMA","."&amp;K$2&amp;K$1&amp;"C"&amp;$A51)-$A$4*$A$4*RTD("tos.rtd",,"OPEN_INT","."&amp;K$2&amp;K$1&amp;"P"&amp;$A51)*RTD("tos.rtd",,"GAMMA","."&amp;K$2&amp;K$1&amp;"P"&amp;$A51))/1000000),0),IF($A$2="SKEW",IFERROR(VALUE(IF(RTD("tos.rtd",,"IMPL_VOL","."&amp;K$2&amp;K$1&amp;"P"&amp;$A51)="N/A",0,RTD("tos.rtd",,"IMPL_VOL","."&amp;K$2&amp;K$1&amp;"P"&amp;$A51))),0)-IFERROR(VALUE(IF(RTD("tos.rtd",,"IMPL_VOL","."&amp;K$2&amp;K$1&amp;"C"&amp;$A51)="N/A",0,RTD("tos.rtd",,"IMPL_VOL","."&amp;K$2&amp;K$1&amp;"C"&amp;$A51))),0),IF($A$2="MAXPAIN",IF($A$4&gt;$A51,($A$4-$A51)*IF(RTD("tos.rtd",,"OPEN_INT","."&amp;K$2&amp;K$1&amp;"C"&amp;$A51)="N/A",0,RTD("tos.rtd",,"OPEN_INT","."&amp;K$2&amp;K$1&amp;"C"&amp;$A51)),0)+IF($A$4&lt;$A51,($A$5-$A$4)*IF(RTD("tos.rtd",,"OPEN_INT","."&amp;K$2&amp;K$1&amp;"P"&amp;$A51)="N/A",0,RTD("tos.rtd",,"OPEN_INT","."&amp;K$2&amp;K$1&amp;"P"&amp;$A51)),0),IF($X$1="ABS",IF(RTD("tos.rtd",,$A$2,"."&amp;K$2&amp;K$1&amp;"C"&amp;$A51)="N/A",0,RTD("tos.rtd",,$A$2,"."&amp;K$2&amp;K$1&amp;"C"&amp;$A51))+IF(RTD("tos.rtd",,$A$2,"."&amp;K$2&amp;K$1&amp;"P"&amp;$A51)="N/A",0,RTD("tos.rtd",,$A$2,"."&amp;K$2&amp;K$1&amp;"P"&amp;$A51)),IF(RTD("tos.rtd",,$A$2,"."&amp;K$2&amp;K$1&amp;"C"&amp;$A51)="N/A",0,RTD("tos.rtd",,$A$2,"."&amp;K$2&amp;K$1&amp;"C"&amp;$A51))-IF(RTD("tos.rtd",,$A$2,"."&amp;K$2&amp;K$1&amp;"P"&amp;$A51)="N/A",0,RTD("tos.rtd",,$A$2,"."&amp;K$2&amp;K$1&amp;"P"&amp;$A51))))))))))</f>
        <v>0</v>
      </c>
      <c r="L51" s="55">
        <f ca="1">IF($A$2="PREMIUM_OI",IFERROR(IF($X$1="ABS",(100*RTD("tos.rtd",,"OPEN_INT","."&amp;L$2&amp;L$1&amp;"C"&amp;$A51)*RTD("tos.rtd",,"LAST","."&amp;L$2&amp;L$1&amp;"C"&amp;$A51)+100*RTD("tos.rtd",,"OPEN_INT","."&amp;L$2&amp;L$1&amp;"P"&amp;$A51)*RTD("tos.rtd",,"LAST","."&amp;L$2&amp;L$1&amp;"P"&amp;$A51))/1000000,(100*RTD("tos.rtd",,"OPEN_INT","."&amp;L$2&amp;L$1&amp;"C"&amp;$A51)*RTD("tos.rtd",,"LAST","."&amp;L$2&amp;L$1&amp;"C"&amp;$A51)-100*RTD("tos.rtd",,"OPEN_INT","."&amp;L$2&amp;L$1&amp;"P"&amp;$A51)*RTD("tos.rtd",,"LAST","."&amp;L$2&amp;L$1&amp;"P"&amp;$A51))/1000000),0),IF($A$2="PREMIUM",IFERROR(IF($X$1="ABS",(100*RTD("tos.rtd",,"VOLUME","."&amp;L$2&amp;L$1&amp;"C"&amp;$A51)*RTD("tos.rtd",,"LAST","."&amp;L$2&amp;L$1&amp;"C"&amp;$A51)+100*RTD("tos.rtd",,"VOLUME","."&amp;L$2&amp;L$1&amp;"P"&amp;$A51)*RTD("tos.rtd",,"LAST","."&amp;L$2&amp;L$1&amp;"P"&amp;$A51))/1000000,(100*RTD("tos.rtd",,"VOLUME","."&amp;L$2&amp;L$1&amp;"C"&amp;$A51)*RTD("tos.rtd",,"LAST","."&amp;L$2&amp;L$1&amp;"C"&amp;$A51)-100*RTD("tos.rtd",,"VOLUME","."&amp;L$2&amp;L$1&amp;"P"&amp;$A51)*RTD("tos.rtd",,"LAST","."&amp;L$2&amp;L$1&amp;"P"&amp;$A51))/1000000),0),IF($A$2="DEX",IFERROR(IF($X$1="ABS",(100*RTD("tos.rtd",,"OPEN_INT","."&amp;L$2&amp;L$1&amp;"C"&amp;$A51)*RTD("tos.rtd",,"DELTA","."&amp;L$2&amp;L$1&amp;"C"&amp;$A51)+100*RTD("tos.rtd",,"OPEN_INT","."&amp;L$2&amp;L$1&amp;"P"&amp;$A51)*RTD("tos.rtd",,"DELTA","."&amp;L$2&amp;L$1&amp;"P"&amp;$A51))/1000,(100*RTD("tos.rtd",,"OPEN_INT","."&amp;L$2&amp;L$1&amp;"C"&amp;$A51)*RTD("tos.rtd",,"DELTA","."&amp;L$2&amp;L$1&amp;"C"&amp;$A51)-100*RTD("tos.rtd",,"OPEN_INT","."&amp;L$2&amp;L$1&amp;"P"&amp;$A51)*RTD("tos.rtd",,"DELTA","."&amp;L$2&amp;L$1&amp;"P"&amp;$A51))/1000),0),IF($A$2="VEX",IFERROR(IF($X$1="ABS",($A$4*$A$4*RTD("tos.rtd",,"VOLUME","."&amp;L$2&amp;L$1&amp;"C"&amp;$A51)*RTD("tos.rtd",,"GAMMA","."&amp;L$2&amp;L$1&amp;"C"&amp;$A51)+$A$4*$A$4*RTD("tos.rtd",,"VOLUME","."&amp;L$2&amp;L$1&amp;"P"&amp;$A51)*RTD("tos.rtd",,"GAMMA","."&amp;L$2&amp;L$1&amp;"P"&amp;$A51))/1000000,($A$4*$A$4*RTD("tos.rtd",,"VOLUME","."&amp;L$2&amp;L$1&amp;"C"&amp;$A51)*RTD("tos.rtd",,"GAMMA","."&amp;L$2&amp;L$1&amp;"C"&amp;$A51)-$A$4*$A$4*RTD("tos.rtd",,"VOLUME","."&amp;L$2&amp;L$1&amp;"P"&amp;$A51)*RTD("tos.rtd",,"GAMMA","."&amp;L$2&amp;L$1&amp;"P"&amp;$A51))/1000000),0),IF($A$2="GEX",IFERROR(IF($X$1="ABS",($A$4*$A$4*RTD("tos.rtd",,"OPEN_INT","."&amp;L$2&amp;L$1&amp;"C"&amp;$A51)*RTD("tos.rtd",,"GAMMA","."&amp;L$2&amp;L$1&amp;"C"&amp;$A51)+$A$4*$A$4*RTD("tos.rtd",,"OPEN_INT","."&amp;L$2&amp;L$1&amp;"P"&amp;$A51)*RTD("tos.rtd",,"GAMMA","."&amp;L$2&amp;L$1&amp;"P"&amp;$A51))/1000000,($A$4*$A$4*RTD("tos.rtd",,"OPEN_INT","."&amp;L$2&amp;L$1&amp;"C"&amp;$A51)*RTD("tos.rtd",,"GAMMA","."&amp;L$2&amp;L$1&amp;"C"&amp;$A51)-$A$4*$A$4*RTD("tos.rtd",,"OPEN_INT","."&amp;L$2&amp;L$1&amp;"P"&amp;$A51)*RTD("tos.rtd",,"GAMMA","."&amp;L$2&amp;L$1&amp;"P"&amp;$A51))/1000000),0),IF($A$2="SKEW",IFERROR(VALUE(IF(RTD("tos.rtd",,"IMPL_VOL","."&amp;L$2&amp;L$1&amp;"P"&amp;$A51)="N/A",0,RTD("tos.rtd",,"IMPL_VOL","."&amp;L$2&amp;L$1&amp;"P"&amp;$A51))),0)-IFERROR(VALUE(IF(RTD("tos.rtd",,"IMPL_VOL","."&amp;L$2&amp;L$1&amp;"C"&amp;$A51)="N/A",0,RTD("tos.rtd",,"IMPL_VOL","."&amp;L$2&amp;L$1&amp;"C"&amp;$A51))),0),IF($A$2="MAXPAIN",IF($A$4&gt;$A51,($A$4-$A51)*IF(RTD("tos.rtd",,"OPEN_INT","."&amp;L$2&amp;L$1&amp;"C"&amp;$A51)="N/A",0,RTD("tos.rtd",,"OPEN_INT","."&amp;L$2&amp;L$1&amp;"C"&amp;$A51)),0)+IF($A$4&lt;$A51,($A$5-$A$4)*IF(RTD("tos.rtd",,"OPEN_INT","."&amp;L$2&amp;L$1&amp;"P"&amp;$A51)="N/A",0,RTD("tos.rtd",,"OPEN_INT","."&amp;L$2&amp;L$1&amp;"P"&amp;$A51)),0),IF($X$1="ABS",IF(RTD("tos.rtd",,$A$2,"."&amp;L$2&amp;L$1&amp;"C"&amp;$A51)="N/A",0,RTD("tos.rtd",,$A$2,"."&amp;L$2&amp;L$1&amp;"C"&amp;$A51))+IF(RTD("tos.rtd",,$A$2,"."&amp;L$2&amp;L$1&amp;"P"&amp;$A51)="N/A",0,RTD("tos.rtd",,$A$2,"."&amp;L$2&amp;L$1&amp;"P"&amp;$A51)),IF(RTD("tos.rtd",,$A$2,"."&amp;L$2&amp;L$1&amp;"C"&amp;$A51)="N/A",0,RTD("tos.rtd",,$A$2,"."&amp;L$2&amp;L$1&amp;"C"&amp;$A51))-IF(RTD("tos.rtd",,$A$2,"."&amp;L$2&amp;L$1&amp;"P"&amp;$A51)="N/A",0,RTD("tos.rtd",,$A$2,"."&amp;L$2&amp;L$1&amp;"P"&amp;$A51))))))))))</f>
        <v>0</v>
      </c>
      <c r="M51" s="16">
        <f ca="1">IF($A$2="PREMIUM_OI",IFERROR(IF($X$1="ABS",(100*RTD("tos.rtd",,"OPEN_INT","."&amp;M$2&amp;M$1&amp;"C"&amp;$A51)*RTD("tos.rtd",,"LAST","."&amp;M$2&amp;M$1&amp;"C"&amp;$A51)+100*RTD("tos.rtd",,"OPEN_INT","."&amp;M$2&amp;M$1&amp;"P"&amp;$A51)*RTD("tos.rtd",,"LAST","."&amp;M$2&amp;M$1&amp;"P"&amp;$A51))/1000000,(100*RTD("tos.rtd",,"OPEN_INT","."&amp;M$2&amp;M$1&amp;"C"&amp;$A51)*RTD("tos.rtd",,"LAST","."&amp;M$2&amp;M$1&amp;"C"&amp;$A51)-100*RTD("tos.rtd",,"OPEN_INT","."&amp;M$2&amp;M$1&amp;"P"&amp;$A51)*RTD("tos.rtd",,"LAST","."&amp;M$2&amp;M$1&amp;"P"&amp;$A51))/1000000),0),IF($A$2="PREMIUM",IFERROR(IF($X$1="ABS",(100*RTD("tos.rtd",,"VOLUME","."&amp;M$2&amp;M$1&amp;"C"&amp;$A51)*RTD("tos.rtd",,"LAST","."&amp;M$2&amp;M$1&amp;"C"&amp;$A51)+100*RTD("tos.rtd",,"VOLUME","."&amp;M$2&amp;M$1&amp;"P"&amp;$A51)*RTD("tos.rtd",,"LAST","."&amp;M$2&amp;M$1&amp;"P"&amp;$A51))/1000000,(100*RTD("tos.rtd",,"VOLUME","."&amp;M$2&amp;M$1&amp;"C"&amp;$A51)*RTD("tos.rtd",,"LAST","."&amp;M$2&amp;M$1&amp;"C"&amp;$A51)-100*RTD("tos.rtd",,"VOLUME","."&amp;M$2&amp;M$1&amp;"P"&amp;$A51)*RTD("tos.rtd",,"LAST","."&amp;M$2&amp;M$1&amp;"P"&amp;$A51))/1000000),0),IF($A$2="DEX",IFERROR(IF($X$1="ABS",(100*RTD("tos.rtd",,"OPEN_INT","."&amp;M$2&amp;M$1&amp;"C"&amp;$A51)*RTD("tos.rtd",,"DELTA","."&amp;M$2&amp;M$1&amp;"C"&amp;$A51)+100*RTD("tos.rtd",,"OPEN_INT","."&amp;M$2&amp;M$1&amp;"P"&amp;$A51)*RTD("tos.rtd",,"DELTA","."&amp;M$2&amp;M$1&amp;"P"&amp;$A51))/1000,(100*RTD("tos.rtd",,"OPEN_INT","."&amp;M$2&amp;M$1&amp;"C"&amp;$A51)*RTD("tos.rtd",,"DELTA","."&amp;M$2&amp;M$1&amp;"C"&amp;$A51)-100*RTD("tos.rtd",,"OPEN_INT","."&amp;M$2&amp;M$1&amp;"P"&amp;$A51)*RTD("tos.rtd",,"DELTA","."&amp;M$2&amp;M$1&amp;"P"&amp;$A51))/1000),0),IF($A$2="VEX",IFERROR(IF($X$1="ABS",($A$4*$A$4*RTD("tos.rtd",,"VOLUME","."&amp;M$2&amp;M$1&amp;"C"&amp;$A51)*RTD("tos.rtd",,"GAMMA","."&amp;M$2&amp;M$1&amp;"C"&amp;$A51)+$A$4*$A$4*RTD("tos.rtd",,"VOLUME","."&amp;M$2&amp;M$1&amp;"P"&amp;$A51)*RTD("tos.rtd",,"GAMMA","."&amp;M$2&amp;M$1&amp;"P"&amp;$A51))/1000000,($A$4*$A$4*RTD("tos.rtd",,"VOLUME","."&amp;M$2&amp;M$1&amp;"C"&amp;$A51)*RTD("tos.rtd",,"GAMMA","."&amp;M$2&amp;M$1&amp;"C"&amp;$A51)-$A$4*$A$4*RTD("tos.rtd",,"VOLUME","."&amp;M$2&amp;M$1&amp;"P"&amp;$A51)*RTD("tos.rtd",,"GAMMA","."&amp;M$2&amp;M$1&amp;"P"&amp;$A51))/1000000),0),IF($A$2="GEX",IFERROR(IF($X$1="ABS",($A$4*$A$4*RTD("tos.rtd",,"OPEN_INT","."&amp;M$2&amp;M$1&amp;"C"&amp;$A51)*RTD("tos.rtd",,"GAMMA","."&amp;M$2&amp;M$1&amp;"C"&amp;$A51)+$A$4*$A$4*RTD("tos.rtd",,"OPEN_INT","."&amp;M$2&amp;M$1&amp;"P"&amp;$A51)*RTD("tos.rtd",,"GAMMA","."&amp;M$2&amp;M$1&amp;"P"&amp;$A51))/1000000,($A$4*$A$4*RTD("tos.rtd",,"OPEN_INT","."&amp;M$2&amp;M$1&amp;"C"&amp;$A51)*RTD("tos.rtd",,"GAMMA","."&amp;M$2&amp;M$1&amp;"C"&amp;$A51)-$A$4*$A$4*RTD("tos.rtd",,"OPEN_INT","."&amp;M$2&amp;M$1&amp;"P"&amp;$A51)*RTD("tos.rtd",,"GAMMA","."&amp;M$2&amp;M$1&amp;"P"&amp;$A51))/1000000),0),IF($A$2="SKEW",IFERROR(VALUE(IF(RTD("tos.rtd",,"IMPL_VOL","."&amp;M$2&amp;M$1&amp;"P"&amp;$A51)="N/A",0,RTD("tos.rtd",,"IMPL_VOL","."&amp;M$2&amp;M$1&amp;"P"&amp;$A51))),0)-IFERROR(VALUE(IF(RTD("tos.rtd",,"IMPL_VOL","."&amp;M$2&amp;M$1&amp;"C"&amp;$A51)="N/A",0,RTD("tos.rtd",,"IMPL_VOL","."&amp;M$2&amp;M$1&amp;"C"&amp;$A51))),0),IF($A$2="MAXPAIN",IF($A$4&gt;$A51,($A$4-$A51)*IF(RTD("tos.rtd",,"OPEN_INT","."&amp;M$2&amp;M$1&amp;"C"&amp;$A51)="N/A",0,RTD("tos.rtd",,"OPEN_INT","."&amp;M$2&amp;M$1&amp;"C"&amp;$A51)),0)+IF($A$4&lt;$A51,($A$5-$A$4)*IF(RTD("tos.rtd",,"OPEN_INT","."&amp;M$2&amp;M$1&amp;"P"&amp;$A51)="N/A",0,RTD("tos.rtd",,"OPEN_INT","."&amp;M$2&amp;M$1&amp;"P"&amp;$A51)),0),IF($X$1="ABS",IF(RTD("tos.rtd",,$A$2,"."&amp;M$2&amp;M$1&amp;"C"&amp;$A51)="N/A",0,RTD("tos.rtd",,$A$2,"."&amp;M$2&amp;M$1&amp;"C"&amp;$A51))+IF(RTD("tos.rtd",,$A$2,"."&amp;M$2&amp;M$1&amp;"P"&amp;$A51)="N/A",0,RTD("tos.rtd",,$A$2,"."&amp;M$2&amp;M$1&amp;"P"&amp;$A51)),IF(RTD("tos.rtd",,$A$2,"."&amp;M$2&amp;M$1&amp;"C"&amp;$A51)="N/A",0,RTD("tos.rtd",,$A$2,"."&amp;M$2&amp;M$1&amp;"C"&amp;$A51))-IF(RTD("tos.rtd",,$A$2,"."&amp;M$2&amp;M$1&amp;"P"&amp;$A51)="N/A",0,RTD("tos.rtd",,$A$2,"."&amp;M$2&amp;M$1&amp;"P"&amp;$A51))))))))))</f>
        <v>0</v>
      </c>
      <c r="N51" s="16">
        <f ca="1">IF($A$2="PREMIUM_OI",IFERROR(IF($X$1="ABS",(100*RTD("tos.rtd",,"OPEN_INT","."&amp;N$2&amp;N$1&amp;"C"&amp;$A51)*RTD("tos.rtd",,"LAST","."&amp;N$2&amp;N$1&amp;"C"&amp;$A51)+100*RTD("tos.rtd",,"OPEN_INT","."&amp;N$2&amp;N$1&amp;"P"&amp;$A51)*RTD("tos.rtd",,"LAST","."&amp;N$2&amp;N$1&amp;"P"&amp;$A51))/1000000,(100*RTD("tos.rtd",,"OPEN_INT","."&amp;N$2&amp;N$1&amp;"C"&amp;$A51)*RTD("tos.rtd",,"LAST","."&amp;N$2&amp;N$1&amp;"C"&amp;$A51)-100*RTD("tos.rtd",,"OPEN_INT","."&amp;N$2&amp;N$1&amp;"P"&amp;$A51)*RTD("tos.rtd",,"LAST","."&amp;N$2&amp;N$1&amp;"P"&amp;$A51))/1000000),0),IF($A$2="PREMIUM",IFERROR(IF($X$1="ABS",(100*RTD("tos.rtd",,"VOLUME","."&amp;N$2&amp;N$1&amp;"C"&amp;$A51)*RTD("tos.rtd",,"LAST","."&amp;N$2&amp;N$1&amp;"C"&amp;$A51)+100*RTD("tos.rtd",,"VOLUME","."&amp;N$2&amp;N$1&amp;"P"&amp;$A51)*RTD("tos.rtd",,"LAST","."&amp;N$2&amp;N$1&amp;"P"&amp;$A51))/1000000,(100*RTD("tos.rtd",,"VOLUME","."&amp;N$2&amp;N$1&amp;"C"&amp;$A51)*RTD("tos.rtd",,"LAST","."&amp;N$2&amp;N$1&amp;"C"&amp;$A51)-100*RTD("tos.rtd",,"VOLUME","."&amp;N$2&amp;N$1&amp;"P"&amp;$A51)*RTD("tos.rtd",,"LAST","."&amp;N$2&amp;N$1&amp;"P"&amp;$A51))/1000000),0),IF($A$2="DEX",IFERROR(IF($X$1="ABS",(100*RTD("tos.rtd",,"OPEN_INT","."&amp;N$2&amp;N$1&amp;"C"&amp;$A51)*RTD("tos.rtd",,"DELTA","."&amp;N$2&amp;N$1&amp;"C"&amp;$A51)+100*RTD("tos.rtd",,"OPEN_INT","."&amp;N$2&amp;N$1&amp;"P"&amp;$A51)*RTD("tos.rtd",,"DELTA","."&amp;N$2&amp;N$1&amp;"P"&amp;$A51))/1000,(100*RTD("tos.rtd",,"OPEN_INT","."&amp;N$2&amp;N$1&amp;"C"&amp;$A51)*RTD("tos.rtd",,"DELTA","."&amp;N$2&amp;N$1&amp;"C"&amp;$A51)-100*RTD("tos.rtd",,"OPEN_INT","."&amp;N$2&amp;N$1&amp;"P"&amp;$A51)*RTD("tos.rtd",,"DELTA","."&amp;N$2&amp;N$1&amp;"P"&amp;$A51))/1000),0),IF($A$2="VEX",IFERROR(IF($X$1="ABS",($A$4*$A$4*RTD("tos.rtd",,"VOLUME","."&amp;N$2&amp;N$1&amp;"C"&amp;$A51)*RTD("tos.rtd",,"GAMMA","."&amp;N$2&amp;N$1&amp;"C"&amp;$A51)+$A$4*$A$4*RTD("tos.rtd",,"VOLUME","."&amp;N$2&amp;N$1&amp;"P"&amp;$A51)*RTD("tos.rtd",,"GAMMA","."&amp;N$2&amp;N$1&amp;"P"&amp;$A51))/1000000,($A$4*$A$4*RTD("tos.rtd",,"VOLUME","."&amp;N$2&amp;N$1&amp;"C"&amp;$A51)*RTD("tos.rtd",,"GAMMA","."&amp;N$2&amp;N$1&amp;"C"&amp;$A51)-$A$4*$A$4*RTD("tos.rtd",,"VOLUME","."&amp;N$2&amp;N$1&amp;"P"&amp;$A51)*RTD("tos.rtd",,"GAMMA","."&amp;N$2&amp;N$1&amp;"P"&amp;$A51))/1000000),0),IF($A$2="GEX",IFERROR(IF($X$1="ABS",($A$4*$A$4*RTD("tos.rtd",,"OPEN_INT","."&amp;N$2&amp;N$1&amp;"C"&amp;$A51)*RTD("tos.rtd",,"GAMMA","."&amp;N$2&amp;N$1&amp;"C"&amp;$A51)+$A$4*$A$4*RTD("tos.rtd",,"OPEN_INT","."&amp;N$2&amp;N$1&amp;"P"&amp;$A51)*RTD("tos.rtd",,"GAMMA","."&amp;N$2&amp;N$1&amp;"P"&amp;$A51))/1000000,($A$4*$A$4*RTD("tos.rtd",,"OPEN_INT","."&amp;N$2&amp;N$1&amp;"C"&amp;$A51)*RTD("tos.rtd",,"GAMMA","."&amp;N$2&amp;N$1&amp;"C"&amp;$A51)-$A$4*$A$4*RTD("tos.rtd",,"OPEN_INT","."&amp;N$2&amp;N$1&amp;"P"&amp;$A51)*RTD("tos.rtd",,"GAMMA","."&amp;N$2&amp;N$1&amp;"P"&amp;$A51))/1000000),0),IF($A$2="SKEW",IFERROR(VALUE(IF(RTD("tos.rtd",,"IMPL_VOL","."&amp;N$2&amp;N$1&amp;"P"&amp;$A51)="N/A",0,RTD("tos.rtd",,"IMPL_VOL","."&amp;N$2&amp;N$1&amp;"P"&amp;$A51))),0)-IFERROR(VALUE(IF(RTD("tos.rtd",,"IMPL_VOL","."&amp;N$2&amp;N$1&amp;"C"&amp;$A51)="N/A",0,RTD("tos.rtd",,"IMPL_VOL","."&amp;N$2&amp;N$1&amp;"C"&amp;$A51))),0),IF($A$2="MAXPAIN",IF($A$4&gt;$A51,($A$4-$A51)*IF(RTD("tos.rtd",,"OPEN_INT","."&amp;N$2&amp;N$1&amp;"C"&amp;$A51)="N/A",0,RTD("tos.rtd",,"OPEN_INT","."&amp;N$2&amp;N$1&amp;"C"&amp;$A51)),0)+IF($A$4&lt;$A51,($A$5-$A$4)*IF(RTD("tos.rtd",,"OPEN_INT","."&amp;N$2&amp;N$1&amp;"P"&amp;$A51)="N/A",0,RTD("tos.rtd",,"OPEN_INT","."&amp;N$2&amp;N$1&amp;"P"&amp;$A51)),0),IF($X$1="ABS",IF(RTD("tos.rtd",,$A$2,"."&amp;N$2&amp;N$1&amp;"C"&amp;$A51)="N/A",0,RTD("tos.rtd",,$A$2,"."&amp;N$2&amp;N$1&amp;"C"&amp;$A51))+IF(RTD("tos.rtd",,$A$2,"."&amp;N$2&amp;N$1&amp;"P"&amp;$A51)="N/A",0,RTD("tos.rtd",,$A$2,"."&amp;N$2&amp;N$1&amp;"P"&amp;$A51)),IF(RTD("tos.rtd",,$A$2,"."&amp;N$2&amp;N$1&amp;"C"&amp;$A51)="N/A",0,RTD("tos.rtd",,$A$2,"."&amp;N$2&amp;N$1&amp;"C"&amp;$A51))-IF(RTD("tos.rtd",,$A$2,"."&amp;N$2&amp;N$1&amp;"P"&amp;$A51)="N/A",0,RTD("tos.rtd",,$A$2,"."&amp;N$2&amp;N$1&amp;"P"&amp;$A51))))))))))</f>
        <v>0</v>
      </c>
      <c r="O51" s="16">
        <f ca="1">IF($A$2="PREMIUM_OI",IFERROR(IF($X$1="ABS",(100*RTD("tos.rtd",,"OPEN_INT","."&amp;O$2&amp;O$1&amp;"C"&amp;$A51)*RTD("tos.rtd",,"LAST","."&amp;O$2&amp;O$1&amp;"C"&amp;$A51)+100*RTD("tos.rtd",,"OPEN_INT","."&amp;O$2&amp;O$1&amp;"P"&amp;$A51)*RTD("tos.rtd",,"LAST","."&amp;O$2&amp;O$1&amp;"P"&amp;$A51))/1000000,(100*RTD("tos.rtd",,"OPEN_INT","."&amp;O$2&amp;O$1&amp;"C"&amp;$A51)*RTD("tos.rtd",,"LAST","."&amp;O$2&amp;O$1&amp;"C"&amp;$A51)-100*RTD("tos.rtd",,"OPEN_INT","."&amp;O$2&amp;O$1&amp;"P"&amp;$A51)*RTD("tos.rtd",,"LAST","."&amp;O$2&amp;O$1&amp;"P"&amp;$A51))/1000000),0),IF($A$2="PREMIUM",IFERROR(IF($X$1="ABS",(100*RTD("tos.rtd",,"VOLUME","."&amp;O$2&amp;O$1&amp;"C"&amp;$A51)*RTD("tos.rtd",,"LAST","."&amp;O$2&amp;O$1&amp;"C"&amp;$A51)+100*RTD("tos.rtd",,"VOLUME","."&amp;O$2&amp;O$1&amp;"P"&amp;$A51)*RTD("tos.rtd",,"LAST","."&amp;O$2&amp;O$1&amp;"P"&amp;$A51))/1000000,(100*RTD("tos.rtd",,"VOLUME","."&amp;O$2&amp;O$1&amp;"C"&amp;$A51)*RTD("tos.rtd",,"LAST","."&amp;O$2&amp;O$1&amp;"C"&amp;$A51)-100*RTD("tos.rtd",,"VOLUME","."&amp;O$2&amp;O$1&amp;"P"&amp;$A51)*RTD("tos.rtd",,"LAST","."&amp;O$2&amp;O$1&amp;"P"&amp;$A51))/1000000),0),IF($A$2="DEX",IFERROR(IF($X$1="ABS",(100*RTD("tos.rtd",,"OPEN_INT","."&amp;O$2&amp;O$1&amp;"C"&amp;$A51)*RTD("tos.rtd",,"DELTA","."&amp;O$2&amp;O$1&amp;"C"&amp;$A51)+100*RTD("tos.rtd",,"OPEN_INT","."&amp;O$2&amp;O$1&amp;"P"&amp;$A51)*RTD("tos.rtd",,"DELTA","."&amp;O$2&amp;O$1&amp;"P"&amp;$A51))/1000,(100*RTD("tos.rtd",,"OPEN_INT","."&amp;O$2&amp;O$1&amp;"C"&amp;$A51)*RTD("tos.rtd",,"DELTA","."&amp;O$2&amp;O$1&amp;"C"&amp;$A51)-100*RTD("tos.rtd",,"OPEN_INT","."&amp;O$2&amp;O$1&amp;"P"&amp;$A51)*RTD("tos.rtd",,"DELTA","."&amp;O$2&amp;O$1&amp;"P"&amp;$A51))/1000),0),IF($A$2="VEX",IFERROR(IF($X$1="ABS",($A$4*$A$4*RTD("tos.rtd",,"VOLUME","."&amp;O$2&amp;O$1&amp;"C"&amp;$A51)*RTD("tos.rtd",,"GAMMA","."&amp;O$2&amp;O$1&amp;"C"&amp;$A51)+$A$4*$A$4*RTD("tos.rtd",,"VOLUME","."&amp;O$2&amp;O$1&amp;"P"&amp;$A51)*RTD("tos.rtd",,"GAMMA","."&amp;O$2&amp;O$1&amp;"P"&amp;$A51))/1000000,($A$4*$A$4*RTD("tos.rtd",,"VOLUME","."&amp;O$2&amp;O$1&amp;"C"&amp;$A51)*RTD("tos.rtd",,"GAMMA","."&amp;O$2&amp;O$1&amp;"C"&amp;$A51)-$A$4*$A$4*RTD("tos.rtd",,"VOLUME","."&amp;O$2&amp;O$1&amp;"P"&amp;$A51)*RTD("tos.rtd",,"GAMMA","."&amp;O$2&amp;O$1&amp;"P"&amp;$A51))/1000000),0),IF($A$2="GEX",IFERROR(IF($X$1="ABS",($A$4*$A$4*RTD("tos.rtd",,"OPEN_INT","."&amp;O$2&amp;O$1&amp;"C"&amp;$A51)*RTD("tos.rtd",,"GAMMA","."&amp;O$2&amp;O$1&amp;"C"&amp;$A51)+$A$4*$A$4*RTD("tos.rtd",,"OPEN_INT","."&amp;O$2&amp;O$1&amp;"P"&amp;$A51)*RTD("tos.rtd",,"GAMMA","."&amp;O$2&amp;O$1&amp;"P"&amp;$A51))/1000000,($A$4*$A$4*RTD("tos.rtd",,"OPEN_INT","."&amp;O$2&amp;O$1&amp;"C"&amp;$A51)*RTD("tos.rtd",,"GAMMA","."&amp;O$2&amp;O$1&amp;"C"&amp;$A51)-$A$4*$A$4*RTD("tos.rtd",,"OPEN_INT","."&amp;O$2&amp;O$1&amp;"P"&amp;$A51)*RTD("tos.rtd",,"GAMMA","."&amp;O$2&amp;O$1&amp;"P"&amp;$A51))/1000000),0),IF($A$2="SKEW",IFERROR(VALUE(IF(RTD("tos.rtd",,"IMPL_VOL","."&amp;O$2&amp;O$1&amp;"P"&amp;$A51)="N/A",0,RTD("tos.rtd",,"IMPL_VOL","."&amp;O$2&amp;O$1&amp;"P"&amp;$A51))),0)-IFERROR(VALUE(IF(RTD("tos.rtd",,"IMPL_VOL","."&amp;O$2&amp;O$1&amp;"C"&amp;$A51)="N/A",0,RTD("tos.rtd",,"IMPL_VOL","."&amp;O$2&amp;O$1&amp;"C"&amp;$A51))),0),IF($A$2="MAXPAIN",IF($A$4&gt;$A51,($A$4-$A51)*IF(RTD("tos.rtd",,"OPEN_INT","."&amp;O$2&amp;O$1&amp;"C"&amp;$A51)="N/A",0,RTD("tos.rtd",,"OPEN_INT","."&amp;O$2&amp;O$1&amp;"C"&amp;$A51)),0)+IF($A$4&lt;$A51,($A$5-$A$4)*IF(RTD("tos.rtd",,"OPEN_INT","."&amp;O$2&amp;O$1&amp;"P"&amp;$A51)="N/A",0,RTD("tos.rtd",,"OPEN_INT","."&amp;O$2&amp;O$1&amp;"P"&amp;$A51)),0),IF($X$1="ABS",IF(RTD("tos.rtd",,$A$2,"."&amp;O$2&amp;O$1&amp;"C"&amp;$A51)="N/A",0,RTD("tos.rtd",,$A$2,"."&amp;O$2&amp;O$1&amp;"C"&amp;$A51))+IF(RTD("tos.rtd",,$A$2,"."&amp;O$2&amp;O$1&amp;"P"&amp;$A51)="N/A",0,RTD("tos.rtd",,$A$2,"."&amp;O$2&amp;O$1&amp;"P"&amp;$A51)),IF(RTD("tos.rtd",,$A$2,"."&amp;O$2&amp;O$1&amp;"C"&amp;$A51)="N/A",0,RTD("tos.rtd",,$A$2,"."&amp;O$2&amp;O$1&amp;"C"&amp;$A51))-IF(RTD("tos.rtd",,$A$2,"."&amp;O$2&amp;O$1&amp;"P"&amp;$A51)="N/A",0,RTD("tos.rtd",,$A$2,"."&amp;O$2&amp;O$1&amp;"P"&amp;$A51))))))))))</f>
        <v>0</v>
      </c>
      <c r="P51" s="16">
        <f ca="1">IF($A$2="PREMIUM_OI",IFERROR(IF($X$1="ABS",(100*RTD("tos.rtd",,"OPEN_INT","."&amp;P$2&amp;P$1&amp;"C"&amp;$A51)*RTD("tos.rtd",,"LAST","."&amp;P$2&amp;P$1&amp;"C"&amp;$A51)+100*RTD("tos.rtd",,"OPEN_INT","."&amp;P$2&amp;P$1&amp;"P"&amp;$A51)*RTD("tos.rtd",,"LAST","."&amp;P$2&amp;P$1&amp;"P"&amp;$A51))/1000000,(100*RTD("tos.rtd",,"OPEN_INT","."&amp;P$2&amp;P$1&amp;"C"&amp;$A51)*RTD("tos.rtd",,"LAST","."&amp;P$2&amp;P$1&amp;"C"&amp;$A51)-100*RTD("tos.rtd",,"OPEN_INT","."&amp;P$2&amp;P$1&amp;"P"&amp;$A51)*RTD("tos.rtd",,"LAST","."&amp;P$2&amp;P$1&amp;"P"&amp;$A51))/1000000),0),IF($A$2="PREMIUM",IFERROR(IF($X$1="ABS",(100*RTD("tos.rtd",,"VOLUME","."&amp;P$2&amp;P$1&amp;"C"&amp;$A51)*RTD("tos.rtd",,"LAST","."&amp;P$2&amp;P$1&amp;"C"&amp;$A51)+100*RTD("tos.rtd",,"VOLUME","."&amp;P$2&amp;P$1&amp;"P"&amp;$A51)*RTD("tos.rtd",,"LAST","."&amp;P$2&amp;P$1&amp;"P"&amp;$A51))/1000000,(100*RTD("tos.rtd",,"VOLUME","."&amp;P$2&amp;P$1&amp;"C"&amp;$A51)*RTD("tos.rtd",,"LAST","."&amp;P$2&amp;P$1&amp;"C"&amp;$A51)-100*RTD("tos.rtd",,"VOLUME","."&amp;P$2&amp;P$1&amp;"P"&amp;$A51)*RTD("tos.rtd",,"LAST","."&amp;P$2&amp;P$1&amp;"P"&amp;$A51))/1000000),0),IF($A$2="DEX",IFERROR(IF($X$1="ABS",(100*RTD("tos.rtd",,"OPEN_INT","."&amp;P$2&amp;P$1&amp;"C"&amp;$A51)*RTD("tos.rtd",,"DELTA","."&amp;P$2&amp;P$1&amp;"C"&amp;$A51)+100*RTD("tos.rtd",,"OPEN_INT","."&amp;P$2&amp;P$1&amp;"P"&amp;$A51)*RTD("tos.rtd",,"DELTA","."&amp;P$2&amp;P$1&amp;"P"&amp;$A51))/1000,(100*RTD("tos.rtd",,"OPEN_INT","."&amp;P$2&amp;P$1&amp;"C"&amp;$A51)*RTD("tos.rtd",,"DELTA","."&amp;P$2&amp;P$1&amp;"C"&amp;$A51)-100*RTD("tos.rtd",,"OPEN_INT","."&amp;P$2&amp;P$1&amp;"P"&amp;$A51)*RTD("tos.rtd",,"DELTA","."&amp;P$2&amp;P$1&amp;"P"&amp;$A51))/1000),0),IF($A$2="VEX",IFERROR(IF($X$1="ABS",($A$4*$A$4*RTD("tos.rtd",,"VOLUME","."&amp;P$2&amp;P$1&amp;"C"&amp;$A51)*RTD("tos.rtd",,"GAMMA","."&amp;P$2&amp;P$1&amp;"C"&amp;$A51)+$A$4*$A$4*RTD("tos.rtd",,"VOLUME","."&amp;P$2&amp;P$1&amp;"P"&amp;$A51)*RTD("tos.rtd",,"GAMMA","."&amp;P$2&amp;P$1&amp;"P"&amp;$A51))/1000000,($A$4*$A$4*RTD("tos.rtd",,"VOLUME","."&amp;P$2&amp;P$1&amp;"C"&amp;$A51)*RTD("tos.rtd",,"GAMMA","."&amp;P$2&amp;P$1&amp;"C"&amp;$A51)-$A$4*$A$4*RTD("tos.rtd",,"VOLUME","."&amp;P$2&amp;P$1&amp;"P"&amp;$A51)*RTD("tos.rtd",,"GAMMA","."&amp;P$2&amp;P$1&amp;"P"&amp;$A51))/1000000),0),IF($A$2="GEX",IFERROR(IF($X$1="ABS",($A$4*$A$4*RTD("tos.rtd",,"OPEN_INT","."&amp;P$2&amp;P$1&amp;"C"&amp;$A51)*RTD("tos.rtd",,"GAMMA","."&amp;P$2&amp;P$1&amp;"C"&amp;$A51)+$A$4*$A$4*RTD("tos.rtd",,"OPEN_INT","."&amp;P$2&amp;P$1&amp;"P"&amp;$A51)*RTD("tos.rtd",,"GAMMA","."&amp;P$2&amp;P$1&amp;"P"&amp;$A51))/1000000,($A$4*$A$4*RTD("tos.rtd",,"OPEN_INT","."&amp;P$2&amp;P$1&amp;"C"&amp;$A51)*RTD("tos.rtd",,"GAMMA","."&amp;P$2&amp;P$1&amp;"C"&amp;$A51)-$A$4*$A$4*RTD("tos.rtd",,"OPEN_INT","."&amp;P$2&amp;P$1&amp;"P"&amp;$A51)*RTD("tos.rtd",,"GAMMA","."&amp;P$2&amp;P$1&amp;"P"&amp;$A51))/1000000),0),IF($A$2="SKEW",IFERROR(VALUE(IF(RTD("tos.rtd",,"IMPL_VOL","."&amp;P$2&amp;P$1&amp;"P"&amp;$A51)="N/A",0,RTD("tos.rtd",,"IMPL_VOL","."&amp;P$2&amp;P$1&amp;"P"&amp;$A51))),0)-IFERROR(VALUE(IF(RTD("tos.rtd",,"IMPL_VOL","."&amp;P$2&amp;P$1&amp;"C"&amp;$A51)="N/A",0,RTD("tos.rtd",,"IMPL_VOL","."&amp;P$2&amp;P$1&amp;"C"&amp;$A51))),0),IF($A$2="MAXPAIN",IF($A$4&gt;$A51,($A$4-$A51)*IF(RTD("tos.rtd",,"OPEN_INT","."&amp;P$2&amp;P$1&amp;"C"&amp;$A51)="N/A",0,RTD("tos.rtd",,"OPEN_INT","."&amp;P$2&amp;P$1&amp;"C"&amp;$A51)),0)+IF($A$4&lt;$A51,($A$5-$A$4)*IF(RTD("tos.rtd",,"OPEN_INT","."&amp;P$2&amp;P$1&amp;"P"&amp;$A51)="N/A",0,RTD("tos.rtd",,"OPEN_INT","."&amp;P$2&amp;P$1&amp;"P"&amp;$A51)),0),IF($X$1="ABS",IF(RTD("tos.rtd",,$A$2,"."&amp;P$2&amp;P$1&amp;"C"&amp;$A51)="N/A",0,RTD("tos.rtd",,$A$2,"."&amp;P$2&amp;P$1&amp;"C"&amp;$A51))+IF(RTD("tos.rtd",,$A$2,"."&amp;P$2&amp;P$1&amp;"P"&amp;$A51)="N/A",0,RTD("tos.rtd",,$A$2,"."&amp;P$2&amp;P$1&amp;"P"&amp;$A51)),IF(RTD("tos.rtd",,$A$2,"."&amp;P$2&amp;P$1&amp;"C"&amp;$A51)="N/A",0,RTD("tos.rtd",,$A$2,"."&amp;P$2&amp;P$1&amp;"C"&amp;$A51))-IF(RTD("tos.rtd",,$A$2,"."&amp;P$2&amp;P$1&amp;"P"&amp;$A51)="N/A",0,RTD("tos.rtd",,$A$2,"."&amp;P$2&amp;P$1&amp;"P"&amp;$A51))))))))))</f>
        <v>0</v>
      </c>
      <c r="Q51" s="16">
        <f ca="1">IF($A$2="PREMIUM_OI",IFERROR(IF($X$1="ABS",(100*RTD("tos.rtd",,"OPEN_INT","."&amp;Q$2&amp;Q$1&amp;"C"&amp;$A51)*RTD("tos.rtd",,"LAST","."&amp;Q$2&amp;Q$1&amp;"C"&amp;$A51)+100*RTD("tos.rtd",,"OPEN_INT","."&amp;Q$2&amp;Q$1&amp;"P"&amp;$A51)*RTD("tos.rtd",,"LAST","."&amp;Q$2&amp;Q$1&amp;"P"&amp;$A51))/1000000,(100*RTD("tos.rtd",,"OPEN_INT","."&amp;Q$2&amp;Q$1&amp;"C"&amp;$A51)*RTD("tos.rtd",,"LAST","."&amp;Q$2&amp;Q$1&amp;"C"&amp;$A51)-100*RTD("tos.rtd",,"OPEN_INT","."&amp;Q$2&amp;Q$1&amp;"P"&amp;$A51)*RTD("tos.rtd",,"LAST","."&amp;Q$2&amp;Q$1&amp;"P"&amp;$A51))/1000000),0),IF($A$2="PREMIUM",IFERROR(IF($X$1="ABS",(100*RTD("tos.rtd",,"VOLUME","."&amp;Q$2&amp;Q$1&amp;"C"&amp;$A51)*RTD("tos.rtd",,"LAST","."&amp;Q$2&amp;Q$1&amp;"C"&amp;$A51)+100*RTD("tos.rtd",,"VOLUME","."&amp;Q$2&amp;Q$1&amp;"P"&amp;$A51)*RTD("tos.rtd",,"LAST","."&amp;Q$2&amp;Q$1&amp;"P"&amp;$A51))/1000000,(100*RTD("tos.rtd",,"VOLUME","."&amp;Q$2&amp;Q$1&amp;"C"&amp;$A51)*RTD("tos.rtd",,"LAST","."&amp;Q$2&amp;Q$1&amp;"C"&amp;$A51)-100*RTD("tos.rtd",,"VOLUME","."&amp;Q$2&amp;Q$1&amp;"P"&amp;$A51)*RTD("tos.rtd",,"LAST","."&amp;Q$2&amp;Q$1&amp;"P"&amp;$A51))/1000000),0),IF($A$2="DEX",IFERROR(IF($X$1="ABS",(100*RTD("tos.rtd",,"OPEN_INT","."&amp;Q$2&amp;Q$1&amp;"C"&amp;$A51)*RTD("tos.rtd",,"DELTA","."&amp;Q$2&amp;Q$1&amp;"C"&amp;$A51)+100*RTD("tos.rtd",,"OPEN_INT","."&amp;Q$2&amp;Q$1&amp;"P"&amp;$A51)*RTD("tos.rtd",,"DELTA","."&amp;Q$2&amp;Q$1&amp;"P"&amp;$A51))/1000,(100*RTD("tos.rtd",,"OPEN_INT","."&amp;Q$2&amp;Q$1&amp;"C"&amp;$A51)*RTD("tos.rtd",,"DELTA","."&amp;Q$2&amp;Q$1&amp;"C"&amp;$A51)-100*RTD("tos.rtd",,"OPEN_INT","."&amp;Q$2&amp;Q$1&amp;"P"&amp;$A51)*RTD("tos.rtd",,"DELTA","."&amp;Q$2&amp;Q$1&amp;"P"&amp;$A51))/1000),0),IF($A$2="VEX",IFERROR(IF($X$1="ABS",($A$4*$A$4*RTD("tos.rtd",,"VOLUME","."&amp;Q$2&amp;Q$1&amp;"C"&amp;$A51)*RTD("tos.rtd",,"GAMMA","."&amp;Q$2&amp;Q$1&amp;"C"&amp;$A51)+$A$4*$A$4*RTD("tos.rtd",,"VOLUME","."&amp;Q$2&amp;Q$1&amp;"P"&amp;$A51)*RTD("tos.rtd",,"GAMMA","."&amp;Q$2&amp;Q$1&amp;"P"&amp;$A51))/1000000,($A$4*$A$4*RTD("tos.rtd",,"VOLUME","."&amp;Q$2&amp;Q$1&amp;"C"&amp;$A51)*RTD("tos.rtd",,"GAMMA","."&amp;Q$2&amp;Q$1&amp;"C"&amp;$A51)-$A$4*$A$4*RTD("tos.rtd",,"VOLUME","."&amp;Q$2&amp;Q$1&amp;"P"&amp;$A51)*RTD("tos.rtd",,"GAMMA","."&amp;Q$2&amp;Q$1&amp;"P"&amp;$A51))/1000000),0),IF($A$2="GEX",IFERROR(IF($X$1="ABS",($A$4*$A$4*RTD("tos.rtd",,"OPEN_INT","."&amp;Q$2&amp;Q$1&amp;"C"&amp;$A51)*RTD("tos.rtd",,"GAMMA","."&amp;Q$2&amp;Q$1&amp;"C"&amp;$A51)+$A$4*$A$4*RTD("tos.rtd",,"OPEN_INT","."&amp;Q$2&amp;Q$1&amp;"P"&amp;$A51)*RTD("tos.rtd",,"GAMMA","."&amp;Q$2&amp;Q$1&amp;"P"&amp;$A51))/1000000,($A$4*$A$4*RTD("tos.rtd",,"OPEN_INT","."&amp;Q$2&amp;Q$1&amp;"C"&amp;$A51)*RTD("tos.rtd",,"GAMMA","."&amp;Q$2&amp;Q$1&amp;"C"&amp;$A51)-$A$4*$A$4*RTD("tos.rtd",,"OPEN_INT","."&amp;Q$2&amp;Q$1&amp;"P"&amp;$A51)*RTD("tos.rtd",,"GAMMA","."&amp;Q$2&amp;Q$1&amp;"P"&amp;$A51))/1000000),0),IF($A$2="SKEW",IFERROR(VALUE(IF(RTD("tos.rtd",,"IMPL_VOL","."&amp;Q$2&amp;Q$1&amp;"P"&amp;$A51)="N/A",0,RTD("tos.rtd",,"IMPL_VOL","."&amp;Q$2&amp;Q$1&amp;"P"&amp;$A51))),0)-IFERROR(VALUE(IF(RTD("tos.rtd",,"IMPL_VOL","."&amp;Q$2&amp;Q$1&amp;"C"&amp;$A51)="N/A",0,RTD("tos.rtd",,"IMPL_VOL","."&amp;Q$2&amp;Q$1&amp;"C"&amp;$A51))),0),IF($A$2="MAXPAIN",IF($A$4&gt;$A51,($A$4-$A51)*IF(RTD("tos.rtd",,"OPEN_INT","."&amp;Q$2&amp;Q$1&amp;"C"&amp;$A51)="N/A",0,RTD("tos.rtd",,"OPEN_INT","."&amp;Q$2&amp;Q$1&amp;"C"&amp;$A51)),0)+IF($A$4&lt;$A51,($A$5-$A$4)*IF(RTD("tos.rtd",,"OPEN_INT","."&amp;Q$2&amp;Q$1&amp;"P"&amp;$A51)="N/A",0,RTD("tos.rtd",,"OPEN_INT","."&amp;Q$2&amp;Q$1&amp;"P"&amp;$A51)),0),IF($X$1="ABS",IF(RTD("tos.rtd",,$A$2,"."&amp;Q$2&amp;Q$1&amp;"C"&amp;$A51)="N/A",0,RTD("tos.rtd",,$A$2,"."&amp;Q$2&amp;Q$1&amp;"C"&amp;$A51))+IF(RTD("tos.rtd",,$A$2,"."&amp;Q$2&amp;Q$1&amp;"P"&amp;$A51)="N/A",0,RTD("tos.rtd",,$A$2,"."&amp;Q$2&amp;Q$1&amp;"P"&amp;$A51)),IF(RTD("tos.rtd",,$A$2,"."&amp;Q$2&amp;Q$1&amp;"C"&amp;$A51)="N/A",0,RTD("tos.rtd",,$A$2,"."&amp;Q$2&amp;Q$1&amp;"C"&amp;$A51))-IF(RTD("tos.rtd",,$A$2,"."&amp;Q$2&amp;Q$1&amp;"P"&amp;$A51)="N/A",0,RTD("tos.rtd",,$A$2,"."&amp;Q$2&amp;Q$1&amp;"P"&amp;$A51))))))))))</f>
        <v>0</v>
      </c>
      <c r="R51" s="16">
        <f ca="1">IF($A$2="PREMIUM_OI",IFERROR(IF($X$1="ABS",(100*RTD("tos.rtd",,"OPEN_INT","."&amp;R$2&amp;R$1&amp;"C"&amp;$A51)*RTD("tos.rtd",,"LAST","."&amp;R$2&amp;R$1&amp;"C"&amp;$A51)+100*RTD("tos.rtd",,"OPEN_INT","."&amp;R$2&amp;R$1&amp;"P"&amp;$A51)*RTD("tos.rtd",,"LAST","."&amp;R$2&amp;R$1&amp;"P"&amp;$A51))/1000000,(100*RTD("tos.rtd",,"OPEN_INT","."&amp;R$2&amp;R$1&amp;"C"&amp;$A51)*RTD("tos.rtd",,"LAST","."&amp;R$2&amp;R$1&amp;"C"&amp;$A51)-100*RTD("tos.rtd",,"OPEN_INT","."&amp;R$2&amp;R$1&amp;"P"&amp;$A51)*RTD("tos.rtd",,"LAST","."&amp;R$2&amp;R$1&amp;"P"&amp;$A51))/1000000),0),IF($A$2="PREMIUM",IFERROR(IF($X$1="ABS",(100*RTD("tos.rtd",,"VOLUME","."&amp;R$2&amp;R$1&amp;"C"&amp;$A51)*RTD("tos.rtd",,"LAST","."&amp;R$2&amp;R$1&amp;"C"&amp;$A51)+100*RTD("tos.rtd",,"VOLUME","."&amp;R$2&amp;R$1&amp;"P"&amp;$A51)*RTD("tos.rtd",,"LAST","."&amp;R$2&amp;R$1&amp;"P"&amp;$A51))/1000000,(100*RTD("tos.rtd",,"VOLUME","."&amp;R$2&amp;R$1&amp;"C"&amp;$A51)*RTD("tos.rtd",,"LAST","."&amp;R$2&amp;R$1&amp;"C"&amp;$A51)-100*RTD("tos.rtd",,"VOLUME","."&amp;R$2&amp;R$1&amp;"P"&amp;$A51)*RTD("tos.rtd",,"LAST","."&amp;R$2&amp;R$1&amp;"P"&amp;$A51))/1000000),0),IF($A$2="DEX",IFERROR(IF($X$1="ABS",(100*RTD("tos.rtd",,"OPEN_INT","."&amp;R$2&amp;R$1&amp;"C"&amp;$A51)*RTD("tos.rtd",,"DELTA","."&amp;R$2&amp;R$1&amp;"C"&amp;$A51)+100*RTD("tos.rtd",,"OPEN_INT","."&amp;R$2&amp;R$1&amp;"P"&amp;$A51)*RTD("tos.rtd",,"DELTA","."&amp;R$2&amp;R$1&amp;"P"&amp;$A51))/1000,(100*RTD("tos.rtd",,"OPEN_INT","."&amp;R$2&amp;R$1&amp;"C"&amp;$A51)*RTD("tos.rtd",,"DELTA","."&amp;R$2&amp;R$1&amp;"C"&amp;$A51)-100*RTD("tos.rtd",,"OPEN_INT","."&amp;R$2&amp;R$1&amp;"P"&amp;$A51)*RTD("tos.rtd",,"DELTA","."&amp;R$2&amp;R$1&amp;"P"&amp;$A51))/1000),0),IF($A$2="VEX",IFERROR(IF($X$1="ABS",($A$4*$A$4*RTD("tos.rtd",,"VOLUME","."&amp;R$2&amp;R$1&amp;"C"&amp;$A51)*RTD("tos.rtd",,"GAMMA","."&amp;R$2&amp;R$1&amp;"C"&amp;$A51)+$A$4*$A$4*RTD("tos.rtd",,"VOLUME","."&amp;R$2&amp;R$1&amp;"P"&amp;$A51)*RTD("tos.rtd",,"GAMMA","."&amp;R$2&amp;R$1&amp;"P"&amp;$A51))/1000000,($A$4*$A$4*RTD("tos.rtd",,"VOLUME","."&amp;R$2&amp;R$1&amp;"C"&amp;$A51)*RTD("tos.rtd",,"GAMMA","."&amp;R$2&amp;R$1&amp;"C"&amp;$A51)-$A$4*$A$4*RTD("tos.rtd",,"VOLUME","."&amp;R$2&amp;R$1&amp;"P"&amp;$A51)*RTD("tos.rtd",,"GAMMA","."&amp;R$2&amp;R$1&amp;"P"&amp;$A51))/1000000),0),IF($A$2="GEX",IFERROR(IF($X$1="ABS",($A$4*$A$4*RTD("tos.rtd",,"OPEN_INT","."&amp;R$2&amp;R$1&amp;"C"&amp;$A51)*RTD("tos.rtd",,"GAMMA","."&amp;R$2&amp;R$1&amp;"C"&amp;$A51)+$A$4*$A$4*RTD("tos.rtd",,"OPEN_INT","."&amp;R$2&amp;R$1&amp;"P"&amp;$A51)*RTD("tos.rtd",,"GAMMA","."&amp;R$2&amp;R$1&amp;"P"&amp;$A51))/1000000,($A$4*$A$4*RTD("tos.rtd",,"OPEN_INT","."&amp;R$2&amp;R$1&amp;"C"&amp;$A51)*RTD("tos.rtd",,"GAMMA","."&amp;R$2&amp;R$1&amp;"C"&amp;$A51)-$A$4*$A$4*RTD("tos.rtd",,"OPEN_INT","."&amp;R$2&amp;R$1&amp;"P"&amp;$A51)*RTD("tos.rtd",,"GAMMA","."&amp;R$2&amp;R$1&amp;"P"&amp;$A51))/1000000),0),IF($A$2="SKEW",IFERROR(VALUE(IF(RTD("tos.rtd",,"IMPL_VOL","."&amp;R$2&amp;R$1&amp;"P"&amp;$A51)="N/A",0,RTD("tos.rtd",,"IMPL_VOL","."&amp;R$2&amp;R$1&amp;"P"&amp;$A51))),0)-IFERROR(VALUE(IF(RTD("tos.rtd",,"IMPL_VOL","."&amp;R$2&amp;R$1&amp;"C"&amp;$A51)="N/A",0,RTD("tos.rtd",,"IMPL_VOL","."&amp;R$2&amp;R$1&amp;"C"&amp;$A51))),0),IF($A$2="MAXPAIN",IF($A$4&gt;$A51,($A$4-$A51)*IF(RTD("tos.rtd",,"OPEN_INT","."&amp;R$2&amp;R$1&amp;"C"&amp;$A51)="N/A",0,RTD("tos.rtd",,"OPEN_INT","."&amp;R$2&amp;R$1&amp;"C"&amp;$A51)),0)+IF($A$4&lt;$A51,($A$5-$A$4)*IF(RTD("tos.rtd",,"OPEN_INT","."&amp;R$2&amp;R$1&amp;"P"&amp;$A51)="N/A",0,RTD("tos.rtd",,"OPEN_INT","."&amp;R$2&amp;R$1&amp;"P"&amp;$A51)),0),IF($X$1="ABS",IF(RTD("tos.rtd",,$A$2,"."&amp;R$2&amp;R$1&amp;"C"&amp;$A51)="N/A",0,RTD("tos.rtd",,$A$2,"."&amp;R$2&amp;R$1&amp;"C"&amp;$A51))+IF(RTD("tos.rtd",,$A$2,"."&amp;R$2&amp;R$1&amp;"P"&amp;$A51)="N/A",0,RTD("tos.rtd",,$A$2,"."&amp;R$2&amp;R$1&amp;"P"&amp;$A51)),IF(RTD("tos.rtd",,$A$2,"."&amp;R$2&amp;R$1&amp;"C"&amp;$A51)="N/A",0,RTD("tos.rtd",,$A$2,"."&amp;R$2&amp;R$1&amp;"C"&amp;$A51))-IF(RTD("tos.rtd",,$A$2,"."&amp;R$2&amp;R$1&amp;"P"&amp;$A51)="N/A",0,RTD("tos.rtd",,$A$2,"."&amp;R$2&amp;R$1&amp;"P"&amp;$A51))))))))))</f>
        <v>0</v>
      </c>
      <c r="S51" s="16">
        <f ca="1">IF($A$2="PREMIUM_OI",IFERROR(IF($X$1="ABS",(100*RTD("tos.rtd",,"OPEN_INT","."&amp;S$2&amp;S$1&amp;"C"&amp;$A51)*RTD("tos.rtd",,"LAST","."&amp;S$2&amp;S$1&amp;"C"&amp;$A51)+100*RTD("tos.rtd",,"OPEN_INT","."&amp;S$2&amp;S$1&amp;"P"&amp;$A51)*RTD("tos.rtd",,"LAST","."&amp;S$2&amp;S$1&amp;"P"&amp;$A51))/1000000,(100*RTD("tos.rtd",,"OPEN_INT","."&amp;S$2&amp;S$1&amp;"C"&amp;$A51)*RTD("tos.rtd",,"LAST","."&amp;S$2&amp;S$1&amp;"C"&amp;$A51)-100*RTD("tos.rtd",,"OPEN_INT","."&amp;S$2&amp;S$1&amp;"P"&amp;$A51)*RTD("tos.rtd",,"LAST","."&amp;S$2&amp;S$1&amp;"P"&amp;$A51))/1000000),0),IF($A$2="PREMIUM",IFERROR(IF($X$1="ABS",(100*RTD("tos.rtd",,"VOLUME","."&amp;S$2&amp;S$1&amp;"C"&amp;$A51)*RTD("tos.rtd",,"LAST","."&amp;S$2&amp;S$1&amp;"C"&amp;$A51)+100*RTD("tos.rtd",,"VOLUME","."&amp;S$2&amp;S$1&amp;"P"&amp;$A51)*RTD("tos.rtd",,"LAST","."&amp;S$2&amp;S$1&amp;"P"&amp;$A51))/1000000,(100*RTD("tos.rtd",,"VOLUME","."&amp;S$2&amp;S$1&amp;"C"&amp;$A51)*RTD("tos.rtd",,"LAST","."&amp;S$2&amp;S$1&amp;"C"&amp;$A51)-100*RTD("tos.rtd",,"VOLUME","."&amp;S$2&amp;S$1&amp;"P"&amp;$A51)*RTD("tos.rtd",,"LAST","."&amp;S$2&amp;S$1&amp;"P"&amp;$A51))/1000000),0),IF($A$2="DEX",IFERROR(IF($X$1="ABS",(100*RTD("tos.rtd",,"OPEN_INT","."&amp;S$2&amp;S$1&amp;"C"&amp;$A51)*RTD("tos.rtd",,"DELTA","."&amp;S$2&amp;S$1&amp;"C"&amp;$A51)+100*RTD("tos.rtd",,"OPEN_INT","."&amp;S$2&amp;S$1&amp;"P"&amp;$A51)*RTD("tos.rtd",,"DELTA","."&amp;S$2&amp;S$1&amp;"P"&amp;$A51))/1000,(100*RTD("tos.rtd",,"OPEN_INT","."&amp;S$2&amp;S$1&amp;"C"&amp;$A51)*RTD("tos.rtd",,"DELTA","."&amp;S$2&amp;S$1&amp;"C"&amp;$A51)-100*RTD("tos.rtd",,"OPEN_INT","."&amp;S$2&amp;S$1&amp;"P"&amp;$A51)*RTD("tos.rtd",,"DELTA","."&amp;S$2&amp;S$1&amp;"P"&amp;$A51))/1000),0),IF($A$2="VEX",IFERROR(IF($X$1="ABS",($A$4*$A$4*RTD("tos.rtd",,"VOLUME","."&amp;S$2&amp;S$1&amp;"C"&amp;$A51)*RTD("tos.rtd",,"GAMMA","."&amp;S$2&amp;S$1&amp;"C"&amp;$A51)+$A$4*$A$4*RTD("tos.rtd",,"VOLUME","."&amp;S$2&amp;S$1&amp;"P"&amp;$A51)*RTD("tos.rtd",,"GAMMA","."&amp;S$2&amp;S$1&amp;"P"&amp;$A51))/1000000,($A$4*$A$4*RTD("tos.rtd",,"VOLUME","."&amp;S$2&amp;S$1&amp;"C"&amp;$A51)*RTD("tos.rtd",,"GAMMA","."&amp;S$2&amp;S$1&amp;"C"&amp;$A51)-$A$4*$A$4*RTD("tos.rtd",,"VOLUME","."&amp;S$2&amp;S$1&amp;"P"&amp;$A51)*RTD("tos.rtd",,"GAMMA","."&amp;S$2&amp;S$1&amp;"P"&amp;$A51))/1000000),0),IF($A$2="GEX",IFERROR(IF($X$1="ABS",($A$4*$A$4*RTD("tos.rtd",,"OPEN_INT","."&amp;S$2&amp;S$1&amp;"C"&amp;$A51)*RTD("tos.rtd",,"GAMMA","."&amp;S$2&amp;S$1&amp;"C"&amp;$A51)+$A$4*$A$4*RTD("tos.rtd",,"OPEN_INT","."&amp;S$2&amp;S$1&amp;"P"&amp;$A51)*RTD("tos.rtd",,"GAMMA","."&amp;S$2&amp;S$1&amp;"P"&amp;$A51))/1000000,($A$4*$A$4*RTD("tos.rtd",,"OPEN_INT","."&amp;S$2&amp;S$1&amp;"C"&amp;$A51)*RTD("tos.rtd",,"GAMMA","."&amp;S$2&amp;S$1&amp;"C"&amp;$A51)-$A$4*$A$4*RTD("tos.rtd",,"OPEN_INT","."&amp;S$2&amp;S$1&amp;"P"&amp;$A51)*RTD("tos.rtd",,"GAMMA","."&amp;S$2&amp;S$1&amp;"P"&amp;$A51))/1000000),0),IF($A$2="SKEW",IFERROR(VALUE(IF(RTD("tos.rtd",,"IMPL_VOL","."&amp;S$2&amp;S$1&amp;"P"&amp;$A51)="N/A",0,RTD("tos.rtd",,"IMPL_VOL","."&amp;S$2&amp;S$1&amp;"P"&amp;$A51))),0)-IFERROR(VALUE(IF(RTD("tos.rtd",,"IMPL_VOL","."&amp;S$2&amp;S$1&amp;"C"&amp;$A51)="N/A",0,RTD("tos.rtd",,"IMPL_VOL","."&amp;S$2&amp;S$1&amp;"C"&amp;$A51))),0),IF($A$2="MAXPAIN",IF($A$4&gt;$A51,($A$4-$A51)*IF(RTD("tos.rtd",,"OPEN_INT","."&amp;S$2&amp;S$1&amp;"C"&amp;$A51)="N/A",0,RTD("tos.rtd",,"OPEN_INT","."&amp;S$2&amp;S$1&amp;"C"&amp;$A51)),0)+IF($A$4&lt;$A51,($A$5-$A$4)*IF(RTD("tos.rtd",,"OPEN_INT","."&amp;S$2&amp;S$1&amp;"P"&amp;$A51)="N/A",0,RTD("tos.rtd",,"OPEN_INT","."&amp;S$2&amp;S$1&amp;"P"&amp;$A51)),0),IF($X$1="ABS",IF(RTD("tos.rtd",,$A$2,"."&amp;S$2&amp;S$1&amp;"C"&amp;$A51)="N/A",0,RTD("tos.rtd",,$A$2,"."&amp;S$2&amp;S$1&amp;"C"&amp;$A51))+IF(RTD("tos.rtd",,$A$2,"."&amp;S$2&amp;S$1&amp;"P"&amp;$A51)="N/A",0,RTD("tos.rtd",,$A$2,"."&amp;S$2&amp;S$1&amp;"P"&amp;$A51)),IF(RTD("tos.rtd",,$A$2,"."&amp;S$2&amp;S$1&amp;"C"&amp;$A51)="N/A",0,RTD("tos.rtd",,$A$2,"."&amp;S$2&amp;S$1&amp;"C"&amp;$A51))-IF(RTD("tos.rtd",,$A$2,"."&amp;S$2&amp;S$1&amp;"P"&amp;$A51)="N/A",0,RTD("tos.rtd",,$A$2,"."&amp;S$2&amp;S$1&amp;"P"&amp;$A51))))))))))</f>
        <v>0</v>
      </c>
      <c r="T51" s="16">
        <f ca="1">IF($A$2="PREMIUM_OI",IFERROR(IF($X$1="ABS",(100*RTD("tos.rtd",,"OPEN_INT","."&amp;T$2&amp;T$1&amp;"C"&amp;$A51)*RTD("tos.rtd",,"LAST","."&amp;T$2&amp;T$1&amp;"C"&amp;$A51)+100*RTD("tos.rtd",,"OPEN_INT","."&amp;T$2&amp;T$1&amp;"P"&amp;$A51)*RTD("tos.rtd",,"LAST","."&amp;T$2&amp;T$1&amp;"P"&amp;$A51))/1000000,(100*RTD("tos.rtd",,"OPEN_INT","."&amp;T$2&amp;T$1&amp;"C"&amp;$A51)*RTD("tos.rtd",,"LAST","."&amp;T$2&amp;T$1&amp;"C"&amp;$A51)-100*RTD("tos.rtd",,"OPEN_INT","."&amp;T$2&amp;T$1&amp;"P"&amp;$A51)*RTD("tos.rtd",,"LAST","."&amp;T$2&amp;T$1&amp;"P"&amp;$A51))/1000000),0),IF($A$2="PREMIUM",IFERROR(IF($X$1="ABS",(100*RTD("tos.rtd",,"VOLUME","."&amp;T$2&amp;T$1&amp;"C"&amp;$A51)*RTD("tos.rtd",,"LAST","."&amp;T$2&amp;T$1&amp;"C"&amp;$A51)+100*RTD("tos.rtd",,"VOLUME","."&amp;T$2&amp;T$1&amp;"P"&amp;$A51)*RTD("tos.rtd",,"LAST","."&amp;T$2&amp;T$1&amp;"P"&amp;$A51))/1000000,(100*RTD("tos.rtd",,"VOLUME","."&amp;T$2&amp;T$1&amp;"C"&amp;$A51)*RTD("tos.rtd",,"LAST","."&amp;T$2&amp;T$1&amp;"C"&amp;$A51)-100*RTD("tos.rtd",,"VOLUME","."&amp;T$2&amp;T$1&amp;"P"&amp;$A51)*RTD("tos.rtd",,"LAST","."&amp;T$2&amp;T$1&amp;"P"&amp;$A51))/1000000),0),IF($A$2="DEX",IFERROR(IF($X$1="ABS",(100*RTD("tos.rtd",,"OPEN_INT","."&amp;T$2&amp;T$1&amp;"C"&amp;$A51)*RTD("tos.rtd",,"DELTA","."&amp;T$2&amp;T$1&amp;"C"&amp;$A51)+100*RTD("tos.rtd",,"OPEN_INT","."&amp;T$2&amp;T$1&amp;"P"&amp;$A51)*RTD("tos.rtd",,"DELTA","."&amp;T$2&amp;T$1&amp;"P"&amp;$A51))/1000,(100*RTD("tos.rtd",,"OPEN_INT","."&amp;T$2&amp;T$1&amp;"C"&amp;$A51)*RTD("tos.rtd",,"DELTA","."&amp;T$2&amp;T$1&amp;"C"&amp;$A51)-100*RTD("tos.rtd",,"OPEN_INT","."&amp;T$2&amp;T$1&amp;"P"&amp;$A51)*RTD("tos.rtd",,"DELTA","."&amp;T$2&amp;T$1&amp;"P"&amp;$A51))/1000),0),IF($A$2="VEX",IFERROR(IF($X$1="ABS",($A$4*$A$4*RTD("tos.rtd",,"VOLUME","."&amp;T$2&amp;T$1&amp;"C"&amp;$A51)*RTD("tos.rtd",,"GAMMA","."&amp;T$2&amp;T$1&amp;"C"&amp;$A51)+$A$4*$A$4*RTD("tos.rtd",,"VOLUME","."&amp;T$2&amp;T$1&amp;"P"&amp;$A51)*RTD("tos.rtd",,"GAMMA","."&amp;T$2&amp;T$1&amp;"P"&amp;$A51))/1000000,($A$4*$A$4*RTD("tos.rtd",,"VOLUME","."&amp;T$2&amp;T$1&amp;"C"&amp;$A51)*RTD("tos.rtd",,"GAMMA","."&amp;T$2&amp;T$1&amp;"C"&amp;$A51)-$A$4*$A$4*RTD("tos.rtd",,"VOLUME","."&amp;T$2&amp;T$1&amp;"P"&amp;$A51)*RTD("tos.rtd",,"GAMMA","."&amp;T$2&amp;T$1&amp;"P"&amp;$A51))/1000000),0),IF($A$2="GEX",IFERROR(IF($X$1="ABS",($A$4*$A$4*RTD("tos.rtd",,"OPEN_INT","."&amp;T$2&amp;T$1&amp;"C"&amp;$A51)*RTD("tos.rtd",,"GAMMA","."&amp;T$2&amp;T$1&amp;"C"&amp;$A51)+$A$4*$A$4*RTD("tos.rtd",,"OPEN_INT","."&amp;T$2&amp;T$1&amp;"P"&amp;$A51)*RTD("tos.rtd",,"GAMMA","."&amp;T$2&amp;T$1&amp;"P"&amp;$A51))/1000000,($A$4*$A$4*RTD("tos.rtd",,"OPEN_INT","."&amp;T$2&amp;T$1&amp;"C"&amp;$A51)*RTD("tos.rtd",,"GAMMA","."&amp;T$2&amp;T$1&amp;"C"&amp;$A51)-$A$4*$A$4*RTD("tos.rtd",,"OPEN_INT","."&amp;T$2&amp;T$1&amp;"P"&amp;$A51)*RTD("tos.rtd",,"GAMMA","."&amp;T$2&amp;T$1&amp;"P"&amp;$A51))/1000000),0),IF($A$2="SKEW",IFERROR(VALUE(IF(RTD("tos.rtd",,"IMPL_VOL","."&amp;T$2&amp;T$1&amp;"P"&amp;$A51)="N/A",0,RTD("tos.rtd",,"IMPL_VOL","."&amp;T$2&amp;T$1&amp;"P"&amp;$A51))),0)-IFERROR(VALUE(IF(RTD("tos.rtd",,"IMPL_VOL","."&amp;T$2&amp;T$1&amp;"C"&amp;$A51)="N/A",0,RTD("tos.rtd",,"IMPL_VOL","."&amp;T$2&amp;T$1&amp;"C"&amp;$A51))),0),IF($A$2="MAXPAIN",IF($A$4&gt;$A51,($A$4-$A51)*IF(RTD("tos.rtd",,"OPEN_INT","."&amp;T$2&amp;T$1&amp;"C"&amp;$A51)="N/A",0,RTD("tos.rtd",,"OPEN_INT","."&amp;T$2&amp;T$1&amp;"C"&amp;$A51)),0)+IF($A$4&lt;$A51,($A$5-$A$4)*IF(RTD("tos.rtd",,"OPEN_INT","."&amp;T$2&amp;T$1&amp;"P"&amp;$A51)="N/A",0,RTD("tos.rtd",,"OPEN_INT","."&amp;T$2&amp;T$1&amp;"P"&amp;$A51)),0),IF($X$1="ABS",IF(RTD("tos.rtd",,$A$2,"."&amp;T$2&amp;T$1&amp;"C"&amp;$A51)="N/A",0,RTD("tos.rtd",,$A$2,"."&amp;T$2&amp;T$1&amp;"C"&amp;$A51))+IF(RTD("tos.rtd",,$A$2,"."&amp;T$2&amp;T$1&amp;"P"&amp;$A51)="N/A",0,RTD("tos.rtd",,$A$2,"."&amp;T$2&amp;T$1&amp;"P"&amp;$A51)),IF(RTD("tos.rtd",,$A$2,"."&amp;T$2&amp;T$1&amp;"C"&amp;$A51)="N/A",0,RTD("tos.rtd",,$A$2,"."&amp;T$2&amp;T$1&amp;"C"&amp;$A51))-IF(RTD("tos.rtd",,$A$2,"."&amp;T$2&amp;T$1&amp;"P"&amp;$A51)="N/A",0,RTD("tos.rtd",,$A$2,"."&amp;T$2&amp;T$1&amp;"P"&amp;$A51))))))))))</f>
        <v>0</v>
      </c>
      <c r="U51" s="16">
        <f ca="1">IF($A$2="PREMIUM_OI",IFERROR(IF($X$1="ABS",(100*RTD("tos.rtd",,"OPEN_INT","."&amp;U$2&amp;U$1&amp;"C"&amp;$A51)*RTD("tos.rtd",,"LAST","."&amp;U$2&amp;U$1&amp;"C"&amp;$A51)+100*RTD("tos.rtd",,"OPEN_INT","."&amp;U$2&amp;U$1&amp;"P"&amp;$A51)*RTD("tos.rtd",,"LAST","."&amp;U$2&amp;U$1&amp;"P"&amp;$A51))/1000000,(100*RTD("tos.rtd",,"OPEN_INT","."&amp;U$2&amp;U$1&amp;"C"&amp;$A51)*RTD("tos.rtd",,"LAST","."&amp;U$2&amp;U$1&amp;"C"&amp;$A51)-100*RTD("tos.rtd",,"OPEN_INT","."&amp;U$2&amp;U$1&amp;"P"&amp;$A51)*RTD("tos.rtd",,"LAST","."&amp;U$2&amp;U$1&amp;"P"&amp;$A51))/1000000),0),IF($A$2="PREMIUM",IFERROR(IF($X$1="ABS",(100*RTD("tos.rtd",,"VOLUME","."&amp;U$2&amp;U$1&amp;"C"&amp;$A51)*RTD("tos.rtd",,"LAST","."&amp;U$2&amp;U$1&amp;"C"&amp;$A51)+100*RTD("tos.rtd",,"VOLUME","."&amp;U$2&amp;U$1&amp;"P"&amp;$A51)*RTD("tos.rtd",,"LAST","."&amp;U$2&amp;U$1&amp;"P"&amp;$A51))/1000000,(100*RTD("tos.rtd",,"VOLUME","."&amp;U$2&amp;U$1&amp;"C"&amp;$A51)*RTD("tos.rtd",,"LAST","."&amp;U$2&amp;U$1&amp;"C"&amp;$A51)-100*RTD("tos.rtd",,"VOLUME","."&amp;U$2&amp;U$1&amp;"P"&amp;$A51)*RTD("tos.rtd",,"LAST","."&amp;U$2&amp;U$1&amp;"P"&amp;$A51))/1000000),0),IF($A$2="DEX",IFERROR(IF($X$1="ABS",(100*RTD("tos.rtd",,"OPEN_INT","."&amp;U$2&amp;U$1&amp;"C"&amp;$A51)*RTD("tos.rtd",,"DELTA","."&amp;U$2&amp;U$1&amp;"C"&amp;$A51)+100*RTD("tos.rtd",,"OPEN_INT","."&amp;U$2&amp;U$1&amp;"P"&amp;$A51)*RTD("tos.rtd",,"DELTA","."&amp;U$2&amp;U$1&amp;"P"&amp;$A51))/1000,(100*RTD("tos.rtd",,"OPEN_INT","."&amp;U$2&amp;U$1&amp;"C"&amp;$A51)*RTD("tos.rtd",,"DELTA","."&amp;U$2&amp;U$1&amp;"C"&amp;$A51)-100*RTD("tos.rtd",,"OPEN_INT","."&amp;U$2&amp;U$1&amp;"P"&amp;$A51)*RTD("tos.rtd",,"DELTA","."&amp;U$2&amp;U$1&amp;"P"&amp;$A51))/1000),0),IF($A$2="VEX",IFERROR(IF($X$1="ABS",($A$4*$A$4*RTD("tos.rtd",,"VOLUME","."&amp;U$2&amp;U$1&amp;"C"&amp;$A51)*RTD("tos.rtd",,"GAMMA","."&amp;U$2&amp;U$1&amp;"C"&amp;$A51)+$A$4*$A$4*RTD("tos.rtd",,"VOLUME","."&amp;U$2&amp;U$1&amp;"P"&amp;$A51)*RTD("tos.rtd",,"GAMMA","."&amp;U$2&amp;U$1&amp;"P"&amp;$A51))/1000000,($A$4*$A$4*RTD("tos.rtd",,"VOLUME","."&amp;U$2&amp;U$1&amp;"C"&amp;$A51)*RTD("tos.rtd",,"GAMMA","."&amp;U$2&amp;U$1&amp;"C"&amp;$A51)-$A$4*$A$4*RTD("tos.rtd",,"VOLUME","."&amp;U$2&amp;U$1&amp;"P"&amp;$A51)*RTD("tos.rtd",,"GAMMA","."&amp;U$2&amp;U$1&amp;"P"&amp;$A51))/1000000),0),IF($A$2="GEX",IFERROR(IF($X$1="ABS",($A$4*$A$4*RTD("tos.rtd",,"OPEN_INT","."&amp;U$2&amp;U$1&amp;"C"&amp;$A51)*RTD("tos.rtd",,"GAMMA","."&amp;U$2&amp;U$1&amp;"C"&amp;$A51)+$A$4*$A$4*RTD("tos.rtd",,"OPEN_INT","."&amp;U$2&amp;U$1&amp;"P"&amp;$A51)*RTD("tos.rtd",,"GAMMA","."&amp;U$2&amp;U$1&amp;"P"&amp;$A51))/1000000,($A$4*$A$4*RTD("tos.rtd",,"OPEN_INT","."&amp;U$2&amp;U$1&amp;"C"&amp;$A51)*RTD("tos.rtd",,"GAMMA","."&amp;U$2&amp;U$1&amp;"C"&amp;$A51)-$A$4*$A$4*RTD("tos.rtd",,"OPEN_INT","."&amp;U$2&amp;U$1&amp;"P"&amp;$A51)*RTD("tos.rtd",,"GAMMA","."&amp;U$2&amp;U$1&amp;"P"&amp;$A51))/1000000),0),IF($A$2="SKEW",IFERROR(VALUE(IF(RTD("tos.rtd",,"IMPL_VOL","."&amp;U$2&amp;U$1&amp;"P"&amp;$A51)="N/A",0,RTD("tos.rtd",,"IMPL_VOL","."&amp;U$2&amp;U$1&amp;"P"&amp;$A51))),0)-IFERROR(VALUE(IF(RTD("tos.rtd",,"IMPL_VOL","."&amp;U$2&amp;U$1&amp;"C"&amp;$A51)="N/A",0,RTD("tos.rtd",,"IMPL_VOL","."&amp;U$2&amp;U$1&amp;"C"&amp;$A51))),0),IF($A$2="MAXPAIN",IF($A$4&gt;$A51,($A$4-$A51)*IF(RTD("tos.rtd",,"OPEN_INT","."&amp;U$2&amp;U$1&amp;"C"&amp;$A51)="N/A",0,RTD("tos.rtd",,"OPEN_INT","."&amp;U$2&amp;U$1&amp;"C"&amp;$A51)),0)+IF($A$4&lt;$A51,($A$5-$A$4)*IF(RTD("tos.rtd",,"OPEN_INT","."&amp;U$2&amp;U$1&amp;"P"&amp;$A51)="N/A",0,RTD("tos.rtd",,"OPEN_INT","."&amp;U$2&amp;U$1&amp;"P"&amp;$A51)),0),IF($X$1="ABS",IF(RTD("tos.rtd",,$A$2,"."&amp;U$2&amp;U$1&amp;"C"&amp;$A51)="N/A",0,RTD("tos.rtd",,$A$2,"."&amp;U$2&amp;U$1&amp;"C"&amp;$A51))+IF(RTD("tos.rtd",,$A$2,"."&amp;U$2&amp;U$1&amp;"P"&amp;$A51)="N/A",0,RTD("tos.rtd",,$A$2,"."&amp;U$2&amp;U$1&amp;"P"&amp;$A51)),IF(RTD("tos.rtd",,$A$2,"."&amp;U$2&amp;U$1&amp;"C"&amp;$A51)="N/A",0,RTD("tos.rtd",,$A$2,"."&amp;U$2&amp;U$1&amp;"C"&amp;$A51))-IF(RTD("tos.rtd",,$A$2,"."&amp;U$2&amp;U$1&amp;"P"&amp;$A51)="N/A",0,RTD("tos.rtd",,$A$2,"."&amp;U$2&amp;U$1&amp;"P"&amp;$A51))))))))))</f>
        <v>0</v>
      </c>
      <c r="V51" s="16">
        <f ca="1">IF($A$2="PREMIUM_OI",IFERROR(IF($X$1="ABS",(100*RTD("tos.rtd",,"OPEN_INT","."&amp;V$2&amp;V$1&amp;"C"&amp;$A51)*RTD("tos.rtd",,"LAST","."&amp;V$2&amp;V$1&amp;"C"&amp;$A51)+100*RTD("tos.rtd",,"OPEN_INT","."&amp;V$2&amp;V$1&amp;"P"&amp;$A51)*RTD("tos.rtd",,"LAST","."&amp;V$2&amp;V$1&amp;"P"&amp;$A51))/1000000,(100*RTD("tos.rtd",,"OPEN_INT","."&amp;V$2&amp;V$1&amp;"C"&amp;$A51)*RTD("tos.rtd",,"LAST","."&amp;V$2&amp;V$1&amp;"C"&amp;$A51)-100*RTD("tos.rtd",,"OPEN_INT","."&amp;V$2&amp;V$1&amp;"P"&amp;$A51)*RTD("tos.rtd",,"LAST","."&amp;V$2&amp;V$1&amp;"P"&amp;$A51))/1000000),0),IF($A$2="PREMIUM",IFERROR(IF($X$1="ABS",(100*RTD("tos.rtd",,"VOLUME","."&amp;V$2&amp;V$1&amp;"C"&amp;$A51)*RTD("tos.rtd",,"LAST","."&amp;V$2&amp;V$1&amp;"C"&amp;$A51)+100*RTD("tos.rtd",,"VOLUME","."&amp;V$2&amp;V$1&amp;"P"&amp;$A51)*RTD("tos.rtd",,"LAST","."&amp;V$2&amp;V$1&amp;"P"&amp;$A51))/1000000,(100*RTD("tos.rtd",,"VOLUME","."&amp;V$2&amp;V$1&amp;"C"&amp;$A51)*RTD("tos.rtd",,"LAST","."&amp;V$2&amp;V$1&amp;"C"&amp;$A51)-100*RTD("tos.rtd",,"VOLUME","."&amp;V$2&amp;V$1&amp;"P"&amp;$A51)*RTD("tos.rtd",,"LAST","."&amp;V$2&amp;V$1&amp;"P"&amp;$A51))/1000000),0),IF($A$2="DEX",IFERROR(IF($X$1="ABS",(100*RTD("tos.rtd",,"OPEN_INT","."&amp;V$2&amp;V$1&amp;"C"&amp;$A51)*RTD("tos.rtd",,"DELTA","."&amp;V$2&amp;V$1&amp;"C"&amp;$A51)+100*RTD("tos.rtd",,"OPEN_INT","."&amp;V$2&amp;V$1&amp;"P"&amp;$A51)*RTD("tos.rtd",,"DELTA","."&amp;V$2&amp;V$1&amp;"P"&amp;$A51))/1000,(100*RTD("tos.rtd",,"OPEN_INT","."&amp;V$2&amp;V$1&amp;"C"&amp;$A51)*RTD("tos.rtd",,"DELTA","."&amp;V$2&amp;V$1&amp;"C"&amp;$A51)-100*RTD("tos.rtd",,"OPEN_INT","."&amp;V$2&amp;V$1&amp;"P"&amp;$A51)*RTD("tos.rtd",,"DELTA","."&amp;V$2&amp;V$1&amp;"P"&amp;$A51))/1000),0),IF($A$2="VEX",IFERROR(IF($X$1="ABS",($A$4*$A$4*RTD("tos.rtd",,"VOLUME","."&amp;V$2&amp;V$1&amp;"C"&amp;$A51)*RTD("tos.rtd",,"GAMMA","."&amp;V$2&amp;V$1&amp;"C"&amp;$A51)+$A$4*$A$4*RTD("tos.rtd",,"VOLUME","."&amp;V$2&amp;V$1&amp;"P"&amp;$A51)*RTD("tos.rtd",,"GAMMA","."&amp;V$2&amp;V$1&amp;"P"&amp;$A51))/1000000,($A$4*$A$4*RTD("tos.rtd",,"VOLUME","."&amp;V$2&amp;V$1&amp;"C"&amp;$A51)*RTD("tos.rtd",,"GAMMA","."&amp;V$2&amp;V$1&amp;"C"&amp;$A51)-$A$4*$A$4*RTD("tos.rtd",,"VOLUME","."&amp;V$2&amp;V$1&amp;"P"&amp;$A51)*RTD("tos.rtd",,"GAMMA","."&amp;V$2&amp;V$1&amp;"P"&amp;$A51))/1000000),0),IF($A$2="GEX",IFERROR(IF($X$1="ABS",($A$4*$A$4*RTD("tos.rtd",,"OPEN_INT","."&amp;V$2&amp;V$1&amp;"C"&amp;$A51)*RTD("tos.rtd",,"GAMMA","."&amp;V$2&amp;V$1&amp;"C"&amp;$A51)+$A$4*$A$4*RTD("tos.rtd",,"OPEN_INT","."&amp;V$2&amp;V$1&amp;"P"&amp;$A51)*RTD("tos.rtd",,"GAMMA","."&amp;V$2&amp;V$1&amp;"P"&amp;$A51))/1000000,($A$4*$A$4*RTD("tos.rtd",,"OPEN_INT","."&amp;V$2&amp;V$1&amp;"C"&amp;$A51)*RTD("tos.rtd",,"GAMMA","."&amp;V$2&amp;V$1&amp;"C"&amp;$A51)-$A$4*$A$4*RTD("tos.rtd",,"OPEN_INT","."&amp;V$2&amp;V$1&amp;"P"&amp;$A51)*RTD("tos.rtd",,"GAMMA","."&amp;V$2&amp;V$1&amp;"P"&amp;$A51))/1000000),0),IF($A$2="SKEW",IFERROR(VALUE(IF(RTD("tos.rtd",,"IMPL_VOL","."&amp;V$2&amp;V$1&amp;"P"&amp;$A51)="N/A",0,RTD("tos.rtd",,"IMPL_VOL","."&amp;V$2&amp;V$1&amp;"P"&amp;$A51))),0)-IFERROR(VALUE(IF(RTD("tos.rtd",,"IMPL_VOL","."&amp;V$2&amp;V$1&amp;"C"&amp;$A51)="N/A",0,RTD("tos.rtd",,"IMPL_VOL","."&amp;V$2&amp;V$1&amp;"C"&amp;$A51))),0),IF($A$2="MAXPAIN",IF($A$4&gt;$A51,($A$4-$A51)*IF(RTD("tos.rtd",,"OPEN_INT","."&amp;V$2&amp;V$1&amp;"C"&amp;$A51)="N/A",0,RTD("tos.rtd",,"OPEN_INT","."&amp;V$2&amp;V$1&amp;"C"&amp;$A51)),0)+IF($A$4&lt;$A51,($A$5-$A$4)*IF(RTD("tos.rtd",,"OPEN_INT","."&amp;V$2&amp;V$1&amp;"P"&amp;$A51)="N/A",0,RTD("tos.rtd",,"OPEN_INT","."&amp;V$2&amp;V$1&amp;"P"&amp;$A51)),0),IF($X$1="ABS",IF(RTD("tos.rtd",,$A$2,"."&amp;V$2&amp;V$1&amp;"C"&amp;$A51)="N/A",0,RTD("tos.rtd",,$A$2,"."&amp;V$2&amp;V$1&amp;"C"&amp;$A51))+IF(RTD("tos.rtd",,$A$2,"."&amp;V$2&amp;V$1&amp;"P"&amp;$A51)="N/A",0,RTD("tos.rtd",,$A$2,"."&amp;V$2&amp;V$1&amp;"P"&amp;$A51)),IF(RTD("tos.rtd",,$A$2,"."&amp;V$2&amp;V$1&amp;"C"&amp;$A51)="N/A",0,RTD("tos.rtd",,$A$2,"."&amp;V$2&amp;V$1&amp;"C"&amp;$A51))-IF(RTD("tos.rtd",,$A$2,"."&amp;V$2&amp;V$1&amp;"P"&amp;$A51)="N/A",0,RTD("tos.rtd",,$A$2,"."&amp;V$2&amp;V$1&amp;"P"&amp;$A51))))))))))</f>
        <v>0</v>
      </c>
      <c r="W51" s="55">
        <f ca="1">IF($A$2="PREMIUM_OI",IFERROR(IF($X$1="ABS",(100*RTD("tos.rtd",,"OPEN_INT","."&amp;W$2&amp;W$1&amp;"C"&amp;$A51)*RTD("tos.rtd",,"LAST","."&amp;W$2&amp;W$1&amp;"C"&amp;$A51)+100*RTD("tos.rtd",,"OPEN_INT","."&amp;W$2&amp;W$1&amp;"P"&amp;$A51)*RTD("tos.rtd",,"LAST","."&amp;W$2&amp;W$1&amp;"P"&amp;$A51))/1000000,(100*RTD("tos.rtd",,"OPEN_INT","."&amp;W$2&amp;W$1&amp;"C"&amp;$A51)*RTD("tos.rtd",,"LAST","."&amp;W$2&amp;W$1&amp;"C"&amp;$A51)-100*RTD("tos.rtd",,"OPEN_INT","."&amp;W$2&amp;W$1&amp;"P"&amp;$A51)*RTD("tos.rtd",,"LAST","."&amp;W$2&amp;W$1&amp;"P"&amp;$A51))/1000000),0),IF($A$2="PREMIUM",IFERROR(IF($X$1="ABS",(100*RTD("tos.rtd",,"VOLUME","."&amp;W$2&amp;W$1&amp;"C"&amp;$A51)*RTD("tos.rtd",,"LAST","."&amp;W$2&amp;W$1&amp;"C"&amp;$A51)+100*RTD("tos.rtd",,"VOLUME","."&amp;W$2&amp;W$1&amp;"P"&amp;$A51)*RTD("tos.rtd",,"LAST","."&amp;W$2&amp;W$1&amp;"P"&amp;$A51))/1000000,(100*RTD("tos.rtd",,"VOLUME","."&amp;W$2&amp;W$1&amp;"C"&amp;$A51)*RTD("tos.rtd",,"LAST","."&amp;W$2&amp;W$1&amp;"C"&amp;$A51)-100*RTD("tos.rtd",,"VOLUME","."&amp;W$2&amp;W$1&amp;"P"&amp;$A51)*RTD("tos.rtd",,"LAST","."&amp;W$2&amp;W$1&amp;"P"&amp;$A51))/1000000),0),IF($A$2="DEX",IFERROR(IF($X$1="ABS",(100*RTD("tos.rtd",,"OPEN_INT","."&amp;W$2&amp;W$1&amp;"C"&amp;$A51)*RTD("tos.rtd",,"DELTA","."&amp;W$2&amp;W$1&amp;"C"&amp;$A51)+100*RTD("tos.rtd",,"OPEN_INT","."&amp;W$2&amp;W$1&amp;"P"&amp;$A51)*RTD("tos.rtd",,"DELTA","."&amp;W$2&amp;W$1&amp;"P"&amp;$A51))/1000,(100*RTD("tos.rtd",,"OPEN_INT","."&amp;W$2&amp;W$1&amp;"C"&amp;$A51)*RTD("tos.rtd",,"DELTA","."&amp;W$2&amp;W$1&amp;"C"&amp;$A51)-100*RTD("tos.rtd",,"OPEN_INT","."&amp;W$2&amp;W$1&amp;"P"&amp;$A51)*RTD("tos.rtd",,"DELTA","."&amp;W$2&amp;W$1&amp;"P"&amp;$A51))/1000),0),IF($A$2="VEX",IFERROR(IF($X$1="ABS",($A$4*$A$4*RTD("tos.rtd",,"VOLUME","."&amp;W$2&amp;W$1&amp;"C"&amp;$A51)*RTD("tos.rtd",,"GAMMA","."&amp;W$2&amp;W$1&amp;"C"&amp;$A51)+$A$4*$A$4*RTD("tos.rtd",,"VOLUME","."&amp;W$2&amp;W$1&amp;"P"&amp;$A51)*RTD("tos.rtd",,"GAMMA","."&amp;W$2&amp;W$1&amp;"P"&amp;$A51))/1000000,($A$4*$A$4*RTD("tos.rtd",,"VOLUME","."&amp;W$2&amp;W$1&amp;"C"&amp;$A51)*RTD("tos.rtd",,"GAMMA","."&amp;W$2&amp;W$1&amp;"C"&amp;$A51)-$A$4*$A$4*RTD("tos.rtd",,"VOLUME","."&amp;W$2&amp;W$1&amp;"P"&amp;$A51)*RTD("tos.rtd",,"GAMMA","."&amp;W$2&amp;W$1&amp;"P"&amp;$A51))/1000000),0),IF($A$2="GEX",IFERROR(IF($X$1="ABS",($A$4*$A$4*RTD("tos.rtd",,"OPEN_INT","."&amp;W$2&amp;W$1&amp;"C"&amp;$A51)*RTD("tos.rtd",,"GAMMA","."&amp;W$2&amp;W$1&amp;"C"&amp;$A51)+$A$4*$A$4*RTD("tos.rtd",,"OPEN_INT","."&amp;W$2&amp;W$1&amp;"P"&amp;$A51)*RTD("tos.rtd",,"GAMMA","."&amp;W$2&amp;W$1&amp;"P"&amp;$A51))/1000000,($A$4*$A$4*RTD("tos.rtd",,"OPEN_INT","."&amp;W$2&amp;W$1&amp;"C"&amp;$A51)*RTD("tos.rtd",,"GAMMA","."&amp;W$2&amp;W$1&amp;"C"&amp;$A51)-$A$4*$A$4*RTD("tos.rtd",,"OPEN_INT","."&amp;W$2&amp;W$1&amp;"P"&amp;$A51)*RTD("tos.rtd",,"GAMMA","."&amp;W$2&amp;W$1&amp;"P"&amp;$A51))/1000000),0),IF($A$2="SKEW",IFERROR(VALUE(IF(RTD("tos.rtd",,"IMPL_VOL","."&amp;W$2&amp;W$1&amp;"P"&amp;$A51)="N/A",0,RTD("tos.rtd",,"IMPL_VOL","."&amp;W$2&amp;W$1&amp;"P"&amp;$A51))),0)-IFERROR(VALUE(IF(RTD("tos.rtd",,"IMPL_VOL","."&amp;W$2&amp;W$1&amp;"C"&amp;$A51)="N/A",0,RTD("tos.rtd",,"IMPL_VOL","."&amp;W$2&amp;W$1&amp;"C"&amp;$A51))),0),IF($A$2="MAXPAIN",IF($A$4&gt;$A51,($A$4-$A51)*IF(RTD("tos.rtd",,"OPEN_INT","."&amp;W$2&amp;W$1&amp;"C"&amp;$A51)="N/A",0,RTD("tos.rtd",,"OPEN_INT","."&amp;W$2&amp;W$1&amp;"C"&amp;$A51)),0)+IF($A$4&lt;$A51,($A$5-$A$4)*IF(RTD("tos.rtd",,"OPEN_INT","."&amp;W$2&amp;W$1&amp;"P"&amp;$A51)="N/A",0,RTD("tos.rtd",,"OPEN_INT","."&amp;W$2&amp;W$1&amp;"P"&amp;$A51)),0),IF($X$1="ABS",IF(RTD("tos.rtd",,$A$2,"."&amp;W$2&amp;W$1&amp;"C"&amp;$A51)="N/A",0,RTD("tos.rtd",,$A$2,"."&amp;W$2&amp;W$1&amp;"C"&amp;$A51))+IF(RTD("tos.rtd",,$A$2,"."&amp;W$2&amp;W$1&amp;"P"&amp;$A51)="N/A",0,RTD("tos.rtd",,$A$2,"."&amp;W$2&amp;W$1&amp;"P"&amp;$A51)),IF(RTD("tos.rtd",,$A$2,"."&amp;W$2&amp;W$1&amp;"C"&amp;$A51)="N/A",0,RTD("tos.rtd",,$A$2,"."&amp;W$2&amp;W$1&amp;"C"&amp;$A51))-IF(RTD("tos.rtd",,$A$2,"."&amp;W$2&amp;W$1&amp;"P"&amp;$A51)="N/A",0,RTD("tos.rtd",,$A$2,"."&amp;W$2&amp;W$1&amp;"P"&amp;$A51))))))))))</f>
        <v>0</v>
      </c>
      <c r="X51" s="58">
        <f t="shared" ca="1" si="8"/>
        <v>0</v>
      </c>
      <c r="Y51" s="27">
        <f t="shared" ca="1" si="9"/>
        <v>0</v>
      </c>
      <c r="Z51" s="27">
        <f ca="1">+'OI-VOL'!Y51</f>
        <v>0</v>
      </c>
      <c r="AA51" s="27" t="b">
        <f t="shared" ca="1" si="10"/>
        <v>0</v>
      </c>
      <c r="AB51" s="27">
        <f t="shared" si="11"/>
        <v>65432800</v>
      </c>
      <c r="AC51" s="18">
        <f>MAX(0, $A51-AC$4)*IF(RTD("tos.rtd",,"OPEN_INT","."&amp;$AB$3&amp;$AB$4&amp;"C"&amp;AC$4)="N/A",0,RTD("tos.rtd",,"OPEN_INT","."&amp;$AB$3&amp;$AB$4&amp;"C"&amp;AC$4))*100 + MAX(0, AC$4-$A51)*IF(RTD("tos.rtd",,"OPEN_INT","."&amp;$AB$3&amp;$AB$4&amp;"P"&amp;AC$4)="N/A",0,RTD("tos.rtd",,"OPEN_INT","."&amp;$AB$3&amp;$AB$4&amp;"P"&amp;AC$4))*100</f>
        <v>0</v>
      </c>
      <c r="AD51" s="18">
        <f>MAX(0, $A51-AD$4)*IF(RTD("tos.rtd",,"OPEN_INT","."&amp;$AB$3&amp;$AB$4&amp;"C"&amp;AD$4)="N/A",0,RTD("tos.rtd",,"OPEN_INT","."&amp;$AB$3&amp;$AB$4&amp;"C"&amp;AD$4))*100 + MAX(0, AD$4-$A51)*IF(RTD("tos.rtd",,"OPEN_INT","."&amp;$AB$3&amp;$AB$4&amp;"P"&amp;AD$4)="N/A",0,RTD("tos.rtd",,"OPEN_INT","."&amp;$AB$3&amp;$AB$4&amp;"P"&amp;AD$4))*100</f>
        <v>0</v>
      </c>
      <c r="AE51" s="18">
        <f>MAX(0, $A51-AE$4)*IF(RTD("tos.rtd",,"OPEN_INT","."&amp;$AB$3&amp;$AB$4&amp;"C"&amp;AE$4)="N/A",0,RTD("tos.rtd",,"OPEN_INT","."&amp;$AB$3&amp;$AB$4&amp;"C"&amp;AE$4))*100 + MAX(0, AE$4-$A51)*IF(RTD("tos.rtd",,"OPEN_INT","."&amp;$AB$3&amp;$AB$4&amp;"P"&amp;AE$4)="N/A",0,RTD("tos.rtd",,"OPEN_INT","."&amp;$AB$3&amp;$AB$4&amp;"P"&amp;AE$4))*100</f>
        <v>0</v>
      </c>
      <c r="AF51" s="18">
        <f>MAX(0, $A51-AF$4)*IF(RTD("tos.rtd",,"OPEN_INT","."&amp;$AB$3&amp;$AB$4&amp;"C"&amp;AF$4)="N/A",0,RTD("tos.rtd",,"OPEN_INT","."&amp;$AB$3&amp;$AB$4&amp;"C"&amp;AF$4))*100 + MAX(0, AF$4-$A51)*IF(RTD("tos.rtd",,"OPEN_INT","."&amp;$AB$3&amp;$AB$4&amp;"P"&amp;AF$4)="N/A",0,RTD("tos.rtd",,"OPEN_INT","."&amp;$AB$3&amp;$AB$4&amp;"P"&amp;AF$4))*100</f>
        <v>0</v>
      </c>
      <c r="AG51" s="18">
        <f>MAX(0, $A51-AG$4)*IF(RTD("tos.rtd",,"OPEN_INT","."&amp;$AB$3&amp;$AB$4&amp;"C"&amp;AG$4)="N/A",0,RTD("tos.rtd",,"OPEN_INT","."&amp;$AB$3&amp;$AB$4&amp;"C"&amp;AG$4))*100 + MAX(0, AG$4-$A51)*IF(RTD("tos.rtd",,"OPEN_INT","."&amp;$AB$3&amp;$AB$4&amp;"P"&amp;AG$4)="N/A",0,RTD("tos.rtd",,"OPEN_INT","."&amp;$AB$3&amp;$AB$4&amp;"P"&amp;AG$4))*100</f>
        <v>0</v>
      </c>
      <c r="AH51" s="18">
        <f>MAX(0, $A51-AH$4)*IF(RTD("tos.rtd",,"OPEN_INT","."&amp;$AB$3&amp;$AB$4&amp;"C"&amp;AH$4)="N/A",0,RTD("tos.rtd",,"OPEN_INT","."&amp;$AB$3&amp;$AB$4&amp;"C"&amp;AH$4))*100 + MAX(0, AH$4-$A51)*IF(RTD("tos.rtd",,"OPEN_INT","."&amp;$AB$3&amp;$AB$4&amp;"P"&amp;AH$4)="N/A",0,RTD("tos.rtd",,"OPEN_INT","."&amp;$AB$3&amp;$AB$4&amp;"P"&amp;AH$4))*100</f>
        <v>0</v>
      </c>
      <c r="AI51" s="18">
        <f>MAX(0, $A51-AI$4)*IF(RTD("tos.rtd",,"OPEN_INT","."&amp;$AB$3&amp;$AB$4&amp;"C"&amp;AI$4)="N/A",0,RTD("tos.rtd",,"OPEN_INT","."&amp;$AB$3&amp;$AB$4&amp;"C"&amp;AI$4))*100 + MAX(0, AI$4-$A51)*IF(RTD("tos.rtd",,"OPEN_INT","."&amp;$AB$3&amp;$AB$4&amp;"P"&amp;AI$4)="N/A",0,RTD("tos.rtd",,"OPEN_INT","."&amp;$AB$3&amp;$AB$4&amp;"P"&amp;AI$4))*100</f>
        <v>0</v>
      </c>
      <c r="AJ51" s="18">
        <f>MAX(0, $A51-AJ$4)*IF(RTD("tos.rtd",,"OPEN_INT","."&amp;$AB$3&amp;$AB$4&amp;"C"&amp;AJ$4)="N/A",0,RTD("tos.rtd",,"OPEN_INT","."&amp;$AB$3&amp;$AB$4&amp;"C"&amp;AJ$4))*100 + MAX(0, AJ$4-$A51)*IF(RTD("tos.rtd",,"OPEN_INT","."&amp;$AB$3&amp;$AB$4&amp;"P"&amp;AJ$4)="N/A",0,RTD("tos.rtd",,"OPEN_INT","."&amp;$AB$3&amp;$AB$4&amp;"P"&amp;AJ$4))*100</f>
        <v>5850</v>
      </c>
      <c r="AK51" s="18">
        <f>MAX(0, $A51-AK$4)*IF(RTD("tos.rtd",,"OPEN_INT","."&amp;$AB$3&amp;$AB$4&amp;"C"&amp;AK$4)="N/A",0,RTD("tos.rtd",,"OPEN_INT","."&amp;$AB$3&amp;$AB$4&amp;"C"&amp;AK$4))*100 + MAX(0, AK$4-$A51)*IF(RTD("tos.rtd",,"OPEN_INT","."&amp;$AB$3&amp;$AB$4&amp;"P"&amp;AK$4)="N/A",0,RTD("tos.rtd",,"OPEN_INT","."&amp;$AB$3&amp;$AB$4&amp;"P"&amp;AK$4))*100</f>
        <v>15200</v>
      </c>
      <c r="AL51" s="18">
        <f>MAX(0, $A51-AL$4)*IF(RTD("tos.rtd",,"OPEN_INT","."&amp;$AB$3&amp;$AB$4&amp;"C"&amp;AL$4)="N/A",0,RTD("tos.rtd",,"OPEN_INT","."&amp;$AB$3&amp;$AB$4&amp;"C"&amp;AL$4))*100 + MAX(0, AL$4-$A51)*IF(RTD("tos.rtd",,"OPEN_INT","."&amp;$AB$3&amp;$AB$4&amp;"P"&amp;AL$4)="N/A",0,RTD("tos.rtd",,"OPEN_INT","."&amp;$AB$3&amp;$AB$4&amp;"P"&amp;AL$4))*100</f>
        <v>0</v>
      </c>
      <c r="AM51" s="18">
        <f>MAX(0, $A51-AM$4)*IF(RTD("tos.rtd",,"OPEN_INT","."&amp;$AB$3&amp;$AB$4&amp;"C"&amp;AM$4)="N/A",0,RTD("tos.rtd",,"OPEN_INT","."&amp;$AB$3&amp;$AB$4&amp;"C"&amp;AM$4))*100 + MAX(0, AM$4-$A51)*IF(RTD("tos.rtd",,"OPEN_INT","."&amp;$AB$3&amp;$AB$4&amp;"P"&amp;AM$4)="N/A",0,RTD("tos.rtd",,"OPEN_INT","."&amp;$AB$3&amp;$AB$4&amp;"P"&amp;AM$4))*100</f>
        <v>0</v>
      </c>
      <c r="AN51" s="18">
        <f>MAX(0, $A51-AN$4)*IF(RTD("tos.rtd",,"OPEN_INT","."&amp;$AB$3&amp;$AB$4&amp;"C"&amp;AN$4)="N/A",0,RTD("tos.rtd",,"OPEN_INT","."&amp;$AB$3&amp;$AB$4&amp;"C"&amp;AN$4))*100 + MAX(0, AN$4-$A51)*IF(RTD("tos.rtd",,"OPEN_INT","."&amp;$AB$3&amp;$AB$4&amp;"P"&amp;AN$4)="N/A",0,RTD("tos.rtd",,"OPEN_INT","."&amp;$AB$3&amp;$AB$4&amp;"P"&amp;AN$4))*100</f>
        <v>0</v>
      </c>
      <c r="AO51" s="18">
        <f>MAX(0, $A51-AO$4)*IF(RTD("tos.rtd",,"OPEN_INT","."&amp;$AB$3&amp;$AB$4&amp;"C"&amp;AO$4)="N/A",0,RTD("tos.rtd",,"OPEN_INT","."&amp;$AB$3&amp;$AB$4&amp;"C"&amp;AO$4))*100 + MAX(0, AO$4-$A51)*IF(RTD("tos.rtd",,"OPEN_INT","."&amp;$AB$3&amp;$AB$4&amp;"P"&amp;AO$4)="N/A",0,RTD("tos.rtd",,"OPEN_INT","."&amp;$AB$3&amp;$AB$4&amp;"P"&amp;AO$4))*100</f>
        <v>0</v>
      </c>
      <c r="AP51" s="18">
        <f>MAX(0, $A51-AP$4)*IF(RTD("tos.rtd",,"OPEN_INT","."&amp;$AB$3&amp;$AB$4&amp;"C"&amp;AP$4)="N/A",0,RTD("tos.rtd",,"OPEN_INT","."&amp;$AB$3&amp;$AB$4&amp;"C"&amp;AP$4))*100 + MAX(0, AP$4-$A51)*IF(RTD("tos.rtd",,"OPEN_INT","."&amp;$AB$3&amp;$AB$4&amp;"P"&amp;AP$4)="N/A",0,RTD("tos.rtd",,"OPEN_INT","."&amp;$AB$3&amp;$AB$4&amp;"P"&amp;AP$4))*100</f>
        <v>198000</v>
      </c>
      <c r="AQ51" s="18">
        <f>MAX(0, $A51-AQ$4)*IF(RTD("tos.rtd",,"OPEN_INT","."&amp;$AB$3&amp;$AB$4&amp;"C"&amp;AQ$4)="N/A",0,RTD("tos.rtd",,"OPEN_INT","."&amp;$AB$3&amp;$AB$4&amp;"C"&amp;AQ$4))*100 + MAX(0, AQ$4-$A51)*IF(RTD("tos.rtd",,"OPEN_INT","."&amp;$AB$3&amp;$AB$4&amp;"P"&amp;AQ$4)="N/A",0,RTD("tos.rtd",,"OPEN_INT","."&amp;$AB$3&amp;$AB$4&amp;"P"&amp;AQ$4))*100</f>
        <v>0</v>
      </c>
      <c r="AR51" s="18">
        <f>MAX(0, $A51-AR$4)*IF(RTD("tos.rtd",,"OPEN_INT","."&amp;$AB$3&amp;$AB$4&amp;"C"&amp;AR$4)="N/A",0,RTD("tos.rtd",,"OPEN_INT","."&amp;$AB$3&amp;$AB$4&amp;"C"&amp;AR$4))*100 + MAX(0, AR$4-$A51)*IF(RTD("tos.rtd",,"OPEN_INT","."&amp;$AB$3&amp;$AB$4&amp;"P"&amp;AR$4)="N/A",0,RTD("tos.rtd",,"OPEN_INT","."&amp;$AB$3&amp;$AB$4&amp;"P"&amp;AR$4))*100</f>
        <v>82150</v>
      </c>
      <c r="AS51" s="18">
        <f>MAX(0, $A51-AS$4)*IF(RTD("tos.rtd",,"OPEN_INT","."&amp;$AB$3&amp;$AB$4&amp;"C"&amp;AS$4)="N/A",0,RTD("tos.rtd",,"OPEN_INT","."&amp;$AB$3&amp;$AB$4&amp;"C"&amp;AS$4))*100 + MAX(0, AS$4-$A51)*IF(RTD("tos.rtd",,"OPEN_INT","."&amp;$AB$3&amp;$AB$4&amp;"P"&amp;AS$4)="N/A",0,RTD("tos.rtd",,"OPEN_INT","."&amp;$AB$3&amp;$AB$4&amp;"P"&amp;AS$4))*100</f>
        <v>9000</v>
      </c>
      <c r="AT51" s="18">
        <f>MAX(0, $A51-AT$4)*IF(RTD("tos.rtd",,"OPEN_INT","."&amp;$AB$3&amp;$AB$4&amp;"C"&amp;AT$4)="N/A",0,RTD("tos.rtd",,"OPEN_INT","."&amp;$AB$3&amp;$AB$4&amp;"C"&amp;AT$4))*100 + MAX(0, AT$4-$A51)*IF(RTD("tos.rtd",,"OPEN_INT","."&amp;$AB$3&amp;$AB$4&amp;"P"&amp;AT$4)="N/A",0,RTD("tos.rtd",,"OPEN_INT","."&amp;$AB$3&amp;$AB$4&amp;"P"&amp;AT$4))*100</f>
        <v>89900</v>
      </c>
      <c r="AU51" s="18">
        <f>MAX(0, $A51-AU$4)*IF(RTD("tos.rtd",,"OPEN_INT","."&amp;$AB$3&amp;$AB$4&amp;"C"&amp;AU$4)="N/A",0,RTD("tos.rtd",,"OPEN_INT","."&amp;$AB$3&amp;$AB$4&amp;"C"&amp;AU$4))*100 + MAX(0, AU$4-$A51)*IF(RTD("tos.rtd",,"OPEN_INT","."&amp;$AB$3&amp;$AB$4&amp;"P"&amp;AU$4)="N/A",0,RTD("tos.rtd",,"OPEN_INT","."&amp;$AB$3&amp;$AB$4&amp;"P"&amp;AU$4))*100</f>
        <v>98000</v>
      </c>
      <c r="AV51" s="18">
        <f>MAX(0, $A51-AV$4)*IF(RTD("tos.rtd",,"OPEN_INT","."&amp;$AB$3&amp;$AB$4&amp;"C"&amp;AV$4)="N/A",0,RTD("tos.rtd",,"OPEN_INT","."&amp;$AB$3&amp;$AB$4&amp;"C"&amp;AV$4))*100 + MAX(0, AV$4-$A51)*IF(RTD("tos.rtd",,"OPEN_INT","."&amp;$AB$3&amp;$AB$4&amp;"P"&amp;AV$4)="N/A",0,RTD("tos.rtd",,"OPEN_INT","."&amp;$AB$3&amp;$AB$4&amp;"P"&amp;AV$4))*100</f>
        <v>54000</v>
      </c>
      <c r="AW51" s="18">
        <f>MAX(0, $A51-AW$4)*IF(RTD("tos.rtd",,"OPEN_INT","."&amp;$AB$3&amp;$AB$4&amp;"C"&amp;AW$4)="N/A",0,RTD("tos.rtd",,"OPEN_INT","."&amp;$AB$3&amp;$AB$4&amp;"C"&amp;AW$4))*100 + MAX(0, AW$4-$A51)*IF(RTD("tos.rtd",,"OPEN_INT","."&amp;$AB$3&amp;$AB$4&amp;"P"&amp;AW$4)="N/A",0,RTD("tos.rtd",,"OPEN_INT","."&amp;$AB$3&amp;$AB$4&amp;"P"&amp;AW$4))*100</f>
        <v>209300</v>
      </c>
      <c r="AX51" s="18">
        <f>MAX(0, $A51-AX$4)*IF(RTD("tos.rtd",,"OPEN_INT","."&amp;$AB$3&amp;$AB$4&amp;"C"&amp;AX$4)="N/A",0,RTD("tos.rtd",,"OPEN_INT","."&amp;$AB$3&amp;$AB$4&amp;"C"&amp;AX$4))*100 + MAX(0, AX$4-$A51)*IF(RTD("tos.rtd",,"OPEN_INT","."&amp;$AB$3&amp;$AB$4&amp;"P"&amp;AX$4)="N/A",0,RTD("tos.rtd",,"OPEN_INT","."&amp;$AB$3&amp;$AB$4&amp;"P"&amp;AX$4))*100</f>
        <v>252500</v>
      </c>
      <c r="AY51" s="18">
        <f>MAX(0, $A51-AY$4)*IF(RTD("tos.rtd",,"OPEN_INT","."&amp;$AB$3&amp;$AB$4&amp;"C"&amp;AY$4)="N/A",0,RTD("tos.rtd",,"OPEN_INT","."&amp;$AB$3&amp;$AB$4&amp;"C"&amp;AY$4))*100 + MAX(0, AY$4-$A51)*IF(RTD("tos.rtd",,"OPEN_INT","."&amp;$AB$3&amp;$AB$4&amp;"P"&amp;AY$4)="N/A",0,RTD("tos.rtd",,"OPEN_INT","."&amp;$AB$3&amp;$AB$4&amp;"P"&amp;AY$4))*100</f>
        <v>296400</v>
      </c>
      <c r="AZ51" s="18">
        <f>MAX(0, $A51-AZ$4)*IF(RTD("tos.rtd",,"OPEN_INT","."&amp;$AB$3&amp;$AB$4&amp;"C"&amp;AZ$4)="N/A",0,RTD("tos.rtd",,"OPEN_INT","."&amp;$AB$3&amp;$AB$4&amp;"C"&amp;AZ$4))*100 + MAX(0, AZ$4-$A51)*IF(RTD("tos.rtd",,"OPEN_INT","."&amp;$AB$3&amp;$AB$4&amp;"P"&amp;AZ$4)="N/A",0,RTD("tos.rtd",,"OPEN_INT","."&amp;$AB$3&amp;$AB$4&amp;"P"&amp;AZ$4))*100</f>
        <v>2385100</v>
      </c>
      <c r="BA51" s="18">
        <f>MAX(0, $A51-BA$4)*IF(RTD("tos.rtd",,"OPEN_INT","."&amp;$AB$3&amp;$AB$4&amp;"C"&amp;BA$4)="N/A",0,RTD("tos.rtd",,"OPEN_INT","."&amp;$AB$3&amp;$AB$4&amp;"C"&amp;BA$4))*100 + MAX(0, BA$4-$A51)*IF(RTD("tos.rtd",,"OPEN_INT","."&amp;$AB$3&amp;$AB$4&amp;"P"&amp;BA$4)="N/A",0,RTD("tos.rtd",,"OPEN_INT","."&amp;$AB$3&amp;$AB$4&amp;"P"&amp;BA$4))*100</f>
        <v>624800</v>
      </c>
      <c r="BB51" s="18">
        <f>MAX(0, $A51-BB$4)*IF(RTD("tos.rtd",,"OPEN_INT","."&amp;$AB$3&amp;$AB$4&amp;"C"&amp;BB$4)="N/A",0,RTD("tos.rtd",,"OPEN_INT","."&amp;$AB$3&amp;$AB$4&amp;"C"&amp;BB$4))*100 + MAX(0, BB$4-$A51)*IF(RTD("tos.rtd",,"OPEN_INT","."&amp;$AB$3&amp;$AB$4&amp;"P"&amp;BB$4)="N/A",0,RTD("tos.rtd",,"OPEN_INT","."&amp;$AB$3&amp;$AB$4&amp;"P"&amp;BB$4))*100</f>
        <v>2457000</v>
      </c>
      <c r="BC51" s="18">
        <f>MAX(0, $A51-BC$4)*IF(RTD("tos.rtd",,"OPEN_INT","."&amp;$AB$3&amp;$AB$4&amp;"C"&amp;BC$4)="N/A",0,RTD("tos.rtd",,"OPEN_INT","."&amp;$AB$3&amp;$AB$4&amp;"C"&amp;BC$4))*100 + MAX(0, BC$4-$A51)*IF(RTD("tos.rtd",,"OPEN_INT","."&amp;$AB$3&amp;$AB$4&amp;"P"&amp;BC$4)="N/A",0,RTD("tos.rtd",,"OPEN_INT","."&amp;$AB$3&amp;$AB$4&amp;"P"&amp;BC$4))*100</f>
        <v>2284000</v>
      </c>
      <c r="BD51" s="18">
        <f>MAX(0, $A51-BD$4)*IF(RTD("tos.rtd",,"OPEN_INT","."&amp;$AB$3&amp;$AB$4&amp;"C"&amp;BD$4)="N/A",0,RTD("tos.rtd",,"OPEN_INT","."&amp;$AB$3&amp;$AB$4&amp;"C"&amp;BD$4))*100 + MAX(0, BD$4-$A51)*IF(RTD("tos.rtd",,"OPEN_INT","."&amp;$AB$3&amp;$AB$4&amp;"P"&amp;BD$4)="N/A",0,RTD("tos.rtd",,"OPEN_INT","."&amp;$AB$3&amp;$AB$4&amp;"P"&amp;BD$4))*100</f>
        <v>7268450</v>
      </c>
      <c r="BE51" s="18">
        <f>MAX(0, $A51-BE$4)*IF(RTD("tos.rtd",,"OPEN_INT","."&amp;$AB$3&amp;$AB$4&amp;"C"&amp;BE$4)="N/A",0,RTD("tos.rtd",,"OPEN_INT","."&amp;$AB$3&amp;$AB$4&amp;"C"&amp;BE$4))*100 + MAX(0, BE$4-$A51)*IF(RTD("tos.rtd",,"OPEN_INT","."&amp;$AB$3&amp;$AB$4&amp;"P"&amp;BE$4)="N/A",0,RTD("tos.rtd",,"OPEN_INT","."&amp;$AB$3&amp;$AB$4&amp;"P"&amp;BE$4))*100</f>
        <v>8838900</v>
      </c>
      <c r="BF51" s="18">
        <f>MAX(0, $A51-BF$4)*IF(RTD("tos.rtd",,"OPEN_INT","."&amp;$AB$3&amp;$AB$4&amp;"C"&amp;BF$4)="N/A",0,RTD("tos.rtd",,"OPEN_INT","."&amp;$AB$3&amp;$AB$4&amp;"C"&amp;BF$4))*100 + MAX(0, BF$4-$A51)*IF(RTD("tos.rtd",,"OPEN_INT","."&amp;$AB$3&amp;$AB$4&amp;"P"&amp;BF$4)="N/A",0,RTD("tos.rtd",,"OPEN_INT","."&amp;$AB$3&amp;$AB$4&amp;"P"&amp;BF$4))*100</f>
        <v>9448600</v>
      </c>
      <c r="BG51" s="18">
        <f>MAX(0, $A51-BG$4)*IF(RTD("tos.rtd",,"OPEN_INT","."&amp;$AB$3&amp;$AB$4&amp;"C"&amp;BG$4)="N/A",0,RTD("tos.rtd",,"OPEN_INT","."&amp;$AB$3&amp;$AB$4&amp;"C"&amp;BG$4))*100 + MAX(0, BG$4-$A51)*IF(RTD("tos.rtd",,"OPEN_INT","."&amp;$AB$3&amp;$AB$4&amp;"P"&amp;BG$4)="N/A",0,RTD("tos.rtd",,"OPEN_INT","."&amp;$AB$3&amp;$AB$4&amp;"P"&amp;BG$4))*100</f>
        <v>11127200</v>
      </c>
      <c r="BH51" s="18">
        <f>MAX(0, $A51-BH$4)*IF(RTD("tos.rtd",,"OPEN_INT","."&amp;$AB$3&amp;$AB$4&amp;"C"&amp;BH$4)="N/A",0,RTD("tos.rtd",,"OPEN_INT","."&amp;$AB$3&amp;$AB$4&amp;"C"&amp;BH$4))*100 + MAX(0, BH$4-$A51)*IF(RTD("tos.rtd",,"OPEN_INT","."&amp;$AB$3&amp;$AB$4&amp;"P"&amp;BH$4)="N/A",0,RTD("tos.rtd",,"OPEN_INT","."&amp;$AB$3&amp;$AB$4&amp;"P"&amp;BH$4))*100</f>
        <v>6806250</v>
      </c>
      <c r="BI51" s="18">
        <f>MAX(0, $A51-BI$4)*IF(RTD("tos.rtd",,"OPEN_INT","."&amp;$AB$3&amp;$AB$4&amp;"C"&amp;BI$4)="N/A",0,RTD("tos.rtd",,"OPEN_INT","."&amp;$AB$3&amp;$AB$4&amp;"C"&amp;BI$4))*100 + MAX(0, BI$4-$A51)*IF(RTD("tos.rtd",,"OPEN_INT","."&amp;$AB$3&amp;$AB$4&amp;"P"&amp;BI$4)="N/A",0,RTD("tos.rtd",,"OPEN_INT","."&amp;$AB$3&amp;$AB$4&amp;"P"&amp;BI$4))*100</f>
        <v>4496100</v>
      </c>
      <c r="BJ51" s="18">
        <f>MAX(0, $A51-BJ$4)*IF(RTD("tos.rtd",,"OPEN_INT","."&amp;$AB$3&amp;$AB$4&amp;"C"&amp;BJ$4)="N/A",0,RTD("tos.rtd",,"OPEN_INT","."&amp;$AB$3&amp;$AB$4&amp;"C"&amp;BJ$4))*100 + MAX(0, BJ$4-$A51)*IF(RTD("tos.rtd",,"OPEN_INT","."&amp;$AB$3&amp;$AB$4&amp;"P"&amp;BJ$4)="N/A",0,RTD("tos.rtd",,"OPEN_INT","."&amp;$AB$3&amp;$AB$4&amp;"P"&amp;BJ$4))*100</f>
        <v>5216250</v>
      </c>
      <c r="BK51" s="18">
        <f>MAX(0, $A51-BK$4)*IF(RTD("tos.rtd",,"OPEN_INT","."&amp;$AB$3&amp;$AB$4&amp;"C"&amp;BK$4)="N/A",0,RTD("tos.rtd",,"OPEN_INT","."&amp;$AB$3&amp;$AB$4&amp;"C"&amp;BK$4))*100 + MAX(0, BK$4-$A51)*IF(RTD("tos.rtd",,"OPEN_INT","."&amp;$AB$3&amp;$AB$4&amp;"P"&amp;BK$4)="N/A",0,RTD("tos.rtd",,"OPEN_INT","."&amp;$AB$3&amp;$AB$4&amp;"P"&amp;BK$4))*100</f>
        <v>1309800</v>
      </c>
      <c r="BL51" s="18">
        <f>MAX(0, $A51-BL$4)*IF(RTD("tos.rtd",,"OPEN_INT","."&amp;$AB$3&amp;$AB$4&amp;"C"&amp;BL$4)="N/A",0,RTD("tos.rtd",,"OPEN_INT","."&amp;$AB$3&amp;$AB$4&amp;"C"&amp;BL$4))*100 + MAX(0, BL$4-$A51)*IF(RTD("tos.rtd",,"OPEN_INT","."&amp;$AB$3&amp;$AB$4&amp;"P"&amp;BL$4)="N/A",0,RTD("tos.rtd",,"OPEN_INT","."&amp;$AB$3&amp;$AB$4&amp;"P"&amp;BL$4))*100</f>
        <v>1287000</v>
      </c>
      <c r="BM51" s="18">
        <f>MAX(0, $A51-BM$4)*IF(RTD("tos.rtd",,"OPEN_INT","."&amp;$AB$3&amp;$AB$4&amp;"C"&amp;BM$4)="N/A",0,RTD("tos.rtd",,"OPEN_INT","."&amp;$AB$3&amp;$AB$4&amp;"C"&amp;BM$4))*100 + MAX(0, BM$4-$A51)*IF(RTD("tos.rtd",,"OPEN_INT","."&amp;$AB$3&amp;$AB$4&amp;"P"&amp;BM$4)="N/A",0,RTD("tos.rtd",,"OPEN_INT","."&amp;$AB$3&amp;$AB$4&amp;"P"&amp;BM$4))*100</f>
        <v>196000</v>
      </c>
      <c r="BN51" s="18">
        <f>MAX(0, $A51-BN$4)*IF(RTD("tos.rtd",,"OPEN_INT","."&amp;$AB$3&amp;$AB$4&amp;"C"&amp;BN$4)="N/A",0,RTD("tos.rtd",,"OPEN_INT","."&amp;$AB$3&amp;$AB$4&amp;"C"&amp;BN$4))*100 + MAX(0, BN$4-$A51)*IF(RTD("tos.rtd",,"OPEN_INT","."&amp;$AB$3&amp;$AB$4&amp;"P"&amp;BN$4)="N/A",0,RTD("tos.rtd",,"OPEN_INT","."&amp;$AB$3&amp;$AB$4&amp;"P"&amp;BN$4))*100</f>
        <v>195750</v>
      </c>
      <c r="BO51" s="18">
        <f>MAX(0, $A51-BO$4)*IF(RTD("tos.rtd",,"OPEN_INT","."&amp;$AB$3&amp;$AB$4&amp;"C"&amp;BO$4)="N/A",0,RTD("tos.rtd",,"OPEN_INT","."&amp;$AB$3&amp;$AB$4&amp;"C"&amp;BO$4))*100 + MAX(0, BO$4-$A51)*IF(RTD("tos.rtd",,"OPEN_INT","."&amp;$AB$3&amp;$AB$4&amp;"P"&amp;BO$4)="N/A",0,RTD("tos.rtd",,"OPEN_INT","."&amp;$AB$3&amp;$AB$4&amp;"P"&amp;BO$4))*100</f>
        <v>25200</v>
      </c>
      <c r="BP51" s="18">
        <f>MAX(0, $A51-BP$4)*IF(RTD("tos.rtd",,"OPEN_INT","."&amp;$AB$3&amp;$AB$4&amp;"C"&amp;BP$4)="N/A",0,RTD("tos.rtd",,"OPEN_INT","."&amp;$AB$3&amp;$AB$4&amp;"C"&amp;BP$4))*100 + MAX(0, BP$4-$A51)*IF(RTD("tos.rtd",,"OPEN_INT","."&amp;$AB$3&amp;$AB$4&amp;"P"&amp;BP$4)="N/A",0,RTD("tos.rtd",,"OPEN_INT","."&amp;$AB$3&amp;$AB$4&amp;"P"&amp;BP$4))*100</f>
        <v>156100</v>
      </c>
      <c r="BQ51" s="18">
        <f>MAX(0, $A51-BQ$4)*IF(RTD("tos.rtd",,"OPEN_INT","."&amp;$AB$3&amp;$AB$4&amp;"C"&amp;BQ$4)="N/A",0,RTD("tos.rtd",,"OPEN_INT","."&amp;$AB$3&amp;$AB$4&amp;"C"&amp;BQ$4))*100 + MAX(0, BQ$4-$A51)*IF(RTD("tos.rtd",,"OPEN_INT","."&amp;$AB$3&amp;$AB$4&amp;"P"&amp;BQ$4)="N/A",0,RTD("tos.rtd",,"OPEN_INT","."&amp;$AB$3&amp;$AB$4&amp;"P"&amp;BQ$4))*100</f>
        <v>0</v>
      </c>
      <c r="BR51" s="18">
        <f>MAX(0, $A51-BR$4)*IF(RTD("tos.rtd",,"OPEN_INT","."&amp;$AB$3&amp;$AB$4&amp;"C"&amp;BR$4)="N/A",0,RTD("tos.rtd",,"OPEN_INT","."&amp;$AB$3&amp;$AB$4&amp;"C"&amp;BR$4))*100 + MAX(0, BR$4-$A51)*IF(RTD("tos.rtd",,"OPEN_INT","."&amp;$AB$3&amp;$AB$4&amp;"P"&amp;BR$4)="N/A",0,RTD("tos.rtd",,"OPEN_INT","."&amp;$AB$3&amp;$AB$4&amp;"P"&amp;BR$4))*100</f>
        <v>0</v>
      </c>
      <c r="BS51" s="18">
        <f>MAX(0, $A51-BS$4)*IF(RTD("tos.rtd",,"OPEN_INT","."&amp;$AB$3&amp;$AB$4&amp;"C"&amp;BS$4)="N/A",0,RTD("tos.rtd",,"OPEN_INT","."&amp;$AB$3&amp;$AB$4&amp;"C"&amp;BS$4))*100 + MAX(0, BS$4-$A51)*IF(RTD("tos.rtd",,"OPEN_INT","."&amp;$AB$3&amp;$AB$4&amp;"P"&amp;BS$4)="N/A",0,RTD("tos.rtd",,"OPEN_INT","."&amp;$AB$3&amp;$AB$4&amp;"P"&amp;BS$4))*100</f>
        <v>0</v>
      </c>
      <c r="BT51" s="18">
        <f>MAX(0, $A51-BT$4)*IF(RTD("tos.rtd",,"OPEN_INT","."&amp;$AB$3&amp;$AB$4&amp;"C"&amp;BT$4)="N/A",0,RTD("tos.rtd",,"OPEN_INT","."&amp;$AB$3&amp;$AB$4&amp;"C"&amp;BT$4))*100 + MAX(0, BT$4-$A51)*IF(RTD("tos.rtd",,"OPEN_INT","."&amp;$AB$3&amp;$AB$4&amp;"P"&amp;BT$4)="N/A",0,RTD("tos.rtd",,"OPEN_INT","."&amp;$AB$3&amp;$AB$4&amp;"P"&amp;BT$4))*100</f>
        <v>0</v>
      </c>
      <c r="BU51" s="18">
        <f>MAX(0, $A51-BU$4)*IF(RTD("tos.rtd",,"OPEN_INT","."&amp;$AB$3&amp;$AB$4&amp;"C"&amp;BU$4)="N/A",0,RTD("tos.rtd",,"OPEN_INT","."&amp;$AB$3&amp;$AB$4&amp;"C"&amp;BU$4))*100 + MAX(0, BU$4-$A51)*IF(RTD("tos.rtd",,"OPEN_INT","."&amp;$AB$3&amp;$AB$4&amp;"P"&amp;BU$4)="N/A",0,RTD("tos.rtd",,"OPEN_INT","."&amp;$AB$3&amp;$AB$4&amp;"P"&amp;BU$4))*100</f>
        <v>0</v>
      </c>
      <c r="BV51" s="18">
        <f>MAX(0, $A51-BV$4)*IF(RTD("tos.rtd",,"OPEN_INT","."&amp;$AB$3&amp;$AB$4&amp;"C"&amp;BV$4)="N/A",0,RTD("tos.rtd",,"OPEN_INT","."&amp;$AB$3&amp;$AB$4&amp;"C"&amp;BV$4))*100 + MAX(0, BV$4-$A51)*IF(RTD("tos.rtd",,"OPEN_INT","."&amp;$AB$3&amp;$AB$4&amp;"P"&amp;BV$4)="N/A",0,RTD("tos.rtd",,"OPEN_INT","."&amp;$AB$3&amp;$AB$4&amp;"P"&amp;BV$4))*100</f>
        <v>0</v>
      </c>
      <c r="BW51" s="18">
        <f>MAX(0, $A51-BW$4)*IF(RTD("tos.rtd",,"OPEN_INT","."&amp;$AB$3&amp;$AB$4&amp;"C"&amp;BW$4)="N/A",0,RTD("tos.rtd",,"OPEN_INT","."&amp;$AB$3&amp;$AB$4&amp;"C"&amp;BW$4))*100 + MAX(0, BW$4-$A51)*IF(RTD("tos.rtd",,"OPEN_INT","."&amp;$AB$3&amp;$AB$4&amp;"P"&amp;BW$4)="N/A",0,RTD("tos.rtd",,"OPEN_INT","."&amp;$AB$3&amp;$AB$4&amp;"P"&amp;BW$4))*100</f>
        <v>0</v>
      </c>
    </row>
    <row r="52" spans="1:75" ht="11.1" customHeight="1" x14ac:dyDescent="0.25">
      <c r="A52" s="21" t="str">
        <f ca="1">TEXT(NOW(),"YYMMDD")</f>
        <v>251111</v>
      </c>
      <c r="B52" s="11">
        <f ca="1">IF($B$1&gt;=A52,1,0)</f>
        <v>0</v>
      </c>
      <c r="C52" s="11">
        <f t="shared" ref="C52:W52" ca="1" si="13">IF($B$1&gt;=B52,1,0)</f>
        <v>1</v>
      </c>
      <c r="D52" s="11">
        <f t="shared" ca="1" si="13"/>
        <v>1</v>
      </c>
      <c r="E52" s="11">
        <f t="shared" ca="1" si="13"/>
        <v>1</v>
      </c>
      <c r="F52" s="11">
        <f t="shared" ca="1" si="13"/>
        <v>1</v>
      </c>
      <c r="G52" s="11">
        <f t="shared" ca="1" si="13"/>
        <v>1</v>
      </c>
      <c r="H52" s="11">
        <f t="shared" ca="1" si="13"/>
        <v>1</v>
      </c>
      <c r="I52" s="11">
        <f t="shared" ca="1" si="13"/>
        <v>1</v>
      </c>
      <c r="J52" s="11">
        <f t="shared" ca="1" si="13"/>
        <v>1</v>
      </c>
      <c r="K52" s="11">
        <f t="shared" ca="1" si="13"/>
        <v>1</v>
      </c>
      <c r="L52" s="11">
        <f t="shared" ca="1" si="13"/>
        <v>1</v>
      </c>
      <c r="M52" s="11">
        <f t="shared" ca="1" si="13"/>
        <v>1</v>
      </c>
      <c r="N52" s="11">
        <f t="shared" ca="1" si="13"/>
        <v>1</v>
      </c>
      <c r="O52" s="11">
        <f t="shared" ca="1" si="13"/>
        <v>1</v>
      </c>
      <c r="P52" s="11">
        <f t="shared" ca="1" si="13"/>
        <v>1</v>
      </c>
      <c r="Q52" s="11">
        <f t="shared" ca="1" si="13"/>
        <v>1</v>
      </c>
      <c r="R52" s="11">
        <f t="shared" ca="1" si="13"/>
        <v>1</v>
      </c>
      <c r="S52" s="11">
        <f t="shared" ca="1" si="13"/>
        <v>1</v>
      </c>
      <c r="T52" s="11">
        <f t="shared" ca="1" si="13"/>
        <v>1</v>
      </c>
      <c r="U52" s="11">
        <f t="shared" ca="1" si="13"/>
        <v>1</v>
      </c>
      <c r="V52" s="11">
        <f t="shared" ca="1" si="13"/>
        <v>1</v>
      </c>
      <c r="W52" s="11">
        <f t="shared" ca="1" si="13"/>
        <v>1</v>
      </c>
      <c r="Y52" s="7">
        <f ca="1">INDEX(A5:A51,MATCH(MIN(Y5:Y51),Y5:Y51,0))</f>
        <v>21.5</v>
      </c>
      <c r="AA52" s="7" t="e">
        <f ca="1">INDEX(A5:A51,MATCH(MIN(AA5:AA51),AA5:AA51,0))</f>
        <v>#N/A</v>
      </c>
      <c r="AB52" s="3" t="s">
        <v>0</v>
      </c>
      <c r="AC52" s="7">
        <f ca="1">MAX(0, $A52-AC$4)*IF(RTD("tos.rtd",,"OPEN_INT","."&amp;$AB$3&amp;$AB$4&amp;"C"&amp;AC$4)="N/A",0,RTD("tos.rtd",,"OPEN_INT","."&amp;$AB$3&amp;$AB$4&amp;"C"&amp;AC$4))*100 + MAX(0, AC$4-$A52)*IF(RTD("tos.rtd",,"OPEN_INT","."&amp;$AB$3&amp;$AB$4&amp;"P"&amp;AC$4)="N/A",0,RTD("tos.rtd",,"OPEN_INT","."&amp;$AB$3&amp;$AB$4&amp;"P"&amp;AC$4))*100</f>
        <v>0</v>
      </c>
      <c r="AD52" s="7">
        <f ca="1">MAX(0, $A52-AD$4)*IF(RTD("tos.rtd",,"OPEN_INT","."&amp;$AB$3&amp;$AB$4&amp;"C"&amp;AD$4)="N/A",0,RTD("tos.rtd",,"OPEN_INT","."&amp;$AB$3&amp;$AB$4&amp;"C"&amp;AD$4))*100 + MAX(0, AD$4-$A52)*IF(RTD("tos.rtd",,"OPEN_INT","."&amp;$AB$3&amp;$AB$4&amp;"P"&amp;AD$4)="N/A",0,RTD("tos.rtd",,"OPEN_INT","."&amp;$AB$3&amp;$AB$4&amp;"P"&amp;AD$4))*100</f>
        <v>0</v>
      </c>
      <c r="AE52" s="7">
        <f ca="1">MAX(0, $A52-AE$4)*IF(RTD("tos.rtd",,"OPEN_INT","."&amp;$AB$3&amp;$AB$4&amp;"C"&amp;AE$4)="N/A",0,RTD("tos.rtd",,"OPEN_INT","."&amp;$AB$3&amp;$AB$4&amp;"C"&amp;AE$4))*100 + MAX(0, AE$4-$A52)*IF(RTD("tos.rtd",,"OPEN_INT","."&amp;$AB$3&amp;$AB$4&amp;"P"&amp;AE$4)="N/A",0,RTD("tos.rtd",,"OPEN_INT","."&amp;$AB$3&amp;$AB$4&amp;"P"&amp;AE$4))*100</f>
        <v>0</v>
      </c>
      <c r="AF52" s="7">
        <f ca="1">MAX(0, $A52-AF$4)*IF(RTD("tos.rtd",,"OPEN_INT","."&amp;$AB$3&amp;$AB$4&amp;"C"&amp;AF$4)="N/A",0,RTD("tos.rtd",,"OPEN_INT","."&amp;$AB$3&amp;$AB$4&amp;"C"&amp;AF$4))*100 + MAX(0, AF$4-$A52)*IF(RTD("tos.rtd",,"OPEN_INT","."&amp;$AB$3&amp;$AB$4&amp;"P"&amp;AF$4)="N/A",0,RTD("tos.rtd",,"OPEN_INT","."&amp;$AB$3&amp;$AB$4&amp;"P"&amp;AF$4))*100</f>
        <v>0</v>
      </c>
      <c r="AG52" s="7">
        <f ca="1">MAX(0, $A52-AG$4)*IF(RTD("tos.rtd",,"OPEN_INT","."&amp;$AB$3&amp;$AB$4&amp;"C"&amp;AG$4)="N/A",0,RTD("tos.rtd",,"OPEN_INT","."&amp;$AB$3&amp;$AB$4&amp;"C"&amp;AG$4))*100 + MAX(0, AG$4-$A52)*IF(RTD("tos.rtd",,"OPEN_INT","."&amp;$AB$3&amp;$AB$4&amp;"P"&amp;AG$4)="N/A",0,RTD("tos.rtd",,"OPEN_INT","."&amp;$AB$3&amp;$AB$4&amp;"P"&amp;AG$4))*100</f>
        <v>0</v>
      </c>
      <c r="AH52" s="7">
        <f ca="1">MAX(0, $A52-AH$4)*IF(RTD("tos.rtd",,"OPEN_INT","."&amp;$AB$3&amp;$AB$4&amp;"C"&amp;AH$4)="N/A",0,RTD("tos.rtd",,"OPEN_INT","."&amp;$AB$3&amp;$AB$4&amp;"C"&amp;AH$4))*100 + MAX(0, AH$4-$A52)*IF(RTD("tos.rtd",,"OPEN_INT","."&amp;$AB$3&amp;$AB$4&amp;"P"&amp;AH$4)="N/A",0,RTD("tos.rtd",,"OPEN_INT","."&amp;$AB$3&amp;$AB$4&amp;"P"&amp;AH$4))*100</f>
        <v>0</v>
      </c>
      <c r="AI52" s="7">
        <f ca="1">MAX(0, $A52-AI$4)*IF(RTD("tos.rtd",,"OPEN_INT","."&amp;$AB$3&amp;$AB$4&amp;"C"&amp;AI$4)="N/A",0,RTD("tos.rtd",,"OPEN_INT","."&amp;$AB$3&amp;$AB$4&amp;"C"&amp;AI$4))*100 + MAX(0, AI$4-$A52)*IF(RTD("tos.rtd",,"OPEN_INT","."&amp;$AB$3&amp;$AB$4&amp;"P"&amp;AI$4)="N/A",0,RTD("tos.rtd",,"OPEN_INT","."&amp;$AB$3&amp;$AB$4&amp;"P"&amp;AI$4))*100</f>
        <v>0</v>
      </c>
      <c r="AJ52" s="7">
        <f ca="1">MAX(0, $A52-AJ$4)*IF(RTD("tos.rtd",,"OPEN_INT","."&amp;$AB$3&amp;$AB$4&amp;"C"&amp;AJ$4)="N/A",0,RTD("tos.rtd",,"OPEN_INT","."&amp;$AB$3&amp;$AB$4&amp;"C"&amp;AJ$4))*100 + MAX(0, AJ$4-$A52)*IF(RTD("tos.rtd",,"OPEN_INT","."&amp;$AB$3&amp;$AB$4&amp;"P"&amp;AJ$4)="N/A",0,RTD("tos.rtd",,"OPEN_INT","."&amp;$AB$3&amp;$AB$4&amp;"P"&amp;AJ$4))*100</f>
        <v>68196858800</v>
      </c>
      <c r="AK52" s="7">
        <f ca="1">MAX(0, $A52-AK$4)*IF(RTD("tos.rtd",,"OPEN_INT","."&amp;$AB$3&amp;$AB$4&amp;"C"&amp;AK$4)="N/A",0,RTD("tos.rtd",,"OPEN_INT","."&amp;$AB$3&amp;$AB$4&amp;"C"&amp;AK$4))*100 + MAX(0, AK$4-$A52)*IF(RTD("tos.rtd",,"OPEN_INT","."&amp;$AB$3&amp;$AB$4&amp;"P"&amp;AK$4)="N/A",0,RTD("tos.rtd",,"OPEN_INT","."&amp;$AB$3&amp;$AB$4&amp;"P"&amp;AK$4))*100</f>
        <v>6754415150</v>
      </c>
      <c r="AL52" s="7">
        <f ca="1">MAX(0, $A52-AL$4)*IF(RTD("tos.rtd",,"OPEN_INT","."&amp;$AB$3&amp;$AB$4&amp;"C"&amp;AL$4)="N/A",0,RTD("tos.rtd",,"OPEN_INT","."&amp;$AB$3&amp;$AB$4&amp;"C"&amp;AL$4))*100 + MAX(0, AL$4-$A52)*IF(RTD("tos.rtd",,"OPEN_INT","."&amp;$AB$3&amp;$AB$4&amp;"P"&amp;AL$4)="N/A",0,RTD("tos.rtd",,"OPEN_INT","."&amp;$AB$3&amp;$AB$4&amp;"P"&amp;AL$4))*100</f>
        <v>70632742200</v>
      </c>
      <c r="AM52" s="7">
        <f ca="1">MAX(0, $A52-AM$4)*IF(RTD("tos.rtd",,"OPEN_INT","."&amp;$AB$3&amp;$AB$4&amp;"C"&amp;AM$4)="N/A",0,RTD("tos.rtd",,"OPEN_INT","."&amp;$AB$3&amp;$AB$4&amp;"C"&amp;AM$4))*100 + MAX(0, AM$4-$A52)*IF(RTD("tos.rtd",,"OPEN_INT","."&amp;$AB$3&amp;$AB$4&amp;"P"&amp;AM$4)="N/A",0,RTD("tos.rtd",,"OPEN_INT","."&amp;$AB$3&amp;$AB$4&amp;"P"&amp;AM$4))*100</f>
        <v>0</v>
      </c>
      <c r="AN52" s="7">
        <f ca="1">MAX(0, $A52-AN$4)*IF(RTD("tos.rtd",,"OPEN_INT","."&amp;$AB$3&amp;$AB$4&amp;"C"&amp;AN$4)="N/A",0,RTD("tos.rtd",,"OPEN_INT","."&amp;$AB$3&amp;$AB$4&amp;"C"&amp;AN$4))*100 + MAX(0, AN$4-$A52)*IF(RTD("tos.rtd",,"OPEN_INT","."&amp;$AB$3&amp;$AB$4&amp;"P"&amp;AN$4)="N/A",0,RTD("tos.rtd",,"OPEN_INT","."&amp;$AB$3&amp;$AB$4&amp;"P"&amp;AN$4))*100</f>
        <v>59383967500</v>
      </c>
      <c r="AO52" s="7">
        <f ca="1">MAX(0, $A52-AO$4)*IF(RTD("tos.rtd",,"OPEN_INT","."&amp;$AB$3&amp;$AB$4&amp;"C"&amp;AO$4)="N/A",0,RTD("tos.rtd",,"OPEN_INT","."&amp;$AB$3&amp;$AB$4&amp;"C"&amp;AO$4))*100 + MAX(0, AO$4-$A52)*IF(RTD("tos.rtd",,"OPEN_INT","."&amp;$AB$3&amp;$AB$4&amp;"P"&amp;AO$4)="N/A",0,RTD("tos.rtd",,"OPEN_INT","."&amp;$AB$3&amp;$AB$4&amp;"P"&amp;AO$4))*100</f>
        <v>0</v>
      </c>
      <c r="AP52" s="7">
        <f ca="1">MAX(0, $A52-AP$4)*IF(RTD("tos.rtd",,"OPEN_INT","."&amp;$AB$3&amp;$AB$4&amp;"C"&amp;AP$4)="N/A",0,RTD("tos.rtd",,"OPEN_INT","."&amp;$AB$3&amp;$AB$4&amp;"C"&amp;AP$4))*100 + MAX(0, AP$4-$A52)*IF(RTD("tos.rtd",,"OPEN_INT","."&amp;$AB$3&amp;$AB$4&amp;"P"&amp;AP$4)="N/A",0,RTD("tos.rtd",,"OPEN_INT","."&amp;$AB$3&amp;$AB$4&amp;"P"&amp;AP$4))*100</f>
        <v>17300514400</v>
      </c>
      <c r="AQ52" s="7">
        <f ca="1">MAX(0, $A52-AQ$4)*IF(RTD("tos.rtd",,"OPEN_INT","."&amp;$AB$3&amp;$AB$4&amp;"C"&amp;AQ$4)="N/A",0,RTD("tos.rtd",,"OPEN_INT","."&amp;$AB$3&amp;$AB$4&amp;"C"&amp;AQ$4))*100 + MAX(0, AQ$4-$A52)*IF(RTD("tos.rtd",,"OPEN_INT","."&amp;$AB$3&amp;$AB$4&amp;"P"&amp;AQ$4)="N/A",0,RTD("tos.rtd",,"OPEN_INT","."&amp;$AB$3&amp;$AB$4&amp;"P"&amp;AQ$4))*100</f>
        <v>0</v>
      </c>
      <c r="AR52" s="7">
        <f ca="1">MAX(0, $A52-AR$4)*IF(RTD("tos.rtd",,"OPEN_INT","."&amp;$AB$3&amp;$AB$4&amp;"C"&amp;AR$4)="N/A",0,RTD("tos.rtd",,"OPEN_INT","."&amp;$AB$3&amp;$AB$4&amp;"C"&amp;AR$4))*100 + MAX(0, AR$4-$A52)*IF(RTD("tos.rtd",,"OPEN_INT","."&amp;$AB$3&amp;$AB$4&amp;"P"&amp;AR$4)="N/A",0,RTD("tos.rtd",,"OPEN_INT","."&amp;$AB$3&amp;$AB$4&amp;"P"&amp;AR$4))*100</f>
        <v>16070208000</v>
      </c>
      <c r="AS52" s="7">
        <f ca="1">MAX(0, $A52-AS$4)*IF(RTD("tos.rtd",,"OPEN_INT","."&amp;$AB$3&amp;$AB$4&amp;"C"&amp;AS$4)="N/A",0,RTD("tos.rtd",,"OPEN_INT","."&amp;$AB$3&amp;$AB$4&amp;"C"&amp;AS$4))*100 + MAX(0, AS$4-$A52)*IF(RTD("tos.rtd",,"OPEN_INT","."&amp;$AB$3&amp;$AB$4&amp;"P"&amp;AS$4)="N/A",0,RTD("tos.rtd",,"OPEN_INT","."&amp;$AB$3&amp;$AB$4&amp;"P"&amp;AS$4))*100</f>
        <v>25109750</v>
      </c>
      <c r="AT52" s="7">
        <f ca="1">MAX(0, $A52-AT$4)*IF(RTD("tos.rtd",,"OPEN_INT","."&amp;$AB$3&amp;$AB$4&amp;"C"&amp;AT$4)="N/A",0,RTD("tos.rtd",,"OPEN_INT","."&amp;$AB$3&amp;$AB$4&amp;"C"&amp;AT$4))*100 + MAX(0, AT$4-$A52)*IF(RTD("tos.rtd",,"OPEN_INT","."&amp;$AB$3&amp;$AB$4&amp;"P"&amp;AT$4)="N/A",0,RTD("tos.rtd",,"OPEN_INT","."&amp;$AB$3&amp;$AB$4&amp;"P"&amp;AT$4))*100</f>
        <v>21644647600</v>
      </c>
      <c r="AU52" s="7">
        <f ca="1">MAX(0, $A52-AU$4)*IF(RTD("tos.rtd",,"OPEN_INT","."&amp;$AB$3&amp;$AB$4&amp;"C"&amp;AU$4)="N/A",0,RTD("tos.rtd",,"OPEN_INT","."&amp;$AB$3&amp;$AB$4&amp;"C"&amp;AU$4))*100 + MAX(0, AU$4-$A52)*IF(RTD("tos.rtd",,"OPEN_INT","."&amp;$AB$3&amp;$AB$4&amp;"P"&amp;AU$4)="N/A",0,RTD("tos.rtd",,"OPEN_INT","."&amp;$AB$3&amp;$AB$4&amp;"P"&amp;AU$4))*100</f>
        <v>35204009700</v>
      </c>
      <c r="AV52" s="7">
        <f ca="1">MAX(0, $A52-AV$4)*IF(RTD("tos.rtd",,"OPEN_INT","."&amp;$AB$3&amp;$AB$4&amp;"C"&amp;AV$4)="N/A",0,RTD("tos.rtd",,"OPEN_INT","."&amp;$AB$3&amp;$AB$4&amp;"C"&amp;AV$4))*100 + MAX(0, AV$4-$A52)*IF(RTD("tos.rtd",,"OPEN_INT","."&amp;$AB$3&amp;$AB$4&amp;"P"&amp;AV$4)="N/A",0,RTD("tos.rtd",,"OPEN_INT","."&amp;$AB$3&amp;$AB$4&amp;"P"&amp;AV$4))*100</f>
        <v>42259961700</v>
      </c>
      <c r="AW52" s="7">
        <f ca="1">MAX(0, $A52-AW$4)*IF(RTD("tos.rtd",,"OPEN_INT","."&amp;$AB$3&amp;$AB$4&amp;"C"&amp;AW$4)="N/A",0,RTD("tos.rtd",,"OPEN_INT","."&amp;$AB$3&amp;$AB$4&amp;"C"&amp;AW$4))*100 + MAX(0, AW$4-$A52)*IF(RTD("tos.rtd",,"OPEN_INT","."&amp;$AB$3&amp;$AB$4&amp;"P"&amp;AW$4)="N/A",0,RTD("tos.rtd",,"OPEN_INT","."&amp;$AB$3&amp;$AB$4&amp;"P"&amp;AW$4))*100</f>
        <v>47407585600</v>
      </c>
      <c r="AX52" s="7">
        <f ca="1">MAX(0, $A52-AX$4)*IF(RTD("tos.rtd",,"OPEN_INT","."&amp;$AB$3&amp;$AB$4&amp;"C"&amp;AX$4)="N/A",0,RTD("tos.rtd",,"OPEN_INT","."&amp;$AB$3&amp;$AB$4&amp;"C"&amp;AX$4))*100 + MAX(0, AX$4-$A52)*IF(RTD("tos.rtd",,"OPEN_INT","."&amp;$AB$3&amp;$AB$4&amp;"P"&amp;AX$4)="N/A",0,RTD("tos.rtd",,"OPEN_INT","."&amp;$AB$3&amp;$AB$4&amp;"P"&amp;AX$4))*100</f>
        <v>77213250000</v>
      </c>
      <c r="AY52" s="7">
        <f ca="1">MAX(0, $A52-AY$4)*IF(RTD("tos.rtd",,"OPEN_INT","."&amp;$AB$3&amp;$AB$4&amp;"C"&amp;AY$4)="N/A",0,RTD("tos.rtd",,"OPEN_INT","."&amp;$AB$3&amp;$AB$4&amp;"C"&amp;AY$4))*100 + MAX(0, AY$4-$A52)*IF(RTD("tos.rtd",,"OPEN_INT","."&amp;$AB$3&amp;$AB$4&amp;"P"&amp;AY$4)="N/A",0,RTD("tos.rtd",,"OPEN_INT","."&amp;$AB$3&amp;$AB$4&amp;"P"&amp;AY$4))*100</f>
        <v>106793042650</v>
      </c>
      <c r="AZ52" s="7">
        <f ca="1">MAX(0, $A52-AZ$4)*IF(RTD("tos.rtd",,"OPEN_INT","."&amp;$AB$3&amp;$AB$4&amp;"C"&amp;AZ$4)="N/A",0,RTD("tos.rtd",,"OPEN_INT","."&amp;$AB$3&amp;$AB$4&amp;"C"&amp;AZ$4))*100 + MAX(0, AZ$4-$A52)*IF(RTD("tos.rtd",,"OPEN_INT","."&amp;$AB$3&amp;$AB$4&amp;"P"&amp;AZ$4)="N/A",0,RTD("tos.rtd",,"OPEN_INT","."&amp;$AB$3&amp;$AB$4&amp;"P"&amp;AZ$4))*100</f>
        <v>490852234800</v>
      </c>
      <c r="BA52" s="7">
        <f ca="1">MAX(0, $A52-BA$4)*IF(RTD("tos.rtd",,"OPEN_INT","."&amp;$AB$3&amp;$AB$4&amp;"C"&amp;BA$4)="N/A",0,RTD("tos.rtd",,"OPEN_INT","."&amp;$AB$3&amp;$AB$4&amp;"C"&amp;BA$4))*100 + MAX(0, BA$4-$A52)*IF(RTD("tos.rtd",,"OPEN_INT","."&amp;$AB$3&amp;$AB$4&amp;"P"&amp;BA$4)="N/A",0,RTD("tos.rtd",,"OPEN_INT","."&amp;$AB$3&amp;$AB$4&amp;"P"&amp;BA$4))*100</f>
        <v>247334977500</v>
      </c>
      <c r="BB52" s="7">
        <f ca="1">MAX(0, $A52-BB$4)*IF(RTD("tos.rtd",,"OPEN_INT","."&amp;$AB$3&amp;$AB$4&amp;"C"&amp;BB$4)="N/A",0,RTD("tos.rtd",,"OPEN_INT","."&amp;$AB$3&amp;$AB$4&amp;"C"&amp;BB$4))*100 + MAX(0, BB$4-$A52)*IF(RTD("tos.rtd",,"OPEN_INT","."&amp;$AB$3&amp;$AB$4&amp;"P"&amp;BB$4)="N/A",0,RTD("tos.rtd",,"OPEN_INT","."&amp;$AB$3&amp;$AB$4&amp;"P"&amp;BB$4))*100</f>
        <v>773569931400</v>
      </c>
      <c r="BC52" s="7">
        <f ca="1">MAX(0, $A52-BC$4)*IF(RTD("tos.rtd",,"OPEN_INT","."&amp;$AB$3&amp;$AB$4&amp;"C"&amp;BC$4)="N/A",0,RTD("tos.rtd",,"OPEN_INT","."&amp;$AB$3&amp;$AB$4&amp;"C"&amp;BC$4))*100 + MAX(0, BC$4-$A52)*IF(RTD("tos.rtd",,"OPEN_INT","."&amp;$AB$3&amp;$AB$4&amp;"P"&amp;BC$4)="N/A",0,RTD("tos.rtd",,"OPEN_INT","."&amp;$AB$3&amp;$AB$4&amp;"P"&amp;BC$4))*100</f>
        <v>719609544500</v>
      </c>
      <c r="BD52" s="7">
        <f ca="1">MAX(0, $A52-BD$4)*IF(RTD("tos.rtd",,"OPEN_INT","."&amp;$AB$3&amp;$AB$4&amp;"C"&amp;BD$4)="N/A",0,RTD("tos.rtd",,"OPEN_INT","."&amp;$AB$3&amp;$AB$4&amp;"C"&amp;BD$4))*100 + MAX(0, BD$4-$A52)*IF(RTD("tos.rtd",,"OPEN_INT","."&amp;$AB$3&amp;$AB$4&amp;"P"&amp;BD$4)="N/A",0,RTD("tos.rtd",,"OPEN_INT","."&amp;$AB$3&amp;$AB$4&amp;"P"&amp;BD$4))*100</f>
        <v>1022315643900</v>
      </c>
      <c r="BE52" s="7">
        <f ca="1">MAX(0, $A52-BE$4)*IF(RTD("tos.rtd",,"OPEN_INT","."&amp;$AB$3&amp;$AB$4&amp;"C"&amp;BE$4)="N/A",0,RTD("tos.rtd",,"OPEN_INT","."&amp;$AB$3&amp;$AB$4&amp;"C"&amp;BE$4))*100 + MAX(0, BE$4-$A52)*IF(RTD("tos.rtd",,"OPEN_INT","."&amp;$AB$3&amp;$AB$4&amp;"P"&amp;BE$4)="N/A",0,RTD("tos.rtd",,"OPEN_INT","."&amp;$AB$3&amp;$AB$4&amp;"P"&amp;BE$4))*100</f>
        <v>466048096000</v>
      </c>
      <c r="BF52" s="7">
        <f ca="1">MAX(0, $A52-BF$4)*IF(RTD("tos.rtd",,"OPEN_INT","."&amp;$AB$3&amp;$AB$4&amp;"C"&amp;BF$4)="N/A",0,RTD("tos.rtd",,"OPEN_INT","."&amp;$AB$3&amp;$AB$4&amp;"C"&amp;BF$4))*100 + MAX(0, BF$4-$A52)*IF(RTD("tos.rtd",,"OPEN_INT","."&amp;$AB$3&amp;$AB$4&amp;"P"&amp;BF$4)="N/A",0,RTD("tos.rtd",,"OPEN_INT","."&amp;$AB$3&amp;$AB$4&amp;"P"&amp;BF$4))*100</f>
        <v>433857491200</v>
      </c>
      <c r="BG52" s="7">
        <f ca="1">MAX(0, $A52-BG$4)*IF(RTD("tos.rtd",,"OPEN_INT","."&amp;$AB$3&amp;$AB$4&amp;"C"&amp;BG$4)="N/A",0,RTD("tos.rtd",,"OPEN_INT","."&amp;$AB$3&amp;$AB$4&amp;"C"&amp;BG$4))*100 + MAX(0, BG$4-$A52)*IF(RTD("tos.rtd",,"OPEN_INT","."&amp;$AB$3&amp;$AB$4&amp;"P"&amp;BG$4)="N/A",0,RTD("tos.rtd",,"OPEN_INT","."&amp;$AB$3&amp;$AB$4&amp;"P"&amp;BG$4))*100</f>
        <v>211103553150</v>
      </c>
      <c r="BH52" s="7">
        <f ca="1">MAX(0, $A52-BH$4)*IF(RTD("tos.rtd",,"OPEN_INT","."&amp;$AB$3&amp;$AB$4&amp;"C"&amp;BH$4)="N/A",0,RTD("tos.rtd",,"OPEN_INT","."&amp;$AB$3&amp;$AB$4&amp;"C"&amp;BH$4))*100 + MAX(0, BH$4-$A52)*IF(RTD("tos.rtd",,"OPEN_INT","."&amp;$AB$3&amp;$AB$4&amp;"P"&amp;BH$4)="N/A",0,RTD("tos.rtd",,"OPEN_INT","."&amp;$AB$3&amp;$AB$4&amp;"P"&amp;BH$4))*100</f>
        <v>143983607000</v>
      </c>
      <c r="BI52" s="7">
        <f ca="1">MAX(0, $A52-BI$4)*IF(RTD("tos.rtd",,"OPEN_INT","."&amp;$AB$3&amp;$AB$4&amp;"C"&amp;BI$4)="N/A",0,RTD("tos.rtd",,"OPEN_INT","."&amp;$AB$3&amp;$AB$4&amp;"C"&amp;BI$4))*100 + MAX(0, BI$4-$A52)*IF(RTD("tos.rtd",,"OPEN_INT","."&amp;$AB$3&amp;$AB$4&amp;"P"&amp;BI$4)="N/A",0,RTD("tos.rtd",,"OPEN_INT","."&amp;$AB$3&amp;$AB$4&amp;"P"&amp;BI$4))*100</f>
        <v>48789798650</v>
      </c>
      <c r="BJ52" s="7">
        <f ca="1">MAX(0, $A52-BJ$4)*IF(RTD("tos.rtd",,"OPEN_INT","."&amp;$AB$3&amp;$AB$4&amp;"C"&amp;BJ$4)="N/A",0,RTD("tos.rtd",,"OPEN_INT","."&amp;$AB$3&amp;$AB$4&amp;"C"&amp;BJ$4))*100 + MAX(0, BJ$4-$A52)*IF(RTD("tos.rtd",,"OPEN_INT","."&amp;$AB$3&amp;$AB$4&amp;"P"&amp;BJ$4)="N/A",0,RTD("tos.rtd",,"OPEN_INT","."&amp;$AB$3&amp;$AB$4&amp;"P"&amp;BJ$4))*100</f>
        <v>21143125200</v>
      </c>
      <c r="BK52" s="7">
        <f ca="1">MAX(0, $A52-BK$4)*IF(RTD("tos.rtd",,"OPEN_INT","."&amp;$AB$3&amp;$AB$4&amp;"C"&amp;BK$4)="N/A",0,RTD("tos.rtd",,"OPEN_INT","."&amp;$AB$3&amp;$AB$4&amp;"C"&amp;BK$4))*100 + MAX(0, BK$4-$A52)*IF(RTD("tos.rtd",,"OPEN_INT","."&amp;$AB$3&amp;$AB$4&amp;"P"&amp;BK$4)="N/A",0,RTD("tos.rtd",,"OPEN_INT","."&amp;$AB$3&amp;$AB$4&amp;"P"&amp;BK$4))*100</f>
        <v>3791708150</v>
      </c>
      <c r="BL52" s="7">
        <f ca="1">MAX(0, $A52-BL$4)*IF(RTD("tos.rtd",,"OPEN_INT","."&amp;$AB$3&amp;$AB$4&amp;"C"&amp;BL$4)="N/A",0,RTD("tos.rtd",,"OPEN_INT","."&amp;$AB$3&amp;$AB$4&amp;"C"&amp;BL$4))*100 + MAX(0, BL$4-$A52)*IF(RTD("tos.rtd",,"OPEN_INT","."&amp;$AB$3&amp;$AB$4&amp;"P"&amp;BL$4)="N/A",0,RTD("tos.rtd",,"OPEN_INT","."&amp;$AB$3&amp;$AB$4&amp;"P"&amp;BL$4))*100</f>
        <v>6553892700</v>
      </c>
      <c r="BM52" s="7">
        <f ca="1">MAX(0, $A52-BM$4)*IF(RTD("tos.rtd",,"OPEN_INT","."&amp;$AB$3&amp;$AB$4&amp;"C"&amp;BM$4)="N/A",0,RTD("tos.rtd",,"OPEN_INT","."&amp;$AB$3&amp;$AB$4&amp;"C"&amp;BM$4))*100 + MAX(0, BM$4-$A52)*IF(RTD("tos.rtd",,"OPEN_INT","."&amp;$AB$3&amp;$AB$4&amp;"P"&amp;BM$4)="N/A",0,RTD("tos.rtd",,"OPEN_INT","."&amp;$AB$3&amp;$AB$4&amp;"P"&amp;BM$4))*100</f>
        <v>401772000</v>
      </c>
      <c r="BN52" s="7">
        <f ca="1">MAX(0, $A52-BN$4)*IF(RTD("tos.rtd",,"OPEN_INT","."&amp;$AB$3&amp;$AB$4&amp;"C"&amp;BN$4)="N/A",0,RTD("tos.rtd",,"OPEN_INT","."&amp;$AB$3&amp;$AB$4&amp;"C"&amp;BN$4))*100 + MAX(0, BN$4-$A52)*IF(RTD("tos.rtd",,"OPEN_INT","."&amp;$AB$3&amp;$AB$4&amp;"P"&amp;BN$4)="N/A",0,RTD("tos.rtd",,"OPEN_INT","."&amp;$AB$3&amp;$AB$4&amp;"P"&amp;BN$4))*100</f>
        <v>200886400</v>
      </c>
      <c r="BO52" s="7">
        <f ca="1">MAX(0, $A52-BO$4)*IF(RTD("tos.rtd",,"OPEN_INT","."&amp;$AB$3&amp;$AB$4&amp;"C"&amp;BO$4)="N/A",0,RTD("tos.rtd",,"OPEN_INT","."&amp;$AB$3&amp;$AB$4&amp;"C"&amp;BO$4))*100 + MAX(0, BO$4-$A52)*IF(RTD("tos.rtd",,"OPEN_INT","."&amp;$AB$3&amp;$AB$4&amp;"P"&amp;BO$4)="N/A",0,RTD("tos.rtd",,"OPEN_INT","."&amp;$AB$3&amp;$AB$4&amp;"P"&amp;BO$4))*100</f>
        <v>778436350</v>
      </c>
      <c r="BP52" s="7">
        <f ca="1">MAX(0, $A52-BP$4)*IF(RTD("tos.rtd",,"OPEN_INT","."&amp;$AB$3&amp;$AB$4&amp;"C"&amp;BP$4)="N/A",0,RTD("tos.rtd",,"OPEN_INT","."&amp;$AB$3&amp;$AB$4&amp;"C"&amp;BP$4))*100 + MAX(0, BP$4-$A52)*IF(RTD("tos.rtd",,"OPEN_INT","."&amp;$AB$3&amp;$AB$4&amp;"P"&amp;BP$4)="N/A",0,RTD("tos.rtd",,"OPEN_INT","."&amp;$AB$3&amp;$AB$4&amp;"P"&amp;BP$4))*100</f>
        <v>954214200</v>
      </c>
      <c r="BQ52" s="7">
        <f ca="1">MAX(0, $A52-BQ$4)*IF(RTD("tos.rtd",,"OPEN_INT","."&amp;$AB$3&amp;$AB$4&amp;"C"&amp;BQ$4)="N/A",0,RTD("tos.rtd",,"OPEN_INT","."&amp;$AB$3&amp;$AB$4&amp;"C"&amp;BQ$4))*100 + MAX(0, BQ$4-$A52)*IF(RTD("tos.rtd",,"OPEN_INT","."&amp;$AB$3&amp;$AB$4&amp;"P"&amp;BQ$4)="N/A",0,RTD("tos.rtd",,"OPEN_INT","."&amp;$AB$3&amp;$AB$4&amp;"P"&amp;BQ$4))*100</f>
        <v>0</v>
      </c>
      <c r="BR52" s="7">
        <f ca="1">MAX(0, $A52-BR$4)*IF(RTD("tos.rtd",,"OPEN_INT","."&amp;$AB$3&amp;$AB$4&amp;"C"&amp;BR$4)="N/A",0,RTD("tos.rtd",,"OPEN_INT","."&amp;$AB$3&amp;$AB$4&amp;"C"&amp;BR$4))*100 + MAX(0, BR$4-$A52)*IF(RTD("tos.rtd",,"OPEN_INT","."&amp;$AB$3&amp;$AB$4&amp;"P"&amp;BR$4)="N/A",0,RTD("tos.rtd",,"OPEN_INT","."&amp;$AB$3&amp;$AB$4&amp;"P"&amp;BR$4))*100</f>
        <v>0</v>
      </c>
      <c r="BS52" s="7">
        <f ca="1">MAX(0, $A52-BS$4)*IF(RTD("tos.rtd",,"OPEN_INT","."&amp;$AB$3&amp;$AB$4&amp;"C"&amp;BS$4)="N/A",0,RTD("tos.rtd",,"OPEN_INT","."&amp;$AB$3&amp;$AB$4&amp;"C"&amp;BS$4))*100 + MAX(0, BS$4-$A52)*IF(RTD("tos.rtd",,"OPEN_INT","."&amp;$AB$3&amp;$AB$4&amp;"P"&amp;BS$4)="N/A",0,RTD("tos.rtd",,"OPEN_INT","."&amp;$AB$3&amp;$AB$4&amp;"P"&amp;BS$4))*100</f>
        <v>0</v>
      </c>
      <c r="BT52" s="7">
        <f ca="1">MAX(0, $A52-BT$4)*IF(RTD("tos.rtd",,"OPEN_INT","."&amp;$AB$3&amp;$AB$4&amp;"C"&amp;BT$4)="N/A",0,RTD("tos.rtd",,"OPEN_INT","."&amp;$AB$3&amp;$AB$4&amp;"C"&amp;BT$4))*100 + MAX(0, BT$4-$A52)*IF(RTD("tos.rtd",,"OPEN_INT","."&amp;$AB$3&amp;$AB$4&amp;"P"&amp;BT$4)="N/A",0,RTD("tos.rtd",,"OPEN_INT","."&amp;$AB$3&amp;$AB$4&amp;"P"&amp;BT$4))*100</f>
        <v>0</v>
      </c>
      <c r="BU52" s="7">
        <f ca="1">MAX(0, $A52-BU$4)*IF(RTD("tos.rtd",,"OPEN_INT","."&amp;$AB$3&amp;$AB$4&amp;"C"&amp;BU$4)="N/A",0,RTD("tos.rtd",,"OPEN_INT","."&amp;$AB$3&amp;$AB$4&amp;"C"&amp;BU$4))*100 + MAX(0, BU$4-$A52)*IF(RTD("tos.rtd",,"OPEN_INT","."&amp;$AB$3&amp;$AB$4&amp;"P"&amp;BU$4)="N/A",0,RTD("tos.rtd",,"OPEN_INT","."&amp;$AB$3&amp;$AB$4&amp;"P"&amp;BU$4))*100</f>
        <v>0</v>
      </c>
      <c r="BV52" s="7">
        <f ca="1">MAX(0, $A52-BV$4)*IF(RTD("tos.rtd",,"OPEN_INT","."&amp;$AB$3&amp;$AB$4&amp;"C"&amp;BV$4)="N/A",0,RTD("tos.rtd",,"OPEN_INT","."&amp;$AB$3&amp;$AB$4&amp;"C"&amp;BV$4))*100 + MAX(0, BV$4-$A52)*IF(RTD("tos.rtd",,"OPEN_INT","."&amp;$AB$3&amp;$AB$4&amp;"P"&amp;BV$4)="N/A",0,RTD("tos.rtd",,"OPEN_INT","."&amp;$AB$3&amp;$AB$4&amp;"P"&amp;BV$4))*100</f>
        <v>0</v>
      </c>
      <c r="BW52" s="7">
        <f ca="1">MAX(0, $A52-BW$4)*IF(RTD("tos.rtd",,"OPEN_INT","."&amp;$AB$3&amp;$AB$4&amp;"C"&amp;BW$4)="N/A",0,RTD("tos.rtd",,"OPEN_INT","."&amp;$AB$3&amp;$AB$4&amp;"C"&amp;BW$4))*100 + MAX(0, BW$4-$A52)*IF(RTD("tos.rtd",,"OPEN_INT","."&amp;$AB$3&amp;$AB$4&amp;"P"&amp;BW$4)="N/A",0,RTD("tos.rtd",,"OPEN_INT","."&amp;$AB$3&amp;$AB$4&amp;"P"&amp;BW$4))*100</f>
        <v>0</v>
      </c>
    </row>
    <row r="53" spans="1:75" ht="11.1" customHeight="1" x14ac:dyDescent="0.25">
      <c r="A53" s="11">
        <v>5</v>
      </c>
      <c r="B53" s="11">
        <f ca="1">INDEX($A$5:$A$51,MATCH(MAX(B5:B51),B5:B51,0))</f>
        <v>21.5</v>
      </c>
      <c r="C53" s="11">
        <f t="shared" ref="C53:X53" ca="1" si="14">INDEX($A$5:$A$51,MATCH(MAX(C5:C51),C5:C51,0))</f>
        <v>21.5</v>
      </c>
      <c r="D53" s="11">
        <f t="shared" ca="1" si="14"/>
        <v>21.5</v>
      </c>
      <c r="E53" s="11">
        <f t="shared" ca="1" si="14"/>
        <v>21.5</v>
      </c>
      <c r="F53" s="11">
        <f t="shared" ca="1" si="14"/>
        <v>21.5</v>
      </c>
      <c r="G53" s="11">
        <f t="shared" ca="1" si="14"/>
        <v>21.5</v>
      </c>
      <c r="H53" s="11">
        <f t="shared" ca="1" si="14"/>
        <v>21.5</v>
      </c>
      <c r="I53" s="11">
        <f t="shared" ca="1" si="14"/>
        <v>21.5</v>
      </c>
      <c r="J53" s="11">
        <f t="shared" ca="1" si="14"/>
        <v>21.5</v>
      </c>
      <c r="K53" s="11">
        <f t="shared" ca="1" si="14"/>
        <v>21.5</v>
      </c>
      <c r="L53" s="11">
        <f t="shared" ca="1" si="14"/>
        <v>21.5</v>
      </c>
      <c r="M53" s="11">
        <f t="shared" ca="1" si="14"/>
        <v>21.5</v>
      </c>
      <c r="N53" s="11">
        <f t="shared" ca="1" si="14"/>
        <v>21.5</v>
      </c>
      <c r="O53" s="11">
        <f t="shared" ca="1" si="14"/>
        <v>21.5</v>
      </c>
      <c r="P53" s="11">
        <f t="shared" ca="1" si="14"/>
        <v>21.5</v>
      </c>
      <c r="Q53" s="11">
        <f t="shared" ca="1" si="14"/>
        <v>21.5</v>
      </c>
      <c r="R53" s="11">
        <f t="shared" ca="1" si="14"/>
        <v>21.5</v>
      </c>
      <c r="S53" s="11">
        <f t="shared" ca="1" si="14"/>
        <v>21.5</v>
      </c>
      <c r="T53" s="11">
        <f t="shared" ca="1" si="14"/>
        <v>21.5</v>
      </c>
      <c r="U53" s="11">
        <f t="shared" ca="1" si="14"/>
        <v>21.5</v>
      </c>
      <c r="V53" s="11">
        <f t="shared" ca="1" si="14"/>
        <v>21.5</v>
      </c>
      <c r="W53" s="11">
        <f t="shared" ca="1" si="14"/>
        <v>21.5</v>
      </c>
      <c r="X53" s="11">
        <f t="shared" ca="1" si="14"/>
        <v>21.5</v>
      </c>
    </row>
    <row r="54" spans="1:75" ht="11.1" customHeight="1" thickBot="1" x14ac:dyDescent="0.3">
      <c r="B54" s="11" t="str">
        <f ca="1">IF(COUNTIF(B5:B51,0)&lt;20,IFERROR(INDEX($A$5:$A$51,MATCH(MIN(B57:B103),B57:B103,0)),""),"")</f>
        <v/>
      </c>
      <c r="C54" s="11" t="str">
        <f t="shared" ref="C54:X54" ca="1" si="15">IF(COUNTIF(C5:C51,0)&lt;20,IFERROR(INDEX($A$5:$A$51,MATCH(MIN(C57:C103),C57:C103,0)),""),"")</f>
        <v/>
      </c>
      <c r="D54" s="11" t="str">
        <f t="shared" ca="1" si="15"/>
        <v/>
      </c>
      <c r="E54" s="11" t="str">
        <f t="shared" ca="1" si="15"/>
        <v/>
      </c>
      <c r="F54" s="11" t="str">
        <f t="shared" ca="1" si="15"/>
        <v/>
      </c>
      <c r="G54" s="11" t="str">
        <f t="shared" ca="1" si="15"/>
        <v/>
      </c>
      <c r="H54" s="11" t="str">
        <f t="shared" ca="1" si="15"/>
        <v/>
      </c>
      <c r="I54" s="11" t="str">
        <f t="shared" ca="1" si="15"/>
        <v/>
      </c>
      <c r="J54" s="11" t="str">
        <f t="shared" ca="1" si="15"/>
        <v/>
      </c>
      <c r="K54" s="11" t="str">
        <f t="shared" ca="1" si="15"/>
        <v/>
      </c>
      <c r="L54" s="11" t="str">
        <f t="shared" ca="1" si="15"/>
        <v/>
      </c>
      <c r="M54" s="11" t="str">
        <f t="shared" ca="1" si="15"/>
        <v/>
      </c>
      <c r="N54" s="11" t="str">
        <f t="shared" ca="1" si="15"/>
        <v/>
      </c>
      <c r="O54" s="11" t="str">
        <f t="shared" ca="1" si="15"/>
        <v/>
      </c>
      <c r="P54" s="11" t="str">
        <f t="shared" ca="1" si="15"/>
        <v/>
      </c>
      <c r="Q54" s="11" t="str">
        <f t="shared" ca="1" si="15"/>
        <v/>
      </c>
      <c r="R54" s="11" t="str">
        <f t="shared" ca="1" si="15"/>
        <v/>
      </c>
      <c r="S54" s="11" t="str">
        <f t="shared" ca="1" si="15"/>
        <v/>
      </c>
      <c r="T54" s="11" t="str">
        <f t="shared" ca="1" si="15"/>
        <v/>
      </c>
      <c r="U54" s="11" t="str">
        <f t="shared" ca="1" si="15"/>
        <v/>
      </c>
      <c r="V54" s="11" t="str">
        <f t="shared" ca="1" si="15"/>
        <v/>
      </c>
      <c r="W54" s="11" t="str">
        <f t="shared" ca="1" si="15"/>
        <v/>
      </c>
      <c r="X54" s="11" t="str">
        <f t="shared" ca="1" si="15"/>
        <v/>
      </c>
    </row>
    <row r="55" spans="1:75" ht="11.1" customHeight="1" x14ac:dyDescent="0.25">
      <c r="A55" s="29" t="s">
        <v>82</v>
      </c>
      <c r="B55" s="11">
        <f ca="1">INDEX($A$5:$A$51,MATCH(MIN(B5:B51),B5:B51,0))</f>
        <v>21.5</v>
      </c>
      <c r="C55" s="11">
        <f t="shared" ref="C55:X55" ca="1" si="16">INDEX($A$5:$A$51,MATCH(MIN(C5:C51),C5:C51,0))</f>
        <v>21.5</v>
      </c>
      <c r="D55" s="11">
        <f t="shared" ca="1" si="16"/>
        <v>21.5</v>
      </c>
      <c r="E55" s="11">
        <f t="shared" ca="1" si="16"/>
        <v>21.5</v>
      </c>
      <c r="F55" s="11">
        <f t="shared" ca="1" si="16"/>
        <v>21.5</v>
      </c>
      <c r="G55" s="11">
        <f t="shared" ca="1" si="16"/>
        <v>21.5</v>
      </c>
      <c r="H55" s="11">
        <f t="shared" ca="1" si="16"/>
        <v>21.5</v>
      </c>
      <c r="I55" s="11">
        <f t="shared" ca="1" si="16"/>
        <v>21.5</v>
      </c>
      <c r="J55" s="11">
        <f t="shared" ca="1" si="16"/>
        <v>21.5</v>
      </c>
      <c r="K55" s="11">
        <f t="shared" ca="1" si="16"/>
        <v>21.5</v>
      </c>
      <c r="L55" s="11">
        <f t="shared" ca="1" si="16"/>
        <v>21.5</v>
      </c>
      <c r="M55" s="11">
        <f t="shared" ca="1" si="16"/>
        <v>21.5</v>
      </c>
      <c r="N55" s="11">
        <f t="shared" ca="1" si="16"/>
        <v>21.5</v>
      </c>
      <c r="O55" s="11">
        <f t="shared" ca="1" si="16"/>
        <v>21.5</v>
      </c>
      <c r="P55" s="11">
        <f t="shared" ca="1" si="16"/>
        <v>21.5</v>
      </c>
      <c r="Q55" s="11">
        <f t="shared" ca="1" si="16"/>
        <v>21.5</v>
      </c>
      <c r="R55" s="11">
        <f t="shared" ca="1" si="16"/>
        <v>21.5</v>
      </c>
      <c r="S55" s="11">
        <f t="shared" ca="1" si="16"/>
        <v>21.5</v>
      </c>
      <c r="T55" s="11">
        <f t="shared" ca="1" si="16"/>
        <v>21.5</v>
      </c>
      <c r="U55" s="11">
        <f t="shared" ca="1" si="16"/>
        <v>21.5</v>
      </c>
      <c r="V55" s="11">
        <f t="shared" ca="1" si="16"/>
        <v>21.5</v>
      </c>
      <c r="W55" s="11">
        <f t="shared" ca="1" si="16"/>
        <v>21.5</v>
      </c>
      <c r="X55" s="11">
        <f t="shared" ca="1" si="16"/>
        <v>21.5</v>
      </c>
    </row>
    <row r="56" spans="1:75" ht="11.1" customHeight="1" x14ac:dyDescent="0.25">
      <c r="A56" s="30" t="s">
        <v>83</v>
      </c>
      <c r="B56" s="44">
        <f ca="1">COUNTIF(B5:B51,0)</f>
        <v>47</v>
      </c>
      <c r="C56" s="44">
        <f ca="1">COUNTIF(C5:C51,0)</f>
        <v>47</v>
      </c>
      <c r="D56" s="44">
        <f t="shared" ref="D56:W56" ca="1" si="17">COUNTIF(D5:D51,0)</f>
        <v>47</v>
      </c>
      <c r="E56" s="44">
        <f t="shared" ca="1" si="17"/>
        <v>47</v>
      </c>
      <c r="F56" s="44">
        <f t="shared" ca="1" si="17"/>
        <v>47</v>
      </c>
      <c r="G56" s="44">
        <f t="shared" ca="1" si="17"/>
        <v>47</v>
      </c>
      <c r="H56" s="44">
        <f t="shared" ca="1" si="17"/>
        <v>47</v>
      </c>
      <c r="I56" s="44">
        <f t="shared" ca="1" si="17"/>
        <v>47</v>
      </c>
      <c r="J56" s="44">
        <f t="shared" ca="1" si="17"/>
        <v>47</v>
      </c>
      <c r="K56" s="44">
        <f t="shared" ca="1" si="17"/>
        <v>47</v>
      </c>
      <c r="L56" s="44">
        <f t="shared" ca="1" si="17"/>
        <v>47</v>
      </c>
      <c r="M56" s="44">
        <f t="shared" ca="1" si="17"/>
        <v>47</v>
      </c>
      <c r="N56" s="44">
        <f t="shared" ca="1" si="17"/>
        <v>47</v>
      </c>
      <c r="O56" s="44">
        <f t="shared" ca="1" si="17"/>
        <v>47</v>
      </c>
      <c r="P56" s="44">
        <f t="shared" ca="1" si="17"/>
        <v>47</v>
      </c>
      <c r="Q56" s="44">
        <f t="shared" ca="1" si="17"/>
        <v>47</v>
      </c>
      <c r="R56" s="44">
        <f t="shared" ca="1" si="17"/>
        <v>47</v>
      </c>
      <c r="S56" s="44">
        <f t="shared" ca="1" si="17"/>
        <v>47</v>
      </c>
      <c r="T56" s="44">
        <f t="shared" ca="1" si="17"/>
        <v>47</v>
      </c>
      <c r="U56" s="44">
        <f t="shared" ca="1" si="17"/>
        <v>47</v>
      </c>
      <c r="V56" s="44">
        <f t="shared" ca="1" si="17"/>
        <v>47</v>
      </c>
      <c r="W56" s="44">
        <f t="shared" ca="1" si="17"/>
        <v>47</v>
      </c>
    </row>
    <row r="57" spans="1:75" ht="11.1" customHeight="1" x14ac:dyDescent="0.25">
      <c r="A57" s="30" t="s">
        <v>84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5"/>
    </row>
    <row r="58" spans="1:75" ht="11.1" customHeight="1" x14ac:dyDescent="0.25">
      <c r="A58" s="30" t="s">
        <v>85</v>
      </c>
      <c r="B58" s="46" t="str">
        <f ca="1">IF(AND($A6&gt;B$55,$A6&lt;B$53),ABS(AVERAGE(B4:B8)),"")</f>
        <v/>
      </c>
      <c r="C58" s="46" t="str">
        <f t="shared" ref="C58:W58" ca="1" si="18">IF(AND($A6&gt;C$55,$A6&lt;C$53),ABS(AVERAGE(C4:C8)),"")</f>
        <v/>
      </c>
      <c r="D58" s="46" t="str">
        <f t="shared" ca="1" si="18"/>
        <v/>
      </c>
      <c r="E58" s="46" t="str">
        <f t="shared" ca="1" si="18"/>
        <v/>
      </c>
      <c r="F58" s="46" t="str">
        <f t="shared" ca="1" si="18"/>
        <v/>
      </c>
      <c r="G58" s="46" t="str">
        <f t="shared" ca="1" si="18"/>
        <v/>
      </c>
      <c r="H58" s="46" t="str">
        <f t="shared" ca="1" si="18"/>
        <v/>
      </c>
      <c r="I58" s="46" t="str">
        <f t="shared" ca="1" si="18"/>
        <v/>
      </c>
      <c r="J58" s="46" t="str">
        <f t="shared" ca="1" si="18"/>
        <v/>
      </c>
      <c r="K58" s="46" t="str">
        <f t="shared" ca="1" si="18"/>
        <v/>
      </c>
      <c r="L58" s="46" t="str">
        <f t="shared" ca="1" si="18"/>
        <v/>
      </c>
      <c r="M58" s="46" t="str">
        <f t="shared" ca="1" si="18"/>
        <v/>
      </c>
      <c r="N58" s="46" t="str">
        <f t="shared" ca="1" si="18"/>
        <v/>
      </c>
      <c r="O58" s="46" t="str">
        <f t="shared" ca="1" si="18"/>
        <v/>
      </c>
      <c r="P58" s="46" t="str">
        <f t="shared" ca="1" si="18"/>
        <v/>
      </c>
      <c r="Q58" s="46" t="str">
        <f t="shared" ca="1" si="18"/>
        <v/>
      </c>
      <c r="R58" s="46" t="str">
        <f t="shared" ca="1" si="18"/>
        <v/>
      </c>
      <c r="S58" s="46" t="str">
        <f t="shared" ca="1" si="18"/>
        <v/>
      </c>
      <c r="T58" s="46" t="str">
        <f t="shared" ca="1" si="18"/>
        <v/>
      </c>
      <c r="U58" s="46" t="str">
        <f t="shared" ca="1" si="18"/>
        <v/>
      </c>
      <c r="V58" s="46" t="str">
        <f t="shared" ca="1" si="18"/>
        <v/>
      </c>
      <c r="W58" s="46" t="str">
        <f t="shared" ca="1" si="18"/>
        <v/>
      </c>
      <c r="X58" s="46" t="str">
        <f t="shared" ref="X58:X103" ca="1" si="19">IF(AND($A6&gt;X$55,$A6&lt;X$53),ABS(AVERAGE(X5:X7)),"")</f>
        <v/>
      </c>
    </row>
    <row r="59" spans="1:75" ht="11.1" customHeight="1" x14ac:dyDescent="0.25">
      <c r="A59" s="30" t="s">
        <v>86</v>
      </c>
      <c r="B59" s="46" t="str">
        <f t="shared" ref="B59:W70" ca="1" si="20">IF(AND($A7&gt;B$55,$A7&lt;B$53),ABS(AVERAGE(B5:B9)),"")</f>
        <v/>
      </c>
      <c r="C59" s="46" t="str">
        <f t="shared" ca="1" si="20"/>
        <v/>
      </c>
      <c r="D59" s="46" t="str">
        <f t="shared" ca="1" si="20"/>
        <v/>
      </c>
      <c r="E59" s="46" t="str">
        <f t="shared" ca="1" si="20"/>
        <v/>
      </c>
      <c r="F59" s="46" t="str">
        <f t="shared" ca="1" si="20"/>
        <v/>
      </c>
      <c r="G59" s="46" t="str">
        <f t="shared" ca="1" si="20"/>
        <v/>
      </c>
      <c r="H59" s="46" t="str">
        <f t="shared" ca="1" si="20"/>
        <v/>
      </c>
      <c r="I59" s="46" t="str">
        <f t="shared" ca="1" si="20"/>
        <v/>
      </c>
      <c r="J59" s="46" t="str">
        <f t="shared" ca="1" si="20"/>
        <v/>
      </c>
      <c r="K59" s="46" t="str">
        <f t="shared" ca="1" si="20"/>
        <v/>
      </c>
      <c r="L59" s="46" t="str">
        <f t="shared" ca="1" si="20"/>
        <v/>
      </c>
      <c r="M59" s="46" t="str">
        <f t="shared" ca="1" si="20"/>
        <v/>
      </c>
      <c r="N59" s="46" t="str">
        <f t="shared" ca="1" si="20"/>
        <v/>
      </c>
      <c r="O59" s="46" t="str">
        <f t="shared" ca="1" si="20"/>
        <v/>
      </c>
      <c r="P59" s="46" t="str">
        <f t="shared" ca="1" si="20"/>
        <v/>
      </c>
      <c r="Q59" s="46" t="str">
        <f t="shared" ca="1" si="20"/>
        <v/>
      </c>
      <c r="R59" s="46" t="str">
        <f t="shared" ca="1" si="20"/>
        <v/>
      </c>
      <c r="S59" s="46" t="str">
        <f t="shared" ca="1" si="20"/>
        <v/>
      </c>
      <c r="T59" s="46" t="str">
        <f t="shared" ca="1" si="20"/>
        <v/>
      </c>
      <c r="U59" s="46" t="str">
        <f t="shared" ca="1" si="20"/>
        <v/>
      </c>
      <c r="V59" s="46" t="str">
        <f t="shared" ca="1" si="20"/>
        <v/>
      </c>
      <c r="W59" s="46" t="str">
        <f t="shared" ca="1" si="20"/>
        <v/>
      </c>
      <c r="X59" s="46" t="str">
        <f t="shared" ca="1" si="19"/>
        <v/>
      </c>
    </row>
    <row r="60" spans="1:75" ht="11.1" customHeight="1" x14ac:dyDescent="0.25">
      <c r="A60" s="30" t="s">
        <v>87</v>
      </c>
      <c r="B60" s="46" t="str">
        <f t="shared" ca="1" si="20"/>
        <v/>
      </c>
      <c r="C60" s="46" t="str">
        <f t="shared" ca="1" si="20"/>
        <v/>
      </c>
      <c r="D60" s="46" t="str">
        <f t="shared" ca="1" si="20"/>
        <v/>
      </c>
      <c r="E60" s="46" t="str">
        <f t="shared" ca="1" si="20"/>
        <v/>
      </c>
      <c r="F60" s="46" t="str">
        <f t="shared" ca="1" si="20"/>
        <v/>
      </c>
      <c r="G60" s="46" t="str">
        <f t="shared" ca="1" si="20"/>
        <v/>
      </c>
      <c r="H60" s="46" t="str">
        <f t="shared" ca="1" si="20"/>
        <v/>
      </c>
      <c r="I60" s="46" t="str">
        <f t="shared" ca="1" si="20"/>
        <v/>
      </c>
      <c r="J60" s="46" t="str">
        <f t="shared" ca="1" si="20"/>
        <v/>
      </c>
      <c r="K60" s="46" t="str">
        <f t="shared" ca="1" si="20"/>
        <v/>
      </c>
      <c r="L60" s="46" t="str">
        <f t="shared" ca="1" si="20"/>
        <v/>
      </c>
      <c r="M60" s="46" t="str">
        <f t="shared" ca="1" si="20"/>
        <v/>
      </c>
      <c r="N60" s="46" t="str">
        <f t="shared" ca="1" si="20"/>
        <v/>
      </c>
      <c r="O60" s="46" t="str">
        <f t="shared" ca="1" si="20"/>
        <v/>
      </c>
      <c r="P60" s="46" t="str">
        <f t="shared" ca="1" si="20"/>
        <v/>
      </c>
      <c r="Q60" s="46" t="str">
        <f t="shared" ca="1" si="20"/>
        <v/>
      </c>
      <c r="R60" s="46" t="str">
        <f t="shared" ca="1" si="20"/>
        <v/>
      </c>
      <c r="S60" s="46" t="str">
        <f t="shared" ca="1" si="20"/>
        <v/>
      </c>
      <c r="T60" s="46" t="str">
        <f t="shared" ca="1" si="20"/>
        <v/>
      </c>
      <c r="U60" s="46" t="str">
        <f t="shared" ca="1" si="20"/>
        <v/>
      </c>
      <c r="V60" s="46" t="str">
        <f t="shared" ca="1" si="20"/>
        <v/>
      </c>
      <c r="W60" s="46" t="str">
        <f t="shared" ca="1" si="20"/>
        <v/>
      </c>
      <c r="X60" s="46" t="str">
        <f t="shared" ca="1" si="19"/>
        <v/>
      </c>
    </row>
    <row r="61" spans="1:75" ht="11.1" customHeight="1" x14ac:dyDescent="0.25">
      <c r="A61" s="30" t="s">
        <v>1</v>
      </c>
      <c r="B61" s="46" t="str">
        <f t="shared" ca="1" si="20"/>
        <v/>
      </c>
      <c r="C61" s="46" t="str">
        <f t="shared" ca="1" si="20"/>
        <v/>
      </c>
      <c r="D61" s="46" t="str">
        <f t="shared" ca="1" si="20"/>
        <v/>
      </c>
      <c r="E61" s="46" t="str">
        <f t="shared" ca="1" si="20"/>
        <v/>
      </c>
      <c r="F61" s="46" t="str">
        <f t="shared" ca="1" si="20"/>
        <v/>
      </c>
      <c r="G61" s="46" t="str">
        <f t="shared" ca="1" si="20"/>
        <v/>
      </c>
      <c r="H61" s="46" t="str">
        <f t="shared" ca="1" si="20"/>
        <v/>
      </c>
      <c r="I61" s="46" t="str">
        <f t="shared" ca="1" si="20"/>
        <v/>
      </c>
      <c r="J61" s="46" t="str">
        <f t="shared" ca="1" si="20"/>
        <v/>
      </c>
      <c r="K61" s="46" t="str">
        <f t="shared" ca="1" si="20"/>
        <v/>
      </c>
      <c r="L61" s="46" t="str">
        <f t="shared" ca="1" si="20"/>
        <v/>
      </c>
      <c r="M61" s="46" t="str">
        <f t="shared" ca="1" si="20"/>
        <v/>
      </c>
      <c r="N61" s="46" t="str">
        <f t="shared" ca="1" si="20"/>
        <v/>
      </c>
      <c r="O61" s="46" t="str">
        <f t="shared" ca="1" si="20"/>
        <v/>
      </c>
      <c r="P61" s="46" t="str">
        <f t="shared" ca="1" si="20"/>
        <v/>
      </c>
      <c r="Q61" s="46" t="str">
        <f t="shared" ca="1" si="20"/>
        <v/>
      </c>
      <c r="R61" s="46" t="str">
        <f t="shared" ca="1" si="20"/>
        <v/>
      </c>
      <c r="S61" s="46" t="str">
        <f t="shared" ca="1" si="20"/>
        <v/>
      </c>
      <c r="T61" s="46" t="str">
        <f t="shared" ca="1" si="20"/>
        <v/>
      </c>
      <c r="U61" s="46" t="str">
        <f t="shared" ca="1" si="20"/>
        <v/>
      </c>
      <c r="V61" s="46" t="str">
        <f t="shared" ca="1" si="20"/>
        <v/>
      </c>
      <c r="W61" s="46" t="str">
        <f t="shared" ca="1" si="20"/>
        <v/>
      </c>
      <c r="X61" s="46" t="str">
        <f t="shared" ca="1" si="19"/>
        <v/>
      </c>
    </row>
    <row r="62" spans="1:75" ht="11.1" customHeight="1" x14ac:dyDescent="0.25">
      <c r="A62" s="30" t="s">
        <v>45</v>
      </c>
      <c r="B62" s="46" t="str">
        <f t="shared" ca="1" si="20"/>
        <v/>
      </c>
      <c r="C62" s="46" t="str">
        <f t="shared" ca="1" si="20"/>
        <v/>
      </c>
      <c r="D62" s="46" t="str">
        <f t="shared" ca="1" si="20"/>
        <v/>
      </c>
      <c r="E62" s="46" t="str">
        <f t="shared" ca="1" si="20"/>
        <v/>
      </c>
      <c r="F62" s="46" t="str">
        <f t="shared" ca="1" si="20"/>
        <v/>
      </c>
      <c r="G62" s="46" t="str">
        <f t="shared" ca="1" si="20"/>
        <v/>
      </c>
      <c r="H62" s="46" t="str">
        <f t="shared" ca="1" si="20"/>
        <v/>
      </c>
      <c r="I62" s="46" t="str">
        <f t="shared" ca="1" si="20"/>
        <v/>
      </c>
      <c r="J62" s="46" t="str">
        <f t="shared" ca="1" si="20"/>
        <v/>
      </c>
      <c r="K62" s="46" t="str">
        <f t="shared" ca="1" si="20"/>
        <v/>
      </c>
      <c r="L62" s="46" t="str">
        <f t="shared" ca="1" si="20"/>
        <v/>
      </c>
      <c r="M62" s="46" t="str">
        <f t="shared" ca="1" si="20"/>
        <v/>
      </c>
      <c r="N62" s="46" t="str">
        <f t="shared" ca="1" si="20"/>
        <v/>
      </c>
      <c r="O62" s="46" t="str">
        <f t="shared" ca="1" si="20"/>
        <v/>
      </c>
      <c r="P62" s="46" t="str">
        <f t="shared" ca="1" si="20"/>
        <v/>
      </c>
      <c r="Q62" s="46" t="str">
        <f t="shared" ca="1" si="20"/>
        <v/>
      </c>
      <c r="R62" s="46" t="str">
        <f t="shared" ca="1" si="20"/>
        <v/>
      </c>
      <c r="S62" s="46" t="str">
        <f t="shared" ca="1" si="20"/>
        <v/>
      </c>
      <c r="T62" s="46" t="str">
        <f t="shared" ca="1" si="20"/>
        <v/>
      </c>
      <c r="U62" s="46" t="str">
        <f t="shared" ca="1" si="20"/>
        <v/>
      </c>
      <c r="V62" s="46" t="str">
        <f t="shared" ca="1" si="20"/>
        <v/>
      </c>
      <c r="W62" s="46" t="str">
        <f t="shared" ca="1" si="20"/>
        <v/>
      </c>
      <c r="X62" s="46" t="str">
        <f t="shared" ca="1" si="19"/>
        <v/>
      </c>
    </row>
    <row r="63" spans="1:75" ht="11.1" customHeight="1" x14ac:dyDescent="0.25">
      <c r="A63" s="30" t="s">
        <v>88</v>
      </c>
      <c r="B63" s="46" t="str">
        <f t="shared" ca="1" si="20"/>
        <v/>
      </c>
      <c r="C63" s="46" t="str">
        <f t="shared" ca="1" si="20"/>
        <v/>
      </c>
      <c r="D63" s="46" t="str">
        <f t="shared" ca="1" si="20"/>
        <v/>
      </c>
      <c r="E63" s="46" t="str">
        <f t="shared" ca="1" si="20"/>
        <v/>
      </c>
      <c r="F63" s="46" t="str">
        <f t="shared" ca="1" si="20"/>
        <v/>
      </c>
      <c r="G63" s="46" t="str">
        <f t="shared" ca="1" si="20"/>
        <v/>
      </c>
      <c r="H63" s="46" t="str">
        <f t="shared" ca="1" si="20"/>
        <v/>
      </c>
      <c r="I63" s="46" t="str">
        <f t="shared" ca="1" si="20"/>
        <v/>
      </c>
      <c r="J63" s="46" t="str">
        <f t="shared" ca="1" si="20"/>
        <v/>
      </c>
      <c r="K63" s="46" t="str">
        <f t="shared" ca="1" si="20"/>
        <v/>
      </c>
      <c r="L63" s="46" t="str">
        <f t="shared" ca="1" si="20"/>
        <v/>
      </c>
      <c r="M63" s="46" t="str">
        <f t="shared" ca="1" si="20"/>
        <v/>
      </c>
      <c r="N63" s="46" t="str">
        <f t="shared" ca="1" si="20"/>
        <v/>
      </c>
      <c r="O63" s="46" t="str">
        <f t="shared" ca="1" si="20"/>
        <v/>
      </c>
      <c r="P63" s="46" t="str">
        <f t="shared" ca="1" si="20"/>
        <v/>
      </c>
      <c r="Q63" s="46" t="str">
        <f t="shared" ca="1" si="20"/>
        <v/>
      </c>
      <c r="R63" s="46" t="str">
        <f t="shared" ca="1" si="20"/>
        <v/>
      </c>
      <c r="S63" s="46" t="str">
        <f t="shared" ca="1" si="20"/>
        <v/>
      </c>
      <c r="T63" s="46" t="str">
        <f t="shared" ca="1" si="20"/>
        <v/>
      </c>
      <c r="U63" s="46" t="str">
        <f t="shared" ca="1" si="20"/>
        <v/>
      </c>
      <c r="V63" s="46" t="str">
        <f t="shared" ca="1" si="20"/>
        <v/>
      </c>
      <c r="W63" s="46" t="str">
        <f t="shared" ca="1" si="20"/>
        <v/>
      </c>
      <c r="X63" s="46" t="str">
        <f t="shared" ca="1" si="19"/>
        <v/>
      </c>
    </row>
    <row r="64" spans="1:75" ht="11.1" customHeight="1" x14ac:dyDescent="0.25">
      <c r="A64" s="30" t="s">
        <v>89</v>
      </c>
      <c r="B64" s="46" t="str">
        <f t="shared" ca="1" si="20"/>
        <v/>
      </c>
      <c r="C64" s="46" t="str">
        <f t="shared" ca="1" si="20"/>
        <v/>
      </c>
      <c r="D64" s="46" t="str">
        <f t="shared" ca="1" si="20"/>
        <v/>
      </c>
      <c r="E64" s="46" t="str">
        <f t="shared" ca="1" si="20"/>
        <v/>
      </c>
      <c r="F64" s="46" t="str">
        <f t="shared" ca="1" si="20"/>
        <v/>
      </c>
      <c r="G64" s="46" t="str">
        <f t="shared" ca="1" si="20"/>
        <v/>
      </c>
      <c r="H64" s="46" t="str">
        <f t="shared" ca="1" si="20"/>
        <v/>
      </c>
      <c r="I64" s="46" t="str">
        <f t="shared" ca="1" si="20"/>
        <v/>
      </c>
      <c r="J64" s="46" t="str">
        <f t="shared" ca="1" si="20"/>
        <v/>
      </c>
      <c r="K64" s="46" t="str">
        <f t="shared" ca="1" si="20"/>
        <v/>
      </c>
      <c r="L64" s="46" t="str">
        <f t="shared" ca="1" si="20"/>
        <v/>
      </c>
      <c r="M64" s="46" t="str">
        <f t="shared" ca="1" si="20"/>
        <v/>
      </c>
      <c r="N64" s="46" t="str">
        <f t="shared" ca="1" si="20"/>
        <v/>
      </c>
      <c r="O64" s="46" t="str">
        <f t="shared" ca="1" si="20"/>
        <v/>
      </c>
      <c r="P64" s="46" t="str">
        <f t="shared" ca="1" si="20"/>
        <v/>
      </c>
      <c r="Q64" s="46" t="str">
        <f t="shared" ca="1" si="20"/>
        <v/>
      </c>
      <c r="R64" s="46" t="str">
        <f t="shared" ca="1" si="20"/>
        <v/>
      </c>
      <c r="S64" s="46" t="str">
        <f t="shared" ca="1" si="20"/>
        <v/>
      </c>
      <c r="T64" s="46" t="str">
        <f t="shared" ca="1" si="20"/>
        <v/>
      </c>
      <c r="U64" s="46" t="str">
        <f t="shared" ca="1" si="20"/>
        <v/>
      </c>
      <c r="V64" s="46" t="str">
        <f t="shared" ca="1" si="20"/>
        <v/>
      </c>
      <c r="W64" s="46" t="str">
        <f t="shared" ca="1" si="20"/>
        <v/>
      </c>
      <c r="X64" s="46" t="str">
        <f t="shared" ca="1" si="19"/>
        <v/>
      </c>
    </row>
    <row r="65" spans="1:24" ht="11.1" customHeight="1" x14ac:dyDescent="0.25">
      <c r="A65" s="30" t="s">
        <v>90</v>
      </c>
      <c r="B65" s="46" t="str">
        <f t="shared" ca="1" si="20"/>
        <v/>
      </c>
      <c r="C65" s="46" t="str">
        <f t="shared" ca="1" si="20"/>
        <v/>
      </c>
      <c r="D65" s="46" t="str">
        <f t="shared" ca="1" si="20"/>
        <v/>
      </c>
      <c r="E65" s="46" t="str">
        <f t="shared" ca="1" si="20"/>
        <v/>
      </c>
      <c r="F65" s="46" t="str">
        <f t="shared" ca="1" si="20"/>
        <v/>
      </c>
      <c r="G65" s="46" t="str">
        <f t="shared" ca="1" si="20"/>
        <v/>
      </c>
      <c r="H65" s="46" t="str">
        <f t="shared" ca="1" si="20"/>
        <v/>
      </c>
      <c r="I65" s="46" t="str">
        <f t="shared" ca="1" si="20"/>
        <v/>
      </c>
      <c r="J65" s="46" t="str">
        <f t="shared" ca="1" si="20"/>
        <v/>
      </c>
      <c r="K65" s="46" t="str">
        <f t="shared" ca="1" si="20"/>
        <v/>
      </c>
      <c r="L65" s="46" t="str">
        <f t="shared" ca="1" si="20"/>
        <v/>
      </c>
      <c r="M65" s="46" t="str">
        <f t="shared" ca="1" si="20"/>
        <v/>
      </c>
      <c r="N65" s="46" t="str">
        <f t="shared" ca="1" si="20"/>
        <v/>
      </c>
      <c r="O65" s="46" t="str">
        <f t="shared" ca="1" si="20"/>
        <v/>
      </c>
      <c r="P65" s="46" t="str">
        <f t="shared" ca="1" si="20"/>
        <v/>
      </c>
      <c r="Q65" s="46" t="str">
        <f t="shared" ca="1" si="20"/>
        <v/>
      </c>
      <c r="R65" s="46" t="str">
        <f t="shared" ca="1" si="20"/>
        <v/>
      </c>
      <c r="S65" s="46" t="str">
        <f t="shared" ca="1" si="20"/>
        <v/>
      </c>
      <c r="T65" s="46" t="str">
        <f t="shared" ca="1" si="20"/>
        <v/>
      </c>
      <c r="U65" s="46" t="str">
        <f t="shared" ca="1" si="20"/>
        <v/>
      </c>
      <c r="V65" s="46" t="str">
        <f t="shared" ca="1" si="20"/>
        <v/>
      </c>
      <c r="W65" s="46" t="str">
        <f t="shared" ca="1" si="20"/>
        <v/>
      </c>
      <c r="X65" s="46" t="str">
        <f t="shared" ca="1" si="19"/>
        <v/>
      </c>
    </row>
    <row r="66" spans="1:24" ht="11.1" customHeight="1" x14ac:dyDescent="0.25">
      <c r="A66" s="30" t="s">
        <v>91</v>
      </c>
      <c r="B66" s="46" t="str">
        <f t="shared" ca="1" si="20"/>
        <v/>
      </c>
      <c r="C66" s="46" t="str">
        <f t="shared" ca="1" si="20"/>
        <v/>
      </c>
      <c r="D66" s="46" t="str">
        <f t="shared" ca="1" si="20"/>
        <v/>
      </c>
      <c r="E66" s="46" t="str">
        <f t="shared" ca="1" si="20"/>
        <v/>
      </c>
      <c r="F66" s="46" t="str">
        <f t="shared" ca="1" si="20"/>
        <v/>
      </c>
      <c r="G66" s="46" t="str">
        <f t="shared" ca="1" si="20"/>
        <v/>
      </c>
      <c r="H66" s="46" t="str">
        <f t="shared" ca="1" si="20"/>
        <v/>
      </c>
      <c r="I66" s="46" t="str">
        <f t="shared" ca="1" si="20"/>
        <v/>
      </c>
      <c r="J66" s="46" t="str">
        <f t="shared" ca="1" si="20"/>
        <v/>
      </c>
      <c r="K66" s="46" t="str">
        <f t="shared" ca="1" si="20"/>
        <v/>
      </c>
      <c r="L66" s="46" t="str">
        <f t="shared" ca="1" si="20"/>
        <v/>
      </c>
      <c r="M66" s="46" t="str">
        <f t="shared" ca="1" si="20"/>
        <v/>
      </c>
      <c r="N66" s="46" t="str">
        <f t="shared" ca="1" si="20"/>
        <v/>
      </c>
      <c r="O66" s="46" t="str">
        <f t="shared" ca="1" si="20"/>
        <v/>
      </c>
      <c r="P66" s="46" t="str">
        <f t="shared" ca="1" si="20"/>
        <v/>
      </c>
      <c r="Q66" s="46" t="str">
        <f t="shared" ca="1" si="20"/>
        <v/>
      </c>
      <c r="R66" s="46" t="str">
        <f t="shared" ca="1" si="20"/>
        <v/>
      </c>
      <c r="S66" s="46" t="str">
        <f t="shared" ca="1" si="20"/>
        <v/>
      </c>
      <c r="T66" s="46" t="str">
        <f t="shared" ca="1" si="20"/>
        <v/>
      </c>
      <c r="U66" s="46" t="str">
        <f t="shared" ca="1" si="20"/>
        <v/>
      </c>
      <c r="V66" s="46" t="str">
        <f t="shared" ca="1" si="20"/>
        <v/>
      </c>
      <c r="W66" s="46" t="str">
        <f t="shared" ca="1" si="20"/>
        <v/>
      </c>
      <c r="X66" s="46" t="str">
        <f t="shared" ca="1" si="19"/>
        <v/>
      </c>
    </row>
    <row r="67" spans="1:24" ht="11.1" customHeight="1" thickBot="1" x14ac:dyDescent="0.3">
      <c r="A67" s="31"/>
      <c r="B67" s="46" t="str">
        <f t="shared" ca="1" si="20"/>
        <v/>
      </c>
      <c r="C67" s="46" t="str">
        <f t="shared" ca="1" si="20"/>
        <v/>
      </c>
      <c r="D67" s="46" t="str">
        <f t="shared" ca="1" si="20"/>
        <v/>
      </c>
      <c r="E67" s="46" t="str">
        <f t="shared" ca="1" si="20"/>
        <v/>
      </c>
      <c r="F67" s="46" t="str">
        <f t="shared" ca="1" si="20"/>
        <v/>
      </c>
      <c r="G67" s="46" t="str">
        <f t="shared" ca="1" si="20"/>
        <v/>
      </c>
      <c r="H67" s="46" t="str">
        <f t="shared" ca="1" si="20"/>
        <v/>
      </c>
      <c r="I67" s="46" t="str">
        <f t="shared" ca="1" si="20"/>
        <v/>
      </c>
      <c r="J67" s="46" t="str">
        <f t="shared" ca="1" si="20"/>
        <v/>
      </c>
      <c r="K67" s="46" t="str">
        <f t="shared" ca="1" si="20"/>
        <v/>
      </c>
      <c r="L67" s="46" t="str">
        <f t="shared" ca="1" si="20"/>
        <v/>
      </c>
      <c r="M67" s="46" t="str">
        <f t="shared" ca="1" si="20"/>
        <v/>
      </c>
      <c r="N67" s="46" t="str">
        <f t="shared" ca="1" si="20"/>
        <v/>
      </c>
      <c r="O67" s="46" t="str">
        <f t="shared" ca="1" si="20"/>
        <v/>
      </c>
      <c r="P67" s="46" t="str">
        <f t="shared" ca="1" si="20"/>
        <v/>
      </c>
      <c r="Q67" s="46" t="str">
        <f t="shared" ca="1" si="20"/>
        <v/>
      </c>
      <c r="R67" s="46" t="str">
        <f t="shared" ca="1" si="20"/>
        <v/>
      </c>
      <c r="S67" s="46" t="str">
        <f t="shared" ca="1" si="20"/>
        <v/>
      </c>
      <c r="T67" s="46" t="str">
        <f t="shared" ca="1" si="20"/>
        <v/>
      </c>
      <c r="U67" s="46" t="str">
        <f t="shared" ca="1" si="20"/>
        <v/>
      </c>
      <c r="V67" s="46" t="str">
        <f t="shared" ca="1" si="20"/>
        <v/>
      </c>
      <c r="W67" s="46" t="str">
        <f t="shared" ca="1" si="20"/>
        <v/>
      </c>
      <c r="X67" s="46" t="str">
        <f t="shared" ca="1" si="19"/>
        <v/>
      </c>
    </row>
    <row r="68" spans="1:24" ht="11.1" customHeight="1" x14ac:dyDescent="0.25">
      <c r="A68" s="11" t="s">
        <v>287</v>
      </c>
      <c r="B68" s="46" t="str">
        <f t="shared" ca="1" si="20"/>
        <v/>
      </c>
      <c r="C68" s="46" t="str">
        <f t="shared" ca="1" si="20"/>
        <v/>
      </c>
      <c r="D68" s="46" t="str">
        <f t="shared" ca="1" si="20"/>
        <v/>
      </c>
      <c r="E68" s="46" t="str">
        <f t="shared" ca="1" si="20"/>
        <v/>
      </c>
      <c r="F68" s="46" t="str">
        <f t="shared" ca="1" si="20"/>
        <v/>
      </c>
      <c r="G68" s="46" t="str">
        <f t="shared" ca="1" si="20"/>
        <v/>
      </c>
      <c r="H68" s="46" t="str">
        <f t="shared" ca="1" si="20"/>
        <v/>
      </c>
      <c r="I68" s="46" t="str">
        <f t="shared" ca="1" si="20"/>
        <v/>
      </c>
      <c r="J68" s="46" t="str">
        <f t="shared" ca="1" si="20"/>
        <v/>
      </c>
      <c r="K68" s="46" t="str">
        <f t="shared" ca="1" si="20"/>
        <v/>
      </c>
      <c r="L68" s="46" t="str">
        <f t="shared" ca="1" si="20"/>
        <v/>
      </c>
      <c r="M68" s="46" t="str">
        <f t="shared" ca="1" si="20"/>
        <v/>
      </c>
      <c r="N68" s="46" t="str">
        <f t="shared" ca="1" si="20"/>
        <v/>
      </c>
      <c r="O68" s="46" t="str">
        <f t="shared" ca="1" si="20"/>
        <v/>
      </c>
      <c r="P68" s="46" t="str">
        <f t="shared" ca="1" si="20"/>
        <v/>
      </c>
      <c r="Q68" s="46" t="str">
        <f t="shared" ca="1" si="20"/>
        <v/>
      </c>
      <c r="R68" s="46" t="str">
        <f t="shared" ca="1" si="20"/>
        <v/>
      </c>
      <c r="S68" s="46" t="str">
        <f t="shared" ca="1" si="20"/>
        <v/>
      </c>
      <c r="T68" s="46" t="str">
        <f t="shared" ca="1" si="20"/>
        <v/>
      </c>
      <c r="U68" s="46" t="str">
        <f t="shared" ca="1" si="20"/>
        <v/>
      </c>
      <c r="V68" s="46" t="str">
        <f t="shared" ca="1" si="20"/>
        <v/>
      </c>
      <c r="W68" s="46" t="str">
        <f t="shared" ca="1" si="20"/>
        <v/>
      </c>
      <c r="X68" s="46" t="str">
        <f t="shared" ca="1" si="19"/>
        <v/>
      </c>
    </row>
    <row r="69" spans="1:24" ht="11.1" customHeight="1" x14ac:dyDescent="0.25">
      <c r="A69" s="11" t="s">
        <v>2</v>
      </c>
      <c r="B69" s="46" t="str">
        <f t="shared" ca="1" si="20"/>
        <v/>
      </c>
      <c r="C69" s="46" t="str">
        <f t="shared" ca="1" si="20"/>
        <v/>
      </c>
      <c r="D69" s="46" t="str">
        <f t="shared" ca="1" si="20"/>
        <v/>
      </c>
      <c r="E69" s="46" t="str">
        <f t="shared" ca="1" si="20"/>
        <v/>
      </c>
      <c r="F69" s="46" t="str">
        <f t="shared" ca="1" si="20"/>
        <v/>
      </c>
      <c r="G69" s="46" t="str">
        <f t="shared" ca="1" si="20"/>
        <v/>
      </c>
      <c r="H69" s="46" t="str">
        <f t="shared" ca="1" si="20"/>
        <v/>
      </c>
      <c r="I69" s="46" t="str">
        <f t="shared" ca="1" si="20"/>
        <v/>
      </c>
      <c r="J69" s="46" t="str">
        <f t="shared" ca="1" si="20"/>
        <v/>
      </c>
      <c r="K69" s="46" t="str">
        <f t="shared" ca="1" si="20"/>
        <v/>
      </c>
      <c r="L69" s="46" t="str">
        <f t="shared" ca="1" si="20"/>
        <v/>
      </c>
      <c r="M69" s="46" t="str">
        <f t="shared" ca="1" si="20"/>
        <v/>
      </c>
      <c r="N69" s="46" t="str">
        <f t="shared" ca="1" si="20"/>
        <v/>
      </c>
      <c r="O69" s="46" t="str">
        <f t="shared" ca="1" si="20"/>
        <v/>
      </c>
      <c r="P69" s="46" t="str">
        <f t="shared" ca="1" si="20"/>
        <v/>
      </c>
      <c r="Q69" s="46" t="str">
        <f t="shared" ca="1" si="20"/>
        <v/>
      </c>
      <c r="R69" s="46" t="str">
        <f t="shared" ca="1" si="20"/>
        <v/>
      </c>
      <c r="S69" s="46" t="str">
        <f t="shared" ca="1" si="20"/>
        <v/>
      </c>
      <c r="T69" s="46" t="str">
        <f t="shared" ca="1" si="20"/>
        <v/>
      </c>
      <c r="U69" s="46" t="str">
        <f t="shared" ca="1" si="20"/>
        <v/>
      </c>
      <c r="V69" s="46" t="str">
        <f t="shared" ca="1" si="20"/>
        <v/>
      </c>
      <c r="W69" s="46" t="str">
        <f t="shared" ca="1" si="20"/>
        <v/>
      </c>
      <c r="X69" s="46" t="str">
        <f t="shared" ca="1" si="19"/>
        <v/>
      </c>
    </row>
    <row r="70" spans="1:24" ht="11.1" customHeight="1" x14ac:dyDescent="0.25">
      <c r="A70" s="11" t="s">
        <v>3</v>
      </c>
      <c r="B70" s="46" t="str">
        <f t="shared" ca="1" si="20"/>
        <v/>
      </c>
      <c r="C70" s="46" t="str">
        <f t="shared" ca="1" si="20"/>
        <v/>
      </c>
      <c r="D70" s="46" t="str">
        <f t="shared" ca="1" si="20"/>
        <v/>
      </c>
      <c r="E70" s="46" t="str">
        <f t="shared" ca="1" si="20"/>
        <v/>
      </c>
      <c r="F70" s="46" t="str">
        <f t="shared" ca="1" si="20"/>
        <v/>
      </c>
      <c r="G70" s="46" t="str">
        <f t="shared" ca="1" si="20"/>
        <v/>
      </c>
      <c r="H70" s="46" t="str">
        <f t="shared" ca="1" si="20"/>
        <v/>
      </c>
      <c r="I70" s="46" t="str">
        <f t="shared" ca="1" si="20"/>
        <v/>
      </c>
      <c r="J70" s="46" t="str">
        <f t="shared" ca="1" si="20"/>
        <v/>
      </c>
      <c r="K70" s="46" t="str">
        <f t="shared" ca="1" si="20"/>
        <v/>
      </c>
      <c r="L70" s="46" t="str">
        <f t="shared" ca="1" si="20"/>
        <v/>
      </c>
      <c r="M70" s="46" t="str">
        <f t="shared" ca="1" si="20"/>
        <v/>
      </c>
      <c r="N70" s="46" t="str">
        <f t="shared" ca="1" si="20"/>
        <v/>
      </c>
      <c r="O70" s="46" t="str">
        <f t="shared" ref="O70:W70" ca="1" si="21">IF(AND($A18&gt;O$55,$A18&lt;O$53),ABS(AVERAGE(O16:O20)),"")</f>
        <v/>
      </c>
      <c r="P70" s="46" t="str">
        <f t="shared" ca="1" si="21"/>
        <v/>
      </c>
      <c r="Q70" s="46" t="str">
        <f t="shared" ca="1" si="21"/>
        <v/>
      </c>
      <c r="R70" s="46" t="str">
        <f t="shared" ca="1" si="21"/>
        <v/>
      </c>
      <c r="S70" s="46" t="str">
        <f t="shared" ca="1" si="21"/>
        <v/>
      </c>
      <c r="T70" s="46" t="str">
        <f t="shared" ca="1" si="21"/>
        <v/>
      </c>
      <c r="U70" s="46" t="str">
        <f t="shared" ca="1" si="21"/>
        <v/>
      </c>
      <c r="V70" s="46" t="str">
        <f t="shared" ca="1" si="21"/>
        <v/>
      </c>
      <c r="W70" s="46" t="str">
        <f t="shared" ca="1" si="21"/>
        <v/>
      </c>
      <c r="X70" s="46" t="str">
        <f t="shared" ca="1" si="19"/>
        <v/>
      </c>
    </row>
    <row r="71" spans="1:24" ht="11.1" customHeight="1" x14ac:dyDescent="0.25">
      <c r="A71" s="11" t="s">
        <v>4</v>
      </c>
      <c r="B71" s="46" t="str">
        <f t="shared" ref="B71:W82" ca="1" si="22">IF(AND($A19&gt;B$55,$A19&lt;B$53),ABS(AVERAGE(B17:B21)),"")</f>
        <v/>
      </c>
      <c r="C71" s="46" t="str">
        <f t="shared" ca="1" si="22"/>
        <v/>
      </c>
      <c r="D71" s="46" t="str">
        <f t="shared" ca="1" si="22"/>
        <v/>
      </c>
      <c r="E71" s="46" t="str">
        <f t="shared" ca="1" si="22"/>
        <v/>
      </c>
      <c r="F71" s="46" t="str">
        <f t="shared" ca="1" si="22"/>
        <v/>
      </c>
      <c r="G71" s="46" t="str">
        <f t="shared" ca="1" si="22"/>
        <v/>
      </c>
      <c r="H71" s="46" t="str">
        <f t="shared" ca="1" si="22"/>
        <v/>
      </c>
      <c r="I71" s="46" t="str">
        <f t="shared" ca="1" si="22"/>
        <v/>
      </c>
      <c r="J71" s="46" t="str">
        <f t="shared" ca="1" si="22"/>
        <v/>
      </c>
      <c r="K71" s="46" t="str">
        <f t="shared" ca="1" si="22"/>
        <v/>
      </c>
      <c r="L71" s="46" t="str">
        <f t="shared" ca="1" si="22"/>
        <v/>
      </c>
      <c r="M71" s="46" t="str">
        <f t="shared" ca="1" si="22"/>
        <v/>
      </c>
      <c r="N71" s="46" t="str">
        <f t="shared" ca="1" si="22"/>
        <v/>
      </c>
      <c r="O71" s="46" t="str">
        <f t="shared" ca="1" si="22"/>
        <v/>
      </c>
      <c r="P71" s="46" t="str">
        <f t="shared" ca="1" si="22"/>
        <v/>
      </c>
      <c r="Q71" s="46" t="str">
        <f t="shared" ca="1" si="22"/>
        <v/>
      </c>
      <c r="R71" s="46" t="str">
        <f t="shared" ca="1" si="22"/>
        <v/>
      </c>
      <c r="S71" s="46" t="str">
        <f t="shared" ca="1" si="22"/>
        <v/>
      </c>
      <c r="T71" s="46" t="str">
        <f t="shared" ca="1" si="22"/>
        <v/>
      </c>
      <c r="U71" s="46" t="str">
        <f t="shared" ca="1" si="22"/>
        <v/>
      </c>
      <c r="V71" s="46" t="str">
        <f t="shared" ca="1" si="22"/>
        <v/>
      </c>
      <c r="W71" s="46" t="str">
        <f t="shared" ca="1" si="22"/>
        <v/>
      </c>
      <c r="X71" s="46" t="str">
        <f t="shared" ca="1" si="19"/>
        <v/>
      </c>
    </row>
    <row r="72" spans="1:24" ht="11.1" customHeight="1" x14ac:dyDescent="0.25">
      <c r="A72" s="11" t="s">
        <v>5</v>
      </c>
      <c r="B72" s="46" t="str">
        <f t="shared" ca="1" si="22"/>
        <v/>
      </c>
      <c r="C72" s="46" t="str">
        <f t="shared" ca="1" si="22"/>
        <v/>
      </c>
      <c r="D72" s="46" t="str">
        <f t="shared" ca="1" si="22"/>
        <v/>
      </c>
      <c r="E72" s="46" t="str">
        <f t="shared" ca="1" si="22"/>
        <v/>
      </c>
      <c r="F72" s="46" t="str">
        <f t="shared" ca="1" si="22"/>
        <v/>
      </c>
      <c r="G72" s="46" t="str">
        <f t="shared" ca="1" si="22"/>
        <v/>
      </c>
      <c r="H72" s="46" t="str">
        <f t="shared" ca="1" si="22"/>
        <v/>
      </c>
      <c r="I72" s="46" t="str">
        <f t="shared" ca="1" si="22"/>
        <v/>
      </c>
      <c r="J72" s="46" t="str">
        <f t="shared" ca="1" si="22"/>
        <v/>
      </c>
      <c r="K72" s="46" t="str">
        <f t="shared" ca="1" si="22"/>
        <v/>
      </c>
      <c r="L72" s="46" t="str">
        <f t="shared" ca="1" si="22"/>
        <v/>
      </c>
      <c r="M72" s="46" t="str">
        <f t="shared" ca="1" si="22"/>
        <v/>
      </c>
      <c r="N72" s="46" t="str">
        <f t="shared" ca="1" si="22"/>
        <v/>
      </c>
      <c r="O72" s="46" t="str">
        <f t="shared" ca="1" si="22"/>
        <v/>
      </c>
      <c r="P72" s="46" t="str">
        <f t="shared" ca="1" si="22"/>
        <v/>
      </c>
      <c r="Q72" s="46" t="str">
        <f t="shared" ca="1" si="22"/>
        <v/>
      </c>
      <c r="R72" s="46" t="str">
        <f t="shared" ca="1" si="22"/>
        <v/>
      </c>
      <c r="S72" s="46" t="str">
        <f t="shared" ca="1" si="22"/>
        <v/>
      </c>
      <c r="T72" s="46" t="str">
        <f t="shared" ca="1" si="22"/>
        <v/>
      </c>
      <c r="U72" s="46" t="str">
        <f t="shared" ca="1" si="22"/>
        <v/>
      </c>
      <c r="V72" s="46" t="str">
        <f t="shared" ca="1" si="22"/>
        <v/>
      </c>
      <c r="W72" s="46" t="str">
        <f t="shared" ca="1" si="22"/>
        <v/>
      </c>
      <c r="X72" s="46" t="str">
        <f t="shared" ca="1" si="19"/>
        <v/>
      </c>
    </row>
    <row r="73" spans="1:24" ht="11.1" customHeight="1" x14ac:dyDescent="0.25">
      <c r="A73" s="11" t="s">
        <v>6</v>
      </c>
      <c r="B73" s="46" t="str">
        <f t="shared" ca="1" si="22"/>
        <v/>
      </c>
      <c r="C73" s="46" t="str">
        <f t="shared" ca="1" si="22"/>
        <v/>
      </c>
      <c r="D73" s="46" t="str">
        <f t="shared" ca="1" si="22"/>
        <v/>
      </c>
      <c r="E73" s="46" t="str">
        <f t="shared" ca="1" si="22"/>
        <v/>
      </c>
      <c r="F73" s="46" t="str">
        <f t="shared" ca="1" si="22"/>
        <v/>
      </c>
      <c r="G73" s="46" t="str">
        <f t="shared" ca="1" si="22"/>
        <v/>
      </c>
      <c r="H73" s="46" t="str">
        <f t="shared" ca="1" si="22"/>
        <v/>
      </c>
      <c r="I73" s="46" t="str">
        <f t="shared" ca="1" si="22"/>
        <v/>
      </c>
      <c r="J73" s="46" t="str">
        <f t="shared" ca="1" si="22"/>
        <v/>
      </c>
      <c r="K73" s="46" t="str">
        <f t="shared" ca="1" si="22"/>
        <v/>
      </c>
      <c r="L73" s="46" t="str">
        <f t="shared" ca="1" si="22"/>
        <v/>
      </c>
      <c r="M73" s="46" t="str">
        <f t="shared" ca="1" si="22"/>
        <v/>
      </c>
      <c r="N73" s="46" t="str">
        <f t="shared" ca="1" si="22"/>
        <v/>
      </c>
      <c r="O73" s="46" t="str">
        <f t="shared" ca="1" si="22"/>
        <v/>
      </c>
      <c r="P73" s="46" t="str">
        <f t="shared" ca="1" si="22"/>
        <v/>
      </c>
      <c r="Q73" s="46" t="str">
        <f t="shared" ca="1" si="22"/>
        <v/>
      </c>
      <c r="R73" s="46" t="str">
        <f t="shared" ca="1" si="22"/>
        <v/>
      </c>
      <c r="S73" s="46" t="str">
        <f t="shared" ca="1" si="22"/>
        <v/>
      </c>
      <c r="T73" s="46" t="str">
        <f t="shared" ca="1" si="22"/>
        <v/>
      </c>
      <c r="U73" s="46" t="str">
        <f t="shared" ca="1" si="22"/>
        <v/>
      </c>
      <c r="V73" s="46" t="str">
        <f t="shared" ca="1" si="22"/>
        <v/>
      </c>
      <c r="W73" s="46" t="str">
        <f t="shared" ca="1" si="22"/>
        <v/>
      </c>
      <c r="X73" s="46" t="str">
        <f t="shared" ca="1" si="19"/>
        <v/>
      </c>
    </row>
    <row r="74" spans="1:24" ht="11.1" customHeight="1" x14ac:dyDescent="0.25">
      <c r="A74" s="11" t="s">
        <v>7</v>
      </c>
      <c r="B74" s="46" t="str">
        <f t="shared" ca="1" si="22"/>
        <v/>
      </c>
      <c r="C74" s="46" t="str">
        <f t="shared" ca="1" si="22"/>
        <v/>
      </c>
      <c r="D74" s="46" t="str">
        <f t="shared" ca="1" si="22"/>
        <v/>
      </c>
      <c r="E74" s="46" t="str">
        <f t="shared" ca="1" si="22"/>
        <v/>
      </c>
      <c r="F74" s="46" t="str">
        <f t="shared" ca="1" si="22"/>
        <v/>
      </c>
      <c r="G74" s="46" t="str">
        <f t="shared" ca="1" si="22"/>
        <v/>
      </c>
      <c r="H74" s="46" t="str">
        <f t="shared" ca="1" si="22"/>
        <v/>
      </c>
      <c r="I74" s="46" t="str">
        <f t="shared" ca="1" si="22"/>
        <v/>
      </c>
      <c r="J74" s="46" t="str">
        <f t="shared" ca="1" si="22"/>
        <v/>
      </c>
      <c r="K74" s="46" t="str">
        <f t="shared" ca="1" si="22"/>
        <v/>
      </c>
      <c r="L74" s="46" t="str">
        <f t="shared" ca="1" si="22"/>
        <v/>
      </c>
      <c r="M74" s="46" t="str">
        <f t="shared" ca="1" si="22"/>
        <v/>
      </c>
      <c r="N74" s="46" t="str">
        <f t="shared" ca="1" si="22"/>
        <v/>
      </c>
      <c r="O74" s="46" t="str">
        <f t="shared" ca="1" si="22"/>
        <v/>
      </c>
      <c r="P74" s="46" t="str">
        <f t="shared" ca="1" si="22"/>
        <v/>
      </c>
      <c r="Q74" s="46" t="str">
        <f t="shared" ca="1" si="22"/>
        <v/>
      </c>
      <c r="R74" s="46" t="str">
        <f t="shared" ca="1" si="22"/>
        <v/>
      </c>
      <c r="S74" s="46" t="str">
        <f t="shared" ca="1" si="22"/>
        <v/>
      </c>
      <c r="T74" s="46" t="str">
        <f t="shared" ca="1" si="22"/>
        <v/>
      </c>
      <c r="U74" s="46" t="str">
        <f t="shared" ca="1" si="22"/>
        <v/>
      </c>
      <c r="V74" s="46" t="str">
        <f t="shared" ca="1" si="22"/>
        <v/>
      </c>
      <c r="W74" s="46" t="str">
        <f t="shared" ca="1" si="22"/>
        <v/>
      </c>
      <c r="X74" s="46" t="str">
        <f t="shared" ca="1" si="19"/>
        <v/>
      </c>
    </row>
    <row r="75" spans="1:24" ht="11.1" customHeight="1" x14ac:dyDescent="0.25">
      <c r="A75" s="11" t="s">
        <v>288</v>
      </c>
      <c r="B75" s="46" t="str">
        <f t="shared" ca="1" si="22"/>
        <v/>
      </c>
      <c r="C75" s="46" t="str">
        <f t="shared" ca="1" si="22"/>
        <v/>
      </c>
      <c r="D75" s="46" t="str">
        <f t="shared" ca="1" si="22"/>
        <v/>
      </c>
      <c r="E75" s="46" t="str">
        <f t="shared" ca="1" si="22"/>
        <v/>
      </c>
      <c r="F75" s="46" t="str">
        <f t="shared" ca="1" si="22"/>
        <v/>
      </c>
      <c r="G75" s="46" t="str">
        <f t="shared" ca="1" si="22"/>
        <v/>
      </c>
      <c r="H75" s="46" t="str">
        <f t="shared" ca="1" si="22"/>
        <v/>
      </c>
      <c r="I75" s="46" t="str">
        <f t="shared" ca="1" si="22"/>
        <v/>
      </c>
      <c r="J75" s="46" t="str">
        <f t="shared" ca="1" si="22"/>
        <v/>
      </c>
      <c r="K75" s="46" t="str">
        <f t="shared" ca="1" si="22"/>
        <v/>
      </c>
      <c r="L75" s="46" t="str">
        <f t="shared" ca="1" si="22"/>
        <v/>
      </c>
      <c r="M75" s="46" t="str">
        <f t="shared" ca="1" si="22"/>
        <v/>
      </c>
      <c r="N75" s="46" t="str">
        <f t="shared" ca="1" si="22"/>
        <v/>
      </c>
      <c r="O75" s="46" t="str">
        <f t="shared" ca="1" si="22"/>
        <v/>
      </c>
      <c r="P75" s="46" t="str">
        <f t="shared" ca="1" si="22"/>
        <v/>
      </c>
      <c r="Q75" s="46" t="str">
        <f t="shared" ca="1" si="22"/>
        <v/>
      </c>
      <c r="R75" s="46" t="str">
        <f t="shared" ca="1" si="22"/>
        <v/>
      </c>
      <c r="S75" s="46" t="str">
        <f t="shared" ca="1" si="22"/>
        <v/>
      </c>
      <c r="T75" s="46" t="str">
        <f t="shared" ca="1" si="22"/>
        <v/>
      </c>
      <c r="U75" s="46" t="str">
        <f t="shared" ca="1" si="22"/>
        <v/>
      </c>
      <c r="V75" s="46" t="str">
        <f t="shared" ca="1" si="22"/>
        <v/>
      </c>
      <c r="W75" s="46" t="str">
        <f t="shared" ca="1" si="22"/>
        <v/>
      </c>
      <c r="X75" s="46" t="str">
        <f t="shared" ca="1" si="19"/>
        <v/>
      </c>
    </row>
    <row r="76" spans="1:24" ht="11.1" customHeight="1" x14ac:dyDescent="0.25">
      <c r="A76" s="11" t="s">
        <v>8</v>
      </c>
      <c r="B76" s="46" t="str">
        <f t="shared" ca="1" si="22"/>
        <v/>
      </c>
      <c r="C76" s="46" t="str">
        <f t="shared" ca="1" si="22"/>
        <v/>
      </c>
      <c r="D76" s="46" t="str">
        <f t="shared" ca="1" si="22"/>
        <v/>
      </c>
      <c r="E76" s="46" t="str">
        <f t="shared" ca="1" si="22"/>
        <v/>
      </c>
      <c r="F76" s="46" t="str">
        <f t="shared" ca="1" si="22"/>
        <v/>
      </c>
      <c r="G76" s="46" t="str">
        <f t="shared" ca="1" si="22"/>
        <v/>
      </c>
      <c r="H76" s="46" t="str">
        <f t="shared" ca="1" si="22"/>
        <v/>
      </c>
      <c r="I76" s="46" t="str">
        <f t="shared" ca="1" si="22"/>
        <v/>
      </c>
      <c r="J76" s="46" t="str">
        <f t="shared" ca="1" si="22"/>
        <v/>
      </c>
      <c r="K76" s="46" t="str">
        <f t="shared" ca="1" si="22"/>
        <v/>
      </c>
      <c r="L76" s="46" t="str">
        <f t="shared" ca="1" si="22"/>
        <v/>
      </c>
      <c r="M76" s="46" t="str">
        <f t="shared" ca="1" si="22"/>
        <v/>
      </c>
      <c r="N76" s="46" t="str">
        <f t="shared" ca="1" si="22"/>
        <v/>
      </c>
      <c r="O76" s="46" t="str">
        <f t="shared" ca="1" si="22"/>
        <v/>
      </c>
      <c r="P76" s="46" t="str">
        <f t="shared" ca="1" si="22"/>
        <v/>
      </c>
      <c r="Q76" s="46" t="str">
        <f t="shared" ca="1" si="22"/>
        <v/>
      </c>
      <c r="R76" s="46" t="str">
        <f t="shared" ca="1" si="22"/>
        <v/>
      </c>
      <c r="S76" s="46" t="str">
        <f t="shared" ca="1" si="22"/>
        <v/>
      </c>
      <c r="T76" s="46" t="str">
        <f t="shared" ca="1" si="22"/>
        <v/>
      </c>
      <c r="U76" s="46" t="str">
        <f t="shared" ca="1" si="22"/>
        <v/>
      </c>
      <c r="V76" s="46" t="str">
        <f t="shared" ca="1" si="22"/>
        <v/>
      </c>
      <c r="W76" s="46" t="str">
        <f t="shared" ca="1" si="22"/>
        <v/>
      </c>
      <c r="X76" s="46" t="str">
        <f t="shared" ca="1" si="19"/>
        <v/>
      </c>
    </row>
    <row r="77" spans="1:24" ht="11.1" customHeight="1" x14ac:dyDescent="0.25">
      <c r="A77" s="11" t="s">
        <v>9</v>
      </c>
      <c r="B77" s="46" t="str">
        <f t="shared" ca="1" si="22"/>
        <v/>
      </c>
      <c r="C77" s="46" t="str">
        <f t="shared" ca="1" si="22"/>
        <v/>
      </c>
      <c r="D77" s="46" t="str">
        <f t="shared" ca="1" si="22"/>
        <v/>
      </c>
      <c r="E77" s="46" t="str">
        <f t="shared" ca="1" si="22"/>
        <v/>
      </c>
      <c r="F77" s="46" t="str">
        <f t="shared" ca="1" si="22"/>
        <v/>
      </c>
      <c r="G77" s="46" t="str">
        <f t="shared" ca="1" si="22"/>
        <v/>
      </c>
      <c r="H77" s="46" t="str">
        <f t="shared" ca="1" si="22"/>
        <v/>
      </c>
      <c r="I77" s="46" t="str">
        <f t="shared" ca="1" si="22"/>
        <v/>
      </c>
      <c r="J77" s="46" t="str">
        <f t="shared" ca="1" si="22"/>
        <v/>
      </c>
      <c r="K77" s="46" t="str">
        <f t="shared" ca="1" si="22"/>
        <v/>
      </c>
      <c r="L77" s="46" t="str">
        <f t="shared" ca="1" si="22"/>
        <v/>
      </c>
      <c r="M77" s="46" t="str">
        <f t="shared" ca="1" si="22"/>
        <v/>
      </c>
      <c r="N77" s="46" t="str">
        <f t="shared" ca="1" si="22"/>
        <v/>
      </c>
      <c r="O77" s="46" t="str">
        <f t="shared" ca="1" si="22"/>
        <v/>
      </c>
      <c r="P77" s="46" t="str">
        <f t="shared" ca="1" si="22"/>
        <v/>
      </c>
      <c r="Q77" s="46" t="str">
        <f t="shared" ca="1" si="22"/>
        <v/>
      </c>
      <c r="R77" s="46" t="str">
        <f t="shared" ca="1" si="22"/>
        <v/>
      </c>
      <c r="S77" s="46" t="str">
        <f t="shared" ca="1" si="22"/>
        <v/>
      </c>
      <c r="T77" s="46" t="str">
        <f t="shared" ca="1" si="22"/>
        <v/>
      </c>
      <c r="U77" s="46" t="str">
        <f t="shared" ca="1" si="22"/>
        <v/>
      </c>
      <c r="V77" s="46" t="str">
        <f t="shared" ca="1" si="22"/>
        <v/>
      </c>
      <c r="W77" s="46" t="str">
        <f t="shared" ca="1" si="22"/>
        <v/>
      </c>
      <c r="X77" s="46" t="str">
        <f t="shared" ca="1" si="19"/>
        <v/>
      </c>
    </row>
    <row r="78" spans="1:24" ht="11.1" customHeight="1" x14ac:dyDescent="0.25">
      <c r="A78" s="11" t="s">
        <v>10</v>
      </c>
      <c r="B78" s="46" t="str">
        <f t="shared" ca="1" si="22"/>
        <v/>
      </c>
      <c r="C78" s="46" t="str">
        <f t="shared" ca="1" si="22"/>
        <v/>
      </c>
      <c r="D78" s="46" t="str">
        <f t="shared" ca="1" si="22"/>
        <v/>
      </c>
      <c r="E78" s="46" t="str">
        <f t="shared" ca="1" si="22"/>
        <v/>
      </c>
      <c r="F78" s="46" t="str">
        <f t="shared" ca="1" si="22"/>
        <v/>
      </c>
      <c r="G78" s="46" t="str">
        <f t="shared" ca="1" si="22"/>
        <v/>
      </c>
      <c r="H78" s="46" t="str">
        <f t="shared" ca="1" si="22"/>
        <v/>
      </c>
      <c r="I78" s="46" t="str">
        <f t="shared" ca="1" si="22"/>
        <v/>
      </c>
      <c r="J78" s="46" t="str">
        <f t="shared" ca="1" si="22"/>
        <v/>
      </c>
      <c r="K78" s="46" t="str">
        <f t="shared" ca="1" si="22"/>
        <v/>
      </c>
      <c r="L78" s="46" t="str">
        <f t="shared" ca="1" si="22"/>
        <v/>
      </c>
      <c r="M78" s="46" t="str">
        <f t="shared" ca="1" si="22"/>
        <v/>
      </c>
      <c r="N78" s="46" t="str">
        <f t="shared" ca="1" si="22"/>
        <v/>
      </c>
      <c r="O78" s="46" t="str">
        <f t="shared" ca="1" si="22"/>
        <v/>
      </c>
      <c r="P78" s="46" t="str">
        <f t="shared" ca="1" si="22"/>
        <v/>
      </c>
      <c r="Q78" s="46" t="str">
        <f t="shared" ca="1" si="22"/>
        <v/>
      </c>
      <c r="R78" s="46" t="str">
        <f t="shared" ca="1" si="22"/>
        <v/>
      </c>
      <c r="S78" s="46" t="str">
        <f t="shared" ca="1" si="22"/>
        <v/>
      </c>
      <c r="T78" s="46" t="str">
        <f t="shared" ca="1" si="22"/>
        <v/>
      </c>
      <c r="U78" s="46" t="str">
        <f t="shared" ca="1" si="22"/>
        <v/>
      </c>
      <c r="V78" s="46" t="str">
        <f t="shared" ca="1" si="22"/>
        <v/>
      </c>
      <c r="W78" s="46" t="str">
        <f t="shared" ca="1" si="22"/>
        <v/>
      </c>
      <c r="X78" s="46" t="str">
        <f t="shared" ca="1" si="19"/>
        <v/>
      </c>
    </row>
    <row r="79" spans="1:24" ht="11.1" customHeight="1" x14ac:dyDescent="0.25">
      <c r="A79" s="11" t="s">
        <v>11</v>
      </c>
      <c r="B79" s="46" t="str">
        <f t="shared" ca="1" si="22"/>
        <v/>
      </c>
      <c r="C79" s="46" t="str">
        <f t="shared" ca="1" si="22"/>
        <v/>
      </c>
      <c r="D79" s="46" t="str">
        <f t="shared" ca="1" si="22"/>
        <v/>
      </c>
      <c r="E79" s="46" t="str">
        <f t="shared" ca="1" si="22"/>
        <v/>
      </c>
      <c r="F79" s="46" t="str">
        <f t="shared" ca="1" si="22"/>
        <v/>
      </c>
      <c r="G79" s="46" t="str">
        <f t="shared" ca="1" si="22"/>
        <v/>
      </c>
      <c r="H79" s="46" t="str">
        <f t="shared" ca="1" si="22"/>
        <v/>
      </c>
      <c r="I79" s="46" t="str">
        <f t="shared" ca="1" si="22"/>
        <v/>
      </c>
      <c r="J79" s="46" t="str">
        <f t="shared" ca="1" si="22"/>
        <v/>
      </c>
      <c r="K79" s="46" t="str">
        <f t="shared" ca="1" si="22"/>
        <v/>
      </c>
      <c r="L79" s="46" t="str">
        <f t="shared" ca="1" si="22"/>
        <v/>
      </c>
      <c r="M79" s="46" t="str">
        <f t="shared" ca="1" si="22"/>
        <v/>
      </c>
      <c r="N79" s="46" t="str">
        <f t="shared" ca="1" si="22"/>
        <v/>
      </c>
      <c r="O79" s="46" t="str">
        <f t="shared" ca="1" si="22"/>
        <v/>
      </c>
      <c r="P79" s="46" t="str">
        <f t="shared" ca="1" si="22"/>
        <v/>
      </c>
      <c r="Q79" s="46" t="str">
        <f t="shared" ca="1" si="22"/>
        <v/>
      </c>
      <c r="R79" s="46" t="str">
        <f t="shared" ca="1" si="22"/>
        <v/>
      </c>
      <c r="S79" s="46" t="str">
        <f t="shared" ca="1" si="22"/>
        <v/>
      </c>
      <c r="T79" s="46" t="str">
        <f t="shared" ca="1" si="22"/>
        <v/>
      </c>
      <c r="U79" s="46" t="str">
        <f t="shared" ca="1" si="22"/>
        <v/>
      </c>
      <c r="V79" s="46" t="str">
        <f t="shared" ca="1" si="22"/>
        <v/>
      </c>
      <c r="W79" s="46" t="str">
        <f t="shared" ca="1" si="22"/>
        <v/>
      </c>
      <c r="X79" s="46" t="str">
        <f t="shared" ca="1" si="19"/>
        <v/>
      </c>
    </row>
    <row r="80" spans="1:24" ht="11.1" customHeight="1" x14ac:dyDescent="0.25">
      <c r="A80" s="11" t="s">
        <v>12</v>
      </c>
      <c r="B80" s="46" t="str">
        <f t="shared" ca="1" si="22"/>
        <v/>
      </c>
      <c r="C80" s="46" t="str">
        <f t="shared" ca="1" si="22"/>
        <v/>
      </c>
      <c r="D80" s="46" t="str">
        <f t="shared" ca="1" si="22"/>
        <v/>
      </c>
      <c r="E80" s="46" t="str">
        <f t="shared" ca="1" si="22"/>
        <v/>
      </c>
      <c r="F80" s="46" t="str">
        <f t="shared" ca="1" si="22"/>
        <v/>
      </c>
      <c r="G80" s="46" t="str">
        <f t="shared" ca="1" si="22"/>
        <v/>
      </c>
      <c r="H80" s="46" t="str">
        <f t="shared" ca="1" si="22"/>
        <v/>
      </c>
      <c r="I80" s="46" t="str">
        <f t="shared" ca="1" si="22"/>
        <v/>
      </c>
      <c r="J80" s="46" t="str">
        <f t="shared" ca="1" si="22"/>
        <v/>
      </c>
      <c r="K80" s="46" t="str">
        <f t="shared" ca="1" si="22"/>
        <v/>
      </c>
      <c r="L80" s="46" t="str">
        <f t="shared" ca="1" si="22"/>
        <v/>
      </c>
      <c r="M80" s="46" t="str">
        <f t="shared" ca="1" si="22"/>
        <v/>
      </c>
      <c r="N80" s="46" t="str">
        <f t="shared" ca="1" si="22"/>
        <v/>
      </c>
      <c r="O80" s="46" t="str">
        <f t="shared" ca="1" si="22"/>
        <v/>
      </c>
      <c r="P80" s="46" t="str">
        <f t="shared" ca="1" si="22"/>
        <v/>
      </c>
      <c r="Q80" s="46" t="str">
        <f t="shared" ca="1" si="22"/>
        <v/>
      </c>
      <c r="R80" s="46" t="str">
        <f t="shared" ca="1" si="22"/>
        <v/>
      </c>
      <c r="S80" s="46" t="str">
        <f t="shared" ca="1" si="22"/>
        <v/>
      </c>
      <c r="T80" s="46" t="str">
        <f t="shared" ca="1" si="22"/>
        <v/>
      </c>
      <c r="U80" s="46" t="str">
        <f t="shared" ca="1" si="22"/>
        <v/>
      </c>
      <c r="V80" s="46" t="str">
        <f t="shared" ca="1" si="22"/>
        <v/>
      </c>
      <c r="W80" s="46" t="str">
        <f t="shared" ca="1" si="22"/>
        <v/>
      </c>
      <c r="X80" s="46" t="str">
        <f t="shared" ca="1" si="19"/>
        <v/>
      </c>
    </row>
    <row r="81" spans="1:24" ht="11.1" customHeight="1" x14ac:dyDescent="0.25">
      <c r="A81" s="11" t="s">
        <v>13</v>
      </c>
      <c r="B81" s="46" t="str">
        <f t="shared" ca="1" si="22"/>
        <v/>
      </c>
      <c r="C81" s="46" t="str">
        <f t="shared" ca="1" si="22"/>
        <v/>
      </c>
      <c r="D81" s="46" t="str">
        <f t="shared" ca="1" si="22"/>
        <v/>
      </c>
      <c r="E81" s="46" t="str">
        <f t="shared" ca="1" si="22"/>
        <v/>
      </c>
      <c r="F81" s="46" t="str">
        <f t="shared" ca="1" si="22"/>
        <v/>
      </c>
      <c r="G81" s="46" t="str">
        <f t="shared" ca="1" si="22"/>
        <v/>
      </c>
      <c r="H81" s="46" t="str">
        <f t="shared" ca="1" si="22"/>
        <v/>
      </c>
      <c r="I81" s="46" t="str">
        <f t="shared" ca="1" si="22"/>
        <v/>
      </c>
      <c r="J81" s="46" t="str">
        <f t="shared" ca="1" si="22"/>
        <v/>
      </c>
      <c r="K81" s="46" t="str">
        <f t="shared" ca="1" si="22"/>
        <v/>
      </c>
      <c r="L81" s="46" t="str">
        <f t="shared" ca="1" si="22"/>
        <v/>
      </c>
      <c r="M81" s="46" t="str">
        <f t="shared" ca="1" si="22"/>
        <v/>
      </c>
      <c r="N81" s="46" t="str">
        <f t="shared" ca="1" si="22"/>
        <v/>
      </c>
      <c r="O81" s="46" t="str">
        <f t="shared" ca="1" si="22"/>
        <v/>
      </c>
      <c r="P81" s="46" t="str">
        <f t="shared" ca="1" si="22"/>
        <v/>
      </c>
      <c r="Q81" s="46" t="str">
        <f t="shared" ca="1" si="22"/>
        <v/>
      </c>
      <c r="R81" s="46" t="str">
        <f t="shared" ca="1" si="22"/>
        <v/>
      </c>
      <c r="S81" s="46" t="str">
        <f t="shared" ca="1" si="22"/>
        <v/>
      </c>
      <c r="T81" s="46" t="str">
        <f t="shared" ca="1" si="22"/>
        <v/>
      </c>
      <c r="U81" s="46" t="str">
        <f t="shared" ca="1" si="22"/>
        <v/>
      </c>
      <c r="V81" s="46" t="str">
        <f t="shared" ca="1" si="22"/>
        <v/>
      </c>
      <c r="W81" s="46" t="str">
        <f t="shared" ca="1" si="22"/>
        <v/>
      </c>
      <c r="X81" s="46" t="str">
        <f t="shared" ca="1" si="19"/>
        <v/>
      </c>
    </row>
    <row r="82" spans="1:24" ht="11.1" customHeight="1" x14ac:dyDescent="0.25">
      <c r="A82" s="11" t="s">
        <v>14</v>
      </c>
      <c r="B82" s="46" t="str">
        <f t="shared" ca="1" si="22"/>
        <v/>
      </c>
      <c r="C82" s="46" t="str">
        <f t="shared" ca="1" si="22"/>
        <v/>
      </c>
      <c r="D82" s="46" t="str">
        <f t="shared" ca="1" si="22"/>
        <v/>
      </c>
      <c r="E82" s="46" t="str">
        <f t="shared" ca="1" si="22"/>
        <v/>
      </c>
      <c r="F82" s="46" t="str">
        <f t="shared" ca="1" si="22"/>
        <v/>
      </c>
      <c r="G82" s="46" t="str">
        <f t="shared" ca="1" si="22"/>
        <v/>
      </c>
      <c r="H82" s="46" t="str">
        <f t="shared" ca="1" si="22"/>
        <v/>
      </c>
      <c r="I82" s="46" t="str">
        <f t="shared" ca="1" si="22"/>
        <v/>
      </c>
      <c r="J82" s="46" t="str">
        <f t="shared" ca="1" si="22"/>
        <v/>
      </c>
      <c r="K82" s="46" t="str">
        <f t="shared" ca="1" si="22"/>
        <v/>
      </c>
      <c r="L82" s="46" t="str">
        <f t="shared" ca="1" si="22"/>
        <v/>
      </c>
      <c r="M82" s="46" t="str">
        <f t="shared" ca="1" si="22"/>
        <v/>
      </c>
      <c r="N82" s="46" t="str">
        <f t="shared" ca="1" si="22"/>
        <v/>
      </c>
      <c r="O82" s="46" t="str">
        <f t="shared" ref="O82:W82" ca="1" si="23">IF(AND($A30&gt;O$55,$A30&lt;O$53),ABS(AVERAGE(O28:O32)),"")</f>
        <v/>
      </c>
      <c r="P82" s="46" t="str">
        <f t="shared" ca="1" si="23"/>
        <v/>
      </c>
      <c r="Q82" s="46" t="str">
        <f t="shared" ca="1" si="23"/>
        <v/>
      </c>
      <c r="R82" s="46" t="str">
        <f t="shared" ca="1" si="23"/>
        <v/>
      </c>
      <c r="S82" s="46" t="str">
        <f t="shared" ca="1" si="23"/>
        <v/>
      </c>
      <c r="T82" s="46" t="str">
        <f t="shared" ca="1" si="23"/>
        <v/>
      </c>
      <c r="U82" s="46" t="str">
        <f t="shared" ca="1" si="23"/>
        <v/>
      </c>
      <c r="V82" s="46" t="str">
        <f t="shared" ca="1" si="23"/>
        <v/>
      </c>
      <c r="W82" s="46" t="str">
        <f t="shared" ca="1" si="23"/>
        <v/>
      </c>
      <c r="X82" s="46" t="str">
        <f t="shared" ca="1" si="19"/>
        <v/>
      </c>
    </row>
    <row r="83" spans="1:24" ht="11.1" customHeight="1" x14ac:dyDescent="0.25">
      <c r="A83" s="11" t="s">
        <v>15</v>
      </c>
      <c r="B83" s="46" t="str">
        <f t="shared" ref="B83:W94" ca="1" si="24">IF(AND($A31&gt;B$55,$A31&lt;B$53),ABS(AVERAGE(B29:B33)),"")</f>
        <v/>
      </c>
      <c r="C83" s="46" t="str">
        <f t="shared" ca="1" si="24"/>
        <v/>
      </c>
      <c r="D83" s="46" t="str">
        <f t="shared" ca="1" si="24"/>
        <v/>
      </c>
      <c r="E83" s="46" t="str">
        <f t="shared" ca="1" si="24"/>
        <v/>
      </c>
      <c r="F83" s="46" t="str">
        <f t="shared" ca="1" si="24"/>
        <v/>
      </c>
      <c r="G83" s="46" t="str">
        <f t="shared" ca="1" si="24"/>
        <v/>
      </c>
      <c r="H83" s="46" t="str">
        <f t="shared" ca="1" si="24"/>
        <v/>
      </c>
      <c r="I83" s="46" t="str">
        <f t="shared" ca="1" si="24"/>
        <v/>
      </c>
      <c r="J83" s="46" t="str">
        <f t="shared" ca="1" si="24"/>
        <v/>
      </c>
      <c r="K83" s="46" t="str">
        <f t="shared" ca="1" si="24"/>
        <v/>
      </c>
      <c r="L83" s="46" t="str">
        <f t="shared" ca="1" si="24"/>
        <v/>
      </c>
      <c r="M83" s="46" t="str">
        <f t="shared" ca="1" si="24"/>
        <v/>
      </c>
      <c r="N83" s="46" t="str">
        <f t="shared" ca="1" si="24"/>
        <v/>
      </c>
      <c r="O83" s="46" t="str">
        <f t="shared" ca="1" si="24"/>
        <v/>
      </c>
      <c r="P83" s="46" t="str">
        <f t="shared" ca="1" si="24"/>
        <v/>
      </c>
      <c r="Q83" s="46" t="str">
        <f t="shared" ca="1" si="24"/>
        <v/>
      </c>
      <c r="R83" s="46" t="str">
        <f t="shared" ca="1" si="24"/>
        <v/>
      </c>
      <c r="S83" s="46" t="str">
        <f t="shared" ca="1" si="24"/>
        <v/>
      </c>
      <c r="T83" s="46" t="str">
        <f t="shared" ca="1" si="24"/>
        <v/>
      </c>
      <c r="U83" s="46" t="str">
        <f t="shared" ca="1" si="24"/>
        <v/>
      </c>
      <c r="V83" s="46" t="str">
        <f t="shared" ca="1" si="24"/>
        <v/>
      </c>
      <c r="W83" s="46" t="str">
        <f t="shared" ca="1" si="24"/>
        <v/>
      </c>
      <c r="X83" s="46" t="str">
        <f t="shared" ca="1" si="19"/>
        <v/>
      </c>
    </row>
    <row r="84" spans="1:24" ht="11.1" customHeight="1" x14ac:dyDescent="0.25">
      <c r="A84" s="11" t="s">
        <v>16</v>
      </c>
      <c r="B84" s="46" t="str">
        <f t="shared" ca="1" si="24"/>
        <v/>
      </c>
      <c r="C84" s="46" t="str">
        <f t="shared" ca="1" si="24"/>
        <v/>
      </c>
      <c r="D84" s="46" t="str">
        <f t="shared" ca="1" si="24"/>
        <v/>
      </c>
      <c r="E84" s="46" t="str">
        <f t="shared" ca="1" si="24"/>
        <v/>
      </c>
      <c r="F84" s="46" t="str">
        <f t="shared" ca="1" si="24"/>
        <v/>
      </c>
      <c r="G84" s="46" t="str">
        <f t="shared" ca="1" si="24"/>
        <v/>
      </c>
      <c r="H84" s="46" t="str">
        <f t="shared" ca="1" si="24"/>
        <v/>
      </c>
      <c r="I84" s="46" t="str">
        <f t="shared" ca="1" si="24"/>
        <v/>
      </c>
      <c r="J84" s="46" t="str">
        <f t="shared" ca="1" si="24"/>
        <v/>
      </c>
      <c r="K84" s="46" t="str">
        <f t="shared" ca="1" si="24"/>
        <v/>
      </c>
      <c r="L84" s="46" t="str">
        <f t="shared" ca="1" si="24"/>
        <v/>
      </c>
      <c r="M84" s="46" t="str">
        <f t="shared" ca="1" si="24"/>
        <v/>
      </c>
      <c r="N84" s="46" t="str">
        <f t="shared" ca="1" si="24"/>
        <v/>
      </c>
      <c r="O84" s="46" t="str">
        <f t="shared" ca="1" si="24"/>
        <v/>
      </c>
      <c r="P84" s="46" t="str">
        <f t="shared" ca="1" si="24"/>
        <v/>
      </c>
      <c r="Q84" s="46" t="str">
        <f t="shared" ca="1" si="24"/>
        <v/>
      </c>
      <c r="R84" s="46" t="str">
        <f t="shared" ca="1" si="24"/>
        <v/>
      </c>
      <c r="S84" s="46" t="str">
        <f t="shared" ca="1" si="24"/>
        <v/>
      </c>
      <c r="T84" s="46" t="str">
        <f t="shared" ca="1" si="24"/>
        <v/>
      </c>
      <c r="U84" s="46" t="str">
        <f t="shared" ca="1" si="24"/>
        <v/>
      </c>
      <c r="V84" s="46" t="str">
        <f t="shared" ca="1" si="24"/>
        <v/>
      </c>
      <c r="W84" s="46" t="str">
        <f t="shared" ca="1" si="24"/>
        <v/>
      </c>
      <c r="X84" s="46" t="str">
        <f t="shared" ca="1" si="19"/>
        <v/>
      </c>
    </row>
    <row r="85" spans="1:24" ht="11.1" customHeight="1" x14ac:dyDescent="0.25">
      <c r="B85" s="46" t="str">
        <f t="shared" ca="1" si="24"/>
        <v/>
      </c>
      <c r="C85" s="46" t="str">
        <f t="shared" ca="1" si="24"/>
        <v/>
      </c>
      <c r="D85" s="46" t="str">
        <f t="shared" ca="1" si="24"/>
        <v/>
      </c>
      <c r="E85" s="46" t="str">
        <f t="shared" ca="1" si="24"/>
        <v/>
      </c>
      <c r="F85" s="46" t="str">
        <f t="shared" ca="1" si="24"/>
        <v/>
      </c>
      <c r="G85" s="46" t="str">
        <f t="shared" ca="1" si="24"/>
        <v/>
      </c>
      <c r="H85" s="46" t="str">
        <f t="shared" ca="1" si="24"/>
        <v/>
      </c>
      <c r="I85" s="46" t="str">
        <f t="shared" ca="1" si="24"/>
        <v/>
      </c>
      <c r="J85" s="46" t="str">
        <f t="shared" ca="1" si="24"/>
        <v/>
      </c>
      <c r="K85" s="46" t="str">
        <f t="shared" ca="1" si="24"/>
        <v/>
      </c>
      <c r="L85" s="46" t="str">
        <f t="shared" ca="1" si="24"/>
        <v/>
      </c>
      <c r="M85" s="46" t="str">
        <f t="shared" ca="1" si="24"/>
        <v/>
      </c>
      <c r="N85" s="46" t="str">
        <f t="shared" ca="1" si="24"/>
        <v/>
      </c>
      <c r="O85" s="46" t="str">
        <f t="shared" ca="1" si="24"/>
        <v/>
      </c>
      <c r="P85" s="46" t="str">
        <f t="shared" ca="1" si="24"/>
        <v/>
      </c>
      <c r="Q85" s="46" t="str">
        <f t="shared" ca="1" si="24"/>
        <v/>
      </c>
      <c r="R85" s="46" t="str">
        <f t="shared" ca="1" si="24"/>
        <v/>
      </c>
      <c r="S85" s="46" t="str">
        <f t="shared" ca="1" si="24"/>
        <v/>
      </c>
      <c r="T85" s="46" t="str">
        <f t="shared" ca="1" si="24"/>
        <v/>
      </c>
      <c r="U85" s="46" t="str">
        <f t="shared" ca="1" si="24"/>
        <v/>
      </c>
      <c r="V85" s="46" t="str">
        <f t="shared" ca="1" si="24"/>
        <v/>
      </c>
      <c r="W85" s="46" t="str">
        <f t="shared" ca="1" si="24"/>
        <v/>
      </c>
      <c r="X85" s="46" t="str">
        <f t="shared" ca="1" si="19"/>
        <v/>
      </c>
    </row>
    <row r="86" spans="1:24" ht="11.1" customHeight="1" x14ac:dyDescent="0.25">
      <c r="A86" s="11" t="s">
        <v>17</v>
      </c>
      <c r="B86" s="46" t="str">
        <f t="shared" ca="1" si="24"/>
        <v/>
      </c>
      <c r="C86" s="46" t="str">
        <f t="shared" ca="1" si="24"/>
        <v/>
      </c>
      <c r="D86" s="46" t="str">
        <f t="shared" ca="1" si="24"/>
        <v/>
      </c>
      <c r="E86" s="46" t="str">
        <f t="shared" ca="1" si="24"/>
        <v/>
      </c>
      <c r="F86" s="46" t="str">
        <f t="shared" ca="1" si="24"/>
        <v/>
      </c>
      <c r="G86" s="46" t="str">
        <f t="shared" ca="1" si="24"/>
        <v/>
      </c>
      <c r="H86" s="46" t="str">
        <f t="shared" ca="1" si="24"/>
        <v/>
      </c>
      <c r="I86" s="46" t="str">
        <f t="shared" ca="1" si="24"/>
        <v/>
      </c>
      <c r="J86" s="46" t="str">
        <f t="shared" ca="1" si="24"/>
        <v/>
      </c>
      <c r="K86" s="46" t="str">
        <f t="shared" ca="1" si="24"/>
        <v/>
      </c>
      <c r="L86" s="46" t="str">
        <f t="shared" ca="1" si="24"/>
        <v/>
      </c>
      <c r="M86" s="46" t="str">
        <f t="shared" ca="1" si="24"/>
        <v/>
      </c>
      <c r="N86" s="46" t="str">
        <f t="shared" ca="1" si="24"/>
        <v/>
      </c>
      <c r="O86" s="46" t="str">
        <f t="shared" ca="1" si="24"/>
        <v/>
      </c>
      <c r="P86" s="46" t="str">
        <f t="shared" ca="1" si="24"/>
        <v/>
      </c>
      <c r="Q86" s="46" t="str">
        <f t="shared" ca="1" si="24"/>
        <v/>
      </c>
      <c r="R86" s="46" t="str">
        <f t="shared" ca="1" si="24"/>
        <v/>
      </c>
      <c r="S86" s="46" t="str">
        <f t="shared" ca="1" si="24"/>
        <v/>
      </c>
      <c r="T86" s="46" t="str">
        <f t="shared" ca="1" si="24"/>
        <v/>
      </c>
      <c r="U86" s="46" t="str">
        <f t="shared" ca="1" si="24"/>
        <v/>
      </c>
      <c r="V86" s="46" t="str">
        <f t="shared" ca="1" si="24"/>
        <v/>
      </c>
      <c r="W86" s="46" t="str">
        <f t="shared" ca="1" si="24"/>
        <v/>
      </c>
      <c r="X86" s="46" t="str">
        <f t="shared" ca="1" si="19"/>
        <v/>
      </c>
    </row>
    <row r="87" spans="1:24" ht="11.1" customHeight="1" x14ac:dyDescent="0.25">
      <c r="A87" s="11" t="s">
        <v>18</v>
      </c>
      <c r="B87" s="46" t="str">
        <f t="shared" ca="1" si="24"/>
        <v/>
      </c>
      <c r="C87" s="46" t="str">
        <f t="shared" ca="1" si="24"/>
        <v/>
      </c>
      <c r="D87" s="46" t="str">
        <f t="shared" ca="1" si="24"/>
        <v/>
      </c>
      <c r="E87" s="46" t="str">
        <f t="shared" ca="1" si="24"/>
        <v/>
      </c>
      <c r="F87" s="46" t="str">
        <f t="shared" ca="1" si="24"/>
        <v/>
      </c>
      <c r="G87" s="46" t="str">
        <f t="shared" ca="1" si="24"/>
        <v/>
      </c>
      <c r="H87" s="46" t="str">
        <f t="shared" ca="1" si="24"/>
        <v/>
      </c>
      <c r="I87" s="46" t="str">
        <f t="shared" ca="1" si="24"/>
        <v/>
      </c>
      <c r="J87" s="46" t="str">
        <f t="shared" ca="1" si="24"/>
        <v/>
      </c>
      <c r="K87" s="46" t="str">
        <f t="shared" ca="1" si="24"/>
        <v/>
      </c>
      <c r="L87" s="46" t="str">
        <f t="shared" ca="1" si="24"/>
        <v/>
      </c>
      <c r="M87" s="46" t="str">
        <f t="shared" ca="1" si="24"/>
        <v/>
      </c>
      <c r="N87" s="46" t="str">
        <f t="shared" ca="1" si="24"/>
        <v/>
      </c>
      <c r="O87" s="46" t="str">
        <f t="shared" ca="1" si="24"/>
        <v/>
      </c>
      <c r="P87" s="46" t="str">
        <f t="shared" ca="1" si="24"/>
        <v/>
      </c>
      <c r="Q87" s="46" t="str">
        <f t="shared" ca="1" si="24"/>
        <v/>
      </c>
      <c r="R87" s="46" t="str">
        <f t="shared" ca="1" si="24"/>
        <v/>
      </c>
      <c r="S87" s="46" t="str">
        <f t="shared" ca="1" si="24"/>
        <v/>
      </c>
      <c r="T87" s="46" t="str">
        <f t="shared" ca="1" si="24"/>
        <v/>
      </c>
      <c r="U87" s="46" t="str">
        <f t="shared" ca="1" si="24"/>
        <v/>
      </c>
      <c r="V87" s="46" t="str">
        <f t="shared" ca="1" si="24"/>
        <v/>
      </c>
      <c r="W87" s="46" t="str">
        <f t="shared" ca="1" si="24"/>
        <v/>
      </c>
      <c r="X87" s="46" t="str">
        <f t="shared" ca="1" si="19"/>
        <v/>
      </c>
    </row>
    <row r="88" spans="1:24" ht="11.1" customHeight="1" x14ac:dyDescent="0.25">
      <c r="A88" s="11" t="s">
        <v>19</v>
      </c>
      <c r="B88" s="46" t="str">
        <f t="shared" ca="1" si="24"/>
        <v/>
      </c>
      <c r="C88" s="46" t="str">
        <f t="shared" ca="1" si="24"/>
        <v/>
      </c>
      <c r="D88" s="46" t="str">
        <f t="shared" ca="1" si="24"/>
        <v/>
      </c>
      <c r="E88" s="46" t="str">
        <f t="shared" ca="1" si="24"/>
        <v/>
      </c>
      <c r="F88" s="46" t="str">
        <f t="shared" ca="1" si="24"/>
        <v/>
      </c>
      <c r="G88" s="46" t="str">
        <f t="shared" ca="1" si="24"/>
        <v/>
      </c>
      <c r="H88" s="46" t="str">
        <f t="shared" ca="1" si="24"/>
        <v/>
      </c>
      <c r="I88" s="46" t="str">
        <f t="shared" ca="1" si="24"/>
        <v/>
      </c>
      <c r="J88" s="46" t="str">
        <f t="shared" ca="1" si="24"/>
        <v/>
      </c>
      <c r="K88" s="46" t="str">
        <f t="shared" ca="1" si="24"/>
        <v/>
      </c>
      <c r="L88" s="46" t="str">
        <f t="shared" ca="1" si="24"/>
        <v/>
      </c>
      <c r="M88" s="46" t="str">
        <f t="shared" ca="1" si="24"/>
        <v/>
      </c>
      <c r="N88" s="46" t="str">
        <f t="shared" ca="1" si="24"/>
        <v/>
      </c>
      <c r="O88" s="46" t="str">
        <f t="shared" ca="1" si="24"/>
        <v/>
      </c>
      <c r="P88" s="46" t="str">
        <f t="shared" ca="1" si="24"/>
        <v/>
      </c>
      <c r="Q88" s="46" t="str">
        <f t="shared" ca="1" si="24"/>
        <v/>
      </c>
      <c r="R88" s="46" t="str">
        <f t="shared" ca="1" si="24"/>
        <v/>
      </c>
      <c r="S88" s="46" t="str">
        <f t="shared" ca="1" si="24"/>
        <v/>
      </c>
      <c r="T88" s="46" t="str">
        <f t="shared" ca="1" si="24"/>
        <v/>
      </c>
      <c r="U88" s="46" t="str">
        <f t="shared" ca="1" si="24"/>
        <v/>
      </c>
      <c r="V88" s="46" t="str">
        <f t="shared" ca="1" si="24"/>
        <v/>
      </c>
      <c r="W88" s="46" t="str">
        <f t="shared" ca="1" si="24"/>
        <v/>
      </c>
      <c r="X88" s="46" t="str">
        <f t="shared" ca="1" si="19"/>
        <v/>
      </c>
    </row>
    <row r="89" spans="1:24" ht="11.1" customHeight="1" x14ac:dyDescent="0.25">
      <c r="A89" s="11" t="s">
        <v>20</v>
      </c>
      <c r="B89" s="46" t="str">
        <f t="shared" ca="1" si="24"/>
        <v/>
      </c>
      <c r="C89" s="46" t="str">
        <f t="shared" ca="1" si="24"/>
        <v/>
      </c>
      <c r="D89" s="46" t="str">
        <f t="shared" ca="1" si="24"/>
        <v/>
      </c>
      <c r="E89" s="46" t="str">
        <f t="shared" ca="1" si="24"/>
        <v/>
      </c>
      <c r="F89" s="46" t="str">
        <f t="shared" ca="1" si="24"/>
        <v/>
      </c>
      <c r="G89" s="46" t="str">
        <f t="shared" ca="1" si="24"/>
        <v/>
      </c>
      <c r="H89" s="46" t="str">
        <f t="shared" ca="1" si="24"/>
        <v/>
      </c>
      <c r="I89" s="46" t="str">
        <f t="shared" ca="1" si="24"/>
        <v/>
      </c>
      <c r="J89" s="46" t="str">
        <f t="shared" ca="1" si="24"/>
        <v/>
      </c>
      <c r="K89" s="46" t="str">
        <f t="shared" ca="1" si="24"/>
        <v/>
      </c>
      <c r="L89" s="46" t="str">
        <f t="shared" ca="1" si="24"/>
        <v/>
      </c>
      <c r="M89" s="46" t="str">
        <f t="shared" ca="1" si="24"/>
        <v/>
      </c>
      <c r="N89" s="46" t="str">
        <f t="shared" ca="1" si="24"/>
        <v/>
      </c>
      <c r="O89" s="46" t="str">
        <f t="shared" ca="1" si="24"/>
        <v/>
      </c>
      <c r="P89" s="46" t="str">
        <f t="shared" ca="1" si="24"/>
        <v/>
      </c>
      <c r="Q89" s="46" t="str">
        <f t="shared" ca="1" si="24"/>
        <v/>
      </c>
      <c r="R89" s="46" t="str">
        <f t="shared" ca="1" si="24"/>
        <v/>
      </c>
      <c r="S89" s="46" t="str">
        <f t="shared" ca="1" si="24"/>
        <v/>
      </c>
      <c r="T89" s="46" t="str">
        <f t="shared" ca="1" si="24"/>
        <v/>
      </c>
      <c r="U89" s="46" t="str">
        <f t="shared" ca="1" si="24"/>
        <v/>
      </c>
      <c r="V89" s="46" t="str">
        <f t="shared" ca="1" si="24"/>
        <v/>
      </c>
      <c r="W89" s="46" t="str">
        <f t="shared" ca="1" si="24"/>
        <v/>
      </c>
      <c r="X89" s="46" t="str">
        <f t="shared" ca="1" si="19"/>
        <v/>
      </c>
    </row>
    <row r="90" spans="1:24" ht="11.1" customHeight="1" x14ac:dyDescent="0.25">
      <c r="A90" s="11" t="s">
        <v>21</v>
      </c>
      <c r="B90" s="46" t="str">
        <f t="shared" ca="1" si="24"/>
        <v/>
      </c>
      <c r="C90" s="46" t="str">
        <f t="shared" ca="1" si="24"/>
        <v/>
      </c>
      <c r="D90" s="46" t="str">
        <f t="shared" ca="1" si="24"/>
        <v/>
      </c>
      <c r="E90" s="46" t="str">
        <f t="shared" ca="1" si="24"/>
        <v/>
      </c>
      <c r="F90" s="46" t="str">
        <f t="shared" ca="1" si="24"/>
        <v/>
      </c>
      <c r="G90" s="46" t="str">
        <f t="shared" ca="1" si="24"/>
        <v/>
      </c>
      <c r="H90" s="46" t="str">
        <f t="shared" ca="1" si="24"/>
        <v/>
      </c>
      <c r="I90" s="46" t="str">
        <f t="shared" ca="1" si="24"/>
        <v/>
      </c>
      <c r="J90" s="46" t="str">
        <f t="shared" ca="1" si="24"/>
        <v/>
      </c>
      <c r="K90" s="46" t="str">
        <f t="shared" ca="1" si="24"/>
        <v/>
      </c>
      <c r="L90" s="46" t="str">
        <f t="shared" ca="1" si="24"/>
        <v/>
      </c>
      <c r="M90" s="46" t="str">
        <f t="shared" ca="1" si="24"/>
        <v/>
      </c>
      <c r="N90" s="46" t="str">
        <f t="shared" ca="1" si="24"/>
        <v/>
      </c>
      <c r="O90" s="46" t="str">
        <f t="shared" ca="1" si="24"/>
        <v/>
      </c>
      <c r="P90" s="46" t="str">
        <f t="shared" ca="1" si="24"/>
        <v/>
      </c>
      <c r="Q90" s="46" t="str">
        <f t="shared" ca="1" si="24"/>
        <v/>
      </c>
      <c r="R90" s="46" t="str">
        <f t="shared" ca="1" si="24"/>
        <v/>
      </c>
      <c r="S90" s="46" t="str">
        <f t="shared" ca="1" si="24"/>
        <v/>
      </c>
      <c r="T90" s="46" t="str">
        <f t="shared" ca="1" si="24"/>
        <v/>
      </c>
      <c r="U90" s="46" t="str">
        <f t="shared" ca="1" si="24"/>
        <v/>
      </c>
      <c r="V90" s="46" t="str">
        <f t="shared" ca="1" si="24"/>
        <v/>
      </c>
      <c r="W90" s="46" t="str">
        <f t="shared" ca="1" si="24"/>
        <v/>
      </c>
      <c r="X90" s="46" t="str">
        <f t="shared" ca="1" si="19"/>
        <v/>
      </c>
    </row>
    <row r="91" spans="1:24" ht="11.1" customHeight="1" x14ac:dyDescent="0.25">
      <c r="A91" s="11" t="s">
        <v>22</v>
      </c>
      <c r="B91" s="46" t="str">
        <f t="shared" ca="1" si="24"/>
        <v/>
      </c>
      <c r="C91" s="46" t="str">
        <f t="shared" ca="1" si="24"/>
        <v/>
      </c>
      <c r="D91" s="46" t="str">
        <f t="shared" ca="1" si="24"/>
        <v/>
      </c>
      <c r="E91" s="46" t="str">
        <f t="shared" ca="1" si="24"/>
        <v/>
      </c>
      <c r="F91" s="46" t="str">
        <f t="shared" ca="1" si="24"/>
        <v/>
      </c>
      <c r="G91" s="46" t="str">
        <f t="shared" ca="1" si="24"/>
        <v/>
      </c>
      <c r="H91" s="46" t="str">
        <f t="shared" ca="1" si="24"/>
        <v/>
      </c>
      <c r="I91" s="46" t="str">
        <f t="shared" ca="1" si="24"/>
        <v/>
      </c>
      <c r="J91" s="46" t="str">
        <f t="shared" ca="1" si="24"/>
        <v/>
      </c>
      <c r="K91" s="46" t="str">
        <f t="shared" ca="1" si="24"/>
        <v/>
      </c>
      <c r="L91" s="46" t="str">
        <f t="shared" ca="1" si="24"/>
        <v/>
      </c>
      <c r="M91" s="46" t="str">
        <f t="shared" ca="1" si="24"/>
        <v/>
      </c>
      <c r="N91" s="46" t="str">
        <f t="shared" ca="1" si="24"/>
        <v/>
      </c>
      <c r="O91" s="46" t="str">
        <f t="shared" ca="1" si="24"/>
        <v/>
      </c>
      <c r="P91" s="46" t="str">
        <f t="shared" ca="1" si="24"/>
        <v/>
      </c>
      <c r="Q91" s="46" t="str">
        <f t="shared" ca="1" si="24"/>
        <v/>
      </c>
      <c r="R91" s="46" t="str">
        <f t="shared" ca="1" si="24"/>
        <v/>
      </c>
      <c r="S91" s="46" t="str">
        <f t="shared" ca="1" si="24"/>
        <v/>
      </c>
      <c r="T91" s="46" t="str">
        <f t="shared" ca="1" si="24"/>
        <v/>
      </c>
      <c r="U91" s="46" t="str">
        <f t="shared" ca="1" si="24"/>
        <v/>
      </c>
      <c r="V91" s="46" t="str">
        <f t="shared" ca="1" si="24"/>
        <v/>
      </c>
      <c r="W91" s="46" t="str">
        <f t="shared" ca="1" si="24"/>
        <v/>
      </c>
      <c r="X91" s="46" t="str">
        <f t="shared" ca="1" si="19"/>
        <v/>
      </c>
    </row>
    <row r="92" spans="1:24" ht="11.1" customHeight="1" x14ac:dyDescent="0.25">
      <c r="A92" s="11" t="s">
        <v>23</v>
      </c>
      <c r="B92" s="46" t="str">
        <f t="shared" ca="1" si="24"/>
        <v/>
      </c>
      <c r="C92" s="46" t="str">
        <f t="shared" ca="1" si="24"/>
        <v/>
      </c>
      <c r="D92" s="46" t="str">
        <f t="shared" ca="1" si="24"/>
        <v/>
      </c>
      <c r="E92" s="46" t="str">
        <f t="shared" ca="1" si="24"/>
        <v/>
      </c>
      <c r="F92" s="46" t="str">
        <f t="shared" ca="1" si="24"/>
        <v/>
      </c>
      <c r="G92" s="46" t="str">
        <f t="shared" ca="1" si="24"/>
        <v/>
      </c>
      <c r="H92" s="46" t="str">
        <f t="shared" ca="1" si="24"/>
        <v/>
      </c>
      <c r="I92" s="46" t="str">
        <f t="shared" ca="1" si="24"/>
        <v/>
      </c>
      <c r="J92" s="46" t="str">
        <f t="shared" ca="1" si="24"/>
        <v/>
      </c>
      <c r="K92" s="46" t="str">
        <f t="shared" ca="1" si="24"/>
        <v/>
      </c>
      <c r="L92" s="46" t="str">
        <f t="shared" ca="1" si="24"/>
        <v/>
      </c>
      <c r="M92" s="46" t="str">
        <f t="shared" ca="1" si="24"/>
        <v/>
      </c>
      <c r="N92" s="46" t="str">
        <f t="shared" ca="1" si="24"/>
        <v/>
      </c>
      <c r="O92" s="46" t="str">
        <f t="shared" ca="1" si="24"/>
        <v/>
      </c>
      <c r="P92" s="46" t="str">
        <f t="shared" ca="1" si="24"/>
        <v/>
      </c>
      <c r="Q92" s="46" t="str">
        <f t="shared" ca="1" si="24"/>
        <v/>
      </c>
      <c r="R92" s="46" t="str">
        <f t="shared" ca="1" si="24"/>
        <v/>
      </c>
      <c r="S92" s="46" t="str">
        <f t="shared" ca="1" si="24"/>
        <v/>
      </c>
      <c r="T92" s="46" t="str">
        <f t="shared" ca="1" si="24"/>
        <v/>
      </c>
      <c r="U92" s="46" t="str">
        <f t="shared" ca="1" si="24"/>
        <v/>
      </c>
      <c r="V92" s="46" t="str">
        <f t="shared" ca="1" si="24"/>
        <v/>
      </c>
      <c r="W92" s="46" t="str">
        <f t="shared" ca="1" si="24"/>
        <v/>
      </c>
      <c r="X92" s="46" t="str">
        <f t="shared" ca="1" si="19"/>
        <v/>
      </c>
    </row>
    <row r="93" spans="1:24" ht="11.1" customHeight="1" x14ac:dyDescent="0.25">
      <c r="A93" s="11" t="s">
        <v>24</v>
      </c>
      <c r="B93" s="46" t="str">
        <f t="shared" ca="1" si="24"/>
        <v/>
      </c>
      <c r="C93" s="46" t="str">
        <f t="shared" ca="1" si="24"/>
        <v/>
      </c>
      <c r="D93" s="46" t="str">
        <f t="shared" ca="1" si="24"/>
        <v/>
      </c>
      <c r="E93" s="46" t="str">
        <f t="shared" ca="1" si="24"/>
        <v/>
      </c>
      <c r="F93" s="46" t="str">
        <f t="shared" ca="1" si="24"/>
        <v/>
      </c>
      <c r="G93" s="46" t="str">
        <f t="shared" ca="1" si="24"/>
        <v/>
      </c>
      <c r="H93" s="46" t="str">
        <f t="shared" ca="1" si="24"/>
        <v/>
      </c>
      <c r="I93" s="46" t="str">
        <f t="shared" ca="1" si="24"/>
        <v/>
      </c>
      <c r="J93" s="46" t="str">
        <f t="shared" ca="1" si="24"/>
        <v/>
      </c>
      <c r="K93" s="46" t="str">
        <f t="shared" ca="1" si="24"/>
        <v/>
      </c>
      <c r="L93" s="46" t="str">
        <f t="shared" ca="1" si="24"/>
        <v/>
      </c>
      <c r="M93" s="46" t="str">
        <f t="shared" ca="1" si="24"/>
        <v/>
      </c>
      <c r="N93" s="46" t="str">
        <f t="shared" ca="1" si="24"/>
        <v/>
      </c>
      <c r="O93" s="46" t="str">
        <f t="shared" ca="1" si="24"/>
        <v/>
      </c>
      <c r="P93" s="46" t="str">
        <f t="shared" ca="1" si="24"/>
        <v/>
      </c>
      <c r="Q93" s="46" t="str">
        <f t="shared" ca="1" si="24"/>
        <v/>
      </c>
      <c r="R93" s="46" t="str">
        <f t="shared" ca="1" si="24"/>
        <v/>
      </c>
      <c r="S93" s="46" t="str">
        <f t="shared" ca="1" si="24"/>
        <v/>
      </c>
      <c r="T93" s="46" t="str">
        <f t="shared" ca="1" si="24"/>
        <v/>
      </c>
      <c r="U93" s="46" t="str">
        <f t="shared" ca="1" si="24"/>
        <v/>
      </c>
      <c r="V93" s="46" t="str">
        <f t="shared" ca="1" si="24"/>
        <v/>
      </c>
      <c r="W93" s="46" t="str">
        <f t="shared" ca="1" si="24"/>
        <v/>
      </c>
      <c r="X93" s="46" t="str">
        <f t="shared" ca="1" si="19"/>
        <v/>
      </c>
    </row>
    <row r="94" spans="1:24" ht="11.1" customHeight="1" x14ac:dyDescent="0.25">
      <c r="A94" s="11" t="s">
        <v>25</v>
      </c>
      <c r="B94" s="46" t="str">
        <f t="shared" ca="1" si="24"/>
        <v/>
      </c>
      <c r="C94" s="46" t="str">
        <f t="shared" ca="1" si="24"/>
        <v/>
      </c>
      <c r="D94" s="46" t="str">
        <f t="shared" ca="1" si="24"/>
        <v/>
      </c>
      <c r="E94" s="46" t="str">
        <f t="shared" ca="1" si="24"/>
        <v/>
      </c>
      <c r="F94" s="46" t="str">
        <f t="shared" ca="1" si="24"/>
        <v/>
      </c>
      <c r="G94" s="46" t="str">
        <f t="shared" ca="1" si="24"/>
        <v/>
      </c>
      <c r="H94" s="46" t="str">
        <f t="shared" ca="1" si="24"/>
        <v/>
      </c>
      <c r="I94" s="46" t="str">
        <f t="shared" ca="1" si="24"/>
        <v/>
      </c>
      <c r="J94" s="46" t="str">
        <f t="shared" ca="1" si="24"/>
        <v/>
      </c>
      <c r="K94" s="46" t="str">
        <f t="shared" ca="1" si="24"/>
        <v/>
      </c>
      <c r="L94" s="46" t="str">
        <f t="shared" ca="1" si="24"/>
        <v/>
      </c>
      <c r="M94" s="46" t="str">
        <f t="shared" ca="1" si="24"/>
        <v/>
      </c>
      <c r="N94" s="46" t="str">
        <f t="shared" ca="1" si="24"/>
        <v/>
      </c>
      <c r="O94" s="46" t="str">
        <f t="shared" ref="O94:W94" ca="1" si="25">IF(AND($A42&gt;O$55,$A42&lt;O$53),ABS(AVERAGE(O40:O44)),"")</f>
        <v/>
      </c>
      <c r="P94" s="46" t="str">
        <f t="shared" ca="1" si="25"/>
        <v/>
      </c>
      <c r="Q94" s="46" t="str">
        <f t="shared" ca="1" si="25"/>
        <v/>
      </c>
      <c r="R94" s="46" t="str">
        <f t="shared" ca="1" si="25"/>
        <v/>
      </c>
      <c r="S94" s="46" t="str">
        <f t="shared" ca="1" si="25"/>
        <v/>
      </c>
      <c r="T94" s="46" t="str">
        <f t="shared" ca="1" si="25"/>
        <v/>
      </c>
      <c r="U94" s="46" t="str">
        <f t="shared" ca="1" si="25"/>
        <v/>
      </c>
      <c r="V94" s="46" t="str">
        <f t="shared" ca="1" si="25"/>
        <v/>
      </c>
      <c r="W94" s="46" t="str">
        <f t="shared" ca="1" si="25"/>
        <v/>
      </c>
      <c r="X94" s="46" t="str">
        <f t="shared" ca="1" si="19"/>
        <v/>
      </c>
    </row>
    <row r="95" spans="1:24" ht="11.1" customHeight="1" x14ac:dyDescent="0.25">
      <c r="B95" s="46" t="str">
        <f t="shared" ref="B95:W106" ca="1" si="26">IF(AND($A43&gt;B$55,$A43&lt;B$53),ABS(AVERAGE(B41:B45)),"")</f>
        <v/>
      </c>
      <c r="C95" s="46" t="str">
        <f t="shared" ca="1" si="26"/>
        <v/>
      </c>
      <c r="D95" s="46" t="str">
        <f t="shared" ca="1" si="26"/>
        <v/>
      </c>
      <c r="E95" s="46" t="str">
        <f t="shared" ca="1" si="26"/>
        <v/>
      </c>
      <c r="F95" s="46" t="str">
        <f t="shared" ca="1" si="26"/>
        <v/>
      </c>
      <c r="G95" s="46" t="str">
        <f t="shared" ca="1" si="26"/>
        <v/>
      </c>
      <c r="H95" s="46" t="str">
        <f t="shared" ca="1" si="26"/>
        <v/>
      </c>
      <c r="I95" s="46" t="str">
        <f t="shared" ca="1" si="26"/>
        <v/>
      </c>
      <c r="J95" s="46" t="str">
        <f t="shared" ca="1" si="26"/>
        <v/>
      </c>
      <c r="K95" s="46" t="str">
        <f t="shared" ca="1" si="26"/>
        <v/>
      </c>
      <c r="L95" s="46" t="str">
        <f t="shared" ca="1" si="26"/>
        <v/>
      </c>
      <c r="M95" s="46" t="str">
        <f t="shared" ca="1" si="26"/>
        <v/>
      </c>
      <c r="N95" s="46" t="str">
        <f t="shared" ca="1" si="26"/>
        <v/>
      </c>
      <c r="O95" s="46" t="str">
        <f t="shared" ca="1" si="26"/>
        <v/>
      </c>
      <c r="P95" s="46" t="str">
        <f t="shared" ca="1" si="26"/>
        <v/>
      </c>
      <c r="Q95" s="46" t="str">
        <f t="shared" ca="1" si="26"/>
        <v/>
      </c>
      <c r="R95" s="46" t="str">
        <f t="shared" ca="1" si="26"/>
        <v/>
      </c>
      <c r="S95" s="46" t="str">
        <f t="shared" ca="1" si="26"/>
        <v/>
      </c>
      <c r="T95" s="46" t="str">
        <f t="shared" ca="1" si="26"/>
        <v/>
      </c>
      <c r="U95" s="46" t="str">
        <f t="shared" ca="1" si="26"/>
        <v/>
      </c>
      <c r="V95" s="46" t="str">
        <f t="shared" ca="1" si="26"/>
        <v/>
      </c>
      <c r="W95" s="46" t="str">
        <f t="shared" ca="1" si="26"/>
        <v/>
      </c>
      <c r="X95" s="46" t="str">
        <f t="shared" ca="1" si="19"/>
        <v/>
      </c>
    </row>
    <row r="96" spans="1:24" ht="11.1" customHeight="1" x14ac:dyDescent="0.25">
      <c r="A96" s="11" t="s">
        <v>26</v>
      </c>
      <c r="B96" s="46" t="str">
        <f t="shared" ca="1" si="26"/>
        <v/>
      </c>
      <c r="C96" s="46" t="str">
        <f t="shared" ca="1" si="26"/>
        <v/>
      </c>
      <c r="D96" s="46" t="str">
        <f t="shared" ca="1" si="26"/>
        <v/>
      </c>
      <c r="E96" s="46" t="str">
        <f t="shared" ca="1" si="26"/>
        <v/>
      </c>
      <c r="F96" s="46" t="str">
        <f t="shared" ca="1" si="26"/>
        <v/>
      </c>
      <c r="G96" s="46" t="str">
        <f t="shared" ca="1" si="26"/>
        <v/>
      </c>
      <c r="H96" s="46" t="str">
        <f t="shared" ca="1" si="26"/>
        <v/>
      </c>
      <c r="I96" s="46" t="str">
        <f t="shared" ca="1" si="26"/>
        <v/>
      </c>
      <c r="J96" s="46" t="str">
        <f t="shared" ca="1" si="26"/>
        <v/>
      </c>
      <c r="K96" s="46" t="str">
        <f t="shared" ca="1" si="26"/>
        <v/>
      </c>
      <c r="L96" s="46" t="str">
        <f t="shared" ca="1" si="26"/>
        <v/>
      </c>
      <c r="M96" s="46" t="str">
        <f t="shared" ca="1" si="26"/>
        <v/>
      </c>
      <c r="N96" s="46" t="str">
        <f t="shared" ca="1" si="26"/>
        <v/>
      </c>
      <c r="O96" s="46" t="str">
        <f t="shared" ca="1" si="26"/>
        <v/>
      </c>
      <c r="P96" s="46" t="str">
        <f t="shared" ca="1" si="26"/>
        <v/>
      </c>
      <c r="Q96" s="46" t="str">
        <f t="shared" ca="1" si="26"/>
        <v/>
      </c>
      <c r="R96" s="46" t="str">
        <f t="shared" ca="1" si="26"/>
        <v/>
      </c>
      <c r="S96" s="46" t="str">
        <f t="shared" ca="1" si="26"/>
        <v/>
      </c>
      <c r="T96" s="46" t="str">
        <f t="shared" ca="1" si="26"/>
        <v/>
      </c>
      <c r="U96" s="46" t="str">
        <f t="shared" ca="1" si="26"/>
        <v/>
      </c>
      <c r="V96" s="46" t="str">
        <f t="shared" ca="1" si="26"/>
        <v/>
      </c>
      <c r="W96" s="46" t="str">
        <f t="shared" ca="1" si="26"/>
        <v/>
      </c>
      <c r="X96" s="46" t="str">
        <f t="shared" ca="1" si="19"/>
        <v/>
      </c>
    </row>
    <row r="97" spans="1:24" ht="11.1" customHeight="1" x14ac:dyDescent="0.25">
      <c r="A97" s="11" t="s">
        <v>27</v>
      </c>
      <c r="B97" s="46" t="str">
        <f t="shared" ca="1" si="26"/>
        <v/>
      </c>
      <c r="C97" s="46" t="str">
        <f t="shared" ca="1" si="26"/>
        <v/>
      </c>
      <c r="D97" s="46" t="str">
        <f t="shared" ca="1" si="26"/>
        <v/>
      </c>
      <c r="E97" s="46" t="str">
        <f t="shared" ca="1" si="26"/>
        <v/>
      </c>
      <c r="F97" s="46" t="str">
        <f t="shared" ca="1" si="26"/>
        <v/>
      </c>
      <c r="G97" s="46" t="str">
        <f t="shared" ca="1" si="26"/>
        <v/>
      </c>
      <c r="H97" s="46" t="str">
        <f t="shared" ca="1" si="26"/>
        <v/>
      </c>
      <c r="I97" s="46" t="str">
        <f t="shared" ca="1" si="26"/>
        <v/>
      </c>
      <c r="J97" s="46" t="str">
        <f t="shared" ca="1" si="26"/>
        <v/>
      </c>
      <c r="K97" s="46" t="str">
        <f t="shared" ca="1" si="26"/>
        <v/>
      </c>
      <c r="L97" s="46" t="str">
        <f t="shared" ca="1" si="26"/>
        <v/>
      </c>
      <c r="M97" s="46" t="str">
        <f t="shared" ca="1" si="26"/>
        <v/>
      </c>
      <c r="N97" s="46" t="str">
        <f t="shared" ca="1" si="26"/>
        <v/>
      </c>
      <c r="O97" s="46" t="str">
        <f t="shared" ca="1" si="26"/>
        <v/>
      </c>
      <c r="P97" s="46" t="str">
        <f t="shared" ca="1" si="26"/>
        <v/>
      </c>
      <c r="Q97" s="46" t="str">
        <f t="shared" ca="1" si="26"/>
        <v/>
      </c>
      <c r="R97" s="46" t="str">
        <f t="shared" ca="1" si="26"/>
        <v/>
      </c>
      <c r="S97" s="46" t="str">
        <f t="shared" ca="1" si="26"/>
        <v/>
      </c>
      <c r="T97" s="46" t="str">
        <f t="shared" ca="1" si="26"/>
        <v/>
      </c>
      <c r="U97" s="46" t="str">
        <f t="shared" ca="1" si="26"/>
        <v/>
      </c>
      <c r="V97" s="46" t="str">
        <f t="shared" ca="1" si="26"/>
        <v/>
      </c>
      <c r="W97" s="46" t="str">
        <f t="shared" ca="1" si="26"/>
        <v/>
      </c>
      <c r="X97" s="46" t="str">
        <f t="shared" ca="1" si="19"/>
        <v/>
      </c>
    </row>
    <row r="98" spans="1:24" ht="11.1" customHeight="1" x14ac:dyDescent="0.25">
      <c r="A98" s="11" t="s">
        <v>28</v>
      </c>
      <c r="B98" s="46" t="str">
        <f t="shared" ca="1" si="26"/>
        <v/>
      </c>
      <c r="C98" s="46" t="str">
        <f t="shared" ca="1" si="26"/>
        <v/>
      </c>
      <c r="D98" s="46" t="str">
        <f t="shared" ca="1" si="26"/>
        <v/>
      </c>
      <c r="E98" s="46" t="str">
        <f t="shared" ca="1" si="26"/>
        <v/>
      </c>
      <c r="F98" s="46" t="str">
        <f t="shared" ca="1" si="26"/>
        <v/>
      </c>
      <c r="G98" s="46" t="str">
        <f t="shared" ca="1" si="26"/>
        <v/>
      </c>
      <c r="H98" s="46" t="str">
        <f t="shared" ca="1" si="26"/>
        <v/>
      </c>
      <c r="I98" s="46" t="str">
        <f t="shared" ca="1" si="26"/>
        <v/>
      </c>
      <c r="J98" s="46" t="str">
        <f t="shared" ca="1" si="26"/>
        <v/>
      </c>
      <c r="K98" s="46" t="str">
        <f t="shared" ca="1" si="26"/>
        <v/>
      </c>
      <c r="L98" s="46" t="str">
        <f t="shared" ca="1" si="26"/>
        <v/>
      </c>
      <c r="M98" s="46" t="str">
        <f t="shared" ca="1" si="26"/>
        <v/>
      </c>
      <c r="N98" s="46" t="str">
        <f t="shared" ca="1" si="26"/>
        <v/>
      </c>
      <c r="O98" s="46" t="str">
        <f t="shared" ca="1" si="26"/>
        <v/>
      </c>
      <c r="P98" s="46" t="str">
        <f t="shared" ca="1" si="26"/>
        <v/>
      </c>
      <c r="Q98" s="46" t="str">
        <f t="shared" ca="1" si="26"/>
        <v/>
      </c>
      <c r="R98" s="46" t="str">
        <f t="shared" ca="1" si="26"/>
        <v/>
      </c>
      <c r="S98" s="46" t="str">
        <f t="shared" ca="1" si="26"/>
        <v/>
      </c>
      <c r="T98" s="46" t="str">
        <f t="shared" ca="1" si="26"/>
        <v/>
      </c>
      <c r="U98" s="46" t="str">
        <f t="shared" ca="1" si="26"/>
        <v/>
      </c>
      <c r="V98" s="46" t="str">
        <f t="shared" ca="1" si="26"/>
        <v/>
      </c>
      <c r="W98" s="46" t="str">
        <f t="shared" ca="1" si="26"/>
        <v/>
      </c>
      <c r="X98" s="46" t="str">
        <f t="shared" ca="1" si="19"/>
        <v/>
      </c>
    </row>
    <row r="99" spans="1:24" ht="11.1" customHeight="1" x14ac:dyDescent="0.25">
      <c r="A99" s="11" t="s">
        <v>29</v>
      </c>
      <c r="B99" s="46" t="str">
        <f t="shared" ca="1" si="26"/>
        <v/>
      </c>
      <c r="C99" s="46" t="str">
        <f t="shared" ca="1" si="26"/>
        <v/>
      </c>
      <c r="D99" s="46" t="str">
        <f t="shared" ca="1" si="26"/>
        <v/>
      </c>
      <c r="E99" s="46" t="str">
        <f t="shared" ca="1" si="26"/>
        <v/>
      </c>
      <c r="F99" s="46" t="str">
        <f t="shared" ca="1" si="26"/>
        <v/>
      </c>
      <c r="G99" s="46" t="str">
        <f t="shared" ca="1" si="26"/>
        <v/>
      </c>
      <c r="H99" s="46" t="str">
        <f t="shared" ca="1" si="26"/>
        <v/>
      </c>
      <c r="I99" s="46" t="str">
        <f t="shared" ca="1" si="26"/>
        <v/>
      </c>
      <c r="J99" s="46" t="str">
        <f t="shared" ca="1" si="26"/>
        <v/>
      </c>
      <c r="K99" s="46" t="str">
        <f t="shared" ca="1" si="26"/>
        <v/>
      </c>
      <c r="L99" s="46" t="str">
        <f t="shared" ca="1" si="26"/>
        <v/>
      </c>
      <c r="M99" s="46" t="str">
        <f t="shared" ca="1" si="26"/>
        <v/>
      </c>
      <c r="N99" s="46" t="str">
        <f t="shared" ca="1" si="26"/>
        <v/>
      </c>
      <c r="O99" s="46" t="str">
        <f t="shared" ca="1" si="26"/>
        <v/>
      </c>
      <c r="P99" s="46" t="str">
        <f t="shared" ca="1" si="26"/>
        <v/>
      </c>
      <c r="Q99" s="46" t="str">
        <f t="shared" ca="1" si="26"/>
        <v/>
      </c>
      <c r="R99" s="46" t="str">
        <f t="shared" ca="1" si="26"/>
        <v/>
      </c>
      <c r="S99" s="46" t="str">
        <f t="shared" ca="1" si="26"/>
        <v/>
      </c>
      <c r="T99" s="46" t="str">
        <f t="shared" ca="1" si="26"/>
        <v/>
      </c>
      <c r="U99" s="46" t="str">
        <f t="shared" ca="1" si="26"/>
        <v/>
      </c>
      <c r="V99" s="46" t="str">
        <f t="shared" ca="1" si="26"/>
        <v/>
      </c>
      <c r="W99" s="46" t="str">
        <f t="shared" ca="1" si="26"/>
        <v/>
      </c>
      <c r="X99" s="46" t="str">
        <f t="shared" ca="1" si="19"/>
        <v/>
      </c>
    </row>
    <row r="100" spans="1:24" ht="11.1" customHeight="1" x14ac:dyDescent="0.25">
      <c r="A100" s="11" t="s">
        <v>30</v>
      </c>
      <c r="B100" s="46" t="str">
        <f t="shared" ca="1" si="26"/>
        <v/>
      </c>
      <c r="C100" s="46" t="str">
        <f t="shared" ca="1" si="26"/>
        <v/>
      </c>
      <c r="D100" s="46" t="str">
        <f t="shared" ca="1" si="26"/>
        <v/>
      </c>
      <c r="E100" s="46" t="str">
        <f t="shared" ca="1" si="26"/>
        <v/>
      </c>
      <c r="F100" s="46" t="str">
        <f t="shared" ca="1" si="26"/>
        <v/>
      </c>
      <c r="G100" s="46" t="str">
        <f t="shared" ca="1" si="26"/>
        <v/>
      </c>
      <c r="H100" s="46" t="str">
        <f t="shared" ca="1" si="26"/>
        <v/>
      </c>
      <c r="I100" s="46" t="str">
        <f t="shared" ca="1" si="26"/>
        <v/>
      </c>
      <c r="J100" s="46" t="str">
        <f t="shared" ca="1" si="26"/>
        <v/>
      </c>
      <c r="K100" s="46" t="str">
        <f t="shared" ca="1" si="26"/>
        <v/>
      </c>
      <c r="L100" s="46" t="str">
        <f t="shared" ca="1" si="26"/>
        <v/>
      </c>
      <c r="M100" s="46" t="str">
        <f t="shared" ca="1" si="26"/>
        <v/>
      </c>
      <c r="N100" s="46" t="str">
        <f t="shared" ca="1" si="26"/>
        <v/>
      </c>
      <c r="O100" s="46" t="str">
        <f t="shared" ca="1" si="26"/>
        <v/>
      </c>
      <c r="P100" s="46" t="str">
        <f t="shared" ca="1" si="26"/>
        <v/>
      </c>
      <c r="Q100" s="46" t="str">
        <f t="shared" ca="1" si="26"/>
        <v/>
      </c>
      <c r="R100" s="46" t="str">
        <f t="shared" ca="1" si="26"/>
        <v/>
      </c>
      <c r="S100" s="46" t="str">
        <f t="shared" ca="1" si="26"/>
        <v/>
      </c>
      <c r="T100" s="46" t="str">
        <f t="shared" ca="1" si="26"/>
        <v/>
      </c>
      <c r="U100" s="46" t="str">
        <f t="shared" ca="1" si="26"/>
        <v/>
      </c>
      <c r="V100" s="46" t="str">
        <f t="shared" ca="1" si="26"/>
        <v/>
      </c>
      <c r="W100" s="46" t="str">
        <f t="shared" ca="1" si="26"/>
        <v/>
      </c>
      <c r="X100" s="46" t="str">
        <f t="shared" ca="1" si="19"/>
        <v/>
      </c>
    </row>
    <row r="101" spans="1:24" ht="11.1" customHeight="1" x14ac:dyDescent="0.25">
      <c r="A101" s="11" t="s">
        <v>31</v>
      </c>
      <c r="B101" s="46" t="str">
        <f t="shared" ca="1" si="26"/>
        <v/>
      </c>
      <c r="C101" s="46" t="str">
        <f t="shared" ca="1" si="26"/>
        <v/>
      </c>
      <c r="D101" s="46" t="str">
        <f t="shared" ca="1" si="26"/>
        <v/>
      </c>
      <c r="E101" s="46" t="str">
        <f t="shared" ca="1" si="26"/>
        <v/>
      </c>
      <c r="F101" s="46" t="str">
        <f t="shared" ca="1" si="26"/>
        <v/>
      </c>
      <c r="G101" s="46" t="str">
        <f t="shared" ca="1" si="26"/>
        <v/>
      </c>
      <c r="H101" s="46" t="str">
        <f t="shared" ca="1" si="26"/>
        <v/>
      </c>
      <c r="I101" s="46" t="str">
        <f t="shared" ca="1" si="26"/>
        <v/>
      </c>
      <c r="J101" s="46" t="str">
        <f t="shared" ca="1" si="26"/>
        <v/>
      </c>
      <c r="K101" s="46" t="str">
        <f t="shared" ca="1" si="26"/>
        <v/>
      </c>
      <c r="L101" s="46" t="str">
        <f t="shared" ca="1" si="26"/>
        <v/>
      </c>
      <c r="M101" s="46" t="str">
        <f t="shared" ca="1" si="26"/>
        <v/>
      </c>
      <c r="N101" s="46" t="str">
        <f t="shared" ca="1" si="26"/>
        <v/>
      </c>
      <c r="O101" s="46" t="str">
        <f t="shared" ca="1" si="26"/>
        <v/>
      </c>
      <c r="P101" s="46" t="str">
        <f t="shared" ca="1" si="26"/>
        <v/>
      </c>
      <c r="Q101" s="46" t="str">
        <f t="shared" ca="1" si="26"/>
        <v/>
      </c>
      <c r="R101" s="46" t="str">
        <f t="shared" ca="1" si="26"/>
        <v/>
      </c>
      <c r="S101" s="46" t="str">
        <f t="shared" ca="1" si="26"/>
        <v/>
      </c>
      <c r="T101" s="46" t="str">
        <f t="shared" ca="1" si="26"/>
        <v/>
      </c>
      <c r="U101" s="46" t="str">
        <f t="shared" ca="1" si="26"/>
        <v/>
      </c>
      <c r="V101" s="46" t="str">
        <f t="shared" ca="1" si="26"/>
        <v/>
      </c>
      <c r="W101" s="46" t="str">
        <f t="shared" ca="1" si="26"/>
        <v/>
      </c>
      <c r="X101" s="46" t="str">
        <f t="shared" ca="1" si="19"/>
        <v/>
      </c>
    </row>
    <row r="102" spans="1:24" ht="11.1" customHeight="1" x14ac:dyDescent="0.25">
      <c r="A102" s="11" t="s">
        <v>32</v>
      </c>
      <c r="B102" s="46" t="str">
        <f t="shared" ca="1" si="26"/>
        <v/>
      </c>
      <c r="C102" s="46" t="str">
        <f t="shared" ca="1" si="26"/>
        <v/>
      </c>
      <c r="D102" s="46" t="str">
        <f t="shared" ca="1" si="26"/>
        <v/>
      </c>
      <c r="E102" s="46" t="str">
        <f t="shared" ca="1" si="26"/>
        <v/>
      </c>
      <c r="F102" s="46" t="str">
        <f t="shared" ca="1" si="26"/>
        <v/>
      </c>
      <c r="G102" s="46" t="str">
        <f t="shared" ca="1" si="26"/>
        <v/>
      </c>
      <c r="H102" s="46" t="str">
        <f t="shared" ca="1" si="26"/>
        <v/>
      </c>
      <c r="I102" s="46" t="str">
        <f t="shared" ca="1" si="26"/>
        <v/>
      </c>
      <c r="J102" s="46" t="str">
        <f t="shared" ca="1" si="26"/>
        <v/>
      </c>
      <c r="K102" s="46" t="str">
        <f t="shared" ca="1" si="26"/>
        <v/>
      </c>
      <c r="L102" s="46" t="str">
        <f t="shared" ca="1" si="26"/>
        <v/>
      </c>
      <c r="M102" s="46" t="str">
        <f t="shared" ca="1" si="26"/>
        <v/>
      </c>
      <c r="N102" s="46" t="str">
        <f t="shared" ca="1" si="26"/>
        <v/>
      </c>
      <c r="O102" s="46" t="str">
        <f t="shared" ca="1" si="26"/>
        <v/>
      </c>
      <c r="P102" s="46" t="str">
        <f t="shared" ca="1" si="26"/>
        <v/>
      </c>
      <c r="Q102" s="46" t="str">
        <f t="shared" ca="1" si="26"/>
        <v/>
      </c>
      <c r="R102" s="46" t="str">
        <f t="shared" ca="1" si="26"/>
        <v/>
      </c>
      <c r="S102" s="46" t="str">
        <f t="shared" ca="1" si="26"/>
        <v/>
      </c>
      <c r="T102" s="46" t="str">
        <f t="shared" ca="1" si="26"/>
        <v/>
      </c>
      <c r="U102" s="46" t="str">
        <f t="shared" ca="1" si="26"/>
        <v/>
      </c>
      <c r="V102" s="46" t="str">
        <f t="shared" ca="1" si="26"/>
        <v/>
      </c>
      <c r="W102" s="46" t="str">
        <f t="shared" ca="1" si="26"/>
        <v/>
      </c>
      <c r="X102" s="46" t="str">
        <f t="shared" ca="1" si="19"/>
        <v/>
      </c>
    </row>
    <row r="103" spans="1:24" ht="11.1" customHeight="1" x14ac:dyDescent="0.25">
      <c r="A103" s="11" t="s">
        <v>33</v>
      </c>
      <c r="B103" s="46" t="str">
        <f t="shared" ca="1" si="26"/>
        <v/>
      </c>
      <c r="C103" s="46" t="str">
        <f t="shared" ca="1" si="26"/>
        <v/>
      </c>
      <c r="D103" s="46" t="str">
        <f t="shared" ca="1" si="26"/>
        <v/>
      </c>
      <c r="E103" s="46" t="str">
        <f t="shared" ca="1" si="26"/>
        <v/>
      </c>
      <c r="F103" s="46" t="str">
        <f t="shared" ca="1" si="26"/>
        <v/>
      </c>
      <c r="G103" s="46" t="str">
        <f t="shared" ca="1" si="26"/>
        <v/>
      </c>
      <c r="H103" s="46" t="str">
        <f t="shared" ca="1" si="26"/>
        <v/>
      </c>
      <c r="I103" s="46" t="str">
        <f t="shared" ca="1" si="26"/>
        <v/>
      </c>
      <c r="J103" s="46" t="str">
        <f t="shared" ca="1" si="26"/>
        <v/>
      </c>
      <c r="K103" s="46" t="str">
        <f t="shared" ca="1" si="26"/>
        <v/>
      </c>
      <c r="L103" s="46" t="str">
        <f t="shared" ca="1" si="26"/>
        <v/>
      </c>
      <c r="M103" s="46" t="str">
        <f t="shared" ca="1" si="26"/>
        <v/>
      </c>
      <c r="N103" s="46" t="str">
        <f t="shared" ca="1" si="26"/>
        <v/>
      </c>
      <c r="O103" s="46" t="str">
        <f t="shared" ca="1" si="26"/>
        <v/>
      </c>
      <c r="P103" s="46" t="str">
        <f t="shared" ca="1" si="26"/>
        <v/>
      </c>
      <c r="Q103" s="46" t="str">
        <f t="shared" ca="1" si="26"/>
        <v/>
      </c>
      <c r="R103" s="46" t="str">
        <f t="shared" ca="1" si="26"/>
        <v/>
      </c>
      <c r="S103" s="46" t="str">
        <f t="shared" ca="1" si="26"/>
        <v/>
      </c>
      <c r="T103" s="46" t="str">
        <f t="shared" ca="1" si="26"/>
        <v/>
      </c>
      <c r="U103" s="46" t="str">
        <f t="shared" ca="1" si="26"/>
        <v/>
      </c>
      <c r="V103" s="46" t="str">
        <f t="shared" ca="1" si="26"/>
        <v/>
      </c>
      <c r="W103" s="46" t="str">
        <f t="shared" ca="1" si="26"/>
        <v/>
      </c>
      <c r="X103" s="46" t="str">
        <f t="shared" ca="1" si="19"/>
        <v/>
      </c>
    </row>
    <row r="104" spans="1:24" ht="11.1" customHeight="1" x14ac:dyDescent="0.25">
      <c r="A104" s="11" t="s">
        <v>34</v>
      </c>
      <c r="B104" s="46" t="str">
        <f t="shared" ca="1" si="26"/>
        <v/>
      </c>
      <c r="C104" s="46" t="str">
        <f t="shared" ca="1" si="26"/>
        <v/>
      </c>
      <c r="D104" s="46" t="str">
        <f t="shared" ca="1" si="26"/>
        <v/>
      </c>
      <c r="E104" s="46" t="str">
        <f t="shared" ca="1" si="26"/>
        <v/>
      </c>
      <c r="F104" s="46" t="str">
        <f t="shared" ca="1" si="26"/>
        <v/>
      </c>
      <c r="G104" s="46" t="str">
        <f t="shared" ca="1" si="26"/>
        <v/>
      </c>
      <c r="H104" s="46" t="str">
        <f t="shared" ca="1" si="26"/>
        <v/>
      </c>
      <c r="I104" s="46" t="str">
        <f t="shared" ca="1" si="26"/>
        <v/>
      </c>
      <c r="J104" s="46" t="str">
        <f t="shared" ca="1" si="26"/>
        <v/>
      </c>
      <c r="K104" s="46" t="str">
        <f t="shared" ca="1" si="26"/>
        <v/>
      </c>
      <c r="L104" s="46" t="str">
        <f t="shared" ca="1" si="26"/>
        <v/>
      </c>
      <c r="M104" s="46" t="str">
        <f t="shared" ca="1" si="26"/>
        <v/>
      </c>
      <c r="N104" s="46" t="str">
        <f t="shared" ca="1" si="26"/>
        <v/>
      </c>
      <c r="O104" s="46" t="str">
        <f t="shared" ca="1" si="26"/>
        <v/>
      </c>
      <c r="P104" s="46" t="str">
        <f t="shared" ca="1" si="26"/>
        <v/>
      </c>
      <c r="Q104" s="46" t="str">
        <f t="shared" ca="1" si="26"/>
        <v/>
      </c>
      <c r="R104" s="46" t="str">
        <f t="shared" ca="1" si="26"/>
        <v/>
      </c>
      <c r="S104" s="46" t="str">
        <f t="shared" ca="1" si="26"/>
        <v/>
      </c>
      <c r="T104" s="46" t="str">
        <f t="shared" ca="1" si="26"/>
        <v/>
      </c>
      <c r="U104" s="46" t="str">
        <f t="shared" ca="1" si="26"/>
        <v/>
      </c>
      <c r="V104" s="46" t="str">
        <f t="shared" ca="1" si="26"/>
        <v/>
      </c>
      <c r="W104" s="46" t="str">
        <f t="shared" ca="1" si="26"/>
        <v/>
      </c>
      <c r="X104" s="46"/>
    </row>
    <row r="105" spans="1:24" ht="11.1" customHeight="1" x14ac:dyDescent="0.25">
      <c r="B105" s="46" t="str">
        <f t="shared" ca="1" si="26"/>
        <v/>
      </c>
      <c r="C105" s="46" t="str">
        <f t="shared" ca="1" si="26"/>
        <v/>
      </c>
      <c r="D105" s="46" t="str">
        <f t="shared" ca="1" si="26"/>
        <v/>
      </c>
      <c r="E105" s="46" t="str">
        <f t="shared" ca="1" si="26"/>
        <v/>
      </c>
      <c r="F105" s="46" t="str">
        <f t="shared" ca="1" si="26"/>
        <v/>
      </c>
      <c r="G105" s="46" t="str">
        <f t="shared" ca="1" si="26"/>
        <v/>
      </c>
      <c r="H105" s="46" t="str">
        <f t="shared" ca="1" si="26"/>
        <v/>
      </c>
      <c r="I105" s="46" t="str">
        <f t="shared" ca="1" si="26"/>
        <v/>
      </c>
      <c r="J105" s="46" t="str">
        <f t="shared" ca="1" si="26"/>
        <v/>
      </c>
      <c r="K105" s="46" t="str">
        <f t="shared" ca="1" si="26"/>
        <v/>
      </c>
      <c r="L105" s="46" t="str">
        <f t="shared" ca="1" si="26"/>
        <v/>
      </c>
      <c r="M105" s="46" t="str">
        <f t="shared" ca="1" si="26"/>
        <v/>
      </c>
      <c r="N105" s="46" t="str">
        <f t="shared" ca="1" si="26"/>
        <v/>
      </c>
      <c r="O105" s="46" t="str">
        <f t="shared" ca="1" si="26"/>
        <v/>
      </c>
      <c r="P105" s="46" t="str">
        <f t="shared" ca="1" si="26"/>
        <v/>
      </c>
      <c r="Q105" s="46" t="str">
        <f t="shared" ca="1" si="26"/>
        <v/>
      </c>
      <c r="R105" s="46" t="str">
        <f t="shared" ca="1" si="26"/>
        <v/>
      </c>
      <c r="S105" s="46" t="str">
        <f t="shared" ca="1" si="26"/>
        <v/>
      </c>
      <c r="T105" s="46" t="str">
        <f t="shared" ca="1" si="26"/>
        <v/>
      </c>
      <c r="U105" s="46" t="str">
        <f t="shared" ca="1" si="26"/>
        <v/>
      </c>
      <c r="V105" s="46" t="str">
        <f t="shared" ca="1" si="26"/>
        <v/>
      </c>
      <c r="W105" s="46" t="str">
        <f t="shared" ca="1" si="26"/>
        <v/>
      </c>
      <c r="X105" s="46"/>
    </row>
    <row r="106" spans="1:24" ht="11.1" customHeight="1" x14ac:dyDescent="0.25">
      <c r="A106" s="11" t="s">
        <v>35</v>
      </c>
      <c r="B106" s="46" t="str">
        <f t="shared" ca="1" si="26"/>
        <v/>
      </c>
      <c r="C106" s="46" t="str">
        <f t="shared" ca="1" si="26"/>
        <v/>
      </c>
      <c r="D106" s="46" t="str">
        <f t="shared" ca="1" si="26"/>
        <v/>
      </c>
      <c r="E106" s="46" t="str">
        <f t="shared" ca="1" si="26"/>
        <v/>
      </c>
      <c r="F106" s="46" t="str">
        <f t="shared" ca="1" si="26"/>
        <v/>
      </c>
      <c r="G106" s="46" t="str">
        <f t="shared" ca="1" si="26"/>
        <v/>
      </c>
      <c r="H106" s="46" t="str">
        <f t="shared" ca="1" si="26"/>
        <v/>
      </c>
      <c r="I106" s="46" t="str">
        <f t="shared" ca="1" si="26"/>
        <v/>
      </c>
      <c r="J106" s="46" t="str">
        <f t="shared" ca="1" si="26"/>
        <v/>
      </c>
      <c r="K106" s="46" t="str">
        <f t="shared" ca="1" si="26"/>
        <v/>
      </c>
      <c r="L106" s="46" t="str">
        <f t="shared" ca="1" si="26"/>
        <v/>
      </c>
      <c r="M106" s="46" t="str">
        <f t="shared" ca="1" si="26"/>
        <v/>
      </c>
      <c r="N106" s="46" t="str">
        <f t="shared" ca="1" si="26"/>
        <v/>
      </c>
      <c r="O106" s="46" t="str">
        <f t="shared" ref="O106:W106" ca="1" si="27">IF(AND($A54&gt;O$55,$A54&lt;O$53),ABS(AVERAGE(O52:O56)),"")</f>
        <v/>
      </c>
      <c r="P106" s="46" t="str">
        <f t="shared" ca="1" si="27"/>
        <v/>
      </c>
      <c r="Q106" s="46" t="str">
        <f t="shared" ca="1" si="27"/>
        <v/>
      </c>
      <c r="R106" s="46" t="str">
        <f t="shared" ca="1" si="27"/>
        <v/>
      </c>
      <c r="S106" s="46" t="str">
        <f t="shared" ca="1" si="27"/>
        <v/>
      </c>
      <c r="T106" s="46" t="str">
        <f t="shared" ca="1" si="27"/>
        <v/>
      </c>
      <c r="U106" s="46" t="str">
        <f t="shared" ca="1" si="27"/>
        <v/>
      </c>
      <c r="V106" s="46" t="str">
        <f t="shared" ca="1" si="27"/>
        <v/>
      </c>
      <c r="W106" s="46" t="str">
        <f t="shared" ca="1" si="27"/>
        <v/>
      </c>
      <c r="X106" s="46"/>
    </row>
    <row r="107" spans="1:24" ht="11.1" customHeight="1" x14ac:dyDescent="0.25">
      <c r="A107" s="11" t="s">
        <v>36</v>
      </c>
      <c r="B107" s="46" t="str">
        <f t="shared" ref="B107:W109" ca="1" si="28">IF(AND($A55&gt;B$55,$A55&lt;B$53),ABS(AVERAGE(B53:B57)),"")</f>
        <v/>
      </c>
      <c r="C107" s="46" t="str">
        <f t="shared" ca="1" si="28"/>
        <v/>
      </c>
      <c r="D107" s="46" t="str">
        <f t="shared" ca="1" si="28"/>
        <v/>
      </c>
      <c r="E107" s="46" t="str">
        <f t="shared" ca="1" si="28"/>
        <v/>
      </c>
      <c r="F107" s="46" t="str">
        <f t="shared" ca="1" si="28"/>
        <v/>
      </c>
      <c r="G107" s="46" t="str">
        <f t="shared" ca="1" si="28"/>
        <v/>
      </c>
      <c r="H107" s="46" t="str">
        <f t="shared" ca="1" si="28"/>
        <v/>
      </c>
      <c r="I107" s="46" t="str">
        <f t="shared" ca="1" si="28"/>
        <v/>
      </c>
      <c r="J107" s="46" t="str">
        <f t="shared" ca="1" si="28"/>
        <v/>
      </c>
      <c r="K107" s="46" t="str">
        <f t="shared" ca="1" si="28"/>
        <v/>
      </c>
      <c r="L107" s="46" t="str">
        <f t="shared" ca="1" si="28"/>
        <v/>
      </c>
      <c r="M107" s="46" t="str">
        <f t="shared" ca="1" si="28"/>
        <v/>
      </c>
      <c r="N107" s="46" t="str">
        <f t="shared" ca="1" si="28"/>
        <v/>
      </c>
      <c r="O107" s="46" t="str">
        <f t="shared" ca="1" si="28"/>
        <v/>
      </c>
      <c r="P107" s="46" t="str">
        <f t="shared" ca="1" si="28"/>
        <v/>
      </c>
      <c r="Q107" s="46" t="str">
        <f t="shared" ca="1" si="28"/>
        <v/>
      </c>
      <c r="R107" s="46" t="str">
        <f t="shared" ca="1" si="28"/>
        <v/>
      </c>
      <c r="S107" s="46" t="str">
        <f t="shared" ca="1" si="28"/>
        <v/>
      </c>
      <c r="T107" s="46" t="str">
        <f t="shared" ca="1" si="28"/>
        <v/>
      </c>
      <c r="U107" s="46" t="str">
        <f t="shared" ca="1" si="28"/>
        <v/>
      </c>
      <c r="V107" s="46" t="str">
        <f t="shared" ca="1" si="28"/>
        <v/>
      </c>
      <c r="W107" s="46" t="str">
        <f t="shared" ca="1" si="28"/>
        <v/>
      </c>
      <c r="X107" s="46"/>
    </row>
    <row r="108" spans="1:24" ht="11.1" customHeight="1" x14ac:dyDescent="0.25">
      <c r="A108" s="11" t="s">
        <v>37</v>
      </c>
      <c r="B108" s="46" t="str">
        <f t="shared" ca="1" si="28"/>
        <v/>
      </c>
      <c r="C108" s="46" t="str">
        <f t="shared" ca="1" si="28"/>
        <v/>
      </c>
      <c r="D108" s="46" t="str">
        <f t="shared" ca="1" si="28"/>
        <v/>
      </c>
      <c r="E108" s="46" t="str">
        <f t="shared" ca="1" si="28"/>
        <v/>
      </c>
      <c r="F108" s="46" t="str">
        <f t="shared" ca="1" si="28"/>
        <v/>
      </c>
      <c r="G108" s="46" t="str">
        <f t="shared" ca="1" si="28"/>
        <v/>
      </c>
      <c r="H108" s="46" t="str">
        <f t="shared" ca="1" si="28"/>
        <v/>
      </c>
      <c r="I108" s="46" t="str">
        <f t="shared" ca="1" si="28"/>
        <v/>
      </c>
      <c r="J108" s="46" t="str">
        <f t="shared" ca="1" si="28"/>
        <v/>
      </c>
      <c r="K108" s="46" t="str">
        <f t="shared" ca="1" si="28"/>
        <v/>
      </c>
      <c r="L108" s="46" t="str">
        <f t="shared" ca="1" si="28"/>
        <v/>
      </c>
      <c r="M108" s="46" t="str">
        <f t="shared" ca="1" si="28"/>
        <v/>
      </c>
      <c r="N108" s="46" t="str">
        <f t="shared" ca="1" si="28"/>
        <v/>
      </c>
      <c r="O108" s="46" t="str">
        <f t="shared" ca="1" si="28"/>
        <v/>
      </c>
      <c r="P108" s="46" t="str">
        <f t="shared" ca="1" si="28"/>
        <v/>
      </c>
      <c r="Q108" s="46" t="str">
        <f t="shared" ca="1" si="28"/>
        <v/>
      </c>
      <c r="R108" s="46" t="str">
        <f t="shared" ca="1" si="28"/>
        <v/>
      </c>
      <c r="S108" s="46" t="str">
        <f t="shared" ca="1" si="28"/>
        <v/>
      </c>
      <c r="T108" s="46" t="str">
        <f t="shared" ca="1" si="28"/>
        <v/>
      </c>
      <c r="U108" s="46" t="str">
        <f t="shared" ca="1" si="28"/>
        <v/>
      </c>
      <c r="V108" s="46" t="str">
        <f t="shared" ca="1" si="28"/>
        <v/>
      </c>
      <c r="W108" s="46" t="str">
        <f t="shared" ca="1" si="28"/>
        <v/>
      </c>
    </row>
    <row r="109" spans="1:24" ht="11.1" customHeight="1" x14ac:dyDescent="0.25">
      <c r="A109" s="11" t="s">
        <v>38</v>
      </c>
      <c r="B109" s="46" t="str">
        <f t="shared" ca="1" si="28"/>
        <v/>
      </c>
      <c r="C109" s="46" t="str">
        <f t="shared" ca="1" si="28"/>
        <v/>
      </c>
      <c r="D109" s="46" t="str">
        <f t="shared" ca="1" si="28"/>
        <v/>
      </c>
      <c r="E109" s="46" t="str">
        <f t="shared" ca="1" si="28"/>
        <v/>
      </c>
      <c r="F109" s="46" t="str">
        <f t="shared" ca="1" si="28"/>
        <v/>
      </c>
      <c r="G109" s="46" t="str">
        <f t="shared" ca="1" si="28"/>
        <v/>
      </c>
      <c r="H109" s="46" t="str">
        <f t="shared" ca="1" si="28"/>
        <v/>
      </c>
      <c r="I109" s="46" t="str">
        <f t="shared" ca="1" si="28"/>
        <v/>
      </c>
      <c r="J109" s="46" t="str">
        <f t="shared" ca="1" si="28"/>
        <v/>
      </c>
      <c r="K109" s="46" t="str">
        <f t="shared" ca="1" si="28"/>
        <v/>
      </c>
      <c r="L109" s="46" t="str">
        <f t="shared" ca="1" si="28"/>
        <v/>
      </c>
      <c r="M109" s="46" t="str">
        <f t="shared" ca="1" si="28"/>
        <v/>
      </c>
      <c r="N109" s="46" t="str">
        <f t="shared" ca="1" si="28"/>
        <v/>
      </c>
      <c r="O109" s="46" t="str">
        <f t="shared" ca="1" si="28"/>
        <v/>
      </c>
      <c r="P109" s="46" t="str">
        <f t="shared" ca="1" si="28"/>
        <v/>
      </c>
      <c r="Q109" s="46" t="str">
        <f t="shared" ca="1" si="28"/>
        <v/>
      </c>
      <c r="R109" s="46" t="str">
        <f t="shared" ca="1" si="28"/>
        <v/>
      </c>
      <c r="S109" s="46" t="str">
        <f t="shared" ca="1" si="28"/>
        <v/>
      </c>
      <c r="T109" s="46" t="str">
        <f t="shared" ca="1" si="28"/>
        <v/>
      </c>
      <c r="U109" s="46" t="str">
        <f t="shared" ca="1" si="28"/>
        <v/>
      </c>
      <c r="V109" s="46" t="str">
        <f t="shared" ca="1" si="28"/>
        <v/>
      </c>
      <c r="W109" s="46" t="str">
        <f t="shared" ca="1" si="28"/>
        <v/>
      </c>
    </row>
    <row r="110" spans="1:24" ht="11.1" customHeight="1" x14ac:dyDescent="0.25">
      <c r="A110" s="11" t="s">
        <v>39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 spans="1:24" ht="11.1" customHeight="1" x14ac:dyDescent="0.25">
      <c r="A111" s="11" t="s">
        <v>40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4" ht="11.1" customHeight="1" x14ac:dyDescent="0.25">
      <c r="A112" s="11" t="s">
        <v>41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 spans="1:23" ht="11.1" customHeight="1" x14ac:dyDescent="0.25">
      <c r="A113" s="11" t="s">
        <v>42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ht="11.1" customHeight="1" x14ac:dyDescent="0.25">
      <c r="A114" s="11" t="s">
        <v>43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 spans="1:23" ht="11.1" customHeight="1" x14ac:dyDescent="0.25">
      <c r="A115" s="11" t="s">
        <v>44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7" spans="1:23" ht="11.1" customHeight="1" x14ac:dyDescent="0.25">
      <c r="A117" s="11" t="s">
        <v>45</v>
      </c>
    </row>
    <row r="118" spans="1:23" ht="11.1" customHeight="1" x14ac:dyDescent="0.25">
      <c r="A118" s="11" t="s">
        <v>46</v>
      </c>
    </row>
    <row r="119" spans="1:23" ht="11.1" customHeight="1" x14ac:dyDescent="0.25">
      <c r="A119" s="11" t="s">
        <v>47</v>
      </c>
    </row>
    <row r="120" spans="1:23" ht="11.1" customHeight="1" x14ac:dyDescent="0.25">
      <c r="A120" s="11" t="s">
        <v>48</v>
      </c>
    </row>
    <row r="121" spans="1:23" ht="11.1" customHeight="1" x14ac:dyDescent="0.25">
      <c r="A121" s="11" t="s">
        <v>49</v>
      </c>
    </row>
    <row r="122" spans="1:23" ht="11.1" customHeight="1" x14ac:dyDescent="0.25">
      <c r="A122" s="11" t="s">
        <v>50</v>
      </c>
    </row>
    <row r="123" spans="1:23" ht="11.1" customHeight="1" x14ac:dyDescent="0.25">
      <c r="A123" s="11" t="s">
        <v>51</v>
      </c>
    </row>
    <row r="124" spans="1:23" ht="11.1" customHeight="1" x14ac:dyDescent="0.25">
      <c r="A124" s="11" t="s">
        <v>52</v>
      </c>
    </row>
    <row r="125" spans="1:23" ht="11.1" customHeight="1" x14ac:dyDescent="0.25">
      <c r="A125" s="11" t="s">
        <v>53</v>
      </c>
    </row>
    <row r="126" spans="1:23" ht="11.1" customHeight="1" x14ac:dyDescent="0.25">
      <c r="A126" s="11" t="s">
        <v>54</v>
      </c>
    </row>
    <row r="129" spans="1:1" ht="11.1" customHeight="1" x14ac:dyDescent="0.25">
      <c r="A129" s="11" t="s">
        <v>55</v>
      </c>
    </row>
    <row r="130" spans="1:1" ht="11.1" customHeight="1" x14ac:dyDescent="0.25">
      <c r="A130" s="11" t="s">
        <v>56</v>
      </c>
    </row>
    <row r="131" spans="1:1" ht="11.1" customHeight="1" x14ac:dyDescent="0.25">
      <c r="A131" s="11" t="s">
        <v>57</v>
      </c>
    </row>
    <row r="132" spans="1:1" ht="11.1" customHeight="1" x14ac:dyDescent="0.25">
      <c r="A132" s="11" t="s">
        <v>58</v>
      </c>
    </row>
    <row r="133" spans="1:1" ht="11.1" customHeight="1" x14ac:dyDescent="0.25">
      <c r="A133" s="11" t="s">
        <v>59</v>
      </c>
    </row>
    <row r="134" spans="1:1" ht="11.1" customHeight="1" x14ac:dyDescent="0.25">
      <c r="A134" s="11" t="s">
        <v>60</v>
      </c>
    </row>
    <row r="135" spans="1:1" ht="11.1" customHeight="1" x14ac:dyDescent="0.25">
      <c r="A135" s="11" t="s">
        <v>61</v>
      </c>
    </row>
    <row r="136" spans="1:1" ht="11.1" customHeight="1" x14ac:dyDescent="0.25">
      <c r="A136" s="11" t="s">
        <v>62</v>
      </c>
    </row>
    <row r="138" spans="1:1" ht="11.1" customHeight="1" x14ac:dyDescent="0.25">
      <c r="A138" s="11" t="s">
        <v>63</v>
      </c>
    </row>
    <row r="139" spans="1:1" ht="11.1" customHeight="1" x14ac:dyDescent="0.25">
      <c r="A139" s="11" t="s">
        <v>64</v>
      </c>
    </row>
    <row r="140" spans="1:1" ht="11.1" customHeight="1" x14ac:dyDescent="0.25">
      <c r="A140" s="11" t="s">
        <v>65</v>
      </c>
    </row>
    <row r="141" spans="1:1" ht="11.1" customHeight="1" x14ac:dyDescent="0.25">
      <c r="A141" s="11" t="s">
        <v>66</v>
      </c>
    </row>
    <row r="142" spans="1:1" ht="11.1" customHeight="1" x14ac:dyDescent="0.25">
      <c r="A142" s="11" t="s">
        <v>67</v>
      </c>
    </row>
    <row r="143" spans="1:1" ht="11.1" customHeight="1" x14ac:dyDescent="0.25">
      <c r="A143" s="11" t="s">
        <v>68</v>
      </c>
    </row>
    <row r="144" spans="1:1" ht="11.1" customHeight="1" x14ac:dyDescent="0.25">
      <c r="A144" s="11" t="s">
        <v>69</v>
      </c>
    </row>
    <row r="145" spans="1:1" ht="11.1" customHeight="1" x14ac:dyDescent="0.25">
      <c r="A145" s="11" t="s">
        <v>70</v>
      </c>
    </row>
    <row r="146" spans="1:1" ht="11.1" customHeight="1" x14ac:dyDescent="0.25">
      <c r="A146" s="11" t="s">
        <v>71</v>
      </c>
    </row>
    <row r="147" spans="1:1" ht="11.1" customHeight="1" x14ac:dyDescent="0.25">
      <c r="A147" s="11" t="s">
        <v>68</v>
      </c>
    </row>
    <row r="149" spans="1:1" ht="11.1" customHeight="1" x14ac:dyDescent="0.25">
      <c r="A149" s="11" t="s">
        <v>72</v>
      </c>
    </row>
    <row r="150" spans="1:1" ht="11.1" customHeight="1" x14ac:dyDescent="0.25">
      <c r="A150" s="11" t="s">
        <v>73</v>
      </c>
    </row>
    <row r="151" spans="1:1" ht="11.1" customHeight="1" x14ac:dyDescent="0.25">
      <c r="A151" s="11" t="s">
        <v>74</v>
      </c>
    </row>
    <row r="152" spans="1:1" ht="11.1" customHeight="1" x14ac:dyDescent="0.25">
      <c r="A152" s="11" t="s">
        <v>75</v>
      </c>
    </row>
    <row r="153" spans="1:1" ht="11.1" customHeight="1" x14ac:dyDescent="0.25">
      <c r="A153" s="11" t="s">
        <v>76</v>
      </c>
    </row>
    <row r="154" spans="1:1" ht="11.1" customHeight="1" x14ac:dyDescent="0.25">
      <c r="A154" s="11" t="s">
        <v>77</v>
      </c>
    </row>
    <row r="155" spans="1:1" ht="11.1" customHeight="1" x14ac:dyDescent="0.25">
      <c r="A155" s="11" t="s">
        <v>78</v>
      </c>
    </row>
    <row r="156" spans="1:1" ht="11.1" customHeight="1" x14ac:dyDescent="0.25">
      <c r="A156" s="11" t="s">
        <v>79</v>
      </c>
    </row>
    <row r="157" spans="1:1" ht="11.1" customHeight="1" x14ac:dyDescent="0.25">
      <c r="A157" s="11" t="s">
        <v>80</v>
      </c>
    </row>
    <row r="158" spans="1:1" ht="11.1" customHeight="1" x14ac:dyDescent="0.25">
      <c r="A158" s="11" t="s">
        <v>81</v>
      </c>
    </row>
  </sheetData>
  <conditionalFormatting sqref="B4:W4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B51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:X51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B5:AB51">
    <cfRule type="dataBar" priority="32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{DAAE055A-8174-4F40-BC7B-45FE574C939A}</x14:id>
        </ext>
      </extLst>
    </cfRule>
  </conditionalFormatting>
  <conditionalFormatting sqref="G5:G51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H5:H51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5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J5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:K51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:L51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:M51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N5:N51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O5:O51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P5:P5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Q5:Q51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R5:R51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S5:S51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5:T5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U5:U51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5:V51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5:W51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5:W51">
    <cfRule type="expression" dxfId="20" priority="2">
      <formula>B5=0</formula>
    </cfRule>
    <cfRule type="expression" dxfId="19" priority="3">
      <formula>$A5=B$54</formula>
    </cfRule>
    <cfRule type="expression" dxfId="18" priority="10">
      <formula>$A5=ROUND($A$4/$A$1,0)*$A$1</formula>
    </cfRule>
  </conditionalFormatting>
  <conditionalFormatting sqref="Y5:Y51">
    <cfRule type="dataBar" priority="37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{ED2D205F-A599-4C31-BF98-2CEC463BD1F0}</x14:id>
        </ext>
      </extLst>
    </cfRule>
  </conditionalFormatting>
  <conditionalFormatting sqref="A5:AB51">
    <cfRule type="expression" dxfId="17" priority="7">
      <formula>$A5=$AA$52</formula>
    </cfRule>
    <cfRule type="expression" dxfId="16" priority="8">
      <formula>$A5=$Y$52</formula>
    </cfRule>
    <cfRule type="expression" dxfId="15" priority="9">
      <formula>$A5=$Y$4</formula>
    </cfRule>
  </conditionalFormatting>
  <conditionalFormatting sqref="B5:X51">
    <cfRule type="expression" dxfId="14" priority="4">
      <formula>$A5=B$55</formula>
    </cfRule>
    <cfRule type="expression" dxfId="13" priority="5">
      <formula>$A5=B$53</formula>
    </cfRule>
  </conditionalFormatting>
  <conditionalFormatting sqref="Z5:Z51">
    <cfRule type="dataBar" priority="6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{0BA57957-32CA-433F-B316-9A22C0AD710F}</x14:id>
        </ext>
      </extLst>
    </cfRule>
  </conditionalFormatting>
  <conditionalFormatting sqref="C5:C51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:D51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5:E5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F5:F51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dataValidations count="2">
    <dataValidation type="list" allowBlank="1" showInputMessage="1" showErrorMessage="1" sqref="AB4" xr:uid="{961B2C3D-770B-485D-B887-6C0536D9A54B}">
      <formula1>$B$1:$W$1</formula1>
    </dataValidation>
    <dataValidation type="list" allowBlank="1" showInputMessage="1" showErrorMessage="1" sqref="A2" xr:uid="{1F902DE5-33C5-46D4-9C60-87EF0083920A}">
      <formula1>"PREMIUM_OI,PREMIUM,DEX,VEX,GEX,VOLUME,OPEN_INT,MAXPAIN,SKEW"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AE055A-8174-4F40-BC7B-45FE574C93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AB5:AB51</xm:sqref>
        </x14:conditionalFormatting>
        <x14:conditionalFormatting xmlns:xm="http://schemas.microsoft.com/office/excel/2006/main">
          <x14:cfRule type="dataBar" id="{ED2D205F-A599-4C31-BF98-2CEC463BD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Y5:Y51</xm:sqref>
        </x14:conditionalFormatting>
        <x14:conditionalFormatting xmlns:xm="http://schemas.microsoft.com/office/excel/2006/main">
          <x14:cfRule type="dataBar" id="{0BA57957-32CA-433F-B316-9A22C0AD71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V15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A4" sqref="AA4"/>
    </sheetView>
  </sheetViews>
  <sheetFormatPr baseColWidth="10" defaultRowHeight="11.1" customHeight="1" outlineLevelCol="1" x14ac:dyDescent="0.25"/>
  <cols>
    <col min="1" max="1" width="12.7109375" style="11" customWidth="1"/>
    <col min="2" max="2" width="11.5703125" style="11" customWidth="1" outlineLevel="1"/>
    <col min="3" max="13" width="8" style="11" customWidth="1" outlineLevel="1"/>
    <col min="14" max="14" width="9" style="11" customWidth="1" outlineLevel="1"/>
    <col min="15" max="23" width="8" style="11" customWidth="1" outlineLevel="1"/>
    <col min="24" max="24" width="8.7109375" style="7" customWidth="1"/>
    <col min="25" max="25" width="11.42578125" style="7"/>
    <col min="26" max="26" width="4.140625" style="7" customWidth="1"/>
    <col min="27" max="28" width="11.42578125" style="7"/>
    <col min="29" max="29" width="11.85546875" style="7" bestFit="1" customWidth="1"/>
    <col min="30" max="16384" width="11.42578125" style="7"/>
  </cols>
  <sheetData>
    <row r="1" spans="1:74" s="8" customFormat="1" ht="11.1" customHeight="1" thickBot="1" x14ac:dyDescent="0.3">
      <c r="A1" s="22">
        <f>+'OI-VOL (2)'!A1</f>
        <v>0.5</v>
      </c>
      <c r="B1" s="1" t="str">
        <f ca="1">IF($A$52&lt;=TEXT(B3,"YYMMDD"),TEXT(B3,"YYMMDD"),"")</f>
        <v/>
      </c>
      <c r="C1" s="1" t="str">
        <f t="shared" ref="C1:F1" ca="1" si="0">IF($A$52&lt;=TEXT(C3,"YYMMDD"),TEXT(C3,"YYMMDD"),"")</f>
        <v>251114</v>
      </c>
      <c r="D1" s="1" t="str">
        <f t="shared" ca="1" si="0"/>
        <v>251121</v>
      </c>
      <c r="E1" s="1" t="str">
        <f t="shared" ca="1" si="0"/>
        <v>251128</v>
      </c>
      <c r="F1" s="1" t="str">
        <f t="shared" ca="1" si="0"/>
        <v>251205</v>
      </c>
      <c r="G1" s="20" t="str">
        <f t="shared" ref="G1:W1" ca="1" si="1">IF($A$52&lt;=TEXT(G3,"YYMMDD"),TEXT(G3,"YYMMDD"),"")</f>
        <v>251212</v>
      </c>
      <c r="H1" s="59" t="str">
        <f t="shared" ca="1" si="1"/>
        <v>251219</v>
      </c>
      <c r="I1" s="1" t="str">
        <f t="shared" ca="1" si="1"/>
        <v>251226</v>
      </c>
      <c r="J1" s="1" t="str">
        <f t="shared" ca="1" si="1"/>
        <v>260102</v>
      </c>
      <c r="K1" s="1" t="str">
        <f t="shared" ca="1" si="1"/>
        <v>260109</v>
      </c>
      <c r="L1" s="1" t="str">
        <f t="shared" ca="1" si="1"/>
        <v>260116</v>
      </c>
      <c r="M1" s="1" t="str">
        <f t="shared" ca="1" si="1"/>
        <v>260220</v>
      </c>
      <c r="N1" s="1" t="str">
        <f t="shared" ca="1" si="1"/>
        <v>260320</v>
      </c>
      <c r="O1" s="1" t="str">
        <f t="shared" ca="1" si="1"/>
        <v>260417</v>
      </c>
      <c r="P1" s="1" t="str">
        <f t="shared" ca="1" si="1"/>
        <v>260515</v>
      </c>
      <c r="Q1" s="1" t="str">
        <f t="shared" ca="1" si="1"/>
        <v>260619</v>
      </c>
      <c r="R1" s="1" t="str">
        <f t="shared" ca="1" si="1"/>
        <v>260717</v>
      </c>
      <c r="S1" s="1" t="str">
        <f t="shared" ca="1" si="1"/>
        <v>260821</v>
      </c>
      <c r="T1" s="1" t="str">
        <f t="shared" ca="1" si="1"/>
        <v>260918</v>
      </c>
      <c r="U1" s="1" t="str">
        <f t="shared" ca="1" si="1"/>
        <v>261016</v>
      </c>
      <c r="V1" s="1" t="str">
        <f t="shared" ca="1" si="1"/>
        <v>261120</v>
      </c>
      <c r="W1" s="1" t="str">
        <f t="shared" ca="1" si="1"/>
        <v>261218</v>
      </c>
      <c r="AB1" s="17"/>
    </row>
    <row r="2" spans="1:74" s="8" customFormat="1" ht="11.1" customHeight="1" thickBot="1" x14ac:dyDescent="0.3">
      <c r="A2" s="9" t="s">
        <v>167</v>
      </c>
      <c r="B2" s="2" t="str">
        <f>+A3</f>
        <v>OPEN</v>
      </c>
      <c r="C2" s="2" t="str">
        <f>+B2</f>
        <v>OPEN</v>
      </c>
      <c r="D2" s="2" t="str">
        <f t="shared" ref="D2:W2" si="2">+C2</f>
        <v>OPEN</v>
      </c>
      <c r="E2" s="2" t="str">
        <f t="shared" si="2"/>
        <v>OPEN</v>
      </c>
      <c r="F2" s="2" t="str">
        <f t="shared" si="2"/>
        <v>OPEN</v>
      </c>
      <c r="G2" s="3" t="str">
        <f t="shared" si="2"/>
        <v>OPEN</v>
      </c>
      <c r="H2" s="60" t="str">
        <f t="shared" si="2"/>
        <v>OPEN</v>
      </c>
      <c r="I2" s="2" t="str">
        <f t="shared" si="2"/>
        <v>OPEN</v>
      </c>
      <c r="J2" s="2" t="str">
        <f t="shared" si="2"/>
        <v>OPEN</v>
      </c>
      <c r="K2" s="2" t="str">
        <f t="shared" si="2"/>
        <v>OPEN</v>
      </c>
      <c r="L2" s="2" t="str">
        <f t="shared" si="2"/>
        <v>OPEN</v>
      </c>
      <c r="M2" s="2" t="str">
        <f t="shared" si="2"/>
        <v>OPEN</v>
      </c>
      <c r="N2" s="2" t="str">
        <f t="shared" si="2"/>
        <v>OPEN</v>
      </c>
      <c r="O2" s="2" t="str">
        <f t="shared" si="2"/>
        <v>OPEN</v>
      </c>
      <c r="P2" s="2" t="str">
        <f t="shared" si="2"/>
        <v>OPEN</v>
      </c>
      <c r="Q2" s="2" t="str">
        <f t="shared" si="2"/>
        <v>OPEN</v>
      </c>
      <c r="R2" s="2" t="str">
        <f t="shared" si="2"/>
        <v>OPEN</v>
      </c>
      <c r="S2" s="2" t="str">
        <f t="shared" si="2"/>
        <v>OPEN</v>
      </c>
      <c r="T2" s="2" t="str">
        <f t="shared" si="2"/>
        <v>OPEN</v>
      </c>
      <c r="U2" s="2" t="str">
        <f t="shared" si="2"/>
        <v>OPEN</v>
      </c>
      <c r="V2" s="2" t="str">
        <f t="shared" si="2"/>
        <v>OPEN</v>
      </c>
      <c r="W2" s="2" t="str">
        <f t="shared" si="2"/>
        <v>OPEN</v>
      </c>
      <c r="AA2" s="20">
        <f>INDEX(A5:A51,MATCH(MIN(AA5:AA51),AA5:AA51,0))</f>
        <v>7</v>
      </c>
      <c r="AB2" s="17"/>
    </row>
    <row r="3" spans="1:74" s="8" customFormat="1" ht="11.1" customHeight="1" thickBot="1" x14ac:dyDescent="0.3">
      <c r="A3" s="2" t="str">
        <f>+'OI-VOL (2)'!A3</f>
        <v>OPEN</v>
      </c>
      <c r="B3" s="4">
        <f>+'OI-VOL (2)'!B3</f>
        <v>45968</v>
      </c>
      <c r="C3" s="4">
        <f>+'OI-VOL (2)'!C3</f>
        <v>45975</v>
      </c>
      <c r="D3" s="4">
        <f>+'OI-VOL (2)'!D3</f>
        <v>45982</v>
      </c>
      <c r="E3" s="4">
        <f>+'OI-VOL (2)'!E3</f>
        <v>45989</v>
      </c>
      <c r="F3" s="4">
        <f>+'OI-VOL (2)'!F3</f>
        <v>45996</v>
      </c>
      <c r="G3" s="62">
        <f>+'OI-VOL (2)'!G3</f>
        <v>46003</v>
      </c>
      <c r="H3" s="4">
        <f>+'OI-VOL (2)'!H3</f>
        <v>46010</v>
      </c>
      <c r="I3" s="4">
        <f>+'OI-VOL (2)'!I3</f>
        <v>46017</v>
      </c>
      <c r="J3" s="4">
        <f>+'OI-VOL (2)'!J3</f>
        <v>46024</v>
      </c>
      <c r="K3" s="4">
        <f>+'OI-VOL (2)'!K3</f>
        <v>46031</v>
      </c>
      <c r="L3" s="63">
        <f>+'OI-VOL (2)'!L3</f>
        <v>46038</v>
      </c>
      <c r="M3" s="61">
        <f>+'OI-VOL (2)'!M3</f>
        <v>46073</v>
      </c>
      <c r="N3" s="4">
        <f>+'OI-VOL (2)'!N3</f>
        <v>46101</v>
      </c>
      <c r="O3" s="4">
        <f>+'OI-VOL (2)'!O3</f>
        <v>46129</v>
      </c>
      <c r="P3" s="4">
        <f>+'OI-VOL (2)'!P3</f>
        <v>46157</v>
      </c>
      <c r="Q3" s="4">
        <f>+'OI-VOL (2)'!Q3</f>
        <v>46192</v>
      </c>
      <c r="R3" s="4">
        <f>+'OI-VOL (2)'!R3</f>
        <v>46220</v>
      </c>
      <c r="S3" s="4">
        <f>+'OI-VOL (2)'!S3</f>
        <v>46255</v>
      </c>
      <c r="T3" s="4">
        <f>+'OI-VOL (2)'!T3</f>
        <v>46283</v>
      </c>
      <c r="U3" s="4">
        <f>+'OI-VOL (2)'!U3</f>
        <v>46311</v>
      </c>
      <c r="V3" s="4">
        <f>+'OI-VOL (2)'!V3</f>
        <v>46346</v>
      </c>
      <c r="W3" s="4">
        <f>+'OI-VOL (2)'!W3</f>
        <v>46374</v>
      </c>
      <c r="AA3" s="26" t="str">
        <f>+A3</f>
        <v>OPEN</v>
      </c>
    </row>
    <row r="4" spans="1:74" ht="11.1" customHeight="1" thickBot="1" x14ac:dyDescent="0.3">
      <c r="A4" s="10">
        <f>RTD("tos.rtd",,"MARK",A3)</f>
        <v>8.01</v>
      </c>
      <c r="B4" s="5">
        <f ca="1">SUM(B5:B51)</f>
        <v>0</v>
      </c>
      <c r="C4" s="5">
        <f t="shared" ref="C4:F4" ca="1" si="3">SUM(C5:C51)</f>
        <v>125384</v>
      </c>
      <c r="D4" s="5">
        <f t="shared" ca="1" si="3"/>
        <v>145754</v>
      </c>
      <c r="E4" s="5">
        <f t="shared" ca="1" si="3"/>
        <v>33442</v>
      </c>
      <c r="F4" s="5">
        <f t="shared" ca="1" si="3"/>
        <v>5947</v>
      </c>
      <c r="G4" s="56">
        <f ca="1">SUM(G5:G51)</f>
        <v>9764</v>
      </c>
      <c r="H4" s="13">
        <f t="shared" ref="H4:W4" ca="1" si="4">SUM(H5:H51)</f>
        <v>57111</v>
      </c>
      <c r="I4" s="5">
        <f t="shared" ca="1" si="4"/>
        <v>3316</v>
      </c>
      <c r="J4" s="5">
        <f t="shared" ca="1" si="4"/>
        <v>0</v>
      </c>
      <c r="K4" s="5">
        <f t="shared" ca="1" si="4"/>
        <v>0</v>
      </c>
      <c r="L4" s="53">
        <f t="shared" ca="1" si="4"/>
        <v>309967</v>
      </c>
      <c r="M4" s="5">
        <f t="shared" ca="1" si="4"/>
        <v>84797</v>
      </c>
      <c r="N4" s="5">
        <f t="shared" ca="1" si="4"/>
        <v>0</v>
      </c>
      <c r="O4" s="5">
        <f t="shared" ca="1" si="4"/>
        <v>0</v>
      </c>
      <c r="P4" s="5">
        <f t="shared" ca="1" si="4"/>
        <v>45051</v>
      </c>
      <c r="Q4" s="5">
        <f t="shared" ca="1" si="4"/>
        <v>0</v>
      </c>
      <c r="R4" s="5">
        <f t="shared" ca="1" si="4"/>
        <v>0</v>
      </c>
      <c r="S4" s="5">
        <f t="shared" ca="1" si="4"/>
        <v>0</v>
      </c>
      <c r="T4" s="5">
        <f t="shared" ca="1" si="4"/>
        <v>0</v>
      </c>
      <c r="U4" s="5">
        <f t="shared" ca="1" si="4"/>
        <v>0</v>
      </c>
      <c r="V4" s="5">
        <f t="shared" ca="1" si="4"/>
        <v>0</v>
      </c>
      <c r="W4" s="53">
        <f t="shared" ca="1" si="4"/>
        <v>0</v>
      </c>
      <c r="X4" s="12"/>
      <c r="Y4" s="7">
        <f ca="1">INDEX(A5:A51,MATCH(MAX(Y5:Y51),Y5:Y51,0))</f>
        <v>10</v>
      </c>
      <c r="AA4" s="20" t="s">
        <v>289</v>
      </c>
      <c r="AB4" s="6">
        <f>+A6+$A$1</f>
        <v>21.5</v>
      </c>
      <c r="AC4" s="12">
        <f>+AB4-$A$1</f>
        <v>21</v>
      </c>
      <c r="AD4" s="12">
        <f t="shared" ref="AD4:BV4" si="5">+AC4-$A$1</f>
        <v>20.5</v>
      </c>
      <c r="AE4" s="12">
        <f t="shared" si="5"/>
        <v>20</v>
      </c>
      <c r="AF4" s="12">
        <f t="shared" si="5"/>
        <v>19.5</v>
      </c>
      <c r="AG4" s="12">
        <f t="shared" si="5"/>
        <v>19</v>
      </c>
      <c r="AH4" s="12">
        <f t="shared" si="5"/>
        <v>18.5</v>
      </c>
      <c r="AI4" s="12">
        <f t="shared" si="5"/>
        <v>18</v>
      </c>
      <c r="AJ4" s="12">
        <f t="shared" si="5"/>
        <v>17.5</v>
      </c>
      <c r="AK4" s="12">
        <f t="shared" si="5"/>
        <v>17</v>
      </c>
      <c r="AL4" s="12">
        <f t="shared" si="5"/>
        <v>16.5</v>
      </c>
      <c r="AM4" s="12">
        <f t="shared" si="5"/>
        <v>16</v>
      </c>
      <c r="AN4" s="12">
        <f t="shared" si="5"/>
        <v>15.5</v>
      </c>
      <c r="AO4" s="12">
        <f t="shared" si="5"/>
        <v>15</v>
      </c>
      <c r="AP4" s="12">
        <f t="shared" si="5"/>
        <v>14.5</v>
      </c>
      <c r="AQ4" s="12">
        <f t="shared" si="5"/>
        <v>14</v>
      </c>
      <c r="AR4" s="12">
        <f t="shared" si="5"/>
        <v>13.5</v>
      </c>
      <c r="AS4" s="12">
        <f t="shared" si="5"/>
        <v>13</v>
      </c>
      <c r="AT4" s="12">
        <f t="shared" si="5"/>
        <v>12.5</v>
      </c>
      <c r="AU4" s="12">
        <f t="shared" si="5"/>
        <v>12</v>
      </c>
      <c r="AV4" s="12">
        <f t="shared" si="5"/>
        <v>11.5</v>
      </c>
      <c r="AW4" s="12">
        <f t="shared" si="5"/>
        <v>11</v>
      </c>
      <c r="AX4" s="12">
        <f t="shared" si="5"/>
        <v>10.5</v>
      </c>
      <c r="AY4" s="12">
        <f t="shared" si="5"/>
        <v>10</v>
      </c>
      <c r="AZ4" s="12">
        <f t="shared" si="5"/>
        <v>9.5</v>
      </c>
      <c r="BA4" s="12">
        <f t="shared" si="5"/>
        <v>9</v>
      </c>
      <c r="BB4" s="12">
        <f t="shared" si="5"/>
        <v>8.5</v>
      </c>
      <c r="BC4" s="12">
        <f t="shared" si="5"/>
        <v>8</v>
      </c>
      <c r="BD4" s="12">
        <f t="shared" si="5"/>
        <v>7.5</v>
      </c>
      <c r="BE4" s="12">
        <f t="shared" si="5"/>
        <v>7</v>
      </c>
      <c r="BF4" s="12">
        <f t="shared" si="5"/>
        <v>6.5</v>
      </c>
      <c r="BG4" s="12">
        <f t="shared" si="5"/>
        <v>6</v>
      </c>
      <c r="BH4" s="12">
        <f t="shared" si="5"/>
        <v>5.5</v>
      </c>
      <c r="BI4" s="12">
        <f t="shared" si="5"/>
        <v>5</v>
      </c>
      <c r="BJ4" s="12">
        <f t="shared" si="5"/>
        <v>4.5</v>
      </c>
      <c r="BK4" s="12">
        <f t="shared" si="5"/>
        <v>4</v>
      </c>
      <c r="BL4" s="12">
        <f t="shared" si="5"/>
        <v>3.5</v>
      </c>
      <c r="BM4" s="12">
        <f t="shared" si="5"/>
        <v>3</v>
      </c>
      <c r="BN4" s="12">
        <f t="shared" si="5"/>
        <v>2.5</v>
      </c>
      <c r="BO4" s="12">
        <f t="shared" si="5"/>
        <v>2</v>
      </c>
      <c r="BP4" s="12">
        <f t="shared" si="5"/>
        <v>1.5</v>
      </c>
      <c r="BQ4" s="12">
        <f t="shared" si="5"/>
        <v>1</v>
      </c>
      <c r="BR4" s="12">
        <f t="shared" si="5"/>
        <v>0.5</v>
      </c>
      <c r="BS4" s="12">
        <f t="shared" si="5"/>
        <v>0</v>
      </c>
      <c r="BT4" s="12">
        <f t="shared" si="5"/>
        <v>-0.5</v>
      </c>
      <c r="BU4" s="12">
        <f t="shared" si="5"/>
        <v>-1</v>
      </c>
      <c r="BV4" s="12">
        <f t="shared" si="5"/>
        <v>-1.5</v>
      </c>
    </row>
    <row r="5" spans="1:74" s="19" customFormat="1" ht="11.1" customHeight="1" thickBot="1" x14ac:dyDescent="0.3">
      <c r="A5" s="23">
        <f t="shared" ref="A5:A26" si="6">+A6+$A$1</f>
        <v>21.5</v>
      </c>
      <c r="B5" s="13">
        <f ca="1">IF($A$2="PREMIUM_OI",IFERROR(IF($X$1="ABS",(100*RTD("tos.rtd",,"OPEN_INT","."&amp;B$2&amp;B$1&amp;"C"&amp;$A5)*RTD("tos.rtd",,"LAST","."&amp;B$2&amp;B$1&amp;"C"&amp;$A5)+100*RTD("tos.rtd",,"OPEN_INT","."&amp;B$2&amp;B$1&amp;"P"&amp;$A5)*RTD("tos.rtd",,"LAST","."&amp;B$2&amp;B$1&amp;"P"&amp;$A5))/1000000,(100*RTD("tos.rtd",,"OPEN_INT","."&amp;B$2&amp;B$1&amp;"C"&amp;$A5)*RTD("tos.rtd",,"LAST","."&amp;B$2&amp;B$1&amp;"C"&amp;$A5)-100*RTD("tos.rtd",,"OPEN_INT","."&amp;B$2&amp;B$1&amp;"P"&amp;$A5)*RTD("tos.rtd",,"LAST","."&amp;B$2&amp;B$1&amp;"P"&amp;$A5))/1000000),0),IF($A$2="PREMIUM",IFERROR(IF($X$1="ABS",(100*RTD("tos.rtd",,"VOLUME","."&amp;B$2&amp;B$1&amp;"C"&amp;$A5)*RTD("tos.rtd",,"LAST","."&amp;B$2&amp;B$1&amp;"C"&amp;$A5)+100*RTD("tos.rtd",,"VOLUME","."&amp;B$2&amp;B$1&amp;"P"&amp;$A5)*RTD("tos.rtd",,"LAST","."&amp;B$2&amp;B$1&amp;"P"&amp;$A5))/1000000,(100*RTD("tos.rtd",,"VOLUME","."&amp;B$2&amp;B$1&amp;"C"&amp;$A5)*RTD("tos.rtd",,"LAST","."&amp;B$2&amp;B$1&amp;"C"&amp;$A5)-100*RTD("tos.rtd",,"VOLUME","."&amp;B$2&amp;B$1&amp;"P"&amp;$A5)*RTD("tos.rtd",,"LAST","."&amp;B$2&amp;B$1&amp;"P"&amp;$A5))/1000000),0),IF($A$2="DEX",IFERROR(IF($X$1="ABS",(100*RTD("tos.rtd",,"OPEN_INT","."&amp;B$2&amp;B$1&amp;"C"&amp;$A5)*RTD("tos.rtd",,"DELTA","."&amp;B$2&amp;B$1&amp;"C"&amp;$A5)+100*RTD("tos.rtd",,"OPEN_INT","."&amp;B$2&amp;B$1&amp;"P"&amp;$A5)*RTD("tos.rtd",,"DELTA","."&amp;B$2&amp;B$1&amp;"P"&amp;$A5))/1000,(100*RTD("tos.rtd",,"OPEN_INT","."&amp;B$2&amp;B$1&amp;"C"&amp;$A5)*RTD("tos.rtd",,"DELTA","."&amp;B$2&amp;B$1&amp;"C"&amp;$A5)-100*RTD("tos.rtd",,"OPEN_INT","."&amp;B$2&amp;B$1&amp;"P"&amp;$A5)*RTD("tos.rtd",,"DELTA","."&amp;B$2&amp;B$1&amp;"P"&amp;$A5))/1000),0),IF($A$2="VEX",IFERROR(IF($X$1="ABS",($A$4*$A$4*RTD("tos.rtd",,"VOLUME","."&amp;B$2&amp;B$1&amp;"C"&amp;$A5)*RTD("tos.rtd",,"GAMMA","."&amp;B$2&amp;B$1&amp;"C"&amp;$A5)+$A$4*$A$4*RTD("tos.rtd",,"VOLUME","."&amp;B$2&amp;B$1&amp;"P"&amp;$A5)*RTD("tos.rtd",,"GAMMA","."&amp;B$2&amp;B$1&amp;"P"&amp;$A5))/1000000,($A$4*$A$4*RTD("tos.rtd",,"VOLUME","."&amp;B$2&amp;B$1&amp;"C"&amp;$A5)*RTD("tos.rtd",,"GAMMA","."&amp;B$2&amp;B$1&amp;"C"&amp;$A5)-$A$4*$A$4*RTD("tos.rtd",,"VOLUME","."&amp;B$2&amp;B$1&amp;"P"&amp;$A5)*RTD("tos.rtd",,"GAMMA","."&amp;B$2&amp;B$1&amp;"P"&amp;$A5))/1000000),0),IF($A$2="GEX",IFERROR(IF($X$1="ABS",($A$4*$A$4*RTD("tos.rtd",,"OPEN_INT","."&amp;B$2&amp;B$1&amp;"C"&amp;$A5)*RTD("tos.rtd",,"GAMMA","."&amp;B$2&amp;B$1&amp;"C"&amp;$A5)+$A$4*$A$4*RTD("tos.rtd",,"OPEN_INT","."&amp;B$2&amp;B$1&amp;"P"&amp;$A5)*RTD("tos.rtd",,"GAMMA","."&amp;B$2&amp;B$1&amp;"P"&amp;$A5))/1000000,($A$4*$A$4*RTD("tos.rtd",,"OPEN_INT","."&amp;B$2&amp;B$1&amp;"C"&amp;$A5)*RTD("tos.rtd",,"GAMMA","."&amp;B$2&amp;B$1&amp;"C"&amp;$A5)-$A$4*$A$4*RTD("tos.rtd",,"OPEN_INT","."&amp;B$2&amp;B$1&amp;"P"&amp;$A5)*RTD("tos.rtd",,"GAMMA","."&amp;B$2&amp;B$1&amp;"P"&amp;$A5))/1000000),0),IF($A$2="SKEW",IFERROR(VALUE(IF(RTD("tos.rtd",,"IMPL_VOL","."&amp;B$2&amp;B$1&amp;"P"&amp;$A5)="N/A",0,RTD("tos.rtd",,"IMPL_VOL","."&amp;B$2&amp;B$1&amp;"P"&amp;$A5))),0)-IFERROR(VALUE(IF(RTD("tos.rtd",,"IMPL_VOL","."&amp;B$2&amp;B$1&amp;"C"&amp;$A5)="N/A",0,RTD("tos.rtd",,"IMPL_VOL","."&amp;B$2&amp;B$1&amp;"C"&amp;$A5))),0),IF($A$2="MAXPAIN",IF($A$4&gt;$A5,($A$4-$A5)*IF(RTD("tos.rtd",,"OPEN_INT","."&amp;B$2&amp;B$1&amp;"C"&amp;$A5)="N/A",0,RTD("tos.rtd",,"OPEN_INT","."&amp;B$2&amp;B$1&amp;"C"&amp;$A5)),0)+IF($A$4&lt;$A5,($A$5-$A$4)*IF(RTD("tos.rtd",,"OPEN_INT","."&amp;B$2&amp;B$1&amp;"P"&amp;$A5)="N/A",0,RTD("tos.rtd",,"OPEN_INT","."&amp;B$2&amp;B$1&amp;"P"&amp;$A5)),0),IF($X$1="ABS",IF(RTD("tos.rtd",,$A$2,"."&amp;B$2&amp;B$1&amp;"C"&amp;$A5)="N/A",0,RTD("tos.rtd",,$A$2,"."&amp;B$2&amp;B$1&amp;"C"&amp;$A5))+IF(RTD("tos.rtd",,$A$2,"."&amp;B$2&amp;B$1&amp;"P"&amp;$A5)="N/A",0,RTD("tos.rtd",,$A$2,"."&amp;B$2&amp;B$1&amp;"P"&amp;$A5)),IF(RTD("tos.rtd",,$A$2,"."&amp;B$2&amp;B$1&amp;"C"&amp;$A5)="N/A",0,RTD("tos.rtd",,$A$2,"."&amp;B$2&amp;B$1&amp;"C"&amp;$A5))-IF(RTD("tos.rtd",,$A$2,"."&amp;B$2&amp;B$1&amp;"P"&amp;$A5)="N/A",0,RTD("tos.rtd",,$A$2,"."&amp;B$2&amp;B$1&amp;"P"&amp;$A5))))))))))</f>
        <v>0</v>
      </c>
      <c r="C5" s="5">
        <f ca="1">IF($A$2="PREMIUM_OI",IFERROR(IF($X$1="ABS",(100*RTD("tos.rtd",,"OPEN_INT","."&amp;C$2&amp;C$1&amp;"C"&amp;$A5)*RTD("tos.rtd",,"LAST","."&amp;C$2&amp;C$1&amp;"C"&amp;$A5)+100*RTD("tos.rtd",,"OPEN_INT","."&amp;C$2&amp;C$1&amp;"P"&amp;$A5)*RTD("tos.rtd",,"LAST","."&amp;C$2&amp;C$1&amp;"P"&amp;$A5))/1000000,(100*RTD("tos.rtd",,"OPEN_INT","."&amp;C$2&amp;C$1&amp;"C"&amp;$A5)*RTD("tos.rtd",,"LAST","."&amp;C$2&amp;C$1&amp;"C"&amp;$A5)-100*RTD("tos.rtd",,"OPEN_INT","."&amp;C$2&amp;C$1&amp;"P"&amp;$A5)*RTD("tos.rtd",,"LAST","."&amp;C$2&amp;C$1&amp;"P"&amp;$A5))/1000000),0),IF($A$2="PREMIUM",IFERROR(IF($X$1="ABS",(100*RTD("tos.rtd",,"VOLUME","."&amp;C$2&amp;C$1&amp;"C"&amp;$A5)*RTD("tos.rtd",,"LAST","."&amp;C$2&amp;C$1&amp;"C"&amp;$A5)+100*RTD("tos.rtd",,"VOLUME","."&amp;C$2&amp;C$1&amp;"P"&amp;$A5)*RTD("tos.rtd",,"LAST","."&amp;C$2&amp;C$1&amp;"P"&amp;$A5))/1000000,(100*RTD("tos.rtd",,"VOLUME","."&amp;C$2&amp;C$1&amp;"C"&amp;$A5)*RTD("tos.rtd",,"LAST","."&amp;C$2&amp;C$1&amp;"C"&amp;$A5)-100*RTD("tos.rtd",,"VOLUME","."&amp;C$2&amp;C$1&amp;"P"&amp;$A5)*RTD("tos.rtd",,"LAST","."&amp;C$2&amp;C$1&amp;"P"&amp;$A5))/1000000),0),IF($A$2="DEX",IFERROR(IF($X$1="ABS",(100*RTD("tos.rtd",,"OPEN_INT","."&amp;C$2&amp;C$1&amp;"C"&amp;$A5)*RTD("tos.rtd",,"DELTA","."&amp;C$2&amp;C$1&amp;"C"&amp;$A5)+100*RTD("tos.rtd",,"OPEN_INT","."&amp;C$2&amp;C$1&amp;"P"&amp;$A5)*RTD("tos.rtd",,"DELTA","."&amp;C$2&amp;C$1&amp;"P"&amp;$A5))/1000,(100*RTD("tos.rtd",,"OPEN_INT","."&amp;C$2&amp;C$1&amp;"C"&amp;$A5)*RTD("tos.rtd",,"DELTA","."&amp;C$2&amp;C$1&amp;"C"&amp;$A5)-100*RTD("tos.rtd",,"OPEN_INT","."&amp;C$2&amp;C$1&amp;"P"&amp;$A5)*RTD("tos.rtd",,"DELTA","."&amp;C$2&amp;C$1&amp;"P"&amp;$A5))/1000),0),IF($A$2="VEX",IFERROR(IF($X$1="ABS",($A$4*$A$4*RTD("tos.rtd",,"VOLUME","."&amp;C$2&amp;C$1&amp;"C"&amp;$A5)*RTD("tos.rtd",,"GAMMA","."&amp;C$2&amp;C$1&amp;"C"&amp;$A5)+$A$4*$A$4*RTD("tos.rtd",,"VOLUME","."&amp;C$2&amp;C$1&amp;"P"&amp;$A5)*RTD("tos.rtd",,"GAMMA","."&amp;C$2&amp;C$1&amp;"P"&amp;$A5))/1000000,($A$4*$A$4*RTD("tos.rtd",,"VOLUME","."&amp;C$2&amp;C$1&amp;"C"&amp;$A5)*RTD("tos.rtd",,"GAMMA","."&amp;C$2&amp;C$1&amp;"C"&amp;$A5)-$A$4*$A$4*RTD("tos.rtd",,"VOLUME","."&amp;C$2&amp;C$1&amp;"P"&amp;$A5)*RTD("tos.rtd",,"GAMMA","."&amp;C$2&amp;C$1&amp;"P"&amp;$A5))/1000000),0),IF($A$2="GEX",IFERROR(IF($X$1="ABS",($A$4*$A$4*RTD("tos.rtd",,"OPEN_INT","."&amp;C$2&amp;C$1&amp;"C"&amp;$A5)*RTD("tos.rtd",,"GAMMA","."&amp;C$2&amp;C$1&amp;"C"&amp;$A5)+$A$4*$A$4*RTD("tos.rtd",,"OPEN_INT","."&amp;C$2&amp;C$1&amp;"P"&amp;$A5)*RTD("tos.rtd",,"GAMMA","."&amp;C$2&amp;C$1&amp;"P"&amp;$A5))/1000000,($A$4*$A$4*RTD("tos.rtd",,"OPEN_INT","."&amp;C$2&amp;C$1&amp;"C"&amp;$A5)*RTD("tos.rtd",,"GAMMA","."&amp;C$2&amp;C$1&amp;"C"&amp;$A5)-$A$4*$A$4*RTD("tos.rtd",,"OPEN_INT","."&amp;C$2&amp;C$1&amp;"P"&amp;$A5)*RTD("tos.rtd",,"GAMMA","."&amp;C$2&amp;C$1&amp;"P"&amp;$A5))/1000000),0),IF($A$2="SKEW",IFERROR(VALUE(IF(RTD("tos.rtd",,"IMPL_VOL","."&amp;C$2&amp;C$1&amp;"P"&amp;$A5)="N/A",0,RTD("tos.rtd",,"IMPL_VOL","."&amp;C$2&amp;C$1&amp;"P"&amp;$A5))),0)-IFERROR(VALUE(IF(RTD("tos.rtd",,"IMPL_VOL","."&amp;C$2&amp;C$1&amp;"C"&amp;$A5)="N/A",0,RTD("tos.rtd",,"IMPL_VOL","."&amp;C$2&amp;C$1&amp;"C"&amp;$A5))),0),IF($A$2="MAXPAIN",IF($A$4&gt;$A5,($A$4-$A5)*IF(RTD("tos.rtd",,"OPEN_INT","."&amp;C$2&amp;C$1&amp;"C"&amp;$A5)="N/A",0,RTD("tos.rtd",,"OPEN_INT","."&amp;C$2&amp;C$1&amp;"C"&amp;$A5)),0)+IF($A$4&lt;$A5,($A$5-$A$4)*IF(RTD("tos.rtd",,"OPEN_INT","."&amp;C$2&amp;C$1&amp;"P"&amp;$A5)="N/A",0,RTD("tos.rtd",,"OPEN_INT","."&amp;C$2&amp;C$1&amp;"P"&amp;$A5)),0),IF($X$1="ABS",IF(RTD("tos.rtd",,$A$2,"."&amp;C$2&amp;C$1&amp;"C"&amp;$A5)="N/A",0,RTD("tos.rtd",,$A$2,"."&amp;C$2&amp;C$1&amp;"C"&amp;$A5))+IF(RTD("tos.rtd",,$A$2,"."&amp;C$2&amp;C$1&amp;"P"&amp;$A5)="N/A",0,RTD("tos.rtd",,$A$2,"."&amp;C$2&amp;C$1&amp;"P"&amp;$A5)),IF(RTD("tos.rtd",,$A$2,"."&amp;C$2&amp;C$1&amp;"C"&amp;$A5)="N/A",0,RTD("tos.rtd",,$A$2,"."&amp;C$2&amp;C$1&amp;"C"&amp;$A5))-IF(RTD("tos.rtd",,$A$2,"."&amp;C$2&amp;C$1&amp;"P"&amp;$A5)="N/A",0,RTD("tos.rtd",,$A$2,"."&amp;C$2&amp;C$1&amp;"P"&amp;$A5))))))))))</f>
        <v>0</v>
      </c>
      <c r="D5" s="5">
        <f ca="1">IF($A$2="PREMIUM_OI",IFERROR(IF($X$1="ABS",(100*RTD("tos.rtd",,"OPEN_INT","."&amp;D$2&amp;D$1&amp;"C"&amp;$A5)*RTD("tos.rtd",,"LAST","."&amp;D$2&amp;D$1&amp;"C"&amp;$A5)+100*RTD("tos.rtd",,"OPEN_INT","."&amp;D$2&amp;D$1&amp;"P"&amp;$A5)*RTD("tos.rtd",,"LAST","."&amp;D$2&amp;D$1&amp;"P"&amp;$A5))/1000000,(100*RTD("tos.rtd",,"OPEN_INT","."&amp;D$2&amp;D$1&amp;"C"&amp;$A5)*RTD("tos.rtd",,"LAST","."&amp;D$2&amp;D$1&amp;"C"&amp;$A5)-100*RTD("tos.rtd",,"OPEN_INT","."&amp;D$2&amp;D$1&amp;"P"&amp;$A5)*RTD("tos.rtd",,"LAST","."&amp;D$2&amp;D$1&amp;"P"&amp;$A5))/1000000),0),IF($A$2="PREMIUM",IFERROR(IF($X$1="ABS",(100*RTD("tos.rtd",,"VOLUME","."&amp;D$2&amp;D$1&amp;"C"&amp;$A5)*RTD("tos.rtd",,"LAST","."&amp;D$2&amp;D$1&amp;"C"&amp;$A5)+100*RTD("tos.rtd",,"VOLUME","."&amp;D$2&amp;D$1&amp;"P"&amp;$A5)*RTD("tos.rtd",,"LAST","."&amp;D$2&amp;D$1&amp;"P"&amp;$A5))/1000000,(100*RTD("tos.rtd",,"VOLUME","."&amp;D$2&amp;D$1&amp;"C"&amp;$A5)*RTD("tos.rtd",,"LAST","."&amp;D$2&amp;D$1&amp;"C"&amp;$A5)-100*RTD("tos.rtd",,"VOLUME","."&amp;D$2&amp;D$1&amp;"P"&amp;$A5)*RTD("tos.rtd",,"LAST","."&amp;D$2&amp;D$1&amp;"P"&amp;$A5))/1000000),0),IF($A$2="DEX",IFERROR(IF($X$1="ABS",(100*RTD("tos.rtd",,"OPEN_INT","."&amp;D$2&amp;D$1&amp;"C"&amp;$A5)*RTD("tos.rtd",,"DELTA","."&amp;D$2&amp;D$1&amp;"C"&amp;$A5)+100*RTD("tos.rtd",,"OPEN_INT","."&amp;D$2&amp;D$1&amp;"P"&amp;$A5)*RTD("tos.rtd",,"DELTA","."&amp;D$2&amp;D$1&amp;"P"&amp;$A5))/1000,(100*RTD("tos.rtd",,"OPEN_INT","."&amp;D$2&amp;D$1&amp;"C"&amp;$A5)*RTD("tos.rtd",,"DELTA","."&amp;D$2&amp;D$1&amp;"C"&amp;$A5)-100*RTD("tos.rtd",,"OPEN_INT","."&amp;D$2&amp;D$1&amp;"P"&amp;$A5)*RTD("tos.rtd",,"DELTA","."&amp;D$2&amp;D$1&amp;"P"&amp;$A5))/1000),0),IF($A$2="VEX",IFERROR(IF($X$1="ABS",($A$4*$A$4*RTD("tos.rtd",,"VOLUME","."&amp;D$2&amp;D$1&amp;"C"&amp;$A5)*RTD("tos.rtd",,"GAMMA","."&amp;D$2&amp;D$1&amp;"C"&amp;$A5)+$A$4*$A$4*RTD("tos.rtd",,"VOLUME","."&amp;D$2&amp;D$1&amp;"P"&amp;$A5)*RTD("tos.rtd",,"GAMMA","."&amp;D$2&amp;D$1&amp;"P"&amp;$A5))/1000000,($A$4*$A$4*RTD("tos.rtd",,"VOLUME","."&amp;D$2&amp;D$1&amp;"C"&amp;$A5)*RTD("tos.rtd",,"GAMMA","."&amp;D$2&amp;D$1&amp;"C"&amp;$A5)-$A$4*$A$4*RTD("tos.rtd",,"VOLUME","."&amp;D$2&amp;D$1&amp;"P"&amp;$A5)*RTD("tos.rtd",,"GAMMA","."&amp;D$2&amp;D$1&amp;"P"&amp;$A5))/1000000),0),IF($A$2="GEX",IFERROR(IF($X$1="ABS",($A$4*$A$4*RTD("tos.rtd",,"OPEN_INT","."&amp;D$2&amp;D$1&amp;"C"&amp;$A5)*RTD("tos.rtd",,"GAMMA","."&amp;D$2&amp;D$1&amp;"C"&amp;$A5)+$A$4*$A$4*RTD("tos.rtd",,"OPEN_INT","."&amp;D$2&amp;D$1&amp;"P"&amp;$A5)*RTD("tos.rtd",,"GAMMA","."&amp;D$2&amp;D$1&amp;"P"&amp;$A5))/1000000,($A$4*$A$4*RTD("tos.rtd",,"OPEN_INT","."&amp;D$2&amp;D$1&amp;"C"&amp;$A5)*RTD("tos.rtd",,"GAMMA","."&amp;D$2&amp;D$1&amp;"C"&amp;$A5)-$A$4*$A$4*RTD("tos.rtd",,"OPEN_INT","."&amp;D$2&amp;D$1&amp;"P"&amp;$A5)*RTD("tos.rtd",,"GAMMA","."&amp;D$2&amp;D$1&amp;"P"&amp;$A5))/1000000),0),IF($A$2="SKEW",IFERROR(VALUE(IF(RTD("tos.rtd",,"IMPL_VOL","."&amp;D$2&amp;D$1&amp;"P"&amp;$A5)="N/A",0,RTD("tos.rtd",,"IMPL_VOL","."&amp;D$2&amp;D$1&amp;"P"&amp;$A5))),0)-IFERROR(VALUE(IF(RTD("tos.rtd",,"IMPL_VOL","."&amp;D$2&amp;D$1&amp;"C"&amp;$A5)="N/A",0,RTD("tos.rtd",,"IMPL_VOL","."&amp;D$2&amp;D$1&amp;"C"&amp;$A5))),0),IF($A$2="MAXPAIN",IF($A$4&gt;$A5,($A$4-$A5)*IF(RTD("tos.rtd",,"OPEN_INT","."&amp;D$2&amp;D$1&amp;"C"&amp;$A5)="N/A",0,RTD("tos.rtd",,"OPEN_INT","."&amp;D$2&amp;D$1&amp;"C"&amp;$A5)),0)+IF($A$4&lt;$A5,($A$5-$A$4)*IF(RTD("tos.rtd",,"OPEN_INT","."&amp;D$2&amp;D$1&amp;"P"&amp;$A5)="N/A",0,RTD("tos.rtd",,"OPEN_INT","."&amp;D$2&amp;D$1&amp;"P"&amp;$A5)),0),IF($X$1="ABS",IF(RTD("tos.rtd",,$A$2,"."&amp;D$2&amp;D$1&amp;"C"&amp;$A5)="N/A",0,RTD("tos.rtd",,$A$2,"."&amp;D$2&amp;D$1&amp;"C"&amp;$A5))+IF(RTD("tos.rtd",,$A$2,"."&amp;D$2&amp;D$1&amp;"P"&amp;$A5)="N/A",0,RTD("tos.rtd",,$A$2,"."&amp;D$2&amp;D$1&amp;"P"&amp;$A5)),IF(RTD("tos.rtd",,$A$2,"."&amp;D$2&amp;D$1&amp;"C"&amp;$A5)="N/A",0,RTD("tos.rtd",,$A$2,"."&amp;D$2&amp;D$1&amp;"C"&amp;$A5))-IF(RTD("tos.rtd",,$A$2,"."&amp;D$2&amp;D$1&amp;"P"&amp;$A5)="N/A",0,RTD("tos.rtd",,$A$2,"."&amp;D$2&amp;D$1&amp;"P"&amp;$A5))))))))))</f>
        <v>0</v>
      </c>
      <c r="E5" s="5">
        <f ca="1">IF($A$2="PREMIUM_OI",IFERROR(IF($X$1="ABS",(100*RTD("tos.rtd",,"OPEN_INT","."&amp;E$2&amp;E$1&amp;"C"&amp;$A5)*RTD("tos.rtd",,"LAST","."&amp;E$2&amp;E$1&amp;"C"&amp;$A5)+100*RTD("tos.rtd",,"OPEN_INT","."&amp;E$2&amp;E$1&amp;"P"&amp;$A5)*RTD("tos.rtd",,"LAST","."&amp;E$2&amp;E$1&amp;"P"&amp;$A5))/1000000,(100*RTD("tos.rtd",,"OPEN_INT","."&amp;E$2&amp;E$1&amp;"C"&amp;$A5)*RTD("tos.rtd",,"LAST","."&amp;E$2&amp;E$1&amp;"C"&amp;$A5)-100*RTD("tos.rtd",,"OPEN_INT","."&amp;E$2&amp;E$1&amp;"P"&amp;$A5)*RTD("tos.rtd",,"LAST","."&amp;E$2&amp;E$1&amp;"P"&amp;$A5))/1000000),0),IF($A$2="PREMIUM",IFERROR(IF($X$1="ABS",(100*RTD("tos.rtd",,"VOLUME","."&amp;E$2&amp;E$1&amp;"C"&amp;$A5)*RTD("tos.rtd",,"LAST","."&amp;E$2&amp;E$1&amp;"C"&amp;$A5)+100*RTD("tos.rtd",,"VOLUME","."&amp;E$2&amp;E$1&amp;"P"&amp;$A5)*RTD("tos.rtd",,"LAST","."&amp;E$2&amp;E$1&amp;"P"&amp;$A5))/1000000,(100*RTD("tos.rtd",,"VOLUME","."&amp;E$2&amp;E$1&amp;"C"&amp;$A5)*RTD("tos.rtd",,"LAST","."&amp;E$2&amp;E$1&amp;"C"&amp;$A5)-100*RTD("tos.rtd",,"VOLUME","."&amp;E$2&amp;E$1&amp;"P"&amp;$A5)*RTD("tos.rtd",,"LAST","."&amp;E$2&amp;E$1&amp;"P"&amp;$A5))/1000000),0),IF($A$2="DEX",IFERROR(IF($X$1="ABS",(100*RTD("tos.rtd",,"OPEN_INT","."&amp;E$2&amp;E$1&amp;"C"&amp;$A5)*RTD("tos.rtd",,"DELTA","."&amp;E$2&amp;E$1&amp;"C"&amp;$A5)+100*RTD("tos.rtd",,"OPEN_INT","."&amp;E$2&amp;E$1&amp;"P"&amp;$A5)*RTD("tos.rtd",,"DELTA","."&amp;E$2&amp;E$1&amp;"P"&amp;$A5))/1000,(100*RTD("tos.rtd",,"OPEN_INT","."&amp;E$2&amp;E$1&amp;"C"&amp;$A5)*RTD("tos.rtd",,"DELTA","."&amp;E$2&amp;E$1&amp;"C"&amp;$A5)-100*RTD("tos.rtd",,"OPEN_INT","."&amp;E$2&amp;E$1&amp;"P"&amp;$A5)*RTD("tos.rtd",,"DELTA","."&amp;E$2&amp;E$1&amp;"P"&amp;$A5))/1000),0),IF($A$2="VEX",IFERROR(IF($X$1="ABS",($A$4*$A$4*RTD("tos.rtd",,"VOLUME","."&amp;E$2&amp;E$1&amp;"C"&amp;$A5)*RTD("tos.rtd",,"GAMMA","."&amp;E$2&amp;E$1&amp;"C"&amp;$A5)+$A$4*$A$4*RTD("tos.rtd",,"VOLUME","."&amp;E$2&amp;E$1&amp;"P"&amp;$A5)*RTD("tos.rtd",,"GAMMA","."&amp;E$2&amp;E$1&amp;"P"&amp;$A5))/1000000,($A$4*$A$4*RTD("tos.rtd",,"VOLUME","."&amp;E$2&amp;E$1&amp;"C"&amp;$A5)*RTD("tos.rtd",,"GAMMA","."&amp;E$2&amp;E$1&amp;"C"&amp;$A5)-$A$4*$A$4*RTD("tos.rtd",,"VOLUME","."&amp;E$2&amp;E$1&amp;"P"&amp;$A5)*RTD("tos.rtd",,"GAMMA","."&amp;E$2&amp;E$1&amp;"P"&amp;$A5))/1000000),0),IF($A$2="GEX",IFERROR(IF($X$1="ABS",($A$4*$A$4*RTD("tos.rtd",,"OPEN_INT","."&amp;E$2&amp;E$1&amp;"C"&amp;$A5)*RTD("tos.rtd",,"GAMMA","."&amp;E$2&amp;E$1&amp;"C"&amp;$A5)+$A$4*$A$4*RTD("tos.rtd",,"OPEN_INT","."&amp;E$2&amp;E$1&amp;"P"&amp;$A5)*RTD("tos.rtd",,"GAMMA","."&amp;E$2&amp;E$1&amp;"P"&amp;$A5))/1000000,($A$4*$A$4*RTD("tos.rtd",,"OPEN_INT","."&amp;E$2&amp;E$1&amp;"C"&amp;$A5)*RTD("tos.rtd",,"GAMMA","."&amp;E$2&amp;E$1&amp;"C"&amp;$A5)-$A$4*$A$4*RTD("tos.rtd",,"OPEN_INT","."&amp;E$2&amp;E$1&amp;"P"&amp;$A5)*RTD("tos.rtd",,"GAMMA","."&amp;E$2&amp;E$1&amp;"P"&amp;$A5))/1000000),0),IF($A$2="SKEW",IFERROR(VALUE(IF(RTD("tos.rtd",,"IMPL_VOL","."&amp;E$2&amp;E$1&amp;"P"&amp;$A5)="N/A",0,RTD("tos.rtd",,"IMPL_VOL","."&amp;E$2&amp;E$1&amp;"P"&amp;$A5))),0)-IFERROR(VALUE(IF(RTD("tos.rtd",,"IMPL_VOL","."&amp;E$2&amp;E$1&amp;"C"&amp;$A5)="N/A",0,RTD("tos.rtd",,"IMPL_VOL","."&amp;E$2&amp;E$1&amp;"C"&amp;$A5))),0),IF($A$2="MAXPAIN",IF($A$4&gt;$A5,($A$4-$A5)*IF(RTD("tos.rtd",,"OPEN_INT","."&amp;E$2&amp;E$1&amp;"C"&amp;$A5)="N/A",0,RTD("tos.rtd",,"OPEN_INT","."&amp;E$2&amp;E$1&amp;"C"&amp;$A5)),0)+IF($A$4&lt;$A5,($A$5-$A$4)*IF(RTD("tos.rtd",,"OPEN_INT","."&amp;E$2&amp;E$1&amp;"P"&amp;$A5)="N/A",0,RTD("tos.rtd",,"OPEN_INT","."&amp;E$2&amp;E$1&amp;"P"&amp;$A5)),0),IF($X$1="ABS",IF(RTD("tos.rtd",,$A$2,"."&amp;E$2&amp;E$1&amp;"C"&amp;$A5)="N/A",0,RTD("tos.rtd",,$A$2,"."&amp;E$2&amp;E$1&amp;"C"&amp;$A5))+IF(RTD("tos.rtd",,$A$2,"."&amp;E$2&amp;E$1&amp;"P"&amp;$A5)="N/A",0,RTD("tos.rtd",,$A$2,"."&amp;E$2&amp;E$1&amp;"P"&amp;$A5)),IF(RTD("tos.rtd",,$A$2,"."&amp;E$2&amp;E$1&amp;"C"&amp;$A5)="N/A",0,RTD("tos.rtd",,$A$2,"."&amp;E$2&amp;E$1&amp;"C"&amp;$A5))-IF(RTD("tos.rtd",,$A$2,"."&amp;E$2&amp;E$1&amp;"P"&amp;$A5)="N/A",0,RTD("tos.rtd",,$A$2,"."&amp;E$2&amp;E$1&amp;"P"&amp;$A5))))))))))</f>
        <v>0</v>
      </c>
      <c r="F5" s="5">
        <f ca="1">IF($A$2="PREMIUM_OI",IFERROR(IF($X$1="ABS",(100*RTD("tos.rtd",,"OPEN_INT","."&amp;F$2&amp;F$1&amp;"C"&amp;$A5)*RTD("tos.rtd",,"LAST","."&amp;F$2&amp;F$1&amp;"C"&amp;$A5)+100*RTD("tos.rtd",,"OPEN_INT","."&amp;F$2&amp;F$1&amp;"P"&amp;$A5)*RTD("tos.rtd",,"LAST","."&amp;F$2&amp;F$1&amp;"P"&amp;$A5))/1000000,(100*RTD("tos.rtd",,"OPEN_INT","."&amp;F$2&amp;F$1&amp;"C"&amp;$A5)*RTD("tos.rtd",,"LAST","."&amp;F$2&amp;F$1&amp;"C"&amp;$A5)-100*RTD("tos.rtd",,"OPEN_INT","."&amp;F$2&amp;F$1&amp;"P"&amp;$A5)*RTD("tos.rtd",,"LAST","."&amp;F$2&amp;F$1&amp;"P"&amp;$A5))/1000000),0),IF($A$2="PREMIUM",IFERROR(IF($X$1="ABS",(100*RTD("tos.rtd",,"VOLUME","."&amp;F$2&amp;F$1&amp;"C"&amp;$A5)*RTD("tos.rtd",,"LAST","."&amp;F$2&amp;F$1&amp;"C"&amp;$A5)+100*RTD("tos.rtd",,"VOLUME","."&amp;F$2&amp;F$1&amp;"P"&amp;$A5)*RTD("tos.rtd",,"LAST","."&amp;F$2&amp;F$1&amp;"P"&amp;$A5))/1000000,(100*RTD("tos.rtd",,"VOLUME","."&amp;F$2&amp;F$1&amp;"C"&amp;$A5)*RTD("tos.rtd",,"LAST","."&amp;F$2&amp;F$1&amp;"C"&amp;$A5)-100*RTD("tos.rtd",,"VOLUME","."&amp;F$2&amp;F$1&amp;"P"&amp;$A5)*RTD("tos.rtd",,"LAST","."&amp;F$2&amp;F$1&amp;"P"&amp;$A5))/1000000),0),IF($A$2="DEX",IFERROR(IF($X$1="ABS",(100*RTD("tos.rtd",,"OPEN_INT","."&amp;F$2&amp;F$1&amp;"C"&amp;$A5)*RTD("tos.rtd",,"DELTA","."&amp;F$2&amp;F$1&amp;"C"&amp;$A5)+100*RTD("tos.rtd",,"OPEN_INT","."&amp;F$2&amp;F$1&amp;"P"&amp;$A5)*RTD("tos.rtd",,"DELTA","."&amp;F$2&amp;F$1&amp;"P"&amp;$A5))/1000,(100*RTD("tos.rtd",,"OPEN_INT","."&amp;F$2&amp;F$1&amp;"C"&amp;$A5)*RTD("tos.rtd",,"DELTA","."&amp;F$2&amp;F$1&amp;"C"&amp;$A5)-100*RTD("tos.rtd",,"OPEN_INT","."&amp;F$2&amp;F$1&amp;"P"&amp;$A5)*RTD("tos.rtd",,"DELTA","."&amp;F$2&amp;F$1&amp;"P"&amp;$A5))/1000),0),IF($A$2="VEX",IFERROR(IF($X$1="ABS",($A$4*$A$4*RTD("tos.rtd",,"VOLUME","."&amp;F$2&amp;F$1&amp;"C"&amp;$A5)*RTD("tos.rtd",,"GAMMA","."&amp;F$2&amp;F$1&amp;"C"&amp;$A5)+$A$4*$A$4*RTD("tos.rtd",,"VOLUME","."&amp;F$2&amp;F$1&amp;"P"&amp;$A5)*RTD("tos.rtd",,"GAMMA","."&amp;F$2&amp;F$1&amp;"P"&amp;$A5))/1000000,($A$4*$A$4*RTD("tos.rtd",,"VOLUME","."&amp;F$2&amp;F$1&amp;"C"&amp;$A5)*RTD("tos.rtd",,"GAMMA","."&amp;F$2&amp;F$1&amp;"C"&amp;$A5)-$A$4*$A$4*RTD("tos.rtd",,"VOLUME","."&amp;F$2&amp;F$1&amp;"P"&amp;$A5)*RTD("tos.rtd",,"GAMMA","."&amp;F$2&amp;F$1&amp;"P"&amp;$A5))/1000000),0),IF($A$2="GEX",IFERROR(IF($X$1="ABS",($A$4*$A$4*RTD("tos.rtd",,"OPEN_INT","."&amp;F$2&amp;F$1&amp;"C"&amp;$A5)*RTD("tos.rtd",,"GAMMA","."&amp;F$2&amp;F$1&amp;"C"&amp;$A5)+$A$4*$A$4*RTD("tos.rtd",,"OPEN_INT","."&amp;F$2&amp;F$1&amp;"P"&amp;$A5)*RTD("tos.rtd",,"GAMMA","."&amp;F$2&amp;F$1&amp;"P"&amp;$A5))/1000000,($A$4*$A$4*RTD("tos.rtd",,"OPEN_INT","."&amp;F$2&amp;F$1&amp;"C"&amp;$A5)*RTD("tos.rtd",,"GAMMA","."&amp;F$2&amp;F$1&amp;"C"&amp;$A5)-$A$4*$A$4*RTD("tos.rtd",,"OPEN_INT","."&amp;F$2&amp;F$1&amp;"P"&amp;$A5)*RTD("tos.rtd",,"GAMMA","."&amp;F$2&amp;F$1&amp;"P"&amp;$A5))/1000000),0),IF($A$2="SKEW",IFERROR(VALUE(IF(RTD("tos.rtd",,"IMPL_VOL","."&amp;F$2&amp;F$1&amp;"P"&amp;$A5)="N/A",0,RTD("tos.rtd",,"IMPL_VOL","."&amp;F$2&amp;F$1&amp;"P"&amp;$A5))),0)-IFERROR(VALUE(IF(RTD("tos.rtd",,"IMPL_VOL","."&amp;F$2&amp;F$1&amp;"C"&amp;$A5)="N/A",0,RTD("tos.rtd",,"IMPL_VOL","."&amp;F$2&amp;F$1&amp;"C"&amp;$A5))),0),IF($A$2="MAXPAIN",IF($A$4&gt;$A5,($A$4-$A5)*IF(RTD("tos.rtd",,"OPEN_INT","."&amp;F$2&amp;F$1&amp;"C"&amp;$A5)="N/A",0,RTD("tos.rtd",,"OPEN_INT","."&amp;F$2&amp;F$1&amp;"C"&amp;$A5)),0)+IF($A$4&lt;$A5,($A$5-$A$4)*IF(RTD("tos.rtd",,"OPEN_INT","."&amp;F$2&amp;F$1&amp;"P"&amp;$A5)="N/A",0,RTD("tos.rtd",,"OPEN_INT","."&amp;F$2&amp;F$1&amp;"P"&amp;$A5)),0),IF($X$1="ABS",IF(RTD("tos.rtd",,$A$2,"."&amp;F$2&amp;F$1&amp;"C"&amp;$A5)="N/A",0,RTD("tos.rtd",,$A$2,"."&amp;F$2&amp;F$1&amp;"C"&amp;$A5))+IF(RTD("tos.rtd",,$A$2,"."&amp;F$2&amp;F$1&amp;"P"&amp;$A5)="N/A",0,RTD("tos.rtd",,$A$2,"."&amp;F$2&amp;F$1&amp;"P"&amp;$A5)),IF(RTD("tos.rtd",,$A$2,"."&amp;F$2&amp;F$1&amp;"C"&amp;$A5)="N/A",0,RTD("tos.rtd",,$A$2,"."&amp;F$2&amp;F$1&amp;"C"&amp;$A5))-IF(RTD("tos.rtd",,$A$2,"."&amp;F$2&amp;F$1&amp;"P"&amp;$A5)="N/A",0,RTD("tos.rtd",,$A$2,"."&amp;F$2&amp;F$1&amp;"P"&amp;$A5))))))))))</f>
        <v>0</v>
      </c>
      <c r="G5" s="56">
        <f ca="1">IF($A$2="PREMIUM_OI",IFERROR(IF($X$1="ABS",(100*RTD("tos.rtd",,"OPEN_INT","."&amp;G$2&amp;G$1&amp;"C"&amp;$A5)*RTD("tos.rtd",,"LAST","."&amp;G$2&amp;G$1&amp;"C"&amp;$A5)+100*RTD("tos.rtd",,"OPEN_INT","."&amp;G$2&amp;G$1&amp;"P"&amp;$A5)*RTD("tos.rtd",,"LAST","."&amp;G$2&amp;G$1&amp;"P"&amp;$A5))/1000000,(100*RTD("tos.rtd",,"OPEN_INT","."&amp;G$2&amp;G$1&amp;"C"&amp;$A5)*RTD("tos.rtd",,"LAST","."&amp;G$2&amp;G$1&amp;"C"&amp;$A5)-100*RTD("tos.rtd",,"OPEN_INT","."&amp;G$2&amp;G$1&amp;"P"&amp;$A5)*RTD("tos.rtd",,"LAST","."&amp;G$2&amp;G$1&amp;"P"&amp;$A5))/1000000),0),IF($A$2="PREMIUM",IFERROR(IF($X$1="ABS",(100*RTD("tos.rtd",,"VOLUME","."&amp;G$2&amp;G$1&amp;"C"&amp;$A5)*RTD("tos.rtd",,"LAST","."&amp;G$2&amp;G$1&amp;"C"&amp;$A5)+100*RTD("tos.rtd",,"VOLUME","."&amp;G$2&amp;G$1&amp;"P"&amp;$A5)*RTD("tos.rtd",,"LAST","."&amp;G$2&amp;G$1&amp;"P"&amp;$A5))/1000000,(100*RTD("tos.rtd",,"VOLUME","."&amp;G$2&amp;G$1&amp;"C"&amp;$A5)*RTD("tos.rtd",,"LAST","."&amp;G$2&amp;G$1&amp;"C"&amp;$A5)-100*RTD("tos.rtd",,"VOLUME","."&amp;G$2&amp;G$1&amp;"P"&amp;$A5)*RTD("tos.rtd",,"LAST","."&amp;G$2&amp;G$1&amp;"P"&amp;$A5))/1000000),0),IF($A$2="DEX",IFERROR(IF($X$1="ABS",(100*RTD("tos.rtd",,"OPEN_INT","."&amp;G$2&amp;G$1&amp;"C"&amp;$A5)*RTD("tos.rtd",,"DELTA","."&amp;G$2&amp;G$1&amp;"C"&amp;$A5)+100*RTD("tos.rtd",,"OPEN_INT","."&amp;G$2&amp;G$1&amp;"P"&amp;$A5)*RTD("tos.rtd",,"DELTA","."&amp;G$2&amp;G$1&amp;"P"&amp;$A5))/1000,(100*RTD("tos.rtd",,"OPEN_INT","."&amp;G$2&amp;G$1&amp;"C"&amp;$A5)*RTD("tos.rtd",,"DELTA","."&amp;G$2&amp;G$1&amp;"C"&amp;$A5)-100*RTD("tos.rtd",,"OPEN_INT","."&amp;G$2&amp;G$1&amp;"P"&amp;$A5)*RTD("tos.rtd",,"DELTA","."&amp;G$2&amp;G$1&amp;"P"&amp;$A5))/1000),0),IF($A$2="VEX",IFERROR(IF($X$1="ABS",($A$4*$A$4*RTD("tos.rtd",,"VOLUME","."&amp;G$2&amp;G$1&amp;"C"&amp;$A5)*RTD("tos.rtd",,"GAMMA","."&amp;G$2&amp;G$1&amp;"C"&amp;$A5)+$A$4*$A$4*RTD("tos.rtd",,"VOLUME","."&amp;G$2&amp;G$1&amp;"P"&amp;$A5)*RTD("tos.rtd",,"GAMMA","."&amp;G$2&amp;G$1&amp;"P"&amp;$A5))/1000000,($A$4*$A$4*RTD("tos.rtd",,"VOLUME","."&amp;G$2&amp;G$1&amp;"C"&amp;$A5)*RTD("tos.rtd",,"GAMMA","."&amp;G$2&amp;G$1&amp;"C"&amp;$A5)-$A$4*$A$4*RTD("tos.rtd",,"VOLUME","."&amp;G$2&amp;G$1&amp;"P"&amp;$A5)*RTD("tos.rtd",,"GAMMA","."&amp;G$2&amp;G$1&amp;"P"&amp;$A5))/1000000),0),IF($A$2="GEX",IFERROR(IF($X$1="ABS",($A$4*$A$4*RTD("tos.rtd",,"OPEN_INT","."&amp;G$2&amp;G$1&amp;"C"&amp;$A5)*RTD("tos.rtd",,"GAMMA","."&amp;G$2&amp;G$1&amp;"C"&amp;$A5)+$A$4*$A$4*RTD("tos.rtd",,"OPEN_INT","."&amp;G$2&amp;G$1&amp;"P"&amp;$A5)*RTD("tos.rtd",,"GAMMA","."&amp;G$2&amp;G$1&amp;"P"&amp;$A5))/1000000,($A$4*$A$4*RTD("tos.rtd",,"OPEN_INT","."&amp;G$2&amp;G$1&amp;"C"&amp;$A5)*RTD("tos.rtd",,"GAMMA","."&amp;G$2&amp;G$1&amp;"C"&amp;$A5)-$A$4*$A$4*RTD("tos.rtd",,"OPEN_INT","."&amp;G$2&amp;G$1&amp;"P"&amp;$A5)*RTD("tos.rtd",,"GAMMA","."&amp;G$2&amp;G$1&amp;"P"&amp;$A5))/1000000),0),IF($A$2="SKEW",IFERROR(VALUE(IF(RTD("tos.rtd",,"IMPL_VOL","."&amp;G$2&amp;G$1&amp;"P"&amp;$A5)="N/A",0,RTD("tos.rtd",,"IMPL_VOL","."&amp;G$2&amp;G$1&amp;"P"&amp;$A5))),0)-IFERROR(VALUE(IF(RTD("tos.rtd",,"IMPL_VOL","."&amp;G$2&amp;G$1&amp;"C"&amp;$A5)="N/A",0,RTD("tos.rtd",,"IMPL_VOL","."&amp;G$2&amp;G$1&amp;"C"&amp;$A5))),0),IF($A$2="MAXPAIN",IF($A$4&gt;$A5,($A$4-$A5)*IF(RTD("tos.rtd",,"OPEN_INT","."&amp;G$2&amp;G$1&amp;"C"&amp;$A5)="N/A",0,RTD("tos.rtd",,"OPEN_INT","."&amp;G$2&amp;G$1&amp;"C"&amp;$A5)),0)+IF($A$4&lt;$A5,($A$5-$A$4)*IF(RTD("tos.rtd",,"OPEN_INT","."&amp;G$2&amp;G$1&amp;"P"&amp;$A5)="N/A",0,RTD("tos.rtd",,"OPEN_INT","."&amp;G$2&amp;G$1&amp;"P"&amp;$A5)),0),IF($X$1="ABS",IF(RTD("tos.rtd",,$A$2,"."&amp;G$2&amp;G$1&amp;"C"&amp;$A5)="N/A",0,RTD("tos.rtd",,$A$2,"."&amp;G$2&amp;G$1&amp;"C"&amp;$A5))+IF(RTD("tos.rtd",,$A$2,"."&amp;G$2&amp;G$1&amp;"P"&amp;$A5)="N/A",0,RTD("tos.rtd",,$A$2,"."&amp;G$2&amp;G$1&amp;"P"&amp;$A5)),IF(RTD("tos.rtd",,$A$2,"."&amp;G$2&amp;G$1&amp;"C"&amp;$A5)="N/A",0,RTD("tos.rtd",,$A$2,"."&amp;G$2&amp;G$1&amp;"C"&amp;$A5))-IF(RTD("tos.rtd",,$A$2,"."&amp;G$2&amp;G$1&amp;"P"&amp;$A5)="N/A",0,RTD("tos.rtd",,$A$2,"."&amp;G$2&amp;G$1&amp;"P"&amp;$A5))))))))))</f>
        <v>0</v>
      </c>
      <c r="H5" s="13">
        <f ca="1">IF($A$2="PREMIUM_OI",IFERROR(IF($X$1="ABS",(100*RTD("tos.rtd",,"OPEN_INT","."&amp;H$2&amp;H$1&amp;"C"&amp;$A5)*RTD("tos.rtd",,"LAST","."&amp;H$2&amp;H$1&amp;"C"&amp;$A5)+100*RTD("tos.rtd",,"OPEN_INT","."&amp;H$2&amp;H$1&amp;"P"&amp;$A5)*RTD("tos.rtd",,"LAST","."&amp;H$2&amp;H$1&amp;"P"&amp;$A5))/1000000,(100*RTD("tos.rtd",,"OPEN_INT","."&amp;H$2&amp;H$1&amp;"C"&amp;$A5)*RTD("tos.rtd",,"LAST","."&amp;H$2&amp;H$1&amp;"C"&amp;$A5)-100*RTD("tos.rtd",,"OPEN_INT","."&amp;H$2&amp;H$1&amp;"P"&amp;$A5)*RTD("tos.rtd",,"LAST","."&amp;H$2&amp;H$1&amp;"P"&amp;$A5))/1000000),0),IF($A$2="PREMIUM",IFERROR(IF($X$1="ABS",(100*RTD("tos.rtd",,"VOLUME","."&amp;H$2&amp;H$1&amp;"C"&amp;$A5)*RTD("tos.rtd",,"LAST","."&amp;H$2&amp;H$1&amp;"C"&amp;$A5)+100*RTD("tos.rtd",,"VOLUME","."&amp;H$2&amp;H$1&amp;"P"&amp;$A5)*RTD("tos.rtd",,"LAST","."&amp;H$2&amp;H$1&amp;"P"&amp;$A5))/1000000,(100*RTD("tos.rtd",,"VOLUME","."&amp;H$2&amp;H$1&amp;"C"&amp;$A5)*RTD("tos.rtd",,"LAST","."&amp;H$2&amp;H$1&amp;"C"&amp;$A5)-100*RTD("tos.rtd",,"VOLUME","."&amp;H$2&amp;H$1&amp;"P"&amp;$A5)*RTD("tos.rtd",,"LAST","."&amp;H$2&amp;H$1&amp;"P"&amp;$A5))/1000000),0),IF($A$2="DEX",IFERROR(IF($X$1="ABS",(100*RTD("tos.rtd",,"OPEN_INT","."&amp;H$2&amp;H$1&amp;"C"&amp;$A5)*RTD("tos.rtd",,"DELTA","."&amp;H$2&amp;H$1&amp;"C"&amp;$A5)+100*RTD("tos.rtd",,"OPEN_INT","."&amp;H$2&amp;H$1&amp;"P"&amp;$A5)*RTD("tos.rtd",,"DELTA","."&amp;H$2&amp;H$1&amp;"P"&amp;$A5))/1000,(100*RTD("tos.rtd",,"OPEN_INT","."&amp;H$2&amp;H$1&amp;"C"&amp;$A5)*RTD("tos.rtd",,"DELTA","."&amp;H$2&amp;H$1&amp;"C"&amp;$A5)-100*RTD("tos.rtd",,"OPEN_INT","."&amp;H$2&amp;H$1&amp;"P"&amp;$A5)*RTD("tos.rtd",,"DELTA","."&amp;H$2&amp;H$1&amp;"P"&amp;$A5))/1000),0),IF($A$2="VEX",IFERROR(IF($X$1="ABS",($A$4*$A$4*RTD("tos.rtd",,"VOLUME","."&amp;H$2&amp;H$1&amp;"C"&amp;$A5)*RTD("tos.rtd",,"GAMMA","."&amp;H$2&amp;H$1&amp;"C"&amp;$A5)+$A$4*$A$4*RTD("tos.rtd",,"VOLUME","."&amp;H$2&amp;H$1&amp;"P"&amp;$A5)*RTD("tos.rtd",,"GAMMA","."&amp;H$2&amp;H$1&amp;"P"&amp;$A5))/1000000,($A$4*$A$4*RTD("tos.rtd",,"VOLUME","."&amp;H$2&amp;H$1&amp;"C"&amp;$A5)*RTD("tos.rtd",,"GAMMA","."&amp;H$2&amp;H$1&amp;"C"&amp;$A5)-$A$4*$A$4*RTD("tos.rtd",,"VOLUME","."&amp;H$2&amp;H$1&amp;"P"&amp;$A5)*RTD("tos.rtd",,"GAMMA","."&amp;H$2&amp;H$1&amp;"P"&amp;$A5))/1000000),0),IF($A$2="GEX",IFERROR(IF($X$1="ABS",($A$4*$A$4*RTD("tos.rtd",,"OPEN_INT","."&amp;H$2&amp;H$1&amp;"C"&amp;$A5)*RTD("tos.rtd",,"GAMMA","."&amp;H$2&amp;H$1&amp;"C"&amp;$A5)+$A$4*$A$4*RTD("tos.rtd",,"OPEN_INT","."&amp;H$2&amp;H$1&amp;"P"&amp;$A5)*RTD("tos.rtd",,"GAMMA","."&amp;H$2&amp;H$1&amp;"P"&amp;$A5))/1000000,($A$4*$A$4*RTD("tos.rtd",,"OPEN_INT","."&amp;H$2&amp;H$1&amp;"C"&amp;$A5)*RTD("tos.rtd",,"GAMMA","."&amp;H$2&amp;H$1&amp;"C"&amp;$A5)-$A$4*$A$4*RTD("tos.rtd",,"OPEN_INT","."&amp;H$2&amp;H$1&amp;"P"&amp;$A5)*RTD("tos.rtd",,"GAMMA","."&amp;H$2&amp;H$1&amp;"P"&amp;$A5))/1000000),0),IF($A$2="SKEW",IFERROR(VALUE(IF(RTD("tos.rtd",,"IMPL_VOL","."&amp;H$2&amp;H$1&amp;"P"&amp;$A5)="N/A",0,RTD("tos.rtd",,"IMPL_VOL","."&amp;H$2&amp;H$1&amp;"P"&amp;$A5))),0)-IFERROR(VALUE(IF(RTD("tos.rtd",,"IMPL_VOL","."&amp;H$2&amp;H$1&amp;"C"&amp;$A5)="N/A",0,RTD("tos.rtd",,"IMPL_VOL","."&amp;H$2&amp;H$1&amp;"C"&amp;$A5))),0),IF($A$2="MAXPAIN",IF($A$4&gt;$A5,($A$4-$A5)*IF(RTD("tos.rtd",,"OPEN_INT","."&amp;H$2&amp;H$1&amp;"C"&amp;$A5)="N/A",0,RTD("tos.rtd",,"OPEN_INT","."&amp;H$2&amp;H$1&amp;"C"&amp;$A5)),0)+IF($A$4&lt;$A5,($A$5-$A$4)*IF(RTD("tos.rtd",,"OPEN_INT","."&amp;H$2&amp;H$1&amp;"P"&amp;$A5)="N/A",0,RTD("tos.rtd",,"OPEN_INT","."&amp;H$2&amp;H$1&amp;"P"&amp;$A5)),0),IF($X$1="ABS",IF(RTD("tos.rtd",,$A$2,"."&amp;H$2&amp;H$1&amp;"C"&amp;$A5)="N/A",0,RTD("tos.rtd",,$A$2,"."&amp;H$2&amp;H$1&amp;"C"&amp;$A5))+IF(RTD("tos.rtd",,$A$2,"."&amp;H$2&amp;H$1&amp;"P"&amp;$A5)="N/A",0,RTD("tos.rtd",,$A$2,"."&amp;H$2&amp;H$1&amp;"P"&amp;$A5)),IF(RTD("tos.rtd",,$A$2,"."&amp;H$2&amp;H$1&amp;"C"&amp;$A5)="N/A",0,RTD("tos.rtd",,$A$2,"."&amp;H$2&amp;H$1&amp;"C"&amp;$A5))-IF(RTD("tos.rtd",,$A$2,"."&amp;H$2&amp;H$1&amp;"P"&amp;$A5)="N/A",0,RTD("tos.rtd",,$A$2,"."&amp;H$2&amp;H$1&amp;"P"&amp;$A5))))))))))</f>
        <v>0</v>
      </c>
      <c r="I5" s="5">
        <f ca="1">IF($A$2="PREMIUM_OI",IFERROR(IF($X$1="ABS",(100*RTD("tos.rtd",,"OPEN_INT","."&amp;I$2&amp;I$1&amp;"C"&amp;$A5)*RTD("tos.rtd",,"LAST","."&amp;I$2&amp;I$1&amp;"C"&amp;$A5)+100*RTD("tos.rtd",,"OPEN_INT","."&amp;I$2&amp;I$1&amp;"P"&amp;$A5)*RTD("tos.rtd",,"LAST","."&amp;I$2&amp;I$1&amp;"P"&amp;$A5))/1000000,(100*RTD("tos.rtd",,"OPEN_INT","."&amp;I$2&amp;I$1&amp;"C"&amp;$A5)*RTD("tos.rtd",,"LAST","."&amp;I$2&amp;I$1&amp;"C"&amp;$A5)-100*RTD("tos.rtd",,"OPEN_INT","."&amp;I$2&amp;I$1&amp;"P"&amp;$A5)*RTD("tos.rtd",,"LAST","."&amp;I$2&amp;I$1&amp;"P"&amp;$A5))/1000000),0),IF($A$2="PREMIUM",IFERROR(IF($X$1="ABS",(100*RTD("tos.rtd",,"VOLUME","."&amp;I$2&amp;I$1&amp;"C"&amp;$A5)*RTD("tos.rtd",,"LAST","."&amp;I$2&amp;I$1&amp;"C"&amp;$A5)+100*RTD("tos.rtd",,"VOLUME","."&amp;I$2&amp;I$1&amp;"P"&amp;$A5)*RTD("tos.rtd",,"LAST","."&amp;I$2&amp;I$1&amp;"P"&amp;$A5))/1000000,(100*RTD("tos.rtd",,"VOLUME","."&amp;I$2&amp;I$1&amp;"C"&amp;$A5)*RTD("tos.rtd",,"LAST","."&amp;I$2&amp;I$1&amp;"C"&amp;$A5)-100*RTD("tos.rtd",,"VOLUME","."&amp;I$2&amp;I$1&amp;"P"&amp;$A5)*RTD("tos.rtd",,"LAST","."&amp;I$2&amp;I$1&amp;"P"&amp;$A5))/1000000),0),IF($A$2="DEX",IFERROR(IF($X$1="ABS",(100*RTD("tos.rtd",,"OPEN_INT","."&amp;I$2&amp;I$1&amp;"C"&amp;$A5)*RTD("tos.rtd",,"DELTA","."&amp;I$2&amp;I$1&amp;"C"&amp;$A5)+100*RTD("tos.rtd",,"OPEN_INT","."&amp;I$2&amp;I$1&amp;"P"&amp;$A5)*RTD("tos.rtd",,"DELTA","."&amp;I$2&amp;I$1&amp;"P"&amp;$A5))/1000,(100*RTD("tos.rtd",,"OPEN_INT","."&amp;I$2&amp;I$1&amp;"C"&amp;$A5)*RTD("tos.rtd",,"DELTA","."&amp;I$2&amp;I$1&amp;"C"&amp;$A5)-100*RTD("tos.rtd",,"OPEN_INT","."&amp;I$2&amp;I$1&amp;"P"&amp;$A5)*RTD("tos.rtd",,"DELTA","."&amp;I$2&amp;I$1&amp;"P"&amp;$A5))/1000),0),IF($A$2="VEX",IFERROR(IF($X$1="ABS",($A$4*$A$4*RTD("tos.rtd",,"VOLUME","."&amp;I$2&amp;I$1&amp;"C"&amp;$A5)*RTD("tos.rtd",,"GAMMA","."&amp;I$2&amp;I$1&amp;"C"&amp;$A5)+$A$4*$A$4*RTD("tos.rtd",,"VOLUME","."&amp;I$2&amp;I$1&amp;"P"&amp;$A5)*RTD("tos.rtd",,"GAMMA","."&amp;I$2&amp;I$1&amp;"P"&amp;$A5))/1000000,($A$4*$A$4*RTD("tos.rtd",,"VOLUME","."&amp;I$2&amp;I$1&amp;"C"&amp;$A5)*RTD("tos.rtd",,"GAMMA","."&amp;I$2&amp;I$1&amp;"C"&amp;$A5)-$A$4*$A$4*RTD("tos.rtd",,"VOLUME","."&amp;I$2&amp;I$1&amp;"P"&amp;$A5)*RTD("tos.rtd",,"GAMMA","."&amp;I$2&amp;I$1&amp;"P"&amp;$A5))/1000000),0),IF($A$2="GEX",IFERROR(IF($X$1="ABS",($A$4*$A$4*RTD("tos.rtd",,"OPEN_INT","."&amp;I$2&amp;I$1&amp;"C"&amp;$A5)*RTD("tos.rtd",,"GAMMA","."&amp;I$2&amp;I$1&amp;"C"&amp;$A5)+$A$4*$A$4*RTD("tos.rtd",,"OPEN_INT","."&amp;I$2&amp;I$1&amp;"P"&amp;$A5)*RTD("tos.rtd",,"GAMMA","."&amp;I$2&amp;I$1&amp;"P"&amp;$A5))/1000000,($A$4*$A$4*RTD("tos.rtd",,"OPEN_INT","."&amp;I$2&amp;I$1&amp;"C"&amp;$A5)*RTD("tos.rtd",,"GAMMA","."&amp;I$2&amp;I$1&amp;"C"&amp;$A5)-$A$4*$A$4*RTD("tos.rtd",,"OPEN_INT","."&amp;I$2&amp;I$1&amp;"P"&amp;$A5)*RTD("tos.rtd",,"GAMMA","."&amp;I$2&amp;I$1&amp;"P"&amp;$A5))/1000000),0),IF($A$2="SKEW",IFERROR(VALUE(IF(RTD("tos.rtd",,"IMPL_VOL","."&amp;I$2&amp;I$1&amp;"P"&amp;$A5)="N/A",0,RTD("tos.rtd",,"IMPL_VOL","."&amp;I$2&amp;I$1&amp;"P"&amp;$A5))),0)-IFERROR(VALUE(IF(RTD("tos.rtd",,"IMPL_VOL","."&amp;I$2&amp;I$1&amp;"C"&amp;$A5)="N/A",0,RTD("tos.rtd",,"IMPL_VOL","."&amp;I$2&amp;I$1&amp;"C"&amp;$A5))),0),IF($A$2="MAXPAIN",IF($A$4&gt;$A5,($A$4-$A5)*IF(RTD("tos.rtd",,"OPEN_INT","."&amp;I$2&amp;I$1&amp;"C"&amp;$A5)="N/A",0,RTD("tos.rtd",,"OPEN_INT","."&amp;I$2&amp;I$1&amp;"C"&amp;$A5)),0)+IF($A$4&lt;$A5,($A$5-$A$4)*IF(RTD("tos.rtd",,"OPEN_INT","."&amp;I$2&amp;I$1&amp;"P"&amp;$A5)="N/A",0,RTD("tos.rtd",,"OPEN_INT","."&amp;I$2&amp;I$1&amp;"P"&amp;$A5)),0),IF($X$1="ABS",IF(RTD("tos.rtd",,$A$2,"."&amp;I$2&amp;I$1&amp;"C"&amp;$A5)="N/A",0,RTD("tos.rtd",,$A$2,"."&amp;I$2&amp;I$1&amp;"C"&amp;$A5))+IF(RTD("tos.rtd",,$A$2,"."&amp;I$2&amp;I$1&amp;"P"&amp;$A5)="N/A",0,RTD("tos.rtd",,$A$2,"."&amp;I$2&amp;I$1&amp;"P"&amp;$A5)),IF(RTD("tos.rtd",,$A$2,"."&amp;I$2&amp;I$1&amp;"C"&amp;$A5)="N/A",0,RTD("tos.rtd",,$A$2,"."&amp;I$2&amp;I$1&amp;"C"&amp;$A5))-IF(RTD("tos.rtd",,$A$2,"."&amp;I$2&amp;I$1&amp;"P"&amp;$A5)="N/A",0,RTD("tos.rtd",,$A$2,"."&amp;I$2&amp;I$1&amp;"P"&amp;$A5))))))))))</f>
        <v>0</v>
      </c>
      <c r="J5" s="5">
        <f ca="1">IF($A$2="PREMIUM_OI",IFERROR(IF($X$1="ABS",(100*RTD("tos.rtd",,"OPEN_INT","."&amp;J$2&amp;J$1&amp;"C"&amp;$A5)*RTD("tos.rtd",,"LAST","."&amp;J$2&amp;J$1&amp;"C"&amp;$A5)+100*RTD("tos.rtd",,"OPEN_INT","."&amp;J$2&amp;J$1&amp;"P"&amp;$A5)*RTD("tos.rtd",,"LAST","."&amp;J$2&amp;J$1&amp;"P"&amp;$A5))/1000000,(100*RTD("tos.rtd",,"OPEN_INT","."&amp;J$2&amp;J$1&amp;"C"&amp;$A5)*RTD("tos.rtd",,"LAST","."&amp;J$2&amp;J$1&amp;"C"&amp;$A5)-100*RTD("tos.rtd",,"OPEN_INT","."&amp;J$2&amp;J$1&amp;"P"&amp;$A5)*RTD("tos.rtd",,"LAST","."&amp;J$2&amp;J$1&amp;"P"&amp;$A5))/1000000),0),IF($A$2="PREMIUM",IFERROR(IF($X$1="ABS",(100*RTD("tos.rtd",,"VOLUME","."&amp;J$2&amp;J$1&amp;"C"&amp;$A5)*RTD("tos.rtd",,"LAST","."&amp;J$2&amp;J$1&amp;"C"&amp;$A5)+100*RTD("tos.rtd",,"VOLUME","."&amp;J$2&amp;J$1&amp;"P"&amp;$A5)*RTD("tos.rtd",,"LAST","."&amp;J$2&amp;J$1&amp;"P"&amp;$A5))/1000000,(100*RTD("tos.rtd",,"VOLUME","."&amp;J$2&amp;J$1&amp;"C"&amp;$A5)*RTD("tos.rtd",,"LAST","."&amp;J$2&amp;J$1&amp;"C"&amp;$A5)-100*RTD("tos.rtd",,"VOLUME","."&amp;J$2&amp;J$1&amp;"P"&amp;$A5)*RTD("tos.rtd",,"LAST","."&amp;J$2&amp;J$1&amp;"P"&amp;$A5))/1000000),0),IF($A$2="DEX",IFERROR(IF($X$1="ABS",(100*RTD("tos.rtd",,"OPEN_INT","."&amp;J$2&amp;J$1&amp;"C"&amp;$A5)*RTD("tos.rtd",,"DELTA","."&amp;J$2&amp;J$1&amp;"C"&amp;$A5)+100*RTD("tos.rtd",,"OPEN_INT","."&amp;J$2&amp;J$1&amp;"P"&amp;$A5)*RTD("tos.rtd",,"DELTA","."&amp;J$2&amp;J$1&amp;"P"&amp;$A5))/1000,(100*RTD("tos.rtd",,"OPEN_INT","."&amp;J$2&amp;J$1&amp;"C"&amp;$A5)*RTD("tos.rtd",,"DELTA","."&amp;J$2&amp;J$1&amp;"C"&amp;$A5)-100*RTD("tos.rtd",,"OPEN_INT","."&amp;J$2&amp;J$1&amp;"P"&amp;$A5)*RTD("tos.rtd",,"DELTA","."&amp;J$2&amp;J$1&amp;"P"&amp;$A5))/1000),0),IF($A$2="VEX",IFERROR(IF($X$1="ABS",($A$4*$A$4*RTD("tos.rtd",,"VOLUME","."&amp;J$2&amp;J$1&amp;"C"&amp;$A5)*RTD("tos.rtd",,"GAMMA","."&amp;J$2&amp;J$1&amp;"C"&amp;$A5)+$A$4*$A$4*RTD("tos.rtd",,"VOLUME","."&amp;J$2&amp;J$1&amp;"P"&amp;$A5)*RTD("tos.rtd",,"GAMMA","."&amp;J$2&amp;J$1&amp;"P"&amp;$A5))/1000000,($A$4*$A$4*RTD("tos.rtd",,"VOLUME","."&amp;J$2&amp;J$1&amp;"C"&amp;$A5)*RTD("tos.rtd",,"GAMMA","."&amp;J$2&amp;J$1&amp;"C"&amp;$A5)-$A$4*$A$4*RTD("tos.rtd",,"VOLUME","."&amp;J$2&amp;J$1&amp;"P"&amp;$A5)*RTD("tos.rtd",,"GAMMA","."&amp;J$2&amp;J$1&amp;"P"&amp;$A5))/1000000),0),IF($A$2="GEX",IFERROR(IF($X$1="ABS",($A$4*$A$4*RTD("tos.rtd",,"OPEN_INT","."&amp;J$2&amp;J$1&amp;"C"&amp;$A5)*RTD("tos.rtd",,"GAMMA","."&amp;J$2&amp;J$1&amp;"C"&amp;$A5)+$A$4*$A$4*RTD("tos.rtd",,"OPEN_INT","."&amp;J$2&amp;J$1&amp;"P"&amp;$A5)*RTD("tos.rtd",,"GAMMA","."&amp;J$2&amp;J$1&amp;"P"&amp;$A5))/1000000,($A$4*$A$4*RTD("tos.rtd",,"OPEN_INT","."&amp;J$2&amp;J$1&amp;"C"&amp;$A5)*RTD("tos.rtd",,"GAMMA","."&amp;J$2&amp;J$1&amp;"C"&amp;$A5)-$A$4*$A$4*RTD("tos.rtd",,"OPEN_INT","."&amp;J$2&amp;J$1&amp;"P"&amp;$A5)*RTD("tos.rtd",,"GAMMA","."&amp;J$2&amp;J$1&amp;"P"&amp;$A5))/1000000),0),IF($A$2="SKEW",IFERROR(VALUE(IF(RTD("tos.rtd",,"IMPL_VOL","."&amp;J$2&amp;J$1&amp;"P"&amp;$A5)="N/A",0,RTD("tos.rtd",,"IMPL_VOL","."&amp;J$2&amp;J$1&amp;"P"&amp;$A5))),0)-IFERROR(VALUE(IF(RTD("tos.rtd",,"IMPL_VOL","."&amp;J$2&amp;J$1&amp;"C"&amp;$A5)="N/A",0,RTD("tos.rtd",,"IMPL_VOL","."&amp;J$2&amp;J$1&amp;"C"&amp;$A5))),0),IF($A$2="MAXPAIN",IF($A$4&gt;$A5,($A$4-$A5)*IF(RTD("tos.rtd",,"OPEN_INT","."&amp;J$2&amp;J$1&amp;"C"&amp;$A5)="N/A",0,RTD("tos.rtd",,"OPEN_INT","."&amp;J$2&amp;J$1&amp;"C"&amp;$A5)),0)+IF($A$4&lt;$A5,($A$5-$A$4)*IF(RTD("tos.rtd",,"OPEN_INT","."&amp;J$2&amp;J$1&amp;"P"&amp;$A5)="N/A",0,RTD("tos.rtd",,"OPEN_INT","."&amp;J$2&amp;J$1&amp;"P"&amp;$A5)),0),IF($X$1="ABS",IF(RTD("tos.rtd",,$A$2,"."&amp;J$2&amp;J$1&amp;"C"&amp;$A5)="N/A",0,RTD("tos.rtd",,$A$2,"."&amp;J$2&amp;J$1&amp;"C"&amp;$A5))+IF(RTD("tos.rtd",,$A$2,"."&amp;J$2&amp;J$1&amp;"P"&amp;$A5)="N/A",0,RTD("tos.rtd",,$A$2,"."&amp;J$2&amp;J$1&amp;"P"&amp;$A5)),IF(RTD("tos.rtd",,$A$2,"."&amp;J$2&amp;J$1&amp;"C"&amp;$A5)="N/A",0,RTD("tos.rtd",,$A$2,"."&amp;J$2&amp;J$1&amp;"C"&amp;$A5))-IF(RTD("tos.rtd",,$A$2,"."&amp;J$2&amp;J$1&amp;"P"&amp;$A5)="N/A",0,RTD("tos.rtd",,$A$2,"."&amp;J$2&amp;J$1&amp;"P"&amp;$A5))))))))))</f>
        <v>0</v>
      </c>
      <c r="K5" s="5">
        <f ca="1">IF($A$2="PREMIUM_OI",IFERROR(IF($X$1="ABS",(100*RTD("tos.rtd",,"OPEN_INT","."&amp;K$2&amp;K$1&amp;"C"&amp;$A5)*RTD("tos.rtd",,"LAST","."&amp;K$2&amp;K$1&amp;"C"&amp;$A5)+100*RTD("tos.rtd",,"OPEN_INT","."&amp;K$2&amp;K$1&amp;"P"&amp;$A5)*RTD("tos.rtd",,"LAST","."&amp;K$2&amp;K$1&amp;"P"&amp;$A5))/1000000,(100*RTD("tos.rtd",,"OPEN_INT","."&amp;K$2&amp;K$1&amp;"C"&amp;$A5)*RTD("tos.rtd",,"LAST","."&amp;K$2&amp;K$1&amp;"C"&amp;$A5)-100*RTD("tos.rtd",,"OPEN_INT","."&amp;K$2&amp;K$1&amp;"P"&amp;$A5)*RTD("tos.rtd",,"LAST","."&amp;K$2&amp;K$1&amp;"P"&amp;$A5))/1000000),0),IF($A$2="PREMIUM",IFERROR(IF($X$1="ABS",(100*RTD("tos.rtd",,"VOLUME","."&amp;K$2&amp;K$1&amp;"C"&amp;$A5)*RTD("tos.rtd",,"LAST","."&amp;K$2&amp;K$1&amp;"C"&amp;$A5)+100*RTD("tos.rtd",,"VOLUME","."&amp;K$2&amp;K$1&amp;"P"&amp;$A5)*RTD("tos.rtd",,"LAST","."&amp;K$2&amp;K$1&amp;"P"&amp;$A5))/1000000,(100*RTD("tos.rtd",,"VOLUME","."&amp;K$2&amp;K$1&amp;"C"&amp;$A5)*RTD("tos.rtd",,"LAST","."&amp;K$2&amp;K$1&amp;"C"&amp;$A5)-100*RTD("tos.rtd",,"VOLUME","."&amp;K$2&amp;K$1&amp;"P"&amp;$A5)*RTD("tos.rtd",,"LAST","."&amp;K$2&amp;K$1&amp;"P"&amp;$A5))/1000000),0),IF($A$2="DEX",IFERROR(IF($X$1="ABS",(100*RTD("tos.rtd",,"OPEN_INT","."&amp;K$2&amp;K$1&amp;"C"&amp;$A5)*RTD("tos.rtd",,"DELTA","."&amp;K$2&amp;K$1&amp;"C"&amp;$A5)+100*RTD("tos.rtd",,"OPEN_INT","."&amp;K$2&amp;K$1&amp;"P"&amp;$A5)*RTD("tos.rtd",,"DELTA","."&amp;K$2&amp;K$1&amp;"P"&amp;$A5))/1000,(100*RTD("tos.rtd",,"OPEN_INT","."&amp;K$2&amp;K$1&amp;"C"&amp;$A5)*RTD("tos.rtd",,"DELTA","."&amp;K$2&amp;K$1&amp;"C"&amp;$A5)-100*RTD("tos.rtd",,"OPEN_INT","."&amp;K$2&amp;K$1&amp;"P"&amp;$A5)*RTD("tos.rtd",,"DELTA","."&amp;K$2&amp;K$1&amp;"P"&amp;$A5))/1000),0),IF($A$2="VEX",IFERROR(IF($X$1="ABS",($A$4*$A$4*RTD("tos.rtd",,"VOLUME","."&amp;K$2&amp;K$1&amp;"C"&amp;$A5)*RTD("tos.rtd",,"GAMMA","."&amp;K$2&amp;K$1&amp;"C"&amp;$A5)+$A$4*$A$4*RTD("tos.rtd",,"VOLUME","."&amp;K$2&amp;K$1&amp;"P"&amp;$A5)*RTD("tos.rtd",,"GAMMA","."&amp;K$2&amp;K$1&amp;"P"&amp;$A5))/1000000,($A$4*$A$4*RTD("tos.rtd",,"VOLUME","."&amp;K$2&amp;K$1&amp;"C"&amp;$A5)*RTD("tos.rtd",,"GAMMA","."&amp;K$2&amp;K$1&amp;"C"&amp;$A5)-$A$4*$A$4*RTD("tos.rtd",,"VOLUME","."&amp;K$2&amp;K$1&amp;"P"&amp;$A5)*RTD("tos.rtd",,"GAMMA","."&amp;K$2&amp;K$1&amp;"P"&amp;$A5))/1000000),0),IF($A$2="GEX",IFERROR(IF($X$1="ABS",($A$4*$A$4*RTD("tos.rtd",,"OPEN_INT","."&amp;K$2&amp;K$1&amp;"C"&amp;$A5)*RTD("tos.rtd",,"GAMMA","."&amp;K$2&amp;K$1&amp;"C"&amp;$A5)+$A$4*$A$4*RTD("tos.rtd",,"OPEN_INT","."&amp;K$2&amp;K$1&amp;"P"&amp;$A5)*RTD("tos.rtd",,"GAMMA","."&amp;K$2&amp;K$1&amp;"P"&amp;$A5))/1000000,($A$4*$A$4*RTD("tos.rtd",,"OPEN_INT","."&amp;K$2&amp;K$1&amp;"C"&amp;$A5)*RTD("tos.rtd",,"GAMMA","."&amp;K$2&amp;K$1&amp;"C"&amp;$A5)-$A$4*$A$4*RTD("tos.rtd",,"OPEN_INT","."&amp;K$2&amp;K$1&amp;"P"&amp;$A5)*RTD("tos.rtd",,"GAMMA","."&amp;K$2&amp;K$1&amp;"P"&amp;$A5))/1000000),0),IF($A$2="SKEW",IFERROR(VALUE(IF(RTD("tos.rtd",,"IMPL_VOL","."&amp;K$2&amp;K$1&amp;"P"&amp;$A5)="N/A",0,RTD("tos.rtd",,"IMPL_VOL","."&amp;K$2&amp;K$1&amp;"P"&amp;$A5))),0)-IFERROR(VALUE(IF(RTD("tos.rtd",,"IMPL_VOL","."&amp;K$2&amp;K$1&amp;"C"&amp;$A5)="N/A",0,RTD("tos.rtd",,"IMPL_VOL","."&amp;K$2&amp;K$1&amp;"C"&amp;$A5))),0),IF($A$2="MAXPAIN",IF($A$4&gt;$A5,($A$4-$A5)*IF(RTD("tos.rtd",,"OPEN_INT","."&amp;K$2&amp;K$1&amp;"C"&amp;$A5)="N/A",0,RTD("tos.rtd",,"OPEN_INT","."&amp;K$2&amp;K$1&amp;"C"&amp;$A5)),0)+IF($A$4&lt;$A5,($A$5-$A$4)*IF(RTD("tos.rtd",,"OPEN_INT","."&amp;K$2&amp;K$1&amp;"P"&amp;$A5)="N/A",0,RTD("tos.rtd",,"OPEN_INT","."&amp;K$2&amp;K$1&amp;"P"&amp;$A5)),0),IF($X$1="ABS",IF(RTD("tos.rtd",,$A$2,"."&amp;K$2&amp;K$1&amp;"C"&amp;$A5)="N/A",0,RTD("tos.rtd",,$A$2,"."&amp;K$2&amp;K$1&amp;"C"&amp;$A5))+IF(RTD("tos.rtd",,$A$2,"."&amp;K$2&amp;K$1&amp;"P"&amp;$A5)="N/A",0,RTD("tos.rtd",,$A$2,"."&amp;K$2&amp;K$1&amp;"P"&amp;$A5)),IF(RTD("tos.rtd",,$A$2,"."&amp;K$2&amp;K$1&amp;"C"&amp;$A5)="N/A",0,RTD("tos.rtd",,$A$2,"."&amp;K$2&amp;K$1&amp;"C"&amp;$A5))-IF(RTD("tos.rtd",,$A$2,"."&amp;K$2&amp;K$1&amp;"P"&amp;$A5)="N/A",0,RTD("tos.rtd",,$A$2,"."&amp;K$2&amp;K$1&amp;"P"&amp;$A5))))))))))</f>
        <v>0</v>
      </c>
      <c r="L5" s="53">
        <f ca="1">IF($A$2="PREMIUM_OI",IFERROR(IF($X$1="ABS",(100*RTD("tos.rtd",,"OPEN_INT","."&amp;L$2&amp;L$1&amp;"C"&amp;$A5)*RTD("tos.rtd",,"LAST","."&amp;L$2&amp;L$1&amp;"C"&amp;$A5)+100*RTD("tos.rtd",,"OPEN_INT","."&amp;L$2&amp;L$1&amp;"P"&amp;$A5)*RTD("tos.rtd",,"LAST","."&amp;L$2&amp;L$1&amp;"P"&amp;$A5))/1000000,(100*RTD("tos.rtd",,"OPEN_INT","."&amp;L$2&amp;L$1&amp;"C"&amp;$A5)*RTD("tos.rtd",,"LAST","."&amp;L$2&amp;L$1&amp;"C"&amp;$A5)-100*RTD("tos.rtd",,"OPEN_INT","."&amp;L$2&amp;L$1&amp;"P"&amp;$A5)*RTD("tos.rtd",,"LAST","."&amp;L$2&amp;L$1&amp;"P"&amp;$A5))/1000000),0),IF($A$2="PREMIUM",IFERROR(IF($X$1="ABS",(100*RTD("tos.rtd",,"VOLUME","."&amp;L$2&amp;L$1&amp;"C"&amp;$A5)*RTD("tos.rtd",,"LAST","."&amp;L$2&amp;L$1&amp;"C"&amp;$A5)+100*RTD("tos.rtd",,"VOLUME","."&amp;L$2&amp;L$1&amp;"P"&amp;$A5)*RTD("tos.rtd",,"LAST","."&amp;L$2&amp;L$1&amp;"P"&amp;$A5))/1000000,(100*RTD("tos.rtd",,"VOLUME","."&amp;L$2&amp;L$1&amp;"C"&amp;$A5)*RTD("tos.rtd",,"LAST","."&amp;L$2&amp;L$1&amp;"C"&amp;$A5)-100*RTD("tos.rtd",,"VOLUME","."&amp;L$2&amp;L$1&amp;"P"&amp;$A5)*RTD("tos.rtd",,"LAST","."&amp;L$2&amp;L$1&amp;"P"&amp;$A5))/1000000),0),IF($A$2="DEX",IFERROR(IF($X$1="ABS",(100*RTD("tos.rtd",,"OPEN_INT","."&amp;L$2&amp;L$1&amp;"C"&amp;$A5)*RTD("tos.rtd",,"DELTA","."&amp;L$2&amp;L$1&amp;"C"&amp;$A5)+100*RTD("tos.rtd",,"OPEN_INT","."&amp;L$2&amp;L$1&amp;"P"&amp;$A5)*RTD("tos.rtd",,"DELTA","."&amp;L$2&amp;L$1&amp;"P"&amp;$A5))/1000,(100*RTD("tos.rtd",,"OPEN_INT","."&amp;L$2&amp;L$1&amp;"C"&amp;$A5)*RTD("tos.rtd",,"DELTA","."&amp;L$2&amp;L$1&amp;"C"&amp;$A5)-100*RTD("tos.rtd",,"OPEN_INT","."&amp;L$2&amp;L$1&amp;"P"&amp;$A5)*RTD("tos.rtd",,"DELTA","."&amp;L$2&amp;L$1&amp;"P"&amp;$A5))/1000),0),IF($A$2="VEX",IFERROR(IF($X$1="ABS",($A$4*$A$4*RTD("tos.rtd",,"VOLUME","."&amp;L$2&amp;L$1&amp;"C"&amp;$A5)*RTD("tos.rtd",,"GAMMA","."&amp;L$2&amp;L$1&amp;"C"&amp;$A5)+$A$4*$A$4*RTD("tos.rtd",,"VOLUME","."&amp;L$2&amp;L$1&amp;"P"&amp;$A5)*RTD("tos.rtd",,"GAMMA","."&amp;L$2&amp;L$1&amp;"P"&amp;$A5))/1000000,($A$4*$A$4*RTD("tos.rtd",,"VOLUME","."&amp;L$2&amp;L$1&amp;"C"&amp;$A5)*RTD("tos.rtd",,"GAMMA","."&amp;L$2&amp;L$1&amp;"C"&amp;$A5)-$A$4*$A$4*RTD("tos.rtd",,"VOLUME","."&amp;L$2&amp;L$1&amp;"P"&amp;$A5)*RTD("tos.rtd",,"GAMMA","."&amp;L$2&amp;L$1&amp;"P"&amp;$A5))/1000000),0),IF($A$2="GEX",IFERROR(IF($X$1="ABS",($A$4*$A$4*RTD("tos.rtd",,"OPEN_INT","."&amp;L$2&amp;L$1&amp;"C"&amp;$A5)*RTD("tos.rtd",,"GAMMA","."&amp;L$2&amp;L$1&amp;"C"&amp;$A5)+$A$4*$A$4*RTD("tos.rtd",,"OPEN_INT","."&amp;L$2&amp;L$1&amp;"P"&amp;$A5)*RTD("tos.rtd",,"GAMMA","."&amp;L$2&amp;L$1&amp;"P"&amp;$A5))/1000000,($A$4*$A$4*RTD("tos.rtd",,"OPEN_INT","."&amp;L$2&amp;L$1&amp;"C"&amp;$A5)*RTD("tos.rtd",,"GAMMA","."&amp;L$2&amp;L$1&amp;"C"&amp;$A5)-$A$4*$A$4*RTD("tos.rtd",,"OPEN_INT","."&amp;L$2&amp;L$1&amp;"P"&amp;$A5)*RTD("tos.rtd",,"GAMMA","."&amp;L$2&amp;L$1&amp;"P"&amp;$A5))/1000000),0),IF($A$2="SKEW",IFERROR(VALUE(IF(RTD("tos.rtd",,"IMPL_VOL","."&amp;L$2&amp;L$1&amp;"P"&amp;$A5)="N/A",0,RTD("tos.rtd",,"IMPL_VOL","."&amp;L$2&amp;L$1&amp;"P"&amp;$A5))),0)-IFERROR(VALUE(IF(RTD("tos.rtd",,"IMPL_VOL","."&amp;L$2&amp;L$1&amp;"C"&amp;$A5)="N/A",0,RTD("tos.rtd",,"IMPL_VOL","."&amp;L$2&amp;L$1&amp;"C"&amp;$A5))),0),IF($A$2="MAXPAIN",IF($A$4&gt;$A5,($A$4-$A5)*IF(RTD("tos.rtd",,"OPEN_INT","."&amp;L$2&amp;L$1&amp;"C"&amp;$A5)="N/A",0,RTD("tos.rtd",,"OPEN_INT","."&amp;L$2&amp;L$1&amp;"C"&amp;$A5)),0)+IF($A$4&lt;$A5,($A$5-$A$4)*IF(RTD("tos.rtd",,"OPEN_INT","."&amp;L$2&amp;L$1&amp;"P"&amp;$A5)="N/A",0,RTD("tos.rtd",,"OPEN_INT","."&amp;L$2&amp;L$1&amp;"P"&amp;$A5)),0),IF($X$1="ABS",IF(RTD("tos.rtd",,$A$2,"."&amp;L$2&amp;L$1&amp;"C"&amp;$A5)="N/A",0,RTD("tos.rtd",,$A$2,"."&amp;L$2&amp;L$1&amp;"C"&amp;$A5))+IF(RTD("tos.rtd",,$A$2,"."&amp;L$2&amp;L$1&amp;"P"&amp;$A5)="N/A",0,RTD("tos.rtd",,$A$2,"."&amp;L$2&amp;L$1&amp;"P"&amp;$A5)),IF(RTD("tos.rtd",,$A$2,"."&amp;L$2&amp;L$1&amp;"C"&amp;$A5)="N/A",0,RTD("tos.rtd",,$A$2,"."&amp;L$2&amp;L$1&amp;"C"&amp;$A5))-IF(RTD("tos.rtd",,$A$2,"."&amp;L$2&amp;L$1&amp;"P"&amp;$A5)="N/A",0,RTD("tos.rtd",,$A$2,"."&amp;L$2&amp;L$1&amp;"P"&amp;$A5))))))))))</f>
        <v>0</v>
      </c>
      <c r="M5" s="5">
        <f ca="1">IF($A$2="PREMIUM_OI",IFERROR(IF($X$1="ABS",(100*RTD("tos.rtd",,"OPEN_INT","."&amp;M$2&amp;M$1&amp;"C"&amp;$A5)*RTD("tos.rtd",,"LAST","."&amp;M$2&amp;M$1&amp;"C"&amp;$A5)+100*RTD("tos.rtd",,"OPEN_INT","."&amp;M$2&amp;M$1&amp;"P"&amp;$A5)*RTD("tos.rtd",,"LAST","."&amp;M$2&amp;M$1&amp;"P"&amp;$A5))/1000000,(100*RTD("tos.rtd",,"OPEN_INT","."&amp;M$2&amp;M$1&amp;"C"&amp;$A5)*RTD("tos.rtd",,"LAST","."&amp;M$2&amp;M$1&amp;"C"&amp;$A5)-100*RTD("tos.rtd",,"OPEN_INT","."&amp;M$2&amp;M$1&amp;"P"&amp;$A5)*RTD("tos.rtd",,"LAST","."&amp;M$2&amp;M$1&amp;"P"&amp;$A5))/1000000),0),IF($A$2="PREMIUM",IFERROR(IF($X$1="ABS",(100*RTD("tos.rtd",,"VOLUME","."&amp;M$2&amp;M$1&amp;"C"&amp;$A5)*RTD("tos.rtd",,"LAST","."&amp;M$2&amp;M$1&amp;"C"&amp;$A5)+100*RTD("tos.rtd",,"VOLUME","."&amp;M$2&amp;M$1&amp;"P"&amp;$A5)*RTD("tos.rtd",,"LAST","."&amp;M$2&amp;M$1&amp;"P"&amp;$A5))/1000000,(100*RTD("tos.rtd",,"VOLUME","."&amp;M$2&amp;M$1&amp;"C"&amp;$A5)*RTD("tos.rtd",,"LAST","."&amp;M$2&amp;M$1&amp;"C"&amp;$A5)-100*RTD("tos.rtd",,"VOLUME","."&amp;M$2&amp;M$1&amp;"P"&amp;$A5)*RTD("tos.rtd",,"LAST","."&amp;M$2&amp;M$1&amp;"P"&amp;$A5))/1000000),0),IF($A$2="DEX",IFERROR(IF($X$1="ABS",(100*RTD("tos.rtd",,"OPEN_INT","."&amp;M$2&amp;M$1&amp;"C"&amp;$A5)*RTD("tos.rtd",,"DELTA","."&amp;M$2&amp;M$1&amp;"C"&amp;$A5)+100*RTD("tos.rtd",,"OPEN_INT","."&amp;M$2&amp;M$1&amp;"P"&amp;$A5)*RTD("tos.rtd",,"DELTA","."&amp;M$2&amp;M$1&amp;"P"&amp;$A5))/1000,(100*RTD("tos.rtd",,"OPEN_INT","."&amp;M$2&amp;M$1&amp;"C"&amp;$A5)*RTD("tos.rtd",,"DELTA","."&amp;M$2&amp;M$1&amp;"C"&amp;$A5)-100*RTD("tos.rtd",,"OPEN_INT","."&amp;M$2&amp;M$1&amp;"P"&amp;$A5)*RTD("tos.rtd",,"DELTA","."&amp;M$2&amp;M$1&amp;"P"&amp;$A5))/1000),0),IF($A$2="VEX",IFERROR(IF($X$1="ABS",($A$4*$A$4*RTD("tos.rtd",,"VOLUME","."&amp;M$2&amp;M$1&amp;"C"&amp;$A5)*RTD("tos.rtd",,"GAMMA","."&amp;M$2&amp;M$1&amp;"C"&amp;$A5)+$A$4*$A$4*RTD("tos.rtd",,"VOLUME","."&amp;M$2&amp;M$1&amp;"P"&amp;$A5)*RTD("tos.rtd",,"GAMMA","."&amp;M$2&amp;M$1&amp;"P"&amp;$A5))/1000000,($A$4*$A$4*RTD("tos.rtd",,"VOLUME","."&amp;M$2&amp;M$1&amp;"C"&amp;$A5)*RTD("tos.rtd",,"GAMMA","."&amp;M$2&amp;M$1&amp;"C"&amp;$A5)-$A$4*$A$4*RTD("tos.rtd",,"VOLUME","."&amp;M$2&amp;M$1&amp;"P"&amp;$A5)*RTD("tos.rtd",,"GAMMA","."&amp;M$2&amp;M$1&amp;"P"&amp;$A5))/1000000),0),IF($A$2="GEX",IFERROR(IF($X$1="ABS",($A$4*$A$4*RTD("tos.rtd",,"OPEN_INT","."&amp;M$2&amp;M$1&amp;"C"&amp;$A5)*RTD("tos.rtd",,"GAMMA","."&amp;M$2&amp;M$1&amp;"C"&amp;$A5)+$A$4*$A$4*RTD("tos.rtd",,"OPEN_INT","."&amp;M$2&amp;M$1&amp;"P"&amp;$A5)*RTD("tos.rtd",,"GAMMA","."&amp;M$2&amp;M$1&amp;"P"&amp;$A5))/1000000,($A$4*$A$4*RTD("tos.rtd",,"OPEN_INT","."&amp;M$2&amp;M$1&amp;"C"&amp;$A5)*RTD("tos.rtd",,"GAMMA","."&amp;M$2&amp;M$1&amp;"C"&amp;$A5)-$A$4*$A$4*RTD("tos.rtd",,"OPEN_INT","."&amp;M$2&amp;M$1&amp;"P"&amp;$A5)*RTD("tos.rtd",,"GAMMA","."&amp;M$2&amp;M$1&amp;"P"&amp;$A5))/1000000),0),IF($A$2="SKEW",IFERROR(VALUE(IF(RTD("tos.rtd",,"IMPL_VOL","."&amp;M$2&amp;M$1&amp;"P"&amp;$A5)="N/A",0,RTD("tos.rtd",,"IMPL_VOL","."&amp;M$2&amp;M$1&amp;"P"&amp;$A5))),0)-IFERROR(VALUE(IF(RTD("tos.rtd",,"IMPL_VOL","."&amp;M$2&amp;M$1&amp;"C"&amp;$A5)="N/A",0,RTD("tos.rtd",,"IMPL_VOL","."&amp;M$2&amp;M$1&amp;"C"&amp;$A5))),0),IF($A$2="MAXPAIN",IF($A$4&gt;$A5,($A$4-$A5)*IF(RTD("tos.rtd",,"OPEN_INT","."&amp;M$2&amp;M$1&amp;"C"&amp;$A5)="N/A",0,RTD("tos.rtd",,"OPEN_INT","."&amp;M$2&amp;M$1&amp;"C"&amp;$A5)),0)+IF($A$4&lt;$A5,($A$5-$A$4)*IF(RTD("tos.rtd",,"OPEN_INT","."&amp;M$2&amp;M$1&amp;"P"&amp;$A5)="N/A",0,RTD("tos.rtd",,"OPEN_INT","."&amp;M$2&amp;M$1&amp;"P"&amp;$A5)),0),IF($X$1="ABS",IF(RTD("tos.rtd",,$A$2,"."&amp;M$2&amp;M$1&amp;"C"&amp;$A5)="N/A",0,RTD("tos.rtd",,$A$2,"."&amp;M$2&amp;M$1&amp;"C"&amp;$A5))+IF(RTD("tos.rtd",,$A$2,"."&amp;M$2&amp;M$1&amp;"P"&amp;$A5)="N/A",0,RTD("tos.rtd",,$A$2,"."&amp;M$2&amp;M$1&amp;"P"&amp;$A5)),IF(RTD("tos.rtd",,$A$2,"."&amp;M$2&amp;M$1&amp;"C"&amp;$A5)="N/A",0,RTD("tos.rtd",,$A$2,"."&amp;M$2&amp;M$1&amp;"C"&amp;$A5))-IF(RTD("tos.rtd",,$A$2,"."&amp;M$2&amp;M$1&amp;"P"&amp;$A5)="N/A",0,RTD("tos.rtd",,$A$2,"."&amp;M$2&amp;M$1&amp;"P"&amp;$A5))))))))))</f>
        <v>0</v>
      </c>
      <c r="N5" s="5">
        <f ca="1">IF($A$2="PREMIUM_OI",IFERROR(IF($X$1="ABS",(100*RTD("tos.rtd",,"OPEN_INT","."&amp;N$2&amp;N$1&amp;"C"&amp;$A5)*RTD("tos.rtd",,"LAST","."&amp;N$2&amp;N$1&amp;"C"&amp;$A5)+100*RTD("tos.rtd",,"OPEN_INT","."&amp;N$2&amp;N$1&amp;"P"&amp;$A5)*RTD("tos.rtd",,"LAST","."&amp;N$2&amp;N$1&amp;"P"&amp;$A5))/1000000,(100*RTD("tos.rtd",,"OPEN_INT","."&amp;N$2&amp;N$1&amp;"C"&amp;$A5)*RTD("tos.rtd",,"LAST","."&amp;N$2&amp;N$1&amp;"C"&amp;$A5)-100*RTD("tos.rtd",,"OPEN_INT","."&amp;N$2&amp;N$1&amp;"P"&amp;$A5)*RTD("tos.rtd",,"LAST","."&amp;N$2&amp;N$1&amp;"P"&amp;$A5))/1000000),0),IF($A$2="PREMIUM",IFERROR(IF($X$1="ABS",(100*RTD("tos.rtd",,"VOLUME","."&amp;N$2&amp;N$1&amp;"C"&amp;$A5)*RTD("tos.rtd",,"LAST","."&amp;N$2&amp;N$1&amp;"C"&amp;$A5)+100*RTD("tos.rtd",,"VOLUME","."&amp;N$2&amp;N$1&amp;"P"&amp;$A5)*RTD("tos.rtd",,"LAST","."&amp;N$2&amp;N$1&amp;"P"&amp;$A5))/1000000,(100*RTD("tos.rtd",,"VOLUME","."&amp;N$2&amp;N$1&amp;"C"&amp;$A5)*RTD("tos.rtd",,"LAST","."&amp;N$2&amp;N$1&amp;"C"&amp;$A5)-100*RTD("tos.rtd",,"VOLUME","."&amp;N$2&amp;N$1&amp;"P"&amp;$A5)*RTD("tos.rtd",,"LAST","."&amp;N$2&amp;N$1&amp;"P"&amp;$A5))/1000000),0),IF($A$2="DEX",IFERROR(IF($X$1="ABS",(100*RTD("tos.rtd",,"OPEN_INT","."&amp;N$2&amp;N$1&amp;"C"&amp;$A5)*RTD("tos.rtd",,"DELTA","."&amp;N$2&amp;N$1&amp;"C"&amp;$A5)+100*RTD("tos.rtd",,"OPEN_INT","."&amp;N$2&amp;N$1&amp;"P"&amp;$A5)*RTD("tos.rtd",,"DELTA","."&amp;N$2&amp;N$1&amp;"P"&amp;$A5))/1000,(100*RTD("tos.rtd",,"OPEN_INT","."&amp;N$2&amp;N$1&amp;"C"&amp;$A5)*RTD("tos.rtd",,"DELTA","."&amp;N$2&amp;N$1&amp;"C"&amp;$A5)-100*RTD("tos.rtd",,"OPEN_INT","."&amp;N$2&amp;N$1&amp;"P"&amp;$A5)*RTD("tos.rtd",,"DELTA","."&amp;N$2&amp;N$1&amp;"P"&amp;$A5))/1000),0),IF($A$2="VEX",IFERROR(IF($X$1="ABS",($A$4*$A$4*RTD("tos.rtd",,"VOLUME","."&amp;N$2&amp;N$1&amp;"C"&amp;$A5)*RTD("tos.rtd",,"GAMMA","."&amp;N$2&amp;N$1&amp;"C"&amp;$A5)+$A$4*$A$4*RTD("tos.rtd",,"VOLUME","."&amp;N$2&amp;N$1&amp;"P"&amp;$A5)*RTD("tos.rtd",,"GAMMA","."&amp;N$2&amp;N$1&amp;"P"&amp;$A5))/1000000,($A$4*$A$4*RTD("tos.rtd",,"VOLUME","."&amp;N$2&amp;N$1&amp;"C"&amp;$A5)*RTD("tos.rtd",,"GAMMA","."&amp;N$2&amp;N$1&amp;"C"&amp;$A5)-$A$4*$A$4*RTD("tos.rtd",,"VOLUME","."&amp;N$2&amp;N$1&amp;"P"&amp;$A5)*RTD("tos.rtd",,"GAMMA","."&amp;N$2&amp;N$1&amp;"P"&amp;$A5))/1000000),0),IF($A$2="GEX",IFERROR(IF($X$1="ABS",($A$4*$A$4*RTD("tos.rtd",,"OPEN_INT","."&amp;N$2&amp;N$1&amp;"C"&amp;$A5)*RTD("tos.rtd",,"GAMMA","."&amp;N$2&amp;N$1&amp;"C"&amp;$A5)+$A$4*$A$4*RTD("tos.rtd",,"OPEN_INT","."&amp;N$2&amp;N$1&amp;"P"&amp;$A5)*RTD("tos.rtd",,"GAMMA","."&amp;N$2&amp;N$1&amp;"P"&amp;$A5))/1000000,($A$4*$A$4*RTD("tos.rtd",,"OPEN_INT","."&amp;N$2&amp;N$1&amp;"C"&amp;$A5)*RTD("tos.rtd",,"GAMMA","."&amp;N$2&amp;N$1&amp;"C"&amp;$A5)-$A$4*$A$4*RTD("tos.rtd",,"OPEN_INT","."&amp;N$2&amp;N$1&amp;"P"&amp;$A5)*RTD("tos.rtd",,"GAMMA","."&amp;N$2&amp;N$1&amp;"P"&amp;$A5))/1000000),0),IF($A$2="SKEW",IFERROR(VALUE(IF(RTD("tos.rtd",,"IMPL_VOL","."&amp;N$2&amp;N$1&amp;"P"&amp;$A5)="N/A",0,RTD("tos.rtd",,"IMPL_VOL","."&amp;N$2&amp;N$1&amp;"P"&amp;$A5))),0)-IFERROR(VALUE(IF(RTD("tos.rtd",,"IMPL_VOL","."&amp;N$2&amp;N$1&amp;"C"&amp;$A5)="N/A",0,RTD("tos.rtd",,"IMPL_VOL","."&amp;N$2&amp;N$1&amp;"C"&amp;$A5))),0),IF($A$2="MAXPAIN",IF($A$4&gt;$A5,($A$4-$A5)*IF(RTD("tos.rtd",,"OPEN_INT","."&amp;N$2&amp;N$1&amp;"C"&amp;$A5)="N/A",0,RTD("tos.rtd",,"OPEN_INT","."&amp;N$2&amp;N$1&amp;"C"&amp;$A5)),0)+IF($A$4&lt;$A5,($A$5-$A$4)*IF(RTD("tos.rtd",,"OPEN_INT","."&amp;N$2&amp;N$1&amp;"P"&amp;$A5)="N/A",0,RTD("tos.rtd",,"OPEN_INT","."&amp;N$2&amp;N$1&amp;"P"&amp;$A5)),0),IF($X$1="ABS",IF(RTD("tos.rtd",,$A$2,"."&amp;N$2&amp;N$1&amp;"C"&amp;$A5)="N/A",0,RTD("tos.rtd",,$A$2,"."&amp;N$2&amp;N$1&amp;"C"&amp;$A5))+IF(RTD("tos.rtd",,$A$2,"."&amp;N$2&amp;N$1&amp;"P"&amp;$A5)="N/A",0,RTD("tos.rtd",,$A$2,"."&amp;N$2&amp;N$1&amp;"P"&amp;$A5)),IF(RTD("tos.rtd",,$A$2,"."&amp;N$2&amp;N$1&amp;"C"&amp;$A5)="N/A",0,RTD("tos.rtd",,$A$2,"."&amp;N$2&amp;N$1&amp;"C"&amp;$A5))-IF(RTD("tos.rtd",,$A$2,"."&amp;N$2&amp;N$1&amp;"P"&amp;$A5)="N/A",0,RTD("tos.rtd",,$A$2,"."&amp;N$2&amp;N$1&amp;"P"&amp;$A5))))))))))</f>
        <v>0</v>
      </c>
      <c r="O5" s="5">
        <f ca="1">IF($A$2="PREMIUM_OI",IFERROR(IF($X$1="ABS",(100*RTD("tos.rtd",,"OPEN_INT","."&amp;O$2&amp;O$1&amp;"C"&amp;$A5)*RTD("tos.rtd",,"LAST","."&amp;O$2&amp;O$1&amp;"C"&amp;$A5)+100*RTD("tos.rtd",,"OPEN_INT","."&amp;O$2&amp;O$1&amp;"P"&amp;$A5)*RTD("tos.rtd",,"LAST","."&amp;O$2&amp;O$1&amp;"P"&amp;$A5))/1000000,(100*RTD("tos.rtd",,"OPEN_INT","."&amp;O$2&amp;O$1&amp;"C"&amp;$A5)*RTD("tos.rtd",,"LAST","."&amp;O$2&amp;O$1&amp;"C"&amp;$A5)-100*RTD("tos.rtd",,"OPEN_INT","."&amp;O$2&amp;O$1&amp;"P"&amp;$A5)*RTD("tos.rtd",,"LAST","."&amp;O$2&amp;O$1&amp;"P"&amp;$A5))/1000000),0),IF($A$2="PREMIUM",IFERROR(IF($X$1="ABS",(100*RTD("tos.rtd",,"VOLUME","."&amp;O$2&amp;O$1&amp;"C"&amp;$A5)*RTD("tos.rtd",,"LAST","."&amp;O$2&amp;O$1&amp;"C"&amp;$A5)+100*RTD("tos.rtd",,"VOLUME","."&amp;O$2&amp;O$1&amp;"P"&amp;$A5)*RTD("tos.rtd",,"LAST","."&amp;O$2&amp;O$1&amp;"P"&amp;$A5))/1000000,(100*RTD("tos.rtd",,"VOLUME","."&amp;O$2&amp;O$1&amp;"C"&amp;$A5)*RTD("tos.rtd",,"LAST","."&amp;O$2&amp;O$1&amp;"C"&amp;$A5)-100*RTD("tos.rtd",,"VOLUME","."&amp;O$2&amp;O$1&amp;"P"&amp;$A5)*RTD("tos.rtd",,"LAST","."&amp;O$2&amp;O$1&amp;"P"&amp;$A5))/1000000),0),IF($A$2="DEX",IFERROR(IF($X$1="ABS",(100*RTD("tos.rtd",,"OPEN_INT","."&amp;O$2&amp;O$1&amp;"C"&amp;$A5)*RTD("tos.rtd",,"DELTA","."&amp;O$2&amp;O$1&amp;"C"&amp;$A5)+100*RTD("tos.rtd",,"OPEN_INT","."&amp;O$2&amp;O$1&amp;"P"&amp;$A5)*RTD("tos.rtd",,"DELTA","."&amp;O$2&amp;O$1&amp;"P"&amp;$A5))/1000,(100*RTD("tos.rtd",,"OPEN_INT","."&amp;O$2&amp;O$1&amp;"C"&amp;$A5)*RTD("tos.rtd",,"DELTA","."&amp;O$2&amp;O$1&amp;"C"&amp;$A5)-100*RTD("tos.rtd",,"OPEN_INT","."&amp;O$2&amp;O$1&amp;"P"&amp;$A5)*RTD("tos.rtd",,"DELTA","."&amp;O$2&amp;O$1&amp;"P"&amp;$A5))/1000),0),IF($A$2="VEX",IFERROR(IF($X$1="ABS",($A$4*$A$4*RTD("tos.rtd",,"VOLUME","."&amp;O$2&amp;O$1&amp;"C"&amp;$A5)*RTD("tos.rtd",,"GAMMA","."&amp;O$2&amp;O$1&amp;"C"&amp;$A5)+$A$4*$A$4*RTD("tos.rtd",,"VOLUME","."&amp;O$2&amp;O$1&amp;"P"&amp;$A5)*RTD("tos.rtd",,"GAMMA","."&amp;O$2&amp;O$1&amp;"P"&amp;$A5))/1000000,($A$4*$A$4*RTD("tos.rtd",,"VOLUME","."&amp;O$2&amp;O$1&amp;"C"&amp;$A5)*RTD("tos.rtd",,"GAMMA","."&amp;O$2&amp;O$1&amp;"C"&amp;$A5)-$A$4*$A$4*RTD("tos.rtd",,"VOLUME","."&amp;O$2&amp;O$1&amp;"P"&amp;$A5)*RTD("tos.rtd",,"GAMMA","."&amp;O$2&amp;O$1&amp;"P"&amp;$A5))/1000000),0),IF($A$2="GEX",IFERROR(IF($X$1="ABS",($A$4*$A$4*RTD("tos.rtd",,"OPEN_INT","."&amp;O$2&amp;O$1&amp;"C"&amp;$A5)*RTD("tos.rtd",,"GAMMA","."&amp;O$2&amp;O$1&amp;"C"&amp;$A5)+$A$4*$A$4*RTD("tos.rtd",,"OPEN_INT","."&amp;O$2&amp;O$1&amp;"P"&amp;$A5)*RTD("tos.rtd",,"GAMMA","."&amp;O$2&amp;O$1&amp;"P"&amp;$A5))/1000000,($A$4*$A$4*RTD("tos.rtd",,"OPEN_INT","."&amp;O$2&amp;O$1&amp;"C"&amp;$A5)*RTD("tos.rtd",,"GAMMA","."&amp;O$2&amp;O$1&amp;"C"&amp;$A5)-$A$4*$A$4*RTD("tos.rtd",,"OPEN_INT","."&amp;O$2&amp;O$1&amp;"P"&amp;$A5)*RTD("tos.rtd",,"GAMMA","."&amp;O$2&amp;O$1&amp;"P"&amp;$A5))/1000000),0),IF($A$2="SKEW",IFERROR(VALUE(IF(RTD("tos.rtd",,"IMPL_VOL","."&amp;O$2&amp;O$1&amp;"P"&amp;$A5)="N/A",0,RTD("tos.rtd",,"IMPL_VOL","."&amp;O$2&amp;O$1&amp;"P"&amp;$A5))),0)-IFERROR(VALUE(IF(RTD("tos.rtd",,"IMPL_VOL","."&amp;O$2&amp;O$1&amp;"C"&amp;$A5)="N/A",0,RTD("tos.rtd",,"IMPL_VOL","."&amp;O$2&amp;O$1&amp;"C"&amp;$A5))),0),IF($A$2="MAXPAIN",IF($A$4&gt;$A5,($A$4-$A5)*IF(RTD("tos.rtd",,"OPEN_INT","."&amp;O$2&amp;O$1&amp;"C"&amp;$A5)="N/A",0,RTD("tos.rtd",,"OPEN_INT","."&amp;O$2&amp;O$1&amp;"C"&amp;$A5)),0)+IF($A$4&lt;$A5,($A$5-$A$4)*IF(RTD("tos.rtd",,"OPEN_INT","."&amp;O$2&amp;O$1&amp;"P"&amp;$A5)="N/A",0,RTD("tos.rtd",,"OPEN_INT","."&amp;O$2&amp;O$1&amp;"P"&amp;$A5)),0),IF($X$1="ABS",IF(RTD("tos.rtd",,$A$2,"."&amp;O$2&amp;O$1&amp;"C"&amp;$A5)="N/A",0,RTD("tos.rtd",,$A$2,"."&amp;O$2&amp;O$1&amp;"C"&amp;$A5))+IF(RTD("tos.rtd",,$A$2,"."&amp;O$2&amp;O$1&amp;"P"&amp;$A5)="N/A",0,RTD("tos.rtd",,$A$2,"."&amp;O$2&amp;O$1&amp;"P"&amp;$A5)),IF(RTD("tos.rtd",,$A$2,"."&amp;O$2&amp;O$1&amp;"C"&amp;$A5)="N/A",0,RTD("tos.rtd",,$A$2,"."&amp;O$2&amp;O$1&amp;"C"&amp;$A5))-IF(RTD("tos.rtd",,$A$2,"."&amp;O$2&amp;O$1&amp;"P"&amp;$A5)="N/A",0,RTD("tos.rtd",,$A$2,"."&amp;O$2&amp;O$1&amp;"P"&amp;$A5))))))))))</f>
        <v>0</v>
      </c>
      <c r="P5" s="5">
        <f ca="1">IF($A$2="PREMIUM_OI",IFERROR(IF($X$1="ABS",(100*RTD("tos.rtd",,"OPEN_INT","."&amp;P$2&amp;P$1&amp;"C"&amp;$A5)*RTD("tos.rtd",,"LAST","."&amp;P$2&amp;P$1&amp;"C"&amp;$A5)+100*RTD("tos.rtd",,"OPEN_INT","."&amp;P$2&amp;P$1&amp;"P"&amp;$A5)*RTD("tos.rtd",,"LAST","."&amp;P$2&amp;P$1&amp;"P"&amp;$A5))/1000000,(100*RTD("tos.rtd",,"OPEN_INT","."&amp;P$2&amp;P$1&amp;"C"&amp;$A5)*RTD("tos.rtd",,"LAST","."&amp;P$2&amp;P$1&amp;"C"&amp;$A5)-100*RTD("tos.rtd",,"OPEN_INT","."&amp;P$2&amp;P$1&amp;"P"&amp;$A5)*RTD("tos.rtd",,"LAST","."&amp;P$2&amp;P$1&amp;"P"&amp;$A5))/1000000),0),IF($A$2="PREMIUM",IFERROR(IF($X$1="ABS",(100*RTD("tos.rtd",,"VOLUME","."&amp;P$2&amp;P$1&amp;"C"&amp;$A5)*RTD("tos.rtd",,"LAST","."&amp;P$2&amp;P$1&amp;"C"&amp;$A5)+100*RTD("tos.rtd",,"VOLUME","."&amp;P$2&amp;P$1&amp;"P"&amp;$A5)*RTD("tos.rtd",,"LAST","."&amp;P$2&amp;P$1&amp;"P"&amp;$A5))/1000000,(100*RTD("tos.rtd",,"VOLUME","."&amp;P$2&amp;P$1&amp;"C"&amp;$A5)*RTD("tos.rtd",,"LAST","."&amp;P$2&amp;P$1&amp;"C"&amp;$A5)-100*RTD("tos.rtd",,"VOLUME","."&amp;P$2&amp;P$1&amp;"P"&amp;$A5)*RTD("tos.rtd",,"LAST","."&amp;P$2&amp;P$1&amp;"P"&amp;$A5))/1000000),0),IF($A$2="DEX",IFERROR(IF($X$1="ABS",(100*RTD("tos.rtd",,"OPEN_INT","."&amp;P$2&amp;P$1&amp;"C"&amp;$A5)*RTD("tos.rtd",,"DELTA","."&amp;P$2&amp;P$1&amp;"C"&amp;$A5)+100*RTD("tos.rtd",,"OPEN_INT","."&amp;P$2&amp;P$1&amp;"P"&amp;$A5)*RTD("tos.rtd",,"DELTA","."&amp;P$2&amp;P$1&amp;"P"&amp;$A5))/1000,(100*RTD("tos.rtd",,"OPEN_INT","."&amp;P$2&amp;P$1&amp;"C"&amp;$A5)*RTD("tos.rtd",,"DELTA","."&amp;P$2&amp;P$1&amp;"C"&amp;$A5)-100*RTD("tos.rtd",,"OPEN_INT","."&amp;P$2&amp;P$1&amp;"P"&amp;$A5)*RTD("tos.rtd",,"DELTA","."&amp;P$2&amp;P$1&amp;"P"&amp;$A5))/1000),0),IF($A$2="VEX",IFERROR(IF($X$1="ABS",($A$4*$A$4*RTD("tos.rtd",,"VOLUME","."&amp;P$2&amp;P$1&amp;"C"&amp;$A5)*RTD("tos.rtd",,"GAMMA","."&amp;P$2&amp;P$1&amp;"C"&amp;$A5)+$A$4*$A$4*RTD("tos.rtd",,"VOLUME","."&amp;P$2&amp;P$1&amp;"P"&amp;$A5)*RTD("tos.rtd",,"GAMMA","."&amp;P$2&amp;P$1&amp;"P"&amp;$A5))/1000000,($A$4*$A$4*RTD("tos.rtd",,"VOLUME","."&amp;P$2&amp;P$1&amp;"C"&amp;$A5)*RTD("tos.rtd",,"GAMMA","."&amp;P$2&amp;P$1&amp;"C"&amp;$A5)-$A$4*$A$4*RTD("tos.rtd",,"VOLUME","."&amp;P$2&amp;P$1&amp;"P"&amp;$A5)*RTD("tos.rtd",,"GAMMA","."&amp;P$2&amp;P$1&amp;"P"&amp;$A5))/1000000),0),IF($A$2="GEX",IFERROR(IF($X$1="ABS",($A$4*$A$4*RTD("tos.rtd",,"OPEN_INT","."&amp;P$2&amp;P$1&amp;"C"&amp;$A5)*RTD("tos.rtd",,"GAMMA","."&amp;P$2&amp;P$1&amp;"C"&amp;$A5)+$A$4*$A$4*RTD("tos.rtd",,"OPEN_INT","."&amp;P$2&amp;P$1&amp;"P"&amp;$A5)*RTD("tos.rtd",,"GAMMA","."&amp;P$2&amp;P$1&amp;"P"&amp;$A5))/1000000,($A$4*$A$4*RTD("tos.rtd",,"OPEN_INT","."&amp;P$2&amp;P$1&amp;"C"&amp;$A5)*RTD("tos.rtd",,"GAMMA","."&amp;P$2&amp;P$1&amp;"C"&amp;$A5)-$A$4*$A$4*RTD("tos.rtd",,"OPEN_INT","."&amp;P$2&amp;P$1&amp;"P"&amp;$A5)*RTD("tos.rtd",,"GAMMA","."&amp;P$2&amp;P$1&amp;"P"&amp;$A5))/1000000),0),IF($A$2="SKEW",IFERROR(VALUE(IF(RTD("tos.rtd",,"IMPL_VOL","."&amp;P$2&amp;P$1&amp;"P"&amp;$A5)="N/A",0,RTD("tos.rtd",,"IMPL_VOL","."&amp;P$2&amp;P$1&amp;"P"&amp;$A5))),0)-IFERROR(VALUE(IF(RTD("tos.rtd",,"IMPL_VOL","."&amp;P$2&amp;P$1&amp;"C"&amp;$A5)="N/A",0,RTD("tos.rtd",,"IMPL_VOL","."&amp;P$2&amp;P$1&amp;"C"&amp;$A5))),0),IF($A$2="MAXPAIN",IF($A$4&gt;$A5,($A$4-$A5)*IF(RTD("tos.rtd",,"OPEN_INT","."&amp;P$2&amp;P$1&amp;"C"&amp;$A5)="N/A",0,RTD("tos.rtd",,"OPEN_INT","."&amp;P$2&amp;P$1&amp;"C"&amp;$A5)),0)+IF($A$4&lt;$A5,($A$5-$A$4)*IF(RTD("tos.rtd",,"OPEN_INT","."&amp;P$2&amp;P$1&amp;"P"&amp;$A5)="N/A",0,RTD("tos.rtd",,"OPEN_INT","."&amp;P$2&amp;P$1&amp;"P"&amp;$A5)),0),IF($X$1="ABS",IF(RTD("tos.rtd",,$A$2,"."&amp;P$2&amp;P$1&amp;"C"&amp;$A5)="N/A",0,RTD("tos.rtd",,$A$2,"."&amp;P$2&amp;P$1&amp;"C"&amp;$A5))+IF(RTD("tos.rtd",,$A$2,"."&amp;P$2&amp;P$1&amp;"P"&amp;$A5)="N/A",0,RTD("tos.rtd",,$A$2,"."&amp;P$2&amp;P$1&amp;"P"&amp;$A5)),IF(RTD("tos.rtd",,$A$2,"."&amp;P$2&amp;P$1&amp;"C"&amp;$A5)="N/A",0,RTD("tos.rtd",,$A$2,"."&amp;P$2&amp;P$1&amp;"C"&amp;$A5))-IF(RTD("tos.rtd",,$A$2,"."&amp;P$2&amp;P$1&amp;"P"&amp;$A5)="N/A",0,RTD("tos.rtd",,$A$2,"."&amp;P$2&amp;P$1&amp;"P"&amp;$A5))))))))))</f>
        <v>0</v>
      </c>
      <c r="Q5" s="5">
        <f ca="1">IF($A$2="PREMIUM_OI",IFERROR(IF($X$1="ABS",(100*RTD("tos.rtd",,"OPEN_INT","."&amp;Q$2&amp;Q$1&amp;"C"&amp;$A5)*RTD("tos.rtd",,"LAST","."&amp;Q$2&amp;Q$1&amp;"C"&amp;$A5)+100*RTD("tos.rtd",,"OPEN_INT","."&amp;Q$2&amp;Q$1&amp;"P"&amp;$A5)*RTD("tos.rtd",,"LAST","."&amp;Q$2&amp;Q$1&amp;"P"&amp;$A5))/1000000,(100*RTD("tos.rtd",,"OPEN_INT","."&amp;Q$2&amp;Q$1&amp;"C"&amp;$A5)*RTD("tos.rtd",,"LAST","."&amp;Q$2&amp;Q$1&amp;"C"&amp;$A5)-100*RTD("tos.rtd",,"OPEN_INT","."&amp;Q$2&amp;Q$1&amp;"P"&amp;$A5)*RTD("tos.rtd",,"LAST","."&amp;Q$2&amp;Q$1&amp;"P"&amp;$A5))/1000000),0),IF($A$2="PREMIUM",IFERROR(IF($X$1="ABS",(100*RTD("tos.rtd",,"VOLUME","."&amp;Q$2&amp;Q$1&amp;"C"&amp;$A5)*RTD("tos.rtd",,"LAST","."&amp;Q$2&amp;Q$1&amp;"C"&amp;$A5)+100*RTD("tos.rtd",,"VOLUME","."&amp;Q$2&amp;Q$1&amp;"P"&amp;$A5)*RTD("tos.rtd",,"LAST","."&amp;Q$2&amp;Q$1&amp;"P"&amp;$A5))/1000000,(100*RTD("tos.rtd",,"VOLUME","."&amp;Q$2&amp;Q$1&amp;"C"&amp;$A5)*RTD("tos.rtd",,"LAST","."&amp;Q$2&amp;Q$1&amp;"C"&amp;$A5)-100*RTD("tos.rtd",,"VOLUME","."&amp;Q$2&amp;Q$1&amp;"P"&amp;$A5)*RTD("tos.rtd",,"LAST","."&amp;Q$2&amp;Q$1&amp;"P"&amp;$A5))/1000000),0),IF($A$2="DEX",IFERROR(IF($X$1="ABS",(100*RTD("tos.rtd",,"OPEN_INT","."&amp;Q$2&amp;Q$1&amp;"C"&amp;$A5)*RTD("tos.rtd",,"DELTA","."&amp;Q$2&amp;Q$1&amp;"C"&amp;$A5)+100*RTD("tos.rtd",,"OPEN_INT","."&amp;Q$2&amp;Q$1&amp;"P"&amp;$A5)*RTD("tos.rtd",,"DELTA","."&amp;Q$2&amp;Q$1&amp;"P"&amp;$A5))/1000,(100*RTD("tos.rtd",,"OPEN_INT","."&amp;Q$2&amp;Q$1&amp;"C"&amp;$A5)*RTD("tos.rtd",,"DELTA","."&amp;Q$2&amp;Q$1&amp;"C"&amp;$A5)-100*RTD("tos.rtd",,"OPEN_INT","."&amp;Q$2&amp;Q$1&amp;"P"&amp;$A5)*RTD("tos.rtd",,"DELTA","."&amp;Q$2&amp;Q$1&amp;"P"&amp;$A5))/1000),0),IF($A$2="VEX",IFERROR(IF($X$1="ABS",($A$4*$A$4*RTD("tos.rtd",,"VOLUME","."&amp;Q$2&amp;Q$1&amp;"C"&amp;$A5)*RTD("tos.rtd",,"GAMMA","."&amp;Q$2&amp;Q$1&amp;"C"&amp;$A5)+$A$4*$A$4*RTD("tos.rtd",,"VOLUME","."&amp;Q$2&amp;Q$1&amp;"P"&amp;$A5)*RTD("tos.rtd",,"GAMMA","."&amp;Q$2&amp;Q$1&amp;"P"&amp;$A5))/1000000,($A$4*$A$4*RTD("tos.rtd",,"VOLUME","."&amp;Q$2&amp;Q$1&amp;"C"&amp;$A5)*RTD("tos.rtd",,"GAMMA","."&amp;Q$2&amp;Q$1&amp;"C"&amp;$A5)-$A$4*$A$4*RTD("tos.rtd",,"VOLUME","."&amp;Q$2&amp;Q$1&amp;"P"&amp;$A5)*RTD("tos.rtd",,"GAMMA","."&amp;Q$2&amp;Q$1&amp;"P"&amp;$A5))/1000000),0),IF($A$2="GEX",IFERROR(IF($X$1="ABS",($A$4*$A$4*RTD("tos.rtd",,"OPEN_INT","."&amp;Q$2&amp;Q$1&amp;"C"&amp;$A5)*RTD("tos.rtd",,"GAMMA","."&amp;Q$2&amp;Q$1&amp;"C"&amp;$A5)+$A$4*$A$4*RTD("tos.rtd",,"OPEN_INT","."&amp;Q$2&amp;Q$1&amp;"P"&amp;$A5)*RTD("tos.rtd",,"GAMMA","."&amp;Q$2&amp;Q$1&amp;"P"&amp;$A5))/1000000,($A$4*$A$4*RTD("tos.rtd",,"OPEN_INT","."&amp;Q$2&amp;Q$1&amp;"C"&amp;$A5)*RTD("tos.rtd",,"GAMMA","."&amp;Q$2&amp;Q$1&amp;"C"&amp;$A5)-$A$4*$A$4*RTD("tos.rtd",,"OPEN_INT","."&amp;Q$2&amp;Q$1&amp;"P"&amp;$A5)*RTD("tos.rtd",,"GAMMA","."&amp;Q$2&amp;Q$1&amp;"P"&amp;$A5))/1000000),0),IF($A$2="SKEW",IFERROR(VALUE(IF(RTD("tos.rtd",,"IMPL_VOL","."&amp;Q$2&amp;Q$1&amp;"P"&amp;$A5)="N/A",0,RTD("tos.rtd",,"IMPL_VOL","."&amp;Q$2&amp;Q$1&amp;"P"&amp;$A5))),0)-IFERROR(VALUE(IF(RTD("tos.rtd",,"IMPL_VOL","."&amp;Q$2&amp;Q$1&amp;"C"&amp;$A5)="N/A",0,RTD("tos.rtd",,"IMPL_VOL","."&amp;Q$2&amp;Q$1&amp;"C"&amp;$A5))),0),IF($A$2="MAXPAIN",IF($A$4&gt;$A5,($A$4-$A5)*IF(RTD("tos.rtd",,"OPEN_INT","."&amp;Q$2&amp;Q$1&amp;"C"&amp;$A5)="N/A",0,RTD("tos.rtd",,"OPEN_INT","."&amp;Q$2&amp;Q$1&amp;"C"&amp;$A5)),0)+IF($A$4&lt;$A5,($A$5-$A$4)*IF(RTD("tos.rtd",,"OPEN_INT","."&amp;Q$2&amp;Q$1&amp;"P"&amp;$A5)="N/A",0,RTD("tos.rtd",,"OPEN_INT","."&amp;Q$2&amp;Q$1&amp;"P"&amp;$A5)),0),IF($X$1="ABS",IF(RTD("tos.rtd",,$A$2,"."&amp;Q$2&amp;Q$1&amp;"C"&amp;$A5)="N/A",0,RTD("tos.rtd",,$A$2,"."&amp;Q$2&amp;Q$1&amp;"C"&amp;$A5))+IF(RTD("tos.rtd",,$A$2,"."&amp;Q$2&amp;Q$1&amp;"P"&amp;$A5)="N/A",0,RTD("tos.rtd",,$A$2,"."&amp;Q$2&amp;Q$1&amp;"P"&amp;$A5)),IF(RTD("tos.rtd",,$A$2,"."&amp;Q$2&amp;Q$1&amp;"C"&amp;$A5)="N/A",0,RTD("tos.rtd",,$A$2,"."&amp;Q$2&amp;Q$1&amp;"C"&amp;$A5))-IF(RTD("tos.rtd",,$A$2,"."&amp;Q$2&amp;Q$1&amp;"P"&amp;$A5)="N/A",0,RTD("tos.rtd",,$A$2,"."&amp;Q$2&amp;Q$1&amp;"P"&amp;$A5))))))))))</f>
        <v>0</v>
      </c>
      <c r="R5" s="5">
        <f ca="1">IF($A$2="PREMIUM_OI",IFERROR(IF($X$1="ABS",(100*RTD("tos.rtd",,"OPEN_INT","."&amp;R$2&amp;R$1&amp;"C"&amp;$A5)*RTD("tos.rtd",,"LAST","."&amp;R$2&amp;R$1&amp;"C"&amp;$A5)+100*RTD("tos.rtd",,"OPEN_INT","."&amp;R$2&amp;R$1&amp;"P"&amp;$A5)*RTD("tos.rtd",,"LAST","."&amp;R$2&amp;R$1&amp;"P"&amp;$A5))/1000000,(100*RTD("tos.rtd",,"OPEN_INT","."&amp;R$2&amp;R$1&amp;"C"&amp;$A5)*RTD("tos.rtd",,"LAST","."&amp;R$2&amp;R$1&amp;"C"&amp;$A5)-100*RTD("tos.rtd",,"OPEN_INT","."&amp;R$2&amp;R$1&amp;"P"&amp;$A5)*RTD("tos.rtd",,"LAST","."&amp;R$2&amp;R$1&amp;"P"&amp;$A5))/1000000),0),IF($A$2="PREMIUM",IFERROR(IF($X$1="ABS",(100*RTD("tos.rtd",,"VOLUME","."&amp;R$2&amp;R$1&amp;"C"&amp;$A5)*RTD("tos.rtd",,"LAST","."&amp;R$2&amp;R$1&amp;"C"&amp;$A5)+100*RTD("tos.rtd",,"VOLUME","."&amp;R$2&amp;R$1&amp;"P"&amp;$A5)*RTD("tos.rtd",,"LAST","."&amp;R$2&amp;R$1&amp;"P"&amp;$A5))/1000000,(100*RTD("tos.rtd",,"VOLUME","."&amp;R$2&amp;R$1&amp;"C"&amp;$A5)*RTD("tos.rtd",,"LAST","."&amp;R$2&amp;R$1&amp;"C"&amp;$A5)-100*RTD("tos.rtd",,"VOLUME","."&amp;R$2&amp;R$1&amp;"P"&amp;$A5)*RTD("tos.rtd",,"LAST","."&amp;R$2&amp;R$1&amp;"P"&amp;$A5))/1000000),0),IF($A$2="DEX",IFERROR(IF($X$1="ABS",(100*RTD("tos.rtd",,"OPEN_INT","."&amp;R$2&amp;R$1&amp;"C"&amp;$A5)*RTD("tos.rtd",,"DELTA","."&amp;R$2&amp;R$1&amp;"C"&amp;$A5)+100*RTD("tos.rtd",,"OPEN_INT","."&amp;R$2&amp;R$1&amp;"P"&amp;$A5)*RTD("tos.rtd",,"DELTA","."&amp;R$2&amp;R$1&amp;"P"&amp;$A5))/1000,(100*RTD("tos.rtd",,"OPEN_INT","."&amp;R$2&amp;R$1&amp;"C"&amp;$A5)*RTD("tos.rtd",,"DELTA","."&amp;R$2&amp;R$1&amp;"C"&amp;$A5)-100*RTD("tos.rtd",,"OPEN_INT","."&amp;R$2&amp;R$1&amp;"P"&amp;$A5)*RTD("tos.rtd",,"DELTA","."&amp;R$2&amp;R$1&amp;"P"&amp;$A5))/1000),0),IF($A$2="VEX",IFERROR(IF($X$1="ABS",($A$4*$A$4*RTD("tos.rtd",,"VOLUME","."&amp;R$2&amp;R$1&amp;"C"&amp;$A5)*RTD("tos.rtd",,"GAMMA","."&amp;R$2&amp;R$1&amp;"C"&amp;$A5)+$A$4*$A$4*RTD("tos.rtd",,"VOLUME","."&amp;R$2&amp;R$1&amp;"P"&amp;$A5)*RTD("tos.rtd",,"GAMMA","."&amp;R$2&amp;R$1&amp;"P"&amp;$A5))/1000000,($A$4*$A$4*RTD("tos.rtd",,"VOLUME","."&amp;R$2&amp;R$1&amp;"C"&amp;$A5)*RTD("tos.rtd",,"GAMMA","."&amp;R$2&amp;R$1&amp;"C"&amp;$A5)-$A$4*$A$4*RTD("tos.rtd",,"VOLUME","."&amp;R$2&amp;R$1&amp;"P"&amp;$A5)*RTD("tos.rtd",,"GAMMA","."&amp;R$2&amp;R$1&amp;"P"&amp;$A5))/1000000),0),IF($A$2="GEX",IFERROR(IF($X$1="ABS",($A$4*$A$4*RTD("tos.rtd",,"OPEN_INT","."&amp;R$2&amp;R$1&amp;"C"&amp;$A5)*RTD("tos.rtd",,"GAMMA","."&amp;R$2&amp;R$1&amp;"C"&amp;$A5)+$A$4*$A$4*RTD("tos.rtd",,"OPEN_INT","."&amp;R$2&amp;R$1&amp;"P"&amp;$A5)*RTD("tos.rtd",,"GAMMA","."&amp;R$2&amp;R$1&amp;"P"&amp;$A5))/1000000,($A$4*$A$4*RTD("tos.rtd",,"OPEN_INT","."&amp;R$2&amp;R$1&amp;"C"&amp;$A5)*RTD("tos.rtd",,"GAMMA","."&amp;R$2&amp;R$1&amp;"C"&amp;$A5)-$A$4*$A$4*RTD("tos.rtd",,"OPEN_INT","."&amp;R$2&amp;R$1&amp;"P"&amp;$A5)*RTD("tos.rtd",,"GAMMA","."&amp;R$2&amp;R$1&amp;"P"&amp;$A5))/1000000),0),IF($A$2="SKEW",IFERROR(VALUE(IF(RTD("tos.rtd",,"IMPL_VOL","."&amp;R$2&amp;R$1&amp;"P"&amp;$A5)="N/A",0,RTD("tos.rtd",,"IMPL_VOL","."&amp;R$2&amp;R$1&amp;"P"&amp;$A5))),0)-IFERROR(VALUE(IF(RTD("tos.rtd",,"IMPL_VOL","."&amp;R$2&amp;R$1&amp;"C"&amp;$A5)="N/A",0,RTD("tos.rtd",,"IMPL_VOL","."&amp;R$2&amp;R$1&amp;"C"&amp;$A5))),0),IF($A$2="MAXPAIN",IF($A$4&gt;$A5,($A$4-$A5)*IF(RTD("tos.rtd",,"OPEN_INT","."&amp;R$2&amp;R$1&amp;"C"&amp;$A5)="N/A",0,RTD("tos.rtd",,"OPEN_INT","."&amp;R$2&amp;R$1&amp;"C"&amp;$A5)),0)+IF($A$4&lt;$A5,($A$5-$A$4)*IF(RTD("tos.rtd",,"OPEN_INT","."&amp;R$2&amp;R$1&amp;"P"&amp;$A5)="N/A",0,RTD("tos.rtd",,"OPEN_INT","."&amp;R$2&amp;R$1&amp;"P"&amp;$A5)),0),IF($X$1="ABS",IF(RTD("tos.rtd",,$A$2,"."&amp;R$2&amp;R$1&amp;"C"&amp;$A5)="N/A",0,RTD("tos.rtd",,$A$2,"."&amp;R$2&amp;R$1&amp;"C"&amp;$A5))+IF(RTD("tos.rtd",,$A$2,"."&amp;R$2&amp;R$1&amp;"P"&amp;$A5)="N/A",0,RTD("tos.rtd",,$A$2,"."&amp;R$2&amp;R$1&amp;"P"&amp;$A5)),IF(RTD("tos.rtd",,$A$2,"."&amp;R$2&amp;R$1&amp;"C"&amp;$A5)="N/A",0,RTD("tos.rtd",,$A$2,"."&amp;R$2&amp;R$1&amp;"C"&amp;$A5))-IF(RTD("tos.rtd",,$A$2,"."&amp;R$2&amp;R$1&amp;"P"&amp;$A5)="N/A",0,RTD("tos.rtd",,$A$2,"."&amp;R$2&amp;R$1&amp;"P"&amp;$A5))))))))))</f>
        <v>0</v>
      </c>
      <c r="S5" s="5">
        <f ca="1">IF($A$2="PREMIUM_OI",IFERROR(IF($X$1="ABS",(100*RTD("tos.rtd",,"OPEN_INT","."&amp;S$2&amp;S$1&amp;"C"&amp;$A5)*RTD("tos.rtd",,"LAST","."&amp;S$2&amp;S$1&amp;"C"&amp;$A5)+100*RTD("tos.rtd",,"OPEN_INT","."&amp;S$2&amp;S$1&amp;"P"&amp;$A5)*RTD("tos.rtd",,"LAST","."&amp;S$2&amp;S$1&amp;"P"&amp;$A5))/1000000,(100*RTD("tos.rtd",,"OPEN_INT","."&amp;S$2&amp;S$1&amp;"C"&amp;$A5)*RTD("tos.rtd",,"LAST","."&amp;S$2&amp;S$1&amp;"C"&amp;$A5)-100*RTD("tos.rtd",,"OPEN_INT","."&amp;S$2&amp;S$1&amp;"P"&amp;$A5)*RTD("tos.rtd",,"LAST","."&amp;S$2&amp;S$1&amp;"P"&amp;$A5))/1000000),0),IF($A$2="PREMIUM",IFERROR(IF($X$1="ABS",(100*RTD("tos.rtd",,"VOLUME","."&amp;S$2&amp;S$1&amp;"C"&amp;$A5)*RTD("tos.rtd",,"LAST","."&amp;S$2&amp;S$1&amp;"C"&amp;$A5)+100*RTD("tos.rtd",,"VOLUME","."&amp;S$2&amp;S$1&amp;"P"&amp;$A5)*RTD("tos.rtd",,"LAST","."&amp;S$2&amp;S$1&amp;"P"&amp;$A5))/1000000,(100*RTD("tos.rtd",,"VOLUME","."&amp;S$2&amp;S$1&amp;"C"&amp;$A5)*RTD("tos.rtd",,"LAST","."&amp;S$2&amp;S$1&amp;"C"&amp;$A5)-100*RTD("tos.rtd",,"VOLUME","."&amp;S$2&amp;S$1&amp;"P"&amp;$A5)*RTD("tos.rtd",,"LAST","."&amp;S$2&amp;S$1&amp;"P"&amp;$A5))/1000000),0),IF($A$2="DEX",IFERROR(IF($X$1="ABS",(100*RTD("tos.rtd",,"OPEN_INT","."&amp;S$2&amp;S$1&amp;"C"&amp;$A5)*RTD("tos.rtd",,"DELTA","."&amp;S$2&amp;S$1&amp;"C"&amp;$A5)+100*RTD("tos.rtd",,"OPEN_INT","."&amp;S$2&amp;S$1&amp;"P"&amp;$A5)*RTD("tos.rtd",,"DELTA","."&amp;S$2&amp;S$1&amp;"P"&amp;$A5))/1000,(100*RTD("tos.rtd",,"OPEN_INT","."&amp;S$2&amp;S$1&amp;"C"&amp;$A5)*RTD("tos.rtd",,"DELTA","."&amp;S$2&amp;S$1&amp;"C"&amp;$A5)-100*RTD("tos.rtd",,"OPEN_INT","."&amp;S$2&amp;S$1&amp;"P"&amp;$A5)*RTD("tos.rtd",,"DELTA","."&amp;S$2&amp;S$1&amp;"P"&amp;$A5))/1000),0),IF($A$2="VEX",IFERROR(IF($X$1="ABS",($A$4*$A$4*RTD("tos.rtd",,"VOLUME","."&amp;S$2&amp;S$1&amp;"C"&amp;$A5)*RTD("tos.rtd",,"GAMMA","."&amp;S$2&amp;S$1&amp;"C"&amp;$A5)+$A$4*$A$4*RTD("tos.rtd",,"VOLUME","."&amp;S$2&amp;S$1&amp;"P"&amp;$A5)*RTD("tos.rtd",,"GAMMA","."&amp;S$2&amp;S$1&amp;"P"&amp;$A5))/1000000,($A$4*$A$4*RTD("tos.rtd",,"VOLUME","."&amp;S$2&amp;S$1&amp;"C"&amp;$A5)*RTD("tos.rtd",,"GAMMA","."&amp;S$2&amp;S$1&amp;"C"&amp;$A5)-$A$4*$A$4*RTD("tos.rtd",,"VOLUME","."&amp;S$2&amp;S$1&amp;"P"&amp;$A5)*RTD("tos.rtd",,"GAMMA","."&amp;S$2&amp;S$1&amp;"P"&amp;$A5))/1000000),0),IF($A$2="GEX",IFERROR(IF($X$1="ABS",($A$4*$A$4*RTD("tos.rtd",,"OPEN_INT","."&amp;S$2&amp;S$1&amp;"C"&amp;$A5)*RTD("tos.rtd",,"GAMMA","."&amp;S$2&amp;S$1&amp;"C"&amp;$A5)+$A$4*$A$4*RTD("tos.rtd",,"OPEN_INT","."&amp;S$2&amp;S$1&amp;"P"&amp;$A5)*RTD("tos.rtd",,"GAMMA","."&amp;S$2&amp;S$1&amp;"P"&amp;$A5))/1000000,($A$4*$A$4*RTD("tos.rtd",,"OPEN_INT","."&amp;S$2&amp;S$1&amp;"C"&amp;$A5)*RTD("tos.rtd",,"GAMMA","."&amp;S$2&amp;S$1&amp;"C"&amp;$A5)-$A$4*$A$4*RTD("tos.rtd",,"OPEN_INT","."&amp;S$2&amp;S$1&amp;"P"&amp;$A5)*RTD("tos.rtd",,"GAMMA","."&amp;S$2&amp;S$1&amp;"P"&amp;$A5))/1000000),0),IF($A$2="SKEW",IFERROR(VALUE(IF(RTD("tos.rtd",,"IMPL_VOL","."&amp;S$2&amp;S$1&amp;"P"&amp;$A5)="N/A",0,RTD("tos.rtd",,"IMPL_VOL","."&amp;S$2&amp;S$1&amp;"P"&amp;$A5))),0)-IFERROR(VALUE(IF(RTD("tos.rtd",,"IMPL_VOL","."&amp;S$2&amp;S$1&amp;"C"&amp;$A5)="N/A",0,RTD("tos.rtd",,"IMPL_VOL","."&amp;S$2&amp;S$1&amp;"C"&amp;$A5))),0),IF($A$2="MAXPAIN",IF($A$4&gt;$A5,($A$4-$A5)*IF(RTD("tos.rtd",,"OPEN_INT","."&amp;S$2&amp;S$1&amp;"C"&amp;$A5)="N/A",0,RTD("tos.rtd",,"OPEN_INT","."&amp;S$2&amp;S$1&amp;"C"&amp;$A5)),0)+IF($A$4&lt;$A5,($A$5-$A$4)*IF(RTD("tos.rtd",,"OPEN_INT","."&amp;S$2&amp;S$1&amp;"P"&amp;$A5)="N/A",0,RTD("tos.rtd",,"OPEN_INT","."&amp;S$2&amp;S$1&amp;"P"&amp;$A5)),0),IF($X$1="ABS",IF(RTD("tos.rtd",,$A$2,"."&amp;S$2&amp;S$1&amp;"C"&amp;$A5)="N/A",0,RTD("tos.rtd",,$A$2,"."&amp;S$2&amp;S$1&amp;"C"&amp;$A5))+IF(RTD("tos.rtd",,$A$2,"."&amp;S$2&amp;S$1&amp;"P"&amp;$A5)="N/A",0,RTD("tos.rtd",,$A$2,"."&amp;S$2&amp;S$1&amp;"P"&amp;$A5)),IF(RTD("tos.rtd",,$A$2,"."&amp;S$2&amp;S$1&amp;"C"&amp;$A5)="N/A",0,RTD("tos.rtd",,$A$2,"."&amp;S$2&amp;S$1&amp;"C"&amp;$A5))-IF(RTD("tos.rtd",,$A$2,"."&amp;S$2&amp;S$1&amp;"P"&amp;$A5)="N/A",0,RTD("tos.rtd",,$A$2,"."&amp;S$2&amp;S$1&amp;"P"&amp;$A5))))))))))</f>
        <v>0</v>
      </c>
      <c r="T5" s="5">
        <f ca="1">IF($A$2="PREMIUM_OI",IFERROR(IF($X$1="ABS",(100*RTD("tos.rtd",,"OPEN_INT","."&amp;T$2&amp;T$1&amp;"C"&amp;$A5)*RTD("tos.rtd",,"LAST","."&amp;T$2&amp;T$1&amp;"C"&amp;$A5)+100*RTD("tos.rtd",,"OPEN_INT","."&amp;T$2&amp;T$1&amp;"P"&amp;$A5)*RTD("tos.rtd",,"LAST","."&amp;T$2&amp;T$1&amp;"P"&amp;$A5))/1000000,(100*RTD("tos.rtd",,"OPEN_INT","."&amp;T$2&amp;T$1&amp;"C"&amp;$A5)*RTD("tos.rtd",,"LAST","."&amp;T$2&amp;T$1&amp;"C"&amp;$A5)-100*RTD("tos.rtd",,"OPEN_INT","."&amp;T$2&amp;T$1&amp;"P"&amp;$A5)*RTD("tos.rtd",,"LAST","."&amp;T$2&amp;T$1&amp;"P"&amp;$A5))/1000000),0),IF($A$2="PREMIUM",IFERROR(IF($X$1="ABS",(100*RTD("tos.rtd",,"VOLUME","."&amp;T$2&amp;T$1&amp;"C"&amp;$A5)*RTD("tos.rtd",,"LAST","."&amp;T$2&amp;T$1&amp;"C"&amp;$A5)+100*RTD("tos.rtd",,"VOLUME","."&amp;T$2&amp;T$1&amp;"P"&amp;$A5)*RTD("tos.rtd",,"LAST","."&amp;T$2&amp;T$1&amp;"P"&amp;$A5))/1000000,(100*RTD("tos.rtd",,"VOLUME","."&amp;T$2&amp;T$1&amp;"C"&amp;$A5)*RTD("tos.rtd",,"LAST","."&amp;T$2&amp;T$1&amp;"C"&amp;$A5)-100*RTD("tos.rtd",,"VOLUME","."&amp;T$2&amp;T$1&amp;"P"&amp;$A5)*RTD("tos.rtd",,"LAST","."&amp;T$2&amp;T$1&amp;"P"&amp;$A5))/1000000),0),IF($A$2="DEX",IFERROR(IF($X$1="ABS",(100*RTD("tos.rtd",,"OPEN_INT","."&amp;T$2&amp;T$1&amp;"C"&amp;$A5)*RTD("tos.rtd",,"DELTA","."&amp;T$2&amp;T$1&amp;"C"&amp;$A5)+100*RTD("tos.rtd",,"OPEN_INT","."&amp;T$2&amp;T$1&amp;"P"&amp;$A5)*RTD("tos.rtd",,"DELTA","."&amp;T$2&amp;T$1&amp;"P"&amp;$A5))/1000,(100*RTD("tos.rtd",,"OPEN_INT","."&amp;T$2&amp;T$1&amp;"C"&amp;$A5)*RTD("tos.rtd",,"DELTA","."&amp;T$2&amp;T$1&amp;"C"&amp;$A5)-100*RTD("tos.rtd",,"OPEN_INT","."&amp;T$2&amp;T$1&amp;"P"&amp;$A5)*RTD("tos.rtd",,"DELTA","."&amp;T$2&amp;T$1&amp;"P"&amp;$A5))/1000),0),IF($A$2="VEX",IFERROR(IF($X$1="ABS",($A$4*$A$4*RTD("tos.rtd",,"VOLUME","."&amp;T$2&amp;T$1&amp;"C"&amp;$A5)*RTD("tos.rtd",,"GAMMA","."&amp;T$2&amp;T$1&amp;"C"&amp;$A5)+$A$4*$A$4*RTD("tos.rtd",,"VOLUME","."&amp;T$2&amp;T$1&amp;"P"&amp;$A5)*RTD("tos.rtd",,"GAMMA","."&amp;T$2&amp;T$1&amp;"P"&amp;$A5))/1000000,($A$4*$A$4*RTD("tos.rtd",,"VOLUME","."&amp;T$2&amp;T$1&amp;"C"&amp;$A5)*RTD("tos.rtd",,"GAMMA","."&amp;T$2&amp;T$1&amp;"C"&amp;$A5)-$A$4*$A$4*RTD("tos.rtd",,"VOLUME","."&amp;T$2&amp;T$1&amp;"P"&amp;$A5)*RTD("tos.rtd",,"GAMMA","."&amp;T$2&amp;T$1&amp;"P"&amp;$A5))/1000000),0),IF($A$2="GEX",IFERROR(IF($X$1="ABS",($A$4*$A$4*RTD("tos.rtd",,"OPEN_INT","."&amp;T$2&amp;T$1&amp;"C"&amp;$A5)*RTD("tos.rtd",,"GAMMA","."&amp;T$2&amp;T$1&amp;"C"&amp;$A5)+$A$4*$A$4*RTD("tos.rtd",,"OPEN_INT","."&amp;T$2&amp;T$1&amp;"P"&amp;$A5)*RTD("tos.rtd",,"GAMMA","."&amp;T$2&amp;T$1&amp;"P"&amp;$A5))/1000000,($A$4*$A$4*RTD("tos.rtd",,"OPEN_INT","."&amp;T$2&amp;T$1&amp;"C"&amp;$A5)*RTD("tos.rtd",,"GAMMA","."&amp;T$2&amp;T$1&amp;"C"&amp;$A5)-$A$4*$A$4*RTD("tos.rtd",,"OPEN_INT","."&amp;T$2&amp;T$1&amp;"P"&amp;$A5)*RTD("tos.rtd",,"GAMMA","."&amp;T$2&amp;T$1&amp;"P"&amp;$A5))/1000000),0),IF($A$2="SKEW",IFERROR(VALUE(IF(RTD("tos.rtd",,"IMPL_VOL","."&amp;T$2&amp;T$1&amp;"P"&amp;$A5)="N/A",0,RTD("tos.rtd",,"IMPL_VOL","."&amp;T$2&amp;T$1&amp;"P"&amp;$A5))),0)-IFERROR(VALUE(IF(RTD("tos.rtd",,"IMPL_VOL","."&amp;T$2&amp;T$1&amp;"C"&amp;$A5)="N/A",0,RTD("tos.rtd",,"IMPL_VOL","."&amp;T$2&amp;T$1&amp;"C"&amp;$A5))),0),IF($A$2="MAXPAIN",IF($A$4&gt;$A5,($A$4-$A5)*IF(RTD("tos.rtd",,"OPEN_INT","."&amp;T$2&amp;T$1&amp;"C"&amp;$A5)="N/A",0,RTD("tos.rtd",,"OPEN_INT","."&amp;T$2&amp;T$1&amp;"C"&amp;$A5)),0)+IF($A$4&lt;$A5,($A$5-$A$4)*IF(RTD("tos.rtd",,"OPEN_INT","."&amp;T$2&amp;T$1&amp;"P"&amp;$A5)="N/A",0,RTD("tos.rtd",,"OPEN_INT","."&amp;T$2&amp;T$1&amp;"P"&amp;$A5)),0),IF($X$1="ABS",IF(RTD("tos.rtd",,$A$2,"."&amp;T$2&amp;T$1&amp;"C"&amp;$A5)="N/A",0,RTD("tos.rtd",,$A$2,"."&amp;T$2&amp;T$1&amp;"C"&amp;$A5))+IF(RTD("tos.rtd",,$A$2,"."&amp;T$2&amp;T$1&amp;"P"&amp;$A5)="N/A",0,RTD("tos.rtd",,$A$2,"."&amp;T$2&amp;T$1&amp;"P"&amp;$A5)),IF(RTD("tos.rtd",,$A$2,"."&amp;T$2&amp;T$1&amp;"C"&amp;$A5)="N/A",0,RTD("tos.rtd",,$A$2,"."&amp;T$2&amp;T$1&amp;"C"&amp;$A5))-IF(RTD("tos.rtd",,$A$2,"."&amp;T$2&amp;T$1&amp;"P"&amp;$A5)="N/A",0,RTD("tos.rtd",,$A$2,"."&amp;T$2&amp;T$1&amp;"P"&amp;$A5))))))))))</f>
        <v>0</v>
      </c>
      <c r="U5" s="5">
        <f ca="1">IF($A$2="PREMIUM_OI",IFERROR(IF($X$1="ABS",(100*RTD("tos.rtd",,"OPEN_INT","."&amp;U$2&amp;U$1&amp;"C"&amp;$A5)*RTD("tos.rtd",,"LAST","."&amp;U$2&amp;U$1&amp;"C"&amp;$A5)+100*RTD("tos.rtd",,"OPEN_INT","."&amp;U$2&amp;U$1&amp;"P"&amp;$A5)*RTD("tos.rtd",,"LAST","."&amp;U$2&amp;U$1&amp;"P"&amp;$A5))/1000000,(100*RTD("tos.rtd",,"OPEN_INT","."&amp;U$2&amp;U$1&amp;"C"&amp;$A5)*RTD("tos.rtd",,"LAST","."&amp;U$2&amp;U$1&amp;"C"&amp;$A5)-100*RTD("tos.rtd",,"OPEN_INT","."&amp;U$2&amp;U$1&amp;"P"&amp;$A5)*RTD("tos.rtd",,"LAST","."&amp;U$2&amp;U$1&amp;"P"&amp;$A5))/1000000),0),IF($A$2="PREMIUM",IFERROR(IF($X$1="ABS",(100*RTD("tos.rtd",,"VOLUME","."&amp;U$2&amp;U$1&amp;"C"&amp;$A5)*RTD("tos.rtd",,"LAST","."&amp;U$2&amp;U$1&amp;"C"&amp;$A5)+100*RTD("tos.rtd",,"VOLUME","."&amp;U$2&amp;U$1&amp;"P"&amp;$A5)*RTD("tos.rtd",,"LAST","."&amp;U$2&amp;U$1&amp;"P"&amp;$A5))/1000000,(100*RTD("tos.rtd",,"VOLUME","."&amp;U$2&amp;U$1&amp;"C"&amp;$A5)*RTD("tos.rtd",,"LAST","."&amp;U$2&amp;U$1&amp;"C"&amp;$A5)-100*RTD("tos.rtd",,"VOLUME","."&amp;U$2&amp;U$1&amp;"P"&amp;$A5)*RTD("tos.rtd",,"LAST","."&amp;U$2&amp;U$1&amp;"P"&amp;$A5))/1000000),0),IF($A$2="DEX",IFERROR(IF($X$1="ABS",(100*RTD("tos.rtd",,"OPEN_INT","."&amp;U$2&amp;U$1&amp;"C"&amp;$A5)*RTD("tos.rtd",,"DELTA","."&amp;U$2&amp;U$1&amp;"C"&amp;$A5)+100*RTD("tos.rtd",,"OPEN_INT","."&amp;U$2&amp;U$1&amp;"P"&amp;$A5)*RTD("tos.rtd",,"DELTA","."&amp;U$2&amp;U$1&amp;"P"&amp;$A5))/1000,(100*RTD("tos.rtd",,"OPEN_INT","."&amp;U$2&amp;U$1&amp;"C"&amp;$A5)*RTD("tos.rtd",,"DELTA","."&amp;U$2&amp;U$1&amp;"C"&amp;$A5)-100*RTD("tos.rtd",,"OPEN_INT","."&amp;U$2&amp;U$1&amp;"P"&amp;$A5)*RTD("tos.rtd",,"DELTA","."&amp;U$2&amp;U$1&amp;"P"&amp;$A5))/1000),0),IF($A$2="VEX",IFERROR(IF($X$1="ABS",($A$4*$A$4*RTD("tos.rtd",,"VOLUME","."&amp;U$2&amp;U$1&amp;"C"&amp;$A5)*RTD("tos.rtd",,"GAMMA","."&amp;U$2&amp;U$1&amp;"C"&amp;$A5)+$A$4*$A$4*RTD("tos.rtd",,"VOLUME","."&amp;U$2&amp;U$1&amp;"P"&amp;$A5)*RTD("tos.rtd",,"GAMMA","."&amp;U$2&amp;U$1&amp;"P"&amp;$A5))/1000000,($A$4*$A$4*RTD("tos.rtd",,"VOLUME","."&amp;U$2&amp;U$1&amp;"C"&amp;$A5)*RTD("tos.rtd",,"GAMMA","."&amp;U$2&amp;U$1&amp;"C"&amp;$A5)-$A$4*$A$4*RTD("tos.rtd",,"VOLUME","."&amp;U$2&amp;U$1&amp;"P"&amp;$A5)*RTD("tos.rtd",,"GAMMA","."&amp;U$2&amp;U$1&amp;"P"&amp;$A5))/1000000),0),IF($A$2="GEX",IFERROR(IF($X$1="ABS",($A$4*$A$4*RTD("tos.rtd",,"OPEN_INT","."&amp;U$2&amp;U$1&amp;"C"&amp;$A5)*RTD("tos.rtd",,"GAMMA","."&amp;U$2&amp;U$1&amp;"C"&amp;$A5)+$A$4*$A$4*RTD("tos.rtd",,"OPEN_INT","."&amp;U$2&amp;U$1&amp;"P"&amp;$A5)*RTD("tos.rtd",,"GAMMA","."&amp;U$2&amp;U$1&amp;"P"&amp;$A5))/1000000,($A$4*$A$4*RTD("tos.rtd",,"OPEN_INT","."&amp;U$2&amp;U$1&amp;"C"&amp;$A5)*RTD("tos.rtd",,"GAMMA","."&amp;U$2&amp;U$1&amp;"C"&amp;$A5)-$A$4*$A$4*RTD("tos.rtd",,"OPEN_INT","."&amp;U$2&amp;U$1&amp;"P"&amp;$A5)*RTD("tos.rtd",,"GAMMA","."&amp;U$2&amp;U$1&amp;"P"&amp;$A5))/1000000),0),IF($A$2="SKEW",IFERROR(VALUE(IF(RTD("tos.rtd",,"IMPL_VOL","."&amp;U$2&amp;U$1&amp;"P"&amp;$A5)="N/A",0,RTD("tos.rtd",,"IMPL_VOL","."&amp;U$2&amp;U$1&amp;"P"&amp;$A5))),0)-IFERROR(VALUE(IF(RTD("tos.rtd",,"IMPL_VOL","."&amp;U$2&amp;U$1&amp;"C"&amp;$A5)="N/A",0,RTD("tos.rtd",,"IMPL_VOL","."&amp;U$2&amp;U$1&amp;"C"&amp;$A5))),0),IF($A$2="MAXPAIN",IF($A$4&gt;$A5,($A$4-$A5)*IF(RTD("tos.rtd",,"OPEN_INT","."&amp;U$2&amp;U$1&amp;"C"&amp;$A5)="N/A",0,RTD("tos.rtd",,"OPEN_INT","."&amp;U$2&amp;U$1&amp;"C"&amp;$A5)),0)+IF($A$4&lt;$A5,($A$5-$A$4)*IF(RTD("tos.rtd",,"OPEN_INT","."&amp;U$2&amp;U$1&amp;"P"&amp;$A5)="N/A",0,RTD("tos.rtd",,"OPEN_INT","."&amp;U$2&amp;U$1&amp;"P"&amp;$A5)),0),IF($X$1="ABS",IF(RTD("tos.rtd",,$A$2,"."&amp;U$2&amp;U$1&amp;"C"&amp;$A5)="N/A",0,RTD("tos.rtd",,$A$2,"."&amp;U$2&amp;U$1&amp;"C"&amp;$A5))+IF(RTD("tos.rtd",,$A$2,"."&amp;U$2&amp;U$1&amp;"P"&amp;$A5)="N/A",0,RTD("tos.rtd",,$A$2,"."&amp;U$2&amp;U$1&amp;"P"&amp;$A5)),IF(RTD("tos.rtd",,$A$2,"."&amp;U$2&amp;U$1&amp;"C"&amp;$A5)="N/A",0,RTD("tos.rtd",,$A$2,"."&amp;U$2&amp;U$1&amp;"C"&amp;$A5))-IF(RTD("tos.rtd",,$A$2,"."&amp;U$2&amp;U$1&amp;"P"&amp;$A5)="N/A",0,RTD("tos.rtd",,$A$2,"."&amp;U$2&amp;U$1&amp;"P"&amp;$A5))))))))))</f>
        <v>0</v>
      </c>
      <c r="V5" s="5">
        <f ca="1">IF($A$2="PREMIUM_OI",IFERROR(IF($X$1="ABS",(100*RTD("tos.rtd",,"OPEN_INT","."&amp;V$2&amp;V$1&amp;"C"&amp;$A5)*RTD("tos.rtd",,"LAST","."&amp;V$2&amp;V$1&amp;"C"&amp;$A5)+100*RTD("tos.rtd",,"OPEN_INT","."&amp;V$2&amp;V$1&amp;"P"&amp;$A5)*RTD("tos.rtd",,"LAST","."&amp;V$2&amp;V$1&amp;"P"&amp;$A5))/1000000,(100*RTD("tos.rtd",,"OPEN_INT","."&amp;V$2&amp;V$1&amp;"C"&amp;$A5)*RTD("tos.rtd",,"LAST","."&amp;V$2&amp;V$1&amp;"C"&amp;$A5)-100*RTD("tos.rtd",,"OPEN_INT","."&amp;V$2&amp;V$1&amp;"P"&amp;$A5)*RTD("tos.rtd",,"LAST","."&amp;V$2&amp;V$1&amp;"P"&amp;$A5))/1000000),0),IF($A$2="PREMIUM",IFERROR(IF($X$1="ABS",(100*RTD("tos.rtd",,"VOLUME","."&amp;V$2&amp;V$1&amp;"C"&amp;$A5)*RTD("tos.rtd",,"LAST","."&amp;V$2&amp;V$1&amp;"C"&amp;$A5)+100*RTD("tos.rtd",,"VOLUME","."&amp;V$2&amp;V$1&amp;"P"&amp;$A5)*RTD("tos.rtd",,"LAST","."&amp;V$2&amp;V$1&amp;"P"&amp;$A5))/1000000,(100*RTD("tos.rtd",,"VOLUME","."&amp;V$2&amp;V$1&amp;"C"&amp;$A5)*RTD("tos.rtd",,"LAST","."&amp;V$2&amp;V$1&amp;"C"&amp;$A5)-100*RTD("tos.rtd",,"VOLUME","."&amp;V$2&amp;V$1&amp;"P"&amp;$A5)*RTD("tos.rtd",,"LAST","."&amp;V$2&amp;V$1&amp;"P"&amp;$A5))/1000000),0),IF($A$2="DEX",IFERROR(IF($X$1="ABS",(100*RTD("tos.rtd",,"OPEN_INT","."&amp;V$2&amp;V$1&amp;"C"&amp;$A5)*RTD("tos.rtd",,"DELTA","."&amp;V$2&amp;V$1&amp;"C"&amp;$A5)+100*RTD("tos.rtd",,"OPEN_INT","."&amp;V$2&amp;V$1&amp;"P"&amp;$A5)*RTD("tos.rtd",,"DELTA","."&amp;V$2&amp;V$1&amp;"P"&amp;$A5))/1000,(100*RTD("tos.rtd",,"OPEN_INT","."&amp;V$2&amp;V$1&amp;"C"&amp;$A5)*RTD("tos.rtd",,"DELTA","."&amp;V$2&amp;V$1&amp;"C"&amp;$A5)-100*RTD("tos.rtd",,"OPEN_INT","."&amp;V$2&amp;V$1&amp;"P"&amp;$A5)*RTD("tos.rtd",,"DELTA","."&amp;V$2&amp;V$1&amp;"P"&amp;$A5))/1000),0),IF($A$2="VEX",IFERROR(IF($X$1="ABS",($A$4*$A$4*RTD("tos.rtd",,"VOLUME","."&amp;V$2&amp;V$1&amp;"C"&amp;$A5)*RTD("tos.rtd",,"GAMMA","."&amp;V$2&amp;V$1&amp;"C"&amp;$A5)+$A$4*$A$4*RTD("tos.rtd",,"VOLUME","."&amp;V$2&amp;V$1&amp;"P"&amp;$A5)*RTD("tos.rtd",,"GAMMA","."&amp;V$2&amp;V$1&amp;"P"&amp;$A5))/1000000,($A$4*$A$4*RTD("tos.rtd",,"VOLUME","."&amp;V$2&amp;V$1&amp;"C"&amp;$A5)*RTD("tos.rtd",,"GAMMA","."&amp;V$2&amp;V$1&amp;"C"&amp;$A5)-$A$4*$A$4*RTD("tos.rtd",,"VOLUME","."&amp;V$2&amp;V$1&amp;"P"&amp;$A5)*RTD("tos.rtd",,"GAMMA","."&amp;V$2&amp;V$1&amp;"P"&amp;$A5))/1000000),0),IF($A$2="GEX",IFERROR(IF($X$1="ABS",($A$4*$A$4*RTD("tos.rtd",,"OPEN_INT","."&amp;V$2&amp;V$1&amp;"C"&amp;$A5)*RTD("tos.rtd",,"GAMMA","."&amp;V$2&amp;V$1&amp;"C"&amp;$A5)+$A$4*$A$4*RTD("tos.rtd",,"OPEN_INT","."&amp;V$2&amp;V$1&amp;"P"&amp;$A5)*RTD("tos.rtd",,"GAMMA","."&amp;V$2&amp;V$1&amp;"P"&amp;$A5))/1000000,($A$4*$A$4*RTD("tos.rtd",,"OPEN_INT","."&amp;V$2&amp;V$1&amp;"C"&amp;$A5)*RTD("tos.rtd",,"GAMMA","."&amp;V$2&amp;V$1&amp;"C"&amp;$A5)-$A$4*$A$4*RTD("tos.rtd",,"OPEN_INT","."&amp;V$2&amp;V$1&amp;"P"&amp;$A5)*RTD("tos.rtd",,"GAMMA","."&amp;V$2&amp;V$1&amp;"P"&amp;$A5))/1000000),0),IF($A$2="SKEW",IFERROR(VALUE(IF(RTD("tos.rtd",,"IMPL_VOL","."&amp;V$2&amp;V$1&amp;"P"&amp;$A5)="N/A",0,RTD("tos.rtd",,"IMPL_VOL","."&amp;V$2&amp;V$1&amp;"P"&amp;$A5))),0)-IFERROR(VALUE(IF(RTD("tos.rtd",,"IMPL_VOL","."&amp;V$2&amp;V$1&amp;"C"&amp;$A5)="N/A",0,RTD("tos.rtd",,"IMPL_VOL","."&amp;V$2&amp;V$1&amp;"C"&amp;$A5))),0),IF($A$2="MAXPAIN",IF($A$4&gt;$A5,($A$4-$A5)*IF(RTD("tos.rtd",,"OPEN_INT","."&amp;V$2&amp;V$1&amp;"C"&amp;$A5)="N/A",0,RTD("tos.rtd",,"OPEN_INT","."&amp;V$2&amp;V$1&amp;"C"&amp;$A5)),0)+IF($A$4&lt;$A5,($A$5-$A$4)*IF(RTD("tos.rtd",,"OPEN_INT","."&amp;V$2&amp;V$1&amp;"P"&amp;$A5)="N/A",0,RTD("tos.rtd",,"OPEN_INT","."&amp;V$2&amp;V$1&amp;"P"&amp;$A5)),0),IF($X$1="ABS",IF(RTD("tos.rtd",,$A$2,"."&amp;V$2&amp;V$1&amp;"C"&amp;$A5)="N/A",0,RTD("tos.rtd",,$A$2,"."&amp;V$2&amp;V$1&amp;"C"&amp;$A5))+IF(RTD("tos.rtd",,$A$2,"."&amp;V$2&amp;V$1&amp;"P"&amp;$A5)="N/A",0,RTD("tos.rtd",,$A$2,"."&amp;V$2&amp;V$1&amp;"P"&amp;$A5)),IF(RTD("tos.rtd",,$A$2,"."&amp;V$2&amp;V$1&amp;"C"&amp;$A5)="N/A",0,RTD("tos.rtd",,$A$2,"."&amp;V$2&amp;V$1&amp;"C"&amp;$A5))-IF(RTD("tos.rtd",,$A$2,"."&amp;V$2&amp;V$1&amp;"P"&amp;$A5)="N/A",0,RTD("tos.rtd",,$A$2,"."&amp;V$2&amp;V$1&amp;"P"&amp;$A5))))))))))</f>
        <v>0</v>
      </c>
      <c r="W5" s="5">
        <f ca="1">IF($A$2="PREMIUM_OI",IFERROR(IF($X$1="ABS",(100*RTD("tos.rtd",,"OPEN_INT","."&amp;W$2&amp;W$1&amp;"C"&amp;$A5)*RTD("tos.rtd",,"LAST","."&amp;W$2&amp;W$1&amp;"C"&amp;$A5)+100*RTD("tos.rtd",,"OPEN_INT","."&amp;W$2&amp;W$1&amp;"P"&amp;$A5)*RTD("tos.rtd",,"LAST","."&amp;W$2&amp;W$1&amp;"P"&amp;$A5))/1000000,(100*RTD("tos.rtd",,"OPEN_INT","."&amp;W$2&amp;W$1&amp;"C"&amp;$A5)*RTD("tos.rtd",,"LAST","."&amp;W$2&amp;W$1&amp;"C"&amp;$A5)-100*RTD("tos.rtd",,"OPEN_INT","."&amp;W$2&amp;W$1&amp;"P"&amp;$A5)*RTD("tos.rtd",,"LAST","."&amp;W$2&amp;W$1&amp;"P"&amp;$A5))/1000000),0),IF($A$2="PREMIUM",IFERROR(IF($X$1="ABS",(100*RTD("tos.rtd",,"VOLUME","."&amp;W$2&amp;W$1&amp;"C"&amp;$A5)*RTD("tos.rtd",,"LAST","."&amp;W$2&amp;W$1&amp;"C"&amp;$A5)+100*RTD("tos.rtd",,"VOLUME","."&amp;W$2&amp;W$1&amp;"P"&amp;$A5)*RTD("tos.rtd",,"LAST","."&amp;W$2&amp;W$1&amp;"P"&amp;$A5))/1000000,(100*RTD("tos.rtd",,"VOLUME","."&amp;W$2&amp;W$1&amp;"C"&amp;$A5)*RTD("tos.rtd",,"LAST","."&amp;W$2&amp;W$1&amp;"C"&amp;$A5)-100*RTD("tos.rtd",,"VOLUME","."&amp;W$2&amp;W$1&amp;"P"&amp;$A5)*RTD("tos.rtd",,"LAST","."&amp;W$2&amp;W$1&amp;"P"&amp;$A5))/1000000),0),IF($A$2="DEX",IFERROR(IF($X$1="ABS",(100*RTD("tos.rtd",,"OPEN_INT","."&amp;W$2&amp;W$1&amp;"C"&amp;$A5)*RTD("tos.rtd",,"DELTA","."&amp;W$2&amp;W$1&amp;"C"&amp;$A5)+100*RTD("tos.rtd",,"OPEN_INT","."&amp;W$2&amp;W$1&amp;"P"&amp;$A5)*RTD("tos.rtd",,"DELTA","."&amp;W$2&amp;W$1&amp;"P"&amp;$A5))/1000,(100*RTD("tos.rtd",,"OPEN_INT","."&amp;W$2&amp;W$1&amp;"C"&amp;$A5)*RTD("tos.rtd",,"DELTA","."&amp;W$2&amp;W$1&amp;"C"&amp;$A5)-100*RTD("tos.rtd",,"OPEN_INT","."&amp;W$2&amp;W$1&amp;"P"&amp;$A5)*RTD("tos.rtd",,"DELTA","."&amp;W$2&amp;W$1&amp;"P"&amp;$A5))/1000),0),IF($A$2="VEX",IFERROR(IF($X$1="ABS",($A$4*$A$4*RTD("tos.rtd",,"VOLUME","."&amp;W$2&amp;W$1&amp;"C"&amp;$A5)*RTD("tos.rtd",,"GAMMA","."&amp;W$2&amp;W$1&amp;"C"&amp;$A5)+$A$4*$A$4*RTD("tos.rtd",,"VOLUME","."&amp;W$2&amp;W$1&amp;"P"&amp;$A5)*RTD("tos.rtd",,"GAMMA","."&amp;W$2&amp;W$1&amp;"P"&amp;$A5))/1000000,($A$4*$A$4*RTD("tos.rtd",,"VOLUME","."&amp;W$2&amp;W$1&amp;"C"&amp;$A5)*RTD("tos.rtd",,"GAMMA","."&amp;W$2&amp;W$1&amp;"C"&amp;$A5)-$A$4*$A$4*RTD("tos.rtd",,"VOLUME","."&amp;W$2&amp;W$1&amp;"P"&amp;$A5)*RTD("tos.rtd",,"GAMMA","."&amp;W$2&amp;W$1&amp;"P"&amp;$A5))/1000000),0),IF($A$2="GEX",IFERROR(IF($X$1="ABS",($A$4*$A$4*RTD("tos.rtd",,"OPEN_INT","."&amp;W$2&amp;W$1&amp;"C"&amp;$A5)*RTD("tos.rtd",,"GAMMA","."&amp;W$2&amp;W$1&amp;"C"&amp;$A5)+$A$4*$A$4*RTD("tos.rtd",,"OPEN_INT","."&amp;W$2&amp;W$1&amp;"P"&amp;$A5)*RTD("tos.rtd",,"GAMMA","."&amp;W$2&amp;W$1&amp;"P"&amp;$A5))/1000000,($A$4*$A$4*RTD("tos.rtd",,"OPEN_INT","."&amp;W$2&amp;W$1&amp;"C"&amp;$A5)*RTD("tos.rtd",,"GAMMA","."&amp;W$2&amp;W$1&amp;"C"&amp;$A5)-$A$4*$A$4*RTD("tos.rtd",,"OPEN_INT","."&amp;W$2&amp;W$1&amp;"P"&amp;$A5)*RTD("tos.rtd",,"GAMMA","."&amp;W$2&amp;W$1&amp;"P"&amp;$A5))/1000000),0),IF($A$2="SKEW",IFERROR(VALUE(IF(RTD("tos.rtd",,"IMPL_VOL","."&amp;W$2&amp;W$1&amp;"P"&amp;$A5)="N/A",0,RTD("tos.rtd",,"IMPL_VOL","."&amp;W$2&amp;W$1&amp;"P"&amp;$A5))),0)-IFERROR(VALUE(IF(RTD("tos.rtd",,"IMPL_VOL","."&amp;W$2&amp;W$1&amp;"C"&amp;$A5)="N/A",0,RTD("tos.rtd",,"IMPL_VOL","."&amp;W$2&amp;W$1&amp;"C"&amp;$A5))),0),IF($A$2="MAXPAIN",IF($A$4&gt;$A5,($A$4-$A5)*IF(RTD("tos.rtd",,"OPEN_INT","."&amp;W$2&amp;W$1&amp;"C"&amp;$A5)="N/A",0,RTD("tos.rtd",,"OPEN_INT","."&amp;W$2&amp;W$1&amp;"C"&amp;$A5)),0)+IF($A$4&lt;$A5,($A$5-$A$4)*IF(RTD("tos.rtd",,"OPEN_INT","."&amp;W$2&amp;W$1&amp;"P"&amp;$A5)="N/A",0,RTD("tos.rtd",,"OPEN_INT","."&amp;W$2&amp;W$1&amp;"P"&amp;$A5)),0),IF($X$1="ABS",IF(RTD("tos.rtd",,$A$2,"."&amp;W$2&amp;W$1&amp;"C"&amp;$A5)="N/A",0,RTD("tos.rtd",,$A$2,"."&amp;W$2&amp;W$1&amp;"C"&amp;$A5))+IF(RTD("tos.rtd",,$A$2,"."&amp;W$2&amp;W$1&amp;"P"&amp;$A5)="N/A",0,RTD("tos.rtd",,$A$2,"."&amp;W$2&amp;W$1&amp;"P"&amp;$A5)),IF(RTD("tos.rtd",,$A$2,"."&amp;W$2&amp;W$1&amp;"C"&amp;$A5)="N/A",0,RTD("tos.rtd",,$A$2,"."&amp;W$2&amp;W$1&amp;"C"&amp;$A5))-IF(RTD("tos.rtd",,$A$2,"."&amp;W$2&amp;W$1&amp;"P"&amp;$A5)="N/A",0,RTD("tos.rtd",,$A$2,"."&amp;W$2&amp;W$1&amp;"P"&amp;$A5))))))))))</f>
        <v>0</v>
      </c>
      <c r="X5" s="56">
        <f ca="1">SUMPRODUCT(B5:W5,$B$52:$W$52)</f>
        <v>0</v>
      </c>
      <c r="Y5" s="27">
        <f ca="1">+X5</f>
        <v>0</v>
      </c>
      <c r="Z5" s="27" t="b">
        <f ca="1">IF(AND(A5&gt;$Y$52,A5&lt;$Y$4),ABS(AVERAGE(Y4:Y6)))</f>
        <v>0</v>
      </c>
      <c r="AA5" s="27">
        <f>SUM(AB5:BV5)</f>
        <v>260892200</v>
      </c>
      <c r="AB5" s="18">
        <f>MAX(0, $A5-AB$4)*IF(RTD("tos.rtd",,"OPEN_INT","."&amp;$AA$3&amp;$AA$4&amp;"C"&amp;AB$4)="N/A",0,RTD("tos.rtd",,"OPEN_INT","."&amp;$AA$3&amp;$AA$4&amp;"C"&amp;AB$4))*100 + MAX(0, AB$4-$A5)*IF(RTD("tos.rtd",,"OPEN_INT","."&amp;$AA$3&amp;$AA$4&amp;"P"&amp;AB$4)="N/A",0,RTD("tos.rtd",,"OPEN_INT","."&amp;$AA$3&amp;$AA$4&amp;"P"&amp;AB$4))*100</f>
        <v>0</v>
      </c>
      <c r="AC5" s="18">
        <f>MAX(0, $A5-AC$4)*IF(RTD("tos.rtd",,"OPEN_INT","."&amp;$AA$3&amp;$AA$4&amp;"C"&amp;AC$4)="N/A",0,RTD("tos.rtd",,"OPEN_INT","."&amp;$AA$3&amp;$AA$4&amp;"C"&amp;AC$4))*100 + MAX(0, AC$4-$A5)*IF(RTD("tos.rtd",,"OPEN_INT","."&amp;$AA$3&amp;$AA$4&amp;"P"&amp;AC$4)="N/A",0,RTD("tos.rtd",,"OPEN_INT","."&amp;$AA$3&amp;$AA$4&amp;"P"&amp;AC$4))*100</f>
        <v>0</v>
      </c>
      <c r="AD5" s="18">
        <f>MAX(0, $A5-AD$4)*IF(RTD("tos.rtd",,"OPEN_INT","."&amp;$AA$3&amp;$AA$4&amp;"C"&amp;AD$4)="N/A",0,RTD("tos.rtd",,"OPEN_INT","."&amp;$AA$3&amp;$AA$4&amp;"C"&amp;AD$4))*100 + MAX(0, AD$4-$A5)*IF(RTD("tos.rtd",,"OPEN_INT","."&amp;$AA$3&amp;$AA$4&amp;"P"&amp;AD$4)="N/A",0,RTD("tos.rtd",,"OPEN_INT","."&amp;$AA$3&amp;$AA$4&amp;"P"&amp;AD$4))*100</f>
        <v>0</v>
      </c>
      <c r="AE5" s="18">
        <f>MAX(0, $A5-AE$4)*IF(RTD("tos.rtd",,"OPEN_INT","."&amp;$AA$3&amp;$AA$4&amp;"C"&amp;AE$4)="N/A",0,RTD("tos.rtd",,"OPEN_INT","."&amp;$AA$3&amp;$AA$4&amp;"C"&amp;AE$4))*100 + MAX(0, AE$4-$A5)*IF(RTD("tos.rtd",,"OPEN_INT","."&amp;$AA$3&amp;$AA$4&amp;"P"&amp;AE$4)="N/A",0,RTD("tos.rtd",,"OPEN_INT","."&amp;$AA$3&amp;$AA$4&amp;"P"&amp;AE$4))*100</f>
        <v>0</v>
      </c>
      <c r="AF5" s="18">
        <f>MAX(0, $A5-AF$4)*IF(RTD("tos.rtd",,"OPEN_INT","."&amp;$AA$3&amp;$AA$4&amp;"C"&amp;AF$4)="N/A",0,RTD("tos.rtd",,"OPEN_INT","."&amp;$AA$3&amp;$AA$4&amp;"C"&amp;AF$4))*100 + MAX(0, AF$4-$A5)*IF(RTD("tos.rtd",,"OPEN_INT","."&amp;$AA$3&amp;$AA$4&amp;"P"&amp;AF$4)="N/A",0,RTD("tos.rtd",,"OPEN_INT","."&amp;$AA$3&amp;$AA$4&amp;"P"&amp;AF$4))*100</f>
        <v>0</v>
      </c>
      <c r="AG5" s="18">
        <f>MAX(0, $A5-AG$4)*IF(RTD("tos.rtd",,"OPEN_INT","."&amp;$AA$3&amp;$AA$4&amp;"C"&amp;AG$4)="N/A",0,RTD("tos.rtd",,"OPEN_INT","."&amp;$AA$3&amp;$AA$4&amp;"C"&amp;AG$4))*100 + MAX(0, AG$4-$A5)*IF(RTD("tos.rtd",,"OPEN_INT","."&amp;$AA$3&amp;$AA$4&amp;"P"&amp;AG$4)="N/A",0,RTD("tos.rtd",,"OPEN_INT","."&amp;$AA$3&amp;$AA$4&amp;"P"&amp;AG$4))*100</f>
        <v>0</v>
      </c>
      <c r="AH5" s="18">
        <f>MAX(0, $A5-AH$4)*IF(RTD("tos.rtd",,"OPEN_INT","."&amp;$AA$3&amp;$AA$4&amp;"C"&amp;AH$4)="N/A",0,RTD("tos.rtd",,"OPEN_INT","."&amp;$AA$3&amp;$AA$4&amp;"C"&amp;AH$4))*100 + MAX(0, AH$4-$A5)*IF(RTD("tos.rtd",,"OPEN_INT","."&amp;$AA$3&amp;$AA$4&amp;"P"&amp;AH$4)="N/A",0,RTD("tos.rtd",,"OPEN_INT","."&amp;$AA$3&amp;$AA$4&amp;"P"&amp;AH$4))*100</f>
        <v>0</v>
      </c>
      <c r="AI5" s="18">
        <f>MAX(0, $A5-AI$4)*IF(RTD("tos.rtd",,"OPEN_INT","."&amp;$AA$3&amp;$AA$4&amp;"C"&amp;AI$4)="N/A",0,RTD("tos.rtd",,"OPEN_INT","."&amp;$AA$3&amp;$AA$4&amp;"C"&amp;AI$4))*100 + MAX(0, AI$4-$A5)*IF(RTD("tos.rtd",,"OPEN_INT","."&amp;$AA$3&amp;$AA$4&amp;"P"&amp;AI$4)="N/A",0,RTD("tos.rtd",,"OPEN_INT","."&amp;$AA$3&amp;$AA$4&amp;"P"&amp;AI$4))*100</f>
        <v>950600</v>
      </c>
      <c r="AJ5" s="18">
        <f>MAX(0, $A5-AJ$4)*IF(RTD("tos.rtd",,"OPEN_INT","."&amp;$AA$3&amp;$AA$4&amp;"C"&amp;AJ$4)="N/A",0,RTD("tos.rtd",,"OPEN_INT","."&amp;$AA$3&amp;$AA$4&amp;"C"&amp;AJ$4))*100 + MAX(0, AJ$4-$A5)*IF(RTD("tos.rtd",,"OPEN_INT","."&amp;$AA$3&amp;$AA$4&amp;"P"&amp;AJ$4)="N/A",0,RTD("tos.rtd",,"OPEN_INT","."&amp;$AA$3&amp;$AA$4&amp;"P"&amp;AJ$4))*100</f>
        <v>107600</v>
      </c>
      <c r="AK5" s="18">
        <f>MAX(0, $A5-AK$4)*IF(RTD("tos.rtd",,"OPEN_INT","."&amp;$AA$3&amp;$AA$4&amp;"C"&amp;AK$4)="N/A",0,RTD("tos.rtd",,"OPEN_INT","."&amp;$AA$3&amp;$AA$4&amp;"C"&amp;AK$4))*100 + MAX(0, AK$4-$A5)*IF(RTD("tos.rtd",,"OPEN_INT","."&amp;$AA$3&amp;$AA$4&amp;"P"&amp;AK$4)="N/A",0,RTD("tos.rtd",,"OPEN_INT","."&amp;$AA$3&amp;$AA$4&amp;"P"&amp;AK$4))*100</f>
        <v>1265850</v>
      </c>
      <c r="AL5" s="18">
        <f>MAX(0, $A5-AL$4)*IF(RTD("tos.rtd",,"OPEN_INT","."&amp;$AA$3&amp;$AA$4&amp;"C"&amp;AL$4)="N/A",0,RTD("tos.rtd",,"OPEN_INT","."&amp;$AA$3&amp;$AA$4&amp;"C"&amp;AL$4))*100 + MAX(0, AL$4-$A5)*IF(RTD("tos.rtd",,"OPEN_INT","."&amp;$AA$3&amp;$AA$4&amp;"P"&amp;AL$4)="N/A",0,RTD("tos.rtd",,"OPEN_INT","."&amp;$AA$3&amp;$AA$4&amp;"P"&amp;AL$4))*100</f>
        <v>0</v>
      </c>
      <c r="AM5" s="18">
        <f>MAX(0, $A5-AM$4)*IF(RTD("tos.rtd",,"OPEN_INT","."&amp;$AA$3&amp;$AA$4&amp;"C"&amp;AM$4)="N/A",0,RTD("tos.rtd",,"OPEN_INT","."&amp;$AA$3&amp;$AA$4&amp;"C"&amp;AM$4))*100 + MAX(0, AM$4-$A5)*IF(RTD("tos.rtd",,"OPEN_INT","."&amp;$AA$3&amp;$AA$4&amp;"P"&amp;AM$4)="N/A",0,RTD("tos.rtd",,"OPEN_INT","."&amp;$AA$3&amp;$AA$4&amp;"P"&amp;AM$4))*100</f>
        <v>1300750</v>
      </c>
      <c r="AN5" s="18">
        <f>MAX(0, $A5-AN$4)*IF(RTD("tos.rtd",,"OPEN_INT","."&amp;$AA$3&amp;$AA$4&amp;"C"&amp;AN$4)="N/A",0,RTD("tos.rtd",,"OPEN_INT","."&amp;$AA$3&amp;$AA$4&amp;"C"&amp;AN$4))*100 + MAX(0, AN$4-$A5)*IF(RTD("tos.rtd",,"OPEN_INT","."&amp;$AA$3&amp;$AA$4&amp;"P"&amp;AN$4)="N/A",0,RTD("tos.rtd",,"OPEN_INT","."&amp;$AA$3&amp;$AA$4&amp;"P"&amp;AN$4))*100</f>
        <v>0</v>
      </c>
      <c r="AO5" s="18">
        <f>MAX(0, $A5-AO$4)*IF(RTD("tos.rtd",,"OPEN_INT","."&amp;$AA$3&amp;$AA$4&amp;"C"&amp;AO$4)="N/A",0,RTD("tos.rtd",,"OPEN_INT","."&amp;$AA$3&amp;$AA$4&amp;"C"&amp;AO$4))*100 + MAX(0, AO$4-$A5)*IF(RTD("tos.rtd",,"OPEN_INT","."&amp;$AA$3&amp;$AA$4&amp;"P"&amp;AO$4)="N/A",0,RTD("tos.rtd",,"OPEN_INT","."&amp;$AA$3&amp;$AA$4&amp;"P"&amp;AO$4))*100</f>
        <v>447850</v>
      </c>
      <c r="AP5" s="18">
        <f>MAX(0, $A5-AP$4)*IF(RTD("tos.rtd",,"OPEN_INT","."&amp;$AA$3&amp;$AA$4&amp;"C"&amp;AP$4)="N/A",0,RTD("tos.rtd",,"OPEN_INT","."&amp;$AA$3&amp;$AA$4&amp;"C"&amp;AP$4))*100 + MAX(0, AP$4-$A5)*IF(RTD("tos.rtd",,"OPEN_INT","."&amp;$AA$3&amp;$AA$4&amp;"P"&amp;AP$4)="N/A",0,RTD("tos.rtd",,"OPEN_INT","."&amp;$AA$3&amp;$AA$4&amp;"P"&amp;AP$4))*100</f>
        <v>0</v>
      </c>
      <c r="AQ5" s="18">
        <f>MAX(0, $A5-AQ$4)*IF(RTD("tos.rtd",,"OPEN_INT","."&amp;$AA$3&amp;$AA$4&amp;"C"&amp;AQ$4)="N/A",0,RTD("tos.rtd",,"OPEN_INT","."&amp;$AA$3&amp;$AA$4&amp;"C"&amp;AQ$4))*100 + MAX(0, AQ$4-$A5)*IF(RTD("tos.rtd",,"OPEN_INT","."&amp;$AA$3&amp;$AA$4&amp;"P"&amp;AQ$4)="N/A",0,RTD("tos.rtd",,"OPEN_INT","."&amp;$AA$3&amp;$AA$4&amp;"P"&amp;AQ$4))*100</f>
        <v>480000</v>
      </c>
      <c r="AR5" s="18">
        <f>MAX(0, $A5-AR$4)*IF(RTD("tos.rtd",,"OPEN_INT","."&amp;$AA$3&amp;$AA$4&amp;"C"&amp;AR$4)="N/A",0,RTD("tos.rtd",,"OPEN_INT","."&amp;$AA$3&amp;$AA$4&amp;"C"&amp;AR$4))*100 + MAX(0, AR$4-$A5)*IF(RTD("tos.rtd",,"OPEN_INT","."&amp;$AA$3&amp;$AA$4&amp;"P"&amp;AR$4)="N/A",0,RTD("tos.rtd",,"OPEN_INT","."&amp;$AA$3&amp;$AA$4&amp;"P"&amp;AR$4))*100</f>
        <v>800</v>
      </c>
      <c r="AS5" s="18">
        <f>MAX(0, $A5-AS$4)*IF(RTD("tos.rtd",,"OPEN_INT","."&amp;$AA$3&amp;$AA$4&amp;"C"&amp;AS$4)="N/A",0,RTD("tos.rtd",,"OPEN_INT","."&amp;$AA$3&amp;$AA$4&amp;"C"&amp;AS$4))*100 + MAX(0, AS$4-$A5)*IF(RTD("tos.rtd",,"OPEN_INT","."&amp;$AA$3&amp;$AA$4&amp;"P"&amp;AS$4)="N/A",0,RTD("tos.rtd",,"OPEN_INT","."&amp;$AA$3&amp;$AA$4&amp;"P"&amp;AS$4))*100</f>
        <v>732700</v>
      </c>
      <c r="AT5" s="18">
        <f>MAX(0, $A5-AT$4)*IF(RTD("tos.rtd",,"OPEN_INT","."&amp;$AA$3&amp;$AA$4&amp;"C"&amp;AT$4)="N/A",0,RTD("tos.rtd",,"OPEN_INT","."&amp;$AA$3&amp;$AA$4&amp;"C"&amp;AT$4))*100 + MAX(0, AT$4-$A5)*IF(RTD("tos.rtd",,"OPEN_INT","."&amp;$AA$3&amp;$AA$4&amp;"P"&amp;AT$4)="N/A",0,RTD("tos.rtd",,"OPEN_INT","."&amp;$AA$3&amp;$AA$4&amp;"P"&amp;AT$4))*100</f>
        <v>1261800</v>
      </c>
      <c r="AU5" s="18">
        <f>MAX(0, $A5-AU$4)*IF(RTD("tos.rtd",,"OPEN_INT","."&amp;$AA$3&amp;$AA$4&amp;"C"&amp;AU$4)="N/A",0,RTD("tos.rtd",,"OPEN_INT","."&amp;$AA$3&amp;$AA$4&amp;"C"&amp;AU$4))*100 + MAX(0, AU$4-$A5)*IF(RTD("tos.rtd",,"OPEN_INT","."&amp;$AA$3&amp;$AA$4&amp;"P"&amp;AU$4)="N/A",0,RTD("tos.rtd",,"OPEN_INT","."&amp;$AA$3&amp;$AA$4&amp;"P"&amp;AU$4))*100</f>
        <v>1598850</v>
      </c>
      <c r="AV5" s="18">
        <f>MAX(0, $A5-AV$4)*IF(RTD("tos.rtd",,"OPEN_INT","."&amp;$AA$3&amp;$AA$4&amp;"C"&amp;AV$4)="N/A",0,RTD("tos.rtd",,"OPEN_INT","."&amp;$AA$3&amp;$AA$4&amp;"C"&amp;AV$4))*100 + MAX(0, AV$4-$A5)*IF(RTD("tos.rtd",,"OPEN_INT","."&amp;$AA$3&amp;$AA$4&amp;"P"&amp;AV$4)="N/A",0,RTD("tos.rtd",,"OPEN_INT","."&amp;$AA$3&amp;$AA$4&amp;"P"&amp;AV$4))*100</f>
        <v>1888000</v>
      </c>
      <c r="AW5" s="18">
        <f>MAX(0, $A5-AW$4)*IF(RTD("tos.rtd",,"OPEN_INT","."&amp;$AA$3&amp;$AA$4&amp;"C"&amp;AW$4)="N/A",0,RTD("tos.rtd",,"OPEN_INT","."&amp;$AA$3&amp;$AA$4&amp;"C"&amp;AW$4))*100 + MAX(0, AW$4-$A5)*IF(RTD("tos.rtd",,"OPEN_INT","."&amp;$AA$3&amp;$AA$4&amp;"P"&amp;AW$4)="N/A",0,RTD("tos.rtd",,"OPEN_INT","."&amp;$AA$3&amp;$AA$4&amp;"P"&amp;AW$4))*100</f>
        <v>3228750</v>
      </c>
      <c r="AX5" s="18">
        <f>MAX(0, $A5-AX$4)*IF(RTD("tos.rtd",,"OPEN_INT","."&amp;$AA$3&amp;$AA$4&amp;"C"&amp;AX$4)="N/A",0,RTD("tos.rtd",,"OPEN_INT","."&amp;$AA$3&amp;$AA$4&amp;"C"&amp;AX$4))*100 + MAX(0, AX$4-$A5)*IF(RTD("tos.rtd",,"OPEN_INT","."&amp;$AA$3&amp;$AA$4&amp;"P"&amp;AX$4)="N/A",0,RTD("tos.rtd",,"OPEN_INT","."&amp;$AA$3&amp;$AA$4&amp;"P"&amp;AX$4))*100</f>
        <v>4678300</v>
      </c>
      <c r="AY5" s="18">
        <f>MAX(0, $A5-AY$4)*IF(RTD("tos.rtd",,"OPEN_INT","."&amp;$AA$3&amp;$AA$4&amp;"C"&amp;AY$4)="N/A",0,RTD("tos.rtd",,"OPEN_INT","."&amp;$AA$3&amp;$AA$4&amp;"C"&amp;AY$4))*100 + MAX(0, AY$4-$A5)*IF(RTD("tos.rtd",,"OPEN_INT","."&amp;$AA$3&amp;$AA$4&amp;"P"&amp;AY$4)="N/A",0,RTD("tos.rtd",,"OPEN_INT","."&amp;$AA$3&amp;$AA$4&amp;"P"&amp;AY$4))*100</f>
        <v>22480200</v>
      </c>
      <c r="AZ5" s="18">
        <f>MAX(0, $A5-AZ$4)*IF(RTD("tos.rtd",,"OPEN_INT","."&amp;$AA$3&amp;$AA$4&amp;"C"&amp;AZ$4)="N/A",0,RTD("tos.rtd",,"OPEN_INT","."&amp;$AA$3&amp;$AA$4&amp;"C"&amp;AZ$4))*100 + MAX(0, AZ$4-$A5)*IF(RTD("tos.rtd",,"OPEN_INT","."&amp;$AA$3&amp;$AA$4&amp;"P"&amp;AZ$4)="N/A",0,RTD("tos.rtd",,"OPEN_INT","."&amp;$AA$3&amp;$AA$4&amp;"P"&amp;AZ$4))*100</f>
        <v>11820000</v>
      </c>
      <c r="BA5" s="18">
        <f>MAX(0, $A5-BA$4)*IF(RTD("tos.rtd",,"OPEN_INT","."&amp;$AA$3&amp;$AA$4&amp;"C"&amp;BA$4)="N/A",0,RTD("tos.rtd",,"OPEN_INT","."&amp;$AA$3&amp;$AA$4&amp;"C"&amp;BA$4))*100 + MAX(0, BA$4-$A5)*IF(RTD("tos.rtd",,"OPEN_INT","."&amp;$AA$3&amp;$AA$4&amp;"P"&amp;BA$4)="N/A",0,RTD("tos.rtd",,"OPEN_INT","."&amp;$AA$3&amp;$AA$4&amp;"P"&amp;BA$4))*100</f>
        <v>38508750</v>
      </c>
      <c r="BB5" s="18">
        <f>MAX(0, $A5-BB$4)*IF(RTD("tos.rtd",,"OPEN_INT","."&amp;$AA$3&amp;$AA$4&amp;"C"&amp;BB$4)="N/A",0,RTD("tos.rtd",,"OPEN_INT","."&amp;$AA$3&amp;$AA$4&amp;"C"&amp;BB$4))*100 + MAX(0, BB$4-$A5)*IF(RTD("tos.rtd",,"OPEN_INT","."&amp;$AA$3&amp;$AA$4&amp;"P"&amp;BB$4)="N/A",0,RTD("tos.rtd",,"OPEN_INT","."&amp;$AA$3&amp;$AA$4&amp;"P"&amp;BB$4))*100</f>
        <v>37255400</v>
      </c>
      <c r="BC5" s="18">
        <f>MAX(0, $A5-BC$4)*IF(RTD("tos.rtd",,"OPEN_INT","."&amp;$AA$3&amp;$AA$4&amp;"C"&amp;BC$4)="N/A",0,RTD("tos.rtd",,"OPEN_INT","."&amp;$AA$3&amp;$AA$4&amp;"C"&amp;BC$4))*100 + MAX(0, BC$4-$A5)*IF(RTD("tos.rtd",,"OPEN_INT","."&amp;$AA$3&amp;$AA$4&amp;"P"&amp;BC$4)="N/A",0,RTD("tos.rtd",,"OPEN_INT","."&amp;$AA$3&amp;$AA$4&amp;"P"&amp;BC$4))*100</f>
        <v>54962550</v>
      </c>
      <c r="BD5" s="18">
        <f>MAX(0, $A5-BD$4)*IF(RTD("tos.rtd",,"OPEN_INT","."&amp;$AA$3&amp;$AA$4&amp;"C"&amp;BD$4)="N/A",0,RTD("tos.rtd",,"OPEN_INT","."&amp;$AA$3&amp;$AA$4&amp;"C"&amp;BD$4))*100 + MAX(0, BD$4-$A5)*IF(RTD("tos.rtd",,"OPEN_INT","."&amp;$AA$3&amp;$AA$4&amp;"P"&amp;BD$4)="N/A",0,RTD("tos.rtd",,"OPEN_INT","."&amp;$AA$3&amp;$AA$4&amp;"P"&amp;BD$4))*100</f>
        <v>25984000</v>
      </c>
      <c r="BE5" s="18">
        <f>MAX(0, $A5-BE$4)*IF(RTD("tos.rtd",,"OPEN_INT","."&amp;$AA$3&amp;$AA$4&amp;"C"&amp;BE$4)="N/A",0,RTD("tos.rtd",,"OPEN_INT","."&amp;$AA$3&amp;$AA$4&amp;"C"&amp;BE$4))*100 + MAX(0, BE$4-$A5)*IF(RTD("tos.rtd",,"OPEN_INT","."&amp;$AA$3&amp;$AA$4&amp;"P"&amp;BE$4)="N/A",0,RTD("tos.rtd",,"OPEN_INT","."&amp;$AA$3&amp;$AA$4&amp;"P"&amp;BE$4))*100</f>
        <v>25053100</v>
      </c>
      <c r="BF5" s="18">
        <f>MAX(0, $A5-BF$4)*IF(RTD("tos.rtd",,"OPEN_INT","."&amp;$AA$3&amp;$AA$4&amp;"C"&amp;BF$4)="N/A",0,RTD("tos.rtd",,"OPEN_INT","."&amp;$AA$3&amp;$AA$4&amp;"C"&amp;BF$4))*100 + MAX(0, BF$4-$A5)*IF(RTD("tos.rtd",,"OPEN_INT","."&amp;$AA$3&amp;$AA$4&amp;"P"&amp;BF$4)="N/A",0,RTD("tos.rtd",,"OPEN_INT","."&amp;$AA$3&amp;$AA$4&amp;"P"&amp;BF$4))*100</f>
        <v>12610500</v>
      </c>
      <c r="BG5" s="18">
        <f>MAX(0, $A5-BG$4)*IF(RTD("tos.rtd",,"OPEN_INT","."&amp;$AA$3&amp;$AA$4&amp;"C"&amp;BG$4)="N/A",0,RTD("tos.rtd",,"OPEN_INT","."&amp;$AA$3&amp;$AA$4&amp;"C"&amp;BG$4))*100 + MAX(0, BG$4-$A5)*IF(RTD("tos.rtd",,"OPEN_INT","."&amp;$AA$3&amp;$AA$4&amp;"P"&amp;BG$4)="N/A",0,RTD("tos.rtd",,"OPEN_INT","."&amp;$AA$3&amp;$AA$4&amp;"P"&amp;BG$4))*100</f>
        <v>8887700</v>
      </c>
      <c r="BH5" s="18">
        <f>MAX(0, $A5-BH$4)*IF(RTD("tos.rtd",,"OPEN_INT","."&amp;$AA$3&amp;$AA$4&amp;"C"&amp;BH$4)="N/A",0,RTD("tos.rtd",,"OPEN_INT","."&amp;$AA$3&amp;$AA$4&amp;"C"&amp;BH$4))*100 + MAX(0, BH$4-$A5)*IF(RTD("tos.rtd",,"OPEN_INT","."&amp;$AA$3&amp;$AA$4&amp;"P"&amp;BH$4)="N/A",0,RTD("tos.rtd",,"OPEN_INT","."&amp;$AA$3&amp;$AA$4&amp;"P"&amp;BH$4))*100</f>
        <v>3108800</v>
      </c>
      <c r="BI5" s="18">
        <f>MAX(0, $A5-BI$4)*IF(RTD("tos.rtd",,"OPEN_INT","."&amp;$AA$3&amp;$AA$4&amp;"C"&amp;BI$4)="N/A",0,RTD("tos.rtd",,"OPEN_INT","."&amp;$AA$3&amp;$AA$4&amp;"C"&amp;BI$4))*100 + MAX(0, BI$4-$A5)*IF(RTD("tos.rtd",,"OPEN_INT","."&amp;$AA$3&amp;$AA$4&amp;"P"&amp;BI$4)="N/A",0,RTD("tos.rtd",,"OPEN_INT","."&amp;$AA$3&amp;$AA$4&amp;"P"&amp;BI$4))*100</f>
        <v>1389300</v>
      </c>
      <c r="BJ5" s="18">
        <f>MAX(0, $A5-BJ$4)*IF(RTD("tos.rtd",,"OPEN_INT","."&amp;$AA$3&amp;$AA$4&amp;"C"&amp;BJ$4)="N/A",0,RTD("tos.rtd",,"OPEN_INT","."&amp;$AA$3&amp;$AA$4&amp;"C"&amp;BJ$4))*100 + MAX(0, BJ$4-$A5)*IF(RTD("tos.rtd",,"OPEN_INT","."&amp;$AA$3&amp;$AA$4&amp;"P"&amp;BJ$4)="N/A",0,RTD("tos.rtd",,"OPEN_INT","."&amp;$AA$3&amp;$AA$4&amp;"P"&amp;BJ$4))*100</f>
        <v>256700</v>
      </c>
      <c r="BK5" s="18">
        <f>MAX(0, $A5-BK$4)*IF(RTD("tos.rtd",,"OPEN_INT","."&amp;$AA$3&amp;$AA$4&amp;"C"&amp;BK$4)="N/A",0,RTD("tos.rtd",,"OPEN_INT","."&amp;$AA$3&amp;$AA$4&amp;"C"&amp;BK$4))*100 + MAX(0, BK$4-$A5)*IF(RTD("tos.rtd",,"OPEN_INT","."&amp;$AA$3&amp;$AA$4&amp;"P"&amp;BK$4)="N/A",0,RTD("tos.rtd",,"OPEN_INT","."&amp;$AA$3&amp;$AA$4&amp;"P"&amp;BK$4))*100</f>
        <v>456750</v>
      </c>
      <c r="BL5" s="18">
        <f>MAX(0, $A5-BL$4)*IF(RTD("tos.rtd",,"OPEN_INT","."&amp;$AA$3&amp;$AA$4&amp;"C"&amp;BL$4)="N/A",0,RTD("tos.rtd",,"OPEN_INT","."&amp;$AA$3&amp;$AA$4&amp;"C"&amp;BL$4))*100 + MAX(0, BL$4-$A5)*IF(RTD("tos.rtd",,"OPEN_INT","."&amp;$AA$3&amp;$AA$4&amp;"P"&amp;BL$4)="N/A",0,RTD("tos.rtd",,"OPEN_INT","."&amp;$AA$3&amp;$AA$4&amp;"P"&amp;BL$4))*100</f>
        <v>28800</v>
      </c>
      <c r="BM5" s="18">
        <f>MAX(0, $A5-BM$4)*IF(RTD("tos.rtd",,"OPEN_INT","."&amp;$AA$3&amp;$AA$4&amp;"C"&amp;BM$4)="N/A",0,RTD("tos.rtd",,"OPEN_INT","."&amp;$AA$3&amp;$AA$4&amp;"C"&amp;BM$4))*100 + MAX(0, BM$4-$A5)*IF(RTD("tos.rtd",,"OPEN_INT","."&amp;$AA$3&amp;$AA$4&amp;"P"&amp;BM$4)="N/A",0,RTD("tos.rtd",,"OPEN_INT","."&amp;$AA$3&amp;$AA$4&amp;"P"&amp;BM$4))*100</f>
        <v>14800</v>
      </c>
      <c r="BN5" s="18">
        <f>MAX(0, $A5-BN$4)*IF(RTD("tos.rtd",,"OPEN_INT","."&amp;$AA$3&amp;$AA$4&amp;"C"&amp;BN$4)="N/A",0,RTD("tos.rtd",,"OPEN_INT","."&amp;$AA$3&amp;$AA$4&amp;"C"&amp;BN$4))*100 + MAX(0, BN$4-$A5)*IF(RTD("tos.rtd",,"OPEN_INT","."&amp;$AA$3&amp;$AA$4&amp;"P"&amp;BN$4)="N/A",0,RTD("tos.rtd",,"OPEN_INT","."&amp;$AA$3&amp;$AA$4&amp;"P"&amp;BN$4))*100</f>
        <v>58900</v>
      </c>
      <c r="BO5" s="18">
        <f>MAX(0, $A5-BO$4)*IF(RTD("tos.rtd",,"OPEN_INT","."&amp;$AA$3&amp;$AA$4&amp;"C"&amp;BO$4)="N/A",0,RTD("tos.rtd",,"OPEN_INT","."&amp;$AA$3&amp;$AA$4&amp;"C"&amp;BO$4))*100 + MAX(0, BO$4-$A5)*IF(RTD("tos.rtd",,"OPEN_INT","."&amp;$AA$3&amp;$AA$4&amp;"P"&amp;BO$4)="N/A",0,RTD("tos.rtd",,"OPEN_INT","."&amp;$AA$3&amp;$AA$4&amp;"P"&amp;BO$4))*100</f>
        <v>74100</v>
      </c>
      <c r="BP5" s="18">
        <f>MAX(0, $A5-BP$4)*IF(RTD("tos.rtd",,"OPEN_INT","."&amp;$AA$3&amp;$AA$4&amp;"C"&amp;BP$4)="N/A",0,RTD("tos.rtd",,"OPEN_INT","."&amp;$AA$3&amp;$AA$4&amp;"C"&amp;BP$4))*100 + MAX(0, BP$4-$A5)*IF(RTD("tos.rtd",,"OPEN_INT","."&amp;$AA$3&amp;$AA$4&amp;"P"&amp;BP$4)="N/A",0,RTD("tos.rtd",,"OPEN_INT","."&amp;$AA$3&amp;$AA$4&amp;"P"&amp;BP$4))*100</f>
        <v>0</v>
      </c>
      <c r="BQ5" s="18">
        <f>MAX(0, $A5-BQ$4)*IF(RTD("tos.rtd",,"OPEN_INT","."&amp;$AA$3&amp;$AA$4&amp;"C"&amp;BQ$4)="N/A",0,RTD("tos.rtd",,"OPEN_INT","."&amp;$AA$3&amp;$AA$4&amp;"C"&amp;BQ$4))*100 + MAX(0, BQ$4-$A5)*IF(RTD("tos.rtd",,"OPEN_INT","."&amp;$AA$3&amp;$AA$4&amp;"P"&amp;BQ$4)="N/A",0,RTD("tos.rtd",,"OPEN_INT","."&amp;$AA$3&amp;$AA$4&amp;"P"&amp;BQ$4))*100</f>
        <v>0</v>
      </c>
      <c r="BR5" s="18">
        <f>MAX(0, $A5-BR$4)*IF(RTD("tos.rtd",,"OPEN_INT","."&amp;$AA$3&amp;$AA$4&amp;"C"&amp;BR$4)="N/A",0,RTD("tos.rtd",,"OPEN_INT","."&amp;$AA$3&amp;$AA$4&amp;"C"&amp;BR$4))*100 + MAX(0, BR$4-$A5)*IF(RTD("tos.rtd",,"OPEN_INT","."&amp;$AA$3&amp;$AA$4&amp;"P"&amp;BR$4)="N/A",0,RTD("tos.rtd",,"OPEN_INT","."&amp;$AA$3&amp;$AA$4&amp;"P"&amp;BR$4))*100</f>
        <v>0</v>
      </c>
      <c r="BS5" s="18">
        <f>MAX(0, $A5-BS$4)*IF(RTD("tos.rtd",,"OPEN_INT","."&amp;$AA$3&amp;$AA$4&amp;"C"&amp;BS$4)="N/A",0,RTD("tos.rtd",,"OPEN_INT","."&amp;$AA$3&amp;$AA$4&amp;"C"&amp;BS$4))*100 + MAX(0, BS$4-$A5)*IF(RTD("tos.rtd",,"OPEN_INT","."&amp;$AA$3&amp;$AA$4&amp;"P"&amp;BS$4)="N/A",0,RTD("tos.rtd",,"OPEN_INT","."&amp;$AA$3&amp;$AA$4&amp;"P"&amp;BS$4))*100</f>
        <v>0</v>
      </c>
      <c r="BT5" s="18">
        <f>MAX(0, $A5-BT$4)*IF(RTD("tos.rtd",,"OPEN_INT","."&amp;$AA$3&amp;$AA$4&amp;"C"&amp;BT$4)="N/A",0,RTD("tos.rtd",,"OPEN_INT","."&amp;$AA$3&amp;$AA$4&amp;"C"&amp;BT$4))*100 + MAX(0, BT$4-$A5)*IF(RTD("tos.rtd",,"OPEN_INT","."&amp;$AA$3&amp;$AA$4&amp;"P"&amp;BT$4)="N/A",0,RTD("tos.rtd",,"OPEN_INT","."&amp;$AA$3&amp;$AA$4&amp;"P"&amp;BT$4))*100</f>
        <v>0</v>
      </c>
      <c r="BU5" s="18">
        <f>MAX(0, $A5-BU$4)*IF(RTD("tos.rtd",,"OPEN_INT","."&amp;$AA$3&amp;$AA$4&amp;"C"&amp;BU$4)="N/A",0,RTD("tos.rtd",,"OPEN_INT","."&amp;$AA$3&amp;$AA$4&amp;"C"&amp;BU$4))*100 + MAX(0, BU$4-$A5)*IF(RTD("tos.rtd",,"OPEN_INT","."&amp;$AA$3&amp;$AA$4&amp;"P"&amp;BU$4)="N/A",0,RTD("tos.rtd",,"OPEN_INT","."&amp;$AA$3&amp;$AA$4&amp;"P"&amp;BU$4))*100</f>
        <v>0</v>
      </c>
      <c r="BV5" s="18">
        <f>MAX(0, $A5-BV$4)*IF(RTD("tos.rtd",,"OPEN_INT","."&amp;$AA$3&amp;$AA$4&amp;"C"&amp;BV$4)="N/A",0,RTD("tos.rtd",,"OPEN_INT","."&amp;$AA$3&amp;$AA$4&amp;"C"&amp;BV$4))*100 + MAX(0, BV$4-$A5)*IF(RTD("tos.rtd",,"OPEN_INT","."&amp;$AA$3&amp;$AA$4&amp;"P"&amp;BV$4)="N/A",0,RTD("tos.rtd",,"OPEN_INT","."&amp;$AA$3&amp;$AA$4&amp;"P"&amp;BV$4))*100</f>
        <v>0</v>
      </c>
    </row>
    <row r="6" spans="1:74" s="19" customFormat="1" ht="11.1" customHeight="1" thickBot="1" x14ac:dyDescent="0.3">
      <c r="A6" s="23">
        <f t="shared" si="6"/>
        <v>21</v>
      </c>
      <c r="B6" s="14">
        <f ca="1">IF($A$2="PREMIUM_OI",IFERROR(IF($X$1="ABS",(100*RTD("tos.rtd",,"OPEN_INT","."&amp;B$2&amp;B$1&amp;"C"&amp;$A6)*RTD("tos.rtd",,"LAST","."&amp;B$2&amp;B$1&amp;"C"&amp;$A6)+100*RTD("tos.rtd",,"OPEN_INT","."&amp;B$2&amp;B$1&amp;"P"&amp;$A6)*RTD("tos.rtd",,"LAST","."&amp;B$2&amp;B$1&amp;"P"&amp;$A6))/1000000,(100*RTD("tos.rtd",,"OPEN_INT","."&amp;B$2&amp;B$1&amp;"C"&amp;$A6)*RTD("tos.rtd",,"LAST","."&amp;B$2&amp;B$1&amp;"C"&amp;$A6)-100*RTD("tos.rtd",,"OPEN_INT","."&amp;B$2&amp;B$1&amp;"P"&amp;$A6)*RTD("tos.rtd",,"LAST","."&amp;B$2&amp;B$1&amp;"P"&amp;$A6))/1000000),0),IF($A$2="PREMIUM",IFERROR(IF($X$1="ABS",(100*RTD("tos.rtd",,"VOLUME","."&amp;B$2&amp;B$1&amp;"C"&amp;$A6)*RTD("tos.rtd",,"LAST","."&amp;B$2&amp;B$1&amp;"C"&amp;$A6)+100*RTD("tos.rtd",,"VOLUME","."&amp;B$2&amp;B$1&amp;"P"&amp;$A6)*RTD("tos.rtd",,"LAST","."&amp;B$2&amp;B$1&amp;"P"&amp;$A6))/1000000,(100*RTD("tos.rtd",,"VOLUME","."&amp;B$2&amp;B$1&amp;"C"&amp;$A6)*RTD("tos.rtd",,"LAST","."&amp;B$2&amp;B$1&amp;"C"&amp;$A6)-100*RTD("tos.rtd",,"VOLUME","."&amp;B$2&amp;B$1&amp;"P"&amp;$A6)*RTD("tos.rtd",,"LAST","."&amp;B$2&amp;B$1&amp;"P"&amp;$A6))/1000000),0),IF($A$2="DEX",IFERROR(IF($X$1="ABS",(100*RTD("tos.rtd",,"OPEN_INT","."&amp;B$2&amp;B$1&amp;"C"&amp;$A6)*RTD("tos.rtd",,"DELTA","."&amp;B$2&amp;B$1&amp;"C"&amp;$A6)+100*RTD("tos.rtd",,"OPEN_INT","."&amp;B$2&amp;B$1&amp;"P"&amp;$A6)*RTD("tos.rtd",,"DELTA","."&amp;B$2&amp;B$1&amp;"P"&amp;$A6))/1000,(100*RTD("tos.rtd",,"OPEN_INT","."&amp;B$2&amp;B$1&amp;"C"&amp;$A6)*RTD("tos.rtd",,"DELTA","."&amp;B$2&amp;B$1&amp;"C"&amp;$A6)-100*RTD("tos.rtd",,"OPEN_INT","."&amp;B$2&amp;B$1&amp;"P"&amp;$A6)*RTD("tos.rtd",,"DELTA","."&amp;B$2&amp;B$1&amp;"P"&amp;$A6))/1000),0),IF($A$2="VEX",IFERROR(IF($X$1="ABS",($A$4*$A$4*RTD("tos.rtd",,"VOLUME","."&amp;B$2&amp;B$1&amp;"C"&amp;$A6)*RTD("tos.rtd",,"GAMMA","."&amp;B$2&amp;B$1&amp;"C"&amp;$A6)+$A$4*$A$4*RTD("tos.rtd",,"VOLUME","."&amp;B$2&amp;B$1&amp;"P"&amp;$A6)*RTD("tos.rtd",,"GAMMA","."&amp;B$2&amp;B$1&amp;"P"&amp;$A6))/1000000,($A$4*$A$4*RTD("tos.rtd",,"VOLUME","."&amp;B$2&amp;B$1&amp;"C"&amp;$A6)*RTD("tos.rtd",,"GAMMA","."&amp;B$2&amp;B$1&amp;"C"&amp;$A6)-$A$4*$A$4*RTD("tos.rtd",,"VOLUME","."&amp;B$2&amp;B$1&amp;"P"&amp;$A6)*RTD("tos.rtd",,"GAMMA","."&amp;B$2&amp;B$1&amp;"P"&amp;$A6))/1000000),0),IF($A$2="GEX",IFERROR(IF($X$1="ABS",($A$4*$A$4*RTD("tos.rtd",,"OPEN_INT","."&amp;B$2&amp;B$1&amp;"C"&amp;$A6)*RTD("tos.rtd",,"GAMMA","."&amp;B$2&amp;B$1&amp;"C"&amp;$A6)+$A$4*$A$4*RTD("tos.rtd",,"OPEN_INT","."&amp;B$2&amp;B$1&amp;"P"&amp;$A6)*RTD("tos.rtd",,"GAMMA","."&amp;B$2&amp;B$1&amp;"P"&amp;$A6))/1000000,($A$4*$A$4*RTD("tos.rtd",,"OPEN_INT","."&amp;B$2&amp;B$1&amp;"C"&amp;$A6)*RTD("tos.rtd",,"GAMMA","."&amp;B$2&amp;B$1&amp;"C"&amp;$A6)-$A$4*$A$4*RTD("tos.rtd",,"OPEN_INT","."&amp;B$2&amp;B$1&amp;"P"&amp;$A6)*RTD("tos.rtd",,"GAMMA","."&amp;B$2&amp;B$1&amp;"P"&amp;$A6))/1000000),0),IF($A$2="SKEW",IFERROR(VALUE(IF(RTD("tos.rtd",,"IMPL_VOL","."&amp;B$2&amp;B$1&amp;"P"&amp;$A6)="N/A",0,RTD("tos.rtd",,"IMPL_VOL","."&amp;B$2&amp;B$1&amp;"P"&amp;$A6))),0)-IFERROR(VALUE(IF(RTD("tos.rtd",,"IMPL_VOL","."&amp;B$2&amp;B$1&amp;"C"&amp;$A6)="N/A",0,RTD("tos.rtd",,"IMPL_VOL","."&amp;B$2&amp;B$1&amp;"C"&amp;$A6))),0),IF($A$2="MAXPAIN",IF($A$4&gt;$A6,($A$4-$A6)*IF(RTD("tos.rtd",,"OPEN_INT","."&amp;B$2&amp;B$1&amp;"C"&amp;$A6)="N/A",0,RTD("tos.rtd",,"OPEN_INT","."&amp;B$2&amp;B$1&amp;"C"&amp;$A6)),0)+IF($A$4&lt;$A6,($A$5-$A$4)*IF(RTD("tos.rtd",,"OPEN_INT","."&amp;B$2&amp;B$1&amp;"P"&amp;$A6)="N/A",0,RTD("tos.rtd",,"OPEN_INT","."&amp;B$2&amp;B$1&amp;"P"&amp;$A6)),0),IF($X$1="ABS",IF(RTD("tos.rtd",,$A$2,"."&amp;B$2&amp;B$1&amp;"C"&amp;$A6)="N/A",0,RTD("tos.rtd",,$A$2,"."&amp;B$2&amp;B$1&amp;"C"&amp;$A6))+IF(RTD("tos.rtd",,$A$2,"."&amp;B$2&amp;B$1&amp;"P"&amp;$A6)="N/A",0,RTD("tos.rtd",,$A$2,"."&amp;B$2&amp;B$1&amp;"P"&amp;$A6)),IF(RTD("tos.rtd",,$A$2,"."&amp;B$2&amp;B$1&amp;"C"&amp;$A6)="N/A",0,RTD("tos.rtd",,$A$2,"."&amp;B$2&amp;B$1&amp;"C"&amp;$A6))-IF(RTD("tos.rtd",,$A$2,"."&amp;B$2&amp;B$1&amp;"P"&amp;$A6)="N/A",0,RTD("tos.rtd",,$A$2,"."&amp;B$2&amp;B$1&amp;"P"&amp;$A6))))))))))</f>
        <v>0</v>
      </c>
      <c r="C6" s="12">
        <f ca="1">IF($A$2="PREMIUM_OI",IFERROR(IF($X$1="ABS",(100*RTD("tos.rtd",,"OPEN_INT","."&amp;C$2&amp;C$1&amp;"C"&amp;$A6)*RTD("tos.rtd",,"LAST","."&amp;C$2&amp;C$1&amp;"C"&amp;$A6)+100*RTD("tos.rtd",,"OPEN_INT","."&amp;C$2&amp;C$1&amp;"P"&amp;$A6)*RTD("tos.rtd",,"LAST","."&amp;C$2&amp;C$1&amp;"P"&amp;$A6))/1000000,(100*RTD("tos.rtd",,"OPEN_INT","."&amp;C$2&amp;C$1&amp;"C"&amp;$A6)*RTD("tos.rtd",,"LAST","."&amp;C$2&amp;C$1&amp;"C"&amp;$A6)-100*RTD("tos.rtd",,"OPEN_INT","."&amp;C$2&amp;C$1&amp;"P"&amp;$A6)*RTD("tos.rtd",,"LAST","."&amp;C$2&amp;C$1&amp;"P"&amp;$A6))/1000000),0),IF($A$2="PREMIUM",IFERROR(IF($X$1="ABS",(100*RTD("tos.rtd",,"VOLUME","."&amp;C$2&amp;C$1&amp;"C"&amp;$A6)*RTD("tos.rtd",,"LAST","."&amp;C$2&amp;C$1&amp;"C"&amp;$A6)+100*RTD("tos.rtd",,"VOLUME","."&amp;C$2&amp;C$1&amp;"P"&amp;$A6)*RTD("tos.rtd",,"LAST","."&amp;C$2&amp;C$1&amp;"P"&amp;$A6))/1000000,(100*RTD("tos.rtd",,"VOLUME","."&amp;C$2&amp;C$1&amp;"C"&amp;$A6)*RTD("tos.rtd",,"LAST","."&amp;C$2&amp;C$1&amp;"C"&amp;$A6)-100*RTD("tos.rtd",,"VOLUME","."&amp;C$2&amp;C$1&amp;"P"&amp;$A6)*RTD("tos.rtd",,"LAST","."&amp;C$2&amp;C$1&amp;"P"&amp;$A6))/1000000),0),IF($A$2="DEX",IFERROR(IF($X$1="ABS",(100*RTD("tos.rtd",,"OPEN_INT","."&amp;C$2&amp;C$1&amp;"C"&amp;$A6)*RTD("tos.rtd",,"DELTA","."&amp;C$2&amp;C$1&amp;"C"&amp;$A6)+100*RTD("tos.rtd",,"OPEN_INT","."&amp;C$2&amp;C$1&amp;"P"&amp;$A6)*RTD("tos.rtd",,"DELTA","."&amp;C$2&amp;C$1&amp;"P"&amp;$A6))/1000,(100*RTD("tos.rtd",,"OPEN_INT","."&amp;C$2&amp;C$1&amp;"C"&amp;$A6)*RTD("tos.rtd",,"DELTA","."&amp;C$2&amp;C$1&amp;"C"&amp;$A6)-100*RTD("tos.rtd",,"OPEN_INT","."&amp;C$2&amp;C$1&amp;"P"&amp;$A6)*RTD("tos.rtd",,"DELTA","."&amp;C$2&amp;C$1&amp;"P"&amp;$A6))/1000),0),IF($A$2="VEX",IFERROR(IF($X$1="ABS",($A$4*$A$4*RTD("tos.rtd",,"VOLUME","."&amp;C$2&amp;C$1&amp;"C"&amp;$A6)*RTD("tos.rtd",,"GAMMA","."&amp;C$2&amp;C$1&amp;"C"&amp;$A6)+$A$4*$A$4*RTD("tos.rtd",,"VOLUME","."&amp;C$2&amp;C$1&amp;"P"&amp;$A6)*RTD("tos.rtd",,"GAMMA","."&amp;C$2&amp;C$1&amp;"P"&amp;$A6))/1000000,($A$4*$A$4*RTD("tos.rtd",,"VOLUME","."&amp;C$2&amp;C$1&amp;"C"&amp;$A6)*RTD("tos.rtd",,"GAMMA","."&amp;C$2&amp;C$1&amp;"C"&amp;$A6)-$A$4*$A$4*RTD("tos.rtd",,"VOLUME","."&amp;C$2&amp;C$1&amp;"P"&amp;$A6)*RTD("tos.rtd",,"GAMMA","."&amp;C$2&amp;C$1&amp;"P"&amp;$A6))/1000000),0),IF($A$2="GEX",IFERROR(IF($X$1="ABS",($A$4*$A$4*RTD("tos.rtd",,"OPEN_INT","."&amp;C$2&amp;C$1&amp;"C"&amp;$A6)*RTD("tos.rtd",,"GAMMA","."&amp;C$2&amp;C$1&amp;"C"&amp;$A6)+$A$4*$A$4*RTD("tos.rtd",,"OPEN_INT","."&amp;C$2&amp;C$1&amp;"P"&amp;$A6)*RTD("tos.rtd",,"GAMMA","."&amp;C$2&amp;C$1&amp;"P"&amp;$A6))/1000000,($A$4*$A$4*RTD("tos.rtd",,"OPEN_INT","."&amp;C$2&amp;C$1&amp;"C"&amp;$A6)*RTD("tos.rtd",,"GAMMA","."&amp;C$2&amp;C$1&amp;"C"&amp;$A6)-$A$4*$A$4*RTD("tos.rtd",,"OPEN_INT","."&amp;C$2&amp;C$1&amp;"P"&amp;$A6)*RTD("tos.rtd",,"GAMMA","."&amp;C$2&amp;C$1&amp;"P"&amp;$A6))/1000000),0),IF($A$2="SKEW",IFERROR(VALUE(IF(RTD("tos.rtd",,"IMPL_VOL","."&amp;C$2&amp;C$1&amp;"P"&amp;$A6)="N/A",0,RTD("tos.rtd",,"IMPL_VOL","."&amp;C$2&amp;C$1&amp;"P"&amp;$A6))),0)-IFERROR(VALUE(IF(RTD("tos.rtd",,"IMPL_VOL","."&amp;C$2&amp;C$1&amp;"C"&amp;$A6)="N/A",0,RTD("tos.rtd",,"IMPL_VOL","."&amp;C$2&amp;C$1&amp;"C"&amp;$A6))),0),IF($A$2="MAXPAIN",IF($A$4&gt;$A6,($A$4-$A6)*IF(RTD("tos.rtd",,"OPEN_INT","."&amp;C$2&amp;C$1&amp;"C"&amp;$A6)="N/A",0,RTD("tos.rtd",,"OPEN_INT","."&amp;C$2&amp;C$1&amp;"C"&amp;$A6)),0)+IF($A$4&lt;$A6,($A$5-$A$4)*IF(RTD("tos.rtd",,"OPEN_INT","."&amp;C$2&amp;C$1&amp;"P"&amp;$A6)="N/A",0,RTD("tos.rtd",,"OPEN_INT","."&amp;C$2&amp;C$1&amp;"P"&amp;$A6)),0),IF($X$1="ABS",IF(RTD("tos.rtd",,$A$2,"."&amp;C$2&amp;C$1&amp;"C"&amp;$A6)="N/A",0,RTD("tos.rtd",,$A$2,"."&amp;C$2&amp;C$1&amp;"C"&amp;$A6))+IF(RTD("tos.rtd",,$A$2,"."&amp;C$2&amp;C$1&amp;"P"&amp;$A6)="N/A",0,RTD("tos.rtd",,$A$2,"."&amp;C$2&amp;C$1&amp;"P"&amp;$A6)),IF(RTD("tos.rtd",,$A$2,"."&amp;C$2&amp;C$1&amp;"C"&amp;$A6)="N/A",0,RTD("tos.rtd",,$A$2,"."&amp;C$2&amp;C$1&amp;"C"&amp;$A6))-IF(RTD("tos.rtd",,$A$2,"."&amp;C$2&amp;C$1&amp;"P"&amp;$A6)="N/A",0,RTD("tos.rtd",,$A$2,"."&amp;C$2&amp;C$1&amp;"P"&amp;$A6))))))))))</f>
        <v>0</v>
      </c>
      <c r="D6" s="12">
        <f ca="1">IF($A$2="PREMIUM_OI",IFERROR(IF($X$1="ABS",(100*RTD("tos.rtd",,"OPEN_INT","."&amp;D$2&amp;D$1&amp;"C"&amp;$A6)*RTD("tos.rtd",,"LAST","."&amp;D$2&amp;D$1&amp;"C"&amp;$A6)+100*RTD("tos.rtd",,"OPEN_INT","."&amp;D$2&amp;D$1&amp;"P"&amp;$A6)*RTD("tos.rtd",,"LAST","."&amp;D$2&amp;D$1&amp;"P"&amp;$A6))/1000000,(100*RTD("tos.rtd",,"OPEN_INT","."&amp;D$2&amp;D$1&amp;"C"&amp;$A6)*RTD("tos.rtd",,"LAST","."&amp;D$2&amp;D$1&amp;"C"&amp;$A6)-100*RTD("tos.rtd",,"OPEN_INT","."&amp;D$2&amp;D$1&amp;"P"&amp;$A6)*RTD("tos.rtd",,"LAST","."&amp;D$2&amp;D$1&amp;"P"&amp;$A6))/1000000),0),IF($A$2="PREMIUM",IFERROR(IF($X$1="ABS",(100*RTD("tos.rtd",,"VOLUME","."&amp;D$2&amp;D$1&amp;"C"&amp;$A6)*RTD("tos.rtd",,"LAST","."&amp;D$2&amp;D$1&amp;"C"&amp;$A6)+100*RTD("tos.rtd",,"VOLUME","."&amp;D$2&amp;D$1&amp;"P"&amp;$A6)*RTD("tos.rtd",,"LAST","."&amp;D$2&amp;D$1&amp;"P"&amp;$A6))/1000000,(100*RTD("tos.rtd",,"VOLUME","."&amp;D$2&amp;D$1&amp;"C"&amp;$A6)*RTD("tos.rtd",,"LAST","."&amp;D$2&amp;D$1&amp;"C"&amp;$A6)-100*RTD("tos.rtd",,"VOLUME","."&amp;D$2&amp;D$1&amp;"P"&amp;$A6)*RTD("tos.rtd",,"LAST","."&amp;D$2&amp;D$1&amp;"P"&amp;$A6))/1000000),0),IF($A$2="DEX",IFERROR(IF($X$1="ABS",(100*RTD("tos.rtd",,"OPEN_INT","."&amp;D$2&amp;D$1&amp;"C"&amp;$A6)*RTD("tos.rtd",,"DELTA","."&amp;D$2&amp;D$1&amp;"C"&amp;$A6)+100*RTD("tos.rtd",,"OPEN_INT","."&amp;D$2&amp;D$1&amp;"P"&amp;$A6)*RTD("tos.rtd",,"DELTA","."&amp;D$2&amp;D$1&amp;"P"&amp;$A6))/1000,(100*RTD("tos.rtd",,"OPEN_INT","."&amp;D$2&amp;D$1&amp;"C"&amp;$A6)*RTD("tos.rtd",,"DELTA","."&amp;D$2&amp;D$1&amp;"C"&amp;$A6)-100*RTD("tos.rtd",,"OPEN_INT","."&amp;D$2&amp;D$1&amp;"P"&amp;$A6)*RTD("tos.rtd",,"DELTA","."&amp;D$2&amp;D$1&amp;"P"&amp;$A6))/1000),0),IF($A$2="VEX",IFERROR(IF($X$1="ABS",($A$4*$A$4*RTD("tos.rtd",,"VOLUME","."&amp;D$2&amp;D$1&amp;"C"&amp;$A6)*RTD("tos.rtd",,"GAMMA","."&amp;D$2&amp;D$1&amp;"C"&amp;$A6)+$A$4*$A$4*RTD("tos.rtd",,"VOLUME","."&amp;D$2&amp;D$1&amp;"P"&amp;$A6)*RTD("tos.rtd",,"GAMMA","."&amp;D$2&amp;D$1&amp;"P"&amp;$A6))/1000000,($A$4*$A$4*RTD("tos.rtd",,"VOLUME","."&amp;D$2&amp;D$1&amp;"C"&amp;$A6)*RTD("tos.rtd",,"GAMMA","."&amp;D$2&amp;D$1&amp;"C"&amp;$A6)-$A$4*$A$4*RTD("tos.rtd",,"VOLUME","."&amp;D$2&amp;D$1&amp;"P"&amp;$A6)*RTD("tos.rtd",,"GAMMA","."&amp;D$2&amp;D$1&amp;"P"&amp;$A6))/1000000),0),IF($A$2="GEX",IFERROR(IF($X$1="ABS",($A$4*$A$4*RTD("tos.rtd",,"OPEN_INT","."&amp;D$2&amp;D$1&amp;"C"&amp;$A6)*RTD("tos.rtd",,"GAMMA","."&amp;D$2&amp;D$1&amp;"C"&amp;$A6)+$A$4*$A$4*RTD("tos.rtd",,"OPEN_INT","."&amp;D$2&amp;D$1&amp;"P"&amp;$A6)*RTD("tos.rtd",,"GAMMA","."&amp;D$2&amp;D$1&amp;"P"&amp;$A6))/1000000,($A$4*$A$4*RTD("tos.rtd",,"OPEN_INT","."&amp;D$2&amp;D$1&amp;"C"&amp;$A6)*RTD("tos.rtd",,"GAMMA","."&amp;D$2&amp;D$1&amp;"C"&amp;$A6)-$A$4*$A$4*RTD("tos.rtd",,"OPEN_INT","."&amp;D$2&amp;D$1&amp;"P"&amp;$A6)*RTD("tos.rtd",,"GAMMA","."&amp;D$2&amp;D$1&amp;"P"&amp;$A6))/1000000),0),IF($A$2="SKEW",IFERROR(VALUE(IF(RTD("tos.rtd",,"IMPL_VOL","."&amp;D$2&amp;D$1&amp;"P"&amp;$A6)="N/A",0,RTD("tos.rtd",,"IMPL_VOL","."&amp;D$2&amp;D$1&amp;"P"&amp;$A6))),0)-IFERROR(VALUE(IF(RTD("tos.rtd",,"IMPL_VOL","."&amp;D$2&amp;D$1&amp;"C"&amp;$A6)="N/A",0,RTD("tos.rtd",,"IMPL_VOL","."&amp;D$2&amp;D$1&amp;"C"&amp;$A6))),0),IF($A$2="MAXPAIN",IF($A$4&gt;$A6,($A$4-$A6)*IF(RTD("tos.rtd",,"OPEN_INT","."&amp;D$2&amp;D$1&amp;"C"&amp;$A6)="N/A",0,RTD("tos.rtd",,"OPEN_INT","."&amp;D$2&amp;D$1&amp;"C"&amp;$A6)),0)+IF($A$4&lt;$A6,($A$5-$A$4)*IF(RTD("tos.rtd",,"OPEN_INT","."&amp;D$2&amp;D$1&amp;"P"&amp;$A6)="N/A",0,RTD("tos.rtd",,"OPEN_INT","."&amp;D$2&amp;D$1&amp;"P"&amp;$A6)),0),IF($X$1="ABS",IF(RTD("tos.rtd",,$A$2,"."&amp;D$2&amp;D$1&amp;"C"&amp;$A6)="N/A",0,RTD("tos.rtd",,$A$2,"."&amp;D$2&amp;D$1&amp;"C"&amp;$A6))+IF(RTD("tos.rtd",,$A$2,"."&amp;D$2&amp;D$1&amp;"P"&amp;$A6)="N/A",0,RTD("tos.rtd",,$A$2,"."&amp;D$2&amp;D$1&amp;"P"&amp;$A6)),IF(RTD("tos.rtd",,$A$2,"."&amp;D$2&amp;D$1&amp;"C"&amp;$A6)="N/A",0,RTD("tos.rtd",,$A$2,"."&amp;D$2&amp;D$1&amp;"C"&amp;$A6))-IF(RTD("tos.rtd",,$A$2,"."&amp;D$2&amp;D$1&amp;"P"&amp;$A6)="N/A",0,RTD("tos.rtd",,$A$2,"."&amp;D$2&amp;D$1&amp;"P"&amp;$A6))))))))))</f>
        <v>14377</v>
      </c>
      <c r="E6" s="12">
        <f ca="1">IF($A$2="PREMIUM_OI",IFERROR(IF($X$1="ABS",(100*RTD("tos.rtd",,"OPEN_INT","."&amp;E$2&amp;E$1&amp;"C"&amp;$A6)*RTD("tos.rtd",,"LAST","."&amp;E$2&amp;E$1&amp;"C"&amp;$A6)+100*RTD("tos.rtd",,"OPEN_INT","."&amp;E$2&amp;E$1&amp;"P"&amp;$A6)*RTD("tos.rtd",,"LAST","."&amp;E$2&amp;E$1&amp;"P"&amp;$A6))/1000000,(100*RTD("tos.rtd",,"OPEN_INT","."&amp;E$2&amp;E$1&amp;"C"&amp;$A6)*RTD("tos.rtd",,"LAST","."&amp;E$2&amp;E$1&amp;"C"&amp;$A6)-100*RTD("tos.rtd",,"OPEN_INT","."&amp;E$2&amp;E$1&amp;"P"&amp;$A6)*RTD("tos.rtd",,"LAST","."&amp;E$2&amp;E$1&amp;"P"&amp;$A6))/1000000),0),IF($A$2="PREMIUM",IFERROR(IF($X$1="ABS",(100*RTD("tos.rtd",,"VOLUME","."&amp;E$2&amp;E$1&amp;"C"&amp;$A6)*RTD("tos.rtd",,"LAST","."&amp;E$2&amp;E$1&amp;"C"&amp;$A6)+100*RTD("tos.rtd",,"VOLUME","."&amp;E$2&amp;E$1&amp;"P"&amp;$A6)*RTD("tos.rtd",,"LAST","."&amp;E$2&amp;E$1&amp;"P"&amp;$A6))/1000000,(100*RTD("tos.rtd",,"VOLUME","."&amp;E$2&amp;E$1&amp;"C"&amp;$A6)*RTD("tos.rtd",,"LAST","."&amp;E$2&amp;E$1&amp;"C"&amp;$A6)-100*RTD("tos.rtd",,"VOLUME","."&amp;E$2&amp;E$1&amp;"P"&amp;$A6)*RTD("tos.rtd",,"LAST","."&amp;E$2&amp;E$1&amp;"P"&amp;$A6))/1000000),0),IF($A$2="DEX",IFERROR(IF($X$1="ABS",(100*RTD("tos.rtd",,"OPEN_INT","."&amp;E$2&amp;E$1&amp;"C"&amp;$A6)*RTD("tos.rtd",,"DELTA","."&amp;E$2&amp;E$1&amp;"C"&amp;$A6)+100*RTD("tos.rtd",,"OPEN_INT","."&amp;E$2&amp;E$1&amp;"P"&amp;$A6)*RTD("tos.rtd",,"DELTA","."&amp;E$2&amp;E$1&amp;"P"&amp;$A6))/1000,(100*RTD("tos.rtd",,"OPEN_INT","."&amp;E$2&amp;E$1&amp;"C"&amp;$A6)*RTD("tos.rtd",,"DELTA","."&amp;E$2&amp;E$1&amp;"C"&amp;$A6)-100*RTD("tos.rtd",,"OPEN_INT","."&amp;E$2&amp;E$1&amp;"P"&amp;$A6)*RTD("tos.rtd",,"DELTA","."&amp;E$2&amp;E$1&amp;"P"&amp;$A6))/1000),0),IF($A$2="VEX",IFERROR(IF($X$1="ABS",($A$4*$A$4*RTD("tos.rtd",,"VOLUME","."&amp;E$2&amp;E$1&amp;"C"&amp;$A6)*RTD("tos.rtd",,"GAMMA","."&amp;E$2&amp;E$1&amp;"C"&amp;$A6)+$A$4*$A$4*RTD("tos.rtd",,"VOLUME","."&amp;E$2&amp;E$1&amp;"P"&amp;$A6)*RTD("tos.rtd",,"GAMMA","."&amp;E$2&amp;E$1&amp;"P"&amp;$A6))/1000000,($A$4*$A$4*RTD("tos.rtd",,"VOLUME","."&amp;E$2&amp;E$1&amp;"C"&amp;$A6)*RTD("tos.rtd",,"GAMMA","."&amp;E$2&amp;E$1&amp;"C"&amp;$A6)-$A$4*$A$4*RTD("tos.rtd",,"VOLUME","."&amp;E$2&amp;E$1&amp;"P"&amp;$A6)*RTD("tos.rtd",,"GAMMA","."&amp;E$2&amp;E$1&amp;"P"&amp;$A6))/1000000),0),IF($A$2="GEX",IFERROR(IF($X$1="ABS",($A$4*$A$4*RTD("tos.rtd",,"OPEN_INT","."&amp;E$2&amp;E$1&amp;"C"&amp;$A6)*RTD("tos.rtd",,"GAMMA","."&amp;E$2&amp;E$1&amp;"C"&amp;$A6)+$A$4*$A$4*RTD("tos.rtd",,"OPEN_INT","."&amp;E$2&amp;E$1&amp;"P"&amp;$A6)*RTD("tos.rtd",,"GAMMA","."&amp;E$2&amp;E$1&amp;"P"&amp;$A6))/1000000,($A$4*$A$4*RTD("tos.rtd",,"OPEN_INT","."&amp;E$2&amp;E$1&amp;"C"&amp;$A6)*RTD("tos.rtd",,"GAMMA","."&amp;E$2&amp;E$1&amp;"C"&amp;$A6)-$A$4*$A$4*RTD("tos.rtd",,"OPEN_INT","."&amp;E$2&amp;E$1&amp;"P"&amp;$A6)*RTD("tos.rtd",,"GAMMA","."&amp;E$2&amp;E$1&amp;"P"&amp;$A6))/1000000),0),IF($A$2="SKEW",IFERROR(VALUE(IF(RTD("tos.rtd",,"IMPL_VOL","."&amp;E$2&amp;E$1&amp;"P"&amp;$A6)="N/A",0,RTD("tos.rtd",,"IMPL_VOL","."&amp;E$2&amp;E$1&amp;"P"&amp;$A6))),0)-IFERROR(VALUE(IF(RTD("tos.rtd",,"IMPL_VOL","."&amp;E$2&amp;E$1&amp;"C"&amp;$A6)="N/A",0,RTD("tos.rtd",,"IMPL_VOL","."&amp;E$2&amp;E$1&amp;"C"&amp;$A6))),0),IF($A$2="MAXPAIN",IF($A$4&gt;$A6,($A$4-$A6)*IF(RTD("tos.rtd",,"OPEN_INT","."&amp;E$2&amp;E$1&amp;"C"&amp;$A6)="N/A",0,RTD("tos.rtd",,"OPEN_INT","."&amp;E$2&amp;E$1&amp;"C"&amp;$A6)),0)+IF($A$4&lt;$A6,($A$5-$A$4)*IF(RTD("tos.rtd",,"OPEN_INT","."&amp;E$2&amp;E$1&amp;"P"&amp;$A6)="N/A",0,RTD("tos.rtd",,"OPEN_INT","."&amp;E$2&amp;E$1&amp;"P"&amp;$A6)),0),IF($X$1="ABS",IF(RTD("tos.rtd",,$A$2,"."&amp;E$2&amp;E$1&amp;"C"&amp;$A6)="N/A",0,RTD("tos.rtd",,$A$2,"."&amp;E$2&amp;E$1&amp;"C"&amp;$A6))+IF(RTD("tos.rtd",,$A$2,"."&amp;E$2&amp;E$1&amp;"P"&amp;$A6)="N/A",0,RTD("tos.rtd",,$A$2,"."&amp;E$2&amp;E$1&amp;"P"&amp;$A6)),IF(RTD("tos.rtd",,$A$2,"."&amp;E$2&amp;E$1&amp;"C"&amp;$A6)="N/A",0,RTD("tos.rtd",,$A$2,"."&amp;E$2&amp;E$1&amp;"C"&amp;$A6))-IF(RTD("tos.rtd",,$A$2,"."&amp;E$2&amp;E$1&amp;"P"&amp;$A6)="N/A",0,RTD("tos.rtd",,$A$2,"."&amp;E$2&amp;E$1&amp;"P"&amp;$A6))))))))))</f>
        <v>0</v>
      </c>
      <c r="F6" s="12">
        <f ca="1">IF($A$2="PREMIUM_OI",IFERROR(IF($X$1="ABS",(100*RTD("tos.rtd",,"OPEN_INT","."&amp;F$2&amp;F$1&amp;"C"&amp;$A6)*RTD("tos.rtd",,"LAST","."&amp;F$2&amp;F$1&amp;"C"&amp;$A6)+100*RTD("tos.rtd",,"OPEN_INT","."&amp;F$2&amp;F$1&amp;"P"&amp;$A6)*RTD("tos.rtd",,"LAST","."&amp;F$2&amp;F$1&amp;"P"&amp;$A6))/1000000,(100*RTD("tos.rtd",,"OPEN_INT","."&amp;F$2&amp;F$1&amp;"C"&amp;$A6)*RTD("tos.rtd",,"LAST","."&amp;F$2&amp;F$1&amp;"C"&amp;$A6)-100*RTD("tos.rtd",,"OPEN_INT","."&amp;F$2&amp;F$1&amp;"P"&amp;$A6)*RTD("tos.rtd",,"LAST","."&amp;F$2&amp;F$1&amp;"P"&amp;$A6))/1000000),0),IF($A$2="PREMIUM",IFERROR(IF($X$1="ABS",(100*RTD("tos.rtd",,"VOLUME","."&amp;F$2&amp;F$1&amp;"C"&amp;$A6)*RTD("tos.rtd",,"LAST","."&amp;F$2&amp;F$1&amp;"C"&amp;$A6)+100*RTD("tos.rtd",,"VOLUME","."&amp;F$2&amp;F$1&amp;"P"&amp;$A6)*RTD("tos.rtd",,"LAST","."&amp;F$2&amp;F$1&amp;"P"&amp;$A6))/1000000,(100*RTD("tos.rtd",,"VOLUME","."&amp;F$2&amp;F$1&amp;"C"&amp;$A6)*RTD("tos.rtd",,"LAST","."&amp;F$2&amp;F$1&amp;"C"&amp;$A6)-100*RTD("tos.rtd",,"VOLUME","."&amp;F$2&amp;F$1&amp;"P"&amp;$A6)*RTD("tos.rtd",,"LAST","."&amp;F$2&amp;F$1&amp;"P"&amp;$A6))/1000000),0),IF($A$2="DEX",IFERROR(IF($X$1="ABS",(100*RTD("tos.rtd",,"OPEN_INT","."&amp;F$2&amp;F$1&amp;"C"&amp;$A6)*RTD("tos.rtd",,"DELTA","."&amp;F$2&amp;F$1&amp;"C"&amp;$A6)+100*RTD("tos.rtd",,"OPEN_INT","."&amp;F$2&amp;F$1&amp;"P"&amp;$A6)*RTD("tos.rtd",,"DELTA","."&amp;F$2&amp;F$1&amp;"P"&amp;$A6))/1000,(100*RTD("tos.rtd",,"OPEN_INT","."&amp;F$2&amp;F$1&amp;"C"&amp;$A6)*RTD("tos.rtd",,"DELTA","."&amp;F$2&amp;F$1&amp;"C"&amp;$A6)-100*RTD("tos.rtd",,"OPEN_INT","."&amp;F$2&amp;F$1&amp;"P"&amp;$A6)*RTD("tos.rtd",,"DELTA","."&amp;F$2&amp;F$1&amp;"P"&amp;$A6))/1000),0),IF($A$2="VEX",IFERROR(IF($X$1="ABS",($A$4*$A$4*RTD("tos.rtd",,"VOLUME","."&amp;F$2&amp;F$1&amp;"C"&amp;$A6)*RTD("tos.rtd",,"GAMMA","."&amp;F$2&amp;F$1&amp;"C"&amp;$A6)+$A$4*$A$4*RTD("tos.rtd",,"VOLUME","."&amp;F$2&amp;F$1&amp;"P"&amp;$A6)*RTD("tos.rtd",,"GAMMA","."&amp;F$2&amp;F$1&amp;"P"&amp;$A6))/1000000,($A$4*$A$4*RTD("tos.rtd",,"VOLUME","."&amp;F$2&amp;F$1&amp;"C"&amp;$A6)*RTD("tos.rtd",,"GAMMA","."&amp;F$2&amp;F$1&amp;"C"&amp;$A6)-$A$4*$A$4*RTD("tos.rtd",,"VOLUME","."&amp;F$2&amp;F$1&amp;"P"&amp;$A6)*RTD("tos.rtd",,"GAMMA","."&amp;F$2&amp;F$1&amp;"P"&amp;$A6))/1000000),0),IF($A$2="GEX",IFERROR(IF($X$1="ABS",($A$4*$A$4*RTD("tos.rtd",,"OPEN_INT","."&amp;F$2&amp;F$1&amp;"C"&amp;$A6)*RTD("tos.rtd",,"GAMMA","."&amp;F$2&amp;F$1&amp;"C"&amp;$A6)+$A$4*$A$4*RTD("tos.rtd",,"OPEN_INT","."&amp;F$2&amp;F$1&amp;"P"&amp;$A6)*RTD("tos.rtd",,"GAMMA","."&amp;F$2&amp;F$1&amp;"P"&amp;$A6))/1000000,($A$4*$A$4*RTD("tos.rtd",,"OPEN_INT","."&amp;F$2&amp;F$1&amp;"C"&amp;$A6)*RTD("tos.rtd",,"GAMMA","."&amp;F$2&amp;F$1&amp;"C"&amp;$A6)-$A$4*$A$4*RTD("tos.rtd",,"OPEN_INT","."&amp;F$2&amp;F$1&amp;"P"&amp;$A6)*RTD("tos.rtd",,"GAMMA","."&amp;F$2&amp;F$1&amp;"P"&amp;$A6))/1000000),0),IF($A$2="SKEW",IFERROR(VALUE(IF(RTD("tos.rtd",,"IMPL_VOL","."&amp;F$2&amp;F$1&amp;"P"&amp;$A6)="N/A",0,RTD("tos.rtd",,"IMPL_VOL","."&amp;F$2&amp;F$1&amp;"P"&amp;$A6))),0)-IFERROR(VALUE(IF(RTD("tos.rtd",,"IMPL_VOL","."&amp;F$2&amp;F$1&amp;"C"&amp;$A6)="N/A",0,RTD("tos.rtd",,"IMPL_VOL","."&amp;F$2&amp;F$1&amp;"C"&amp;$A6))),0),IF($A$2="MAXPAIN",IF($A$4&gt;$A6,($A$4-$A6)*IF(RTD("tos.rtd",,"OPEN_INT","."&amp;F$2&amp;F$1&amp;"C"&amp;$A6)="N/A",0,RTD("tos.rtd",,"OPEN_INT","."&amp;F$2&amp;F$1&amp;"C"&amp;$A6)),0)+IF($A$4&lt;$A6,($A$5-$A$4)*IF(RTD("tos.rtd",,"OPEN_INT","."&amp;F$2&amp;F$1&amp;"P"&amp;$A6)="N/A",0,RTD("tos.rtd",,"OPEN_INT","."&amp;F$2&amp;F$1&amp;"P"&amp;$A6)),0),IF($X$1="ABS",IF(RTD("tos.rtd",,$A$2,"."&amp;F$2&amp;F$1&amp;"C"&amp;$A6)="N/A",0,RTD("tos.rtd",,$A$2,"."&amp;F$2&amp;F$1&amp;"C"&amp;$A6))+IF(RTD("tos.rtd",,$A$2,"."&amp;F$2&amp;F$1&amp;"P"&amp;$A6)="N/A",0,RTD("tos.rtd",,$A$2,"."&amp;F$2&amp;F$1&amp;"P"&amp;$A6)),IF(RTD("tos.rtd",,$A$2,"."&amp;F$2&amp;F$1&amp;"C"&amp;$A6)="N/A",0,RTD("tos.rtd",,$A$2,"."&amp;F$2&amp;F$1&amp;"C"&amp;$A6))-IF(RTD("tos.rtd",,$A$2,"."&amp;F$2&amp;F$1&amp;"P"&amp;$A6)="N/A",0,RTD("tos.rtd",,$A$2,"."&amp;F$2&amp;F$1&amp;"P"&amp;$A6))))))))))</f>
        <v>0</v>
      </c>
      <c r="G6" s="57">
        <f ca="1">IF($A$2="PREMIUM_OI",IFERROR(IF($X$1="ABS",(100*RTD("tos.rtd",,"OPEN_INT","."&amp;G$2&amp;G$1&amp;"C"&amp;$A6)*RTD("tos.rtd",,"LAST","."&amp;G$2&amp;G$1&amp;"C"&amp;$A6)+100*RTD("tos.rtd",,"OPEN_INT","."&amp;G$2&amp;G$1&amp;"P"&amp;$A6)*RTD("tos.rtd",,"LAST","."&amp;G$2&amp;G$1&amp;"P"&amp;$A6))/1000000,(100*RTD("tos.rtd",,"OPEN_INT","."&amp;G$2&amp;G$1&amp;"C"&amp;$A6)*RTD("tos.rtd",,"LAST","."&amp;G$2&amp;G$1&amp;"C"&amp;$A6)-100*RTD("tos.rtd",,"OPEN_INT","."&amp;G$2&amp;G$1&amp;"P"&amp;$A6)*RTD("tos.rtd",,"LAST","."&amp;G$2&amp;G$1&amp;"P"&amp;$A6))/1000000),0),IF($A$2="PREMIUM",IFERROR(IF($X$1="ABS",(100*RTD("tos.rtd",,"VOLUME","."&amp;G$2&amp;G$1&amp;"C"&amp;$A6)*RTD("tos.rtd",,"LAST","."&amp;G$2&amp;G$1&amp;"C"&amp;$A6)+100*RTD("tos.rtd",,"VOLUME","."&amp;G$2&amp;G$1&amp;"P"&amp;$A6)*RTD("tos.rtd",,"LAST","."&amp;G$2&amp;G$1&amp;"P"&amp;$A6))/1000000,(100*RTD("tos.rtd",,"VOLUME","."&amp;G$2&amp;G$1&amp;"C"&amp;$A6)*RTD("tos.rtd",,"LAST","."&amp;G$2&amp;G$1&amp;"C"&amp;$A6)-100*RTD("tos.rtd",,"VOLUME","."&amp;G$2&amp;G$1&amp;"P"&amp;$A6)*RTD("tos.rtd",,"LAST","."&amp;G$2&amp;G$1&amp;"P"&amp;$A6))/1000000),0),IF($A$2="DEX",IFERROR(IF($X$1="ABS",(100*RTD("tos.rtd",,"OPEN_INT","."&amp;G$2&amp;G$1&amp;"C"&amp;$A6)*RTD("tos.rtd",,"DELTA","."&amp;G$2&amp;G$1&amp;"C"&amp;$A6)+100*RTD("tos.rtd",,"OPEN_INT","."&amp;G$2&amp;G$1&amp;"P"&amp;$A6)*RTD("tos.rtd",,"DELTA","."&amp;G$2&amp;G$1&amp;"P"&amp;$A6))/1000,(100*RTD("tos.rtd",,"OPEN_INT","."&amp;G$2&amp;G$1&amp;"C"&amp;$A6)*RTD("tos.rtd",,"DELTA","."&amp;G$2&amp;G$1&amp;"C"&amp;$A6)-100*RTD("tos.rtd",,"OPEN_INT","."&amp;G$2&amp;G$1&amp;"P"&amp;$A6)*RTD("tos.rtd",,"DELTA","."&amp;G$2&amp;G$1&amp;"P"&amp;$A6))/1000),0),IF($A$2="VEX",IFERROR(IF($X$1="ABS",($A$4*$A$4*RTD("tos.rtd",,"VOLUME","."&amp;G$2&amp;G$1&amp;"C"&amp;$A6)*RTD("tos.rtd",,"GAMMA","."&amp;G$2&amp;G$1&amp;"C"&amp;$A6)+$A$4*$A$4*RTD("tos.rtd",,"VOLUME","."&amp;G$2&amp;G$1&amp;"P"&amp;$A6)*RTD("tos.rtd",,"GAMMA","."&amp;G$2&amp;G$1&amp;"P"&amp;$A6))/1000000,($A$4*$A$4*RTD("tos.rtd",,"VOLUME","."&amp;G$2&amp;G$1&amp;"C"&amp;$A6)*RTD("tos.rtd",,"GAMMA","."&amp;G$2&amp;G$1&amp;"C"&amp;$A6)-$A$4*$A$4*RTD("tos.rtd",,"VOLUME","."&amp;G$2&amp;G$1&amp;"P"&amp;$A6)*RTD("tos.rtd",,"GAMMA","."&amp;G$2&amp;G$1&amp;"P"&amp;$A6))/1000000),0),IF($A$2="GEX",IFERROR(IF($X$1="ABS",($A$4*$A$4*RTD("tos.rtd",,"OPEN_INT","."&amp;G$2&amp;G$1&amp;"C"&amp;$A6)*RTD("tos.rtd",,"GAMMA","."&amp;G$2&amp;G$1&amp;"C"&amp;$A6)+$A$4*$A$4*RTD("tos.rtd",,"OPEN_INT","."&amp;G$2&amp;G$1&amp;"P"&amp;$A6)*RTD("tos.rtd",,"GAMMA","."&amp;G$2&amp;G$1&amp;"P"&amp;$A6))/1000000,($A$4*$A$4*RTD("tos.rtd",,"OPEN_INT","."&amp;G$2&amp;G$1&amp;"C"&amp;$A6)*RTD("tos.rtd",,"GAMMA","."&amp;G$2&amp;G$1&amp;"C"&amp;$A6)-$A$4*$A$4*RTD("tos.rtd",,"OPEN_INT","."&amp;G$2&amp;G$1&amp;"P"&amp;$A6)*RTD("tos.rtd",,"GAMMA","."&amp;G$2&amp;G$1&amp;"P"&amp;$A6))/1000000),0),IF($A$2="SKEW",IFERROR(VALUE(IF(RTD("tos.rtd",,"IMPL_VOL","."&amp;G$2&amp;G$1&amp;"P"&amp;$A6)="N/A",0,RTD("tos.rtd",,"IMPL_VOL","."&amp;G$2&amp;G$1&amp;"P"&amp;$A6))),0)-IFERROR(VALUE(IF(RTD("tos.rtd",,"IMPL_VOL","."&amp;G$2&amp;G$1&amp;"C"&amp;$A6)="N/A",0,RTD("tos.rtd",,"IMPL_VOL","."&amp;G$2&amp;G$1&amp;"C"&amp;$A6))),0),IF($A$2="MAXPAIN",IF($A$4&gt;$A6,($A$4-$A6)*IF(RTD("tos.rtd",,"OPEN_INT","."&amp;G$2&amp;G$1&amp;"C"&amp;$A6)="N/A",0,RTD("tos.rtd",,"OPEN_INT","."&amp;G$2&amp;G$1&amp;"C"&amp;$A6)),0)+IF($A$4&lt;$A6,($A$5-$A$4)*IF(RTD("tos.rtd",,"OPEN_INT","."&amp;G$2&amp;G$1&amp;"P"&amp;$A6)="N/A",0,RTD("tos.rtd",,"OPEN_INT","."&amp;G$2&amp;G$1&amp;"P"&amp;$A6)),0),IF($X$1="ABS",IF(RTD("tos.rtd",,$A$2,"."&amp;G$2&amp;G$1&amp;"C"&amp;$A6)="N/A",0,RTD("tos.rtd",,$A$2,"."&amp;G$2&amp;G$1&amp;"C"&amp;$A6))+IF(RTD("tos.rtd",,$A$2,"."&amp;G$2&amp;G$1&amp;"P"&amp;$A6)="N/A",0,RTD("tos.rtd",,$A$2,"."&amp;G$2&amp;G$1&amp;"P"&amp;$A6)),IF(RTD("tos.rtd",,$A$2,"."&amp;G$2&amp;G$1&amp;"C"&amp;$A6)="N/A",0,RTD("tos.rtd",,$A$2,"."&amp;G$2&amp;G$1&amp;"C"&amp;$A6))-IF(RTD("tos.rtd",,$A$2,"."&amp;G$2&amp;G$1&amp;"P"&amp;$A6)="N/A",0,RTD("tos.rtd",,$A$2,"."&amp;G$2&amp;G$1&amp;"P"&amp;$A6))))))))))</f>
        <v>0</v>
      </c>
      <c r="H6" s="14">
        <f ca="1">IF($A$2="PREMIUM_OI",IFERROR(IF($X$1="ABS",(100*RTD("tos.rtd",,"OPEN_INT","."&amp;H$2&amp;H$1&amp;"C"&amp;$A6)*RTD("tos.rtd",,"LAST","."&amp;H$2&amp;H$1&amp;"C"&amp;$A6)+100*RTD("tos.rtd",,"OPEN_INT","."&amp;H$2&amp;H$1&amp;"P"&amp;$A6)*RTD("tos.rtd",,"LAST","."&amp;H$2&amp;H$1&amp;"P"&amp;$A6))/1000000,(100*RTD("tos.rtd",,"OPEN_INT","."&amp;H$2&amp;H$1&amp;"C"&amp;$A6)*RTD("tos.rtd",,"LAST","."&amp;H$2&amp;H$1&amp;"C"&amp;$A6)-100*RTD("tos.rtd",,"OPEN_INT","."&amp;H$2&amp;H$1&amp;"P"&amp;$A6)*RTD("tos.rtd",,"LAST","."&amp;H$2&amp;H$1&amp;"P"&amp;$A6))/1000000),0),IF($A$2="PREMIUM",IFERROR(IF($X$1="ABS",(100*RTD("tos.rtd",,"VOLUME","."&amp;H$2&amp;H$1&amp;"C"&amp;$A6)*RTD("tos.rtd",,"LAST","."&amp;H$2&amp;H$1&amp;"C"&amp;$A6)+100*RTD("tos.rtd",,"VOLUME","."&amp;H$2&amp;H$1&amp;"P"&amp;$A6)*RTD("tos.rtd",,"LAST","."&amp;H$2&amp;H$1&amp;"P"&amp;$A6))/1000000,(100*RTD("tos.rtd",,"VOLUME","."&amp;H$2&amp;H$1&amp;"C"&amp;$A6)*RTD("tos.rtd",,"LAST","."&amp;H$2&amp;H$1&amp;"C"&amp;$A6)-100*RTD("tos.rtd",,"VOLUME","."&amp;H$2&amp;H$1&amp;"P"&amp;$A6)*RTD("tos.rtd",,"LAST","."&amp;H$2&amp;H$1&amp;"P"&amp;$A6))/1000000),0),IF($A$2="DEX",IFERROR(IF($X$1="ABS",(100*RTD("tos.rtd",,"OPEN_INT","."&amp;H$2&amp;H$1&amp;"C"&amp;$A6)*RTD("tos.rtd",,"DELTA","."&amp;H$2&amp;H$1&amp;"C"&amp;$A6)+100*RTD("tos.rtd",,"OPEN_INT","."&amp;H$2&amp;H$1&amp;"P"&amp;$A6)*RTD("tos.rtd",,"DELTA","."&amp;H$2&amp;H$1&amp;"P"&amp;$A6))/1000,(100*RTD("tos.rtd",,"OPEN_INT","."&amp;H$2&amp;H$1&amp;"C"&amp;$A6)*RTD("tos.rtd",,"DELTA","."&amp;H$2&amp;H$1&amp;"C"&amp;$A6)-100*RTD("tos.rtd",,"OPEN_INT","."&amp;H$2&amp;H$1&amp;"P"&amp;$A6)*RTD("tos.rtd",,"DELTA","."&amp;H$2&amp;H$1&amp;"P"&amp;$A6))/1000),0),IF($A$2="VEX",IFERROR(IF($X$1="ABS",($A$4*$A$4*RTD("tos.rtd",,"VOLUME","."&amp;H$2&amp;H$1&amp;"C"&amp;$A6)*RTD("tos.rtd",,"GAMMA","."&amp;H$2&amp;H$1&amp;"C"&amp;$A6)+$A$4*$A$4*RTD("tos.rtd",,"VOLUME","."&amp;H$2&amp;H$1&amp;"P"&amp;$A6)*RTD("tos.rtd",,"GAMMA","."&amp;H$2&amp;H$1&amp;"P"&amp;$A6))/1000000,($A$4*$A$4*RTD("tos.rtd",,"VOLUME","."&amp;H$2&amp;H$1&amp;"C"&amp;$A6)*RTD("tos.rtd",,"GAMMA","."&amp;H$2&amp;H$1&amp;"C"&amp;$A6)-$A$4*$A$4*RTD("tos.rtd",,"VOLUME","."&amp;H$2&amp;H$1&amp;"P"&amp;$A6)*RTD("tos.rtd",,"GAMMA","."&amp;H$2&amp;H$1&amp;"P"&amp;$A6))/1000000),0),IF($A$2="GEX",IFERROR(IF($X$1="ABS",($A$4*$A$4*RTD("tos.rtd",,"OPEN_INT","."&amp;H$2&amp;H$1&amp;"C"&amp;$A6)*RTD("tos.rtd",,"GAMMA","."&amp;H$2&amp;H$1&amp;"C"&amp;$A6)+$A$4*$A$4*RTD("tos.rtd",,"OPEN_INT","."&amp;H$2&amp;H$1&amp;"P"&amp;$A6)*RTD("tos.rtd",,"GAMMA","."&amp;H$2&amp;H$1&amp;"P"&amp;$A6))/1000000,($A$4*$A$4*RTD("tos.rtd",,"OPEN_INT","."&amp;H$2&amp;H$1&amp;"C"&amp;$A6)*RTD("tos.rtd",,"GAMMA","."&amp;H$2&amp;H$1&amp;"C"&amp;$A6)-$A$4*$A$4*RTD("tos.rtd",,"OPEN_INT","."&amp;H$2&amp;H$1&amp;"P"&amp;$A6)*RTD("tos.rtd",,"GAMMA","."&amp;H$2&amp;H$1&amp;"P"&amp;$A6))/1000000),0),IF($A$2="SKEW",IFERROR(VALUE(IF(RTD("tos.rtd",,"IMPL_VOL","."&amp;H$2&amp;H$1&amp;"P"&amp;$A6)="N/A",0,RTD("tos.rtd",,"IMPL_VOL","."&amp;H$2&amp;H$1&amp;"P"&amp;$A6))),0)-IFERROR(VALUE(IF(RTD("tos.rtd",,"IMPL_VOL","."&amp;H$2&amp;H$1&amp;"C"&amp;$A6)="N/A",0,RTD("tos.rtd",,"IMPL_VOL","."&amp;H$2&amp;H$1&amp;"C"&amp;$A6))),0),IF($A$2="MAXPAIN",IF($A$4&gt;$A6,($A$4-$A6)*IF(RTD("tos.rtd",,"OPEN_INT","."&amp;H$2&amp;H$1&amp;"C"&amp;$A6)="N/A",0,RTD("tos.rtd",,"OPEN_INT","."&amp;H$2&amp;H$1&amp;"C"&amp;$A6)),0)+IF($A$4&lt;$A6,($A$5-$A$4)*IF(RTD("tos.rtd",,"OPEN_INT","."&amp;H$2&amp;H$1&amp;"P"&amp;$A6)="N/A",0,RTD("tos.rtd",,"OPEN_INT","."&amp;H$2&amp;H$1&amp;"P"&amp;$A6)),0),IF($X$1="ABS",IF(RTD("tos.rtd",,$A$2,"."&amp;H$2&amp;H$1&amp;"C"&amp;$A6)="N/A",0,RTD("tos.rtd",,$A$2,"."&amp;H$2&amp;H$1&amp;"C"&amp;$A6))+IF(RTD("tos.rtd",,$A$2,"."&amp;H$2&amp;H$1&amp;"P"&amp;$A6)="N/A",0,RTD("tos.rtd",,$A$2,"."&amp;H$2&amp;H$1&amp;"P"&amp;$A6)),IF(RTD("tos.rtd",,$A$2,"."&amp;H$2&amp;H$1&amp;"C"&amp;$A6)="N/A",0,RTD("tos.rtd",,$A$2,"."&amp;H$2&amp;H$1&amp;"C"&amp;$A6))-IF(RTD("tos.rtd",,$A$2,"."&amp;H$2&amp;H$1&amp;"P"&amp;$A6)="N/A",0,RTD("tos.rtd",,$A$2,"."&amp;H$2&amp;H$1&amp;"P"&amp;$A6))))))))))</f>
        <v>0</v>
      </c>
      <c r="I6" s="12">
        <f ca="1">IF($A$2="PREMIUM_OI",IFERROR(IF($X$1="ABS",(100*RTD("tos.rtd",,"OPEN_INT","."&amp;I$2&amp;I$1&amp;"C"&amp;$A6)*RTD("tos.rtd",,"LAST","."&amp;I$2&amp;I$1&amp;"C"&amp;$A6)+100*RTD("tos.rtd",,"OPEN_INT","."&amp;I$2&amp;I$1&amp;"P"&amp;$A6)*RTD("tos.rtd",,"LAST","."&amp;I$2&amp;I$1&amp;"P"&amp;$A6))/1000000,(100*RTD("tos.rtd",,"OPEN_INT","."&amp;I$2&amp;I$1&amp;"C"&amp;$A6)*RTD("tos.rtd",,"LAST","."&amp;I$2&amp;I$1&amp;"C"&amp;$A6)-100*RTD("tos.rtd",,"OPEN_INT","."&amp;I$2&amp;I$1&amp;"P"&amp;$A6)*RTD("tos.rtd",,"LAST","."&amp;I$2&amp;I$1&amp;"P"&amp;$A6))/1000000),0),IF($A$2="PREMIUM",IFERROR(IF($X$1="ABS",(100*RTD("tos.rtd",,"VOLUME","."&amp;I$2&amp;I$1&amp;"C"&amp;$A6)*RTD("tos.rtd",,"LAST","."&amp;I$2&amp;I$1&amp;"C"&amp;$A6)+100*RTD("tos.rtd",,"VOLUME","."&amp;I$2&amp;I$1&amp;"P"&amp;$A6)*RTD("tos.rtd",,"LAST","."&amp;I$2&amp;I$1&amp;"P"&amp;$A6))/1000000,(100*RTD("tos.rtd",,"VOLUME","."&amp;I$2&amp;I$1&amp;"C"&amp;$A6)*RTD("tos.rtd",,"LAST","."&amp;I$2&amp;I$1&amp;"C"&amp;$A6)-100*RTD("tos.rtd",,"VOLUME","."&amp;I$2&amp;I$1&amp;"P"&amp;$A6)*RTD("tos.rtd",,"LAST","."&amp;I$2&amp;I$1&amp;"P"&amp;$A6))/1000000),0),IF($A$2="DEX",IFERROR(IF($X$1="ABS",(100*RTD("tos.rtd",,"OPEN_INT","."&amp;I$2&amp;I$1&amp;"C"&amp;$A6)*RTD("tos.rtd",,"DELTA","."&amp;I$2&amp;I$1&amp;"C"&amp;$A6)+100*RTD("tos.rtd",,"OPEN_INT","."&amp;I$2&amp;I$1&amp;"P"&amp;$A6)*RTD("tos.rtd",,"DELTA","."&amp;I$2&amp;I$1&amp;"P"&amp;$A6))/1000,(100*RTD("tos.rtd",,"OPEN_INT","."&amp;I$2&amp;I$1&amp;"C"&amp;$A6)*RTD("tos.rtd",,"DELTA","."&amp;I$2&amp;I$1&amp;"C"&amp;$A6)-100*RTD("tos.rtd",,"OPEN_INT","."&amp;I$2&amp;I$1&amp;"P"&amp;$A6)*RTD("tos.rtd",,"DELTA","."&amp;I$2&amp;I$1&amp;"P"&amp;$A6))/1000),0),IF($A$2="VEX",IFERROR(IF($X$1="ABS",($A$4*$A$4*RTD("tos.rtd",,"VOLUME","."&amp;I$2&amp;I$1&amp;"C"&amp;$A6)*RTD("tos.rtd",,"GAMMA","."&amp;I$2&amp;I$1&amp;"C"&amp;$A6)+$A$4*$A$4*RTD("tos.rtd",,"VOLUME","."&amp;I$2&amp;I$1&amp;"P"&amp;$A6)*RTD("tos.rtd",,"GAMMA","."&amp;I$2&amp;I$1&amp;"P"&amp;$A6))/1000000,($A$4*$A$4*RTD("tos.rtd",,"VOLUME","."&amp;I$2&amp;I$1&amp;"C"&amp;$A6)*RTD("tos.rtd",,"GAMMA","."&amp;I$2&amp;I$1&amp;"C"&amp;$A6)-$A$4*$A$4*RTD("tos.rtd",,"VOLUME","."&amp;I$2&amp;I$1&amp;"P"&amp;$A6)*RTD("tos.rtd",,"GAMMA","."&amp;I$2&amp;I$1&amp;"P"&amp;$A6))/1000000),0),IF($A$2="GEX",IFERROR(IF($X$1="ABS",($A$4*$A$4*RTD("tos.rtd",,"OPEN_INT","."&amp;I$2&amp;I$1&amp;"C"&amp;$A6)*RTD("tos.rtd",,"GAMMA","."&amp;I$2&amp;I$1&amp;"C"&amp;$A6)+$A$4*$A$4*RTD("tos.rtd",,"OPEN_INT","."&amp;I$2&amp;I$1&amp;"P"&amp;$A6)*RTD("tos.rtd",,"GAMMA","."&amp;I$2&amp;I$1&amp;"P"&amp;$A6))/1000000,($A$4*$A$4*RTD("tos.rtd",,"OPEN_INT","."&amp;I$2&amp;I$1&amp;"C"&amp;$A6)*RTD("tos.rtd",,"GAMMA","."&amp;I$2&amp;I$1&amp;"C"&amp;$A6)-$A$4*$A$4*RTD("tos.rtd",,"OPEN_INT","."&amp;I$2&amp;I$1&amp;"P"&amp;$A6)*RTD("tos.rtd",,"GAMMA","."&amp;I$2&amp;I$1&amp;"P"&amp;$A6))/1000000),0),IF($A$2="SKEW",IFERROR(VALUE(IF(RTD("tos.rtd",,"IMPL_VOL","."&amp;I$2&amp;I$1&amp;"P"&amp;$A6)="N/A",0,RTD("tos.rtd",,"IMPL_VOL","."&amp;I$2&amp;I$1&amp;"P"&amp;$A6))),0)-IFERROR(VALUE(IF(RTD("tos.rtd",,"IMPL_VOL","."&amp;I$2&amp;I$1&amp;"C"&amp;$A6)="N/A",0,RTD("tos.rtd",,"IMPL_VOL","."&amp;I$2&amp;I$1&amp;"C"&amp;$A6))),0),IF($A$2="MAXPAIN",IF($A$4&gt;$A6,($A$4-$A6)*IF(RTD("tos.rtd",,"OPEN_INT","."&amp;I$2&amp;I$1&amp;"C"&amp;$A6)="N/A",0,RTD("tos.rtd",,"OPEN_INT","."&amp;I$2&amp;I$1&amp;"C"&amp;$A6)),0)+IF($A$4&lt;$A6,($A$5-$A$4)*IF(RTD("tos.rtd",,"OPEN_INT","."&amp;I$2&amp;I$1&amp;"P"&amp;$A6)="N/A",0,RTD("tos.rtd",,"OPEN_INT","."&amp;I$2&amp;I$1&amp;"P"&amp;$A6)),0),IF($X$1="ABS",IF(RTD("tos.rtd",,$A$2,"."&amp;I$2&amp;I$1&amp;"C"&amp;$A6)="N/A",0,RTD("tos.rtd",,$A$2,"."&amp;I$2&amp;I$1&amp;"C"&amp;$A6))+IF(RTD("tos.rtd",,$A$2,"."&amp;I$2&amp;I$1&amp;"P"&amp;$A6)="N/A",0,RTD("tos.rtd",,$A$2,"."&amp;I$2&amp;I$1&amp;"P"&amp;$A6)),IF(RTD("tos.rtd",,$A$2,"."&amp;I$2&amp;I$1&amp;"C"&amp;$A6)="N/A",0,RTD("tos.rtd",,$A$2,"."&amp;I$2&amp;I$1&amp;"C"&amp;$A6))-IF(RTD("tos.rtd",,$A$2,"."&amp;I$2&amp;I$1&amp;"P"&amp;$A6)="N/A",0,RTD("tos.rtd",,$A$2,"."&amp;I$2&amp;I$1&amp;"P"&amp;$A6))))))))))</f>
        <v>0</v>
      </c>
      <c r="J6" s="12">
        <f ca="1">IF($A$2="PREMIUM_OI",IFERROR(IF($X$1="ABS",(100*RTD("tos.rtd",,"OPEN_INT","."&amp;J$2&amp;J$1&amp;"C"&amp;$A6)*RTD("tos.rtd",,"LAST","."&amp;J$2&amp;J$1&amp;"C"&amp;$A6)+100*RTD("tos.rtd",,"OPEN_INT","."&amp;J$2&amp;J$1&amp;"P"&amp;$A6)*RTD("tos.rtd",,"LAST","."&amp;J$2&amp;J$1&amp;"P"&amp;$A6))/1000000,(100*RTD("tos.rtd",,"OPEN_INT","."&amp;J$2&amp;J$1&amp;"C"&amp;$A6)*RTD("tos.rtd",,"LAST","."&amp;J$2&amp;J$1&amp;"C"&amp;$A6)-100*RTD("tos.rtd",,"OPEN_INT","."&amp;J$2&amp;J$1&amp;"P"&amp;$A6)*RTD("tos.rtd",,"LAST","."&amp;J$2&amp;J$1&amp;"P"&amp;$A6))/1000000),0),IF($A$2="PREMIUM",IFERROR(IF($X$1="ABS",(100*RTD("tos.rtd",,"VOLUME","."&amp;J$2&amp;J$1&amp;"C"&amp;$A6)*RTD("tos.rtd",,"LAST","."&amp;J$2&amp;J$1&amp;"C"&amp;$A6)+100*RTD("tos.rtd",,"VOLUME","."&amp;J$2&amp;J$1&amp;"P"&amp;$A6)*RTD("tos.rtd",,"LAST","."&amp;J$2&amp;J$1&amp;"P"&amp;$A6))/1000000,(100*RTD("tos.rtd",,"VOLUME","."&amp;J$2&amp;J$1&amp;"C"&amp;$A6)*RTD("tos.rtd",,"LAST","."&amp;J$2&amp;J$1&amp;"C"&amp;$A6)-100*RTD("tos.rtd",,"VOLUME","."&amp;J$2&amp;J$1&amp;"P"&amp;$A6)*RTD("tos.rtd",,"LAST","."&amp;J$2&amp;J$1&amp;"P"&amp;$A6))/1000000),0),IF($A$2="DEX",IFERROR(IF($X$1="ABS",(100*RTD("tos.rtd",,"OPEN_INT","."&amp;J$2&amp;J$1&amp;"C"&amp;$A6)*RTD("tos.rtd",,"DELTA","."&amp;J$2&amp;J$1&amp;"C"&amp;$A6)+100*RTD("tos.rtd",,"OPEN_INT","."&amp;J$2&amp;J$1&amp;"P"&amp;$A6)*RTD("tos.rtd",,"DELTA","."&amp;J$2&amp;J$1&amp;"P"&amp;$A6))/1000,(100*RTD("tos.rtd",,"OPEN_INT","."&amp;J$2&amp;J$1&amp;"C"&amp;$A6)*RTD("tos.rtd",,"DELTA","."&amp;J$2&amp;J$1&amp;"C"&amp;$A6)-100*RTD("tos.rtd",,"OPEN_INT","."&amp;J$2&amp;J$1&amp;"P"&amp;$A6)*RTD("tos.rtd",,"DELTA","."&amp;J$2&amp;J$1&amp;"P"&amp;$A6))/1000),0),IF($A$2="VEX",IFERROR(IF($X$1="ABS",($A$4*$A$4*RTD("tos.rtd",,"VOLUME","."&amp;J$2&amp;J$1&amp;"C"&amp;$A6)*RTD("tos.rtd",,"GAMMA","."&amp;J$2&amp;J$1&amp;"C"&amp;$A6)+$A$4*$A$4*RTD("tos.rtd",,"VOLUME","."&amp;J$2&amp;J$1&amp;"P"&amp;$A6)*RTD("tos.rtd",,"GAMMA","."&amp;J$2&amp;J$1&amp;"P"&amp;$A6))/1000000,($A$4*$A$4*RTD("tos.rtd",,"VOLUME","."&amp;J$2&amp;J$1&amp;"C"&amp;$A6)*RTD("tos.rtd",,"GAMMA","."&amp;J$2&amp;J$1&amp;"C"&amp;$A6)-$A$4*$A$4*RTD("tos.rtd",,"VOLUME","."&amp;J$2&amp;J$1&amp;"P"&amp;$A6)*RTD("tos.rtd",,"GAMMA","."&amp;J$2&amp;J$1&amp;"P"&amp;$A6))/1000000),0),IF($A$2="GEX",IFERROR(IF($X$1="ABS",($A$4*$A$4*RTD("tos.rtd",,"OPEN_INT","."&amp;J$2&amp;J$1&amp;"C"&amp;$A6)*RTD("tos.rtd",,"GAMMA","."&amp;J$2&amp;J$1&amp;"C"&amp;$A6)+$A$4*$A$4*RTD("tos.rtd",,"OPEN_INT","."&amp;J$2&amp;J$1&amp;"P"&amp;$A6)*RTD("tos.rtd",,"GAMMA","."&amp;J$2&amp;J$1&amp;"P"&amp;$A6))/1000000,($A$4*$A$4*RTD("tos.rtd",,"OPEN_INT","."&amp;J$2&amp;J$1&amp;"C"&amp;$A6)*RTD("tos.rtd",,"GAMMA","."&amp;J$2&amp;J$1&amp;"C"&amp;$A6)-$A$4*$A$4*RTD("tos.rtd",,"OPEN_INT","."&amp;J$2&amp;J$1&amp;"P"&amp;$A6)*RTD("tos.rtd",,"GAMMA","."&amp;J$2&amp;J$1&amp;"P"&amp;$A6))/1000000),0),IF($A$2="SKEW",IFERROR(VALUE(IF(RTD("tos.rtd",,"IMPL_VOL","."&amp;J$2&amp;J$1&amp;"P"&amp;$A6)="N/A",0,RTD("tos.rtd",,"IMPL_VOL","."&amp;J$2&amp;J$1&amp;"P"&amp;$A6))),0)-IFERROR(VALUE(IF(RTD("tos.rtd",,"IMPL_VOL","."&amp;J$2&amp;J$1&amp;"C"&amp;$A6)="N/A",0,RTD("tos.rtd",,"IMPL_VOL","."&amp;J$2&amp;J$1&amp;"C"&amp;$A6))),0),IF($A$2="MAXPAIN",IF($A$4&gt;$A6,($A$4-$A6)*IF(RTD("tos.rtd",,"OPEN_INT","."&amp;J$2&amp;J$1&amp;"C"&amp;$A6)="N/A",0,RTD("tos.rtd",,"OPEN_INT","."&amp;J$2&amp;J$1&amp;"C"&amp;$A6)),0)+IF($A$4&lt;$A6,($A$5-$A$4)*IF(RTD("tos.rtd",,"OPEN_INT","."&amp;J$2&amp;J$1&amp;"P"&amp;$A6)="N/A",0,RTD("tos.rtd",,"OPEN_INT","."&amp;J$2&amp;J$1&amp;"P"&amp;$A6)),0),IF($X$1="ABS",IF(RTD("tos.rtd",,$A$2,"."&amp;J$2&amp;J$1&amp;"C"&amp;$A6)="N/A",0,RTD("tos.rtd",,$A$2,"."&amp;J$2&amp;J$1&amp;"C"&amp;$A6))+IF(RTD("tos.rtd",,$A$2,"."&amp;J$2&amp;J$1&amp;"P"&amp;$A6)="N/A",0,RTD("tos.rtd",,$A$2,"."&amp;J$2&amp;J$1&amp;"P"&amp;$A6)),IF(RTD("tos.rtd",,$A$2,"."&amp;J$2&amp;J$1&amp;"C"&amp;$A6)="N/A",0,RTD("tos.rtd",,$A$2,"."&amp;J$2&amp;J$1&amp;"C"&amp;$A6))-IF(RTD("tos.rtd",,$A$2,"."&amp;J$2&amp;J$1&amp;"P"&amp;$A6)="N/A",0,RTD("tos.rtd",,$A$2,"."&amp;J$2&amp;J$1&amp;"P"&amp;$A6))))))))))</f>
        <v>0</v>
      </c>
      <c r="K6" s="12">
        <f ca="1">IF($A$2="PREMIUM_OI",IFERROR(IF($X$1="ABS",(100*RTD("tos.rtd",,"OPEN_INT","."&amp;K$2&amp;K$1&amp;"C"&amp;$A6)*RTD("tos.rtd",,"LAST","."&amp;K$2&amp;K$1&amp;"C"&amp;$A6)+100*RTD("tos.rtd",,"OPEN_INT","."&amp;K$2&amp;K$1&amp;"P"&amp;$A6)*RTD("tos.rtd",,"LAST","."&amp;K$2&amp;K$1&amp;"P"&amp;$A6))/1000000,(100*RTD("tos.rtd",,"OPEN_INT","."&amp;K$2&amp;K$1&amp;"C"&amp;$A6)*RTD("tos.rtd",,"LAST","."&amp;K$2&amp;K$1&amp;"C"&amp;$A6)-100*RTD("tos.rtd",,"OPEN_INT","."&amp;K$2&amp;K$1&amp;"P"&amp;$A6)*RTD("tos.rtd",,"LAST","."&amp;K$2&amp;K$1&amp;"P"&amp;$A6))/1000000),0),IF($A$2="PREMIUM",IFERROR(IF($X$1="ABS",(100*RTD("tos.rtd",,"VOLUME","."&amp;K$2&amp;K$1&amp;"C"&amp;$A6)*RTD("tos.rtd",,"LAST","."&amp;K$2&amp;K$1&amp;"C"&amp;$A6)+100*RTD("tos.rtd",,"VOLUME","."&amp;K$2&amp;K$1&amp;"P"&amp;$A6)*RTD("tos.rtd",,"LAST","."&amp;K$2&amp;K$1&amp;"P"&amp;$A6))/1000000,(100*RTD("tos.rtd",,"VOLUME","."&amp;K$2&amp;K$1&amp;"C"&amp;$A6)*RTD("tos.rtd",,"LAST","."&amp;K$2&amp;K$1&amp;"C"&amp;$A6)-100*RTD("tos.rtd",,"VOLUME","."&amp;K$2&amp;K$1&amp;"P"&amp;$A6)*RTD("tos.rtd",,"LAST","."&amp;K$2&amp;K$1&amp;"P"&amp;$A6))/1000000),0),IF($A$2="DEX",IFERROR(IF($X$1="ABS",(100*RTD("tos.rtd",,"OPEN_INT","."&amp;K$2&amp;K$1&amp;"C"&amp;$A6)*RTD("tos.rtd",,"DELTA","."&amp;K$2&amp;K$1&amp;"C"&amp;$A6)+100*RTD("tos.rtd",,"OPEN_INT","."&amp;K$2&amp;K$1&amp;"P"&amp;$A6)*RTD("tos.rtd",,"DELTA","."&amp;K$2&amp;K$1&amp;"P"&amp;$A6))/1000,(100*RTD("tos.rtd",,"OPEN_INT","."&amp;K$2&amp;K$1&amp;"C"&amp;$A6)*RTD("tos.rtd",,"DELTA","."&amp;K$2&amp;K$1&amp;"C"&amp;$A6)-100*RTD("tos.rtd",,"OPEN_INT","."&amp;K$2&amp;K$1&amp;"P"&amp;$A6)*RTD("tos.rtd",,"DELTA","."&amp;K$2&amp;K$1&amp;"P"&amp;$A6))/1000),0),IF($A$2="VEX",IFERROR(IF($X$1="ABS",($A$4*$A$4*RTD("tos.rtd",,"VOLUME","."&amp;K$2&amp;K$1&amp;"C"&amp;$A6)*RTD("tos.rtd",,"GAMMA","."&amp;K$2&amp;K$1&amp;"C"&amp;$A6)+$A$4*$A$4*RTD("tos.rtd",,"VOLUME","."&amp;K$2&amp;K$1&amp;"P"&amp;$A6)*RTD("tos.rtd",,"GAMMA","."&amp;K$2&amp;K$1&amp;"P"&amp;$A6))/1000000,($A$4*$A$4*RTD("tos.rtd",,"VOLUME","."&amp;K$2&amp;K$1&amp;"C"&amp;$A6)*RTD("tos.rtd",,"GAMMA","."&amp;K$2&amp;K$1&amp;"C"&amp;$A6)-$A$4*$A$4*RTD("tos.rtd",,"VOLUME","."&amp;K$2&amp;K$1&amp;"P"&amp;$A6)*RTD("tos.rtd",,"GAMMA","."&amp;K$2&amp;K$1&amp;"P"&amp;$A6))/1000000),0),IF($A$2="GEX",IFERROR(IF($X$1="ABS",($A$4*$A$4*RTD("tos.rtd",,"OPEN_INT","."&amp;K$2&amp;K$1&amp;"C"&amp;$A6)*RTD("tos.rtd",,"GAMMA","."&amp;K$2&amp;K$1&amp;"C"&amp;$A6)+$A$4*$A$4*RTD("tos.rtd",,"OPEN_INT","."&amp;K$2&amp;K$1&amp;"P"&amp;$A6)*RTD("tos.rtd",,"GAMMA","."&amp;K$2&amp;K$1&amp;"P"&amp;$A6))/1000000,($A$4*$A$4*RTD("tos.rtd",,"OPEN_INT","."&amp;K$2&amp;K$1&amp;"C"&amp;$A6)*RTD("tos.rtd",,"GAMMA","."&amp;K$2&amp;K$1&amp;"C"&amp;$A6)-$A$4*$A$4*RTD("tos.rtd",,"OPEN_INT","."&amp;K$2&amp;K$1&amp;"P"&amp;$A6)*RTD("tos.rtd",,"GAMMA","."&amp;K$2&amp;K$1&amp;"P"&amp;$A6))/1000000),0),IF($A$2="SKEW",IFERROR(VALUE(IF(RTD("tos.rtd",,"IMPL_VOL","."&amp;K$2&amp;K$1&amp;"P"&amp;$A6)="N/A",0,RTD("tos.rtd",,"IMPL_VOL","."&amp;K$2&amp;K$1&amp;"P"&amp;$A6))),0)-IFERROR(VALUE(IF(RTD("tos.rtd",,"IMPL_VOL","."&amp;K$2&amp;K$1&amp;"C"&amp;$A6)="N/A",0,RTD("tos.rtd",,"IMPL_VOL","."&amp;K$2&amp;K$1&amp;"C"&amp;$A6))),0),IF($A$2="MAXPAIN",IF($A$4&gt;$A6,($A$4-$A6)*IF(RTD("tos.rtd",,"OPEN_INT","."&amp;K$2&amp;K$1&amp;"C"&amp;$A6)="N/A",0,RTD("tos.rtd",,"OPEN_INT","."&amp;K$2&amp;K$1&amp;"C"&amp;$A6)),0)+IF($A$4&lt;$A6,($A$5-$A$4)*IF(RTD("tos.rtd",,"OPEN_INT","."&amp;K$2&amp;K$1&amp;"P"&amp;$A6)="N/A",0,RTD("tos.rtd",,"OPEN_INT","."&amp;K$2&amp;K$1&amp;"P"&amp;$A6)),0),IF($X$1="ABS",IF(RTD("tos.rtd",,$A$2,"."&amp;K$2&amp;K$1&amp;"C"&amp;$A6)="N/A",0,RTD("tos.rtd",,$A$2,"."&amp;K$2&amp;K$1&amp;"C"&amp;$A6))+IF(RTD("tos.rtd",,$A$2,"."&amp;K$2&amp;K$1&amp;"P"&amp;$A6)="N/A",0,RTD("tos.rtd",,$A$2,"."&amp;K$2&amp;K$1&amp;"P"&amp;$A6)),IF(RTD("tos.rtd",,$A$2,"."&amp;K$2&amp;K$1&amp;"C"&amp;$A6)="N/A",0,RTD("tos.rtd",,$A$2,"."&amp;K$2&amp;K$1&amp;"C"&amp;$A6))-IF(RTD("tos.rtd",,$A$2,"."&amp;K$2&amp;K$1&amp;"P"&amp;$A6)="N/A",0,RTD("tos.rtd",,$A$2,"."&amp;K$2&amp;K$1&amp;"P"&amp;$A6))))))))))</f>
        <v>0</v>
      </c>
      <c r="L6" s="54">
        <f ca="1">IF($A$2="PREMIUM_OI",IFERROR(IF($X$1="ABS",(100*RTD("tos.rtd",,"OPEN_INT","."&amp;L$2&amp;L$1&amp;"C"&amp;$A6)*RTD("tos.rtd",,"LAST","."&amp;L$2&amp;L$1&amp;"C"&amp;$A6)+100*RTD("tos.rtd",,"OPEN_INT","."&amp;L$2&amp;L$1&amp;"P"&amp;$A6)*RTD("tos.rtd",,"LAST","."&amp;L$2&amp;L$1&amp;"P"&amp;$A6))/1000000,(100*RTD("tos.rtd",,"OPEN_INT","."&amp;L$2&amp;L$1&amp;"C"&amp;$A6)*RTD("tos.rtd",,"LAST","."&amp;L$2&amp;L$1&amp;"C"&amp;$A6)-100*RTD("tos.rtd",,"OPEN_INT","."&amp;L$2&amp;L$1&amp;"P"&amp;$A6)*RTD("tos.rtd",,"LAST","."&amp;L$2&amp;L$1&amp;"P"&amp;$A6))/1000000),0),IF($A$2="PREMIUM",IFERROR(IF($X$1="ABS",(100*RTD("tos.rtd",,"VOLUME","."&amp;L$2&amp;L$1&amp;"C"&amp;$A6)*RTD("tos.rtd",,"LAST","."&amp;L$2&amp;L$1&amp;"C"&amp;$A6)+100*RTD("tos.rtd",,"VOLUME","."&amp;L$2&amp;L$1&amp;"P"&amp;$A6)*RTD("tos.rtd",,"LAST","."&amp;L$2&amp;L$1&amp;"P"&amp;$A6))/1000000,(100*RTD("tos.rtd",,"VOLUME","."&amp;L$2&amp;L$1&amp;"C"&amp;$A6)*RTD("tos.rtd",,"LAST","."&amp;L$2&amp;L$1&amp;"C"&amp;$A6)-100*RTD("tos.rtd",,"VOLUME","."&amp;L$2&amp;L$1&amp;"P"&amp;$A6)*RTD("tos.rtd",,"LAST","."&amp;L$2&amp;L$1&amp;"P"&amp;$A6))/1000000),0),IF($A$2="DEX",IFERROR(IF($X$1="ABS",(100*RTD("tos.rtd",,"OPEN_INT","."&amp;L$2&amp;L$1&amp;"C"&amp;$A6)*RTD("tos.rtd",,"DELTA","."&amp;L$2&amp;L$1&amp;"C"&amp;$A6)+100*RTD("tos.rtd",,"OPEN_INT","."&amp;L$2&amp;L$1&amp;"P"&amp;$A6)*RTD("tos.rtd",,"DELTA","."&amp;L$2&amp;L$1&amp;"P"&amp;$A6))/1000,(100*RTD("tos.rtd",,"OPEN_INT","."&amp;L$2&amp;L$1&amp;"C"&amp;$A6)*RTD("tos.rtd",,"DELTA","."&amp;L$2&amp;L$1&amp;"C"&amp;$A6)-100*RTD("tos.rtd",,"OPEN_INT","."&amp;L$2&amp;L$1&amp;"P"&amp;$A6)*RTD("tos.rtd",,"DELTA","."&amp;L$2&amp;L$1&amp;"P"&amp;$A6))/1000),0),IF($A$2="VEX",IFERROR(IF($X$1="ABS",($A$4*$A$4*RTD("tos.rtd",,"VOLUME","."&amp;L$2&amp;L$1&amp;"C"&amp;$A6)*RTD("tos.rtd",,"GAMMA","."&amp;L$2&amp;L$1&amp;"C"&amp;$A6)+$A$4*$A$4*RTD("tos.rtd",,"VOLUME","."&amp;L$2&amp;L$1&amp;"P"&amp;$A6)*RTD("tos.rtd",,"GAMMA","."&amp;L$2&amp;L$1&amp;"P"&amp;$A6))/1000000,($A$4*$A$4*RTD("tos.rtd",,"VOLUME","."&amp;L$2&amp;L$1&amp;"C"&amp;$A6)*RTD("tos.rtd",,"GAMMA","."&amp;L$2&amp;L$1&amp;"C"&amp;$A6)-$A$4*$A$4*RTD("tos.rtd",,"VOLUME","."&amp;L$2&amp;L$1&amp;"P"&amp;$A6)*RTD("tos.rtd",,"GAMMA","."&amp;L$2&amp;L$1&amp;"P"&amp;$A6))/1000000),0),IF($A$2="GEX",IFERROR(IF($X$1="ABS",($A$4*$A$4*RTD("tos.rtd",,"OPEN_INT","."&amp;L$2&amp;L$1&amp;"C"&amp;$A6)*RTD("tos.rtd",,"GAMMA","."&amp;L$2&amp;L$1&amp;"C"&amp;$A6)+$A$4*$A$4*RTD("tos.rtd",,"OPEN_INT","."&amp;L$2&amp;L$1&amp;"P"&amp;$A6)*RTD("tos.rtd",,"GAMMA","."&amp;L$2&amp;L$1&amp;"P"&amp;$A6))/1000000,($A$4*$A$4*RTD("tos.rtd",,"OPEN_INT","."&amp;L$2&amp;L$1&amp;"C"&amp;$A6)*RTD("tos.rtd",,"GAMMA","."&amp;L$2&amp;L$1&amp;"C"&amp;$A6)-$A$4*$A$4*RTD("tos.rtd",,"OPEN_INT","."&amp;L$2&amp;L$1&amp;"P"&amp;$A6)*RTD("tos.rtd",,"GAMMA","."&amp;L$2&amp;L$1&amp;"P"&amp;$A6))/1000000),0),IF($A$2="SKEW",IFERROR(VALUE(IF(RTD("tos.rtd",,"IMPL_VOL","."&amp;L$2&amp;L$1&amp;"P"&amp;$A6)="N/A",0,RTD("tos.rtd",,"IMPL_VOL","."&amp;L$2&amp;L$1&amp;"P"&amp;$A6))),0)-IFERROR(VALUE(IF(RTD("tos.rtd",,"IMPL_VOL","."&amp;L$2&amp;L$1&amp;"C"&amp;$A6)="N/A",0,RTD("tos.rtd",,"IMPL_VOL","."&amp;L$2&amp;L$1&amp;"C"&amp;$A6))),0),IF($A$2="MAXPAIN",IF($A$4&gt;$A6,($A$4-$A6)*IF(RTD("tos.rtd",,"OPEN_INT","."&amp;L$2&amp;L$1&amp;"C"&amp;$A6)="N/A",0,RTD("tos.rtd",,"OPEN_INT","."&amp;L$2&amp;L$1&amp;"C"&amp;$A6)),0)+IF($A$4&lt;$A6,($A$5-$A$4)*IF(RTD("tos.rtd",,"OPEN_INT","."&amp;L$2&amp;L$1&amp;"P"&amp;$A6)="N/A",0,RTD("tos.rtd",,"OPEN_INT","."&amp;L$2&amp;L$1&amp;"P"&amp;$A6)),0),IF($X$1="ABS",IF(RTD("tos.rtd",,$A$2,"."&amp;L$2&amp;L$1&amp;"C"&amp;$A6)="N/A",0,RTD("tos.rtd",,$A$2,"."&amp;L$2&amp;L$1&amp;"C"&amp;$A6))+IF(RTD("tos.rtd",,$A$2,"."&amp;L$2&amp;L$1&amp;"P"&amp;$A6)="N/A",0,RTD("tos.rtd",,$A$2,"."&amp;L$2&amp;L$1&amp;"P"&amp;$A6)),IF(RTD("tos.rtd",,$A$2,"."&amp;L$2&amp;L$1&amp;"C"&amp;$A6)="N/A",0,RTD("tos.rtd",,$A$2,"."&amp;L$2&amp;L$1&amp;"C"&amp;$A6))-IF(RTD("tos.rtd",,$A$2,"."&amp;L$2&amp;L$1&amp;"P"&amp;$A6)="N/A",0,RTD("tos.rtd",,$A$2,"."&amp;L$2&amp;L$1&amp;"P"&amp;$A6))))))))))</f>
        <v>48821</v>
      </c>
      <c r="M6" s="12">
        <f ca="1">IF($A$2="PREMIUM_OI",IFERROR(IF($X$1="ABS",(100*RTD("tos.rtd",,"OPEN_INT","."&amp;M$2&amp;M$1&amp;"C"&amp;$A6)*RTD("tos.rtd",,"LAST","."&amp;M$2&amp;M$1&amp;"C"&amp;$A6)+100*RTD("tos.rtd",,"OPEN_INT","."&amp;M$2&amp;M$1&amp;"P"&amp;$A6)*RTD("tos.rtd",,"LAST","."&amp;M$2&amp;M$1&amp;"P"&amp;$A6))/1000000,(100*RTD("tos.rtd",,"OPEN_INT","."&amp;M$2&amp;M$1&amp;"C"&amp;$A6)*RTD("tos.rtd",,"LAST","."&amp;M$2&amp;M$1&amp;"C"&amp;$A6)-100*RTD("tos.rtd",,"OPEN_INT","."&amp;M$2&amp;M$1&amp;"P"&amp;$A6)*RTD("tos.rtd",,"LAST","."&amp;M$2&amp;M$1&amp;"P"&amp;$A6))/1000000),0),IF($A$2="PREMIUM",IFERROR(IF($X$1="ABS",(100*RTD("tos.rtd",,"VOLUME","."&amp;M$2&amp;M$1&amp;"C"&amp;$A6)*RTD("tos.rtd",,"LAST","."&amp;M$2&amp;M$1&amp;"C"&amp;$A6)+100*RTD("tos.rtd",,"VOLUME","."&amp;M$2&amp;M$1&amp;"P"&amp;$A6)*RTD("tos.rtd",,"LAST","."&amp;M$2&amp;M$1&amp;"P"&amp;$A6))/1000000,(100*RTD("tos.rtd",,"VOLUME","."&amp;M$2&amp;M$1&amp;"C"&amp;$A6)*RTD("tos.rtd",,"LAST","."&amp;M$2&amp;M$1&amp;"C"&amp;$A6)-100*RTD("tos.rtd",,"VOLUME","."&amp;M$2&amp;M$1&amp;"P"&amp;$A6)*RTD("tos.rtd",,"LAST","."&amp;M$2&amp;M$1&amp;"P"&amp;$A6))/1000000),0),IF($A$2="DEX",IFERROR(IF($X$1="ABS",(100*RTD("tos.rtd",,"OPEN_INT","."&amp;M$2&amp;M$1&amp;"C"&amp;$A6)*RTD("tos.rtd",,"DELTA","."&amp;M$2&amp;M$1&amp;"C"&amp;$A6)+100*RTD("tos.rtd",,"OPEN_INT","."&amp;M$2&amp;M$1&amp;"P"&amp;$A6)*RTD("tos.rtd",,"DELTA","."&amp;M$2&amp;M$1&amp;"P"&amp;$A6))/1000,(100*RTD("tos.rtd",,"OPEN_INT","."&amp;M$2&amp;M$1&amp;"C"&amp;$A6)*RTD("tos.rtd",,"DELTA","."&amp;M$2&amp;M$1&amp;"C"&amp;$A6)-100*RTD("tos.rtd",,"OPEN_INT","."&amp;M$2&amp;M$1&amp;"P"&amp;$A6)*RTD("tos.rtd",,"DELTA","."&amp;M$2&amp;M$1&amp;"P"&amp;$A6))/1000),0),IF($A$2="VEX",IFERROR(IF($X$1="ABS",($A$4*$A$4*RTD("tos.rtd",,"VOLUME","."&amp;M$2&amp;M$1&amp;"C"&amp;$A6)*RTD("tos.rtd",,"GAMMA","."&amp;M$2&amp;M$1&amp;"C"&amp;$A6)+$A$4*$A$4*RTD("tos.rtd",,"VOLUME","."&amp;M$2&amp;M$1&amp;"P"&amp;$A6)*RTD("tos.rtd",,"GAMMA","."&amp;M$2&amp;M$1&amp;"P"&amp;$A6))/1000000,($A$4*$A$4*RTD("tos.rtd",,"VOLUME","."&amp;M$2&amp;M$1&amp;"C"&amp;$A6)*RTD("tos.rtd",,"GAMMA","."&amp;M$2&amp;M$1&amp;"C"&amp;$A6)-$A$4*$A$4*RTD("tos.rtd",,"VOLUME","."&amp;M$2&amp;M$1&amp;"P"&amp;$A6)*RTD("tos.rtd",,"GAMMA","."&amp;M$2&amp;M$1&amp;"P"&amp;$A6))/1000000),0),IF($A$2="GEX",IFERROR(IF($X$1="ABS",($A$4*$A$4*RTD("tos.rtd",,"OPEN_INT","."&amp;M$2&amp;M$1&amp;"C"&amp;$A6)*RTD("tos.rtd",,"GAMMA","."&amp;M$2&amp;M$1&amp;"C"&amp;$A6)+$A$4*$A$4*RTD("tos.rtd",,"OPEN_INT","."&amp;M$2&amp;M$1&amp;"P"&amp;$A6)*RTD("tos.rtd",,"GAMMA","."&amp;M$2&amp;M$1&amp;"P"&amp;$A6))/1000000,($A$4*$A$4*RTD("tos.rtd",,"OPEN_INT","."&amp;M$2&amp;M$1&amp;"C"&amp;$A6)*RTD("tos.rtd",,"GAMMA","."&amp;M$2&amp;M$1&amp;"C"&amp;$A6)-$A$4*$A$4*RTD("tos.rtd",,"OPEN_INT","."&amp;M$2&amp;M$1&amp;"P"&amp;$A6)*RTD("tos.rtd",,"GAMMA","."&amp;M$2&amp;M$1&amp;"P"&amp;$A6))/1000000),0),IF($A$2="SKEW",IFERROR(VALUE(IF(RTD("tos.rtd",,"IMPL_VOL","."&amp;M$2&amp;M$1&amp;"P"&amp;$A6)="N/A",0,RTD("tos.rtd",,"IMPL_VOL","."&amp;M$2&amp;M$1&amp;"P"&amp;$A6))),0)-IFERROR(VALUE(IF(RTD("tos.rtd",,"IMPL_VOL","."&amp;M$2&amp;M$1&amp;"C"&amp;$A6)="N/A",0,RTD("tos.rtd",,"IMPL_VOL","."&amp;M$2&amp;M$1&amp;"C"&amp;$A6))),0),IF($A$2="MAXPAIN",IF($A$4&gt;$A6,($A$4-$A6)*IF(RTD("tos.rtd",,"OPEN_INT","."&amp;M$2&amp;M$1&amp;"C"&amp;$A6)="N/A",0,RTD("tos.rtd",,"OPEN_INT","."&amp;M$2&amp;M$1&amp;"C"&amp;$A6)),0)+IF($A$4&lt;$A6,($A$5-$A$4)*IF(RTD("tos.rtd",,"OPEN_INT","."&amp;M$2&amp;M$1&amp;"P"&amp;$A6)="N/A",0,RTD("tos.rtd",,"OPEN_INT","."&amp;M$2&amp;M$1&amp;"P"&amp;$A6)),0),IF($X$1="ABS",IF(RTD("tos.rtd",,$A$2,"."&amp;M$2&amp;M$1&amp;"C"&amp;$A6)="N/A",0,RTD("tos.rtd",,$A$2,"."&amp;M$2&amp;M$1&amp;"C"&amp;$A6))+IF(RTD("tos.rtd",,$A$2,"."&amp;M$2&amp;M$1&amp;"P"&amp;$A6)="N/A",0,RTD("tos.rtd",,$A$2,"."&amp;M$2&amp;M$1&amp;"P"&amp;$A6)),IF(RTD("tos.rtd",,$A$2,"."&amp;M$2&amp;M$1&amp;"C"&amp;$A6)="N/A",0,RTD("tos.rtd",,$A$2,"."&amp;M$2&amp;M$1&amp;"C"&amp;$A6))-IF(RTD("tos.rtd",,$A$2,"."&amp;M$2&amp;M$1&amp;"P"&amp;$A6)="N/A",0,RTD("tos.rtd",,$A$2,"."&amp;M$2&amp;M$1&amp;"P"&amp;$A6))))))))))</f>
        <v>5896</v>
      </c>
      <c r="N6" s="12">
        <f ca="1">IF($A$2="PREMIUM_OI",IFERROR(IF($X$1="ABS",(100*RTD("tos.rtd",,"OPEN_INT","."&amp;N$2&amp;N$1&amp;"C"&amp;$A6)*RTD("tos.rtd",,"LAST","."&amp;N$2&amp;N$1&amp;"C"&amp;$A6)+100*RTD("tos.rtd",,"OPEN_INT","."&amp;N$2&amp;N$1&amp;"P"&amp;$A6)*RTD("tos.rtd",,"LAST","."&amp;N$2&amp;N$1&amp;"P"&amp;$A6))/1000000,(100*RTD("tos.rtd",,"OPEN_INT","."&amp;N$2&amp;N$1&amp;"C"&amp;$A6)*RTD("tos.rtd",,"LAST","."&amp;N$2&amp;N$1&amp;"C"&amp;$A6)-100*RTD("tos.rtd",,"OPEN_INT","."&amp;N$2&amp;N$1&amp;"P"&amp;$A6)*RTD("tos.rtd",,"LAST","."&amp;N$2&amp;N$1&amp;"P"&amp;$A6))/1000000),0),IF($A$2="PREMIUM",IFERROR(IF($X$1="ABS",(100*RTD("tos.rtd",,"VOLUME","."&amp;N$2&amp;N$1&amp;"C"&amp;$A6)*RTD("tos.rtd",,"LAST","."&amp;N$2&amp;N$1&amp;"C"&amp;$A6)+100*RTD("tos.rtd",,"VOLUME","."&amp;N$2&amp;N$1&amp;"P"&amp;$A6)*RTD("tos.rtd",,"LAST","."&amp;N$2&amp;N$1&amp;"P"&amp;$A6))/1000000,(100*RTD("tos.rtd",,"VOLUME","."&amp;N$2&amp;N$1&amp;"C"&amp;$A6)*RTD("tos.rtd",,"LAST","."&amp;N$2&amp;N$1&amp;"C"&amp;$A6)-100*RTD("tos.rtd",,"VOLUME","."&amp;N$2&amp;N$1&amp;"P"&amp;$A6)*RTD("tos.rtd",,"LAST","."&amp;N$2&amp;N$1&amp;"P"&amp;$A6))/1000000),0),IF($A$2="DEX",IFERROR(IF($X$1="ABS",(100*RTD("tos.rtd",,"OPEN_INT","."&amp;N$2&amp;N$1&amp;"C"&amp;$A6)*RTD("tos.rtd",,"DELTA","."&amp;N$2&amp;N$1&amp;"C"&amp;$A6)+100*RTD("tos.rtd",,"OPEN_INT","."&amp;N$2&amp;N$1&amp;"P"&amp;$A6)*RTD("tos.rtd",,"DELTA","."&amp;N$2&amp;N$1&amp;"P"&amp;$A6))/1000,(100*RTD("tos.rtd",,"OPEN_INT","."&amp;N$2&amp;N$1&amp;"C"&amp;$A6)*RTD("tos.rtd",,"DELTA","."&amp;N$2&amp;N$1&amp;"C"&amp;$A6)-100*RTD("tos.rtd",,"OPEN_INT","."&amp;N$2&amp;N$1&amp;"P"&amp;$A6)*RTD("tos.rtd",,"DELTA","."&amp;N$2&amp;N$1&amp;"P"&amp;$A6))/1000),0),IF($A$2="VEX",IFERROR(IF($X$1="ABS",($A$4*$A$4*RTD("tos.rtd",,"VOLUME","."&amp;N$2&amp;N$1&amp;"C"&amp;$A6)*RTD("tos.rtd",,"GAMMA","."&amp;N$2&amp;N$1&amp;"C"&amp;$A6)+$A$4*$A$4*RTD("tos.rtd",,"VOLUME","."&amp;N$2&amp;N$1&amp;"P"&amp;$A6)*RTD("tos.rtd",,"GAMMA","."&amp;N$2&amp;N$1&amp;"P"&amp;$A6))/1000000,($A$4*$A$4*RTD("tos.rtd",,"VOLUME","."&amp;N$2&amp;N$1&amp;"C"&amp;$A6)*RTD("tos.rtd",,"GAMMA","."&amp;N$2&amp;N$1&amp;"C"&amp;$A6)-$A$4*$A$4*RTD("tos.rtd",,"VOLUME","."&amp;N$2&amp;N$1&amp;"P"&amp;$A6)*RTD("tos.rtd",,"GAMMA","."&amp;N$2&amp;N$1&amp;"P"&amp;$A6))/1000000),0),IF($A$2="GEX",IFERROR(IF($X$1="ABS",($A$4*$A$4*RTD("tos.rtd",,"OPEN_INT","."&amp;N$2&amp;N$1&amp;"C"&amp;$A6)*RTD("tos.rtd",,"GAMMA","."&amp;N$2&amp;N$1&amp;"C"&amp;$A6)+$A$4*$A$4*RTD("tos.rtd",,"OPEN_INT","."&amp;N$2&amp;N$1&amp;"P"&amp;$A6)*RTD("tos.rtd",,"GAMMA","."&amp;N$2&amp;N$1&amp;"P"&amp;$A6))/1000000,($A$4*$A$4*RTD("tos.rtd",,"OPEN_INT","."&amp;N$2&amp;N$1&amp;"C"&amp;$A6)*RTD("tos.rtd",,"GAMMA","."&amp;N$2&amp;N$1&amp;"C"&amp;$A6)-$A$4*$A$4*RTD("tos.rtd",,"OPEN_INT","."&amp;N$2&amp;N$1&amp;"P"&amp;$A6)*RTD("tos.rtd",,"GAMMA","."&amp;N$2&amp;N$1&amp;"P"&amp;$A6))/1000000),0),IF($A$2="SKEW",IFERROR(VALUE(IF(RTD("tos.rtd",,"IMPL_VOL","."&amp;N$2&amp;N$1&amp;"P"&amp;$A6)="N/A",0,RTD("tos.rtd",,"IMPL_VOL","."&amp;N$2&amp;N$1&amp;"P"&amp;$A6))),0)-IFERROR(VALUE(IF(RTD("tos.rtd",,"IMPL_VOL","."&amp;N$2&amp;N$1&amp;"C"&amp;$A6)="N/A",0,RTD("tos.rtd",,"IMPL_VOL","."&amp;N$2&amp;N$1&amp;"C"&amp;$A6))),0),IF($A$2="MAXPAIN",IF($A$4&gt;$A6,($A$4-$A6)*IF(RTD("tos.rtd",,"OPEN_INT","."&amp;N$2&amp;N$1&amp;"C"&amp;$A6)="N/A",0,RTD("tos.rtd",,"OPEN_INT","."&amp;N$2&amp;N$1&amp;"C"&amp;$A6)),0)+IF($A$4&lt;$A6,($A$5-$A$4)*IF(RTD("tos.rtd",,"OPEN_INT","."&amp;N$2&amp;N$1&amp;"P"&amp;$A6)="N/A",0,RTD("tos.rtd",,"OPEN_INT","."&amp;N$2&amp;N$1&amp;"P"&amp;$A6)),0),IF($X$1="ABS",IF(RTD("tos.rtd",,$A$2,"."&amp;N$2&amp;N$1&amp;"C"&amp;$A6)="N/A",0,RTD("tos.rtd",,$A$2,"."&amp;N$2&amp;N$1&amp;"C"&amp;$A6))+IF(RTD("tos.rtd",,$A$2,"."&amp;N$2&amp;N$1&amp;"P"&amp;$A6)="N/A",0,RTD("tos.rtd",,$A$2,"."&amp;N$2&amp;N$1&amp;"P"&amp;$A6)),IF(RTD("tos.rtd",,$A$2,"."&amp;N$2&amp;N$1&amp;"C"&amp;$A6)="N/A",0,RTD("tos.rtd",,$A$2,"."&amp;N$2&amp;N$1&amp;"C"&amp;$A6))-IF(RTD("tos.rtd",,$A$2,"."&amp;N$2&amp;N$1&amp;"P"&amp;$A6)="N/A",0,RTD("tos.rtd",,$A$2,"."&amp;N$2&amp;N$1&amp;"P"&amp;$A6))))))))))</f>
        <v>0</v>
      </c>
      <c r="O6" s="12">
        <f ca="1">IF($A$2="PREMIUM_OI",IFERROR(IF($X$1="ABS",(100*RTD("tos.rtd",,"OPEN_INT","."&amp;O$2&amp;O$1&amp;"C"&amp;$A6)*RTD("tos.rtd",,"LAST","."&amp;O$2&amp;O$1&amp;"C"&amp;$A6)+100*RTD("tos.rtd",,"OPEN_INT","."&amp;O$2&amp;O$1&amp;"P"&amp;$A6)*RTD("tos.rtd",,"LAST","."&amp;O$2&amp;O$1&amp;"P"&amp;$A6))/1000000,(100*RTD("tos.rtd",,"OPEN_INT","."&amp;O$2&amp;O$1&amp;"C"&amp;$A6)*RTD("tos.rtd",,"LAST","."&amp;O$2&amp;O$1&amp;"C"&amp;$A6)-100*RTD("tos.rtd",,"OPEN_INT","."&amp;O$2&amp;O$1&amp;"P"&amp;$A6)*RTD("tos.rtd",,"LAST","."&amp;O$2&amp;O$1&amp;"P"&amp;$A6))/1000000),0),IF($A$2="PREMIUM",IFERROR(IF($X$1="ABS",(100*RTD("tos.rtd",,"VOLUME","."&amp;O$2&amp;O$1&amp;"C"&amp;$A6)*RTD("tos.rtd",,"LAST","."&amp;O$2&amp;O$1&amp;"C"&amp;$A6)+100*RTD("tos.rtd",,"VOLUME","."&amp;O$2&amp;O$1&amp;"P"&amp;$A6)*RTD("tos.rtd",,"LAST","."&amp;O$2&amp;O$1&amp;"P"&amp;$A6))/1000000,(100*RTD("tos.rtd",,"VOLUME","."&amp;O$2&amp;O$1&amp;"C"&amp;$A6)*RTD("tos.rtd",,"LAST","."&amp;O$2&amp;O$1&amp;"C"&amp;$A6)-100*RTD("tos.rtd",,"VOLUME","."&amp;O$2&amp;O$1&amp;"P"&amp;$A6)*RTD("tos.rtd",,"LAST","."&amp;O$2&amp;O$1&amp;"P"&amp;$A6))/1000000),0),IF($A$2="DEX",IFERROR(IF($X$1="ABS",(100*RTD("tos.rtd",,"OPEN_INT","."&amp;O$2&amp;O$1&amp;"C"&amp;$A6)*RTD("tos.rtd",,"DELTA","."&amp;O$2&amp;O$1&amp;"C"&amp;$A6)+100*RTD("tos.rtd",,"OPEN_INT","."&amp;O$2&amp;O$1&amp;"P"&amp;$A6)*RTD("tos.rtd",,"DELTA","."&amp;O$2&amp;O$1&amp;"P"&amp;$A6))/1000,(100*RTD("tos.rtd",,"OPEN_INT","."&amp;O$2&amp;O$1&amp;"C"&amp;$A6)*RTD("tos.rtd",,"DELTA","."&amp;O$2&amp;O$1&amp;"C"&amp;$A6)-100*RTD("tos.rtd",,"OPEN_INT","."&amp;O$2&amp;O$1&amp;"P"&amp;$A6)*RTD("tos.rtd",,"DELTA","."&amp;O$2&amp;O$1&amp;"P"&amp;$A6))/1000),0),IF($A$2="VEX",IFERROR(IF($X$1="ABS",($A$4*$A$4*RTD("tos.rtd",,"VOLUME","."&amp;O$2&amp;O$1&amp;"C"&amp;$A6)*RTD("tos.rtd",,"GAMMA","."&amp;O$2&amp;O$1&amp;"C"&amp;$A6)+$A$4*$A$4*RTD("tos.rtd",,"VOLUME","."&amp;O$2&amp;O$1&amp;"P"&amp;$A6)*RTD("tos.rtd",,"GAMMA","."&amp;O$2&amp;O$1&amp;"P"&amp;$A6))/1000000,($A$4*$A$4*RTD("tos.rtd",,"VOLUME","."&amp;O$2&amp;O$1&amp;"C"&amp;$A6)*RTD("tos.rtd",,"GAMMA","."&amp;O$2&amp;O$1&amp;"C"&amp;$A6)-$A$4*$A$4*RTD("tos.rtd",,"VOLUME","."&amp;O$2&amp;O$1&amp;"P"&amp;$A6)*RTD("tos.rtd",,"GAMMA","."&amp;O$2&amp;O$1&amp;"P"&amp;$A6))/1000000),0),IF($A$2="GEX",IFERROR(IF($X$1="ABS",($A$4*$A$4*RTD("tos.rtd",,"OPEN_INT","."&amp;O$2&amp;O$1&amp;"C"&amp;$A6)*RTD("tos.rtd",,"GAMMA","."&amp;O$2&amp;O$1&amp;"C"&amp;$A6)+$A$4*$A$4*RTD("tos.rtd",,"OPEN_INT","."&amp;O$2&amp;O$1&amp;"P"&amp;$A6)*RTD("tos.rtd",,"GAMMA","."&amp;O$2&amp;O$1&amp;"P"&amp;$A6))/1000000,($A$4*$A$4*RTD("tos.rtd",,"OPEN_INT","."&amp;O$2&amp;O$1&amp;"C"&amp;$A6)*RTD("tos.rtd",,"GAMMA","."&amp;O$2&amp;O$1&amp;"C"&amp;$A6)-$A$4*$A$4*RTD("tos.rtd",,"OPEN_INT","."&amp;O$2&amp;O$1&amp;"P"&amp;$A6)*RTD("tos.rtd",,"GAMMA","."&amp;O$2&amp;O$1&amp;"P"&amp;$A6))/1000000),0),IF($A$2="SKEW",IFERROR(VALUE(IF(RTD("tos.rtd",,"IMPL_VOL","."&amp;O$2&amp;O$1&amp;"P"&amp;$A6)="N/A",0,RTD("tos.rtd",,"IMPL_VOL","."&amp;O$2&amp;O$1&amp;"P"&amp;$A6))),0)-IFERROR(VALUE(IF(RTD("tos.rtd",,"IMPL_VOL","."&amp;O$2&amp;O$1&amp;"C"&amp;$A6)="N/A",0,RTD("tos.rtd",,"IMPL_VOL","."&amp;O$2&amp;O$1&amp;"C"&amp;$A6))),0),IF($A$2="MAXPAIN",IF($A$4&gt;$A6,($A$4-$A6)*IF(RTD("tos.rtd",,"OPEN_INT","."&amp;O$2&amp;O$1&amp;"C"&amp;$A6)="N/A",0,RTD("tos.rtd",,"OPEN_INT","."&amp;O$2&amp;O$1&amp;"C"&amp;$A6)),0)+IF($A$4&lt;$A6,($A$5-$A$4)*IF(RTD("tos.rtd",,"OPEN_INT","."&amp;O$2&amp;O$1&amp;"P"&amp;$A6)="N/A",0,RTD("tos.rtd",,"OPEN_INT","."&amp;O$2&amp;O$1&amp;"P"&amp;$A6)),0),IF($X$1="ABS",IF(RTD("tos.rtd",,$A$2,"."&amp;O$2&amp;O$1&amp;"C"&amp;$A6)="N/A",0,RTD("tos.rtd",,$A$2,"."&amp;O$2&amp;O$1&amp;"C"&amp;$A6))+IF(RTD("tos.rtd",,$A$2,"."&amp;O$2&amp;O$1&amp;"P"&amp;$A6)="N/A",0,RTD("tos.rtd",,$A$2,"."&amp;O$2&amp;O$1&amp;"P"&amp;$A6)),IF(RTD("tos.rtd",,$A$2,"."&amp;O$2&amp;O$1&amp;"C"&amp;$A6)="N/A",0,RTD("tos.rtd",,$A$2,"."&amp;O$2&amp;O$1&amp;"C"&amp;$A6))-IF(RTD("tos.rtd",,$A$2,"."&amp;O$2&amp;O$1&amp;"P"&amp;$A6)="N/A",0,RTD("tos.rtd",,$A$2,"."&amp;O$2&amp;O$1&amp;"P"&amp;$A6))))))))))</f>
        <v>0</v>
      </c>
      <c r="P6" s="12">
        <f ca="1">IF($A$2="PREMIUM_OI",IFERROR(IF($X$1="ABS",(100*RTD("tos.rtd",,"OPEN_INT","."&amp;P$2&amp;P$1&amp;"C"&amp;$A6)*RTD("tos.rtd",,"LAST","."&amp;P$2&amp;P$1&amp;"C"&amp;$A6)+100*RTD("tos.rtd",,"OPEN_INT","."&amp;P$2&amp;P$1&amp;"P"&amp;$A6)*RTD("tos.rtd",,"LAST","."&amp;P$2&amp;P$1&amp;"P"&amp;$A6))/1000000,(100*RTD("tos.rtd",,"OPEN_INT","."&amp;P$2&amp;P$1&amp;"C"&amp;$A6)*RTD("tos.rtd",,"LAST","."&amp;P$2&amp;P$1&amp;"C"&amp;$A6)-100*RTD("tos.rtd",,"OPEN_INT","."&amp;P$2&amp;P$1&amp;"P"&amp;$A6)*RTD("tos.rtd",,"LAST","."&amp;P$2&amp;P$1&amp;"P"&amp;$A6))/1000000),0),IF($A$2="PREMIUM",IFERROR(IF($X$1="ABS",(100*RTD("tos.rtd",,"VOLUME","."&amp;P$2&amp;P$1&amp;"C"&amp;$A6)*RTD("tos.rtd",,"LAST","."&amp;P$2&amp;P$1&amp;"C"&amp;$A6)+100*RTD("tos.rtd",,"VOLUME","."&amp;P$2&amp;P$1&amp;"P"&amp;$A6)*RTD("tos.rtd",,"LAST","."&amp;P$2&amp;P$1&amp;"P"&amp;$A6))/1000000,(100*RTD("tos.rtd",,"VOLUME","."&amp;P$2&amp;P$1&amp;"C"&amp;$A6)*RTD("tos.rtd",,"LAST","."&amp;P$2&amp;P$1&amp;"C"&amp;$A6)-100*RTD("tos.rtd",,"VOLUME","."&amp;P$2&amp;P$1&amp;"P"&amp;$A6)*RTD("tos.rtd",,"LAST","."&amp;P$2&amp;P$1&amp;"P"&amp;$A6))/1000000),0),IF($A$2="DEX",IFERROR(IF($X$1="ABS",(100*RTD("tos.rtd",,"OPEN_INT","."&amp;P$2&amp;P$1&amp;"C"&amp;$A6)*RTD("tos.rtd",,"DELTA","."&amp;P$2&amp;P$1&amp;"C"&amp;$A6)+100*RTD("tos.rtd",,"OPEN_INT","."&amp;P$2&amp;P$1&amp;"P"&amp;$A6)*RTD("tos.rtd",,"DELTA","."&amp;P$2&amp;P$1&amp;"P"&amp;$A6))/1000,(100*RTD("tos.rtd",,"OPEN_INT","."&amp;P$2&amp;P$1&amp;"C"&amp;$A6)*RTD("tos.rtd",,"DELTA","."&amp;P$2&amp;P$1&amp;"C"&amp;$A6)-100*RTD("tos.rtd",,"OPEN_INT","."&amp;P$2&amp;P$1&amp;"P"&amp;$A6)*RTD("tos.rtd",,"DELTA","."&amp;P$2&amp;P$1&amp;"P"&amp;$A6))/1000),0),IF($A$2="VEX",IFERROR(IF($X$1="ABS",($A$4*$A$4*RTD("tos.rtd",,"VOLUME","."&amp;P$2&amp;P$1&amp;"C"&amp;$A6)*RTD("tos.rtd",,"GAMMA","."&amp;P$2&amp;P$1&amp;"C"&amp;$A6)+$A$4*$A$4*RTD("tos.rtd",,"VOLUME","."&amp;P$2&amp;P$1&amp;"P"&amp;$A6)*RTD("tos.rtd",,"GAMMA","."&amp;P$2&amp;P$1&amp;"P"&amp;$A6))/1000000,($A$4*$A$4*RTD("tos.rtd",,"VOLUME","."&amp;P$2&amp;P$1&amp;"C"&amp;$A6)*RTD("tos.rtd",,"GAMMA","."&amp;P$2&amp;P$1&amp;"C"&amp;$A6)-$A$4*$A$4*RTD("tos.rtd",,"VOLUME","."&amp;P$2&amp;P$1&amp;"P"&amp;$A6)*RTD("tos.rtd",,"GAMMA","."&amp;P$2&amp;P$1&amp;"P"&amp;$A6))/1000000),0),IF($A$2="GEX",IFERROR(IF($X$1="ABS",($A$4*$A$4*RTD("tos.rtd",,"OPEN_INT","."&amp;P$2&amp;P$1&amp;"C"&amp;$A6)*RTD("tos.rtd",,"GAMMA","."&amp;P$2&amp;P$1&amp;"C"&amp;$A6)+$A$4*$A$4*RTD("tos.rtd",,"OPEN_INT","."&amp;P$2&amp;P$1&amp;"P"&amp;$A6)*RTD("tos.rtd",,"GAMMA","."&amp;P$2&amp;P$1&amp;"P"&amp;$A6))/1000000,($A$4*$A$4*RTD("tos.rtd",,"OPEN_INT","."&amp;P$2&amp;P$1&amp;"C"&amp;$A6)*RTD("tos.rtd",,"GAMMA","."&amp;P$2&amp;P$1&amp;"C"&amp;$A6)-$A$4*$A$4*RTD("tos.rtd",,"OPEN_INT","."&amp;P$2&amp;P$1&amp;"P"&amp;$A6)*RTD("tos.rtd",,"GAMMA","."&amp;P$2&amp;P$1&amp;"P"&amp;$A6))/1000000),0),IF($A$2="SKEW",IFERROR(VALUE(IF(RTD("tos.rtd",,"IMPL_VOL","."&amp;P$2&amp;P$1&amp;"P"&amp;$A6)="N/A",0,RTD("tos.rtd",,"IMPL_VOL","."&amp;P$2&amp;P$1&amp;"P"&amp;$A6))),0)-IFERROR(VALUE(IF(RTD("tos.rtd",,"IMPL_VOL","."&amp;P$2&amp;P$1&amp;"C"&amp;$A6)="N/A",0,RTD("tos.rtd",,"IMPL_VOL","."&amp;P$2&amp;P$1&amp;"C"&amp;$A6))),0),IF($A$2="MAXPAIN",IF($A$4&gt;$A6,($A$4-$A6)*IF(RTD("tos.rtd",,"OPEN_INT","."&amp;P$2&amp;P$1&amp;"C"&amp;$A6)="N/A",0,RTD("tos.rtd",,"OPEN_INT","."&amp;P$2&amp;P$1&amp;"C"&amp;$A6)),0)+IF($A$4&lt;$A6,($A$5-$A$4)*IF(RTD("tos.rtd",,"OPEN_INT","."&amp;P$2&amp;P$1&amp;"P"&amp;$A6)="N/A",0,RTD("tos.rtd",,"OPEN_INT","."&amp;P$2&amp;P$1&amp;"P"&amp;$A6)),0),IF($X$1="ABS",IF(RTD("tos.rtd",,$A$2,"."&amp;P$2&amp;P$1&amp;"C"&amp;$A6)="N/A",0,RTD("tos.rtd",,$A$2,"."&amp;P$2&amp;P$1&amp;"C"&amp;$A6))+IF(RTD("tos.rtd",,$A$2,"."&amp;P$2&amp;P$1&amp;"P"&amp;$A6)="N/A",0,RTD("tos.rtd",,$A$2,"."&amp;P$2&amp;P$1&amp;"P"&amp;$A6)),IF(RTD("tos.rtd",,$A$2,"."&amp;P$2&amp;P$1&amp;"C"&amp;$A6)="N/A",0,RTD("tos.rtd",,$A$2,"."&amp;P$2&amp;P$1&amp;"C"&amp;$A6))-IF(RTD("tos.rtd",,$A$2,"."&amp;P$2&amp;P$1&amp;"P"&amp;$A6)="N/A",0,RTD("tos.rtd",,$A$2,"."&amp;P$2&amp;P$1&amp;"P"&amp;$A6))))))))))</f>
        <v>0</v>
      </c>
      <c r="Q6" s="12">
        <f ca="1">IF($A$2="PREMIUM_OI",IFERROR(IF($X$1="ABS",(100*RTD("tos.rtd",,"OPEN_INT","."&amp;Q$2&amp;Q$1&amp;"C"&amp;$A6)*RTD("tos.rtd",,"LAST","."&amp;Q$2&amp;Q$1&amp;"C"&amp;$A6)+100*RTD("tos.rtd",,"OPEN_INT","."&amp;Q$2&amp;Q$1&amp;"P"&amp;$A6)*RTD("tos.rtd",,"LAST","."&amp;Q$2&amp;Q$1&amp;"P"&amp;$A6))/1000000,(100*RTD("tos.rtd",,"OPEN_INT","."&amp;Q$2&amp;Q$1&amp;"C"&amp;$A6)*RTD("tos.rtd",,"LAST","."&amp;Q$2&amp;Q$1&amp;"C"&amp;$A6)-100*RTD("tos.rtd",,"OPEN_INT","."&amp;Q$2&amp;Q$1&amp;"P"&amp;$A6)*RTD("tos.rtd",,"LAST","."&amp;Q$2&amp;Q$1&amp;"P"&amp;$A6))/1000000),0),IF($A$2="PREMIUM",IFERROR(IF($X$1="ABS",(100*RTD("tos.rtd",,"VOLUME","."&amp;Q$2&amp;Q$1&amp;"C"&amp;$A6)*RTD("tos.rtd",,"LAST","."&amp;Q$2&amp;Q$1&amp;"C"&amp;$A6)+100*RTD("tos.rtd",,"VOLUME","."&amp;Q$2&amp;Q$1&amp;"P"&amp;$A6)*RTD("tos.rtd",,"LAST","."&amp;Q$2&amp;Q$1&amp;"P"&amp;$A6))/1000000,(100*RTD("tos.rtd",,"VOLUME","."&amp;Q$2&amp;Q$1&amp;"C"&amp;$A6)*RTD("tos.rtd",,"LAST","."&amp;Q$2&amp;Q$1&amp;"C"&amp;$A6)-100*RTD("tos.rtd",,"VOLUME","."&amp;Q$2&amp;Q$1&amp;"P"&amp;$A6)*RTD("tos.rtd",,"LAST","."&amp;Q$2&amp;Q$1&amp;"P"&amp;$A6))/1000000),0),IF($A$2="DEX",IFERROR(IF($X$1="ABS",(100*RTD("tos.rtd",,"OPEN_INT","."&amp;Q$2&amp;Q$1&amp;"C"&amp;$A6)*RTD("tos.rtd",,"DELTA","."&amp;Q$2&amp;Q$1&amp;"C"&amp;$A6)+100*RTD("tos.rtd",,"OPEN_INT","."&amp;Q$2&amp;Q$1&amp;"P"&amp;$A6)*RTD("tos.rtd",,"DELTA","."&amp;Q$2&amp;Q$1&amp;"P"&amp;$A6))/1000,(100*RTD("tos.rtd",,"OPEN_INT","."&amp;Q$2&amp;Q$1&amp;"C"&amp;$A6)*RTD("tos.rtd",,"DELTA","."&amp;Q$2&amp;Q$1&amp;"C"&amp;$A6)-100*RTD("tos.rtd",,"OPEN_INT","."&amp;Q$2&amp;Q$1&amp;"P"&amp;$A6)*RTD("tos.rtd",,"DELTA","."&amp;Q$2&amp;Q$1&amp;"P"&amp;$A6))/1000),0),IF($A$2="VEX",IFERROR(IF($X$1="ABS",($A$4*$A$4*RTD("tos.rtd",,"VOLUME","."&amp;Q$2&amp;Q$1&amp;"C"&amp;$A6)*RTD("tos.rtd",,"GAMMA","."&amp;Q$2&amp;Q$1&amp;"C"&amp;$A6)+$A$4*$A$4*RTD("tos.rtd",,"VOLUME","."&amp;Q$2&amp;Q$1&amp;"P"&amp;$A6)*RTD("tos.rtd",,"GAMMA","."&amp;Q$2&amp;Q$1&amp;"P"&amp;$A6))/1000000,($A$4*$A$4*RTD("tos.rtd",,"VOLUME","."&amp;Q$2&amp;Q$1&amp;"C"&amp;$A6)*RTD("tos.rtd",,"GAMMA","."&amp;Q$2&amp;Q$1&amp;"C"&amp;$A6)-$A$4*$A$4*RTD("tos.rtd",,"VOLUME","."&amp;Q$2&amp;Q$1&amp;"P"&amp;$A6)*RTD("tos.rtd",,"GAMMA","."&amp;Q$2&amp;Q$1&amp;"P"&amp;$A6))/1000000),0),IF($A$2="GEX",IFERROR(IF($X$1="ABS",($A$4*$A$4*RTD("tos.rtd",,"OPEN_INT","."&amp;Q$2&amp;Q$1&amp;"C"&amp;$A6)*RTD("tos.rtd",,"GAMMA","."&amp;Q$2&amp;Q$1&amp;"C"&amp;$A6)+$A$4*$A$4*RTD("tos.rtd",,"OPEN_INT","."&amp;Q$2&amp;Q$1&amp;"P"&amp;$A6)*RTD("tos.rtd",,"GAMMA","."&amp;Q$2&amp;Q$1&amp;"P"&amp;$A6))/1000000,($A$4*$A$4*RTD("tos.rtd",,"OPEN_INT","."&amp;Q$2&amp;Q$1&amp;"C"&amp;$A6)*RTD("tos.rtd",,"GAMMA","."&amp;Q$2&amp;Q$1&amp;"C"&amp;$A6)-$A$4*$A$4*RTD("tos.rtd",,"OPEN_INT","."&amp;Q$2&amp;Q$1&amp;"P"&amp;$A6)*RTD("tos.rtd",,"GAMMA","."&amp;Q$2&amp;Q$1&amp;"P"&amp;$A6))/1000000),0),IF($A$2="SKEW",IFERROR(VALUE(IF(RTD("tos.rtd",,"IMPL_VOL","."&amp;Q$2&amp;Q$1&amp;"P"&amp;$A6)="N/A",0,RTD("tos.rtd",,"IMPL_VOL","."&amp;Q$2&amp;Q$1&amp;"P"&amp;$A6))),0)-IFERROR(VALUE(IF(RTD("tos.rtd",,"IMPL_VOL","."&amp;Q$2&amp;Q$1&amp;"C"&amp;$A6)="N/A",0,RTD("tos.rtd",,"IMPL_VOL","."&amp;Q$2&amp;Q$1&amp;"C"&amp;$A6))),0),IF($A$2="MAXPAIN",IF($A$4&gt;$A6,($A$4-$A6)*IF(RTD("tos.rtd",,"OPEN_INT","."&amp;Q$2&amp;Q$1&amp;"C"&amp;$A6)="N/A",0,RTD("tos.rtd",,"OPEN_INT","."&amp;Q$2&amp;Q$1&amp;"C"&amp;$A6)),0)+IF($A$4&lt;$A6,($A$5-$A$4)*IF(RTD("tos.rtd",,"OPEN_INT","."&amp;Q$2&amp;Q$1&amp;"P"&amp;$A6)="N/A",0,RTD("tos.rtd",,"OPEN_INT","."&amp;Q$2&amp;Q$1&amp;"P"&amp;$A6)),0),IF($X$1="ABS",IF(RTD("tos.rtd",,$A$2,"."&amp;Q$2&amp;Q$1&amp;"C"&amp;$A6)="N/A",0,RTD("tos.rtd",,$A$2,"."&amp;Q$2&amp;Q$1&amp;"C"&amp;$A6))+IF(RTD("tos.rtd",,$A$2,"."&amp;Q$2&amp;Q$1&amp;"P"&amp;$A6)="N/A",0,RTD("tos.rtd",,$A$2,"."&amp;Q$2&amp;Q$1&amp;"P"&amp;$A6)),IF(RTD("tos.rtd",,$A$2,"."&amp;Q$2&amp;Q$1&amp;"C"&amp;$A6)="N/A",0,RTD("tos.rtd",,$A$2,"."&amp;Q$2&amp;Q$1&amp;"C"&amp;$A6))-IF(RTD("tos.rtd",,$A$2,"."&amp;Q$2&amp;Q$1&amp;"P"&amp;$A6)="N/A",0,RTD("tos.rtd",,$A$2,"."&amp;Q$2&amp;Q$1&amp;"P"&amp;$A6))))))))))</f>
        <v>0</v>
      </c>
      <c r="R6" s="12">
        <f ca="1">IF($A$2="PREMIUM_OI",IFERROR(IF($X$1="ABS",(100*RTD("tos.rtd",,"OPEN_INT","."&amp;R$2&amp;R$1&amp;"C"&amp;$A6)*RTD("tos.rtd",,"LAST","."&amp;R$2&amp;R$1&amp;"C"&amp;$A6)+100*RTD("tos.rtd",,"OPEN_INT","."&amp;R$2&amp;R$1&amp;"P"&amp;$A6)*RTD("tos.rtd",,"LAST","."&amp;R$2&amp;R$1&amp;"P"&amp;$A6))/1000000,(100*RTD("tos.rtd",,"OPEN_INT","."&amp;R$2&amp;R$1&amp;"C"&amp;$A6)*RTD("tos.rtd",,"LAST","."&amp;R$2&amp;R$1&amp;"C"&amp;$A6)-100*RTD("tos.rtd",,"OPEN_INT","."&amp;R$2&amp;R$1&amp;"P"&amp;$A6)*RTD("tos.rtd",,"LAST","."&amp;R$2&amp;R$1&amp;"P"&amp;$A6))/1000000),0),IF($A$2="PREMIUM",IFERROR(IF($X$1="ABS",(100*RTD("tos.rtd",,"VOLUME","."&amp;R$2&amp;R$1&amp;"C"&amp;$A6)*RTD("tos.rtd",,"LAST","."&amp;R$2&amp;R$1&amp;"C"&amp;$A6)+100*RTD("tos.rtd",,"VOLUME","."&amp;R$2&amp;R$1&amp;"P"&amp;$A6)*RTD("tos.rtd",,"LAST","."&amp;R$2&amp;R$1&amp;"P"&amp;$A6))/1000000,(100*RTD("tos.rtd",,"VOLUME","."&amp;R$2&amp;R$1&amp;"C"&amp;$A6)*RTD("tos.rtd",,"LAST","."&amp;R$2&amp;R$1&amp;"C"&amp;$A6)-100*RTD("tos.rtd",,"VOLUME","."&amp;R$2&amp;R$1&amp;"P"&amp;$A6)*RTD("tos.rtd",,"LAST","."&amp;R$2&amp;R$1&amp;"P"&amp;$A6))/1000000),0),IF($A$2="DEX",IFERROR(IF($X$1="ABS",(100*RTD("tos.rtd",,"OPEN_INT","."&amp;R$2&amp;R$1&amp;"C"&amp;$A6)*RTD("tos.rtd",,"DELTA","."&amp;R$2&amp;R$1&amp;"C"&amp;$A6)+100*RTD("tos.rtd",,"OPEN_INT","."&amp;R$2&amp;R$1&amp;"P"&amp;$A6)*RTD("tos.rtd",,"DELTA","."&amp;R$2&amp;R$1&amp;"P"&amp;$A6))/1000,(100*RTD("tos.rtd",,"OPEN_INT","."&amp;R$2&amp;R$1&amp;"C"&amp;$A6)*RTD("tos.rtd",,"DELTA","."&amp;R$2&amp;R$1&amp;"C"&amp;$A6)-100*RTD("tos.rtd",,"OPEN_INT","."&amp;R$2&amp;R$1&amp;"P"&amp;$A6)*RTD("tos.rtd",,"DELTA","."&amp;R$2&amp;R$1&amp;"P"&amp;$A6))/1000),0),IF($A$2="VEX",IFERROR(IF($X$1="ABS",($A$4*$A$4*RTD("tos.rtd",,"VOLUME","."&amp;R$2&amp;R$1&amp;"C"&amp;$A6)*RTD("tos.rtd",,"GAMMA","."&amp;R$2&amp;R$1&amp;"C"&amp;$A6)+$A$4*$A$4*RTD("tos.rtd",,"VOLUME","."&amp;R$2&amp;R$1&amp;"P"&amp;$A6)*RTD("tos.rtd",,"GAMMA","."&amp;R$2&amp;R$1&amp;"P"&amp;$A6))/1000000,($A$4*$A$4*RTD("tos.rtd",,"VOLUME","."&amp;R$2&amp;R$1&amp;"C"&amp;$A6)*RTD("tos.rtd",,"GAMMA","."&amp;R$2&amp;R$1&amp;"C"&amp;$A6)-$A$4*$A$4*RTD("tos.rtd",,"VOLUME","."&amp;R$2&amp;R$1&amp;"P"&amp;$A6)*RTD("tos.rtd",,"GAMMA","."&amp;R$2&amp;R$1&amp;"P"&amp;$A6))/1000000),0),IF($A$2="GEX",IFERROR(IF($X$1="ABS",($A$4*$A$4*RTD("tos.rtd",,"OPEN_INT","."&amp;R$2&amp;R$1&amp;"C"&amp;$A6)*RTD("tos.rtd",,"GAMMA","."&amp;R$2&amp;R$1&amp;"C"&amp;$A6)+$A$4*$A$4*RTD("tos.rtd",,"OPEN_INT","."&amp;R$2&amp;R$1&amp;"P"&amp;$A6)*RTD("tos.rtd",,"GAMMA","."&amp;R$2&amp;R$1&amp;"P"&amp;$A6))/1000000,($A$4*$A$4*RTD("tos.rtd",,"OPEN_INT","."&amp;R$2&amp;R$1&amp;"C"&amp;$A6)*RTD("tos.rtd",,"GAMMA","."&amp;R$2&amp;R$1&amp;"C"&amp;$A6)-$A$4*$A$4*RTD("tos.rtd",,"OPEN_INT","."&amp;R$2&amp;R$1&amp;"P"&amp;$A6)*RTD("tos.rtd",,"GAMMA","."&amp;R$2&amp;R$1&amp;"P"&amp;$A6))/1000000),0),IF($A$2="SKEW",IFERROR(VALUE(IF(RTD("tos.rtd",,"IMPL_VOL","."&amp;R$2&amp;R$1&amp;"P"&amp;$A6)="N/A",0,RTD("tos.rtd",,"IMPL_VOL","."&amp;R$2&amp;R$1&amp;"P"&amp;$A6))),0)-IFERROR(VALUE(IF(RTD("tos.rtd",,"IMPL_VOL","."&amp;R$2&amp;R$1&amp;"C"&amp;$A6)="N/A",0,RTD("tos.rtd",,"IMPL_VOL","."&amp;R$2&amp;R$1&amp;"C"&amp;$A6))),0),IF($A$2="MAXPAIN",IF($A$4&gt;$A6,($A$4-$A6)*IF(RTD("tos.rtd",,"OPEN_INT","."&amp;R$2&amp;R$1&amp;"C"&amp;$A6)="N/A",0,RTD("tos.rtd",,"OPEN_INT","."&amp;R$2&amp;R$1&amp;"C"&amp;$A6)),0)+IF($A$4&lt;$A6,($A$5-$A$4)*IF(RTD("tos.rtd",,"OPEN_INT","."&amp;R$2&amp;R$1&amp;"P"&amp;$A6)="N/A",0,RTD("tos.rtd",,"OPEN_INT","."&amp;R$2&amp;R$1&amp;"P"&amp;$A6)),0),IF($X$1="ABS",IF(RTD("tos.rtd",,$A$2,"."&amp;R$2&amp;R$1&amp;"C"&amp;$A6)="N/A",0,RTD("tos.rtd",,$A$2,"."&amp;R$2&amp;R$1&amp;"C"&amp;$A6))+IF(RTD("tos.rtd",,$A$2,"."&amp;R$2&amp;R$1&amp;"P"&amp;$A6)="N/A",0,RTD("tos.rtd",,$A$2,"."&amp;R$2&amp;R$1&amp;"P"&amp;$A6)),IF(RTD("tos.rtd",,$A$2,"."&amp;R$2&amp;R$1&amp;"C"&amp;$A6)="N/A",0,RTD("tos.rtd",,$A$2,"."&amp;R$2&amp;R$1&amp;"C"&amp;$A6))-IF(RTD("tos.rtd",,$A$2,"."&amp;R$2&amp;R$1&amp;"P"&amp;$A6)="N/A",0,RTD("tos.rtd",,$A$2,"."&amp;R$2&amp;R$1&amp;"P"&amp;$A6))))))))))</f>
        <v>0</v>
      </c>
      <c r="S6" s="12">
        <f ca="1">IF($A$2="PREMIUM_OI",IFERROR(IF($X$1="ABS",(100*RTD("tos.rtd",,"OPEN_INT","."&amp;S$2&amp;S$1&amp;"C"&amp;$A6)*RTD("tos.rtd",,"LAST","."&amp;S$2&amp;S$1&amp;"C"&amp;$A6)+100*RTD("tos.rtd",,"OPEN_INT","."&amp;S$2&amp;S$1&amp;"P"&amp;$A6)*RTD("tos.rtd",,"LAST","."&amp;S$2&amp;S$1&amp;"P"&amp;$A6))/1000000,(100*RTD("tos.rtd",,"OPEN_INT","."&amp;S$2&amp;S$1&amp;"C"&amp;$A6)*RTD("tos.rtd",,"LAST","."&amp;S$2&amp;S$1&amp;"C"&amp;$A6)-100*RTD("tos.rtd",,"OPEN_INT","."&amp;S$2&amp;S$1&amp;"P"&amp;$A6)*RTD("tos.rtd",,"LAST","."&amp;S$2&amp;S$1&amp;"P"&amp;$A6))/1000000),0),IF($A$2="PREMIUM",IFERROR(IF($X$1="ABS",(100*RTD("tos.rtd",,"VOLUME","."&amp;S$2&amp;S$1&amp;"C"&amp;$A6)*RTD("tos.rtd",,"LAST","."&amp;S$2&amp;S$1&amp;"C"&amp;$A6)+100*RTD("tos.rtd",,"VOLUME","."&amp;S$2&amp;S$1&amp;"P"&amp;$A6)*RTD("tos.rtd",,"LAST","."&amp;S$2&amp;S$1&amp;"P"&amp;$A6))/1000000,(100*RTD("tos.rtd",,"VOLUME","."&amp;S$2&amp;S$1&amp;"C"&amp;$A6)*RTD("tos.rtd",,"LAST","."&amp;S$2&amp;S$1&amp;"C"&amp;$A6)-100*RTD("tos.rtd",,"VOLUME","."&amp;S$2&amp;S$1&amp;"P"&amp;$A6)*RTD("tos.rtd",,"LAST","."&amp;S$2&amp;S$1&amp;"P"&amp;$A6))/1000000),0),IF($A$2="DEX",IFERROR(IF($X$1="ABS",(100*RTD("tos.rtd",,"OPEN_INT","."&amp;S$2&amp;S$1&amp;"C"&amp;$A6)*RTD("tos.rtd",,"DELTA","."&amp;S$2&amp;S$1&amp;"C"&amp;$A6)+100*RTD("tos.rtd",,"OPEN_INT","."&amp;S$2&amp;S$1&amp;"P"&amp;$A6)*RTD("tos.rtd",,"DELTA","."&amp;S$2&amp;S$1&amp;"P"&amp;$A6))/1000,(100*RTD("tos.rtd",,"OPEN_INT","."&amp;S$2&amp;S$1&amp;"C"&amp;$A6)*RTD("tos.rtd",,"DELTA","."&amp;S$2&amp;S$1&amp;"C"&amp;$A6)-100*RTD("tos.rtd",,"OPEN_INT","."&amp;S$2&amp;S$1&amp;"P"&amp;$A6)*RTD("tos.rtd",,"DELTA","."&amp;S$2&amp;S$1&amp;"P"&amp;$A6))/1000),0),IF($A$2="VEX",IFERROR(IF($X$1="ABS",($A$4*$A$4*RTD("tos.rtd",,"VOLUME","."&amp;S$2&amp;S$1&amp;"C"&amp;$A6)*RTD("tos.rtd",,"GAMMA","."&amp;S$2&amp;S$1&amp;"C"&amp;$A6)+$A$4*$A$4*RTD("tos.rtd",,"VOLUME","."&amp;S$2&amp;S$1&amp;"P"&amp;$A6)*RTD("tos.rtd",,"GAMMA","."&amp;S$2&amp;S$1&amp;"P"&amp;$A6))/1000000,($A$4*$A$4*RTD("tos.rtd",,"VOLUME","."&amp;S$2&amp;S$1&amp;"C"&amp;$A6)*RTD("tos.rtd",,"GAMMA","."&amp;S$2&amp;S$1&amp;"C"&amp;$A6)-$A$4*$A$4*RTD("tos.rtd",,"VOLUME","."&amp;S$2&amp;S$1&amp;"P"&amp;$A6)*RTD("tos.rtd",,"GAMMA","."&amp;S$2&amp;S$1&amp;"P"&amp;$A6))/1000000),0),IF($A$2="GEX",IFERROR(IF($X$1="ABS",($A$4*$A$4*RTD("tos.rtd",,"OPEN_INT","."&amp;S$2&amp;S$1&amp;"C"&amp;$A6)*RTD("tos.rtd",,"GAMMA","."&amp;S$2&amp;S$1&amp;"C"&amp;$A6)+$A$4*$A$4*RTD("tos.rtd",,"OPEN_INT","."&amp;S$2&amp;S$1&amp;"P"&amp;$A6)*RTD("tos.rtd",,"GAMMA","."&amp;S$2&amp;S$1&amp;"P"&amp;$A6))/1000000,($A$4*$A$4*RTD("tos.rtd",,"OPEN_INT","."&amp;S$2&amp;S$1&amp;"C"&amp;$A6)*RTD("tos.rtd",,"GAMMA","."&amp;S$2&amp;S$1&amp;"C"&amp;$A6)-$A$4*$A$4*RTD("tos.rtd",,"OPEN_INT","."&amp;S$2&amp;S$1&amp;"P"&amp;$A6)*RTD("tos.rtd",,"GAMMA","."&amp;S$2&amp;S$1&amp;"P"&amp;$A6))/1000000),0),IF($A$2="SKEW",IFERROR(VALUE(IF(RTD("tos.rtd",,"IMPL_VOL","."&amp;S$2&amp;S$1&amp;"P"&amp;$A6)="N/A",0,RTD("tos.rtd",,"IMPL_VOL","."&amp;S$2&amp;S$1&amp;"P"&amp;$A6))),0)-IFERROR(VALUE(IF(RTD("tos.rtd",,"IMPL_VOL","."&amp;S$2&amp;S$1&amp;"C"&amp;$A6)="N/A",0,RTD("tos.rtd",,"IMPL_VOL","."&amp;S$2&amp;S$1&amp;"C"&amp;$A6))),0),IF($A$2="MAXPAIN",IF($A$4&gt;$A6,($A$4-$A6)*IF(RTD("tos.rtd",,"OPEN_INT","."&amp;S$2&amp;S$1&amp;"C"&amp;$A6)="N/A",0,RTD("tos.rtd",,"OPEN_INT","."&amp;S$2&amp;S$1&amp;"C"&amp;$A6)),0)+IF($A$4&lt;$A6,($A$5-$A$4)*IF(RTD("tos.rtd",,"OPEN_INT","."&amp;S$2&amp;S$1&amp;"P"&amp;$A6)="N/A",0,RTD("tos.rtd",,"OPEN_INT","."&amp;S$2&amp;S$1&amp;"P"&amp;$A6)),0),IF($X$1="ABS",IF(RTD("tos.rtd",,$A$2,"."&amp;S$2&amp;S$1&amp;"C"&amp;$A6)="N/A",0,RTD("tos.rtd",,$A$2,"."&amp;S$2&amp;S$1&amp;"C"&amp;$A6))+IF(RTD("tos.rtd",,$A$2,"."&amp;S$2&amp;S$1&amp;"P"&amp;$A6)="N/A",0,RTD("tos.rtd",,$A$2,"."&amp;S$2&amp;S$1&amp;"P"&amp;$A6)),IF(RTD("tos.rtd",,$A$2,"."&amp;S$2&amp;S$1&amp;"C"&amp;$A6)="N/A",0,RTD("tos.rtd",,$A$2,"."&amp;S$2&amp;S$1&amp;"C"&amp;$A6))-IF(RTD("tos.rtd",,$A$2,"."&amp;S$2&amp;S$1&amp;"P"&amp;$A6)="N/A",0,RTD("tos.rtd",,$A$2,"."&amp;S$2&amp;S$1&amp;"P"&amp;$A6))))))))))</f>
        <v>0</v>
      </c>
      <c r="T6" s="12">
        <f ca="1">IF($A$2="PREMIUM_OI",IFERROR(IF($X$1="ABS",(100*RTD("tos.rtd",,"OPEN_INT","."&amp;T$2&amp;T$1&amp;"C"&amp;$A6)*RTD("tos.rtd",,"LAST","."&amp;T$2&amp;T$1&amp;"C"&amp;$A6)+100*RTD("tos.rtd",,"OPEN_INT","."&amp;T$2&amp;T$1&amp;"P"&amp;$A6)*RTD("tos.rtd",,"LAST","."&amp;T$2&amp;T$1&amp;"P"&amp;$A6))/1000000,(100*RTD("tos.rtd",,"OPEN_INT","."&amp;T$2&amp;T$1&amp;"C"&amp;$A6)*RTD("tos.rtd",,"LAST","."&amp;T$2&amp;T$1&amp;"C"&amp;$A6)-100*RTD("tos.rtd",,"OPEN_INT","."&amp;T$2&amp;T$1&amp;"P"&amp;$A6)*RTD("tos.rtd",,"LAST","."&amp;T$2&amp;T$1&amp;"P"&amp;$A6))/1000000),0),IF($A$2="PREMIUM",IFERROR(IF($X$1="ABS",(100*RTD("tos.rtd",,"VOLUME","."&amp;T$2&amp;T$1&amp;"C"&amp;$A6)*RTD("tos.rtd",,"LAST","."&amp;T$2&amp;T$1&amp;"C"&amp;$A6)+100*RTD("tos.rtd",,"VOLUME","."&amp;T$2&amp;T$1&amp;"P"&amp;$A6)*RTD("tos.rtd",,"LAST","."&amp;T$2&amp;T$1&amp;"P"&amp;$A6))/1000000,(100*RTD("tos.rtd",,"VOLUME","."&amp;T$2&amp;T$1&amp;"C"&amp;$A6)*RTD("tos.rtd",,"LAST","."&amp;T$2&amp;T$1&amp;"C"&amp;$A6)-100*RTD("tos.rtd",,"VOLUME","."&amp;T$2&amp;T$1&amp;"P"&amp;$A6)*RTD("tos.rtd",,"LAST","."&amp;T$2&amp;T$1&amp;"P"&amp;$A6))/1000000),0),IF($A$2="DEX",IFERROR(IF($X$1="ABS",(100*RTD("tos.rtd",,"OPEN_INT","."&amp;T$2&amp;T$1&amp;"C"&amp;$A6)*RTD("tos.rtd",,"DELTA","."&amp;T$2&amp;T$1&amp;"C"&amp;$A6)+100*RTD("tos.rtd",,"OPEN_INT","."&amp;T$2&amp;T$1&amp;"P"&amp;$A6)*RTD("tos.rtd",,"DELTA","."&amp;T$2&amp;T$1&amp;"P"&amp;$A6))/1000,(100*RTD("tos.rtd",,"OPEN_INT","."&amp;T$2&amp;T$1&amp;"C"&amp;$A6)*RTD("tos.rtd",,"DELTA","."&amp;T$2&amp;T$1&amp;"C"&amp;$A6)-100*RTD("tos.rtd",,"OPEN_INT","."&amp;T$2&amp;T$1&amp;"P"&amp;$A6)*RTD("tos.rtd",,"DELTA","."&amp;T$2&amp;T$1&amp;"P"&amp;$A6))/1000),0),IF($A$2="VEX",IFERROR(IF($X$1="ABS",($A$4*$A$4*RTD("tos.rtd",,"VOLUME","."&amp;T$2&amp;T$1&amp;"C"&amp;$A6)*RTD("tos.rtd",,"GAMMA","."&amp;T$2&amp;T$1&amp;"C"&amp;$A6)+$A$4*$A$4*RTD("tos.rtd",,"VOLUME","."&amp;T$2&amp;T$1&amp;"P"&amp;$A6)*RTD("tos.rtd",,"GAMMA","."&amp;T$2&amp;T$1&amp;"P"&amp;$A6))/1000000,($A$4*$A$4*RTD("tos.rtd",,"VOLUME","."&amp;T$2&amp;T$1&amp;"C"&amp;$A6)*RTD("tos.rtd",,"GAMMA","."&amp;T$2&amp;T$1&amp;"C"&amp;$A6)-$A$4*$A$4*RTD("tos.rtd",,"VOLUME","."&amp;T$2&amp;T$1&amp;"P"&amp;$A6)*RTD("tos.rtd",,"GAMMA","."&amp;T$2&amp;T$1&amp;"P"&amp;$A6))/1000000),0),IF($A$2="GEX",IFERROR(IF($X$1="ABS",($A$4*$A$4*RTD("tos.rtd",,"OPEN_INT","."&amp;T$2&amp;T$1&amp;"C"&amp;$A6)*RTD("tos.rtd",,"GAMMA","."&amp;T$2&amp;T$1&amp;"C"&amp;$A6)+$A$4*$A$4*RTD("tos.rtd",,"OPEN_INT","."&amp;T$2&amp;T$1&amp;"P"&amp;$A6)*RTD("tos.rtd",,"GAMMA","."&amp;T$2&amp;T$1&amp;"P"&amp;$A6))/1000000,($A$4*$A$4*RTD("tos.rtd",,"OPEN_INT","."&amp;T$2&amp;T$1&amp;"C"&amp;$A6)*RTD("tos.rtd",,"GAMMA","."&amp;T$2&amp;T$1&amp;"C"&amp;$A6)-$A$4*$A$4*RTD("tos.rtd",,"OPEN_INT","."&amp;T$2&amp;T$1&amp;"P"&amp;$A6)*RTD("tos.rtd",,"GAMMA","."&amp;T$2&amp;T$1&amp;"P"&amp;$A6))/1000000),0),IF($A$2="SKEW",IFERROR(VALUE(IF(RTD("tos.rtd",,"IMPL_VOL","."&amp;T$2&amp;T$1&amp;"P"&amp;$A6)="N/A",0,RTD("tos.rtd",,"IMPL_VOL","."&amp;T$2&amp;T$1&amp;"P"&amp;$A6))),0)-IFERROR(VALUE(IF(RTD("tos.rtd",,"IMPL_VOL","."&amp;T$2&amp;T$1&amp;"C"&amp;$A6)="N/A",0,RTD("tos.rtd",,"IMPL_VOL","."&amp;T$2&amp;T$1&amp;"C"&amp;$A6))),0),IF($A$2="MAXPAIN",IF($A$4&gt;$A6,($A$4-$A6)*IF(RTD("tos.rtd",,"OPEN_INT","."&amp;T$2&amp;T$1&amp;"C"&amp;$A6)="N/A",0,RTD("tos.rtd",,"OPEN_INT","."&amp;T$2&amp;T$1&amp;"C"&amp;$A6)),0)+IF($A$4&lt;$A6,($A$5-$A$4)*IF(RTD("tos.rtd",,"OPEN_INT","."&amp;T$2&amp;T$1&amp;"P"&amp;$A6)="N/A",0,RTD("tos.rtd",,"OPEN_INT","."&amp;T$2&amp;T$1&amp;"P"&amp;$A6)),0),IF($X$1="ABS",IF(RTD("tos.rtd",,$A$2,"."&amp;T$2&amp;T$1&amp;"C"&amp;$A6)="N/A",0,RTD("tos.rtd",,$A$2,"."&amp;T$2&amp;T$1&amp;"C"&amp;$A6))+IF(RTD("tos.rtd",,$A$2,"."&amp;T$2&amp;T$1&amp;"P"&amp;$A6)="N/A",0,RTD("tos.rtd",,$A$2,"."&amp;T$2&amp;T$1&amp;"P"&amp;$A6)),IF(RTD("tos.rtd",,$A$2,"."&amp;T$2&amp;T$1&amp;"C"&amp;$A6)="N/A",0,RTD("tos.rtd",,$A$2,"."&amp;T$2&amp;T$1&amp;"C"&amp;$A6))-IF(RTD("tos.rtd",,$A$2,"."&amp;T$2&amp;T$1&amp;"P"&amp;$A6)="N/A",0,RTD("tos.rtd",,$A$2,"."&amp;T$2&amp;T$1&amp;"P"&amp;$A6))))))))))</f>
        <v>0</v>
      </c>
      <c r="U6" s="12">
        <f ca="1">IF($A$2="PREMIUM_OI",IFERROR(IF($X$1="ABS",(100*RTD("tos.rtd",,"OPEN_INT","."&amp;U$2&amp;U$1&amp;"C"&amp;$A6)*RTD("tos.rtd",,"LAST","."&amp;U$2&amp;U$1&amp;"C"&amp;$A6)+100*RTD("tos.rtd",,"OPEN_INT","."&amp;U$2&amp;U$1&amp;"P"&amp;$A6)*RTD("tos.rtd",,"LAST","."&amp;U$2&amp;U$1&amp;"P"&amp;$A6))/1000000,(100*RTD("tos.rtd",,"OPEN_INT","."&amp;U$2&amp;U$1&amp;"C"&amp;$A6)*RTD("tos.rtd",,"LAST","."&amp;U$2&amp;U$1&amp;"C"&amp;$A6)-100*RTD("tos.rtd",,"OPEN_INT","."&amp;U$2&amp;U$1&amp;"P"&amp;$A6)*RTD("tos.rtd",,"LAST","."&amp;U$2&amp;U$1&amp;"P"&amp;$A6))/1000000),0),IF($A$2="PREMIUM",IFERROR(IF($X$1="ABS",(100*RTD("tos.rtd",,"VOLUME","."&amp;U$2&amp;U$1&amp;"C"&amp;$A6)*RTD("tos.rtd",,"LAST","."&amp;U$2&amp;U$1&amp;"C"&amp;$A6)+100*RTD("tos.rtd",,"VOLUME","."&amp;U$2&amp;U$1&amp;"P"&amp;$A6)*RTD("tos.rtd",,"LAST","."&amp;U$2&amp;U$1&amp;"P"&amp;$A6))/1000000,(100*RTD("tos.rtd",,"VOLUME","."&amp;U$2&amp;U$1&amp;"C"&amp;$A6)*RTD("tos.rtd",,"LAST","."&amp;U$2&amp;U$1&amp;"C"&amp;$A6)-100*RTD("tos.rtd",,"VOLUME","."&amp;U$2&amp;U$1&amp;"P"&amp;$A6)*RTD("tos.rtd",,"LAST","."&amp;U$2&amp;U$1&amp;"P"&amp;$A6))/1000000),0),IF($A$2="DEX",IFERROR(IF($X$1="ABS",(100*RTD("tos.rtd",,"OPEN_INT","."&amp;U$2&amp;U$1&amp;"C"&amp;$A6)*RTD("tos.rtd",,"DELTA","."&amp;U$2&amp;U$1&amp;"C"&amp;$A6)+100*RTD("tos.rtd",,"OPEN_INT","."&amp;U$2&amp;U$1&amp;"P"&amp;$A6)*RTD("tos.rtd",,"DELTA","."&amp;U$2&amp;U$1&amp;"P"&amp;$A6))/1000,(100*RTD("tos.rtd",,"OPEN_INT","."&amp;U$2&amp;U$1&amp;"C"&amp;$A6)*RTD("tos.rtd",,"DELTA","."&amp;U$2&amp;U$1&amp;"C"&amp;$A6)-100*RTD("tos.rtd",,"OPEN_INT","."&amp;U$2&amp;U$1&amp;"P"&amp;$A6)*RTD("tos.rtd",,"DELTA","."&amp;U$2&amp;U$1&amp;"P"&amp;$A6))/1000),0),IF($A$2="VEX",IFERROR(IF($X$1="ABS",($A$4*$A$4*RTD("tos.rtd",,"VOLUME","."&amp;U$2&amp;U$1&amp;"C"&amp;$A6)*RTD("tos.rtd",,"GAMMA","."&amp;U$2&amp;U$1&amp;"C"&amp;$A6)+$A$4*$A$4*RTD("tos.rtd",,"VOLUME","."&amp;U$2&amp;U$1&amp;"P"&amp;$A6)*RTD("tos.rtd",,"GAMMA","."&amp;U$2&amp;U$1&amp;"P"&amp;$A6))/1000000,($A$4*$A$4*RTD("tos.rtd",,"VOLUME","."&amp;U$2&amp;U$1&amp;"C"&amp;$A6)*RTD("tos.rtd",,"GAMMA","."&amp;U$2&amp;U$1&amp;"C"&amp;$A6)-$A$4*$A$4*RTD("tos.rtd",,"VOLUME","."&amp;U$2&amp;U$1&amp;"P"&amp;$A6)*RTD("tos.rtd",,"GAMMA","."&amp;U$2&amp;U$1&amp;"P"&amp;$A6))/1000000),0),IF($A$2="GEX",IFERROR(IF($X$1="ABS",($A$4*$A$4*RTD("tos.rtd",,"OPEN_INT","."&amp;U$2&amp;U$1&amp;"C"&amp;$A6)*RTD("tos.rtd",,"GAMMA","."&amp;U$2&amp;U$1&amp;"C"&amp;$A6)+$A$4*$A$4*RTD("tos.rtd",,"OPEN_INT","."&amp;U$2&amp;U$1&amp;"P"&amp;$A6)*RTD("tos.rtd",,"GAMMA","."&amp;U$2&amp;U$1&amp;"P"&amp;$A6))/1000000,($A$4*$A$4*RTD("tos.rtd",,"OPEN_INT","."&amp;U$2&amp;U$1&amp;"C"&amp;$A6)*RTD("tos.rtd",,"GAMMA","."&amp;U$2&amp;U$1&amp;"C"&amp;$A6)-$A$4*$A$4*RTD("tos.rtd",,"OPEN_INT","."&amp;U$2&amp;U$1&amp;"P"&amp;$A6)*RTD("tos.rtd",,"GAMMA","."&amp;U$2&amp;U$1&amp;"P"&amp;$A6))/1000000),0),IF($A$2="SKEW",IFERROR(VALUE(IF(RTD("tos.rtd",,"IMPL_VOL","."&amp;U$2&amp;U$1&amp;"P"&amp;$A6)="N/A",0,RTD("tos.rtd",,"IMPL_VOL","."&amp;U$2&amp;U$1&amp;"P"&amp;$A6))),0)-IFERROR(VALUE(IF(RTD("tos.rtd",,"IMPL_VOL","."&amp;U$2&amp;U$1&amp;"C"&amp;$A6)="N/A",0,RTD("tos.rtd",,"IMPL_VOL","."&amp;U$2&amp;U$1&amp;"C"&amp;$A6))),0),IF($A$2="MAXPAIN",IF($A$4&gt;$A6,($A$4-$A6)*IF(RTD("tos.rtd",,"OPEN_INT","."&amp;U$2&amp;U$1&amp;"C"&amp;$A6)="N/A",0,RTD("tos.rtd",,"OPEN_INT","."&amp;U$2&amp;U$1&amp;"C"&amp;$A6)),0)+IF($A$4&lt;$A6,($A$5-$A$4)*IF(RTD("tos.rtd",,"OPEN_INT","."&amp;U$2&amp;U$1&amp;"P"&amp;$A6)="N/A",0,RTD("tos.rtd",,"OPEN_INT","."&amp;U$2&amp;U$1&amp;"P"&amp;$A6)),0),IF($X$1="ABS",IF(RTD("tos.rtd",,$A$2,"."&amp;U$2&amp;U$1&amp;"C"&amp;$A6)="N/A",0,RTD("tos.rtd",,$A$2,"."&amp;U$2&amp;U$1&amp;"C"&amp;$A6))+IF(RTD("tos.rtd",,$A$2,"."&amp;U$2&amp;U$1&amp;"P"&amp;$A6)="N/A",0,RTD("tos.rtd",,$A$2,"."&amp;U$2&amp;U$1&amp;"P"&amp;$A6)),IF(RTD("tos.rtd",,$A$2,"."&amp;U$2&amp;U$1&amp;"C"&amp;$A6)="N/A",0,RTD("tos.rtd",,$A$2,"."&amp;U$2&amp;U$1&amp;"C"&amp;$A6))-IF(RTD("tos.rtd",,$A$2,"."&amp;U$2&amp;U$1&amp;"P"&amp;$A6)="N/A",0,RTD("tos.rtd",,$A$2,"."&amp;U$2&amp;U$1&amp;"P"&amp;$A6))))))))))</f>
        <v>0</v>
      </c>
      <c r="V6" s="12">
        <f ca="1">IF($A$2="PREMIUM_OI",IFERROR(IF($X$1="ABS",(100*RTD("tos.rtd",,"OPEN_INT","."&amp;V$2&amp;V$1&amp;"C"&amp;$A6)*RTD("tos.rtd",,"LAST","."&amp;V$2&amp;V$1&amp;"C"&amp;$A6)+100*RTD("tos.rtd",,"OPEN_INT","."&amp;V$2&amp;V$1&amp;"P"&amp;$A6)*RTD("tos.rtd",,"LAST","."&amp;V$2&amp;V$1&amp;"P"&amp;$A6))/1000000,(100*RTD("tos.rtd",,"OPEN_INT","."&amp;V$2&amp;V$1&amp;"C"&amp;$A6)*RTD("tos.rtd",,"LAST","."&amp;V$2&amp;V$1&amp;"C"&amp;$A6)-100*RTD("tos.rtd",,"OPEN_INT","."&amp;V$2&amp;V$1&amp;"P"&amp;$A6)*RTD("tos.rtd",,"LAST","."&amp;V$2&amp;V$1&amp;"P"&amp;$A6))/1000000),0),IF($A$2="PREMIUM",IFERROR(IF($X$1="ABS",(100*RTD("tos.rtd",,"VOLUME","."&amp;V$2&amp;V$1&amp;"C"&amp;$A6)*RTD("tos.rtd",,"LAST","."&amp;V$2&amp;V$1&amp;"C"&amp;$A6)+100*RTD("tos.rtd",,"VOLUME","."&amp;V$2&amp;V$1&amp;"P"&amp;$A6)*RTD("tos.rtd",,"LAST","."&amp;V$2&amp;V$1&amp;"P"&amp;$A6))/1000000,(100*RTD("tos.rtd",,"VOLUME","."&amp;V$2&amp;V$1&amp;"C"&amp;$A6)*RTD("tos.rtd",,"LAST","."&amp;V$2&amp;V$1&amp;"C"&amp;$A6)-100*RTD("tos.rtd",,"VOLUME","."&amp;V$2&amp;V$1&amp;"P"&amp;$A6)*RTD("tos.rtd",,"LAST","."&amp;V$2&amp;V$1&amp;"P"&amp;$A6))/1000000),0),IF($A$2="DEX",IFERROR(IF($X$1="ABS",(100*RTD("tos.rtd",,"OPEN_INT","."&amp;V$2&amp;V$1&amp;"C"&amp;$A6)*RTD("tos.rtd",,"DELTA","."&amp;V$2&amp;V$1&amp;"C"&amp;$A6)+100*RTD("tos.rtd",,"OPEN_INT","."&amp;V$2&amp;V$1&amp;"P"&amp;$A6)*RTD("tos.rtd",,"DELTA","."&amp;V$2&amp;V$1&amp;"P"&amp;$A6))/1000,(100*RTD("tos.rtd",,"OPEN_INT","."&amp;V$2&amp;V$1&amp;"C"&amp;$A6)*RTD("tos.rtd",,"DELTA","."&amp;V$2&amp;V$1&amp;"C"&amp;$A6)-100*RTD("tos.rtd",,"OPEN_INT","."&amp;V$2&amp;V$1&amp;"P"&amp;$A6)*RTD("tos.rtd",,"DELTA","."&amp;V$2&amp;V$1&amp;"P"&amp;$A6))/1000),0),IF($A$2="VEX",IFERROR(IF($X$1="ABS",($A$4*$A$4*RTD("tos.rtd",,"VOLUME","."&amp;V$2&amp;V$1&amp;"C"&amp;$A6)*RTD("tos.rtd",,"GAMMA","."&amp;V$2&amp;V$1&amp;"C"&amp;$A6)+$A$4*$A$4*RTD("tos.rtd",,"VOLUME","."&amp;V$2&amp;V$1&amp;"P"&amp;$A6)*RTD("tos.rtd",,"GAMMA","."&amp;V$2&amp;V$1&amp;"P"&amp;$A6))/1000000,($A$4*$A$4*RTD("tos.rtd",,"VOLUME","."&amp;V$2&amp;V$1&amp;"C"&amp;$A6)*RTD("tos.rtd",,"GAMMA","."&amp;V$2&amp;V$1&amp;"C"&amp;$A6)-$A$4*$A$4*RTD("tos.rtd",,"VOLUME","."&amp;V$2&amp;V$1&amp;"P"&amp;$A6)*RTD("tos.rtd",,"GAMMA","."&amp;V$2&amp;V$1&amp;"P"&amp;$A6))/1000000),0),IF($A$2="GEX",IFERROR(IF($X$1="ABS",($A$4*$A$4*RTD("tos.rtd",,"OPEN_INT","."&amp;V$2&amp;V$1&amp;"C"&amp;$A6)*RTD("tos.rtd",,"GAMMA","."&amp;V$2&amp;V$1&amp;"C"&amp;$A6)+$A$4*$A$4*RTD("tos.rtd",,"OPEN_INT","."&amp;V$2&amp;V$1&amp;"P"&amp;$A6)*RTD("tos.rtd",,"GAMMA","."&amp;V$2&amp;V$1&amp;"P"&amp;$A6))/1000000,($A$4*$A$4*RTD("tos.rtd",,"OPEN_INT","."&amp;V$2&amp;V$1&amp;"C"&amp;$A6)*RTD("tos.rtd",,"GAMMA","."&amp;V$2&amp;V$1&amp;"C"&amp;$A6)-$A$4*$A$4*RTD("tos.rtd",,"OPEN_INT","."&amp;V$2&amp;V$1&amp;"P"&amp;$A6)*RTD("tos.rtd",,"GAMMA","."&amp;V$2&amp;V$1&amp;"P"&amp;$A6))/1000000),0),IF($A$2="SKEW",IFERROR(VALUE(IF(RTD("tos.rtd",,"IMPL_VOL","."&amp;V$2&amp;V$1&amp;"P"&amp;$A6)="N/A",0,RTD("tos.rtd",,"IMPL_VOL","."&amp;V$2&amp;V$1&amp;"P"&amp;$A6))),0)-IFERROR(VALUE(IF(RTD("tos.rtd",,"IMPL_VOL","."&amp;V$2&amp;V$1&amp;"C"&amp;$A6)="N/A",0,RTD("tos.rtd",,"IMPL_VOL","."&amp;V$2&amp;V$1&amp;"C"&amp;$A6))),0),IF($A$2="MAXPAIN",IF($A$4&gt;$A6,($A$4-$A6)*IF(RTD("tos.rtd",,"OPEN_INT","."&amp;V$2&amp;V$1&amp;"C"&amp;$A6)="N/A",0,RTD("tos.rtd",,"OPEN_INT","."&amp;V$2&amp;V$1&amp;"C"&amp;$A6)),0)+IF($A$4&lt;$A6,($A$5-$A$4)*IF(RTD("tos.rtd",,"OPEN_INT","."&amp;V$2&amp;V$1&amp;"P"&amp;$A6)="N/A",0,RTD("tos.rtd",,"OPEN_INT","."&amp;V$2&amp;V$1&amp;"P"&amp;$A6)),0),IF($X$1="ABS",IF(RTD("tos.rtd",,$A$2,"."&amp;V$2&amp;V$1&amp;"C"&amp;$A6)="N/A",0,RTD("tos.rtd",,$A$2,"."&amp;V$2&amp;V$1&amp;"C"&amp;$A6))+IF(RTD("tos.rtd",,$A$2,"."&amp;V$2&amp;V$1&amp;"P"&amp;$A6)="N/A",0,RTD("tos.rtd",,$A$2,"."&amp;V$2&amp;V$1&amp;"P"&amp;$A6)),IF(RTD("tos.rtd",,$A$2,"."&amp;V$2&amp;V$1&amp;"C"&amp;$A6)="N/A",0,RTD("tos.rtd",,$A$2,"."&amp;V$2&amp;V$1&amp;"C"&amp;$A6))-IF(RTD("tos.rtd",,$A$2,"."&amp;V$2&amp;V$1&amp;"P"&amp;$A6)="N/A",0,RTD("tos.rtd",,$A$2,"."&amp;V$2&amp;V$1&amp;"P"&amp;$A6))))))))))</f>
        <v>0</v>
      </c>
      <c r="W6" s="12">
        <f ca="1">IF($A$2="PREMIUM_OI",IFERROR(IF($X$1="ABS",(100*RTD("tos.rtd",,"OPEN_INT","."&amp;W$2&amp;W$1&amp;"C"&amp;$A6)*RTD("tos.rtd",,"LAST","."&amp;W$2&amp;W$1&amp;"C"&amp;$A6)+100*RTD("tos.rtd",,"OPEN_INT","."&amp;W$2&amp;W$1&amp;"P"&amp;$A6)*RTD("tos.rtd",,"LAST","."&amp;W$2&amp;W$1&amp;"P"&amp;$A6))/1000000,(100*RTD("tos.rtd",,"OPEN_INT","."&amp;W$2&amp;W$1&amp;"C"&amp;$A6)*RTD("tos.rtd",,"LAST","."&amp;W$2&amp;W$1&amp;"C"&amp;$A6)-100*RTD("tos.rtd",,"OPEN_INT","."&amp;W$2&amp;W$1&amp;"P"&amp;$A6)*RTD("tos.rtd",,"LAST","."&amp;W$2&amp;W$1&amp;"P"&amp;$A6))/1000000),0),IF($A$2="PREMIUM",IFERROR(IF($X$1="ABS",(100*RTD("tos.rtd",,"VOLUME","."&amp;W$2&amp;W$1&amp;"C"&amp;$A6)*RTD("tos.rtd",,"LAST","."&amp;W$2&amp;W$1&amp;"C"&amp;$A6)+100*RTD("tos.rtd",,"VOLUME","."&amp;W$2&amp;W$1&amp;"P"&amp;$A6)*RTD("tos.rtd",,"LAST","."&amp;W$2&amp;W$1&amp;"P"&amp;$A6))/1000000,(100*RTD("tos.rtd",,"VOLUME","."&amp;W$2&amp;W$1&amp;"C"&amp;$A6)*RTD("tos.rtd",,"LAST","."&amp;W$2&amp;W$1&amp;"C"&amp;$A6)-100*RTD("tos.rtd",,"VOLUME","."&amp;W$2&amp;W$1&amp;"P"&amp;$A6)*RTD("tos.rtd",,"LAST","."&amp;W$2&amp;W$1&amp;"P"&amp;$A6))/1000000),0),IF($A$2="DEX",IFERROR(IF($X$1="ABS",(100*RTD("tos.rtd",,"OPEN_INT","."&amp;W$2&amp;W$1&amp;"C"&amp;$A6)*RTD("tos.rtd",,"DELTA","."&amp;W$2&amp;W$1&amp;"C"&amp;$A6)+100*RTD("tos.rtd",,"OPEN_INT","."&amp;W$2&amp;W$1&amp;"P"&amp;$A6)*RTD("tos.rtd",,"DELTA","."&amp;W$2&amp;W$1&amp;"P"&amp;$A6))/1000,(100*RTD("tos.rtd",,"OPEN_INT","."&amp;W$2&amp;W$1&amp;"C"&amp;$A6)*RTD("tos.rtd",,"DELTA","."&amp;W$2&amp;W$1&amp;"C"&amp;$A6)-100*RTD("tos.rtd",,"OPEN_INT","."&amp;W$2&amp;W$1&amp;"P"&amp;$A6)*RTD("tos.rtd",,"DELTA","."&amp;W$2&amp;W$1&amp;"P"&amp;$A6))/1000),0),IF($A$2="VEX",IFERROR(IF($X$1="ABS",($A$4*$A$4*RTD("tos.rtd",,"VOLUME","."&amp;W$2&amp;W$1&amp;"C"&amp;$A6)*RTD("tos.rtd",,"GAMMA","."&amp;W$2&amp;W$1&amp;"C"&amp;$A6)+$A$4*$A$4*RTD("tos.rtd",,"VOLUME","."&amp;W$2&amp;W$1&amp;"P"&amp;$A6)*RTD("tos.rtd",,"GAMMA","."&amp;W$2&amp;W$1&amp;"P"&amp;$A6))/1000000,($A$4*$A$4*RTD("tos.rtd",,"VOLUME","."&amp;W$2&amp;W$1&amp;"C"&amp;$A6)*RTD("tos.rtd",,"GAMMA","."&amp;W$2&amp;W$1&amp;"C"&amp;$A6)-$A$4*$A$4*RTD("tos.rtd",,"VOLUME","."&amp;W$2&amp;W$1&amp;"P"&amp;$A6)*RTD("tos.rtd",,"GAMMA","."&amp;W$2&amp;W$1&amp;"P"&amp;$A6))/1000000),0),IF($A$2="GEX",IFERROR(IF($X$1="ABS",($A$4*$A$4*RTD("tos.rtd",,"OPEN_INT","."&amp;W$2&amp;W$1&amp;"C"&amp;$A6)*RTD("tos.rtd",,"GAMMA","."&amp;W$2&amp;W$1&amp;"C"&amp;$A6)+$A$4*$A$4*RTD("tos.rtd",,"OPEN_INT","."&amp;W$2&amp;W$1&amp;"P"&amp;$A6)*RTD("tos.rtd",,"GAMMA","."&amp;W$2&amp;W$1&amp;"P"&amp;$A6))/1000000,($A$4*$A$4*RTD("tos.rtd",,"OPEN_INT","."&amp;W$2&amp;W$1&amp;"C"&amp;$A6)*RTD("tos.rtd",,"GAMMA","."&amp;W$2&amp;W$1&amp;"C"&amp;$A6)-$A$4*$A$4*RTD("tos.rtd",,"OPEN_INT","."&amp;W$2&amp;W$1&amp;"P"&amp;$A6)*RTD("tos.rtd",,"GAMMA","."&amp;W$2&amp;W$1&amp;"P"&amp;$A6))/1000000),0),IF($A$2="SKEW",IFERROR(VALUE(IF(RTD("tos.rtd",,"IMPL_VOL","."&amp;W$2&amp;W$1&amp;"P"&amp;$A6)="N/A",0,RTD("tos.rtd",,"IMPL_VOL","."&amp;W$2&amp;W$1&amp;"P"&amp;$A6))),0)-IFERROR(VALUE(IF(RTD("tos.rtd",,"IMPL_VOL","."&amp;W$2&amp;W$1&amp;"C"&amp;$A6)="N/A",0,RTD("tos.rtd",,"IMPL_VOL","."&amp;W$2&amp;W$1&amp;"C"&amp;$A6))),0),IF($A$2="MAXPAIN",IF($A$4&gt;$A6,($A$4-$A6)*IF(RTD("tos.rtd",,"OPEN_INT","."&amp;W$2&amp;W$1&amp;"C"&amp;$A6)="N/A",0,RTD("tos.rtd",,"OPEN_INT","."&amp;W$2&amp;W$1&amp;"C"&amp;$A6)),0)+IF($A$4&lt;$A6,($A$5-$A$4)*IF(RTD("tos.rtd",,"OPEN_INT","."&amp;W$2&amp;W$1&amp;"P"&amp;$A6)="N/A",0,RTD("tos.rtd",,"OPEN_INT","."&amp;W$2&amp;W$1&amp;"P"&amp;$A6)),0),IF($X$1="ABS",IF(RTD("tos.rtd",,$A$2,"."&amp;W$2&amp;W$1&amp;"C"&amp;$A6)="N/A",0,RTD("tos.rtd",,$A$2,"."&amp;W$2&amp;W$1&amp;"C"&amp;$A6))+IF(RTD("tos.rtd",,$A$2,"."&amp;W$2&amp;W$1&amp;"P"&amp;$A6)="N/A",0,RTD("tos.rtd",,$A$2,"."&amp;W$2&amp;W$1&amp;"P"&amp;$A6)),IF(RTD("tos.rtd",,$A$2,"."&amp;W$2&amp;W$1&amp;"C"&amp;$A6)="N/A",0,RTD("tos.rtd",,$A$2,"."&amp;W$2&amp;W$1&amp;"C"&amp;$A6))-IF(RTD("tos.rtd",,$A$2,"."&amp;W$2&amp;W$1&amp;"P"&amp;$A6)="N/A",0,RTD("tos.rtd",,$A$2,"."&amp;W$2&amp;W$1&amp;"P"&amp;$A6))))))))))</f>
        <v>0</v>
      </c>
      <c r="X6" s="57">
        <f t="shared" ref="X6:X51" ca="1" si="7">SUMPRODUCT(B6:W6,$B$52:$W$52)</f>
        <v>69094</v>
      </c>
      <c r="Y6" s="27">
        <f t="shared" ref="Y6:Y51" ca="1" si="8">+X6</f>
        <v>69094</v>
      </c>
      <c r="Z6" s="27" t="b">
        <f t="shared" ref="Z6:Z51" ca="1" si="9">IF(AND(A6&gt;$Y$52,A6&lt;$Y$4),ABS(AVERAGE(Y5:Y7)))</f>
        <v>0</v>
      </c>
      <c r="AA6" s="27">
        <f t="shared" ref="AA6:AA51" si="10">SUM(AB6:BV6)</f>
        <v>250617150</v>
      </c>
      <c r="AB6" s="18">
        <f>MAX(0, $A6-AB$4)*IF(RTD("tos.rtd",,"OPEN_INT","."&amp;$AA$3&amp;$AA$4&amp;"C"&amp;AB$4)="N/A",0,RTD("tos.rtd",,"OPEN_INT","."&amp;$AA$3&amp;$AA$4&amp;"C"&amp;AB$4))*100 + MAX(0, AB$4-$A6)*IF(RTD("tos.rtd",,"OPEN_INT","."&amp;$AA$3&amp;$AA$4&amp;"P"&amp;AB$4)="N/A",0,RTD("tos.rtd",,"OPEN_INT","."&amp;$AA$3&amp;$AA$4&amp;"P"&amp;AB$4))*100</f>
        <v>0</v>
      </c>
      <c r="AC6" s="18">
        <f>MAX(0, $A6-AC$4)*IF(RTD("tos.rtd",,"OPEN_INT","."&amp;$AA$3&amp;$AA$4&amp;"C"&amp;AC$4)="N/A",0,RTD("tos.rtd",,"OPEN_INT","."&amp;$AA$3&amp;$AA$4&amp;"C"&amp;AC$4))*100 + MAX(0, AC$4-$A6)*IF(RTD("tos.rtd",,"OPEN_INT","."&amp;$AA$3&amp;$AA$4&amp;"P"&amp;AC$4)="N/A",0,RTD("tos.rtd",,"OPEN_INT","."&amp;$AA$3&amp;$AA$4&amp;"P"&amp;AC$4))*100</f>
        <v>0</v>
      </c>
      <c r="AD6" s="18">
        <f>MAX(0, $A6-AD$4)*IF(RTD("tos.rtd",,"OPEN_INT","."&amp;$AA$3&amp;$AA$4&amp;"C"&amp;AD$4)="N/A",0,RTD("tos.rtd",,"OPEN_INT","."&amp;$AA$3&amp;$AA$4&amp;"C"&amp;AD$4))*100 + MAX(0, AD$4-$A6)*IF(RTD("tos.rtd",,"OPEN_INT","."&amp;$AA$3&amp;$AA$4&amp;"P"&amp;AD$4)="N/A",0,RTD("tos.rtd",,"OPEN_INT","."&amp;$AA$3&amp;$AA$4&amp;"P"&amp;AD$4))*100</f>
        <v>0</v>
      </c>
      <c r="AE6" s="18">
        <f>MAX(0, $A6-AE$4)*IF(RTD("tos.rtd",,"OPEN_INT","."&amp;$AA$3&amp;$AA$4&amp;"C"&amp;AE$4)="N/A",0,RTD("tos.rtd",,"OPEN_INT","."&amp;$AA$3&amp;$AA$4&amp;"C"&amp;AE$4))*100 + MAX(0, AE$4-$A6)*IF(RTD("tos.rtd",,"OPEN_INT","."&amp;$AA$3&amp;$AA$4&amp;"P"&amp;AE$4)="N/A",0,RTD("tos.rtd",,"OPEN_INT","."&amp;$AA$3&amp;$AA$4&amp;"P"&amp;AE$4))*100</f>
        <v>0</v>
      </c>
      <c r="AF6" s="18">
        <f>MAX(0, $A6-AF$4)*IF(RTD("tos.rtd",,"OPEN_INT","."&amp;$AA$3&amp;$AA$4&amp;"C"&amp;AF$4)="N/A",0,RTD("tos.rtd",,"OPEN_INT","."&amp;$AA$3&amp;$AA$4&amp;"C"&amp;AF$4))*100 + MAX(0, AF$4-$A6)*IF(RTD("tos.rtd",,"OPEN_INT","."&amp;$AA$3&amp;$AA$4&amp;"P"&amp;AF$4)="N/A",0,RTD("tos.rtd",,"OPEN_INT","."&amp;$AA$3&amp;$AA$4&amp;"P"&amp;AF$4))*100</f>
        <v>0</v>
      </c>
      <c r="AG6" s="18">
        <f>MAX(0, $A6-AG$4)*IF(RTD("tos.rtd",,"OPEN_INT","."&amp;$AA$3&amp;$AA$4&amp;"C"&amp;AG$4)="N/A",0,RTD("tos.rtd",,"OPEN_INT","."&amp;$AA$3&amp;$AA$4&amp;"C"&amp;AG$4))*100 + MAX(0, AG$4-$A6)*IF(RTD("tos.rtd",,"OPEN_INT","."&amp;$AA$3&amp;$AA$4&amp;"P"&amp;AG$4)="N/A",0,RTD("tos.rtd",,"OPEN_INT","."&amp;$AA$3&amp;$AA$4&amp;"P"&amp;AG$4))*100</f>
        <v>0</v>
      </c>
      <c r="AH6" s="18">
        <f>MAX(0, $A6-AH$4)*IF(RTD("tos.rtd",,"OPEN_INT","."&amp;$AA$3&amp;$AA$4&amp;"C"&amp;AH$4)="N/A",0,RTD("tos.rtd",,"OPEN_INT","."&amp;$AA$3&amp;$AA$4&amp;"C"&amp;AH$4))*100 + MAX(0, AH$4-$A6)*IF(RTD("tos.rtd",,"OPEN_INT","."&amp;$AA$3&amp;$AA$4&amp;"P"&amp;AH$4)="N/A",0,RTD("tos.rtd",,"OPEN_INT","."&amp;$AA$3&amp;$AA$4&amp;"P"&amp;AH$4))*100</f>
        <v>0</v>
      </c>
      <c r="AI6" s="18">
        <f>MAX(0, $A6-AI$4)*IF(RTD("tos.rtd",,"OPEN_INT","."&amp;$AA$3&amp;$AA$4&amp;"C"&amp;AI$4)="N/A",0,RTD("tos.rtd",,"OPEN_INT","."&amp;$AA$3&amp;$AA$4&amp;"C"&amp;AI$4))*100 + MAX(0, AI$4-$A6)*IF(RTD("tos.rtd",,"OPEN_INT","."&amp;$AA$3&amp;$AA$4&amp;"P"&amp;AI$4)="N/A",0,RTD("tos.rtd",,"OPEN_INT","."&amp;$AA$3&amp;$AA$4&amp;"P"&amp;AI$4))*100</f>
        <v>814800</v>
      </c>
      <c r="AJ6" s="18">
        <f>MAX(0, $A6-AJ$4)*IF(RTD("tos.rtd",,"OPEN_INT","."&amp;$AA$3&amp;$AA$4&amp;"C"&amp;AJ$4)="N/A",0,RTD("tos.rtd",,"OPEN_INT","."&amp;$AA$3&amp;$AA$4&amp;"C"&amp;AJ$4))*100 + MAX(0, AJ$4-$A6)*IF(RTD("tos.rtd",,"OPEN_INT","."&amp;$AA$3&amp;$AA$4&amp;"P"&amp;AJ$4)="N/A",0,RTD("tos.rtd",,"OPEN_INT","."&amp;$AA$3&amp;$AA$4&amp;"P"&amp;AJ$4))*100</f>
        <v>94150</v>
      </c>
      <c r="AK6" s="18">
        <f>MAX(0, $A6-AK$4)*IF(RTD("tos.rtd",,"OPEN_INT","."&amp;$AA$3&amp;$AA$4&amp;"C"&amp;AK$4)="N/A",0,RTD("tos.rtd",,"OPEN_INT","."&amp;$AA$3&amp;$AA$4&amp;"C"&amp;AK$4))*100 + MAX(0, AK$4-$A6)*IF(RTD("tos.rtd",,"OPEN_INT","."&amp;$AA$3&amp;$AA$4&amp;"P"&amp;AK$4)="N/A",0,RTD("tos.rtd",,"OPEN_INT","."&amp;$AA$3&amp;$AA$4&amp;"P"&amp;AK$4))*100</f>
        <v>1125200</v>
      </c>
      <c r="AL6" s="18">
        <f>MAX(0, $A6-AL$4)*IF(RTD("tos.rtd",,"OPEN_INT","."&amp;$AA$3&amp;$AA$4&amp;"C"&amp;AL$4)="N/A",0,RTD("tos.rtd",,"OPEN_INT","."&amp;$AA$3&amp;$AA$4&amp;"C"&amp;AL$4))*100 + MAX(0, AL$4-$A6)*IF(RTD("tos.rtd",,"OPEN_INT","."&amp;$AA$3&amp;$AA$4&amp;"P"&amp;AL$4)="N/A",0,RTD("tos.rtd",,"OPEN_INT","."&amp;$AA$3&amp;$AA$4&amp;"P"&amp;AL$4))*100</f>
        <v>0</v>
      </c>
      <c r="AM6" s="18">
        <f>MAX(0, $A6-AM$4)*IF(RTD("tos.rtd",,"OPEN_INT","."&amp;$AA$3&amp;$AA$4&amp;"C"&amp;AM$4)="N/A",0,RTD("tos.rtd",,"OPEN_INT","."&amp;$AA$3&amp;$AA$4&amp;"C"&amp;AM$4))*100 + MAX(0, AM$4-$A6)*IF(RTD("tos.rtd",,"OPEN_INT","."&amp;$AA$3&amp;$AA$4&amp;"P"&amp;AM$4)="N/A",0,RTD("tos.rtd",,"OPEN_INT","."&amp;$AA$3&amp;$AA$4&amp;"P"&amp;AM$4))*100</f>
        <v>1182500</v>
      </c>
      <c r="AN6" s="18">
        <f>MAX(0, $A6-AN$4)*IF(RTD("tos.rtd",,"OPEN_INT","."&amp;$AA$3&amp;$AA$4&amp;"C"&amp;AN$4)="N/A",0,RTD("tos.rtd",,"OPEN_INT","."&amp;$AA$3&amp;$AA$4&amp;"C"&amp;AN$4))*100 + MAX(0, AN$4-$A6)*IF(RTD("tos.rtd",,"OPEN_INT","."&amp;$AA$3&amp;$AA$4&amp;"P"&amp;AN$4)="N/A",0,RTD("tos.rtd",,"OPEN_INT","."&amp;$AA$3&amp;$AA$4&amp;"P"&amp;AN$4))*100</f>
        <v>0</v>
      </c>
      <c r="AO6" s="18">
        <f>MAX(0, $A6-AO$4)*IF(RTD("tos.rtd",,"OPEN_INT","."&amp;$AA$3&amp;$AA$4&amp;"C"&amp;AO$4)="N/A",0,RTD("tos.rtd",,"OPEN_INT","."&amp;$AA$3&amp;$AA$4&amp;"C"&amp;AO$4))*100 + MAX(0, AO$4-$A6)*IF(RTD("tos.rtd",,"OPEN_INT","."&amp;$AA$3&amp;$AA$4&amp;"P"&amp;AO$4)="N/A",0,RTD("tos.rtd",,"OPEN_INT","."&amp;$AA$3&amp;$AA$4&amp;"P"&amp;AO$4))*100</f>
        <v>413400</v>
      </c>
      <c r="AP6" s="18">
        <f>MAX(0, $A6-AP$4)*IF(RTD("tos.rtd",,"OPEN_INT","."&amp;$AA$3&amp;$AA$4&amp;"C"&amp;AP$4)="N/A",0,RTD("tos.rtd",,"OPEN_INT","."&amp;$AA$3&amp;$AA$4&amp;"C"&amp;AP$4))*100 + MAX(0, AP$4-$A6)*IF(RTD("tos.rtd",,"OPEN_INT","."&amp;$AA$3&amp;$AA$4&amp;"P"&amp;AP$4)="N/A",0,RTD("tos.rtd",,"OPEN_INT","."&amp;$AA$3&amp;$AA$4&amp;"P"&amp;AP$4))*100</f>
        <v>0</v>
      </c>
      <c r="AQ6" s="18">
        <f>MAX(0, $A6-AQ$4)*IF(RTD("tos.rtd",,"OPEN_INT","."&amp;$AA$3&amp;$AA$4&amp;"C"&amp;AQ$4)="N/A",0,RTD("tos.rtd",,"OPEN_INT","."&amp;$AA$3&amp;$AA$4&amp;"C"&amp;AQ$4))*100 + MAX(0, AQ$4-$A6)*IF(RTD("tos.rtd",,"OPEN_INT","."&amp;$AA$3&amp;$AA$4&amp;"P"&amp;AQ$4)="N/A",0,RTD("tos.rtd",,"OPEN_INT","."&amp;$AA$3&amp;$AA$4&amp;"P"&amp;AQ$4))*100</f>
        <v>448000</v>
      </c>
      <c r="AR6" s="18">
        <f>MAX(0, $A6-AR$4)*IF(RTD("tos.rtd",,"OPEN_INT","."&amp;$AA$3&amp;$AA$4&amp;"C"&amp;AR$4)="N/A",0,RTD("tos.rtd",,"OPEN_INT","."&amp;$AA$3&amp;$AA$4&amp;"C"&amp;AR$4))*100 + MAX(0, AR$4-$A6)*IF(RTD("tos.rtd",,"OPEN_INT","."&amp;$AA$3&amp;$AA$4&amp;"P"&amp;AR$4)="N/A",0,RTD("tos.rtd",,"OPEN_INT","."&amp;$AA$3&amp;$AA$4&amp;"P"&amp;AR$4))*100</f>
        <v>750</v>
      </c>
      <c r="AS6" s="18">
        <f>MAX(0, $A6-AS$4)*IF(RTD("tos.rtd",,"OPEN_INT","."&amp;$AA$3&amp;$AA$4&amp;"C"&amp;AS$4)="N/A",0,RTD("tos.rtd",,"OPEN_INT","."&amp;$AA$3&amp;$AA$4&amp;"C"&amp;AS$4))*100 + MAX(0, AS$4-$A6)*IF(RTD("tos.rtd",,"OPEN_INT","."&amp;$AA$3&amp;$AA$4&amp;"P"&amp;AS$4)="N/A",0,RTD("tos.rtd",,"OPEN_INT","."&amp;$AA$3&amp;$AA$4&amp;"P"&amp;AS$4))*100</f>
        <v>689600</v>
      </c>
      <c r="AT6" s="18">
        <f>MAX(0, $A6-AT$4)*IF(RTD("tos.rtd",,"OPEN_INT","."&amp;$AA$3&amp;$AA$4&amp;"C"&amp;AT$4)="N/A",0,RTD("tos.rtd",,"OPEN_INT","."&amp;$AA$3&amp;$AA$4&amp;"C"&amp;AT$4))*100 + MAX(0, AT$4-$A6)*IF(RTD("tos.rtd",,"OPEN_INT","."&amp;$AA$3&amp;$AA$4&amp;"P"&amp;AT$4)="N/A",0,RTD("tos.rtd",,"OPEN_INT","."&amp;$AA$3&amp;$AA$4&amp;"P"&amp;AT$4))*100</f>
        <v>1191700</v>
      </c>
      <c r="AU6" s="18">
        <f>MAX(0, $A6-AU$4)*IF(RTD("tos.rtd",,"OPEN_INT","."&amp;$AA$3&amp;$AA$4&amp;"C"&amp;AU$4)="N/A",0,RTD("tos.rtd",,"OPEN_INT","."&amp;$AA$3&amp;$AA$4&amp;"C"&amp;AU$4))*100 + MAX(0, AU$4-$A6)*IF(RTD("tos.rtd",,"OPEN_INT","."&amp;$AA$3&amp;$AA$4&amp;"P"&amp;AU$4)="N/A",0,RTD("tos.rtd",,"OPEN_INT","."&amp;$AA$3&amp;$AA$4&amp;"P"&amp;AU$4))*100</f>
        <v>1514700</v>
      </c>
      <c r="AV6" s="18">
        <f>MAX(0, $A6-AV$4)*IF(RTD("tos.rtd",,"OPEN_INT","."&amp;$AA$3&amp;$AA$4&amp;"C"&amp;AV$4)="N/A",0,RTD("tos.rtd",,"OPEN_INT","."&amp;$AA$3&amp;$AA$4&amp;"C"&amp;AV$4))*100 + MAX(0, AV$4-$A6)*IF(RTD("tos.rtd",,"OPEN_INT","."&amp;$AA$3&amp;$AA$4&amp;"P"&amp;AV$4)="N/A",0,RTD("tos.rtd",,"OPEN_INT","."&amp;$AA$3&amp;$AA$4&amp;"P"&amp;AV$4))*100</f>
        <v>1793600</v>
      </c>
      <c r="AW6" s="18">
        <f>MAX(0, $A6-AW$4)*IF(RTD("tos.rtd",,"OPEN_INT","."&amp;$AA$3&amp;$AA$4&amp;"C"&amp;AW$4)="N/A",0,RTD("tos.rtd",,"OPEN_INT","."&amp;$AA$3&amp;$AA$4&amp;"C"&amp;AW$4))*100 + MAX(0, AW$4-$A6)*IF(RTD("tos.rtd",,"OPEN_INT","."&amp;$AA$3&amp;$AA$4&amp;"P"&amp;AW$4)="N/A",0,RTD("tos.rtd",,"OPEN_INT","."&amp;$AA$3&amp;$AA$4&amp;"P"&amp;AW$4))*100</f>
        <v>3075000</v>
      </c>
      <c r="AX6" s="18">
        <f>MAX(0, $A6-AX$4)*IF(RTD("tos.rtd",,"OPEN_INT","."&amp;$AA$3&amp;$AA$4&amp;"C"&amp;AX$4)="N/A",0,RTD("tos.rtd",,"OPEN_INT","."&amp;$AA$3&amp;$AA$4&amp;"C"&amp;AX$4))*100 + MAX(0, AX$4-$A6)*IF(RTD("tos.rtd",,"OPEN_INT","."&amp;$AA$3&amp;$AA$4&amp;"P"&amp;AX$4)="N/A",0,RTD("tos.rtd",,"OPEN_INT","."&amp;$AA$3&amp;$AA$4&amp;"P"&amp;AX$4))*100</f>
        <v>4465650</v>
      </c>
      <c r="AY6" s="18">
        <f>MAX(0, $A6-AY$4)*IF(RTD("tos.rtd",,"OPEN_INT","."&amp;$AA$3&amp;$AA$4&amp;"C"&amp;AY$4)="N/A",0,RTD("tos.rtd",,"OPEN_INT","."&amp;$AA$3&amp;$AA$4&amp;"C"&amp;AY$4))*100 + MAX(0, AY$4-$A6)*IF(RTD("tos.rtd",,"OPEN_INT","."&amp;$AA$3&amp;$AA$4&amp;"P"&amp;AY$4)="N/A",0,RTD("tos.rtd",,"OPEN_INT","."&amp;$AA$3&amp;$AA$4&amp;"P"&amp;AY$4))*100</f>
        <v>21502800</v>
      </c>
      <c r="AZ6" s="18">
        <f>MAX(0, $A6-AZ$4)*IF(RTD("tos.rtd",,"OPEN_INT","."&amp;$AA$3&amp;$AA$4&amp;"C"&amp;AZ$4)="N/A",0,RTD("tos.rtd",,"OPEN_INT","."&amp;$AA$3&amp;$AA$4&amp;"C"&amp;AZ$4))*100 + MAX(0, AZ$4-$A6)*IF(RTD("tos.rtd",,"OPEN_INT","."&amp;$AA$3&amp;$AA$4&amp;"P"&amp;AZ$4)="N/A",0,RTD("tos.rtd",,"OPEN_INT","."&amp;$AA$3&amp;$AA$4&amp;"P"&amp;AZ$4))*100</f>
        <v>11327500</v>
      </c>
      <c r="BA6" s="18">
        <f>MAX(0, $A6-BA$4)*IF(RTD("tos.rtd",,"OPEN_INT","."&amp;$AA$3&amp;$AA$4&amp;"C"&amp;BA$4)="N/A",0,RTD("tos.rtd",,"OPEN_INT","."&amp;$AA$3&amp;$AA$4&amp;"C"&amp;BA$4))*100 + MAX(0, BA$4-$A6)*IF(RTD("tos.rtd",,"OPEN_INT","."&amp;$AA$3&amp;$AA$4&amp;"P"&amp;BA$4)="N/A",0,RTD("tos.rtd",,"OPEN_INT","."&amp;$AA$3&amp;$AA$4&amp;"P"&amp;BA$4))*100</f>
        <v>36968400</v>
      </c>
      <c r="BB6" s="18">
        <f>MAX(0, $A6-BB$4)*IF(RTD("tos.rtd",,"OPEN_INT","."&amp;$AA$3&amp;$AA$4&amp;"C"&amp;BB$4)="N/A",0,RTD("tos.rtd",,"OPEN_INT","."&amp;$AA$3&amp;$AA$4&amp;"C"&amp;BB$4))*100 + MAX(0, BB$4-$A6)*IF(RTD("tos.rtd",,"OPEN_INT","."&amp;$AA$3&amp;$AA$4&amp;"P"&amp;BB$4)="N/A",0,RTD("tos.rtd",,"OPEN_INT","."&amp;$AA$3&amp;$AA$4&amp;"P"&amp;BB$4))*100</f>
        <v>35822500</v>
      </c>
      <c r="BC6" s="18">
        <f>MAX(0, $A6-BC$4)*IF(RTD("tos.rtd",,"OPEN_INT","."&amp;$AA$3&amp;$AA$4&amp;"C"&amp;BC$4)="N/A",0,RTD("tos.rtd",,"OPEN_INT","."&amp;$AA$3&amp;$AA$4&amp;"C"&amp;BC$4))*100 + MAX(0, BC$4-$A6)*IF(RTD("tos.rtd",,"OPEN_INT","."&amp;$AA$3&amp;$AA$4&amp;"P"&amp;BC$4)="N/A",0,RTD("tos.rtd",,"OPEN_INT","."&amp;$AA$3&amp;$AA$4&amp;"P"&amp;BC$4))*100</f>
        <v>52926900</v>
      </c>
      <c r="BD6" s="18">
        <f>MAX(0, $A6-BD$4)*IF(RTD("tos.rtd",,"OPEN_INT","."&amp;$AA$3&amp;$AA$4&amp;"C"&amp;BD$4)="N/A",0,RTD("tos.rtd",,"OPEN_INT","."&amp;$AA$3&amp;$AA$4&amp;"C"&amp;BD$4))*100 + MAX(0, BD$4-$A6)*IF(RTD("tos.rtd",,"OPEN_INT","."&amp;$AA$3&amp;$AA$4&amp;"P"&amp;BD$4)="N/A",0,RTD("tos.rtd",,"OPEN_INT","."&amp;$AA$3&amp;$AA$4&amp;"P"&amp;BD$4))*100</f>
        <v>25056000</v>
      </c>
      <c r="BE6" s="18">
        <f>MAX(0, $A6-BE$4)*IF(RTD("tos.rtd",,"OPEN_INT","."&amp;$AA$3&amp;$AA$4&amp;"C"&amp;BE$4)="N/A",0,RTD("tos.rtd",,"OPEN_INT","."&amp;$AA$3&amp;$AA$4&amp;"C"&amp;BE$4))*100 + MAX(0, BE$4-$A6)*IF(RTD("tos.rtd",,"OPEN_INT","."&amp;$AA$3&amp;$AA$4&amp;"P"&amp;BE$4)="N/A",0,RTD("tos.rtd",,"OPEN_INT","."&amp;$AA$3&amp;$AA$4&amp;"P"&amp;BE$4))*100</f>
        <v>24189200</v>
      </c>
      <c r="BF6" s="18">
        <f>MAX(0, $A6-BF$4)*IF(RTD("tos.rtd",,"OPEN_INT","."&amp;$AA$3&amp;$AA$4&amp;"C"&amp;BF$4)="N/A",0,RTD("tos.rtd",,"OPEN_INT","."&amp;$AA$3&amp;$AA$4&amp;"C"&amp;BF$4))*100 + MAX(0, BF$4-$A6)*IF(RTD("tos.rtd",,"OPEN_INT","."&amp;$AA$3&amp;$AA$4&amp;"P"&amp;BF$4)="N/A",0,RTD("tos.rtd",,"OPEN_INT","."&amp;$AA$3&amp;$AA$4&amp;"P"&amp;BF$4))*100</f>
        <v>12190150</v>
      </c>
      <c r="BG6" s="18">
        <f>MAX(0, $A6-BG$4)*IF(RTD("tos.rtd",,"OPEN_INT","."&amp;$AA$3&amp;$AA$4&amp;"C"&amp;BG$4)="N/A",0,RTD("tos.rtd",,"OPEN_INT","."&amp;$AA$3&amp;$AA$4&amp;"C"&amp;BG$4))*100 + MAX(0, BG$4-$A6)*IF(RTD("tos.rtd",,"OPEN_INT","."&amp;$AA$3&amp;$AA$4&amp;"P"&amp;BG$4)="N/A",0,RTD("tos.rtd",,"OPEN_INT","."&amp;$AA$3&amp;$AA$4&amp;"P"&amp;BG$4))*100</f>
        <v>8601000</v>
      </c>
      <c r="BH6" s="18">
        <f>MAX(0, $A6-BH$4)*IF(RTD("tos.rtd",,"OPEN_INT","."&amp;$AA$3&amp;$AA$4&amp;"C"&amp;BH$4)="N/A",0,RTD("tos.rtd",,"OPEN_INT","."&amp;$AA$3&amp;$AA$4&amp;"C"&amp;BH$4))*100 + MAX(0, BH$4-$A6)*IF(RTD("tos.rtd",,"OPEN_INT","."&amp;$AA$3&amp;$AA$4&amp;"P"&amp;BH$4)="N/A",0,RTD("tos.rtd",,"OPEN_INT","."&amp;$AA$3&amp;$AA$4&amp;"P"&amp;BH$4))*100</f>
        <v>3011650</v>
      </c>
      <c r="BI6" s="18">
        <f>MAX(0, $A6-BI$4)*IF(RTD("tos.rtd",,"OPEN_INT","."&amp;$AA$3&amp;$AA$4&amp;"C"&amp;BI$4)="N/A",0,RTD("tos.rtd",,"OPEN_INT","."&amp;$AA$3&amp;$AA$4&amp;"C"&amp;BI$4))*100 + MAX(0, BI$4-$A6)*IF(RTD("tos.rtd",,"OPEN_INT","."&amp;$AA$3&amp;$AA$4&amp;"P"&amp;BI$4)="N/A",0,RTD("tos.rtd",,"OPEN_INT","."&amp;$AA$3&amp;$AA$4&amp;"P"&amp;BI$4))*100</f>
        <v>1347200</v>
      </c>
      <c r="BJ6" s="18">
        <f>MAX(0, $A6-BJ$4)*IF(RTD("tos.rtd",,"OPEN_INT","."&amp;$AA$3&amp;$AA$4&amp;"C"&amp;BJ$4)="N/A",0,RTD("tos.rtd",,"OPEN_INT","."&amp;$AA$3&amp;$AA$4&amp;"C"&amp;BJ$4))*100 + MAX(0, BJ$4-$A6)*IF(RTD("tos.rtd",,"OPEN_INT","."&amp;$AA$3&amp;$AA$4&amp;"P"&amp;BJ$4)="N/A",0,RTD("tos.rtd",,"OPEN_INT","."&amp;$AA$3&amp;$AA$4&amp;"P"&amp;BJ$4))*100</f>
        <v>249150</v>
      </c>
      <c r="BK6" s="18">
        <f>MAX(0, $A6-BK$4)*IF(RTD("tos.rtd",,"OPEN_INT","."&amp;$AA$3&amp;$AA$4&amp;"C"&amp;BK$4)="N/A",0,RTD("tos.rtd",,"OPEN_INT","."&amp;$AA$3&amp;$AA$4&amp;"C"&amp;BK$4))*100 + MAX(0, BK$4-$A6)*IF(RTD("tos.rtd",,"OPEN_INT","."&amp;$AA$3&amp;$AA$4&amp;"P"&amp;BK$4)="N/A",0,RTD("tos.rtd",,"OPEN_INT","."&amp;$AA$3&amp;$AA$4&amp;"P"&amp;BK$4))*100</f>
        <v>443700</v>
      </c>
      <c r="BL6" s="18">
        <f>MAX(0, $A6-BL$4)*IF(RTD("tos.rtd",,"OPEN_INT","."&amp;$AA$3&amp;$AA$4&amp;"C"&amp;BL$4)="N/A",0,RTD("tos.rtd",,"OPEN_INT","."&amp;$AA$3&amp;$AA$4&amp;"C"&amp;BL$4))*100 + MAX(0, BL$4-$A6)*IF(RTD("tos.rtd",,"OPEN_INT","."&amp;$AA$3&amp;$AA$4&amp;"P"&amp;BL$4)="N/A",0,RTD("tos.rtd",,"OPEN_INT","."&amp;$AA$3&amp;$AA$4&amp;"P"&amp;BL$4))*100</f>
        <v>28000</v>
      </c>
      <c r="BM6" s="18">
        <f>MAX(0, $A6-BM$4)*IF(RTD("tos.rtd",,"OPEN_INT","."&amp;$AA$3&amp;$AA$4&amp;"C"&amp;BM$4)="N/A",0,RTD("tos.rtd",,"OPEN_INT","."&amp;$AA$3&amp;$AA$4&amp;"C"&amp;BM$4))*100 + MAX(0, BM$4-$A6)*IF(RTD("tos.rtd",,"OPEN_INT","."&amp;$AA$3&amp;$AA$4&amp;"P"&amp;BM$4)="N/A",0,RTD("tos.rtd",,"OPEN_INT","."&amp;$AA$3&amp;$AA$4&amp;"P"&amp;BM$4))*100</f>
        <v>14400</v>
      </c>
      <c r="BN6" s="18">
        <f>MAX(0, $A6-BN$4)*IF(RTD("tos.rtd",,"OPEN_INT","."&amp;$AA$3&amp;$AA$4&amp;"C"&amp;BN$4)="N/A",0,RTD("tos.rtd",,"OPEN_INT","."&amp;$AA$3&amp;$AA$4&amp;"C"&amp;BN$4))*100 + MAX(0, BN$4-$A6)*IF(RTD("tos.rtd",,"OPEN_INT","."&amp;$AA$3&amp;$AA$4&amp;"P"&amp;BN$4)="N/A",0,RTD("tos.rtd",,"OPEN_INT","."&amp;$AA$3&amp;$AA$4&amp;"P"&amp;BN$4))*100</f>
        <v>57350</v>
      </c>
      <c r="BO6" s="18">
        <f>MAX(0, $A6-BO$4)*IF(RTD("tos.rtd",,"OPEN_INT","."&amp;$AA$3&amp;$AA$4&amp;"C"&amp;BO$4)="N/A",0,RTD("tos.rtd",,"OPEN_INT","."&amp;$AA$3&amp;$AA$4&amp;"C"&amp;BO$4))*100 + MAX(0, BO$4-$A6)*IF(RTD("tos.rtd",,"OPEN_INT","."&amp;$AA$3&amp;$AA$4&amp;"P"&amp;BO$4)="N/A",0,RTD("tos.rtd",,"OPEN_INT","."&amp;$AA$3&amp;$AA$4&amp;"P"&amp;BO$4))*100</f>
        <v>72200</v>
      </c>
      <c r="BP6" s="18">
        <f>MAX(0, $A6-BP$4)*IF(RTD("tos.rtd",,"OPEN_INT","."&amp;$AA$3&amp;$AA$4&amp;"C"&amp;BP$4)="N/A",0,RTD("tos.rtd",,"OPEN_INT","."&amp;$AA$3&amp;$AA$4&amp;"C"&amp;BP$4))*100 + MAX(0, BP$4-$A6)*IF(RTD("tos.rtd",,"OPEN_INT","."&amp;$AA$3&amp;$AA$4&amp;"P"&amp;BP$4)="N/A",0,RTD("tos.rtd",,"OPEN_INT","."&amp;$AA$3&amp;$AA$4&amp;"P"&amp;BP$4))*100</f>
        <v>0</v>
      </c>
      <c r="BQ6" s="18">
        <f>MAX(0, $A6-BQ$4)*IF(RTD("tos.rtd",,"OPEN_INT","."&amp;$AA$3&amp;$AA$4&amp;"C"&amp;BQ$4)="N/A",0,RTD("tos.rtd",,"OPEN_INT","."&amp;$AA$3&amp;$AA$4&amp;"C"&amp;BQ$4))*100 + MAX(0, BQ$4-$A6)*IF(RTD("tos.rtd",,"OPEN_INT","."&amp;$AA$3&amp;$AA$4&amp;"P"&amp;BQ$4)="N/A",0,RTD("tos.rtd",,"OPEN_INT","."&amp;$AA$3&amp;$AA$4&amp;"P"&amp;BQ$4))*100</f>
        <v>0</v>
      </c>
      <c r="BR6" s="18">
        <f>MAX(0, $A6-BR$4)*IF(RTD("tos.rtd",,"OPEN_INT","."&amp;$AA$3&amp;$AA$4&amp;"C"&amp;BR$4)="N/A",0,RTD("tos.rtd",,"OPEN_INT","."&amp;$AA$3&amp;$AA$4&amp;"C"&amp;BR$4))*100 + MAX(0, BR$4-$A6)*IF(RTD("tos.rtd",,"OPEN_INT","."&amp;$AA$3&amp;$AA$4&amp;"P"&amp;BR$4)="N/A",0,RTD("tos.rtd",,"OPEN_INT","."&amp;$AA$3&amp;$AA$4&amp;"P"&amp;BR$4))*100</f>
        <v>0</v>
      </c>
      <c r="BS6" s="18">
        <f>MAX(0, $A6-BS$4)*IF(RTD("tos.rtd",,"OPEN_INT","."&amp;$AA$3&amp;$AA$4&amp;"C"&amp;BS$4)="N/A",0,RTD("tos.rtd",,"OPEN_INT","."&amp;$AA$3&amp;$AA$4&amp;"C"&amp;BS$4))*100 + MAX(0, BS$4-$A6)*IF(RTD("tos.rtd",,"OPEN_INT","."&amp;$AA$3&amp;$AA$4&amp;"P"&amp;BS$4)="N/A",0,RTD("tos.rtd",,"OPEN_INT","."&amp;$AA$3&amp;$AA$4&amp;"P"&amp;BS$4))*100</f>
        <v>0</v>
      </c>
      <c r="BT6" s="18">
        <f>MAX(0, $A6-BT$4)*IF(RTD("tos.rtd",,"OPEN_INT","."&amp;$AA$3&amp;$AA$4&amp;"C"&amp;BT$4)="N/A",0,RTD("tos.rtd",,"OPEN_INT","."&amp;$AA$3&amp;$AA$4&amp;"C"&amp;BT$4))*100 + MAX(0, BT$4-$A6)*IF(RTD("tos.rtd",,"OPEN_INT","."&amp;$AA$3&amp;$AA$4&amp;"P"&amp;BT$4)="N/A",0,RTD("tos.rtd",,"OPEN_INT","."&amp;$AA$3&amp;$AA$4&amp;"P"&amp;BT$4))*100</f>
        <v>0</v>
      </c>
      <c r="BU6" s="18">
        <f>MAX(0, $A6-BU$4)*IF(RTD("tos.rtd",,"OPEN_INT","."&amp;$AA$3&amp;$AA$4&amp;"C"&amp;BU$4)="N/A",0,RTD("tos.rtd",,"OPEN_INT","."&amp;$AA$3&amp;$AA$4&amp;"C"&amp;BU$4))*100 + MAX(0, BU$4-$A6)*IF(RTD("tos.rtd",,"OPEN_INT","."&amp;$AA$3&amp;$AA$4&amp;"P"&amp;BU$4)="N/A",0,RTD("tos.rtd",,"OPEN_INT","."&amp;$AA$3&amp;$AA$4&amp;"P"&amp;BU$4))*100</f>
        <v>0</v>
      </c>
      <c r="BV6" s="18">
        <f>MAX(0, $A6-BV$4)*IF(RTD("tos.rtd",,"OPEN_INT","."&amp;$AA$3&amp;$AA$4&amp;"C"&amp;BV$4)="N/A",0,RTD("tos.rtd",,"OPEN_INT","."&amp;$AA$3&amp;$AA$4&amp;"C"&amp;BV$4))*100 + MAX(0, BV$4-$A6)*IF(RTD("tos.rtd",,"OPEN_INT","."&amp;$AA$3&amp;$AA$4&amp;"P"&amp;BV$4)="N/A",0,RTD("tos.rtd",,"OPEN_INT","."&amp;$AA$3&amp;$AA$4&amp;"P"&amp;BV$4))*100</f>
        <v>0</v>
      </c>
    </row>
    <row r="7" spans="1:74" s="19" customFormat="1" ht="11.1" customHeight="1" thickBot="1" x14ac:dyDescent="0.3">
      <c r="A7" s="23">
        <f t="shared" si="6"/>
        <v>20.5</v>
      </c>
      <c r="B7" s="14">
        <f ca="1">IF($A$2="PREMIUM_OI",IFERROR(IF($X$1="ABS",(100*RTD("tos.rtd",,"OPEN_INT","."&amp;B$2&amp;B$1&amp;"C"&amp;$A7)*RTD("tos.rtd",,"LAST","."&amp;B$2&amp;B$1&amp;"C"&amp;$A7)+100*RTD("tos.rtd",,"OPEN_INT","."&amp;B$2&amp;B$1&amp;"P"&amp;$A7)*RTD("tos.rtd",,"LAST","."&amp;B$2&amp;B$1&amp;"P"&amp;$A7))/1000000,(100*RTD("tos.rtd",,"OPEN_INT","."&amp;B$2&amp;B$1&amp;"C"&amp;$A7)*RTD("tos.rtd",,"LAST","."&amp;B$2&amp;B$1&amp;"C"&amp;$A7)-100*RTD("tos.rtd",,"OPEN_INT","."&amp;B$2&amp;B$1&amp;"P"&amp;$A7)*RTD("tos.rtd",,"LAST","."&amp;B$2&amp;B$1&amp;"P"&amp;$A7))/1000000),0),IF($A$2="PREMIUM",IFERROR(IF($X$1="ABS",(100*RTD("tos.rtd",,"VOLUME","."&amp;B$2&amp;B$1&amp;"C"&amp;$A7)*RTD("tos.rtd",,"LAST","."&amp;B$2&amp;B$1&amp;"C"&amp;$A7)+100*RTD("tos.rtd",,"VOLUME","."&amp;B$2&amp;B$1&amp;"P"&amp;$A7)*RTD("tos.rtd",,"LAST","."&amp;B$2&amp;B$1&amp;"P"&amp;$A7))/1000000,(100*RTD("tos.rtd",,"VOLUME","."&amp;B$2&amp;B$1&amp;"C"&amp;$A7)*RTD("tos.rtd",,"LAST","."&amp;B$2&amp;B$1&amp;"C"&amp;$A7)-100*RTD("tos.rtd",,"VOLUME","."&amp;B$2&amp;B$1&amp;"P"&amp;$A7)*RTD("tos.rtd",,"LAST","."&amp;B$2&amp;B$1&amp;"P"&amp;$A7))/1000000),0),IF($A$2="DEX",IFERROR(IF($X$1="ABS",(100*RTD("tos.rtd",,"OPEN_INT","."&amp;B$2&amp;B$1&amp;"C"&amp;$A7)*RTD("tos.rtd",,"DELTA","."&amp;B$2&amp;B$1&amp;"C"&amp;$A7)+100*RTD("tos.rtd",,"OPEN_INT","."&amp;B$2&amp;B$1&amp;"P"&amp;$A7)*RTD("tos.rtd",,"DELTA","."&amp;B$2&amp;B$1&amp;"P"&amp;$A7))/1000,(100*RTD("tos.rtd",,"OPEN_INT","."&amp;B$2&amp;B$1&amp;"C"&amp;$A7)*RTD("tos.rtd",,"DELTA","."&amp;B$2&amp;B$1&amp;"C"&amp;$A7)-100*RTD("tos.rtd",,"OPEN_INT","."&amp;B$2&amp;B$1&amp;"P"&amp;$A7)*RTD("tos.rtd",,"DELTA","."&amp;B$2&amp;B$1&amp;"P"&amp;$A7))/1000),0),IF($A$2="VEX",IFERROR(IF($X$1="ABS",($A$4*$A$4*RTD("tos.rtd",,"VOLUME","."&amp;B$2&amp;B$1&amp;"C"&amp;$A7)*RTD("tos.rtd",,"GAMMA","."&amp;B$2&amp;B$1&amp;"C"&amp;$A7)+$A$4*$A$4*RTD("tos.rtd",,"VOLUME","."&amp;B$2&amp;B$1&amp;"P"&amp;$A7)*RTD("tos.rtd",,"GAMMA","."&amp;B$2&amp;B$1&amp;"P"&amp;$A7))/1000000,($A$4*$A$4*RTD("tos.rtd",,"VOLUME","."&amp;B$2&amp;B$1&amp;"C"&amp;$A7)*RTD("tos.rtd",,"GAMMA","."&amp;B$2&amp;B$1&amp;"C"&amp;$A7)-$A$4*$A$4*RTD("tos.rtd",,"VOLUME","."&amp;B$2&amp;B$1&amp;"P"&amp;$A7)*RTD("tos.rtd",,"GAMMA","."&amp;B$2&amp;B$1&amp;"P"&amp;$A7))/1000000),0),IF($A$2="GEX",IFERROR(IF($X$1="ABS",($A$4*$A$4*RTD("tos.rtd",,"OPEN_INT","."&amp;B$2&amp;B$1&amp;"C"&amp;$A7)*RTD("tos.rtd",,"GAMMA","."&amp;B$2&amp;B$1&amp;"C"&amp;$A7)+$A$4*$A$4*RTD("tos.rtd",,"OPEN_INT","."&amp;B$2&amp;B$1&amp;"P"&amp;$A7)*RTD("tos.rtd",,"GAMMA","."&amp;B$2&amp;B$1&amp;"P"&amp;$A7))/1000000,($A$4*$A$4*RTD("tos.rtd",,"OPEN_INT","."&amp;B$2&amp;B$1&amp;"C"&amp;$A7)*RTD("tos.rtd",,"GAMMA","."&amp;B$2&amp;B$1&amp;"C"&amp;$A7)-$A$4*$A$4*RTD("tos.rtd",,"OPEN_INT","."&amp;B$2&amp;B$1&amp;"P"&amp;$A7)*RTD("tos.rtd",,"GAMMA","."&amp;B$2&amp;B$1&amp;"P"&amp;$A7))/1000000),0),IF($A$2="SKEW",IFERROR(VALUE(IF(RTD("tos.rtd",,"IMPL_VOL","."&amp;B$2&amp;B$1&amp;"P"&amp;$A7)="N/A",0,RTD("tos.rtd",,"IMPL_VOL","."&amp;B$2&amp;B$1&amp;"P"&amp;$A7))),0)-IFERROR(VALUE(IF(RTD("tos.rtd",,"IMPL_VOL","."&amp;B$2&amp;B$1&amp;"C"&amp;$A7)="N/A",0,RTD("tos.rtd",,"IMPL_VOL","."&amp;B$2&amp;B$1&amp;"C"&amp;$A7))),0),IF($A$2="MAXPAIN",IF($A$4&gt;$A7,($A$4-$A7)*IF(RTD("tos.rtd",,"OPEN_INT","."&amp;B$2&amp;B$1&amp;"C"&amp;$A7)="N/A",0,RTD("tos.rtd",,"OPEN_INT","."&amp;B$2&amp;B$1&amp;"C"&amp;$A7)),0)+IF($A$4&lt;$A7,($A$5-$A$4)*IF(RTD("tos.rtd",,"OPEN_INT","."&amp;B$2&amp;B$1&amp;"P"&amp;$A7)="N/A",0,RTD("tos.rtd",,"OPEN_INT","."&amp;B$2&amp;B$1&amp;"P"&amp;$A7)),0),IF($X$1="ABS",IF(RTD("tos.rtd",,$A$2,"."&amp;B$2&amp;B$1&amp;"C"&amp;$A7)="N/A",0,RTD("tos.rtd",,$A$2,"."&amp;B$2&amp;B$1&amp;"C"&amp;$A7))+IF(RTD("tos.rtd",,$A$2,"."&amp;B$2&amp;B$1&amp;"P"&amp;$A7)="N/A",0,RTD("tos.rtd",,$A$2,"."&amp;B$2&amp;B$1&amp;"P"&amp;$A7)),IF(RTD("tos.rtd",,$A$2,"."&amp;B$2&amp;B$1&amp;"C"&amp;$A7)="N/A",0,RTD("tos.rtd",,$A$2,"."&amp;B$2&amp;B$1&amp;"C"&amp;$A7))-IF(RTD("tos.rtd",,$A$2,"."&amp;B$2&amp;B$1&amp;"P"&amp;$A7)="N/A",0,RTD("tos.rtd",,$A$2,"."&amp;B$2&amp;B$1&amp;"P"&amp;$A7))))))))))</f>
        <v>0</v>
      </c>
      <c r="C7" s="12">
        <f ca="1">IF($A$2="PREMIUM_OI",IFERROR(IF($X$1="ABS",(100*RTD("tos.rtd",,"OPEN_INT","."&amp;C$2&amp;C$1&amp;"C"&amp;$A7)*RTD("tos.rtd",,"LAST","."&amp;C$2&amp;C$1&amp;"C"&amp;$A7)+100*RTD("tos.rtd",,"OPEN_INT","."&amp;C$2&amp;C$1&amp;"P"&amp;$A7)*RTD("tos.rtd",,"LAST","."&amp;C$2&amp;C$1&amp;"P"&amp;$A7))/1000000,(100*RTD("tos.rtd",,"OPEN_INT","."&amp;C$2&amp;C$1&amp;"C"&amp;$A7)*RTD("tos.rtd",,"LAST","."&amp;C$2&amp;C$1&amp;"C"&amp;$A7)-100*RTD("tos.rtd",,"OPEN_INT","."&amp;C$2&amp;C$1&amp;"P"&amp;$A7)*RTD("tos.rtd",,"LAST","."&amp;C$2&amp;C$1&amp;"P"&amp;$A7))/1000000),0),IF($A$2="PREMIUM",IFERROR(IF($X$1="ABS",(100*RTD("tos.rtd",,"VOLUME","."&amp;C$2&amp;C$1&amp;"C"&amp;$A7)*RTD("tos.rtd",,"LAST","."&amp;C$2&amp;C$1&amp;"C"&amp;$A7)+100*RTD("tos.rtd",,"VOLUME","."&amp;C$2&amp;C$1&amp;"P"&amp;$A7)*RTD("tos.rtd",,"LAST","."&amp;C$2&amp;C$1&amp;"P"&amp;$A7))/1000000,(100*RTD("tos.rtd",,"VOLUME","."&amp;C$2&amp;C$1&amp;"C"&amp;$A7)*RTD("tos.rtd",,"LAST","."&amp;C$2&amp;C$1&amp;"C"&amp;$A7)-100*RTD("tos.rtd",,"VOLUME","."&amp;C$2&amp;C$1&amp;"P"&amp;$A7)*RTD("tos.rtd",,"LAST","."&amp;C$2&amp;C$1&amp;"P"&amp;$A7))/1000000),0),IF($A$2="DEX",IFERROR(IF($X$1="ABS",(100*RTD("tos.rtd",,"OPEN_INT","."&amp;C$2&amp;C$1&amp;"C"&amp;$A7)*RTD("tos.rtd",,"DELTA","."&amp;C$2&amp;C$1&amp;"C"&amp;$A7)+100*RTD("tos.rtd",,"OPEN_INT","."&amp;C$2&amp;C$1&amp;"P"&amp;$A7)*RTD("tos.rtd",,"DELTA","."&amp;C$2&amp;C$1&amp;"P"&amp;$A7))/1000,(100*RTD("tos.rtd",,"OPEN_INT","."&amp;C$2&amp;C$1&amp;"C"&amp;$A7)*RTD("tos.rtd",,"DELTA","."&amp;C$2&amp;C$1&amp;"C"&amp;$A7)-100*RTD("tos.rtd",,"OPEN_INT","."&amp;C$2&amp;C$1&amp;"P"&amp;$A7)*RTD("tos.rtd",,"DELTA","."&amp;C$2&amp;C$1&amp;"P"&amp;$A7))/1000),0),IF($A$2="VEX",IFERROR(IF($X$1="ABS",($A$4*$A$4*RTD("tos.rtd",,"VOLUME","."&amp;C$2&amp;C$1&amp;"C"&amp;$A7)*RTD("tos.rtd",,"GAMMA","."&amp;C$2&amp;C$1&amp;"C"&amp;$A7)+$A$4*$A$4*RTD("tos.rtd",,"VOLUME","."&amp;C$2&amp;C$1&amp;"P"&amp;$A7)*RTD("tos.rtd",,"GAMMA","."&amp;C$2&amp;C$1&amp;"P"&amp;$A7))/1000000,($A$4*$A$4*RTD("tos.rtd",,"VOLUME","."&amp;C$2&amp;C$1&amp;"C"&amp;$A7)*RTD("tos.rtd",,"GAMMA","."&amp;C$2&amp;C$1&amp;"C"&amp;$A7)-$A$4*$A$4*RTD("tos.rtd",,"VOLUME","."&amp;C$2&amp;C$1&amp;"P"&amp;$A7)*RTD("tos.rtd",,"GAMMA","."&amp;C$2&amp;C$1&amp;"P"&amp;$A7))/1000000),0),IF($A$2="GEX",IFERROR(IF($X$1="ABS",($A$4*$A$4*RTD("tos.rtd",,"OPEN_INT","."&amp;C$2&amp;C$1&amp;"C"&amp;$A7)*RTD("tos.rtd",,"GAMMA","."&amp;C$2&amp;C$1&amp;"C"&amp;$A7)+$A$4*$A$4*RTD("tos.rtd",,"OPEN_INT","."&amp;C$2&amp;C$1&amp;"P"&amp;$A7)*RTD("tos.rtd",,"GAMMA","."&amp;C$2&amp;C$1&amp;"P"&amp;$A7))/1000000,($A$4*$A$4*RTD("tos.rtd",,"OPEN_INT","."&amp;C$2&amp;C$1&amp;"C"&amp;$A7)*RTD("tos.rtd",,"GAMMA","."&amp;C$2&amp;C$1&amp;"C"&amp;$A7)-$A$4*$A$4*RTD("tos.rtd",,"OPEN_INT","."&amp;C$2&amp;C$1&amp;"P"&amp;$A7)*RTD("tos.rtd",,"GAMMA","."&amp;C$2&amp;C$1&amp;"P"&amp;$A7))/1000000),0),IF($A$2="SKEW",IFERROR(VALUE(IF(RTD("tos.rtd",,"IMPL_VOL","."&amp;C$2&amp;C$1&amp;"P"&amp;$A7)="N/A",0,RTD("tos.rtd",,"IMPL_VOL","."&amp;C$2&amp;C$1&amp;"P"&amp;$A7))),0)-IFERROR(VALUE(IF(RTD("tos.rtd",,"IMPL_VOL","."&amp;C$2&amp;C$1&amp;"C"&amp;$A7)="N/A",0,RTD("tos.rtd",,"IMPL_VOL","."&amp;C$2&amp;C$1&amp;"C"&amp;$A7))),0),IF($A$2="MAXPAIN",IF($A$4&gt;$A7,($A$4-$A7)*IF(RTD("tos.rtd",,"OPEN_INT","."&amp;C$2&amp;C$1&amp;"C"&amp;$A7)="N/A",0,RTD("tos.rtd",,"OPEN_INT","."&amp;C$2&amp;C$1&amp;"C"&amp;$A7)),0)+IF($A$4&lt;$A7,($A$5-$A$4)*IF(RTD("tos.rtd",,"OPEN_INT","."&amp;C$2&amp;C$1&amp;"P"&amp;$A7)="N/A",0,RTD("tos.rtd",,"OPEN_INT","."&amp;C$2&amp;C$1&amp;"P"&amp;$A7)),0),IF($X$1="ABS",IF(RTD("tos.rtd",,$A$2,"."&amp;C$2&amp;C$1&amp;"C"&amp;$A7)="N/A",0,RTD("tos.rtd",,$A$2,"."&amp;C$2&amp;C$1&amp;"C"&amp;$A7))+IF(RTD("tos.rtd",,$A$2,"."&amp;C$2&amp;C$1&amp;"P"&amp;$A7)="N/A",0,RTD("tos.rtd",,$A$2,"."&amp;C$2&amp;C$1&amp;"P"&amp;$A7)),IF(RTD("tos.rtd",,$A$2,"."&amp;C$2&amp;C$1&amp;"C"&amp;$A7)="N/A",0,RTD("tos.rtd",,$A$2,"."&amp;C$2&amp;C$1&amp;"C"&amp;$A7))-IF(RTD("tos.rtd",,$A$2,"."&amp;C$2&amp;C$1&amp;"P"&amp;$A7)="N/A",0,RTD("tos.rtd",,$A$2,"."&amp;C$2&amp;C$1&amp;"P"&amp;$A7))))))))))</f>
        <v>0</v>
      </c>
      <c r="D7" s="12">
        <f ca="1">IF($A$2="PREMIUM_OI",IFERROR(IF($X$1="ABS",(100*RTD("tos.rtd",,"OPEN_INT","."&amp;D$2&amp;D$1&amp;"C"&amp;$A7)*RTD("tos.rtd",,"LAST","."&amp;D$2&amp;D$1&amp;"C"&amp;$A7)+100*RTD("tos.rtd",,"OPEN_INT","."&amp;D$2&amp;D$1&amp;"P"&amp;$A7)*RTD("tos.rtd",,"LAST","."&amp;D$2&amp;D$1&amp;"P"&amp;$A7))/1000000,(100*RTD("tos.rtd",,"OPEN_INT","."&amp;D$2&amp;D$1&amp;"C"&amp;$A7)*RTD("tos.rtd",,"LAST","."&amp;D$2&amp;D$1&amp;"C"&amp;$A7)-100*RTD("tos.rtd",,"OPEN_INT","."&amp;D$2&amp;D$1&amp;"P"&amp;$A7)*RTD("tos.rtd",,"LAST","."&amp;D$2&amp;D$1&amp;"P"&amp;$A7))/1000000),0),IF($A$2="PREMIUM",IFERROR(IF($X$1="ABS",(100*RTD("tos.rtd",,"VOLUME","."&amp;D$2&amp;D$1&amp;"C"&amp;$A7)*RTD("tos.rtd",,"LAST","."&amp;D$2&amp;D$1&amp;"C"&amp;$A7)+100*RTD("tos.rtd",,"VOLUME","."&amp;D$2&amp;D$1&amp;"P"&amp;$A7)*RTD("tos.rtd",,"LAST","."&amp;D$2&amp;D$1&amp;"P"&amp;$A7))/1000000,(100*RTD("tos.rtd",,"VOLUME","."&amp;D$2&amp;D$1&amp;"C"&amp;$A7)*RTD("tos.rtd",,"LAST","."&amp;D$2&amp;D$1&amp;"C"&amp;$A7)-100*RTD("tos.rtd",,"VOLUME","."&amp;D$2&amp;D$1&amp;"P"&amp;$A7)*RTD("tos.rtd",,"LAST","."&amp;D$2&amp;D$1&amp;"P"&amp;$A7))/1000000),0),IF($A$2="DEX",IFERROR(IF($X$1="ABS",(100*RTD("tos.rtd",,"OPEN_INT","."&amp;D$2&amp;D$1&amp;"C"&amp;$A7)*RTD("tos.rtd",,"DELTA","."&amp;D$2&amp;D$1&amp;"C"&amp;$A7)+100*RTD("tos.rtd",,"OPEN_INT","."&amp;D$2&amp;D$1&amp;"P"&amp;$A7)*RTD("tos.rtd",,"DELTA","."&amp;D$2&amp;D$1&amp;"P"&amp;$A7))/1000,(100*RTD("tos.rtd",,"OPEN_INT","."&amp;D$2&amp;D$1&amp;"C"&amp;$A7)*RTD("tos.rtd",,"DELTA","."&amp;D$2&amp;D$1&amp;"C"&amp;$A7)-100*RTD("tos.rtd",,"OPEN_INT","."&amp;D$2&amp;D$1&amp;"P"&amp;$A7)*RTD("tos.rtd",,"DELTA","."&amp;D$2&amp;D$1&amp;"P"&amp;$A7))/1000),0),IF($A$2="VEX",IFERROR(IF($X$1="ABS",($A$4*$A$4*RTD("tos.rtd",,"VOLUME","."&amp;D$2&amp;D$1&amp;"C"&amp;$A7)*RTD("tos.rtd",,"GAMMA","."&amp;D$2&amp;D$1&amp;"C"&amp;$A7)+$A$4*$A$4*RTD("tos.rtd",,"VOLUME","."&amp;D$2&amp;D$1&amp;"P"&amp;$A7)*RTD("tos.rtd",,"GAMMA","."&amp;D$2&amp;D$1&amp;"P"&amp;$A7))/1000000,($A$4*$A$4*RTD("tos.rtd",,"VOLUME","."&amp;D$2&amp;D$1&amp;"C"&amp;$A7)*RTD("tos.rtd",,"GAMMA","."&amp;D$2&amp;D$1&amp;"C"&amp;$A7)-$A$4*$A$4*RTD("tos.rtd",,"VOLUME","."&amp;D$2&amp;D$1&amp;"P"&amp;$A7)*RTD("tos.rtd",,"GAMMA","."&amp;D$2&amp;D$1&amp;"P"&amp;$A7))/1000000),0),IF($A$2="GEX",IFERROR(IF($X$1="ABS",($A$4*$A$4*RTD("tos.rtd",,"OPEN_INT","."&amp;D$2&amp;D$1&amp;"C"&amp;$A7)*RTD("tos.rtd",,"GAMMA","."&amp;D$2&amp;D$1&amp;"C"&amp;$A7)+$A$4*$A$4*RTD("tos.rtd",,"OPEN_INT","."&amp;D$2&amp;D$1&amp;"P"&amp;$A7)*RTD("tos.rtd",,"GAMMA","."&amp;D$2&amp;D$1&amp;"P"&amp;$A7))/1000000,($A$4*$A$4*RTD("tos.rtd",,"OPEN_INT","."&amp;D$2&amp;D$1&amp;"C"&amp;$A7)*RTD("tos.rtd",,"GAMMA","."&amp;D$2&amp;D$1&amp;"C"&amp;$A7)-$A$4*$A$4*RTD("tos.rtd",,"OPEN_INT","."&amp;D$2&amp;D$1&amp;"P"&amp;$A7)*RTD("tos.rtd",,"GAMMA","."&amp;D$2&amp;D$1&amp;"P"&amp;$A7))/1000000),0),IF($A$2="SKEW",IFERROR(VALUE(IF(RTD("tos.rtd",,"IMPL_VOL","."&amp;D$2&amp;D$1&amp;"P"&amp;$A7)="N/A",0,RTD("tos.rtd",,"IMPL_VOL","."&amp;D$2&amp;D$1&amp;"P"&amp;$A7))),0)-IFERROR(VALUE(IF(RTD("tos.rtd",,"IMPL_VOL","."&amp;D$2&amp;D$1&amp;"C"&amp;$A7)="N/A",0,RTD("tos.rtd",,"IMPL_VOL","."&amp;D$2&amp;D$1&amp;"C"&amp;$A7))),0),IF($A$2="MAXPAIN",IF($A$4&gt;$A7,($A$4-$A7)*IF(RTD("tos.rtd",,"OPEN_INT","."&amp;D$2&amp;D$1&amp;"C"&amp;$A7)="N/A",0,RTD("tos.rtd",,"OPEN_INT","."&amp;D$2&amp;D$1&amp;"C"&amp;$A7)),0)+IF($A$4&lt;$A7,($A$5-$A$4)*IF(RTD("tos.rtd",,"OPEN_INT","."&amp;D$2&amp;D$1&amp;"P"&amp;$A7)="N/A",0,RTD("tos.rtd",,"OPEN_INT","."&amp;D$2&amp;D$1&amp;"P"&amp;$A7)),0),IF($X$1="ABS",IF(RTD("tos.rtd",,$A$2,"."&amp;D$2&amp;D$1&amp;"C"&amp;$A7)="N/A",0,RTD("tos.rtd",,$A$2,"."&amp;D$2&amp;D$1&amp;"C"&amp;$A7))+IF(RTD("tos.rtd",,$A$2,"."&amp;D$2&amp;D$1&amp;"P"&amp;$A7)="N/A",0,RTD("tos.rtd",,$A$2,"."&amp;D$2&amp;D$1&amp;"P"&amp;$A7)),IF(RTD("tos.rtd",,$A$2,"."&amp;D$2&amp;D$1&amp;"C"&amp;$A7)="N/A",0,RTD("tos.rtd",,$A$2,"."&amp;D$2&amp;D$1&amp;"C"&amp;$A7))-IF(RTD("tos.rtd",,$A$2,"."&amp;D$2&amp;D$1&amp;"P"&amp;$A7)="N/A",0,RTD("tos.rtd",,$A$2,"."&amp;D$2&amp;D$1&amp;"P"&amp;$A7))))))))))</f>
        <v>0</v>
      </c>
      <c r="E7" s="12">
        <f ca="1">IF($A$2="PREMIUM_OI",IFERROR(IF($X$1="ABS",(100*RTD("tos.rtd",,"OPEN_INT","."&amp;E$2&amp;E$1&amp;"C"&amp;$A7)*RTD("tos.rtd",,"LAST","."&amp;E$2&amp;E$1&amp;"C"&amp;$A7)+100*RTD("tos.rtd",,"OPEN_INT","."&amp;E$2&amp;E$1&amp;"P"&amp;$A7)*RTD("tos.rtd",,"LAST","."&amp;E$2&amp;E$1&amp;"P"&amp;$A7))/1000000,(100*RTD("tos.rtd",,"OPEN_INT","."&amp;E$2&amp;E$1&amp;"C"&amp;$A7)*RTD("tos.rtd",,"LAST","."&amp;E$2&amp;E$1&amp;"C"&amp;$A7)-100*RTD("tos.rtd",,"OPEN_INT","."&amp;E$2&amp;E$1&amp;"P"&amp;$A7)*RTD("tos.rtd",,"LAST","."&amp;E$2&amp;E$1&amp;"P"&amp;$A7))/1000000),0),IF($A$2="PREMIUM",IFERROR(IF($X$1="ABS",(100*RTD("tos.rtd",,"VOLUME","."&amp;E$2&amp;E$1&amp;"C"&amp;$A7)*RTD("tos.rtd",,"LAST","."&amp;E$2&amp;E$1&amp;"C"&amp;$A7)+100*RTD("tos.rtd",,"VOLUME","."&amp;E$2&amp;E$1&amp;"P"&amp;$A7)*RTD("tos.rtd",,"LAST","."&amp;E$2&amp;E$1&amp;"P"&amp;$A7))/1000000,(100*RTD("tos.rtd",,"VOLUME","."&amp;E$2&amp;E$1&amp;"C"&amp;$A7)*RTD("tos.rtd",,"LAST","."&amp;E$2&amp;E$1&amp;"C"&amp;$A7)-100*RTD("tos.rtd",,"VOLUME","."&amp;E$2&amp;E$1&amp;"P"&amp;$A7)*RTD("tos.rtd",,"LAST","."&amp;E$2&amp;E$1&amp;"P"&amp;$A7))/1000000),0),IF($A$2="DEX",IFERROR(IF($X$1="ABS",(100*RTD("tos.rtd",,"OPEN_INT","."&amp;E$2&amp;E$1&amp;"C"&amp;$A7)*RTD("tos.rtd",,"DELTA","."&amp;E$2&amp;E$1&amp;"C"&amp;$A7)+100*RTD("tos.rtd",,"OPEN_INT","."&amp;E$2&amp;E$1&amp;"P"&amp;$A7)*RTD("tos.rtd",,"DELTA","."&amp;E$2&amp;E$1&amp;"P"&amp;$A7))/1000,(100*RTD("tos.rtd",,"OPEN_INT","."&amp;E$2&amp;E$1&amp;"C"&amp;$A7)*RTD("tos.rtd",,"DELTA","."&amp;E$2&amp;E$1&amp;"C"&amp;$A7)-100*RTD("tos.rtd",,"OPEN_INT","."&amp;E$2&amp;E$1&amp;"P"&amp;$A7)*RTD("tos.rtd",,"DELTA","."&amp;E$2&amp;E$1&amp;"P"&amp;$A7))/1000),0),IF($A$2="VEX",IFERROR(IF($X$1="ABS",($A$4*$A$4*RTD("tos.rtd",,"VOLUME","."&amp;E$2&amp;E$1&amp;"C"&amp;$A7)*RTD("tos.rtd",,"GAMMA","."&amp;E$2&amp;E$1&amp;"C"&amp;$A7)+$A$4*$A$4*RTD("tos.rtd",,"VOLUME","."&amp;E$2&amp;E$1&amp;"P"&amp;$A7)*RTD("tos.rtd",,"GAMMA","."&amp;E$2&amp;E$1&amp;"P"&amp;$A7))/1000000,($A$4*$A$4*RTD("tos.rtd",,"VOLUME","."&amp;E$2&amp;E$1&amp;"C"&amp;$A7)*RTD("tos.rtd",,"GAMMA","."&amp;E$2&amp;E$1&amp;"C"&amp;$A7)-$A$4*$A$4*RTD("tos.rtd",,"VOLUME","."&amp;E$2&amp;E$1&amp;"P"&amp;$A7)*RTD("tos.rtd",,"GAMMA","."&amp;E$2&amp;E$1&amp;"P"&amp;$A7))/1000000),0),IF($A$2="GEX",IFERROR(IF($X$1="ABS",($A$4*$A$4*RTD("tos.rtd",,"OPEN_INT","."&amp;E$2&amp;E$1&amp;"C"&amp;$A7)*RTD("tos.rtd",,"GAMMA","."&amp;E$2&amp;E$1&amp;"C"&amp;$A7)+$A$4*$A$4*RTD("tos.rtd",,"OPEN_INT","."&amp;E$2&amp;E$1&amp;"P"&amp;$A7)*RTD("tos.rtd",,"GAMMA","."&amp;E$2&amp;E$1&amp;"P"&amp;$A7))/1000000,($A$4*$A$4*RTD("tos.rtd",,"OPEN_INT","."&amp;E$2&amp;E$1&amp;"C"&amp;$A7)*RTD("tos.rtd",,"GAMMA","."&amp;E$2&amp;E$1&amp;"C"&amp;$A7)-$A$4*$A$4*RTD("tos.rtd",,"OPEN_INT","."&amp;E$2&amp;E$1&amp;"P"&amp;$A7)*RTD("tos.rtd",,"GAMMA","."&amp;E$2&amp;E$1&amp;"P"&amp;$A7))/1000000),0),IF($A$2="SKEW",IFERROR(VALUE(IF(RTD("tos.rtd",,"IMPL_VOL","."&amp;E$2&amp;E$1&amp;"P"&amp;$A7)="N/A",0,RTD("tos.rtd",,"IMPL_VOL","."&amp;E$2&amp;E$1&amp;"P"&amp;$A7))),0)-IFERROR(VALUE(IF(RTD("tos.rtd",,"IMPL_VOL","."&amp;E$2&amp;E$1&amp;"C"&amp;$A7)="N/A",0,RTD("tos.rtd",,"IMPL_VOL","."&amp;E$2&amp;E$1&amp;"C"&amp;$A7))),0),IF($A$2="MAXPAIN",IF($A$4&gt;$A7,($A$4-$A7)*IF(RTD("tos.rtd",,"OPEN_INT","."&amp;E$2&amp;E$1&amp;"C"&amp;$A7)="N/A",0,RTD("tos.rtd",,"OPEN_INT","."&amp;E$2&amp;E$1&amp;"C"&amp;$A7)),0)+IF($A$4&lt;$A7,($A$5-$A$4)*IF(RTD("tos.rtd",,"OPEN_INT","."&amp;E$2&amp;E$1&amp;"P"&amp;$A7)="N/A",0,RTD("tos.rtd",,"OPEN_INT","."&amp;E$2&amp;E$1&amp;"P"&amp;$A7)),0),IF($X$1="ABS",IF(RTD("tos.rtd",,$A$2,"."&amp;E$2&amp;E$1&amp;"C"&amp;$A7)="N/A",0,RTD("tos.rtd",,$A$2,"."&amp;E$2&amp;E$1&amp;"C"&amp;$A7))+IF(RTD("tos.rtd",,$A$2,"."&amp;E$2&amp;E$1&amp;"P"&amp;$A7)="N/A",0,RTD("tos.rtd",,$A$2,"."&amp;E$2&amp;E$1&amp;"P"&amp;$A7)),IF(RTD("tos.rtd",,$A$2,"."&amp;E$2&amp;E$1&amp;"C"&amp;$A7)="N/A",0,RTD("tos.rtd",,$A$2,"."&amp;E$2&amp;E$1&amp;"C"&amp;$A7))-IF(RTD("tos.rtd",,$A$2,"."&amp;E$2&amp;E$1&amp;"P"&amp;$A7)="N/A",0,RTD("tos.rtd",,$A$2,"."&amp;E$2&amp;E$1&amp;"P"&amp;$A7))))))))))</f>
        <v>0</v>
      </c>
      <c r="F7" s="12">
        <f ca="1">IF($A$2="PREMIUM_OI",IFERROR(IF($X$1="ABS",(100*RTD("tos.rtd",,"OPEN_INT","."&amp;F$2&amp;F$1&amp;"C"&amp;$A7)*RTD("tos.rtd",,"LAST","."&amp;F$2&amp;F$1&amp;"C"&amp;$A7)+100*RTD("tos.rtd",,"OPEN_INT","."&amp;F$2&amp;F$1&amp;"P"&amp;$A7)*RTD("tos.rtd",,"LAST","."&amp;F$2&amp;F$1&amp;"P"&amp;$A7))/1000000,(100*RTD("tos.rtd",,"OPEN_INT","."&amp;F$2&amp;F$1&amp;"C"&amp;$A7)*RTD("tos.rtd",,"LAST","."&amp;F$2&amp;F$1&amp;"C"&amp;$A7)-100*RTD("tos.rtd",,"OPEN_INT","."&amp;F$2&amp;F$1&amp;"P"&amp;$A7)*RTD("tos.rtd",,"LAST","."&amp;F$2&amp;F$1&amp;"P"&amp;$A7))/1000000),0),IF($A$2="PREMIUM",IFERROR(IF($X$1="ABS",(100*RTD("tos.rtd",,"VOLUME","."&amp;F$2&amp;F$1&amp;"C"&amp;$A7)*RTD("tos.rtd",,"LAST","."&amp;F$2&amp;F$1&amp;"C"&amp;$A7)+100*RTD("tos.rtd",,"VOLUME","."&amp;F$2&amp;F$1&amp;"P"&amp;$A7)*RTD("tos.rtd",,"LAST","."&amp;F$2&amp;F$1&amp;"P"&amp;$A7))/1000000,(100*RTD("tos.rtd",,"VOLUME","."&amp;F$2&amp;F$1&amp;"C"&amp;$A7)*RTD("tos.rtd",,"LAST","."&amp;F$2&amp;F$1&amp;"C"&amp;$A7)-100*RTD("tos.rtd",,"VOLUME","."&amp;F$2&amp;F$1&amp;"P"&amp;$A7)*RTD("tos.rtd",,"LAST","."&amp;F$2&amp;F$1&amp;"P"&amp;$A7))/1000000),0),IF($A$2="DEX",IFERROR(IF($X$1="ABS",(100*RTD("tos.rtd",,"OPEN_INT","."&amp;F$2&amp;F$1&amp;"C"&amp;$A7)*RTD("tos.rtd",,"DELTA","."&amp;F$2&amp;F$1&amp;"C"&amp;$A7)+100*RTD("tos.rtd",,"OPEN_INT","."&amp;F$2&amp;F$1&amp;"P"&amp;$A7)*RTD("tos.rtd",,"DELTA","."&amp;F$2&amp;F$1&amp;"P"&amp;$A7))/1000,(100*RTD("tos.rtd",,"OPEN_INT","."&amp;F$2&amp;F$1&amp;"C"&amp;$A7)*RTD("tos.rtd",,"DELTA","."&amp;F$2&amp;F$1&amp;"C"&amp;$A7)-100*RTD("tos.rtd",,"OPEN_INT","."&amp;F$2&amp;F$1&amp;"P"&amp;$A7)*RTD("tos.rtd",,"DELTA","."&amp;F$2&amp;F$1&amp;"P"&amp;$A7))/1000),0),IF($A$2="VEX",IFERROR(IF($X$1="ABS",($A$4*$A$4*RTD("tos.rtd",,"VOLUME","."&amp;F$2&amp;F$1&amp;"C"&amp;$A7)*RTD("tos.rtd",,"GAMMA","."&amp;F$2&amp;F$1&amp;"C"&amp;$A7)+$A$4*$A$4*RTD("tos.rtd",,"VOLUME","."&amp;F$2&amp;F$1&amp;"P"&amp;$A7)*RTD("tos.rtd",,"GAMMA","."&amp;F$2&amp;F$1&amp;"P"&amp;$A7))/1000000,($A$4*$A$4*RTD("tos.rtd",,"VOLUME","."&amp;F$2&amp;F$1&amp;"C"&amp;$A7)*RTD("tos.rtd",,"GAMMA","."&amp;F$2&amp;F$1&amp;"C"&amp;$A7)-$A$4*$A$4*RTD("tos.rtd",,"VOLUME","."&amp;F$2&amp;F$1&amp;"P"&amp;$A7)*RTD("tos.rtd",,"GAMMA","."&amp;F$2&amp;F$1&amp;"P"&amp;$A7))/1000000),0),IF($A$2="GEX",IFERROR(IF($X$1="ABS",($A$4*$A$4*RTD("tos.rtd",,"OPEN_INT","."&amp;F$2&amp;F$1&amp;"C"&amp;$A7)*RTD("tos.rtd",,"GAMMA","."&amp;F$2&amp;F$1&amp;"C"&amp;$A7)+$A$4*$A$4*RTD("tos.rtd",,"OPEN_INT","."&amp;F$2&amp;F$1&amp;"P"&amp;$A7)*RTD("tos.rtd",,"GAMMA","."&amp;F$2&amp;F$1&amp;"P"&amp;$A7))/1000000,($A$4*$A$4*RTD("tos.rtd",,"OPEN_INT","."&amp;F$2&amp;F$1&amp;"C"&amp;$A7)*RTD("tos.rtd",,"GAMMA","."&amp;F$2&amp;F$1&amp;"C"&amp;$A7)-$A$4*$A$4*RTD("tos.rtd",,"OPEN_INT","."&amp;F$2&amp;F$1&amp;"P"&amp;$A7)*RTD("tos.rtd",,"GAMMA","."&amp;F$2&amp;F$1&amp;"P"&amp;$A7))/1000000),0),IF($A$2="SKEW",IFERROR(VALUE(IF(RTD("tos.rtd",,"IMPL_VOL","."&amp;F$2&amp;F$1&amp;"P"&amp;$A7)="N/A",0,RTD("tos.rtd",,"IMPL_VOL","."&amp;F$2&amp;F$1&amp;"P"&amp;$A7))),0)-IFERROR(VALUE(IF(RTD("tos.rtd",,"IMPL_VOL","."&amp;F$2&amp;F$1&amp;"C"&amp;$A7)="N/A",0,RTD("tos.rtd",,"IMPL_VOL","."&amp;F$2&amp;F$1&amp;"C"&amp;$A7))),0),IF($A$2="MAXPAIN",IF($A$4&gt;$A7,($A$4-$A7)*IF(RTD("tos.rtd",,"OPEN_INT","."&amp;F$2&amp;F$1&amp;"C"&amp;$A7)="N/A",0,RTD("tos.rtd",,"OPEN_INT","."&amp;F$2&amp;F$1&amp;"C"&amp;$A7)),0)+IF($A$4&lt;$A7,($A$5-$A$4)*IF(RTD("tos.rtd",,"OPEN_INT","."&amp;F$2&amp;F$1&amp;"P"&amp;$A7)="N/A",0,RTD("tos.rtd",,"OPEN_INT","."&amp;F$2&amp;F$1&amp;"P"&amp;$A7)),0),IF($X$1="ABS",IF(RTD("tos.rtd",,$A$2,"."&amp;F$2&amp;F$1&amp;"C"&amp;$A7)="N/A",0,RTD("tos.rtd",,$A$2,"."&amp;F$2&amp;F$1&amp;"C"&amp;$A7))+IF(RTD("tos.rtd",,$A$2,"."&amp;F$2&amp;F$1&amp;"P"&amp;$A7)="N/A",0,RTD("tos.rtd",,$A$2,"."&amp;F$2&amp;F$1&amp;"P"&amp;$A7)),IF(RTD("tos.rtd",,$A$2,"."&amp;F$2&amp;F$1&amp;"C"&amp;$A7)="N/A",0,RTD("tos.rtd",,$A$2,"."&amp;F$2&amp;F$1&amp;"C"&amp;$A7))-IF(RTD("tos.rtd",,$A$2,"."&amp;F$2&amp;F$1&amp;"P"&amp;$A7)="N/A",0,RTD("tos.rtd",,$A$2,"."&amp;F$2&amp;F$1&amp;"P"&amp;$A7))))))))))</f>
        <v>0</v>
      </c>
      <c r="G7" s="57">
        <f ca="1">IF($A$2="PREMIUM_OI",IFERROR(IF($X$1="ABS",(100*RTD("tos.rtd",,"OPEN_INT","."&amp;G$2&amp;G$1&amp;"C"&amp;$A7)*RTD("tos.rtd",,"LAST","."&amp;G$2&amp;G$1&amp;"C"&amp;$A7)+100*RTD("tos.rtd",,"OPEN_INT","."&amp;G$2&amp;G$1&amp;"P"&amp;$A7)*RTD("tos.rtd",,"LAST","."&amp;G$2&amp;G$1&amp;"P"&amp;$A7))/1000000,(100*RTD("tos.rtd",,"OPEN_INT","."&amp;G$2&amp;G$1&amp;"C"&amp;$A7)*RTD("tos.rtd",,"LAST","."&amp;G$2&amp;G$1&amp;"C"&amp;$A7)-100*RTD("tos.rtd",,"OPEN_INT","."&amp;G$2&amp;G$1&amp;"P"&amp;$A7)*RTD("tos.rtd",,"LAST","."&amp;G$2&amp;G$1&amp;"P"&amp;$A7))/1000000),0),IF($A$2="PREMIUM",IFERROR(IF($X$1="ABS",(100*RTD("tos.rtd",,"VOLUME","."&amp;G$2&amp;G$1&amp;"C"&amp;$A7)*RTD("tos.rtd",,"LAST","."&amp;G$2&amp;G$1&amp;"C"&amp;$A7)+100*RTD("tos.rtd",,"VOLUME","."&amp;G$2&amp;G$1&amp;"P"&amp;$A7)*RTD("tos.rtd",,"LAST","."&amp;G$2&amp;G$1&amp;"P"&amp;$A7))/1000000,(100*RTD("tos.rtd",,"VOLUME","."&amp;G$2&amp;G$1&amp;"C"&amp;$A7)*RTD("tos.rtd",,"LAST","."&amp;G$2&amp;G$1&amp;"C"&amp;$A7)-100*RTD("tos.rtd",,"VOLUME","."&amp;G$2&amp;G$1&amp;"P"&amp;$A7)*RTD("tos.rtd",,"LAST","."&amp;G$2&amp;G$1&amp;"P"&amp;$A7))/1000000),0),IF($A$2="DEX",IFERROR(IF($X$1="ABS",(100*RTD("tos.rtd",,"OPEN_INT","."&amp;G$2&amp;G$1&amp;"C"&amp;$A7)*RTD("tos.rtd",,"DELTA","."&amp;G$2&amp;G$1&amp;"C"&amp;$A7)+100*RTD("tos.rtd",,"OPEN_INT","."&amp;G$2&amp;G$1&amp;"P"&amp;$A7)*RTD("tos.rtd",,"DELTA","."&amp;G$2&amp;G$1&amp;"P"&amp;$A7))/1000,(100*RTD("tos.rtd",,"OPEN_INT","."&amp;G$2&amp;G$1&amp;"C"&amp;$A7)*RTD("tos.rtd",,"DELTA","."&amp;G$2&amp;G$1&amp;"C"&amp;$A7)-100*RTD("tos.rtd",,"OPEN_INT","."&amp;G$2&amp;G$1&amp;"P"&amp;$A7)*RTD("tos.rtd",,"DELTA","."&amp;G$2&amp;G$1&amp;"P"&amp;$A7))/1000),0),IF($A$2="VEX",IFERROR(IF($X$1="ABS",($A$4*$A$4*RTD("tos.rtd",,"VOLUME","."&amp;G$2&amp;G$1&amp;"C"&amp;$A7)*RTD("tos.rtd",,"GAMMA","."&amp;G$2&amp;G$1&amp;"C"&amp;$A7)+$A$4*$A$4*RTD("tos.rtd",,"VOLUME","."&amp;G$2&amp;G$1&amp;"P"&amp;$A7)*RTD("tos.rtd",,"GAMMA","."&amp;G$2&amp;G$1&amp;"P"&amp;$A7))/1000000,($A$4*$A$4*RTD("tos.rtd",,"VOLUME","."&amp;G$2&amp;G$1&amp;"C"&amp;$A7)*RTD("tos.rtd",,"GAMMA","."&amp;G$2&amp;G$1&amp;"C"&amp;$A7)-$A$4*$A$4*RTD("tos.rtd",,"VOLUME","."&amp;G$2&amp;G$1&amp;"P"&amp;$A7)*RTD("tos.rtd",,"GAMMA","."&amp;G$2&amp;G$1&amp;"P"&amp;$A7))/1000000),0),IF($A$2="GEX",IFERROR(IF($X$1="ABS",($A$4*$A$4*RTD("tos.rtd",,"OPEN_INT","."&amp;G$2&amp;G$1&amp;"C"&amp;$A7)*RTD("tos.rtd",,"GAMMA","."&amp;G$2&amp;G$1&amp;"C"&amp;$A7)+$A$4*$A$4*RTD("tos.rtd",,"OPEN_INT","."&amp;G$2&amp;G$1&amp;"P"&amp;$A7)*RTD("tos.rtd",,"GAMMA","."&amp;G$2&amp;G$1&amp;"P"&amp;$A7))/1000000,($A$4*$A$4*RTD("tos.rtd",,"OPEN_INT","."&amp;G$2&amp;G$1&amp;"C"&amp;$A7)*RTD("tos.rtd",,"GAMMA","."&amp;G$2&amp;G$1&amp;"C"&amp;$A7)-$A$4*$A$4*RTD("tos.rtd",,"OPEN_INT","."&amp;G$2&amp;G$1&amp;"P"&amp;$A7)*RTD("tos.rtd",,"GAMMA","."&amp;G$2&amp;G$1&amp;"P"&amp;$A7))/1000000),0),IF($A$2="SKEW",IFERROR(VALUE(IF(RTD("tos.rtd",,"IMPL_VOL","."&amp;G$2&amp;G$1&amp;"P"&amp;$A7)="N/A",0,RTD("tos.rtd",,"IMPL_VOL","."&amp;G$2&amp;G$1&amp;"P"&amp;$A7))),0)-IFERROR(VALUE(IF(RTD("tos.rtd",,"IMPL_VOL","."&amp;G$2&amp;G$1&amp;"C"&amp;$A7)="N/A",0,RTD("tos.rtd",,"IMPL_VOL","."&amp;G$2&amp;G$1&amp;"C"&amp;$A7))),0),IF($A$2="MAXPAIN",IF($A$4&gt;$A7,($A$4-$A7)*IF(RTD("tos.rtd",,"OPEN_INT","."&amp;G$2&amp;G$1&amp;"C"&amp;$A7)="N/A",0,RTD("tos.rtd",,"OPEN_INT","."&amp;G$2&amp;G$1&amp;"C"&amp;$A7)),0)+IF($A$4&lt;$A7,($A$5-$A$4)*IF(RTD("tos.rtd",,"OPEN_INT","."&amp;G$2&amp;G$1&amp;"P"&amp;$A7)="N/A",0,RTD("tos.rtd",,"OPEN_INT","."&amp;G$2&amp;G$1&amp;"P"&amp;$A7)),0),IF($X$1="ABS",IF(RTD("tos.rtd",,$A$2,"."&amp;G$2&amp;G$1&amp;"C"&amp;$A7)="N/A",0,RTD("tos.rtd",,$A$2,"."&amp;G$2&amp;G$1&amp;"C"&amp;$A7))+IF(RTD("tos.rtd",,$A$2,"."&amp;G$2&amp;G$1&amp;"P"&amp;$A7)="N/A",0,RTD("tos.rtd",,$A$2,"."&amp;G$2&amp;G$1&amp;"P"&amp;$A7)),IF(RTD("tos.rtd",,$A$2,"."&amp;G$2&amp;G$1&amp;"C"&amp;$A7)="N/A",0,RTD("tos.rtd",,$A$2,"."&amp;G$2&amp;G$1&amp;"C"&amp;$A7))-IF(RTD("tos.rtd",,$A$2,"."&amp;G$2&amp;G$1&amp;"P"&amp;$A7)="N/A",0,RTD("tos.rtd",,$A$2,"."&amp;G$2&amp;G$1&amp;"P"&amp;$A7))))))))))</f>
        <v>0</v>
      </c>
      <c r="H7" s="14">
        <f ca="1">IF($A$2="PREMIUM_OI",IFERROR(IF($X$1="ABS",(100*RTD("tos.rtd",,"OPEN_INT","."&amp;H$2&amp;H$1&amp;"C"&amp;$A7)*RTD("tos.rtd",,"LAST","."&amp;H$2&amp;H$1&amp;"C"&amp;$A7)+100*RTD("tos.rtd",,"OPEN_INT","."&amp;H$2&amp;H$1&amp;"P"&amp;$A7)*RTD("tos.rtd",,"LAST","."&amp;H$2&amp;H$1&amp;"P"&amp;$A7))/1000000,(100*RTD("tos.rtd",,"OPEN_INT","."&amp;H$2&amp;H$1&amp;"C"&amp;$A7)*RTD("tos.rtd",,"LAST","."&amp;H$2&amp;H$1&amp;"C"&amp;$A7)-100*RTD("tos.rtd",,"OPEN_INT","."&amp;H$2&amp;H$1&amp;"P"&amp;$A7)*RTD("tos.rtd",,"LAST","."&amp;H$2&amp;H$1&amp;"P"&amp;$A7))/1000000),0),IF($A$2="PREMIUM",IFERROR(IF($X$1="ABS",(100*RTD("tos.rtd",,"VOLUME","."&amp;H$2&amp;H$1&amp;"C"&amp;$A7)*RTD("tos.rtd",,"LAST","."&amp;H$2&amp;H$1&amp;"C"&amp;$A7)+100*RTD("tos.rtd",,"VOLUME","."&amp;H$2&amp;H$1&amp;"P"&amp;$A7)*RTD("tos.rtd",,"LAST","."&amp;H$2&amp;H$1&amp;"P"&amp;$A7))/1000000,(100*RTD("tos.rtd",,"VOLUME","."&amp;H$2&amp;H$1&amp;"C"&amp;$A7)*RTD("tos.rtd",,"LAST","."&amp;H$2&amp;H$1&amp;"C"&amp;$A7)-100*RTD("tos.rtd",,"VOLUME","."&amp;H$2&amp;H$1&amp;"P"&amp;$A7)*RTD("tos.rtd",,"LAST","."&amp;H$2&amp;H$1&amp;"P"&amp;$A7))/1000000),0),IF($A$2="DEX",IFERROR(IF($X$1="ABS",(100*RTD("tos.rtd",,"OPEN_INT","."&amp;H$2&amp;H$1&amp;"C"&amp;$A7)*RTD("tos.rtd",,"DELTA","."&amp;H$2&amp;H$1&amp;"C"&amp;$A7)+100*RTD("tos.rtd",,"OPEN_INT","."&amp;H$2&amp;H$1&amp;"P"&amp;$A7)*RTD("tos.rtd",,"DELTA","."&amp;H$2&amp;H$1&amp;"P"&amp;$A7))/1000,(100*RTD("tos.rtd",,"OPEN_INT","."&amp;H$2&amp;H$1&amp;"C"&amp;$A7)*RTD("tos.rtd",,"DELTA","."&amp;H$2&amp;H$1&amp;"C"&amp;$A7)-100*RTD("tos.rtd",,"OPEN_INT","."&amp;H$2&amp;H$1&amp;"P"&amp;$A7)*RTD("tos.rtd",,"DELTA","."&amp;H$2&amp;H$1&amp;"P"&amp;$A7))/1000),0),IF($A$2="VEX",IFERROR(IF($X$1="ABS",($A$4*$A$4*RTD("tos.rtd",,"VOLUME","."&amp;H$2&amp;H$1&amp;"C"&amp;$A7)*RTD("tos.rtd",,"GAMMA","."&amp;H$2&amp;H$1&amp;"C"&amp;$A7)+$A$4*$A$4*RTD("tos.rtd",,"VOLUME","."&amp;H$2&amp;H$1&amp;"P"&amp;$A7)*RTD("tos.rtd",,"GAMMA","."&amp;H$2&amp;H$1&amp;"P"&amp;$A7))/1000000,($A$4*$A$4*RTD("tos.rtd",,"VOLUME","."&amp;H$2&amp;H$1&amp;"C"&amp;$A7)*RTD("tos.rtd",,"GAMMA","."&amp;H$2&amp;H$1&amp;"C"&amp;$A7)-$A$4*$A$4*RTD("tos.rtd",,"VOLUME","."&amp;H$2&amp;H$1&amp;"P"&amp;$A7)*RTD("tos.rtd",,"GAMMA","."&amp;H$2&amp;H$1&amp;"P"&amp;$A7))/1000000),0),IF($A$2="GEX",IFERROR(IF($X$1="ABS",($A$4*$A$4*RTD("tos.rtd",,"OPEN_INT","."&amp;H$2&amp;H$1&amp;"C"&amp;$A7)*RTD("tos.rtd",,"GAMMA","."&amp;H$2&amp;H$1&amp;"C"&amp;$A7)+$A$4*$A$4*RTD("tos.rtd",,"OPEN_INT","."&amp;H$2&amp;H$1&amp;"P"&amp;$A7)*RTD("tos.rtd",,"GAMMA","."&amp;H$2&amp;H$1&amp;"P"&amp;$A7))/1000000,($A$4*$A$4*RTD("tos.rtd",,"OPEN_INT","."&amp;H$2&amp;H$1&amp;"C"&amp;$A7)*RTD("tos.rtd",,"GAMMA","."&amp;H$2&amp;H$1&amp;"C"&amp;$A7)-$A$4*$A$4*RTD("tos.rtd",,"OPEN_INT","."&amp;H$2&amp;H$1&amp;"P"&amp;$A7)*RTD("tos.rtd",,"GAMMA","."&amp;H$2&amp;H$1&amp;"P"&amp;$A7))/1000000),0),IF($A$2="SKEW",IFERROR(VALUE(IF(RTD("tos.rtd",,"IMPL_VOL","."&amp;H$2&amp;H$1&amp;"P"&amp;$A7)="N/A",0,RTD("tos.rtd",,"IMPL_VOL","."&amp;H$2&amp;H$1&amp;"P"&amp;$A7))),0)-IFERROR(VALUE(IF(RTD("tos.rtd",,"IMPL_VOL","."&amp;H$2&amp;H$1&amp;"C"&amp;$A7)="N/A",0,RTD("tos.rtd",,"IMPL_VOL","."&amp;H$2&amp;H$1&amp;"C"&amp;$A7))),0),IF($A$2="MAXPAIN",IF($A$4&gt;$A7,($A$4-$A7)*IF(RTD("tos.rtd",,"OPEN_INT","."&amp;H$2&amp;H$1&amp;"C"&amp;$A7)="N/A",0,RTD("tos.rtd",,"OPEN_INT","."&amp;H$2&amp;H$1&amp;"C"&amp;$A7)),0)+IF($A$4&lt;$A7,($A$5-$A$4)*IF(RTD("tos.rtd",,"OPEN_INT","."&amp;H$2&amp;H$1&amp;"P"&amp;$A7)="N/A",0,RTD("tos.rtd",,"OPEN_INT","."&amp;H$2&amp;H$1&amp;"P"&amp;$A7)),0),IF($X$1="ABS",IF(RTD("tos.rtd",,$A$2,"."&amp;H$2&amp;H$1&amp;"C"&amp;$A7)="N/A",0,RTD("tos.rtd",,$A$2,"."&amp;H$2&amp;H$1&amp;"C"&amp;$A7))+IF(RTD("tos.rtd",,$A$2,"."&amp;H$2&amp;H$1&amp;"P"&amp;$A7)="N/A",0,RTD("tos.rtd",,$A$2,"."&amp;H$2&amp;H$1&amp;"P"&amp;$A7)),IF(RTD("tos.rtd",,$A$2,"."&amp;H$2&amp;H$1&amp;"C"&amp;$A7)="N/A",0,RTD("tos.rtd",,$A$2,"."&amp;H$2&amp;H$1&amp;"C"&amp;$A7))-IF(RTD("tos.rtd",,$A$2,"."&amp;H$2&amp;H$1&amp;"P"&amp;$A7)="N/A",0,RTD("tos.rtd",,$A$2,"."&amp;H$2&amp;H$1&amp;"P"&amp;$A7))))))))))</f>
        <v>0</v>
      </c>
      <c r="I7" s="12">
        <f ca="1">IF($A$2="PREMIUM_OI",IFERROR(IF($X$1="ABS",(100*RTD("tos.rtd",,"OPEN_INT","."&amp;I$2&amp;I$1&amp;"C"&amp;$A7)*RTD("tos.rtd",,"LAST","."&amp;I$2&amp;I$1&amp;"C"&amp;$A7)+100*RTD("tos.rtd",,"OPEN_INT","."&amp;I$2&amp;I$1&amp;"P"&amp;$A7)*RTD("tos.rtd",,"LAST","."&amp;I$2&amp;I$1&amp;"P"&amp;$A7))/1000000,(100*RTD("tos.rtd",,"OPEN_INT","."&amp;I$2&amp;I$1&amp;"C"&amp;$A7)*RTD("tos.rtd",,"LAST","."&amp;I$2&amp;I$1&amp;"C"&amp;$A7)-100*RTD("tos.rtd",,"OPEN_INT","."&amp;I$2&amp;I$1&amp;"P"&amp;$A7)*RTD("tos.rtd",,"LAST","."&amp;I$2&amp;I$1&amp;"P"&amp;$A7))/1000000),0),IF($A$2="PREMIUM",IFERROR(IF($X$1="ABS",(100*RTD("tos.rtd",,"VOLUME","."&amp;I$2&amp;I$1&amp;"C"&amp;$A7)*RTD("tos.rtd",,"LAST","."&amp;I$2&amp;I$1&amp;"C"&amp;$A7)+100*RTD("tos.rtd",,"VOLUME","."&amp;I$2&amp;I$1&amp;"P"&amp;$A7)*RTD("tos.rtd",,"LAST","."&amp;I$2&amp;I$1&amp;"P"&amp;$A7))/1000000,(100*RTD("tos.rtd",,"VOLUME","."&amp;I$2&amp;I$1&amp;"C"&amp;$A7)*RTD("tos.rtd",,"LAST","."&amp;I$2&amp;I$1&amp;"C"&amp;$A7)-100*RTD("tos.rtd",,"VOLUME","."&amp;I$2&amp;I$1&amp;"P"&amp;$A7)*RTD("tos.rtd",,"LAST","."&amp;I$2&amp;I$1&amp;"P"&amp;$A7))/1000000),0),IF($A$2="DEX",IFERROR(IF($X$1="ABS",(100*RTD("tos.rtd",,"OPEN_INT","."&amp;I$2&amp;I$1&amp;"C"&amp;$A7)*RTD("tos.rtd",,"DELTA","."&amp;I$2&amp;I$1&amp;"C"&amp;$A7)+100*RTD("tos.rtd",,"OPEN_INT","."&amp;I$2&amp;I$1&amp;"P"&amp;$A7)*RTD("tos.rtd",,"DELTA","."&amp;I$2&amp;I$1&amp;"P"&amp;$A7))/1000,(100*RTD("tos.rtd",,"OPEN_INT","."&amp;I$2&amp;I$1&amp;"C"&amp;$A7)*RTD("tos.rtd",,"DELTA","."&amp;I$2&amp;I$1&amp;"C"&amp;$A7)-100*RTD("tos.rtd",,"OPEN_INT","."&amp;I$2&amp;I$1&amp;"P"&amp;$A7)*RTD("tos.rtd",,"DELTA","."&amp;I$2&amp;I$1&amp;"P"&amp;$A7))/1000),0),IF($A$2="VEX",IFERROR(IF($X$1="ABS",($A$4*$A$4*RTD("tos.rtd",,"VOLUME","."&amp;I$2&amp;I$1&amp;"C"&amp;$A7)*RTD("tos.rtd",,"GAMMA","."&amp;I$2&amp;I$1&amp;"C"&amp;$A7)+$A$4*$A$4*RTD("tos.rtd",,"VOLUME","."&amp;I$2&amp;I$1&amp;"P"&amp;$A7)*RTD("tos.rtd",,"GAMMA","."&amp;I$2&amp;I$1&amp;"P"&amp;$A7))/1000000,($A$4*$A$4*RTD("tos.rtd",,"VOLUME","."&amp;I$2&amp;I$1&amp;"C"&amp;$A7)*RTD("tos.rtd",,"GAMMA","."&amp;I$2&amp;I$1&amp;"C"&amp;$A7)-$A$4*$A$4*RTD("tos.rtd",,"VOLUME","."&amp;I$2&amp;I$1&amp;"P"&amp;$A7)*RTD("tos.rtd",,"GAMMA","."&amp;I$2&amp;I$1&amp;"P"&amp;$A7))/1000000),0),IF($A$2="GEX",IFERROR(IF($X$1="ABS",($A$4*$A$4*RTD("tos.rtd",,"OPEN_INT","."&amp;I$2&amp;I$1&amp;"C"&amp;$A7)*RTD("tos.rtd",,"GAMMA","."&amp;I$2&amp;I$1&amp;"C"&amp;$A7)+$A$4*$A$4*RTD("tos.rtd",,"OPEN_INT","."&amp;I$2&amp;I$1&amp;"P"&amp;$A7)*RTD("tos.rtd",,"GAMMA","."&amp;I$2&amp;I$1&amp;"P"&amp;$A7))/1000000,($A$4*$A$4*RTD("tos.rtd",,"OPEN_INT","."&amp;I$2&amp;I$1&amp;"C"&amp;$A7)*RTD("tos.rtd",,"GAMMA","."&amp;I$2&amp;I$1&amp;"C"&amp;$A7)-$A$4*$A$4*RTD("tos.rtd",,"OPEN_INT","."&amp;I$2&amp;I$1&amp;"P"&amp;$A7)*RTD("tos.rtd",,"GAMMA","."&amp;I$2&amp;I$1&amp;"P"&amp;$A7))/1000000),0),IF($A$2="SKEW",IFERROR(VALUE(IF(RTD("tos.rtd",,"IMPL_VOL","."&amp;I$2&amp;I$1&amp;"P"&amp;$A7)="N/A",0,RTD("tos.rtd",,"IMPL_VOL","."&amp;I$2&amp;I$1&amp;"P"&amp;$A7))),0)-IFERROR(VALUE(IF(RTD("tos.rtd",,"IMPL_VOL","."&amp;I$2&amp;I$1&amp;"C"&amp;$A7)="N/A",0,RTD("tos.rtd",,"IMPL_VOL","."&amp;I$2&amp;I$1&amp;"C"&amp;$A7))),0),IF($A$2="MAXPAIN",IF($A$4&gt;$A7,($A$4-$A7)*IF(RTD("tos.rtd",,"OPEN_INT","."&amp;I$2&amp;I$1&amp;"C"&amp;$A7)="N/A",0,RTD("tos.rtd",,"OPEN_INT","."&amp;I$2&amp;I$1&amp;"C"&amp;$A7)),0)+IF($A$4&lt;$A7,($A$5-$A$4)*IF(RTD("tos.rtd",,"OPEN_INT","."&amp;I$2&amp;I$1&amp;"P"&amp;$A7)="N/A",0,RTD("tos.rtd",,"OPEN_INT","."&amp;I$2&amp;I$1&amp;"P"&amp;$A7)),0),IF($X$1="ABS",IF(RTD("tos.rtd",,$A$2,"."&amp;I$2&amp;I$1&amp;"C"&amp;$A7)="N/A",0,RTD("tos.rtd",,$A$2,"."&amp;I$2&amp;I$1&amp;"C"&amp;$A7))+IF(RTD("tos.rtd",,$A$2,"."&amp;I$2&amp;I$1&amp;"P"&amp;$A7)="N/A",0,RTD("tos.rtd",,$A$2,"."&amp;I$2&amp;I$1&amp;"P"&amp;$A7)),IF(RTD("tos.rtd",,$A$2,"."&amp;I$2&amp;I$1&amp;"C"&amp;$A7)="N/A",0,RTD("tos.rtd",,$A$2,"."&amp;I$2&amp;I$1&amp;"C"&amp;$A7))-IF(RTD("tos.rtd",,$A$2,"."&amp;I$2&amp;I$1&amp;"P"&amp;$A7)="N/A",0,RTD("tos.rtd",,$A$2,"."&amp;I$2&amp;I$1&amp;"P"&amp;$A7))))))))))</f>
        <v>0</v>
      </c>
      <c r="J7" s="12">
        <f ca="1">IF($A$2="PREMIUM_OI",IFERROR(IF($X$1="ABS",(100*RTD("tos.rtd",,"OPEN_INT","."&amp;J$2&amp;J$1&amp;"C"&amp;$A7)*RTD("tos.rtd",,"LAST","."&amp;J$2&amp;J$1&amp;"C"&amp;$A7)+100*RTD("tos.rtd",,"OPEN_INT","."&amp;J$2&amp;J$1&amp;"P"&amp;$A7)*RTD("tos.rtd",,"LAST","."&amp;J$2&amp;J$1&amp;"P"&amp;$A7))/1000000,(100*RTD("tos.rtd",,"OPEN_INT","."&amp;J$2&amp;J$1&amp;"C"&amp;$A7)*RTD("tos.rtd",,"LAST","."&amp;J$2&amp;J$1&amp;"C"&amp;$A7)-100*RTD("tos.rtd",,"OPEN_INT","."&amp;J$2&amp;J$1&amp;"P"&amp;$A7)*RTD("tos.rtd",,"LAST","."&amp;J$2&amp;J$1&amp;"P"&amp;$A7))/1000000),0),IF($A$2="PREMIUM",IFERROR(IF($X$1="ABS",(100*RTD("tos.rtd",,"VOLUME","."&amp;J$2&amp;J$1&amp;"C"&amp;$A7)*RTD("tos.rtd",,"LAST","."&amp;J$2&amp;J$1&amp;"C"&amp;$A7)+100*RTD("tos.rtd",,"VOLUME","."&amp;J$2&amp;J$1&amp;"P"&amp;$A7)*RTD("tos.rtd",,"LAST","."&amp;J$2&amp;J$1&amp;"P"&amp;$A7))/1000000,(100*RTD("tos.rtd",,"VOLUME","."&amp;J$2&amp;J$1&amp;"C"&amp;$A7)*RTD("tos.rtd",,"LAST","."&amp;J$2&amp;J$1&amp;"C"&amp;$A7)-100*RTD("tos.rtd",,"VOLUME","."&amp;J$2&amp;J$1&amp;"P"&amp;$A7)*RTD("tos.rtd",,"LAST","."&amp;J$2&amp;J$1&amp;"P"&amp;$A7))/1000000),0),IF($A$2="DEX",IFERROR(IF($X$1="ABS",(100*RTD("tos.rtd",,"OPEN_INT","."&amp;J$2&amp;J$1&amp;"C"&amp;$A7)*RTD("tos.rtd",,"DELTA","."&amp;J$2&amp;J$1&amp;"C"&amp;$A7)+100*RTD("tos.rtd",,"OPEN_INT","."&amp;J$2&amp;J$1&amp;"P"&amp;$A7)*RTD("tos.rtd",,"DELTA","."&amp;J$2&amp;J$1&amp;"P"&amp;$A7))/1000,(100*RTD("tos.rtd",,"OPEN_INT","."&amp;J$2&amp;J$1&amp;"C"&amp;$A7)*RTD("tos.rtd",,"DELTA","."&amp;J$2&amp;J$1&amp;"C"&amp;$A7)-100*RTD("tos.rtd",,"OPEN_INT","."&amp;J$2&amp;J$1&amp;"P"&amp;$A7)*RTD("tos.rtd",,"DELTA","."&amp;J$2&amp;J$1&amp;"P"&amp;$A7))/1000),0),IF($A$2="VEX",IFERROR(IF($X$1="ABS",($A$4*$A$4*RTD("tos.rtd",,"VOLUME","."&amp;J$2&amp;J$1&amp;"C"&amp;$A7)*RTD("tos.rtd",,"GAMMA","."&amp;J$2&amp;J$1&amp;"C"&amp;$A7)+$A$4*$A$4*RTD("tos.rtd",,"VOLUME","."&amp;J$2&amp;J$1&amp;"P"&amp;$A7)*RTD("tos.rtd",,"GAMMA","."&amp;J$2&amp;J$1&amp;"P"&amp;$A7))/1000000,($A$4*$A$4*RTD("tos.rtd",,"VOLUME","."&amp;J$2&amp;J$1&amp;"C"&amp;$A7)*RTD("tos.rtd",,"GAMMA","."&amp;J$2&amp;J$1&amp;"C"&amp;$A7)-$A$4*$A$4*RTD("tos.rtd",,"VOLUME","."&amp;J$2&amp;J$1&amp;"P"&amp;$A7)*RTD("tos.rtd",,"GAMMA","."&amp;J$2&amp;J$1&amp;"P"&amp;$A7))/1000000),0),IF($A$2="GEX",IFERROR(IF($X$1="ABS",($A$4*$A$4*RTD("tos.rtd",,"OPEN_INT","."&amp;J$2&amp;J$1&amp;"C"&amp;$A7)*RTD("tos.rtd",,"GAMMA","."&amp;J$2&amp;J$1&amp;"C"&amp;$A7)+$A$4*$A$4*RTD("tos.rtd",,"OPEN_INT","."&amp;J$2&amp;J$1&amp;"P"&amp;$A7)*RTD("tos.rtd",,"GAMMA","."&amp;J$2&amp;J$1&amp;"P"&amp;$A7))/1000000,($A$4*$A$4*RTD("tos.rtd",,"OPEN_INT","."&amp;J$2&amp;J$1&amp;"C"&amp;$A7)*RTD("tos.rtd",,"GAMMA","."&amp;J$2&amp;J$1&amp;"C"&amp;$A7)-$A$4*$A$4*RTD("tos.rtd",,"OPEN_INT","."&amp;J$2&amp;J$1&amp;"P"&amp;$A7)*RTD("tos.rtd",,"GAMMA","."&amp;J$2&amp;J$1&amp;"P"&amp;$A7))/1000000),0),IF($A$2="SKEW",IFERROR(VALUE(IF(RTD("tos.rtd",,"IMPL_VOL","."&amp;J$2&amp;J$1&amp;"P"&amp;$A7)="N/A",0,RTD("tos.rtd",,"IMPL_VOL","."&amp;J$2&amp;J$1&amp;"P"&amp;$A7))),0)-IFERROR(VALUE(IF(RTD("tos.rtd",,"IMPL_VOL","."&amp;J$2&amp;J$1&amp;"C"&amp;$A7)="N/A",0,RTD("tos.rtd",,"IMPL_VOL","."&amp;J$2&amp;J$1&amp;"C"&amp;$A7))),0),IF($A$2="MAXPAIN",IF($A$4&gt;$A7,($A$4-$A7)*IF(RTD("tos.rtd",,"OPEN_INT","."&amp;J$2&amp;J$1&amp;"C"&amp;$A7)="N/A",0,RTD("tos.rtd",,"OPEN_INT","."&amp;J$2&amp;J$1&amp;"C"&amp;$A7)),0)+IF($A$4&lt;$A7,($A$5-$A$4)*IF(RTD("tos.rtd",,"OPEN_INT","."&amp;J$2&amp;J$1&amp;"P"&amp;$A7)="N/A",0,RTD("tos.rtd",,"OPEN_INT","."&amp;J$2&amp;J$1&amp;"P"&amp;$A7)),0),IF($X$1="ABS",IF(RTD("tos.rtd",,$A$2,"."&amp;J$2&amp;J$1&amp;"C"&amp;$A7)="N/A",0,RTD("tos.rtd",,$A$2,"."&amp;J$2&amp;J$1&amp;"C"&amp;$A7))+IF(RTD("tos.rtd",,$A$2,"."&amp;J$2&amp;J$1&amp;"P"&amp;$A7)="N/A",0,RTD("tos.rtd",,$A$2,"."&amp;J$2&amp;J$1&amp;"P"&amp;$A7)),IF(RTD("tos.rtd",,$A$2,"."&amp;J$2&amp;J$1&amp;"C"&amp;$A7)="N/A",0,RTD("tos.rtd",,$A$2,"."&amp;J$2&amp;J$1&amp;"C"&amp;$A7))-IF(RTD("tos.rtd",,$A$2,"."&amp;J$2&amp;J$1&amp;"P"&amp;$A7)="N/A",0,RTD("tos.rtd",,$A$2,"."&amp;J$2&amp;J$1&amp;"P"&amp;$A7))))))))))</f>
        <v>0</v>
      </c>
      <c r="K7" s="12">
        <f ca="1">IF($A$2="PREMIUM_OI",IFERROR(IF($X$1="ABS",(100*RTD("tos.rtd",,"OPEN_INT","."&amp;K$2&amp;K$1&amp;"C"&amp;$A7)*RTD("tos.rtd",,"LAST","."&amp;K$2&amp;K$1&amp;"C"&amp;$A7)+100*RTD("tos.rtd",,"OPEN_INT","."&amp;K$2&amp;K$1&amp;"P"&amp;$A7)*RTD("tos.rtd",,"LAST","."&amp;K$2&amp;K$1&amp;"P"&amp;$A7))/1000000,(100*RTD("tos.rtd",,"OPEN_INT","."&amp;K$2&amp;K$1&amp;"C"&amp;$A7)*RTD("tos.rtd",,"LAST","."&amp;K$2&amp;K$1&amp;"C"&amp;$A7)-100*RTD("tos.rtd",,"OPEN_INT","."&amp;K$2&amp;K$1&amp;"P"&amp;$A7)*RTD("tos.rtd",,"LAST","."&amp;K$2&amp;K$1&amp;"P"&amp;$A7))/1000000),0),IF($A$2="PREMIUM",IFERROR(IF($X$1="ABS",(100*RTD("tos.rtd",,"VOLUME","."&amp;K$2&amp;K$1&amp;"C"&amp;$A7)*RTD("tos.rtd",,"LAST","."&amp;K$2&amp;K$1&amp;"C"&amp;$A7)+100*RTD("tos.rtd",,"VOLUME","."&amp;K$2&amp;K$1&amp;"P"&amp;$A7)*RTD("tos.rtd",,"LAST","."&amp;K$2&amp;K$1&amp;"P"&amp;$A7))/1000000,(100*RTD("tos.rtd",,"VOLUME","."&amp;K$2&amp;K$1&amp;"C"&amp;$A7)*RTD("tos.rtd",,"LAST","."&amp;K$2&amp;K$1&amp;"C"&amp;$A7)-100*RTD("tos.rtd",,"VOLUME","."&amp;K$2&amp;K$1&amp;"P"&amp;$A7)*RTD("tos.rtd",,"LAST","."&amp;K$2&amp;K$1&amp;"P"&amp;$A7))/1000000),0),IF($A$2="DEX",IFERROR(IF($X$1="ABS",(100*RTD("tos.rtd",,"OPEN_INT","."&amp;K$2&amp;K$1&amp;"C"&amp;$A7)*RTD("tos.rtd",,"DELTA","."&amp;K$2&amp;K$1&amp;"C"&amp;$A7)+100*RTD("tos.rtd",,"OPEN_INT","."&amp;K$2&amp;K$1&amp;"P"&amp;$A7)*RTD("tos.rtd",,"DELTA","."&amp;K$2&amp;K$1&amp;"P"&amp;$A7))/1000,(100*RTD("tos.rtd",,"OPEN_INT","."&amp;K$2&amp;K$1&amp;"C"&amp;$A7)*RTD("tos.rtd",,"DELTA","."&amp;K$2&amp;K$1&amp;"C"&amp;$A7)-100*RTD("tos.rtd",,"OPEN_INT","."&amp;K$2&amp;K$1&amp;"P"&amp;$A7)*RTD("tos.rtd",,"DELTA","."&amp;K$2&amp;K$1&amp;"P"&amp;$A7))/1000),0),IF($A$2="VEX",IFERROR(IF($X$1="ABS",($A$4*$A$4*RTD("tos.rtd",,"VOLUME","."&amp;K$2&amp;K$1&amp;"C"&amp;$A7)*RTD("tos.rtd",,"GAMMA","."&amp;K$2&amp;K$1&amp;"C"&amp;$A7)+$A$4*$A$4*RTD("tos.rtd",,"VOLUME","."&amp;K$2&amp;K$1&amp;"P"&amp;$A7)*RTD("tos.rtd",,"GAMMA","."&amp;K$2&amp;K$1&amp;"P"&amp;$A7))/1000000,($A$4*$A$4*RTD("tos.rtd",,"VOLUME","."&amp;K$2&amp;K$1&amp;"C"&amp;$A7)*RTD("tos.rtd",,"GAMMA","."&amp;K$2&amp;K$1&amp;"C"&amp;$A7)-$A$4*$A$4*RTD("tos.rtd",,"VOLUME","."&amp;K$2&amp;K$1&amp;"P"&amp;$A7)*RTD("tos.rtd",,"GAMMA","."&amp;K$2&amp;K$1&amp;"P"&amp;$A7))/1000000),0),IF($A$2="GEX",IFERROR(IF($X$1="ABS",($A$4*$A$4*RTD("tos.rtd",,"OPEN_INT","."&amp;K$2&amp;K$1&amp;"C"&amp;$A7)*RTD("tos.rtd",,"GAMMA","."&amp;K$2&amp;K$1&amp;"C"&amp;$A7)+$A$4*$A$4*RTD("tos.rtd",,"OPEN_INT","."&amp;K$2&amp;K$1&amp;"P"&amp;$A7)*RTD("tos.rtd",,"GAMMA","."&amp;K$2&amp;K$1&amp;"P"&amp;$A7))/1000000,($A$4*$A$4*RTD("tos.rtd",,"OPEN_INT","."&amp;K$2&amp;K$1&amp;"C"&amp;$A7)*RTD("tos.rtd",,"GAMMA","."&amp;K$2&amp;K$1&amp;"C"&amp;$A7)-$A$4*$A$4*RTD("tos.rtd",,"OPEN_INT","."&amp;K$2&amp;K$1&amp;"P"&amp;$A7)*RTD("tos.rtd",,"GAMMA","."&amp;K$2&amp;K$1&amp;"P"&amp;$A7))/1000000),0),IF($A$2="SKEW",IFERROR(VALUE(IF(RTD("tos.rtd",,"IMPL_VOL","."&amp;K$2&amp;K$1&amp;"P"&amp;$A7)="N/A",0,RTD("tos.rtd",,"IMPL_VOL","."&amp;K$2&amp;K$1&amp;"P"&amp;$A7))),0)-IFERROR(VALUE(IF(RTD("tos.rtd",,"IMPL_VOL","."&amp;K$2&amp;K$1&amp;"C"&amp;$A7)="N/A",0,RTD("tos.rtd",,"IMPL_VOL","."&amp;K$2&amp;K$1&amp;"C"&amp;$A7))),0),IF($A$2="MAXPAIN",IF($A$4&gt;$A7,($A$4-$A7)*IF(RTD("tos.rtd",,"OPEN_INT","."&amp;K$2&amp;K$1&amp;"C"&amp;$A7)="N/A",0,RTD("tos.rtd",,"OPEN_INT","."&amp;K$2&amp;K$1&amp;"C"&amp;$A7)),0)+IF($A$4&lt;$A7,($A$5-$A$4)*IF(RTD("tos.rtd",,"OPEN_INT","."&amp;K$2&amp;K$1&amp;"P"&amp;$A7)="N/A",0,RTD("tos.rtd",,"OPEN_INT","."&amp;K$2&amp;K$1&amp;"P"&amp;$A7)),0),IF($X$1="ABS",IF(RTD("tos.rtd",,$A$2,"."&amp;K$2&amp;K$1&amp;"C"&amp;$A7)="N/A",0,RTD("tos.rtd",,$A$2,"."&amp;K$2&amp;K$1&amp;"C"&amp;$A7))+IF(RTD("tos.rtd",,$A$2,"."&amp;K$2&amp;K$1&amp;"P"&amp;$A7)="N/A",0,RTD("tos.rtd",,$A$2,"."&amp;K$2&amp;K$1&amp;"P"&amp;$A7)),IF(RTD("tos.rtd",,$A$2,"."&amp;K$2&amp;K$1&amp;"C"&amp;$A7)="N/A",0,RTD("tos.rtd",,$A$2,"."&amp;K$2&amp;K$1&amp;"C"&amp;$A7))-IF(RTD("tos.rtd",,$A$2,"."&amp;K$2&amp;K$1&amp;"P"&amp;$A7)="N/A",0,RTD("tos.rtd",,$A$2,"."&amp;K$2&amp;K$1&amp;"P"&amp;$A7))))))))))</f>
        <v>0</v>
      </c>
      <c r="L7" s="54">
        <f ca="1">IF($A$2="PREMIUM_OI",IFERROR(IF($X$1="ABS",(100*RTD("tos.rtd",,"OPEN_INT","."&amp;L$2&amp;L$1&amp;"C"&amp;$A7)*RTD("tos.rtd",,"LAST","."&amp;L$2&amp;L$1&amp;"C"&amp;$A7)+100*RTD("tos.rtd",,"OPEN_INT","."&amp;L$2&amp;L$1&amp;"P"&amp;$A7)*RTD("tos.rtd",,"LAST","."&amp;L$2&amp;L$1&amp;"P"&amp;$A7))/1000000,(100*RTD("tos.rtd",,"OPEN_INT","."&amp;L$2&amp;L$1&amp;"C"&amp;$A7)*RTD("tos.rtd",,"LAST","."&amp;L$2&amp;L$1&amp;"C"&amp;$A7)-100*RTD("tos.rtd",,"OPEN_INT","."&amp;L$2&amp;L$1&amp;"P"&amp;$A7)*RTD("tos.rtd",,"LAST","."&amp;L$2&amp;L$1&amp;"P"&amp;$A7))/1000000),0),IF($A$2="PREMIUM",IFERROR(IF($X$1="ABS",(100*RTD("tos.rtd",,"VOLUME","."&amp;L$2&amp;L$1&amp;"C"&amp;$A7)*RTD("tos.rtd",,"LAST","."&amp;L$2&amp;L$1&amp;"C"&amp;$A7)+100*RTD("tos.rtd",,"VOLUME","."&amp;L$2&amp;L$1&amp;"P"&amp;$A7)*RTD("tos.rtd",,"LAST","."&amp;L$2&amp;L$1&amp;"P"&amp;$A7))/1000000,(100*RTD("tos.rtd",,"VOLUME","."&amp;L$2&amp;L$1&amp;"C"&amp;$A7)*RTD("tos.rtd",,"LAST","."&amp;L$2&amp;L$1&amp;"C"&amp;$A7)-100*RTD("tos.rtd",,"VOLUME","."&amp;L$2&amp;L$1&amp;"P"&amp;$A7)*RTD("tos.rtd",,"LAST","."&amp;L$2&amp;L$1&amp;"P"&amp;$A7))/1000000),0),IF($A$2="DEX",IFERROR(IF($X$1="ABS",(100*RTD("tos.rtd",,"OPEN_INT","."&amp;L$2&amp;L$1&amp;"C"&amp;$A7)*RTD("tos.rtd",,"DELTA","."&amp;L$2&amp;L$1&amp;"C"&amp;$A7)+100*RTD("tos.rtd",,"OPEN_INT","."&amp;L$2&amp;L$1&amp;"P"&amp;$A7)*RTD("tos.rtd",,"DELTA","."&amp;L$2&amp;L$1&amp;"P"&amp;$A7))/1000,(100*RTD("tos.rtd",,"OPEN_INT","."&amp;L$2&amp;L$1&amp;"C"&amp;$A7)*RTD("tos.rtd",,"DELTA","."&amp;L$2&amp;L$1&amp;"C"&amp;$A7)-100*RTD("tos.rtd",,"OPEN_INT","."&amp;L$2&amp;L$1&amp;"P"&amp;$A7)*RTD("tos.rtd",,"DELTA","."&amp;L$2&amp;L$1&amp;"P"&amp;$A7))/1000),0),IF($A$2="VEX",IFERROR(IF($X$1="ABS",($A$4*$A$4*RTD("tos.rtd",,"VOLUME","."&amp;L$2&amp;L$1&amp;"C"&amp;$A7)*RTD("tos.rtd",,"GAMMA","."&amp;L$2&amp;L$1&amp;"C"&amp;$A7)+$A$4*$A$4*RTD("tos.rtd",,"VOLUME","."&amp;L$2&amp;L$1&amp;"P"&amp;$A7)*RTD("tos.rtd",,"GAMMA","."&amp;L$2&amp;L$1&amp;"P"&amp;$A7))/1000000,($A$4*$A$4*RTD("tos.rtd",,"VOLUME","."&amp;L$2&amp;L$1&amp;"C"&amp;$A7)*RTD("tos.rtd",,"GAMMA","."&amp;L$2&amp;L$1&amp;"C"&amp;$A7)-$A$4*$A$4*RTD("tos.rtd",,"VOLUME","."&amp;L$2&amp;L$1&amp;"P"&amp;$A7)*RTD("tos.rtd",,"GAMMA","."&amp;L$2&amp;L$1&amp;"P"&amp;$A7))/1000000),0),IF($A$2="GEX",IFERROR(IF($X$1="ABS",($A$4*$A$4*RTD("tos.rtd",,"OPEN_INT","."&amp;L$2&amp;L$1&amp;"C"&amp;$A7)*RTD("tos.rtd",,"GAMMA","."&amp;L$2&amp;L$1&amp;"C"&amp;$A7)+$A$4*$A$4*RTD("tos.rtd",,"OPEN_INT","."&amp;L$2&amp;L$1&amp;"P"&amp;$A7)*RTD("tos.rtd",,"GAMMA","."&amp;L$2&amp;L$1&amp;"P"&amp;$A7))/1000000,($A$4*$A$4*RTD("tos.rtd",,"OPEN_INT","."&amp;L$2&amp;L$1&amp;"C"&amp;$A7)*RTD("tos.rtd",,"GAMMA","."&amp;L$2&amp;L$1&amp;"C"&amp;$A7)-$A$4*$A$4*RTD("tos.rtd",,"OPEN_INT","."&amp;L$2&amp;L$1&amp;"P"&amp;$A7)*RTD("tos.rtd",,"GAMMA","."&amp;L$2&amp;L$1&amp;"P"&amp;$A7))/1000000),0),IF($A$2="SKEW",IFERROR(VALUE(IF(RTD("tos.rtd",,"IMPL_VOL","."&amp;L$2&amp;L$1&amp;"P"&amp;$A7)="N/A",0,RTD("tos.rtd",,"IMPL_VOL","."&amp;L$2&amp;L$1&amp;"P"&amp;$A7))),0)-IFERROR(VALUE(IF(RTD("tos.rtd",,"IMPL_VOL","."&amp;L$2&amp;L$1&amp;"C"&amp;$A7)="N/A",0,RTD("tos.rtd",,"IMPL_VOL","."&amp;L$2&amp;L$1&amp;"C"&amp;$A7))),0),IF($A$2="MAXPAIN",IF($A$4&gt;$A7,($A$4-$A7)*IF(RTD("tos.rtd",,"OPEN_INT","."&amp;L$2&amp;L$1&amp;"C"&amp;$A7)="N/A",0,RTD("tos.rtd",,"OPEN_INT","."&amp;L$2&amp;L$1&amp;"C"&amp;$A7)),0)+IF($A$4&lt;$A7,($A$5-$A$4)*IF(RTD("tos.rtd",,"OPEN_INT","."&amp;L$2&amp;L$1&amp;"P"&amp;$A7)="N/A",0,RTD("tos.rtd",,"OPEN_INT","."&amp;L$2&amp;L$1&amp;"P"&amp;$A7)),0),IF($X$1="ABS",IF(RTD("tos.rtd",,$A$2,"."&amp;L$2&amp;L$1&amp;"C"&amp;$A7)="N/A",0,RTD("tos.rtd",,$A$2,"."&amp;L$2&amp;L$1&amp;"C"&amp;$A7))+IF(RTD("tos.rtd",,$A$2,"."&amp;L$2&amp;L$1&amp;"P"&amp;$A7)="N/A",0,RTD("tos.rtd",,$A$2,"."&amp;L$2&amp;L$1&amp;"P"&amp;$A7)),IF(RTD("tos.rtd",,$A$2,"."&amp;L$2&amp;L$1&amp;"C"&amp;$A7)="N/A",0,RTD("tos.rtd",,$A$2,"."&amp;L$2&amp;L$1&amp;"C"&amp;$A7))-IF(RTD("tos.rtd",,$A$2,"."&amp;L$2&amp;L$1&amp;"P"&amp;$A7)="N/A",0,RTD("tos.rtd",,$A$2,"."&amp;L$2&amp;L$1&amp;"P"&amp;$A7))))))))))</f>
        <v>0</v>
      </c>
      <c r="M7" s="12">
        <f ca="1">IF($A$2="PREMIUM_OI",IFERROR(IF($X$1="ABS",(100*RTD("tos.rtd",,"OPEN_INT","."&amp;M$2&amp;M$1&amp;"C"&amp;$A7)*RTD("tos.rtd",,"LAST","."&amp;M$2&amp;M$1&amp;"C"&amp;$A7)+100*RTD("tos.rtd",,"OPEN_INT","."&amp;M$2&amp;M$1&amp;"P"&amp;$A7)*RTD("tos.rtd",,"LAST","."&amp;M$2&amp;M$1&amp;"P"&amp;$A7))/1000000,(100*RTD("tos.rtd",,"OPEN_INT","."&amp;M$2&amp;M$1&amp;"C"&amp;$A7)*RTD("tos.rtd",,"LAST","."&amp;M$2&amp;M$1&amp;"C"&amp;$A7)-100*RTD("tos.rtd",,"OPEN_INT","."&amp;M$2&amp;M$1&amp;"P"&amp;$A7)*RTD("tos.rtd",,"LAST","."&amp;M$2&amp;M$1&amp;"P"&amp;$A7))/1000000),0),IF($A$2="PREMIUM",IFERROR(IF($X$1="ABS",(100*RTD("tos.rtd",,"VOLUME","."&amp;M$2&amp;M$1&amp;"C"&amp;$A7)*RTD("tos.rtd",,"LAST","."&amp;M$2&amp;M$1&amp;"C"&amp;$A7)+100*RTD("tos.rtd",,"VOLUME","."&amp;M$2&amp;M$1&amp;"P"&amp;$A7)*RTD("tos.rtd",,"LAST","."&amp;M$2&amp;M$1&amp;"P"&amp;$A7))/1000000,(100*RTD("tos.rtd",,"VOLUME","."&amp;M$2&amp;M$1&amp;"C"&amp;$A7)*RTD("tos.rtd",,"LAST","."&amp;M$2&amp;M$1&amp;"C"&amp;$A7)-100*RTD("tos.rtd",,"VOLUME","."&amp;M$2&amp;M$1&amp;"P"&amp;$A7)*RTD("tos.rtd",,"LAST","."&amp;M$2&amp;M$1&amp;"P"&amp;$A7))/1000000),0),IF($A$2="DEX",IFERROR(IF($X$1="ABS",(100*RTD("tos.rtd",,"OPEN_INT","."&amp;M$2&amp;M$1&amp;"C"&amp;$A7)*RTD("tos.rtd",,"DELTA","."&amp;M$2&amp;M$1&amp;"C"&amp;$A7)+100*RTD("tos.rtd",,"OPEN_INT","."&amp;M$2&amp;M$1&amp;"P"&amp;$A7)*RTD("tos.rtd",,"DELTA","."&amp;M$2&amp;M$1&amp;"P"&amp;$A7))/1000,(100*RTD("tos.rtd",,"OPEN_INT","."&amp;M$2&amp;M$1&amp;"C"&amp;$A7)*RTD("tos.rtd",,"DELTA","."&amp;M$2&amp;M$1&amp;"C"&amp;$A7)-100*RTD("tos.rtd",,"OPEN_INT","."&amp;M$2&amp;M$1&amp;"P"&amp;$A7)*RTD("tos.rtd",,"DELTA","."&amp;M$2&amp;M$1&amp;"P"&amp;$A7))/1000),0),IF($A$2="VEX",IFERROR(IF($X$1="ABS",($A$4*$A$4*RTD("tos.rtd",,"VOLUME","."&amp;M$2&amp;M$1&amp;"C"&amp;$A7)*RTD("tos.rtd",,"GAMMA","."&amp;M$2&amp;M$1&amp;"C"&amp;$A7)+$A$4*$A$4*RTD("tos.rtd",,"VOLUME","."&amp;M$2&amp;M$1&amp;"P"&amp;$A7)*RTD("tos.rtd",,"GAMMA","."&amp;M$2&amp;M$1&amp;"P"&amp;$A7))/1000000,($A$4*$A$4*RTD("tos.rtd",,"VOLUME","."&amp;M$2&amp;M$1&amp;"C"&amp;$A7)*RTD("tos.rtd",,"GAMMA","."&amp;M$2&amp;M$1&amp;"C"&amp;$A7)-$A$4*$A$4*RTD("tos.rtd",,"VOLUME","."&amp;M$2&amp;M$1&amp;"P"&amp;$A7)*RTD("tos.rtd",,"GAMMA","."&amp;M$2&amp;M$1&amp;"P"&amp;$A7))/1000000),0),IF($A$2="GEX",IFERROR(IF($X$1="ABS",($A$4*$A$4*RTD("tos.rtd",,"OPEN_INT","."&amp;M$2&amp;M$1&amp;"C"&amp;$A7)*RTD("tos.rtd",,"GAMMA","."&amp;M$2&amp;M$1&amp;"C"&amp;$A7)+$A$4*$A$4*RTD("tos.rtd",,"OPEN_INT","."&amp;M$2&amp;M$1&amp;"P"&amp;$A7)*RTD("tos.rtd",,"GAMMA","."&amp;M$2&amp;M$1&amp;"P"&amp;$A7))/1000000,($A$4*$A$4*RTD("tos.rtd",,"OPEN_INT","."&amp;M$2&amp;M$1&amp;"C"&amp;$A7)*RTD("tos.rtd",,"GAMMA","."&amp;M$2&amp;M$1&amp;"C"&amp;$A7)-$A$4*$A$4*RTD("tos.rtd",,"OPEN_INT","."&amp;M$2&amp;M$1&amp;"P"&amp;$A7)*RTD("tos.rtd",,"GAMMA","."&amp;M$2&amp;M$1&amp;"P"&amp;$A7))/1000000),0),IF($A$2="SKEW",IFERROR(VALUE(IF(RTD("tos.rtd",,"IMPL_VOL","."&amp;M$2&amp;M$1&amp;"P"&amp;$A7)="N/A",0,RTD("tos.rtd",,"IMPL_VOL","."&amp;M$2&amp;M$1&amp;"P"&amp;$A7))),0)-IFERROR(VALUE(IF(RTD("tos.rtd",,"IMPL_VOL","."&amp;M$2&amp;M$1&amp;"C"&amp;$A7)="N/A",0,RTD("tos.rtd",,"IMPL_VOL","."&amp;M$2&amp;M$1&amp;"C"&amp;$A7))),0),IF($A$2="MAXPAIN",IF($A$4&gt;$A7,($A$4-$A7)*IF(RTD("tos.rtd",,"OPEN_INT","."&amp;M$2&amp;M$1&amp;"C"&amp;$A7)="N/A",0,RTD("tos.rtd",,"OPEN_INT","."&amp;M$2&amp;M$1&amp;"C"&amp;$A7)),0)+IF($A$4&lt;$A7,($A$5-$A$4)*IF(RTD("tos.rtd",,"OPEN_INT","."&amp;M$2&amp;M$1&amp;"P"&amp;$A7)="N/A",0,RTD("tos.rtd",,"OPEN_INT","."&amp;M$2&amp;M$1&amp;"P"&amp;$A7)),0),IF($X$1="ABS",IF(RTD("tos.rtd",,$A$2,"."&amp;M$2&amp;M$1&amp;"C"&amp;$A7)="N/A",0,RTD("tos.rtd",,$A$2,"."&amp;M$2&amp;M$1&amp;"C"&amp;$A7))+IF(RTD("tos.rtd",,$A$2,"."&amp;M$2&amp;M$1&amp;"P"&amp;$A7)="N/A",0,RTD("tos.rtd",,$A$2,"."&amp;M$2&amp;M$1&amp;"P"&amp;$A7)),IF(RTD("tos.rtd",,$A$2,"."&amp;M$2&amp;M$1&amp;"C"&amp;$A7)="N/A",0,RTD("tos.rtd",,$A$2,"."&amp;M$2&amp;M$1&amp;"C"&amp;$A7))-IF(RTD("tos.rtd",,$A$2,"."&amp;M$2&amp;M$1&amp;"P"&amp;$A7)="N/A",0,RTD("tos.rtd",,$A$2,"."&amp;M$2&amp;M$1&amp;"P"&amp;$A7))))))))))</f>
        <v>0</v>
      </c>
      <c r="N7" s="12">
        <f ca="1">IF($A$2="PREMIUM_OI",IFERROR(IF($X$1="ABS",(100*RTD("tos.rtd",,"OPEN_INT","."&amp;N$2&amp;N$1&amp;"C"&amp;$A7)*RTD("tos.rtd",,"LAST","."&amp;N$2&amp;N$1&amp;"C"&amp;$A7)+100*RTD("tos.rtd",,"OPEN_INT","."&amp;N$2&amp;N$1&amp;"P"&amp;$A7)*RTD("tos.rtd",,"LAST","."&amp;N$2&amp;N$1&amp;"P"&amp;$A7))/1000000,(100*RTD("tos.rtd",,"OPEN_INT","."&amp;N$2&amp;N$1&amp;"C"&amp;$A7)*RTD("tos.rtd",,"LAST","."&amp;N$2&amp;N$1&amp;"C"&amp;$A7)-100*RTD("tos.rtd",,"OPEN_INT","."&amp;N$2&amp;N$1&amp;"P"&amp;$A7)*RTD("tos.rtd",,"LAST","."&amp;N$2&amp;N$1&amp;"P"&amp;$A7))/1000000),0),IF($A$2="PREMIUM",IFERROR(IF($X$1="ABS",(100*RTD("tos.rtd",,"VOLUME","."&amp;N$2&amp;N$1&amp;"C"&amp;$A7)*RTD("tos.rtd",,"LAST","."&amp;N$2&amp;N$1&amp;"C"&amp;$A7)+100*RTD("tos.rtd",,"VOLUME","."&amp;N$2&amp;N$1&amp;"P"&amp;$A7)*RTD("tos.rtd",,"LAST","."&amp;N$2&amp;N$1&amp;"P"&amp;$A7))/1000000,(100*RTD("tos.rtd",,"VOLUME","."&amp;N$2&amp;N$1&amp;"C"&amp;$A7)*RTD("tos.rtd",,"LAST","."&amp;N$2&amp;N$1&amp;"C"&amp;$A7)-100*RTD("tos.rtd",,"VOLUME","."&amp;N$2&amp;N$1&amp;"P"&amp;$A7)*RTD("tos.rtd",,"LAST","."&amp;N$2&amp;N$1&amp;"P"&amp;$A7))/1000000),0),IF($A$2="DEX",IFERROR(IF($X$1="ABS",(100*RTD("tos.rtd",,"OPEN_INT","."&amp;N$2&amp;N$1&amp;"C"&amp;$A7)*RTD("tos.rtd",,"DELTA","."&amp;N$2&amp;N$1&amp;"C"&amp;$A7)+100*RTD("tos.rtd",,"OPEN_INT","."&amp;N$2&amp;N$1&amp;"P"&amp;$A7)*RTD("tos.rtd",,"DELTA","."&amp;N$2&amp;N$1&amp;"P"&amp;$A7))/1000,(100*RTD("tos.rtd",,"OPEN_INT","."&amp;N$2&amp;N$1&amp;"C"&amp;$A7)*RTD("tos.rtd",,"DELTA","."&amp;N$2&amp;N$1&amp;"C"&amp;$A7)-100*RTD("tos.rtd",,"OPEN_INT","."&amp;N$2&amp;N$1&amp;"P"&amp;$A7)*RTD("tos.rtd",,"DELTA","."&amp;N$2&amp;N$1&amp;"P"&amp;$A7))/1000),0),IF($A$2="VEX",IFERROR(IF($X$1="ABS",($A$4*$A$4*RTD("tos.rtd",,"VOLUME","."&amp;N$2&amp;N$1&amp;"C"&amp;$A7)*RTD("tos.rtd",,"GAMMA","."&amp;N$2&amp;N$1&amp;"C"&amp;$A7)+$A$4*$A$4*RTD("tos.rtd",,"VOLUME","."&amp;N$2&amp;N$1&amp;"P"&amp;$A7)*RTD("tos.rtd",,"GAMMA","."&amp;N$2&amp;N$1&amp;"P"&amp;$A7))/1000000,($A$4*$A$4*RTD("tos.rtd",,"VOLUME","."&amp;N$2&amp;N$1&amp;"C"&amp;$A7)*RTD("tos.rtd",,"GAMMA","."&amp;N$2&amp;N$1&amp;"C"&amp;$A7)-$A$4*$A$4*RTD("tos.rtd",,"VOLUME","."&amp;N$2&amp;N$1&amp;"P"&amp;$A7)*RTD("tos.rtd",,"GAMMA","."&amp;N$2&amp;N$1&amp;"P"&amp;$A7))/1000000),0),IF($A$2="GEX",IFERROR(IF($X$1="ABS",($A$4*$A$4*RTD("tos.rtd",,"OPEN_INT","."&amp;N$2&amp;N$1&amp;"C"&amp;$A7)*RTD("tos.rtd",,"GAMMA","."&amp;N$2&amp;N$1&amp;"C"&amp;$A7)+$A$4*$A$4*RTD("tos.rtd",,"OPEN_INT","."&amp;N$2&amp;N$1&amp;"P"&amp;$A7)*RTD("tos.rtd",,"GAMMA","."&amp;N$2&amp;N$1&amp;"P"&amp;$A7))/1000000,($A$4*$A$4*RTD("tos.rtd",,"OPEN_INT","."&amp;N$2&amp;N$1&amp;"C"&amp;$A7)*RTD("tos.rtd",,"GAMMA","."&amp;N$2&amp;N$1&amp;"C"&amp;$A7)-$A$4*$A$4*RTD("tos.rtd",,"OPEN_INT","."&amp;N$2&amp;N$1&amp;"P"&amp;$A7)*RTD("tos.rtd",,"GAMMA","."&amp;N$2&amp;N$1&amp;"P"&amp;$A7))/1000000),0),IF($A$2="SKEW",IFERROR(VALUE(IF(RTD("tos.rtd",,"IMPL_VOL","."&amp;N$2&amp;N$1&amp;"P"&amp;$A7)="N/A",0,RTD("tos.rtd",,"IMPL_VOL","."&amp;N$2&amp;N$1&amp;"P"&amp;$A7))),0)-IFERROR(VALUE(IF(RTD("tos.rtd",,"IMPL_VOL","."&amp;N$2&amp;N$1&amp;"C"&amp;$A7)="N/A",0,RTD("tos.rtd",,"IMPL_VOL","."&amp;N$2&amp;N$1&amp;"C"&amp;$A7))),0),IF($A$2="MAXPAIN",IF($A$4&gt;$A7,($A$4-$A7)*IF(RTD("tos.rtd",,"OPEN_INT","."&amp;N$2&amp;N$1&amp;"C"&amp;$A7)="N/A",0,RTD("tos.rtd",,"OPEN_INT","."&amp;N$2&amp;N$1&amp;"C"&amp;$A7)),0)+IF($A$4&lt;$A7,($A$5-$A$4)*IF(RTD("tos.rtd",,"OPEN_INT","."&amp;N$2&amp;N$1&amp;"P"&amp;$A7)="N/A",0,RTD("tos.rtd",,"OPEN_INT","."&amp;N$2&amp;N$1&amp;"P"&amp;$A7)),0),IF($X$1="ABS",IF(RTD("tos.rtd",,$A$2,"."&amp;N$2&amp;N$1&amp;"C"&amp;$A7)="N/A",0,RTD("tos.rtd",,$A$2,"."&amp;N$2&amp;N$1&amp;"C"&amp;$A7))+IF(RTD("tos.rtd",,$A$2,"."&amp;N$2&amp;N$1&amp;"P"&amp;$A7)="N/A",0,RTD("tos.rtd",,$A$2,"."&amp;N$2&amp;N$1&amp;"P"&amp;$A7)),IF(RTD("tos.rtd",,$A$2,"."&amp;N$2&amp;N$1&amp;"C"&amp;$A7)="N/A",0,RTD("tos.rtd",,$A$2,"."&amp;N$2&amp;N$1&amp;"C"&amp;$A7))-IF(RTD("tos.rtd",,$A$2,"."&amp;N$2&amp;N$1&amp;"P"&amp;$A7)="N/A",0,RTD("tos.rtd",,$A$2,"."&amp;N$2&amp;N$1&amp;"P"&amp;$A7))))))))))</f>
        <v>0</v>
      </c>
      <c r="O7" s="12">
        <f ca="1">IF($A$2="PREMIUM_OI",IFERROR(IF($X$1="ABS",(100*RTD("tos.rtd",,"OPEN_INT","."&amp;O$2&amp;O$1&amp;"C"&amp;$A7)*RTD("tos.rtd",,"LAST","."&amp;O$2&amp;O$1&amp;"C"&amp;$A7)+100*RTD("tos.rtd",,"OPEN_INT","."&amp;O$2&amp;O$1&amp;"P"&amp;$A7)*RTD("tos.rtd",,"LAST","."&amp;O$2&amp;O$1&amp;"P"&amp;$A7))/1000000,(100*RTD("tos.rtd",,"OPEN_INT","."&amp;O$2&amp;O$1&amp;"C"&amp;$A7)*RTD("tos.rtd",,"LAST","."&amp;O$2&amp;O$1&amp;"C"&amp;$A7)-100*RTD("tos.rtd",,"OPEN_INT","."&amp;O$2&amp;O$1&amp;"P"&amp;$A7)*RTD("tos.rtd",,"LAST","."&amp;O$2&amp;O$1&amp;"P"&amp;$A7))/1000000),0),IF($A$2="PREMIUM",IFERROR(IF($X$1="ABS",(100*RTD("tos.rtd",,"VOLUME","."&amp;O$2&amp;O$1&amp;"C"&amp;$A7)*RTD("tos.rtd",,"LAST","."&amp;O$2&amp;O$1&amp;"C"&amp;$A7)+100*RTD("tos.rtd",,"VOLUME","."&amp;O$2&amp;O$1&amp;"P"&amp;$A7)*RTD("tos.rtd",,"LAST","."&amp;O$2&amp;O$1&amp;"P"&amp;$A7))/1000000,(100*RTD("tos.rtd",,"VOLUME","."&amp;O$2&amp;O$1&amp;"C"&amp;$A7)*RTD("tos.rtd",,"LAST","."&amp;O$2&amp;O$1&amp;"C"&amp;$A7)-100*RTD("tos.rtd",,"VOLUME","."&amp;O$2&amp;O$1&amp;"P"&amp;$A7)*RTD("tos.rtd",,"LAST","."&amp;O$2&amp;O$1&amp;"P"&amp;$A7))/1000000),0),IF($A$2="DEX",IFERROR(IF($X$1="ABS",(100*RTD("tos.rtd",,"OPEN_INT","."&amp;O$2&amp;O$1&amp;"C"&amp;$A7)*RTD("tos.rtd",,"DELTA","."&amp;O$2&amp;O$1&amp;"C"&amp;$A7)+100*RTD("tos.rtd",,"OPEN_INT","."&amp;O$2&amp;O$1&amp;"P"&amp;$A7)*RTD("tos.rtd",,"DELTA","."&amp;O$2&amp;O$1&amp;"P"&amp;$A7))/1000,(100*RTD("tos.rtd",,"OPEN_INT","."&amp;O$2&amp;O$1&amp;"C"&amp;$A7)*RTD("tos.rtd",,"DELTA","."&amp;O$2&amp;O$1&amp;"C"&amp;$A7)-100*RTD("tos.rtd",,"OPEN_INT","."&amp;O$2&amp;O$1&amp;"P"&amp;$A7)*RTD("tos.rtd",,"DELTA","."&amp;O$2&amp;O$1&amp;"P"&amp;$A7))/1000),0),IF($A$2="VEX",IFERROR(IF($X$1="ABS",($A$4*$A$4*RTD("tos.rtd",,"VOLUME","."&amp;O$2&amp;O$1&amp;"C"&amp;$A7)*RTD("tos.rtd",,"GAMMA","."&amp;O$2&amp;O$1&amp;"C"&amp;$A7)+$A$4*$A$4*RTD("tos.rtd",,"VOLUME","."&amp;O$2&amp;O$1&amp;"P"&amp;$A7)*RTD("tos.rtd",,"GAMMA","."&amp;O$2&amp;O$1&amp;"P"&amp;$A7))/1000000,($A$4*$A$4*RTD("tos.rtd",,"VOLUME","."&amp;O$2&amp;O$1&amp;"C"&amp;$A7)*RTD("tos.rtd",,"GAMMA","."&amp;O$2&amp;O$1&amp;"C"&amp;$A7)-$A$4*$A$4*RTD("tos.rtd",,"VOLUME","."&amp;O$2&amp;O$1&amp;"P"&amp;$A7)*RTD("tos.rtd",,"GAMMA","."&amp;O$2&amp;O$1&amp;"P"&amp;$A7))/1000000),0),IF($A$2="GEX",IFERROR(IF($X$1="ABS",($A$4*$A$4*RTD("tos.rtd",,"OPEN_INT","."&amp;O$2&amp;O$1&amp;"C"&amp;$A7)*RTD("tos.rtd",,"GAMMA","."&amp;O$2&amp;O$1&amp;"C"&amp;$A7)+$A$4*$A$4*RTD("tos.rtd",,"OPEN_INT","."&amp;O$2&amp;O$1&amp;"P"&amp;$A7)*RTD("tos.rtd",,"GAMMA","."&amp;O$2&amp;O$1&amp;"P"&amp;$A7))/1000000,($A$4*$A$4*RTD("tos.rtd",,"OPEN_INT","."&amp;O$2&amp;O$1&amp;"C"&amp;$A7)*RTD("tos.rtd",,"GAMMA","."&amp;O$2&amp;O$1&amp;"C"&amp;$A7)-$A$4*$A$4*RTD("tos.rtd",,"OPEN_INT","."&amp;O$2&amp;O$1&amp;"P"&amp;$A7)*RTD("tos.rtd",,"GAMMA","."&amp;O$2&amp;O$1&amp;"P"&amp;$A7))/1000000),0),IF($A$2="SKEW",IFERROR(VALUE(IF(RTD("tos.rtd",,"IMPL_VOL","."&amp;O$2&amp;O$1&amp;"P"&amp;$A7)="N/A",0,RTD("tos.rtd",,"IMPL_VOL","."&amp;O$2&amp;O$1&amp;"P"&amp;$A7))),0)-IFERROR(VALUE(IF(RTD("tos.rtd",,"IMPL_VOL","."&amp;O$2&amp;O$1&amp;"C"&amp;$A7)="N/A",0,RTD("tos.rtd",,"IMPL_VOL","."&amp;O$2&amp;O$1&amp;"C"&amp;$A7))),0),IF($A$2="MAXPAIN",IF($A$4&gt;$A7,($A$4-$A7)*IF(RTD("tos.rtd",,"OPEN_INT","."&amp;O$2&amp;O$1&amp;"C"&amp;$A7)="N/A",0,RTD("tos.rtd",,"OPEN_INT","."&amp;O$2&amp;O$1&amp;"C"&amp;$A7)),0)+IF($A$4&lt;$A7,($A$5-$A$4)*IF(RTD("tos.rtd",,"OPEN_INT","."&amp;O$2&amp;O$1&amp;"P"&amp;$A7)="N/A",0,RTD("tos.rtd",,"OPEN_INT","."&amp;O$2&amp;O$1&amp;"P"&amp;$A7)),0),IF($X$1="ABS",IF(RTD("tos.rtd",,$A$2,"."&amp;O$2&amp;O$1&amp;"C"&amp;$A7)="N/A",0,RTD("tos.rtd",,$A$2,"."&amp;O$2&amp;O$1&amp;"C"&amp;$A7))+IF(RTD("tos.rtd",,$A$2,"."&amp;O$2&amp;O$1&amp;"P"&amp;$A7)="N/A",0,RTD("tos.rtd",,$A$2,"."&amp;O$2&amp;O$1&amp;"P"&amp;$A7)),IF(RTD("tos.rtd",,$A$2,"."&amp;O$2&amp;O$1&amp;"C"&amp;$A7)="N/A",0,RTD("tos.rtd",,$A$2,"."&amp;O$2&amp;O$1&amp;"C"&amp;$A7))-IF(RTD("tos.rtd",,$A$2,"."&amp;O$2&amp;O$1&amp;"P"&amp;$A7)="N/A",0,RTD("tos.rtd",,$A$2,"."&amp;O$2&amp;O$1&amp;"P"&amp;$A7))))))))))</f>
        <v>0</v>
      </c>
      <c r="P7" s="12">
        <f ca="1">IF($A$2="PREMIUM_OI",IFERROR(IF($X$1="ABS",(100*RTD("tos.rtd",,"OPEN_INT","."&amp;P$2&amp;P$1&amp;"C"&amp;$A7)*RTD("tos.rtd",,"LAST","."&amp;P$2&amp;P$1&amp;"C"&amp;$A7)+100*RTD("tos.rtd",,"OPEN_INT","."&amp;P$2&amp;P$1&amp;"P"&amp;$A7)*RTD("tos.rtd",,"LAST","."&amp;P$2&amp;P$1&amp;"P"&amp;$A7))/1000000,(100*RTD("tos.rtd",,"OPEN_INT","."&amp;P$2&amp;P$1&amp;"C"&amp;$A7)*RTD("tos.rtd",,"LAST","."&amp;P$2&amp;P$1&amp;"C"&amp;$A7)-100*RTD("tos.rtd",,"OPEN_INT","."&amp;P$2&amp;P$1&amp;"P"&amp;$A7)*RTD("tos.rtd",,"LAST","."&amp;P$2&amp;P$1&amp;"P"&amp;$A7))/1000000),0),IF($A$2="PREMIUM",IFERROR(IF($X$1="ABS",(100*RTD("tos.rtd",,"VOLUME","."&amp;P$2&amp;P$1&amp;"C"&amp;$A7)*RTD("tos.rtd",,"LAST","."&amp;P$2&amp;P$1&amp;"C"&amp;$A7)+100*RTD("tos.rtd",,"VOLUME","."&amp;P$2&amp;P$1&amp;"P"&amp;$A7)*RTD("tos.rtd",,"LAST","."&amp;P$2&amp;P$1&amp;"P"&amp;$A7))/1000000,(100*RTD("tos.rtd",,"VOLUME","."&amp;P$2&amp;P$1&amp;"C"&amp;$A7)*RTD("tos.rtd",,"LAST","."&amp;P$2&amp;P$1&amp;"C"&amp;$A7)-100*RTD("tos.rtd",,"VOLUME","."&amp;P$2&amp;P$1&amp;"P"&amp;$A7)*RTD("tos.rtd",,"LAST","."&amp;P$2&amp;P$1&amp;"P"&amp;$A7))/1000000),0),IF($A$2="DEX",IFERROR(IF($X$1="ABS",(100*RTD("tos.rtd",,"OPEN_INT","."&amp;P$2&amp;P$1&amp;"C"&amp;$A7)*RTD("tos.rtd",,"DELTA","."&amp;P$2&amp;P$1&amp;"C"&amp;$A7)+100*RTD("tos.rtd",,"OPEN_INT","."&amp;P$2&amp;P$1&amp;"P"&amp;$A7)*RTD("tos.rtd",,"DELTA","."&amp;P$2&amp;P$1&amp;"P"&amp;$A7))/1000,(100*RTD("tos.rtd",,"OPEN_INT","."&amp;P$2&amp;P$1&amp;"C"&amp;$A7)*RTD("tos.rtd",,"DELTA","."&amp;P$2&amp;P$1&amp;"C"&amp;$A7)-100*RTD("tos.rtd",,"OPEN_INT","."&amp;P$2&amp;P$1&amp;"P"&amp;$A7)*RTD("tos.rtd",,"DELTA","."&amp;P$2&amp;P$1&amp;"P"&amp;$A7))/1000),0),IF($A$2="VEX",IFERROR(IF($X$1="ABS",($A$4*$A$4*RTD("tos.rtd",,"VOLUME","."&amp;P$2&amp;P$1&amp;"C"&amp;$A7)*RTD("tos.rtd",,"GAMMA","."&amp;P$2&amp;P$1&amp;"C"&amp;$A7)+$A$4*$A$4*RTD("tos.rtd",,"VOLUME","."&amp;P$2&amp;P$1&amp;"P"&amp;$A7)*RTD("tos.rtd",,"GAMMA","."&amp;P$2&amp;P$1&amp;"P"&amp;$A7))/1000000,($A$4*$A$4*RTD("tos.rtd",,"VOLUME","."&amp;P$2&amp;P$1&amp;"C"&amp;$A7)*RTD("tos.rtd",,"GAMMA","."&amp;P$2&amp;P$1&amp;"C"&amp;$A7)-$A$4*$A$4*RTD("tos.rtd",,"VOLUME","."&amp;P$2&amp;P$1&amp;"P"&amp;$A7)*RTD("tos.rtd",,"GAMMA","."&amp;P$2&amp;P$1&amp;"P"&amp;$A7))/1000000),0),IF($A$2="GEX",IFERROR(IF($X$1="ABS",($A$4*$A$4*RTD("tos.rtd",,"OPEN_INT","."&amp;P$2&amp;P$1&amp;"C"&amp;$A7)*RTD("tos.rtd",,"GAMMA","."&amp;P$2&amp;P$1&amp;"C"&amp;$A7)+$A$4*$A$4*RTD("tos.rtd",,"OPEN_INT","."&amp;P$2&amp;P$1&amp;"P"&amp;$A7)*RTD("tos.rtd",,"GAMMA","."&amp;P$2&amp;P$1&amp;"P"&amp;$A7))/1000000,($A$4*$A$4*RTD("tos.rtd",,"OPEN_INT","."&amp;P$2&amp;P$1&amp;"C"&amp;$A7)*RTD("tos.rtd",,"GAMMA","."&amp;P$2&amp;P$1&amp;"C"&amp;$A7)-$A$4*$A$4*RTD("tos.rtd",,"OPEN_INT","."&amp;P$2&amp;P$1&amp;"P"&amp;$A7)*RTD("tos.rtd",,"GAMMA","."&amp;P$2&amp;P$1&amp;"P"&amp;$A7))/1000000),0),IF($A$2="SKEW",IFERROR(VALUE(IF(RTD("tos.rtd",,"IMPL_VOL","."&amp;P$2&amp;P$1&amp;"P"&amp;$A7)="N/A",0,RTD("tos.rtd",,"IMPL_VOL","."&amp;P$2&amp;P$1&amp;"P"&amp;$A7))),0)-IFERROR(VALUE(IF(RTD("tos.rtd",,"IMPL_VOL","."&amp;P$2&amp;P$1&amp;"C"&amp;$A7)="N/A",0,RTD("tos.rtd",,"IMPL_VOL","."&amp;P$2&amp;P$1&amp;"C"&amp;$A7))),0),IF($A$2="MAXPAIN",IF($A$4&gt;$A7,($A$4-$A7)*IF(RTD("tos.rtd",,"OPEN_INT","."&amp;P$2&amp;P$1&amp;"C"&amp;$A7)="N/A",0,RTD("tos.rtd",,"OPEN_INT","."&amp;P$2&amp;P$1&amp;"C"&amp;$A7)),0)+IF($A$4&lt;$A7,($A$5-$A$4)*IF(RTD("tos.rtd",,"OPEN_INT","."&amp;P$2&amp;P$1&amp;"P"&amp;$A7)="N/A",0,RTD("tos.rtd",,"OPEN_INT","."&amp;P$2&amp;P$1&amp;"P"&amp;$A7)),0),IF($X$1="ABS",IF(RTD("tos.rtd",,$A$2,"."&amp;P$2&amp;P$1&amp;"C"&amp;$A7)="N/A",0,RTD("tos.rtd",,$A$2,"."&amp;P$2&amp;P$1&amp;"C"&amp;$A7))+IF(RTD("tos.rtd",,$A$2,"."&amp;P$2&amp;P$1&amp;"P"&amp;$A7)="N/A",0,RTD("tos.rtd",,$A$2,"."&amp;P$2&amp;P$1&amp;"P"&amp;$A7)),IF(RTD("tos.rtd",,$A$2,"."&amp;P$2&amp;P$1&amp;"C"&amp;$A7)="N/A",0,RTD("tos.rtd",,$A$2,"."&amp;P$2&amp;P$1&amp;"C"&amp;$A7))-IF(RTD("tos.rtd",,$A$2,"."&amp;P$2&amp;P$1&amp;"P"&amp;$A7)="N/A",0,RTD("tos.rtd",,$A$2,"."&amp;P$2&amp;P$1&amp;"P"&amp;$A7))))))))))</f>
        <v>0</v>
      </c>
      <c r="Q7" s="12">
        <f ca="1">IF($A$2="PREMIUM_OI",IFERROR(IF($X$1="ABS",(100*RTD("tos.rtd",,"OPEN_INT","."&amp;Q$2&amp;Q$1&amp;"C"&amp;$A7)*RTD("tos.rtd",,"LAST","."&amp;Q$2&amp;Q$1&amp;"C"&amp;$A7)+100*RTD("tos.rtd",,"OPEN_INT","."&amp;Q$2&amp;Q$1&amp;"P"&amp;$A7)*RTD("tos.rtd",,"LAST","."&amp;Q$2&amp;Q$1&amp;"P"&amp;$A7))/1000000,(100*RTD("tos.rtd",,"OPEN_INT","."&amp;Q$2&amp;Q$1&amp;"C"&amp;$A7)*RTD("tos.rtd",,"LAST","."&amp;Q$2&amp;Q$1&amp;"C"&amp;$A7)-100*RTD("tos.rtd",,"OPEN_INT","."&amp;Q$2&amp;Q$1&amp;"P"&amp;$A7)*RTD("tos.rtd",,"LAST","."&amp;Q$2&amp;Q$1&amp;"P"&amp;$A7))/1000000),0),IF($A$2="PREMIUM",IFERROR(IF($X$1="ABS",(100*RTD("tos.rtd",,"VOLUME","."&amp;Q$2&amp;Q$1&amp;"C"&amp;$A7)*RTD("tos.rtd",,"LAST","."&amp;Q$2&amp;Q$1&amp;"C"&amp;$A7)+100*RTD("tos.rtd",,"VOLUME","."&amp;Q$2&amp;Q$1&amp;"P"&amp;$A7)*RTD("tos.rtd",,"LAST","."&amp;Q$2&amp;Q$1&amp;"P"&amp;$A7))/1000000,(100*RTD("tos.rtd",,"VOLUME","."&amp;Q$2&amp;Q$1&amp;"C"&amp;$A7)*RTD("tos.rtd",,"LAST","."&amp;Q$2&amp;Q$1&amp;"C"&amp;$A7)-100*RTD("tos.rtd",,"VOLUME","."&amp;Q$2&amp;Q$1&amp;"P"&amp;$A7)*RTD("tos.rtd",,"LAST","."&amp;Q$2&amp;Q$1&amp;"P"&amp;$A7))/1000000),0),IF($A$2="DEX",IFERROR(IF($X$1="ABS",(100*RTD("tos.rtd",,"OPEN_INT","."&amp;Q$2&amp;Q$1&amp;"C"&amp;$A7)*RTD("tos.rtd",,"DELTA","."&amp;Q$2&amp;Q$1&amp;"C"&amp;$A7)+100*RTD("tos.rtd",,"OPEN_INT","."&amp;Q$2&amp;Q$1&amp;"P"&amp;$A7)*RTD("tos.rtd",,"DELTA","."&amp;Q$2&amp;Q$1&amp;"P"&amp;$A7))/1000,(100*RTD("tos.rtd",,"OPEN_INT","."&amp;Q$2&amp;Q$1&amp;"C"&amp;$A7)*RTD("tos.rtd",,"DELTA","."&amp;Q$2&amp;Q$1&amp;"C"&amp;$A7)-100*RTD("tos.rtd",,"OPEN_INT","."&amp;Q$2&amp;Q$1&amp;"P"&amp;$A7)*RTD("tos.rtd",,"DELTA","."&amp;Q$2&amp;Q$1&amp;"P"&amp;$A7))/1000),0),IF($A$2="VEX",IFERROR(IF($X$1="ABS",($A$4*$A$4*RTD("tos.rtd",,"VOLUME","."&amp;Q$2&amp;Q$1&amp;"C"&amp;$A7)*RTD("tos.rtd",,"GAMMA","."&amp;Q$2&amp;Q$1&amp;"C"&amp;$A7)+$A$4*$A$4*RTD("tos.rtd",,"VOLUME","."&amp;Q$2&amp;Q$1&amp;"P"&amp;$A7)*RTD("tos.rtd",,"GAMMA","."&amp;Q$2&amp;Q$1&amp;"P"&amp;$A7))/1000000,($A$4*$A$4*RTD("tos.rtd",,"VOLUME","."&amp;Q$2&amp;Q$1&amp;"C"&amp;$A7)*RTD("tos.rtd",,"GAMMA","."&amp;Q$2&amp;Q$1&amp;"C"&amp;$A7)-$A$4*$A$4*RTD("tos.rtd",,"VOLUME","."&amp;Q$2&amp;Q$1&amp;"P"&amp;$A7)*RTD("tos.rtd",,"GAMMA","."&amp;Q$2&amp;Q$1&amp;"P"&amp;$A7))/1000000),0),IF($A$2="GEX",IFERROR(IF($X$1="ABS",($A$4*$A$4*RTD("tos.rtd",,"OPEN_INT","."&amp;Q$2&amp;Q$1&amp;"C"&amp;$A7)*RTD("tos.rtd",,"GAMMA","."&amp;Q$2&amp;Q$1&amp;"C"&amp;$A7)+$A$4*$A$4*RTD("tos.rtd",,"OPEN_INT","."&amp;Q$2&amp;Q$1&amp;"P"&amp;$A7)*RTD("tos.rtd",,"GAMMA","."&amp;Q$2&amp;Q$1&amp;"P"&amp;$A7))/1000000,($A$4*$A$4*RTD("tos.rtd",,"OPEN_INT","."&amp;Q$2&amp;Q$1&amp;"C"&amp;$A7)*RTD("tos.rtd",,"GAMMA","."&amp;Q$2&amp;Q$1&amp;"C"&amp;$A7)-$A$4*$A$4*RTD("tos.rtd",,"OPEN_INT","."&amp;Q$2&amp;Q$1&amp;"P"&amp;$A7)*RTD("tos.rtd",,"GAMMA","."&amp;Q$2&amp;Q$1&amp;"P"&amp;$A7))/1000000),0),IF($A$2="SKEW",IFERROR(VALUE(IF(RTD("tos.rtd",,"IMPL_VOL","."&amp;Q$2&amp;Q$1&amp;"P"&amp;$A7)="N/A",0,RTD("tos.rtd",,"IMPL_VOL","."&amp;Q$2&amp;Q$1&amp;"P"&amp;$A7))),0)-IFERROR(VALUE(IF(RTD("tos.rtd",,"IMPL_VOL","."&amp;Q$2&amp;Q$1&amp;"C"&amp;$A7)="N/A",0,RTD("tos.rtd",,"IMPL_VOL","."&amp;Q$2&amp;Q$1&amp;"C"&amp;$A7))),0),IF($A$2="MAXPAIN",IF($A$4&gt;$A7,($A$4-$A7)*IF(RTD("tos.rtd",,"OPEN_INT","."&amp;Q$2&amp;Q$1&amp;"C"&amp;$A7)="N/A",0,RTD("tos.rtd",,"OPEN_INT","."&amp;Q$2&amp;Q$1&amp;"C"&amp;$A7)),0)+IF($A$4&lt;$A7,($A$5-$A$4)*IF(RTD("tos.rtd",,"OPEN_INT","."&amp;Q$2&amp;Q$1&amp;"P"&amp;$A7)="N/A",0,RTD("tos.rtd",,"OPEN_INT","."&amp;Q$2&amp;Q$1&amp;"P"&amp;$A7)),0),IF($X$1="ABS",IF(RTD("tos.rtd",,$A$2,"."&amp;Q$2&amp;Q$1&amp;"C"&amp;$A7)="N/A",0,RTD("tos.rtd",,$A$2,"."&amp;Q$2&amp;Q$1&amp;"C"&amp;$A7))+IF(RTD("tos.rtd",,$A$2,"."&amp;Q$2&amp;Q$1&amp;"P"&amp;$A7)="N/A",0,RTD("tos.rtd",,$A$2,"."&amp;Q$2&amp;Q$1&amp;"P"&amp;$A7)),IF(RTD("tos.rtd",,$A$2,"."&amp;Q$2&amp;Q$1&amp;"C"&amp;$A7)="N/A",0,RTD("tos.rtd",,$A$2,"."&amp;Q$2&amp;Q$1&amp;"C"&amp;$A7))-IF(RTD("tos.rtd",,$A$2,"."&amp;Q$2&amp;Q$1&amp;"P"&amp;$A7)="N/A",0,RTD("tos.rtd",,$A$2,"."&amp;Q$2&amp;Q$1&amp;"P"&amp;$A7))))))))))</f>
        <v>0</v>
      </c>
      <c r="R7" s="12">
        <f ca="1">IF($A$2="PREMIUM_OI",IFERROR(IF($X$1="ABS",(100*RTD("tos.rtd",,"OPEN_INT","."&amp;R$2&amp;R$1&amp;"C"&amp;$A7)*RTD("tos.rtd",,"LAST","."&amp;R$2&amp;R$1&amp;"C"&amp;$A7)+100*RTD("tos.rtd",,"OPEN_INT","."&amp;R$2&amp;R$1&amp;"P"&amp;$A7)*RTD("tos.rtd",,"LAST","."&amp;R$2&amp;R$1&amp;"P"&amp;$A7))/1000000,(100*RTD("tos.rtd",,"OPEN_INT","."&amp;R$2&amp;R$1&amp;"C"&amp;$A7)*RTD("tos.rtd",,"LAST","."&amp;R$2&amp;R$1&amp;"C"&amp;$A7)-100*RTD("tos.rtd",,"OPEN_INT","."&amp;R$2&amp;R$1&amp;"P"&amp;$A7)*RTD("tos.rtd",,"LAST","."&amp;R$2&amp;R$1&amp;"P"&amp;$A7))/1000000),0),IF($A$2="PREMIUM",IFERROR(IF($X$1="ABS",(100*RTD("tos.rtd",,"VOLUME","."&amp;R$2&amp;R$1&amp;"C"&amp;$A7)*RTD("tos.rtd",,"LAST","."&amp;R$2&amp;R$1&amp;"C"&amp;$A7)+100*RTD("tos.rtd",,"VOLUME","."&amp;R$2&amp;R$1&amp;"P"&amp;$A7)*RTD("tos.rtd",,"LAST","."&amp;R$2&amp;R$1&amp;"P"&amp;$A7))/1000000,(100*RTD("tos.rtd",,"VOLUME","."&amp;R$2&amp;R$1&amp;"C"&amp;$A7)*RTD("tos.rtd",,"LAST","."&amp;R$2&amp;R$1&amp;"C"&amp;$A7)-100*RTD("tos.rtd",,"VOLUME","."&amp;R$2&amp;R$1&amp;"P"&amp;$A7)*RTD("tos.rtd",,"LAST","."&amp;R$2&amp;R$1&amp;"P"&amp;$A7))/1000000),0),IF($A$2="DEX",IFERROR(IF($X$1="ABS",(100*RTD("tos.rtd",,"OPEN_INT","."&amp;R$2&amp;R$1&amp;"C"&amp;$A7)*RTD("tos.rtd",,"DELTA","."&amp;R$2&amp;R$1&amp;"C"&amp;$A7)+100*RTD("tos.rtd",,"OPEN_INT","."&amp;R$2&amp;R$1&amp;"P"&amp;$A7)*RTD("tos.rtd",,"DELTA","."&amp;R$2&amp;R$1&amp;"P"&amp;$A7))/1000,(100*RTD("tos.rtd",,"OPEN_INT","."&amp;R$2&amp;R$1&amp;"C"&amp;$A7)*RTD("tos.rtd",,"DELTA","."&amp;R$2&amp;R$1&amp;"C"&amp;$A7)-100*RTD("tos.rtd",,"OPEN_INT","."&amp;R$2&amp;R$1&amp;"P"&amp;$A7)*RTD("tos.rtd",,"DELTA","."&amp;R$2&amp;R$1&amp;"P"&amp;$A7))/1000),0),IF($A$2="VEX",IFERROR(IF($X$1="ABS",($A$4*$A$4*RTD("tos.rtd",,"VOLUME","."&amp;R$2&amp;R$1&amp;"C"&amp;$A7)*RTD("tos.rtd",,"GAMMA","."&amp;R$2&amp;R$1&amp;"C"&amp;$A7)+$A$4*$A$4*RTD("tos.rtd",,"VOLUME","."&amp;R$2&amp;R$1&amp;"P"&amp;$A7)*RTD("tos.rtd",,"GAMMA","."&amp;R$2&amp;R$1&amp;"P"&amp;$A7))/1000000,($A$4*$A$4*RTD("tos.rtd",,"VOLUME","."&amp;R$2&amp;R$1&amp;"C"&amp;$A7)*RTD("tos.rtd",,"GAMMA","."&amp;R$2&amp;R$1&amp;"C"&amp;$A7)-$A$4*$A$4*RTD("tos.rtd",,"VOLUME","."&amp;R$2&amp;R$1&amp;"P"&amp;$A7)*RTD("tos.rtd",,"GAMMA","."&amp;R$2&amp;R$1&amp;"P"&amp;$A7))/1000000),0),IF($A$2="GEX",IFERROR(IF($X$1="ABS",($A$4*$A$4*RTD("tos.rtd",,"OPEN_INT","."&amp;R$2&amp;R$1&amp;"C"&amp;$A7)*RTD("tos.rtd",,"GAMMA","."&amp;R$2&amp;R$1&amp;"C"&amp;$A7)+$A$4*$A$4*RTD("tos.rtd",,"OPEN_INT","."&amp;R$2&amp;R$1&amp;"P"&amp;$A7)*RTD("tos.rtd",,"GAMMA","."&amp;R$2&amp;R$1&amp;"P"&amp;$A7))/1000000,($A$4*$A$4*RTD("tos.rtd",,"OPEN_INT","."&amp;R$2&amp;R$1&amp;"C"&amp;$A7)*RTD("tos.rtd",,"GAMMA","."&amp;R$2&amp;R$1&amp;"C"&amp;$A7)-$A$4*$A$4*RTD("tos.rtd",,"OPEN_INT","."&amp;R$2&amp;R$1&amp;"P"&amp;$A7)*RTD("tos.rtd",,"GAMMA","."&amp;R$2&amp;R$1&amp;"P"&amp;$A7))/1000000),0),IF($A$2="SKEW",IFERROR(VALUE(IF(RTD("tos.rtd",,"IMPL_VOL","."&amp;R$2&amp;R$1&amp;"P"&amp;$A7)="N/A",0,RTD("tos.rtd",,"IMPL_VOL","."&amp;R$2&amp;R$1&amp;"P"&amp;$A7))),0)-IFERROR(VALUE(IF(RTD("tos.rtd",,"IMPL_VOL","."&amp;R$2&amp;R$1&amp;"C"&amp;$A7)="N/A",0,RTD("tos.rtd",,"IMPL_VOL","."&amp;R$2&amp;R$1&amp;"C"&amp;$A7))),0),IF($A$2="MAXPAIN",IF($A$4&gt;$A7,($A$4-$A7)*IF(RTD("tos.rtd",,"OPEN_INT","."&amp;R$2&amp;R$1&amp;"C"&amp;$A7)="N/A",0,RTD("tos.rtd",,"OPEN_INT","."&amp;R$2&amp;R$1&amp;"C"&amp;$A7)),0)+IF($A$4&lt;$A7,($A$5-$A$4)*IF(RTD("tos.rtd",,"OPEN_INT","."&amp;R$2&amp;R$1&amp;"P"&amp;$A7)="N/A",0,RTD("tos.rtd",,"OPEN_INT","."&amp;R$2&amp;R$1&amp;"P"&amp;$A7)),0),IF($X$1="ABS",IF(RTD("tos.rtd",,$A$2,"."&amp;R$2&amp;R$1&amp;"C"&amp;$A7)="N/A",0,RTD("tos.rtd",,$A$2,"."&amp;R$2&amp;R$1&amp;"C"&amp;$A7))+IF(RTD("tos.rtd",,$A$2,"."&amp;R$2&amp;R$1&amp;"P"&amp;$A7)="N/A",0,RTD("tos.rtd",,$A$2,"."&amp;R$2&amp;R$1&amp;"P"&amp;$A7)),IF(RTD("tos.rtd",,$A$2,"."&amp;R$2&amp;R$1&amp;"C"&amp;$A7)="N/A",0,RTD("tos.rtd",,$A$2,"."&amp;R$2&amp;R$1&amp;"C"&amp;$A7))-IF(RTD("tos.rtd",,$A$2,"."&amp;R$2&amp;R$1&amp;"P"&amp;$A7)="N/A",0,RTD("tos.rtd",,$A$2,"."&amp;R$2&amp;R$1&amp;"P"&amp;$A7))))))))))</f>
        <v>0</v>
      </c>
      <c r="S7" s="12">
        <f ca="1">IF($A$2="PREMIUM_OI",IFERROR(IF($X$1="ABS",(100*RTD("tos.rtd",,"OPEN_INT","."&amp;S$2&amp;S$1&amp;"C"&amp;$A7)*RTD("tos.rtd",,"LAST","."&amp;S$2&amp;S$1&amp;"C"&amp;$A7)+100*RTD("tos.rtd",,"OPEN_INT","."&amp;S$2&amp;S$1&amp;"P"&amp;$A7)*RTD("tos.rtd",,"LAST","."&amp;S$2&amp;S$1&amp;"P"&amp;$A7))/1000000,(100*RTD("tos.rtd",,"OPEN_INT","."&amp;S$2&amp;S$1&amp;"C"&amp;$A7)*RTD("tos.rtd",,"LAST","."&amp;S$2&amp;S$1&amp;"C"&amp;$A7)-100*RTD("tos.rtd",,"OPEN_INT","."&amp;S$2&amp;S$1&amp;"P"&amp;$A7)*RTD("tos.rtd",,"LAST","."&amp;S$2&amp;S$1&amp;"P"&amp;$A7))/1000000),0),IF($A$2="PREMIUM",IFERROR(IF($X$1="ABS",(100*RTD("tos.rtd",,"VOLUME","."&amp;S$2&amp;S$1&amp;"C"&amp;$A7)*RTD("tos.rtd",,"LAST","."&amp;S$2&amp;S$1&amp;"C"&amp;$A7)+100*RTD("tos.rtd",,"VOLUME","."&amp;S$2&amp;S$1&amp;"P"&amp;$A7)*RTD("tos.rtd",,"LAST","."&amp;S$2&amp;S$1&amp;"P"&amp;$A7))/1000000,(100*RTD("tos.rtd",,"VOLUME","."&amp;S$2&amp;S$1&amp;"C"&amp;$A7)*RTD("tos.rtd",,"LAST","."&amp;S$2&amp;S$1&amp;"C"&amp;$A7)-100*RTD("tos.rtd",,"VOLUME","."&amp;S$2&amp;S$1&amp;"P"&amp;$A7)*RTD("tos.rtd",,"LAST","."&amp;S$2&amp;S$1&amp;"P"&amp;$A7))/1000000),0),IF($A$2="DEX",IFERROR(IF($X$1="ABS",(100*RTD("tos.rtd",,"OPEN_INT","."&amp;S$2&amp;S$1&amp;"C"&amp;$A7)*RTD("tos.rtd",,"DELTA","."&amp;S$2&amp;S$1&amp;"C"&amp;$A7)+100*RTD("tos.rtd",,"OPEN_INT","."&amp;S$2&amp;S$1&amp;"P"&amp;$A7)*RTD("tos.rtd",,"DELTA","."&amp;S$2&amp;S$1&amp;"P"&amp;$A7))/1000,(100*RTD("tos.rtd",,"OPEN_INT","."&amp;S$2&amp;S$1&amp;"C"&amp;$A7)*RTD("tos.rtd",,"DELTA","."&amp;S$2&amp;S$1&amp;"C"&amp;$A7)-100*RTD("tos.rtd",,"OPEN_INT","."&amp;S$2&amp;S$1&amp;"P"&amp;$A7)*RTD("tos.rtd",,"DELTA","."&amp;S$2&amp;S$1&amp;"P"&amp;$A7))/1000),0),IF($A$2="VEX",IFERROR(IF($X$1="ABS",($A$4*$A$4*RTD("tos.rtd",,"VOLUME","."&amp;S$2&amp;S$1&amp;"C"&amp;$A7)*RTD("tos.rtd",,"GAMMA","."&amp;S$2&amp;S$1&amp;"C"&amp;$A7)+$A$4*$A$4*RTD("tos.rtd",,"VOLUME","."&amp;S$2&amp;S$1&amp;"P"&amp;$A7)*RTD("tos.rtd",,"GAMMA","."&amp;S$2&amp;S$1&amp;"P"&amp;$A7))/1000000,($A$4*$A$4*RTD("tos.rtd",,"VOLUME","."&amp;S$2&amp;S$1&amp;"C"&amp;$A7)*RTD("tos.rtd",,"GAMMA","."&amp;S$2&amp;S$1&amp;"C"&amp;$A7)-$A$4*$A$4*RTD("tos.rtd",,"VOLUME","."&amp;S$2&amp;S$1&amp;"P"&amp;$A7)*RTD("tos.rtd",,"GAMMA","."&amp;S$2&amp;S$1&amp;"P"&amp;$A7))/1000000),0),IF($A$2="GEX",IFERROR(IF($X$1="ABS",($A$4*$A$4*RTD("tos.rtd",,"OPEN_INT","."&amp;S$2&amp;S$1&amp;"C"&amp;$A7)*RTD("tos.rtd",,"GAMMA","."&amp;S$2&amp;S$1&amp;"C"&amp;$A7)+$A$4*$A$4*RTD("tos.rtd",,"OPEN_INT","."&amp;S$2&amp;S$1&amp;"P"&amp;$A7)*RTD("tos.rtd",,"GAMMA","."&amp;S$2&amp;S$1&amp;"P"&amp;$A7))/1000000,($A$4*$A$4*RTD("tos.rtd",,"OPEN_INT","."&amp;S$2&amp;S$1&amp;"C"&amp;$A7)*RTD("tos.rtd",,"GAMMA","."&amp;S$2&amp;S$1&amp;"C"&amp;$A7)-$A$4*$A$4*RTD("tos.rtd",,"OPEN_INT","."&amp;S$2&amp;S$1&amp;"P"&amp;$A7)*RTD("tos.rtd",,"GAMMA","."&amp;S$2&amp;S$1&amp;"P"&amp;$A7))/1000000),0),IF($A$2="SKEW",IFERROR(VALUE(IF(RTD("tos.rtd",,"IMPL_VOL","."&amp;S$2&amp;S$1&amp;"P"&amp;$A7)="N/A",0,RTD("tos.rtd",,"IMPL_VOL","."&amp;S$2&amp;S$1&amp;"P"&amp;$A7))),0)-IFERROR(VALUE(IF(RTD("tos.rtd",,"IMPL_VOL","."&amp;S$2&amp;S$1&amp;"C"&amp;$A7)="N/A",0,RTD("tos.rtd",,"IMPL_VOL","."&amp;S$2&amp;S$1&amp;"C"&amp;$A7))),0),IF($A$2="MAXPAIN",IF($A$4&gt;$A7,($A$4-$A7)*IF(RTD("tos.rtd",,"OPEN_INT","."&amp;S$2&amp;S$1&amp;"C"&amp;$A7)="N/A",0,RTD("tos.rtd",,"OPEN_INT","."&amp;S$2&amp;S$1&amp;"C"&amp;$A7)),0)+IF($A$4&lt;$A7,($A$5-$A$4)*IF(RTD("tos.rtd",,"OPEN_INT","."&amp;S$2&amp;S$1&amp;"P"&amp;$A7)="N/A",0,RTD("tos.rtd",,"OPEN_INT","."&amp;S$2&amp;S$1&amp;"P"&amp;$A7)),0),IF($X$1="ABS",IF(RTD("tos.rtd",,$A$2,"."&amp;S$2&amp;S$1&amp;"C"&amp;$A7)="N/A",0,RTD("tos.rtd",,$A$2,"."&amp;S$2&amp;S$1&amp;"C"&amp;$A7))+IF(RTD("tos.rtd",,$A$2,"."&amp;S$2&amp;S$1&amp;"P"&amp;$A7)="N/A",0,RTD("tos.rtd",,$A$2,"."&amp;S$2&amp;S$1&amp;"P"&amp;$A7)),IF(RTD("tos.rtd",,$A$2,"."&amp;S$2&amp;S$1&amp;"C"&amp;$A7)="N/A",0,RTD("tos.rtd",,$A$2,"."&amp;S$2&amp;S$1&amp;"C"&amp;$A7))-IF(RTD("tos.rtd",,$A$2,"."&amp;S$2&amp;S$1&amp;"P"&amp;$A7)="N/A",0,RTD("tos.rtd",,$A$2,"."&amp;S$2&amp;S$1&amp;"P"&amp;$A7))))))))))</f>
        <v>0</v>
      </c>
      <c r="T7" s="12">
        <f ca="1">IF($A$2="PREMIUM_OI",IFERROR(IF($X$1="ABS",(100*RTD("tos.rtd",,"OPEN_INT","."&amp;T$2&amp;T$1&amp;"C"&amp;$A7)*RTD("tos.rtd",,"LAST","."&amp;T$2&amp;T$1&amp;"C"&amp;$A7)+100*RTD("tos.rtd",,"OPEN_INT","."&amp;T$2&amp;T$1&amp;"P"&amp;$A7)*RTD("tos.rtd",,"LAST","."&amp;T$2&amp;T$1&amp;"P"&amp;$A7))/1000000,(100*RTD("tos.rtd",,"OPEN_INT","."&amp;T$2&amp;T$1&amp;"C"&amp;$A7)*RTD("tos.rtd",,"LAST","."&amp;T$2&amp;T$1&amp;"C"&amp;$A7)-100*RTD("tos.rtd",,"OPEN_INT","."&amp;T$2&amp;T$1&amp;"P"&amp;$A7)*RTD("tos.rtd",,"LAST","."&amp;T$2&amp;T$1&amp;"P"&amp;$A7))/1000000),0),IF($A$2="PREMIUM",IFERROR(IF($X$1="ABS",(100*RTD("tos.rtd",,"VOLUME","."&amp;T$2&amp;T$1&amp;"C"&amp;$A7)*RTD("tos.rtd",,"LAST","."&amp;T$2&amp;T$1&amp;"C"&amp;$A7)+100*RTD("tos.rtd",,"VOLUME","."&amp;T$2&amp;T$1&amp;"P"&amp;$A7)*RTD("tos.rtd",,"LAST","."&amp;T$2&amp;T$1&amp;"P"&amp;$A7))/1000000,(100*RTD("tos.rtd",,"VOLUME","."&amp;T$2&amp;T$1&amp;"C"&amp;$A7)*RTD("tos.rtd",,"LAST","."&amp;T$2&amp;T$1&amp;"C"&amp;$A7)-100*RTD("tos.rtd",,"VOLUME","."&amp;T$2&amp;T$1&amp;"P"&amp;$A7)*RTD("tos.rtd",,"LAST","."&amp;T$2&amp;T$1&amp;"P"&amp;$A7))/1000000),0),IF($A$2="DEX",IFERROR(IF($X$1="ABS",(100*RTD("tos.rtd",,"OPEN_INT","."&amp;T$2&amp;T$1&amp;"C"&amp;$A7)*RTD("tos.rtd",,"DELTA","."&amp;T$2&amp;T$1&amp;"C"&amp;$A7)+100*RTD("tos.rtd",,"OPEN_INT","."&amp;T$2&amp;T$1&amp;"P"&amp;$A7)*RTD("tos.rtd",,"DELTA","."&amp;T$2&amp;T$1&amp;"P"&amp;$A7))/1000,(100*RTD("tos.rtd",,"OPEN_INT","."&amp;T$2&amp;T$1&amp;"C"&amp;$A7)*RTD("tos.rtd",,"DELTA","."&amp;T$2&amp;T$1&amp;"C"&amp;$A7)-100*RTD("tos.rtd",,"OPEN_INT","."&amp;T$2&amp;T$1&amp;"P"&amp;$A7)*RTD("tos.rtd",,"DELTA","."&amp;T$2&amp;T$1&amp;"P"&amp;$A7))/1000),0),IF($A$2="VEX",IFERROR(IF($X$1="ABS",($A$4*$A$4*RTD("tos.rtd",,"VOLUME","."&amp;T$2&amp;T$1&amp;"C"&amp;$A7)*RTD("tos.rtd",,"GAMMA","."&amp;T$2&amp;T$1&amp;"C"&amp;$A7)+$A$4*$A$4*RTD("tos.rtd",,"VOLUME","."&amp;T$2&amp;T$1&amp;"P"&amp;$A7)*RTD("tos.rtd",,"GAMMA","."&amp;T$2&amp;T$1&amp;"P"&amp;$A7))/1000000,($A$4*$A$4*RTD("tos.rtd",,"VOLUME","."&amp;T$2&amp;T$1&amp;"C"&amp;$A7)*RTD("tos.rtd",,"GAMMA","."&amp;T$2&amp;T$1&amp;"C"&amp;$A7)-$A$4*$A$4*RTD("tos.rtd",,"VOLUME","."&amp;T$2&amp;T$1&amp;"P"&amp;$A7)*RTD("tos.rtd",,"GAMMA","."&amp;T$2&amp;T$1&amp;"P"&amp;$A7))/1000000),0),IF($A$2="GEX",IFERROR(IF($X$1="ABS",($A$4*$A$4*RTD("tos.rtd",,"OPEN_INT","."&amp;T$2&amp;T$1&amp;"C"&amp;$A7)*RTD("tos.rtd",,"GAMMA","."&amp;T$2&amp;T$1&amp;"C"&amp;$A7)+$A$4*$A$4*RTD("tos.rtd",,"OPEN_INT","."&amp;T$2&amp;T$1&amp;"P"&amp;$A7)*RTD("tos.rtd",,"GAMMA","."&amp;T$2&amp;T$1&amp;"P"&amp;$A7))/1000000,($A$4*$A$4*RTD("tos.rtd",,"OPEN_INT","."&amp;T$2&amp;T$1&amp;"C"&amp;$A7)*RTD("tos.rtd",,"GAMMA","."&amp;T$2&amp;T$1&amp;"C"&amp;$A7)-$A$4*$A$4*RTD("tos.rtd",,"OPEN_INT","."&amp;T$2&amp;T$1&amp;"P"&amp;$A7)*RTD("tos.rtd",,"GAMMA","."&amp;T$2&amp;T$1&amp;"P"&amp;$A7))/1000000),0),IF($A$2="SKEW",IFERROR(VALUE(IF(RTD("tos.rtd",,"IMPL_VOL","."&amp;T$2&amp;T$1&amp;"P"&amp;$A7)="N/A",0,RTD("tos.rtd",,"IMPL_VOL","."&amp;T$2&amp;T$1&amp;"P"&amp;$A7))),0)-IFERROR(VALUE(IF(RTD("tos.rtd",,"IMPL_VOL","."&amp;T$2&amp;T$1&amp;"C"&amp;$A7)="N/A",0,RTD("tos.rtd",,"IMPL_VOL","."&amp;T$2&amp;T$1&amp;"C"&amp;$A7))),0),IF($A$2="MAXPAIN",IF($A$4&gt;$A7,($A$4-$A7)*IF(RTD("tos.rtd",,"OPEN_INT","."&amp;T$2&amp;T$1&amp;"C"&amp;$A7)="N/A",0,RTD("tos.rtd",,"OPEN_INT","."&amp;T$2&amp;T$1&amp;"C"&amp;$A7)),0)+IF($A$4&lt;$A7,($A$5-$A$4)*IF(RTD("tos.rtd",,"OPEN_INT","."&amp;T$2&amp;T$1&amp;"P"&amp;$A7)="N/A",0,RTD("tos.rtd",,"OPEN_INT","."&amp;T$2&amp;T$1&amp;"P"&amp;$A7)),0),IF($X$1="ABS",IF(RTD("tos.rtd",,$A$2,"."&amp;T$2&amp;T$1&amp;"C"&amp;$A7)="N/A",0,RTD("tos.rtd",,$A$2,"."&amp;T$2&amp;T$1&amp;"C"&amp;$A7))+IF(RTD("tos.rtd",,$A$2,"."&amp;T$2&amp;T$1&amp;"P"&amp;$A7)="N/A",0,RTD("tos.rtd",,$A$2,"."&amp;T$2&amp;T$1&amp;"P"&amp;$A7)),IF(RTD("tos.rtd",,$A$2,"."&amp;T$2&amp;T$1&amp;"C"&amp;$A7)="N/A",0,RTD("tos.rtd",,$A$2,"."&amp;T$2&amp;T$1&amp;"C"&amp;$A7))-IF(RTD("tos.rtd",,$A$2,"."&amp;T$2&amp;T$1&amp;"P"&amp;$A7)="N/A",0,RTD("tos.rtd",,$A$2,"."&amp;T$2&amp;T$1&amp;"P"&amp;$A7))))))))))</f>
        <v>0</v>
      </c>
      <c r="U7" s="12">
        <f ca="1">IF($A$2="PREMIUM_OI",IFERROR(IF($X$1="ABS",(100*RTD("tos.rtd",,"OPEN_INT","."&amp;U$2&amp;U$1&amp;"C"&amp;$A7)*RTD("tos.rtd",,"LAST","."&amp;U$2&amp;U$1&amp;"C"&amp;$A7)+100*RTD("tos.rtd",,"OPEN_INT","."&amp;U$2&amp;U$1&amp;"P"&amp;$A7)*RTD("tos.rtd",,"LAST","."&amp;U$2&amp;U$1&amp;"P"&amp;$A7))/1000000,(100*RTD("tos.rtd",,"OPEN_INT","."&amp;U$2&amp;U$1&amp;"C"&amp;$A7)*RTD("tos.rtd",,"LAST","."&amp;U$2&amp;U$1&amp;"C"&amp;$A7)-100*RTD("tos.rtd",,"OPEN_INT","."&amp;U$2&amp;U$1&amp;"P"&amp;$A7)*RTD("tos.rtd",,"LAST","."&amp;U$2&amp;U$1&amp;"P"&amp;$A7))/1000000),0),IF($A$2="PREMIUM",IFERROR(IF($X$1="ABS",(100*RTD("tos.rtd",,"VOLUME","."&amp;U$2&amp;U$1&amp;"C"&amp;$A7)*RTD("tos.rtd",,"LAST","."&amp;U$2&amp;U$1&amp;"C"&amp;$A7)+100*RTD("tos.rtd",,"VOLUME","."&amp;U$2&amp;U$1&amp;"P"&amp;$A7)*RTD("tos.rtd",,"LAST","."&amp;U$2&amp;U$1&amp;"P"&amp;$A7))/1000000,(100*RTD("tos.rtd",,"VOLUME","."&amp;U$2&amp;U$1&amp;"C"&amp;$A7)*RTD("tos.rtd",,"LAST","."&amp;U$2&amp;U$1&amp;"C"&amp;$A7)-100*RTD("tos.rtd",,"VOLUME","."&amp;U$2&amp;U$1&amp;"P"&amp;$A7)*RTD("tos.rtd",,"LAST","."&amp;U$2&amp;U$1&amp;"P"&amp;$A7))/1000000),0),IF($A$2="DEX",IFERROR(IF($X$1="ABS",(100*RTD("tos.rtd",,"OPEN_INT","."&amp;U$2&amp;U$1&amp;"C"&amp;$A7)*RTD("tos.rtd",,"DELTA","."&amp;U$2&amp;U$1&amp;"C"&amp;$A7)+100*RTD("tos.rtd",,"OPEN_INT","."&amp;U$2&amp;U$1&amp;"P"&amp;$A7)*RTD("tos.rtd",,"DELTA","."&amp;U$2&amp;U$1&amp;"P"&amp;$A7))/1000,(100*RTD("tos.rtd",,"OPEN_INT","."&amp;U$2&amp;U$1&amp;"C"&amp;$A7)*RTD("tos.rtd",,"DELTA","."&amp;U$2&amp;U$1&amp;"C"&amp;$A7)-100*RTD("tos.rtd",,"OPEN_INT","."&amp;U$2&amp;U$1&amp;"P"&amp;$A7)*RTD("tos.rtd",,"DELTA","."&amp;U$2&amp;U$1&amp;"P"&amp;$A7))/1000),0),IF($A$2="VEX",IFERROR(IF($X$1="ABS",($A$4*$A$4*RTD("tos.rtd",,"VOLUME","."&amp;U$2&amp;U$1&amp;"C"&amp;$A7)*RTD("tos.rtd",,"GAMMA","."&amp;U$2&amp;U$1&amp;"C"&amp;$A7)+$A$4*$A$4*RTD("tos.rtd",,"VOLUME","."&amp;U$2&amp;U$1&amp;"P"&amp;$A7)*RTD("tos.rtd",,"GAMMA","."&amp;U$2&amp;U$1&amp;"P"&amp;$A7))/1000000,($A$4*$A$4*RTD("tos.rtd",,"VOLUME","."&amp;U$2&amp;U$1&amp;"C"&amp;$A7)*RTD("tos.rtd",,"GAMMA","."&amp;U$2&amp;U$1&amp;"C"&amp;$A7)-$A$4*$A$4*RTD("tos.rtd",,"VOLUME","."&amp;U$2&amp;U$1&amp;"P"&amp;$A7)*RTD("tos.rtd",,"GAMMA","."&amp;U$2&amp;U$1&amp;"P"&amp;$A7))/1000000),0),IF($A$2="GEX",IFERROR(IF($X$1="ABS",($A$4*$A$4*RTD("tos.rtd",,"OPEN_INT","."&amp;U$2&amp;U$1&amp;"C"&amp;$A7)*RTD("tos.rtd",,"GAMMA","."&amp;U$2&amp;U$1&amp;"C"&amp;$A7)+$A$4*$A$4*RTD("tos.rtd",,"OPEN_INT","."&amp;U$2&amp;U$1&amp;"P"&amp;$A7)*RTD("tos.rtd",,"GAMMA","."&amp;U$2&amp;U$1&amp;"P"&amp;$A7))/1000000,($A$4*$A$4*RTD("tos.rtd",,"OPEN_INT","."&amp;U$2&amp;U$1&amp;"C"&amp;$A7)*RTD("tos.rtd",,"GAMMA","."&amp;U$2&amp;U$1&amp;"C"&amp;$A7)-$A$4*$A$4*RTD("tos.rtd",,"OPEN_INT","."&amp;U$2&amp;U$1&amp;"P"&amp;$A7)*RTD("tos.rtd",,"GAMMA","."&amp;U$2&amp;U$1&amp;"P"&amp;$A7))/1000000),0),IF($A$2="SKEW",IFERROR(VALUE(IF(RTD("tos.rtd",,"IMPL_VOL","."&amp;U$2&amp;U$1&amp;"P"&amp;$A7)="N/A",0,RTD("tos.rtd",,"IMPL_VOL","."&amp;U$2&amp;U$1&amp;"P"&amp;$A7))),0)-IFERROR(VALUE(IF(RTD("tos.rtd",,"IMPL_VOL","."&amp;U$2&amp;U$1&amp;"C"&amp;$A7)="N/A",0,RTD("tos.rtd",,"IMPL_VOL","."&amp;U$2&amp;U$1&amp;"C"&amp;$A7))),0),IF($A$2="MAXPAIN",IF($A$4&gt;$A7,($A$4-$A7)*IF(RTD("tos.rtd",,"OPEN_INT","."&amp;U$2&amp;U$1&amp;"C"&amp;$A7)="N/A",0,RTD("tos.rtd",,"OPEN_INT","."&amp;U$2&amp;U$1&amp;"C"&amp;$A7)),0)+IF($A$4&lt;$A7,($A$5-$A$4)*IF(RTD("tos.rtd",,"OPEN_INT","."&amp;U$2&amp;U$1&amp;"P"&amp;$A7)="N/A",0,RTD("tos.rtd",,"OPEN_INT","."&amp;U$2&amp;U$1&amp;"P"&amp;$A7)),0),IF($X$1="ABS",IF(RTD("tos.rtd",,$A$2,"."&amp;U$2&amp;U$1&amp;"C"&amp;$A7)="N/A",0,RTD("tos.rtd",,$A$2,"."&amp;U$2&amp;U$1&amp;"C"&amp;$A7))+IF(RTD("tos.rtd",,$A$2,"."&amp;U$2&amp;U$1&amp;"P"&amp;$A7)="N/A",0,RTD("tos.rtd",,$A$2,"."&amp;U$2&amp;U$1&amp;"P"&amp;$A7)),IF(RTD("tos.rtd",,$A$2,"."&amp;U$2&amp;U$1&amp;"C"&amp;$A7)="N/A",0,RTD("tos.rtd",,$A$2,"."&amp;U$2&amp;U$1&amp;"C"&amp;$A7))-IF(RTD("tos.rtd",,$A$2,"."&amp;U$2&amp;U$1&amp;"P"&amp;$A7)="N/A",0,RTD("tos.rtd",,$A$2,"."&amp;U$2&amp;U$1&amp;"P"&amp;$A7))))))))))</f>
        <v>0</v>
      </c>
      <c r="V7" s="12">
        <f ca="1">IF($A$2="PREMIUM_OI",IFERROR(IF($X$1="ABS",(100*RTD("tos.rtd",,"OPEN_INT","."&amp;V$2&amp;V$1&amp;"C"&amp;$A7)*RTD("tos.rtd",,"LAST","."&amp;V$2&amp;V$1&amp;"C"&amp;$A7)+100*RTD("tos.rtd",,"OPEN_INT","."&amp;V$2&amp;V$1&amp;"P"&amp;$A7)*RTD("tos.rtd",,"LAST","."&amp;V$2&amp;V$1&amp;"P"&amp;$A7))/1000000,(100*RTD("tos.rtd",,"OPEN_INT","."&amp;V$2&amp;V$1&amp;"C"&amp;$A7)*RTD("tos.rtd",,"LAST","."&amp;V$2&amp;V$1&amp;"C"&amp;$A7)-100*RTD("tos.rtd",,"OPEN_INT","."&amp;V$2&amp;V$1&amp;"P"&amp;$A7)*RTD("tos.rtd",,"LAST","."&amp;V$2&amp;V$1&amp;"P"&amp;$A7))/1000000),0),IF($A$2="PREMIUM",IFERROR(IF($X$1="ABS",(100*RTD("tos.rtd",,"VOLUME","."&amp;V$2&amp;V$1&amp;"C"&amp;$A7)*RTD("tos.rtd",,"LAST","."&amp;V$2&amp;V$1&amp;"C"&amp;$A7)+100*RTD("tos.rtd",,"VOLUME","."&amp;V$2&amp;V$1&amp;"P"&amp;$A7)*RTD("tos.rtd",,"LAST","."&amp;V$2&amp;V$1&amp;"P"&amp;$A7))/1000000,(100*RTD("tos.rtd",,"VOLUME","."&amp;V$2&amp;V$1&amp;"C"&amp;$A7)*RTD("tos.rtd",,"LAST","."&amp;V$2&amp;V$1&amp;"C"&amp;$A7)-100*RTD("tos.rtd",,"VOLUME","."&amp;V$2&amp;V$1&amp;"P"&amp;$A7)*RTD("tos.rtd",,"LAST","."&amp;V$2&amp;V$1&amp;"P"&amp;$A7))/1000000),0),IF($A$2="DEX",IFERROR(IF($X$1="ABS",(100*RTD("tos.rtd",,"OPEN_INT","."&amp;V$2&amp;V$1&amp;"C"&amp;$A7)*RTD("tos.rtd",,"DELTA","."&amp;V$2&amp;V$1&amp;"C"&amp;$A7)+100*RTD("tos.rtd",,"OPEN_INT","."&amp;V$2&amp;V$1&amp;"P"&amp;$A7)*RTD("tos.rtd",,"DELTA","."&amp;V$2&amp;V$1&amp;"P"&amp;$A7))/1000,(100*RTD("tos.rtd",,"OPEN_INT","."&amp;V$2&amp;V$1&amp;"C"&amp;$A7)*RTD("tos.rtd",,"DELTA","."&amp;V$2&amp;V$1&amp;"C"&amp;$A7)-100*RTD("tos.rtd",,"OPEN_INT","."&amp;V$2&amp;V$1&amp;"P"&amp;$A7)*RTD("tos.rtd",,"DELTA","."&amp;V$2&amp;V$1&amp;"P"&amp;$A7))/1000),0),IF($A$2="VEX",IFERROR(IF($X$1="ABS",($A$4*$A$4*RTD("tos.rtd",,"VOLUME","."&amp;V$2&amp;V$1&amp;"C"&amp;$A7)*RTD("tos.rtd",,"GAMMA","."&amp;V$2&amp;V$1&amp;"C"&amp;$A7)+$A$4*$A$4*RTD("tos.rtd",,"VOLUME","."&amp;V$2&amp;V$1&amp;"P"&amp;$A7)*RTD("tos.rtd",,"GAMMA","."&amp;V$2&amp;V$1&amp;"P"&amp;$A7))/1000000,($A$4*$A$4*RTD("tos.rtd",,"VOLUME","."&amp;V$2&amp;V$1&amp;"C"&amp;$A7)*RTD("tos.rtd",,"GAMMA","."&amp;V$2&amp;V$1&amp;"C"&amp;$A7)-$A$4*$A$4*RTD("tos.rtd",,"VOLUME","."&amp;V$2&amp;V$1&amp;"P"&amp;$A7)*RTD("tos.rtd",,"GAMMA","."&amp;V$2&amp;V$1&amp;"P"&amp;$A7))/1000000),0),IF($A$2="GEX",IFERROR(IF($X$1="ABS",($A$4*$A$4*RTD("tos.rtd",,"OPEN_INT","."&amp;V$2&amp;V$1&amp;"C"&amp;$A7)*RTD("tos.rtd",,"GAMMA","."&amp;V$2&amp;V$1&amp;"C"&amp;$A7)+$A$4*$A$4*RTD("tos.rtd",,"OPEN_INT","."&amp;V$2&amp;V$1&amp;"P"&amp;$A7)*RTD("tos.rtd",,"GAMMA","."&amp;V$2&amp;V$1&amp;"P"&amp;$A7))/1000000,($A$4*$A$4*RTD("tos.rtd",,"OPEN_INT","."&amp;V$2&amp;V$1&amp;"C"&amp;$A7)*RTD("tos.rtd",,"GAMMA","."&amp;V$2&amp;V$1&amp;"C"&amp;$A7)-$A$4*$A$4*RTD("tos.rtd",,"OPEN_INT","."&amp;V$2&amp;V$1&amp;"P"&amp;$A7)*RTD("tos.rtd",,"GAMMA","."&amp;V$2&amp;V$1&amp;"P"&amp;$A7))/1000000),0),IF($A$2="SKEW",IFERROR(VALUE(IF(RTD("tos.rtd",,"IMPL_VOL","."&amp;V$2&amp;V$1&amp;"P"&amp;$A7)="N/A",0,RTD("tos.rtd",,"IMPL_VOL","."&amp;V$2&amp;V$1&amp;"P"&amp;$A7))),0)-IFERROR(VALUE(IF(RTD("tos.rtd",,"IMPL_VOL","."&amp;V$2&amp;V$1&amp;"C"&amp;$A7)="N/A",0,RTD("tos.rtd",,"IMPL_VOL","."&amp;V$2&amp;V$1&amp;"C"&amp;$A7))),0),IF($A$2="MAXPAIN",IF($A$4&gt;$A7,($A$4-$A7)*IF(RTD("tos.rtd",,"OPEN_INT","."&amp;V$2&amp;V$1&amp;"C"&amp;$A7)="N/A",0,RTD("tos.rtd",,"OPEN_INT","."&amp;V$2&amp;V$1&amp;"C"&amp;$A7)),0)+IF($A$4&lt;$A7,($A$5-$A$4)*IF(RTD("tos.rtd",,"OPEN_INT","."&amp;V$2&amp;V$1&amp;"P"&amp;$A7)="N/A",0,RTD("tos.rtd",,"OPEN_INT","."&amp;V$2&amp;V$1&amp;"P"&amp;$A7)),0),IF($X$1="ABS",IF(RTD("tos.rtd",,$A$2,"."&amp;V$2&amp;V$1&amp;"C"&amp;$A7)="N/A",0,RTD("tos.rtd",,$A$2,"."&amp;V$2&amp;V$1&amp;"C"&amp;$A7))+IF(RTD("tos.rtd",,$A$2,"."&amp;V$2&amp;V$1&amp;"P"&amp;$A7)="N/A",0,RTD("tos.rtd",,$A$2,"."&amp;V$2&amp;V$1&amp;"P"&amp;$A7)),IF(RTD("tos.rtd",,$A$2,"."&amp;V$2&amp;V$1&amp;"C"&amp;$A7)="N/A",0,RTD("tos.rtd",,$A$2,"."&amp;V$2&amp;V$1&amp;"C"&amp;$A7))-IF(RTD("tos.rtd",,$A$2,"."&amp;V$2&amp;V$1&amp;"P"&amp;$A7)="N/A",0,RTD("tos.rtd",,$A$2,"."&amp;V$2&amp;V$1&amp;"P"&amp;$A7))))))))))</f>
        <v>0</v>
      </c>
      <c r="W7" s="12">
        <f ca="1">IF($A$2="PREMIUM_OI",IFERROR(IF($X$1="ABS",(100*RTD("tos.rtd",,"OPEN_INT","."&amp;W$2&amp;W$1&amp;"C"&amp;$A7)*RTD("tos.rtd",,"LAST","."&amp;W$2&amp;W$1&amp;"C"&amp;$A7)+100*RTD("tos.rtd",,"OPEN_INT","."&amp;W$2&amp;W$1&amp;"P"&amp;$A7)*RTD("tos.rtd",,"LAST","."&amp;W$2&amp;W$1&amp;"P"&amp;$A7))/1000000,(100*RTD("tos.rtd",,"OPEN_INT","."&amp;W$2&amp;W$1&amp;"C"&amp;$A7)*RTD("tos.rtd",,"LAST","."&amp;W$2&amp;W$1&amp;"C"&amp;$A7)-100*RTD("tos.rtd",,"OPEN_INT","."&amp;W$2&amp;W$1&amp;"P"&amp;$A7)*RTD("tos.rtd",,"LAST","."&amp;W$2&amp;W$1&amp;"P"&amp;$A7))/1000000),0),IF($A$2="PREMIUM",IFERROR(IF($X$1="ABS",(100*RTD("tos.rtd",,"VOLUME","."&amp;W$2&amp;W$1&amp;"C"&amp;$A7)*RTD("tos.rtd",,"LAST","."&amp;W$2&amp;W$1&amp;"C"&amp;$A7)+100*RTD("tos.rtd",,"VOLUME","."&amp;W$2&amp;W$1&amp;"P"&amp;$A7)*RTD("tos.rtd",,"LAST","."&amp;W$2&amp;W$1&amp;"P"&amp;$A7))/1000000,(100*RTD("tos.rtd",,"VOLUME","."&amp;W$2&amp;W$1&amp;"C"&amp;$A7)*RTD("tos.rtd",,"LAST","."&amp;W$2&amp;W$1&amp;"C"&amp;$A7)-100*RTD("tos.rtd",,"VOLUME","."&amp;W$2&amp;W$1&amp;"P"&amp;$A7)*RTD("tos.rtd",,"LAST","."&amp;W$2&amp;W$1&amp;"P"&amp;$A7))/1000000),0),IF($A$2="DEX",IFERROR(IF($X$1="ABS",(100*RTD("tos.rtd",,"OPEN_INT","."&amp;W$2&amp;W$1&amp;"C"&amp;$A7)*RTD("tos.rtd",,"DELTA","."&amp;W$2&amp;W$1&amp;"C"&amp;$A7)+100*RTD("tos.rtd",,"OPEN_INT","."&amp;W$2&amp;W$1&amp;"P"&amp;$A7)*RTD("tos.rtd",,"DELTA","."&amp;W$2&amp;W$1&amp;"P"&amp;$A7))/1000,(100*RTD("tos.rtd",,"OPEN_INT","."&amp;W$2&amp;W$1&amp;"C"&amp;$A7)*RTD("tos.rtd",,"DELTA","."&amp;W$2&amp;W$1&amp;"C"&amp;$A7)-100*RTD("tos.rtd",,"OPEN_INT","."&amp;W$2&amp;W$1&amp;"P"&amp;$A7)*RTD("tos.rtd",,"DELTA","."&amp;W$2&amp;W$1&amp;"P"&amp;$A7))/1000),0),IF($A$2="VEX",IFERROR(IF($X$1="ABS",($A$4*$A$4*RTD("tos.rtd",,"VOLUME","."&amp;W$2&amp;W$1&amp;"C"&amp;$A7)*RTD("tos.rtd",,"GAMMA","."&amp;W$2&amp;W$1&amp;"C"&amp;$A7)+$A$4*$A$4*RTD("tos.rtd",,"VOLUME","."&amp;W$2&amp;W$1&amp;"P"&amp;$A7)*RTD("tos.rtd",,"GAMMA","."&amp;W$2&amp;W$1&amp;"P"&amp;$A7))/1000000,($A$4*$A$4*RTD("tos.rtd",,"VOLUME","."&amp;W$2&amp;W$1&amp;"C"&amp;$A7)*RTD("tos.rtd",,"GAMMA","."&amp;W$2&amp;W$1&amp;"C"&amp;$A7)-$A$4*$A$4*RTD("tos.rtd",,"VOLUME","."&amp;W$2&amp;W$1&amp;"P"&amp;$A7)*RTD("tos.rtd",,"GAMMA","."&amp;W$2&amp;W$1&amp;"P"&amp;$A7))/1000000),0),IF($A$2="GEX",IFERROR(IF($X$1="ABS",($A$4*$A$4*RTD("tos.rtd",,"OPEN_INT","."&amp;W$2&amp;W$1&amp;"C"&amp;$A7)*RTD("tos.rtd",,"GAMMA","."&amp;W$2&amp;W$1&amp;"C"&amp;$A7)+$A$4*$A$4*RTD("tos.rtd",,"OPEN_INT","."&amp;W$2&amp;W$1&amp;"P"&amp;$A7)*RTD("tos.rtd",,"GAMMA","."&amp;W$2&amp;W$1&amp;"P"&amp;$A7))/1000000,($A$4*$A$4*RTD("tos.rtd",,"OPEN_INT","."&amp;W$2&amp;W$1&amp;"C"&amp;$A7)*RTD("tos.rtd",,"GAMMA","."&amp;W$2&amp;W$1&amp;"C"&amp;$A7)-$A$4*$A$4*RTD("tos.rtd",,"OPEN_INT","."&amp;W$2&amp;W$1&amp;"P"&amp;$A7)*RTD("tos.rtd",,"GAMMA","."&amp;W$2&amp;W$1&amp;"P"&amp;$A7))/1000000),0),IF($A$2="SKEW",IFERROR(VALUE(IF(RTD("tos.rtd",,"IMPL_VOL","."&amp;W$2&amp;W$1&amp;"P"&amp;$A7)="N/A",0,RTD("tos.rtd",,"IMPL_VOL","."&amp;W$2&amp;W$1&amp;"P"&amp;$A7))),0)-IFERROR(VALUE(IF(RTD("tos.rtd",,"IMPL_VOL","."&amp;W$2&amp;W$1&amp;"C"&amp;$A7)="N/A",0,RTD("tos.rtd",,"IMPL_VOL","."&amp;W$2&amp;W$1&amp;"C"&amp;$A7))),0),IF($A$2="MAXPAIN",IF($A$4&gt;$A7,($A$4-$A7)*IF(RTD("tos.rtd",,"OPEN_INT","."&amp;W$2&amp;W$1&amp;"C"&amp;$A7)="N/A",0,RTD("tos.rtd",,"OPEN_INT","."&amp;W$2&amp;W$1&amp;"C"&amp;$A7)),0)+IF($A$4&lt;$A7,($A$5-$A$4)*IF(RTD("tos.rtd",,"OPEN_INT","."&amp;W$2&amp;W$1&amp;"P"&amp;$A7)="N/A",0,RTD("tos.rtd",,"OPEN_INT","."&amp;W$2&amp;W$1&amp;"P"&amp;$A7)),0),IF($X$1="ABS",IF(RTD("tos.rtd",,$A$2,"."&amp;W$2&amp;W$1&amp;"C"&amp;$A7)="N/A",0,RTD("tos.rtd",,$A$2,"."&amp;W$2&amp;W$1&amp;"C"&amp;$A7))+IF(RTD("tos.rtd",,$A$2,"."&amp;W$2&amp;W$1&amp;"P"&amp;$A7)="N/A",0,RTD("tos.rtd",,$A$2,"."&amp;W$2&amp;W$1&amp;"P"&amp;$A7)),IF(RTD("tos.rtd",,$A$2,"."&amp;W$2&amp;W$1&amp;"C"&amp;$A7)="N/A",0,RTD("tos.rtd",,$A$2,"."&amp;W$2&amp;W$1&amp;"C"&amp;$A7))-IF(RTD("tos.rtd",,$A$2,"."&amp;W$2&amp;W$1&amp;"P"&amp;$A7)="N/A",0,RTD("tos.rtd",,$A$2,"."&amp;W$2&amp;W$1&amp;"P"&amp;$A7))))))))))</f>
        <v>0</v>
      </c>
      <c r="X7" s="57">
        <f t="shared" ca="1" si="7"/>
        <v>0</v>
      </c>
      <c r="Y7" s="27">
        <f t="shared" ca="1" si="8"/>
        <v>0</v>
      </c>
      <c r="Z7" s="27" t="b">
        <f t="shared" ca="1" si="9"/>
        <v>0</v>
      </c>
      <c r="AA7" s="27">
        <f t="shared" si="10"/>
        <v>240342100</v>
      </c>
      <c r="AB7" s="18">
        <f>MAX(0, $A7-AB$4)*IF(RTD("tos.rtd",,"OPEN_INT","."&amp;$AA$3&amp;$AA$4&amp;"C"&amp;AB$4)="N/A",0,RTD("tos.rtd",,"OPEN_INT","."&amp;$AA$3&amp;$AA$4&amp;"C"&amp;AB$4))*100 + MAX(0, AB$4-$A7)*IF(RTD("tos.rtd",,"OPEN_INT","."&amp;$AA$3&amp;$AA$4&amp;"P"&amp;AB$4)="N/A",0,RTD("tos.rtd",,"OPEN_INT","."&amp;$AA$3&amp;$AA$4&amp;"P"&amp;AB$4))*100</f>
        <v>0</v>
      </c>
      <c r="AC7" s="18">
        <f>MAX(0, $A7-AC$4)*IF(RTD("tos.rtd",,"OPEN_INT","."&amp;$AA$3&amp;$AA$4&amp;"C"&amp;AC$4)="N/A",0,RTD("tos.rtd",,"OPEN_INT","."&amp;$AA$3&amp;$AA$4&amp;"C"&amp;AC$4))*100 + MAX(0, AC$4-$A7)*IF(RTD("tos.rtd",,"OPEN_INT","."&amp;$AA$3&amp;$AA$4&amp;"P"&amp;AC$4)="N/A",0,RTD("tos.rtd",,"OPEN_INT","."&amp;$AA$3&amp;$AA$4&amp;"P"&amp;AC$4))*100</f>
        <v>0</v>
      </c>
      <c r="AD7" s="18">
        <f>MAX(0, $A7-AD$4)*IF(RTD("tos.rtd",,"OPEN_INT","."&amp;$AA$3&amp;$AA$4&amp;"C"&amp;AD$4)="N/A",0,RTD("tos.rtd",,"OPEN_INT","."&amp;$AA$3&amp;$AA$4&amp;"C"&amp;AD$4))*100 + MAX(0, AD$4-$A7)*IF(RTD("tos.rtd",,"OPEN_INT","."&amp;$AA$3&amp;$AA$4&amp;"P"&amp;AD$4)="N/A",0,RTD("tos.rtd",,"OPEN_INT","."&amp;$AA$3&amp;$AA$4&amp;"P"&amp;AD$4))*100</f>
        <v>0</v>
      </c>
      <c r="AE7" s="18">
        <f>MAX(0, $A7-AE$4)*IF(RTD("tos.rtd",,"OPEN_INT","."&amp;$AA$3&amp;$AA$4&amp;"C"&amp;AE$4)="N/A",0,RTD("tos.rtd",,"OPEN_INT","."&amp;$AA$3&amp;$AA$4&amp;"C"&amp;AE$4))*100 + MAX(0, AE$4-$A7)*IF(RTD("tos.rtd",,"OPEN_INT","."&amp;$AA$3&amp;$AA$4&amp;"P"&amp;AE$4)="N/A",0,RTD("tos.rtd",,"OPEN_INT","."&amp;$AA$3&amp;$AA$4&amp;"P"&amp;AE$4))*100</f>
        <v>0</v>
      </c>
      <c r="AF7" s="18">
        <f>MAX(0, $A7-AF$4)*IF(RTD("tos.rtd",,"OPEN_INT","."&amp;$AA$3&amp;$AA$4&amp;"C"&amp;AF$4)="N/A",0,RTD("tos.rtd",,"OPEN_INT","."&amp;$AA$3&amp;$AA$4&amp;"C"&amp;AF$4))*100 + MAX(0, AF$4-$A7)*IF(RTD("tos.rtd",,"OPEN_INT","."&amp;$AA$3&amp;$AA$4&amp;"P"&amp;AF$4)="N/A",0,RTD("tos.rtd",,"OPEN_INT","."&amp;$AA$3&amp;$AA$4&amp;"P"&amp;AF$4))*100</f>
        <v>0</v>
      </c>
      <c r="AG7" s="18">
        <f>MAX(0, $A7-AG$4)*IF(RTD("tos.rtd",,"OPEN_INT","."&amp;$AA$3&amp;$AA$4&amp;"C"&amp;AG$4)="N/A",0,RTD("tos.rtd",,"OPEN_INT","."&amp;$AA$3&amp;$AA$4&amp;"C"&amp;AG$4))*100 + MAX(0, AG$4-$A7)*IF(RTD("tos.rtd",,"OPEN_INT","."&amp;$AA$3&amp;$AA$4&amp;"P"&amp;AG$4)="N/A",0,RTD("tos.rtd",,"OPEN_INT","."&amp;$AA$3&amp;$AA$4&amp;"P"&amp;AG$4))*100</f>
        <v>0</v>
      </c>
      <c r="AH7" s="18">
        <f>MAX(0, $A7-AH$4)*IF(RTD("tos.rtd",,"OPEN_INT","."&amp;$AA$3&amp;$AA$4&amp;"C"&amp;AH$4)="N/A",0,RTD("tos.rtd",,"OPEN_INT","."&amp;$AA$3&amp;$AA$4&amp;"C"&amp;AH$4))*100 + MAX(0, AH$4-$A7)*IF(RTD("tos.rtd",,"OPEN_INT","."&amp;$AA$3&amp;$AA$4&amp;"P"&amp;AH$4)="N/A",0,RTD("tos.rtd",,"OPEN_INT","."&amp;$AA$3&amp;$AA$4&amp;"P"&amp;AH$4))*100</f>
        <v>0</v>
      </c>
      <c r="AI7" s="18">
        <f>MAX(0, $A7-AI$4)*IF(RTD("tos.rtd",,"OPEN_INT","."&amp;$AA$3&amp;$AA$4&amp;"C"&amp;AI$4)="N/A",0,RTD("tos.rtd",,"OPEN_INT","."&amp;$AA$3&amp;$AA$4&amp;"C"&amp;AI$4))*100 + MAX(0, AI$4-$A7)*IF(RTD("tos.rtd",,"OPEN_INT","."&amp;$AA$3&amp;$AA$4&amp;"P"&amp;AI$4)="N/A",0,RTD("tos.rtd",,"OPEN_INT","."&amp;$AA$3&amp;$AA$4&amp;"P"&amp;AI$4))*100</f>
        <v>679000</v>
      </c>
      <c r="AJ7" s="18">
        <f>MAX(0, $A7-AJ$4)*IF(RTD("tos.rtd",,"OPEN_INT","."&amp;$AA$3&amp;$AA$4&amp;"C"&amp;AJ$4)="N/A",0,RTD("tos.rtd",,"OPEN_INT","."&amp;$AA$3&amp;$AA$4&amp;"C"&amp;AJ$4))*100 + MAX(0, AJ$4-$A7)*IF(RTD("tos.rtd",,"OPEN_INT","."&amp;$AA$3&amp;$AA$4&amp;"P"&amp;AJ$4)="N/A",0,RTD("tos.rtd",,"OPEN_INT","."&amp;$AA$3&amp;$AA$4&amp;"P"&amp;AJ$4))*100</f>
        <v>80700</v>
      </c>
      <c r="AK7" s="18">
        <f>MAX(0, $A7-AK$4)*IF(RTD("tos.rtd",,"OPEN_INT","."&amp;$AA$3&amp;$AA$4&amp;"C"&amp;AK$4)="N/A",0,RTD("tos.rtd",,"OPEN_INT","."&amp;$AA$3&amp;$AA$4&amp;"C"&amp;AK$4))*100 + MAX(0, AK$4-$A7)*IF(RTD("tos.rtd",,"OPEN_INT","."&amp;$AA$3&amp;$AA$4&amp;"P"&amp;AK$4)="N/A",0,RTD("tos.rtd",,"OPEN_INT","."&amp;$AA$3&amp;$AA$4&amp;"P"&amp;AK$4))*100</f>
        <v>984550</v>
      </c>
      <c r="AL7" s="18">
        <f>MAX(0, $A7-AL$4)*IF(RTD("tos.rtd",,"OPEN_INT","."&amp;$AA$3&amp;$AA$4&amp;"C"&amp;AL$4)="N/A",0,RTD("tos.rtd",,"OPEN_INT","."&amp;$AA$3&amp;$AA$4&amp;"C"&amp;AL$4))*100 + MAX(0, AL$4-$A7)*IF(RTD("tos.rtd",,"OPEN_INT","."&amp;$AA$3&amp;$AA$4&amp;"P"&amp;AL$4)="N/A",0,RTD("tos.rtd",,"OPEN_INT","."&amp;$AA$3&amp;$AA$4&amp;"P"&amp;AL$4))*100</f>
        <v>0</v>
      </c>
      <c r="AM7" s="18">
        <f>MAX(0, $A7-AM$4)*IF(RTD("tos.rtd",,"OPEN_INT","."&amp;$AA$3&amp;$AA$4&amp;"C"&amp;AM$4)="N/A",0,RTD("tos.rtd",,"OPEN_INT","."&amp;$AA$3&amp;$AA$4&amp;"C"&amp;AM$4))*100 + MAX(0, AM$4-$A7)*IF(RTD("tos.rtd",,"OPEN_INT","."&amp;$AA$3&amp;$AA$4&amp;"P"&amp;AM$4)="N/A",0,RTD("tos.rtd",,"OPEN_INT","."&amp;$AA$3&amp;$AA$4&amp;"P"&amp;AM$4))*100</f>
        <v>1064250</v>
      </c>
      <c r="AN7" s="18">
        <f>MAX(0, $A7-AN$4)*IF(RTD("tos.rtd",,"OPEN_INT","."&amp;$AA$3&amp;$AA$4&amp;"C"&amp;AN$4)="N/A",0,RTD("tos.rtd",,"OPEN_INT","."&amp;$AA$3&amp;$AA$4&amp;"C"&amp;AN$4))*100 + MAX(0, AN$4-$A7)*IF(RTD("tos.rtd",,"OPEN_INT","."&amp;$AA$3&amp;$AA$4&amp;"P"&amp;AN$4)="N/A",0,RTD("tos.rtd",,"OPEN_INT","."&amp;$AA$3&amp;$AA$4&amp;"P"&amp;AN$4))*100</f>
        <v>0</v>
      </c>
      <c r="AO7" s="18">
        <f>MAX(0, $A7-AO$4)*IF(RTD("tos.rtd",,"OPEN_INT","."&amp;$AA$3&amp;$AA$4&amp;"C"&amp;AO$4)="N/A",0,RTD("tos.rtd",,"OPEN_INT","."&amp;$AA$3&amp;$AA$4&amp;"C"&amp;AO$4))*100 + MAX(0, AO$4-$A7)*IF(RTD("tos.rtd",,"OPEN_INT","."&amp;$AA$3&amp;$AA$4&amp;"P"&amp;AO$4)="N/A",0,RTD("tos.rtd",,"OPEN_INT","."&amp;$AA$3&amp;$AA$4&amp;"P"&amp;AO$4))*100</f>
        <v>378950</v>
      </c>
      <c r="AP7" s="18">
        <f>MAX(0, $A7-AP$4)*IF(RTD("tos.rtd",,"OPEN_INT","."&amp;$AA$3&amp;$AA$4&amp;"C"&amp;AP$4)="N/A",0,RTD("tos.rtd",,"OPEN_INT","."&amp;$AA$3&amp;$AA$4&amp;"C"&amp;AP$4))*100 + MAX(0, AP$4-$A7)*IF(RTD("tos.rtd",,"OPEN_INT","."&amp;$AA$3&amp;$AA$4&amp;"P"&amp;AP$4)="N/A",0,RTD("tos.rtd",,"OPEN_INT","."&amp;$AA$3&amp;$AA$4&amp;"P"&amp;AP$4))*100</f>
        <v>0</v>
      </c>
      <c r="AQ7" s="18">
        <f>MAX(0, $A7-AQ$4)*IF(RTD("tos.rtd",,"OPEN_INT","."&amp;$AA$3&amp;$AA$4&amp;"C"&amp;AQ$4)="N/A",0,RTD("tos.rtd",,"OPEN_INT","."&amp;$AA$3&amp;$AA$4&amp;"C"&amp;AQ$4))*100 + MAX(0, AQ$4-$A7)*IF(RTD("tos.rtd",,"OPEN_INT","."&amp;$AA$3&amp;$AA$4&amp;"P"&amp;AQ$4)="N/A",0,RTD("tos.rtd",,"OPEN_INT","."&amp;$AA$3&amp;$AA$4&amp;"P"&amp;AQ$4))*100</f>
        <v>416000</v>
      </c>
      <c r="AR7" s="18">
        <f>MAX(0, $A7-AR$4)*IF(RTD("tos.rtd",,"OPEN_INT","."&amp;$AA$3&amp;$AA$4&amp;"C"&amp;AR$4)="N/A",0,RTD("tos.rtd",,"OPEN_INT","."&amp;$AA$3&amp;$AA$4&amp;"C"&amp;AR$4))*100 + MAX(0, AR$4-$A7)*IF(RTD("tos.rtd",,"OPEN_INT","."&amp;$AA$3&amp;$AA$4&amp;"P"&amp;AR$4)="N/A",0,RTD("tos.rtd",,"OPEN_INT","."&amp;$AA$3&amp;$AA$4&amp;"P"&amp;AR$4))*100</f>
        <v>700</v>
      </c>
      <c r="AS7" s="18">
        <f>MAX(0, $A7-AS$4)*IF(RTD("tos.rtd",,"OPEN_INT","."&amp;$AA$3&amp;$AA$4&amp;"C"&amp;AS$4)="N/A",0,RTD("tos.rtd",,"OPEN_INT","."&amp;$AA$3&amp;$AA$4&amp;"C"&amp;AS$4))*100 + MAX(0, AS$4-$A7)*IF(RTD("tos.rtd",,"OPEN_INT","."&amp;$AA$3&amp;$AA$4&amp;"P"&amp;AS$4)="N/A",0,RTD("tos.rtd",,"OPEN_INT","."&amp;$AA$3&amp;$AA$4&amp;"P"&amp;AS$4))*100</f>
        <v>646500</v>
      </c>
      <c r="AT7" s="18">
        <f>MAX(0, $A7-AT$4)*IF(RTD("tos.rtd",,"OPEN_INT","."&amp;$AA$3&amp;$AA$4&amp;"C"&amp;AT$4)="N/A",0,RTD("tos.rtd",,"OPEN_INT","."&amp;$AA$3&amp;$AA$4&amp;"C"&amp;AT$4))*100 + MAX(0, AT$4-$A7)*IF(RTD("tos.rtd",,"OPEN_INT","."&amp;$AA$3&amp;$AA$4&amp;"P"&amp;AT$4)="N/A",0,RTD("tos.rtd",,"OPEN_INT","."&amp;$AA$3&amp;$AA$4&amp;"P"&amp;AT$4))*100</f>
        <v>1121600</v>
      </c>
      <c r="AU7" s="18">
        <f>MAX(0, $A7-AU$4)*IF(RTD("tos.rtd",,"OPEN_INT","."&amp;$AA$3&amp;$AA$4&amp;"C"&amp;AU$4)="N/A",0,RTD("tos.rtd",,"OPEN_INT","."&amp;$AA$3&amp;$AA$4&amp;"C"&amp;AU$4))*100 + MAX(0, AU$4-$A7)*IF(RTD("tos.rtd",,"OPEN_INT","."&amp;$AA$3&amp;$AA$4&amp;"P"&amp;AU$4)="N/A",0,RTD("tos.rtd",,"OPEN_INT","."&amp;$AA$3&amp;$AA$4&amp;"P"&amp;AU$4))*100</f>
        <v>1430550</v>
      </c>
      <c r="AV7" s="18">
        <f>MAX(0, $A7-AV$4)*IF(RTD("tos.rtd",,"OPEN_INT","."&amp;$AA$3&amp;$AA$4&amp;"C"&amp;AV$4)="N/A",0,RTD("tos.rtd",,"OPEN_INT","."&amp;$AA$3&amp;$AA$4&amp;"C"&amp;AV$4))*100 + MAX(0, AV$4-$A7)*IF(RTD("tos.rtd",,"OPEN_INT","."&amp;$AA$3&amp;$AA$4&amp;"P"&amp;AV$4)="N/A",0,RTD("tos.rtd",,"OPEN_INT","."&amp;$AA$3&amp;$AA$4&amp;"P"&amp;AV$4))*100</f>
        <v>1699200</v>
      </c>
      <c r="AW7" s="18">
        <f>MAX(0, $A7-AW$4)*IF(RTD("tos.rtd",,"OPEN_INT","."&amp;$AA$3&amp;$AA$4&amp;"C"&amp;AW$4)="N/A",0,RTD("tos.rtd",,"OPEN_INT","."&amp;$AA$3&amp;$AA$4&amp;"C"&amp;AW$4))*100 + MAX(0, AW$4-$A7)*IF(RTD("tos.rtd",,"OPEN_INT","."&amp;$AA$3&amp;$AA$4&amp;"P"&amp;AW$4)="N/A",0,RTD("tos.rtd",,"OPEN_INT","."&amp;$AA$3&amp;$AA$4&amp;"P"&amp;AW$4))*100</f>
        <v>2921250</v>
      </c>
      <c r="AX7" s="18">
        <f>MAX(0, $A7-AX$4)*IF(RTD("tos.rtd",,"OPEN_INT","."&amp;$AA$3&amp;$AA$4&amp;"C"&amp;AX$4)="N/A",0,RTD("tos.rtd",,"OPEN_INT","."&amp;$AA$3&amp;$AA$4&amp;"C"&amp;AX$4))*100 + MAX(0, AX$4-$A7)*IF(RTD("tos.rtd",,"OPEN_INT","."&amp;$AA$3&amp;$AA$4&amp;"P"&amp;AX$4)="N/A",0,RTD("tos.rtd",,"OPEN_INT","."&amp;$AA$3&amp;$AA$4&amp;"P"&amp;AX$4))*100</f>
        <v>4253000</v>
      </c>
      <c r="AY7" s="18">
        <f>MAX(0, $A7-AY$4)*IF(RTD("tos.rtd",,"OPEN_INT","."&amp;$AA$3&amp;$AA$4&amp;"C"&amp;AY$4)="N/A",0,RTD("tos.rtd",,"OPEN_INT","."&amp;$AA$3&amp;$AA$4&amp;"C"&amp;AY$4))*100 + MAX(0, AY$4-$A7)*IF(RTD("tos.rtd",,"OPEN_INT","."&amp;$AA$3&amp;$AA$4&amp;"P"&amp;AY$4)="N/A",0,RTD("tos.rtd",,"OPEN_INT","."&amp;$AA$3&amp;$AA$4&amp;"P"&amp;AY$4))*100</f>
        <v>20525400</v>
      </c>
      <c r="AZ7" s="18">
        <f>MAX(0, $A7-AZ$4)*IF(RTD("tos.rtd",,"OPEN_INT","."&amp;$AA$3&amp;$AA$4&amp;"C"&amp;AZ$4)="N/A",0,RTD("tos.rtd",,"OPEN_INT","."&amp;$AA$3&amp;$AA$4&amp;"C"&amp;AZ$4))*100 + MAX(0, AZ$4-$A7)*IF(RTD("tos.rtd",,"OPEN_INT","."&amp;$AA$3&amp;$AA$4&amp;"P"&amp;AZ$4)="N/A",0,RTD("tos.rtd",,"OPEN_INT","."&amp;$AA$3&amp;$AA$4&amp;"P"&amp;AZ$4))*100</f>
        <v>10835000</v>
      </c>
      <c r="BA7" s="18">
        <f>MAX(0, $A7-BA$4)*IF(RTD("tos.rtd",,"OPEN_INT","."&amp;$AA$3&amp;$AA$4&amp;"C"&amp;BA$4)="N/A",0,RTD("tos.rtd",,"OPEN_INT","."&amp;$AA$3&amp;$AA$4&amp;"C"&amp;BA$4))*100 + MAX(0, BA$4-$A7)*IF(RTD("tos.rtd",,"OPEN_INT","."&amp;$AA$3&amp;$AA$4&amp;"P"&amp;BA$4)="N/A",0,RTD("tos.rtd",,"OPEN_INT","."&amp;$AA$3&amp;$AA$4&amp;"P"&amp;BA$4))*100</f>
        <v>35428050</v>
      </c>
      <c r="BB7" s="18">
        <f>MAX(0, $A7-BB$4)*IF(RTD("tos.rtd",,"OPEN_INT","."&amp;$AA$3&amp;$AA$4&amp;"C"&amp;BB$4)="N/A",0,RTD("tos.rtd",,"OPEN_INT","."&amp;$AA$3&amp;$AA$4&amp;"C"&amp;BB$4))*100 + MAX(0, BB$4-$A7)*IF(RTD("tos.rtd",,"OPEN_INT","."&amp;$AA$3&amp;$AA$4&amp;"P"&amp;BB$4)="N/A",0,RTD("tos.rtd",,"OPEN_INT","."&amp;$AA$3&amp;$AA$4&amp;"P"&amp;BB$4))*100</f>
        <v>34389600</v>
      </c>
      <c r="BC7" s="18">
        <f>MAX(0, $A7-BC$4)*IF(RTD("tos.rtd",,"OPEN_INT","."&amp;$AA$3&amp;$AA$4&amp;"C"&amp;BC$4)="N/A",0,RTD("tos.rtd",,"OPEN_INT","."&amp;$AA$3&amp;$AA$4&amp;"C"&amp;BC$4))*100 + MAX(0, BC$4-$A7)*IF(RTD("tos.rtd",,"OPEN_INT","."&amp;$AA$3&amp;$AA$4&amp;"P"&amp;BC$4)="N/A",0,RTD("tos.rtd",,"OPEN_INT","."&amp;$AA$3&amp;$AA$4&amp;"P"&amp;BC$4))*100</f>
        <v>50891250</v>
      </c>
      <c r="BD7" s="18">
        <f>MAX(0, $A7-BD$4)*IF(RTD("tos.rtd",,"OPEN_INT","."&amp;$AA$3&amp;$AA$4&amp;"C"&amp;BD$4)="N/A",0,RTD("tos.rtd",,"OPEN_INT","."&amp;$AA$3&amp;$AA$4&amp;"C"&amp;BD$4))*100 + MAX(0, BD$4-$A7)*IF(RTD("tos.rtd",,"OPEN_INT","."&amp;$AA$3&amp;$AA$4&amp;"P"&amp;BD$4)="N/A",0,RTD("tos.rtd",,"OPEN_INT","."&amp;$AA$3&amp;$AA$4&amp;"P"&amp;BD$4))*100</f>
        <v>24128000</v>
      </c>
      <c r="BE7" s="18">
        <f>MAX(0, $A7-BE$4)*IF(RTD("tos.rtd",,"OPEN_INT","."&amp;$AA$3&amp;$AA$4&amp;"C"&amp;BE$4)="N/A",0,RTD("tos.rtd",,"OPEN_INT","."&amp;$AA$3&amp;$AA$4&amp;"C"&amp;BE$4))*100 + MAX(0, BE$4-$A7)*IF(RTD("tos.rtd",,"OPEN_INT","."&amp;$AA$3&amp;$AA$4&amp;"P"&amp;BE$4)="N/A",0,RTD("tos.rtd",,"OPEN_INT","."&amp;$AA$3&amp;$AA$4&amp;"P"&amp;BE$4))*100</f>
        <v>23325300</v>
      </c>
      <c r="BF7" s="18">
        <f>MAX(0, $A7-BF$4)*IF(RTD("tos.rtd",,"OPEN_INT","."&amp;$AA$3&amp;$AA$4&amp;"C"&amp;BF$4)="N/A",0,RTD("tos.rtd",,"OPEN_INT","."&amp;$AA$3&amp;$AA$4&amp;"C"&amp;BF$4))*100 + MAX(0, BF$4-$A7)*IF(RTD("tos.rtd",,"OPEN_INT","."&amp;$AA$3&amp;$AA$4&amp;"P"&amp;BF$4)="N/A",0,RTD("tos.rtd",,"OPEN_INT","."&amp;$AA$3&amp;$AA$4&amp;"P"&amp;BF$4))*100</f>
        <v>11769800</v>
      </c>
      <c r="BG7" s="18">
        <f>MAX(0, $A7-BG$4)*IF(RTD("tos.rtd",,"OPEN_INT","."&amp;$AA$3&amp;$AA$4&amp;"C"&amp;BG$4)="N/A",0,RTD("tos.rtd",,"OPEN_INT","."&amp;$AA$3&amp;$AA$4&amp;"C"&amp;BG$4))*100 + MAX(0, BG$4-$A7)*IF(RTD("tos.rtd",,"OPEN_INT","."&amp;$AA$3&amp;$AA$4&amp;"P"&amp;BG$4)="N/A",0,RTD("tos.rtd",,"OPEN_INT","."&amp;$AA$3&amp;$AA$4&amp;"P"&amp;BG$4))*100</f>
        <v>8314300</v>
      </c>
      <c r="BH7" s="18">
        <f>MAX(0, $A7-BH$4)*IF(RTD("tos.rtd",,"OPEN_INT","."&amp;$AA$3&amp;$AA$4&amp;"C"&amp;BH$4)="N/A",0,RTD("tos.rtd",,"OPEN_INT","."&amp;$AA$3&amp;$AA$4&amp;"C"&amp;BH$4))*100 + MAX(0, BH$4-$A7)*IF(RTD("tos.rtd",,"OPEN_INT","."&amp;$AA$3&amp;$AA$4&amp;"P"&amp;BH$4)="N/A",0,RTD("tos.rtd",,"OPEN_INT","."&amp;$AA$3&amp;$AA$4&amp;"P"&amp;BH$4))*100</f>
        <v>2914500</v>
      </c>
      <c r="BI7" s="18">
        <f>MAX(0, $A7-BI$4)*IF(RTD("tos.rtd",,"OPEN_INT","."&amp;$AA$3&amp;$AA$4&amp;"C"&amp;BI$4)="N/A",0,RTD("tos.rtd",,"OPEN_INT","."&amp;$AA$3&amp;$AA$4&amp;"C"&amp;BI$4))*100 + MAX(0, BI$4-$A7)*IF(RTD("tos.rtd",,"OPEN_INT","."&amp;$AA$3&amp;$AA$4&amp;"P"&amp;BI$4)="N/A",0,RTD("tos.rtd",,"OPEN_INT","."&amp;$AA$3&amp;$AA$4&amp;"P"&amp;BI$4))*100</f>
        <v>1305100</v>
      </c>
      <c r="BJ7" s="18">
        <f>MAX(0, $A7-BJ$4)*IF(RTD("tos.rtd",,"OPEN_INT","."&amp;$AA$3&amp;$AA$4&amp;"C"&amp;BJ$4)="N/A",0,RTD("tos.rtd",,"OPEN_INT","."&amp;$AA$3&amp;$AA$4&amp;"C"&amp;BJ$4))*100 + MAX(0, BJ$4-$A7)*IF(RTD("tos.rtd",,"OPEN_INT","."&amp;$AA$3&amp;$AA$4&amp;"P"&amp;BJ$4)="N/A",0,RTD("tos.rtd",,"OPEN_INT","."&amp;$AA$3&amp;$AA$4&amp;"P"&amp;BJ$4))*100</f>
        <v>241600</v>
      </c>
      <c r="BK7" s="18">
        <f>MAX(0, $A7-BK$4)*IF(RTD("tos.rtd",,"OPEN_INT","."&amp;$AA$3&amp;$AA$4&amp;"C"&amp;BK$4)="N/A",0,RTD("tos.rtd",,"OPEN_INT","."&amp;$AA$3&amp;$AA$4&amp;"C"&amp;BK$4))*100 + MAX(0, BK$4-$A7)*IF(RTD("tos.rtd",,"OPEN_INT","."&amp;$AA$3&amp;$AA$4&amp;"P"&amp;BK$4)="N/A",0,RTD("tos.rtd",,"OPEN_INT","."&amp;$AA$3&amp;$AA$4&amp;"P"&amp;BK$4))*100</f>
        <v>430650</v>
      </c>
      <c r="BL7" s="18">
        <f>MAX(0, $A7-BL$4)*IF(RTD("tos.rtd",,"OPEN_INT","."&amp;$AA$3&amp;$AA$4&amp;"C"&amp;BL$4)="N/A",0,RTD("tos.rtd",,"OPEN_INT","."&amp;$AA$3&amp;$AA$4&amp;"C"&amp;BL$4))*100 + MAX(0, BL$4-$A7)*IF(RTD("tos.rtd",,"OPEN_INT","."&amp;$AA$3&amp;$AA$4&amp;"P"&amp;BL$4)="N/A",0,RTD("tos.rtd",,"OPEN_INT","."&amp;$AA$3&amp;$AA$4&amp;"P"&amp;BL$4))*100</f>
        <v>27200</v>
      </c>
      <c r="BM7" s="18">
        <f>MAX(0, $A7-BM$4)*IF(RTD("tos.rtd",,"OPEN_INT","."&amp;$AA$3&amp;$AA$4&amp;"C"&amp;BM$4)="N/A",0,RTD("tos.rtd",,"OPEN_INT","."&amp;$AA$3&amp;$AA$4&amp;"C"&amp;BM$4))*100 + MAX(0, BM$4-$A7)*IF(RTD("tos.rtd",,"OPEN_INT","."&amp;$AA$3&amp;$AA$4&amp;"P"&amp;BM$4)="N/A",0,RTD("tos.rtd",,"OPEN_INT","."&amp;$AA$3&amp;$AA$4&amp;"P"&amp;BM$4))*100</f>
        <v>14000</v>
      </c>
      <c r="BN7" s="18">
        <f>MAX(0, $A7-BN$4)*IF(RTD("tos.rtd",,"OPEN_INT","."&amp;$AA$3&amp;$AA$4&amp;"C"&amp;BN$4)="N/A",0,RTD("tos.rtd",,"OPEN_INT","."&amp;$AA$3&amp;$AA$4&amp;"C"&amp;BN$4))*100 + MAX(0, BN$4-$A7)*IF(RTD("tos.rtd",,"OPEN_INT","."&amp;$AA$3&amp;$AA$4&amp;"P"&amp;BN$4)="N/A",0,RTD("tos.rtd",,"OPEN_INT","."&amp;$AA$3&amp;$AA$4&amp;"P"&amp;BN$4))*100</f>
        <v>55800</v>
      </c>
      <c r="BO7" s="18">
        <f>MAX(0, $A7-BO$4)*IF(RTD("tos.rtd",,"OPEN_INT","."&amp;$AA$3&amp;$AA$4&amp;"C"&amp;BO$4)="N/A",0,RTD("tos.rtd",,"OPEN_INT","."&amp;$AA$3&amp;$AA$4&amp;"C"&amp;BO$4))*100 + MAX(0, BO$4-$A7)*IF(RTD("tos.rtd",,"OPEN_INT","."&amp;$AA$3&amp;$AA$4&amp;"P"&amp;BO$4)="N/A",0,RTD("tos.rtd",,"OPEN_INT","."&amp;$AA$3&amp;$AA$4&amp;"P"&amp;BO$4))*100</f>
        <v>70300</v>
      </c>
      <c r="BP7" s="18">
        <f>MAX(0, $A7-BP$4)*IF(RTD("tos.rtd",,"OPEN_INT","."&amp;$AA$3&amp;$AA$4&amp;"C"&amp;BP$4)="N/A",0,RTD("tos.rtd",,"OPEN_INT","."&amp;$AA$3&amp;$AA$4&amp;"C"&amp;BP$4))*100 + MAX(0, BP$4-$A7)*IF(RTD("tos.rtd",,"OPEN_INT","."&amp;$AA$3&amp;$AA$4&amp;"P"&amp;BP$4)="N/A",0,RTD("tos.rtd",,"OPEN_INT","."&amp;$AA$3&amp;$AA$4&amp;"P"&amp;BP$4))*100</f>
        <v>0</v>
      </c>
      <c r="BQ7" s="18">
        <f>MAX(0, $A7-BQ$4)*IF(RTD("tos.rtd",,"OPEN_INT","."&amp;$AA$3&amp;$AA$4&amp;"C"&amp;BQ$4)="N/A",0,RTD("tos.rtd",,"OPEN_INT","."&amp;$AA$3&amp;$AA$4&amp;"C"&amp;BQ$4))*100 + MAX(0, BQ$4-$A7)*IF(RTD("tos.rtd",,"OPEN_INT","."&amp;$AA$3&amp;$AA$4&amp;"P"&amp;BQ$4)="N/A",0,RTD("tos.rtd",,"OPEN_INT","."&amp;$AA$3&amp;$AA$4&amp;"P"&amp;BQ$4))*100</f>
        <v>0</v>
      </c>
      <c r="BR7" s="18">
        <f>MAX(0, $A7-BR$4)*IF(RTD("tos.rtd",,"OPEN_INT","."&amp;$AA$3&amp;$AA$4&amp;"C"&amp;BR$4)="N/A",0,RTD("tos.rtd",,"OPEN_INT","."&amp;$AA$3&amp;$AA$4&amp;"C"&amp;BR$4))*100 + MAX(0, BR$4-$A7)*IF(RTD("tos.rtd",,"OPEN_INT","."&amp;$AA$3&amp;$AA$4&amp;"P"&amp;BR$4)="N/A",0,RTD("tos.rtd",,"OPEN_INT","."&amp;$AA$3&amp;$AA$4&amp;"P"&amp;BR$4))*100</f>
        <v>0</v>
      </c>
      <c r="BS7" s="18">
        <f>MAX(0, $A7-BS$4)*IF(RTD("tos.rtd",,"OPEN_INT","."&amp;$AA$3&amp;$AA$4&amp;"C"&amp;BS$4)="N/A",0,RTD("tos.rtd",,"OPEN_INT","."&amp;$AA$3&amp;$AA$4&amp;"C"&amp;BS$4))*100 + MAX(0, BS$4-$A7)*IF(RTD("tos.rtd",,"OPEN_INT","."&amp;$AA$3&amp;$AA$4&amp;"P"&amp;BS$4)="N/A",0,RTD("tos.rtd",,"OPEN_INT","."&amp;$AA$3&amp;$AA$4&amp;"P"&amp;BS$4))*100</f>
        <v>0</v>
      </c>
      <c r="BT7" s="18">
        <f>MAX(0, $A7-BT$4)*IF(RTD("tos.rtd",,"OPEN_INT","."&amp;$AA$3&amp;$AA$4&amp;"C"&amp;BT$4)="N/A",0,RTD("tos.rtd",,"OPEN_INT","."&amp;$AA$3&amp;$AA$4&amp;"C"&amp;BT$4))*100 + MAX(0, BT$4-$A7)*IF(RTD("tos.rtd",,"OPEN_INT","."&amp;$AA$3&amp;$AA$4&amp;"P"&amp;BT$4)="N/A",0,RTD("tos.rtd",,"OPEN_INT","."&amp;$AA$3&amp;$AA$4&amp;"P"&amp;BT$4))*100</f>
        <v>0</v>
      </c>
      <c r="BU7" s="18">
        <f>MAX(0, $A7-BU$4)*IF(RTD("tos.rtd",,"OPEN_INT","."&amp;$AA$3&amp;$AA$4&amp;"C"&amp;BU$4)="N/A",0,RTD("tos.rtd",,"OPEN_INT","."&amp;$AA$3&amp;$AA$4&amp;"C"&amp;BU$4))*100 + MAX(0, BU$4-$A7)*IF(RTD("tos.rtd",,"OPEN_INT","."&amp;$AA$3&amp;$AA$4&amp;"P"&amp;BU$4)="N/A",0,RTD("tos.rtd",,"OPEN_INT","."&amp;$AA$3&amp;$AA$4&amp;"P"&amp;BU$4))*100</f>
        <v>0</v>
      </c>
      <c r="BV7" s="18">
        <f>MAX(0, $A7-BV$4)*IF(RTD("tos.rtd",,"OPEN_INT","."&amp;$AA$3&amp;$AA$4&amp;"C"&amp;BV$4)="N/A",0,RTD("tos.rtd",,"OPEN_INT","."&amp;$AA$3&amp;$AA$4&amp;"C"&amp;BV$4))*100 + MAX(0, BV$4-$A7)*IF(RTD("tos.rtd",,"OPEN_INT","."&amp;$AA$3&amp;$AA$4&amp;"P"&amp;BV$4)="N/A",0,RTD("tos.rtd",,"OPEN_INT","."&amp;$AA$3&amp;$AA$4&amp;"P"&amp;BV$4))*100</f>
        <v>0</v>
      </c>
    </row>
    <row r="8" spans="1:74" s="19" customFormat="1" ht="11.1" customHeight="1" thickBot="1" x14ac:dyDescent="0.3">
      <c r="A8" s="23">
        <f t="shared" si="6"/>
        <v>20</v>
      </c>
      <c r="B8" s="14">
        <f ca="1">IF($A$2="PREMIUM_OI",IFERROR(IF($X$1="ABS",(100*RTD("tos.rtd",,"OPEN_INT","."&amp;B$2&amp;B$1&amp;"C"&amp;$A8)*RTD("tos.rtd",,"LAST","."&amp;B$2&amp;B$1&amp;"C"&amp;$A8)+100*RTD("tos.rtd",,"OPEN_INT","."&amp;B$2&amp;B$1&amp;"P"&amp;$A8)*RTD("tos.rtd",,"LAST","."&amp;B$2&amp;B$1&amp;"P"&amp;$A8))/1000000,(100*RTD("tos.rtd",,"OPEN_INT","."&amp;B$2&amp;B$1&amp;"C"&amp;$A8)*RTD("tos.rtd",,"LAST","."&amp;B$2&amp;B$1&amp;"C"&amp;$A8)-100*RTD("tos.rtd",,"OPEN_INT","."&amp;B$2&amp;B$1&amp;"P"&amp;$A8)*RTD("tos.rtd",,"LAST","."&amp;B$2&amp;B$1&amp;"P"&amp;$A8))/1000000),0),IF($A$2="PREMIUM",IFERROR(IF($X$1="ABS",(100*RTD("tos.rtd",,"VOLUME","."&amp;B$2&amp;B$1&amp;"C"&amp;$A8)*RTD("tos.rtd",,"LAST","."&amp;B$2&amp;B$1&amp;"C"&amp;$A8)+100*RTD("tos.rtd",,"VOLUME","."&amp;B$2&amp;B$1&amp;"P"&amp;$A8)*RTD("tos.rtd",,"LAST","."&amp;B$2&amp;B$1&amp;"P"&amp;$A8))/1000000,(100*RTD("tos.rtd",,"VOLUME","."&amp;B$2&amp;B$1&amp;"C"&amp;$A8)*RTD("tos.rtd",,"LAST","."&amp;B$2&amp;B$1&amp;"C"&amp;$A8)-100*RTD("tos.rtd",,"VOLUME","."&amp;B$2&amp;B$1&amp;"P"&amp;$A8)*RTD("tos.rtd",,"LAST","."&amp;B$2&amp;B$1&amp;"P"&amp;$A8))/1000000),0),IF($A$2="DEX",IFERROR(IF($X$1="ABS",(100*RTD("tos.rtd",,"OPEN_INT","."&amp;B$2&amp;B$1&amp;"C"&amp;$A8)*RTD("tos.rtd",,"DELTA","."&amp;B$2&amp;B$1&amp;"C"&amp;$A8)+100*RTD("tos.rtd",,"OPEN_INT","."&amp;B$2&amp;B$1&amp;"P"&amp;$A8)*RTD("tos.rtd",,"DELTA","."&amp;B$2&amp;B$1&amp;"P"&amp;$A8))/1000,(100*RTD("tos.rtd",,"OPEN_INT","."&amp;B$2&amp;B$1&amp;"C"&amp;$A8)*RTD("tos.rtd",,"DELTA","."&amp;B$2&amp;B$1&amp;"C"&amp;$A8)-100*RTD("tos.rtd",,"OPEN_INT","."&amp;B$2&amp;B$1&amp;"P"&amp;$A8)*RTD("tos.rtd",,"DELTA","."&amp;B$2&amp;B$1&amp;"P"&amp;$A8))/1000),0),IF($A$2="VEX",IFERROR(IF($X$1="ABS",($A$4*$A$4*RTD("tos.rtd",,"VOLUME","."&amp;B$2&amp;B$1&amp;"C"&amp;$A8)*RTD("tos.rtd",,"GAMMA","."&amp;B$2&amp;B$1&amp;"C"&amp;$A8)+$A$4*$A$4*RTD("tos.rtd",,"VOLUME","."&amp;B$2&amp;B$1&amp;"P"&amp;$A8)*RTD("tos.rtd",,"GAMMA","."&amp;B$2&amp;B$1&amp;"P"&amp;$A8))/1000000,($A$4*$A$4*RTD("tos.rtd",,"VOLUME","."&amp;B$2&amp;B$1&amp;"C"&amp;$A8)*RTD("tos.rtd",,"GAMMA","."&amp;B$2&amp;B$1&amp;"C"&amp;$A8)-$A$4*$A$4*RTD("tos.rtd",,"VOLUME","."&amp;B$2&amp;B$1&amp;"P"&amp;$A8)*RTD("tos.rtd",,"GAMMA","."&amp;B$2&amp;B$1&amp;"P"&amp;$A8))/1000000),0),IF($A$2="GEX",IFERROR(IF($X$1="ABS",($A$4*$A$4*RTD("tos.rtd",,"OPEN_INT","."&amp;B$2&amp;B$1&amp;"C"&amp;$A8)*RTD("tos.rtd",,"GAMMA","."&amp;B$2&amp;B$1&amp;"C"&amp;$A8)+$A$4*$A$4*RTD("tos.rtd",,"OPEN_INT","."&amp;B$2&amp;B$1&amp;"P"&amp;$A8)*RTD("tos.rtd",,"GAMMA","."&amp;B$2&amp;B$1&amp;"P"&amp;$A8))/1000000,($A$4*$A$4*RTD("tos.rtd",,"OPEN_INT","."&amp;B$2&amp;B$1&amp;"C"&amp;$A8)*RTD("tos.rtd",,"GAMMA","."&amp;B$2&amp;B$1&amp;"C"&amp;$A8)-$A$4*$A$4*RTD("tos.rtd",,"OPEN_INT","."&amp;B$2&amp;B$1&amp;"P"&amp;$A8)*RTD("tos.rtd",,"GAMMA","."&amp;B$2&amp;B$1&amp;"P"&amp;$A8))/1000000),0),IF($A$2="SKEW",IFERROR(VALUE(IF(RTD("tos.rtd",,"IMPL_VOL","."&amp;B$2&amp;B$1&amp;"P"&amp;$A8)="N/A",0,RTD("tos.rtd",,"IMPL_VOL","."&amp;B$2&amp;B$1&amp;"P"&amp;$A8))),0)-IFERROR(VALUE(IF(RTD("tos.rtd",,"IMPL_VOL","."&amp;B$2&amp;B$1&amp;"C"&amp;$A8)="N/A",0,RTD("tos.rtd",,"IMPL_VOL","."&amp;B$2&amp;B$1&amp;"C"&amp;$A8))),0),IF($A$2="MAXPAIN",IF($A$4&gt;$A8,($A$4-$A8)*IF(RTD("tos.rtd",,"OPEN_INT","."&amp;B$2&amp;B$1&amp;"C"&amp;$A8)="N/A",0,RTD("tos.rtd",,"OPEN_INT","."&amp;B$2&amp;B$1&amp;"C"&amp;$A8)),0)+IF($A$4&lt;$A8,($A$5-$A$4)*IF(RTD("tos.rtd",,"OPEN_INT","."&amp;B$2&amp;B$1&amp;"P"&amp;$A8)="N/A",0,RTD("tos.rtd",,"OPEN_INT","."&amp;B$2&amp;B$1&amp;"P"&amp;$A8)),0),IF($X$1="ABS",IF(RTD("tos.rtd",,$A$2,"."&amp;B$2&amp;B$1&amp;"C"&amp;$A8)="N/A",0,RTD("tos.rtd",,$A$2,"."&amp;B$2&amp;B$1&amp;"C"&amp;$A8))+IF(RTD("tos.rtd",,$A$2,"."&amp;B$2&amp;B$1&amp;"P"&amp;$A8)="N/A",0,RTD("tos.rtd",,$A$2,"."&amp;B$2&amp;B$1&amp;"P"&amp;$A8)),IF(RTD("tos.rtd",,$A$2,"."&amp;B$2&amp;B$1&amp;"C"&amp;$A8)="N/A",0,RTD("tos.rtd",,$A$2,"."&amp;B$2&amp;B$1&amp;"C"&amp;$A8))-IF(RTD("tos.rtd",,$A$2,"."&amp;B$2&amp;B$1&amp;"P"&amp;$A8)="N/A",0,RTD("tos.rtd",,$A$2,"."&amp;B$2&amp;B$1&amp;"P"&amp;$A8))))))))))</f>
        <v>0</v>
      </c>
      <c r="C8" s="12">
        <f ca="1">IF($A$2="PREMIUM_OI",IFERROR(IF($X$1="ABS",(100*RTD("tos.rtd",,"OPEN_INT","."&amp;C$2&amp;C$1&amp;"C"&amp;$A8)*RTD("tos.rtd",,"LAST","."&amp;C$2&amp;C$1&amp;"C"&amp;$A8)+100*RTD("tos.rtd",,"OPEN_INT","."&amp;C$2&amp;C$1&amp;"P"&amp;$A8)*RTD("tos.rtd",,"LAST","."&amp;C$2&amp;C$1&amp;"P"&amp;$A8))/1000000,(100*RTD("tos.rtd",,"OPEN_INT","."&amp;C$2&amp;C$1&amp;"C"&amp;$A8)*RTD("tos.rtd",,"LAST","."&amp;C$2&amp;C$1&amp;"C"&amp;$A8)-100*RTD("tos.rtd",,"OPEN_INT","."&amp;C$2&amp;C$1&amp;"P"&amp;$A8)*RTD("tos.rtd",,"LAST","."&amp;C$2&amp;C$1&amp;"P"&amp;$A8))/1000000),0),IF($A$2="PREMIUM",IFERROR(IF($X$1="ABS",(100*RTD("tos.rtd",,"VOLUME","."&amp;C$2&amp;C$1&amp;"C"&amp;$A8)*RTD("tos.rtd",,"LAST","."&amp;C$2&amp;C$1&amp;"C"&amp;$A8)+100*RTD("tos.rtd",,"VOLUME","."&amp;C$2&amp;C$1&amp;"P"&amp;$A8)*RTD("tos.rtd",,"LAST","."&amp;C$2&amp;C$1&amp;"P"&amp;$A8))/1000000,(100*RTD("tos.rtd",,"VOLUME","."&amp;C$2&amp;C$1&amp;"C"&amp;$A8)*RTD("tos.rtd",,"LAST","."&amp;C$2&amp;C$1&amp;"C"&amp;$A8)-100*RTD("tos.rtd",,"VOLUME","."&amp;C$2&amp;C$1&amp;"P"&amp;$A8)*RTD("tos.rtd",,"LAST","."&amp;C$2&amp;C$1&amp;"P"&amp;$A8))/1000000),0),IF($A$2="DEX",IFERROR(IF($X$1="ABS",(100*RTD("tos.rtd",,"OPEN_INT","."&amp;C$2&amp;C$1&amp;"C"&amp;$A8)*RTD("tos.rtd",,"DELTA","."&amp;C$2&amp;C$1&amp;"C"&amp;$A8)+100*RTD("tos.rtd",,"OPEN_INT","."&amp;C$2&amp;C$1&amp;"P"&amp;$A8)*RTD("tos.rtd",,"DELTA","."&amp;C$2&amp;C$1&amp;"P"&amp;$A8))/1000,(100*RTD("tos.rtd",,"OPEN_INT","."&amp;C$2&amp;C$1&amp;"C"&amp;$A8)*RTD("tos.rtd",,"DELTA","."&amp;C$2&amp;C$1&amp;"C"&amp;$A8)-100*RTD("tos.rtd",,"OPEN_INT","."&amp;C$2&amp;C$1&amp;"P"&amp;$A8)*RTD("tos.rtd",,"DELTA","."&amp;C$2&amp;C$1&amp;"P"&amp;$A8))/1000),0),IF($A$2="VEX",IFERROR(IF($X$1="ABS",($A$4*$A$4*RTD("tos.rtd",,"VOLUME","."&amp;C$2&amp;C$1&amp;"C"&amp;$A8)*RTD("tos.rtd",,"GAMMA","."&amp;C$2&amp;C$1&amp;"C"&amp;$A8)+$A$4*$A$4*RTD("tos.rtd",,"VOLUME","."&amp;C$2&amp;C$1&amp;"P"&amp;$A8)*RTD("tos.rtd",,"GAMMA","."&amp;C$2&amp;C$1&amp;"P"&amp;$A8))/1000000,($A$4*$A$4*RTD("tos.rtd",,"VOLUME","."&amp;C$2&amp;C$1&amp;"C"&amp;$A8)*RTD("tos.rtd",,"GAMMA","."&amp;C$2&amp;C$1&amp;"C"&amp;$A8)-$A$4*$A$4*RTD("tos.rtd",,"VOLUME","."&amp;C$2&amp;C$1&amp;"P"&amp;$A8)*RTD("tos.rtd",,"GAMMA","."&amp;C$2&amp;C$1&amp;"P"&amp;$A8))/1000000),0),IF($A$2="GEX",IFERROR(IF($X$1="ABS",($A$4*$A$4*RTD("tos.rtd",,"OPEN_INT","."&amp;C$2&amp;C$1&amp;"C"&amp;$A8)*RTD("tos.rtd",,"GAMMA","."&amp;C$2&amp;C$1&amp;"C"&amp;$A8)+$A$4*$A$4*RTD("tos.rtd",,"OPEN_INT","."&amp;C$2&amp;C$1&amp;"P"&amp;$A8)*RTD("tos.rtd",,"GAMMA","."&amp;C$2&amp;C$1&amp;"P"&amp;$A8))/1000000,($A$4*$A$4*RTD("tos.rtd",,"OPEN_INT","."&amp;C$2&amp;C$1&amp;"C"&amp;$A8)*RTD("tos.rtd",,"GAMMA","."&amp;C$2&amp;C$1&amp;"C"&amp;$A8)-$A$4*$A$4*RTD("tos.rtd",,"OPEN_INT","."&amp;C$2&amp;C$1&amp;"P"&amp;$A8)*RTD("tos.rtd",,"GAMMA","."&amp;C$2&amp;C$1&amp;"P"&amp;$A8))/1000000),0),IF($A$2="SKEW",IFERROR(VALUE(IF(RTD("tos.rtd",,"IMPL_VOL","."&amp;C$2&amp;C$1&amp;"P"&amp;$A8)="N/A",0,RTD("tos.rtd",,"IMPL_VOL","."&amp;C$2&amp;C$1&amp;"P"&amp;$A8))),0)-IFERROR(VALUE(IF(RTD("tos.rtd",,"IMPL_VOL","."&amp;C$2&amp;C$1&amp;"C"&amp;$A8)="N/A",0,RTD("tos.rtd",,"IMPL_VOL","."&amp;C$2&amp;C$1&amp;"C"&amp;$A8))),0),IF($A$2="MAXPAIN",IF($A$4&gt;$A8,($A$4-$A8)*IF(RTD("tos.rtd",,"OPEN_INT","."&amp;C$2&amp;C$1&amp;"C"&amp;$A8)="N/A",0,RTD("tos.rtd",,"OPEN_INT","."&amp;C$2&amp;C$1&amp;"C"&amp;$A8)),0)+IF($A$4&lt;$A8,($A$5-$A$4)*IF(RTD("tos.rtd",,"OPEN_INT","."&amp;C$2&amp;C$1&amp;"P"&amp;$A8)="N/A",0,RTD("tos.rtd",,"OPEN_INT","."&amp;C$2&amp;C$1&amp;"P"&amp;$A8)),0),IF($X$1="ABS",IF(RTD("tos.rtd",,$A$2,"."&amp;C$2&amp;C$1&amp;"C"&amp;$A8)="N/A",0,RTD("tos.rtd",,$A$2,"."&amp;C$2&amp;C$1&amp;"C"&amp;$A8))+IF(RTD("tos.rtd",,$A$2,"."&amp;C$2&amp;C$1&amp;"P"&amp;$A8)="N/A",0,RTD("tos.rtd",,$A$2,"."&amp;C$2&amp;C$1&amp;"P"&amp;$A8)),IF(RTD("tos.rtd",,$A$2,"."&amp;C$2&amp;C$1&amp;"C"&amp;$A8)="N/A",0,RTD("tos.rtd",,$A$2,"."&amp;C$2&amp;C$1&amp;"C"&amp;$A8))-IF(RTD("tos.rtd",,$A$2,"."&amp;C$2&amp;C$1&amp;"P"&amp;$A8)="N/A",0,RTD("tos.rtd",,$A$2,"."&amp;C$2&amp;C$1&amp;"P"&amp;$A8))))))))))</f>
        <v>0</v>
      </c>
      <c r="D8" s="12">
        <f ca="1">IF($A$2="PREMIUM_OI",IFERROR(IF($X$1="ABS",(100*RTD("tos.rtd",,"OPEN_INT","."&amp;D$2&amp;D$1&amp;"C"&amp;$A8)*RTD("tos.rtd",,"LAST","."&amp;D$2&amp;D$1&amp;"C"&amp;$A8)+100*RTD("tos.rtd",,"OPEN_INT","."&amp;D$2&amp;D$1&amp;"P"&amp;$A8)*RTD("tos.rtd",,"LAST","."&amp;D$2&amp;D$1&amp;"P"&amp;$A8))/1000000,(100*RTD("tos.rtd",,"OPEN_INT","."&amp;D$2&amp;D$1&amp;"C"&amp;$A8)*RTD("tos.rtd",,"LAST","."&amp;D$2&amp;D$1&amp;"C"&amp;$A8)-100*RTD("tos.rtd",,"OPEN_INT","."&amp;D$2&amp;D$1&amp;"P"&amp;$A8)*RTD("tos.rtd",,"LAST","."&amp;D$2&amp;D$1&amp;"P"&amp;$A8))/1000000),0),IF($A$2="PREMIUM",IFERROR(IF($X$1="ABS",(100*RTD("tos.rtd",,"VOLUME","."&amp;D$2&amp;D$1&amp;"C"&amp;$A8)*RTD("tos.rtd",,"LAST","."&amp;D$2&amp;D$1&amp;"C"&amp;$A8)+100*RTD("tos.rtd",,"VOLUME","."&amp;D$2&amp;D$1&amp;"P"&amp;$A8)*RTD("tos.rtd",,"LAST","."&amp;D$2&amp;D$1&amp;"P"&amp;$A8))/1000000,(100*RTD("tos.rtd",,"VOLUME","."&amp;D$2&amp;D$1&amp;"C"&amp;$A8)*RTD("tos.rtd",,"LAST","."&amp;D$2&amp;D$1&amp;"C"&amp;$A8)-100*RTD("tos.rtd",,"VOLUME","."&amp;D$2&amp;D$1&amp;"P"&amp;$A8)*RTD("tos.rtd",,"LAST","."&amp;D$2&amp;D$1&amp;"P"&amp;$A8))/1000000),0),IF($A$2="DEX",IFERROR(IF($X$1="ABS",(100*RTD("tos.rtd",,"OPEN_INT","."&amp;D$2&amp;D$1&amp;"C"&amp;$A8)*RTD("tos.rtd",,"DELTA","."&amp;D$2&amp;D$1&amp;"C"&amp;$A8)+100*RTD("tos.rtd",,"OPEN_INT","."&amp;D$2&amp;D$1&amp;"P"&amp;$A8)*RTD("tos.rtd",,"DELTA","."&amp;D$2&amp;D$1&amp;"P"&amp;$A8))/1000,(100*RTD("tos.rtd",,"OPEN_INT","."&amp;D$2&amp;D$1&amp;"C"&amp;$A8)*RTD("tos.rtd",,"DELTA","."&amp;D$2&amp;D$1&amp;"C"&amp;$A8)-100*RTD("tos.rtd",,"OPEN_INT","."&amp;D$2&amp;D$1&amp;"P"&amp;$A8)*RTD("tos.rtd",,"DELTA","."&amp;D$2&amp;D$1&amp;"P"&amp;$A8))/1000),0),IF($A$2="VEX",IFERROR(IF($X$1="ABS",($A$4*$A$4*RTD("tos.rtd",,"VOLUME","."&amp;D$2&amp;D$1&amp;"C"&amp;$A8)*RTD("tos.rtd",,"GAMMA","."&amp;D$2&amp;D$1&amp;"C"&amp;$A8)+$A$4*$A$4*RTD("tos.rtd",,"VOLUME","."&amp;D$2&amp;D$1&amp;"P"&amp;$A8)*RTD("tos.rtd",,"GAMMA","."&amp;D$2&amp;D$1&amp;"P"&amp;$A8))/1000000,($A$4*$A$4*RTD("tos.rtd",,"VOLUME","."&amp;D$2&amp;D$1&amp;"C"&amp;$A8)*RTD("tos.rtd",,"GAMMA","."&amp;D$2&amp;D$1&amp;"C"&amp;$A8)-$A$4*$A$4*RTD("tos.rtd",,"VOLUME","."&amp;D$2&amp;D$1&amp;"P"&amp;$A8)*RTD("tos.rtd",,"GAMMA","."&amp;D$2&amp;D$1&amp;"P"&amp;$A8))/1000000),0),IF($A$2="GEX",IFERROR(IF($X$1="ABS",($A$4*$A$4*RTD("tos.rtd",,"OPEN_INT","."&amp;D$2&amp;D$1&amp;"C"&amp;$A8)*RTD("tos.rtd",,"GAMMA","."&amp;D$2&amp;D$1&amp;"C"&amp;$A8)+$A$4*$A$4*RTD("tos.rtd",,"OPEN_INT","."&amp;D$2&amp;D$1&amp;"P"&amp;$A8)*RTD("tos.rtd",,"GAMMA","."&amp;D$2&amp;D$1&amp;"P"&amp;$A8))/1000000,($A$4*$A$4*RTD("tos.rtd",,"OPEN_INT","."&amp;D$2&amp;D$1&amp;"C"&amp;$A8)*RTD("tos.rtd",,"GAMMA","."&amp;D$2&amp;D$1&amp;"C"&amp;$A8)-$A$4*$A$4*RTD("tos.rtd",,"OPEN_INT","."&amp;D$2&amp;D$1&amp;"P"&amp;$A8)*RTD("tos.rtd",,"GAMMA","."&amp;D$2&amp;D$1&amp;"P"&amp;$A8))/1000000),0),IF($A$2="SKEW",IFERROR(VALUE(IF(RTD("tos.rtd",,"IMPL_VOL","."&amp;D$2&amp;D$1&amp;"P"&amp;$A8)="N/A",0,RTD("tos.rtd",,"IMPL_VOL","."&amp;D$2&amp;D$1&amp;"P"&amp;$A8))),0)-IFERROR(VALUE(IF(RTD("tos.rtd",,"IMPL_VOL","."&amp;D$2&amp;D$1&amp;"C"&amp;$A8)="N/A",0,RTD("tos.rtd",,"IMPL_VOL","."&amp;D$2&amp;D$1&amp;"C"&amp;$A8))),0),IF($A$2="MAXPAIN",IF($A$4&gt;$A8,($A$4-$A8)*IF(RTD("tos.rtd",,"OPEN_INT","."&amp;D$2&amp;D$1&amp;"C"&amp;$A8)="N/A",0,RTD("tos.rtd",,"OPEN_INT","."&amp;D$2&amp;D$1&amp;"C"&amp;$A8)),0)+IF($A$4&lt;$A8,($A$5-$A$4)*IF(RTD("tos.rtd",,"OPEN_INT","."&amp;D$2&amp;D$1&amp;"P"&amp;$A8)="N/A",0,RTD("tos.rtd",,"OPEN_INT","."&amp;D$2&amp;D$1&amp;"P"&amp;$A8)),0),IF($X$1="ABS",IF(RTD("tos.rtd",,$A$2,"."&amp;D$2&amp;D$1&amp;"C"&amp;$A8)="N/A",0,RTD("tos.rtd",,$A$2,"."&amp;D$2&amp;D$1&amp;"C"&amp;$A8))+IF(RTD("tos.rtd",,$A$2,"."&amp;D$2&amp;D$1&amp;"P"&amp;$A8)="N/A",0,RTD("tos.rtd",,$A$2,"."&amp;D$2&amp;D$1&amp;"P"&amp;$A8)),IF(RTD("tos.rtd",,$A$2,"."&amp;D$2&amp;D$1&amp;"C"&amp;$A8)="N/A",0,RTD("tos.rtd",,$A$2,"."&amp;D$2&amp;D$1&amp;"C"&amp;$A8))-IF(RTD("tos.rtd",,$A$2,"."&amp;D$2&amp;D$1&amp;"P"&amp;$A8)="N/A",0,RTD("tos.rtd",,$A$2,"."&amp;D$2&amp;D$1&amp;"P"&amp;$A8))))))))))</f>
        <v>6906</v>
      </c>
      <c r="E8" s="12">
        <f ca="1">IF($A$2="PREMIUM_OI",IFERROR(IF($X$1="ABS",(100*RTD("tos.rtd",,"OPEN_INT","."&amp;E$2&amp;E$1&amp;"C"&amp;$A8)*RTD("tos.rtd",,"LAST","."&amp;E$2&amp;E$1&amp;"C"&amp;$A8)+100*RTD("tos.rtd",,"OPEN_INT","."&amp;E$2&amp;E$1&amp;"P"&amp;$A8)*RTD("tos.rtd",,"LAST","."&amp;E$2&amp;E$1&amp;"P"&amp;$A8))/1000000,(100*RTD("tos.rtd",,"OPEN_INT","."&amp;E$2&amp;E$1&amp;"C"&amp;$A8)*RTD("tos.rtd",,"LAST","."&amp;E$2&amp;E$1&amp;"C"&amp;$A8)-100*RTD("tos.rtd",,"OPEN_INT","."&amp;E$2&amp;E$1&amp;"P"&amp;$A8)*RTD("tos.rtd",,"LAST","."&amp;E$2&amp;E$1&amp;"P"&amp;$A8))/1000000),0),IF($A$2="PREMIUM",IFERROR(IF($X$1="ABS",(100*RTD("tos.rtd",,"VOLUME","."&amp;E$2&amp;E$1&amp;"C"&amp;$A8)*RTD("tos.rtd",,"LAST","."&amp;E$2&amp;E$1&amp;"C"&amp;$A8)+100*RTD("tos.rtd",,"VOLUME","."&amp;E$2&amp;E$1&amp;"P"&amp;$A8)*RTD("tos.rtd",,"LAST","."&amp;E$2&amp;E$1&amp;"P"&amp;$A8))/1000000,(100*RTD("tos.rtd",,"VOLUME","."&amp;E$2&amp;E$1&amp;"C"&amp;$A8)*RTD("tos.rtd",,"LAST","."&amp;E$2&amp;E$1&amp;"C"&amp;$A8)-100*RTD("tos.rtd",,"VOLUME","."&amp;E$2&amp;E$1&amp;"P"&amp;$A8)*RTD("tos.rtd",,"LAST","."&amp;E$2&amp;E$1&amp;"P"&amp;$A8))/1000000),0),IF($A$2="DEX",IFERROR(IF($X$1="ABS",(100*RTD("tos.rtd",,"OPEN_INT","."&amp;E$2&amp;E$1&amp;"C"&amp;$A8)*RTD("tos.rtd",,"DELTA","."&amp;E$2&amp;E$1&amp;"C"&amp;$A8)+100*RTD("tos.rtd",,"OPEN_INT","."&amp;E$2&amp;E$1&amp;"P"&amp;$A8)*RTD("tos.rtd",,"DELTA","."&amp;E$2&amp;E$1&amp;"P"&amp;$A8))/1000,(100*RTD("tos.rtd",,"OPEN_INT","."&amp;E$2&amp;E$1&amp;"C"&amp;$A8)*RTD("tos.rtd",,"DELTA","."&amp;E$2&amp;E$1&amp;"C"&amp;$A8)-100*RTD("tos.rtd",,"OPEN_INT","."&amp;E$2&amp;E$1&amp;"P"&amp;$A8)*RTD("tos.rtd",,"DELTA","."&amp;E$2&amp;E$1&amp;"P"&amp;$A8))/1000),0),IF($A$2="VEX",IFERROR(IF($X$1="ABS",($A$4*$A$4*RTD("tos.rtd",,"VOLUME","."&amp;E$2&amp;E$1&amp;"C"&amp;$A8)*RTD("tos.rtd",,"GAMMA","."&amp;E$2&amp;E$1&amp;"C"&amp;$A8)+$A$4*$A$4*RTD("tos.rtd",,"VOLUME","."&amp;E$2&amp;E$1&amp;"P"&amp;$A8)*RTD("tos.rtd",,"GAMMA","."&amp;E$2&amp;E$1&amp;"P"&amp;$A8))/1000000,($A$4*$A$4*RTD("tos.rtd",,"VOLUME","."&amp;E$2&amp;E$1&amp;"C"&amp;$A8)*RTD("tos.rtd",,"GAMMA","."&amp;E$2&amp;E$1&amp;"C"&amp;$A8)-$A$4*$A$4*RTD("tos.rtd",,"VOLUME","."&amp;E$2&amp;E$1&amp;"P"&amp;$A8)*RTD("tos.rtd",,"GAMMA","."&amp;E$2&amp;E$1&amp;"P"&amp;$A8))/1000000),0),IF($A$2="GEX",IFERROR(IF($X$1="ABS",($A$4*$A$4*RTD("tos.rtd",,"OPEN_INT","."&amp;E$2&amp;E$1&amp;"C"&amp;$A8)*RTD("tos.rtd",,"GAMMA","."&amp;E$2&amp;E$1&amp;"C"&amp;$A8)+$A$4*$A$4*RTD("tos.rtd",,"OPEN_INT","."&amp;E$2&amp;E$1&amp;"P"&amp;$A8)*RTD("tos.rtd",,"GAMMA","."&amp;E$2&amp;E$1&amp;"P"&amp;$A8))/1000000,($A$4*$A$4*RTD("tos.rtd",,"OPEN_INT","."&amp;E$2&amp;E$1&amp;"C"&amp;$A8)*RTD("tos.rtd",,"GAMMA","."&amp;E$2&amp;E$1&amp;"C"&amp;$A8)-$A$4*$A$4*RTD("tos.rtd",,"OPEN_INT","."&amp;E$2&amp;E$1&amp;"P"&amp;$A8)*RTD("tos.rtd",,"GAMMA","."&amp;E$2&amp;E$1&amp;"P"&amp;$A8))/1000000),0),IF($A$2="SKEW",IFERROR(VALUE(IF(RTD("tos.rtd",,"IMPL_VOL","."&amp;E$2&amp;E$1&amp;"P"&amp;$A8)="N/A",0,RTD("tos.rtd",,"IMPL_VOL","."&amp;E$2&amp;E$1&amp;"P"&amp;$A8))),0)-IFERROR(VALUE(IF(RTD("tos.rtd",,"IMPL_VOL","."&amp;E$2&amp;E$1&amp;"C"&amp;$A8)="N/A",0,RTD("tos.rtd",,"IMPL_VOL","."&amp;E$2&amp;E$1&amp;"C"&amp;$A8))),0),IF($A$2="MAXPAIN",IF($A$4&gt;$A8,($A$4-$A8)*IF(RTD("tos.rtd",,"OPEN_INT","."&amp;E$2&amp;E$1&amp;"C"&amp;$A8)="N/A",0,RTD("tos.rtd",,"OPEN_INT","."&amp;E$2&amp;E$1&amp;"C"&amp;$A8)),0)+IF($A$4&lt;$A8,($A$5-$A$4)*IF(RTD("tos.rtd",,"OPEN_INT","."&amp;E$2&amp;E$1&amp;"P"&amp;$A8)="N/A",0,RTD("tos.rtd",,"OPEN_INT","."&amp;E$2&amp;E$1&amp;"P"&amp;$A8)),0),IF($X$1="ABS",IF(RTD("tos.rtd",,$A$2,"."&amp;E$2&amp;E$1&amp;"C"&amp;$A8)="N/A",0,RTD("tos.rtd",,$A$2,"."&amp;E$2&amp;E$1&amp;"C"&amp;$A8))+IF(RTD("tos.rtd",,$A$2,"."&amp;E$2&amp;E$1&amp;"P"&amp;$A8)="N/A",0,RTD("tos.rtd",,$A$2,"."&amp;E$2&amp;E$1&amp;"P"&amp;$A8)),IF(RTD("tos.rtd",,$A$2,"."&amp;E$2&amp;E$1&amp;"C"&amp;$A8)="N/A",0,RTD("tos.rtd",,$A$2,"."&amp;E$2&amp;E$1&amp;"C"&amp;$A8))-IF(RTD("tos.rtd",,$A$2,"."&amp;E$2&amp;E$1&amp;"P"&amp;$A8)="N/A",0,RTD("tos.rtd",,$A$2,"."&amp;E$2&amp;E$1&amp;"P"&amp;$A8))))))))))</f>
        <v>0</v>
      </c>
      <c r="F8" s="12">
        <f ca="1">IF($A$2="PREMIUM_OI",IFERROR(IF($X$1="ABS",(100*RTD("tos.rtd",,"OPEN_INT","."&amp;F$2&amp;F$1&amp;"C"&amp;$A8)*RTD("tos.rtd",,"LAST","."&amp;F$2&amp;F$1&amp;"C"&amp;$A8)+100*RTD("tos.rtd",,"OPEN_INT","."&amp;F$2&amp;F$1&amp;"P"&amp;$A8)*RTD("tos.rtd",,"LAST","."&amp;F$2&amp;F$1&amp;"P"&amp;$A8))/1000000,(100*RTD("tos.rtd",,"OPEN_INT","."&amp;F$2&amp;F$1&amp;"C"&amp;$A8)*RTD("tos.rtd",,"LAST","."&amp;F$2&amp;F$1&amp;"C"&amp;$A8)-100*RTD("tos.rtd",,"OPEN_INT","."&amp;F$2&amp;F$1&amp;"P"&amp;$A8)*RTD("tos.rtd",,"LAST","."&amp;F$2&amp;F$1&amp;"P"&amp;$A8))/1000000),0),IF($A$2="PREMIUM",IFERROR(IF($X$1="ABS",(100*RTD("tos.rtd",,"VOLUME","."&amp;F$2&amp;F$1&amp;"C"&amp;$A8)*RTD("tos.rtd",,"LAST","."&amp;F$2&amp;F$1&amp;"C"&amp;$A8)+100*RTD("tos.rtd",,"VOLUME","."&amp;F$2&amp;F$1&amp;"P"&amp;$A8)*RTD("tos.rtd",,"LAST","."&amp;F$2&amp;F$1&amp;"P"&amp;$A8))/1000000,(100*RTD("tos.rtd",,"VOLUME","."&amp;F$2&amp;F$1&amp;"C"&amp;$A8)*RTD("tos.rtd",,"LAST","."&amp;F$2&amp;F$1&amp;"C"&amp;$A8)-100*RTD("tos.rtd",,"VOLUME","."&amp;F$2&amp;F$1&amp;"P"&amp;$A8)*RTD("tos.rtd",,"LAST","."&amp;F$2&amp;F$1&amp;"P"&amp;$A8))/1000000),0),IF($A$2="DEX",IFERROR(IF($X$1="ABS",(100*RTD("tos.rtd",,"OPEN_INT","."&amp;F$2&amp;F$1&amp;"C"&amp;$A8)*RTD("tos.rtd",,"DELTA","."&amp;F$2&amp;F$1&amp;"C"&amp;$A8)+100*RTD("tos.rtd",,"OPEN_INT","."&amp;F$2&amp;F$1&amp;"P"&amp;$A8)*RTD("tos.rtd",,"DELTA","."&amp;F$2&amp;F$1&amp;"P"&amp;$A8))/1000,(100*RTD("tos.rtd",,"OPEN_INT","."&amp;F$2&amp;F$1&amp;"C"&amp;$A8)*RTD("tos.rtd",,"DELTA","."&amp;F$2&amp;F$1&amp;"C"&amp;$A8)-100*RTD("tos.rtd",,"OPEN_INT","."&amp;F$2&amp;F$1&amp;"P"&amp;$A8)*RTD("tos.rtd",,"DELTA","."&amp;F$2&amp;F$1&amp;"P"&amp;$A8))/1000),0),IF($A$2="VEX",IFERROR(IF($X$1="ABS",($A$4*$A$4*RTD("tos.rtd",,"VOLUME","."&amp;F$2&amp;F$1&amp;"C"&amp;$A8)*RTD("tos.rtd",,"GAMMA","."&amp;F$2&amp;F$1&amp;"C"&amp;$A8)+$A$4*$A$4*RTD("tos.rtd",,"VOLUME","."&amp;F$2&amp;F$1&amp;"P"&amp;$A8)*RTD("tos.rtd",,"GAMMA","."&amp;F$2&amp;F$1&amp;"P"&amp;$A8))/1000000,($A$4*$A$4*RTD("tos.rtd",,"VOLUME","."&amp;F$2&amp;F$1&amp;"C"&amp;$A8)*RTD("tos.rtd",,"GAMMA","."&amp;F$2&amp;F$1&amp;"C"&amp;$A8)-$A$4*$A$4*RTD("tos.rtd",,"VOLUME","."&amp;F$2&amp;F$1&amp;"P"&amp;$A8)*RTD("tos.rtd",,"GAMMA","."&amp;F$2&amp;F$1&amp;"P"&amp;$A8))/1000000),0),IF($A$2="GEX",IFERROR(IF($X$1="ABS",($A$4*$A$4*RTD("tos.rtd",,"OPEN_INT","."&amp;F$2&amp;F$1&amp;"C"&amp;$A8)*RTD("tos.rtd",,"GAMMA","."&amp;F$2&amp;F$1&amp;"C"&amp;$A8)+$A$4*$A$4*RTD("tos.rtd",,"OPEN_INT","."&amp;F$2&amp;F$1&amp;"P"&amp;$A8)*RTD("tos.rtd",,"GAMMA","."&amp;F$2&amp;F$1&amp;"P"&amp;$A8))/1000000,($A$4*$A$4*RTD("tos.rtd",,"OPEN_INT","."&amp;F$2&amp;F$1&amp;"C"&amp;$A8)*RTD("tos.rtd",,"GAMMA","."&amp;F$2&amp;F$1&amp;"C"&amp;$A8)-$A$4*$A$4*RTD("tos.rtd",,"OPEN_INT","."&amp;F$2&amp;F$1&amp;"P"&amp;$A8)*RTD("tos.rtd",,"GAMMA","."&amp;F$2&amp;F$1&amp;"P"&amp;$A8))/1000000),0),IF($A$2="SKEW",IFERROR(VALUE(IF(RTD("tos.rtd",,"IMPL_VOL","."&amp;F$2&amp;F$1&amp;"P"&amp;$A8)="N/A",0,RTD("tos.rtd",,"IMPL_VOL","."&amp;F$2&amp;F$1&amp;"P"&amp;$A8))),0)-IFERROR(VALUE(IF(RTD("tos.rtd",,"IMPL_VOL","."&amp;F$2&amp;F$1&amp;"C"&amp;$A8)="N/A",0,RTD("tos.rtd",,"IMPL_VOL","."&amp;F$2&amp;F$1&amp;"C"&amp;$A8))),0),IF($A$2="MAXPAIN",IF($A$4&gt;$A8,($A$4-$A8)*IF(RTD("tos.rtd",,"OPEN_INT","."&amp;F$2&amp;F$1&amp;"C"&amp;$A8)="N/A",0,RTD("tos.rtd",,"OPEN_INT","."&amp;F$2&amp;F$1&amp;"C"&amp;$A8)),0)+IF($A$4&lt;$A8,($A$5-$A$4)*IF(RTD("tos.rtd",,"OPEN_INT","."&amp;F$2&amp;F$1&amp;"P"&amp;$A8)="N/A",0,RTD("tos.rtd",,"OPEN_INT","."&amp;F$2&amp;F$1&amp;"P"&amp;$A8)),0),IF($X$1="ABS",IF(RTD("tos.rtd",,$A$2,"."&amp;F$2&amp;F$1&amp;"C"&amp;$A8)="N/A",0,RTD("tos.rtd",,$A$2,"."&amp;F$2&amp;F$1&amp;"C"&amp;$A8))+IF(RTD("tos.rtd",,$A$2,"."&amp;F$2&amp;F$1&amp;"P"&amp;$A8)="N/A",0,RTD("tos.rtd",,$A$2,"."&amp;F$2&amp;F$1&amp;"P"&amp;$A8)),IF(RTD("tos.rtd",,$A$2,"."&amp;F$2&amp;F$1&amp;"C"&amp;$A8)="N/A",0,RTD("tos.rtd",,$A$2,"."&amp;F$2&amp;F$1&amp;"C"&amp;$A8))-IF(RTD("tos.rtd",,$A$2,"."&amp;F$2&amp;F$1&amp;"P"&amp;$A8)="N/A",0,RTD("tos.rtd",,$A$2,"."&amp;F$2&amp;F$1&amp;"P"&amp;$A8))))))))))</f>
        <v>0</v>
      </c>
      <c r="G8" s="57">
        <f ca="1">IF($A$2="PREMIUM_OI",IFERROR(IF($X$1="ABS",(100*RTD("tos.rtd",,"OPEN_INT","."&amp;G$2&amp;G$1&amp;"C"&amp;$A8)*RTD("tos.rtd",,"LAST","."&amp;G$2&amp;G$1&amp;"C"&amp;$A8)+100*RTD("tos.rtd",,"OPEN_INT","."&amp;G$2&amp;G$1&amp;"P"&amp;$A8)*RTD("tos.rtd",,"LAST","."&amp;G$2&amp;G$1&amp;"P"&amp;$A8))/1000000,(100*RTD("tos.rtd",,"OPEN_INT","."&amp;G$2&amp;G$1&amp;"C"&amp;$A8)*RTD("tos.rtd",,"LAST","."&amp;G$2&amp;G$1&amp;"C"&amp;$A8)-100*RTD("tos.rtd",,"OPEN_INT","."&amp;G$2&amp;G$1&amp;"P"&amp;$A8)*RTD("tos.rtd",,"LAST","."&amp;G$2&amp;G$1&amp;"P"&amp;$A8))/1000000),0),IF($A$2="PREMIUM",IFERROR(IF($X$1="ABS",(100*RTD("tos.rtd",,"VOLUME","."&amp;G$2&amp;G$1&amp;"C"&amp;$A8)*RTD("tos.rtd",,"LAST","."&amp;G$2&amp;G$1&amp;"C"&amp;$A8)+100*RTD("tos.rtd",,"VOLUME","."&amp;G$2&amp;G$1&amp;"P"&amp;$A8)*RTD("tos.rtd",,"LAST","."&amp;G$2&amp;G$1&amp;"P"&amp;$A8))/1000000,(100*RTD("tos.rtd",,"VOLUME","."&amp;G$2&amp;G$1&amp;"C"&amp;$A8)*RTD("tos.rtd",,"LAST","."&amp;G$2&amp;G$1&amp;"C"&amp;$A8)-100*RTD("tos.rtd",,"VOLUME","."&amp;G$2&amp;G$1&amp;"P"&amp;$A8)*RTD("tos.rtd",,"LAST","."&amp;G$2&amp;G$1&amp;"P"&amp;$A8))/1000000),0),IF($A$2="DEX",IFERROR(IF($X$1="ABS",(100*RTD("tos.rtd",,"OPEN_INT","."&amp;G$2&amp;G$1&amp;"C"&amp;$A8)*RTD("tos.rtd",,"DELTA","."&amp;G$2&amp;G$1&amp;"C"&amp;$A8)+100*RTD("tos.rtd",,"OPEN_INT","."&amp;G$2&amp;G$1&amp;"P"&amp;$A8)*RTD("tos.rtd",,"DELTA","."&amp;G$2&amp;G$1&amp;"P"&amp;$A8))/1000,(100*RTD("tos.rtd",,"OPEN_INT","."&amp;G$2&amp;G$1&amp;"C"&amp;$A8)*RTD("tos.rtd",,"DELTA","."&amp;G$2&amp;G$1&amp;"C"&amp;$A8)-100*RTD("tos.rtd",,"OPEN_INT","."&amp;G$2&amp;G$1&amp;"P"&amp;$A8)*RTD("tos.rtd",,"DELTA","."&amp;G$2&amp;G$1&amp;"P"&amp;$A8))/1000),0),IF($A$2="VEX",IFERROR(IF($X$1="ABS",($A$4*$A$4*RTD("tos.rtd",,"VOLUME","."&amp;G$2&amp;G$1&amp;"C"&amp;$A8)*RTD("tos.rtd",,"GAMMA","."&amp;G$2&amp;G$1&amp;"C"&amp;$A8)+$A$4*$A$4*RTD("tos.rtd",,"VOLUME","."&amp;G$2&amp;G$1&amp;"P"&amp;$A8)*RTD("tos.rtd",,"GAMMA","."&amp;G$2&amp;G$1&amp;"P"&amp;$A8))/1000000,($A$4*$A$4*RTD("tos.rtd",,"VOLUME","."&amp;G$2&amp;G$1&amp;"C"&amp;$A8)*RTD("tos.rtd",,"GAMMA","."&amp;G$2&amp;G$1&amp;"C"&amp;$A8)-$A$4*$A$4*RTD("tos.rtd",,"VOLUME","."&amp;G$2&amp;G$1&amp;"P"&amp;$A8)*RTD("tos.rtd",,"GAMMA","."&amp;G$2&amp;G$1&amp;"P"&amp;$A8))/1000000),0),IF($A$2="GEX",IFERROR(IF($X$1="ABS",($A$4*$A$4*RTD("tos.rtd",,"OPEN_INT","."&amp;G$2&amp;G$1&amp;"C"&amp;$A8)*RTD("tos.rtd",,"GAMMA","."&amp;G$2&amp;G$1&amp;"C"&amp;$A8)+$A$4*$A$4*RTD("tos.rtd",,"OPEN_INT","."&amp;G$2&amp;G$1&amp;"P"&amp;$A8)*RTD("tos.rtd",,"GAMMA","."&amp;G$2&amp;G$1&amp;"P"&amp;$A8))/1000000,($A$4*$A$4*RTD("tos.rtd",,"OPEN_INT","."&amp;G$2&amp;G$1&amp;"C"&amp;$A8)*RTD("tos.rtd",,"GAMMA","."&amp;G$2&amp;G$1&amp;"C"&amp;$A8)-$A$4*$A$4*RTD("tos.rtd",,"OPEN_INT","."&amp;G$2&amp;G$1&amp;"P"&amp;$A8)*RTD("tos.rtd",,"GAMMA","."&amp;G$2&amp;G$1&amp;"P"&amp;$A8))/1000000),0),IF($A$2="SKEW",IFERROR(VALUE(IF(RTD("tos.rtd",,"IMPL_VOL","."&amp;G$2&amp;G$1&amp;"P"&amp;$A8)="N/A",0,RTD("tos.rtd",,"IMPL_VOL","."&amp;G$2&amp;G$1&amp;"P"&amp;$A8))),0)-IFERROR(VALUE(IF(RTD("tos.rtd",,"IMPL_VOL","."&amp;G$2&amp;G$1&amp;"C"&amp;$A8)="N/A",0,RTD("tos.rtd",,"IMPL_VOL","."&amp;G$2&amp;G$1&amp;"C"&amp;$A8))),0),IF($A$2="MAXPAIN",IF($A$4&gt;$A8,($A$4-$A8)*IF(RTD("tos.rtd",,"OPEN_INT","."&amp;G$2&amp;G$1&amp;"C"&amp;$A8)="N/A",0,RTD("tos.rtd",,"OPEN_INT","."&amp;G$2&amp;G$1&amp;"C"&amp;$A8)),0)+IF($A$4&lt;$A8,($A$5-$A$4)*IF(RTD("tos.rtd",,"OPEN_INT","."&amp;G$2&amp;G$1&amp;"P"&amp;$A8)="N/A",0,RTD("tos.rtd",,"OPEN_INT","."&amp;G$2&amp;G$1&amp;"P"&amp;$A8)),0),IF($X$1="ABS",IF(RTD("tos.rtd",,$A$2,"."&amp;G$2&amp;G$1&amp;"C"&amp;$A8)="N/A",0,RTD("tos.rtd",,$A$2,"."&amp;G$2&amp;G$1&amp;"C"&amp;$A8))+IF(RTD("tos.rtd",,$A$2,"."&amp;G$2&amp;G$1&amp;"P"&amp;$A8)="N/A",0,RTD("tos.rtd",,$A$2,"."&amp;G$2&amp;G$1&amp;"P"&amp;$A8)),IF(RTD("tos.rtd",,$A$2,"."&amp;G$2&amp;G$1&amp;"C"&amp;$A8)="N/A",0,RTD("tos.rtd",,$A$2,"."&amp;G$2&amp;G$1&amp;"C"&amp;$A8))-IF(RTD("tos.rtd",,$A$2,"."&amp;G$2&amp;G$1&amp;"P"&amp;$A8)="N/A",0,RTD("tos.rtd",,$A$2,"."&amp;G$2&amp;G$1&amp;"P"&amp;$A8))))))))))</f>
        <v>0</v>
      </c>
      <c r="H8" s="14">
        <f ca="1">IF($A$2="PREMIUM_OI",IFERROR(IF($X$1="ABS",(100*RTD("tos.rtd",,"OPEN_INT","."&amp;H$2&amp;H$1&amp;"C"&amp;$A8)*RTD("tos.rtd",,"LAST","."&amp;H$2&amp;H$1&amp;"C"&amp;$A8)+100*RTD("tos.rtd",,"OPEN_INT","."&amp;H$2&amp;H$1&amp;"P"&amp;$A8)*RTD("tos.rtd",,"LAST","."&amp;H$2&amp;H$1&amp;"P"&amp;$A8))/1000000,(100*RTD("tos.rtd",,"OPEN_INT","."&amp;H$2&amp;H$1&amp;"C"&amp;$A8)*RTD("tos.rtd",,"LAST","."&amp;H$2&amp;H$1&amp;"C"&amp;$A8)-100*RTD("tos.rtd",,"OPEN_INT","."&amp;H$2&amp;H$1&amp;"P"&amp;$A8)*RTD("tos.rtd",,"LAST","."&amp;H$2&amp;H$1&amp;"P"&amp;$A8))/1000000),0),IF($A$2="PREMIUM",IFERROR(IF($X$1="ABS",(100*RTD("tos.rtd",,"VOLUME","."&amp;H$2&amp;H$1&amp;"C"&amp;$A8)*RTD("tos.rtd",,"LAST","."&amp;H$2&amp;H$1&amp;"C"&amp;$A8)+100*RTD("tos.rtd",,"VOLUME","."&amp;H$2&amp;H$1&amp;"P"&amp;$A8)*RTD("tos.rtd",,"LAST","."&amp;H$2&amp;H$1&amp;"P"&amp;$A8))/1000000,(100*RTD("tos.rtd",,"VOLUME","."&amp;H$2&amp;H$1&amp;"C"&amp;$A8)*RTD("tos.rtd",,"LAST","."&amp;H$2&amp;H$1&amp;"C"&amp;$A8)-100*RTD("tos.rtd",,"VOLUME","."&amp;H$2&amp;H$1&amp;"P"&amp;$A8)*RTD("tos.rtd",,"LAST","."&amp;H$2&amp;H$1&amp;"P"&amp;$A8))/1000000),0),IF($A$2="DEX",IFERROR(IF($X$1="ABS",(100*RTD("tos.rtd",,"OPEN_INT","."&amp;H$2&amp;H$1&amp;"C"&amp;$A8)*RTD("tos.rtd",,"DELTA","."&amp;H$2&amp;H$1&amp;"C"&amp;$A8)+100*RTD("tos.rtd",,"OPEN_INT","."&amp;H$2&amp;H$1&amp;"P"&amp;$A8)*RTD("tos.rtd",,"DELTA","."&amp;H$2&amp;H$1&amp;"P"&amp;$A8))/1000,(100*RTD("tos.rtd",,"OPEN_INT","."&amp;H$2&amp;H$1&amp;"C"&amp;$A8)*RTD("tos.rtd",,"DELTA","."&amp;H$2&amp;H$1&amp;"C"&amp;$A8)-100*RTD("tos.rtd",,"OPEN_INT","."&amp;H$2&amp;H$1&amp;"P"&amp;$A8)*RTD("tos.rtd",,"DELTA","."&amp;H$2&amp;H$1&amp;"P"&amp;$A8))/1000),0),IF($A$2="VEX",IFERROR(IF($X$1="ABS",($A$4*$A$4*RTD("tos.rtd",,"VOLUME","."&amp;H$2&amp;H$1&amp;"C"&amp;$A8)*RTD("tos.rtd",,"GAMMA","."&amp;H$2&amp;H$1&amp;"C"&amp;$A8)+$A$4*$A$4*RTD("tos.rtd",,"VOLUME","."&amp;H$2&amp;H$1&amp;"P"&amp;$A8)*RTD("tos.rtd",,"GAMMA","."&amp;H$2&amp;H$1&amp;"P"&amp;$A8))/1000000,($A$4*$A$4*RTD("tos.rtd",,"VOLUME","."&amp;H$2&amp;H$1&amp;"C"&amp;$A8)*RTD("tos.rtd",,"GAMMA","."&amp;H$2&amp;H$1&amp;"C"&amp;$A8)-$A$4*$A$4*RTD("tos.rtd",,"VOLUME","."&amp;H$2&amp;H$1&amp;"P"&amp;$A8)*RTD("tos.rtd",,"GAMMA","."&amp;H$2&amp;H$1&amp;"P"&amp;$A8))/1000000),0),IF($A$2="GEX",IFERROR(IF($X$1="ABS",($A$4*$A$4*RTD("tos.rtd",,"OPEN_INT","."&amp;H$2&amp;H$1&amp;"C"&amp;$A8)*RTD("tos.rtd",,"GAMMA","."&amp;H$2&amp;H$1&amp;"C"&amp;$A8)+$A$4*$A$4*RTD("tos.rtd",,"OPEN_INT","."&amp;H$2&amp;H$1&amp;"P"&amp;$A8)*RTD("tos.rtd",,"GAMMA","."&amp;H$2&amp;H$1&amp;"P"&amp;$A8))/1000000,($A$4*$A$4*RTD("tos.rtd",,"OPEN_INT","."&amp;H$2&amp;H$1&amp;"C"&amp;$A8)*RTD("tos.rtd",,"GAMMA","."&amp;H$2&amp;H$1&amp;"C"&amp;$A8)-$A$4*$A$4*RTD("tos.rtd",,"OPEN_INT","."&amp;H$2&amp;H$1&amp;"P"&amp;$A8)*RTD("tos.rtd",,"GAMMA","."&amp;H$2&amp;H$1&amp;"P"&amp;$A8))/1000000),0),IF($A$2="SKEW",IFERROR(VALUE(IF(RTD("tos.rtd",,"IMPL_VOL","."&amp;H$2&amp;H$1&amp;"P"&amp;$A8)="N/A",0,RTD("tos.rtd",,"IMPL_VOL","."&amp;H$2&amp;H$1&amp;"P"&amp;$A8))),0)-IFERROR(VALUE(IF(RTD("tos.rtd",,"IMPL_VOL","."&amp;H$2&amp;H$1&amp;"C"&amp;$A8)="N/A",0,RTD("tos.rtd",,"IMPL_VOL","."&amp;H$2&amp;H$1&amp;"C"&amp;$A8))),0),IF($A$2="MAXPAIN",IF($A$4&gt;$A8,($A$4-$A8)*IF(RTD("tos.rtd",,"OPEN_INT","."&amp;H$2&amp;H$1&amp;"C"&amp;$A8)="N/A",0,RTD("tos.rtd",,"OPEN_INT","."&amp;H$2&amp;H$1&amp;"C"&amp;$A8)),0)+IF($A$4&lt;$A8,($A$5-$A$4)*IF(RTD("tos.rtd",,"OPEN_INT","."&amp;H$2&amp;H$1&amp;"P"&amp;$A8)="N/A",0,RTD("tos.rtd",,"OPEN_INT","."&amp;H$2&amp;H$1&amp;"P"&amp;$A8)),0),IF($X$1="ABS",IF(RTD("tos.rtd",,$A$2,"."&amp;H$2&amp;H$1&amp;"C"&amp;$A8)="N/A",0,RTD("tos.rtd",,$A$2,"."&amp;H$2&amp;H$1&amp;"C"&amp;$A8))+IF(RTD("tos.rtd",,$A$2,"."&amp;H$2&amp;H$1&amp;"P"&amp;$A8)="N/A",0,RTD("tos.rtd",,$A$2,"."&amp;H$2&amp;H$1&amp;"P"&amp;$A8)),IF(RTD("tos.rtd",,$A$2,"."&amp;H$2&amp;H$1&amp;"C"&amp;$A8)="N/A",0,RTD("tos.rtd",,$A$2,"."&amp;H$2&amp;H$1&amp;"C"&amp;$A8))-IF(RTD("tos.rtd",,$A$2,"."&amp;H$2&amp;H$1&amp;"P"&amp;$A8)="N/A",0,RTD("tos.rtd",,$A$2,"."&amp;H$2&amp;H$1&amp;"P"&amp;$A8))))))))))</f>
        <v>0</v>
      </c>
      <c r="I8" s="12">
        <f ca="1">IF($A$2="PREMIUM_OI",IFERROR(IF($X$1="ABS",(100*RTD("tos.rtd",,"OPEN_INT","."&amp;I$2&amp;I$1&amp;"C"&amp;$A8)*RTD("tos.rtd",,"LAST","."&amp;I$2&amp;I$1&amp;"C"&amp;$A8)+100*RTD("tos.rtd",,"OPEN_INT","."&amp;I$2&amp;I$1&amp;"P"&amp;$A8)*RTD("tos.rtd",,"LAST","."&amp;I$2&amp;I$1&amp;"P"&amp;$A8))/1000000,(100*RTD("tos.rtd",,"OPEN_INT","."&amp;I$2&amp;I$1&amp;"C"&amp;$A8)*RTD("tos.rtd",,"LAST","."&amp;I$2&amp;I$1&amp;"C"&amp;$A8)-100*RTD("tos.rtd",,"OPEN_INT","."&amp;I$2&amp;I$1&amp;"P"&amp;$A8)*RTD("tos.rtd",,"LAST","."&amp;I$2&amp;I$1&amp;"P"&amp;$A8))/1000000),0),IF($A$2="PREMIUM",IFERROR(IF($X$1="ABS",(100*RTD("tos.rtd",,"VOLUME","."&amp;I$2&amp;I$1&amp;"C"&amp;$A8)*RTD("tos.rtd",,"LAST","."&amp;I$2&amp;I$1&amp;"C"&amp;$A8)+100*RTD("tos.rtd",,"VOLUME","."&amp;I$2&amp;I$1&amp;"P"&amp;$A8)*RTD("tos.rtd",,"LAST","."&amp;I$2&amp;I$1&amp;"P"&amp;$A8))/1000000,(100*RTD("tos.rtd",,"VOLUME","."&amp;I$2&amp;I$1&amp;"C"&amp;$A8)*RTD("tos.rtd",,"LAST","."&amp;I$2&amp;I$1&amp;"C"&amp;$A8)-100*RTD("tos.rtd",,"VOLUME","."&amp;I$2&amp;I$1&amp;"P"&amp;$A8)*RTD("tos.rtd",,"LAST","."&amp;I$2&amp;I$1&amp;"P"&amp;$A8))/1000000),0),IF($A$2="DEX",IFERROR(IF($X$1="ABS",(100*RTD("tos.rtd",,"OPEN_INT","."&amp;I$2&amp;I$1&amp;"C"&amp;$A8)*RTD("tos.rtd",,"DELTA","."&amp;I$2&amp;I$1&amp;"C"&amp;$A8)+100*RTD("tos.rtd",,"OPEN_INT","."&amp;I$2&amp;I$1&amp;"P"&amp;$A8)*RTD("tos.rtd",,"DELTA","."&amp;I$2&amp;I$1&amp;"P"&amp;$A8))/1000,(100*RTD("tos.rtd",,"OPEN_INT","."&amp;I$2&amp;I$1&amp;"C"&amp;$A8)*RTD("tos.rtd",,"DELTA","."&amp;I$2&amp;I$1&amp;"C"&amp;$A8)-100*RTD("tos.rtd",,"OPEN_INT","."&amp;I$2&amp;I$1&amp;"P"&amp;$A8)*RTD("tos.rtd",,"DELTA","."&amp;I$2&amp;I$1&amp;"P"&amp;$A8))/1000),0),IF($A$2="VEX",IFERROR(IF($X$1="ABS",($A$4*$A$4*RTD("tos.rtd",,"VOLUME","."&amp;I$2&amp;I$1&amp;"C"&amp;$A8)*RTD("tos.rtd",,"GAMMA","."&amp;I$2&amp;I$1&amp;"C"&amp;$A8)+$A$4*$A$4*RTD("tos.rtd",,"VOLUME","."&amp;I$2&amp;I$1&amp;"P"&amp;$A8)*RTD("tos.rtd",,"GAMMA","."&amp;I$2&amp;I$1&amp;"P"&amp;$A8))/1000000,($A$4*$A$4*RTD("tos.rtd",,"VOLUME","."&amp;I$2&amp;I$1&amp;"C"&amp;$A8)*RTD("tos.rtd",,"GAMMA","."&amp;I$2&amp;I$1&amp;"C"&amp;$A8)-$A$4*$A$4*RTD("tos.rtd",,"VOLUME","."&amp;I$2&amp;I$1&amp;"P"&amp;$A8)*RTD("tos.rtd",,"GAMMA","."&amp;I$2&amp;I$1&amp;"P"&amp;$A8))/1000000),0),IF($A$2="GEX",IFERROR(IF($X$1="ABS",($A$4*$A$4*RTD("tos.rtd",,"OPEN_INT","."&amp;I$2&amp;I$1&amp;"C"&amp;$A8)*RTD("tos.rtd",,"GAMMA","."&amp;I$2&amp;I$1&amp;"C"&amp;$A8)+$A$4*$A$4*RTD("tos.rtd",,"OPEN_INT","."&amp;I$2&amp;I$1&amp;"P"&amp;$A8)*RTD("tos.rtd",,"GAMMA","."&amp;I$2&amp;I$1&amp;"P"&amp;$A8))/1000000,($A$4*$A$4*RTD("tos.rtd",,"OPEN_INT","."&amp;I$2&amp;I$1&amp;"C"&amp;$A8)*RTD("tos.rtd",,"GAMMA","."&amp;I$2&amp;I$1&amp;"C"&amp;$A8)-$A$4*$A$4*RTD("tos.rtd",,"OPEN_INT","."&amp;I$2&amp;I$1&amp;"P"&amp;$A8)*RTD("tos.rtd",,"GAMMA","."&amp;I$2&amp;I$1&amp;"P"&amp;$A8))/1000000),0),IF($A$2="SKEW",IFERROR(VALUE(IF(RTD("tos.rtd",,"IMPL_VOL","."&amp;I$2&amp;I$1&amp;"P"&amp;$A8)="N/A",0,RTD("tos.rtd",,"IMPL_VOL","."&amp;I$2&amp;I$1&amp;"P"&amp;$A8))),0)-IFERROR(VALUE(IF(RTD("tos.rtd",,"IMPL_VOL","."&amp;I$2&amp;I$1&amp;"C"&amp;$A8)="N/A",0,RTD("tos.rtd",,"IMPL_VOL","."&amp;I$2&amp;I$1&amp;"C"&amp;$A8))),0),IF($A$2="MAXPAIN",IF($A$4&gt;$A8,($A$4-$A8)*IF(RTD("tos.rtd",,"OPEN_INT","."&amp;I$2&amp;I$1&amp;"C"&amp;$A8)="N/A",0,RTD("tos.rtd",,"OPEN_INT","."&amp;I$2&amp;I$1&amp;"C"&amp;$A8)),0)+IF($A$4&lt;$A8,($A$5-$A$4)*IF(RTD("tos.rtd",,"OPEN_INT","."&amp;I$2&amp;I$1&amp;"P"&amp;$A8)="N/A",0,RTD("tos.rtd",,"OPEN_INT","."&amp;I$2&amp;I$1&amp;"P"&amp;$A8)),0),IF($X$1="ABS",IF(RTD("tos.rtd",,$A$2,"."&amp;I$2&amp;I$1&amp;"C"&amp;$A8)="N/A",0,RTD("tos.rtd",,$A$2,"."&amp;I$2&amp;I$1&amp;"C"&amp;$A8))+IF(RTD("tos.rtd",,$A$2,"."&amp;I$2&amp;I$1&amp;"P"&amp;$A8)="N/A",0,RTD("tos.rtd",,$A$2,"."&amp;I$2&amp;I$1&amp;"P"&amp;$A8)),IF(RTD("tos.rtd",,$A$2,"."&amp;I$2&amp;I$1&amp;"C"&amp;$A8)="N/A",0,RTD("tos.rtd",,$A$2,"."&amp;I$2&amp;I$1&amp;"C"&amp;$A8))-IF(RTD("tos.rtd",,$A$2,"."&amp;I$2&amp;I$1&amp;"P"&amp;$A8)="N/A",0,RTD("tos.rtd",,$A$2,"."&amp;I$2&amp;I$1&amp;"P"&amp;$A8))))))))))</f>
        <v>0</v>
      </c>
      <c r="J8" s="12">
        <f ca="1">IF($A$2="PREMIUM_OI",IFERROR(IF($X$1="ABS",(100*RTD("tos.rtd",,"OPEN_INT","."&amp;J$2&amp;J$1&amp;"C"&amp;$A8)*RTD("tos.rtd",,"LAST","."&amp;J$2&amp;J$1&amp;"C"&amp;$A8)+100*RTD("tos.rtd",,"OPEN_INT","."&amp;J$2&amp;J$1&amp;"P"&amp;$A8)*RTD("tos.rtd",,"LAST","."&amp;J$2&amp;J$1&amp;"P"&amp;$A8))/1000000,(100*RTD("tos.rtd",,"OPEN_INT","."&amp;J$2&amp;J$1&amp;"C"&amp;$A8)*RTD("tos.rtd",,"LAST","."&amp;J$2&amp;J$1&amp;"C"&amp;$A8)-100*RTD("tos.rtd",,"OPEN_INT","."&amp;J$2&amp;J$1&amp;"P"&amp;$A8)*RTD("tos.rtd",,"LAST","."&amp;J$2&amp;J$1&amp;"P"&amp;$A8))/1000000),0),IF($A$2="PREMIUM",IFERROR(IF($X$1="ABS",(100*RTD("tos.rtd",,"VOLUME","."&amp;J$2&amp;J$1&amp;"C"&amp;$A8)*RTD("tos.rtd",,"LAST","."&amp;J$2&amp;J$1&amp;"C"&amp;$A8)+100*RTD("tos.rtd",,"VOLUME","."&amp;J$2&amp;J$1&amp;"P"&amp;$A8)*RTD("tos.rtd",,"LAST","."&amp;J$2&amp;J$1&amp;"P"&amp;$A8))/1000000,(100*RTD("tos.rtd",,"VOLUME","."&amp;J$2&amp;J$1&amp;"C"&amp;$A8)*RTD("tos.rtd",,"LAST","."&amp;J$2&amp;J$1&amp;"C"&amp;$A8)-100*RTD("tos.rtd",,"VOLUME","."&amp;J$2&amp;J$1&amp;"P"&amp;$A8)*RTD("tos.rtd",,"LAST","."&amp;J$2&amp;J$1&amp;"P"&amp;$A8))/1000000),0),IF($A$2="DEX",IFERROR(IF($X$1="ABS",(100*RTD("tos.rtd",,"OPEN_INT","."&amp;J$2&amp;J$1&amp;"C"&amp;$A8)*RTD("tos.rtd",,"DELTA","."&amp;J$2&amp;J$1&amp;"C"&amp;$A8)+100*RTD("tos.rtd",,"OPEN_INT","."&amp;J$2&amp;J$1&amp;"P"&amp;$A8)*RTD("tos.rtd",,"DELTA","."&amp;J$2&amp;J$1&amp;"P"&amp;$A8))/1000,(100*RTD("tos.rtd",,"OPEN_INT","."&amp;J$2&amp;J$1&amp;"C"&amp;$A8)*RTD("tos.rtd",,"DELTA","."&amp;J$2&amp;J$1&amp;"C"&amp;$A8)-100*RTD("tos.rtd",,"OPEN_INT","."&amp;J$2&amp;J$1&amp;"P"&amp;$A8)*RTD("tos.rtd",,"DELTA","."&amp;J$2&amp;J$1&amp;"P"&amp;$A8))/1000),0),IF($A$2="VEX",IFERROR(IF($X$1="ABS",($A$4*$A$4*RTD("tos.rtd",,"VOLUME","."&amp;J$2&amp;J$1&amp;"C"&amp;$A8)*RTD("tos.rtd",,"GAMMA","."&amp;J$2&amp;J$1&amp;"C"&amp;$A8)+$A$4*$A$4*RTD("tos.rtd",,"VOLUME","."&amp;J$2&amp;J$1&amp;"P"&amp;$A8)*RTD("tos.rtd",,"GAMMA","."&amp;J$2&amp;J$1&amp;"P"&amp;$A8))/1000000,($A$4*$A$4*RTD("tos.rtd",,"VOLUME","."&amp;J$2&amp;J$1&amp;"C"&amp;$A8)*RTD("tos.rtd",,"GAMMA","."&amp;J$2&amp;J$1&amp;"C"&amp;$A8)-$A$4*$A$4*RTD("tos.rtd",,"VOLUME","."&amp;J$2&amp;J$1&amp;"P"&amp;$A8)*RTD("tos.rtd",,"GAMMA","."&amp;J$2&amp;J$1&amp;"P"&amp;$A8))/1000000),0),IF($A$2="GEX",IFERROR(IF($X$1="ABS",($A$4*$A$4*RTD("tos.rtd",,"OPEN_INT","."&amp;J$2&amp;J$1&amp;"C"&amp;$A8)*RTD("tos.rtd",,"GAMMA","."&amp;J$2&amp;J$1&amp;"C"&amp;$A8)+$A$4*$A$4*RTD("tos.rtd",,"OPEN_INT","."&amp;J$2&amp;J$1&amp;"P"&amp;$A8)*RTD("tos.rtd",,"GAMMA","."&amp;J$2&amp;J$1&amp;"P"&amp;$A8))/1000000,($A$4*$A$4*RTD("tos.rtd",,"OPEN_INT","."&amp;J$2&amp;J$1&amp;"C"&amp;$A8)*RTD("tos.rtd",,"GAMMA","."&amp;J$2&amp;J$1&amp;"C"&amp;$A8)-$A$4*$A$4*RTD("tos.rtd",,"OPEN_INT","."&amp;J$2&amp;J$1&amp;"P"&amp;$A8)*RTD("tos.rtd",,"GAMMA","."&amp;J$2&amp;J$1&amp;"P"&amp;$A8))/1000000),0),IF($A$2="SKEW",IFERROR(VALUE(IF(RTD("tos.rtd",,"IMPL_VOL","."&amp;J$2&amp;J$1&amp;"P"&amp;$A8)="N/A",0,RTD("tos.rtd",,"IMPL_VOL","."&amp;J$2&amp;J$1&amp;"P"&amp;$A8))),0)-IFERROR(VALUE(IF(RTD("tos.rtd",,"IMPL_VOL","."&amp;J$2&amp;J$1&amp;"C"&amp;$A8)="N/A",0,RTD("tos.rtd",,"IMPL_VOL","."&amp;J$2&amp;J$1&amp;"C"&amp;$A8))),0),IF($A$2="MAXPAIN",IF($A$4&gt;$A8,($A$4-$A8)*IF(RTD("tos.rtd",,"OPEN_INT","."&amp;J$2&amp;J$1&amp;"C"&amp;$A8)="N/A",0,RTD("tos.rtd",,"OPEN_INT","."&amp;J$2&amp;J$1&amp;"C"&amp;$A8)),0)+IF($A$4&lt;$A8,($A$5-$A$4)*IF(RTD("tos.rtd",,"OPEN_INT","."&amp;J$2&amp;J$1&amp;"P"&amp;$A8)="N/A",0,RTD("tos.rtd",,"OPEN_INT","."&amp;J$2&amp;J$1&amp;"P"&amp;$A8)),0),IF($X$1="ABS",IF(RTD("tos.rtd",,$A$2,"."&amp;J$2&amp;J$1&amp;"C"&amp;$A8)="N/A",0,RTD("tos.rtd",,$A$2,"."&amp;J$2&amp;J$1&amp;"C"&amp;$A8))+IF(RTD("tos.rtd",,$A$2,"."&amp;J$2&amp;J$1&amp;"P"&amp;$A8)="N/A",0,RTD("tos.rtd",,$A$2,"."&amp;J$2&amp;J$1&amp;"P"&amp;$A8)),IF(RTD("tos.rtd",,$A$2,"."&amp;J$2&amp;J$1&amp;"C"&amp;$A8)="N/A",0,RTD("tos.rtd",,$A$2,"."&amp;J$2&amp;J$1&amp;"C"&amp;$A8))-IF(RTD("tos.rtd",,$A$2,"."&amp;J$2&amp;J$1&amp;"P"&amp;$A8)="N/A",0,RTD("tos.rtd",,$A$2,"."&amp;J$2&amp;J$1&amp;"P"&amp;$A8))))))))))</f>
        <v>0</v>
      </c>
      <c r="K8" s="12">
        <f ca="1">IF($A$2="PREMIUM_OI",IFERROR(IF($X$1="ABS",(100*RTD("tos.rtd",,"OPEN_INT","."&amp;K$2&amp;K$1&amp;"C"&amp;$A8)*RTD("tos.rtd",,"LAST","."&amp;K$2&amp;K$1&amp;"C"&amp;$A8)+100*RTD("tos.rtd",,"OPEN_INT","."&amp;K$2&amp;K$1&amp;"P"&amp;$A8)*RTD("tos.rtd",,"LAST","."&amp;K$2&amp;K$1&amp;"P"&amp;$A8))/1000000,(100*RTD("tos.rtd",,"OPEN_INT","."&amp;K$2&amp;K$1&amp;"C"&amp;$A8)*RTD("tos.rtd",,"LAST","."&amp;K$2&amp;K$1&amp;"C"&amp;$A8)-100*RTD("tos.rtd",,"OPEN_INT","."&amp;K$2&amp;K$1&amp;"P"&amp;$A8)*RTD("tos.rtd",,"LAST","."&amp;K$2&amp;K$1&amp;"P"&amp;$A8))/1000000),0),IF($A$2="PREMIUM",IFERROR(IF($X$1="ABS",(100*RTD("tos.rtd",,"VOLUME","."&amp;K$2&amp;K$1&amp;"C"&amp;$A8)*RTD("tos.rtd",,"LAST","."&amp;K$2&amp;K$1&amp;"C"&amp;$A8)+100*RTD("tos.rtd",,"VOLUME","."&amp;K$2&amp;K$1&amp;"P"&amp;$A8)*RTD("tos.rtd",,"LAST","."&amp;K$2&amp;K$1&amp;"P"&amp;$A8))/1000000,(100*RTD("tos.rtd",,"VOLUME","."&amp;K$2&amp;K$1&amp;"C"&amp;$A8)*RTD("tos.rtd",,"LAST","."&amp;K$2&amp;K$1&amp;"C"&amp;$A8)-100*RTD("tos.rtd",,"VOLUME","."&amp;K$2&amp;K$1&amp;"P"&amp;$A8)*RTD("tos.rtd",,"LAST","."&amp;K$2&amp;K$1&amp;"P"&amp;$A8))/1000000),0),IF($A$2="DEX",IFERROR(IF($X$1="ABS",(100*RTD("tos.rtd",,"OPEN_INT","."&amp;K$2&amp;K$1&amp;"C"&amp;$A8)*RTD("tos.rtd",,"DELTA","."&amp;K$2&amp;K$1&amp;"C"&amp;$A8)+100*RTD("tos.rtd",,"OPEN_INT","."&amp;K$2&amp;K$1&amp;"P"&amp;$A8)*RTD("tos.rtd",,"DELTA","."&amp;K$2&amp;K$1&amp;"P"&amp;$A8))/1000,(100*RTD("tos.rtd",,"OPEN_INT","."&amp;K$2&amp;K$1&amp;"C"&amp;$A8)*RTD("tos.rtd",,"DELTA","."&amp;K$2&amp;K$1&amp;"C"&amp;$A8)-100*RTD("tos.rtd",,"OPEN_INT","."&amp;K$2&amp;K$1&amp;"P"&amp;$A8)*RTD("tos.rtd",,"DELTA","."&amp;K$2&amp;K$1&amp;"P"&amp;$A8))/1000),0),IF($A$2="VEX",IFERROR(IF($X$1="ABS",($A$4*$A$4*RTD("tos.rtd",,"VOLUME","."&amp;K$2&amp;K$1&amp;"C"&amp;$A8)*RTD("tos.rtd",,"GAMMA","."&amp;K$2&amp;K$1&amp;"C"&amp;$A8)+$A$4*$A$4*RTD("tos.rtd",,"VOLUME","."&amp;K$2&amp;K$1&amp;"P"&amp;$A8)*RTD("tos.rtd",,"GAMMA","."&amp;K$2&amp;K$1&amp;"P"&amp;$A8))/1000000,($A$4*$A$4*RTD("tos.rtd",,"VOLUME","."&amp;K$2&amp;K$1&amp;"C"&amp;$A8)*RTD("tos.rtd",,"GAMMA","."&amp;K$2&amp;K$1&amp;"C"&amp;$A8)-$A$4*$A$4*RTD("tos.rtd",,"VOLUME","."&amp;K$2&amp;K$1&amp;"P"&amp;$A8)*RTD("tos.rtd",,"GAMMA","."&amp;K$2&amp;K$1&amp;"P"&amp;$A8))/1000000),0),IF($A$2="GEX",IFERROR(IF($X$1="ABS",($A$4*$A$4*RTD("tos.rtd",,"OPEN_INT","."&amp;K$2&amp;K$1&amp;"C"&amp;$A8)*RTD("tos.rtd",,"GAMMA","."&amp;K$2&amp;K$1&amp;"C"&amp;$A8)+$A$4*$A$4*RTD("tos.rtd",,"OPEN_INT","."&amp;K$2&amp;K$1&amp;"P"&amp;$A8)*RTD("tos.rtd",,"GAMMA","."&amp;K$2&amp;K$1&amp;"P"&amp;$A8))/1000000,($A$4*$A$4*RTD("tos.rtd",,"OPEN_INT","."&amp;K$2&amp;K$1&amp;"C"&amp;$A8)*RTD("tos.rtd",,"GAMMA","."&amp;K$2&amp;K$1&amp;"C"&amp;$A8)-$A$4*$A$4*RTD("tos.rtd",,"OPEN_INT","."&amp;K$2&amp;K$1&amp;"P"&amp;$A8)*RTD("tos.rtd",,"GAMMA","."&amp;K$2&amp;K$1&amp;"P"&amp;$A8))/1000000),0),IF($A$2="SKEW",IFERROR(VALUE(IF(RTD("tos.rtd",,"IMPL_VOL","."&amp;K$2&amp;K$1&amp;"P"&amp;$A8)="N/A",0,RTD("tos.rtd",,"IMPL_VOL","."&amp;K$2&amp;K$1&amp;"P"&amp;$A8))),0)-IFERROR(VALUE(IF(RTD("tos.rtd",,"IMPL_VOL","."&amp;K$2&amp;K$1&amp;"C"&amp;$A8)="N/A",0,RTD("tos.rtd",,"IMPL_VOL","."&amp;K$2&amp;K$1&amp;"C"&amp;$A8))),0),IF($A$2="MAXPAIN",IF($A$4&gt;$A8,($A$4-$A8)*IF(RTD("tos.rtd",,"OPEN_INT","."&amp;K$2&amp;K$1&amp;"C"&amp;$A8)="N/A",0,RTD("tos.rtd",,"OPEN_INT","."&amp;K$2&amp;K$1&amp;"C"&amp;$A8)),0)+IF($A$4&lt;$A8,($A$5-$A$4)*IF(RTD("tos.rtd",,"OPEN_INT","."&amp;K$2&amp;K$1&amp;"P"&amp;$A8)="N/A",0,RTD("tos.rtd",,"OPEN_INT","."&amp;K$2&amp;K$1&amp;"P"&amp;$A8)),0),IF($X$1="ABS",IF(RTD("tos.rtd",,$A$2,"."&amp;K$2&amp;K$1&amp;"C"&amp;$A8)="N/A",0,RTD("tos.rtd",,$A$2,"."&amp;K$2&amp;K$1&amp;"C"&amp;$A8))+IF(RTD("tos.rtd",,$A$2,"."&amp;K$2&amp;K$1&amp;"P"&amp;$A8)="N/A",0,RTD("tos.rtd",,$A$2,"."&amp;K$2&amp;K$1&amp;"P"&amp;$A8)),IF(RTD("tos.rtd",,$A$2,"."&amp;K$2&amp;K$1&amp;"C"&amp;$A8)="N/A",0,RTD("tos.rtd",,$A$2,"."&amp;K$2&amp;K$1&amp;"C"&amp;$A8))-IF(RTD("tos.rtd",,$A$2,"."&amp;K$2&amp;K$1&amp;"P"&amp;$A8)="N/A",0,RTD("tos.rtd",,$A$2,"."&amp;K$2&amp;K$1&amp;"P"&amp;$A8))))))))))</f>
        <v>0</v>
      </c>
      <c r="L8" s="54">
        <f ca="1">IF($A$2="PREMIUM_OI",IFERROR(IF($X$1="ABS",(100*RTD("tos.rtd",,"OPEN_INT","."&amp;L$2&amp;L$1&amp;"C"&amp;$A8)*RTD("tos.rtd",,"LAST","."&amp;L$2&amp;L$1&amp;"C"&amp;$A8)+100*RTD("tos.rtd",,"OPEN_INT","."&amp;L$2&amp;L$1&amp;"P"&amp;$A8)*RTD("tos.rtd",,"LAST","."&amp;L$2&amp;L$1&amp;"P"&amp;$A8))/1000000,(100*RTD("tos.rtd",,"OPEN_INT","."&amp;L$2&amp;L$1&amp;"C"&amp;$A8)*RTD("tos.rtd",,"LAST","."&amp;L$2&amp;L$1&amp;"C"&amp;$A8)-100*RTD("tos.rtd",,"OPEN_INT","."&amp;L$2&amp;L$1&amp;"P"&amp;$A8)*RTD("tos.rtd",,"LAST","."&amp;L$2&amp;L$1&amp;"P"&amp;$A8))/1000000),0),IF($A$2="PREMIUM",IFERROR(IF($X$1="ABS",(100*RTD("tos.rtd",,"VOLUME","."&amp;L$2&amp;L$1&amp;"C"&amp;$A8)*RTD("tos.rtd",,"LAST","."&amp;L$2&amp;L$1&amp;"C"&amp;$A8)+100*RTD("tos.rtd",,"VOLUME","."&amp;L$2&amp;L$1&amp;"P"&amp;$A8)*RTD("tos.rtd",,"LAST","."&amp;L$2&amp;L$1&amp;"P"&amp;$A8))/1000000,(100*RTD("tos.rtd",,"VOLUME","."&amp;L$2&amp;L$1&amp;"C"&amp;$A8)*RTD("tos.rtd",,"LAST","."&amp;L$2&amp;L$1&amp;"C"&amp;$A8)-100*RTD("tos.rtd",,"VOLUME","."&amp;L$2&amp;L$1&amp;"P"&amp;$A8)*RTD("tos.rtd",,"LAST","."&amp;L$2&amp;L$1&amp;"P"&amp;$A8))/1000000),0),IF($A$2="DEX",IFERROR(IF($X$1="ABS",(100*RTD("tos.rtd",,"OPEN_INT","."&amp;L$2&amp;L$1&amp;"C"&amp;$A8)*RTD("tos.rtd",,"DELTA","."&amp;L$2&amp;L$1&amp;"C"&amp;$A8)+100*RTD("tos.rtd",,"OPEN_INT","."&amp;L$2&amp;L$1&amp;"P"&amp;$A8)*RTD("tos.rtd",,"DELTA","."&amp;L$2&amp;L$1&amp;"P"&amp;$A8))/1000,(100*RTD("tos.rtd",,"OPEN_INT","."&amp;L$2&amp;L$1&amp;"C"&amp;$A8)*RTD("tos.rtd",,"DELTA","."&amp;L$2&amp;L$1&amp;"C"&amp;$A8)-100*RTD("tos.rtd",,"OPEN_INT","."&amp;L$2&amp;L$1&amp;"P"&amp;$A8)*RTD("tos.rtd",,"DELTA","."&amp;L$2&amp;L$1&amp;"P"&amp;$A8))/1000),0),IF($A$2="VEX",IFERROR(IF($X$1="ABS",($A$4*$A$4*RTD("tos.rtd",,"VOLUME","."&amp;L$2&amp;L$1&amp;"C"&amp;$A8)*RTD("tos.rtd",,"GAMMA","."&amp;L$2&amp;L$1&amp;"C"&amp;$A8)+$A$4*$A$4*RTD("tos.rtd",,"VOLUME","."&amp;L$2&amp;L$1&amp;"P"&amp;$A8)*RTD("tos.rtd",,"GAMMA","."&amp;L$2&amp;L$1&amp;"P"&amp;$A8))/1000000,($A$4*$A$4*RTD("tos.rtd",,"VOLUME","."&amp;L$2&amp;L$1&amp;"C"&amp;$A8)*RTD("tos.rtd",,"GAMMA","."&amp;L$2&amp;L$1&amp;"C"&amp;$A8)-$A$4*$A$4*RTD("tos.rtd",,"VOLUME","."&amp;L$2&amp;L$1&amp;"P"&amp;$A8)*RTD("tos.rtd",,"GAMMA","."&amp;L$2&amp;L$1&amp;"P"&amp;$A8))/1000000),0),IF($A$2="GEX",IFERROR(IF($X$1="ABS",($A$4*$A$4*RTD("tos.rtd",,"OPEN_INT","."&amp;L$2&amp;L$1&amp;"C"&amp;$A8)*RTD("tos.rtd",,"GAMMA","."&amp;L$2&amp;L$1&amp;"C"&amp;$A8)+$A$4*$A$4*RTD("tos.rtd",,"OPEN_INT","."&amp;L$2&amp;L$1&amp;"P"&amp;$A8)*RTD("tos.rtd",,"GAMMA","."&amp;L$2&amp;L$1&amp;"P"&amp;$A8))/1000000,($A$4*$A$4*RTD("tos.rtd",,"OPEN_INT","."&amp;L$2&amp;L$1&amp;"C"&amp;$A8)*RTD("tos.rtd",,"GAMMA","."&amp;L$2&amp;L$1&amp;"C"&amp;$A8)-$A$4*$A$4*RTD("tos.rtd",,"OPEN_INT","."&amp;L$2&amp;L$1&amp;"P"&amp;$A8)*RTD("tos.rtd",,"GAMMA","."&amp;L$2&amp;L$1&amp;"P"&amp;$A8))/1000000),0),IF($A$2="SKEW",IFERROR(VALUE(IF(RTD("tos.rtd",,"IMPL_VOL","."&amp;L$2&amp;L$1&amp;"P"&amp;$A8)="N/A",0,RTD("tos.rtd",,"IMPL_VOL","."&amp;L$2&amp;L$1&amp;"P"&amp;$A8))),0)-IFERROR(VALUE(IF(RTD("tos.rtd",,"IMPL_VOL","."&amp;L$2&amp;L$1&amp;"C"&amp;$A8)="N/A",0,RTD("tos.rtd",,"IMPL_VOL","."&amp;L$2&amp;L$1&amp;"C"&amp;$A8))),0),IF($A$2="MAXPAIN",IF($A$4&gt;$A8,($A$4-$A8)*IF(RTD("tos.rtd",,"OPEN_INT","."&amp;L$2&amp;L$1&amp;"C"&amp;$A8)="N/A",0,RTD("tos.rtd",,"OPEN_INT","."&amp;L$2&amp;L$1&amp;"C"&amp;$A8)),0)+IF($A$4&lt;$A8,($A$5-$A$4)*IF(RTD("tos.rtd",,"OPEN_INT","."&amp;L$2&amp;L$1&amp;"P"&amp;$A8)="N/A",0,RTD("tos.rtd",,"OPEN_INT","."&amp;L$2&amp;L$1&amp;"P"&amp;$A8)),0),IF($X$1="ABS",IF(RTD("tos.rtd",,$A$2,"."&amp;L$2&amp;L$1&amp;"C"&amp;$A8)="N/A",0,RTD("tos.rtd",,$A$2,"."&amp;L$2&amp;L$1&amp;"C"&amp;$A8))+IF(RTD("tos.rtd",,$A$2,"."&amp;L$2&amp;L$1&amp;"P"&amp;$A8)="N/A",0,RTD("tos.rtd",,$A$2,"."&amp;L$2&amp;L$1&amp;"P"&amp;$A8)),IF(RTD("tos.rtd",,$A$2,"."&amp;L$2&amp;L$1&amp;"C"&amp;$A8)="N/A",0,RTD("tos.rtd",,$A$2,"."&amp;L$2&amp;L$1&amp;"C"&amp;$A8))-IF(RTD("tos.rtd",,$A$2,"."&amp;L$2&amp;L$1&amp;"P"&amp;$A8)="N/A",0,RTD("tos.rtd",,$A$2,"."&amp;L$2&amp;L$1&amp;"P"&amp;$A8))))))))))</f>
        <v>12788</v>
      </c>
      <c r="M8" s="12">
        <f ca="1">IF($A$2="PREMIUM_OI",IFERROR(IF($X$1="ABS",(100*RTD("tos.rtd",,"OPEN_INT","."&amp;M$2&amp;M$1&amp;"C"&amp;$A8)*RTD("tos.rtd",,"LAST","."&amp;M$2&amp;M$1&amp;"C"&amp;$A8)+100*RTD("tos.rtd",,"OPEN_INT","."&amp;M$2&amp;M$1&amp;"P"&amp;$A8)*RTD("tos.rtd",,"LAST","."&amp;M$2&amp;M$1&amp;"P"&amp;$A8))/1000000,(100*RTD("tos.rtd",,"OPEN_INT","."&amp;M$2&amp;M$1&amp;"C"&amp;$A8)*RTD("tos.rtd",,"LAST","."&amp;M$2&amp;M$1&amp;"C"&amp;$A8)-100*RTD("tos.rtd",,"OPEN_INT","."&amp;M$2&amp;M$1&amp;"P"&amp;$A8)*RTD("tos.rtd",,"LAST","."&amp;M$2&amp;M$1&amp;"P"&amp;$A8))/1000000),0),IF($A$2="PREMIUM",IFERROR(IF($X$1="ABS",(100*RTD("tos.rtd",,"VOLUME","."&amp;M$2&amp;M$1&amp;"C"&amp;$A8)*RTD("tos.rtd",,"LAST","."&amp;M$2&amp;M$1&amp;"C"&amp;$A8)+100*RTD("tos.rtd",,"VOLUME","."&amp;M$2&amp;M$1&amp;"P"&amp;$A8)*RTD("tos.rtd",,"LAST","."&amp;M$2&amp;M$1&amp;"P"&amp;$A8))/1000000,(100*RTD("tos.rtd",,"VOLUME","."&amp;M$2&amp;M$1&amp;"C"&amp;$A8)*RTD("tos.rtd",,"LAST","."&amp;M$2&amp;M$1&amp;"C"&amp;$A8)-100*RTD("tos.rtd",,"VOLUME","."&amp;M$2&amp;M$1&amp;"P"&amp;$A8)*RTD("tos.rtd",,"LAST","."&amp;M$2&amp;M$1&amp;"P"&amp;$A8))/1000000),0),IF($A$2="DEX",IFERROR(IF($X$1="ABS",(100*RTD("tos.rtd",,"OPEN_INT","."&amp;M$2&amp;M$1&amp;"C"&amp;$A8)*RTD("tos.rtd",,"DELTA","."&amp;M$2&amp;M$1&amp;"C"&amp;$A8)+100*RTD("tos.rtd",,"OPEN_INT","."&amp;M$2&amp;M$1&amp;"P"&amp;$A8)*RTD("tos.rtd",,"DELTA","."&amp;M$2&amp;M$1&amp;"P"&amp;$A8))/1000,(100*RTD("tos.rtd",,"OPEN_INT","."&amp;M$2&amp;M$1&amp;"C"&amp;$A8)*RTD("tos.rtd",,"DELTA","."&amp;M$2&amp;M$1&amp;"C"&amp;$A8)-100*RTD("tos.rtd",,"OPEN_INT","."&amp;M$2&amp;M$1&amp;"P"&amp;$A8)*RTD("tos.rtd",,"DELTA","."&amp;M$2&amp;M$1&amp;"P"&amp;$A8))/1000),0),IF($A$2="VEX",IFERROR(IF($X$1="ABS",($A$4*$A$4*RTD("tos.rtd",,"VOLUME","."&amp;M$2&amp;M$1&amp;"C"&amp;$A8)*RTD("tos.rtd",,"GAMMA","."&amp;M$2&amp;M$1&amp;"C"&amp;$A8)+$A$4*$A$4*RTD("tos.rtd",,"VOLUME","."&amp;M$2&amp;M$1&amp;"P"&amp;$A8)*RTD("tos.rtd",,"GAMMA","."&amp;M$2&amp;M$1&amp;"P"&amp;$A8))/1000000,($A$4*$A$4*RTD("tos.rtd",,"VOLUME","."&amp;M$2&amp;M$1&amp;"C"&amp;$A8)*RTD("tos.rtd",,"GAMMA","."&amp;M$2&amp;M$1&amp;"C"&amp;$A8)-$A$4*$A$4*RTD("tos.rtd",,"VOLUME","."&amp;M$2&amp;M$1&amp;"P"&amp;$A8)*RTD("tos.rtd",,"GAMMA","."&amp;M$2&amp;M$1&amp;"P"&amp;$A8))/1000000),0),IF($A$2="GEX",IFERROR(IF($X$1="ABS",($A$4*$A$4*RTD("tos.rtd",,"OPEN_INT","."&amp;M$2&amp;M$1&amp;"C"&amp;$A8)*RTD("tos.rtd",,"GAMMA","."&amp;M$2&amp;M$1&amp;"C"&amp;$A8)+$A$4*$A$4*RTD("tos.rtd",,"OPEN_INT","."&amp;M$2&amp;M$1&amp;"P"&amp;$A8)*RTD("tos.rtd",,"GAMMA","."&amp;M$2&amp;M$1&amp;"P"&amp;$A8))/1000000,($A$4*$A$4*RTD("tos.rtd",,"OPEN_INT","."&amp;M$2&amp;M$1&amp;"C"&amp;$A8)*RTD("tos.rtd",,"GAMMA","."&amp;M$2&amp;M$1&amp;"C"&amp;$A8)-$A$4*$A$4*RTD("tos.rtd",,"OPEN_INT","."&amp;M$2&amp;M$1&amp;"P"&amp;$A8)*RTD("tos.rtd",,"GAMMA","."&amp;M$2&amp;M$1&amp;"P"&amp;$A8))/1000000),0),IF($A$2="SKEW",IFERROR(VALUE(IF(RTD("tos.rtd",,"IMPL_VOL","."&amp;M$2&amp;M$1&amp;"P"&amp;$A8)="N/A",0,RTD("tos.rtd",,"IMPL_VOL","."&amp;M$2&amp;M$1&amp;"P"&amp;$A8))),0)-IFERROR(VALUE(IF(RTD("tos.rtd",,"IMPL_VOL","."&amp;M$2&amp;M$1&amp;"C"&amp;$A8)="N/A",0,RTD("tos.rtd",,"IMPL_VOL","."&amp;M$2&amp;M$1&amp;"C"&amp;$A8))),0),IF($A$2="MAXPAIN",IF($A$4&gt;$A8,($A$4-$A8)*IF(RTD("tos.rtd",,"OPEN_INT","."&amp;M$2&amp;M$1&amp;"C"&amp;$A8)="N/A",0,RTD("tos.rtd",,"OPEN_INT","."&amp;M$2&amp;M$1&amp;"C"&amp;$A8)),0)+IF($A$4&lt;$A8,($A$5-$A$4)*IF(RTD("tos.rtd",,"OPEN_INT","."&amp;M$2&amp;M$1&amp;"P"&amp;$A8)="N/A",0,RTD("tos.rtd",,"OPEN_INT","."&amp;M$2&amp;M$1&amp;"P"&amp;$A8)),0),IF($X$1="ABS",IF(RTD("tos.rtd",,$A$2,"."&amp;M$2&amp;M$1&amp;"C"&amp;$A8)="N/A",0,RTD("tos.rtd",,$A$2,"."&amp;M$2&amp;M$1&amp;"C"&amp;$A8))+IF(RTD("tos.rtd",,$A$2,"."&amp;M$2&amp;M$1&amp;"P"&amp;$A8)="N/A",0,RTD("tos.rtd",,$A$2,"."&amp;M$2&amp;M$1&amp;"P"&amp;$A8)),IF(RTD("tos.rtd",,$A$2,"."&amp;M$2&amp;M$1&amp;"C"&amp;$A8)="N/A",0,RTD("tos.rtd",,$A$2,"."&amp;M$2&amp;M$1&amp;"C"&amp;$A8))-IF(RTD("tos.rtd",,$A$2,"."&amp;M$2&amp;M$1&amp;"P"&amp;$A8)="N/A",0,RTD("tos.rtd",,$A$2,"."&amp;M$2&amp;M$1&amp;"P"&amp;$A8))))))))))</f>
        <v>4922</v>
      </c>
      <c r="N8" s="12">
        <f ca="1">IF($A$2="PREMIUM_OI",IFERROR(IF($X$1="ABS",(100*RTD("tos.rtd",,"OPEN_INT","."&amp;N$2&amp;N$1&amp;"C"&amp;$A8)*RTD("tos.rtd",,"LAST","."&amp;N$2&amp;N$1&amp;"C"&amp;$A8)+100*RTD("tos.rtd",,"OPEN_INT","."&amp;N$2&amp;N$1&amp;"P"&amp;$A8)*RTD("tos.rtd",,"LAST","."&amp;N$2&amp;N$1&amp;"P"&amp;$A8))/1000000,(100*RTD("tos.rtd",,"OPEN_INT","."&amp;N$2&amp;N$1&amp;"C"&amp;$A8)*RTD("tos.rtd",,"LAST","."&amp;N$2&amp;N$1&amp;"C"&amp;$A8)-100*RTD("tos.rtd",,"OPEN_INT","."&amp;N$2&amp;N$1&amp;"P"&amp;$A8)*RTD("tos.rtd",,"LAST","."&amp;N$2&amp;N$1&amp;"P"&amp;$A8))/1000000),0),IF($A$2="PREMIUM",IFERROR(IF($X$1="ABS",(100*RTD("tos.rtd",,"VOLUME","."&amp;N$2&amp;N$1&amp;"C"&amp;$A8)*RTD("tos.rtd",,"LAST","."&amp;N$2&amp;N$1&amp;"C"&amp;$A8)+100*RTD("tos.rtd",,"VOLUME","."&amp;N$2&amp;N$1&amp;"P"&amp;$A8)*RTD("tos.rtd",,"LAST","."&amp;N$2&amp;N$1&amp;"P"&amp;$A8))/1000000,(100*RTD("tos.rtd",,"VOLUME","."&amp;N$2&amp;N$1&amp;"C"&amp;$A8)*RTD("tos.rtd",,"LAST","."&amp;N$2&amp;N$1&amp;"C"&amp;$A8)-100*RTD("tos.rtd",,"VOLUME","."&amp;N$2&amp;N$1&amp;"P"&amp;$A8)*RTD("tos.rtd",,"LAST","."&amp;N$2&amp;N$1&amp;"P"&amp;$A8))/1000000),0),IF($A$2="DEX",IFERROR(IF($X$1="ABS",(100*RTD("tos.rtd",,"OPEN_INT","."&amp;N$2&amp;N$1&amp;"C"&amp;$A8)*RTD("tos.rtd",,"DELTA","."&amp;N$2&amp;N$1&amp;"C"&amp;$A8)+100*RTD("tos.rtd",,"OPEN_INT","."&amp;N$2&amp;N$1&amp;"P"&amp;$A8)*RTD("tos.rtd",,"DELTA","."&amp;N$2&amp;N$1&amp;"P"&amp;$A8))/1000,(100*RTD("tos.rtd",,"OPEN_INT","."&amp;N$2&amp;N$1&amp;"C"&amp;$A8)*RTD("tos.rtd",,"DELTA","."&amp;N$2&amp;N$1&amp;"C"&amp;$A8)-100*RTD("tos.rtd",,"OPEN_INT","."&amp;N$2&amp;N$1&amp;"P"&amp;$A8)*RTD("tos.rtd",,"DELTA","."&amp;N$2&amp;N$1&amp;"P"&amp;$A8))/1000),0),IF($A$2="VEX",IFERROR(IF($X$1="ABS",($A$4*$A$4*RTD("tos.rtd",,"VOLUME","."&amp;N$2&amp;N$1&amp;"C"&amp;$A8)*RTD("tos.rtd",,"GAMMA","."&amp;N$2&amp;N$1&amp;"C"&amp;$A8)+$A$4*$A$4*RTD("tos.rtd",,"VOLUME","."&amp;N$2&amp;N$1&amp;"P"&amp;$A8)*RTD("tos.rtd",,"GAMMA","."&amp;N$2&amp;N$1&amp;"P"&amp;$A8))/1000000,($A$4*$A$4*RTD("tos.rtd",,"VOLUME","."&amp;N$2&amp;N$1&amp;"C"&amp;$A8)*RTD("tos.rtd",,"GAMMA","."&amp;N$2&amp;N$1&amp;"C"&amp;$A8)-$A$4*$A$4*RTD("tos.rtd",,"VOLUME","."&amp;N$2&amp;N$1&amp;"P"&amp;$A8)*RTD("tos.rtd",,"GAMMA","."&amp;N$2&amp;N$1&amp;"P"&amp;$A8))/1000000),0),IF($A$2="GEX",IFERROR(IF($X$1="ABS",($A$4*$A$4*RTD("tos.rtd",,"OPEN_INT","."&amp;N$2&amp;N$1&amp;"C"&amp;$A8)*RTD("tos.rtd",,"GAMMA","."&amp;N$2&amp;N$1&amp;"C"&amp;$A8)+$A$4*$A$4*RTD("tos.rtd",,"OPEN_INT","."&amp;N$2&amp;N$1&amp;"P"&amp;$A8)*RTD("tos.rtd",,"GAMMA","."&amp;N$2&amp;N$1&amp;"P"&amp;$A8))/1000000,($A$4*$A$4*RTD("tos.rtd",,"OPEN_INT","."&amp;N$2&amp;N$1&amp;"C"&amp;$A8)*RTD("tos.rtd",,"GAMMA","."&amp;N$2&amp;N$1&amp;"C"&amp;$A8)-$A$4*$A$4*RTD("tos.rtd",,"OPEN_INT","."&amp;N$2&amp;N$1&amp;"P"&amp;$A8)*RTD("tos.rtd",,"GAMMA","."&amp;N$2&amp;N$1&amp;"P"&amp;$A8))/1000000),0),IF($A$2="SKEW",IFERROR(VALUE(IF(RTD("tos.rtd",,"IMPL_VOL","."&amp;N$2&amp;N$1&amp;"P"&amp;$A8)="N/A",0,RTD("tos.rtd",,"IMPL_VOL","."&amp;N$2&amp;N$1&amp;"P"&amp;$A8))),0)-IFERROR(VALUE(IF(RTD("tos.rtd",,"IMPL_VOL","."&amp;N$2&amp;N$1&amp;"C"&amp;$A8)="N/A",0,RTD("tos.rtd",,"IMPL_VOL","."&amp;N$2&amp;N$1&amp;"C"&amp;$A8))),0),IF($A$2="MAXPAIN",IF($A$4&gt;$A8,($A$4-$A8)*IF(RTD("tos.rtd",,"OPEN_INT","."&amp;N$2&amp;N$1&amp;"C"&amp;$A8)="N/A",0,RTD("tos.rtd",,"OPEN_INT","."&amp;N$2&amp;N$1&amp;"C"&amp;$A8)),0)+IF($A$4&lt;$A8,($A$5-$A$4)*IF(RTD("tos.rtd",,"OPEN_INT","."&amp;N$2&amp;N$1&amp;"P"&amp;$A8)="N/A",0,RTD("tos.rtd",,"OPEN_INT","."&amp;N$2&amp;N$1&amp;"P"&amp;$A8)),0),IF($X$1="ABS",IF(RTD("tos.rtd",,$A$2,"."&amp;N$2&amp;N$1&amp;"C"&amp;$A8)="N/A",0,RTD("tos.rtd",,$A$2,"."&amp;N$2&amp;N$1&amp;"C"&amp;$A8))+IF(RTD("tos.rtd",,$A$2,"."&amp;N$2&amp;N$1&amp;"P"&amp;$A8)="N/A",0,RTD("tos.rtd",,$A$2,"."&amp;N$2&amp;N$1&amp;"P"&amp;$A8)),IF(RTD("tos.rtd",,$A$2,"."&amp;N$2&amp;N$1&amp;"C"&amp;$A8)="N/A",0,RTD("tos.rtd",,$A$2,"."&amp;N$2&amp;N$1&amp;"C"&amp;$A8))-IF(RTD("tos.rtd",,$A$2,"."&amp;N$2&amp;N$1&amp;"P"&amp;$A8)="N/A",0,RTD("tos.rtd",,$A$2,"."&amp;N$2&amp;N$1&amp;"P"&amp;$A8))))))))))</f>
        <v>0</v>
      </c>
      <c r="O8" s="12">
        <f ca="1">IF($A$2="PREMIUM_OI",IFERROR(IF($X$1="ABS",(100*RTD("tos.rtd",,"OPEN_INT","."&amp;O$2&amp;O$1&amp;"C"&amp;$A8)*RTD("tos.rtd",,"LAST","."&amp;O$2&amp;O$1&amp;"C"&amp;$A8)+100*RTD("tos.rtd",,"OPEN_INT","."&amp;O$2&amp;O$1&amp;"P"&amp;$A8)*RTD("tos.rtd",,"LAST","."&amp;O$2&amp;O$1&amp;"P"&amp;$A8))/1000000,(100*RTD("tos.rtd",,"OPEN_INT","."&amp;O$2&amp;O$1&amp;"C"&amp;$A8)*RTD("tos.rtd",,"LAST","."&amp;O$2&amp;O$1&amp;"C"&amp;$A8)-100*RTD("tos.rtd",,"OPEN_INT","."&amp;O$2&amp;O$1&amp;"P"&amp;$A8)*RTD("tos.rtd",,"LAST","."&amp;O$2&amp;O$1&amp;"P"&amp;$A8))/1000000),0),IF($A$2="PREMIUM",IFERROR(IF($X$1="ABS",(100*RTD("tos.rtd",,"VOLUME","."&amp;O$2&amp;O$1&amp;"C"&amp;$A8)*RTD("tos.rtd",,"LAST","."&amp;O$2&amp;O$1&amp;"C"&amp;$A8)+100*RTD("tos.rtd",,"VOLUME","."&amp;O$2&amp;O$1&amp;"P"&amp;$A8)*RTD("tos.rtd",,"LAST","."&amp;O$2&amp;O$1&amp;"P"&amp;$A8))/1000000,(100*RTD("tos.rtd",,"VOLUME","."&amp;O$2&amp;O$1&amp;"C"&amp;$A8)*RTD("tos.rtd",,"LAST","."&amp;O$2&amp;O$1&amp;"C"&amp;$A8)-100*RTD("tos.rtd",,"VOLUME","."&amp;O$2&amp;O$1&amp;"P"&amp;$A8)*RTD("tos.rtd",,"LAST","."&amp;O$2&amp;O$1&amp;"P"&amp;$A8))/1000000),0),IF($A$2="DEX",IFERROR(IF($X$1="ABS",(100*RTD("tos.rtd",,"OPEN_INT","."&amp;O$2&amp;O$1&amp;"C"&amp;$A8)*RTD("tos.rtd",,"DELTA","."&amp;O$2&amp;O$1&amp;"C"&amp;$A8)+100*RTD("tos.rtd",,"OPEN_INT","."&amp;O$2&amp;O$1&amp;"P"&amp;$A8)*RTD("tos.rtd",,"DELTA","."&amp;O$2&amp;O$1&amp;"P"&amp;$A8))/1000,(100*RTD("tos.rtd",,"OPEN_INT","."&amp;O$2&amp;O$1&amp;"C"&amp;$A8)*RTD("tos.rtd",,"DELTA","."&amp;O$2&amp;O$1&amp;"C"&amp;$A8)-100*RTD("tos.rtd",,"OPEN_INT","."&amp;O$2&amp;O$1&amp;"P"&amp;$A8)*RTD("tos.rtd",,"DELTA","."&amp;O$2&amp;O$1&amp;"P"&amp;$A8))/1000),0),IF($A$2="VEX",IFERROR(IF($X$1="ABS",($A$4*$A$4*RTD("tos.rtd",,"VOLUME","."&amp;O$2&amp;O$1&amp;"C"&amp;$A8)*RTD("tos.rtd",,"GAMMA","."&amp;O$2&amp;O$1&amp;"C"&amp;$A8)+$A$4*$A$4*RTD("tos.rtd",,"VOLUME","."&amp;O$2&amp;O$1&amp;"P"&amp;$A8)*RTD("tos.rtd",,"GAMMA","."&amp;O$2&amp;O$1&amp;"P"&amp;$A8))/1000000,($A$4*$A$4*RTD("tos.rtd",,"VOLUME","."&amp;O$2&amp;O$1&amp;"C"&amp;$A8)*RTD("tos.rtd",,"GAMMA","."&amp;O$2&amp;O$1&amp;"C"&amp;$A8)-$A$4*$A$4*RTD("tos.rtd",,"VOLUME","."&amp;O$2&amp;O$1&amp;"P"&amp;$A8)*RTD("tos.rtd",,"GAMMA","."&amp;O$2&amp;O$1&amp;"P"&amp;$A8))/1000000),0),IF($A$2="GEX",IFERROR(IF($X$1="ABS",($A$4*$A$4*RTD("tos.rtd",,"OPEN_INT","."&amp;O$2&amp;O$1&amp;"C"&amp;$A8)*RTD("tos.rtd",,"GAMMA","."&amp;O$2&amp;O$1&amp;"C"&amp;$A8)+$A$4*$A$4*RTD("tos.rtd",,"OPEN_INT","."&amp;O$2&amp;O$1&amp;"P"&amp;$A8)*RTD("tos.rtd",,"GAMMA","."&amp;O$2&amp;O$1&amp;"P"&amp;$A8))/1000000,($A$4*$A$4*RTD("tos.rtd",,"OPEN_INT","."&amp;O$2&amp;O$1&amp;"C"&amp;$A8)*RTD("tos.rtd",,"GAMMA","."&amp;O$2&amp;O$1&amp;"C"&amp;$A8)-$A$4*$A$4*RTD("tos.rtd",,"OPEN_INT","."&amp;O$2&amp;O$1&amp;"P"&amp;$A8)*RTD("tos.rtd",,"GAMMA","."&amp;O$2&amp;O$1&amp;"P"&amp;$A8))/1000000),0),IF($A$2="SKEW",IFERROR(VALUE(IF(RTD("tos.rtd",,"IMPL_VOL","."&amp;O$2&amp;O$1&amp;"P"&amp;$A8)="N/A",0,RTD("tos.rtd",,"IMPL_VOL","."&amp;O$2&amp;O$1&amp;"P"&amp;$A8))),0)-IFERROR(VALUE(IF(RTD("tos.rtd",,"IMPL_VOL","."&amp;O$2&amp;O$1&amp;"C"&amp;$A8)="N/A",0,RTD("tos.rtd",,"IMPL_VOL","."&amp;O$2&amp;O$1&amp;"C"&amp;$A8))),0),IF($A$2="MAXPAIN",IF($A$4&gt;$A8,($A$4-$A8)*IF(RTD("tos.rtd",,"OPEN_INT","."&amp;O$2&amp;O$1&amp;"C"&amp;$A8)="N/A",0,RTD("tos.rtd",,"OPEN_INT","."&amp;O$2&amp;O$1&amp;"C"&amp;$A8)),0)+IF($A$4&lt;$A8,($A$5-$A$4)*IF(RTD("tos.rtd",,"OPEN_INT","."&amp;O$2&amp;O$1&amp;"P"&amp;$A8)="N/A",0,RTD("tos.rtd",,"OPEN_INT","."&amp;O$2&amp;O$1&amp;"P"&amp;$A8)),0),IF($X$1="ABS",IF(RTD("tos.rtd",,$A$2,"."&amp;O$2&amp;O$1&amp;"C"&amp;$A8)="N/A",0,RTD("tos.rtd",,$A$2,"."&amp;O$2&amp;O$1&amp;"C"&amp;$A8))+IF(RTD("tos.rtd",,$A$2,"."&amp;O$2&amp;O$1&amp;"P"&amp;$A8)="N/A",0,RTD("tos.rtd",,$A$2,"."&amp;O$2&amp;O$1&amp;"P"&amp;$A8)),IF(RTD("tos.rtd",,$A$2,"."&amp;O$2&amp;O$1&amp;"C"&amp;$A8)="N/A",0,RTD("tos.rtd",,$A$2,"."&amp;O$2&amp;O$1&amp;"C"&amp;$A8))-IF(RTD("tos.rtd",,$A$2,"."&amp;O$2&amp;O$1&amp;"P"&amp;$A8)="N/A",0,RTD("tos.rtd",,$A$2,"."&amp;O$2&amp;O$1&amp;"P"&amp;$A8))))))))))</f>
        <v>0</v>
      </c>
      <c r="P8" s="12">
        <f ca="1">IF($A$2="PREMIUM_OI",IFERROR(IF($X$1="ABS",(100*RTD("tos.rtd",,"OPEN_INT","."&amp;P$2&amp;P$1&amp;"C"&amp;$A8)*RTD("tos.rtd",,"LAST","."&amp;P$2&amp;P$1&amp;"C"&amp;$A8)+100*RTD("tos.rtd",,"OPEN_INT","."&amp;P$2&amp;P$1&amp;"P"&amp;$A8)*RTD("tos.rtd",,"LAST","."&amp;P$2&amp;P$1&amp;"P"&amp;$A8))/1000000,(100*RTD("tos.rtd",,"OPEN_INT","."&amp;P$2&amp;P$1&amp;"C"&amp;$A8)*RTD("tos.rtd",,"LAST","."&amp;P$2&amp;P$1&amp;"C"&amp;$A8)-100*RTD("tos.rtd",,"OPEN_INT","."&amp;P$2&amp;P$1&amp;"P"&amp;$A8)*RTD("tos.rtd",,"LAST","."&amp;P$2&amp;P$1&amp;"P"&amp;$A8))/1000000),0),IF($A$2="PREMIUM",IFERROR(IF($X$1="ABS",(100*RTD("tos.rtd",,"VOLUME","."&amp;P$2&amp;P$1&amp;"C"&amp;$A8)*RTD("tos.rtd",,"LAST","."&amp;P$2&amp;P$1&amp;"C"&amp;$A8)+100*RTD("tos.rtd",,"VOLUME","."&amp;P$2&amp;P$1&amp;"P"&amp;$A8)*RTD("tos.rtd",,"LAST","."&amp;P$2&amp;P$1&amp;"P"&amp;$A8))/1000000,(100*RTD("tos.rtd",,"VOLUME","."&amp;P$2&amp;P$1&amp;"C"&amp;$A8)*RTD("tos.rtd",,"LAST","."&amp;P$2&amp;P$1&amp;"C"&amp;$A8)-100*RTD("tos.rtd",,"VOLUME","."&amp;P$2&amp;P$1&amp;"P"&amp;$A8)*RTD("tos.rtd",,"LAST","."&amp;P$2&amp;P$1&amp;"P"&amp;$A8))/1000000),0),IF($A$2="DEX",IFERROR(IF($X$1="ABS",(100*RTD("tos.rtd",,"OPEN_INT","."&amp;P$2&amp;P$1&amp;"C"&amp;$A8)*RTD("tos.rtd",,"DELTA","."&amp;P$2&amp;P$1&amp;"C"&amp;$A8)+100*RTD("tos.rtd",,"OPEN_INT","."&amp;P$2&amp;P$1&amp;"P"&amp;$A8)*RTD("tos.rtd",,"DELTA","."&amp;P$2&amp;P$1&amp;"P"&amp;$A8))/1000,(100*RTD("tos.rtd",,"OPEN_INT","."&amp;P$2&amp;P$1&amp;"C"&amp;$A8)*RTD("tos.rtd",,"DELTA","."&amp;P$2&amp;P$1&amp;"C"&amp;$A8)-100*RTD("tos.rtd",,"OPEN_INT","."&amp;P$2&amp;P$1&amp;"P"&amp;$A8)*RTD("tos.rtd",,"DELTA","."&amp;P$2&amp;P$1&amp;"P"&amp;$A8))/1000),0),IF($A$2="VEX",IFERROR(IF($X$1="ABS",($A$4*$A$4*RTD("tos.rtd",,"VOLUME","."&amp;P$2&amp;P$1&amp;"C"&amp;$A8)*RTD("tos.rtd",,"GAMMA","."&amp;P$2&amp;P$1&amp;"C"&amp;$A8)+$A$4*$A$4*RTD("tos.rtd",,"VOLUME","."&amp;P$2&amp;P$1&amp;"P"&amp;$A8)*RTD("tos.rtd",,"GAMMA","."&amp;P$2&amp;P$1&amp;"P"&amp;$A8))/1000000,($A$4*$A$4*RTD("tos.rtd",,"VOLUME","."&amp;P$2&amp;P$1&amp;"C"&amp;$A8)*RTD("tos.rtd",,"GAMMA","."&amp;P$2&amp;P$1&amp;"C"&amp;$A8)-$A$4*$A$4*RTD("tos.rtd",,"VOLUME","."&amp;P$2&amp;P$1&amp;"P"&amp;$A8)*RTD("tos.rtd",,"GAMMA","."&amp;P$2&amp;P$1&amp;"P"&amp;$A8))/1000000),0),IF($A$2="GEX",IFERROR(IF($X$1="ABS",($A$4*$A$4*RTD("tos.rtd",,"OPEN_INT","."&amp;P$2&amp;P$1&amp;"C"&amp;$A8)*RTD("tos.rtd",,"GAMMA","."&amp;P$2&amp;P$1&amp;"C"&amp;$A8)+$A$4*$A$4*RTD("tos.rtd",,"OPEN_INT","."&amp;P$2&amp;P$1&amp;"P"&amp;$A8)*RTD("tos.rtd",,"GAMMA","."&amp;P$2&amp;P$1&amp;"P"&amp;$A8))/1000000,($A$4*$A$4*RTD("tos.rtd",,"OPEN_INT","."&amp;P$2&amp;P$1&amp;"C"&amp;$A8)*RTD("tos.rtd",,"GAMMA","."&amp;P$2&amp;P$1&amp;"C"&amp;$A8)-$A$4*$A$4*RTD("tos.rtd",,"OPEN_INT","."&amp;P$2&amp;P$1&amp;"P"&amp;$A8)*RTD("tos.rtd",,"GAMMA","."&amp;P$2&amp;P$1&amp;"P"&amp;$A8))/1000000),0),IF($A$2="SKEW",IFERROR(VALUE(IF(RTD("tos.rtd",,"IMPL_VOL","."&amp;P$2&amp;P$1&amp;"P"&amp;$A8)="N/A",0,RTD("tos.rtd",,"IMPL_VOL","."&amp;P$2&amp;P$1&amp;"P"&amp;$A8))),0)-IFERROR(VALUE(IF(RTD("tos.rtd",,"IMPL_VOL","."&amp;P$2&amp;P$1&amp;"C"&amp;$A8)="N/A",0,RTD("tos.rtd",,"IMPL_VOL","."&amp;P$2&amp;P$1&amp;"C"&amp;$A8))),0),IF($A$2="MAXPAIN",IF($A$4&gt;$A8,($A$4-$A8)*IF(RTD("tos.rtd",,"OPEN_INT","."&amp;P$2&amp;P$1&amp;"C"&amp;$A8)="N/A",0,RTD("tos.rtd",,"OPEN_INT","."&amp;P$2&amp;P$1&amp;"C"&amp;$A8)),0)+IF($A$4&lt;$A8,($A$5-$A$4)*IF(RTD("tos.rtd",,"OPEN_INT","."&amp;P$2&amp;P$1&amp;"P"&amp;$A8)="N/A",0,RTD("tos.rtd",,"OPEN_INT","."&amp;P$2&amp;P$1&amp;"P"&amp;$A8)),0),IF($X$1="ABS",IF(RTD("tos.rtd",,$A$2,"."&amp;P$2&amp;P$1&amp;"C"&amp;$A8)="N/A",0,RTD("tos.rtd",,$A$2,"."&amp;P$2&amp;P$1&amp;"C"&amp;$A8))+IF(RTD("tos.rtd",,$A$2,"."&amp;P$2&amp;P$1&amp;"P"&amp;$A8)="N/A",0,RTD("tos.rtd",,$A$2,"."&amp;P$2&amp;P$1&amp;"P"&amp;$A8)),IF(RTD("tos.rtd",,$A$2,"."&amp;P$2&amp;P$1&amp;"C"&amp;$A8)="N/A",0,RTD("tos.rtd",,$A$2,"."&amp;P$2&amp;P$1&amp;"C"&amp;$A8))-IF(RTD("tos.rtd",,$A$2,"."&amp;P$2&amp;P$1&amp;"P"&amp;$A8)="N/A",0,RTD("tos.rtd",,$A$2,"."&amp;P$2&amp;P$1&amp;"P"&amp;$A8))))))))))</f>
        <v>0</v>
      </c>
      <c r="Q8" s="12">
        <f ca="1">IF($A$2="PREMIUM_OI",IFERROR(IF($X$1="ABS",(100*RTD("tos.rtd",,"OPEN_INT","."&amp;Q$2&amp;Q$1&amp;"C"&amp;$A8)*RTD("tos.rtd",,"LAST","."&amp;Q$2&amp;Q$1&amp;"C"&amp;$A8)+100*RTD("tos.rtd",,"OPEN_INT","."&amp;Q$2&amp;Q$1&amp;"P"&amp;$A8)*RTD("tos.rtd",,"LAST","."&amp;Q$2&amp;Q$1&amp;"P"&amp;$A8))/1000000,(100*RTD("tos.rtd",,"OPEN_INT","."&amp;Q$2&amp;Q$1&amp;"C"&amp;$A8)*RTD("tos.rtd",,"LAST","."&amp;Q$2&amp;Q$1&amp;"C"&amp;$A8)-100*RTD("tos.rtd",,"OPEN_INT","."&amp;Q$2&amp;Q$1&amp;"P"&amp;$A8)*RTD("tos.rtd",,"LAST","."&amp;Q$2&amp;Q$1&amp;"P"&amp;$A8))/1000000),0),IF($A$2="PREMIUM",IFERROR(IF($X$1="ABS",(100*RTD("tos.rtd",,"VOLUME","."&amp;Q$2&amp;Q$1&amp;"C"&amp;$A8)*RTD("tos.rtd",,"LAST","."&amp;Q$2&amp;Q$1&amp;"C"&amp;$A8)+100*RTD("tos.rtd",,"VOLUME","."&amp;Q$2&amp;Q$1&amp;"P"&amp;$A8)*RTD("tos.rtd",,"LAST","."&amp;Q$2&amp;Q$1&amp;"P"&amp;$A8))/1000000,(100*RTD("tos.rtd",,"VOLUME","."&amp;Q$2&amp;Q$1&amp;"C"&amp;$A8)*RTD("tos.rtd",,"LAST","."&amp;Q$2&amp;Q$1&amp;"C"&amp;$A8)-100*RTD("tos.rtd",,"VOLUME","."&amp;Q$2&amp;Q$1&amp;"P"&amp;$A8)*RTD("tos.rtd",,"LAST","."&amp;Q$2&amp;Q$1&amp;"P"&amp;$A8))/1000000),0),IF($A$2="DEX",IFERROR(IF($X$1="ABS",(100*RTD("tos.rtd",,"OPEN_INT","."&amp;Q$2&amp;Q$1&amp;"C"&amp;$A8)*RTD("tos.rtd",,"DELTA","."&amp;Q$2&amp;Q$1&amp;"C"&amp;$A8)+100*RTD("tos.rtd",,"OPEN_INT","."&amp;Q$2&amp;Q$1&amp;"P"&amp;$A8)*RTD("tos.rtd",,"DELTA","."&amp;Q$2&amp;Q$1&amp;"P"&amp;$A8))/1000,(100*RTD("tos.rtd",,"OPEN_INT","."&amp;Q$2&amp;Q$1&amp;"C"&amp;$A8)*RTD("tos.rtd",,"DELTA","."&amp;Q$2&amp;Q$1&amp;"C"&amp;$A8)-100*RTD("tos.rtd",,"OPEN_INT","."&amp;Q$2&amp;Q$1&amp;"P"&amp;$A8)*RTD("tos.rtd",,"DELTA","."&amp;Q$2&amp;Q$1&amp;"P"&amp;$A8))/1000),0),IF($A$2="VEX",IFERROR(IF($X$1="ABS",($A$4*$A$4*RTD("tos.rtd",,"VOLUME","."&amp;Q$2&amp;Q$1&amp;"C"&amp;$A8)*RTD("tos.rtd",,"GAMMA","."&amp;Q$2&amp;Q$1&amp;"C"&amp;$A8)+$A$4*$A$4*RTD("tos.rtd",,"VOLUME","."&amp;Q$2&amp;Q$1&amp;"P"&amp;$A8)*RTD("tos.rtd",,"GAMMA","."&amp;Q$2&amp;Q$1&amp;"P"&amp;$A8))/1000000,($A$4*$A$4*RTD("tos.rtd",,"VOLUME","."&amp;Q$2&amp;Q$1&amp;"C"&amp;$A8)*RTD("tos.rtd",,"GAMMA","."&amp;Q$2&amp;Q$1&amp;"C"&amp;$A8)-$A$4*$A$4*RTD("tos.rtd",,"VOLUME","."&amp;Q$2&amp;Q$1&amp;"P"&amp;$A8)*RTD("tos.rtd",,"GAMMA","."&amp;Q$2&amp;Q$1&amp;"P"&amp;$A8))/1000000),0),IF($A$2="GEX",IFERROR(IF($X$1="ABS",($A$4*$A$4*RTD("tos.rtd",,"OPEN_INT","."&amp;Q$2&amp;Q$1&amp;"C"&amp;$A8)*RTD("tos.rtd",,"GAMMA","."&amp;Q$2&amp;Q$1&amp;"C"&amp;$A8)+$A$4*$A$4*RTD("tos.rtd",,"OPEN_INT","."&amp;Q$2&amp;Q$1&amp;"P"&amp;$A8)*RTD("tos.rtd",,"GAMMA","."&amp;Q$2&amp;Q$1&amp;"P"&amp;$A8))/1000000,($A$4*$A$4*RTD("tos.rtd",,"OPEN_INT","."&amp;Q$2&amp;Q$1&amp;"C"&amp;$A8)*RTD("tos.rtd",,"GAMMA","."&amp;Q$2&amp;Q$1&amp;"C"&amp;$A8)-$A$4*$A$4*RTD("tos.rtd",,"OPEN_INT","."&amp;Q$2&amp;Q$1&amp;"P"&amp;$A8)*RTD("tos.rtd",,"GAMMA","."&amp;Q$2&amp;Q$1&amp;"P"&amp;$A8))/1000000),0),IF($A$2="SKEW",IFERROR(VALUE(IF(RTD("tos.rtd",,"IMPL_VOL","."&amp;Q$2&amp;Q$1&amp;"P"&amp;$A8)="N/A",0,RTD("tos.rtd",,"IMPL_VOL","."&amp;Q$2&amp;Q$1&amp;"P"&amp;$A8))),0)-IFERROR(VALUE(IF(RTD("tos.rtd",,"IMPL_VOL","."&amp;Q$2&amp;Q$1&amp;"C"&amp;$A8)="N/A",0,RTD("tos.rtd",,"IMPL_VOL","."&amp;Q$2&amp;Q$1&amp;"C"&amp;$A8))),0),IF($A$2="MAXPAIN",IF($A$4&gt;$A8,($A$4-$A8)*IF(RTD("tos.rtd",,"OPEN_INT","."&amp;Q$2&amp;Q$1&amp;"C"&amp;$A8)="N/A",0,RTD("tos.rtd",,"OPEN_INT","."&amp;Q$2&amp;Q$1&amp;"C"&amp;$A8)),0)+IF($A$4&lt;$A8,($A$5-$A$4)*IF(RTD("tos.rtd",,"OPEN_INT","."&amp;Q$2&amp;Q$1&amp;"P"&amp;$A8)="N/A",0,RTD("tos.rtd",,"OPEN_INT","."&amp;Q$2&amp;Q$1&amp;"P"&amp;$A8)),0),IF($X$1="ABS",IF(RTD("tos.rtd",,$A$2,"."&amp;Q$2&amp;Q$1&amp;"C"&amp;$A8)="N/A",0,RTD("tos.rtd",,$A$2,"."&amp;Q$2&amp;Q$1&amp;"C"&amp;$A8))+IF(RTD("tos.rtd",,$A$2,"."&amp;Q$2&amp;Q$1&amp;"P"&amp;$A8)="N/A",0,RTD("tos.rtd",,$A$2,"."&amp;Q$2&amp;Q$1&amp;"P"&amp;$A8)),IF(RTD("tos.rtd",,$A$2,"."&amp;Q$2&amp;Q$1&amp;"C"&amp;$A8)="N/A",0,RTD("tos.rtd",,$A$2,"."&amp;Q$2&amp;Q$1&amp;"C"&amp;$A8))-IF(RTD("tos.rtd",,$A$2,"."&amp;Q$2&amp;Q$1&amp;"P"&amp;$A8)="N/A",0,RTD("tos.rtd",,$A$2,"."&amp;Q$2&amp;Q$1&amp;"P"&amp;$A8))))))))))</f>
        <v>0</v>
      </c>
      <c r="R8" s="12">
        <f ca="1">IF($A$2="PREMIUM_OI",IFERROR(IF($X$1="ABS",(100*RTD("tos.rtd",,"OPEN_INT","."&amp;R$2&amp;R$1&amp;"C"&amp;$A8)*RTD("tos.rtd",,"LAST","."&amp;R$2&amp;R$1&amp;"C"&amp;$A8)+100*RTD("tos.rtd",,"OPEN_INT","."&amp;R$2&amp;R$1&amp;"P"&amp;$A8)*RTD("tos.rtd",,"LAST","."&amp;R$2&amp;R$1&amp;"P"&amp;$A8))/1000000,(100*RTD("tos.rtd",,"OPEN_INT","."&amp;R$2&amp;R$1&amp;"C"&amp;$A8)*RTD("tos.rtd",,"LAST","."&amp;R$2&amp;R$1&amp;"C"&amp;$A8)-100*RTD("tos.rtd",,"OPEN_INT","."&amp;R$2&amp;R$1&amp;"P"&amp;$A8)*RTD("tos.rtd",,"LAST","."&amp;R$2&amp;R$1&amp;"P"&amp;$A8))/1000000),0),IF($A$2="PREMIUM",IFERROR(IF($X$1="ABS",(100*RTD("tos.rtd",,"VOLUME","."&amp;R$2&amp;R$1&amp;"C"&amp;$A8)*RTD("tos.rtd",,"LAST","."&amp;R$2&amp;R$1&amp;"C"&amp;$A8)+100*RTD("tos.rtd",,"VOLUME","."&amp;R$2&amp;R$1&amp;"P"&amp;$A8)*RTD("tos.rtd",,"LAST","."&amp;R$2&amp;R$1&amp;"P"&amp;$A8))/1000000,(100*RTD("tos.rtd",,"VOLUME","."&amp;R$2&amp;R$1&amp;"C"&amp;$A8)*RTD("tos.rtd",,"LAST","."&amp;R$2&amp;R$1&amp;"C"&amp;$A8)-100*RTD("tos.rtd",,"VOLUME","."&amp;R$2&amp;R$1&amp;"P"&amp;$A8)*RTD("tos.rtd",,"LAST","."&amp;R$2&amp;R$1&amp;"P"&amp;$A8))/1000000),0),IF($A$2="DEX",IFERROR(IF($X$1="ABS",(100*RTD("tos.rtd",,"OPEN_INT","."&amp;R$2&amp;R$1&amp;"C"&amp;$A8)*RTD("tos.rtd",,"DELTA","."&amp;R$2&amp;R$1&amp;"C"&amp;$A8)+100*RTD("tos.rtd",,"OPEN_INT","."&amp;R$2&amp;R$1&amp;"P"&amp;$A8)*RTD("tos.rtd",,"DELTA","."&amp;R$2&amp;R$1&amp;"P"&amp;$A8))/1000,(100*RTD("tos.rtd",,"OPEN_INT","."&amp;R$2&amp;R$1&amp;"C"&amp;$A8)*RTD("tos.rtd",,"DELTA","."&amp;R$2&amp;R$1&amp;"C"&amp;$A8)-100*RTD("tos.rtd",,"OPEN_INT","."&amp;R$2&amp;R$1&amp;"P"&amp;$A8)*RTD("tos.rtd",,"DELTA","."&amp;R$2&amp;R$1&amp;"P"&amp;$A8))/1000),0),IF($A$2="VEX",IFERROR(IF($X$1="ABS",($A$4*$A$4*RTD("tos.rtd",,"VOLUME","."&amp;R$2&amp;R$1&amp;"C"&amp;$A8)*RTD("tos.rtd",,"GAMMA","."&amp;R$2&amp;R$1&amp;"C"&amp;$A8)+$A$4*$A$4*RTD("tos.rtd",,"VOLUME","."&amp;R$2&amp;R$1&amp;"P"&amp;$A8)*RTD("tos.rtd",,"GAMMA","."&amp;R$2&amp;R$1&amp;"P"&amp;$A8))/1000000,($A$4*$A$4*RTD("tos.rtd",,"VOLUME","."&amp;R$2&amp;R$1&amp;"C"&amp;$A8)*RTD("tos.rtd",,"GAMMA","."&amp;R$2&amp;R$1&amp;"C"&amp;$A8)-$A$4*$A$4*RTD("tos.rtd",,"VOLUME","."&amp;R$2&amp;R$1&amp;"P"&amp;$A8)*RTD("tos.rtd",,"GAMMA","."&amp;R$2&amp;R$1&amp;"P"&amp;$A8))/1000000),0),IF($A$2="GEX",IFERROR(IF($X$1="ABS",($A$4*$A$4*RTD("tos.rtd",,"OPEN_INT","."&amp;R$2&amp;R$1&amp;"C"&amp;$A8)*RTD("tos.rtd",,"GAMMA","."&amp;R$2&amp;R$1&amp;"C"&amp;$A8)+$A$4*$A$4*RTD("tos.rtd",,"OPEN_INT","."&amp;R$2&amp;R$1&amp;"P"&amp;$A8)*RTD("tos.rtd",,"GAMMA","."&amp;R$2&amp;R$1&amp;"P"&amp;$A8))/1000000,($A$4*$A$4*RTD("tos.rtd",,"OPEN_INT","."&amp;R$2&amp;R$1&amp;"C"&amp;$A8)*RTD("tos.rtd",,"GAMMA","."&amp;R$2&amp;R$1&amp;"C"&amp;$A8)-$A$4*$A$4*RTD("tos.rtd",,"OPEN_INT","."&amp;R$2&amp;R$1&amp;"P"&amp;$A8)*RTD("tos.rtd",,"GAMMA","."&amp;R$2&amp;R$1&amp;"P"&amp;$A8))/1000000),0),IF($A$2="SKEW",IFERROR(VALUE(IF(RTD("tos.rtd",,"IMPL_VOL","."&amp;R$2&amp;R$1&amp;"P"&amp;$A8)="N/A",0,RTD("tos.rtd",,"IMPL_VOL","."&amp;R$2&amp;R$1&amp;"P"&amp;$A8))),0)-IFERROR(VALUE(IF(RTD("tos.rtd",,"IMPL_VOL","."&amp;R$2&amp;R$1&amp;"C"&amp;$A8)="N/A",0,RTD("tos.rtd",,"IMPL_VOL","."&amp;R$2&amp;R$1&amp;"C"&amp;$A8))),0),IF($A$2="MAXPAIN",IF($A$4&gt;$A8,($A$4-$A8)*IF(RTD("tos.rtd",,"OPEN_INT","."&amp;R$2&amp;R$1&amp;"C"&amp;$A8)="N/A",0,RTD("tos.rtd",,"OPEN_INT","."&amp;R$2&amp;R$1&amp;"C"&amp;$A8)),0)+IF($A$4&lt;$A8,($A$5-$A$4)*IF(RTD("tos.rtd",,"OPEN_INT","."&amp;R$2&amp;R$1&amp;"P"&amp;$A8)="N/A",0,RTD("tos.rtd",,"OPEN_INT","."&amp;R$2&amp;R$1&amp;"P"&amp;$A8)),0),IF($X$1="ABS",IF(RTD("tos.rtd",,$A$2,"."&amp;R$2&amp;R$1&amp;"C"&amp;$A8)="N/A",0,RTD("tos.rtd",,$A$2,"."&amp;R$2&amp;R$1&amp;"C"&amp;$A8))+IF(RTD("tos.rtd",,$A$2,"."&amp;R$2&amp;R$1&amp;"P"&amp;$A8)="N/A",0,RTD("tos.rtd",,$A$2,"."&amp;R$2&amp;R$1&amp;"P"&amp;$A8)),IF(RTD("tos.rtd",,$A$2,"."&amp;R$2&amp;R$1&amp;"C"&amp;$A8)="N/A",0,RTD("tos.rtd",,$A$2,"."&amp;R$2&amp;R$1&amp;"C"&amp;$A8))-IF(RTD("tos.rtd",,$A$2,"."&amp;R$2&amp;R$1&amp;"P"&amp;$A8)="N/A",0,RTD("tos.rtd",,$A$2,"."&amp;R$2&amp;R$1&amp;"P"&amp;$A8))))))))))</f>
        <v>0</v>
      </c>
      <c r="S8" s="12">
        <f ca="1">IF($A$2="PREMIUM_OI",IFERROR(IF($X$1="ABS",(100*RTD("tos.rtd",,"OPEN_INT","."&amp;S$2&amp;S$1&amp;"C"&amp;$A8)*RTD("tos.rtd",,"LAST","."&amp;S$2&amp;S$1&amp;"C"&amp;$A8)+100*RTD("tos.rtd",,"OPEN_INT","."&amp;S$2&amp;S$1&amp;"P"&amp;$A8)*RTD("tos.rtd",,"LAST","."&amp;S$2&amp;S$1&amp;"P"&amp;$A8))/1000000,(100*RTD("tos.rtd",,"OPEN_INT","."&amp;S$2&amp;S$1&amp;"C"&amp;$A8)*RTD("tos.rtd",,"LAST","."&amp;S$2&amp;S$1&amp;"C"&amp;$A8)-100*RTD("tos.rtd",,"OPEN_INT","."&amp;S$2&amp;S$1&amp;"P"&amp;$A8)*RTD("tos.rtd",,"LAST","."&amp;S$2&amp;S$1&amp;"P"&amp;$A8))/1000000),0),IF($A$2="PREMIUM",IFERROR(IF($X$1="ABS",(100*RTD("tos.rtd",,"VOLUME","."&amp;S$2&amp;S$1&amp;"C"&amp;$A8)*RTD("tos.rtd",,"LAST","."&amp;S$2&amp;S$1&amp;"C"&amp;$A8)+100*RTD("tos.rtd",,"VOLUME","."&amp;S$2&amp;S$1&amp;"P"&amp;$A8)*RTD("tos.rtd",,"LAST","."&amp;S$2&amp;S$1&amp;"P"&amp;$A8))/1000000,(100*RTD("tos.rtd",,"VOLUME","."&amp;S$2&amp;S$1&amp;"C"&amp;$A8)*RTD("tos.rtd",,"LAST","."&amp;S$2&amp;S$1&amp;"C"&amp;$A8)-100*RTD("tos.rtd",,"VOLUME","."&amp;S$2&amp;S$1&amp;"P"&amp;$A8)*RTD("tos.rtd",,"LAST","."&amp;S$2&amp;S$1&amp;"P"&amp;$A8))/1000000),0),IF($A$2="DEX",IFERROR(IF($X$1="ABS",(100*RTD("tos.rtd",,"OPEN_INT","."&amp;S$2&amp;S$1&amp;"C"&amp;$A8)*RTD("tos.rtd",,"DELTA","."&amp;S$2&amp;S$1&amp;"C"&amp;$A8)+100*RTD("tos.rtd",,"OPEN_INT","."&amp;S$2&amp;S$1&amp;"P"&amp;$A8)*RTD("tos.rtd",,"DELTA","."&amp;S$2&amp;S$1&amp;"P"&amp;$A8))/1000,(100*RTD("tos.rtd",,"OPEN_INT","."&amp;S$2&amp;S$1&amp;"C"&amp;$A8)*RTD("tos.rtd",,"DELTA","."&amp;S$2&amp;S$1&amp;"C"&amp;$A8)-100*RTD("tos.rtd",,"OPEN_INT","."&amp;S$2&amp;S$1&amp;"P"&amp;$A8)*RTD("tos.rtd",,"DELTA","."&amp;S$2&amp;S$1&amp;"P"&amp;$A8))/1000),0),IF($A$2="VEX",IFERROR(IF($X$1="ABS",($A$4*$A$4*RTD("tos.rtd",,"VOLUME","."&amp;S$2&amp;S$1&amp;"C"&amp;$A8)*RTD("tos.rtd",,"GAMMA","."&amp;S$2&amp;S$1&amp;"C"&amp;$A8)+$A$4*$A$4*RTD("tos.rtd",,"VOLUME","."&amp;S$2&amp;S$1&amp;"P"&amp;$A8)*RTD("tos.rtd",,"GAMMA","."&amp;S$2&amp;S$1&amp;"P"&amp;$A8))/1000000,($A$4*$A$4*RTD("tos.rtd",,"VOLUME","."&amp;S$2&amp;S$1&amp;"C"&amp;$A8)*RTD("tos.rtd",,"GAMMA","."&amp;S$2&amp;S$1&amp;"C"&amp;$A8)-$A$4*$A$4*RTD("tos.rtd",,"VOLUME","."&amp;S$2&amp;S$1&amp;"P"&amp;$A8)*RTD("tos.rtd",,"GAMMA","."&amp;S$2&amp;S$1&amp;"P"&amp;$A8))/1000000),0),IF($A$2="GEX",IFERROR(IF($X$1="ABS",($A$4*$A$4*RTD("tos.rtd",,"OPEN_INT","."&amp;S$2&amp;S$1&amp;"C"&amp;$A8)*RTD("tos.rtd",,"GAMMA","."&amp;S$2&amp;S$1&amp;"C"&amp;$A8)+$A$4*$A$4*RTD("tos.rtd",,"OPEN_INT","."&amp;S$2&amp;S$1&amp;"P"&amp;$A8)*RTD("tos.rtd",,"GAMMA","."&amp;S$2&amp;S$1&amp;"P"&amp;$A8))/1000000,($A$4*$A$4*RTD("tos.rtd",,"OPEN_INT","."&amp;S$2&amp;S$1&amp;"C"&amp;$A8)*RTD("tos.rtd",,"GAMMA","."&amp;S$2&amp;S$1&amp;"C"&amp;$A8)-$A$4*$A$4*RTD("tos.rtd",,"OPEN_INT","."&amp;S$2&amp;S$1&amp;"P"&amp;$A8)*RTD("tos.rtd",,"GAMMA","."&amp;S$2&amp;S$1&amp;"P"&amp;$A8))/1000000),0),IF($A$2="SKEW",IFERROR(VALUE(IF(RTD("tos.rtd",,"IMPL_VOL","."&amp;S$2&amp;S$1&amp;"P"&amp;$A8)="N/A",0,RTD("tos.rtd",,"IMPL_VOL","."&amp;S$2&amp;S$1&amp;"P"&amp;$A8))),0)-IFERROR(VALUE(IF(RTD("tos.rtd",,"IMPL_VOL","."&amp;S$2&amp;S$1&amp;"C"&amp;$A8)="N/A",0,RTD("tos.rtd",,"IMPL_VOL","."&amp;S$2&amp;S$1&amp;"C"&amp;$A8))),0),IF($A$2="MAXPAIN",IF($A$4&gt;$A8,($A$4-$A8)*IF(RTD("tos.rtd",,"OPEN_INT","."&amp;S$2&amp;S$1&amp;"C"&amp;$A8)="N/A",0,RTD("tos.rtd",,"OPEN_INT","."&amp;S$2&amp;S$1&amp;"C"&amp;$A8)),0)+IF($A$4&lt;$A8,($A$5-$A$4)*IF(RTD("tos.rtd",,"OPEN_INT","."&amp;S$2&amp;S$1&amp;"P"&amp;$A8)="N/A",0,RTD("tos.rtd",,"OPEN_INT","."&amp;S$2&amp;S$1&amp;"P"&amp;$A8)),0),IF($X$1="ABS",IF(RTD("tos.rtd",,$A$2,"."&amp;S$2&amp;S$1&amp;"C"&amp;$A8)="N/A",0,RTD("tos.rtd",,$A$2,"."&amp;S$2&amp;S$1&amp;"C"&amp;$A8))+IF(RTD("tos.rtd",,$A$2,"."&amp;S$2&amp;S$1&amp;"P"&amp;$A8)="N/A",0,RTD("tos.rtd",,$A$2,"."&amp;S$2&amp;S$1&amp;"P"&amp;$A8)),IF(RTD("tos.rtd",,$A$2,"."&amp;S$2&amp;S$1&amp;"C"&amp;$A8)="N/A",0,RTD("tos.rtd",,$A$2,"."&amp;S$2&amp;S$1&amp;"C"&amp;$A8))-IF(RTD("tos.rtd",,$A$2,"."&amp;S$2&amp;S$1&amp;"P"&amp;$A8)="N/A",0,RTD("tos.rtd",,$A$2,"."&amp;S$2&amp;S$1&amp;"P"&amp;$A8))))))))))</f>
        <v>0</v>
      </c>
      <c r="T8" s="12">
        <f ca="1">IF($A$2="PREMIUM_OI",IFERROR(IF($X$1="ABS",(100*RTD("tos.rtd",,"OPEN_INT","."&amp;T$2&amp;T$1&amp;"C"&amp;$A8)*RTD("tos.rtd",,"LAST","."&amp;T$2&amp;T$1&amp;"C"&amp;$A8)+100*RTD("tos.rtd",,"OPEN_INT","."&amp;T$2&amp;T$1&amp;"P"&amp;$A8)*RTD("tos.rtd",,"LAST","."&amp;T$2&amp;T$1&amp;"P"&amp;$A8))/1000000,(100*RTD("tos.rtd",,"OPEN_INT","."&amp;T$2&amp;T$1&amp;"C"&amp;$A8)*RTD("tos.rtd",,"LAST","."&amp;T$2&amp;T$1&amp;"C"&amp;$A8)-100*RTD("tos.rtd",,"OPEN_INT","."&amp;T$2&amp;T$1&amp;"P"&amp;$A8)*RTD("tos.rtd",,"LAST","."&amp;T$2&amp;T$1&amp;"P"&amp;$A8))/1000000),0),IF($A$2="PREMIUM",IFERROR(IF($X$1="ABS",(100*RTD("tos.rtd",,"VOLUME","."&amp;T$2&amp;T$1&amp;"C"&amp;$A8)*RTD("tos.rtd",,"LAST","."&amp;T$2&amp;T$1&amp;"C"&amp;$A8)+100*RTD("tos.rtd",,"VOLUME","."&amp;T$2&amp;T$1&amp;"P"&amp;$A8)*RTD("tos.rtd",,"LAST","."&amp;T$2&amp;T$1&amp;"P"&amp;$A8))/1000000,(100*RTD("tos.rtd",,"VOLUME","."&amp;T$2&amp;T$1&amp;"C"&amp;$A8)*RTD("tos.rtd",,"LAST","."&amp;T$2&amp;T$1&amp;"C"&amp;$A8)-100*RTD("tos.rtd",,"VOLUME","."&amp;T$2&amp;T$1&amp;"P"&amp;$A8)*RTD("tos.rtd",,"LAST","."&amp;T$2&amp;T$1&amp;"P"&amp;$A8))/1000000),0),IF($A$2="DEX",IFERROR(IF($X$1="ABS",(100*RTD("tos.rtd",,"OPEN_INT","."&amp;T$2&amp;T$1&amp;"C"&amp;$A8)*RTD("tos.rtd",,"DELTA","."&amp;T$2&amp;T$1&amp;"C"&amp;$A8)+100*RTD("tos.rtd",,"OPEN_INT","."&amp;T$2&amp;T$1&amp;"P"&amp;$A8)*RTD("tos.rtd",,"DELTA","."&amp;T$2&amp;T$1&amp;"P"&amp;$A8))/1000,(100*RTD("tos.rtd",,"OPEN_INT","."&amp;T$2&amp;T$1&amp;"C"&amp;$A8)*RTD("tos.rtd",,"DELTA","."&amp;T$2&amp;T$1&amp;"C"&amp;$A8)-100*RTD("tos.rtd",,"OPEN_INT","."&amp;T$2&amp;T$1&amp;"P"&amp;$A8)*RTD("tos.rtd",,"DELTA","."&amp;T$2&amp;T$1&amp;"P"&amp;$A8))/1000),0),IF($A$2="VEX",IFERROR(IF($X$1="ABS",($A$4*$A$4*RTD("tos.rtd",,"VOLUME","."&amp;T$2&amp;T$1&amp;"C"&amp;$A8)*RTD("tos.rtd",,"GAMMA","."&amp;T$2&amp;T$1&amp;"C"&amp;$A8)+$A$4*$A$4*RTD("tos.rtd",,"VOLUME","."&amp;T$2&amp;T$1&amp;"P"&amp;$A8)*RTD("tos.rtd",,"GAMMA","."&amp;T$2&amp;T$1&amp;"P"&amp;$A8))/1000000,($A$4*$A$4*RTD("tos.rtd",,"VOLUME","."&amp;T$2&amp;T$1&amp;"C"&amp;$A8)*RTD("tos.rtd",,"GAMMA","."&amp;T$2&amp;T$1&amp;"C"&amp;$A8)-$A$4*$A$4*RTD("tos.rtd",,"VOLUME","."&amp;T$2&amp;T$1&amp;"P"&amp;$A8)*RTD("tos.rtd",,"GAMMA","."&amp;T$2&amp;T$1&amp;"P"&amp;$A8))/1000000),0),IF($A$2="GEX",IFERROR(IF($X$1="ABS",($A$4*$A$4*RTD("tos.rtd",,"OPEN_INT","."&amp;T$2&amp;T$1&amp;"C"&amp;$A8)*RTD("tos.rtd",,"GAMMA","."&amp;T$2&amp;T$1&amp;"C"&amp;$A8)+$A$4*$A$4*RTD("tos.rtd",,"OPEN_INT","."&amp;T$2&amp;T$1&amp;"P"&amp;$A8)*RTD("tos.rtd",,"GAMMA","."&amp;T$2&amp;T$1&amp;"P"&amp;$A8))/1000000,($A$4*$A$4*RTD("tos.rtd",,"OPEN_INT","."&amp;T$2&amp;T$1&amp;"C"&amp;$A8)*RTD("tos.rtd",,"GAMMA","."&amp;T$2&amp;T$1&amp;"C"&amp;$A8)-$A$4*$A$4*RTD("tos.rtd",,"OPEN_INT","."&amp;T$2&amp;T$1&amp;"P"&amp;$A8)*RTD("tos.rtd",,"GAMMA","."&amp;T$2&amp;T$1&amp;"P"&amp;$A8))/1000000),0),IF($A$2="SKEW",IFERROR(VALUE(IF(RTD("tos.rtd",,"IMPL_VOL","."&amp;T$2&amp;T$1&amp;"P"&amp;$A8)="N/A",0,RTD("tos.rtd",,"IMPL_VOL","."&amp;T$2&amp;T$1&amp;"P"&amp;$A8))),0)-IFERROR(VALUE(IF(RTD("tos.rtd",,"IMPL_VOL","."&amp;T$2&amp;T$1&amp;"C"&amp;$A8)="N/A",0,RTD("tos.rtd",,"IMPL_VOL","."&amp;T$2&amp;T$1&amp;"C"&amp;$A8))),0),IF($A$2="MAXPAIN",IF($A$4&gt;$A8,($A$4-$A8)*IF(RTD("tos.rtd",,"OPEN_INT","."&amp;T$2&amp;T$1&amp;"C"&amp;$A8)="N/A",0,RTD("tos.rtd",,"OPEN_INT","."&amp;T$2&amp;T$1&amp;"C"&amp;$A8)),0)+IF($A$4&lt;$A8,($A$5-$A$4)*IF(RTD("tos.rtd",,"OPEN_INT","."&amp;T$2&amp;T$1&amp;"P"&amp;$A8)="N/A",0,RTD("tos.rtd",,"OPEN_INT","."&amp;T$2&amp;T$1&amp;"P"&amp;$A8)),0),IF($X$1="ABS",IF(RTD("tos.rtd",,$A$2,"."&amp;T$2&amp;T$1&amp;"C"&amp;$A8)="N/A",0,RTD("tos.rtd",,$A$2,"."&amp;T$2&amp;T$1&amp;"C"&amp;$A8))+IF(RTD("tos.rtd",,$A$2,"."&amp;T$2&amp;T$1&amp;"P"&amp;$A8)="N/A",0,RTD("tos.rtd",,$A$2,"."&amp;T$2&amp;T$1&amp;"P"&amp;$A8)),IF(RTD("tos.rtd",,$A$2,"."&amp;T$2&amp;T$1&amp;"C"&amp;$A8)="N/A",0,RTD("tos.rtd",,$A$2,"."&amp;T$2&amp;T$1&amp;"C"&amp;$A8))-IF(RTD("tos.rtd",,$A$2,"."&amp;T$2&amp;T$1&amp;"P"&amp;$A8)="N/A",0,RTD("tos.rtd",,$A$2,"."&amp;T$2&amp;T$1&amp;"P"&amp;$A8))))))))))</f>
        <v>0</v>
      </c>
      <c r="U8" s="12">
        <f ca="1">IF($A$2="PREMIUM_OI",IFERROR(IF($X$1="ABS",(100*RTD("tos.rtd",,"OPEN_INT","."&amp;U$2&amp;U$1&amp;"C"&amp;$A8)*RTD("tos.rtd",,"LAST","."&amp;U$2&amp;U$1&amp;"C"&amp;$A8)+100*RTD("tos.rtd",,"OPEN_INT","."&amp;U$2&amp;U$1&amp;"P"&amp;$A8)*RTD("tos.rtd",,"LAST","."&amp;U$2&amp;U$1&amp;"P"&amp;$A8))/1000000,(100*RTD("tos.rtd",,"OPEN_INT","."&amp;U$2&amp;U$1&amp;"C"&amp;$A8)*RTD("tos.rtd",,"LAST","."&amp;U$2&amp;U$1&amp;"C"&amp;$A8)-100*RTD("tos.rtd",,"OPEN_INT","."&amp;U$2&amp;U$1&amp;"P"&amp;$A8)*RTD("tos.rtd",,"LAST","."&amp;U$2&amp;U$1&amp;"P"&amp;$A8))/1000000),0),IF($A$2="PREMIUM",IFERROR(IF($X$1="ABS",(100*RTD("tos.rtd",,"VOLUME","."&amp;U$2&amp;U$1&amp;"C"&amp;$A8)*RTD("tos.rtd",,"LAST","."&amp;U$2&amp;U$1&amp;"C"&amp;$A8)+100*RTD("tos.rtd",,"VOLUME","."&amp;U$2&amp;U$1&amp;"P"&amp;$A8)*RTD("tos.rtd",,"LAST","."&amp;U$2&amp;U$1&amp;"P"&amp;$A8))/1000000,(100*RTD("tos.rtd",,"VOLUME","."&amp;U$2&amp;U$1&amp;"C"&amp;$A8)*RTD("tos.rtd",,"LAST","."&amp;U$2&amp;U$1&amp;"C"&amp;$A8)-100*RTD("tos.rtd",,"VOLUME","."&amp;U$2&amp;U$1&amp;"P"&amp;$A8)*RTD("tos.rtd",,"LAST","."&amp;U$2&amp;U$1&amp;"P"&amp;$A8))/1000000),0),IF($A$2="DEX",IFERROR(IF($X$1="ABS",(100*RTD("tos.rtd",,"OPEN_INT","."&amp;U$2&amp;U$1&amp;"C"&amp;$A8)*RTD("tos.rtd",,"DELTA","."&amp;U$2&amp;U$1&amp;"C"&amp;$A8)+100*RTD("tos.rtd",,"OPEN_INT","."&amp;U$2&amp;U$1&amp;"P"&amp;$A8)*RTD("tos.rtd",,"DELTA","."&amp;U$2&amp;U$1&amp;"P"&amp;$A8))/1000,(100*RTD("tos.rtd",,"OPEN_INT","."&amp;U$2&amp;U$1&amp;"C"&amp;$A8)*RTD("tos.rtd",,"DELTA","."&amp;U$2&amp;U$1&amp;"C"&amp;$A8)-100*RTD("tos.rtd",,"OPEN_INT","."&amp;U$2&amp;U$1&amp;"P"&amp;$A8)*RTD("tos.rtd",,"DELTA","."&amp;U$2&amp;U$1&amp;"P"&amp;$A8))/1000),0),IF($A$2="VEX",IFERROR(IF($X$1="ABS",($A$4*$A$4*RTD("tos.rtd",,"VOLUME","."&amp;U$2&amp;U$1&amp;"C"&amp;$A8)*RTD("tos.rtd",,"GAMMA","."&amp;U$2&amp;U$1&amp;"C"&amp;$A8)+$A$4*$A$4*RTD("tos.rtd",,"VOLUME","."&amp;U$2&amp;U$1&amp;"P"&amp;$A8)*RTD("tos.rtd",,"GAMMA","."&amp;U$2&amp;U$1&amp;"P"&amp;$A8))/1000000,($A$4*$A$4*RTD("tos.rtd",,"VOLUME","."&amp;U$2&amp;U$1&amp;"C"&amp;$A8)*RTD("tos.rtd",,"GAMMA","."&amp;U$2&amp;U$1&amp;"C"&amp;$A8)-$A$4*$A$4*RTD("tos.rtd",,"VOLUME","."&amp;U$2&amp;U$1&amp;"P"&amp;$A8)*RTD("tos.rtd",,"GAMMA","."&amp;U$2&amp;U$1&amp;"P"&amp;$A8))/1000000),0),IF($A$2="GEX",IFERROR(IF($X$1="ABS",($A$4*$A$4*RTD("tos.rtd",,"OPEN_INT","."&amp;U$2&amp;U$1&amp;"C"&amp;$A8)*RTD("tos.rtd",,"GAMMA","."&amp;U$2&amp;U$1&amp;"C"&amp;$A8)+$A$4*$A$4*RTD("tos.rtd",,"OPEN_INT","."&amp;U$2&amp;U$1&amp;"P"&amp;$A8)*RTD("tos.rtd",,"GAMMA","."&amp;U$2&amp;U$1&amp;"P"&amp;$A8))/1000000,($A$4*$A$4*RTD("tos.rtd",,"OPEN_INT","."&amp;U$2&amp;U$1&amp;"C"&amp;$A8)*RTD("tos.rtd",,"GAMMA","."&amp;U$2&amp;U$1&amp;"C"&amp;$A8)-$A$4*$A$4*RTD("tos.rtd",,"OPEN_INT","."&amp;U$2&amp;U$1&amp;"P"&amp;$A8)*RTD("tos.rtd",,"GAMMA","."&amp;U$2&amp;U$1&amp;"P"&amp;$A8))/1000000),0),IF($A$2="SKEW",IFERROR(VALUE(IF(RTD("tos.rtd",,"IMPL_VOL","."&amp;U$2&amp;U$1&amp;"P"&amp;$A8)="N/A",0,RTD("tos.rtd",,"IMPL_VOL","."&amp;U$2&amp;U$1&amp;"P"&amp;$A8))),0)-IFERROR(VALUE(IF(RTD("tos.rtd",,"IMPL_VOL","."&amp;U$2&amp;U$1&amp;"C"&amp;$A8)="N/A",0,RTD("tos.rtd",,"IMPL_VOL","."&amp;U$2&amp;U$1&amp;"C"&amp;$A8))),0),IF($A$2="MAXPAIN",IF($A$4&gt;$A8,($A$4-$A8)*IF(RTD("tos.rtd",,"OPEN_INT","."&amp;U$2&amp;U$1&amp;"C"&amp;$A8)="N/A",0,RTD("tos.rtd",,"OPEN_INT","."&amp;U$2&amp;U$1&amp;"C"&amp;$A8)),0)+IF($A$4&lt;$A8,($A$5-$A$4)*IF(RTD("tos.rtd",,"OPEN_INT","."&amp;U$2&amp;U$1&amp;"P"&amp;$A8)="N/A",0,RTD("tos.rtd",,"OPEN_INT","."&amp;U$2&amp;U$1&amp;"P"&amp;$A8)),0),IF($X$1="ABS",IF(RTD("tos.rtd",,$A$2,"."&amp;U$2&amp;U$1&amp;"C"&amp;$A8)="N/A",0,RTD("tos.rtd",,$A$2,"."&amp;U$2&amp;U$1&amp;"C"&amp;$A8))+IF(RTD("tos.rtd",,$A$2,"."&amp;U$2&amp;U$1&amp;"P"&amp;$A8)="N/A",0,RTD("tos.rtd",,$A$2,"."&amp;U$2&amp;U$1&amp;"P"&amp;$A8)),IF(RTD("tos.rtd",,$A$2,"."&amp;U$2&amp;U$1&amp;"C"&amp;$A8)="N/A",0,RTD("tos.rtd",,$A$2,"."&amp;U$2&amp;U$1&amp;"C"&amp;$A8))-IF(RTD("tos.rtd",,$A$2,"."&amp;U$2&amp;U$1&amp;"P"&amp;$A8)="N/A",0,RTD("tos.rtd",,$A$2,"."&amp;U$2&amp;U$1&amp;"P"&amp;$A8))))))))))</f>
        <v>0</v>
      </c>
      <c r="V8" s="12">
        <f ca="1">IF($A$2="PREMIUM_OI",IFERROR(IF($X$1="ABS",(100*RTD("tos.rtd",,"OPEN_INT","."&amp;V$2&amp;V$1&amp;"C"&amp;$A8)*RTD("tos.rtd",,"LAST","."&amp;V$2&amp;V$1&amp;"C"&amp;$A8)+100*RTD("tos.rtd",,"OPEN_INT","."&amp;V$2&amp;V$1&amp;"P"&amp;$A8)*RTD("tos.rtd",,"LAST","."&amp;V$2&amp;V$1&amp;"P"&amp;$A8))/1000000,(100*RTD("tos.rtd",,"OPEN_INT","."&amp;V$2&amp;V$1&amp;"C"&amp;$A8)*RTD("tos.rtd",,"LAST","."&amp;V$2&amp;V$1&amp;"C"&amp;$A8)-100*RTD("tos.rtd",,"OPEN_INT","."&amp;V$2&amp;V$1&amp;"P"&amp;$A8)*RTD("tos.rtd",,"LAST","."&amp;V$2&amp;V$1&amp;"P"&amp;$A8))/1000000),0),IF($A$2="PREMIUM",IFERROR(IF($X$1="ABS",(100*RTD("tos.rtd",,"VOLUME","."&amp;V$2&amp;V$1&amp;"C"&amp;$A8)*RTD("tos.rtd",,"LAST","."&amp;V$2&amp;V$1&amp;"C"&amp;$A8)+100*RTD("tos.rtd",,"VOLUME","."&amp;V$2&amp;V$1&amp;"P"&amp;$A8)*RTD("tos.rtd",,"LAST","."&amp;V$2&amp;V$1&amp;"P"&amp;$A8))/1000000,(100*RTD("tos.rtd",,"VOLUME","."&amp;V$2&amp;V$1&amp;"C"&amp;$A8)*RTD("tos.rtd",,"LAST","."&amp;V$2&amp;V$1&amp;"C"&amp;$A8)-100*RTD("tos.rtd",,"VOLUME","."&amp;V$2&amp;V$1&amp;"P"&amp;$A8)*RTD("tos.rtd",,"LAST","."&amp;V$2&amp;V$1&amp;"P"&amp;$A8))/1000000),0),IF($A$2="DEX",IFERROR(IF($X$1="ABS",(100*RTD("tos.rtd",,"OPEN_INT","."&amp;V$2&amp;V$1&amp;"C"&amp;$A8)*RTD("tos.rtd",,"DELTA","."&amp;V$2&amp;V$1&amp;"C"&amp;$A8)+100*RTD("tos.rtd",,"OPEN_INT","."&amp;V$2&amp;V$1&amp;"P"&amp;$A8)*RTD("tos.rtd",,"DELTA","."&amp;V$2&amp;V$1&amp;"P"&amp;$A8))/1000,(100*RTD("tos.rtd",,"OPEN_INT","."&amp;V$2&amp;V$1&amp;"C"&amp;$A8)*RTD("tos.rtd",,"DELTA","."&amp;V$2&amp;V$1&amp;"C"&amp;$A8)-100*RTD("tos.rtd",,"OPEN_INT","."&amp;V$2&amp;V$1&amp;"P"&amp;$A8)*RTD("tos.rtd",,"DELTA","."&amp;V$2&amp;V$1&amp;"P"&amp;$A8))/1000),0),IF($A$2="VEX",IFERROR(IF($X$1="ABS",($A$4*$A$4*RTD("tos.rtd",,"VOLUME","."&amp;V$2&amp;V$1&amp;"C"&amp;$A8)*RTD("tos.rtd",,"GAMMA","."&amp;V$2&amp;V$1&amp;"C"&amp;$A8)+$A$4*$A$4*RTD("tos.rtd",,"VOLUME","."&amp;V$2&amp;V$1&amp;"P"&amp;$A8)*RTD("tos.rtd",,"GAMMA","."&amp;V$2&amp;V$1&amp;"P"&amp;$A8))/1000000,($A$4*$A$4*RTD("tos.rtd",,"VOLUME","."&amp;V$2&amp;V$1&amp;"C"&amp;$A8)*RTD("tos.rtd",,"GAMMA","."&amp;V$2&amp;V$1&amp;"C"&amp;$A8)-$A$4*$A$4*RTD("tos.rtd",,"VOLUME","."&amp;V$2&amp;V$1&amp;"P"&amp;$A8)*RTD("tos.rtd",,"GAMMA","."&amp;V$2&amp;V$1&amp;"P"&amp;$A8))/1000000),0),IF($A$2="GEX",IFERROR(IF($X$1="ABS",($A$4*$A$4*RTD("tos.rtd",,"OPEN_INT","."&amp;V$2&amp;V$1&amp;"C"&amp;$A8)*RTD("tos.rtd",,"GAMMA","."&amp;V$2&amp;V$1&amp;"C"&amp;$A8)+$A$4*$A$4*RTD("tos.rtd",,"OPEN_INT","."&amp;V$2&amp;V$1&amp;"P"&amp;$A8)*RTD("tos.rtd",,"GAMMA","."&amp;V$2&amp;V$1&amp;"P"&amp;$A8))/1000000,($A$4*$A$4*RTD("tos.rtd",,"OPEN_INT","."&amp;V$2&amp;V$1&amp;"C"&amp;$A8)*RTD("tos.rtd",,"GAMMA","."&amp;V$2&amp;V$1&amp;"C"&amp;$A8)-$A$4*$A$4*RTD("tos.rtd",,"OPEN_INT","."&amp;V$2&amp;V$1&amp;"P"&amp;$A8)*RTD("tos.rtd",,"GAMMA","."&amp;V$2&amp;V$1&amp;"P"&amp;$A8))/1000000),0),IF($A$2="SKEW",IFERROR(VALUE(IF(RTD("tos.rtd",,"IMPL_VOL","."&amp;V$2&amp;V$1&amp;"P"&amp;$A8)="N/A",0,RTD("tos.rtd",,"IMPL_VOL","."&amp;V$2&amp;V$1&amp;"P"&amp;$A8))),0)-IFERROR(VALUE(IF(RTD("tos.rtd",,"IMPL_VOL","."&amp;V$2&amp;V$1&amp;"C"&amp;$A8)="N/A",0,RTD("tos.rtd",,"IMPL_VOL","."&amp;V$2&amp;V$1&amp;"C"&amp;$A8))),0),IF($A$2="MAXPAIN",IF($A$4&gt;$A8,($A$4-$A8)*IF(RTD("tos.rtd",,"OPEN_INT","."&amp;V$2&amp;V$1&amp;"C"&amp;$A8)="N/A",0,RTD("tos.rtd",,"OPEN_INT","."&amp;V$2&amp;V$1&amp;"C"&amp;$A8)),0)+IF($A$4&lt;$A8,($A$5-$A$4)*IF(RTD("tos.rtd",,"OPEN_INT","."&amp;V$2&amp;V$1&amp;"P"&amp;$A8)="N/A",0,RTD("tos.rtd",,"OPEN_INT","."&amp;V$2&amp;V$1&amp;"P"&amp;$A8)),0),IF($X$1="ABS",IF(RTD("tos.rtd",,$A$2,"."&amp;V$2&amp;V$1&amp;"C"&amp;$A8)="N/A",0,RTD("tos.rtd",,$A$2,"."&amp;V$2&amp;V$1&amp;"C"&amp;$A8))+IF(RTD("tos.rtd",,$A$2,"."&amp;V$2&amp;V$1&amp;"P"&amp;$A8)="N/A",0,RTD("tos.rtd",,$A$2,"."&amp;V$2&amp;V$1&amp;"P"&amp;$A8)),IF(RTD("tos.rtd",,$A$2,"."&amp;V$2&amp;V$1&amp;"C"&amp;$A8)="N/A",0,RTD("tos.rtd",,$A$2,"."&amp;V$2&amp;V$1&amp;"C"&amp;$A8))-IF(RTD("tos.rtd",,$A$2,"."&amp;V$2&amp;V$1&amp;"P"&amp;$A8)="N/A",0,RTD("tos.rtd",,$A$2,"."&amp;V$2&amp;V$1&amp;"P"&amp;$A8))))))))))</f>
        <v>0</v>
      </c>
      <c r="W8" s="12">
        <f ca="1">IF($A$2="PREMIUM_OI",IFERROR(IF($X$1="ABS",(100*RTD("tos.rtd",,"OPEN_INT","."&amp;W$2&amp;W$1&amp;"C"&amp;$A8)*RTD("tos.rtd",,"LAST","."&amp;W$2&amp;W$1&amp;"C"&amp;$A8)+100*RTD("tos.rtd",,"OPEN_INT","."&amp;W$2&amp;W$1&amp;"P"&amp;$A8)*RTD("tos.rtd",,"LAST","."&amp;W$2&amp;W$1&amp;"P"&amp;$A8))/1000000,(100*RTD("tos.rtd",,"OPEN_INT","."&amp;W$2&amp;W$1&amp;"C"&amp;$A8)*RTD("tos.rtd",,"LAST","."&amp;W$2&amp;W$1&amp;"C"&amp;$A8)-100*RTD("tos.rtd",,"OPEN_INT","."&amp;W$2&amp;W$1&amp;"P"&amp;$A8)*RTD("tos.rtd",,"LAST","."&amp;W$2&amp;W$1&amp;"P"&amp;$A8))/1000000),0),IF($A$2="PREMIUM",IFERROR(IF($X$1="ABS",(100*RTD("tos.rtd",,"VOLUME","."&amp;W$2&amp;W$1&amp;"C"&amp;$A8)*RTD("tos.rtd",,"LAST","."&amp;W$2&amp;W$1&amp;"C"&amp;$A8)+100*RTD("tos.rtd",,"VOLUME","."&amp;W$2&amp;W$1&amp;"P"&amp;$A8)*RTD("tos.rtd",,"LAST","."&amp;W$2&amp;W$1&amp;"P"&amp;$A8))/1000000,(100*RTD("tos.rtd",,"VOLUME","."&amp;W$2&amp;W$1&amp;"C"&amp;$A8)*RTD("tos.rtd",,"LAST","."&amp;W$2&amp;W$1&amp;"C"&amp;$A8)-100*RTD("tos.rtd",,"VOLUME","."&amp;W$2&amp;W$1&amp;"P"&amp;$A8)*RTD("tos.rtd",,"LAST","."&amp;W$2&amp;W$1&amp;"P"&amp;$A8))/1000000),0),IF($A$2="DEX",IFERROR(IF($X$1="ABS",(100*RTD("tos.rtd",,"OPEN_INT","."&amp;W$2&amp;W$1&amp;"C"&amp;$A8)*RTD("tos.rtd",,"DELTA","."&amp;W$2&amp;W$1&amp;"C"&amp;$A8)+100*RTD("tos.rtd",,"OPEN_INT","."&amp;W$2&amp;W$1&amp;"P"&amp;$A8)*RTD("tos.rtd",,"DELTA","."&amp;W$2&amp;W$1&amp;"P"&amp;$A8))/1000,(100*RTD("tos.rtd",,"OPEN_INT","."&amp;W$2&amp;W$1&amp;"C"&amp;$A8)*RTD("tos.rtd",,"DELTA","."&amp;W$2&amp;W$1&amp;"C"&amp;$A8)-100*RTD("tos.rtd",,"OPEN_INT","."&amp;W$2&amp;W$1&amp;"P"&amp;$A8)*RTD("tos.rtd",,"DELTA","."&amp;W$2&amp;W$1&amp;"P"&amp;$A8))/1000),0),IF($A$2="VEX",IFERROR(IF($X$1="ABS",($A$4*$A$4*RTD("tos.rtd",,"VOLUME","."&amp;W$2&amp;W$1&amp;"C"&amp;$A8)*RTD("tos.rtd",,"GAMMA","."&amp;W$2&amp;W$1&amp;"C"&amp;$A8)+$A$4*$A$4*RTD("tos.rtd",,"VOLUME","."&amp;W$2&amp;W$1&amp;"P"&amp;$A8)*RTD("tos.rtd",,"GAMMA","."&amp;W$2&amp;W$1&amp;"P"&amp;$A8))/1000000,($A$4*$A$4*RTD("tos.rtd",,"VOLUME","."&amp;W$2&amp;W$1&amp;"C"&amp;$A8)*RTD("tos.rtd",,"GAMMA","."&amp;W$2&amp;W$1&amp;"C"&amp;$A8)-$A$4*$A$4*RTD("tos.rtd",,"VOLUME","."&amp;W$2&amp;W$1&amp;"P"&amp;$A8)*RTD("tos.rtd",,"GAMMA","."&amp;W$2&amp;W$1&amp;"P"&amp;$A8))/1000000),0),IF($A$2="GEX",IFERROR(IF($X$1="ABS",($A$4*$A$4*RTD("tos.rtd",,"OPEN_INT","."&amp;W$2&amp;W$1&amp;"C"&amp;$A8)*RTD("tos.rtd",,"GAMMA","."&amp;W$2&amp;W$1&amp;"C"&amp;$A8)+$A$4*$A$4*RTD("tos.rtd",,"OPEN_INT","."&amp;W$2&amp;W$1&amp;"P"&amp;$A8)*RTD("tos.rtd",,"GAMMA","."&amp;W$2&amp;W$1&amp;"P"&amp;$A8))/1000000,($A$4*$A$4*RTD("tos.rtd",,"OPEN_INT","."&amp;W$2&amp;W$1&amp;"C"&amp;$A8)*RTD("tos.rtd",,"GAMMA","."&amp;W$2&amp;W$1&amp;"C"&amp;$A8)-$A$4*$A$4*RTD("tos.rtd",,"OPEN_INT","."&amp;W$2&amp;W$1&amp;"P"&amp;$A8)*RTD("tos.rtd",,"GAMMA","."&amp;W$2&amp;W$1&amp;"P"&amp;$A8))/1000000),0),IF($A$2="SKEW",IFERROR(VALUE(IF(RTD("tos.rtd",,"IMPL_VOL","."&amp;W$2&amp;W$1&amp;"P"&amp;$A8)="N/A",0,RTD("tos.rtd",,"IMPL_VOL","."&amp;W$2&amp;W$1&amp;"P"&amp;$A8))),0)-IFERROR(VALUE(IF(RTD("tos.rtd",,"IMPL_VOL","."&amp;W$2&amp;W$1&amp;"C"&amp;$A8)="N/A",0,RTD("tos.rtd",,"IMPL_VOL","."&amp;W$2&amp;W$1&amp;"C"&amp;$A8))),0),IF($A$2="MAXPAIN",IF($A$4&gt;$A8,($A$4-$A8)*IF(RTD("tos.rtd",,"OPEN_INT","."&amp;W$2&amp;W$1&amp;"C"&amp;$A8)="N/A",0,RTD("tos.rtd",,"OPEN_INT","."&amp;W$2&amp;W$1&amp;"C"&amp;$A8)),0)+IF($A$4&lt;$A8,($A$5-$A$4)*IF(RTD("tos.rtd",,"OPEN_INT","."&amp;W$2&amp;W$1&amp;"P"&amp;$A8)="N/A",0,RTD("tos.rtd",,"OPEN_INT","."&amp;W$2&amp;W$1&amp;"P"&amp;$A8)),0),IF($X$1="ABS",IF(RTD("tos.rtd",,$A$2,"."&amp;W$2&amp;W$1&amp;"C"&amp;$A8)="N/A",0,RTD("tos.rtd",,$A$2,"."&amp;W$2&amp;W$1&amp;"C"&amp;$A8))+IF(RTD("tos.rtd",,$A$2,"."&amp;W$2&amp;W$1&amp;"P"&amp;$A8)="N/A",0,RTD("tos.rtd",,$A$2,"."&amp;W$2&amp;W$1&amp;"P"&amp;$A8)),IF(RTD("tos.rtd",,$A$2,"."&amp;W$2&amp;W$1&amp;"C"&amp;$A8)="N/A",0,RTD("tos.rtd",,$A$2,"."&amp;W$2&amp;W$1&amp;"C"&amp;$A8))-IF(RTD("tos.rtd",,$A$2,"."&amp;W$2&amp;W$1&amp;"P"&amp;$A8)="N/A",0,RTD("tos.rtd",,$A$2,"."&amp;W$2&amp;W$1&amp;"P"&amp;$A8))))))))))</f>
        <v>0</v>
      </c>
      <c r="X8" s="57">
        <f t="shared" ca="1" si="7"/>
        <v>24616</v>
      </c>
      <c r="Y8" s="27">
        <f t="shared" ca="1" si="8"/>
        <v>24616</v>
      </c>
      <c r="Z8" s="27" t="b">
        <f t="shared" ca="1" si="9"/>
        <v>0</v>
      </c>
      <c r="AA8" s="27">
        <f t="shared" si="10"/>
        <v>230067050</v>
      </c>
      <c r="AB8" s="18">
        <f>MAX(0, $A8-AB$4)*IF(RTD("tos.rtd",,"OPEN_INT","."&amp;$AA$3&amp;$AA$4&amp;"C"&amp;AB$4)="N/A",0,RTD("tos.rtd",,"OPEN_INT","."&amp;$AA$3&amp;$AA$4&amp;"C"&amp;AB$4))*100 + MAX(0, AB$4-$A8)*IF(RTD("tos.rtd",,"OPEN_INT","."&amp;$AA$3&amp;$AA$4&amp;"P"&amp;AB$4)="N/A",0,RTD("tos.rtd",,"OPEN_INT","."&amp;$AA$3&amp;$AA$4&amp;"P"&amp;AB$4))*100</f>
        <v>0</v>
      </c>
      <c r="AC8" s="18">
        <f>MAX(0, $A8-AC$4)*IF(RTD("tos.rtd",,"OPEN_INT","."&amp;$AA$3&amp;$AA$4&amp;"C"&amp;AC$4)="N/A",0,RTD("tos.rtd",,"OPEN_INT","."&amp;$AA$3&amp;$AA$4&amp;"C"&amp;AC$4))*100 + MAX(0, AC$4-$A8)*IF(RTD("tos.rtd",,"OPEN_INT","."&amp;$AA$3&amp;$AA$4&amp;"P"&amp;AC$4)="N/A",0,RTD("tos.rtd",,"OPEN_INT","."&amp;$AA$3&amp;$AA$4&amp;"P"&amp;AC$4))*100</f>
        <v>0</v>
      </c>
      <c r="AD8" s="18">
        <f>MAX(0, $A8-AD$4)*IF(RTD("tos.rtd",,"OPEN_INT","."&amp;$AA$3&amp;$AA$4&amp;"C"&amp;AD$4)="N/A",0,RTD("tos.rtd",,"OPEN_INT","."&amp;$AA$3&amp;$AA$4&amp;"C"&amp;AD$4))*100 + MAX(0, AD$4-$A8)*IF(RTD("tos.rtd",,"OPEN_INT","."&amp;$AA$3&amp;$AA$4&amp;"P"&amp;AD$4)="N/A",0,RTD("tos.rtd",,"OPEN_INT","."&amp;$AA$3&amp;$AA$4&amp;"P"&amp;AD$4))*100</f>
        <v>0</v>
      </c>
      <c r="AE8" s="18">
        <f>MAX(0, $A8-AE$4)*IF(RTD("tos.rtd",,"OPEN_INT","."&amp;$AA$3&amp;$AA$4&amp;"C"&amp;AE$4)="N/A",0,RTD("tos.rtd",,"OPEN_INT","."&amp;$AA$3&amp;$AA$4&amp;"C"&amp;AE$4))*100 + MAX(0, AE$4-$A8)*IF(RTD("tos.rtd",,"OPEN_INT","."&amp;$AA$3&amp;$AA$4&amp;"P"&amp;AE$4)="N/A",0,RTD("tos.rtd",,"OPEN_INT","."&amp;$AA$3&amp;$AA$4&amp;"P"&amp;AE$4))*100</f>
        <v>0</v>
      </c>
      <c r="AF8" s="18">
        <f>MAX(0, $A8-AF$4)*IF(RTD("tos.rtd",,"OPEN_INT","."&amp;$AA$3&amp;$AA$4&amp;"C"&amp;AF$4)="N/A",0,RTD("tos.rtd",,"OPEN_INT","."&amp;$AA$3&amp;$AA$4&amp;"C"&amp;AF$4))*100 + MAX(0, AF$4-$A8)*IF(RTD("tos.rtd",,"OPEN_INT","."&amp;$AA$3&amp;$AA$4&amp;"P"&amp;AF$4)="N/A",0,RTD("tos.rtd",,"OPEN_INT","."&amp;$AA$3&amp;$AA$4&amp;"P"&amp;AF$4))*100</f>
        <v>0</v>
      </c>
      <c r="AG8" s="18">
        <f>MAX(0, $A8-AG$4)*IF(RTD("tos.rtd",,"OPEN_INT","."&amp;$AA$3&amp;$AA$4&amp;"C"&amp;AG$4)="N/A",0,RTD("tos.rtd",,"OPEN_INT","."&amp;$AA$3&amp;$AA$4&amp;"C"&amp;AG$4))*100 + MAX(0, AG$4-$A8)*IF(RTD("tos.rtd",,"OPEN_INT","."&amp;$AA$3&amp;$AA$4&amp;"P"&amp;AG$4)="N/A",0,RTD("tos.rtd",,"OPEN_INT","."&amp;$AA$3&amp;$AA$4&amp;"P"&amp;AG$4))*100</f>
        <v>0</v>
      </c>
      <c r="AH8" s="18">
        <f>MAX(0, $A8-AH$4)*IF(RTD("tos.rtd",,"OPEN_INT","."&amp;$AA$3&amp;$AA$4&amp;"C"&amp;AH$4)="N/A",0,RTD("tos.rtd",,"OPEN_INT","."&amp;$AA$3&amp;$AA$4&amp;"C"&amp;AH$4))*100 + MAX(0, AH$4-$A8)*IF(RTD("tos.rtd",,"OPEN_INT","."&amp;$AA$3&amp;$AA$4&amp;"P"&amp;AH$4)="N/A",0,RTD("tos.rtd",,"OPEN_INT","."&amp;$AA$3&amp;$AA$4&amp;"P"&amp;AH$4))*100</f>
        <v>0</v>
      </c>
      <c r="AI8" s="18">
        <f>MAX(0, $A8-AI$4)*IF(RTD("tos.rtd",,"OPEN_INT","."&amp;$AA$3&amp;$AA$4&amp;"C"&amp;AI$4)="N/A",0,RTD("tos.rtd",,"OPEN_INT","."&amp;$AA$3&amp;$AA$4&amp;"C"&amp;AI$4))*100 + MAX(0, AI$4-$A8)*IF(RTD("tos.rtd",,"OPEN_INT","."&amp;$AA$3&amp;$AA$4&amp;"P"&amp;AI$4)="N/A",0,RTD("tos.rtd",,"OPEN_INT","."&amp;$AA$3&amp;$AA$4&amp;"P"&amp;AI$4))*100</f>
        <v>543200</v>
      </c>
      <c r="AJ8" s="18">
        <f>MAX(0, $A8-AJ$4)*IF(RTD("tos.rtd",,"OPEN_INT","."&amp;$AA$3&amp;$AA$4&amp;"C"&amp;AJ$4)="N/A",0,RTD("tos.rtd",,"OPEN_INT","."&amp;$AA$3&amp;$AA$4&amp;"C"&amp;AJ$4))*100 + MAX(0, AJ$4-$A8)*IF(RTD("tos.rtd",,"OPEN_INT","."&amp;$AA$3&amp;$AA$4&amp;"P"&amp;AJ$4)="N/A",0,RTD("tos.rtd",,"OPEN_INT","."&amp;$AA$3&amp;$AA$4&amp;"P"&amp;AJ$4))*100</f>
        <v>67250</v>
      </c>
      <c r="AK8" s="18">
        <f>MAX(0, $A8-AK$4)*IF(RTD("tos.rtd",,"OPEN_INT","."&amp;$AA$3&amp;$AA$4&amp;"C"&amp;AK$4)="N/A",0,RTD("tos.rtd",,"OPEN_INT","."&amp;$AA$3&amp;$AA$4&amp;"C"&amp;AK$4))*100 + MAX(0, AK$4-$A8)*IF(RTD("tos.rtd",,"OPEN_INT","."&amp;$AA$3&amp;$AA$4&amp;"P"&amp;AK$4)="N/A",0,RTD("tos.rtd",,"OPEN_INT","."&amp;$AA$3&amp;$AA$4&amp;"P"&amp;AK$4))*100</f>
        <v>843900</v>
      </c>
      <c r="AL8" s="18">
        <f>MAX(0, $A8-AL$4)*IF(RTD("tos.rtd",,"OPEN_INT","."&amp;$AA$3&amp;$AA$4&amp;"C"&amp;AL$4)="N/A",0,RTD("tos.rtd",,"OPEN_INT","."&amp;$AA$3&amp;$AA$4&amp;"C"&amp;AL$4))*100 + MAX(0, AL$4-$A8)*IF(RTD("tos.rtd",,"OPEN_INT","."&amp;$AA$3&amp;$AA$4&amp;"P"&amp;AL$4)="N/A",0,RTD("tos.rtd",,"OPEN_INT","."&amp;$AA$3&amp;$AA$4&amp;"P"&amp;AL$4))*100</f>
        <v>0</v>
      </c>
      <c r="AM8" s="18">
        <f>MAX(0, $A8-AM$4)*IF(RTD("tos.rtd",,"OPEN_INT","."&amp;$AA$3&amp;$AA$4&amp;"C"&amp;AM$4)="N/A",0,RTD("tos.rtd",,"OPEN_INT","."&amp;$AA$3&amp;$AA$4&amp;"C"&amp;AM$4))*100 + MAX(0, AM$4-$A8)*IF(RTD("tos.rtd",,"OPEN_INT","."&amp;$AA$3&amp;$AA$4&amp;"P"&amp;AM$4)="N/A",0,RTD("tos.rtd",,"OPEN_INT","."&amp;$AA$3&amp;$AA$4&amp;"P"&amp;AM$4))*100</f>
        <v>946000</v>
      </c>
      <c r="AN8" s="18">
        <f>MAX(0, $A8-AN$4)*IF(RTD("tos.rtd",,"OPEN_INT","."&amp;$AA$3&amp;$AA$4&amp;"C"&amp;AN$4)="N/A",0,RTD("tos.rtd",,"OPEN_INT","."&amp;$AA$3&amp;$AA$4&amp;"C"&amp;AN$4))*100 + MAX(0, AN$4-$A8)*IF(RTD("tos.rtd",,"OPEN_INT","."&amp;$AA$3&amp;$AA$4&amp;"P"&amp;AN$4)="N/A",0,RTD("tos.rtd",,"OPEN_INT","."&amp;$AA$3&amp;$AA$4&amp;"P"&amp;AN$4))*100</f>
        <v>0</v>
      </c>
      <c r="AO8" s="18">
        <f>MAX(0, $A8-AO$4)*IF(RTD("tos.rtd",,"OPEN_INT","."&amp;$AA$3&amp;$AA$4&amp;"C"&amp;AO$4)="N/A",0,RTD("tos.rtd",,"OPEN_INT","."&amp;$AA$3&amp;$AA$4&amp;"C"&amp;AO$4))*100 + MAX(0, AO$4-$A8)*IF(RTD("tos.rtd",,"OPEN_INT","."&amp;$AA$3&amp;$AA$4&amp;"P"&amp;AO$4)="N/A",0,RTD("tos.rtd",,"OPEN_INT","."&amp;$AA$3&amp;$AA$4&amp;"P"&amp;AO$4))*100</f>
        <v>344500</v>
      </c>
      <c r="AP8" s="18">
        <f>MAX(0, $A8-AP$4)*IF(RTD("tos.rtd",,"OPEN_INT","."&amp;$AA$3&amp;$AA$4&amp;"C"&amp;AP$4)="N/A",0,RTD("tos.rtd",,"OPEN_INT","."&amp;$AA$3&amp;$AA$4&amp;"C"&amp;AP$4))*100 + MAX(0, AP$4-$A8)*IF(RTD("tos.rtd",,"OPEN_INT","."&amp;$AA$3&amp;$AA$4&amp;"P"&amp;AP$4)="N/A",0,RTD("tos.rtd",,"OPEN_INT","."&amp;$AA$3&amp;$AA$4&amp;"P"&amp;AP$4))*100</f>
        <v>0</v>
      </c>
      <c r="AQ8" s="18">
        <f>MAX(0, $A8-AQ$4)*IF(RTD("tos.rtd",,"OPEN_INT","."&amp;$AA$3&amp;$AA$4&amp;"C"&amp;AQ$4)="N/A",0,RTD("tos.rtd",,"OPEN_INT","."&amp;$AA$3&amp;$AA$4&amp;"C"&amp;AQ$4))*100 + MAX(0, AQ$4-$A8)*IF(RTD("tos.rtd",,"OPEN_INT","."&amp;$AA$3&amp;$AA$4&amp;"P"&amp;AQ$4)="N/A",0,RTD("tos.rtd",,"OPEN_INT","."&amp;$AA$3&amp;$AA$4&amp;"P"&amp;AQ$4))*100</f>
        <v>384000</v>
      </c>
      <c r="AR8" s="18">
        <f>MAX(0, $A8-AR$4)*IF(RTD("tos.rtd",,"OPEN_INT","."&amp;$AA$3&amp;$AA$4&amp;"C"&amp;AR$4)="N/A",0,RTD("tos.rtd",,"OPEN_INT","."&amp;$AA$3&amp;$AA$4&amp;"C"&amp;AR$4))*100 + MAX(0, AR$4-$A8)*IF(RTD("tos.rtd",,"OPEN_INT","."&amp;$AA$3&amp;$AA$4&amp;"P"&amp;AR$4)="N/A",0,RTD("tos.rtd",,"OPEN_INT","."&amp;$AA$3&amp;$AA$4&amp;"P"&amp;AR$4))*100</f>
        <v>650</v>
      </c>
      <c r="AS8" s="18">
        <f>MAX(0, $A8-AS$4)*IF(RTD("tos.rtd",,"OPEN_INT","."&amp;$AA$3&amp;$AA$4&amp;"C"&amp;AS$4)="N/A",0,RTD("tos.rtd",,"OPEN_INT","."&amp;$AA$3&amp;$AA$4&amp;"C"&amp;AS$4))*100 + MAX(0, AS$4-$A8)*IF(RTD("tos.rtd",,"OPEN_INT","."&amp;$AA$3&amp;$AA$4&amp;"P"&amp;AS$4)="N/A",0,RTD("tos.rtd",,"OPEN_INT","."&amp;$AA$3&amp;$AA$4&amp;"P"&amp;AS$4))*100</f>
        <v>603400</v>
      </c>
      <c r="AT8" s="18">
        <f>MAX(0, $A8-AT$4)*IF(RTD("tos.rtd",,"OPEN_INT","."&amp;$AA$3&amp;$AA$4&amp;"C"&amp;AT$4)="N/A",0,RTD("tos.rtd",,"OPEN_INT","."&amp;$AA$3&amp;$AA$4&amp;"C"&amp;AT$4))*100 + MAX(0, AT$4-$A8)*IF(RTD("tos.rtd",,"OPEN_INT","."&amp;$AA$3&amp;$AA$4&amp;"P"&amp;AT$4)="N/A",0,RTD("tos.rtd",,"OPEN_INT","."&amp;$AA$3&amp;$AA$4&amp;"P"&amp;AT$4))*100</f>
        <v>1051500</v>
      </c>
      <c r="AU8" s="18">
        <f>MAX(0, $A8-AU$4)*IF(RTD("tos.rtd",,"OPEN_INT","."&amp;$AA$3&amp;$AA$4&amp;"C"&amp;AU$4)="N/A",0,RTD("tos.rtd",,"OPEN_INT","."&amp;$AA$3&amp;$AA$4&amp;"C"&amp;AU$4))*100 + MAX(0, AU$4-$A8)*IF(RTD("tos.rtd",,"OPEN_INT","."&amp;$AA$3&amp;$AA$4&amp;"P"&amp;AU$4)="N/A",0,RTD("tos.rtd",,"OPEN_INT","."&amp;$AA$3&amp;$AA$4&amp;"P"&amp;AU$4))*100</f>
        <v>1346400</v>
      </c>
      <c r="AV8" s="18">
        <f>MAX(0, $A8-AV$4)*IF(RTD("tos.rtd",,"OPEN_INT","."&amp;$AA$3&amp;$AA$4&amp;"C"&amp;AV$4)="N/A",0,RTD("tos.rtd",,"OPEN_INT","."&amp;$AA$3&amp;$AA$4&amp;"C"&amp;AV$4))*100 + MAX(0, AV$4-$A8)*IF(RTD("tos.rtd",,"OPEN_INT","."&amp;$AA$3&amp;$AA$4&amp;"P"&amp;AV$4)="N/A",0,RTD("tos.rtd",,"OPEN_INT","."&amp;$AA$3&amp;$AA$4&amp;"P"&amp;AV$4))*100</f>
        <v>1604800</v>
      </c>
      <c r="AW8" s="18">
        <f>MAX(0, $A8-AW$4)*IF(RTD("tos.rtd",,"OPEN_INT","."&amp;$AA$3&amp;$AA$4&amp;"C"&amp;AW$4)="N/A",0,RTD("tos.rtd",,"OPEN_INT","."&amp;$AA$3&amp;$AA$4&amp;"C"&amp;AW$4))*100 + MAX(0, AW$4-$A8)*IF(RTD("tos.rtd",,"OPEN_INT","."&amp;$AA$3&amp;$AA$4&amp;"P"&amp;AW$4)="N/A",0,RTD("tos.rtd",,"OPEN_INT","."&amp;$AA$3&amp;$AA$4&amp;"P"&amp;AW$4))*100</f>
        <v>2767500</v>
      </c>
      <c r="AX8" s="18">
        <f>MAX(0, $A8-AX$4)*IF(RTD("tos.rtd",,"OPEN_INT","."&amp;$AA$3&amp;$AA$4&amp;"C"&amp;AX$4)="N/A",0,RTD("tos.rtd",,"OPEN_INT","."&amp;$AA$3&amp;$AA$4&amp;"C"&amp;AX$4))*100 + MAX(0, AX$4-$A8)*IF(RTD("tos.rtd",,"OPEN_INT","."&amp;$AA$3&amp;$AA$4&amp;"P"&amp;AX$4)="N/A",0,RTD("tos.rtd",,"OPEN_INT","."&amp;$AA$3&amp;$AA$4&amp;"P"&amp;AX$4))*100</f>
        <v>4040350</v>
      </c>
      <c r="AY8" s="18">
        <f>MAX(0, $A8-AY$4)*IF(RTD("tos.rtd",,"OPEN_INT","."&amp;$AA$3&amp;$AA$4&amp;"C"&amp;AY$4)="N/A",0,RTD("tos.rtd",,"OPEN_INT","."&amp;$AA$3&amp;$AA$4&amp;"C"&amp;AY$4))*100 + MAX(0, AY$4-$A8)*IF(RTD("tos.rtd",,"OPEN_INT","."&amp;$AA$3&amp;$AA$4&amp;"P"&amp;AY$4)="N/A",0,RTD("tos.rtd",,"OPEN_INT","."&amp;$AA$3&amp;$AA$4&amp;"P"&amp;AY$4))*100</f>
        <v>19548000</v>
      </c>
      <c r="AZ8" s="18">
        <f>MAX(0, $A8-AZ$4)*IF(RTD("tos.rtd",,"OPEN_INT","."&amp;$AA$3&amp;$AA$4&amp;"C"&amp;AZ$4)="N/A",0,RTD("tos.rtd",,"OPEN_INT","."&amp;$AA$3&amp;$AA$4&amp;"C"&amp;AZ$4))*100 + MAX(0, AZ$4-$A8)*IF(RTD("tos.rtd",,"OPEN_INT","."&amp;$AA$3&amp;$AA$4&amp;"P"&amp;AZ$4)="N/A",0,RTD("tos.rtd",,"OPEN_INT","."&amp;$AA$3&amp;$AA$4&amp;"P"&amp;AZ$4))*100</f>
        <v>10342500</v>
      </c>
      <c r="BA8" s="18">
        <f>MAX(0, $A8-BA$4)*IF(RTD("tos.rtd",,"OPEN_INT","."&amp;$AA$3&amp;$AA$4&amp;"C"&amp;BA$4)="N/A",0,RTD("tos.rtd",,"OPEN_INT","."&amp;$AA$3&amp;$AA$4&amp;"C"&amp;BA$4))*100 + MAX(0, BA$4-$A8)*IF(RTD("tos.rtd",,"OPEN_INT","."&amp;$AA$3&amp;$AA$4&amp;"P"&amp;BA$4)="N/A",0,RTD("tos.rtd",,"OPEN_INT","."&amp;$AA$3&amp;$AA$4&amp;"P"&amp;BA$4))*100</f>
        <v>33887700</v>
      </c>
      <c r="BB8" s="18">
        <f>MAX(0, $A8-BB$4)*IF(RTD("tos.rtd",,"OPEN_INT","."&amp;$AA$3&amp;$AA$4&amp;"C"&amp;BB$4)="N/A",0,RTD("tos.rtd",,"OPEN_INT","."&amp;$AA$3&amp;$AA$4&amp;"C"&amp;BB$4))*100 + MAX(0, BB$4-$A8)*IF(RTD("tos.rtd",,"OPEN_INT","."&amp;$AA$3&amp;$AA$4&amp;"P"&amp;BB$4)="N/A",0,RTD("tos.rtd",,"OPEN_INT","."&amp;$AA$3&amp;$AA$4&amp;"P"&amp;BB$4))*100</f>
        <v>32956700</v>
      </c>
      <c r="BC8" s="18">
        <f>MAX(0, $A8-BC$4)*IF(RTD("tos.rtd",,"OPEN_INT","."&amp;$AA$3&amp;$AA$4&amp;"C"&amp;BC$4)="N/A",0,RTD("tos.rtd",,"OPEN_INT","."&amp;$AA$3&amp;$AA$4&amp;"C"&amp;BC$4))*100 + MAX(0, BC$4-$A8)*IF(RTD("tos.rtd",,"OPEN_INT","."&amp;$AA$3&amp;$AA$4&amp;"P"&amp;BC$4)="N/A",0,RTD("tos.rtd",,"OPEN_INT","."&amp;$AA$3&amp;$AA$4&amp;"P"&amp;BC$4))*100</f>
        <v>48855600</v>
      </c>
      <c r="BD8" s="18">
        <f>MAX(0, $A8-BD$4)*IF(RTD("tos.rtd",,"OPEN_INT","."&amp;$AA$3&amp;$AA$4&amp;"C"&amp;BD$4)="N/A",0,RTD("tos.rtd",,"OPEN_INT","."&amp;$AA$3&amp;$AA$4&amp;"C"&amp;BD$4))*100 + MAX(0, BD$4-$A8)*IF(RTD("tos.rtd",,"OPEN_INT","."&amp;$AA$3&amp;$AA$4&amp;"P"&amp;BD$4)="N/A",0,RTD("tos.rtd",,"OPEN_INT","."&amp;$AA$3&amp;$AA$4&amp;"P"&amp;BD$4))*100</f>
        <v>23200000</v>
      </c>
      <c r="BE8" s="18">
        <f>MAX(0, $A8-BE$4)*IF(RTD("tos.rtd",,"OPEN_INT","."&amp;$AA$3&amp;$AA$4&amp;"C"&amp;BE$4)="N/A",0,RTD("tos.rtd",,"OPEN_INT","."&amp;$AA$3&amp;$AA$4&amp;"C"&amp;BE$4))*100 + MAX(0, BE$4-$A8)*IF(RTD("tos.rtd",,"OPEN_INT","."&amp;$AA$3&amp;$AA$4&amp;"P"&amp;BE$4)="N/A",0,RTD("tos.rtd",,"OPEN_INT","."&amp;$AA$3&amp;$AA$4&amp;"P"&amp;BE$4))*100</f>
        <v>22461400</v>
      </c>
      <c r="BF8" s="18">
        <f>MAX(0, $A8-BF$4)*IF(RTD("tos.rtd",,"OPEN_INT","."&amp;$AA$3&amp;$AA$4&amp;"C"&amp;BF$4)="N/A",0,RTD("tos.rtd",,"OPEN_INT","."&amp;$AA$3&amp;$AA$4&amp;"C"&amp;BF$4))*100 + MAX(0, BF$4-$A8)*IF(RTD("tos.rtd",,"OPEN_INT","."&amp;$AA$3&amp;$AA$4&amp;"P"&amp;BF$4)="N/A",0,RTD("tos.rtd",,"OPEN_INT","."&amp;$AA$3&amp;$AA$4&amp;"P"&amp;BF$4))*100</f>
        <v>11349450</v>
      </c>
      <c r="BG8" s="18">
        <f>MAX(0, $A8-BG$4)*IF(RTD("tos.rtd",,"OPEN_INT","."&amp;$AA$3&amp;$AA$4&amp;"C"&amp;BG$4)="N/A",0,RTD("tos.rtd",,"OPEN_INT","."&amp;$AA$3&amp;$AA$4&amp;"C"&amp;BG$4))*100 + MAX(0, BG$4-$A8)*IF(RTD("tos.rtd",,"OPEN_INT","."&amp;$AA$3&amp;$AA$4&amp;"P"&amp;BG$4)="N/A",0,RTD("tos.rtd",,"OPEN_INT","."&amp;$AA$3&amp;$AA$4&amp;"P"&amp;BG$4))*100</f>
        <v>8027600</v>
      </c>
      <c r="BH8" s="18">
        <f>MAX(0, $A8-BH$4)*IF(RTD("tos.rtd",,"OPEN_INT","."&amp;$AA$3&amp;$AA$4&amp;"C"&amp;BH$4)="N/A",0,RTD("tos.rtd",,"OPEN_INT","."&amp;$AA$3&amp;$AA$4&amp;"C"&amp;BH$4))*100 + MAX(0, BH$4-$A8)*IF(RTD("tos.rtd",,"OPEN_INT","."&amp;$AA$3&amp;$AA$4&amp;"P"&amp;BH$4)="N/A",0,RTD("tos.rtd",,"OPEN_INT","."&amp;$AA$3&amp;$AA$4&amp;"P"&amp;BH$4))*100</f>
        <v>2817350</v>
      </c>
      <c r="BI8" s="18">
        <f>MAX(0, $A8-BI$4)*IF(RTD("tos.rtd",,"OPEN_INT","."&amp;$AA$3&amp;$AA$4&amp;"C"&amp;BI$4)="N/A",0,RTD("tos.rtd",,"OPEN_INT","."&amp;$AA$3&amp;$AA$4&amp;"C"&amp;BI$4))*100 + MAX(0, BI$4-$A8)*IF(RTD("tos.rtd",,"OPEN_INT","."&amp;$AA$3&amp;$AA$4&amp;"P"&amp;BI$4)="N/A",0,RTD("tos.rtd",,"OPEN_INT","."&amp;$AA$3&amp;$AA$4&amp;"P"&amp;BI$4))*100</f>
        <v>1263000</v>
      </c>
      <c r="BJ8" s="18">
        <f>MAX(0, $A8-BJ$4)*IF(RTD("tos.rtd",,"OPEN_INT","."&amp;$AA$3&amp;$AA$4&amp;"C"&amp;BJ$4)="N/A",0,RTD("tos.rtd",,"OPEN_INT","."&amp;$AA$3&amp;$AA$4&amp;"C"&amp;BJ$4))*100 + MAX(0, BJ$4-$A8)*IF(RTD("tos.rtd",,"OPEN_INT","."&amp;$AA$3&amp;$AA$4&amp;"P"&amp;BJ$4)="N/A",0,RTD("tos.rtd",,"OPEN_INT","."&amp;$AA$3&amp;$AA$4&amp;"P"&amp;BJ$4))*100</f>
        <v>234050</v>
      </c>
      <c r="BK8" s="18">
        <f>MAX(0, $A8-BK$4)*IF(RTD("tos.rtd",,"OPEN_INT","."&amp;$AA$3&amp;$AA$4&amp;"C"&amp;BK$4)="N/A",0,RTD("tos.rtd",,"OPEN_INT","."&amp;$AA$3&amp;$AA$4&amp;"C"&amp;BK$4))*100 + MAX(0, BK$4-$A8)*IF(RTD("tos.rtd",,"OPEN_INT","."&amp;$AA$3&amp;$AA$4&amp;"P"&amp;BK$4)="N/A",0,RTD("tos.rtd",,"OPEN_INT","."&amp;$AA$3&amp;$AA$4&amp;"P"&amp;BK$4))*100</f>
        <v>417600</v>
      </c>
      <c r="BL8" s="18">
        <f>MAX(0, $A8-BL$4)*IF(RTD("tos.rtd",,"OPEN_INT","."&amp;$AA$3&amp;$AA$4&amp;"C"&amp;BL$4)="N/A",0,RTD("tos.rtd",,"OPEN_INT","."&amp;$AA$3&amp;$AA$4&amp;"C"&amp;BL$4))*100 + MAX(0, BL$4-$A8)*IF(RTD("tos.rtd",,"OPEN_INT","."&amp;$AA$3&amp;$AA$4&amp;"P"&amp;BL$4)="N/A",0,RTD("tos.rtd",,"OPEN_INT","."&amp;$AA$3&amp;$AA$4&amp;"P"&amp;BL$4))*100</f>
        <v>26400</v>
      </c>
      <c r="BM8" s="18">
        <f>MAX(0, $A8-BM$4)*IF(RTD("tos.rtd",,"OPEN_INT","."&amp;$AA$3&amp;$AA$4&amp;"C"&amp;BM$4)="N/A",0,RTD("tos.rtd",,"OPEN_INT","."&amp;$AA$3&amp;$AA$4&amp;"C"&amp;BM$4))*100 + MAX(0, BM$4-$A8)*IF(RTD("tos.rtd",,"OPEN_INT","."&amp;$AA$3&amp;$AA$4&amp;"P"&amp;BM$4)="N/A",0,RTD("tos.rtd",,"OPEN_INT","."&amp;$AA$3&amp;$AA$4&amp;"P"&amp;BM$4))*100</f>
        <v>13600</v>
      </c>
      <c r="BN8" s="18">
        <f>MAX(0, $A8-BN$4)*IF(RTD("tos.rtd",,"OPEN_INT","."&amp;$AA$3&amp;$AA$4&amp;"C"&amp;BN$4)="N/A",0,RTD("tos.rtd",,"OPEN_INT","."&amp;$AA$3&amp;$AA$4&amp;"C"&amp;BN$4))*100 + MAX(0, BN$4-$A8)*IF(RTD("tos.rtd",,"OPEN_INT","."&amp;$AA$3&amp;$AA$4&amp;"P"&amp;BN$4)="N/A",0,RTD("tos.rtd",,"OPEN_INT","."&amp;$AA$3&amp;$AA$4&amp;"P"&amp;BN$4))*100</f>
        <v>54250</v>
      </c>
      <c r="BO8" s="18">
        <f>MAX(0, $A8-BO$4)*IF(RTD("tos.rtd",,"OPEN_INT","."&amp;$AA$3&amp;$AA$4&amp;"C"&amp;BO$4)="N/A",0,RTD("tos.rtd",,"OPEN_INT","."&amp;$AA$3&amp;$AA$4&amp;"C"&amp;BO$4))*100 + MAX(0, BO$4-$A8)*IF(RTD("tos.rtd",,"OPEN_INT","."&amp;$AA$3&amp;$AA$4&amp;"P"&amp;BO$4)="N/A",0,RTD("tos.rtd",,"OPEN_INT","."&amp;$AA$3&amp;$AA$4&amp;"P"&amp;BO$4))*100</f>
        <v>68400</v>
      </c>
      <c r="BP8" s="18">
        <f>MAX(0, $A8-BP$4)*IF(RTD("tos.rtd",,"OPEN_INT","."&amp;$AA$3&amp;$AA$4&amp;"C"&amp;BP$4)="N/A",0,RTD("tos.rtd",,"OPEN_INT","."&amp;$AA$3&amp;$AA$4&amp;"C"&amp;BP$4))*100 + MAX(0, BP$4-$A8)*IF(RTD("tos.rtd",,"OPEN_INT","."&amp;$AA$3&amp;$AA$4&amp;"P"&amp;BP$4)="N/A",0,RTD("tos.rtd",,"OPEN_INT","."&amp;$AA$3&amp;$AA$4&amp;"P"&amp;BP$4))*100</f>
        <v>0</v>
      </c>
      <c r="BQ8" s="18">
        <f>MAX(0, $A8-BQ$4)*IF(RTD("tos.rtd",,"OPEN_INT","."&amp;$AA$3&amp;$AA$4&amp;"C"&amp;BQ$4)="N/A",0,RTD("tos.rtd",,"OPEN_INT","."&amp;$AA$3&amp;$AA$4&amp;"C"&amp;BQ$4))*100 + MAX(0, BQ$4-$A8)*IF(RTD("tos.rtd",,"OPEN_INT","."&amp;$AA$3&amp;$AA$4&amp;"P"&amp;BQ$4)="N/A",0,RTD("tos.rtd",,"OPEN_INT","."&amp;$AA$3&amp;$AA$4&amp;"P"&amp;BQ$4))*100</f>
        <v>0</v>
      </c>
      <c r="BR8" s="18">
        <f>MAX(0, $A8-BR$4)*IF(RTD("tos.rtd",,"OPEN_INT","."&amp;$AA$3&amp;$AA$4&amp;"C"&amp;BR$4)="N/A",0,RTD("tos.rtd",,"OPEN_INT","."&amp;$AA$3&amp;$AA$4&amp;"C"&amp;BR$4))*100 + MAX(0, BR$4-$A8)*IF(RTD("tos.rtd",,"OPEN_INT","."&amp;$AA$3&amp;$AA$4&amp;"P"&amp;BR$4)="N/A",0,RTD("tos.rtd",,"OPEN_INT","."&amp;$AA$3&amp;$AA$4&amp;"P"&amp;BR$4))*100</f>
        <v>0</v>
      </c>
      <c r="BS8" s="18">
        <f>MAX(0, $A8-BS$4)*IF(RTD("tos.rtd",,"OPEN_INT","."&amp;$AA$3&amp;$AA$4&amp;"C"&amp;BS$4)="N/A",0,RTD("tos.rtd",,"OPEN_INT","."&amp;$AA$3&amp;$AA$4&amp;"C"&amp;BS$4))*100 + MAX(0, BS$4-$A8)*IF(RTD("tos.rtd",,"OPEN_INT","."&amp;$AA$3&amp;$AA$4&amp;"P"&amp;BS$4)="N/A",0,RTD("tos.rtd",,"OPEN_INT","."&amp;$AA$3&amp;$AA$4&amp;"P"&amp;BS$4))*100</f>
        <v>0</v>
      </c>
      <c r="BT8" s="18">
        <f>MAX(0, $A8-BT$4)*IF(RTD("tos.rtd",,"OPEN_INT","."&amp;$AA$3&amp;$AA$4&amp;"C"&amp;BT$4)="N/A",0,RTD("tos.rtd",,"OPEN_INT","."&amp;$AA$3&amp;$AA$4&amp;"C"&amp;BT$4))*100 + MAX(0, BT$4-$A8)*IF(RTD("tos.rtd",,"OPEN_INT","."&amp;$AA$3&amp;$AA$4&amp;"P"&amp;BT$4)="N/A",0,RTD("tos.rtd",,"OPEN_INT","."&amp;$AA$3&amp;$AA$4&amp;"P"&amp;BT$4))*100</f>
        <v>0</v>
      </c>
      <c r="BU8" s="18">
        <f>MAX(0, $A8-BU$4)*IF(RTD("tos.rtd",,"OPEN_INT","."&amp;$AA$3&amp;$AA$4&amp;"C"&amp;BU$4)="N/A",0,RTD("tos.rtd",,"OPEN_INT","."&amp;$AA$3&amp;$AA$4&amp;"C"&amp;BU$4))*100 + MAX(0, BU$4-$A8)*IF(RTD("tos.rtd",,"OPEN_INT","."&amp;$AA$3&amp;$AA$4&amp;"P"&amp;BU$4)="N/A",0,RTD("tos.rtd",,"OPEN_INT","."&amp;$AA$3&amp;$AA$4&amp;"P"&amp;BU$4))*100</f>
        <v>0</v>
      </c>
      <c r="BV8" s="18">
        <f>MAX(0, $A8-BV$4)*IF(RTD("tos.rtd",,"OPEN_INT","."&amp;$AA$3&amp;$AA$4&amp;"C"&amp;BV$4)="N/A",0,RTD("tos.rtd",,"OPEN_INT","."&amp;$AA$3&amp;$AA$4&amp;"C"&amp;BV$4))*100 + MAX(0, BV$4-$A8)*IF(RTD("tos.rtd",,"OPEN_INT","."&amp;$AA$3&amp;$AA$4&amp;"P"&amp;BV$4)="N/A",0,RTD("tos.rtd",,"OPEN_INT","."&amp;$AA$3&amp;$AA$4&amp;"P"&amp;BV$4))*100</f>
        <v>0</v>
      </c>
    </row>
    <row r="9" spans="1:74" s="19" customFormat="1" ht="11.1" customHeight="1" thickBot="1" x14ac:dyDescent="0.3">
      <c r="A9" s="23">
        <f t="shared" si="6"/>
        <v>19.5</v>
      </c>
      <c r="B9" s="14">
        <f ca="1">IF($A$2="PREMIUM_OI",IFERROR(IF($X$1="ABS",(100*RTD("tos.rtd",,"OPEN_INT","."&amp;B$2&amp;B$1&amp;"C"&amp;$A9)*RTD("tos.rtd",,"LAST","."&amp;B$2&amp;B$1&amp;"C"&amp;$A9)+100*RTD("tos.rtd",,"OPEN_INT","."&amp;B$2&amp;B$1&amp;"P"&amp;$A9)*RTD("tos.rtd",,"LAST","."&amp;B$2&amp;B$1&amp;"P"&amp;$A9))/1000000,(100*RTD("tos.rtd",,"OPEN_INT","."&amp;B$2&amp;B$1&amp;"C"&amp;$A9)*RTD("tos.rtd",,"LAST","."&amp;B$2&amp;B$1&amp;"C"&amp;$A9)-100*RTD("tos.rtd",,"OPEN_INT","."&amp;B$2&amp;B$1&amp;"P"&amp;$A9)*RTD("tos.rtd",,"LAST","."&amp;B$2&amp;B$1&amp;"P"&amp;$A9))/1000000),0),IF($A$2="PREMIUM",IFERROR(IF($X$1="ABS",(100*RTD("tos.rtd",,"VOLUME","."&amp;B$2&amp;B$1&amp;"C"&amp;$A9)*RTD("tos.rtd",,"LAST","."&amp;B$2&amp;B$1&amp;"C"&amp;$A9)+100*RTD("tos.rtd",,"VOLUME","."&amp;B$2&amp;B$1&amp;"P"&amp;$A9)*RTD("tos.rtd",,"LAST","."&amp;B$2&amp;B$1&amp;"P"&amp;$A9))/1000000,(100*RTD("tos.rtd",,"VOLUME","."&amp;B$2&amp;B$1&amp;"C"&amp;$A9)*RTD("tos.rtd",,"LAST","."&amp;B$2&amp;B$1&amp;"C"&amp;$A9)-100*RTD("tos.rtd",,"VOLUME","."&amp;B$2&amp;B$1&amp;"P"&amp;$A9)*RTD("tos.rtd",,"LAST","."&amp;B$2&amp;B$1&amp;"P"&amp;$A9))/1000000),0),IF($A$2="DEX",IFERROR(IF($X$1="ABS",(100*RTD("tos.rtd",,"OPEN_INT","."&amp;B$2&amp;B$1&amp;"C"&amp;$A9)*RTD("tos.rtd",,"DELTA","."&amp;B$2&amp;B$1&amp;"C"&amp;$A9)+100*RTD("tos.rtd",,"OPEN_INT","."&amp;B$2&amp;B$1&amp;"P"&amp;$A9)*RTD("tos.rtd",,"DELTA","."&amp;B$2&amp;B$1&amp;"P"&amp;$A9))/1000,(100*RTD("tos.rtd",,"OPEN_INT","."&amp;B$2&amp;B$1&amp;"C"&amp;$A9)*RTD("tos.rtd",,"DELTA","."&amp;B$2&amp;B$1&amp;"C"&amp;$A9)-100*RTD("tos.rtd",,"OPEN_INT","."&amp;B$2&amp;B$1&amp;"P"&amp;$A9)*RTD("tos.rtd",,"DELTA","."&amp;B$2&amp;B$1&amp;"P"&amp;$A9))/1000),0),IF($A$2="VEX",IFERROR(IF($X$1="ABS",($A$4*$A$4*RTD("tos.rtd",,"VOLUME","."&amp;B$2&amp;B$1&amp;"C"&amp;$A9)*RTD("tos.rtd",,"GAMMA","."&amp;B$2&amp;B$1&amp;"C"&amp;$A9)+$A$4*$A$4*RTD("tos.rtd",,"VOLUME","."&amp;B$2&amp;B$1&amp;"P"&amp;$A9)*RTD("tos.rtd",,"GAMMA","."&amp;B$2&amp;B$1&amp;"P"&amp;$A9))/1000000,($A$4*$A$4*RTD("tos.rtd",,"VOLUME","."&amp;B$2&amp;B$1&amp;"C"&amp;$A9)*RTD("tos.rtd",,"GAMMA","."&amp;B$2&amp;B$1&amp;"C"&amp;$A9)-$A$4*$A$4*RTD("tos.rtd",,"VOLUME","."&amp;B$2&amp;B$1&amp;"P"&amp;$A9)*RTD("tos.rtd",,"GAMMA","."&amp;B$2&amp;B$1&amp;"P"&amp;$A9))/1000000),0),IF($A$2="GEX",IFERROR(IF($X$1="ABS",($A$4*$A$4*RTD("tos.rtd",,"OPEN_INT","."&amp;B$2&amp;B$1&amp;"C"&amp;$A9)*RTD("tos.rtd",,"GAMMA","."&amp;B$2&amp;B$1&amp;"C"&amp;$A9)+$A$4*$A$4*RTD("tos.rtd",,"OPEN_INT","."&amp;B$2&amp;B$1&amp;"P"&amp;$A9)*RTD("tos.rtd",,"GAMMA","."&amp;B$2&amp;B$1&amp;"P"&amp;$A9))/1000000,($A$4*$A$4*RTD("tos.rtd",,"OPEN_INT","."&amp;B$2&amp;B$1&amp;"C"&amp;$A9)*RTD("tos.rtd",,"GAMMA","."&amp;B$2&amp;B$1&amp;"C"&amp;$A9)-$A$4*$A$4*RTD("tos.rtd",,"OPEN_INT","."&amp;B$2&amp;B$1&amp;"P"&amp;$A9)*RTD("tos.rtd",,"GAMMA","."&amp;B$2&amp;B$1&amp;"P"&amp;$A9))/1000000),0),IF($A$2="SKEW",IFERROR(VALUE(IF(RTD("tos.rtd",,"IMPL_VOL","."&amp;B$2&amp;B$1&amp;"P"&amp;$A9)="N/A",0,RTD("tos.rtd",,"IMPL_VOL","."&amp;B$2&amp;B$1&amp;"P"&amp;$A9))),0)-IFERROR(VALUE(IF(RTD("tos.rtd",,"IMPL_VOL","."&amp;B$2&amp;B$1&amp;"C"&amp;$A9)="N/A",0,RTD("tos.rtd",,"IMPL_VOL","."&amp;B$2&amp;B$1&amp;"C"&amp;$A9))),0),IF($A$2="MAXPAIN",IF($A$4&gt;$A9,($A$4-$A9)*IF(RTD("tos.rtd",,"OPEN_INT","."&amp;B$2&amp;B$1&amp;"C"&amp;$A9)="N/A",0,RTD("tos.rtd",,"OPEN_INT","."&amp;B$2&amp;B$1&amp;"C"&amp;$A9)),0)+IF($A$4&lt;$A9,($A$5-$A$4)*IF(RTD("tos.rtd",,"OPEN_INT","."&amp;B$2&amp;B$1&amp;"P"&amp;$A9)="N/A",0,RTD("tos.rtd",,"OPEN_INT","."&amp;B$2&amp;B$1&amp;"P"&amp;$A9)),0),IF($X$1="ABS",IF(RTD("tos.rtd",,$A$2,"."&amp;B$2&amp;B$1&amp;"C"&amp;$A9)="N/A",0,RTD("tos.rtd",,$A$2,"."&amp;B$2&amp;B$1&amp;"C"&amp;$A9))+IF(RTD("tos.rtd",,$A$2,"."&amp;B$2&amp;B$1&amp;"P"&amp;$A9)="N/A",0,RTD("tos.rtd",,$A$2,"."&amp;B$2&amp;B$1&amp;"P"&amp;$A9)),IF(RTD("tos.rtd",,$A$2,"."&amp;B$2&amp;B$1&amp;"C"&amp;$A9)="N/A",0,RTD("tos.rtd",,$A$2,"."&amp;B$2&amp;B$1&amp;"C"&amp;$A9))-IF(RTD("tos.rtd",,$A$2,"."&amp;B$2&amp;B$1&amp;"P"&amp;$A9)="N/A",0,RTD("tos.rtd",,$A$2,"."&amp;B$2&amp;B$1&amp;"P"&amp;$A9))))))))))</f>
        <v>0</v>
      </c>
      <c r="C9" s="12">
        <f ca="1">IF($A$2="PREMIUM_OI",IFERROR(IF($X$1="ABS",(100*RTD("tos.rtd",,"OPEN_INT","."&amp;C$2&amp;C$1&amp;"C"&amp;$A9)*RTD("tos.rtd",,"LAST","."&amp;C$2&amp;C$1&amp;"C"&amp;$A9)+100*RTD("tos.rtd",,"OPEN_INT","."&amp;C$2&amp;C$1&amp;"P"&amp;$A9)*RTD("tos.rtd",,"LAST","."&amp;C$2&amp;C$1&amp;"P"&amp;$A9))/1000000,(100*RTD("tos.rtd",,"OPEN_INT","."&amp;C$2&amp;C$1&amp;"C"&amp;$A9)*RTD("tos.rtd",,"LAST","."&amp;C$2&amp;C$1&amp;"C"&amp;$A9)-100*RTD("tos.rtd",,"OPEN_INT","."&amp;C$2&amp;C$1&amp;"P"&amp;$A9)*RTD("tos.rtd",,"LAST","."&amp;C$2&amp;C$1&amp;"P"&amp;$A9))/1000000),0),IF($A$2="PREMIUM",IFERROR(IF($X$1="ABS",(100*RTD("tos.rtd",,"VOLUME","."&amp;C$2&amp;C$1&amp;"C"&amp;$A9)*RTD("tos.rtd",,"LAST","."&amp;C$2&amp;C$1&amp;"C"&amp;$A9)+100*RTD("tos.rtd",,"VOLUME","."&amp;C$2&amp;C$1&amp;"P"&amp;$A9)*RTD("tos.rtd",,"LAST","."&amp;C$2&amp;C$1&amp;"P"&amp;$A9))/1000000,(100*RTD("tos.rtd",,"VOLUME","."&amp;C$2&amp;C$1&amp;"C"&amp;$A9)*RTD("tos.rtd",,"LAST","."&amp;C$2&amp;C$1&amp;"C"&amp;$A9)-100*RTD("tos.rtd",,"VOLUME","."&amp;C$2&amp;C$1&amp;"P"&amp;$A9)*RTD("tos.rtd",,"LAST","."&amp;C$2&amp;C$1&amp;"P"&amp;$A9))/1000000),0),IF($A$2="DEX",IFERROR(IF($X$1="ABS",(100*RTD("tos.rtd",,"OPEN_INT","."&amp;C$2&amp;C$1&amp;"C"&amp;$A9)*RTD("tos.rtd",,"DELTA","."&amp;C$2&amp;C$1&amp;"C"&amp;$A9)+100*RTD("tos.rtd",,"OPEN_INT","."&amp;C$2&amp;C$1&amp;"P"&amp;$A9)*RTD("tos.rtd",,"DELTA","."&amp;C$2&amp;C$1&amp;"P"&amp;$A9))/1000,(100*RTD("tos.rtd",,"OPEN_INT","."&amp;C$2&amp;C$1&amp;"C"&amp;$A9)*RTD("tos.rtd",,"DELTA","."&amp;C$2&amp;C$1&amp;"C"&amp;$A9)-100*RTD("tos.rtd",,"OPEN_INT","."&amp;C$2&amp;C$1&amp;"P"&amp;$A9)*RTD("tos.rtd",,"DELTA","."&amp;C$2&amp;C$1&amp;"P"&amp;$A9))/1000),0),IF($A$2="VEX",IFERROR(IF($X$1="ABS",($A$4*$A$4*RTD("tos.rtd",,"VOLUME","."&amp;C$2&amp;C$1&amp;"C"&amp;$A9)*RTD("tos.rtd",,"GAMMA","."&amp;C$2&amp;C$1&amp;"C"&amp;$A9)+$A$4*$A$4*RTD("tos.rtd",,"VOLUME","."&amp;C$2&amp;C$1&amp;"P"&amp;$A9)*RTD("tos.rtd",,"GAMMA","."&amp;C$2&amp;C$1&amp;"P"&amp;$A9))/1000000,($A$4*$A$4*RTD("tos.rtd",,"VOLUME","."&amp;C$2&amp;C$1&amp;"C"&amp;$A9)*RTD("tos.rtd",,"GAMMA","."&amp;C$2&amp;C$1&amp;"C"&amp;$A9)-$A$4*$A$4*RTD("tos.rtd",,"VOLUME","."&amp;C$2&amp;C$1&amp;"P"&amp;$A9)*RTD("tos.rtd",,"GAMMA","."&amp;C$2&amp;C$1&amp;"P"&amp;$A9))/1000000),0),IF($A$2="GEX",IFERROR(IF($X$1="ABS",($A$4*$A$4*RTD("tos.rtd",,"OPEN_INT","."&amp;C$2&amp;C$1&amp;"C"&amp;$A9)*RTD("tos.rtd",,"GAMMA","."&amp;C$2&amp;C$1&amp;"C"&amp;$A9)+$A$4*$A$4*RTD("tos.rtd",,"OPEN_INT","."&amp;C$2&amp;C$1&amp;"P"&amp;$A9)*RTD("tos.rtd",,"GAMMA","."&amp;C$2&amp;C$1&amp;"P"&amp;$A9))/1000000,($A$4*$A$4*RTD("tos.rtd",,"OPEN_INT","."&amp;C$2&amp;C$1&amp;"C"&amp;$A9)*RTD("tos.rtd",,"GAMMA","."&amp;C$2&amp;C$1&amp;"C"&amp;$A9)-$A$4*$A$4*RTD("tos.rtd",,"OPEN_INT","."&amp;C$2&amp;C$1&amp;"P"&amp;$A9)*RTD("tos.rtd",,"GAMMA","."&amp;C$2&amp;C$1&amp;"P"&amp;$A9))/1000000),0),IF($A$2="SKEW",IFERROR(VALUE(IF(RTD("tos.rtd",,"IMPL_VOL","."&amp;C$2&amp;C$1&amp;"P"&amp;$A9)="N/A",0,RTD("tos.rtd",,"IMPL_VOL","."&amp;C$2&amp;C$1&amp;"P"&amp;$A9))),0)-IFERROR(VALUE(IF(RTD("tos.rtd",,"IMPL_VOL","."&amp;C$2&amp;C$1&amp;"C"&amp;$A9)="N/A",0,RTD("tos.rtd",,"IMPL_VOL","."&amp;C$2&amp;C$1&amp;"C"&amp;$A9))),0),IF($A$2="MAXPAIN",IF($A$4&gt;$A9,($A$4-$A9)*IF(RTD("tos.rtd",,"OPEN_INT","."&amp;C$2&amp;C$1&amp;"C"&amp;$A9)="N/A",0,RTD("tos.rtd",,"OPEN_INT","."&amp;C$2&amp;C$1&amp;"C"&amp;$A9)),0)+IF($A$4&lt;$A9,($A$5-$A$4)*IF(RTD("tos.rtd",,"OPEN_INT","."&amp;C$2&amp;C$1&amp;"P"&amp;$A9)="N/A",0,RTD("tos.rtd",,"OPEN_INT","."&amp;C$2&amp;C$1&amp;"P"&amp;$A9)),0),IF($X$1="ABS",IF(RTD("tos.rtd",,$A$2,"."&amp;C$2&amp;C$1&amp;"C"&amp;$A9)="N/A",0,RTD("tos.rtd",,$A$2,"."&amp;C$2&amp;C$1&amp;"C"&amp;$A9))+IF(RTD("tos.rtd",,$A$2,"."&amp;C$2&amp;C$1&amp;"P"&amp;$A9)="N/A",0,RTD("tos.rtd",,$A$2,"."&amp;C$2&amp;C$1&amp;"P"&amp;$A9)),IF(RTD("tos.rtd",,$A$2,"."&amp;C$2&amp;C$1&amp;"C"&amp;$A9)="N/A",0,RTD("tos.rtd",,$A$2,"."&amp;C$2&amp;C$1&amp;"C"&amp;$A9))-IF(RTD("tos.rtd",,$A$2,"."&amp;C$2&amp;C$1&amp;"P"&amp;$A9)="N/A",0,RTD("tos.rtd",,$A$2,"."&amp;C$2&amp;C$1&amp;"P"&amp;$A9))))))))))</f>
        <v>0</v>
      </c>
      <c r="D9" s="12">
        <f ca="1">IF($A$2="PREMIUM_OI",IFERROR(IF($X$1="ABS",(100*RTD("tos.rtd",,"OPEN_INT","."&amp;D$2&amp;D$1&amp;"C"&amp;$A9)*RTD("tos.rtd",,"LAST","."&amp;D$2&amp;D$1&amp;"C"&amp;$A9)+100*RTD("tos.rtd",,"OPEN_INT","."&amp;D$2&amp;D$1&amp;"P"&amp;$A9)*RTD("tos.rtd",,"LAST","."&amp;D$2&amp;D$1&amp;"P"&amp;$A9))/1000000,(100*RTD("tos.rtd",,"OPEN_INT","."&amp;D$2&amp;D$1&amp;"C"&amp;$A9)*RTD("tos.rtd",,"LAST","."&amp;D$2&amp;D$1&amp;"C"&amp;$A9)-100*RTD("tos.rtd",,"OPEN_INT","."&amp;D$2&amp;D$1&amp;"P"&amp;$A9)*RTD("tos.rtd",,"LAST","."&amp;D$2&amp;D$1&amp;"P"&amp;$A9))/1000000),0),IF($A$2="PREMIUM",IFERROR(IF($X$1="ABS",(100*RTD("tos.rtd",,"VOLUME","."&amp;D$2&amp;D$1&amp;"C"&amp;$A9)*RTD("tos.rtd",,"LAST","."&amp;D$2&amp;D$1&amp;"C"&amp;$A9)+100*RTD("tos.rtd",,"VOLUME","."&amp;D$2&amp;D$1&amp;"P"&amp;$A9)*RTD("tos.rtd",,"LAST","."&amp;D$2&amp;D$1&amp;"P"&amp;$A9))/1000000,(100*RTD("tos.rtd",,"VOLUME","."&amp;D$2&amp;D$1&amp;"C"&amp;$A9)*RTD("tos.rtd",,"LAST","."&amp;D$2&amp;D$1&amp;"C"&amp;$A9)-100*RTD("tos.rtd",,"VOLUME","."&amp;D$2&amp;D$1&amp;"P"&amp;$A9)*RTD("tos.rtd",,"LAST","."&amp;D$2&amp;D$1&amp;"P"&amp;$A9))/1000000),0),IF($A$2="DEX",IFERROR(IF($X$1="ABS",(100*RTD("tos.rtd",,"OPEN_INT","."&amp;D$2&amp;D$1&amp;"C"&amp;$A9)*RTD("tos.rtd",,"DELTA","."&amp;D$2&amp;D$1&amp;"C"&amp;$A9)+100*RTD("tos.rtd",,"OPEN_INT","."&amp;D$2&amp;D$1&amp;"P"&amp;$A9)*RTD("tos.rtd",,"DELTA","."&amp;D$2&amp;D$1&amp;"P"&amp;$A9))/1000,(100*RTD("tos.rtd",,"OPEN_INT","."&amp;D$2&amp;D$1&amp;"C"&amp;$A9)*RTD("tos.rtd",,"DELTA","."&amp;D$2&amp;D$1&amp;"C"&amp;$A9)-100*RTD("tos.rtd",,"OPEN_INT","."&amp;D$2&amp;D$1&amp;"P"&amp;$A9)*RTD("tos.rtd",,"DELTA","."&amp;D$2&amp;D$1&amp;"P"&amp;$A9))/1000),0),IF($A$2="VEX",IFERROR(IF($X$1="ABS",($A$4*$A$4*RTD("tos.rtd",,"VOLUME","."&amp;D$2&amp;D$1&amp;"C"&amp;$A9)*RTD("tos.rtd",,"GAMMA","."&amp;D$2&amp;D$1&amp;"C"&amp;$A9)+$A$4*$A$4*RTD("tos.rtd",,"VOLUME","."&amp;D$2&amp;D$1&amp;"P"&amp;$A9)*RTD("tos.rtd",,"GAMMA","."&amp;D$2&amp;D$1&amp;"P"&amp;$A9))/1000000,($A$4*$A$4*RTD("tos.rtd",,"VOLUME","."&amp;D$2&amp;D$1&amp;"C"&amp;$A9)*RTD("tos.rtd",,"GAMMA","."&amp;D$2&amp;D$1&amp;"C"&amp;$A9)-$A$4*$A$4*RTD("tos.rtd",,"VOLUME","."&amp;D$2&amp;D$1&amp;"P"&amp;$A9)*RTD("tos.rtd",,"GAMMA","."&amp;D$2&amp;D$1&amp;"P"&amp;$A9))/1000000),0),IF($A$2="GEX",IFERROR(IF($X$1="ABS",($A$4*$A$4*RTD("tos.rtd",,"OPEN_INT","."&amp;D$2&amp;D$1&amp;"C"&amp;$A9)*RTD("tos.rtd",,"GAMMA","."&amp;D$2&amp;D$1&amp;"C"&amp;$A9)+$A$4*$A$4*RTD("tos.rtd",,"OPEN_INT","."&amp;D$2&amp;D$1&amp;"P"&amp;$A9)*RTD("tos.rtd",,"GAMMA","."&amp;D$2&amp;D$1&amp;"P"&amp;$A9))/1000000,($A$4*$A$4*RTD("tos.rtd",,"OPEN_INT","."&amp;D$2&amp;D$1&amp;"C"&amp;$A9)*RTD("tos.rtd",,"GAMMA","."&amp;D$2&amp;D$1&amp;"C"&amp;$A9)-$A$4*$A$4*RTD("tos.rtd",,"OPEN_INT","."&amp;D$2&amp;D$1&amp;"P"&amp;$A9)*RTD("tos.rtd",,"GAMMA","."&amp;D$2&amp;D$1&amp;"P"&amp;$A9))/1000000),0),IF($A$2="SKEW",IFERROR(VALUE(IF(RTD("tos.rtd",,"IMPL_VOL","."&amp;D$2&amp;D$1&amp;"P"&amp;$A9)="N/A",0,RTD("tos.rtd",,"IMPL_VOL","."&amp;D$2&amp;D$1&amp;"P"&amp;$A9))),0)-IFERROR(VALUE(IF(RTD("tos.rtd",,"IMPL_VOL","."&amp;D$2&amp;D$1&amp;"C"&amp;$A9)="N/A",0,RTD("tos.rtd",,"IMPL_VOL","."&amp;D$2&amp;D$1&amp;"C"&amp;$A9))),0),IF($A$2="MAXPAIN",IF($A$4&gt;$A9,($A$4-$A9)*IF(RTD("tos.rtd",,"OPEN_INT","."&amp;D$2&amp;D$1&amp;"C"&amp;$A9)="N/A",0,RTD("tos.rtd",,"OPEN_INT","."&amp;D$2&amp;D$1&amp;"C"&amp;$A9)),0)+IF($A$4&lt;$A9,($A$5-$A$4)*IF(RTD("tos.rtd",,"OPEN_INT","."&amp;D$2&amp;D$1&amp;"P"&amp;$A9)="N/A",0,RTD("tos.rtd",,"OPEN_INT","."&amp;D$2&amp;D$1&amp;"P"&amp;$A9)),0),IF($X$1="ABS",IF(RTD("tos.rtd",,$A$2,"."&amp;D$2&amp;D$1&amp;"C"&amp;$A9)="N/A",0,RTD("tos.rtd",,$A$2,"."&amp;D$2&amp;D$1&amp;"C"&amp;$A9))+IF(RTD("tos.rtd",,$A$2,"."&amp;D$2&amp;D$1&amp;"P"&amp;$A9)="N/A",0,RTD("tos.rtd",,$A$2,"."&amp;D$2&amp;D$1&amp;"P"&amp;$A9)),IF(RTD("tos.rtd",,$A$2,"."&amp;D$2&amp;D$1&amp;"C"&amp;$A9)="N/A",0,RTD("tos.rtd",,$A$2,"."&amp;D$2&amp;D$1&amp;"C"&amp;$A9))-IF(RTD("tos.rtd",,$A$2,"."&amp;D$2&amp;D$1&amp;"P"&amp;$A9)="N/A",0,RTD("tos.rtd",,$A$2,"."&amp;D$2&amp;D$1&amp;"P"&amp;$A9))))))))))</f>
        <v>0</v>
      </c>
      <c r="E9" s="12">
        <f ca="1">IF($A$2="PREMIUM_OI",IFERROR(IF($X$1="ABS",(100*RTD("tos.rtd",,"OPEN_INT","."&amp;E$2&amp;E$1&amp;"C"&amp;$A9)*RTD("tos.rtd",,"LAST","."&amp;E$2&amp;E$1&amp;"C"&amp;$A9)+100*RTD("tos.rtd",,"OPEN_INT","."&amp;E$2&amp;E$1&amp;"P"&amp;$A9)*RTD("tos.rtd",,"LAST","."&amp;E$2&amp;E$1&amp;"P"&amp;$A9))/1000000,(100*RTD("tos.rtd",,"OPEN_INT","."&amp;E$2&amp;E$1&amp;"C"&amp;$A9)*RTD("tos.rtd",,"LAST","."&amp;E$2&amp;E$1&amp;"C"&amp;$A9)-100*RTD("tos.rtd",,"OPEN_INT","."&amp;E$2&amp;E$1&amp;"P"&amp;$A9)*RTD("tos.rtd",,"LAST","."&amp;E$2&amp;E$1&amp;"P"&amp;$A9))/1000000),0),IF($A$2="PREMIUM",IFERROR(IF($X$1="ABS",(100*RTD("tos.rtd",,"VOLUME","."&amp;E$2&amp;E$1&amp;"C"&amp;$A9)*RTD("tos.rtd",,"LAST","."&amp;E$2&amp;E$1&amp;"C"&amp;$A9)+100*RTD("tos.rtd",,"VOLUME","."&amp;E$2&amp;E$1&amp;"P"&amp;$A9)*RTD("tos.rtd",,"LAST","."&amp;E$2&amp;E$1&amp;"P"&amp;$A9))/1000000,(100*RTD("tos.rtd",,"VOLUME","."&amp;E$2&amp;E$1&amp;"C"&amp;$A9)*RTD("tos.rtd",,"LAST","."&amp;E$2&amp;E$1&amp;"C"&amp;$A9)-100*RTD("tos.rtd",,"VOLUME","."&amp;E$2&amp;E$1&amp;"P"&amp;$A9)*RTD("tos.rtd",,"LAST","."&amp;E$2&amp;E$1&amp;"P"&amp;$A9))/1000000),0),IF($A$2="DEX",IFERROR(IF($X$1="ABS",(100*RTD("tos.rtd",,"OPEN_INT","."&amp;E$2&amp;E$1&amp;"C"&amp;$A9)*RTD("tos.rtd",,"DELTA","."&amp;E$2&amp;E$1&amp;"C"&amp;$A9)+100*RTD("tos.rtd",,"OPEN_INT","."&amp;E$2&amp;E$1&amp;"P"&amp;$A9)*RTD("tos.rtd",,"DELTA","."&amp;E$2&amp;E$1&amp;"P"&amp;$A9))/1000,(100*RTD("tos.rtd",,"OPEN_INT","."&amp;E$2&amp;E$1&amp;"C"&amp;$A9)*RTD("tos.rtd",,"DELTA","."&amp;E$2&amp;E$1&amp;"C"&amp;$A9)-100*RTD("tos.rtd",,"OPEN_INT","."&amp;E$2&amp;E$1&amp;"P"&amp;$A9)*RTD("tos.rtd",,"DELTA","."&amp;E$2&amp;E$1&amp;"P"&amp;$A9))/1000),0),IF($A$2="VEX",IFERROR(IF($X$1="ABS",($A$4*$A$4*RTD("tos.rtd",,"VOLUME","."&amp;E$2&amp;E$1&amp;"C"&amp;$A9)*RTD("tos.rtd",,"GAMMA","."&amp;E$2&amp;E$1&amp;"C"&amp;$A9)+$A$4*$A$4*RTD("tos.rtd",,"VOLUME","."&amp;E$2&amp;E$1&amp;"P"&amp;$A9)*RTD("tos.rtd",,"GAMMA","."&amp;E$2&amp;E$1&amp;"P"&amp;$A9))/1000000,($A$4*$A$4*RTD("tos.rtd",,"VOLUME","."&amp;E$2&amp;E$1&amp;"C"&amp;$A9)*RTD("tos.rtd",,"GAMMA","."&amp;E$2&amp;E$1&amp;"C"&amp;$A9)-$A$4*$A$4*RTD("tos.rtd",,"VOLUME","."&amp;E$2&amp;E$1&amp;"P"&amp;$A9)*RTD("tos.rtd",,"GAMMA","."&amp;E$2&amp;E$1&amp;"P"&amp;$A9))/1000000),0),IF($A$2="GEX",IFERROR(IF($X$1="ABS",($A$4*$A$4*RTD("tos.rtd",,"OPEN_INT","."&amp;E$2&amp;E$1&amp;"C"&amp;$A9)*RTD("tos.rtd",,"GAMMA","."&amp;E$2&amp;E$1&amp;"C"&amp;$A9)+$A$4*$A$4*RTD("tos.rtd",,"OPEN_INT","."&amp;E$2&amp;E$1&amp;"P"&amp;$A9)*RTD("tos.rtd",,"GAMMA","."&amp;E$2&amp;E$1&amp;"P"&amp;$A9))/1000000,($A$4*$A$4*RTD("tos.rtd",,"OPEN_INT","."&amp;E$2&amp;E$1&amp;"C"&amp;$A9)*RTD("tos.rtd",,"GAMMA","."&amp;E$2&amp;E$1&amp;"C"&amp;$A9)-$A$4*$A$4*RTD("tos.rtd",,"OPEN_INT","."&amp;E$2&amp;E$1&amp;"P"&amp;$A9)*RTD("tos.rtd",,"GAMMA","."&amp;E$2&amp;E$1&amp;"P"&amp;$A9))/1000000),0),IF($A$2="SKEW",IFERROR(VALUE(IF(RTD("tos.rtd",,"IMPL_VOL","."&amp;E$2&amp;E$1&amp;"P"&amp;$A9)="N/A",0,RTD("tos.rtd",,"IMPL_VOL","."&amp;E$2&amp;E$1&amp;"P"&amp;$A9))),0)-IFERROR(VALUE(IF(RTD("tos.rtd",,"IMPL_VOL","."&amp;E$2&amp;E$1&amp;"C"&amp;$A9)="N/A",0,RTD("tos.rtd",,"IMPL_VOL","."&amp;E$2&amp;E$1&amp;"C"&amp;$A9))),0),IF($A$2="MAXPAIN",IF($A$4&gt;$A9,($A$4-$A9)*IF(RTD("tos.rtd",,"OPEN_INT","."&amp;E$2&amp;E$1&amp;"C"&amp;$A9)="N/A",0,RTD("tos.rtd",,"OPEN_INT","."&amp;E$2&amp;E$1&amp;"C"&amp;$A9)),0)+IF($A$4&lt;$A9,($A$5-$A$4)*IF(RTD("tos.rtd",,"OPEN_INT","."&amp;E$2&amp;E$1&amp;"P"&amp;$A9)="N/A",0,RTD("tos.rtd",,"OPEN_INT","."&amp;E$2&amp;E$1&amp;"P"&amp;$A9)),0),IF($X$1="ABS",IF(RTD("tos.rtd",,$A$2,"."&amp;E$2&amp;E$1&amp;"C"&amp;$A9)="N/A",0,RTD("tos.rtd",,$A$2,"."&amp;E$2&amp;E$1&amp;"C"&amp;$A9))+IF(RTD("tos.rtd",,$A$2,"."&amp;E$2&amp;E$1&amp;"P"&amp;$A9)="N/A",0,RTD("tos.rtd",,$A$2,"."&amp;E$2&amp;E$1&amp;"P"&amp;$A9)),IF(RTD("tos.rtd",,$A$2,"."&amp;E$2&amp;E$1&amp;"C"&amp;$A9)="N/A",0,RTD("tos.rtd",,$A$2,"."&amp;E$2&amp;E$1&amp;"C"&amp;$A9))-IF(RTD("tos.rtd",,$A$2,"."&amp;E$2&amp;E$1&amp;"P"&amp;$A9)="N/A",0,RTD("tos.rtd",,$A$2,"."&amp;E$2&amp;E$1&amp;"P"&amp;$A9))))))))))</f>
        <v>0</v>
      </c>
      <c r="F9" s="12">
        <f ca="1">IF($A$2="PREMIUM_OI",IFERROR(IF($X$1="ABS",(100*RTD("tos.rtd",,"OPEN_INT","."&amp;F$2&amp;F$1&amp;"C"&amp;$A9)*RTD("tos.rtd",,"LAST","."&amp;F$2&amp;F$1&amp;"C"&amp;$A9)+100*RTD("tos.rtd",,"OPEN_INT","."&amp;F$2&amp;F$1&amp;"P"&amp;$A9)*RTD("tos.rtd",,"LAST","."&amp;F$2&amp;F$1&amp;"P"&amp;$A9))/1000000,(100*RTD("tos.rtd",,"OPEN_INT","."&amp;F$2&amp;F$1&amp;"C"&amp;$A9)*RTD("tos.rtd",,"LAST","."&amp;F$2&amp;F$1&amp;"C"&amp;$A9)-100*RTD("tos.rtd",,"OPEN_INT","."&amp;F$2&amp;F$1&amp;"P"&amp;$A9)*RTD("tos.rtd",,"LAST","."&amp;F$2&amp;F$1&amp;"P"&amp;$A9))/1000000),0),IF($A$2="PREMIUM",IFERROR(IF($X$1="ABS",(100*RTD("tos.rtd",,"VOLUME","."&amp;F$2&amp;F$1&amp;"C"&amp;$A9)*RTD("tos.rtd",,"LAST","."&amp;F$2&amp;F$1&amp;"C"&amp;$A9)+100*RTD("tos.rtd",,"VOLUME","."&amp;F$2&amp;F$1&amp;"P"&amp;$A9)*RTD("tos.rtd",,"LAST","."&amp;F$2&amp;F$1&amp;"P"&amp;$A9))/1000000,(100*RTD("tos.rtd",,"VOLUME","."&amp;F$2&amp;F$1&amp;"C"&amp;$A9)*RTD("tos.rtd",,"LAST","."&amp;F$2&amp;F$1&amp;"C"&amp;$A9)-100*RTD("tos.rtd",,"VOLUME","."&amp;F$2&amp;F$1&amp;"P"&amp;$A9)*RTD("tos.rtd",,"LAST","."&amp;F$2&amp;F$1&amp;"P"&amp;$A9))/1000000),0),IF($A$2="DEX",IFERROR(IF($X$1="ABS",(100*RTD("tos.rtd",,"OPEN_INT","."&amp;F$2&amp;F$1&amp;"C"&amp;$A9)*RTD("tos.rtd",,"DELTA","."&amp;F$2&amp;F$1&amp;"C"&amp;$A9)+100*RTD("tos.rtd",,"OPEN_INT","."&amp;F$2&amp;F$1&amp;"P"&amp;$A9)*RTD("tos.rtd",,"DELTA","."&amp;F$2&amp;F$1&amp;"P"&amp;$A9))/1000,(100*RTD("tos.rtd",,"OPEN_INT","."&amp;F$2&amp;F$1&amp;"C"&amp;$A9)*RTD("tos.rtd",,"DELTA","."&amp;F$2&amp;F$1&amp;"C"&amp;$A9)-100*RTD("tos.rtd",,"OPEN_INT","."&amp;F$2&amp;F$1&amp;"P"&amp;$A9)*RTD("tos.rtd",,"DELTA","."&amp;F$2&amp;F$1&amp;"P"&amp;$A9))/1000),0),IF($A$2="VEX",IFERROR(IF($X$1="ABS",($A$4*$A$4*RTD("tos.rtd",,"VOLUME","."&amp;F$2&amp;F$1&amp;"C"&amp;$A9)*RTD("tos.rtd",,"GAMMA","."&amp;F$2&amp;F$1&amp;"C"&amp;$A9)+$A$4*$A$4*RTD("tos.rtd",,"VOLUME","."&amp;F$2&amp;F$1&amp;"P"&amp;$A9)*RTD("tos.rtd",,"GAMMA","."&amp;F$2&amp;F$1&amp;"P"&amp;$A9))/1000000,($A$4*$A$4*RTD("tos.rtd",,"VOLUME","."&amp;F$2&amp;F$1&amp;"C"&amp;$A9)*RTD("tos.rtd",,"GAMMA","."&amp;F$2&amp;F$1&amp;"C"&amp;$A9)-$A$4*$A$4*RTD("tos.rtd",,"VOLUME","."&amp;F$2&amp;F$1&amp;"P"&amp;$A9)*RTD("tos.rtd",,"GAMMA","."&amp;F$2&amp;F$1&amp;"P"&amp;$A9))/1000000),0),IF($A$2="GEX",IFERROR(IF($X$1="ABS",($A$4*$A$4*RTD("tos.rtd",,"OPEN_INT","."&amp;F$2&amp;F$1&amp;"C"&amp;$A9)*RTD("tos.rtd",,"GAMMA","."&amp;F$2&amp;F$1&amp;"C"&amp;$A9)+$A$4*$A$4*RTD("tos.rtd",,"OPEN_INT","."&amp;F$2&amp;F$1&amp;"P"&amp;$A9)*RTD("tos.rtd",,"GAMMA","."&amp;F$2&amp;F$1&amp;"P"&amp;$A9))/1000000,($A$4*$A$4*RTD("tos.rtd",,"OPEN_INT","."&amp;F$2&amp;F$1&amp;"C"&amp;$A9)*RTD("tos.rtd",,"GAMMA","."&amp;F$2&amp;F$1&amp;"C"&amp;$A9)-$A$4*$A$4*RTD("tos.rtd",,"OPEN_INT","."&amp;F$2&amp;F$1&amp;"P"&amp;$A9)*RTD("tos.rtd",,"GAMMA","."&amp;F$2&amp;F$1&amp;"P"&amp;$A9))/1000000),0),IF($A$2="SKEW",IFERROR(VALUE(IF(RTD("tos.rtd",,"IMPL_VOL","."&amp;F$2&amp;F$1&amp;"P"&amp;$A9)="N/A",0,RTD("tos.rtd",,"IMPL_VOL","."&amp;F$2&amp;F$1&amp;"P"&amp;$A9))),0)-IFERROR(VALUE(IF(RTD("tos.rtd",,"IMPL_VOL","."&amp;F$2&amp;F$1&amp;"C"&amp;$A9)="N/A",0,RTD("tos.rtd",,"IMPL_VOL","."&amp;F$2&amp;F$1&amp;"C"&amp;$A9))),0),IF($A$2="MAXPAIN",IF($A$4&gt;$A9,($A$4-$A9)*IF(RTD("tos.rtd",,"OPEN_INT","."&amp;F$2&amp;F$1&amp;"C"&amp;$A9)="N/A",0,RTD("tos.rtd",,"OPEN_INT","."&amp;F$2&amp;F$1&amp;"C"&amp;$A9)),0)+IF($A$4&lt;$A9,($A$5-$A$4)*IF(RTD("tos.rtd",,"OPEN_INT","."&amp;F$2&amp;F$1&amp;"P"&amp;$A9)="N/A",0,RTD("tos.rtd",,"OPEN_INT","."&amp;F$2&amp;F$1&amp;"P"&amp;$A9)),0),IF($X$1="ABS",IF(RTD("tos.rtd",,$A$2,"."&amp;F$2&amp;F$1&amp;"C"&amp;$A9)="N/A",0,RTD("tos.rtd",,$A$2,"."&amp;F$2&amp;F$1&amp;"C"&amp;$A9))+IF(RTD("tos.rtd",,$A$2,"."&amp;F$2&amp;F$1&amp;"P"&amp;$A9)="N/A",0,RTD("tos.rtd",,$A$2,"."&amp;F$2&amp;F$1&amp;"P"&amp;$A9)),IF(RTD("tos.rtd",,$A$2,"."&amp;F$2&amp;F$1&amp;"C"&amp;$A9)="N/A",0,RTD("tos.rtd",,$A$2,"."&amp;F$2&amp;F$1&amp;"C"&amp;$A9))-IF(RTD("tos.rtd",,$A$2,"."&amp;F$2&amp;F$1&amp;"P"&amp;$A9)="N/A",0,RTD("tos.rtd",,$A$2,"."&amp;F$2&amp;F$1&amp;"P"&amp;$A9))))))))))</f>
        <v>0</v>
      </c>
      <c r="G9" s="57">
        <f ca="1">IF($A$2="PREMIUM_OI",IFERROR(IF($X$1="ABS",(100*RTD("tos.rtd",,"OPEN_INT","."&amp;G$2&amp;G$1&amp;"C"&amp;$A9)*RTD("tos.rtd",,"LAST","."&amp;G$2&amp;G$1&amp;"C"&amp;$A9)+100*RTD("tos.rtd",,"OPEN_INT","."&amp;G$2&amp;G$1&amp;"P"&amp;$A9)*RTD("tos.rtd",,"LAST","."&amp;G$2&amp;G$1&amp;"P"&amp;$A9))/1000000,(100*RTD("tos.rtd",,"OPEN_INT","."&amp;G$2&amp;G$1&amp;"C"&amp;$A9)*RTD("tos.rtd",,"LAST","."&amp;G$2&amp;G$1&amp;"C"&amp;$A9)-100*RTD("tos.rtd",,"OPEN_INT","."&amp;G$2&amp;G$1&amp;"P"&amp;$A9)*RTD("tos.rtd",,"LAST","."&amp;G$2&amp;G$1&amp;"P"&amp;$A9))/1000000),0),IF($A$2="PREMIUM",IFERROR(IF($X$1="ABS",(100*RTD("tos.rtd",,"VOLUME","."&amp;G$2&amp;G$1&amp;"C"&amp;$A9)*RTD("tos.rtd",,"LAST","."&amp;G$2&amp;G$1&amp;"C"&amp;$A9)+100*RTD("tos.rtd",,"VOLUME","."&amp;G$2&amp;G$1&amp;"P"&amp;$A9)*RTD("tos.rtd",,"LAST","."&amp;G$2&amp;G$1&amp;"P"&amp;$A9))/1000000,(100*RTD("tos.rtd",,"VOLUME","."&amp;G$2&amp;G$1&amp;"C"&amp;$A9)*RTD("tos.rtd",,"LAST","."&amp;G$2&amp;G$1&amp;"C"&amp;$A9)-100*RTD("tos.rtd",,"VOLUME","."&amp;G$2&amp;G$1&amp;"P"&amp;$A9)*RTD("tos.rtd",,"LAST","."&amp;G$2&amp;G$1&amp;"P"&amp;$A9))/1000000),0),IF($A$2="DEX",IFERROR(IF($X$1="ABS",(100*RTD("tos.rtd",,"OPEN_INT","."&amp;G$2&amp;G$1&amp;"C"&amp;$A9)*RTD("tos.rtd",,"DELTA","."&amp;G$2&amp;G$1&amp;"C"&amp;$A9)+100*RTD("tos.rtd",,"OPEN_INT","."&amp;G$2&amp;G$1&amp;"P"&amp;$A9)*RTD("tos.rtd",,"DELTA","."&amp;G$2&amp;G$1&amp;"P"&amp;$A9))/1000,(100*RTD("tos.rtd",,"OPEN_INT","."&amp;G$2&amp;G$1&amp;"C"&amp;$A9)*RTD("tos.rtd",,"DELTA","."&amp;G$2&amp;G$1&amp;"C"&amp;$A9)-100*RTD("tos.rtd",,"OPEN_INT","."&amp;G$2&amp;G$1&amp;"P"&amp;$A9)*RTD("tos.rtd",,"DELTA","."&amp;G$2&amp;G$1&amp;"P"&amp;$A9))/1000),0),IF($A$2="VEX",IFERROR(IF($X$1="ABS",($A$4*$A$4*RTD("tos.rtd",,"VOLUME","."&amp;G$2&amp;G$1&amp;"C"&amp;$A9)*RTD("tos.rtd",,"GAMMA","."&amp;G$2&amp;G$1&amp;"C"&amp;$A9)+$A$4*$A$4*RTD("tos.rtd",,"VOLUME","."&amp;G$2&amp;G$1&amp;"P"&amp;$A9)*RTD("tos.rtd",,"GAMMA","."&amp;G$2&amp;G$1&amp;"P"&amp;$A9))/1000000,($A$4*$A$4*RTD("tos.rtd",,"VOLUME","."&amp;G$2&amp;G$1&amp;"C"&amp;$A9)*RTD("tos.rtd",,"GAMMA","."&amp;G$2&amp;G$1&amp;"C"&amp;$A9)-$A$4*$A$4*RTD("tos.rtd",,"VOLUME","."&amp;G$2&amp;G$1&amp;"P"&amp;$A9)*RTD("tos.rtd",,"GAMMA","."&amp;G$2&amp;G$1&amp;"P"&amp;$A9))/1000000),0),IF($A$2="GEX",IFERROR(IF($X$1="ABS",($A$4*$A$4*RTD("tos.rtd",,"OPEN_INT","."&amp;G$2&amp;G$1&amp;"C"&amp;$A9)*RTD("tos.rtd",,"GAMMA","."&amp;G$2&amp;G$1&amp;"C"&amp;$A9)+$A$4*$A$4*RTD("tos.rtd",,"OPEN_INT","."&amp;G$2&amp;G$1&amp;"P"&amp;$A9)*RTD("tos.rtd",,"GAMMA","."&amp;G$2&amp;G$1&amp;"P"&amp;$A9))/1000000,($A$4*$A$4*RTD("tos.rtd",,"OPEN_INT","."&amp;G$2&amp;G$1&amp;"C"&amp;$A9)*RTD("tos.rtd",,"GAMMA","."&amp;G$2&amp;G$1&amp;"C"&amp;$A9)-$A$4*$A$4*RTD("tos.rtd",,"OPEN_INT","."&amp;G$2&amp;G$1&amp;"P"&amp;$A9)*RTD("tos.rtd",,"GAMMA","."&amp;G$2&amp;G$1&amp;"P"&amp;$A9))/1000000),0),IF($A$2="SKEW",IFERROR(VALUE(IF(RTD("tos.rtd",,"IMPL_VOL","."&amp;G$2&amp;G$1&amp;"P"&amp;$A9)="N/A",0,RTD("tos.rtd",,"IMPL_VOL","."&amp;G$2&amp;G$1&amp;"P"&amp;$A9))),0)-IFERROR(VALUE(IF(RTD("tos.rtd",,"IMPL_VOL","."&amp;G$2&amp;G$1&amp;"C"&amp;$A9)="N/A",0,RTD("tos.rtd",,"IMPL_VOL","."&amp;G$2&amp;G$1&amp;"C"&amp;$A9))),0),IF($A$2="MAXPAIN",IF($A$4&gt;$A9,($A$4-$A9)*IF(RTD("tos.rtd",,"OPEN_INT","."&amp;G$2&amp;G$1&amp;"C"&amp;$A9)="N/A",0,RTD("tos.rtd",,"OPEN_INT","."&amp;G$2&amp;G$1&amp;"C"&amp;$A9)),0)+IF($A$4&lt;$A9,($A$5-$A$4)*IF(RTD("tos.rtd",,"OPEN_INT","."&amp;G$2&amp;G$1&amp;"P"&amp;$A9)="N/A",0,RTD("tos.rtd",,"OPEN_INT","."&amp;G$2&amp;G$1&amp;"P"&amp;$A9)),0),IF($X$1="ABS",IF(RTD("tos.rtd",,$A$2,"."&amp;G$2&amp;G$1&amp;"C"&amp;$A9)="N/A",0,RTD("tos.rtd",,$A$2,"."&amp;G$2&amp;G$1&amp;"C"&amp;$A9))+IF(RTD("tos.rtd",,$A$2,"."&amp;G$2&amp;G$1&amp;"P"&amp;$A9)="N/A",0,RTD("tos.rtd",,$A$2,"."&amp;G$2&amp;G$1&amp;"P"&amp;$A9)),IF(RTD("tos.rtd",,$A$2,"."&amp;G$2&amp;G$1&amp;"C"&amp;$A9)="N/A",0,RTD("tos.rtd",,$A$2,"."&amp;G$2&amp;G$1&amp;"C"&amp;$A9))-IF(RTD("tos.rtd",,$A$2,"."&amp;G$2&amp;G$1&amp;"P"&amp;$A9)="N/A",0,RTD("tos.rtd",,$A$2,"."&amp;G$2&amp;G$1&amp;"P"&amp;$A9))))))))))</f>
        <v>0</v>
      </c>
      <c r="H9" s="14">
        <f ca="1">IF($A$2="PREMIUM_OI",IFERROR(IF($X$1="ABS",(100*RTD("tos.rtd",,"OPEN_INT","."&amp;H$2&amp;H$1&amp;"C"&amp;$A9)*RTD("tos.rtd",,"LAST","."&amp;H$2&amp;H$1&amp;"C"&amp;$A9)+100*RTD("tos.rtd",,"OPEN_INT","."&amp;H$2&amp;H$1&amp;"P"&amp;$A9)*RTD("tos.rtd",,"LAST","."&amp;H$2&amp;H$1&amp;"P"&amp;$A9))/1000000,(100*RTD("tos.rtd",,"OPEN_INT","."&amp;H$2&amp;H$1&amp;"C"&amp;$A9)*RTD("tos.rtd",,"LAST","."&amp;H$2&amp;H$1&amp;"C"&amp;$A9)-100*RTD("tos.rtd",,"OPEN_INT","."&amp;H$2&amp;H$1&amp;"P"&amp;$A9)*RTD("tos.rtd",,"LAST","."&amp;H$2&amp;H$1&amp;"P"&amp;$A9))/1000000),0),IF($A$2="PREMIUM",IFERROR(IF($X$1="ABS",(100*RTD("tos.rtd",,"VOLUME","."&amp;H$2&amp;H$1&amp;"C"&amp;$A9)*RTD("tos.rtd",,"LAST","."&amp;H$2&amp;H$1&amp;"C"&amp;$A9)+100*RTD("tos.rtd",,"VOLUME","."&amp;H$2&amp;H$1&amp;"P"&amp;$A9)*RTD("tos.rtd",,"LAST","."&amp;H$2&amp;H$1&amp;"P"&amp;$A9))/1000000,(100*RTD("tos.rtd",,"VOLUME","."&amp;H$2&amp;H$1&amp;"C"&amp;$A9)*RTD("tos.rtd",,"LAST","."&amp;H$2&amp;H$1&amp;"C"&amp;$A9)-100*RTD("tos.rtd",,"VOLUME","."&amp;H$2&amp;H$1&amp;"P"&amp;$A9)*RTD("tos.rtd",,"LAST","."&amp;H$2&amp;H$1&amp;"P"&amp;$A9))/1000000),0),IF($A$2="DEX",IFERROR(IF($X$1="ABS",(100*RTD("tos.rtd",,"OPEN_INT","."&amp;H$2&amp;H$1&amp;"C"&amp;$A9)*RTD("tos.rtd",,"DELTA","."&amp;H$2&amp;H$1&amp;"C"&amp;$A9)+100*RTD("tos.rtd",,"OPEN_INT","."&amp;H$2&amp;H$1&amp;"P"&amp;$A9)*RTD("tos.rtd",,"DELTA","."&amp;H$2&amp;H$1&amp;"P"&amp;$A9))/1000,(100*RTD("tos.rtd",,"OPEN_INT","."&amp;H$2&amp;H$1&amp;"C"&amp;$A9)*RTD("tos.rtd",,"DELTA","."&amp;H$2&amp;H$1&amp;"C"&amp;$A9)-100*RTD("tos.rtd",,"OPEN_INT","."&amp;H$2&amp;H$1&amp;"P"&amp;$A9)*RTD("tos.rtd",,"DELTA","."&amp;H$2&amp;H$1&amp;"P"&amp;$A9))/1000),0),IF($A$2="VEX",IFERROR(IF($X$1="ABS",($A$4*$A$4*RTD("tos.rtd",,"VOLUME","."&amp;H$2&amp;H$1&amp;"C"&amp;$A9)*RTD("tos.rtd",,"GAMMA","."&amp;H$2&amp;H$1&amp;"C"&amp;$A9)+$A$4*$A$4*RTD("tos.rtd",,"VOLUME","."&amp;H$2&amp;H$1&amp;"P"&amp;$A9)*RTD("tos.rtd",,"GAMMA","."&amp;H$2&amp;H$1&amp;"P"&amp;$A9))/1000000,($A$4*$A$4*RTD("tos.rtd",,"VOLUME","."&amp;H$2&amp;H$1&amp;"C"&amp;$A9)*RTD("tos.rtd",,"GAMMA","."&amp;H$2&amp;H$1&amp;"C"&amp;$A9)-$A$4*$A$4*RTD("tos.rtd",,"VOLUME","."&amp;H$2&amp;H$1&amp;"P"&amp;$A9)*RTD("tos.rtd",,"GAMMA","."&amp;H$2&amp;H$1&amp;"P"&amp;$A9))/1000000),0),IF($A$2="GEX",IFERROR(IF($X$1="ABS",($A$4*$A$4*RTD("tos.rtd",,"OPEN_INT","."&amp;H$2&amp;H$1&amp;"C"&amp;$A9)*RTD("tos.rtd",,"GAMMA","."&amp;H$2&amp;H$1&amp;"C"&amp;$A9)+$A$4*$A$4*RTD("tos.rtd",,"OPEN_INT","."&amp;H$2&amp;H$1&amp;"P"&amp;$A9)*RTD("tos.rtd",,"GAMMA","."&amp;H$2&amp;H$1&amp;"P"&amp;$A9))/1000000,($A$4*$A$4*RTD("tos.rtd",,"OPEN_INT","."&amp;H$2&amp;H$1&amp;"C"&amp;$A9)*RTD("tos.rtd",,"GAMMA","."&amp;H$2&amp;H$1&amp;"C"&amp;$A9)-$A$4*$A$4*RTD("tos.rtd",,"OPEN_INT","."&amp;H$2&amp;H$1&amp;"P"&amp;$A9)*RTD("tos.rtd",,"GAMMA","."&amp;H$2&amp;H$1&amp;"P"&amp;$A9))/1000000),0),IF($A$2="SKEW",IFERROR(VALUE(IF(RTD("tos.rtd",,"IMPL_VOL","."&amp;H$2&amp;H$1&amp;"P"&amp;$A9)="N/A",0,RTD("tos.rtd",,"IMPL_VOL","."&amp;H$2&amp;H$1&amp;"P"&amp;$A9))),0)-IFERROR(VALUE(IF(RTD("tos.rtd",,"IMPL_VOL","."&amp;H$2&amp;H$1&amp;"C"&amp;$A9)="N/A",0,RTD("tos.rtd",,"IMPL_VOL","."&amp;H$2&amp;H$1&amp;"C"&amp;$A9))),0),IF($A$2="MAXPAIN",IF($A$4&gt;$A9,($A$4-$A9)*IF(RTD("tos.rtd",,"OPEN_INT","."&amp;H$2&amp;H$1&amp;"C"&amp;$A9)="N/A",0,RTD("tos.rtd",,"OPEN_INT","."&amp;H$2&amp;H$1&amp;"C"&amp;$A9)),0)+IF($A$4&lt;$A9,($A$5-$A$4)*IF(RTD("tos.rtd",,"OPEN_INT","."&amp;H$2&amp;H$1&amp;"P"&amp;$A9)="N/A",0,RTD("tos.rtd",,"OPEN_INT","."&amp;H$2&amp;H$1&amp;"P"&amp;$A9)),0),IF($X$1="ABS",IF(RTD("tos.rtd",,$A$2,"."&amp;H$2&amp;H$1&amp;"C"&amp;$A9)="N/A",0,RTD("tos.rtd",,$A$2,"."&amp;H$2&amp;H$1&amp;"C"&amp;$A9))+IF(RTD("tos.rtd",,$A$2,"."&amp;H$2&amp;H$1&amp;"P"&amp;$A9)="N/A",0,RTD("tos.rtd",,$A$2,"."&amp;H$2&amp;H$1&amp;"P"&amp;$A9)),IF(RTD("tos.rtd",,$A$2,"."&amp;H$2&amp;H$1&amp;"C"&amp;$A9)="N/A",0,RTD("tos.rtd",,$A$2,"."&amp;H$2&amp;H$1&amp;"C"&amp;$A9))-IF(RTD("tos.rtd",,$A$2,"."&amp;H$2&amp;H$1&amp;"P"&amp;$A9)="N/A",0,RTD("tos.rtd",,$A$2,"."&amp;H$2&amp;H$1&amp;"P"&amp;$A9))))))))))</f>
        <v>0</v>
      </c>
      <c r="I9" s="12">
        <f ca="1">IF($A$2="PREMIUM_OI",IFERROR(IF($X$1="ABS",(100*RTD("tos.rtd",,"OPEN_INT","."&amp;I$2&amp;I$1&amp;"C"&amp;$A9)*RTD("tos.rtd",,"LAST","."&amp;I$2&amp;I$1&amp;"C"&amp;$A9)+100*RTD("tos.rtd",,"OPEN_INT","."&amp;I$2&amp;I$1&amp;"P"&amp;$A9)*RTD("tos.rtd",,"LAST","."&amp;I$2&amp;I$1&amp;"P"&amp;$A9))/1000000,(100*RTD("tos.rtd",,"OPEN_INT","."&amp;I$2&amp;I$1&amp;"C"&amp;$A9)*RTD("tos.rtd",,"LAST","."&amp;I$2&amp;I$1&amp;"C"&amp;$A9)-100*RTD("tos.rtd",,"OPEN_INT","."&amp;I$2&amp;I$1&amp;"P"&amp;$A9)*RTD("tos.rtd",,"LAST","."&amp;I$2&amp;I$1&amp;"P"&amp;$A9))/1000000),0),IF($A$2="PREMIUM",IFERROR(IF($X$1="ABS",(100*RTD("tos.rtd",,"VOLUME","."&amp;I$2&amp;I$1&amp;"C"&amp;$A9)*RTD("tos.rtd",,"LAST","."&amp;I$2&amp;I$1&amp;"C"&amp;$A9)+100*RTD("tos.rtd",,"VOLUME","."&amp;I$2&amp;I$1&amp;"P"&amp;$A9)*RTD("tos.rtd",,"LAST","."&amp;I$2&amp;I$1&amp;"P"&amp;$A9))/1000000,(100*RTD("tos.rtd",,"VOLUME","."&amp;I$2&amp;I$1&amp;"C"&amp;$A9)*RTD("tos.rtd",,"LAST","."&amp;I$2&amp;I$1&amp;"C"&amp;$A9)-100*RTD("tos.rtd",,"VOLUME","."&amp;I$2&amp;I$1&amp;"P"&amp;$A9)*RTD("tos.rtd",,"LAST","."&amp;I$2&amp;I$1&amp;"P"&amp;$A9))/1000000),0),IF($A$2="DEX",IFERROR(IF($X$1="ABS",(100*RTD("tos.rtd",,"OPEN_INT","."&amp;I$2&amp;I$1&amp;"C"&amp;$A9)*RTD("tos.rtd",,"DELTA","."&amp;I$2&amp;I$1&amp;"C"&amp;$A9)+100*RTD("tos.rtd",,"OPEN_INT","."&amp;I$2&amp;I$1&amp;"P"&amp;$A9)*RTD("tos.rtd",,"DELTA","."&amp;I$2&amp;I$1&amp;"P"&amp;$A9))/1000,(100*RTD("tos.rtd",,"OPEN_INT","."&amp;I$2&amp;I$1&amp;"C"&amp;$A9)*RTD("tos.rtd",,"DELTA","."&amp;I$2&amp;I$1&amp;"C"&amp;$A9)-100*RTD("tos.rtd",,"OPEN_INT","."&amp;I$2&amp;I$1&amp;"P"&amp;$A9)*RTD("tos.rtd",,"DELTA","."&amp;I$2&amp;I$1&amp;"P"&amp;$A9))/1000),0),IF($A$2="VEX",IFERROR(IF($X$1="ABS",($A$4*$A$4*RTD("tos.rtd",,"VOLUME","."&amp;I$2&amp;I$1&amp;"C"&amp;$A9)*RTD("tos.rtd",,"GAMMA","."&amp;I$2&amp;I$1&amp;"C"&amp;$A9)+$A$4*$A$4*RTD("tos.rtd",,"VOLUME","."&amp;I$2&amp;I$1&amp;"P"&amp;$A9)*RTD("tos.rtd",,"GAMMA","."&amp;I$2&amp;I$1&amp;"P"&amp;$A9))/1000000,($A$4*$A$4*RTD("tos.rtd",,"VOLUME","."&amp;I$2&amp;I$1&amp;"C"&amp;$A9)*RTD("tos.rtd",,"GAMMA","."&amp;I$2&amp;I$1&amp;"C"&amp;$A9)-$A$4*$A$4*RTD("tos.rtd",,"VOLUME","."&amp;I$2&amp;I$1&amp;"P"&amp;$A9)*RTD("tos.rtd",,"GAMMA","."&amp;I$2&amp;I$1&amp;"P"&amp;$A9))/1000000),0),IF($A$2="GEX",IFERROR(IF($X$1="ABS",($A$4*$A$4*RTD("tos.rtd",,"OPEN_INT","."&amp;I$2&amp;I$1&amp;"C"&amp;$A9)*RTD("tos.rtd",,"GAMMA","."&amp;I$2&amp;I$1&amp;"C"&amp;$A9)+$A$4*$A$4*RTD("tos.rtd",,"OPEN_INT","."&amp;I$2&amp;I$1&amp;"P"&amp;$A9)*RTD("tos.rtd",,"GAMMA","."&amp;I$2&amp;I$1&amp;"P"&amp;$A9))/1000000,($A$4*$A$4*RTD("tos.rtd",,"OPEN_INT","."&amp;I$2&amp;I$1&amp;"C"&amp;$A9)*RTD("tos.rtd",,"GAMMA","."&amp;I$2&amp;I$1&amp;"C"&amp;$A9)-$A$4*$A$4*RTD("tos.rtd",,"OPEN_INT","."&amp;I$2&amp;I$1&amp;"P"&amp;$A9)*RTD("tos.rtd",,"GAMMA","."&amp;I$2&amp;I$1&amp;"P"&amp;$A9))/1000000),0),IF($A$2="SKEW",IFERROR(VALUE(IF(RTD("tos.rtd",,"IMPL_VOL","."&amp;I$2&amp;I$1&amp;"P"&amp;$A9)="N/A",0,RTD("tos.rtd",,"IMPL_VOL","."&amp;I$2&amp;I$1&amp;"P"&amp;$A9))),0)-IFERROR(VALUE(IF(RTD("tos.rtd",,"IMPL_VOL","."&amp;I$2&amp;I$1&amp;"C"&amp;$A9)="N/A",0,RTD("tos.rtd",,"IMPL_VOL","."&amp;I$2&amp;I$1&amp;"C"&amp;$A9))),0),IF($A$2="MAXPAIN",IF($A$4&gt;$A9,($A$4-$A9)*IF(RTD("tos.rtd",,"OPEN_INT","."&amp;I$2&amp;I$1&amp;"C"&amp;$A9)="N/A",0,RTD("tos.rtd",,"OPEN_INT","."&amp;I$2&amp;I$1&amp;"C"&amp;$A9)),0)+IF($A$4&lt;$A9,($A$5-$A$4)*IF(RTD("tos.rtd",,"OPEN_INT","."&amp;I$2&amp;I$1&amp;"P"&amp;$A9)="N/A",0,RTD("tos.rtd",,"OPEN_INT","."&amp;I$2&amp;I$1&amp;"P"&amp;$A9)),0),IF($X$1="ABS",IF(RTD("tos.rtd",,$A$2,"."&amp;I$2&amp;I$1&amp;"C"&amp;$A9)="N/A",0,RTD("tos.rtd",,$A$2,"."&amp;I$2&amp;I$1&amp;"C"&amp;$A9))+IF(RTD("tos.rtd",,$A$2,"."&amp;I$2&amp;I$1&amp;"P"&amp;$A9)="N/A",0,RTD("tos.rtd",,$A$2,"."&amp;I$2&amp;I$1&amp;"P"&amp;$A9)),IF(RTD("tos.rtd",,$A$2,"."&amp;I$2&amp;I$1&amp;"C"&amp;$A9)="N/A",0,RTD("tos.rtd",,$A$2,"."&amp;I$2&amp;I$1&amp;"C"&amp;$A9))-IF(RTD("tos.rtd",,$A$2,"."&amp;I$2&amp;I$1&amp;"P"&amp;$A9)="N/A",0,RTD("tos.rtd",,$A$2,"."&amp;I$2&amp;I$1&amp;"P"&amp;$A9))))))))))</f>
        <v>0</v>
      </c>
      <c r="J9" s="12">
        <f ca="1">IF($A$2="PREMIUM_OI",IFERROR(IF($X$1="ABS",(100*RTD("tos.rtd",,"OPEN_INT","."&amp;J$2&amp;J$1&amp;"C"&amp;$A9)*RTD("tos.rtd",,"LAST","."&amp;J$2&amp;J$1&amp;"C"&amp;$A9)+100*RTD("tos.rtd",,"OPEN_INT","."&amp;J$2&amp;J$1&amp;"P"&amp;$A9)*RTD("tos.rtd",,"LAST","."&amp;J$2&amp;J$1&amp;"P"&amp;$A9))/1000000,(100*RTD("tos.rtd",,"OPEN_INT","."&amp;J$2&amp;J$1&amp;"C"&amp;$A9)*RTD("tos.rtd",,"LAST","."&amp;J$2&amp;J$1&amp;"C"&amp;$A9)-100*RTD("tos.rtd",,"OPEN_INT","."&amp;J$2&amp;J$1&amp;"P"&amp;$A9)*RTD("tos.rtd",,"LAST","."&amp;J$2&amp;J$1&amp;"P"&amp;$A9))/1000000),0),IF($A$2="PREMIUM",IFERROR(IF($X$1="ABS",(100*RTD("tos.rtd",,"VOLUME","."&amp;J$2&amp;J$1&amp;"C"&amp;$A9)*RTD("tos.rtd",,"LAST","."&amp;J$2&amp;J$1&amp;"C"&amp;$A9)+100*RTD("tos.rtd",,"VOLUME","."&amp;J$2&amp;J$1&amp;"P"&amp;$A9)*RTD("tos.rtd",,"LAST","."&amp;J$2&amp;J$1&amp;"P"&amp;$A9))/1000000,(100*RTD("tos.rtd",,"VOLUME","."&amp;J$2&amp;J$1&amp;"C"&amp;$A9)*RTD("tos.rtd",,"LAST","."&amp;J$2&amp;J$1&amp;"C"&amp;$A9)-100*RTD("tos.rtd",,"VOLUME","."&amp;J$2&amp;J$1&amp;"P"&amp;$A9)*RTD("tos.rtd",,"LAST","."&amp;J$2&amp;J$1&amp;"P"&amp;$A9))/1000000),0),IF($A$2="DEX",IFERROR(IF($X$1="ABS",(100*RTD("tos.rtd",,"OPEN_INT","."&amp;J$2&amp;J$1&amp;"C"&amp;$A9)*RTD("tos.rtd",,"DELTA","."&amp;J$2&amp;J$1&amp;"C"&amp;$A9)+100*RTD("tos.rtd",,"OPEN_INT","."&amp;J$2&amp;J$1&amp;"P"&amp;$A9)*RTD("tos.rtd",,"DELTA","."&amp;J$2&amp;J$1&amp;"P"&amp;$A9))/1000,(100*RTD("tos.rtd",,"OPEN_INT","."&amp;J$2&amp;J$1&amp;"C"&amp;$A9)*RTD("tos.rtd",,"DELTA","."&amp;J$2&amp;J$1&amp;"C"&amp;$A9)-100*RTD("tos.rtd",,"OPEN_INT","."&amp;J$2&amp;J$1&amp;"P"&amp;$A9)*RTD("tos.rtd",,"DELTA","."&amp;J$2&amp;J$1&amp;"P"&amp;$A9))/1000),0),IF($A$2="VEX",IFERROR(IF($X$1="ABS",($A$4*$A$4*RTD("tos.rtd",,"VOLUME","."&amp;J$2&amp;J$1&amp;"C"&amp;$A9)*RTD("tos.rtd",,"GAMMA","."&amp;J$2&amp;J$1&amp;"C"&amp;$A9)+$A$4*$A$4*RTD("tos.rtd",,"VOLUME","."&amp;J$2&amp;J$1&amp;"P"&amp;$A9)*RTD("tos.rtd",,"GAMMA","."&amp;J$2&amp;J$1&amp;"P"&amp;$A9))/1000000,($A$4*$A$4*RTD("tos.rtd",,"VOLUME","."&amp;J$2&amp;J$1&amp;"C"&amp;$A9)*RTD("tos.rtd",,"GAMMA","."&amp;J$2&amp;J$1&amp;"C"&amp;$A9)-$A$4*$A$4*RTD("tos.rtd",,"VOLUME","."&amp;J$2&amp;J$1&amp;"P"&amp;$A9)*RTD("tos.rtd",,"GAMMA","."&amp;J$2&amp;J$1&amp;"P"&amp;$A9))/1000000),0),IF($A$2="GEX",IFERROR(IF($X$1="ABS",($A$4*$A$4*RTD("tos.rtd",,"OPEN_INT","."&amp;J$2&amp;J$1&amp;"C"&amp;$A9)*RTD("tos.rtd",,"GAMMA","."&amp;J$2&amp;J$1&amp;"C"&amp;$A9)+$A$4*$A$4*RTD("tos.rtd",,"OPEN_INT","."&amp;J$2&amp;J$1&amp;"P"&amp;$A9)*RTD("tos.rtd",,"GAMMA","."&amp;J$2&amp;J$1&amp;"P"&amp;$A9))/1000000,($A$4*$A$4*RTD("tos.rtd",,"OPEN_INT","."&amp;J$2&amp;J$1&amp;"C"&amp;$A9)*RTD("tos.rtd",,"GAMMA","."&amp;J$2&amp;J$1&amp;"C"&amp;$A9)-$A$4*$A$4*RTD("tos.rtd",,"OPEN_INT","."&amp;J$2&amp;J$1&amp;"P"&amp;$A9)*RTD("tos.rtd",,"GAMMA","."&amp;J$2&amp;J$1&amp;"P"&amp;$A9))/1000000),0),IF($A$2="SKEW",IFERROR(VALUE(IF(RTD("tos.rtd",,"IMPL_VOL","."&amp;J$2&amp;J$1&amp;"P"&amp;$A9)="N/A",0,RTD("tos.rtd",,"IMPL_VOL","."&amp;J$2&amp;J$1&amp;"P"&amp;$A9))),0)-IFERROR(VALUE(IF(RTD("tos.rtd",,"IMPL_VOL","."&amp;J$2&amp;J$1&amp;"C"&amp;$A9)="N/A",0,RTD("tos.rtd",,"IMPL_VOL","."&amp;J$2&amp;J$1&amp;"C"&amp;$A9))),0),IF($A$2="MAXPAIN",IF($A$4&gt;$A9,($A$4-$A9)*IF(RTD("tos.rtd",,"OPEN_INT","."&amp;J$2&amp;J$1&amp;"C"&amp;$A9)="N/A",0,RTD("tos.rtd",,"OPEN_INT","."&amp;J$2&amp;J$1&amp;"C"&amp;$A9)),0)+IF($A$4&lt;$A9,($A$5-$A$4)*IF(RTD("tos.rtd",,"OPEN_INT","."&amp;J$2&amp;J$1&amp;"P"&amp;$A9)="N/A",0,RTD("tos.rtd",,"OPEN_INT","."&amp;J$2&amp;J$1&amp;"P"&amp;$A9)),0),IF($X$1="ABS",IF(RTD("tos.rtd",,$A$2,"."&amp;J$2&amp;J$1&amp;"C"&amp;$A9)="N/A",0,RTD("tos.rtd",,$A$2,"."&amp;J$2&amp;J$1&amp;"C"&amp;$A9))+IF(RTD("tos.rtd",,$A$2,"."&amp;J$2&amp;J$1&amp;"P"&amp;$A9)="N/A",0,RTD("tos.rtd",,$A$2,"."&amp;J$2&amp;J$1&amp;"P"&amp;$A9)),IF(RTD("tos.rtd",,$A$2,"."&amp;J$2&amp;J$1&amp;"C"&amp;$A9)="N/A",0,RTD("tos.rtd",,$A$2,"."&amp;J$2&amp;J$1&amp;"C"&amp;$A9))-IF(RTD("tos.rtd",,$A$2,"."&amp;J$2&amp;J$1&amp;"P"&amp;$A9)="N/A",0,RTD("tos.rtd",,$A$2,"."&amp;J$2&amp;J$1&amp;"P"&amp;$A9))))))))))</f>
        <v>0</v>
      </c>
      <c r="K9" s="12">
        <f ca="1">IF($A$2="PREMIUM_OI",IFERROR(IF($X$1="ABS",(100*RTD("tos.rtd",,"OPEN_INT","."&amp;K$2&amp;K$1&amp;"C"&amp;$A9)*RTD("tos.rtd",,"LAST","."&amp;K$2&amp;K$1&amp;"C"&amp;$A9)+100*RTD("tos.rtd",,"OPEN_INT","."&amp;K$2&amp;K$1&amp;"P"&amp;$A9)*RTD("tos.rtd",,"LAST","."&amp;K$2&amp;K$1&amp;"P"&amp;$A9))/1000000,(100*RTD("tos.rtd",,"OPEN_INT","."&amp;K$2&amp;K$1&amp;"C"&amp;$A9)*RTD("tos.rtd",,"LAST","."&amp;K$2&amp;K$1&amp;"C"&amp;$A9)-100*RTD("tos.rtd",,"OPEN_INT","."&amp;K$2&amp;K$1&amp;"P"&amp;$A9)*RTD("tos.rtd",,"LAST","."&amp;K$2&amp;K$1&amp;"P"&amp;$A9))/1000000),0),IF($A$2="PREMIUM",IFERROR(IF($X$1="ABS",(100*RTD("tos.rtd",,"VOLUME","."&amp;K$2&amp;K$1&amp;"C"&amp;$A9)*RTD("tos.rtd",,"LAST","."&amp;K$2&amp;K$1&amp;"C"&amp;$A9)+100*RTD("tos.rtd",,"VOLUME","."&amp;K$2&amp;K$1&amp;"P"&amp;$A9)*RTD("tos.rtd",,"LAST","."&amp;K$2&amp;K$1&amp;"P"&amp;$A9))/1000000,(100*RTD("tos.rtd",,"VOLUME","."&amp;K$2&amp;K$1&amp;"C"&amp;$A9)*RTD("tos.rtd",,"LAST","."&amp;K$2&amp;K$1&amp;"C"&amp;$A9)-100*RTD("tos.rtd",,"VOLUME","."&amp;K$2&amp;K$1&amp;"P"&amp;$A9)*RTD("tos.rtd",,"LAST","."&amp;K$2&amp;K$1&amp;"P"&amp;$A9))/1000000),0),IF($A$2="DEX",IFERROR(IF($X$1="ABS",(100*RTD("tos.rtd",,"OPEN_INT","."&amp;K$2&amp;K$1&amp;"C"&amp;$A9)*RTD("tos.rtd",,"DELTA","."&amp;K$2&amp;K$1&amp;"C"&amp;$A9)+100*RTD("tos.rtd",,"OPEN_INT","."&amp;K$2&amp;K$1&amp;"P"&amp;$A9)*RTD("tos.rtd",,"DELTA","."&amp;K$2&amp;K$1&amp;"P"&amp;$A9))/1000,(100*RTD("tos.rtd",,"OPEN_INT","."&amp;K$2&amp;K$1&amp;"C"&amp;$A9)*RTD("tos.rtd",,"DELTA","."&amp;K$2&amp;K$1&amp;"C"&amp;$A9)-100*RTD("tos.rtd",,"OPEN_INT","."&amp;K$2&amp;K$1&amp;"P"&amp;$A9)*RTD("tos.rtd",,"DELTA","."&amp;K$2&amp;K$1&amp;"P"&amp;$A9))/1000),0),IF($A$2="VEX",IFERROR(IF($X$1="ABS",($A$4*$A$4*RTD("tos.rtd",,"VOLUME","."&amp;K$2&amp;K$1&amp;"C"&amp;$A9)*RTD("tos.rtd",,"GAMMA","."&amp;K$2&amp;K$1&amp;"C"&amp;$A9)+$A$4*$A$4*RTD("tos.rtd",,"VOLUME","."&amp;K$2&amp;K$1&amp;"P"&amp;$A9)*RTD("tos.rtd",,"GAMMA","."&amp;K$2&amp;K$1&amp;"P"&amp;$A9))/1000000,($A$4*$A$4*RTD("tos.rtd",,"VOLUME","."&amp;K$2&amp;K$1&amp;"C"&amp;$A9)*RTD("tos.rtd",,"GAMMA","."&amp;K$2&amp;K$1&amp;"C"&amp;$A9)-$A$4*$A$4*RTD("tos.rtd",,"VOLUME","."&amp;K$2&amp;K$1&amp;"P"&amp;$A9)*RTD("tos.rtd",,"GAMMA","."&amp;K$2&amp;K$1&amp;"P"&amp;$A9))/1000000),0),IF($A$2="GEX",IFERROR(IF($X$1="ABS",($A$4*$A$4*RTD("tos.rtd",,"OPEN_INT","."&amp;K$2&amp;K$1&amp;"C"&amp;$A9)*RTD("tos.rtd",,"GAMMA","."&amp;K$2&amp;K$1&amp;"C"&amp;$A9)+$A$4*$A$4*RTD("tos.rtd",,"OPEN_INT","."&amp;K$2&amp;K$1&amp;"P"&amp;$A9)*RTD("tos.rtd",,"GAMMA","."&amp;K$2&amp;K$1&amp;"P"&amp;$A9))/1000000,($A$4*$A$4*RTD("tos.rtd",,"OPEN_INT","."&amp;K$2&amp;K$1&amp;"C"&amp;$A9)*RTD("tos.rtd",,"GAMMA","."&amp;K$2&amp;K$1&amp;"C"&amp;$A9)-$A$4*$A$4*RTD("tos.rtd",,"OPEN_INT","."&amp;K$2&amp;K$1&amp;"P"&amp;$A9)*RTD("tos.rtd",,"GAMMA","."&amp;K$2&amp;K$1&amp;"P"&amp;$A9))/1000000),0),IF($A$2="SKEW",IFERROR(VALUE(IF(RTD("tos.rtd",,"IMPL_VOL","."&amp;K$2&amp;K$1&amp;"P"&amp;$A9)="N/A",0,RTD("tos.rtd",,"IMPL_VOL","."&amp;K$2&amp;K$1&amp;"P"&amp;$A9))),0)-IFERROR(VALUE(IF(RTD("tos.rtd",,"IMPL_VOL","."&amp;K$2&amp;K$1&amp;"C"&amp;$A9)="N/A",0,RTD("tos.rtd",,"IMPL_VOL","."&amp;K$2&amp;K$1&amp;"C"&amp;$A9))),0),IF($A$2="MAXPAIN",IF($A$4&gt;$A9,($A$4-$A9)*IF(RTD("tos.rtd",,"OPEN_INT","."&amp;K$2&amp;K$1&amp;"C"&amp;$A9)="N/A",0,RTD("tos.rtd",,"OPEN_INT","."&amp;K$2&amp;K$1&amp;"C"&amp;$A9)),0)+IF($A$4&lt;$A9,($A$5-$A$4)*IF(RTD("tos.rtd",,"OPEN_INT","."&amp;K$2&amp;K$1&amp;"P"&amp;$A9)="N/A",0,RTD("tos.rtd",,"OPEN_INT","."&amp;K$2&amp;K$1&amp;"P"&amp;$A9)),0),IF($X$1="ABS",IF(RTD("tos.rtd",,$A$2,"."&amp;K$2&amp;K$1&amp;"C"&amp;$A9)="N/A",0,RTD("tos.rtd",,$A$2,"."&amp;K$2&amp;K$1&amp;"C"&amp;$A9))+IF(RTD("tos.rtd",,$A$2,"."&amp;K$2&amp;K$1&amp;"P"&amp;$A9)="N/A",0,RTD("tos.rtd",,$A$2,"."&amp;K$2&amp;K$1&amp;"P"&amp;$A9)),IF(RTD("tos.rtd",,$A$2,"."&amp;K$2&amp;K$1&amp;"C"&amp;$A9)="N/A",0,RTD("tos.rtd",,$A$2,"."&amp;K$2&amp;K$1&amp;"C"&amp;$A9))-IF(RTD("tos.rtd",,$A$2,"."&amp;K$2&amp;K$1&amp;"P"&amp;$A9)="N/A",0,RTD("tos.rtd",,$A$2,"."&amp;K$2&amp;K$1&amp;"P"&amp;$A9))))))))))</f>
        <v>0</v>
      </c>
      <c r="L9" s="54">
        <f ca="1">IF($A$2="PREMIUM_OI",IFERROR(IF($X$1="ABS",(100*RTD("tos.rtd",,"OPEN_INT","."&amp;L$2&amp;L$1&amp;"C"&amp;$A9)*RTD("tos.rtd",,"LAST","."&amp;L$2&amp;L$1&amp;"C"&amp;$A9)+100*RTD("tos.rtd",,"OPEN_INT","."&amp;L$2&amp;L$1&amp;"P"&amp;$A9)*RTD("tos.rtd",,"LAST","."&amp;L$2&amp;L$1&amp;"P"&amp;$A9))/1000000,(100*RTD("tos.rtd",,"OPEN_INT","."&amp;L$2&amp;L$1&amp;"C"&amp;$A9)*RTD("tos.rtd",,"LAST","."&amp;L$2&amp;L$1&amp;"C"&amp;$A9)-100*RTD("tos.rtd",,"OPEN_INT","."&amp;L$2&amp;L$1&amp;"P"&amp;$A9)*RTD("tos.rtd",,"LAST","."&amp;L$2&amp;L$1&amp;"P"&amp;$A9))/1000000),0),IF($A$2="PREMIUM",IFERROR(IF($X$1="ABS",(100*RTD("tos.rtd",,"VOLUME","."&amp;L$2&amp;L$1&amp;"C"&amp;$A9)*RTD("tos.rtd",,"LAST","."&amp;L$2&amp;L$1&amp;"C"&amp;$A9)+100*RTD("tos.rtd",,"VOLUME","."&amp;L$2&amp;L$1&amp;"P"&amp;$A9)*RTD("tos.rtd",,"LAST","."&amp;L$2&amp;L$1&amp;"P"&amp;$A9))/1000000,(100*RTD("tos.rtd",,"VOLUME","."&amp;L$2&amp;L$1&amp;"C"&amp;$A9)*RTD("tos.rtd",,"LAST","."&amp;L$2&amp;L$1&amp;"C"&amp;$A9)-100*RTD("tos.rtd",,"VOLUME","."&amp;L$2&amp;L$1&amp;"P"&amp;$A9)*RTD("tos.rtd",,"LAST","."&amp;L$2&amp;L$1&amp;"P"&amp;$A9))/1000000),0),IF($A$2="DEX",IFERROR(IF($X$1="ABS",(100*RTD("tos.rtd",,"OPEN_INT","."&amp;L$2&amp;L$1&amp;"C"&amp;$A9)*RTD("tos.rtd",,"DELTA","."&amp;L$2&amp;L$1&amp;"C"&amp;$A9)+100*RTD("tos.rtd",,"OPEN_INT","."&amp;L$2&amp;L$1&amp;"P"&amp;$A9)*RTD("tos.rtd",,"DELTA","."&amp;L$2&amp;L$1&amp;"P"&amp;$A9))/1000,(100*RTD("tos.rtd",,"OPEN_INT","."&amp;L$2&amp;L$1&amp;"C"&amp;$A9)*RTD("tos.rtd",,"DELTA","."&amp;L$2&amp;L$1&amp;"C"&amp;$A9)-100*RTD("tos.rtd",,"OPEN_INT","."&amp;L$2&amp;L$1&amp;"P"&amp;$A9)*RTD("tos.rtd",,"DELTA","."&amp;L$2&amp;L$1&amp;"P"&amp;$A9))/1000),0),IF($A$2="VEX",IFERROR(IF($X$1="ABS",($A$4*$A$4*RTD("tos.rtd",,"VOLUME","."&amp;L$2&amp;L$1&amp;"C"&amp;$A9)*RTD("tos.rtd",,"GAMMA","."&amp;L$2&amp;L$1&amp;"C"&amp;$A9)+$A$4*$A$4*RTD("tos.rtd",,"VOLUME","."&amp;L$2&amp;L$1&amp;"P"&amp;$A9)*RTD("tos.rtd",,"GAMMA","."&amp;L$2&amp;L$1&amp;"P"&amp;$A9))/1000000,($A$4*$A$4*RTD("tos.rtd",,"VOLUME","."&amp;L$2&amp;L$1&amp;"C"&amp;$A9)*RTD("tos.rtd",,"GAMMA","."&amp;L$2&amp;L$1&amp;"C"&amp;$A9)-$A$4*$A$4*RTD("tos.rtd",,"VOLUME","."&amp;L$2&amp;L$1&amp;"P"&amp;$A9)*RTD("tos.rtd",,"GAMMA","."&amp;L$2&amp;L$1&amp;"P"&amp;$A9))/1000000),0),IF($A$2="GEX",IFERROR(IF($X$1="ABS",($A$4*$A$4*RTD("tos.rtd",,"OPEN_INT","."&amp;L$2&amp;L$1&amp;"C"&amp;$A9)*RTD("tos.rtd",,"GAMMA","."&amp;L$2&amp;L$1&amp;"C"&amp;$A9)+$A$4*$A$4*RTD("tos.rtd",,"OPEN_INT","."&amp;L$2&amp;L$1&amp;"P"&amp;$A9)*RTD("tos.rtd",,"GAMMA","."&amp;L$2&amp;L$1&amp;"P"&amp;$A9))/1000000,($A$4*$A$4*RTD("tos.rtd",,"OPEN_INT","."&amp;L$2&amp;L$1&amp;"C"&amp;$A9)*RTD("tos.rtd",,"GAMMA","."&amp;L$2&amp;L$1&amp;"C"&amp;$A9)-$A$4*$A$4*RTD("tos.rtd",,"OPEN_INT","."&amp;L$2&amp;L$1&amp;"P"&amp;$A9)*RTD("tos.rtd",,"GAMMA","."&amp;L$2&amp;L$1&amp;"P"&amp;$A9))/1000000),0),IF($A$2="SKEW",IFERROR(VALUE(IF(RTD("tos.rtd",,"IMPL_VOL","."&amp;L$2&amp;L$1&amp;"P"&amp;$A9)="N/A",0,RTD("tos.rtd",,"IMPL_VOL","."&amp;L$2&amp;L$1&amp;"P"&amp;$A9))),0)-IFERROR(VALUE(IF(RTD("tos.rtd",,"IMPL_VOL","."&amp;L$2&amp;L$1&amp;"C"&amp;$A9)="N/A",0,RTD("tos.rtd",,"IMPL_VOL","."&amp;L$2&amp;L$1&amp;"C"&amp;$A9))),0),IF($A$2="MAXPAIN",IF($A$4&gt;$A9,($A$4-$A9)*IF(RTD("tos.rtd",,"OPEN_INT","."&amp;L$2&amp;L$1&amp;"C"&amp;$A9)="N/A",0,RTD("tos.rtd",,"OPEN_INT","."&amp;L$2&amp;L$1&amp;"C"&amp;$A9)),0)+IF($A$4&lt;$A9,($A$5-$A$4)*IF(RTD("tos.rtd",,"OPEN_INT","."&amp;L$2&amp;L$1&amp;"P"&amp;$A9)="N/A",0,RTD("tos.rtd",,"OPEN_INT","."&amp;L$2&amp;L$1&amp;"P"&amp;$A9)),0),IF($X$1="ABS",IF(RTD("tos.rtd",,$A$2,"."&amp;L$2&amp;L$1&amp;"C"&amp;$A9)="N/A",0,RTD("tos.rtd",,$A$2,"."&amp;L$2&amp;L$1&amp;"C"&amp;$A9))+IF(RTD("tos.rtd",,$A$2,"."&amp;L$2&amp;L$1&amp;"P"&amp;$A9)="N/A",0,RTD("tos.rtd",,$A$2,"."&amp;L$2&amp;L$1&amp;"P"&amp;$A9)),IF(RTD("tos.rtd",,$A$2,"."&amp;L$2&amp;L$1&amp;"C"&amp;$A9)="N/A",0,RTD("tos.rtd",,$A$2,"."&amp;L$2&amp;L$1&amp;"C"&amp;$A9))-IF(RTD("tos.rtd",,$A$2,"."&amp;L$2&amp;L$1&amp;"P"&amp;$A9)="N/A",0,RTD("tos.rtd",,$A$2,"."&amp;L$2&amp;L$1&amp;"P"&amp;$A9))))))))))</f>
        <v>0</v>
      </c>
      <c r="M9" s="12">
        <f ca="1">IF($A$2="PREMIUM_OI",IFERROR(IF($X$1="ABS",(100*RTD("tos.rtd",,"OPEN_INT","."&amp;M$2&amp;M$1&amp;"C"&amp;$A9)*RTD("tos.rtd",,"LAST","."&amp;M$2&amp;M$1&amp;"C"&amp;$A9)+100*RTD("tos.rtd",,"OPEN_INT","."&amp;M$2&amp;M$1&amp;"P"&amp;$A9)*RTD("tos.rtd",,"LAST","."&amp;M$2&amp;M$1&amp;"P"&amp;$A9))/1000000,(100*RTD("tos.rtd",,"OPEN_INT","."&amp;M$2&amp;M$1&amp;"C"&amp;$A9)*RTD("tos.rtd",,"LAST","."&amp;M$2&amp;M$1&amp;"C"&amp;$A9)-100*RTD("tos.rtd",,"OPEN_INT","."&amp;M$2&amp;M$1&amp;"P"&amp;$A9)*RTD("tos.rtd",,"LAST","."&amp;M$2&amp;M$1&amp;"P"&amp;$A9))/1000000),0),IF($A$2="PREMIUM",IFERROR(IF($X$1="ABS",(100*RTD("tos.rtd",,"VOLUME","."&amp;M$2&amp;M$1&amp;"C"&amp;$A9)*RTD("tos.rtd",,"LAST","."&amp;M$2&amp;M$1&amp;"C"&amp;$A9)+100*RTD("tos.rtd",,"VOLUME","."&amp;M$2&amp;M$1&amp;"P"&amp;$A9)*RTD("tos.rtd",,"LAST","."&amp;M$2&amp;M$1&amp;"P"&amp;$A9))/1000000,(100*RTD("tos.rtd",,"VOLUME","."&amp;M$2&amp;M$1&amp;"C"&amp;$A9)*RTD("tos.rtd",,"LAST","."&amp;M$2&amp;M$1&amp;"C"&amp;$A9)-100*RTD("tos.rtd",,"VOLUME","."&amp;M$2&amp;M$1&amp;"P"&amp;$A9)*RTD("tos.rtd",,"LAST","."&amp;M$2&amp;M$1&amp;"P"&amp;$A9))/1000000),0),IF($A$2="DEX",IFERROR(IF($X$1="ABS",(100*RTD("tos.rtd",,"OPEN_INT","."&amp;M$2&amp;M$1&amp;"C"&amp;$A9)*RTD("tos.rtd",,"DELTA","."&amp;M$2&amp;M$1&amp;"C"&amp;$A9)+100*RTD("tos.rtd",,"OPEN_INT","."&amp;M$2&amp;M$1&amp;"P"&amp;$A9)*RTD("tos.rtd",,"DELTA","."&amp;M$2&amp;M$1&amp;"P"&amp;$A9))/1000,(100*RTD("tos.rtd",,"OPEN_INT","."&amp;M$2&amp;M$1&amp;"C"&amp;$A9)*RTD("tos.rtd",,"DELTA","."&amp;M$2&amp;M$1&amp;"C"&amp;$A9)-100*RTD("tos.rtd",,"OPEN_INT","."&amp;M$2&amp;M$1&amp;"P"&amp;$A9)*RTD("tos.rtd",,"DELTA","."&amp;M$2&amp;M$1&amp;"P"&amp;$A9))/1000),0),IF($A$2="VEX",IFERROR(IF($X$1="ABS",($A$4*$A$4*RTD("tos.rtd",,"VOLUME","."&amp;M$2&amp;M$1&amp;"C"&amp;$A9)*RTD("tos.rtd",,"GAMMA","."&amp;M$2&amp;M$1&amp;"C"&amp;$A9)+$A$4*$A$4*RTD("tos.rtd",,"VOLUME","."&amp;M$2&amp;M$1&amp;"P"&amp;$A9)*RTD("tos.rtd",,"GAMMA","."&amp;M$2&amp;M$1&amp;"P"&amp;$A9))/1000000,($A$4*$A$4*RTD("tos.rtd",,"VOLUME","."&amp;M$2&amp;M$1&amp;"C"&amp;$A9)*RTD("tos.rtd",,"GAMMA","."&amp;M$2&amp;M$1&amp;"C"&amp;$A9)-$A$4*$A$4*RTD("tos.rtd",,"VOLUME","."&amp;M$2&amp;M$1&amp;"P"&amp;$A9)*RTD("tos.rtd",,"GAMMA","."&amp;M$2&amp;M$1&amp;"P"&amp;$A9))/1000000),0),IF($A$2="GEX",IFERROR(IF($X$1="ABS",($A$4*$A$4*RTD("tos.rtd",,"OPEN_INT","."&amp;M$2&amp;M$1&amp;"C"&amp;$A9)*RTD("tos.rtd",,"GAMMA","."&amp;M$2&amp;M$1&amp;"C"&amp;$A9)+$A$4*$A$4*RTD("tos.rtd",,"OPEN_INT","."&amp;M$2&amp;M$1&amp;"P"&amp;$A9)*RTD("tos.rtd",,"GAMMA","."&amp;M$2&amp;M$1&amp;"P"&amp;$A9))/1000000,($A$4*$A$4*RTD("tos.rtd",,"OPEN_INT","."&amp;M$2&amp;M$1&amp;"C"&amp;$A9)*RTD("tos.rtd",,"GAMMA","."&amp;M$2&amp;M$1&amp;"C"&amp;$A9)-$A$4*$A$4*RTD("tos.rtd",,"OPEN_INT","."&amp;M$2&amp;M$1&amp;"P"&amp;$A9)*RTD("tos.rtd",,"GAMMA","."&amp;M$2&amp;M$1&amp;"P"&amp;$A9))/1000000),0),IF($A$2="SKEW",IFERROR(VALUE(IF(RTD("tos.rtd",,"IMPL_VOL","."&amp;M$2&amp;M$1&amp;"P"&amp;$A9)="N/A",0,RTD("tos.rtd",,"IMPL_VOL","."&amp;M$2&amp;M$1&amp;"P"&amp;$A9))),0)-IFERROR(VALUE(IF(RTD("tos.rtd",,"IMPL_VOL","."&amp;M$2&amp;M$1&amp;"C"&amp;$A9)="N/A",0,RTD("tos.rtd",,"IMPL_VOL","."&amp;M$2&amp;M$1&amp;"C"&amp;$A9))),0),IF($A$2="MAXPAIN",IF($A$4&gt;$A9,($A$4-$A9)*IF(RTD("tos.rtd",,"OPEN_INT","."&amp;M$2&amp;M$1&amp;"C"&amp;$A9)="N/A",0,RTD("tos.rtd",,"OPEN_INT","."&amp;M$2&amp;M$1&amp;"C"&amp;$A9)),0)+IF($A$4&lt;$A9,($A$5-$A$4)*IF(RTD("tos.rtd",,"OPEN_INT","."&amp;M$2&amp;M$1&amp;"P"&amp;$A9)="N/A",0,RTD("tos.rtd",,"OPEN_INT","."&amp;M$2&amp;M$1&amp;"P"&amp;$A9)),0),IF($X$1="ABS",IF(RTD("tos.rtd",,$A$2,"."&amp;M$2&amp;M$1&amp;"C"&amp;$A9)="N/A",0,RTD("tos.rtd",,$A$2,"."&amp;M$2&amp;M$1&amp;"C"&amp;$A9))+IF(RTD("tos.rtd",,$A$2,"."&amp;M$2&amp;M$1&amp;"P"&amp;$A9)="N/A",0,RTD("tos.rtd",,$A$2,"."&amp;M$2&amp;M$1&amp;"P"&amp;$A9)),IF(RTD("tos.rtd",,$A$2,"."&amp;M$2&amp;M$1&amp;"C"&amp;$A9)="N/A",0,RTD("tos.rtd",,$A$2,"."&amp;M$2&amp;M$1&amp;"C"&amp;$A9))-IF(RTD("tos.rtd",,$A$2,"."&amp;M$2&amp;M$1&amp;"P"&amp;$A9)="N/A",0,RTD("tos.rtd",,$A$2,"."&amp;M$2&amp;M$1&amp;"P"&amp;$A9))))))))))</f>
        <v>0</v>
      </c>
      <c r="N9" s="12">
        <f ca="1">IF($A$2="PREMIUM_OI",IFERROR(IF($X$1="ABS",(100*RTD("tos.rtd",,"OPEN_INT","."&amp;N$2&amp;N$1&amp;"C"&amp;$A9)*RTD("tos.rtd",,"LAST","."&amp;N$2&amp;N$1&amp;"C"&amp;$A9)+100*RTD("tos.rtd",,"OPEN_INT","."&amp;N$2&amp;N$1&amp;"P"&amp;$A9)*RTD("tos.rtd",,"LAST","."&amp;N$2&amp;N$1&amp;"P"&amp;$A9))/1000000,(100*RTD("tos.rtd",,"OPEN_INT","."&amp;N$2&amp;N$1&amp;"C"&amp;$A9)*RTD("tos.rtd",,"LAST","."&amp;N$2&amp;N$1&amp;"C"&amp;$A9)-100*RTD("tos.rtd",,"OPEN_INT","."&amp;N$2&amp;N$1&amp;"P"&amp;$A9)*RTD("tos.rtd",,"LAST","."&amp;N$2&amp;N$1&amp;"P"&amp;$A9))/1000000),0),IF($A$2="PREMIUM",IFERROR(IF($X$1="ABS",(100*RTD("tos.rtd",,"VOLUME","."&amp;N$2&amp;N$1&amp;"C"&amp;$A9)*RTD("tos.rtd",,"LAST","."&amp;N$2&amp;N$1&amp;"C"&amp;$A9)+100*RTD("tos.rtd",,"VOLUME","."&amp;N$2&amp;N$1&amp;"P"&amp;$A9)*RTD("tos.rtd",,"LAST","."&amp;N$2&amp;N$1&amp;"P"&amp;$A9))/1000000,(100*RTD("tos.rtd",,"VOLUME","."&amp;N$2&amp;N$1&amp;"C"&amp;$A9)*RTD("tos.rtd",,"LAST","."&amp;N$2&amp;N$1&amp;"C"&amp;$A9)-100*RTD("tos.rtd",,"VOLUME","."&amp;N$2&amp;N$1&amp;"P"&amp;$A9)*RTD("tos.rtd",,"LAST","."&amp;N$2&amp;N$1&amp;"P"&amp;$A9))/1000000),0),IF($A$2="DEX",IFERROR(IF($X$1="ABS",(100*RTD("tos.rtd",,"OPEN_INT","."&amp;N$2&amp;N$1&amp;"C"&amp;$A9)*RTD("tos.rtd",,"DELTA","."&amp;N$2&amp;N$1&amp;"C"&amp;$A9)+100*RTD("tos.rtd",,"OPEN_INT","."&amp;N$2&amp;N$1&amp;"P"&amp;$A9)*RTD("tos.rtd",,"DELTA","."&amp;N$2&amp;N$1&amp;"P"&amp;$A9))/1000,(100*RTD("tos.rtd",,"OPEN_INT","."&amp;N$2&amp;N$1&amp;"C"&amp;$A9)*RTD("tos.rtd",,"DELTA","."&amp;N$2&amp;N$1&amp;"C"&amp;$A9)-100*RTD("tos.rtd",,"OPEN_INT","."&amp;N$2&amp;N$1&amp;"P"&amp;$A9)*RTD("tos.rtd",,"DELTA","."&amp;N$2&amp;N$1&amp;"P"&amp;$A9))/1000),0),IF($A$2="VEX",IFERROR(IF($X$1="ABS",($A$4*$A$4*RTD("tos.rtd",,"VOLUME","."&amp;N$2&amp;N$1&amp;"C"&amp;$A9)*RTD("tos.rtd",,"GAMMA","."&amp;N$2&amp;N$1&amp;"C"&amp;$A9)+$A$4*$A$4*RTD("tos.rtd",,"VOLUME","."&amp;N$2&amp;N$1&amp;"P"&amp;$A9)*RTD("tos.rtd",,"GAMMA","."&amp;N$2&amp;N$1&amp;"P"&amp;$A9))/1000000,($A$4*$A$4*RTD("tos.rtd",,"VOLUME","."&amp;N$2&amp;N$1&amp;"C"&amp;$A9)*RTD("tos.rtd",,"GAMMA","."&amp;N$2&amp;N$1&amp;"C"&amp;$A9)-$A$4*$A$4*RTD("tos.rtd",,"VOLUME","."&amp;N$2&amp;N$1&amp;"P"&amp;$A9)*RTD("tos.rtd",,"GAMMA","."&amp;N$2&amp;N$1&amp;"P"&amp;$A9))/1000000),0),IF($A$2="GEX",IFERROR(IF($X$1="ABS",($A$4*$A$4*RTD("tos.rtd",,"OPEN_INT","."&amp;N$2&amp;N$1&amp;"C"&amp;$A9)*RTD("tos.rtd",,"GAMMA","."&amp;N$2&amp;N$1&amp;"C"&amp;$A9)+$A$4*$A$4*RTD("tos.rtd",,"OPEN_INT","."&amp;N$2&amp;N$1&amp;"P"&amp;$A9)*RTD("tos.rtd",,"GAMMA","."&amp;N$2&amp;N$1&amp;"P"&amp;$A9))/1000000,($A$4*$A$4*RTD("tos.rtd",,"OPEN_INT","."&amp;N$2&amp;N$1&amp;"C"&amp;$A9)*RTD("tos.rtd",,"GAMMA","."&amp;N$2&amp;N$1&amp;"C"&amp;$A9)-$A$4*$A$4*RTD("tos.rtd",,"OPEN_INT","."&amp;N$2&amp;N$1&amp;"P"&amp;$A9)*RTD("tos.rtd",,"GAMMA","."&amp;N$2&amp;N$1&amp;"P"&amp;$A9))/1000000),0),IF($A$2="SKEW",IFERROR(VALUE(IF(RTD("tos.rtd",,"IMPL_VOL","."&amp;N$2&amp;N$1&amp;"P"&amp;$A9)="N/A",0,RTD("tos.rtd",,"IMPL_VOL","."&amp;N$2&amp;N$1&amp;"P"&amp;$A9))),0)-IFERROR(VALUE(IF(RTD("tos.rtd",,"IMPL_VOL","."&amp;N$2&amp;N$1&amp;"C"&amp;$A9)="N/A",0,RTD("tos.rtd",,"IMPL_VOL","."&amp;N$2&amp;N$1&amp;"C"&amp;$A9))),0),IF($A$2="MAXPAIN",IF($A$4&gt;$A9,($A$4-$A9)*IF(RTD("tos.rtd",,"OPEN_INT","."&amp;N$2&amp;N$1&amp;"C"&amp;$A9)="N/A",0,RTD("tos.rtd",,"OPEN_INT","."&amp;N$2&amp;N$1&amp;"C"&amp;$A9)),0)+IF($A$4&lt;$A9,($A$5-$A$4)*IF(RTD("tos.rtd",,"OPEN_INT","."&amp;N$2&amp;N$1&amp;"P"&amp;$A9)="N/A",0,RTD("tos.rtd",,"OPEN_INT","."&amp;N$2&amp;N$1&amp;"P"&amp;$A9)),0),IF($X$1="ABS",IF(RTD("tos.rtd",,$A$2,"."&amp;N$2&amp;N$1&amp;"C"&amp;$A9)="N/A",0,RTD("tos.rtd",,$A$2,"."&amp;N$2&amp;N$1&amp;"C"&amp;$A9))+IF(RTD("tos.rtd",,$A$2,"."&amp;N$2&amp;N$1&amp;"P"&amp;$A9)="N/A",0,RTD("tos.rtd",,$A$2,"."&amp;N$2&amp;N$1&amp;"P"&amp;$A9)),IF(RTD("tos.rtd",,$A$2,"."&amp;N$2&amp;N$1&amp;"C"&amp;$A9)="N/A",0,RTD("tos.rtd",,$A$2,"."&amp;N$2&amp;N$1&amp;"C"&amp;$A9))-IF(RTD("tos.rtd",,$A$2,"."&amp;N$2&amp;N$1&amp;"P"&amp;$A9)="N/A",0,RTD("tos.rtd",,$A$2,"."&amp;N$2&amp;N$1&amp;"P"&amp;$A9))))))))))</f>
        <v>0</v>
      </c>
      <c r="O9" s="12">
        <f ca="1">IF($A$2="PREMIUM_OI",IFERROR(IF($X$1="ABS",(100*RTD("tos.rtd",,"OPEN_INT","."&amp;O$2&amp;O$1&amp;"C"&amp;$A9)*RTD("tos.rtd",,"LAST","."&amp;O$2&amp;O$1&amp;"C"&amp;$A9)+100*RTD("tos.rtd",,"OPEN_INT","."&amp;O$2&amp;O$1&amp;"P"&amp;$A9)*RTD("tos.rtd",,"LAST","."&amp;O$2&amp;O$1&amp;"P"&amp;$A9))/1000000,(100*RTD("tos.rtd",,"OPEN_INT","."&amp;O$2&amp;O$1&amp;"C"&amp;$A9)*RTD("tos.rtd",,"LAST","."&amp;O$2&amp;O$1&amp;"C"&amp;$A9)-100*RTD("tos.rtd",,"OPEN_INT","."&amp;O$2&amp;O$1&amp;"P"&amp;$A9)*RTD("tos.rtd",,"LAST","."&amp;O$2&amp;O$1&amp;"P"&amp;$A9))/1000000),0),IF($A$2="PREMIUM",IFERROR(IF($X$1="ABS",(100*RTD("tos.rtd",,"VOLUME","."&amp;O$2&amp;O$1&amp;"C"&amp;$A9)*RTD("tos.rtd",,"LAST","."&amp;O$2&amp;O$1&amp;"C"&amp;$A9)+100*RTD("tos.rtd",,"VOLUME","."&amp;O$2&amp;O$1&amp;"P"&amp;$A9)*RTD("tos.rtd",,"LAST","."&amp;O$2&amp;O$1&amp;"P"&amp;$A9))/1000000,(100*RTD("tos.rtd",,"VOLUME","."&amp;O$2&amp;O$1&amp;"C"&amp;$A9)*RTD("tos.rtd",,"LAST","."&amp;O$2&amp;O$1&amp;"C"&amp;$A9)-100*RTD("tos.rtd",,"VOLUME","."&amp;O$2&amp;O$1&amp;"P"&amp;$A9)*RTD("tos.rtd",,"LAST","."&amp;O$2&amp;O$1&amp;"P"&amp;$A9))/1000000),0),IF($A$2="DEX",IFERROR(IF($X$1="ABS",(100*RTD("tos.rtd",,"OPEN_INT","."&amp;O$2&amp;O$1&amp;"C"&amp;$A9)*RTD("tos.rtd",,"DELTA","."&amp;O$2&amp;O$1&amp;"C"&amp;$A9)+100*RTD("tos.rtd",,"OPEN_INT","."&amp;O$2&amp;O$1&amp;"P"&amp;$A9)*RTD("tos.rtd",,"DELTA","."&amp;O$2&amp;O$1&amp;"P"&amp;$A9))/1000,(100*RTD("tos.rtd",,"OPEN_INT","."&amp;O$2&amp;O$1&amp;"C"&amp;$A9)*RTD("tos.rtd",,"DELTA","."&amp;O$2&amp;O$1&amp;"C"&amp;$A9)-100*RTD("tos.rtd",,"OPEN_INT","."&amp;O$2&amp;O$1&amp;"P"&amp;$A9)*RTD("tos.rtd",,"DELTA","."&amp;O$2&amp;O$1&amp;"P"&amp;$A9))/1000),0),IF($A$2="VEX",IFERROR(IF($X$1="ABS",($A$4*$A$4*RTD("tos.rtd",,"VOLUME","."&amp;O$2&amp;O$1&amp;"C"&amp;$A9)*RTD("tos.rtd",,"GAMMA","."&amp;O$2&amp;O$1&amp;"C"&amp;$A9)+$A$4*$A$4*RTD("tos.rtd",,"VOLUME","."&amp;O$2&amp;O$1&amp;"P"&amp;$A9)*RTD("tos.rtd",,"GAMMA","."&amp;O$2&amp;O$1&amp;"P"&amp;$A9))/1000000,($A$4*$A$4*RTD("tos.rtd",,"VOLUME","."&amp;O$2&amp;O$1&amp;"C"&amp;$A9)*RTD("tos.rtd",,"GAMMA","."&amp;O$2&amp;O$1&amp;"C"&amp;$A9)-$A$4*$A$4*RTD("tos.rtd",,"VOLUME","."&amp;O$2&amp;O$1&amp;"P"&amp;$A9)*RTD("tos.rtd",,"GAMMA","."&amp;O$2&amp;O$1&amp;"P"&amp;$A9))/1000000),0),IF($A$2="GEX",IFERROR(IF($X$1="ABS",($A$4*$A$4*RTD("tos.rtd",,"OPEN_INT","."&amp;O$2&amp;O$1&amp;"C"&amp;$A9)*RTD("tos.rtd",,"GAMMA","."&amp;O$2&amp;O$1&amp;"C"&amp;$A9)+$A$4*$A$4*RTD("tos.rtd",,"OPEN_INT","."&amp;O$2&amp;O$1&amp;"P"&amp;$A9)*RTD("tos.rtd",,"GAMMA","."&amp;O$2&amp;O$1&amp;"P"&amp;$A9))/1000000,($A$4*$A$4*RTD("tos.rtd",,"OPEN_INT","."&amp;O$2&amp;O$1&amp;"C"&amp;$A9)*RTD("tos.rtd",,"GAMMA","."&amp;O$2&amp;O$1&amp;"C"&amp;$A9)-$A$4*$A$4*RTD("tos.rtd",,"OPEN_INT","."&amp;O$2&amp;O$1&amp;"P"&amp;$A9)*RTD("tos.rtd",,"GAMMA","."&amp;O$2&amp;O$1&amp;"P"&amp;$A9))/1000000),0),IF($A$2="SKEW",IFERROR(VALUE(IF(RTD("tos.rtd",,"IMPL_VOL","."&amp;O$2&amp;O$1&amp;"P"&amp;$A9)="N/A",0,RTD("tos.rtd",,"IMPL_VOL","."&amp;O$2&amp;O$1&amp;"P"&amp;$A9))),0)-IFERROR(VALUE(IF(RTD("tos.rtd",,"IMPL_VOL","."&amp;O$2&amp;O$1&amp;"C"&amp;$A9)="N/A",0,RTD("tos.rtd",,"IMPL_VOL","."&amp;O$2&amp;O$1&amp;"C"&amp;$A9))),0),IF($A$2="MAXPAIN",IF($A$4&gt;$A9,($A$4-$A9)*IF(RTD("tos.rtd",,"OPEN_INT","."&amp;O$2&amp;O$1&amp;"C"&amp;$A9)="N/A",0,RTD("tos.rtd",,"OPEN_INT","."&amp;O$2&amp;O$1&amp;"C"&amp;$A9)),0)+IF($A$4&lt;$A9,($A$5-$A$4)*IF(RTD("tos.rtd",,"OPEN_INT","."&amp;O$2&amp;O$1&amp;"P"&amp;$A9)="N/A",0,RTD("tos.rtd",,"OPEN_INT","."&amp;O$2&amp;O$1&amp;"P"&amp;$A9)),0),IF($X$1="ABS",IF(RTD("tos.rtd",,$A$2,"."&amp;O$2&amp;O$1&amp;"C"&amp;$A9)="N/A",0,RTD("tos.rtd",,$A$2,"."&amp;O$2&amp;O$1&amp;"C"&amp;$A9))+IF(RTD("tos.rtd",,$A$2,"."&amp;O$2&amp;O$1&amp;"P"&amp;$A9)="N/A",0,RTD("tos.rtd",,$A$2,"."&amp;O$2&amp;O$1&amp;"P"&amp;$A9)),IF(RTD("tos.rtd",,$A$2,"."&amp;O$2&amp;O$1&amp;"C"&amp;$A9)="N/A",0,RTD("tos.rtd",,$A$2,"."&amp;O$2&amp;O$1&amp;"C"&amp;$A9))-IF(RTD("tos.rtd",,$A$2,"."&amp;O$2&amp;O$1&amp;"P"&amp;$A9)="N/A",0,RTD("tos.rtd",,$A$2,"."&amp;O$2&amp;O$1&amp;"P"&amp;$A9))))))))))</f>
        <v>0</v>
      </c>
      <c r="P9" s="12">
        <f ca="1">IF($A$2="PREMIUM_OI",IFERROR(IF($X$1="ABS",(100*RTD("tos.rtd",,"OPEN_INT","."&amp;P$2&amp;P$1&amp;"C"&amp;$A9)*RTD("tos.rtd",,"LAST","."&amp;P$2&amp;P$1&amp;"C"&amp;$A9)+100*RTD("tos.rtd",,"OPEN_INT","."&amp;P$2&amp;P$1&amp;"P"&amp;$A9)*RTD("tos.rtd",,"LAST","."&amp;P$2&amp;P$1&amp;"P"&amp;$A9))/1000000,(100*RTD("tos.rtd",,"OPEN_INT","."&amp;P$2&amp;P$1&amp;"C"&amp;$A9)*RTD("tos.rtd",,"LAST","."&amp;P$2&amp;P$1&amp;"C"&amp;$A9)-100*RTD("tos.rtd",,"OPEN_INT","."&amp;P$2&amp;P$1&amp;"P"&amp;$A9)*RTD("tos.rtd",,"LAST","."&amp;P$2&amp;P$1&amp;"P"&amp;$A9))/1000000),0),IF($A$2="PREMIUM",IFERROR(IF($X$1="ABS",(100*RTD("tos.rtd",,"VOLUME","."&amp;P$2&amp;P$1&amp;"C"&amp;$A9)*RTD("tos.rtd",,"LAST","."&amp;P$2&amp;P$1&amp;"C"&amp;$A9)+100*RTD("tos.rtd",,"VOLUME","."&amp;P$2&amp;P$1&amp;"P"&amp;$A9)*RTD("tos.rtd",,"LAST","."&amp;P$2&amp;P$1&amp;"P"&amp;$A9))/1000000,(100*RTD("tos.rtd",,"VOLUME","."&amp;P$2&amp;P$1&amp;"C"&amp;$A9)*RTD("tos.rtd",,"LAST","."&amp;P$2&amp;P$1&amp;"C"&amp;$A9)-100*RTD("tos.rtd",,"VOLUME","."&amp;P$2&amp;P$1&amp;"P"&amp;$A9)*RTD("tos.rtd",,"LAST","."&amp;P$2&amp;P$1&amp;"P"&amp;$A9))/1000000),0),IF($A$2="DEX",IFERROR(IF($X$1="ABS",(100*RTD("tos.rtd",,"OPEN_INT","."&amp;P$2&amp;P$1&amp;"C"&amp;$A9)*RTD("tos.rtd",,"DELTA","."&amp;P$2&amp;P$1&amp;"C"&amp;$A9)+100*RTD("tos.rtd",,"OPEN_INT","."&amp;P$2&amp;P$1&amp;"P"&amp;$A9)*RTD("tos.rtd",,"DELTA","."&amp;P$2&amp;P$1&amp;"P"&amp;$A9))/1000,(100*RTD("tos.rtd",,"OPEN_INT","."&amp;P$2&amp;P$1&amp;"C"&amp;$A9)*RTD("tos.rtd",,"DELTA","."&amp;P$2&amp;P$1&amp;"C"&amp;$A9)-100*RTD("tos.rtd",,"OPEN_INT","."&amp;P$2&amp;P$1&amp;"P"&amp;$A9)*RTD("tos.rtd",,"DELTA","."&amp;P$2&amp;P$1&amp;"P"&amp;$A9))/1000),0),IF($A$2="VEX",IFERROR(IF($X$1="ABS",($A$4*$A$4*RTD("tos.rtd",,"VOLUME","."&amp;P$2&amp;P$1&amp;"C"&amp;$A9)*RTD("tos.rtd",,"GAMMA","."&amp;P$2&amp;P$1&amp;"C"&amp;$A9)+$A$4*$A$4*RTD("tos.rtd",,"VOLUME","."&amp;P$2&amp;P$1&amp;"P"&amp;$A9)*RTD("tos.rtd",,"GAMMA","."&amp;P$2&amp;P$1&amp;"P"&amp;$A9))/1000000,($A$4*$A$4*RTD("tos.rtd",,"VOLUME","."&amp;P$2&amp;P$1&amp;"C"&amp;$A9)*RTD("tos.rtd",,"GAMMA","."&amp;P$2&amp;P$1&amp;"C"&amp;$A9)-$A$4*$A$4*RTD("tos.rtd",,"VOLUME","."&amp;P$2&amp;P$1&amp;"P"&amp;$A9)*RTD("tos.rtd",,"GAMMA","."&amp;P$2&amp;P$1&amp;"P"&amp;$A9))/1000000),0),IF($A$2="GEX",IFERROR(IF($X$1="ABS",($A$4*$A$4*RTD("tos.rtd",,"OPEN_INT","."&amp;P$2&amp;P$1&amp;"C"&amp;$A9)*RTD("tos.rtd",,"GAMMA","."&amp;P$2&amp;P$1&amp;"C"&amp;$A9)+$A$4*$A$4*RTD("tos.rtd",,"OPEN_INT","."&amp;P$2&amp;P$1&amp;"P"&amp;$A9)*RTD("tos.rtd",,"GAMMA","."&amp;P$2&amp;P$1&amp;"P"&amp;$A9))/1000000,($A$4*$A$4*RTD("tos.rtd",,"OPEN_INT","."&amp;P$2&amp;P$1&amp;"C"&amp;$A9)*RTD("tos.rtd",,"GAMMA","."&amp;P$2&amp;P$1&amp;"C"&amp;$A9)-$A$4*$A$4*RTD("tos.rtd",,"OPEN_INT","."&amp;P$2&amp;P$1&amp;"P"&amp;$A9)*RTD("tos.rtd",,"GAMMA","."&amp;P$2&amp;P$1&amp;"P"&amp;$A9))/1000000),0),IF($A$2="SKEW",IFERROR(VALUE(IF(RTD("tos.rtd",,"IMPL_VOL","."&amp;P$2&amp;P$1&amp;"P"&amp;$A9)="N/A",0,RTD("tos.rtd",,"IMPL_VOL","."&amp;P$2&amp;P$1&amp;"P"&amp;$A9))),0)-IFERROR(VALUE(IF(RTD("tos.rtd",,"IMPL_VOL","."&amp;P$2&amp;P$1&amp;"C"&amp;$A9)="N/A",0,RTD("tos.rtd",,"IMPL_VOL","."&amp;P$2&amp;P$1&amp;"C"&amp;$A9))),0),IF($A$2="MAXPAIN",IF($A$4&gt;$A9,($A$4-$A9)*IF(RTD("tos.rtd",,"OPEN_INT","."&amp;P$2&amp;P$1&amp;"C"&amp;$A9)="N/A",0,RTD("tos.rtd",,"OPEN_INT","."&amp;P$2&amp;P$1&amp;"C"&amp;$A9)),0)+IF($A$4&lt;$A9,($A$5-$A$4)*IF(RTD("tos.rtd",,"OPEN_INT","."&amp;P$2&amp;P$1&amp;"P"&amp;$A9)="N/A",0,RTD("tos.rtd",,"OPEN_INT","."&amp;P$2&amp;P$1&amp;"P"&amp;$A9)),0),IF($X$1="ABS",IF(RTD("tos.rtd",,$A$2,"."&amp;P$2&amp;P$1&amp;"C"&amp;$A9)="N/A",0,RTD("tos.rtd",,$A$2,"."&amp;P$2&amp;P$1&amp;"C"&amp;$A9))+IF(RTD("tos.rtd",,$A$2,"."&amp;P$2&amp;P$1&amp;"P"&amp;$A9)="N/A",0,RTD("tos.rtd",,$A$2,"."&amp;P$2&amp;P$1&amp;"P"&amp;$A9)),IF(RTD("tos.rtd",,$A$2,"."&amp;P$2&amp;P$1&amp;"C"&amp;$A9)="N/A",0,RTD("tos.rtd",,$A$2,"."&amp;P$2&amp;P$1&amp;"C"&amp;$A9))-IF(RTD("tos.rtd",,$A$2,"."&amp;P$2&amp;P$1&amp;"P"&amp;$A9)="N/A",0,RTD("tos.rtd",,$A$2,"."&amp;P$2&amp;P$1&amp;"P"&amp;$A9))))))))))</f>
        <v>0</v>
      </c>
      <c r="Q9" s="12">
        <f ca="1">IF($A$2="PREMIUM_OI",IFERROR(IF($X$1="ABS",(100*RTD("tos.rtd",,"OPEN_INT","."&amp;Q$2&amp;Q$1&amp;"C"&amp;$A9)*RTD("tos.rtd",,"LAST","."&amp;Q$2&amp;Q$1&amp;"C"&amp;$A9)+100*RTD("tos.rtd",,"OPEN_INT","."&amp;Q$2&amp;Q$1&amp;"P"&amp;$A9)*RTD("tos.rtd",,"LAST","."&amp;Q$2&amp;Q$1&amp;"P"&amp;$A9))/1000000,(100*RTD("tos.rtd",,"OPEN_INT","."&amp;Q$2&amp;Q$1&amp;"C"&amp;$A9)*RTD("tos.rtd",,"LAST","."&amp;Q$2&amp;Q$1&amp;"C"&amp;$A9)-100*RTD("tos.rtd",,"OPEN_INT","."&amp;Q$2&amp;Q$1&amp;"P"&amp;$A9)*RTD("tos.rtd",,"LAST","."&amp;Q$2&amp;Q$1&amp;"P"&amp;$A9))/1000000),0),IF($A$2="PREMIUM",IFERROR(IF($X$1="ABS",(100*RTD("tos.rtd",,"VOLUME","."&amp;Q$2&amp;Q$1&amp;"C"&amp;$A9)*RTD("tos.rtd",,"LAST","."&amp;Q$2&amp;Q$1&amp;"C"&amp;$A9)+100*RTD("tos.rtd",,"VOLUME","."&amp;Q$2&amp;Q$1&amp;"P"&amp;$A9)*RTD("tos.rtd",,"LAST","."&amp;Q$2&amp;Q$1&amp;"P"&amp;$A9))/1000000,(100*RTD("tos.rtd",,"VOLUME","."&amp;Q$2&amp;Q$1&amp;"C"&amp;$A9)*RTD("tos.rtd",,"LAST","."&amp;Q$2&amp;Q$1&amp;"C"&amp;$A9)-100*RTD("tos.rtd",,"VOLUME","."&amp;Q$2&amp;Q$1&amp;"P"&amp;$A9)*RTD("tos.rtd",,"LAST","."&amp;Q$2&amp;Q$1&amp;"P"&amp;$A9))/1000000),0),IF($A$2="DEX",IFERROR(IF($X$1="ABS",(100*RTD("tos.rtd",,"OPEN_INT","."&amp;Q$2&amp;Q$1&amp;"C"&amp;$A9)*RTD("tos.rtd",,"DELTA","."&amp;Q$2&amp;Q$1&amp;"C"&amp;$A9)+100*RTD("tos.rtd",,"OPEN_INT","."&amp;Q$2&amp;Q$1&amp;"P"&amp;$A9)*RTD("tos.rtd",,"DELTA","."&amp;Q$2&amp;Q$1&amp;"P"&amp;$A9))/1000,(100*RTD("tos.rtd",,"OPEN_INT","."&amp;Q$2&amp;Q$1&amp;"C"&amp;$A9)*RTD("tos.rtd",,"DELTA","."&amp;Q$2&amp;Q$1&amp;"C"&amp;$A9)-100*RTD("tos.rtd",,"OPEN_INT","."&amp;Q$2&amp;Q$1&amp;"P"&amp;$A9)*RTD("tos.rtd",,"DELTA","."&amp;Q$2&amp;Q$1&amp;"P"&amp;$A9))/1000),0),IF($A$2="VEX",IFERROR(IF($X$1="ABS",($A$4*$A$4*RTD("tos.rtd",,"VOLUME","."&amp;Q$2&amp;Q$1&amp;"C"&amp;$A9)*RTD("tos.rtd",,"GAMMA","."&amp;Q$2&amp;Q$1&amp;"C"&amp;$A9)+$A$4*$A$4*RTD("tos.rtd",,"VOLUME","."&amp;Q$2&amp;Q$1&amp;"P"&amp;$A9)*RTD("tos.rtd",,"GAMMA","."&amp;Q$2&amp;Q$1&amp;"P"&amp;$A9))/1000000,($A$4*$A$4*RTD("tos.rtd",,"VOLUME","."&amp;Q$2&amp;Q$1&amp;"C"&amp;$A9)*RTD("tos.rtd",,"GAMMA","."&amp;Q$2&amp;Q$1&amp;"C"&amp;$A9)-$A$4*$A$4*RTD("tos.rtd",,"VOLUME","."&amp;Q$2&amp;Q$1&amp;"P"&amp;$A9)*RTD("tos.rtd",,"GAMMA","."&amp;Q$2&amp;Q$1&amp;"P"&amp;$A9))/1000000),0),IF($A$2="GEX",IFERROR(IF($X$1="ABS",($A$4*$A$4*RTD("tos.rtd",,"OPEN_INT","."&amp;Q$2&amp;Q$1&amp;"C"&amp;$A9)*RTD("tos.rtd",,"GAMMA","."&amp;Q$2&amp;Q$1&amp;"C"&amp;$A9)+$A$4*$A$4*RTD("tos.rtd",,"OPEN_INT","."&amp;Q$2&amp;Q$1&amp;"P"&amp;$A9)*RTD("tos.rtd",,"GAMMA","."&amp;Q$2&amp;Q$1&amp;"P"&amp;$A9))/1000000,($A$4*$A$4*RTD("tos.rtd",,"OPEN_INT","."&amp;Q$2&amp;Q$1&amp;"C"&amp;$A9)*RTD("tos.rtd",,"GAMMA","."&amp;Q$2&amp;Q$1&amp;"C"&amp;$A9)-$A$4*$A$4*RTD("tos.rtd",,"OPEN_INT","."&amp;Q$2&amp;Q$1&amp;"P"&amp;$A9)*RTD("tos.rtd",,"GAMMA","."&amp;Q$2&amp;Q$1&amp;"P"&amp;$A9))/1000000),0),IF($A$2="SKEW",IFERROR(VALUE(IF(RTD("tos.rtd",,"IMPL_VOL","."&amp;Q$2&amp;Q$1&amp;"P"&amp;$A9)="N/A",0,RTD("tos.rtd",,"IMPL_VOL","."&amp;Q$2&amp;Q$1&amp;"P"&amp;$A9))),0)-IFERROR(VALUE(IF(RTD("tos.rtd",,"IMPL_VOL","."&amp;Q$2&amp;Q$1&amp;"C"&amp;$A9)="N/A",0,RTD("tos.rtd",,"IMPL_VOL","."&amp;Q$2&amp;Q$1&amp;"C"&amp;$A9))),0),IF($A$2="MAXPAIN",IF($A$4&gt;$A9,($A$4-$A9)*IF(RTD("tos.rtd",,"OPEN_INT","."&amp;Q$2&amp;Q$1&amp;"C"&amp;$A9)="N/A",0,RTD("tos.rtd",,"OPEN_INT","."&amp;Q$2&amp;Q$1&amp;"C"&amp;$A9)),0)+IF($A$4&lt;$A9,($A$5-$A$4)*IF(RTD("tos.rtd",,"OPEN_INT","."&amp;Q$2&amp;Q$1&amp;"P"&amp;$A9)="N/A",0,RTD("tos.rtd",,"OPEN_INT","."&amp;Q$2&amp;Q$1&amp;"P"&amp;$A9)),0),IF($X$1="ABS",IF(RTD("tos.rtd",,$A$2,"."&amp;Q$2&amp;Q$1&amp;"C"&amp;$A9)="N/A",0,RTD("tos.rtd",,$A$2,"."&amp;Q$2&amp;Q$1&amp;"C"&amp;$A9))+IF(RTD("tos.rtd",,$A$2,"."&amp;Q$2&amp;Q$1&amp;"P"&amp;$A9)="N/A",0,RTD("tos.rtd",,$A$2,"."&amp;Q$2&amp;Q$1&amp;"P"&amp;$A9)),IF(RTD("tos.rtd",,$A$2,"."&amp;Q$2&amp;Q$1&amp;"C"&amp;$A9)="N/A",0,RTD("tos.rtd",,$A$2,"."&amp;Q$2&amp;Q$1&amp;"C"&amp;$A9))-IF(RTD("tos.rtd",,$A$2,"."&amp;Q$2&amp;Q$1&amp;"P"&amp;$A9)="N/A",0,RTD("tos.rtd",,$A$2,"."&amp;Q$2&amp;Q$1&amp;"P"&amp;$A9))))))))))</f>
        <v>0</v>
      </c>
      <c r="R9" s="12">
        <f ca="1">IF($A$2="PREMIUM_OI",IFERROR(IF($X$1="ABS",(100*RTD("tos.rtd",,"OPEN_INT","."&amp;R$2&amp;R$1&amp;"C"&amp;$A9)*RTD("tos.rtd",,"LAST","."&amp;R$2&amp;R$1&amp;"C"&amp;$A9)+100*RTD("tos.rtd",,"OPEN_INT","."&amp;R$2&amp;R$1&amp;"P"&amp;$A9)*RTD("tos.rtd",,"LAST","."&amp;R$2&amp;R$1&amp;"P"&amp;$A9))/1000000,(100*RTD("tos.rtd",,"OPEN_INT","."&amp;R$2&amp;R$1&amp;"C"&amp;$A9)*RTD("tos.rtd",,"LAST","."&amp;R$2&amp;R$1&amp;"C"&amp;$A9)-100*RTD("tos.rtd",,"OPEN_INT","."&amp;R$2&amp;R$1&amp;"P"&amp;$A9)*RTD("tos.rtd",,"LAST","."&amp;R$2&amp;R$1&amp;"P"&amp;$A9))/1000000),0),IF($A$2="PREMIUM",IFERROR(IF($X$1="ABS",(100*RTD("tos.rtd",,"VOLUME","."&amp;R$2&amp;R$1&amp;"C"&amp;$A9)*RTD("tos.rtd",,"LAST","."&amp;R$2&amp;R$1&amp;"C"&amp;$A9)+100*RTD("tos.rtd",,"VOLUME","."&amp;R$2&amp;R$1&amp;"P"&amp;$A9)*RTD("tos.rtd",,"LAST","."&amp;R$2&amp;R$1&amp;"P"&amp;$A9))/1000000,(100*RTD("tos.rtd",,"VOLUME","."&amp;R$2&amp;R$1&amp;"C"&amp;$A9)*RTD("tos.rtd",,"LAST","."&amp;R$2&amp;R$1&amp;"C"&amp;$A9)-100*RTD("tos.rtd",,"VOLUME","."&amp;R$2&amp;R$1&amp;"P"&amp;$A9)*RTD("tos.rtd",,"LAST","."&amp;R$2&amp;R$1&amp;"P"&amp;$A9))/1000000),0),IF($A$2="DEX",IFERROR(IF($X$1="ABS",(100*RTD("tos.rtd",,"OPEN_INT","."&amp;R$2&amp;R$1&amp;"C"&amp;$A9)*RTD("tos.rtd",,"DELTA","."&amp;R$2&amp;R$1&amp;"C"&amp;$A9)+100*RTD("tos.rtd",,"OPEN_INT","."&amp;R$2&amp;R$1&amp;"P"&amp;$A9)*RTD("tos.rtd",,"DELTA","."&amp;R$2&amp;R$1&amp;"P"&amp;$A9))/1000,(100*RTD("tos.rtd",,"OPEN_INT","."&amp;R$2&amp;R$1&amp;"C"&amp;$A9)*RTD("tos.rtd",,"DELTA","."&amp;R$2&amp;R$1&amp;"C"&amp;$A9)-100*RTD("tos.rtd",,"OPEN_INT","."&amp;R$2&amp;R$1&amp;"P"&amp;$A9)*RTD("tos.rtd",,"DELTA","."&amp;R$2&amp;R$1&amp;"P"&amp;$A9))/1000),0),IF($A$2="VEX",IFERROR(IF($X$1="ABS",($A$4*$A$4*RTD("tos.rtd",,"VOLUME","."&amp;R$2&amp;R$1&amp;"C"&amp;$A9)*RTD("tos.rtd",,"GAMMA","."&amp;R$2&amp;R$1&amp;"C"&amp;$A9)+$A$4*$A$4*RTD("tos.rtd",,"VOLUME","."&amp;R$2&amp;R$1&amp;"P"&amp;$A9)*RTD("tos.rtd",,"GAMMA","."&amp;R$2&amp;R$1&amp;"P"&amp;$A9))/1000000,($A$4*$A$4*RTD("tos.rtd",,"VOLUME","."&amp;R$2&amp;R$1&amp;"C"&amp;$A9)*RTD("tos.rtd",,"GAMMA","."&amp;R$2&amp;R$1&amp;"C"&amp;$A9)-$A$4*$A$4*RTD("tos.rtd",,"VOLUME","."&amp;R$2&amp;R$1&amp;"P"&amp;$A9)*RTD("tos.rtd",,"GAMMA","."&amp;R$2&amp;R$1&amp;"P"&amp;$A9))/1000000),0),IF($A$2="GEX",IFERROR(IF($X$1="ABS",($A$4*$A$4*RTD("tos.rtd",,"OPEN_INT","."&amp;R$2&amp;R$1&amp;"C"&amp;$A9)*RTD("tos.rtd",,"GAMMA","."&amp;R$2&amp;R$1&amp;"C"&amp;$A9)+$A$4*$A$4*RTD("tos.rtd",,"OPEN_INT","."&amp;R$2&amp;R$1&amp;"P"&amp;$A9)*RTD("tos.rtd",,"GAMMA","."&amp;R$2&amp;R$1&amp;"P"&amp;$A9))/1000000,($A$4*$A$4*RTD("tos.rtd",,"OPEN_INT","."&amp;R$2&amp;R$1&amp;"C"&amp;$A9)*RTD("tos.rtd",,"GAMMA","."&amp;R$2&amp;R$1&amp;"C"&amp;$A9)-$A$4*$A$4*RTD("tos.rtd",,"OPEN_INT","."&amp;R$2&amp;R$1&amp;"P"&amp;$A9)*RTD("tos.rtd",,"GAMMA","."&amp;R$2&amp;R$1&amp;"P"&amp;$A9))/1000000),0),IF($A$2="SKEW",IFERROR(VALUE(IF(RTD("tos.rtd",,"IMPL_VOL","."&amp;R$2&amp;R$1&amp;"P"&amp;$A9)="N/A",0,RTD("tos.rtd",,"IMPL_VOL","."&amp;R$2&amp;R$1&amp;"P"&amp;$A9))),0)-IFERROR(VALUE(IF(RTD("tos.rtd",,"IMPL_VOL","."&amp;R$2&amp;R$1&amp;"C"&amp;$A9)="N/A",0,RTD("tos.rtd",,"IMPL_VOL","."&amp;R$2&amp;R$1&amp;"C"&amp;$A9))),0),IF($A$2="MAXPAIN",IF($A$4&gt;$A9,($A$4-$A9)*IF(RTD("tos.rtd",,"OPEN_INT","."&amp;R$2&amp;R$1&amp;"C"&amp;$A9)="N/A",0,RTD("tos.rtd",,"OPEN_INT","."&amp;R$2&amp;R$1&amp;"C"&amp;$A9)),0)+IF($A$4&lt;$A9,($A$5-$A$4)*IF(RTD("tos.rtd",,"OPEN_INT","."&amp;R$2&amp;R$1&amp;"P"&amp;$A9)="N/A",0,RTD("tos.rtd",,"OPEN_INT","."&amp;R$2&amp;R$1&amp;"P"&amp;$A9)),0),IF($X$1="ABS",IF(RTD("tos.rtd",,$A$2,"."&amp;R$2&amp;R$1&amp;"C"&amp;$A9)="N/A",0,RTD("tos.rtd",,$A$2,"."&amp;R$2&amp;R$1&amp;"C"&amp;$A9))+IF(RTD("tos.rtd",,$A$2,"."&amp;R$2&amp;R$1&amp;"P"&amp;$A9)="N/A",0,RTD("tos.rtd",,$A$2,"."&amp;R$2&amp;R$1&amp;"P"&amp;$A9)),IF(RTD("tos.rtd",,$A$2,"."&amp;R$2&amp;R$1&amp;"C"&amp;$A9)="N/A",0,RTD("tos.rtd",,$A$2,"."&amp;R$2&amp;R$1&amp;"C"&amp;$A9))-IF(RTD("tos.rtd",,$A$2,"."&amp;R$2&amp;R$1&amp;"P"&amp;$A9)="N/A",0,RTD("tos.rtd",,$A$2,"."&amp;R$2&amp;R$1&amp;"P"&amp;$A9))))))))))</f>
        <v>0</v>
      </c>
      <c r="S9" s="12">
        <f ca="1">IF($A$2="PREMIUM_OI",IFERROR(IF($X$1="ABS",(100*RTD("tos.rtd",,"OPEN_INT","."&amp;S$2&amp;S$1&amp;"C"&amp;$A9)*RTD("tos.rtd",,"LAST","."&amp;S$2&amp;S$1&amp;"C"&amp;$A9)+100*RTD("tos.rtd",,"OPEN_INT","."&amp;S$2&amp;S$1&amp;"P"&amp;$A9)*RTD("tos.rtd",,"LAST","."&amp;S$2&amp;S$1&amp;"P"&amp;$A9))/1000000,(100*RTD("tos.rtd",,"OPEN_INT","."&amp;S$2&amp;S$1&amp;"C"&amp;$A9)*RTD("tos.rtd",,"LAST","."&amp;S$2&amp;S$1&amp;"C"&amp;$A9)-100*RTD("tos.rtd",,"OPEN_INT","."&amp;S$2&amp;S$1&amp;"P"&amp;$A9)*RTD("tos.rtd",,"LAST","."&amp;S$2&amp;S$1&amp;"P"&amp;$A9))/1000000),0),IF($A$2="PREMIUM",IFERROR(IF($X$1="ABS",(100*RTD("tos.rtd",,"VOLUME","."&amp;S$2&amp;S$1&amp;"C"&amp;$A9)*RTD("tos.rtd",,"LAST","."&amp;S$2&amp;S$1&amp;"C"&amp;$A9)+100*RTD("tos.rtd",,"VOLUME","."&amp;S$2&amp;S$1&amp;"P"&amp;$A9)*RTD("tos.rtd",,"LAST","."&amp;S$2&amp;S$1&amp;"P"&amp;$A9))/1000000,(100*RTD("tos.rtd",,"VOLUME","."&amp;S$2&amp;S$1&amp;"C"&amp;$A9)*RTD("tos.rtd",,"LAST","."&amp;S$2&amp;S$1&amp;"C"&amp;$A9)-100*RTD("tos.rtd",,"VOLUME","."&amp;S$2&amp;S$1&amp;"P"&amp;$A9)*RTD("tos.rtd",,"LAST","."&amp;S$2&amp;S$1&amp;"P"&amp;$A9))/1000000),0),IF($A$2="DEX",IFERROR(IF($X$1="ABS",(100*RTD("tos.rtd",,"OPEN_INT","."&amp;S$2&amp;S$1&amp;"C"&amp;$A9)*RTD("tos.rtd",,"DELTA","."&amp;S$2&amp;S$1&amp;"C"&amp;$A9)+100*RTD("tos.rtd",,"OPEN_INT","."&amp;S$2&amp;S$1&amp;"P"&amp;$A9)*RTD("tos.rtd",,"DELTA","."&amp;S$2&amp;S$1&amp;"P"&amp;$A9))/1000,(100*RTD("tos.rtd",,"OPEN_INT","."&amp;S$2&amp;S$1&amp;"C"&amp;$A9)*RTD("tos.rtd",,"DELTA","."&amp;S$2&amp;S$1&amp;"C"&amp;$A9)-100*RTD("tos.rtd",,"OPEN_INT","."&amp;S$2&amp;S$1&amp;"P"&amp;$A9)*RTD("tos.rtd",,"DELTA","."&amp;S$2&amp;S$1&amp;"P"&amp;$A9))/1000),0),IF($A$2="VEX",IFERROR(IF($X$1="ABS",($A$4*$A$4*RTD("tos.rtd",,"VOLUME","."&amp;S$2&amp;S$1&amp;"C"&amp;$A9)*RTD("tos.rtd",,"GAMMA","."&amp;S$2&amp;S$1&amp;"C"&amp;$A9)+$A$4*$A$4*RTD("tos.rtd",,"VOLUME","."&amp;S$2&amp;S$1&amp;"P"&amp;$A9)*RTD("tos.rtd",,"GAMMA","."&amp;S$2&amp;S$1&amp;"P"&amp;$A9))/1000000,($A$4*$A$4*RTD("tos.rtd",,"VOLUME","."&amp;S$2&amp;S$1&amp;"C"&amp;$A9)*RTD("tos.rtd",,"GAMMA","."&amp;S$2&amp;S$1&amp;"C"&amp;$A9)-$A$4*$A$4*RTD("tos.rtd",,"VOLUME","."&amp;S$2&amp;S$1&amp;"P"&amp;$A9)*RTD("tos.rtd",,"GAMMA","."&amp;S$2&amp;S$1&amp;"P"&amp;$A9))/1000000),0),IF($A$2="GEX",IFERROR(IF($X$1="ABS",($A$4*$A$4*RTD("tos.rtd",,"OPEN_INT","."&amp;S$2&amp;S$1&amp;"C"&amp;$A9)*RTD("tos.rtd",,"GAMMA","."&amp;S$2&amp;S$1&amp;"C"&amp;$A9)+$A$4*$A$4*RTD("tos.rtd",,"OPEN_INT","."&amp;S$2&amp;S$1&amp;"P"&amp;$A9)*RTD("tos.rtd",,"GAMMA","."&amp;S$2&amp;S$1&amp;"P"&amp;$A9))/1000000,($A$4*$A$4*RTD("tos.rtd",,"OPEN_INT","."&amp;S$2&amp;S$1&amp;"C"&amp;$A9)*RTD("tos.rtd",,"GAMMA","."&amp;S$2&amp;S$1&amp;"C"&amp;$A9)-$A$4*$A$4*RTD("tos.rtd",,"OPEN_INT","."&amp;S$2&amp;S$1&amp;"P"&amp;$A9)*RTD("tos.rtd",,"GAMMA","."&amp;S$2&amp;S$1&amp;"P"&amp;$A9))/1000000),0),IF($A$2="SKEW",IFERROR(VALUE(IF(RTD("tos.rtd",,"IMPL_VOL","."&amp;S$2&amp;S$1&amp;"P"&amp;$A9)="N/A",0,RTD("tos.rtd",,"IMPL_VOL","."&amp;S$2&amp;S$1&amp;"P"&amp;$A9))),0)-IFERROR(VALUE(IF(RTD("tos.rtd",,"IMPL_VOL","."&amp;S$2&amp;S$1&amp;"C"&amp;$A9)="N/A",0,RTD("tos.rtd",,"IMPL_VOL","."&amp;S$2&amp;S$1&amp;"C"&amp;$A9))),0),IF($A$2="MAXPAIN",IF($A$4&gt;$A9,($A$4-$A9)*IF(RTD("tos.rtd",,"OPEN_INT","."&amp;S$2&amp;S$1&amp;"C"&amp;$A9)="N/A",0,RTD("tos.rtd",,"OPEN_INT","."&amp;S$2&amp;S$1&amp;"C"&amp;$A9)),0)+IF($A$4&lt;$A9,($A$5-$A$4)*IF(RTD("tos.rtd",,"OPEN_INT","."&amp;S$2&amp;S$1&amp;"P"&amp;$A9)="N/A",0,RTD("tos.rtd",,"OPEN_INT","."&amp;S$2&amp;S$1&amp;"P"&amp;$A9)),0),IF($X$1="ABS",IF(RTD("tos.rtd",,$A$2,"."&amp;S$2&amp;S$1&amp;"C"&amp;$A9)="N/A",0,RTD("tos.rtd",,$A$2,"."&amp;S$2&amp;S$1&amp;"C"&amp;$A9))+IF(RTD("tos.rtd",,$A$2,"."&amp;S$2&amp;S$1&amp;"P"&amp;$A9)="N/A",0,RTD("tos.rtd",,$A$2,"."&amp;S$2&amp;S$1&amp;"P"&amp;$A9)),IF(RTD("tos.rtd",,$A$2,"."&amp;S$2&amp;S$1&amp;"C"&amp;$A9)="N/A",0,RTD("tos.rtd",,$A$2,"."&amp;S$2&amp;S$1&amp;"C"&amp;$A9))-IF(RTD("tos.rtd",,$A$2,"."&amp;S$2&amp;S$1&amp;"P"&amp;$A9)="N/A",0,RTD("tos.rtd",,$A$2,"."&amp;S$2&amp;S$1&amp;"P"&amp;$A9))))))))))</f>
        <v>0</v>
      </c>
      <c r="T9" s="12">
        <f ca="1">IF($A$2="PREMIUM_OI",IFERROR(IF($X$1="ABS",(100*RTD("tos.rtd",,"OPEN_INT","."&amp;T$2&amp;T$1&amp;"C"&amp;$A9)*RTD("tos.rtd",,"LAST","."&amp;T$2&amp;T$1&amp;"C"&amp;$A9)+100*RTD("tos.rtd",,"OPEN_INT","."&amp;T$2&amp;T$1&amp;"P"&amp;$A9)*RTD("tos.rtd",,"LAST","."&amp;T$2&amp;T$1&amp;"P"&amp;$A9))/1000000,(100*RTD("tos.rtd",,"OPEN_INT","."&amp;T$2&amp;T$1&amp;"C"&amp;$A9)*RTD("tos.rtd",,"LAST","."&amp;T$2&amp;T$1&amp;"C"&amp;$A9)-100*RTD("tos.rtd",,"OPEN_INT","."&amp;T$2&amp;T$1&amp;"P"&amp;$A9)*RTD("tos.rtd",,"LAST","."&amp;T$2&amp;T$1&amp;"P"&amp;$A9))/1000000),0),IF($A$2="PREMIUM",IFERROR(IF($X$1="ABS",(100*RTD("tos.rtd",,"VOLUME","."&amp;T$2&amp;T$1&amp;"C"&amp;$A9)*RTD("tos.rtd",,"LAST","."&amp;T$2&amp;T$1&amp;"C"&amp;$A9)+100*RTD("tos.rtd",,"VOLUME","."&amp;T$2&amp;T$1&amp;"P"&amp;$A9)*RTD("tos.rtd",,"LAST","."&amp;T$2&amp;T$1&amp;"P"&amp;$A9))/1000000,(100*RTD("tos.rtd",,"VOLUME","."&amp;T$2&amp;T$1&amp;"C"&amp;$A9)*RTD("tos.rtd",,"LAST","."&amp;T$2&amp;T$1&amp;"C"&amp;$A9)-100*RTD("tos.rtd",,"VOLUME","."&amp;T$2&amp;T$1&amp;"P"&amp;$A9)*RTD("tos.rtd",,"LAST","."&amp;T$2&amp;T$1&amp;"P"&amp;$A9))/1000000),0),IF($A$2="DEX",IFERROR(IF($X$1="ABS",(100*RTD("tos.rtd",,"OPEN_INT","."&amp;T$2&amp;T$1&amp;"C"&amp;$A9)*RTD("tos.rtd",,"DELTA","."&amp;T$2&amp;T$1&amp;"C"&amp;$A9)+100*RTD("tos.rtd",,"OPEN_INT","."&amp;T$2&amp;T$1&amp;"P"&amp;$A9)*RTD("tos.rtd",,"DELTA","."&amp;T$2&amp;T$1&amp;"P"&amp;$A9))/1000,(100*RTD("tos.rtd",,"OPEN_INT","."&amp;T$2&amp;T$1&amp;"C"&amp;$A9)*RTD("tos.rtd",,"DELTA","."&amp;T$2&amp;T$1&amp;"C"&amp;$A9)-100*RTD("tos.rtd",,"OPEN_INT","."&amp;T$2&amp;T$1&amp;"P"&amp;$A9)*RTD("tos.rtd",,"DELTA","."&amp;T$2&amp;T$1&amp;"P"&amp;$A9))/1000),0),IF($A$2="VEX",IFERROR(IF($X$1="ABS",($A$4*$A$4*RTD("tos.rtd",,"VOLUME","."&amp;T$2&amp;T$1&amp;"C"&amp;$A9)*RTD("tos.rtd",,"GAMMA","."&amp;T$2&amp;T$1&amp;"C"&amp;$A9)+$A$4*$A$4*RTD("tos.rtd",,"VOLUME","."&amp;T$2&amp;T$1&amp;"P"&amp;$A9)*RTD("tos.rtd",,"GAMMA","."&amp;T$2&amp;T$1&amp;"P"&amp;$A9))/1000000,($A$4*$A$4*RTD("tos.rtd",,"VOLUME","."&amp;T$2&amp;T$1&amp;"C"&amp;$A9)*RTD("tos.rtd",,"GAMMA","."&amp;T$2&amp;T$1&amp;"C"&amp;$A9)-$A$4*$A$4*RTD("tos.rtd",,"VOLUME","."&amp;T$2&amp;T$1&amp;"P"&amp;$A9)*RTD("tos.rtd",,"GAMMA","."&amp;T$2&amp;T$1&amp;"P"&amp;$A9))/1000000),0),IF($A$2="GEX",IFERROR(IF($X$1="ABS",($A$4*$A$4*RTD("tos.rtd",,"OPEN_INT","."&amp;T$2&amp;T$1&amp;"C"&amp;$A9)*RTD("tos.rtd",,"GAMMA","."&amp;T$2&amp;T$1&amp;"C"&amp;$A9)+$A$4*$A$4*RTD("tos.rtd",,"OPEN_INT","."&amp;T$2&amp;T$1&amp;"P"&amp;$A9)*RTD("tos.rtd",,"GAMMA","."&amp;T$2&amp;T$1&amp;"P"&amp;$A9))/1000000,($A$4*$A$4*RTD("tos.rtd",,"OPEN_INT","."&amp;T$2&amp;T$1&amp;"C"&amp;$A9)*RTD("tos.rtd",,"GAMMA","."&amp;T$2&amp;T$1&amp;"C"&amp;$A9)-$A$4*$A$4*RTD("tos.rtd",,"OPEN_INT","."&amp;T$2&amp;T$1&amp;"P"&amp;$A9)*RTD("tos.rtd",,"GAMMA","."&amp;T$2&amp;T$1&amp;"P"&amp;$A9))/1000000),0),IF($A$2="SKEW",IFERROR(VALUE(IF(RTD("tos.rtd",,"IMPL_VOL","."&amp;T$2&amp;T$1&amp;"P"&amp;$A9)="N/A",0,RTD("tos.rtd",,"IMPL_VOL","."&amp;T$2&amp;T$1&amp;"P"&amp;$A9))),0)-IFERROR(VALUE(IF(RTD("tos.rtd",,"IMPL_VOL","."&amp;T$2&amp;T$1&amp;"C"&amp;$A9)="N/A",0,RTD("tos.rtd",,"IMPL_VOL","."&amp;T$2&amp;T$1&amp;"C"&amp;$A9))),0),IF($A$2="MAXPAIN",IF($A$4&gt;$A9,($A$4-$A9)*IF(RTD("tos.rtd",,"OPEN_INT","."&amp;T$2&amp;T$1&amp;"C"&amp;$A9)="N/A",0,RTD("tos.rtd",,"OPEN_INT","."&amp;T$2&amp;T$1&amp;"C"&amp;$A9)),0)+IF($A$4&lt;$A9,($A$5-$A$4)*IF(RTD("tos.rtd",,"OPEN_INT","."&amp;T$2&amp;T$1&amp;"P"&amp;$A9)="N/A",0,RTD("tos.rtd",,"OPEN_INT","."&amp;T$2&amp;T$1&amp;"P"&amp;$A9)),0),IF($X$1="ABS",IF(RTD("tos.rtd",,$A$2,"."&amp;T$2&amp;T$1&amp;"C"&amp;$A9)="N/A",0,RTD("tos.rtd",,$A$2,"."&amp;T$2&amp;T$1&amp;"C"&amp;$A9))+IF(RTD("tos.rtd",,$A$2,"."&amp;T$2&amp;T$1&amp;"P"&amp;$A9)="N/A",0,RTD("tos.rtd",,$A$2,"."&amp;T$2&amp;T$1&amp;"P"&amp;$A9)),IF(RTD("tos.rtd",,$A$2,"."&amp;T$2&amp;T$1&amp;"C"&amp;$A9)="N/A",0,RTD("tos.rtd",,$A$2,"."&amp;T$2&amp;T$1&amp;"C"&amp;$A9))-IF(RTD("tos.rtd",,$A$2,"."&amp;T$2&amp;T$1&amp;"P"&amp;$A9)="N/A",0,RTD("tos.rtd",,$A$2,"."&amp;T$2&amp;T$1&amp;"P"&amp;$A9))))))))))</f>
        <v>0</v>
      </c>
      <c r="U9" s="12">
        <f ca="1">IF($A$2="PREMIUM_OI",IFERROR(IF($X$1="ABS",(100*RTD("tos.rtd",,"OPEN_INT","."&amp;U$2&amp;U$1&amp;"C"&amp;$A9)*RTD("tos.rtd",,"LAST","."&amp;U$2&amp;U$1&amp;"C"&amp;$A9)+100*RTD("tos.rtd",,"OPEN_INT","."&amp;U$2&amp;U$1&amp;"P"&amp;$A9)*RTD("tos.rtd",,"LAST","."&amp;U$2&amp;U$1&amp;"P"&amp;$A9))/1000000,(100*RTD("tos.rtd",,"OPEN_INT","."&amp;U$2&amp;U$1&amp;"C"&amp;$A9)*RTD("tos.rtd",,"LAST","."&amp;U$2&amp;U$1&amp;"C"&amp;$A9)-100*RTD("tos.rtd",,"OPEN_INT","."&amp;U$2&amp;U$1&amp;"P"&amp;$A9)*RTD("tos.rtd",,"LAST","."&amp;U$2&amp;U$1&amp;"P"&amp;$A9))/1000000),0),IF($A$2="PREMIUM",IFERROR(IF($X$1="ABS",(100*RTD("tos.rtd",,"VOLUME","."&amp;U$2&amp;U$1&amp;"C"&amp;$A9)*RTD("tos.rtd",,"LAST","."&amp;U$2&amp;U$1&amp;"C"&amp;$A9)+100*RTD("tos.rtd",,"VOLUME","."&amp;U$2&amp;U$1&amp;"P"&amp;$A9)*RTD("tos.rtd",,"LAST","."&amp;U$2&amp;U$1&amp;"P"&amp;$A9))/1000000,(100*RTD("tos.rtd",,"VOLUME","."&amp;U$2&amp;U$1&amp;"C"&amp;$A9)*RTD("tos.rtd",,"LAST","."&amp;U$2&amp;U$1&amp;"C"&amp;$A9)-100*RTD("tos.rtd",,"VOLUME","."&amp;U$2&amp;U$1&amp;"P"&amp;$A9)*RTD("tos.rtd",,"LAST","."&amp;U$2&amp;U$1&amp;"P"&amp;$A9))/1000000),0),IF($A$2="DEX",IFERROR(IF($X$1="ABS",(100*RTD("tos.rtd",,"OPEN_INT","."&amp;U$2&amp;U$1&amp;"C"&amp;$A9)*RTD("tos.rtd",,"DELTA","."&amp;U$2&amp;U$1&amp;"C"&amp;$A9)+100*RTD("tos.rtd",,"OPEN_INT","."&amp;U$2&amp;U$1&amp;"P"&amp;$A9)*RTD("tos.rtd",,"DELTA","."&amp;U$2&amp;U$1&amp;"P"&amp;$A9))/1000,(100*RTD("tos.rtd",,"OPEN_INT","."&amp;U$2&amp;U$1&amp;"C"&amp;$A9)*RTD("tos.rtd",,"DELTA","."&amp;U$2&amp;U$1&amp;"C"&amp;$A9)-100*RTD("tos.rtd",,"OPEN_INT","."&amp;U$2&amp;U$1&amp;"P"&amp;$A9)*RTD("tos.rtd",,"DELTA","."&amp;U$2&amp;U$1&amp;"P"&amp;$A9))/1000),0),IF($A$2="VEX",IFERROR(IF($X$1="ABS",($A$4*$A$4*RTD("tos.rtd",,"VOLUME","."&amp;U$2&amp;U$1&amp;"C"&amp;$A9)*RTD("tos.rtd",,"GAMMA","."&amp;U$2&amp;U$1&amp;"C"&amp;$A9)+$A$4*$A$4*RTD("tos.rtd",,"VOLUME","."&amp;U$2&amp;U$1&amp;"P"&amp;$A9)*RTD("tos.rtd",,"GAMMA","."&amp;U$2&amp;U$1&amp;"P"&amp;$A9))/1000000,($A$4*$A$4*RTD("tos.rtd",,"VOLUME","."&amp;U$2&amp;U$1&amp;"C"&amp;$A9)*RTD("tos.rtd",,"GAMMA","."&amp;U$2&amp;U$1&amp;"C"&amp;$A9)-$A$4*$A$4*RTD("tos.rtd",,"VOLUME","."&amp;U$2&amp;U$1&amp;"P"&amp;$A9)*RTD("tos.rtd",,"GAMMA","."&amp;U$2&amp;U$1&amp;"P"&amp;$A9))/1000000),0),IF($A$2="GEX",IFERROR(IF($X$1="ABS",($A$4*$A$4*RTD("tos.rtd",,"OPEN_INT","."&amp;U$2&amp;U$1&amp;"C"&amp;$A9)*RTD("tos.rtd",,"GAMMA","."&amp;U$2&amp;U$1&amp;"C"&amp;$A9)+$A$4*$A$4*RTD("tos.rtd",,"OPEN_INT","."&amp;U$2&amp;U$1&amp;"P"&amp;$A9)*RTD("tos.rtd",,"GAMMA","."&amp;U$2&amp;U$1&amp;"P"&amp;$A9))/1000000,($A$4*$A$4*RTD("tos.rtd",,"OPEN_INT","."&amp;U$2&amp;U$1&amp;"C"&amp;$A9)*RTD("tos.rtd",,"GAMMA","."&amp;U$2&amp;U$1&amp;"C"&amp;$A9)-$A$4*$A$4*RTD("tos.rtd",,"OPEN_INT","."&amp;U$2&amp;U$1&amp;"P"&amp;$A9)*RTD("tos.rtd",,"GAMMA","."&amp;U$2&amp;U$1&amp;"P"&amp;$A9))/1000000),0),IF($A$2="SKEW",IFERROR(VALUE(IF(RTD("tos.rtd",,"IMPL_VOL","."&amp;U$2&amp;U$1&amp;"P"&amp;$A9)="N/A",0,RTD("tos.rtd",,"IMPL_VOL","."&amp;U$2&amp;U$1&amp;"P"&amp;$A9))),0)-IFERROR(VALUE(IF(RTD("tos.rtd",,"IMPL_VOL","."&amp;U$2&amp;U$1&amp;"C"&amp;$A9)="N/A",0,RTD("tos.rtd",,"IMPL_VOL","."&amp;U$2&amp;U$1&amp;"C"&amp;$A9))),0),IF($A$2="MAXPAIN",IF($A$4&gt;$A9,($A$4-$A9)*IF(RTD("tos.rtd",,"OPEN_INT","."&amp;U$2&amp;U$1&amp;"C"&amp;$A9)="N/A",0,RTD("tos.rtd",,"OPEN_INT","."&amp;U$2&amp;U$1&amp;"C"&amp;$A9)),0)+IF($A$4&lt;$A9,($A$5-$A$4)*IF(RTD("tos.rtd",,"OPEN_INT","."&amp;U$2&amp;U$1&amp;"P"&amp;$A9)="N/A",0,RTD("tos.rtd",,"OPEN_INT","."&amp;U$2&amp;U$1&amp;"P"&amp;$A9)),0),IF($X$1="ABS",IF(RTD("tos.rtd",,$A$2,"."&amp;U$2&amp;U$1&amp;"C"&amp;$A9)="N/A",0,RTD("tos.rtd",,$A$2,"."&amp;U$2&amp;U$1&amp;"C"&amp;$A9))+IF(RTD("tos.rtd",,$A$2,"."&amp;U$2&amp;U$1&amp;"P"&amp;$A9)="N/A",0,RTD("tos.rtd",,$A$2,"."&amp;U$2&amp;U$1&amp;"P"&amp;$A9)),IF(RTD("tos.rtd",,$A$2,"."&amp;U$2&amp;U$1&amp;"C"&amp;$A9)="N/A",0,RTD("tos.rtd",,$A$2,"."&amp;U$2&amp;U$1&amp;"C"&amp;$A9))-IF(RTD("tos.rtd",,$A$2,"."&amp;U$2&amp;U$1&amp;"P"&amp;$A9)="N/A",0,RTD("tos.rtd",,$A$2,"."&amp;U$2&amp;U$1&amp;"P"&amp;$A9))))))))))</f>
        <v>0</v>
      </c>
      <c r="V9" s="12">
        <f ca="1">IF($A$2="PREMIUM_OI",IFERROR(IF($X$1="ABS",(100*RTD("tos.rtd",,"OPEN_INT","."&amp;V$2&amp;V$1&amp;"C"&amp;$A9)*RTD("tos.rtd",,"LAST","."&amp;V$2&amp;V$1&amp;"C"&amp;$A9)+100*RTD("tos.rtd",,"OPEN_INT","."&amp;V$2&amp;V$1&amp;"P"&amp;$A9)*RTD("tos.rtd",,"LAST","."&amp;V$2&amp;V$1&amp;"P"&amp;$A9))/1000000,(100*RTD("tos.rtd",,"OPEN_INT","."&amp;V$2&amp;V$1&amp;"C"&amp;$A9)*RTD("tos.rtd",,"LAST","."&amp;V$2&amp;V$1&amp;"C"&amp;$A9)-100*RTD("tos.rtd",,"OPEN_INT","."&amp;V$2&amp;V$1&amp;"P"&amp;$A9)*RTD("tos.rtd",,"LAST","."&amp;V$2&amp;V$1&amp;"P"&amp;$A9))/1000000),0),IF($A$2="PREMIUM",IFERROR(IF($X$1="ABS",(100*RTD("tos.rtd",,"VOLUME","."&amp;V$2&amp;V$1&amp;"C"&amp;$A9)*RTD("tos.rtd",,"LAST","."&amp;V$2&amp;V$1&amp;"C"&amp;$A9)+100*RTD("tos.rtd",,"VOLUME","."&amp;V$2&amp;V$1&amp;"P"&amp;$A9)*RTD("tos.rtd",,"LAST","."&amp;V$2&amp;V$1&amp;"P"&amp;$A9))/1000000,(100*RTD("tos.rtd",,"VOLUME","."&amp;V$2&amp;V$1&amp;"C"&amp;$A9)*RTD("tos.rtd",,"LAST","."&amp;V$2&amp;V$1&amp;"C"&amp;$A9)-100*RTD("tos.rtd",,"VOLUME","."&amp;V$2&amp;V$1&amp;"P"&amp;$A9)*RTD("tos.rtd",,"LAST","."&amp;V$2&amp;V$1&amp;"P"&amp;$A9))/1000000),0),IF($A$2="DEX",IFERROR(IF($X$1="ABS",(100*RTD("tos.rtd",,"OPEN_INT","."&amp;V$2&amp;V$1&amp;"C"&amp;$A9)*RTD("tos.rtd",,"DELTA","."&amp;V$2&amp;V$1&amp;"C"&amp;$A9)+100*RTD("tos.rtd",,"OPEN_INT","."&amp;V$2&amp;V$1&amp;"P"&amp;$A9)*RTD("tos.rtd",,"DELTA","."&amp;V$2&amp;V$1&amp;"P"&amp;$A9))/1000,(100*RTD("tos.rtd",,"OPEN_INT","."&amp;V$2&amp;V$1&amp;"C"&amp;$A9)*RTD("tos.rtd",,"DELTA","."&amp;V$2&amp;V$1&amp;"C"&amp;$A9)-100*RTD("tos.rtd",,"OPEN_INT","."&amp;V$2&amp;V$1&amp;"P"&amp;$A9)*RTD("tos.rtd",,"DELTA","."&amp;V$2&amp;V$1&amp;"P"&amp;$A9))/1000),0),IF($A$2="VEX",IFERROR(IF($X$1="ABS",($A$4*$A$4*RTD("tos.rtd",,"VOLUME","."&amp;V$2&amp;V$1&amp;"C"&amp;$A9)*RTD("tos.rtd",,"GAMMA","."&amp;V$2&amp;V$1&amp;"C"&amp;$A9)+$A$4*$A$4*RTD("tos.rtd",,"VOLUME","."&amp;V$2&amp;V$1&amp;"P"&amp;$A9)*RTD("tos.rtd",,"GAMMA","."&amp;V$2&amp;V$1&amp;"P"&amp;$A9))/1000000,($A$4*$A$4*RTD("tos.rtd",,"VOLUME","."&amp;V$2&amp;V$1&amp;"C"&amp;$A9)*RTD("tos.rtd",,"GAMMA","."&amp;V$2&amp;V$1&amp;"C"&amp;$A9)-$A$4*$A$4*RTD("tos.rtd",,"VOLUME","."&amp;V$2&amp;V$1&amp;"P"&amp;$A9)*RTD("tos.rtd",,"GAMMA","."&amp;V$2&amp;V$1&amp;"P"&amp;$A9))/1000000),0),IF($A$2="GEX",IFERROR(IF($X$1="ABS",($A$4*$A$4*RTD("tos.rtd",,"OPEN_INT","."&amp;V$2&amp;V$1&amp;"C"&amp;$A9)*RTD("tos.rtd",,"GAMMA","."&amp;V$2&amp;V$1&amp;"C"&amp;$A9)+$A$4*$A$4*RTD("tos.rtd",,"OPEN_INT","."&amp;V$2&amp;V$1&amp;"P"&amp;$A9)*RTD("tos.rtd",,"GAMMA","."&amp;V$2&amp;V$1&amp;"P"&amp;$A9))/1000000,($A$4*$A$4*RTD("tos.rtd",,"OPEN_INT","."&amp;V$2&amp;V$1&amp;"C"&amp;$A9)*RTD("tos.rtd",,"GAMMA","."&amp;V$2&amp;V$1&amp;"C"&amp;$A9)-$A$4*$A$4*RTD("tos.rtd",,"OPEN_INT","."&amp;V$2&amp;V$1&amp;"P"&amp;$A9)*RTD("tos.rtd",,"GAMMA","."&amp;V$2&amp;V$1&amp;"P"&amp;$A9))/1000000),0),IF($A$2="SKEW",IFERROR(VALUE(IF(RTD("tos.rtd",,"IMPL_VOL","."&amp;V$2&amp;V$1&amp;"P"&amp;$A9)="N/A",0,RTD("tos.rtd",,"IMPL_VOL","."&amp;V$2&amp;V$1&amp;"P"&amp;$A9))),0)-IFERROR(VALUE(IF(RTD("tos.rtd",,"IMPL_VOL","."&amp;V$2&amp;V$1&amp;"C"&amp;$A9)="N/A",0,RTD("tos.rtd",,"IMPL_VOL","."&amp;V$2&amp;V$1&amp;"C"&amp;$A9))),0),IF($A$2="MAXPAIN",IF($A$4&gt;$A9,($A$4-$A9)*IF(RTD("tos.rtd",,"OPEN_INT","."&amp;V$2&amp;V$1&amp;"C"&amp;$A9)="N/A",0,RTD("tos.rtd",,"OPEN_INT","."&amp;V$2&amp;V$1&amp;"C"&amp;$A9)),0)+IF($A$4&lt;$A9,($A$5-$A$4)*IF(RTD("tos.rtd",,"OPEN_INT","."&amp;V$2&amp;V$1&amp;"P"&amp;$A9)="N/A",0,RTD("tos.rtd",,"OPEN_INT","."&amp;V$2&amp;V$1&amp;"P"&amp;$A9)),0),IF($X$1="ABS",IF(RTD("tos.rtd",,$A$2,"."&amp;V$2&amp;V$1&amp;"C"&amp;$A9)="N/A",0,RTD("tos.rtd",,$A$2,"."&amp;V$2&amp;V$1&amp;"C"&amp;$A9))+IF(RTD("tos.rtd",,$A$2,"."&amp;V$2&amp;V$1&amp;"P"&amp;$A9)="N/A",0,RTD("tos.rtd",,$A$2,"."&amp;V$2&amp;V$1&amp;"P"&amp;$A9)),IF(RTD("tos.rtd",,$A$2,"."&amp;V$2&amp;V$1&amp;"C"&amp;$A9)="N/A",0,RTD("tos.rtd",,$A$2,"."&amp;V$2&amp;V$1&amp;"C"&amp;$A9))-IF(RTD("tos.rtd",,$A$2,"."&amp;V$2&amp;V$1&amp;"P"&amp;$A9)="N/A",0,RTD("tos.rtd",,$A$2,"."&amp;V$2&amp;V$1&amp;"P"&amp;$A9))))))))))</f>
        <v>0</v>
      </c>
      <c r="W9" s="12">
        <f ca="1">IF($A$2="PREMIUM_OI",IFERROR(IF($X$1="ABS",(100*RTD("tos.rtd",,"OPEN_INT","."&amp;W$2&amp;W$1&amp;"C"&amp;$A9)*RTD("tos.rtd",,"LAST","."&amp;W$2&amp;W$1&amp;"C"&amp;$A9)+100*RTD("tos.rtd",,"OPEN_INT","."&amp;W$2&amp;W$1&amp;"P"&amp;$A9)*RTD("tos.rtd",,"LAST","."&amp;W$2&amp;W$1&amp;"P"&amp;$A9))/1000000,(100*RTD("tos.rtd",,"OPEN_INT","."&amp;W$2&amp;W$1&amp;"C"&amp;$A9)*RTD("tos.rtd",,"LAST","."&amp;W$2&amp;W$1&amp;"C"&amp;$A9)-100*RTD("tos.rtd",,"OPEN_INT","."&amp;W$2&amp;W$1&amp;"P"&amp;$A9)*RTD("tos.rtd",,"LAST","."&amp;W$2&amp;W$1&amp;"P"&amp;$A9))/1000000),0),IF($A$2="PREMIUM",IFERROR(IF($X$1="ABS",(100*RTD("tos.rtd",,"VOLUME","."&amp;W$2&amp;W$1&amp;"C"&amp;$A9)*RTD("tos.rtd",,"LAST","."&amp;W$2&amp;W$1&amp;"C"&amp;$A9)+100*RTD("tos.rtd",,"VOLUME","."&amp;W$2&amp;W$1&amp;"P"&amp;$A9)*RTD("tos.rtd",,"LAST","."&amp;W$2&amp;W$1&amp;"P"&amp;$A9))/1000000,(100*RTD("tos.rtd",,"VOLUME","."&amp;W$2&amp;W$1&amp;"C"&amp;$A9)*RTD("tos.rtd",,"LAST","."&amp;W$2&amp;W$1&amp;"C"&amp;$A9)-100*RTD("tos.rtd",,"VOLUME","."&amp;W$2&amp;W$1&amp;"P"&amp;$A9)*RTD("tos.rtd",,"LAST","."&amp;W$2&amp;W$1&amp;"P"&amp;$A9))/1000000),0),IF($A$2="DEX",IFERROR(IF($X$1="ABS",(100*RTD("tos.rtd",,"OPEN_INT","."&amp;W$2&amp;W$1&amp;"C"&amp;$A9)*RTD("tos.rtd",,"DELTA","."&amp;W$2&amp;W$1&amp;"C"&amp;$A9)+100*RTD("tos.rtd",,"OPEN_INT","."&amp;W$2&amp;W$1&amp;"P"&amp;$A9)*RTD("tos.rtd",,"DELTA","."&amp;W$2&amp;W$1&amp;"P"&amp;$A9))/1000,(100*RTD("tos.rtd",,"OPEN_INT","."&amp;W$2&amp;W$1&amp;"C"&amp;$A9)*RTD("tos.rtd",,"DELTA","."&amp;W$2&amp;W$1&amp;"C"&amp;$A9)-100*RTD("tos.rtd",,"OPEN_INT","."&amp;W$2&amp;W$1&amp;"P"&amp;$A9)*RTD("tos.rtd",,"DELTA","."&amp;W$2&amp;W$1&amp;"P"&amp;$A9))/1000),0),IF($A$2="VEX",IFERROR(IF($X$1="ABS",($A$4*$A$4*RTD("tos.rtd",,"VOLUME","."&amp;W$2&amp;W$1&amp;"C"&amp;$A9)*RTD("tos.rtd",,"GAMMA","."&amp;W$2&amp;W$1&amp;"C"&amp;$A9)+$A$4*$A$4*RTD("tos.rtd",,"VOLUME","."&amp;W$2&amp;W$1&amp;"P"&amp;$A9)*RTD("tos.rtd",,"GAMMA","."&amp;W$2&amp;W$1&amp;"P"&amp;$A9))/1000000,($A$4*$A$4*RTD("tos.rtd",,"VOLUME","."&amp;W$2&amp;W$1&amp;"C"&amp;$A9)*RTD("tos.rtd",,"GAMMA","."&amp;W$2&amp;W$1&amp;"C"&amp;$A9)-$A$4*$A$4*RTD("tos.rtd",,"VOLUME","."&amp;W$2&amp;W$1&amp;"P"&amp;$A9)*RTD("tos.rtd",,"GAMMA","."&amp;W$2&amp;W$1&amp;"P"&amp;$A9))/1000000),0),IF($A$2="GEX",IFERROR(IF($X$1="ABS",($A$4*$A$4*RTD("tos.rtd",,"OPEN_INT","."&amp;W$2&amp;W$1&amp;"C"&amp;$A9)*RTD("tos.rtd",,"GAMMA","."&amp;W$2&amp;W$1&amp;"C"&amp;$A9)+$A$4*$A$4*RTD("tos.rtd",,"OPEN_INT","."&amp;W$2&amp;W$1&amp;"P"&amp;$A9)*RTD("tos.rtd",,"GAMMA","."&amp;W$2&amp;W$1&amp;"P"&amp;$A9))/1000000,($A$4*$A$4*RTD("tos.rtd",,"OPEN_INT","."&amp;W$2&amp;W$1&amp;"C"&amp;$A9)*RTD("tos.rtd",,"GAMMA","."&amp;W$2&amp;W$1&amp;"C"&amp;$A9)-$A$4*$A$4*RTD("tos.rtd",,"OPEN_INT","."&amp;W$2&amp;W$1&amp;"P"&amp;$A9)*RTD("tos.rtd",,"GAMMA","."&amp;W$2&amp;W$1&amp;"P"&amp;$A9))/1000000),0),IF($A$2="SKEW",IFERROR(VALUE(IF(RTD("tos.rtd",,"IMPL_VOL","."&amp;W$2&amp;W$1&amp;"P"&amp;$A9)="N/A",0,RTD("tos.rtd",,"IMPL_VOL","."&amp;W$2&amp;W$1&amp;"P"&amp;$A9))),0)-IFERROR(VALUE(IF(RTD("tos.rtd",,"IMPL_VOL","."&amp;W$2&amp;W$1&amp;"C"&amp;$A9)="N/A",0,RTD("tos.rtd",,"IMPL_VOL","."&amp;W$2&amp;W$1&amp;"C"&amp;$A9))),0),IF($A$2="MAXPAIN",IF($A$4&gt;$A9,($A$4-$A9)*IF(RTD("tos.rtd",,"OPEN_INT","."&amp;W$2&amp;W$1&amp;"C"&amp;$A9)="N/A",0,RTD("tos.rtd",,"OPEN_INT","."&amp;W$2&amp;W$1&amp;"C"&amp;$A9)),0)+IF($A$4&lt;$A9,($A$5-$A$4)*IF(RTD("tos.rtd",,"OPEN_INT","."&amp;W$2&amp;W$1&amp;"P"&amp;$A9)="N/A",0,RTD("tos.rtd",,"OPEN_INT","."&amp;W$2&amp;W$1&amp;"P"&amp;$A9)),0),IF($X$1="ABS",IF(RTD("tos.rtd",,$A$2,"."&amp;W$2&amp;W$1&amp;"C"&amp;$A9)="N/A",0,RTD("tos.rtd",,$A$2,"."&amp;W$2&amp;W$1&amp;"C"&amp;$A9))+IF(RTD("tos.rtd",,$A$2,"."&amp;W$2&amp;W$1&amp;"P"&amp;$A9)="N/A",0,RTD("tos.rtd",,$A$2,"."&amp;W$2&amp;W$1&amp;"P"&amp;$A9)),IF(RTD("tos.rtd",,$A$2,"."&amp;W$2&amp;W$1&amp;"C"&amp;$A9)="N/A",0,RTD("tos.rtd",,$A$2,"."&amp;W$2&amp;W$1&amp;"C"&amp;$A9))-IF(RTD("tos.rtd",,$A$2,"."&amp;W$2&amp;W$1&amp;"P"&amp;$A9)="N/A",0,RTD("tos.rtd",,$A$2,"."&amp;W$2&amp;W$1&amp;"P"&amp;$A9))))))))))</f>
        <v>0</v>
      </c>
      <c r="X9" s="57">
        <f t="shared" ca="1" si="7"/>
        <v>0</v>
      </c>
      <c r="Y9" s="27">
        <f t="shared" ca="1" si="8"/>
        <v>0</v>
      </c>
      <c r="Z9" s="27" t="b">
        <f t="shared" ca="1" si="9"/>
        <v>0</v>
      </c>
      <c r="AA9" s="27">
        <f t="shared" si="10"/>
        <v>219792000</v>
      </c>
      <c r="AB9" s="18">
        <f>MAX(0, $A9-AB$4)*IF(RTD("tos.rtd",,"OPEN_INT","."&amp;$AA$3&amp;$AA$4&amp;"C"&amp;AB$4)="N/A",0,RTD("tos.rtd",,"OPEN_INT","."&amp;$AA$3&amp;$AA$4&amp;"C"&amp;AB$4))*100 + MAX(0, AB$4-$A9)*IF(RTD("tos.rtd",,"OPEN_INT","."&amp;$AA$3&amp;$AA$4&amp;"P"&amp;AB$4)="N/A",0,RTD("tos.rtd",,"OPEN_INT","."&amp;$AA$3&amp;$AA$4&amp;"P"&amp;AB$4))*100</f>
        <v>0</v>
      </c>
      <c r="AC9" s="18">
        <f>MAX(0, $A9-AC$4)*IF(RTD("tos.rtd",,"OPEN_INT","."&amp;$AA$3&amp;$AA$4&amp;"C"&amp;AC$4)="N/A",0,RTD("tos.rtd",,"OPEN_INT","."&amp;$AA$3&amp;$AA$4&amp;"C"&amp;AC$4))*100 + MAX(0, AC$4-$A9)*IF(RTD("tos.rtd",,"OPEN_INT","."&amp;$AA$3&amp;$AA$4&amp;"P"&amp;AC$4)="N/A",0,RTD("tos.rtd",,"OPEN_INT","."&amp;$AA$3&amp;$AA$4&amp;"P"&amp;AC$4))*100</f>
        <v>0</v>
      </c>
      <c r="AD9" s="18">
        <f>MAX(0, $A9-AD$4)*IF(RTD("tos.rtd",,"OPEN_INT","."&amp;$AA$3&amp;$AA$4&amp;"C"&amp;AD$4)="N/A",0,RTD("tos.rtd",,"OPEN_INT","."&amp;$AA$3&amp;$AA$4&amp;"C"&amp;AD$4))*100 + MAX(0, AD$4-$A9)*IF(RTD("tos.rtd",,"OPEN_INT","."&amp;$AA$3&amp;$AA$4&amp;"P"&amp;AD$4)="N/A",0,RTD("tos.rtd",,"OPEN_INT","."&amp;$AA$3&amp;$AA$4&amp;"P"&amp;AD$4))*100</f>
        <v>0</v>
      </c>
      <c r="AE9" s="18">
        <f>MAX(0, $A9-AE$4)*IF(RTD("tos.rtd",,"OPEN_INT","."&amp;$AA$3&amp;$AA$4&amp;"C"&amp;AE$4)="N/A",0,RTD("tos.rtd",,"OPEN_INT","."&amp;$AA$3&amp;$AA$4&amp;"C"&amp;AE$4))*100 + MAX(0, AE$4-$A9)*IF(RTD("tos.rtd",,"OPEN_INT","."&amp;$AA$3&amp;$AA$4&amp;"P"&amp;AE$4)="N/A",0,RTD("tos.rtd",,"OPEN_INT","."&amp;$AA$3&amp;$AA$4&amp;"P"&amp;AE$4))*100</f>
        <v>0</v>
      </c>
      <c r="AF9" s="18">
        <f>MAX(0, $A9-AF$4)*IF(RTD("tos.rtd",,"OPEN_INT","."&amp;$AA$3&amp;$AA$4&amp;"C"&amp;AF$4)="N/A",0,RTD("tos.rtd",,"OPEN_INT","."&amp;$AA$3&amp;$AA$4&amp;"C"&amp;AF$4))*100 + MAX(0, AF$4-$A9)*IF(RTD("tos.rtd",,"OPEN_INT","."&amp;$AA$3&amp;$AA$4&amp;"P"&amp;AF$4)="N/A",0,RTD("tos.rtd",,"OPEN_INT","."&amp;$AA$3&amp;$AA$4&amp;"P"&amp;AF$4))*100</f>
        <v>0</v>
      </c>
      <c r="AG9" s="18">
        <f>MAX(0, $A9-AG$4)*IF(RTD("tos.rtd",,"OPEN_INT","."&amp;$AA$3&amp;$AA$4&amp;"C"&amp;AG$4)="N/A",0,RTD("tos.rtd",,"OPEN_INT","."&amp;$AA$3&amp;$AA$4&amp;"C"&amp;AG$4))*100 + MAX(0, AG$4-$A9)*IF(RTD("tos.rtd",,"OPEN_INT","."&amp;$AA$3&amp;$AA$4&amp;"P"&amp;AG$4)="N/A",0,RTD("tos.rtd",,"OPEN_INT","."&amp;$AA$3&amp;$AA$4&amp;"P"&amp;AG$4))*100</f>
        <v>0</v>
      </c>
      <c r="AH9" s="18">
        <f>MAX(0, $A9-AH$4)*IF(RTD("tos.rtd",,"OPEN_INT","."&amp;$AA$3&amp;$AA$4&amp;"C"&amp;AH$4)="N/A",0,RTD("tos.rtd",,"OPEN_INT","."&amp;$AA$3&amp;$AA$4&amp;"C"&amp;AH$4))*100 + MAX(0, AH$4-$A9)*IF(RTD("tos.rtd",,"OPEN_INT","."&amp;$AA$3&amp;$AA$4&amp;"P"&amp;AH$4)="N/A",0,RTD("tos.rtd",,"OPEN_INT","."&amp;$AA$3&amp;$AA$4&amp;"P"&amp;AH$4))*100</f>
        <v>0</v>
      </c>
      <c r="AI9" s="18">
        <f>MAX(0, $A9-AI$4)*IF(RTD("tos.rtd",,"OPEN_INT","."&amp;$AA$3&amp;$AA$4&amp;"C"&amp;AI$4)="N/A",0,RTD("tos.rtd",,"OPEN_INT","."&amp;$AA$3&amp;$AA$4&amp;"C"&amp;AI$4))*100 + MAX(0, AI$4-$A9)*IF(RTD("tos.rtd",,"OPEN_INT","."&amp;$AA$3&amp;$AA$4&amp;"P"&amp;AI$4)="N/A",0,RTD("tos.rtd",,"OPEN_INT","."&amp;$AA$3&amp;$AA$4&amp;"P"&amp;AI$4))*100</f>
        <v>407400</v>
      </c>
      <c r="AJ9" s="18">
        <f>MAX(0, $A9-AJ$4)*IF(RTD("tos.rtd",,"OPEN_INT","."&amp;$AA$3&amp;$AA$4&amp;"C"&amp;AJ$4)="N/A",0,RTD("tos.rtd",,"OPEN_INT","."&amp;$AA$3&amp;$AA$4&amp;"C"&amp;AJ$4))*100 + MAX(0, AJ$4-$A9)*IF(RTD("tos.rtd",,"OPEN_INT","."&amp;$AA$3&amp;$AA$4&amp;"P"&amp;AJ$4)="N/A",0,RTD("tos.rtd",,"OPEN_INT","."&amp;$AA$3&amp;$AA$4&amp;"P"&amp;AJ$4))*100</f>
        <v>53800</v>
      </c>
      <c r="AK9" s="18">
        <f>MAX(0, $A9-AK$4)*IF(RTD("tos.rtd",,"OPEN_INT","."&amp;$AA$3&amp;$AA$4&amp;"C"&amp;AK$4)="N/A",0,RTD("tos.rtd",,"OPEN_INT","."&amp;$AA$3&amp;$AA$4&amp;"C"&amp;AK$4))*100 + MAX(0, AK$4-$A9)*IF(RTD("tos.rtd",,"OPEN_INT","."&amp;$AA$3&amp;$AA$4&amp;"P"&amp;AK$4)="N/A",0,RTD("tos.rtd",,"OPEN_INT","."&amp;$AA$3&amp;$AA$4&amp;"P"&amp;AK$4))*100</f>
        <v>703250</v>
      </c>
      <c r="AL9" s="18">
        <f>MAX(0, $A9-AL$4)*IF(RTD("tos.rtd",,"OPEN_INT","."&amp;$AA$3&amp;$AA$4&amp;"C"&amp;AL$4)="N/A",0,RTD("tos.rtd",,"OPEN_INT","."&amp;$AA$3&amp;$AA$4&amp;"C"&amp;AL$4))*100 + MAX(0, AL$4-$A9)*IF(RTD("tos.rtd",,"OPEN_INT","."&amp;$AA$3&amp;$AA$4&amp;"P"&amp;AL$4)="N/A",0,RTD("tos.rtd",,"OPEN_INT","."&amp;$AA$3&amp;$AA$4&amp;"P"&amp;AL$4))*100</f>
        <v>0</v>
      </c>
      <c r="AM9" s="18">
        <f>MAX(0, $A9-AM$4)*IF(RTD("tos.rtd",,"OPEN_INT","."&amp;$AA$3&amp;$AA$4&amp;"C"&amp;AM$4)="N/A",0,RTD("tos.rtd",,"OPEN_INT","."&amp;$AA$3&amp;$AA$4&amp;"C"&amp;AM$4))*100 + MAX(0, AM$4-$A9)*IF(RTD("tos.rtd",,"OPEN_INT","."&amp;$AA$3&amp;$AA$4&amp;"P"&amp;AM$4)="N/A",0,RTD("tos.rtd",,"OPEN_INT","."&amp;$AA$3&amp;$AA$4&amp;"P"&amp;AM$4))*100</f>
        <v>827750</v>
      </c>
      <c r="AN9" s="18">
        <f>MAX(0, $A9-AN$4)*IF(RTD("tos.rtd",,"OPEN_INT","."&amp;$AA$3&amp;$AA$4&amp;"C"&amp;AN$4)="N/A",0,RTD("tos.rtd",,"OPEN_INT","."&amp;$AA$3&amp;$AA$4&amp;"C"&amp;AN$4))*100 + MAX(0, AN$4-$A9)*IF(RTD("tos.rtd",,"OPEN_INT","."&amp;$AA$3&amp;$AA$4&amp;"P"&amp;AN$4)="N/A",0,RTD("tos.rtd",,"OPEN_INT","."&amp;$AA$3&amp;$AA$4&amp;"P"&amp;AN$4))*100</f>
        <v>0</v>
      </c>
      <c r="AO9" s="18">
        <f>MAX(0, $A9-AO$4)*IF(RTD("tos.rtd",,"OPEN_INT","."&amp;$AA$3&amp;$AA$4&amp;"C"&amp;AO$4)="N/A",0,RTD("tos.rtd",,"OPEN_INT","."&amp;$AA$3&amp;$AA$4&amp;"C"&amp;AO$4))*100 + MAX(0, AO$4-$A9)*IF(RTD("tos.rtd",,"OPEN_INT","."&amp;$AA$3&amp;$AA$4&amp;"P"&amp;AO$4)="N/A",0,RTD("tos.rtd",,"OPEN_INT","."&amp;$AA$3&amp;$AA$4&amp;"P"&amp;AO$4))*100</f>
        <v>310050</v>
      </c>
      <c r="AP9" s="18">
        <f>MAX(0, $A9-AP$4)*IF(RTD("tos.rtd",,"OPEN_INT","."&amp;$AA$3&amp;$AA$4&amp;"C"&amp;AP$4)="N/A",0,RTD("tos.rtd",,"OPEN_INT","."&amp;$AA$3&amp;$AA$4&amp;"C"&amp;AP$4))*100 + MAX(0, AP$4-$A9)*IF(RTD("tos.rtd",,"OPEN_INT","."&amp;$AA$3&amp;$AA$4&amp;"P"&amp;AP$4)="N/A",0,RTD("tos.rtd",,"OPEN_INT","."&amp;$AA$3&amp;$AA$4&amp;"P"&amp;AP$4))*100</f>
        <v>0</v>
      </c>
      <c r="AQ9" s="18">
        <f>MAX(0, $A9-AQ$4)*IF(RTD("tos.rtd",,"OPEN_INT","."&amp;$AA$3&amp;$AA$4&amp;"C"&amp;AQ$4)="N/A",0,RTD("tos.rtd",,"OPEN_INT","."&amp;$AA$3&amp;$AA$4&amp;"C"&amp;AQ$4))*100 + MAX(0, AQ$4-$A9)*IF(RTD("tos.rtd",,"OPEN_INT","."&amp;$AA$3&amp;$AA$4&amp;"P"&amp;AQ$4)="N/A",0,RTD("tos.rtd",,"OPEN_INT","."&amp;$AA$3&amp;$AA$4&amp;"P"&amp;AQ$4))*100</f>
        <v>352000</v>
      </c>
      <c r="AR9" s="18">
        <f>MAX(0, $A9-AR$4)*IF(RTD("tos.rtd",,"OPEN_INT","."&amp;$AA$3&amp;$AA$4&amp;"C"&amp;AR$4)="N/A",0,RTD("tos.rtd",,"OPEN_INT","."&amp;$AA$3&amp;$AA$4&amp;"C"&amp;AR$4))*100 + MAX(0, AR$4-$A9)*IF(RTD("tos.rtd",,"OPEN_INT","."&amp;$AA$3&amp;$AA$4&amp;"P"&amp;AR$4)="N/A",0,RTD("tos.rtd",,"OPEN_INT","."&amp;$AA$3&amp;$AA$4&amp;"P"&amp;AR$4))*100</f>
        <v>600</v>
      </c>
      <c r="AS9" s="18">
        <f>MAX(0, $A9-AS$4)*IF(RTD("tos.rtd",,"OPEN_INT","."&amp;$AA$3&amp;$AA$4&amp;"C"&amp;AS$4)="N/A",0,RTD("tos.rtd",,"OPEN_INT","."&amp;$AA$3&amp;$AA$4&amp;"C"&amp;AS$4))*100 + MAX(0, AS$4-$A9)*IF(RTD("tos.rtd",,"OPEN_INT","."&amp;$AA$3&amp;$AA$4&amp;"P"&amp;AS$4)="N/A",0,RTD("tos.rtd",,"OPEN_INT","."&amp;$AA$3&amp;$AA$4&amp;"P"&amp;AS$4))*100</f>
        <v>560300</v>
      </c>
      <c r="AT9" s="18">
        <f>MAX(0, $A9-AT$4)*IF(RTD("tos.rtd",,"OPEN_INT","."&amp;$AA$3&amp;$AA$4&amp;"C"&amp;AT$4)="N/A",0,RTD("tos.rtd",,"OPEN_INT","."&amp;$AA$3&amp;$AA$4&amp;"C"&amp;AT$4))*100 + MAX(0, AT$4-$A9)*IF(RTD("tos.rtd",,"OPEN_INT","."&amp;$AA$3&amp;$AA$4&amp;"P"&amp;AT$4)="N/A",0,RTD("tos.rtd",,"OPEN_INT","."&amp;$AA$3&amp;$AA$4&amp;"P"&amp;AT$4))*100</f>
        <v>981400</v>
      </c>
      <c r="AU9" s="18">
        <f>MAX(0, $A9-AU$4)*IF(RTD("tos.rtd",,"OPEN_INT","."&amp;$AA$3&amp;$AA$4&amp;"C"&amp;AU$4)="N/A",0,RTD("tos.rtd",,"OPEN_INT","."&amp;$AA$3&amp;$AA$4&amp;"C"&amp;AU$4))*100 + MAX(0, AU$4-$A9)*IF(RTD("tos.rtd",,"OPEN_INT","."&amp;$AA$3&amp;$AA$4&amp;"P"&amp;AU$4)="N/A",0,RTD("tos.rtd",,"OPEN_INT","."&amp;$AA$3&amp;$AA$4&amp;"P"&amp;AU$4))*100</f>
        <v>1262250</v>
      </c>
      <c r="AV9" s="18">
        <f>MAX(0, $A9-AV$4)*IF(RTD("tos.rtd",,"OPEN_INT","."&amp;$AA$3&amp;$AA$4&amp;"C"&amp;AV$4)="N/A",0,RTD("tos.rtd",,"OPEN_INT","."&amp;$AA$3&amp;$AA$4&amp;"C"&amp;AV$4))*100 + MAX(0, AV$4-$A9)*IF(RTD("tos.rtd",,"OPEN_INT","."&amp;$AA$3&amp;$AA$4&amp;"P"&amp;AV$4)="N/A",0,RTD("tos.rtd",,"OPEN_INT","."&amp;$AA$3&amp;$AA$4&amp;"P"&amp;AV$4))*100</f>
        <v>1510400</v>
      </c>
      <c r="AW9" s="18">
        <f>MAX(0, $A9-AW$4)*IF(RTD("tos.rtd",,"OPEN_INT","."&amp;$AA$3&amp;$AA$4&amp;"C"&amp;AW$4)="N/A",0,RTD("tos.rtd",,"OPEN_INT","."&amp;$AA$3&amp;$AA$4&amp;"C"&amp;AW$4))*100 + MAX(0, AW$4-$A9)*IF(RTD("tos.rtd",,"OPEN_INT","."&amp;$AA$3&amp;$AA$4&amp;"P"&amp;AW$4)="N/A",0,RTD("tos.rtd",,"OPEN_INT","."&amp;$AA$3&amp;$AA$4&amp;"P"&amp;AW$4))*100</f>
        <v>2613750</v>
      </c>
      <c r="AX9" s="18">
        <f>MAX(0, $A9-AX$4)*IF(RTD("tos.rtd",,"OPEN_INT","."&amp;$AA$3&amp;$AA$4&amp;"C"&amp;AX$4)="N/A",0,RTD("tos.rtd",,"OPEN_INT","."&amp;$AA$3&amp;$AA$4&amp;"C"&amp;AX$4))*100 + MAX(0, AX$4-$A9)*IF(RTD("tos.rtd",,"OPEN_INT","."&amp;$AA$3&amp;$AA$4&amp;"P"&amp;AX$4)="N/A",0,RTD("tos.rtd",,"OPEN_INT","."&amp;$AA$3&amp;$AA$4&amp;"P"&amp;AX$4))*100</f>
        <v>3827700</v>
      </c>
      <c r="AY9" s="18">
        <f>MAX(0, $A9-AY$4)*IF(RTD("tos.rtd",,"OPEN_INT","."&amp;$AA$3&amp;$AA$4&amp;"C"&amp;AY$4)="N/A",0,RTD("tos.rtd",,"OPEN_INT","."&amp;$AA$3&amp;$AA$4&amp;"C"&amp;AY$4))*100 + MAX(0, AY$4-$A9)*IF(RTD("tos.rtd",,"OPEN_INT","."&amp;$AA$3&amp;$AA$4&amp;"P"&amp;AY$4)="N/A",0,RTD("tos.rtd",,"OPEN_INT","."&amp;$AA$3&amp;$AA$4&amp;"P"&amp;AY$4))*100</f>
        <v>18570600</v>
      </c>
      <c r="AZ9" s="18">
        <f>MAX(0, $A9-AZ$4)*IF(RTD("tos.rtd",,"OPEN_INT","."&amp;$AA$3&amp;$AA$4&amp;"C"&amp;AZ$4)="N/A",0,RTD("tos.rtd",,"OPEN_INT","."&amp;$AA$3&amp;$AA$4&amp;"C"&amp;AZ$4))*100 + MAX(0, AZ$4-$A9)*IF(RTD("tos.rtd",,"OPEN_INT","."&amp;$AA$3&amp;$AA$4&amp;"P"&amp;AZ$4)="N/A",0,RTD("tos.rtd",,"OPEN_INT","."&amp;$AA$3&amp;$AA$4&amp;"P"&amp;AZ$4))*100</f>
        <v>9850000</v>
      </c>
      <c r="BA9" s="18">
        <f>MAX(0, $A9-BA$4)*IF(RTD("tos.rtd",,"OPEN_INT","."&amp;$AA$3&amp;$AA$4&amp;"C"&amp;BA$4)="N/A",0,RTD("tos.rtd",,"OPEN_INT","."&amp;$AA$3&amp;$AA$4&amp;"C"&amp;BA$4))*100 + MAX(0, BA$4-$A9)*IF(RTD("tos.rtd",,"OPEN_INT","."&amp;$AA$3&amp;$AA$4&amp;"P"&amp;BA$4)="N/A",0,RTD("tos.rtd",,"OPEN_INT","."&amp;$AA$3&amp;$AA$4&amp;"P"&amp;BA$4))*100</f>
        <v>32347350</v>
      </c>
      <c r="BB9" s="18">
        <f>MAX(0, $A9-BB$4)*IF(RTD("tos.rtd",,"OPEN_INT","."&amp;$AA$3&amp;$AA$4&amp;"C"&amp;BB$4)="N/A",0,RTD("tos.rtd",,"OPEN_INT","."&amp;$AA$3&amp;$AA$4&amp;"C"&amp;BB$4))*100 + MAX(0, BB$4-$A9)*IF(RTD("tos.rtd",,"OPEN_INT","."&amp;$AA$3&amp;$AA$4&amp;"P"&amp;BB$4)="N/A",0,RTD("tos.rtd",,"OPEN_INT","."&amp;$AA$3&amp;$AA$4&amp;"P"&amp;BB$4))*100</f>
        <v>31523800</v>
      </c>
      <c r="BC9" s="18">
        <f>MAX(0, $A9-BC$4)*IF(RTD("tos.rtd",,"OPEN_INT","."&amp;$AA$3&amp;$AA$4&amp;"C"&amp;BC$4)="N/A",0,RTD("tos.rtd",,"OPEN_INT","."&amp;$AA$3&amp;$AA$4&amp;"C"&amp;BC$4))*100 + MAX(0, BC$4-$A9)*IF(RTD("tos.rtd",,"OPEN_INT","."&amp;$AA$3&amp;$AA$4&amp;"P"&amp;BC$4)="N/A",0,RTD("tos.rtd",,"OPEN_INT","."&amp;$AA$3&amp;$AA$4&amp;"P"&amp;BC$4))*100</f>
        <v>46819950</v>
      </c>
      <c r="BD9" s="18">
        <f>MAX(0, $A9-BD$4)*IF(RTD("tos.rtd",,"OPEN_INT","."&amp;$AA$3&amp;$AA$4&amp;"C"&amp;BD$4)="N/A",0,RTD("tos.rtd",,"OPEN_INT","."&amp;$AA$3&amp;$AA$4&amp;"C"&amp;BD$4))*100 + MAX(0, BD$4-$A9)*IF(RTD("tos.rtd",,"OPEN_INT","."&amp;$AA$3&amp;$AA$4&amp;"P"&amp;BD$4)="N/A",0,RTD("tos.rtd",,"OPEN_INT","."&amp;$AA$3&amp;$AA$4&amp;"P"&amp;BD$4))*100</f>
        <v>22272000</v>
      </c>
      <c r="BE9" s="18">
        <f>MAX(0, $A9-BE$4)*IF(RTD("tos.rtd",,"OPEN_INT","."&amp;$AA$3&amp;$AA$4&amp;"C"&amp;BE$4)="N/A",0,RTD("tos.rtd",,"OPEN_INT","."&amp;$AA$3&amp;$AA$4&amp;"C"&amp;BE$4))*100 + MAX(0, BE$4-$A9)*IF(RTD("tos.rtd",,"OPEN_INT","."&amp;$AA$3&amp;$AA$4&amp;"P"&amp;BE$4)="N/A",0,RTD("tos.rtd",,"OPEN_INT","."&amp;$AA$3&amp;$AA$4&amp;"P"&amp;BE$4))*100</f>
        <v>21597500</v>
      </c>
      <c r="BF9" s="18">
        <f>MAX(0, $A9-BF$4)*IF(RTD("tos.rtd",,"OPEN_INT","."&amp;$AA$3&amp;$AA$4&amp;"C"&amp;BF$4)="N/A",0,RTD("tos.rtd",,"OPEN_INT","."&amp;$AA$3&amp;$AA$4&amp;"C"&amp;BF$4))*100 + MAX(0, BF$4-$A9)*IF(RTD("tos.rtd",,"OPEN_INT","."&amp;$AA$3&amp;$AA$4&amp;"P"&amp;BF$4)="N/A",0,RTD("tos.rtd",,"OPEN_INT","."&amp;$AA$3&amp;$AA$4&amp;"P"&amp;BF$4))*100</f>
        <v>10929100</v>
      </c>
      <c r="BG9" s="18">
        <f>MAX(0, $A9-BG$4)*IF(RTD("tos.rtd",,"OPEN_INT","."&amp;$AA$3&amp;$AA$4&amp;"C"&amp;BG$4)="N/A",0,RTD("tos.rtd",,"OPEN_INT","."&amp;$AA$3&amp;$AA$4&amp;"C"&amp;BG$4))*100 + MAX(0, BG$4-$A9)*IF(RTD("tos.rtd",,"OPEN_INT","."&amp;$AA$3&amp;$AA$4&amp;"P"&amp;BG$4)="N/A",0,RTD("tos.rtd",,"OPEN_INT","."&amp;$AA$3&amp;$AA$4&amp;"P"&amp;BG$4))*100</f>
        <v>7740900</v>
      </c>
      <c r="BH9" s="18">
        <f>MAX(0, $A9-BH$4)*IF(RTD("tos.rtd",,"OPEN_INT","."&amp;$AA$3&amp;$AA$4&amp;"C"&amp;BH$4)="N/A",0,RTD("tos.rtd",,"OPEN_INT","."&amp;$AA$3&amp;$AA$4&amp;"C"&amp;BH$4))*100 + MAX(0, BH$4-$A9)*IF(RTD("tos.rtd",,"OPEN_INT","."&amp;$AA$3&amp;$AA$4&amp;"P"&amp;BH$4)="N/A",0,RTD("tos.rtd",,"OPEN_INT","."&amp;$AA$3&amp;$AA$4&amp;"P"&amp;BH$4))*100</f>
        <v>2720200</v>
      </c>
      <c r="BI9" s="18">
        <f>MAX(0, $A9-BI$4)*IF(RTD("tos.rtd",,"OPEN_INT","."&amp;$AA$3&amp;$AA$4&amp;"C"&amp;BI$4)="N/A",0,RTD("tos.rtd",,"OPEN_INT","."&amp;$AA$3&amp;$AA$4&amp;"C"&amp;BI$4))*100 + MAX(0, BI$4-$A9)*IF(RTD("tos.rtd",,"OPEN_INT","."&amp;$AA$3&amp;$AA$4&amp;"P"&amp;BI$4)="N/A",0,RTD("tos.rtd",,"OPEN_INT","."&amp;$AA$3&amp;$AA$4&amp;"P"&amp;BI$4))*100</f>
        <v>1220900</v>
      </c>
      <c r="BJ9" s="18">
        <f>MAX(0, $A9-BJ$4)*IF(RTD("tos.rtd",,"OPEN_INT","."&amp;$AA$3&amp;$AA$4&amp;"C"&amp;BJ$4)="N/A",0,RTD("tos.rtd",,"OPEN_INT","."&amp;$AA$3&amp;$AA$4&amp;"C"&amp;BJ$4))*100 + MAX(0, BJ$4-$A9)*IF(RTD("tos.rtd",,"OPEN_INT","."&amp;$AA$3&amp;$AA$4&amp;"P"&amp;BJ$4)="N/A",0,RTD("tos.rtd",,"OPEN_INT","."&amp;$AA$3&amp;$AA$4&amp;"P"&amp;BJ$4))*100</f>
        <v>226500</v>
      </c>
      <c r="BK9" s="18">
        <f>MAX(0, $A9-BK$4)*IF(RTD("tos.rtd",,"OPEN_INT","."&amp;$AA$3&amp;$AA$4&amp;"C"&amp;BK$4)="N/A",0,RTD("tos.rtd",,"OPEN_INT","."&amp;$AA$3&amp;$AA$4&amp;"C"&amp;BK$4))*100 + MAX(0, BK$4-$A9)*IF(RTD("tos.rtd",,"OPEN_INT","."&amp;$AA$3&amp;$AA$4&amp;"P"&amp;BK$4)="N/A",0,RTD("tos.rtd",,"OPEN_INT","."&amp;$AA$3&amp;$AA$4&amp;"P"&amp;BK$4))*100</f>
        <v>404550</v>
      </c>
      <c r="BL9" s="18">
        <f>MAX(0, $A9-BL$4)*IF(RTD("tos.rtd",,"OPEN_INT","."&amp;$AA$3&amp;$AA$4&amp;"C"&amp;BL$4)="N/A",0,RTD("tos.rtd",,"OPEN_INT","."&amp;$AA$3&amp;$AA$4&amp;"C"&amp;BL$4))*100 + MAX(0, BL$4-$A9)*IF(RTD("tos.rtd",,"OPEN_INT","."&amp;$AA$3&amp;$AA$4&amp;"P"&amp;BL$4)="N/A",0,RTD("tos.rtd",,"OPEN_INT","."&amp;$AA$3&amp;$AA$4&amp;"P"&amp;BL$4))*100</f>
        <v>25600</v>
      </c>
      <c r="BM9" s="18">
        <f>MAX(0, $A9-BM$4)*IF(RTD("tos.rtd",,"OPEN_INT","."&amp;$AA$3&amp;$AA$4&amp;"C"&amp;BM$4)="N/A",0,RTD("tos.rtd",,"OPEN_INT","."&amp;$AA$3&amp;$AA$4&amp;"C"&amp;BM$4))*100 + MAX(0, BM$4-$A9)*IF(RTD("tos.rtd",,"OPEN_INT","."&amp;$AA$3&amp;$AA$4&amp;"P"&amp;BM$4)="N/A",0,RTD("tos.rtd",,"OPEN_INT","."&amp;$AA$3&amp;$AA$4&amp;"P"&amp;BM$4))*100</f>
        <v>13200</v>
      </c>
      <c r="BN9" s="18">
        <f>MAX(0, $A9-BN$4)*IF(RTD("tos.rtd",,"OPEN_INT","."&amp;$AA$3&amp;$AA$4&amp;"C"&amp;BN$4)="N/A",0,RTD("tos.rtd",,"OPEN_INT","."&amp;$AA$3&amp;$AA$4&amp;"C"&amp;BN$4))*100 + MAX(0, BN$4-$A9)*IF(RTD("tos.rtd",,"OPEN_INT","."&amp;$AA$3&amp;$AA$4&amp;"P"&amp;BN$4)="N/A",0,RTD("tos.rtd",,"OPEN_INT","."&amp;$AA$3&amp;$AA$4&amp;"P"&amp;BN$4))*100</f>
        <v>52700</v>
      </c>
      <c r="BO9" s="18">
        <f>MAX(0, $A9-BO$4)*IF(RTD("tos.rtd",,"OPEN_INT","."&amp;$AA$3&amp;$AA$4&amp;"C"&amp;BO$4)="N/A",0,RTD("tos.rtd",,"OPEN_INT","."&amp;$AA$3&amp;$AA$4&amp;"C"&amp;BO$4))*100 + MAX(0, BO$4-$A9)*IF(RTD("tos.rtd",,"OPEN_INT","."&amp;$AA$3&amp;$AA$4&amp;"P"&amp;BO$4)="N/A",0,RTD("tos.rtd",,"OPEN_INT","."&amp;$AA$3&amp;$AA$4&amp;"P"&amp;BO$4))*100</f>
        <v>66500</v>
      </c>
      <c r="BP9" s="18">
        <f>MAX(0, $A9-BP$4)*IF(RTD("tos.rtd",,"OPEN_INT","."&amp;$AA$3&amp;$AA$4&amp;"C"&amp;BP$4)="N/A",0,RTD("tos.rtd",,"OPEN_INT","."&amp;$AA$3&amp;$AA$4&amp;"C"&amp;BP$4))*100 + MAX(0, BP$4-$A9)*IF(RTD("tos.rtd",,"OPEN_INT","."&amp;$AA$3&amp;$AA$4&amp;"P"&amp;BP$4)="N/A",0,RTD("tos.rtd",,"OPEN_INT","."&amp;$AA$3&amp;$AA$4&amp;"P"&amp;BP$4))*100</f>
        <v>0</v>
      </c>
      <c r="BQ9" s="18">
        <f>MAX(0, $A9-BQ$4)*IF(RTD("tos.rtd",,"OPEN_INT","."&amp;$AA$3&amp;$AA$4&amp;"C"&amp;BQ$4)="N/A",0,RTD("tos.rtd",,"OPEN_INT","."&amp;$AA$3&amp;$AA$4&amp;"C"&amp;BQ$4))*100 + MAX(0, BQ$4-$A9)*IF(RTD("tos.rtd",,"OPEN_INT","."&amp;$AA$3&amp;$AA$4&amp;"P"&amp;BQ$4)="N/A",0,RTD("tos.rtd",,"OPEN_INT","."&amp;$AA$3&amp;$AA$4&amp;"P"&amp;BQ$4))*100</f>
        <v>0</v>
      </c>
      <c r="BR9" s="18">
        <f>MAX(0, $A9-BR$4)*IF(RTD("tos.rtd",,"OPEN_INT","."&amp;$AA$3&amp;$AA$4&amp;"C"&amp;BR$4)="N/A",0,RTD("tos.rtd",,"OPEN_INT","."&amp;$AA$3&amp;$AA$4&amp;"C"&amp;BR$4))*100 + MAX(0, BR$4-$A9)*IF(RTD("tos.rtd",,"OPEN_INT","."&amp;$AA$3&amp;$AA$4&amp;"P"&amp;BR$4)="N/A",0,RTD("tos.rtd",,"OPEN_INT","."&amp;$AA$3&amp;$AA$4&amp;"P"&amp;BR$4))*100</f>
        <v>0</v>
      </c>
      <c r="BS9" s="18">
        <f>MAX(0, $A9-BS$4)*IF(RTD("tos.rtd",,"OPEN_INT","."&amp;$AA$3&amp;$AA$4&amp;"C"&amp;BS$4)="N/A",0,RTD("tos.rtd",,"OPEN_INT","."&amp;$AA$3&amp;$AA$4&amp;"C"&amp;BS$4))*100 + MAX(0, BS$4-$A9)*IF(RTD("tos.rtd",,"OPEN_INT","."&amp;$AA$3&amp;$AA$4&amp;"P"&amp;BS$4)="N/A",0,RTD("tos.rtd",,"OPEN_INT","."&amp;$AA$3&amp;$AA$4&amp;"P"&amp;BS$4))*100</f>
        <v>0</v>
      </c>
      <c r="BT9" s="18">
        <f>MAX(0, $A9-BT$4)*IF(RTD("tos.rtd",,"OPEN_INT","."&amp;$AA$3&amp;$AA$4&amp;"C"&amp;BT$4)="N/A",0,RTD("tos.rtd",,"OPEN_INT","."&amp;$AA$3&amp;$AA$4&amp;"C"&amp;BT$4))*100 + MAX(0, BT$4-$A9)*IF(RTD("tos.rtd",,"OPEN_INT","."&amp;$AA$3&amp;$AA$4&amp;"P"&amp;BT$4)="N/A",0,RTD("tos.rtd",,"OPEN_INT","."&amp;$AA$3&amp;$AA$4&amp;"P"&amp;BT$4))*100</f>
        <v>0</v>
      </c>
      <c r="BU9" s="18">
        <f>MAX(0, $A9-BU$4)*IF(RTD("tos.rtd",,"OPEN_INT","."&amp;$AA$3&amp;$AA$4&amp;"C"&amp;BU$4)="N/A",0,RTD("tos.rtd",,"OPEN_INT","."&amp;$AA$3&amp;$AA$4&amp;"C"&amp;BU$4))*100 + MAX(0, BU$4-$A9)*IF(RTD("tos.rtd",,"OPEN_INT","."&amp;$AA$3&amp;$AA$4&amp;"P"&amp;BU$4)="N/A",0,RTD("tos.rtd",,"OPEN_INT","."&amp;$AA$3&amp;$AA$4&amp;"P"&amp;BU$4))*100</f>
        <v>0</v>
      </c>
      <c r="BV9" s="18">
        <f>MAX(0, $A9-BV$4)*IF(RTD("tos.rtd",,"OPEN_INT","."&amp;$AA$3&amp;$AA$4&amp;"C"&amp;BV$4)="N/A",0,RTD("tos.rtd",,"OPEN_INT","."&amp;$AA$3&amp;$AA$4&amp;"C"&amp;BV$4))*100 + MAX(0, BV$4-$A9)*IF(RTD("tos.rtd",,"OPEN_INT","."&amp;$AA$3&amp;$AA$4&amp;"P"&amp;BV$4)="N/A",0,RTD("tos.rtd",,"OPEN_INT","."&amp;$AA$3&amp;$AA$4&amp;"P"&amp;BV$4))*100</f>
        <v>0</v>
      </c>
    </row>
    <row r="10" spans="1:74" s="19" customFormat="1" ht="11.1" customHeight="1" thickBot="1" x14ac:dyDescent="0.3">
      <c r="A10" s="23">
        <f t="shared" si="6"/>
        <v>19</v>
      </c>
      <c r="B10" s="14">
        <f ca="1">IF($A$2="PREMIUM_OI",IFERROR(IF($X$1="ABS",(100*RTD("tos.rtd",,"OPEN_INT","."&amp;B$2&amp;B$1&amp;"C"&amp;$A10)*RTD("tos.rtd",,"LAST","."&amp;B$2&amp;B$1&amp;"C"&amp;$A10)+100*RTD("tos.rtd",,"OPEN_INT","."&amp;B$2&amp;B$1&amp;"P"&amp;$A10)*RTD("tos.rtd",,"LAST","."&amp;B$2&amp;B$1&amp;"P"&amp;$A10))/1000000,(100*RTD("tos.rtd",,"OPEN_INT","."&amp;B$2&amp;B$1&amp;"C"&amp;$A10)*RTD("tos.rtd",,"LAST","."&amp;B$2&amp;B$1&amp;"C"&amp;$A10)-100*RTD("tos.rtd",,"OPEN_INT","."&amp;B$2&amp;B$1&amp;"P"&amp;$A10)*RTD("tos.rtd",,"LAST","."&amp;B$2&amp;B$1&amp;"P"&amp;$A10))/1000000),0),IF($A$2="PREMIUM",IFERROR(IF($X$1="ABS",(100*RTD("tos.rtd",,"VOLUME","."&amp;B$2&amp;B$1&amp;"C"&amp;$A10)*RTD("tos.rtd",,"LAST","."&amp;B$2&amp;B$1&amp;"C"&amp;$A10)+100*RTD("tos.rtd",,"VOLUME","."&amp;B$2&amp;B$1&amp;"P"&amp;$A10)*RTD("tos.rtd",,"LAST","."&amp;B$2&amp;B$1&amp;"P"&amp;$A10))/1000000,(100*RTD("tos.rtd",,"VOLUME","."&amp;B$2&amp;B$1&amp;"C"&amp;$A10)*RTD("tos.rtd",,"LAST","."&amp;B$2&amp;B$1&amp;"C"&amp;$A10)-100*RTD("tos.rtd",,"VOLUME","."&amp;B$2&amp;B$1&amp;"P"&amp;$A10)*RTD("tos.rtd",,"LAST","."&amp;B$2&amp;B$1&amp;"P"&amp;$A10))/1000000),0),IF($A$2="DEX",IFERROR(IF($X$1="ABS",(100*RTD("tos.rtd",,"OPEN_INT","."&amp;B$2&amp;B$1&amp;"C"&amp;$A10)*RTD("tos.rtd",,"DELTA","."&amp;B$2&amp;B$1&amp;"C"&amp;$A10)+100*RTD("tos.rtd",,"OPEN_INT","."&amp;B$2&amp;B$1&amp;"P"&amp;$A10)*RTD("tos.rtd",,"DELTA","."&amp;B$2&amp;B$1&amp;"P"&amp;$A10))/1000,(100*RTD("tos.rtd",,"OPEN_INT","."&amp;B$2&amp;B$1&amp;"C"&amp;$A10)*RTD("tos.rtd",,"DELTA","."&amp;B$2&amp;B$1&amp;"C"&amp;$A10)-100*RTD("tos.rtd",,"OPEN_INT","."&amp;B$2&amp;B$1&amp;"P"&amp;$A10)*RTD("tos.rtd",,"DELTA","."&amp;B$2&amp;B$1&amp;"P"&amp;$A10))/1000),0),IF($A$2="VEX",IFERROR(IF($X$1="ABS",($A$4*$A$4*RTD("tos.rtd",,"VOLUME","."&amp;B$2&amp;B$1&amp;"C"&amp;$A10)*RTD("tos.rtd",,"GAMMA","."&amp;B$2&amp;B$1&amp;"C"&amp;$A10)+$A$4*$A$4*RTD("tos.rtd",,"VOLUME","."&amp;B$2&amp;B$1&amp;"P"&amp;$A10)*RTD("tos.rtd",,"GAMMA","."&amp;B$2&amp;B$1&amp;"P"&amp;$A10))/1000000,($A$4*$A$4*RTD("tos.rtd",,"VOLUME","."&amp;B$2&amp;B$1&amp;"C"&amp;$A10)*RTD("tos.rtd",,"GAMMA","."&amp;B$2&amp;B$1&amp;"C"&amp;$A10)-$A$4*$A$4*RTD("tos.rtd",,"VOLUME","."&amp;B$2&amp;B$1&amp;"P"&amp;$A10)*RTD("tos.rtd",,"GAMMA","."&amp;B$2&amp;B$1&amp;"P"&amp;$A10))/1000000),0),IF($A$2="GEX",IFERROR(IF($X$1="ABS",($A$4*$A$4*RTD("tos.rtd",,"OPEN_INT","."&amp;B$2&amp;B$1&amp;"C"&amp;$A10)*RTD("tos.rtd",,"GAMMA","."&amp;B$2&amp;B$1&amp;"C"&amp;$A10)+$A$4*$A$4*RTD("tos.rtd",,"OPEN_INT","."&amp;B$2&amp;B$1&amp;"P"&amp;$A10)*RTD("tos.rtd",,"GAMMA","."&amp;B$2&amp;B$1&amp;"P"&amp;$A10))/1000000,($A$4*$A$4*RTD("tos.rtd",,"OPEN_INT","."&amp;B$2&amp;B$1&amp;"C"&amp;$A10)*RTD("tos.rtd",,"GAMMA","."&amp;B$2&amp;B$1&amp;"C"&amp;$A10)-$A$4*$A$4*RTD("tos.rtd",,"OPEN_INT","."&amp;B$2&amp;B$1&amp;"P"&amp;$A10)*RTD("tos.rtd",,"GAMMA","."&amp;B$2&amp;B$1&amp;"P"&amp;$A10))/1000000),0),IF($A$2="SKEW",IFERROR(VALUE(IF(RTD("tos.rtd",,"IMPL_VOL","."&amp;B$2&amp;B$1&amp;"P"&amp;$A10)="N/A",0,RTD("tos.rtd",,"IMPL_VOL","."&amp;B$2&amp;B$1&amp;"P"&amp;$A10))),0)-IFERROR(VALUE(IF(RTD("tos.rtd",,"IMPL_VOL","."&amp;B$2&amp;B$1&amp;"C"&amp;$A10)="N/A",0,RTD("tos.rtd",,"IMPL_VOL","."&amp;B$2&amp;B$1&amp;"C"&amp;$A10))),0),IF($A$2="MAXPAIN",IF($A$4&gt;$A10,($A$4-$A10)*IF(RTD("tos.rtd",,"OPEN_INT","."&amp;B$2&amp;B$1&amp;"C"&amp;$A10)="N/A",0,RTD("tos.rtd",,"OPEN_INT","."&amp;B$2&amp;B$1&amp;"C"&amp;$A10)),0)+IF($A$4&lt;$A10,($A$5-$A$4)*IF(RTD("tos.rtd",,"OPEN_INT","."&amp;B$2&amp;B$1&amp;"P"&amp;$A10)="N/A",0,RTD("tos.rtd",,"OPEN_INT","."&amp;B$2&amp;B$1&amp;"P"&amp;$A10)),0),IF($X$1="ABS",IF(RTD("tos.rtd",,$A$2,"."&amp;B$2&amp;B$1&amp;"C"&amp;$A10)="N/A",0,RTD("tos.rtd",,$A$2,"."&amp;B$2&amp;B$1&amp;"C"&amp;$A10))+IF(RTD("tos.rtd",,$A$2,"."&amp;B$2&amp;B$1&amp;"P"&amp;$A10)="N/A",0,RTD("tos.rtd",,$A$2,"."&amp;B$2&amp;B$1&amp;"P"&amp;$A10)),IF(RTD("tos.rtd",,$A$2,"."&amp;B$2&amp;B$1&amp;"C"&amp;$A10)="N/A",0,RTD("tos.rtd",,$A$2,"."&amp;B$2&amp;B$1&amp;"C"&amp;$A10))-IF(RTD("tos.rtd",,$A$2,"."&amp;B$2&amp;B$1&amp;"P"&amp;$A10)="N/A",0,RTD("tos.rtd",,$A$2,"."&amp;B$2&amp;B$1&amp;"P"&amp;$A10))))))))))</f>
        <v>0</v>
      </c>
      <c r="C10" s="12">
        <f ca="1">IF($A$2="PREMIUM_OI",IFERROR(IF($X$1="ABS",(100*RTD("tos.rtd",,"OPEN_INT","."&amp;C$2&amp;C$1&amp;"C"&amp;$A10)*RTD("tos.rtd",,"LAST","."&amp;C$2&amp;C$1&amp;"C"&amp;$A10)+100*RTD("tos.rtd",,"OPEN_INT","."&amp;C$2&amp;C$1&amp;"P"&amp;$A10)*RTD("tos.rtd",,"LAST","."&amp;C$2&amp;C$1&amp;"P"&amp;$A10))/1000000,(100*RTD("tos.rtd",,"OPEN_INT","."&amp;C$2&amp;C$1&amp;"C"&amp;$A10)*RTD("tos.rtd",,"LAST","."&amp;C$2&amp;C$1&amp;"C"&amp;$A10)-100*RTD("tos.rtd",,"OPEN_INT","."&amp;C$2&amp;C$1&amp;"P"&amp;$A10)*RTD("tos.rtd",,"LAST","."&amp;C$2&amp;C$1&amp;"P"&amp;$A10))/1000000),0),IF($A$2="PREMIUM",IFERROR(IF($X$1="ABS",(100*RTD("tos.rtd",,"VOLUME","."&amp;C$2&amp;C$1&amp;"C"&amp;$A10)*RTD("tos.rtd",,"LAST","."&amp;C$2&amp;C$1&amp;"C"&amp;$A10)+100*RTD("tos.rtd",,"VOLUME","."&amp;C$2&amp;C$1&amp;"P"&amp;$A10)*RTD("tos.rtd",,"LAST","."&amp;C$2&amp;C$1&amp;"P"&amp;$A10))/1000000,(100*RTD("tos.rtd",,"VOLUME","."&amp;C$2&amp;C$1&amp;"C"&amp;$A10)*RTD("tos.rtd",,"LAST","."&amp;C$2&amp;C$1&amp;"C"&amp;$A10)-100*RTD("tos.rtd",,"VOLUME","."&amp;C$2&amp;C$1&amp;"P"&amp;$A10)*RTD("tos.rtd",,"LAST","."&amp;C$2&amp;C$1&amp;"P"&amp;$A10))/1000000),0),IF($A$2="DEX",IFERROR(IF($X$1="ABS",(100*RTD("tos.rtd",,"OPEN_INT","."&amp;C$2&amp;C$1&amp;"C"&amp;$A10)*RTD("tos.rtd",,"DELTA","."&amp;C$2&amp;C$1&amp;"C"&amp;$A10)+100*RTD("tos.rtd",,"OPEN_INT","."&amp;C$2&amp;C$1&amp;"P"&amp;$A10)*RTD("tos.rtd",,"DELTA","."&amp;C$2&amp;C$1&amp;"P"&amp;$A10))/1000,(100*RTD("tos.rtd",,"OPEN_INT","."&amp;C$2&amp;C$1&amp;"C"&amp;$A10)*RTD("tos.rtd",,"DELTA","."&amp;C$2&amp;C$1&amp;"C"&amp;$A10)-100*RTD("tos.rtd",,"OPEN_INT","."&amp;C$2&amp;C$1&amp;"P"&amp;$A10)*RTD("tos.rtd",,"DELTA","."&amp;C$2&amp;C$1&amp;"P"&amp;$A10))/1000),0),IF($A$2="VEX",IFERROR(IF($X$1="ABS",($A$4*$A$4*RTD("tos.rtd",,"VOLUME","."&amp;C$2&amp;C$1&amp;"C"&amp;$A10)*RTD("tos.rtd",,"GAMMA","."&amp;C$2&amp;C$1&amp;"C"&amp;$A10)+$A$4*$A$4*RTD("tos.rtd",,"VOLUME","."&amp;C$2&amp;C$1&amp;"P"&amp;$A10)*RTD("tos.rtd",,"GAMMA","."&amp;C$2&amp;C$1&amp;"P"&amp;$A10))/1000000,($A$4*$A$4*RTD("tos.rtd",,"VOLUME","."&amp;C$2&amp;C$1&amp;"C"&amp;$A10)*RTD("tos.rtd",,"GAMMA","."&amp;C$2&amp;C$1&amp;"C"&amp;$A10)-$A$4*$A$4*RTD("tos.rtd",,"VOLUME","."&amp;C$2&amp;C$1&amp;"P"&amp;$A10)*RTD("tos.rtd",,"GAMMA","."&amp;C$2&amp;C$1&amp;"P"&amp;$A10))/1000000),0),IF($A$2="GEX",IFERROR(IF($X$1="ABS",($A$4*$A$4*RTD("tos.rtd",,"OPEN_INT","."&amp;C$2&amp;C$1&amp;"C"&amp;$A10)*RTD("tos.rtd",,"GAMMA","."&amp;C$2&amp;C$1&amp;"C"&amp;$A10)+$A$4*$A$4*RTD("tos.rtd",,"OPEN_INT","."&amp;C$2&amp;C$1&amp;"P"&amp;$A10)*RTD("tos.rtd",,"GAMMA","."&amp;C$2&amp;C$1&amp;"P"&amp;$A10))/1000000,($A$4*$A$4*RTD("tos.rtd",,"OPEN_INT","."&amp;C$2&amp;C$1&amp;"C"&amp;$A10)*RTD("tos.rtd",,"GAMMA","."&amp;C$2&amp;C$1&amp;"C"&amp;$A10)-$A$4*$A$4*RTD("tos.rtd",,"OPEN_INT","."&amp;C$2&amp;C$1&amp;"P"&amp;$A10)*RTD("tos.rtd",,"GAMMA","."&amp;C$2&amp;C$1&amp;"P"&amp;$A10))/1000000),0),IF($A$2="SKEW",IFERROR(VALUE(IF(RTD("tos.rtd",,"IMPL_VOL","."&amp;C$2&amp;C$1&amp;"P"&amp;$A10)="N/A",0,RTD("tos.rtd",,"IMPL_VOL","."&amp;C$2&amp;C$1&amp;"P"&amp;$A10))),0)-IFERROR(VALUE(IF(RTD("tos.rtd",,"IMPL_VOL","."&amp;C$2&amp;C$1&amp;"C"&amp;$A10)="N/A",0,RTD("tos.rtd",,"IMPL_VOL","."&amp;C$2&amp;C$1&amp;"C"&amp;$A10))),0),IF($A$2="MAXPAIN",IF($A$4&gt;$A10,($A$4-$A10)*IF(RTD("tos.rtd",,"OPEN_INT","."&amp;C$2&amp;C$1&amp;"C"&amp;$A10)="N/A",0,RTD("tos.rtd",,"OPEN_INT","."&amp;C$2&amp;C$1&amp;"C"&amp;$A10)),0)+IF($A$4&lt;$A10,($A$5-$A$4)*IF(RTD("tos.rtd",,"OPEN_INT","."&amp;C$2&amp;C$1&amp;"P"&amp;$A10)="N/A",0,RTD("tos.rtd",,"OPEN_INT","."&amp;C$2&amp;C$1&amp;"P"&amp;$A10)),0),IF($X$1="ABS",IF(RTD("tos.rtd",,$A$2,"."&amp;C$2&amp;C$1&amp;"C"&amp;$A10)="N/A",0,RTD("tos.rtd",,$A$2,"."&amp;C$2&amp;C$1&amp;"C"&amp;$A10))+IF(RTD("tos.rtd",,$A$2,"."&amp;C$2&amp;C$1&amp;"P"&amp;$A10)="N/A",0,RTD("tos.rtd",,$A$2,"."&amp;C$2&amp;C$1&amp;"P"&amp;$A10)),IF(RTD("tos.rtd",,$A$2,"."&amp;C$2&amp;C$1&amp;"C"&amp;$A10)="N/A",0,RTD("tos.rtd",,$A$2,"."&amp;C$2&amp;C$1&amp;"C"&amp;$A10))-IF(RTD("tos.rtd",,$A$2,"."&amp;C$2&amp;C$1&amp;"P"&amp;$A10)="N/A",0,RTD("tos.rtd",,$A$2,"."&amp;C$2&amp;C$1&amp;"P"&amp;$A10))))))))))</f>
        <v>0</v>
      </c>
      <c r="D10" s="12">
        <f ca="1">IF($A$2="PREMIUM_OI",IFERROR(IF($X$1="ABS",(100*RTD("tos.rtd",,"OPEN_INT","."&amp;D$2&amp;D$1&amp;"C"&amp;$A10)*RTD("tos.rtd",,"LAST","."&amp;D$2&amp;D$1&amp;"C"&amp;$A10)+100*RTD("tos.rtd",,"OPEN_INT","."&amp;D$2&amp;D$1&amp;"P"&amp;$A10)*RTD("tos.rtd",,"LAST","."&amp;D$2&amp;D$1&amp;"P"&amp;$A10))/1000000,(100*RTD("tos.rtd",,"OPEN_INT","."&amp;D$2&amp;D$1&amp;"C"&amp;$A10)*RTD("tos.rtd",,"LAST","."&amp;D$2&amp;D$1&amp;"C"&amp;$A10)-100*RTD("tos.rtd",,"OPEN_INT","."&amp;D$2&amp;D$1&amp;"P"&amp;$A10)*RTD("tos.rtd",,"LAST","."&amp;D$2&amp;D$1&amp;"P"&amp;$A10))/1000000),0),IF($A$2="PREMIUM",IFERROR(IF($X$1="ABS",(100*RTD("tos.rtd",,"VOLUME","."&amp;D$2&amp;D$1&amp;"C"&amp;$A10)*RTD("tos.rtd",,"LAST","."&amp;D$2&amp;D$1&amp;"C"&amp;$A10)+100*RTD("tos.rtd",,"VOLUME","."&amp;D$2&amp;D$1&amp;"P"&amp;$A10)*RTD("tos.rtd",,"LAST","."&amp;D$2&amp;D$1&amp;"P"&amp;$A10))/1000000,(100*RTD("tos.rtd",,"VOLUME","."&amp;D$2&amp;D$1&amp;"C"&amp;$A10)*RTD("tos.rtd",,"LAST","."&amp;D$2&amp;D$1&amp;"C"&amp;$A10)-100*RTD("tos.rtd",,"VOLUME","."&amp;D$2&amp;D$1&amp;"P"&amp;$A10)*RTD("tos.rtd",,"LAST","."&amp;D$2&amp;D$1&amp;"P"&amp;$A10))/1000000),0),IF($A$2="DEX",IFERROR(IF($X$1="ABS",(100*RTD("tos.rtd",,"OPEN_INT","."&amp;D$2&amp;D$1&amp;"C"&amp;$A10)*RTD("tos.rtd",,"DELTA","."&amp;D$2&amp;D$1&amp;"C"&amp;$A10)+100*RTD("tos.rtd",,"OPEN_INT","."&amp;D$2&amp;D$1&amp;"P"&amp;$A10)*RTD("tos.rtd",,"DELTA","."&amp;D$2&amp;D$1&amp;"P"&amp;$A10))/1000,(100*RTD("tos.rtd",,"OPEN_INT","."&amp;D$2&amp;D$1&amp;"C"&amp;$A10)*RTD("tos.rtd",,"DELTA","."&amp;D$2&amp;D$1&amp;"C"&amp;$A10)-100*RTD("tos.rtd",,"OPEN_INT","."&amp;D$2&amp;D$1&amp;"P"&amp;$A10)*RTD("tos.rtd",,"DELTA","."&amp;D$2&amp;D$1&amp;"P"&amp;$A10))/1000),0),IF($A$2="VEX",IFERROR(IF($X$1="ABS",($A$4*$A$4*RTD("tos.rtd",,"VOLUME","."&amp;D$2&amp;D$1&amp;"C"&amp;$A10)*RTD("tos.rtd",,"GAMMA","."&amp;D$2&amp;D$1&amp;"C"&amp;$A10)+$A$4*$A$4*RTD("tos.rtd",,"VOLUME","."&amp;D$2&amp;D$1&amp;"P"&amp;$A10)*RTD("tos.rtd",,"GAMMA","."&amp;D$2&amp;D$1&amp;"P"&amp;$A10))/1000000,($A$4*$A$4*RTD("tos.rtd",,"VOLUME","."&amp;D$2&amp;D$1&amp;"C"&amp;$A10)*RTD("tos.rtd",,"GAMMA","."&amp;D$2&amp;D$1&amp;"C"&amp;$A10)-$A$4*$A$4*RTD("tos.rtd",,"VOLUME","."&amp;D$2&amp;D$1&amp;"P"&amp;$A10)*RTD("tos.rtd",,"GAMMA","."&amp;D$2&amp;D$1&amp;"P"&amp;$A10))/1000000),0),IF($A$2="GEX",IFERROR(IF($X$1="ABS",($A$4*$A$4*RTD("tos.rtd",,"OPEN_INT","."&amp;D$2&amp;D$1&amp;"C"&amp;$A10)*RTD("tos.rtd",,"GAMMA","."&amp;D$2&amp;D$1&amp;"C"&amp;$A10)+$A$4*$A$4*RTD("tos.rtd",,"OPEN_INT","."&amp;D$2&amp;D$1&amp;"P"&amp;$A10)*RTD("tos.rtd",,"GAMMA","."&amp;D$2&amp;D$1&amp;"P"&amp;$A10))/1000000,($A$4*$A$4*RTD("tos.rtd",,"OPEN_INT","."&amp;D$2&amp;D$1&amp;"C"&amp;$A10)*RTD("tos.rtd",,"GAMMA","."&amp;D$2&amp;D$1&amp;"C"&amp;$A10)-$A$4*$A$4*RTD("tos.rtd",,"OPEN_INT","."&amp;D$2&amp;D$1&amp;"P"&amp;$A10)*RTD("tos.rtd",,"GAMMA","."&amp;D$2&amp;D$1&amp;"P"&amp;$A10))/1000000),0),IF($A$2="SKEW",IFERROR(VALUE(IF(RTD("tos.rtd",,"IMPL_VOL","."&amp;D$2&amp;D$1&amp;"P"&amp;$A10)="N/A",0,RTD("tos.rtd",,"IMPL_VOL","."&amp;D$2&amp;D$1&amp;"P"&amp;$A10))),0)-IFERROR(VALUE(IF(RTD("tos.rtd",,"IMPL_VOL","."&amp;D$2&amp;D$1&amp;"C"&amp;$A10)="N/A",0,RTD("tos.rtd",,"IMPL_VOL","."&amp;D$2&amp;D$1&amp;"C"&amp;$A10))),0),IF($A$2="MAXPAIN",IF($A$4&gt;$A10,($A$4-$A10)*IF(RTD("tos.rtd",,"OPEN_INT","."&amp;D$2&amp;D$1&amp;"C"&amp;$A10)="N/A",0,RTD("tos.rtd",,"OPEN_INT","."&amp;D$2&amp;D$1&amp;"C"&amp;$A10)),0)+IF($A$4&lt;$A10,($A$5-$A$4)*IF(RTD("tos.rtd",,"OPEN_INT","."&amp;D$2&amp;D$1&amp;"P"&amp;$A10)="N/A",0,RTD("tos.rtd",,"OPEN_INT","."&amp;D$2&amp;D$1&amp;"P"&amp;$A10)),0),IF($X$1="ABS",IF(RTD("tos.rtd",,$A$2,"."&amp;D$2&amp;D$1&amp;"C"&amp;$A10)="N/A",0,RTD("tos.rtd",,$A$2,"."&amp;D$2&amp;D$1&amp;"C"&amp;$A10))+IF(RTD("tos.rtd",,$A$2,"."&amp;D$2&amp;D$1&amp;"P"&amp;$A10)="N/A",0,RTD("tos.rtd",,$A$2,"."&amp;D$2&amp;D$1&amp;"P"&amp;$A10)),IF(RTD("tos.rtd",,$A$2,"."&amp;D$2&amp;D$1&amp;"C"&amp;$A10)="N/A",0,RTD("tos.rtd",,$A$2,"."&amp;D$2&amp;D$1&amp;"C"&amp;$A10))-IF(RTD("tos.rtd",,$A$2,"."&amp;D$2&amp;D$1&amp;"P"&amp;$A10)="N/A",0,RTD("tos.rtd",,$A$2,"."&amp;D$2&amp;D$1&amp;"P"&amp;$A10))))))))))</f>
        <v>859</v>
      </c>
      <c r="E10" s="12">
        <f ca="1">IF($A$2="PREMIUM_OI",IFERROR(IF($X$1="ABS",(100*RTD("tos.rtd",,"OPEN_INT","."&amp;E$2&amp;E$1&amp;"C"&amp;$A10)*RTD("tos.rtd",,"LAST","."&amp;E$2&amp;E$1&amp;"C"&amp;$A10)+100*RTD("tos.rtd",,"OPEN_INT","."&amp;E$2&amp;E$1&amp;"P"&amp;$A10)*RTD("tos.rtd",,"LAST","."&amp;E$2&amp;E$1&amp;"P"&amp;$A10))/1000000,(100*RTD("tos.rtd",,"OPEN_INT","."&amp;E$2&amp;E$1&amp;"C"&amp;$A10)*RTD("tos.rtd",,"LAST","."&amp;E$2&amp;E$1&amp;"C"&amp;$A10)-100*RTD("tos.rtd",,"OPEN_INT","."&amp;E$2&amp;E$1&amp;"P"&amp;$A10)*RTD("tos.rtd",,"LAST","."&amp;E$2&amp;E$1&amp;"P"&amp;$A10))/1000000),0),IF($A$2="PREMIUM",IFERROR(IF($X$1="ABS",(100*RTD("tos.rtd",,"VOLUME","."&amp;E$2&amp;E$1&amp;"C"&amp;$A10)*RTD("tos.rtd",,"LAST","."&amp;E$2&amp;E$1&amp;"C"&amp;$A10)+100*RTD("tos.rtd",,"VOLUME","."&amp;E$2&amp;E$1&amp;"P"&amp;$A10)*RTD("tos.rtd",,"LAST","."&amp;E$2&amp;E$1&amp;"P"&amp;$A10))/1000000,(100*RTD("tos.rtd",,"VOLUME","."&amp;E$2&amp;E$1&amp;"C"&amp;$A10)*RTD("tos.rtd",,"LAST","."&amp;E$2&amp;E$1&amp;"C"&amp;$A10)-100*RTD("tos.rtd",,"VOLUME","."&amp;E$2&amp;E$1&amp;"P"&amp;$A10)*RTD("tos.rtd",,"LAST","."&amp;E$2&amp;E$1&amp;"P"&amp;$A10))/1000000),0),IF($A$2="DEX",IFERROR(IF($X$1="ABS",(100*RTD("tos.rtd",,"OPEN_INT","."&amp;E$2&amp;E$1&amp;"C"&amp;$A10)*RTD("tos.rtd",,"DELTA","."&amp;E$2&amp;E$1&amp;"C"&amp;$A10)+100*RTD("tos.rtd",,"OPEN_INT","."&amp;E$2&amp;E$1&amp;"P"&amp;$A10)*RTD("tos.rtd",,"DELTA","."&amp;E$2&amp;E$1&amp;"P"&amp;$A10))/1000,(100*RTD("tos.rtd",,"OPEN_INT","."&amp;E$2&amp;E$1&amp;"C"&amp;$A10)*RTD("tos.rtd",,"DELTA","."&amp;E$2&amp;E$1&amp;"C"&amp;$A10)-100*RTD("tos.rtd",,"OPEN_INT","."&amp;E$2&amp;E$1&amp;"P"&amp;$A10)*RTD("tos.rtd",,"DELTA","."&amp;E$2&amp;E$1&amp;"P"&amp;$A10))/1000),0),IF($A$2="VEX",IFERROR(IF($X$1="ABS",($A$4*$A$4*RTD("tos.rtd",,"VOLUME","."&amp;E$2&amp;E$1&amp;"C"&amp;$A10)*RTD("tos.rtd",,"GAMMA","."&amp;E$2&amp;E$1&amp;"C"&amp;$A10)+$A$4*$A$4*RTD("tos.rtd",,"VOLUME","."&amp;E$2&amp;E$1&amp;"P"&amp;$A10)*RTD("tos.rtd",,"GAMMA","."&amp;E$2&amp;E$1&amp;"P"&amp;$A10))/1000000,($A$4*$A$4*RTD("tos.rtd",,"VOLUME","."&amp;E$2&amp;E$1&amp;"C"&amp;$A10)*RTD("tos.rtd",,"GAMMA","."&amp;E$2&amp;E$1&amp;"C"&amp;$A10)-$A$4*$A$4*RTD("tos.rtd",,"VOLUME","."&amp;E$2&amp;E$1&amp;"P"&amp;$A10)*RTD("tos.rtd",,"GAMMA","."&amp;E$2&amp;E$1&amp;"P"&amp;$A10))/1000000),0),IF($A$2="GEX",IFERROR(IF($X$1="ABS",($A$4*$A$4*RTD("tos.rtd",,"OPEN_INT","."&amp;E$2&amp;E$1&amp;"C"&amp;$A10)*RTD("tos.rtd",,"GAMMA","."&amp;E$2&amp;E$1&amp;"C"&amp;$A10)+$A$4*$A$4*RTD("tos.rtd",,"OPEN_INT","."&amp;E$2&amp;E$1&amp;"P"&amp;$A10)*RTD("tos.rtd",,"GAMMA","."&amp;E$2&amp;E$1&amp;"P"&amp;$A10))/1000000,($A$4*$A$4*RTD("tos.rtd",,"OPEN_INT","."&amp;E$2&amp;E$1&amp;"C"&amp;$A10)*RTD("tos.rtd",,"GAMMA","."&amp;E$2&amp;E$1&amp;"C"&amp;$A10)-$A$4*$A$4*RTD("tos.rtd",,"OPEN_INT","."&amp;E$2&amp;E$1&amp;"P"&amp;$A10)*RTD("tos.rtd",,"GAMMA","."&amp;E$2&amp;E$1&amp;"P"&amp;$A10))/1000000),0),IF($A$2="SKEW",IFERROR(VALUE(IF(RTD("tos.rtd",,"IMPL_VOL","."&amp;E$2&amp;E$1&amp;"P"&amp;$A10)="N/A",0,RTD("tos.rtd",,"IMPL_VOL","."&amp;E$2&amp;E$1&amp;"P"&amp;$A10))),0)-IFERROR(VALUE(IF(RTD("tos.rtd",,"IMPL_VOL","."&amp;E$2&amp;E$1&amp;"C"&amp;$A10)="N/A",0,RTD("tos.rtd",,"IMPL_VOL","."&amp;E$2&amp;E$1&amp;"C"&amp;$A10))),0),IF($A$2="MAXPAIN",IF($A$4&gt;$A10,($A$4-$A10)*IF(RTD("tos.rtd",,"OPEN_INT","."&amp;E$2&amp;E$1&amp;"C"&amp;$A10)="N/A",0,RTD("tos.rtd",,"OPEN_INT","."&amp;E$2&amp;E$1&amp;"C"&amp;$A10)),0)+IF($A$4&lt;$A10,($A$5-$A$4)*IF(RTD("tos.rtd",,"OPEN_INT","."&amp;E$2&amp;E$1&amp;"P"&amp;$A10)="N/A",0,RTD("tos.rtd",,"OPEN_INT","."&amp;E$2&amp;E$1&amp;"P"&amp;$A10)),0),IF($X$1="ABS",IF(RTD("tos.rtd",,$A$2,"."&amp;E$2&amp;E$1&amp;"C"&amp;$A10)="N/A",0,RTD("tos.rtd",,$A$2,"."&amp;E$2&amp;E$1&amp;"C"&amp;$A10))+IF(RTD("tos.rtd",,$A$2,"."&amp;E$2&amp;E$1&amp;"P"&amp;$A10)="N/A",0,RTD("tos.rtd",,$A$2,"."&amp;E$2&amp;E$1&amp;"P"&amp;$A10)),IF(RTD("tos.rtd",,$A$2,"."&amp;E$2&amp;E$1&amp;"C"&amp;$A10)="N/A",0,RTD("tos.rtd",,$A$2,"."&amp;E$2&amp;E$1&amp;"C"&amp;$A10))-IF(RTD("tos.rtd",,$A$2,"."&amp;E$2&amp;E$1&amp;"P"&amp;$A10)="N/A",0,RTD("tos.rtd",,$A$2,"."&amp;E$2&amp;E$1&amp;"P"&amp;$A10))))))))))</f>
        <v>0</v>
      </c>
      <c r="F10" s="12">
        <f ca="1">IF($A$2="PREMIUM_OI",IFERROR(IF($X$1="ABS",(100*RTD("tos.rtd",,"OPEN_INT","."&amp;F$2&amp;F$1&amp;"C"&amp;$A10)*RTD("tos.rtd",,"LAST","."&amp;F$2&amp;F$1&amp;"C"&amp;$A10)+100*RTD("tos.rtd",,"OPEN_INT","."&amp;F$2&amp;F$1&amp;"P"&amp;$A10)*RTD("tos.rtd",,"LAST","."&amp;F$2&amp;F$1&amp;"P"&amp;$A10))/1000000,(100*RTD("tos.rtd",,"OPEN_INT","."&amp;F$2&amp;F$1&amp;"C"&amp;$A10)*RTD("tos.rtd",,"LAST","."&amp;F$2&amp;F$1&amp;"C"&amp;$A10)-100*RTD("tos.rtd",,"OPEN_INT","."&amp;F$2&amp;F$1&amp;"P"&amp;$A10)*RTD("tos.rtd",,"LAST","."&amp;F$2&amp;F$1&amp;"P"&amp;$A10))/1000000),0),IF($A$2="PREMIUM",IFERROR(IF($X$1="ABS",(100*RTD("tos.rtd",,"VOLUME","."&amp;F$2&amp;F$1&amp;"C"&amp;$A10)*RTD("tos.rtd",,"LAST","."&amp;F$2&amp;F$1&amp;"C"&amp;$A10)+100*RTD("tos.rtd",,"VOLUME","."&amp;F$2&amp;F$1&amp;"P"&amp;$A10)*RTD("tos.rtd",,"LAST","."&amp;F$2&amp;F$1&amp;"P"&amp;$A10))/1000000,(100*RTD("tos.rtd",,"VOLUME","."&amp;F$2&amp;F$1&amp;"C"&amp;$A10)*RTD("tos.rtd",,"LAST","."&amp;F$2&amp;F$1&amp;"C"&amp;$A10)-100*RTD("tos.rtd",,"VOLUME","."&amp;F$2&amp;F$1&amp;"P"&amp;$A10)*RTD("tos.rtd",,"LAST","."&amp;F$2&amp;F$1&amp;"P"&amp;$A10))/1000000),0),IF($A$2="DEX",IFERROR(IF($X$1="ABS",(100*RTD("tos.rtd",,"OPEN_INT","."&amp;F$2&amp;F$1&amp;"C"&amp;$A10)*RTD("tos.rtd",,"DELTA","."&amp;F$2&amp;F$1&amp;"C"&amp;$A10)+100*RTD("tos.rtd",,"OPEN_INT","."&amp;F$2&amp;F$1&amp;"P"&amp;$A10)*RTD("tos.rtd",,"DELTA","."&amp;F$2&amp;F$1&amp;"P"&amp;$A10))/1000,(100*RTD("tos.rtd",,"OPEN_INT","."&amp;F$2&amp;F$1&amp;"C"&amp;$A10)*RTD("tos.rtd",,"DELTA","."&amp;F$2&amp;F$1&amp;"C"&amp;$A10)-100*RTD("tos.rtd",,"OPEN_INT","."&amp;F$2&amp;F$1&amp;"P"&amp;$A10)*RTD("tos.rtd",,"DELTA","."&amp;F$2&amp;F$1&amp;"P"&amp;$A10))/1000),0),IF($A$2="VEX",IFERROR(IF($X$1="ABS",($A$4*$A$4*RTD("tos.rtd",,"VOLUME","."&amp;F$2&amp;F$1&amp;"C"&amp;$A10)*RTD("tos.rtd",,"GAMMA","."&amp;F$2&amp;F$1&amp;"C"&amp;$A10)+$A$4*$A$4*RTD("tos.rtd",,"VOLUME","."&amp;F$2&amp;F$1&amp;"P"&amp;$A10)*RTD("tos.rtd",,"GAMMA","."&amp;F$2&amp;F$1&amp;"P"&amp;$A10))/1000000,($A$4*$A$4*RTD("tos.rtd",,"VOLUME","."&amp;F$2&amp;F$1&amp;"C"&amp;$A10)*RTD("tos.rtd",,"GAMMA","."&amp;F$2&amp;F$1&amp;"C"&amp;$A10)-$A$4*$A$4*RTD("tos.rtd",,"VOLUME","."&amp;F$2&amp;F$1&amp;"P"&amp;$A10)*RTD("tos.rtd",,"GAMMA","."&amp;F$2&amp;F$1&amp;"P"&amp;$A10))/1000000),0),IF($A$2="GEX",IFERROR(IF($X$1="ABS",($A$4*$A$4*RTD("tos.rtd",,"OPEN_INT","."&amp;F$2&amp;F$1&amp;"C"&amp;$A10)*RTD("tos.rtd",,"GAMMA","."&amp;F$2&amp;F$1&amp;"C"&amp;$A10)+$A$4*$A$4*RTD("tos.rtd",,"OPEN_INT","."&amp;F$2&amp;F$1&amp;"P"&amp;$A10)*RTD("tos.rtd",,"GAMMA","."&amp;F$2&amp;F$1&amp;"P"&amp;$A10))/1000000,($A$4*$A$4*RTD("tos.rtd",,"OPEN_INT","."&amp;F$2&amp;F$1&amp;"C"&amp;$A10)*RTD("tos.rtd",,"GAMMA","."&amp;F$2&amp;F$1&amp;"C"&amp;$A10)-$A$4*$A$4*RTD("tos.rtd",,"OPEN_INT","."&amp;F$2&amp;F$1&amp;"P"&amp;$A10)*RTD("tos.rtd",,"GAMMA","."&amp;F$2&amp;F$1&amp;"P"&amp;$A10))/1000000),0),IF($A$2="SKEW",IFERROR(VALUE(IF(RTD("tos.rtd",,"IMPL_VOL","."&amp;F$2&amp;F$1&amp;"P"&amp;$A10)="N/A",0,RTD("tos.rtd",,"IMPL_VOL","."&amp;F$2&amp;F$1&amp;"P"&amp;$A10))),0)-IFERROR(VALUE(IF(RTD("tos.rtd",,"IMPL_VOL","."&amp;F$2&amp;F$1&amp;"C"&amp;$A10)="N/A",0,RTD("tos.rtd",,"IMPL_VOL","."&amp;F$2&amp;F$1&amp;"C"&amp;$A10))),0),IF($A$2="MAXPAIN",IF($A$4&gt;$A10,($A$4-$A10)*IF(RTD("tos.rtd",,"OPEN_INT","."&amp;F$2&amp;F$1&amp;"C"&amp;$A10)="N/A",0,RTD("tos.rtd",,"OPEN_INT","."&amp;F$2&amp;F$1&amp;"C"&amp;$A10)),0)+IF($A$4&lt;$A10,($A$5-$A$4)*IF(RTD("tos.rtd",,"OPEN_INT","."&amp;F$2&amp;F$1&amp;"P"&amp;$A10)="N/A",0,RTD("tos.rtd",,"OPEN_INT","."&amp;F$2&amp;F$1&amp;"P"&amp;$A10)),0),IF($X$1="ABS",IF(RTD("tos.rtd",,$A$2,"."&amp;F$2&amp;F$1&amp;"C"&amp;$A10)="N/A",0,RTD("tos.rtd",,$A$2,"."&amp;F$2&amp;F$1&amp;"C"&amp;$A10))+IF(RTD("tos.rtd",,$A$2,"."&amp;F$2&amp;F$1&amp;"P"&amp;$A10)="N/A",0,RTD("tos.rtd",,$A$2,"."&amp;F$2&amp;F$1&amp;"P"&amp;$A10)),IF(RTD("tos.rtd",,$A$2,"."&amp;F$2&amp;F$1&amp;"C"&amp;$A10)="N/A",0,RTD("tos.rtd",,$A$2,"."&amp;F$2&amp;F$1&amp;"C"&amp;$A10))-IF(RTD("tos.rtd",,$A$2,"."&amp;F$2&amp;F$1&amp;"P"&amp;$A10)="N/A",0,RTD("tos.rtd",,$A$2,"."&amp;F$2&amp;F$1&amp;"P"&amp;$A10))))))))))</f>
        <v>0</v>
      </c>
      <c r="G10" s="57">
        <f ca="1">IF($A$2="PREMIUM_OI",IFERROR(IF($X$1="ABS",(100*RTD("tos.rtd",,"OPEN_INT","."&amp;G$2&amp;G$1&amp;"C"&amp;$A10)*RTD("tos.rtd",,"LAST","."&amp;G$2&amp;G$1&amp;"C"&amp;$A10)+100*RTD("tos.rtd",,"OPEN_INT","."&amp;G$2&amp;G$1&amp;"P"&amp;$A10)*RTD("tos.rtd",,"LAST","."&amp;G$2&amp;G$1&amp;"P"&amp;$A10))/1000000,(100*RTD("tos.rtd",,"OPEN_INT","."&amp;G$2&amp;G$1&amp;"C"&amp;$A10)*RTD("tos.rtd",,"LAST","."&amp;G$2&amp;G$1&amp;"C"&amp;$A10)-100*RTD("tos.rtd",,"OPEN_INT","."&amp;G$2&amp;G$1&amp;"P"&amp;$A10)*RTD("tos.rtd",,"LAST","."&amp;G$2&amp;G$1&amp;"P"&amp;$A10))/1000000),0),IF($A$2="PREMIUM",IFERROR(IF($X$1="ABS",(100*RTD("tos.rtd",,"VOLUME","."&amp;G$2&amp;G$1&amp;"C"&amp;$A10)*RTD("tos.rtd",,"LAST","."&amp;G$2&amp;G$1&amp;"C"&amp;$A10)+100*RTD("tos.rtd",,"VOLUME","."&amp;G$2&amp;G$1&amp;"P"&amp;$A10)*RTD("tos.rtd",,"LAST","."&amp;G$2&amp;G$1&amp;"P"&amp;$A10))/1000000,(100*RTD("tos.rtd",,"VOLUME","."&amp;G$2&amp;G$1&amp;"C"&amp;$A10)*RTD("tos.rtd",,"LAST","."&amp;G$2&amp;G$1&amp;"C"&amp;$A10)-100*RTD("tos.rtd",,"VOLUME","."&amp;G$2&amp;G$1&amp;"P"&amp;$A10)*RTD("tos.rtd",,"LAST","."&amp;G$2&amp;G$1&amp;"P"&amp;$A10))/1000000),0),IF($A$2="DEX",IFERROR(IF($X$1="ABS",(100*RTD("tos.rtd",,"OPEN_INT","."&amp;G$2&amp;G$1&amp;"C"&amp;$A10)*RTD("tos.rtd",,"DELTA","."&amp;G$2&amp;G$1&amp;"C"&amp;$A10)+100*RTD("tos.rtd",,"OPEN_INT","."&amp;G$2&amp;G$1&amp;"P"&amp;$A10)*RTD("tos.rtd",,"DELTA","."&amp;G$2&amp;G$1&amp;"P"&amp;$A10))/1000,(100*RTD("tos.rtd",,"OPEN_INT","."&amp;G$2&amp;G$1&amp;"C"&amp;$A10)*RTD("tos.rtd",,"DELTA","."&amp;G$2&amp;G$1&amp;"C"&amp;$A10)-100*RTD("tos.rtd",,"OPEN_INT","."&amp;G$2&amp;G$1&amp;"P"&amp;$A10)*RTD("tos.rtd",,"DELTA","."&amp;G$2&amp;G$1&amp;"P"&amp;$A10))/1000),0),IF($A$2="VEX",IFERROR(IF($X$1="ABS",($A$4*$A$4*RTD("tos.rtd",,"VOLUME","."&amp;G$2&amp;G$1&amp;"C"&amp;$A10)*RTD("tos.rtd",,"GAMMA","."&amp;G$2&amp;G$1&amp;"C"&amp;$A10)+$A$4*$A$4*RTD("tos.rtd",,"VOLUME","."&amp;G$2&amp;G$1&amp;"P"&amp;$A10)*RTD("tos.rtd",,"GAMMA","."&amp;G$2&amp;G$1&amp;"P"&amp;$A10))/1000000,($A$4*$A$4*RTD("tos.rtd",,"VOLUME","."&amp;G$2&amp;G$1&amp;"C"&amp;$A10)*RTD("tos.rtd",,"GAMMA","."&amp;G$2&amp;G$1&amp;"C"&amp;$A10)-$A$4*$A$4*RTD("tos.rtd",,"VOLUME","."&amp;G$2&amp;G$1&amp;"P"&amp;$A10)*RTD("tos.rtd",,"GAMMA","."&amp;G$2&amp;G$1&amp;"P"&amp;$A10))/1000000),0),IF($A$2="GEX",IFERROR(IF($X$1="ABS",($A$4*$A$4*RTD("tos.rtd",,"OPEN_INT","."&amp;G$2&amp;G$1&amp;"C"&amp;$A10)*RTD("tos.rtd",,"GAMMA","."&amp;G$2&amp;G$1&amp;"C"&amp;$A10)+$A$4*$A$4*RTD("tos.rtd",,"OPEN_INT","."&amp;G$2&amp;G$1&amp;"P"&amp;$A10)*RTD("tos.rtd",,"GAMMA","."&amp;G$2&amp;G$1&amp;"P"&amp;$A10))/1000000,($A$4*$A$4*RTD("tos.rtd",,"OPEN_INT","."&amp;G$2&amp;G$1&amp;"C"&amp;$A10)*RTD("tos.rtd",,"GAMMA","."&amp;G$2&amp;G$1&amp;"C"&amp;$A10)-$A$4*$A$4*RTD("tos.rtd",,"OPEN_INT","."&amp;G$2&amp;G$1&amp;"P"&amp;$A10)*RTD("tos.rtd",,"GAMMA","."&amp;G$2&amp;G$1&amp;"P"&amp;$A10))/1000000),0),IF($A$2="SKEW",IFERROR(VALUE(IF(RTD("tos.rtd",,"IMPL_VOL","."&amp;G$2&amp;G$1&amp;"P"&amp;$A10)="N/A",0,RTD("tos.rtd",,"IMPL_VOL","."&amp;G$2&amp;G$1&amp;"P"&amp;$A10))),0)-IFERROR(VALUE(IF(RTD("tos.rtd",,"IMPL_VOL","."&amp;G$2&amp;G$1&amp;"C"&amp;$A10)="N/A",0,RTD("tos.rtd",,"IMPL_VOL","."&amp;G$2&amp;G$1&amp;"C"&amp;$A10))),0),IF($A$2="MAXPAIN",IF($A$4&gt;$A10,($A$4-$A10)*IF(RTD("tos.rtd",,"OPEN_INT","."&amp;G$2&amp;G$1&amp;"C"&amp;$A10)="N/A",0,RTD("tos.rtd",,"OPEN_INT","."&amp;G$2&amp;G$1&amp;"C"&amp;$A10)),0)+IF($A$4&lt;$A10,($A$5-$A$4)*IF(RTD("tos.rtd",,"OPEN_INT","."&amp;G$2&amp;G$1&amp;"P"&amp;$A10)="N/A",0,RTD("tos.rtd",,"OPEN_INT","."&amp;G$2&amp;G$1&amp;"P"&amp;$A10)),0),IF($X$1="ABS",IF(RTD("tos.rtd",,$A$2,"."&amp;G$2&amp;G$1&amp;"C"&amp;$A10)="N/A",0,RTD("tos.rtd",,$A$2,"."&amp;G$2&amp;G$1&amp;"C"&amp;$A10))+IF(RTD("tos.rtd",,$A$2,"."&amp;G$2&amp;G$1&amp;"P"&amp;$A10)="N/A",0,RTD("tos.rtd",,$A$2,"."&amp;G$2&amp;G$1&amp;"P"&amp;$A10)),IF(RTD("tos.rtd",,$A$2,"."&amp;G$2&amp;G$1&amp;"C"&amp;$A10)="N/A",0,RTD("tos.rtd",,$A$2,"."&amp;G$2&amp;G$1&amp;"C"&amp;$A10))-IF(RTD("tos.rtd",,$A$2,"."&amp;G$2&amp;G$1&amp;"P"&amp;$A10)="N/A",0,RTD("tos.rtd",,$A$2,"."&amp;G$2&amp;G$1&amp;"P"&amp;$A10))))))))))</f>
        <v>0</v>
      </c>
      <c r="H10" s="14">
        <f ca="1">IF($A$2="PREMIUM_OI",IFERROR(IF($X$1="ABS",(100*RTD("tos.rtd",,"OPEN_INT","."&amp;H$2&amp;H$1&amp;"C"&amp;$A10)*RTD("tos.rtd",,"LAST","."&amp;H$2&amp;H$1&amp;"C"&amp;$A10)+100*RTD("tos.rtd",,"OPEN_INT","."&amp;H$2&amp;H$1&amp;"P"&amp;$A10)*RTD("tos.rtd",,"LAST","."&amp;H$2&amp;H$1&amp;"P"&amp;$A10))/1000000,(100*RTD("tos.rtd",,"OPEN_INT","."&amp;H$2&amp;H$1&amp;"C"&amp;$A10)*RTD("tos.rtd",,"LAST","."&amp;H$2&amp;H$1&amp;"C"&amp;$A10)-100*RTD("tos.rtd",,"OPEN_INT","."&amp;H$2&amp;H$1&amp;"P"&amp;$A10)*RTD("tos.rtd",,"LAST","."&amp;H$2&amp;H$1&amp;"P"&amp;$A10))/1000000),0),IF($A$2="PREMIUM",IFERROR(IF($X$1="ABS",(100*RTD("tos.rtd",,"VOLUME","."&amp;H$2&amp;H$1&amp;"C"&amp;$A10)*RTD("tos.rtd",,"LAST","."&amp;H$2&amp;H$1&amp;"C"&amp;$A10)+100*RTD("tos.rtd",,"VOLUME","."&amp;H$2&amp;H$1&amp;"P"&amp;$A10)*RTD("tos.rtd",,"LAST","."&amp;H$2&amp;H$1&amp;"P"&amp;$A10))/1000000,(100*RTD("tos.rtd",,"VOLUME","."&amp;H$2&amp;H$1&amp;"C"&amp;$A10)*RTD("tos.rtd",,"LAST","."&amp;H$2&amp;H$1&amp;"C"&amp;$A10)-100*RTD("tos.rtd",,"VOLUME","."&amp;H$2&amp;H$1&amp;"P"&amp;$A10)*RTD("tos.rtd",,"LAST","."&amp;H$2&amp;H$1&amp;"P"&amp;$A10))/1000000),0),IF($A$2="DEX",IFERROR(IF($X$1="ABS",(100*RTD("tos.rtd",,"OPEN_INT","."&amp;H$2&amp;H$1&amp;"C"&amp;$A10)*RTD("tos.rtd",,"DELTA","."&amp;H$2&amp;H$1&amp;"C"&amp;$A10)+100*RTD("tos.rtd",,"OPEN_INT","."&amp;H$2&amp;H$1&amp;"P"&amp;$A10)*RTD("tos.rtd",,"DELTA","."&amp;H$2&amp;H$1&amp;"P"&amp;$A10))/1000,(100*RTD("tos.rtd",,"OPEN_INT","."&amp;H$2&amp;H$1&amp;"C"&amp;$A10)*RTD("tos.rtd",,"DELTA","."&amp;H$2&amp;H$1&amp;"C"&amp;$A10)-100*RTD("tos.rtd",,"OPEN_INT","."&amp;H$2&amp;H$1&amp;"P"&amp;$A10)*RTD("tos.rtd",,"DELTA","."&amp;H$2&amp;H$1&amp;"P"&amp;$A10))/1000),0),IF($A$2="VEX",IFERROR(IF($X$1="ABS",($A$4*$A$4*RTD("tos.rtd",,"VOLUME","."&amp;H$2&amp;H$1&amp;"C"&amp;$A10)*RTD("tos.rtd",,"GAMMA","."&amp;H$2&amp;H$1&amp;"C"&amp;$A10)+$A$4*$A$4*RTD("tos.rtd",,"VOLUME","."&amp;H$2&amp;H$1&amp;"P"&amp;$A10)*RTD("tos.rtd",,"GAMMA","."&amp;H$2&amp;H$1&amp;"P"&amp;$A10))/1000000,($A$4*$A$4*RTD("tos.rtd",,"VOLUME","."&amp;H$2&amp;H$1&amp;"C"&amp;$A10)*RTD("tos.rtd",,"GAMMA","."&amp;H$2&amp;H$1&amp;"C"&amp;$A10)-$A$4*$A$4*RTD("tos.rtd",,"VOLUME","."&amp;H$2&amp;H$1&amp;"P"&amp;$A10)*RTD("tos.rtd",,"GAMMA","."&amp;H$2&amp;H$1&amp;"P"&amp;$A10))/1000000),0),IF($A$2="GEX",IFERROR(IF($X$1="ABS",($A$4*$A$4*RTD("tos.rtd",,"OPEN_INT","."&amp;H$2&amp;H$1&amp;"C"&amp;$A10)*RTD("tos.rtd",,"GAMMA","."&amp;H$2&amp;H$1&amp;"C"&amp;$A10)+$A$4*$A$4*RTD("tos.rtd",,"OPEN_INT","."&amp;H$2&amp;H$1&amp;"P"&amp;$A10)*RTD("tos.rtd",,"GAMMA","."&amp;H$2&amp;H$1&amp;"P"&amp;$A10))/1000000,($A$4*$A$4*RTD("tos.rtd",,"OPEN_INT","."&amp;H$2&amp;H$1&amp;"C"&amp;$A10)*RTD("tos.rtd",,"GAMMA","."&amp;H$2&amp;H$1&amp;"C"&amp;$A10)-$A$4*$A$4*RTD("tos.rtd",,"OPEN_INT","."&amp;H$2&amp;H$1&amp;"P"&amp;$A10)*RTD("tos.rtd",,"GAMMA","."&amp;H$2&amp;H$1&amp;"P"&amp;$A10))/1000000),0),IF($A$2="SKEW",IFERROR(VALUE(IF(RTD("tos.rtd",,"IMPL_VOL","."&amp;H$2&amp;H$1&amp;"P"&amp;$A10)="N/A",0,RTD("tos.rtd",,"IMPL_VOL","."&amp;H$2&amp;H$1&amp;"P"&amp;$A10))),0)-IFERROR(VALUE(IF(RTD("tos.rtd",,"IMPL_VOL","."&amp;H$2&amp;H$1&amp;"C"&amp;$A10)="N/A",0,RTD("tos.rtd",,"IMPL_VOL","."&amp;H$2&amp;H$1&amp;"C"&amp;$A10))),0),IF($A$2="MAXPAIN",IF($A$4&gt;$A10,($A$4-$A10)*IF(RTD("tos.rtd",,"OPEN_INT","."&amp;H$2&amp;H$1&amp;"C"&amp;$A10)="N/A",0,RTD("tos.rtd",,"OPEN_INT","."&amp;H$2&amp;H$1&amp;"C"&amp;$A10)),0)+IF($A$4&lt;$A10,($A$5-$A$4)*IF(RTD("tos.rtd",,"OPEN_INT","."&amp;H$2&amp;H$1&amp;"P"&amp;$A10)="N/A",0,RTD("tos.rtd",,"OPEN_INT","."&amp;H$2&amp;H$1&amp;"P"&amp;$A10)),0),IF($X$1="ABS",IF(RTD("tos.rtd",,$A$2,"."&amp;H$2&amp;H$1&amp;"C"&amp;$A10)="N/A",0,RTD("tos.rtd",,$A$2,"."&amp;H$2&amp;H$1&amp;"C"&amp;$A10))+IF(RTD("tos.rtd",,$A$2,"."&amp;H$2&amp;H$1&amp;"P"&amp;$A10)="N/A",0,RTD("tos.rtd",,$A$2,"."&amp;H$2&amp;H$1&amp;"P"&amp;$A10)),IF(RTD("tos.rtd",,$A$2,"."&amp;H$2&amp;H$1&amp;"C"&amp;$A10)="N/A",0,RTD("tos.rtd",,$A$2,"."&amp;H$2&amp;H$1&amp;"C"&amp;$A10))-IF(RTD("tos.rtd",,$A$2,"."&amp;H$2&amp;H$1&amp;"P"&amp;$A10)="N/A",0,RTD("tos.rtd",,$A$2,"."&amp;H$2&amp;H$1&amp;"P"&amp;$A10))))))))))</f>
        <v>0</v>
      </c>
      <c r="I10" s="12">
        <f ca="1">IF($A$2="PREMIUM_OI",IFERROR(IF($X$1="ABS",(100*RTD("tos.rtd",,"OPEN_INT","."&amp;I$2&amp;I$1&amp;"C"&amp;$A10)*RTD("tos.rtd",,"LAST","."&amp;I$2&amp;I$1&amp;"C"&amp;$A10)+100*RTD("tos.rtd",,"OPEN_INT","."&amp;I$2&amp;I$1&amp;"P"&amp;$A10)*RTD("tos.rtd",,"LAST","."&amp;I$2&amp;I$1&amp;"P"&amp;$A10))/1000000,(100*RTD("tos.rtd",,"OPEN_INT","."&amp;I$2&amp;I$1&amp;"C"&amp;$A10)*RTD("tos.rtd",,"LAST","."&amp;I$2&amp;I$1&amp;"C"&amp;$A10)-100*RTD("tos.rtd",,"OPEN_INT","."&amp;I$2&amp;I$1&amp;"P"&amp;$A10)*RTD("tos.rtd",,"LAST","."&amp;I$2&amp;I$1&amp;"P"&amp;$A10))/1000000),0),IF($A$2="PREMIUM",IFERROR(IF($X$1="ABS",(100*RTD("tos.rtd",,"VOLUME","."&amp;I$2&amp;I$1&amp;"C"&amp;$A10)*RTD("tos.rtd",,"LAST","."&amp;I$2&amp;I$1&amp;"C"&amp;$A10)+100*RTD("tos.rtd",,"VOLUME","."&amp;I$2&amp;I$1&amp;"P"&amp;$A10)*RTD("tos.rtd",,"LAST","."&amp;I$2&amp;I$1&amp;"P"&amp;$A10))/1000000,(100*RTD("tos.rtd",,"VOLUME","."&amp;I$2&amp;I$1&amp;"C"&amp;$A10)*RTD("tos.rtd",,"LAST","."&amp;I$2&amp;I$1&amp;"C"&amp;$A10)-100*RTD("tos.rtd",,"VOLUME","."&amp;I$2&amp;I$1&amp;"P"&amp;$A10)*RTD("tos.rtd",,"LAST","."&amp;I$2&amp;I$1&amp;"P"&amp;$A10))/1000000),0),IF($A$2="DEX",IFERROR(IF($X$1="ABS",(100*RTD("tos.rtd",,"OPEN_INT","."&amp;I$2&amp;I$1&amp;"C"&amp;$A10)*RTD("tos.rtd",,"DELTA","."&amp;I$2&amp;I$1&amp;"C"&amp;$A10)+100*RTD("tos.rtd",,"OPEN_INT","."&amp;I$2&amp;I$1&amp;"P"&amp;$A10)*RTD("tos.rtd",,"DELTA","."&amp;I$2&amp;I$1&amp;"P"&amp;$A10))/1000,(100*RTD("tos.rtd",,"OPEN_INT","."&amp;I$2&amp;I$1&amp;"C"&amp;$A10)*RTD("tos.rtd",,"DELTA","."&amp;I$2&amp;I$1&amp;"C"&amp;$A10)-100*RTD("tos.rtd",,"OPEN_INT","."&amp;I$2&amp;I$1&amp;"P"&amp;$A10)*RTD("tos.rtd",,"DELTA","."&amp;I$2&amp;I$1&amp;"P"&amp;$A10))/1000),0),IF($A$2="VEX",IFERROR(IF($X$1="ABS",($A$4*$A$4*RTD("tos.rtd",,"VOLUME","."&amp;I$2&amp;I$1&amp;"C"&amp;$A10)*RTD("tos.rtd",,"GAMMA","."&amp;I$2&amp;I$1&amp;"C"&amp;$A10)+$A$4*$A$4*RTD("tos.rtd",,"VOLUME","."&amp;I$2&amp;I$1&amp;"P"&amp;$A10)*RTD("tos.rtd",,"GAMMA","."&amp;I$2&amp;I$1&amp;"P"&amp;$A10))/1000000,($A$4*$A$4*RTD("tos.rtd",,"VOLUME","."&amp;I$2&amp;I$1&amp;"C"&amp;$A10)*RTD("tos.rtd",,"GAMMA","."&amp;I$2&amp;I$1&amp;"C"&amp;$A10)-$A$4*$A$4*RTD("tos.rtd",,"VOLUME","."&amp;I$2&amp;I$1&amp;"P"&amp;$A10)*RTD("tos.rtd",,"GAMMA","."&amp;I$2&amp;I$1&amp;"P"&amp;$A10))/1000000),0),IF($A$2="GEX",IFERROR(IF($X$1="ABS",($A$4*$A$4*RTD("tos.rtd",,"OPEN_INT","."&amp;I$2&amp;I$1&amp;"C"&amp;$A10)*RTD("tos.rtd",,"GAMMA","."&amp;I$2&amp;I$1&amp;"C"&amp;$A10)+$A$4*$A$4*RTD("tos.rtd",,"OPEN_INT","."&amp;I$2&amp;I$1&amp;"P"&amp;$A10)*RTD("tos.rtd",,"GAMMA","."&amp;I$2&amp;I$1&amp;"P"&amp;$A10))/1000000,($A$4*$A$4*RTD("tos.rtd",,"OPEN_INT","."&amp;I$2&amp;I$1&amp;"C"&amp;$A10)*RTD("tos.rtd",,"GAMMA","."&amp;I$2&amp;I$1&amp;"C"&amp;$A10)-$A$4*$A$4*RTD("tos.rtd",,"OPEN_INT","."&amp;I$2&amp;I$1&amp;"P"&amp;$A10)*RTD("tos.rtd",,"GAMMA","."&amp;I$2&amp;I$1&amp;"P"&amp;$A10))/1000000),0),IF($A$2="SKEW",IFERROR(VALUE(IF(RTD("tos.rtd",,"IMPL_VOL","."&amp;I$2&amp;I$1&amp;"P"&amp;$A10)="N/A",0,RTD("tos.rtd",,"IMPL_VOL","."&amp;I$2&amp;I$1&amp;"P"&amp;$A10))),0)-IFERROR(VALUE(IF(RTD("tos.rtd",,"IMPL_VOL","."&amp;I$2&amp;I$1&amp;"C"&amp;$A10)="N/A",0,RTD("tos.rtd",,"IMPL_VOL","."&amp;I$2&amp;I$1&amp;"C"&amp;$A10))),0),IF($A$2="MAXPAIN",IF($A$4&gt;$A10,($A$4-$A10)*IF(RTD("tos.rtd",,"OPEN_INT","."&amp;I$2&amp;I$1&amp;"C"&amp;$A10)="N/A",0,RTD("tos.rtd",,"OPEN_INT","."&amp;I$2&amp;I$1&amp;"C"&amp;$A10)),0)+IF($A$4&lt;$A10,($A$5-$A$4)*IF(RTD("tos.rtd",,"OPEN_INT","."&amp;I$2&amp;I$1&amp;"P"&amp;$A10)="N/A",0,RTD("tos.rtd",,"OPEN_INT","."&amp;I$2&amp;I$1&amp;"P"&amp;$A10)),0),IF($X$1="ABS",IF(RTD("tos.rtd",,$A$2,"."&amp;I$2&amp;I$1&amp;"C"&amp;$A10)="N/A",0,RTD("tos.rtd",,$A$2,"."&amp;I$2&amp;I$1&amp;"C"&amp;$A10))+IF(RTD("tos.rtd",,$A$2,"."&amp;I$2&amp;I$1&amp;"P"&amp;$A10)="N/A",0,RTD("tos.rtd",,$A$2,"."&amp;I$2&amp;I$1&amp;"P"&amp;$A10)),IF(RTD("tos.rtd",,$A$2,"."&amp;I$2&amp;I$1&amp;"C"&amp;$A10)="N/A",0,RTD("tos.rtd",,$A$2,"."&amp;I$2&amp;I$1&amp;"C"&amp;$A10))-IF(RTD("tos.rtd",,$A$2,"."&amp;I$2&amp;I$1&amp;"P"&amp;$A10)="N/A",0,RTD("tos.rtd",,$A$2,"."&amp;I$2&amp;I$1&amp;"P"&amp;$A10))))))))))</f>
        <v>0</v>
      </c>
      <c r="J10" s="12">
        <f ca="1">IF($A$2="PREMIUM_OI",IFERROR(IF($X$1="ABS",(100*RTD("tos.rtd",,"OPEN_INT","."&amp;J$2&amp;J$1&amp;"C"&amp;$A10)*RTD("tos.rtd",,"LAST","."&amp;J$2&amp;J$1&amp;"C"&amp;$A10)+100*RTD("tos.rtd",,"OPEN_INT","."&amp;J$2&amp;J$1&amp;"P"&amp;$A10)*RTD("tos.rtd",,"LAST","."&amp;J$2&amp;J$1&amp;"P"&amp;$A10))/1000000,(100*RTD("tos.rtd",,"OPEN_INT","."&amp;J$2&amp;J$1&amp;"C"&amp;$A10)*RTD("tos.rtd",,"LAST","."&amp;J$2&amp;J$1&amp;"C"&amp;$A10)-100*RTD("tos.rtd",,"OPEN_INT","."&amp;J$2&amp;J$1&amp;"P"&amp;$A10)*RTD("tos.rtd",,"LAST","."&amp;J$2&amp;J$1&amp;"P"&amp;$A10))/1000000),0),IF($A$2="PREMIUM",IFERROR(IF($X$1="ABS",(100*RTD("tos.rtd",,"VOLUME","."&amp;J$2&amp;J$1&amp;"C"&amp;$A10)*RTD("tos.rtd",,"LAST","."&amp;J$2&amp;J$1&amp;"C"&amp;$A10)+100*RTD("tos.rtd",,"VOLUME","."&amp;J$2&amp;J$1&amp;"P"&amp;$A10)*RTD("tos.rtd",,"LAST","."&amp;J$2&amp;J$1&amp;"P"&amp;$A10))/1000000,(100*RTD("tos.rtd",,"VOLUME","."&amp;J$2&amp;J$1&amp;"C"&amp;$A10)*RTD("tos.rtd",,"LAST","."&amp;J$2&amp;J$1&amp;"C"&amp;$A10)-100*RTD("tos.rtd",,"VOLUME","."&amp;J$2&amp;J$1&amp;"P"&amp;$A10)*RTD("tos.rtd",,"LAST","."&amp;J$2&amp;J$1&amp;"P"&amp;$A10))/1000000),0),IF($A$2="DEX",IFERROR(IF($X$1="ABS",(100*RTD("tos.rtd",,"OPEN_INT","."&amp;J$2&amp;J$1&amp;"C"&amp;$A10)*RTD("tos.rtd",,"DELTA","."&amp;J$2&amp;J$1&amp;"C"&amp;$A10)+100*RTD("tos.rtd",,"OPEN_INT","."&amp;J$2&amp;J$1&amp;"P"&amp;$A10)*RTD("tos.rtd",,"DELTA","."&amp;J$2&amp;J$1&amp;"P"&amp;$A10))/1000,(100*RTD("tos.rtd",,"OPEN_INT","."&amp;J$2&amp;J$1&amp;"C"&amp;$A10)*RTD("tos.rtd",,"DELTA","."&amp;J$2&amp;J$1&amp;"C"&amp;$A10)-100*RTD("tos.rtd",,"OPEN_INT","."&amp;J$2&amp;J$1&amp;"P"&amp;$A10)*RTD("tos.rtd",,"DELTA","."&amp;J$2&amp;J$1&amp;"P"&amp;$A10))/1000),0),IF($A$2="VEX",IFERROR(IF($X$1="ABS",($A$4*$A$4*RTD("tos.rtd",,"VOLUME","."&amp;J$2&amp;J$1&amp;"C"&amp;$A10)*RTD("tos.rtd",,"GAMMA","."&amp;J$2&amp;J$1&amp;"C"&amp;$A10)+$A$4*$A$4*RTD("tos.rtd",,"VOLUME","."&amp;J$2&amp;J$1&amp;"P"&amp;$A10)*RTD("tos.rtd",,"GAMMA","."&amp;J$2&amp;J$1&amp;"P"&amp;$A10))/1000000,($A$4*$A$4*RTD("tos.rtd",,"VOLUME","."&amp;J$2&amp;J$1&amp;"C"&amp;$A10)*RTD("tos.rtd",,"GAMMA","."&amp;J$2&amp;J$1&amp;"C"&amp;$A10)-$A$4*$A$4*RTD("tos.rtd",,"VOLUME","."&amp;J$2&amp;J$1&amp;"P"&amp;$A10)*RTD("tos.rtd",,"GAMMA","."&amp;J$2&amp;J$1&amp;"P"&amp;$A10))/1000000),0),IF($A$2="GEX",IFERROR(IF($X$1="ABS",($A$4*$A$4*RTD("tos.rtd",,"OPEN_INT","."&amp;J$2&amp;J$1&amp;"C"&amp;$A10)*RTD("tos.rtd",,"GAMMA","."&amp;J$2&amp;J$1&amp;"C"&amp;$A10)+$A$4*$A$4*RTD("tos.rtd",,"OPEN_INT","."&amp;J$2&amp;J$1&amp;"P"&amp;$A10)*RTD("tos.rtd",,"GAMMA","."&amp;J$2&amp;J$1&amp;"P"&amp;$A10))/1000000,($A$4*$A$4*RTD("tos.rtd",,"OPEN_INT","."&amp;J$2&amp;J$1&amp;"C"&amp;$A10)*RTD("tos.rtd",,"GAMMA","."&amp;J$2&amp;J$1&amp;"C"&amp;$A10)-$A$4*$A$4*RTD("tos.rtd",,"OPEN_INT","."&amp;J$2&amp;J$1&amp;"P"&amp;$A10)*RTD("tos.rtd",,"GAMMA","."&amp;J$2&amp;J$1&amp;"P"&amp;$A10))/1000000),0),IF($A$2="SKEW",IFERROR(VALUE(IF(RTD("tos.rtd",,"IMPL_VOL","."&amp;J$2&amp;J$1&amp;"P"&amp;$A10)="N/A",0,RTD("tos.rtd",,"IMPL_VOL","."&amp;J$2&amp;J$1&amp;"P"&amp;$A10))),0)-IFERROR(VALUE(IF(RTD("tos.rtd",,"IMPL_VOL","."&amp;J$2&amp;J$1&amp;"C"&amp;$A10)="N/A",0,RTD("tos.rtd",,"IMPL_VOL","."&amp;J$2&amp;J$1&amp;"C"&amp;$A10))),0),IF($A$2="MAXPAIN",IF($A$4&gt;$A10,($A$4-$A10)*IF(RTD("tos.rtd",,"OPEN_INT","."&amp;J$2&amp;J$1&amp;"C"&amp;$A10)="N/A",0,RTD("tos.rtd",,"OPEN_INT","."&amp;J$2&amp;J$1&amp;"C"&amp;$A10)),0)+IF($A$4&lt;$A10,($A$5-$A$4)*IF(RTD("tos.rtd",,"OPEN_INT","."&amp;J$2&amp;J$1&amp;"P"&amp;$A10)="N/A",0,RTD("tos.rtd",,"OPEN_INT","."&amp;J$2&amp;J$1&amp;"P"&amp;$A10)),0),IF($X$1="ABS",IF(RTD("tos.rtd",,$A$2,"."&amp;J$2&amp;J$1&amp;"C"&amp;$A10)="N/A",0,RTD("tos.rtd",,$A$2,"."&amp;J$2&amp;J$1&amp;"C"&amp;$A10))+IF(RTD("tos.rtd",,$A$2,"."&amp;J$2&amp;J$1&amp;"P"&amp;$A10)="N/A",0,RTD("tos.rtd",,$A$2,"."&amp;J$2&amp;J$1&amp;"P"&amp;$A10)),IF(RTD("tos.rtd",,$A$2,"."&amp;J$2&amp;J$1&amp;"C"&amp;$A10)="N/A",0,RTD("tos.rtd",,$A$2,"."&amp;J$2&amp;J$1&amp;"C"&amp;$A10))-IF(RTD("tos.rtd",,$A$2,"."&amp;J$2&amp;J$1&amp;"P"&amp;$A10)="N/A",0,RTD("tos.rtd",,$A$2,"."&amp;J$2&amp;J$1&amp;"P"&amp;$A10))))))))))</f>
        <v>0</v>
      </c>
      <c r="K10" s="12">
        <f ca="1">IF($A$2="PREMIUM_OI",IFERROR(IF($X$1="ABS",(100*RTD("tos.rtd",,"OPEN_INT","."&amp;K$2&amp;K$1&amp;"C"&amp;$A10)*RTD("tos.rtd",,"LAST","."&amp;K$2&amp;K$1&amp;"C"&amp;$A10)+100*RTD("tos.rtd",,"OPEN_INT","."&amp;K$2&amp;K$1&amp;"P"&amp;$A10)*RTD("tos.rtd",,"LAST","."&amp;K$2&amp;K$1&amp;"P"&amp;$A10))/1000000,(100*RTD("tos.rtd",,"OPEN_INT","."&amp;K$2&amp;K$1&amp;"C"&amp;$A10)*RTD("tos.rtd",,"LAST","."&amp;K$2&amp;K$1&amp;"C"&amp;$A10)-100*RTD("tos.rtd",,"OPEN_INT","."&amp;K$2&amp;K$1&amp;"P"&amp;$A10)*RTD("tos.rtd",,"LAST","."&amp;K$2&amp;K$1&amp;"P"&amp;$A10))/1000000),0),IF($A$2="PREMIUM",IFERROR(IF($X$1="ABS",(100*RTD("tos.rtd",,"VOLUME","."&amp;K$2&amp;K$1&amp;"C"&amp;$A10)*RTD("tos.rtd",,"LAST","."&amp;K$2&amp;K$1&amp;"C"&amp;$A10)+100*RTD("tos.rtd",,"VOLUME","."&amp;K$2&amp;K$1&amp;"P"&amp;$A10)*RTD("tos.rtd",,"LAST","."&amp;K$2&amp;K$1&amp;"P"&amp;$A10))/1000000,(100*RTD("tos.rtd",,"VOLUME","."&amp;K$2&amp;K$1&amp;"C"&amp;$A10)*RTD("tos.rtd",,"LAST","."&amp;K$2&amp;K$1&amp;"C"&amp;$A10)-100*RTD("tos.rtd",,"VOLUME","."&amp;K$2&amp;K$1&amp;"P"&amp;$A10)*RTD("tos.rtd",,"LAST","."&amp;K$2&amp;K$1&amp;"P"&amp;$A10))/1000000),0),IF($A$2="DEX",IFERROR(IF($X$1="ABS",(100*RTD("tos.rtd",,"OPEN_INT","."&amp;K$2&amp;K$1&amp;"C"&amp;$A10)*RTD("tos.rtd",,"DELTA","."&amp;K$2&amp;K$1&amp;"C"&amp;$A10)+100*RTD("tos.rtd",,"OPEN_INT","."&amp;K$2&amp;K$1&amp;"P"&amp;$A10)*RTD("tos.rtd",,"DELTA","."&amp;K$2&amp;K$1&amp;"P"&amp;$A10))/1000,(100*RTD("tos.rtd",,"OPEN_INT","."&amp;K$2&amp;K$1&amp;"C"&amp;$A10)*RTD("tos.rtd",,"DELTA","."&amp;K$2&amp;K$1&amp;"C"&amp;$A10)-100*RTD("tos.rtd",,"OPEN_INT","."&amp;K$2&amp;K$1&amp;"P"&amp;$A10)*RTD("tos.rtd",,"DELTA","."&amp;K$2&amp;K$1&amp;"P"&amp;$A10))/1000),0),IF($A$2="VEX",IFERROR(IF($X$1="ABS",($A$4*$A$4*RTD("tos.rtd",,"VOLUME","."&amp;K$2&amp;K$1&amp;"C"&amp;$A10)*RTD("tos.rtd",,"GAMMA","."&amp;K$2&amp;K$1&amp;"C"&amp;$A10)+$A$4*$A$4*RTD("tos.rtd",,"VOLUME","."&amp;K$2&amp;K$1&amp;"P"&amp;$A10)*RTD("tos.rtd",,"GAMMA","."&amp;K$2&amp;K$1&amp;"P"&amp;$A10))/1000000,($A$4*$A$4*RTD("tos.rtd",,"VOLUME","."&amp;K$2&amp;K$1&amp;"C"&amp;$A10)*RTD("tos.rtd",,"GAMMA","."&amp;K$2&amp;K$1&amp;"C"&amp;$A10)-$A$4*$A$4*RTD("tos.rtd",,"VOLUME","."&amp;K$2&amp;K$1&amp;"P"&amp;$A10)*RTD("tos.rtd",,"GAMMA","."&amp;K$2&amp;K$1&amp;"P"&amp;$A10))/1000000),0),IF($A$2="GEX",IFERROR(IF($X$1="ABS",($A$4*$A$4*RTD("tos.rtd",,"OPEN_INT","."&amp;K$2&amp;K$1&amp;"C"&amp;$A10)*RTD("tos.rtd",,"GAMMA","."&amp;K$2&amp;K$1&amp;"C"&amp;$A10)+$A$4*$A$4*RTD("tos.rtd",,"OPEN_INT","."&amp;K$2&amp;K$1&amp;"P"&amp;$A10)*RTD("tos.rtd",,"GAMMA","."&amp;K$2&amp;K$1&amp;"P"&amp;$A10))/1000000,($A$4*$A$4*RTD("tos.rtd",,"OPEN_INT","."&amp;K$2&amp;K$1&amp;"C"&amp;$A10)*RTD("tos.rtd",,"GAMMA","."&amp;K$2&amp;K$1&amp;"C"&amp;$A10)-$A$4*$A$4*RTD("tos.rtd",,"OPEN_INT","."&amp;K$2&amp;K$1&amp;"P"&amp;$A10)*RTD("tos.rtd",,"GAMMA","."&amp;K$2&amp;K$1&amp;"P"&amp;$A10))/1000000),0),IF($A$2="SKEW",IFERROR(VALUE(IF(RTD("tos.rtd",,"IMPL_VOL","."&amp;K$2&amp;K$1&amp;"P"&amp;$A10)="N/A",0,RTD("tos.rtd",,"IMPL_VOL","."&amp;K$2&amp;K$1&amp;"P"&amp;$A10))),0)-IFERROR(VALUE(IF(RTD("tos.rtd",,"IMPL_VOL","."&amp;K$2&amp;K$1&amp;"C"&amp;$A10)="N/A",0,RTD("tos.rtd",,"IMPL_VOL","."&amp;K$2&amp;K$1&amp;"C"&amp;$A10))),0),IF($A$2="MAXPAIN",IF($A$4&gt;$A10,($A$4-$A10)*IF(RTD("tos.rtd",,"OPEN_INT","."&amp;K$2&amp;K$1&amp;"C"&amp;$A10)="N/A",0,RTD("tos.rtd",,"OPEN_INT","."&amp;K$2&amp;K$1&amp;"C"&amp;$A10)),0)+IF($A$4&lt;$A10,($A$5-$A$4)*IF(RTD("tos.rtd",,"OPEN_INT","."&amp;K$2&amp;K$1&amp;"P"&amp;$A10)="N/A",0,RTD("tos.rtd",,"OPEN_INT","."&amp;K$2&amp;K$1&amp;"P"&amp;$A10)),0),IF($X$1="ABS",IF(RTD("tos.rtd",,$A$2,"."&amp;K$2&amp;K$1&amp;"C"&amp;$A10)="N/A",0,RTD("tos.rtd",,$A$2,"."&amp;K$2&amp;K$1&amp;"C"&amp;$A10))+IF(RTD("tos.rtd",,$A$2,"."&amp;K$2&amp;K$1&amp;"P"&amp;$A10)="N/A",0,RTD("tos.rtd",,$A$2,"."&amp;K$2&amp;K$1&amp;"P"&amp;$A10)),IF(RTD("tos.rtd",,$A$2,"."&amp;K$2&amp;K$1&amp;"C"&amp;$A10)="N/A",0,RTD("tos.rtd",,$A$2,"."&amp;K$2&amp;K$1&amp;"C"&amp;$A10))-IF(RTD("tos.rtd",,$A$2,"."&amp;K$2&amp;K$1&amp;"P"&amp;$A10)="N/A",0,RTD("tos.rtd",,$A$2,"."&amp;K$2&amp;K$1&amp;"P"&amp;$A10))))))))))</f>
        <v>0</v>
      </c>
      <c r="L10" s="54">
        <f ca="1">IF($A$2="PREMIUM_OI",IFERROR(IF($X$1="ABS",(100*RTD("tos.rtd",,"OPEN_INT","."&amp;L$2&amp;L$1&amp;"C"&amp;$A10)*RTD("tos.rtd",,"LAST","."&amp;L$2&amp;L$1&amp;"C"&amp;$A10)+100*RTD("tos.rtd",,"OPEN_INT","."&amp;L$2&amp;L$1&amp;"P"&amp;$A10)*RTD("tos.rtd",,"LAST","."&amp;L$2&amp;L$1&amp;"P"&amp;$A10))/1000000,(100*RTD("tos.rtd",,"OPEN_INT","."&amp;L$2&amp;L$1&amp;"C"&amp;$A10)*RTD("tos.rtd",,"LAST","."&amp;L$2&amp;L$1&amp;"C"&amp;$A10)-100*RTD("tos.rtd",,"OPEN_INT","."&amp;L$2&amp;L$1&amp;"P"&amp;$A10)*RTD("tos.rtd",,"LAST","."&amp;L$2&amp;L$1&amp;"P"&amp;$A10))/1000000),0),IF($A$2="PREMIUM",IFERROR(IF($X$1="ABS",(100*RTD("tos.rtd",,"VOLUME","."&amp;L$2&amp;L$1&amp;"C"&amp;$A10)*RTD("tos.rtd",,"LAST","."&amp;L$2&amp;L$1&amp;"C"&amp;$A10)+100*RTD("tos.rtd",,"VOLUME","."&amp;L$2&amp;L$1&amp;"P"&amp;$A10)*RTD("tos.rtd",,"LAST","."&amp;L$2&amp;L$1&amp;"P"&amp;$A10))/1000000,(100*RTD("tos.rtd",,"VOLUME","."&amp;L$2&amp;L$1&amp;"C"&amp;$A10)*RTD("tos.rtd",,"LAST","."&amp;L$2&amp;L$1&amp;"C"&amp;$A10)-100*RTD("tos.rtd",,"VOLUME","."&amp;L$2&amp;L$1&amp;"P"&amp;$A10)*RTD("tos.rtd",,"LAST","."&amp;L$2&amp;L$1&amp;"P"&amp;$A10))/1000000),0),IF($A$2="DEX",IFERROR(IF($X$1="ABS",(100*RTD("tos.rtd",,"OPEN_INT","."&amp;L$2&amp;L$1&amp;"C"&amp;$A10)*RTD("tos.rtd",,"DELTA","."&amp;L$2&amp;L$1&amp;"C"&amp;$A10)+100*RTD("tos.rtd",,"OPEN_INT","."&amp;L$2&amp;L$1&amp;"P"&amp;$A10)*RTD("tos.rtd",,"DELTA","."&amp;L$2&amp;L$1&amp;"P"&amp;$A10))/1000,(100*RTD("tos.rtd",,"OPEN_INT","."&amp;L$2&amp;L$1&amp;"C"&amp;$A10)*RTD("tos.rtd",,"DELTA","."&amp;L$2&amp;L$1&amp;"C"&amp;$A10)-100*RTD("tos.rtd",,"OPEN_INT","."&amp;L$2&amp;L$1&amp;"P"&amp;$A10)*RTD("tos.rtd",,"DELTA","."&amp;L$2&amp;L$1&amp;"P"&amp;$A10))/1000),0),IF($A$2="VEX",IFERROR(IF($X$1="ABS",($A$4*$A$4*RTD("tos.rtd",,"VOLUME","."&amp;L$2&amp;L$1&amp;"C"&amp;$A10)*RTD("tos.rtd",,"GAMMA","."&amp;L$2&amp;L$1&amp;"C"&amp;$A10)+$A$4*$A$4*RTD("tos.rtd",,"VOLUME","."&amp;L$2&amp;L$1&amp;"P"&amp;$A10)*RTD("tos.rtd",,"GAMMA","."&amp;L$2&amp;L$1&amp;"P"&amp;$A10))/1000000,($A$4*$A$4*RTD("tos.rtd",,"VOLUME","."&amp;L$2&amp;L$1&amp;"C"&amp;$A10)*RTD("tos.rtd",,"GAMMA","."&amp;L$2&amp;L$1&amp;"C"&amp;$A10)-$A$4*$A$4*RTD("tos.rtd",,"VOLUME","."&amp;L$2&amp;L$1&amp;"P"&amp;$A10)*RTD("tos.rtd",,"GAMMA","."&amp;L$2&amp;L$1&amp;"P"&amp;$A10))/1000000),0),IF($A$2="GEX",IFERROR(IF($X$1="ABS",($A$4*$A$4*RTD("tos.rtd",,"OPEN_INT","."&amp;L$2&amp;L$1&amp;"C"&amp;$A10)*RTD("tos.rtd",,"GAMMA","."&amp;L$2&amp;L$1&amp;"C"&amp;$A10)+$A$4*$A$4*RTD("tos.rtd",,"OPEN_INT","."&amp;L$2&amp;L$1&amp;"P"&amp;$A10)*RTD("tos.rtd",,"GAMMA","."&amp;L$2&amp;L$1&amp;"P"&amp;$A10))/1000000,($A$4*$A$4*RTD("tos.rtd",,"OPEN_INT","."&amp;L$2&amp;L$1&amp;"C"&amp;$A10)*RTD("tos.rtd",,"GAMMA","."&amp;L$2&amp;L$1&amp;"C"&amp;$A10)-$A$4*$A$4*RTD("tos.rtd",,"OPEN_INT","."&amp;L$2&amp;L$1&amp;"P"&amp;$A10)*RTD("tos.rtd",,"GAMMA","."&amp;L$2&amp;L$1&amp;"P"&amp;$A10))/1000000),0),IF($A$2="SKEW",IFERROR(VALUE(IF(RTD("tos.rtd",,"IMPL_VOL","."&amp;L$2&amp;L$1&amp;"P"&amp;$A10)="N/A",0,RTD("tos.rtd",,"IMPL_VOL","."&amp;L$2&amp;L$1&amp;"P"&amp;$A10))),0)-IFERROR(VALUE(IF(RTD("tos.rtd",,"IMPL_VOL","."&amp;L$2&amp;L$1&amp;"C"&amp;$A10)="N/A",0,RTD("tos.rtd",,"IMPL_VOL","."&amp;L$2&amp;L$1&amp;"C"&amp;$A10))),0),IF($A$2="MAXPAIN",IF($A$4&gt;$A10,($A$4-$A10)*IF(RTD("tos.rtd",,"OPEN_INT","."&amp;L$2&amp;L$1&amp;"C"&amp;$A10)="N/A",0,RTD("tos.rtd",,"OPEN_INT","."&amp;L$2&amp;L$1&amp;"C"&amp;$A10)),0)+IF($A$4&lt;$A10,($A$5-$A$4)*IF(RTD("tos.rtd",,"OPEN_INT","."&amp;L$2&amp;L$1&amp;"P"&amp;$A10)="N/A",0,RTD("tos.rtd",,"OPEN_INT","."&amp;L$2&amp;L$1&amp;"P"&amp;$A10)),0),IF($X$1="ABS",IF(RTD("tos.rtd",,$A$2,"."&amp;L$2&amp;L$1&amp;"C"&amp;$A10)="N/A",0,RTD("tos.rtd",,$A$2,"."&amp;L$2&amp;L$1&amp;"C"&amp;$A10))+IF(RTD("tos.rtd",,$A$2,"."&amp;L$2&amp;L$1&amp;"P"&amp;$A10)="N/A",0,RTD("tos.rtd",,$A$2,"."&amp;L$2&amp;L$1&amp;"P"&amp;$A10)),IF(RTD("tos.rtd",,$A$2,"."&amp;L$2&amp;L$1&amp;"C"&amp;$A10)="N/A",0,RTD("tos.rtd",,$A$2,"."&amp;L$2&amp;L$1&amp;"C"&amp;$A10))-IF(RTD("tos.rtd",,$A$2,"."&amp;L$2&amp;L$1&amp;"P"&amp;$A10)="N/A",0,RTD("tos.rtd",,$A$2,"."&amp;L$2&amp;L$1&amp;"P"&amp;$A10))))))))))</f>
        <v>517</v>
      </c>
      <c r="M10" s="12">
        <f ca="1">IF($A$2="PREMIUM_OI",IFERROR(IF($X$1="ABS",(100*RTD("tos.rtd",,"OPEN_INT","."&amp;M$2&amp;M$1&amp;"C"&amp;$A10)*RTD("tos.rtd",,"LAST","."&amp;M$2&amp;M$1&amp;"C"&amp;$A10)+100*RTD("tos.rtd",,"OPEN_INT","."&amp;M$2&amp;M$1&amp;"P"&amp;$A10)*RTD("tos.rtd",,"LAST","."&amp;M$2&amp;M$1&amp;"P"&amp;$A10))/1000000,(100*RTD("tos.rtd",,"OPEN_INT","."&amp;M$2&amp;M$1&amp;"C"&amp;$A10)*RTD("tos.rtd",,"LAST","."&amp;M$2&amp;M$1&amp;"C"&amp;$A10)-100*RTD("tos.rtd",,"OPEN_INT","."&amp;M$2&amp;M$1&amp;"P"&amp;$A10)*RTD("tos.rtd",,"LAST","."&amp;M$2&amp;M$1&amp;"P"&amp;$A10))/1000000),0),IF($A$2="PREMIUM",IFERROR(IF($X$1="ABS",(100*RTD("tos.rtd",,"VOLUME","."&amp;M$2&amp;M$1&amp;"C"&amp;$A10)*RTD("tos.rtd",,"LAST","."&amp;M$2&amp;M$1&amp;"C"&amp;$A10)+100*RTD("tos.rtd",,"VOLUME","."&amp;M$2&amp;M$1&amp;"P"&amp;$A10)*RTD("tos.rtd",,"LAST","."&amp;M$2&amp;M$1&amp;"P"&amp;$A10))/1000000,(100*RTD("tos.rtd",,"VOLUME","."&amp;M$2&amp;M$1&amp;"C"&amp;$A10)*RTD("tos.rtd",,"LAST","."&amp;M$2&amp;M$1&amp;"C"&amp;$A10)-100*RTD("tos.rtd",,"VOLUME","."&amp;M$2&amp;M$1&amp;"P"&amp;$A10)*RTD("tos.rtd",,"LAST","."&amp;M$2&amp;M$1&amp;"P"&amp;$A10))/1000000),0),IF($A$2="DEX",IFERROR(IF($X$1="ABS",(100*RTD("tos.rtd",,"OPEN_INT","."&amp;M$2&amp;M$1&amp;"C"&amp;$A10)*RTD("tos.rtd",,"DELTA","."&amp;M$2&amp;M$1&amp;"C"&amp;$A10)+100*RTD("tos.rtd",,"OPEN_INT","."&amp;M$2&amp;M$1&amp;"P"&amp;$A10)*RTD("tos.rtd",,"DELTA","."&amp;M$2&amp;M$1&amp;"P"&amp;$A10))/1000,(100*RTD("tos.rtd",,"OPEN_INT","."&amp;M$2&amp;M$1&amp;"C"&amp;$A10)*RTD("tos.rtd",,"DELTA","."&amp;M$2&amp;M$1&amp;"C"&amp;$A10)-100*RTD("tos.rtd",,"OPEN_INT","."&amp;M$2&amp;M$1&amp;"P"&amp;$A10)*RTD("tos.rtd",,"DELTA","."&amp;M$2&amp;M$1&amp;"P"&amp;$A10))/1000),0),IF($A$2="VEX",IFERROR(IF($X$1="ABS",($A$4*$A$4*RTD("tos.rtd",,"VOLUME","."&amp;M$2&amp;M$1&amp;"C"&amp;$A10)*RTD("tos.rtd",,"GAMMA","."&amp;M$2&amp;M$1&amp;"C"&amp;$A10)+$A$4*$A$4*RTD("tos.rtd",,"VOLUME","."&amp;M$2&amp;M$1&amp;"P"&amp;$A10)*RTD("tos.rtd",,"GAMMA","."&amp;M$2&amp;M$1&amp;"P"&amp;$A10))/1000000,($A$4*$A$4*RTD("tos.rtd",,"VOLUME","."&amp;M$2&amp;M$1&amp;"C"&amp;$A10)*RTD("tos.rtd",,"GAMMA","."&amp;M$2&amp;M$1&amp;"C"&amp;$A10)-$A$4*$A$4*RTD("tos.rtd",,"VOLUME","."&amp;M$2&amp;M$1&amp;"P"&amp;$A10)*RTD("tos.rtd",,"GAMMA","."&amp;M$2&amp;M$1&amp;"P"&amp;$A10))/1000000),0),IF($A$2="GEX",IFERROR(IF($X$1="ABS",($A$4*$A$4*RTD("tos.rtd",,"OPEN_INT","."&amp;M$2&amp;M$1&amp;"C"&amp;$A10)*RTD("tos.rtd",,"GAMMA","."&amp;M$2&amp;M$1&amp;"C"&amp;$A10)+$A$4*$A$4*RTD("tos.rtd",,"OPEN_INT","."&amp;M$2&amp;M$1&amp;"P"&amp;$A10)*RTD("tos.rtd",,"GAMMA","."&amp;M$2&amp;M$1&amp;"P"&amp;$A10))/1000000,($A$4*$A$4*RTD("tos.rtd",,"OPEN_INT","."&amp;M$2&amp;M$1&amp;"C"&amp;$A10)*RTD("tos.rtd",,"GAMMA","."&amp;M$2&amp;M$1&amp;"C"&amp;$A10)-$A$4*$A$4*RTD("tos.rtd",,"OPEN_INT","."&amp;M$2&amp;M$1&amp;"P"&amp;$A10)*RTD("tos.rtd",,"GAMMA","."&amp;M$2&amp;M$1&amp;"P"&amp;$A10))/1000000),0),IF($A$2="SKEW",IFERROR(VALUE(IF(RTD("tos.rtd",,"IMPL_VOL","."&amp;M$2&amp;M$1&amp;"P"&amp;$A10)="N/A",0,RTD("tos.rtd",,"IMPL_VOL","."&amp;M$2&amp;M$1&amp;"P"&amp;$A10))),0)-IFERROR(VALUE(IF(RTD("tos.rtd",,"IMPL_VOL","."&amp;M$2&amp;M$1&amp;"C"&amp;$A10)="N/A",0,RTD("tos.rtd",,"IMPL_VOL","."&amp;M$2&amp;M$1&amp;"C"&amp;$A10))),0),IF($A$2="MAXPAIN",IF($A$4&gt;$A10,($A$4-$A10)*IF(RTD("tos.rtd",,"OPEN_INT","."&amp;M$2&amp;M$1&amp;"C"&amp;$A10)="N/A",0,RTD("tos.rtd",,"OPEN_INT","."&amp;M$2&amp;M$1&amp;"C"&amp;$A10)),0)+IF($A$4&lt;$A10,($A$5-$A$4)*IF(RTD("tos.rtd",,"OPEN_INT","."&amp;M$2&amp;M$1&amp;"P"&amp;$A10)="N/A",0,RTD("tos.rtd",,"OPEN_INT","."&amp;M$2&amp;M$1&amp;"P"&amp;$A10)),0),IF($X$1="ABS",IF(RTD("tos.rtd",,$A$2,"."&amp;M$2&amp;M$1&amp;"C"&amp;$A10)="N/A",0,RTD("tos.rtd",,$A$2,"."&amp;M$2&amp;M$1&amp;"C"&amp;$A10))+IF(RTD("tos.rtd",,$A$2,"."&amp;M$2&amp;M$1&amp;"P"&amp;$A10)="N/A",0,RTD("tos.rtd",,$A$2,"."&amp;M$2&amp;M$1&amp;"P"&amp;$A10)),IF(RTD("tos.rtd",,$A$2,"."&amp;M$2&amp;M$1&amp;"C"&amp;$A10)="N/A",0,RTD("tos.rtd",,$A$2,"."&amp;M$2&amp;M$1&amp;"C"&amp;$A10))-IF(RTD("tos.rtd",,$A$2,"."&amp;M$2&amp;M$1&amp;"P"&amp;$A10)="N/A",0,RTD("tos.rtd",,$A$2,"."&amp;M$2&amp;M$1&amp;"P"&amp;$A10))))))))))</f>
        <v>173</v>
      </c>
      <c r="N10" s="12">
        <f ca="1">IF($A$2="PREMIUM_OI",IFERROR(IF($X$1="ABS",(100*RTD("tos.rtd",,"OPEN_INT","."&amp;N$2&amp;N$1&amp;"C"&amp;$A10)*RTD("tos.rtd",,"LAST","."&amp;N$2&amp;N$1&amp;"C"&amp;$A10)+100*RTD("tos.rtd",,"OPEN_INT","."&amp;N$2&amp;N$1&amp;"P"&amp;$A10)*RTD("tos.rtd",,"LAST","."&amp;N$2&amp;N$1&amp;"P"&amp;$A10))/1000000,(100*RTD("tos.rtd",,"OPEN_INT","."&amp;N$2&amp;N$1&amp;"C"&amp;$A10)*RTD("tos.rtd",,"LAST","."&amp;N$2&amp;N$1&amp;"C"&amp;$A10)-100*RTD("tos.rtd",,"OPEN_INT","."&amp;N$2&amp;N$1&amp;"P"&amp;$A10)*RTD("tos.rtd",,"LAST","."&amp;N$2&amp;N$1&amp;"P"&amp;$A10))/1000000),0),IF($A$2="PREMIUM",IFERROR(IF($X$1="ABS",(100*RTD("tos.rtd",,"VOLUME","."&amp;N$2&amp;N$1&amp;"C"&amp;$A10)*RTD("tos.rtd",,"LAST","."&amp;N$2&amp;N$1&amp;"C"&amp;$A10)+100*RTD("tos.rtd",,"VOLUME","."&amp;N$2&amp;N$1&amp;"P"&amp;$A10)*RTD("tos.rtd",,"LAST","."&amp;N$2&amp;N$1&amp;"P"&amp;$A10))/1000000,(100*RTD("tos.rtd",,"VOLUME","."&amp;N$2&amp;N$1&amp;"C"&amp;$A10)*RTD("tos.rtd",,"LAST","."&amp;N$2&amp;N$1&amp;"C"&amp;$A10)-100*RTD("tos.rtd",,"VOLUME","."&amp;N$2&amp;N$1&amp;"P"&amp;$A10)*RTD("tos.rtd",,"LAST","."&amp;N$2&amp;N$1&amp;"P"&amp;$A10))/1000000),0),IF($A$2="DEX",IFERROR(IF($X$1="ABS",(100*RTD("tos.rtd",,"OPEN_INT","."&amp;N$2&amp;N$1&amp;"C"&amp;$A10)*RTD("tos.rtd",,"DELTA","."&amp;N$2&amp;N$1&amp;"C"&amp;$A10)+100*RTD("tos.rtd",,"OPEN_INT","."&amp;N$2&amp;N$1&amp;"P"&amp;$A10)*RTD("tos.rtd",,"DELTA","."&amp;N$2&amp;N$1&amp;"P"&amp;$A10))/1000,(100*RTD("tos.rtd",,"OPEN_INT","."&amp;N$2&amp;N$1&amp;"C"&amp;$A10)*RTD("tos.rtd",,"DELTA","."&amp;N$2&amp;N$1&amp;"C"&amp;$A10)-100*RTD("tos.rtd",,"OPEN_INT","."&amp;N$2&amp;N$1&amp;"P"&amp;$A10)*RTD("tos.rtd",,"DELTA","."&amp;N$2&amp;N$1&amp;"P"&amp;$A10))/1000),0),IF($A$2="VEX",IFERROR(IF($X$1="ABS",($A$4*$A$4*RTD("tos.rtd",,"VOLUME","."&amp;N$2&amp;N$1&amp;"C"&amp;$A10)*RTD("tos.rtd",,"GAMMA","."&amp;N$2&amp;N$1&amp;"C"&amp;$A10)+$A$4*$A$4*RTD("tos.rtd",,"VOLUME","."&amp;N$2&amp;N$1&amp;"P"&amp;$A10)*RTD("tos.rtd",,"GAMMA","."&amp;N$2&amp;N$1&amp;"P"&amp;$A10))/1000000,($A$4*$A$4*RTD("tos.rtd",,"VOLUME","."&amp;N$2&amp;N$1&amp;"C"&amp;$A10)*RTD("tos.rtd",,"GAMMA","."&amp;N$2&amp;N$1&amp;"C"&amp;$A10)-$A$4*$A$4*RTD("tos.rtd",,"VOLUME","."&amp;N$2&amp;N$1&amp;"P"&amp;$A10)*RTD("tos.rtd",,"GAMMA","."&amp;N$2&amp;N$1&amp;"P"&amp;$A10))/1000000),0),IF($A$2="GEX",IFERROR(IF($X$1="ABS",($A$4*$A$4*RTD("tos.rtd",,"OPEN_INT","."&amp;N$2&amp;N$1&amp;"C"&amp;$A10)*RTD("tos.rtd",,"GAMMA","."&amp;N$2&amp;N$1&amp;"C"&amp;$A10)+$A$4*$A$4*RTD("tos.rtd",,"OPEN_INT","."&amp;N$2&amp;N$1&amp;"P"&amp;$A10)*RTD("tos.rtd",,"GAMMA","."&amp;N$2&amp;N$1&amp;"P"&amp;$A10))/1000000,($A$4*$A$4*RTD("tos.rtd",,"OPEN_INT","."&amp;N$2&amp;N$1&amp;"C"&amp;$A10)*RTD("tos.rtd",,"GAMMA","."&amp;N$2&amp;N$1&amp;"C"&amp;$A10)-$A$4*$A$4*RTD("tos.rtd",,"OPEN_INT","."&amp;N$2&amp;N$1&amp;"P"&amp;$A10)*RTD("tos.rtd",,"GAMMA","."&amp;N$2&amp;N$1&amp;"P"&amp;$A10))/1000000),0),IF($A$2="SKEW",IFERROR(VALUE(IF(RTD("tos.rtd",,"IMPL_VOL","."&amp;N$2&amp;N$1&amp;"P"&amp;$A10)="N/A",0,RTD("tos.rtd",,"IMPL_VOL","."&amp;N$2&amp;N$1&amp;"P"&amp;$A10))),0)-IFERROR(VALUE(IF(RTD("tos.rtd",,"IMPL_VOL","."&amp;N$2&amp;N$1&amp;"C"&amp;$A10)="N/A",0,RTD("tos.rtd",,"IMPL_VOL","."&amp;N$2&amp;N$1&amp;"C"&amp;$A10))),0),IF($A$2="MAXPAIN",IF($A$4&gt;$A10,($A$4-$A10)*IF(RTD("tos.rtd",,"OPEN_INT","."&amp;N$2&amp;N$1&amp;"C"&amp;$A10)="N/A",0,RTD("tos.rtd",,"OPEN_INT","."&amp;N$2&amp;N$1&amp;"C"&amp;$A10)),0)+IF($A$4&lt;$A10,($A$5-$A$4)*IF(RTD("tos.rtd",,"OPEN_INT","."&amp;N$2&amp;N$1&amp;"P"&amp;$A10)="N/A",0,RTD("tos.rtd",,"OPEN_INT","."&amp;N$2&amp;N$1&amp;"P"&amp;$A10)),0),IF($X$1="ABS",IF(RTD("tos.rtd",,$A$2,"."&amp;N$2&amp;N$1&amp;"C"&amp;$A10)="N/A",0,RTD("tos.rtd",,$A$2,"."&amp;N$2&amp;N$1&amp;"C"&amp;$A10))+IF(RTD("tos.rtd",,$A$2,"."&amp;N$2&amp;N$1&amp;"P"&amp;$A10)="N/A",0,RTD("tos.rtd",,$A$2,"."&amp;N$2&amp;N$1&amp;"P"&amp;$A10)),IF(RTD("tos.rtd",,$A$2,"."&amp;N$2&amp;N$1&amp;"C"&amp;$A10)="N/A",0,RTD("tos.rtd",,$A$2,"."&amp;N$2&amp;N$1&amp;"C"&amp;$A10))-IF(RTD("tos.rtd",,$A$2,"."&amp;N$2&amp;N$1&amp;"P"&amp;$A10)="N/A",0,RTD("tos.rtd",,$A$2,"."&amp;N$2&amp;N$1&amp;"P"&amp;$A10))))))))))</f>
        <v>0</v>
      </c>
      <c r="O10" s="12">
        <f ca="1">IF($A$2="PREMIUM_OI",IFERROR(IF($X$1="ABS",(100*RTD("tos.rtd",,"OPEN_INT","."&amp;O$2&amp;O$1&amp;"C"&amp;$A10)*RTD("tos.rtd",,"LAST","."&amp;O$2&amp;O$1&amp;"C"&amp;$A10)+100*RTD("tos.rtd",,"OPEN_INT","."&amp;O$2&amp;O$1&amp;"P"&amp;$A10)*RTD("tos.rtd",,"LAST","."&amp;O$2&amp;O$1&amp;"P"&amp;$A10))/1000000,(100*RTD("tos.rtd",,"OPEN_INT","."&amp;O$2&amp;O$1&amp;"C"&amp;$A10)*RTD("tos.rtd",,"LAST","."&amp;O$2&amp;O$1&amp;"C"&amp;$A10)-100*RTD("tos.rtd",,"OPEN_INT","."&amp;O$2&amp;O$1&amp;"P"&amp;$A10)*RTD("tos.rtd",,"LAST","."&amp;O$2&amp;O$1&amp;"P"&amp;$A10))/1000000),0),IF($A$2="PREMIUM",IFERROR(IF($X$1="ABS",(100*RTD("tos.rtd",,"VOLUME","."&amp;O$2&amp;O$1&amp;"C"&amp;$A10)*RTD("tos.rtd",,"LAST","."&amp;O$2&amp;O$1&amp;"C"&amp;$A10)+100*RTD("tos.rtd",,"VOLUME","."&amp;O$2&amp;O$1&amp;"P"&amp;$A10)*RTD("tos.rtd",,"LAST","."&amp;O$2&amp;O$1&amp;"P"&amp;$A10))/1000000,(100*RTD("tos.rtd",,"VOLUME","."&amp;O$2&amp;O$1&amp;"C"&amp;$A10)*RTD("tos.rtd",,"LAST","."&amp;O$2&amp;O$1&amp;"C"&amp;$A10)-100*RTD("tos.rtd",,"VOLUME","."&amp;O$2&amp;O$1&amp;"P"&amp;$A10)*RTD("tos.rtd",,"LAST","."&amp;O$2&amp;O$1&amp;"P"&amp;$A10))/1000000),0),IF($A$2="DEX",IFERROR(IF($X$1="ABS",(100*RTD("tos.rtd",,"OPEN_INT","."&amp;O$2&amp;O$1&amp;"C"&amp;$A10)*RTD("tos.rtd",,"DELTA","."&amp;O$2&amp;O$1&amp;"C"&amp;$A10)+100*RTD("tos.rtd",,"OPEN_INT","."&amp;O$2&amp;O$1&amp;"P"&amp;$A10)*RTD("tos.rtd",,"DELTA","."&amp;O$2&amp;O$1&amp;"P"&amp;$A10))/1000,(100*RTD("tos.rtd",,"OPEN_INT","."&amp;O$2&amp;O$1&amp;"C"&amp;$A10)*RTD("tos.rtd",,"DELTA","."&amp;O$2&amp;O$1&amp;"C"&amp;$A10)-100*RTD("tos.rtd",,"OPEN_INT","."&amp;O$2&amp;O$1&amp;"P"&amp;$A10)*RTD("tos.rtd",,"DELTA","."&amp;O$2&amp;O$1&amp;"P"&amp;$A10))/1000),0),IF($A$2="VEX",IFERROR(IF($X$1="ABS",($A$4*$A$4*RTD("tos.rtd",,"VOLUME","."&amp;O$2&amp;O$1&amp;"C"&amp;$A10)*RTD("tos.rtd",,"GAMMA","."&amp;O$2&amp;O$1&amp;"C"&amp;$A10)+$A$4*$A$4*RTD("tos.rtd",,"VOLUME","."&amp;O$2&amp;O$1&amp;"P"&amp;$A10)*RTD("tos.rtd",,"GAMMA","."&amp;O$2&amp;O$1&amp;"P"&amp;$A10))/1000000,($A$4*$A$4*RTD("tos.rtd",,"VOLUME","."&amp;O$2&amp;O$1&amp;"C"&amp;$A10)*RTD("tos.rtd",,"GAMMA","."&amp;O$2&amp;O$1&amp;"C"&amp;$A10)-$A$4*$A$4*RTD("tos.rtd",,"VOLUME","."&amp;O$2&amp;O$1&amp;"P"&amp;$A10)*RTD("tos.rtd",,"GAMMA","."&amp;O$2&amp;O$1&amp;"P"&amp;$A10))/1000000),0),IF($A$2="GEX",IFERROR(IF($X$1="ABS",($A$4*$A$4*RTD("tos.rtd",,"OPEN_INT","."&amp;O$2&amp;O$1&amp;"C"&amp;$A10)*RTD("tos.rtd",,"GAMMA","."&amp;O$2&amp;O$1&amp;"C"&amp;$A10)+$A$4*$A$4*RTD("tos.rtd",,"OPEN_INT","."&amp;O$2&amp;O$1&amp;"P"&amp;$A10)*RTD("tos.rtd",,"GAMMA","."&amp;O$2&amp;O$1&amp;"P"&amp;$A10))/1000000,($A$4*$A$4*RTD("tos.rtd",,"OPEN_INT","."&amp;O$2&amp;O$1&amp;"C"&amp;$A10)*RTD("tos.rtd",,"GAMMA","."&amp;O$2&amp;O$1&amp;"C"&amp;$A10)-$A$4*$A$4*RTD("tos.rtd",,"OPEN_INT","."&amp;O$2&amp;O$1&amp;"P"&amp;$A10)*RTD("tos.rtd",,"GAMMA","."&amp;O$2&amp;O$1&amp;"P"&amp;$A10))/1000000),0),IF($A$2="SKEW",IFERROR(VALUE(IF(RTD("tos.rtd",,"IMPL_VOL","."&amp;O$2&amp;O$1&amp;"P"&amp;$A10)="N/A",0,RTD("tos.rtd",,"IMPL_VOL","."&amp;O$2&amp;O$1&amp;"P"&amp;$A10))),0)-IFERROR(VALUE(IF(RTD("tos.rtd",,"IMPL_VOL","."&amp;O$2&amp;O$1&amp;"C"&amp;$A10)="N/A",0,RTD("tos.rtd",,"IMPL_VOL","."&amp;O$2&amp;O$1&amp;"C"&amp;$A10))),0),IF($A$2="MAXPAIN",IF($A$4&gt;$A10,($A$4-$A10)*IF(RTD("tos.rtd",,"OPEN_INT","."&amp;O$2&amp;O$1&amp;"C"&amp;$A10)="N/A",0,RTD("tos.rtd",,"OPEN_INT","."&amp;O$2&amp;O$1&amp;"C"&amp;$A10)),0)+IF($A$4&lt;$A10,($A$5-$A$4)*IF(RTD("tos.rtd",,"OPEN_INT","."&amp;O$2&amp;O$1&amp;"P"&amp;$A10)="N/A",0,RTD("tos.rtd",,"OPEN_INT","."&amp;O$2&amp;O$1&amp;"P"&amp;$A10)),0),IF($X$1="ABS",IF(RTD("tos.rtd",,$A$2,"."&amp;O$2&amp;O$1&amp;"C"&amp;$A10)="N/A",0,RTD("tos.rtd",,$A$2,"."&amp;O$2&amp;O$1&amp;"C"&amp;$A10))+IF(RTD("tos.rtd",,$A$2,"."&amp;O$2&amp;O$1&amp;"P"&amp;$A10)="N/A",0,RTD("tos.rtd",,$A$2,"."&amp;O$2&amp;O$1&amp;"P"&amp;$A10)),IF(RTD("tos.rtd",,$A$2,"."&amp;O$2&amp;O$1&amp;"C"&amp;$A10)="N/A",0,RTD("tos.rtd",,$A$2,"."&amp;O$2&amp;O$1&amp;"C"&amp;$A10))-IF(RTD("tos.rtd",,$A$2,"."&amp;O$2&amp;O$1&amp;"P"&amp;$A10)="N/A",0,RTD("tos.rtd",,$A$2,"."&amp;O$2&amp;O$1&amp;"P"&amp;$A10))))))))))</f>
        <v>0</v>
      </c>
      <c r="P10" s="12">
        <f ca="1">IF($A$2="PREMIUM_OI",IFERROR(IF($X$1="ABS",(100*RTD("tos.rtd",,"OPEN_INT","."&amp;P$2&amp;P$1&amp;"C"&amp;$A10)*RTD("tos.rtd",,"LAST","."&amp;P$2&amp;P$1&amp;"C"&amp;$A10)+100*RTD("tos.rtd",,"OPEN_INT","."&amp;P$2&amp;P$1&amp;"P"&amp;$A10)*RTD("tos.rtd",,"LAST","."&amp;P$2&amp;P$1&amp;"P"&amp;$A10))/1000000,(100*RTD("tos.rtd",,"OPEN_INT","."&amp;P$2&amp;P$1&amp;"C"&amp;$A10)*RTD("tos.rtd",,"LAST","."&amp;P$2&amp;P$1&amp;"C"&amp;$A10)-100*RTD("tos.rtd",,"OPEN_INT","."&amp;P$2&amp;P$1&amp;"P"&amp;$A10)*RTD("tos.rtd",,"LAST","."&amp;P$2&amp;P$1&amp;"P"&amp;$A10))/1000000),0),IF($A$2="PREMIUM",IFERROR(IF($X$1="ABS",(100*RTD("tos.rtd",,"VOLUME","."&amp;P$2&amp;P$1&amp;"C"&amp;$A10)*RTD("tos.rtd",,"LAST","."&amp;P$2&amp;P$1&amp;"C"&amp;$A10)+100*RTD("tos.rtd",,"VOLUME","."&amp;P$2&amp;P$1&amp;"P"&amp;$A10)*RTD("tos.rtd",,"LAST","."&amp;P$2&amp;P$1&amp;"P"&amp;$A10))/1000000,(100*RTD("tos.rtd",,"VOLUME","."&amp;P$2&amp;P$1&amp;"C"&amp;$A10)*RTD("tos.rtd",,"LAST","."&amp;P$2&amp;P$1&amp;"C"&amp;$A10)-100*RTD("tos.rtd",,"VOLUME","."&amp;P$2&amp;P$1&amp;"P"&amp;$A10)*RTD("tos.rtd",,"LAST","."&amp;P$2&amp;P$1&amp;"P"&amp;$A10))/1000000),0),IF($A$2="DEX",IFERROR(IF($X$1="ABS",(100*RTD("tos.rtd",,"OPEN_INT","."&amp;P$2&amp;P$1&amp;"C"&amp;$A10)*RTD("tos.rtd",,"DELTA","."&amp;P$2&amp;P$1&amp;"C"&amp;$A10)+100*RTD("tos.rtd",,"OPEN_INT","."&amp;P$2&amp;P$1&amp;"P"&amp;$A10)*RTD("tos.rtd",,"DELTA","."&amp;P$2&amp;P$1&amp;"P"&amp;$A10))/1000,(100*RTD("tos.rtd",,"OPEN_INT","."&amp;P$2&amp;P$1&amp;"C"&amp;$A10)*RTD("tos.rtd",,"DELTA","."&amp;P$2&amp;P$1&amp;"C"&amp;$A10)-100*RTD("tos.rtd",,"OPEN_INT","."&amp;P$2&amp;P$1&amp;"P"&amp;$A10)*RTD("tos.rtd",,"DELTA","."&amp;P$2&amp;P$1&amp;"P"&amp;$A10))/1000),0),IF($A$2="VEX",IFERROR(IF($X$1="ABS",($A$4*$A$4*RTD("tos.rtd",,"VOLUME","."&amp;P$2&amp;P$1&amp;"C"&amp;$A10)*RTD("tos.rtd",,"GAMMA","."&amp;P$2&amp;P$1&amp;"C"&amp;$A10)+$A$4*$A$4*RTD("tos.rtd",,"VOLUME","."&amp;P$2&amp;P$1&amp;"P"&amp;$A10)*RTD("tos.rtd",,"GAMMA","."&amp;P$2&amp;P$1&amp;"P"&amp;$A10))/1000000,($A$4*$A$4*RTD("tos.rtd",,"VOLUME","."&amp;P$2&amp;P$1&amp;"C"&amp;$A10)*RTD("tos.rtd",,"GAMMA","."&amp;P$2&amp;P$1&amp;"C"&amp;$A10)-$A$4*$A$4*RTD("tos.rtd",,"VOLUME","."&amp;P$2&amp;P$1&amp;"P"&amp;$A10)*RTD("tos.rtd",,"GAMMA","."&amp;P$2&amp;P$1&amp;"P"&amp;$A10))/1000000),0),IF($A$2="GEX",IFERROR(IF($X$1="ABS",($A$4*$A$4*RTD("tos.rtd",,"OPEN_INT","."&amp;P$2&amp;P$1&amp;"C"&amp;$A10)*RTD("tos.rtd",,"GAMMA","."&amp;P$2&amp;P$1&amp;"C"&amp;$A10)+$A$4*$A$4*RTD("tos.rtd",,"OPEN_INT","."&amp;P$2&amp;P$1&amp;"P"&amp;$A10)*RTD("tos.rtd",,"GAMMA","."&amp;P$2&amp;P$1&amp;"P"&amp;$A10))/1000000,($A$4*$A$4*RTD("tos.rtd",,"OPEN_INT","."&amp;P$2&amp;P$1&amp;"C"&amp;$A10)*RTD("tos.rtd",,"GAMMA","."&amp;P$2&amp;P$1&amp;"C"&amp;$A10)-$A$4*$A$4*RTD("tos.rtd",,"OPEN_INT","."&amp;P$2&amp;P$1&amp;"P"&amp;$A10)*RTD("tos.rtd",,"GAMMA","."&amp;P$2&amp;P$1&amp;"P"&amp;$A10))/1000000),0),IF($A$2="SKEW",IFERROR(VALUE(IF(RTD("tos.rtd",,"IMPL_VOL","."&amp;P$2&amp;P$1&amp;"P"&amp;$A10)="N/A",0,RTD("tos.rtd",,"IMPL_VOL","."&amp;P$2&amp;P$1&amp;"P"&amp;$A10))),0)-IFERROR(VALUE(IF(RTD("tos.rtd",,"IMPL_VOL","."&amp;P$2&amp;P$1&amp;"C"&amp;$A10)="N/A",0,RTD("tos.rtd",,"IMPL_VOL","."&amp;P$2&amp;P$1&amp;"C"&amp;$A10))),0),IF($A$2="MAXPAIN",IF($A$4&gt;$A10,($A$4-$A10)*IF(RTD("tos.rtd",,"OPEN_INT","."&amp;P$2&amp;P$1&amp;"C"&amp;$A10)="N/A",0,RTD("tos.rtd",,"OPEN_INT","."&amp;P$2&amp;P$1&amp;"C"&amp;$A10)),0)+IF($A$4&lt;$A10,($A$5-$A$4)*IF(RTD("tos.rtd",,"OPEN_INT","."&amp;P$2&amp;P$1&amp;"P"&amp;$A10)="N/A",0,RTD("tos.rtd",,"OPEN_INT","."&amp;P$2&amp;P$1&amp;"P"&amp;$A10)),0),IF($X$1="ABS",IF(RTD("tos.rtd",,$A$2,"."&amp;P$2&amp;P$1&amp;"C"&amp;$A10)="N/A",0,RTD("tos.rtd",,$A$2,"."&amp;P$2&amp;P$1&amp;"C"&amp;$A10))+IF(RTD("tos.rtd",,$A$2,"."&amp;P$2&amp;P$1&amp;"P"&amp;$A10)="N/A",0,RTD("tos.rtd",,$A$2,"."&amp;P$2&amp;P$1&amp;"P"&amp;$A10)),IF(RTD("tos.rtd",,$A$2,"."&amp;P$2&amp;P$1&amp;"C"&amp;$A10)="N/A",0,RTD("tos.rtd",,$A$2,"."&amp;P$2&amp;P$1&amp;"C"&amp;$A10))-IF(RTD("tos.rtd",,$A$2,"."&amp;P$2&amp;P$1&amp;"P"&amp;$A10)="N/A",0,RTD("tos.rtd",,$A$2,"."&amp;P$2&amp;P$1&amp;"P"&amp;$A10))))))))))</f>
        <v>0</v>
      </c>
      <c r="Q10" s="12">
        <f ca="1">IF($A$2="PREMIUM_OI",IFERROR(IF($X$1="ABS",(100*RTD("tos.rtd",,"OPEN_INT","."&amp;Q$2&amp;Q$1&amp;"C"&amp;$A10)*RTD("tos.rtd",,"LAST","."&amp;Q$2&amp;Q$1&amp;"C"&amp;$A10)+100*RTD("tos.rtd",,"OPEN_INT","."&amp;Q$2&amp;Q$1&amp;"P"&amp;$A10)*RTD("tos.rtd",,"LAST","."&amp;Q$2&amp;Q$1&amp;"P"&amp;$A10))/1000000,(100*RTD("tos.rtd",,"OPEN_INT","."&amp;Q$2&amp;Q$1&amp;"C"&amp;$A10)*RTD("tos.rtd",,"LAST","."&amp;Q$2&amp;Q$1&amp;"C"&amp;$A10)-100*RTD("tos.rtd",,"OPEN_INT","."&amp;Q$2&amp;Q$1&amp;"P"&amp;$A10)*RTD("tos.rtd",,"LAST","."&amp;Q$2&amp;Q$1&amp;"P"&amp;$A10))/1000000),0),IF($A$2="PREMIUM",IFERROR(IF($X$1="ABS",(100*RTD("tos.rtd",,"VOLUME","."&amp;Q$2&amp;Q$1&amp;"C"&amp;$A10)*RTD("tos.rtd",,"LAST","."&amp;Q$2&amp;Q$1&amp;"C"&amp;$A10)+100*RTD("tos.rtd",,"VOLUME","."&amp;Q$2&amp;Q$1&amp;"P"&amp;$A10)*RTD("tos.rtd",,"LAST","."&amp;Q$2&amp;Q$1&amp;"P"&amp;$A10))/1000000,(100*RTD("tos.rtd",,"VOLUME","."&amp;Q$2&amp;Q$1&amp;"C"&amp;$A10)*RTD("tos.rtd",,"LAST","."&amp;Q$2&amp;Q$1&amp;"C"&amp;$A10)-100*RTD("tos.rtd",,"VOLUME","."&amp;Q$2&amp;Q$1&amp;"P"&amp;$A10)*RTD("tos.rtd",,"LAST","."&amp;Q$2&amp;Q$1&amp;"P"&amp;$A10))/1000000),0),IF($A$2="DEX",IFERROR(IF($X$1="ABS",(100*RTD("tos.rtd",,"OPEN_INT","."&amp;Q$2&amp;Q$1&amp;"C"&amp;$A10)*RTD("tos.rtd",,"DELTA","."&amp;Q$2&amp;Q$1&amp;"C"&amp;$A10)+100*RTD("tos.rtd",,"OPEN_INT","."&amp;Q$2&amp;Q$1&amp;"P"&amp;$A10)*RTD("tos.rtd",,"DELTA","."&amp;Q$2&amp;Q$1&amp;"P"&amp;$A10))/1000,(100*RTD("tos.rtd",,"OPEN_INT","."&amp;Q$2&amp;Q$1&amp;"C"&amp;$A10)*RTD("tos.rtd",,"DELTA","."&amp;Q$2&amp;Q$1&amp;"C"&amp;$A10)-100*RTD("tos.rtd",,"OPEN_INT","."&amp;Q$2&amp;Q$1&amp;"P"&amp;$A10)*RTD("tos.rtd",,"DELTA","."&amp;Q$2&amp;Q$1&amp;"P"&amp;$A10))/1000),0),IF($A$2="VEX",IFERROR(IF($X$1="ABS",($A$4*$A$4*RTD("tos.rtd",,"VOLUME","."&amp;Q$2&amp;Q$1&amp;"C"&amp;$A10)*RTD("tos.rtd",,"GAMMA","."&amp;Q$2&amp;Q$1&amp;"C"&amp;$A10)+$A$4*$A$4*RTD("tos.rtd",,"VOLUME","."&amp;Q$2&amp;Q$1&amp;"P"&amp;$A10)*RTD("tos.rtd",,"GAMMA","."&amp;Q$2&amp;Q$1&amp;"P"&amp;$A10))/1000000,($A$4*$A$4*RTD("tos.rtd",,"VOLUME","."&amp;Q$2&amp;Q$1&amp;"C"&amp;$A10)*RTD("tos.rtd",,"GAMMA","."&amp;Q$2&amp;Q$1&amp;"C"&amp;$A10)-$A$4*$A$4*RTD("tos.rtd",,"VOLUME","."&amp;Q$2&amp;Q$1&amp;"P"&amp;$A10)*RTD("tos.rtd",,"GAMMA","."&amp;Q$2&amp;Q$1&amp;"P"&amp;$A10))/1000000),0),IF($A$2="GEX",IFERROR(IF($X$1="ABS",($A$4*$A$4*RTD("tos.rtd",,"OPEN_INT","."&amp;Q$2&amp;Q$1&amp;"C"&amp;$A10)*RTD("tos.rtd",,"GAMMA","."&amp;Q$2&amp;Q$1&amp;"C"&amp;$A10)+$A$4*$A$4*RTD("tos.rtd",,"OPEN_INT","."&amp;Q$2&amp;Q$1&amp;"P"&amp;$A10)*RTD("tos.rtd",,"GAMMA","."&amp;Q$2&amp;Q$1&amp;"P"&amp;$A10))/1000000,($A$4*$A$4*RTD("tos.rtd",,"OPEN_INT","."&amp;Q$2&amp;Q$1&amp;"C"&amp;$A10)*RTD("tos.rtd",,"GAMMA","."&amp;Q$2&amp;Q$1&amp;"C"&amp;$A10)-$A$4*$A$4*RTD("tos.rtd",,"OPEN_INT","."&amp;Q$2&amp;Q$1&amp;"P"&amp;$A10)*RTD("tos.rtd",,"GAMMA","."&amp;Q$2&amp;Q$1&amp;"P"&amp;$A10))/1000000),0),IF($A$2="SKEW",IFERROR(VALUE(IF(RTD("tos.rtd",,"IMPL_VOL","."&amp;Q$2&amp;Q$1&amp;"P"&amp;$A10)="N/A",0,RTD("tos.rtd",,"IMPL_VOL","."&amp;Q$2&amp;Q$1&amp;"P"&amp;$A10))),0)-IFERROR(VALUE(IF(RTD("tos.rtd",,"IMPL_VOL","."&amp;Q$2&amp;Q$1&amp;"C"&amp;$A10)="N/A",0,RTD("tos.rtd",,"IMPL_VOL","."&amp;Q$2&amp;Q$1&amp;"C"&amp;$A10))),0),IF($A$2="MAXPAIN",IF($A$4&gt;$A10,($A$4-$A10)*IF(RTD("tos.rtd",,"OPEN_INT","."&amp;Q$2&amp;Q$1&amp;"C"&amp;$A10)="N/A",0,RTD("tos.rtd",,"OPEN_INT","."&amp;Q$2&amp;Q$1&amp;"C"&amp;$A10)),0)+IF($A$4&lt;$A10,($A$5-$A$4)*IF(RTD("tos.rtd",,"OPEN_INT","."&amp;Q$2&amp;Q$1&amp;"P"&amp;$A10)="N/A",0,RTD("tos.rtd",,"OPEN_INT","."&amp;Q$2&amp;Q$1&amp;"P"&amp;$A10)),0),IF($X$1="ABS",IF(RTD("tos.rtd",,$A$2,"."&amp;Q$2&amp;Q$1&amp;"C"&amp;$A10)="N/A",0,RTD("tos.rtd",,$A$2,"."&amp;Q$2&amp;Q$1&amp;"C"&amp;$A10))+IF(RTD("tos.rtd",,$A$2,"."&amp;Q$2&amp;Q$1&amp;"P"&amp;$A10)="N/A",0,RTD("tos.rtd",,$A$2,"."&amp;Q$2&amp;Q$1&amp;"P"&amp;$A10)),IF(RTD("tos.rtd",,$A$2,"."&amp;Q$2&amp;Q$1&amp;"C"&amp;$A10)="N/A",0,RTD("tos.rtd",,$A$2,"."&amp;Q$2&amp;Q$1&amp;"C"&amp;$A10))-IF(RTD("tos.rtd",,$A$2,"."&amp;Q$2&amp;Q$1&amp;"P"&amp;$A10)="N/A",0,RTD("tos.rtd",,$A$2,"."&amp;Q$2&amp;Q$1&amp;"P"&amp;$A10))))))))))</f>
        <v>0</v>
      </c>
      <c r="R10" s="12">
        <f ca="1">IF($A$2="PREMIUM_OI",IFERROR(IF($X$1="ABS",(100*RTD("tos.rtd",,"OPEN_INT","."&amp;R$2&amp;R$1&amp;"C"&amp;$A10)*RTD("tos.rtd",,"LAST","."&amp;R$2&amp;R$1&amp;"C"&amp;$A10)+100*RTD("tos.rtd",,"OPEN_INT","."&amp;R$2&amp;R$1&amp;"P"&amp;$A10)*RTD("tos.rtd",,"LAST","."&amp;R$2&amp;R$1&amp;"P"&amp;$A10))/1000000,(100*RTD("tos.rtd",,"OPEN_INT","."&amp;R$2&amp;R$1&amp;"C"&amp;$A10)*RTD("tos.rtd",,"LAST","."&amp;R$2&amp;R$1&amp;"C"&amp;$A10)-100*RTD("tos.rtd",,"OPEN_INT","."&amp;R$2&amp;R$1&amp;"P"&amp;$A10)*RTD("tos.rtd",,"LAST","."&amp;R$2&amp;R$1&amp;"P"&amp;$A10))/1000000),0),IF($A$2="PREMIUM",IFERROR(IF($X$1="ABS",(100*RTD("tos.rtd",,"VOLUME","."&amp;R$2&amp;R$1&amp;"C"&amp;$A10)*RTD("tos.rtd",,"LAST","."&amp;R$2&amp;R$1&amp;"C"&amp;$A10)+100*RTD("tos.rtd",,"VOLUME","."&amp;R$2&amp;R$1&amp;"P"&amp;$A10)*RTD("tos.rtd",,"LAST","."&amp;R$2&amp;R$1&amp;"P"&amp;$A10))/1000000,(100*RTD("tos.rtd",,"VOLUME","."&amp;R$2&amp;R$1&amp;"C"&amp;$A10)*RTD("tos.rtd",,"LAST","."&amp;R$2&amp;R$1&amp;"C"&amp;$A10)-100*RTD("tos.rtd",,"VOLUME","."&amp;R$2&amp;R$1&amp;"P"&amp;$A10)*RTD("tos.rtd",,"LAST","."&amp;R$2&amp;R$1&amp;"P"&amp;$A10))/1000000),0),IF($A$2="DEX",IFERROR(IF($X$1="ABS",(100*RTD("tos.rtd",,"OPEN_INT","."&amp;R$2&amp;R$1&amp;"C"&amp;$A10)*RTD("tos.rtd",,"DELTA","."&amp;R$2&amp;R$1&amp;"C"&amp;$A10)+100*RTD("tos.rtd",,"OPEN_INT","."&amp;R$2&amp;R$1&amp;"P"&amp;$A10)*RTD("tos.rtd",,"DELTA","."&amp;R$2&amp;R$1&amp;"P"&amp;$A10))/1000,(100*RTD("tos.rtd",,"OPEN_INT","."&amp;R$2&amp;R$1&amp;"C"&amp;$A10)*RTD("tos.rtd",,"DELTA","."&amp;R$2&amp;R$1&amp;"C"&amp;$A10)-100*RTD("tos.rtd",,"OPEN_INT","."&amp;R$2&amp;R$1&amp;"P"&amp;$A10)*RTD("tos.rtd",,"DELTA","."&amp;R$2&amp;R$1&amp;"P"&amp;$A10))/1000),0),IF($A$2="VEX",IFERROR(IF($X$1="ABS",($A$4*$A$4*RTD("tos.rtd",,"VOLUME","."&amp;R$2&amp;R$1&amp;"C"&amp;$A10)*RTD("tos.rtd",,"GAMMA","."&amp;R$2&amp;R$1&amp;"C"&amp;$A10)+$A$4*$A$4*RTD("tos.rtd",,"VOLUME","."&amp;R$2&amp;R$1&amp;"P"&amp;$A10)*RTD("tos.rtd",,"GAMMA","."&amp;R$2&amp;R$1&amp;"P"&amp;$A10))/1000000,($A$4*$A$4*RTD("tos.rtd",,"VOLUME","."&amp;R$2&amp;R$1&amp;"C"&amp;$A10)*RTD("tos.rtd",,"GAMMA","."&amp;R$2&amp;R$1&amp;"C"&amp;$A10)-$A$4*$A$4*RTD("tos.rtd",,"VOLUME","."&amp;R$2&amp;R$1&amp;"P"&amp;$A10)*RTD("tos.rtd",,"GAMMA","."&amp;R$2&amp;R$1&amp;"P"&amp;$A10))/1000000),0),IF($A$2="GEX",IFERROR(IF($X$1="ABS",($A$4*$A$4*RTD("tos.rtd",,"OPEN_INT","."&amp;R$2&amp;R$1&amp;"C"&amp;$A10)*RTD("tos.rtd",,"GAMMA","."&amp;R$2&amp;R$1&amp;"C"&amp;$A10)+$A$4*$A$4*RTD("tos.rtd",,"OPEN_INT","."&amp;R$2&amp;R$1&amp;"P"&amp;$A10)*RTD("tos.rtd",,"GAMMA","."&amp;R$2&amp;R$1&amp;"P"&amp;$A10))/1000000,($A$4*$A$4*RTD("tos.rtd",,"OPEN_INT","."&amp;R$2&amp;R$1&amp;"C"&amp;$A10)*RTD("tos.rtd",,"GAMMA","."&amp;R$2&amp;R$1&amp;"C"&amp;$A10)-$A$4*$A$4*RTD("tos.rtd",,"OPEN_INT","."&amp;R$2&amp;R$1&amp;"P"&amp;$A10)*RTD("tos.rtd",,"GAMMA","."&amp;R$2&amp;R$1&amp;"P"&amp;$A10))/1000000),0),IF($A$2="SKEW",IFERROR(VALUE(IF(RTD("tos.rtd",,"IMPL_VOL","."&amp;R$2&amp;R$1&amp;"P"&amp;$A10)="N/A",0,RTD("tos.rtd",,"IMPL_VOL","."&amp;R$2&amp;R$1&amp;"P"&amp;$A10))),0)-IFERROR(VALUE(IF(RTD("tos.rtd",,"IMPL_VOL","."&amp;R$2&amp;R$1&amp;"C"&amp;$A10)="N/A",0,RTD("tos.rtd",,"IMPL_VOL","."&amp;R$2&amp;R$1&amp;"C"&amp;$A10))),0),IF($A$2="MAXPAIN",IF($A$4&gt;$A10,($A$4-$A10)*IF(RTD("tos.rtd",,"OPEN_INT","."&amp;R$2&amp;R$1&amp;"C"&amp;$A10)="N/A",0,RTD("tos.rtd",,"OPEN_INT","."&amp;R$2&amp;R$1&amp;"C"&amp;$A10)),0)+IF($A$4&lt;$A10,($A$5-$A$4)*IF(RTD("tos.rtd",,"OPEN_INT","."&amp;R$2&amp;R$1&amp;"P"&amp;$A10)="N/A",0,RTD("tos.rtd",,"OPEN_INT","."&amp;R$2&amp;R$1&amp;"P"&amp;$A10)),0),IF($X$1="ABS",IF(RTD("tos.rtd",,$A$2,"."&amp;R$2&amp;R$1&amp;"C"&amp;$A10)="N/A",0,RTD("tos.rtd",,$A$2,"."&amp;R$2&amp;R$1&amp;"C"&amp;$A10))+IF(RTD("tos.rtd",,$A$2,"."&amp;R$2&amp;R$1&amp;"P"&amp;$A10)="N/A",0,RTD("tos.rtd",,$A$2,"."&amp;R$2&amp;R$1&amp;"P"&amp;$A10)),IF(RTD("tos.rtd",,$A$2,"."&amp;R$2&amp;R$1&amp;"C"&amp;$A10)="N/A",0,RTD("tos.rtd",,$A$2,"."&amp;R$2&amp;R$1&amp;"C"&amp;$A10))-IF(RTD("tos.rtd",,$A$2,"."&amp;R$2&amp;R$1&amp;"P"&amp;$A10)="N/A",0,RTD("tos.rtd",,$A$2,"."&amp;R$2&amp;R$1&amp;"P"&amp;$A10))))))))))</f>
        <v>0</v>
      </c>
      <c r="S10" s="12">
        <f ca="1">IF($A$2="PREMIUM_OI",IFERROR(IF($X$1="ABS",(100*RTD("tos.rtd",,"OPEN_INT","."&amp;S$2&amp;S$1&amp;"C"&amp;$A10)*RTD("tos.rtd",,"LAST","."&amp;S$2&amp;S$1&amp;"C"&amp;$A10)+100*RTD("tos.rtd",,"OPEN_INT","."&amp;S$2&amp;S$1&amp;"P"&amp;$A10)*RTD("tos.rtd",,"LAST","."&amp;S$2&amp;S$1&amp;"P"&amp;$A10))/1000000,(100*RTD("tos.rtd",,"OPEN_INT","."&amp;S$2&amp;S$1&amp;"C"&amp;$A10)*RTD("tos.rtd",,"LAST","."&amp;S$2&amp;S$1&amp;"C"&amp;$A10)-100*RTD("tos.rtd",,"OPEN_INT","."&amp;S$2&amp;S$1&amp;"P"&amp;$A10)*RTD("tos.rtd",,"LAST","."&amp;S$2&amp;S$1&amp;"P"&amp;$A10))/1000000),0),IF($A$2="PREMIUM",IFERROR(IF($X$1="ABS",(100*RTD("tos.rtd",,"VOLUME","."&amp;S$2&amp;S$1&amp;"C"&amp;$A10)*RTD("tos.rtd",,"LAST","."&amp;S$2&amp;S$1&amp;"C"&amp;$A10)+100*RTD("tos.rtd",,"VOLUME","."&amp;S$2&amp;S$1&amp;"P"&amp;$A10)*RTD("tos.rtd",,"LAST","."&amp;S$2&amp;S$1&amp;"P"&amp;$A10))/1000000,(100*RTD("tos.rtd",,"VOLUME","."&amp;S$2&amp;S$1&amp;"C"&amp;$A10)*RTD("tos.rtd",,"LAST","."&amp;S$2&amp;S$1&amp;"C"&amp;$A10)-100*RTD("tos.rtd",,"VOLUME","."&amp;S$2&amp;S$1&amp;"P"&amp;$A10)*RTD("tos.rtd",,"LAST","."&amp;S$2&amp;S$1&amp;"P"&amp;$A10))/1000000),0),IF($A$2="DEX",IFERROR(IF($X$1="ABS",(100*RTD("tos.rtd",,"OPEN_INT","."&amp;S$2&amp;S$1&amp;"C"&amp;$A10)*RTD("tos.rtd",,"DELTA","."&amp;S$2&amp;S$1&amp;"C"&amp;$A10)+100*RTD("tos.rtd",,"OPEN_INT","."&amp;S$2&amp;S$1&amp;"P"&amp;$A10)*RTD("tos.rtd",,"DELTA","."&amp;S$2&amp;S$1&amp;"P"&amp;$A10))/1000,(100*RTD("tos.rtd",,"OPEN_INT","."&amp;S$2&amp;S$1&amp;"C"&amp;$A10)*RTD("tos.rtd",,"DELTA","."&amp;S$2&amp;S$1&amp;"C"&amp;$A10)-100*RTD("tos.rtd",,"OPEN_INT","."&amp;S$2&amp;S$1&amp;"P"&amp;$A10)*RTD("tos.rtd",,"DELTA","."&amp;S$2&amp;S$1&amp;"P"&amp;$A10))/1000),0),IF($A$2="VEX",IFERROR(IF($X$1="ABS",($A$4*$A$4*RTD("tos.rtd",,"VOLUME","."&amp;S$2&amp;S$1&amp;"C"&amp;$A10)*RTD("tos.rtd",,"GAMMA","."&amp;S$2&amp;S$1&amp;"C"&amp;$A10)+$A$4*$A$4*RTD("tos.rtd",,"VOLUME","."&amp;S$2&amp;S$1&amp;"P"&amp;$A10)*RTD("tos.rtd",,"GAMMA","."&amp;S$2&amp;S$1&amp;"P"&amp;$A10))/1000000,($A$4*$A$4*RTD("tos.rtd",,"VOLUME","."&amp;S$2&amp;S$1&amp;"C"&amp;$A10)*RTD("tos.rtd",,"GAMMA","."&amp;S$2&amp;S$1&amp;"C"&amp;$A10)-$A$4*$A$4*RTD("tos.rtd",,"VOLUME","."&amp;S$2&amp;S$1&amp;"P"&amp;$A10)*RTD("tos.rtd",,"GAMMA","."&amp;S$2&amp;S$1&amp;"P"&amp;$A10))/1000000),0),IF($A$2="GEX",IFERROR(IF($X$1="ABS",($A$4*$A$4*RTD("tos.rtd",,"OPEN_INT","."&amp;S$2&amp;S$1&amp;"C"&amp;$A10)*RTD("tos.rtd",,"GAMMA","."&amp;S$2&amp;S$1&amp;"C"&amp;$A10)+$A$4*$A$4*RTD("tos.rtd",,"OPEN_INT","."&amp;S$2&amp;S$1&amp;"P"&amp;$A10)*RTD("tos.rtd",,"GAMMA","."&amp;S$2&amp;S$1&amp;"P"&amp;$A10))/1000000,($A$4*$A$4*RTD("tos.rtd",,"OPEN_INT","."&amp;S$2&amp;S$1&amp;"C"&amp;$A10)*RTD("tos.rtd",,"GAMMA","."&amp;S$2&amp;S$1&amp;"C"&amp;$A10)-$A$4*$A$4*RTD("tos.rtd",,"OPEN_INT","."&amp;S$2&amp;S$1&amp;"P"&amp;$A10)*RTD("tos.rtd",,"GAMMA","."&amp;S$2&amp;S$1&amp;"P"&amp;$A10))/1000000),0),IF($A$2="SKEW",IFERROR(VALUE(IF(RTD("tos.rtd",,"IMPL_VOL","."&amp;S$2&amp;S$1&amp;"P"&amp;$A10)="N/A",0,RTD("tos.rtd",,"IMPL_VOL","."&amp;S$2&amp;S$1&amp;"P"&amp;$A10))),0)-IFERROR(VALUE(IF(RTD("tos.rtd",,"IMPL_VOL","."&amp;S$2&amp;S$1&amp;"C"&amp;$A10)="N/A",0,RTD("tos.rtd",,"IMPL_VOL","."&amp;S$2&amp;S$1&amp;"C"&amp;$A10))),0),IF($A$2="MAXPAIN",IF($A$4&gt;$A10,($A$4-$A10)*IF(RTD("tos.rtd",,"OPEN_INT","."&amp;S$2&amp;S$1&amp;"C"&amp;$A10)="N/A",0,RTD("tos.rtd",,"OPEN_INT","."&amp;S$2&amp;S$1&amp;"C"&amp;$A10)),0)+IF($A$4&lt;$A10,($A$5-$A$4)*IF(RTD("tos.rtd",,"OPEN_INT","."&amp;S$2&amp;S$1&amp;"P"&amp;$A10)="N/A",0,RTD("tos.rtd",,"OPEN_INT","."&amp;S$2&amp;S$1&amp;"P"&amp;$A10)),0),IF($X$1="ABS",IF(RTD("tos.rtd",,$A$2,"."&amp;S$2&amp;S$1&amp;"C"&amp;$A10)="N/A",0,RTD("tos.rtd",,$A$2,"."&amp;S$2&amp;S$1&amp;"C"&amp;$A10))+IF(RTD("tos.rtd",,$A$2,"."&amp;S$2&amp;S$1&amp;"P"&amp;$A10)="N/A",0,RTD("tos.rtd",,$A$2,"."&amp;S$2&amp;S$1&amp;"P"&amp;$A10)),IF(RTD("tos.rtd",,$A$2,"."&amp;S$2&amp;S$1&amp;"C"&amp;$A10)="N/A",0,RTD("tos.rtd",,$A$2,"."&amp;S$2&amp;S$1&amp;"C"&amp;$A10))-IF(RTD("tos.rtd",,$A$2,"."&amp;S$2&amp;S$1&amp;"P"&amp;$A10)="N/A",0,RTD("tos.rtd",,$A$2,"."&amp;S$2&amp;S$1&amp;"P"&amp;$A10))))))))))</f>
        <v>0</v>
      </c>
      <c r="T10" s="12">
        <f ca="1">IF($A$2="PREMIUM_OI",IFERROR(IF($X$1="ABS",(100*RTD("tos.rtd",,"OPEN_INT","."&amp;T$2&amp;T$1&amp;"C"&amp;$A10)*RTD("tos.rtd",,"LAST","."&amp;T$2&amp;T$1&amp;"C"&amp;$A10)+100*RTD("tos.rtd",,"OPEN_INT","."&amp;T$2&amp;T$1&amp;"P"&amp;$A10)*RTD("tos.rtd",,"LAST","."&amp;T$2&amp;T$1&amp;"P"&amp;$A10))/1000000,(100*RTD("tos.rtd",,"OPEN_INT","."&amp;T$2&amp;T$1&amp;"C"&amp;$A10)*RTD("tos.rtd",,"LAST","."&amp;T$2&amp;T$1&amp;"C"&amp;$A10)-100*RTD("tos.rtd",,"OPEN_INT","."&amp;T$2&amp;T$1&amp;"P"&amp;$A10)*RTD("tos.rtd",,"LAST","."&amp;T$2&amp;T$1&amp;"P"&amp;$A10))/1000000),0),IF($A$2="PREMIUM",IFERROR(IF($X$1="ABS",(100*RTD("tos.rtd",,"VOLUME","."&amp;T$2&amp;T$1&amp;"C"&amp;$A10)*RTD("tos.rtd",,"LAST","."&amp;T$2&amp;T$1&amp;"C"&amp;$A10)+100*RTD("tos.rtd",,"VOLUME","."&amp;T$2&amp;T$1&amp;"P"&amp;$A10)*RTD("tos.rtd",,"LAST","."&amp;T$2&amp;T$1&amp;"P"&amp;$A10))/1000000,(100*RTD("tos.rtd",,"VOLUME","."&amp;T$2&amp;T$1&amp;"C"&amp;$A10)*RTD("tos.rtd",,"LAST","."&amp;T$2&amp;T$1&amp;"C"&amp;$A10)-100*RTD("tos.rtd",,"VOLUME","."&amp;T$2&amp;T$1&amp;"P"&amp;$A10)*RTD("tos.rtd",,"LAST","."&amp;T$2&amp;T$1&amp;"P"&amp;$A10))/1000000),0),IF($A$2="DEX",IFERROR(IF($X$1="ABS",(100*RTD("tos.rtd",,"OPEN_INT","."&amp;T$2&amp;T$1&amp;"C"&amp;$A10)*RTD("tos.rtd",,"DELTA","."&amp;T$2&amp;T$1&amp;"C"&amp;$A10)+100*RTD("tos.rtd",,"OPEN_INT","."&amp;T$2&amp;T$1&amp;"P"&amp;$A10)*RTD("tos.rtd",,"DELTA","."&amp;T$2&amp;T$1&amp;"P"&amp;$A10))/1000,(100*RTD("tos.rtd",,"OPEN_INT","."&amp;T$2&amp;T$1&amp;"C"&amp;$A10)*RTD("tos.rtd",,"DELTA","."&amp;T$2&amp;T$1&amp;"C"&amp;$A10)-100*RTD("tos.rtd",,"OPEN_INT","."&amp;T$2&amp;T$1&amp;"P"&amp;$A10)*RTD("tos.rtd",,"DELTA","."&amp;T$2&amp;T$1&amp;"P"&amp;$A10))/1000),0),IF($A$2="VEX",IFERROR(IF($X$1="ABS",($A$4*$A$4*RTD("tos.rtd",,"VOLUME","."&amp;T$2&amp;T$1&amp;"C"&amp;$A10)*RTD("tos.rtd",,"GAMMA","."&amp;T$2&amp;T$1&amp;"C"&amp;$A10)+$A$4*$A$4*RTD("tos.rtd",,"VOLUME","."&amp;T$2&amp;T$1&amp;"P"&amp;$A10)*RTD("tos.rtd",,"GAMMA","."&amp;T$2&amp;T$1&amp;"P"&amp;$A10))/1000000,($A$4*$A$4*RTD("tos.rtd",,"VOLUME","."&amp;T$2&amp;T$1&amp;"C"&amp;$A10)*RTD("tos.rtd",,"GAMMA","."&amp;T$2&amp;T$1&amp;"C"&amp;$A10)-$A$4*$A$4*RTD("tos.rtd",,"VOLUME","."&amp;T$2&amp;T$1&amp;"P"&amp;$A10)*RTD("tos.rtd",,"GAMMA","."&amp;T$2&amp;T$1&amp;"P"&amp;$A10))/1000000),0),IF($A$2="GEX",IFERROR(IF($X$1="ABS",($A$4*$A$4*RTD("tos.rtd",,"OPEN_INT","."&amp;T$2&amp;T$1&amp;"C"&amp;$A10)*RTD("tos.rtd",,"GAMMA","."&amp;T$2&amp;T$1&amp;"C"&amp;$A10)+$A$4*$A$4*RTD("tos.rtd",,"OPEN_INT","."&amp;T$2&amp;T$1&amp;"P"&amp;$A10)*RTD("tos.rtd",,"GAMMA","."&amp;T$2&amp;T$1&amp;"P"&amp;$A10))/1000000,($A$4*$A$4*RTD("tos.rtd",,"OPEN_INT","."&amp;T$2&amp;T$1&amp;"C"&amp;$A10)*RTD("tos.rtd",,"GAMMA","."&amp;T$2&amp;T$1&amp;"C"&amp;$A10)-$A$4*$A$4*RTD("tos.rtd",,"OPEN_INT","."&amp;T$2&amp;T$1&amp;"P"&amp;$A10)*RTD("tos.rtd",,"GAMMA","."&amp;T$2&amp;T$1&amp;"P"&amp;$A10))/1000000),0),IF($A$2="SKEW",IFERROR(VALUE(IF(RTD("tos.rtd",,"IMPL_VOL","."&amp;T$2&amp;T$1&amp;"P"&amp;$A10)="N/A",0,RTD("tos.rtd",,"IMPL_VOL","."&amp;T$2&amp;T$1&amp;"P"&amp;$A10))),0)-IFERROR(VALUE(IF(RTD("tos.rtd",,"IMPL_VOL","."&amp;T$2&amp;T$1&amp;"C"&amp;$A10)="N/A",0,RTD("tos.rtd",,"IMPL_VOL","."&amp;T$2&amp;T$1&amp;"C"&amp;$A10))),0),IF($A$2="MAXPAIN",IF($A$4&gt;$A10,($A$4-$A10)*IF(RTD("tos.rtd",,"OPEN_INT","."&amp;T$2&amp;T$1&amp;"C"&amp;$A10)="N/A",0,RTD("tos.rtd",,"OPEN_INT","."&amp;T$2&amp;T$1&amp;"C"&amp;$A10)),0)+IF($A$4&lt;$A10,($A$5-$A$4)*IF(RTD("tos.rtd",,"OPEN_INT","."&amp;T$2&amp;T$1&amp;"P"&amp;$A10)="N/A",0,RTD("tos.rtd",,"OPEN_INT","."&amp;T$2&amp;T$1&amp;"P"&amp;$A10)),0),IF($X$1="ABS",IF(RTD("tos.rtd",,$A$2,"."&amp;T$2&amp;T$1&amp;"C"&amp;$A10)="N/A",0,RTD("tos.rtd",,$A$2,"."&amp;T$2&amp;T$1&amp;"C"&amp;$A10))+IF(RTD("tos.rtd",,$A$2,"."&amp;T$2&amp;T$1&amp;"P"&amp;$A10)="N/A",0,RTD("tos.rtd",,$A$2,"."&amp;T$2&amp;T$1&amp;"P"&amp;$A10)),IF(RTD("tos.rtd",,$A$2,"."&amp;T$2&amp;T$1&amp;"C"&amp;$A10)="N/A",0,RTD("tos.rtd",,$A$2,"."&amp;T$2&amp;T$1&amp;"C"&amp;$A10))-IF(RTD("tos.rtd",,$A$2,"."&amp;T$2&amp;T$1&amp;"P"&amp;$A10)="N/A",0,RTD("tos.rtd",,$A$2,"."&amp;T$2&amp;T$1&amp;"P"&amp;$A10))))))))))</f>
        <v>0</v>
      </c>
      <c r="U10" s="12">
        <f ca="1">IF($A$2="PREMIUM_OI",IFERROR(IF($X$1="ABS",(100*RTD("tos.rtd",,"OPEN_INT","."&amp;U$2&amp;U$1&amp;"C"&amp;$A10)*RTD("tos.rtd",,"LAST","."&amp;U$2&amp;U$1&amp;"C"&amp;$A10)+100*RTD("tos.rtd",,"OPEN_INT","."&amp;U$2&amp;U$1&amp;"P"&amp;$A10)*RTD("tos.rtd",,"LAST","."&amp;U$2&amp;U$1&amp;"P"&amp;$A10))/1000000,(100*RTD("tos.rtd",,"OPEN_INT","."&amp;U$2&amp;U$1&amp;"C"&amp;$A10)*RTD("tos.rtd",,"LAST","."&amp;U$2&amp;U$1&amp;"C"&amp;$A10)-100*RTD("tos.rtd",,"OPEN_INT","."&amp;U$2&amp;U$1&amp;"P"&amp;$A10)*RTD("tos.rtd",,"LAST","."&amp;U$2&amp;U$1&amp;"P"&amp;$A10))/1000000),0),IF($A$2="PREMIUM",IFERROR(IF($X$1="ABS",(100*RTD("tos.rtd",,"VOLUME","."&amp;U$2&amp;U$1&amp;"C"&amp;$A10)*RTD("tos.rtd",,"LAST","."&amp;U$2&amp;U$1&amp;"C"&amp;$A10)+100*RTD("tos.rtd",,"VOLUME","."&amp;U$2&amp;U$1&amp;"P"&amp;$A10)*RTD("tos.rtd",,"LAST","."&amp;U$2&amp;U$1&amp;"P"&amp;$A10))/1000000,(100*RTD("tos.rtd",,"VOLUME","."&amp;U$2&amp;U$1&amp;"C"&amp;$A10)*RTD("tos.rtd",,"LAST","."&amp;U$2&amp;U$1&amp;"C"&amp;$A10)-100*RTD("tos.rtd",,"VOLUME","."&amp;U$2&amp;U$1&amp;"P"&amp;$A10)*RTD("tos.rtd",,"LAST","."&amp;U$2&amp;U$1&amp;"P"&amp;$A10))/1000000),0),IF($A$2="DEX",IFERROR(IF($X$1="ABS",(100*RTD("tos.rtd",,"OPEN_INT","."&amp;U$2&amp;U$1&amp;"C"&amp;$A10)*RTD("tos.rtd",,"DELTA","."&amp;U$2&amp;U$1&amp;"C"&amp;$A10)+100*RTD("tos.rtd",,"OPEN_INT","."&amp;U$2&amp;U$1&amp;"P"&amp;$A10)*RTD("tos.rtd",,"DELTA","."&amp;U$2&amp;U$1&amp;"P"&amp;$A10))/1000,(100*RTD("tos.rtd",,"OPEN_INT","."&amp;U$2&amp;U$1&amp;"C"&amp;$A10)*RTD("tos.rtd",,"DELTA","."&amp;U$2&amp;U$1&amp;"C"&amp;$A10)-100*RTD("tos.rtd",,"OPEN_INT","."&amp;U$2&amp;U$1&amp;"P"&amp;$A10)*RTD("tos.rtd",,"DELTA","."&amp;U$2&amp;U$1&amp;"P"&amp;$A10))/1000),0),IF($A$2="VEX",IFERROR(IF($X$1="ABS",($A$4*$A$4*RTD("tos.rtd",,"VOLUME","."&amp;U$2&amp;U$1&amp;"C"&amp;$A10)*RTD("tos.rtd",,"GAMMA","."&amp;U$2&amp;U$1&amp;"C"&amp;$A10)+$A$4*$A$4*RTD("tos.rtd",,"VOLUME","."&amp;U$2&amp;U$1&amp;"P"&amp;$A10)*RTD("tos.rtd",,"GAMMA","."&amp;U$2&amp;U$1&amp;"P"&amp;$A10))/1000000,($A$4*$A$4*RTD("tos.rtd",,"VOLUME","."&amp;U$2&amp;U$1&amp;"C"&amp;$A10)*RTD("tos.rtd",,"GAMMA","."&amp;U$2&amp;U$1&amp;"C"&amp;$A10)-$A$4*$A$4*RTD("tos.rtd",,"VOLUME","."&amp;U$2&amp;U$1&amp;"P"&amp;$A10)*RTD("tos.rtd",,"GAMMA","."&amp;U$2&amp;U$1&amp;"P"&amp;$A10))/1000000),0),IF($A$2="GEX",IFERROR(IF($X$1="ABS",($A$4*$A$4*RTD("tos.rtd",,"OPEN_INT","."&amp;U$2&amp;U$1&amp;"C"&amp;$A10)*RTD("tos.rtd",,"GAMMA","."&amp;U$2&amp;U$1&amp;"C"&amp;$A10)+$A$4*$A$4*RTD("tos.rtd",,"OPEN_INT","."&amp;U$2&amp;U$1&amp;"P"&amp;$A10)*RTD("tos.rtd",,"GAMMA","."&amp;U$2&amp;U$1&amp;"P"&amp;$A10))/1000000,($A$4*$A$4*RTD("tos.rtd",,"OPEN_INT","."&amp;U$2&amp;U$1&amp;"C"&amp;$A10)*RTD("tos.rtd",,"GAMMA","."&amp;U$2&amp;U$1&amp;"C"&amp;$A10)-$A$4*$A$4*RTD("tos.rtd",,"OPEN_INT","."&amp;U$2&amp;U$1&amp;"P"&amp;$A10)*RTD("tos.rtd",,"GAMMA","."&amp;U$2&amp;U$1&amp;"P"&amp;$A10))/1000000),0),IF($A$2="SKEW",IFERROR(VALUE(IF(RTD("tos.rtd",,"IMPL_VOL","."&amp;U$2&amp;U$1&amp;"P"&amp;$A10)="N/A",0,RTD("tos.rtd",,"IMPL_VOL","."&amp;U$2&amp;U$1&amp;"P"&amp;$A10))),0)-IFERROR(VALUE(IF(RTD("tos.rtd",,"IMPL_VOL","."&amp;U$2&amp;U$1&amp;"C"&amp;$A10)="N/A",0,RTD("tos.rtd",,"IMPL_VOL","."&amp;U$2&amp;U$1&amp;"C"&amp;$A10))),0),IF($A$2="MAXPAIN",IF($A$4&gt;$A10,($A$4-$A10)*IF(RTD("tos.rtd",,"OPEN_INT","."&amp;U$2&amp;U$1&amp;"C"&amp;$A10)="N/A",0,RTD("tos.rtd",,"OPEN_INT","."&amp;U$2&amp;U$1&amp;"C"&amp;$A10)),0)+IF($A$4&lt;$A10,($A$5-$A$4)*IF(RTD("tos.rtd",,"OPEN_INT","."&amp;U$2&amp;U$1&amp;"P"&amp;$A10)="N/A",0,RTD("tos.rtd",,"OPEN_INT","."&amp;U$2&amp;U$1&amp;"P"&amp;$A10)),0),IF($X$1="ABS",IF(RTD("tos.rtd",,$A$2,"."&amp;U$2&amp;U$1&amp;"C"&amp;$A10)="N/A",0,RTD("tos.rtd",,$A$2,"."&amp;U$2&amp;U$1&amp;"C"&amp;$A10))+IF(RTD("tos.rtd",,$A$2,"."&amp;U$2&amp;U$1&amp;"P"&amp;$A10)="N/A",0,RTD("tos.rtd",,$A$2,"."&amp;U$2&amp;U$1&amp;"P"&amp;$A10)),IF(RTD("tos.rtd",,$A$2,"."&amp;U$2&amp;U$1&amp;"C"&amp;$A10)="N/A",0,RTD("tos.rtd",,$A$2,"."&amp;U$2&amp;U$1&amp;"C"&amp;$A10))-IF(RTD("tos.rtd",,$A$2,"."&amp;U$2&amp;U$1&amp;"P"&amp;$A10)="N/A",0,RTD("tos.rtd",,$A$2,"."&amp;U$2&amp;U$1&amp;"P"&amp;$A10))))))))))</f>
        <v>0</v>
      </c>
      <c r="V10" s="12">
        <f ca="1">IF($A$2="PREMIUM_OI",IFERROR(IF($X$1="ABS",(100*RTD("tos.rtd",,"OPEN_INT","."&amp;V$2&amp;V$1&amp;"C"&amp;$A10)*RTD("tos.rtd",,"LAST","."&amp;V$2&amp;V$1&amp;"C"&amp;$A10)+100*RTD("tos.rtd",,"OPEN_INT","."&amp;V$2&amp;V$1&amp;"P"&amp;$A10)*RTD("tos.rtd",,"LAST","."&amp;V$2&amp;V$1&amp;"P"&amp;$A10))/1000000,(100*RTD("tos.rtd",,"OPEN_INT","."&amp;V$2&amp;V$1&amp;"C"&amp;$A10)*RTD("tos.rtd",,"LAST","."&amp;V$2&amp;V$1&amp;"C"&amp;$A10)-100*RTD("tos.rtd",,"OPEN_INT","."&amp;V$2&amp;V$1&amp;"P"&amp;$A10)*RTD("tos.rtd",,"LAST","."&amp;V$2&amp;V$1&amp;"P"&amp;$A10))/1000000),0),IF($A$2="PREMIUM",IFERROR(IF($X$1="ABS",(100*RTD("tos.rtd",,"VOLUME","."&amp;V$2&amp;V$1&amp;"C"&amp;$A10)*RTD("tos.rtd",,"LAST","."&amp;V$2&amp;V$1&amp;"C"&amp;$A10)+100*RTD("tos.rtd",,"VOLUME","."&amp;V$2&amp;V$1&amp;"P"&amp;$A10)*RTD("tos.rtd",,"LAST","."&amp;V$2&amp;V$1&amp;"P"&amp;$A10))/1000000,(100*RTD("tos.rtd",,"VOLUME","."&amp;V$2&amp;V$1&amp;"C"&amp;$A10)*RTD("tos.rtd",,"LAST","."&amp;V$2&amp;V$1&amp;"C"&amp;$A10)-100*RTD("tos.rtd",,"VOLUME","."&amp;V$2&amp;V$1&amp;"P"&amp;$A10)*RTD("tos.rtd",,"LAST","."&amp;V$2&amp;V$1&amp;"P"&amp;$A10))/1000000),0),IF($A$2="DEX",IFERROR(IF($X$1="ABS",(100*RTD("tos.rtd",,"OPEN_INT","."&amp;V$2&amp;V$1&amp;"C"&amp;$A10)*RTD("tos.rtd",,"DELTA","."&amp;V$2&amp;V$1&amp;"C"&amp;$A10)+100*RTD("tos.rtd",,"OPEN_INT","."&amp;V$2&amp;V$1&amp;"P"&amp;$A10)*RTD("tos.rtd",,"DELTA","."&amp;V$2&amp;V$1&amp;"P"&amp;$A10))/1000,(100*RTD("tos.rtd",,"OPEN_INT","."&amp;V$2&amp;V$1&amp;"C"&amp;$A10)*RTD("tos.rtd",,"DELTA","."&amp;V$2&amp;V$1&amp;"C"&amp;$A10)-100*RTD("tos.rtd",,"OPEN_INT","."&amp;V$2&amp;V$1&amp;"P"&amp;$A10)*RTD("tos.rtd",,"DELTA","."&amp;V$2&amp;V$1&amp;"P"&amp;$A10))/1000),0),IF($A$2="VEX",IFERROR(IF($X$1="ABS",($A$4*$A$4*RTD("tos.rtd",,"VOLUME","."&amp;V$2&amp;V$1&amp;"C"&amp;$A10)*RTD("tos.rtd",,"GAMMA","."&amp;V$2&amp;V$1&amp;"C"&amp;$A10)+$A$4*$A$4*RTD("tos.rtd",,"VOLUME","."&amp;V$2&amp;V$1&amp;"P"&amp;$A10)*RTD("tos.rtd",,"GAMMA","."&amp;V$2&amp;V$1&amp;"P"&amp;$A10))/1000000,($A$4*$A$4*RTD("tos.rtd",,"VOLUME","."&amp;V$2&amp;V$1&amp;"C"&amp;$A10)*RTD("tos.rtd",,"GAMMA","."&amp;V$2&amp;V$1&amp;"C"&amp;$A10)-$A$4*$A$4*RTD("tos.rtd",,"VOLUME","."&amp;V$2&amp;V$1&amp;"P"&amp;$A10)*RTD("tos.rtd",,"GAMMA","."&amp;V$2&amp;V$1&amp;"P"&amp;$A10))/1000000),0),IF($A$2="GEX",IFERROR(IF($X$1="ABS",($A$4*$A$4*RTD("tos.rtd",,"OPEN_INT","."&amp;V$2&amp;V$1&amp;"C"&amp;$A10)*RTD("tos.rtd",,"GAMMA","."&amp;V$2&amp;V$1&amp;"C"&amp;$A10)+$A$4*$A$4*RTD("tos.rtd",,"OPEN_INT","."&amp;V$2&amp;V$1&amp;"P"&amp;$A10)*RTD("tos.rtd",,"GAMMA","."&amp;V$2&amp;V$1&amp;"P"&amp;$A10))/1000000,($A$4*$A$4*RTD("tos.rtd",,"OPEN_INT","."&amp;V$2&amp;V$1&amp;"C"&amp;$A10)*RTD("tos.rtd",,"GAMMA","."&amp;V$2&amp;V$1&amp;"C"&amp;$A10)-$A$4*$A$4*RTD("tos.rtd",,"OPEN_INT","."&amp;V$2&amp;V$1&amp;"P"&amp;$A10)*RTD("tos.rtd",,"GAMMA","."&amp;V$2&amp;V$1&amp;"P"&amp;$A10))/1000000),0),IF($A$2="SKEW",IFERROR(VALUE(IF(RTD("tos.rtd",,"IMPL_VOL","."&amp;V$2&amp;V$1&amp;"P"&amp;$A10)="N/A",0,RTD("tos.rtd",,"IMPL_VOL","."&amp;V$2&amp;V$1&amp;"P"&amp;$A10))),0)-IFERROR(VALUE(IF(RTD("tos.rtd",,"IMPL_VOL","."&amp;V$2&amp;V$1&amp;"C"&amp;$A10)="N/A",0,RTD("tos.rtd",,"IMPL_VOL","."&amp;V$2&amp;V$1&amp;"C"&amp;$A10))),0),IF($A$2="MAXPAIN",IF($A$4&gt;$A10,($A$4-$A10)*IF(RTD("tos.rtd",,"OPEN_INT","."&amp;V$2&amp;V$1&amp;"C"&amp;$A10)="N/A",0,RTD("tos.rtd",,"OPEN_INT","."&amp;V$2&amp;V$1&amp;"C"&amp;$A10)),0)+IF($A$4&lt;$A10,($A$5-$A$4)*IF(RTD("tos.rtd",,"OPEN_INT","."&amp;V$2&amp;V$1&amp;"P"&amp;$A10)="N/A",0,RTD("tos.rtd",,"OPEN_INT","."&amp;V$2&amp;V$1&amp;"P"&amp;$A10)),0),IF($X$1="ABS",IF(RTD("tos.rtd",,$A$2,"."&amp;V$2&amp;V$1&amp;"C"&amp;$A10)="N/A",0,RTD("tos.rtd",,$A$2,"."&amp;V$2&amp;V$1&amp;"C"&amp;$A10))+IF(RTD("tos.rtd",,$A$2,"."&amp;V$2&amp;V$1&amp;"P"&amp;$A10)="N/A",0,RTD("tos.rtd",,$A$2,"."&amp;V$2&amp;V$1&amp;"P"&amp;$A10)),IF(RTD("tos.rtd",,$A$2,"."&amp;V$2&amp;V$1&amp;"C"&amp;$A10)="N/A",0,RTD("tos.rtd",,$A$2,"."&amp;V$2&amp;V$1&amp;"C"&amp;$A10))-IF(RTD("tos.rtd",,$A$2,"."&amp;V$2&amp;V$1&amp;"P"&amp;$A10)="N/A",0,RTD("tos.rtd",,$A$2,"."&amp;V$2&amp;V$1&amp;"P"&amp;$A10))))))))))</f>
        <v>0</v>
      </c>
      <c r="W10" s="12">
        <f ca="1">IF($A$2="PREMIUM_OI",IFERROR(IF($X$1="ABS",(100*RTD("tos.rtd",,"OPEN_INT","."&amp;W$2&amp;W$1&amp;"C"&amp;$A10)*RTD("tos.rtd",,"LAST","."&amp;W$2&amp;W$1&amp;"C"&amp;$A10)+100*RTD("tos.rtd",,"OPEN_INT","."&amp;W$2&amp;W$1&amp;"P"&amp;$A10)*RTD("tos.rtd",,"LAST","."&amp;W$2&amp;W$1&amp;"P"&amp;$A10))/1000000,(100*RTD("tos.rtd",,"OPEN_INT","."&amp;W$2&amp;W$1&amp;"C"&amp;$A10)*RTD("tos.rtd",,"LAST","."&amp;W$2&amp;W$1&amp;"C"&amp;$A10)-100*RTD("tos.rtd",,"OPEN_INT","."&amp;W$2&amp;W$1&amp;"P"&amp;$A10)*RTD("tos.rtd",,"LAST","."&amp;W$2&amp;W$1&amp;"P"&amp;$A10))/1000000),0),IF($A$2="PREMIUM",IFERROR(IF($X$1="ABS",(100*RTD("tos.rtd",,"VOLUME","."&amp;W$2&amp;W$1&amp;"C"&amp;$A10)*RTD("tos.rtd",,"LAST","."&amp;W$2&amp;W$1&amp;"C"&amp;$A10)+100*RTD("tos.rtd",,"VOLUME","."&amp;W$2&amp;W$1&amp;"P"&amp;$A10)*RTD("tos.rtd",,"LAST","."&amp;W$2&amp;W$1&amp;"P"&amp;$A10))/1000000,(100*RTD("tos.rtd",,"VOLUME","."&amp;W$2&amp;W$1&amp;"C"&amp;$A10)*RTD("tos.rtd",,"LAST","."&amp;W$2&amp;W$1&amp;"C"&amp;$A10)-100*RTD("tos.rtd",,"VOLUME","."&amp;W$2&amp;W$1&amp;"P"&amp;$A10)*RTD("tos.rtd",,"LAST","."&amp;W$2&amp;W$1&amp;"P"&amp;$A10))/1000000),0),IF($A$2="DEX",IFERROR(IF($X$1="ABS",(100*RTD("tos.rtd",,"OPEN_INT","."&amp;W$2&amp;W$1&amp;"C"&amp;$A10)*RTD("tos.rtd",,"DELTA","."&amp;W$2&amp;W$1&amp;"C"&amp;$A10)+100*RTD("tos.rtd",,"OPEN_INT","."&amp;W$2&amp;W$1&amp;"P"&amp;$A10)*RTD("tos.rtd",,"DELTA","."&amp;W$2&amp;W$1&amp;"P"&amp;$A10))/1000,(100*RTD("tos.rtd",,"OPEN_INT","."&amp;W$2&amp;W$1&amp;"C"&amp;$A10)*RTD("tos.rtd",,"DELTA","."&amp;W$2&amp;W$1&amp;"C"&amp;$A10)-100*RTD("tos.rtd",,"OPEN_INT","."&amp;W$2&amp;W$1&amp;"P"&amp;$A10)*RTD("tos.rtd",,"DELTA","."&amp;W$2&amp;W$1&amp;"P"&amp;$A10))/1000),0),IF($A$2="VEX",IFERROR(IF($X$1="ABS",($A$4*$A$4*RTD("tos.rtd",,"VOLUME","."&amp;W$2&amp;W$1&amp;"C"&amp;$A10)*RTD("tos.rtd",,"GAMMA","."&amp;W$2&amp;W$1&amp;"C"&amp;$A10)+$A$4*$A$4*RTD("tos.rtd",,"VOLUME","."&amp;W$2&amp;W$1&amp;"P"&amp;$A10)*RTD("tos.rtd",,"GAMMA","."&amp;W$2&amp;W$1&amp;"P"&amp;$A10))/1000000,($A$4*$A$4*RTD("tos.rtd",,"VOLUME","."&amp;W$2&amp;W$1&amp;"C"&amp;$A10)*RTD("tos.rtd",,"GAMMA","."&amp;W$2&amp;W$1&amp;"C"&amp;$A10)-$A$4*$A$4*RTD("tos.rtd",,"VOLUME","."&amp;W$2&amp;W$1&amp;"P"&amp;$A10)*RTD("tos.rtd",,"GAMMA","."&amp;W$2&amp;W$1&amp;"P"&amp;$A10))/1000000),0),IF($A$2="GEX",IFERROR(IF($X$1="ABS",($A$4*$A$4*RTD("tos.rtd",,"OPEN_INT","."&amp;W$2&amp;W$1&amp;"C"&amp;$A10)*RTD("tos.rtd",,"GAMMA","."&amp;W$2&amp;W$1&amp;"C"&amp;$A10)+$A$4*$A$4*RTD("tos.rtd",,"OPEN_INT","."&amp;W$2&amp;W$1&amp;"P"&amp;$A10)*RTD("tos.rtd",,"GAMMA","."&amp;W$2&amp;W$1&amp;"P"&amp;$A10))/1000000,($A$4*$A$4*RTD("tos.rtd",,"OPEN_INT","."&amp;W$2&amp;W$1&amp;"C"&amp;$A10)*RTD("tos.rtd",,"GAMMA","."&amp;W$2&amp;W$1&amp;"C"&amp;$A10)-$A$4*$A$4*RTD("tos.rtd",,"OPEN_INT","."&amp;W$2&amp;W$1&amp;"P"&amp;$A10)*RTD("tos.rtd",,"GAMMA","."&amp;W$2&amp;W$1&amp;"P"&amp;$A10))/1000000),0),IF($A$2="SKEW",IFERROR(VALUE(IF(RTD("tos.rtd",,"IMPL_VOL","."&amp;W$2&amp;W$1&amp;"P"&amp;$A10)="N/A",0,RTD("tos.rtd",,"IMPL_VOL","."&amp;W$2&amp;W$1&amp;"P"&amp;$A10))),0)-IFERROR(VALUE(IF(RTD("tos.rtd",,"IMPL_VOL","."&amp;W$2&amp;W$1&amp;"C"&amp;$A10)="N/A",0,RTD("tos.rtd",,"IMPL_VOL","."&amp;W$2&amp;W$1&amp;"C"&amp;$A10))),0),IF($A$2="MAXPAIN",IF($A$4&gt;$A10,($A$4-$A10)*IF(RTD("tos.rtd",,"OPEN_INT","."&amp;W$2&amp;W$1&amp;"C"&amp;$A10)="N/A",0,RTD("tos.rtd",,"OPEN_INT","."&amp;W$2&amp;W$1&amp;"C"&amp;$A10)),0)+IF($A$4&lt;$A10,($A$5-$A$4)*IF(RTD("tos.rtd",,"OPEN_INT","."&amp;W$2&amp;W$1&amp;"P"&amp;$A10)="N/A",0,RTD("tos.rtd",,"OPEN_INT","."&amp;W$2&amp;W$1&amp;"P"&amp;$A10)),0),IF($X$1="ABS",IF(RTD("tos.rtd",,$A$2,"."&amp;W$2&amp;W$1&amp;"C"&amp;$A10)="N/A",0,RTD("tos.rtd",,$A$2,"."&amp;W$2&amp;W$1&amp;"C"&amp;$A10))+IF(RTD("tos.rtd",,$A$2,"."&amp;W$2&amp;W$1&amp;"P"&amp;$A10)="N/A",0,RTD("tos.rtd",,$A$2,"."&amp;W$2&amp;W$1&amp;"P"&amp;$A10)),IF(RTD("tos.rtd",,$A$2,"."&amp;W$2&amp;W$1&amp;"C"&amp;$A10)="N/A",0,RTD("tos.rtd",,$A$2,"."&amp;W$2&amp;W$1&amp;"C"&amp;$A10))-IF(RTD("tos.rtd",,$A$2,"."&amp;W$2&amp;W$1&amp;"P"&amp;$A10)="N/A",0,RTD("tos.rtd",,$A$2,"."&amp;W$2&amp;W$1&amp;"P"&amp;$A10))))))))))</f>
        <v>0</v>
      </c>
      <c r="X10" s="57">
        <f t="shared" ca="1" si="7"/>
        <v>1549</v>
      </c>
      <c r="Y10" s="27">
        <f t="shared" ca="1" si="8"/>
        <v>1549</v>
      </c>
      <c r="Z10" s="27" t="b">
        <f t="shared" ca="1" si="9"/>
        <v>0</v>
      </c>
      <c r="AA10" s="27">
        <f t="shared" si="10"/>
        <v>209516950</v>
      </c>
      <c r="AB10" s="18">
        <f>MAX(0, $A10-AB$4)*IF(RTD("tos.rtd",,"OPEN_INT","."&amp;$AA$3&amp;$AA$4&amp;"C"&amp;AB$4)="N/A",0,RTD("tos.rtd",,"OPEN_INT","."&amp;$AA$3&amp;$AA$4&amp;"C"&amp;AB$4))*100 + MAX(0, AB$4-$A10)*IF(RTD("tos.rtd",,"OPEN_INT","."&amp;$AA$3&amp;$AA$4&amp;"P"&amp;AB$4)="N/A",0,RTD("tos.rtd",,"OPEN_INT","."&amp;$AA$3&amp;$AA$4&amp;"P"&amp;AB$4))*100</f>
        <v>0</v>
      </c>
      <c r="AC10" s="18">
        <f>MAX(0, $A10-AC$4)*IF(RTD("tos.rtd",,"OPEN_INT","."&amp;$AA$3&amp;$AA$4&amp;"C"&amp;AC$4)="N/A",0,RTD("tos.rtd",,"OPEN_INT","."&amp;$AA$3&amp;$AA$4&amp;"C"&amp;AC$4))*100 + MAX(0, AC$4-$A10)*IF(RTD("tos.rtd",,"OPEN_INT","."&amp;$AA$3&amp;$AA$4&amp;"P"&amp;AC$4)="N/A",0,RTD("tos.rtd",,"OPEN_INT","."&amp;$AA$3&amp;$AA$4&amp;"P"&amp;AC$4))*100</f>
        <v>0</v>
      </c>
      <c r="AD10" s="18">
        <f>MAX(0, $A10-AD$4)*IF(RTD("tos.rtd",,"OPEN_INT","."&amp;$AA$3&amp;$AA$4&amp;"C"&amp;AD$4)="N/A",0,RTD("tos.rtd",,"OPEN_INT","."&amp;$AA$3&amp;$AA$4&amp;"C"&amp;AD$4))*100 + MAX(0, AD$4-$A10)*IF(RTD("tos.rtd",,"OPEN_INT","."&amp;$AA$3&amp;$AA$4&amp;"P"&amp;AD$4)="N/A",0,RTD("tos.rtd",,"OPEN_INT","."&amp;$AA$3&amp;$AA$4&amp;"P"&amp;AD$4))*100</f>
        <v>0</v>
      </c>
      <c r="AE10" s="18">
        <f>MAX(0, $A10-AE$4)*IF(RTD("tos.rtd",,"OPEN_INT","."&amp;$AA$3&amp;$AA$4&amp;"C"&amp;AE$4)="N/A",0,RTD("tos.rtd",,"OPEN_INT","."&amp;$AA$3&amp;$AA$4&amp;"C"&amp;AE$4))*100 + MAX(0, AE$4-$A10)*IF(RTD("tos.rtd",,"OPEN_INT","."&amp;$AA$3&amp;$AA$4&amp;"P"&amp;AE$4)="N/A",0,RTD("tos.rtd",,"OPEN_INT","."&amp;$AA$3&amp;$AA$4&amp;"P"&amp;AE$4))*100</f>
        <v>0</v>
      </c>
      <c r="AF10" s="18">
        <f>MAX(0, $A10-AF$4)*IF(RTD("tos.rtd",,"OPEN_INT","."&amp;$AA$3&amp;$AA$4&amp;"C"&amp;AF$4)="N/A",0,RTD("tos.rtd",,"OPEN_INT","."&amp;$AA$3&amp;$AA$4&amp;"C"&amp;AF$4))*100 + MAX(0, AF$4-$A10)*IF(RTD("tos.rtd",,"OPEN_INT","."&amp;$AA$3&amp;$AA$4&amp;"P"&amp;AF$4)="N/A",0,RTD("tos.rtd",,"OPEN_INT","."&amp;$AA$3&amp;$AA$4&amp;"P"&amp;AF$4))*100</f>
        <v>0</v>
      </c>
      <c r="AG10" s="18">
        <f>MAX(0, $A10-AG$4)*IF(RTD("tos.rtd",,"OPEN_INT","."&amp;$AA$3&amp;$AA$4&amp;"C"&amp;AG$4)="N/A",0,RTD("tos.rtd",,"OPEN_INT","."&amp;$AA$3&amp;$AA$4&amp;"C"&amp;AG$4))*100 + MAX(0, AG$4-$A10)*IF(RTD("tos.rtd",,"OPEN_INT","."&amp;$AA$3&amp;$AA$4&amp;"P"&amp;AG$4)="N/A",0,RTD("tos.rtd",,"OPEN_INT","."&amp;$AA$3&amp;$AA$4&amp;"P"&amp;AG$4))*100</f>
        <v>0</v>
      </c>
      <c r="AH10" s="18">
        <f>MAX(0, $A10-AH$4)*IF(RTD("tos.rtd",,"OPEN_INT","."&amp;$AA$3&amp;$AA$4&amp;"C"&amp;AH$4)="N/A",0,RTD("tos.rtd",,"OPEN_INT","."&amp;$AA$3&amp;$AA$4&amp;"C"&amp;AH$4))*100 + MAX(0, AH$4-$A10)*IF(RTD("tos.rtd",,"OPEN_INT","."&amp;$AA$3&amp;$AA$4&amp;"P"&amp;AH$4)="N/A",0,RTD("tos.rtd",,"OPEN_INT","."&amp;$AA$3&amp;$AA$4&amp;"P"&amp;AH$4))*100</f>
        <v>0</v>
      </c>
      <c r="AI10" s="18">
        <f>MAX(0, $A10-AI$4)*IF(RTD("tos.rtd",,"OPEN_INT","."&amp;$AA$3&amp;$AA$4&amp;"C"&amp;AI$4)="N/A",0,RTD("tos.rtd",,"OPEN_INT","."&amp;$AA$3&amp;$AA$4&amp;"C"&amp;AI$4))*100 + MAX(0, AI$4-$A10)*IF(RTD("tos.rtd",,"OPEN_INT","."&amp;$AA$3&amp;$AA$4&amp;"P"&amp;AI$4)="N/A",0,RTD("tos.rtd",,"OPEN_INT","."&amp;$AA$3&amp;$AA$4&amp;"P"&amp;AI$4))*100</f>
        <v>271600</v>
      </c>
      <c r="AJ10" s="18">
        <f>MAX(0, $A10-AJ$4)*IF(RTD("tos.rtd",,"OPEN_INT","."&amp;$AA$3&amp;$AA$4&amp;"C"&amp;AJ$4)="N/A",0,RTD("tos.rtd",,"OPEN_INT","."&amp;$AA$3&amp;$AA$4&amp;"C"&amp;AJ$4))*100 + MAX(0, AJ$4-$A10)*IF(RTD("tos.rtd",,"OPEN_INT","."&amp;$AA$3&amp;$AA$4&amp;"P"&amp;AJ$4)="N/A",0,RTD("tos.rtd",,"OPEN_INT","."&amp;$AA$3&amp;$AA$4&amp;"P"&amp;AJ$4))*100</f>
        <v>40350</v>
      </c>
      <c r="AK10" s="18">
        <f>MAX(0, $A10-AK$4)*IF(RTD("tos.rtd",,"OPEN_INT","."&amp;$AA$3&amp;$AA$4&amp;"C"&amp;AK$4)="N/A",0,RTD("tos.rtd",,"OPEN_INT","."&amp;$AA$3&amp;$AA$4&amp;"C"&amp;AK$4))*100 + MAX(0, AK$4-$A10)*IF(RTD("tos.rtd",,"OPEN_INT","."&amp;$AA$3&amp;$AA$4&amp;"P"&amp;AK$4)="N/A",0,RTD("tos.rtd",,"OPEN_INT","."&amp;$AA$3&amp;$AA$4&amp;"P"&amp;AK$4))*100</f>
        <v>562600</v>
      </c>
      <c r="AL10" s="18">
        <f>MAX(0, $A10-AL$4)*IF(RTD("tos.rtd",,"OPEN_INT","."&amp;$AA$3&amp;$AA$4&amp;"C"&amp;AL$4)="N/A",0,RTD("tos.rtd",,"OPEN_INT","."&amp;$AA$3&amp;$AA$4&amp;"C"&amp;AL$4))*100 + MAX(0, AL$4-$A10)*IF(RTD("tos.rtd",,"OPEN_INT","."&amp;$AA$3&amp;$AA$4&amp;"P"&amp;AL$4)="N/A",0,RTD("tos.rtd",,"OPEN_INT","."&amp;$AA$3&amp;$AA$4&amp;"P"&amp;AL$4))*100</f>
        <v>0</v>
      </c>
      <c r="AM10" s="18">
        <f>MAX(0, $A10-AM$4)*IF(RTD("tos.rtd",,"OPEN_INT","."&amp;$AA$3&amp;$AA$4&amp;"C"&amp;AM$4)="N/A",0,RTD("tos.rtd",,"OPEN_INT","."&amp;$AA$3&amp;$AA$4&amp;"C"&amp;AM$4))*100 + MAX(0, AM$4-$A10)*IF(RTD("tos.rtd",,"OPEN_INT","."&amp;$AA$3&amp;$AA$4&amp;"P"&amp;AM$4)="N/A",0,RTD("tos.rtd",,"OPEN_INT","."&amp;$AA$3&amp;$AA$4&amp;"P"&amp;AM$4))*100</f>
        <v>709500</v>
      </c>
      <c r="AN10" s="18">
        <f>MAX(0, $A10-AN$4)*IF(RTD("tos.rtd",,"OPEN_INT","."&amp;$AA$3&amp;$AA$4&amp;"C"&amp;AN$4)="N/A",0,RTD("tos.rtd",,"OPEN_INT","."&amp;$AA$3&amp;$AA$4&amp;"C"&amp;AN$4))*100 + MAX(0, AN$4-$A10)*IF(RTD("tos.rtd",,"OPEN_INT","."&amp;$AA$3&amp;$AA$4&amp;"P"&amp;AN$4)="N/A",0,RTD("tos.rtd",,"OPEN_INT","."&amp;$AA$3&amp;$AA$4&amp;"P"&amp;AN$4))*100</f>
        <v>0</v>
      </c>
      <c r="AO10" s="18">
        <f>MAX(0, $A10-AO$4)*IF(RTD("tos.rtd",,"OPEN_INT","."&amp;$AA$3&amp;$AA$4&amp;"C"&amp;AO$4)="N/A",0,RTD("tos.rtd",,"OPEN_INT","."&amp;$AA$3&amp;$AA$4&amp;"C"&amp;AO$4))*100 + MAX(0, AO$4-$A10)*IF(RTD("tos.rtd",,"OPEN_INT","."&amp;$AA$3&amp;$AA$4&amp;"P"&amp;AO$4)="N/A",0,RTD("tos.rtd",,"OPEN_INT","."&amp;$AA$3&amp;$AA$4&amp;"P"&amp;AO$4))*100</f>
        <v>275600</v>
      </c>
      <c r="AP10" s="18">
        <f>MAX(0, $A10-AP$4)*IF(RTD("tos.rtd",,"OPEN_INT","."&amp;$AA$3&amp;$AA$4&amp;"C"&amp;AP$4)="N/A",0,RTD("tos.rtd",,"OPEN_INT","."&amp;$AA$3&amp;$AA$4&amp;"C"&amp;AP$4))*100 + MAX(0, AP$4-$A10)*IF(RTD("tos.rtd",,"OPEN_INT","."&amp;$AA$3&amp;$AA$4&amp;"P"&amp;AP$4)="N/A",0,RTD("tos.rtd",,"OPEN_INT","."&amp;$AA$3&amp;$AA$4&amp;"P"&amp;AP$4))*100</f>
        <v>0</v>
      </c>
      <c r="AQ10" s="18">
        <f>MAX(0, $A10-AQ$4)*IF(RTD("tos.rtd",,"OPEN_INT","."&amp;$AA$3&amp;$AA$4&amp;"C"&amp;AQ$4)="N/A",0,RTD("tos.rtd",,"OPEN_INT","."&amp;$AA$3&amp;$AA$4&amp;"C"&amp;AQ$4))*100 + MAX(0, AQ$4-$A10)*IF(RTD("tos.rtd",,"OPEN_INT","."&amp;$AA$3&amp;$AA$4&amp;"P"&amp;AQ$4)="N/A",0,RTD("tos.rtd",,"OPEN_INT","."&amp;$AA$3&amp;$AA$4&amp;"P"&amp;AQ$4))*100</f>
        <v>320000</v>
      </c>
      <c r="AR10" s="18">
        <f>MAX(0, $A10-AR$4)*IF(RTD("tos.rtd",,"OPEN_INT","."&amp;$AA$3&amp;$AA$4&amp;"C"&amp;AR$4)="N/A",0,RTD("tos.rtd",,"OPEN_INT","."&amp;$AA$3&amp;$AA$4&amp;"C"&amp;AR$4))*100 + MAX(0, AR$4-$A10)*IF(RTD("tos.rtd",,"OPEN_INT","."&amp;$AA$3&amp;$AA$4&amp;"P"&amp;AR$4)="N/A",0,RTD("tos.rtd",,"OPEN_INT","."&amp;$AA$3&amp;$AA$4&amp;"P"&amp;AR$4))*100</f>
        <v>550</v>
      </c>
      <c r="AS10" s="18">
        <f>MAX(0, $A10-AS$4)*IF(RTD("tos.rtd",,"OPEN_INT","."&amp;$AA$3&amp;$AA$4&amp;"C"&amp;AS$4)="N/A",0,RTD("tos.rtd",,"OPEN_INT","."&amp;$AA$3&amp;$AA$4&amp;"C"&amp;AS$4))*100 + MAX(0, AS$4-$A10)*IF(RTD("tos.rtd",,"OPEN_INT","."&amp;$AA$3&amp;$AA$4&amp;"P"&amp;AS$4)="N/A",0,RTD("tos.rtd",,"OPEN_INT","."&amp;$AA$3&amp;$AA$4&amp;"P"&amp;AS$4))*100</f>
        <v>517200</v>
      </c>
      <c r="AT10" s="18">
        <f>MAX(0, $A10-AT$4)*IF(RTD("tos.rtd",,"OPEN_INT","."&amp;$AA$3&amp;$AA$4&amp;"C"&amp;AT$4)="N/A",0,RTD("tos.rtd",,"OPEN_INT","."&amp;$AA$3&amp;$AA$4&amp;"C"&amp;AT$4))*100 + MAX(0, AT$4-$A10)*IF(RTD("tos.rtd",,"OPEN_INT","."&amp;$AA$3&amp;$AA$4&amp;"P"&amp;AT$4)="N/A",0,RTD("tos.rtd",,"OPEN_INT","."&amp;$AA$3&amp;$AA$4&amp;"P"&amp;AT$4))*100</f>
        <v>911300</v>
      </c>
      <c r="AU10" s="18">
        <f>MAX(0, $A10-AU$4)*IF(RTD("tos.rtd",,"OPEN_INT","."&amp;$AA$3&amp;$AA$4&amp;"C"&amp;AU$4)="N/A",0,RTD("tos.rtd",,"OPEN_INT","."&amp;$AA$3&amp;$AA$4&amp;"C"&amp;AU$4))*100 + MAX(0, AU$4-$A10)*IF(RTD("tos.rtd",,"OPEN_INT","."&amp;$AA$3&amp;$AA$4&amp;"P"&amp;AU$4)="N/A",0,RTD("tos.rtd",,"OPEN_INT","."&amp;$AA$3&amp;$AA$4&amp;"P"&amp;AU$4))*100</f>
        <v>1178100</v>
      </c>
      <c r="AV10" s="18">
        <f>MAX(0, $A10-AV$4)*IF(RTD("tos.rtd",,"OPEN_INT","."&amp;$AA$3&amp;$AA$4&amp;"C"&amp;AV$4)="N/A",0,RTD("tos.rtd",,"OPEN_INT","."&amp;$AA$3&amp;$AA$4&amp;"C"&amp;AV$4))*100 + MAX(0, AV$4-$A10)*IF(RTD("tos.rtd",,"OPEN_INT","."&amp;$AA$3&amp;$AA$4&amp;"P"&amp;AV$4)="N/A",0,RTD("tos.rtd",,"OPEN_INT","."&amp;$AA$3&amp;$AA$4&amp;"P"&amp;AV$4))*100</f>
        <v>1416000</v>
      </c>
      <c r="AW10" s="18">
        <f>MAX(0, $A10-AW$4)*IF(RTD("tos.rtd",,"OPEN_INT","."&amp;$AA$3&amp;$AA$4&amp;"C"&amp;AW$4)="N/A",0,RTD("tos.rtd",,"OPEN_INT","."&amp;$AA$3&amp;$AA$4&amp;"C"&amp;AW$4))*100 + MAX(0, AW$4-$A10)*IF(RTD("tos.rtd",,"OPEN_INT","."&amp;$AA$3&amp;$AA$4&amp;"P"&amp;AW$4)="N/A",0,RTD("tos.rtd",,"OPEN_INT","."&amp;$AA$3&amp;$AA$4&amp;"P"&amp;AW$4))*100</f>
        <v>2460000</v>
      </c>
      <c r="AX10" s="18">
        <f>MAX(0, $A10-AX$4)*IF(RTD("tos.rtd",,"OPEN_INT","."&amp;$AA$3&amp;$AA$4&amp;"C"&amp;AX$4)="N/A",0,RTD("tos.rtd",,"OPEN_INT","."&amp;$AA$3&amp;$AA$4&amp;"C"&amp;AX$4))*100 + MAX(0, AX$4-$A10)*IF(RTD("tos.rtd",,"OPEN_INT","."&amp;$AA$3&amp;$AA$4&amp;"P"&amp;AX$4)="N/A",0,RTD("tos.rtd",,"OPEN_INT","."&amp;$AA$3&amp;$AA$4&amp;"P"&amp;AX$4))*100</f>
        <v>3615050</v>
      </c>
      <c r="AY10" s="18">
        <f>MAX(0, $A10-AY$4)*IF(RTD("tos.rtd",,"OPEN_INT","."&amp;$AA$3&amp;$AA$4&amp;"C"&amp;AY$4)="N/A",0,RTD("tos.rtd",,"OPEN_INT","."&amp;$AA$3&amp;$AA$4&amp;"C"&amp;AY$4))*100 + MAX(0, AY$4-$A10)*IF(RTD("tos.rtd",,"OPEN_INT","."&amp;$AA$3&amp;$AA$4&amp;"P"&amp;AY$4)="N/A",0,RTD("tos.rtd",,"OPEN_INT","."&amp;$AA$3&amp;$AA$4&amp;"P"&amp;AY$4))*100</f>
        <v>17593200</v>
      </c>
      <c r="AZ10" s="18">
        <f>MAX(0, $A10-AZ$4)*IF(RTD("tos.rtd",,"OPEN_INT","."&amp;$AA$3&amp;$AA$4&amp;"C"&amp;AZ$4)="N/A",0,RTD("tos.rtd",,"OPEN_INT","."&amp;$AA$3&amp;$AA$4&amp;"C"&amp;AZ$4))*100 + MAX(0, AZ$4-$A10)*IF(RTD("tos.rtd",,"OPEN_INT","."&amp;$AA$3&amp;$AA$4&amp;"P"&amp;AZ$4)="N/A",0,RTD("tos.rtd",,"OPEN_INT","."&amp;$AA$3&amp;$AA$4&amp;"P"&amp;AZ$4))*100</f>
        <v>9357500</v>
      </c>
      <c r="BA10" s="18">
        <f>MAX(0, $A10-BA$4)*IF(RTD("tos.rtd",,"OPEN_INT","."&amp;$AA$3&amp;$AA$4&amp;"C"&amp;BA$4)="N/A",0,RTD("tos.rtd",,"OPEN_INT","."&amp;$AA$3&amp;$AA$4&amp;"C"&amp;BA$4))*100 + MAX(0, BA$4-$A10)*IF(RTD("tos.rtd",,"OPEN_INT","."&amp;$AA$3&amp;$AA$4&amp;"P"&amp;BA$4)="N/A",0,RTD("tos.rtd",,"OPEN_INT","."&amp;$AA$3&amp;$AA$4&amp;"P"&amp;BA$4))*100</f>
        <v>30807000</v>
      </c>
      <c r="BB10" s="18">
        <f>MAX(0, $A10-BB$4)*IF(RTD("tos.rtd",,"OPEN_INT","."&amp;$AA$3&amp;$AA$4&amp;"C"&amp;BB$4)="N/A",0,RTD("tos.rtd",,"OPEN_INT","."&amp;$AA$3&amp;$AA$4&amp;"C"&amp;BB$4))*100 + MAX(0, BB$4-$A10)*IF(RTD("tos.rtd",,"OPEN_INT","."&amp;$AA$3&amp;$AA$4&amp;"P"&amp;BB$4)="N/A",0,RTD("tos.rtd",,"OPEN_INT","."&amp;$AA$3&amp;$AA$4&amp;"P"&amp;BB$4))*100</f>
        <v>30090900</v>
      </c>
      <c r="BC10" s="18">
        <f>MAX(0, $A10-BC$4)*IF(RTD("tos.rtd",,"OPEN_INT","."&amp;$AA$3&amp;$AA$4&amp;"C"&amp;BC$4)="N/A",0,RTD("tos.rtd",,"OPEN_INT","."&amp;$AA$3&amp;$AA$4&amp;"C"&amp;BC$4))*100 + MAX(0, BC$4-$A10)*IF(RTD("tos.rtd",,"OPEN_INT","."&amp;$AA$3&amp;$AA$4&amp;"P"&amp;BC$4)="N/A",0,RTD("tos.rtd",,"OPEN_INT","."&amp;$AA$3&amp;$AA$4&amp;"P"&amp;BC$4))*100</f>
        <v>44784300</v>
      </c>
      <c r="BD10" s="18">
        <f>MAX(0, $A10-BD$4)*IF(RTD("tos.rtd",,"OPEN_INT","."&amp;$AA$3&amp;$AA$4&amp;"C"&amp;BD$4)="N/A",0,RTD("tos.rtd",,"OPEN_INT","."&amp;$AA$3&amp;$AA$4&amp;"C"&amp;BD$4))*100 + MAX(0, BD$4-$A10)*IF(RTD("tos.rtd",,"OPEN_INT","."&amp;$AA$3&amp;$AA$4&amp;"P"&amp;BD$4)="N/A",0,RTD("tos.rtd",,"OPEN_INT","."&amp;$AA$3&amp;$AA$4&amp;"P"&amp;BD$4))*100</f>
        <v>21344000</v>
      </c>
      <c r="BE10" s="18">
        <f>MAX(0, $A10-BE$4)*IF(RTD("tos.rtd",,"OPEN_INT","."&amp;$AA$3&amp;$AA$4&amp;"C"&amp;BE$4)="N/A",0,RTD("tos.rtd",,"OPEN_INT","."&amp;$AA$3&amp;$AA$4&amp;"C"&amp;BE$4))*100 + MAX(0, BE$4-$A10)*IF(RTD("tos.rtd",,"OPEN_INT","."&amp;$AA$3&amp;$AA$4&amp;"P"&amp;BE$4)="N/A",0,RTD("tos.rtd",,"OPEN_INT","."&amp;$AA$3&amp;$AA$4&amp;"P"&amp;BE$4))*100</f>
        <v>20733600</v>
      </c>
      <c r="BF10" s="18">
        <f>MAX(0, $A10-BF$4)*IF(RTD("tos.rtd",,"OPEN_INT","."&amp;$AA$3&amp;$AA$4&amp;"C"&amp;BF$4)="N/A",0,RTD("tos.rtd",,"OPEN_INT","."&amp;$AA$3&amp;$AA$4&amp;"C"&amp;BF$4))*100 + MAX(0, BF$4-$A10)*IF(RTD("tos.rtd",,"OPEN_INT","."&amp;$AA$3&amp;$AA$4&amp;"P"&amp;BF$4)="N/A",0,RTD("tos.rtd",,"OPEN_INT","."&amp;$AA$3&amp;$AA$4&amp;"P"&amp;BF$4))*100</f>
        <v>10508750</v>
      </c>
      <c r="BG10" s="18">
        <f>MAX(0, $A10-BG$4)*IF(RTD("tos.rtd",,"OPEN_INT","."&amp;$AA$3&amp;$AA$4&amp;"C"&amp;BG$4)="N/A",0,RTD("tos.rtd",,"OPEN_INT","."&amp;$AA$3&amp;$AA$4&amp;"C"&amp;BG$4))*100 + MAX(0, BG$4-$A10)*IF(RTD("tos.rtd",,"OPEN_INT","."&amp;$AA$3&amp;$AA$4&amp;"P"&amp;BG$4)="N/A",0,RTD("tos.rtd",,"OPEN_INT","."&amp;$AA$3&amp;$AA$4&amp;"P"&amp;BG$4))*100</f>
        <v>7454200</v>
      </c>
      <c r="BH10" s="18">
        <f>MAX(0, $A10-BH$4)*IF(RTD("tos.rtd",,"OPEN_INT","."&amp;$AA$3&amp;$AA$4&amp;"C"&amp;BH$4)="N/A",0,RTD("tos.rtd",,"OPEN_INT","."&amp;$AA$3&amp;$AA$4&amp;"C"&amp;BH$4))*100 + MAX(0, BH$4-$A10)*IF(RTD("tos.rtd",,"OPEN_INT","."&amp;$AA$3&amp;$AA$4&amp;"P"&amp;BH$4)="N/A",0,RTD("tos.rtd",,"OPEN_INT","."&amp;$AA$3&amp;$AA$4&amp;"P"&amp;BH$4))*100</f>
        <v>2623050</v>
      </c>
      <c r="BI10" s="18">
        <f>MAX(0, $A10-BI$4)*IF(RTD("tos.rtd",,"OPEN_INT","."&amp;$AA$3&amp;$AA$4&amp;"C"&amp;BI$4)="N/A",0,RTD("tos.rtd",,"OPEN_INT","."&amp;$AA$3&amp;$AA$4&amp;"C"&amp;BI$4))*100 + MAX(0, BI$4-$A10)*IF(RTD("tos.rtd",,"OPEN_INT","."&amp;$AA$3&amp;$AA$4&amp;"P"&amp;BI$4)="N/A",0,RTD("tos.rtd",,"OPEN_INT","."&amp;$AA$3&amp;$AA$4&amp;"P"&amp;BI$4))*100</f>
        <v>1178800</v>
      </c>
      <c r="BJ10" s="18">
        <f>MAX(0, $A10-BJ$4)*IF(RTD("tos.rtd",,"OPEN_INT","."&amp;$AA$3&amp;$AA$4&amp;"C"&amp;BJ$4)="N/A",0,RTD("tos.rtd",,"OPEN_INT","."&amp;$AA$3&amp;$AA$4&amp;"C"&amp;BJ$4))*100 + MAX(0, BJ$4-$A10)*IF(RTD("tos.rtd",,"OPEN_INT","."&amp;$AA$3&amp;$AA$4&amp;"P"&amp;BJ$4)="N/A",0,RTD("tos.rtd",,"OPEN_INT","."&amp;$AA$3&amp;$AA$4&amp;"P"&amp;BJ$4))*100</f>
        <v>218950</v>
      </c>
      <c r="BK10" s="18">
        <f>MAX(0, $A10-BK$4)*IF(RTD("tos.rtd",,"OPEN_INT","."&amp;$AA$3&amp;$AA$4&amp;"C"&amp;BK$4)="N/A",0,RTD("tos.rtd",,"OPEN_INT","."&amp;$AA$3&amp;$AA$4&amp;"C"&amp;BK$4))*100 + MAX(0, BK$4-$A10)*IF(RTD("tos.rtd",,"OPEN_INT","."&amp;$AA$3&amp;$AA$4&amp;"P"&amp;BK$4)="N/A",0,RTD("tos.rtd",,"OPEN_INT","."&amp;$AA$3&amp;$AA$4&amp;"P"&amp;BK$4))*100</f>
        <v>391500</v>
      </c>
      <c r="BL10" s="18">
        <f>MAX(0, $A10-BL$4)*IF(RTD("tos.rtd",,"OPEN_INT","."&amp;$AA$3&amp;$AA$4&amp;"C"&amp;BL$4)="N/A",0,RTD("tos.rtd",,"OPEN_INT","."&amp;$AA$3&amp;$AA$4&amp;"C"&amp;BL$4))*100 + MAX(0, BL$4-$A10)*IF(RTD("tos.rtd",,"OPEN_INT","."&amp;$AA$3&amp;$AA$4&amp;"P"&amp;BL$4)="N/A",0,RTD("tos.rtd",,"OPEN_INT","."&amp;$AA$3&amp;$AA$4&amp;"P"&amp;BL$4))*100</f>
        <v>24800</v>
      </c>
      <c r="BM10" s="18">
        <f>MAX(0, $A10-BM$4)*IF(RTD("tos.rtd",,"OPEN_INT","."&amp;$AA$3&amp;$AA$4&amp;"C"&amp;BM$4)="N/A",0,RTD("tos.rtd",,"OPEN_INT","."&amp;$AA$3&amp;$AA$4&amp;"C"&amp;BM$4))*100 + MAX(0, BM$4-$A10)*IF(RTD("tos.rtd",,"OPEN_INT","."&amp;$AA$3&amp;$AA$4&amp;"P"&amp;BM$4)="N/A",0,RTD("tos.rtd",,"OPEN_INT","."&amp;$AA$3&amp;$AA$4&amp;"P"&amp;BM$4))*100</f>
        <v>12800</v>
      </c>
      <c r="BN10" s="18">
        <f>MAX(0, $A10-BN$4)*IF(RTD("tos.rtd",,"OPEN_INT","."&amp;$AA$3&amp;$AA$4&amp;"C"&amp;BN$4)="N/A",0,RTD("tos.rtd",,"OPEN_INT","."&amp;$AA$3&amp;$AA$4&amp;"C"&amp;BN$4))*100 + MAX(0, BN$4-$A10)*IF(RTD("tos.rtd",,"OPEN_INT","."&amp;$AA$3&amp;$AA$4&amp;"P"&amp;BN$4)="N/A",0,RTD("tos.rtd",,"OPEN_INT","."&amp;$AA$3&amp;$AA$4&amp;"P"&amp;BN$4))*100</f>
        <v>51150</v>
      </c>
      <c r="BO10" s="18">
        <f>MAX(0, $A10-BO$4)*IF(RTD("tos.rtd",,"OPEN_INT","."&amp;$AA$3&amp;$AA$4&amp;"C"&amp;BO$4)="N/A",0,RTD("tos.rtd",,"OPEN_INT","."&amp;$AA$3&amp;$AA$4&amp;"C"&amp;BO$4))*100 + MAX(0, BO$4-$A10)*IF(RTD("tos.rtd",,"OPEN_INT","."&amp;$AA$3&amp;$AA$4&amp;"P"&amp;BO$4)="N/A",0,RTD("tos.rtd",,"OPEN_INT","."&amp;$AA$3&amp;$AA$4&amp;"P"&amp;BO$4))*100</f>
        <v>64600</v>
      </c>
      <c r="BP10" s="18">
        <f>MAX(0, $A10-BP$4)*IF(RTD("tos.rtd",,"OPEN_INT","."&amp;$AA$3&amp;$AA$4&amp;"C"&amp;BP$4)="N/A",0,RTD("tos.rtd",,"OPEN_INT","."&amp;$AA$3&amp;$AA$4&amp;"C"&amp;BP$4))*100 + MAX(0, BP$4-$A10)*IF(RTD("tos.rtd",,"OPEN_INT","."&amp;$AA$3&amp;$AA$4&amp;"P"&amp;BP$4)="N/A",0,RTD("tos.rtd",,"OPEN_INT","."&amp;$AA$3&amp;$AA$4&amp;"P"&amp;BP$4))*100</f>
        <v>0</v>
      </c>
      <c r="BQ10" s="18">
        <f>MAX(0, $A10-BQ$4)*IF(RTD("tos.rtd",,"OPEN_INT","."&amp;$AA$3&amp;$AA$4&amp;"C"&amp;BQ$4)="N/A",0,RTD("tos.rtd",,"OPEN_INT","."&amp;$AA$3&amp;$AA$4&amp;"C"&amp;BQ$4))*100 + MAX(0, BQ$4-$A10)*IF(RTD("tos.rtd",,"OPEN_INT","."&amp;$AA$3&amp;$AA$4&amp;"P"&amp;BQ$4)="N/A",0,RTD("tos.rtd",,"OPEN_INT","."&amp;$AA$3&amp;$AA$4&amp;"P"&amp;BQ$4))*100</f>
        <v>0</v>
      </c>
      <c r="BR10" s="18">
        <f>MAX(0, $A10-BR$4)*IF(RTD("tos.rtd",,"OPEN_INT","."&amp;$AA$3&amp;$AA$4&amp;"C"&amp;BR$4)="N/A",0,RTD("tos.rtd",,"OPEN_INT","."&amp;$AA$3&amp;$AA$4&amp;"C"&amp;BR$4))*100 + MAX(0, BR$4-$A10)*IF(RTD("tos.rtd",,"OPEN_INT","."&amp;$AA$3&amp;$AA$4&amp;"P"&amp;BR$4)="N/A",0,RTD("tos.rtd",,"OPEN_INT","."&amp;$AA$3&amp;$AA$4&amp;"P"&amp;BR$4))*100</f>
        <v>0</v>
      </c>
      <c r="BS10" s="18">
        <f>MAX(0, $A10-BS$4)*IF(RTD("tos.rtd",,"OPEN_INT","."&amp;$AA$3&amp;$AA$4&amp;"C"&amp;BS$4)="N/A",0,RTD("tos.rtd",,"OPEN_INT","."&amp;$AA$3&amp;$AA$4&amp;"C"&amp;BS$4))*100 + MAX(0, BS$4-$A10)*IF(RTD("tos.rtd",,"OPEN_INT","."&amp;$AA$3&amp;$AA$4&amp;"P"&amp;BS$4)="N/A",0,RTD("tos.rtd",,"OPEN_INT","."&amp;$AA$3&amp;$AA$4&amp;"P"&amp;BS$4))*100</f>
        <v>0</v>
      </c>
      <c r="BT10" s="18">
        <f>MAX(0, $A10-BT$4)*IF(RTD("tos.rtd",,"OPEN_INT","."&amp;$AA$3&amp;$AA$4&amp;"C"&amp;BT$4)="N/A",0,RTD("tos.rtd",,"OPEN_INT","."&amp;$AA$3&amp;$AA$4&amp;"C"&amp;BT$4))*100 + MAX(0, BT$4-$A10)*IF(RTD("tos.rtd",,"OPEN_INT","."&amp;$AA$3&amp;$AA$4&amp;"P"&amp;BT$4)="N/A",0,RTD("tos.rtd",,"OPEN_INT","."&amp;$AA$3&amp;$AA$4&amp;"P"&amp;BT$4))*100</f>
        <v>0</v>
      </c>
      <c r="BU10" s="18">
        <f>MAX(0, $A10-BU$4)*IF(RTD("tos.rtd",,"OPEN_INT","."&amp;$AA$3&amp;$AA$4&amp;"C"&amp;BU$4)="N/A",0,RTD("tos.rtd",,"OPEN_INT","."&amp;$AA$3&amp;$AA$4&amp;"C"&amp;BU$4))*100 + MAX(0, BU$4-$A10)*IF(RTD("tos.rtd",,"OPEN_INT","."&amp;$AA$3&amp;$AA$4&amp;"P"&amp;BU$4)="N/A",0,RTD("tos.rtd",,"OPEN_INT","."&amp;$AA$3&amp;$AA$4&amp;"P"&amp;BU$4))*100</f>
        <v>0</v>
      </c>
      <c r="BV10" s="18">
        <f>MAX(0, $A10-BV$4)*IF(RTD("tos.rtd",,"OPEN_INT","."&amp;$AA$3&amp;$AA$4&amp;"C"&amp;BV$4)="N/A",0,RTD("tos.rtd",,"OPEN_INT","."&amp;$AA$3&amp;$AA$4&amp;"C"&amp;BV$4))*100 + MAX(0, BV$4-$A10)*IF(RTD("tos.rtd",,"OPEN_INT","."&amp;$AA$3&amp;$AA$4&amp;"P"&amp;BV$4)="N/A",0,RTD("tos.rtd",,"OPEN_INT","."&amp;$AA$3&amp;$AA$4&amp;"P"&amp;BV$4))*100</f>
        <v>0</v>
      </c>
    </row>
    <row r="11" spans="1:74" s="19" customFormat="1" ht="11.1" customHeight="1" thickBot="1" x14ac:dyDescent="0.3">
      <c r="A11" s="23">
        <f t="shared" si="6"/>
        <v>18.5</v>
      </c>
      <c r="B11" s="14">
        <f ca="1">IF($A$2="PREMIUM_OI",IFERROR(IF($X$1="ABS",(100*RTD("tos.rtd",,"OPEN_INT","."&amp;B$2&amp;B$1&amp;"C"&amp;$A11)*RTD("tos.rtd",,"LAST","."&amp;B$2&amp;B$1&amp;"C"&amp;$A11)+100*RTD("tos.rtd",,"OPEN_INT","."&amp;B$2&amp;B$1&amp;"P"&amp;$A11)*RTD("tos.rtd",,"LAST","."&amp;B$2&amp;B$1&amp;"P"&amp;$A11))/1000000,(100*RTD("tos.rtd",,"OPEN_INT","."&amp;B$2&amp;B$1&amp;"C"&amp;$A11)*RTD("tos.rtd",,"LAST","."&amp;B$2&amp;B$1&amp;"C"&amp;$A11)-100*RTD("tos.rtd",,"OPEN_INT","."&amp;B$2&amp;B$1&amp;"P"&amp;$A11)*RTD("tos.rtd",,"LAST","."&amp;B$2&amp;B$1&amp;"P"&amp;$A11))/1000000),0),IF($A$2="PREMIUM",IFERROR(IF($X$1="ABS",(100*RTD("tos.rtd",,"VOLUME","."&amp;B$2&amp;B$1&amp;"C"&amp;$A11)*RTD("tos.rtd",,"LAST","."&amp;B$2&amp;B$1&amp;"C"&amp;$A11)+100*RTD("tos.rtd",,"VOLUME","."&amp;B$2&amp;B$1&amp;"P"&amp;$A11)*RTD("tos.rtd",,"LAST","."&amp;B$2&amp;B$1&amp;"P"&amp;$A11))/1000000,(100*RTD("tos.rtd",,"VOLUME","."&amp;B$2&amp;B$1&amp;"C"&amp;$A11)*RTD("tos.rtd",,"LAST","."&amp;B$2&amp;B$1&amp;"C"&amp;$A11)-100*RTD("tos.rtd",,"VOLUME","."&amp;B$2&amp;B$1&amp;"P"&amp;$A11)*RTD("tos.rtd",,"LAST","."&amp;B$2&amp;B$1&amp;"P"&amp;$A11))/1000000),0),IF($A$2="DEX",IFERROR(IF($X$1="ABS",(100*RTD("tos.rtd",,"OPEN_INT","."&amp;B$2&amp;B$1&amp;"C"&amp;$A11)*RTD("tos.rtd",,"DELTA","."&amp;B$2&amp;B$1&amp;"C"&amp;$A11)+100*RTD("tos.rtd",,"OPEN_INT","."&amp;B$2&amp;B$1&amp;"P"&amp;$A11)*RTD("tos.rtd",,"DELTA","."&amp;B$2&amp;B$1&amp;"P"&amp;$A11))/1000,(100*RTD("tos.rtd",,"OPEN_INT","."&amp;B$2&amp;B$1&amp;"C"&amp;$A11)*RTD("tos.rtd",,"DELTA","."&amp;B$2&amp;B$1&amp;"C"&amp;$A11)-100*RTD("tos.rtd",,"OPEN_INT","."&amp;B$2&amp;B$1&amp;"P"&amp;$A11)*RTD("tos.rtd",,"DELTA","."&amp;B$2&amp;B$1&amp;"P"&amp;$A11))/1000),0),IF($A$2="VEX",IFERROR(IF($X$1="ABS",($A$4*$A$4*RTD("tos.rtd",,"VOLUME","."&amp;B$2&amp;B$1&amp;"C"&amp;$A11)*RTD("tos.rtd",,"GAMMA","."&amp;B$2&amp;B$1&amp;"C"&amp;$A11)+$A$4*$A$4*RTD("tos.rtd",,"VOLUME","."&amp;B$2&amp;B$1&amp;"P"&amp;$A11)*RTD("tos.rtd",,"GAMMA","."&amp;B$2&amp;B$1&amp;"P"&amp;$A11))/1000000,($A$4*$A$4*RTD("tos.rtd",,"VOLUME","."&amp;B$2&amp;B$1&amp;"C"&amp;$A11)*RTD("tos.rtd",,"GAMMA","."&amp;B$2&amp;B$1&amp;"C"&amp;$A11)-$A$4*$A$4*RTD("tos.rtd",,"VOLUME","."&amp;B$2&amp;B$1&amp;"P"&amp;$A11)*RTD("tos.rtd",,"GAMMA","."&amp;B$2&amp;B$1&amp;"P"&amp;$A11))/1000000),0),IF($A$2="GEX",IFERROR(IF($X$1="ABS",($A$4*$A$4*RTD("tos.rtd",,"OPEN_INT","."&amp;B$2&amp;B$1&amp;"C"&amp;$A11)*RTD("tos.rtd",,"GAMMA","."&amp;B$2&amp;B$1&amp;"C"&amp;$A11)+$A$4*$A$4*RTD("tos.rtd",,"OPEN_INT","."&amp;B$2&amp;B$1&amp;"P"&amp;$A11)*RTD("tos.rtd",,"GAMMA","."&amp;B$2&amp;B$1&amp;"P"&amp;$A11))/1000000,($A$4*$A$4*RTD("tos.rtd",,"OPEN_INT","."&amp;B$2&amp;B$1&amp;"C"&amp;$A11)*RTD("tos.rtd",,"GAMMA","."&amp;B$2&amp;B$1&amp;"C"&amp;$A11)-$A$4*$A$4*RTD("tos.rtd",,"OPEN_INT","."&amp;B$2&amp;B$1&amp;"P"&amp;$A11)*RTD("tos.rtd",,"GAMMA","."&amp;B$2&amp;B$1&amp;"P"&amp;$A11))/1000000),0),IF($A$2="SKEW",IFERROR(VALUE(IF(RTD("tos.rtd",,"IMPL_VOL","."&amp;B$2&amp;B$1&amp;"P"&amp;$A11)="N/A",0,RTD("tos.rtd",,"IMPL_VOL","."&amp;B$2&amp;B$1&amp;"P"&amp;$A11))),0)-IFERROR(VALUE(IF(RTD("tos.rtd",,"IMPL_VOL","."&amp;B$2&amp;B$1&amp;"C"&amp;$A11)="N/A",0,RTD("tos.rtd",,"IMPL_VOL","."&amp;B$2&amp;B$1&amp;"C"&amp;$A11))),0),IF($A$2="MAXPAIN",IF($A$4&gt;$A11,($A$4-$A11)*IF(RTD("tos.rtd",,"OPEN_INT","."&amp;B$2&amp;B$1&amp;"C"&amp;$A11)="N/A",0,RTD("tos.rtd",,"OPEN_INT","."&amp;B$2&amp;B$1&amp;"C"&amp;$A11)),0)+IF($A$4&lt;$A11,($A$5-$A$4)*IF(RTD("tos.rtd",,"OPEN_INT","."&amp;B$2&amp;B$1&amp;"P"&amp;$A11)="N/A",0,RTD("tos.rtd",,"OPEN_INT","."&amp;B$2&amp;B$1&amp;"P"&amp;$A11)),0),IF($X$1="ABS",IF(RTD("tos.rtd",,$A$2,"."&amp;B$2&amp;B$1&amp;"C"&amp;$A11)="N/A",0,RTD("tos.rtd",,$A$2,"."&amp;B$2&amp;B$1&amp;"C"&amp;$A11))+IF(RTD("tos.rtd",,$A$2,"."&amp;B$2&amp;B$1&amp;"P"&amp;$A11)="N/A",0,RTD("tos.rtd",,$A$2,"."&amp;B$2&amp;B$1&amp;"P"&amp;$A11)),IF(RTD("tos.rtd",,$A$2,"."&amp;B$2&amp;B$1&amp;"C"&amp;$A11)="N/A",0,RTD("tos.rtd",,$A$2,"."&amp;B$2&amp;B$1&amp;"C"&amp;$A11))-IF(RTD("tos.rtd",,$A$2,"."&amp;B$2&amp;B$1&amp;"P"&amp;$A11)="N/A",0,RTD("tos.rtd",,$A$2,"."&amp;B$2&amp;B$1&amp;"P"&amp;$A11))))))))))</f>
        <v>0</v>
      </c>
      <c r="C11" s="12">
        <f ca="1">IF($A$2="PREMIUM_OI",IFERROR(IF($X$1="ABS",(100*RTD("tos.rtd",,"OPEN_INT","."&amp;C$2&amp;C$1&amp;"C"&amp;$A11)*RTD("tos.rtd",,"LAST","."&amp;C$2&amp;C$1&amp;"C"&amp;$A11)+100*RTD("tos.rtd",,"OPEN_INT","."&amp;C$2&amp;C$1&amp;"P"&amp;$A11)*RTD("tos.rtd",,"LAST","."&amp;C$2&amp;C$1&amp;"P"&amp;$A11))/1000000,(100*RTD("tos.rtd",,"OPEN_INT","."&amp;C$2&amp;C$1&amp;"C"&amp;$A11)*RTD("tos.rtd",,"LAST","."&amp;C$2&amp;C$1&amp;"C"&amp;$A11)-100*RTD("tos.rtd",,"OPEN_INT","."&amp;C$2&amp;C$1&amp;"P"&amp;$A11)*RTD("tos.rtd",,"LAST","."&amp;C$2&amp;C$1&amp;"P"&amp;$A11))/1000000),0),IF($A$2="PREMIUM",IFERROR(IF($X$1="ABS",(100*RTD("tos.rtd",,"VOLUME","."&amp;C$2&amp;C$1&amp;"C"&amp;$A11)*RTD("tos.rtd",,"LAST","."&amp;C$2&amp;C$1&amp;"C"&amp;$A11)+100*RTD("tos.rtd",,"VOLUME","."&amp;C$2&amp;C$1&amp;"P"&amp;$A11)*RTD("tos.rtd",,"LAST","."&amp;C$2&amp;C$1&amp;"P"&amp;$A11))/1000000,(100*RTD("tos.rtd",,"VOLUME","."&amp;C$2&amp;C$1&amp;"C"&amp;$A11)*RTD("tos.rtd",,"LAST","."&amp;C$2&amp;C$1&amp;"C"&amp;$A11)-100*RTD("tos.rtd",,"VOLUME","."&amp;C$2&amp;C$1&amp;"P"&amp;$A11)*RTD("tos.rtd",,"LAST","."&amp;C$2&amp;C$1&amp;"P"&amp;$A11))/1000000),0),IF($A$2="DEX",IFERROR(IF($X$1="ABS",(100*RTD("tos.rtd",,"OPEN_INT","."&amp;C$2&amp;C$1&amp;"C"&amp;$A11)*RTD("tos.rtd",,"DELTA","."&amp;C$2&amp;C$1&amp;"C"&amp;$A11)+100*RTD("tos.rtd",,"OPEN_INT","."&amp;C$2&amp;C$1&amp;"P"&amp;$A11)*RTD("tos.rtd",,"DELTA","."&amp;C$2&amp;C$1&amp;"P"&amp;$A11))/1000,(100*RTD("tos.rtd",,"OPEN_INT","."&amp;C$2&amp;C$1&amp;"C"&amp;$A11)*RTD("tos.rtd",,"DELTA","."&amp;C$2&amp;C$1&amp;"C"&amp;$A11)-100*RTD("tos.rtd",,"OPEN_INT","."&amp;C$2&amp;C$1&amp;"P"&amp;$A11)*RTD("tos.rtd",,"DELTA","."&amp;C$2&amp;C$1&amp;"P"&amp;$A11))/1000),0),IF($A$2="VEX",IFERROR(IF($X$1="ABS",($A$4*$A$4*RTD("tos.rtd",,"VOLUME","."&amp;C$2&amp;C$1&amp;"C"&amp;$A11)*RTD("tos.rtd",,"GAMMA","."&amp;C$2&amp;C$1&amp;"C"&amp;$A11)+$A$4*$A$4*RTD("tos.rtd",,"VOLUME","."&amp;C$2&amp;C$1&amp;"P"&amp;$A11)*RTD("tos.rtd",,"GAMMA","."&amp;C$2&amp;C$1&amp;"P"&amp;$A11))/1000000,($A$4*$A$4*RTD("tos.rtd",,"VOLUME","."&amp;C$2&amp;C$1&amp;"C"&amp;$A11)*RTD("tos.rtd",,"GAMMA","."&amp;C$2&amp;C$1&amp;"C"&amp;$A11)-$A$4*$A$4*RTD("tos.rtd",,"VOLUME","."&amp;C$2&amp;C$1&amp;"P"&amp;$A11)*RTD("tos.rtd",,"GAMMA","."&amp;C$2&amp;C$1&amp;"P"&amp;$A11))/1000000),0),IF($A$2="GEX",IFERROR(IF($X$1="ABS",($A$4*$A$4*RTD("tos.rtd",,"OPEN_INT","."&amp;C$2&amp;C$1&amp;"C"&amp;$A11)*RTD("tos.rtd",,"GAMMA","."&amp;C$2&amp;C$1&amp;"C"&amp;$A11)+$A$4*$A$4*RTD("tos.rtd",,"OPEN_INT","."&amp;C$2&amp;C$1&amp;"P"&amp;$A11)*RTD("tos.rtd",,"GAMMA","."&amp;C$2&amp;C$1&amp;"P"&amp;$A11))/1000000,($A$4*$A$4*RTD("tos.rtd",,"OPEN_INT","."&amp;C$2&amp;C$1&amp;"C"&amp;$A11)*RTD("tos.rtd",,"GAMMA","."&amp;C$2&amp;C$1&amp;"C"&amp;$A11)-$A$4*$A$4*RTD("tos.rtd",,"OPEN_INT","."&amp;C$2&amp;C$1&amp;"P"&amp;$A11)*RTD("tos.rtd",,"GAMMA","."&amp;C$2&amp;C$1&amp;"P"&amp;$A11))/1000000),0),IF($A$2="SKEW",IFERROR(VALUE(IF(RTD("tos.rtd",,"IMPL_VOL","."&amp;C$2&amp;C$1&amp;"P"&amp;$A11)="N/A",0,RTD("tos.rtd",,"IMPL_VOL","."&amp;C$2&amp;C$1&amp;"P"&amp;$A11))),0)-IFERROR(VALUE(IF(RTD("tos.rtd",,"IMPL_VOL","."&amp;C$2&amp;C$1&amp;"C"&amp;$A11)="N/A",0,RTD("tos.rtd",,"IMPL_VOL","."&amp;C$2&amp;C$1&amp;"C"&amp;$A11))),0),IF($A$2="MAXPAIN",IF($A$4&gt;$A11,($A$4-$A11)*IF(RTD("tos.rtd",,"OPEN_INT","."&amp;C$2&amp;C$1&amp;"C"&amp;$A11)="N/A",0,RTD("tos.rtd",,"OPEN_INT","."&amp;C$2&amp;C$1&amp;"C"&amp;$A11)),0)+IF($A$4&lt;$A11,($A$5-$A$4)*IF(RTD("tos.rtd",,"OPEN_INT","."&amp;C$2&amp;C$1&amp;"P"&amp;$A11)="N/A",0,RTD("tos.rtd",,"OPEN_INT","."&amp;C$2&amp;C$1&amp;"P"&amp;$A11)),0),IF($X$1="ABS",IF(RTD("tos.rtd",,$A$2,"."&amp;C$2&amp;C$1&amp;"C"&amp;$A11)="N/A",0,RTD("tos.rtd",,$A$2,"."&amp;C$2&amp;C$1&amp;"C"&amp;$A11))+IF(RTD("tos.rtd",,$A$2,"."&amp;C$2&amp;C$1&amp;"P"&amp;$A11)="N/A",0,RTD("tos.rtd",,$A$2,"."&amp;C$2&amp;C$1&amp;"P"&amp;$A11)),IF(RTD("tos.rtd",,$A$2,"."&amp;C$2&amp;C$1&amp;"C"&amp;$A11)="N/A",0,RTD("tos.rtd",,$A$2,"."&amp;C$2&amp;C$1&amp;"C"&amp;$A11))-IF(RTD("tos.rtd",,$A$2,"."&amp;C$2&amp;C$1&amp;"P"&amp;$A11)="N/A",0,RTD("tos.rtd",,$A$2,"."&amp;C$2&amp;C$1&amp;"P"&amp;$A11))))))))))</f>
        <v>0</v>
      </c>
      <c r="D11" s="12">
        <f ca="1">IF($A$2="PREMIUM_OI",IFERROR(IF($X$1="ABS",(100*RTD("tos.rtd",,"OPEN_INT","."&amp;D$2&amp;D$1&amp;"C"&amp;$A11)*RTD("tos.rtd",,"LAST","."&amp;D$2&amp;D$1&amp;"C"&amp;$A11)+100*RTD("tos.rtd",,"OPEN_INT","."&amp;D$2&amp;D$1&amp;"P"&amp;$A11)*RTD("tos.rtd",,"LAST","."&amp;D$2&amp;D$1&amp;"P"&amp;$A11))/1000000,(100*RTD("tos.rtd",,"OPEN_INT","."&amp;D$2&amp;D$1&amp;"C"&amp;$A11)*RTD("tos.rtd",,"LAST","."&amp;D$2&amp;D$1&amp;"C"&amp;$A11)-100*RTD("tos.rtd",,"OPEN_INT","."&amp;D$2&amp;D$1&amp;"P"&amp;$A11)*RTD("tos.rtd",,"LAST","."&amp;D$2&amp;D$1&amp;"P"&amp;$A11))/1000000),0),IF($A$2="PREMIUM",IFERROR(IF($X$1="ABS",(100*RTD("tos.rtd",,"VOLUME","."&amp;D$2&amp;D$1&amp;"C"&amp;$A11)*RTD("tos.rtd",,"LAST","."&amp;D$2&amp;D$1&amp;"C"&amp;$A11)+100*RTD("tos.rtd",,"VOLUME","."&amp;D$2&amp;D$1&amp;"P"&amp;$A11)*RTD("tos.rtd",,"LAST","."&amp;D$2&amp;D$1&amp;"P"&amp;$A11))/1000000,(100*RTD("tos.rtd",,"VOLUME","."&amp;D$2&amp;D$1&amp;"C"&amp;$A11)*RTD("tos.rtd",,"LAST","."&amp;D$2&amp;D$1&amp;"C"&amp;$A11)-100*RTD("tos.rtd",,"VOLUME","."&amp;D$2&amp;D$1&amp;"P"&amp;$A11)*RTD("tos.rtd",,"LAST","."&amp;D$2&amp;D$1&amp;"P"&amp;$A11))/1000000),0),IF($A$2="DEX",IFERROR(IF($X$1="ABS",(100*RTD("tos.rtd",,"OPEN_INT","."&amp;D$2&amp;D$1&amp;"C"&amp;$A11)*RTD("tos.rtd",,"DELTA","."&amp;D$2&amp;D$1&amp;"C"&amp;$A11)+100*RTD("tos.rtd",,"OPEN_INT","."&amp;D$2&amp;D$1&amp;"P"&amp;$A11)*RTD("tos.rtd",,"DELTA","."&amp;D$2&amp;D$1&amp;"P"&amp;$A11))/1000,(100*RTD("tos.rtd",,"OPEN_INT","."&amp;D$2&amp;D$1&amp;"C"&amp;$A11)*RTD("tos.rtd",,"DELTA","."&amp;D$2&amp;D$1&amp;"C"&amp;$A11)-100*RTD("tos.rtd",,"OPEN_INT","."&amp;D$2&amp;D$1&amp;"P"&amp;$A11)*RTD("tos.rtd",,"DELTA","."&amp;D$2&amp;D$1&amp;"P"&amp;$A11))/1000),0),IF($A$2="VEX",IFERROR(IF($X$1="ABS",($A$4*$A$4*RTD("tos.rtd",,"VOLUME","."&amp;D$2&amp;D$1&amp;"C"&amp;$A11)*RTD("tos.rtd",,"GAMMA","."&amp;D$2&amp;D$1&amp;"C"&amp;$A11)+$A$4*$A$4*RTD("tos.rtd",,"VOLUME","."&amp;D$2&amp;D$1&amp;"P"&amp;$A11)*RTD("tos.rtd",,"GAMMA","."&amp;D$2&amp;D$1&amp;"P"&amp;$A11))/1000000,($A$4*$A$4*RTD("tos.rtd",,"VOLUME","."&amp;D$2&amp;D$1&amp;"C"&amp;$A11)*RTD("tos.rtd",,"GAMMA","."&amp;D$2&amp;D$1&amp;"C"&amp;$A11)-$A$4*$A$4*RTD("tos.rtd",,"VOLUME","."&amp;D$2&amp;D$1&amp;"P"&amp;$A11)*RTD("tos.rtd",,"GAMMA","."&amp;D$2&amp;D$1&amp;"P"&amp;$A11))/1000000),0),IF($A$2="GEX",IFERROR(IF($X$1="ABS",($A$4*$A$4*RTD("tos.rtd",,"OPEN_INT","."&amp;D$2&amp;D$1&amp;"C"&amp;$A11)*RTD("tos.rtd",,"GAMMA","."&amp;D$2&amp;D$1&amp;"C"&amp;$A11)+$A$4*$A$4*RTD("tos.rtd",,"OPEN_INT","."&amp;D$2&amp;D$1&amp;"P"&amp;$A11)*RTD("tos.rtd",,"GAMMA","."&amp;D$2&amp;D$1&amp;"P"&amp;$A11))/1000000,($A$4*$A$4*RTD("tos.rtd",,"OPEN_INT","."&amp;D$2&amp;D$1&amp;"C"&amp;$A11)*RTD("tos.rtd",,"GAMMA","."&amp;D$2&amp;D$1&amp;"C"&amp;$A11)-$A$4*$A$4*RTD("tos.rtd",,"OPEN_INT","."&amp;D$2&amp;D$1&amp;"P"&amp;$A11)*RTD("tos.rtd",,"GAMMA","."&amp;D$2&amp;D$1&amp;"P"&amp;$A11))/1000000),0),IF($A$2="SKEW",IFERROR(VALUE(IF(RTD("tos.rtd",,"IMPL_VOL","."&amp;D$2&amp;D$1&amp;"P"&amp;$A11)="N/A",0,RTD("tos.rtd",,"IMPL_VOL","."&amp;D$2&amp;D$1&amp;"P"&amp;$A11))),0)-IFERROR(VALUE(IF(RTD("tos.rtd",,"IMPL_VOL","."&amp;D$2&amp;D$1&amp;"C"&amp;$A11)="N/A",0,RTD("tos.rtd",,"IMPL_VOL","."&amp;D$2&amp;D$1&amp;"C"&amp;$A11))),0),IF($A$2="MAXPAIN",IF($A$4&gt;$A11,($A$4-$A11)*IF(RTD("tos.rtd",,"OPEN_INT","."&amp;D$2&amp;D$1&amp;"C"&amp;$A11)="N/A",0,RTD("tos.rtd",,"OPEN_INT","."&amp;D$2&amp;D$1&amp;"C"&amp;$A11)),0)+IF($A$4&lt;$A11,($A$5-$A$4)*IF(RTD("tos.rtd",,"OPEN_INT","."&amp;D$2&amp;D$1&amp;"P"&amp;$A11)="N/A",0,RTD("tos.rtd",,"OPEN_INT","."&amp;D$2&amp;D$1&amp;"P"&amp;$A11)),0),IF($X$1="ABS",IF(RTD("tos.rtd",,$A$2,"."&amp;D$2&amp;D$1&amp;"C"&amp;$A11)="N/A",0,RTD("tos.rtd",,$A$2,"."&amp;D$2&amp;D$1&amp;"C"&amp;$A11))+IF(RTD("tos.rtd",,$A$2,"."&amp;D$2&amp;D$1&amp;"P"&amp;$A11)="N/A",0,RTD("tos.rtd",,$A$2,"."&amp;D$2&amp;D$1&amp;"P"&amp;$A11)),IF(RTD("tos.rtd",,$A$2,"."&amp;D$2&amp;D$1&amp;"C"&amp;$A11)="N/A",0,RTD("tos.rtd",,$A$2,"."&amp;D$2&amp;D$1&amp;"C"&amp;$A11))-IF(RTD("tos.rtd",,$A$2,"."&amp;D$2&amp;D$1&amp;"P"&amp;$A11)="N/A",0,RTD("tos.rtd",,$A$2,"."&amp;D$2&amp;D$1&amp;"P"&amp;$A11))))))))))</f>
        <v>0</v>
      </c>
      <c r="E11" s="12">
        <f ca="1">IF($A$2="PREMIUM_OI",IFERROR(IF($X$1="ABS",(100*RTD("tos.rtd",,"OPEN_INT","."&amp;E$2&amp;E$1&amp;"C"&amp;$A11)*RTD("tos.rtd",,"LAST","."&amp;E$2&amp;E$1&amp;"C"&amp;$A11)+100*RTD("tos.rtd",,"OPEN_INT","."&amp;E$2&amp;E$1&amp;"P"&amp;$A11)*RTD("tos.rtd",,"LAST","."&amp;E$2&amp;E$1&amp;"P"&amp;$A11))/1000000,(100*RTD("tos.rtd",,"OPEN_INT","."&amp;E$2&amp;E$1&amp;"C"&amp;$A11)*RTD("tos.rtd",,"LAST","."&amp;E$2&amp;E$1&amp;"C"&amp;$A11)-100*RTD("tos.rtd",,"OPEN_INT","."&amp;E$2&amp;E$1&amp;"P"&amp;$A11)*RTD("tos.rtd",,"LAST","."&amp;E$2&amp;E$1&amp;"P"&amp;$A11))/1000000),0),IF($A$2="PREMIUM",IFERROR(IF($X$1="ABS",(100*RTD("tos.rtd",,"VOLUME","."&amp;E$2&amp;E$1&amp;"C"&amp;$A11)*RTD("tos.rtd",,"LAST","."&amp;E$2&amp;E$1&amp;"C"&amp;$A11)+100*RTD("tos.rtd",,"VOLUME","."&amp;E$2&amp;E$1&amp;"P"&amp;$A11)*RTD("tos.rtd",,"LAST","."&amp;E$2&amp;E$1&amp;"P"&amp;$A11))/1000000,(100*RTD("tos.rtd",,"VOLUME","."&amp;E$2&amp;E$1&amp;"C"&amp;$A11)*RTD("tos.rtd",,"LAST","."&amp;E$2&amp;E$1&amp;"C"&amp;$A11)-100*RTD("tos.rtd",,"VOLUME","."&amp;E$2&amp;E$1&amp;"P"&amp;$A11)*RTD("tos.rtd",,"LAST","."&amp;E$2&amp;E$1&amp;"P"&amp;$A11))/1000000),0),IF($A$2="DEX",IFERROR(IF($X$1="ABS",(100*RTD("tos.rtd",,"OPEN_INT","."&amp;E$2&amp;E$1&amp;"C"&amp;$A11)*RTD("tos.rtd",,"DELTA","."&amp;E$2&amp;E$1&amp;"C"&amp;$A11)+100*RTD("tos.rtd",,"OPEN_INT","."&amp;E$2&amp;E$1&amp;"P"&amp;$A11)*RTD("tos.rtd",,"DELTA","."&amp;E$2&amp;E$1&amp;"P"&amp;$A11))/1000,(100*RTD("tos.rtd",,"OPEN_INT","."&amp;E$2&amp;E$1&amp;"C"&amp;$A11)*RTD("tos.rtd",,"DELTA","."&amp;E$2&amp;E$1&amp;"C"&amp;$A11)-100*RTD("tos.rtd",,"OPEN_INT","."&amp;E$2&amp;E$1&amp;"P"&amp;$A11)*RTD("tos.rtd",,"DELTA","."&amp;E$2&amp;E$1&amp;"P"&amp;$A11))/1000),0),IF($A$2="VEX",IFERROR(IF($X$1="ABS",($A$4*$A$4*RTD("tos.rtd",,"VOLUME","."&amp;E$2&amp;E$1&amp;"C"&amp;$A11)*RTD("tos.rtd",,"GAMMA","."&amp;E$2&amp;E$1&amp;"C"&amp;$A11)+$A$4*$A$4*RTD("tos.rtd",,"VOLUME","."&amp;E$2&amp;E$1&amp;"P"&amp;$A11)*RTD("tos.rtd",,"GAMMA","."&amp;E$2&amp;E$1&amp;"P"&amp;$A11))/1000000,($A$4*$A$4*RTD("tos.rtd",,"VOLUME","."&amp;E$2&amp;E$1&amp;"C"&amp;$A11)*RTD("tos.rtd",,"GAMMA","."&amp;E$2&amp;E$1&amp;"C"&amp;$A11)-$A$4*$A$4*RTD("tos.rtd",,"VOLUME","."&amp;E$2&amp;E$1&amp;"P"&amp;$A11)*RTD("tos.rtd",,"GAMMA","."&amp;E$2&amp;E$1&amp;"P"&amp;$A11))/1000000),0),IF($A$2="GEX",IFERROR(IF($X$1="ABS",($A$4*$A$4*RTD("tos.rtd",,"OPEN_INT","."&amp;E$2&amp;E$1&amp;"C"&amp;$A11)*RTD("tos.rtd",,"GAMMA","."&amp;E$2&amp;E$1&amp;"C"&amp;$A11)+$A$4*$A$4*RTD("tos.rtd",,"OPEN_INT","."&amp;E$2&amp;E$1&amp;"P"&amp;$A11)*RTD("tos.rtd",,"GAMMA","."&amp;E$2&amp;E$1&amp;"P"&amp;$A11))/1000000,($A$4*$A$4*RTD("tos.rtd",,"OPEN_INT","."&amp;E$2&amp;E$1&amp;"C"&amp;$A11)*RTD("tos.rtd",,"GAMMA","."&amp;E$2&amp;E$1&amp;"C"&amp;$A11)-$A$4*$A$4*RTD("tos.rtd",,"OPEN_INT","."&amp;E$2&amp;E$1&amp;"P"&amp;$A11)*RTD("tos.rtd",,"GAMMA","."&amp;E$2&amp;E$1&amp;"P"&amp;$A11))/1000000),0),IF($A$2="SKEW",IFERROR(VALUE(IF(RTD("tos.rtd",,"IMPL_VOL","."&amp;E$2&amp;E$1&amp;"P"&amp;$A11)="N/A",0,RTD("tos.rtd",,"IMPL_VOL","."&amp;E$2&amp;E$1&amp;"P"&amp;$A11))),0)-IFERROR(VALUE(IF(RTD("tos.rtd",,"IMPL_VOL","."&amp;E$2&amp;E$1&amp;"C"&amp;$A11)="N/A",0,RTD("tos.rtd",,"IMPL_VOL","."&amp;E$2&amp;E$1&amp;"C"&amp;$A11))),0),IF($A$2="MAXPAIN",IF($A$4&gt;$A11,($A$4-$A11)*IF(RTD("tos.rtd",,"OPEN_INT","."&amp;E$2&amp;E$1&amp;"C"&amp;$A11)="N/A",0,RTD("tos.rtd",,"OPEN_INT","."&amp;E$2&amp;E$1&amp;"C"&amp;$A11)),0)+IF($A$4&lt;$A11,($A$5-$A$4)*IF(RTD("tos.rtd",,"OPEN_INT","."&amp;E$2&amp;E$1&amp;"P"&amp;$A11)="N/A",0,RTD("tos.rtd",,"OPEN_INT","."&amp;E$2&amp;E$1&amp;"P"&amp;$A11)),0),IF($X$1="ABS",IF(RTD("tos.rtd",,$A$2,"."&amp;E$2&amp;E$1&amp;"C"&amp;$A11)="N/A",0,RTD("tos.rtd",,$A$2,"."&amp;E$2&amp;E$1&amp;"C"&amp;$A11))+IF(RTD("tos.rtd",,$A$2,"."&amp;E$2&amp;E$1&amp;"P"&amp;$A11)="N/A",0,RTD("tos.rtd",,$A$2,"."&amp;E$2&amp;E$1&amp;"P"&amp;$A11)),IF(RTD("tos.rtd",,$A$2,"."&amp;E$2&amp;E$1&amp;"C"&amp;$A11)="N/A",0,RTD("tos.rtd",,$A$2,"."&amp;E$2&amp;E$1&amp;"C"&amp;$A11))-IF(RTD("tos.rtd",,$A$2,"."&amp;E$2&amp;E$1&amp;"P"&amp;$A11)="N/A",0,RTD("tos.rtd",,$A$2,"."&amp;E$2&amp;E$1&amp;"P"&amp;$A11))))))))))</f>
        <v>0</v>
      </c>
      <c r="F11" s="12">
        <f ca="1">IF($A$2="PREMIUM_OI",IFERROR(IF($X$1="ABS",(100*RTD("tos.rtd",,"OPEN_INT","."&amp;F$2&amp;F$1&amp;"C"&amp;$A11)*RTD("tos.rtd",,"LAST","."&amp;F$2&amp;F$1&amp;"C"&amp;$A11)+100*RTD("tos.rtd",,"OPEN_INT","."&amp;F$2&amp;F$1&amp;"P"&amp;$A11)*RTD("tos.rtd",,"LAST","."&amp;F$2&amp;F$1&amp;"P"&amp;$A11))/1000000,(100*RTD("tos.rtd",,"OPEN_INT","."&amp;F$2&amp;F$1&amp;"C"&amp;$A11)*RTD("tos.rtd",,"LAST","."&amp;F$2&amp;F$1&amp;"C"&amp;$A11)-100*RTD("tos.rtd",,"OPEN_INT","."&amp;F$2&amp;F$1&amp;"P"&amp;$A11)*RTD("tos.rtd",,"LAST","."&amp;F$2&amp;F$1&amp;"P"&amp;$A11))/1000000),0),IF($A$2="PREMIUM",IFERROR(IF($X$1="ABS",(100*RTD("tos.rtd",,"VOLUME","."&amp;F$2&amp;F$1&amp;"C"&amp;$A11)*RTD("tos.rtd",,"LAST","."&amp;F$2&amp;F$1&amp;"C"&amp;$A11)+100*RTD("tos.rtd",,"VOLUME","."&amp;F$2&amp;F$1&amp;"P"&amp;$A11)*RTD("tos.rtd",,"LAST","."&amp;F$2&amp;F$1&amp;"P"&amp;$A11))/1000000,(100*RTD("tos.rtd",,"VOLUME","."&amp;F$2&amp;F$1&amp;"C"&amp;$A11)*RTD("tos.rtd",,"LAST","."&amp;F$2&amp;F$1&amp;"C"&amp;$A11)-100*RTD("tos.rtd",,"VOLUME","."&amp;F$2&amp;F$1&amp;"P"&amp;$A11)*RTD("tos.rtd",,"LAST","."&amp;F$2&amp;F$1&amp;"P"&amp;$A11))/1000000),0),IF($A$2="DEX",IFERROR(IF($X$1="ABS",(100*RTD("tos.rtd",,"OPEN_INT","."&amp;F$2&amp;F$1&amp;"C"&amp;$A11)*RTD("tos.rtd",,"DELTA","."&amp;F$2&amp;F$1&amp;"C"&amp;$A11)+100*RTD("tos.rtd",,"OPEN_INT","."&amp;F$2&amp;F$1&amp;"P"&amp;$A11)*RTD("tos.rtd",,"DELTA","."&amp;F$2&amp;F$1&amp;"P"&amp;$A11))/1000,(100*RTD("tos.rtd",,"OPEN_INT","."&amp;F$2&amp;F$1&amp;"C"&amp;$A11)*RTD("tos.rtd",,"DELTA","."&amp;F$2&amp;F$1&amp;"C"&amp;$A11)-100*RTD("tos.rtd",,"OPEN_INT","."&amp;F$2&amp;F$1&amp;"P"&amp;$A11)*RTD("tos.rtd",,"DELTA","."&amp;F$2&amp;F$1&amp;"P"&amp;$A11))/1000),0),IF($A$2="VEX",IFERROR(IF($X$1="ABS",($A$4*$A$4*RTD("tos.rtd",,"VOLUME","."&amp;F$2&amp;F$1&amp;"C"&amp;$A11)*RTD("tos.rtd",,"GAMMA","."&amp;F$2&amp;F$1&amp;"C"&amp;$A11)+$A$4*$A$4*RTD("tos.rtd",,"VOLUME","."&amp;F$2&amp;F$1&amp;"P"&amp;$A11)*RTD("tos.rtd",,"GAMMA","."&amp;F$2&amp;F$1&amp;"P"&amp;$A11))/1000000,($A$4*$A$4*RTD("tos.rtd",,"VOLUME","."&amp;F$2&amp;F$1&amp;"C"&amp;$A11)*RTD("tos.rtd",,"GAMMA","."&amp;F$2&amp;F$1&amp;"C"&amp;$A11)-$A$4*$A$4*RTD("tos.rtd",,"VOLUME","."&amp;F$2&amp;F$1&amp;"P"&amp;$A11)*RTD("tos.rtd",,"GAMMA","."&amp;F$2&amp;F$1&amp;"P"&amp;$A11))/1000000),0),IF($A$2="GEX",IFERROR(IF($X$1="ABS",($A$4*$A$4*RTD("tos.rtd",,"OPEN_INT","."&amp;F$2&amp;F$1&amp;"C"&amp;$A11)*RTD("tos.rtd",,"GAMMA","."&amp;F$2&amp;F$1&amp;"C"&amp;$A11)+$A$4*$A$4*RTD("tos.rtd",,"OPEN_INT","."&amp;F$2&amp;F$1&amp;"P"&amp;$A11)*RTD("tos.rtd",,"GAMMA","."&amp;F$2&amp;F$1&amp;"P"&amp;$A11))/1000000,($A$4*$A$4*RTD("tos.rtd",,"OPEN_INT","."&amp;F$2&amp;F$1&amp;"C"&amp;$A11)*RTD("tos.rtd",,"GAMMA","."&amp;F$2&amp;F$1&amp;"C"&amp;$A11)-$A$4*$A$4*RTD("tos.rtd",,"OPEN_INT","."&amp;F$2&amp;F$1&amp;"P"&amp;$A11)*RTD("tos.rtd",,"GAMMA","."&amp;F$2&amp;F$1&amp;"P"&amp;$A11))/1000000),0),IF($A$2="SKEW",IFERROR(VALUE(IF(RTD("tos.rtd",,"IMPL_VOL","."&amp;F$2&amp;F$1&amp;"P"&amp;$A11)="N/A",0,RTD("tos.rtd",,"IMPL_VOL","."&amp;F$2&amp;F$1&amp;"P"&amp;$A11))),0)-IFERROR(VALUE(IF(RTD("tos.rtd",,"IMPL_VOL","."&amp;F$2&amp;F$1&amp;"C"&amp;$A11)="N/A",0,RTD("tos.rtd",,"IMPL_VOL","."&amp;F$2&amp;F$1&amp;"C"&amp;$A11))),0),IF($A$2="MAXPAIN",IF($A$4&gt;$A11,($A$4-$A11)*IF(RTD("tos.rtd",,"OPEN_INT","."&amp;F$2&amp;F$1&amp;"C"&amp;$A11)="N/A",0,RTD("tos.rtd",,"OPEN_INT","."&amp;F$2&amp;F$1&amp;"C"&amp;$A11)),0)+IF($A$4&lt;$A11,($A$5-$A$4)*IF(RTD("tos.rtd",,"OPEN_INT","."&amp;F$2&amp;F$1&amp;"P"&amp;$A11)="N/A",0,RTD("tos.rtd",,"OPEN_INT","."&amp;F$2&amp;F$1&amp;"P"&amp;$A11)),0),IF($X$1="ABS",IF(RTD("tos.rtd",,$A$2,"."&amp;F$2&amp;F$1&amp;"C"&amp;$A11)="N/A",0,RTD("tos.rtd",,$A$2,"."&amp;F$2&amp;F$1&amp;"C"&amp;$A11))+IF(RTD("tos.rtd",,$A$2,"."&amp;F$2&amp;F$1&amp;"P"&amp;$A11)="N/A",0,RTD("tos.rtd",,$A$2,"."&amp;F$2&amp;F$1&amp;"P"&amp;$A11)),IF(RTD("tos.rtd",,$A$2,"."&amp;F$2&amp;F$1&amp;"C"&amp;$A11)="N/A",0,RTD("tos.rtd",,$A$2,"."&amp;F$2&amp;F$1&amp;"C"&amp;$A11))-IF(RTD("tos.rtd",,$A$2,"."&amp;F$2&amp;F$1&amp;"P"&amp;$A11)="N/A",0,RTD("tos.rtd",,$A$2,"."&amp;F$2&amp;F$1&amp;"P"&amp;$A11))))))))))</f>
        <v>0</v>
      </c>
      <c r="G11" s="57">
        <f ca="1">IF($A$2="PREMIUM_OI",IFERROR(IF($X$1="ABS",(100*RTD("tos.rtd",,"OPEN_INT","."&amp;G$2&amp;G$1&amp;"C"&amp;$A11)*RTD("tos.rtd",,"LAST","."&amp;G$2&amp;G$1&amp;"C"&amp;$A11)+100*RTD("tos.rtd",,"OPEN_INT","."&amp;G$2&amp;G$1&amp;"P"&amp;$A11)*RTD("tos.rtd",,"LAST","."&amp;G$2&amp;G$1&amp;"P"&amp;$A11))/1000000,(100*RTD("tos.rtd",,"OPEN_INT","."&amp;G$2&amp;G$1&amp;"C"&amp;$A11)*RTD("tos.rtd",,"LAST","."&amp;G$2&amp;G$1&amp;"C"&amp;$A11)-100*RTD("tos.rtd",,"OPEN_INT","."&amp;G$2&amp;G$1&amp;"P"&amp;$A11)*RTD("tos.rtd",,"LAST","."&amp;G$2&amp;G$1&amp;"P"&amp;$A11))/1000000),0),IF($A$2="PREMIUM",IFERROR(IF($X$1="ABS",(100*RTD("tos.rtd",,"VOLUME","."&amp;G$2&amp;G$1&amp;"C"&amp;$A11)*RTD("tos.rtd",,"LAST","."&amp;G$2&amp;G$1&amp;"C"&amp;$A11)+100*RTD("tos.rtd",,"VOLUME","."&amp;G$2&amp;G$1&amp;"P"&amp;$A11)*RTD("tos.rtd",,"LAST","."&amp;G$2&amp;G$1&amp;"P"&amp;$A11))/1000000,(100*RTD("tos.rtd",,"VOLUME","."&amp;G$2&amp;G$1&amp;"C"&amp;$A11)*RTD("tos.rtd",,"LAST","."&amp;G$2&amp;G$1&amp;"C"&amp;$A11)-100*RTD("tos.rtd",,"VOLUME","."&amp;G$2&amp;G$1&amp;"P"&amp;$A11)*RTD("tos.rtd",,"LAST","."&amp;G$2&amp;G$1&amp;"P"&amp;$A11))/1000000),0),IF($A$2="DEX",IFERROR(IF($X$1="ABS",(100*RTD("tos.rtd",,"OPEN_INT","."&amp;G$2&amp;G$1&amp;"C"&amp;$A11)*RTD("tos.rtd",,"DELTA","."&amp;G$2&amp;G$1&amp;"C"&amp;$A11)+100*RTD("tos.rtd",,"OPEN_INT","."&amp;G$2&amp;G$1&amp;"P"&amp;$A11)*RTD("tos.rtd",,"DELTA","."&amp;G$2&amp;G$1&amp;"P"&amp;$A11))/1000,(100*RTD("tos.rtd",,"OPEN_INT","."&amp;G$2&amp;G$1&amp;"C"&amp;$A11)*RTD("tos.rtd",,"DELTA","."&amp;G$2&amp;G$1&amp;"C"&amp;$A11)-100*RTD("tos.rtd",,"OPEN_INT","."&amp;G$2&amp;G$1&amp;"P"&amp;$A11)*RTD("tos.rtd",,"DELTA","."&amp;G$2&amp;G$1&amp;"P"&amp;$A11))/1000),0),IF($A$2="VEX",IFERROR(IF($X$1="ABS",($A$4*$A$4*RTD("tos.rtd",,"VOLUME","."&amp;G$2&amp;G$1&amp;"C"&amp;$A11)*RTD("tos.rtd",,"GAMMA","."&amp;G$2&amp;G$1&amp;"C"&amp;$A11)+$A$4*$A$4*RTD("tos.rtd",,"VOLUME","."&amp;G$2&amp;G$1&amp;"P"&amp;$A11)*RTD("tos.rtd",,"GAMMA","."&amp;G$2&amp;G$1&amp;"P"&amp;$A11))/1000000,($A$4*$A$4*RTD("tos.rtd",,"VOLUME","."&amp;G$2&amp;G$1&amp;"C"&amp;$A11)*RTD("tos.rtd",,"GAMMA","."&amp;G$2&amp;G$1&amp;"C"&amp;$A11)-$A$4*$A$4*RTD("tos.rtd",,"VOLUME","."&amp;G$2&amp;G$1&amp;"P"&amp;$A11)*RTD("tos.rtd",,"GAMMA","."&amp;G$2&amp;G$1&amp;"P"&amp;$A11))/1000000),0),IF($A$2="GEX",IFERROR(IF($X$1="ABS",($A$4*$A$4*RTD("tos.rtd",,"OPEN_INT","."&amp;G$2&amp;G$1&amp;"C"&amp;$A11)*RTD("tos.rtd",,"GAMMA","."&amp;G$2&amp;G$1&amp;"C"&amp;$A11)+$A$4*$A$4*RTD("tos.rtd",,"OPEN_INT","."&amp;G$2&amp;G$1&amp;"P"&amp;$A11)*RTD("tos.rtd",,"GAMMA","."&amp;G$2&amp;G$1&amp;"P"&amp;$A11))/1000000,($A$4*$A$4*RTD("tos.rtd",,"OPEN_INT","."&amp;G$2&amp;G$1&amp;"C"&amp;$A11)*RTD("tos.rtd",,"GAMMA","."&amp;G$2&amp;G$1&amp;"C"&amp;$A11)-$A$4*$A$4*RTD("tos.rtd",,"OPEN_INT","."&amp;G$2&amp;G$1&amp;"P"&amp;$A11)*RTD("tos.rtd",,"GAMMA","."&amp;G$2&amp;G$1&amp;"P"&amp;$A11))/1000000),0),IF($A$2="SKEW",IFERROR(VALUE(IF(RTD("tos.rtd",,"IMPL_VOL","."&amp;G$2&amp;G$1&amp;"P"&amp;$A11)="N/A",0,RTD("tos.rtd",,"IMPL_VOL","."&amp;G$2&amp;G$1&amp;"P"&amp;$A11))),0)-IFERROR(VALUE(IF(RTD("tos.rtd",,"IMPL_VOL","."&amp;G$2&amp;G$1&amp;"C"&amp;$A11)="N/A",0,RTD("tos.rtd",,"IMPL_VOL","."&amp;G$2&amp;G$1&amp;"C"&amp;$A11))),0),IF($A$2="MAXPAIN",IF($A$4&gt;$A11,($A$4-$A11)*IF(RTD("tos.rtd",,"OPEN_INT","."&amp;G$2&amp;G$1&amp;"C"&amp;$A11)="N/A",0,RTD("tos.rtd",,"OPEN_INT","."&amp;G$2&amp;G$1&amp;"C"&amp;$A11)),0)+IF($A$4&lt;$A11,($A$5-$A$4)*IF(RTD("tos.rtd",,"OPEN_INT","."&amp;G$2&amp;G$1&amp;"P"&amp;$A11)="N/A",0,RTD("tos.rtd",,"OPEN_INT","."&amp;G$2&amp;G$1&amp;"P"&amp;$A11)),0),IF($X$1="ABS",IF(RTD("tos.rtd",,$A$2,"."&amp;G$2&amp;G$1&amp;"C"&amp;$A11)="N/A",0,RTD("tos.rtd",,$A$2,"."&amp;G$2&amp;G$1&amp;"C"&amp;$A11))+IF(RTD("tos.rtd",,$A$2,"."&amp;G$2&amp;G$1&amp;"P"&amp;$A11)="N/A",0,RTD("tos.rtd",,$A$2,"."&amp;G$2&amp;G$1&amp;"P"&amp;$A11)),IF(RTD("tos.rtd",,$A$2,"."&amp;G$2&amp;G$1&amp;"C"&amp;$A11)="N/A",0,RTD("tos.rtd",,$A$2,"."&amp;G$2&amp;G$1&amp;"C"&amp;$A11))-IF(RTD("tos.rtd",,$A$2,"."&amp;G$2&amp;G$1&amp;"P"&amp;$A11)="N/A",0,RTD("tos.rtd",,$A$2,"."&amp;G$2&amp;G$1&amp;"P"&amp;$A11))))))))))</f>
        <v>0</v>
      </c>
      <c r="H11" s="14">
        <f ca="1">IF($A$2="PREMIUM_OI",IFERROR(IF($X$1="ABS",(100*RTD("tos.rtd",,"OPEN_INT","."&amp;H$2&amp;H$1&amp;"C"&amp;$A11)*RTD("tos.rtd",,"LAST","."&amp;H$2&amp;H$1&amp;"C"&amp;$A11)+100*RTD("tos.rtd",,"OPEN_INT","."&amp;H$2&amp;H$1&amp;"P"&amp;$A11)*RTD("tos.rtd",,"LAST","."&amp;H$2&amp;H$1&amp;"P"&amp;$A11))/1000000,(100*RTD("tos.rtd",,"OPEN_INT","."&amp;H$2&amp;H$1&amp;"C"&amp;$A11)*RTD("tos.rtd",,"LAST","."&amp;H$2&amp;H$1&amp;"C"&amp;$A11)-100*RTD("tos.rtd",,"OPEN_INT","."&amp;H$2&amp;H$1&amp;"P"&amp;$A11)*RTD("tos.rtd",,"LAST","."&amp;H$2&amp;H$1&amp;"P"&amp;$A11))/1000000),0),IF($A$2="PREMIUM",IFERROR(IF($X$1="ABS",(100*RTD("tos.rtd",,"VOLUME","."&amp;H$2&amp;H$1&amp;"C"&amp;$A11)*RTD("tos.rtd",,"LAST","."&amp;H$2&amp;H$1&amp;"C"&amp;$A11)+100*RTD("tos.rtd",,"VOLUME","."&amp;H$2&amp;H$1&amp;"P"&amp;$A11)*RTD("tos.rtd",,"LAST","."&amp;H$2&amp;H$1&amp;"P"&amp;$A11))/1000000,(100*RTD("tos.rtd",,"VOLUME","."&amp;H$2&amp;H$1&amp;"C"&amp;$A11)*RTD("tos.rtd",,"LAST","."&amp;H$2&amp;H$1&amp;"C"&amp;$A11)-100*RTD("tos.rtd",,"VOLUME","."&amp;H$2&amp;H$1&amp;"P"&amp;$A11)*RTD("tos.rtd",,"LAST","."&amp;H$2&amp;H$1&amp;"P"&amp;$A11))/1000000),0),IF($A$2="DEX",IFERROR(IF($X$1="ABS",(100*RTD("tos.rtd",,"OPEN_INT","."&amp;H$2&amp;H$1&amp;"C"&amp;$A11)*RTD("tos.rtd",,"DELTA","."&amp;H$2&amp;H$1&amp;"C"&amp;$A11)+100*RTD("tos.rtd",,"OPEN_INT","."&amp;H$2&amp;H$1&amp;"P"&amp;$A11)*RTD("tos.rtd",,"DELTA","."&amp;H$2&amp;H$1&amp;"P"&amp;$A11))/1000,(100*RTD("tos.rtd",,"OPEN_INT","."&amp;H$2&amp;H$1&amp;"C"&amp;$A11)*RTD("tos.rtd",,"DELTA","."&amp;H$2&amp;H$1&amp;"C"&amp;$A11)-100*RTD("tos.rtd",,"OPEN_INT","."&amp;H$2&amp;H$1&amp;"P"&amp;$A11)*RTD("tos.rtd",,"DELTA","."&amp;H$2&amp;H$1&amp;"P"&amp;$A11))/1000),0),IF($A$2="VEX",IFERROR(IF($X$1="ABS",($A$4*$A$4*RTD("tos.rtd",,"VOLUME","."&amp;H$2&amp;H$1&amp;"C"&amp;$A11)*RTD("tos.rtd",,"GAMMA","."&amp;H$2&amp;H$1&amp;"C"&amp;$A11)+$A$4*$A$4*RTD("tos.rtd",,"VOLUME","."&amp;H$2&amp;H$1&amp;"P"&amp;$A11)*RTD("tos.rtd",,"GAMMA","."&amp;H$2&amp;H$1&amp;"P"&amp;$A11))/1000000,($A$4*$A$4*RTD("tos.rtd",,"VOLUME","."&amp;H$2&amp;H$1&amp;"C"&amp;$A11)*RTD("tos.rtd",,"GAMMA","."&amp;H$2&amp;H$1&amp;"C"&amp;$A11)-$A$4*$A$4*RTD("tos.rtd",,"VOLUME","."&amp;H$2&amp;H$1&amp;"P"&amp;$A11)*RTD("tos.rtd",,"GAMMA","."&amp;H$2&amp;H$1&amp;"P"&amp;$A11))/1000000),0),IF($A$2="GEX",IFERROR(IF($X$1="ABS",($A$4*$A$4*RTD("tos.rtd",,"OPEN_INT","."&amp;H$2&amp;H$1&amp;"C"&amp;$A11)*RTD("tos.rtd",,"GAMMA","."&amp;H$2&amp;H$1&amp;"C"&amp;$A11)+$A$4*$A$4*RTD("tos.rtd",,"OPEN_INT","."&amp;H$2&amp;H$1&amp;"P"&amp;$A11)*RTD("tos.rtd",,"GAMMA","."&amp;H$2&amp;H$1&amp;"P"&amp;$A11))/1000000,($A$4*$A$4*RTD("tos.rtd",,"OPEN_INT","."&amp;H$2&amp;H$1&amp;"C"&amp;$A11)*RTD("tos.rtd",,"GAMMA","."&amp;H$2&amp;H$1&amp;"C"&amp;$A11)-$A$4*$A$4*RTD("tos.rtd",,"OPEN_INT","."&amp;H$2&amp;H$1&amp;"P"&amp;$A11)*RTD("tos.rtd",,"GAMMA","."&amp;H$2&amp;H$1&amp;"P"&amp;$A11))/1000000),0),IF($A$2="SKEW",IFERROR(VALUE(IF(RTD("tos.rtd",,"IMPL_VOL","."&amp;H$2&amp;H$1&amp;"P"&amp;$A11)="N/A",0,RTD("tos.rtd",,"IMPL_VOL","."&amp;H$2&amp;H$1&amp;"P"&amp;$A11))),0)-IFERROR(VALUE(IF(RTD("tos.rtd",,"IMPL_VOL","."&amp;H$2&amp;H$1&amp;"C"&amp;$A11)="N/A",0,RTD("tos.rtd",,"IMPL_VOL","."&amp;H$2&amp;H$1&amp;"C"&amp;$A11))),0),IF($A$2="MAXPAIN",IF($A$4&gt;$A11,($A$4-$A11)*IF(RTD("tos.rtd",,"OPEN_INT","."&amp;H$2&amp;H$1&amp;"C"&amp;$A11)="N/A",0,RTD("tos.rtd",,"OPEN_INT","."&amp;H$2&amp;H$1&amp;"C"&amp;$A11)),0)+IF($A$4&lt;$A11,($A$5-$A$4)*IF(RTD("tos.rtd",,"OPEN_INT","."&amp;H$2&amp;H$1&amp;"P"&amp;$A11)="N/A",0,RTD("tos.rtd",,"OPEN_INT","."&amp;H$2&amp;H$1&amp;"P"&amp;$A11)),0),IF($X$1="ABS",IF(RTD("tos.rtd",,$A$2,"."&amp;H$2&amp;H$1&amp;"C"&amp;$A11)="N/A",0,RTD("tos.rtd",,$A$2,"."&amp;H$2&amp;H$1&amp;"C"&amp;$A11))+IF(RTD("tos.rtd",,$A$2,"."&amp;H$2&amp;H$1&amp;"P"&amp;$A11)="N/A",0,RTD("tos.rtd",,$A$2,"."&amp;H$2&amp;H$1&amp;"P"&amp;$A11)),IF(RTD("tos.rtd",,$A$2,"."&amp;H$2&amp;H$1&amp;"C"&amp;$A11)="N/A",0,RTD("tos.rtd",,$A$2,"."&amp;H$2&amp;H$1&amp;"C"&amp;$A11))-IF(RTD("tos.rtd",,$A$2,"."&amp;H$2&amp;H$1&amp;"P"&amp;$A11)="N/A",0,RTD("tos.rtd",,$A$2,"."&amp;H$2&amp;H$1&amp;"P"&amp;$A11))))))))))</f>
        <v>0</v>
      </c>
      <c r="I11" s="12">
        <f ca="1">IF($A$2="PREMIUM_OI",IFERROR(IF($X$1="ABS",(100*RTD("tos.rtd",,"OPEN_INT","."&amp;I$2&amp;I$1&amp;"C"&amp;$A11)*RTD("tos.rtd",,"LAST","."&amp;I$2&amp;I$1&amp;"C"&amp;$A11)+100*RTD("tos.rtd",,"OPEN_INT","."&amp;I$2&amp;I$1&amp;"P"&amp;$A11)*RTD("tos.rtd",,"LAST","."&amp;I$2&amp;I$1&amp;"P"&amp;$A11))/1000000,(100*RTD("tos.rtd",,"OPEN_INT","."&amp;I$2&amp;I$1&amp;"C"&amp;$A11)*RTD("tos.rtd",,"LAST","."&amp;I$2&amp;I$1&amp;"C"&amp;$A11)-100*RTD("tos.rtd",,"OPEN_INT","."&amp;I$2&amp;I$1&amp;"P"&amp;$A11)*RTD("tos.rtd",,"LAST","."&amp;I$2&amp;I$1&amp;"P"&amp;$A11))/1000000),0),IF($A$2="PREMIUM",IFERROR(IF($X$1="ABS",(100*RTD("tos.rtd",,"VOLUME","."&amp;I$2&amp;I$1&amp;"C"&amp;$A11)*RTD("tos.rtd",,"LAST","."&amp;I$2&amp;I$1&amp;"C"&amp;$A11)+100*RTD("tos.rtd",,"VOLUME","."&amp;I$2&amp;I$1&amp;"P"&amp;$A11)*RTD("tos.rtd",,"LAST","."&amp;I$2&amp;I$1&amp;"P"&amp;$A11))/1000000,(100*RTD("tos.rtd",,"VOLUME","."&amp;I$2&amp;I$1&amp;"C"&amp;$A11)*RTD("tos.rtd",,"LAST","."&amp;I$2&amp;I$1&amp;"C"&amp;$A11)-100*RTD("tos.rtd",,"VOLUME","."&amp;I$2&amp;I$1&amp;"P"&amp;$A11)*RTD("tos.rtd",,"LAST","."&amp;I$2&amp;I$1&amp;"P"&amp;$A11))/1000000),0),IF($A$2="DEX",IFERROR(IF($X$1="ABS",(100*RTD("tos.rtd",,"OPEN_INT","."&amp;I$2&amp;I$1&amp;"C"&amp;$A11)*RTD("tos.rtd",,"DELTA","."&amp;I$2&amp;I$1&amp;"C"&amp;$A11)+100*RTD("tos.rtd",,"OPEN_INT","."&amp;I$2&amp;I$1&amp;"P"&amp;$A11)*RTD("tos.rtd",,"DELTA","."&amp;I$2&amp;I$1&amp;"P"&amp;$A11))/1000,(100*RTD("tos.rtd",,"OPEN_INT","."&amp;I$2&amp;I$1&amp;"C"&amp;$A11)*RTD("tos.rtd",,"DELTA","."&amp;I$2&amp;I$1&amp;"C"&amp;$A11)-100*RTD("tos.rtd",,"OPEN_INT","."&amp;I$2&amp;I$1&amp;"P"&amp;$A11)*RTD("tos.rtd",,"DELTA","."&amp;I$2&amp;I$1&amp;"P"&amp;$A11))/1000),0),IF($A$2="VEX",IFERROR(IF($X$1="ABS",($A$4*$A$4*RTD("tos.rtd",,"VOLUME","."&amp;I$2&amp;I$1&amp;"C"&amp;$A11)*RTD("tos.rtd",,"GAMMA","."&amp;I$2&amp;I$1&amp;"C"&amp;$A11)+$A$4*$A$4*RTD("tos.rtd",,"VOLUME","."&amp;I$2&amp;I$1&amp;"P"&amp;$A11)*RTD("tos.rtd",,"GAMMA","."&amp;I$2&amp;I$1&amp;"P"&amp;$A11))/1000000,($A$4*$A$4*RTD("tos.rtd",,"VOLUME","."&amp;I$2&amp;I$1&amp;"C"&amp;$A11)*RTD("tos.rtd",,"GAMMA","."&amp;I$2&amp;I$1&amp;"C"&amp;$A11)-$A$4*$A$4*RTD("tos.rtd",,"VOLUME","."&amp;I$2&amp;I$1&amp;"P"&amp;$A11)*RTD("tos.rtd",,"GAMMA","."&amp;I$2&amp;I$1&amp;"P"&amp;$A11))/1000000),0),IF($A$2="GEX",IFERROR(IF($X$1="ABS",($A$4*$A$4*RTD("tos.rtd",,"OPEN_INT","."&amp;I$2&amp;I$1&amp;"C"&amp;$A11)*RTD("tos.rtd",,"GAMMA","."&amp;I$2&amp;I$1&amp;"C"&amp;$A11)+$A$4*$A$4*RTD("tos.rtd",,"OPEN_INT","."&amp;I$2&amp;I$1&amp;"P"&amp;$A11)*RTD("tos.rtd",,"GAMMA","."&amp;I$2&amp;I$1&amp;"P"&amp;$A11))/1000000,($A$4*$A$4*RTD("tos.rtd",,"OPEN_INT","."&amp;I$2&amp;I$1&amp;"C"&amp;$A11)*RTD("tos.rtd",,"GAMMA","."&amp;I$2&amp;I$1&amp;"C"&amp;$A11)-$A$4*$A$4*RTD("tos.rtd",,"OPEN_INT","."&amp;I$2&amp;I$1&amp;"P"&amp;$A11)*RTD("tos.rtd",,"GAMMA","."&amp;I$2&amp;I$1&amp;"P"&amp;$A11))/1000000),0),IF($A$2="SKEW",IFERROR(VALUE(IF(RTD("tos.rtd",,"IMPL_VOL","."&amp;I$2&amp;I$1&amp;"P"&amp;$A11)="N/A",0,RTD("tos.rtd",,"IMPL_VOL","."&amp;I$2&amp;I$1&amp;"P"&amp;$A11))),0)-IFERROR(VALUE(IF(RTD("tos.rtd",,"IMPL_VOL","."&amp;I$2&amp;I$1&amp;"C"&amp;$A11)="N/A",0,RTD("tos.rtd",,"IMPL_VOL","."&amp;I$2&amp;I$1&amp;"C"&amp;$A11))),0),IF($A$2="MAXPAIN",IF($A$4&gt;$A11,($A$4-$A11)*IF(RTD("tos.rtd",,"OPEN_INT","."&amp;I$2&amp;I$1&amp;"C"&amp;$A11)="N/A",0,RTD("tos.rtd",,"OPEN_INT","."&amp;I$2&amp;I$1&amp;"C"&amp;$A11)),0)+IF($A$4&lt;$A11,($A$5-$A$4)*IF(RTD("tos.rtd",,"OPEN_INT","."&amp;I$2&amp;I$1&amp;"P"&amp;$A11)="N/A",0,RTD("tos.rtd",,"OPEN_INT","."&amp;I$2&amp;I$1&amp;"P"&amp;$A11)),0),IF($X$1="ABS",IF(RTD("tos.rtd",,$A$2,"."&amp;I$2&amp;I$1&amp;"C"&amp;$A11)="N/A",0,RTD("tos.rtd",,$A$2,"."&amp;I$2&amp;I$1&amp;"C"&amp;$A11))+IF(RTD("tos.rtd",,$A$2,"."&amp;I$2&amp;I$1&amp;"P"&amp;$A11)="N/A",0,RTD("tos.rtd",,$A$2,"."&amp;I$2&amp;I$1&amp;"P"&amp;$A11)),IF(RTD("tos.rtd",,$A$2,"."&amp;I$2&amp;I$1&amp;"C"&amp;$A11)="N/A",0,RTD("tos.rtd",,$A$2,"."&amp;I$2&amp;I$1&amp;"C"&amp;$A11))-IF(RTD("tos.rtd",,$A$2,"."&amp;I$2&amp;I$1&amp;"P"&amp;$A11)="N/A",0,RTD("tos.rtd",,$A$2,"."&amp;I$2&amp;I$1&amp;"P"&amp;$A11))))))))))</f>
        <v>0</v>
      </c>
      <c r="J11" s="12">
        <f ca="1">IF($A$2="PREMIUM_OI",IFERROR(IF($X$1="ABS",(100*RTD("tos.rtd",,"OPEN_INT","."&amp;J$2&amp;J$1&amp;"C"&amp;$A11)*RTD("tos.rtd",,"LAST","."&amp;J$2&amp;J$1&amp;"C"&amp;$A11)+100*RTD("tos.rtd",,"OPEN_INT","."&amp;J$2&amp;J$1&amp;"P"&amp;$A11)*RTD("tos.rtd",,"LAST","."&amp;J$2&amp;J$1&amp;"P"&amp;$A11))/1000000,(100*RTD("tos.rtd",,"OPEN_INT","."&amp;J$2&amp;J$1&amp;"C"&amp;$A11)*RTD("tos.rtd",,"LAST","."&amp;J$2&amp;J$1&amp;"C"&amp;$A11)-100*RTD("tos.rtd",,"OPEN_INT","."&amp;J$2&amp;J$1&amp;"P"&amp;$A11)*RTD("tos.rtd",,"LAST","."&amp;J$2&amp;J$1&amp;"P"&amp;$A11))/1000000),0),IF($A$2="PREMIUM",IFERROR(IF($X$1="ABS",(100*RTD("tos.rtd",,"VOLUME","."&amp;J$2&amp;J$1&amp;"C"&amp;$A11)*RTD("tos.rtd",,"LAST","."&amp;J$2&amp;J$1&amp;"C"&amp;$A11)+100*RTD("tos.rtd",,"VOLUME","."&amp;J$2&amp;J$1&amp;"P"&amp;$A11)*RTD("tos.rtd",,"LAST","."&amp;J$2&amp;J$1&amp;"P"&amp;$A11))/1000000,(100*RTD("tos.rtd",,"VOLUME","."&amp;J$2&amp;J$1&amp;"C"&amp;$A11)*RTD("tos.rtd",,"LAST","."&amp;J$2&amp;J$1&amp;"C"&amp;$A11)-100*RTD("tos.rtd",,"VOLUME","."&amp;J$2&amp;J$1&amp;"P"&amp;$A11)*RTD("tos.rtd",,"LAST","."&amp;J$2&amp;J$1&amp;"P"&amp;$A11))/1000000),0),IF($A$2="DEX",IFERROR(IF($X$1="ABS",(100*RTD("tos.rtd",,"OPEN_INT","."&amp;J$2&amp;J$1&amp;"C"&amp;$A11)*RTD("tos.rtd",,"DELTA","."&amp;J$2&amp;J$1&amp;"C"&amp;$A11)+100*RTD("tos.rtd",,"OPEN_INT","."&amp;J$2&amp;J$1&amp;"P"&amp;$A11)*RTD("tos.rtd",,"DELTA","."&amp;J$2&amp;J$1&amp;"P"&amp;$A11))/1000,(100*RTD("tos.rtd",,"OPEN_INT","."&amp;J$2&amp;J$1&amp;"C"&amp;$A11)*RTD("tos.rtd",,"DELTA","."&amp;J$2&amp;J$1&amp;"C"&amp;$A11)-100*RTD("tos.rtd",,"OPEN_INT","."&amp;J$2&amp;J$1&amp;"P"&amp;$A11)*RTD("tos.rtd",,"DELTA","."&amp;J$2&amp;J$1&amp;"P"&amp;$A11))/1000),0),IF($A$2="VEX",IFERROR(IF($X$1="ABS",($A$4*$A$4*RTD("tos.rtd",,"VOLUME","."&amp;J$2&amp;J$1&amp;"C"&amp;$A11)*RTD("tos.rtd",,"GAMMA","."&amp;J$2&amp;J$1&amp;"C"&amp;$A11)+$A$4*$A$4*RTD("tos.rtd",,"VOLUME","."&amp;J$2&amp;J$1&amp;"P"&amp;$A11)*RTD("tos.rtd",,"GAMMA","."&amp;J$2&amp;J$1&amp;"P"&amp;$A11))/1000000,($A$4*$A$4*RTD("tos.rtd",,"VOLUME","."&amp;J$2&amp;J$1&amp;"C"&amp;$A11)*RTD("tos.rtd",,"GAMMA","."&amp;J$2&amp;J$1&amp;"C"&amp;$A11)-$A$4*$A$4*RTD("tos.rtd",,"VOLUME","."&amp;J$2&amp;J$1&amp;"P"&amp;$A11)*RTD("tos.rtd",,"GAMMA","."&amp;J$2&amp;J$1&amp;"P"&amp;$A11))/1000000),0),IF($A$2="GEX",IFERROR(IF($X$1="ABS",($A$4*$A$4*RTD("tos.rtd",,"OPEN_INT","."&amp;J$2&amp;J$1&amp;"C"&amp;$A11)*RTD("tos.rtd",,"GAMMA","."&amp;J$2&amp;J$1&amp;"C"&amp;$A11)+$A$4*$A$4*RTD("tos.rtd",,"OPEN_INT","."&amp;J$2&amp;J$1&amp;"P"&amp;$A11)*RTD("tos.rtd",,"GAMMA","."&amp;J$2&amp;J$1&amp;"P"&amp;$A11))/1000000,($A$4*$A$4*RTD("tos.rtd",,"OPEN_INT","."&amp;J$2&amp;J$1&amp;"C"&amp;$A11)*RTD("tos.rtd",,"GAMMA","."&amp;J$2&amp;J$1&amp;"C"&amp;$A11)-$A$4*$A$4*RTD("tos.rtd",,"OPEN_INT","."&amp;J$2&amp;J$1&amp;"P"&amp;$A11)*RTD("tos.rtd",,"GAMMA","."&amp;J$2&amp;J$1&amp;"P"&amp;$A11))/1000000),0),IF($A$2="SKEW",IFERROR(VALUE(IF(RTD("tos.rtd",,"IMPL_VOL","."&amp;J$2&amp;J$1&amp;"P"&amp;$A11)="N/A",0,RTD("tos.rtd",,"IMPL_VOL","."&amp;J$2&amp;J$1&amp;"P"&amp;$A11))),0)-IFERROR(VALUE(IF(RTD("tos.rtd",,"IMPL_VOL","."&amp;J$2&amp;J$1&amp;"C"&amp;$A11)="N/A",0,RTD("tos.rtd",,"IMPL_VOL","."&amp;J$2&amp;J$1&amp;"C"&amp;$A11))),0),IF($A$2="MAXPAIN",IF($A$4&gt;$A11,($A$4-$A11)*IF(RTD("tos.rtd",,"OPEN_INT","."&amp;J$2&amp;J$1&amp;"C"&amp;$A11)="N/A",0,RTD("tos.rtd",,"OPEN_INT","."&amp;J$2&amp;J$1&amp;"C"&amp;$A11)),0)+IF($A$4&lt;$A11,($A$5-$A$4)*IF(RTD("tos.rtd",,"OPEN_INT","."&amp;J$2&amp;J$1&amp;"P"&amp;$A11)="N/A",0,RTD("tos.rtd",,"OPEN_INT","."&amp;J$2&amp;J$1&amp;"P"&amp;$A11)),0),IF($X$1="ABS",IF(RTD("tos.rtd",,$A$2,"."&amp;J$2&amp;J$1&amp;"C"&amp;$A11)="N/A",0,RTD("tos.rtd",,$A$2,"."&amp;J$2&amp;J$1&amp;"C"&amp;$A11))+IF(RTD("tos.rtd",,$A$2,"."&amp;J$2&amp;J$1&amp;"P"&amp;$A11)="N/A",0,RTD("tos.rtd",,$A$2,"."&amp;J$2&amp;J$1&amp;"P"&amp;$A11)),IF(RTD("tos.rtd",,$A$2,"."&amp;J$2&amp;J$1&amp;"C"&amp;$A11)="N/A",0,RTD("tos.rtd",,$A$2,"."&amp;J$2&amp;J$1&amp;"C"&amp;$A11))-IF(RTD("tos.rtd",,$A$2,"."&amp;J$2&amp;J$1&amp;"P"&amp;$A11)="N/A",0,RTD("tos.rtd",,$A$2,"."&amp;J$2&amp;J$1&amp;"P"&amp;$A11))))))))))</f>
        <v>0</v>
      </c>
      <c r="K11" s="12">
        <f ca="1">IF($A$2="PREMIUM_OI",IFERROR(IF($X$1="ABS",(100*RTD("tos.rtd",,"OPEN_INT","."&amp;K$2&amp;K$1&amp;"C"&amp;$A11)*RTD("tos.rtd",,"LAST","."&amp;K$2&amp;K$1&amp;"C"&amp;$A11)+100*RTD("tos.rtd",,"OPEN_INT","."&amp;K$2&amp;K$1&amp;"P"&amp;$A11)*RTD("tos.rtd",,"LAST","."&amp;K$2&amp;K$1&amp;"P"&amp;$A11))/1000000,(100*RTD("tos.rtd",,"OPEN_INT","."&amp;K$2&amp;K$1&amp;"C"&amp;$A11)*RTD("tos.rtd",,"LAST","."&amp;K$2&amp;K$1&amp;"C"&amp;$A11)-100*RTD("tos.rtd",,"OPEN_INT","."&amp;K$2&amp;K$1&amp;"P"&amp;$A11)*RTD("tos.rtd",,"LAST","."&amp;K$2&amp;K$1&amp;"P"&amp;$A11))/1000000),0),IF($A$2="PREMIUM",IFERROR(IF($X$1="ABS",(100*RTD("tos.rtd",,"VOLUME","."&amp;K$2&amp;K$1&amp;"C"&amp;$A11)*RTD("tos.rtd",,"LAST","."&amp;K$2&amp;K$1&amp;"C"&amp;$A11)+100*RTD("tos.rtd",,"VOLUME","."&amp;K$2&amp;K$1&amp;"P"&amp;$A11)*RTD("tos.rtd",,"LAST","."&amp;K$2&amp;K$1&amp;"P"&amp;$A11))/1000000,(100*RTD("tos.rtd",,"VOLUME","."&amp;K$2&amp;K$1&amp;"C"&amp;$A11)*RTD("tos.rtd",,"LAST","."&amp;K$2&amp;K$1&amp;"C"&amp;$A11)-100*RTD("tos.rtd",,"VOLUME","."&amp;K$2&amp;K$1&amp;"P"&amp;$A11)*RTD("tos.rtd",,"LAST","."&amp;K$2&amp;K$1&amp;"P"&amp;$A11))/1000000),0),IF($A$2="DEX",IFERROR(IF($X$1="ABS",(100*RTD("tos.rtd",,"OPEN_INT","."&amp;K$2&amp;K$1&amp;"C"&amp;$A11)*RTD("tos.rtd",,"DELTA","."&amp;K$2&amp;K$1&amp;"C"&amp;$A11)+100*RTD("tos.rtd",,"OPEN_INT","."&amp;K$2&amp;K$1&amp;"P"&amp;$A11)*RTD("tos.rtd",,"DELTA","."&amp;K$2&amp;K$1&amp;"P"&amp;$A11))/1000,(100*RTD("tos.rtd",,"OPEN_INT","."&amp;K$2&amp;K$1&amp;"C"&amp;$A11)*RTD("tos.rtd",,"DELTA","."&amp;K$2&amp;K$1&amp;"C"&amp;$A11)-100*RTD("tos.rtd",,"OPEN_INT","."&amp;K$2&amp;K$1&amp;"P"&amp;$A11)*RTD("tos.rtd",,"DELTA","."&amp;K$2&amp;K$1&amp;"P"&amp;$A11))/1000),0),IF($A$2="VEX",IFERROR(IF($X$1="ABS",($A$4*$A$4*RTD("tos.rtd",,"VOLUME","."&amp;K$2&amp;K$1&amp;"C"&amp;$A11)*RTD("tos.rtd",,"GAMMA","."&amp;K$2&amp;K$1&amp;"C"&amp;$A11)+$A$4*$A$4*RTD("tos.rtd",,"VOLUME","."&amp;K$2&amp;K$1&amp;"P"&amp;$A11)*RTD("tos.rtd",,"GAMMA","."&amp;K$2&amp;K$1&amp;"P"&amp;$A11))/1000000,($A$4*$A$4*RTD("tos.rtd",,"VOLUME","."&amp;K$2&amp;K$1&amp;"C"&amp;$A11)*RTD("tos.rtd",,"GAMMA","."&amp;K$2&amp;K$1&amp;"C"&amp;$A11)-$A$4*$A$4*RTD("tos.rtd",,"VOLUME","."&amp;K$2&amp;K$1&amp;"P"&amp;$A11)*RTD("tos.rtd",,"GAMMA","."&amp;K$2&amp;K$1&amp;"P"&amp;$A11))/1000000),0),IF($A$2="GEX",IFERROR(IF($X$1="ABS",($A$4*$A$4*RTD("tos.rtd",,"OPEN_INT","."&amp;K$2&amp;K$1&amp;"C"&amp;$A11)*RTD("tos.rtd",,"GAMMA","."&amp;K$2&amp;K$1&amp;"C"&amp;$A11)+$A$4*$A$4*RTD("tos.rtd",,"OPEN_INT","."&amp;K$2&amp;K$1&amp;"P"&amp;$A11)*RTD("tos.rtd",,"GAMMA","."&amp;K$2&amp;K$1&amp;"P"&amp;$A11))/1000000,($A$4*$A$4*RTD("tos.rtd",,"OPEN_INT","."&amp;K$2&amp;K$1&amp;"C"&amp;$A11)*RTD("tos.rtd",,"GAMMA","."&amp;K$2&amp;K$1&amp;"C"&amp;$A11)-$A$4*$A$4*RTD("tos.rtd",,"OPEN_INT","."&amp;K$2&amp;K$1&amp;"P"&amp;$A11)*RTD("tos.rtd",,"GAMMA","."&amp;K$2&amp;K$1&amp;"P"&amp;$A11))/1000000),0),IF($A$2="SKEW",IFERROR(VALUE(IF(RTD("tos.rtd",,"IMPL_VOL","."&amp;K$2&amp;K$1&amp;"P"&amp;$A11)="N/A",0,RTD("tos.rtd",,"IMPL_VOL","."&amp;K$2&amp;K$1&amp;"P"&amp;$A11))),0)-IFERROR(VALUE(IF(RTD("tos.rtd",,"IMPL_VOL","."&amp;K$2&amp;K$1&amp;"C"&amp;$A11)="N/A",0,RTD("tos.rtd",,"IMPL_VOL","."&amp;K$2&amp;K$1&amp;"C"&amp;$A11))),0),IF($A$2="MAXPAIN",IF($A$4&gt;$A11,($A$4-$A11)*IF(RTD("tos.rtd",,"OPEN_INT","."&amp;K$2&amp;K$1&amp;"C"&amp;$A11)="N/A",0,RTD("tos.rtd",,"OPEN_INT","."&amp;K$2&amp;K$1&amp;"C"&amp;$A11)),0)+IF($A$4&lt;$A11,($A$5-$A$4)*IF(RTD("tos.rtd",,"OPEN_INT","."&amp;K$2&amp;K$1&amp;"P"&amp;$A11)="N/A",0,RTD("tos.rtd",,"OPEN_INT","."&amp;K$2&amp;K$1&amp;"P"&amp;$A11)),0),IF($X$1="ABS",IF(RTD("tos.rtd",,$A$2,"."&amp;K$2&amp;K$1&amp;"C"&amp;$A11)="N/A",0,RTD("tos.rtd",,$A$2,"."&amp;K$2&amp;K$1&amp;"C"&amp;$A11))+IF(RTD("tos.rtd",,$A$2,"."&amp;K$2&amp;K$1&amp;"P"&amp;$A11)="N/A",0,RTD("tos.rtd",,$A$2,"."&amp;K$2&amp;K$1&amp;"P"&amp;$A11)),IF(RTD("tos.rtd",,$A$2,"."&amp;K$2&amp;K$1&amp;"C"&amp;$A11)="N/A",0,RTD("tos.rtd",,$A$2,"."&amp;K$2&amp;K$1&amp;"C"&amp;$A11))-IF(RTD("tos.rtd",,$A$2,"."&amp;K$2&amp;K$1&amp;"P"&amp;$A11)="N/A",0,RTD("tos.rtd",,$A$2,"."&amp;K$2&amp;K$1&amp;"P"&amp;$A11))))))))))</f>
        <v>0</v>
      </c>
      <c r="L11" s="54">
        <f ca="1">IF($A$2="PREMIUM_OI",IFERROR(IF($X$1="ABS",(100*RTD("tos.rtd",,"OPEN_INT","."&amp;L$2&amp;L$1&amp;"C"&amp;$A11)*RTD("tos.rtd",,"LAST","."&amp;L$2&amp;L$1&amp;"C"&amp;$A11)+100*RTD("tos.rtd",,"OPEN_INT","."&amp;L$2&amp;L$1&amp;"P"&amp;$A11)*RTD("tos.rtd",,"LAST","."&amp;L$2&amp;L$1&amp;"P"&amp;$A11))/1000000,(100*RTD("tos.rtd",,"OPEN_INT","."&amp;L$2&amp;L$1&amp;"C"&amp;$A11)*RTD("tos.rtd",,"LAST","."&amp;L$2&amp;L$1&amp;"C"&amp;$A11)-100*RTD("tos.rtd",,"OPEN_INT","."&amp;L$2&amp;L$1&amp;"P"&amp;$A11)*RTD("tos.rtd",,"LAST","."&amp;L$2&amp;L$1&amp;"P"&amp;$A11))/1000000),0),IF($A$2="PREMIUM",IFERROR(IF($X$1="ABS",(100*RTD("tos.rtd",,"VOLUME","."&amp;L$2&amp;L$1&amp;"C"&amp;$A11)*RTD("tos.rtd",,"LAST","."&amp;L$2&amp;L$1&amp;"C"&amp;$A11)+100*RTD("tos.rtd",,"VOLUME","."&amp;L$2&amp;L$1&amp;"P"&amp;$A11)*RTD("tos.rtd",,"LAST","."&amp;L$2&amp;L$1&amp;"P"&amp;$A11))/1000000,(100*RTD("tos.rtd",,"VOLUME","."&amp;L$2&amp;L$1&amp;"C"&amp;$A11)*RTD("tos.rtd",,"LAST","."&amp;L$2&amp;L$1&amp;"C"&amp;$A11)-100*RTD("tos.rtd",,"VOLUME","."&amp;L$2&amp;L$1&amp;"P"&amp;$A11)*RTD("tos.rtd",,"LAST","."&amp;L$2&amp;L$1&amp;"P"&amp;$A11))/1000000),0),IF($A$2="DEX",IFERROR(IF($X$1="ABS",(100*RTD("tos.rtd",,"OPEN_INT","."&amp;L$2&amp;L$1&amp;"C"&amp;$A11)*RTD("tos.rtd",,"DELTA","."&amp;L$2&amp;L$1&amp;"C"&amp;$A11)+100*RTD("tos.rtd",,"OPEN_INT","."&amp;L$2&amp;L$1&amp;"P"&amp;$A11)*RTD("tos.rtd",,"DELTA","."&amp;L$2&amp;L$1&amp;"P"&amp;$A11))/1000,(100*RTD("tos.rtd",,"OPEN_INT","."&amp;L$2&amp;L$1&amp;"C"&amp;$A11)*RTD("tos.rtd",,"DELTA","."&amp;L$2&amp;L$1&amp;"C"&amp;$A11)-100*RTD("tos.rtd",,"OPEN_INT","."&amp;L$2&amp;L$1&amp;"P"&amp;$A11)*RTD("tos.rtd",,"DELTA","."&amp;L$2&amp;L$1&amp;"P"&amp;$A11))/1000),0),IF($A$2="VEX",IFERROR(IF($X$1="ABS",($A$4*$A$4*RTD("tos.rtd",,"VOLUME","."&amp;L$2&amp;L$1&amp;"C"&amp;$A11)*RTD("tos.rtd",,"GAMMA","."&amp;L$2&amp;L$1&amp;"C"&amp;$A11)+$A$4*$A$4*RTD("tos.rtd",,"VOLUME","."&amp;L$2&amp;L$1&amp;"P"&amp;$A11)*RTD("tos.rtd",,"GAMMA","."&amp;L$2&amp;L$1&amp;"P"&amp;$A11))/1000000,($A$4*$A$4*RTD("tos.rtd",,"VOLUME","."&amp;L$2&amp;L$1&amp;"C"&amp;$A11)*RTD("tos.rtd",,"GAMMA","."&amp;L$2&amp;L$1&amp;"C"&amp;$A11)-$A$4*$A$4*RTD("tos.rtd",,"VOLUME","."&amp;L$2&amp;L$1&amp;"P"&amp;$A11)*RTD("tos.rtd",,"GAMMA","."&amp;L$2&amp;L$1&amp;"P"&amp;$A11))/1000000),0),IF($A$2="GEX",IFERROR(IF($X$1="ABS",($A$4*$A$4*RTD("tos.rtd",,"OPEN_INT","."&amp;L$2&amp;L$1&amp;"C"&amp;$A11)*RTD("tos.rtd",,"GAMMA","."&amp;L$2&amp;L$1&amp;"C"&amp;$A11)+$A$4*$A$4*RTD("tos.rtd",,"OPEN_INT","."&amp;L$2&amp;L$1&amp;"P"&amp;$A11)*RTD("tos.rtd",,"GAMMA","."&amp;L$2&amp;L$1&amp;"P"&amp;$A11))/1000000,($A$4*$A$4*RTD("tos.rtd",,"OPEN_INT","."&amp;L$2&amp;L$1&amp;"C"&amp;$A11)*RTD("tos.rtd",,"GAMMA","."&amp;L$2&amp;L$1&amp;"C"&amp;$A11)-$A$4*$A$4*RTD("tos.rtd",,"OPEN_INT","."&amp;L$2&amp;L$1&amp;"P"&amp;$A11)*RTD("tos.rtd",,"GAMMA","."&amp;L$2&amp;L$1&amp;"P"&amp;$A11))/1000000),0),IF($A$2="SKEW",IFERROR(VALUE(IF(RTD("tos.rtd",,"IMPL_VOL","."&amp;L$2&amp;L$1&amp;"P"&amp;$A11)="N/A",0,RTD("tos.rtd",,"IMPL_VOL","."&amp;L$2&amp;L$1&amp;"P"&amp;$A11))),0)-IFERROR(VALUE(IF(RTD("tos.rtd",,"IMPL_VOL","."&amp;L$2&amp;L$1&amp;"C"&amp;$A11)="N/A",0,RTD("tos.rtd",,"IMPL_VOL","."&amp;L$2&amp;L$1&amp;"C"&amp;$A11))),0),IF($A$2="MAXPAIN",IF($A$4&gt;$A11,($A$4-$A11)*IF(RTD("tos.rtd",,"OPEN_INT","."&amp;L$2&amp;L$1&amp;"C"&amp;$A11)="N/A",0,RTD("tos.rtd",,"OPEN_INT","."&amp;L$2&amp;L$1&amp;"C"&amp;$A11)),0)+IF($A$4&lt;$A11,($A$5-$A$4)*IF(RTD("tos.rtd",,"OPEN_INT","."&amp;L$2&amp;L$1&amp;"P"&amp;$A11)="N/A",0,RTD("tos.rtd",,"OPEN_INT","."&amp;L$2&amp;L$1&amp;"P"&amp;$A11)),0),IF($X$1="ABS",IF(RTD("tos.rtd",,$A$2,"."&amp;L$2&amp;L$1&amp;"C"&amp;$A11)="N/A",0,RTD("tos.rtd",,$A$2,"."&amp;L$2&amp;L$1&amp;"C"&amp;$A11))+IF(RTD("tos.rtd",,$A$2,"."&amp;L$2&amp;L$1&amp;"P"&amp;$A11)="N/A",0,RTD("tos.rtd",,$A$2,"."&amp;L$2&amp;L$1&amp;"P"&amp;$A11)),IF(RTD("tos.rtd",,$A$2,"."&amp;L$2&amp;L$1&amp;"C"&amp;$A11)="N/A",0,RTD("tos.rtd",,$A$2,"."&amp;L$2&amp;L$1&amp;"C"&amp;$A11))-IF(RTD("tos.rtd",,$A$2,"."&amp;L$2&amp;L$1&amp;"P"&amp;$A11)="N/A",0,RTD("tos.rtd",,$A$2,"."&amp;L$2&amp;L$1&amp;"P"&amp;$A11))))))))))</f>
        <v>0</v>
      </c>
      <c r="M11" s="12">
        <f ca="1">IF($A$2="PREMIUM_OI",IFERROR(IF($X$1="ABS",(100*RTD("tos.rtd",,"OPEN_INT","."&amp;M$2&amp;M$1&amp;"C"&amp;$A11)*RTD("tos.rtd",,"LAST","."&amp;M$2&amp;M$1&amp;"C"&amp;$A11)+100*RTD("tos.rtd",,"OPEN_INT","."&amp;M$2&amp;M$1&amp;"P"&amp;$A11)*RTD("tos.rtd",,"LAST","."&amp;M$2&amp;M$1&amp;"P"&amp;$A11))/1000000,(100*RTD("tos.rtd",,"OPEN_INT","."&amp;M$2&amp;M$1&amp;"C"&amp;$A11)*RTD("tos.rtd",,"LAST","."&amp;M$2&amp;M$1&amp;"C"&amp;$A11)-100*RTD("tos.rtd",,"OPEN_INT","."&amp;M$2&amp;M$1&amp;"P"&amp;$A11)*RTD("tos.rtd",,"LAST","."&amp;M$2&amp;M$1&amp;"P"&amp;$A11))/1000000),0),IF($A$2="PREMIUM",IFERROR(IF($X$1="ABS",(100*RTD("tos.rtd",,"VOLUME","."&amp;M$2&amp;M$1&amp;"C"&amp;$A11)*RTD("tos.rtd",,"LAST","."&amp;M$2&amp;M$1&amp;"C"&amp;$A11)+100*RTD("tos.rtd",,"VOLUME","."&amp;M$2&amp;M$1&amp;"P"&amp;$A11)*RTD("tos.rtd",,"LAST","."&amp;M$2&amp;M$1&amp;"P"&amp;$A11))/1000000,(100*RTD("tos.rtd",,"VOLUME","."&amp;M$2&amp;M$1&amp;"C"&amp;$A11)*RTD("tos.rtd",,"LAST","."&amp;M$2&amp;M$1&amp;"C"&amp;$A11)-100*RTD("tos.rtd",,"VOLUME","."&amp;M$2&amp;M$1&amp;"P"&amp;$A11)*RTD("tos.rtd",,"LAST","."&amp;M$2&amp;M$1&amp;"P"&amp;$A11))/1000000),0),IF($A$2="DEX",IFERROR(IF($X$1="ABS",(100*RTD("tos.rtd",,"OPEN_INT","."&amp;M$2&amp;M$1&amp;"C"&amp;$A11)*RTD("tos.rtd",,"DELTA","."&amp;M$2&amp;M$1&amp;"C"&amp;$A11)+100*RTD("tos.rtd",,"OPEN_INT","."&amp;M$2&amp;M$1&amp;"P"&amp;$A11)*RTD("tos.rtd",,"DELTA","."&amp;M$2&amp;M$1&amp;"P"&amp;$A11))/1000,(100*RTD("tos.rtd",,"OPEN_INT","."&amp;M$2&amp;M$1&amp;"C"&amp;$A11)*RTD("tos.rtd",,"DELTA","."&amp;M$2&amp;M$1&amp;"C"&amp;$A11)-100*RTD("tos.rtd",,"OPEN_INT","."&amp;M$2&amp;M$1&amp;"P"&amp;$A11)*RTD("tos.rtd",,"DELTA","."&amp;M$2&amp;M$1&amp;"P"&amp;$A11))/1000),0),IF($A$2="VEX",IFERROR(IF($X$1="ABS",($A$4*$A$4*RTD("tos.rtd",,"VOLUME","."&amp;M$2&amp;M$1&amp;"C"&amp;$A11)*RTD("tos.rtd",,"GAMMA","."&amp;M$2&amp;M$1&amp;"C"&amp;$A11)+$A$4*$A$4*RTD("tos.rtd",,"VOLUME","."&amp;M$2&amp;M$1&amp;"P"&amp;$A11)*RTD("tos.rtd",,"GAMMA","."&amp;M$2&amp;M$1&amp;"P"&amp;$A11))/1000000,($A$4*$A$4*RTD("tos.rtd",,"VOLUME","."&amp;M$2&amp;M$1&amp;"C"&amp;$A11)*RTD("tos.rtd",,"GAMMA","."&amp;M$2&amp;M$1&amp;"C"&amp;$A11)-$A$4*$A$4*RTD("tos.rtd",,"VOLUME","."&amp;M$2&amp;M$1&amp;"P"&amp;$A11)*RTD("tos.rtd",,"GAMMA","."&amp;M$2&amp;M$1&amp;"P"&amp;$A11))/1000000),0),IF($A$2="GEX",IFERROR(IF($X$1="ABS",($A$4*$A$4*RTD("tos.rtd",,"OPEN_INT","."&amp;M$2&amp;M$1&amp;"C"&amp;$A11)*RTD("tos.rtd",,"GAMMA","."&amp;M$2&amp;M$1&amp;"C"&amp;$A11)+$A$4*$A$4*RTD("tos.rtd",,"OPEN_INT","."&amp;M$2&amp;M$1&amp;"P"&amp;$A11)*RTD("tos.rtd",,"GAMMA","."&amp;M$2&amp;M$1&amp;"P"&amp;$A11))/1000000,($A$4*$A$4*RTD("tos.rtd",,"OPEN_INT","."&amp;M$2&amp;M$1&amp;"C"&amp;$A11)*RTD("tos.rtd",,"GAMMA","."&amp;M$2&amp;M$1&amp;"C"&amp;$A11)-$A$4*$A$4*RTD("tos.rtd",,"OPEN_INT","."&amp;M$2&amp;M$1&amp;"P"&amp;$A11)*RTD("tos.rtd",,"GAMMA","."&amp;M$2&amp;M$1&amp;"P"&amp;$A11))/1000000),0),IF($A$2="SKEW",IFERROR(VALUE(IF(RTD("tos.rtd",,"IMPL_VOL","."&amp;M$2&amp;M$1&amp;"P"&amp;$A11)="N/A",0,RTD("tos.rtd",,"IMPL_VOL","."&amp;M$2&amp;M$1&amp;"P"&amp;$A11))),0)-IFERROR(VALUE(IF(RTD("tos.rtd",,"IMPL_VOL","."&amp;M$2&amp;M$1&amp;"C"&amp;$A11)="N/A",0,RTD("tos.rtd",,"IMPL_VOL","."&amp;M$2&amp;M$1&amp;"C"&amp;$A11))),0),IF($A$2="MAXPAIN",IF($A$4&gt;$A11,($A$4-$A11)*IF(RTD("tos.rtd",,"OPEN_INT","."&amp;M$2&amp;M$1&amp;"C"&amp;$A11)="N/A",0,RTD("tos.rtd",,"OPEN_INT","."&amp;M$2&amp;M$1&amp;"C"&amp;$A11)),0)+IF($A$4&lt;$A11,($A$5-$A$4)*IF(RTD("tos.rtd",,"OPEN_INT","."&amp;M$2&amp;M$1&amp;"P"&amp;$A11)="N/A",0,RTD("tos.rtd",,"OPEN_INT","."&amp;M$2&amp;M$1&amp;"P"&amp;$A11)),0),IF($X$1="ABS",IF(RTD("tos.rtd",,$A$2,"."&amp;M$2&amp;M$1&amp;"C"&amp;$A11)="N/A",0,RTD("tos.rtd",,$A$2,"."&amp;M$2&amp;M$1&amp;"C"&amp;$A11))+IF(RTD("tos.rtd",,$A$2,"."&amp;M$2&amp;M$1&amp;"P"&amp;$A11)="N/A",0,RTD("tos.rtd",,$A$2,"."&amp;M$2&amp;M$1&amp;"P"&amp;$A11)),IF(RTD("tos.rtd",,$A$2,"."&amp;M$2&amp;M$1&amp;"C"&amp;$A11)="N/A",0,RTD("tos.rtd",,$A$2,"."&amp;M$2&amp;M$1&amp;"C"&amp;$A11))-IF(RTD("tos.rtd",,$A$2,"."&amp;M$2&amp;M$1&amp;"P"&amp;$A11)="N/A",0,RTD("tos.rtd",,$A$2,"."&amp;M$2&amp;M$1&amp;"P"&amp;$A11))))))))))</f>
        <v>0</v>
      </c>
      <c r="N11" s="12">
        <f ca="1">IF($A$2="PREMIUM_OI",IFERROR(IF($X$1="ABS",(100*RTD("tos.rtd",,"OPEN_INT","."&amp;N$2&amp;N$1&amp;"C"&amp;$A11)*RTD("tos.rtd",,"LAST","."&amp;N$2&amp;N$1&amp;"C"&amp;$A11)+100*RTD("tos.rtd",,"OPEN_INT","."&amp;N$2&amp;N$1&amp;"P"&amp;$A11)*RTD("tos.rtd",,"LAST","."&amp;N$2&amp;N$1&amp;"P"&amp;$A11))/1000000,(100*RTD("tos.rtd",,"OPEN_INT","."&amp;N$2&amp;N$1&amp;"C"&amp;$A11)*RTD("tos.rtd",,"LAST","."&amp;N$2&amp;N$1&amp;"C"&amp;$A11)-100*RTD("tos.rtd",,"OPEN_INT","."&amp;N$2&amp;N$1&amp;"P"&amp;$A11)*RTD("tos.rtd",,"LAST","."&amp;N$2&amp;N$1&amp;"P"&amp;$A11))/1000000),0),IF($A$2="PREMIUM",IFERROR(IF($X$1="ABS",(100*RTD("tos.rtd",,"VOLUME","."&amp;N$2&amp;N$1&amp;"C"&amp;$A11)*RTD("tos.rtd",,"LAST","."&amp;N$2&amp;N$1&amp;"C"&amp;$A11)+100*RTD("tos.rtd",,"VOLUME","."&amp;N$2&amp;N$1&amp;"P"&amp;$A11)*RTD("tos.rtd",,"LAST","."&amp;N$2&amp;N$1&amp;"P"&amp;$A11))/1000000,(100*RTD("tos.rtd",,"VOLUME","."&amp;N$2&amp;N$1&amp;"C"&amp;$A11)*RTD("tos.rtd",,"LAST","."&amp;N$2&amp;N$1&amp;"C"&amp;$A11)-100*RTD("tos.rtd",,"VOLUME","."&amp;N$2&amp;N$1&amp;"P"&amp;$A11)*RTD("tos.rtd",,"LAST","."&amp;N$2&amp;N$1&amp;"P"&amp;$A11))/1000000),0),IF($A$2="DEX",IFERROR(IF($X$1="ABS",(100*RTD("tos.rtd",,"OPEN_INT","."&amp;N$2&amp;N$1&amp;"C"&amp;$A11)*RTD("tos.rtd",,"DELTA","."&amp;N$2&amp;N$1&amp;"C"&amp;$A11)+100*RTD("tos.rtd",,"OPEN_INT","."&amp;N$2&amp;N$1&amp;"P"&amp;$A11)*RTD("tos.rtd",,"DELTA","."&amp;N$2&amp;N$1&amp;"P"&amp;$A11))/1000,(100*RTD("tos.rtd",,"OPEN_INT","."&amp;N$2&amp;N$1&amp;"C"&amp;$A11)*RTD("tos.rtd",,"DELTA","."&amp;N$2&amp;N$1&amp;"C"&amp;$A11)-100*RTD("tos.rtd",,"OPEN_INT","."&amp;N$2&amp;N$1&amp;"P"&amp;$A11)*RTD("tos.rtd",,"DELTA","."&amp;N$2&amp;N$1&amp;"P"&amp;$A11))/1000),0),IF($A$2="VEX",IFERROR(IF($X$1="ABS",($A$4*$A$4*RTD("tos.rtd",,"VOLUME","."&amp;N$2&amp;N$1&amp;"C"&amp;$A11)*RTD("tos.rtd",,"GAMMA","."&amp;N$2&amp;N$1&amp;"C"&amp;$A11)+$A$4*$A$4*RTD("tos.rtd",,"VOLUME","."&amp;N$2&amp;N$1&amp;"P"&amp;$A11)*RTD("tos.rtd",,"GAMMA","."&amp;N$2&amp;N$1&amp;"P"&amp;$A11))/1000000,($A$4*$A$4*RTD("tos.rtd",,"VOLUME","."&amp;N$2&amp;N$1&amp;"C"&amp;$A11)*RTD("tos.rtd",,"GAMMA","."&amp;N$2&amp;N$1&amp;"C"&amp;$A11)-$A$4*$A$4*RTD("tos.rtd",,"VOLUME","."&amp;N$2&amp;N$1&amp;"P"&amp;$A11)*RTD("tos.rtd",,"GAMMA","."&amp;N$2&amp;N$1&amp;"P"&amp;$A11))/1000000),0),IF($A$2="GEX",IFERROR(IF($X$1="ABS",($A$4*$A$4*RTD("tos.rtd",,"OPEN_INT","."&amp;N$2&amp;N$1&amp;"C"&amp;$A11)*RTD("tos.rtd",,"GAMMA","."&amp;N$2&amp;N$1&amp;"C"&amp;$A11)+$A$4*$A$4*RTD("tos.rtd",,"OPEN_INT","."&amp;N$2&amp;N$1&amp;"P"&amp;$A11)*RTD("tos.rtd",,"GAMMA","."&amp;N$2&amp;N$1&amp;"P"&amp;$A11))/1000000,($A$4*$A$4*RTD("tos.rtd",,"OPEN_INT","."&amp;N$2&amp;N$1&amp;"C"&amp;$A11)*RTD("tos.rtd",,"GAMMA","."&amp;N$2&amp;N$1&amp;"C"&amp;$A11)-$A$4*$A$4*RTD("tos.rtd",,"OPEN_INT","."&amp;N$2&amp;N$1&amp;"P"&amp;$A11)*RTD("tos.rtd",,"GAMMA","."&amp;N$2&amp;N$1&amp;"P"&amp;$A11))/1000000),0),IF($A$2="SKEW",IFERROR(VALUE(IF(RTD("tos.rtd",,"IMPL_VOL","."&amp;N$2&amp;N$1&amp;"P"&amp;$A11)="N/A",0,RTD("tos.rtd",,"IMPL_VOL","."&amp;N$2&amp;N$1&amp;"P"&amp;$A11))),0)-IFERROR(VALUE(IF(RTD("tos.rtd",,"IMPL_VOL","."&amp;N$2&amp;N$1&amp;"C"&amp;$A11)="N/A",0,RTD("tos.rtd",,"IMPL_VOL","."&amp;N$2&amp;N$1&amp;"C"&amp;$A11))),0),IF($A$2="MAXPAIN",IF($A$4&gt;$A11,($A$4-$A11)*IF(RTD("tos.rtd",,"OPEN_INT","."&amp;N$2&amp;N$1&amp;"C"&amp;$A11)="N/A",0,RTD("tos.rtd",,"OPEN_INT","."&amp;N$2&amp;N$1&amp;"C"&amp;$A11)),0)+IF($A$4&lt;$A11,($A$5-$A$4)*IF(RTD("tos.rtd",,"OPEN_INT","."&amp;N$2&amp;N$1&amp;"P"&amp;$A11)="N/A",0,RTD("tos.rtd",,"OPEN_INT","."&amp;N$2&amp;N$1&amp;"P"&amp;$A11)),0),IF($X$1="ABS",IF(RTD("tos.rtd",,$A$2,"."&amp;N$2&amp;N$1&amp;"C"&amp;$A11)="N/A",0,RTD("tos.rtd",,$A$2,"."&amp;N$2&amp;N$1&amp;"C"&amp;$A11))+IF(RTD("tos.rtd",,$A$2,"."&amp;N$2&amp;N$1&amp;"P"&amp;$A11)="N/A",0,RTD("tos.rtd",,$A$2,"."&amp;N$2&amp;N$1&amp;"P"&amp;$A11)),IF(RTD("tos.rtd",,$A$2,"."&amp;N$2&amp;N$1&amp;"C"&amp;$A11)="N/A",0,RTD("tos.rtd",,$A$2,"."&amp;N$2&amp;N$1&amp;"C"&amp;$A11))-IF(RTD("tos.rtd",,$A$2,"."&amp;N$2&amp;N$1&amp;"P"&amp;$A11)="N/A",0,RTD("tos.rtd",,$A$2,"."&amp;N$2&amp;N$1&amp;"P"&amp;$A11))))))))))</f>
        <v>0</v>
      </c>
      <c r="O11" s="12">
        <f ca="1">IF($A$2="PREMIUM_OI",IFERROR(IF($X$1="ABS",(100*RTD("tos.rtd",,"OPEN_INT","."&amp;O$2&amp;O$1&amp;"C"&amp;$A11)*RTD("tos.rtd",,"LAST","."&amp;O$2&amp;O$1&amp;"C"&amp;$A11)+100*RTD("tos.rtd",,"OPEN_INT","."&amp;O$2&amp;O$1&amp;"P"&amp;$A11)*RTD("tos.rtd",,"LAST","."&amp;O$2&amp;O$1&amp;"P"&amp;$A11))/1000000,(100*RTD("tos.rtd",,"OPEN_INT","."&amp;O$2&amp;O$1&amp;"C"&amp;$A11)*RTD("tos.rtd",,"LAST","."&amp;O$2&amp;O$1&amp;"C"&amp;$A11)-100*RTD("tos.rtd",,"OPEN_INT","."&amp;O$2&amp;O$1&amp;"P"&amp;$A11)*RTD("tos.rtd",,"LAST","."&amp;O$2&amp;O$1&amp;"P"&amp;$A11))/1000000),0),IF($A$2="PREMIUM",IFERROR(IF($X$1="ABS",(100*RTD("tos.rtd",,"VOLUME","."&amp;O$2&amp;O$1&amp;"C"&amp;$A11)*RTD("tos.rtd",,"LAST","."&amp;O$2&amp;O$1&amp;"C"&amp;$A11)+100*RTD("tos.rtd",,"VOLUME","."&amp;O$2&amp;O$1&amp;"P"&amp;$A11)*RTD("tos.rtd",,"LAST","."&amp;O$2&amp;O$1&amp;"P"&amp;$A11))/1000000,(100*RTD("tos.rtd",,"VOLUME","."&amp;O$2&amp;O$1&amp;"C"&amp;$A11)*RTD("tos.rtd",,"LAST","."&amp;O$2&amp;O$1&amp;"C"&amp;$A11)-100*RTD("tos.rtd",,"VOLUME","."&amp;O$2&amp;O$1&amp;"P"&amp;$A11)*RTD("tos.rtd",,"LAST","."&amp;O$2&amp;O$1&amp;"P"&amp;$A11))/1000000),0),IF($A$2="DEX",IFERROR(IF($X$1="ABS",(100*RTD("tos.rtd",,"OPEN_INT","."&amp;O$2&amp;O$1&amp;"C"&amp;$A11)*RTD("tos.rtd",,"DELTA","."&amp;O$2&amp;O$1&amp;"C"&amp;$A11)+100*RTD("tos.rtd",,"OPEN_INT","."&amp;O$2&amp;O$1&amp;"P"&amp;$A11)*RTD("tos.rtd",,"DELTA","."&amp;O$2&amp;O$1&amp;"P"&amp;$A11))/1000,(100*RTD("tos.rtd",,"OPEN_INT","."&amp;O$2&amp;O$1&amp;"C"&amp;$A11)*RTD("tos.rtd",,"DELTA","."&amp;O$2&amp;O$1&amp;"C"&amp;$A11)-100*RTD("tos.rtd",,"OPEN_INT","."&amp;O$2&amp;O$1&amp;"P"&amp;$A11)*RTD("tos.rtd",,"DELTA","."&amp;O$2&amp;O$1&amp;"P"&amp;$A11))/1000),0),IF($A$2="VEX",IFERROR(IF($X$1="ABS",($A$4*$A$4*RTD("tos.rtd",,"VOLUME","."&amp;O$2&amp;O$1&amp;"C"&amp;$A11)*RTD("tos.rtd",,"GAMMA","."&amp;O$2&amp;O$1&amp;"C"&amp;$A11)+$A$4*$A$4*RTD("tos.rtd",,"VOLUME","."&amp;O$2&amp;O$1&amp;"P"&amp;$A11)*RTD("tos.rtd",,"GAMMA","."&amp;O$2&amp;O$1&amp;"P"&amp;$A11))/1000000,($A$4*$A$4*RTD("tos.rtd",,"VOLUME","."&amp;O$2&amp;O$1&amp;"C"&amp;$A11)*RTD("tos.rtd",,"GAMMA","."&amp;O$2&amp;O$1&amp;"C"&amp;$A11)-$A$4*$A$4*RTD("tos.rtd",,"VOLUME","."&amp;O$2&amp;O$1&amp;"P"&amp;$A11)*RTD("tos.rtd",,"GAMMA","."&amp;O$2&amp;O$1&amp;"P"&amp;$A11))/1000000),0),IF($A$2="GEX",IFERROR(IF($X$1="ABS",($A$4*$A$4*RTD("tos.rtd",,"OPEN_INT","."&amp;O$2&amp;O$1&amp;"C"&amp;$A11)*RTD("tos.rtd",,"GAMMA","."&amp;O$2&amp;O$1&amp;"C"&amp;$A11)+$A$4*$A$4*RTD("tos.rtd",,"OPEN_INT","."&amp;O$2&amp;O$1&amp;"P"&amp;$A11)*RTD("tos.rtd",,"GAMMA","."&amp;O$2&amp;O$1&amp;"P"&amp;$A11))/1000000,($A$4*$A$4*RTD("tos.rtd",,"OPEN_INT","."&amp;O$2&amp;O$1&amp;"C"&amp;$A11)*RTD("tos.rtd",,"GAMMA","."&amp;O$2&amp;O$1&amp;"C"&amp;$A11)-$A$4*$A$4*RTD("tos.rtd",,"OPEN_INT","."&amp;O$2&amp;O$1&amp;"P"&amp;$A11)*RTD("tos.rtd",,"GAMMA","."&amp;O$2&amp;O$1&amp;"P"&amp;$A11))/1000000),0),IF($A$2="SKEW",IFERROR(VALUE(IF(RTD("tos.rtd",,"IMPL_VOL","."&amp;O$2&amp;O$1&amp;"P"&amp;$A11)="N/A",0,RTD("tos.rtd",,"IMPL_VOL","."&amp;O$2&amp;O$1&amp;"P"&amp;$A11))),0)-IFERROR(VALUE(IF(RTD("tos.rtd",,"IMPL_VOL","."&amp;O$2&amp;O$1&amp;"C"&amp;$A11)="N/A",0,RTD("tos.rtd",,"IMPL_VOL","."&amp;O$2&amp;O$1&amp;"C"&amp;$A11))),0),IF($A$2="MAXPAIN",IF($A$4&gt;$A11,($A$4-$A11)*IF(RTD("tos.rtd",,"OPEN_INT","."&amp;O$2&amp;O$1&amp;"C"&amp;$A11)="N/A",0,RTD("tos.rtd",,"OPEN_INT","."&amp;O$2&amp;O$1&amp;"C"&amp;$A11)),0)+IF($A$4&lt;$A11,($A$5-$A$4)*IF(RTD("tos.rtd",,"OPEN_INT","."&amp;O$2&amp;O$1&amp;"P"&amp;$A11)="N/A",0,RTD("tos.rtd",,"OPEN_INT","."&amp;O$2&amp;O$1&amp;"P"&amp;$A11)),0),IF($X$1="ABS",IF(RTD("tos.rtd",,$A$2,"."&amp;O$2&amp;O$1&amp;"C"&amp;$A11)="N/A",0,RTD("tos.rtd",,$A$2,"."&amp;O$2&amp;O$1&amp;"C"&amp;$A11))+IF(RTD("tos.rtd",,$A$2,"."&amp;O$2&amp;O$1&amp;"P"&amp;$A11)="N/A",0,RTD("tos.rtd",,$A$2,"."&amp;O$2&amp;O$1&amp;"P"&amp;$A11)),IF(RTD("tos.rtd",,$A$2,"."&amp;O$2&amp;O$1&amp;"C"&amp;$A11)="N/A",0,RTD("tos.rtd",,$A$2,"."&amp;O$2&amp;O$1&amp;"C"&amp;$A11))-IF(RTD("tos.rtd",,$A$2,"."&amp;O$2&amp;O$1&amp;"P"&amp;$A11)="N/A",0,RTD("tos.rtd",,$A$2,"."&amp;O$2&amp;O$1&amp;"P"&amp;$A11))))))))))</f>
        <v>0</v>
      </c>
      <c r="P11" s="12">
        <f ca="1">IF($A$2="PREMIUM_OI",IFERROR(IF($X$1="ABS",(100*RTD("tos.rtd",,"OPEN_INT","."&amp;P$2&amp;P$1&amp;"C"&amp;$A11)*RTD("tos.rtd",,"LAST","."&amp;P$2&amp;P$1&amp;"C"&amp;$A11)+100*RTD("tos.rtd",,"OPEN_INT","."&amp;P$2&amp;P$1&amp;"P"&amp;$A11)*RTD("tos.rtd",,"LAST","."&amp;P$2&amp;P$1&amp;"P"&amp;$A11))/1000000,(100*RTD("tos.rtd",,"OPEN_INT","."&amp;P$2&amp;P$1&amp;"C"&amp;$A11)*RTD("tos.rtd",,"LAST","."&amp;P$2&amp;P$1&amp;"C"&amp;$A11)-100*RTD("tos.rtd",,"OPEN_INT","."&amp;P$2&amp;P$1&amp;"P"&amp;$A11)*RTD("tos.rtd",,"LAST","."&amp;P$2&amp;P$1&amp;"P"&amp;$A11))/1000000),0),IF($A$2="PREMIUM",IFERROR(IF($X$1="ABS",(100*RTD("tos.rtd",,"VOLUME","."&amp;P$2&amp;P$1&amp;"C"&amp;$A11)*RTD("tos.rtd",,"LAST","."&amp;P$2&amp;P$1&amp;"C"&amp;$A11)+100*RTD("tos.rtd",,"VOLUME","."&amp;P$2&amp;P$1&amp;"P"&amp;$A11)*RTD("tos.rtd",,"LAST","."&amp;P$2&amp;P$1&amp;"P"&amp;$A11))/1000000,(100*RTD("tos.rtd",,"VOLUME","."&amp;P$2&amp;P$1&amp;"C"&amp;$A11)*RTD("tos.rtd",,"LAST","."&amp;P$2&amp;P$1&amp;"C"&amp;$A11)-100*RTD("tos.rtd",,"VOLUME","."&amp;P$2&amp;P$1&amp;"P"&amp;$A11)*RTD("tos.rtd",,"LAST","."&amp;P$2&amp;P$1&amp;"P"&amp;$A11))/1000000),0),IF($A$2="DEX",IFERROR(IF($X$1="ABS",(100*RTD("tos.rtd",,"OPEN_INT","."&amp;P$2&amp;P$1&amp;"C"&amp;$A11)*RTD("tos.rtd",,"DELTA","."&amp;P$2&amp;P$1&amp;"C"&amp;$A11)+100*RTD("tos.rtd",,"OPEN_INT","."&amp;P$2&amp;P$1&amp;"P"&amp;$A11)*RTD("tos.rtd",,"DELTA","."&amp;P$2&amp;P$1&amp;"P"&amp;$A11))/1000,(100*RTD("tos.rtd",,"OPEN_INT","."&amp;P$2&amp;P$1&amp;"C"&amp;$A11)*RTD("tos.rtd",,"DELTA","."&amp;P$2&amp;P$1&amp;"C"&amp;$A11)-100*RTD("tos.rtd",,"OPEN_INT","."&amp;P$2&amp;P$1&amp;"P"&amp;$A11)*RTD("tos.rtd",,"DELTA","."&amp;P$2&amp;P$1&amp;"P"&amp;$A11))/1000),0),IF($A$2="VEX",IFERROR(IF($X$1="ABS",($A$4*$A$4*RTD("tos.rtd",,"VOLUME","."&amp;P$2&amp;P$1&amp;"C"&amp;$A11)*RTD("tos.rtd",,"GAMMA","."&amp;P$2&amp;P$1&amp;"C"&amp;$A11)+$A$4*$A$4*RTD("tos.rtd",,"VOLUME","."&amp;P$2&amp;P$1&amp;"P"&amp;$A11)*RTD("tos.rtd",,"GAMMA","."&amp;P$2&amp;P$1&amp;"P"&amp;$A11))/1000000,($A$4*$A$4*RTD("tos.rtd",,"VOLUME","."&amp;P$2&amp;P$1&amp;"C"&amp;$A11)*RTD("tos.rtd",,"GAMMA","."&amp;P$2&amp;P$1&amp;"C"&amp;$A11)-$A$4*$A$4*RTD("tos.rtd",,"VOLUME","."&amp;P$2&amp;P$1&amp;"P"&amp;$A11)*RTD("tos.rtd",,"GAMMA","."&amp;P$2&amp;P$1&amp;"P"&amp;$A11))/1000000),0),IF($A$2="GEX",IFERROR(IF($X$1="ABS",($A$4*$A$4*RTD("tos.rtd",,"OPEN_INT","."&amp;P$2&amp;P$1&amp;"C"&amp;$A11)*RTD("tos.rtd",,"GAMMA","."&amp;P$2&amp;P$1&amp;"C"&amp;$A11)+$A$4*$A$4*RTD("tos.rtd",,"OPEN_INT","."&amp;P$2&amp;P$1&amp;"P"&amp;$A11)*RTD("tos.rtd",,"GAMMA","."&amp;P$2&amp;P$1&amp;"P"&amp;$A11))/1000000,($A$4*$A$4*RTD("tos.rtd",,"OPEN_INT","."&amp;P$2&amp;P$1&amp;"C"&amp;$A11)*RTD("tos.rtd",,"GAMMA","."&amp;P$2&amp;P$1&amp;"C"&amp;$A11)-$A$4*$A$4*RTD("tos.rtd",,"OPEN_INT","."&amp;P$2&amp;P$1&amp;"P"&amp;$A11)*RTD("tos.rtd",,"GAMMA","."&amp;P$2&amp;P$1&amp;"P"&amp;$A11))/1000000),0),IF($A$2="SKEW",IFERROR(VALUE(IF(RTD("tos.rtd",,"IMPL_VOL","."&amp;P$2&amp;P$1&amp;"P"&amp;$A11)="N/A",0,RTD("tos.rtd",,"IMPL_VOL","."&amp;P$2&amp;P$1&amp;"P"&amp;$A11))),0)-IFERROR(VALUE(IF(RTD("tos.rtd",,"IMPL_VOL","."&amp;P$2&amp;P$1&amp;"C"&amp;$A11)="N/A",0,RTD("tos.rtd",,"IMPL_VOL","."&amp;P$2&amp;P$1&amp;"C"&amp;$A11))),0),IF($A$2="MAXPAIN",IF($A$4&gt;$A11,($A$4-$A11)*IF(RTD("tos.rtd",,"OPEN_INT","."&amp;P$2&amp;P$1&amp;"C"&amp;$A11)="N/A",0,RTD("tos.rtd",,"OPEN_INT","."&amp;P$2&amp;P$1&amp;"C"&amp;$A11)),0)+IF($A$4&lt;$A11,($A$5-$A$4)*IF(RTD("tos.rtd",,"OPEN_INT","."&amp;P$2&amp;P$1&amp;"P"&amp;$A11)="N/A",0,RTD("tos.rtd",,"OPEN_INT","."&amp;P$2&amp;P$1&amp;"P"&amp;$A11)),0),IF($X$1="ABS",IF(RTD("tos.rtd",,$A$2,"."&amp;P$2&amp;P$1&amp;"C"&amp;$A11)="N/A",0,RTD("tos.rtd",,$A$2,"."&amp;P$2&amp;P$1&amp;"C"&amp;$A11))+IF(RTD("tos.rtd",,$A$2,"."&amp;P$2&amp;P$1&amp;"P"&amp;$A11)="N/A",0,RTD("tos.rtd",,$A$2,"."&amp;P$2&amp;P$1&amp;"P"&amp;$A11)),IF(RTD("tos.rtd",,$A$2,"."&amp;P$2&amp;P$1&amp;"C"&amp;$A11)="N/A",0,RTD("tos.rtd",,$A$2,"."&amp;P$2&amp;P$1&amp;"C"&amp;$A11))-IF(RTD("tos.rtd",,$A$2,"."&amp;P$2&amp;P$1&amp;"P"&amp;$A11)="N/A",0,RTD("tos.rtd",,$A$2,"."&amp;P$2&amp;P$1&amp;"P"&amp;$A11))))))))))</f>
        <v>0</v>
      </c>
      <c r="Q11" s="12">
        <f ca="1">IF($A$2="PREMIUM_OI",IFERROR(IF($X$1="ABS",(100*RTD("tos.rtd",,"OPEN_INT","."&amp;Q$2&amp;Q$1&amp;"C"&amp;$A11)*RTD("tos.rtd",,"LAST","."&amp;Q$2&amp;Q$1&amp;"C"&amp;$A11)+100*RTD("tos.rtd",,"OPEN_INT","."&amp;Q$2&amp;Q$1&amp;"P"&amp;$A11)*RTD("tos.rtd",,"LAST","."&amp;Q$2&amp;Q$1&amp;"P"&amp;$A11))/1000000,(100*RTD("tos.rtd",,"OPEN_INT","."&amp;Q$2&amp;Q$1&amp;"C"&amp;$A11)*RTD("tos.rtd",,"LAST","."&amp;Q$2&amp;Q$1&amp;"C"&amp;$A11)-100*RTD("tos.rtd",,"OPEN_INT","."&amp;Q$2&amp;Q$1&amp;"P"&amp;$A11)*RTD("tos.rtd",,"LAST","."&amp;Q$2&amp;Q$1&amp;"P"&amp;$A11))/1000000),0),IF($A$2="PREMIUM",IFERROR(IF($X$1="ABS",(100*RTD("tos.rtd",,"VOLUME","."&amp;Q$2&amp;Q$1&amp;"C"&amp;$A11)*RTD("tos.rtd",,"LAST","."&amp;Q$2&amp;Q$1&amp;"C"&amp;$A11)+100*RTD("tos.rtd",,"VOLUME","."&amp;Q$2&amp;Q$1&amp;"P"&amp;$A11)*RTD("tos.rtd",,"LAST","."&amp;Q$2&amp;Q$1&amp;"P"&amp;$A11))/1000000,(100*RTD("tos.rtd",,"VOLUME","."&amp;Q$2&amp;Q$1&amp;"C"&amp;$A11)*RTD("tos.rtd",,"LAST","."&amp;Q$2&amp;Q$1&amp;"C"&amp;$A11)-100*RTD("tos.rtd",,"VOLUME","."&amp;Q$2&amp;Q$1&amp;"P"&amp;$A11)*RTD("tos.rtd",,"LAST","."&amp;Q$2&amp;Q$1&amp;"P"&amp;$A11))/1000000),0),IF($A$2="DEX",IFERROR(IF($X$1="ABS",(100*RTD("tos.rtd",,"OPEN_INT","."&amp;Q$2&amp;Q$1&amp;"C"&amp;$A11)*RTD("tos.rtd",,"DELTA","."&amp;Q$2&amp;Q$1&amp;"C"&amp;$A11)+100*RTD("tos.rtd",,"OPEN_INT","."&amp;Q$2&amp;Q$1&amp;"P"&amp;$A11)*RTD("tos.rtd",,"DELTA","."&amp;Q$2&amp;Q$1&amp;"P"&amp;$A11))/1000,(100*RTD("tos.rtd",,"OPEN_INT","."&amp;Q$2&amp;Q$1&amp;"C"&amp;$A11)*RTD("tos.rtd",,"DELTA","."&amp;Q$2&amp;Q$1&amp;"C"&amp;$A11)-100*RTD("tos.rtd",,"OPEN_INT","."&amp;Q$2&amp;Q$1&amp;"P"&amp;$A11)*RTD("tos.rtd",,"DELTA","."&amp;Q$2&amp;Q$1&amp;"P"&amp;$A11))/1000),0),IF($A$2="VEX",IFERROR(IF($X$1="ABS",($A$4*$A$4*RTD("tos.rtd",,"VOLUME","."&amp;Q$2&amp;Q$1&amp;"C"&amp;$A11)*RTD("tos.rtd",,"GAMMA","."&amp;Q$2&amp;Q$1&amp;"C"&amp;$A11)+$A$4*$A$4*RTD("tos.rtd",,"VOLUME","."&amp;Q$2&amp;Q$1&amp;"P"&amp;$A11)*RTD("tos.rtd",,"GAMMA","."&amp;Q$2&amp;Q$1&amp;"P"&amp;$A11))/1000000,($A$4*$A$4*RTD("tos.rtd",,"VOLUME","."&amp;Q$2&amp;Q$1&amp;"C"&amp;$A11)*RTD("tos.rtd",,"GAMMA","."&amp;Q$2&amp;Q$1&amp;"C"&amp;$A11)-$A$4*$A$4*RTD("tos.rtd",,"VOLUME","."&amp;Q$2&amp;Q$1&amp;"P"&amp;$A11)*RTD("tos.rtd",,"GAMMA","."&amp;Q$2&amp;Q$1&amp;"P"&amp;$A11))/1000000),0),IF($A$2="GEX",IFERROR(IF($X$1="ABS",($A$4*$A$4*RTD("tos.rtd",,"OPEN_INT","."&amp;Q$2&amp;Q$1&amp;"C"&amp;$A11)*RTD("tos.rtd",,"GAMMA","."&amp;Q$2&amp;Q$1&amp;"C"&amp;$A11)+$A$4*$A$4*RTD("tos.rtd",,"OPEN_INT","."&amp;Q$2&amp;Q$1&amp;"P"&amp;$A11)*RTD("tos.rtd",,"GAMMA","."&amp;Q$2&amp;Q$1&amp;"P"&amp;$A11))/1000000,($A$4*$A$4*RTD("tos.rtd",,"OPEN_INT","."&amp;Q$2&amp;Q$1&amp;"C"&amp;$A11)*RTD("tos.rtd",,"GAMMA","."&amp;Q$2&amp;Q$1&amp;"C"&amp;$A11)-$A$4*$A$4*RTD("tos.rtd",,"OPEN_INT","."&amp;Q$2&amp;Q$1&amp;"P"&amp;$A11)*RTD("tos.rtd",,"GAMMA","."&amp;Q$2&amp;Q$1&amp;"P"&amp;$A11))/1000000),0),IF($A$2="SKEW",IFERROR(VALUE(IF(RTD("tos.rtd",,"IMPL_VOL","."&amp;Q$2&amp;Q$1&amp;"P"&amp;$A11)="N/A",0,RTD("tos.rtd",,"IMPL_VOL","."&amp;Q$2&amp;Q$1&amp;"P"&amp;$A11))),0)-IFERROR(VALUE(IF(RTD("tos.rtd",,"IMPL_VOL","."&amp;Q$2&amp;Q$1&amp;"C"&amp;$A11)="N/A",0,RTD("tos.rtd",,"IMPL_VOL","."&amp;Q$2&amp;Q$1&amp;"C"&amp;$A11))),0),IF($A$2="MAXPAIN",IF($A$4&gt;$A11,($A$4-$A11)*IF(RTD("tos.rtd",,"OPEN_INT","."&amp;Q$2&amp;Q$1&amp;"C"&amp;$A11)="N/A",0,RTD("tos.rtd",,"OPEN_INT","."&amp;Q$2&amp;Q$1&amp;"C"&amp;$A11)),0)+IF($A$4&lt;$A11,($A$5-$A$4)*IF(RTD("tos.rtd",,"OPEN_INT","."&amp;Q$2&amp;Q$1&amp;"P"&amp;$A11)="N/A",0,RTD("tos.rtd",,"OPEN_INT","."&amp;Q$2&amp;Q$1&amp;"P"&amp;$A11)),0),IF($X$1="ABS",IF(RTD("tos.rtd",,$A$2,"."&amp;Q$2&amp;Q$1&amp;"C"&amp;$A11)="N/A",0,RTD("tos.rtd",,$A$2,"."&amp;Q$2&amp;Q$1&amp;"C"&amp;$A11))+IF(RTD("tos.rtd",,$A$2,"."&amp;Q$2&amp;Q$1&amp;"P"&amp;$A11)="N/A",0,RTD("tos.rtd",,$A$2,"."&amp;Q$2&amp;Q$1&amp;"P"&amp;$A11)),IF(RTD("tos.rtd",,$A$2,"."&amp;Q$2&amp;Q$1&amp;"C"&amp;$A11)="N/A",0,RTD("tos.rtd",,$A$2,"."&amp;Q$2&amp;Q$1&amp;"C"&amp;$A11))-IF(RTD("tos.rtd",,$A$2,"."&amp;Q$2&amp;Q$1&amp;"P"&amp;$A11)="N/A",0,RTD("tos.rtd",,$A$2,"."&amp;Q$2&amp;Q$1&amp;"P"&amp;$A11))))))))))</f>
        <v>0</v>
      </c>
      <c r="R11" s="12">
        <f ca="1">IF($A$2="PREMIUM_OI",IFERROR(IF($X$1="ABS",(100*RTD("tos.rtd",,"OPEN_INT","."&amp;R$2&amp;R$1&amp;"C"&amp;$A11)*RTD("tos.rtd",,"LAST","."&amp;R$2&amp;R$1&amp;"C"&amp;$A11)+100*RTD("tos.rtd",,"OPEN_INT","."&amp;R$2&amp;R$1&amp;"P"&amp;$A11)*RTD("tos.rtd",,"LAST","."&amp;R$2&amp;R$1&amp;"P"&amp;$A11))/1000000,(100*RTD("tos.rtd",,"OPEN_INT","."&amp;R$2&amp;R$1&amp;"C"&amp;$A11)*RTD("tos.rtd",,"LAST","."&amp;R$2&amp;R$1&amp;"C"&amp;$A11)-100*RTD("tos.rtd",,"OPEN_INT","."&amp;R$2&amp;R$1&amp;"P"&amp;$A11)*RTD("tos.rtd",,"LAST","."&amp;R$2&amp;R$1&amp;"P"&amp;$A11))/1000000),0),IF($A$2="PREMIUM",IFERROR(IF($X$1="ABS",(100*RTD("tos.rtd",,"VOLUME","."&amp;R$2&amp;R$1&amp;"C"&amp;$A11)*RTD("tos.rtd",,"LAST","."&amp;R$2&amp;R$1&amp;"C"&amp;$A11)+100*RTD("tos.rtd",,"VOLUME","."&amp;R$2&amp;R$1&amp;"P"&amp;$A11)*RTD("tos.rtd",,"LAST","."&amp;R$2&amp;R$1&amp;"P"&amp;$A11))/1000000,(100*RTD("tos.rtd",,"VOLUME","."&amp;R$2&amp;R$1&amp;"C"&amp;$A11)*RTD("tos.rtd",,"LAST","."&amp;R$2&amp;R$1&amp;"C"&amp;$A11)-100*RTD("tos.rtd",,"VOLUME","."&amp;R$2&amp;R$1&amp;"P"&amp;$A11)*RTD("tos.rtd",,"LAST","."&amp;R$2&amp;R$1&amp;"P"&amp;$A11))/1000000),0),IF($A$2="DEX",IFERROR(IF($X$1="ABS",(100*RTD("tos.rtd",,"OPEN_INT","."&amp;R$2&amp;R$1&amp;"C"&amp;$A11)*RTD("tos.rtd",,"DELTA","."&amp;R$2&amp;R$1&amp;"C"&amp;$A11)+100*RTD("tos.rtd",,"OPEN_INT","."&amp;R$2&amp;R$1&amp;"P"&amp;$A11)*RTD("tos.rtd",,"DELTA","."&amp;R$2&amp;R$1&amp;"P"&amp;$A11))/1000,(100*RTD("tos.rtd",,"OPEN_INT","."&amp;R$2&amp;R$1&amp;"C"&amp;$A11)*RTD("tos.rtd",,"DELTA","."&amp;R$2&amp;R$1&amp;"C"&amp;$A11)-100*RTD("tos.rtd",,"OPEN_INT","."&amp;R$2&amp;R$1&amp;"P"&amp;$A11)*RTD("tos.rtd",,"DELTA","."&amp;R$2&amp;R$1&amp;"P"&amp;$A11))/1000),0),IF($A$2="VEX",IFERROR(IF($X$1="ABS",($A$4*$A$4*RTD("tos.rtd",,"VOLUME","."&amp;R$2&amp;R$1&amp;"C"&amp;$A11)*RTD("tos.rtd",,"GAMMA","."&amp;R$2&amp;R$1&amp;"C"&amp;$A11)+$A$4*$A$4*RTD("tos.rtd",,"VOLUME","."&amp;R$2&amp;R$1&amp;"P"&amp;$A11)*RTD("tos.rtd",,"GAMMA","."&amp;R$2&amp;R$1&amp;"P"&amp;$A11))/1000000,($A$4*$A$4*RTD("tos.rtd",,"VOLUME","."&amp;R$2&amp;R$1&amp;"C"&amp;$A11)*RTD("tos.rtd",,"GAMMA","."&amp;R$2&amp;R$1&amp;"C"&amp;$A11)-$A$4*$A$4*RTD("tos.rtd",,"VOLUME","."&amp;R$2&amp;R$1&amp;"P"&amp;$A11)*RTD("tos.rtd",,"GAMMA","."&amp;R$2&amp;R$1&amp;"P"&amp;$A11))/1000000),0),IF($A$2="GEX",IFERROR(IF($X$1="ABS",($A$4*$A$4*RTD("tos.rtd",,"OPEN_INT","."&amp;R$2&amp;R$1&amp;"C"&amp;$A11)*RTD("tos.rtd",,"GAMMA","."&amp;R$2&amp;R$1&amp;"C"&amp;$A11)+$A$4*$A$4*RTD("tos.rtd",,"OPEN_INT","."&amp;R$2&amp;R$1&amp;"P"&amp;$A11)*RTD("tos.rtd",,"GAMMA","."&amp;R$2&amp;R$1&amp;"P"&amp;$A11))/1000000,($A$4*$A$4*RTD("tos.rtd",,"OPEN_INT","."&amp;R$2&amp;R$1&amp;"C"&amp;$A11)*RTD("tos.rtd",,"GAMMA","."&amp;R$2&amp;R$1&amp;"C"&amp;$A11)-$A$4*$A$4*RTD("tos.rtd",,"OPEN_INT","."&amp;R$2&amp;R$1&amp;"P"&amp;$A11)*RTD("tos.rtd",,"GAMMA","."&amp;R$2&amp;R$1&amp;"P"&amp;$A11))/1000000),0),IF($A$2="SKEW",IFERROR(VALUE(IF(RTD("tos.rtd",,"IMPL_VOL","."&amp;R$2&amp;R$1&amp;"P"&amp;$A11)="N/A",0,RTD("tos.rtd",,"IMPL_VOL","."&amp;R$2&amp;R$1&amp;"P"&amp;$A11))),0)-IFERROR(VALUE(IF(RTD("tos.rtd",,"IMPL_VOL","."&amp;R$2&amp;R$1&amp;"C"&amp;$A11)="N/A",0,RTD("tos.rtd",,"IMPL_VOL","."&amp;R$2&amp;R$1&amp;"C"&amp;$A11))),0),IF($A$2="MAXPAIN",IF($A$4&gt;$A11,($A$4-$A11)*IF(RTD("tos.rtd",,"OPEN_INT","."&amp;R$2&amp;R$1&amp;"C"&amp;$A11)="N/A",0,RTD("tos.rtd",,"OPEN_INT","."&amp;R$2&amp;R$1&amp;"C"&amp;$A11)),0)+IF($A$4&lt;$A11,($A$5-$A$4)*IF(RTD("tos.rtd",,"OPEN_INT","."&amp;R$2&amp;R$1&amp;"P"&amp;$A11)="N/A",0,RTD("tos.rtd",,"OPEN_INT","."&amp;R$2&amp;R$1&amp;"P"&amp;$A11)),0),IF($X$1="ABS",IF(RTD("tos.rtd",,$A$2,"."&amp;R$2&amp;R$1&amp;"C"&amp;$A11)="N/A",0,RTD("tos.rtd",,$A$2,"."&amp;R$2&amp;R$1&amp;"C"&amp;$A11))+IF(RTD("tos.rtd",,$A$2,"."&amp;R$2&amp;R$1&amp;"P"&amp;$A11)="N/A",0,RTD("tos.rtd",,$A$2,"."&amp;R$2&amp;R$1&amp;"P"&amp;$A11)),IF(RTD("tos.rtd",,$A$2,"."&amp;R$2&amp;R$1&amp;"C"&amp;$A11)="N/A",0,RTD("tos.rtd",,$A$2,"."&amp;R$2&amp;R$1&amp;"C"&amp;$A11))-IF(RTD("tos.rtd",,$A$2,"."&amp;R$2&amp;R$1&amp;"P"&amp;$A11)="N/A",0,RTD("tos.rtd",,$A$2,"."&amp;R$2&amp;R$1&amp;"P"&amp;$A11))))))))))</f>
        <v>0</v>
      </c>
      <c r="S11" s="12">
        <f ca="1">IF($A$2="PREMIUM_OI",IFERROR(IF($X$1="ABS",(100*RTD("tos.rtd",,"OPEN_INT","."&amp;S$2&amp;S$1&amp;"C"&amp;$A11)*RTD("tos.rtd",,"LAST","."&amp;S$2&amp;S$1&amp;"C"&amp;$A11)+100*RTD("tos.rtd",,"OPEN_INT","."&amp;S$2&amp;S$1&amp;"P"&amp;$A11)*RTD("tos.rtd",,"LAST","."&amp;S$2&amp;S$1&amp;"P"&amp;$A11))/1000000,(100*RTD("tos.rtd",,"OPEN_INT","."&amp;S$2&amp;S$1&amp;"C"&amp;$A11)*RTD("tos.rtd",,"LAST","."&amp;S$2&amp;S$1&amp;"C"&amp;$A11)-100*RTD("tos.rtd",,"OPEN_INT","."&amp;S$2&amp;S$1&amp;"P"&amp;$A11)*RTD("tos.rtd",,"LAST","."&amp;S$2&amp;S$1&amp;"P"&amp;$A11))/1000000),0),IF($A$2="PREMIUM",IFERROR(IF($X$1="ABS",(100*RTD("tos.rtd",,"VOLUME","."&amp;S$2&amp;S$1&amp;"C"&amp;$A11)*RTD("tos.rtd",,"LAST","."&amp;S$2&amp;S$1&amp;"C"&amp;$A11)+100*RTD("tos.rtd",,"VOLUME","."&amp;S$2&amp;S$1&amp;"P"&amp;$A11)*RTD("tos.rtd",,"LAST","."&amp;S$2&amp;S$1&amp;"P"&amp;$A11))/1000000,(100*RTD("tos.rtd",,"VOLUME","."&amp;S$2&amp;S$1&amp;"C"&amp;$A11)*RTD("tos.rtd",,"LAST","."&amp;S$2&amp;S$1&amp;"C"&amp;$A11)-100*RTD("tos.rtd",,"VOLUME","."&amp;S$2&amp;S$1&amp;"P"&amp;$A11)*RTD("tos.rtd",,"LAST","."&amp;S$2&amp;S$1&amp;"P"&amp;$A11))/1000000),0),IF($A$2="DEX",IFERROR(IF($X$1="ABS",(100*RTD("tos.rtd",,"OPEN_INT","."&amp;S$2&amp;S$1&amp;"C"&amp;$A11)*RTD("tos.rtd",,"DELTA","."&amp;S$2&amp;S$1&amp;"C"&amp;$A11)+100*RTD("tos.rtd",,"OPEN_INT","."&amp;S$2&amp;S$1&amp;"P"&amp;$A11)*RTD("tos.rtd",,"DELTA","."&amp;S$2&amp;S$1&amp;"P"&amp;$A11))/1000,(100*RTD("tos.rtd",,"OPEN_INT","."&amp;S$2&amp;S$1&amp;"C"&amp;$A11)*RTD("tos.rtd",,"DELTA","."&amp;S$2&amp;S$1&amp;"C"&amp;$A11)-100*RTD("tos.rtd",,"OPEN_INT","."&amp;S$2&amp;S$1&amp;"P"&amp;$A11)*RTD("tos.rtd",,"DELTA","."&amp;S$2&amp;S$1&amp;"P"&amp;$A11))/1000),0),IF($A$2="VEX",IFERROR(IF($X$1="ABS",($A$4*$A$4*RTD("tos.rtd",,"VOLUME","."&amp;S$2&amp;S$1&amp;"C"&amp;$A11)*RTD("tos.rtd",,"GAMMA","."&amp;S$2&amp;S$1&amp;"C"&amp;$A11)+$A$4*$A$4*RTD("tos.rtd",,"VOLUME","."&amp;S$2&amp;S$1&amp;"P"&amp;$A11)*RTD("tos.rtd",,"GAMMA","."&amp;S$2&amp;S$1&amp;"P"&amp;$A11))/1000000,($A$4*$A$4*RTD("tos.rtd",,"VOLUME","."&amp;S$2&amp;S$1&amp;"C"&amp;$A11)*RTD("tos.rtd",,"GAMMA","."&amp;S$2&amp;S$1&amp;"C"&amp;$A11)-$A$4*$A$4*RTD("tos.rtd",,"VOLUME","."&amp;S$2&amp;S$1&amp;"P"&amp;$A11)*RTD("tos.rtd",,"GAMMA","."&amp;S$2&amp;S$1&amp;"P"&amp;$A11))/1000000),0),IF($A$2="GEX",IFERROR(IF($X$1="ABS",($A$4*$A$4*RTD("tos.rtd",,"OPEN_INT","."&amp;S$2&amp;S$1&amp;"C"&amp;$A11)*RTD("tos.rtd",,"GAMMA","."&amp;S$2&amp;S$1&amp;"C"&amp;$A11)+$A$4*$A$4*RTD("tos.rtd",,"OPEN_INT","."&amp;S$2&amp;S$1&amp;"P"&amp;$A11)*RTD("tos.rtd",,"GAMMA","."&amp;S$2&amp;S$1&amp;"P"&amp;$A11))/1000000,($A$4*$A$4*RTD("tos.rtd",,"OPEN_INT","."&amp;S$2&amp;S$1&amp;"C"&amp;$A11)*RTD("tos.rtd",,"GAMMA","."&amp;S$2&amp;S$1&amp;"C"&amp;$A11)-$A$4*$A$4*RTD("tos.rtd",,"OPEN_INT","."&amp;S$2&amp;S$1&amp;"P"&amp;$A11)*RTD("tos.rtd",,"GAMMA","."&amp;S$2&amp;S$1&amp;"P"&amp;$A11))/1000000),0),IF($A$2="SKEW",IFERROR(VALUE(IF(RTD("tos.rtd",,"IMPL_VOL","."&amp;S$2&amp;S$1&amp;"P"&amp;$A11)="N/A",0,RTD("tos.rtd",,"IMPL_VOL","."&amp;S$2&amp;S$1&amp;"P"&amp;$A11))),0)-IFERROR(VALUE(IF(RTD("tos.rtd",,"IMPL_VOL","."&amp;S$2&amp;S$1&amp;"C"&amp;$A11)="N/A",0,RTD("tos.rtd",,"IMPL_VOL","."&amp;S$2&amp;S$1&amp;"C"&amp;$A11))),0),IF($A$2="MAXPAIN",IF($A$4&gt;$A11,($A$4-$A11)*IF(RTD("tos.rtd",,"OPEN_INT","."&amp;S$2&amp;S$1&amp;"C"&amp;$A11)="N/A",0,RTD("tos.rtd",,"OPEN_INT","."&amp;S$2&amp;S$1&amp;"C"&amp;$A11)),0)+IF($A$4&lt;$A11,($A$5-$A$4)*IF(RTD("tos.rtd",,"OPEN_INT","."&amp;S$2&amp;S$1&amp;"P"&amp;$A11)="N/A",0,RTD("tos.rtd",,"OPEN_INT","."&amp;S$2&amp;S$1&amp;"P"&amp;$A11)),0),IF($X$1="ABS",IF(RTD("tos.rtd",,$A$2,"."&amp;S$2&amp;S$1&amp;"C"&amp;$A11)="N/A",0,RTD("tos.rtd",,$A$2,"."&amp;S$2&amp;S$1&amp;"C"&amp;$A11))+IF(RTD("tos.rtd",,$A$2,"."&amp;S$2&amp;S$1&amp;"P"&amp;$A11)="N/A",0,RTD("tos.rtd",,$A$2,"."&amp;S$2&amp;S$1&amp;"P"&amp;$A11)),IF(RTD("tos.rtd",,$A$2,"."&amp;S$2&amp;S$1&amp;"C"&amp;$A11)="N/A",0,RTD("tos.rtd",,$A$2,"."&amp;S$2&amp;S$1&amp;"C"&amp;$A11))-IF(RTD("tos.rtd",,$A$2,"."&amp;S$2&amp;S$1&amp;"P"&amp;$A11)="N/A",0,RTD("tos.rtd",,$A$2,"."&amp;S$2&amp;S$1&amp;"P"&amp;$A11))))))))))</f>
        <v>0</v>
      </c>
      <c r="T11" s="12">
        <f ca="1">IF($A$2="PREMIUM_OI",IFERROR(IF($X$1="ABS",(100*RTD("tos.rtd",,"OPEN_INT","."&amp;T$2&amp;T$1&amp;"C"&amp;$A11)*RTD("tos.rtd",,"LAST","."&amp;T$2&amp;T$1&amp;"C"&amp;$A11)+100*RTD("tos.rtd",,"OPEN_INT","."&amp;T$2&amp;T$1&amp;"P"&amp;$A11)*RTD("tos.rtd",,"LAST","."&amp;T$2&amp;T$1&amp;"P"&amp;$A11))/1000000,(100*RTD("tos.rtd",,"OPEN_INT","."&amp;T$2&amp;T$1&amp;"C"&amp;$A11)*RTD("tos.rtd",,"LAST","."&amp;T$2&amp;T$1&amp;"C"&amp;$A11)-100*RTD("tos.rtd",,"OPEN_INT","."&amp;T$2&amp;T$1&amp;"P"&amp;$A11)*RTD("tos.rtd",,"LAST","."&amp;T$2&amp;T$1&amp;"P"&amp;$A11))/1000000),0),IF($A$2="PREMIUM",IFERROR(IF($X$1="ABS",(100*RTD("tos.rtd",,"VOLUME","."&amp;T$2&amp;T$1&amp;"C"&amp;$A11)*RTD("tos.rtd",,"LAST","."&amp;T$2&amp;T$1&amp;"C"&amp;$A11)+100*RTD("tos.rtd",,"VOLUME","."&amp;T$2&amp;T$1&amp;"P"&amp;$A11)*RTD("tos.rtd",,"LAST","."&amp;T$2&amp;T$1&amp;"P"&amp;$A11))/1000000,(100*RTD("tos.rtd",,"VOLUME","."&amp;T$2&amp;T$1&amp;"C"&amp;$A11)*RTD("tos.rtd",,"LAST","."&amp;T$2&amp;T$1&amp;"C"&amp;$A11)-100*RTD("tos.rtd",,"VOLUME","."&amp;T$2&amp;T$1&amp;"P"&amp;$A11)*RTD("tos.rtd",,"LAST","."&amp;T$2&amp;T$1&amp;"P"&amp;$A11))/1000000),0),IF($A$2="DEX",IFERROR(IF($X$1="ABS",(100*RTD("tos.rtd",,"OPEN_INT","."&amp;T$2&amp;T$1&amp;"C"&amp;$A11)*RTD("tos.rtd",,"DELTA","."&amp;T$2&amp;T$1&amp;"C"&amp;$A11)+100*RTD("tos.rtd",,"OPEN_INT","."&amp;T$2&amp;T$1&amp;"P"&amp;$A11)*RTD("tos.rtd",,"DELTA","."&amp;T$2&amp;T$1&amp;"P"&amp;$A11))/1000,(100*RTD("tos.rtd",,"OPEN_INT","."&amp;T$2&amp;T$1&amp;"C"&amp;$A11)*RTD("tos.rtd",,"DELTA","."&amp;T$2&amp;T$1&amp;"C"&amp;$A11)-100*RTD("tos.rtd",,"OPEN_INT","."&amp;T$2&amp;T$1&amp;"P"&amp;$A11)*RTD("tos.rtd",,"DELTA","."&amp;T$2&amp;T$1&amp;"P"&amp;$A11))/1000),0),IF($A$2="VEX",IFERROR(IF($X$1="ABS",($A$4*$A$4*RTD("tos.rtd",,"VOLUME","."&amp;T$2&amp;T$1&amp;"C"&amp;$A11)*RTD("tos.rtd",,"GAMMA","."&amp;T$2&amp;T$1&amp;"C"&amp;$A11)+$A$4*$A$4*RTD("tos.rtd",,"VOLUME","."&amp;T$2&amp;T$1&amp;"P"&amp;$A11)*RTD("tos.rtd",,"GAMMA","."&amp;T$2&amp;T$1&amp;"P"&amp;$A11))/1000000,($A$4*$A$4*RTD("tos.rtd",,"VOLUME","."&amp;T$2&amp;T$1&amp;"C"&amp;$A11)*RTD("tos.rtd",,"GAMMA","."&amp;T$2&amp;T$1&amp;"C"&amp;$A11)-$A$4*$A$4*RTD("tos.rtd",,"VOLUME","."&amp;T$2&amp;T$1&amp;"P"&amp;$A11)*RTD("tos.rtd",,"GAMMA","."&amp;T$2&amp;T$1&amp;"P"&amp;$A11))/1000000),0),IF($A$2="GEX",IFERROR(IF($X$1="ABS",($A$4*$A$4*RTD("tos.rtd",,"OPEN_INT","."&amp;T$2&amp;T$1&amp;"C"&amp;$A11)*RTD("tos.rtd",,"GAMMA","."&amp;T$2&amp;T$1&amp;"C"&amp;$A11)+$A$4*$A$4*RTD("tos.rtd",,"OPEN_INT","."&amp;T$2&amp;T$1&amp;"P"&amp;$A11)*RTD("tos.rtd",,"GAMMA","."&amp;T$2&amp;T$1&amp;"P"&amp;$A11))/1000000,($A$4*$A$4*RTD("tos.rtd",,"OPEN_INT","."&amp;T$2&amp;T$1&amp;"C"&amp;$A11)*RTD("tos.rtd",,"GAMMA","."&amp;T$2&amp;T$1&amp;"C"&amp;$A11)-$A$4*$A$4*RTD("tos.rtd",,"OPEN_INT","."&amp;T$2&amp;T$1&amp;"P"&amp;$A11)*RTD("tos.rtd",,"GAMMA","."&amp;T$2&amp;T$1&amp;"P"&amp;$A11))/1000000),0),IF($A$2="SKEW",IFERROR(VALUE(IF(RTD("tos.rtd",,"IMPL_VOL","."&amp;T$2&amp;T$1&amp;"P"&amp;$A11)="N/A",0,RTD("tos.rtd",,"IMPL_VOL","."&amp;T$2&amp;T$1&amp;"P"&amp;$A11))),0)-IFERROR(VALUE(IF(RTD("tos.rtd",,"IMPL_VOL","."&amp;T$2&amp;T$1&amp;"C"&amp;$A11)="N/A",0,RTD("tos.rtd",,"IMPL_VOL","."&amp;T$2&amp;T$1&amp;"C"&amp;$A11))),0),IF($A$2="MAXPAIN",IF($A$4&gt;$A11,($A$4-$A11)*IF(RTD("tos.rtd",,"OPEN_INT","."&amp;T$2&amp;T$1&amp;"C"&amp;$A11)="N/A",0,RTD("tos.rtd",,"OPEN_INT","."&amp;T$2&amp;T$1&amp;"C"&amp;$A11)),0)+IF($A$4&lt;$A11,($A$5-$A$4)*IF(RTD("tos.rtd",,"OPEN_INT","."&amp;T$2&amp;T$1&amp;"P"&amp;$A11)="N/A",0,RTD("tos.rtd",,"OPEN_INT","."&amp;T$2&amp;T$1&amp;"P"&amp;$A11)),0),IF($X$1="ABS",IF(RTD("tos.rtd",,$A$2,"."&amp;T$2&amp;T$1&amp;"C"&amp;$A11)="N/A",0,RTD("tos.rtd",,$A$2,"."&amp;T$2&amp;T$1&amp;"C"&amp;$A11))+IF(RTD("tos.rtd",,$A$2,"."&amp;T$2&amp;T$1&amp;"P"&amp;$A11)="N/A",0,RTD("tos.rtd",,$A$2,"."&amp;T$2&amp;T$1&amp;"P"&amp;$A11)),IF(RTD("tos.rtd",,$A$2,"."&amp;T$2&amp;T$1&amp;"C"&amp;$A11)="N/A",0,RTD("tos.rtd",,$A$2,"."&amp;T$2&amp;T$1&amp;"C"&amp;$A11))-IF(RTD("tos.rtd",,$A$2,"."&amp;T$2&amp;T$1&amp;"P"&amp;$A11)="N/A",0,RTD("tos.rtd",,$A$2,"."&amp;T$2&amp;T$1&amp;"P"&amp;$A11))))))))))</f>
        <v>0</v>
      </c>
      <c r="U11" s="12">
        <f ca="1">IF($A$2="PREMIUM_OI",IFERROR(IF($X$1="ABS",(100*RTD("tos.rtd",,"OPEN_INT","."&amp;U$2&amp;U$1&amp;"C"&amp;$A11)*RTD("tos.rtd",,"LAST","."&amp;U$2&amp;U$1&amp;"C"&amp;$A11)+100*RTD("tos.rtd",,"OPEN_INT","."&amp;U$2&amp;U$1&amp;"P"&amp;$A11)*RTD("tos.rtd",,"LAST","."&amp;U$2&amp;U$1&amp;"P"&amp;$A11))/1000000,(100*RTD("tos.rtd",,"OPEN_INT","."&amp;U$2&amp;U$1&amp;"C"&amp;$A11)*RTD("tos.rtd",,"LAST","."&amp;U$2&amp;U$1&amp;"C"&amp;$A11)-100*RTD("tos.rtd",,"OPEN_INT","."&amp;U$2&amp;U$1&amp;"P"&amp;$A11)*RTD("tos.rtd",,"LAST","."&amp;U$2&amp;U$1&amp;"P"&amp;$A11))/1000000),0),IF($A$2="PREMIUM",IFERROR(IF($X$1="ABS",(100*RTD("tos.rtd",,"VOLUME","."&amp;U$2&amp;U$1&amp;"C"&amp;$A11)*RTD("tos.rtd",,"LAST","."&amp;U$2&amp;U$1&amp;"C"&amp;$A11)+100*RTD("tos.rtd",,"VOLUME","."&amp;U$2&amp;U$1&amp;"P"&amp;$A11)*RTD("tos.rtd",,"LAST","."&amp;U$2&amp;U$1&amp;"P"&amp;$A11))/1000000,(100*RTD("tos.rtd",,"VOLUME","."&amp;U$2&amp;U$1&amp;"C"&amp;$A11)*RTD("tos.rtd",,"LAST","."&amp;U$2&amp;U$1&amp;"C"&amp;$A11)-100*RTD("tos.rtd",,"VOLUME","."&amp;U$2&amp;U$1&amp;"P"&amp;$A11)*RTD("tos.rtd",,"LAST","."&amp;U$2&amp;U$1&amp;"P"&amp;$A11))/1000000),0),IF($A$2="DEX",IFERROR(IF($X$1="ABS",(100*RTD("tos.rtd",,"OPEN_INT","."&amp;U$2&amp;U$1&amp;"C"&amp;$A11)*RTD("tos.rtd",,"DELTA","."&amp;U$2&amp;U$1&amp;"C"&amp;$A11)+100*RTD("tos.rtd",,"OPEN_INT","."&amp;U$2&amp;U$1&amp;"P"&amp;$A11)*RTD("tos.rtd",,"DELTA","."&amp;U$2&amp;U$1&amp;"P"&amp;$A11))/1000,(100*RTD("tos.rtd",,"OPEN_INT","."&amp;U$2&amp;U$1&amp;"C"&amp;$A11)*RTD("tos.rtd",,"DELTA","."&amp;U$2&amp;U$1&amp;"C"&amp;$A11)-100*RTD("tos.rtd",,"OPEN_INT","."&amp;U$2&amp;U$1&amp;"P"&amp;$A11)*RTD("tos.rtd",,"DELTA","."&amp;U$2&amp;U$1&amp;"P"&amp;$A11))/1000),0),IF($A$2="VEX",IFERROR(IF($X$1="ABS",($A$4*$A$4*RTD("tos.rtd",,"VOLUME","."&amp;U$2&amp;U$1&amp;"C"&amp;$A11)*RTD("tos.rtd",,"GAMMA","."&amp;U$2&amp;U$1&amp;"C"&amp;$A11)+$A$4*$A$4*RTD("tos.rtd",,"VOLUME","."&amp;U$2&amp;U$1&amp;"P"&amp;$A11)*RTD("tos.rtd",,"GAMMA","."&amp;U$2&amp;U$1&amp;"P"&amp;$A11))/1000000,($A$4*$A$4*RTD("tos.rtd",,"VOLUME","."&amp;U$2&amp;U$1&amp;"C"&amp;$A11)*RTD("tos.rtd",,"GAMMA","."&amp;U$2&amp;U$1&amp;"C"&amp;$A11)-$A$4*$A$4*RTD("tos.rtd",,"VOLUME","."&amp;U$2&amp;U$1&amp;"P"&amp;$A11)*RTD("tos.rtd",,"GAMMA","."&amp;U$2&amp;U$1&amp;"P"&amp;$A11))/1000000),0),IF($A$2="GEX",IFERROR(IF($X$1="ABS",($A$4*$A$4*RTD("tos.rtd",,"OPEN_INT","."&amp;U$2&amp;U$1&amp;"C"&amp;$A11)*RTD("tos.rtd",,"GAMMA","."&amp;U$2&amp;U$1&amp;"C"&amp;$A11)+$A$4*$A$4*RTD("tos.rtd",,"OPEN_INT","."&amp;U$2&amp;U$1&amp;"P"&amp;$A11)*RTD("tos.rtd",,"GAMMA","."&amp;U$2&amp;U$1&amp;"P"&amp;$A11))/1000000,($A$4*$A$4*RTD("tos.rtd",,"OPEN_INT","."&amp;U$2&amp;U$1&amp;"C"&amp;$A11)*RTD("tos.rtd",,"GAMMA","."&amp;U$2&amp;U$1&amp;"C"&amp;$A11)-$A$4*$A$4*RTD("tos.rtd",,"OPEN_INT","."&amp;U$2&amp;U$1&amp;"P"&amp;$A11)*RTD("tos.rtd",,"GAMMA","."&amp;U$2&amp;U$1&amp;"P"&amp;$A11))/1000000),0),IF($A$2="SKEW",IFERROR(VALUE(IF(RTD("tos.rtd",,"IMPL_VOL","."&amp;U$2&amp;U$1&amp;"P"&amp;$A11)="N/A",0,RTD("tos.rtd",,"IMPL_VOL","."&amp;U$2&amp;U$1&amp;"P"&amp;$A11))),0)-IFERROR(VALUE(IF(RTD("tos.rtd",,"IMPL_VOL","."&amp;U$2&amp;U$1&amp;"C"&amp;$A11)="N/A",0,RTD("tos.rtd",,"IMPL_VOL","."&amp;U$2&amp;U$1&amp;"C"&amp;$A11))),0),IF($A$2="MAXPAIN",IF($A$4&gt;$A11,($A$4-$A11)*IF(RTD("tos.rtd",,"OPEN_INT","."&amp;U$2&amp;U$1&amp;"C"&amp;$A11)="N/A",0,RTD("tos.rtd",,"OPEN_INT","."&amp;U$2&amp;U$1&amp;"C"&amp;$A11)),0)+IF($A$4&lt;$A11,($A$5-$A$4)*IF(RTD("tos.rtd",,"OPEN_INT","."&amp;U$2&amp;U$1&amp;"P"&amp;$A11)="N/A",0,RTD("tos.rtd",,"OPEN_INT","."&amp;U$2&amp;U$1&amp;"P"&amp;$A11)),0),IF($X$1="ABS",IF(RTD("tos.rtd",,$A$2,"."&amp;U$2&amp;U$1&amp;"C"&amp;$A11)="N/A",0,RTD("tos.rtd",,$A$2,"."&amp;U$2&amp;U$1&amp;"C"&amp;$A11))+IF(RTD("tos.rtd",,$A$2,"."&amp;U$2&amp;U$1&amp;"P"&amp;$A11)="N/A",0,RTD("tos.rtd",,$A$2,"."&amp;U$2&amp;U$1&amp;"P"&amp;$A11)),IF(RTD("tos.rtd",,$A$2,"."&amp;U$2&amp;U$1&amp;"C"&amp;$A11)="N/A",0,RTD("tos.rtd",,$A$2,"."&amp;U$2&amp;U$1&amp;"C"&amp;$A11))-IF(RTD("tos.rtd",,$A$2,"."&amp;U$2&amp;U$1&amp;"P"&amp;$A11)="N/A",0,RTD("tos.rtd",,$A$2,"."&amp;U$2&amp;U$1&amp;"P"&amp;$A11))))))))))</f>
        <v>0</v>
      </c>
      <c r="V11" s="12">
        <f ca="1">IF($A$2="PREMIUM_OI",IFERROR(IF($X$1="ABS",(100*RTD("tos.rtd",,"OPEN_INT","."&amp;V$2&amp;V$1&amp;"C"&amp;$A11)*RTD("tos.rtd",,"LAST","."&amp;V$2&amp;V$1&amp;"C"&amp;$A11)+100*RTD("tos.rtd",,"OPEN_INT","."&amp;V$2&amp;V$1&amp;"P"&amp;$A11)*RTD("tos.rtd",,"LAST","."&amp;V$2&amp;V$1&amp;"P"&amp;$A11))/1000000,(100*RTD("tos.rtd",,"OPEN_INT","."&amp;V$2&amp;V$1&amp;"C"&amp;$A11)*RTD("tos.rtd",,"LAST","."&amp;V$2&amp;V$1&amp;"C"&amp;$A11)-100*RTD("tos.rtd",,"OPEN_INT","."&amp;V$2&amp;V$1&amp;"P"&amp;$A11)*RTD("tos.rtd",,"LAST","."&amp;V$2&amp;V$1&amp;"P"&amp;$A11))/1000000),0),IF($A$2="PREMIUM",IFERROR(IF($X$1="ABS",(100*RTD("tos.rtd",,"VOLUME","."&amp;V$2&amp;V$1&amp;"C"&amp;$A11)*RTD("tos.rtd",,"LAST","."&amp;V$2&amp;V$1&amp;"C"&amp;$A11)+100*RTD("tos.rtd",,"VOLUME","."&amp;V$2&amp;V$1&amp;"P"&amp;$A11)*RTD("tos.rtd",,"LAST","."&amp;V$2&amp;V$1&amp;"P"&amp;$A11))/1000000,(100*RTD("tos.rtd",,"VOLUME","."&amp;V$2&amp;V$1&amp;"C"&amp;$A11)*RTD("tos.rtd",,"LAST","."&amp;V$2&amp;V$1&amp;"C"&amp;$A11)-100*RTD("tos.rtd",,"VOLUME","."&amp;V$2&amp;V$1&amp;"P"&amp;$A11)*RTD("tos.rtd",,"LAST","."&amp;V$2&amp;V$1&amp;"P"&amp;$A11))/1000000),0),IF($A$2="DEX",IFERROR(IF($X$1="ABS",(100*RTD("tos.rtd",,"OPEN_INT","."&amp;V$2&amp;V$1&amp;"C"&amp;$A11)*RTD("tos.rtd",,"DELTA","."&amp;V$2&amp;V$1&amp;"C"&amp;$A11)+100*RTD("tos.rtd",,"OPEN_INT","."&amp;V$2&amp;V$1&amp;"P"&amp;$A11)*RTD("tos.rtd",,"DELTA","."&amp;V$2&amp;V$1&amp;"P"&amp;$A11))/1000,(100*RTD("tos.rtd",,"OPEN_INT","."&amp;V$2&amp;V$1&amp;"C"&amp;$A11)*RTD("tos.rtd",,"DELTA","."&amp;V$2&amp;V$1&amp;"C"&amp;$A11)-100*RTD("tos.rtd",,"OPEN_INT","."&amp;V$2&amp;V$1&amp;"P"&amp;$A11)*RTD("tos.rtd",,"DELTA","."&amp;V$2&amp;V$1&amp;"P"&amp;$A11))/1000),0),IF($A$2="VEX",IFERROR(IF($X$1="ABS",($A$4*$A$4*RTD("tos.rtd",,"VOLUME","."&amp;V$2&amp;V$1&amp;"C"&amp;$A11)*RTD("tos.rtd",,"GAMMA","."&amp;V$2&amp;V$1&amp;"C"&amp;$A11)+$A$4*$A$4*RTD("tos.rtd",,"VOLUME","."&amp;V$2&amp;V$1&amp;"P"&amp;$A11)*RTD("tos.rtd",,"GAMMA","."&amp;V$2&amp;V$1&amp;"P"&amp;$A11))/1000000,($A$4*$A$4*RTD("tos.rtd",,"VOLUME","."&amp;V$2&amp;V$1&amp;"C"&amp;$A11)*RTD("tos.rtd",,"GAMMA","."&amp;V$2&amp;V$1&amp;"C"&amp;$A11)-$A$4*$A$4*RTD("tos.rtd",,"VOLUME","."&amp;V$2&amp;V$1&amp;"P"&amp;$A11)*RTD("tos.rtd",,"GAMMA","."&amp;V$2&amp;V$1&amp;"P"&amp;$A11))/1000000),0),IF($A$2="GEX",IFERROR(IF($X$1="ABS",($A$4*$A$4*RTD("tos.rtd",,"OPEN_INT","."&amp;V$2&amp;V$1&amp;"C"&amp;$A11)*RTD("tos.rtd",,"GAMMA","."&amp;V$2&amp;V$1&amp;"C"&amp;$A11)+$A$4*$A$4*RTD("tos.rtd",,"OPEN_INT","."&amp;V$2&amp;V$1&amp;"P"&amp;$A11)*RTD("tos.rtd",,"GAMMA","."&amp;V$2&amp;V$1&amp;"P"&amp;$A11))/1000000,($A$4*$A$4*RTD("tos.rtd",,"OPEN_INT","."&amp;V$2&amp;V$1&amp;"C"&amp;$A11)*RTD("tos.rtd",,"GAMMA","."&amp;V$2&amp;V$1&amp;"C"&amp;$A11)-$A$4*$A$4*RTD("tos.rtd",,"OPEN_INT","."&amp;V$2&amp;V$1&amp;"P"&amp;$A11)*RTD("tos.rtd",,"GAMMA","."&amp;V$2&amp;V$1&amp;"P"&amp;$A11))/1000000),0),IF($A$2="SKEW",IFERROR(VALUE(IF(RTD("tos.rtd",,"IMPL_VOL","."&amp;V$2&amp;V$1&amp;"P"&amp;$A11)="N/A",0,RTD("tos.rtd",,"IMPL_VOL","."&amp;V$2&amp;V$1&amp;"P"&amp;$A11))),0)-IFERROR(VALUE(IF(RTD("tos.rtd",,"IMPL_VOL","."&amp;V$2&amp;V$1&amp;"C"&amp;$A11)="N/A",0,RTD("tos.rtd",,"IMPL_VOL","."&amp;V$2&amp;V$1&amp;"C"&amp;$A11))),0),IF($A$2="MAXPAIN",IF($A$4&gt;$A11,($A$4-$A11)*IF(RTD("tos.rtd",,"OPEN_INT","."&amp;V$2&amp;V$1&amp;"C"&amp;$A11)="N/A",0,RTD("tos.rtd",,"OPEN_INT","."&amp;V$2&amp;V$1&amp;"C"&amp;$A11)),0)+IF($A$4&lt;$A11,($A$5-$A$4)*IF(RTD("tos.rtd",,"OPEN_INT","."&amp;V$2&amp;V$1&amp;"P"&amp;$A11)="N/A",0,RTD("tos.rtd",,"OPEN_INT","."&amp;V$2&amp;V$1&amp;"P"&amp;$A11)),0),IF($X$1="ABS",IF(RTD("tos.rtd",,$A$2,"."&amp;V$2&amp;V$1&amp;"C"&amp;$A11)="N/A",0,RTD("tos.rtd",,$A$2,"."&amp;V$2&amp;V$1&amp;"C"&amp;$A11))+IF(RTD("tos.rtd",,$A$2,"."&amp;V$2&amp;V$1&amp;"P"&amp;$A11)="N/A",0,RTD("tos.rtd",,$A$2,"."&amp;V$2&amp;V$1&amp;"P"&amp;$A11)),IF(RTD("tos.rtd",,$A$2,"."&amp;V$2&amp;V$1&amp;"C"&amp;$A11)="N/A",0,RTD("tos.rtd",,$A$2,"."&amp;V$2&amp;V$1&amp;"C"&amp;$A11))-IF(RTD("tos.rtd",,$A$2,"."&amp;V$2&amp;V$1&amp;"P"&amp;$A11)="N/A",0,RTD("tos.rtd",,$A$2,"."&amp;V$2&amp;V$1&amp;"P"&amp;$A11))))))))))</f>
        <v>0</v>
      </c>
      <c r="W11" s="12">
        <f ca="1">IF($A$2="PREMIUM_OI",IFERROR(IF($X$1="ABS",(100*RTD("tos.rtd",,"OPEN_INT","."&amp;W$2&amp;W$1&amp;"C"&amp;$A11)*RTD("tos.rtd",,"LAST","."&amp;W$2&amp;W$1&amp;"C"&amp;$A11)+100*RTD("tos.rtd",,"OPEN_INT","."&amp;W$2&amp;W$1&amp;"P"&amp;$A11)*RTD("tos.rtd",,"LAST","."&amp;W$2&amp;W$1&amp;"P"&amp;$A11))/1000000,(100*RTD("tos.rtd",,"OPEN_INT","."&amp;W$2&amp;W$1&amp;"C"&amp;$A11)*RTD("tos.rtd",,"LAST","."&amp;W$2&amp;W$1&amp;"C"&amp;$A11)-100*RTD("tos.rtd",,"OPEN_INT","."&amp;W$2&amp;W$1&amp;"P"&amp;$A11)*RTD("tos.rtd",,"LAST","."&amp;W$2&amp;W$1&amp;"P"&amp;$A11))/1000000),0),IF($A$2="PREMIUM",IFERROR(IF($X$1="ABS",(100*RTD("tos.rtd",,"VOLUME","."&amp;W$2&amp;W$1&amp;"C"&amp;$A11)*RTD("tos.rtd",,"LAST","."&amp;W$2&amp;W$1&amp;"C"&amp;$A11)+100*RTD("tos.rtd",,"VOLUME","."&amp;W$2&amp;W$1&amp;"P"&amp;$A11)*RTD("tos.rtd",,"LAST","."&amp;W$2&amp;W$1&amp;"P"&amp;$A11))/1000000,(100*RTD("tos.rtd",,"VOLUME","."&amp;W$2&amp;W$1&amp;"C"&amp;$A11)*RTD("tos.rtd",,"LAST","."&amp;W$2&amp;W$1&amp;"C"&amp;$A11)-100*RTD("tos.rtd",,"VOLUME","."&amp;W$2&amp;W$1&amp;"P"&amp;$A11)*RTD("tos.rtd",,"LAST","."&amp;W$2&amp;W$1&amp;"P"&amp;$A11))/1000000),0),IF($A$2="DEX",IFERROR(IF($X$1="ABS",(100*RTD("tos.rtd",,"OPEN_INT","."&amp;W$2&amp;W$1&amp;"C"&amp;$A11)*RTD("tos.rtd",,"DELTA","."&amp;W$2&amp;W$1&amp;"C"&amp;$A11)+100*RTD("tos.rtd",,"OPEN_INT","."&amp;W$2&amp;W$1&amp;"P"&amp;$A11)*RTD("tos.rtd",,"DELTA","."&amp;W$2&amp;W$1&amp;"P"&amp;$A11))/1000,(100*RTD("tos.rtd",,"OPEN_INT","."&amp;W$2&amp;W$1&amp;"C"&amp;$A11)*RTD("tos.rtd",,"DELTA","."&amp;W$2&amp;W$1&amp;"C"&amp;$A11)-100*RTD("tos.rtd",,"OPEN_INT","."&amp;W$2&amp;W$1&amp;"P"&amp;$A11)*RTD("tos.rtd",,"DELTA","."&amp;W$2&amp;W$1&amp;"P"&amp;$A11))/1000),0),IF($A$2="VEX",IFERROR(IF($X$1="ABS",($A$4*$A$4*RTD("tos.rtd",,"VOLUME","."&amp;W$2&amp;W$1&amp;"C"&amp;$A11)*RTD("tos.rtd",,"GAMMA","."&amp;W$2&amp;W$1&amp;"C"&amp;$A11)+$A$4*$A$4*RTD("tos.rtd",,"VOLUME","."&amp;W$2&amp;W$1&amp;"P"&amp;$A11)*RTD("tos.rtd",,"GAMMA","."&amp;W$2&amp;W$1&amp;"P"&amp;$A11))/1000000,($A$4*$A$4*RTD("tos.rtd",,"VOLUME","."&amp;W$2&amp;W$1&amp;"C"&amp;$A11)*RTD("tos.rtd",,"GAMMA","."&amp;W$2&amp;W$1&amp;"C"&amp;$A11)-$A$4*$A$4*RTD("tos.rtd",,"VOLUME","."&amp;W$2&amp;W$1&amp;"P"&amp;$A11)*RTD("tos.rtd",,"GAMMA","."&amp;W$2&amp;W$1&amp;"P"&amp;$A11))/1000000),0),IF($A$2="GEX",IFERROR(IF($X$1="ABS",($A$4*$A$4*RTD("tos.rtd",,"OPEN_INT","."&amp;W$2&amp;W$1&amp;"C"&amp;$A11)*RTD("tos.rtd",,"GAMMA","."&amp;W$2&amp;W$1&amp;"C"&amp;$A11)+$A$4*$A$4*RTD("tos.rtd",,"OPEN_INT","."&amp;W$2&amp;W$1&amp;"P"&amp;$A11)*RTD("tos.rtd",,"GAMMA","."&amp;W$2&amp;W$1&amp;"P"&amp;$A11))/1000000,($A$4*$A$4*RTD("tos.rtd",,"OPEN_INT","."&amp;W$2&amp;W$1&amp;"C"&amp;$A11)*RTD("tos.rtd",,"GAMMA","."&amp;W$2&amp;W$1&amp;"C"&amp;$A11)-$A$4*$A$4*RTD("tos.rtd",,"OPEN_INT","."&amp;W$2&amp;W$1&amp;"P"&amp;$A11)*RTD("tos.rtd",,"GAMMA","."&amp;W$2&amp;W$1&amp;"P"&amp;$A11))/1000000),0),IF($A$2="SKEW",IFERROR(VALUE(IF(RTD("tos.rtd",,"IMPL_VOL","."&amp;W$2&amp;W$1&amp;"P"&amp;$A11)="N/A",0,RTD("tos.rtd",,"IMPL_VOL","."&amp;W$2&amp;W$1&amp;"P"&amp;$A11))),0)-IFERROR(VALUE(IF(RTD("tos.rtd",,"IMPL_VOL","."&amp;W$2&amp;W$1&amp;"C"&amp;$A11)="N/A",0,RTD("tos.rtd",,"IMPL_VOL","."&amp;W$2&amp;W$1&amp;"C"&amp;$A11))),0),IF($A$2="MAXPAIN",IF($A$4&gt;$A11,($A$4-$A11)*IF(RTD("tos.rtd",,"OPEN_INT","."&amp;W$2&amp;W$1&amp;"C"&amp;$A11)="N/A",0,RTD("tos.rtd",,"OPEN_INT","."&amp;W$2&amp;W$1&amp;"C"&amp;$A11)),0)+IF($A$4&lt;$A11,($A$5-$A$4)*IF(RTD("tos.rtd",,"OPEN_INT","."&amp;W$2&amp;W$1&amp;"P"&amp;$A11)="N/A",0,RTD("tos.rtd",,"OPEN_INT","."&amp;W$2&amp;W$1&amp;"P"&amp;$A11)),0),IF($X$1="ABS",IF(RTD("tos.rtd",,$A$2,"."&amp;W$2&amp;W$1&amp;"C"&amp;$A11)="N/A",0,RTD("tos.rtd",,$A$2,"."&amp;W$2&amp;W$1&amp;"C"&amp;$A11))+IF(RTD("tos.rtd",,$A$2,"."&amp;W$2&amp;W$1&amp;"P"&amp;$A11)="N/A",0,RTD("tos.rtd",,$A$2,"."&amp;W$2&amp;W$1&amp;"P"&amp;$A11)),IF(RTD("tos.rtd",,$A$2,"."&amp;W$2&amp;W$1&amp;"C"&amp;$A11)="N/A",0,RTD("tos.rtd",,$A$2,"."&amp;W$2&amp;W$1&amp;"C"&amp;$A11))-IF(RTD("tos.rtd",,$A$2,"."&amp;W$2&amp;W$1&amp;"P"&amp;$A11)="N/A",0,RTD("tos.rtd",,$A$2,"."&amp;W$2&amp;W$1&amp;"P"&amp;$A11))))))))))</f>
        <v>0</v>
      </c>
      <c r="X11" s="57">
        <f t="shared" ca="1" si="7"/>
        <v>0</v>
      </c>
      <c r="Y11" s="27">
        <f t="shared" ca="1" si="8"/>
        <v>0</v>
      </c>
      <c r="Z11" s="27" t="b">
        <f t="shared" ca="1" si="9"/>
        <v>0</v>
      </c>
      <c r="AA11" s="27">
        <f t="shared" si="10"/>
        <v>199241900</v>
      </c>
      <c r="AB11" s="18">
        <f>MAX(0, $A11-AB$4)*IF(RTD("tos.rtd",,"OPEN_INT","."&amp;$AA$3&amp;$AA$4&amp;"C"&amp;AB$4)="N/A",0,RTD("tos.rtd",,"OPEN_INT","."&amp;$AA$3&amp;$AA$4&amp;"C"&amp;AB$4))*100 + MAX(0, AB$4-$A11)*IF(RTD("tos.rtd",,"OPEN_INT","."&amp;$AA$3&amp;$AA$4&amp;"P"&amp;AB$4)="N/A",0,RTD("tos.rtd",,"OPEN_INT","."&amp;$AA$3&amp;$AA$4&amp;"P"&amp;AB$4))*100</f>
        <v>0</v>
      </c>
      <c r="AC11" s="18">
        <f>MAX(0, $A11-AC$4)*IF(RTD("tos.rtd",,"OPEN_INT","."&amp;$AA$3&amp;$AA$4&amp;"C"&amp;AC$4)="N/A",0,RTD("tos.rtd",,"OPEN_INT","."&amp;$AA$3&amp;$AA$4&amp;"C"&amp;AC$4))*100 + MAX(0, AC$4-$A11)*IF(RTD("tos.rtd",,"OPEN_INT","."&amp;$AA$3&amp;$AA$4&amp;"P"&amp;AC$4)="N/A",0,RTD("tos.rtd",,"OPEN_INT","."&amp;$AA$3&amp;$AA$4&amp;"P"&amp;AC$4))*100</f>
        <v>0</v>
      </c>
      <c r="AD11" s="18">
        <f>MAX(0, $A11-AD$4)*IF(RTD("tos.rtd",,"OPEN_INT","."&amp;$AA$3&amp;$AA$4&amp;"C"&amp;AD$4)="N/A",0,RTD("tos.rtd",,"OPEN_INT","."&amp;$AA$3&amp;$AA$4&amp;"C"&amp;AD$4))*100 + MAX(0, AD$4-$A11)*IF(RTD("tos.rtd",,"OPEN_INT","."&amp;$AA$3&amp;$AA$4&amp;"P"&amp;AD$4)="N/A",0,RTD("tos.rtd",,"OPEN_INT","."&amp;$AA$3&amp;$AA$4&amp;"P"&amp;AD$4))*100</f>
        <v>0</v>
      </c>
      <c r="AE11" s="18">
        <f>MAX(0, $A11-AE$4)*IF(RTD("tos.rtd",,"OPEN_INT","."&amp;$AA$3&amp;$AA$4&amp;"C"&amp;AE$4)="N/A",0,RTD("tos.rtd",,"OPEN_INT","."&amp;$AA$3&amp;$AA$4&amp;"C"&amp;AE$4))*100 + MAX(0, AE$4-$A11)*IF(RTD("tos.rtd",,"OPEN_INT","."&amp;$AA$3&amp;$AA$4&amp;"P"&amp;AE$4)="N/A",0,RTD("tos.rtd",,"OPEN_INT","."&amp;$AA$3&amp;$AA$4&amp;"P"&amp;AE$4))*100</f>
        <v>0</v>
      </c>
      <c r="AF11" s="18">
        <f>MAX(0, $A11-AF$4)*IF(RTD("tos.rtd",,"OPEN_INT","."&amp;$AA$3&amp;$AA$4&amp;"C"&amp;AF$4)="N/A",0,RTD("tos.rtd",,"OPEN_INT","."&amp;$AA$3&amp;$AA$4&amp;"C"&amp;AF$4))*100 + MAX(0, AF$4-$A11)*IF(RTD("tos.rtd",,"OPEN_INT","."&amp;$AA$3&amp;$AA$4&amp;"P"&amp;AF$4)="N/A",0,RTD("tos.rtd",,"OPEN_INT","."&amp;$AA$3&amp;$AA$4&amp;"P"&amp;AF$4))*100</f>
        <v>0</v>
      </c>
      <c r="AG11" s="18">
        <f>MAX(0, $A11-AG$4)*IF(RTD("tos.rtd",,"OPEN_INT","."&amp;$AA$3&amp;$AA$4&amp;"C"&amp;AG$4)="N/A",0,RTD("tos.rtd",,"OPEN_INT","."&amp;$AA$3&amp;$AA$4&amp;"C"&amp;AG$4))*100 + MAX(0, AG$4-$A11)*IF(RTD("tos.rtd",,"OPEN_INT","."&amp;$AA$3&amp;$AA$4&amp;"P"&amp;AG$4)="N/A",0,RTD("tos.rtd",,"OPEN_INT","."&amp;$AA$3&amp;$AA$4&amp;"P"&amp;AG$4))*100</f>
        <v>0</v>
      </c>
      <c r="AH11" s="18">
        <f>MAX(0, $A11-AH$4)*IF(RTD("tos.rtd",,"OPEN_INT","."&amp;$AA$3&amp;$AA$4&amp;"C"&amp;AH$4)="N/A",0,RTD("tos.rtd",,"OPEN_INT","."&amp;$AA$3&amp;$AA$4&amp;"C"&amp;AH$4))*100 + MAX(0, AH$4-$A11)*IF(RTD("tos.rtd",,"OPEN_INT","."&amp;$AA$3&amp;$AA$4&amp;"P"&amp;AH$4)="N/A",0,RTD("tos.rtd",,"OPEN_INT","."&amp;$AA$3&amp;$AA$4&amp;"P"&amp;AH$4))*100</f>
        <v>0</v>
      </c>
      <c r="AI11" s="18">
        <f>MAX(0, $A11-AI$4)*IF(RTD("tos.rtd",,"OPEN_INT","."&amp;$AA$3&amp;$AA$4&amp;"C"&amp;AI$4)="N/A",0,RTD("tos.rtd",,"OPEN_INT","."&amp;$AA$3&amp;$AA$4&amp;"C"&amp;AI$4))*100 + MAX(0, AI$4-$A11)*IF(RTD("tos.rtd",,"OPEN_INT","."&amp;$AA$3&amp;$AA$4&amp;"P"&amp;AI$4)="N/A",0,RTD("tos.rtd",,"OPEN_INT","."&amp;$AA$3&amp;$AA$4&amp;"P"&amp;AI$4))*100</f>
        <v>135800</v>
      </c>
      <c r="AJ11" s="18">
        <f>MAX(0, $A11-AJ$4)*IF(RTD("tos.rtd",,"OPEN_INT","."&amp;$AA$3&amp;$AA$4&amp;"C"&amp;AJ$4)="N/A",0,RTD("tos.rtd",,"OPEN_INT","."&amp;$AA$3&amp;$AA$4&amp;"C"&amp;AJ$4))*100 + MAX(0, AJ$4-$A11)*IF(RTD("tos.rtd",,"OPEN_INT","."&amp;$AA$3&amp;$AA$4&amp;"P"&amp;AJ$4)="N/A",0,RTD("tos.rtd",,"OPEN_INT","."&amp;$AA$3&amp;$AA$4&amp;"P"&amp;AJ$4))*100</f>
        <v>26900</v>
      </c>
      <c r="AK11" s="18">
        <f>MAX(0, $A11-AK$4)*IF(RTD("tos.rtd",,"OPEN_INT","."&amp;$AA$3&amp;$AA$4&amp;"C"&amp;AK$4)="N/A",0,RTD("tos.rtd",,"OPEN_INT","."&amp;$AA$3&amp;$AA$4&amp;"C"&amp;AK$4))*100 + MAX(0, AK$4-$A11)*IF(RTD("tos.rtd",,"OPEN_INT","."&amp;$AA$3&amp;$AA$4&amp;"P"&amp;AK$4)="N/A",0,RTD("tos.rtd",,"OPEN_INT","."&amp;$AA$3&amp;$AA$4&amp;"P"&amp;AK$4))*100</f>
        <v>421950</v>
      </c>
      <c r="AL11" s="18">
        <f>MAX(0, $A11-AL$4)*IF(RTD("tos.rtd",,"OPEN_INT","."&amp;$AA$3&amp;$AA$4&amp;"C"&amp;AL$4)="N/A",0,RTD("tos.rtd",,"OPEN_INT","."&amp;$AA$3&amp;$AA$4&amp;"C"&amp;AL$4))*100 + MAX(0, AL$4-$A11)*IF(RTD("tos.rtd",,"OPEN_INT","."&amp;$AA$3&amp;$AA$4&amp;"P"&amp;AL$4)="N/A",0,RTD("tos.rtd",,"OPEN_INT","."&amp;$AA$3&amp;$AA$4&amp;"P"&amp;AL$4))*100</f>
        <v>0</v>
      </c>
      <c r="AM11" s="18">
        <f>MAX(0, $A11-AM$4)*IF(RTD("tos.rtd",,"OPEN_INT","."&amp;$AA$3&amp;$AA$4&amp;"C"&amp;AM$4)="N/A",0,RTD("tos.rtd",,"OPEN_INT","."&amp;$AA$3&amp;$AA$4&amp;"C"&amp;AM$4))*100 + MAX(0, AM$4-$A11)*IF(RTD("tos.rtd",,"OPEN_INT","."&amp;$AA$3&amp;$AA$4&amp;"P"&amp;AM$4)="N/A",0,RTD("tos.rtd",,"OPEN_INT","."&amp;$AA$3&amp;$AA$4&amp;"P"&amp;AM$4))*100</f>
        <v>591250</v>
      </c>
      <c r="AN11" s="18">
        <f>MAX(0, $A11-AN$4)*IF(RTD("tos.rtd",,"OPEN_INT","."&amp;$AA$3&amp;$AA$4&amp;"C"&amp;AN$4)="N/A",0,RTD("tos.rtd",,"OPEN_INT","."&amp;$AA$3&amp;$AA$4&amp;"C"&amp;AN$4))*100 + MAX(0, AN$4-$A11)*IF(RTD("tos.rtd",,"OPEN_INT","."&amp;$AA$3&amp;$AA$4&amp;"P"&amp;AN$4)="N/A",0,RTD("tos.rtd",,"OPEN_INT","."&amp;$AA$3&amp;$AA$4&amp;"P"&amp;AN$4))*100</f>
        <v>0</v>
      </c>
      <c r="AO11" s="18">
        <f>MAX(0, $A11-AO$4)*IF(RTD("tos.rtd",,"OPEN_INT","."&amp;$AA$3&amp;$AA$4&amp;"C"&amp;AO$4)="N/A",0,RTD("tos.rtd",,"OPEN_INT","."&amp;$AA$3&amp;$AA$4&amp;"C"&amp;AO$4))*100 + MAX(0, AO$4-$A11)*IF(RTD("tos.rtd",,"OPEN_INT","."&amp;$AA$3&amp;$AA$4&amp;"P"&amp;AO$4)="N/A",0,RTD("tos.rtd",,"OPEN_INT","."&amp;$AA$3&amp;$AA$4&amp;"P"&amp;AO$4))*100</f>
        <v>241150</v>
      </c>
      <c r="AP11" s="18">
        <f>MAX(0, $A11-AP$4)*IF(RTD("tos.rtd",,"OPEN_INT","."&amp;$AA$3&amp;$AA$4&amp;"C"&amp;AP$4)="N/A",0,RTD("tos.rtd",,"OPEN_INT","."&amp;$AA$3&amp;$AA$4&amp;"C"&amp;AP$4))*100 + MAX(0, AP$4-$A11)*IF(RTD("tos.rtd",,"OPEN_INT","."&amp;$AA$3&amp;$AA$4&amp;"P"&amp;AP$4)="N/A",0,RTD("tos.rtd",,"OPEN_INT","."&amp;$AA$3&amp;$AA$4&amp;"P"&amp;AP$4))*100</f>
        <v>0</v>
      </c>
      <c r="AQ11" s="18">
        <f>MAX(0, $A11-AQ$4)*IF(RTD("tos.rtd",,"OPEN_INT","."&amp;$AA$3&amp;$AA$4&amp;"C"&amp;AQ$4)="N/A",0,RTD("tos.rtd",,"OPEN_INT","."&amp;$AA$3&amp;$AA$4&amp;"C"&amp;AQ$4))*100 + MAX(0, AQ$4-$A11)*IF(RTD("tos.rtd",,"OPEN_INT","."&amp;$AA$3&amp;$AA$4&amp;"P"&amp;AQ$4)="N/A",0,RTD("tos.rtd",,"OPEN_INT","."&amp;$AA$3&amp;$AA$4&amp;"P"&amp;AQ$4))*100</f>
        <v>288000</v>
      </c>
      <c r="AR11" s="18">
        <f>MAX(0, $A11-AR$4)*IF(RTD("tos.rtd",,"OPEN_INT","."&amp;$AA$3&amp;$AA$4&amp;"C"&amp;AR$4)="N/A",0,RTD("tos.rtd",,"OPEN_INT","."&amp;$AA$3&amp;$AA$4&amp;"C"&amp;AR$4))*100 + MAX(0, AR$4-$A11)*IF(RTD("tos.rtd",,"OPEN_INT","."&amp;$AA$3&amp;$AA$4&amp;"P"&amp;AR$4)="N/A",0,RTD("tos.rtd",,"OPEN_INT","."&amp;$AA$3&amp;$AA$4&amp;"P"&amp;AR$4))*100</f>
        <v>500</v>
      </c>
      <c r="AS11" s="18">
        <f>MAX(0, $A11-AS$4)*IF(RTD("tos.rtd",,"OPEN_INT","."&amp;$AA$3&amp;$AA$4&amp;"C"&amp;AS$4)="N/A",0,RTD("tos.rtd",,"OPEN_INT","."&amp;$AA$3&amp;$AA$4&amp;"C"&amp;AS$4))*100 + MAX(0, AS$4-$A11)*IF(RTD("tos.rtd",,"OPEN_INT","."&amp;$AA$3&amp;$AA$4&amp;"P"&amp;AS$4)="N/A",0,RTD("tos.rtd",,"OPEN_INT","."&amp;$AA$3&amp;$AA$4&amp;"P"&amp;AS$4))*100</f>
        <v>474100</v>
      </c>
      <c r="AT11" s="18">
        <f>MAX(0, $A11-AT$4)*IF(RTD("tos.rtd",,"OPEN_INT","."&amp;$AA$3&amp;$AA$4&amp;"C"&amp;AT$4)="N/A",0,RTD("tos.rtd",,"OPEN_INT","."&amp;$AA$3&amp;$AA$4&amp;"C"&amp;AT$4))*100 + MAX(0, AT$4-$A11)*IF(RTD("tos.rtd",,"OPEN_INT","."&amp;$AA$3&amp;$AA$4&amp;"P"&amp;AT$4)="N/A",0,RTD("tos.rtd",,"OPEN_INT","."&amp;$AA$3&amp;$AA$4&amp;"P"&amp;AT$4))*100</f>
        <v>841200</v>
      </c>
      <c r="AU11" s="18">
        <f>MAX(0, $A11-AU$4)*IF(RTD("tos.rtd",,"OPEN_INT","."&amp;$AA$3&amp;$AA$4&amp;"C"&amp;AU$4)="N/A",0,RTD("tos.rtd",,"OPEN_INT","."&amp;$AA$3&amp;$AA$4&amp;"C"&amp;AU$4))*100 + MAX(0, AU$4-$A11)*IF(RTD("tos.rtd",,"OPEN_INT","."&amp;$AA$3&amp;$AA$4&amp;"P"&amp;AU$4)="N/A",0,RTD("tos.rtd",,"OPEN_INT","."&amp;$AA$3&amp;$AA$4&amp;"P"&amp;AU$4))*100</f>
        <v>1093950</v>
      </c>
      <c r="AV11" s="18">
        <f>MAX(0, $A11-AV$4)*IF(RTD("tos.rtd",,"OPEN_INT","."&amp;$AA$3&amp;$AA$4&amp;"C"&amp;AV$4)="N/A",0,RTD("tos.rtd",,"OPEN_INT","."&amp;$AA$3&amp;$AA$4&amp;"C"&amp;AV$4))*100 + MAX(0, AV$4-$A11)*IF(RTD("tos.rtd",,"OPEN_INT","."&amp;$AA$3&amp;$AA$4&amp;"P"&amp;AV$4)="N/A",0,RTD("tos.rtd",,"OPEN_INT","."&amp;$AA$3&amp;$AA$4&amp;"P"&amp;AV$4))*100</f>
        <v>1321600</v>
      </c>
      <c r="AW11" s="18">
        <f>MAX(0, $A11-AW$4)*IF(RTD("tos.rtd",,"OPEN_INT","."&amp;$AA$3&amp;$AA$4&amp;"C"&amp;AW$4)="N/A",0,RTD("tos.rtd",,"OPEN_INT","."&amp;$AA$3&amp;$AA$4&amp;"C"&amp;AW$4))*100 + MAX(0, AW$4-$A11)*IF(RTD("tos.rtd",,"OPEN_INT","."&amp;$AA$3&amp;$AA$4&amp;"P"&amp;AW$4)="N/A",0,RTD("tos.rtd",,"OPEN_INT","."&amp;$AA$3&amp;$AA$4&amp;"P"&amp;AW$4))*100</f>
        <v>2306250</v>
      </c>
      <c r="AX11" s="18">
        <f>MAX(0, $A11-AX$4)*IF(RTD("tos.rtd",,"OPEN_INT","."&amp;$AA$3&amp;$AA$4&amp;"C"&amp;AX$4)="N/A",0,RTD("tos.rtd",,"OPEN_INT","."&amp;$AA$3&amp;$AA$4&amp;"C"&amp;AX$4))*100 + MAX(0, AX$4-$A11)*IF(RTD("tos.rtd",,"OPEN_INT","."&amp;$AA$3&amp;$AA$4&amp;"P"&amp;AX$4)="N/A",0,RTD("tos.rtd",,"OPEN_INT","."&amp;$AA$3&amp;$AA$4&amp;"P"&amp;AX$4))*100</f>
        <v>3402400</v>
      </c>
      <c r="AY11" s="18">
        <f>MAX(0, $A11-AY$4)*IF(RTD("tos.rtd",,"OPEN_INT","."&amp;$AA$3&amp;$AA$4&amp;"C"&amp;AY$4)="N/A",0,RTD("tos.rtd",,"OPEN_INT","."&amp;$AA$3&amp;$AA$4&amp;"C"&amp;AY$4))*100 + MAX(0, AY$4-$A11)*IF(RTD("tos.rtd",,"OPEN_INT","."&amp;$AA$3&amp;$AA$4&amp;"P"&amp;AY$4)="N/A",0,RTD("tos.rtd",,"OPEN_INT","."&amp;$AA$3&amp;$AA$4&amp;"P"&amp;AY$4))*100</f>
        <v>16615800</v>
      </c>
      <c r="AZ11" s="18">
        <f>MAX(0, $A11-AZ$4)*IF(RTD("tos.rtd",,"OPEN_INT","."&amp;$AA$3&amp;$AA$4&amp;"C"&amp;AZ$4)="N/A",0,RTD("tos.rtd",,"OPEN_INT","."&amp;$AA$3&amp;$AA$4&amp;"C"&amp;AZ$4))*100 + MAX(0, AZ$4-$A11)*IF(RTD("tos.rtd",,"OPEN_INT","."&amp;$AA$3&amp;$AA$4&amp;"P"&amp;AZ$4)="N/A",0,RTD("tos.rtd",,"OPEN_INT","."&amp;$AA$3&amp;$AA$4&amp;"P"&amp;AZ$4))*100</f>
        <v>8865000</v>
      </c>
      <c r="BA11" s="18">
        <f>MAX(0, $A11-BA$4)*IF(RTD("tos.rtd",,"OPEN_INT","."&amp;$AA$3&amp;$AA$4&amp;"C"&amp;BA$4)="N/A",0,RTD("tos.rtd",,"OPEN_INT","."&amp;$AA$3&amp;$AA$4&amp;"C"&amp;BA$4))*100 + MAX(0, BA$4-$A11)*IF(RTD("tos.rtd",,"OPEN_INT","."&amp;$AA$3&amp;$AA$4&amp;"P"&amp;BA$4)="N/A",0,RTD("tos.rtd",,"OPEN_INT","."&amp;$AA$3&amp;$AA$4&amp;"P"&amp;BA$4))*100</f>
        <v>29266650</v>
      </c>
      <c r="BB11" s="18">
        <f>MAX(0, $A11-BB$4)*IF(RTD("tos.rtd",,"OPEN_INT","."&amp;$AA$3&amp;$AA$4&amp;"C"&amp;BB$4)="N/A",0,RTD("tos.rtd",,"OPEN_INT","."&amp;$AA$3&amp;$AA$4&amp;"C"&amp;BB$4))*100 + MAX(0, BB$4-$A11)*IF(RTD("tos.rtd",,"OPEN_INT","."&amp;$AA$3&amp;$AA$4&amp;"P"&amp;BB$4)="N/A",0,RTD("tos.rtd",,"OPEN_INT","."&amp;$AA$3&amp;$AA$4&amp;"P"&amp;BB$4))*100</f>
        <v>28658000</v>
      </c>
      <c r="BC11" s="18">
        <f>MAX(0, $A11-BC$4)*IF(RTD("tos.rtd",,"OPEN_INT","."&amp;$AA$3&amp;$AA$4&amp;"C"&amp;BC$4)="N/A",0,RTD("tos.rtd",,"OPEN_INT","."&amp;$AA$3&amp;$AA$4&amp;"C"&amp;BC$4))*100 + MAX(0, BC$4-$A11)*IF(RTD("tos.rtd",,"OPEN_INT","."&amp;$AA$3&amp;$AA$4&amp;"P"&amp;BC$4)="N/A",0,RTD("tos.rtd",,"OPEN_INT","."&amp;$AA$3&amp;$AA$4&amp;"P"&amp;BC$4))*100</f>
        <v>42748650</v>
      </c>
      <c r="BD11" s="18">
        <f>MAX(0, $A11-BD$4)*IF(RTD("tos.rtd",,"OPEN_INT","."&amp;$AA$3&amp;$AA$4&amp;"C"&amp;BD$4)="N/A",0,RTD("tos.rtd",,"OPEN_INT","."&amp;$AA$3&amp;$AA$4&amp;"C"&amp;BD$4))*100 + MAX(0, BD$4-$A11)*IF(RTD("tos.rtd",,"OPEN_INT","."&amp;$AA$3&amp;$AA$4&amp;"P"&amp;BD$4)="N/A",0,RTD("tos.rtd",,"OPEN_INT","."&amp;$AA$3&amp;$AA$4&amp;"P"&amp;BD$4))*100</f>
        <v>20416000</v>
      </c>
      <c r="BE11" s="18">
        <f>MAX(0, $A11-BE$4)*IF(RTD("tos.rtd",,"OPEN_INT","."&amp;$AA$3&amp;$AA$4&amp;"C"&amp;BE$4)="N/A",0,RTD("tos.rtd",,"OPEN_INT","."&amp;$AA$3&amp;$AA$4&amp;"C"&amp;BE$4))*100 + MAX(0, BE$4-$A11)*IF(RTD("tos.rtd",,"OPEN_INT","."&amp;$AA$3&amp;$AA$4&amp;"P"&amp;BE$4)="N/A",0,RTD("tos.rtd",,"OPEN_INT","."&amp;$AA$3&amp;$AA$4&amp;"P"&amp;BE$4))*100</f>
        <v>19869700</v>
      </c>
      <c r="BF11" s="18">
        <f>MAX(0, $A11-BF$4)*IF(RTD("tos.rtd",,"OPEN_INT","."&amp;$AA$3&amp;$AA$4&amp;"C"&amp;BF$4)="N/A",0,RTD("tos.rtd",,"OPEN_INT","."&amp;$AA$3&amp;$AA$4&amp;"C"&amp;BF$4))*100 + MAX(0, BF$4-$A11)*IF(RTD("tos.rtd",,"OPEN_INT","."&amp;$AA$3&amp;$AA$4&amp;"P"&amp;BF$4)="N/A",0,RTD("tos.rtd",,"OPEN_INT","."&amp;$AA$3&amp;$AA$4&amp;"P"&amp;BF$4))*100</f>
        <v>10088400</v>
      </c>
      <c r="BG11" s="18">
        <f>MAX(0, $A11-BG$4)*IF(RTD("tos.rtd",,"OPEN_INT","."&amp;$AA$3&amp;$AA$4&amp;"C"&amp;BG$4)="N/A",0,RTD("tos.rtd",,"OPEN_INT","."&amp;$AA$3&amp;$AA$4&amp;"C"&amp;BG$4))*100 + MAX(0, BG$4-$A11)*IF(RTD("tos.rtd",,"OPEN_INT","."&amp;$AA$3&amp;$AA$4&amp;"P"&amp;BG$4)="N/A",0,RTD("tos.rtd",,"OPEN_INT","."&amp;$AA$3&amp;$AA$4&amp;"P"&amp;BG$4))*100</f>
        <v>7167500</v>
      </c>
      <c r="BH11" s="18">
        <f>MAX(0, $A11-BH$4)*IF(RTD("tos.rtd",,"OPEN_INT","."&amp;$AA$3&amp;$AA$4&amp;"C"&amp;BH$4)="N/A",0,RTD("tos.rtd",,"OPEN_INT","."&amp;$AA$3&amp;$AA$4&amp;"C"&amp;BH$4))*100 + MAX(0, BH$4-$A11)*IF(RTD("tos.rtd",,"OPEN_INT","."&amp;$AA$3&amp;$AA$4&amp;"P"&amp;BH$4)="N/A",0,RTD("tos.rtd",,"OPEN_INT","."&amp;$AA$3&amp;$AA$4&amp;"P"&amp;BH$4))*100</f>
        <v>2525900</v>
      </c>
      <c r="BI11" s="18">
        <f>MAX(0, $A11-BI$4)*IF(RTD("tos.rtd",,"OPEN_INT","."&amp;$AA$3&amp;$AA$4&amp;"C"&amp;BI$4)="N/A",0,RTD("tos.rtd",,"OPEN_INT","."&amp;$AA$3&amp;$AA$4&amp;"C"&amp;BI$4))*100 + MAX(0, BI$4-$A11)*IF(RTD("tos.rtd",,"OPEN_INT","."&amp;$AA$3&amp;$AA$4&amp;"P"&amp;BI$4)="N/A",0,RTD("tos.rtd",,"OPEN_INT","."&amp;$AA$3&amp;$AA$4&amp;"P"&amp;BI$4))*100</f>
        <v>1136700</v>
      </c>
      <c r="BJ11" s="18">
        <f>MAX(0, $A11-BJ$4)*IF(RTD("tos.rtd",,"OPEN_INT","."&amp;$AA$3&amp;$AA$4&amp;"C"&amp;BJ$4)="N/A",0,RTD("tos.rtd",,"OPEN_INT","."&amp;$AA$3&amp;$AA$4&amp;"C"&amp;BJ$4))*100 + MAX(0, BJ$4-$A11)*IF(RTD("tos.rtd",,"OPEN_INT","."&amp;$AA$3&amp;$AA$4&amp;"P"&amp;BJ$4)="N/A",0,RTD("tos.rtd",,"OPEN_INT","."&amp;$AA$3&amp;$AA$4&amp;"P"&amp;BJ$4))*100</f>
        <v>211400</v>
      </c>
      <c r="BK11" s="18">
        <f>MAX(0, $A11-BK$4)*IF(RTD("tos.rtd",,"OPEN_INT","."&amp;$AA$3&amp;$AA$4&amp;"C"&amp;BK$4)="N/A",0,RTD("tos.rtd",,"OPEN_INT","."&amp;$AA$3&amp;$AA$4&amp;"C"&amp;BK$4))*100 + MAX(0, BK$4-$A11)*IF(RTD("tos.rtd",,"OPEN_INT","."&amp;$AA$3&amp;$AA$4&amp;"P"&amp;BK$4)="N/A",0,RTD("tos.rtd",,"OPEN_INT","."&amp;$AA$3&amp;$AA$4&amp;"P"&amp;BK$4))*100</f>
        <v>378450</v>
      </c>
      <c r="BL11" s="18">
        <f>MAX(0, $A11-BL$4)*IF(RTD("tos.rtd",,"OPEN_INT","."&amp;$AA$3&amp;$AA$4&amp;"C"&amp;BL$4)="N/A",0,RTD("tos.rtd",,"OPEN_INT","."&amp;$AA$3&amp;$AA$4&amp;"C"&amp;BL$4))*100 + MAX(0, BL$4-$A11)*IF(RTD("tos.rtd",,"OPEN_INT","."&amp;$AA$3&amp;$AA$4&amp;"P"&amp;BL$4)="N/A",0,RTD("tos.rtd",,"OPEN_INT","."&amp;$AA$3&amp;$AA$4&amp;"P"&amp;BL$4))*100</f>
        <v>24000</v>
      </c>
      <c r="BM11" s="18">
        <f>MAX(0, $A11-BM$4)*IF(RTD("tos.rtd",,"OPEN_INT","."&amp;$AA$3&amp;$AA$4&amp;"C"&amp;BM$4)="N/A",0,RTD("tos.rtd",,"OPEN_INT","."&amp;$AA$3&amp;$AA$4&amp;"C"&amp;BM$4))*100 + MAX(0, BM$4-$A11)*IF(RTD("tos.rtd",,"OPEN_INT","."&amp;$AA$3&amp;$AA$4&amp;"P"&amp;BM$4)="N/A",0,RTD("tos.rtd",,"OPEN_INT","."&amp;$AA$3&amp;$AA$4&amp;"P"&amp;BM$4))*100</f>
        <v>12400</v>
      </c>
      <c r="BN11" s="18">
        <f>MAX(0, $A11-BN$4)*IF(RTD("tos.rtd",,"OPEN_INT","."&amp;$AA$3&amp;$AA$4&amp;"C"&amp;BN$4)="N/A",0,RTD("tos.rtd",,"OPEN_INT","."&amp;$AA$3&amp;$AA$4&amp;"C"&amp;BN$4))*100 + MAX(0, BN$4-$A11)*IF(RTD("tos.rtd",,"OPEN_INT","."&amp;$AA$3&amp;$AA$4&amp;"P"&amp;BN$4)="N/A",0,RTD("tos.rtd",,"OPEN_INT","."&amp;$AA$3&amp;$AA$4&amp;"P"&amp;BN$4))*100</f>
        <v>49600</v>
      </c>
      <c r="BO11" s="18">
        <f>MAX(0, $A11-BO$4)*IF(RTD("tos.rtd",,"OPEN_INT","."&amp;$AA$3&amp;$AA$4&amp;"C"&amp;BO$4)="N/A",0,RTD("tos.rtd",,"OPEN_INT","."&amp;$AA$3&amp;$AA$4&amp;"C"&amp;BO$4))*100 + MAX(0, BO$4-$A11)*IF(RTD("tos.rtd",,"OPEN_INT","."&amp;$AA$3&amp;$AA$4&amp;"P"&amp;BO$4)="N/A",0,RTD("tos.rtd",,"OPEN_INT","."&amp;$AA$3&amp;$AA$4&amp;"P"&amp;BO$4))*100</f>
        <v>62700</v>
      </c>
      <c r="BP11" s="18">
        <f>MAX(0, $A11-BP$4)*IF(RTD("tos.rtd",,"OPEN_INT","."&amp;$AA$3&amp;$AA$4&amp;"C"&amp;BP$4)="N/A",0,RTD("tos.rtd",,"OPEN_INT","."&amp;$AA$3&amp;$AA$4&amp;"C"&amp;BP$4))*100 + MAX(0, BP$4-$A11)*IF(RTD("tos.rtd",,"OPEN_INT","."&amp;$AA$3&amp;$AA$4&amp;"P"&amp;BP$4)="N/A",0,RTD("tos.rtd",,"OPEN_INT","."&amp;$AA$3&amp;$AA$4&amp;"P"&amp;BP$4))*100</f>
        <v>0</v>
      </c>
      <c r="BQ11" s="18">
        <f>MAX(0, $A11-BQ$4)*IF(RTD("tos.rtd",,"OPEN_INT","."&amp;$AA$3&amp;$AA$4&amp;"C"&amp;BQ$4)="N/A",0,RTD("tos.rtd",,"OPEN_INT","."&amp;$AA$3&amp;$AA$4&amp;"C"&amp;BQ$4))*100 + MAX(0, BQ$4-$A11)*IF(RTD("tos.rtd",,"OPEN_INT","."&amp;$AA$3&amp;$AA$4&amp;"P"&amp;BQ$4)="N/A",0,RTD("tos.rtd",,"OPEN_INT","."&amp;$AA$3&amp;$AA$4&amp;"P"&amp;BQ$4))*100</f>
        <v>0</v>
      </c>
      <c r="BR11" s="18">
        <f>MAX(0, $A11-BR$4)*IF(RTD("tos.rtd",,"OPEN_INT","."&amp;$AA$3&amp;$AA$4&amp;"C"&amp;BR$4)="N/A",0,RTD("tos.rtd",,"OPEN_INT","."&amp;$AA$3&amp;$AA$4&amp;"C"&amp;BR$4))*100 + MAX(0, BR$4-$A11)*IF(RTD("tos.rtd",,"OPEN_INT","."&amp;$AA$3&amp;$AA$4&amp;"P"&amp;BR$4)="N/A",0,RTD("tos.rtd",,"OPEN_INT","."&amp;$AA$3&amp;$AA$4&amp;"P"&amp;BR$4))*100</f>
        <v>0</v>
      </c>
      <c r="BS11" s="18">
        <f>MAX(0, $A11-BS$4)*IF(RTD("tos.rtd",,"OPEN_INT","."&amp;$AA$3&amp;$AA$4&amp;"C"&amp;BS$4)="N/A",0,RTD("tos.rtd",,"OPEN_INT","."&amp;$AA$3&amp;$AA$4&amp;"C"&amp;BS$4))*100 + MAX(0, BS$4-$A11)*IF(RTD("tos.rtd",,"OPEN_INT","."&amp;$AA$3&amp;$AA$4&amp;"P"&amp;BS$4)="N/A",0,RTD("tos.rtd",,"OPEN_INT","."&amp;$AA$3&amp;$AA$4&amp;"P"&amp;BS$4))*100</f>
        <v>0</v>
      </c>
      <c r="BT11" s="18">
        <f>MAX(0, $A11-BT$4)*IF(RTD("tos.rtd",,"OPEN_INT","."&amp;$AA$3&amp;$AA$4&amp;"C"&amp;BT$4)="N/A",0,RTD("tos.rtd",,"OPEN_INT","."&amp;$AA$3&amp;$AA$4&amp;"C"&amp;BT$4))*100 + MAX(0, BT$4-$A11)*IF(RTD("tos.rtd",,"OPEN_INT","."&amp;$AA$3&amp;$AA$4&amp;"P"&amp;BT$4)="N/A",0,RTD("tos.rtd",,"OPEN_INT","."&amp;$AA$3&amp;$AA$4&amp;"P"&amp;BT$4))*100</f>
        <v>0</v>
      </c>
      <c r="BU11" s="18">
        <f>MAX(0, $A11-BU$4)*IF(RTD("tos.rtd",,"OPEN_INT","."&amp;$AA$3&amp;$AA$4&amp;"C"&amp;BU$4)="N/A",0,RTD("tos.rtd",,"OPEN_INT","."&amp;$AA$3&amp;$AA$4&amp;"C"&amp;BU$4))*100 + MAX(0, BU$4-$A11)*IF(RTD("tos.rtd",,"OPEN_INT","."&amp;$AA$3&amp;$AA$4&amp;"P"&amp;BU$4)="N/A",0,RTD("tos.rtd",,"OPEN_INT","."&amp;$AA$3&amp;$AA$4&amp;"P"&amp;BU$4))*100</f>
        <v>0</v>
      </c>
      <c r="BV11" s="18">
        <f>MAX(0, $A11-BV$4)*IF(RTD("tos.rtd",,"OPEN_INT","."&amp;$AA$3&amp;$AA$4&amp;"C"&amp;BV$4)="N/A",0,RTD("tos.rtd",,"OPEN_INT","."&amp;$AA$3&amp;$AA$4&amp;"C"&amp;BV$4))*100 + MAX(0, BV$4-$A11)*IF(RTD("tos.rtd",,"OPEN_INT","."&amp;$AA$3&amp;$AA$4&amp;"P"&amp;BV$4)="N/A",0,RTD("tos.rtd",,"OPEN_INT","."&amp;$AA$3&amp;$AA$4&amp;"P"&amp;BV$4))*100</f>
        <v>0</v>
      </c>
    </row>
    <row r="12" spans="1:74" s="19" customFormat="1" ht="11.1" customHeight="1" thickBot="1" x14ac:dyDescent="0.3">
      <c r="A12" s="23">
        <f t="shared" si="6"/>
        <v>18</v>
      </c>
      <c r="B12" s="14">
        <f ca="1">IF($A$2="PREMIUM_OI",IFERROR(IF($X$1="ABS",(100*RTD("tos.rtd",,"OPEN_INT","."&amp;B$2&amp;B$1&amp;"C"&amp;$A12)*RTD("tos.rtd",,"LAST","."&amp;B$2&amp;B$1&amp;"C"&amp;$A12)+100*RTD("tos.rtd",,"OPEN_INT","."&amp;B$2&amp;B$1&amp;"P"&amp;$A12)*RTD("tos.rtd",,"LAST","."&amp;B$2&amp;B$1&amp;"P"&amp;$A12))/1000000,(100*RTD("tos.rtd",,"OPEN_INT","."&amp;B$2&amp;B$1&amp;"C"&amp;$A12)*RTD("tos.rtd",,"LAST","."&amp;B$2&amp;B$1&amp;"C"&amp;$A12)-100*RTD("tos.rtd",,"OPEN_INT","."&amp;B$2&amp;B$1&amp;"P"&amp;$A12)*RTD("tos.rtd",,"LAST","."&amp;B$2&amp;B$1&amp;"P"&amp;$A12))/1000000),0),IF($A$2="PREMIUM",IFERROR(IF($X$1="ABS",(100*RTD("tos.rtd",,"VOLUME","."&amp;B$2&amp;B$1&amp;"C"&amp;$A12)*RTD("tos.rtd",,"LAST","."&amp;B$2&amp;B$1&amp;"C"&amp;$A12)+100*RTD("tos.rtd",,"VOLUME","."&amp;B$2&amp;B$1&amp;"P"&amp;$A12)*RTD("tos.rtd",,"LAST","."&amp;B$2&amp;B$1&amp;"P"&amp;$A12))/1000000,(100*RTD("tos.rtd",,"VOLUME","."&amp;B$2&amp;B$1&amp;"C"&amp;$A12)*RTD("tos.rtd",,"LAST","."&amp;B$2&amp;B$1&amp;"C"&amp;$A12)-100*RTD("tos.rtd",,"VOLUME","."&amp;B$2&amp;B$1&amp;"P"&amp;$A12)*RTD("tos.rtd",,"LAST","."&amp;B$2&amp;B$1&amp;"P"&amp;$A12))/1000000),0),IF($A$2="DEX",IFERROR(IF($X$1="ABS",(100*RTD("tos.rtd",,"OPEN_INT","."&amp;B$2&amp;B$1&amp;"C"&amp;$A12)*RTD("tos.rtd",,"DELTA","."&amp;B$2&amp;B$1&amp;"C"&amp;$A12)+100*RTD("tos.rtd",,"OPEN_INT","."&amp;B$2&amp;B$1&amp;"P"&amp;$A12)*RTD("tos.rtd",,"DELTA","."&amp;B$2&amp;B$1&amp;"P"&amp;$A12))/1000,(100*RTD("tos.rtd",,"OPEN_INT","."&amp;B$2&amp;B$1&amp;"C"&amp;$A12)*RTD("tos.rtd",,"DELTA","."&amp;B$2&amp;B$1&amp;"C"&amp;$A12)-100*RTD("tos.rtd",,"OPEN_INT","."&amp;B$2&amp;B$1&amp;"P"&amp;$A12)*RTD("tos.rtd",,"DELTA","."&amp;B$2&amp;B$1&amp;"P"&amp;$A12))/1000),0),IF($A$2="VEX",IFERROR(IF($X$1="ABS",($A$4*$A$4*RTD("tos.rtd",,"VOLUME","."&amp;B$2&amp;B$1&amp;"C"&amp;$A12)*RTD("tos.rtd",,"GAMMA","."&amp;B$2&amp;B$1&amp;"C"&amp;$A12)+$A$4*$A$4*RTD("tos.rtd",,"VOLUME","."&amp;B$2&amp;B$1&amp;"P"&amp;$A12)*RTD("tos.rtd",,"GAMMA","."&amp;B$2&amp;B$1&amp;"P"&amp;$A12))/1000000,($A$4*$A$4*RTD("tos.rtd",,"VOLUME","."&amp;B$2&amp;B$1&amp;"C"&amp;$A12)*RTD("tos.rtd",,"GAMMA","."&amp;B$2&amp;B$1&amp;"C"&amp;$A12)-$A$4*$A$4*RTD("tos.rtd",,"VOLUME","."&amp;B$2&amp;B$1&amp;"P"&amp;$A12)*RTD("tos.rtd",,"GAMMA","."&amp;B$2&amp;B$1&amp;"P"&amp;$A12))/1000000),0),IF($A$2="GEX",IFERROR(IF($X$1="ABS",($A$4*$A$4*RTD("tos.rtd",,"OPEN_INT","."&amp;B$2&amp;B$1&amp;"C"&amp;$A12)*RTD("tos.rtd",,"GAMMA","."&amp;B$2&amp;B$1&amp;"C"&amp;$A12)+$A$4*$A$4*RTD("tos.rtd",,"OPEN_INT","."&amp;B$2&amp;B$1&amp;"P"&amp;$A12)*RTD("tos.rtd",,"GAMMA","."&amp;B$2&amp;B$1&amp;"P"&amp;$A12))/1000000,($A$4*$A$4*RTD("tos.rtd",,"OPEN_INT","."&amp;B$2&amp;B$1&amp;"C"&amp;$A12)*RTD("tos.rtd",,"GAMMA","."&amp;B$2&amp;B$1&amp;"C"&amp;$A12)-$A$4*$A$4*RTD("tos.rtd",,"OPEN_INT","."&amp;B$2&amp;B$1&amp;"P"&amp;$A12)*RTD("tos.rtd",,"GAMMA","."&amp;B$2&amp;B$1&amp;"P"&amp;$A12))/1000000),0),IF($A$2="SKEW",IFERROR(VALUE(IF(RTD("tos.rtd",,"IMPL_VOL","."&amp;B$2&amp;B$1&amp;"P"&amp;$A12)="N/A",0,RTD("tos.rtd",,"IMPL_VOL","."&amp;B$2&amp;B$1&amp;"P"&amp;$A12))),0)-IFERROR(VALUE(IF(RTD("tos.rtd",,"IMPL_VOL","."&amp;B$2&amp;B$1&amp;"C"&amp;$A12)="N/A",0,RTD("tos.rtd",,"IMPL_VOL","."&amp;B$2&amp;B$1&amp;"C"&amp;$A12))),0),IF($A$2="MAXPAIN",IF($A$4&gt;$A12,($A$4-$A12)*IF(RTD("tos.rtd",,"OPEN_INT","."&amp;B$2&amp;B$1&amp;"C"&amp;$A12)="N/A",0,RTD("tos.rtd",,"OPEN_INT","."&amp;B$2&amp;B$1&amp;"C"&amp;$A12)),0)+IF($A$4&lt;$A12,($A$5-$A$4)*IF(RTD("tos.rtd",,"OPEN_INT","."&amp;B$2&amp;B$1&amp;"P"&amp;$A12)="N/A",0,RTD("tos.rtd",,"OPEN_INT","."&amp;B$2&amp;B$1&amp;"P"&amp;$A12)),0),IF($X$1="ABS",IF(RTD("tos.rtd",,$A$2,"."&amp;B$2&amp;B$1&amp;"C"&amp;$A12)="N/A",0,RTD("tos.rtd",,$A$2,"."&amp;B$2&amp;B$1&amp;"C"&amp;$A12))+IF(RTD("tos.rtd",,$A$2,"."&amp;B$2&amp;B$1&amp;"P"&amp;$A12)="N/A",0,RTD("tos.rtd",,$A$2,"."&amp;B$2&amp;B$1&amp;"P"&amp;$A12)),IF(RTD("tos.rtd",,$A$2,"."&amp;B$2&amp;B$1&amp;"C"&amp;$A12)="N/A",0,RTD("tos.rtd",,$A$2,"."&amp;B$2&amp;B$1&amp;"C"&amp;$A12))-IF(RTD("tos.rtd",,$A$2,"."&amp;B$2&amp;B$1&amp;"P"&amp;$A12)="N/A",0,RTD("tos.rtd",,$A$2,"."&amp;B$2&amp;B$1&amp;"P"&amp;$A12))))))))))</f>
        <v>0</v>
      </c>
      <c r="C12" s="12">
        <f ca="1">IF($A$2="PREMIUM_OI",IFERROR(IF($X$1="ABS",(100*RTD("tos.rtd",,"OPEN_INT","."&amp;C$2&amp;C$1&amp;"C"&amp;$A12)*RTD("tos.rtd",,"LAST","."&amp;C$2&amp;C$1&amp;"C"&amp;$A12)+100*RTD("tos.rtd",,"OPEN_INT","."&amp;C$2&amp;C$1&amp;"P"&amp;$A12)*RTD("tos.rtd",,"LAST","."&amp;C$2&amp;C$1&amp;"P"&amp;$A12))/1000000,(100*RTD("tos.rtd",,"OPEN_INT","."&amp;C$2&amp;C$1&amp;"C"&amp;$A12)*RTD("tos.rtd",,"LAST","."&amp;C$2&amp;C$1&amp;"C"&amp;$A12)-100*RTD("tos.rtd",,"OPEN_INT","."&amp;C$2&amp;C$1&amp;"P"&amp;$A12)*RTD("tos.rtd",,"LAST","."&amp;C$2&amp;C$1&amp;"P"&amp;$A12))/1000000),0),IF($A$2="PREMIUM",IFERROR(IF($X$1="ABS",(100*RTD("tos.rtd",,"VOLUME","."&amp;C$2&amp;C$1&amp;"C"&amp;$A12)*RTD("tos.rtd",,"LAST","."&amp;C$2&amp;C$1&amp;"C"&amp;$A12)+100*RTD("tos.rtd",,"VOLUME","."&amp;C$2&amp;C$1&amp;"P"&amp;$A12)*RTD("tos.rtd",,"LAST","."&amp;C$2&amp;C$1&amp;"P"&amp;$A12))/1000000,(100*RTD("tos.rtd",,"VOLUME","."&amp;C$2&amp;C$1&amp;"C"&amp;$A12)*RTD("tos.rtd",,"LAST","."&amp;C$2&amp;C$1&amp;"C"&amp;$A12)-100*RTD("tos.rtd",,"VOLUME","."&amp;C$2&amp;C$1&amp;"P"&amp;$A12)*RTD("tos.rtd",,"LAST","."&amp;C$2&amp;C$1&amp;"P"&amp;$A12))/1000000),0),IF($A$2="DEX",IFERROR(IF($X$1="ABS",(100*RTD("tos.rtd",,"OPEN_INT","."&amp;C$2&amp;C$1&amp;"C"&amp;$A12)*RTD("tos.rtd",,"DELTA","."&amp;C$2&amp;C$1&amp;"C"&amp;$A12)+100*RTD("tos.rtd",,"OPEN_INT","."&amp;C$2&amp;C$1&amp;"P"&amp;$A12)*RTD("tos.rtd",,"DELTA","."&amp;C$2&amp;C$1&amp;"P"&amp;$A12))/1000,(100*RTD("tos.rtd",,"OPEN_INT","."&amp;C$2&amp;C$1&amp;"C"&amp;$A12)*RTD("tos.rtd",,"DELTA","."&amp;C$2&amp;C$1&amp;"C"&amp;$A12)-100*RTD("tos.rtd",,"OPEN_INT","."&amp;C$2&amp;C$1&amp;"P"&amp;$A12)*RTD("tos.rtd",,"DELTA","."&amp;C$2&amp;C$1&amp;"P"&amp;$A12))/1000),0),IF($A$2="VEX",IFERROR(IF($X$1="ABS",($A$4*$A$4*RTD("tos.rtd",,"VOLUME","."&amp;C$2&amp;C$1&amp;"C"&amp;$A12)*RTD("tos.rtd",,"GAMMA","."&amp;C$2&amp;C$1&amp;"C"&amp;$A12)+$A$4*$A$4*RTD("tos.rtd",,"VOLUME","."&amp;C$2&amp;C$1&amp;"P"&amp;$A12)*RTD("tos.rtd",,"GAMMA","."&amp;C$2&amp;C$1&amp;"P"&amp;$A12))/1000000,($A$4*$A$4*RTD("tos.rtd",,"VOLUME","."&amp;C$2&amp;C$1&amp;"C"&amp;$A12)*RTD("tos.rtd",,"GAMMA","."&amp;C$2&amp;C$1&amp;"C"&amp;$A12)-$A$4*$A$4*RTD("tos.rtd",,"VOLUME","."&amp;C$2&amp;C$1&amp;"P"&amp;$A12)*RTD("tos.rtd",,"GAMMA","."&amp;C$2&amp;C$1&amp;"P"&amp;$A12))/1000000),0),IF($A$2="GEX",IFERROR(IF($X$1="ABS",($A$4*$A$4*RTD("tos.rtd",,"OPEN_INT","."&amp;C$2&amp;C$1&amp;"C"&amp;$A12)*RTD("tos.rtd",,"GAMMA","."&amp;C$2&amp;C$1&amp;"C"&amp;$A12)+$A$4*$A$4*RTD("tos.rtd",,"OPEN_INT","."&amp;C$2&amp;C$1&amp;"P"&amp;$A12)*RTD("tos.rtd",,"GAMMA","."&amp;C$2&amp;C$1&amp;"P"&amp;$A12))/1000000,($A$4*$A$4*RTD("tos.rtd",,"OPEN_INT","."&amp;C$2&amp;C$1&amp;"C"&amp;$A12)*RTD("tos.rtd",,"GAMMA","."&amp;C$2&amp;C$1&amp;"C"&amp;$A12)-$A$4*$A$4*RTD("tos.rtd",,"OPEN_INT","."&amp;C$2&amp;C$1&amp;"P"&amp;$A12)*RTD("tos.rtd",,"GAMMA","."&amp;C$2&amp;C$1&amp;"P"&amp;$A12))/1000000),0),IF($A$2="SKEW",IFERROR(VALUE(IF(RTD("tos.rtd",,"IMPL_VOL","."&amp;C$2&amp;C$1&amp;"P"&amp;$A12)="N/A",0,RTD("tos.rtd",,"IMPL_VOL","."&amp;C$2&amp;C$1&amp;"P"&amp;$A12))),0)-IFERROR(VALUE(IF(RTD("tos.rtd",,"IMPL_VOL","."&amp;C$2&amp;C$1&amp;"C"&amp;$A12)="N/A",0,RTD("tos.rtd",,"IMPL_VOL","."&amp;C$2&amp;C$1&amp;"C"&amp;$A12))),0),IF($A$2="MAXPAIN",IF($A$4&gt;$A12,($A$4-$A12)*IF(RTD("tos.rtd",,"OPEN_INT","."&amp;C$2&amp;C$1&amp;"C"&amp;$A12)="N/A",0,RTD("tos.rtd",,"OPEN_INT","."&amp;C$2&amp;C$1&amp;"C"&amp;$A12)),0)+IF($A$4&lt;$A12,($A$5-$A$4)*IF(RTD("tos.rtd",,"OPEN_INT","."&amp;C$2&amp;C$1&amp;"P"&amp;$A12)="N/A",0,RTD("tos.rtd",,"OPEN_INT","."&amp;C$2&amp;C$1&amp;"P"&amp;$A12)),0),IF($X$1="ABS",IF(RTD("tos.rtd",,$A$2,"."&amp;C$2&amp;C$1&amp;"C"&amp;$A12)="N/A",0,RTD("tos.rtd",,$A$2,"."&amp;C$2&amp;C$1&amp;"C"&amp;$A12))+IF(RTD("tos.rtd",,$A$2,"."&amp;C$2&amp;C$1&amp;"P"&amp;$A12)="N/A",0,RTD("tos.rtd",,$A$2,"."&amp;C$2&amp;C$1&amp;"P"&amp;$A12)),IF(RTD("tos.rtd",,$A$2,"."&amp;C$2&amp;C$1&amp;"C"&amp;$A12)="N/A",0,RTD("tos.rtd",,$A$2,"."&amp;C$2&amp;C$1&amp;"C"&amp;$A12))-IF(RTD("tos.rtd",,$A$2,"."&amp;C$2&amp;C$1&amp;"P"&amp;$A12)="N/A",0,RTD("tos.rtd",,$A$2,"."&amp;C$2&amp;C$1&amp;"P"&amp;$A12))))))))))</f>
        <v>2713</v>
      </c>
      <c r="D12" s="12">
        <f ca="1">IF($A$2="PREMIUM_OI",IFERROR(IF($X$1="ABS",(100*RTD("tos.rtd",,"OPEN_INT","."&amp;D$2&amp;D$1&amp;"C"&amp;$A12)*RTD("tos.rtd",,"LAST","."&amp;D$2&amp;D$1&amp;"C"&amp;$A12)+100*RTD("tos.rtd",,"OPEN_INT","."&amp;D$2&amp;D$1&amp;"P"&amp;$A12)*RTD("tos.rtd",,"LAST","."&amp;D$2&amp;D$1&amp;"P"&amp;$A12))/1000000,(100*RTD("tos.rtd",,"OPEN_INT","."&amp;D$2&amp;D$1&amp;"C"&amp;$A12)*RTD("tos.rtd",,"LAST","."&amp;D$2&amp;D$1&amp;"C"&amp;$A12)-100*RTD("tos.rtd",,"OPEN_INT","."&amp;D$2&amp;D$1&amp;"P"&amp;$A12)*RTD("tos.rtd",,"LAST","."&amp;D$2&amp;D$1&amp;"P"&amp;$A12))/1000000),0),IF($A$2="PREMIUM",IFERROR(IF($X$1="ABS",(100*RTD("tos.rtd",,"VOLUME","."&amp;D$2&amp;D$1&amp;"C"&amp;$A12)*RTD("tos.rtd",,"LAST","."&amp;D$2&amp;D$1&amp;"C"&amp;$A12)+100*RTD("tos.rtd",,"VOLUME","."&amp;D$2&amp;D$1&amp;"P"&amp;$A12)*RTD("tos.rtd",,"LAST","."&amp;D$2&amp;D$1&amp;"P"&amp;$A12))/1000000,(100*RTD("tos.rtd",,"VOLUME","."&amp;D$2&amp;D$1&amp;"C"&amp;$A12)*RTD("tos.rtd",,"LAST","."&amp;D$2&amp;D$1&amp;"C"&amp;$A12)-100*RTD("tos.rtd",,"VOLUME","."&amp;D$2&amp;D$1&amp;"P"&amp;$A12)*RTD("tos.rtd",,"LAST","."&amp;D$2&amp;D$1&amp;"P"&amp;$A12))/1000000),0),IF($A$2="DEX",IFERROR(IF($X$1="ABS",(100*RTD("tos.rtd",,"OPEN_INT","."&amp;D$2&amp;D$1&amp;"C"&amp;$A12)*RTD("tos.rtd",,"DELTA","."&amp;D$2&amp;D$1&amp;"C"&amp;$A12)+100*RTD("tos.rtd",,"OPEN_INT","."&amp;D$2&amp;D$1&amp;"P"&amp;$A12)*RTD("tos.rtd",,"DELTA","."&amp;D$2&amp;D$1&amp;"P"&amp;$A12))/1000,(100*RTD("tos.rtd",,"OPEN_INT","."&amp;D$2&amp;D$1&amp;"C"&amp;$A12)*RTD("tos.rtd",,"DELTA","."&amp;D$2&amp;D$1&amp;"C"&amp;$A12)-100*RTD("tos.rtd",,"OPEN_INT","."&amp;D$2&amp;D$1&amp;"P"&amp;$A12)*RTD("tos.rtd",,"DELTA","."&amp;D$2&amp;D$1&amp;"P"&amp;$A12))/1000),0),IF($A$2="VEX",IFERROR(IF($X$1="ABS",($A$4*$A$4*RTD("tos.rtd",,"VOLUME","."&amp;D$2&amp;D$1&amp;"C"&amp;$A12)*RTD("tos.rtd",,"GAMMA","."&amp;D$2&amp;D$1&amp;"C"&amp;$A12)+$A$4*$A$4*RTD("tos.rtd",,"VOLUME","."&amp;D$2&amp;D$1&amp;"P"&amp;$A12)*RTD("tos.rtd",,"GAMMA","."&amp;D$2&amp;D$1&amp;"P"&amp;$A12))/1000000,($A$4*$A$4*RTD("tos.rtd",,"VOLUME","."&amp;D$2&amp;D$1&amp;"C"&amp;$A12)*RTD("tos.rtd",,"GAMMA","."&amp;D$2&amp;D$1&amp;"C"&amp;$A12)-$A$4*$A$4*RTD("tos.rtd",,"VOLUME","."&amp;D$2&amp;D$1&amp;"P"&amp;$A12)*RTD("tos.rtd",,"GAMMA","."&amp;D$2&amp;D$1&amp;"P"&amp;$A12))/1000000),0),IF($A$2="GEX",IFERROR(IF($X$1="ABS",($A$4*$A$4*RTD("tos.rtd",,"OPEN_INT","."&amp;D$2&amp;D$1&amp;"C"&amp;$A12)*RTD("tos.rtd",,"GAMMA","."&amp;D$2&amp;D$1&amp;"C"&amp;$A12)+$A$4*$A$4*RTD("tos.rtd",,"OPEN_INT","."&amp;D$2&amp;D$1&amp;"P"&amp;$A12)*RTD("tos.rtd",,"GAMMA","."&amp;D$2&amp;D$1&amp;"P"&amp;$A12))/1000000,($A$4*$A$4*RTD("tos.rtd",,"OPEN_INT","."&amp;D$2&amp;D$1&amp;"C"&amp;$A12)*RTD("tos.rtd",,"GAMMA","."&amp;D$2&amp;D$1&amp;"C"&amp;$A12)-$A$4*$A$4*RTD("tos.rtd",,"OPEN_INT","."&amp;D$2&amp;D$1&amp;"P"&amp;$A12)*RTD("tos.rtd",,"GAMMA","."&amp;D$2&amp;D$1&amp;"P"&amp;$A12))/1000000),0),IF($A$2="SKEW",IFERROR(VALUE(IF(RTD("tos.rtd",,"IMPL_VOL","."&amp;D$2&amp;D$1&amp;"P"&amp;$A12)="N/A",0,RTD("tos.rtd",,"IMPL_VOL","."&amp;D$2&amp;D$1&amp;"P"&amp;$A12))),0)-IFERROR(VALUE(IF(RTD("tos.rtd",,"IMPL_VOL","."&amp;D$2&amp;D$1&amp;"C"&amp;$A12)="N/A",0,RTD("tos.rtd",,"IMPL_VOL","."&amp;D$2&amp;D$1&amp;"C"&amp;$A12))),0),IF($A$2="MAXPAIN",IF($A$4&gt;$A12,($A$4-$A12)*IF(RTD("tos.rtd",,"OPEN_INT","."&amp;D$2&amp;D$1&amp;"C"&amp;$A12)="N/A",0,RTD("tos.rtd",,"OPEN_INT","."&amp;D$2&amp;D$1&amp;"C"&amp;$A12)),0)+IF($A$4&lt;$A12,($A$5-$A$4)*IF(RTD("tos.rtd",,"OPEN_INT","."&amp;D$2&amp;D$1&amp;"P"&amp;$A12)="N/A",0,RTD("tos.rtd",,"OPEN_INT","."&amp;D$2&amp;D$1&amp;"P"&amp;$A12)),0),IF($X$1="ABS",IF(RTD("tos.rtd",,$A$2,"."&amp;D$2&amp;D$1&amp;"C"&amp;$A12)="N/A",0,RTD("tos.rtd",,$A$2,"."&amp;D$2&amp;D$1&amp;"C"&amp;$A12))+IF(RTD("tos.rtd",,$A$2,"."&amp;D$2&amp;D$1&amp;"P"&amp;$A12)="N/A",0,RTD("tos.rtd",,$A$2,"."&amp;D$2&amp;D$1&amp;"P"&amp;$A12)),IF(RTD("tos.rtd",,$A$2,"."&amp;D$2&amp;D$1&amp;"C"&amp;$A12)="N/A",0,RTD("tos.rtd",,$A$2,"."&amp;D$2&amp;D$1&amp;"C"&amp;$A12))-IF(RTD("tos.rtd",,$A$2,"."&amp;D$2&amp;D$1&amp;"P"&amp;$A12)="N/A",0,RTD("tos.rtd",,$A$2,"."&amp;D$2&amp;D$1&amp;"P"&amp;$A12))))))))))</f>
        <v>561</v>
      </c>
      <c r="E12" s="12">
        <f ca="1">IF($A$2="PREMIUM_OI",IFERROR(IF($X$1="ABS",(100*RTD("tos.rtd",,"OPEN_INT","."&amp;E$2&amp;E$1&amp;"C"&amp;$A12)*RTD("tos.rtd",,"LAST","."&amp;E$2&amp;E$1&amp;"C"&amp;$A12)+100*RTD("tos.rtd",,"OPEN_INT","."&amp;E$2&amp;E$1&amp;"P"&amp;$A12)*RTD("tos.rtd",,"LAST","."&amp;E$2&amp;E$1&amp;"P"&amp;$A12))/1000000,(100*RTD("tos.rtd",,"OPEN_INT","."&amp;E$2&amp;E$1&amp;"C"&amp;$A12)*RTD("tos.rtd",,"LAST","."&amp;E$2&amp;E$1&amp;"C"&amp;$A12)-100*RTD("tos.rtd",,"OPEN_INT","."&amp;E$2&amp;E$1&amp;"P"&amp;$A12)*RTD("tos.rtd",,"LAST","."&amp;E$2&amp;E$1&amp;"P"&amp;$A12))/1000000),0),IF($A$2="PREMIUM",IFERROR(IF($X$1="ABS",(100*RTD("tos.rtd",,"VOLUME","."&amp;E$2&amp;E$1&amp;"C"&amp;$A12)*RTD("tos.rtd",,"LAST","."&amp;E$2&amp;E$1&amp;"C"&amp;$A12)+100*RTD("tos.rtd",,"VOLUME","."&amp;E$2&amp;E$1&amp;"P"&amp;$A12)*RTD("tos.rtd",,"LAST","."&amp;E$2&amp;E$1&amp;"P"&amp;$A12))/1000000,(100*RTD("tos.rtd",,"VOLUME","."&amp;E$2&amp;E$1&amp;"C"&amp;$A12)*RTD("tos.rtd",,"LAST","."&amp;E$2&amp;E$1&amp;"C"&amp;$A12)-100*RTD("tos.rtd",,"VOLUME","."&amp;E$2&amp;E$1&amp;"P"&amp;$A12)*RTD("tos.rtd",,"LAST","."&amp;E$2&amp;E$1&amp;"P"&amp;$A12))/1000000),0),IF($A$2="DEX",IFERROR(IF($X$1="ABS",(100*RTD("tos.rtd",,"OPEN_INT","."&amp;E$2&amp;E$1&amp;"C"&amp;$A12)*RTD("tos.rtd",,"DELTA","."&amp;E$2&amp;E$1&amp;"C"&amp;$A12)+100*RTD("tos.rtd",,"OPEN_INT","."&amp;E$2&amp;E$1&amp;"P"&amp;$A12)*RTD("tos.rtd",,"DELTA","."&amp;E$2&amp;E$1&amp;"P"&amp;$A12))/1000,(100*RTD("tos.rtd",,"OPEN_INT","."&amp;E$2&amp;E$1&amp;"C"&amp;$A12)*RTD("tos.rtd",,"DELTA","."&amp;E$2&amp;E$1&amp;"C"&amp;$A12)-100*RTD("tos.rtd",,"OPEN_INT","."&amp;E$2&amp;E$1&amp;"P"&amp;$A12)*RTD("tos.rtd",,"DELTA","."&amp;E$2&amp;E$1&amp;"P"&amp;$A12))/1000),0),IF($A$2="VEX",IFERROR(IF($X$1="ABS",($A$4*$A$4*RTD("tos.rtd",,"VOLUME","."&amp;E$2&amp;E$1&amp;"C"&amp;$A12)*RTD("tos.rtd",,"GAMMA","."&amp;E$2&amp;E$1&amp;"C"&amp;$A12)+$A$4*$A$4*RTD("tos.rtd",,"VOLUME","."&amp;E$2&amp;E$1&amp;"P"&amp;$A12)*RTD("tos.rtd",,"GAMMA","."&amp;E$2&amp;E$1&amp;"P"&amp;$A12))/1000000,($A$4*$A$4*RTD("tos.rtd",,"VOLUME","."&amp;E$2&amp;E$1&amp;"C"&amp;$A12)*RTD("tos.rtd",,"GAMMA","."&amp;E$2&amp;E$1&amp;"C"&amp;$A12)-$A$4*$A$4*RTD("tos.rtd",,"VOLUME","."&amp;E$2&amp;E$1&amp;"P"&amp;$A12)*RTD("tos.rtd",,"GAMMA","."&amp;E$2&amp;E$1&amp;"P"&amp;$A12))/1000000),0),IF($A$2="GEX",IFERROR(IF($X$1="ABS",($A$4*$A$4*RTD("tos.rtd",,"OPEN_INT","."&amp;E$2&amp;E$1&amp;"C"&amp;$A12)*RTD("tos.rtd",,"GAMMA","."&amp;E$2&amp;E$1&amp;"C"&amp;$A12)+$A$4*$A$4*RTD("tos.rtd",,"OPEN_INT","."&amp;E$2&amp;E$1&amp;"P"&amp;$A12)*RTD("tos.rtd",,"GAMMA","."&amp;E$2&amp;E$1&amp;"P"&amp;$A12))/1000000,($A$4*$A$4*RTD("tos.rtd",,"OPEN_INT","."&amp;E$2&amp;E$1&amp;"C"&amp;$A12)*RTD("tos.rtd",,"GAMMA","."&amp;E$2&amp;E$1&amp;"C"&amp;$A12)-$A$4*$A$4*RTD("tos.rtd",,"OPEN_INT","."&amp;E$2&amp;E$1&amp;"P"&amp;$A12)*RTD("tos.rtd",,"GAMMA","."&amp;E$2&amp;E$1&amp;"P"&amp;$A12))/1000000),0),IF($A$2="SKEW",IFERROR(VALUE(IF(RTD("tos.rtd",,"IMPL_VOL","."&amp;E$2&amp;E$1&amp;"P"&amp;$A12)="N/A",0,RTD("tos.rtd",,"IMPL_VOL","."&amp;E$2&amp;E$1&amp;"P"&amp;$A12))),0)-IFERROR(VALUE(IF(RTD("tos.rtd",,"IMPL_VOL","."&amp;E$2&amp;E$1&amp;"C"&amp;$A12)="N/A",0,RTD("tos.rtd",,"IMPL_VOL","."&amp;E$2&amp;E$1&amp;"C"&amp;$A12))),0),IF($A$2="MAXPAIN",IF($A$4&gt;$A12,($A$4-$A12)*IF(RTD("tos.rtd",,"OPEN_INT","."&amp;E$2&amp;E$1&amp;"C"&amp;$A12)="N/A",0,RTD("tos.rtd",,"OPEN_INT","."&amp;E$2&amp;E$1&amp;"C"&amp;$A12)),0)+IF($A$4&lt;$A12,($A$5-$A$4)*IF(RTD("tos.rtd",,"OPEN_INT","."&amp;E$2&amp;E$1&amp;"P"&amp;$A12)="N/A",0,RTD("tos.rtd",,"OPEN_INT","."&amp;E$2&amp;E$1&amp;"P"&amp;$A12)),0),IF($X$1="ABS",IF(RTD("tos.rtd",,$A$2,"."&amp;E$2&amp;E$1&amp;"C"&amp;$A12)="N/A",0,RTD("tos.rtd",,$A$2,"."&amp;E$2&amp;E$1&amp;"C"&amp;$A12))+IF(RTD("tos.rtd",,$A$2,"."&amp;E$2&amp;E$1&amp;"P"&amp;$A12)="N/A",0,RTD("tos.rtd",,$A$2,"."&amp;E$2&amp;E$1&amp;"P"&amp;$A12)),IF(RTD("tos.rtd",,$A$2,"."&amp;E$2&amp;E$1&amp;"C"&amp;$A12)="N/A",0,RTD("tos.rtd",,$A$2,"."&amp;E$2&amp;E$1&amp;"C"&amp;$A12))-IF(RTD("tos.rtd",,$A$2,"."&amp;E$2&amp;E$1&amp;"P"&amp;$A12)="N/A",0,RTD("tos.rtd",,$A$2,"."&amp;E$2&amp;E$1&amp;"P"&amp;$A12))))))))))</f>
        <v>0</v>
      </c>
      <c r="F12" s="12">
        <f ca="1">IF($A$2="PREMIUM_OI",IFERROR(IF($X$1="ABS",(100*RTD("tos.rtd",,"OPEN_INT","."&amp;F$2&amp;F$1&amp;"C"&amp;$A12)*RTD("tos.rtd",,"LAST","."&amp;F$2&amp;F$1&amp;"C"&amp;$A12)+100*RTD("tos.rtd",,"OPEN_INT","."&amp;F$2&amp;F$1&amp;"P"&amp;$A12)*RTD("tos.rtd",,"LAST","."&amp;F$2&amp;F$1&amp;"P"&amp;$A12))/1000000,(100*RTD("tos.rtd",,"OPEN_INT","."&amp;F$2&amp;F$1&amp;"C"&amp;$A12)*RTD("tos.rtd",,"LAST","."&amp;F$2&amp;F$1&amp;"C"&amp;$A12)-100*RTD("tos.rtd",,"OPEN_INT","."&amp;F$2&amp;F$1&amp;"P"&amp;$A12)*RTD("tos.rtd",,"LAST","."&amp;F$2&amp;F$1&amp;"P"&amp;$A12))/1000000),0),IF($A$2="PREMIUM",IFERROR(IF($X$1="ABS",(100*RTD("tos.rtd",,"VOLUME","."&amp;F$2&amp;F$1&amp;"C"&amp;$A12)*RTD("tos.rtd",,"LAST","."&amp;F$2&amp;F$1&amp;"C"&amp;$A12)+100*RTD("tos.rtd",,"VOLUME","."&amp;F$2&amp;F$1&amp;"P"&amp;$A12)*RTD("tos.rtd",,"LAST","."&amp;F$2&amp;F$1&amp;"P"&amp;$A12))/1000000,(100*RTD("tos.rtd",,"VOLUME","."&amp;F$2&amp;F$1&amp;"C"&amp;$A12)*RTD("tos.rtd",,"LAST","."&amp;F$2&amp;F$1&amp;"C"&amp;$A12)-100*RTD("tos.rtd",,"VOLUME","."&amp;F$2&amp;F$1&amp;"P"&amp;$A12)*RTD("tos.rtd",,"LAST","."&amp;F$2&amp;F$1&amp;"P"&amp;$A12))/1000000),0),IF($A$2="DEX",IFERROR(IF($X$1="ABS",(100*RTD("tos.rtd",,"OPEN_INT","."&amp;F$2&amp;F$1&amp;"C"&amp;$A12)*RTD("tos.rtd",,"DELTA","."&amp;F$2&amp;F$1&amp;"C"&amp;$A12)+100*RTD("tos.rtd",,"OPEN_INT","."&amp;F$2&amp;F$1&amp;"P"&amp;$A12)*RTD("tos.rtd",,"DELTA","."&amp;F$2&amp;F$1&amp;"P"&amp;$A12))/1000,(100*RTD("tos.rtd",,"OPEN_INT","."&amp;F$2&amp;F$1&amp;"C"&amp;$A12)*RTD("tos.rtd",,"DELTA","."&amp;F$2&amp;F$1&amp;"C"&amp;$A12)-100*RTD("tos.rtd",,"OPEN_INT","."&amp;F$2&amp;F$1&amp;"P"&amp;$A12)*RTD("tos.rtd",,"DELTA","."&amp;F$2&amp;F$1&amp;"P"&amp;$A12))/1000),0),IF($A$2="VEX",IFERROR(IF($X$1="ABS",($A$4*$A$4*RTD("tos.rtd",,"VOLUME","."&amp;F$2&amp;F$1&amp;"C"&amp;$A12)*RTD("tos.rtd",,"GAMMA","."&amp;F$2&amp;F$1&amp;"C"&amp;$A12)+$A$4*$A$4*RTD("tos.rtd",,"VOLUME","."&amp;F$2&amp;F$1&amp;"P"&amp;$A12)*RTD("tos.rtd",,"GAMMA","."&amp;F$2&amp;F$1&amp;"P"&amp;$A12))/1000000,($A$4*$A$4*RTD("tos.rtd",,"VOLUME","."&amp;F$2&amp;F$1&amp;"C"&amp;$A12)*RTD("tos.rtd",,"GAMMA","."&amp;F$2&amp;F$1&amp;"C"&amp;$A12)-$A$4*$A$4*RTD("tos.rtd",,"VOLUME","."&amp;F$2&amp;F$1&amp;"P"&amp;$A12)*RTD("tos.rtd",,"GAMMA","."&amp;F$2&amp;F$1&amp;"P"&amp;$A12))/1000000),0),IF($A$2="GEX",IFERROR(IF($X$1="ABS",($A$4*$A$4*RTD("tos.rtd",,"OPEN_INT","."&amp;F$2&amp;F$1&amp;"C"&amp;$A12)*RTD("tos.rtd",,"GAMMA","."&amp;F$2&amp;F$1&amp;"C"&amp;$A12)+$A$4*$A$4*RTD("tos.rtd",,"OPEN_INT","."&amp;F$2&amp;F$1&amp;"P"&amp;$A12)*RTD("tos.rtd",,"GAMMA","."&amp;F$2&amp;F$1&amp;"P"&amp;$A12))/1000000,($A$4*$A$4*RTD("tos.rtd",,"OPEN_INT","."&amp;F$2&amp;F$1&amp;"C"&amp;$A12)*RTD("tos.rtd",,"GAMMA","."&amp;F$2&amp;F$1&amp;"C"&amp;$A12)-$A$4*$A$4*RTD("tos.rtd",,"OPEN_INT","."&amp;F$2&amp;F$1&amp;"P"&amp;$A12)*RTD("tos.rtd",,"GAMMA","."&amp;F$2&amp;F$1&amp;"P"&amp;$A12))/1000000),0),IF($A$2="SKEW",IFERROR(VALUE(IF(RTD("tos.rtd",,"IMPL_VOL","."&amp;F$2&amp;F$1&amp;"P"&amp;$A12)="N/A",0,RTD("tos.rtd",,"IMPL_VOL","."&amp;F$2&amp;F$1&amp;"P"&amp;$A12))),0)-IFERROR(VALUE(IF(RTD("tos.rtd",,"IMPL_VOL","."&amp;F$2&amp;F$1&amp;"C"&amp;$A12)="N/A",0,RTD("tos.rtd",,"IMPL_VOL","."&amp;F$2&amp;F$1&amp;"C"&amp;$A12))),0),IF($A$2="MAXPAIN",IF($A$4&gt;$A12,($A$4-$A12)*IF(RTD("tos.rtd",,"OPEN_INT","."&amp;F$2&amp;F$1&amp;"C"&amp;$A12)="N/A",0,RTD("tos.rtd",,"OPEN_INT","."&amp;F$2&amp;F$1&amp;"C"&amp;$A12)),0)+IF($A$4&lt;$A12,($A$5-$A$4)*IF(RTD("tos.rtd",,"OPEN_INT","."&amp;F$2&amp;F$1&amp;"P"&amp;$A12)="N/A",0,RTD("tos.rtd",,"OPEN_INT","."&amp;F$2&amp;F$1&amp;"P"&amp;$A12)),0),IF($X$1="ABS",IF(RTD("tos.rtd",,$A$2,"."&amp;F$2&amp;F$1&amp;"C"&amp;$A12)="N/A",0,RTD("tos.rtd",,$A$2,"."&amp;F$2&amp;F$1&amp;"C"&amp;$A12))+IF(RTD("tos.rtd",,$A$2,"."&amp;F$2&amp;F$1&amp;"P"&amp;$A12)="N/A",0,RTD("tos.rtd",,$A$2,"."&amp;F$2&amp;F$1&amp;"P"&amp;$A12)),IF(RTD("tos.rtd",,$A$2,"."&amp;F$2&amp;F$1&amp;"C"&amp;$A12)="N/A",0,RTD("tos.rtd",,$A$2,"."&amp;F$2&amp;F$1&amp;"C"&amp;$A12))-IF(RTD("tos.rtd",,$A$2,"."&amp;F$2&amp;F$1&amp;"P"&amp;$A12)="N/A",0,RTD("tos.rtd",,$A$2,"."&amp;F$2&amp;F$1&amp;"P"&amp;$A12))))))))))</f>
        <v>0</v>
      </c>
      <c r="G12" s="57">
        <f ca="1">IF($A$2="PREMIUM_OI",IFERROR(IF($X$1="ABS",(100*RTD("tos.rtd",,"OPEN_INT","."&amp;G$2&amp;G$1&amp;"C"&amp;$A12)*RTD("tos.rtd",,"LAST","."&amp;G$2&amp;G$1&amp;"C"&amp;$A12)+100*RTD("tos.rtd",,"OPEN_INT","."&amp;G$2&amp;G$1&amp;"P"&amp;$A12)*RTD("tos.rtd",,"LAST","."&amp;G$2&amp;G$1&amp;"P"&amp;$A12))/1000000,(100*RTD("tos.rtd",,"OPEN_INT","."&amp;G$2&amp;G$1&amp;"C"&amp;$A12)*RTD("tos.rtd",,"LAST","."&amp;G$2&amp;G$1&amp;"C"&amp;$A12)-100*RTD("tos.rtd",,"OPEN_INT","."&amp;G$2&amp;G$1&amp;"P"&amp;$A12)*RTD("tos.rtd",,"LAST","."&amp;G$2&amp;G$1&amp;"P"&amp;$A12))/1000000),0),IF($A$2="PREMIUM",IFERROR(IF($X$1="ABS",(100*RTD("tos.rtd",,"VOLUME","."&amp;G$2&amp;G$1&amp;"C"&amp;$A12)*RTD("tos.rtd",,"LAST","."&amp;G$2&amp;G$1&amp;"C"&amp;$A12)+100*RTD("tos.rtd",,"VOLUME","."&amp;G$2&amp;G$1&amp;"P"&amp;$A12)*RTD("tos.rtd",,"LAST","."&amp;G$2&amp;G$1&amp;"P"&amp;$A12))/1000000,(100*RTD("tos.rtd",,"VOLUME","."&amp;G$2&amp;G$1&amp;"C"&amp;$A12)*RTD("tos.rtd",,"LAST","."&amp;G$2&amp;G$1&amp;"C"&amp;$A12)-100*RTD("tos.rtd",,"VOLUME","."&amp;G$2&amp;G$1&amp;"P"&amp;$A12)*RTD("tos.rtd",,"LAST","."&amp;G$2&amp;G$1&amp;"P"&amp;$A12))/1000000),0),IF($A$2="DEX",IFERROR(IF($X$1="ABS",(100*RTD("tos.rtd",,"OPEN_INT","."&amp;G$2&amp;G$1&amp;"C"&amp;$A12)*RTD("tos.rtd",,"DELTA","."&amp;G$2&amp;G$1&amp;"C"&amp;$A12)+100*RTD("tos.rtd",,"OPEN_INT","."&amp;G$2&amp;G$1&amp;"P"&amp;$A12)*RTD("tos.rtd",,"DELTA","."&amp;G$2&amp;G$1&amp;"P"&amp;$A12))/1000,(100*RTD("tos.rtd",,"OPEN_INT","."&amp;G$2&amp;G$1&amp;"C"&amp;$A12)*RTD("tos.rtd",,"DELTA","."&amp;G$2&amp;G$1&amp;"C"&amp;$A12)-100*RTD("tos.rtd",,"OPEN_INT","."&amp;G$2&amp;G$1&amp;"P"&amp;$A12)*RTD("tos.rtd",,"DELTA","."&amp;G$2&amp;G$1&amp;"P"&amp;$A12))/1000),0),IF($A$2="VEX",IFERROR(IF($X$1="ABS",($A$4*$A$4*RTD("tos.rtd",,"VOLUME","."&amp;G$2&amp;G$1&amp;"C"&amp;$A12)*RTD("tos.rtd",,"GAMMA","."&amp;G$2&amp;G$1&amp;"C"&amp;$A12)+$A$4*$A$4*RTD("tos.rtd",,"VOLUME","."&amp;G$2&amp;G$1&amp;"P"&amp;$A12)*RTD("tos.rtd",,"GAMMA","."&amp;G$2&amp;G$1&amp;"P"&amp;$A12))/1000000,($A$4*$A$4*RTD("tos.rtd",,"VOLUME","."&amp;G$2&amp;G$1&amp;"C"&amp;$A12)*RTD("tos.rtd",,"GAMMA","."&amp;G$2&amp;G$1&amp;"C"&amp;$A12)-$A$4*$A$4*RTD("tos.rtd",,"VOLUME","."&amp;G$2&amp;G$1&amp;"P"&amp;$A12)*RTD("tos.rtd",,"GAMMA","."&amp;G$2&amp;G$1&amp;"P"&amp;$A12))/1000000),0),IF($A$2="GEX",IFERROR(IF($X$1="ABS",($A$4*$A$4*RTD("tos.rtd",,"OPEN_INT","."&amp;G$2&amp;G$1&amp;"C"&amp;$A12)*RTD("tos.rtd",,"GAMMA","."&amp;G$2&amp;G$1&amp;"C"&amp;$A12)+$A$4*$A$4*RTD("tos.rtd",,"OPEN_INT","."&amp;G$2&amp;G$1&amp;"P"&amp;$A12)*RTD("tos.rtd",,"GAMMA","."&amp;G$2&amp;G$1&amp;"P"&amp;$A12))/1000000,($A$4*$A$4*RTD("tos.rtd",,"OPEN_INT","."&amp;G$2&amp;G$1&amp;"C"&amp;$A12)*RTD("tos.rtd",,"GAMMA","."&amp;G$2&amp;G$1&amp;"C"&amp;$A12)-$A$4*$A$4*RTD("tos.rtd",,"OPEN_INT","."&amp;G$2&amp;G$1&amp;"P"&amp;$A12)*RTD("tos.rtd",,"GAMMA","."&amp;G$2&amp;G$1&amp;"P"&amp;$A12))/1000000),0),IF($A$2="SKEW",IFERROR(VALUE(IF(RTD("tos.rtd",,"IMPL_VOL","."&amp;G$2&amp;G$1&amp;"P"&amp;$A12)="N/A",0,RTD("tos.rtd",,"IMPL_VOL","."&amp;G$2&amp;G$1&amp;"P"&amp;$A12))),0)-IFERROR(VALUE(IF(RTD("tos.rtd",,"IMPL_VOL","."&amp;G$2&amp;G$1&amp;"C"&amp;$A12)="N/A",0,RTD("tos.rtd",,"IMPL_VOL","."&amp;G$2&amp;G$1&amp;"C"&amp;$A12))),0),IF($A$2="MAXPAIN",IF($A$4&gt;$A12,($A$4-$A12)*IF(RTD("tos.rtd",,"OPEN_INT","."&amp;G$2&amp;G$1&amp;"C"&amp;$A12)="N/A",0,RTD("tos.rtd",,"OPEN_INT","."&amp;G$2&amp;G$1&amp;"C"&amp;$A12)),0)+IF($A$4&lt;$A12,($A$5-$A$4)*IF(RTD("tos.rtd",,"OPEN_INT","."&amp;G$2&amp;G$1&amp;"P"&amp;$A12)="N/A",0,RTD("tos.rtd",,"OPEN_INT","."&amp;G$2&amp;G$1&amp;"P"&amp;$A12)),0),IF($X$1="ABS",IF(RTD("tos.rtd",,$A$2,"."&amp;G$2&amp;G$1&amp;"C"&amp;$A12)="N/A",0,RTD("tos.rtd",,$A$2,"."&amp;G$2&amp;G$1&amp;"C"&amp;$A12))+IF(RTD("tos.rtd",,$A$2,"."&amp;G$2&amp;G$1&amp;"P"&amp;$A12)="N/A",0,RTD("tos.rtd",,$A$2,"."&amp;G$2&amp;G$1&amp;"P"&amp;$A12)),IF(RTD("tos.rtd",,$A$2,"."&amp;G$2&amp;G$1&amp;"C"&amp;$A12)="N/A",0,RTD("tos.rtd",,$A$2,"."&amp;G$2&amp;G$1&amp;"C"&amp;$A12))-IF(RTD("tos.rtd",,$A$2,"."&amp;G$2&amp;G$1&amp;"P"&amp;$A12)="N/A",0,RTD("tos.rtd",,$A$2,"."&amp;G$2&amp;G$1&amp;"P"&amp;$A12))))))))))</f>
        <v>0</v>
      </c>
      <c r="H12" s="14">
        <f ca="1">IF($A$2="PREMIUM_OI",IFERROR(IF($X$1="ABS",(100*RTD("tos.rtd",,"OPEN_INT","."&amp;H$2&amp;H$1&amp;"C"&amp;$A12)*RTD("tos.rtd",,"LAST","."&amp;H$2&amp;H$1&amp;"C"&amp;$A12)+100*RTD("tos.rtd",,"OPEN_INT","."&amp;H$2&amp;H$1&amp;"P"&amp;$A12)*RTD("tos.rtd",,"LAST","."&amp;H$2&amp;H$1&amp;"P"&amp;$A12))/1000000,(100*RTD("tos.rtd",,"OPEN_INT","."&amp;H$2&amp;H$1&amp;"C"&amp;$A12)*RTD("tos.rtd",,"LAST","."&amp;H$2&amp;H$1&amp;"C"&amp;$A12)-100*RTD("tos.rtd",,"OPEN_INT","."&amp;H$2&amp;H$1&amp;"P"&amp;$A12)*RTD("tos.rtd",,"LAST","."&amp;H$2&amp;H$1&amp;"P"&amp;$A12))/1000000),0),IF($A$2="PREMIUM",IFERROR(IF($X$1="ABS",(100*RTD("tos.rtd",,"VOLUME","."&amp;H$2&amp;H$1&amp;"C"&amp;$A12)*RTD("tos.rtd",,"LAST","."&amp;H$2&amp;H$1&amp;"C"&amp;$A12)+100*RTD("tos.rtd",,"VOLUME","."&amp;H$2&amp;H$1&amp;"P"&amp;$A12)*RTD("tos.rtd",,"LAST","."&amp;H$2&amp;H$1&amp;"P"&amp;$A12))/1000000,(100*RTD("tos.rtd",,"VOLUME","."&amp;H$2&amp;H$1&amp;"C"&amp;$A12)*RTD("tos.rtd",,"LAST","."&amp;H$2&amp;H$1&amp;"C"&amp;$A12)-100*RTD("tos.rtd",,"VOLUME","."&amp;H$2&amp;H$1&amp;"P"&amp;$A12)*RTD("tos.rtd",,"LAST","."&amp;H$2&amp;H$1&amp;"P"&amp;$A12))/1000000),0),IF($A$2="DEX",IFERROR(IF($X$1="ABS",(100*RTD("tos.rtd",,"OPEN_INT","."&amp;H$2&amp;H$1&amp;"C"&amp;$A12)*RTD("tos.rtd",,"DELTA","."&amp;H$2&amp;H$1&amp;"C"&amp;$A12)+100*RTD("tos.rtd",,"OPEN_INT","."&amp;H$2&amp;H$1&amp;"P"&amp;$A12)*RTD("tos.rtd",,"DELTA","."&amp;H$2&amp;H$1&amp;"P"&amp;$A12))/1000,(100*RTD("tos.rtd",,"OPEN_INT","."&amp;H$2&amp;H$1&amp;"C"&amp;$A12)*RTD("tos.rtd",,"DELTA","."&amp;H$2&amp;H$1&amp;"C"&amp;$A12)-100*RTD("tos.rtd",,"OPEN_INT","."&amp;H$2&amp;H$1&amp;"P"&amp;$A12)*RTD("tos.rtd",,"DELTA","."&amp;H$2&amp;H$1&amp;"P"&amp;$A12))/1000),0),IF($A$2="VEX",IFERROR(IF($X$1="ABS",($A$4*$A$4*RTD("tos.rtd",,"VOLUME","."&amp;H$2&amp;H$1&amp;"C"&amp;$A12)*RTD("tos.rtd",,"GAMMA","."&amp;H$2&amp;H$1&amp;"C"&amp;$A12)+$A$4*$A$4*RTD("tos.rtd",,"VOLUME","."&amp;H$2&amp;H$1&amp;"P"&amp;$A12)*RTD("tos.rtd",,"GAMMA","."&amp;H$2&amp;H$1&amp;"P"&amp;$A12))/1000000,($A$4*$A$4*RTD("tos.rtd",,"VOLUME","."&amp;H$2&amp;H$1&amp;"C"&amp;$A12)*RTD("tos.rtd",,"GAMMA","."&amp;H$2&amp;H$1&amp;"C"&amp;$A12)-$A$4*$A$4*RTD("tos.rtd",,"VOLUME","."&amp;H$2&amp;H$1&amp;"P"&amp;$A12)*RTD("tos.rtd",,"GAMMA","."&amp;H$2&amp;H$1&amp;"P"&amp;$A12))/1000000),0),IF($A$2="GEX",IFERROR(IF($X$1="ABS",($A$4*$A$4*RTD("tos.rtd",,"OPEN_INT","."&amp;H$2&amp;H$1&amp;"C"&amp;$A12)*RTD("tos.rtd",,"GAMMA","."&amp;H$2&amp;H$1&amp;"C"&amp;$A12)+$A$4*$A$4*RTD("tos.rtd",,"OPEN_INT","."&amp;H$2&amp;H$1&amp;"P"&amp;$A12)*RTD("tos.rtd",,"GAMMA","."&amp;H$2&amp;H$1&amp;"P"&amp;$A12))/1000000,($A$4*$A$4*RTD("tos.rtd",,"OPEN_INT","."&amp;H$2&amp;H$1&amp;"C"&amp;$A12)*RTD("tos.rtd",,"GAMMA","."&amp;H$2&amp;H$1&amp;"C"&amp;$A12)-$A$4*$A$4*RTD("tos.rtd",,"OPEN_INT","."&amp;H$2&amp;H$1&amp;"P"&amp;$A12)*RTD("tos.rtd",,"GAMMA","."&amp;H$2&amp;H$1&amp;"P"&amp;$A12))/1000000),0),IF($A$2="SKEW",IFERROR(VALUE(IF(RTD("tos.rtd",,"IMPL_VOL","."&amp;H$2&amp;H$1&amp;"P"&amp;$A12)="N/A",0,RTD("tos.rtd",,"IMPL_VOL","."&amp;H$2&amp;H$1&amp;"P"&amp;$A12))),0)-IFERROR(VALUE(IF(RTD("tos.rtd",,"IMPL_VOL","."&amp;H$2&amp;H$1&amp;"C"&amp;$A12)="N/A",0,RTD("tos.rtd",,"IMPL_VOL","."&amp;H$2&amp;H$1&amp;"C"&amp;$A12))),0),IF($A$2="MAXPAIN",IF($A$4&gt;$A12,($A$4-$A12)*IF(RTD("tos.rtd",,"OPEN_INT","."&amp;H$2&amp;H$1&amp;"C"&amp;$A12)="N/A",0,RTD("tos.rtd",,"OPEN_INT","."&amp;H$2&amp;H$1&amp;"C"&amp;$A12)),0)+IF($A$4&lt;$A12,($A$5-$A$4)*IF(RTD("tos.rtd",,"OPEN_INT","."&amp;H$2&amp;H$1&amp;"P"&amp;$A12)="N/A",0,RTD("tos.rtd",,"OPEN_INT","."&amp;H$2&amp;H$1&amp;"P"&amp;$A12)),0),IF($X$1="ABS",IF(RTD("tos.rtd",,$A$2,"."&amp;H$2&amp;H$1&amp;"C"&amp;$A12)="N/A",0,RTD("tos.rtd",,$A$2,"."&amp;H$2&amp;H$1&amp;"C"&amp;$A12))+IF(RTD("tos.rtd",,$A$2,"."&amp;H$2&amp;H$1&amp;"P"&amp;$A12)="N/A",0,RTD("tos.rtd",,$A$2,"."&amp;H$2&amp;H$1&amp;"P"&amp;$A12)),IF(RTD("tos.rtd",,$A$2,"."&amp;H$2&amp;H$1&amp;"C"&amp;$A12)="N/A",0,RTD("tos.rtd",,$A$2,"."&amp;H$2&amp;H$1&amp;"C"&amp;$A12))-IF(RTD("tos.rtd",,$A$2,"."&amp;H$2&amp;H$1&amp;"P"&amp;$A12)="N/A",0,RTD("tos.rtd",,$A$2,"."&amp;H$2&amp;H$1&amp;"P"&amp;$A12))))))))))</f>
        <v>0</v>
      </c>
      <c r="I12" s="12">
        <f ca="1">IF($A$2="PREMIUM_OI",IFERROR(IF($X$1="ABS",(100*RTD("tos.rtd",,"OPEN_INT","."&amp;I$2&amp;I$1&amp;"C"&amp;$A12)*RTD("tos.rtd",,"LAST","."&amp;I$2&amp;I$1&amp;"C"&amp;$A12)+100*RTD("tos.rtd",,"OPEN_INT","."&amp;I$2&amp;I$1&amp;"P"&amp;$A12)*RTD("tos.rtd",,"LAST","."&amp;I$2&amp;I$1&amp;"P"&amp;$A12))/1000000,(100*RTD("tos.rtd",,"OPEN_INT","."&amp;I$2&amp;I$1&amp;"C"&amp;$A12)*RTD("tos.rtd",,"LAST","."&amp;I$2&amp;I$1&amp;"C"&amp;$A12)-100*RTD("tos.rtd",,"OPEN_INT","."&amp;I$2&amp;I$1&amp;"P"&amp;$A12)*RTD("tos.rtd",,"LAST","."&amp;I$2&amp;I$1&amp;"P"&amp;$A12))/1000000),0),IF($A$2="PREMIUM",IFERROR(IF($X$1="ABS",(100*RTD("tos.rtd",,"VOLUME","."&amp;I$2&amp;I$1&amp;"C"&amp;$A12)*RTD("tos.rtd",,"LAST","."&amp;I$2&amp;I$1&amp;"C"&amp;$A12)+100*RTD("tos.rtd",,"VOLUME","."&amp;I$2&amp;I$1&amp;"P"&amp;$A12)*RTD("tos.rtd",,"LAST","."&amp;I$2&amp;I$1&amp;"P"&amp;$A12))/1000000,(100*RTD("tos.rtd",,"VOLUME","."&amp;I$2&amp;I$1&amp;"C"&amp;$A12)*RTD("tos.rtd",,"LAST","."&amp;I$2&amp;I$1&amp;"C"&amp;$A12)-100*RTD("tos.rtd",,"VOLUME","."&amp;I$2&amp;I$1&amp;"P"&amp;$A12)*RTD("tos.rtd",,"LAST","."&amp;I$2&amp;I$1&amp;"P"&amp;$A12))/1000000),0),IF($A$2="DEX",IFERROR(IF($X$1="ABS",(100*RTD("tos.rtd",,"OPEN_INT","."&amp;I$2&amp;I$1&amp;"C"&amp;$A12)*RTD("tos.rtd",,"DELTA","."&amp;I$2&amp;I$1&amp;"C"&amp;$A12)+100*RTD("tos.rtd",,"OPEN_INT","."&amp;I$2&amp;I$1&amp;"P"&amp;$A12)*RTD("tos.rtd",,"DELTA","."&amp;I$2&amp;I$1&amp;"P"&amp;$A12))/1000,(100*RTD("tos.rtd",,"OPEN_INT","."&amp;I$2&amp;I$1&amp;"C"&amp;$A12)*RTD("tos.rtd",,"DELTA","."&amp;I$2&amp;I$1&amp;"C"&amp;$A12)-100*RTD("tos.rtd",,"OPEN_INT","."&amp;I$2&amp;I$1&amp;"P"&amp;$A12)*RTD("tos.rtd",,"DELTA","."&amp;I$2&amp;I$1&amp;"P"&amp;$A12))/1000),0),IF($A$2="VEX",IFERROR(IF($X$1="ABS",($A$4*$A$4*RTD("tos.rtd",,"VOLUME","."&amp;I$2&amp;I$1&amp;"C"&amp;$A12)*RTD("tos.rtd",,"GAMMA","."&amp;I$2&amp;I$1&amp;"C"&amp;$A12)+$A$4*$A$4*RTD("tos.rtd",,"VOLUME","."&amp;I$2&amp;I$1&amp;"P"&amp;$A12)*RTD("tos.rtd",,"GAMMA","."&amp;I$2&amp;I$1&amp;"P"&amp;$A12))/1000000,($A$4*$A$4*RTD("tos.rtd",,"VOLUME","."&amp;I$2&amp;I$1&amp;"C"&amp;$A12)*RTD("tos.rtd",,"GAMMA","."&amp;I$2&amp;I$1&amp;"C"&amp;$A12)-$A$4*$A$4*RTD("tos.rtd",,"VOLUME","."&amp;I$2&amp;I$1&amp;"P"&amp;$A12)*RTD("tos.rtd",,"GAMMA","."&amp;I$2&amp;I$1&amp;"P"&amp;$A12))/1000000),0),IF($A$2="GEX",IFERROR(IF($X$1="ABS",($A$4*$A$4*RTD("tos.rtd",,"OPEN_INT","."&amp;I$2&amp;I$1&amp;"C"&amp;$A12)*RTD("tos.rtd",,"GAMMA","."&amp;I$2&amp;I$1&amp;"C"&amp;$A12)+$A$4*$A$4*RTD("tos.rtd",,"OPEN_INT","."&amp;I$2&amp;I$1&amp;"P"&amp;$A12)*RTD("tos.rtd",,"GAMMA","."&amp;I$2&amp;I$1&amp;"P"&amp;$A12))/1000000,($A$4*$A$4*RTD("tos.rtd",,"OPEN_INT","."&amp;I$2&amp;I$1&amp;"C"&amp;$A12)*RTD("tos.rtd",,"GAMMA","."&amp;I$2&amp;I$1&amp;"C"&amp;$A12)-$A$4*$A$4*RTD("tos.rtd",,"OPEN_INT","."&amp;I$2&amp;I$1&amp;"P"&amp;$A12)*RTD("tos.rtd",,"GAMMA","."&amp;I$2&amp;I$1&amp;"P"&amp;$A12))/1000000),0),IF($A$2="SKEW",IFERROR(VALUE(IF(RTD("tos.rtd",,"IMPL_VOL","."&amp;I$2&amp;I$1&amp;"P"&amp;$A12)="N/A",0,RTD("tos.rtd",,"IMPL_VOL","."&amp;I$2&amp;I$1&amp;"P"&amp;$A12))),0)-IFERROR(VALUE(IF(RTD("tos.rtd",,"IMPL_VOL","."&amp;I$2&amp;I$1&amp;"C"&amp;$A12)="N/A",0,RTD("tos.rtd",,"IMPL_VOL","."&amp;I$2&amp;I$1&amp;"C"&amp;$A12))),0),IF($A$2="MAXPAIN",IF($A$4&gt;$A12,($A$4-$A12)*IF(RTD("tos.rtd",,"OPEN_INT","."&amp;I$2&amp;I$1&amp;"C"&amp;$A12)="N/A",0,RTD("tos.rtd",,"OPEN_INT","."&amp;I$2&amp;I$1&amp;"C"&amp;$A12)),0)+IF($A$4&lt;$A12,($A$5-$A$4)*IF(RTD("tos.rtd",,"OPEN_INT","."&amp;I$2&amp;I$1&amp;"P"&amp;$A12)="N/A",0,RTD("tos.rtd",,"OPEN_INT","."&amp;I$2&amp;I$1&amp;"P"&amp;$A12)),0),IF($X$1="ABS",IF(RTD("tos.rtd",,$A$2,"."&amp;I$2&amp;I$1&amp;"C"&amp;$A12)="N/A",0,RTD("tos.rtd",,$A$2,"."&amp;I$2&amp;I$1&amp;"C"&amp;$A12))+IF(RTD("tos.rtd",,$A$2,"."&amp;I$2&amp;I$1&amp;"P"&amp;$A12)="N/A",0,RTD("tos.rtd",,$A$2,"."&amp;I$2&amp;I$1&amp;"P"&amp;$A12)),IF(RTD("tos.rtd",,$A$2,"."&amp;I$2&amp;I$1&amp;"C"&amp;$A12)="N/A",0,RTD("tos.rtd",,$A$2,"."&amp;I$2&amp;I$1&amp;"C"&amp;$A12))-IF(RTD("tos.rtd",,$A$2,"."&amp;I$2&amp;I$1&amp;"P"&amp;$A12)="N/A",0,RTD("tos.rtd",,$A$2,"."&amp;I$2&amp;I$1&amp;"P"&amp;$A12))))))))))</f>
        <v>0</v>
      </c>
      <c r="J12" s="12">
        <f ca="1">IF($A$2="PREMIUM_OI",IFERROR(IF($X$1="ABS",(100*RTD("tos.rtd",,"OPEN_INT","."&amp;J$2&amp;J$1&amp;"C"&amp;$A12)*RTD("tos.rtd",,"LAST","."&amp;J$2&amp;J$1&amp;"C"&amp;$A12)+100*RTD("tos.rtd",,"OPEN_INT","."&amp;J$2&amp;J$1&amp;"P"&amp;$A12)*RTD("tos.rtd",,"LAST","."&amp;J$2&amp;J$1&amp;"P"&amp;$A12))/1000000,(100*RTD("tos.rtd",,"OPEN_INT","."&amp;J$2&amp;J$1&amp;"C"&amp;$A12)*RTD("tos.rtd",,"LAST","."&amp;J$2&amp;J$1&amp;"C"&amp;$A12)-100*RTD("tos.rtd",,"OPEN_INT","."&amp;J$2&amp;J$1&amp;"P"&amp;$A12)*RTD("tos.rtd",,"LAST","."&amp;J$2&amp;J$1&amp;"P"&amp;$A12))/1000000),0),IF($A$2="PREMIUM",IFERROR(IF($X$1="ABS",(100*RTD("tos.rtd",,"VOLUME","."&amp;J$2&amp;J$1&amp;"C"&amp;$A12)*RTD("tos.rtd",,"LAST","."&amp;J$2&amp;J$1&amp;"C"&amp;$A12)+100*RTD("tos.rtd",,"VOLUME","."&amp;J$2&amp;J$1&amp;"P"&amp;$A12)*RTD("tos.rtd",,"LAST","."&amp;J$2&amp;J$1&amp;"P"&amp;$A12))/1000000,(100*RTD("tos.rtd",,"VOLUME","."&amp;J$2&amp;J$1&amp;"C"&amp;$A12)*RTD("tos.rtd",,"LAST","."&amp;J$2&amp;J$1&amp;"C"&amp;$A12)-100*RTD("tos.rtd",,"VOLUME","."&amp;J$2&amp;J$1&amp;"P"&amp;$A12)*RTD("tos.rtd",,"LAST","."&amp;J$2&amp;J$1&amp;"P"&amp;$A12))/1000000),0),IF($A$2="DEX",IFERROR(IF($X$1="ABS",(100*RTD("tos.rtd",,"OPEN_INT","."&amp;J$2&amp;J$1&amp;"C"&amp;$A12)*RTD("tos.rtd",,"DELTA","."&amp;J$2&amp;J$1&amp;"C"&amp;$A12)+100*RTD("tos.rtd",,"OPEN_INT","."&amp;J$2&amp;J$1&amp;"P"&amp;$A12)*RTD("tos.rtd",,"DELTA","."&amp;J$2&amp;J$1&amp;"P"&amp;$A12))/1000,(100*RTD("tos.rtd",,"OPEN_INT","."&amp;J$2&amp;J$1&amp;"C"&amp;$A12)*RTD("tos.rtd",,"DELTA","."&amp;J$2&amp;J$1&amp;"C"&amp;$A12)-100*RTD("tos.rtd",,"OPEN_INT","."&amp;J$2&amp;J$1&amp;"P"&amp;$A12)*RTD("tos.rtd",,"DELTA","."&amp;J$2&amp;J$1&amp;"P"&amp;$A12))/1000),0),IF($A$2="VEX",IFERROR(IF($X$1="ABS",($A$4*$A$4*RTD("tos.rtd",,"VOLUME","."&amp;J$2&amp;J$1&amp;"C"&amp;$A12)*RTD("tos.rtd",,"GAMMA","."&amp;J$2&amp;J$1&amp;"C"&amp;$A12)+$A$4*$A$4*RTD("tos.rtd",,"VOLUME","."&amp;J$2&amp;J$1&amp;"P"&amp;$A12)*RTD("tos.rtd",,"GAMMA","."&amp;J$2&amp;J$1&amp;"P"&amp;$A12))/1000000,($A$4*$A$4*RTD("tos.rtd",,"VOLUME","."&amp;J$2&amp;J$1&amp;"C"&amp;$A12)*RTD("tos.rtd",,"GAMMA","."&amp;J$2&amp;J$1&amp;"C"&amp;$A12)-$A$4*$A$4*RTD("tos.rtd",,"VOLUME","."&amp;J$2&amp;J$1&amp;"P"&amp;$A12)*RTD("tos.rtd",,"GAMMA","."&amp;J$2&amp;J$1&amp;"P"&amp;$A12))/1000000),0),IF($A$2="GEX",IFERROR(IF($X$1="ABS",($A$4*$A$4*RTD("tos.rtd",,"OPEN_INT","."&amp;J$2&amp;J$1&amp;"C"&amp;$A12)*RTD("tos.rtd",,"GAMMA","."&amp;J$2&amp;J$1&amp;"C"&amp;$A12)+$A$4*$A$4*RTD("tos.rtd",,"OPEN_INT","."&amp;J$2&amp;J$1&amp;"P"&amp;$A12)*RTD("tos.rtd",,"GAMMA","."&amp;J$2&amp;J$1&amp;"P"&amp;$A12))/1000000,($A$4*$A$4*RTD("tos.rtd",,"OPEN_INT","."&amp;J$2&amp;J$1&amp;"C"&amp;$A12)*RTD("tos.rtd",,"GAMMA","."&amp;J$2&amp;J$1&amp;"C"&amp;$A12)-$A$4*$A$4*RTD("tos.rtd",,"OPEN_INT","."&amp;J$2&amp;J$1&amp;"P"&amp;$A12)*RTD("tos.rtd",,"GAMMA","."&amp;J$2&amp;J$1&amp;"P"&amp;$A12))/1000000),0),IF($A$2="SKEW",IFERROR(VALUE(IF(RTD("tos.rtd",,"IMPL_VOL","."&amp;J$2&amp;J$1&amp;"P"&amp;$A12)="N/A",0,RTD("tos.rtd",,"IMPL_VOL","."&amp;J$2&amp;J$1&amp;"P"&amp;$A12))),0)-IFERROR(VALUE(IF(RTD("tos.rtd",,"IMPL_VOL","."&amp;J$2&amp;J$1&amp;"C"&amp;$A12)="N/A",0,RTD("tos.rtd",,"IMPL_VOL","."&amp;J$2&amp;J$1&amp;"C"&amp;$A12))),0),IF($A$2="MAXPAIN",IF($A$4&gt;$A12,($A$4-$A12)*IF(RTD("tos.rtd",,"OPEN_INT","."&amp;J$2&amp;J$1&amp;"C"&amp;$A12)="N/A",0,RTD("tos.rtd",,"OPEN_INT","."&amp;J$2&amp;J$1&amp;"C"&amp;$A12)),0)+IF($A$4&lt;$A12,($A$5-$A$4)*IF(RTD("tos.rtd",,"OPEN_INT","."&amp;J$2&amp;J$1&amp;"P"&amp;$A12)="N/A",0,RTD("tos.rtd",,"OPEN_INT","."&amp;J$2&amp;J$1&amp;"P"&amp;$A12)),0),IF($X$1="ABS",IF(RTD("tos.rtd",,$A$2,"."&amp;J$2&amp;J$1&amp;"C"&amp;$A12)="N/A",0,RTD("tos.rtd",,$A$2,"."&amp;J$2&amp;J$1&amp;"C"&amp;$A12))+IF(RTD("tos.rtd",,$A$2,"."&amp;J$2&amp;J$1&amp;"P"&amp;$A12)="N/A",0,RTD("tos.rtd",,$A$2,"."&amp;J$2&amp;J$1&amp;"P"&amp;$A12)),IF(RTD("tos.rtd",,$A$2,"."&amp;J$2&amp;J$1&amp;"C"&amp;$A12)="N/A",0,RTD("tos.rtd",,$A$2,"."&amp;J$2&amp;J$1&amp;"C"&amp;$A12))-IF(RTD("tos.rtd",,$A$2,"."&amp;J$2&amp;J$1&amp;"P"&amp;$A12)="N/A",0,RTD("tos.rtd",,$A$2,"."&amp;J$2&amp;J$1&amp;"P"&amp;$A12))))))))))</f>
        <v>0</v>
      </c>
      <c r="K12" s="12">
        <f ca="1">IF($A$2="PREMIUM_OI",IFERROR(IF($X$1="ABS",(100*RTD("tos.rtd",,"OPEN_INT","."&amp;K$2&amp;K$1&amp;"C"&amp;$A12)*RTD("tos.rtd",,"LAST","."&amp;K$2&amp;K$1&amp;"C"&amp;$A12)+100*RTD("tos.rtd",,"OPEN_INT","."&amp;K$2&amp;K$1&amp;"P"&amp;$A12)*RTD("tos.rtd",,"LAST","."&amp;K$2&amp;K$1&amp;"P"&amp;$A12))/1000000,(100*RTD("tos.rtd",,"OPEN_INT","."&amp;K$2&amp;K$1&amp;"C"&amp;$A12)*RTD("tos.rtd",,"LAST","."&amp;K$2&amp;K$1&amp;"C"&amp;$A12)-100*RTD("tos.rtd",,"OPEN_INT","."&amp;K$2&amp;K$1&amp;"P"&amp;$A12)*RTD("tos.rtd",,"LAST","."&amp;K$2&amp;K$1&amp;"P"&amp;$A12))/1000000),0),IF($A$2="PREMIUM",IFERROR(IF($X$1="ABS",(100*RTD("tos.rtd",,"VOLUME","."&amp;K$2&amp;K$1&amp;"C"&amp;$A12)*RTD("tos.rtd",,"LAST","."&amp;K$2&amp;K$1&amp;"C"&amp;$A12)+100*RTD("tos.rtd",,"VOLUME","."&amp;K$2&amp;K$1&amp;"P"&amp;$A12)*RTD("tos.rtd",,"LAST","."&amp;K$2&amp;K$1&amp;"P"&amp;$A12))/1000000,(100*RTD("tos.rtd",,"VOLUME","."&amp;K$2&amp;K$1&amp;"C"&amp;$A12)*RTD("tos.rtd",,"LAST","."&amp;K$2&amp;K$1&amp;"C"&amp;$A12)-100*RTD("tos.rtd",,"VOLUME","."&amp;K$2&amp;K$1&amp;"P"&amp;$A12)*RTD("tos.rtd",,"LAST","."&amp;K$2&amp;K$1&amp;"P"&amp;$A12))/1000000),0),IF($A$2="DEX",IFERROR(IF($X$1="ABS",(100*RTD("tos.rtd",,"OPEN_INT","."&amp;K$2&amp;K$1&amp;"C"&amp;$A12)*RTD("tos.rtd",,"DELTA","."&amp;K$2&amp;K$1&amp;"C"&amp;$A12)+100*RTD("tos.rtd",,"OPEN_INT","."&amp;K$2&amp;K$1&amp;"P"&amp;$A12)*RTD("tos.rtd",,"DELTA","."&amp;K$2&amp;K$1&amp;"P"&amp;$A12))/1000,(100*RTD("tos.rtd",,"OPEN_INT","."&amp;K$2&amp;K$1&amp;"C"&amp;$A12)*RTD("tos.rtd",,"DELTA","."&amp;K$2&amp;K$1&amp;"C"&amp;$A12)-100*RTD("tos.rtd",,"OPEN_INT","."&amp;K$2&amp;K$1&amp;"P"&amp;$A12)*RTD("tos.rtd",,"DELTA","."&amp;K$2&amp;K$1&amp;"P"&amp;$A12))/1000),0),IF($A$2="VEX",IFERROR(IF($X$1="ABS",($A$4*$A$4*RTD("tos.rtd",,"VOLUME","."&amp;K$2&amp;K$1&amp;"C"&amp;$A12)*RTD("tos.rtd",,"GAMMA","."&amp;K$2&amp;K$1&amp;"C"&amp;$A12)+$A$4*$A$4*RTD("tos.rtd",,"VOLUME","."&amp;K$2&amp;K$1&amp;"P"&amp;$A12)*RTD("tos.rtd",,"GAMMA","."&amp;K$2&amp;K$1&amp;"P"&amp;$A12))/1000000,($A$4*$A$4*RTD("tos.rtd",,"VOLUME","."&amp;K$2&amp;K$1&amp;"C"&amp;$A12)*RTD("tos.rtd",,"GAMMA","."&amp;K$2&amp;K$1&amp;"C"&amp;$A12)-$A$4*$A$4*RTD("tos.rtd",,"VOLUME","."&amp;K$2&amp;K$1&amp;"P"&amp;$A12)*RTD("tos.rtd",,"GAMMA","."&amp;K$2&amp;K$1&amp;"P"&amp;$A12))/1000000),0),IF($A$2="GEX",IFERROR(IF($X$1="ABS",($A$4*$A$4*RTD("tos.rtd",,"OPEN_INT","."&amp;K$2&amp;K$1&amp;"C"&amp;$A12)*RTD("tos.rtd",,"GAMMA","."&amp;K$2&amp;K$1&amp;"C"&amp;$A12)+$A$4*$A$4*RTD("tos.rtd",,"OPEN_INT","."&amp;K$2&amp;K$1&amp;"P"&amp;$A12)*RTD("tos.rtd",,"GAMMA","."&amp;K$2&amp;K$1&amp;"P"&amp;$A12))/1000000,($A$4*$A$4*RTD("tos.rtd",,"OPEN_INT","."&amp;K$2&amp;K$1&amp;"C"&amp;$A12)*RTD("tos.rtd",,"GAMMA","."&amp;K$2&amp;K$1&amp;"C"&amp;$A12)-$A$4*$A$4*RTD("tos.rtd",,"OPEN_INT","."&amp;K$2&amp;K$1&amp;"P"&amp;$A12)*RTD("tos.rtd",,"GAMMA","."&amp;K$2&amp;K$1&amp;"P"&amp;$A12))/1000000),0),IF($A$2="SKEW",IFERROR(VALUE(IF(RTD("tos.rtd",,"IMPL_VOL","."&amp;K$2&amp;K$1&amp;"P"&amp;$A12)="N/A",0,RTD("tos.rtd",,"IMPL_VOL","."&amp;K$2&amp;K$1&amp;"P"&amp;$A12))),0)-IFERROR(VALUE(IF(RTD("tos.rtd",,"IMPL_VOL","."&amp;K$2&amp;K$1&amp;"C"&amp;$A12)="N/A",0,RTD("tos.rtd",,"IMPL_VOL","."&amp;K$2&amp;K$1&amp;"C"&amp;$A12))),0),IF($A$2="MAXPAIN",IF($A$4&gt;$A12,($A$4-$A12)*IF(RTD("tos.rtd",,"OPEN_INT","."&amp;K$2&amp;K$1&amp;"C"&amp;$A12)="N/A",0,RTD("tos.rtd",,"OPEN_INT","."&amp;K$2&amp;K$1&amp;"C"&amp;$A12)),0)+IF($A$4&lt;$A12,($A$5-$A$4)*IF(RTD("tos.rtd",,"OPEN_INT","."&amp;K$2&amp;K$1&amp;"P"&amp;$A12)="N/A",0,RTD("tos.rtd",,"OPEN_INT","."&amp;K$2&amp;K$1&amp;"P"&amp;$A12)),0),IF($X$1="ABS",IF(RTD("tos.rtd",,$A$2,"."&amp;K$2&amp;K$1&amp;"C"&amp;$A12)="N/A",0,RTD("tos.rtd",,$A$2,"."&amp;K$2&amp;K$1&amp;"C"&amp;$A12))+IF(RTD("tos.rtd",,$A$2,"."&amp;K$2&amp;K$1&amp;"P"&amp;$A12)="N/A",0,RTD("tos.rtd",,$A$2,"."&amp;K$2&amp;K$1&amp;"P"&amp;$A12)),IF(RTD("tos.rtd",,$A$2,"."&amp;K$2&amp;K$1&amp;"C"&amp;$A12)="N/A",0,RTD("tos.rtd",,$A$2,"."&amp;K$2&amp;K$1&amp;"C"&amp;$A12))-IF(RTD("tos.rtd",,$A$2,"."&amp;K$2&amp;K$1&amp;"P"&amp;$A12)="N/A",0,RTD("tos.rtd",,$A$2,"."&amp;K$2&amp;K$1&amp;"P"&amp;$A12))))))))))</f>
        <v>0</v>
      </c>
      <c r="L12" s="54">
        <f ca="1">IF($A$2="PREMIUM_OI",IFERROR(IF($X$1="ABS",(100*RTD("tos.rtd",,"OPEN_INT","."&amp;L$2&amp;L$1&amp;"C"&amp;$A12)*RTD("tos.rtd",,"LAST","."&amp;L$2&amp;L$1&amp;"C"&amp;$A12)+100*RTD("tos.rtd",,"OPEN_INT","."&amp;L$2&amp;L$1&amp;"P"&amp;$A12)*RTD("tos.rtd",,"LAST","."&amp;L$2&amp;L$1&amp;"P"&amp;$A12))/1000000,(100*RTD("tos.rtd",,"OPEN_INT","."&amp;L$2&amp;L$1&amp;"C"&amp;$A12)*RTD("tos.rtd",,"LAST","."&amp;L$2&amp;L$1&amp;"C"&amp;$A12)-100*RTD("tos.rtd",,"OPEN_INT","."&amp;L$2&amp;L$1&amp;"P"&amp;$A12)*RTD("tos.rtd",,"LAST","."&amp;L$2&amp;L$1&amp;"P"&amp;$A12))/1000000),0),IF($A$2="PREMIUM",IFERROR(IF($X$1="ABS",(100*RTD("tos.rtd",,"VOLUME","."&amp;L$2&amp;L$1&amp;"C"&amp;$A12)*RTD("tos.rtd",,"LAST","."&amp;L$2&amp;L$1&amp;"C"&amp;$A12)+100*RTD("tos.rtd",,"VOLUME","."&amp;L$2&amp;L$1&amp;"P"&amp;$A12)*RTD("tos.rtd",,"LAST","."&amp;L$2&amp;L$1&amp;"P"&amp;$A12))/1000000,(100*RTD("tos.rtd",,"VOLUME","."&amp;L$2&amp;L$1&amp;"C"&amp;$A12)*RTD("tos.rtd",,"LAST","."&amp;L$2&amp;L$1&amp;"C"&amp;$A12)-100*RTD("tos.rtd",,"VOLUME","."&amp;L$2&amp;L$1&amp;"P"&amp;$A12)*RTD("tos.rtd",,"LAST","."&amp;L$2&amp;L$1&amp;"P"&amp;$A12))/1000000),0),IF($A$2="DEX",IFERROR(IF($X$1="ABS",(100*RTD("tos.rtd",,"OPEN_INT","."&amp;L$2&amp;L$1&amp;"C"&amp;$A12)*RTD("tos.rtd",,"DELTA","."&amp;L$2&amp;L$1&amp;"C"&amp;$A12)+100*RTD("tos.rtd",,"OPEN_INT","."&amp;L$2&amp;L$1&amp;"P"&amp;$A12)*RTD("tos.rtd",,"DELTA","."&amp;L$2&amp;L$1&amp;"P"&amp;$A12))/1000,(100*RTD("tos.rtd",,"OPEN_INT","."&amp;L$2&amp;L$1&amp;"C"&amp;$A12)*RTD("tos.rtd",,"DELTA","."&amp;L$2&amp;L$1&amp;"C"&amp;$A12)-100*RTD("tos.rtd",,"OPEN_INT","."&amp;L$2&amp;L$1&amp;"P"&amp;$A12)*RTD("tos.rtd",,"DELTA","."&amp;L$2&amp;L$1&amp;"P"&amp;$A12))/1000),0),IF($A$2="VEX",IFERROR(IF($X$1="ABS",($A$4*$A$4*RTD("tos.rtd",,"VOLUME","."&amp;L$2&amp;L$1&amp;"C"&amp;$A12)*RTD("tos.rtd",,"GAMMA","."&amp;L$2&amp;L$1&amp;"C"&amp;$A12)+$A$4*$A$4*RTD("tos.rtd",,"VOLUME","."&amp;L$2&amp;L$1&amp;"P"&amp;$A12)*RTD("tos.rtd",,"GAMMA","."&amp;L$2&amp;L$1&amp;"P"&amp;$A12))/1000000,($A$4*$A$4*RTD("tos.rtd",,"VOLUME","."&amp;L$2&amp;L$1&amp;"C"&amp;$A12)*RTD("tos.rtd",,"GAMMA","."&amp;L$2&amp;L$1&amp;"C"&amp;$A12)-$A$4*$A$4*RTD("tos.rtd",,"VOLUME","."&amp;L$2&amp;L$1&amp;"P"&amp;$A12)*RTD("tos.rtd",,"GAMMA","."&amp;L$2&amp;L$1&amp;"P"&amp;$A12))/1000000),0),IF($A$2="GEX",IFERROR(IF($X$1="ABS",($A$4*$A$4*RTD("tos.rtd",,"OPEN_INT","."&amp;L$2&amp;L$1&amp;"C"&amp;$A12)*RTD("tos.rtd",,"GAMMA","."&amp;L$2&amp;L$1&amp;"C"&amp;$A12)+$A$4*$A$4*RTD("tos.rtd",,"OPEN_INT","."&amp;L$2&amp;L$1&amp;"P"&amp;$A12)*RTD("tos.rtd",,"GAMMA","."&amp;L$2&amp;L$1&amp;"P"&amp;$A12))/1000000,($A$4*$A$4*RTD("tos.rtd",,"OPEN_INT","."&amp;L$2&amp;L$1&amp;"C"&amp;$A12)*RTD("tos.rtd",,"GAMMA","."&amp;L$2&amp;L$1&amp;"C"&amp;$A12)-$A$4*$A$4*RTD("tos.rtd",,"OPEN_INT","."&amp;L$2&amp;L$1&amp;"P"&amp;$A12)*RTD("tos.rtd",,"GAMMA","."&amp;L$2&amp;L$1&amp;"P"&amp;$A12))/1000000),0),IF($A$2="SKEW",IFERROR(VALUE(IF(RTD("tos.rtd",,"IMPL_VOL","."&amp;L$2&amp;L$1&amp;"P"&amp;$A12)="N/A",0,RTD("tos.rtd",,"IMPL_VOL","."&amp;L$2&amp;L$1&amp;"P"&amp;$A12))),0)-IFERROR(VALUE(IF(RTD("tos.rtd",,"IMPL_VOL","."&amp;L$2&amp;L$1&amp;"C"&amp;$A12)="N/A",0,RTD("tos.rtd",,"IMPL_VOL","."&amp;L$2&amp;L$1&amp;"C"&amp;$A12))),0),IF($A$2="MAXPAIN",IF($A$4&gt;$A12,($A$4-$A12)*IF(RTD("tos.rtd",,"OPEN_INT","."&amp;L$2&amp;L$1&amp;"C"&amp;$A12)="N/A",0,RTD("tos.rtd",,"OPEN_INT","."&amp;L$2&amp;L$1&amp;"C"&amp;$A12)),0)+IF($A$4&lt;$A12,($A$5-$A$4)*IF(RTD("tos.rtd",,"OPEN_INT","."&amp;L$2&amp;L$1&amp;"P"&amp;$A12)="N/A",0,RTD("tos.rtd",,"OPEN_INT","."&amp;L$2&amp;L$1&amp;"P"&amp;$A12)),0),IF($X$1="ABS",IF(RTD("tos.rtd",,$A$2,"."&amp;L$2&amp;L$1&amp;"C"&amp;$A12)="N/A",0,RTD("tos.rtd",,$A$2,"."&amp;L$2&amp;L$1&amp;"C"&amp;$A12))+IF(RTD("tos.rtd",,$A$2,"."&amp;L$2&amp;L$1&amp;"P"&amp;$A12)="N/A",0,RTD("tos.rtd",,$A$2,"."&amp;L$2&amp;L$1&amp;"P"&amp;$A12)),IF(RTD("tos.rtd",,$A$2,"."&amp;L$2&amp;L$1&amp;"C"&amp;$A12)="N/A",0,RTD("tos.rtd",,$A$2,"."&amp;L$2&amp;L$1&amp;"C"&amp;$A12))-IF(RTD("tos.rtd",,$A$2,"."&amp;L$2&amp;L$1&amp;"P"&amp;$A12)="N/A",0,RTD("tos.rtd",,$A$2,"."&amp;L$2&amp;L$1&amp;"P"&amp;$A12))))))))))</f>
        <v>3879</v>
      </c>
      <c r="M12" s="12">
        <f ca="1">IF($A$2="PREMIUM_OI",IFERROR(IF($X$1="ABS",(100*RTD("tos.rtd",,"OPEN_INT","."&amp;M$2&amp;M$1&amp;"C"&amp;$A12)*RTD("tos.rtd",,"LAST","."&amp;M$2&amp;M$1&amp;"C"&amp;$A12)+100*RTD("tos.rtd",,"OPEN_INT","."&amp;M$2&amp;M$1&amp;"P"&amp;$A12)*RTD("tos.rtd",,"LAST","."&amp;M$2&amp;M$1&amp;"P"&amp;$A12))/1000000,(100*RTD("tos.rtd",,"OPEN_INT","."&amp;M$2&amp;M$1&amp;"C"&amp;$A12)*RTD("tos.rtd",,"LAST","."&amp;M$2&amp;M$1&amp;"C"&amp;$A12)-100*RTD("tos.rtd",,"OPEN_INT","."&amp;M$2&amp;M$1&amp;"P"&amp;$A12)*RTD("tos.rtd",,"LAST","."&amp;M$2&amp;M$1&amp;"P"&amp;$A12))/1000000),0),IF($A$2="PREMIUM",IFERROR(IF($X$1="ABS",(100*RTD("tos.rtd",,"VOLUME","."&amp;M$2&amp;M$1&amp;"C"&amp;$A12)*RTD("tos.rtd",,"LAST","."&amp;M$2&amp;M$1&amp;"C"&amp;$A12)+100*RTD("tos.rtd",,"VOLUME","."&amp;M$2&amp;M$1&amp;"P"&amp;$A12)*RTD("tos.rtd",,"LAST","."&amp;M$2&amp;M$1&amp;"P"&amp;$A12))/1000000,(100*RTD("tos.rtd",,"VOLUME","."&amp;M$2&amp;M$1&amp;"C"&amp;$A12)*RTD("tos.rtd",,"LAST","."&amp;M$2&amp;M$1&amp;"C"&amp;$A12)-100*RTD("tos.rtd",,"VOLUME","."&amp;M$2&amp;M$1&amp;"P"&amp;$A12)*RTD("tos.rtd",,"LAST","."&amp;M$2&amp;M$1&amp;"P"&amp;$A12))/1000000),0),IF($A$2="DEX",IFERROR(IF($X$1="ABS",(100*RTD("tos.rtd",,"OPEN_INT","."&amp;M$2&amp;M$1&amp;"C"&amp;$A12)*RTD("tos.rtd",,"DELTA","."&amp;M$2&amp;M$1&amp;"C"&amp;$A12)+100*RTD("tos.rtd",,"OPEN_INT","."&amp;M$2&amp;M$1&amp;"P"&amp;$A12)*RTD("tos.rtd",,"DELTA","."&amp;M$2&amp;M$1&amp;"P"&amp;$A12))/1000,(100*RTD("tos.rtd",,"OPEN_INT","."&amp;M$2&amp;M$1&amp;"C"&amp;$A12)*RTD("tos.rtd",,"DELTA","."&amp;M$2&amp;M$1&amp;"C"&amp;$A12)-100*RTD("tos.rtd",,"OPEN_INT","."&amp;M$2&amp;M$1&amp;"P"&amp;$A12)*RTD("tos.rtd",,"DELTA","."&amp;M$2&amp;M$1&amp;"P"&amp;$A12))/1000),0),IF($A$2="VEX",IFERROR(IF($X$1="ABS",($A$4*$A$4*RTD("tos.rtd",,"VOLUME","."&amp;M$2&amp;M$1&amp;"C"&amp;$A12)*RTD("tos.rtd",,"GAMMA","."&amp;M$2&amp;M$1&amp;"C"&amp;$A12)+$A$4*$A$4*RTD("tos.rtd",,"VOLUME","."&amp;M$2&amp;M$1&amp;"P"&amp;$A12)*RTD("tos.rtd",,"GAMMA","."&amp;M$2&amp;M$1&amp;"P"&amp;$A12))/1000000,($A$4*$A$4*RTD("tos.rtd",,"VOLUME","."&amp;M$2&amp;M$1&amp;"C"&amp;$A12)*RTD("tos.rtd",,"GAMMA","."&amp;M$2&amp;M$1&amp;"C"&amp;$A12)-$A$4*$A$4*RTD("tos.rtd",,"VOLUME","."&amp;M$2&amp;M$1&amp;"P"&amp;$A12)*RTD("tos.rtd",,"GAMMA","."&amp;M$2&amp;M$1&amp;"P"&amp;$A12))/1000000),0),IF($A$2="GEX",IFERROR(IF($X$1="ABS",($A$4*$A$4*RTD("tos.rtd",,"OPEN_INT","."&amp;M$2&amp;M$1&amp;"C"&amp;$A12)*RTD("tos.rtd",,"GAMMA","."&amp;M$2&amp;M$1&amp;"C"&amp;$A12)+$A$4*$A$4*RTD("tos.rtd",,"OPEN_INT","."&amp;M$2&amp;M$1&amp;"P"&amp;$A12)*RTD("tos.rtd",,"GAMMA","."&amp;M$2&amp;M$1&amp;"P"&amp;$A12))/1000000,($A$4*$A$4*RTD("tos.rtd",,"OPEN_INT","."&amp;M$2&amp;M$1&amp;"C"&amp;$A12)*RTD("tos.rtd",,"GAMMA","."&amp;M$2&amp;M$1&amp;"C"&amp;$A12)-$A$4*$A$4*RTD("tos.rtd",,"OPEN_INT","."&amp;M$2&amp;M$1&amp;"P"&amp;$A12)*RTD("tos.rtd",,"GAMMA","."&amp;M$2&amp;M$1&amp;"P"&amp;$A12))/1000000),0),IF($A$2="SKEW",IFERROR(VALUE(IF(RTD("tos.rtd",,"IMPL_VOL","."&amp;M$2&amp;M$1&amp;"P"&amp;$A12)="N/A",0,RTD("tos.rtd",,"IMPL_VOL","."&amp;M$2&amp;M$1&amp;"P"&amp;$A12))),0)-IFERROR(VALUE(IF(RTD("tos.rtd",,"IMPL_VOL","."&amp;M$2&amp;M$1&amp;"C"&amp;$A12)="N/A",0,RTD("tos.rtd",,"IMPL_VOL","."&amp;M$2&amp;M$1&amp;"C"&amp;$A12))),0),IF($A$2="MAXPAIN",IF($A$4&gt;$A12,($A$4-$A12)*IF(RTD("tos.rtd",,"OPEN_INT","."&amp;M$2&amp;M$1&amp;"C"&amp;$A12)="N/A",0,RTD("tos.rtd",,"OPEN_INT","."&amp;M$2&amp;M$1&amp;"C"&amp;$A12)),0)+IF($A$4&lt;$A12,($A$5-$A$4)*IF(RTD("tos.rtd",,"OPEN_INT","."&amp;M$2&amp;M$1&amp;"P"&amp;$A12)="N/A",0,RTD("tos.rtd",,"OPEN_INT","."&amp;M$2&amp;M$1&amp;"P"&amp;$A12)),0),IF($X$1="ABS",IF(RTD("tos.rtd",,$A$2,"."&amp;M$2&amp;M$1&amp;"C"&amp;$A12)="N/A",0,RTD("tos.rtd",,$A$2,"."&amp;M$2&amp;M$1&amp;"C"&amp;$A12))+IF(RTD("tos.rtd",,$A$2,"."&amp;M$2&amp;M$1&amp;"P"&amp;$A12)="N/A",0,RTD("tos.rtd",,$A$2,"."&amp;M$2&amp;M$1&amp;"P"&amp;$A12)),IF(RTD("tos.rtd",,$A$2,"."&amp;M$2&amp;M$1&amp;"C"&amp;$A12)="N/A",0,RTD("tos.rtd",,$A$2,"."&amp;M$2&amp;M$1&amp;"C"&amp;$A12))-IF(RTD("tos.rtd",,$A$2,"."&amp;M$2&amp;M$1&amp;"P"&amp;$A12)="N/A",0,RTD("tos.rtd",,$A$2,"."&amp;M$2&amp;M$1&amp;"P"&amp;$A12))))))))))</f>
        <v>1002</v>
      </c>
      <c r="N12" s="12">
        <f ca="1">IF($A$2="PREMIUM_OI",IFERROR(IF($X$1="ABS",(100*RTD("tos.rtd",,"OPEN_INT","."&amp;N$2&amp;N$1&amp;"C"&amp;$A12)*RTD("tos.rtd",,"LAST","."&amp;N$2&amp;N$1&amp;"C"&amp;$A12)+100*RTD("tos.rtd",,"OPEN_INT","."&amp;N$2&amp;N$1&amp;"P"&amp;$A12)*RTD("tos.rtd",,"LAST","."&amp;N$2&amp;N$1&amp;"P"&amp;$A12))/1000000,(100*RTD("tos.rtd",,"OPEN_INT","."&amp;N$2&amp;N$1&amp;"C"&amp;$A12)*RTD("tos.rtd",,"LAST","."&amp;N$2&amp;N$1&amp;"C"&amp;$A12)-100*RTD("tos.rtd",,"OPEN_INT","."&amp;N$2&amp;N$1&amp;"P"&amp;$A12)*RTD("tos.rtd",,"LAST","."&amp;N$2&amp;N$1&amp;"P"&amp;$A12))/1000000),0),IF($A$2="PREMIUM",IFERROR(IF($X$1="ABS",(100*RTD("tos.rtd",,"VOLUME","."&amp;N$2&amp;N$1&amp;"C"&amp;$A12)*RTD("tos.rtd",,"LAST","."&amp;N$2&amp;N$1&amp;"C"&amp;$A12)+100*RTD("tos.rtd",,"VOLUME","."&amp;N$2&amp;N$1&amp;"P"&amp;$A12)*RTD("tos.rtd",,"LAST","."&amp;N$2&amp;N$1&amp;"P"&amp;$A12))/1000000,(100*RTD("tos.rtd",,"VOLUME","."&amp;N$2&amp;N$1&amp;"C"&amp;$A12)*RTD("tos.rtd",,"LAST","."&amp;N$2&amp;N$1&amp;"C"&amp;$A12)-100*RTD("tos.rtd",,"VOLUME","."&amp;N$2&amp;N$1&amp;"P"&amp;$A12)*RTD("tos.rtd",,"LAST","."&amp;N$2&amp;N$1&amp;"P"&amp;$A12))/1000000),0),IF($A$2="DEX",IFERROR(IF($X$1="ABS",(100*RTD("tos.rtd",,"OPEN_INT","."&amp;N$2&amp;N$1&amp;"C"&amp;$A12)*RTD("tos.rtd",,"DELTA","."&amp;N$2&amp;N$1&amp;"C"&amp;$A12)+100*RTD("tos.rtd",,"OPEN_INT","."&amp;N$2&amp;N$1&amp;"P"&amp;$A12)*RTD("tos.rtd",,"DELTA","."&amp;N$2&amp;N$1&amp;"P"&amp;$A12))/1000,(100*RTD("tos.rtd",,"OPEN_INT","."&amp;N$2&amp;N$1&amp;"C"&amp;$A12)*RTD("tos.rtd",,"DELTA","."&amp;N$2&amp;N$1&amp;"C"&amp;$A12)-100*RTD("tos.rtd",,"OPEN_INT","."&amp;N$2&amp;N$1&amp;"P"&amp;$A12)*RTD("tos.rtd",,"DELTA","."&amp;N$2&amp;N$1&amp;"P"&amp;$A12))/1000),0),IF($A$2="VEX",IFERROR(IF($X$1="ABS",($A$4*$A$4*RTD("tos.rtd",,"VOLUME","."&amp;N$2&amp;N$1&amp;"C"&amp;$A12)*RTD("tos.rtd",,"GAMMA","."&amp;N$2&amp;N$1&amp;"C"&amp;$A12)+$A$4*$A$4*RTD("tos.rtd",,"VOLUME","."&amp;N$2&amp;N$1&amp;"P"&amp;$A12)*RTD("tos.rtd",,"GAMMA","."&amp;N$2&amp;N$1&amp;"P"&amp;$A12))/1000000,($A$4*$A$4*RTD("tos.rtd",,"VOLUME","."&amp;N$2&amp;N$1&amp;"C"&amp;$A12)*RTD("tos.rtd",,"GAMMA","."&amp;N$2&amp;N$1&amp;"C"&amp;$A12)-$A$4*$A$4*RTD("tos.rtd",,"VOLUME","."&amp;N$2&amp;N$1&amp;"P"&amp;$A12)*RTD("tos.rtd",,"GAMMA","."&amp;N$2&amp;N$1&amp;"P"&amp;$A12))/1000000),0),IF($A$2="GEX",IFERROR(IF($X$1="ABS",($A$4*$A$4*RTD("tos.rtd",,"OPEN_INT","."&amp;N$2&amp;N$1&amp;"C"&amp;$A12)*RTD("tos.rtd",,"GAMMA","."&amp;N$2&amp;N$1&amp;"C"&amp;$A12)+$A$4*$A$4*RTD("tos.rtd",,"OPEN_INT","."&amp;N$2&amp;N$1&amp;"P"&amp;$A12)*RTD("tos.rtd",,"GAMMA","."&amp;N$2&amp;N$1&amp;"P"&amp;$A12))/1000000,($A$4*$A$4*RTD("tos.rtd",,"OPEN_INT","."&amp;N$2&amp;N$1&amp;"C"&amp;$A12)*RTD("tos.rtd",,"GAMMA","."&amp;N$2&amp;N$1&amp;"C"&amp;$A12)-$A$4*$A$4*RTD("tos.rtd",,"OPEN_INT","."&amp;N$2&amp;N$1&amp;"P"&amp;$A12)*RTD("tos.rtd",,"GAMMA","."&amp;N$2&amp;N$1&amp;"P"&amp;$A12))/1000000),0),IF($A$2="SKEW",IFERROR(VALUE(IF(RTD("tos.rtd",,"IMPL_VOL","."&amp;N$2&amp;N$1&amp;"P"&amp;$A12)="N/A",0,RTD("tos.rtd",,"IMPL_VOL","."&amp;N$2&amp;N$1&amp;"P"&amp;$A12))),0)-IFERROR(VALUE(IF(RTD("tos.rtd",,"IMPL_VOL","."&amp;N$2&amp;N$1&amp;"C"&amp;$A12)="N/A",0,RTD("tos.rtd",,"IMPL_VOL","."&amp;N$2&amp;N$1&amp;"C"&amp;$A12))),0),IF($A$2="MAXPAIN",IF($A$4&gt;$A12,($A$4-$A12)*IF(RTD("tos.rtd",,"OPEN_INT","."&amp;N$2&amp;N$1&amp;"C"&amp;$A12)="N/A",0,RTD("tos.rtd",,"OPEN_INT","."&amp;N$2&amp;N$1&amp;"C"&amp;$A12)),0)+IF($A$4&lt;$A12,($A$5-$A$4)*IF(RTD("tos.rtd",,"OPEN_INT","."&amp;N$2&amp;N$1&amp;"P"&amp;$A12)="N/A",0,RTD("tos.rtd",,"OPEN_INT","."&amp;N$2&amp;N$1&amp;"P"&amp;$A12)),0),IF($X$1="ABS",IF(RTD("tos.rtd",,$A$2,"."&amp;N$2&amp;N$1&amp;"C"&amp;$A12)="N/A",0,RTD("tos.rtd",,$A$2,"."&amp;N$2&amp;N$1&amp;"C"&amp;$A12))+IF(RTD("tos.rtd",,$A$2,"."&amp;N$2&amp;N$1&amp;"P"&amp;$A12)="N/A",0,RTD("tos.rtd",,$A$2,"."&amp;N$2&amp;N$1&amp;"P"&amp;$A12)),IF(RTD("tos.rtd",,$A$2,"."&amp;N$2&amp;N$1&amp;"C"&amp;$A12)="N/A",0,RTD("tos.rtd",,$A$2,"."&amp;N$2&amp;N$1&amp;"C"&amp;$A12))-IF(RTD("tos.rtd",,$A$2,"."&amp;N$2&amp;N$1&amp;"P"&amp;$A12)="N/A",0,RTD("tos.rtd",,$A$2,"."&amp;N$2&amp;N$1&amp;"P"&amp;$A12))))))))))</f>
        <v>0</v>
      </c>
      <c r="O12" s="12">
        <f ca="1">IF($A$2="PREMIUM_OI",IFERROR(IF($X$1="ABS",(100*RTD("tos.rtd",,"OPEN_INT","."&amp;O$2&amp;O$1&amp;"C"&amp;$A12)*RTD("tos.rtd",,"LAST","."&amp;O$2&amp;O$1&amp;"C"&amp;$A12)+100*RTD("tos.rtd",,"OPEN_INT","."&amp;O$2&amp;O$1&amp;"P"&amp;$A12)*RTD("tos.rtd",,"LAST","."&amp;O$2&amp;O$1&amp;"P"&amp;$A12))/1000000,(100*RTD("tos.rtd",,"OPEN_INT","."&amp;O$2&amp;O$1&amp;"C"&amp;$A12)*RTD("tos.rtd",,"LAST","."&amp;O$2&amp;O$1&amp;"C"&amp;$A12)-100*RTD("tos.rtd",,"OPEN_INT","."&amp;O$2&amp;O$1&amp;"P"&amp;$A12)*RTD("tos.rtd",,"LAST","."&amp;O$2&amp;O$1&amp;"P"&amp;$A12))/1000000),0),IF($A$2="PREMIUM",IFERROR(IF($X$1="ABS",(100*RTD("tos.rtd",,"VOLUME","."&amp;O$2&amp;O$1&amp;"C"&amp;$A12)*RTD("tos.rtd",,"LAST","."&amp;O$2&amp;O$1&amp;"C"&amp;$A12)+100*RTD("tos.rtd",,"VOLUME","."&amp;O$2&amp;O$1&amp;"P"&amp;$A12)*RTD("tos.rtd",,"LAST","."&amp;O$2&amp;O$1&amp;"P"&amp;$A12))/1000000,(100*RTD("tos.rtd",,"VOLUME","."&amp;O$2&amp;O$1&amp;"C"&amp;$A12)*RTD("tos.rtd",,"LAST","."&amp;O$2&amp;O$1&amp;"C"&amp;$A12)-100*RTD("tos.rtd",,"VOLUME","."&amp;O$2&amp;O$1&amp;"P"&amp;$A12)*RTD("tos.rtd",,"LAST","."&amp;O$2&amp;O$1&amp;"P"&amp;$A12))/1000000),0),IF($A$2="DEX",IFERROR(IF($X$1="ABS",(100*RTD("tos.rtd",,"OPEN_INT","."&amp;O$2&amp;O$1&amp;"C"&amp;$A12)*RTD("tos.rtd",,"DELTA","."&amp;O$2&amp;O$1&amp;"C"&amp;$A12)+100*RTD("tos.rtd",,"OPEN_INT","."&amp;O$2&amp;O$1&amp;"P"&amp;$A12)*RTD("tos.rtd",,"DELTA","."&amp;O$2&amp;O$1&amp;"P"&amp;$A12))/1000,(100*RTD("tos.rtd",,"OPEN_INT","."&amp;O$2&amp;O$1&amp;"C"&amp;$A12)*RTD("tos.rtd",,"DELTA","."&amp;O$2&amp;O$1&amp;"C"&amp;$A12)-100*RTD("tos.rtd",,"OPEN_INT","."&amp;O$2&amp;O$1&amp;"P"&amp;$A12)*RTD("tos.rtd",,"DELTA","."&amp;O$2&amp;O$1&amp;"P"&amp;$A12))/1000),0),IF($A$2="VEX",IFERROR(IF($X$1="ABS",($A$4*$A$4*RTD("tos.rtd",,"VOLUME","."&amp;O$2&amp;O$1&amp;"C"&amp;$A12)*RTD("tos.rtd",,"GAMMA","."&amp;O$2&amp;O$1&amp;"C"&amp;$A12)+$A$4*$A$4*RTD("tos.rtd",,"VOLUME","."&amp;O$2&amp;O$1&amp;"P"&amp;$A12)*RTD("tos.rtd",,"GAMMA","."&amp;O$2&amp;O$1&amp;"P"&amp;$A12))/1000000,($A$4*$A$4*RTD("tos.rtd",,"VOLUME","."&amp;O$2&amp;O$1&amp;"C"&amp;$A12)*RTD("tos.rtd",,"GAMMA","."&amp;O$2&amp;O$1&amp;"C"&amp;$A12)-$A$4*$A$4*RTD("tos.rtd",,"VOLUME","."&amp;O$2&amp;O$1&amp;"P"&amp;$A12)*RTD("tos.rtd",,"GAMMA","."&amp;O$2&amp;O$1&amp;"P"&amp;$A12))/1000000),0),IF($A$2="GEX",IFERROR(IF($X$1="ABS",($A$4*$A$4*RTD("tos.rtd",,"OPEN_INT","."&amp;O$2&amp;O$1&amp;"C"&amp;$A12)*RTD("tos.rtd",,"GAMMA","."&amp;O$2&amp;O$1&amp;"C"&amp;$A12)+$A$4*$A$4*RTD("tos.rtd",,"OPEN_INT","."&amp;O$2&amp;O$1&amp;"P"&amp;$A12)*RTD("tos.rtd",,"GAMMA","."&amp;O$2&amp;O$1&amp;"P"&amp;$A12))/1000000,($A$4*$A$4*RTD("tos.rtd",,"OPEN_INT","."&amp;O$2&amp;O$1&amp;"C"&amp;$A12)*RTD("tos.rtd",,"GAMMA","."&amp;O$2&amp;O$1&amp;"C"&amp;$A12)-$A$4*$A$4*RTD("tos.rtd",,"OPEN_INT","."&amp;O$2&amp;O$1&amp;"P"&amp;$A12)*RTD("tos.rtd",,"GAMMA","."&amp;O$2&amp;O$1&amp;"P"&amp;$A12))/1000000),0),IF($A$2="SKEW",IFERROR(VALUE(IF(RTD("tos.rtd",,"IMPL_VOL","."&amp;O$2&amp;O$1&amp;"P"&amp;$A12)="N/A",0,RTD("tos.rtd",,"IMPL_VOL","."&amp;O$2&amp;O$1&amp;"P"&amp;$A12))),0)-IFERROR(VALUE(IF(RTD("tos.rtd",,"IMPL_VOL","."&amp;O$2&amp;O$1&amp;"C"&amp;$A12)="N/A",0,RTD("tos.rtd",,"IMPL_VOL","."&amp;O$2&amp;O$1&amp;"C"&amp;$A12))),0),IF($A$2="MAXPAIN",IF($A$4&gt;$A12,($A$4-$A12)*IF(RTD("tos.rtd",,"OPEN_INT","."&amp;O$2&amp;O$1&amp;"C"&amp;$A12)="N/A",0,RTD("tos.rtd",,"OPEN_INT","."&amp;O$2&amp;O$1&amp;"C"&amp;$A12)),0)+IF($A$4&lt;$A12,($A$5-$A$4)*IF(RTD("tos.rtd",,"OPEN_INT","."&amp;O$2&amp;O$1&amp;"P"&amp;$A12)="N/A",0,RTD("tos.rtd",,"OPEN_INT","."&amp;O$2&amp;O$1&amp;"P"&amp;$A12)),0),IF($X$1="ABS",IF(RTD("tos.rtd",,$A$2,"."&amp;O$2&amp;O$1&amp;"C"&amp;$A12)="N/A",0,RTD("tos.rtd",,$A$2,"."&amp;O$2&amp;O$1&amp;"C"&amp;$A12))+IF(RTD("tos.rtd",,$A$2,"."&amp;O$2&amp;O$1&amp;"P"&amp;$A12)="N/A",0,RTD("tos.rtd",,$A$2,"."&amp;O$2&amp;O$1&amp;"P"&amp;$A12)),IF(RTD("tos.rtd",,$A$2,"."&amp;O$2&amp;O$1&amp;"C"&amp;$A12)="N/A",0,RTD("tos.rtd",,$A$2,"."&amp;O$2&amp;O$1&amp;"C"&amp;$A12))-IF(RTD("tos.rtd",,$A$2,"."&amp;O$2&amp;O$1&amp;"P"&amp;$A12)="N/A",0,RTD("tos.rtd",,$A$2,"."&amp;O$2&amp;O$1&amp;"P"&amp;$A12))))))))))</f>
        <v>0</v>
      </c>
      <c r="P12" s="12">
        <f ca="1">IF($A$2="PREMIUM_OI",IFERROR(IF($X$1="ABS",(100*RTD("tos.rtd",,"OPEN_INT","."&amp;P$2&amp;P$1&amp;"C"&amp;$A12)*RTD("tos.rtd",,"LAST","."&amp;P$2&amp;P$1&amp;"C"&amp;$A12)+100*RTD("tos.rtd",,"OPEN_INT","."&amp;P$2&amp;P$1&amp;"P"&amp;$A12)*RTD("tos.rtd",,"LAST","."&amp;P$2&amp;P$1&amp;"P"&amp;$A12))/1000000,(100*RTD("tos.rtd",,"OPEN_INT","."&amp;P$2&amp;P$1&amp;"C"&amp;$A12)*RTD("tos.rtd",,"LAST","."&amp;P$2&amp;P$1&amp;"C"&amp;$A12)-100*RTD("tos.rtd",,"OPEN_INT","."&amp;P$2&amp;P$1&amp;"P"&amp;$A12)*RTD("tos.rtd",,"LAST","."&amp;P$2&amp;P$1&amp;"P"&amp;$A12))/1000000),0),IF($A$2="PREMIUM",IFERROR(IF($X$1="ABS",(100*RTD("tos.rtd",,"VOLUME","."&amp;P$2&amp;P$1&amp;"C"&amp;$A12)*RTD("tos.rtd",,"LAST","."&amp;P$2&amp;P$1&amp;"C"&amp;$A12)+100*RTD("tos.rtd",,"VOLUME","."&amp;P$2&amp;P$1&amp;"P"&amp;$A12)*RTD("tos.rtd",,"LAST","."&amp;P$2&amp;P$1&amp;"P"&amp;$A12))/1000000,(100*RTD("tos.rtd",,"VOLUME","."&amp;P$2&amp;P$1&amp;"C"&amp;$A12)*RTD("tos.rtd",,"LAST","."&amp;P$2&amp;P$1&amp;"C"&amp;$A12)-100*RTD("tos.rtd",,"VOLUME","."&amp;P$2&amp;P$1&amp;"P"&amp;$A12)*RTD("tos.rtd",,"LAST","."&amp;P$2&amp;P$1&amp;"P"&amp;$A12))/1000000),0),IF($A$2="DEX",IFERROR(IF($X$1="ABS",(100*RTD("tos.rtd",,"OPEN_INT","."&amp;P$2&amp;P$1&amp;"C"&amp;$A12)*RTD("tos.rtd",,"DELTA","."&amp;P$2&amp;P$1&amp;"C"&amp;$A12)+100*RTD("tos.rtd",,"OPEN_INT","."&amp;P$2&amp;P$1&amp;"P"&amp;$A12)*RTD("tos.rtd",,"DELTA","."&amp;P$2&amp;P$1&amp;"P"&amp;$A12))/1000,(100*RTD("tos.rtd",,"OPEN_INT","."&amp;P$2&amp;P$1&amp;"C"&amp;$A12)*RTD("tos.rtd",,"DELTA","."&amp;P$2&amp;P$1&amp;"C"&amp;$A12)-100*RTD("tos.rtd",,"OPEN_INT","."&amp;P$2&amp;P$1&amp;"P"&amp;$A12)*RTD("tos.rtd",,"DELTA","."&amp;P$2&amp;P$1&amp;"P"&amp;$A12))/1000),0),IF($A$2="VEX",IFERROR(IF($X$1="ABS",($A$4*$A$4*RTD("tos.rtd",,"VOLUME","."&amp;P$2&amp;P$1&amp;"C"&amp;$A12)*RTD("tos.rtd",,"GAMMA","."&amp;P$2&amp;P$1&amp;"C"&amp;$A12)+$A$4*$A$4*RTD("tos.rtd",,"VOLUME","."&amp;P$2&amp;P$1&amp;"P"&amp;$A12)*RTD("tos.rtd",,"GAMMA","."&amp;P$2&amp;P$1&amp;"P"&amp;$A12))/1000000,($A$4*$A$4*RTD("tos.rtd",,"VOLUME","."&amp;P$2&amp;P$1&amp;"C"&amp;$A12)*RTD("tos.rtd",,"GAMMA","."&amp;P$2&amp;P$1&amp;"C"&amp;$A12)-$A$4*$A$4*RTD("tos.rtd",,"VOLUME","."&amp;P$2&amp;P$1&amp;"P"&amp;$A12)*RTD("tos.rtd",,"GAMMA","."&amp;P$2&amp;P$1&amp;"P"&amp;$A12))/1000000),0),IF($A$2="GEX",IFERROR(IF($X$1="ABS",($A$4*$A$4*RTD("tos.rtd",,"OPEN_INT","."&amp;P$2&amp;P$1&amp;"C"&amp;$A12)*RTD("tos.rtd",,"GAMMA","."&amp;P$2&amp;P$1&amp;"C"&amp;$A12)+$A$4*$A$4*RTD("tos.rtd",,"OPEN_INT","."&amp;P$2&amp;P$1&amp;"P"&amp;$A12)*RTD("tos.rtd",,"GAMMA","."&amp;P$2&amp;P$1&amp;"P"&amp;$A12))/1000000,($A$4*$A$4*RTD("tos.rtd",,"OPEN_INT","."&amp;P$2&amp;P$1&amp;"C"&amp;$A12)*RTD("tos.rtd",,"GAMMA","."&amp;P$2&amp;P$1&amp;"C"&amp;$A12)-$A$4*$A$4*RTD("tos.rtd",,"OPEN_INT","."&amp;P$2&amp;P$1&amp;"P"&amp;$A12)*RTD("tos.rtd",,"GAMMA","."&amp;P$2&amp;P$1&amp;"P"&amp;$A12))/1000000),0),IF($A$2="SKEW",IFERROR(VALUE(IF(RTD("tos.rtd",,"IMPL_VOL","."&amp;P$2&amp;P$1&amp;"P"&amp;$A12)="N/A",0,RTD("tos.rtd",,"IMPL_VOL","."&amp;P$2&amp;P$1&amp;"P"&amp;$A12))),0)-IFERROR(VALUE(IF(RTD("tos.rtd",,"IMPL_VOL","."&amp;P$2&amp;P$1&amp;"C"&amp;$A12)="N/A",0,RTD("tos.rtd",,"IMPL_VOL","."&amp;P$2&amp;P$1&amp;"C"&amp;$A12))),0),IF($A$2="MAXPAIN",IF($A$4&gt;$A12,($A$4-$A12)*IF(RTD("tos.rtd",,"OPEN_INT","."&amp;P$2&amp;P$1&amp;"C"&amp;$A12)="N/A",0,RTD("tos.rtd",,"OPEN_INT","."&amp;P$2&amp;P$1&amp;"C"&amp;$A12)),0)+IF($A$4&lt;$A12,($A$5-$A$4)*IF(RTD("tos.rtd",,"OPEN_INT","."&amp;P$2&amp;P$1&amp;"P"&amp;$A12)="N/A",0,RTD("tos.rtd",,"OPEN_INT","."&amp;P$2&amp;P$1&amp;"P"&amp;$A12)),0),IF($X$1="ABS",IF(RTD("tos.rtd",,$A$2,"."&amp;P$2&amp;P$1&amp;"C"&amp;$A12)="N/A",0,RTD("tos.rtd",,$A$2,"."&amp;P$2&amp;P$1&amp;"C"&amp;$A12))+IF(RTD("tos.rtd",,$A$2,"."&amp;P$2&amp;P$1&amp;"P"&amp;$A12)="N/A",0,RTD("tos.rtd",,$A$2,"."&amp;P$2&amp;P$1&amp;"P"&amp;$A12)),IF(RTD("tos.rtd",,$A$2,"."&amp;P$2&amp;P$1&amp;"C"&amp;$A12)="N/A",0,RTD("tos.rtd",,$A$2,"."&amp;P$2&amp;P$1&amp;"C"&amp;$A12))-IF(RTD("tos.rtd",,$A$2,"."&amp;P$2&amp;P$1&amp;"P"&amp;$A12)="N/A",0,RTD("tos.rtd",,$A$2,"."&amp;P$2&amp;P$1&amp;"P"&amp;$A12))))))))))</f>
        <v>0</v>
      </c>
      <c r="Q12" s="12">
        <f ca="1">IF($A$2="PREMIUM_OI",IFERROR(IF($X$1="ABS",(100*RTD("tos.rtd",,"OPEN_INT","."&amp;Q$2&amp;Q$1&amp;"C"&amp;$A12)*RTD("tos.rtd",,"LAST","."&amp;Q$2&amp;Q$1&amp;"C"&amp;$A12)+100*RTD("tos.rtd",,"OPEN_INT","."&amp;Q$2&amp;Q$1&amp;"P"&amp;$A12)*RTD("tos.rtd",,"LAST","."&amp;Q$2&amp;Q$1&amp;"P"&amp;$A12))/1000000,(100*RTD("tos.rtd",,"OPEN_INT","."&amp;Q$2&amp;Q$1&amp;"C"&amp;$A12)*RTD("tos.rtd",,"LAST","."&amp;Q$2&amp;Q$1&amp;"C"&amp;$A12)-100*RTD("tos.rtd",,"OPEN_INT","."&amp;Q$2&amp;Q$1&amp;"P"&amp;$A12)*RTD("tos.rtd",,"LAST","."&amp;Q$2&amp;Q$1&amp;"P"&amp;$A12))/1000000),0),IF($A$2="PREMIUM",IFERROR(IF($X$1="ABS",(100*RTD("tos.rtd",,"VOLUME","."&amp;Q$2&amp;Q$1&amp;"C"&amp;$A12)*RTD("tos.rtd",,"LAST","."&amp;Q$2&amp;Q$1&amp;"C"&amp;$A12)+100*RTD("tos.rtd",,"VOLUME","."&amp;Q$2&amp;Q$1&amp;"P"&amp;$A12)*RTD("tos.rtd",,"LAST","."&amp;Q$2&amp;Q$1&amp;"P"&amp;$A12))/1000000,(100*RTD("tos.rtd",,"VOLUME","."&amp;Q$2&amp;Q$1&amp;"C"&amp;$A12)*RTD("tos.rtd",,"LAST","."&amp;Q$2&amp;Q$1&amp;"C"&amp;$A12)-100*RTD("tos.rtd",,"VOLUME","."&amp;Q$2&amp;Q$1&amp;"P"&amp;$A12)*RTD("tos.rtd",,"LAST","."&amp;Q$2&amp;Q$1&amp;"P"&amp;$A12))/1000000),0),IF($A$2="DEX",IFERROR(IF($X$1="ABS",(100*RTD("tos.rtd",,"OPEN_INT","."&amp;Q$2&amp;Q$1&amp;"C"&amp;$A12)*RTD("tos.rtd",,"DELTA","."&amp;Q$2&amp;Q$1&amp;"C"&amp;$A12)+100*RTD("tos.rtd",,"OPEN_INT","."&amp;Q$2&amp;Q$1&amp;"P"&amp;$A12)*RTD("tos.rtd",,"DELTA","."&amp;Q$2&amp;Q$1&amp;"P"&amp;$A12))/1000,(100*RTD("tos.rtd",,"OPEN_INT","."&amp;Q$2&amp;Q$1&amp;"C"&amp;$A12)*RTD("tos.rtd",,"DELTA","."&amp;Q$2&amp;Q$1&amp;"C"&amp;$A12)-100*RTD("tos.rtd",,"OPEN_INT","."&amp;Q$2&amp;Q$1&amp;"P"&amp;$A12)*RTD("tos.rtd",,"DELTA","."&amp;Q$2&amp;Q$1&amp;"P"&amp;$A12))/1000),0),IF($A$2="VEX",IFERROR(IF($X$1="ABS",($A$4*$A$4*RTD("tos.rtd",,"VOLUME","."&amp;Q$2&amp;Q$1&amp;"C"&amp;$A12)*RTD("tos.rtd",,"GAMMA","."&amp;Q$2&amp;Q$1&amp;"C"&amp;$A12)+$A$4*$A$4*RTD("tos.rtd",,"VOLUME","."&amp;Q$2&amp;Q$1&amp;"P"&amp;$A12)*RTD("tos.rtd",,"GAMMA","."&amp;Q$2&amp;Q$1&amp;"P"&amp;$A12))/1000000,($A$4*$A$4*RTD("tos.rtd",,"VOLUME","."&amp;Q$2&amp;Q$1&amp;"C"&amp;$A12)*RTD("tos.rtd",,"GAMMA","."&amp;Q$2&amp;Q$1&amp;"C"&amp;$A12)-$A$4*$A$4*RTD("tos.rtd",,"VOLUME","."&amp;Q$2&amp;Q$1&amp;"P"&amp;$A12)*RTD("tos.rtd",,"GAMMA","."&amp;Q$2&amp;Q$1&amp;"P"&amp;$A12))/1000000),0),IF($A$2="GEX",IFERROR(IF($X$1="ABS",($A$4*$A$4*RTD("tos.rtd",,"OPEN_INT","."&amp;Q$2&amp;Q$1&amp;"C"&amp;$A12)*RTD("tos.rtd",,"GAMMA","."&amp;Q$2&amp;Q$1&amp;"C"&amp;$A12)+$A$4*$A$4*RTD("tos.rtd",,"OPEN_INT","."&amp;Q$2&amp;Q$1&amp;"P"&amp;$A12)*RTD("tos.rtd",,"GAMMA","."&amp;Q$2&amp;Q$1&amp;"P"&amp;$A12))/1000000,($A$4*$A$4*RTD("tos.rtd",,"OPEN_INT","."&amp;Q$2&amp;Q$1&amp;"C"&amp;$A12)*RTD("tos.rtd",,"GAMMA","."&amp;Q$2&amp;Q$1&amp;"C"&amp;$A12)-$A$4*$A$4*RTD("tos.rtd",,"OPEN_INT","."&amp;Q$2&amp;Q$1&amp;"P"&amp;$A12)*RTD("tos.rtd",,"GAMMA","."&amp;Q$2&amp;Q$1&amp;"P"&amp;$A12))/1000000),0),IF($A$2="SKEW",IFERROR(VALUE(IF(RTD("tos.rtd",,"IMPL_VOL","."&amp;Q$2&amp;Q$1&amp;"P"&amp;$A12)="N/A",0,RTD("tos.rtd",,"IMPL_VOL","."&amp;Q$2&amp;Q$1&amp;"P"&amp;$A12))),0)-IFERROR(VALUE(IF(RTD("tos.rtd",,"IMPL_VOL","."&amp;Q$2&amp;Q$1&amp;"C"&amp;$A12)="N/A",0,RTD("tos.rtd",,"IMPL_VOL","."&amp;Q$2&amp;Q$1&amp;"C"&amp;$A12))),0),IF($A$2="MAXPAIN",IF($A$4&gt;$A12,($A$4-$A12)*IF(RTD("tos.rtd",,"OPEN_INT","."&amp;Q$2&amp;Q$1&amp;"C"&amp;$A12)="N/A",0,RTD("tos.rtd",,"OPEN_INT","."&amp;Q$2&amp;Q$1&amp;"C"&amp;$A12)),0)+IF($A$4&lt;$A12,($A$5-$A$4)*IF(RTD("tos.rtd",,"OPEN_INT","."&amp;Q$2&amp;Q$1&amp;"P"&amp;$A12)="N/A",0,RTD("tos.rtd",,"OPEN_INT","."&amp;Q$2&amp;Q$1&amp;"P"&amp;$A12)),0),IF($X$1="ABS",IF(RTD("tos.rtd",,$A$2,"."&amp;Q$2&amp;Q$1&amp;"C"&amp;$A12)="N/A",0,RTD("tos.rtd",,$A$2,"."&amp;Q$2&amp;Q$1&amp;"C"&amp;$A12))+IF(RTD("tos.rtd",,$A$2,"."&amp;Q$2&amp;Q$1&amp;"P"&amp;$A12)="N/A",0,RTD("tos.rtd",,$A$2,"."&amp;Q$2&amp;Q$1&amp;"P"&amp;$A12)),IF(RTD("tos.rtd",,$A$2,"."&amp;Q$2&amp;Q$1&amp;"C"&amp;$A12)="N/A",0,RTD("tos.rtd",,$A$2,"."&amp;Q$2&amp;Q$1&amp;"C"&amp;$A12))-IF(RTD("tos.rtd",,$A$2,"."&amp;Q$2&amp;Q$1&amp;"P"&amp;$A12)="N/A",0,RTD("tos.rtd",,$A$2,"."&amp;Q$2&amp;Q$1&amp;"P"&amp;$A12))))))))))</f>
        <v>0</v>
      </c>
      <c r="R12" s="12">
        <f ca="1">IF($A$2="PREMIUM_OI",IFERROR(IF($X$1="ABS",(100*RTD("tos.rtd",,"OPEN_INT","."&amp;R$2&amp;R$1&amp;"C"&amp;$A12)*RTD("tos.rtd",,"LAST","."&amp;R$2&amp;R$1&amp;"C"&amp;$A12)+100*RTD("tos.rtd",,"OPEN_INT","."&amp;R$2&amp;R$1&amp;"P"&amp;$A12)*RTD("tos.rtd",,"LAST","."&amp;R$2&amp;R$1&amp;"P"&amp;$A12))/1000000,(100*RTD("tos.rtd",,"OPEN_INT","."&amp;R$2&amp;R$1&amp;"C"&amp;$A12)*RTD("tos.rtd",,"LAST","."&amp;R$2&amp;R$1&amp;"C"&amp;$A12)-100*RTD("tos.rtd",,"OPEN_INT","."&amp;R$2&amp;R$1&amp;"P"&amp;$A12)*RTD("tos.rtd",,"LAST","."&amp;R$2&amp;R$1&amp;"P"&amp;$A12))/1000000),0),IF($A$2="PREMIUM",IFERROR(IF($X$1="ABS",(100*RTD("tos.rtd",,"VOLUME","."&amp;R$2&amp;R$1&amp;"C"&amp;$A12)*RTD("tos.rtd",,"LAST","."&amp;R$2&amp;R$1&amp;"C"&amp;$A12)+100*RTD("tos.rtd",,"VOLUME","."&amp;R$2&amp;R$1&amp;"P"&amp;$A12)*RTD("tos.rtd",,"LAST","."&amp;R$2&amp;R$1&amp;"P"&amp;$A12))/1000000,(100*RTD("tos.rtd",,"VOLUME","."&amp;R$2&amp;R$1&amp;"C"&amp;$A12)*RTD("tos.rtd",,"LAST","."&amp;R$2&amp;R$1&amp;"C"&amp;$A12)-100*RTD("tos.rtd",,"VOLUME","."&amp;R$2&amp;R$1&amp;"P"&amp;$A12)*RTD("tos.rtd",,"LAST","."&amp;R$2&amp;R$1&amp;"P"&amp;$A12))/1000000),0),IF($A$2="DEX",IFERROR(IF($X$1="ABS",(100*RTD("tos.rtd",,"OPEN_INT","."&amp;R$2&amp;R$1&amp;"C"&amp;$A12)*RTD("tos.rtd",,"DELTA","."&amp;R$2&amp;R$1&amp;"C"&amp;$A12)+100*RTD("tos.rtd",,"OPEN_INT","."&amp;R$2&amp;R$1&amp;"P"&amp;$A12)*RTD("tos.rtd",,"DELTA","."&amp;R$2&amp;R$1&amp;"P"&amp;$A12))/1000,(100*RTD("tos.rtd",,"OPEN_INT","."&amp;R$2&amp;R$1&amp;"C"&amp;$A12)*RTD("tos.rtd",,"DELTA","."&amp;R$2&amp;R$1&amp;"C"&amp;$A12)-100*RTD("tos.rtd",,"OPEN_INT","."&amp;R$2&amp;R$1&amp;"P"&amp;$A12)*RTD("tos.rtd",,"DELTA","."&amp;R$2&amp;R$1&amp;"P"&amp;$A12))/1000),0),IF($A$2="VEX",IFERROR(IF($X$1="ABS",($A$4*$A$4*RTD("tos.rtd",,"VOLUME","."&amp;R$2&amp;R$1&amp;"C"&amp;$A12)*RTD("tos.rtd",,"GAMMA","."&amp;R$2&amp;R$1&amp;"C"&amp;$A12)+$A$4*$A$4*RTD("tos.rtd",,"VOLUME","."&amp;R$2&amp;R$1&amp;"P"&amp;$A12)*RTD("tos.rtd",,"GAMMA","."&amp;R$2&amp;R$1&amp;"P"&amp;$A12))/1000000,($A$4*$A$4*RTD("tos.rtd",,"VOLUME","."&amp;R$2&amp;R$1&amp;"C"&amp;$A12)*RTD("tos.rtd",,"GAMMA","."&amp;R$2&amp;R$1&amp;"C"&amp;$A12)-$A$4*$A$4*RTD("tos.rtd",,"VOLUME","."&amp;R$2&amp;R$1&amp;"P"&amp;$A12)*RTD("tos.rtd",,"GAMMA","."&amp;R$2&amp;R$1&amp;"P"&amp;$A12))/1000000),0),IF($A$2="GEX",IFERROR(IF($X$1="ABS",($A$4*$A$4*RTD("tos.rtd",,"OPEN_INT","."&amp;R$2&amp;R$1&amp;"C"&amp;$A12)*RTD("tos.rtd",,"GAMMA","."&amp;R$2&amp;R$1&amp;"C"&amp;$A12)+$A$4*$A$4*RTD("tos.rtd",,"OPEN_INT","."&amp;R$2&amp;R$1&amp;"P"&amp;$A12)*RTD("tos.rtd",,"GAMMA","."&amp;R$2&amp;R$1&amp;"P"&amp;$A12))/1000000,($A$4*$A$4*RTD("tos.rtd",,"OPEN_INT","."&amp;R$2&amp;R$1&amp;"C"&amp;$A12)*RTD("tos.rtd",,"GAMMA","."&amp;R$2&amp;R$1&amp;"C"&amp;$A12)-$A$4*$A$4*RTD("tos.rtd",,"OPEN_INT","."&amp;R$2&amp;R$1&amp;"P"&amp;$A12)*RTD("tos.rtd",,"GAMMA","."&amp;R$2&amp;R$1&amp;"P"&amp;$A12))/1000000),0),IF($A$2="SKEW",IFERROR(VALUE(IF(RTD("tos.rtd",,"IMPL_VOL","."&amp;R$2&amp;R$1&amp;"P"&amp;$A12)="N/A",0,RTD("tos.rtd",,"IMPL_VOL","."&amp;R$2&amp;R$1&amp;"P"&amp;$A12))),0)-IFERROR(VALUE(IF(RTD("tos.rtd",,"IMPL_VOL","."&amp;R$2&amp;R$1&amp;"C"&amp;$A12)="N/A",0,RTD("tos.rtd",,"IMPL_VOL","."&amp;R$2&amp;R$1&amp;"C"&amp;$A12))),0),IF($A$2="MAXPAIN",IF($A$4&gt;$A12,($A$4-$A12)*IF(RTD("tos.rtd",,"OPEN_INT","."&amp;R$2&amp;R$1&amp;"C"&amp;$A12)="N/A",0,RTD("tos.rtd",,"OPEN_INT","."&amp;R$2&amp;R$1&amp;"C"&amp;$A12)),0)+IF($A$4&lt;$A12,($A$5-$A$4)*IF(RTD("tos.rtd",,"OPEN_INT","."&amp;R$2&amp;R$1&amp;"P"&amp;$A12)="N/A",0,RTD("tos.rtd",,"OPEN_INT","."&amp;R$2&amp;R$1&amp;"P"&amp;$A12)),0),IF($X$1="ABS",IF(RTD("tos.rtd",,$A$2,"."&amp;R$2&amp;R$1&amp;"C"&amp;$A12)="N/A",0,RTD("tos.rtd",,$A$2,"."&amp;R$2&amp;R$1&amp;"C"&amp;$A12))+IF(RTD("tos.rtd",,$A$2,"."&amp;R$2&amp;R$1&amp;"P"&amp;$A12)="N/A",0,RTD("tos.rtd",,$A$2,"."&amp;R$2&amp;R$1&amp;"P"&amp;$A12)),IF(RTD("tos.rtd",,$A$2,"."&amp;R$2&amp;R$1&amp;"C"&amp;$A12)="N/A",0,RTD("tos.rtd",,$A$2,"."&amp;R$2&amp;R$1&amp;"C"&amp;$A12))-IF(RTD("tos.rtd",,$A$2,"."&amp;R$2&amp;R$1&amp;"P"&amp;$A12)="N/A",0,RTD("tos.rtd",,$A$2,"."&amp;R$2&amp;R$1&amp;"P"&amp;$A12))))))))))</f>
        <v>0</v>
      </c>
      <c r="S12" s="12">
        <f ca="1">IF($A$2="PREMIUM_OI",IFERROR(IF($X$1="ABS",(100*RTD("tos.rtd",,"OPEN_INT","."&amp;S$2&amp;S$1&amp;"C"&amp;$A12)*RTD("tos.rtd",,"LAST","."&amp;S$2&amp;S$1&amp;"C"&amp;$A12)+100*RTD("tos.rtd",,"OPEN_INT","."&amp;S$2&amp;S$1&amp;"P"&amp;$A12)*RTD("tos.rtd",,"LAST","."&amp;S$2&amp;S$1&amp;"P"&amp;$A12))/1000000,(100*RTD("tos.rtd",,"OPEN_INT","."&amp;S$2&amp;S$1&amp;"C"&amp;$A12)*RTD("tos.rtd",,"LAST","."&amp;S$2&amp;S$1&amp;"C"&amp;$A12)-100*RTD("tos.rtd",,"OPEN_INT","."&amp;S$2&amp;S$1&amp;"P"&amp;$A12)*RTD("tos.rtd",,"LAST","."&amp;S$2&amp;S$1&amp;"P"&amp;$A12))/1000000),0),IF($A$2="PREMIUM",IFERROR(IF($X$1="ABS",(100*RTD("tos.rtd",,"VOLUME","."&amp;S$2&amp;S$1&amp;"C"&amp;$A12)*RTD("tos.rtd",,"LAST","."&amp;S$2&amp;S$1&amp;"C"&amp;$A12)+100*RTD("tos.rtd",,"VOLUME","."&amp;S$2&amp;S$1&amp;"P"&amp;$A12)*RTD("tos.rtd",,"LAST","."&amp;S$2&amp;S$1&amp;"P"&amp;$A12))/1000000,(100*RTD("tos.rtd",,"VOLUME","."&amp;S$2&amp;S$1&amp;"C"&amp;$A12)*RTD("tos.rtd",,"LAST","."&amp;S$2&amp;S$1&amp;"C"&amp;$A12)-100*RTD("tos.rtd",,"VOLUME","."&amp;S$2&amp;S$1&amp;"P"&amp;$A12)*RTD("tos.rtd",,"LAST","."&amp;S$2&amp;S$1&amp;"P"&amp;$A12))/1000000),0),IF($A$2="DEX",IFERROR(IF($X$1="ABS",(100*RTD("tos.rtd",,"OPEN_INT","."&amp;S$2&amp;S$1&amp;"C"&amp;$A12)*RTD("tos.rtd",,"DELTA","."&amp;S$2&amp;S$1&amp;"C"&amp;$A12)+100*RTD("tos.rtd",,"OPEN_INT","."&amp;S$2&amp;S$1&amp;"P"&amp;$A12)*RTD("tos.rtd",,"DELTA","."&amp;S$2&amp;S$1&amp;"P"&amp;$A12))/1000,(100*RTD("tos.rtd",,"OPEN_INT","."&amp;S$2&amp;S$1&amp;"C"&amp;$A12)*RTD("tos.rtd",,"DELTA","."&amp;S$2&amp;S$1&amp;"C"&amp;$A12)-100*RTD("tos.rtd",,"OPEN_INT","."&amp;S$2&amp;S$1&amp;"P"&amp;$A12)*RTD("tos.rtd",,"DELTA","."&amp;S$2&amp;S$1&amp;"P"&amp;$A12))/1000),0),IF($A$2="VEX",IFERROR(IF($X$1="ABS",($A$4*$A$4*RTD("tos.rtd",,"VOLUME","."&amp;S$2&amp;S$1&amp;"C"&amp;$A12)*RTD("tos.rtd",,"GAMMA","."&amp;S$2&amp;S$1&amp;"C"&amp;$A12)+$A$4*$A$4*RTD("tos.rtd",,"VOLUME","."&amp;S$2&amp;S$1&amp;"P"&amp;$A12)*RTD("tos.rtd",,"GAMMA","."&amp;S$2&amp;S$1&amp;"P"&amp;$A12))/1000000,($A$4*$A$4*RTD("tos.rtd",,"VOLUME","."&amp;S$2&amp;S$1&amp;"C"&amp;$A12)*RTD("tos.rtd",,"GAMMA","."&amp;S$2&amp;S$1&amp;"C"&amp;$A12)-$A$4*$A$4*RTD("tos.rtd",,"VOLUME","."&amp;S$2&amp;S$1&amp;"P"&amp;$A12)*RTD("tos.rtd",,"GAMMA","."&amp;S$2&amp;S$1&amp;"P"&amp;$A12))/1000000),0),IF($A$2="GEX",IFERROR(IF($X$1="ABS",($A$4*$A$4*RTD("tos.rtd",,"OPEN_INT","."&amp;S$2&amp;S$1&amp;"C"&amp;$A12)*RTD("tos.rtd",,"GAMMA","."&amp;S$2&amp;S$1&amp;"C"&amp;$A12)+$A$4*$A$4*RTD("tos.rtd",,"OPEN_INT","."&amp;S$2&amp;S$1&amp;"P"&amp;$A12)*RTD("tos.rtd",,"GAMMA","."&amp;S$2&amp;S$1&amp;"P"&amp;$A12))/1000000,($A$4*$A$4*RTD("tos.rtd",,"OPEN_INT","."&amp;S$2&amp;S$1&amp;"C"&amp;$A12)*RTD("tos.rtd",,"GAMMA","."&amp;S$2&amp;S$1&amp;"C"&amp;$A12)-$A$4*$A$4*RTD("tos.rtd",,"OPEN_INT","."&amp;S$2&amp;S$1&amp;"P"&amp;$A12)*RTD("tos.rtd",,"GAMMA","."&amp;S$2&amp;S$1&amp;"P"&amp;$A12))/1000000),0),IF($A$2="SKEW",IFERROR(VALUE(IF(RTD("tos.rtd",,"IMPL_VOL","."&amp;S$2&amp;S$1&amp;"P"&amp;$A12)="N/A",0,RTD("tos.rtd",,"IMPL_VOL","."&amp;S$2&amp;S$1&amp;"P"&amp;$A12))),0)-IFERROR(VALUE(IF(RTD("tos.rtd",,"IMPL_VOL","."&amp;S$2&amp;S$1&amp;"C"&amp;$A12)="N/A",0,RTD("tos.rtd",,"IMPL_VOL","."&amp;S$2&amp;S$1&amp;"C"&amp;$A12))),0),IF($A$2="MAXPAIN",IF($A$4&gt;$A12,($A$4-$A12)*IF(RTD("tos.rtd",,"OPEN_INT","."&amp;S$2&amp;S$1&amp;"C"&amp;$A12)="N/A",0,RTD("tos.rtd",,"OPEN_INT","."&amp;S$2&amp;S$1&amp;"C"&amp;$A12)),0)+IF($A$4&lt;$A12,($A$5-$A$4)*IF(RTD("tos.rtd",,"OPEN_INT","."&amp;S$2&amp;S$1&amp;"P"&amp;$A12)="N/A",0,RTD("tos.rtd",,"OPEN_INT","."&amp;S$2&amp;S$1&amp;"P"&amp;$A12)),0),IF($X$1="ABS",IF(RTD("tos.rtd",,$A$2,"."&amp;S$2&amp;S$1&amp;"C"&amp;$A12)="N/A",0,RTD("tos.rtd",,$A$2,"."&amp;S$2&amp;S$1&amp;"C"&amp;$A12))+IF(RTD("tos.rtd",,$A$2,"."&amp;S$2&amp;S$1&amp;"P"&amp;$A12)="N/A",0,RTD("tos.rtd",,$A$2,"."&amp;S$2&amp;S$1&amp;"P"&amp;$A12)),IF(RTD("tos.rtd",,$A$2,"."&amp;S$2&amp;S$1&amp;"C"&amp;$A12)="N/A",0,RTD("tos.rtd",,$A$2,"."&amp;S$2&amp;S$1&amp;"C"&amp;$A12))-IF(RTD("tos.rtd",,$A$2,"."&amp;S$2&amp;S$1&amp;"P"&amp;$A12)="N/A",0,RTD("tos.rtd",,$A$2,"."&amp;S$2&amp;S$1&amp;"P"&amp;$A12))))))))))</f>
        <v>0</v>
      </c>
      <c r="T12" s="12">
        <f ca="1">IF($A$2="PREMIUM_OI",IFERROR(IF($X$1="ABS",(100*RTD("tos.rtd",,"OPEN_INT","."&amp;T$2&amp;T$1&amp;"C"&amp;$A12)*RTD("tos.rtd",,"LAST","."&amp;T$2&amp;T$1&amp;"C"&amp;$A12)+100*RTD("tos.rtd",,"OPEN_INT","."&amp;T$2&amp;T$1&amp;"P"&amp;$A12)*RTD("tos.rtd",,"LAST","."&amp;T$2&amp;T$1&amp;"P"&amp;$A12))/1000000,(100*RTD("tos.rtd",,"OPEN_INT","."&amp;T$2&amp;T$1&amp;"C"&amp;$A12)*RTD("tos.rtd",,"LAST","."&amp;T$2&amp;T$1&amp;"C"&amp;$A12)-100*RTD("tos.rtd",,"OPEN_INT","."&amp;T$2&amp;T$1&amp;"P"&amp;$A12)*RTD("tos.rtd",,"LAST","."&amp;T$2&amp;T$1&amp;"P"&amp;$A12))/1000000),0),IF($A$2="PREMIUM",IFERROR(IF($X$1="ABS",(100*RTD("tos.rtd",,"VOLUME","."&amp;T$2&amp;T$1&amp;"C"&amp;$A12)*RTD("tos.rtd",,"LAST","."&amp;T$2&amp;T$1&amp;"C"&amp;$A12)+100*RTD("tos.rtd",,"VOLUME","."&amp;T$2&amp;T$1&amp;"P"&amp;$A12)*RTD("tos.rtd",,"LAST","."&amp;T$2&amp;T$1&amp;"P"&amp;$A12))/1000000,(100*RTD("tos.rtd",,"VOLUME","."&amp;T$2&amp;T$1&amp;"C"&amp;$A12)*RTD("tos.rtd",,"LAST","."&amp;T$2&amp;T$1&amp;"C"&amp;$A12)-100*RTD("tos.rtd",,"VOLUME","."&amp;T$2&amp;T$1&amp;"P"&amp;$A12)*RTD("tos.rtd",,"LAST","."&amp;T$2&amp;T$1&amp;"P"&amp;$A12))/1000000),0),IF($A$2="DEX",IFERROR(IF($X$1="ABS",(100*RTD("tos.rtd",,"OPEN_INT","."&amp;T$2&amp;T$1&amp;"C"&amp;$A12)*RTD("tos.rtd",,"DELTA","."&amp;T$2&amp;T$1&amp;"C"&amp;$A12)+100*RTD("tos.rtd",,"OPEN_INT","."&amp;T$2&amp;T$1&amp;"P"&amp;$A12)*RTD("tos.rtd",,"DELTA","."&amp;T$2&amp;T$1&amp;"P"&amp;$A12))/1000,(100*RTD("tos.rtd",,"OPEN_INT","."&amp;T$2&amp;T$1&amp;"C"&amp;$A12)*RTD("tos.rtd",,"DELTA","."&amp;T$2&amp;T$1&amp;"C"&amp;$A12)-100*RTD("tos.rtd",,"OPEN_INT","."&amp;T$2&amp;T$1&amp;"P"&amp;$A12)*RTD("tos.rtd",,"DELTA","."&amp;T$2&amp;T$1&amp;"P"&amp;$A12))/1000),0),IF($A$2="VEX",IFERROR(IF($X$1="ABS",($A$4*$A$4*RTD("tos.rtd",,"VOLUME","."&amp;T$2&amp;T$1&amp;"C"&amp;$A12)*RTD("tos.rtd",,"GAMMA","."&amp;T$2&amp;T$1&amp;"C"&amp;$A12)+$A$4*$A$4*RTD("tos.rtd",,"VOLUME","."&amp;T$2&amp;T$1&amp;"P"&amp;$A12)*RTD("tos.rtd",,"GAMMA","."&amp;T$2&amp;T$1&amp;"P"&amp;$A12))/1000000,($A$4*$A$4*RTD("tos.rtd",,"VOLUME","."&amp;T$2&amp;T$1&amp;"C"&amp;$A12)*RTD("tos.rtd",,"GAMMA","."&amp;T$2&amp;T$1&amp;"C"&amp;$A12)-$A$4*$A$4*RTD("tos.rtd",,"VOLUME","."&amp;T$2&amp;T$1&amp;"P"&amp;$A12)*RTD("tos.rtd",,"GAMMA","."&amp;T$2&amp;T$1&amp;"P"&amp;$A12))/1000000),0),IF($A$2="GEX",IFERROR(IF($X$1="ABS",($A$4*$A$4*RTD("tos.rtd",,"OPEN_INT","."&amp;T$2&amp;T$1&amp;"C"&amp;$A12)*RTD("tos.rtd",,"GAMMA","."&amp;T$2&amp;T$1&amp;"C"&amp;$A12)+$A$4*$A$4*RTD("tos.rtd",,"OPEN_INT","."&amp;T$2&amp;T$1&amp;"P"&amp;$A12)*RTD("tos.rtd",,"GAMMA","."&amp;T$2&amp;T$1&amp;"P"&amp;$A12))/1000000,($A$4*$A$4*RTD("tos.rtd",,"OPEN_INT","."&amp;T$2&amp;T$1&amp;"C"&amp;$A12)*RTD("tos.rtd",,"GAMMA","."&amp;T$2&amp;T$1&amp;"C"&amp;$A12)-$A$4*$A$4*RTD("tos.rtd",,"OPEN_INT","."&amp;T$2&amp;T$1&amp;"P"&amp;$A12)*RTD("tos.rtd",,"GAMMA","."&amp;T$2&amp;T$1&amp;"P"&amp;$A12))/1000000),0),IF($A$2="SKEW",IFERROR(VALUE(IF(RTD("tos.rtd",,"IMPL_VOL","."&amp;T$2&amp;T$1&amp;"P"&amp;$A12)="N/A",0,RTD("tos.rtd",,"IMPL_VOL","."&amp;T$2&amp;T$1&amp;"P"&amp;$A12))),0)-IFERROR(VALUE(IF(RTD("tos.rtd",,"IMPL_VOL","."&amp;T$2&amp;T$1&amp;"C"&amp;$A12)="N/A",0,RTD("tos.rtd",,"IMPL_VOL","."&amp;T$2&amp;T$1&amp;"C"&amp;$A12))),0),IF($A$2="MAXPAIN",IF($A$4&gt;$A12,($A$4-$A12)*IF(RTD("tos.rtd",,"OPEN_INT","."&amp;T$2&amp;T$1&amp;"C"&amp;$A12)="N/A",0,RTD("tos.rtd",,"OPEN_INT","."&amp;T$2&amp;T$1&amp;"C"&amp;$A12)),0)+IF($A$4&lt;$A12,($A$5-$A$4)*IF(RTD("tos.rtd",,"OPEN_INT","."&amp;T$2&amp;T$1&amp;"P"&amp;$A12)="N/A",0,RTD("tos.rtd",,"OPEN_INT","."&amp;T$2&amp;T$1&amp;"P"&amp;$A12)),0),IF($X$1="ABS",IF(RTD("tos.rtd",,$A$2,"."&amp;T$2&amp;T$1&amp;"C"&amp;$A12)="N/A",0,RTD("tos.rtd",,$A$2,"."&amp;T$2&amp;T$1&amp;"C"&amp;$A12))+IF(RTD("tos.rtd",,$A$2,"."&amp;T$2&amp;T$1&amp;"P"&amp;$A12)="N/A",0,RTD("tos.rtd",,$A$2,"."&amp;T$2&amp;T$1&amp;"P"&amp;$A12)),IF(RTD("tos.rtd",,$A$2,"."&amp;T$2&amp;T$1&amp;"C"&amp;$A12)="N/A",0,RTD("tos.rtd",,$A$2,"."&amp;T$2&amp;T$1&amp;"C"&amp;$A12))-IF(RTD("tos.rtd",,$A$2,"."&amp;T$2&amp;T$1&amp;"P"&amp;$A12)="N/A",0,RTD("tos.rtd",,$A$2,"."&amp;T$2&amp;T$1&amp;"P"&amp;$A12))))))))))</f>
        <v>0</v>
      </c>
      <c r="U12" s="12">
        <f ca="1">IF($A$2="PREMIUM_OI",IFERROR(IF($X$1="ABS",(100*RTD("tos.rtd",,"OPEN_INT","."&amp;U$2&amp;U$1&amp;"C"&amp;$A12)*RTD("tos.rtd",,"LAST","."&amp;U$2&amp;U$1&amp;"C"&amp;$A12)+100*RTD("tos.rtd",,"OPEN_INT","."&amp;U$2&amp;U$1&amp;"P"&amp;$A12)*RTD("tos.rtd",,"LAST","."&amp;U$2&amp;U$1&amp;"P"&amp;$A12))/1000000,(100*RTD("tos.rtd",,"OPEN_INT","."&amp;U$2&amp;U$1&amp;"C"&amp;$A12)*RTD("tos.rtd",,"LAST","."&amp;U$2&amp;U$1&amp;"C"&amp;$A12)-100*RTD("tos.rtd",,"OPEN_INT","."&amp;U$2&amp;U$1&amp;"P"&amp;$A12)*RTD("tos.rtd",,"LAST","."&amp;U$2&amp;U$1&amp;"P"&amp;$A12))/1000000),0),IF($A$2="PREMIUM",IFERROR(IF($X$1="ABS",(100*RTD("tos.rtd",,"VOLUME","."&amp;U$2&amp;U$1&amp;"C"&amp;$A12)*RTD("tos.rtd",,"LAST","."&amp;U$2&amp;U$1&amp;"C"&amp;$A12)+100*RTD("tos.rtd",,"VOLUME","."&amp;U$2&amp;U$1&amp;"P"&amp;$A12)*RTD("tos.rtd",,"LAST","."&amp;U$2&amp;U$1&amp;"P"&amp;$A12))/1000000,(100*RTD("tos.rtd",,"VOLUME","."&amp;U$2&amp;U$1&amp;"C"&amp;$A12)*RTD("tos.rtd",,"LAST","."&amp;U$2&amp;U$1&amp;"C"&amp;$A12)-100*RTD("tos.rtd",,"VOLUME","."&amp;U$2&amp;U$1&amp;"P"&amp;$A12)*RTD("tos.rtd",,"LAST","."&amp;U$2&amp;U$1&amp;"P"&amp;$A12))/1000000),0),IF($A$2="DEX",IFERROR(IF($X$1="ABS",(100*RTD("tos.rtd",,"OPEN_INT","."&amp;U$2&amp;U$1&amp;"C"&amp;$A12)*RTD("tos.rtd",,"DELTA","."&amp;U$2&amp;U$1&amp;"C"&amp;$A12)+100*RTD("tos.rtd",,"OPEN_INT","."&amp;U$2&amp;U$1&amp;"P"&amp;$A12)*RTD("tos.rtd",,"DELTA","."&amp;U$2&amp;U$1&amp;"P"&amp;$A12))/1000,(100*RTD("tos.rtd",,"OPEN_INT","."&amp;U$2&amp;U$1&amp;"C"&amp;$A12)*RTD("tos.rtd",,"DELTA","."&amp;U$2&amp;U$1&amp;"C"&amp;$A12)-100*RTD("tos.rtd",,"OPEN_INT","."&amp;U$2&amp;U$1&amp;"P"&amp;$A12)*RTD("tos.rtd",,"DELTA","."&amp;U$2&amp;U$1&amp;"P"&amp;$A12))/1000),0),IF($A$2="VEX",IFERROR(IF($X$1="ABS",($A$4*$A$4*RTD("tos.rtd",,"VOLUME","."&amp;U$2&amp;U$1&amp;"C"&amp;$A12)*RTD("tos.rtd",,"GAMMA","."&amp;U$2&amp;U$1&amp;"C"&amp;$A12)+$A$4*$A$4*RTD("tos.rtd",,"VOLUME","."&amp;U$2&amp;U$1&amp;"P"&amp;$A12)*RTD("tos.rtd",,"GAMMA","."&amp;U$2&amp;U$1&amp;"P"&amp;$A12))/1000000,($A$4*$A$4*RTD("tos.rtd",,"VOLUME","."&amp;U$2&amp;U$1&amp;"C"&amp;$A12)*RTD("tos.rtd",,"GAMMA","."&amp;U$2&amp;U$1&amp;"C"&amp;$A12)-$A$4*$A$4*RTD("tos.rtd",,"VOLUME","."&amp;U$2&amp;U$1&amp;"P"&amp;$A12)*RTD("tos.rtd",,"GAMMA","."&amp;U$2&amp;U$1&amp;"P"&amp;$A12))/1000000),0),IF($A$2="GEX",IFERROR(IF($X$1="ABS",($A$4*$A$4*RTD("tos.rtd",,"OPEN_INT","."&amp;U$2&amp;U$1&amp;"C"&amp;$A12)*RTD("tos.rtd",,"GAMMA","."&amp;U$2&amp;U$1&amp;"C"&amp;$A12)+$A$4*$A$4*RTD("tos.rtd",,"OPEN_INT","."&amp;U$2&amp;U$1&amp;"P"&amp;$A12)*RTD("tos.rtd",,"GAMMA","."&amp;U$2&amp;U$1&amp;"P"&amp;$A12))/1000000,($A$4*$A$4*RTD("tos.rtd",,"OPEN_INT","."&amp;U$2&amp;U$1&amp;"C"&amp;$A12)*RTD("tos.rtd",,"GAMMA","."&amp;U$2&amp;U$1&amp;"C"&amp;$A12)-$A$4*$A$4*RTD("tos.rtd",,"OPEN_INT","."&amp;U$2&amp;U$1&amp;"P"&amp;$A12)*RTD("tos.rtd",,"GAMMA","."&amp;U$2&amp;U$1&amp;"P"&amp;$A12))/1000000),0),IF($A$2="SKEW",IFERROR(VALUE(IF(RTD("tos.rtd",,"IMPL_VOL","."&amp;U$2&amp;U$1&amp;"P"&amp;$A12)="N/A",0,RTD("tos.rtd",,"IMPL_VOL","."&amp;U$2&amp;U$1&amp;"P"&amp;$A12))),0)-IFERROR(VALUE(IF(RTD("tos.rtd",,"IMPL_VOL","."&amp;U$2&amp;U$1&amp;"C"&amp;$A12)="N/A",0,RTD("tos.rtd",,"IMPL_VOL","."&amp;U$2&amp;U$1&amp;"C"&amp;$A12))),0),IF($A$2="MAXPAIN",IF($A$4&gt;$A12,($A$4-$A12)*IF(RTD("tos.rtd",,"OPEN_INT","."&amp;U$2&amp;U$1&amp;"C"&amp;$A12)="N/A",0,RTD("tos.rtd",,"OPEN_INT","."&amp;U$2&amp;U$1&amp;"C"&amp;$A12)),0)+IF($A$4&lt;$A12,($A$5-$A$4)*IF(RTD("tos.rtd",,"OPEN_INT","."&amp;U$2&amp;U$1&amp;"P"&amp;$A12)="N/A",0,RTD("tos.rtd",,"OPEN_INT","."&amp;U$2&amp;U$1&amp;"P"&amp;$A12)),0),IF($X$1="ABS",IF(RTD("tos.rtd",,$A$2,"."&amp;U$2&amp;U$1&amp;"C"&amp;$A12)="N/A",0,RTD("tos.rtd",,$A$2,"."&amp;U$2&amp;U$1&amp;"C"&amp;$A12))+IF(RTD("tos.rtd",,$A$2,"."&amp;U$2&amp;U$1&amp;"P"&amp;$A12)="N/A",0,RTD("tos.rtd",,$A$2,"."&amp;U$2&amp;U$1&amp;"P"&amp;$A12)),IF(RTD("tos.rtd",,$A$2,"."&amp;U$2&amp;U$1&amp;"C"&amp;$A12)="N/A",0,RTD("tos.rtd",,$A$2,"."&amp;U$2&amp;U$1&amp;"C"&amp;$A12))-IF(RTD("tos.rtd",,$A$2,"."&amp;U$2&amp;U$1&amp;"P"&amp;$A12)="N/A",0,RTD("tos.rtd",,$A$2,"."&amp;U$2&amp;U$1&amp;"P"&amp;$A12))))))))))</f>
        <v>0</v>
      </c>
      <c r="V12" s="12">
        <f ca="1">IF($A$2="PREMIUM_OI",IFERROR(IF($X$1="ABS",(100*RTD("tos.rtd",,"OPEN_INT","."&amp;V$2&amp;V$1&amp;"C"&amp;$A12)*RTD("tos.rtd",,"LAST","."&amp;V$2&amp;V$1&amp;"C"&amp;$A12)+100*RTD("tos.rtd",,"OPEN_INT","."&amp;V$2&amp;V$1&amp;"P"&amp;$A12)*RTD("tos.rtd",,"LAST","."&amp;V$2&amp;V$1&amp;"P"&amp;$A12))/1000000,(100*RTD("tos.rtd",,"OPEN_INT","."&amp;V$2&amp;V$1&amp;"C"&amp;$A12)*RTD("tos.rtd",,"LAST","."&amp;V$2&amp;V$1&amp;"C"&amp;$A12)-100*RTD("tos.rtd",,"OPEN_INT","."&amp;V$2&amp;V$1&amp;"P"&amp;$A12)*RTD("tos.rtd",,"LAST","."&amp;V$2&amp;V$1&amp;"P"&amp;$A12))/1000000),0),IF($A$2="PREMIUM",IFERROR(IF($X$1="ABS",(100*RTD("tos.rtd",,"VOLUME","."&amp;V$2&amp;V$1&amp;"C"&amp;$A12)*RTD("tos.rtd",,"LAST","."&amp;V$2&amp;V$1&amp;"C"&amp;$A12)+100*RTD("tos.rtd",,"VOLUME","."&amp;V$2&amp;V$1&amp;"P"&amp;$A12)*RTD("tos.rtd",,"LAST","."&amp;V$2&amp;V$1&amp;"P"&amp;$A12))/1000000,(100*RTD("tos.rtd",,"VOLUME","."&amp;V$2&amp;V$1&amp;"C"&amp;$A12)*RTD("tos.rtd",,"LAST","."&amp;V$2&amp;V$1&amp;"C"&amp;$A12)-100*RTD("tos.rtd",,"VOLUME","."&amp;V$2&amp;V$1&amp;"P"&amp;$A12)*RTD("tos.rtd",,"LAST","."&amp;V$2&amp;V$1&amp;"P"&amp;$A12))/1000000),0),IF($A$2="DEX",IFERROR(IF($X$1="ABS",(100*RTD("tos.rtd",,"OPEN_INT","."&amp;V$2&amp;V$1&amp;"C"&amp;$A12)*RTD("tos.rtd",,"DELTA","."&amp;V$2&amp;V$1&amp;"C"&amp;$A12)+100*RTD("tos.rtd",,"OPEN_INT","."&amp;V$2&amp;V$1&amp;"P"&amp;$A12)*RTD("tos.rtd",,"DELTA","."&amp;V$2&amp;V$1&amp;"P"&amp;$A12))/1000,(100*RTD("tos.rtd",,"OPEN_INT","."&amp;V$2&amp;V$1&amp;"C"&amp;$A12)*RTD("tos.rtd",,"DELTA","."&amp;V$2&amp;V$1&amp;"C"&amp;$A12)-100*RTD("tos.rtd",,"OPEN_INT","."&amp;V$2&amp;V$1&amp;"P"&amp;$A12)*RTD("tos.rtd",,"DELTA","."&amp;V$2&amp;V$1&amp;"P"&amp;$A12))/1000),0),IF($A$2="VEX",IFERROR(IF($X$1="ABS",($A$4*$A$4*RTD("tos.rtd",,"VOLUME","."&amp;V$2&amp;V$1&amp;"C"&amp;$A12)*RTD("tos.rtd",,"GAMMA","."&amp;V$2&amp;V$1&amp;"C"&amp;$A12)+$A$4*$A$4*RTD("tos.rtd",,"VOLUME","."&amp;V$2&amp;V$1&amp;"P"&amp;$A12)*RTD("tos.rtd",,"GAMMA","."&amp;V$2&amp;V$1&amp;"P"&amp;$A12))/1000000,($A$4*$A$4*RTD("tos.rtd",,"VOLUME","."&amp;V$2&amp;V$1&amp;"C"&amp;$A12)*RTD("tos.rtd",,"GAMMA","."&amp;V$2&amp;V$1&amp;"C"&amp;$A12)-$A$4*$A$4*RTD("tos.rtd",,"VOLUME","."&amp;V$2&amp;V$1&amp;"P"&amp;$A12)*RTD("tos.rtd",,"GAMMA","."&amp;V$2&amp;V$1&amp;"P"&amp;$A12))/1000000),0),IF($A$2="GEX",IFERROR(IF($X$1="ABS",($A$4*$A$4*RTD("tos.rtd",,"OPEN_INT","."&amp;V$2&amp;V$1&amp;"C"&amp;$A12)*RTD("tos.rtd",,"GAMMA","."&amp;V$2&amp;V$1&amp;"C"&amp;$A12)+$A$4*$A$4*RTD("tos.rtd",,"OPEN_INT","."&amp;V$2&amp;V$1&amp;"P"&amp;$A12)*RTD("tos.rtd",,"GAMMA","."&amp;V$2&amp;V$1&amp;"P"&amp;$A12))/1000000,($A$4*$A$4*RTD("tos.rtd",,"OPEN_INT","."&amp;V$2&amp;V$1&amp;"C"&amp;$A12)*RTD("tos.rtd",,"GAMMA","."&amp;V$2&amp;V$1&amp;"C"&amp;$A12)-$A$4*$A$4*RTD("tos.rtd",,"OPEN_INT","."&amp;V$2&amp;V$1&amp;"P"&amp;$A12)*RTD("tos.rtd",,"GAMMA","."&amp;V$2&amp;V$1&amp;"P"&amp;$A12))/1000000),0),IF($A$2="SKEW",IFERROR(VALUE(IF(RTD("tos.rtd",,"IMPL_VOL","."&amp;V$2&amp;V$1&amp;"P"&amp;$A12)="N/A",0,RTD("tos.rtd",,"IMPL_VOL","."&amp;V$2&amp;V$1&amp;"P"&amp;$A12))),0)-IFERROR(VALUE(IF(RTD("tos.rtd",,"IMPL_VOL","."&amp;V$2&amp;V$1&amp;"C"&amp;$A12)="N/A",0,RTD("tos.rtd",,"IMPL_VOL","."&amp;V$2&amp;V$1&amp;"C"&amp;$A12))),0),IF($A$2="MAXPAIN",IF($A$4&gt;$A12,($A$4-$A12)*IF(RTD("tos.rtd",,"OPEN_INT","."&amp;V$2&amp;V$1&amp;"C"&amp;$A12)="N/A",0,RTD("tos.rtd",,"OPEN_INT","."&amp;V$2&amp;V$1&amp;"C"&amp;$A12)),0)+IF($A$4&lt;$A12,($A$5-$A$4)*IF(RTD("tos.rtd",,"OPEN_INT","."&amp;V$2&amp;V$1&amp;"P"&amp;$A12)="N/A",0,RTD("tos.rtd",,"OPEN_INT","."&amp;V$2&amp;V$1&amp;"P"&amp;$A12)),0),IF($X$1="ABS",IF(RTD("tos.rtd",,$A$2,"."&amp;V$2&amp;V$1&amp;"C"&amp;$A12)="N/A",0,RTD("tos.rtd",,$A$2,"."&amp;V$2&amp;V$1&amp;"C"&amp;$A12))+IF(RTD("tos.rtd",,$A$2,"."&amp;V$2&amp;V$1&amp;"P"&amp;$A12)="N/A",0,RTD("tos.rtd",,$A$2,"."&amp;V$2&amp;V$1&amp;"P"&amp;$A12)),IF(RTD("tos.rtd",,$A$2,"."&amp;V$2&amp;V$1&amp;"C"&amp;$A12)="N/A",0,RTD("tos.rtd",,$A$2,"."&amp;V$2&amp;V$1&amp;"C"&amp;$A12))-IF(RTD("tos.rtd",,$A$2,"."&amp;V$2&amp;V$1&amp;"P"&amp;$A12)="N/A",0,RTD("tos.rtd",,$A$2,"."&amp;V$2&amp;V$1&amp;"P"&amp;$A12))))))))))</f>
        <v>0</v>
      </c>
      <c r="W12" s="12">
        <f ca="1">IF($A$2="PREMIUM_OI",IFERROR(IF($X$1="ABS",(100*RTD("tos.rtd",,"OPEN_INT","."&amp;W$2&amp;W$1&amp;"C"&amp;$A12)*RTD("tos.rtd",,"LAST","."&amp;W$2&amp;W$1&amp;"C"&amp;$A12)+100*RTD("tos.rtd",,"OPEN_INT","."&amp;W$2&amp;W$1&amp;"P"&amp;$A12)*RTD("tos.rtd",,"LAST","."&amp;W$2&amp;W$1&amp;"P"&amp;$A12))/1000000,(100*RTD("tos.rtd",,"OPEN_INT","."&amp;W$2&amp;W$1&amp;"C"&amp;$A12)*RTD("tos.rtd",,"LAST","."&amp;W$2&amp;W$1&amp;"C"&amp;$A12)-100*RTD("tos.rtd",,"OPEN_INT","."&amp;W$2&amp;W$1&amp;"P"&amp;$A12)*RTD("tos.rtd",,"LAST","."&amp;W$2&amp;W$1&amp;"P"&amp;$A12))/1000000),0),IF($A$2="PREMIUM",IFERROR(IF($X$1="ABS",(100*RTD("tos.rtd",,"VOLUME","."&amp;W$2&amp;W$1&amp;"C"&amp;$A12)*RTD("tos.rtd",,"LAST","."&amp;W$2&amp;W$1&amp;"C"&amp;$A12)+100*RTD("tos.rtd",,"VOLUME","."&amp;W$2&amp;W$1&amp;"P"&amp;$A12)*RTD("tos.rtd",,"LAST","."&amp;W$2&amp;W$1&amp;"P"&amp;$A12))/1000000,(100*RTD("tos.rtd",,"VOLUME","."&amp;W$2&amp;W$1&amp;"C"&amp;$A12)*RTD("tos.rtd",,"LAST","."&amp;W$2&amp;W$1&amp;"C"&amp;$A12)-100*RTD("tos.rtd",,"VOLUME","."&amp;W$2&amp;W$1&amp;"P"&amp;$A12)*RTD("tos.rtd",,"LAST","."&amp;W$2&amp;W$1&amp;"P"&amp;$A12))/1000000),0),IF($A$2="DEX",IFERROR(IF($X$1="ABS",(100*RTD("tos.rtd",,"OPEN_INT","."&amp;W$2&amp;W$1&amp;"C"&amp;$A12)*RTD("tos.rtd",,"DELTA","."&amp;W$2&amp;W$1&amp;"C"&amp;$A12)+100*RTD("tos.rtd",,"OPEN_INT","."&amp;W$2&amp;W$1&amp;"P"&amp;$A12)*RTD("tos.rtd",,"DELTA","."&amp;W$2&amp;W$1&amp;"P"&amp;$A12))/1000,(100*RTD("tos.rtd",,"OPEN_INT","."&amp;W$2&amp;W$1&amp;"C"&amp;$A12)*RTD("tos.rtd",,"DELTA","."&amp;W$2&amp;W$1&amp;"C"&amp;$A12)-100*RTD("tos.rtd",,"OPEN_INT","."&amp;W$2&amp;W$1&amp;"P"&amp;$A12)*RTD("tos.rtd",,"DELTA","."&amp;W$2&amp;W$1&amp;"P"&amp;$A12))/1000),0),IF($A$2="VEX",IFERROR(IF($X$1="ABS",($A$4*$A$4*RTD("tos.rtd",,"VOLUME","."&amp;W$2&amp;W$1&amp;"C"&amp;$A12)*RTD("tos.rtd",,"GAMMA","."&amp;W$2&amp;W$1&amp;"C"&amp;$A12)+$A$4*$A$4*RTD("tos.rtd",,"VOLUME","."&amp;W$2&amp;W$1&amp;"P"&amp;$A12)*RTD("tos.rtd",,"GAMMA","."&amp;W$2&amp;W$1&amp;"P"&amp;$A12))/1000000,($A$4*$A$4*RTD("tos.rtd",,"VOLUME","."&amp;W$2&amp;W$1&amp;"C"&amp;$A12)*RTD("tos.rtd",,"GAMMA","."&amp;W$2&amp;W$1&amp;"C"&amp;$A12)-$A$4*$A$4*RTD("tos.rtd",,"VOLUME","."&amp;W$2&amp;W$1&amp;"P"&amp;$A12)*RTD("tos.rtd",,"GAMMA","."&amp;W$2&amp;W$1&amp;"P"&amp;$A12))/1000000),0),IF($A$2="GEX",IFERROR(IF($X$1="ABS",($A$4*$A$4*RTD("tos.rtd",,"OPEN_INT","."&amp;W$2&amp;W$1&amp;"C"&amp;$A12)*RTD("tos.rtd",,"GAMMA","."&amp;W$2&amp;W$1&amp;"C"&amp;$A12)+$A$4*$A$4*RTD("tos.rtd",,"OPEN_INT","."&amp;W$2&amp;W$1&amp;"P"&amp;$A12)*RTD("tos.rtd",,"GAMMA","."&amp;W$2&amp;W$1&amp;"P"&amp;$A12))/1000000,($A$4*$A$4*RTD("tos.rtd",,"OPEN_INT","."&amp;W$2&amp;W$1&amp;"C"&amp;$A12)*RTD("tos.rtd",,"GAMMA","."&amp;W$2&amp;W$1&amp;"C"&amp;$A12)-$A$4*$A$4*RTD("tos.rtd",,"OPEN_INT","."&amp;W$2&amp;W$1&amp;"P"&amp;$A12)*RTD("tos.rtd",,"GAMMA","."&amp;W$2&amp;W$1&amp;"P"&amp;$A12))/1000000),0),IF($A$2="SKEW",IFERROR(VALUE(IF(RTD("tos.rtd",,"IMPL_VOL","."&amp;W$2&amp;W$1&amp;"P"&amp;$A12)="N/A",0,RTD("tos.rtd",,"IMPL_VOL","."&amp;W$2&amp;W$1&amp;"P"&amp;$A12))),0)-IFERROR(VALUE(IF(RTD("tos.rtd",,"IMPL_VOL","."&amp;W$2&amp;W$1&amp;"C"&amp;$A12)="N/A",0,RTD("tos.rtd",,"IMPL_VOL","."&amp;W$2&amp;W$1&amp;"C"&amp;$A12))),0),IF($A$2="MAXPAIN",IF($A$4&gt;$A12,($A$4-$A12)*IF(RTD("tos.rtd",,"OPEN_INT","."&amp;W$2&amp;W$1&amp;"C"&amp;$A12)="N/A",0,RTD("tos.rtd",,"OPEN_INT","."&amp;W$2&amp;W$1&amp;"C"&amp;$A12)),0)+IF($A$4&lt;$A12,($A$5-$A$4)*IF(RTD("tos.rtd",,"OPEN_INT","."&amp;W$2&amp;W$1&amp;"P"&amp;$A12)="N/A",0,RTD("tos.rtd",,"OPEN_INT","."&amp;W$2&amp;W$1&amp;"P"&amp;$A12)),0),IF($X$1="ABS",IF(RTD("tos.rtd",,$A$2,"."&amp;W$2&amp;W$1&amp;"C"&amp;$A12)="N/A",0,RTD("tos.rtd",,$A$2,"."&amp;W$2&amp;W$1&amp;"C"&amp;$A12))+IF(RTD("tos.rtd",,$A$2,"."&amp;W$2&amp;W$1&amp;"P"&amp;$A12)="N/A",0,RTD("tos.rtd",,$A$2,"."&amp;W$2&amp;W$1&amp;"P"&amp;$A12)),IF(RTD("tos.rtd",,$A$2,"."&amp;W$2&amp;W$1&amp;"C"&amp;$A12)="N/A",0,RTD("tos.rtd",,$A$2,"."&amp;W$2&amp;W$1&amp;"C"&amp;$A12))-IF(RTD("tos.rtd",,$A$2,"."&amp;W$2&amp;W$1&amp;"P"&amp;$A12)="N/A",0,RTD("tos.rtd",,$A$2,"."&amp;W$2&amp;W$1&amp;"P"&amp;$A12))))))))))</f>
        <v>0</v>
      </c>
      <c r="X12" s="57">
        <f t="shared" ca="1" si="7"/>
        <v>8155</v>
      </c>
      <c r="Y12" s="27">
        <f t="shared" ca="1" si="8"/>
        <v>8155</v>
      </c>
      <c r="Z12" s="27" t="b">
        <f t="shared" ca="1" si="9"/>
        <v>0</v>
      </c>
      <c r="AA12" s="27">
        <f t="shared" si="10"/>
        <v>188966850</v>
      </c>
      <c r="AB12" s="18">
        <f>MAX(0, $A12-AB$4)*IF(RTD("tos.rtd",,"OPEN_INT","."&amp;$AA$3&amp;$AA$4&amp;"C"&amp;AB$4)="N/A",0,RTD("tos.rtd",,"OPEN_INT","."&amp;$AA$3&amp;$AA$4&amp;"C"&amp;AB$4))*100 + MAX(0, AB$4-$A12)*IF(RTD("tos.rtd",,"OPEN_INT","."&amp;$AA$3&amp;$AA$4&amp;"P"&amp;AB$4)="N/A",0,RTD("tos.rtd",,"OPEN_INT","."&amp;$AA$3&amp;$AA$4&amp;"P"&amp;AB$4))*100</f>
        <v>0</v>
      </c>
      <c r="AC12" s="18">
        <f>MAX(0, $A12-AC$4)*IF(RTD("tos.rtd",,"OPEN_INT","."&amp;$AA$3&amp;$AA$4&amp;"C"&amp;AC$4)="N/A",0,RTD("tos.rtd",,"OPEN_INT","."&amp;$AA$3&amp;$AA$4&amp;"C"&amp;AC$4))*100 + MAX(0, AC$4-$A12)*IF(RTD("tos.rtd",,"OPEN_INT","."&amp;$AA$3&amp;$AA$4&amp;"P"&amp;AC$4)="N/A",0,RTD("tos.rtd",,"OPEN_INT","."&amp;$AA$3&amp;$AA$4&amp;"P"&amp;AC$4))*100</f>
        <v>0</v>
      </c>
      <c r="AD12" s="18">
        <f>MAX(0, $A12-AD$4)*IF(RTD("tos.rtd",,"OPEN_INT","."&amp;$AA$3&amp;$AA$4&amp;"C"&amp;AD$4)="N/A",0,RTD("tos.rtd",,"OPEN_INT","."&amp;$AA$3&amp;$AA$4&amp;"C"&amp;AD$4))*100 + MAX(0, AD$4-$A12)*IF(RTD("tos.rtd",,"OPEN_INT","."&amp;$AA$3&amp;$AA$4&amp;"P"&amp;AD$4)="N/A",0,RTD("tos.rtd",,"OPEN_INT","."&amp;$AA$3&amp;$AA$4&amp;"P"&amp;AD$4))*100</f>
        <v>0</v>
      </c>
      <c r="AE12" s="18">
        <f>MAX(0, $A12-AE$4)*IF(RTD("tos.rtd",,"OPEN_INT","."&amp;$AA$3&amp;$AA$4&amp;"C"&amp;AE$4)="N/A",0,RTD("tos.rtd",,"OPEN_INT","."&amp;$AA$3&amp;$AA$4&amp;"C"&amp;AE$4))*100 + MAX(0, AE$4-$A12)*IF(RTD("tos.rtd",,"OPEN_INT","."&amp;$AA$3&amp;$AA$4&amp;"P"&amp;AE$4)="N/A",0,RTD("tos.rtd",,"OPEN_INT","."&amp;$AA$3&amp;$AA$4&amp;"P"&amp;AE$4))*100</f>
        <v>0</v>
      </c>
      <c r="AF12" s="18">
        <f>MAX(0, $A12-AF$4)*IF(RTD("tos.rtd",,"OPEN_INT","."&amp;$AA$3&amp;$AA$4&amp;"C"&amp;AF$4)="N/A",0,RTD("tos.rtd",,"OPEN_INT","."&amp;$AA$3&amp;$AA$4&amp;"C"&amp;AF$4))*100 + MAX(0, AF$4-$A12)*IF(RTD("tos.rtd",,"OPEN_INT","."&amp;$AA$3&amp;$AA$4&amp;"P"&amp;AF$4)="N/A",0,RTD("tos.rtd",,"OPEN_INT","."&amp;$AA$3&amp;$AA$4&amp;"P"&amp;AF$4))*100</f>
        <v>0</v>
      </c>
      <c r="AG12" s="18">
        <f>MAX(0, $A12-AG$4)*IF(RTD("tos.rtd",,"OPEN_INT","."&amp;$AA$3&amp;$AA$4&amp;"C"&amp;AG$4)="N/A",0,RTD("tos.rtd",,"OPEN_INT","."&amp;$AA$3&amp;$AA$4&amp;"C"&amp;AG$4))*100 + MAX(0, AG$4-$A12)*IF(RTD("tos.rtd",,"OPEN_INT","."&amp;$AA$3&amp;$AA$4&amp;"P"&amp;AG$4)="N/A",0,RTD("tos.rtd",,"OPEN_INT","."&amp;$AA$3&amp;$AA$4&amp;"P"&amp;AG$4))*100</f>
        <v>0</v>
      </c>
      <c r="AH12" s="18">
        <f>MAX(0, $A12-AH$4)*IF(RTD("tos.rtd",,"OPEN_INT","."&amp;$AA$3&amp;$AA$4&amp;"C"&amp;AH$4)="N/A",0,RTD("tos.rtd",,"OPEN_INT","."&amp;$AA$3&amp;$AA$4&amp;"C"&amp;AH$4))*100 + MAX(0, AH$4-$A12)*IF(RTD("tos.rtd",,"OPEN_INT","."&amp;$AA$3&amp;$AA$4&amp;"P"&amp;AH$4)="N/A",0,RTD("tos.rtd",,"OPEN_INT","."&amp;$AA$3&amp;$AA$4&amp;"P"&amp;AH$4))*100</f>
        <v>0</v>
      </c>
      <c r="AI12" s="18">
        <f>MAX(0, $A12-AI$4)*IF(RTD("tos.rtd",,"OPEN_INT","."&amp;$AA$3&amp;$AA$4&amp;"C"&amp;AI$4)="N/A",0,RTD("tos.rtd",,"OPEN_INT","."&amp;$AA$3&amp;$AA$4&amp;"C"&amp;AI$4))*100 + MAX(0, AI$4-$A12)*IF(RTD("tos.rtd",,"OPEN_INT","."&amp;$AA$3&amp;$AA$4&amp;"P"&amp;AI$4)="N/A",0,RTD("tos.rtd",,"OPEN_INT","."&amp;$AA$3&amp;$AA$4&amp;"P"&amp;AI$4))*100</f>
        <v>0</v>
      </c>
      <c r="AJ12" s="18">
        <f>MAX(0, $A12-AJ$4)*IF(RTD("tos.rtd",,"OPEN_INT","."&amp;$AA$3&amp;$AA$4&amp;"C"&amp;AJ$4)="N/A",0,RTD("tos.rtd",,"OPEN_INT","."&amp;$AA$3&amp;$AA$4&amp;"C"&amp;AJ$4))*100 + MAX(0, AJ$4-$A12)*IF(RTD("tos.rtd",,"OPEN_INT","."&amp;$AA$3&amp;$AA$4&amp;"P"&amp;AJ$4)="N/A",0,RTD("tos.rtd",,"OPEN_INT","."&amp;$AA$3&amp;$AA$4&amp;"P"&amp;AJ$4))*100</f>
        <v>13450</v>
      </c>
      <c r="AK12" s="18">
        <f>MAX(0, $A12-AK$4)*IF(RTD("tos.rtd",,"OPEN_INT","."&amp;$AA$3&amp;$AA$4&amp;"C"&amp;AK$4)="N/A",0,RTD("tos.rtd",,"OPEN_INT","."&amp;$AA$3&amp;$AA$4&amp;"C"&amp;AK$4))*100 + MAX(0, AK$4-$A12)*IF(RTD("tos.rtd",,"OPEN_INT","."&amp;$AA$3&amp;$AA$4&amp;"P"&amp;AK$4)="N/A",0,RTD("tos.rtd",,"OPEN_INT","."&amp;$AA$3&amp;$AA$4&amp;"P"&amp;AK$4))*100</f>
        <v>281300</v>
      </c>
      <c r="AL12" s="18">
        <f>MAX(0, $A12-AL$4)*IF(RTD("tos.rtd",,"OPEN_INT","."&amp;$AA$3&amp;$AA$4&amp;"C"&amp;AL$4)="N/A",0,RTD("tos.rtd",,"OPEN_INT","."&amp;$AA$3&amp;$AA$4&amp;"C"&amp;AL$4))*100 + MAX(0, AL$4-$A12)*IF(RTD("tos.rtd",,"OPEN_INT","."&amp;$AA$3&amp;$AA$4&amp;"P"&amp;AL$4)="N/A",0,RTD("tos.rtd",,"OPEN_INT","."&amp;$AA$3&amp;$AA$4&amp;"P"&amp;AL$4))*100</f>
        <v>0</v>
      </c>
      <c r="AM12" s="18">
        <f>MAX(0, $A12-AM$4)*IF(RTD("tos.rtd",,"OPEN_INT","."&amp;$AA$3&amp;$AA$4&amp;"C"&amp;AM$4)="N/A",0,RTD("tos.rtd",,"OPEN_INT","."&amp;$AA$3&amp;$AA$4&amp;"C"&amp;AM$4))*100 + MAX(0, AM$4-$A12)*IF(RTD("tos.rtd",,"OPEN_INT","."&amp;$AA$3&amp;$AA$4&amp;"P"&amp;AM$4)="N/A",0,RTD("tos.rtd",,"OPEN_INT","."&amp;$AA$3&amp;$AA$4&amp;"P"&amp;AM$4))*100</f>
        <v>473000</v>
      </c>
      <c r="AN12" s="18">
        <f>MAX(0, $A12-AN$4)*IF(RTD("tos.rtd",,"OPEN_INT","."&amp;$AA$3&amp;$AA$4&amp;"C"&amp;AN$4)="N/A",0,RTD("tos.rtd",,"OPEN_INT","."&amp;$AA$3&amp;$AA$4&amp;"C"&amp;AN$4))*100 + MAX(0, AN$4-$A12)*IF(RTD("tos.rtd",,"OPEN_INT","."&amp;$AA$3&amp;$AA$4&amp;"P"&amp;AN$4)="N/A",0,RTD("tos.rtd",,"OPEN_INT","."&amp;$AA$3&amp;$AA$4&amp;"P"&amp;AN$4))*100</f>
        <v>0</v>
      </c>
      <c r="AO12" s="18">
        <f>MAX(0, $A12-AO$4)*IF(RTD("tos.rtd",,"OPEN_INT","."&amp;$AA$3&amp;$AA$4&amp;"C"&amp;AO$4)="N/A",0,RTD("tos.rtd",,"OPEN_INT","."&amp;$AA$3&amp;$AA$4&amp;"C"&amp;AO$4))*100 + MAX(0, AO$4-$A12)*IF(RTD("tos.rtd",,"OPEN_INT","."&amp;$AA$3&amp;$AA$4&amp;"P"&amp;AO$4)="N/A",0,RTD("tos.rtd",,"OPEN_INT","."&amp;$AA$3&amp;$AA$4&amp;"P"&amp;AO$4))*100</f>
        <v>206700</v>
      </c>
      <c r="AP12" s="18">
        <f>MAX(0, $A12-AP$4)*IF(RTD("tos.rtd",,"OPEN_INT","."&amp;$AA$3&amp;$AA$4&amp;"C"&amp;AP$4)="N/A",0,RTD("tos.rtd",,"OPEN_INT","."&amp;$AA$3&amp;$AA$4&amp;"C"&amp;AP$4))*100 + MAX(0, AP$4-$A12)*IF(RTD("tos.rtd",,"OPEN_INT","."&amp;$AA$3&amp;$AA$4&amp;"P"&amp;AP$4)="N/A",0,RTD("tos.rtd",,"OPEN_INT","."&amp;$AA$3&amp;$AA$4&amp;"P"&amp;AP$4))*100</f>
        <v>0</v>
      </c>
      <c r="AQ12" s="18">
        <f>MAX(0, $A12-AQ$4)*IF(RTD("tos.rtd",,"OPEN_INT","."&amp;$AA$3&amp;$AA$4&amp;"C"&amp;AQ$4)="N/A",0,RTD("tos.rtd",,"OPEN_INT","."&amp;$AA$3&amp;$AA$4&amp;"C"&amp;AQ$4))*100 + MAX(0, AQ$4-$A12)*IF(RTD("tos.rtd",,"OPEN_INT","."&amp;$AA$3&amp;$AA$4&amp;"P"&amp;AQ$4)="N/A",0,RTD("tos.rtd",,"OPEN_INT","."&amp;$AA$3&amp;$AA$4&amp;"P"&amp;AQ$4))*100</f>
        <v>256000</v>
      </c>
      <c r="AR12" s="18">
        <f>MAX(0, $A12-AR$4)*IF(RTD("tos.rtd",,"OPEN_INT","."&amp;$AA$3&amp;$AA$4&amp;"C"&amp;AR$4)="N/A",0,RTD("tos.rtd",,"OPEN_INT","."&amp;$AA$3&amp;$AA$4&amp;"C"&amp;AR$4))*100 + MAX(0, AR$4-$A12)*IF(RTD("tos.rtd",,"OPEN_INT","."&amp;$AA$3&amp;$AA$4&amp;"P"&amp;AR$4)="N/A",0,RTD("tos.rtd",,"OPEN_INT","."&amp;$AA$3&amp;$AA$4&amp;"P"&amp;AR$4))*100</f>
        <v>450</v>
      </c>
      <c r="AS12" s="18">
        <f>MAX(0, $A12-AS$4)*IF(RTD("tos.rtd",,"OPEN_INT","."&amp;$AA$3&amp;$AA$4&amp;"C"&amp;AS$4)="N/A",0,RTD("tos.rtd",,"OPEN_INT","."&amp;$AA$3&amp;$AA$4&amp;"C"&amp;AS$4))*100 + MAX(0, AS$4-$A12)*IF(RTD("tos.rtd",,"OPEN_INT","."&amp;$AA$3&amp;$AA$4&amp;"P"&amp;AS$4)="N/A",0,RTD("tos.rtd",,"OPEN_INT","."&amp;$AA$3&amp;$AA$4&amp;"P"&amp;AS$4))*100</f>
        <v>431000</v>
      </c>
      <c r="AT12" s="18">
        <f>MAX(0, $A12-AT$4)*IF(RTD("tos.rtd",,"OPEN_INT","."&amp;$AA$3&amp;$AA$4&amp;"C"&amp;AT$4)="N/A",0,RTD("tos.rtd",,"OPEN_INT","."&amp;$AA$3&amp;$AA$4&amp;"C"&amp;AT$4))*100 + MAX(0, AT$4-$A12)*IF(RTD("tos.rtd",,"OPEN_INT","."&amp;$AA$3&amp;$AA$4&amp;"P"&amp;AT$4)="N/A",0,RTD("tos.rtd",,"OPEN_INT","."&amp;$AA$3&amp;$AA$4&amp;"P"&amp;AT$4))*100</f>
        <v>771100</v>
      </c>
      <c r="AU12" s="18">
        <f>MAX(0, $A12-AU$4)*IF(RTD("tos.rtd",,"OPEN_INT","."&amp;$AA$3&amp;$AA$4&amp;"C"&amp;AU$4)="N/A",0,RTD("tos.rtd",,"OPEN_INT","."&amp;$AA$3&amp;$AA$4&amp;"C"&amp;AU$4))*100 + MAX(0, AU$4-$A12)*IF(RTD("tos.rtd",,"OPEN_INT","."&amp;$AA$3&amp;$AA$4&amp;"P"&amp;AU$4)="N/A",0,RTD("tos.rtd",,"OPEN_INT","."&amp;$AA$3&amp;$AA$4&amp;"P"&amp;AU$4))*100</f>
        <v>1009800</v>
      </c>
      <c r="AV12" s="18">
        <f>MAX(0, $A12-AV$4)*IF(RTD("tos.rtd",,"OPEN_INT","."&amp;$AA$3&amp;$AA$4&amp;"C"&amp;AV$4)="N/A",0,RTD("tos.rtd",,"OPEN_INT","."&amp;$AA$3&amp;$AA$4&amp;"C"&amp;AV$4))*100 + MAX(0, AV$4-$A12)*IF(RTD("tos.rtd",,"OPEN_INT","."&amp;$AA$3&amp;$AA$4&amp;"P"&amp;AV$4)="N/A",0,RTD("tos.rtd",,"OPEN_INT","."&amp;$AA$3&amp;$AA$4&amp;"P"&amp;AV$4))*100</f>
        <v>1227200</v>
      </c>
      <c r="AW12" s="18">
        <f>MAX(0, $A12-AW$4)*IF(RTD("tos.rtd",,"OPEN_INT","."&amp;$AA$3&amp;$AA$4&amp;"C"&amp;AW$4)="N/A",0,RTD("tos.rtd",,"OPEN_INT","."&amp;$AA$3&amp;$AA$4&amp;"C"&amp;AW$4))*100 + MAX(0, AW$4-$A12)*IF(RTD("tos.rtd",,"OPEN_INT","."&amp;$AA$3&amp;$AA$4&amp;"P"&amp;AW$4)="N/A",0,RTD("tos.rtd",,"OPEN_INT","."&amp;$AA$3&amp;$AA$4&amp;"P"&amp;AW$4))*100</f>
        <v>2152500</v>
      </c>
      <c r="AX12" s="18">
        <f>MAX(0, $A12-AX$4)*IF(RTD("tos.rtd",,"OPEN_INT","."&amp;$AA$3&amp;$AA$4&amp;"C"&amp;AX$4)="N/A",0,RTD("tos.rtd",,"OPEN_INT","."&amp;$AA$3&amp;$AA$4&amp;"C"&amp;AX$4))*100 + MAX(0, AX$4-$A12)*IF(RTD("tos.rtd",,"OPEN_INT","."&amp;$AA$3&amp;$AA$4&amp;"P"&amp;AX$4)="N/A",0,RTD("tos.rtd",,"OPEN_INT","."&amp;$AA$3&amp;$AA$4&amp;"P"&amp;AX$4))*100</f>
        <v>3189750</v>
      </c>
      <c r="AY12" s="18">
        <f>MAX(0, $A12-AY$4)*IF(RTD("tos.rtd",,"OPEN_INT","."&amp;$AA$3&amp;$AA$4&amp;"C"&amp;AY$4)="N/A",0,RTD("tos.rtd",,"OPEN_INT","."&amp;$AA$3&amp;$AA$4&amp;"C"&amp;AY$4))*100 + MAX(0, AY$4-$A12)*IF(RTD("tos.rtd",,"OPEN_INT","."&amp;$AA$3&amp;$AA$4&amp;"P"&amp;AY$4)="N/A",0,RTD("tos.rtd",,"OPEN_INT","."&amp;$AA$3&amp;$AA$4&amp;"P"&amp;AY$4))*100</f>
        <v>15638400</v>
      </c>
      <c r="AZ12" s="18">
        <f>MAX(0, $A12-AZ$4)*IF(RTD("tos.rtd",,"OPEN_INT","."&amp;$AA$3&amp;$AA$4&amp;"C"&amp;AZ$4)="N/A",0,RTD("tos.rtd",,"OPEN_INT","."&amp;$AA$3&amp;$AA$4&amp;"C"&amp;AZ$4))*100 + MAX(0, AZ$4-$A12)*IF(RTD("tos.rtd",,"OPEN_INT","."&amp;$AA$3&amp;$AA$4&amp;"P"&amp;AZ$4)="N/A",0,RTD("tos.rtd",,"OPEN_INT","."&amp;$AA$3&amp;$AA$4&amp;"P"&amp;AZ$4))*100</f>
        <v>8372500</v>
      </c>
      <c r="BA12" s="18">
        <f>MAX(0, $A12-BA$4)*IF(RTD("tos.rtd",,"OPEN_INT","."&amp;$AA$3&amp;$AA$4&amp;"C"&amp;BA$4)="N/A",0,RTD("tos.rtd",,"OPEN_INT","."&amp;$AA$3&amp;$AA$4&amp;"C"&amp;BA$4))*100 + MAX(0, BA$4-$A12)*IF(RTD("tos.rtd",,"OPEN_INT","."&amp;$AA$3&amp;$AA$4&amp;"P"&amp;BA$4)="N/A",0,RTD("tos.rtd",,"OPEN_INT","."&amp;$AA$3&amp;$AA$4&amp;"P"&amp;BA$4))*100</f>
        <v>27726300</v>
      </c>
      <c r="BB12" s="18">
        <f>MAX(0, $A12-BB$4)*IF(RTD("tos.rtd",,"OPEN_INT","."&amp;$AA$3&amp;$AA$4&amp;"C"&amp;BB$4)="N/A",0,RTD("tos.rtd",,"OPEN_INT","."&amp;$AA$3&amp;$AA$4&amp;"C"&amp;BB$4))*100 + MAX(0, BB$4-$A12)*IF(RTD("tos.rtd",,"OPEN_INT","."&amp;$AA$3&amp;$AA$4&amp;"P"&amp;BB$4)="N/A",0,RTD("tos.rtd",,"OPEN_INT","."&amp;$AA$3&amp;$AA$4&amp;"P"&amp;BB$4))*100</f>
        <v>27225100</v>
      </c>
      <c r="BC12" s="18">
        <f>MAX(0, $A12-BC$4)*IF(RTD("tos.rtd",,"OPEN_INT","."&amp;$AA$3&amp;$AA$4&amp;"C"&amp;BC$4)="N/A",0,RTD("tos.rtd",,"OPEN_INT","."&amp;$AA$3&amp;$AA$4&amp;"C"&amp;BC$4))*100 + MAX(0, BC$4-$A12)*IF(RTD("tos.rtd",,"OPEN_INT","."&amp;$AA$3&amp;$AA$4&amp;"P"&amp;BC$4)="N/A",0,RTD("tos.rtd",,"OPEN_INT","."&amp;$AA$3&amp;$AA$4&amp;"P"&amp;BC$4))*100</f>
        <v>40713000</v>
      </c>
      <c r="BD12" s="18">
        <f>MAX(0, $A12-BD$4)*IF(RTD("tos.rtd",,"OPEN_INT","."&amp;$AA$3&amp;$AA$4&amp;"C"&amp;BD$4)="N/A",0,RTD("tos.rtd",,"OPEN_INT","."&amp;$AA$3&amp;$AA$4&amp;"C"&amp;BD$4))*100 + MAX(0, BD$4-$A12)*IF(RTD("tos.rtd",,"OPEN_INT","."&amp;$AA$3&amp;$AA$4&amp;"P"&amp;BD$4)="N/A",0,RTD("tos.rtd",,"OPEN_INT","."&amp;$AA$3&amp;$AA$4&amp;"P"&amp;BD$4))*100</f>
        <v>19488000</v>
      </c>
      <c r="BE12" s="18">
        <f>MAX(0, $A12-BE$4)*IF(RTD("tos.rtd",,"OPEN_INT","."&amp;$AA$3&amp;$AA$4&amp;"C"&amp;BE$4)="N/A",0,RTD("tos.rtd",,"OPEN_INT","."&amp;$AA$3&amp;$AA$4&amp;"C"&amp;BE$4))*100 + MAX(0, BE$4-$A12)*IF(RTD("tos.rtd",,"OPEN_INT","."&amp;$AA$3&amp;$AA$4&amp;"P"&amp;BE$4)="N/A",0,RTD("tos.rtd",,"OPEN_INT","."&amp;$AA$3&amp;$AA$4&amp;"P"&amp;BE$4))*100</f>
        <v>19005800</v>
      </c>
      <c r="BF12" s="18">
        <f>MAX(0, $A12-BF$4)*IF(RTD("tos.rtd",,"OPEN_INT","."&amp;$AA$3&amp;$AA$4&amp;"C"&amp;BF$4)="N/A",0,RTD("tos.rtd",,"OPEN_INT","."&amp;$AA$3&amp;$AA$4&amp;"C"&amp;BF$4))*100 + MAX(0, BF$4-$A12)*IF(RTD("tos.rtd",,"OPEN_INT","."&amp;$AA$3&amp;$AA$4&amp;"P"&amp;BF$4)="N/A",0,RTD("tos.rtd",,"OPEN_INT","."&amp;$AA$3&amp;$AA$4&amp;"P"&amp;BF$4))*100</f>
        <v>9668050</v>
      </c>
      <c r="BG12" s="18">
        <f>MAX(0, $A12-BG$4)*IF(RTD("tos.rtd",,"OPEN_INT","."&amp;$AA$3&amp;$AA$4&amp;"C"&amp;BG$4)="N/A",0,RTD("tos.rtd",,"OPEN_INT","."&amp;$AA$3&amp;$AA$4&amp;"C"&amp;BG$4))*100 + MAX(0, BG$4-$A12)*IF(RTD("tos.rtd",,"OPEN_INT","."&amp;$AA$3&amp;$AA$4&amp;"P"&amp;BG$4)="N/A",0,RTD("tos.rtd",,"OPEN_INT","."&amp;$AA$3&amp;$AA$4&amp;"P"&amp;BG$4))*100</f>
        <v>6880800</v>
      </c>
      <c r="BH12" s="18">
        <f>MAX(0, $A12-BH$4)*IF(RTD("tos.rtd",,"OPEN_INT","."&amp;$AA$3&amp;$AA$4&amp;"C"&amp;BH$4)="N/A",0,RTD("tos.rtd",,"OPEN_INT","."&amp;$AA$3&amp;$AA$4&amp;"C"&amp;BH$4))*100 + MAX(0, BH$4-$A12)*IF(RTD("tos.rtd",,"OPEN_INT","."&amp;$AA$3&amp;$AA$4&amp;"P"&amp;BH$4)="N/A",0,RTD("tos.rtd",,"OPEN_INT","."&amp;$AA$3&amp;$AA$4&amp;"P"&amp;BH$4))*100</f>
        <v>2428750</v>
      </c>
      <c r="BI12" s="18">
        <f>MAX(0, $A12-BI$4)*IF(RTD("tos.rtd",,"OPEN_INT","."&amp;$AA$3&amp;$AA$4&amp;"C"&amp;BI$4)="N/A",0,RTD("tos.rtd",,"OPEN_INT","."&amp;$AA$3&amp;$AA$4&amp;"C"&amp;BI$4))*100 + MAX(0, BI$4-$A12)*IF(RTD("tos.rtd",,"OPEN_INT","."&amp;$AA$3&amp;$AA$4&amp;"P"&amp;BI$4)="N/A",0,RTD("tos.rtd",,"OPEN_INT","."&amp;$AA$3&amp;$AA$4&amp;"P"&amp;BI$4))*100</f>
        <v>1094600</v>
      </c>
      <c r="BJ12" s="18">
        <f>MAX(0, $A12-BJ$4)*IF(RTD("tos.rtd",,"OPEN_INT","."&amp;$AA$3&amp;$AA$4&amp;"C"&amp;BJ$4)="N/A",0,RTD("tos.rtd",,"OPEN_INT","."&amp;$AA$3&amp;$AA$4&amp;"C"&amp;BJ$4))*100 + MAX(0, BJ$4-$A12)*IF(RTD("tos.rtd",,"OPEN_INT","."&amp;$AA$3&amp;$AA$4&amp;"P"&amp;BJ$4)="N/A",0,RTD("tos.rtd",,"OPEN_INT","."&amp;$AA$3&amp;$AA$4&amp;"P"&amp;BJ$4))*100</f>
        <v>203850</v>
      </c>
      <c r="BK12" s="18">
        <f>MAX(0, $A12-BK$4)*IF(RTD("tos.rtd",,"OPEN_INT","."&amp;$AA$3&amp;$AA$4&amp;"C"&amp;BK$4)="N/A",0,RTD("tos.rtd",,"OPEN_INT","."&amp;$AA$3&amp;$AA$4&amp;"C"&amp;BK$4))*100 + MAX(0, BK$4-$A12)*IF(RTD("tos.rtd",,"OPEN_INT","."&amp;$AA$3&amp;$AA$4&amp;"P"&amp;BK$4)="N/A",0,RTD("tos.rtd",,"OPEN_INT","."&amp;$AA$3&amp;$AA$4&amp;"P"&amp;BK$4))*100</f>
        <v>365400</v>
      </c>
      <c r="BL12" s="18">
        <f>MAX(0, $A12-BL$4)*IF(RTD("tos.rtd",,"OPEN_INT","."&amp;$AA$3&amp;$AA$4&amp;"C"&amp;BL$4)="N/A",0,RTD("tos.rtd",,"OPEN_INT","."&amp;$AA$3&amp;$AA$4&amp;"C"&amp;BL$4))*100 + MAX(0, BL$4-$A12)*IF(RTD("tos.rtd",,"OPEN_INT","."&amp;$AA$3&amp;$AA$4&amp;"P"&amp;BL$4)="N/A",0,RTD("tos.rtd",,"OPEN_INT","."&amp;$AA$3&amp;$AA$4&amp;"P"&amp;BL$4))*100</f>
        <v>23200</v>
      </c>
      <c r="BM12" s="18">
        <f>MAX(0, $A12-BM$4)*IF(RTD("tos.rtd",,"OPEN_INT","."&amp;$AA$3&amp;$AA$4&amp;"C"&amp;BM$4)="N/A",0,RTD("tos.rtd",,"OPEN_INT","."&amp;$AA$3&amp;$AA$4&amp;"C"&amp;BM$4))*100 + MAX(0, BM$4-$A12)*IF(RTD("tos.rtd",,"OPEN_INT","."&amp;$AA$3&amp;$AA$4&amp;"P"&amp;BM$4)="N/A",0,RTD("tos.rtd",,"OPEN_INT","."&amp;$AA$3&amp;$AA$4&amp;"P"&amp;BM$4))*100</f>
        <v>12000</v>
      </c>
      <c r="BN12" s="18">
        <f>MAX(0, $A12-BN$4)*IF(RTD("tos.rtd",,"OPEN_INT","."&amp;$AA$3&amp;$AA$4&amp;"C"&amp;BN$4)="N/A",0,RTD("tos.rtd",,"OPEN_INT","."&amp;$AA$3&amp;$AA$4&amp;"C"&amp;BN$4))*100 + MAX(0, BN$4-$A12)*IF(RTD("tos.rtd",,"OPEN_INT","."&amp;$AA$3&amp;$AA$4&amp;"P"&amp;BN$4)="N/A",0,RTD("tos.rtd",,"OPEN_INT","."&amp;$AA$3&amp;$AA$4&amp;"P"&amp;BN$4))*100</f>
        <v>48050</v>
      </c>
      <c r="BO12" s="18">
        <f>MAX(0, $A12-BO$4)*IF(RTD("tos.rtd",,"OPEN_INT","."&amp;$AA$3&amp;$AA$4&amp;"C"&amp;BO$4)="N/A",0,RTD("tos.rtd",,"OPEN_INT","."&amp;$AA$3&amp;$AA$4&amp;"C"&amp;BO$4))*100 + MAX(0, BO$4-$A12)*IF(RTD("tos.rtd",,"OPEN_INT","."&amp;$AA$3&amp;$AA$4&amp;"P"&amp;BO$4)="N/A",0,RTD("tos.rtd",,"OPEN_INT","."&amp;$AA$3&amp;$AA$4&amp;"P"&amp;BO$4))*100</f>
        <v>60800</v>
      </c>
      <c r="BP12" s="18">
        <f>MAX(0, $A12-BP$4)*IF(RTD("tos.rtd",,"OPEN_INT","."&amp;$AA$3&amp;$AA$4&amp;"C"&amp;BP$4)="N/A",0,RTD("tos.rtd",,"OPEN_INT","."&amp;$AA$3&amp;$AA$4&amp;"C"&amp;BP$4))*100 + MAX(0, BP$4-$A12)*IF(RTD("tos.rtd",,"OPEN_INT","."&amp;$AA$3&amp;$AA$4&amp;"P"&amp;BP$4)="N/A",0,RTD("tos.rtd",,"OPEN_INT","."&amp;$AA$3&amp;$AA$4&amp;"P"&amp;BP$4))*100</f>
        <v>0</v>
      </c>
      <c r="BQ12" s="18">
        <f>MAX(0, $A12-BQ$4)*IF(RTD("tos.rtd",,"OPEN_INT","."&amp;$AA$3&amp;$AA$4&amp;"C"&amp;BQ$4)="N/A",0,RTD("tos.rtd",,"OPEN_INT","."&amp;$AA$3&amp;$AA$4&amp;"C"&amp;BQ$4))*100 + MAX(0, BQ$4-$A12)*IF(RTD("tos.rtd",,"OPEN_INT","."&amp;$AA$3&amp;$AA$4&amp;"P"&amp;BQ$4)="N/A",0,RTD("tos.rtd",,"OPEN_INT","."&amp;$AA$3&amp;$AA$4&amp;"P"&amp;BQ$4))*100</f>
        <v>0</v>
      </c>
      <c r="BR12" s="18">
        <f>MAX(0, $A12-BR$4)*IF(RTD("tos.rtd",,"OPEN_INT","."&amp;$AA$3&amp;$AA$4&amp;"C"&amp;BR$4)="N/A",0,RTD("tos.rtd",,"OPEN_INT","."&amp;$AA$3&amp;$AA$4&amp;"C"&amp;BR$4))*100 + MAX(0, BR$4-$A12)*IF(RTD("tos.rtd",,"OPEN_INT","."&amp;$AA$3&amp;$AA$4&amp;"P"&amp;BR$4)="N/A",0,RTD("tos.rtd",,"OPEN_INT","."&amp;$AA$3&amp;$AA$4&amp;"P"&amp;BR$4))*100</f>
        <v>0</v>
      </c>
      <c r="BS12" s="18">
        <f>MAX(0, $A12-BS$4)*IF(RTD("tos.rtd",,"OPEN_INT","."&amp;$AA$3&amp;$AA$4&amp;"C"&amp;BS$4)="N/A",0,RTD("tos.rtd",,"OPEN_INT","."&amp;$AA$3&amp;$AA$4&amp;"C"&amp;BS$4))*100 + MAX(0, BS$4-$A12)*IF(RTD("tos.rtd",,"OPEN_INT","."&amp;$AA$3&amp;$AA$4&amp;"P"&amp;BS$4)="N/A",0,RTD("tos.rtd",,"OPEN_INT","."&amp;$AA$3&amp;$AA$4&amp;"P"&amp;BS$4))*100</f>
        <v>0</v>
      </c>
      <c r="BT12" s="18">
        <f>MAX(0, $A12-BT$4)*IF(RTD("tos.rtd",,"OPEN_INT","."&amp;$AA$3&amp;$AA$4&amp;"C"&amp;BT$4)="N/A",0,RTD("tos.rtd",,"OPEN_INT","."&amp;$AA$3&amp;$AA$4&amp;"C"&amp;BT$4))*100 + MAX(0, BT$4-$A12)*IF(RTD("tos.rtd",,"OPEN_INT","."&amp;$AA$3&amp;$AA$4&amp;"P"&amp;BT$4)="N/A",0,RTD("tos.rtd",,"OPEN_INT","."&amp;$AA$3&amp;$AA$4&amp;"P"&amp;BT$4))*100</f>
        <v>0</v>
      </c>
      <c r="BU12" s="18">
        <f>MAX(0, $A12-BU$4)*IF(RTD("tos.rtd",,"OPEN_INT","."&amp;$AA$3&amp;$AA$4&amp;"C"&amp;BU$4)="N/A",0,RTD("tos.rtd",,"OPEN_INT","."&amp;$AA$3&amp;$AA$4&amp;"C"&amp;BU$4))*100 + MAX(0, BU$4-$A12)*IF(RTD("tos.rtd",,"OPEN_INT","."&amp;$AA$3&amp;$AA$4&amp;"P"&amp;BU$4)="N/A",0,RTD("tos.rtd",,"OPEN_INT","."&amp;$AA$3&amp;$AA$4&amp;"P"&amp;BU$4))*100</f>
        <v>0</v>
      </c>
      <c r="BV12" s="18">
        <f>MAX(0, $A12-BV$4)*IF(RTD("tos.rtd",,"OPEN_INT","."&amp;$AA$3&amp;$AA$4&amp;"C"&amp;BV$4)="N/A",0,RTD("tos.rtd",,"OPEN_INT","."&amp;$AA$3&amp;$AA$4&amp;"C"&amp;BV$4))*100 + MAX(0, BV$4-$A12)*IF(RTD("tos.rtd",,"OPEN_INT","."&amp;$AA$3&amp;$AA$4&amp;"P"&amp;BV$4)="N/A",0,RTD("tos.rtd",,"OPEN_INT","."&amp;$AA$3&amp;$AA$4&amp;"P"&amp;BV$4))*100</f>
        <v>0</v>
      </c>
    </row>
    <row r="13" spans="1:74" s="19" customFormat="1" ht="11.1" customHeight="1" thickBot="1" x14ac:dyDescent="0.3">
      <c r="A13" s="23">
        <f t="shared" si="6"/>
        <v>17.5</v>
      </c>
      <c r="B13" s="14">
        <f ca="1">IF($A$2="PREMIUM_OI",IFERROR(IF($X$1="ABS",(100*RTD("tos.rtd",,"OPEN_INT","."&amp;B$2&amp;B$1&amp;"C"&amp;$A13)*RTD("tos.rtd",,"LAST","."&amp;B$2&amp;B$1&amp;"C"&amp;$A13)+100*RTD("tos.rtd",,"OPEN_INT","."&amp;B$2&amp;B$1&amp;"P"&amp;$A13)*RTD("tos.rtd",,"LAST","."&amp;B$2&amp;B$1&amp;"P"&amp;$A13))/1000000,(100*RTD("tos.rtd",,"OPEN_INT","."&amp;B$2&amp;B$1&amp;"C"&amp;$A13)*RTD("tos.rtd",,"LAST","."&amp;B$2&amp;B$1&amp;"C"&amp;$A13)-100*RTD("tos.rtd",,"OPEN_INT","."&amp;B$2&amp;B$1&amp;"P"&amp;$A13)*RTD("tos.rtd",,"LAST","."&amp;B$2&amp;B$1&amp;"P"&amp;$A13))/1000000),0),IF($A$2="PREMIUM",IFERROR(IF($X$1="ABS",(100*RTD("tos.rtd",,"VOLUME","."&amp;B$2&amp;B$1&amp;"C"&amp;$A13)*RTD("tos.rtd",,"LAST","."&amp;B$2&amp;B$1&amp;"C"&amp;$A13)+100*RTD("tos.rtd",,"VOLUME","."&amp;B$2&amp;B$1&amp;"P"&amp;$A13)*RTD("tos.rtd",,"LAST","."&amp;B$2&amp;B$1&amp;"P"&amp;$A13))/1000000,(100*RTD("tos.rtd",,"VOLUME","."&amp;B$2&amp;B$1&amp;"C"&amp;$A13)*RTD("tos.rtd",,"LAST","."&amp;B$2&amp;B$1&amp;"C"&amp;$A13)-100*RTD("tos.rtd",,"VOLUME","."&amp;B$2&amp;B$1&amp;"P"&amp;$A13)*RTD("tos.rtd",,"LAST","."&amp;B$2&amp;B$1&amp;"P"&amp;$A13))/1000000),0),IF($A$2="DEX",IFERROR(IF($X$1="ABS",(100*RTD("tos.rtd",,"OPEN_INT","."&amp;B$2&amp;B$1&amp;"C"&amp;$A13)*RTD("tos.rtd",,"DELTA","."&amp;B$2&amp;B$1&amp;"C"&amp;$A13)+100*RTD("tos.rtd",,"OPEN_INT","."&amp;B$2&amp;B$1&amp;"P"&amp;$A13)*RTD("tos.rtd",,"DELTA","."&amp;B$2&amp;B$1&amp;"P"&amp;$A13))/1000,(100*RTD("tos.rtd",,"OPEN_INT","."&amp;B$2&amp;B$1&amp;"C"&amp;$A13)*RTD("tos.rtd",,"DELTA","."&amp;B$2&amp;B$1&amp;"C"&amp;$A13)-100*RTD("tos.rtd",,"OPEN_INT","."&amp;B$2&amp;B$1&amp;"P"&amp;$A13)*RTD("tos.rtd",,"DELTA","."&amp;B$2&amp;B$1&amp;"P"&amp;$A13))/1000),0),IF($A$2="VEX",IFERROR(IF($X$1="ABS",($A$4*$A$4*RTD("tos.rtd",,"VOLUME","."&amp;B$2&amp;B$1&amp;"C"&amp;$A13)*RTD("tos.rtd",,"GAMMA","."&amp;B$2&amp;B$1&amp;"C"&amp;$A13)+$A$4*$A$4*RTD("tos.rtd",,"VOLUME","."&amp;B$2&amp;B$1&amp;"P"&amp;$A13)*RTD("tos.rtd",,"GAMMA","."&amp;B$2&amp;B$1&amp;"P"&amp;$A13))/1000000,($A$4*$A$4*RTD("tos.rtd",,"VOLUME","."&amp;B$2&amp;B$1&amp;"C"&amp;$A13)*RTD("tos.rtd",,"GAMMA","."&amp;B$2&amp;B$1&amp;"C"&amp;$A13)-$A$4*$A$4*RTD("tos.rtd",,"VOLUME","."&amp;B$2&amp;B$1&amp;"P"&amp;$A13)*RTD("tos.rtd",,"GAMMA","."&amp;B$2&amp;B$1&amp;"P"&amp;$A13))/1000000),0),IF($A$2="GEX",IFERROR(IF($X$1="ABS",($A$4*$A$4*RTD("tos.rtd",,"OPEN_INT","."&amp;B$2&amp;B$1&amp;"C"&amp;$A13)*RTD("tos.rtd",,"GAMMA","."&amp;B$2&amp;B$1&amp;"C"&amp;$A13)+$A$4*$A$4*RTD("tos.rtd",,"OPEN_INT","."&amp;B$2&amp;B$1&amp;"P"&amp;$A13)*RTD("tos.rtd",,"GAMMA","."&amp;B$2&amp;B$1&amp;"P"&amp;$A13))/1000000,($A$4*$A$4*RTD("tos.rtd",,"OPEN_INT","."&amp;B$2&amp;B$1&amp;"C"&amp;$A13)*RTD("tos.rtd",,"GAMMA","."&amp;B$2&amp;B$1&amp;"C"&amp;$A13)-$A$4*$A$4*RTD("tos.rtd",,"OPEN_INT","."&amp;B$2&amp;B$1&amp;"P"&amp;$A13)*RTD("tos.rtd",,"GAMMA","."&amp;B$2&amp;B$1&amp;"P"&amp;$A13))/1000000),0),IF($A$2="SKEW",IFERROR(VALUE(IF(RTD("tos.rtd",,"IMPL_VOL","."&amp;B$2&amp;B$1&amp;"P"&amp;$A13)="N/A",0,RTD("tos.rtd",,"IMPL_VOL","."&amp;B$2&amp;B$1&amp;"P"&amp;$A13))),0)-IFERROR(VALUE(IF(RTD("tos.rtd",,"IMPL_VOL","."&amp;B$2&amp;B$1&amp;"C"&amp;$A13)="N/A",0,RTD("tos.rtd",,"IMPL_VOL","."&amp;B$2&amp;B$1&amp;"C"&amp;$A13))),0),IF($A$2="MAXPAIN",IF($A$4&gt;$A13,($A$4-$A13)*IF(RTD("tos.rtd",,"OPEN_INT","."&amp;B$2&amp;B$1&amp;"C"&amp;$A13)="N/A",0,RTD("tos.rtd",,"OPEN_INT","."&amp;B$2&amp;B$1&amp;"C"&amp;$A13)),0)+IF($A$4&lt;$A13,($A$5-$A$4)*IF(RTD("tos.rtd",,"OPEN_INT","."&amp;B$2&amp;B$1&amp;"P"&amp;$A13)="N/A",0,RTD("tos.rtd",,"OPEN_INT","."&amp;B$2&amp;B$1&amp;"P"&amp;$A13)),0),IF($X$1="ABS",IF(RTD("tos.rtd",,$A$2,"."&amp;B$2&amp;B$1&amp;"C"&amp;$A13)="N/A",0,RTD("tos.rtd",,$A$2,"."&amp;B$2&amp;B$1&amp;"C"&amp;$A13))+IF(RTD("tos.rtd",,$A$2,"."&amp;B$2&amp;B$1&amp;"P"&amp;$A13)="N/A",0,RTD("tos.rtd",,$A$2,"."&amp;B$2&amp;B$1&amp;"P"&amp;$A13)),IF(RTD("tos.rtd",,$A$2,"."&amp;B$2&amp;B$1&amp;"C"&amp;$A13)="N/A",0,RTD("tos.rtd",,$A$2,"."&amp;B$2&amp;B$1&amp;"C"&amp;$A13))-IF(RTD("tos.rtd",,$A$2,"."&amp;B$2&amp;B$1&amp;"P"&amp;$A13)="N/A",0,RTD("tos.rtd",,$A$2,"."&amp;B$2&amp;B$1&amp;"P"&amp;$A13))))))))))</f>
        <v>0</v>
      </c>
      <c r="C13" s="12">
        <f ca="1">IF($A$2="PREMIUM_OI",IFERROR(IF($X$1="ABS",(100*RTD("tos.rtd",,"OPEN_INT","."&amp;C$2&amp;C$1&amp;"C"&amp;$A13)*RTD("tos.rtd",,"LAST","."&amp;C$2&amp;C$1&amp;"C"&amp;$A13)+100*RTD("tos.rtd",,"OPEN_INT","."&amp;C$2&amp;C$1&amp;"P"&amp;$A13)*RTD("tos.rtd",,"LAST","."&amp;C$2&amp;C$1&amp;"P"&amp;$A13))/1000000,(100*RTD("tos.rtd",,"OPEN_INT","."&amp;C$2&amp;C$1&amp;"C"&amp;$A13)*RTD("tos.rtd",,"LAST","."&amp;C$2&amp;C$1&amp;"C"&amp;$A13)-100*RTD("tos.rtd",,"OPEN_INT","."&amp;C$2&amp;C$1&amp;"P"&amp;$A13)*RTD("tos.rtd",,"LAST","."&amp;C$2&amp;C$1&amp;"P"&amp;$A13))/1000000),0),IF($A$2="PREMIUM",IFERROR(IF($X$1="ABS",(100*RTD("tos.rtd",,"VOLUME","."&amp;C$2&amp;C$1&amp;"C"&amp;$A13)*RTD("tos.rtd",,"LAST","."&amp;C$2&amp;C$1&amp;"C"&amp;$A13)+100*RTD("tos.rtd",,"VOLUME","."&amp;C$2&amp;C$1&amp;"P"&amp;$A13)*RTD("tos.rtd",,"LAST","."&amp;C$2&amp;C$1&amp;"P"&amp;$A13))/1000000,(100*RTD("tos.rtd",,"VOLUME","."&amp;C$2&amp;C$1&amp;"C"&amp;$A13)*RTD("tos.rtd",,"LAST","."&amp;C$2&amp;C$1&amp;"C"&amp;$A13)-100*RTD("tos.rtd",,"VOLUME","."&amp;C$2&amp;C$1&amp;"P"&amp;$A13)*RTD("tos.rtd",,"LAST","."&amp;C$2&amp;C$1&amp;"P"&amp;$A13))/1000000),0),IF($A$2="DEX",IFERROR(IF($X$1="ABS",(100*RTD("tos.rtd",,"OPEN_INT","."&amp;C$2&amp;C$1&amp;"C"&amp;$A13)*RTD("tos.rtd",,"DELTA","."&amp;C$2&amp;C$1&amp;"C"&amp;$A13)+100*RTD("tos.rtd",,"OPEN_INT","."&amp;C$2&amp;C$1&amp;"P"&amp;$A13)*RTD("tos.rtd",,"DELTA","."&amp;C$2&amp;C$1&amp;"P"&amp;$A13))/1000,(100*RTD("tos.rtd",,"OPEN_INT","."&amp;C$2&amp;C$1&amp;"C"&amp;$A13)*RTD("tos.rtd",,"DELTA","."&amp;C$2&amp;C$1&amp;"C"&amp;$A13)-100*RTD("tos.rtd",,"OPEN_INT","."&amp;C$2&amp;C$1&amp;"P"&amp;$A13)*RTD("tos.rtd",,"DELTA","."&amp;C$2&amp;C$1&amp;"P"&amp;$A13))/1000),0),IF($A$2="VEX",IFERROR(IF($X$1="ABS",($A$4*$A$4*RTD("tos.rtd",,"VOLUME","."&amp;C$2&amp;C$1&amp;"C"&amp;$A13)*RTD("tos.rtd",,"GAMMA","."&amp;C$2&amp;C$1&amp;"C"&amp;$A13)+$A$4*$A$4*RTD("tos.rtd",,"VOLUME","."&amp;C$2&amp;C$1&amp;"P"&amp;$A13)*RTD("tos.rtd",,"GAMMA","."&amp;C$2&amp;C$1&amp;"P"&amp;$A13))/1000000,($A$4*$A$4*RTD("tos.rtd",,"VOLUME","."&amp;C$2&amp;C$1&amp;"C"&amp;$A13)*RTD("tos.rtd",,"GAMMA","."&amp;C$2&amp;C$1&amp;"C"&amp;$A13)-$A$4*$A$4*RTD("tos.rtd",,"VOLUME","."&amp;C$2&amp;C$1&amp;"P"&amp;$A13)*RTD("tos.rtd",,"GAMMA","."&amp;C$2&amp;C$1&amp;"P"&amp;$A13))/1000000),0),IF($A$2="GEX",IFERROR(IF($X$1="ABS",($A$4*$A$4*RTD("tos.rtd",,"OPEN_INT","."&amp;C$2&amp;C$1&amp;"C"&amp;$A13)*RTD("tos.rtd",,"GAMMA","."&amp;C$2&amp;C$1&amp;"C"&amp;$A13)+$A$4*$A$4*RTD("tos.rtd",,"OPEN_INT","."&amp;C$2&amp;C$1&amp;"P"&amp;$A13)*RTD("tos.rtd",,"GAMMA","."&amp;C$2&amp;C$1&amp;"P"&amp;$A13))/1000000,($A$4*$A$4*RTD("tos.rtd",,"OPEN_INT","."&amp;C$2&amp;C$1&amp;"C"&amp;$A13)*RTD("tos.rtd",,"GAMMA","."&amp;C$2&amp;C$1&amp;"C"&amp;$A13)-$A$4*$A$4*RTD("tos.rtd",,"OPEN_INT","."&amp;C$2&amp;C$1&amp;"P"&amp;$A13)*RTD("tos.rtd",,"GAMMA","."&amp;C$2&amp;C$1&amp;"P"&amp;$A13))/1000000),0),IF($A$2="SKEW",IFERROR(VALUE(IF(RTD("tos.rtd",,"IMPL_VOL","."&amp;C$2&amp;C$1&amp;"P"&amp;$A13)="N/A",0,RTD("tos.rtd",,"IMPL_VOL","."&amp;C$2&amp;C$1&amp;"P"&amp;$A13))),0)-IFERROR(VALUE(IF(RTD("tos.rtd",,"IMPL_VOL","."&amp;C$2&amp;C$1&amp;"C"&amp;$A13)="N/A",0,RTD("tos.rtd",,"IMPL_VOL","."&amp;C$2&amp;C$1&amp;"C"&amp;$A13))),0),IF($A$2="MAXPAIN",IF($A$4&gt;$A13,($A$4-$A13)*IF(RTD("tos.rtd",,"OPEN_INT","."&amp;C$2&amp;C$1&amp;"C"&amp;$A13)="N/A",0,RTD("tos.rtd",,"OPEN_INT","."&amp;C$2&amp;C$1&amp;"C"&amp;$A13)),0)+IF($A$4&lt;$A13,($A$5-$A$4)*IF(RTD("tos.rtd",,"OPEN_INT","."&amp;C$2&amp;C$1&amp;"P"&amp;$A13)="N/A",0,RTD("tos.rtd",,"OPEN_INT","."&amp;C$2&amp;C$1&amp;"P"&amp;$A13)),0),IF($X$1="ABS",IF(RTD("tos.rtd",,$A$2,"."&amp;C$2&amp;C$1&amp;"C"&amp;$A13)="N/A",0,RTD("tos.rtd",,$A$2,"."&amp;C$2&amp;C$1&amp;"C"&amp;$A13))+IF(RTD("tos.rtd",,$A$2,"."&amp;C$2&amp;C$1&amp;"P"&amp;$A13)="N/A",0,RTD("tos.rtd",,$A$2,"."&amp;C$2&amp;C$1&amp;"P"&amp;$A13)),IF(RTD("tos.rtd",,$A$2,"."&amp;C$2&amp;C$1&amp;"C"&amp;$A13)="N/A",0,RTD("tos.rtd",,$A$2,"."&amp;C$2&amp;C$1&amp;"C"&amp;$A13))-IF(RTD("tos.rtd",,$A$2,"."&amp;C$2&amp;C$1&amp;"P"&amp;$A13)="N/A",0,RTD("tos.rtd",,$A$2,"."&amp;C$2&amp;C$1&amp;"P"&amp;$A13))))))))))</f>
        <v>261</v>
      </c>
      <c r="D13" s="12">
        <f ca="1">IF($A$2="PREMIUM_OI",IFERROR(IF($X$1="ABS",(100*RTD("tos.rtd",,"OPEN_INT","."&amp;D$2&amp;D$1&amp;"C"&amp;$A13)*RTD("tos.rtd",,"LAST","."&amp;D$2&amp;D$1&amp;"C"&amp;$A13)+100*RTD("tos.rtd",,"OPEN_INT","."&amp;D$2&amp;D$1&amp;"P"&amp;$A13)*RTD("tos.rtd",,"LAST","."&amp;D$2&amp;D$1&amp;"P"&amp;$A13))/1000000,(100*RTD("tos.rtd",,"OPEN_INT","."&amp;D$2&amp;D$1&amp;"C"&amp;$A13)*RTD("tos.rtd",,"LAST","."&amp;D$2&amp;D$1&amp;"C"&amp;$A13)-100*RTD("tos.rtd",,"OPEN_INT","."&amp;D$2&amp;D$1&amp;"P"&amp;$A13)*RTD("tos.rtd",,"LAST","."&amp;D$2&amp;D$1&amp;"P"&amp;$A13))/1000000),0),IF($A$2="PREMIUM",IFERROR(IF($X$1="ABS",(100*RTD("tos.rtd",,"VOLUME","."&amp;D$2&amp;D$1&amp;"C"&amp;$A13)*RTD("tos.rtd",,"LAST","."&amp;D$2&amp;D$1&amp;"C"&amp;$A13)+100*RTD("tos.rtd",,"VOLUME","."&amp;D$2&amp;D$1&amp;"P"&amp;$A13)*RTD("tos.rtd",,"LAST","."&amp;D$2&amp;D$1&amp;"P"&amp;$A13))/1000000,(100*RTD("tos.rtd",,"VOLUME","."&amp;D$2&amp;D$1&amp;"C"&amp;$A13)*RTD("tos.rtd",,"LAST","."&amp;D$2&amp;D$1&amp;"C"&amp;$A13)-100*RTD("tos.rtd",,"VOLUME","."&amp;D$2&amp;D$1&amp;"P"&amp;$A13)*RTD("tos.rtd",,"LAST","."&amp;D$2&amp;D$1&amp;"P"&amp;$A13))/1000000),0),IF($A$2="DEX",IFERROR(IF($X$1="ABS",(100*RTD("tos.rtd",,"OPEN_INT","."&amp;D$2&amp;D$1&amp;"C"&amp;$A13)*RTD("tos.rtd",,"DELTA","."&amp;D$2&amp;D$1&amp;"C"&amp;$A13)+100*RTD("tos.rtd",,"OPEN_INT","."&amp;D$2&amp;D$1&amp;"P"&amp;$A13)*RTD("tos.rtd",,"DELTA","."&amp;D$2&amp;D$1&amp;"P"&amp;$A13))/1000,(100*RTD("tos.rtd",,"OPEN_INT","."&amp;D$2&amp;D$1&amp;"C"&amp;$A13)*RTD("tos.rtd",,"DELTA","."&amp;D$2&amp;D$1&amp;"C"&amp;$A13)-100*RTD("tos.rtd",,"OPEN_INT","."&amp;D$2&amp;D$1&amp;"P"&amp;$A13)*RTD("tos.rtd",,"DELTA","."&amp;D$2&amp;D$1&amp;"P"&amp;$A13))/1000),0),IF($A$2="VEX",IFERROR(IF($X$1="ABS",($A$4*$A$4*RTD("tos.rtd",,"VOLUME","."&amp;D$2&amp;D$1&amp;"C"&amp;$A13)*RTD("tos.rtd",,"GAMMA","."&amp;D$2&amp;D$1&amp;"C"&amp;$A13)+$A$4*$A$4*RTD("tos.rtd",,"VOLUME","."&amp;D$2&amp;D$1&amp;"P"&amp;$A13)*RTD("tos.rtd",,"GAMMA","."&amp;D$2&amp;D$1&amp;"P"&amp;$A13))/1000000,($A$4*$A$4*RTD("tos.rtd",,"VOLUME","."&amp;D$2&amp;D$1&amp;"C"&amp;$A13)*RTD("tos.rtd",,"GAMMA","."&amp;D$2&amp;D$1&amp;"C"&amp;$A13)-$A$4*$A$4*RTD("tos.rtd",,"VOLUME","."&amp;D$2&amp;D$1&amp;"P"&amp;$A13)*RTD("tos.rtd",,"GAMMA","."&amp;D$2&amp;D$1&amp;"P"&amp;$A13))/1000000),0),IF($A$2="GEX",IFERROR(IF($X$1="ABS",($A$4*$A$4*RTD("tos.rtd",,"OPEN_INT","."&amp;D$2&amp;D$1&amp;"C"&amp;$A13)*RTD("tos.rtd",,"GAMMA","."&amp;D$2&amp;D$1&amp;"C"&amp;$A13)+$A$4*$A$4*RTD("tos.rtd",,"OPEN_INT","."&amp;D$2&amp;D$1&amp;"P"&amp;$A13)*RTD("tos.rtd",,"GAMMA","."&amp;D$2&amp;D$1&amp;"P"&amp;$A13))/1000000,($A$4*$A$4*RTD("tos.rtd",,"OPEN_INT","."&amp;D$2&amp;D$1&amp;"C"&amp;$A13)*RTD("tos.rtd",,"GAMMA","."&amp;D$2&amp;D$1&amp;"C"&amp;$A13)-$A$4*$A$4*RTD("tos.rtd",,"OPEN_INT","."&amp;D$2&amp;D$1&amp;"P"&amp;$A13)*RTD("tos.rtd",,"GAMMA","."&amp;D$2&amp;D$1&amp;"P"&amp;$A13))/1000000),0),IF($A$2="SKEW",IFERROR(VALUE(IF(RTD("tos.rtd",,"IMPL_VOL","."&amp;D$2&amp;D$1&amp;"P"&amp;$A13)="N/A",0,RTD("tos.rtd",,"IMPL_VOL","."&amp;D$2&amp;D$1&amp;"P"&amp;$A13))),0)-IFERROR(VALUE(IF(RTD("tos.rtd",,"IMPL_VOL","."&amp;D$2&amp;D$1&amp;"C"&amp;$A13)="N/A",0,RTD("tos.rtd",,"IMPL_VOL","."&amp;D$2&amp;D$1&amp;"C"&amp;$A13))),0),IF($A$2="MAXPAIN",IF($A$4&gt;$A13,($A$4-$A13)*IF(RTD("tos.rtd",,"OPEN_INT","."&amp;D$2&amp;D$1&amp;"C"&amp;$A13)="N/A",0,RTD("tos.rtd",,"OPEN_INT","."&amp;D$2&amp;D$1&amp;"C"&amp;$A13)),0)+IF($A$4&lt;$A13,($A$5-$A$4)*IF(RTD("tos.rtd",,"OPEN_INT","."&amp;D$2&amp;D$1&amp;"P"&amp;$A13)="N/A",0,RTD("tos.rtd",,"OPEN_INT","."&amp;D$2&amp;D$1&amp;"P"&amp;$A13)),0),IF($X$1="ABS",IF(RTD("tos.rtd",,$A$2,"."&amp;D$2&amp;D$1&amp;"C"&amp;$A13)="N/A",0,RTD("tos.rtd",,$A$2,"."&amp;D$2&amp;D$1&amp;"C"&amp;$A13))+IF(RTD("tos.rtd",,$A$2,"."&amp;D$2&amp;D$1&amp;"P"&amp;$A13)="N/A",0,RTD("tos.rtd",,$A$2,"."&amp;D$2&amp;D$1&amp;"P"&amp;$A13)),IF(RTD("tos.rtd",,$A$2,"."&amp;D$2&amp;D$1&amp;"C"&amp;$A13)="N/A",0,RTD("tos.rtd",,$A$2,"."&amp;D$2&amp;D$1&amp;"C"&amp;$A13))-IF(RTD("tos.rtd",,$A$2,"."&amp;D$2&amp;D$1&amp;"P"&amp;$A13)="N/A",0,RTD("tos.rtd",,$A$2,"."&amp;D$2&amp;D$1&amp;"P"&amp;$A13))))))))))</f>
        <v>0</v>
      </c>
      <c r="E13" s="12">
        <f ca="1">IF($A$2="PREMIUM_OI",IFERROR(IF($X$1="ABS",(100*RTD("tos.rtd",,"OPEN_INT","."&amp;E$2&amp;E$1&amp;"C"&amp;$A13)*RTD("tos.rtd",,"LAST","."&amp;E$2&amp;E$1&amp;"C"&amp;$A13)+100*RTD("tos.rtd",,"OPEN_INT","."&amp;E$2&amp;E$1&amp;"P"&amp;$A13)*RTD("tos.rtd",,"LAST","."&amp;E$2&amp;E$1&amp;"P"&amp;$A13))/1000000,(100*RTD("tos.rtd",,"OPEN_INT","."&amp;E$2&amp;E$1&amp;"C"&amp;$A13)*RTD("tos.rtd",,"LAST","."&amp;E$2&amp;E$1&amp;"C"&amp;$A13)-100*RTD("tos.rtd",,"OPEN_INT","."&amp;E$2&amp;E$1&amp;"P"&amp;$A13)*RTD("tos.rtd",,"LAST","."&amp;E$2&amp;E$1&amp;"P"&amp;$A13))/1000000),0),IF($A$2="PREMIUM",IFERROR(IF($X$1="ABS",(100*RTD("tos.rtd",,"VOLUME","."&amp;E$2&amp;E$1&amp;"C"&amp;$A13)*RTD("tos.rtd",,"LAST","."&amp;E$2&amp;E$1&amp;"C"&amp;$A13)+100*RTD("tos.rtd",,"VOLUME","."&amp;E$2&amp;E$1&amp;"P"&amp;$A13)*RTD("tos.rtd",,"LAST","."&amp;E$2&amp;E$1&amp;"P"&amp;$A13))/1000000,(100*RTD("tos.rtd",,"VOLUME","."&amp;E$2&amp;E$1&amp;"C"&amp;$A13)*RTD("tos.rtd",,"LAST","."&amp;E$2&amp;E$1&amp;"C"&amp;$A13)-100*RTD("tos.rtd",,"VOLUME","."&amp;E$2&amp;E$1&amp;"P"&amp;$A13)*RTD("tos.rtd",,"LAST","."&amp;E$2&amp;E$1&amp;"P"&amp;$A13))/1000000),0),IF($A$2="DEX",IFERROR(IF($X$1="ABS",(100*RTD("tos.rtd",,"OPEN_INT","."&amp;E$2&amp;E$1&amp;"C"&amp;$A13)*RTD("tos.rtd",,"DELTA","."&amp;E$2&amp;E$1&amp;"C"&amp;$A13)+100*RTD("tos.rtd",,"OPEN_INT","."&amp;E$2&amp;E$1&amp;"P"&amp;$A13)*RTD("tos.rtd",,"DELTA","."&amp;E$2&amp;E$1&amp;"P"&amp;$A13))/1000,(100*RTD("tos.rtd",,"OPEN_INT","."&amp;E$2&amp;E$1&amp;"C"&amp;$A13)*RTD("tos.rtd",,"DELTA","."&amp;E$2&amp;E$1&amp;"C"&amp;$A13)-100*RTD("tos.rtd",,"OPEN_INT","."&amp;E$2&amp;E$1&amp;"P"&amp;$A13)*RTD("tos.rtd",,"DELTA","."&amp;E$2&amp;E$1&amp;"P"&amp;$A13))/1000),0),IF($A$2="VEX",IFERROR(IF($X$1="ABS",($A$4*$A$4*RTD("tos.rtd",,"VOLUME","."&amp;E$2&amp;E$1&amp;"C"&amp;$A13)*RTD("tos.rtd",,"GAMMA","."&amp;E$2&amp;E$1&amp;"C"&amp;$A13)+$A$4*$A$4*RTD("tos.rtd",,"VOLUME","."&amp;E$2&amp;E$1&amp;"P"&amp;$A13)*RTD("tos.rtd",,"GAMMA","."&amp;E$2&amp;E$1&amp;"P"&amp;$A13))/1000000,($A$4*$A$4*RTD("tos.rtd",,"VOLUME","."&amp;E$2&amp;E$1&amp;"C"&amp;$A13)*RTD("tos.rtd",,"GAMMA","."&amp;E$2&amp;E$1&amp;"C"&amp;$A13)-$A$4*$A$4*RTD("tos.rtd",,"VOLUME","."&amp;E$2&amp;E$1&amp;"P"&amp;$A13)*RTD("tos.rtd",,"GAMMA","."&amp;E$2&amp;E$1&amp;"P"&amp;$A13))/1000000),0),IF($A$2="GEX",IFERROR(IF($X$1="ABS",($A$4*$A$4*RTD("tos.rtd",,"OPEN_INT","."&amp;E$2&amp;E$1&amp;"C"&amp;$A13)*RTD("tos.rtd",,"GAMMA","."&amp;E$2&amp;E$1&amp;"C"&amp;$A13)+$A$4*$A$4*RTD("tos.rtd",,"OPEN_INT","."&amp;E$2&amp;E$1&amp;"P"&amp;$A13)*RTD("tos.rtd",,"GAMMA","."&amp;E$2&amp;E$1&amp;"P"&amp;$A13))/1000000,($A$4*$A$4*RTD("tos.rtd",,"OPEN_INT","."&amp;E$2&amp;E$1&amp;"C"&amp;$A13)*RTD("tos.rtd",,"GAMMA","."&amp;E$2&amp;E$1&amp;"C"&amp;$A13)-$A$4*$A$4*RTD("tos.rtd",,"OPEN_INT","."&amp;E$2&amp;E$1&amp;"P"&amp;$A13)*RTD("tos.rtd",,"GAMMA","."&amp;E$2&amp;E$1&amp;"P"&amp;$A13))/1000000),0),IF($A$2="SKEW",IFERROR(VALUE(IF(RTD("tos.rtd",,"IMPL_VOL","."&amp;E$2&amp;E$1&amp;"P"&amp;$A13)="N/A",0,RTD("tos.rtd",,"IMPL_VOL","."&amp;E$2&amp;E$1&amp;"P"&amp;$A13))),0)-IFERROR(VALUE(IF(RTD("tos.rtd",,"IMPL_VOL","."&amp;E$2&amp;E$1&amp;"C"&amp;$A13)="N/A",0,RTD("tos.rtd",,"IMPL_VOL","."&amp;E$2&amp;E$1&amp;"C"&amp;$A13))),0),IF($A$2="MAXPAIN",IF($A$4&gt;$A13,($A$4-$A13)*IF(RTD("tos.rtd",,"OPEN_INT","."&amp;E$2&amp;E$1&amp;"C"&amp;$A13)="N/A",0,RTD("tos.rtd",,"OPEN_INT","."&amp;E$2&amp;E$1&amp;"C"&amp;$A13)),0)+IF($A$4&lt;$A13,($A$5-$A$4)*IF(RTD("tos.rtd",,"OPEN_INT","."&amp;E$2&amp;E$1&amp;"P"&amp;$A13)="N/A",0,RTD("tos.rtd",,"OPEN_INT","."&amp;E$2&amp;E$1&amp;"P"&amp;$A13)),0),IF($X$1="ABS",IF(RTD("tos.rtd",,$A$2,"."&amp;E$2&amp;E$1&amp;"C"&amp;$A13)="N/A",0,RTD("tos.rtd",,$A$2,"."&amp;E$2&amp;E$1&amp;"C"&amp;$A13))+IF(RTD("tos.rtd",,$A$2,"."&amp;E$2&amp;E$1&amp;"P"&amp;$A13)="N/A",0,RTD("tos.rtd",,$A$2,"."&amp;E$2&amp;E$1&amp;"P"&amp;$A13)),IF(RTD("tos.rtd",,$A$2,"."&amp;E$2&amp;E$1&amp;"C"&amp;$A13)="N/A",0,RTD("tos.rtd",,$A$2,"."&amp;E$2&amp;E$1&amp;"C"&amp;$A13))-IF(RTD("tos.rtd",,$A$2,"."&amp;E$2&amp;E$1&amp;"P"&amp;$A13)="N/A",0,RTD("tos.rtd",,$A$2,"."&amp;E$2&amp;E$1&amp;"P"&amp;$A13))))))))))</f>
        <v>0</v>
      </c>
      <c r="F13" s="12">
        <f ca="1">IF($A$2="PREMIUM_OI",IFERROR(IF($X$1="ABS",(100*RTD("tos.rtd",,"OPEN_INT","."&amp;F$2&amp;F$1&amp;"C"&amp;$A13)*RTD("tos.rtd",,"LAST","."&amp;F$2&amp;F$1&amp;"C"&amp;$A13)+100*RTD("tos.rtd",,"OPEN_INT","."&amp;F$2&amp;F$1&amp;"P"&amp;$A13)*RTD("tos.rtd",,"LAST","."&amp;F$2&amp;F$1&amp;"P"&amp;$A13))/1000000,(100*RTD("tos.rtd",,"OPEN_INT","."&amp;F$2&amp;F$1&amp;"C"&amp;$A13)*RTD("tos.rtd",,"LAST","."&amp;F$2&amp;F$1&amp;"C"&amp;$A13)-100*RTD("tos.rtd",,"OPEN_INT","."&amp;F$2&amp;F$1&amp;"P"&amp;$A13)*RTD("tos.rtd",,"LAST","."&amp;F$2&amp;F$1&amp;"P"&amp;$A13))/1000000),0),IF($A$2="PREMIUM",IFERROR(IF($X$1="ABS",(100*RTD("tos.rtd",,"VOLUME","."&amp;F$2&amp;F$1&amp;"C"&amp;$A13)*RTD("tos.rtd",,"LAST","."&amp;F$2&amp;F$1&amp;"C"&amp;$A13)+100*RTD("tos.rtd",,"VOLUME","."&amp;F$2&amp;F$1&amp;"P"&amp;$A13)*RTD("tos.rtd",,"LAST","."&amp;F$2&amp;F$1&amp;"P"&amp;$A13))/1000000,(100*RTD("tos.rtd",,"VOLUME","."&amp;F$2&amp;F$1&amp;"C"&amp;$A13)*RTD("tos.rtd",,"LAST","."&amp;F$2&amp;F$1&amp;"C"&amp;$A13)-100*RTD("tos.rtd",,"VOLUME","."&amp;F$2&amp;F$1&amp;"P"&amp;$A13)*RTD("tos.rtd",,"LAST","."&amp;F$2&amp;F$1&amp;"P"&amp;$A13))/1000000),0),IF($A$2="DEX",IFERROR(IF($X$1="ABS",(100*RTD("tos.rtd",,"OPEN_INT","."&amp;F$2&amp;F$1&amp;"C"&amp;$A13)*RTD("tos.rtd",,"DELTA","."&amp;F$2&amp;F$1&amp;"C"&amp;$A13)+100*RTD("tos.rtd",,"OPEN_INT","."&amp;F$2&amp;F$1&amp;"P"&amp;$A13)*RTD("tos.rtd",,"DELTA","."&amp;F$2&amp;F$1&amp;"P"&amp;$A13))/1000,(100*RTD("tos.rtd",,"OPEN_INT","."&amp;F$2&amp;F$1&amp;"C"&amp;$A13)*RTD("tos.rtd",,"DELTA","."&amp;F$2&amp;F$1&amp;"C"&amp;$A13)-100*RTD("tos.rtd",,"OPEN_INT","."&amp;F$2&amp;F$1&amp;"P"&amp;$A13)*RTD("tos.rtd",,"DELTA","."&amp;F$2&amp;F$1&amp;"P"&amp;$A13))/1000),0),IF($A$2="VEX",IFERROR(IF($X$1="ABS",($A$4*$A$4*RTD("tos.rtd",,"VOLUME","."&amp;F$2&amp;F$1&amp;"C"&amp;$A13)*RTD("tos.rtd",,"GAMMA","."&amp;F$2&amp;F$1&amp;"C"&amp;$A13)+$A$4*$A$4*RTD("tos.rtd",,"VOLUME","."&amp;F$2&amp;F$1&amp;"P"&amp;$A13)*RTD("tos.rtd",,"GAMMA","."&amp;F$2&amp;F$1&amp;"P"&amp;$A13))/1000000,($A$4*$A$4*RTD("tos.rtd",,"VOLUME","."&amp;F$2&amp;F$1&amp;"C"&amp;$A13)*RTD("tos.rtd",,"GAMMA","."&amp;F$2&amp;F$1&amp;"C"&amp;$A13)-$A$4*$A$4*RTD("tos.rtd",,"VOLUME","."&amp;F$2&amp;F$1&amp;"P"&amp;$A13)*RTD("tos.rtd",,"GAMMA","."&amp;F$2&amp;F$1&amp;"P"&amp;$A13))/1000000),0),IF($A$2="GEX",IFERROR(IF($X$1="ABS",($A$4*$A$4*RTD("tos.rtd",,"OPEN_INT","."&amp;F$2&amp;F$1&amp;"C"&amp;$A13)*RTD("tos.rtd",,"GAMMA","."&amp;F$2&amp;F$1&amp;"C"&amp;$A13)+$A$4*$A$4*RTD("tos.rtd",,"OPEN_INT","."&amp;F$2&amp;F$1&amp;"P"&amp;$A13)*RTD("tos.rtd",,"GAMMA","."&amp;F$2&amp;F$1&amp;"P"&amp;$A13))/1000000,($A$4*$A$4*RTD("tos.rtd",,"OPEN_INT","."&amp;F$2&amp;F$1&amp;"C"&amp;$A13)*RTD("tos.rtd",,"GAMMA","."&amp;F$2&amp;F$1&amp;"C"&amp;$A13)-$A$4*$A$4*RTD("tos.rtd",,"OPEN_INT","."&amp;F$2&amp;F$1&amp;"P"&amp;$A13)*RTD("tos.rtd",,"GAMMA","."&amp;F$2&amp;F$1&amp;"P"&amp;$A13))/1000000),0),IF($A$2="SKEW",IFERROR(VALUE(IF(RTD("tos.rtd",,"IMPL_VOL","."&amp;F$2&amp;F$1&amp;"P"&amp;$A13)="N/A",0,RTD("tos.rtd",,"IMPL_VOL","."&amp;F$2&amp;F$1&amp;"P"&amp;$A13))),0)-IFERROR(VALUE(IF(RTD("tos.rtd",,"IMPL_VOL","."&amp;F$2&amp;F$1&amp;"C"&amp;$A13)="N/A",0,RTD("tos.rtd",,"IMPL_VOL","."&amp;F$2&amp;F$1&amp;"C"&amp;$A13))),0),IF($A$2="MAXPAIN",IF($A$4&gt;$A13,($A$4-$A13)*IF(RTD("tos.rtd",,"OPEN_INT","."&amp;F$2&amp;F$1&amp;"C"&amp;$A13)="N/A",0,RTD("tos.rtd",,"OPEN_INT","."&amp;F$2&amp;F$1&amp;"C"&amp;$A13)),0)+IF($A$4&lt;$A13,($A$5-$A$4)*IF(RTD("tos.rtd",,"OPEN_INT","."&amp;F$2&amp;F$1&amp;"P"&amp;$A13)="N/A",0,RTD("tos.rtd",,"OPEN_INT","."&amp;F$2&amp;F$1&amp;"P"&amp;$A13)),0),IF($X$1="ABS",IF(RTD("tos.rtd",,$A$2,"."&amp;F$2&amp;F$1&amp;"C"&amp;$A13)="N/A",0,RTD("tos.rtd",,$A$2,"."&amp;F$2&amp;F$1&amp;"C"&amp;$A13))+IF(RTD("tos.rtd",,$A$2,"."&amp;F$2&amp;F$1&amp;"P"&amp;$A13)="N/A",0,RTD("tos.rtd",,$A$2,"."&amp;F$2&amp;F$1&amp;"P"&amp;$A13)),IF(RTD("tos.rtd",,$A$2,"."&amp;F$2&amp;F$1&amp;"C"&amp;$A13)="N/A",0,RTD("tos.rtd",,$A$2,"."&amp;F$2&amp;F$1&amp;"C"&amp;$A13))-IF(RTD("tos.rtd",,$A$2,"."&amp;F$2&amp;F$1&amp;"P"&amp;$A13)="N/A",0,RTD("tos.rtd",,$A$2,"."&amp;F$2&amp;F$1&amp;"P"&amp;$A13))))))))))</f>
        <v>0</v>
      </c>
      <c r="G13" s="57">
        <f ca="1">IF($A$2="PREMIUM_OI",IFERROR(IF($X$1="ABS",(100*RTD("tos.rtd",,"OPEN_INT","."&amp;G$2&amp;G$1&amp;"C"&amp;$A13)*RTD("tos.rtd",,"LAST","."&amp;G$2&amp;G$1&amp;"C"&amp;$A13)+100*RTD("tos.rtd",,"OPEN_INT","."&amp;G$2&amp;G$1&amp;"P"&amp;$A13)*RTD("tos.rtd",,"LAST","."&amp;G$2&amp;G$1&amp;"P"&amp;$A13))/1000000,(100*RTD("tos.rtd",,"OPEN_INT","."&amp;G$2&amp;G$1&amp;"C"&amp;$A13)*RTD("tos.rtd",,"LAST","."&amp;G$2&amp;G$1&amp;"C"&amp;$A13)-100*RTD("tos.rtd",,"OPEN_INT","."&amp;G$2&amp;G$1&amp;"P"&amp;$A13)*RTD("tos.rtd",,"LAST","."&amp;G$2&amp;G$1&amp;"P"&amp;$A13))/1000000),0),IF($A$2="PREMIUM",IFERROR(IF($X$1="ABS",(100*RTD("tos.rtd",,"VOLUME","."&amp;G$2&amp;G$1&amp;"C"&amp;$A13)*RTD("tos.rtd",,"LAST","."&amp;G$2&amp;G$1&amp;"C"&amp;$A13)+100*RTD("tos.rtd",,"VOLUME","."&amp;G$2&amp;G$1&amp;"P"&amp;$A13)*RTD("tos.rtd",,"LAST","."&amp;G$2&amp;G$1&amp;"P"&amp;$A13))/1000000,(100*RTD("tos.rtd",,"VOLUME","."&amp;G$2&amp;G$1&amp;"C"&amp;$A13)*RTD("tos.rtd",,"LAST","."&amp;G$2&amp;G$1&amp;"C"&amp;$A13)-100*RTD("tos.rtd",,"VOLUME","."&amp;G$2&amp;G$1&amp;"P"&amp;$A13)*RTD("tos.rtd",,"LAST","."&amp;G$2&amp;G$1&amp;"P"&amp;$A13))/1000000),0),IF($A$2="DEX",IFERROR(IF($X$1="ABS",(100*RTD("tos.rtd",,"OPEN_INT","."&amp;G$2&amp;G$1&amp;"C"&amp;$A13)*RTD("tos.rtd",,"DELTA","."&amp;G$2&amp;G$1&amp;"C"&amp;$A13)+100*RTD("tos.rtd",,"OPEN_INT","."&amp;G$2&amp;G$1&amp;"P"&amp;$A13)*RTD("tos.rtd",,"DELTA","."&amp;G$2&amp;G$1&amp;"P"&amp;$A13))/1000,(100*RTD("tos.rtd",,"OPEN_INT","."&amp;G$2&amp;G$1&amp;"C"&amp;$A13)*RTD("tos.rtd",,"DELTA","."&amp;G$2&amp;G$1&amp;"C"&amp;$A13)-100*RTD("tos.rtd",,"OPEN_INT","."&amp;G$2&amp;G$1&amp;"P"&amp;$A13)*RTD("tos.rtd",,"DELTA","."&amp;G$2&amp;G$1&amp;"P"&amp;$A13))/1000),0),IF($A$2="VEX",IFERROR(IF($X$1="ABS",($A$4*$A$4*RTD("tos.rtd",,"VOLUME","."&amp;G$2&amp;G$1&amp;"C"&amp;$A13)*RTD("tos.rtd",,"GAMMA","."&amp;G$2&amp;G$1&amp;"C"&amp;$A13)+$A$4*$A$4*RTD("tos.rtd",,"VOLUME","."&amp;G$2&amp;G$1&amp;"P"&amp;$A13)*RTD("tos.rtd",,"GAMMA","."&amp;G$2&amp;G$1&amp;"P"&amp;$A13))/1000000,($A$4*$A$4*RTD("tos.rtd",,"VOLUME","."&amp;G$2&amp;G$1&amp;"C"&amp;$A13)*RTD("tos.rtd",,"GAMMA","."&amp;G$2&amp;G$1&amp;"C"&amp;$A13)-$A$4*$A$4*RTD("tos.rtd",,"VOLUME","."&amp;G$2&amp;G$1&amp;"P"&amp;$A13)*RTD("tos.rtd",,"GAMMA","."&amp;G$2&amp;G$1&amp;"P"&amp;$A13))/1000000),0),IF($A$2="GEX",IFERROR(IF($X$1="ABS",($A$4*$A$4*RTD("tos.rtd",,"OPEN_INT","."&amp;G$2&amp;G$1&amp;"C"&amp;$A13)*RTD("tos.rtd",,"GAMMA","."&amp;G$2&amp;G$1&amp;"C"&amp;$A13)+$A$4*$A$4*RTD("tos.rtd",,"OPEN_INT","."&amp;G$2&amp;G$1&amp;"P"&amp;$A13)*RTD("tos.rtd",,"GAMMA","."&amp;G$2&amp;G$1&amp;"P"&amp;$A13))/1000000,($A$4*$A$4*RTD("tos.rtd",,"OPEN_INT","."&amp;G$2&amp;G$1&amp;"C"&amp;$A13)*RTD("tos.rtd",,"GAMMA","."&amp;G$2&amp;G$1&amp;"C"&amp;$A13)-$A$4*$A$4*RTD("tos.rtd",,"OPEN_INT","."&amp;G$2&amp;G$1&amp;"P"&amp;$A13)*RTD("tos.rtd",,"GAMMA","."&amp;G$2&amp;G$1&amp;"P"&amp;$A13))/1000000),0),IF($A$2="SKEW",IFERROR(VALUE(IF(RTD("tos.rtd",,"IMPL_VOL","."&amp;G$2&amp;G$1&amp;"P"&amp;$A13)="N/A",0,RTD("tos.rtd",,"IMPL_VOL","."&amp;G$2&amp;G$1&amp;"P"&amp;$A13))),0)-IFERROR(VALUE(IF(RTD("tos.rtd",,"IMPL_VOL","."&amp;G$2&amp;G$1&amp;"C"&amp;$A13)="N/A",0,RTD("tos.rtd",,"IMPL_VOL","."&amp;G$2&amp;G$1&amp;"C"&amp;$A13))),0),IF($A$2="MAXPAIN",IF($A$4&gt;$A13,($A$4-$A13)*IF(RTD("tos.rtd",,"OPEN_INT","."&amp;G$2&amp;G$1&amp;"C"&amp;$A13)="N/A",0,RTD("tos.rtd",,"OPEN_INT","."&amp;G$2&amp;G$1&amp;"C"&amp;$A13)),0)+IF($A$4&lt;$A13,($A$5-$A$4)*IF(RTD("tos.rtd",,"OPEN_INT","."&amp;G$2&amp;G$1&amp;"P"&amp;$A13)="N/A",0,RTD("tos.rtd",,"OPEN_INT","."&amp;G$2&amp;G$1&amp;"P"&amp;$A13)),0),IF($X$1="ABS",IF(RTD("tos.rtd",,$A$2,"."&amp;G$2&amp;G$1&amp;"C"&amp;$A13)="N/A",0,RTD("tos.rtd",,$A$2,"."&amp;G$2&amp;G$1&amp;"C"&amp;$A13))+IF(RTD("tos.rtd",,$A$2,"."&amp;G$2&amp;G$1&amp;"P"&amp;$A13)="N/A",0,RTD("tos.rtd",,$A$2,"."&amp;G$2&amp;G$1&amp;"P"&amp;$A13)),IF(RTD("tos.rtd",,$A$2,"."&amp;G$2&amp;G$1&amp;"C"&amp;$A13)="N/A",0,RTD("tos.rtd",,$A$2,"."&amp;G$2&amp;G$1&amp;"C"&amp;$A13))-IF(RTD("tos.rtd",,$A$2,"."&amp;G$2&amp;G$1&amp;"P"&amp;$A13)="N/A",0,RTD("tos.rtd",,$A$2,"."&amp;G$2&amp;G$1&amp;"P"&amp;$A13))))))))))</f>
        <v>0</v>
      </c>
      <c r="H13" s="14">
        <f ca="1">IF($A$2="PREMIUM_OI",IFERROR(IF($X$1="ABS",(100*RTD("tos.rtd",,"OPEN_INT","."&amp;H$2&amp;H$1&amp;"C"&amp;$A13)*RTD("tos.rtd",,"LAST","."&amp;H$2&amp;H$1&amp;"C"&amp;$A13)+100*RTD("tos.rtd",,"OPEN_INT","."&amp;H$2&amp;H$1&amp;"P"&amp;$A13)*RTD("tos.rtd",,"LAST","."&amp;H$2&amp;H$1&amp;"P"&amp;$A13))/1000000,(100*RTD("tos.rtd",,"OPEN_INT","."&amp;H$2&amp;H$1&amp;"C"&amp;$A13)*RTD("tos.rtd",,"LAST","."&amp;H$2&amp;H$1&amp;"C"&amp;$A13)-100*RTD("tos.rtd",,"OPEN_INT","."&amp;H$2&amp;H$1&amp;"P"&amp;$A13)*RTD("tos.rtd",,"LAST","."&amp;H$2&amp;H$1&amp;"P"&amp;$A13))/1000000),0),IF($A$2="PREMIUM",IFERROR(IF($X$1="ABS",(100*RTD("tos.rtd",,"VOLUME","."&amp;H$2&amp;H$1&amp;"C"&amp;$A13)*RTD("tos.rtd",,"LAST","."&amp;H$2&amp;H$1&amp;"C"&amp;$A13)+100*RTD("tos.rtd",,"VOLUME","."&amp;H$2&amp;H$1&amp;"P"&amp;$A13)*RTD("tos.rtd",,"LAST","."&amp;H$2&amp;H$1&amp;"P"&amp;$A13))/1000000,(100*RTD("tos.rtd",,"VOLUME","."&amp;H$2&amp;H$1&amp;"C"&amp;$A13)*RTD("tos.rtd",,"LAST","."&amp;H$2&amp;H$1&amp;"C"&amp;$A13)-100*RTD("tos.rtd",,"VOLUME","."&amp;H$2&amp;H$1&amp;"P"&amp;$A13)*RTD("tos.rtd",,"LAST","."&amp;H$2&amp;H$1&amp;"P"&amp;$A13))/1000000),0),IF($A$2="DEX",IFERROR(IF($X$1="ABS",(100*RTD("tos.rtd",,"OPEN_INT","."&amp;H$2&amp;H$1&amp;"C"&amp;$A13)*RTD("tos.rtd",,"DELTA","."&amp;H$2&amp;H$1&amp;"C"&amp;$A13)+100*RTD("tos.rtd",,"OPEN_INT","."&amp;H$2&amp;H$1&amp;"P"&amp;$A13)*RTD("tos.rtd",,"DELTA","."&amp;H$2&amp;H$1&amp;"P"&amp;$A13))/1000,(100*RTD("tos.rtd",,"OPEN_INT","."&amp;H$2&amp;H$1&amp;"C"&amp;$A13)*RTD("tos.rtd",,"DELTA","."&amp;H$2&amp;H$1&amp;"C"&amp;$A13)-100*RTD("tos.rtd",,"OPEN_INT","."&amp;H$2&amp;H$1&amp;"P"&amp;$A13)*RTD("tos.rtd",,"DELTA","."&amp;H$2&amp;H$1&amp;"P"&amp;$A13))/1000),0),IF($A$2="VEX",IFERROR(IF($X$1="ABS",($A$4*$A$4*RTD("tos.rtd",,"VOLUME","."&amp;H$2&amp;H$1&amp;"C"&amp;$A13)*RTD("tos.rtd",,"GAMMA","."&amp;H$2&amp;H$1&amp;"C"&amp;$A13)+$A$4*$A$4*RTD("tos.rtd",,"VOLUME","."&amp;H$2&amp;H$1&amp;"P"&amp;$A13)*RTD("tos.rtd",,"GAMMA","."&amp;H$2&amp;H$1&amp;"P"&amp;$A13))/1000000,($A$4*$A$4*RTD("tos.rtd",,"VOLUME","."&amp;H$2&amp;H$1&amp;"C"&amp;$A13)*RTD("tos.rtd",,"GAMMA","."&amp;H$2&amp;H$1&amp;"C"&amp;$A13)-$A$4*$A$4*RTD("tos.rtd",,"VOLUME","."&amp;H$2&amp;H$1&amp;"P"&amp;$A13)*RTD("tos.rtd",,"GAMMA","."&amp;H$2&amp;H$1&amp;"P"&amp;$A13))/1000000),0),IF($A$2="GEX",IFERROR(IF($X$1="ABS",($A$4*$A$4*RTD("tos.rtd",,"OPEN_INT","."&amp;H$2&amp;H$1&amp;"C"&amp;$A13)*RTD("tos.rtd",,"GAMMA","."&amp;H$2&amp;H$1&amp;"C"&amp;$A13)+$A$4*$A$4*RTD("tos.rtd",,"OPEN_INT","."&amp;H$2&amp;H$1&amp;"P"&amp;$A13)*RTD("tos.rtd",,"GAMMA","."&amp;H$2&amp;H$1&amp;"P"&amp;$A13))/1000000,($A$4*$A$4*RTD("tos.rtd",,"OPEN_INT","."&amp;H$2&amp;H$1&amp;"C"&amp;$A13)*RTD("tos.rtd",,"GAMMA","."&amp;H$2&amp;H$1&amp;"C"&amp;$A13)-$A$4*$A$4*RTD("tos.rtd",,"OPEN_INT","."&amp;H$2&amp;H$1&amp;"P"&amp;$A13)*RTD("tos.rtd",,"GAMMA","."&amp;H$2&amp;H$1&amp;"P"&amp;$A13))/1000000),0),IF($A$2="SKEW",IFERROR(VALUE(IF(RTD("tos.rtd",,"IMPL_VOL","."&amp;H$2&amp;H$1&amp;"P"&amp;$A13)="N/A",0,RTD("tos.rtd",,"IMPL_VOL","."&amp;H$2&amp;H$1&amp;"P"&amp;$A13))),0)-IFERROR(VALUE(IF(RTD("tos.rtd",,"IMPL_VOL","."&amp;H$2&amp;H$1&amp;"C"&amp;$A13)="N/A",0,RTD("tos.rtd",,"IMPL_VOL","."&amp;H$2&amp;H$1&amp;"C"&amp;$A13))),0),IF($A$2="MAXPAIN",IF($A$4&gt;$A13,($A$4-$A13)*IF(RTD("tos.rtd",,"OPEN_INT","."&amp;H$2&amp;H$1&amp;"C"&amp;$A13)="N/A",0,RTD("tos.rtd",,"OPEN_INT","."&amp;H$2&amp;H$1&amp;"C"&amp;$A13)),0)+IF($A$4&lt;$A13,($A$5-$A$4)*IF(RTD("tos.rtd",,"OPEN_INT","."&amp;H$2&amp;H$1&amp;"P"&amp;$A13)="N/A",0,RTD("tos.rtd",,"OPEN_INT","."&amp;H$2&amp;H$1&amp;"P"&amp;$A13)),0),IF($X$1="ABS",IF(RTD("tos.rtd",,$A$2,"."&amp;H$2&amp;H$1&amp;"C"&amp;$A13)="N/A",0,RTD("tos.rtd",,$A$2,"."&amp;H$2&amp;H$1&amp;"C"&amp;$A13))+IF(RTD("tos.rtd",,$A$2,"."&amp;H$2&amp;H$1&amp;"P"&amp;$A13)="N/A",0,RTD("tos.rtd",,$A$2,"."&amp;H$2&amp;H$1&amp;"P"&amp;$A13)),IF(RTD("tos.rtd",,$A$2,"."&amp;H$2&amp;H$1&amp;"C"&amp;$A13)="N/A",0,RTD("tos.rtd",,$A$2,"."&amp;H$2&amp;H$1&amp;"C"&amp;$A13))-IF(RTD("tos.rtd",,$A$2,"."&amp;H$2&amp;H$1&amp;"P"&amp;$A13)="N/A",0,RTD("tos.rtd",,$A$2,"."&amp;H$2&amp;H$1&amp;"P"&amp;$A13))))))))))</f>
        <v>0</v>
      </c>
      <c r="I13" s="12">
        <f ca="1">IF($A$2="PREMIUM_OI",IFERROR(IF($X$1="ABS",(100*RTD("tos.rtd",,"OPEN_INT","."&amp;I$2&amp;I$1&amp;"C"&amp;$A13)*RTD("tos.rtd",,"LAST","."&amp;I$2&amp;I$1&amp;"C"&amp;$A13)+100*RTD("tos.rtd",,"OPEN_INT","."&amp;I$2&amp;I$1&amp;"P"&amp;$A13)*RTD("tos.rtd",,"LAST","."&amp;I$2&amp;I$1&amp;"P"&amp;$A13))/1000000,(100*RTD("tos.rtd",,"OPEN_INT","."&amp;I$2&amp;I$1&amp;"C"&amp;$A13)*RTD("tos.rtd",,"LAST","."&amp;I$2&amp;I$1&amp;"C"&amp;$A13)-100*RTD("tos.rtd",,"OPEN_INT","."&amp;I$2&amp;I$1&amp;"P"&amp;$A13)*RTD("tos.rtd",,"LAST","."&amp;I$2&amp;I$1&amp;"P"&amp;$A13))/1000000),0),IF($A$2="PREMIUM",IFERROR(IF($X$1="ABS",(100*RTD("tos.rtd",,"VOLUME","."&amp;I$2&amp;I$1&amp;"C"&amp;$A13)*RTD("tos.rtd",,"LAST","."&amp;I$2&amp;I$1&amp;"C"&amp;$A13)+100*RTD("tos.rtd",,"VOLUME","."&amp;I$2&amp;I$1&amp;"P"&amp;$A13)*RTD("tos.rtd",,"LAST","."&amp;I$2&amp;I$1&amp;"P"&amp;$A13))/1000000,(100*RTD("tos.rtd",,"VOLUME","."&amp;I$2&amp;I$1&amp;"C"&amp;$A13)*RTD("tos.rtd",,"LAST","."&amp;I$2&amp;I$1&amp;"C"&amp;$A13)-100*RTD("tos.rtd",,"VOLUME","."&amp;I$2&amp;I$1&amp;"P"&amp;$A13)*RTD("tos.rtd",,"LAST","."&amp;I$2&amp;I$1&amp;"P"&amp;$A13))/1000000),0),IF($A$2="DEX",IFERROR(IF($X$1="ABS",(100*RTD("tos.rtd",,"OPEN_INT","."&amp;I$2&amp;I$1&amp;"C"&amp;$A13)*RTD("tos.rtd",,"DELTA","."&amp;I$2&amp;I$1&amp;"C"&amp;$A13)+100*RTD("tos.rtd",,"OPEN_INT","."&amp;I$2&amp;I$1&amp;"P"&amp;$A13)*RTD("tos.rtd",,"DELTA","."&amp;I$2&amp;I$1&amp;"P"&amp;$A13))/1000,(100*RTD("tos.rtd",,"OPEN_INT","."&amp;I$2&amp;I$1&amp;"C"&amp;$A13)*RTD("tos.rtd",,"DELTA","."&amp;I$2&amp;I$1&amp;"C"&amp;$A13)-100*RTD("tos.rtd",,"OPEN_INT","."&amp;I$2&amp;I$1&amp;"P"&amp;$A13)*RTD("tos.rtd",,"DELTA","."&amp;I$2&amp;I$1&amp;"P"&amp;$A13))/1000),0),IF($A$2="VEX",IFERROR(IF($X$1="ABS",($A$4*$A$4*RTD("tos.rtd",,"VOLUME","."&amp;I$2&amp;I$1&amp;"C"&amp;$A13)*RTD("tos.rtd",,"GAMMA","."&amp;I$2&amp;I$1&amp;"C"&amp;$A13)+$A$4*$A$4*RTD("tos.rtd",,"VOLUME","."&amp;I$2&amp;I$1&amp;"P"&amp;$A13)*RTD("tos.rtd",,"GAMMA","."&amp;I$2&amp;I$1&amp;"P"&amp;$A13))/1000000,($A$4*$A$4*RTD("tos.rtd",,"VOLUME","."&amp;I$2&amp;I$1&amp;"C"&amp;$A13)*RTD("tos.rtd",,"GAMMA","."&amp;I$2&amp;I$1&amp;"C"&amp;$A13)-$A$4*$A$4*RTD("tos.rtd",,"VOLUME","."&amp;I$2&amp;I$1&amp;"P"&amp;$A13)*RTD("tos.rtd",,"GAMMA","."&amp;I$2&amp;I$1&amp;"P"&amp;$A13))/1000000),0),IF($A$2="GEX",IFERROR(IF($X$1="ABS",($A$4*$A$4*RTD("tos.rtd",,"OPEN_INT","."&amp;I$2&amp;I$1&amp;"C"&amp;$A13)*RTD("tos.rtd",,"GAMMA","."&amp;I$2&amp;I$1&amp;"C"&amp;$A13)+$A$4*$A$4*RTD("tos.rtd",,"OPEN_INT","."&amp;I$2&amp;I$1&amp;"P"&amp;$A13)*RTD("tos.rtd",,"GAMMA","."&amp;I$2&amp;I$1&amp;"P"&amp;$A13))/1000000,($A$4*$A$4*RTD("tos.rtd",,"OPEN_INT","."&amp;I$2&amp;I$1&amp;"C"&amp;$A13)*RTD("tos.rtd",,"GAMMA","."&amp;I$2&amp;I$1&amp;"C"&amp;$A13)-$A$4*$A$4*RTD("tos.rtd",,"OPEN_INT","."&amp;I$2&amp;I$1&amp;"P"&amp;$A13)*RTD("tos.rtd",,"GAMMA","."&amp;I$2&amp;I$1&amp;"P"&amp;$A13))/1000000),0),IF($A$2="SKEW",IFERROR(VALUE(IF(RTD("tos.rtd",,"IMPL_VOL","."&amp;I$2&amp;I$1&amp;"P"&amp;$A13)="N/A",0,RTD("tos.rtd",,"IMPL_VOL","."&amp;I$2&amp;I$1&amp;"P"&amp;$A13))),0)-IFERROR(VALUE(IF(RTD("tos.rtd",,"IMPL_VOL","."&amp;I$2&amp;I$1&amp;"C"&amp;$A13)="N/A",0,RTD("tos.rtd",,"IMPL_VOL","."&amp;I$2&amp;I$1&amp;"C"&amp;$A13))),0),IF($A$2="MAXPAIN",IF($A$4&gt;$A13,($A$4-$A13)*IF(RTD("tos.rtd",,"OPEN_INT","."&amp;I$2&amp;I$1&amp;"C"&amp;$A13)="N/A",0,RTD("tos.rtd",,"OPEN_INT","."&amp;I$2&amp;I$1&amp;"C"&amp;$A13)),0)+IF($A$4&lt;$A13,($A$5-$A$4)*IF(RTD("tos.rtd",,"OPEN_INT","."&amp;I$2&amp;I$1&amp;"P"&amp;$A13)="N/A",0,RTD("tos.rtd",,"OPEN_INT","."&amp;I$2&amp;I$1&amp;"P"&amp;$A13)),0),IF($X$1="ABS",IF(RTD("tos.rtd",,$A$2,"."&amp;I$2&amp;I$1&amp;"C"&amp;$A13)="N/A",0,RTD("tos.rtd",,$A$2,"."&amp;I$2&amp;I$1&amp;"C"&amp;$A13))+IF(RTD("tos.rtd",,$A$2,"."&amp;I$2&amp;I$1&amp;"P"&amp;$A13)="N/A",0,RTD("tos.rtd",,$A$2,"."&amp;I$2&amp;I$1&amp;"P"&amp;$A13)),IF(RTD("tos.rtd",,$A$2,"."&amp;I$2&amp;I$1&amp;"C"&amp;$A13)="N/A",0,RTD("tos.rtd",,$A$2,"."&amp;I$2&amp;I$1&amp;"C"&amp;$A13))-IF(RTD("tos.rtd",,$A$2,"."&amp;I$2&amp;I$1&amp;"P"&amp;$A13)="N/A",0,RTD("tos.rtd",,$A$2,"."&amp;I$2&amp;I$1&amp;"P"&amp;$A13))))))))))</f>
        <v>0</v>
      </c>
      <c r="J13" s="12">
        <f ca="1">IF($A$2="PREMIUM_OI",IFERROR(IF($X$1="ABS",(100*RTD("tos.rtd",,"OPEN_INT","."&amp;J$2&amp;J$1&amp;"C"&amp;$A13)*RTD("tos.rtd",,"LAST","."&amp;J$2&amp;J$1&amp;"C"&amp;$A13)+100*RTD("tos.rtd",,"OPEN_INT","."&amp;J$2&amp;J$1&amp;"P"&amp;$A13)*RTD("tos.rtd",,"LAST","."&amp;J$2&amp;J$1&amp;"P"&amp;$A13))/1000000,(100*RTD("tos.rtd",,"OPEN_INT","."&amp;J$2&amp;J$1&amp;"C"&amp;$A13)*RTD("tos.rtd",,"LAST","."&amp;J$2&amp;J$1&amp;"C"&amp;$A13)-100*RTD("tos.rtd",,"OPEN_INT","."&amp;J$2&amp;J$1&amp;"P"&amp;$A13)*RTD("tos.rtd",,"LAST","."&amp;J$2&amp;J$1&amp;"P"&amp;$A13))/1000000),0),IF($A$2="PREMIUM",IFERROR(IF($X$1="ABS",(100*RTD("tos.rtd",,"VOLUME","."&amp;J$2&amp;J$1&amp;"C"&amp;$A13)*RTD("tos.rtd",,"LAST","."&amp;J$2&amp;J$1&amp;"C"&amp;$A13)+100*RTD("tos.rtd",,"VOLUME","."&amp;J$2&amp;J$1&amp;"P"&amp;$A13)*RTD("tos.rtd",,"LAST","."&amp;J$2&amp;J$1&amp;"P"&amp;$A13))/1000000,(100*RTD("tos.rtd",,"VOLUME","."&amp;J$2&amp;J$1&amp;"C"&amp;$A13)*RTD("tos.rtd",,"LAST","."&amp;J$2&amp;J$1&amp;"C"&amp;$A13)-100*RTD("tos.rtd",,"VOLUME","."&amp;J$2&amp;J$1&amp;"P"&amp;$A13)*RTD("tos.rtd",,"LAST","."&amp;J$2&amp;J$1&amp;"P"&amp;$A13))/1000000),0),IF($A$2="DEX",IFERROR(IF($X$1="ABS",(100*RTD("tos.rtd",,"OPEN_INT","."&amp;J$2&amp;J$1&amp;"C"&amp;$A13)*RTD("tos.rtd",,"DELTA","."&amp;J$2&amp;J$1&amp;"C"&amp;$A13)+100*RTD("tos.rtd",,"OPEN_INT","."&amp;J$2&amp;J$1&amp;"P"&amp;$A13)*RTD("tos.rtd",,"DELTA","."&amp;J$2&amp;J$1&amp;"P"&amp;$A13))/1000,(100*RTD("tos.rtd",,"OPEN_INT","."&amp;J$2&amp;J$1&amp;"C"&amp;$A13)*RTD("tos.rtd",,"DELTA","."&amp;J$2&amp;J$1&amp;"C"&amp;$A13)-100*RTD("tos.rtd",,"OPEN_INT","."&amp;J$2&amp;J$1&amp;"P"&amp;$A13)*RTD("tos.rtd",,"DELTA","."&amp;J$2&amp;J$1&amp;"P"&amp;$A13))/1000),0),IF($A$2="VEX",IFERROR(IF($X$1="ABS",($A$4*$A$4*RTD("tos.rtd",,"VOLUME","."&amp;J$2&amp;J$1&amp;"C"&amp;$A13)*RTD("tos.rtd",,"GAMMA","."&amp;J$2&amp;J$1&amp;"C"&amp;$A13)+$A$4*$A$4*RTD("tos.rtd",,"VOLUME","."&amp;J$2&amp;J$1&amp;"P"&amp;$A13)*RTD("tos.rtd",,"GAMMA","."&amp;J$2&amp;J$1&amp;"P"&amp;$A13))/1000000,($A$4*$A$4*RTD("tos.rtd",,"VOLUME","."&amp;J$2&amp;J$1&amp;"C"&amp;$A13)*RTD("tos.rtd",,"GAMMA","."&amp;J$2&amp;J$1&amp;"C"&amp;$A13)-$A$4*$A$4*RTD("tos.rtd",,"VOLUME","."&amp;J$2&amp;J$1&amp;"P"&amp;$A13)*RTD("tos.rtd",,"GAMMA","."&amp;J$2&amp;J$1&amp;"P"&amp;$A13))/1000000),0),IF($A$2="GEX",IFERROR(IF($X$1="ABS",($A$4*$A$4*RTD("tos.rtd",,"OPEN_INT","."&amp;J$2&amp;J$1&amp;"C"&amp;$A13)*RTD("tos.rtd",,"GAMMA","."&amp;J$2&amp;J$1&amp;"C"&amp;$A13)+$A$4*$A$4*RTD("tos.rtd",,"OPEN_INT","."&amp;J$2&amp;J$1&amp;"P"&amp;$A13)*RTD("tos.rtd",,"GAMMA","."&amp;J$2&amp;J$1&amp;"P"&amp;$A13))/1000000,($A$4*$A$4*RTD("tos.rtd",,"OPEN_INT","."&amp;J$2&amp;J$1&amp;"C"&amp;$A13)*RTD("tos.rtd",,"GAMMA","."&amp;J$2&amp;J$1&amp;"C"&amp;$A13)-$A$4*$A$4*RTD("tos.rtd",,"OPEN_INT","."&amp;J$2&amp;J$1&amp;"P"&amp;$A13)*RTD("tos.rtd",,"GAMMA","."&amp;J$2&amp;J$1&amp;"P"&amp;$A13))/1000000),0),IF($A$2="SKEW",IFERROR(VALUE(IF(RTD("tos.rtd",,"IMPL_VOL","."&amp;J$2&amp;J$1&amp;"P"&amp;$A13)="N/A",0,RTD("tos.rtd",,"IMPL_VOL","."&amp;J$2&amp;J$1&amp;"P"&amp;$A13))),0)-IFERROR(VALUE(IF(RTD("tos.rtd",,"IMPL_VOL","."&amp;J$2&amp;J$1&amp;"C"&amp;$A13)="N/A",0,RTD("tos.rtd",,"IMPL_VOL","."&amp;J$2&amp;J$1&amp;"C"&amp;$A13))),0),IF($A$2="MAXPAIN",IF($A$4&gt;$A13,($A$4-$A13)*IF(RTD("tos.rtd",,"OPEN_INT","."&amp;J$2&amp;J$1&amp;"C"&amp;$A13)="N/A",0,RTD("tos.rtd",,"OPEN_INT","."&amp;J$2&amp;J$1&amp;"C"&amp;$A13)),0)+IF($A$4&lt;$A13,($A$5-$A$4)*IF(RTD("tos.rtd",,"OPEN_INT","."&amp;J$2&amp;J$1&amp;"P"&amp;$A13)="N/A",0,RTD("tos.rtd",,"OPEN_INT","."&amp;J$2&amp;J$1&amp;"P"&amp;$A13)),0),IF($X$1="ABS",IF(RTD("tos.rtd",,$A$2,"."&amp;J$2&amp;J$1&amp;"C"&amp;$A13)="N/A",0,RTD("tos.rtd",,$A$2,"."&amp;J$2&amp;J$1&amp;"C"&amp;$A13))+IF(RTD("tos.rtd",,$A$2,"."&amp;J$2&amp;J$1&amp;"P"&amp;$A13)="N/A",0,RTD("tos.rtd",,$A$2,"."&amp;J$2&amp;J$1&amp;"P"&amp;$A13)),IF(RTD("tos.rtd",,$A$2,"."&amp;J$2&amp;J$1&amp;"C"&amp;$A13)="N/A",0,RTD("tos.rtd",,$A$2,"."&amp;J$2&amp;J$1&amp;"C"&amp;$A13))-IF(RTD("tos.rtd",,$A$2,"."&amp;J$2&amp;J$1&amp;"P"&amp;$A13)="N/A",0,RTD("tos.rtd",,$A$2,"."&amp;J$2&amp;J$1&amp;"P"&amp;$A13))))))))))</f>
        <v>0</v>
      </c>
      <c r="K13" s="12">
        <f ca="1">IF($A$2="PREMIUM_OI",IFERROR(IF($X$1="ABS",(100*RTD("tos.rtd",,"OPEN_INT","."&amp;K$2&amp;K$1&amp;"C"&amp;$A13)*RTD("tos.rtd",,"LAST","."&amp;K$2&amp;K$1&amp;"C"&amp;$A13)+100*RTD("tos.rtd",,"OPEN_INT","."&amp;K$2&amp;K$1&amp;"P"&amp;$A13)*RTD("tos.rtd",,"LAST","."&amp;K$2&amp;K$1&amp;"P"&amp;$A13))/1000000,(100*RTD("tos.rtd",,"OPEN_INT","."&amp;K$2&amp;K$1&amp;"C"&amp;$A13)*RTD("tos.rtd",,"LAST","."&amp;K$2&amp;K$1&amp;"C"&amp;$A13)-100*RTD("tos.rtd",,"OPEN_INT","."&amp;K$2&amp;K$1&amp;"P"&amp;$A13)*RTD("tos.rtd",,"LAST","."&amp;K$2&amp;K$1&amp;"P"&amp;$A13))/1000000),0),IF($A$2="PREMIUM",IFERROR(IF($X$1="ABS",(100*RTD("tos.rtd",,"VOLUME","."&amp;K$2&amp;K$1&amp;"C"&amp;$A13)*RTD("tos.rtd",,"LAST","."&amp;K$2&amp;K$1&amp;"C"&amp;$A13)+100*RTD("tos.rtd",,"VOLUME","."&amp;K$2&amp;K$1&amp;"P"&amp;$A13)*RTD("tos.rtd",,"LAST","."&amp;K$2&amp;K$1&amp;"P"&amp;$A13))/1000000,(100*RTD("tos.rtd",,"VOLUME","."&amp;K$2&amp;K$1&amp;"C"&amp;$A13)*RTD("tos.rtd",,"LAST","."&amp;K$2&amp;K$1&amp;"C"&amp;$A13)-100*RTD("tos.rtd",,"VOLUME","."&amp;K$2&amp;K$1&amp;"P"&amp;$A13)*RTD("tos.rtd",,"LAST","."&amp;K$2&amp;K$1&amp;"P"&amp;$A13))/1000000),0),IF($A$2="DEX",IFERROR(IF($X$1="ABS",(100*RTD("tos.rtd",,"OPEN_INT","."&amp;K$2&amp;K$1&amp;"C"&amp;$A13)*RTD("tos.rtd",,"DELTA","."&amp;K$2&amp;K$1&amp;"C"&amp;$A13)+100*RTD("tos.rtd",,"OPEN_INT","."&amp;K$2&amp;K$1&amp;"P"&amp;$A13)*RTD("tos.rtd",,"DELTA","."&amp;K$2&amp;K$1&amp;"P"&amp;$A13))/1000,(100*RTD("tos.rtd",,"OPEN_INT","."&amp;K$2&amp;K$1&amp;"C"&amp;$A13)*RTD("tos.rtd",,"DELTA","."&amp;K$2&amp;K$1&amp;"C"&amp;$A13)-100*RTD("tos.rtd",,"OPEN_INT","."&amp;K$2&amp;K$1&amp;"P"&amp;$A13)*RTD("tos.rtd",,"DELTA","."&amp;K$2&amp;K$1&amp;"P"&amp;$A13))/1000),0),IF($A$2="VEX",IFERROR(IF($X$1="ABS",($A$4*$A$4*RTD("tos.rtd",,"VOLUME","."&amp;K$2&amp;K$1&amp;"C"&amp;$A13)*RTD("tos.rtd",,"GAMMA","."&amp;K$2&amp;K$1&amp;"C"&amp;$A13)+$A$4*$A$4*RTD("tos.rtd",,"VOLUME","."&amp;K$2&amp;K$1&amp;"P"&amp;$A13)*RTD("tos.rtd",,"GAMMA","."&amp;K$2&amp;K$1&amp;"P"&amp;$A13))/1000000,($A$4*$A$4*RTD("tos.rtd",,"VOLUME","."&amp;K$2&amp;K$1&amp;"C"&amp;$A13)*RTD("tos.rtd",,"GAMMA","."&amp;K$2&amp;K$1&amp;"C"&amp;$A13)-$A$4*$A$4*RTD("tos.rtd",,"VOLUME","."&amp;K$2&amp;K$1&amp;"P"&amp;$A13)*RTD("tos.rtd",,"GAMMA","."&amp;K$2&amp;K$1&amp;"P"&amp;$A13))/1000000),0),IF($A$2="GEX",IFERROR(IF($X$1="ABS",($A$4*$A$4*RTD("tos.rtd",,"OPEN_INT","."&amp;K$2&amp;K$1&amp;"C"&amp;$A13)*RTD("tos.rtd",,"GAMMA","."&amp;K$2&amp;K$1&amp;"C"&amp;$A13)+$A$4*$A$4*RTD("tos.rtd",,"OPEN_INT","."&amp;K$2&amp;K$1&amp;"P"&amp;$A13)*RTD("tos.rtd",,"GAMMA","."&amp;K$2&amp;K$1&amp;"P"&amp;$A13))/1000000,($A$4*$A$4*RTD("tos.rtd",,"OPEN_INT","."&amp;K$2&amp;K$1&amp;"C"&amp;$A13)*RTD("tos.rtd",,"GAMMA","."&amp;K$2&amp;K$1&amp;"C"&amp;$A13)-$A$4*$A$4*RTD("tos.rtd",,"OPEN_INT","."&amp;K$2&amp;K$1&amp;"P"&amp;$A13)*RTD("tos.rtd",,"GAMMA","."&amp;K$2&amp;K$1&amp;"P"&amp;$A13))/1000000),0),IF($A$2="SKEW",IFERROR(VALUE(IF(RTD("tos.rtd",,"IMPL_VOL","."&amp;K$2&amp;K$1&amp;"P"&amp;$A13)="N/A",0,RTD("tos.rtd",,"IMPL_VOL","."&amp;K$2&amp;K$1&amp;"P"&amp;$A13))),0)-IFERROR(VALUE(IF(RTD("tos.rtd",,"IMPL_VOL","."&amp;K$2&amp;K$1&amp;"C"&amp;$A13)="N/A",0,RTD("tos.rtd",,"IMPL_VOL","."&amp;K$2&amp;K$1&amp;"C"&amp;$A13))),0),IF($A$2="MAXPAIN",IF($A$4&gt;$A13,($A$4-$A13)*IF(RTD("tos.rtd",,"OPEN_INT","."&amp;K$2&amp;K$1&amp;"C"&amp;$A13)="N/A",0,RTD("tos.rtd",,"OPEN_INT","."&amp;K$2&amp;K$1&amp;"C"&amp;$A13)),0)+IF($A$4&lt;$A13,($A$5-$A$4)*IF(RTD("tos.rtd",,"OPEN_INT","."&amp;K$2&amp;K$1&amp;"P"&amp;$A13)="N/A",0,RTD("tos.rtd",,"OPEN_INT","."&amp;K$2&amp;K$1&amp;"P"&amp;$A13)),0),IF($X$1="ABS",IF(RTD("tos.rtd",,$A$2,"."&amp;K$2&amp;K$1&amp;"C"&amp;$A13)="N/A",0,RTD("tos.rtd",,$A$2,"."&amp;K$2&amp;K$1&amp;"C"&amp;$A13))+IF(RTD("tos.rtd",,$A$2,"."&amp;K$2&amp;K$1&amp;"P"&amp;$A13)="N/A",0,RTD("tos.rtd",,$A$2,"."&amp;K$2&amp;K$1&amp;"P"&amp;$A13)),IF(RTD("tos.rtd",,$A$2,"."&amp;K$2&amp;K$1&amp;"C"&amp;$A13)="N/A",0,RTD("tos.rtd",,$A$2,"."&amp;K$2&amp;K$1&amp;"C"&amp;$A13))-IF(RTD("tos.rtd",,$A$2,"."&amp;K$2&amp;K$1&amp;"P"&amp;$A13)="N/A",0,RTD("tos.rtd",,$A$2,"."&amp;K$2&amp;K$1&amp;"P"&amp;$A13))))))))))</f>
        <v>0</v>
      </c>
      <c r="L13" s="54">
        <f ca="1">IF($A$2="PREMIUM_OI",IFERROR(IF($X$1="ABS",(100*RTD("tos.rtd",,"OPEN_INT","."&amp;L$2&amp;L$1&amp;"C"&amp;$A13)*RTD("tos.rtd",,"LAST","."&amp;L$2&amp;L$1&amp;"C"&amp;$A13)+100*RTD("tos.rtd",,"OPEN_INT","."&amp;L$2&amp;L$1&amp;"P"&amp;$A13)*RTD("tos.rtd",,"LAST","."&amp;L$2&amp;L$1&amp;"P"&amp;$A13))/1000000,(100*RTD("tos.rtd",,"OPEN_INT","."&amp;L$2&amp;L$1&amp;"C"&amp;$A13)*RTD("tos.rtd",,"LAST","."&amp;L$2&amp;L$1&amp;"C"&amp;$A13)-100*RTD("tos.rtd",,"OPEN_INT","."&amp;L$2&amp;L$1&amp;"P"&amp;$A13)*RTD("tos.rtd",,"LAST","."&amp;L$2&amp;L$1&amp;"P"&amp;$A13))/1000000),0),IF($A$2="PREMIUM",IFERROR(IF($X$1="ABS",(100*RTD("tos.rtd",,"VOLUME","."&amp;L$2&amp;L$1&amp;"C"&amp;$A13)*RTD("tos.rtd",,"LAST","."&amp;L$2&amp;L$1&amp;"C"&amp;$A13)+100*RTD("tos.rtd",,"VOLUME","."&amp;L$2&amp;L$1&amp;"P"&amp;$A13)*RTD("tos.rtd",,"LAST","."&amp;L$2&amp;L$1&amp;"P"&amp;$A13))/1000000,(100*RTD("tos.rtd",,"VOLUME","."&amp;L$2&amp;L$1&amp;"C"&amp;$A13)*RTD("tos.rtd",,"LAST","."&amp;L$2&amp;L$1&amp;"C"&amp;$A13)-100*RTD("tos.rtd",,"VOLUME","."&amp;L$2&amp;L$1&amp;"P"&amp;$A13)*RTD("tos.rtd",,"LAST","."&amp;L$2&amp;L$1&amp;"P"&amp;$A13))/1000000),0),IF($A$2="DEX",IFERROR(IF($X$1="ABS",(100*RTD("tos.rtd",,"OPEN_INT","."&amp;L$2&amp;L$1&amp;"C"&amp;$A13)*RTD("tos.rtd",,"DELTA","."&amp;L$2&amp;L$1&amp;"C"&amp;$A13)+100*RTD("tos.rtd",,"OPEN_INT","."&amp;L$2&amp;L$1&amp;"P"&amp;$A13)*RTD("tos.rtd",,"DELTA","."&amp;L$2&amp;L$1&amp;"P"&amp;$A13))/1000,(100*RTD("tos.rtd",,"OPEN_INT","."&amp;L$2&amp;L$1&amp;"C"&amp;$A13)*RTD("tos.rtd",,"DELTA","."&amp;L$2&amp;L$1&amp;"C"&amp;$A13)-100*RTD("tos.rtd",,"OPEN_INT","."&amp;L$2&amp;L$1&amp;"P"&amp;$A13)*RTD("tos.rtd",,"DELTA","."&amp;L$2&amp;L$1&amp;"P"&amp;$A13))/1000),0),IF($A$2="VEX",IFERROR(IF($X$1="ABS",($A$4*$A$4*RTD("tos.rtd",,"VOLUME","."&amp;L$2&amp;L$1&amp;"C"&amp;$A13)*RTD("tos.rtd",,"GAMMA","."&amp;L$2&amp;L$1&amp;"C"&amp;$A13)+$A$4*$A$4*RTD("tos.rtd",,"VOLUME","."&amp;L$2&amp;L$1&amp;"P"&amp;$A13)*RTD("tos.rtd",,"GAMMA","."&amp;L$2&amp;L$1&amp;"P"&amp;$A13))/1000000,($A$4*$A$4*RTD("tos.rtd",,"VOLUME","."&amp;L$2&amp;L$1&amp;"C"&amp;$A13)*RTD("tos.rtd",,"GAMMA","."&amp;L$2&amp;L$1&amp;"C"&amp;$A13)-$A$4*$A$4*RTD("tos.rtd",,"VOLUME","."&amp;L$2&amp;L$1&amp;"P"&amp;$A13)*RTD("tos.rtd",,"GAMMA","."&amp;L$2&amp;L$1&amp;"P"&amp;$A13))/1000000),0),IF($A$2="GEX",IFERROR(IF($X$1="ABS",($A$4*$A$4*RTD("tos.rtd",,"OPEN_INT","."&amp;L$2&amp;L$1&amp;"C"&amp;$A13)*RTD("tos.rtd",,"GAMMA","."&amp;L$2&amp;L$1&amp;"C"&amp;$A13)+$A$4*$A$4*RTD("tos.rtd",,"OPEN_INT","."&amp;L$2&amp;L$1&amp;"P"&amp;$A13)*RTD("tos.rtd",,"GAMMA","."&amp;L$2&amp;L$1&amp;"P"&amp;$A13))/1000000,($A$4*$A$4*RTD("tos.rtd",,"OPEN_INT","."&amp;L$2&amp;L$1&amp;"C"&amp;$A13)*RTD("tos.rtd",,"GAMMA","."&amp;L$2&amp;L$1&amp;"C"&amp;$A13)-$A$4*$A$4*RTD("tos.rtd",,"OPEN_INT","."&amp;L$2&amp;L$1&amp;"P"&amp;$A13)*RTD("tos.rtd",,"GAMMA","."&amp;L$2&amp;L$1&amp;"P"&amp;$A13))/1000000),0),IF($A$2="SKEW",IFERROR(VALUE(IF(RTD("tos.rtd",,"IMPL_VOL","."&amp;L$2&amp;L$1&amp;"P"&amp;$A13)="N/A",0,RTD("tos.rtd",,"IMPL_VOL","."&amp;L$2&amp;L$1&amp;"P"&amp;$A13))),0)-IFERROR(VALUE(IF(RTD("tos.rtd",,"IMPL_VOL","."&amp;L$2&amp;L$1&amp;"C"&amp;$A13)="N/A",0,RTD("tos.rtd",,"IMPL_VOL","."&amp;L$2&amp;L$1&amp;"C"&amp;$A13))),0),IF($A$2="MAXPAIN",IF($A$4&gt;$A13,($A$4-$A13)*IF(RTD("tos.rtd",,"OPEN_INT","."&amp;L$2&amp;L$1&amp;"C"&amp;$A13)="N/A",0,RTD("tos.rtd",,"OPEN_INT","."&amp;L$2&amp;L$1&amp;"C"&amp;$A13)),0)+IF($A$4&lt;$A13,($A$5-$A$4)*IF(RTD("tos.rtd",,"OPEN_INT","."&amp;L$2&amp;L$1&amp;"P"&amp;$A13)="N/A",0,RTD("tos.rtd",,"OPEN_INT","."&amp;L$2&amp;L$1&amp;"P"&amp;$A13)),0),IF($X$1="ABS",IF(RTD("tos.rtd",,$A$2,"."&amp;L$2&amp;L$1&amp;"C"&amp;$A13)="N/A",0,RTD("tos.rtd",,$A$2,"."&amp;L$2&amp;L$1&amp;"C"&amp;$A13))+IF(RTD("tos.rtd",,$A$2,"."&amp;L$2&amp;L$1&amp;"P"&amp;$A13)="N/A",0,RTD("tos.rtd",,$A$2,"."&amp;L$2&amp;L$1&amp;"P"&amp;$A13)),IF(RTD("tos.rtd",,$A$2,"."&amp;L$2&amp;L$1&amp;"C"&amp;$A13)="N/A",0,RTD("tos.rtd",,$A$2,"."&amp;L$2&amp;L$1&amp;"C"&amp;$A13))-IF(RTD("tos.rtd",,$A$2,"."&amp;L$2&amp;L$1&amp;"P"&amp;$A13)="N/A",0,RTD("tos.rtd",,$A$2,"."&amp;L$2&amp;L$1&amp;"P"&amp;$A13))))))))))</f>
        <v>0</v>
      </c>
      <c r="M13" s="12">
        <f ca="1">IF($A$2="PREMIUM_OI",IFERROR(IF($X$1="ABS",(100*RTD("tos.rtd",,"OPEN_INT","."&amp;M$2&amp;M$1&amp;"C"&amp;$A13)*RTD("tos.rtd",,"LAST","."&amp;M$2&amp;M$1&amp;"C"&amp;$A13)+100*RTD("tos.rtd",,"OPEN_INT","."&amp;M$2&amp;M$1&amp;"P"&amp;$A13)*RTD("tos.rtd",,"LAST","."&amp;M$2&amp;M$1&amp;"P"&amp;$A13))/1000000,(100*RTD("tos.rtd",,"OPEN_INT","."&amp;M$2&amp;M$1&amp;"C"&amp;$A13)*RTD("tos.rtd",,"LAST","."&amp;M$2&amp;M$1&amp;"C"&amp;$A13)-100*RTD("tos.rtd",,"OPEN_INT","."&amp;M$2&amp;M$1&amp;"P"&amp;$A13)*RTD("tos.rtd",,"LAST","."&amp;M$2&amp;M$1&amp;"P"&amp;$A13))/1000000),0),IF($A$2="PREMIUM",IFERROR(IF($X$1="ABS",(100*RTD("tos.rtd",,"VOLUME","."&amp;M$2&amp;M$1&amp;"C"&amp;$A13)*RTD("tos.rtd",,"LAST","."&amp;M$2&amp;M$1&amp;"C"&amp;$A13)+100*RTD("tos.rtd",,"VOLUME","."&amp;M$2&amp;M$1&amp;"P"&amp;$A13)*RTD("tos.rtd",,"LAST","."&amp;M$2&amp;M$1&amp;"P"&amp;$A13))/1000000,(100*RTD("tos.rtd",,"VOLUME","."&amp;M$2&amp;M$1&amp;"C"&amp;$A13)*RTD("tos.rtd",,"LAST","."&amp;M$2&amp;M$1&amp;"C"&amp;$A13)-100*RTD("tos.rtd",,"VOLUME","."&amp;M$2&amp;M$1&amp;"P"&amp;$A13)*RTD("tos.rtd",,"LAST","."&amp;M$2&amp;M$1&amp;"P"&amp;$A13))/1000000),0),IF($A$2="DEX",IFERROR(IF($X$1="ABS",(100*RTD("tos.rtd",,"OPEN_INT","."&amp;M$2&amp;M$1&amp;"C"&amp;$A13)*RTD("tos.rtd",,"DELTA","."&amp;M$2&amp;M$1&amp;"C"&amp;$A13)+100*RTD("tos.rtd",,"OPEN_INT","."&amp;M$2&amp;M$1&amp;"P"&amp;$A13)*RTD("tos.rtd",,"DELTA","."&amp;M$2&amp;M$1&amp;"P"&amp;$A13))/1000,(100*RTD("tos.rtd",,"OPEN_INT","."&amp;M$2&amp;M$1&amp;"C"&amp;$A13)*RTD("tos.rtd",,"DELTA","."&amp;M$2&amp;M$1&amp;"C"&amp;$A13)-100*RTD("tos.rtd",,"OPEN_INT","."&amp;M$2&amp;M$1&amp;"P"&amp;$A13)*RTD("tos.rtd",,"DELTA","."&amp;M$2&amp;M$1&amp;"P"&amp;$A13))/1000),0),IF($A$2="VEX",IFERROR(IF($X$1="ABS",($A$4*$A$4*RTD("tos.rtd",,"VOLUME","."&amp;M$2&amp;M$1&amp;"C"&amp;$A13)*RTD("tos.rtd",,"GAMMA","."&amp;M$2&amp;M$1&amp;"C"&amp;$A13)+$A$4*$A$4*RTD("tos.rtd",,"VOLUME","."&amp;M$2&amp;M$1&amp;"P"&amp;$A13)*RTD("tos.rtd",,"GAMMA","."&amp;M$2&amp;M$1&amp;"P"&amp;$A13))/1000000,($A$4*$A$4*RTD("tos.rtd",,"VOLUME","."&amp;M$2&amp;M$1&amp;"C"&amp;$A13)*RTD("tos.rtd",,"GAMMA","."&amp;M$2&amp;M$1&amp;"C"&amp;$A13)-$A$4*$A$4*RTD("tos.rtd",,"VOLUME","."&amp;M$2&amp;M$1&amp;"P"&amp;$A13)*RTD("tos.rtd",,"GAMMA","."&amp;M$2&amp;M$1&amp;"P"&amp;$A13))/1000000),0),IF($A$2="GEX",IFERROR(IF($X$1="ABS",($A$4*$A$4*RTD("tos.rtd",,"OPEN_INT","."&amp;M$2&amp;M$1&amp;"C"&amp;$A13)*RTD("tos.rtd",,"GAMMA","."&amp;M$2&amp;M$1&amp;"C"&amp;$A13)+$A$4*$A$4*RTD("tos.rtd",,"OPEN_INT","."&amp;M$2&amp;M$1&amp;"P"&amp;$A13)*RTD("tos.rtd",,"GAMMA","."&amp;M$2&amp;M$1&amp;"P"&amp;$A13))/1000000,($A$4*$A$4*RTD("tos.rtd",,"OPEN_INT","."&amp;M$2&amp;M$1&amp;"C"&amp;$A13)*RTD("tos.rtd",,"GAMMA","."&amp;M$2&amp;M$1&amp;"C"&amp;$A13)-$A$4*$A$4*RTD("tos.rtd",,"OPEN_INT","."&amp;M$2&amp;M$1&amp;"P"&amp;$A13)*RTD("tos.rtd",,"GAMMA","."&amp;M$2&amp;M$1&amp;"P"&amp;$A13))/1000000),0),IF($A$2="SKEW",IFERROR(VALUE(IF(RTD("tos.rtd",,"IMPL_VOL","."&amp;M$2&amp;M$1&amp;"P"&amp;$A13)="N/A",0,RTD("tos.rtd",,"IMPL_VOL","."&amp;M$2&amp;M$1&amp;"P"&amp;$A13))),0)-IFERROR(VALUE(IF(RTD("tos.rtd",,"IMPL_VOL","."&amp;M$2&amp;M$1&amp;"C"&amp;$A13)="N/A",0,RTD("tos.rtd",,"IMPL_VOL","."&amp;M$2&amp;M$1&amp;"C"&amp;$A13))),0),IF($A$2="MAXPAIN",IF($A$4&gt;$A13,($A$4-$A13)*IF(RTD("tos.rtd",,"OPEN_INT","."&amp;M$2&amp;M$1&amp;"C"&amp;$A13)="N/A",0,RTD("tos.rtd",,"OPEN_INT","."&amp;M$2&amp;M$1&amp;"C"&amp;$A13)),0)+IF($A$4&lt;$A13,($A$5-$A$4)*IF(RTD("tos.rtd",,"OPEN_INT","."&amp;M$2&amp;M$1&amp;"P"&amp;$A13)="N/A",0,RTD("tos.rtd",,"OPEN_INT","."&amp;M$2&amp;M$1&amp;"P"&amp;$A13)),0),IF($X$1="ABS",IF(RTD("tos.rtd",,$A$2,"."&amp;M$2&amp;M$1&amp;"C"&amp;$A13)="N/A",0,RTD("tos.rtd",,$A$2,"."&amp;M$2&amp;M$1&amp;"C"&amp;$A13))+IF(RTD("tos.rtd",,$A$2,"."&amp;M$2&amp;M$1&amp;"P"&amp;$A13)="N/A",0,RTD("tos.rtd",,$A$2,"."&amp;M$2&amp;M$1&amp;"P"&amp;$A13)),IF(RTD("tos.rtd",,$A$2,"."&amp;M$2&amp;M$1&amp;"C"&amp;$A13)="N/A",0,RTD("tos.rtd",,$A$2,"."&amp;M$2&amp;M$1&amp;"C"&amp;$A13))-IF(RTD("tos.rtd",,$A$2,"."&amp;M$2&amp;M$1&amp;"P"&amp;$A13)="N/A",0,RTD("tos.rtd",,$A$2,"."&amp;M$2&amp;M$1&amp;"P"&amp;$A13))))))))))</f>
        <v>0</v>
      </c>
      <c r="N13" s="12">
        <f ca="1">IF($A$2="PREMIUM_OI",IFERROR(IF($X$1="ABS",(100*RTD("tos.rtd",,"OPEN_INT","."&amp;N$2&amp;N$1&amp;"C"&amp;$A13)*RTD("tos.rtd",,"LAST","."&amp;N$2&amp;N$1&amp;"C"&amp;$A13)+100*RTD("tos.rtd",,"OPEN_INT","."&amp;N$2&amp;N$1&amp;"P"&amp;$A13)*RTD("tos.rtd",,"LAST","."&amp;N$2&amp;N$1&amp;"P"&amp;$A13))/1000000,(100*RTD("tos.rtd",,"OPEN_INT","."&amp;N$2&amp;N$1&amp;"C"&amp;$A13)*RTD("tos.rtd",,"LAST","."&amp;N$2&amp;N$1&amp;"C"&amp;$A13)-100*RTD("tos.rtd",,"OPEN_INT","."&amp;N$2&amp;N$1&amp;"P"&amp;$A13)*RTD("tos.rtd",,"LAST","."&amp;N$2&amp;N$1&amp;"P"&amp;$A13))/1000000),0),IF($A$2="PREMIUM",IFERROR(IF($X$1="ABS",(100*RTD("tos.rtd",,"VOLUME","."&amp;N$2&amp;N$1&amp;"C"&amp;$A13)*RTD("tos.rtd",,"LAST","."&amp;N$2&amp;N$1&amp;"C"&amp;$A13)+100*RTD("tos.rtd",,"VOLUME","."&amp;N$2&amp;N$1&amp;"P"&amp;$A13)*RTD("tos.rtd",,"LAST","."&amp;N$2&amp;N$1&amp;"P"&amp;$A13))/1000000,(100*RTD("tos.rtd",,"VOLUME","."&amp;N$2&amp;N$1&amp;"C"&amp;$A13)*RTD("tos.rtd",,"LAST","."&amp;N$2&amp;N$1&amp;"C"&amp;$A13)-100*RTD("tos.rtd",,"VOLUME","."&amp;N$2&amp;N$1&amp;"P"&amp;$A13)*RTD("tos.rtd",,"LAST","."&amp;N$2&amp;N$1&amp;"P"&amp;$A13))/1000000),0),IF($A$2="DEX",IFERROR(IF($X$1="ABS",(100*RTD("tos.rtd",,"OPEN_INT","."&amp;N$2&amp;N$1&amp;"C"&amp;$A13)*RTD("tos.rtd",,"DELTA","."&amp;N$2&amp;N$1&amp;"C"&amp;$A13)+100*RTD("tos.rtd",,"OPEN_INT","."&amp;N$2&amp;N$1&amp;"P"&amp;$A13)*RTD("tos.rtd",,"DELTA","."&amp;N$2&amp;N$1&amp;"P"&amp;$A13))/1000,(100*RTD("tos.rtd",,"OPEN_INT","."&amp;N$2&amp;N$1&amp;"C"&amp;$A13)*RTD("tos.rtd",,"DELTA","."&amp;N$2&amp;N$1&amp;"C"&amp;$A13)-100*RTD("tos.rtd",,"OPEN_INT","."&amp;N$2&amp;N$1&amp;"P"&amp;$A13)*RTD("tos.rtd",,"DELTA","."&amp;N$2&amp;N$1&amp;"P"&amp;$A13))/1000),0),IF($A$2="VEX",IFERROR(IF($X$1="ABS",($A$4*$A$4*RTD("tos.rtd",,"VOLUME","."&amp;N$2&amp;N$1&amp;"C"&amp;$A13)*RTD("tos.rtd",,"GAMMA","."&amp;N$2&amp;N$1&amp;"C"&amp;$A13)+$A$4*$A$4*RTD("tos.rtd",,"VOLUME","."&amp;N$2&amp;N$1&amp;"P"&amp;$A13)*RTD("tos.rtd",,"GAMMA","."&amp;N$2&amp;N$1&amp;"P"&amp;$A13))/1000000,($A$4*$A$4*RTD("tos.rtd",,"VOLUME","."&amp;N$2&amp;N$1&amp;"C"&amp;$A13)*RTD("tos.rtd",,"GAMMA","."&amp;N$2&amp;N$1&amp;"C"&amp;$A13)-$A$4*$A$4*RTD("tos.rtd",,"VOLUME","."&amp;N$2&amp;N$1&amp;"P"&amp;$A13)*RTD("tos.rtd",,"GAMMA","."&amp;N$2&amp;N$1&amp;"P"&amp;$A13))/1000000),0),IF($A$2="GEX",IFERROR(IF($X$1="ABS",($A$4*$A$4*RTD("tos.rtd",,"OPEN_INT","."&amp;N$2&amp;N$1&amp;"C"&amp;$A13)*RTD("tos.rtd",,"GAMMA","."&amp;N$2&amp;N$1&amp;"C"&amp;$A13)+$A$4*$A$4*RTD("tos.rtd",,"OPEN_INT","."&amp;N$2&amp;N$1&amp;"P"&amp;$A13)*RTD("tos.rtd",,"GAMMA","."&amp;N$2&amp;N$1&amp;"P"&amp;$A13))/1000000,($A$4*$A$4*RTD("tos.rtd",,"OPEN_INT","."&amp;N$2&amp;N$1&amp;"C"&amp;$A13)*RTD("tos.rtd",,"GAMMA","."&amp;N$2&amp;N$1&amp;"C"&amp;$A13)-$A$4*$A$4*RTD("tos.rtd",,"OPEN_INT","."&amp;N$2&amp;N$1&amp;"P"&amp;$A13)*RTD("tos.rtd",,"GAMMA","."&amp;N$2&amp;N$1&amp;"P"&amp;$A13))/1000000),0),IF($A$2="SKEW",IFERROR(VALUE(IF(RTD("tos.rtd",,"IMPL_VOL","."&amp;N$2&amp;N$1&amp;"P"&amp;$A13)="N/A",0,RTD("tos.rtd",,"IMPL_VOL","."&amp;N$2&amp;N$1&amp;"P"&amp;$A13))),0)-IFERROR(VALUE(IF(RTD("tos.rtd",,"IMPL_VOL","."&amp;N$2&amp;N$1&amp;"C"&amp;$A13)="N/A",0,RTD("tos.rtd",,"IMPL_VOL","."&amp;N$2&amp;N$1&amp;"C"&amp;$A13))),0),IF($A$2="MAXPAIN",IF($A$4&gt;$A13,($A$4-$A13)*IF(RTD("tos.rtd",,"OPEN_INT","."&amp;N$2&amp;N$1&amp;"C"&amp;$A13)="N/A",0,RTD("tos.rtd",,"OPEN_INT","."&amp;N$2&amp;N$1&amp;"C"&amp;$A13)),0)+IF($A$4&lt;$A13,($A$5-$A$4)*IF(RTD("tos.rtd",,"OPEN_INT","."&amp;N$2&amp;N$1&amp;"P"&amp;$A13)="N/A",0,RTD("tos.rtd",,"OPEN_INT","."&amp;N$2&amp;N$1&amp;"P"&amp;$A13)),0),IF($X$1="ABS",IF(RTD("tos.rtd",,$A$2,"."&amp;N$2&amp;N$1&amp;"C"&amp;$A13)="N/A",0,RTD("tos.rtd",,$A$2,"."&amp;N$2&amp;N$1&amp;"C"&amp;$A13))+IF(RTD("tos.rtd",,$A$2,"."&amp;N$2&amp;N$1&amp;"P"&amp;$A13)="N/A",0,RTD("tos.rtd",,$A$2,"."&amp;N$2&amp;N$1&amp;"P"&amp;$A13)),IF(RTD("tos.rtd",,$A$2,"."&amp;N$2&amp;N$1&amp;"C"&amp;$A13)="N/A",0,RTD("tos.rtd",,$A$2,"."&amp;N$2&amp;N$1&amp;"C"&amp;$A13))-IF(RTD("tos.rtd",,$A$2,"."&amp;N$2&amp;N$1&amp;"P"&amp;$A13)="N/A",0,RTD("tos.rtd",,$A$2,"."&amp;N$2&amp;N$1&amp;"P"&amp;$A13))))))))))</f>
        <v>0</v>
      </c>
      <c r="O13" s="12">
        <f ca="1">IF($A$2="PREMIUM_OI",IFERROR(IF($X$1="ABS",(100*RTD("tos.rtd",,"OPEN_INT","."&amp;O$2&amp;O$1&amp;"C"&amp;$A13)*RTD("tos.rtd",,"LAST","."&amp;O$2&amp;O$1&amp;"C"&amp;$A13)+100*RTD("tos.rtd",,"OPEN_INT","."&amp;O$2&amp;O$1&amp;"P"&amp;$A13)*RTD("tos.rtd",,"LAST","."&amp;O$2&amp;O$1&amp;"P"&amp;$A13))/1000000,(100*RTD("tos.rtd",,"OPEN_INT","."&amp;O$2&amp;O$1&amp;"C"&amp;$A13)*RTD("tos.rtd",,"LAST","."&amp;O$2&amp;O$1&amp;"C"&amp;$A13)-100*RTD("tos.rtd",,"OPEN_INT","."&amp;O$2&amp;O$1&amp;"P"&amp;$A13)*RTD("tos.rtd",,"LAST","."&amp;O$2&amp;O$1&amp;"P"&amp;$A13))/1000000),0),IF($A$2="PREMIUM",IFERROR(IF($X$1="ABS",(100*RTD("tos.rtd",,"VOLUME","."&amp;O$2&amp;O$1&amp;"C"&amp;$A13)*RTD("tos.rtd",,"LAST","."&amp;O$2&amp;O$1&amp;"C"&amp;$A13)+100*RTD("tos.rtd",,"VOLUME","."&amp;O$2&amp;O$1&amp;"P"&amp;$A13)*RTD("tos.rtd",,"LAST","."&amp;O$2&amp;O$1&amp;"P"&amp;$A13))/1000000,(100*RTD("tos.rtd",,"VOLUME","."&amp;O$2&amp;O$1&amp;"C"&amp;$A13)*RTD("tos.rtd",,"LAST","."&amp;O$2&amp;O$1&amp;"C"&amp;$A13)-100*RTD("tos.rtd",,"VOLUME","."&amp;O$2&amp;O$1&amp;"P"&amp;$A13)*RTD("tos.rtd",,"LAST","."&amp;O$2&amp;O$1&amp;"P"&amp;$A13))/1000000),0),IF($A$2="DEX",IFERROR(IF($X$1="ABS",(100*RTD("tos.rtd",,"OPEN_INT","."&amp;O$2&amp;O$1&amp;"C"&amp;$A13)*RTD("tos.rtd",,"DELTA","."&amp;O$2&amp;O$1&amp;"C"&amp;$A13)+100*RTD("tos.rtd",,"OPEN_INT","."&amp;O$2&amp;O$1&amp;"P"&amp;$A13)*RTD("tos.rtd",,"DELTA","."&amp;O$2&amp;O$1&amp;"P"&amp;$A13))/1000,(100*RTD("tos.rtd",,"OPEN_INT","."&amp;O$2&amp;O$1&amp;"C"&amp;$A13)*RTD("tos.rtd",,"DELTA","."&amp;O$2&amp;O$1&amp;"C"&amp;$A13)-100*RTD("tos.rtd",,"OPEN_INT","."&amp;O$2&amp;O$1&amp;"P"&amp;$A13)*RTD("tos.rtd",,"DELTA","."&amp;O$2&amp;O$1&amp;"P"&amp;$A13))/1000),0),IF($A$2="VEX",IFERROR(IF($X$1="ABS",($A$4*$A$4*RTD("tos.rtd",,"VOLUME","."&amp;O$2&amp;O$1&amp;"C"&amp;$A13)*RTD("tos.rtd",,"GAMMA","."&amp;O$2&amp;O$1&amp;"C"&amp;$A13)+$A$4*$A$4*RTD("tos.rtd",,"VOLUME","."&amp;O$2&amp;O$1&amp;"P"&amp;$A13)*RTD("tos.rtd",,"GAMMA","."&amp;O$2&amp;O$1&amp;"P"&amp;$A13))/1000000,($A$4*$A$4*RTD("tos.rtd",,"VOLUME","."&amp;O$2&amp;O$1&amp;"C"&amp;$A13)*RTD("tos.rtd",,"GAMMA","."&amp;O$2&amp;O$1&amp;"C"&amp;$A13)-$A$4*$A$4*RTD("tos.rtd",,"VOLUME","."&amp;O$2&amp;O$1&amp;"P"&amp;$A13)*RTD("tos.rtd",,"GAMMA","."&amp;O$2&amp;O$1&amp;"P"&amp;$A13))/1000000),0),IF($A$2="GEX",IFERROR(IF($X$1="ABS",($A$4*$A$4*RTD("tos.rtd",,"OPEN_INT","."&amp;O$2&amp;O$1&amp;"C"&amp;$A13)*RTD("tos.rtd",,"GAMMA","."&amp;O$2&amp;O$1&amp;"C"&amp;$A13)+$A$4*$A$4*RTD("tos.rtd",,"OPEN_INT","."&amp;O$2&amp;O$1&amp;"P"&amp;$A13)*RTD("tos.rtd",,"GAMMA","."&amp;O$2&amp;O$1&amp;"P"&amp;$A13))/1000000,($A$4*$A$4*RTD("tos.rtd",,"OPEN_INT","."&amp;O$2&amp;O$1&amp;"C"&amp;$A13)*RTD("tos.rtd",,"GAMMA","."&amp;O$2&amp;O$1&amp;"C"&amp;$A13)-$A$4*$A$4*RTD("tos.rtd",,"OPEN_INT","."&amp;O$2&amp;O$1&amp;"P"&amp;$A13)*RTD("tos.rtd",,"GAMMA","."&amp;O$2&amp;O$1&amp;"P"&amp;$A13))/1000000),0),IF($A$2="SKEW",IFERROR(VALUE(IF(RTD("tos.rtd",,"IMPL_VOL","."&amp;O$2&amp;O$1&amp;"P"&amp;$A13)="N/A",0,RTD("tos.rtd",,"IMPL_VOL","."&amp;O$2&amp;O$1&amp;"P"&amp;$A13))),0)-IFERROR(VALUE(IF(RTD("tos.rtd",,"IMPL_VOL","."&amp;O$2&amp;O$1&amp;"C"&amp;$A13)="N/A",0,RTD("tos.rtd",,"IMPL_VOL","."&amp;O$2&amp;O$1&amp;"C"&amp;$A13))),0),IF($A$2="MAXPAIN",IF($A$4&gt;$A13,($A$4-$A13)*IF(RTD("tos.rtd",,"OPEN_INT","."&amp;O$2&amp;O$1&amp;"C"&amp;$A13)="N/A",0,RTD("tos.rtd",,"OPEN_INT","."&amp;O$2&amp;O$1&amp;"C"&amp;$A13)),0)+IF($A$4&lt;$A13,($A$5-$A$4)*IF(RTD("tos.rtd",,"OPEN_INT","."&amp;O$2&amp;O$1&amp;"P"&amp;$A13)="N/A",0,RTD("tos.rtd",,"OPEN_INT","."&amp;O$2&amp;O$1&amp;"P"&amp;$A13)),0),IF($X$1="ABS",IF(RTD("tos.rtd",,$A$2,"."&amp;O$2&amp;O$1&amp;"C"&amp;$A13)="N/A",0,RTD("tos.rtd",,$A$2,"."&amp;O$2&amp;O$1&amp;"C"&amp;$A13))+IF(RTD("tos.rtd",,$A$2,"."&amp;O$2&amp;O$1&amp;"P"&amp;$A13)="N/A",0,RTD("tos.rtd",,$A$2,"."&amp;O$2&amp;O$1&amp;"P"&amp;$A13)),IF(RTD("tos.rtd",,$A$2,"."&amp;O$2&amp;O$1&amp;"C"&amp;$A13)="N/A",0,RTD("tos.rtd",,$A$2,"."&amp;O$2&amp;O$1&amp;"C"&amp;$A13))-IF(RTD("tos.rtd",,$A$2,"."&amp;O$2&amp;O$1&amp;"P"&amp;$A13)="N/A",0,RTD("tos.rtd",,$A$2,"."&amp;O$2&amp;O$1&amp;"P"&amp;$A13))))))))))</f>
        <v>0</v>
      </c>
      <c r="P13" s="12">
        <f ca="1">IF($A$2="PREMIUM_OI",IFERROR(IF($X$1="ABS",(100*RTD("tos.rtd",,"OPEN_INT","."&amp;P$2&amp;P$1&amp;"C"&amp;$A13)*RTD("tos.rtd",,"LAST","."&amp;P$2&amp;P$1&amp;"C"&amp;$A13)+100*RTD("tos.rtd",,"OPEN_INT","."&amp;P$2&amp;P$1&amp;"P"&amp;$A13)*RTD("tos.rtd",,"LAST","."&amp;P$2&amp;P$1&amp;"P"&amp;$A13))/1000000,(100*RTD("tos.rtd",,"OPEN_INT","."&amp;P$2&amp;P$1&amp;"C"&amp;$A13)*RTD("tos.rtd",,"LAST","."&amp;P$2&amp;P$1&amp;"C"&amp;$A13)-100*RTD("tos.rtd",,"OPEN_INT","."&amp;P$2&amp;P$1&amp;"P"&amp;$A13)*RTD("tos.rtd",,"LAST","."&amp;P$2&amp;P$1&amp;"P"&amp;$A13))/1000000),0),IF($A$2="PREMIUM",IFERROR(IF($X$1="ABS",(100*RTD("tos.rtd",,"VOLUME","."&amp;P$2&amp;P$1&amp;"C"&amp;$A13)*RTD("tos.rtd",,"LAST","."&amp;P$2&amp;P$1&amp;"C"&amp;$A13)+100*RTD("tos.rtd",,"VOLUME","."&amp;P$2&amp;P$1&amp;"P"&amp;$A13)*RTD("tos.rtd",,"LAST","."&amp;P$2&amp;P$1&amp;"P"&amp;$A13))/1000000,(100*RTD("tos.rtd",,"VOLUME","."&amp;P$2&amp;P$1&amp;"C"&amp;$A13)*RTD("tos.rtd",,"LAST","."&amp;P$2&amp;P$1&amp;"C"&amp;$A13)-100*RTD("tos.rtd",,"VOLUME","."&amp;P$2&amp;P$1&amp;"P"&amp;$A13)*RTD("tos.rtd",,"LAST","."&amp;P$2&amp;P$1&amp;"P"&amp;$A13))/1000000),0),IF($A$2="DEX",IFERROR(IF($X$1="ABS",(100*RTD("tos.rtd",,"OPEN_INT","."&amp;P$2&amp;P$1&amp;"C"&amp;$A13)*RTD("tos.rtd",,"DELTA","."&amp;P$2&amp;P$1&amp;"C"&amp;$A13)+100*RTD("tos.rtd",,"OPEN_INT","."&amp;P$2&amp;P$1&amp;"P"&amp;$A13)*RTD("tos.rtd",,"DELTA","."&amp;P$2&amp;P$1&amp;"P"&amp;$A13))/1000,(100*RTD("tos.rtd",,"OPEN_INT","."&amp;P$2&amp;P$1&amp;"C"&amp;$A13)*RTD("tos.rtd",,"DELTA","."&amp;P$2&amp;P$1&amp;"C"&amp;$A13)-100*RTD("tos.rtd",,"OPEN_INT","."&amp;P$2&amp;P$1&amp;"P"&amp;$A13)*RTD("tos.rtd",,"DELTA","."&amp;P$2&amp;P$1&amp;"P"&amp;$A13))/1000),0),IF($A$2="VEX",IFERROR(IF($X$1="ABS",($A$4*$A$4*RTD("tos.rtd",,"VOLUME","."&amp;P$2&amp;P$1&amp;"C"&amp;$A13)*RTD("tos.rtd",,"GAMMA","."&amp;P$2&amp;P$1&amp;"C"&amp;$A13)+$A$4*$A$4*RTD("tos.rtd",,"VOLUME","."&amp;P$2&amp;P$1&amp;"P"&amp;$A13)*RTD("tos.rtd",,"GAMMA","."&amp;P$2&amp;P$1&amp;"P"&amp;$A13))/1000000,($A$4*$A$4*RTD("tos.rtd",,"VOLUME","."&amp;P$2&amp;P$1&amp;"C"&amp;$A13)*RTD("tos.rtd",,"GAMMA","."&amp;P$2&amp;P$1&amp;"C"&amp;$A13)-$A$4*$A$4*RTD("tos.rtd",,"VOLUME","."&amp;P$2&amp;P$1&amp;"P"&amp;$A13)*RTD("tos.rtd",,"GAMMA","."&amp;P$2&amp;P$1&amp;"P"&amp;$A13))/1000000),0),IF($A$2="GEX",IFERROR(IF($X$1="ABS",($A$4*$A$4*RTD("tos.rtd",,"OPEN_INT","."&amp;P$2&amp;P$1&amp;"C"&amp;$A13)*RTD("tos.rtd",,"GAMMA","."&amp;P$2&amp;P$1&amp;"C"&amp;$A13)+$A$4*$A$4*RTD("tos.rtd",,"OPEN_INT","."&amp;P$2&amp;P$1&amp;"P"&amp;$A13)*RTD("tos.rtd",,"GAMMA","."&amp;P$2&amp;P$1&amp;"P"&amp;$A13))/1000000,($A$4*$A$4*RTD("tos.rtd",,"OPEN_INT","."&amp;P$2&amp;P$1&amp;"C"&amp;$A13)*RTD("tos.rtd",,"GAMMA","."&amp;P$2&amp;P$1&amp;"C"&amp;$A13)-$A$4*$A$4*RTD("tos.rtd",,"OPEN_INT","."&amp;P$2&amp;P$1&amp;"P"&amp;$A13)*RTD("tos.rtd",,"GAMMA","."&amp;P$2&amp;P$1&amp;"P"&amp;$A13))/1000000),0),IF($A$2="SKEW",IFERROR(VALUE(IF(RTD("tos.rtd",,"IMPL_VOL","."&amp;P$2&amp;P$1&amp;"P"&amp;$A13)="N/A",0,RTD("tos.rtd",,"IMPL_VOL","."&amp;P$2&amp;P$1&amp;"P"&amp;$A13))),0)-IFERROR(VALUE(IF(RTD("tos.rtd",,"IMPL_VOL","."&amp;P$2&amp;P$1&amp;"C"&amp;$A13)="N/A",0,RTD("tos.rtd",,"IMPL_VOL","."&amp;P$2&amp;P$1&amp;"C"&amp;$A13))),0),IF($A$2="MAXPAIN",IF($A$4&gt;$A13,($A$4-$A13)*IF(RTD("tos.rtd",,"OPEN_INT","."&amp;P$2&amp;P$1&amp;"C"&amp;$A13)="N/A",0,RTD("tos.rtd",,"OPEN_INT","."&amp;P$2&amp;P$1&amp;"C"&amp;$A13)),0)+IF($A$4&lt;$A13,($A$5-$A$4)*IF(RTD("tos.rtd",,"OPEN_INT","."&amp;P$2&amp;P$1&amp;"P"&amp;$A13)="N/A",0,RTD("tos.rtd",,"OPEN_INT","."&amp;P$2&amp;P$1&amp;"P"&amp;$A13)),0),IF($X$1="ABS",IF(RTD("tos.rtd",,$A$2,"."&amp;P$2&amp;P$1&amp;"C"&amp;$A13)="N/A",0,RTD("tos.rtd",,$A$2,"."&amp;P$2&amp;P$1&amp;"C"&amp;$A13))+IF(RTD("tos.rtd",,$A$2,"."&amp;P$2&amp;P$1&amp;"P"&amp;$A13)="N/A",0,RTD("tos.rtd",,$A$2,"."&amp;P$2&amp;P$1&amp;"P"&amp;$A13)),IF(RTD("tos.rtd",,$A$2,"."&amp;P$2&amp;P$1&amp;"C"&amp;$A13)="N/A",0,RTD("tos.rtd",,$A$2,"."&amp;P$2&amp;P$1&amp;"C"&amp;$A13))-IF(RTD("tos.rtd",,$A$2,"."&amp;P$2&amp;P$1&amp;"P"&amp;$A13)="N/A",0,RTD("tos.rtd",,$A$2,"."&amp;P$2&amp;P$1&amp;"P"&amp;$A13))))))))))</f>
        <v>0</v>
      </c>
      <c r="Q13" s="12">
        <f ca="1">IF($A$2="PREMIUM_OI",IFERROR(IF($X$1="ABS",(100*RTD("tos.rtd",,"OPEN_INT","."&amp;Q$2&amp;Q$1&amp;"C"&amp;$A13)*RTD("tos.rtd",,"LAST","."&amp;Q$2&amp;Q$1&amp;"C"&amp;$A13)+100*RTD("tos.rtd",,"OPEN_INT","."&amp;Q$2&amp;Q$1&amp;"P"&amp;$A13)*RTD("tos.rtd",,"LAST","."&amp;Q$2&amp;Q$1&amp;"P"&amp;$A13))/1000000,(100*RTD("tos.rtd",,"OPEN_INT","."&amp;Q$2&amp;Q$1&amp;"C"&amp;$A13)*RTD("tos.rtd",,"LAST","."&amp;Q$2&amp;Q$1&amp;"C"&amp;$A13)-100*RTD("tos.rtd",,"OPEN_INT","."&amp;Q$2&amp;Q$1&amp;"P"&amp;$A13)*RTD("tos.rtd",,"LAST","."&amp;Q$2&amp;Q$1&amp;"P"&amp;$A13))/1000000),0),IF($A$2="PREMIUM",IFERROR(IF($X$1="ABS",(100*RTD("tos.rtd",,"VOLUME","."&amp;Q$2&amp;Q$1&amp;"C"&amp;$A13)*RTD("tos.rtd",,"LAST","."&amp;Q$2&amp;Q$1&amp;"C"&amp;$A13)+100*RTD("tos.rtd",,"VOLUME","."&amp;Q$2&amp;Q$1&amp;"P"&amp;$A13)*RTD("tos.rtd",,"LAST","."&amp;Q$2&amp;Q$1&amp;"P"&amp;$A13))/1000000,(100*RTD("tos.rtd",,"VOLUME","."&amp;Q$2&amp;Q$1&amp;"C"&amp;$A13)*RTD("tos.rtd",,"LAST","."&amp;Q$2&amp;Q$1&amp;"C"&amp;$A13)-100*RTD("tos.rtd",,"VOLUME","."&amp;Q$2&amp;Q$1&amp;"P"&amp;$A13)*RTD("tos.rtd",,"LAST","."&amp;Q$2&amp;Q$1&amp;"P"&amp;$A13))/1000000),0),IF($A$2="DEX",IFERROR(IF($X$1="ABS",(100*RTD("tos.rtd",,"OPEN_INT","."&amp;Q$2&amp;Q$1&amp;"C"&amp;$A13)*RTD("tos.rtd",,"DELTA","."&amp;Q$2&amp;Q$1&amp;"C"&amp;$A13)+100*RTD("tos.rtd",,"OPEN_INT","."&amp;Q$2&amp;Q$1&amp;"P"&amp;$A13)*RTD("tos.rtd",,"DELTA","."&amp;Q$2&amp;Q$1&amp;"P"&amp;$A13))/1000,(100*RTD("tos.rtd",,"OPEN_INT","."&amp;Q$2&amp;Q$1&amp;"C"&amp;$A13)*RTD("tos.rtd",,"DELTA","."&amp;Q$2&amp;Q$1&amp;"C"&amp;$A13)-100*RTD("tos.rtd",,"OPEN_INT","."&amp;Q$2&amp;Q$1&amp;"P"&amp;$A13)*RTD("tos.rtd",,"DELTA","."&amp;Q$2&amp;Q$1&amp;"P"&amp;$A13))/1000),0),IF($A$2="VEX",IFERROR(IF($X$1="ABS",($A$4*$A$4*RTD("tos.rtd",,"VOLUME","."&amp;Q$2&amp;Q$1&amp;"C"&amp;$A13)*RTD("tos.rtd",,"GAMMA","."&amp;Q$2&amp;Q$1&amp;"C"&amp;$A13)+$A$4*$A$4*RTD("tos.rtd",,"VOLUME","."&amp;Q$2&amp;Q$1&amp;"P"&amp;$A13)*RTD("tos.rtd",,"GAMMA","."&amp;Q$2&amp;Q$1&amp;"P"&amp;$A13))/1000000,($A$4*$A$4*RTD("tos.rtd",,"VOLUME","."&amp;Q$2&amp;Q$1&amp;"C"&amp;$A13)*RTD("tos.rtd",,"GAMMA","."&amp;Q$2&amp;Q$1&amp;"C"&amp;$A13)-$A$4*$A$4*RTD("tos.rtd",,"VOLUME","."&amp;Q$2&amp;Q$1&amp;"P"&amp;$A13)*RTD("tos.rtd",,"GAMMA","."&amp;Q$2&amp;Q$1&amp;"P"&amp;$A13))/1000000),0),IF($A$2="GEX",IFERROR(IF($X$1="ABS",($A$4*$A$4*RTD("tos.rtd",,"OPEN_INT","."&amp;Q$2&amp;Q$1&amp;"C"&amp;$A13)*RTD("tos.rtd",,"GAMMA","."&amp;Q$2&amp;Q$1&amp;"C"&amp;$A13)+$A$4*$A$4*RTD("tos.rtd",,"OPEN_INT","."&amp;Q$2&amp;Q$1&amp;"P"&amp;$A13)*RTD("tos.rtd",,"GAMMA","."&amp;Q$2&amp;Q$1&amp;"P"&amp;$A13))/1000000,($A$4*$A$4*RTD("tos.rtd",,"OPEN_INT","."&amp;Q$2&amp;Q$1&amp;"C"&amp;$A13)*RTD("tos.rtd",,"GAMMA","."&amp;Q$2&amp;Q$1&amp;"C"&amp;$A13)-$A$4*$A$4*RTD("tos.rtd",,"OPEN_INT","."&amp;Q$2&amp;Q$1&amp;"P"&amp;$A13)*RTD("tos.rtd",,"GAMMA","."&amp;Q$2&amp;Q$1&amp;"P"&amp;$A13))/1000000),0),IF($A$2="SKEW",IFERROR(VALUE(IF(RTD("tos.rtd",,"IMPL_VOL","."&amp;Q$2&amp;Q$1&amp;"P"&amp;$A13)="N/A",0,RTD("tos.rtd",,"IMPL_VOL","."&amp;Q$2&amp;Q$1&amp;"P"&amp;$A13))),0)-IFERROR(VALUE(IF(RTD("tos.rtd",,"IMPL_VOL","."&amp;Q$2&amp;Q$1&amp;"C"&amp;$A13)="N/A",0,RTD("tos.rtd",,"IMPL_VOL","."&amp;Q$2&amp;Q$1&amp;"C"&amp;$A13))),0),IF($A$2="MAXPAIN",IF($A$4&gt;$A13,($A$4-$A13)*IF(RTD("tos.rtd",,"OPEN_INT","."&amp;Q$2&amp;Q$1&amp;"C"&amp;$A13)="N/A",0,RTD("tos.rtd",,"OPEN_INT","."&amp;Q$2&amp;Q$1&amp;"C"&amp;$A13)),0)+IF($A$4&lt;$A13,($A$5-$A$4)*IF(RTD("tos.rtd",,"OPEN_INT","."&amp;Q$2&amp;Q$1&amp;"P"&amp;$A13)="N/A",0,RTD("tos.rtd",,"OPEN_INT","."&amp;Q$2&amp;Q$1&amp;"P"&amp;$A13)),0),IF($X$1="ABS",IF(RTD("tos.rtd",,$A$2,"."&amp;Q$2&amp;Q$1&amp;"C"&amp;$A13)="N/A",0,RTD("tos.rtd",,$A$2,"."&amp;Q$2&amp;Q$1&amp;"C"&amp;$A13))+IF(RTD("tos.rtd",,$A$2,"."&amp;Q$2&amp;Q$1&amp;"P"&amp;$A13)="N/A",0,RTD("tos.rtd",,$A$2,"."&amp;Q$2&amp;Q$1&amp;"P"&amp;$A13)),IF(RTD("tos.rtd",,$A$2,"."&amp;Q$2&amp;Q$1&amp;"C"&amp;$A13)="N/A",0,RTD("tos.rtd",,$A$2,"."&amp;Q$2&amp;Q$1&amp;"C"&amp;$A13))-IF(RTD("tos.rtd",,$A$2,"."&amp;Q$2&amp;Q$1&amp;"P"&amp;$A13)="N/A",0,RTD("tos.rtd",,$A$2,"."&amp;Q$2&amp;Q$1&amp;"P"&amp;$A13))))))))))</f>
        <v>0</v>
      </c>
      <c r="R13" s="12">
        <f ca="1">IF($A$2="PREMIUM_OI",IFERROR(IF($X$1="ABS",(100*RTD("tos.rtd",,"OPEN_INT","."&amp;R$2&amp;R$1&amp;"C"&amp;$A13)*RTD("tos.rtd",,"LAST","."&amp;R$2&amp;R$1&amp;"C"&amp;$A13)+100*RTD("tos.rtd",,"OPEN_INT","."&amp;R$2&amp;R$1&amp;"P"&amp;$A13)*RTD("tos.rtd",,"LAST","."&amp;R$2&amp;R$1&amp;"P"&amp;$A13))/1000000,(100*RTD("tos.rtd",,"OPEN_INT","."&amp;R$2&amp;R$1&amp;"C"&amp;$A13)*RTD("tos.rtd",,"LAST","."&amp;R$2&amp;R$1&amp;"C"&amp;$A13)-100*RTD("tos.rtd",,"OPEN_INT","."&amp;R$2&amp;R$1&amp;"P"&amp;$A13)*RTD("tos.rtd",,"LAST","."&amp;R$2&amp;R$1&amp;"P"&amp;$A13))/1000000),0),IF($A$2="PREMIUM",IFERROR(IF($X$1="ABS",(100*RTD("tos.rtd",,"VOLUME","."&amp;R$2&amp;R$1&amp;"C"&amp;$A13)*RTD("tos.rtd",,"LAST","."&amp;R$2&amp;R$1&amp;"C"&amp;$A13)+100*RTD("tos.rtd",,"VOLUME","."&amp;R$2&amp;R$1&amp;"P"&amp;$A13)*RTD("tos.rtd",,"LAST","."&amp;R$2&amp;R$1&amp;"P"&amp;$A13))/1000000,(100*RTD("tos.rtd",,"VOLUME","."&amp;R$2&amp;R$1&amp;"C"&amp;$A13)*RTD("tos.rtd",,"LAST","."&amp;R$2&amp;R$1&amp;"C"&amp;$A13)-100*RTD("tos.rtd",,"VOLUME","."&amp;R$2&amp;R$1&amp;"P"&amp;$A13)*RTD("tos.rtd",,"LAST","."&amp;R$2&amp;R$1&amp;"P"&amp;$A13))/1000000),0),IF($A$2="DEX",IFERROR(IF($X$1="ABS",(100*RTD("tos.rtd",,"OPEN_INT","."&amp;R$2&amp;R$1&amp;"C"&amp;$A13)*RTD("tos.rtd",,"DELTA","."&amp;R$2&amp;R$1&amp;"C"&amp;$A13)+100*RTD("tos.rtd",,"OPEN_INT","."&amp;R$2&amp;R$1&amp;"P"&amp;$A13)*RTD("tos.rtd",,"DELTA","."&amp;R$2&amp;R$1&amp;"P"&amp;$A13))/1000,(100*RTD("tos.rtd",,"OPEN_INT","."&amp;R$2&amp;R$1&amp;"C"&amp;$A13)*RTD("tos.rtd",,"DELTA","."&amp;R$2&amp;R$1&amp;"C"&amp;$A13)-100*RTD("tos.rtd",,"OPEN_INT","."&amp;R$2&amp;R$1&amp;"P"&amp;$A13)*RTD("tos.rtd",,"DELTA","."&amp;R$2&amp;R$1&amp;"P"&amp;$A13))/1000),0),IF($A$2="VEX",IFERROR(IF($X$1="ABS",($A$4*$A$4*RTD("tos.rtd",,"VOLUME","."&amp;R$2&amp;R$1&amp;"C"&amp;$A13)*RTD("tos.rtd",,"GAMMA","."&amp;R$2&amp;R$1&amp;"C"&amp;$A13)+$A$4*$A$4*RTD("tos.rtd",,"VOLUME","."&amp;R$2&amp;R$1&amp;"P"&amp;$A13)*RTD("tos.rtd",,"GAMMA","."&amp;R$2&amp;R$1&amp;"P"&amp;$A13))/1000000,($A$4*$A$4*RTD("tos.rtd",,"VOLUME","."&amp;R$2&amp;R$1&amp;"C"&amp;$A13)*RTD("tos.rtd",,"GAMMA","."&amp;R$2&amp;R$1&amp;"C"&amp;$A13)-$A$4*$A$4*RTD("tos.rtd",,"VOLUME","."&amp;R$2&amp;R$1&amp;"P"&amp;$A13)*RTD("tos.rtd",,"GAMMA","."&amp;R$2&amp;R$1&amp;"P"&amp;$A13))/1000000),0),IF($A$2="GEX",IFERROR(IF($X$1="ABS",($A$4*$A$4*RTD("tos.rtd",,"OPEN_INT","."&amp;R$2&amp;R$1&amp;"C"&amp;$A13)*RTD("tos.rtd",,"GAMMA","."&amp;R$2&amp;R$1&amp;"C"&amp;$A13)+$A$4*$A$4*RTD("tos.rtd",,"OPEN_INT","."&amp;R$2&amp;R$1&amp;"P"&amp;$A13)*RTD("tos.rtd",,"GAMMA","."&amp;R$2&amp;R$1&amp;"P"&amp;$A13))/1000000,($A$4*$A$4*RTD("tos.rtd",,"OPEN_INT","."&amp;R$2&amp;R$1&amp;"C"&amp;$A13)*RTD("tos.rtd",,"GAMMA","."&amp;R$2&amp;R$1&amp;"C"&amp;$A13)-$A$4*$A$4*RTD("tos.rtd",,"OPEN_INT","."&amp;R$2&amp;R$1&amp;"P"&amp;$A13)*RTD("tos.rtd",,"GAMMA","."&amp;R$2&amp;R$1&amp;"P"&amp;$A13))/1000000),0),IF($A$2="SKEW",IFERROR(VALUE(IF(RTD("tos.rtd",,"IMPL_VOL","."&amp;R$2&amp;R$1&amp;"P"&amp;$A13)="N/A",0,RTD("tos.rtd",,"IMPL_VOL","."&amp;R$2&amp;R$1&amp;"P"&amp;$A13))),0)-IFERROR(VALUE(IF(RTD("tos.rtd",,"IMPL_VOL","."&amp;R$2&amp;R$1&amp;"C"&amp;$A13)="N/A",0,RTD("tos.rtd",,"IMPL_VOL","."&amp;R$2&amp;R$1&amp;"C"&amp;$A13))),0),IF($A$2="MAXPAIN",IF($A$4&gt;$A13,($A$4-$A13)*IF(RTD("tos.rtd",,"OPEN_INT","."&amp;R$2&amp;R$1&amp;"C"&amp;$A13)="N/A",0,RTD("tos.rtd",,"OPEN_INT","."&amp;R$2&amp;R$1&amp;"C"&amp;$A13)),0)+IF($A$4&lt;$A13,($A$5-$A$4)*IF(RTD("tos.rtd",,"OPEN_INT","."&amp;R$2&amp;R$1&amp;"P"&amp;$A13)="N/A",0,RTD("tos.rtd",,"OPEN_INT","."&amp;R$2&amp;R$1&amp;"P"&amp;$A13)),0),IF($X$1="ABS",IF(RTD("tos.rtd",,$A$2,"."&amp;R$2&amp;R$1&amp;"C"&amp;$A13)="N/A",0,RTD("tos.rtd",,$A$2,"."&amp;R$2&amp;R$1&amp;"C"&amp;$A13))+IF(RTD("tos.rtd",,$A$2,"."&amp;R$2&amp;R$1&amp;"P"&amp;$A13)="N/A",0,RTD("tos.rtd",,$A$2,"."&amp;R$2&amp;R$1&amp;"P"&amp;$A13)),IF(RTD("tos.rtd",,$A$2,"."&amp;R$2&amp;R$1&amp;"C"&amp;$A13)="N/A",0,RTD("tos.rtd",,$A$2,"."&amp;R$2&amp;R$1&amp;"C"&amp;$A13))-IF(RTD("tos.rtd",,$A$2,"."&amp;R$2&amp;R$1&amp;"P"&amp;$A13)="N/A",0,RTD("tos.rtd",,$A$2,"."&amp;R$2&amp;R$1&amp;"P"&amp;$A13))))))))))</f>
        <v>0</v>
      </c>
      <c r="S13" s="12">
        <f ca="1">IF($A$2="PREMIUM_OI",IFERROR(IF($X$1="ABS",(100*RTD("tos.rtd",,"OPEN_INT","."&amp;S$2&amp;S$1&amp;"C"&amp;$A13)*RTD("tos.rtd",,"LAST","."&amp;S$2&amp;S$1&amp;"C"&amp;$A13)+100*RTD("tos.rtd",,"OPEN_INT","."&amp;S$2&amp;S$1&amp;"P"&amp;$A13)*RTD("tos.rtd",,"LAST","."&amp;S$2&amp;S$1&amp;"P"&amp;$A13))/1000000,(100*RTD("tos.rtd",,"OPEN_INT","."&amp;S$2&amp;S$1&amp;"C"&amp;$A13)*RTD("tos.rtd",,"LAST","."&amp;S$2&amp;S$1&amp;"C"&amp;$A13)-100*RTD("tos.rtd",,"OPEN_INT","."&amp;S$2&amp;S$1&amp;"P"&amp;$A13)*RTD("tos.rtd",,"LAST","."&amp;S$2&amp;S$1&amp;"P"&amp;$A13))/1000000),0),IF($A$2="PREMIUM",IFERROR(IF($X$1="ABS",(100*RTD("tos.rtd",,"VOLUME","."&amp;S$2&amp;S$1&amp;"C"&amp;$A13)*RTD("tos.rtd",,"LAST","."&amp;S$2&amp;S$1&amp;"C"&amp;$A13)+100*RTD("tos.rtd",,"VOLUME","."&amp;S$2&amp;S$1&amp;"P"&amp;$A13)*RTD("tos.rtd",,"LAST","."&amp;S$2&amp;S$1&amp;"P"&amp;$A13))/1000000,(100*RTD("tos.rtd",,"VOLUME","."&amp;S$2&amp;S$1&amp;"C"&amp;$A13)*RTD("tos.rtd",,"LAST","."&amp;S$2&amp;S$1&amp;"C"&amp;$A13)-100*RTD("tos.rtd",,"VOLUME","."&amp;S$2&amp;S$1&amp;"P"&amp;$A13)*RTD("tos.rtd",,"LAST","."&amp;S$2&amp;S$1&amp;"P"&amp;$A13))/1000000),0),IF($A$2="DEX",IFERROR(IF($X$1="ABS",(100*RTD("tos.rtd",,"OPEN_INT","."&amp;S$2&amp;S$1&amp;"C"&amp;$A13)*RTD("tos.rtd",,"DELTA","."&amp;S$2&amp;S$1&amp;"C"&amp;$A13)+100*RTD("tos.rtd",,"OPEN_INT","."&amp;S$2&amp;S$1&amp;"P"&amp;$A13)*RTD("tos.rtd",,"DELTA","."&amp;S$2&amp;S$1&amp;"P"&amp;$A13))/1000,(100*RTD("tos.rtd",,"OPEN_INT","."&amp;S$2&amp;S$1&amp;"C"&amp;$A13)*RTD("tos.rtd",,"DELTA","."&amp;S$2&amp;S$1&amp;"C"&amp;$A13)-100*RTD("tos.rtd",,"OPEN_INT","."&amp;S$2&amp;S$1&amp;"P"&amp;$A13)*RTD("tos.rtd",,"DELTA","."&amp;S$2&amp;S$1&amp;"P"&amp;$A13))/1000),0),IF($A$2="VEX",IFERROR(IF($X$1="ABS",($A$4*$A$4*RTD("tos.rtd",,"VOLUME","."&amp;S$2&amp;S$1&amp;"C"&amp;$A13)*RTD("tos.rtd",,"GAMMA","."&amp;S$2&amp;S$1&amp;"C"&amp;$A13)+$A$4*$A$4*RTD("tos.rtd",,"VOLUME","."&amp;S$2&amp;S$1&amp;"P"&amp;$A13)*RTD("tos.rtd",,"GAMMA","."&amp;S$2&amp;S$1&amp;"P"&amp;$A13))/1000000,($A$4*$A$4*RTD("tos.rtd",,"VOLUME","."&amp;S$2&amp;S$1&amp;"C"&amp;$A13)*RTD("tos.rtd",,"GAMMA","."&amp;S$2&amp;S$1&amp;"C"&amp;$A13)-$A$4*$A$4*RTD("tos.rtd",,"VOLUME","."&amp;S$2&amp;S$1&amp;"P"&amp;$A13)*RTD("tos.rtd",,"GAMMA","."&amp;S$2&amp;S$1&amp;"P"&amp;$A13))/1000000),0),IF($A$2="GEX",IFERROR(IF($X$1="ABS",($A$4*$A$4*RTD("tos.rtd",,"OPEN_INT","."&amp;S$2&amp;S$1&amp;"C"&amp;$A13)*RTD("tos.rtd",,"GAMMA","."&amp;S$2&amp;S$1&amp;"C"&amp;$A13)+$A$4*$A$4*RTD("tos.rtd",,"OPEN_INT","."&amp;S$2&amp;S$1&amp;"P"&amp;$A13)*RTD("tos.rtd",,"GAMMA","."&amp;S$2&amp;S$1&amp;"P"&amp;$A13))/1000000,($A$4*$A$4*RTD("tos.rtd",,"OPEN_INT","."&amp;S$2&amp;S$1&amp;"C"&amp;$A13)*RTD("tos.rtd",,"GAMMA","."&amp;S$2&amp;S$1&amp;"C"&amp;$A13)-$A$4*$A$4*RTD("tos.rtd",,"OPEN_INT","."&amp;S$2&amp;S$1&amp;"P"&amp;$A13)*RTD("tos.rtd",,"GAMMA","."&amp;S$2&amp;S$1&amp;"P"&amp;$A13))/1000000),0),IF($A$2="SKEW",IFERROR(VALUE(IF(RTD("tos.rtd",,"IMPL_VOL","."&amp;S$2&amp;S$1&amp;"P"&amp;$A13)="N/A",0,RTD("tos.rtd",,"IMPL_VOL","."&amp;S$2&amp;S$1&amp;"P"&amp;$A13))),0)-IFERROR(VALUE(IF(RTD("tos.rtd",,"IMPL_VOL","."&amp;S$2&amp;S$1&amp;"C"&amp;$A13)="N/A",0,RTD("tos.rtd",,"IMPL_VOL","."&amp;S$2&amp;S$1&amp;"C"&amp;$A13))),0),IF($A$2="MAXPAIN",IF($A$4&gt;$A13,($A$4-$A13)*IF(RTD("tos.rtd",,"OPEN_INT","."&amp;S$2&amp;S$1&amp;"C"&amp;$A13)="N/A",0,RTD("tos.rtd",,"OPEN_INT","."&amp;S$2&amp;S$1&amp;"C"&amp;$A13)),0)+IF($A$4&lt;$A13,($A$5-$A$4)*IF(RTD("tos.rtd",,"OPEN_INT","."&amp;S$2&amp;S$1&amp;"P"&amp;$A13)="N/A",0,RTD("tos.rtd",,"OPEN_INT","."&amp;S$2&amp;S$1&amp;"P"&amp;$A13)),0),IF($X$1="ABS",IF(RTD("tos.rtd",,$A$2,"."&amp;S$2&amp;S$1&amp;"C"&amp;$A13)="N/A",0,RTD("tos.rtd",,$A$2,"."&amp;S$2&amp;S$1&amp;"C"&amp;$A13))+IF(RTD("tos.rtd",,$A$2,"."&amp;S$2&amp;S$1&amp;"P"&amp;$A13)="N/A",0,RTD("tos.rtd",,$A$2,"."&amp;S$2&amp;S$1&amp;"P"&amp;$A13)),IF(RTD("tos.rtd",,$A$2,"."&amp;S$2&amp;S$1&amp;"C"&amp;$A13)="N/A",0,RTD("tos.rtd",,$A$2,"."&amp;S$2&amp;S$1&amp;"C"&amp;$A13))-IF(RTD("tos.rtd",,$A$2,"."&amp;S$2&amp;S$1&amp;"P"&amp;$A13)="N/A",0,RTD("tos.rtd",,$A$2,"."&amp;S$2&amp;S$1&amp;"P"&amp;$A13))))))))))</f>
        <v>0</v>
      </c>
      <c r="T13" s="12">
        <f ca="1">IF($A$2="PREMIUM_OI",IFERROR(IF($X$1="ABS",(100*RTD("tos.rtd",,"OPEN_INT","."&amp;T$2&amp;T$1&amp;"C"&amp;$A13)*RTD("tos.rtd",,"LAST","."&amp;T$2&amp;T$1&amp;"C"&amp;$A13)+100*RTD("tos.rtd",,"OPEN_INT","."&amp;T$2&amp;T$1&amp;"P"&amp;$A13)*RTD("tos.rtd",,"LAST","."&amp;T$2&amp;T$1&amp;"P"&amp;$A13))/1000000,(100*RTD("tos.rtd",,"OPEN_INT","."&amp;T$2&amp;T$1&amp;"C"&amp;$A13)*RTD("tos.rtd",,"LAST","."&amp;T$2&amp;T$1&amp;"C"&amp;$A13)-100*RTD("tos.rtd",,"OPEN_INT","."&amp;T$2&amp;T$1&amp;"P"&amp;$A13)*RTD("tos.rtd",,"LAST","."&amp;T$2&amp;T$1&amp;"P"&amp;$A13))/1000000),0),IF($A$2="PREMIUM",IFERROR(IF($X$1="ABS",(100*RTD("tos.rtd",,"VOLUME","."&amp;T$2&amp;T$1&amp;"C"&amp;$A13)*RTD("tos.rtd",,"LAST","."&amp;T$2&amp;T$1&amp;"C"&amp;$A13)+100*RTD("tos.rtd",,"VOLUME","."&amp;T$2&amp;T$1&amp;"P"&amp;$A13)*RTD("tos.rtd",,"LAST","."&amp;T$2&amp;T$1&amp;"P"&amp;$A13))/1000000,(100*RTD("tos.rtd",,"VOLUME","."&amp;T$2&amp;T$1&amp;"C"&amp;$A13)*RTD("tos.rtd",,"LAST","."&amp;T$2&amp;T$1&amp;"C"&amp;$A13)-100*RTD("tos.rtd",,"VOLUME","."&amp;T$2&amp;T$1&amp;"P"&amp;$A13)*RTD("tos.rtd",,"LAST","."&amp;T$2&amp;T$1&amp;"P"&amp;$A13))/1000000),0),IF($A$2="DEX",IFERROR(IF($X$1="ABS",(100*RTD("tos.rtd",,"OPEN_INT","."&amp;T$2&amp;T$1&amp;"C"&amp;$A13)*RTD("tos.rtd",,"DELTA","."&amp;T$2&amp;T$1&amp;"C"&amp;$A13)+100*RTD("tos.rtd",,"OPEN_INT","."&amp;T$2&amp;T$1&amp;"P"&amp;$A13)*RTD("tos.rtd",,"DELTA","."&amp;T$2&amp;T$1&amp;"P"&amp;$A13))/1000,(100*RTD("tos.rtd",,"OPEN_INT","."&amp;T$2&amp;T$1&amp;"C"&amp;$A13)*RTD("tos.rtd",,"DELTA","."&amp;T$2&amp;T$1&amp;"C"&amp;$A13)-100*RTD("tos.rtd",,"OPEN_INT","."&amp;T$2&amp;T$1&amp;"P"&amp;$A13)*RTD("tos.rtd",,"DELTA","."&amp;T$2&amp;T$1&amp;"P"&amp;$A13))/1000),0),IF($A$2="VEX",IFERROR(IF($X$1="ABS",($A$4*$A$4*RTD("tos.rtd",,"VOLUME","."&amp;T$2&amp;T$1&amp;"C"&amp;$A13)*RTD("tos.rtd",,"GAMMA","."&amp;T$2&amp;T$1&amp;"C"&amp;$A13)+$A$4*$A$4*RTD("tos.rtd",,"VOLUME","."&amp;T$2&amp;T$1&amp;"P"&amp;$A13)*RTD("tos.rtd",,"GAMMA","."&amp;T$2&amp;T$1&amp;"P"&amp;$A13))/1000000,($A$4*$A$4*RTD("tos.rtd",,"VOLUME","."&amp;T$2&amp;T$1&amp;"C"&amp;$A13)*RTD("tos.rtd",,"GAMMA","."&amp;T$2&amp;T$1&amp;"C"&amp;$A13)-$A$4*$A$4*RTD("tos.rtd",,"VOLUME","."&amp;T$2&amp;T$1&amp;"P"&amp;$A13)*RTD("tos.rtd",,"GAMMA","."&amp;T$2&amp;T$1&amp;"P"&amp;$A13))/1000000),0),IF($A$2="GEX",IFERROR(IF($X$1="ABS",($A$4*$A$4*RTD("tos.rtd",,"OPEN_INT","."&amp;T$2&amp;T$1&amp;"C"&amp;$A13)*RTD("tos.rtd",,"GAMMA","."&amp;T$2&amp;T$1&amp;"C"&amp;$A13)+$A$4*$A$4*RTD("tos.rtd",,"OPEN_INT","."&amp;T$2&amp;T$1&amp;"P"&amp;$A13)*RTD("tos.rtd",,"GAMMA","."&amp;T$2&amp;T$1&amp;"P"&amp;$A13))/1000000,($A$4*$A$4*RTD("tos.rtd",,"OPEN_INT","."&amp;T$2&amp;T$1&amp;"C"&amp;$A13)*RTD("tos.rtd",,"GAMMA","."&amp;T$2&amp;T$1&amp;"C"&amp;$A13)-$A$4*$A$4*RTD("tos.rtd",,"OPEN_INT","."&amp;T$2&amp;T$1&amp;"P"&amp;$A13)*RTD("tos.rtd",,"GAMMA","."&amp;T$2&amp;T$1&amp;"P"&amp;$A13))/1000000),0),IF($A$2="SKEW",IFERROR(VALUE(IF(RTD("tos.rtd",,"IMPL_VOL","."&amp;T$2&amp;T$1&amp;"P"&amp;$A13)="N/A",0,RTD("tos.rtd",,"IMPL_VOL","."&amp;T$2&amp;T$1&amp;"P"&amp;$A13))),0)-IFERROR(VALUE(IF(RTD("tos.rtd",,"IMPL_VOL","."&amp;T$2&amp;T$1&amp;"C"&amp;$A13)="N/A",0,RTD("tos.rtd",,"IMPL_VOL","."&amp;T$2&amp;T$1&amp;"C"&amp;$A13))),0),IF($A$2="MAXPAIN",IF($A$4&gt;$A13,($A$4-$A13)*IF(RTD("tos.rtd",,"OPEN_INT","."&amp;T$2&amp;T$1&amp;"C"&amp;$A13)="N/A",0,RTD("tos.rtd",,"OPEN_INT","."&amp;T$2&amp;T$1&amp;"C"&amp;$A13)),0)+IF($A$4&lt;$A13,($A$5-$A$4)*IF(RTD("tos.rtd",,"OPEN_INT","."&amp;T$2&amp;T$1&amp;"P"&amp;$A13)="N/A",0,RTD("tos.rtd",,"OPEN_INT","."&amp;T$2&amp;T$1&amp;"P"&amp;$A13)),0),IF($X$1="ABS",IF(RTD("tos.rtd",,$A$2,"."&amp;T$2&amp;T$1&amp;"C"&amp;$A13)="N/A",0,RTD("tos.rtd",,$A$2,"."&amp;T$2&amp;T$1&amp;"C"&amp;$A13))+IF(RTD("tos.rtd",,$A$2,"."&amp;T$2&amp;T$1&amp;"P"&amp;$A13)="N/A",0,RTD("tos.rtd",,$A$2,"."&amp;T$2&amp;T$1&amp;"P"&amp;$A13)),IF(RTD("tos.rtd",,$A$2,"."&amp;T$2&amp;T$1&amp;"C"&amp;$A13)="N/A",0,RTD("tos.rtd",,$A$2,"."&amp;T$2&amp;T$1&amp;"C"&amp;$A13))-IF(RTD("tos.rtd",,$A$2,"."&amp;T$2&amp;T$1&amp;"P"&amp;$A13)="N/A",0,RTD("tos.rtd",,$A$2,"."&amp;T$2&amp;T$1&amp;"P"&amp;$A13))))))))))</f>
        <v>0</v>
      </c>
      <c r="U13" s="12">
        <f ca="1">IF($A$2="PREMIUM_OI",IFERROR(IF($X$1="ABS",(100*RTD("tos.rtd",,"OPEN_INT","."&amp;U$2&amp;U$1&amp;"C"&amp;$A13)*RTD("tos.rtd",,"LAST","."&amp;U$2&amp;U$1&amp;"C"&amp;$A13)+100*RTD("tos.rtd",,"OPEN_INT","."&amp;U$2&amp;U$1&amp;"P"&amp;$A13)*RTD("tos.rtd",,"LAST","."&amp;U$2&amp;U$1&amp;"P"&amp;$A13))/1000000,(100*RTD("tos.rtd",,"OPEN_INT","."&amp;U$2&amp;U$1&amp;"C"&amp;$A13)*RTD("tos.rtd",,"LAST","."&amp;U$2&amp;U$1&amp;"C"&amp;$A13)-100*RTD("tos.rtd",,"OPEN_INT","."&amp;U$2&amp;U$1&amp;"P"&amp;$A13)*RTD("tos.rtd",,"LAST","."&amp;U$2&amp;U$1&amp;"P"&amp;$A13))/1000000),0),IF($A$2="PREMIUM",IFERROR(IF($X$1="ABS",(100*RTD("tos.rtd",,"VOLUME","."&amp;U$2&amp;U$1&amp;"C"&amp;$A13)*RTD("tos.rtd",,"LAST","."&amp;U$2&amp;U$1&amp;"C"&amp;$A13)+100*RTD("tos.rtd",,"VOLUME","."&amp;U$2&amp;U$1&amp;"P"&amp;$A13)*RTD("tos.rtd",,"LAST","."&amp;U$2&amp;U$1&amp;"P"&amp;$A13))/1000000,(100*RTD("tos.rtd",,"VOLUME","."&amp;U$2&amp;U$1&amp;"C"&amp;$A13)*RTD("tos.rtd",,"LAST","."&amp;U$2&amp;U$1&amp;"C"&amp;$A13)-100*RTD("tos.rtd",,"VOLUME","."&amp;U$2&amp;U$1&amp;"P"&amp;$A13)*RTD("tos.rtd",,"LAST","."&amp;U$2&amp;U$1&amp;"P"&amp;$A13))/1000000),0),IF($A$2="DEX",IFERROR(IF($X$1="ABS",(100*RTD("tos.rtd",,"OPEN_INT","."&amp;U$2&amp;U$1&amp;"C"&amp;$A13)*RTD("tos.rtd",,"DELTA","."&amp;U$2&amp;U$1&amp;"C"&amp;$A13)+100*RTD("tos.rtd",,"OPEN_INT","."&amp;U$2&amp;U$1&amp;"P"&amp;$A13)*RTD("tos.rtd",,"DELTA","."&amp;U$2&amp;U$1&amp;"P"&amp;$A13))/1000,(100*RTD("tos.rtd",,"OPEN_INT","."&amp;U$2&amp;U$1&amp;"C"&amp;$A13)*RTD("tos.rtd",,"DELTA","."&amp;U$2&amp;U$1&amp;"C"&amp;$A13)-100*RTD("tos.rtd",,"OPEN_INT","."&amp;U$2&amp;U$1&amp;"P"&amp;$A13)*RTD("tos.rtd",,"DELTA","."&amp;U$2&amp;U$1&amp;"P"&amp;$A13))/1000),0),IF($A$2="VEX",IFERROR(IF($X$1="ABS",($A$4*$A$4*RTD("tos.rtd",,"VOLUME","."&amp;U$2&amp;U$1&amp;"C"&amp;$A13)*RTD("tos.rtd",,"GAMMA","."&amp;U$2&amp;U$1&amp;"C"&amp;$A13)+$A$4*$A$4*RTD("tos.rtd",,"VOLUME","."&amp;U$2&amp;U$1&amp;"P"&amp;$A13)*RTD("tos.rtd",,"GAMMA","."&amp;U$2&amp;U$1&amp;"P"&amp;$A13))/1000000,($A$4*$A$4*RTD("tos.rtd",,"VOLUME","."&amp;U$2&amp;U$1&amp;"C"&amp;$A13)*RTD("tos.rtd",,"GAMMA","."&amp;U$2&amp;U$1&amp;"C"&amp;$A13)-$A$4*$A$4*RTD("tos.rtd",,"VOLUME","."&amp;U$2&amp;U$1&amp;"P"&amp;$A13)*RTD("tos.rtd",,"GAMMA","."&amp;U$2&amp;U$1&amp;"P"&amp;$A13))/1000000),0),IF($A$2="GEX",IFERROR(IF($X$1="ABS",($A$4*$A$4*RTD("tos.rtd",,"OPEN_INT","."&amp;U$2&amp;U$1&amp;"C"&amp;$A13)*RTD("tos.rtd",,"GAMMA","."&amp;U$2&amp;U$1&amp;"C"&amp;$A13)+$A$4*$A$4*RTD("tos.rtd",,"OPEN_INT","."&amp;U$2&amp;U$1&amp;"P"&amp;$A13)*RTD("tos.rtd",,"GAMMA","."&amp;U$2&amp;U$1&amp;"P"&amp;$A13))/1000000,($A$4*$A$4*RTD("tos.rtd",,"OPEN_INT","."&amp;U$2&amp;U$1&amp;"C"&amp;$A13)*RTD("tos.rtd",,"GAMMA","."&amp;U$2&amp;U$1&amp;"C"&amp;$A13)-$A$4*$A$4*RTD("tos.rtd",,"OPEN_INT","."&amp;U$2&amp;U$1&amp;"P"&amp;$A13)*RTD("tos.rtd",,"GAMMA","."&amp;U$2&amp;U$1&amp;"P"&amp;$A13))/1000000),0),IF($A$2="SKEW",IFERROR(VALUE(IF(RTD("tos.rtd",,"IMPL_VOL","."&amp;U$2&amp;U$1&amp;"P"&amp;$A13)="N/A",0,RTD("tos.rtd",,"IMPL_VOL","."&amp;U$2&amp;U$1&amp;"P"&amp;$A13))),0)-IFERROR(VALUE(IF(RTD("tos.rtd",,"IMPL_VOL","."&amp;U$2&amp;U$1&amp;"C"&amp;$A13)="N/A",0,RTD("tos.rtd",,"IMPL_VOL","."&amp;U$2&amp;U$1&amp;"C"&amp;$A13))),0),IF($A$2="MAXPAIN",IF($A$4&gt;$A13,($A$4-$A13)*IF(RTD("tos.rtd",,"OPEN_INT","."&amp;U$2&amp;U$1&amp;"C"&amp;$A13)="N/A",0,RTD("tos.rtd",,"OPEN_INT","."&amp;U$2&amp;U$1&amp;"C"&amp;$A13)),0)+IF($A$4&lt;$A13,($A$5-$A$4)*IF(RTD("tos.rtd",,"OPEN_INT","."&amp;U$2&amp;U$1&amp;"P"&amp;$A13)="N/A",0,RTD("tos.rtd",,"OPEN_INT","."&amp;U$2&amp;U$1&amp;"P"&amp;$A13)),0),IF($X$1="ABS",IF(RTD("tos.rtd",,$A$2,"."&amp;U$2&amp;U$1&amp;"C"&amp;$A13)="N/A",0,RTD("tos.rtd",,$A$2,"."&amp;U$2&amp;U$1&amp;"C"&amp;$A13))+IF(RTD("tos.rtd",,$A$2,"."&amp;U$2&amp;U$1&amp;"P"&amp;$A13)="N/A",0,RTD("tos.rtd",,$A$2,"."&amp;U$2&amp;U$1&amp;"P"&amp;$A13)),IF(RTD("tos.rtd",,$A$2,"."&amp;U$2&amp;U$1&amp;"C"&amp;$A13)="N/A",0,RTD("tos.rtd",,$A$2,"."&amp;U$2&amp;U$1&amp;"C"&amp;$A13))-IF(RTD("tos.rtd",,$A$2,"."&amp;U$2&amp;U$1&amp;"P"&amp;$A13)="N/A",0,RTD("tos.rtd",,$A$2,"."&amp;U$2&amp;U$1&amp;"P"&amp;$A13))))))))))</f>
        <v>0</v>
      </c>
      <c r="V13" s="12">
        <f ca="1">IF($A$2="PREMIUM_OI",IFERROR(IF($X$1="ABS",(100*RTD("tos.rtd",,"OPEN_INT","."&amp;V$2&amp;V$1&amp;"C"&amp;$A13)*RTD("tos.rtd",,"LAST","."&amp;V$2&amp;V$1&amp;"C"&amp;$A13)+100*RTD("tos.rtd",,"OPEN_INT","."&amp;V$2&amp;V$1&amp;"P"&amp;$A13)*RTD("tos.rtd",,"LAST","."&amp;V$2&amp;V$1&amp;"P"&amp;$A13))/1000000,(100*RTD("tos.rtd",,"OPEN_INT","."&amp;V$2&amp;V$1&amp;"C"&amp;$A13)*RTD("tos.rtd",,"LAST","."&amp;V$2&amp;V$1&amp;"C"&amp;$A13)-100*RTD("tos.rtd",,"OPEN_INT","."&amp;V$2&amp;V$1&amp;"P"&amp;$A13)*RTD("tos.rtd",,"LAST","."&amp;V$2&amp;V$1&amp;"P"&amp;$A13))/1000000),0),IF($A$2="PREMIUM",IFERROR(IF($X$1="ABS",(100*RTD("tos.rtd",,"VOLUME","."&amp;V$2&amp;V$1&amp;"C"&amp;$A13)*RTD("tos.rtd",,"LAST","."&amp;V$2&amp;V$1&amp;"C"&amp;$A13)+100*RTD("tos.rtd",,"VOLUME","."&amp;V$2&amp;V$1&amp;"P"&amp;$A13)*RTD("tos.rtd",,"LAST","."&amp;V$2&amp;V$1&amp;"P"&amp;$A13))/1000000,(100*RTD("tos.rtd",,"VOLUME","."&amp;V$2&amp;V$1&amp;"C"&amp;$A13)*RTD("tos.rtd",,"LAST","."&amp;V$2&amp;V$1&amp;"C"&amp;$A13)-100*RTD("tos.rtd",,"VOLUME","."&amp;V$2&amp;V$1&amp;"P"&amp;$A13)*RTD("tos.rtd",,"LAST","."&amp;V$2&amp;V$1&amp;"P"&amp;$A13))/1000000),0),IF($A$2="DEX",IFERROR(IF($X$1="ABS",(100*RTD("tos.rtd",,"OPEN_INT","."&amp;V$2&amp;V$1&amp;"C"&amp;$A13)*RTD("tos.rtd",,"DELTA","."&amp;V$2&amp;V$1&amp;"C"&amp;$A13)+100*RTD("tos.rtd",,"OPEN_INT","."&amp;V$2&amp;V$1&amp;"P"&amp;$A13)*RTD("tos.rtd",,"DELTA","."&amp;V$2&amp;V$1&amp;"P"&amp;$A13))/1000,(100*RTD("tos.rtd",,"OPEN_INT","."&amp;V$2&amp;V$1&amp;"C"&amp;$A13)*RTD("tos.rtd",,"DELTA","."&amp;V$2&amp;V$1&amp;"C"&amp;$A13)-100*RTD("tos.rtd",,"OPEN_INT","."&amp;V$2&amp;V$1&amp;"P"&amp;$A13)*RTD("tos.rtd",,"DELTA","."&amp;V$2&amp;V$1&amp;"P"&amp;$A13))/1000),0),IF($A$2="VEX",IFERROR(IF($X$1="ABS",($A$4*$A$4*RTD("tos.rtd",,"VOLUME","."&amp;V$2&amp;V$1&amp;"C"&amp;$A13)*RTD("tos.rtd",,"GAMMA","."&amp;V$2&amp;V$1&amp;"C"&amp;$A13)+$A$4*$A$4*RTD("tos.rtd",,"VOLUME","."&amp;V$2&amp;V$1&amp;"P"&amp;$A13)*RTD("tos.rtd",,"GAMMA","."&amp;V$2&amp;V$1&amp;"P"&amp;$A13))/1000000,($A$4*$A$4*RTD("tos.rtd",,"VOLUME","."&amp;V$2&amp;V$1&amp;"C"&amp;$A13)*RTD("tos.rtd",,"GAMMA","."&amp;V$2&amp;V$1&amp;"C"&amp;$A13)-$A$4*$A$4*RTD("tos.rtd",,"VOLUME","."&amp;V$2&amp;V$1&amp;"P"&amp;$A13)*RTD("tos.rtd",,"GAMMA","."&amp;V$2&amp;V$1&amp;"P"&amp;$A13))/1000000),0),IF($A$2="GEX",IFERROR(IF($X$1="ABS",($A$4*$A$4*RTD("tos.rtd",,"OPEN_INT","."&amp;V$2&amp;V$1&amp;"C"&amp;$A13)*RTD("tos.rtd",,"GAMMA","."&amp;V$2&amp;V$1&amp;"C"&amp;$A13)+$A$4*$A$4*RTD("tos.rtd",,"OPEN_INT","."&amp;V$2&amp;V$1&amp;"P"&amp;$A13)*RTD("tos.rtd",,"GAMMA","."&amp;V$2&amp;V$1&amp;"P"&amp;$A13))/1000000,($A$4*$A$4*RTD("tos.rtd",,"OPEN_INT","."&amp;V$2&amp;V$1&amp;"C"&amp;$A13)*RTD("tos.rtd",,"GAMMA","."&amp;V$2&amp;V$1&amp;"C"&amp;$A13)-$A$4*$A$4*RTD("tos.rtd",,"OPEN_INT","."&amp;V$2&amp;V$1&amp;"P"&amp;$A13)*RTD("tos.rtd",,"GAMMA","."&amp;V$2&amp;V$1&amp;"P"&amp;$A13))/1000000),0),IF($A$2="SKEW",IFERROR(VALUE(IF(RTD("tos.rtd",,"IMPL_VOL","."&amp;V$2&amp;V$1&amp;"P"&amp;$A13)="N/A",0,RTD("tos.rtd",,"IMPL_VOL","."&amp;V$2&amp;V$1&amp;"P"&amp;$A13))),0)-IFERROR(VALUE(IF(RTD("tos.rtd",,"IMPL_VOL","."&amp;V$2&amp;V$1&amp;"C"&amp;$A13)="N/A",0,RTD("tos.rtd",,"IMPL_VOL","."&amp;V$2&amp;V$1&amp;"C"&amp;$A13))),0),IF($A$2="MAXPAIN",IF($A$4&gt;$A13,($A$4-$A13)*IF(RTD("tos.rtd",,"OPEN_INT","."&amp;V$2&amp;V$1&amp;"C"&amp;$A13)="N/A",0,RTD("tos.rtd",,"OPEN_INT","."&amp;V$2&amp;V$1&amp;"C"&amp;$A13)),0)+IF($A$4&lt;$A13,($A$5-$A$4)*IF(RTD("tos.rtd",,"OPEN_INT","."&amp;V$2&amp;V$1&amp;"P"&amp;$A13)="N/A",0,RTD("tos.rtd",,"OPEN_INT","."&amp;V$2&amp;V$1&amp;"P"&amp;$A13)),0),IF($X$1="ABS",IF(RTD("tos.rtd",,$A$2,"."&amp;V$2&amp;V$1&amp;"C"&amp;$A13)="N/A",0,RTD("tos.rtd",,$A$2,"."&amp;V$2&amp;V$1&amp;"C"&amp;$A13))+IF(RTD("tos.rtd",,$A$2,"."&amp;V$2&amp;V$1&amp;"P"&amp;$A13)="N/A",0,RTD("tos.rtd",,$A$2,"."&amp;V$2&amp;V$1&amp;"P"&amp;$A13)),IF(RTD("tos.rtd",,$A$2,"."&amp;V$2&amp;V$1&amp;"C"&amp;$A13)="N/A",0,RTD("tos.rtd",,$A$2,"."&amp;V$2&amp;V$1&amp;"C"&amp;$A13))-IF(RTD("tos.rtd",,$A$2,"."&amp;V$2&amp;V$1&amp;"P"&amp;$A13)="N/A",0,RTD("tos.rtd",,$A$2,"."&amp;V$2&amp;V$1&amp;"P"&amp;$A13))))))))))</f>
        <v>0</v>
      </c>
      <c r="W13" s="12">
        <f ca="1">IF($A$2="PREMIUM_OI",IFERROR(IF($X$1="ABS",(100*RTD("tos.rtd",,"OPEN_INT","."&amp;W$2&amp;W$1&amp;"C"&amp;$A13)*RTD("tos.rtd",,"LAST","."&amp;W$2&amp;W$1&amp;"C"&amp;$A13)+100*RTD("tos.rtd",,"OPEN_INT","."&amp;W$2&amp;W$1&amp;"P"&amp;$A13)*RTD("tos.rtd",,"LAST","."&amp;W$2&amp;W$1&amp;"P"&amp;$A13))/1000000,(100*RTD("tos.rtd",,"OPEN_INT","."&amp;W$2&amp;W$1&amp;"C"&amp;$A13)*RTD("tos.rtd",,"LAST","."&amp;W$2&amp;W$1&amp;"C"&amp;$A13)-100*RTD("tos.rtd",,"OPEN_INT","."&amp;W$2&amp;W$1&amp;"P"&amp;$A13)*RTD("tos.rtd",,"LAST","."&amp;W$2&amp;W$1&amp;"P"&amp;$A13))/1000000),0),IF($A$2="PREMIUM",IFERROR(IF($X$1="ABS",(100*RTD("tos.rtd",,"VOLUME","."&amp;W$2&amp;W$1&amp;"C"&amp;$A13)*RTD("tos.rtd",,"LAST","."&amp;W$2&amp;W$1&amp;"C"&amp;$A13)+100*RTD("tos.rtd",,"VOLUME","."&amp;W$2&amp;W$1&amp;"P"&amp;$A13)*RTD("tos.rtd",,"LAST","."&amp;W$2&amp;W$1&amp;"P"&amp;$A13))/1000000,(100*RTD("tos.rtd",,"VOLUME","."&amp;W$2&amp;W$1&amp;"C"&amp;$A13)*RTD("tos.rtd",,"LAST","."&amp;W$2&amp;W$1&amp;"C"&amp;$A13)-100*RTD("tos.rtd",,"VOLUME","."&amp;W$2&amp;W$1&amp;"P"&amp;$A13)*RTD("tos.rtd",,"LAST","."&amp;W$2&amp;W$1&amp;"P"&amp;$A13))/1000000),0),IF($A$2="DEX",IFERROR(IF($X$1="ABS",(100*RTD("tos.rtd",,"OPEN_INT","."&amp;W$2&amp;W$1&amp;"C"&amp;$A13)*RTD("tos.rtd",,"DELTA","."&amp;W$2&amp;W$1&amp;"C"&amp;$A13)+100*RTD("tos.rtd",,"OPEN_INT","."&amp;W$2&amp;W$1&amp;"P"&amp;$A13)*RTD("tos.rtd",,"DELTA","."&amp;W$2&amp;W$1&amp;"P"&amp;$A13))/1000,(100*RTD("tos.rtd",,"OPEN_INT","."&amp;W$2&amp;W$1&amp;"C"&amp;$A13)*RTD("tos.rtd",,"DELTA","."&amp;W$2&amp;W$1&amp;"C"&amp;$A13)-100*RTD("tos.rtd",,"OPEN_INT","."&amp;W$2&amp;W$1&amp;"P"&amp;$A13)*RTD("tos.rtd",,"DELTA","."&amp;W$2&amp;W$1&amp;"P"&amp;$A13))/1000),0),IF($A$2="VEX",IFERROR(IF($X$1="ABS",($A$4*$A$4*RTD("tos.rtd",,"VOLUME","."&amp;W$2&amp;W$1&amp;"C"&amp;$A13)*RTD("tos.rtd",,"GAMMA","."&amp;W$2&amp;W$1&amp;"C"&amp;$A13)+$A$4*$A$4*RTD("tos.rtd",,"VOLUME","."&amp;W$2&amp;W$1&amp;"P"&amp;$A13)*RTD("tos.rtd",,"GAMMA","."&amp;W$2&amp;W$1&amp;"P"&amp;$A13))/1000000,($A$4*$A$4*RTD("tos.rtd",,"VOLUME","."&amp;W$2&amp;W$1&amp;"C"&amp;$A13)*RTD("tos.rtd",,"GAMMA","."&amp;W$2&amp;W$1&amp;"C"&amp;$A13)-$A$4*$A$4*RTD("tos.rtd",,"VOLUME","."&amp;W$2&amp;W$1&amp;"P"&amp;$A13)*RTD("tos.rtd",,"GAMMA","."&amp;W$2&amp;W$1&amp;"P"&amp;$A13))/1000000),0),IF($A$2="GEX",IFERROR(IF($X$1="ABS",($A$4*$A$4*RTD("tos.rtd",,"OPEN_INT","."&amp;W$2&amp;W$1&amp;"C"&amp;$A13)*RTD("tos.rtd",,"GAMMA","."&amp;W$2&amp;W$1&amp;"C"&amp;$A13)+$A$4*$A$4*RTD("tos.rtd",,"OPEN_INT","."&amp;W$2&amp;W$1&amp;"P"&amp;$A13)*RTD("tos.rtd",,"GAMMA","."&amp;W$2&amp;W$1&amp;"P"&amp;$A13))/1000000,($A$4*$A$4*RTD("tos.rtd",,"OPEN_INT","."&amp;W$2&amp;W$1&amp;"C"&amp;$A13)*RTD("tos.rtd",,"GAMMA","."&amp;W$2&amp;W$1&amp;"C"&amp;$A13)-$A$4*$A$4*RTD("tos.rtd",,"OPEN_INT","."&amp;W$2&amp;W$1&amp;"P"&amp;$A13)*RTD("tos.rtd",,"GAMMA","."&amp;W$2&amp;W$1&amp;"P"&amp;$A13))/1000000),0),IF($A$2="SKEW",IFERROR(VALUE(IF(RTD("tos.rtd",,"IMPL_VOL","."&amp;W$2&amp;W$1&amp;"P"&amp;$A13)="N/A",0,RTD("tos.rtd",,"IMPL_VOL","."&amp;W$2&amp;W$1&amp;"P"&amp;$A13))),0)-IFERROR(VALUE(IF(RTD("tos.rtd",,"IMPL_VOL","."&amp;W$2&amp;W$1&amp;"C"&amp;$A13)="N/A",0,RTD("tos.rtd",,"IMPL_VOL","."&amp;W$2&amp;W$1&amp;"C"&amp;$A13))),0),IF($A$2="MAXPAIN",IF($A$4&gt;$A13,($A$4-$A13)*IF(RTD("tos.rtd",,"OPEN_INT","."&amp;W$2&amp;W$1&amp;"C"&amp;$A13)="N/A",0,RTD("tos.rtd",,"OPEN_INT","."&amp;W$2&amp;W$1&amp;"C"&amp;$A13)),0)+IF($A$4&lt;$A13,($A$5-$A$4)*IF(RTD("tos.rtd",,"OPEN_INT","."&amp;W$2&amp;W$1&amp;"P"&amp;$A13)="N/A",0,RTD("tos.rtd",,"OPEN_INT","."&amp;W$2&amp;W$1&amp;"P"&amp;$A13)),0),IF($X$1="ABS",IF(RTD("tos.rtd",,$A$2,"."&amp;W$2&amp;W$1&amp;"C"&amp;$A13)="N/A",0,RTD("tos.rtd",,$A$2,"."&amp;W$2&amp;W$1&amp;"C"&amp;$A13))+IF(RTD("tos.rtd",,$A$2,"."&amp;W$2&amp;W$1&amp;"P"&amp;$A13)="N/A",0,RTD("tos.rtd",,$A$2,"."&amp;W$2&amp;W$1&amp;"P"&amp;$A13)),IF(RTD("tos.rtd",,$A$2,"."&amp;W$2&amp;W$1&amp;"C"&amp;$A13)="N/A",0,RTD("tos.rtd",,$A$2,"."&amp;W$2&amp;W$1&amp;"C"&amp;$A13))-IF(RTD("tos.rtd",,$A$2,"."&amp;W$2&amp;W$1&amp;"P"&amp;$A13)="N/A",0,RTD("tos.rtd",,$A$2,"."&amp;W$2&amp;W$1&amp;"P"&amp;$A13))))))))))</f>
        <v>0</v>
      </c>
      <c r="X13" s="57">
        <f t="shared" ca="1" si="7"/>
        <v>261</v>
      </c>
      <c r="Y13" s="27">
        <f t="shared" ca="1" si="8"/>
        <v>261</v>
      </c>
      <c r="Z13" s="27" t="b">
        <f t="shared" ca="1" si="9"/>
        <v>0</v>
      </c>
      <c r="AA13" s="27">
        <f t="shared" si="10"/>
        <v>178827750</v>
      </c>
      <c r="AB13" s="18">
        <f>MAX(0, $A13-AB$4)*IF(RTD("tos.rtd",,"OPEN_INT","."&amp;$AA$3&amp;$AA$4&amp;"C"&amp;AB$4)="N/A",0,RTD("tos.rtd",,"OPEN_INT","."&amp;$AA$3&amp;$AA$4&amp;"C"&amp;AB$4))*100 + MAX(0, AB$4-$A13)*IF(RTD("tos.rtd",,"OPEN_INT","."&amp;$AA$3&amp;$AA$4&amp;"P"&amp;AB$4)="N/A",0,RTD("tos.rtd",,"OPEN_INT","."&amp;$AA$3&amp;$AA$4&amp;"P"&amp;AB$4))*100</f>
        <v>0</v>
      </c>
      <c r="AC13" s="18">
        <f>MAX(0, $A13-AC$4)*IF(RTD("tos.rtd",,"OPEN_INT","."&amp;$AA$3&amp;$AA$4&amp;"C"&amp;AC$4)="N/A",0,RTD("tos.rtd",,"OPEN_INT","."&amp;$AA$3&amp;$AA$4&amp;"C"&amp;AC$4))*100 + MAX(0, AC$4-$A13)*IF(RTD("tos.rtd",,"OPEN_INT","."&amp;$AA$3&amp;$AA$4&amp;"P"&amp;AC$4)="N/A",0,RTD("tos.rtd",,"OPEN_INT","."&amp;$AA$3&amp;$AA$4&amp;"P"&amp;AC$4))*100</f>
        <v>0</v>
      </c>
      <c r="AD13" s="18">
        <f>MAX(0, $A13-AD$4)*IF(RTD("tos.rtd",,"OPEN_INT","."&amp;$AA$3&amp;$AA$4&amp;"C"&amp;AD$4)="N/A",0,RTD("tos.rtd",,"OPEN_INT","."&amp;$AA$3&amp;$AA$4&amp;"C"&amp;AD$4))*100 + MAX(0, AD$4-$A13)*IF(RTD("tos.rtd",,"OPEN_INT","."&amp;$AA$3&amp;$AA$4&amp;"P"&amp;AD$4)="N/A",0,RTD("tos.rtd",,"OPEN_INT","."&amp;$AA$3&amp;$AA$4&amp;"P"&amp;AD$4))*100</f>
        <v>0</v>
      </c>
      <c r="AE13" s="18">
        <f>MAX(0, $A13-AE$4)*IF(RTD("tos.rtd",,"OPEN_INT","."&amp;$AA$3&amp;$AA$4&amp;"C"&amp;AE$4)="N/A",0,RTD("tos.rtd",,"OPEN_INT","."&amp;$AA$3&amp;$AA$4&amp;"C"&amp;AE$4))*100 + MAX(0, AE$4-$A13)*IF(RTD("tos.rtd",,"OPEN_INT","."&amp;$AA$3&amp;$AA$4&amp;"P"&amp;AE$4)="N/A",0,RTD("tos.rtd",,"OPEN_INT","."&amp;$AA$3&amp;$AA$4&amp;"P"&amp;AE$4))*100</f>
        <v>0</v>
      </c>
      <c r="AF13" s="18">
        <f>MAX(0, $A13-AF$4)*IF(RTD("tos.rtd",,"OPEN_INT","."&amp;$AA$3&amp;$AA$4&amp;"C"&amp;AF$4)="N/A",0,RTD("tos.rtd",,"OPEN_INT","."&amp;$AA$3&amp;$AA$4&amp;"C"&amp;AF$4))*100 + MAX(0, AF$4-$A13)*IF(RTD("tos.rtd",,"OPEN_INT","."&amp;$AA$3&amp;$AA$4&amp;"P"&amp;AF$4)="N/A",0,RTD("tos.rtd",,"OPEN_INT","."&amp;$AA$3&amp;$AA$4&amp;"P"&amp;AF$4))*100</f>
        <v>0</v>
      </c>
      <c r="AG13" s="18">
        <f>MAX(0, $A13-AG$4)*IF(RTD("tos.rtd",,"OPEN_INT","."&amp;$AA$3&amp;$AA$4&amp;"C"&amp;AG$4)="N/A",0,RTD("tos.rtd",,"OPEN_INT","."&amp;$AA$3&amp;$AA$4&amp;"C"&amp;AG$4))*100 + MAX(0, AG$4-$A13)*IF(RTD("tos.rtd",,"OPEN_INT","."&amp;$AA$3&amp;$AA$4&amp;"P"&amp;AG$4)="N/A",0,RTD("tos.rtd",,"OPEN_INT","."&amp;$AA$3&amp;$AA$4&amp;"P"&amp;AG$4))*100</f>
        <v>0</v>
      </c>
      <c r="AH13" s="18">
        <f>MAX(0, $A13-AH$4)*IF(RTD("tos.rtd",,"OPEN_INT","."&amp;$AA$3&amp;$AA$4&amp;"C"&amp;AH$4)="N/A",0,RTD("tos.rtd",,"OPEN_INT","."&amp;$AA$3&amp;$AA$4&amp;"C"&amp;AH$4))*100 + MAX(0, AH$4-$A13)*IF(RTD("tos.rtd",,"OPEN_INT","."&amp;$AA$3&amp;$AA$4&amp;"P"&amp;AH$4)="N/A",0,RTD("tos.rtd",,"OPEN_INT","."&amp;$AA$3&amp;$AA$4&amp;"P"&amp;AH$4))*100</f>
        <v>0</v>
      </c>
      <c r="AI13" s="18">
        <f>MAX(0, $A13-AI$4)*IF(RTD("tos.rtd",,"OPEN_INT","."&amp;$AA$3&amp;$AA$4&amp;"C"&amp;AI$4)="N/A",0,RTD("tos.rtd",,"OPEN_INT","."&amp;$AA$3&amp;$AA$4&amp;"C"&amp;AI$4))*100 + MAX(0, AI$4-$A13)*IF(RTD("tos.rtd",,"OPEN_INT","."&amp;$AA$3&amp;$AA$4&amp;"P"&amp;AI$4)="N/A",0,RTD("tos.rtd",,"OPEN_INT","."&amp;$AA$3&amp;$AA$4&amp;"P"&amp;AI$4))*100</f>
        <v>150</v>
      </c>
      <c r="AJ13" s="18">
        <f>MAX(0, $A13-AJ$4)*IF(RTD("tos.rtd",,"OPEN_INT","."&amp;$AA$3&amp;$AA$4&amp;"C"&amp;AJ$4)="N/A",0,RTD("tos.rtd",,"OPEN_INT","."&amp;$AA$3&amp;$AA$4&amp;"C"&amp;AJ$4))*100 + MAX(0, AJ$4-$A13)*IF(RTD("tos.rtd",,"OPEN_INT","."&amp;$AA$3&amp;$AA$4&amp;"P"&amp;AJ$4)="N/A",0,RTD("tos.rtd",,"OPEN_INT","."&amp;$AA$3&amp;$AA$4&amp;"P"&amp;AJ$4))*100</f>
        <v>0</v>
      </c>
      <c r="AK13" s="18">
        <f>MAX(0, $A13-AK$4)*IF(RTD("tos.rtd",,"OPEN_INT","."&amp;$AA$3&amp;$AA$4&amp;"C"&amp;AK$4)="N/A",0,RTD("tos.rtd",,"OPEN_INT","."&amp;$AA$3&amp;$AA$4&amp;"C"&amp;AK$4))*100 + MAX(0, AK$4-$A13)*IF(RTD("tos.rtd",,"OPEN_INT","."&amp;$AA$3&amp;$AA$4&amp;"P"&amp;AK$4)="N/A",0,RTD("tos.rtd",,"OPEN_INT","."&amp;$AA$3&amp;$AA$4&amp;"P"&amp;AK$4))*100</f>
        <v>140650</v>
      </c>
      <c r="AL13" s="18">
        <f>MAX(0, $A13-AL$4)*IF(RTD("tos.rtd",,"OPEN_INT","."&amp;$AA$3&amp;$AA$4&amp;"C"&amp;AL$4)="N/A",0,RTD("tos.rtd",,"OPEN_INT","."&amp;$AA$3&amp;$AA$4&amp;"C"&amp;AL$4))*100 + MAX(0, AL$4-$A13)*IF(RTD("tos.rtd",,"OPEN_INT","."&amp;$AA$3&amp;$AA$4&amp;"P"&amp;AL$4)="N/A",0,RTD("tos.rtd",,"OPEN_INT","."&amp;$AA$3&amp;$AA$4&amp;"P"&amp;AL$4))*100</f>
        <v>0</v>
      </c>
      <c r="AM13" s="18">
        <f>MAX(0, $A13-AM$4)*IF(RTD("tos.rtd",,"OPEN_INT","."&amp;$AA$3&amp;$AA$4&amp;"C"&amp;AM$4)="N/A",0,RTD("tos.rtd",,"OPEN_INT","."&amp;$AA$3&amp;$AA$4&amp;"C"&amp;AM$4))*100 + MAX(0, AM$4-$A13)*IF(RTD("tos.rtd",,"OPEN_INT","."&amp;$AA$3&amp;$AA$4&amp;"P"&amp;AM$4)="N/A",0,RTD("tos.rtd",,"OPEN_INT","."&amp;$AA$3&amp;$AA$4&amp;"P"&amp;AM$4))*100</f>
        <v>354750</v>
      </c>
      <c r="AN13" s="18">
        <f>MAX(0, $A13-AN$4)*IF(RTD("tos.rtd",,"OPEN_INT","."&amp;$AA$3&amp;$AA$4&amp;"C"&amp;AN$4)="N/A",0,RTD("tos.rtd",,"OPEN_INT","."&amp;$AA$3&amp;$AA$4&amp;"C"&amp;AN$4))*100 + MAX(0, AN$4-$A13)*IF(RTD("tos.rtd",,"OPEN_INT","."&amp;$AA$3&amp;$AA$4&amp;"P"&amp;AN$4)="N/A",0,RTD("tos.rtd",,"OPEN_INT","."&amp;$AA$3&amp;$AA$4&amp;"P"&amp;AN$4))*100</f>
        <v>0</v>
      </c>
      <c r="AO13" s="18">
        <f>MAX(0, $A13-AO$4)*IF(RTD("tos.rtd",,"OPEN_INT","."&amp;$AA$3&amp;$AA$4&amp;"C"&amp;AO$4)="N/A",0,RTD("tos.rtd",,"OPEN_INT","."&amp;$AA$3&amp;$AA$4&amp;"C"&amp;AO$4))*100 + MAX(0, AO$4-$A13)*IF(RTD("tos.rtd",,"OPEN_INT","."&amp;$AA$3&amp;$AA$4&amp;"P"&amp;AO$4)="N/A",0,RTD("tos.rtd",,"OPEN_INT","."&amp;$AA$3&amp;$AA$4&amp;"P"&amp;AO$4))*100</f>
        <v>172250</v>
      </c>
      <c r="AP13" s="18">
        <f>MAX(0, $A13-AP$4)*IF(RTD("tos.rtd",,"OPEN_INT","."&amp;$AA$3&amp;$AA$4&amp;"C"&amp;AP$4)="N/A",0,RTD("tos.rtd",,"OPEN_INT","."&amp;$AA$3&amp;$AA$4&amp;"C"&amp;AP$4))*100 + MAX(0, AP$4-$A13)*IF(RTD("tos.rtd",,"OPEN_INT","."&amp;$AA$3&amp;$AA$4&amp;"P"&amp;AP$4)="N/A",0,RTD("tos.rtd",,"OPEN_INT","."&amp;$AA$3&amp;$AA$4&amp;"P"&amp;AP$4))*100</f>
        <v>0</v>
      </c>
      <c r="AQ13" s="18">
        <f>MAX(0, $A13-AQ$4)*IF(RTD("tos.rtd",,"OPEN_INT","."&amp;$AA$3&amp;$AA$4&amp;"C"&amp;AQ$4)="N/A",0,RTD("tos.rtd",,"OPEN_INT","."&amp;$AA$3&amp;$AA$4&amp;"C"&amp;AQ$4))*100 + MAX(0, AQ$4-$A13)*IF(RTD("tos.rtd",,"OPEN_INT","."&amp;$AA$3&amp;$AA$4&amp;"P"&amp;AQ$4)="N/A",0,RTD("tos.rtd",,"OPEN_INT","."&amp;$AA$3&amp;$AA$4&amp;"P"&amp;AQ$4))*100</f>
        <v>224000</v>
      </c>
      <c r="AR13" s="18">
        <f>MAX(0, $A13-AR$4)*IF(RTD("tos.rtd",,"OPEN_INT","."&amp;$AA$3&amp;$AA$4&amp;"C"&amp;AR$4)="N/A",0,RTD("tos.rtd",,"OPEN_INT","."&amp;$AA$3&amp;$AA$4&amp;"C"&amp;AR$4))*100 + MAX(0, AR$4-$A13)*IF(RTD("tos.rtd",,"OPEN_INT","."&amp;$AA$3&amp;$AA$4&amp;"P"&amp;AR$4)="N/A",0,RTD("tos.rtd",,"OPEN_INT","."&amp;$AA$3&amp;$AA$4&amp;"P"&amp;AR$4))*100</f>
        <v>400</v>
      </c>
      <c r="AS13" s="18">
        <f>MAX(0, $A13-AS$4)*IF(RTD("tos.rtd",,"OPEN_INT","."&amp;$AA$3&amp;$AA$4&amp;"C"&amp;AS$4)="N/A",0,RTD("tos.rtd",,"OPEN_INT","."&amp;$AA$3&amp;$AA$4&amp;"C"&amp;AS$4))*100 + MAX(0, AS$4-$A13)*IF(RTD("tos.rtd",,"OPEN_INT","."&amp;$AA$3&amp;$AA$4&amp;"P"&amp;AS$4)="N/A",0,RTD("tos.rtd",,"OPEN_INT","."&amp;$AA$3&amp;$AA$4&amp;"P"&amp;AS$4))*100</f>
        <v>387900</v>
      </c>
      <c r="AT13" s="18">
        <f>MAX(0, $A13-AT$4)*IF(RTD("tos.rtd",,"OPEN_INT","."&amp;$AA$3&amp;$AA$4&amp;"C"&amp;AT$4)="N/A",0,RTD("tos.rtd",,"OPEN_INT","."&amp;$AA$3&amp;$AA$4&amp;"C"&amp;AT$4))*100 + MAX(0, AT$4-$A13)*IF(RTD("tos.rtd",,"OPEN_INT","."&amp;$AA$3&amp;$AA$4&amp;"P"&amp;AT$4)="N/A",0,RTD("tos.rtd",,"OPEN_INT","."&amp;$AA$3&amp;$AA$4&amp;"P"&amp;AT$4))*100</f>
        <v>701000</v>
      </c>
      <c r="AU13" s="18">
        <f>MAX(0, $A13-AU$4)*IF(RTD("tos.rtd",,"OPEN_INT","."&amp;$AA$3&amp;$AA$4&amp;"C"&amp;AU$4)="N/A",0,RTD("tos.rtd",,"OPEN_INT","."&amp;$AA$3&amp;$AA$4&amp;"C"&amp;AU$4))*100 + MAX(0, AU$4-$A13)*IF(RTD("tos.rtd",,"OPEN_INT","."&amp;$AA$3&amp;$AA$4&amp;"P"&amp;AU$4)="N/A",0,RTD("tos.rtd",,"OPEN_INT","."&amp;$AA$3&amp;$AA$4&amp;"P"&amp;AU$4))*100</f>
        <v>925650</v>
      </c>
      <c r="AV13" s="18">
        <f>MAX(0, $A13-AV$4)*IF(RTD("tos.rtd",,"OPEN_INT","."&amp;$AA$3&amp;$AA$4&amp;"C"&amp;AV$4)="N/A",0,RTD("tos.rtd",,"OPEN_INT","."&amp;$AA$3&amp;$AA$4&amp;"C"&amp;AV$4))*100 + MAX(0, AV$4-$A13)*IF(RTD("tos.rtd",,"OPEN_INT","."&amp;$AA$3&amp;$AA$4&amp;"P"&amp;AV$4)="N/A",0,RTD("tos.rtd",,"OPEN_INT","."&amp;$AA$3&amp;$AA$4&amp;"P"&amp;AV$4))*100</f>
        <v>1132800</v>
      </c>
      <c r="AW13" s="18">
        <f>MAX(0, $A13-AW$4)*IF(RTD("tos.rtd",,"OPEN_INT","."&amp;$AA$3&amp;$AA$4&amp;"C"&amp;AW$4)="N/A",0,RTD("tos.rtd",,"OPEN_INT","."&amp;$AA$3&amp;$AA$4&amp;"C"&amp;AW$4))*100 + MAX(0, AW$4-$A13)*IF(RTD("tos.rtd",,"OPEN_INT","."&amp;$AA$3&amp;$AA$4&amp;"P"&amp;AW$4)="N/A",0,RTD("tos.rtd",,"OPEN_INT","."&amp;$AA$3&amp;$AA$4&amp;"P"&amp;AW$4))*100</f>
        <v>1998750</v>
      </c>
      <c r="AX13" s="18">
        <f>MAX(0, $A13-AX$4)*IF(RTD("tos.rtd",,"OPEN_INT","."&amp;$AA$3&amp;$AA$4&amp;"C"&amp;AX$4)="N/A",0,RTD("tos.rtd",,"OPEN_INT","."&amp;$AA$3&amp;$AA$4&amp;"C"&amp;AX$4))*100 + MAX(0, AX$4-$A13)*IF(RTD("tos.rtd",,"OPEN_INT","."&amp;$AA$3&amp;$AA$4&amp;"P"&amp;AX$4)="N/A",0,RTD("tos.rtd",,"OPEN_INT","."&amp;$AA$3&amp;$AA$4&amp;"P"&amp;AX$4))*100</f>
        <v>2977100</v>
      </c>
      <c r="AY13" s="18">
        <f>MAX(0, $A13-AY$4)*IF(RTD("tos.rtd",,"OPEN_INT","."&amp;$AA$3&amp;$AA$4&amp;"C"&amp;AY$4)="N/A",0,RTD("tos.rtd",,"OPEN_INT","."&amp;$AA$3&amp;$AA$4&amp;"C"&amp;AY$4))*100 + MAX(0, AY$4-$A13)*IF(RTD("tos.rtd",,"OPEN_INT","."&amp;$AA$3&amp;$AA$4&amp;"P"&amp;AY$4)="N/A",0,RTD("tos.rtd",,"OPEN_INT","."&amp;$AA$3&amp;$AA$4&amp;"P"&amp;AY$4))*100</f>
        <v>14661000</v>
      </c>
      <c r="AZ13" s="18">
        <f>MAX(0, $A13-AZ$4)*IF(RTD("tos.rtd",,"OPEN_INT","."&amp;$AA$3&amp;$AA$4&amp;"C"&amp;AZ$4)="N/A",0,RTD("tos.rtd",,"OPEN_INT","."&amp;$AA$3&amp;$AA$4&amp;"C"&amp;AZ$4))*100 + MAX(0, AZ$4-$A13)*IF(RTD("tos.rtd",,"OPEN_INT","."&amp;$AA$3&amp;$AA$4&amp;"P"&amp;AZ$4)="N/A",0,RTD("tos.rtd",,"OPEN_INT","."&amp;$AA$3&amp;$AA$4&amp;"P"&amp;AZ$4))*100</f>
        <v>7880000</v>
      </c>
      <c r="BA13" s="18">
        <f>MAX(0, $A13-BA$4)*IF(RTD("tos.rtd",,"OPEN_INT","."&amp;$AA$3&amp;$AA$4&amp;"C"&amp;BA$4)="N/A",0,RTD("tos.rtd",,"OPEN_INT","."&amp;$AA$3&amp;$AA$4&amp;"C"&amp;BA$4))*100 + MAX(0, BA$4-$A13)*IF(RTD("tos.rtd",,"OPEN_INT","."&amp;$AA$3&amp;$AA$4&amp;"P"&amp;BA$4)="N/A",0,RTD("tos.rtd",,"OPEN_INT","."&amp;$AA$3&amp;$AA$4&amp;"P"&amp;BA$4))*100</f>
        <v>26185950</v>
      </c>
      <c r="BB13" s="18">
        <f>MAX(0, $A13-BB$4)*IF(RTD("tos.rtd",,"OPEN_INT","."&amp;$AA$3&amp;$AA$4&amp;"C"&amp;BB$4)="N/A",0,RTD("tos.rtd",,"OPEN_INT","."&amp;$AA$3&amp;$AA$4&amp;"C"&amp;BB$4))*100 + MAX(0, BB$4-$A13)*IF(RTD("tos.rtd",,"OPEN_INT","."&amp;$AA$3&amp;$AA$4&amp;"P"&amp;BB$4)="N/A",0,RTD("tos.rtd",,"OPEN_INT","."&amp;$AA$3&amp;$AA$4&amp;"P"&amp;BB$4))*100</f>
        <v>25792200</v>
      </c>
      <c r="BC13" s="18">
        <f>MAX(0, $A13-BC$4)*IF(RTD("tos.rtd",,"OPEN_INT","."&amp;$AA$3&amp;$AA$4&amp;"C"&amp;BC$4)="N/A",0,RTD("tos.rtd",,"OPEN_INT","."&amp;$AA$3&amp;$AA$4&amp;"C"&amp;BC$4))*100 + MAX(0, BC$4-$A13)*IF(RTD("tos.rtd",,"OPEN_INT","."&amp;$AA$3&amp;$AA$4&amp;"P"&amp;BC$4)="N/A",0,RTD("tos.rtd",,"OPEN_INT","."&amp;$AA$3&amp;$AA$4&amp;"P"&amp;BC$4))*100</f>
        <v>38677350</v>
      </c>
      <c r="BD13" s="18">
        <f>MAX(0, $A13-BD$4)*IF(RTD("tos.rtd",,"OPEN_INT","."&amp;$AA$3&amp;$AA$4&amp;"C"&amp;BD$4)="N/A",0,RTD("tos.rtd",,"OPEN_INT","."&amp;$AA$3&amp;$AA$4&amp;"C"&amp;BD$4))*100 + MAX(0, BD$4-$A13)*IF(RTD("tos.rtd",,"OPEN_INT","."&amp;$AA$3&amp;$AA$4&amp;"P"&amp;BD$4)="N/A",0,RTD("tos.rtd",,"OPEN_INT","."&amp;$AA$3&amp;$AA$4&amp;"P"&amp;BD$4))*100</f>
        <v>18560000</v>
      </c>
      <c r="BE13" s="18">
        <f>MAX(0, $A13-BE$4)*IF(RTD("tos.rtd",,"OPEN_INT","."&amp;$AA$3&amp;$AA$4&amp;"C"&amp;BE$4)="N/A",0,RTD("tos.rtd",,"OPEN_INT","."&amp;$AA$3&amp;$AA$4&amp;"C"&amp;BE$4))*100 + MAX(0, BE$4-$A13)*IF(RTD("tos.rtd",,"OPEN_INT","."&amp;$AA$3&amp;$AA$4&amp;"P"&amp;BE$4)="N/A",0,RTD("tos.rtd",,"OPEN_INT","."&amp;$AA$3&amp;$AA$4&amp;"P"&amp;BE$4))*100</f>
        <v>18141900</v>
      </c>
      <c r="BF13" s="18">
        <f>MAX(0, $A13-BF$4)*IF(RTD("tos.rtd",,"OPEN_INT","."&amp;$AA$3&amp;$AA$4&amp;"C"&amp;BF$4)="N/A",0,RTD("tos.rtd",,"OPEN_INT","."&amp;$AA$3&amp;$AA$4&amp;"C"&amp;BF$4))*100 + MAX(0, BF$4-$A13)*IF(RTD("tos.rtd",,"OPEN_INT","."&amp;$AA$3&amp;$AA$4&amp;"P"&amp;BF$4)="N/A",0,RTD("tos.rtd",,"OPEN_INT","."&amp;$AA$3&amp;$AA$4&amp;"P"&amp;BF$4))*100</f>
        <v>9247700</v>
      </c>
      <c r="BG13" s="18">
        <f>MAX(0, $A13-BG$4)*IF(RTD("tos.rtd",,"OPEN_INT","."&amp;$AA$3&amp;$AA$4&amp;"C"&amp;BG$4)="N/A",0,RTD("tos.rtd",,"OPEN_INT","."&amp;$AA$3&amp;$AA$4&amp;"C"&amp;BG$4))*100 + MAX(0, BG$4-$A13)*IF(RTD("tos.rtd",,"OPEN_INT","."&amp;$AA$3&amp;$AA$4&amp;"P"&amp;BG$4)="N/A",0,RTD("tos.rtd",,"OPEN_INT","."&amp;$AA$3&amp;$AA$4&amp;"P"&amp;BG$4))*100</f>
        <v>6594100</v>
      </c>
      <c r="BH13" s="18">
        <f>MAX(0, $A13-BH$4)*IF(RTD("tos.rtd",,"OPEN_INT","."&amp;$AA$3&amp;$AA$4&amp;"C"&amp;BH$4)="N/A",0,RTD("tos.rtd",,"OPEN_INT","."&amp;$AA$3&amp;$AA$4&amp;"C"&amp;BH$4))*100 + MAX(0, BH$4-$A13)*IF(RTD("tos.rtd",,"OPEN_INT","."&amp;$AA$3&amp;$AA$4&amp;"P"&amp;BH$4)="N/A",0,RTD("tos.rtd",,"OPEN_INT","."&amp;$AA$3&amp;$AA$4&amp;"P"&amp;BH$4))*100</f>
        <v>2331600</v>
      </c>
      <c r="BI13" s="18">
        <f>MAX(0, $A13-BI$4)*IF(RTD("tos.rtd",,"OPEN_INT","."&amp;$AA$3&amp;$AA$4&amp;"C"&amp;BI$4)="N/A",0,RTD("tos.rtd",,"OPEN_INT","."&amp;$AA$3&amp;$AA$4&amp;"C"&amp;BI$4))*100 + MAX(0, BI$4-$A13)*IF(RTD("tos.rtd",,"OPEN_INT","."&amp;$AA$3&amp;$AA$4&amp;"P"&amp;BI$4)="N/A",0,RTD("tos.rtd",,"OPEN_INT","."&amp;$AA$3&amp;$AA$4&amp;"P"&amp;BI$4))*100</f>
        <v>1052500</v>
      </c>
      <c r="BJ13" s="18">
        <f>MAX(0, $A13-BJ$4)*IF(RTD("tos.rtd",,"OPEN_INT","."&amp;$AA$3&amp;$AA$4&amp;"C"&amp;BJ$4)="N/A",0,RTD("tos.rtd",,"OPEN_INT","."&amp;$AA$3&amp;$AA$4&amp;"C"&amp;BJ$4))*100 + MAX(0, BJ$4-$A13)*IF(RTD("tos.rtd",,"OPEN_INT","."&amp;$AA$3&amp;$AA$4&amp;"P"&amp;BJ$4)="N/A",0,RTD("tos.rtd",,"OPEN_INT","."&amp;$AA$3&amp;$AA$4&amp;"P"&amp;BJ$4))*100</f>
        <v>196300</v>
      </c>
      <c r="BK13" s="18">
        <f>MAX(0, $A13-BK$4)*IF(RTD("tos.rtd",,"OPEN_INT","."&amp;$AA$3&amp;$AA$4&amp;"C"&amp;BK$4)="N/A",0,RTD("tos.rtd",,"OPEN_INT","."&amp;$AA$3&amp;$AA$4&amp;"C"&amp;BK$4))*100 + MAX(0, BK$4-$A13)*IF(RTD("tos.rtd",,"OPEN_INT","."&amp;$AA$3&amp;$AA$4&amp;"P"&amp;BK$4)="N/A",0,RTD("tos.rtd",,"OPEN_INT","."&amp;$AA$3&amp;$AA$4&amp;"P"&amp;BK$4))*100</f>
        <v>352350</v>
      </c>
      <c r="BL13" s="18">
        <f>MAX(0, $A13-BL$4)*IF(RTD("tos.rtd",,"OPEN_INT","."&amp;$AA$3&amp;$AA$4&amp;"C"&amp;BL$4)="N/A",0,RTD("tos.rtd",,"OPEN_INT","."&amp;$AA$3&amp;$AA$4&amp;"C"&amp;BL$4))*100 + MAX(0, BL$4-$A13)*IF(RTD("tos.rtd",,"OPEN_INT","."&amp;$AA$3&amp;$AA$4&amp;"P"&amp;BL$4)="N/A",0,RTD("tos.rtd",,"OPEN_INT","."&amp;$AA$3&amp;$AA$4&amp;"P"&amp;BL$4))*100</f>
        <v>22400</v>
      </c>
      <c r="BM13" s="18">
        <f>MAX(0, $A13-BM$4)*IF(RTD("tos.rtd",,"OPEN_INT","."&amp;$AA$3&amp;$AA$4&amp;"C"&amp;BM$4)="N/A",0,RTD("tos.rtd",,"OPEN_INT","."&amp;$AA$3&amp;$AA$4&amp;"C"&amp;BM$4))*100 + MAX(0, BM$4-$A13)*IF(RTD("tos.rtd",,"OPEN_INT","."&amp;$AA$3&amp;$AA$4&amp;"P"&amp;BM$4)="N/A",0,RTD("tos.rtd",,"OPEN_INT","."&amp;$AA$3&amp;$AA$4&amp;"P"&amp;BM$4))*100</f>
        <v>11600</v>
      </c>
      <c r="BN13" s="18">
        <f>MAX(0, $A13-BN$4)*IF(RTD("tos.rtd",,"OPEN_INT","."&amp;$AA$3&amp;$AA$4&amp;"C"&amp;BN$4)="N/A",0,RTD("tos.rtd",,"OPEN_INT","."&amp;$AA$3&amp;$AA$4&amp;"C"&amp;BN$4))*100 + MAX(0, BN$4-$A13)*IF(RTD("tos.rtd",,"OPEN_INT","."&amp;$AA$3&amp;$AA$4&amp;"P"&amp;BN$4)="N/A",0,RTD("tos.rtd",,"OPEN_INT","."&amp;$AA$3&amp;$AA$4&amp;"P"&amp;BN$4))*100</f>
        <v>46500</v>
      </c>
      <c r="BO13" s="18">
        <f>MAX(0, $A13-BO$4)*IF(RTD("tos.rtd",,"OPEN_INT","."&amp;$AA$3&amp;$AA$4&amp;"C"&amp;BO$4)="N/A",0,RTD("tos.rtd",,"OPEN_INT","."&amp;$AA$3&amp;$AA$4&amp;"C"&amp;BO$4))*100 + MAX(0, BO$4-$A13)*IF(RTD("tos.rtd",,"OPEN_INT","."&amp;$AA$3&amp;$AA$4&amp;"P"&amp;BO$4)="N/A",0,RTD("tos.rtd",,"OPEN_INT","."&amp;$AA$3&amp;$AA$4&amp;"P"&amp;BO$4))*100</f>
        <v>58900</v>
      </c>
      <c r="BP13" s="18">
        <f>MAX(0, $A13-BP$4)*IF(RTD("tos.rtd",,"OPEN_INT","."&amp;$AA$3&amp;$AA$4&amp;"C"&amp;BP$4)="N/A",0,RTD("tos.rtd",,"OPEN_INT","."&amp;$AA$3&amp;$AA$4&amp;"C"&amp;BP$4))*100 + MAX(0, BP$4-$A13)*IF(RTD("tos.rtd",,"OPEN_INT","."&amp;$AA$3&amp;$AA$4&amp;"P"&amp;BP$4)="N/A",0,RTD("tos.rtd",,"OPEN_INT","."&amp;$AA$3&amp;$AA$4&amp;"P"&amp;BP$4))*100</f>
        <v>0</v>
      </c>
      <c r="BQ13" s="18">
        <f>MAX(0, $A13-BQ$4)*IF(RTD("tos.rtd",,"OPEN_INT","."&amp;$AA$3&amp;$AA$4&amp;"C"&amp;BQ$4)="N/A",0,RTD("tos.rtd",,"OPEN_INT","."&amp;$AA$3&amp;$AA$4&amp;"C"&amp;BQ$4))*100 + MAX(0, BQ$4-$A13)*IF(RTD("tos.rtd",,"OPEN_INT","."&amp;$AA$3&amp;$AA$4&amp;"P"&amp;BQ$4)="N/A",0,RTD("tos.rtd",,"OPEN_INT","."&amp;$AA$3&amp;$AA$4&amp;"P"&amp;BQ$4))*100</f>
        <v>0</v>
      </c>
      <c r="BR13" s="18">
        <f>MAX(0, $A13-BR$4)*IF(RTD("tos.rtd",,"OPEN_INT","."&amp;$AA$3&amp;$AA$4&amp;"C"&amp;BR$4)="N/A",0,RTD("tos.rtd",,"OPEN_INT","."&amp;$AA$3&amp;$AA$4&amp;"C"&amp;BR$4))*100 + MAX(0, BR$4-$A13)*IF(RTD("tos.rtd",,"OPEN_INT","."&amp;$AA$3&amp;$AA$4&amp;"P"&amp;BR$4)="N/A",0,RTD("tos.rtd",,"OPEN_INT","."&amp;$AA$3&amp;$AA$4&amp;"P"&amp;BR$4))*100</f>
        <v>0</v>
      </c>
      <c r="BS13" s="18">
        <f>MAX(0, $A13-BS$4)*IF(RTD("tos.rtd",,"OPEN_INT","."&amp;$AA$3&amp;$AA$4&amp;"C"&amp;BS$4)="N/A",0,RTD("tos.rtd",,"OPEN_INT","."&amp;$AA$3&amp;$AA$4&amp;"C"&amp;BS$4))*100 + MAX(0, BS$4-$A13)*IF(RTD("tos.rtd",,"OPEN_INT","."&amp;$AA$3&amp;$AA$4&amp;"P"&amp;BS$4)="N/A",0,RTD("tos.rtd",,"OPEN_INT","."&amp;$AA$3&amp;$AA$4&amp;"P"&amp;BS$4))*100</f>
        <v>0</v>
      </c>
      <c r="BT13" s="18">
        <f>MAX(0, $A13-BT$4)*IF(RTD("tos.rtd",,"OPEN_INT","."&amp;$AA$3&amp;$AA$4&amp;"C"&amp;BT$4)="N/A",0,RTD("tos.rtd",,"OPEN_INT","."&amp;$AA$3&amp;$AA$4&amp;"C"&amp;BT$4))*100 + MAX(0, BT$4-$A13)*IF(RTD("tos.rtd",,"OPEN_INT","."&amp;$AA$3&amp;$AA$4&amp;"P"&amp;BT$4)="N/A",0,RTD("tos.rtd",,"OPEN_INT","."&amp;$AA$3&amp;$AA$4&amp;"P"&amp;BT$4))*100</f>
        <v>0</v>
      </c>
      <c r="BU13" s="18">
        <f>MAX(0, $A13-BU$4)*IF(RTD("tos.rtd",,"OPEN_INT","."&amp;$AA$3&amp;$AA$4&amp;"C"&amp;BU$4)="N/A",0,RTD("tos.rtd",,"OPEN_INT","."&amp;$AA$3&amp;$AA$4&amp;"C"&amp;BU$4))*100 + MAX(0, BU$4-$A13)*IF(RTD("tos.rtd",,"OPEN_INT","."&amp;$AA$3&amp;$AA$4&amp;"P"&amp;BU$4)="N/A",0,RTD("tos.rtd",,"OPEN_INT","."&amp;$AA$3&amp;$AA$4&amp;"P"&amp;BU$4))*100</f>
        <v>0</v>
      </c>
      <c r="BV13" s="18">
        <f>MAX(0, $A13-BV$4)*IF(RTD("tos.rtd",,"OPEN_INT","."&amp;$AA$3&amp;$AA$4&amp;"C"&amp;BV$4)="N/A",0,RTD("tos.rtd",,"OPEN_INT","."&amp;$AA$3&amp;$AA$4&amp;"C"&amp;BV$4))*100 + MAX(0, BV$4-$A13)*IF(RTD("tos.rtd",,"OPEN_INT","."&amp;$AA$3&amp;$AA$4&amp;"P"&amp;BV$4)="N/A",0,RTD("tos.rtd",,"OPEN_INT","."&amp;$AA$3&amp;$AA$4&amp;"P"&amp;BV$4))*100</f>
        <v>0</v>
      </c>
    </row>
    <row r="14" spans="1:74" s="19" customFormat="1" ht="11.1" customHeight="1" thickBot="1" x14ac:dyDescent="0.3">
      <c r="A14" s="23">
        <f t="shared" si="6"/>
        <v>17</v>
      </c>
      <c r="B14" s="14">
        <f ca="1">IF($A$2="PREMIUM_OI",IFERROR(IF($X$1="ABS",(100*RTD("tos.rtd",,"OPEN_INT","."&amp;B$2&amp;B$1&amp;"C"&amp;$A14)*RTD("tos.rtd",,"LAST","."&amp;B$2&amp;B$1&amp;"C"&amp;$A14)+100*RTD("tos.rtd",,"OPEN_INT","."&amp;B$2&amp;B$1&amp;"P"&amp;$A14)*RTD("tos.rtd",,"LAST","."&amp;B$2&amp;B$1&amp;"P"&amp;$A14))/1000000,(100*RTD("tos.rtd",,"OPEN_INT","."&amp;B$2&amp;B$1&amp;"C"&amp;$A14)*RTD("tos.rtd",,"LAST","."&amp;B$2&amp;B$1&amp;"C"&amp;$A14)-100*RTD("tos.rtd",,"OPEN_INT","."&amp;B$2&amp;B$1&amp;"P"&amp;$A14)*RTD("tos.rtd",,"LAST","."&amp;B$2&amp;B$1&amp;"P"&amp;$A14))/1000000),0),IF($A$2="PREMIUM",IFERROR(IF($X$1="ABS",(100*RTD("tos.rtd",,"VOLUME","."&amp;B$2&amp;B$1&amp;"C"&amp;$A14)*RTD("tos.rtd",,"LAST","."&amp;B$2&amp;B$1&amp;"C"&amp;$A14)+100*RTD("tos.rtd",,"VOLUME","."&amp;B$2&amp;B$1&amp;"P"&amp;$A14)*RTD("tos.rtd",,"LAST","."&amp;B$2&amp;B$1&amp;"P"&amp;$A14))/1000000,(100*RTD("tos.rtd",,"VOLUME","."&amp;B$2&amp;B$1&amp;"C"&amp;$A14)*RTD("tos.rtd",,"LAST","."&amp;B$2&amp;B$1&amp;"C"&amp;$A14)-100*RTD("tos.rtd",,"VOLUME","."&amp;B$2&amp;B$1&amp;"P"&amp;$A14)*RTD("tos.rtd",,"LAST","."&amp;B$2&amp;B$1&amp;"P"&amp;$A14))/1000000),0),IF($A$2="DEX",IFERROR(IF($X$1="ABS",(100*RTD("tos.rtd",,"OPEN_INT","."&amp;B$2&amp;B$1&amp;"C"&amp;$A14)*RTD("tos.rtd",,"DELTA","."&amp;B$2&amp;B$1&amp;"C"&amp;$A14)+100*RTD("tos.rtd",,"OPEN_INT","."&amp;B$2&amp;B$1&amp;"P"&amp;$A14)*RTD("tos.rtd",,"DELTA","."&amp;B$2&amp;B$1&amp;"P"&amp;$A14))/1000,(100*RTD("tos.rtd",,"OPEN_INT","."&amp;B$2&amp;B$1&amp;"C"&amp;$A14)*RTD("tos.rtd",,"DELTA","."&amp;B$2&amp;B$1&amp;"C"&amp;$A14)-100*RTD("tos.rtd",,"OPEN_INT","."&amp;B$2&amp;B$1&amp;"P"&amp;$A14)*RTD("tos.rtd",,"DELTA","."&amp;B$2&amp;B$1&amp;"P"&amp;$A14))/1000),0),IF($A$2="VEX",IFERROR(IF($X$1="ABS",($A$4*$A$4*RTD("tos.rtd",,"VOLUME","."&amp;B$2&amp;B$1&amp;"C"&amp;$A14)*RTD("tos.rtd",,"GAMMA","."&amp;B$2&amp;B$1&amp;"C"&amp;$A14)+$A$4*$A$4*RTD("tos.rtd",,"VOLUME","."&amp;B$2&amp;B$1&amp;"P"&amp;$A14)*RTD("tos.rtd",,"GAMMA","."&amp;B$2&amp;B$1&amp;"P"&amp;$A14))/1000000,($A$4*$A$4*RTD("tos.rtd",,"VOLUME","."&amp;B$2&amp;B$1&amp;"C"&amp;$A14)*RTD("tos.rtd",,"GAMMA","."&amp;B$2&amp;B$1&amp;"C"&amp;$A14)-$A$4*$A$4*RTD("tos.rtd",,"VOLUME","."&amp;B$2&amp;B$1&amp;"P"&amp;$A14)*RTD("tos.rtd",,"GAMMA","."&amp;B$2&amp;B$1&amp;"P"&amp;$A14))/1000000),0),IF($A$2="GEX",IFERROR(IF($X$1="ABS",($A$4*$A$4*RTD("tos.rtd",,"OPEN_INT","."&amp;B$2&amp;B$1&amp;"C"&amp;$A14)*RTD("tos.rtd",,"GAMMA","."&amp;B$2&amp;B$1&amp;"C"&amp;$A14)+$A$4*$A$4*RTD("tos.rtd",,"OPEN_INT","."&amp;B$2&amp;B$1&amp;"P"&amp;$A14)*RTD("tos.rtd",,"GAMMA","."&amp;B$2&amp;B$1&amp;"P"&amp;$A14))/1000000,($A$4*$A$4*RTD("tos.rtd",,"OPEN_INT","."&amp;B$2&amp;B$1&amp;"C"&amp;$A14)*RTD("tos.rtd",,"GAMMA","."&amp;B$2&amp;B$1&amp;"C"&amp;$A14)-$A$4*$A$4*RTD("tos.rtd",,"OPEN_INT","."&amp;B$2&amp;B$1&amp;"P"&amp;$A14)*RTD("tos.rtd",,"GAMMA","."&amp;B$2&amp;B$1&amp;"P"&amp;$A14))/1000000),0),IF($A$2="SKEW",IFERROR(VALUE(IF(RTD("tos.rtd",,"IMPL_VOL","."&amp;B$2&amp;B$1&amp;"P"&amp;$A14)="N/A",0,RTD("tos.rtd",,"IMPL_VOL","."&amp;B$2&amp;B$1&amp;"P"&amp;$A14))),0)-IFERROR(VALUE(IF(RTD("tos.rtd",,"IMPL_VOL","."&amp;B$2&amp;B$1&amp;"C"&amp;$A14)="N/A",0,RTD("tos.rtd",,"IMPL_VOL","."&amp;B$2&amp;B$1&amp;"C"&amp;$A14))),0),IF($A$2="MAXPAIN",IF($A$4&gt;$A14,($A$4-$A14)*IF(RTD("tos.rtd",,"OPEN_INT","."&amp;B$2&amp;B$1&amp;"C"&amp;$A14)="N/A",0,RTD("tos.rtd",,"OPEN_INT","."&amp;B$2&amp;B$1&amp;"C"&amp;$A14)),0)+IF($A$4&lt;$A14,($A$5-$A$4)*IF(RTD("tos.rtd",,"OPEN_INT","."&amp;B$2&amp;B$1&amp;"P"&amp;$A14)="N/A",0,RTD("tos.rtd",,"OPEN_INT","."&amp;B$2&amp;B$1&amp;"P"&amp;$A14)),0),IF($X$1="ABS",IF(RTD("tos.rtd",,$A$2,"."&amp;B$2&amp;B$1&amp;"C"&amp;$A14)="N/A",0,RTD("tos.rtd",,$A$2,"."&amp;B$2&amp;B$1&amp;"C"&amp;$A14))+IF(RTD("tos.rtd",,$A$2,"."&amp;B$2&amp;B$1&amp;"P"&amp;$A14)="N/A",0,RTD("tos.rtd",,$A$2,"."&amp;B$2&amp;B$1&amp;"P"&amp;$A14)),IF(RTD("tos.rtd",,$A$2,"."&amp;B$2&amp;B$1&amp;"C"&amp;$A14)="N/A",0,RTD("tos.rtd",,$A$2,"."&amp;B$2&amp;B$1&amp;"C"&amp;$A14))-IF(RTD("tos.rtd",,$A$2,"."&amp;B$2&amp;B$1&amp;"P"&amp;$A14)="N/A",0,RTD("tos.rtd",,$A$2,"."&amp;B$2&amp;B$1&amp;"P"&amp;$A14))))))))))</f>
        <v>0</v>
      </c>
      <c r="C14" s="12">
        <f ca="1">IF($A$2="PREMIUM_OI",IFERROR(IF($X$1="ABS",(100*RTD("tos.rtd",,"OPEN_INT","."&amp;C$2&amp;C$1&amp;"C"&amp;$A14)*RTD("tos.rtd",,"LAST","."&amp;C$2&amp;C$1&amp;"C"&amp;$A14)+100*RTD("tos.rtd",,"OPEN_INT","."&amp;C$2&amp;C$1&amp;"P"&amp;$A14)*RTD("tos.rtd",,"LAST","."&amp;C$2&amp;C$1&amp;"P"&amp;$A14))/1000000,(100*RTD("tos.rtd",,"OPEN_INT","."&amp;C$2&amp;C$1&amp;"C"&amp;$A14)*RTD("tos.rtd",,"LAST","."&amp;C$2&amp;C$1&amp;"C"&amp;$A14)-100*RTD("tos.rtd",,"OPEN_INT","."&amp;C$2&amp;C$1&amp;"P"&amp;$A14)*RTD("tos.rtd",,"LAST","."&amp;C$2&amp;C$1&amp;"P"&amp;$A14))/1000000),0),IF($A$2="PREMIUM",IFERROR(IF($X$1="ABS",(100*RTD("tos.rtd",,"VOLUME","."&amp;C$2&amp;C$1&amp;"C"&amp;$A14)*RTD("tos.rtd",,"LAST","."&amp;C$2&amp;C$1&amp;"C"&amp;$A14)+100*RTD("tos.rtd",,"VOLUME","."&amp;C$2&amp;C$1&amp;"P"&amp;$A14)*RTD("tos.rtd",,"LAST","."&amp;C$2&amp;C$1&amp;"P"&amp;$A14))/1000000,(100*RTD("tos.rtd",,"VOLUME","."&amp;C$2&amp;C$1&amp;"C"&amp;$A14)*RTD("tos.rtd",,"LAST","."&amp;C$2&amp;C$1&amp;"C"&amp;$A14)-100*RTD("tos.rtd",,"VOLUME","."&amp;C$2&amp;C$1&amp;"P"&amp;$A14)*RTD("tos.rtd",,"LAST","."&amp;C$2&amp;C$1&amp;"P"&amp;$A14))/1000000),0),IF($A$2="DEX",IFERROR(IF($X$1="ABS",(100*RTD("tos.rtd",,"OPEN_INT","."&amp;C$2&amp;C$1&amp;"C"&amp;$A14)*RTD("tos.rtd",,"DELTA","."&amp;C$2&amp;C$1&amp;"C"&amp;$A14)+100*RTD("tos.rtd",,"OPEN_INT","."&amp;C$2&amp;C$1&amp;"P"&amp;$A14)*RTD("tos.rtd",,"DELTA","."&amp;C$2&amp;C$1&amp;"P"&amp;$A14))/1000,(100*RTD("tos.rtd",,"OPEN_INT","."&amp;C$2&amp;C$1&amp;"C"&amp;$A14)*RTD("tos.rtd",,"DELTA","."&amp;C$2&amp;C$1&amp;"C"&amp;$A14)-100*RTD("tos.rtd",,"OPEN_INT","."&amp;C$2&amp;C$1&amp;"P"&amp;$A14)*RTD("tos.rtd",,"DELTA","."&amp;C$2&amp;C$1&amp;"P"&amp;$A14))/1000),0),IF($A$2="VEX",IFERROR(IF($X$1="ABS",($A$4*$A$4*RTD("tos.rtd",,"VOLUME","."&amp;C$2&amp;C$1&amp;"C"&amp;$A14)*RTD("tos.rtd",,"GAMMA","."&amp;C$2&amp;C$1&amp;"C"&amp;$A14)+$A$4*$A$4*RTD("tos.rtd",,"VOLUME","."&amp;C$2&amp;C$1&amp;"P"&amp;$A14)*RTD("tos.rtd",,"GAMMA","."&amp;C$2&amp;C$1&amp;"P"&amp;$A14))/1000000,($A$4*$A$4*RTD("tos.rtd",,"VOLUME","."&amp;C$2&amp;C$1&amp;"C"&amp;$A14)*RTD("tos.rtd",,"GAMMA","."&amp;C$2&amp;C$1&amp;"C"&amp;$A14)-$A$4*$A$4*RTD("tos.rtd",,"VOLUME","."&amp;C$2&amp;C$1&amp;"P"&amp;$A14)*RTD("tos.rtd",,"GAMMA","."&amp;C$2&amp;C$1&amp;"P"&amp;$A14))/1000000),0),IF($A$2="GEX",IFERROR(IF($X$1="ABS",($A$4*$A$4*RTD("tos.rtd",,"OPEN_INT","."&amp;C$2&amp;C$1&amp;"C"&amp;$A14)*RTD("tos.rtd",,"GAMMA","."&amp;C$2&amp;C$1&amp;"C"&amp;$A14)+$A$4*$A$4*RTD("tos.rtd",,"OPEN_INT","."&amp;C$2&amp;C$1&amp;"P"&amp;$A14)*RTD("tos.rtd",,"GAMMA","."&amp;C$2&amp;C$1&amp;"P"&amp;$A14))/1000000,($A$4*$A$4*RTD("tos.rtd",,"OPEN_INT","."&amp;C$2&amp;C$1&amp;"C"&amp;$A14)*RTD("tos.rtd",,"GAMMA","."&amp;C$2&amp;C$1&amp;"C"&amp;$A14)-$A$4*$A$4*RTD("tos.rtd",,"OPEN_INT","."&amp;C$2&amp;C$1&amp;"P"&amp;$A14)*RTD("tos.rtd",,"GAMMA","."&amp;C$2&amp;C$1&amp;"P"&amp;$A14))/1000000),0),IF($A$2="SKEW",IFERROR(VALUE(IF(RTD("tos.rtd",,"IMPL_VOL","."&amp;C$2&amp;C$1&amp;"P"&amp;$A14)="N/A",0,RTD("tos.rtd",,"IMPL_VOL","."&amp;C$2&amp;C$1&amp;"P"&amp;$A14))),0)-IFERROR(VALUE(IF(RTD("tos.rtd",,"IMPL_VOL","."&amp;C$2&amp;C$1&amp;"C"&amp;$A14)="N/A",0,RTD("tos.rtd",,"IMPL_VOL","."&amp;C$2&amp;C$1&amp;"C"&amp;$A14))),0),IF($A$2="MAXPAIN",IF($A$4&gt;$A14,($A$4-$A14)*IF(RTD("tos.rtd",,"OPEN_INT","."&amp;C$2&amp;C$1&amp;"C"&amp;$A14)="N/A",0,RTD("tos.rtd",,"OPEN_INT","."&amp;C$2&amp;C$1&amp;"C"&amp;$A14)),0)+IF($A$4&lt;$A14,($A$5-$A$4)*IF(RTD("tos.rtd",,"OPEN_INT","."&amp;C$2&amp;C$1&amp;"P"&amp;$A14)="N/A",0,RTD("tos.rtd",,"OPEN_INT","."&amp;C$2&amp;C$1&amp;"P"&amp;$A14)),0),IF($X$1="ABS",IF(RTD("tos.rtd",,$A$2,"."&amp;C$2&amp;C$1&amp;"C"&amp;$A14)="N/A",0,RTD("tos.rtd",,$A$2,"."&amp;C$2&amp;C$1&amp;"C"&amp;$A14))+IF(RTD("tos.rtd",,$A$2,"."&amp;C$2&amp;C$1&amp;"P"&amp;$A14)="N/A",0,RTD("tos.rtd",,$A$2,"."&amp;C$2&amp;C$1&amp;"P"&amp;$A14)),IF(RTD("tos.rtd",,$A$2,"."&amp;C$2&amp;C$1&amp;"C"&amp;$A14)="N/A",0,RTD("tos.rtd",,$A$2,"."&amp;C$2&amp;C$1&amp;"C"&amp;$A14))-IF(RTD("tos.rtd",,$A$2,"."&amp;C$2&amp;C$1&amp;"P"&amp;$A14)="N/A",0,RTD("tos.rtd",,$A$2,"."&amp;C$2&amp;C$1&amp;"P"&amp;$A14))))))))))</f>
        <v>2813</v>
      </c>
      <c r="D14" s="12">
        <f ca="1">IF($A$2="PREMIUM_OI",IFERROR(IF($X$1="ABS",(100*RTD("tos.rtd",,"OPEN_INT","."&amp;D$2&amp;D$1&amp;"C"&amp;$A14)*RTD("tos.rtd",,"LAST","."&amp;D$2&amp;D$1&amp;"C"&amp;$A14)+100*RTD("tos.rtd",,"OPEN_INT","."&amp;D$2&amp;D$1&amp;"P"&amp;$A14)*RTD("tos.rtd",,"LAST","."&amp;D$2&amp;D$1&amp;"P"&amp;$A14))/1000000,(100*RTD("tos.rtd",,"OPEN_INT","."&amp;D$2&amp;D$1&amp;"C"&amp;$A14)*RTD("tos.rtd",,"LAST","."&amp;D$2&amp;D$1&amp;"C"&amp;$A14)-100*RTD("tos.rtd",,"OPEN_INT","."&amp;D$2&amp;D$1&amp;"P"&amp;$A14)*RTD("tos.rtd",,"LAST","."&amp;D$2&amp;D$1&amp;"P"&amp;$A14))/1000000),0),IF($A$2="PREMIUM",IFERROR(IF($X$1="ABS",(100*RTD("tos.rtd",,"VOLUME","."&amp;D$2&amp;D$1&amp;"C"&amp;$A14)*RTD("tos.rtd",,"LAST","."&amp;D$2&amp;D$1&amp;"C"&amp;$A14)+100*RTD("tos.rtd",,"VOLUME","."&amp;D$2&amp;D$1&amp;"P"&amp;$A14)*RTD("tos.rtd",,"LAST","."&amp;D$2&amp;D$1&amp;"P"&amp;$A14))/1000000,(100*RTD("tos.rtd",,"VOLUME","."&amp;D$2&amp;D$1&amp;"C"&amp;$A14)*RTD("tos.rtd",,"LAST","."&amp;D$2&amp;D$1&amp;"C"&amp;$A14)-100*RTD("tos.rtd",,"VOLUME","."&amp;D$2&amp;D$1&amp;"P"&amp;$A14)*RTD("tos.rtd",,"LAST","."&amp;D$2&amp;D$1&amp;"P"&amp;$A14))/1000000),0),IF($A$2="DEX",IFERROR(IF($X$1="ABS",(100*RTD("tos.rtd",,"OPEN_INT","."&amp;D$2&amp;D$1&amp;"C"&amp;$A14)*RTD("tos.rtd",,"DELTA","."&amp;D$2&amp;D$1&amp;"C"&amp;$A14)+100*RTD("tos.rtd",,"OPEN_INT","."&amp;D$2&amp;D$1&amp;"P"&amp;$A14)*RTD("tos.rtd",,"DELTA","."&amp;D$2&amp;D$1&amp;"P"&amp;$A14))/1000,(100*RTD("tos.rtd",,"OPEN_INT","."&amp;D$2&amp;D$1&amp;"C"&amp;$A14)*RTD("tos.rtd",,"DELTA","."&amp;D$2&amp;D$1&amp;"C"&amp;$A14)-100*RTD("tos.rtd",,"OPEN_INT","."&amp;D$2&amp;D$1&amp;"P"&amp;$A14)*RTD("tos.rtd",,"DELTA","."&amp;D$2&amp;D$1&amp;"P"&amp;$A14))/1000),0),IF($A$2="VEX",IFERROR(IF($X$1="ABS",($A$4*$A$4*RTD("tos.rtd",,"VOLUME","."&amp;D$2&amp;D$1&amp;"C"&amp;$A14)*RTD("tos.rtd",,"GAMMA","."&amp;D$2&amp;D$1&amp;"C"&amp;$A14)+$A$4*$A$4*RTD("tos.rtd",,"VOLUME","."&amp;D$2&amp;D$1&amp;"P"&amp;$A14)*RTD("tos.rtd",,"GAMMA","."&amp;D$2&amp;D$1&amp;"P"&amp;$A14))/1000000,($A$4*$A$4*RTD("tos.rtd",,"VOLUME","."&amp;D$2&amp;D$1&amp;"C"&amp;$A14)*RTD("tos.rtd",,"GAMMA","."&amp;D$2&amp;D$1&amp;"C"&amp;$A14)-$A$4*$A$4*RTD("tos.rtd",,"VOLUME","."&amp;D$2&amp;D$1&amp;"P"&amp;$A14)*RTD("tos.rtd",,"GAMMA","."&amp;D$2&amp;D$1&amp;"P"&amp;$A14))/1000000),0),IF($A$2="GEX",IFERROR(IF($X$1="ABS",($A$4*$A$4*RTD("tos.rtd",,"OPEN_INT","."&amp;D$2&amp;D$1&amp;"C"&amp;$A14)*RTD("tos.rtd",,"GAMMA","."&amp;D$2&amp;D$1&amp;"C"&amp;$A14)+$A$4*$A$4*RTD("tos.rtd",,"OPEN_INT","."&amp;D$2&amp;D$1&amp;"P"&amp;$A14)*RTD("tos.rtd",,"GAMMA","."&amp;D$2&amp;D$1&amp;"P"&amp;$A14))/1000000,($A$4*$A$4*RTD("tos.rtd",,"OPEN_INT","."&amp;D$2&amp;D$1&amp;"C"&amp;$A14)*RTD("tos.rtd",,"GAMMA","."&amp;D$2&amp;D$1&amp;"C"&amp;$A14)-$A$4*$A$4*RTD("tos.rtd",,"OPEN_INT","."&amp;D$2&amp;D$1&amp;"P"&amp;$A14)*RTD("tos.rtd",,"GAMMA","."&amp;D$2&amp;D$1&amp;"P"&amp;$A14))/1000000),0),IF($A$2="SKEW",IFERROR(VALUE(IF(RTD("tos.rtd",,"IMPL_VOL","."&amp;D$2&amp;D$1&amp;"P"&amp;$A14)="N/A",0,RTD("tos.rtd",,"IMPL_VOL","."&amp;D$2&amp;D$1&amp;"P"&amp;$A14))),0)-IFERROR(VALUE(IF(RTD("tos.rtd",,"IMPL_VOL","."&amp;D$2&amp;D$1&amp;"C"&amp;$A14)="N/A",0,RTD("tos.rtd",,"IMPL_VOL","."&amp;D$2&amp;D$1&amp;"C"&amp;$A14))),0),IF($A$2="MAXPAIN",IF($A$4&gt;$A14,($A$4-$A14)*IF(RTD("tos.rtd",,"OPEN_INT","."&amp;D$2&amp;D$1&amp;"C"&amp;$A14)="N/A",0,RTD("tos.rtd",,"OPEN_INT","."&amp;D$2&amp;D$1&amp;"C"&amp;$A14)),0)+IF($A$4&lt;$A14,($A$5-$A$4)*IF(RTD("tos.rtd",,"OPEN_INT","."&amp;D$2&amp;D$1&amp;"P"&amp;$A14)="N/A",0,RTD("tos.rtd",,"OPEN_INT","."&amp;D$2&amp;D$1&amp;"P"&amp;$A14)),0),IF($X$1="ABS",IF(RTD("tos.rtd",,$A$2,"."&amp;D$2&amp;D$1&amp;"C"&amp;$A14)="N/A",0,RTD("tos.rtd",,$A$2,"."&amp;D$2&amp;D$1&amp;"C"&amp;$A14))+IF(RTD("tos.rtd",,$A$2,"."&amp;D$2&amp;D$1&amp;"P"&amp;$A14)="N/A",0,RTD("tos.rtd",,$A$2,"."&amp;D$2&amp;D$1&amp;"P"&amp;$A14)),IF(RTD("tos.rtd",,$A$2,"."&amp;D$2&amp;D$1&amp;"C"&amp;$A14)="N/A",0,RTD("tos.rtd",,$A$2,"."&amp;D$2&amp;D$1&amp;"C"&amp;$A14))-IF(RTD("tos.rtd",,$A$2,"."&amp;D$2&amp;D$1&amp;"P"&amp;$A14)="N/A",0,RTD("tos.rtd",,$A$2,"."&amp;D$2&amp;D$1&amp;"P"&amp;$A14))))))))))</f>
        <v>1055</v>
      </c>
      <c r="E14" s="12">
        <f ca="1">IF($A$2="PREMIUM_OI",IFERROR(IF($X$1="ABS",(100*RTD("tos.rtd",,"OPEN_INT","."&amp;E$2&amp;E$1&amp;"C"&amp;$A14)*RTD("tos.rtd",,"LAST","."&amp;E$2&amp;E$1&amp;"C"&amp;$A14)+100*RTD("tos.rtd",,"OPEN_INT","."&amp;E$2&amp;E$1&amp;"P"&amp;$A14)*RTD("tos.rtd",,"LAST","."&amp;E$2&amp;E$1&amp;"P"&amp;$A14))/1000000,(100*RTD("tos.rtd",,"OPEN_INT","."&amp;E$2&amp;E$1&amp;"C"&amp;$A14)*RTD("tos.rtd",,"LAST","."&amp;E$2&amp;E$1&amp;"C"&amp;$A14)-100*RTD("tos.rtd",,"OPEN_INT","."&amp;E$2&amp;E$1&amp;"P"&amp;$A14)*RTD("tos.rtd",,"LAST","."&amp;E$2&amp;E$1&amp;"P"&amp;$A14))/1000000),0),IF($A$2="PREMIUM",IFERROR(IF($X$1="ABS",(100*RTD("tos.rtd",,"VOLUME","."&amp;E$2&amp;E$1&amp;"C"&amp;$A14)*RTD("tos.rtd",,"LAST","."&amp;E$2&amp;E$1&amp;"C"&amp;$A14)+100*RTD("tos.rtd",,"VOLUME","."&amp;E$2&amp;E$1&amp;"P"&amp;$A14)*RTD("tos.rtd",,"LAST","."&amp;E$2&amp;E$1&amp;"P"&amp;$A14))/1000000,(100*RTD("tos.rtd",,"VOLUME","."&amp;E$2&amp;E$1&amp;"C"&amp;$A14)*RTD("tos.rtd",,"LAST","."&amp;E$2&amp;E$1&amp;"C"&amp;$A14)-100*RTD("tos.rtd",,"VOLUME","."&amp;E$2&amp;E$1&amp;"P"&amp;$A14)*RTD("tos.rtd",,"LAST","."&amp;E$2&amp;E$1&amp;"P"&amp;$A14))/1000000),0),IF($A$2="DEX",IFERROR(IF($X$1="ABS",(100*RTD("tos.rtd",,"OPEN_INT","."&amp;E$2&amp;E$1&amp;"C"&amp;$A14)*RTD("tos.rtd",,"DELTA","."&amp;E$2&amp;E$1&amp;"C"&amp;$A14)+100*RTD("tos.rtd",,"OPEN_INT","."&amp;E$2&amp;E$1&amp;"P"&amp;$A14)*RTD("tos.rtd",,"DELTA","."&amp;E$2&amp;E$1&amp;"P"&amp;$A14))/1000,(100*RTD("tos.rtd",,"OPEN_INT","."&amp;E$2&amp;E$1&amp;"C"&amp;$A14)*RTD("tos.rtd",,"DELTA","."&amp;E$2&amp;E$1&amp;"C"&amp;$A14)-100*RTD("tos.rtd",,"OPEN_INT","."&amp;E$2&amp;E$1&amp;"P"&amp;$A14)*RTD("tos.rtd",,"DELTA","."&amp;E$2&amp;E$1&amp;"P"&amp;$A14))/1000),0),IF($A$2="VEX",IFERROR(IF($X$1="ABS",($A$4*$A$4*RTD("tos.rtd",,"VOLUME","."&amp;E$2&amp;E$1&amp;"C"&amp;$A14)*RTD("tos.rtd",,"GAMMA","."&amp;E$2&amp;E$1&amp;"C"&amp;$A14)+$A$4*$A$4*RTD("tos.rtd",,"VOLUME","."&amp;E$2&amp;E$1&amp;"P"&amp;$A14)*RTD("tos.rtd",,"GAMMA","."&amp;E$2&amp;E$1&amp;"P"&amp;$A14))/1000000,($A$4*$A$4*RTD("tos.rtd",,"VOLUME","."&amp;E$2&amp;E$1&amp;"C"&amp;$A14)*RTD("tos.rtd",,"GAMMA","."&amp;E$2&amp;E$1&amp;"C"&amp;$A14)-$A$4*$A$4*RTD("tos.rtd",,"VOLUME","."&amp;E$2&amp;E$1&amp;"P"&amp;$A14)*RTD("tos.rtd",,"GAMMA","."&amp;E$2&amp;E$1&amp;"P"&amp;$A14))/1000000),0),IF($A$2="GEX",IFERROR(IF($X$1="ABS",($A$4*$A$4*RTD("tos.rtd",,"OPEN_INT","."&amp;E$2&amp;E$1&amp;"C"&amp;$A14)*RTD("tos.rtd",,"GAMMA","."&amp;E$2&amp;E$1&amp;"C"&amp;$A14)+$A$4*$A$4*RTD("tos.rtd",,"OPEN_INT","."&amp;E$2&amp;E$1&amp;"P"&amp;$A14)*RTD("tos.rtd",,"GAMMA","."&amp;E$2&amp;E$1&amp;"P"&amp;$A14))/1000000,($A$4*$A$4*RTD("tos.rtd",,"OPEN_INT","."&amp;E$2&amp;E$1&amp;"C"&amp;$A14)*RTD("tos.rtd",,"GAMMA","."&amp;E$2&amp;E$1&amp;"C"&amp;$A14)-$A$4*$A$4*RTD("tos.rtd",,"OPEN_INT","."&amp;E$2&amp;E$1&amp;"P"&amp;$A14)*RTD("tos.rtd",,"GAMMA","."&amp;E$2&amp;E$1&amp;"P"&amp;$A14))/1000000),0),IF($A$2="SKEW",IFERROR(VALUE(IF(RTD("tos.rtd",,"IMPL_VOL","."&amp;E$2&amp;E$1&amp;"P"&amp;$A14)="N/A",0,RTD("tos.rtd",,"IMPL_VOL","."&amp;E$2&amp;E$1&amp;"P"&amp;$A14))),0)-IFERROR(VALUE(IF(RTD("tos.rtd",,"IMPL_VOL","."&amp;E$2&amp;E$1&amp;"C"&amp;$A14)="N/A",0,RTD("tos.rtd",,"IMPL_VOL","."&amp;E$2&amp;E$1&amp;"C"&amp;$A14))),0),IF($A$2="MAXPAIN",IF($A$4&gt;$A14,($A$4-$A14)*IF(RTD("tos.rtd",,"OPEN_INT","."&amp;E$2&amp;E$1&amp;"C"&amp;$A14)="N/A",0,RTD("tos.rtd",,"OPEN_INT","."&amp;E$2&amp;E$1&amp;"C"&amp;$A14)),0)+IF($A$4&lt;$A14,($A$5-$A$4)*IF(RTD("tos.rtd",,"OPEN_INT","."&amp;E$2&amp;E$1&amp;"P"&amp;$A14)="N/A",0,RTD("tos.rtd",,"OPEN_INT","."&amp;E$2&amp;E$1&amp;"P"&amp;$A14)),0),IF($X$1="ABS",IF(RTD("tos.rtd",,$A$2,"."&amp;E$2&amp;E$1&amp;"C"&amp;$A14)="N/A",0,RTD("tos.rtd",,$A$2,"."&amp;E$2&amp;E$1&amp;"C"&amp;$A14))+IF(RTD("tos.rtd",,$A$2,"."&amp;E$2&amp;E$1&amp;"P"&amp;$A14)="N/A",0,RTD("tos.rtd",,$A$2,"."&amp;E$2&amp;E$1&amp;"P"&amp;$A14)),IF(RTD("tos.rtd",,$A$2,"."&amp;E$2&amp;E$1&amp;"C"&amp;$A14)="N/A",0,RTD("tos.rtd",,$A$2,"."&amp;E$2&amp;E$1&amp;"C"&amp;$A14))-IF(RTD("tos.rtd",,$A$2,"."&amp;E$2&amp;E$1&amp;"P"&amp;$A14)="N/A",0,RTD("tos.rtd",,$A$2,"."&amp;E$2&amp;E$1&amp;"P"&amp;$A14))))))))))</f>
        <v>2068</v>
      </c>
      <c r="F14" s="12">
        <f ca="1">IF($A$2="PREMIUM_OI",IFERROR(IF($X$1="ABS",(100*RTD("tos.rtd",,"OPEN_INT","."&amp;F$2&amp;F$1&amp;"C"&amp;$A14)*RTD("tos.rtd",,"LAST","."&amp;F$2&amp;F$1&amp;"C"&amp;$A14)+100*RTD("tos.rtd",,"OPEN_INT","."&amp;F$2&amp;F$1&amp;"P"&amp;$A14)*RTD("tos.rtd",,"LAST","."&amp;F$2&amp;F$1&amp;"P"&amp;$A14))/1000000,(100*RTD("tos.rtd",,"OPEN_INT","."&amp;F$2&amp;F$1&amp;"C"&amp;$A14)*RTD("tos.rtd",,"LAST","."&amp;F$2&amp;F$1&amp;"C"&amp;$A14)-100*RTD("tos.rtd",,"OPEN_INT","."&amp;F$2&amp;F$1&amp;"P"&amp;$A14)*RTD("tos.rtd",,"LAST","."&amp;F$2&amp;F$1&amp;"P"&amp;$A14))/1000000),0),IF($A$2="PREMIUM",IFERROR(IF($X$1="ABS",(100*RTD("tos.rtd",,"VOLUME","."&amp;F$2&amp;F$1&amp;"C"&amp;$A14)*RTD("tos.rtd",,"LAST","."&amp;F$2&amp;F$1&amp;"C"&amp;$A14)+100*RTD("tos.rtd",,"VOLUME","."&amp;F$2&amp;F$1&amp;"P"&amp;$A14)*RTD("tos.rtd",,"LAST","."&amp;F$2&amp;F$1&amp;"P"&amp;$A14))/1000000,(100*RTD("tos.rtd",,"VOLUME","."&amp;F$2&amp;F$1&amp;"C"&amp;$A14)*RTD("tos.rtd",,"LAST","."&amp;F$2&amp;F$1&amp;"C"&amp;$A14)-100*RTD("tos.rtd",,"VOLUME","."&amp;F$2&amp;F$1&amp;"P"&amp;$A14)*RTD("tos.rtd",,"LAST","."&amp;F$2&amp;F$1&amp;"P"&amp;$A14))/1000000),0),IF($A$2="DEX",IFERROR(IF($X$1="ABS",(100*RTD("tos.rtd",,"OPEN_INT","."&amp;F$2&amp;F$1&amp;"C"&amp;$A14)*RTD("tos.rtd",,"DELTA","."&amp;F$2&amp;F$1&amp;"C"&amp;$A14)+100*RTD("tos.rtd",,"OPEN_INT","."&amp;F$2&amp;F$1&amp;"P"&amp;$A14)*RTD("tos.rtd",,"DELTA","."&amp;F$2&amp;F$1&amp;"P"&amp;$A14))/1000,(100*RTD("tos.rtd",,"OPEN_INT","."&amp;F$2&amp;F$1&amp;"C"&amp;$A14)*RTD("tos.rtd",,"DELTA","."&amp;F$2&amp;F$1&amp;"C"&amp;$A14)-100*RTD("tos.rtd",,"OPEN_INT","."&amp;F$2&amp;F$1&amp;"P"&amp;$A14)*RTD("tos.rtd",,"DELTA","."&amp;F$2&amp;F$1&amp;"P"&amp;$A14))/1000),0),IF($A$2="VEX",IFERROR(IF($X$1="ABS",($A$4*$A$4*RTD("tos.rtd",,"VOLUME","."&amp;F$2&amp;F$1&amp;"C"&amp;$A14)*RTD("tos.rtd",,"GAMMA","."&amp;F$2&amp;F$1&amp;"C"&amp;$A14)+$A$4*$A$4*RTD("tos.rtd",,"VOLUME","."&amp;F$2&amp;F$1&amp;"P"&amp;$A14)*RTD("tos.rtd",,"GAMMA","."&amp;F$2&amp;F$1&amp;"P"&amp;$A14))/1000000,($A$4*$A$4*RTD("tos.rtd",,"VOLUME","."&amp;F$2&amp;F$1&amp;"C"&amp;$A14)*RTD("tos.rtd",,"GAMMA","."&amp;F$2&amp;F$1&amp;"C"&amp;$A14)-$A$4*$A$4*RTD("tos.rtd",,"VOLUME","."&amp;F$2&amp;F$1&amp;"P"&amp;$A14)*RTD("tos.rtd",,"GAMMA","."&amp;F$2&amp;F$1&amp;"P"&amp;$A14))/1000000),0),IF($A$2="GEX",IFERROR(IF($X$1="ABS",($A$4*$A$4*RTD("tos.rtd",,"OPEN_INT","."&amp;F$2&amp;F$1&amp;"C"&amp;$A14)*RTD("tos.rtd",,"GAMMA","."&amp;F$2&amp;F$1&amp;"C"&amp;$A14)+$A$4*$A$4*RTD("tos.rtd",,"OPEN_INT","."&amp;F$2&amp;F$1&amp;"P"&amp;$A14)*RTD("tos.rtd",,"GAMMA","."&amp;F$2&amp;F$1&amp;"P"&amp;$A14))/1000000,($A$4*$A$4*RTD("tos.rtd",,"OPEN_INT","."&amp;F$2&amp;F$1&amp;"C"&amp;$A14)*RTD("tos.rtd",,"GAMMA","."&amp;F$2&amp;F$1&amp;"C"&amp;$A14)-$A$4*$A$4*RTD("tos.rtd",,"OPEN_INT","."&amp;F$2&amp;F$1&amp;"P"&amp;$A14)*RTD("tos.rtd",,"GAMMA","."&amp;F$2&amp;F$1&amp;"P"&amp;$A14))/1000000),0),IF($A$2="SKEW",IFERROR(VALUE(IF(RTD("tos.rtd",,"IMPL_VOL","."&amp;F$2&amp;F$1&amp;"P"&amp;$A14)="N/A",0,RTD("tos.rtd",,"IMPL_VOL","."&amp;F$2&amp;F$1&amp;"P"&amp;$A14))),0)-IFERROR(VALUE(IF(RTD("tos.rtd",,"IMPL_VOL","."&amp;F$2&amp;F$1&amp;"C"&amp;$A14)="N/A",0,RTD("tos.rtd",,"IMPL_VOL","."&amp;F$2&amp;F$1&amp;"C"&amp;$A14))),0),IF($A$2="MAXPAIN",IF($A$4&gt;$A14,($A$4-$A14)*IF(RTD("tos.rtd",,"OPEN_INT","."&amp;F$2&amp;F$1&amp;"C"&amp;$A14)="N/A",0,RTD("tos.rtd",,"OPEN_INT","."&amp;F$2&amp;F$1&amp;"C"&amp;$A14)),0)+IF($A$4&lt;$A14,($A$5-$A$4)*IF(RTD("tos.rtd",,"OPEN_INT","."&amp;F$2&amp;F$1&amp;"P"&amp;$A14)="N/A",0,RTD("tos.rtd",,"OPEN_INT","."&amp;F$2&amp;F$1&amp;"P"&amp;$A14)),0),IF($X$1="ABS",IF(RTD("tos.rtd",,$A$2,"."&amp;F$2&amp;F$1&amp;"C"&amp;$A14)="N/A",0,RTD("tos.rtd",,$A$2,"."&amp;F$2&amp;F$1&amp;"C"&amp;$A14))+IF(RTD("tos.rtd",,$A$2,"."&amp;F$2&amp;F$1&amp;"P"&amp;$A14)="N/A",0,RTD("tos.rtd",,$A$2,"."&amp;F$2&amp;F$1&amp;"P"&amp;$A14)),IF(RTD("tos.rtd",,$A$2,"."&amp;F$2&amp;F$1&amp;"C"&amp;$A14)="N/A",0,RTD("tos.rtd",,$A$2,"."&amp;F$2&amp;F$1&amp;"C"&amp;$A14))-IF(RTD("tos.rtd",,$A$2,"."&amp;F$2&amp;F$1&amp;"P"&amp;$A14)="N/A",0,RTD("tos.rtd",,$A$2,"."&amp;F$2&amp;F$1&amp;"P"&amp;$A14))))))))))</f>
        <v>0</v>
      </c>
      <c r="G14" s="57">
        <f ca="1">IF($A$2="PREMIUM_OI",IFERROR(IF($X$1="ABS",(100*RTD("tos.rtd",,"OPEN_INT","."&amp;G$2&amp;G$1&amp;"C"&amp;$A14)*RTD("tos.rtd",,"LAST","."&amp;G$2&amp;G$1&amp;"C"&amp;$A14)+100*RTD("tos.rtd",,"OPEN_INT","."&amp;G$2&amp;G$1&amp;"P"&amp;$A14)*RTD("tos.rtd",,"LAST","."&amp;G$2&amp;G$1&amp;"P"&amp;$A14))/1000000,(100*RTD("tos.rtd",,"OPEN_INT","."&amp;G$2&amp;G$1&amp;"C"&amp;$A14)*RTD("tos.rtd",,"LAST","."&amp;G$2&amp;G$1&amp;"C"&amp;$A14)-100*RTD("tos.rtd",,"OPEN_INT","."&amp;G$2&amp;G$1&amp;"P"&amp;$A14)*RTD("tos.rtd",,"LAST","."&amp;G$2&amp;G$1&amp;"P"&amp;$A14))/1000000),0),IF($A$2="PREMIUM",IFERROR(IF($X$1="ABS",(100*RTD("tos.rtd",,"VOLUME","."&amp;G$2&amp;G$1&amp;"C"&amp;$A14)*RTD("tos.rtd",,"LAST","."&amp;G$2&amp;G$1&amp;"C"&amp;$A14)+100*RTD("tos.rtd",,"VOLUME","."&amp;G$2&amp;G$1&amp;"P"&amp;$A14)*RTD("tos.rtd",,"LAST","."&amp;G$2&amp;G$1&amp;"P"&amp;$A14))/1000000,(100*RTD("tos.rtd",,"VOLUME","."&amp;G$2&amp;G$1&amp;"C"&amp;$A14)*RTD("tos.rtd",,"LAST","."&amp;G$2&amp;G$1&amp;"C"&amp;$A14)-100*RTD("tos.rtd",,"VOLUME","."&amp;G$2&amp;G$1&amp;"P"&amp;$A14)*RTD("tos.rtd",,"LAST","."&amp;G$2&amp;G$1&amp;"P"&amp;$A14))/1000000),0),IF($A$2="DEX",IFERROR(IF($X$1="ABS",(100*RTD("tos.rtd",,"OPEN_INT","."&amp;G$2&amp;G$1&amp;"C"&amp;$A14)*RTD("tos.rtd",,"DELTA","."&amp;G$2&amp;G$1&amp;"C"&amp;$A14)+100*RTD("tos.rtd",,"OPEN_INT","."&amp;G$2&amp;G$1&amp;"P"&amp;$A14)*RTD("tos.rtd",,"DELTA","."&amp;G$2&amp;G$1&amp;"P"&amp;$A14))/1000,(100*RTD("tos.rtd",,"OPEN_INT","."&amp;G$2&amp;G$1&amp;"C"&amp;$A14)*RTD("tos.rtd",,"DELTA","."&amp;G$2&amp;G$1&amp;"C"&amp;$A14)-100*RTD("tos.rtd",,"OPEN_INT","."&amp;G$2&amp;G$1&amp;"P"&amp;$A14)*RTD("tos.rtd",,"DELTA","."&amp;G$2&amp;G$1&amp;"P"&amp;$A14))/1000),0),IF($A$2="VEX",IFERROR(IF($X$1="ABS",($A$4*$A$4*RTD("tos.rtd",,"VOLUME","."&amp;G$2&amp;G$1&amp;"C"&amp;$A14)*RTD("tos.rtd",,"GAMMA","."&amp;G$2&amp;G$1&amp;"C"&amp;$A14)+$A$4*$A$4*RTD("tos.rtd",,"VOLUME","."&amp;G$2&amp;G$1&amp;"P"&amp;$A14)*RTD("tos.rtd",,"GAMMA","."&amp;G$2&amp;G$1&amp;"P"&amp;$A14))/1000000,($A$4*$A$4*RTD("tos.rtd",,"VOLUME","."&amp;G$2&amp;G$1&amp;"C"&amp;$A14)*RTD("tos.rtd",,"GAMMA","."&amp;G$2&amp;G$1&amp;"C"&amp;$A14)-$A$4*$A$4*RTD("tos.rtd",,"VOLUME","."&amp;G$2&amp;G$1&amp;"P"&amp;$A14)*RTD("tos.rtd",,"GAMMA","."&amp;G$2&amp;G$1&amp;"P"&amp;$A14))/1000000),0),IF($A$2="GEX",IFERROR(IF($X$1="ABS",($A$4*$A$4*RTD("tos.rtd",,"OPEN_INT","."&amp;G$2&amp;G$1&amp;"C"&amp;$A14)*RTD("tos.rtd",,"GAMMA","."&amp;G$2&amp;G$1&amp;"C"&amp;$A14)+$A$4*$A$4*RTD("tos.rtd",,"OPEN_INT","."&amp;G$2&amp;G$1&amp;"P"&amp;$A14)*RTD("tos.rtd",,"GAMMA","."&amp;G$2&amp;G$1&amp;"P"&amp;$A14))/1000000,($A$4*$A$4*RTD("tos.rtd",,"OPEN_INT","."&amp;G$2&amp;G$1&amp;"C"&amp;$A14)*RTD("tos.rtd",,"GAMMA","."&amp;G$2&amp;G$1&amp;"C"&amp;$A14)-$A$4*$A$4*RTD("tos.rtd",,"OPEN_INT","."&amp;G$2&amp;G$1&amp;"P"&amp;$A14)*RTD("tos.rtd",,"GAMMA","."&amp;G$2&amp;G$1&amp;"P"&amp;$A14))/1000000),0),IF($A$2="SKEW",IFERROR(VALUE(IF(RTD("tos.rtd",,"IMPL_VOL","."&amp;G$2&amp;G$1&amp;"P"&amp;$A14)="N/A",0,RTD("tos.rtd",,"IMPL_VOL","."&amp;G$2&amp;G$1&amp;"P"&amp;$A14))),0)-IFERROR(VALUE(IF(RTD("tos.rtd",,"IMPL_VOL","."&amp;G$2&amp;G$1&amp;"C"&amp;$A14)="N/A",0,RTD("tos.rtd",,"IMPL_VOL","."&amp;G$2&amp;G$1&amp;"C"&amp;$A14))),0),IF($A$2="MAXPAIN",IF($A$4&gt;$A14,($A$4-$A14)*IF(RTD("tos.rtd",,"OPEN_INT","."&amp;G$2&amp;G$1&amp;"C"&amp;$A14)="N/A",0,RTD("tos.rtd",,"OPEN_INT","."&amp;G$2&amp;G$1&amp;"C"&amp;$A14)),0)+IF($A$4&lt;$A14,($A$5-$A$4)*IF(RTD("tos.rtd",,"OPEN_INT","."&amp;G$2&amp;G$1&amp;"P"&amp;$A14)="N/A",0,RTD("tos.rtd",,"OPEN_INT","."&amp;G$2&amp;G$1&amp;"P"&amp;$A14)),0),IF($X$1="ABS",IF(RTD("tos.rtd",,$A$2,"."&amp;G$2&amp;G$1&amp;"C"&amp;$A14)="N/A",0,RTD("tos.rtd",,$A$2,"."&amp;G$2&amp;G$1&amp;"C"&amp;$A14))+IF(RTD("tos.rtd",,$A$2,"."&amp;G$2&amp;G$1&amp;"P"&amp;$A14)="N/A",0,RTD("tos.rtd",,$A$2,"."&amp;G$2&amp;G$1&amp;"P"&amp;$A14)),IF(RTD("tos.rtd",,$A$2,"."&amp;G$2&amp;G$1&amp;"C"&amp;$A14)="N/A",0,RTD("tos.rtd",,$A$2,"."&amp;G$2&amp;G$1&amp;"C"&amp;$A14))-IF(RTD("tos.rtd",,$A$2,"."&amp;G$2&amp;G$1&amp;"P"&amp;$A14)="N/A",0,RTD("tos.rtd",,$A$2,"."&amp;G$2&amp;G$1&amp;"P"&amp;$A14))))))))))</f>
        <v>0</v>
      </c>
      <c r="H14" s="14">
        <f ca="1">IF($A$2="PREMIUM_OI",IFERROR(IF($X$1="ABS",(100*RTD("tos.rtd",,"OPEN_INT","."&amp;H$2&amp;H$1&amp;"C"&amp;$A14)*RTD("tos.rtd",,"LAST","."&amp;H$2&amp;H$1&amp;"C"&amp;$A14)+100*RTD("tos.rtd",,"OPEN_INT","."&amp;H$2&amp;H$1&amp;"P"&amp;$A14)*RTD("tos.rtd",,"LAST","."&amp;H$2&amp;H$1&amp;"P"&amp;$A14))/1000000,(100*RTD("tos.rtd",,"OPEN_INT","."&amp;H$2&amp;H$1&amp;"C"&amp;$A14)*RTD("tos.rtd",,"LAST","."&amp;H$2&amp;H$1&amp;"C"&amp;$A14)-100*RTD("tos.rtd",,"OPEN_INT","."&amp;H$2&amp;H$1&amp;"P"&amp;$A14)*RTD("tos.rtd",,"LAST","."&amp;H$2&amp;H$1&amp;"P"&amp;$A14))/1000000),0),IF($A$2="PREMIUM",IFERROR(IF($X$1="ABS",(100*RTD("tos.rtd",,"VOLUME","."&amp;H$2&amp;H$1&amp;"C"&amp;$A14)*RTD("tos.rtd",,"LAST","."&amp;H$2&amp;H$1&amp;"C"&amp;$A14)+100*RTD("tos.rtd",,"VOLUME","."&amp;H$2&amp;H$1&amp;"P"&amp;$A14)*RTD("tos.rtd",,"LAST","."&amp;H$2&amp;H$1&amp;"P"&amp;$A14))/1000000,(100*RTD("tos.rtd",,"VOLUME","."&amp;H$2&amp;H$1&amp;"C"&amp;$A14)*RTD("tos.rtd",,"LAST","."&amp;H$2&amp;H$1&amp;"C"&amp;$A14)-100*RTD("tos.rtd",,"VOLUME","."&amp;H$2&amp;H$1&amp;"P"&amp;$A14)*RTD("tos.rtd",,"LAST","."&amp;H$2&amp;H$1&amp;"P"&amp;$A14))/1000000),0),IF($A$2="DEX",IFERROR(IF($X$1="ABS",(100*RTD("tos.rtd",,"OPEN_INT","."&amp;H$2&amp;H$1&amp;"C"&amp;$A14)*RTD("tos.rtd",,"DELTA","."&amp;H$2&amp;H$1&amp;"C"&amp;$A14)+100*RTD("tos.rtd",,"OPEN_INT","."&amp;H$2&amp;H$1&amp;"P"&amp;$A14)*RTD("tos.rtd",,"DELTA","."&amp;H$2&amp;H$1&amp;"P"&amp;$A14))/1000,(100*RTD("tos.rtd",,"OPEN_INT","."&amp;H$2&amp;H$1&amp;"C"&amp;$A14)*RTD("tos.rtd",,"DELTA","."&amp;H$2&amp;H$1&amp;"C"&amp;$A14)-100*RTD("tos.rtd",,"OPEN_INT","."&amp;H$2&amp;H$1&amp;"P"&amp;$A14)*RTD("tos.rtd",,"DELTA","."&amp;H$2&amp;H$1&amp;"P"&amp;$A14))/1000),0),IF($A$2="VEX",IFERROR(IF($X$1="ABS",($A$4*$A$4*RTD("tos.rtd",,"VOLUME","."&amp;H$2&amp;H$1&amp;"C"&amp;$A14)*RTD("tos.rtd",,"GAMMA","."&amp;H$2&amp;H$1&amp;"C"&amp;$A14)+$A$4*$A$4*RTD("tos.rtd",,"VOLUME","."&amp;H$2&amp;H$1&amp;"P"&amp;$A14)*RTD("tos.rtd",,"GAMMA","."&amp;H$2&amp;H$1&amp;"P"&amp;$A14))/1000000,($A$4*$A$4*RTD("tos.rtd",,"VOLUME","."&amp;H$2&amp;H$1&amp;"C"&amp;$A14)*RTD("tos.rtd",,"GAMMA","."&amp;H$2&amp;H$1&amp;"C"&amp;$A14)-$A$4*$A$4*RTD("tos.rtd",,"VOLUME","."&amp;H$2&amp;H$1&amp;"P"&amp;$A14)*RTD("tos.rtd",,"GAMMA","."&amp;H$2&amp;H$1&amp;"P"&amp;$A14))/1000000),0),IF($A$2="GEX",IFERROR(IF($X$1="ABS",($A$4*$A$4*RTD("tos.rtd",,"OPEN_INT","."&amp;H$2&amp;H$1&amp;"C"&amp;$A14)*RTD("tos.rtd",,"GAMMA","."&amp;H$2&amp;H$1&amp;"C"&amp;$A14)+$A$4*$A$4*RTD("tos.rtd",,"OPEN_INT","."&amp;H$2&amp;H$1&amp;"P"&amp;$A14)*RTD("tos.rtd",,"GAMMA","."&amp;H$2&amp;H$1&amp;"P"&amp;$A14))/1000000,($A$4*$A$4*RTD("tos.rtd",,"OPEN_INT","."&amp;H$2&amp;H$1&amp;"C"&amp;$A14)*RTD("tos.rtd",,"GAMMA","."&amp;H$2&amp;H$1&amp;"C"&amp;$A14)-$A$4*$A$4*RTD("tos.rtd",,"OPEN_INT","."&amp;H$2&amp;H$1&amp;"P"&amp;$A14)*RTD("tos.rtd",,"GAMMA","."&amp;H$2&amp;H$1&amp;"P"&amp;$A14))/1000000),0),IF($A$2="SKEW",IFERROR(VALUE(IF(RTD("tos.rtd",,"IMPL_VOL","."&amp;H$2&amp;H$1&amp;"P"&amp;$A14)="N/A",0,RTD("tos.rtd",,"IMPL_VOL","."&amp;H$2&amp;H$1&amp;"P"&amp;$A14))),0)-IFERROR(VALUE(IF(RTD("tos.rtd",,"IMPL_VOL","."&amp;H$2&amp;H$1&amp;"C"&amp;$A14)="N/A",0,RTD("tos.rtd",,"IMPL_VOL","."&amp;H$2&amp;H$1&amp;"C"&amp;$A14))),0),IF($A$2="MAXPAIN",IF($A$4&gt;$A14,($A$4-$A14)*IF(RTD("tos.rtd",,"OPEN_INT","."&amp;H$2&amp;H$1&amp;"C"&amp;$A14)="N/A",0,RTD("tos.rtd",,"OPEN_INT","."&amp;H$2&amp;H$1&amp;"C"&amp;$A14)),0)+IF($A$4&lt;$A14,($A$5-$A$4)*IF(RTD("tos.rtd",,"OPEN_INT","."&amp;H$2&amp;H$1&amp;"P"&amp;$A14)="N/A",0,RTD("tos.rtd",,"OPEN_INT","."&amp;H$2&amp;H$1&amp;"P"&amp;$A14)),0),IF($X$1="ABS",IF(RTD("tos.rtd",,$A$2,"."&amp;H$2&amp;H$1&amp;"C"&amp;$A14)="N/A",0,RTD("tos.rtd",,$A$2,"."&amp;H$2&amp;H$1&amp;"C"&amp;$A14))+IF(RTD("tos.rtd",,$A$2,"."&amp;H$2&amp;H$1&amp;"P"&amp;$A14)="N/A",0,RTD("tos.rtd",,$A$2,"."&amp;H$2&amp;H$1&amp;"P"&amp;$A14)),IF(RTD("tos.rtd",,$A$2,"."&amp;H$2&amp;H$1&amp;"C"&amp;$A14)="N/A",0,RTD("tos.rtd",,$A$2,"."&amp;H$2&amp;H$1&amp;"C"&amp;$A14))-IF(RTD("tos.rtd",,$A$2,"."&amp;H$2&amp;H$1&amp;"P"&amp;$A14)="N/A",0,RTD("tos.rtd",,$A$2,"."&amp;H$2&amp;H$1&amp;"P"&amp;$A14))))))))))</f>
        <v>0</v>
      </c>
      <c r="I14" s="12">
        <f ca="1">IF($A$2="PREMIUM_OI",IFERROR(IF($X$1="ABS",(100*RTD("tos.rtd",,"OPEN_INT","."&amp;I$2&amp;I$1&amp;"C"&amp;$A14)*RTD("tos.rtd",,"LAST","."&amp;I$2&amp;I$1&amp;"C"&amp;$A14)+100*RTD("tos.rtd",,"OPEN_INT","."&amp;I$2&amp;I$1&amp;"P"&amp;$A14)*RTD("tos.rtd",,"LAST","."&amp;I$2&amp;I$1&amp;"P"&amp;$A14))/1000000,(100*RTD("tos.rtd",,"OPEN_INT","."&amp;I$2&amp;I$1&amp;"C"&amp;$A14)*RTD("tos.rtd",,"LAST","."&amp;I$2&amp;I$1&amp;"C"&amp;$A14)-100*RTD("tos.rtd",,"OPEN_INT","."&amp;I$2&amp;I$1&amp;"P"&amp;$A14)*RTD("tos.rtd",,"LAST","."&amp;I$2&amp;I$1&amp;"P"&amp;$A14))/1000000),0),IF($A$2="PREMIUM",IFERROR(IF($X$1="ABS",(100*RTD("tos.rtd",,"VOLUME","."&amp;I$2&amp;I$1&amp;"C"&amp;$A14)*RTD("tos.rtd",,"LAST","."&amp;I$2&amp;I$1&amp;"C"&amp;$A14)+100*RTD("tos.rtd",,"VOLUME","."&amp;I$2&amp;I$1&amp;"P"&amp;$A14)*RTD("tos.rtd",,"LAST","."&amp;I$2&amp;I$1&amp;"P"&amp;$A14))/1000000,(100*RTD("tos.rtd",,"VOLUME","."&amp;I$2&amp;I$1&amp;"C"&amp;$A14)*RTD("tos.rtd",,"LAST","."&amp;I$2&amp;I$1&amp;"C"&amp;$A14)-100*RTD("tos.rtd",,"VOLUME","."&amp;I$2&amp;I$1&amp;"P"&amp;$A14)*RTD("tos.rtd",,"LAST","."&amp;I$2&amp;I$1&amp;"P"&amp;$A14))/1000000),0),IF($A$2="DEX",IFERROR(IF($X$1="ABS",(100*RTD("tos.rtd",,"OPEN_INT","."&amp;I$2&amp;I$1&amp;"C"&amp;$A14)*RTD("tos.rtd",,"DELTA","."&amp;I$2&amp;I$1&amp;"C"&amp;$A14)+100*RTD("tos.rtd",,"OPEN_INT","."&amp;I$2&amp;I$1&amp;"P"&amp;$A14)*RTD("tos.rtd",,"DELTA","."&amp;I$2&amp;I$1&amp;"P"&amp;$A14))/1000,(100*RTD("tos.rtd",,"OPEN_INT","."&amp;I$2&amp;I$1&amp;"C"&amp;$A14)*RTD("tos.rtd",,"DELTA","."&amp;I$2&amp;I$1&amp;"C"&amp;$A14)-100*RTD("tos.rtd",,"OPEN_INT","."&amp;I$2&amp;I$1&amp;"P"&amp;$A14)*RTD("tos.rtd",,"DELTA","."&amp;I$2&amp;I$1&amp;"P"&amp;$A14))/1000),0),IF($A$2="VEX",IFERROR(IF($X$1="ABS",($A$4*$A$4*RTD("tos.rtd",,"VOLUME","."&amp;I$2&amp;I$1&amp;"C"&amp;$A14)*RTD("tos.rtd",,"GAMMA","."&amp;I$2&amp;I$1&amp;"C"&amp;$A14)+$A$4*$A$4*RTD("tos.rtd",,"VOLUME","."&amp;I$2&amp;I$1&amp;"P"&amp;$A14)*RTD("tos.rtd",,"GAMMA","."&amp;I$2&amp;I$1&amp;"P"&amp;$A14))/1000000,($A$4*$A$4*RTD("tos.rtd",,"VOLUME","."&amp;I$2&amp;I$1&amp;"C"&amp;$A14)*RTD("tos.rtd",,"GAMMA","."&amp;I$2&amp;I$1&amp;"C"&amp;$A14)-$A$4*$A$4*RTD("tos.rtd",,"VOLUME","."&amp;I$2&amp;I$1&amp;"P"&amp;$A14)*RTD("tos.rtd",,"GAMMA","."&amp;I$2&amp;I$1&amp;"P"&amp;$A14))/1000000),0),IF($A$2="GEX",IFERROR(IF($X$1="ABS",($A$4*$A$4*RTD("tos.rtd",,"OPEN_INT","."&amp;I$2&amp;I$1&amp;"C"&amp;$A14)*RTD("tos.rtd",,"GAMMA","."&amp;I$2&amp;I$1&amp;"C"&amp;$A14)+$A$4*$A$4*RTD("tos.rtd",,"OPEN_INT","."&amp;I$2&amp;I$1&amp;"P"&amp;$A14)*RTD("tos.rtd",,"GAMMA","."&amp;I$2&amp;I$1&amp;"P"&amp;$A14))/1000000,($A$4*$A$4*RTD("tos.rtd",,"OPEN_INT","."&amp;I$2&amp;I$1&amp;"C"&amp;$A14)*RTD("tos.rtd",,"GAMMA","."&amp;I$2&amp;I$1&amp;"C"&amp;$A14)-$A$4*$A$4*RTD("tos.rtd",,"OPEN_INT","."&amp;I$2&amp;I$1&amp;"P"&amp;$A14)*RTD("tos.rtd",,"GAMMA","."&amp;I$2&amp;I$1&amp;"P"&amp;$A14))/1000000),0),IF($A$2="SKEW",IFERROR(VALUE(IF(RTD("tos.rtd",,"IMPL_VOL","."&amp;I$2&amp;I$1&amp;"P"&amp;$A14)="N/A",0,RTD("tos.rtd",,"IMPL_VOL","."&amp;I$2&amp;I$1&amp;"P"&amp;$A14))),0)-IFERROR(VALUE(IF(RTD("tos.rtd",,"IMPL_VOL","."&amp;I$2&amp;I$1&amp;"C"&amp;$A14)="N/A",0,RTD("tos.rtd",,"IMPL_VOL","."&amp;I$2&amp;I$1&amp;"C"&amp;$A14))),0),IF($A$2="MAXPAIN",IF($A$4&gt;$A14,($A$4-$A14)*IF(RTD("tos.rtd",,"OPEN_INT","."&amp;I$2&amp;I$1&amp;"C"&amp;$A14)="N/A",0,RTD("tos.rtd",,"OPEN_INT","."&amp;I$2&amp;I$1&amp;"C"&amp;$A14)),0)+IF($A$4&lt;$A14,($A$5-$A$4)*IF(RTD("tos.rtd",,"OPEN_INT","."&amp;I$2&amp;I$1&amp;"P"&amp;$A14)="N/A",0,RTD("tos.rtd",,"OPEN_INT","."&amp;I$2&amp;I$1&amp;"P"&amp;$A14)),0),IF($X$1="ABS",IF(RTD("tos.rtd",,$A$2,"."&amp;I$2&amp;I$1&amp;"C"&amp;$A14)="N/A",0,RTD("tos.rtd",,$A$2,"."&amp;I$2&amp;I$1&amp;"C"&amp;$A14))+IF(RTD("tos.rtd",,$A$2,"."&amp;I$2&amp;I$1&amp;"P"&amp;$A14)="N/A",0,RTD("tos.rtd",,$A$2,"."&amp;I$2&amp;I$1&amp;"P"&amp;$A14)),IF(RTD("tos.rtd",,$A$2,"."&amp;I$2&amp;I$1&amp;"C"&amp;$A14)="N/A",0,RTD("tos.rtd",,$A$2,"."&amp;I$2&amp;I$1&amp;"C"&amp;$A14))-IF(RTD("tos.rtd",,$A$2,"."&amp;I$2&amp;I$1&amp;"P"&amp;$A14)="N/A",0,RTD("tos.rtd",,$A$2,"."&amp;I$2&amp;I$1&amp;"P"&amp;$A14))))))))))</f>
        <v>0</v>
      </c>
      <c r="J14" s="12">
        <f ca="1">IF($A$2="PREMIUM_OI",IFERROR(IF($X$1="ABS",(100*RTD("tos.rtd",,"OPEN_INT","."&amp;J$2&amp;J$1&amp;"C"&amp;$A14)*RTD("tos.rtd",,"LAST","."&amp;J$2&amp;J$1&amp;"C"&amp;$A14)+100*RTD("tos.rtd",,"OPEN_INT","."&amp;J$2&amp;J$1&amp;"P"&amp;$A14)*RTD("tos.rtd",,"LAST","."&amp;J$2&amp;J$1&amp;"P"&amp;$A14))/1000000,(100*RTD("tos.rtd",,"OPEN_INT","."&amp;J$2&amp;J$1&amp;"C"&amp;$A14)*RTD("tos.rtd",,"LAST","."&amp;J$2&amp;J$1&amp;"C"&amp;$A14)-100*RTD("tos.rtd",,"OPEN_INT","."&amp;J$2&amp;J$1&amp;"P"&amp;$A14)*RTD("tos.rtd",,"LAST","."&amp;J$2&amp;J$1&amp;"P"&amp;$A14))/1000000),0),IF($A$2="PREMIUM",IFERROR(IF($X$1="ABS",(100*RTD("tos.rtd",,"VOLUME","."&amp;J$2&amp;J$1&amp;"C"&amp;$A14)*RTD("tos.rtd",,"LAST","."&amp;J$2&amp;J$1&amp;"C"&amp;$A14)+100*RTD("tos.rtd",,"VOLUME","."&amp;J$2&amp;J$1&amp;"P"&amp;$A14)*RTD("tos.rtd",,"LAST","."&amp;J$2&amp;J$1&amp;"P"&amp;$A14))/1000000,(100*RTD("tos.rtd",,"VOLUME","."&amp;J$2&amp;J$1&amp;"C"&amp;$A14)*RTD("tos.rtd",,"LAST","."&amp;J$2&amp;J$1&amp;"C"&amp;$A14)-100*RTD("tos.rtd",,"VOLUME","."&amp;J$2&amp;J$1&amp;"P"&amp;$A14)*RTD("tos.rtd",,"LAST","."&amp;J$2&amp;J$1&amp;"P"&amp;$A14))/1000000),0),IF($A$2="DEX",IFERROR(IF($X$1="ABS",(100*RTD("tos.rtd",,"OPEN_INT","."&amp;J$2&amp;J$1&amp;"C"&amp;$A14)*RTD("tos.rtd",,"DELTA","."&amp;J$2&amp;J$1&amp;"C"&amp;$A14)+100*RTD("tos.rtd",,"OPEN_INT","."&amp;J$2&amp;J$1&amp;"P"&amp;$A14)*RTD("tos.rtd",,"DELTA","."&amp;J$2&amp;J$1&amp;"P"&amp;$A14))/1000,(100*RTD("tos.rtd",,"OPEN_INT","."&amp;J$2&amp;J$1&amp;"C"&amp;$A14)*RTD("tos.rtd",,"DELTA","."&amp;J$2&amp;J$1&amp;"C"&amp;$A14)-100*RTD("tos.rtd",,"OPEN_INT","."&amp;J$2&amp;J$1&amp;"P"&amp;$A14)*RTD("tos.rtd",,"DELTA","."&amp;J$2&amp;J$1&amp;"P"&amp;$A14))/1000),0),IF($A$2="VEX",IFERROR(IF($X$1="ABS",($A$4*$A$4*RTD("tos.rtd",,"VOLUME","."&amp;J$2&amp;J$1&amp;"C"&amp;$A14)*RTD("tos.rtd",,"GAMMA","."&amp;J$2&amp;J$1&amp;"C"&amp;$A14)+$A$4*$A$4*RTD("tos.rtd",,"VOLUME","."&amp;J$2&amp;J$1&amp;"P"&amp;$A14)*RTD("tos.rtd",,"GAMMA","."&amp;J$2&amp;J$1&amp;"P"&amp;$A14))/1000000,($A$4*$A$4*RTD("tos.rtd",,"VOLUME","."&amp;J$2&amp;J$1&amp;"C"&amp;$A14)*RTD("tos.rtd",,"GAMMA","."&amp;J$2&amp;J$1&amp;"C"&amp;$A14)-$A$4*$A$4*RTD("tos.rtd",,"VOLUME","."&amp;J$2&amp;J$1&amp;"P"&amp;$A14)*RTD("tos.rtd",,"GAMMA","."&amp;J$2&amp;J$1&amp;"P"&amp;$A14))/1000000),0),IF($A$2="GEX",IFERROR(IF($X$1="ABS",($A$4*$A$4*RTD("tos.rtd",,"OPEN_INT","."&amp;J$2&amp;J$1&amp;"C"&amp;$A14)*RTD("tos.rtd",,"GAMMA","."&amp;J$2&amp;J$1&amp;"C"&amp;$A14)+$A$4*$A$4*RTD("tos.rtd",,"OPEN_INT","."&amp;J$2&amp;J$1&amp;"P"&amp;$A14)*RTD("tos.rtd",,"GAMMA","."&amp;J$2&amp;J$1&amp;"P"&amp;$A14))/1000000,($A$4*$A$4*RTD("tos.rtd",,"OPEN_INT","."&amp;J$2&amp;J$1&amp;"C"&amp;$A14)*RTD("tos.rtd",,"GAMMA","."&amp;J$2&amp;J$1&amp;"C"&amp;$A14)-$A$4*$A$4*RTD("tos.rtd",,"OPEN_INT","."&amp;J$2&amp;J$1&amp;"P"&amp;$A14)*RTD("tos.rtd",,"GAMMA","."&amp;J$2&amp;J$1&amp;"P"&amp;$A14))/1000000),0),IF($A$2="SKEW",IFERROR(VALUE(IF(RTD("tos.rtd",,"IMPL_VOL","."&amp;J$2&amp;J$1&amp;"P"&amp;$A14)="N/A",0,RTD("tos.rtd",,"IMPL_VOL","."&amp;J$2&amp;J$1&amp;"P"&amp;$A14))),0)-IFERROR(VALUE(IF(RTD("tos.rtd",,"IMPL_VOL","."&amp;J$2&amp;J$1&amp;"C"&amp;$A14)="N/A",0,RTD("tos.rtd",,"IMPL_VOL","."&amp;J$2&amp;J$1&amp;"C"&amp;$A14))),0),IF($A$2="MAXPAIN",IF($A$4&gt;$A14,($A$4-$A14)*IF(RTD("tos.rtd",,"OPEN_INT","."&amp;J$2&amp;J$1&amp;"C"&amp;$A14)="N/A",0,RTD("tos.rtd",,"OPEN_INT","."&amp;J$2&amp;J$1&amp;"C"&amp;$A14)),0)+IF($A$4&lt;$A14,($A$5-$A$4)*IF(RTD("tos.rtd",,"OPEN_INT","."&amp;J$2&amp;J$1&amp;"P"&amp;$A14)="N/A",0,RTD("tos.rtd",,"OPEN_INT","."&amp;J$2&amp;J$1&amp;"P"&amp;$A14)),0),IF($X$1="ABS",IF(RTD("tos.rtd",,$A$2,"."&amp;J$2&amp;J$1&amp;"C"&amp;$A14)="N/A",0,RTD("tos.rtd",,$A$2,"."&amp;J$2&amp;J$1&amp;"C"&amp;$A14))+IF(RTD("tos.rtd",,$A$2,"."&amp;J$2&amp;J$1&amp;"P"&amp;$A14)="N/A",0,RTD("tos.rtd",,$A$2,"."&amp;J$2&amp;J$1&amp;"P"&amp;$A14)),IF(RTD("tos.rtd",,$A$2,"."&amp;J$2&amp;J$1&amp;"C"&amp;$A14)="N/A",0,RTD("tos.rtd",,$A$2,"."&amp;J$2&amp;J$1&amp;"C"&amp;$A14))-IF(RTD("tos.rtd",,$A$2,"."&amp;J$2&amp;J$1&amp;"P"&amp;$A14)="N/A",0,RTD("tos.rtd",,$A$2,"."&amp;J$2&amp;J$1&amp;"P"&amp;$A14))))))))))</f>
        <v>0</v>
      </c>
      <c r="K14" s="12">
        <f ca="1">IF($A$2="PREMIUM_OI",IFERROR(IF($X$1="ABS",(100*RTD("tos.rtd",,"OPEN_INT","."&amp;K$2&amp;K$1&amp;"C"&amp;$A14)*RTD("tos.rtd",,"LAST","."&amp;K$2&amp;K$1&amp;"C"&amp;$A14)+100*RTD("tos.rtd",,"OPEN_INT","."&amp;K$2&amp;K$1&amp;"P"&amp;$A14)*RTD("tos.rtd",,"LAST","."&amp;K$2&amp;K$1&amp;"P"&amp;$A14))/1000000,(100*RTD("tos.rtd",,"OPEN_INT","."&amp;K$2&amp;K$1&amp;"C"&amp;$A14)*RTD("tos.rtd",,"LAST","."&amp;K$2&amp;K$1&amp;"C"&amp;$A14)-100*RTD("tos.rtd",,"OPEN_INT","."&amp;K$2&amp;K$1&amp;"P"&amp;$A14)*RTD("tos.rtd",,"LAST","."&amp;K$2&amp;K$1&amp;"P"&amp;$A14))/1000000),0),IF($A$2="PREMIUM",IFERROR(IF($X$1="ABS",(100*RTD("tos.rtd",,"VOLUME","."&amp;K$2&amp;K$1&amp;"C"&amp;$A14)*RTD("tos.rtd",,"LAST","."&amp;K$2&amp;K$1&amp;"C"&amp;$A14)+100*RTD("tos.rtd",,"VOLUME","."&amp;K$2&amp;K$1&amp;"P"&amp;$A14)*RTD("tos.rtd",,"LAST","."&amp;K$2&amp;K$1&amp;"P"&amp;$A14))/1000000,(100*RTD("tos.rtd",,"VOLUME","."&amp;K$2&amp;K$1&amp;"C"&amp;$A14)*RTD("tos.rtd",,"LAST","."&amp;K$2&amp;K$1&amp;"C"&amp;$A14)-100*RTD("tos.rtd",,"VOLUME","."&amp;K$2&amp;K$1&amp;"P"&amp;$A14)*RTD("tos.rtd",,"LAST","."&amp;K$2&amp;K$1&amp;"P"&amp;$A14))/1000000),0),IF($A$2="DEX",IFERROR(IF($X$1="ABS",(100*RTD("tos.rtd",,"OPEN_INT","."&amp;K$2&amp;K$1&amp;"C"&amp;$A14)*RTD("tos.rtd",,"DELTA","."&amp;K$2&amp;K$1&amp;"C"&amp;$A14)+100*RTD("tos.rtd",,"OPEN_INT","."&amp;K$2&amp;K$1&amp;"P"&amp;$A14)*RTD("tos.rtd",,"DELTA","."&amp;K$2&amp;K$1&amp;"P"&amp;$A14))/1000,(100*RTD("tos.rtd",,"OPEN_INT","."&amp;K$2&amp;K$1&amp;"C"&amp;$A14)*RTD("tos.rtd",,"DELTA","."&amp;K$2&amp;K$1&amp;"C"&amp;$A14)-100*RTD("tos.rtd",,"OPEN_INT","."&amp;K$2&amp;K$1&amp;"P"&amp;$A14)*RTD("tos.rtd",,"DELTA","."&amp;K$2&amp;K$1&amp;"P"&amp;$A14))/1000),0),IF($A$2="VEX",IFERROR(IF($X$1="ABS",($A$4*$A$4*RTD("tos.rtd",,"VOLUME","."&amp;K$2&amp;K$1&amp;"C"&amp;$A14)*RTD("tos.rtd",,"GAMMA","."&amp;K$2&amp;K$1&amp;"C"&amp;$A14)+$A$4*$A$4*RTD("tos.rtd",,"VOLUME","."&amp;K$2&amp;K$1&amp;"P"&amp;$A14)*RTD("tos.rtd",,"GAMMA","."&amp;K$2&amp;K$1&amp;"P"&amp;$A14))/1000000,($A$4*$A$4*RTD("tos.rtd",,"VOLUME","."&amp;K$2&amp;K$1&amp;"C"&amp;$A14)*RTD("tos.rtd",,"GAMMA","."&amp;K$2&amp;K$1&amp;"C"&amp;$A14)-$A$4*$A$4*RTD("tos.rtd",,"VOLUME","."&amp;K$2&amp;K$1&amp;"P"&amp;$A14)*RTD("tos.rtd",,"GAMMA","."&amp;K$2&amp;K$1&amp;"P"&amp;$A14))/1000000),0),IF($A$2="GEX",IFERROR(IF($X$1="ABS",($A$4*$A$4*RTD("tos.rtd",,"OPEN_INT","."&amp;K$2&amp;K$1&amp;"C"&amp;$A14)*RTD("tos.rtd",,"GAMMA","."&amp;K$2&amp;K$1&amp;"C"&amp;$A14)+$A$4*$A$4*RTD("tos.rtd",,"OPEN_INT","."&amp;K$2&amp;K$1&amp;"P"&amp;$A14)*RTD("tos.rtd",,"GAMMA","."&amp;K$2&amp;K$1&amp;"P"&amp;$A14))/1000000,($A$4*$A$4*RTD("tos.rtd",,"OPEN_INT","."&amp;K$2&amp;K$1&amp;"C"&amp;$A14)*RTD("tos.rtd",,"GAMMA","."&amp;K$2&amp;K$1&amp;"C"&amp;$A14)-$A$4*$A$4*RTD("tos.rtd",,"OPEN_INT","."&amp;K$2&amp;K$1&amp;"P"&amp;$A14)*RTD("tos.rtd",,"GAMMA","."&amp;K$2&amp;K$1&amp;"P"&amp;$A14))/1000000),0),IF($A$2="SKEW",IFERROR(VALUE(IF(RTD("tos.rtd",,"IMPL_VOL","."&amp;K$2&amp;K$1&amp;"P"&amp;$A14)="N/A",0,RTD("tos.rtd",,"IMPL_VOL","."&amp;K$2&amp;K$1&amp;"P"&amp;$A14))),0)-IFERROR(VALUE(IF(RTD("tos.rtd",,"IMPL_VOL","."&amp;K$2&amp;K$1&amp;"C"&amp;$A14)="N/A",0,RTD("tos.rtd",,"IMPL_VOL","."&amp;K$2&amp;K$1&amp;"C"&amp;$A14))),0),IF($A$2="MAXPAIN",IF($A$4&gt;$A14,($A$4-$A14)*IF(RTD("tos.rtd",,"OPEN_INT","."&amp;K$2&amp;K$1&amp;"C"&amp;$A14)="N/A",0,RTD("tos.rtd",,"OPEN_INT","."&amp;K$2&amp;K$1&amp;"C"&amp;$A14)),0)+IF($A$4&lt;$A14,($A$5-$A$4)*IF(RTD("tos.rtd",,"OPEN_INT","."&amp;K$2&amp;K$1&amp;"P"&amp;$A14)="N/A",0,RTD("tos.rtd",,"OPEN_INT","."&amp;K$2&amp;K$1&amp;"P"&amp;$A14)),0),IF($X$1="ABS",IF(RTD("tos.rtd",,$A$2,"."&amp;K$2&amp;K$1&amp;"C"&amp;$A14)="N/A",0,RTD("tos.rtd",,$A$2,"."&amp;K$2&amp;K$1&amp;"C"&amp;$A14))+IF(RTD("tos.rtd",,$A$2,"."&amp;K$2&amp;K$1&amp;"P"&amp;$A14)="N/A",0,RTD("tos.rtd",,$A$2,"."&amp;K$2&amp;K$1&amp;"P"&amp;$A14)),IF(RTD("tos.rtd",,$A$2,"."&amp;K$2&amp;K$1&amp;"C"&amp;$A14)="N/A",0,RTD("tos.rtd",,$A$2,"."&amp;K$2&amp;K$1&amp;"C"&amp;$A14))-IF(RTD("tos.rtd",,$A$2,"."&amp;K$2&amp;K$1&amp;"P"&amp;$A14)="N/A",0,RTD("tos.rtd",,$A$2,"."&amp;K$2&amp;K$1&amp;"P"&amp;$A14))))))))))</f>
        <v>0</v>
      </c>
      <c r="L14" s="54">
        <f ca="1">IF($A$2="PREMIUM_OI",IFERROR(IF($X$1="ABS",(100*RTD("tos.rtd",,"OPEN_INT","."&amp;L$2&amp;L$1&amp;"C"&amp;$A14)*RTD("tos.rtd",,"LAST","."&amp;L$2&amp;L$1&amp;"C"&amp;$A14)+100*RTD("tos.rtd",,"OPEN_INT","."&amp;L$2&amp;L$1&amp;"P"&amp;$A14)*RTD("tos.rtd",,"LAST","."&amp;L$2&amp;L$1&amp;"P"&amp;$A14))/1000000,(100*RTD("tos.rtd",,"OPEN_INT","."&amp;L$2&amp;L$1&amp;"C"&amp;$A14)*RTD("tos.rtd",,"LAST","."&amp;L$2&amp;L$1&amp;"C"&amp;$A14)-100*RTD("tos.rtd",,"OPEN_INT","."&amp;L$2&amp;L$1&amp;"P"&amp;$A14)*RTD("tos.rtd",,"LAST","."&amp;L$2&amp;L$1&amp;"P"&amp;$A14))/1000000),0),IF($A$2="PREMIUM",IFERROR(IF($X$1="ABS",(100*RTD("tos.rtd",,"VOLUME","."&amp;L$2&amp;L$1&amp;"C"&amp;$A14)*RTD("tos.rtd",,"LAST","."&amp;L$2&amp;L$1&amp;"C"&amp;$A14)+100*RTD("tos.rtd",,"VOLUME","."&amp;L$2&amp;L$1&amp;"P"&amp;$A14)*RTD("tos.rtd",,"LAST","."&amp;L$2&amp;L$1&amp;"P"&amp;$A14))/1000000,(100*RTD("tos.rtd",,"VOLUME","."&amp;L$2&amp;L$1&amp;"C"&amp;$A14)*RTD("tos.rtd",,"LAST","."&amp;L$2&amp;L$1&amp;"C"&amp;$A14)-100*RTD("tos.rtd",,"VOLUME","."&amp;L$2&amp;L$1&amp;"P"&amp;$A14)*RTD("tos.rtd",,"LAST","."&amp;L$2&amp;L$1&amp;"P"&amp;$A14))/1000000),0),IF($A$2="DEX",IFERROR(IF($X$1="ABS",(100*RTD("tos.rtd",,"OPEN_INT","."&amp;L$2&amp;L$1&amp;"C"&amp;$A14)*RTD("tos.rtd",,"DELTA","."&amp;L$2&amp;L$1&amp;"C"&amp;$A14)+100*RTD("tos.rtd",,"OPEN_INT","."&amp;L$2&amp;L$1&amp;"P"&amp;$A14)*RTD("tos.rtd",,"DELTA","."&amp;L$2&amp;L$1&amp;"P"&amp;$A14))/1000,(100*RTD("tos.rtd",,"OPEN_INT","."&amp;L$2&amp;L$1&amp;"C"&amp;$A14)*RTD("tos.rtd",,"DELTA","."&amp;L$2&amp;L$1&amp;"C"&amp;$A14)-100*RTD("tos.rtd",,"OPEN_INT","."&amp;L$2&amp;L$1&amp;"P"&amp;$A14)*RTD("tos.rtd",,"DELTA","."&amp;L$2&amp;L$1&amp;"P"&amp;$A14))/1000),0),IF($A$2="VEX",IFERROR(IF($X$1="ABS",($A$4*$A$4*RTD("tos.rtd",,"VOLUME","."&amp;L$2&amp;L$1&amp;"C"&amp;$A14)*RTD("tos.rtd",,"GAMMA","."&amp;L$2&amp;L$1&amp;"C"&amp;$A14)+$A$4*$A$4*RTD("tos.rtd",,"VOLUME","."&amp;L$2&amp;L$1&amp;"P"&amp;$A14)*RTD("tos.rtd",,"GAMMA","."&amp;L$2&amp;L$1&amp;"P"&amp;$A14))/1000000,($A$4*$A$4*RTD("tos.rtd",,"VOLUME","."&amp;L$2&amp;L$1&amp;"C"&amp;$A14)*RTD("tos.rtd",,"GAMMA","."&amp;L$2&amp;L$1&amp;"C"&amp;$A14)-$A$4*$A$4*RTD("tos.rtd",,"VOLUME","."&amp;L$2&amp;L$1&amp;"P"&amp;$A14)*RTD("tos.rtd",,"GAMMA","."&amp;L$2&amp;L$1&amp;"P"&amp;$A14))/1000000),0),IF($A$2="GEX",IFERROR(IF($X$1="ABS",($A$4*$A$4*RTD("tos.rtd",,"OPEN_INT","."&amp;L$2&amp;L$1&amp;"C"&amp;$A14)*RTD("tos.rtd",,"GAMMA","."&amp;L$2&amp;L$1&amp;"C"&amp;$A14)+$A$4*$A$4*RTD("tos.rtd",,"OPEN_INT","."&amp;L$2&amp;L$1&amp;"P"&amp;$A14)*RTD("tos.rtd",,"GAMMA","."&amp;L$2&amp;L$1&amp;"P"&amp;$A14))/1000000,($A$4*$A$4*RTD("tos.rtd",,"OPEN_INT","."&amp;L$2&amp;L$1&amp;"C"&amp;$A14)*RTD("tos.rtd",,"GAMMA","."&amp;L$2&amp;L$1&amp;"C"&amp;$A14)-$A$4*$A$4*RTD("tos.rtd",,"OPEN_INT","."&amp;L$2&amp;L$1&amp;"P"&amp;$A14)*RTD("tos.rtd",,"GAMMA","."&amp;L$2&amp;L$1&amp;"P"&amp;$A14))/1000000),0),IF($A$2="SKEW",IFERROR(VALUE(IF(RTD("tos.rtd",,"IMPL_VOL","."&amp;L$2&amp;L$1&amp;"P"&amp;$A14)="N/A",0,RTD("tos.rtd",,"IMPL_VOL","."&amp;L$2&amp;L$1&amp;"P"&amp;$A14))),0)-IFERROR(VALUE(IF(RTD("tos.rtd",,"IMPL_VOL","."&amp;L$2&amp;L$1&amp;"C"&amp;$A14)="N/A",0,RTD("tos.rtd",,"IMPL_VOL","."&amp;L$2&amp;L$1&amp;"C"&amp;$A14))),0),IF($A$2="MAXPAIN",IF($A$4&gt;$A14,($A$4-$A14)*IF(RTD("tos.rtd",,"OPEN_INT","."&amp;L$2&amp;L$1&amp;"C"&amp;$A14)="N/A",0,RTD("tos.rtd",,"OPEN_INT","."&amp;L$2&amp;L$1&amp;"C"&amp;$A14)),0)+IF($A$4&lt;$A14,($A$5-$A$4)*IF(RTD("tos.rtd",,"OPEN_INT","."&amp;L$2&amp;L$1&amp;"P"&amp;$A14)="N/A",0,RTD("tos.rtd",,"OPEN_INT","."&amp;L$2&amp;L$1&amp;"P"&amp;$A14)),0),IF($X$1="ABS",IF(RTD("tos.rtd",,$A$2,"."&amp;L$2&amp;L$1&amp;"C"&amp;$A14)="N/A",0,RTD("tos.rtd",,$A$2,"."&amp;L$2&amp;L$1&amp;"C"&amp;$A14))+IF(RTD("tos.rtd",,$A$2,"."&amp;L$2&amp;L$1&amp;"P"&amp;$A14)="N/A",0,RTD("tos.rtd",,$A$2,"."&amp;L$2&amp;L$1&amp;"P"&amp;$A14)),IF(RTD("tos.rtd",,$A$2,"."&amp;L$2&amp;L$1&amp;"C"&amp;$A14)="N/A",0,RTD("tos.rtd",,$A$2,"."&amp;L$2&amp;L$1&amp;"C"&amp;$A14))-IF(RTD("tos.rtd",,$A$2,"."&amp;L$2&amp;L$1&amp;"P"&amp;$A14)="N/A",0,RTD("tos.rtd",,$A$2,"."&amp;L$2&amp;L$1&amp;"P"&amp;$A14))))))))))</f>
        <v>412</v>
      </c>
      <c r="M14" s="12">
        <f ca="1">IF($A$2="PREMIUM_OI",IFERROR(IF($X$1="ABS",(100*RTD("tos.rtd",,"OPEN_INT","."&amp;M$2&amp;M$1&amp;"C"&amp;$A14)*RTD("tos.rtd",,"LAST","."&amp;M$2&amp;M$1&amp;"C"&amp;$A14)+100*RTD("tos.rtd",,"OPEN_INT","."&amp;M$2&amp;M$1&amp;"P"&amp;$A14)*RTD("tos.rtd",,"LAST","."&amp;M$2&amp;M$1&amp;"P"&amp;$A14))/1000000,(100*RTD("tos.rtd",,"OPEN_INT","."&amp;M$2&amp;M$1&amp;"C"&amp;$A14)*RTD("tos.rtd",,"LAST","."&amp;M$2&amp;M$1&amp;"C"&amp;$A14)-100*RTD("tos.rtd",,"OPEN_INT","."&amp;M$2&amp;M$1&amp;"P"&amp;$A14)*RTD("tos.rtd",,"LAST","."&amp;M$2&amp;M$1&amp;"P"&amp;$A14))/1000000),0),IF($A$2="PREMIUM",IFERROR(IF($X$1="ABS",(100*RTD("tos.rtd",,"VOLUME","."&amp;M$2&amp;M$1&amp;"C"&amp;$A14)*RTD("tos.rtd",,"LAST","."&amp;M$2&amp;M$1&amp;"C"&amp;$A14)+100*RTD("tos.rtd",,"VOLUME","."&amp;M$2&amp;M$1&amp;"P"&amp;$A14)*RTD("tos.rtd",,"LAST","."&amp;M$2&amp;M$1&amp;"P"&amp;$A14))/1000000,(100*RTD("tos.rtd",,"VOLUME","."&amp;M$2&amp;M$1&amp;"C"&amp;$A14)*RTD("tos.rtd",,"LAST","."&amp;M$2&amp;M$1&amp;"C"&amp;$A14)-100*RTD("tos.rtd",,"VOLUME","."&amp;M$2&amp;M$1&amp;"P"&amp;$A14)*RTD("tos.rtd",,"LAST","."&amp;M$2&amp;M$1&amp;"P"&amp;$A14))/1000000),0),IF($A$2="DEX",IFERROR(IF($X$1="ABS",(100*RTD("tos.rtd",,"OPEN_INT","."&amp;M$2&amp;M$1&amp;"C"&amp;$A14)*RTD("tos.rtd",,"DELTA","."&amp;M$2&amp;M$1&amp;"C"&amp;$A14)+100*RTD("tos.rtd",,"OPEN_INT","."&amp;M$2&amp;M$1&amp;"P"&amp;$A14)*RTD("tos.rtd",,"DELTA","."&amp;M$2&amp;M$1&amp;"P"&amp;$A14))/1000,(100*RTD("tos.rtd",,"OPEN_INT","."&amp;M$2&amp;M$1&amp;"C"&amp;$A14)*RTD("tos.rtd",,"DELTA","."&amp;M$2&amp;M$1&amp;"C"&amp;$A14)-100*RTD("tos.rtd",,"OPEN_INT","."&amp;M$2&amp;M$1&amp;"P"&amp;$A14)*RTD("tos.rtd",,"DELTA","."&amp;M$2&amp;M$1&amp;"P"&amp;$A14))/1000),0),IF($A$2="VEX",IFERROR(IF($X$1="ABS",($A$4*$A$4*RTD("tos.rtd",,"VOLUME","."&amp;M$2&amp;M$1&amp;"C"&amp;$A14)*RTD("tos.rtd",,"GAMMA","."&amp;M$2&amp;M$1&amp;"C"&amp;$A14)+$A$4*$A$4*RTD("tos.rtd",,"VOLUME","."&amp;M$2&amp;M$1&amp;"P"&amp;$A14)*RTD("tos.rtd",,"GAMMA","."&amp;M$2&amp;M$1&amp;"P"&amp;$A14))/1000000,($A$4*$A$4*RTD("tos.rtd",,"VOLUME","."&amp;M$2&amp;M$1&amp;"C"&amp;$A14)*RTD("tos.rtd",,"GAMMA","."&amp;M$2&amp;M$1&amp;"C"&amp;$A14)-$A$4*$A$4*RTD("tos.rtd",,"VOLUME","."&amp;M$2&amp;M$1&amp;"P"&amp;$A14)*RTD("tos.rtd",,"GAMMA","."&amp;M$2&amp;M$1&amp;"P"&amp;$A14))/1000000),0),IF($A$2="GEX",IFERROR(IF($X$1="ABS",($A$4*$A$4*RTD("tos.rtd",,"OPEN_INT","."&amp;M$2&amp;M$1&amp;"C"&amp;$A14)*RTD("tos.rtd",,"GAMMA","."&amp;M$2&amp;M$1&amp;"C"&amp;$A14)+$A$4*$A$4*RTD("tos.rtd",,"OPEN_INT","."&amp;M$2&amp;M$1&amp;"P"&amp;$A14)*RTD("tos.rtd",,"GAMMA","."&amp;M$2&amp;M$1&amp;"P"&amp;$A14))/1000000,($A$4*$A$4*RTD("tos.rtd",,"OPEN_INT","."&amp;M$2&amp;M$1&amp;"C"&amp;$A14)*RTD("tos.rtd",,"GAMMA","."&amp;M$2&amp;M$1&amp;"C"&amp;$A14)-$A$4*$A$4*RTD("tos.rtd",,"OPEN_INT","."&amp;M$2&amp;M$1&amp;"P"&amp;$A14)*RTD("tos.rtd",,"GAMMA","."&amp;M$2&amp;M$1&amp;"P"&amp;$A14))/1000000),0),IF($A$2="SKEW",IFERROR(VALUE(IF(RTD("tos.rtd",,"IMPL_VOL","."&amp;M$2&amp;M$1&amp;"P"&amp;$A14)="N/A",0,RTD("tos.rtd",,"IMPL_VOL","."&amp;M$2&amp;M$1&amp;"P"&amp;$A14))),0)-IFERROR(VALUE(IF(RTD("tos.rtd",,"IMPL_VOL","."&amp;M$2&amp;M$1&amp;"C"&amp;$A14)="N/A",0,RTD("tos.rtd",,"IMPL_VOL","."&amp;M$2&amp;M$1&amp;"C"&amp;$A14))),0),IF($A$2="MAXPAIN",IF($A$4&gt;$A14,($A$4-$A14)*IF(RTD("tos.rtd",,"OPEN_INT","."&amp;M$2&amp;M$1&amp;"C"&amp;$A14)="N/A",0,RTD("tos.rtd",,"OPEN_INT","."&amp;M$2&amp;M$1&amp;"C"&amp;$A14)),0)+IF($A$4&lt;$A14,($A$5-$A$4)*IF(RTD("tos.rtd",,"OPEN_INT","."&amp;M$2&amp;M$1&amp;"P"&amp;$A14)="N/A",0,RTD("tos.rtd",,"OPEN_INT","."&amp;M$2&amp;M$1&amp;"P"&amp;$A14)),0),IF($X$1="ABS",IF(RTD("tos.rtd",,$A$2,"."&amp;M$2&amp;M$1&amp;"C"&amp;$A14)="N/A",0,RTD("tos.rtd",,$A$2,"."&amp;M$2&amp;M$1&amp;"C"&amp;$A14))+IF(RTD("tos.rtd",,$A$2,"."&amp;M$2&amp;M$1&amp;"P"&amp;$A14)="N/A",0,RTD("tos.rtd",,$A$2,"."&amp;M$2&amp;M$1&amp;"P"&amp;$A14)),IF(RTD("tos.rtd",,$A$2,"."&amp;M$2&amp;M$1&amp;"C"&amp;$A14)="N/A",0,RTD("tos.rtd",,$A$2,"."&amp;M$2&amp;M$1&amp;"C"&amp;$A14))-IF(RTD("tos.rtd",,$A$2,"."&amp;M$2&amp;M$1&amp;"P"&amp;$A14)="N/A",0,RTD("tos.rtd",,$A$2,"."&amp;M$2&amp;M$1&amp;"P"&amp;$A14))))))))))</f>
        <v>1087</v>
      </c>
      <c r="N14" s="12">
        <f ca="1">IF($A$2="PREMIUM_OI",IFERROR(IF($X$1="ABS",(100*RTD("tos.rtd",,"OPEN_INT","."&amp;N$2&amp;N$1&amp;"C"&amp;$A14)*RTD("tos.rtd",,"LAST","."&amp;N$2&amp;N$1&amp;"C"&amp;$A14)+100*RTD("tos.rtd",,"OPEN_INT","."&amp;N$2&amp;N$1&amp;"P"&amp;$A14)*RTD("tos.rtd",,"LAST","."&amp;N$2&amp;N$1&amp;"P"&amp;$A14))/1000000,(100*RTD("tos.rtd",,"OPEN_INT","."&amp;N$2&amp;N$1&amp;"C"&amp;$A14)*RTD("tos.rtd",,"LAST","."&amp;N$2&amp;N$1&amp;"C"&amp;$A14)-100*RTD("tos.rtd",,"OPEN_INT","."&amp;N$2&amp;N$1&amp;"P"&amp;$A14)*RTD("tos.rtd",,"LAST","."&amp;N$2&amp;N$1&amp;"P"&amp;$A14))/1000000),0),IF($A$2="PREMIUM",IFERROR(IF($X$1="ABS",(100*RTD("tos.rtd",,"VOLUME","."&amp;N$2&amp;N$1&amp;"C"&amp;$A14)*RTD("tos.rtd",,"LAST","."&amp;N$2&amp;N$1&amp;"C"&amp;$A14)+100*RTD("tos.rtd",,"VOLUME","."&amp;N$2&amp;N$1&amp;"P"&amp;$A14)*RTD("tos.rtd",,"LAST","."&amp;N$2&amp;N$1&amp;"P"&amp;$A14))/1000000,(100*RTD("tos.rtd",,"VOLUME","."&amp;N$2&amp;N$1&amp;"C"&amp;$A14)*RTD("tos.rtd",,"LAST","."&amp;N$2&amp;N$1&amp;"C"&amp;$A14)-100*RTD("tos.rtd",,"VOLUME","."&amp;N$2&amp;N$1&amp;"P"&amp;$A14)*RTD("tos.rtd",,"LAST","."&amp;N$2&amp;N$1&amp;"P"&amp;$A14))/1000000),0),IF($A$2="DEX",IFERROR(IF($X$1="ABS",(100*RTD("tos.rtd",,"OPEN_INT","."&amp;N$2&amp;N$1&amp;"C"&amp;$A14)*RTD("tos.rtd",,"DELTA","."&amp;N$2&amp;N$1&amp;"C"&amp;$A14)+100*RTD("tos.rtd",,"OPEN_INT","."&amp;N$2&amp;N$1&amp;"P"&amp;$A14)*RTD("tos.rtd",,"DELTA","."&amp;N$2&amp;N$1&amp;"P"&amp;$A14))/1000,(100*RTD("tos.rtd",,"OPEN_INT","."&amp;N$2&amp;N$1&amp;"C"&amp;$A14)*RTD("tos.rtd",,"DELTA","."&amp;N$2&amp;N$1&amp;"C"&amp;$A14)-100*RTD("tos.rtd",,"OPEN_INT","."&amp;N$2&amp;N$1&amp;"P"&amp;$A14)*RTD("tos.rtd",,"DELTA","."&amp;N$2&amp;N$1&amp;"P"&amp;$A14))/1000),0),IF($A$2="VEX",IFERROR(IF($X$1="ABS",($A$4*$A$4*RTD("tos.rtd",,"VOLUME","."&amp;N$2&amp;N$1&amp;"C"&amp;$A14)*RTD("tos.rtd",,"GAMMA","."&amp;N$2&amp;N$1&amp;"C"&amp;$A14)+$A$4*$A$4*RTD("tos.rtd",,"VOLUME","."&amp;N$2&amp;N$1&amp;"P"&amp;$A14)*RTD("tos.rtd",,"GAMMA","."&amp;N$2&amp;N$1&amp;"P"&amp;$A14))/1000000,($A$4*$A$4*RTD("tos.rtd",,"VOLUME","."&amp;N$2&amp;N$1&amp;"C"&amp;$A14)*RTD("tos.rtd",,"GAMMA","."&amp;N$2&amp;N$1&amp;"C"&amp;$A14)-$A$4*$A$4*RTD("tos.rtd",,"VOLUME","."&amp;N$2&amp;N$1&amp;"P"&amp;$A14)*RTD("tos.rtd",,"GAMMA","."&amp;N$2&amp;N$1&amp;"P"&amp;$A14))/1000000),0),IF($A$2="GEX",IFERROR(IF($X$1="ABS",($A$4*$A$4*RTD("tos.rtd",,"OPEN_INT","."&amp;N$2&amp;N$1&amp;"C"&amp;$A14)*RTD("tos.rtd",,"GAMMA","."&amp;N$2&amp;N$1&amp;"C"&amp;$A14)+$A$4*$A$4*RTD("tos.rtd",,"OPEN_INT","."&amp;N$2&amp;N$1&amp;"P"&amp;$A14)*RTD("tos.rtd",,"GAMMA","."&amp;N$2&amp;N$1&amp;"P"&amp;$A14))/1000000,($A$4*$A$4*RTD("tos.rtd",,"OPEN_INT","."&amp;N$2&amp;N$1&amp;"C"&amp;$A14)*RTD("tos.rtd",,"GAMMA","."&amp;N$2&amp;N$1&amp;"C"&amp;$A14)-$A$4*$A$4*RTD("tos.rtd",,"OPEN_INT","."&amp;N$2&amp;N$1&amp;"P"&amp;$A14)*RTD("tos.rtd",,"GAMMA","."&amp;N$2&amp;N$1&amp;"P"&amp;$A14))/1000000),0),IF($A$2="SKEW",IFERROR(VALUE(IF(RTD("tos.rtd",,"IMPL_VOL","."&amp;N$2&amp;N$1&amp;"P"&amp;$A14)="N/A",0,RTD("tos.rtd",,"IMPL_VOL","."&amp;N$2&amp;N$1&amp;"P"&amp;$A14))),0)-IFERROR(VALUE(IF(RTD("tos.rtd",,"IMPL_VOL","."&amp;N$2&amp;N$1&amp;"C"&amp;$A14)="N/A",0,RTD("tos.rtd",,"IMPL_VOL","."&amp;N$2&amp;N$1&amp;"C"&amp;$A14))),0),IF($A$2="MAXPAIN",IF($A$4&gt;$A14,($A$4-$A14)*IF(RTD("tos.rtd",,"OPEN_INT","."&amp;N$2&amp;N$1&amp;"C"&amp;$A14)="N/A",0,RTD("tos.rtd",,"OPEN_INT","."&amp;N$2&amp;N$1&amp;"C"&amp;$A14)),0)+IF($A$4&lt;$A14,($A$5-$A$4)*IF(RTD("tos.rtd",,"OPEN_INT","."&amp;N$2&amp;N$1&amp;"P"&amp;$A14)="N/A",0,RTD("tos.rtd",,"OPEN_INT","."&amp;N$2&amp;N$1&amp;"P"&amp;$A14)),0),IF($X$1="ABS",IF(RTD("tos.rtd",,$A$2,"."&amp;N$2&amp;N$1&amp;"C"&amp;$A14)="N/A",0,RTD("tos.rtd",,$A$2,"."&amp;N$2&amp;N$1&amp;"C"&amp;$A14))+IF(RTD("tos.rtd",,$A$2,"."&amp;N$2&amp;N$1&amp;"P"&amp;$A14)="N/A",0,RTD("tos.rtd",,$A$2,"."&amp;N$2&amp;N$1&amp;"P"&amp;$A14)),IF(RTD("tos.rtd",,$A$2,"."&amp;N$2&amp;N$1&amp;"C"&amp;$A14)="N/A",0,RTD("tos.rtd",,$A$2,"."&amp;N$2&amp;N$1&amp;"C"&amp;$A14))-IF(RTD("tos.rtd",,$A$2,"."&amp;N$2&amp;N$1&amp;"P"&amp;$A14)="N/A",0,RTD("tos.rtd",,$A$2,"."&amp;N$2&amp;N$1&amp;"P"&amp;$A14))))))))))</f>
        <v>0</v>
      </c>
      <c r="O14" s="12">
        <f ca="1">IF($A$2="PREMIUM_OI",IFERROR(IF($X$1="ABS",(100*RTD("tos.rtd",,"OPEN_INT","."&amp;O$2&amp;O$1&amp;"C"&amp;$A14)*RTD("tos.rtd",,"LAST","."&amp;O$2&amp;O$1&amp;"C"&amp;$A14)+100*RTD("tos.rtd",,"OPEN_INT","."&amp;O$2&amp;O$1&amp;"P"&amp;$A14)*RTD("tos.rtd",,"LAST","."&amp;O$2&amp;O$1&amp;"P"&amp;$A14))/1000000,(100*RTD("tos.rtd",,"OPEN_INT","."&amp;O$2&amp;O$1&amp;"C"&amp;$A14)*RTD("tos.rtd",,"LAST","."&amp;O$2&amp;O$1&amp;"C"&amp;$A14)-100*RTD("tos.rtd",,"OPEN_INT","."&amp;O$2&amp;O$1&amp;"P"&amp;$A14)*RTD("tos.rtd",,"LAST","."&amp;O$2&amp;O$1&amp;"P"&amp;$A14))/1000000),0),IF($A$2="PREMIUM",IFERROR(IF($X$1="ABS",(100*RTD("tos.rtd",,"VOLUME","."&amp;O$2&amp;O$1&amp;"C"&amp;$A14)*RTD("tos.rtd",,"LAST","."&amp;O$2&amp;O$1&amp;"C"&amp;$A14)+100*RTD("tos.rtd",,"VOLUME","."&amp;O$2&amp;O$1&amp;"P"&amp;$A14)*RTD("tos.rtd",,"LAST","."&amp;O$2&amp;O$1&amp;"P"&amp;$A14))/1000000,(100*RTD("tos.rtd",,"VOLUME","."&amp;O$2&amp;O$1&amp;"C"&amp;$A14)*RTD("tos.rtd",,"LAST","."&amp;O$2&amp;O$1&amp;"C"&amp;$A14)-100*RTD("tos.rtd",,"VOLUME","."&amp;O$2&amp;O$1&amp;"P"&amp;$A14)*RTD("tos.rtd",,"LAST","."&amp;O$2&amp;O$1&amp;"P"&amp;$A14))/1000000),0),IF($A$2="DEX",IFERROR(IF($X$1="ABS",(100*RTD("tos.rtd",,"OPEN_INT","."&amp;O$2&amp;O$1&amp;"C"&amp;$A14)*RTD("tos.rtd",,"DELTA","."&amp;O$2&amp;O$1&amp;"C"&amp;$A14)+100*RTD("tos.rtd",,"OPEN_INT","."&amp;O$2&amp;O$1&amp;"P"&amp;$A14)*RTD("tos.rtd",,"DELTA","."&amp;O$2&amp;O$1&amp;"P"&amp;$A14))/1000,(100*RTD("tos.rtd",,"OPEN_INT","."&amp;O$2&amp;O$1&amp;"C"&amp;$A14)*RTD("tos.rtd",,"DELTA","."&amp;O$2&amp;O$1&amp;"C"&amp;$A14)-100*RTD("tos.rtd",,"OPEN_INT","."&amp;O$2&amp;O$1&amp;"P"&amp;$A14)*RTD("tos.rtd",,"DELTA","."&amp;O$2&amp;O$1&amp;"P"&amp;$A14))/1000),0),IF($A$2="VEX",IFERROR(IF($X$1="ABS",($A$4*$A$4*RTD("tos.rtd",,"VOLUME","."&amp;O$2&amp;O$1&amp;"C"&amp;$A14)*RTD("tos.rtd",,"GAMMA","."&amp;O$2&amp;O$1&amp;"C"&amp;$A14)+$A$4*$A$4*RTD("tos.rtd",,"VOLUME","."&amp;O$2&amp;O$1&amp;"P"&amp;$A14)*RTD("tos.rtd",,"GAMMA","."&amp;O$2&amp;O$1&amp;"P"&amp;$A14))/1000000,($A$4*$A$4*RTD("tos.rtd",,"VOLUME","."&amp;O$2&amp;O$1&amp;"C"&amp;$A14)*RTD("tos.rtd",,"GAMMA","."&amp;O$2&amp;O$1&amp;"C"&amp;$A14)-$A$4*$A$4*RTD("tos.rtd",,"VOLUME","."&amp;O$2&amp;O$1&amp;"P"&amp;$A14)*RTD("tos.rtd",,"GAMMA","."&amp;O$2&amp;O$1&amp;"P"&amp;$A14))/1000000),0),IF($A$2="GEX",IFERROR(IF($X$1="ABS",($A$4*$A$4*RTD("tos.rtd",,"OPEN_INT","."&amp;O$2&amp;O$1&amp;"C"&amp;$A14)*RTD("tos.rtd",,"GAMMA","."&amp;O$2&amp;O$1&amp;"C"&amp;$A14)+$A$4*$A$4*RTD("tos.rtd",,"OPEN_INT","."&amp;O$2&amp;O$1&amp;"P"&amp;$A14)*RTD("tos.rtd",,"GAMMA","."&amp;O$2&amp;O$1&amp;"P"&amp;$A14))/1000000,($A$4*$A$4*RTD("tos.rtd",,"OPEN_INT","."&amp;O$2&amp;O$1&amp;"C"&amp;$A14)*RTD("tos.rtd",,"GAMMA","."&amp;O$2&amp;O$1&amp;"C"&amp;$A14)-$A$4*$A$4*RTD("tos.rtd",,"OPEN_INT","."&amp;O$2&amp;O$1&amp;"P"&amp;$A14)*RTD("tos.rtd",,"GAMMA","."&amp;O$2&amp;O$1&amp;"P"&amp;$A14))/1000000),0),IF($A$2="SKEW",IFERROR(VALUE(IF(RTD("tos.rtd",,"IMPL_VOL","."&amp;O$2&amp;O$1&amp;"P"&amp;$A14)="N/A",0,RTD("tos.rtd",,"IMPL_VOL","."&amp;O$2&amp;O$1&amp;"P"&amp;$A14))),0)-IFERROR(VALUE(IF(RTD("tos.rtd",,"IMPL_VOL","."&amp;O$2&amp;O$1&amp;"C"&amp;$A14)="N/A",0,RTD("tos.rtd",,"IMPL_VOL","."&amp;O$2&amp;O$1&amp;"C"&amp;$A14))),0),IF($A$2="MAXPAIN",IF($A$4&gt;$A14,($A$4-$A14)*IF(RTD("tos.rtd",,"OPEN_INT","."&amp;O$2&amp;O$1&amp;"C"&amp;$A14)="N/A",0,RTD("tos.rtd",,"OPEN_INT","."&amp;O$2&amp;O$1&amp;"C"&amp;$A14)),0)+IF($A$4&lt;$A14,($A$5-$A$4)*IF(RTD("tos.rtd",,"OPEN_INT","."&amp;O$2&amp;O$1&amp;"P"&amp;$A14)="N/A",0,RTD("tos.rtd",,"OPEN_INT","."&amp;O$2&amp;O$1&amp;"P"&amp;$A14)),0),IF($X$1="ABS",IF(RTD("tos.rtd",,$A$2,"."&amp;O$2&amp;O$1&amp;"C"&amp;$A14)="N/A",0,RTD("tos.rtd",,$A$2,"."&amp;O$2&amp;O$1&amp;"C"&amp;$A14))+IF(RTD("tos.rtd",,$A$2,"."&amp;O$2&amp;O$1&amp;"P"&amp;$A14)="N/A",0,RTD("tos.rtd",,$A$2,"."&amp;O$2&amp;O$1&amp;"P"&amp;$A14)),IF(RTD("tos.rtd",,$A$2,"."&amp;O$2&amp;O$1&amp;"C"&amp;$A14)="N/A",0,RTD("tos.rtd",,$A$2,"."&amp;O$2&amp;O$1&amp;"C"&amp;$A14))-IF(RTD("tos.rtd",,$A$2,"."&amp;O$2&amp;O$1&amp;"P"&amp;$A14)="N/A",0,RTD("tos.rtd",,$A$2,"."&amp;O$2&amp;O$1&amp;"P"&amp;$A14))))))))))</f>
        <v>0</v>
      </c>
      <c r="P14" s="12">
        <f ca="1">IF($A$2="PREMIUM_OI",IFERROR(IF($X$1="ABS",(100*RTD("tos.rtd",,"OPEN_INT","."&amp;P$2&amp;P$1&amp;"C"&amp;$A14)*RTD("tos.rtd",,"LAST","."&amp;P$2&amp;P$1&amp;"C"&amp;$A14)+100*RTD("tos.rtd",,"OPEN_INT","."&amp;P$2&amp;P$1&amp;"P"&amp;$A14)*RTD("tos.rtd",,"LAST","."&amp;P$2&amp;P$1&amp;"P"&amp;$A14))/1000000,(100*RTD("tos.rtd",,"OPEN_INT","."&amp;P$2&amp;P$1&amp;"C"&amp;$A14)*RTD("tos.rtd",,"LAST","."&amp;P$2&amp;P$1&amp;"C"&amp;$A14)-100*RTD("tos.rtd",,"OPEN_INT","."&amp;P$2&amp;P$1&amp;"P"&amp;$A14)*RTD("tos.rtd",,"LAST","."&amp;P$2&amp;P$1&amp;"P"&amp;$A14))/1000000),0),IF($A$2="PREMIUM",IFERROR(IF($X$1="ABS",(100*RTD("tos.rtd",,"VOLUME","."&amp;P$2&amp;P$1&amp;"C"&amp;$A14)*RTD("tos.rtd",,"LAST","."&amp;P$2&amp;P$1&amp;"C"&amp;$A14)+100*RTD("tos.rtd",,"VOLUME","."&amp;P$2&amp;P$1&amp;"P"&amp;$A14)*RTD("tos.rtd",,"LAST","."&amp;P$2&amp;P$1&amp;"P"&amp;$A14))/1000000,(100*RTD("tos.rtd",,"VOLUME","."&amp;P$2&amp;P$1&amp;"C"&amp;$A14)*RTD("tos.rtd",,"LAST","."&amp;P$2&amp;P$1&amp;"C"&amp;$A14)-100*RTD("tos.rtd",,"VOLUME","."&amp;P$2&amp;P$1&amp;"P"&amp;$A14)*RTD("tos.rtd",,"LAST","."&amp;P$2&amp;P$1&amp;"P"&amp;$A14))/1000000),0),IF($A$2="DEX",IFERROR(IF($X$1="ABS",(100*RTD("tos.rtd",,"OPEN_INT","."&amp;P$2&amp;P$1&amp;"C"&amp;$A14)*RTD("tos.rtd",,"DELTA","."&amp;P$2&amp;P$1&amp;"C"&amp;$A14)+100*RTD("tos.rtd",,"OPEN_INT","."&amp;P$2&amp;P$1&amp;"P"&amp;$A14)*RTD("tos.rtd",,"DELTA","."&amp;P$2&amp;P$1&amp;"P"&amp;$A14))/1000,(100*RTD("tos.rtd",,"OPEN_INT","."&amp;P$2&amp;P$1&amp;"C"&amp;$A14)*RTD("tos.rtd",,"DELTA","."&amp;P$2&amp;P$1&amp;"C"&amp;$A14)-100*RTD("tos.rtd",,"OPEN_INT","."&amp;P$2&amp;P$1&amp;"P"&amp;$A14)*RTD("tos.rtd",,"DELTA","."&amp;P$2&amp;P$1&amp;"P"&amp;$A14))/1000),0),IF($A$2="VEX",IFERROR(IF($X$1="ABS",($A$4*$A$4*RTD("tos.rtd",,"VOLUME","."&amp;P$2&amp;P$1&amp;"C"&amp;$A14)*RTD("tos.rtd",,"GAMMA","."&amp;P$2&amp;P$1&amp;"C"&amp;$A14)+$A$4*$A$4*RTD("tos.rtd",,"VOLUME","."&amp;P$2&amp;P$1&amp;"P"&amp;$A14)*RTD("tos.rtd",,"GAMMA","."&amp;P$2&amp;P$1&amp;"P"&amp;$A14))/1000000,($A$4*$A$4*RTD("tos.rtd",,"VOLUME","."&amp;P$2&amp;P$1&amp;"C"&amp;$A14)*RTD("tos.rtd",,"GAMMA","."&amp;P$2&amp;P$1&amp;"C"&amp;$A14)-$A$4*$A$4*RTD("tos.rtd",,"VOLUME","."&amp;P$2&amp;P$1&amp;"P"&amp;$A14)*RTD("tos.rtd",,"GAMMA","."&amp;P$2&amp;P$1&amp;"P"&amp;$A14))/1000000),0),IF($A$2="GEX",IFERROR(IF($X$1="ABS",($A$4*$A$4*RTD("tos.rtd",,"OPEN_INT","."&amp;P$2&amp;P$1&amp;"C"&amp;$A14)*RTD("tos.rtd",,"GAMMA","."&amp;P$2&amp;P$1&amp;"C"&amp;$A14)+$A$4*$A$4*RTD("tos.rtd",,"OPEN_INT","."&amp;P$2&amp;P$1&amp;"P"&amp;$A14)*RTD("tos.rtd",,"GAMMA","."&amp;P$2&amp;P$1&amp;"P"&amp;$A14))/1000000,($A$4*$A$4*RTD("tos.rtd",,"OPEN_INT","."&amp;P$2&amp;P$1&amp;"C"&amp;$A14)*RTD("tos.rtd",,"GAMMA","."&amp;P$2&amp;P$1&amp;"C"&amp;$A14)-$A$4*$A$4*RTD("tos.rtd",,"OPEN_INT","."&amp;P$2&amp;P$1&amp;"P"&amp;$A14)*RTD("tos.rtd",,"GAMMA","."&amp;P$2&amp;P$1&amp;"P"&amp;$A14))/1000000),0),IF($A$2="SKEW",IFERROR(VALUE(IF(RTD("tos.rtd",,"IMPL_VOL","."&amp;P$2&amp;P$1&amp;"P"&amp;$A14)="N/A",0,RTD("tos.rtd",,"IMPL_VOL","."&amp;P$2&amp;P$1&amp;"P"&amp;$A14))),0)-IFERROR(VALUE(IF(RTD("tos.rtd",,"IMPL_VOL","."&amp;P$2&amp;P$1&amp;"C"&amp;$A14)="N/A",0,RTD("tos.rtd",,"IMPL_VOL","."&amp;P$2&amp;P$1&amp;"C"&amp;$A14))),0),IF($A$2="MAXPAIN",IF($A$4&gt;$A14,($A$4-$A14)*IF(RTD("tos.rtd",,"OPEN_INT","."&amp;P$2&amp;P$1&amp;"C"&amp;$A14)="N/A",0,RTD("tos.rtd",,"OPEN_INT","."&amp;P$2&amp;P$1&amp;"C"&amp;$A14)),0)+IF($A$4&lt;$A14,($A$5-$A$4)*IF(RTD("tos.rtd",,"OPEN_INT","."&amp;P$2&amp;P$1&amp;"P"&amp;$A14)="N/A",0,RTD("tos.rtd",,"OPEN_INT","."&amp;P$2&amp;P$1&amp;"P"&amp;$A14)),0),IF($X$1="ABS",IF(RTD("tos.rtd",,$A$2,"."&amp;P$2&amp;P$1&amp;"C"&amp;$A14)="N/A",0,RTD("tos.rtd",,$A$2,"."&amp;P$2&amp;P$1&amp;"C"&amp;$A14))+IF(RTD("tos.rtd",,$A$2,"."&amp;P$2&amp;P$1&amp;"P"&amp;$A14)="N/A",0,RTD("tos.rtd",,$A$2,"."&amp;P$2&amp;P$1&amp;"P"&amp;$A14)),IF(RTD("tos.rtd",,$A$2,"."&amp;P$2&amp;P$1&amp;"C"&amp;$A14)="N/A",0,RTD("tos.rtd",,$A$2,"."&amp;P$2&amp;P$1&amp;"C"&amp;$A14))-IF(RTD("tos.rtd",,$A$2,"."&amp;P$2&amp;P$1&amp;"P"&amp;$A14)="N/A",0,RTD("tos.rtd",,$A$2,"."&amp;P$2&amp;P$1&amp;"P"&amp;$A14))))))))))</f>
        <v>15176</v>
      </c>
      <c r="Q14" s="12">
        <f ca="1">IF($A$2="PREMIUM_OI",IFERROR(IF($X$1="ABS",(100*RTD("tos.rtd",,"OPEN_INT","."&amp;Q$2&amp;Q$1&amp;"C"&amp;$A14)*RTD("tos.rtd",,"LAST","."&amp;Q$2&amp;Q$1&amp;"C"&amp;$A14)+100*RTD("tos.rtd",,"OPEN_INT","."&amp;Q$2&amp;Q$1&amp;"P"&amp;$A14)*RTD("tos.rtd",,"LAST","."&amp;Q$2&amp;Q$1&amp;"P"&amp;$A14))/1000000,(100*RTD("tos.rtd",,"OPEN_INT","."&amp;Q$2&amp;Q$1&amp;"C"&amp;$A14)*RTD("tos.rtd",,"LAST","."&amp;Q$2&amp;Q$1&amp;"C"&amp;$A14)-100*RTD("tos.rtd",,"OPEN_INT","."&amp;Q$2&amp;Q$1&amp;"P"&amp;$A14)*RTD("tos.rtd",,"LAST","."&amp;Q$2&amp;Q$1&amp;"P"&amp;$A14))/1000000),0),IF($A$2="PREMIUM",IFERROR(IF($X$1="ABS",(100*RTD("tos.rtd",,"VOLUME","."&amp;Q$2&amp;Q$1&amp;"C"&amp;$A14)*RTD("tos.rtd",,"LAST","."&amp;Q$2&amp;Q$1&amp;"C"&amp;$A14)+100*RTD("tos.rtd",,"VOLUME","."&amp;Q$2&amp;Q$1&amp;"P"&amp;$A14)*RTD("tos.rtd",,"LAST","."&amp;Q$2&amp;Q$1&amp;"P"&amp;$A14))/1000000,(100*RTD("tos.rtd",,"VOLUME","."&amp;Q$2&amp;Q$1&amp;"C"&amp;$A14)*RTD("tos.rtd",,"LAST","."&amp;Q$2&amp;Q$1&amp;"C"&amp;$A14)-100*RTD("tos.rtd",,"VOLUME","."&amp;Q$2&amp;Q$1&amp;"P"&amp;$A14)*RTD("tos.rtd",,"LAST","."&amp;Q$2&amp;Q$1&amp;"P"&amp;$A14))/1000000),0),IF($A$2="DEX",IFERROR(IF($X$1="ABS",(100*RTD("tos.rtd",,"OPEN_INT","."&amp;Q$2&amp;Q$1&amp;"C"&amp;$A14)*RTD("tos.rtd",,"DELTA","."&amp;Q$2&amp;Q$1&amp;"C"&amp;$A14)+100*RTD("tos.rtd",,"OPEN_INT","."&amp;Q$2&amp;Q$1&amp;"P"&amp;$A14)*RTD("tos.rtd",,"DELTA","."&amp;Q$2&amp;Q$1&amp;"P"&amp;$A14))/1000,(100*RTD("tos.rtd",,"OPEN_INT","."&amp;Q$2&amp;Q$1&amp;"C"&amp;$A14)*RTD("tos.rtd",,"DELTA","."&amp;Q$2&amp;Q$1&amp;"C"&amp;$A14)-100*RTD("tos.rtd",,"OPEN_INT","."&amp;Q$2&amp;Q$1&amp;"P"&amp;$A14)*RTD("tos.rtd",,"DELTA","."&amp;Q$2&amp;Q$1&amp;"P"&amp;$A14))/1000),0),IF($A$2="VEX",IFERROR(IF($X$1="ABS",($A$4*$A$4*RTD("tos.rtd",,"VOLUME","."&amp;Q$2&amp;Q$1&amp;"C"&amp;$A14)*RTD("tos.rtd",,"GAMMA","."&amp;Q$2&amp;Q$1&amp;"C"&amp;$A14)+$A$4*$A$4*RTD("tos.rtd",,"VOLUME","."&amp;Q$2&amp;Q$1&amp;"P"&amp;$A14)*RTD("tos.rtd",,"GAMMA","."&amp;Q$2&amp;Q$1&amp;"P"&amp;$A14))/1000000,($A$4*$A$4*RTD("tos.rtd",,"VOLUME","."&amp;Q$2&amp;Q$1&amp;"C"&amp;$A14)*RTD("tos.rtd",,"GAMMA","."&amp;Q$2&amp;Q$1&amp;"C"&amp;$A14)-$A$4*$A$4*RTD("tos.rtd",,"VOLUME","."&amp;Q$2&amp;Q$1&amp;"P"&amp;$A14)*RTD("tos.rtd",,"GAMMA","."&amp;Q$2&amp;Q$1&amp;"P"&amp;$A14))/1000000),0),IF($A$2="GEX",IFERROR(IF($X$1="ABS",($A$4*$A$4*RTD("tos.rtd",,"OPEN_INT","."&amp;Q$2&amp;Q$1&amp;"C"&amp;$A14)*RTD("tos.rtd",,"GAMMA","."&amp;Q$2&amp;Q$1&amp;"C"&amp;$A14)+$A$4*$A$4*RTD("tos.rtd",,"OPEN_INT","."&amp;Q$2&amp;Q$1&amp;"P"&amp;$A14)*RTD("tos.rtd",,"GAMMA","."&amp;Q$2&amp;Q$1&amp;"P"&amp;$A14))/1000000,($A$4*$A$4*RTD("tos.rtd",,"OPEN_INT","."&amp;Q$2&amp;Q$1&amp;"C"&amp;$A14)*RTD("tos.rtd",,"GAMMA","."&amp;Q$2&amp;Q$1&amp;"C"&amp;$A14)-$A$4*$A$4*RTD("tos.rtd",,"OPEN_INT","."&amp;Q$2&amp;Q$1&amp;"P"&amp;$A14)*RTD("tos.rtd",,"GAMMA","."&amp;Q$2&amp;Q$1&amp;"P"&amp;$A14))/1000000),0),IF($A$2="SKEW",IFERROR(VALUE(IF(RTD("tos.rtd",,"IMPL_VOL","."&amp;Q$2&amp;Q$1&amp;"P"&amp;$A14)="N/A",0,RTD("tos.rtd",,"IMPL_VOL","."&amp;Q$2&amp;Q$1&amp;"P"&amp;$A14))),0)-IFERROR(VALUE(IF(RTD("tos.rtd",,"IMPL_VOL","."&amp;Q$2&amp;Q$1&amp;"C"&amp;$A14)="N/A",0,RTD("tos.rtd",,"IMPL_VOL","."&amp;Q$2&amp;Q$1&amp;"C"&amp;$A14))),0),IF($A$2="MAXPAIN",IF($A$4&gt;$A14,($A$4-$A14)*IF(RTD("tos.rtd",,"OPEN_INT","."&amp;Q$2&amp;Q$1&amp;"C"&amp;$A14)="N/A",0,RTD("tos.rtd",,"OPEN_INT","."&amp;Q$2&amp;Q$1&amp;"C"&amp;$A14)),0)+IF($A$4&lt;$A14,($A$5-$A$4)*IF(RTD("tos.rtd",,"OPEN_INT","."&amp;Q$2&amp;Q$1&amp;"P"&amp;$A14)="N/A",0,RTD("tos.rtd",,"OPEN_INT","."&amp;Q$2&amp;Q$1&amp;"P"&amp;$A14)),0),IF($X$1="ABS",IF(RTD("tos.rtd",,$A$2,"."&amp;Q$2&amp;Q$1&amp;"C"&amp;$A14)="N/A",0,RTD("tos.rtd",,$A$2,"."&amp;Q$2&amp;Q$1&amp;"C"&amp;$A14))+IF(RTD("tos.rtd",,$A$2,"."&amp;Q$2&amp;Q$1&amp;"P"&amp;$A14)="N/A",0,RTD("tos.rtd",,$A$2,"."&amp;Q$2&amp;Q$1&amp;"P"&amp;$A14)),IF(RTD("tos.rtd",,$A$2,"."&amp;Q$2&amp;Q$1&amp;"C"&amp;$A14)="N/A",0,RTD("tos.rtd",,$A$2,"."&amp;Q$2&amp;Q$1&amp;"C"&amp;$A14))-IF(RTD("tos.rtd",,$A$2,"."&amp;Q$2&amp;Q$1&amp;"P"&amp;$A14)="N/A",0,RTD("tos.rtd",,$A$2,"."&amp;Q$2&amp;Q$1&amp;"P"&amp;$A14))))))))))</f>
        <v>0</v>
      </c>
      <c r="R14" s="12">
        <f ca="1">IF($A$2="PREMIUM_OI",IFERROR(IF($X$1="ABS",(100*RTD("tos.rtd",,"OPEN_INT","."&amp;R$2&amp;R$1&amp;"C"&amp;$A14)*RTD("tos.rtd",,"LAST","."&amp;R$2&amp;R$1&amp;"C"&amp;$A14)+100*RTD("tos.rtd",,"OPEN_INT","."&amp;R$2&amp;R$1&amp;"P"&amp;$A14)*RTD("tos.rtd",,"LAST","."&amp;R$2&amp;R$1&amp;"P"&amp;$A14))/1000000,(100*RTD("tos.rtd",,"OPEN_INT","."&amp;R$2&amp;R$1&amp;"C"&amp;$A14)*RTD("tos.rtd",,"LAST","."&amp;R$2&amp;R$1&amp;"C"&amp;$A14)-100*RTD("tos.rtd",,"OPEN_INT","."&amp;R$2&amp;R$1&amp;"P"&amp;$A14)*RTD("tos.rtd",,"LAST","."&amp;R$2&amp;R$1&amp;"P"&amp;$A14))/1000000),0),IF($A$2="PREMIUM",IFERROR(IF($X$1="ABS",(100*RTD("tos.rtd",,"VOLUME","."&amp;R$2&amp;R$1&amp;"C"&amp;$A14)*RTD("tos.rtd",,"LAST","."&amp;R$2&amp;R$1&amp;"C"&amp;$A14)+100*RTD("tos.rtd",,"VOLUME","."&amp;R$2&amp;R$1&amp;"P"&amp;$A14)*RTD("tos.rtd",,"LAST","."&amp;R$2&amp;R$1&amp;"P"&amp;$A14))/1000000,(100*RTD("tos.rtd",,"VOLUME","."&amp;R$2&amp;R$1&amp;"C"&amp;$A14)*RTD("tos.rtd",,"LAST","."&amp;R$2&amp;R$1&amp;"C"&amp;$A14)-100*RTD("tos.rtd",,"VOLUME","."&amp;R$2&amp;R$1&amp;"P"&amp;$A14)*RTD("tos.rtd",,"LAST","."&amp;R$2&amp;R$1&amp;"P"&amp;$A14))/1000000),0),IF($A$2="DEX",IFERROR(IF($X$1="ABS",(100*RTD("tos.rtd",,"OPEN_INT","."&amp;R$2&amp;R$1&amp;"C"&amp;$A14)*RTD("tos.rtd",,"DELTA","."&amp;R$2&amp;R$1&amp;"C"&amp;$A14)+100*RTD("tos.rtd",,"OPEN_INT","."&amp;R$2&amp;R$1&amp;"P"&amp;$A14)*RTD("tos.rtd",,"DELTA","."&amp;R$2&amp;R$1&amp;"P"&amp;$A14))/1000,(100*RTD("tos.rtd",,"OPEN_INT","."&amp;R$2&amp;R$1&amp;"C"&amp;$A14)*RTD("tos.rtd",,"DELTA","."&amp;R$2&amp;R$1&amp;"C"&amp;$A14)-100*RTD("tos.rtd",,"OPEN_INT","."&amp;R$2&amp;R$1&amp;"P"&amp;$A14)*RTD("tos.rtd",,"DELTA","."&amp;R$2&amp;R$1&amp;"P"&amp;$A14))/1000),0),IF($A$2="VEX",IFERROR(IF($X$1="ABS",($A$4*$A$4*RTD("tos.rtd",,"VOLUME","."&amp;R$2&amp;R$1&amp;"C"&amp;$A14)*RTD("tos.rtd",,"GAMMA","."&amp;R$2&amp;R$1&amp;"C"&amp;$A14)+$A$4*$A$4*RTD("tos.rtd",,"VOLUME","."&amp;R$2&amp;R$1&amp;"P"&amp;$A14)*RTD("tos.rtd",,"GAMMA","."&amp;R$2&amp;R$1&amp;"P"&amp;$A14))/1000000,($A$4*$A$4*RTD("tos.rtd",,"VOLUME","."&amp;R$2&amp;R$1&amp;"C"&amp;$A14)*RTD("tos.rtd",,"GAMMA","."&amp;R$2&amp;R$1&amp;"C"&amp;$A14)-$A$4*$A$4*RTD("tos.rtd",,"VOLUME","."&amp;R$2&amp;R$1&amp;"P"&amp;$A14)*RTD("tos.rtd",,"GAMMA","."&amp;R$2&amp;R$1&amp;"P"&amp;$A14))/1000000),0),IF($A$2="GEX",IFERROR(IF($X$1="ABS",($A$4*$A$4*RTD("tos.rtd",,"OPEN_INT","."&amp;R$2&amp;R$1&amp;"C"&amp;$A14)*RTD("tos.rtd",,"GAMMA","."&amp;R$2&amp;R$1&amp;"C"&amp;$A14)+$A$4*$A$4*RTD("tos.rtd",,"OPEN_INT","."&amp;R$2&amp;R$1&amp;"P"&amp;$A14)*RTD("tos.rtd",,"GAMMA","."&amp;R$2&amp;R$1&amp;"P"&amp;$A14))/1000000,($A$4*$A$4*RTD("tos.rtd",,"OPEN_INT","."&amp;R$2&amp;R$1&amp;"C"&amp;$A14)*RTD("tos.rtd",,"GAMMA","."&amp;R$2&amp;R$1&amp;"C"&amp;$A14)-$A$4*$A$4*RTD("tos.rtd",,"OPEN_INT","."&amp;R$2&amp;R$1&amp;"P"&amp;$A14)*RTD("tos.rtd",,"GAMMA","."&amp;R$2&amp;R$1&amp;"P"&amp;$A14))/1000000),0),IF($A$2="SKEW",IFERROR(VALUE(IF(RTD("tos.rtd",,"IMPL_VOL","."&amp;R$2&amp;R$1&amp;"P"&amp;$A14)="N/A",0,RTD("tos.rtd",,"IMPL_VOL","."&amp;R$2&amp;R$1&amp;"P"&amp;$A14))),0)-IFERROR(VALUE(IF(RTD("tos.rtd",,"IMPL_VOL","."&amp;R$2&amp;R$1&amp;"C"&amp;$A14)="N/A",0,RTD("tos.rtd",,"IMPL_VOL","."&amp;R$2&amp;R$1&amp;"C"&amp;$A14))),0),IF($A$2="MAXPAIN",IF($A$4&gt;$A14,($A$4-$A14)*IF(RTD("tos.rtd",,"OPEN_INT","."&amp;R$2&amp;R$1&amp;"C"&amp;$A14)="N/A",0,RTD("tos.rtd",,"OPEN_INT","."&amp;R$2&amp;R$1&amp;"C"&amp;$A14)),0)+IF($A$4&lt;$A14,($A$5-$A$4)*IF(RTD("tos.rtd",,"OPEN_INT","."&amp;R$2&amp;R$1&amp;"P"&amp;$A14)="N/A",0,RTD("tos.rtd",,"OPEN_INT","."&amp;R$2&amp;R$1&amp;"P"&amp;$A14)),0),IF($X$1="ABS",IF(RTD("tos.rtd",,$A$2,"."&amp;R$2&amp;R$1&amp;"C"&amp;$A14)="N/A",0,RTD("tos.rtd",,$A$2,"."&amp;R$2&amp;R$1&amp;"C"&amp;$A14))+IF(RTD("tos.rtd",,$A$2,"."&amp;R$2&amp;R$1&amp;"P"&amp;$A14)="N/A",0,RTD("tos.rtd",,$A$2,"."&amp;R$2&amp;R$1&amp;"P"&amp;$A14)),IF(RTD("tos.rtd",,$A$2,"."&amp;R$2&amp;R$1&amp;"C"&amp;$A14)="N/A",0,RTD("tos.rtd",,$A$2,"."&amp;R$2&amp;R$1&amp;"C"&amp;$A14))-IF(RTD("tos.rtd",,$A$2,"."&amp;R$2&amp;R$1&amp;"P"&amp;$A14)="N/A",0,RTD("tos.rtd",,$A$2,"."&amp;R$2&amp;R$1&amp;"P"&amp;$A14))))))))))</f>
        <v>0</v>
      </c>
      <c r="S14" s="12">
        <f ca="1">IF($A$2="PREMIUM_OI",IFERROR(IF($X$1="ABS",(100*RTD("tos.rtd",,"OPEN_INT","."&amp;S$2&amp;S$1&amp;"C"&amp;$A14)*RTD("tos.rtd",,"LAST","."&amp;S$2&amp;S$1&amp;"C"&amp;$A14)+100*RTD("tos.rtd",,"OPEN_INT","."&amp;S$2&amp;S$1&amp;"P"&amp;$A14)*RTD("tos.rtd",,"LAST","."&amp;S$2&amp;S$1&amp;"P"&amp;$A14))/1000000,(100*RTD("tos.rtd",,"OPEN_INT","."&amp;S$2&amp;S$1&amp;"C"&amp;$A14)*RTD("tos.rtd",,"LAST","."&amp;S$2&amp;S$1&amp;"C"&amp;$A14)-100*RTD("tos.rtd",,"OPEN_INT","."&amp;S$2&amp;S$1&amp;"P"&amp;$A14)*RTD("tos.rtd",,"LAST","."&amp;S$2&amp;S$1&amp;"P"&amp;$A14))/1000000),0),IF($A$2="PREMIUM",IFERROR(IF($X$1="ABS",(100*RTD("tos.rtd",,"VOLUME","."&amp;S$2&amp;S$1&amp;"C"&amp;$A14)*RTD("tos.rtd",,"LAST","."&amp;S$2&amp;S$1&amp;"C"&amp;$A14)+100*RTD("tos.rtd",,"VOLUME","."&amp;S$2&amp;S$1&amp;"P"&amp;$A14)*RTD("tos.rtd",,"LAST","."&amp;S$2&amp;S$1&amp;"P"&amp;$A14))/1000000,(100*RTD("tos.rtd",,"VOLUME","."&amp;S$2&amp;S$1&amp;"C"&amp;$A14)*RTD("tos.rtd",,"LAST","."&amp;S$2&amp;S$1&amp;"C"&amp;$A14)-100*RTD("tos.rtd",,"VOLUME","."&amp;S$2&amp;S$1&amp;"P"&amp;$A14)*RTD("tos.rtd",,"LAST","."&amp;S$2&amp;S$1&amp;"P"&amp;$A14))/1000000),0),IF($A$2="DEX",IFERROR(IF($X$1="ABS",(100*RTD("tos.rtd",,"OPEN_INT","."&amp;S$2&amp;S$1&amp;"C"&amp;$A14)*RTD("tos.rtd",,"DELTA","."&amp;S$2&amp;S$1&amp;"C"&amp;$A14)+100*RTD("tos.rtd",,"OPEN_INT","."&amp;S$2&amp;S$1&amp;"P"&amp;$A14)*RTD("tos.rtd",,"DELTA","."&amp;S$2&amp;S$1&amp;"P"&amp;$A14))/1000,(100*RTD("tos.rtd",,"OPEN_INT","."&amp;S$2&amp;S$1&amp;"C"&amp;$A14)*RTD("tos.rtd",,"DELTA","."&amp;S$2&amp;S$1&amp;"C"&amp;$A14)-100*RTD("tos.rtd",,"OPEN_INT","."&amp;S$2&amp;S$1&amp;"P"&amp;$A14)*RTD("tos.rtd",,"DELTA","."&amp;S$2&amp;S$1&amp;"P"&amp;$A14))/1000),0),IF($A$2="VEX",IFERROR(IF($X$1="ABS",($A$4*$A$4*RTD("tos.rtd",,"VOLUME","."&amp;S$2&amp;S$1&amp;"C"&amp;$A14)*RTD("tos.rtd",,"GAMMA","."&amp;S$2&amp;S$1&amp;"C"&amp;$A14)+$A$4*$A$4*RTD("tos.rtd",,"VOLUME","."&amp;S$2&amp;S$1&amp;"P"&amp;$A14)*RTD("tos.rtd",,"GAMMA","."&amp;S$2&amp;S$1&amp;"P"&amp;$A14))/1000000,($A$4*$A$4*RTD("tos.rtd",,"VOLUME","."&amp;S$2&amp;S$1&amp;"C"&amp;$A14)*RTD("tos.rtd",,"GAMMA","."&amp;S$2&amp;S$1&amp;"C"&amp;$A14)-$A$4*$A$4*RTD("tos.rtd",,"VOLUME","."&amp;S$2&amp;S$1&amp;"P"&amp;$A14)*RTD("tos.rtd",,"GAMMA","."&amp;S$2&amp;S$1&amp;"P"&amp;$A14))/1000000),0),IF($A$2="GEX",IFERROR(IF($X$1="ABS",($A$4*$A$4*RTD("tos.rtd",,"OPEN_INT","."&amp;S$2&amp;S$1&amp;"C"&amp;$A14)*RTD("tos.rtd",,"GAMMA","."&amp;S$2&amp;S$1&amp;"C"&amp;$A14)+$A$4*$A$4*RTD("tos.rtd",,"OPEN_INT","."&amp;S$2&amp;S$1&amp;"P"&amp;$A14)*RTD("tos.rtd",,"GAMMA","."&amp;S$2&amp;S$1&amp;"P"&amp;$A14))/1000000,($A$4*$A$4*RTD("tos.rtd",,"OPEN_INT","."&amp;S$2&amp;S$1&amp;"C"&amp;$A14)*RTD("tos.rtd",,"GAMMA","."&amp;S$2&amp;S$1&amp;"C"&amp;$A14)-$A$4*$A$4*RTD("tos.rtd",,"OPEN_INT","."&amp;S$2&amp;S$1&amp;"P"&amp;$A14)*RTD("tos.rtd",,"GAMMA","."&amp;S$2&amp;S$1&amp;"P"&amp;$A14))/1000000),0),IF($A$2="SKEW",IFERROR(VALUE(IF(RTD("tos.rtd",,"IMPL_VOL","."&amp;S$2&amp;S$1&amp;"P"&amp;$A14)="N/A",0,RTD("tos.rtd",,"IMPL_VOL","."&amp;S$2&amp;S$1&amp;"P"&amp;$A14))),0)-IFERROR(VALUE(IF(RTD("tos.rtd",,"IMPL_VOL","."&amp;S$2&amp;S$1&amp;"C"&amp;$A14)="N/A",0,RTD("tos.rtd",,"IMPL_VOL","."&amp;S$2&amp;S$1&amp;"C"&amp;$A14))),0),IF($A$2="MAXPAIN",IF($A$4&gt;$A14,($A$4-$A14)*IF(RTD("tos.rtd",,"OPEN_INT","."&amp;S$2&amp;S$1&amp;"C"&amp;$A14)="N/A",0,RTD("tos.rtd",,"OPEN_INT","."&amp;S$2&amp;S$1&amp;"C"&amp;$A14)),0)+IF($A$4&lt;$A14,($A$5-$A$4)*IF(RTD("tos.rtd",,"OPEN_INT","."&amp;S$2&amp;S$1&amp;"P"&amp;$A14)="N/A",0,RTD("tos.rtd",,"OPEN_INT","."&amp;S$2&amp;S$1&amp;"P"&amp;$A14)),0),IF($X$1="ABS",IF(RTD("tos.rtd",,$A$2,"."&amp;S$2&amp;S$1&amp;"C"&amp;$A14)="N/A",0,RTD("tos.rtd",,$A$2,"."&amp;S$2&amp;S$1&amp;"C"&amp;$A14))+IF(RTD("tos.rtd",,$A$2,"."&amp;S$2&amp;S$1&amp;"P"&amp;$A14)="N/A",0,RTD("tos.rtd",,$A$2,"."&amp;S$2&amp;S$1&amp;"P"&amp;$A14)),IF(RTD("tos.rtd",,$A$2,"."&amp;S$2&amp;S$1&amp;"C"&amp;$A14)="N/A",0,RTD("tos.rtd",,$A$2,"."&amp;S$2&amp;S$1&amp;"C"&amp;$A14))-IF(RTD("tos.rtd",,$A$2,"."&amp;S$2&amp;S$1&amp;"P"&amp;$A14)="N/A",0,RTD("tos.rtd",,$A$2,"."&amp;S$2&amp;S$1&amp;"P"&amp;$A14))))))))))</f>
        <v>0</v>
      </c>
      <c r="T14" s="12">
        <f ca="1">IF($A$2="PREMIUM_OI",IFERROR(IF($X$1="ABS",(100*RTD("tos.rtd",,"OPEN_INT","."&amp;T$2&amp;T$1&amp;"C"&amp;$A14)*RTD("tos.rtd",,"LAST","."&amp;T$2&amp;T$1&amp;"C"&amp;$A14)+100*RTD("tos.rtd",,"OPEN_INT","."&amp;T$2&amp;T$1&amp;"P"&amp;$A14)*RTD("tos.rtd",,"LAST","."&amp;T$2&amp;T$1&amp;"P"&amp;$A14))/1000000,(100*RTD("tos.rtd",,"OPEN_INT","."&amp;T$2&amp;T$1&amp;"C"&amp;$A14)*RTD("tos.rtd",,"LAST","."&amp;T$2&amp;T$1&amp;"C"&amp;$A14)-100*RTD("tos.rtd",,"OPEN_INT","."&amp;T$2&amp;T$1&amp;"P"&amp;$A14)*RTD("tos.rtd",,"LAST","."&amp;T$2&amp;T$1&amp;"P"&amp;$A14))/1000000),0),IF($A$2="PREMIUM",IFERROR(IF($X$1="ABS",(100*RTD("tos.rtd",,"VOLUME","."&amp;T$2&amp;T$1&amp;"C"&amp;$A14)*RTD("tos.rtd",,"LAST","."&amp;T$2&amp;T$1&amp;"C"&amp;$A14)+100*RTD("tos.rtd",,"VOLUME","."&amp;T$2&amp;T$1&amp;"P"&amp;$A14)*RTD("tos.rtd",,"LAST","."&amp;T$2&amp;T$1&amp;"P"&amp;$A14))/1000000,(100*RTD("tos.rtd",,"VOLUME","."&amp;T$2&amp;T$1&amp;"C"&amp;$A14)*RTD("tos.rtd",,"LAST","."&amp;T$2&amp;T$1&amp;"C"&amp;$A14)-100*RTD("tos.rtd",,"VOLUME","."&amp;T$2&amp;T$1&amp;"P"&amp;$A14)*RTD("tos.rtd",,"LAST","."&amp;T$2&amp;T$1&amp;"P"&amp;$A14))/1000000),0),IF($A$2="DEX",IFERROR(IF($X$1="ABS",(100*RTD("tos.rtd",,"OPEN_INT","."&amp;T$2&amp;T$1&amp;"C"&amp;$A14)*RTD("tos.rtd",,"DELTA","."&amp;T$2&amp;T$1&amp;"C"&amp;$A14)+100*RTD("tos.rtd",,"OPEN_INT","."&amp;T$2&amp;T$1&amp;"P"&amp;$A14)*RTD("tos.rtd",,"DELTA","."&amp;T$2&amp;T$1&amp;"P"&amp;$A14))/1000,(100*RTD("tos.rtd",,"OPEN_INT","."&amp;T$2&amp;T$1&amp;"C"&amp;$A14)*RTD("tos.rtd",,"DELTA","."&amp;T$2&amp;T$1&amp;"C"&amp;$A14)-100*RTD("tos.rtd",,"OPEN_INT","."&amp;T$2&amp;T$1&amp;"P"&amp;$A14)*RTD("tos.rtd",,"DELTA","."&amp;T$2&amp;T$1&amp;"P"&amp;$A14))/1000),0),IF($A$2="VEX",IFERROR(IF($X$1="ABS",($A$4*$A$4*RTD("tos.rtd",,"VOLUME","."&amp;T$2&amp;T$1&amp;"C"&amp;$A14)*RTD("tos.rtd",,"GAMMA","."&amp;T$2&amp;T$1&amp;"C"&amp;$A14)+$A$4*$A$4*RTD("tos.rtd",,"VOLUME","."&amp;T$2&amp;T$1&amp;"P"&amp;$A14)*RTD("tos.rtd",,"GAMMA","."&amp;T$2&amp;T$1&amp;"P"&amp;$A14))/1000000,($A$4*$A$4*RTD("tos.rtd",,"VOLUME","."&amp;T$2&amp;T$1&amp;"C"&amp;$A14)*RTD("tos.rtd",,"GAMMA","."&amp;T$2&amp;T$1&amp;"C"&amp;$A14)-$A$4*$A$4*RTD("tos.rtd",,"VOLUME","."&amp;T$2&amp;T$1&amp;"P"&amp;$A14)*RTD("tos.rtd",,"GAMMA","."&amp;T$2&amp;T$1&amp;"P"&amp;$A14))/1000000),0),IF($A$2="GEX",IFERROR(IF($X$1="ABS",($A$4*$A$4*RTD("tos.rtd",,"OPEN_INT","."&amp;T$2&amp;T$1&amp;"C"&amp;$A14)*RTD("tos.rtd",,"GAMMA","."&amp;T$2&amp;T$1&amp;"C"&amp;$A14)+$A$4*$A$4*RTD("tos.rtd",,"OPEN_INT","."&amp;T$2&amp;T$1&amp;"P"&amp;$A14)*RTD("tos.rtd",,"GAMMA","."&amp;T$2&amp;T$1&amp;"P"&amp;$A14))/1000000,($A$4*$A$4*RTD("tos.rtd",,"OPEN_INT","."&amp;T$2&amp;T$1&amp;"C"&amp;$A14)*RTD("tos.rtd",,"GAMMA","."&amp;T$2&amp;T$1&amp;"C"&amp;$A14)-$A$4*$A$4*RTD("tos.rtd",,"OPEN_INT","."&amp;T$2&amp;T$1&amp;"P"&amp;$A14)*RTD("tos.rtd",,"GAMMA","."&amp;T$2&amp;T$1&amp;"P"&amp;$A14))/1000000),0),IF($A$2="SKEW",IFERROR(VALUE(IF(RTD("tos.rtd",,"IMPL_VOL","."&amp;T$2&amp;T$1&amp;"P"&amp;$A14)="N/A",0,RTD("tos.rtd",,"IMPL_VOL","."&amp;T$2&amp;T$1&amp;"P"&amp;$A14))),0)-IFERROR(VALUE(IF(RTD("tos.rtd",,"IMPL_VOL","."&amp;T$2&amp;T$1&amp;"C"&amp;$A14)="N/A",0,RTD("tos.rtd",,"IMPL_VOL","."&amp;T$2&amp;T$1&amp;"C"&amp;$A14))),0),IF($A$2="MAXPAIN",IF($A$4&gt;$A14,($A$4-$A14)*IF(RTD("tos.rtd",,"OPEN_INT","."&amp;T$2&amp;T$1&amp;"C"&amp;$A14)="N/A",0,RTD("tos.rtd",,"OPEN_INT","."&amp;T$2&amp;T$1&amp;"C"&amp;$A14)),0)+IF($A$4&lt;$A14,($A$5-$A$4)*IF(RTD("tos.rtd",,"OPEN_INT","."&amp;T$2&amp;T$1&amp;"P"&amp;$A14)="N/A",0,RTD("tos.rtd",,"OPEN_INT","."&amp;T$2&amp;T$1&amp;"P"&amp;$A14)),0),IF($X$1="ABS",IF(RTD("tos.rtd",,$A$2,"."&amp;T$2&amp;T$1&amp;"C"&amp;$A14)="N/A",0,RTD("tos.rtd",,$A$2,"."&amp;T$2&amp;T$1&amp;"C"&amp;$A14))+IF(RTD("tos.rtd",,$A$2,"."&amp;T$2&amp;T$1&amp;"P"&amp;$A14)="N/A",0,RTD("tos.rtd",,$A$2,"."&amp;T$2&amp;T$1&amp;"P"&amp;$A14)),IF(RTD("tos.rtd",,$A$2,"."&amp;T$2&amp;T$1&amp;"C"&amp;$A14)="N/A",0,RTD("tos.rtd",,$A$2,"."&amp;T$2&amp;T$1&amp;"C"&amp;$A14))-IF(RTD("tos.rtd",,$A$2,"."&amp;T$2&amp;T$1&amp;"P"&amp;$A14)="N/A",0,RTD("tos.rtd",,$A$2,"."&amp;T$2&amp;T$1&amp;"P"&amp;$A14))))))))))</f>
        <v>0</v>
      </c>
      <c r="U14" s="12">
        <f ca="1">IF($A$2="PREMIUM_OI",IFERROR(IF($X$1="ABS",(100*RTD("tos.rtd",,"OPEN_INT","."&amp;U$2&amp;U$1&amp;"C"&amp;$A14)*RTD("tos.rtd",,"LAST","."&amp;U$2&amp;U$1&amp;"C"&amp;$A14)+100*RTD("tos.rtd",,"OPEN_INT","."&amp;U$2&amp;U$1&amp;"P"&amp;$A14)*RTD("tos.rtd",,"LAST","."&amp;U$2&amp;U$1&amp;"P"&amp;$A14))/1000000,(100*RTD("tos.rtd",,"OPEN_INT","."&amp;U$2&amp;U$1&amp;"C"&amp;$A14)*RTD("tos.rtd",,"LAST","."&amp;U$2&amp;U$1&amp;"C"&amp;$A14)-100*RTD("tos.rtd",,"OPEN_INT","."&amp;U$2&amp;U$1&amp;"P"&amp;$A14)*RTD("tos.rtd",,"LAST","."&amp;U$2&amp;U$1&amp;"P"&amp;$A14))/1000000),0),IF($A$2="PREMIUM",IFERROR(IF($X$1="ABS",(100*RTD("tos.rtd",,"VOLUME","."&amp;U$2&amp;U$1&amp;"C"&amp;$A14)*RTD("tos.rtd",,"LAST","."&amp;U$2&amp;U$1&amp;"C"&amp;$A14)+100*RTD("tos.rtd",,"VOLUME","."&amp;U$2&amp;U$1&amp;"P"&amp;$A14)*RTD("tos.rtd",,"LAST","."&amp;U$2&amp;U$1&amp;"P"&amp;$A14))/1000000,(100*RTD("tos.rtd",,"VOLUME","."&amp;U$2&amp;U$1&amp;"C"&amp;$A14)*RTD("tos.rtd",,"LAST","."&amp;U$2&amp;U$1&amp;"C"&amp;$A14)-100*RTD("tos.rtd",,"VOLUME","."&amp;U$2&amp;U$1&amp;"P"&amp;$A14)*RTD("tos.rtd",,"LAST","."&amp;U$2&amp;U$1&amp;"P"&amp;$A14))/1000000),0),IF($A$2="DEX",IFERROR(IF($X$1="ABS",(100*RTD("tos.rtd",,"OPEN_INT","."&amp;U$2&amp;U$1&amp;"C"&amp;$A14)*RTD("tos.rtd",,"DELTA","."&amp;U$2&amp;U$1&amp;"C"&amp;$A14)+100*RTD("tos.rtd",,"OPEN_INT","."&amp;U$2&amp;U$1&amp;"P"&amp;$A14)*RTD("tos.rtd",,"DELTA","."&amp;U$2&amp;U$1&amp;"P"&amp;$A14))/1000,(100*RTD("tos.rtd",,"OPEN_INT","."&amp;U$2&amp;U$1&amp;"C"&amp;$A14)*RTD("tos.rtd",,"DELTA","."&amp;U$2&amp;U$1&amp;"C"&amp;$A14)-100*RTD("tos.rtd",,"OPEN_INT","."&amp;U$2&amp;U$1&amp;"P"&amp;$A14)*RTD("tos.rtd",,"DELTA","."&amp;U$2&amp;U$1&amp;"P"&amp;$A14))/1000),0),IF($A$2="VEX",IFERROR(IF($X$1="ABS",($A$4*$A$4*RTD("tos.rtd",,"VOLUME","."&amp;U$2&amp;U$1&amp;"C"&amp;$A14)*RTD("tos.rtd",,"GAMMA","."&amp;U$2&amp;U$1&amp;"C"&amp;$A14)+$A$4*$A$4*RTD("tos.rtd",,"VOLUME","."&amp;U$2&amp;U$1&amp;"P"&amp;$A14)*RTD("tos.rtd",,"GAMMA","."&amp;U$2&amp;U$1&amp;"P"&amp;$A14))/1000000,($A$4*$A$4*RTD("tos.rtd",,"VOLUME","."&amp;U$2&amp;U$1&amp;"C"&amp;$A14)*RTD("tos.rtd",,"GAMMA","."&amp;U$2&amp;U$1&amp;"C"&amp;$A14)-$A$4*$A$4*RTD("tos.rtd",,"VOLUME","."&amp;U$2&amp;U$1&amp;"P"&amp;$A14)*RTD("tos.rtd",,"GAMMA","."&amp;U$2&amp;U$1&amp;"P"&amp;$A14))/1000000),0),IF($A$2="GEX",IFERROR(IF($X$1="ABS",($A$4*$A$4*RTD("tos.rtd",,"OPEN_INT","."&amp;U$2&amp;U$1&amp;"C"&amp;$A14)*RTD("tos.rtd",,"GAMMA","."&amp;U$2&amp;U$1&amp;"C"&amp;$A14)+$A$4*$A$4*RTD("tos.rtd",,"OPEN_INT","."&amp;U$2&amp;U$1&amp;"P"&amp;$A14)*RTD("tos.rtd",,"GAMMA","."&amp;U$2&amp;U$1&amp;"P"&amp;$A14))/1000000,($A$4*$A$4*RTD("tos.rtd",,"OPEN_INT","."&amp;U$2&amp;U$1&amp;"C"&amp;$A14)*RTD("tos.rtd",,"GAMMA","."&amp;U$2&amp;U$1&amp;"C"&amp;$A14)-$A$4*$A$4*RTD("tos.rtd",,"OPEN_INT","."&amp;U$2&amp;U$1&amp;"P"&amp;$A14)*RTD("tos.rtd",,"GAMMA","."&amp;U$2&amp;U$1&amp;"P"&amp;$A14))/1000000),0),IF($A$2="SKEW",IFERROR(VALUE(IF(RTD("tos.rtd",,"IMPL_VOL","."&amp;U$2&amp;U$1&amp;"P"&amp;$A14)="N/A",0,RTD("tos.rtd",,"IMPL_VOL","."&amp;U$2&amp;U$1&amp;"P"&amp;$A14))),0)-IFERROR(VALUE(IF(RTD("tos.rtd",,"IMPL_VOL","."&amp;U$2&amp;U$1&amp;"C"&amp;$A14)="N/A",0,RTD("tos.rtd",,"IMPL_VOL","."&amp;U$2&amp;U$1&amp;"C"&amp;$A14))),0),IF($A$2="MAXPAIN",IF($A$4&gt;$A14,($A$4-$A14)*IF(RTD("tos.rtd",,"OPEN_INT","."&amp;U$2&amp;U$1&amp;"C"&amp;$A14)="N/A",0,RTD("tos.rtd",,"OPEN_INT","."&amp;U$2&amp;U$1&amp;"C"&amp;$A14)),0)+IF($A$4&lt;$A14,($A$5-$A$4)*IF(RTD("tos.rtd",,"OPEN_INT","."&amp;U$2&amp;U$1&amp;"P"&amp;$A14)="N/A",0,RTD("tos.rtd",,"OPEN_INT","."&amp;U$2&amp;U$1&amp;"P"&amp;$A14)),0),IF($X$1="ABS",IF(RTD("tos.rtd",,$A$2,"."&amp;U$2&amp;U$1&amp;"C"&amp;$A14)="N/A",0,RTD("tos.rtd",,$A$2,"."&amp;U$2&amp;U$1&amp;"C"&amp;$A14))+IF(RTD("tos.rtd",,$A$2,"."&amp;U$2&amp;U$1&amp;"P"&amp;$A14)="N/A",0,RTD("tos.rtd",,$A$2,"."&amp;U$2&amp;U$1&amp;"P"&amp;$A14)),IF(RTD("tos.rtd",,$A$2,"."&amp;U$2&amp;U$1&amp;"C"&amp;$A14)="N/A",0,RTD("tos.rtd",,$A$2,"."&amp;U$2&amp;U$1&amp;"C"&amp;$A14))-IF(RTD("tos.rtd",,$A$2,"."&amp;U$2&amp;U$1&amp;"P"&amp;$A14)="N/A",0,RTD("tos.rtd",,$A$2,"."&amp;U$2&amp;U$1&amp;"P"&amp;$A14))))))))))</f>
        <v>0</v>
      </c>
      <c r="V14" s="12">
        <f ca="1">IF($A$2="PREMIUM_OI",IFERROR(IF($X$1="ABS",(100*RTD("tos.rtd",,"OPEN_INT","."&amp;V$2&amp;V$1&amp;"C"&amp;$A14)*RTD("tos.rtd",,"LAST","."&amp;V$2&amp;V$1&amp;"C"&amp;$A14)+100*RTD("tos.rtd",,"OPEN_INT","."&amp;V$2&amp;V$1&amp;"P"&amp;$A14)*RTD("tos.rtd",,"LAST","."&amp;V$2&amp;V$1&amp;"P"&amp;$A14))/1000000,(100*RTD("tos.rtd",,"OPEN_INT","."&amp;V$2&amp;V$1&amp;"C"&amp;$A14)*RTD("tos.rtd",,"LAST","."&amp;V$2&amp;V$1&amp;"C"&amp;$A14)-100*RTD("tos.rtd",,"OPEN_INT","."&amp;V$2&amp;V$1&amp;"P"&amp;$A14)*RTD("tos.rtd",,"LAST","."&amp;V$2&amp;V$1&amp;"P"&amp;$A14))/1000000),0),IF($A$2="PREMIUM",IFERROR(IF($X$1="ABS",(100*RTD("tos.rtd",,"VOLUME","."&amp;V$2&amp;V$1&amp;"C"&amp;$A14)*RTD("tos.rtd",,"LAST","."&amp;V$2&amp;V$1&amp;"C"&amp;$A14)+100*RTD("tos.rtd",,"VOLUME","."&amp;V$2&amp;V$1&amp;"P"&amp;$A14)*RTD("tos.rtd",,"LAST","."&amp;V$2&amp;V$1&amp;"P"&amp;$A14))/1000000,(100*RTD("tos.rtd",,"VOLUME","."&amp;V$2&amp;V$1&amp;"C"&amp;$A14)*RTD("tos.rtd",,"LAST","."&amp;V$2&amp;V$1&amp;"C"&amp;$A14)-100*RTD("tos.rtd",,"VOLUME","."&amp;V$2&amp;V$1&amp;"P"&amp;$A14)*RTD("tos.rtd",,"LAST","."&amp;V$2&amp;V$1&amp;"P"&amp;$A14))/1000000),0),IF($A$2="DEX",IFERROR(IF($X$1="ABS",(100*RTD("tos.rtd",,"OPEN_INT","."&amp;V$2&amp;V$1&amp;"C"&amp;$A14)*RTD("tos.rtd",,"DELTA","."&amp;V$2&amp;V$1&amp;"C"&amp;$A14)+100*RTD("tos.rtd",,"OPEN_INT","."&amp;V$2&amp;V$1&amp;"P"&amp;$A14)*RTD("tos.rtd",,"DELTA","."&amp;V$2&amp;V$1&amp;"P"&amp;$A14))/1000,(100*RTD("tos.rtd",,"OPEN_INT","."&amp;V$2&amp;V$1&amp;"C"&amp;$A14)*RTD("tos.rtd",,"DELTA","."&amp;V$2&amp;V$1&amp;"C"&amp;$A14)-100*RTD("tos.rtd",,"OPEN_INT","."&amp;V$2&amp;V$1&amp;"P"&amp;$A14)*RTD("tos.rtd",,"DELTA","."&amp;V$2&amp;V$1&amp;"P"&amp;$A14))/1000),0),IF($A$2="VEX",IFERROR(IF($X$1="ABS",($A$4*$A$4*RTD("tos.rtd",,"VOLUME","."&amp;V$2&amp;V$1&amp;"C"&amp;$A14)*RTD("tos.rtd",,"GAMMA","."&amp;V$2&amp;V$1&amp;"C"&amp;$A14)+$A$4*$A$4*RTD("tos.rtd",,"VOLUME","."&amp;V$2&amp;V$1&amp;"P"&amp;$A14)*RTD("tos.rtd",,"GAMMA","."&amp;V$2&amp;V$1&amp;"P"&amp;$A14))/1000000,($A$4*$A$4*RTD("tos.rtd",,"VOLUME","."&amp;V$2&amp;V$1&amp;"C"&amp;$A14)*RTD("tos.rtd",,"GAMMA","."&amp;V$2&amp;V$1&amp;"C"&amp;$A14)-$A$4*$A$4*RTD("tos.rtd",,"VOLUME","."&amp;V$2&amp;V$1&amp;"P"&amp;$A14)*RTD("tos.rtd",,"GAMMA","."&amp;V$2&amp;V$1&amp;"P"&amp;$A14))/1000000),0),IF($A$2="GEX",IFERROR(IF($X$1="ABS",($A$4*$A$4*RTD("tos.rtd",,"OPEN_INT","."&amp;V$2&amp;V$1&amp;"C"&amp;$A14)*RTD("tos.rtd",,"GAMMA","."&amp;V$2&amp;V$1&amp;"C"&amp;$A14)+$A$4*$A$4*RTD("tos.rtd",,"OPEN_INT","."&amp;V$2&amp;V$1&amp;"P"&amp;$A14)*RTD("tos.rtd",,"GAMMA","."&amp;V$2&amp;V$1&amp;"P"&amp;$A14))/1000000,($A$4*$A$4*RTD("tos.rtd",,"OPEN_INT","."&amp;V$2&amp;V$1&amp;"C"&amp;$A14)*RTD("tos.rtd",,"GAMMA","."&amp;V$2&amp;V$1&amp;"C"&amp;$A14)-$A$4*$A$4*RTD("tos.rtd",,"OPEN_INT","."&amp;V$2&amp;V$1&amp;"P"&amp;$A14)*RTD("tos.rtd",,"GAMMA","."&amp;V$2&amp;V$1&amp;"P"&amp;$A14))/1000000),0),IF($A$2="SKEW",IFERROR(VALUE(IF(RTD("tos.rtd",,"IMPL_VOL","."&amp;V$2&amp;V$1&amp;"P"&amp;$A14)="N/A",0,RTD("tos.rtd",,"IMPL_VOL","."&amp;V$2&amp;V$1&amp;"P"&amp;$A14))),0)-IFERROR(VALUE(IF(RTD("tos.rtd",,"IMPL_VOL","."&amp;V$2&amp;V$1&amp;"C"&amp;$A14)="N/A",0,RTD("tos.rtd",,"IMPL_VOL","."&amp;V$2&amp;V$1&amp;"C"&amp;$A14))),0),IF($A$2="MAXPAIN",IF($A$4&gt;$A14,($A$4-$A14)*IF(RTD("tos.rtd",,"OPEN_INT","."&amp;V$2&amp;V$1&amp;"C"&amp;$A14)="N/A",0,RTD("tos.rtd",,"OPEN_INT","."&amp;V$2&amp;V$1&amp;"C"&amp;$A14)),0)+IF($A$4&lt;$A14,($A$5-$A$4)*IF(RTD("tos.rtd",,"OPEN_INT","."&amp;V$2&amp;V$1&amp;"P"&amp;$A14)="N/A",0,RTD("tos.rtd",,"OPEN_INT","."&amp;V$2&amp;V$1&amp;"P"&amp;$A14)),0),IF($X$1="ABS",IF(RTD("tos.rtd",,$A$2,"."&amp;V$2&amp;V$1&amp;"C"&amp;$A14)="N/A",0,RTD("tos.rtd",,$A$2,"."&amp;V$2&amp;V$1&amp;"C"&amp;$A14))+IF(RTD("tos.rtd",,$A$2,"."&amp;V$2&amp;V$1&amp;"P"&amp;$A14)="N/A",0,RTD("tos.rtd",,$A$2,"."&amp;V$2&amp;V$1&amp;"P"&amp;$A14)),IF(RTD("tos.rtd",,$A$2,"."&amp;V$2&amp;V$1&amp;"C"&amp;$A14)="N/A",0,RTD("tos.rtd",,$A$2,"."&amp;V$2&amp;V$1&amp;"C"&amp;$A14))-IF(RTD("tos.rtd",,$A$2,"."&amp;V$2&amp;V$1&amp;"P"&amp;$A14)="N/A",0,RTD("tos.rtd",,$A$2,"."&amp;V$2&amp;V$1&amp;"P"&amp;$A14))))))))))</f>
        <v>0</v>
      </c>
      <c r="W14" s="12">
        <f ca="1">IF($A$2="PREMIUM_OI",IFERROR(IF($X$1="ABS",(100*RTD("tos.rtd",,"OPEN_INT","."&amp;W$2&amp;W$1&amp;"C"&amp;$A14)*RTD("tos.rtd",,"LAST","."&amp;W$2&amp;W$1&amp;"C"&amp;$A14)+100*RTD("tos.rtd",,"OPEN_INT","."&amp;W$2&amp;W$1&amp;"P"&amp;$A14)*RTD("tos.rtd",,"LAST","."&amp;W$2&amp;W$1&amp;"P"&amp;$A14))/1000000,(100*RTD("tos.rtd",,"OPEN_INT","."&amp;W$2&amp;W$1&amp;"C"&amp;$A14)*RTD("tos.rtd",,"LAST","."&amp;W$2&amp;W$1&amp;"C"&amp;$A14)-100*RTD("tos.rtd",,"OPEN_INT","."&amp;W$2&amp;W$1&amp;"P"&amp;$A14)*RTD("tos.rtd",,"LAST","."&amp;W$2&amp;W$1&amp;"P"&amp;$A14))/1000000),0),IF($A$2="PREMIUM",IFERROR(IF($X$1="ABS",(100*RTD("tos.rtd",,"VOLUME","."&amp;W$2&amp;W$1&amp;"C"&amp;$A14)*RTD("tos.rtd",,"LAST","."&amp;W$2&amp;W$1&amp;"C"&amp;$A14)+100*RTD("tos.rtd",,"VOLUME","."&amp;W$2&amp;W$1&amp;"P"&amp;$A14)*RTD("tos.rtd",,"LAST","."&amp;W$2&amp;W$1&amp;"P"&amp;$A14))/1000000,(100*RTD("tos.rtd",,"VOLUME","."&amp;W$2&amp;W$1&amp;"C"&amp;$A14)*RTD("tos.rtd",,"LAST","."&amp;W$2&amp;W$1&amp;"C"&amp;$A14)-100*RTD("tos.rtd",,"VOLUME","."&amp;W$2&amp;W$1&amp;"P"&amp;$A14)*RTD("tos.rtd",,"LAST","."&amp;W$2&amp;W$1&amp;"P"&amp;$A14))/1000000),0),IF($A$2="DEX",IFERROR(IF($X$1="ABS",(100*RTD("tos.rtd",,"OPEN_INT","."&amp;W$2&amp;W$1&amp;"C"&amp;$A14)*RTD("tos.rtd",,"DELTA","."&amp;W$2&amp;W$1&amp;"C"&amp;$A14)+100*RTD("tos.rtd",,"OPEN_INT","."&amp;W$2&amp;W$1&amp;"P"&amp;$A14)*RTD("tos.rtd",,"DELTA","."&amp;W$2&amp;W$1&amp;"P"&amp;$A14))/1000,(100*RTD("tos.rtd",,"OPEN_INT","."&amp;W$2&amp;W$1&amp;"C"&amp;$A14)*RTD("tos.rtd",,"DELTA","."&amp;W$2&amp;W$1&amp;"C"&amp;$A14)-100*RTD("tos.rtd",,"OPEN_INT","."&amp;W$2&amp;W$1&amp;"P"&amp;$A14)*RTD("tos.rtd",,"DELTA","."&amp;W$2&amp;W$1&amp;"P"&amp;$A14))/1000),0),IF($A$2="VEX",IFERROR(IF($X$1="ABS",($A$4*$A$4*RTD("tos.rtd",,"VOLUME","."&amp;W$2&amp;W$1&amp;"C"&amp;$A14)*RTD("tos.rtd",,"GAMMA","."&amp;W$2&amp;W$1&amp;"C"&amp;$A14)+$A$4*$A$4*RTD("tos.rtd",,"VOLUME","."&amp;W$2&amp;W$1&amp;"P"&amp;$A14)*RTD("tos.rtd",,"GAMMA","."&amp;W$2&amp;W$1&amp;"P"&amp;$A14))/1000000,($A$4*$A$4*RTD("tos.rtd",,"VOLUME","."&amp;W$2&amp;W$1&amp;"C"&amp;$A14)*RTD("tos.rtd",,"GAMMA","."&amp;W$2&amp;W$1&amp;"C"&amp;$A14)-$A$4*$A$4*RTD("tos.rtd",,"VOLUME","."&amp;W$2&amp;W$1&amp;"P"&amp;$A14)*RTD("tos.rtd",,"GAMMA","."&amp;W$2&amp;W$1&amp;"P"&amp;$A14))/1000000),0),IF($A$2="GEX",IFERROR(IF($X$1="ABS",($A$4*$A$4*RTD("tos.rtd",,"OPEN_INT","."&amp;W$2&amp;W$1&amp;"C"&amp;$A14)*RTD("tos.rtd",,"GAMMA","."&amp;W$2&amp;W$1&amp;"C"&amp;$A14)+$A$4*$A$4*RTD("tos.rtd",,"OPEN_INT","."&amp;W$2&amp;W$1&amp;"P"&amp;$A14)*RTD("tos.rtd",,"GAMMA","."&amp;W$2&amp;W$1&amp;"P"&amp;$A14))/1000000,($A$4*$A$4*RTD("tos.rtd",,"OPEN_INT","."&amp;W$2&amp;W$1&amp;"C"&amp;$A14)*RTD("tos.rtd",,"GAMMA","."&amp;W$2&amp;W$1&amp;"C"&amp;$A14)-$A$4*$A$4*RTD("tos.rtd",,"OPEN_INT","."&amp;W$2&amp;W$1&amp;"P"&amp;$A14)*RTD("tos.rtd",,"GAMMA","."&amp;W$2&amp;W$1&amp;"P"&amp;$A14))/1000000),0),IF($A$2="SKEW",IFERROR(VALUE(IF(RTD("tos.rtd",,"IMPL_VOL","."&amp;W$2&amp;W$1&amp;"P"&amp;$A14)="N/A",0,RTD("tos.rtd",,"IMPL_VOL","."&amp;W$2&amp;W$1&amp;"P"&amp;$A14))),0)-IFERROR(VALUE(IF(RTD("tos.rtd",,"IMPL_VOL","."&amp;W$2&amp;W$1&amp;"C"&amp;$A14)="N/A",0,RTD("tos.rtd",,"IMPL_VOL","."&amp;W$2&amp;W$1&amp;"C"&amp;$A14))),0),IF($A$2="MAXPAIN",IF($A$4&gt;$A14,($A$4-$A14)*IF(RTD("tos.rtd",,"OPEN_INT","."&amp;W$2&amp;W$1&amp;"C"&amp;$A14)="N/A",0,RTD("tos.rtd",,"OPEN_INT","."&amp;W$2&amp;W$1&amp;"C"&amp;$A14)),0)+IF($A$4&lt;$A14,($A$5-$A$4)*IF(RTD("tos.rtd",,"OPEN_INT","."&amp;W$2&amp;W$1&amp;"P"&amp;$A14)="N/A",0,RTD("tos.rtd",,"OPEN_INT","."&amp;W$2&amp;W$1&amp;"P"&amp;$A14)),0),IF($X$1="ABS",IF(RTD("tos.rtd",,$A$2,"."&amp;W$2&amp;W$1&amp;"C"&amp;$A14)="N/A",0,RTD("tos.rtd",,$A$2,"."&amp;W$2&amp;W$1&amp;"C"&amp;$A14))+IF(RTD("tos.rtd",,$A$2,"."&amp;W$2&amp;W$1&amp;"P"&amp;$A14)="N/A",0,RTD("tos.rtd",,$A$2,"."&amp;W$2&amp;W$1&amp;"P"&amp;$A14)),IF(RTD("tos.rtd",,$A$2,"."&amp;W$2&amp;W$1&amp;"C"&amp;$A14)="N/A",0,RTD("tos.rtd",,$A$2,"."&amp;W$2&amp;W$1&amp;"C"&amp;$A14))-IF(RTD("tos.rtd",,$A$2,"."&amp;W$2&amp;W$1&amp;"P"&amp;$A14)="N/A",0,RTD("tos.rtd",,$A$2,"."&amp;W$2&amp;W$1&amp;"P"&amp;$A14))))))))))</f>
        <v>0</v>
      </c>
      <c r="X14" s="57">
        <f t="shared" ca="1" si="7"/>
        <v>22611</v>
      </c>
      <c r="Y14" s="27">
        <f t="shared" ca="1" si="8"/>
        <v>22611</v>
      </c>
      <c r="Z14" s="27" t="b">
        <f t="shared" ca="1" si="9"/>
        <v>0</v>
      </c>
      <c r="AA14" s="27">
        <f t="shared" si="10"/>
        <v>168702500</v>
      </c>
      <c r="AB14" s="18">
        <f>MAX(0, $A14-AB$4)*IF(RTD("tos.rtd",,"OPEN_INT","."&amp;$AA$3&amp;$AA$4&amp;"C"&amp;AB$4)="N/A",0,RTD("tos.rtd",,"OPEN_INT","."&amp;$AA$3&amp;$AA$4&amp;"C"&amp;AB$4))*100 + MAX(0, AB$4-$A14)*IF(RTD("tos.rtd",,"OPEN_INT","."&amp;$AA$3&amp;$AA$4&amp;"P"&amp;AB$4)="N/A",0,RTD("tos.rtd",,"OPEN_INT","."&amp;$AA$3&amp;$AA$4&amp;"P"&amp;AB$4))*100</f>
        <v>0</v>
      </c>
      <c r="AC14" s="18">
        <f>MAX(0, $A14-AC$4)*IF(RTD("tos.rtd",,"OPEN_INT","."&amp;$AA$3&amp;$AA$4&amp;"C"&amp;AC$4)="N/A",0,RTD("tos.rtd",,"OPEN_INT","."&amp;$AA$3&amp;$AA$4&amp;"C"&amp;AC$4))*100 + MAX(0, AC$4-$A14)*IF(RTD("tos.rtd",,"OPEN_INT","."&amp;$AA$3&amp;$AA$4&amp;"P"&amp;AC$4)="N/A",0,RTD("tos.rtd",,"OPEN_INT","."&amp;$AA$3&amp;$AA$4&amp;"P"&amp;AC$4))*100</f>
        <v>0</v>
      </c>
      <c r="AD14" s="18">
        <f>MAX(0, $A14-AD$4)*IF(RTD("tos.rtd",,"OPEN_INT","."&amp;$AA$3&amp;$AA$4&amp;"C"&amp;AD$4)="N/A",0,RTD("tos.rtd",,"OPEN_INT","."&amp;$AA$3&amp;$AA$4&amp;"C"&amp;AD$4))*100 + MAX(0, AD$4-$A14)*IF(RTD("tos.rtd",,"OPEN_INT","."&amp;$AA$3&amp;$AA$4&amp;"P"&amp;AD$4)="N/A",0,RTD("tos.rtd",,"OPEN_INT","."&amp;$AA$3&amp;$AA$4&amp;"P"&amp;AD$4))*100</f>
        <v>0</v>
      </c>
      <c r="AE14" s="18">
        <f>MAX(0, $A14-AE$4)*IF(RTD("tos.rtd",,"OPEN_INT","."&amp;$AA$3&amp;$AA$4&amp;"C"&amp;AE$4)="N/A",0,RTD("tos.rtd",,"OPEN_INT","."&amp;$AA$3&amp;$AA$4&amp;"C"&amp;AE$4))*100 + MAX(0, AE$4-$A14)*IF(RTD("tos.rtd",,"OPEN_INT","."&amp;$AA$3&amp;$AA$4&amp;"P"&amp;AE$4)="N/A",0,RTD("tos.rtd",,"OPEN_INT","."&amp;$AA$3&amp;$AA$4&amp;"P"&amp;AE$4))*100</f>
        <v>0</v>
      </c>
      <c r="AF14" s="18">
        <f>MAX(0, $A14-AF$4)*IF(RTD("tos.rtd",,"OPEN_INT","."&amp;$AA$3&amp;$AA$4&amp;"C"&amp;AF$4)="N/A",0,RTD("tos.rtd",,"OPEN_INT","."&amp;$AA$3&amp;$AA$4&amp;"C"&amp;AF$4))*100 + MAX(0, AF$4-$A14)*IF(RTD("tos.rtd",,"OPEN_INT","."&amp;$AA$3&amp;$AA$4&amp;"P"&amp;AF$4)="N/A",0,RTD("tos.rtd",,"OPEN_INT","."&amp;$AA$3&amp;$AA$4&amp;"P"&amp;AF$4))*100</f>
        <v>0</v>
      </c>
      <c r="AG14" s="18">
        <f>MAX(0, $A14-AG$4)*IF(RTD("tos.rtd",,"OPEN_INT","."&amp;$AA$3&amp;$AA$4&amp;"C"&amp;AG$4)="N/A",0,RTD("tos.rtd",,"OPEN_INT","."&amp;$AA$3&amp;$AA$4&amp;"C"&amp;AG$4))*100 + MAX(0, AG$4-$A14)*IF(RTD("tos.rtd",,"OPEN_INT","."&amp;$AA$3&amp;$AA$4&amp;"P"&amp;AG$4)="N/A",0,RTD("tos.rtd",,"OPEN_INT","."&amp;$AA$3&amp;$AA$4&amp;"P"&amp;AG$4))*100</f>
        <v>0</v>
      </c>
      <c r="AH14" s="18">
        <f>MAX(0, $A14-AH$4)*IF(RTD("tos.rtd",,"OPEN_INT","."&amp;$AA$3&amp;$AA$4&amp;"C"&amp;AH$4)="N/A",0,RTD("tos.rtd",,"OPEN_INT","."&amp;$AA$3&amp;$AA$4&amp;"C"&amp;AH$4))*100 + MAX(0, AH$4-$A14)*IF(RTD("tos.rtd",,"OPEN_INT","."&amp;$AA$3&amp;$AA$4&amp;"P"&amp;AH$4)="N/A",0,RTD("tos.rtd",,"OPEN_INT","."&amp;$AA$3&amp;$AA$4&amp;"P"&amp;AH$4))*100</f>
        <v>0</v>
      </c>
      <c r="AI14" s="18">
        <f>MAX(0, $A14-AI$4)*IF(RTD("tos.rtd",,"OPEN_INT","."&amp;$AA$3&amp;$AA$4&amp;"C"&amp;AI$4)="N/A",0,RTD("tos.rtd",,"OPEN_INT","."&amp;$AA$3&amp;$AA$4&amp;"C"&amp;AI$4))*100 + MAX(0, AI$4-$A14)*IF(RTD("tos.rtd",,"OPEN_INT","."&amp;$AA$3&amp;$AA$4&amp;"P"&amp;AI$4)="N/A",0,RTD("tos.rtd",,"OPEN_INT","."&amp;$AA$3&amp;$AA$4&amp;"P"&amp;AI$4))*100</f>
        <v>300</v>
      </c>
      <c r="AJ14" s="18">
        <f>MAX(0, $A14-AJ$4)*IF(RTD("tos.rtd",,"OPEN_INT","."&amp;$AA$3&amp;$AA$4&amp;"C"&amp;AJ$4)="N/A",0,RTD("tos.rtd",,"OPEN_INT","."&amp;$AA$3&amp;$AA$4&amp;"C"&amp;AJ$4))*100 + MAX(0, AJ$4-$A14)*IF(RTD("tos.rtd",,"OPEN_INT","."&amp;$AA$3&amp;$AA$4&amp;"P"&amp;AJ$4)="N/A",0,RTD("tos.rtd",,"OPEN_INT","."&amp;$AA$3&amp;$AA$4&amp;"P"&amp;AJ$4))*100</f>
        <v>400</v>
      </c>
      <c r="AK14" s="18">
        <f>MAX(0, $A14-AK$4)*IF(RTD("tos.rtd",,"OPEN_INT","."&amp;$AA$3&amp;$AA$4&amp;"C"&amp;AK$4)="N/A",0,RTD("tos.rtd",,"OPEN_INT","."&amp;$AA$3&amp;$AA$4&amp;"C"&amp;AK$4))*100 + MAX(0, AK$4-$A14)*IF(RTD("tos.rtd",,"OPEN_INT","."&amp;$AA$3&amp;$AA$4&amp;"P"&amp;AK$4)="N/A",0,RTD("tos.rtd",,"OPEN_INT","."&amp;$AA$3&amp;$AA$4&amp;"P"&amp;AK$4))*100</f>
        <v>0</v>
      </c>
      <c r="AL14" s="18">
        <f>MAX(0, $A14-AL$4)*IF(RTD("tos.rtd",,"OPEN_INT","."&amp;$AA$3&amp;$AA$4&amp;"C"&amp;AL$4)="N/A",0,RTD("tos.rtd",,"OPEN_INT","."&amp;$AA$3&amp;$AA$4&amp;"C"&amp;AL$4))*100 + MAX(0, AL$4-$A14)*IF(RTD("tos.rtd",,"OPEN_INT","."&amp;$AA$3&amp;$AA$4&amp;"P"&amp;AL$4)="N/A",0,RTD("tos.rtd",,"OPEN_INT","."&amp;$AA$3&amp;$AA$4&amp;"P"&amp;AL$4))*100</f>
        <v>0</v>
      </c>
      <c r="AM14" s="18">
        <f>MAX(0, $A14-AM$4)*IF(RTD("tos.rtd",,"OPEN_INT","."&amp;$AA$3&amp;$AA$4&amp;"C"&amp;AM$4)="N/A",0,RTD("tos.rtd",,"OPEN_INT","."&amp;$AA$3&amp;$AA$4&amp;"C"&amp;AM$4))*100 + MAX(0, AM$4-$A14)*IF(RTD("tos.rtd",,"OPEN_INT","."&amp;$AA$3&amp;$AA$4&amp;"P"&amp;AM$4)="N/A",0,RTD("tos.rtd",,"OPEN_INT","."&amp;$AA$3&amp;$AA$4&amp;"P"&amp;AM$4))*100</f>
        <v>236500</v>
      </c>
      <c r="AN14" s="18">
        <f>MAX(0, $A14-AN$4)*IF(RTD("tos.rtd",,"OPEN_INT","."&amp;$AA$3&amp;$AA$4&amp;"C"&amp;AN$4)="N/A",0,RTD("tos.rtd",,"OPEN_INT","."&amp;$AA$3&amp;$AA$4&amp;"C"&amp;AN$4))*100 + MAX(0, AN$4-$A14)*IF(RTD("tos.rtd",,"OPEN_INT","."&amp;$AA$3&amp;$AA$4&amp;"P"&amp;AN$4)="N/A",0,RTD("tos.rtd",,"OPEN_INT","."&amp;$AA$3&amp;$AA$4&amp;"P"&amp;AN$4))*100</f>
        <v>0</v>
      </c>
      <c r="AO14" s="18">
        <f>MAX(0, $A14-AO$4)*IF(RTD("tos.rtd",,"OPEN_INT","."&amp;$AA$3&amp;$AA$4&amp;"C"&amp;AO$4)="N/A",0,RTD("tos.rtd",,"OPEN_INT","."&amp;$AA$3&amp;$AA$4&amp;"C"&amp;AO$4))*100 + MAX(0, AO$4-$A14)*IF(RTD("tos.rtd",,"OPEN_INT","."&amp;$AA$3&amp;$AA$4&amp;"P"&amp;AO$4)="N/A",0,RTD("tos.rtd",,"OPEN_INT","."&amp;$AA$3&amp;$AA$4&amp;"P"&amp;AO$4))*100</f>
        <v>137800</v>
      </c>
      <c r="AP14" s="18">
        <f>MAX(0, $A14-AP$4)*IF(RTD("tos.rtd",,"OPEN_INT","."&amp;$AA$3&amp;$AA$4&amp;"C"&amp;AP$4)="N/A",0,RTD("tos.rtd",,"OPEN_INT","."&amp;$AA$3&amp;$AA$4&amp;"C"&amp;AP$4))*100 + MAX(0, AP$4-$A14)*IF(RTD("tos.rtd",,"OPEN_INT","."&amp;$AA$3&amp;$AA$4&amp;"P"&amp;AP$4)="N/A",0,RTD("tos.rtd",,"OPEN_INT","."&amp;$AA$3&amp;$AA$4&amp;"P"&amp;AP$4))*100</f>
        <v>0</v>
      </c>
      <c r="AQ14" s="18">
        <f>MAX(0, $A14-AQ$4)*IF(RTD("tos.rtd",,"OPEN_INT","."&amp;$AA$3&amp;$AA$4&amp;"C"&amp;AQ$4)="N/A",0,RTD("tos.rtd",,"OPEN_INT","."&amp;$AA$3&amp;$AA$4&amp;"C"&amp;AQ$4))*100 + MAX(0, AQ$4-$A14)*IF(RTD("tos.rtd",,"OPEN_INT","."&amp;$AA$3&amp;$AA$4&amp;"P"&amp;AQ$4)="N/A",0,RTD("tos.rtd",,"OPEN_INT","."&amp;$AA$3&amp;$AA$4&amp;"P"&amp;AQ$4))*100</f>
        <v>192000</v>
      </c>
      <c r="AR14" s="18">
        <f>MAX(0, $A14-AR$4)*IF(RTD("tos.rtd",,"OPEN_INT","."&amp;$AA$3&amp;$AA$4&amp;"C"&amp;AR$4)="N/A",0,RTD("tos.rtd",,"OPEN_INT","."&amp;$AA$3&amp;$AA$4&amp;"C"&amp;AR$4))*100 + MAX(0, AR$4-$A14)*IF(RTD("tos.rtd",,"OPEN_INT","."&amp;$AA$3&amp;$AA$4&amp;"P"&amp;AR$4)="N/A",0,RTD("tos.rtd",,"OPEN_INT","."&amp;$AA$3&amp;$AA$4&amp;"P"&amp;AR$4))*100</f>
        <v>350</v>
      </c>
      <c r="AS14" s="18">
        <f>MAX(0, $A14-AS$4)*IF(RTD("tos.rtd",,"OPEN_INT","."&amp;$AA$3&amp;$AA$4&amp;"C"&amp;AS$4)="N/A",0,RTD("tos.rtd",,"OPEN_INT","."&amp;$AA$3&amp;$AA$4&amp;"C"&amp;AS$4))*100 + MAX(0, AS$4-$A14)*IF(RTD("tos.rtd",,"OPEN_INT","."&amp;$AA$3&amp;$AA$4&amp;"P"&amp;AS$4)="N/A",0,RTD("tos.rtd",,"OPEN_INT","."&amp;$AA$3&amp;$AA$4&amp;"P"&amp;AS$4))*100</f>
        <v>344800</v>
      </c>
      <c r="AT14" s="18">
        <f>MAX(0, $A14-AT$4)*IF(RTD("tos.rtd",,"OPEN_INT","."&amp;$AA$3&amp;$AA$4&amp;"C"&amp;AT$4)="N/A",0,RTD("tos.rtd",,"OPEN_INT","."&amp;$AA$3&amp;$AA$4&amp;"C"&amp;AT$4))*100 + MAX(0, AT$4-$A14)*IF(RTD("tos.rtd",,"OPEN_INT","."&amp;$AA$3&amp;$AA$4&amp;"P"&amp;AT$4)="N/A",0,RTD("tos.rtd",,"OPEN_INT","."&amp;$AA$3&amp;$AA$4&amp;"P"&amp;AT$4))*100</f>
        <v>630900</v>
      </c>
      <c r="AU14" s="18">
        <f>MAX(0, $A14-AU$4)*IF(RTD("tos.rtd",,"OPEN_INT","."&amp;$AA$3&amp;$AA$4&amp;"C"&amp;AU$4)="N/A",0,RTD("tos.rtd",,"OPEN_INT","."&amp;$AA$3&amp;$AA$4&amp;"C"&amp;AU$4))*100 + MAX(0, AU$4-$A14)*IF(RTD("tos.rtd",,"OPEN_INT","."&amp;$AA$3&amp;$AA$4&amp;"P"&amp;AU$4)="N/A",0,RTD("tos.rtd",,"OPEN_INT","."&amp;$AA$3&amp;$AA$4&amp;"P"&amp;AU$4))*100</f>
        <v>841500</v>
      </c>
      <c r="AV14" s="18">
        <f>MAX(0, $A14-AV$4)*IF(RTD("tos.rtd",,"OPEN_INT","."&amp;$AA$3&amp;$AA$4&amp;"C"&amp;AV$4)="N/A",0,RTD("tos.rtd",,"OPEN_INT","."&amp;$AA$3&amp;$AA$4&amp;"C"&amp;AV$4))*100 + MAX(0, AV$4-$A14)*IF(RTD("tos.rtd",,"OPEN_INT","."&amp;$AA$3&amp;$AA$4&amp;"P"&amp;AV$4)="N/A",0,RTD("tos.rtd",,"OPEN_INT","."&amp;$AA$3&amp;$AA$4&amp;"P"&amp;AV$4))*100</f>
        <v>1038400</v>
      </c>
      <c r="AW14" s="18">
        <f>MAX(0, $A14-AW$4)*IF(RTD("tos.rtd",,"OPEN_INT","."&amp;$AA$3&amp;$AA$4&amp;"C"&amp;AW$4)="N/A",0,RTD("tos.rtd",,"OPEN_INT","."&amp;$AA$3&amp;$AA$4&amp;"C"&amp;AW$4))*100 + MAX(0, AW$4-$A14)*IF(RTD("tos.rtd",,"OPEN_INT","."&amp;$AA$3&amp;$AA$4&amp;"P"&amp;AW$4)="N/A",0,RTD("tos.rtd",,"OPEN_INT","."&amp;$AA$3&amp;$AA$4&amp;"P"&amp;AW$4))*100</f>
        <v>1845000</v>
      </c>
      <c r="AX14" s="18">
        <f>MAX(0, $A14-AX$4)*IF(RTD("tos.rtd",,"OPEN_INT","."&amp;$AA$3&amp;$AA$4&amp;"C"&amp;AX$4)="N/A",0,RTD("tos.rtd",,"OPEN_INT","."&amp;$AA$3&amp;$AA$4&amp;"C"&amp;AX$4))*100 + MAX(0, AX$4-$A14)*IF(RTD("tos.rtd",,"OPEN_INT","."&amp;$AA$3&amp;$AA$4&amp;"P"&amp;AX$4)="N/A",0,RTD("tos.rtd",,"OPEN_INT","."&amp;$AA$3&amp;$AA$4&amp;"P"&amp;AX$4))*100</f>
        <v>2764450</v>
      </c>
      <c r="AY14" s="18">
        <f>MAX(0, $A14-AY$4)*IF(RTD("tos.rtd",,"OPEN_INT","."&amp;$AA$3&amp;$AA$4&amp;"C"&amp;AY$4)="N/A",0,RTD("tos.rtd",,"OPEN_INT","."&amp;$AA$3&amp;$AA$4&amp;"C"&amp;AY$4))*100 + MAX(0, AY$4-$A14)*IF(RTD("tos.rtd",,"OPEN_INT","."&amp;$AA$3&amp;$AA$4&amp;"P"&amp;AY$4)="N/A",0,RTD("tos.rtd",,"OPEN_INT","."&amp;$AA$3&amp;$AA$4&amp;"P"&amp;AY$4))*100</f>
        <v>13683600</v>
      </c>
      <c r="AZ14" s="18">
        <f>MAX(0, $A14-AZ$4)*IF(RTD("tos.rtd",,"OPEN_INT","."&amp;$AA$3&amp;$AA$4&amp;"C"&amp;AZ$4)="N/A",0,RTD("tos.rtd",,"OPEN_INT","."&amp;$AA$3&amp;$AA$4&amp;"C"&amp;AZ$4))*100 + MAX(0, AZ$4-$A14)*IF(RTD("tos.rtd",,"OPEN_INT","."&amp;$AA$3&amp;$AA$4&amp;"P"&amp;AZ$4)="N/A",0,RTD("tos.rtd",,"OPEN_INT","."&amp;$AA$3&amp;$AA$4&amp;"P"&amp;AZ$4))*100</f>
        <v>7387500</v>
      </c>
      <c r="BA14" s="18">
        <f>MAX(0, $A14-BA$4)*IF(RTD("tos.rtd",,"OPEN_INT","."&amp;$AA$3&amp;$AA$4&amp;"C"&amp;BA$4)="N/A",0,RTD("tos.rtd",,"OPEN_INT","."&amp;$AA$3&amp;$AA$4&amp;"C"&amp;BA$4))*100 + MAX(0, BA$4-$A14)*IF(RTD("tos.rtd",,"OPEN_INT","."&amp;$AA$3&amp;$AA$4&amp;"P"&amp;BA$4)="N/A",0,RTD("tos.rtd",,"OPEN_INT","."&amp;$AA$3&amp;$AA$4&amp;"P"&amp;BA$4))*100</f>
        <v>24645600</v>
      </c>
      <c r="BB14" s="18">
        <f>MAX(0, $A14-BB$4)*IF(RTD("tos.rtd",,"OPEN_INT","."&amp;$AA$3&amp;$AA$4&amp;"C"&amp;BB$4)="N/A",0,RTD("tos.rtd",,"OPEN_INT","."&amp;$AA$3&amp;$AA$4&amp;"C"&amp;BB$4))*100 + MAX(0, BB$4-$A14)*IF(RTD("tos.rtd",,"OPEN_INT","."&amp;$AA$3&amp;$AA$4&amp;"P"&amp;BB$4)="N/A",0,RTD("tos.rtd",,"OPEN_INT","."&amp;$AA$3&amp;$AA$4&amp;"P"&amp;BB$4))*100</f>
        <v>24359300</v>
      </c>
      <c r="BC14" s="18">
        <f>MAX(0, $A14-BC$4)*IF(RTD("tos.rtd",,"OPEN_INT","."&amp;$AA$3&amp;$AA$4&amp;"C"&amp;BC$4)="N/A",0,RTD("tos.rtd",,"OPEN_INT","."&amp;$AA$3&amp;$AA$4&amp;"C"&amp;BC$4))*100 + MAX(0, BC$4-$A14)*IF(RTD("tos.rtd",,"OPEN_INT","."&amp;$AA$3&amp;$AA$4&amp;"P"&amp;BC$4)="N/A",0,RTD("tos.rtd",,"OPEN_INT","."&amp;$AA$3&amp;$AA$4&amp;"P"&amp;BC$4))*100</f>
        <v>36641700</v>
      </c>
      <c r="BD14" s="18">
        <f>MAX(0, $A14-BD$4)*IF(RTD("tos.rtd",,"OPEN_INT","."&amp;$AA$3&amp;$AA$4&amp;"C"&amp;BD$4)="N/A",0,RTD("tos.rtd",,"OPEN_INT","."&amp;$AA$3&amp;$AA$4&amp;"C"&amp;BD$4))*100 + MAX(0, BD$4-$A14)*IF(RTD("tos.rtd",,"OPEN_INT","."&amp;$AA$3&amp;$AA$4&amp;"P"&amp;BD$4)="N/A",0,RTD("tos.rtd",,"OPEN_INT","."&amp;$AA$3&amp;$AA$4&amp;"P"&amp;BD$4))*100</f>
        <v>17632000</v>
      </c>
      <c r="BE14" s="18">
        <f>MAX(0, $A14-BE$4)*IF(RTD("tos.rtd",,"OPEN_INT","."&amp;$AA$3&amp;$AA$4&amp;"C"&amp;BE$4)="N/A",0,RTD("tos.rtd",,"OPEN_INT","."&amp;$AA$3&amp;$AA$4&amp;"C"&amp;BE$4))*100 + MAX(0, BE$4-$A14)*IF(RTD("tos.rtd",,"OPEN_INT","."&amp;$AA$3&amp;$AA$4&amp;"P"&amp;BE$4)="N/A",0,RTD("tos.rtd",,"OPEN_INT","."&amp;$AA$3&amp;$AA$4&amp;"P"&amp;BE$4))*100</f>
        <v>17278000</v>
      </c>
      <c r="BF14" s="18">
        <f>MAX(0, $A14-BF$4)*IF(RTD("tos.rtd",,"OPEN_INT","."&amp;$AA$3&amp;$AA$4&amp;"C"&amp;BF$4)="N/A",0,RTD("tos.rtd",,"OPEN_INT","."&amp;$AA$3&amp;$AA$4&amp;"C"&amp;BF$4))*100 + MAX(0, BF$4-$A14)*IF(RTD("tos.rtd",,"OPEN_INT","."&amp;$AA$3&amp;$AA$4&amp;"P"&amp;BF$4)="N/A",0,RTD("tos.rtd",,"OPEN_INT","."&amp;$AA$3&amp;$AA$4&amp;"P"&amp;BF$4))*100</f>
        <v>8827350</v>
      </c>
      <c r="BG14" s="18">
        <f>MAX(0, $A14-BG$4)*IF(RTD("tos.rtd",,"OPEN_INT","."&amp;$AA$3&amp;$AA$4&amp;"C"&amp;BG$4)="N/A",0,RTD("tos.rtd",,"OPEN_INT","."&amp;$AA$3&amp;$AA$4&amp;"C"&amp;BG$4))*100 + MAX(0, BG$4-$A14)*IF(RTD("tos.rtd",,"OPEN_INT","."&amp;$AA$3&amp;$AA$4&amp;"P"&amp;BG$4)="N/A",0,RTD("tos.rtd",,"OPEN_INT","."&amp;$AA$3&amp;$AA$4&amp;"P"&amp;BG$4))*100</f>
        <v>6307400</v>
      </c>
      <c r="BH14" s="18">
        <f>MAX(0, $A14-BH$4)*IF(RTD("tos.rtd",,"OPEN_INT","."&amp;$AA$3&amp;$AA$4&amp;"C"&amp;BH$4)="N/A",0,RTD("tos.rtd",,"OPEN_INT","."&amp;$AA$3&amp;$AA$4&amp;"C"&amp;BH$4))*100 + MAX(0, BH$4-$A14)*IF(RTD("tos.rtd",,"OPEN_INT","."&amp;$AA$3&amp;$AA$4&amp;"P"&amp;BH$4)="N/A",0,RTD("tos.rtd",,"OPEN_INT","."&amp;$AA$3&amp;$AA$4&amp;"P"&amp;BH$4))*100</f>
        <v>2234450</v>
      </c>
      <c r="BI14" s="18">
        <f>MAX(0, $A14-BI$4)*IF(RTD("tos.rtd",,"OPEN_INT","."&amp;$AA$3&amp;$AA$4&amp;"C"&amp;BI$4)="N/A",0,RTD("tos.rtd",,"OPEN_INT","."&amp;$AA$3&amp;$AA$4&amp;"C"&amp;BI$4))*100 + MAX(0, BI$4-$A14)*IF(RTD("tos.rtd",,"OPEN_INT","."&amp;$AA$3&amp;$AA$4&amp;"P"&amp;BI$4)="N/A",0,RTD("tos.rtd",,"OPEN_INT","."&amp;$AA$3&amp;$AA$4&amp;"P"&amp;BI$4))*100</f>
        <v>1010400</v>
      </c>
      <c r="BJ14" s="18">
        <f>MAX(0, $A14-BJ$4)*IF(RTD("tos.rtd",,"OPEN_INT","."&amp;$AA$3&amp;$AA$4&amp;"C"&amp;BJ$4)="N/A",0,RTD("tos.rtd",,"OPEN_INT","."&amp;$AA$3&amp;$AA$4&amp;"C"&amp;BJ$4))*100 + MAX(0, BJ$4-$A14)*IF(RTD("tos.rtd",,"OPEN_INT","."&amp;$AA$3&amp;$AA$4&amp;"P"&amp;BJ$4)="N/A",0,RTD("tos.rtd",,"OPEN_INT","."&amp;$AA$3&amp;$AA$4&amp;"P"&amp;BJ$4))*100</f>
        <v>188750</v>
      </c>
      <c r="BK14" s="18">
        <f>MAX(0, $A14-BK$4)*IF(RTD("tos.rtd",,"OPEN_INT","."&amp;$AA$3&amp;$AA$4&amp;"C"&amp;BK$4)="N/A",0,RTD("tos.rtd",,"OPEN_INT","."&amp;$AA$3&amp;$AA$4&amp;"C"&amp;BK$4))*100 + MAX(0, BK$4-$A14)*IF(RTD("tos.rtd",,"OPEN_INT","."&amp;$AA$3&amp;$AA$4&amp;"P"&amp;BK$4)="N/A",0,RTD("tos.rtd",,"OPEN_INT","."&amp;$AA$3&amp;$AA$4&amp;"P"&amp;BK$4))*100</f>
        <v>339300</v>
      </c>
      <c r="BL14" s="18">
        <f>MAX(0, $A14-BL$4)*IF(RTD("tos.rtd",,"OPEN_INT","."&amp;$AA$3&amp;$AA$4&amp;"C"&amp;BL$4)="N/A",0,RTD("tos.rtd",,"OPEN_INT","."&amp;$AA$3&amp;$AA$4&amp;"C"&amp;BL$4))*100 + MAX(0, BL$4-$A14)*IF(RTD("tos.rtd",,"OPEN_INT","."&amp;$AA$3&amp;$AA$4&amp;"P"&amp;BL$4)="N/A",0,RTD("tos.rtd",,"OPEN_INT","."&amp;$AA$3&amp;$AA$4&amp;"P"&amp;BL$4))*100</f>
        <v>21600</v>
      </c>
      <c r="BM14" s="18">
        <f>MAX(0, $A14-BM$4)*IF(RTD("tos.rtd",,"OPEN_INT","."&amp;$AA$3&amp;$AA$4&amp;"C"&amp;BM$4)="N/A",0,RTD("tos.rtd",,"OPEN_INT","."&amp;$AA$3&amp;$AA$4&amp;"C"&amp;BM$4))*100 + MAX(0, BM$4-$A14)*IF(RTD("tos.rtd",,"OPEN_INT","."&amp;$AA$3&amp;$AA$4&amp;"P"&amp;BM$4)="N/A",0,RTD("tos.rtd",,"OPEN_INT","."&amp;$AA$3&amp;$AA$4&amp;"P"&amp;BM$4))*100</f>
        <v>11200</v>
      </c>
      <c r="BN14" s="18">
        <f>MAX(0, $A14-BN$4)*IF(RTD("tos.rtd",,"OPEN_INT","."&amp;$AA$3&amp;$AA$4&amp;"C"&amp;BN$4)="N/A",0,RTD("tos.rtd",,"OPEN_INT","."&amp;$AA$3&amp;$AA$4&amp;"C"&amp;BN$4))*100 + MAX(0, BN$4-$A14)*IF(RTD("tos.rtd",,"OPEN_INT","."&amp;$AA$3&amp;$AA$4&amp;"P"&amp;BN$4)="N/A",0,RTD("tos.rtd",,"OPEN_INT","."&amp;$AA$3&amp;$AA$4&amp;"P"&amp;BN$4))*100</f>
        <v>44950</v>
      </c>
      <c r="BO14" s="18">
        <f>MAX(0, $A14-BO$4)*IF(RTD("tos.rtd",,"OPEN_INT","."&amp;$AA$3&amp;$AA$4&amp;"C"&amp;BO$4)="N/A",0,RTD("tos.rtd",,"OPEN_INT","."&amp;$AA$3&amp;$AA$4&amp;"C"&amp;BO$4))*100 + MAX(0, BO$4-$A14)*IF(RTD("tos.rtd",,"OPEN_INT","."&amp;$AA$3&amp;$AA$4&amp;"P"&amp;BO$4)="N/A",0,RTD("tos.rtd",,"OPEN_INT","."&amp;$AA$3&amp;$AA$4&amp;"P"&amp;BO$4))*100</f>
        <v>57000</v>
      </c>
      <c r="BP14" s="18">
        <f>MAX(0, $A14-BP$4)*IF(RTD("tos.rtd",,"OPEN_INT","."&amp;$AA$3&amp;$AA$4&amp;"C"&amp;BP$4)="N/A",0,RTD("tos.rtd",,"OPEN_INT","."&amp;$AA$3&amp;$AA$4&amp;"C"&amp;BP$4))*100 + MAX(0, BP$4-$A14)*IF(RTD("tos.rtd",,"OPEN_INT","."&amp;$AA$3&amp;$AA$4&amp;"P"&amp;BP$4)="N/A",0,RTD("tos.rtd",,"OPEN_INT","."&amp;$AA$3&amp;$AA$4&amp;"P"&amp;BP$4))*100</f>
        <v>0</v>
      </c>
      <c r="BQ14" s="18">
        <f>MAX(0, $A14-BQ$4)*IF(RTD("tos.rtd",,"OPEN_INT","."&amp;$AA$3&amp;$AA$4&amp;"C"&amp;BQ$4)="N/A",0,RTD("tos.rtd",,"OPEN_INT","."&amp;$AA$3&amp;$AA$4&amp;"C"&amp;BQ$4))*100 + MAX(0, BQ$4-$A14)*IF(RTD("tos.rtd",,"OPEN_INT","."&amp;$AA$3&amp;$AA$4&amp;"P"&amp;BQ$4)="N/A",0,RTD("tos.rtd",,"OPEN_INT","."&amp;$AA$3&amp;$AA$4&amp;"P"&amp;BQ$4))*100</f>
        <v>0</v>
      </c>
      <c r="BR14" s="18">
        <f>MAX(0, $A14-BR$4)*IF(RTD("tos.rtd",,"OPEN_INT","."&amp;$AA$3&amp;$AA$4&amp;"C"&amp;BR$4)="N/A",0,RTD("tos.rtd",,"OPEN_INT","."&amp;$AA$3&amp;$AA$4&amp;"C"&amp;BR$4))*100 + MAX(0, BR$4-$A14)*IF(RTD("tos.rtd",,"OPEN_INT","."&amp;$AA$3&amp;$AA$4&amp;"P"&amp;BR$4)="N/A",0,RTD("tos.rtd",,"OPEN_INT","."&amp;$AA$3&amp;$AA$4&amp;"P"&amp;BR$4))*100</f>
        <v>0</v>
      </c>
      <c r="BS14" s="18">
        <f>MAX(0, $A14-BS$4)*IF(RTD("tos.rtd",,"OPEN_INT","."&amp;$AA$3&amp;$AA$4&amp;"C"&amp;BS$4)="N/A",0,RTD("tos.rtd",,"OPEN_INT","."&amp;$AA$3&amp;$AA$4&amp;"C"&amp;BS$4))*100 + MAX(0, BS$4-$A14)*IF(RTD("tos.rtd",,"OPEN_INT","."&amp;$AA$3&amp;$AA$4&amp;"P"&amp;BS$4)="N/A",0,RTD("tos.rtd",,"OPEN_INT","."&amp;$AA$3&amp;$AA$4&amp;"P"&amp;BS$4))*100</f>
        <v>0</v>
      </c>
      <c r="BT14" s="18">
        <f>MAX(0, $A14-BT$4)*IF(RTD("tos.rtd",,"OPEN_INT","."&amp;$AA$3&amp;$AA$4&amp;"C"&amp;BT$4)="N/A",0,RTD("tos.rtd",,"OPEN_INT","."&amp;$AA$3&amp;$AA$4&amp;"C"&amp;BT$4))*100 + MAX(0, BT$4-$A14)*IF(RTD("tos.rtd",,"OPEN_INT","."&amp;$AA$3&amp;$AA$4&amp;"P"&amp;BT$4)="N/A",0,RTD("tos.rtd",,"OPEN_INT","."&amp;$AA$3&amp;$AA$4&amp;"P"&amp;BT$4))*100</f>
        <v>0</v>
      </c>
      <c r="BU14" s="18">
        <f>MAX(0, $A14-BU$4)*IF(RTD("tos.rtd",,"OPEN_INT","."&amp;$AA$3&amp;$AA$4&amp;"C"&amp;BU$4)="N/A",0,RTD("tos.rtd",,"OPEN_INT","."&amp;$AA$3&amp;$AA$4&amp;"C"&amp;BU$4))*100 + MAX(0, BU$4-$A14)*IF(RTD("tos.rtd",,"OPEN_INT","."&amp;$AA$3&amp;$AA$4&amp;"P"&amp;BU$4)="N/A",0,RTD("tos.rtd",,"OPEN_INT","."&amp;$AA$3&amp;$AA$4&amp;"P"&amp;BU$4))*100</f>
        <v>0</v>
      </c>
      <c r="BV14" s="18">
        <f>MAX(0, $A14-BV$4)*IF(RTD("tos.rtd",,"OPEN_INT","."&amp;$AA$3&amp;$AA$4&amp;"C"&amp;BV$4)="N/A",0,RTD("tos.rtd",,"OPEN_INT","."&amp;$AA$3&amp;$AA$4&amp;"C"&amp;BV$4))*100 + MAX(0, BV$4-$A14)*IF(RTD("tos.rtd",,"OPEN_INT","."&amp;$AA$3&amp;$AA$4&amp;"P"&amp;BV$4)="N/A",0,RTD("tos.rtd",,"OPEN_INT","."&amp;$AA$3&amp;$AA$4&amp;"P"&amp;BV$4))*100</f>
        <v>0</v>
      </c>
    </row>
    <row r="15" spans="1:74" s="19" customFormat="1" ht="11.25" customHeight="1" thickBot="1" x14ac:dyDescent="0.3">
      <c r="A15" s="23">
        <f t="shared" si="6"/>
        <v>16.5</v>
      </c>
      <c r="B15" s="14">
        <f ca="1">IF($A$2="PREMIUM_OI",IFERROR(IF($X$1="ABS",(100*RTD("tos.rtd",,"OPEN_INT","."&amp;B$2&amp;B$1&amp;"C"&amp;$A15)*RTD("tos.rtd",,"LAST","."&amp;B$2&amp;B$1&amp;"C"&amp;$A15)+100*RTD("tos.rtd",,"OPEN_INT","."&amp;B$2&amp;B$1&amp;"P"&amp;$A15)*RTD("tos.rtd",,"LAST","."&amp;B$2&amp;B$1&amp;"P"&amp;$A15))/1000000,(100*RTD("tos.rtd",,"OPEN_INT","."&amp;B$2&amp;B$1&amp;"C"&amp;$A15)*RTD("tos.rtd",,"LAST","."&amp;B$2&amp;B$1&amp;"C"&amp;$A15)-100*RTD("tos.rtd",,"OPEN_INT","."&amp;B$2&amp;B$1&amp;"P"&amp;$A15)*RTD("tos.rtd",,"LAST","."&amp;B$2&amp;B$1&amp;"P"&amp;$A15))/1000000),0),IF($A$2="PREMIUM",IFERROR(IF($X$1="ABS",(100*RTD("tos.rtd",,"VOLUME","."&amp;B$2&amp;B$1&amp;"C"&amp;$A15)*RTD("tos.rtd",,"LAST","."&amp;B$2&amp;B$1&amp;"C"&amp;$A15)+100*RTD("tos.rtd",,"VOLUME","."&amp;B$2&amp;B$1&amp;"P"&amp;$A15)*RTD("tos.rtd",,"LAST","."&amp;B$2&amp;B$1&amp;"P"&amp;$A15))/1000000,(100*RTD("tos.rtd",,"VOLUME","."&amp;B$2&amp;B$1&amp;"C"&amp;$A15)*RTD("tos.rtd",,"LAST","."&amp;B$2&amp;B$1&amp;"C"&amp;$A15)-100*RTD("tos.rtd",,"VOLUME","."&amp;B$2&amp;B$1&amp;"P"&amp;$A15)*RTD("tos.rtd",,"LAST","."&amp;B$2&amp;B$1&amp;"P"&amp;$A15))/1000000),0),IF($A$2="DEX",IFERROR(IF($X$1="ABS",(100*RTD("tos.rtd",,"OPEN_INT","."&amp;B$2&amp;B$1&amp;"C"&amp;$A15)*RTD("tos.rtd",,"DELTA","."&amp;B$2&amp;B$1&amp;"C"&amp;$A15)+100*RTD("tos.rtd",,"OPEN_INT","."&amp;B$2&amp;B$1&amp;"P"&amp;$A15)*RTD("tos.rtd",,"DELTA","."&amp;B$2&amp;B$1&amp;"P"&amp;$A15))/1000,(100*RTD("tos.rtd",,"OPEN_INT","."&amp;B$2&amp;B$1&amp;"C"&amp;$A15)*RTD("tos.rtd",,"DELTA","."&amp;B$2&amp;B$1&amp;"C"&amp;$A15)-100*RTD("tos.rtd",,"OPEN_INT","."&amp;B$2&amp;B$1&amp;"P"&amp;$A15)*RTD("tos.rtd",,"DELTA","."&amp;B$2&amp;B$1&amp;"P"&amp;$A15))/1000),0),IF($A$2="VEX",IFERROR(IF($X$1="ABS",($A$4*$A$4*RTD("tos.rtd",,"VOLUME","."&amp;B$2&amp;B$1&amp;"C"&amp;$A15)*RTD("tos.rtd",,"GAMMA","."&amp;B$2&amp;B$1&amp;"C"&amp;$A15)+$A$4*$A$4*RTD("tos.rtd",,"VOLUME","."&amp;B$2&amp;B$1&amp;"P"&amp;$A15)*RTD("tos.rtd",,"GAMMA","."&amp;B$2&amp;B$1&amp;"P"&amp;$A15))/1000000,($A$4*$A$4*RTD("tos.rtd",,"VOLUME","."&amp;B$2&amp;B$1&amp;"C"&amp;$A15)*RTD("tos.rtd",,"GAMMA","."&amp;B$2&amp;B$1&amp;"C"&amp;$A15)-$A$4*$A$4*RTD("tos.rtd",,"VOLUME","."&amp;B$2&amp;B$1&amp;"P"&amp;$A15)*RTD("tos.rtd",,"GAMMA","."&amp;B$2&amp;B$1&amp;"P"&amp;$A15))/1000000),0),IF($A$2="GEX",IFERROR(IF($X$1="ABS",($A$4*$A$4*RTD("tos.rtd",,"OPEN_INT","."&amp;B$2&amp;B$1&amp;"C"&amp;$A15)*RTD("tos.rtd",,"GAMMA","."&amp;B$2&amp;B$1&amp;"C"&amp;$A15)+$A$4*$A$4*RTD("tos.rtd",,"OPEN_INT","."&amp;B$2&amp;B$1&amp;"P"&amp;$A15)*RTD("tos.rtd",,"GAMMA","."&amp;B$2&amp;B$1&amp;"P"&amp;$A15))/1000000,($A$4*$A$4*RTD("tos.rtd",,"OPEN_INT","."&amp;B$2&amp;B$1&amp;"C"&amp;$A15)*RTD("tos.rtd",,"GAMMA","."&amp;B$2&amp;B$1&amp;"C"&amp;$A15)-$A$4*$A$4*RTD("tos.rtd",,"OPEN_INT","."&amp;B$2&amp;B$1&amp;"P"&amp;$A15)*RTD("tos.rtd",,"GAMMA","."&amp;B$2&amp;B$1&amp;"P"&amp;$A15))/1000000),0),IF($A$2="SKEW",IFERROR(VALUE(IF(RTD("tos.rtd",,"IMPL_VOL","."&amp;B$2&amp;B$1&amp;"P"&amp;$A15)="N/A",0,RTD("tos.rtd",,"IMPL_VOL","."&amp;B$2&amp;B$1&amp;"P"&amp;$A15))),0)-IFERROR(VALUE(IF(RTD("tos.rtd",,"IMPL_VOL","."&amp;B$2&amp;B$1&amp;"C"&amp;$A15)="N/A",0,RTD("tos.rtd",,"IMPL_VOL","."&amp;B$2&amp;B$1&amp;"C"&amp;$A15))),0),IF($A$2="MAXPAIN",IF($A$4&gt;$A15,($A$4-$A15)*IF(RTD("tos.rtd",,"OPEN_INT","."&amp;B$2&amp;B$1&amp;"C"&amp;$A15)="N/A",0,RTD("tos.rtd",,"OPEN_INT","."&amp;B$2&amp;B$1&amp;"C"&amp;$A15)),0)+IF($A$4&lt;$A15,($A$5-$A$4)*IF(RTD("tos.rtd",,"OPEN_INT","."&amp;B$2&amp;B$1&amp;"P"&amp;$A15)="N/A",0,RTD("tos.rtd",,"OPEN_INT","."&amp;B$2&amp;B$1&amp;"P"&amp;$A15)),0),IF($X$1="ABS",IF(RTD("tos.rtd",,$A$2,"."&amp;B$2&amp;B$1&amp;"C"&amp;$A15)="N/A",0,RTD("tos.rtd",,$A$2,"."&amp;B$2&amp;B$1&amp;"C"&amp;$A15))+IF(RTD("tos.rtd",,$A$2,"."&amp;B$2&amp;B$1&amp;"P"&amp;$A15)="N/A",0,RTD("tos.rtd",,$A$2,"."&amp;B$2&amp;B$1&amp;"P"&amp;$A15)),IF(RTD("tos.rtd",,$A$2,"."&amp;B$2&amp;B$1&amp;"C"&amp;$A15)="N/A",0,RTD("tos.rtd",,$A$2,"."&amp;B$2&amp;B$1&amp;"C"&amp;$A15))-IF(RTD("tos.rtd",,$A$2,"."&amp;B$2&amp;B$1&amp;"P"&amp;$A15)="N/A",0,RTD("tos.rtd",,$A$2,"."&amp;B$2&amp;B$1&amp;"P"&amp;$A15))))))))))</f>
        <v>0</v>
      </c>
      <c r="C15" s="12">
        <f ca="1">IF($A$2="PREMIUM_OI",IFERROR(IF($X$1="ABS",(100*RTD("tos.rtd",,"OPEN_INT","."&amp;C$2&amp;C$1&amp;"C"&amp;$A15)*RTD("tos.rtd",,"LAST","."&amp;C$2&amp;C$1&amp;"C"&amp;$A15)+100*RTD("tos.rtd",,"OPEN_INT","."&amp;C$2&amp;C$1&amp;"P"&amp;$A15)*RTD("tos.rtd",,"LAST","."&amp;C$2&amp;C$1&amp;"P"&amp;$A15))/1000000,(100*RTD("tos.rtd",,"OPEN_INT","."&amp;C$2&amp;C$1&amp;"C"&amp;$A15)*RTD("tos.rtd",,"LAST","."&amp;C$2&amp;C$1&amp;"C"&amp;$A15)-100*RTD("tos.rtd",,"OPEN_INT","."&amp;C$2&amp;C$1&amp;"P"&amp;$A15)*RTD("tos.rtd",,"LAST","."&amp;C$2&amp;C$1&amp;"P"&amp;$A15))/1000000),0),IF($A$2="PREMIUM",IFERROR(IF($X$1="ABS",(100*RTD("tos.rtd",,"VOLUME","."&amp;C$2&amp;C$1&amp;"C"&amp;$A15)*RTD("tos.rtd",,"LAST","."&amp;C$2&amp;C$1&amp;"C"&amp;$A15)+100*RTD("tos.rtd",,"VOLUME","."&amp;C$2&amp;C$1&amp;"P"&amp;$A15)*RTD("tos.rtd",,"LAST","."&amp;C$2&amp;C$1&amp;"P"&amp;$A15))/1000000,(100*RTD("tos.rtd",,"VOLUME","."&amp;C$2&amp;C$1&amp;"C"&amp;$A15)*RTD("tos.rtd",,"LAST","."&amp;C$2&amp;C$1&amp;"C"&amp;$A15)-100*RTD("tos.rtd",,"VOLUME","."&amp;C$2&amp;C$1&amp;"P"&amp;$A15)*RTD("tos.rtd",,"LAST","."&amp;C$2&amp;C$1&amp;"P"&amp;$A15))/1000000),0),IF($A$2="DEX",IFERROR(IF($X$1="ABS",(100*RTD("tos.rtd",,"OPEN_INT","."&amp;C$2&amp;C$1&amp;"C"&amp;$A15)*RTD("tos.rtd",,"DELTA","."&amp;C$2&amp;C$1&amp;"C"&amp;$A15)+100*RTD("tos.rtd",,"OPEN_INT","."&amp;C$2&amp;C$1&amp;"P"&amp;$A15)*RTD("tos.rtd",,"DELTA","."&amp;C$2&amp;C$1&amp;"P"&amp;$A15))/1000,(100*RTD("tos.rtd",,"OPEN_INT","."&amp;C$2&amp;C$1&amp;"C"&amp;$A15)*RTD("tos.rtd",,"DELTA","."&amp;C$2&amp;C$1&amp;"C"&amp;$A15)-100*RTD("tos.rtd",,"OPEN_INT","."&amp;C$2&amp;C$1&amp;"P"&amp;$A15)*RTD("tos.rtd",,"DELTA","."&amp;C$2&amp;C$1&amp;"P"&amp;$A15))/1000),0),IF($A$2="VEX",IFERROR(IF($X$1="ABS",($A$4*$A$4*RTD("tos.rtd",,"VOLUME","."&amp;C$2&amp;C$1&amp;"C"&amp;$A15)*RTD("tos.rtd",,"GAMMA","."&amp;C$2&amp;C$1&amp;"C"&amp;$A15)+$A$4*$A$4*RTD("tos.rtd",,"VOLUME","."&amp;C$2&amp;C$1&amp;"P"&amp;$A15)*RTD("tos.rtd",,"GAMMA","."&amp;C$2&amp;C$1&amp;"P"&amp;$A15))/1000000,($A$4*$A$4*RTD("tos.rtd",,"VOLUME","."&amp;C$2&amp;C$1&amp;"C"&amp;$A15)*RTD("tos.rtd",,"GAMMA","."&amp;C$2&amp;C$1&amp;"C"&amp;$A15)-$A$4*$A$4*RTD("tos.rtd",,"VOLUME","."&amp;C$2&amp;C$1&amp;"P"&amp;$A15)*RTD("tos.rtd",,"GAMMA","."&amp;C$2&amp;C$1&amp;"P"&amp;$A15))/1000000),0),IF($A$2="GEX",IFERROR(IF($X$1="ABS",($A$4*$A$4*RTD("tos.rtd",,"OPEN_INT","."&amp;C$2&amp;C$1&amp;"C"&amp;$A15)*RTD("tos.rtd",,"GAMMA","."&amp;C$2&amp;C$1&amp;"C"&amp;$A15)+$A$4*$A$4*RTD("tos.rtd",,"OPEN_INT","."&amp;C$2&amp;C$1&amp;"P"&amp;$A15)*RTD("tos.rtd",,"GAMMA","."&amp;C$2&amp;C$1&amp;"P"&amp;$A15))/1000000,($A$4*$A$4*RTD("tos.rtd",,"OPEN_INT","."&amp;C$2&amp;C$1&amp;"C"&amp;$A15)*RTD("tos.rtd",,"GAMMA","."&amp;C$2&amp;C$1&amp;"C"&amp;$A15)-$A$4*$A$4*RTD("tos.rtd",,"OPEN_INT","."&amp;C$2&amp;C$1&amp;"P"&amp;$A15)*RTD("tos.rtd",,"GAMMA","."&amp;C$2&amp;C$1&amp;"P"&amp;$A15))/1000000),0),IF($A$2="SKEW",IFERROR(VALUE(IF(RTD("tos.rtd",,"IMPL_VOL","."&amp;C$2&amp;C$1&amp;"P"&amp;$A15)="N/A",0,RTD("tos.rtd",,"IMPL_VOL","."&amp;C$2&amp;C$1&amp;"P"&amp;$A15))),0)-IFERROR(VALUE(IF(RTD("tos.rtd",,"IMPL_VOL","."&amp;C$2&amp;C$1&amp;"C"&amp;$A15)="N/A",0,RTD("tos.rtd",,"IMPL_VOL","."&amp;C$2&amp;C$1&amp;"C"&amp;$A15))),0),IF($A$2="MAXPAIN",IF($A$4&gt;$A15,($A$4-$A15)*IF(RTD("tos.rtd",,"OPEN_INT","."&amp;C$2&amp;C$1&amp;"C"&amp;$A15)="N/A",0,RTD("tos.rtd",,"OPEN_INT","."&amp;C$2&amp;C$1&amp;"C"&amp;$A15)),0)+IF($A$4&lt;$A15,($A$5-$A$4)*IF(RTD("tos.rtd",,"OPEN_INT","."&amp;C$2&amp;C$1&amp;"P"&amp;$A15)="N/A",0,RTD("tos.rtd",,"OPEN_INT","."&amp;C$2&amp;C$1&amp;"P"&amp;$A15)),0),IF($X$1="ABS",IF(RTD("tos.rtd",,$A$2,"."&amp;C$2&amp;C$1&amp;"C"&amp;$A15)="N/A",0,RTD("tos.rtd",,$A$2,"."&amp;C$2&amp;C$1&amp;"C"&amp;$A15))+IF(RTD("tos.rtd",,$A$2,"."&amp;C$2&amp;C$1&amp;"P"&amp;$A15)="N/A",0,RTD("tos.rtd",,$A$2,"."&amp;C$2&amp;C$1&amp;"P"&amp;$A15)),IF(RTD("tos.rtd",,$A$2,"."&amp;C$2&amp;C$1&amp;"C"&amp;$A15)="N/A",0,RTD("tos.rtd",,$A$2,"."&amp;C$2&amp;C$1&amp;"C"&amp;$A15))-IF(RTD("tos.rtd",,$A$2,"."&amp;C$2&amp;C$1&amp;"P"&amp;$A15)="N/A",0,RTD("tos.rtd",,$A$2,"."&amp;C$2&amp;C$1&amp;"P"&amp;$A15))))))))))</f>
        <v>0</v>
      </c>
      <c r="D15" s="12">
        <f ca="1">IF($A$2="PREMIUM_OI",IFERROR(IF($X$1="ABS",(100*RTD("tos.rtd",,"OPEN_INT","."&amp;D$2&amp;D$1&amp;"C"&amp;$A15)*RTD("tos.rtd",,"LAST","."&amp;D$2&amp;D$1&amp;"C"&amp;$A15)+100*RTD("tos.rtd",,"OPEN_INT","."&amp;D$2&amp;D$1&amp;"P"&amp;$A15)*RTD("tos.rtd",,"LAST","."&amp;D$2&amp;D$1&amp;"P"&amp;$A15))/1000000,(100*RTD("tos.rtd",,"OPEN_INT","."&amp;D$2&amp;D$1&amp;"C"&amp;$A15)*RTD("tos.rtd",,"LAST","."&amp;D$2&amp;D$1&amp;"C"&amp;$A15)-100*RTD("tos.rtd",,"OPEN_INT","."&amp;D$2&amp;D$1&amp;"P"&amp;$A15)*RTD("tos.rtd",,"LAST","."&amp;D$2&amp;D$1&amp;"P"&amp;$A15))/1000000),0),IF($A$2="PREMIUM",IFERROR(IF($X$1="ABS",(100*RTD("tos.rtd",,"VOLUME","."&amp;D$2&amp;D$1&amp;"C"&amp;$A15)*RTD("tos.rtd",,"LAST","."&amp;D$2&amp;D$1&amp;"C"&amp;$A15)+100*RTD("tos.rtd",,"VOLUME","."&amp;D$2&amp;D$1&amp;"P"&amp;$A15)*RTD("tos.rtd",,"LAST","."&amp;D$2&amp;D$1&amp;"P"&amp;$A15))/1000000,(100*RTD("tos.rtd",,"VOLUME","."&amp;D$2&amp;D$1&amp;"C"&amp;$A15)*RTD("tos.rtd",,"LAST","."&amp;D$2&amp;D$1&amp;"C"&amp;$A15)-100*RTD("tos.rtd",,"VOLUME","."&amp;D$2&amp;D$1&amp;"P"&amp;$A15)*RTD("tos.rtd",,"LAST","."&amp;D$2&amp;D$1&amp;"P"&amp;$A15))/1000000),0),IF($A$2="DEX",IFERROR(IF($X$1="ABS",(100*RTD("tos.rtd",,"OPEN_INT","."&amp;D$2&amp;D$1&amp;"C"&amp;$A15)*RTD("tos.rtd",,"DELTA","."&amp;D$2&amp;D$1&amp;"C"&amp;$A15)+100*RTD("tos.rtd",,"OPEN_INT","."&amp;D$2&amp;D$1&amp;"P"&amp;$A15)*RTD("tos.rtd",,"DELTA","."&amp;D$2&amp;D$1&amp;"P"&amp;$A15))/1000,(100*RTD("tos.rtd",,"OPEN_INT","."&amp;D$2&amp;D$1&amp;"C"&amp;$A15)*RTD("tos.rtd",,"DELTA","."&amp;D$2&amp;D$1&amp;"C"&amp;$A15)-100*RTD("tos.rtd",,"OPEN_INT","."&amp;D$2&amp;D$1&amp;"P"&amp;$A15)*RTD("tos.rtd",,"DELTA","."&amp;D$2&amp;D$1&amp;"P"&amp;$A15))/1000),0),IF($A$2="VEX",IFERROR(IF($X$1="ABS",($A$4*$A$4*RTD("tos.rtd",,"VOLUME","."&amp;D$2&amp;D$1&amp;"C"&amp;$A15)*RTD("tos.rtd",,"GAMMA","."&amp;D$2&amp;D$1&amp;"C"&amp;$A15)+$A$4*$A$4*RTD("tos.rtd",,"VOLUME","."&amp;D$2&amp;D$1&amp;"P"&amp;$A15)*RTD("tos.rtd",,"GAMMA","."&amp;D$2&amp;D$1&amp;"P"&amp;$A15))/1000000,($A$4*$A$4*RTD("tos.rtd",,"VOLUME","."&amp;D$2&amp;D$1&amp;"C"&amp;$A15)*RTD("tos.rtd",,"GAMMA","."&amp;D$2&amp;D$1&amp;"C"&amp;$A15)-$A$4*$A$4*RTD("tos.rtd",,"VOLUME","."&amp;D$2&amp;D$1&amp;"P"&amp;$A15)*RTD("tos.rtd",,"GAMMA","."&amp;D$2&amp;D$1&amp;"P"&amp;$A15))/1000000),0),IF($A$2="GEX",IFERROR(IF($X$1="ABS",($A$4*$A$4*RTD("tos.rtd",,"OPEN_INT","."&amp;D$2&amp;D$1&amp;"C"&amp;$A15)*RTD("tos.rtd",,"GAMMA","."&amp;D$2&amp;D$1&amp;"C"&amp;$A15)+$A$4*$A$4*RTD("tos.rtd",,"OPEN_INT","."&amp;D$2&amp;D$1&amp;"P"&amp;$A15)*RTD("tos.rtd",,"GAMMA","."&amp;D$2&amp;D$1&amp;"P"&amp;$A15))/1000000,($A$4*$A$4*RTD("tos.rtd",,"OPEN_INT","."&amp;D$2&amp;D$1&amp;"C"&amp;$A15)*RTD("tos.rtd",,"GAMMA","."&amp;D$2&amp;D$1&amp;"C"&amp;$A15)-$A$4*$A$4*RTD("tos.rtd",,"OPEN_INT","."&amp;D$2&amp;D$1&amp;"P"&amp;$A15)*RTD("tos.rtd",,"GAMMA","."&amp;D$2&amp;D$1&amp;"P"&amp;$A15))/1000000),0),IF($A$2="SKEW",IFERROR(VALUE(IF(RTD("tos.rtd",,"IMPL_VOL","."&amp;D$2&amp;D$1&amp;"P"&amp;$A15)="N/A",0,RTD("tos.rtd",,"IMPL_VOL","."&amp;D$2&amp;D$1&amp;"P"&amp;$A15))),0)-IFERROR(VALUE(IF(RTD("tos.rtd",,"IMPL_VOL","."&amp;D$2&amp;D$1&amp;"C"&amp;$A15)="N/A",0,RTD("tos.rtd",,"IMPL_VOL","."&amp;D$2&amp;D$1&amp;"C"&amp;$A15))),0),IF($A$2="MAXPAIN",IF($A$4&gt;$A15,($A$4-$A15)*IF(RTD("tos.rtd",,"OPEN_INT","."&amp;D$2&amp;D$1&amp;"C"&amp;$A15)="N/A",0,RTD("tos.rtd",,"OPEN_INT","."&amp;D$2&amp;D$1&amp;"C"&amp;$A15)),0)+IF($A$4&lt;$A15,($A$5-$A$4)*IF(RTD("tos.rtd",,"OPEN_INT","."&amp;D$2&amp;D$1&amp;"P"&amp;$A15)="N/A",0,RTD("tos.rtd",,"OPEN_INT","."&amp;D$2&amp;D$1&amp;"P"&amp;$A15)),0),IF($X$1="ABS",IF(RTD("tos.rtd",,$A$2,"."&amp;D$2&amp;D$1&amp;"C"&amp;$A15)="N/A",0,RTD("tos.rtd",,$A$2,"."&amp;D$2&amp;D$1&amp;"C"&amp;$A15))+IF(RTD("tos.rtd",,$A$2,"."&amp;D$2&amp;D$1&amp;"P"&amp;$A15)="N/A",0,RTD("tos.rtd",,$A$2,"."&amp;D$2&amp;D$1&amp;"P"&amp;$A15)),IF(RTD("tos.rtd",,$A$2,"."&amp;D$2&amp;D$1&amp;"C"&amp;$A15)="N/A",0,RTD("tos.rtd",,$A$2,"."&amp;D$2&amp;D$1&amp;"C"&amp;$A15))-IF(RTD("tos.rtd",,$A$2,"."&amp;D$2&amp;D$1&amp;"P"&amp;$A15)="N/A",0,RTD("tos.rtd",,$A$2,"."&amp;D$2&amp;D$1&amp;"P"&amp;$A15))))))))))</f>
        <v>0</v>
      </c>
      <c r="E15" s="12">
        <f ca="1">IF($A$2="PREMIUM_OI",IFERROR(IF($X$1="ABS",(100*RTD("tos.rtd",,"OPEN_INT","."&amp;E$2&amp;E$1&amp;"C"&amp;$A15)*RTD("tos.rtd",,"LAST","."&amp;E$2&amp;E$1&amp;"C"&amp;$A15)+100*RTD("tos.rtd",,"OPEN_INT","."&amp;E$2&amp;E$1&amp;"P"&amp;$A15)*RTD("tos.rtd",,"LAST","."&amp;E$2&amp;E$1&amp;"P"&amp;$A15))/1000000,(100*RTD("tos.rtd",,"OPEN_INT","."&amp;E$2&amp;E$1&amp;"C"&amp;$A15)*RTD("tos.rtd",,"LAST","."&amp;E$2&amp;E$1&amp;"C"&amp;$A15)-100*RTD("tos.rtd",,"OPEN_INT","."&amp;E$2&amp;E$1&amp;"P"&amp;$A15)*RTD("tos.rtd",,"LAST","."&amp;E$2&amp;E$1&amp;"P"&amp;$A15))/1000000),0),IF($A$2="PREMIUM",IFERROR(IF($X$1="ABS",(100*RTD("tos.rtd",,"VOLUME","."&amp;E$2&amp;E$1&amp;"C"&amp;$A15)*RTD("tos.rtd",,"LAST","."&amp;E$2&amp;E$1&amp;"C"&amp;$A15)+100*RTD("tos.rtd",,"VOLUME","."&amp;E$2&amp;E$1&amp;"P"&amp;$A15)*RTD("tos.rtd",,"LAST","."&amp;E$2&amp;E$1&amp;"P"&amp;$A15))/1000000,(100*RTD("tos.rtd",,"VOLUME","."&amp;E$2&amp;E$1&amp;"C"&amp;$A15)*RTD("tos.rtd",,"LAST","."&amp;E$2&amp;E$1&amp;"C"&amp;$A15)-100*RTD("tos.rtd",,"VOLUME","."&amp;E$2&amp;E$1&amp;"P"&amp;$A15)*RTD("tos.rtd",,"LAST","."&amp;E$2&amp;E$1&amp;"P"&amp;$A15))/1000000),0),IF($A$2="DEX",IFERROR(IF($X$1="ABS",(100*RTD("tos.rtd",,"OPEN_INT","."&amp;E$2&amp;E$1&amp;"C"&amp;$A15)*RTD("tos.rtd",,"DELTA","."&amp;E$2&amp;E$1&amp;"C"&amp;$A15)+100*RTD("tos.rtd",,"OPEN_INT","."&amp;E$2&amp;E$1&amp;"P"&amp;$A15)*RTD("tos.rtd",,"DELTA","."&amp;E$2&amp;E$1&amp;"P"&amp;$A15))/1000,(100*RTD("tos.rtd",,"OPEN_INT","."&amp;E$2&amp;E$1&amp;"C"&amp;$A15)*RTD("tos.rtd",,"DELTA","."&amp;E$2&amp;E$1&amp;"C"&amp;$A15)-100*RTD("tos.rtd",,"OPEN_INT","."&amp;E$2&amp;E$1&amp;"P"&amp;$A15)*RTD("tos.rtd",,"DELTA","."&amp;E$2&amp;E$1&amp;"P"&amp;$A15))/1000),0),IF($A$2="VEX",IFERROR(IF($X$1="ABS",($A$4*$A$4*RTD("tos.rtd",,"VOLUME","."&amp;E$2&amp;E$1&amp;"C"&amp;$A15)*RTD("tos.rtd",,"GAMMA","."&amp;E$2&amp;E$1&amp;"C"&amp;$A15)+$A$4*$A$4*RTD("tos.rtd",,"VOLUME","."&amp;E$2&amp;E$1&amp;"P"&amp;$A15)*RTD("tos.rtd",,"GAMMA","."&amp;E$2&amp;E$1&amp;"P"&amp;$A15))/1000000,($A$4*$A$4*RTD("tos.rtd",,"VOLUME","."&amp;E$2&amp;E$1&amp;"C"&amp;$A15)*RTD("tos.rtd",,"GAMMA","."&amp;E$2&amp;E$1&amp;"C"&amp;$A15)-$A$4*$A$4*RTD("tos.rtd",,"VOLUME","."&amp;E$2&amp;E$1&amp;"P"&amp;$A15)*RTD("tos.rtd",,"GAMMA","."&amp;E$2&amp;E$1&amp;"P"&amp;$A15))/1000000),0),IF($A$2="GEX",IFERROR(IF($X$1="ABS",($A$4*$A$4*RTD("tos.rtd",,"OPEN_INT","."&amp;E$2&amp;E$1&amp;"C"&amp;$A15)*RTD("tos.rtd",,"GAMMA","."&amp;E$2&amp;E$1&amp;"C"&amp;$A15)+$A$4*$A$4*RTD("tos.rtd",,"OPEN_INT","."&amp;E$2&amp;E$1&amp;"P"&amp;$A15)*RTD("tos.rtd",,"GAMMA","."&amp;E$2&amp;E$1&amp;"P"&amp;$A15))/1000000,($A$4*$A$4*RTD("tos.rtd",,"OPEN_INT","."&amp;E$2&amp;E$1&amp;"C"&amp;$A15)*RTD("tos.rtd",,"GAMMA","."&amp;E$2&amp;E$1&amp;"C"&amp;$A15)-$A$4*$A$4*RTD("tos.rtd",,"OPEN_INT","."&amp;E$2&amp;E$1&amp;"P"&amp;$A15)*RTD("tos.rtd",,"GAMMA","."&amp;E$2&amp;E$1&amp;"P"&amp;$A15))/1000000),0),IF($A$2="SKEW",IFERROR(VALUE(IF(RTD("tos.rtd",,"IMPL_VOL","."&amp;E$2&amp;E$1&amp;"P"&amp;$A15)="N/A",0,RTD("tos.rtd",,"IMPL_VOL","."&amp;E$2&amp;E$1&amp;"P"&amp;$A15))),0)-IFERROR(VALUE(IF(RTD("tos.rtd",,"IMPL_VOL","."&amp;E$2&amp;E$1&amp;"C"&amp;$A15)="N/A",0,RTD("tos.rtd",,"IMPL_VOL","."&amp;E$2&amp;E$1&amp;"C"&amp;$A15))),0),IF($A$2="MAXPAIN",IF($A$4&gt;$A15,($A$4-$A15)*IF(RTD("tos.rtd",,"OPEN_INT","."&amp;E$2&amp;E$1&amp;"C"&amp;$A15)="N/A",0,RTD("tos.rtd",,"OPEN_INT","."&amp;E$2&amp;E$1&amp;"C"&amp;$A15)),0)+IF($A$4&lt;$A15,($A$5-$A$4)*IF(RTD("tos.rtd",,"OPEN_INT","."&amp;E$2&amp;E$1&amp;"P"&amp;$A15)="N/A",0,RTD("tos.rtd",,"OPEN_INT","."&amp;E$2&amp;E$1&amp;"P"&amp;$A15)),0),IF($X$1="ABS",IF(RTD("tos.rtd",,$A$2,"."&amp;E$2&amp;E$1&amp;"C"&amp;$A15)="N/A",0,RTD("tos.rtd",,$A$2,"."&amp;E$2&amp;E$1&amp;"C"&amp;$A15))+IF(RTD("tos.rtd",,$A$2,"."&amp;E$2&amp;E$1&amp;"P"&amp;$A15)="N/A",0,RTD("tos.rtd",,$A$2,"."&amp;E$2&amp;E$1&amp;"P"&amp;$A15)),IF(RTD("tos.rtd",,$A$2,"."&amp;E$2&amp;E$1&amp;"C"&amp;$A15)="N/A",0,RTD("tos.rtd",,$A$2,"."&amp;E$2&amp;E$1&amp;"C"&amp;$A15))-IF(RTD("tos.rtd",,$A$2,"."&amp;E$2&amp;E$1&amp;"P"&amp;$A15)="N/A",0,RTD("tos.rtd",,$A$2,"."&amp;E$2&amp;E$1&amp;"P"&amp;$A15))))))))))</f>
        <v>0</v>
      </c>
      <c r="F15" s="12">
        <f ca="1">IF($A$2="PREMIUM_OI",IFERROR(IF($X$1="ABS",(100*RTD("tos.rtd",,"OPEN_INT","."&amp;F$2&amp;F$1&amp;"C"&amp;$A15)*RTD("tos.rtd",,"LAST","."&amp;F$2&amp;F$1&amp;"C"&amp;$A15)+100*RTD("tos.rtd",,"OPEN_INT","."&amp;F$2&amp;F$1&amp;"P"&amp;$A15)*RTD("tos.rtd",,"LAST","."&amp;F$2&amp;F$1&amp;"P"&amp;$A15))/1000000,(100*RTD("tos.rtd",,"OPEN_INT","."&amp;F$2&amp;F$1&amp;"C"&amp;$A15)*RTD("tos.rtd",,"LAST","."&amp;F$2&amp;F$1&amp;"C"&amp;$A15)-100*RTD("tos.rtd",,"OPEN_INT","."&amp;F$2&amp;F$1&amp;"P"&amp;$A15)*RTD("tos.rtd",,"LAST","."&amp;F$2&amp;F$1&amp;"P"&amp;$A15))/1000000),0),IF($A$2="PREMIUM",IFERROR(IF($X$1="ABS",(100*RTD("tos.rtd",,"VOLUME","."&amp;F$2&amp;F$1&amp;"C"&amp;$A15)*RTD("tos.rtd",,"LAST","."&amp;F$2&amp;F$1&amp;"C"&amp;$A15)+100*RTD("tos.rtd",,"VOLUME","."&amp;F$2&amp;F$1&amp;"P"&amp;$A15)*RTD("tos.rtd",,"LAST","."&amp;F$2&amp;F$1&amp;"P"&amp;$A15))/1000000,(100*RTD("tos.rtd",,"VOLUME","."&amp;F$2&amp;F$1&amp;"C"&amp;$A15)*RTD("tos.rtd",,"LAST","."&amp;F$2&amp;F$1&amp;"C"&amp;$A15)-100*RTD("tos.rtd",,"VOLUME","."&amp;F$2&amp;F$1&amp;"P"&amp;$A15)*RTD("tos.rtd",,"LAST","."&amp;F$2&amp;F$1&amp;"P"&amp;$A15))/1000000),0),IF($A$2="DEX",IFERROR(IF($X$1="ABS",(100*RTD("tos.rtd",,"OPEN_INT","."&amp;F$2&amp;F$1&amp;"C"&amp;$A15)*RTD("tos.rtd",,"DELTA","."&amp;F$2&amp;F$1&amp;"C"&amp;$A15)+100*RTD("tos.rtd",,"OPEN_INT","."&amp;F$2&amp;F$1&amp;"P"&amp;$A15)*RTD("tos.rtd",,"DELTA","."&amp;F$2&amp;F$1&amp;"P"&amp;$A15))/1000,(100*RTD("tos.rtd",,"OPEN_INT","."&amp;F$2&amp;F$1&amp;"C"&amp;$A15)*RTD("tos.rtd",,"DELTA","."&amp;F$2&amp;F$1&amp;"C"&amp;$A15)-100*RTD("tos.rtd",,"OPEN_INT","."&amp;F$2&amp;F$1&amp;"P"&amp;$A15)*RTD("tos.rtd",,"DELTA","."&amp;F$2&amp;F$1&amp;"P"&amp;$A15))/1000),0),IF($A$2="VEX",IFERROR(IF($X$1="ABS",($A$4*$A$4*RTD("tos.rtd",,"VOLUME","."&amp;F$2&amp;F$1&amp;"C"&amp;$A15)*RTD("tos.rtd",,"GAMMA","."&amp;F$2&amp;F$1&amp;"C"&amp;$A15)+$A$4*$A$4*RTD("tos.rtd",,"VOLUME","."&amp;F$2&amp;F$1&amp;"P"&amp;$A15)*RTD("tos.rtd",,"GAMMA","."&amp;F$2&amp;F$1&amp;"P"&amp;$A15))/1000000,($A$4*$A$4*RTD("tos.rtd",,"VOLUME","."&amp;F$2&amp;F$1&amp;"C"&amp;$A15)*RTD("tos.rtd",,"GAMMA","."&amp;F$2&amp;F$1&amp;"C"&amp;$A15)-$A$4*$A$4*RTD("tos.rtd",,"VOLUME","."&amp;F$2&amp;F$1&amp;"P"&amp;$A15)*RTD("tos.rtd",,"GAMMA","."&amp;F$2&amp;F$1&amp;"P"&amp;$A15))/1000000),0),IF($A$2="GEX",IFERROR(IF($X$1="ABS",($A$4*$A$4*RTD("tos.rtd",,"OPEN_INT","."&amp;F$2&amp;F$1&amp;"C"&amp;$A15)*RTD("tos.rtd",,"GAMMA","."&amp;F$2&amp;F$1&amp;"C"&amp;$A15)+$A$4*$A$4*RTD("tos.rtd",,"OPEN_INT","."&amp;F$2&amp;F$1&amp;"P"&amp;$A15)*RTD("tos.rtd",,"GAMMA","."&amp;F$2&amp;F$1&amp;"P"&amp;$A15))/1000000,($A$4*$A$4*RTD("tos.rtd",,"OPEN_INT","."&amp;F$2&amp;F$1&amp;"C"&amp;$A15)*RTD("tos.rtd",,"GAMMA","."&amp;F$2&amp;F$1&amp;"C"&amp;$A15)-$A$4*$A$4*RTD("tos.rtd",,"OPEN_INT","."&amp;F$2&amp;F$1&amp;"P"&amp;$A15)*RTD("tos.rtd",,"GAMMA","."&amp;F$2&amp;F$1&amp;"P"&amp;$A15))/1000000),0),IF($A$2="SKEW",IFERROR(VALUE(IF(RTD("tos.rtd",,"IMPL_VOL","."&amp;F$2&amp;F$1&amp;"P"&amp;$A15)="N/A",0,RTD("tos.rtd",,"IMPL_VOL","."&amp;F$2&amp;F$1&amp;"P"&amp;$A15))),0)-IFERROR(VALUE(IF(RTD("tos.rtd",,"IMPL_VOL","."&amp;F$2&amp;F$1&amp;"C"&amp;$A15)="N/A",0,RTD("tos.rtd",,"IMPL_VOL","."&amp;F$2&amp;F$1&amp;"C"&amp;$A15))),0),IF($A$2="MAXPAIN",IF($A$4&gt;$A15,($A$4-$A15)*IF(RTD("tos.rtd",,"OPEN_INT","."&amp;F$2&amp;F$1&amp;"C"&amp;$A15)="N/A",0,RTD("tos.rtd",,"OPEN_INT","."&amp;F$2&amp;F$1&amp;"C"&amp;$A15)),0)+IF($A$4&lt;$A15,($A$5-$A$4)*IF(RTD("tos.rtd",,"OPEN_INT","."&amp;F$2&amp;F$1&amp;"P"&amp;$A15)="N/A",0,RTD("tos.rtd",,"OPEN_INT","."&amp;F$2&amp;F$1&amp;"P"&amp;$A15)),0),IF($X$1="ABS",IF(RTD("tos.rtd",,$A$2,"."&amp;F$2&amp;F$1&amp;"C"&amp;$A15)="N/A",0,RTD("tos.rtd",,$A$2,"."&amp;F$2&amp;F$1&amp;"C"&amp;$A15))+IF(RTD("tos.rtd",,$A$2,"."&amp;F$2&amp;F$1&amp;"P"&amp;$A15)="N/A",0,RTD("tos.rtd",,$A$2,"."&amp;F$2&amp;F$1&amp;"P"&amp;$A15)),IF(RTD("tos.rtd",,$A$2,"."&amp;F$2&amp;F$1&amp;"C"&amp;$A15)="N/A",0,RTD("tos.rtd",,$A$2,"."&amp;F$2&amp;F$1&amp;"C"&amp;$A15))-IF(RTD("tos.rtd",,$A$2,"."&amp;F$2&amp;F$1&amp;"P"&amp;$A15)="N/A",0,RTD("tos.rtd",,$A$2,"."&amp;F$2&amp;F$1&amp;"P"&amp;$A15))))))))))</f>
        <v>0</v>
      </c>
      <c r="G15" s="57">
        <f ca="1">IF($A$2="PREMIUM_OI",IFERROR(IF($X$1="ABS",(100*RTD("tos.rtd",,"OPEN_INT","."&amp;G$2&amp;G$1&amp;"C"&amp;$A15)*RTD("tos.rtd",,"LAST","."&amp;G$2&amp;G$1&amp;"C"&amp;$A15)+100*RTD("tos.rtd",,"OPEN_INT","."&amp;G$2&amp;G$1&amp;"P"&amp;$A15)*RTD("tos.rtd",,"LAST","."&amp;G$2&amp;G$1&amp;"P"&amp;$A15))/1000000,(100*RTD("tos.rtd",,"OPEN_INT","."&amp;G$2&amp;G$1&amp;"C"&amp;$A15)*RTD("tos.rtd",,"LAST","."&amp;G$2&amp;G$1&amp;"C"&amp;$A15)-100*RTD("tos.rtd",,"OPEN_INT","."&amp;G$2&amp;G$1&amp;"P"&amp;$A15)*RTD("tos.rtd",,"LAST","."&amp;G$2&amp;G$1&amp;"P"&amp;$A15))/1000000),0),IF($A$2="PREMIUM",IFERROR(IF($X$1="ABS",(100*RTD("tos.rtd",,"VOLUME","."&amp;G$2&amp;G$1&amp;"C"&amp;$A15)*RTD("tos.rtd",,"LAST","."&amp;G$2&amp;G$1&amp;"C"&amp;$A15)+100*RTD("tos.rtd",,"VOLUME","."&amp;G$2&amp;G$1&amp;"P"&amp;$A15)*RTD("tos.rtd",,"LAST","."&amp;G$2&amp;G$1&amp;"P"&amp;$A15))/1000000,(100*RTD("tos.rtd",,"VOLUME","."&amp;G$2&amp;G$1&amp;"C"&amp;$A15)*RTD("tos.rtd",,"LAST","."&amp;G$2&amp;G$1&amp;"C"&amp;$A15)-100*RTD("tos.rtd",,"VOLUME","."&amp;G$2&amp;G$1&amp;"P"&amp;$A15)*RTD("tos.rtd",,"LAST","."&amp;G$2&amp;G$1&amp;"P"&amp;$A15))/1000000),0),IF($A$2="DEX",IFERROR(IF($X$1="ABS",(100*RTD("tos.rtd",,"OPEN_INT","."&amp;G$2&amp;G$1&amp;"C"&amp;$A15)*RTD("tos.rtd",,"DELTA","."&amp;G$2&amp;G$1&amp;"C"&amp;$A15)+100*RTD("tos.rtd",,"OPEN_INT","."&amp;G$2&amp;G$1&amp;"P"&amp;$A15)*RTD("tos.rtd",,"DELTA","."&amp;G$2&amp;G$1&amp;"P"&amp;$A15))/1000,(100*RTD("tos.rtd",,"OPEN_INT","."&amp;G$2&amp;G$1&amp;"C"&amp;$A15)*RTD("tos.rtd",,"DELTA","."&amp;G$2&amp;G$1&amp;"C"&amp;$A15)-100*RTD("tos.rtd",,"OPEN_INT","."&amp;G$2&amp;G$1&amp;"P"&amp;$A15)*RTD("tos.rtd",,"DELTA","."&amp;G$2&amp;G$1&amp;"P"&amp;$A15))/1000),0),IF($A$2="VEX",IFERROR(IF($X$1="ABS",($A$4*$A$4*RTD("tos.rtd",,"VOLUME","."&amp;G$2&amp;G$1&amp;"C"&amp;$A15)*RTD("tos.rtd",,"GAMMA","."&amp;G$2&amp;G$1&amp;"C"&amp;$A15)+$A$4*$A$4*RTD("tos.rtd",,"VOLUME","."&amp;G$2&amp;G$1&amp;"P"&amp;$A15)*RTD("tos.rtd",,"GAMMA","."&amp;G$2&amp;G$1&amp;"P"&amp;$A15))/1000000,($A$4*$A$4*RTD("tos.rtd",,"VOLUME","."&amp;G$2&amp;G$1&amp;"C"&amp;$A15)*RTD("tos.rtd",,"GAMMA","."&amp;G$2&amp;G$1&amp;"C"&amp;$A15)-$A$4*$A$4*RTD("tos.rtd",,"VOLUME","."&amp;G$2&amp;G$1&amp;"P"&amp;$A15)*RTD("tos.rtd",,"GAMMA","."&amp;G$2&amp;G$1&amp;"P"&amp;$A15))/1000000),0),IF($A$2="GEX",IFERROR(IF($X$1="ABS",($A$4*$A$4*RTD("tos.rtd",,"OPEN_INT","."&amp;G$2&amp;G$1&amp;"C"&amp;$A15)*RTD("tos.rtd",,"GAMMA","."&amp;G$2&amp;G$1&amp;"C"&amp;$A15)+$A$4*$A$4*RTD("tos.rtd",,"OPEN_INT","."&amp;G$2&amp;G$1&amp;"P"&amp;$A15)*RTD("tos.rtd",,"GAMMA","."&amp;G$2&amp;G$1&amp;"P"&amp;$A15))/1000000,($A$4*$A$4*RTD("tos.rtd",,"OPEN_INT","."&amp;G$2&amp;G$1&amp;"C"&amp;$A15)*RTD("tos.rtd",,"GAMMA","."&amp;G$2&amp;G$1&amp;"C"&amp;$A15)-$A$4*$A$4*RTD("tos.rtd",,"OPEN_INT","."&amp;G$2&amp;G$1&amp;"P"&amp;$A15)*RTD("tos.rtd",,"GAMMA","."&amp;G$2&amp;G$1&amp;"P"&amp;$A15))/1000000),0),IF($A$2="SKEW",IFERROR(VALUE(IF(RTD("tos.rtd",,"IMPL_VOL","."&amp;G$2&amp;G$1&amp;"P"&amp;$A15)="N/A",0,RTD("tos.rtd",,"IMPL_VOL","."&amp;G$2&amp;G$1&amp;"P"&amp;$A15))),0)-IFERROR(VALUE(IF(RTD("tos.rtd",,"IMPL_VOL","."&amp;G$2&amp;G$1&amp;"C"&amp;$A15)="N/A",0,RTD("tos.rtd",,"IMPL_VOL","."&amp;G$2&amp;G$1&amp;"C"&amp;$A15))),0),IF($A$2="MAXPAIN",IF($A$4&gt;$A15,($A$4-$A15)*IF(RTD("tos.rtd",,"OPEN_INT","."&amp;G$2&amp;G$1&amp;"C"&amp;$A15)="N/A",0,RTD("tos.rtd",,"OPEN_INT","."&amp;G$2&amp;G$1&amp;"C"&amp;$A15)),0)+IF($A$4&lt;$A15,($A$5-$A$4)*IF(RTD("tos.rtd",,"OPEN_INT","."&amp;G$2&amp;G$1&amp;"P"&amp;$A15)="N/A",0,RTD("tos.rtd",,"OPEN_INT","."&amp;G$2&amp;G$1&amp;"P"&amp;$A15)),0),IF($X$1="ABS",IF(RTD("tos.rtd",,$A$2,"."&amp;G$2&amp;G$1&amp;"C"&amp;$A15)="N/A",0,RTD("tos.rtd",,$A$2,"."&amp;G$2&amp;G$1&amp;"C"&amp;$A15))+IF(RTD("tos.rtd",,$A$2,"."&amp;G$2&amp;G$1&amp;"P"&amp;$A15)="N/A",0,RTD("tos.rtd",,$A$2,"."&amp;G$2&amp;G$1&amp;"P"&amp;$A15)),IF(RTD("tos.rtd",,$A$2,"."&amp;G$2&amp;G$1&amp;"C"&amp;$A15)="N/A",0,RTD("tos.rtd",,$A$2,"."&amp;G$2&amp;G$1&amp;"C"&amp;$A15))-IF(RTD("tos.rtd",,$A$2,"."&amp;G$2&amp;G$1&amp;"P"&amp;$A15)="N/A",0,RTD("tos.rtd",,$A$2,"."&amp;G$2&amp;G$1&amp;"P"&amp;$A15))))))))))</f>
        <v>0</v>
      </c>
      <c r="H15" s="14">
        <f ca="1">IF($A$2="PREMIUM_OI",IFERROR(IF($X$1="ABS",(100*RTD("tos.rtd",,"OPEN_INT","."&amp;H$2&amp;H$1&amp;"C"&amp;$A15)*RTD("tos.rtd",,"LAST","."&amp;H$2&amp;H$1&amp;"C"&amp;$A15)+100*RTD("tos.rtd",,"OPEN_INT","."&amp;H$2&amp;H$1&amp;"P"&amp;$A15)*RTD("tos.rtd",,"LAST","."&amp;H$2&amp;H$1&amp;"P"&amp;$A15))/1000000,(100*RTD("tos.rtd",,"OPEN_INT","."&amp;H$2&amp;H$1&amp;"C"&amp;$A15)*RTD("tos.rtd",,"LAST","."&amp;H$2&amp;H$1&amp;"C"&amp;$A15)-100*RTD("tos.rtd",,"OPEN_INT","."&amp;H$2&amp;H$1&amp;"P"&amp;$A15)*RTD("tos.rtd",,"LAST","."&amp;H$2&amp;H$1&amp;"P"&amp;$A15))/1000000),0),IF($A$2="PREMIUM",IFERROR(IF($X$1="ABS",(100*RTD("tos.rtd",,"VOLUME","."&amp;H$2&amp;H$1&amp;"C"&amp;$A15)*RTD("tos.rtd",,"LAST","."&amp;H$2&amp;H$1&amp;"C"&amp;$A15)+100*RTD("tos.rtd",,"VOLUME","."&amp;H$2&amp;H$1&amp;"P"&amp;$A15)*RTD("tos.rtd",,"LAST","."&amp;H$2&amp;H$1&amp;"P"&amp;$A15))/1000000,(100*RTD("tos.rtd",,"VOLUME","."&amp;H$2&amp;H$1&amp;"C"&amp;$A15)*RTD("tos.rtd",,"LAST","."&amp;H$2&amp;H$1&amp;"C"&amp;$A15)-100*RTD("tos.rtd",,"VOLUME","."&amp;H$2&amp;H$1&amp;"P"&amp;$A15)*RTD("tos.rtd",,"LAST","."&amp;H$2&amp;H$1&amp;"P"&amp;$A15))/1000000),0),IF($A$2="DEX",IFERROR(IF($X$1="ABS",(100*RTD("tos.rtd",,"OPEN_INT","."&amp;H$2&amp;H$1&amp;"C"&amp;$A15)*RTD("tos.rtd",,"DELTA","."&amp;H$2&amp;H$1&amp;"C"&amp;$A15)+100*RTD("tos.rtd",,"OPEN_INT","."&amp;H$2&amp;H$1&amp;"P"&amp;$A15)*RTD("tos.rtd",,"DELTA","."&amp;H$2&amp;H$1&amp;"P"&amp;$A15))/1000,(100*RTD("tos.rtd",,"OPEN_INT","."&amp;H$2&amp;H$1&amp;"C"&amp;$A15)*RTD("tos.rtd",,"DELTA","."&amp;H$2&amp;H$1&amp;"C"&amp;$A15)-100*RTD("tos.rtd",,"OPEN_INT","."&amp;H$2&amp;H$1&amp;"P"&amp;$A15)*RTD("tos.rtd",,"DELTA","."&amp;H$2&amp;H$1&amp;"P"&amp;$A15))/1000),0),IF($A$2="VEX",IFERROR(IF($X$1="ABS",($A$4*$A$4*RTD("tos.rtd",,"VOLUME","."&amp;H$2&amp;H$1&amp;"C"&amp;$A15)*RTD("tos.rtd",,"GAMMA","."&amp;H$2&amp;H$1&amp;"C"&amp;$A15)+$A$4*$A$4*RTD("tos.rtd",,"VOLUME","."&amp;H$2&amp;H$1&amp;"P"&amp;$A15)*RTD("tos.rtd",,"GAMMA","."&amp;H$2&amp;H$1&amp;"P"&amp;$A15))/1000000,($A$4*$A$4*RTD("tos.rtd",,"VOLUME","."&amp;H$2&amp;H$1&amp;"C"&amp;$A15)*RTD("tos.rtd",,"GAMMA","."&amp;H$2&amp;H$1&amp;"C"&amp;$A15)-$A$4*$A$4*RTD("tos.rtd",,"VOLUME","."&amp;H$2&amp;H$1&amp;"P"&amp;$A15)*RTD("tos.rtd",,"GAMMA","."&amp;H$2&amp;H$1&amp;"P"&amp;$A15))/1000000),0),IF($A$2="GEX",IFERROR(IF($X$1="ABS",($A$4*$A$4*RTD("tos.rtd",,"OPEN_INT","."&amp;H$2&amp;H$1&amp;"C"&amp;$A15)*RTD("tos.rtd",,"GAMMA","."&amp;H$2&amp;H$1&amp;"C"&amp;$A15)+$A$4*$A$4*RTD("tos.rtd",,"OPEN_INT","."&amp;H$2&amp;H$1&amp;"P"&amp;$A15)*RTD("tos.rtd",,"GAMMA","."&amp;H$2&amp;H$1&amp;"P"&amp;$A15))/1000000,($A$4*$A$4*RTD("tos.rtd",,"OPEN_INT","."&amp;H$2&amp;H$1&amp;"C"&amp;$A15)*RTD("tos.rtd",,"GAMMA","."&amp;H$2&amp;H$1&amp;"C"&amp;$A15)-$A$4*$A$4*RTD("tos.rtd",,"OPEN_INT","."&amp;H$2&amp;H$1&amp;"P"&amp;$A15)*RTD("tos.rtd",,"GAMMA","."&amp;H$2&amp;H$1&amp;"P"&amp;$A15))/1000000),0),IF($A$2="SKEW",IFERROR(VALUE(IF(RTD("tos.rtd",,"IMPL_VOL","."&amp;H$2&amp;H$1&amp;"P"&amp;$A15)="N/A",0,RTD("tos.rtd",,"IMPL_VOL","."&amp;H$2&amp;H$1&amp;"P"&amp;$A15))),0)-IFERROR(VALUE(IF(RTD("tos.rtd",,"IMPL_VOL","."&amp;H$2&amp;H$1&amp;"C"&amp;$A15)="N/A",0,RTD("tos.rtd",,"IMPL_VOL","."&amp;H$2&amp;H$1&amp;"C"&amp;$A15))),0),IF($A$2="MAXPAIN",IF($A$4&gt;$A15,($A$4-$A15)*IF(RTD("tos.rtd",,"OPEN_INT","."&amp;H$2&amp;H$1&amp;"C"&amp;$A15)="N/A",0,RTD("tos.rtd",,"OPEN_INT","."&amp;H$2&amp;H$1&amp;"C"&amp;$A15)),0)+IF($A$4&lt;$A15,($A$5-$A$4)*IF(RTD("tos.rtd",,"OPEN_INT","."&amp;H$2&amp;H$1&amp;"P"&amp;$A15)="N/A",0,RTD("tos.rtd",,"OPEN_INT","."&amp;H$2&amp;H$1&amp;"P"&amp;$A15)),0),IF($X$1="ABS",IF(RTD("tos.rtd",,$A$2,"."&amp;H$2&amp;H$1&amp;"C"&amp;$A15)="N/A",0,RTD("tos.rtd",,$A$2,"."&amp;H$2&amp;H$1&amp;"C"&amp;$A15))+IF(RTD("tos.rtd",,$A$2,"."&amp;H$2&amp;H$1&amp;"P"&amp;$A15)="N/A",0,RTD("tos.rtd",,$A$2,"."&amp;H$2&amp;H$1&amp;"P"&amp;$A15)),IF(RTD("tos.rtd",,$A$2,"."&amp;H$2&amp;H$1&amp;"C"&amp;$A15)="N/A",0,RTD("tos.rtd",,$A$2,"."&amp;H$2&amp;H$1&amp;"C"&amp;$A15))-IF(RTD("tos.rtd",,$A$2,"."&amp;H$2&amp;H$1&amp;"P"&amp;$A15)="N/A",0,RTD("tos.rtd",,$A$2,"."&amp;H$2&amp;H$1&amp;"P"&amp;$A15))))))))))</f>
        <v>0</v>
      </c>
      <c r="I15" s="12">
        <f ca="1">IF($A$2="PREMIUM_OI",IFERROR(IF($X$1="ABS",(100*RTD("tos.rtd",,"OPEN_INT","."&amp;I$2&amp;I$1&amp;"C"&amp;$A15)*RTD("tos.rtd",,"LAST","."&amp;I$2&amp;I$1&amp;"C"&amp;$A15)+100*RTD("tos.rtd",,"OPEN_INT","."&amp;I$2&amp;I$1&amp;"P"&amp;$A15)*RTD("tos.rtd",,"LAST","."&amp;I$2&amp;I$1&amp;"P"&amp;$A15))/1000000,(100*RTD("tos.rtd",,"OPEN_INT","."&amp;I$2&amp;I$1&amp;"C"&amp;$A15)*RTD("tos.rtd",,"LAST","."&amp;I$2&amp;I$1&amp;"C"&amp;$A15)-100*RTD("tos.rtd",,"OPEN_INT","."&amp;I$2&amp;I$1&amp;"P"&amp;$A15)*RTD("tos.rtd",,"LAST","."&amp;I$2&amp;I$1&amp;"P"&amp;$A15))/1000000),0),IF($A$2="PREMIUM",IFERROR(IF($X$1="ABS",(100*RTD("tos.rtd",,"VOLUME","."&amp;I$2&amp;I$1&amp;"C"&amp;$A15)*RTD("tos.rtd",,"LAST","."&amp;I$2&amp;I$1&amp;"C"&amp;$A15)+100*RTD("tos.rtd",,"VOLUME","."&amp;I$2&amp;I$1&amp;"P"&amp;$A15)*RTD("tos.rtd",,"LAST","."&amp;I$2&amp;I$1&amp;"P"&amp;$A15))/1000000,(100*RTD("tos.rtd",,"VOLUME","."&amp;I$2&amp;I$1&amp;"C"&amp;$A15)*RTD("tos.rtd",,"LAST","."&amp;I$2&amp;I$1&amp;"C"&amp;$A15)-100*RTD("tos.rtd",,"VOLUME","."&amp;I$2&amp;I$1&amp;"P"&amp;$A15)*RTD("tos.rtd",,"LAST","."&amp;I$2&amp;I$1&amp;"P"&amp;$A15))/1000000),0),IF($A$2="DEX",IFERROR(IF($X$1="ABS",(100*RTD("tos.rtd",,"OPEN_INT","."&amp;I$2&amp;I$1&amp;"C"&amp;$A15)*RTD("tos.rtd",,"DELTA","."&amp;I$2&amp;I$1&amp;"C"&amp;$A15)+100*RTD("tos.rtd",,"OPEN_INT","."&amp;I$2&amp;I$1&amp;"P"&amp;$A15)*RTD("tos.rtd",,"DELTA","."&amp;I$2&amp;I$1&amp;"P"&amp;$A15))/1000,(100*RTD("tos.rtd",,"OPEN_INT","."&amp;I$2&amp;I$1&amp;"C"&amp;$A15)*RTD("tos.rtd",,"DELTA","."&amp;I$2&amp;I$1&amp;"C"&amp;$A15)-100*RTD("tos.rtd",,"OPEN_INT","."&amp;I$2&amp;I$1&amp;"P"&amp;$A15)*RTD("tos.rtd",,"DELTA","."&amp;I$2&amp;I$1&amp;"P"&amp;$A15))/1000),0),IF($A$2="VEX",IFERROR(IF($X$1="ABS",($A$4*$A$4*RTD("tos.rtd",,"VOLUME","."&amp;I$2&amp;I$1&amp;"C"&amp;$A15)*RTD("tos.rtd",,"GAMMA","."&amp;I$2&amp;I$1&amp;"C"&amp;$A15)+$A$4*$A$4*RTD("tos.rtd",,"VOLUME","."&amp;I$2&amp;I$1&amp;"P"&amp;$A15)*RTD("tos.rtd",,"GAMMA","."&amp;I$2&amp;I$1&amp;"P"&amp;$A15))/1000000,($A$4*$A$4*RTD("tos.rtd",,"VOLUME","."&amp;I$2&amp;I$1&amp;"C"&amp;$A15)*RTD("tos.rtd",,"GAMMA","."&amp;I$2&amp;I$1&amp;"C"&amp;$A15)-$A$4*$A$4*RTD("tos.rtd",,"VOLUME","."&amp;I$2&amp;I$1&amp;"P"&amp;$A15)*RTD("tos.rtd",,"GAMMA","."&amp;I$2&amp;I$1&amp;"P"&amp;$A15))/1000000),0),IF($A$2="GEX",IFERROR(IF($X$1="ABS",($A$4*$A$4*RTD("tos.rtd",,"OPEN_INT","."&amp;I$2&amp;I$1&amp;"C"&amp;$A15)*RTD("tos.rtd",,"GAMMA","."&amp;I$2&amp;I$1&amp;"C"&amp;$A15)+$A$4*$A$4*RTD("tos.rtd",,"OPEN_INT","."&amp;I$2&amp;I$1&amp;"P"&amp;$A15)*RTD("tos.rtd",,"GAMMA","."&amp;I$2&amp;I$1&amp;"P"&amp;$A15))/1000000,($A$4*$A$4*RTD("tos.rtd",,"OPEN_INT","."&amp;I$2&amp;I$1&amp;"C"&amp;$A15)*RTD("tos.rtd",,"GAMMA","."&amp;I$2&amp;I$1&amp;"C"&amp;$A15)-$A$4*$A$4*RTD("tos.rtd",,"OPEN_INT","."&amp;I$2&amp;I$1&amp;"P"&amp;$A15)*RTD("tos.rtd",,"GAMMA","."&amp;I$2&amp;I$1&amp;"P"&amp;$A15))/1000000),0),IF($A$2="SKEW",IFERROR(VALUE(IF(RTD("tos.rtd",,"IMPL_VOL","."&amp;I$2&amp;I$1&amp;"P"&amp;$A15)="N/A",0,RTD("tos.rtd",,"IMPL_VOL","."&amp;I$2&amp;I$1&amp;"P"&amp;$A15))),0)-IFERROR(VALUE(IF(RTD("tos.rtd",,"IMPL_VOL","."&amp;I$2&amp;I$1&amp;"C"&amp;$A15)="N/A",0,RTD("tos.rtd",,"IMPL_VOL","."&amp;I$2&amp;I$1&amp;"C"&amp;$A15))),0),IF($A$2="MAXPAIN",IF($A$4&gt;$A15,($A$4-$A15)*IF(RTD("tos.rtd",,"OPEN_INT","."&amp;I$2&amp;I$1&amp;"C"&amp;$A15)="N/A",0,RTD("tos.rtd",,"OPEN_INT","."&amp;I$2&amp;I$1&amp;"C"&amp;$A15)),0)+IF($A$4&lt;$A15,($A$5-$A$4)*IF(RTD("tos.rtd",,"OPEN_INT","."&amp;I$2&amp;I$1&amp;"P"&amp;$A15)="N/A",0,RTD("tos.rtd",,"OPEN_INT","."&amp;I$2&amp;I$1&amp;"P"&amp;$A15)),0),IF($X$1="ABS",IF(RTD("tos.rtd",,$A$2,"."&amp;I$2&amp;I$1&amp;"C"&amp;$A15)="N/A",0,RTD("tos.rtd",,$A$2,"."&amp;I$2&amp;I$1&amp;"C"&amp;$A15))+IF(RTD("tos.rtd",,$A$2,"."&amp;I$2&amp;I$1&amp;"P"&amp;$A15)="N/A",0,RTD("tos.rtd",,$A$2,"."&amp;I$2&amp;I$1&amp;"P"&amp;$A15)),IF(RTD("tos.rtd",,$A$2,"."&amp;I$2&amp;I$1&amp;"C"&amp;$A15)="N/A",0,RTD("tos.rtd",,$A$2,"."&amp;I$2&amp;I$1&amp;"C"&amp;$A15))-IF(RTD("tos.rtd",,$A$2,"."&amp;I$2&amp;I$1&amp;"P"&amp;$A15)="N/A",0,RTD("tos.rtd",,$A$2,"."&amp;I$2&amp;I$1&amp;"P"&amp;$A15))))))))))</f>
        <v>0</v>
      </c>
      <c r="J15" s="12">
        <f ca="1">IF($A$2="PREMIUM_OI",IFERROR(IF($X$1="ABS",(100*RTD("tos.rtd",,"OPEN_INT","."&amp;J$2&amp;J$1&amp;"C"&amp;$A15)*RTD("tos.rtd",,"LAST","."&amp;J$2&amp;J$1&amp;"C"&amp;$A15)+100*RTD("tos.rtd",,"OPEN_INT","."&amp;J$2&amp;J$1&amp;"P"&amp;$A15)*RTD("tos.rtd",,"LAST","."&amp;J$2&amp;J$1&amp;"P"&amp;$A15))/1000000,(100*RTD("tos.rtd",,"OPEN_INT","."&amp;J$2&amp;J$1&amp;"C"&amp;$A15)*RTD("tos.rtd",,"LAST","."&amp;J$2&amp;J$1&amp;"C"&amp;$A15)-100*RTD("tos.rtd",,"OPEN_INT","."&amp;J$2&amp;J$1&amp;"P"&amp;$A15)*RTD("tos.rtd",,"LAST","."&amp;J$2&amp;J$1&amp;"P"&amp;$A15))/1000000),0),IF($A$2="PREMIUM",IFERROR(IF($X$1="ABS",(100*RTD("tos.rtd",,"VOLUME","."&amp;J$2&amp;J$1&amp;"C"&amp;$A15)*RTD("tos.rtd",,"LAST","."&amp;J$2&amp;J$1&amp;"C"&amp;$A15)+100*RTD("tos.rtd",,"VOLUME","."&amp;J$2&amp;J$1&amp;"P"&amp;$A15)*RTD("tos.rtd",,"LAST","."&amp;J$2&amp;J$1&amp;"P"&amp;$A15))/1000000,(100*RTD("tos.rtd",,"VOLUME","."&amp;J$2&amp;J$1&amp;"C"&amp;$A15)*RTD("tos.rtd",,"LAST","."&amp;J$2&amp;J$1&amp;"C"&amp;$A15)-100*RTD("tos.rtd",,"VOLUME","."&amp;J$2&amp;J$1&amp;"P"&amp;$A15)*RTD("tos.rtd",,"LAST","."&amp;J$2&amp;J$1&amp;"P"&amp;$A15))/1000000),0),IF($A$2="DEX",IFERROR(IF($X$1="ABS",(100*RTD("tos.rtd",,"OPEN_INT","."&amp;J$2&amp;J$1&amp;"C"&amp;$A15)*RTD("tos.rtd",,"DELTA","."&amp;J$2&amp;J$1&amp;"C"&amp;$A15)+100*RTD("tos.rtd",,"OPEN_INT","."&amp;J$2&amp;J$1&amp;"P"&amp;$A15)*RTD("tos.rtd",,"DELTA","."&amp;J$2&amp;J$1&amp;"P"&amp;$A15))/1000,(100*RTD("tos.rtd",,"OPEN_INT","."&amp;J$2&amp;J$1&amp;"C"&amp;$A15)*RTD("tos.rtd",,"DELTA","."&amp;J$2&amp;J$1&amp;"C"&amp;$A15)-100*RTD("tos.rtd",,"OPEN_INT","."&amp;J$2&amp;J$1&amp;"P"&amp;$A15)*RTD("tos.rtd",,"DELTA","."&amp;J$2&amp;J$1&amp;"P"&amp;$A15))/1000),0),IF($A$2="VEX",IFERROR(IF($X$1="ABS",($A$4*$A$4*RTD("tos.rtd",,"VOLUME","."&amp;J$2&amp;J$1&amp;"C"&amp;$A15)*RTD("tos.rtd",,"GAMMA","."&amp;J$2&amp;J$1&amp;"C"&amp;$A15)+$A$4*$A$4*RTD("tos.rtd",,"VOLUME","."&amp;J$2&amp;J$1&amp;"P"&amp;$A15)*RTD("tos.rtd",,"GAMMA","."&amp;J$2&amp;J$1&amp;"P"&amp;$A15))/1000000,($A$4*$A$4*RTD("tos.rtd",,"VOLUME","."&amp;J$2&amp;J$1&amp;"C"&amp;$A15)*RTD("tos.rtd",,"GAMMA","."&amp;J$2&amp;J$1&amp;"C"&amp;$A15)-$A$4*$A$4*RTD("tos.rtd",,"VOLUME","."&amp;J$2&amp;J$1&amp;"P"&amp;$A15)*RTD("tos.rtd",,"GAMMA","."&amp;J$2&amp;J$1&amp;"P"&amp;$A15))/1000000),0),IF($A$2="GEX",IFERROR(IF($X$1="ABS",($A$4*$A$4*RTD("tos.rtd",,"OPEN_INT","."&amp;J$2&amp;J$1&amp;"C"&amp;$A15)*RTD("tos.rtd",,"GAMMA","."&amp;J$2&amp;J$1&amp;"C"&amp;$A15)+$A$4*$A$4*RTD("tos.rtd",,"OPEN_INT","."&amp;J$2&amp;J$1&amp;"P"&amp;$A15)*RTD("tos.rtd",,"GAMMA","."&amp;J$2&amp;J$1&amp;"P"&amp;$A15))/1000000,($A$4*$A$4*RTD("tos.rtd",,"OPEN_INT","."&amp;J$2&amp;J$1&amp;"C"&amp;$A15)*RTD("tos.rtd",,"GAMMA","."&amp;J$2&amp;J$1&amp;"C"&amp;$A15)-$A$4*$A$4*RTD("tos.rtd",,"OPEN_INT","."&amp;J$2&amp;J$1&amp;"P"&amp;$A15)*RTD("tos.rtd",,"GAMMA","."&amp;J$2&amp;J$1&amp;"P"&amp;$A15))/1000000),0),IF($A$2="SKEW",IFERROR(VALUE(IF(RTD("tos.rtd",,"IMPL_VOL","."&amp;J$2&amp;J$1&amp;"P"&amp;$A15)="N/A",0,RTD("tos.rtd",,"IMPL_VOL","."&amp;J$2&amp;J$1&amp;"P"&amp;$A15))),0)-IFERROR(VALUE(IF(RTD("tos.rtd",,"IMPL_VOL","."&amp;J$2&amp;J$1&amp;"C"&amp;$A15)="N/A",0,RTD("tos.rtd",,"IMPL_VOL","."&amp;J$2&amp;J$1&amp;"C"&amp;$A15))),0),IF($A$2="MAXPAIN",IF($A$4&gt;$A15,($A$4-$A15)*IF(RTD("tos.rtd",,"OPEN_INT","."&amp;J$2&amp;J$1&amp;"C"&amp;$A15)="N/A",0,RTD("tos.rtd",,"OPEN_INT","."&amp;J$2&amp;J$1&amp;"C"&amp;$A15)),0)+IF($A$4&lt;$A15,($A$5-$A$4)*IF(RTD("tos.rtd",,"OPEN_INT","."&amp;J$2&amp;J$1&amp;"P"&amp;$A15)="N/A",0,RTD("tos.rtd",,"OPEN_INT","."&amp;J$2&amp;J$1&amp;"P"&amp;$A15)),0),IF($X$1="ABS",IF(RTD("tos.rtd",,$A$2,"."&amp;J$2&amp;J$1&amp;"C"&amp;$A15)="N/A",0,RTD("tos.rtd",,$A$2,"."&amp;J$2&amp;J$1&amp;"C"&amp;$A15))+IF(RTD("tos.rtd",,$A$2,"."&amp;J$2&amp;J$1&amp;"P"&amp;$A15)="N/A",0,RTD("tos.rtd",,$A$2,"."&amp;J$2&amp;J$1&amp;"P"&amp;$A15)),IF(RTD("tos.rtd",,$A$2,"."&amp;J$2&amp;J$1&amp;"C"&amp;$A15)="N/A",0,RTD("tos.rtd",,$A$2,"."&amp;J$2&amp;J$1&amp;"C"&amp;$A15))-IF(RTD("tos.rtd",,$A$2,"."&amp;J$2&amp;J$1&amp;"P"&amp;$A15)="N/A",0,RTD("tos.rtd",,$A$2,"."&amp;J$2&amp;J$1&amp;"P"&amp;$A15))))))))))</f>
        <v>0</v>
      </c>
      <c r="K15" s="12">
        <f ca="1">IF($A$2="PREMIUM_OI",IFERROR(IF($X$1="ABS",(100*RTD("tos.rtd",,"OPEN_INT","."&amp;K$2&amp;K$1&amp;"C"&amp;$A15)*RTD("tos.rtd",,"LAST","."&amp;K$2&amp;K$1&amp;"C"&amp;$A15)+100*RTD("tos.rtd",,"OPEN_INT","."&amp;K$2&amp;K$1&amp;"P"&amp;$A15)*RTD("tos.rtd",,"LAST","."&amp;K$2&amp;K$1&amp;"P"&amp;$A15))/1000000,(100*RTD("tos.rtd",,"OPEN_INT","."&amp;K$2&amp;K$1&amp;"C"&amp;$A15)*RTD("tos.rtd",,"LAST","."&amp;K$2&amp;K$1&amp;"C"&amp;$A15)-100*RTD("tos.rtd",,"OPEN_INT","."&amp;K$2&amp;K$1&amp;"P"&amp;$A15)*RTD("tos.rtd",,"LAST","."&amp;K$2&amp;K$1&amp;"P"&amp;$A15))/1000000),0),IF($A$2="PREMIUM",IFERROR(IF($X$1="ABS",(100*RTD("tos.rtd",,"VOLUME","."&amp;K$2&amp;K$1&amp;"C"&amp;$A15)*RTD("tos.rtd",,"LAST","."&amp;K$2&amp;K$1&amp;"C"&amp;$A15)+100*RTD("tos.rtd",,"VOLUME","."&amp;K$2&amp;K$1&amp;"P"&amp;$A15)*RTD("tos.rtd",,"LAST","."&amp;K$2&amp;K$1&amp;"P"&amp;$A15))/1000000,(100*RTD("tos.rtd",,"VOLUME","."&amp;K$2&amp;K$1&amp;"C"&amp;$A15)*RTD("tos.rtd",,"LAST","."&amp;K$2&amp;K$1&amp;"C"&amp;$A15)-100*RTD("tos.rtd",,"VOLUME","."&amp;K$2&amp;K$1&amp;"P"&amp;$A15)*RTD("tos.rtd",,"LAST","."&amp;K$2&amp;K$1&amp;"P"&amp;$A15))/1000000),0),IF($A$2="DEX",IFERROR(IF($X$1="ABS",(100*RTD("tos.rtd",,"OPEN_INT","."&amp;K$2&amp;K$1&amp;"C"&amp;$A15)*RTD("tos.rtd",,"DELTA","."&amp;K$2&amp;K$1&amp;"C"&amp;$A15)+100*RTD("tos.rtd",,"OPEN_INT","."&amp;K$2&amp;K$1&amp;"P"&amp;$A15)*RTD("tos.rtd",,"DELTA","."&amp;K$2&amp;K$1&amp;"P"&amp;$A15))/1000,(100*RTD("tos.rtd",,"OPEN_INT","."&amp;K$2&amp;K$1&amp;"C"&amp;$A15)*RTD("tos.rtd",,"DELTA","."&amp;K$2&amp;K$1&amp;"C"&amp;$A15)-100*RTD("tos.rtd",,"OPEN_INT","."&amp;K$2&amp;K$1&amp;"P"&amp;$A15)*RTD("tos.rtd",,"DELTA","."&amp;K$2&amp;K$1&amp;"P"&amp;$A15))/1000),0),IF($A$2="VEX",IFERROR(IF($X$1="ABS",($A$4*$A$4*RTD("tos.rtd",,"VOLUME","."&amp;K$2&amp;K$1&amp;"C"&amp;$A15)*RTD("tos.rtd",,"GAMMA","."&amp;K$2&amp;K$1&amp;"C"&amp;$A15)+$A$4*$A$4*RTD("tos.rtd",,"VOLUME","."&amp;K$2&amp;K$1&amp;"P"&amp;$A15)*RTD("tos.rtd",,"GAMMA","."&amp;K$2&amp;K$1&amp;"P"&amp;$A15))/1000000,($A$4*$A$4*RTD("tos.rtd",,"VOLUME","."&amp;K$2&amp;K$1&amp;"C"&amp;$A15)*RTD("tos.rtd",,"GAMMA","."&amp;K$2&amp;K$1&amp;"C"&amp;$A15)-$A$4*$A$4*RTD("tos.rtd",,"VOLUME","."&amp;K$2&amp;K$1&amp;"P"&amp;$A15)*RTD("tos.rtd",,"GAMMA","."&amp;K$2&amp;K$1&amp;"P"&amp;$A15))/1000000),0),IF($A$2="GEX",IFERROR(IF($X$1="ABS",($A$4*$A$4*RTD("tos.rtd",,"OPEN_INT","."&amp;K$2&amp;K$1&amp;"C"&amp;$A15)*RTD("tos.rtd",,"GAMMA","."&amp;K$2&amp;K$1&amp;"C"&amp;$A15)+$A$4*$A$4*RTD("tos.rtd",,"OPEN_INT","."&amp;K$2&amp;K$1&amp;"P"&amp;$A15)*RTD("tos.rtd",,"GAMMA","."&amp;K$2&amp;K$1&amp;"P"&amp;$A15))/1000000,($A$4*$A$4*RTD("tos.rtd",,"OPEN_INT","."&amp;K$2&amp;K$1&amp;"C"&amp;$A15)*RTD("tos.rtd",,"GAMMA","."&amp;K$2&amp;K$1&amp;"C"&amp;$A15)-$A$4*$A$4*RTD("tos.rtd",,"OPEN_INT","."&amp;K$2&amp;K$1&amp;"P"&amp;$A15)*RTD("tos.rtd",,"GAMMA","."&amp;K$2&amp;K$1&amp;"P"&amp;$A15))/1000000),0),IF($A$2="SKEW",IFERROR(VALUE(IF(RTD("tos.rtd",,"IMPL_VOL","."&amp;K$2&amp;K$1&amp;"P"&amp;$A15)="N/A",0,RTD("tos.rtd",,"IMPL_VOL","."&amp;K$2&amp;K$1&amp;"P"&amp;$A15))),0)-IFERROR(VALUE(IF(RTD("tos.rtd",,"IMPL_VOL","."&amp;K$2&amp;K$1&amp;"C"&amp;$A15)="N/A",0,RTD("tos.rtd",,"IMPL_VOL","."&amp;K$2&amp;K$1&amp;"C"&amp;$A15))),0),IF($A$2="MAXPAIN",IF($A$4&gt;$A15,($A$4-$A15)*IF(RTD("tos.rtd",,"OPEN_INT","."&amp;K$2&amp;K$1&amp;"C"&amp;$A15)="N/A",0,RTD("tos.rtd",,"OPEN_INT","."&amp;K$2&amp;K$1&amp;"C"&amp;$A15)),0)+IF($A$4&lt;$A15,($A$5-$A$4)*IF(RTD("tos.rtd",,"OPEN_INT","."&amp;K$2&amp;K$1&amp;"P"&amp;$A15)="N/A",0,RTD("tos.rtd",,"OPEN_INT","."&amp;K$2&amp;K$1&amp;"P"&amp;$A15)),0),IF($X$1="ABS",IF(RTD("tos.rtd",,$A$2,"."&amp;K$2&amp;K$1&amp;"C"&amp;$A15)="N/A",0,RTD("tos.rtd",,$A$2,"."&amp;K$2&amp;K$1&amp;"C"&amp;$A15))+IF(RTD("tos.rtd",,$A$2,"."&amp;K$2&amp;K$1&amp;"P"&amp;$A15)="N/A",0,RTD("tos.rtd",,$A$2,"."&amp;K$2&amp;K$1&amp;"P"&amp;$A15)),IF(RTD("tos.rtd",,$A$2,"."&amp;K$2&amp;K$1&amp;"C"&amp;$A15)="N/A",0,RTD("tos.rtd",,$A$2,"."&amp;K$2&amp;K$1&amp;"C"&amp;$A15))-IF(RTD("tos.rtd",,$A$2,"."&amp;K$2&amp;K$1&amp;"P"&amp;$A15)="N/A",0,RTD("tos.rtd",,$A$2,"."&amp;K$2&amp;K$1&amp;"P"&amp;$A15))))))))))</f>
        <v>0</v>
      </c>
      <c r="L15" s="54">
        <f ca="1">IF($A$2="PREMIUM_OI",IFERROR(IF($X$1="ABS",(100*RTD("tos.rtd",,"OPEN_INT","."&amp;L$2&amp;L$1&amp;"C"&amp;$A15)*RTD("tos.rtd",,"LAST","."&amp;L$2&amp;L$1&amp;"C"&amp;$A15)+100*RTD("tos.rtd",,"OPEN_INT","."&amp;L$2&amp;L$1&amp;"P"&amp;$A15)*RTD("tos.rtd",,"LAST","."&amp;L$2&amp;L$1&amp;"P"&amp;$A15))/1000000,(100*RTD("tos.rtd",,"OPEN_INT","."&amp;L$2&amp;L$1&amp;"C"&amp;$A15)*RTD("tos.rtd",,"LAST","."&amp;L$2&amp;L$1&amp;"C"&amp;$A15)-100*RTD("tos.rtd",,"OPEN_INT","."&amp;L$2&amp;L$1&amp;"P"&amp;$A15)*RTD("tos.rtd",,"LAST","."&amp;L$2&amp;L$1&amp;"P"&amp;$A15))/1000000),0),IF($A$2="PREMIUM",IFERROR(IF($X$1="ABS",(100*RTD("tos.rtd",,"VOLUME","."&amp;L$2&amp;L$1&amp;"C"&amp;$A15)*RTD("tos.rtd",,"LAST","."&amp;L$2&amp;L$1&amp;"C"&amp;$A15)+100*RTD("tos.rtd",,"VOLUME","."&amp;L$2&amp;L$1&amp;"P"&amp;$A15)*RTD("tos.rtd",,"LAST","."&amp;L$2&amp;L$1&amp;"P"&amp;$A15))/1000000,(100*RTD("tos.rtd",,"VOLUME","."&amp;L$2&amp;L$1&amp;"C"&amp;$A15)*RTD("tos.rtd",,"LAST","."&amp;L$2&amp;L$1&amp;"C"&amp;$A15)-100*RTD("tos.rtd",,"VOLUME","."&amp;L$2&amp;L$1&amp;"P"&amp;$A15)*RTD("tos.rtd",,"LAST","."&amp;L$2&amp;L$1&amp;"P"&amp;$A15))/1000000),0),IF($A$2="DEX",IFERROR(IF($X$1="ABS",(100*RTD("tos.rtd",,"OPEN_INT","."&amp;L$2&amp;L$1&amp;"C"&amp;$A15)*RTD("tos.rtd",,"DELTA","."&amp;L$2&amp;L$1&amp;"C"&amp;$A15)+100*RTD("tos.rtd",,"OPEN_INT","."&amp;L$2&amp;L$1&amp;"P"&amp;$A15)*RTD("tos.rtd",,"DELTA","."&amp;L$2&amp;L$1&amp;"P"&amp;$A15))/1000,(100*RTD("tos.rtd",,"OPEN_INT","."&amp;L$2&amp;L$1&amp;"C"&amp;$A15)*RTD("tos.rtd",,"DELTA","."&amp;L$2&amp;L$1&amp;"C"&amp;$A15)-100*RTD("tos.rtd",,"OPEN_INT","."&amp;L$2&amp;L$1&amp;"P"&amp;$A15)*RTD("tos.rtd",,"DELTA","."&amp;L$2&amp;L$1&amp;"P"&amp;$A15))/1000),0),IF($A$2="VEX",IFERROR(IF($X$1="ABS",($A$4*$A$4*RTD("tos.rtd",,"VOLUME","."&amp;L$2&amp;L$1&amp;"C"&amp;$A15)*RTD("tos.rtd",,"GAMMA","."&amp;L$2&amp;L$1&amp;"C"&amp;$A15)+$A$4*$A$4*RTD("tos.rtd",,"VOLUME","."&amp;L$2&amp;L$1&amp;"P"&amp;$A15)*RTD("tos.rtd",,"GAMMA","."&amp;L$2&amp;L$1&amp;"P"&amp;$A15))/1000000,($A$4*$A$4*RTD("tos.rtd",,"VOLUME","."&amp;L$2&amp;L$1&amp;"C"&amp;$A15)*RTD("tos.rtd",,"GAMMA","."&amp;L$2&amp;L$1&amp;"C"&amp;$A15)-$A$4*$A$4*RTD("tos.rtd",,"VOLUME","."&amp;L$2&amp;L$1&amp;"P"&amp;$A15)*RTD("tos.rtd",,"GAMMA","."&amp;L$2&amp;L$1&amp;"P"&amp;$A15))/1000000),0),IF($A$2="GEX",IFERROR(IF($X$1="ABS",($A$4*$A$4*RTD("tos.rtd",,"OPEN_INT","."&amp;L$2&amp;L$1&amp;"C"&amp;$A15)*RTD("tos.rtd",,"GAMMA","."&amp;L$2&amp;L$1&amp;"C"&amp;$A15)+$A$4*$A$4*RTD("tos.rtd",,"OPEN_INT","."&amp;L$2&amp;L$1&amp;"P"&amp;$A15)*RTD("tos.rtd",,"GAMMA","."&amp;L$2&amp;L$1&amp;"P"&amp;$A15))/1000000,($A$4*$A$4*RTD("tos.rtd",,"OPEN_INT","."&amp;L$2&amp;L$1&amp;"C"&amp;$A15)*RTD("tos.rtd",,"GAMMA","."&amp;L$2&amp;L$1&amp;"C"&amp;$A15)-$A$4*$A$4*RTD("tos.rtd",,"OPEN_INT","."&amp;L$2&amp;L$1&amp;"P"&amp;$A15)*RTD("tos.rtd",,"GAMMA","."&amp;L$2&amp;L$1&amp;"P"&amp;$A15))/1000000),0),IF($A$2="SKEW",IFERROR(VALUE(IF(RTD("tos.rtd",,"IMPL_VOL","."&amp;L$2&amp;L$1&amp;"P"&amp;$A15)="N/A",0,RTD("tos.rtd",,"IMPL_VOL","."&amp;L$2&amp;L$1&amp;"P"&amp;$A15))),0)-IFERROR(VALUE(IF(RTD("tos.rtd",,"IMPL_VOL","."&amp;L$2&amp;L$1&amp;"C"&amp;$A15)="N/A",0,RTD("tos.rtd",,"IMPL_VOL","."&amp;L$2&amp;L$1&amp;"C"&amp;$A15))),0),IF($A$2="MAXPAIN",IF($A$4&gt;$A15,($A$4-$A15)*IF(RTD("tos.rtd",,"OPEN_INT","."&amp;L$2&amp;L$1&amp;"C"&amp;$A15)="N/A",0,RTD("tos.rtd",,"OPEN_INT","."&amp;L$2&amp;L$1&amp;"C"&amp;$A15)),0)+IF($A$4&lt;$A15,($A$5-$A$4)*IF(RTD("tos.rtd",,"OPEN_INT","."&amp;L$2&amp;L$1&amp;"P"&amp;$A15)="N/A",0,RTD("tos.rtd",,"OPEN_INT","."&amp;L$2&amp;L$1&amp;"P"&amp;$A15)),0),IF($X$1="ABS",IF(RTD("tos.rtd",,$A$2,"."&amp;L$2&amp;L$1&amp;"C"&amp;$A15)="N/A",0,RTD("tos.rtd",,$A$2,"."&amp;L$2&amp;L$1&amp;"C"&amp;$A15))+IF(RTD("tos.rtd",,$A$2,"."&amp;L$2&amp;L$1&amp;"P"&amp;$A15)="N/A",0,RTD("tos.rtd",,$A$2,"."&amp;L$2&amp;L$1&amp;"P"&amp;$A15)),IF(RTD("tos.rtd",,$A$2,"."&amp;L$2&amp;L$1&amp;"C"&amp;$A15)="N/A",0,RTD("tos.rtd",,$A$2,"."&amp;L$2&amp;L$1&amp;"C"&amp;$A15))-IF(RTD("tos.rtd",,$A$2,"."&amp;L$2&amp;L$1&amp;"P"&amp;$A15)="N/A",0,RTD("tos.rtd",,$A$2,"."&amp;L$2&amp;L$1&amp;"P"&amp;$A15))))))))))</f>
        <v>0</v>
      </c>
      <c r="M15" s="12">
        <f ca="1">IF($A$2="PREMIUM_OI",IFERROR(IF($X$1="ABS",(100*RTD("tos.rtd",,"OPEN_INT","."&amp;M$2&amp;M$1&amp;"C"&amp;$A15)*RTD("tos.rtd",,"LAST","."&amp;M$2&amp;M$1&amp;"C"&amp;$A15)+100*RTD("tos.rtd",,"OPEN_INT","."&amp;M$2&amp;M$1&amp;"P"&amp;$A15)*RTD("tos.rtd",,"LAST","."&amp;M$2&amp;M$1&amp;"P"&amp;$A15))/1000000,(100*RTD("tos.rtd",,"OPEN_INT","."&amp;M$2&amp;M$1&amp;"C"&amp;$A15)*RTD("tos.rtd",,"LAST","."&amp;M$2&amp;M$1&amp;"C"&amp;$A15)-100*RTD("tos.rtd",,"OPEN_INT","."&amp;M$2&amp;M$1&amp;"P"&amp;$A15)*RTD("tos.rtd",,"LAST","."&amp;M$2&amp;M$1&amp;"P"&amp;$A15))/1000000),0),IF($A$2="PREMIUM",IFERROR(IF($X$1="ABS",(100*RTD("tos.rtd",,"VOLUME","."&amp;M$2&amp;M$1&amp;"C"&amp;$A15)*RTD("tos.rtd",,"LAST","."&amp;M$2&amp;M$1&amp;"C"&amp;$A15)+100*RTD("tos.rtd",,"VOLUME","."&amp;M$2&amp;M$1&amp;"P"&amp;$A15)*RTD("tos.rtd",,"LAST","."&amp;M$2&amp;M$1&amp;"P"&amp;$A15))/1000000,(100*RTD("tos.rtd",,"VOLUME","."&amp;M$2&amp;M$1&amp;"C"&amp;$A15)*RTD("tos.rtd",,"LAST","."&amp;M$2&amp;M$1&amp;"C"&amp;$A15)-100*RTD("tos.rtd",,"VOLUME","."&amp;M$2&amp;M$1&amp;"P"&amp;$A15)*RTD("tos.rtd",,"LAST","."&amp;M$2&amp;M$1&amp;"P"&amp;$A15))/1000000),0),IF($A$2="DEX",IFERROR(IF($X$1="ABS",(100*RTD("tos.rtd",,"OPEN_INT","."&amp;M$2&amp;M$1&amp;"C"&amp;$A15)*RTD("tos.rtd",,"DELTA","."&amp;M$2&amp;M$1&amp;"C"&amp;$A15)+100*RTD("tos.rtd",,"OPEN_INT","."&amp;M$2&amp;M$1&amp;"P"&amp;$A15)*RTD("tos.rtd",,"DELTA","."&amp;M$2&amp;M$1&amp;"P"&amp;$A15))/1000,(100*RTD("tos.rtd",,"OPEN_INT","."&amp;M$2&amp;M$1&amp;"C"&amp;$A15)*RTD("tos.rtd",,"DELTA","."&amp;M$2&amp;M$1&amp;"C"&amp;$A15)-100*RTD("tos.rtd",,"OPEN_INT","."&amp;M$2&amp;M$1&amp;"P"&amp;$A15)*RTD("tos.rtd",,"DELTA","."&amp;M$2&amp;M$1&amp;"P"&amp;$A15))/1000),0),IF($A$2="VEX",IFERROR(IF($X$1="ABS",($A$4*$A$4*RTD("tos.rtd",,"VOLUME","."&amp;M$2&amp;M$1&amp;"C"&amp;$A15)*RTD("tos.rtd",,"GAMMA","."&amp;M$2&amp;M$1&amp;"C"&amp;$A15)+$A$4*$A$4*RTD("tos.rtd",,"VOLUME","."&amp;M$2&amp;M$1&amp;"P"&amp;$A15)*RTD("tos.rtd",,"GAMMA","."&amp;M$2&amp;M$1&amp;"P"&amp;$A15))/1000000,($A$4*$A$4*RTD("tos.rtd",,"VOLUME","."&amp;M$2&amp;M$1&amp;"C"&amp;$A15)*RTD("tos.rtd",,"GAMMA","."&amp;M$2&amp;M$1&amp;"C"&amp;$A15)-$A$4*$A$4*RTD("tos.rtd",,"VOLUME","."&amp;M$2&amp;M$1&amp;"P"&amp;$A15)*RTD("tos.rtd",,"GAMMA","."&amp;M$2&amp;M$1&amp;"P"&amp;$A15))/1000000),0),IF($A$2="GEX",IFERROR(IF($X$1="ABS",($A$4*$A$4*RTD("tos.rtd",,"OPEN_INT","."&amp;M$2&amp;M$1&amp;"C"&amp;$A15)*RTD("tos.rtd",,"GAMMA","."&amp;M$2&amp;M$1&amp;"C"&amp;$A15)+$A$4*$A$4*RTD("tos.rtd",,"OPEN_INT","."&amp;M$2&amp;M$1&amp;"P"&amp;$A15)*RTD("tos.rtd",,"GAMMA","."&amp;M$2&amp;M$1&amp;"P"&amp;$A15))/1000000,($A$4*$A$4*RTD("tos.rtd",,"OPEN_INT","."&amp;M$2&amp;M$1&amp;"C"&amp;$A15)*RTD("tos.rtd",,"GAMMA","."&amp;M$2&amp;M$1&amp;"C"&amp;$A15)-$A$4*$A$4*RTD("tos.rtd",,"OPEN_INT","."&amp;M$2&amp;M$1&amp;"P"&amp;$A15)*RTD("tos.rtd",,"GAMMA","."&amp;M$2&amp;M$1&amp;"P"&amp;$A15))/1000000),0),IF($A$2="SKEW",IFERROR(VALUE(IF(RTD("tos.rtd",,"IMPL_VOL","."&amp;M$2&amp;M$1&amp;"P"&amp;$A15)="N/A",0,RTD("tos.rtd",,"IMPL_VOL","."&amp;M$2&amp;M$1&amp;"P"&amp;$A15))),0)-IFERROR(VALUE(IF(RTD("tos.rtd",,"IMPL_VOL","."&amp;M$2&amp;M$1&amp;"C"&amp;$A15)="N/A",0,RTD("tos.rtd",,"IMPL_VOL","."&amp;M$2&amp;M$1&amp;"C"&amp;$A15))),0),IF($A$2="MAXPAIN",IF($A$4&gt;$A15,($A$4-$A15)*IF(RTD("tos.rtd",,"OPEN_INT","."&amp;M$2&amp;M$1&amp;"C"&amp;$A15)="N/A",0,RTD("tos.rtd",,"OPEN_INT","."&amp;M$2&amp;M$1&amp;"C"&amp;$A15)),0)+IF($A$4&lt;$A15,($A$5-$A$4)*IF(RTD("tos.rtd",,"OPEN_INT","."&amp;M$2&amp;M$1&amp;"P"&amp;$A15)="N/A",0,RTD("tos.rtd",,"OPEN_INT","."&amp;M$2&amp;M$1&amp;"P"&amp;$A15)),0),IF($X$1="ABS",IF(RTD("tos.rtd",,$A$2,"."&amp;M$2&amp;M$1&amp;"C"&amp;$A15)="N/A",0,RTD("tos.rtd",,$A$2,"."&amp;M$2&amp;M$1&amp;"C"&amp;$A15))+IF(RTD("tos.rtd",,$A$2,"."&amp;M$2&amp;M$1&amp;"P"&amp;$A15)="N/A",0,RTD("tos.rtd",,$A$2,"."&amp;M$2&amp;M$1&amp;"P"&amp;$A15)),IF(RTD("tos.rtd",,$A$2,"."&amp;M$2&amp;M$1&amp;"C"&amp;$A15)="N/A",0,RTD("tos.rtd",,$A$2,"."&amp;M$2&amp;M$1&amp;"C"&amp;$A15))-IF(RTD("tos.rtd",,$A$2,"."&amp;M$2&amp;M$1&amp;"P"&amp;$A15)="N/A",0,RTD("tos.rtd",,$A$2,"."&amp;M$2&amp;M$1&amp;"P"&amp;$A15))))))))))</f>
        <v>0</v>
      </c>
      <c r="N15" s="12">
        <f ca="1">IF($A$2="PREMIUM_OI",IFERROR(IF($X$1="ABS",(100*RTD("tos.rtd",,"OPEN_INT","."&amp;N$2&amp;N$1&amp;"C"&amp;$A15)*RTD("tos.rtd",,"LAST","."&amp;N$2&amp;N$1&amp;"C"&amp;$A15)+100*RTD("tos.rtd",,"OPEN_INT","."&amp;N$2&amp;N$1&amp;"P"&amp;$A15)*RTD("tos.rtd",,"LAST","."&amp;N$2&amp;N$1&amp;"P"&amp;$A15))/1000000,(100*RTD("tos.rtd",,"OPEN_INT","."&amp;N$2&amp;N$1&amp;"C"&amp;$A15)*RTD("tos.rtd",,"LAST","."&amp;N$2&amp;N$1&amp;"C"&amp;$A15)-100*RTD("tos.rtd",,"OPEN_INT","."&amp;N$2&amp;N$1&amp;"P"&amp;$A15)*RTD("tos.rtd",,"LAST","."&amp;N$2&amp;N$1&amp;"P"&amp;$A15))/1000000),0),IF($A$2="PREMIUM",IFERROR(IF($X$1="ABS",(100*RTD("tos.rtd",,"VOLUME","."&amp;N$2&amp;N$1&amp;"C"&amp;$A15)*RTD("tos.rtd",,"LAST","."&amp;N$2&amp;N$1&amp;"C"&amp;$A15)+100*RTD("tos.rtd",,"VOLUME","."&amp;N$2&amp;N$1&amp;"P"&amp;$A15)*RTD("tos.rtd",,"LAST","."&amp;N$2&amp;N$1&amp;"P"&amp;$A15))/1000000,(100*RTD("tos.rtd",,"VOLUME","."&amp;N$2&amp;N$1&amp;"C"&amp;$A15)*RTD("tos.rtd",,"LAST","."&amp;N$2&amp;N$1&amp;"C"&amp;$A15)-100*RTD("tos.rtd",,"VOLUME","."&amp;N$2&amp;N$1&amp;"P"&amp;$A15)*RTD("tos.rtd",,"LAST","."&amp;N$2&amp;N$1&amp;"P"&amp;$A15))/1000000),0),IF($A$2="DEX",IFERROR(IF($X$1="ABS",(100*RTD("tos.rtd",,"OPEN_INT","."&amp;N$2&amp;N$1&amp;"C"&amp;$A15)*RTD("tos.rtd",,"DELTA","."&amp;N$2&amp;N$1&amp;"C"&amp;$A15)+100*RTD("tos.rtd",,"OPEN_INT","."&amp;N$2&amp;N$1&amp;"P"&amp;$A15)*RTD("tos.rtd",,"DELTA","."&amp;N$2&amp;N$1&amp;"P"&amp;$A15))/1000,(100*RTD("tos.rtd",,"OPEN_INT","."&amp;N$2&amp;N$1&amp;"C"&amp;$A15)*RTD("tos.rtd",,"DELTA","."&amp;N$2&amp;N$1&amp;"C"&amp;$A15)-100*RTD("tos.rtd",,"OPEN_INT","."&amp;N$2&amp;N$1&amp;"P"&amp;$A15)*RTD("tos.rtd",,"DELTA","."&amp;N$2&amp;N$1&amp;"P"&amp;$A15))/1000),0),IF($A$2="VEX",IFERROR(IF($X$1="ABS",($A$4*$A$4*RTD("tos.rtd",,"VOLUME","."&amp;N$2&amp;N$1&amp;"C"&amp;$A15)*RTD("tos.rtd",,"GAMMA","."&amp;N$2&amp;N$1&amp;"C"&amp;$A15)+$A$4*$A$4*RTD("tos.rtd",,"VOLUME","."&amp;N$2&amp;N$1&amp;"P"&amp;$A15)*RTD("tos.rtd",,"GAMMA","."&amp;N$2&amp;N$1&amp;"P"&amp;$A15))/1000000,($A$4*$A$4*RTD("tos.rtd",,"VOLUME","."&amp;N$2&amp;N$1&amp;"C"&amp;$A15)*RTD("tos.rtd",,"GAMMA","."&amp;N$2&amp;N$1&amp;"C"&amp;$A15)-$A$4*$A$4*RTD("tos.rtd",,"VOLUME","."&amp;N$2&amp;N$1&amp;"P"&amp;$A15)*RTD("tos.rtd",,"GAMMA","."&amp;N$2&amp;N$1&amp;"P"&amp;$A15))/1000000),0),IF($A$2="GEX",IFERROR(IF($X$1="ABS",($A$4*$A$4*RTD("tos.rtd",,"OPEN_INT","."&amp;N$2&amp;N$1&amp;"C"&amp;$A15)*RTD("tos.rtd",,"GAMMA","."&amp;N$2&amp;N$1&amp;"C"&amp;$A15)+$A$4*$A$4*RTD("tos.rtd",,"OPEN_INT","."&amp;N$2&amp;N$1&amp;"P"&amp;$A15)*RTD("tos.rtd",,"GAMMA","."&amp;N$2&amp;N$1&amp;"P"&amp;$A15))/1000000,($A$4*$A$4*RTD("tos.rtd",,"OPEN_INT","."&amp;N$2&amp;N$1&amp;"C"&amp;$A15)*RTD("tos.rtd",,"GAMMA","."&amp;N$2&amp;N$1&amp;"C"&amp;$A15)-$A$4*$A$4*RTD("tos.rtd",,"OPEN_INT","."&amp;N$2&amp;N$1&amp;"P"&amp;$A15)*RTD("tos.rtd",,"GAMMA","."&amp;N$2&amp;N$1&amp;"P"&amp;$A15))/1000000),0),IF($A$2="SKEW",IFERROR(VALUE(IF(RTD("tos.rtd",,"IMPL_VOL","."&amp;N$2&amp;N$1&amp;"P"&amp;$A15)="N/A",0,RTD("tos.rtd",,"IMPL_VOL","."&amp;N$2&amp;N$1&amp;"P"&amp;$A15))),0)-IFERROR(VALUE(IF(RTD("tos.rtd",,"IMPL_VOL","."&amp;N$2&amp;N$1&amp;"C"&amp;$A15)="N/A",0,RTD("tos.rtd",,"IMPL_VOL","."&amp;N$2&amp;N$1&amp;"C"&amp;$A15))),0),IF($A$2="MAXPAIN",IF($A$4&gt;$A15,($A$4-$A15)*IF(RTD("tos.rtd",,"OPEN_INT","."&amp;N$2&amp;N$1&amp;"C"&amp;$A15)="N/A",0,RTD("tos.rtd",,"OPEN_INT","."&amp;N$2&amp;N$1&amp;"C"&amp;$A15)),0)+IF($A$4&lt;$A15,($A$5-$A$4)*IF(RTD("tos.rtd",,"OPEN_INT","."&amp;N$2&amp;N$1&amp;"P"&amp;$A15)="N/A",0,RTD("tos.rtd",,"OPEN_INT","."&amp;N$2&amp;N$1&amp;"P"&amp;$A15)),0),IF($X$1="ABS",IF(RTD("tos.rtd",,$A$2,"."&amp;N$2&amp;N$1&amp;"C"&amp;$A15)="N/A",0,RTD("tos.rtd",,$A$2,"."&amp;N$2&amp;N$1&amp;"C"&amp;$A15))+IF(RTD("tos.rtd",,$A$2,"."&amp;N$2&amp;N$1&amp;"P"&amp;$A15)="N/A",0,RTD("tos.rtd",,$A$2,"."&amp;N$2&amp;N$1&amp;"P"&amp;$A15)),IF(RTD("tos.rtd",,$A$2,"."&amp;N$2&amp;N$1&amp;"C"&amp;$A15)="N/A",0,RTD("tos.rtd",,$A$2,"."&amp;N$2&amp;N$1&amp;"C"&amp;$A15))-IF(RTD("tos.rtd",,$A$2,"."&amp;N$2&amp;N$1&amp;"P"&amp;$A15)="N/A",0,RTD("tos.rtd",,$A$2,"."&amp;N$2&amp;N$1&amp;"P"&amp;$A15))))))))))</f>
        <v>0</v>
      </c>
      <c r="O15" s="12">
        <f ca="1">IF($A$2="PREMIUM_OI",IFERROR(IF($X$1="ABS",(100*RTD("tos.rtd",,"OPEN_INT","."&amp;O$2&amp;O$1&amp;"C"&amp;$A15)*RTD("tos.rtd",,"LAST","."&amp;O$2&amp;O$1&amp;"C"&amp;$A15)+100*RTD("tos.rtd",,"OPEN_INT","."&amp;O$2&amp;O$1&amp;"P"&amp;$A15)*RTD("tos.rtd",,"LAST","."&amp;O$2&amp;O$1&amp;"P"&amp;$A15))/1000000,(100*RTD("tos.rtd",,"OPEN_INT","."&amp;O$2&amp;O$1&amp;"C"&amp;$A15)*RTD("tos.rtd",,"LAST","."&amp;O$2&amp;O$1&amp;"C"&amp;$A15)-100*RTD("tos.rtd",,"OPEN_INT","."&amp;O$2&amp;O$1&amp;"P"&amp;$A15)*RTD("tos.rtd",,"LAST","."&amp;O$2&amp;O$1&amp;"P"&amp;$A15))/1000000),0),IF($A$2="PREMIUM",IFERROR(IF($X$1="ABS",(100*RTD("tos.rtd",,"VOLUME","."&amp;O$2&amp;O$1&amp;"C"&amp;$A15)*RTD("tos.rtd",,"LAST","."&amp;O$2&amp;O$1&amp;"C"&amp;$A15)+100*RTD("tos.rtd",,"VOLUME","."&amp;O$2&amp;O$1&amp;"P"&amp;$A15)*RTD("tos.rtd",,"LAST","."&amp;O$2&amp;O$1&amp;"P"&amp;$A15))/1000000,(100*RTD("tos.rtd",,"VOLUME","."&amp;O$2&amp;O$1&amp;"C"&amp;$A15)*RTD("tos.rtd",,"LAST","."&amp;O$2&amp;O$1&amp;"C"&amp;$A15)-100*RTD("tos.rtd",,"VOLUME","."&amp;O$2&amp;O$1&amp;"P"&amp;$A15)*RTD("tos.rtd",,"LAST","."&amp;O$2&amp;O$1&amp;"P"&amp;$A15))/1000000),0),IF($A$2="DEX",IFERROR(IF($X$1="ABS",(100*RTD("tos.rtd",,"OPEN_INT","."&amp;O$2&amp;O$1&amp;"C"&amp;$A15)*RTD("tos.rtd",,"DELTA","."&amp;O$2&amp;O$1&amp;"C"&amp;$A15)+100*RTD("tos.rtd",,"OPEN_INT","."&amp;O$2&amp;O$1&amp;"P"&amp;$A15)*RTD("tos.rtd",,"DELTA","."&amp;O$2&amp;O$1&amp;"P"&amp;$A15))/1000,(100*RTD("tos.rtd",,"OPEN_INT","."&amp;O$2&amp;O$1&amp;"C"&amp;$A15)*RTD("tos.rtd",,"DELTA","."&amp;O$2&amp;O$1&amp;"C"&amp;$A15)-100*RTD("tos.rtd",,"OPEN_INT","."&amp;O$2&amp;O$1&amp;"P"&amp;$A15)*RTD("tos.rtd",,"DELTA","."&amp;O$2&amp;O$1&amp;"P"&amp;$A15))/1000),0),IF($A$2="VEX",IFERROR(IF($X$1="ABS",($A$4*$A$4*RTD("tos.rtd",,"VOLUME","."&amp;O$2&amp;O$1&amp;"C"&amp;$A15)*RTD("tos.rtd",,"GAMMA","."&amp;O$2&amp;O$1&amp;"C"&amp;$A15)+$A$4*$A$4*RTD("tos.rtd",,"VOLUME","."&amp;O$2&amp;O$1&amp;"P"&amp;$A15)*RTD("tos.rtd",,"GAMMA","."&amp;O$2&amp;O$1&amp;"P"&amp;$A15))/1000000,($A$4*$A$4*RTD("tos.rtd",,"VOLUME","."&amp;O$2&amp;O$1&amp;"C"&amp;$A15)*RTD("tos.rtd",,"GAMMA","."&amp;O$2&amp;O$1&amp;"C"&amp;$A15)-$A$4*$A$4*RTD("tos.rtd",,"VOLUME","."&amp;O$2&amp;O$1&amp;"P"&amp;$A15)*RTD("tos.rtd",,"GAMMA","."&amp;O$2&amp;O$1&amp;"P"&amp;$A15))/1000000),0),IF($A$2="GEX",IFERROR(IF($X$1="ABS",($A$4*$A$4*RTD("tos.rtd",,"OPEN_INT","."&amp;O$2&amp;O$1&amp;"C"&amp;$A15)*RTD("tos.rtd",,"GAMMA","."&amp;O$2&amp;O$1&amp;"C"&amp;$A15)+$A$4*$A$4*RTD("tos.rtd",,"OPEN_INT","."&amp;O$2&amp;O$1&amp;"P"&amp;$A15)*RTD("tos.rtd",,"GAMMA","."&amp;O$2&amp;O$1&amp;"P"&amp;$A15))/1000000,($A$4*$A$4*RTD("tos.rtd",,"OPEN_INT","."&amp;O$2&amp;O$1&amp;"C"&amp;$A15)*RTD("tos.rtd",,"GAMMA","."&amp;O$2&amp;O$1&amp;"C"&amp;$A15)-$A$4*$A$4*RTD("tos.rtd",,"OPEN_INT","."&amp;O$2&amp;O$1&amp;"P"&amp;$A15)*RTD("tos.rtd",,"GAMMA","."&amp;O$2&amp;O$1&amp;"P"&amp;$A15))/1000000),0),IF($A$2="SKEW",IFERROR(VALUE(IF(RTD("tos.rtd",,"IMPL_VOL","."&amp;O$2&amp;O$1&amp;"P"&amp;$A15)="N/A",0,RTD("tos.rtd",,"IMPL_VOL","."&amp;O$2&amp;O$1&amp;"P"&amp;$A15))),0)-IFERROR(VALUE(IF(RTD("tos.rtd",,"IMPL_VOL","."&amp;O$2&amp;O$1&amp;"C"&amp;$A15)="N/A",0,RTD("tos.rtd",,"IMPL_VOL","."&amp;O$2&amp;O$1&amp;"C"&amp;$A15))),0),IF($A$2="MAXPAIN",IF($A$4&gt;$A15,($A$4-$A15)*IF(RTD("tos.rtd",,"OPEN_INT","."&amp;O$2&amp;O$1&amp;"C"&amp;$A15)="N/A",0,RTD("tos.rtd",,"OPEN_INT","."&amp;O$2&amp;O$1&amp;"C"&amp;$A15)),0)+IF($A$4&lt;$A15,($A$5-$A$4)*IF(RTD("tos.rtd",,"OPEN_INT","."&amp;O$2&amp;O$1&amp;"P"&amp;$A15)="N/A",0,RTD("tos.rtd",,"OPEN_INT","."&amp;O$2&amp;O$1&amp;"P"&amp;$A15)),0),IF($X$1="ABS",IF(RTD("tos.rtd",,$A$2,"."&amp;O$2&amp;O$1&amp;"C"&amp;$A15)="N/A",0,RTD("tos.rtd",,$A$2,"."&amp;O$2&amp;O$1&amp;"C"&amp;$A15))+IF(RTD("tos.rtd",,$A$2,"."&amp;O$2&amp;O$1&amp;"P"&amp;$A15)="N/A",0,RTD("tos.rtd",,$A$2,"."&amp;O$2&amp;O$1&amp;"P"&amp;$A15)),IF(RTD("tos.rtd",,$A$2,"."&amp;O$2&amp;O$1&amp;"C"&amp;$A15)="N/A",0,RTD("tos.rtd",,$A$2,"."&amp;O$2&amp;O$1&amp;"C"&amp;$A15))-IF(RTD("tos.rtd",,$A$2,"."&amp;O$2&amp;O$1&amp;"P"&amp;$A15)="N/A",0,RTD("tos.rtd",,$A$2,"."&amp;O$2&amp;O$1&amp;"P"&amp;$A15))))))))))</f>
        <v>0</v>
      </c>
      <c r="P15" s="12">
        <f ca="1">IF($A$2="PREMIUM_OI",IFERROR(IF($X$1="ABS",(100*RTD("tos.rtd",,"OPEN_INT","."&amp;P$2&amp;P$1&amp;"C"&amp;$A15)*RTD("tos.rtd",,"LAST","."&amp;P$2&amp;P$1&amp;"C"&amp;$A15)+100*RTD("tos.rtd",,"OPEN_INT","."&amp;P$2&amp;P$1&amp;"P"&amp;$A15)*RTD("tos.rtd",,"LAST","."&amp;P$2&amp;P$1&amp;"P"&amp;$A15))/1000000,(100*RTD("tos.rtd",,"OPEN_INT","."&amp;P$2&amp;P$1&amp;"C"&amp;$A15)*RTD("tos.rtd",,"LAST","."&amp;P$2&amp;P$1&amp;"C"&amp;$A15)-100*RTD("tos.rtd",,"OPEN_INT","."&amp;P$2&amp;P$1&amp;"P"&amp;$A15)*RTD("tos.rtd",,"LAST","."&amp;P$2&amp;P$1&amp;"P"&amp;$A15))/1000000),0),IF($A$2="PREMIUM",IFERROR(IF($X$1="ABS",(100*RTD("tos.rtd",,"VOLUME","."&amp;P$2&amp;P$1&amp;"C"&amp;$A15)*RTD("tos.rtd",,"LAST","."&amp;P$2&amp;P$1&amp;"C"&amp;$A15)+100*RTD("tos.rtd",,"VOLUME","."&amp;P$2&amp;P$1&amp;"P"&amp;$A15)*RTD("tos.rtd",,"LAST","."&amp;P$2&amp;P$1&amp;"P"&amp;$A15))/1000000,(100*RTD("tos.rtd",,"VOLUME","."&amp;P$2&amp;P$1&amp;"C"&amp;$A15)*RTD("tos.rtd",,"LAST","."&amp;P$2&amp;P$1&amp;"C"&amp;$A15)-100*RTD("tos.rtd",,"VOLUME","."&amp;P$2&amp;P$1&amp;"P"&amp;$A15)*RTD("tos.rtd",,"LAST","."&amp;P$2&amp;P$1&amp;"P"&amp;$A15))/1000000),0),IF($A$2="DEX",IFERROR(IF($X$1="ABS",(100*RTD("tos.rtd",,"OPEN_INT","."&amp;P$2&amp;P$1&amp;"C"&amp;$A15)*RTD("tos.rtd",,"DELTA","."&amp;P$2&amp;P$1&amp;"C"&amp;$A15)+100*RTD("tos.rtd",,"OPEN_INT","."&amp;P$2&amp;P$1&amp;"P"&amp;$A15)*RTD("tos.rtd",,"DELTA","."&amp;P$2&amp;P$1&amp;"P"&amp;$A15))/1000,(100*RTD("tos.rtd",,"OPEN_INT","."&amp;P$2&amp;P$1&amp;"C"&amp;$A15)*RTD("tos.rtd",,"DELTA","."&amp;P$2&amp;P$1&amp;"C"&amp;$A15)-100*RTD("tos.rtd",,"OPEN_INT","."&amp;P$2&amp;P$1&amp;"P"&amp;$A15)*RTD("tos.rtd",,"DELTA","."&amp;P$2&amp;P$1&amp;"P"&amp;$A15))/1000),0),IF($A$2="VEX",IFERROR(IF($X$1="ABS",($A$4*$A$4*RTD("tos.rtd",,"VOLUME","."&amp;P$2&amp;P$1&amp;"C"&amp;$A15)*RTD("tos.rtd",,"GAMMA","."&amp;P$2&amp;P$1&amp;"C"&amp;$A15)+$A$4*$A$4*RTD("tos.rtd",,"VOLUME","."&amp;P$2&amp;P$1&amp;"P"&amp;$A15)*RTD("tos.rtd",,"GAMMA","."&amp;P$2&amp;P$1&amp;"P"&amp;$A15))/1000000,($A$4*$A$4*RTD("tos.rtd",,"VOLUME","."&amp;P$2&amp;P$1&amp;"C"&amp;$A15)*RTD("tos.rtd",,"GAMMA","."&amp;P$2&amp;P$1&amp;"C"&amp;$A15)-$A$4*$A$4*RTD("tos.rtd",,"VOLUME","."&amp;P$2&amp;P$1&amp;"P"&amp;$A15)*RTD("tos.rtd",,"GAMMA","."&amp;P$2&amp;P$1&amp;"P"&amp;$A15))/1000000),0),IF($A$2="GEX",IFERROR(IF($X$1="ABS",($A$4*$A$4*RTD("tos.rtd",,"OPEN_INT","."&amp;P$2&amp;P$1&amp;"C"&amp;$A15)*RTD("tos.rtd",,"GAMMA","."&amp;P$2&amp;P$1&amp;"C"&amp;$A15)+$A$4*$A$4*RTD("tos.rtd",,"OPEN_INT","."&amp;P$2&amp;P$1&amp;"P"&amp;$A15)*RTD("tos.rtd",,"GAMMA","."&amp;P$2&amp;P$1&amp;"P"&amp;$A15))/1000000,($A$4*$A$4*RTD("tos.rtd",,"OPEN_INT","."&amp;P$2&amp;P$1&amp;"C"&amp;$A15)*RTD("tos.rtd",,"GAMMA","."&amp;P$2&amp;P$1&amp;"C"&amp;$A15)-$A$4*$A$4*RTD("tos.rtd",,"OPEN_INT","."&amp;P$2&amp;P$1&amp;"P"&amp;$A15)*RTD("tos.rtd",,"GAMMA","."&amp;P$2&amp;P$1&amp;"P"&amp;$A15))/1000000),0),IF($A$2="SKEW",IFERROR(VALUE(IF(RTD("tos.rtd",,"IMPL_VOL","."&amp;P$2&amp;P$1&amp;"P"&amp;$A15)="N/A",0,RTD("tos.rtd",,"IMPL_VOL","."&amp;P$2&amp;P$1&amp;"P"&amp;$A15))),0)-IFERROR(VALUE(IF(RTD("tos.rtd",,"IMPL_VOL","."&amp;P$2&amp;P$1&amp;"C"&amp;$A15)="N/A",0,RTD("tos.rtd",,"IMPL_VOL","."&amp;P$2&amp;P$1&amp;"C"&amp;$A15))),0),IF($A$2="MAXPAIN",IF($A$4&gt;$A15,($A$4-$A15)*IF(RTD("tos.rtd",,"OPEN_INT","."&amp;P$2&amp;P$1&amp;"C"&amp;$A15)="N/A",0,RTD("tos.rtd",,"OPEN_INT","."&amp;P$2&amp;P$1&amp;"C"&amp;$A15)),0)+IF($A$4&lt;$A15,($A$5-$A$4)*IF(RTD("tos.rtd",,"OPEN_INT","."&amp;P$2&amp;P$1&amp;"P"&amp;$A15)="N/A",0,RTD("tos.rtd",,"OPEN_INT","."&amp;P$2&amp;P$1&amp;"P"&amp;$A15)),0),IF($X$1="ABS",IF(RTD("tos.rtd",,$A$2,"."&amp;P$2&amp;P$1&amp;"C"&amp;$A15)="N/A",0,RTD("tos.rtd",,$A$2,"."&amp;P$2&amp;P$1&amp;"C"&amp;$A15))+IF(RTD("tos.rtd",,$A$2,"."&amp;P$2&amp;P$1&amp;"P"&amp;$A15)="N/A",0,RTD("tos.rtd",,$A$2,"."&amp;P$2&amp;P$1&amp;"P"&amp;$A15)),IF(RTD("tos.rtd",,$A$2,"."&amp;P$2&amp;P$1&amp;"C"&amp;$A15)="N/A",0,RTD("tos.rtd",,$A$2,"."&amp;P$2&amp;P$1&amp;"C"&amp;$A15))-IF(RTD("tos.rtd",,$A$2,"."&amp;P$2&amp;P$1&amp;"P"&amp;$A15)="N/A",0,RTD("tos.rtd",,$A$2,"."&amp;P$2&amp;P$1&amp;"P"&amp;$A15))))))))))</f>
        <v>0</v>
      </c>
      <c r="Q15" s="12">
        <f ca="1">IF($A$2="PREMIUM_OI",IFERROR(IF($X$1="ABS",(100*RTD("tos.rtd",,"OPEN_INT","."&amp;Q$2&amp;Q$1&amp;"C"&amp;$A15)*RTD("tos.rtd",,"LAST","."&amp;Q$2&amp;Q$1&amp;"C"&amp;$A15)+100*RTD("tos.rtd",,"OPEN_INT","."&amp;Q$2&amp;Q$1&amp;"P"&amp;$A15)*RTD("tos.rtd",,"LAST","."&amp;Q$2&amp;Q$1&amp;"P"&amp;$A15))/1000000,(100*RTD("tos.rtd",,"OPEN_INT","."&amp;Q$2&amp;Q$1&amp;"C"&amp;$A15)*RTD("tos.rtd",,"LAST","."&amp;Q$2&amp;Q$1&amp;"C"&amp;$A15)-100*RTD("tos.rtd",,"OPEN_INT","."&amp;Q$2&amp;Q$1&amp;"P"&amp;$A15)*RTD("tos.rtd",,"LAST","."&amp;Q$2&amp;Q$1&amp;"P"&amp;$A15))/1000000),0),IF($A$2="PREMIUM",IFERROR(IF($X$1="ABS",(100*RTD("tos.rtd",,"VOLUME","."&amp;Q$2&amp;Q$1&amp;"C"&amp;$A15)*RTD("tos.rtd",,"LAST","."&amp;Q$2&amp;Q$1&amp;"C"&amp;$A15)+100*RTD("tos.rtd",,"VOLUME","."&amp;Q$2&amp;Q$1&amp;"P"&amp;$A15)*RTD("tos.rtd",,"LAST","."&amp;Q$2&amp;Q$1&amp;"P"&amp;$A15))/1000000,(100*RTD("tos.rtd",,"VOLUME","."&amp;Q$2&amp;Q$1&amp;"C"&amp;$A15)*RTD("tos.rtd",,"LAST","."&amp;Q$2&amp;Q$1&amp;"C"&amp;$A15)-100*RTD("tos.rtd",,"VOLUME","."&amp;Q$2&amp;Q$1&amp;"P"&amp;$A15)*RTD("tos.rtd",,"LAST","."&amp;Q$2&amp;Q$1&amp;"P"&amp;$A15))/1000000),0),IF($A$2="DEX",IFERROR(IF($X$1="ABS",(100*RTD("tos.rtd",,"OPEN_INT","."&amp;Q$2&amp;Q$1&amp;"C"&amp;$A15)*RTD("tos.rtd",,"DELTA","."&amp;Q$2&amp;Q$1&amp;"C"&amp;$A15)+100*RTD("tos.rtd",,"OPEN_INT","."&amp;Q$2&amp;Q$1&amp;"P"&amp;$A15)*RTD("tos.rtd",,"DELTA","."&amp;Q$2&amp;Q$1&amp;"P"&amp;$A15))/1000,(100*RTD("tos.rtd",,"OPEN_INT","."&amp;Q$2&amp;Q$1&amp;"C"&amp;$A15)*RTD("tos.rtd",,"DELTA","."&amp;Q$2&amp;Q$1&amp;"C"&amp;$A15)-100*RTD("tos.rtd",,"OPEN_INT","."&amp;Q$2&amp;Q$1&amp;"P"&amp;$A15)*RTD("tos.rtd",,"DELTA","."&amp;Q$2&amp;Q$1&amp;"P"&amp;$A15))/1000),0),IF($A$2="VEX",IFERROR(IF($X$1="ABS",($A$4*$A$4*RTD("tos.rtd",,"VOLUME","."&amp;Q$2&amp;Q$1&amp;"C"&amp;$A15)*RTD("tos.rtd",,"GAMMA","."&amp;Q$2&amp;Q$1&amp;"C"&amp;$A15)+$A$4*$A$4*RTD("tos.rtd",,"VOLUME","."&amp;Q$2&amp;Q$1&amp;"P"&amp;$A15)*RTD("tos.rtd",,"GAMMA","."&amp;Q$2&amp;Q$1&amp;"P"&amp;$A15))/1000000,($A$4*$A$4*RTD("tos.rtd",,"VOLUME","."&amp;Q$2&amp;Q$1&amp;"C"&amp;$A15)*RTD("tos.rtd",,"GAMMA","."&amp;Q$2&amp;Q$1&amp;"C"&amp;$A15)-$A$4*$A$4*RTD("tos.rtd",,"VOLUME","."&amp;Q$2&amp;Q$1&amp;"P"&amp;$A15)*RTD("tos.rtd",,"GAMMA","."&amp;Q$2&amp;Q$1&amp;"P"&amp;$A15))/1000000),0),IF($A$2="GEX",IFERROR(IF($X$1="ABS",($A$4*$A$4*RTD("tos.rtd",,"OPEN_INT","."&amp;Q$2&amp;Q$1&amp;"C"&amp;$A15)*RTD("tos.rtd",,"GAMMA","."&amp;Q$2&amp;Q$1&amp;"C"&amp;$A15)+$A$4*$A$4*RTD("tos.rtd",,"OPEN_INT","."&amp;Q$2&amp;Q$1&amp;"P"&amp;$A15)*RTD("tos.rtd",,"GAMMA","."&amp;Q$2&amp;Q$1&amp;"P"&amp;$A15))/1000000,($A$4*$A$4*RTD("tos.rtd",,"OPEN_INT","."&amp;Q$2&amp;Q$1&amp;"C"&amp;$A15)*RTD("tos.rtd",,"GAMMA","."&amp;Q$2&amp;Q$1&amp;"C"&amp;$A15)-$A$4*$A$4*RTD("tos.rtd",,"OPEN_INT","."&amp;Q$2&amp;Q$1&amp;"P"&amp;$A15)*RTD("tos.rtd",,"GAMMA","."&amp;Q$2&amp;Q$1&amp;"P"&amp;$A15))/1000000),0),IF($A$2="SKEW",IFERROR(VALUE(IF(RTD("tos.rtd",,"IMPL_VOL","."&amp;Q$2&amp;Q$1&amp;"P"&amp;$A15)="N/A",0,RTD("tos.rtd",,"IMPL_VOL","."&amp;Q$2&amp;Q$1&amp;"P"&amp;$A15))),0)-IFERROR(VALUE(IF(RTD("tos.rtd",,"IMPL_VOL","."&amp;Q$2&amp;Q$1&amp;"C"&amp;$A15)="N/A",0,RTD("tos.rtd",,"IMPL_VOL","."&amp;Q$2&amp;Q$1&amp;"C"&amp;$A15))),0),IF($A$2="MAXPAIN",IF($A$4&gt;$A15,($A$4-$A15)*IF(RTD("tos.rtd",,"OPEN_INT","."&amp;Q$2&amp;Q$1&amp;"C"&amp;$A15)="N/A",0,RTD("tos.rtd",,"OPEN_INT","."&amp;Q$2&amp;Q$1&amp;"C"&amp;$A15)),0)+IF($A$4&lt;$A15,($A$5-$A$4)*IF(RTD("tos.rtd",,"OPEN_INT","."&amp;Q$2&amp;Q$1&amp;"P"&amp;$A15)="N/A",0,RTD("tos.rtd",,"OPEN_INT","."&amp;Q$2&amp;Q$1&amp;"P"&amp;$A15)),0),IF($X$1="ABS",IF(RTD("tos.rtd",,$A$2,"."&amp;Q$2&amp;Q$1&amp;"C"&amp;$A15)="N/A",0,RTD("tos.rtd",,$A$2,"."&amp;Q$2&amp;Q$1&amp;"C"&amp;$A15))+IF(RTD("tos.rtd",,$A$2,"."&amp;Q$2&amp;Q$1&amp;"P"&amp;$A15)="N/A",0,RTD("tos.rtd",,$A$2,"."&amp;Q$2&amp;Q$1&amp;"P"&amp;$A15)),IF(RTD("tos.rtd",,$A$2,"."&amp;Q$2&amp;Q$1&amp;"C"&amp;$A15)="N/A",0,RTD("tos.rtd",,$A$2,"."&amp;Q$2&amp;Q$1&amp;"C"&amp;$A15))-IF(RTD("tos.rtd",,$A$2,"."&amp;Q$2&amp;Q$1&amp;"P"&amp;$A15)="N/A",0,RTD("tos.rtd",,$A$2,"."&amp;Q$2&amp;Q$1&amp;"P"&amp;$A15))))))))))</f>
        <v>0</v>
      </c>
      <c r="R15" s="12">
        <f ca="1">IF($A$2="PREMIUM_OI",IFERROR(IF($X$1="ABS",(100*RTD("tos.rtd",,"OPEN_INT","."&amp;R$2&amp;R$1&amp;"C"&amp;$A15)*RTD("tos.rtd",,"LAST","."&amp;R$2&amp;R$1&amp;"C"&amp;$A15)+100*RTD("tos.rtd",,"OPEN_INT","."&amp;R$2&amp;R$1&amp;"P"&amp;$A15)*RTD("tos.rtd",,"LAST","."&amp;R$2&amp;R$1&amp;"P"&amp;$A15))/1000000,(100*RTD("tos.rtd",,"OPEN_INT","."&amp;R$2&amp;R$1&amp;"C"&amp;$A15)*RTD("tos.rtd",,"LAST","."&amp;R$2&amp;R$1&amp;"C"&amp;$A15)-100*RTD("tos.rtd",,"OPEN_INT","."&amp;R$2&amp;R$1&amp;"P"&amp;$A15)*RTD("tos.rtd",,"LAST","."&amp;R$2&amp;R$1&amp;"P"&amp;$A15))/1000000),0),IF($A$2="PREMIUM",IFERROR(IF($X$1="ABS",(100*RTD("tos.rtd",,"VOLUME","."&amp;R$2&amp;R$1&amp;"C"&amp;$A15)*RTD("tos.rtd",,"LAST","."&amp;R$2&amp;R$1&amp;"C"&amp;$A15)+100*RTD("tos.rtd",,"VOLUME","."&amp;R$2&amp;R$1&amp;"P"&amp;$A15)*RTD("tos.rtd",,"LAST","."&amp;R$2&amp;R$1&amp;"P"&amp;$A15))/1000000,(100*RTD("tos.rtd",,"VOLUME","."&amp;R$2&amp;R$1&amp;"C"&amp;$A15)*RTD("tos.rtd",,"LAST","."&amp;R$2&amp;R$1&amp;"C"&amp;$A15)-100*RTD("tos.rtd",,"VOLUME","."&amp;R$2&amp;R$1&amp;"P"&amp;$A15)*RTD("tos.rtd",,"LAST","."&amp;R$2&amp;R$1&amp;"P"&amp;$A15))/1000000),0),IF($A$2="DEX",IFERROR(IF($X$1="ABS",(100*RTD("tos.rtd",,"OPEN_INT","."&amp;R$2&amp;R$1&amp;"C"&amp;$A15)*RTD("tos.rtd",,"DELTA","."&amp;R$2&amp;R$1&amp;"C"&amp;$A15)+100*RTD("tos.rtd",,"OPEN_INT","."&amp;R$2&amp;R$1&amp;"P"&amp;$A15)*RTD("tos.rtd",,"DELTA","."&amp;R$2&amp;R$1&amp;"P"&amp;$A15))/1000,(100*RTD("tos.rtd",,"OPEN_INT","."&amp;R$2&amp;R$1&amp;"C"&amp;$A15)*RTD("tos.rtd",,"DELTA","."&amp;R$2&amp;R$1&amp;"C"&amp;$A15)-100*RTD("tos.rtd",,"OPEN_INT","."&amp;R$2&amp;R$1&amp;"P"&amp;$A15)*RTD("tos.rtd",,"DELTA","."&amp;R$2&amp;R$1&amp;"P"&amp;$A15))/1000),0),IF($A$2="VEX",IFERROR(IF($X$1="ABS",($A$4*$A$4*RTD("tos.rtd",,"VOLUME","."&amp;R$2&amp;R$1&amp;"C"&amp;$A15)*RTD("tos.rtd",,"GAMMA","."&amp;R$2&amp;R$1&amp;"C"&amp;$A15)+$A$4*$A$4*RTD("tos.rtd",,"VOLUME","."&amp;R$2&amp;R$1&amp;"P"&amp;$A15)*RTD("tos.rtd",,"GAMMA","."&amp;R$2&amp;R$1&amp;"P"&amp;$A15))/1000000,($A$4*$A$4*RTD("tos.rtd",,"VOLUME","."&amp;R$2&amp;R$1&amp;"C"&amp;$A15)*RTD("tos.rtd",,"GAMMA","."&amp;R$2&amp;R$1&amp;"C"&amp;$A15)-$A$4*$A$4*RTD("tos.rtd",,"VOLUME","."&amp;R$2&amp;R$1&amp;"P"&amp;$A15)*RTD("tos.rtd",,"GAMMA","."&amp;R$2&amp;R$1&amp;"P"&amp;$A15))/1000000),0),IF($A$2="GEX",IFERROR(IF($X$1="ABS",($A$4*$A$4*RTD("tos.rtd",,"OPEN_INT","."&amp;R$2&amp;R$1&amp;"C"&amp;$A15)*RTD("tos.rtd",,"GAMMA","."&amp;R$2&amp;R$1&amp;"C"&amp;$A15)+$A$4*$A$4*RTD("tos.rtd",,"OPEN_INT","."&amp;R$2&amp;R$1&amp;"P"&amp;$A15)*RTD("tos.rtd",,"GAMMA","."&amp;R$2&amp;R$1&amp;"P"&amp;$A15))/1000000,($A$4*$A$4*RTD("tos.rtd",,"OPEN_INT","."&amp;R$2&amp;R$1&amp;"C"&amp;$A15)*RTD("tos.rtd",,"GAMMA","."&amp;R$2&amp;R$1&amp;"C"&amp;$A15)-$A$4*$A$4*RTD("tos.rtd",,"OPEN_INT","."&amp;R$2&amp;R$1&amp;"P"&amp;$A15)*RTD("tos.rtd",,"GAMMA","."&amp;R$2&amp;R$1&amp;"P"&amp;$A15))/1000000),0),IF($A$2="SKEW",IFERROR(VALUE(IF(RTD("tos.rtd",,"IMPL_VOL","."&amp;R$2&amp;R$1&amp;"P"&amp;$A15)="N/A",0,RTD("tos.rtd",,"IMPL_VOL","."&amp;R$2&amp;R$1&amp;"P"&amp;$A15))),0)-IFERROR(VALUE(IF(RTD("tos.rtd",,"IMPL_VOL","."&amp;R$2&amp;R$1&amp;"C"&amp;$A15)="N/A",0,RTD("tos.rtd",,"IMPL_VOL","."&amp;R$2&amp;R$1&amp;"C"&amp;$A15))),0),IF($A$2="MAXPAIN",IF($A$4&gt;$A15,($A$4-$A15)*IF(RTD("tos.rtd",,"OPEN_INT","."&amp;R$2&amp;R$1&amp;"C"&amp;$A15)="N/A",0,RTD("tos.rtd",,"OPEN_INT","."&amp;R$2&amp;R$1&amp;"C"&amp;$A15)),0)+IF($A$4&lt;$A15,($A$5-$A$4)*IF(RTD("tos.rtd",,"OPEN_INT","."&amp;R$2&amp;R$1&amp;"P"&amp;$A15)="N/A",0,RTD("tos.rtd",,"OPEN_INT","."&amp;R$2&amp;R$1&amp;"P"&amp;$A15)),0),IF($X$1="ABS",IF(RTD("tos.rtd",,$A$2,"."&amp;R$2&amp;R$1&amp;"C"&amp;$A15)="N/A",0,RTD("tos.rtd",,$A$2,"."&amp;R$2&amp;R$1&amp;"C"&amp;$A15))+IF(RTD("tos.rtd",,$A$2,"."&amp;R$2&amp;R$1&amp;"P"&amp;$A15)="N/A",0,RTD("tos.rtd",,$A$2,"."&amp;R$2&amp;R$1&amp;"P"&amp;$A15)),IF(RTD("tos.rtd",,$A$2,"."&amp;R$2&amp;R$1&amp;"C"&amp;$A15)="N/A",0,RTD("tos.rtd",,$A$2,"."&amp;R$2&amp;R$1&amp;"C"&amp;$A15))-IF(RTD("tos.rtd",,$A$2,"."&amp;R$2&amp;R$1&amp;"P"&amp;$A15)="N/A",0,RTD("tos.rtd",,$A$2,"."&amp;R$2&amp;R$1&amp;"P"&amp;$A15))))))))))</f>
        <v>0</v>
      </c>
      <c r="S15" s="12">
        <f ca="1">IF($A$2="PREMIUM_OI",IFERROR(IF($X$1="ABS",(100*RTD("tos.rtd",,"OPEN_INT","."&amp;S$2&amp;S$1&amp;"C"&amp;$A15)*RTD("tos.rtd",,"LAST","."&amp;S$2&amp;S$1&amp;"C"&amp;$A15)+100*RTD("tos.rtd",,"OPEN_INT","."&amp;S$2&amp;S$1&amp;"P"&amp;$A15)*RTD("tos.rtd",,"LAST","."&amp;S$2&amp;S$1&amp;"P"&amp;$A15))/1000000,(100*RTD("tos.rtd",,"OPEN_INT","."&amp;S$2&amp;S$1&amp;"C"&amp;$A15)*RTD("tos.rtd",,"LAST","."&amp;S$2&amp;S$1&amp;"C"&amp;$A15)-100*RTD("tos.rtd",,"OPEN_INT","."&amp;S$2&amp;S$1&amp;"P"&amp;$A15)*RTD("tos.rtd",,"LAST","."&amp;S$2&amp;S$1&amp;"P"&amp;$A15))/1000000),0),IF($A$2="PREMIUM",IFERROR(IF($X$1="ABS",(100*RTD("tos.rtd",,"VOLUME","."&amp;S$2&amp;S$1&amp;"C"&amp;$A15)*RTD("tos.rtd",,"LAST","."&amp;S$2&amp;S$1&amp;"C"&amp;$A15)+100*RTD("tos.rtd",,"VOLUME","."&amp;S$2&amp;S$1&amp;"P"&amp;$A15)*RTD("tos.rtd",,"LAST","."&amp;S$2&amp;S$1&amp;"P"&amp;$A15))/1000000,(100*RTD("tos.rtd",,"VOLUME","."&amp;S$2&amp;S$1&amp;"C"&amp;$A15)*RTD("tos.rtd",,"LAST","."&amp;S$2&amp;S$1&amp;"C"&amp;$A15)-100*RTD("tos.rtd",,"VOLUME","."&amp;S$2&amp;S$1&amp;"P"&amp;$A15)*RTD("tos.rtd",,"LAST","."&amp;S$2&amp;S$1&amp;"P"&amp;$A15))/1000000),0),IF($A$2="DEX",IFERROR(IF($X$1="ABS",(100*RTD("tos.rtd",,"OPEN_INT","."&amp;S$2&amp;S$1&amp;"C"&amp;$A15)*RTD("tos.rtd",,"DELTA","."&amp;S$2&amp;S$1&amp;"C"&amp;$A15)+100*RTD("tos.rtd",,"OPEN_INT","."&amp;S$2&amp;S$1&amp;"P"&amp;$A15)*RTD("tos.rtd",,"DELTA","."&amp;S$2&amp;S$1&amp;"P"&amp;$A15))/1000,(100*RTD("tos.rtd",,"OPEN_INT","."&amp;S$2&amp;S$1&amp;"C"&amp;$A15)*RTD("tos.rtd",,"DELTA","."&amp;S$2&amp;S$1&amp;"C"&amp;$A15)-100*RTD("tos.rtd",,"OPEN_INT","."&amp;S$2&amp;S$1&amp;"P"&amp;$A15)*RTD("tos.rtd",,"DELTA","."&amp;S$2&amp;S$1&amp;"P"&amp;$A15))/1000),0),IF($A$2="VEX",IFERROR(IF($X$1="ABS",($A$4*$A$4*RTD("tos.rtd",,"VOLUME","."&amp;S$2&amp;S$1&amp;"C"&amp;$A15)*RTD("tos.rtd",,"GAMMA","."&amp;S$2&amp;S$1&amp;"C"&amp;$A15)+$A$4*$A$4*RTD("tos.rtd",,"VOLUME","."&amp;S$2&amp;S$1&amp;"P"&amp;$A15)*RTD("tos.rtd",,"GAMMA","."&amp;S$2&amp;S$1&amp;"P"&amp;$A15))/1000000,($A$4*$A$4*RTD("tos.rtd",,"VOLUME","."&amp;S$2&amp;S$1&amp;"C"&amp;$A15)*RTD("tos.rtd",,"GAMMA","."&amp;S$2&amp;S$1&amp;"C"&amp;$A15)-$A$4*$A$4*RTD("tos.rtd",,"VOLUME","."&amp;S$2&amp;S$1&amp;"P"&amp;$A15)*RTD("tos.rtd",,"GAMMA","."&amp;S$2&amp;S$1&amp;"P"&amp;$A15))/1000000),0),IF($A$2="GEX",IFERROR(IF($X$1="ABS",($A$4*$A$4*RTD("tos.rtd",,"OPEN_INT","."&amp;S$2&amp;S$1&amp;"C"&amp;$A15)*RTD("tos.rtd",,"GAMMA","."&amp;S$2&amp;S$1&amp;"C"&amp;$A15)+$A$4*$A$4*RTD("tos.rtd",,"OPEN_INT","."&amp;S$2&amp;S$1&amp;"P"&amp;$A15)*RTD("tos.rtd",,"GAMMA","."&amp;S$2&amp;S$1&amp;"P"&amp;$A15))/1000000,($A$4*$A$4*RTD("tos.rtd",,"OPEN_INT","."&amp;S$2&amp;S$1&amp;"C"&amp;$A15)*RTD("tos.rtd",,"GAMMA","."&amp;S$2&amp;S$1&amp;"C"&amp;$A15)-$A$4*$A$4*RTD("tos.rtd",,"OPEN_INT","."&amp;S$2&amp;S$1&amp;"P"&amp;$A15)*RTD("tos.rtd",,"GAMMA","."&amp;S$2&amp;S$1&amp;"P"&amp;$A15))/1000000),0),IF($A$2="SKEW",IFERROR(VALUE(IF(RTD("tos.rtd",,"IMPL_VOL","."&amp;S$2&amp;S$1&amp;"P"&amp;$A15)="N/A",0,RTD("tos.rtd",,"IMPL_VOL","."&amp;S$2&amp;S$1&amp;"P"&amp;$A15))),0)-IFERROR(VALUE(IF(RTD("tos.rtd",,"IMPL_VOL","."&amp;S$2&amp;S$1&amp;"C"&amp;$A15)="N/A",0,RTD("tos.rtd",,"IMPL_VOL","."&amp;S$2&amp;S$1&amp;"C"&amp;$A15))),0),IF($A$2="MAXPAIN",IF($A$4&gt;$A15,($A$4-$A15)*IF(RTD("tos.rtd",,"OPEN_INT","."&amp;S$2&amp;S$1&amp;"C"&amp;$A15)="N/A",0,RTD("tos.rtd",,"OPEN_INT","."&amp;S$2&amp;S$1&amp;"C"&amp;$A15)),0)+IF($A$4&lt;$A15,($A$5-$A$4)*IF(RTD("tos.rtd",,"OPEN_INT","."&amp;S$2&amp;S$1&amp;"P"&amp;$A15)="N/A",0,RTD("tos.rtd",,"OPEN_INT","."&amp;S$2&amp;S$1&amp;"P"&amp;$A15)),0),IF($X$1="ABS",IF(RTD("tos.rtd",,$A$2,"."&amp;S$2&amp;S$1&amp;"C"&amp;$A15)="N/A",0,RTD("tos.rtd",,$A$2,"."&amp;S$2&amp;S$1&amp;"C"&amp;$A15))+IF(RTD("tos.rtd",,$A$2,"."&amp;S$2&amp;S$1&amp;"P"&amp;$A15)="N/A",0,RTD("tos.rtd",,$A$2,"."&amp;S$2&amp;S$1&amp;"P"&amp;$A15)),IF(RTD("tos.rtd",,$A$2,"."&amp;S$2&amp;S$1&amp;"C"&amp;$A15)="N/A",0,RTD("tos.rtd",,$A$2,"."&amp;S$2&amp;S$1&amp;"C"&amp;$A15))-IF(RTD("tos.rtd",,$A$2,"."&amp;S$2&amp;S$1&amp;"P"&amp;$A15)="N/A",0,RTD("tos.rtd",,$A$2,"."&amp;S$2&amp;S$1&amp;"P"&amp;$A15))))))))))</f>
        <v>0</v>
      </c>
      <c r="T15" s="12">
        <f ca="1">IF($A$2="PREMIUM_OI",IFERROR(IF($X$1="ABS",(100*RTD("tos.rtd",,"OPEN_INT","."&amp;T$2&amp;T$1&amp;"C"&amp;$A15)*RTD("tos.rtd",,"LAST","."&amp;T$2&amp;T$1&amp;"C"&amp;$A15)+100*RTD("tos.rtd",,"OPEN_INT","."&amp;T$2&amp;T$1&amp;"P"&amp;$A15)*RTD("tos.rtd",,"LAST","."&amp;T$2&amp;T$1&amp;"P"&amp;$A15))/1000000,(100*RTD("tos.rtd",,"OPEN_INT","."&amp;T$2&amp;T$1&amp;"C"&amp;$A15)*RTD("tos.rtd",,"LAST","."&amp;T$2&amp;T$1&amp;"C"&amp;$A15)-100*RTD("tos.rtd",,"OPEN_INT","."&amp;T$2&amp;T$1&amp;"P"&amp;$A15)*RTD("tos.rtd",,"LAST","."&amp;T$2&amp;T$1&amp;"P"&amp;$A15))/1000000),0),IF($A$2="PREMIUM",IFERROR(IF($X$1="ABS",(100*RTD("tos.rtd",,"VOLUME","."&amp;T$2&amp;T$1&amp;"C"&amp;$A15)*RTD("tos.rtd",,"LAST","."&amp;T$2&amp;T$1&amp;"C"&amp;$A15)+100*RTD("tos.rtd",,"VOLUME","."&amp;T$2&amp;T$1&amp;"P"&amp;$A15)*RTD("tos.rtd",,"LAST","."&amp;T$2&amp;T$1&amp;"P"&amp;$A15))/1000000,(100*RTD("tos.rtd",,"VOLUME","."&amp;T$2&amp;T$1&amp;"C"&amp;$A15)*RTD("tos.rtd",,"LAST","."&amp;T$2&amp;T$1&amp;"C"&amp;$A15)-100*RTD("tos.rtd",,"VOLUME","."&amp;T$2&amp;T$1&amp;"P"&amp;$A15)*RTD("tos.rtd",,"LAST","."&amp;T$2&amp;T$1&amp;"P"&amp;$A15))/1000000),0),IF($A$2="DEX",IFERROR(IF($X$1="ABS",(100*RTD("tos.rtd",,"OPEN_INT","."&amp;T$2&amp;T$1&amp;"C"&amp;$A15)*RTD("tos.rtd",,"DELTA","."&amp;T$2&amp;T$1&amp;"C"&amp;$A15)+100*RTD("tos.rtd",,"OPEN_INT","."&amp;T$2&amp;T$1&amp;"P"&amp;$A15)*RTD("tos.rtd",,"DELTA","."&amp;T$2&amp;T$1&amp;"P"&amp;$A15))/1000,(100*RTD("tos.rtd",,"OPEN_INT","."&amp;T$2&amp;T$1&amp;"C"&amp;$A15)*RTD("tos.rtd",,"DELTA","."&amp;T$2&amp;T$1&amp;"C"&amp;$A15)-100*RTD("tos.rtd",,"OPEN_INT","."&amp;T$2&amp;T$1&amp;"P"&amp;$A15)*RTD("tos.rtd",,"DELTA","."&amp;T$2&amp;T$1&amp;"P"&amp;$A15))/1000),0),IF($A$2="VEX",IFERROR(IF($X$1="ABS",($A$4*$A$4*RTD("tos.rtd",,"VOLUME","."&amp;T$2&amp;T$1&amp;"C"&amp;$A15)*RTD("tos.rtd",,"GAMMA","."&amp;T$2&amp;T$1&amp;"C"&amp;$A15)+$A$4*$A$4*RTD("tos.rtd",,"VOLUME","."&amp;T$2&amp;T$1&amp;"P"&amp;$A15)*RTD("tos.rtd",,"GAMMA","."&amp;T$2&amp;T$1&amp;"P"&amp;$A15))/1000000,($A$4*$A$4*RTD("tos.rtd",,"VOLUME","."&amp;T$2&amp;T$1&amp;"C"&amp;$A15)*RTD("tos.rtd",,"GAMMA","."&amp;T$2&amp;T$1&amp;"C"&amp;$A15)-$A$4*$A$4*RTD("tos.rtd",,"VOLUME","."&amp;T$2&amp;T$1&amp;"P"&amp;$A15)*RTD("tos.rtd",,"GAMMA","."&amp;T$2&amp;T$1&amp;"P"&amp;$A15))/1000000),0),IF($A$2="GEX",IFERROR(IF($X$1="ABS",($A$4*$A$4*RTD("tos.rtd",,"OPEN_INT","."&amp;T$2&amp;T$1&amp;"C"&amp;$A15)*RTD("tos.rtd",,"GAMMA","."&amp;T$2&amp;T$1&amp;"C"&amp;$A15)+$A$4*$A$4*RTD("tos.rtd",,"OPEN_INT","."&amp;T$2&amp;T$1&amp;"P"&amp;$A15)*RTD("tos.rtd",,"GAMMA","."&amp;T$2&amp;T$1&amp;"P"&amp;$A15))/1000000,($A$4*$A$4*RTD("tos.rtd",,"OPEN_INT","."&amp;T$2&amp;T$1&amp;"C"&amp;$A15)*RTD("tos.rtd",,"GAMMA","."&amp;T$2&amp;T$1&amp;"C"&amp;$A15)-$A$4*$A$4*RTD("tos.rtd",,"OPEN_INT","."&amp;T$2&amp;T$1&amp;"P"&amp;$A15)*RTD("tos.rtd",,"GAMMA","."&amp;T$2&amp;T$1&amp;"P"&amp;$A15))/1000000),0),IF($A$2="SKEW",IFERROR(VALUE(IF(RTD("tos.rtd",,"IMPL_VOL","."&amp;T$2&amp;T$1&amp;"P"&amp;$A15)="N/A",0,RTD("tos.rtd",,"IMPL_VOL","."&amp;T$2&amp;T$1&amp;"P"&amp;$A15))),0)-IFERROR(VALUE(IF(RTD("tos.rtd",,"IMPL_VOL","."&amp;T$2&amp;T$1&amp;"C"&amp;$A15)="N/A",0,RTD("tos.rtd",,"IMPL_VOL","."&amp;T$2&amp;T$1&amp;"C"&amp;$A15))),0),IF($A$2="MAXPAIN",IF($A$4&gt;$A15,($A$4-$A15)*IF(RTD("tos.rtd",,"OPEN_INT","."&amp;T$2&amp;T$1&amp;"C"&amp;$A15)="N/A",0,RTD("tos.rtd",,"OPEN_INT","."&amp;T$2&amp;T$1&amp;"C"&amp;$A15)),0)+IF($A$4&lt;$A15,($A$5-$A$4)*IF(RTD("tos.rtd",,"OPEN_INT","."&amp;T$2&amp;T$1&amp;"P"&amp;$A15)="N/A",0,RTD("tos.rtd",,"OPEN_INT","."&amp;T$2&amp;T$1&amp;"P"&amp;$A15)),0),IF($X$1="ABS",IF(RTD("tos.rtd",,$A$2,"."&amp;T$2&amp;T$1&amp;"C"&amp;$A15)="N/A",0,RTD("tos.rtd",,$A$2,"."&amp;T$2&amp;T$1&amp;"C"&amp;$A15))+IF(RTD("tos.rtd",,$A$2,"."&amp;T$2&amp;T$1&amp;"P"&amp;$A15)="N/A",0,RTD("tos.rtd",,$A$2,"."&amp;T$2&amp;T$1&amp;"P"&amp;$A15)),IF(RTD("tos.rtd",,$A$2,"."&amp;T$2&amp;T$1&amp;"C"&amp;$A15)="N/A",0,RTD("tos.rtd",,$A$2,"."&amp;T$2&amp;T$1&amp;"C"&amp;$A15))-IF(RTD("tos.rtd",,$A$2,"."&amp;T$2&amp;T$1&amp;"P"&amp;$A15)="N/A",0,RTD("tos.rtd",,$A$2,"."&amp;T$2&amp;T$1&amp;"P"&amp;$A15))))))))))</f>
        <v>0</v>
      </c>
      <c r="U15" s="12">
        <f ca="1">IF($A$2="PREMIUM_OI",IFERROR(IF($X$1="ABS",(100*RTD("tos.rtd",,"OPEN_INT","."&amp;U$2&amp;U$1&amp;"C"&amp;$A15)*RTD("tos.rtd",,"LAST","."&amp;U$2&amp;U$1&amp;"C"&amp;$A15)+100*RTD("tos.rtd",,"OPEN_INT","."&amp;U$2&amp;U$1&amp;"P"&amp;$A15)*RTD("tos.rtd",,"LAST","."&amp;U$2&amp;U$1&amp;"P"&amp;$A15))/1000000,(100*RTD("tos.rtd",,"OPEN_INT","."&amp;U$2&amp;U$1&amp;"C"&amp;$A15)*RTD("tos.rtd",,"LAST","."&amp;U$2&amp;U$1&amp;"C"&amp;$A15)-100*RTD("tos.rtd",,"OPEN_INT","."&amp;U$2&amp;U$1&amp;"P"&amp;$A15)*RTD("tos.rtd",,"LAST","."&amp;U$2&amp;U$1&amp;"P"&amp;$A15))/1000000),0),IF($A$2="PREMIUM",IFERROR(IF($X$1="ABS",(100*RTD("tos.rtd",,"VOLUME","."&amp;U$2&amp;U$1&amp;"C"&amp;$A15)*RTD("tos.rtd",,"LAST","."&amp;U$2&amp;U$1&amp;"C"&amp;$A15)+100*RTD("tos.rtd",,"VOLUME","."&amp;U$2&amp;U$1&amp;"P"&amp;$A15)*RTD("tos.rtd",,"LAST","."&amp;U$2&amp;U$1&amp;"P"&amp;$A15))/1000000,(100*RTD("tos.rtd",,"VOLUME","."&amp;U$2&amp;U$1&amp;"C"&amp;$A15)*RTD("tos.rtd",,"LAST","."&amp;U$2&amp;U$1&amp;"C"&amp;$A15)-100*RTD("tos.rtd",,"VOLUME","."&amp;U$2&amp;U$1&amp;"P"&amp;$A15)*RTD("tos.rtd",,"LAST","."&amp;U$2&amp;U$1&amp;"P"&amp;$A15))/1000000),0),IF($A$2="DEX",IFERROR(IF($X$1="ABS",(100*RTD("tos.rtd",,"OPEN_INT","."&amp;U$2&amp;U$1&amp;"C"&amp;$A15)*RTD("tos.rtd",,"DELTA","."&amp;U$2&amp;U$1&amp;"C"&amp;$A15)+100*RTD("tos.rtd",,"OPEN_INT","."&amp;U$2&amp;U$1&amp;"P"&amp;$A15)*RTD("tos.rtd",,"DELTA","."&amp;U$2&amp;U$1&amp;"P"&amp;$A15))/1000,(100*RTD("tos.rtd",,"OPEN_INT","."&amp;U$2&amp;U$1&amp;"C"&amp;$A15)*RTD("tos.rtd",,"DELTA","."&amp;U$2&amp;U$1&amp;"C"&amp;$A15)-100*RTD("tos.rtd",,"OPEN_INT","."&amp;U$2&amp;U$1&amp;"P"&amp;$A15)*RTD("tos.rtd",,"DELTA","."&amp;U$2&amp;U$1&amp;"P"&amp;$A15))/1000),0),IF($A$2="VEX",IFERROR(IF($X$1="ABS",($A$4*$A$4*RTD("tos.rtd",,"VOLUME","."&amp;U$2&amp;U$1&amp;"C"&amp;$A15)*RTD("tos.rtd",,"GAMMA","."&amp;U$2&amp;U$1&amp;"C"&amp;$A15)+$A$4*$A$4*RTD("tos.rtd",,"VOLUME","."&amp;U$2&amp;U$1&amp;"P"&amp;$A15)*RTD("tos.rtd",,"GAMMA","."&amp;U$2&amp;U$1&amp;"P"&amp;$A15))/1000000,($A$4*$A$4*RTD("tos.rtd",,"VOLUME","."&amp;U$2&amp;U$1&amp;"C"&amp;$A15)*RTD("tos.rtd",,"GAMMA","."&amp;U$2&amp;U$1&amp;"C"&amp;$A15)-$A$4*$A$4*RTD("tos.rtd",,"VOLUME","."&amp;U$2&amp;U$1&amp;"P"&amp;$A15)*RTD("tos.rtd",,"GAMMA","."&amp;U$2&amp;U$1&amp;"P"&amp;$A15))/1000000),0),IF($A$2="GEX",IFERROR(IF($X$1="ABS",($A$4*$A$4*RTD("tos.rtd",,"OPEN_INT","."&amp;U$2&amp;U$1&amp;"C"&amp;$A15)*RTD("tos.rtd",,"GAMMA","."&amp;U$2&amp;U$1&amp;"C"&amp;$A15)+$A$4*$A$4*RTD("tos.rtd",,"OPEN_INT","."&amp;U$2&amp;U$1&amp;"P"&amp;$A15)*RTD("tos.rtd",,"GAMMA","."&amp;U$2&amp;U$1&amp;"P"&amp;$A15))/1000000,($A$4*$A$4*RTD("tos.rtd",,"OPEN_INT","."&amp;U$2&amp;U$1&amp;"C"&amp;$A15)*RTD("tos.rtd",,"GAMMA","."&amp;U$2&amp;U$1&amp;"C"&amp;$A15)-$A$4*$A$4*RTD("tos.rtd",,"OPEN_INT","."&amp;U$2&amp;U$1&amp;"P"&amp;$A15)*RTD("tos.rtd",,"GAMMA","."&amp;U$2&amp;U$1&amp;"P"&amp;$A15))/1000000),0),IF($A$2="SKEW",IFERROR(VALUE(IF(RTD("tos.rtd",,"IMPL_VOL","."&amp;U$2&amp;U$1&amp;"P"&amp;$A15)="N/A",0,RTD("tos.rtd",,"IMPL_VOL","."&amp;U$2&amp;U$1&amp;"P"&amp;$A15))),0)-IFERROR(VALUE(IF(RTD("tos.rtd",,"IMPL_VOL","."&amp;U$2&amp;U$1&amp;"C"&amp;$A15)="N/A",0,RTD("tos.rtd",,"IMPL_VOL","."&amp;U$2&amp;U$1&amp;"C"&amp;$A15))),0),IF($A$2="MAXPAIN",IF($A$4&gt;$A15,($A$4-$A15)*IF(RTD("tos.rtd",,"OPEN_INT","."&amp;U$2&amp;U$1&amp;"C"&amp;$A15)="N/A",0,RTD("tos.rtd",,"OPEN_INT","."&amp;U$2&amp;U$1&amp;"C"&amp;$A15)),0)+IF($A$4&lt;$A15,($A$5-$A$4)*IF(RTD("tos.rtd",,"OPEN_INT","."&amp;U$2&amp;U$1&amp;"P"&amp;$A15)="N/A",0,RTD("tos.rtd",,"OPEN_INT","."&amp;U$2&amp;U$1&amp;"P"&amp;$A15)),0),IF($X$1="ABS",IF(RTD("tos.rtd",,$A$2,"."&amp;U$2&amp;U$1&amp;"C"&amp;$A15)="N/A",0,RTD("tos.rtd",,$A$2,"."&amp;U$2&amp;U$1&amp;"C"&amp;$A15))+IF(RTD("tos.rtd",,$A$2,"."&amp;U$2&amp;U$1&amp;"P"&amp;$A15)="N/A",0,RTD("tos.rtd",,$A$2,"."&amp;U$2&amp;U$1&amp;"P"&amp;$A15)),IF(RTD("tos.rtd",,$A$2,"."&amp;U$2&amp;U$1&amp;"C"&amp;$A15)="N/A",0,RTD("tos.rtd",,$A$2,"."&amp;U$2&amp;U$1&amp;"C"&amp;$A15))-IF(RTD("tos.rtd",,$A$2,"."&amp;U$2&amp;U$1&amp;"P"&amp;$A15)="N/A",0,RTD("tos.rtd",,$A$2,"."&amp;U$2&amp;U$1&amp;"P"&amp;$A15))))))))))</f>
        <v>0</v>
      </c>
      <c r="V15" s="12">
        <f ca="1">IF($A$2="PREMIUM_OI",IFERROR(IF($X$1="ABS",(100*RTD("tos.rtd",,"OPEN_INT","."&amp;V$2&amp;V$1&amp;"C"&amp;$A15)*RTD("tos.rtd",,"LAST","."&amp;V$2&amp;V$1&amp;"C"&amp;$A15)+100*RTD("tos.rtd",,"OPEN_INT","."&amp;V$2&amp;V$1&amp;"P"&amp;$A15)*RTD("tos.rtd",,"LAST","."&amp;V$2&amp;V$1&amp;"P"&amp;$A15))/1000000,(100*RTD("tos.rtd",,"OPEN_INT","."&amp;V$2&amp;V$1&amp;"C"&amp;$A15)*RTD("tos.rtd",,"LAST","."&amp;V$2&amp;V$1&amp;"C"&amp;$A15)-100*RTD("tos.rtd",,"OPEN_INT","."&amp;V$2&amp;V$1&amp;"P"&amp;$A15)*RTD("tos.rtd",,"LAST","."&amp;V$2&amp;V$1&amp;"P"&amp;$A15))/1000000),0),IF($A$2="PREMIUM",IFERROR(IF($X$1="ABS",(100*RTD("tos.rtd",,"VOLUME","."&amp;V$2&amp;V$1&amp;"C"&amp;$A15)*RTD("tos.rtd",,"LAST","."&amp;V$2&amp;V$1&amp;"C"&amp;$A15)+100*RTD("tos.rtd",,"VOLUME","."&amp;V$2&amp;V$1&amp;"P"&amp;$A15)*RTD("tos.rtd",,"LAST","."&amp;V$2&amp;V$1&amp;"P"&amp;$A15))/1000000,(100*RTD("tos.rtd",,"VOLUME","."&amp;V$2&amp;V$1&amp;"C"&amp;$A15)*RTD("tos.rtd",,"LAST","."&amp;V$2&amp;V$1&amp;"C"&amp;$A15)-100*RTD("tos.rtd",,"VOLUME","."&amp;V$2&amp;V$1&amp;"P"&amp;$A15)*RTD("tos.rtd",,"LAST","."&amp;V$2&amp;V$1&amp;"P"&amp;$A15))/1000000),0),IF($A$2="DEX",IFERROR(IF($X$1="ABS",(100*RTD("tos.rtd",,"OPEN_INT","."&amp;V$2&amp;V$1&amp;"C"&amp;$A15)*RTD("tos.rtd",,"DELTA","."&amp;V$2&amp;V$1&amp;"C"&amp;$A15)+100*RTD("tos.rtd",,"OPEN_INT","."&amp;V$2&amp;V$1&amp;"P"&amp;$A15)*RTD("tos.rtd",,"DELTA","."&amp;V$2&amp;V$1&amp;"P"&amp;$A15))/1000,(100*RTD("tos.rtd",,"OPEN_INT","."&amp;V$2&amp;V$1&amp;"C"&amp;$A15)*RTD("tos.rtd",,"DELTA","."&amp;V$2&amp;V$1&amp;"C"&amp;$A15)-100*RTD("tos.rtd",,"OPEN_INT","."&amp;V$2&amp;V$1&amp;"P"&amp;$A15)*RTD("tos.rtd",,"DELTA","."&amp;V$2&amp;V$1&amp;"P"&amp;$A15))/1000),0),IF($A$2="VEX",IFERROR(IF($X$1="ABS",($A$4*$A$4*RTD("tos.rtd",,"VOLUME","."&amp;V$2&amp;V$1&amp;"C"&amp;$A15)*RTD("tos.rtd",,"GAMMA","."&amp;V$2&amp;V$1&amp;"C"&amp;$A15)+$A$4*$A$4*RTD("tos.rtd",,"VOLUME","."&amp;V$2&amp;V$1&amp;"P"&amp;$A15)*RTD("tos.rtd",,"GAMMA","."&amp;V$2&amp;V$1&amp;"P"&amp;$A15))/1000000,($A$4*$A$4*RTD("tos.rtd",,"VOLUME","."&amp;V$2&amp;V$1&amp;"C"&amp;$A15)*RTD("tos.rtd",,"GAMMA","."&amp;V$2&amp;V$1&amp;"C"&amp;$A15)-$A$4*$A$4*RTD("tos.rtd",,"VOLUME","."&amp;V$2&amp;V$1&amp;"P"&amp;$A15)*RTD("tos.rtd",,"GAMMA","."&amp;V$2&amp;V$1&amp;"P"&amp;$A15))/1000000),0),IF($A$2="GEX",IFERROR(IF($X$1="ABS",($A$4*$A$4*RTD("tos.rtd",,"OPEN_INT","."&amp;V$2&amp;V$1&amp;"C"&amp;$A15)*RTD("tos.rtd",,"GAMMA","."&amp;V$2&amp;V$1&amp;"C"&amp;$A15)+$A$4*$A$4*RTD("tos.rtd",,"OPEN_INT","."&amp;V$2&amp;V$1&amp;"P"&amp;$A15)*RTD("tos.rtd",,"GAMMA","."&amp;V$2&amp;V$1&amp;"P"&amp;$A15))/1000000,($A$4*$A$4*RTD("tos.rtd",,"OPEN_INT","."&amp;V$2&amp;V$1&amp;"C"&amp;$A15)*RTD("tos.rtd",,"GAMMA","."&amp;V$2&amp;V$1&amp;"C"&amp;$A15)-$A$4*$A$4*RTD("tos.rtd",,"OPEN_INT","."&amp;V$2&amp;V$1&amp;"P"&amp;$A15)*RTD("tos.rtd",,"GAMMA","."&amp;V$2&amp;V$1&amp;"P"&amp;$A15))/1000000),0),IF($A$2="SKEW",IFERROR(VALUE(IF(RTD("tos.rtd",,"IMPL_VOL","."&amp;V$2&amp;V$1&amp;"P"&amp;$A15)="N/A",0,RTD("tos.rtd",,"IMPL_VOL","."&amp;V$2&amp;V$1&amp;"P"&amp;$A15))),0)-IFERROR(VALUE(IF(RTD("tos.rtd",,"IMPL_VOL","."&amp;V$2&amp;V$1&amp;"C"&amp;$A15)="N/A",0,RTD("tos.rtd",,"IMPL_VOL","."&amp;V$2&amp;V$1&amp;"C"&amp;$A15))),0),IF($A$2="MAXPAIN",IF($A$4&gt;$A15,($A$4-$A15)*IF(RTD("tos.rtd",,"OPEN_INT","."&amp;V$2&amp;V$1&amp;"C"&amp;$A15)="N/A",0,RTD("tos.rtd",,"OPEN_INT","."&amp;V$2&amp;V$1&amp;"C"&amp;$A15)),0)+IF($A$4&lt;$A15,($A$5-$A$4)*IF(RTD("tos.rtd",,"OPEN_INT","."&amp;V$2&amp;V$1&amp;"P"&amp;$A15)="N/A",0,RTD("tos.rtd",,"OPEN_INT","."&amp;V$2&amp;V$1&amp;"P"&amp;$A15)),0),IF($X$1="ABS",IF(RTD("tos.rtd",,$A$2,"."&amp;V$2&amp;V$1&amp;"C"&amp;$A15)="N/A",0,RTD("tos.rtd",,$A$2,"."&amp;V$2&amp;V$1&amp;"C"&amp;$A15))+IF(RTD("tos.rtd",,$A$2,"."&amp;V$2&amp;V$1&amp;"P"&amp;$A15)="N/A",0,RTD("tos.rtd",,$A$2,"."&amp;V$2&amp;V$1&amp;"P"&amp;$A15)),IF(RTD("tos.rtd",,$A$2,"."&amp;V$2&amp;V$1&amp;"C"&amp;$A15)="N/A",0,RTD("tos.rtd",,$A$2,"."&amp;V$2&amp;V$1&amp;"C"&amp;$A15))-IF(RTD("tos.rtd",,$A$2,"."&amp;V$2&amp;V$1&amp;"P"&amp;$A15)="N/A",0,RTD("tos.rtd",,$A$2,"."&amp;V$2&amp;V$1&amp;"P"&amp;$A15))))))))))</f>
        <v>0</v>
      </c>
      <c r="W15" s="12">
        <f ca="1">IF($A$2="PREMIUM_OI",IFERROR(IF($X$1="ABS",(100*RTD("tos.rtd",,"OPEN_INT","."&amp;W$2&amp;W$1&amp;"C"&amp;$A15)*RTD("tos.rtd",,"LAST","."&amp;W$2&amp;W$1&amp;"C"&amp;$A15)+100*RTD("tos.rtd",,"OPEN_INT","."&amp;W$2&amp;W$1&amp;"P"&amp;$A15)*RTD("tos.rtd",,"LAST","."&amp;W$2&amp;W$1&amp;"P"&amp;$A15))/1000000,(100*RTD("tos.rtd",,"OPEN_INT","."&amp;W$2&amp;W$1&amp;"C"&amp;$A15)*RTD("tos.rtd",,"LAST","."&amp;W$2&amp;W$1&amp;"C"&amp;$A15)-100*RTD("tos.rtd",,"OPEN_INT","."&amp;W$2&amp;W$1&amp;"P"&amp;$A15)*RTD("tos.rtd",,"LAST","."&amp;W$2&amp;W$1&amp;"P"&amp;$A15))/1000000),0),IF($A$2="PREMIUM",IFERROR(IF($X$1="ABS",(100*RTD("tos.rtd",,"VOLUME","."&amp;W$2&amp;W$1&amp;"C"&amp;$A15)*RTD("tos.rtd",,"LAST","."&amp;W$2&amp;W$1&amp;"C"&amp;$A15)+100*RTD("tos.rtd",,"VOLUME","."&amp;W$2&amp;W$1&amp;"P"&amp;$A15)*RTD("tos.rtd",,"LAST","."&amp;W$2&amp;W$1&amp;"P"&amp;$A15))/1000000,(100*RTD("tos.rtd",,"VOLUME","."&amp;W$2&amp;W$1&amp;"C"&amp;$A15)*RTD("tos.rtd",,"LAST","."&amp;W$2&amp;W$1&amp;"C"&amp;$A15)-100*RTD("tos.rtd",,"VOLUME","."&amp;W$2&amp;W$1&amp;"P"&amp;$A15)*RTD("tos.rtd",,"LAST","."&amp;W$2&amp;W$1&amp;"P"&amp;$A15))/1000000),0),IF($A$2="DEX",IFERROR(IF($X$1="ABS",(100*RTD("tos.rtd",,"OPEN_INT","."&amp;W$2&amp;W$1&amp;"C"&amp;$A15)*RTD("tos.rtd",,"DELTA","."&amp;W$2&amp;W$1&amp;"C"&amp;$A15)+100*RTD("tos.rtd",,"OPEN_INT","."&amp;W$2&amp;W$1&amp;"P"&amp;$A15)*RTD("tos.rtd",,"DELTA","."&amp;W$2&amp;W$1&amp;"P"&amp;$A15))/1000,(100*RTD("tos.rtd",,"OPEN_INT","."&amp;W$2&amp;W$1&amp;"C"&amp;$A15)*RTD("tos.rtd",,"DELTA","."&amp;W$2&amp;W$1&amp;"C"&amp;$A15)-100*RTD("tos.rtd",,"OPEN_INT","."&amp;W$2&amp;W$1&amp;"P"&amp;$A15)*RTD("tos.rtd",,"DELTA","."&amp;W$2&amp;W$1&amp;"P"&amp;$A15))/1000),0),IF($A$2="VEX",IFERROR(IF($X$1="ABS",($A$4*$A$4*RTD("tos.rtd",,"VOLUME","."&amp;W$2&amp;W$1&amp;"C"&amp;$A15)*RTD("tos.rtd",,"GAMMA","."&amp;W$2&amp;W$1&amp;"C"&amp;$A15)+$A$4*$A$4*RTD("tos.rtd",,"VOLUME","."&amp;W$2&amp;W$1&amp;"P"&amp;$A15)*RTD("tos.rtd",,"GAMMA","."&amp;W$2&amp;W$1&amp;"P"&amp;$A15))/1000000,($A$4*$A$4*RTD("tos.rtd",,"VOLUME","."&amp;W$2&amp;W$1&amp;"C"&amp;$A15)*RTD("tos.rtd",,"GAMMA","."&amp;W$2&amp;W$1&amp;"C"&amp;$A15)-$A$4*$A$4*RTD("tos.rtd",,"VOLUME","."&amp;W$2&amp;W$1&amp;"P"&amp;$A15)*RTD("tos.rtd",,"GAMMA","."&amp;W$2&amp;W$1&amp;"P"&amp;$A15))/1000000),0),IF($A$2="GEX",IFERROR(IF($X$1="ABS",($A$4*$A$4*RTD("tos.rtd",,"OPEN_INT","."&amp;W$2&amp;W$1&amp;"C"&amp;$A15)*RTD("tos.rtd",,"GAMMA","."&amp;W$2&amp;W$1&amp;"C"&amp;$A15)+$A$4*$A$4*RTD("tos.rtd",,"OPEN_INT","."&amp;W$2&amp;W$1&amp;"P"&amp;$A15)*RTD("tos.rtd",,"GAMMA","."&amp;W$2&amp;W$1&amp;"P"&amp;$A15))/1000000,($A$4*$A$4*RTD("tos.rtd",,"OPEN_INT","."&amp;W$2&amp;W$1&amp;"C"&amp;$A15)*RTD("tos.rtd",,"GAMMA","."&amp;W$2&amp;W$1&amp;"C"&amp;$A15)-$A$4*$A$4*RTD("tos.rtd",,"OPEN_INT","."&amp;W$2&amp;W$1&amp;"P"&amp;$A15)*RTD("tos.rtd",,"GAMMA","."&amp;W$2&amp;W$1&amp;"P"&amp;$A15))/1000000),0),IF($A$2="SKEW",IFERROR(VALUE(IF(RTD("tos.rtd",,"IMPL_VOL","."&amp;W$2&amp;W$1&amp;"P"&amp;$A15)="N/A",0,RTD("tos.rtd",,"IMPL_VOL","."&amp;W$2&amp;W$1&amp;"P"&amp;$A15))),0)-IFERROR(VALUE(IF(RTD("tos.rtd",,"IMPL_VOL","."&amp;W$2&amp;W$1&amp;"C"&amp;$A15)="N/A",0,RTD("tos.rtd",,"IMPL_VOL","."&amp;W$2&amp;W$1&amp;"C"&amp;$A15))),0),IF($A$2="MAXPAIN",IF($A$4&gt;$A15,($A$4-$A15)*IF(RTD("tos.rtd",,"OPEN_INT","."&amp;W$2&amp;W$1&amp;"C"&amp;$A15)="N/A",0,RTD("tos.rtd",,"OPEN_INT","."&amp;W$2&amp;W$1&amp;"C"&amp;$A15)),0)+IF($A$4&lt;$A15,($A$5-$A$4)*IF(RTD("tos.rtd",,"OPEN_INT","."&amp;W$2&amp;W$1&amp;"P"&amp;$A15)="N/A",0,RTD("tos.rtd",,"OPEN_INT","."&amp;W$2&amp;W$1&amp;"P"&amp;$A15)),0),IF($X$1="ABS",IF(RTD("tos.rtd",,$A$2,"."&amp;W$2&amp;W$1&amp;"C"&amp;$A15)="N/A",0,RTD("tos.rtd",,$A$2,"."&amp;W$2&amp;W$1&amp;"C"&amp;$A15))+IF(RTD("tos.rtd",,$A$2,"."&amp;W$2&amp;W$1&amp;"P"&amp;$A15)="N/A",0,RTD("tos.rtd",,$A$2,"."&amp;W$2&amp;W$1&amp;"P"&amp;$A15)),IF(RTD("tos.rtd",,$A$2,"."&amp;W$2&amp;W$1&amp;"C"&amp;$A15)="N/A",0,RTD("tos.rtd",,$A$2,"."&amp;W$2&amp;W$1&amp;"C"&amp;$A15))-IF(RTD("tos.rtd",,$A$2,"."&amp;W$2&amp;W$1&amp;"P"&amp;$A15)="N/A",0,RTD("tos.rtd",,$A$2,"."&amp;W$2&amp;W$1&amp;"P"&amp;$A15))))))))))</f>
        <v>0</v>
      </c>
      <c r="X15" s="57">
        <f t="shared" ca="1" si="7"/>
        <v>0</v>
      </c>
      <c r="Y15" s="27">
        <f t="shared" ca="1" si="8"/>
        <v>0</v>
      </c>
      <c r="Z15" s="27" t="b">
        <f t="shared" ca="1" si="9"/>
        <v>0</v>
      </c>
      <c r="AA15" s="27">
        <f t="shared" si="10"/>
        <v>158717900</v>
      </c>
      <c r="AB15" s="18">
        <f>MAX(0, $A15-AB$4)*IF(RTD("tos.rtd",,"OPEN_INT","."&amp;$AA$3&amp;$AA$4&amp;"C"&amp;AB$4)="N/A",0,RTD("tos.rtd",,"OPEN_INT","."&amp;$AA$3&amp;$AA$4&amp;"C"&amp;AB$4))*100 + MAX(0, AB$4-$A15)*IF(RTD("tos.rtd",,"OPEN_INT","."&amp;$AA$3&amp;$AA$4&amp;"P"&amp;AB$4)="N/A",0,RTD("tos.rtd",,"OPEN_INT","."&amp;$AA$3&amp;$AA$4&amp;"P"&amp;AB$4))*100</f>
        <v>0</v>
      </c>
      <c r="AC15" s="18">
        <f>MAX(0, $A15-AC$4)*IF(RTD("tos.rtd",,"OPEN_INT","."&amp;$AA$3&amp;$AA$4&amp;"C"&amp;AC$4)="N/A",0,RTD("tos.rtd",,"OPEN_INT","."&amp;$AA$3&amp;$AA$4&amp;"C"&amp;AC$4))*100 + MAX(0, AC$4-$A15)*IF(RTD("tos.rtd",,"OPEN_INT","."&amp;$AA$3&amp;$AA$4&amp;"P"&amp;AC$4)="N/A",0,RTD("tos.rtd",,"OPEN_INT","."&amp;$AA$3&amp;$AA$4&amp;"P"&amp;AC$4))*100</f>
        <v>0</v>
      </c>
      <c r="AD15" s="18">
        <f>MAX(0, $A15-AD$4)*IF(RTD("tos.rtd",,"OPEN_INT","."&amp;$AA$3&amp;$AA$4&amp;"C"&amp;AD$4)="N/A",0,RTD("tos.rtd",,"OPEN_INT","."&amp;$AA$3&amp;$AA$4&amp;"C"&amp;AD$4))*100 + MAX(0, AD$4-$A15)*IF(RTD("tos.rtd",,"OPEN_INT","."&amp;$AA$3&amp;$AA$4&amp;"P"&amp;AD$4)="N/A",0,RTD("tos.rtd",,"OPEN_INT","."&amp;$AA$3&amp;$AA$4&amp;"P"&amp;AD$4))*100</f>
        <v>0</v>
      </c>
      <c r="AE15" s="18">
        <f>MAX(0, $A15-AE$4)*IF(RTD("tos.rtd",,"OPEN_INT","."&amp;$AA$3&amp;$AA$4&amp;"C"&amp;AE$4)="N/A",0,RTD("tos.rtd",,"OPEN_INT","."&amp;$AA$3&amp;$AA$4&amp;"C"&amp;AE$4))*100 + MAX(0, AE$4-$A15)*IF(RTD("tos.rtd",,"OPEN_INT","."&amp;$AA$3&amp;$AA$4&amp;"P"&amp;AE$4)="N/A",0,RTD("tos.rtd",,"OPEN_INT","."&amp;$AA$3&amp;$AA$4&amp;"P"&amp;AE$4))*100</f>
        <v>0</v>
      </c>
      <c r="AF15" s="18">
        <f>MAX(0, $A15-AF$4)*IF(RTD("tos.rtd",,"OPEN_INT","."&amp;$AA$3&amp;$AA$4&amp;"C"&amp;AF$4)="N/A",0,RTD("tos.rtd",,"OPEN_INT","."&amp;$AA$3&amp;$AA$4&amp;"C"&amp;AF$4))*100 + MAX(0, AF$4-$A15)*IF(RTD("tos.rtd",,"OPEN_INT","."&amp;$AA$3&amp;$AA$4&amp;"P"&amp;AF$4)="N/A",0,RTD("tos.rtd",,"OPEN_INT","."&amp;$AA$3&amp;$AA$4&amp;"P"&amp;AF$4))*100</f>
        <v>0</v>
      </c>
      <c r="AG15" s="18">
        <f>MAX(0, $A15-AG$4)*IF(RTD("tos.rtd",,"OPEN_INT","."&amp;$AA$3&amp;$AA$4&amp;"C"&amp;AG$4)="N/A",0,RTD("tos.rtd",,"OPEN_INT","."&amp;$AA$3&amp;$AA$4&amp;"C"&amp;AG$4))*100 + MAX(0, AG$4-$A15)*IF(RTD("tos.rtd",,"OPEN_INT","."&amp;$AA$3&amp;$AA$4&amp;"P"&amp;AG$4)="N/A",0,RTD("tos.rtd",,"OPEN_INT","."&amp;$AA$3&amp;$AA$4&amp;"P"&amp;AG$4))*100</f>
        <v>0</v>
      </c>
      <c r="AH15" s="18">
        <f>MAX(0, $A15-AH$4)*IF(RTD("tos.rtd",,"OPEN_INT","."&amp;$AA$3&amp;$AA$4&amp;"C"&amp;AH$4)="N/A",0,RTD("tos.rtd",,"OPEN_INT","."&amp;$AA$3&amp;$AA$4&amp;"C"&amp;AH$4))*100 + MAX(0, AH$4-$A15)*IF(RTD("tos.rtd",,"OPEN_INT","."&amp;$AA$3&amp;$AA$4&amp;"P"&amp;AH$4)="N/A",0,RTD("tos.rtd",,"OPEN_INT","."&amp;$AA$3&amp;$AA$4&amp;"P"&amp;AH$4))*100</f>
        <v>0</v>
      </c>
      <c r="AI15" s="18">
        <f>MAX(0, $A15-AI$4)*IF(RTD("tos.rtd",,"OPEN_INT","."&amp;$AA$3&amp;$AA$4&amp;"C"&amp;AI$4)="N/A",0,RTD("tos.rtd",,"OPEN_INT","."&amp;$AA$3&amp;$AA$4&amp;"C"&amp;AI$4))*100 + MAX(0, AI$4-$A15)*IF(RTD("tos.rtd",,"OPEN_INT","."&amp;$AA$3&amp;$AA$4&amp;"P"&amp;AI$4)="N/A",0,RTD("tos.rtd",,"OPEN_INT","."&amp;$AA$3&amp;$AA$4&amp;"P"&amp;AI$4))*100</f>
        <v>450</v>
      </c>
      <c r="AJ15" s="18">
        <f>MAX(0, $A15-AJ$4)*IF(RTD("tos.rtd",,"OPEN_INT","."&amp;$AA$3&amp;$AA$4&amp;"C"&amp;AJ$4)="N/A",0,RTD("tos.rtd",,"OPEN_INT","."&amp;$AA$3&amp;$AA$4&amp;"C"&amp;AJ$4))*100 + MAX(0, AJ$4-$A15)*IF(RTD("tos.rtd",,"OPEN_INT","."&amp;$AA$3&amp;$AA$4&amp;"P"&amp;AJ$4)="N/A",0,RTD("tos.rtd",,"OPEN_INT","."&amp;$AA$3&amp;$AA$4&amp;"P"&amp;AJ$4))*100</f>
        <v>800</v>
      </c>
      <c r="AK15" s="18">
        <f>MAX(0, $A15-AK$4)*IF(RTD("tos.rtd",,"OPEN_INT","."&amp;$AA$3&amp;$AA$4&amp;"C"&amp;AK$4)="N/A",0,RTD("tos.rtd",,"OPEN_INT","."&amp;$AA$3&amp;$AA$4&amp;"C"&amp;AK$4))*100 + MAX(0, AK$4-$A15)*IF(RTD("tos.rtd",,"OPEN_INT","."&amp;$AA$3&amp;$AA$4&amp;"P"&amp;AK$4)="N/A",0,RTD("tos.rtd",,"OPEN_INT","."&amp;$AA$3&amp;$AA$4&amp;"P"&amp;AK$4))*100</f>
        <v>0</v>
      </c>
      <c r="AL15" s="18">
        <f>MAX(0, $A15-AL$4)*IF(RTD("tos.rtd",,"OPEN_INT","."&amp;$AA$3&amp;$AA$4&amp;"C"&amp;AL$4)="N/A",0,RTD("tos.rtd",,"OPEN_INT","."&amp;$AA$3&amp;$AA$4&amp;"C"&amp;AL$4))*100 + MAX(0, AL$4-$A15)*IF(RTD("tos.rtd",,"OPEN_INT","."&amp;$AA$3&amp;$AA$4&amp;"P"&amp;AL$4)="N/A",0,RTD("tos.rtd",,"OPEN_INT","."&amp;$AA$3&amp;$AA$4&amp;"P"&amp;AL$4))*100</f>
        <v>0</v>
      </c>
      <c r="AM15" s="18">
        <f>MAX(0, $A15-AM$4)*IF(RTD("tos.rtd",,"OPEN_INT","."&amp;$AA$3&amp;$AA$4&amp;"C"&amp;AM$4)="N/A",0,RTD("tos.rtd",,"OPEN_INT","."&amp;$AA$3&amp;$AA$4&amp;"C"&amp;AM$4))*100 + MAX(0, AM$4-$A15)*IF(RTD("tos.rtd",,"OPEN_INT","."&amp;$AA$3&amp;$AA$4&amp;"P"&amp;AM$4)="N/A",0,RTD("tos.rtd",,"OPEN_INT","."&amp;$AA$3&amp;$AA$4&amp;"P"&amp;AM$4))*100</f>
        <v>118250</v>
      </c>
      <c r="AN15" s="18">
        <f>MAX(0, $A15-AN$4)*IF(RTD("tos.rtd",,"OPEN_INT","."&amp;$AA$3&amp;$AA$4&amp;"C"&amp;AN$4)="N/A",0,RTD("tos.rtd",,"OPEN_INT","."&amp;$AA$3&amp;$AA$4&amp;"C"&amp;AN$4))*100 + MAX(0, AN$4-$A15)*IF(RTD("tos.rtd",,"OPEN_INT","."&amp;$AA$3&amp;$AA$4&amp;"P"&amp;AN$4)="N/A",0,RTD("tos.rtd",,"OPEN_INT","."&amp;$AA$3&amp;$AA$4&amp;"P"&amp;AN$4))*100</f>
        <v>0</v>
      </c>
      <c r="AO15" s="18">
        <f>MAX(0, $A15-AO$4)*IF(RTD("tos.rtd",,"OPEN_INT","."&amp;$AA$3&amp;$AA$4&amp;"C"&amp;AO$4)="N/A",0,RTD("tos.rtd",,"OPEN_INT","."&amp;$AA$3&amp;$AA$4&amp;"C"&amp;AO$4))*100 + MAX(0, AO$4-$A15)*IF(RTD("tos.rtd",,"OPEN_INT","."&amp;$AA$3&amp;$AA$4&amp;"P"&amp;AO$4)="N/A",0,RTD("tos.rtd",,"OPEN_INT","."&amp;$AA$3&amp;$AA$4&amp;"P"&amp;AO$4))*100</f>
        <v>103350</v>
      </c>
      <c r="AP15" s="18">
        <f>MAX(0, $A15-AP$4)*IF(RTD("tos.rtd",,"OPEN_INT","."&amp;$AA$3&amp;$AA$4&amp;"C"&amp;AP$4)="N/A",0,RTD("tos.rtd",,"OPEN_INT","."&amp;$AA$3&amp;$AA$4&amp;"C"&amp;AP$4))*100 + MAX(0, AP$4-$A15)*IF(RTD("tos.rtd",,"OPEN_INT","."&amp;$AA$3&amp;$AA$4&amp;"P"&amp;AP$4)="N/A",0,RTD("tos.rtd",,"OPEN_INT","."&amp;$AA$3&amp;$AA$4&amp;"P"&amp;AP$4))*100</f>
        <v>0</v>
      </c>
      <c r="AQ15" s="18">
        <f>MAX(0, $A15-AQ$4)*IF(RTD("tos.rtd",,"OPEN_INT","."&amp;$AA$3&amp;$AA$4&amp;"C"&amp;AQ$4)="N/A",0,RTD("tos.rtd",,"OPEN_INT","."&amp;$AA$3&amp;$AA$4&amp;"C"&amp;AQ$4))*100 + MAX(0, AQ$4-$A15)*IF(RTD("tos.rtd",,"OPEN_INT","."&amp;$AA$3&amp;$AA$4&amp;"P"&amp;AQ$4)="N/A",0,RTD("tos.rtd",,"OPEN_INT","."&amp;$AA$3&amp;$AA$4&amp;"P"&amp;AQ$4))*100</f>
        <v>160000</v>
      </c>
      <c r="AR15" s="18">
        <f>MAX(0, $A15-AR$4)*IF(RTD("tos.rtd",,"OPEN_INT","."&amp;$AA$3&amp;$AA$4&amp;"C"&amp;AR$4)="N/A",0,RTD("tos.rtd",,"OPEN_INT","."&amp;$AA$3&amp;$AA$4&amp;"C"&amp;AR$4))*100 + MAX(0, AR$4-$A15)*IF(RTD("tos.rtd",,"OPEN_INT","."&amp;$AA$3&amp;$AA$4&amp;"P"&amp;AR$4)="N/A",0,RTD("tos.rtd",,"OPEN_INT","."&amp;$AA$3&amp;$AA$4&amp;"P"&amp;AR$4))*100</f>
        <v>300</v>
      </c>
      <c r="AS15" s="18">
        <f>MAX(0, $A15-AS$4)*IF(RTD("tos.rtd",,"OPEN_INT","."&amp;$AA$3&amp;$AA$4&amp;"C"&amp;AS$4)="N/A",0,RTD("tos.rtd",,"OPEN_INT","."&amp;$AA$3&amp;$AA$4&amp;"C"&amp;AS$4))*100 + MAX(0, AS$4-$A15)*IF(RTD("tos.rtd",,"OPEN_INT","."&amp;$AA$3&amp;$AA$4&amp;"P"&amp;AS$4)="N/A",0,RTD("tos.rtd",,"OPEN_INT","."&amp;$AA$3&amp;$AA$4&amp;"P"&amp;AS$4))*100</f>
        <v>301700</v>
      </c>
      <c r="AT15" s="18">
        <f>MAX(0, $A15-AT$4)*IF(RTD("tos.rtd",,"OPEN_INT","."&amp;$AA$3&amp;$AA$4&amp;"C"&amp;AT$4)="N/A",0,RTD("tos.rtd",,"OPEN_INT","."&amp;$AA$3&amp;$AA$4&amp;"C"&amp;AT$4))*100 + MAX(0, AT$4-$A15)*IF(RTD("tos.rtd",,"OPEN_INT","."&amp;$AA$3&amp;$AA$4&amp;"P"&amp;AT$4)="N/A",0,RTD("tos.rtd",,"OPEN_INT","."&amp;$AA$3&amp;$AA$4&amp;"P"&amp;AT$4))*100</f>
        <v>560800</v>
      </c>
      <c r="AU15" s="18">
        <f>MAX(0, $A15-AU$4)*IF(RTD("tos.rtd",,"OPEN_INT","."&amp;$AA$3&amp;$AA$4&amp;"C"&amp;AU$4)="N/A",0,RTD("tos.rtd",,"OPEN_INT","."&amp;$AA$3&amp;$AA$4&amp;"C"&amp;AU$4))*100 + MAX(0, AU$4-$A15)*IF(RTD("tos.rtd",,"OPEN_INT","."&amp;$AA$3&amp;$AA$4&amp;"P"&amp;AU$4)="N/A",0,RTD("tos.rtd",,"OPEN_INT","."&amp;$AA$3&amp;$AA$4&amp;"P"&amp;AU$4))*100</f>
        <v>757350</v>
      </c>
      <c r="AV15" s="18">
        <f>MAX(0, $A15-AV$4)*IF(RTD("tos.rtd",,"OPEN_INT","."&amp;$AA$3&amp;$AA$4&amp;"C"&amp;AV$4)="N/A",0,RTD("tos.rtd",,"OPEN_INT","."&amp;$AA$3&amp;$AA$4&amp;"C"&amp;AV$4))*100 + MAX(0, AV$4-$A15)*IF(RTD("tos.rtd",,"OPEN_INT","."&amp;$AA$3&amp;$AA$4&amp;"P"&amp;AV$4)="N/A",0,RTD("tos.rtd",,"OPEN_INT","."&amp;$AA$3&amp;$AA$4&amp;"P"&amp;AV$4))*100</f>
        <v>944000</v>
      </c>
      <c r="AW15" s="18">
        <f>MAX(0, $A15-AW$4)*IF(RTD("tos.rtd",,"OPEN_INT","."&amp;$AA$3&amp;$AA$4&amp;"C"&amp;AW$4)="N/A",0,RTD("tos.rtd",,"OPEN_INT","."&amp;$AA$3&amp;$AA$4&amp;"C"&amp;AW$4))*100 + MAX(0, AW$4-$A15)*IF(RTD("tos.rtd",,"OPEN_INT","."&amp;$AA$3&amp;$AA$4&amp;"P"&amp;AW$4)="N/A",0,RTD("tos.rtd",,"OPEN_INT","."&amp;$AA$3&amp;$AA$4&amp;"P"&amp;AW$4))*100</f>
        <v>1691250</v>
      </c>
      <c r="AX15" s="18">
        <f>MAX(0, $A15-AX$4)*IF(RTD("tos.rtd",,"OPEN_INT","."&amp;$AA$3&amp;$AA$4&amp;"C"&amp;AX$4)="N/A",0,RTD("tos.rtd",,"OPEN_INT","."&amp;$AA$3&amp;$AA$4&amp;"C"&amp;AX$4))*100 + MAX(0, AX$4-$A15)*IF(RTD("tos.rtd",,"OPEN_INT","."&amp;$AA$3&amp;$AA$4&amp;"P"&amp;AX$4)="N/A",0,RTD("tos.rtd",,"OPEN_INT","."&amp;$AA$3&amp;$AA$4&amp;"P"&amp;AX$4))*100</f>
        <v>2551800</v>
      </c>
      <c r="AY15" s="18">
        <f>MAX(0, $A15-AY$4)*IF(RTD("tos.rtd",,"OPEN_INT","."&amp;$AA$3&amp;$AA$4&amp;"C"&amp;AY$4)="N/A",0,RTD("tos.rtd",,"OPEN_INT","."&amp;$AA$3&amp;$AA$4&amp;"C"&amp;AY$4))*100 + MAX(0, AY$4-$A15)*IF(RTD("tos.rtd",,"OPEN_INT","."&amp;$AA$3&amp;$AA$4&amp;"P"&amp;AY$4)="N/A",0,RTD("tos.rtd",,"OPEN_INT","."&amp;$AA$3&amp;$AA$4&amp;"P"&amp;AY$4))*100</f>
        <v>12706200</v>
      </c>
      <c r="AZ15" s="18">
        <f>MAX(0, $A15-AZ$4)*IF(RTD("tos.rtd",,"OPEN_INT","."&amp;$AA$3&amp;$AA$4&amp;"C"&amp;AZ$4)="N/A",0,RTD("tos.rtd",,"OPEN_INT","."&amp;$AA$3&amp;$AA$4&amp;"C"&amp;AZ$4))*100 + MAX(0, AZ$4-$A15)*IF(RTD("tos.rtd",,"OPEN_INT","."&amp;$AA$3&amp;$AA$4&amp;"P"&amp;AZ$4)="N/A",0,RTD("tos.rtd",,"OPEN_INT","."&amp;$AA$3&amp;$AA$4&amp;"P"&amp;AZ$4))*100</f>
        <v>6895000</v>
      </c>
      <c r="BA15" s="18">
        <f>MAX(0, $A15-BA$4)*IF(RTD("tos.rtd",,"OPEN_INT","."&amp;$AA$3&amp;$AA$4&amp;"C"&amp;BA$4)="N/A",0,RTD("tos.rtd",,"OPEN_INT","."&amp;$AA$3&amp;$AA$4&amp;"C"&amp;BA$4))*100 + MAX(0, BA$4-$A15)*IF(RTD("tos.rtd",,"OPEN_INT","."&amp;$AA$3&amp;$AA$4&amp;"P"&amp;BA$4)="N/A",0,RTD("tos.rtd",,"OPEN_INT","."&amp;$AA$3&amp;$AA$4&amp;"P"&amp;BA$4))*100</f>
        <v>23105250</v>
      </c>
      <c r="BB15" s="18">
        <f>MAX(0, $A15-BB$4)*IF(RTD("tos.rtd",,"OPEN_INT","."&amp;$AA$3&amp;$AA$4&amp;"C"&amp;BB$4)="N/A",0,RTD("tos.rtd",,"OPEN_INT","."&amp;$AA$3&amp;$AA$4&amp;"C"&amp;BB$4))*100 + MAX(0, BB$4-$A15)*IF(RTD("tos.rtd",,"OPEN_INT","."&amp;$AA$3&amp;$AA$4&amp;"P"&amp;BB$4)="N/A",0,RTD("tos.rtd",,"OPEN_INT","."&amp;$AA$3&amp;$AA$4&amp;"P"&amp;BB$4))*100</f>
        <v>22926400</v>
      </c>
      <c r="BC15" s="18">
        <f>MAX(0, $A15-BC$4)*IF(RTD("tos.rtd",,"OPEN_INT","."&amp;$AA$3&amp;$AA$4&amp;"C"&amp;BC$4)="N/A",0,RTD("tos.rtd",,"OPEN_INT","."&amp;$AA$3&amp;$AA$4&amp;"C"&amp;BC$4))*100 + MAX(0, BC$4-$A15)*IF(RTD("tos.rtd",,"OPEN_INT","."&amp;$AA$3&amp;$AA$4&amp;"P"&amp;BC$4)="N/A",0,RTD("tos.rtd",,"OPEN_INT","."&amp;$AA$3&amp;$AA$4&amp;"P"&amp;BC$4))*100</f>
        <v>34606050</v>
      </c>
      <c r="BD15" s="18">
        <f>MAX(0, $A15-BD$4)*IF(RTD("tos.rtd",,"OPEN_INT","."&amp;$AA$3&amp;$AA$4&amp;"C"&amp;BD$4)="N/A",0,RTD("tos.rtd",,"OPEN_INT","."&amp;$AA$3&amp;$AA$4&amp;"C"&amp;BD$4))*100 + MAX(0, BD$4-$A15)*IF(RTD("tos.rtd",,"OPEN_INT","."&amp;$AA$3&amp;$AA$4&amp;"P"&amp;BD$4)="N/A",0,RTD("tos.rtd",,"OPEN_INT","."&amp;$AA$3&amp;$AA$4&amp;"P"&amp;BD$4))*100</f>
        <v>16704000</v>
      </c>
      <c r="BE15" s="18">
        <f>MAX(0, $A15-BE$4)*IF(RTD("tos.rtd",,"OPEN_INT","."&amp;$AA$3&amp;$AA$4&amp;"C"&amp;BE$4)="N/A",0,RTD("tos.rtd",,"OPEN_INT","."&amp;$AA$3&amp;$AA$4&amp;"C"&amp;BE$4))*100 + MAX(0, BE$4-$A15)*IF(RTD("tos.rtd",,"OPEN_INT","."&amp;$AA$3&amp;$AA$4&amp;"P"&amp;BE$4)="N/A",0,RTD("tos.rtd",,"OPEN_INT","."&amp;$AA$3&amp;$AA$4&amp;"P"&amp;BE$4))*100</f>
        <v>16414100</v>
      </c>
      <c r="BF15" s="18">
        <f>MAX(0, $A15-BF$4)*IF(RTD("tos.rtd",,"OPEN_INT","."&amp;$AA$3&amp;$AA$4&amp;"C"&amp;BF$4)="N/A",0,RTD("tos.rtd",,"OPEN_INT","."&amp;$AA$3&amp;$AA$4&amp;"C"&amp;BF$4))*100 + MAX(0, BF$4-$A15)*IF(RTD("tos.rtd",,"OPEN_INT","."&amp;$AA$3&amp;$AA$4&amp;"P"&amp;BF$4)="N/A",0,RTD("tos.rtd",,"OPEN_INT","."&amp;$AA$3&amp;$AA$4&amp;"P"&amp;BF$4))*100</f>
        <v>8407000</v>
      </c>
      <c r="BG15" s="18">
        <f>MAX(0, $A15-BG$4)*IF(RTD("tos.rtd",,"OPEN_INT","."&amp;$AA$3&amp;$AA$4&amp;"C"&amp;BG$4)="N/A",0,RTD("tos.rtd",,"OPEN_INT","."&amp;$AA$3&amp;$AA$4&amp;"C"&amp;BG$4))*100 + MAX(0, BG$4-$A15)*IF(RTD("tos.rtd",,"OPEN_INT","."&amp;$AA$3&amp;$AA$4&amp;"P"&amp;BG$4)="N/A",0,RTD("tos.rtd",,"OPEN_INT","."&amp;$AA$3&amp;$AA$4&amp;"P"&amp;BG$4))*100</f>
        <v>6020700</v>
      </c>
      <c r="BH15" s="18">
        <f>MAX(0, $A15-BH$4)*IF(RTD("tos.rtd",,"OPEN_INT","."&amp;$AA$3&amp;$AA$4&amp;"C"&amp;BH$4)="N/A",0,RTD("tos.rtd",,"OPEN_INT","."&amp;$AA$3&amp;$AA$4&amp;"C"&amp;BH$4))*100 + MAX(0, BH$4-$A15)*IF(RTD("tos.rtd",,"OPEN_INT","."&amp;$AA$3&amp;$AA$4&amp;"P"&amp;BH$4)="N/A",0,RTD("tos.rtd",,"OPEN_INT","."&amp;$AA$3&amp;$AA$4&amp;"P"&amp;BH$4))*100</f>
        <v>2137300</v>
      </c>
      <c r="BI15" s="18">
        <f>MAX(0, $A15-BI$4)*IF(RTD("tos.rtd",,"OPEN_INT","."&amp;$AA$3&amp;$AA$4&amp;"C"&amp;BI$4)="N/A",0,RTD("tos.rtd",,"OPEN_INT","."&amp;$AA$3&amp;$AA$4&amp;"C"&amp;BI$4))*100 + MAX(0, BI$4-$A15)*IF(RTD("tos.rtd",,"OPEN_INT","."&amp;$AA$3&amp;$AA$4&amp;"P"&amp;BI$4)="N/A",0,RTD("tos.rtd",,"OPEN_INT","."&amp;$AA$3&amp;$AA$4&amp;"P"&amp;BI$4))*100</f>
        <v>968300</v>
      </c>
      <c r="BJ15" s="18">
        <f>MAX(0, $A15-BJ$4)*IF(RTD("tos.rtd",,"OPEN_INT","."&amp;$AA$3&amp;$AA$4&amp;"C"&amp;BJ$4)="N/A",0,RTD("tos.rtd",,"OPEN_INT","."&amp;$AA$3&amp;$AA$4&amp;"C"&amp;BJ$4))*100 + MAX(0, BJ$4-$A15)*IF(RTD("tos.rtd",,"OPEN_INT","."&amp;$AA$3&amp;$AA$4&amp;"P"&amp;BJ$4)="N/A",0,RTD("tos.rtd",,"OPEN_INT","."&amp;$AA$3&amp;$AA$4&amp;"P"&amp;BJ$4))*100</f>
        <v>181200</v>
      </c>
      <c r="BK15" s="18">
        <f>MAX(0, $A15-BK$4)*IF(RTD("tos.rtd",,"OPEN_INT","."&amp;$AA$3&amp;$AA$4&amp;"C"&amp;BK$4)="N/A",0,RTD("tos.rtd",,"OPEN_INT","."&amp;$AA$3&amp;$AA$4&amp;"C"&amp;BK$4))*100 + MAX(0, BK$4-$A15)*IF(RTD("tos.rtd",,"OPEN_INT","."&amp;$AA$3&amp;$AA$4&amp;"P"&amp;BK$4)="N/A",0,RTD("tos.rtd",,"OPEN_INT","."&amp;$AA$3&amp;$AA$4&amp;"P"&amp;BK$4))*100</f>
        <v>326250</v>
      </c>
      <c r="BL15" s="18">
        <f>MAX(0, $A15-BL$4)*IF(RTD("tos.rtd",,"OPEN_INT","."&amp;$AA$3&amp;$AA$4&amp;"C"&amp;BL$4)="N/A",0,RTD("tos.rtd",,"OPEN_INT","."&amp;$AA$3&amp;$AA$4&amp;"C"&amp;BL$4))*100 + MAX(0, BL$4-$A15)*IF(RTD("tos.rtd",,"OPEN_INT","."&amp;$AA$3&amp;$AA$4&amp;"P"&amp;BL$4)="N/A",0,RTD("tos.rtd",,"OPEN_INT","."&amp;$AA$3&amp;$AA$4&amp;"P"&amp;BL$4))*100</f>
        <v>20800</v>
      </c>
      <c r="BM15" s="18">
        <f>MAX(0, $A15-BM$4)*IF(RTD("tos.rtd",,"OPEN_INT","."&amp;$AA$3&amp;$AA$4&amp;"C"&amp;BM$4)="N/A",0,RTD("tos.rtd",,"OPEN_INT","."&amp;$AA$3&amp;$AA$4&amp;"C"&amp;BM$4))*100 + MAX(0, BM$4-$A15)*IF(RTD("tos.rtd",,"OPEN_INT","."&amp;$AA$3&amp;$AA$4&amp;"P"&amp;BM$4)="N/A",0,RTD("tos.rtd",,"OPEN_INT","."&amp;$AA$3&amp;$AA$4&amp;"P"&amp;BM$4))*100</f>
        <v>10800</v>
      </c>
      <c r="BN15" s="18">
        <f>MAX(0, $A15-BN$4)*IF(RTD("tos.rtd",,"OPEN_INT","."&amp;$AA$3&amp;$AA$4&amp;"C"&amp;BN$4)="N/A",0,RTD("tos.rtd",,"OPEN_INT","."&amp;$AA$3&amp;$AA$4&amp;"C"&amp;BN$4))*100 + MAX(0, BN$4-$A15)*IF(RTD("tos.rtd",,"OPEN_INT","."&amp;$AA$3&amp;$AA$4&amp;"P"&amp;BN$4)="N/A",0,RTD("tos.rtd",,"OPEN_INT","."&amp;$AA$3&amp;$AA$4&amp;"P"&amp;BN$4))*100</f>
        <v>43400</v>
      </c>
      <c r="BO15" s="18">
        <f>MAX(0, $A15-BO$4)*IF(RTD("tos.rtd",,"OPEN_INT","."&amp;$AA$3&amp;$AA$4&amp;"C"&amp;BO$4)="N/A",0,RTD("tos.rtd",,"OPEN_INT","."&amp;$AA$3&amp;$AA$4&amp;"C"&amp;BO$4))*100 + MAX(0, BO$4-$A15)*IF(RTD("tos.rtd",,"OPEN_INT","."&amp;$AA$3&amp;$AA$4&amp;"P"&amp;BO$4)="N/A",0,RTD("tos.rtd",,"OPEN_INT","."&amp;$AA$3&amp;$AA$4&amp;"P"&amp;BO$4))*100</f>
        <v>55100</v>
      </c>
      <c r="BP15" s="18">
        <f>MAX(0, $A15-BP$4)*IF(RTD("tos.rtd",,"OPEN_INT","."&amp;$AA$3&amp;$AA$4&amp;"C"&amp;BP$4)="N/A",0,RTD("tos.rtd",,"OPEN_INT","."&amp;$AA$3&amp;$AA$4&amp;"C"&amp;BP$4))*100 + MAX(0, BP$4-$A15)*IF(RTD("tos.rtd",,"OPEN_INT","."&amp;$AA$3&amp;$AA$4&amp;"P"&amp;BP$4)="N/A",0,RTD("tos.rtd",,"OPEN_INT","."&amp;$AA$3&amp;$AA$4&amp;"P"&amp;BP$4))*100</f>
        <v>0</v>
      </c>
      <c r="BQ15" s="18">
        <f>MAX(0, $A15-BQ$4)*IF(RTD("tos.rtd",,"OPEN_INT","."&amp;$AA$3&amp;$AA$4&amp;"C"&amp;BQ$4)="N/A",0,RTD("tos.rtd",,"OPEN_INT","."&amp;$AA$3&amp;$AA$4&amp;"C"&amp;BQ$4))*100 + MAX(0, BQ$4-$A15)*IF(RTD("tos.rtd",,"OPEN_INT","."&amp;$AA$3&amp;$AA$4&amp;"P"&amp;BQ$4)="N/A",0,RTD("tos.rtd",,"OPEN_INT","."&amp;$AA$3&amp;$AA$4&amp;"P"&amp;BQ$4))*100</f>
        <v>0</v>
      </c>
      <c r="BR15" s="18">
        <f>MAX(0, $A15-BR$4)*IF(RTD("tos.rtd",,"OPEN_INT","."&amp;$AA$3&amp;$AA$4&amp;"C"&amp;BR$4)="N/A",0,RTD("tos.rtd",,"OPEN_INT","."&amp;$AA$3&amp;$AA$4&amp;"C"&amp;BR$4))*100 + MAX(0, BR$4-$A15)*IF(RTD("tos.rtd",,"OPEN_INT","."&amp;$AA$3&amp;$AA$4&amp;"P"&amp;BR$4)="N/A",0,RTD("tos.rtd",,"OPEN_INT","."&amp;$AA$3&amp;$AA$4&amp;"P"&amp;BR$4))*100</f>
        <v>0</v>
      </c>
      <c r="BS15" s="18">
        <f>MAX(0, $A15-BS$4)*IF(RTD("tos.rtd",,"OPEN_INT","."&amp;$AA$3&amp;$AA$4&amp;"C"&amp;BS$4)="N/A",0,RTD("tos.rtd",,"OPEN_INT","."&amp;$AA$3&amp;$AA$4&amp;"C"&amp;BS$4))*100 + MAX(0, BS$4-$A15)*IF(RTD("tos.rtd",,"OPEN_INT","."&amp;$AA$3&amp;$AA$4&amp;"P"&amp;BS$4)="N/A",0,RTD("tos.rtd",,"OPEN_INT","."&amp;$AA$3&amp;$AA$4&amp;"P"&amp;BS$4))*100</f>
        <v>0</v>
      </c>
      <c r="BT15" s="18">
        <f>MAX(0, $A15-BT$4)*IF(RTD("tos.rtd",,"OPEN_INT","."&amp;$AA$3&amp;$AA$4&amp;"C"&amp;BT$4)="N/A",0,RTD("tos.rtd",,"OPEN_INT","."&amp;$AA$3&amp;$AA$4&amp;"C"&amp;BT$4))*100 + MAX(0, BT$4-$A15)*IF(RTD("tos.rtd",,"OPEN_INT","."&amp;$AA$3&amp;$AA$4&amp;"P"&amp;BT$4)="N/A",0,RTD("tos.rtd",,"OPEN_INT","."&amp;$AA$3&amp;$AA$4&amp;"P"&amp;BT$4))*100</f>
        <v>0</v>
      </c>
      <c r="BU15" s="18">
        <f>MAX(0, $A15-BU$4)*IF(RTD("tos.rtd",,"OPEN_INT","."&amp;$AA$3&amp;$AA$4&amp;"C"&amp;BU$4)="N/A",0,RTD("tos.rtd",,"OPEN_INT","."&amp;$AA$3&amp;$AA$4&amp;"C"&amp;BU$4))*100 + MAX(0, BU$4-$A15)*IF(RTD("tos.rtd",,"OPEN_INT","."&amp;$AA$3&amp;$AA$4&amp;"P"&amp;BU$4)="N/A",0,RTD("tos.rtd",,"OPEN_INT","."&amp;$AA$3&amp;$AA$4&amp;"P"&amp;BU$4))*100</f>
        <v>0</v>
      </c>
      <c r="BV15" s="18">
        <f>MAX(0, $A15-BV$4)*IF(RTD("tos.rtd",,"OPEN_INT","."&amp;$AA$3&amp;$AA$4&amp;"C"&amp;BV$4)="N/A",0,RTD("tos.rtd",,"OPEN_INT","."&amp;$AA$3&amp;$AA$4&amp;"C"&amp;BV$4))*100 + MAX(0, BV$4-$A15)*IF(RTD("tos.rtd",,"OPEN_INT","."&amp;$AA$3&amp;$AA$4&amp;"P"&amp;BV$4)="N/A",0,RTD("tos.rtd",,"OPEN_INT","."&amp;$AA$3&amp;$AA$4&amp;"P"&amp;BV$4))*100</f>
        <v>0</v>
      </c>
    </row>
    <row r="16" spans="1:74" s="19" customFormat="1" ht="11.1" customHeight="1" thickBot="1" x14ac:dyDescent="0.3">
      <c r="A16" s="23">
        <f t="shared" si="6"/>
        <v>16</v>
      </c>
      <c r="B16" s="14">
        <f ca="1">IF($A$2="PREMIUM_OI",IFERROR(IF($X$1="ABS",(100*RTD("tos.rtd",,"OPEN_INT","."&amp;B$2&amp;B$1&amp;"C"&amp;$A16)*RTD("tos.rtd",,"LAST","."&amp;B$2&amp;B$1&amp;"C"&amp;$A16)+100*RTD("tos.rtd",,"OPEN_INT","."&amp;B$2&amp;B$1&amp;"P"&amp;$A16)*RTD("tos.rtd",,"LAST","."&amp;B$2&amp;B$1&amp;"P"&amp;$A16))/1000000,(100*RTD("tos.rtd",,"OPEN_INT","."&amp;B$2&amp;B$1&amp;"C"&amp;$A16)*RTD("tos.rtd",,"LAST","."&amp;B$2&amp;B$1&amp;"C"&amp;$A16)-100*RTD("tos.rtd",,"OPEN_INT","."&amp;B$2&amp;B$1&amp;"P"&amp;$A16)*RTD("tos.rtd",,"LAST","."&amp;B$2&amp;B$1&amp;"P"&amp;$A16))/1000000),0),IF($A$2="PREMIUM",IFERROR(IF($X$1="ABS",(100*RTD("tos.rtd",,"VOLUME","."&amp;B$2&amp;B$1&amp;"C"&amp;$A16)*RTD("tos.rtd",,"LAST","."&amp;B$2&amp;B$1&amp;"C"&amp;$A16)+100*RTD("tos.rtd",,"VOLUME","."&amp;B$2&amp;B$1&amp;"P"&amp;$A16)*RTD("tos.rtd",,"LAST","."&amp;B$2&amp;B$1&amp;"P"&amp;$A16))/1000000,(100*RTD("tos.rtd",,"VOLUME","."&amp;B$2&amp;B$1&amp;"C"&amp;$A16)*RTD("tos.rtd",,"LAST","."&amp;B$2&amp;B$1&amp;"C"&amp;$A16)-100*RTD("tos.rtd",,"VOLUME","."&amp;B$2&amp;B$1&amp;"P"&amp;$A16)*RTD("tos.rtd",,"LAST","."&amp;B$2&amp;B$1&amp;"P"&amp;$A16))/1000000),0),IF($A$2="DEX",IFERROR(IF($X$1="ABS",(100*RTD("tos.rtd",,"OPEN_INT","."&amp;B$2&amp;B$1&amp;"C"&amp;$A16)*RTD("tos.rtd",,"DELTA","."&amp;B$2&amp;B$1&amp;"C"&amp;$A16)+100*RTD("tos.rtd",,"OPEN_INT","."&amp;B$2&amp;B$1&amp;"P"&amp;$A16)*RTD("tos.rtd",,"DELTA","."&amp;B$2&amp;B$1&amp;"P"&amp;$A16))/1000,(100*RTD("tos.rtd",,"OPEN_INT","."&amp;B$2&amp;B$1&amp;"C"&amp;$A16)*RTD("tos.rtd",,"DELTA","."&amp;B$2&amp;B$1&amp;"C"&amp;$A16)-100*RTD("tos.rtd",,"OPEN_INT","."&amp;B$2&amp;B$1&amp;"P"&amp;$A16)*RTD("tos.rtd",,"DELTA","."&amp;B$2&amp;B$1&amp;"P"&amp;$A16))/1000),0),IF($A$2="VEX",IFERROR(IF($X$1="ABS",($A$4*$A$4*RTD("tos.rtd",,"VOLUME","."&amp;B$2&amp;B$1&amp;"C"&amp;$A16)*RTD("tos.rtd",,"GAMMA","."&amp;B$2&amp;B$1&amp;"C"&amp;$A16)+$A$4*$A$4*RTD("tos.rtd",,"VOLUME","."&amp;B$2&amp;B$1&amp;"P"&amp;$A16)*RTD("tos.rtd",,"GAMMA","."&amp;B$2&amp;B$1&amp;"P"&amp;$A16))/1000000,($A$4*$A$4*RTD("tos.rtd",,"VOLUME","."&amp;B$2&amp;B$1&amp;"C"&amp;$A16)*RTD("tos.rtd",,"GAMMA","."&amp;B$2&amp;B$1&amp;"C"&amp;$A16)-$A$4*$A$4*RTD("tos.rtd",,"VOLUME","."&amp;B$2&amp;B$1&amp;"P"&amp;$A16)*RTD("tos.rtd",,"GAMMA","."&amp;B$2&amp;B$1&amp;"P"&amp;$A16))/1000000),0),IF($A$2="GEX",IFERROR(IF($X$1="ABS",($A$4*$A$4*RTD("tos.rtd",,"OPEN_INT","."&amp;B$2&amp;B$1&amp;"C"&amp;$A16)*RTD("tos.rtd",,"GAMMA","."&amp;B$2&amp;B$1&amp;"C"&amp;$A16)+$A$4*$A$4*RTD("tos.rtd",,"OPEN_INT","."&amp;B$2&amp;B$1&amp;"P"&amp;$A16)*RTD("tos.rtd",,"GAMMA","."&amp;B$2&amp;B$1&amp;"P"&amp;$A16))/1000000,($A$4*$A$4*RTD("tos.rtd",,"OPEN_INT","."&amp;B$2&amp;B$1&amp;"C"&amp;$A16)*RTD("tos.rtd",,"GAMMA","."&amp;B$2&amp;B$1&amp;"C"&amp;$A16)-$A$4*$A$4*RTD("tos.rtd",,"OPEN_INT","."&amp;B$2&amp;B$1&amp;"P"&amp;$A16)*RTD("tos.rtd",,"GAMMA","."&amp;B$2&amp;B$1&amp;"P"&amp;$A16))/1000000),0),IF($A$2="SKEW",IFERROR(VALUE(IF(RTD("tos.rtd",,"IMPL_VOL","."&amp;B$2&amp;B$1&amp;"P"&amp;$A16)="N/A",0,RTD("tos.rtd",,"IMPL_VOL","."&amp;B$2&amp;B$1&amp;"P"&amp;$A16))),0)-IFERROR(VALUE(IF(RTD("tos.rtd",,"IMPL_VOL","."&amp;B$2&amp;B$1&amp;"C"&amp;$A16)="N/A",0,RTD("tos.rtd",,"IMPL_VOL","."&amp;B$2&amp;B$1&amp;"C"&amp;$A16))),0),IF($A$2="MAXPAIN",IF($A$4&gt;$A16,($A$4-$A16)*IF(RTD("tos.rtd",,"OPEN_INT","."&amp;B$2&amp;B$1&amp;"C"&amp;$A16)="N/A",0,RTD("tos.rtd",,"OPEN_INT","."&amp;B$2&amp;B$1&amp;"C"&amp;$A16)),0)+IF($A$4&lt;$A16,($A$5-$A$4)*IF(RTD("tos.rtd",,"OPEN_INT","."&amp;B$2&amp;B$1&amp;"P"&amp;$A16)="N/A",0,RTD("tos.rtd",,"OPEN_INT","."&amp;B$2&amp;B$1&amp;"P"&amp;$A16)),0),IF($X$1="ABS",IF(RTD("tos.rtd",,$A$2,"."&amp;B$2&amp;B$1&amp;"C"&amp;$A16)="N/A",0,RTD("tos.rtd",,$A$2,"."&amp;B$2&amp;B$1&amp;"C"&amp;$A16))+IF(RTD("tos.rtd",,$A$2,"."&amp;B$2&amp;B$1&amp;"P"&amp;$A16)="N/A",0,RTD("tos.rtd",,$A$2,"."&amp;B$2&amp;B$1&amp;"P"&amp;$A16)),IF(RTD("tos.rtd",,$A$2,"."&amp;B$2&amp;B$1&amp;"C"&amp;$A16)="N/A",0,RTD("tos.rtd",,$A$2,"."&amp;B$2&amp;B$1&amp;"C"&amp;$A16))-IF(RTD("tos.rtd",,$A$2,"."&amp;B$2&amp;B$1&amp;"P"&amp;$A16)="N/A",0,RTD("tos.rtd",,$A$2,"."&amp;B$2&amp;B$1&amp;"P"&amp;$A16))))))))))</f>
        <v>0</v>
      </c>
      <c r="C16" s="12">
        <f ca="1">IF($A$2="PREMIUM_OI",IFERROR(IF($X$1="ABS",(100*RTD("tos.rtd",,"OPEN_INT","."&amp;C$2&amp;C$1&amp;"C"&amp;$A16)*RTD("tos.rtd",,"LAST","."&amp;C$2&amp;C$1&amp;"C"&amp;$A16)+100*RTD("tos.rtd",,"OPEN_INT","."&amp;C$2&amp;C$1&amp;"P"&amp;$A16)*RTD("tos.rtd",,"LAST","."&amp;C$2&amp;C$1&amp;"P"&amp;$A16))/1000000,(100*RTD("tos.rtd",,"OPEN_INT","."&amp;C$2&amp;C$1&amp;"C"&amp;$A16)*RTD("tos.rtd",,"LAST","."&amp;C$2&amp;C$1&amp;"C"&amp;$A16)-100*RTD("tos.rtd",,"OPEN_INT","."&amp;C$2&amp;C$1&amp;"P"&amp;$A16)*RTD("tos.rtd",,"LAST","."&amp;C$2&amp;C$1&amp;"P"&amp;$A16))/1000000),0),IF($A$2="PREMIUM",IFERROR(IF($X$1="ABS",(100*RTD("tos.rtd",,"VOLUME","."&amp;C$2&amp;C$1&amp;"C"&amp;$A16)*RTD("tos.rtd",,"LAST","."&amp;C$2&amp;C$1&amp;"C"&amp;$A16)+100*RTD("tos.rtd",,"VOLUME","."&amp;C$2&amp;C$1&amp;"P"&amp;$A16)*RTD("tos.rtd",,"LAST","."&amp;C$2&amp;C$1&amp;"P"&amp;$A16))/1000000,(100*RTD("tos.rtd",,"VOLUME","."&amp;C$2&amp;C$1&amp;"C"&amp;$A16)*RTD("tos.rtd",,"LAST","."&amp;C$2&amp;C$1&amp;"C"&amp;$A16)-100*RTD("tos.rtd",,"VOLUME","."&amp;C$2&amp;C$1&amp;"P"&amp;$A16)*RTD("tos.rtd",,"LAST","."&amp;C$2&amp;C$1&amp;"P"&amp;$A16))/1000000),0),IF($A$2="DEX",IFERROR(IF($X$1="ABS",(100*RTD("tos.rtd",,"OPEN_INT","."&amp;C$2&amp;C$1&amp;"C"&amp;$A16)*RTD("tos.rtd",,"DELTA","."&amp;C$2&amp;C$1&amp;"C"&amp;$A16)+100*RTD("tos.rtd",,"OPEN_INT","."&amp;C$2&amp;C$1&amp;"P"&amp;$A16)*RTD("tos.rtd",,"DELTA","."&amp;C$2&amp;C$1&amp;"P"&amp;$A16))/1000,(100*RTD("tos.rtd",,"OPEN_INT","."&amp;C$2&amp;C$1&amp;"C"&amp;$A16)*RTD("tos.rtd",,"DELTA","."&amp;C$2&amp;C$1&amp;"C"&amp;$A16)-100*RTD("tos.rtd",,"OPEN_INT","."&amp;C$2&amp;C$1&amp;"P"&amp;$A16)*RTD("tos.rtd",,"DELTA","."&amp;C$2&amp;C$1&amp;"P"&amp;$A16))/1000),0),IF($A$2="VEX",IFERROR(IF($X$1="ABS",($A$4*$A$4*RTD("tos.rtd",,"VOLUME","."&amp;C$2&amp;C$1&amp;"C"&amp;$A16)*RTD("tos.rtd",,"GAMMA","."&amp;C$2&amp;C$1&amp;"C"&amp;$A16)+$A$4*$A$4*RTD("tos.rtd",,"VOLUME","."&amp;C$2&amp;C$1&amp;"P"&amp;$A16)*RTD("tos.rtd",,"GAMMA","."&amp;C$2&amp;C$1&amp;"P"&amp;$A16))/1000000,($A$4*$A$4*RTD("tos.rtd",,"VOLUME","."&amp;C$2&amp;C$1&amp;"C"&amp;$A16)*RTD("tos.rtd",,"GAMMA","."&amp;C$2&amp;C$1&amp;"C"&amp;$A16)-$A$4*$A$4*RTD("tos.rtd",,"VOLUME","."&amp;C$2&amp;C$1&amp;"P"&amp;$A16)*RTD("tos.rtd",,"GAMMA","."&amp;C$2&amp;C$1&amp;"P"&amp;$A16))/1000000),0),IF($A$2="GEX",IFERROR(IF($X$1="ABS",($A$4*$A$4*RTD("tos.rtd",,"OPEN_INT","."&amp;C$2&amp;C$1&amp;"C"&amp;$A16)*RTD("tos.rtd",,"GAMMA","."&amp;C$2&amp;C$1&amp;"C"&amp;$A16)+$A$4*$A$4*RTD("tos.rtd",,"OPEN_INT","."&amp;C$2&amp;C$1&amp;"P"&amp;$A16)*RTD("tos.rtd",,"GAMMA","."&amp;C$2&amp;C$1&amp;"P"&amp;$A16))/1000000,($A$4*$A$4*RTD("tos.rtd",,"OPEN_INT","."&amp;C$2&amp;C$1&amp;"C"&amp;$A16)*RTD("tos.rtd",,"GAMMA","."&amp;C$2&amp;C$1&amp;"C"&amp;$A16)-$A$4*$A$4*RTD("tos.rtd",,"OPEN_INT","."&amp;C$2&amp;C$1&amp;"P"&amp;$A16)*RTD("tos.rtd",,"GAMMA","."&amp;C$2&amp;C$1&amp;"P"&amp;$A16))/1000000),0),IF($A$2="SKEW",IFERROR(VALUE(IF(RTD("tos.rtd",,"IMPL_VOL","."&amp;C$2&amp;C$1&amp;"P"&amp;$A16)="N/A",0,RTD("tos.rtd",,"IMPL_VOL","."&amp;C$2&amp;C$1&amp;"P"&amp;$A16))),0)-IFERROR(VALUE(IF(RTD("tos.rtd",,"IMPL_VOL","."&amp;C$2&amp;C$1&amp;"C"&amp;$A16)="N/A",0,RTD("tos.rtd",,"IMPL_VOL","."&amp;C$2&amp;C$1&amp;"C"&amp;$A16))),0),IF($A$2="MAXPAIN",IF($A$4&gt;$A16,($A$4-$A16)*IF(RTD("tos.rtd",,"OPEN_INT","."&amp;C$2&amp;C$1&amp;"C"&amp;$A16)="N/A",0,RTD("tos.rtd",,"OPEN_INT","."&amp;C$2&amp;C$1&amp;"C"&amp;$A16)),0)+IF($A$4&lt;$A16,($A$5-$A$4)*IF(RTD("tos.rtd",,"OPEN_INT","."&amp;C$2&amp;C$1&amp;"P"&amp;$A16)="N/A",0,RTD("tos.rtd",,"OPEN_INT","."&amp;C$2&amp;C$1&amp;"P"&amp;$A16)),0),IF($X$1="ABS",IF(RTD("tos.rtd",,$A$2,"."&amp;C$2&amp;C$1&amp;"C"&amp;$A16)="N/A",0,RTD("tos.rtd",,$A$2,"."&amp;C$2&amp;C$1&amp;"C"&amp;$A16))+IF(RTD("tos.rtd",,$A$2,"."&amp;C$2&amp;C$1&amp;"P"&amp;$A16)="N/A",0,RTD("tos.rtd",,$A$2,"."&amp;C$2&amp;C$1&amp;"P"&amp;$A16)),IF(RTD("tos.rtd",,$A$2,"."&amp;C$2&amp;C$1&amp;"C"&amp;$A16)="N/A",0,RTD("tos.rtd",,$A$2,"."&amp;C$2&amp;C$1&amp;"C"&amp;$A16))-IF(RTD("tos.rtd",,$A$2,"."&amp;C$2&amp;C$1&amp;"P"&amp;$A16)="N/A",0,RTD("tos.rtd",,$A$2,"."&amp;C$2&amp;C$1&amp;"P"&amp;$A16))))))))))</f>
        <v>2365</v>
      </c>
      <c r="D16" s="12">
        <f ca="1">IF($A$2="PREMIUM_OI",IFERROR(IF($X$1="ABS",(100*RTD("tos.rtd",,"OPEN_INT","."&amp;D$2&amp;D$1&amp;"C"&amp;$A16)*RTD("tos.rtd",,"LAST","."&amp;D$2&amp;D$1&amp;"C"&amp;$A16)+100*RTD("tos.rtd",,"OPEN_INT","."&amp;D$2&amp;D$1&amp;"P"&amp;$A16)*RTD("tos.rtd",,"LAST","."&amp;D$2&amp;D$1&amp;"P"&amp;$A16))/1000000,(100*RTD("tos.rtd",,"OPEN_INT","."&amp;D$2&amp;D$1&amp;"C"&amp;$A16)*RTD("tos.rtd",,"LAST","."&amp;D$2&amp;D$1&amp;"C"&amp;$A16)-100*RTD("tos.rtd",,"OPEN_INT","."&amp;D$2&amp;D$1&amp;"P"&amp;$A16)*RTD("tos.rtd",,"LAST","."&amp;D$2&amp;D$1&amp;"P"&amp;$A16))/1000000),0),IF($A$2="PREMIUM",IFERROR(IF($X$1="ABS",(100*RTD("tos.rtd",,"VOLUME","."&amp;D$2&amp;D$1&amp;"C"&amp;$A16)*RTD("tos.rtd",,"LAST","."&amp;D$2&amp;D$1&amp;"C"&amp;$A16)+100*RTD("tos.rtd",,"VOLUME","."&amp;D$2&amp;D$1&amp;"P"&amp;$A16)*RTD("tos.rtd",,"LAST","."&amp;D$2&amp;D$1&amp;"P"&amp;$A16))/1000000,(100*RTD("tos.rtd",,"VOLUME","."&amp;D$2&amp;D$1&amp;"C"&amp;$A16)*RTD("tos.rtd",,"LAST","."&amp;D$2&amp;D$1&amp;"C"&amp;$A16)-100*RTD("tos.rtd",,"VOLUME","."&amp;D$2&amp;D$1&amp;"P"&amp;$A16)*RTD("tos.rtd",,"LAST","."&amp;D$2&amp;D$1&amp;"P"&amp;$A16))/1000000),0),IF($A$2="DEX",IFERROR(IF($X$1="ABS",(100*RTD("tos.rtd",,"OPEN_INT","."&amp;D$2&amp;D$1&amp;"C"&amp;$A16)*RTD("tos.rtd",,"DELTA","."&amp;D$2&amp;D$1&amp;"C"&amp;$A16)+100*RTD("tos.rtd",,"OPEN_INT","."&amp;D$2&amp;D$1&amp;"P"&amp;$A16)*RTD("tos.rtd",,"DELTA","."&amp;D$2&amp;D$1&amp;"P"&amp;$A16))/1000,(100*RTD("tos.rtd",,"OPEN_INT","."&amp;D$2&amp;D$1&amp;"C"&amp;$A16)*RTD("tos.rtd",,"DELTA","."&amp;D$2&amp;D$1&amp;"C"&amp;$A16)-100*RTD("tos.rtd",,"OPEN_INT","."&amp;D$2&amp;D$1&amp;"P"&amp;$A16)*RTD("tos.rtd",,"DELTA","."&amp;D$2&amp;D$1&amp;"P"&amp;$A16))/1000),0),IF($A$2="VEX",IFERROR(IF($X$1="ABS",($A$4*$A$4*RTD("tos.rtd",,"VOLUME","."&amp;D$2&amp;D$1&amp;"C"&amp;$A16)*RTD("tos.rtd",,"GAMMA","."&amp;D$2&amp;D$1&amp;"C"&amp;$A16)+$A$4*$A$4*RTD("tos.rtd",,"VOLUME","."&amp;D$2&amp;D$1&amp;"P"&amp;$A16)*RTD("tos.rtd",,"GAMMA","."&amp;D$2&amp;D$1&amp;"P"&amp;$A16))/1000000,($A$4*$A$4*RTD("tos.rtd",,"VOLUME","."&amp;D$2&amp;D$1&amp;"C"&amp;$A16)*RTD("tos.rtd",,"GAMMA","."&amp;D$2&amp;D$1&amp;"C"&amp;$A16)-$A$4*$A$4*RTD("tos.rtd",,"VOLUME","."&amp;D$2&amp;D$1&amp;"P"&amp;$A16)*RTD("tos.rtd",,"GAMMA","."&amp;D$2&amp;D$1&amp;"P"&amp;$A16))/1000000),0),IF($A$2="GEX",IFERROR(IF($X$1="ABS",($A$4*$A$4*RTD("tos.rtd",,"OPEN_INT","."&amp;D$2&amp;D$1&amp;"C"&amp;$A16)*RTD("tos.rtd",,"GAMMA","."&amp;D$2&amp;D$1&amp;"C"&amp;$A16)+$A$4*$A$4*RTD("tos.rtd",,"OPEN_INT","."&amp;D$2&amp;D$1&amp;"P"&amp;$A16)*RTD("tos.rtd",,"GAMMA","."&amp;D$2&amp;D$1&amp;"P"&amp;$A16))/1000000,($A$4*$A$4*RTD("tos.rtd",,"OPEN_INT","."&amp;D$2&amp;D$1&amp;"C"&amp;$A16)*RTD("tos.rtd",,"GAMMA","."&amp;D$2&amp;D$1&amp;"C"&amp;$A16)-$A$4*$A$4*RTD("tos.rtd",,"OPEN_INT","."&amp;D$2&amp;D$1&amp;"P"&amp;$A16)*RTD("tos.rtd",,"GAMMA","."&amp;D$2&amp;D$1&amp;"P"&amp;$A16))/1000000),0),IF($A$2="SKEW",IFERROR(VALUE(IF(RTD("tos.rtd",,"IMPL_VOL","."&amp;D$2&amp;D$1&amp;"P"&amp;$A16)="N/A",0,RTD("tos.rtd",,"IMPL_VOL","."&amp;D$2&amp;D$1&amp;"P"&amp;$A16))),0)-IFERROR(VALUE(IF(RTD("tos.rtd",,"IMPL_VOL","."&amp;D$2&amp;D$1&amp;"C"&amp;$A16)="N/A",0,RTD("tos.rtd",,"IMPL_VOL","."&amp;D$2&amp;D$1&amp;"C"&amp;$A16))),0),IF($A$2="MAXPAIN",IF($A$4&gt;$A16,($A$4-$A16)*IF(RTD("tos.rtd",,"OPEN_INT","."&amp;D$2&amp;D$1&amp;"C"&amp;$A16)="N/A",0,RTD("tos.rtd",,"OPEN_INT","."&amp;D$2&amp;D$1&amp;"C"&amp;$A16)),0)+IF($A$4&lt;$A16,($A$5-$A$4)*IF(RTD("tos.rtd",,"OPEN_INT","."&amp;D$2&amp;D$1&amp;"P"&amp;$A16)="N/A",0,RTD("tos.rtd",,"OPEN_INT","."&amp;D$2&amp;D$1&amp;"P"&amp;$A16)),0),IF($X$1="ABS",IF(RTD("tos.rtd",,$A$2,"."&amp;D$2&amp;D$1&amp;"C"&amp;$A16)="N/A",0,RTD("tos.rtd",,$A$2,"."&amp;D$2&amp;D$1&amp;"C"&amp;$A16))+IF(RTD("tos.rtd",,$A$2,"."&amp;D$2&amp;D$1&amp;"P"&amp;$A16)="N/A",0,RTD("tos.rtd",,$A$2,"."&amp;D$2&amp;D$1&amp;"P"&amp;$A16)),IF(RTD("tos.rtd",,$A$2,"."&amp;D$2&amp;D$1&amp;"C"&amp;$A16)="N/A",0,RTD("tos.rtd",,$A$2,"."&amp;D$2&amp;D$1&amp;"C"&amp;$A16))-IF(RTD("tos.rtd",,$A$2,"."&amp;D$2&amp;D$1&amp;"P"&amp;$A16)="N/A",0,RTD("tos.rtd",,$A$2,"."&amp;D$2&amp;D$1&amp;"P"&amp;$A16))))))))))</f>
        <v>1611</v>
      </c>
      <c r="E16" s="12">
        <f ca="1">IF($A$2="PREMIUM_OI",IFERROR(IF($X$1="ABS",(100*RTD("tos.rtd",,"OPEN_INT","."&amp;E$2&amp;E$1&amp;"C"&amp;$A16)*RTD("tos.rtd",,"LAST","."&amp;E$2&amp;E$1&amp;"C"&amp;$A16)+100*RTD("tos.rtd",,"OPEN_INT","."&amp;E$2&amp;E$1&amp;"P"&amp;$A16)*RTD("tos.rtd",,"LAST","."&amp;E$2&amp;E$1&amp;"P"&amp;$A16))/1000000,(100*RTD("tos.rtd",,"OPEN_INT","."&amp;E$2&amp;E$1&amp;"C"&amp;$A16)*RTD("tos.rtd",,"LAST","."&amp;E$2&amp;E$1&amp;"C"&amp;$A16)-100*RTD("tos.rtd",,"OPEN_INT","."&amp;E$2&amp;E$1&amp;"P"&amp;$A16)*RTD("tos.rtd",,"LAST","."&amp;E$2&amp;E$1&amp;"P"&amp;$A16))/1000000),0),IF($A$2="PREMIUM",IFERROR(IF($X$1="ABS",(100*RTD("tos.rtd",,"VOLUME","."&amp;E$2&amp;E$1&amp;"C"&amp;$A16)*RTD("tos.rtd",,"LAST","."&amp;E$2&amp;E$1&amp;"C"&amp;$A16)+100*RTD("tos.rtd",,"VOLUME","."&amp;E$2&amp;E$1&amp;"P"&amp;$A16)*RTD("tos.rtd",,"LAST","."&amp;E$2&amp;E$1&amp;"P"&amp;$A16))/1000000,(100*RTD("tos.rtd",,"VOLUME","."&amp;E$2&amp;E$1&amp;"C"&amp;$A16)*RTD("tos.rtd",,"LAST","."&amp;E$2&amp;E$1&amp;"C"&amp;$A16)-100*RTD("tos.rtd",,"VOLUME","."&amp;E$2&amp;E$1&amp;"P"&amp;$A16)*RTD("tos.rtd",,"LAST","."&amp;E$2&amp;E$1&amp;"P"&amp;$A16))/1000000),0),IF($A$2="DEX",IFERROR(IF($X$1="ABS",(100*RTD("tos.rtd",,"OPEN_INT","."&amp;E$2&amp;E$1&amp;"C"&amp;$A16)*RTD("tos.rtd",,"DELTA","."&amp;E$2&amp;E$1&amp;"C"&amp;$A16)+100*RTD("tos.rtd",,"OPEN_INT","."&amp;E$2&amp;E$1&amp;"P"&amp;$A16)*RTD("tos.rtd",,"DELTA","."&amp;E$2&amp;E$1&amp;"P"&amp;$A16))/1000,(100*RTD("tos.rtd",,"OPEN_INT","."&amp;E$2&amp;E$1&amp;"C"&amp;$A16)*RTD("tos.rtd",,"DELTA","."&amp;E$2&amp;E$1&amp;"C"&amp;$A16)-100*RTD("tos.rtd",,"OPEN_INT","."&amp;E$2&amp;E$1&amp;"P"&amp;$A16)*RTD("tos.rtd",,"DELTA","."&amp;E$2&amp;E$1&amp;"P"&amp;$A16))/1000),0),IF($A$2="VEX",IFERROR(IF($X$1="ABS",($A$4*$A$4*RTD("tos.rtd",,"VOLUME","."&amp;E$2&amp;E$1&amp;"C"&amp;$A16)*RTD("tos.rtd",,"GAMMA","."&amp;E$2&amp;E$1&amp;"C"&amp;$A16)+$A$4*$A$4*RTD("tos.rtd",,"VOLUME","."&amp;E$2&amp;E$1&amp;"P"&amp;$A16)*RTD("tos.rtd",,"GAMMA","."&amp;E$2&amp;E$1&amp;"P"&amp;$A16))/1000000,($A$4*$A$4*RTD("tos.rtd",,"VOLUME","."&amp;E$2&amp;E$1&amp;"C"&amp;$A16)*RTD("tos.rtd",,"GAMMA","."&amp;E$2&amp;E$1&amp;"C"&amp;$A16)-$A$4*$A$4*RTD("tos.rtd",,"VOLUME","."&amp;E$2&amp;E$1&amp;"P"&amp;$A16)*RTD("tos.rtd",,"GAMMA","."&amp;E$2&amp;E$1&amp;"P"&amp;$A16))/1000000),0),IF($A$2="GEX",IFERROR(IF($X$1="ABS",($A$4*$A$4*RTD("tos.rtd",,"OPEN_INT","."&amp;E$2&amp;E$1&amp;"C"&amp;$A16)*RTD("tos.rtd",,"GAMMA","."&amp;E$2&amp;E$1&amp;"C"&amp;$A16)+$A$4*$A$4*RTD("tos.rtd",,"OPEN_INT","."&amp;E$2&amp;E$1&amp;"P"&amp;$A16)*RTD("tos.rtd",,"GAMMA","."&amp;E$2&amp;E$1&amp;"P"&amp;$A16))/1000000,($A$4*$A$4*RTD("tos.rtd",,"OPEN_INT","."&amp;E$2&amp;E$1&amp;"C"&amp;$A16)*RTD("tos.rtd",,"GAMMA","."&amp;E$2&amp;E$1&amp;"C"&amp;$A16)-$A$4*$A$4*RTD("tos.rtd",,"OPEN_INT","."&amp;E$2&amp;E$1&amp;"P"&amp;$A16)*RTD("tos.rtd",,"GAMMA","."&amp;E$2&amp;E$1&amp;"P"&amp;$A16))/1000000),0),IF($A$2="SKEW",IFERROR(VALUE(IF(RTD("tos.rtd",,"IMPL_VOL","."&amp;E$2&amp;E$1&amp;"P"&amp;$A16)="N/A",0,RTD("tos.rtd",,"IMPL_VOL","."&amp;E$2&amp;E$1&amp;"P"&amp;$A16))),0)-IFERROR(VALUE(IF(RTD("tos.rtd",,"IMPL_VOL","."&amp;E$2&amp;E$1&amp;"C"&amp;$A16)="N/A",0,RTD("tos.rtd",,"IMPL_VOL","."&amp;E$2&amp;E$1&amp;"C"&amp;$A16))),0),IF($A$2="MAXPAIN",IF($A$4&gt;$A16,($A$4-$A16)*IF(RTD("tos.rtd",,"OPEN_INT","."&amp;E$2&amp;E$1&amp;"C"&amp;$A16)="N/A",0,RTD("tos.rtd",,"OPEN_INT","."&amp;E$2&amp;E$1&amp;"C"&amp;$A16)),0)+IF($A$4&lt;$A16,($A$5-$A$4)*IF(RTD("tos.rtd",,"OPEN_INT","."&amp;E$2&amp;E$1&amp;"P"&amp;$A16)="N/A",0,RTD("tos.rtd",,"OPEN_INT","."&amp;E$2&amp;E$1&amp;"P"&amp;$A16)),0),IF($X$1="ABS",IF(RTD("tos.rtd",,$A$2,"."&amp;E$2&amp;E$1&amp;"C"&amp;$A16)="N/A",0,RTD("tos.rtd",,$A$2,"."&amp;E$2&amp;E$1&amp;"C"&amp;$A16))+IF(RTD("tos.rtd",,$A$2,"."&amp;E$2&amp;E$1&amp;"P"&amp;$A16)="N/A",0,RTD("tos.rtd",,$A$2,"."&amp;E$2&amp;E$1&amp;"P"&amp;$A16)),IF(RTD("tos.rtd",,$A$2,"."&amp;E$2&amp;E$1&amp;"C"&amp;$A16)="N/A",0,RTD("tos.rtd",,$A$2,"."&amp;E$2&amp;E$1&amp;"C"&amp;$A16))-IF(RTD("tos.rtd",,$A$2,"."&amp;E$2&amp;E$1&amp;"P"&amp;$A16)="N/A",0,RTD("tos.rtd",,$A$2,"."&amp;E$2&amp;E$1&amp;"P"&amp;$A16))))))))))</f>
        <v>302</v>
      </c>
      <c r="F16" s="12">
        <f ca="1">IF($A$2="PREMIUM_OI",IFERROR(IF($X$1="ABS",(100*RTD("tos.rtd",,"OPEN_INT","."&amp;F$2&amp;F$1&amp;"C"&amp;$A16)*RTD("tos.rtd",,"LAST","."&amp;F$2&amp;F$1&amp;"C"&amp;$A16)+100*RTD("tos.rtd",,"OPEN_INT","."&amp;F$2&amp;F$1&amp;"P"&amp;$A16)*RTD("tos.rtd",,"LAST","."&amp;F$2&amp;F$1&amp;"P"&amp;$A16))/1000000,(100*RTD("tos.rtd",,"OPEN_INT","."&amp;F$2&amp;F$1&amp;"C"&amp;$A16)*RTD("tos.rtd",,"LAST","."&amp;F$2&amp;F$1&amp;"C"&amp;$A16)-100*RTD("tos.rtd",,"OPEN_INT","."&amp;F$2&amp;F$1&amp;"P"&amp;$A16)*RTD("tos.rtd",,"LAST","."&amp;F$2&amp;F$1&amp;"P"&amp;$A16))/1000000),0),IF($A$2="PREMIUM",IFERROR(IF($X$1="ABS",(100*RTD("tos.rtd",,"VOLUME","."&amp;F$2&amp;F$1&amp;"C"&amp;$A16)*RTD("tos.rtd",,"LAST","."&amp;F$2&amp;F$1&amp;"C"&amp;$A16)+100*RTD("tos.rtd",,"VOLUME","."&amp;F$2&amp;F$1&amp;"P"&amp;$A16)*RTD("tos.rtd",,"LAST","."&amp;F$2&amp;F$1&amp;"P"&amp;$A16))/1000000,(100*RTD("tos.rtd",,"VOLUME","."&amp;F$2&amp;F$1&amp;"C"&amp;$A16)*RTD("tos.rtd",,"LAST","."&amp;F$2&amp;F$1&amp;"C"&amp;$A16)-100*RTD("tos.rtd",,"VOLUME","."&amp;F$2&amp;F$1&amp;"P"&amp;$A16)*RTD("tos.rtd",,"LAST","."&amp;F$2&amp;F$1&amp;"P"&amp;$A16))/1000000),0),IF($A$2="DEX",IFERROR(IF($X$1="ABS",(100*RTD("tos.rtd",,"OPEN_INT","."&amp;F$2&amp;F$1&amp;"C"&amp;$A16)*RTD("tos.rtd",,"DELTA","."&amp;F$2&amp;F$1&amp;"C"&amp;$A16)+100*RTD("tos.rtd",,"OPEN_INT","."&amp;F$2&amp;F$1&amp;"P"&amp;$A16)*RTD("tos.rtd",,"DELTA","."&amp;F$2&amp;F$1&amp;"P"&amp;$A16))/1000,(100*RTD("tos.rtd",,"OPEN_INT","."&amp;F$2&amp;F$1&amp;"C"&amp;$A16)*RTD("tos.rtd",,"DELTA","."&amp;F$2&amp;F$1&amp;"C"&amp;$A16)-100*RTD("tos.rtd",,"OPEN_INT","."&amp;F$2&amp;F$1&amp;"P"&amp;$A16)*RTD("tos.rtd",,"DELTA","."&amp;F$2&amp;F$1&amp;"P"&amp;$A16))/1000),0),IF($A$2="VEX",IFERROR(IF($X$1="ABS",($A$4*$A$4*RTD("tos.rtd",,"VOLUME","."&amp;F$2&amp;F$1&amp;"C"&amp;$A16)*RTD("tos.rtd",,"GAMMA","."&amp;F$2&amp;F$1&amp;"C"&amp;$A16)+$A$4*$A$4*RTD("tos.rtd",,"VOLUME","."&amp;F$2&amp;F$1&amp;"P"&amp;$A16)*RTD("tos.rtd",,"GAMMA","."&amp;F$2&amp;F$1&amp;"P"&amp;$A16))/1000000,($A$4*$A$4*RTD("tos.rtd",,"VOLUME","."&amp;F$2&amp;F$1&amp;"C"&amp;$A16)*RTD("tos.rtd",,"GAMMA","."&amp;F$2&amp;F$1&amp;"C"&amp;$A16)-$A$4*$A$4*RTD("tos.rtd",,"VOLUME","."&amp;F$2&amp;F$1&amp;"P"&amp;$A16)*RTD("tos.rtd",,"GAMMA","."&amp;F$2&amp;F$1&amp;"P"&amp;$A16))/1000000),0),IF($A$2="GEX",IFERROR(IF($X$1="ABS",($A$4*$A$4*RTD("tos.rtd",,"OPEN_INT","."&amp;F$2&amp;F$1&amp;"C"&amp;$A16)*RTD("tos.rtd",,"GAMMA","."&amp;F$2&amp;F$1&amp;"C"&amp;$A16)+$A$4*$A$4*RTD("tos.rtd",,"OPEN_INT","."&amp;F$2&amp;F$1&amp;"P"&amp;$A16)*RTD("tos.rtd",,"GAMMA","."&amp;F$2&amp;F$1&amp;"P"&amp;$A16))/1000000,($A$4*$A$4*RTD("tos.rtd",,"OPEN_INT","."&amp;F$2&amp;F$1&amp;"C"&amp;$A16)*RTD("tos.rtd",,"GAMMA","."&amp;F$2&amp;F$1&amp;"C"&amp;$A16)-$A$4*$A$4*RTD("tos.rtd",,"OPEN_INT","."&amp;F$2&amp;F$1&amp;"P"&amp;$A16)*RTD("tos.rtd",,"GAMMA","."&amp;F$2&amp;F$1&amp;"P"&amp;$A16))/1000000),0),IF($A$2="SKEW",IFERROR(VALUE(IF(RTD("tos.rtd",,"IMPL_VOL","."&amp;F$2&amp;F$1&amp;"P"&amp;$A16)="N/A",0,RTD("tos.rtd",,"IMPL_VOL","."&amp;F$2&amp;F$1&amp;"P"&amp;$A16))),0)-IFERROR(VALUE(IF(RTD("tos.rtd",,"IMPL_VOL","."&amp;F$2&amp;F$1&amp;"C"&amp;$A16)="N/A",0,RTD("tos.rtd",,"IMPL_VOL","."&amp;F$2&amp;F$1&amp;"C"&amp;$A16))),0),IF($A$2="MAXPAIN",IF($A$4&gt;$A16,($A$4-$A16)*IF(RTD("tos.rtd",,"OPEN_INT","."&amp;F$2&amp;F$1&amp;"C"&amp;$A16)="N/A",0,RTD("tos.rtd",,"OPEN_INT","."&amp;F$2&amp;F$1&amp;"C"&amp;$A16)),0)+IF($A$4&lt;$A16,($A$5-$A$4)*IF(RTD("tos.rtd",,"OPEN_INT","."&amp;F$2&amp;F$1&amp;"P"&amp;$A16)="N/A",0,RTD("tos.rtd",,"OPEN_INT","."&amp;F$2&amp;F$1&amp;"P"&amp;$A16)),0),IF($X$1="ABS",IF(RTD("tos.rtd",,$A$2,"."&amp;F$2&amp;F$1&amp;"C"&amp;$A16)="N/A",0,RTD("tos.rtd",,$A$2,"."&amp;F$2&amp;F$1&amp;"C"&amp;$A16))+IF(RTD("tos.rtd",,$A$2,"."&amp;F$2&amp;F$1&amp;"P"&amp;$A16)="N/A",0,RTD("tos.rtd",,$A$2,"."&amp;F$2&amp;F$1&amp;"P"&amp;$A16)),IF(RTD("tos.rtd",,$A$2,"."&amp;F$2&amp;F$1&amp;"C"&amp;$A16)="N/A",0,RTD("tos.rtd",,$A$2,"."&amp;F$2&amp;F$1&amp;"C"&amp;$A16))-IF(RTD("tos.rtd",,$A$2,"."&amp;F$2&amp;F$1&amp;"P"&amp;$A16)="N/A",0,RTD("tos.rtd",,$A$2,"."&amp;F$2&amp;F$1&amp;"P"&amp;$A16))))))))))</f>
        <v>0</v>
      </c>
      <c r="G16" s="57">
        <f ca="1">IF($A$2="PREMIUM_OI",IFERROR(IF($X$1="ABS",(100*RTD("tos.rtd",,"OPEN_INT","."&amp;G$2&amp;G$1&amp;"C"&amp;$A16)*RTD("tos.rtd",,"LAST","."&amp;G$2&amp;G$1&amp;"C"&amp;$A16)+100*RTD("tos.rtd",,"OPEN_INT","."&amp;G$2&amp;G$1&amp;"P"&amp;$A16)*RTD("tos.rtd",,"LAST","."&amp;G$2&amp;G$1&amp;"P"&amp;$A16))/1000000,(100*RTD("tos.rtd",,"OPEN_INT","."&amp;G$2&amp;G$1&amp;"C"&amp;$A16)*RTD("tos.rtd",,"LAST","."&amp;G$2&amp;G$1&amp;"C"&amp;$A16)-100*RTD("tos.rtd",,"OPEN_INT","."&amp;G$2&amp;G$1&amp;"P"&amp;$A16)*RTD("tos.rtd",,"LAST","."&amp;G$2&amp;G$1&amp;"P"&amp;$A16))/1000000),0),IF($A$2="PREMIUM",IFERROR(IF($X$1="ABS",(100*RTD("tos.rtd",,"VOLUME","."&amp;G$2&amp;G$1&amp;"C"&amp;$A16)*RTD("tos.rtd",,"LAST","."&amp;G$2&amp;G$1&amp;"C"&amp;$A16)+100*RTD("tos.rtd",,"VOLUME","."&amp;G$2&amp;G$1&amp;"P"&amp;$A16)*RTD("tos.rtd",,"LAST","."&amp;G$2&amp;G$1&amp;"P"&amp;$A16))/1000000,(100*RTD("tos.rtd",,"VOLUME","."&amp;G$2&amp;G$1&amp;"C"&amp;$A16)*RTD("tos.rtd",,"LAST","."&amp;G$2&amp;G$1&amp;"C"&amp;$A16)-100*RTD("tos.rtd",,"VOLUME","."&amp;G$2&amp;G$1&amp;"P"&amp;$A16)*RTD("tos.rtd",,"LAST","."&amp;G$2&amp;G$1&amp;"P"&amp;$A16))/1000000),0),IF($A$2="DEX",IFERROR(IF($X$1="ABS",(100*RTD("tos.rtd",,"OPEN_INT","."&amp;G$2&amp;G$1&amp;"C"&amp;$A16)*RTD("tos.rtd",,"DELTA","."&amp;G$2&amp;G$1&amp;"C"&amp;$A16)+100*RTD("tos.rtd",,"OPEN_INT","."&amp;G$2&amp;G$1&amp;"P"&amp;$A16)*RTD("tos.rtd",,"DELTA","."&amp;G$2&amp;G$1&amp;"P"&amp;$A16))/1000,(100*RTD("tos.rtd",,"OPEN_INT","."&amp;G$2&amp;G$1&amp;"C"&amp;$A16)*RTD("tos.rtd",,"DELTA","."&amp;G$2&amp;G$1&amp;"C"&amp;$A16)-100*RTD("tos.rtd",,"OPEN_INT","."&amp;G$2&amp;G$1&amp;"P"&amp;$A16)*RTD("tos.rtd",,"DELTA","."&amp;G$2&amp;G$1&amp;"P"&amp;$A16))/1000),0),IF($A$2="VEX",IFERROR(IF($X$1="ABS",($A$4*$A$4*RTD("tos.rtd",,"VOLUME","."&amp;G$2&amp;G$1&amp;"C"&amp;$A16)*RTD("tos.rtd",,"GAMMA","."&amp;G$2&amp;G$1&amp;"C"&amp;$A16)+$A$4*$A$4*RTD("tos.rtd",,"VOLUME","."&amp;G$2&amp;G$1&amp;"P"&amp;$A16)*RTD("tos.rtd",,"GAMMA","."&amp;G$2&amp;G$1&amp;"P"&amp;$A16))/1000000,($A$4*$A$4*RTD("tos.rtd",,"VOLUME","."&amp;G$2&amp;G$1&amp;"C"&amp;$A16)*RTD("tos.rtd",,"GAMMA","."&amp;G$2&amp;G$1&amp;"C"&amp;$A16)-$A$4*$A$4*RTD("tos.rtd",,"VOLUME","."&amp;G$2&amp;G$1&amp;"P"&amp;$A16)*RTD("tos.rtd",,"GAMMA","."&amp;G$2&amp;G$1&amp;"P"&amp;$A16))/1000000),0),IF($A$2="GEX",IFERROR(IF($X$1="ABS",($A$4*$A$4*RTD("tos.rtd",,"OPEN_INT","."&amp;G$2&amp;G$1&amp;"C"&amp;$A16)*RTD("tos.rtd",,"GAMMA","."&amp;G$2&amp;G$1&amp;"C"&amp;$A16)+$A$4*$A$4*RTD("tos.rtd",,"OPEN_INT","."&amp;G$2&amp;G$1&amp;"P"&amp;$A16)*RTD("tos.rtd",,"GAMMA","."&amp;G$2&amp;G$1&amp;"P"&amp;$A16))/1000000,($A$4*$A$4*RTD("tos.rtd",,"OPEN_INT","."&amp;G$2&amp;G$1&amp;"C"&amp;$A16)*RTD("tos.rtd",,"GAMMA","."&amp;G$2&amp;G$1&amp;"C"&amp;$A16)-$A$4*$A$4*RTD("tos.rtd",,"OPEN_INT","."&amp;G$2&amp;G$1&amp;"P"&amp;$A16)*RTD("tos.rtd",,"GAMMA","."&amp;G$2&amp;G$1&amp;"P"&amp;$A16))/1000000),0),IF($A$2="SKEW",IFERROR(VALUE(IF(RTD("tos.rtd",,"IMPL_VOL","."&amp;G$2&amp;G$1&amp;"P"&amp;$A16)="N/A",0,RTD("tos.rtd",,"IMPL_VOL","."&amp;G$2&amp;G$1&amp;"P"&amp;$A16))),0)-IFERROR(VALUE(IF(RTD("tos.rtd",,"IMPL_VOL","."&amp;G$2&amp;G$1&amp;"C"&amp;$A16)="N/A",0,RTD("tos.rtd",,"IMPL_VOL","."&amp;G$2&amp;G$1&amp;"C"&amp;$A16))),0),IF($A$2="MAXPAIN",IF($A$4&gt;$A16,($A$4-$A16)*IF(RTD("tos.rtd",,"OPEN_INT","."&amp;G$2&amp;G$1&amp;"C"&amp;$A16)="N/A",0,RTD("tos.rtd",,"OPEN_INT","."&amp;G$2&amp;G$1&amp;"C"&amp;$A16)),0)+IF($A$4&lt;$A16,($A$5-$A$4)*IF(RTD("tos.rtd",,"OPEN_INT","."&amp;G$2&amp;G$1&amp;"P"&amp;$A16)="N/A",0,RTD("tos.rtd",,"OPEN_INT","."&amp;G$2&amp;G$1&amp;"P"&amp;$A16)),0),IF($X$1="ABS",IF(RTD("tos.rtd",,$A$2,"."&amp;G$2&amp;G$1&amp;"C"&amp;$A16)="N/A",0,RTD("tos.rtd",,$A$2,"."&amp;G$2&amp;G$1&amp;"C"&amp;$A16))+IF(RTD("tos.rtd",,$A$2,"."&amp;G$2&amp;G$1&amp;"P"&amp;$A16)="N/A",0,RTD("tos.rtd",,$A$2,"."&amp;G$2&amp;G$1&amp;"P"&amp;$A16)),IF(RTD("tos.rtd",,$A$2,"."&amp;G$2&amp;G$1&amp;"C"&amp;$A16)="N/A",0,RTD("tos.rtd",,$A$2,"."&amp;G$2&amp;G$1&amp;"C"&amp;$A16))-IF(RTD("tos.rtd",,$A$2,"."&amp;G$2&amp;G$1&amp;"P"&amp;$A16)="N/A",0,RTD("tos.rtd",,$A$2,"."&amp;G$2&amp;G$1&amp;"P"&amp;$A16))))))))))</f>
        <v>0</v>
      </c>
      <c r="H16" s="14">
        <f ca="1">IF($A$2="PREMIUM_OI",IFERROR(IF($X$1="ABS",(100*RTD("tos.rtd",,"OPEN_INT","."&amp;H$2&amp;H$1&amp;"C"&amp;$A16)*RTD("tos.rtd",,"LAST","."&amp;H$2&amp;H$1&amp;"C"&amp;$A16)+100*RTD("tos.rtd",,"OPEN_INT","."&amp;H$2&amp;H$1&amp;"P"&amp;$A16)*RTD("tos.rtd",,"LAST","."&amp;H$2&amp;H$1&amp;"P"&amp;$A16))/1000000,(100*RTD("tos.rtd",,"OPEN_INT","."&amp;H$2&amp;H$1&amp;"C"&amp;$A16)*RTD("tos.rtd",,"LAST","."&amp;H$2&amp;H$1&amp;"C"&amp;$A16)-100*RTD("tos.rtd",,"OPEN_INT","."&amp;H$2&amp;H$1&amp;"P"&amp;$A16)*RTD("tos.rtd",,"LAST","."&amp;H$2&amp;H$1&amp;"P"&amp;$A16))/1000000),0),IF($A$2="PREMIUM",IFERROR(IF($X$1="ABS",(100*RTD("tos.rtd",,"VOLUME","."&amp;H$2&amp;H$1&amp;"C"&amp;$A16)*RTD("tos.rtd",,"LAST","."&amp;H$2&amp;H$1&amp;"C"&amp;$A16)+100*RTD("tos.rtd",,"VOLUME","."&amp;H$2&amp;H$1&amp;"P"&amp;$A16)*RTD("tos.rtd",,"LAST","."&amp;H$2&amp;H$1&amp;"P"&amp;$A16))/1000000,(100*RTD("tos.rtd",,"VOLUME","."&amp;H$2&amp;H$1&amp;"C"&amp;$A16)*RTD("tos.rtd",,"LAST","."&amp;H$2&amp;H$1&amp;"C"&amp;$A16)-100*RTD("tos.rtd",,"VOLUME","."&amp;H$2&amp;H$1&amp;"P"&amp;$A16)*RTD("tos.rtd",,"LAST","."&amp;H$2&amp;H$1&amp;"P"&amp;$A16))/1000000),0),IF($A$2="DEX",IFERROR(IF($X$1="ABS",(100*RTD("tos.rtd",,"OPEN_INT","."&amp;H$2&amp;H$1&amp;"C"&amp;$A16)*RTD("tos.rtd",,"DELTA","."&amp;H$2&amp;H$1&amp;"C"&amp;$A16)+100*RTD("tos.rtd",,"OPEN_INT","."&amp;H$2&amp;H$1&amp;"P"&amp;$A16)*RTD("tos.rtd",,"DELTA","."&amp;H$2&amp;H$1&amp;"P"&amp;$A16))/1000,(100*RTD("tos.rtd",,"OPEN_INT","."&amp;H$2&amp;H$1&amp;"C"&amp;$A16)*RTD("tos.rtd",,"DELTA","."&amp;H$2&amp;H$1&amp;"C"&amp;$A16)-100*RTD("tos.rtd",,"OPEN_INT","."&amp;H$2&amp;H$1&amp;"P"&amp;$A16)*RTD("tos.rtd",,"DELTA","."&amp;H$2&amp;H$1&amp;"P"&amp;$A16))/1000),0),IF($A$2="VEX",IFERROR(IF($X$1="ABS",($A$4*$A$4*RTD("tos.rtd",,"VOLUME","."&amp;H$2&amp;H$1&amp;"C"&amp;$A16)*RTD("tos.rtd",,"GAMMA","."&amp;H$2&amp;H$1&amp;"C"&amp;$A16)+$A$4*$A$4*RTD("tos.rtd",,"VOLUME","."&amp;H$2&amp;H$1&amp;"P"&amp;$A16)*RTD("tos.rtd",,"GAMMA","."&amp;H$2&amp;H$1&amp;"P"&amp;$A16))/1000000,($A$4*$A$4*RTD("tos.rtd",,"VOLUME","."&amp;H$2&amp;H$1&amp;"C"&amp;$A16)*RTD("tos.rtd",,"GAMMA","."&amp;H$2&amp;H$1&amp;"C"&amp;$A16)-$A$4*$A$4*RTD("tos.rtd",,"VOLUME","."&amp;H$2&amp;H$1&amp;"P"&amp;$A16)*RTD("tos.rtd",,"GAMMA","."&amp;H$2&amp;H$1&amp;"P"&amp;$A16))/1000000),0),IF($A$2="GEX",IFERROR(IF($X$1="ABS",($A$4*$A$4*RTD("tos.rtd",,"OPEN_INT","."&amp;H$2&amp;H$1&amp;"C"&amp;$A16)*RTD("tos.rtd",,"GAMMA","."&amp;H$2&amp;H$1&amp;"C"&amp;$A16)+$A$4*$A$4*RTD("tos.rtd",,"OPEN_INT","."&amp;H$2&amp;H$1&amp;"P"&amp;$A16)*RTD("tos.rtd",,"GAMMA","."&amp;H$2&amp;H$1&amp;"P"&amp;$A16))/1000000,($A$4*$A$4*RTD("tos.rtd",,"OPEN_INT","."&amp;H$2&amp;H$1&amp;"C"&amp;$A16)*RTD("tos.rtd",,"GAMMA","."&amp;H$2&amp;H$1&amp;"C"&amp;$A16)-$A$4*$A$4*RTD("tos.rtd",,"OPEN_INT","."&amp;H$2&amp;H$1&amp;"P"&amp;$A16)*RTD("tos.rtd",,"GAMMA","."&amp;H$2&amp;H$1&amp;"P"&amp;$A16))/1000000),0),IF($A$2="SKEW",IFERROR(VALUE(IF(RTD("tos.rtd",,"IMPL_VOL","."&amp;H$2&amp;H$1&amp;"P"&amp;$A16)="N/A",0,RTD("tos.rtd",,"IMPL_VOL","."&amp;H$2&amp;H$1&amp;"P"&amp;$A16))),0)-IFERROR(VALUE(IF(RTD("tos.rtd",,"IMPL_VOL","."&amp;H$2&amp;H$1&amp;"C"&amp;$A16)="N/A",0,RTD("tos.rtd",,"IMPL_VOL","."&amp;H$2&amp;H$1&amp;"C"&amp;$A16))),0),IF($A$2="MAXPAIN",IF($A$4&gt;$A16,($A$4-$A16)*IF(RTD("tos.rtd",,"OPEN_INT","."&amp;H$2&amp;H$1&amp;"C"&amp;$A16)="N/A",0,RTD("tos.rtd",,"OPEN_INT","."&amp;H$2&amp;H$1&amp;"C"&amp;$A16)),0)+IF($A$4&lt;$A16,($A$5-$A$4)*IF(RTD("tos.rtd",,"OPEN_INT","."&amp;H$2&amp;H$1&amp;"P"&amp;$A16)="N/A",0,RTD("tos.rtd",,"OPEN_INT","."&amp;H$2&amp;H$1&amp;"P"&amp;$A16)),0),IF($X$1="ABS",IF(RTD("tos.rtd",,$A$2,"."&amp;H$2&amp;H$1&amp;"C"&amp;$A16)="N/A",0,RTD("tos.rtd",,$A$2,"."&amp;H$2&amp;H$1&amp;"C"&amp;$A16))+IF(RTD("tos.rtd",,$A$2,"."&amp;H$2&amp;H$1&amp;"P"&amp;$A16)="N/A",0,RTD("tos.rtd",,$A$2,"."&amp;H$2&amp;H$1&amp;"P"&amp;$A16)),IF(RTD("tos.rtd",,$A$2,"."&amp;H$2&amp;H$1&amp;"C"&amp;$A16)="N/A",0,RTD("tos.rtd",,$A$2,"."&amp;H$2&amp;H$1&amp;"C"&amp;$A16))-IF(RTD("tos.rtd",,$A$2,"."&amp;H$2&amp;H$1&amp;"P"&amp;$A16)="N/A",0,RTD("tos.rtd",,$A$2,"."&amp;H$2&amp;H$1&amp;"P"&amp;$A16))))))))))</f>
        <v>0</v>
      </c>
      <c r="I16" s="12">
        <f ca="1">IF($A$2="PREMIUM_OI",IFERROR(IF($X$1="ABS",(100*RTD("tos.rtd",,"OPEN_INT","."&amp;I$2&amp;I$1&amp;"C"&amp;$A16)*RTD("tos.rtd",,"LAST","."&amp;I$2&amp;I$1&amp;"C"&amp;$A16)+100*RTD("tos.rtd",,"OPEN_INT","."&amp;I$2&amp;I$1&amp;"P"&amp;$A16)*RTD("tos.rtd",,"LAST","."&amp;I$2&amp;I$1&amp;"P"&amp;$A16))/1000000,(100*RTD("tos.rtd",,"OPEN_INT","."&amp;I$2&amp;I$1&amp;"C"&amp;$A16)*RTD("tos.rtd",,"LAST","."&amp;I$2&amp;I$1&amp;"C"&amp;$A16)-100*RTD("tos.rtd",,"OPEN_INT","."&amp;I$2&amp;I$1&amp;"P"&amp;$A16)*RTD("tos.rtd",,"LAST","."&amp;I$2&amp;I$1&amp;"P"&amp;$A16))/1000000),0),IF($A$2="PREMIUM",IFERROR(IF($X$1="ABS",(100*RTD("tos.rtd",,"VOLUME","."&amp;I$2&amp;I$1&amp;"C"&amp;$A16)*RTD("tos.rtd",,"LAST","."&amp;I$2&amp;I$1&amp;"C"&amp;$A16)+100*RTD("tos.rtd",,"VOLUME","."&amp;I$2&amp;I$1&amp;"P"&amp;$A16)*RTD("tos.rtd",,"LAST","."&amp;I$2&amp;I$1&amp;"P"&amp;$A16))/1000000,(100*RTD("tos.rtd",,"VOLUME","."&amp;I$2&amp;I$1&amp;"C"&amp;$A16)*RTD("tos.rtd",,"LAST","."&amp;I$2&amp;I$1&amp;"C"&amp;$A16)-100*RTD("tos.rtd",,"VOLUME","."&amp;I$2&amp;I$1&amp;"P"&amp;$A16)*RTD("tos.rtd",,"LAST","."&amp;I$2&amp;I$1&amp;"P"&amp;$A16))/1000000),0),IF($A$2="DEX",IFERROR(IF($X$1="ABS",(100*RTD("tos.rtd",,"OPEN_INT","."&amp;I$2&amp;I$1&amp;"C"&amp;$A16)*RTD("tos.rtd",,"DELTA","."&amp;I$2&amp;I$1&amp;"C"&amp;$A16)+100*RTD("tos.rtd",,"OPEN_INT","."&amp;I$2&amp;I$1&amp;"P"&amp;$A16)*RTD("tos.rtd",,"DELTA","."&amp;I$2&amp;I$1&amp;"P"&amp;$A16))/1000,(100*RTD("tos.rtd",,"OPEN_INT","."&amp;I$2&amp;I$1&amp;"C"&amp;$A16)*RTD("tos.rtd",,"DELTA","."&amp;I$2&amp;I$1&amp;"C"&amp;$A16)-100*RTD("tos.rtd",,"OPEN_INT","."&amp;I$2&amp;I$1&amp;"P"&amp;$A16)*RTD("tos.rtd",,"DELTA","."&amp;I$2&amp;I$1&amp;"P"&amp;$A16))/1000),0),IF($A$2="VEX",IFERROR(IF($X$1="ABS",($A$4*$A$4*RTD("tos.rtd",,"VOLUME","."&amp;I$2&amp;I$1&amp;"C"&amp;$A16)*RTD("tos.rtd",,"GAMMA","."&amp;I$2&amp;I$1&amp;"C"&amp;$A16)+$A$4*$A$4*RTD("tos.rtd",,"VOLUME","."&amp;I$2&amp;I$1&amp;"P"&amp;$A16)*RTD("tos.rtd",,"GAMMA","."&amp;I$2&amp;I$1&amp;"P"&amp;$A16))/1000000,($A$4*$A$4*RTD("tos.rtd",,"VOLUME","."&amp;I$2&amp;I$1&amp;"C"&amp;$A16)*RTD("tos.rtd",,"GAMMA","."&amp;I$2&amp;I$1&amp;"C"&amp;$A16)-$A$4*$A$4*RTD("tos.rtd",,"VOLUME","."&amp;I$2&amp;I$1&amp;"P"&amp;$A16)*RTD("tos.rtd",,"GAMMA","."&amp;I$2&amp;I$1&amp;"P"&amp;$A16))/1000000),0),IF($A$2="GEX",IFERROR(IF($X$1="ABS",($A$4*$A$4*RTD("tos.rtd",,"OPEN_INT","."&amp;I$2&amp;I$1&amp;"C"&amp;$A16)*RTD("tos.rtd",,"GAMMA","."&amp;I$2&amp;I$1&amp;"C"&amp;$A16)+$A$4*$A$4*RTD("tos.rtd",,"OPEN_INT","."&amp;I$2&amp;I$1&amp;"P"&amp;$A16)*RTD("tos.rtd",,"GAMMA","."&amp;I$2&amp;I$1&amp;"P"&amp;$A16))/1000000,($A$4*$A$4*RTD("tos.rtd",,"OPEN_INT","."&amp;I$2&amp;I$1&amp;"C"&amp;$A16)*RTD("tos.rtd",,"GAMMA","."&amp;I$2&amp;I$1&amp;"C"&amp;$A16)-$A$4*$A$4*RTD("tos.rtd",,"OPEN_INT","."&amp;I$2&amp;I$1&amp;"P"&amp;$A16)*RTD("tos.rtd",,"GAMMA","."&amp;I$2&amp;I$1&amp;"P"&amp;$A16))/1000000),0),IF($A$2="SKEW",IFERROR(VALUE(IF(RTD("tos.rtd",,"IMPL_VOL","."&amp;I$2&amp;I$1&amp;"P"&amp;$A16)="N/A",0,RTD("tos.rtd",,"IMPL_VOL","."&amp;I$2&amp;I$1&amp;"P"&amp;$A16))),0)-IFERROR(VALUE(IF(RTD("tos.rtd",,"IMPL_VOL","."&amp;I$2&amp;I$1&amp;"C"&amp;$A16)="N/A",0,RTD("tos.rtd",,"IMPL_VOL","."&amp;I$2&amp;I$1&amp;"C"&amp;$A16))),0),IF($A$2="MAXPAIN",IF($A$4&gt;$A16,($A$4-$A16)*IF(RTD("tos.rtd",,"OPEN_INT","."&amp;I$2&amp;I$1&amp;"C"&amp;$A16)="N/A",0,RTD("tos.rtd",,"OPEN_INT","."&amp;I$2&amp;I$1&amp;"C"&amp;$A16)),0)+IF($A$4&lt;$A16,($A$5-$A$4)*IF(RTD("tos.rtd",,"OPEN_INT","."&amp;I$2&amp;I$1&amp;"P"&amp;$A16)="N/A",0,RTD("tos.rtd",,"OPEN_INT","."&amp;I$2&amp;I$1&amp;"P"&amp;$A16)),0),IF($X$1="ABS",IF(RTD("tos.rtd",,$A$2,"."&amp;I$2&amp;I$1&amp;"C"&amp;$A16)="N/A",0,RTD("tos.rtd",,$A$2,"."&amp;I$2&amp;I$1&amp;"C"&amp;$A16))+IF(RTD("tos.rtd",,$A$2,"."&amp;I$2&amp;I$1&amp;"P"&amp;$A16)="N/A",0,RTD("tos.rtd",,$A$2,"."&amp;I$2&amp;I$1&amp;"P"&amp;$A16)),IF(RTD("tos.rtd",,$A$2,"."&amp;I$2&amp;I$1&amp;"C"&amp;$A16)="N/A",0,RTD("tos.rtd",,$A$2,"."&amp;I$2&amp;I$1&amp;"C"&amp;$A16))-IF(RTD("tos.rtd",,$A$2,"."&amp;I$2&amp;I$1&amp;"P"&amp;$A16)="N/A",0,RTD("tos.rtd",,$A$2,"."&amp;I$2&amp;I$1&amp;"P"&amp;$A16))))))))))</f>
        <v>0</v>
      </c>
      <c r="J16" s="12">
        <f ca="1">IF($A$2="PREMIUM_OI",IFERROR(IF($X$1="ABS",(100*RTD("tos.rtd",,"OPEN_INT","."&amp;J$2&amp;J$1&amp;"C"&amp;$A16)*RTD("tos.rtd",,"LAST","."&amp;J$2&amp;J$1&amp;"C"&amp;$A16)+100*RTD("tos.rtd",,"OPEN_INT","."&amp;J$2&amp;J$1&amp;"P"&amp;$A16)*RTD("tos.rtd",,"LAST","."&amp;J$2&amp;J$1&amp;"P"&amp;$A16))/1000000,(100*RTD("tos.rtd",,"OPEN_INT","."&amp;J$2&amp;J$1&amp;"C"&amp;$A16)*RTD("tos.rtd",,"LAST","."&amp;J$2&amp;J$1&amp;"C"&amp;$A16)-100*RTD("tos.rtd",,"OPEN_INT","."&amp;J$2&amp;J$1&amp;"P"&amp;$A16)*RTD("tos.rtd",,"LAST","."&amp;J$2&amp;J$1&amp;"P"&amp;$A16))/1000000),0),IF($A$2="PREMIUM",IFERROR(IF($X$1="ABS",(100*RTD("tos.rtd",,"VOLUME","."&amp;J$2&amp;J$1&amp;"C"&amp;$A16)*RTD("tos.rtd",,"LAST","."&amp;J$2&amp;J$1&amp;"C"&amp;$A16)+100*RTD("tos.rtd",,"VOLUME","."&amp;J$2&amp;J$1&amp;"P"&amp;$A16)*RTD("tos.rtd",,"LAST","."&amp;J$2&amp;J$1&amp;"P"&amp;$A16))/1000000,(100*RTD("tos.rtd",,"VOLUME","."&amp;J$2&amp;J$1&amp;"C"&amp;$A16)*RTD("tos.rtd",,"LAST","."&amp;J$2&amp;J$1&amp;"C"&amp;$A16)-100*RTD("tos.rtd",,"VOLUME","."&amp;J$2&amp;J$1&amp;"P"&amp;$A16)*RTD("tos.rtd",,"LAST","."&amp;J$2&amp;J$1&amp;"P"&amp;$A16))/1000000),0),IF($A$2="DEX",IFERROR(IF($X$1="ABS",(100*RTD("tos.rtd",,"OPEN_INT","."&amp;J$2&amp;J$1&amp;"C"&amp;$A16)*RTD("tos.rtd",,"DELTA","."&amp;J$2&amp;J$1&amp;"C"&amp;$A16)+100*RTD("tos.rtd",,"OPEN_INT","."&amp;J$2&amp;J$1&amp;"P"&amp;$A16)*RTD("tos.rtd",,"DELTA","."&amp;J$2&amp;J$1&amp;"P"&amp;$A16))/1000,(100*RTD("tos.rtd",,"OPEN_INT","."&amp;J$2&amp;J$1&amp;"C"&amp;$A16)*RTD("tos.rtd",,"DELTA","."&amp;J$2&amp;J$1&amp;"C"&amp;$A16)-100*RTD("tos.rtd",,"OPEN_INT","."&amp;J$2&amp;J$1&amp;"P"&amp;$A16)*RTD("tos.rtd",,"DELTA","."&amp;J$2&amp;J$1&amp;"P"&amp;$A16))/1000),0),IF($A$2="VEX",IFERROR(IF($X$1="ABS",($A$4*$A$4*RTD("tos.rtd",,"VOLUME","."&amp;J$2&amp;J$1&amp;"C"&amp;$A16)*RTD("tos.rtd",,"GAMMA","."&amp;J$2&amp;J$1&amp;"C"&amp;$A16)+$A$4*$A$4*RTD("tos.rtd",,"VOLUME","."&amp;J$2&amp;J$1&amp;"P"&amp;$A16)*RTD("tos.rtd",,"GAMMA","."&amp;J$2&amp;J$1&amp;"P"&amp;$A16))/1000000,($A$4*$A$4*RTD("tos.rtd",,"VOLUME","."&amp;J$2&amp;J$1&amp;"C"&amp;$A16)*RTD("tos.rtd",,"GAMMA","."&amp;J$2&amp;J$1&amp;"C"&amp;$A16)-$A$4*$A$4*RTD("tos.rtd",,"VOLUME","."&amp;J$2&amp;J$1&amp;"P"&amp;$A16)*RTD("tos.rtd",,"GAMMA","."&amp;J$2&amp;J$1&amp;"P"&amp;$A16))/1000000),0),IF($A$2="GEX",IFERROR(IF($X$1="ABS",($A$4*$A$4*RTD("tos.rtd",,"OPEN_INT","."&amp;J$2&amp;J$1&amp;"C"&amp;$A16)*RTD("tos.rtd",,"GAMMA","."&amp;J$2&amp;J$1&amp;"C"&amp;$A16)+$A$4*$A$4*RTD("tos.rtd",,"OPEN_INT","."&amp;J$2&amp;J$1&amp;"P"&amp;$A16)*RTD("tos.rtd",,"GAMMA","."&amp;J$2&amp;J$1&amp;"P"&amp;$A16))/1000000,($A$4*$A$4*RTD("tos.rtd",,"OPEN_INT","."&amp;J$2&amp;J$1&amp;"C"&amp;$A16)*RTD("tos.rtd",,"GAMMA","."&amp;J$2&amp;J$1&amp;"C"&amp;$A16)-$A$4*$A$4*RTD("tos.rtd",,"OPEN_INT","."&amp;J$2&amp;J$1&amp;"P"&amp;$A16)*RTD("tos.rtd",,"GAMMA","."&amp;J$2&amp;J$1&amp;"P"&amp;$A16))/1000000),0),IF($A$2="SKEW",IFERROR(VALUE(IF(RTD("tos.rtd",,"IMPL_VOL","."&amp;J$2&amp;J$1&amp;"P"&amp;$A16)="N/A",0,RTD("tos.rtd",,"IMPL_VOL","."&amp;J$2&amp;J$1&amp;"P"&amp;$A16))),0)-IFERROR(VALUE(IF(RTD("tos.rtd",,"IMPL_VOL","."&amp;J$2&amp;J$1&amp;"C"&amp;$A16)="N/A",0,RTD("tos.rtd",,"IMPL_VOL","."&amp;J$2&amp;J$1&amp;"C"&amp;$A16))),0),IF($A$2="MAXPAIN",IF($A$4&gt;$A16,($A$4-$A16)*IF(RTD("tos.rtd",,"OPEN_INT","."&amp;J$2&amp;J$1&amp;"C"&amp;$A16)="N/A",0,RTD("tos.rtd",,"OPEN_INT","."&amp;J$2&amp;J$1&amp;"C"&amp;$A16)),0)+IF($A$4&lt;$A16,($A$5-$A$4)*IF(RTD("tos.rtd",,"OPEN_INT","."&amp;J$2&amp;J$1&amp;"P"&amp;$A16)="N/A",0,RTD("tos.rtd",,"OPEN_INT","."&amp;J$2&amp;J$1&amp;"P"&amp;$A16)),0),IF($X$1="ABS",IF(RTD("tos.rtd",,$A$2,"."&amp;J$2&amp;J$1&amp;"C"&amp;$A16)="N/A",0,RTD("tos.rtd",,$A$2,"."&amp;J$2&amp;J$1&amp;"C"&amp;$A16))+IF(RTD("tos.rtd",,$A$2,"."&amp;J$2&amp;J$1&amp;"P"&amp;$A16)="N/A",0,RTD("tos.rtd",,$A$2,"."&amp;J$2&amp;J$1&amp;"P"&amp;$A16)),IF(RTD("tos.rtd",,$A$2,"."&amp;J$2&amp;J$1&amp;"C"&amp;$A16)="N/A",0,RTD("tos.rtd",,$A$2,"."&amp;J$2&amp;J$1&amp;"C"&amp;$A16))-IF(RTD("tos.rtd",,$A$2,"."&amp;J$2&amp;J$1&amp;"P"&amp;$A16)="N/A",0,RTD("tos.rtd",,$A$2,"."&amp;J$2&amp;J$1&amp;"P"&amp;$A16))))))))))</f>
        <v>0</v>
      </c>
      <c r="K16" s="12">
        <f ca="1">IF($A$2="PREMIUM_OI",IFERROR(IF($X$1="ABS",(100*RTD("tos.rtd",,"OPEN_INT","."&amp;K$2&amp;K$1&amp;"C"&amp;$A16)*RTD("tos.rtd",,"LAST","."&amp;K$2&amp;K$1&amp;"C"&amp;$A16)+100*RTD("tos.rtd",,"OPEN_INT","."&amp;K$2&amp;K$1&amp;"P"&amp;$A16)*RTD("tos.rtd",,"LAST","."&amp;K$2&amp;K$1&amp;"P"&amp;$A16))/1000000,(100*RTD("tos.rtd",,"OPEN_INT","."&amp;K$2&amp;K$1&amp;"C"&amp;$A16)*RTD("tos.rtd",,"LAST","."&amp;K$2&amp;K$1&amp;"C"&amp;$A16)-100*RTD("tos.rtd",,"OPEN_INT","."&amp;K$2&amp;K$1&amp;"P"&amp;$A16)*RTD("tos.rtd",,"LAST","."&amp;K$2&amp;K$1&amp;"P"&amp;$A16))/1000000),0),IF($A$2="PREMIUM",IFERROR(IF($X$1="ABS",(100*RTD("tos.rtd",,"VOLUME","."&amp;K$2&amp;K$1&amp;"C"&amp;$A16)*RTD("tos.rtd",,"LAST","."&amp;K$2&amp;K$1&amp;"C"&amp;$A16)+100*RTD("tos.rtd",,"VOLUME","."&amp;K$2&amp;K$1&amp;"P"&amp;$A16)*RTD("tos.rtd",,"LAST","."&amp;K$2&amp;K$1&amp;"P"&amp;$A16))/1000000,(100*RTD("tos.rtd",,"VOLUME","."&amp;K$2&amp;K$1&amp;"C"&amp;$A16)*RTD("tos.rtd",,"LAST","."&amp;K$2&amp;K$1&amp;"C"&amp;$A16)-100*RTD("tos.rtd",,"VOLUME","."&amp;K$2&amp;K$1&amp;"P"&amp;$A16)*RTD("tos.rtd",,"LAST","."&amp;K$2&amp;K$1&amp;"P"&amp;$A16))/1000000),0),IF($A$2="DEX",IFERROR(IF($X$1="ABS",(100*RTD("tos.rtd",,"OPEN_INT","."&amp;K$2&amp;K$1&amp;"C"&amp;$A16)*RTD("tos.rtd",,"DELTA","."&amp;K$2&amp;K$1&amp;"C"&amp;$A16)+100*RTD("tos.rtd",,"OPEN_INT","."&amp;K$2&amp;K$1&amp;"P"&amp;$A16)*RTD("tos.rtd",,"DELTA","."&amp;K$2&amp;K$1&amp;"P"&amp;$A16))/1000,(100*RTD("tos.rtd",,"OPEN_INT","."&amp;K$2&amp;K$1&amp;"C"&amp;$A16)*RTD("tos.rtd",,"DELTA","."&amp;K$2&amp;K$1&amp;"C"&amp;$A16)-100*RTD("tos.rtd",,"OPEN_INT","."&amp;K$2&amp;K$1&amp;"P"&amp;$A16)*RTD("tos.rtd",,"DELTA","."&amp;K$2&amp;K$1&amp;"P"&amp;$A16))/1000),0),IF($A$2="VEX",IFERROR(IF($X$1="ABS",($A$4*$A$4*RTD("tos.rtd",,"VOLUME","."&amp;K$2&amp;K$1&amp;"C"&amp;$A16)*RTD("tos.rtd",,"GAMMA","."&amp;K$2&amp;K$1&amp;"C"&amp;$A16)+$A$4*$A$4*RTD("tos.rtd",,"VOLUME","."&amp;K$2&amp;K$1&amp;"P"&amp;$A16)*RTD("tos.rtd",,"GAMMA","."&amp;K$2&amp;K$1&amp;"P"&amp;$A16))/1000000,($A$4*$A$4*RTD("tos.rtd",,"VOLUME","."&amp;K$2&amp;K$1&amp;"C"&amp;$A16)*RTD("tos.rtd",,"GAMMA","."&amp;K$2&amp;K$1&amp;"C"&amp;$A16)-$A$4*$A$4*RTD("tos.rtd",,"VOLUME","."&amp;K$2&amp;K$1&amp;"P"&amp;$A16)*RTD("tos.rtd",,"GAMMA","."&amp;K$2&amp;K$1&amp;"P"&amp;$A16))/1000000),0),IF($A$2="GEX",IFERROR(IF($X$1="ABS",($A$4*$A$4*RTD("tos.rtd",,"OPEN_INT","."&amp;K$2&amp;K$1&amp;"C"&amp;$A16)*RTD("tos.rtd",,"GAMMA","."&amp;K$2&amp;K$1&amp;"C"&amp;$A16)+$A$4*$A$4*RTD("tos.rtd",,"OPEN_INT","."&amp;K$2&amp;K$1&amp;"P"&amp;$A16)*RTD("tos.rtd",,"GAMMA","."&amp;K$2&amp;K$1&amp;"P"&amp;$A16))/1000000,($A$4*$A$4*RTD("tos.rtd",,"OPEN_INT","."&amp;K$2&amp;K$1&amp;"C"&amp;$A16)*RTD("tos.rtd",,"GAMMA","."&amp;K$2&amp;K$1&amp;"C"&amp;$A16)-$A$4*$A$4*RTD("tos.rtd",,"OPEN_INT","."&amp;K$2&amp;K$1&amp;"P"&amp;$A16)*RTD("tos.rtd",,"GAMMA","."&amp;K$2&amp;K$1&amp;"P"&amp;$A16))/1000000),0),IF($A$2="SKEW",IFERROR(VALUE(IF(RTD("tos.rtd",,"IMPL_VOL","."&amp;K$2&amp;K$1&amp;"P"&amp;$A16)="N/A",0,RTD("tos.rtd",,"IMPL_VOL","."&amp;K$2&amp;K$1&amp;"P"&amp;$A16))),0)-IFERROR(VALUE(IF(RTD("tos.rtd",,"IMPL_VOL","."&amp;K$2&amp;K$1&amp;"C"&amp;$A16)="N/A",0,RTD("tos.rtd",,"IMPL_VOL","."&amp;K$2&amp;K$1&amp;"C"&amp;$A16))),0),IF($A$2="MAXPAIN",IF($A$4&gt;$A16,($A$4-$A16)*IF(RTD("tos.rtd",,"OPEN_INT","."&amp;K$2&amp;K$1&amp;"C"&amp;$A16)="N/A",0,RTD("tos.rtd",,"OPEN_INT","."&amp;K$2&amp;K$1&amp;"C"&amp;$A16)),0)+IF($A$4&lt;$A16,($A$5-$A$4)*IF(RTD("tos.rtd",,"OPEN_INT","."&amp;K$2&amp;K$1&amp;"P"&amp;$A16)="N/A",0,RTD("tos.rtd",,"OPEN_INT","."&amp;K$2&amp;K$1&amp;"P"&amp;$A16)),0),IF($X$1="ABS",IF(RTD("tos.rtd",,$A$2,"."&amp;K$2&amp;K$1&amp;"C"&amp;$A16)="N/A",0,RTD("tos.rtd",,$A$2,"."&amp;K$2&amp;K$1&amp;"C"&amp;$A16))+IF(RTD("tos.rtd",,$A$2,"."&amp;K$2&amp;K$1&amp;"P"&amp;$A16)="N/A",0,RTD("tos.rtd",,$A$2,"."&amp;K$2&amp;K$1&amp;"P"&amp;$A16)),IF(RTD("tos.rtd",,$A$2,"."&amp;K$2&amp;K$1&amp;"C"&amp;$A16)="N/A",0,RTD("tos.rtd",,$A$2,"."&amp;K$2&amp;K$1&amp;"C"&amp;$A16))-IF(RTD("tos.rtd",,$A$2,"."&amp;K$2&amp;K$1&amp;"P"&amp;$A16)="N/A",0,RTD("tos.rtd",,$A$2,"."&amp;K$2&amp;K$1&amp;"P"&amp;$A16))))))))))</f>
        <v>0</v>
      </c>
      <c r="L16" s="54">
        <f ca="1">IF($A$2="PREMIUM_OI",IFERROR(IF($X$1="ABS",(100*RTD("tos.rtd",,"OPEN_INT","."&amp;L$2&amp;L$1&amp;"C"&amp;$A16)*RTD("tos.rtd",,"LAST","."&amp;L$2&amp;L$1&amp;"C"&amp;$A16)+100*RTD("tos.rtd",,"OPEN_INT","."&amp;L$2&amp;L$1&amp;"P"&amp;$A16)*RTD("tos.rtd",,"LAST","."&amp;L$2&amp;L$1&amp;"P"&amp;$A16))/1000000,(100*RTD("tos.rtd",,"OPEN_INT","."&amp;L$2&amp;L$1&amp;"C"&amp;$A16)*RTD("tos.rtd",,"LAST","."&amp;L$2&amp;L$1&amp;"C"&amp;$A16)-100*RTD("tos.rtd",,"OPEN_INT","."&amp;L$2&amp;L$1&amp;"P"&amp;$A16)*RTD("tos.rtd",,"LAST","."&amp;L$2&amp;L$1&amp;"P"&amp;$A16))/1000000),0),IF($A$2="PREMIUM",IFERROR(IF($X$1="ABS",(100*RTD("tos.rtd",,"VOLUME","."&amp;L$2&amp;L$1&amp;"C"&amp;$A16)*RTD("tos.rtd",,"LAST","."&amp;L$2&amp;L$1&amp;"C"&amp;$A16)+100*RTD("tos.rtd",,"VOLUME","."&amp;L$2&amp;L$1&amp;"P"&amp;$A16)*RTD("tos.rtd",,"LAST","."&amp;L$2&amp;L$1&amp;"P"&amp;$A16))/1000000,(100*RTD("tos.rtd",,"VOLUME","."&amp;L$2&amp;L$1&amp;"C"&amp;$A16)*RTD("tos.rtd",,"LAST","."&amp;L$2&amp;L$1&amp;"C"&amp;$A16)-100*RTD("tos.rtd",,"VOLUME","."&amp;L$2&amp;L$1&amp;"P"&amp;$A16)*RTD("tos.rtd",,"LAST","."&amp;L$2&amp;L$1&amp;"P"&amp;$A16))/1000000),0),IF($A$2="DEX",IFERROR(IF($X$1="ABS",(100*RTD("tos.rtd",,"OPEN_INT","."&amp;L$2&amp;L$1&amp;"C"&amp;$A16)*RTD("tos.rtd",,"DELTA","."&amp;L$2&amp;L$1&amp;"C"&amp;$A16)+100*RTD("tos.rtd",,"OPEN_INT","."&amp;L$2&amp;L$1&amp;"P"&amp;$A16)*RTD("tos.rtd",,"DELTA","."&amp;L$2&amp;L$1&amp;"P"&amp;$A16))/1000,(100*RTD("tos.rtd",,"OPEN_INT","."&amp;L$2&amp;L$1&amp;"C"&amp;$A16)*RTD("tos.rtd",,"DELTA","."&amp;L$2&amp;L$1&amp;"C"&amp;$A16)-100*RTD("tos.rtd",,"OPEN_INT","."&amp;L$2&amp;L$1&amp;"P"&amp;$A16)*RTD("tos.rtd",,"DELTA","."&amp;L$2&amp;L$1&amp;"P"&amp;$A16))/1000),0),IF($A$2="VEX",IFERROR(IF($X$1="ABS",($A$4*$A$4*RTD("tos.rtd",,"VOLUME","."&amp;L$2&amp;L$1&amp;"C"&amp;$A16)*RTD("tos.rtd",,"GAMMA","."&amp;L$2&amp;L$1&amp;"C"&amp;$A16)+$A$4*$A$4*RTD("tos.rtd",,"VOLUME","."&amp;L$2&amp;L$1&amp;"P"&amp;$A16)*RTD("tos.rtd",,"GAMMA","."&amp;L$2&amp;L$1&amp;"P"&amp;$A16))/1000000,($A$4*$A$4*RTD("tos.rtd",,"VOLUME","."&amp;L$2&amp;L$1&amp;"C"&amp;$A16)*RTD("tos.rtd",,"GAMMA","."&amp;L$2&amp;L$1&amp;"C"&amp;$A16)-$A$4*$A$4*RTD("tos.rtd",,"VOLUME","."&amp;L$2&amp;L$1&amp;"P"&amp;$A16)*RTD("tos.rtd",,"GAMMA","."&amp;L$2&amp;L$1&amp;"P"&amp;$A16))/1000000),0),IF($A$2="GEX",IFERROR(IF($X$1="ABS",($A$4*$A$4*RTD("tos.rtd",,"OPEN_INT","."&amp;L$2&amp;L$1&amp;"C"&amp;$A16)*RTD("tos.rtd",,"GAMMA","."&amp;L$2&amp;L$1&amp;"C"&amp;$A16)+$A$4*$A$4*RTD("tos.rtd",,"OPEN_INT","."&amp;L$2&amp;L$1&amp;"P"&amp;$A16)*RTD("tos.rtd",,"GAMMA","."&amp;L$2&amp;L$1&amp;"P"&amp;$A16))/1000000,($A$4*$A$4*RTD("tos.rtd",,"OPEN_INT","."&amp;L$2&amp;L$1&amp;"C"&amp;$A16)*RTD("tos.rtd",,"GAMMA","."&amp;L$2&amp;L$1&amp;"C"&amp;$A16)-$A$4*$A$4*RTD("tos.rtd",,"OPEN_INT","."&amp;L$2&amp;L$1&amp;"P"&amp;$A16)*RTD("tos.rtd",,"GAMMA","."&amp;L$2&amp;L$1&amp;"P"&amp;$A16))/1000000),0),IF($A$2="SKEW",IFERROR(VALUE(IF(RTD("tos.rtd",,"IMPL_VOL","."&amp;L$2&amp;L$1&amp;"P"&amp;$A16)="N/A",0,RTD("tos.rtd",,"IMPL_VOL","."&amp;L$2&amp;L$1&amp;"P"&amp;$A16))),0)-IFERROR(VALUE(IF(RTD("tos.rtd",,"IMPL_VOL","."&amp;L$2&amp;L$1&amp;"C"&amp;$A16)="N/A",0,RTD("tos.rtd",,"IMPL_VOL","."&amp;L$2&amp;L$1&amp;"C"&amp;$A16))),0),IF($A$2="MAXPAIN",IF($A$4&gt;$A16,($A$4-$A16)*IF(RTD("tos.rtd",,"OPEN_INT","."&amp;L$2&amp;L$1&amp;"C"&amp;$A16)="N/A",0,RTD("tos.rtd",,"OPEN_INT","."&amp;L$2&amp;L$1&amp;"C"&amp;$A16)),0)+IF($A$4&lt;$A16,($A$5-$A$4)*IF(RTD("tos.rtd",,"OPEN_INT","."&amp;L$2&amp;L$1&amp;"P"&amp;$A16)="N/A",0,RTD("tos.rtd",,"OPEN_INT","."&amp;L$2&amp;L$1&amp;"P"&amp;$A16)),0),IF($X$1="ABS",IF(RTD("tos.rtd",,$A$2,"."&amp;L$2&amp;L$1&amp;"C"&amp;$A16)="N/A",0,RTD("tos.rtd",,$A$2,"."&amp;L$2&amp;L$1&amp;"C"&amp;$A16))+IF(RTD("tos.rtd",,$A$2,"."&amp;L$2&amp;L$1&amp;"P"&amp;$A16)="N/A",0,RTD("tos.rtd",,$A$2,"."&amp;L$2&amp;L$1&amp;"P"&amp;$A16)),IF(RTD("tos.rtd",,$A$2,"."&amp;L$2&amp;L$1&amp;"C"&amp;$A16)="N/A",0,RTD("tos.rtd",,$A$2,"."&amp;L$2&amp;L$1&amp;"C"&amp;$A16))-IF(RTD("tos.rtd",,$A$2,"."&amp;L$2&amp;L$1&amp;"P"&amp;$A16)="N/A",0,RTD("tos.rtd",,$A$2,"."&amp;L$2&amp;L$1&amp;"P"&amp;$A16))))))))))</f>
        <v>1376</v>
      </c>
      <c r="M16" s="12">
        <f ca="1">IF($A$2="PREMIUM_OI",IFERROR(IF($X$1="ABS",(100*RTD("tos.rtd",,"OPEN_INT","."&amp;M$2&amp;M$1&amp;"C"&amp;$A16)*RTD("tos.rtd",,"LAST","."&amp;M$2&amp;M$1&amp;"C"&amp;$A16)+100*RTD("tos.rtd",,"OPEN_INT","."&amp;M$2&amp;M$1&amp;"P"&amp;$A16)*RTD("tos.rtd",,"LAST","."&amp;M$2&amp;M$1&amp;"P"&amp;$A16))/1000000,(100*RTD("tos.rtd",,"OPEN_INT","."&amp;M$2&amp;M$1&amp;"C"&amp;$A16)*RTD("tos.rtd",,"LAST","."&amp;M$2&amp;M$1&amp;"C"&amp;$A16)-100*RTD("tos.rtd",,"OPEN_INT","."&amp;M$2&amp;M$1&amp;"P"&amp;$A16)*RTD("tos.rtd",,"LAST","."&amp;M$2&amp;M$1&amp;"P"&amp;$A16))/1000000),0),IF($A$2="PREMIUM",IFERROR(IF($X$1="ABS",(100*RTD("tos.rtd",,"VOLUME","."&amp;M$2&amp;M$1&amp;"C"&amp;$A16)*RTD("tos.rtd",,"LAST","."&amp;M$2&amp;M$1&amp;"C"&amp;$A16)+100*RTD("tos.rtd",,"VOLUME","."&amp;M$2&amp;M$1&amp;"P"&amp;$A16)*RTD("tos.rtd",,"LAST","."&amp;M$2&amp;M$1&amp;"P"&amp;$A16))/1000000,(100*RTD("tos.rtd",,"VOLUME","."&amp;M$2&amp;M$1&amp;"C"&amp;$A16)*RTD("tos.rtd",,"LAST","."&amp;M$2&amp;M$1&amp;"C"&amp;$A16)-100*RTD("tos.rtd",,"VOLUME","."&amp;M$2&amp;M$1&amp;"P"&amp;$A16)*RTD("tos.rtd",,"LAST","."&amp;M$2&amp;M$1&amp;"P"&amp;$A16))/1000000),0),IF($A$2="DEX",IFERROR(IF($X$1="ABS",(100*RTD("tos.rtd",,"OPEN_INT","."&amp;M$2&amp;M$1&amp;"C"&amp;$A16)*RTD("tos.rtd",,"DELTA","."&amp;M$2&amp;M$1&amp;"C"&amp;$A16)+100*RTD("tos.rtd",,"OPEN_INT","."&amp;M$2&amp;M$1&amp;"P"&amp;$A16)*RTD("tos.rtd",,"DELTA","."&amp;M$2&amp;M$1&amp;"P"&amp;$A16))/1000,(100*RTD("tos.rtd",,"OPEN_INT","."&amp;M$2&amp;M$1&amp;"C"&amp;$A16)*RTD("tos.rtd",,"DELTA","."&amp;M$2&amp;M$1&amp;"C"&amp;$A16)-100*RTD("tos.rtd",,"OPEN_INT","."&amp;M$2&amp;M$1&amp;"P"&amp;$A16)*RTD("tos.rtd",,"DELTA","."&amp;M$2&amp;M$1&amp;"P"&amp;$A16))/1000),0),IF($A$2="VEX",IFERROR(IF($X$1="ABS",($A$4*$A$4*RTD("tos.rtd",,"VOLUME","."&amp;M$2&amp;M$1&amp;"C"&amp;$A16)*RTD("tos.rtd",,"GAMMA","."&amp;M$2&amp;M$1&amp;"C"&amp;$A16)+$A$4*$A$4*RTD("tos.rtd",,"VOLUME","."&amp;M$2&amp;M$1&amp;"P"&amp;$A16)*RTD("tos.rtd",,"GAMMA","."&amp;M$2&amp;M$1&amp;"P"&amp;$A16))/1000000,($A$4*$A$4*RTD("tos.rtd",,"VOLUME","."&amp;M$2&amp;M$1&amp;"C"&amp;$A16)*RTD("tos.rtd",,"GAMMA","."&amp;M$2&amp;M$1&amp;"C"&amp;$A16)-$A$4*$A$4*RTD("tos.rtd",,"VOLUME","."&amp;M$2&amp;M$1&amp;"P"&amp;$A16)*RTD("tos.rtd",,"GAMMA","."&amp;M$2&amp;M$1&amp;"P"&amp;$A16))/1000000),0),IF($A$2="GEX",IFERROR(IF($X$1="ABS",($A$4*$A$4*RTD("tos.rtd",,"OPEN_INT","."&amp;M$2&amp;M$1&amp;"C"&amp;$A16)*RTD("tos.rtd",,"GAMMA","."&amp;M$2&amp;M$1&amp;"C"&amp;$A16)+$A$4*$A$4*RTD("tos.rtd",,"OPEN_INT","."&amp;M$2&amp;M$1&amp;"P"&amp;$A16)*RTD("tos.rtd",,"GAMMA","."&amp;M$2&amp;M$1&amp;"P"&amp;$A16))/1000000,($A$4*$A$4*RTD("tos.rtd",,"OPEN_INT","."&amp;M$2&amp;M$1&amp;"C"&amp;$A16)*RTD("tos.rtd",,"GAMMA","."&amp;M$2&amp;M$1&amp;"C"&amp;$A16)-$A$4*$A$4*RTD("tos.rtd",,"OPEN_INT","."&amp;M$2&amp;M$1&amp;"P"&amp;$A16)*RTD("tos.rtd",,"GAMMA","."&amp;M$2&amp;M$1&amp;"P"&amp;$A16))/1000000),0),IF($A$2="SKEW",IFERROR(VALUE(IF(RTD("tos.rtd",,"IMPL_VOL","."&amp;M$2&amp;M$1&amp;"P"&amp;$A16)="N/A",0,RTD("tos.rtd",,"IMPL_VOL","."&amp;M$2&amp;M$1&amp;"P"&amp;$A16))),0)-IFERROR(VALUE(IF(RTD("tos.rtd",,"IMPL_VOL","."&amp;M$2&amp;M$1&amp;"C"&amp;$A16)="N/A",0,RTD("tos.rtd",,"IMPL_VOL","."&amp;M$2&amp;M$1&amp;"C"&amp;$A16))),0),IF($A$2="MAXPAIN",IF($A$4&gt;$A16,($A$4-$A16)*IF(RTD("tos.rtd",,"OPEN_INT","."&amp;M$2&amp;M$1&amp;"C"&amp;$A16)="N/A",0,RTD("tos.rtd",,"OPEN_INT","."&amp;M$2&amp;M$1&amp;"C"&amp;$A16)),0)+IF($A$4&lt;$A16,($A$5-$A$4)*IF(RTD("tos.rtd",,"OPEN_INT","."&amp;M$2&amp;M$1&amp;"P"&amp;$A16)="N/A",0,RTD("tos.rtd",,"OPEN_INT","."&amp;M$2&amp;M$1&amp;"P"&amp;$A16)),0),IF($X$1="ABS",IF(RTD("tos.rtd",,$A$2,"."&amp;M$2&amp;M$1&amp;"C"&amp;$A16)="N/A",0,RTD("tos.rtd",,$A$2,"."&amp;M$2&amp;M$1&amp;"C"&amp;$A16))+IF(RTD("tos.rtd",,$A$2,"."&amp;M$2&amp;M$1&amp;"P"&amp;$A16)="N/A",0,RTD("tos.rtd",,$A$2,"."&amp;M$2&amp;M$1&amp;"P"&amp;$A16)),IF(RTD("tos.rtd",,$A$2,"."&amp;M$2&amp;M$1&amp;"C"&amp;$A16)="N/A",0,RTD("tos.rtd",,$A$2,"."&amp;M$2&amp;M$1&amp;"C"&amp;$A16))-IF(RTD("tos.rtd",,$A$2,"."&amp;M$2&amp;M$1&amp;"P"&amp;$A16)="N/A",0,RTD("tos.rtd",,$A$2,"."&amp;M$2&amp;M$1&amp;"P"&amp;$A16))))))))))</f>
        <v>657</v>
      </c>
      <c r="N16" s="12">
        <f ca="1">IF($A$2="PREMIUM_OI",IFERROR(IF($X$1="ABS",(100*RTD("tos.rtd",,"OPEN_INT","."&amp;N$2&amp;N$1&amp;"C"&amp;$A16)*RTD("tos.rtd",,"LAST","."&amp;N$2&amp;N$1&amp;"C"&amp;$A16)+100*RTD("tos.rtd",,"OPEN_INT","."&amp;N$2&amp;N$1&amp;"P"&amp;$A16)*RTD("tos.rtd",,"LAST","."&amp;N$2&amp;N$1&amp;"P"&amp;$A16))/1000000,(100*RTD("tos.rtd",,"OPEN_INT","."&amp;N$2&amp;N$1&amp;"C"&amp;$A16)*RTD("tos.rtd",,"LAST","."&amp;N$2&amp;N$1&amp;"C"&amp;$A16)-100*RTD("tos.rtd",,"OPEN_INT","."&amp;N$2&amp;N$1&amp;"P"&amp;$A16)*RTD("tos.rtd",,"LAST","."&amp;N$2&amp;N$1&amp;"P"&amp;$A16))/1000000),0),IF($A$2="PREMIUM",IFERROR(IF($X$1="ABS",(100*RTD("tos.rtd",,"VOLUME","."&amp;N$2&amp;N$1&amp;"C"&amp;$A16)*RTD("tos.rtd",,"LAST","."&amp;N$2&amp;N$1&amp;"C"&amp;$A16)+100*RTD("tos.rtd",,"VOLUME","."&amp;N$2&amp;N$1&amp;"P"&amp;$A16)*RTD("tos.rtd",,"LAST","."&amp;N$2&amp;N$1&amp;"P"&amp;$A16))/1000000,(100*RTD("tos.rtd",,"VOLUME","."&amp;N$2&amp;N$1&amp;"C"&amp;$A16)*RTD("tos.rtd",,"LAST","."&amp;N$2&amp;N$1&amp;"C"&amp;$A16)-100*RTD("tos.rtd",,"VOLUME","."&amp;N$2&amp;N$1&amp;"P"&amp;$A16)*RTD("tos.rtd",,"LAST","."&amp;N$2&amp;N$1&amp;"P"&amp;$A16))/1000000),0),IF($A$2="DEX",IFERROR(IF($X$1="ABS",(100*RTD("tos.rtd",,"OPEN_INT","."&amp;N$2&amp;N$1&amp;"C"&amp;$A16)*RTD("tos.rtd",,"DELTA","."&amp;N$2&amp;N$1&amp;"C"&amp;$A16)+100*RTD("tos.rtd",,"OPEN_INT","."&amp;N$2&amp;N$1&amp;"P"&amp;$A16)*RTD("tos.rtd",,"DELTA","."&amp;N$2&amp;N$1&amp;"P"&amp;$A16))/1000,(100*RTD("tos.rtd",,"OPEN_INT","."&amp;N$2&amp;N$1&amp;"C"&amp;$A16)*RTD("tos.rtd",,"DELTA","."&amp;N$2&amp;N$1&amp;"C"&amp;$A16)-100*RTD("tos.rtd",,"OPEN_INT","."&amp;N$2&amp;N$1&amp;"P"&amp;$A16)*RTD("tos.rtd",,"DELTA","."&amp;N$2&amp;N$1&amp;"P"&amp;$A16))/1000),0),IF($A$2="VEX",IFERROR(IF($X$1="ABS",($A$4*$A$4*RTD("tos.rtd",,"VOLUME","."&amp;N$2&amp;N$1&amp;"C"&amp;$A16)*RTD("tos.rtd",,"GAMMA","."&amp;N$2&amp;N$1&amp;"C"&amp;$A16)+$A$4*$A$4*RTD("tos.rtd",,"VOLUME","."&amp;N$2&amp;N$1&amp;"P"&amp;$A16)*RTD("tos.rtd",,"GAMMA","."&amp;N$2&amp;N$1&amp;"P"&amp;$A16))/1000000,($A$4*$A$4*RTD("tos.rtd",,"VOLUME","."&amp;N$2&amp;N$1&amp;"C"&amp;$A16)*RTD("tos.rtd",,"GAMMA","."&amp;N$2&amp;N$1&amp;"C"&amp;$A16)-$A$4*$A$4*RTD("tos.rtd",,"VOLUME","."&amp;N$2&amp;N$1&amp;"P"&amp;$A16)*RTD("tos.rtd",,"GAMMA","."&amp;N$2&amp;N$1&amp;"P"&amp;$A16))/1000000),0),IF($A$2="GEX",IFERROR(IF($X$1="ABS",($A$4*$A$4*RTD("tos.rtd",,"OPEN_INT","."&amp;N$2&amp;N$1&amp;"C"&amp;$A16)*RTD("tos.rtd",,"GAMMA","."&amp;N$2&amp;N$1&amp;"C"&amp;$A16)+$A$4*$A$4*RTD("tos.rtd",,"OPEN_INT","."&amp;N$2&amp;N$1&amp;"P"&amp;$A16)*RTD("tos.rtd",,"GAMMA","."&amp;N$2&amp;N$1&amp;"P"&amp;$A16))/1000000,($A$4*$A$4*RTD("tos.rtd",,"OPEN_INT","."&amp;N$2&amp;N$1&amp;"C"&amp;$A16)*RTD("tos.rtd",,"GAMMA","."&amp;N$2&amp;N$1&amp;"C"&amp;$A16)-$A$4*$A$4*RTD("tos.rtd",,"OPEN_INT","."&amp;N$2&amp;N$1&amp;"P"&amp;$A16)*RTD("tos.rtd",,"GAMMA","."&amp;N$2&amp;N$1&amp;"P"&amp;$A16))/1000000),0),IF($A$2="SKEW",IFERROR(VALUE(IF(RTD("tos.rtd",,"IMPL_VOL","."&amp;N$2&amp;N$1&amp;"P"&amp;$A16)="N/A",0,RTD("tos.rtd",,"IMPL_VOL","."&amp;N$2&amp;N$1&amp;"P"&amp;$A16))),0)-IFERROR(VALUE(IF(RTD("tos.rtd",,"IMPL_VOL","."&amp;N$2&amp;N$1&amp;"C"&amp;$A16)="N/A",0,RTD("tos.rtd",,"IMPL_VOL","."&amp;N$2&amp;N$1&amp;"C"&amp;$A16))),0),IF($A$2="MAXPAIN",IF($A$4&gt;$A16,($A$4-$A16)*IF(RTD("tos.rtd",,"OPEN_INT","."&amp;N$2&amp;N$1&amp;"C"&amp;$A16)="N/A",0,RTD("tos.rtd",,"OPEN_INT","."&amp;N$2&amp;N$1&amp;"C"&amp;$A16)),0)+IF($A$4&lt;$A16,($A$5-$A$4)*IF(RTD("tos.rtd",,"OPEN_INT","."&amp;N$2&amp;N$1&amp;"P"&amp;$A16)="N/A",0,RTD("tos.rtd",,"OPEN_INT","."&amp;N$2&amp;N$1&amp;"P"&amp;$A16)),0),IF($X$1="ABS",IF(RTD("tos.rtd",,$A$2,"."&amp;N$2&amp;N$1&amp;"C"&amp;$A16)="N/A",0,RTD("tos.rtd",,$A$2,"."&amp;N$2&amp;N$1&amp;"C"&amp;$A16))+IF(RTD("tos.rtd",,$A$2,"."&amp;N$2&amp;N$1&amp;"P"&amp;$A16)="N/A",0,RTD("tos.rtd",,$A$2,"."&amp;N$2&amp;N$1&amp;"P"&amp;$A16)),IF(RTD("tos.rtd",,$A$2,"."&amp;N$2&amp;N$1&amp;"C"&amp;$A16)="N/A",0,RTD("tos.rtd",,$A$2,"."&amp;N$2&amp;N$1&amp;"C"&amp;$A16))-IF(RTD("tos.rtd",,$A$2,"."&amp;N$2&amp;N$1&amp;"P"&amp;$A16)="N/A",0,RTD("tos.rtd",,$A$2,"."&amp;N$2&amp;N$1&amp;"P"&amp;$A16))))))))))</f>
        <v>0</v>
      </c>
      <c r="O16" s="12">
        <f ca="1">IF($A$2="PREMIUM_OI",IFERROR(IF($X$1="ABS",(100*RTD("tos.rtd",,"OPEN_INT","."&amp;O$2&amp;O$1&amp;"C"&amp;$A16)*RTD("tos.rtd",,"LAST","."&amp;O$2&amp;O$1&amp;"C"&amp;$A16)+100*RTD("tos.rtd",,"OPEN_INT","."&amp;O$2&amp;O$1&amp;"P"&amp;$A16)*RTD("tos.rtd",,"LAST","."&amp;O$2&amp;O$1&amp;"P"&amp;$A16))/1000000,(100*RTD("tos.rtd",,"OPEN_INT","."&amp;O$2&amp;O$1&amp;"C"&amp;$A16)*RTD("tos.rtd",,"LAST","."&amp;O$2&amp;O$1&amp;"C"&amp;$A16)-100*RTD("tos.rtd",,"OPEN_INT","."&amp;O$2&amp;O$1&amp;"P"&amp;$A16)*RTD("tos.rtd",,"LAST","."&amp;O$2&amp;O$1&amp;"P"&amp;$A16))/1000000),0),IF($A$2="PREMIUM",IFERROR(IF($X$1="ABS",(100*RTD("tos.rtd",,"VOLUME","."&amp;O$2&amp;O$1&amp;"C"&amp;$A16)*RTD("tos.rtd",,"LAST","."&amp;O$2&amp;O$1&amp;"C"&amp;$A16)+100*RTD("tos.rtd",,"VOLUME","."&amp;O$2&amp;O$1&amp;"P"&amp;$A16)*RTD("tos.rtd",,"LAST","."&amp;O$2&amp;O$1&amp;"P"&amp;$A16))/1000000,(100*RTD("tos.rtd",,"VOLUME","."&amp;O$2&amp;O$1&amp;"C"&amp;$A16)*RTD("tos.rtd",,"LAST","."&amp;O$2&amp;O$1&amp;"C"&amp;$A16)-100*RTD("tos.rtd",,"VOLUME","."&amp;O$2&amp;O$1&amp;"P"&amp;$A16)*RTD("tos.rtd",,"LAST","."&amp;O$2&amp;O$1&amp;"P"&amp;$A16))/1000000),0),IF($A$2="DEX",IFERROR(IF($X$1="ABS",(100*RTD("tos.rtd",,"OPEN_INT","."&amp;O$2&amp;O$1&amp;"C"&amp;$A16)*RTD("tos.rtd",,"DELTA","."&amp;O$2&amp;O$1&amp;"C"&amp;$A16)+100*RTD("tos.rtd",,"OPEN_INT","."&amp;O$2&amp;O$1&amp;"P"&amp;$A16)*RTD("tos.rtd",,"DELTA","."&amp;O$2&amp;O$1&amp;"P"&amp;$A16))/1000,(100*RTD("tos.rtd",,"OPEN_INT","."&amp;O$2&amp;O$1&amp;"C"&amp;$A16)*RTD("tos.rtd",,"DELTA","."&amp;O$2&amp;O$1&amp;"C"&amp;$A16)-100*RTD("tos.rtd",,"OPEN_INT","."&amp;O$2&amp;O$1&amp;"P"&amp;$A16)*RTD("tos.rtd",,"DELTA","."&amp;O$2&amp;O$1&amp;"P"&amp;$A16))/1000),0),IF($A$2="VEX",IFERROR(IF($X$1="ABS",($A$4*$A$4*RTD("tos.rtd",,"VOLUME","."&amp;O$2&amp;O$1&amp;"C"&amp;$A16)*RTD("tos.rtd",,"GAMMA","."&amp;O$2&amp;O$1&amp;"C"&amp;$A16)+$A$4*$A$4*RTD("tos.rtd",,"VOLUME","."&amp;O$2&amp;O$1&amp;"P"&amp;$A16)*RTD("tos.rtd",,"GAMMA","."&amp;O$2&amp;O$1&amp;"P"&amp;$A16))/1000000,($A$4*$A$4*RTD("tos.rtd",,"VOLUME","."&amp;O$2&amp;O$1&amp;"C"&amp;$A16)*RTD("tos.rtd",,"GAMMA","."&amp;O$2&amp;O$1&amp;"C"&amp;$A16)-$A$4*$A$4*RTD("tos.rtd",,"VOLUME","."&amp;O$2&amp;O$1&amp;"P"&amp;$A16)*RTD("tos.rtd",,"GAMMA","."&amp;O$2&amp;O$1&amp;"P"&amp;$A16))/1000000),0),IF($A$2="GEX",IFERROR(IF($X$1="ABS",($A$4*$A$4*RTD("tos.rtd",,"OPEN_INT","."&amp;O$2&amp;O$1&amp;"C"&amp;$A16)*RTD("tos.rtd",,"GAMMA","."&amp;O$2&amp;O$1&amp;"C"&amp;$A16)+$A$4*$A$4*RTD("tos.rtd",,"OPEN_INT","."&amp;O$2&amp;O$1&amp;"P"&amp;$A16)*RTD("tos.rtd",,"GAMMA","."&amp;O$2&amp;O$1&amp;"P"&amp;$A16))/1000000,($A$4*$A$4*RTD("tos.rtd",,"OPEN_INT","."&amp;O$2&amp;O$1&amp;"C"&amp;$A16)*RTD("tos.rtd",,"GAMMA","."&amp;O$2&amp;O$1&amp;"C"&amp;$A16)-$A$4*$A$4*RTD("tos.rtd",,"OPEN_INT","."&amp;O$2&amp;O$1&amp;"P"&amp;$A16)*RTD("tos.rtd",,"GAMMA","."&amp;O$2&amp;O$1&amp;"P"&amp;$A16))/1000000),0),IF($A$2="SKEW",IFERROR(VALUE(IF(RTD("tos.rtd",,"IMPL_VOL","."&amp;O$2&amp;O$1&amp;"P"&amp;$A16)="N/A",0,RTD("tos.rtd",,"IMPL_VOL","."&amp;O$2&amp;O$1&amp;"P"&amp;$A16))),0)-IFERROR(VALUE(IF(RTD("tos.rtd",,"IMPL_VOL","."&amp;O$2&amp;O$1&amp;"C"&amp;$A16)="N/A",0,RTD("tos.rtd",,"IMPL_VOL","."&amp;O$2&amp;O$1&amp;"C"&amp;$A16))),0),IF($A$2="MAXPAIN",IF($A$4&gt;$A16,($A$4-$A16)*IF(RTD("tos.rtd",,"OPEN_INT","."&amp;O$2&amp;O$1&amp;"C"&amp;$A16)="N/A",0,RTD("tos.rtd",,"OPEN_INT","."&amp;O$2&amp;O$1&amp;"C"&amp;$A16)),0)+IF($A$4&lt;$A16,($A$5-$A$4)*IF(RTD("tos.rtd",,"OPEN_INT","."&amp;O$2&amp;O$1&amp;"P"&amp;$A16)="N/A",0,RTD("tos.rtd",,"OPEN_INT","."&amp;O$2&amp;O$1&amp;"P"&amp;$A16)),0),IF($X$1="ABS",IF(RTD("tos.rtd",,$A$2,"."&amp;O$2&amp;O$1&amp;"C"&amp;$A16)="N/A",0,RTD("tos.rtd",,$A$2,"."&amp;O$2&amp;O$1&amp;"C"&amp;$A16))+IF(RTD("tos.rtd",,$A$2,"."&amp;O$2&amp;O$1&amp;"P"&amp;$A16)="N/A",0,RTD("tos.rtd",,$A$2,"."&amp;O$2&amp;O$1&amp;"P"&amp;$A16)),IF(RTD("tos.rtd",,$A$2,"."&amp;O$2&amp;O$1&amp;"C"&amp;$A16)="N/A",0,RTD("tos.rtd",,$A$2,"."&amp;O$2&amp;O$1&amp;"C"&amp;$A16))-IF(RTD("tos.rtd",,$A$2,"."&amp;O$2&amp;O$1&amp;"P"&amp;$A16)="N/A",0,RTD("tos.rtd",,$A$2,"."&amp;O$2&amp;O$1&amp;"P"&amp;$A16))))))))))</f>
        <v>0</v>
      </c>
      <c r="P16" s="12">
        <f ca="1">IF($A$2="PREMIUM_OI",IFERROR(IF($X$1="ABS",(100*RTD("tos.rtd",,"OPEN_INT","."&amp;P$2&amp;P$1&amp;"C"&amp;$A16)*RTD("tos.rtd",,"LAST","."&amp;P$2&amp;P$1&amp;"C"&amp;$A16)+100*RTD("tos.rtd",,"OPEN_INT","."&amp;P$2&amp;P$1&amp;"P"&amp;$A16)*RTD("tos.rtd",,"LAST","."&amp;P$2&amp;P$1&amp;"P"&amp;$A16))/1000000,(100*RTD("tos.rtd",,"OPEN_INT","."&amp;P$2&amp;P$1&amp;"C"&amp;$A16)*RTD("tos.rtd",,"LAST","."&amp;P$2&amp;P$1&amp;"C"&amp;$A16)-100*RTD("tos.rtd",,"OPEN_INT","."&amp;P$2&amp;P$1&amp;"P"&amp;$A16)*RTD("tos.rtd",,"LAST","."&amp;P$2&amp;P$1&amp;"P"&amp;$A16))/1000000),0),IF($A$2="PREMIUM",IFERROR(IF($X$1="ABS",(100*RTD("tos.rtd",,"VOLUME","."&amp;P$2&amp;P$1&amp;"C"&amp;$A16)*RTD("tos.rtd",,"LAST","."&amp;P$2&amp;P$1&amp;"C"&amp;$A16)+100*RTD("tos.rtd",,"VOLUME","."&amp;P$2&amp;P$1&amp;"P"&amp;$A16)*RTD("tos.rtd",,"LAST","."&amp;P$2&amp;P$1&amp;"P"&amp;$A16))/1000000,(100*RTD("tos.rtd",,"VOLUME","."&amp;P$2&amp;P$1&amp;"C"&amp;$A16)*RTD("tos.rtd",,"LAST","."&amp;P$2&amp;P$1&amp;"C"&amp;$A16)-100*RTD("tos.rtd",,"VOLUME","."&amp;P$2&amp;P$1&amp;"P"&amp;$A16)*RTD("tos.rtd",,"LAST","."&amp;P$2&amp;P$1&amp;"P"&amp;$A16))/1000000),0),IF($A$2="DEX",IFERROR(IF($X$1="ABS",(100*RTD("tos.rtd",,"OPEN_INT","."&amp;P$2&amp;P$1&amp;"C"&amp;$A16)*RTD("tos.rtd",,"DELTA","."&amp;P$2&amp;P$1&amp;"C"&amp;$A16)+100*RTD("tos.rtd",,"OPEN_INT","."&amp;P$2&amp;P$1&amp;"P"&amp;$A16)*RTD("tos.rtd",,"DELTA","."&amp;P$2&amp;P$1&amp;"P"&amp;$A16))/1000,(100*RTD("tos.rtd",,"OPEN_INT","."&amp;P$2&amp;P$1&amp;"C"&amp;$A16)*RTD("tos.rtd",,"DELTA","."&amp;P$2&amp;P$1&amp;"C"&amp;$A16)-100*RTD("tos.rtd",,"OPEN_INT","."&amp;P$2&amp;P$1&amp;"P"&amp;$A16)*RTD("tos.rtd",,"DELTA","."&amp;P$2&amp;P$1&amp;"P"&amp;$A16))/1000),0),IF($A$2="VEX",IFERROR(IF($X$1="ABS",($A$4*$A$4*RTD("tos.rtd",,"VOLUME","."&amp;P$2&amp;P$1&amp;"C"&amp;$A16)*RTD("tos.rtd",,"GAMMA","."&amp;P$2&amp;P$1&amp;"C"&amp;$A16)+$A$4*$A$4*RTD("tos.rtd",,"VOLUME","."&amp;P$2&amp;P$1&amp;"P"&amp;$A16)*RTD("tos.rtd",,"GAMMA","."&amp;P$2&amp;P$1&amp;"P"&amp;$A16))/1000000,($A$4*$A$4*RTD("tos.rtd",,"VOLUME","."&amp;P$2&amp;P$1&amp;"C"&amp;$A16)*RTD("tos.rtd",,"GAMMA","."&amp;P$2&amp;P$1&amp;"C"&amp;$A16)-$A$4*$A$4*RTD("tos.rtd",,"VOLUME","."&amp;P$2&amp;P$1&amp;"P"&amp;$A16)*RTD("tos.rtd",,"GAMMA","."&amp;P$2&amp;P$1&amp;"P"&amp;$A16))/1000000),0),IF($A$2="GEX",IFERROR(IF($X$1="ABS",($A$4*$A$4*RTD("tos.rtd",,"OPEN_INT","."&amp;P$2&amp;P$1&amp;"C"&amp;$A16)*RTD("tos.rtd",,"GAMMA","."&amp;P$2&amp;P$1&amp;"C"&amp;$A16)+$A$4*$A$4*RTD("tos.rtd",,"OPEN_INT","."&amp;P$2&amp;P$1&amp;"P"&amp;$A16)*RTD("tos.rtd",,"GAMMA","."&amp;P$2&amp;P$1&amp;"P"&amp;$A16))/1000000,($A$4*$A$4*RTD("tos.rtd",,"OPEN_INT","."&amp;P$2&amp;P$1&amp;"C"&amp;$A16)*RTD("tos.rtd",,"GAMMA","."&amp;P$2&amp;P$1&amp;"C"&amp;$A16)-$A$4*$A$4*RTD("tos.rtd",,"OPEN_INT","."&amp;P$2&amp;P$1&amp;"P"&amp;$A16)*RTD("tos.rtd",,"GAMMA","."&amp;P$2&amp;P$1&amp;"P"&amp;$A16))/1000000),0),IF($A$2="SKEW",IFERROR(VALUE(IF(RTD("tos.rtd",,"IMPL_VOL","."&amp;P$2&amp;P$1&amp;"P"&amp;$A16)="N/A",0,RTD("tos.rtd",,"IMPL_VOL","."&amp;P$2&amp;P$1&amp;"P"&amp;$A16))),0)-IFERROR(VALUE(IF(RTD("tos.rtd",,"IMPL_VOL","."&amp;P$2&amp;P$1&amp;"C"&amp;$A16)="N/A",0,RTD("tos.rtd",,"IMPL_VOL","."&amp;P$2&amp;P$1&amp;"C"&amp;$A16))),0),IF($A$2="MAXPAIN",IF($A$4&gt;$A16,($A$4-$A16)*IF(RTD("tos.rtd",,"OPEN_INT","."&amp;P$2&amp;P$1&amp;"C"&amp;$A16)="N/A",0,RTD("tos.rtd",,"OPEN_INT","."&amp;P$2&amp;P$1&amp;"C"&amp;$A16)),0)+IF($A$4&lt;$A16,($A$5-$A$4)*IF(RTD("tos.rtd",,"OPEN_INT","."&amp;P$2&amp;P$1&amp;"P"&amp;$A16)="N/A",0,RTD("tos.rtd",,"OPEN_INT","."&amp;P$2&amp;P$1&amp;"P"&amp;$A16)),0),IF($X$1="ABS",IF(RTD("tos.rtd",,$A$2,"."&amp;P$2&amp;P$1&amp;"C"&amp;$A16)="N/A",0,RTD("tos.rtd",,$A$2,"."&amp;P$2&amp;P$1&amp;"C"&amp;$A16))+IF(RTD("tos.rtd",,$A$2,"."&amp;P$2&amp;P$1&amp;"P"&amp;$A16)="N/A",0,RTD("tos.rtd",,$A$2,"."&amp;P$2&amp;P$1&amp;"P"&amp;$A16)),IF(RTD("tos.rtd",,$A$2,"."&amp;P$2&amp;P$1&amp;"C"&amp;$A16)="N/A",0,RTD("tos.rtd",,$A$2,"."&amp;P$2&amp;P$1&amp;"C"&amp;$A16))-IF(RTD("tos.rtd",,$A$2,"."&amp;P$2&amp;P$1&amp;"P"&amp;$A16)="N/A",0,RTD("tos.rtd",,$A$2,"."&amp;P$2&amp;P$1&amp;"P"&amp;$A16))))))))))</f>
        <v>733</v>
      </c>
      <c r="Q16" s="12">
        <f ca="1">IF($A$2="PREMIUM_OI",IFERROR(IF($X$1="ABS",(100*RTD("tos.rtd",,"OPEN_INT","."&amp;Q$2&amp;Q$1&amp;"C"&amp;$A16)*RTD("tos.rtd",,"LAST","."&amp;Q$2&amp;Q$1&amp;"C"&amp;$A16)+100*RTD("tos.rtd",,"OPEN_INT","."&amp;Q$2&amp;Q$1&amp;"P"&amp;$A16)*RTD("tos.rtd",,"LAST","."&amp;Q$2&amp;Q$1&amp;"P"&amp;$A16))/1000000,(100*RTD("tos.rtd",,"OPEN_INT","."&amp;Q$2&amp;Q$1&amp;"C"&amp;$A16)*RTD("tos.rtd",,"LAST","."&amp;Q$2&amp;Q$1&amp;"C"&amp;$A16)-100*RTD("tos.rtd",,"OPEN_INT","."&amp;Q$2&amp;Q$1&amp;"P"&amp;$A16)*RTD("tos.rtd",,"LAST","."&amp;Q$2&amp;Q$1&amp;"P"&amp;$A16))/1000000),0),IF($A$2="PREMIUM",IFERROR(IF($X$1="ABS",(100*RTD("tos.rtd",,"VOLUME","."&amp;Q$2&amp;Q$1&amp;"C"&amp;$A16)*RTD("tos.rtd",,"LAST","."&amp;Q$2&amp;Q$1&amp;"C"&amp;$A16)+100*RTD("tos.rtd",,"VOLUME","."&amp;Q$2&amp;Q$1&amp;"P"&amp;$A16)*RTD("tos.rtd",,"LAST","."&amp;Q$2&amp;Q$1&amp;"P"&amp;$A16))/1000000,(100*RTD("tos.rtd",,"VOLUME","."&amp;Q$2&amp;Q$1&amp;"C"&amp;$A16)*RTD("tos.rtd",,"LAST","."&amp;Q$2&amp;Q$1&amp;"C"&amp;$A16)-100*RTD("tos.rtd",,"VOLUME","."&amp;Q$2&amp;Q$1&amp;"P"&amp;$A16)*RTD("tos.rtd",,"LAST","."&amp;Q$2&amp;Q$1&amp;"P"&amp;$A16))/1000000),0),IF($A$2="DEX",IFERROR(IF($X$1="ABS",(100*RTD("tos.rtd",,"OPEN_INT","."&amp;Q$2&amp;Q$1&amp;"C"&amp;$A16)*RTD("tos.rtd",,"DELTA","."&amp;Q$2&amp;Q$1&amp;"C"&amp;$A16)+100*RTD("tos.rtd",,"OPEN_INT","."&amp;Q$2&amp;Q$1&amp;"P"&amp;$A16)*RTD("tos.rtd",,"DELTA","."&amp;Q$2&amp;Q$1&amp;"P"&amp;$A16))/1000,(100*RTD("tos.rtd",,"OPEN_INT","."&amp;Q$2&amp;Q$1&amp;"C"&amp;$A16)*RTD("tos.rtd",,"DELTA","."&amp;Q$2&amp;Q$1&amp;"C"&amp;$A16)-100*RTD("tos.rtd",,"OPEN_INT","."&amp;Q$2&amp;Q$1&amp;"P"&amp;$A16)*RTD("tos.rtd",,"DELTA","."&amp;Q$2&amp;Q$1&amp;"P"&amp;$A16))/1000),0),IF($A$2="VEX",IFERROR(IF($X$1="ABS",($A$4*$A$4*RTD("tos.rtd",,"VOLUME","."&amp;Q$2&amp;Q$1&amp;"C"&amp;$A16)*RTD("tos.rtd",,"GAMMA","."&amp;Q$2&amp;Q$1&amp;"C"&amp;$A16)+$A$4*$A$4*RTD("tos.rtd",,"VOLUME","."&amp;Q$2&amp;Q$1&amp;"P"&amp;$A16)*RTD("tos.rtd",,"GAMMA","."&amp;Q$2&amp;Q$1&amp;"P"&amp;$A16))/1000000,($A$4*$A$4*RTD("tos.rtd",,"VOLUME","."&amp;Q$2&amp;Q$1&amp;"C"&amp;$A16)*RTD("tos.rtd",,"GAMMA","."&amp;Q$2&amp;Q$1&amp;"C"&amp;$A16)-$A$4*$A$4*RTD("tos.rtd",,"VOLUME","."&amp;Q$2&amp;Q$1&amp;"P"&amp;$A16)*RTD("tos.rtd",,"GAMMA","."&amp;Q$2&amp;Q$1&amp;"P"&amp;$A16))/1000000),0),IF($A$2="GEX",IFERROR(IF($X$1="ABS",($A$4*$A$4*RTD("tos.rtd",,"OPEN_INT","."&amp;Q$2&amp;Q$1&amp;"C"&amp;$A16)*RTD("tos.rtd",,"GAMMA","."&amp;Q$2&amp;Q$1&amp;"C"&amp;$A16)+$A$4*$A$4*RTD("tos.rtd",,"OPEN_INT","."&amp;Q$2&amp;Q$1&amp;"P"&amp;$A16)*RTD("tos.rtd",,"GAMMA","."&amp;Q$2&amp;Q$1&amp;"P"&amp;$A16))/1000000,($A$4*$A$4*RTD("tos.rtd",,"OPEN_INT","."&amp;Q$2&amp;Q$1&amp;"C"&amp;$A16)*RTD("tos.rtd",,"GAMMA","."&amp;Q$2&amp;Q$1&amp;"C"&amp;$A16)-$A$4*$A$4*RTD("tos.rtd",,"OPEN_INT","."&amp;Q$2&amp;Q$1&amp;"P"&amp;$A16)*RTD("tos.rtd",,"GAMMA","."&amp;Q$2&amp;Q$1&amp;"P"&amp;$A16))/1000000),0),IF($A$2="SKEW",IFERROR(VALUE(IF(RTD("tos.rtd",,"IMPL_VOL","."&amp;Q$2&amp;Q$1&amp;"P"&amp;$A16)="N/A",0,RTD("tos.rtd",,"IMPL_VOL","."&amp;Q$2&amp;Q$1&amp;"P"&amp;$A16))),0)-IFERROR(VALUE(IF(RTD("tos.rtd",,"IMPL_VOL","."&amp;Q$2&amp;Q$1&amp;"C"&amp;$A16)="N/A",0,RTD("tos.rtd",,"IMPL_VOL","."&amp;Q$2&amp;Q$1&amp;"C"&amp;$A16))),0),IF($A$2="MAXPAIN",IF($A$4&gt;$A16,($A$4-$A16)*IF(RTD("tos.rtd",,"OPEN_INT","."&amp;Q$2&amp;Q$1&amp;"C"&amp;$A16)="N/A",0,RTD("tos.rtd",,"OPEN_INT","."&amp;Q$2&amp;Q$1&amp;"C"&amp;$A16)),0)+IF($A$4&lt;$A16,($A$5-$A$4)*IF(RTD("tos.rtd",,"OPEN_INT","."&amp;Q$2&amp;Q$1&amp;"P"&amp;$A16)="N/A",0,RTD("tos.rtd",,"OPEN_INT","."&amp;Q$2&amp;Q$1&amp;"P"&amp;$A16)),0),IF($X$1="ABS",IF(RTD("tos.rtd",,$A$2,"."&amp;Q$2&amp;Q$1&amp;"C"&amp;$A16)="N/A",0,RTD("tos.rtd",,$A$2,"."&amp;Q$2&amp;Q$1&amp;"C"&amp;$A16))+IF(RTD("tos.rtd",,$A$2,"."&amp;Q$2&amp;Q$1&amp;"P"&amp;$A16)="N/A",0,RTD("tos.rtd",,$A$2,"."&amp;Q$2&amp;Q$1&amp;"P"&amp;$A16)),IF(RTD("tos.rtd",,$A$2,"."&amp;Q$2&amp;Q$1&amp;"C"&amp;$A16)="N/A",0,RTD("tos.rtd",,$A$2,"."&amp;Q$2&amp;Q$1&amp;"C"&amp;$A16))-IF(RTD("tos.rtd",,$A$2,"."&amp;Q$2&amp;Q$1&amp;"P"&amp;$A16)="N/A",0,RTD("tos.rtd",,$A$2,"."&amp;Q$2&amp;Q$1&amp;"P"&amp;$A16))))))))))</f>
        <v>0</v>
      </c>
      <c r="R16" s="12">
        <f ca="1">IF($A$2="PREMIUM_OI",IFERROR(IF($X$1="ABS",(100*RTD("tos.rtd",,"OPEN_INT","."&amp;R$2&amp;R$1&amp;"C"&amp;$A16)*RTD("tos.rtd",,"LAST","."&amp;R$2&amp;R$1&amp;"C"&amp;$A16)+100*RTD("tos.rtd",,"OPEN_INT","."&amp;R$2&amp;R$1&amp;"P"&amp;$A16)*RTD("tos.rtd",,"LAST","."&amp;R$2&amp;R$1&amp;"P"&amp;$A16))/1000000,(100*RTD("tos.rtd",,"OPEN_INT","."&amp;R$2&amp;R$1&amp;"C"&amp;$A16)*RTD("tos.rtd",,"LAST","."&amp;R$2&amp;R$1&amp;"C"&amp;$A16)-100*RTD("tos.rtd",,"OPEN_INT","."&amp;R$2&amp;R$1&amp;"P"&amp;$A16)*RTD("tos.rtd",,"LAST","."&amp;R$2&amp;R$1&amp;"P"&amp;$A16))/1000000),0),IF($A$2="PREMIUM",IFERROR(IF($X$1="ABS",(100*RTD("tos.rtd",,"VOLUME","."&amp;R$2&amp;R$1&amp;"C"&amp;$A16)*RTD("tos.rtd",,"LAST","."&amp;R$2&amp;R$1&amp;"C"&amp;$A16)+100*RTD("tos.rtd",,"VOLUME","."&amp;R$2&amp;R$1&amp;"P"&amp;$A16)*RTD("tos.rtd",,"LAST","."&amp;R$2&amp;R$1&amp;"P"&amp;$A16))/1000000,(100*RTD("tos.rtd",,"VOLUME","."&amp;R$2&amp;R$1&amp;"C"&amp;$A16)*RTD("tos.rtd",,"LAST","."&amp;R$2&amp;R$1&amp;"C"&amp;$A16)-100*RTD("tos.rtd",,"VOLUME","."&amp;R$2&amp;R$1&amp;"P"&amp;$A16)*RTD("tos.rtd",,"LAST","."&amp;R$2&amp;R$1&amp;"P"&amp;$A16))/1000000),0),IF($A$2="DEX",IFERROR(IF($X$1="ABS",(100*RTD("tos.rtd",,"OPEN_INT","."&amp;R$2&amp;R$1&amp;"C"&amp;$A16)*RTD("tos.rtd",,"DELTA","."&amp;R$2&amp;R$1&amp;"C"&amp;$A16)+100*RTD("tos.rtd",,"OPEN_INT","."&amp;R$2&amp;R$1&amp;"P"&amp;$A16)*RTD("tos.rtd",,"DELTA","."&amp;R$2&amp;R$1&amp;"P"&amp;$A16))/1000,(100*RTD("tos.rtd",,"OPEN_INT","."&amp;R$2&amp;R$1&amp;"C"&amp;$A16)*RTD("tos.rtd",,"DELTA","."&amp;R$2&amp;R$1&amp;"C"&amp;$A16)-100*RTD("tos.rtd",,"OPEN_INT","."&amp;R$2&amp;R$1&amp;"P"&amp;$A16)*RTD("tos.rtd",,"DELTA","."&amp;R$2&amp;R$1&amp;"P"&amp;$A16))/1000),0),IF($A$2="VEX",IFERROR(IF($X$1="ABS",($A$4*$A$4*RTD("tos.rtd",,"VOLUME","."&amp;R$2&amp;R$1&amp;"C"&amp;$A16)*RTD("tos.rtd",,"GAMMA","."&amp;R$2&amp;R$1&amp;"C"&amp;$A16)+$A$4*$A$4*RTD("tos.rtd",,"VOLUME","."&amp;R$2&amp;R$1&amp;"P"&amp;$A16)*RTD("tos.rtd",,"GAMMA","."&amp;R$2&amp;R$1&amp;"P"&amp;$A16))/1000000,($A$4*$A$4*RTD("tos.rtd",,"VOLUME","."&amp;R$2&amp;R$1&amp;"C"&amp;$A16)*RTD("tos.rtd",,"GAMMA","."&amp;R$2&amp;R$1&amp;"C"&amp;$A16)-$A$4*$A$4*RTD("tos.rtd",,"VOLUME","."&amp;R$2&amp;R$1&amp;"P"&amp;$A16)*RTD("tos.rtd",,"GAMMA","."&amp;R$2&amp;R$1&amp;"P"&amp;$A16))/1000000),0),IF($A$2="GEX",IFERROR(IF($X$1="ABS",($A$4*$A$4*RTD("tos.rtd",,"OPEN_INT","."&amp;R$2&amp;R$1&amp;"C"&amp;$A16)*RTD("tos.rtd",,"GAMMA","."&amp;R$2&amp;R$1&amp;"C"&amp;$A16)+$A$4*$A$4*RTD("tos.rtd",,"OPEN_INT","."&amp;R$2&amp;R$1&amp;"P"&amp;$A16)*RTD("tos.rtd",,"GAMMA","."&amp;R$2&amp;R$1&amp;"P"&amp;$A16))/1000000,($A$4*$A$4*RTD("tos.rtd",,"OPEN_INT","."&amp;R$2&amp;R$1&amp;"C"&amp;$A16)*RTD("tos.rtd",,"GAMMA","."&amp;R$2&amp;R$1&amp;"C"&amp;$A16)-$A$4*$A$4*RTD("tos.rtd",,"OPEN_INT","."&amp;R$2&amp;R$1&amp;"P"&amp;$A16)*RTD("tos.rtd",,"GAMMA","."&amp;R$2&amp;R$1&amp;"P"&amp;$A16))/1000000),0),IF($A$2="SKEW",IFERROR(VALUE(IF(RTD("tos.rtd",,"IMPL_VOL","."&amp;R$2&amp;R$1&amp;"P"&amp;$A16)="N/A",0,RTD("tos.rtd",,"IMPL_VOL","."&amp;R$2&amp;R$1&amp;"P"&amp;$A16))),0)-IFERROR(VALUE(IF(RTD("tos.rtd",,"IMPL_VOL","."&amp;R$2&amp;R$1&amp;"C"&amp;$A16)="N/A",0,RTD("tos.rtd",,"IMPL_VOL","."&amp;R$2&amp;R$1&amp;"C"&amp;$A16))),0),IF($A$2="MAXPAIN",IF($A$4&gt;$A16,($A$4-$A16)*IF(RTD("tos.rtd",,"OPEN_INT","."&amp;R$2&amp;R$1&amp;"C"&amp;$A16)="N/A",0,RTD("tos.rtd",,"OPEN_INT","."&amp;R$2&amp;R$1&amp;"C"&amp;$A16)),0)+IF($A$4&lt;$A16,($A$5-$A$4)*IF(RTD("tos.rtd",,"OPEN_INT","."&amp;R$2&amp;R$1&amp;"P"&amp;$A16)="N/A",0,RTD("tos.rtd",,"OPEN_INT","."&amp;R$2&amp;R$1&amp;"P"&amp;$A16)),0),IF($X$1="ABS",IF(RTD("tos.rtd",,$A$2,"."&amp;R$2&amp;R$1&amp;"C"&amp;$A16)="N/A",0,RTD("tos.rtd",,$A$2,"."&amp;R$2&amp;R$1&amp;"C"&amp;$A16))+IF(RTD("tos.rtd",,$A$2,"."&amp;R$2&amp;R$1&amp;"P"&amp;$A16)="N/A",0,RTD("tos.rtd",,$A$2,"."&amp;R$2&amp;R$1&amp;"P"&amp;$A16)),IF(RTD("tos.rtd",,$A$2,"."&amp;R$2&amp;R$1&amp;"C"&amp;$A16)="N/A",0,RTD("tos.rtd",,$A$2,"."&amp;R$2&amp;R$1&amp;"C"&amp;$A16))-IF(RTD("tos.rtd",,$A$2,"."&amp;R$2&amp;R$1&amp;"P"&amp;$A16)="N/A",0,RTD("tos.rtd",,$A$2,"."&amp;R$2&amp;R$1&amp;"P"&amp;$A16))))))))))</f>
        <v>0</v>
      </c>
      <c r="S16" s="12">
        <f ca="1">IF($A$2="PREMIUM_OI",IFERROR(IF($X$1="ABS",(100*RTD("tos.rtd",,"OPEN_INT","."&amp;S$2&amp;S$1&amp;"C"&amp;$A16)*RTD("tos.rtd",,"LAST","."&amp;S$2&amp;S$1&amp;"C"&amp;$A16)+100*RTD("tos.rtd",,"OPEN_INT","."&amp;S$2&amp;S$1&amp;"P"&amp;$A16)*RTD("tos.rtd",,"LAST","."&amp;S$2&amp;S$1&amp;"P"&amp;$A16))/1000000,(100*RTD("tos.rtd",,"OPEN_INT","."&amp;S$2&amp;S$1&amp;"C"&amp;$A16)*RTD("tos.rtd",,"LAST","."&amp;S$2&amp;S$1&amp;"C"&amp;$A16)-100*RTD("tos.rtd",,"OPEN_INT","."&amp;S$2&amp;S$1&amp;"P"&amp;$A16)*RTD("tos.rtd",,"LAST","."&amp;S$2&amp;S$1&amp;"P"&amp;$A16))/1000000),0),IF($A$2="PREMIUM",IFERROR(IF($X$1="ABS",(100*RTD("tos.rtd",,"VOLUME","."&amp;S$2&amp;S$1&amp;"C"&amp;$A16)*RTD("tos.rtd",,"LAST","."&amp;S$2&amp;S$1&amp;"C"&amp;$A16)+100*RTD("tos.rtd",,"VOLUME","."&amp;S$2&amp;S$1&amp;"P"&amp;$A16)*RTD("tos.rtd",,"LAST","."&amp;S$2&amp;S$1&amp;"P"&amp;$A16))/1000000,(100*RTD("tos.rtd",,"VOLUME","."&amp;S$2&amp;S$1&amp;"C"&amp;$A16)*RTD("tos.rtd",,"LAST","."&amp;S$2&amp;S$1&amp;"C"&amp;$A16)-100*RTD("tos.rtd",,"VOLUME","."&amp;S$2&amp;S$1&amp;"P"&amp;$A16)*RTD("tos.rtd",,"LAST","."&amp;S$2&amp;S$1&amp;"P"&amp;$A16))/1000000),0),IF($A$2="DEX",IFERROR(IF($X$1="ABS",(100*RTD("tos.rtd",,"OPEN_INT","."&amp;S$2&amp;S$1&amp;"C"&amp;$A16)*RTD("tos.rtd",,"DELTA","."&amp;S$2&amp;S$1&amp;"C"&amp;$A16)+100*RTD("tos.rtd",,"OPEN_INT","."&amp;S$2&amp;S$1&amp;"P"&amp;$A16)*RTD("tos.rtd",,"DELTA","."&amp;S$2&amp;S$1&amp;"P"&amp;$A16))/1000,(100*RTD("tos.rtd",,"OPEN_INT","."&amp;S$2&amp;S$1&amp;"C"&amp;$A16)*RTD("tos.rtd",,"DELTA","."&amp;S$2&amp;S$1&amp;"C"&amp;$A16)-100*RTD("tos.rtd",,"OPEN_INT","."&amp;S$2&amp;S$1&amp;"P"&amp;$A16)*RTD("tos.rtd",,"DELTA","."&amp;S$2&amp;S$1&amp;"P"&amp;$A16))/1000),0),IF($A$2="VEX",IFERROR(IF($X$1="ABS",($A$4*$A$4*RTD("tos.rtd",,"VOLUME","."&amp;S$2&amp;S$1&amp;"C"&amp;$A16)*RTD("tos.rtd",,"GAMMA","."&amp;S$2&amp;S$1&amp;"C"&amp;$A16)+$A$4*$A$4*RTD("tos.rtd",,"VOLUME","."&amp;S$2&amp;S$1&amp;"P"&amp;$A16)*RTD("tos.rtd",,"GAMMA","."&amp;S$2&amp;S$1&amp;"P"&amp;$A16))/1000000,($A$4*$A$4*RTD("tos.rtd",,"VOLUME","."&amp;S$2&amp;S$1&amp;"C"&amp;$A16)*RTD("tos.rtd",,"GAMMA","."&amp;S$2&amp;S$1&amp;"C"&amp;$A16)-$A$4*$A$4*RTD("tos.rtd",,"VOLUME","."&amp;S$2&amp;S$1&amp;"P"&amp;$A16)*RTD("tos.rtd",,"GAMMA","."&amp;S$2&amp;S$1&amp;"P"&amp;$A16))/1000000),0),IF($A$2="GEX",IFERROR(IF($X$1="ABS",($A$4*$A$4*RTD("tos.rtd",,"OPEN_INT","."&amp;S$2&amp;S$1&amp;"C"&amp;$A16)*RTD("tos.rtd",,"GAMMA","."&amp;S$2&amp;S$1&amp;"C"&amp;$A16)+$A$4*$A$4*RTD("tos.rtd",,"OPEN_INT","."&amp;S$2&amp;S$1&amp;"P"&amp;$A16)*RTD("tos.rtd",,"GAMMA","."&amp;S$2&amp;S$1&amp;"P"&amp;$A16))/1000000,($A$4*$A$4*RTD("tos.rtd",,"OPEN_INT","."&amp;S$2&amp;S$1&amp;"C"&amp;$A16)*RTD("tos.rtd",,"GAMMA","."&amp;S$2&amp;S$1&amp;"C"&amp;$A16)-$A$4*$A$4*RTD("tos.rtd",,"OPEN_INT","."&amp;S$2&amp;S$1&amp;"P"&amp;$A16)*RTD("tos.rtd",,"GAMMA","."&amp;S$2&amp;S$1&amp;"P"&amp;$A16))/1000000),0),IF($A$2="SKEW",IFERROR(VALUE(IF(RTD("tos.rtd",,"IMPL_VOL","."&amp;S$2&amp;S$1&amp;"P"&amp;$A16)="N/A",0,RTD("tos.rtd",,"IMPL_VOL","."&amp;S$2&amp;S$1&amp;"P"&amp;$A16))),0)-IFERROR(VALUE(IF(RTD("tos.rtd",,"IMPL_VOL","."&amp;S$2&amp;S$1&amp;"C"&amp;$A16)="N/A",0,RTD("tos.rtd",,"IMPL_VOL","."&amp;S$2&amp;S$1&amp;"C"&amp;$A16))),0),IF($A$2="MAXPAIN",IF($A$4&gt;$A16,($A$4-$A16)*IF(RTD("tos.rtd",,"OPEN_INT","."&amp;S$2&amp;S$1&amp;"C"&amp;$A16)="N/A",0,RTD("tos.rtd",,"OPEN_INT","."&amp;S$2&amp;S$1&amp;"C"&amp;$A16)),0)+IF($A$4&lt;$A16,($A$5-$A$4)*IF(RTD("tos.rtd",,"OPEN_INT","."&amp;S$2&amp;S$1&amp;"P"&amp;$A16)="N/A",0,RTD("tos.rtd",,"OPEN_INT","."&amp;S$2&amp;S$1&amp;"P"&amp;$A16)),0),IF($X$1="ABS",IF(RTD("tos.rtd",,$A$2,"."&amp;S$2&amp;S$1&amp;"C"&amp;$A16)="N/A",0,RTD("tos.rtd",,$A$2,"."&amp;S$2&amp;S$1&amp;"C"&amp;$A16))+IF(RTD("tos.rtd",,$A$2,"."&amp;S$2&amp;S$1&amp;"P"&amp;$A16)="N/A",0,RTD("tos.rtd",,$A$2,"."&amp;S$2&amp;S$1&amp;"P"&amp;$A16)),IF(RTD("tos.rtd",,$A$2,"."&amp;S$2&amp;S$1&amp;"C"&amp;$A16)="N/A",0,RTD("tos.rtd",,$A$2,"."&amp;S$2&amp;S$1&amp;"C"&amp;$A16))-IF(RTD("tos.rtd",,$A$2,"."&amp;S$2&amp;S$1&amp;"P"&amp;$A16)="N/A",0,RTD("tos.rtd",,$A$2,"."&amp;S$2&amp;S$1&amp;"P"&amp;$A16))))))))))</f>
        <v>0</v>
      </c>
      <c r="T16" s="12">
        <f ca="1">IF($A$2="PREMIUM_OI",IFERROR(IF($X$1="ABS",(100*RTD("tos.rtd",,"OPEN_INT","."&amp;T$2&amp;T$1&amp;"C"&amp;$A16)*RTD("tos.rtd",,"LAST","."&amp;T$2&amp;T$1&amp;"C"&amp;$A16)+100*RTD("tos.rtd",,"OPEN_INT","."&amp;T$2&amp;T$1&amp;"P"&amp;$A16)*RTD("tos.rtd",,"LAST","."&amp;T$2&amp;T$1&amp;"P"&amp;$A16))/1000000,(100*RTD("tos.rtd",,"OPEN_INT","."&amp;T$2&amp;T$1&amp;"C"&amp;$A16)*RTD("tos.rtd",,"LAST","."&amp;T$2&amp;T$1&amp;"C"&amp;$A16)-100*RTD("tos.rtd",,"OPEN_INT","."&amp;T$2&amp;T$1&amp;"P"&amp;$A16)*RTD("tos.rtd",,"LAST","."&amp;T$2&amp;T$1&amp;"P"&amp;$A16))/1000000),0),IF($A$2="PREMIUM",IFERROR(IF($X$1="ABS",(100*RTD("tos.rtd",,"VOLUME","."&amp;T$2&amp;T$1&amp;"C"&amp;$A16)*RTD("tos.rtd",,"LAST","."&amp;T$2&amp;T$1&amp;"C"&amp;$A16)+100*RTD("tos.rtd",,"VOLUME","."&amp;T$2&amp;T$1&amp;"P"&amp;$A16)*RTD("tos.rtd",,"LAST","."&amp;T$2&amp;T$1&amp;"P"&amp;$A16))/1000000,(100*RTD("tos.rtd",,"VOLUME","."&amp;T$2&amp;T$1&amp;"C"&amp;$A16)*RTD("tos.rtd",,"LAST","."&amp;T$2&amp;T$1&amp;"C"&amp;$A16)-100*RTD("tos.rtd",,"VOLUME","."&amp;T$2&amp;T$1&amp;"P"&amp;$A16)*RTD("tos.rtd",,"LAST","."&amp;T$2&amp;T$1&amp;"P"&amp;$A16))/1000000),0),IF($A$2="DEX",IFERROR(IF($X$1="ABS",(100*RTD("tos.rtd",,"OPEN_INT","."&amp;T$2&amp;T$1&amp;"C"&amp;$A16)*RTD("tos.rtd",,"DELTA","."&amp;T$2&amp;T$1&amp;"C"&amp;$A16)+100*RTD("tos.rtd",,"OPEN_INT","."&amp;T$2&amp;T$1&amp;"P"&amp;$A16)*RTD("tos.rtd",,"DELTA","."&amp;T$2&amp;T$1&amp;"P"&amp;$A16))/1000,(100*RTD("tos.rtd",,"OPEN_INT","."&amp;T$2&amp;T$1&amp;"C"&amp;$A16)*RTD("tos.rtd",,"DELTA","."&amp;T$2&amp;T$1&amp;"C"&amp;$A16)-100*RTD("tos.rtd",,"OPEN_INT","."&amp;T$2&amp;T$1&amp;"P"&amp;$A16)*RTD("tos.rtd",,"DELTA","."&amp;T$2&amp;T$1&amp;"P"&amp;$A16))/1000),0),IF($A$2="VEX",IFERROR(IF($X$1="ABS",($A$4*$A$4*RTD("tos.rtd",,"VOLUME","."&amp;T$2&amp;T$1&amp;"C"&amp;$A16)*RTD("tos.rtd",,"GAMMA","."&amp;T$2&amp;T$1&amp;"C"&amp;$A16)+$A$4*$A$4*RTD("tos.rtd",,"VOLUME","."&amp;T$2&amp;T$1&amp;"P"&amp;$A16)*RTD("tos.rtd",,"GAMMA","."&amp;T$2&amp;T$1&amp;"P"&amp;$A16))/1000000,($A$4*$A$4*RTD("tos.rtd",,"VOLUME","."&amp;T$2&amp;T$1&amp;"C"&amp;$A16)*RTD("tos.rtd",,"GAMMA","."&amp;T$2&amp;T$1&amp;"C"&amp;$A16)-$A$4*$A$4*RTD("tos.rtd",,"VOLUME","."&amp;T$2&amp;T$1&amp;"P"&amp;$A16)*RTD("tos.rtd",,"GAMMA","."&amp;T$2&amp;T$1&amp;"P"&amp;$A16))/1000000),0),IF($A$2="GEX",IFERROR(IF($X$1="ABS",($A$4*$A$4*RTD("tos.rtd",,"OPEN_INT","."&amp;T$2&amp;T$1&amp;"C"&amp;$A16)*RTD("tos.rtd",,"GAMMA","."&amp;T$2&amp;T$1&amp;"C"&amp;$A16)+$A$4*$A$4*RTD("tos.rtd",,"OPEN_INT","."&amp;T$2&amp;T$1&amp;"P"&amp;$A16)*RTD("tos.rtd",,"GAMMA","."&amp;T$2&amp;T$1&amp;"P"&amp;$A16))/1000000,($A$4*$A$4*RTD("tos.rtd",,"OPEN_INT","."&amp;T$2&amp;T$1&amp;"C"&amp;$A16)*RTD("tos.rtd",,"GAMMA","."&amp;T$2&amp;T$1&amp;"C"&amp;$A16)-$A$4*$A$4*RTD("tos.rtd",,"OPEN_INT","."&amp;T$2&amp;T$1&amp;"P"&amp;$A16)*RTD("tos.rtd",,"GAMMA","."&amp;T$2&amp;T$1&amp;"P"&amp;$A16))/1000000),0),IF($A$2="SKEW",IFERROR(VALUE(IF(RTD("tos.rtd",,"IMPL_VOL","."&amp;T$2&amp;T$1&amp;"P"&amp;$A16)="N/A",0,RTD("tos.rtd",,"IMPL_VOL","."&amp;T$2&amp;T$1&amp;"P"&amp;$A16))),0)-IFERROR(VALUE(IF(RTD("tos.rtd",,"IMPL_VOL","."&amp;T$2&amp;T$1&amp;"C"&amp;$A16)="N/A",0,RTD("tos.rtd",,"IMPL_VOL","."&amp;T$2&amp;T$1&amp;"C"&amp;$A16))),0),IF($A$2="MAXPAIN",IF($A$4&gt;$A16,($A$4-$A16)*IF(RTD("tos.rtd",,"OPEN_INT","."&amp;T$2&amp;T$1&amp;"C"&amp;$A16)="N/A",0,RTD("tos.rtd",,"OPEN_INT","."&amp;T$2&amp;T$1&amp;"C"&amp;$A16)),0)+IF($A$4&lt;$A16,($A$5-$A$4)*IF(RTD("tos.rtd",,"OPEN_INT","."&amp;T$2&amp;T$1&amp;"P"&amp;$A16)="N/A",0,RTD("tos.rtd",,"OPEN_INT","."&amp;T$2&amp;T$1&amp;"P"&amp;$A16)),0),IF($X$1="ABS",IF(RTD("tos.rtd",,$A$2,"."&amp;T$2&amp;T$1&amp;"C"&amp;$A16)="N/A",0,RTD("tos.rtd",,$A$2,"."&amp;T$2&amp;T$1&amp;"C"&amp;$A16))+IF(RTD("tos.rtd",,$A$2,"."&amp;T$2&amp;T$1&amp;"P"&amp;$A16)="N/A",0,RTD("tos.rtd",,$A$2,"."&amp;T$2&amp;T$1&amp;"P"&amp;$A16)),IF(RTD("tos.rtd",,$A$2,"."&amp;T$2&amp;T$1&amp;"C"&amp;$A16)="N/A",0,RTD("tos.rtd",,$A$2,"."&amp;T$2&amp;T$1&amp;"C"&amp;$A16))-IF(RTD("tos.rtd",,$A$2,"."&amp;T$2&amp;T$1&amp;"P"&amp;$A16)="N/A",0,RTD("tos.rtd",,$A$2,"."&amp;T$2&amp;T$1&amp;"P"&amp;$A16))))))))))</f>
        <v>0</v>
      </c>
      <c r="U16" s="12">
        <f ca="1">IF($A$2="PREMIUM_OI",IFERROR(IF($X$1="ABS",(100*RTD("tos.rtd",,"OPEN_INT","."&amp;U$2&amp;U$1&amp;"C"&amp;$A16)*RTD("tos.rtd",,"LAST","."&amp;U$2&amp;U$1&amp;"C"&amp;$A16)+100*RTD("tos.rtd",,"OPEN_INT","."&amp;U$2&amp;U$1&amp;"P"&amp;$A16)*RTD("tos.rtd",,"LAST","."&amp;U$2&amp;U$1&amp;"P"&amp;$A16))/1000000,(100*RTD("tos.rtd",,"OPEN_INT","."&amp;U$2&amp;U$1&amp;"C"&amp;$A16)*RTD("tos.rtd",,"LAST","."&amp;U$2&amp;U$1&amp;"C"&amp;$A16)-100*RTD("tos.rtd",,"OPEN_INT","."&amp;U$2&amp;U$1&amp;"P"&amp;$A16)*RTD("tos.rtd",,"LAST","."&amp;U$2&amp;U$1&amp;"P"&amp;$A16))/1000000),0),IF($A$2="PREMIUM",IFERROR(IF($X$1="ABS",(100*RTD("tos.rtd",,"VOLUME","."&amp;U$2&amp;U$1&amp;"C"&amp;$A16)*RTD("tos.rtd",,"LAST","."&amp;U$2&amp;U$1&amp;"C"&amp;$A16)+100*RTD("tos.rtd",,"VOLUME","."&amp;U$2&amp;U$1&amp;"P"&amp;$A16)*RTD("tos.rtd",,"LAST","."&amp;U$2&amp;U$1&amp;"P"&amp;$A16))/1000000,(100*RTD("tos.rtd",,"VOLUME","."&amp;U$2&amp;U$1&amp;"C"&amp;$A16)*RTD("tos.rtd",,"LAST","."&amp;U$2&amp;U$1&amp;"C"&amp;$A16)-100*RTD("tos.rtd",,"VOLUME","."&amp;U$2&amp;U$1&amp;"P"&amp;$A16)*RTD("tos.rtd",,"LAST","."&amp;U$2&amp;U$1&amp;"P"&amp;$A16))/1000000),0),IF($A$2="DEX",IFERROR(IF($X$1="ABS",(100*RTD("tos.rtd",,"OPEN_INT","."&amp;U$2&amp;U$1&amp;"C"&amp;$A16)*RTD("tos.rtd",,"DELTA","."&amp;U$2&amp;U$1&amp;"C"&amp;$A16)+100*RTD("tos.rtd",,"OPEN_INT","."&amp;U$2&amp;U$1&amp;"P"&amp;$A16)*RTD("tos.rtd",,"DELTA","."&amp;U$2&amp;U$1&amp;"P"&amp;$A16))/1000,(100*RTD("tos.rtd",,"OPEN_INT","."&amp;U$2&amp;U$1&amp;"C"&amp;$A16)*RTD("tos.rtd",,"DELTA","."&amp;U$2&amp;U$1&amp;"C"&amp;$A16)-100*RTD("tos.rtd",,"OPEN_INT","."&amp;U$2&amp;U$1&amp;"P"&amp;$A16)*RTD("tos.rtd",,"DELTA","."&amp;U$2&amp;U$1&amp;"P"&amp;$A16))/1000),0),IF($A$2="VEX",IFERROR(IF($X$1="ABS",($A$4*$A$4*RTD("tos.rtd",,"VOLUME","."&amp;U$2&amp;U$1&amp;"C"&amp;$A16)*RTD("tos.rtd",,"GAMMA","."&amp;U$2&amp;U$1&amp;"C"&amp;$A16)+$A$4*$A$4*RTD("tos.rtd",,"VOLUME","."&amp;U$2&amp;U$1&amp;"P"&amp;$A16)*RTD("tos.rtd",,"GAMMA","."&amp;U$2&amp;U$1&amp;"P"&amp;$A16))/1000000,($A$4*$A$4*RTD("tos.rtd",,"VOLUME","."&amp;U$2&amp;U$1&amp;"C"&amp;$A16)*RTD("tos.rtd",,"GAMMA","."&amp;U$2&amp;U$1&amp;"C"&amp;$A16)-$A$4*$A$4*RTD("tos.rtd",,"VOLUME","."&amp;U$2&amp;U$1&amp;"P"&amp;$A16)*RTD("tos.rtd",,"GAMMA","."&amp;U$2&amp;U$1&amp;"P"&amp;$A16))/1000000),0),IF($A$2="GEX",IFERROR(IF($X$1="ABS",($A$4*$A$4*RTD("tos.rtd",,"OPEN_INT","."&amp;U$2&amp;U$1&amp;"C"&amp;$A16)*RTD("tos.rtd",,"GAMMA","."&amp;U$2&amp;U$1&amp;"C"&amp;$A16)+$A$4*$A$4*RTD("tos.rtd",,"OPEN_INT","."&amp;U$2&amp;U$1&amp;"P"&amp;$A16)*RTD("tos.rtd",,"GAMMA","."&amp;U$2&amp;U$1&amp;"P"&amp;$A16))/1000000,($A$4*$A$4*RTD("tos.rtd",,"OPEN_INT","."&amp;U$2&amp;U$1&amp;"C"&amp;$A16)*RTD("tos.rtd",,"GAMMA","."&amp;U$2&amp;U$1&amp;"C"&amp;$A16)-$A$4*$A$4*RTD("tos.rtd",,"OPEN_INT","."&amp;U$2&amp;U$1&amp;"P"&amp;$A16)*RTD("tos.rtd",,"GAMMA","."&amp;U$2&amp;U$1&amp;"P"&amp;$A16))/1000000),0),IF($A$2="SKEW",IFERROR(VALUE(IF(RTD("tos.rtd",,"IMPL_VOL","."&amp;U$2&amp;U$1&amp;"P"&amp;$A16)="N/A",0,RTD("tos.rtd",,"IMPL_VOL","."&amp;U$2&amp;U$1&amp;"P"&amp;$A16))),0)-IFERROR(VALUE(IF(RTD("tos.rtd",,"IMPL_VOL","."&amp;U$2&amp;U$1&amp;"C"&amp;$A16)="N/A",0,RTD("tos.rtd",,"IMPL_VOL","."&amp;U$2&amp;U$1&amp;"C"&amp;$A16))),0),IF($A$2="MAXPAIN",IF($A$4&gt;$A16,($A$4-$A16)*IF(RTD("tos.rtd",,"OPEN_INT","."&amp;U$2&amp;U$1&amp;"C"&amp;$A16)="N/A",0,RTD("tos.rtd",,"OPEN_INT","."&amp;U$2&amp;U$1&amp;"C"&amp;$A16)),0)+IF($A$4&lt;$A16,($A$5-$A$4)*IF(RTD("tos.rtd",,"OPEN_INT","."&amp;U$2&amp;U$1&amp;"P"&amp;$A16)="N/A",0,RTD("tos.rtd",,"OPEN_INT","."&amp;U$2&amp;U$1&amp;"P"&amp;$A16)),0),IF($X$1="ABS",IF(RTD("tos.rtd",,$A$2,"."&amp;U$2&amp;U$1&amp;"C"&amp;$A16)="N/A",0,RTD("tos.rtd",,$A$2,"."&amp;U$2&amp;U$1&amp;"C"&amp;$A16))+IF(RTD("tos.rtd",,$A$2,"."&amp;U$2&amp;U$1&amp;"P"&amp;$A16)="N/A",0,RTD("tos.rtd",,$A$2,"."&amp;U$2&amp;U$1&amp;"P"&amp;$A16)),IF(RTD("tos.rtd",,$A$2,"."&amp;U$2&amp;U$1&amp;"C"&amp;$A16)="N/A",0,RTD("tos.rtd",,$A$2,"."&amp;U$2&amp;U$1&amp;"C"&amp;$A16))-IF(RTD("tos.rtd",,$A$2,"."&amp;U$2&amp;U$1&amp;"P"&amp;$A16)="N/A",0,RTD("tos.rtd",,$A$2,"."&amp;U$2&amp;U$1&amp;"P"&amp;$A16))))))))))</f>
        <v>0</v>
      </c>
      <c r="V16" s="12">
        <f ca="1">IF($A$2="PREMIUM_OI",IFERROR(IF($X$1="ABS",(100*RTD("tos.rtd",,"OPEN_INT","."&amp;V$2&amp;V$1&amp;"C"&amp;$A16)*RTD("tos.rtd",,"LAST","."&amp;V$2&amp;V$1&amp;"C"&amp;$A16)+100*RTD("tos.rtd",,"OPEN_INT","."&amp;V$2&amp;V$1&amp;"P"&amp;$A16)*RTD("tos.rtd",,"LAST","."&amp;V$2&amp;V$1&amp;"P"&amp;$A16))/1000000,(100*RTD("tos.rtd",,"OPEN_INT","."&amp;V$2&amp;V$1&amp;"C"&amp;$A16)*RTD("tos.rtd",,"LAST","."&amp;V$2&amp;V$1&amp;"C"&amp;$A16)-100*RTD("tos.rtd",,"OPEN_INT","."&amp;V$2&amp;V$1&amp;"P"&amp;$A16)*RTD("tos.rtd",,"LAST","."&amp;V$2&amp;V$1&amp;"P"&amp;$A16))/1000000),0),IF($A$2="PREMIUM",IFERROR(IF($X$1="ABS",(100*RTD("tos.rtd",,"VOLUME","."&amp;V$2&amp;V$1&amp;"C"&amp;$A16)*RTD("tos.rtd",,"LAST","."&amp;V$2&amp;V$1&amp;"C"&amp;$A16)+100*RTD("tos.rtd",,"VOLUME","."&amp;V$2&amp;V$1&amp;"P"&amp;$A16)*RTD("tos.rtd",,"LAST","."&amp;V$2&amp;V$1&amp;"P"&amp;$A16))/1000000,(100*RTD("tos.rtd",,"VOLUME","."&amp;V$2&amp;V$1&amp;"C"&amp;$A16)*RTD("tos.rtd",,"LAST","."&amp;V$2&amp;V$1&amp;"C"&amp;$A16)-100*RTD("tos.rtd",,"VOLUME","."&amp;V$2&amp;V$1&amp;"P"&amp;$A16)*RTD("tos.rtd",,"LAST","."&amp;V$2&amp;V$1&amp;"P"&amp;$A16))/1000000),0),IF($A$2="DEX",IFERROR(IF($X$1="ABS",(100*RTD("tos.rtd",,"OPEN_INT","."&amp;V$2&amp;V$1&amp;"C"&amp;$A16)*RTD("tos.rtd",,"DELTA","."&amp;V$2&amp;V$1&amp;"C"&amp;$A16)+100*RTD("tos.rtd",,"OPEN_INT","."&amp;V$2&amp;V$1&amp;"P"&amp;$A16)*RTD("tos.rtd",,"DELTA","."&amp;V$2&amp;V$1&amp;"P"&amp;$A16))/1000,(100*RTD("tos.rtd",,"OPEN_INT","."&amp;V$2&amp;V$1&amp;"C"&amp;$A16)*RTD("tos.rtd",,"DELTA","."&amp;V$2&amp;V$1&amp;"C"&amp;$A16)-100*RTD("tos.rtd",,"OPEN_INT","."&amp;V$2&amp;V$1&amp;"P"&amp;$A16)*RTD("tos.rtd",,"DELTA","."&amp;V$2&amp;V$1&amp;"P"&amp;$A16))/1000),0),IF($A$2="VEX",IFERROR(IF($X$1="ABS",($A$4*$A$4*RTD("tos.rtd",,"VOLUME","."&amp;V$2&amp;V$1&amp;"C"&amp;$A16)*RTD("tos.rtd",,"GAMMA","."&amp;V$2&amp;V$1&amp;"C"&amp;$A16)+$A$4*$A$4*RTD("tos.rtd",,"VOLUME","."&amp;V$2&amp;V$1&amp;"P"&amp;$A16)*RTD("tos.rtd",,"GAMMA","."&amp;V$2&amp;V$1&amp;"P"&amp;$A16))/1000000,($A$4*$A$4*RTD("tos.rtd",,"VOLUME","."&amp;V$2&amp;V$1&amp;"C"&amp;$A16)*RTD("tos.rtd",,"GAMMA","."&amp;V$2&amp;V$1&amp;"C"&amp;$A16)-$A$4*$A$4*RTD("tos.rtd",,"VOLUME","."&amp;V$2&amp;V$1&amp;"P"&amp;$A16)*RTD("tos.rtd",,"GAMMA","."&amp;V$2&amp;V$1&amp;"P"&amp;$A16))/1000000),0),IF($A$2="GEX",IFERROR(IF($X$1="ABS",($A$4*$A$4*RTD("tos.rtd",,"OPEN_INT","."&amp;V$2&amp;V$1&amp;"C"&amp;$A16)*RTD("tos.rtd",,"GAMMA","."&amp;V$2&amp;V$1&amp;"C"&amp;$A16)+$A$4*$A$4*RTD("tos.rtd",,"OPEN_INT","."&amp;V$2&amp;V$1&amp;"P"&amp;$A16)*RTD("tos.rtd",,"GAMMA","."&amp;V$2&amp;V$1&amp;"P"&amp;$A16))/1000000,($A$4*$A$4*RTD("tos.rtd",,"OPEN_INT","."&amp;V$2&amp;V$1&amp;"C"&amp;$A16)*RTD("tos.rtd",,"GAMMA","."&amp;V$2&amp;V$1&amp;"C"&amp;$A16)-$A$4*$A$4*RTD("tos.rtd",,"OPEN_INT","."&amp;V$2&amp;V$1&amp;"P"&amp;$A16)*RTD("tos.rtd",,"GAMMA","."&amp;V$2&amp;V$1&amp;"P"&amp;$A16))/1000000),0),IF($A$2="SKEW",IFERROR(VALUE(IF(RTD("tos.rtd",,"IMPL_VOL","."&amp;V$2&amp;V$1&amp;"P"&amp;$A16)="N/A",0,RTD("tos.rtd",,"IMPL_VOL","."&amp;V$2&amp;V$1&amp;"P"&amp;$A16))),0)-IFERROR(VALUE(IF(RTD("tos.rtd",,"IMPL_VOL","."&amp;V$2&amp;V$1&amp;"C"&amp;$A16)="N/A",0,RTD("tos.rtd",,"IMPL_VOL","."&amp;V$2&amp;V$1&amp;"C"&amp;$A16))),0),IF($A$2="MAXPAIN",IF($A$4&gt;$A16,($A$4-$A16)*IF(RTD("tos.rtd",,"OPEN_INT","."&amp;V$2&amp;V$1&amp;"C"&amp;$A16)="N/A",0,RTD("tos.rtd",,"OPEN_INT","."&amp;V$2&amp;V$1&amp;"C"&amp;$A16)),0)+IF($A$4&lt;$A16,($A$5-$A$4)*IF(RTD("tos.rtd",,"OPEN_INT","."&amp;V$2&amp;V$1&amp;"P"&amp;$A16)="N/A",0,RTD("tos.rtd",,"OPEN_INT","."&amp;V$2&amp;V$1&amp;"P"&amp;$A16)),0),IF($X$1="ABS",IF(RTD("tos.rtd",,$A$2,"."&amp;V$2&amp;V$1&amp;"C"&amp;$A16)="N/A",0,RTD("tos.rtd",,$A$2,"."&amp;V$2&amp;V$1&amp;"C"&amp;$A16))+IF(RTD("tos.rtd",,$A$2,"."&amp;V$2&amp;V$1&amp;"P"&amp;$A16)="N/A",0,RTD("tos.rtd",,$A$2,"."&amp;V$2&amp;V$1&amp;"P"&amp;$A16)),IF(RTD("tos.rtd",,$A$2,"."&amp;V$2&amp;V$1&amp;"C"&amp;$A16)="N/A",0,RTD("tos.rtd",,$A$2,"."&amp;V$2&amp;V$1&amp;"C"&amp;$A16))-IF(RTD("tos.rtd",,$A$2,"."&amp;V$2&amp;V$1&amp;"P"&amp;$A16)="N/A",0,RTD("tos.rtd",,$A$2,"."&amp;V$2&amp;V$1&amp;"P"&amp;$A16))))))))))</f>
        <v>0</v>
      </c>
      <c r="W16" s="12">
        <f ca="1">IF($A$2="PREMIUM_OI",IFERROR(IF($X$1="ABS",(100*RTD("tos.rtd",,"OPEN_INT","."&amp;W$2&amp;W$1&amp;"C"&amp;$A16)*RTD("tos.rtd",,"LAST","."&amp;W$2&amp;W$1&amp;"C"&amp;$A16)+100*RTD("tos.rtd",,"OPEN_INT","."&amp;W$2&amp;W$1&amp;"P"&amp;$A16)*RTD("tos.rtd",,"LAST","."&amp;W$2&amp;W$1&amp;"P"&amp;$A16))/1000000,(100*RTD("tos.rtd",,"OPEN_INT","."&amp;W$2&amp;W$1&amp;"C"&amp;$A16)*RTD("tos.rtd",,"LAST","."&amp;W$2&amp;W$1&amp;"C"&amp;$A16)-100*RTD("tos.rtd",,"OPEN_INT","."&amp;W$2&amp;W$1&amp;"P"&amp;$A16)*RTD("tos.rtd",,"LAST","."&amp;W$2&amp;W$1&amp;"P"&amp;$A16))/1000000),0),IF($A$2="PREMIUM",IFERROR(IF($X$1="ABS",(100*RTD("tos.rtd",,"VOLUME","."&amp;W$2&amp;W$1&amp;"C"&amp;$A16)*RTD("tos.rtd",,"LAST","."&amp;W$2&amp;W$1&amp;"C"&amp;$A16)+100*RTD("tos.rtd",,"VOLUME","."&amp;W$2&amp;W$1&amp;"P"&amp;$A16)*RTD("tos.rtd",,"LAST","."&amp;W$2&amp;W$1&amp;"P"&amp;$A16))/1000000,(100*RTD("tos.rtd",,"VOLUME","."&amp;W$2&amp;W$1&amp;"C"&amp;$A16)*RTD("tos.rtd",,"LAST","."&amp;W$2&amp;W$1&amp;"C"&amp;$A16)-100*RTD("tos.rtd",,"VOLUME","."&amp;W$2&amp;W$1&amp;"P"&amp;$A16)*RTD("tos.rtd",,"LAST","."&amp;W$2&amp;W$1&amp;"P"&amp;$A16))/1000000),0),IF($A$2="DEX",IFERROR(IF($X$1="ABS",(100*RTD("tos.rtd",,"OPEN_INT","."&amp;W$2&amp;W$1&amp;"C"&amp;$A16)*RTD("tos.rtd",,"DELTA","."&amp;W$2&amp;W$1&amp;"C"&amp;$A16)+100*RTD("tos.rtd",,"OPEN_INT","."&amp;W$2&amp;W$1&amp;"P"&amp;$A16)*RTD("tos.rtd",,"DELTA","."&amp;W$2&amp;W$1&amp;"P"&amp;$A16))/1000,(100*RTD("tos.rtd",,"OPEN_INT","."&amp;W$2&amp;W$1&amp;"C"&amp;$A16)*RTD("tos.rtd",,"DELTA","."&amp;W$2&amp;W$1&amp;"C"&amp;$A16)-100*RTD("tos.rtd",,"OPEN_INT","."&amp;W$2&amp;W$1&amp;"P"&amp;$A16)*RTD("tos.rtd",,"DELTA","."&amp;W$2&amp;W$1&amp;"P"&amp;$A16))/1000),0),IF($A$2="VEX",IFERROR(IF($X$1="ABS",($A$4*$A$4*RTD("tos.rtd",,"VOLUME","."&amp;W$2&amp;W$1&amp;"C"&amp;$A16)*RTD("tos.rtd",,"GAMMA","."&amp;W$2&amp;W$1&amp;"C"&amp;$A16)+$A$4*$A$4*RTD("tos.rtd",,"VOLUME","."&amp;W$2&amp;W$1&amp;"P"&amp;$A16)*RTD("tos.rtd",,"GAMMA","."&amp;W$2&amp;W$1&amp;"P"&amp;$A16))/1000000,($A$4*$A$4*RTD("tos.rtd",,"VOLUME","."&amp;W$2&amp;W$1&amp;"C"&amp;$A16)*RTD("tos.rtd",,"GAMMA","."&amp;W$2&amp;W$1&amp;"C"&amp;$A16)-$A$4*$A$4*RTD("tos.rtd",,"VOLUME","."&amp;W$2&amp;W$1&amp;"P"&amp;$A16)*RTD("tos.rtd",,"GAMMA","."&amp;W$2&amp;W$1&amp;"P"&amp;$A16))/1000000),0),IF($A$2="GEX",IFERROR(IF($X$1="ABS",($A$4*$A$4*RTD("tos.rtd",,"OPEN_INT","."&amp;W$2&amp;W$1&amp;"C"&amp;$A16)*RTD("tos.rtd",,"GAMMA","."&amp;W$2&amp;W$1&amp;"C"&amp;$A16)+$A$4*$A$4*RTD("tos.rtd",,"OPEN_INT","."&amp;W$2&amp;W$1&amp;"P"&amp;$A16)*RTD("tos.rtd",,"GAMMA","."&amp;W$2&amp;W$1&amp;"P"&amp;$A16))/1000000,($A$4*$A$4*RTD("tos.rtd",,"OPEN_INT","."&amp;W$2&amp;W$1&amp;"C"&amp;$A16)*RTD("tos.rtd",,"GAMMA","."&amp;W$2&amp;W$1&amp;"C"&amp;$A16)-$A$4*$A$4*RTD("tos.rtd",,"OPEN_INT","."&amp;W$2&amp;W$1&amp;"P"&amp;$A16)*RTD("tos.rtd",,"GAMMA","."&amp;W$2&amp;W$1&amp;"P"&amp;$A16))/1000000),0),IF($A$2="SKEW",IFERROR(VALUE(IF(RTD("tos.rtd",,"IMPL_VOL","."&amp;W$2&amp;W$1&amp;"P"&amp;$A16)="N/A",0,RTD("tos.rtd",,"IMPL_VOL","."&amp;W$2&amp;W$1&amp;"P"&amp;$A16))),0)-IFERROR(VALUE(IF(RTD("tos.rtd",,"IMPL_VOL","."&amp;W$2&amp;W$1&amp;"C"&amp;$A16)="N/A",0,RTD("tos.rtd",,"IMPL_VOL","."&amp;W$2&amp;W$1&amp;"C"&amp;$A16))),0),IF($A$2="MAXPAIN",IF($A$4&gt;$A16,($A$4-$A16)*IF(RTD("tos.rtd",,"OPEN_INT","."&amp;W$2&amp;W$1&amp;"C"&amp;$A16)="N/A",0,RTD("tos.rtd",,"OPEN_INT","."&amp;W$2&amp;W$1&amp;"C"&amp;$A16)),0)+IF($A$4&lt;$A16,($A$5-$A$4)*IF(RTD("tos.rtd",,"OPEN_INT","."&amp;W$2&amp;W$1&amp;"P"&amp;$A16)="N/A",0,RTD("tos.rtd",,"OPEN_INT","."&amp;W$2&amp;W$1&amp;"P"&amp;$A16)),0),IF($X$1="ABS",IF(RTD("tos.rtd",,$A$2,"."&amp;W$2&amp;W$1&amp;"C"&amp;$A16)="N/A",0,RTD("tos.rtd",,$A$2,"."&amp;W$2&amp;W$1&amp;"C"&amp;$A16))+IF(RTD("tos.rtd",,$A$2,"."&amp;W$2&amp;W$1&amp;"P"&amp;$A16)="N/A",0,RTD("tos.rtd",,$A$2,"."&amp;W$2&amp;W$1&amp;"P"&amp;$A16)),IF(RTD("tos.rtd",,$A$2,"."&amp;W$2&amp;W$1&amp;"C"&amp;$A16)="N/A",0,RTD("tos.rtd",,$A$2,"."&amp;W$2&amp;W$1&amp;"C"&amp;$A16))-IF(RTD("tos.rtd",,$A$2,"."&amp;W$2&amp;W$1&amp;"P"&amp;$A16)="N/A",0,RTD("tos.rtd",,$A$2,"."&amp;W$2&amp;W$1&amp;"P"&amp;$A16))))))))))</f>
        <v>0</v>
      </c>
      <c r="X16" s="57">
        <f t="shared" ca="1" si="7"/>
        <v>7044</v>
      </c>
      <c r="Y16" s="27">
        <f t="shared" ca="1" si="8"/>
        <v>7044</v>
      </c>
      <c r="Z16" s="27" t="b">
        <f t="shared" ca="1" si="9"/>
        <v>0</v>
      </c>
      <c r="AA16" s="27">
        <f t="shared" si="10"/>
        <v>148733300</v>
      </c>
      <c r="AB16" s="18">
        <f>MAX(0, $A16-AB$4)*IF(RTD("tos.rtd",,"OPEN_INT","."&amp;$AA$3&amp;$AA$4&amp;"C"&amp;AB$4)="N/A",0,RTD("tos.rtd",,"OPEN_INT","."&amp;$AA$3&amp;$AA$4&amp;"C"&amp;AB$4))*100 + MAX(0, AB$4-$A16)*IF(RTD("tos.rtd",,"OPEN_INT","."&amp;$AA$3&amp;$AA$4&amp;"P"&amp;AB$4)="N/A",0,RTD("tos.rtd",,"OPEN_INT","."&amp;$AA$3&amp;$AA$4&amp;"P"&amp;AB$4))*100</f>
        <v>0</v>
      </c>
      <c r="AC16" s="18">
        <f>MAX(0, $A16-AC$4)*IF(RTD("tos.rtd",,"OPEN_INT","."&amp;$AA$3&amp;$AA$4&amp;"C"&amp;AC$4)="N/A",0,RTD("tos.rtd",,"OPEN_INT","."&amp;$AA$3&amp;$AA$4&amp;"C"&amp;AC$4))*100 + MAX(0, AC$4-$A16)*IF(RTD("tos.rtd",,"OPEN_INT","."&amp;$AA$3&amp;$AA$4&amp;"P"&amp;AC$4)="N/A",0,RTD("tos.rtd",,"OPEN_INT","."&amp;$AA$3&amp;$AA$4&amp;"P"&amp;AC$4))*100</f>
        <v>0</v>
      </c>
      <c r="AD16" s="18">
        <f>MAX(0, $A16-AD$4)*IF(RTD("tos.rtd",,"OPEN_INT","."&amp;$AA$3&amp;$AA$4&amp;"C"&amp;AD$4)="N/A",0,RTD("tos.rtd",,"OPEN_INT","."&amp;$AA$3&amp;$AA$4&amp;"C"&amp;AD$4))*100 + MAX(0, AD$4-$A16)*IF(RTD("tos.rtd",,"OPEN_INT","."&amp;$AA$3&amp;$AA$4&amp;"P"&amp;AD$4)="N/A",0,RTD("tos.rtd",,"OPEN_INT","."&amp;$AA$3&amp;$AA$4&amp;"P"&amp;AD$4))*100</f>
        <v>0</v>
      </c>
      <c r="AE16" s="18">
        <f>MAX(0, $A16-AE$4)*IF(RTD("tos.rtd",,"OPEN_INT","."&amp;$AA$3&amp;$AA$4&amp;"C"&amp;AE$4)="N/A",0,RTD("tos.rtd",,"OPEN_INT","."&amp;$AA$3&amp;$AA$4&amp;"C"&amp;AE$4))*100 + MAX(0, AE$4-$A16)*IF(RTD("tos.rtd",,"OPEN_INT","."&amp;$AA$3&amp;$AA$4&amp;"P"&amp;AE$4)="N/A",0,RTD("tos.rtd",,"OPEN_INT","."&amp;$AA$3&amp;$AA$4&amp;"P"&amp;AE$4))*100</f>
        <v>0</v>
      </c>
      <c r="AF16" s="18">
        <f>MAX(0, $A16-AF$4)*IF(RTD("tos.rtd",,"OPEN_INT","."&amp;$AA$3&amp;$AA$4&amp;"C"&amp;AF$4)="N/A",0,RTD("tos.rtd",,"OPEN_INT","."&amp;$AA$3&amp;$AA$4&amp;"C"&amp;AF$4))*100 + MAX(0, AF$4-$A16)*IF(RTD("tos.rtd",,"OPEN_INT","."&amp;$AA$3&amp;$AA$4&amp;"P"&amp;AF$4)="N/A",0,RTD("tos.rtd",,"OPEN_INT","."&amp;$AA$3&amp;$AA$4&amp;"P"&amp;AF$4))*100</f>
        <v>0</v>
      </c>
      <c r="AG16" s="18">
        <f>MAX(0, $A16-AG$4)*IF(RTD("tos.rtd",,"OPEN_INT","."&amp;$AA$3&amp;$AA$4&amp;"C"&amp;AG$4)="N/A",0,RTD("tos.rtd",,"OPEN_INT","."&amp;$AA$3&amp;$AA$4&amp;"C"&amp;AG$4))*100 + MAX(0, AG$4-$A16)*IF(RTD("tos.rtd",,"OPEN_INT","."&amp;$AA$3&amp;$AA$4&amp;"P"&amp;AG$4)="N/A",0,RTD("tos.rtd",,"OPEN_INT","."&amp;$AA$3&amp;$AA$4&amp;"P"&amp;AG$4))*100</f>
        <v>0</v>
      </c>
      <c r="AH16" s="18">
        <f>MAX(0, $A16-AH$4)*IF(RTD("tos.rtd",,"OPEN_INT","."&amp;$AA$3&amp;$AA$4&amp;"C"&amp;AH$4)="N/A",0,RTD("tos.rtd",,"OPEN_INT","."&amp;$AA$3&amp;$AA$4&amp;"C"&amp;AH$4))*100 + MAX(0, AH$4-$A16)*IF(RTD("tos.rtd",,"OPEN_INT","."&amp;$AA$3&amp;$AA$4&amp;"P"&amp;AH$4)="N/A",0,RTD("tos.rtd",,"OPEN_INT","."&amp;$AA$3&amp;$AA$4&amp;"P"&amp;AH$4))*100</f>
        <v>0</v>
      </c>
      <c r="AI16" s="18">
        <f>MAX(0, $A16-AI$4)*IF(RTD("tos.rtd",,"OPEN_INT","."&amp;$AA$3&amp;$AA$4&amp;"C"&amp;AI$4)="N/A",0,RTD("tos.rtd",,"OPEN_INT","."&amp;$AA$3&amp;$AA$4&amp;"C"&amp;AI$4))*100 + MAX(0, AI$4-$A16)*IF(RTD("tos.rtd",,"OPEN_INT","."&amp;$AA$3&amp;$AA$4&amp;"P"&amp;AI$4)="N/A",0,RTD("tos.rtd",,"OPEN_INT","."&amp;$AA$3&amp;$AA$4&amp;"P"&amp;AI$4))*100</f>
        <v>600</v>
      </c>
      <c r="AJ16" s="18">
        <f>MAX(0, $A16-AJ$4)*IF(RTD("tos.rtd",,"OPEN_INT","."&amp;$AA$3&amp;$AA$4&amp;"C"&amp;AJ$4)="N/A",0,RTD("tos.rtd",,"OPEN_INT","."&amp;$AA$3&amp;$AA$4&amp;"C"&amp;AJ$4))*100 + MAX(0, AJ$4-$A16)*IF(RTD("tos.rtd",,"OPEN_INT","."&amp;$AA$3&amp;$AA$4&amp;"P"&amp;AJ$4)="N/A",0,RTD("tos.rtd",,"OPEN_INT","."&amp;$AA$3&amp;$AA$4&amp;"P"&amp;AJ$4))*100</f>
        <v>1200</v>
      </c>
      <c r="AK16" s="18">
        <f>MAX(0, $A16-AK$4)*IF(RTD("tos.rtd",,"OPEN_INT","."&amp;$AA$3&amp;$AA$4&amp;"C"&amp;AK$4)="N/A",0,RTD("tos.rtd",,"OPEN_INT","."&amp;$AA$3&amp;$AA$4&amp;"C"&amp;AK$4))*100 + MAX(0, AK$4-$A16)*IF(RTD("tos.rtd",,"OPEN_INT","."&amp;$AA$3&amp;$AA$4&amp;"P"&amp;AK$4)="N/A",0,RTD("tos.rtd",,"OPEN_INT","."&amp;$AA$3&amp;$AA$4&amp;"P"&amp;AK$4))*100</f>
        <v>0</v>
      </c>
      <c r="AL16" s="18">
        <f>MAX(0, $A16-AL$4)*IF(RTD("tos.rtd",,"OPEN_INT","."&amp;$AA$3&amp;$AA$4&amp;"C"&amp;AL$4)="N/A",0,RTD("tos.rtd",,"OPEN_INT","."&amp;$AA$3&amp;$AA$4&amp;"C"&amp;AL$4))*100 + MAX(0, AL$4-$A16)*IF(RTD("tos.rtd",,"OPEN_INT","."&amp;$AA$3&amp;$AA$4&amp;"P"&amp;AL$4)="N/A",0,RTD("tos.rtd",,"OPEN_INT","."&amp;$AA$3&amp;$AA$4&amp;"P"&amp;AL$4))*100</f>
        <v>0</v>
      </c>
      <c r="AM16" s="18">
        <f>MAX(0, $A16-AM$4)*IF(RTD("tos.rtd",,"OPEN_INT","."&amp;$AA$3&amp;$AA$4&amp;"C"&amp;AM$4)="N/A",0,RTD("tos.rtd",,"OPEN_INT","."&amp;$AA$3&amp;$AA$4&amp;"C"&amp;AM$4))*100 + MAX(0, AM$4-$A16)*IF(RTD("tos.rtd",,"OPEN_INT","."&amp;$AA$3&amp;$AA$4&amp;"P"&amp;AM$4)="N/A",0,RTD("tos.rtd",,"OPEN_INT","."&amp;$AA$3&amp;$AA$4&amp;"P"&amp;AM$4))*100</f>
        <v>0</v>
      </c>
      <c r="AN16" s="18">
        <f>MAX(0, $A16-AN$4)*IF(RTD("tos.rtd",,"OPEN_INT","."&amp;$AA$3&amp;$AA$4&amp;"C"&amp;AN$4)="N/A",0,RTD("tos.rtd",,"OPEN_INT","."&amp;$AA$3&amp;$AA$4&amp;"C"&amp;AN$4))*100 + MAX(0, AN$4-$A16)*IF(RTD("tos.rtd",,"OPEN_INT","."&amp;$AA$3&amp;$AA$4&amp;"P"&amp;AN$4)="N/A",0,RTD("tos.rtd",,"OPEN_INT","."&amp;$AA$3&amp;$AA$4&amp;"P"&amp;AN$4))*100</f>
        <v>0</v>
      </c>
      <c r="AO16" s="18">
        <f>MAX(0, $A16-AO$4)*IF(RTD("tos.rtd",,"OPEN_INT","."&amp;$AA$3&amp;$AA$4&amp;"C"&amp;AO$4)="N/A",0,RTD("tos.rtd",,"OPEN_INT","."&amp;$AA$3&amp;$AA$4&amp;"C"&amp;AO$4))*100 + MAX(0, AO$4-$A16)*IF(RTD("tos.rtd",,"OPEN_INT","."&amp;$AA$3&amp;$AA$4&amp;"P"&amp;AO$4)="N/A",0,RTD("tos.rtd",,"OPEN_INT","."&amp;$AA$3&amp;$AA$4&amp;"P"&amp;AO$4))*100</f>
        <v>68900</v>
      </c>
      <c r="AP16" s="18">
        <f>MAX(0, $A16-AP$4)*IF(RTD("tos.rtd",,"OPEN_INT","."&amp;$AA$3&amp;$AA$4&amp;"C"&amp;AP$4)="N/A",0,RTD("tos.rtd",,"OPEN_INT","."&amp;$AA$3&amp;$AA$4&amp;"C"&amp;AP$4))*100 + MAX(0, AP$4-$A16)*IF(RTD("tos.rtd",,"OPEN_INT","."&amp;$AA$3&amp;$AA$4&amp;"P"&amp;AP$4)="N/A",0,RTD("tos.rtd",,"OPEN_INT","."&amp;$AA$3&amp;$AA$4&amp;"P"&amp;AP$4))*100</f>
        <v>0</v>
      </c>
      <c r="AQ16" s="18">
        <f>MAX(0, $A16-AQ$4)*IF(RTD("tos.rtd",,"OPEN_INT","."&amp;$AA$3&amp;$AA$4&amp;"C"&amp;AQ$4)="N/A",0,RTD("tos.rtd",,"OPEN_INT","."&amp;$AA$3&amp;$AA$4&amp;"C"&amp;AQ$4))*100 + MAX(0, AQ$4-$A16)*IF(RTD("tos.rtd",,"OPEN_INT","."&amp;$AA$3&amp;$AA$4&amp;"P"&amp;AQ$4)="N/A",0,RTD("tos.rtd",,"OPEN_INT","."&amp;$AA$3&amp;$AA$4&amp;"P"&amp;AQ$4))*100</f>
        <v>128000</v>
      </c>
      <c r="AR16" s="18">
        <f>MAX(0, $A16-AR$4)*IF(RTD("tos.rtd",,"OPEN_INT","."&amp;$AA$3&amp;$AA$4&amp;"C"&amp;AR$4)="N/A",0,RTD("tos.rtd",,"OPEN_INT","."&amp;$AA$3&amp;$AA$4&amp;"C"&amp;AR$4))*100 + MAX(0, AR$4-$A16)*IF(RTD("tos.rtd",,"OPEN_INT","."&amp;$AA$3&amp;$AA$4&amp;"P"&amp;AR$4)="N/A",0,RTD("tos.rtd",,"OPEN_INT","."&amp;$AA$3&amp;$AA$4&amp;"P"&amp;AR$4))*100</f>
        <v>250</v>
      </c>
      <c r="AS16" s="18">
        <f>MAX(0, $A16-AS$4)*IF(RTD("tos.rtd",,"OPEN_INT","."&amp;$AA$3&amp;$AA$4&amp;"C"&amp;AS$4)="N/A",0,RTD("tos.rtd",,"OPEN_INT","."&amp;$AA$3&amp;$AA$4&amp;"C"&amp;AS$4))*100 + MAX(0, AS$4-$A16)*IF(RTD("tos.rtd",,"OPEN_INT","."&amp;$AA$3&amp;$AA$4&amp;"P"&amp;AS$4)="N/A",0,RTD("tos.rtd",,"OPEN_INT","."&amp;$AA$3&amp;$AA$4&amp;"P"&amp;AS$4))*100</f>
        <v>258600</v>
      </c>
      <c r="AT16" s="18">
        <f>MAX(0, $A16-AT$4)*IF(RTD("tos.rtd",,"OPEN_INT","."&amp;$AA$3&amp;$AA$4&amp;"C"&amp;AT$4)="N/A",0,RTD("tos.rtd",,"OPEN_INT","."&amp;$AA$3&amp;$AA$4&amp;"C"&amp;AT$4))*100 + MAX(0, AT$4-$A16)*IF(RTD("tos.rtd",,"OPEN_INT","."&amp;$AA$3&amp;$AA$4&amp;"P"&amp;AT$4)="N/A",0,RTD("tos.rtd",,"OPEN_INT","."&amp;$AA$3&amp;$AA$4&amp;"P"&amp;AT$4))*100</f>
        <v>490700</v>
      </c>
      <c r="AU16" s="18">
        <f>MAX(0, $A16-AU$4)*IF(RTD("tos.rtd",,"OPEN_INT","."&amp;$AA$3&amp;$AA$4&amp;"C"&amp;AU$4)="N/A",0,RTD("tos.rtd",,"OPEN_INT","."&amp;$AA$3&amp;$AA$4&amp;"C"&amp;AU$4))*100 + MAX(0, AU$4-$A16)*IF(RTD("tos.rtd",,"OPEN_INT","."&amp;$AA$3&amp;$AA$4&amp;"P"&amp;AU$4)="N/A",0,RTD("tos.rtd",,"OPEN_INT","."&amp;$AA$3&amp;$AA$4&amp;"P"&amp;AU$4))*100</f>
        <v>673200</v>
      </c>
      <c r="AV16" s="18">
        <f>MAX(0, $A16-AV$4)*IF(RTD("tos.rtd",,"OPEN_INT","."&amp;$AA$3&amp;$AA$4&amp;"C"&amp;AV$4)="N/A",0,RTD("tos.rtd",,"OPEN_INT","."&amp;$AA$3&amp;$AA$4&amp;"C"&amp;AV$4))*100 + MAX(0, AV$4-$A16)*IF(RTD("tos.rtd",,"OPEN_INT","."&amp;$AA$3&amp;$AA$4&amp;"P"&amp;AV$4)="N/A",0,RTD("tos.rtd",,"OPEN_INT","."&amp;$AA$3&amp;$AA$4&amp;"P"&amp;AV$4))*100</f>
        <v>849600</v>
      </c>
      <c r="AW16" s="18">
        <f>MAX(0, $A16-AW$4)*IF(RTD("tos.rtd",,"OPEN_INT","."&amp;$AA$3&amp;$AA$4&amp;"C"&amp;AW$4)="N/A",0,RTD("tos.rtd",,"OPEN_INT","."&amp;$AA$3&amp;$AA$4&amp;"C"&amp;AW$4))*100 + MAX(0, AW$4-$A16)*IF(RTD("tos.rtd",,"OPEN_INT","."&amp;$AA$3&amp;$AA$4&amp;"P"&amp;AW$4)="N/A",0,RTD("tos.rtd",,"OPEN_INT","."&amp;$AA$3&amp;$AA$4&amp;"P"&amp;AW$4))*100</f>
        <v>1537500</v>
      </c>
      <c r="AX16" s="18">
        <f>MAX(0, $A16-AX$4)*IF(RTD("tos.rtd",,"OPEN_INT","."&amp;$AA$3&amp;$AA$4&amp;"C"&amp;AX$4)="N/A",0,RTD("tos.rtd",,"OPEN_INT","."&amp;$AA$3&amp;$AA$4&amp;"C"&amp;AX$4))*100 + MAX(0, AX$4-$A16)*IF(RTD("tos.rtd",,"OPEN_INT","."&amp;$AA$3&amp;$AA$4&amp;"P"&amp;AX$4)="N/A",0,RTD("tos.rtd",,"OPEN_INT","."&amp;$AA$3&amp;$AA$4&amp;"P"&amp;AX$4))*100</f>
        <v>2339150</v>
      </c>
      <c r="AY16" s="18">
        <f>MAX(0, $A16-AY$4)*IF(RTD("tos.rtd",,"OPEN_INT","."&amp;$AA$3&amp;$AA$4&amp;"C"&amp;AY$4)="N/A",0,RTD("tos.rtd",,"OPEN_INT","."&amp;$AA$3&amp;$AA$4&amp;"C"&amp;AY$4))*100 + MAX(0, AY$4-$A16)*IF(RTD("tos.rtd",,"OPEN_INT","."&amp;$AA$3&amp;$AA$4&amp;"P"&amp;AY$4)="N/A",0,RTD("tos.rtd",,"OPEN_INT","."&amp;$AA$3&amp;$AA$4&amp;"P"&amp;AY$4))*100</f>
        <v>11728800</v>
      </c>
      <c r="AZ16" s="18">
        <f>MAX(0, $A16-AZ$4)*IF(RTD("tos.rtd",,"OPEN_INT","."&amp;$AA$3&amp;$AA$4&amp;"C"&amp;AZ$4)="N/A",0,RTD("tos.rtd",,"OPEN_INT","."&amp;$AA$3&amp;$AA$4&amp;"C"&amp;AZ$4))*100 + MAX(0, AZ$4-$A16)*IF(RTD("tos.rtd",,"OPEN_INT","."&amp;$AA$3&amp;$AA$4&amp;"P"&amp;AZ$4)="N/A",0,RTD("tos.rtd",,"OPEN_INT","."&amp;$AA$3&amp;$AA$4&amp;"P"&amp;AZ$4))*100</f>
        <v>6402500</v>
      </c>
      <c r="BA16" s="18">
        <f>MAX(0, $A16-BA$4)*IF(RTD("tos.rtd",,"OPEN_INT","."&amp;$AA$3&amp;$AA$4&amp;"C"&amp;BA$4)="N/A",0,RTD("tos.rtd",,"OPEN_INT","."&amp;$AA$3&amp;$AA$4&amp;"C"&amp;BA$4))*100 + MAX(0, BA$4-$A16)*IF(RTD("tos.rtd",,"OPEN_INT","."&amp;$AA$3&amp;$AA$4&amp;"P"&amp;BA$4)="N/A",0,RTD("tos.rtd",,"OPEN_INT","."&amp;$AA$3&amp;$AA$4&amp;"P"&amp;BA$4))*100</f>
        <v>21564900</v>
      </c>
      <c r="BB16" s="18">
        <f>MAX(0, $A16-BB$4)*IF(RTD("tos.rtd",,"OPEN_INT","."&amp;$AA$3&amp;$AA$4&amp;"C"&amp;BB$4)="N/A",0,RTD("tos.rtd",,"OPEN_INT","."&amp;$AA$3&amp;$AA$4&amp;"C"&amp;BB$4))*100 + MAX(0, BB$4-$A16)*IF(RTD("tos.rtd",,"OPEN_INT","."&amp;$AA$3&amp;$AA$4&amp;"P"&amp;BB$4)="N/A",0,RTD("tos.rtd",,"OPEN_INT","."&amp;$AA$3&amp;$AA$4&amp;"P"&amp;BB$4))*100</f>
        <v>21493500</v>
      </c>
      <c r="BC16" s="18">
        <f>MAX(0, $A16-BC$4)*IF(RTD("tos.rtd",,"OPEN_INT","."&amp;$AA$3&amp;$AA$4&amp;"C"&amp;BC$4)="N/A",0,RTD("tos.rtd",,"OPEN_INT","."&amp;$AA$3&amp;$AA$4&amp;"C"&amp;BC$4))*100 + MAX(0, BC$4-$A16)*IF(RTD("tos.rtd",,"OPEN_INT","."&amp;$AA$3&amp;$AA$4&amp;"P"&amp;BC$4)="N/A",0,RTD("tos.rtd",,"OPEN_INT","."&amp;$AA$3&amp;$AA$4&amp;"P"&amp;BC$4))*100</f>
        <v>32570400</v>
      </c>
      <c r="BD16" s="18">
        <f>MAX(0, $A16-BD$4)*IF(RTD("tos.rtd",,"OPEN_INT","."&amp;$AA$3&amp;$AA$4&amp;"C"&amp;BD$4)="N/A",0,RTD("tos.rtd",,"OPEN_INT","."&amp;$AA$3&amp;$AA$4&amp;"C"&amp;BD$4))*100 + MAX(0, BD$4-$A16)*IF(RTD("tos.rtd",,"OPEN_INT","."&amp;$AA$3&amp;$AA$4&amp;"P"&amp;BD$4)="N/A",0,RTD("tos.rtd",,"OPEN_INT","."&amp;$AA$3&amp;$AA$4&amp;"P"&amp;BD$4))*100</f>
        <v>15776000</v>
      </c>
      <c r="BE16" s="18">
        <f>MAX(0, $A16-BE$4)*IF(RTD("tos.rtd",,"OPEN_INT","."&amp;$AA$3&amp;$AA$4&amp;"C"&amp;BE$4)="N/A",0,RTD("tos.rtd",,"OPEN_INT","."&amp;$AA$3&amp;$AA$4&amp;"C"&amp;BE$4))*100 + MAX(0, BE$4-$A16)*IF(RTD("tos.rtd",,"OPEN_INT","."&amp;$AA$3&amp;$AA$4&amp;"P"&amp;BE$4)="N/A",0,RTD("tos.rtd",,"OPEN_INT","."&amp;$AA$3&amp;$AA$4&amp;"P"&amp;BE$4))*100</f>
        <v>15550200</v>
      </c>
      <c r="BF16" s="18">
        <f>MAX(0, $A16-BF$4)*IF(RTD("tos.rtd",,"OPEN_INT","."&amp;$AA$3&amp;$AA$4&amp;"C"&amp;BF$4)="N/A",0,RTD("tos.rtd",,"OPEN_INT","."&amp;$AA$3&amp;$AA$4&amp;"C"&amp;BF$4))*100 + MAX(0, BF$4-$A16)*IF(RTD("tos.rtd",,"OPEN_INT","."&amp;$AA$3&amp;$AA$4&amp;"P"&amp;BF$4)="N/A",0,RTD("tos.rtd",,"OPEN_INT","."&amp;$AA$3&amp;$AA$4&amp;"P"&amp;BF$4))*100</f>
        <v>7986650</v>
      </c>
      <c r="BG16" s="18">
        <f>MAX(0, $A16-BG$4)*IF(RTD("tos.rtd",,"OPEN_INT","."&amp;$AA$3&amp;$AA$4&amp;"C"&amp;BG$4)="N/A",0,RTD("tos.rtd",,"OPEN_INT","."&amp;$AA$3&amp;$AA$4&amp;"C"&amp;BG$4))*100 + MAX(0, BG$4-$A16)*IF(RTD("tos.rtd",,"OPEN_INT","."&amp;$AA$3&amp;$AA$4&amp;"P"&amp;BG$4)="N/A",0,RTD("tos.rtd",,"OPEN_INT","."&amp;$AA$3&amp;$AA$4&amp;"P"&amp;BG$4))*100</f>
        <v>5734000</v>
      </c>
      <c r="BH16" s="18">
        <f>MAX(0, $A16-BH$4)*IF(RTD("tos.rtd",,"OPEN_INT","."&amp;$AA$3&amp;$AA$4&amp;"C"&amp;BH$4)="N/A",0,RTD("tos.rtd",,"OPEN_INT","."&amp;$AA$3&amp;$AA$4&amp;"C"&amp;BH$4))*100 + MAX(0, BH$4-$A16)*IF(RTD("tos.rtd",,"OPEN_INT","."&amp;$AA$3&amp;$AA$4&amp;"P"&amp;BH$4)="N/A",0,RTD("tos.rtd",,"OPEN_INT","."&amp;$AA$3&amp;$AA$4&amp;"P"&amp;BH$4))*100</f>
        <v>2040150</v>
      </c>
      <c r="BI16" s="18">
        <f>MAX(0, $A16-BI$4)*IF(RTD("tos.rtd",,"OPEN_INT","."&amp;$AA$3&amp;$AA$4&amp;"C"&amp;BI$4)="N/A",0,RTD("tos.rtd",,"OPEN_INT","."&amp;$AA$3&amp;$AA$4&amp;"C"&amp;BI$4))*100 + MAX(0, BI$4-$A16)*IF(RTD("tos.rtd",,"OPEN_INT","."&amp;$AA$3&amp;$AA$4&amp;"P"&amp;BI$4)="N/A",0,RTD("tos.rtd",,"OPEN_INT","."&amp;$AA$3&amp;$AA$4&amp;"P"&amp;BI$4))*100</f>
        <v>926200</v>
      </c>
      <c r="BJ16" s="18">
        <f>MAX(0, $A16-BJ$4)*IF(RTD("tos.rtd",,"OPEN_INT","."&amp;$AA$3&amp;$AA$4&amp;"C"&amp;BJ$4)="N/A",0,RTD("tos.rtd",,"OPEN_INT","."&amp;$AA$3&amp;$AA$4&amp;"C"&amp;BJ$4))*100 + MAX(0, BJ$4-$A16)*IF(RTD("tos.rtd",,"OPEN_INT","."&amp;$AA$3&amp;$AA$4&amp;"P"&amp;BJ$4)="N/A",0,RTD("tos.rtd",,"OPEN_INT","."&amp;$AA$3&amp;$AA$4&amp;"P"&amp;BJ$4))*100</f>
        <v>173650</v>
      </c>
      <c r="BK16" s="18">
        <f>MAX(0, $A16-BK$4)*IF(RTD("tos.rtd",,"OPEN_INT","."&amp;$AA$3&amp;$AA$4&amp;"C"&amp;BK$4)="N/A",0,RTD("tos.rtd",,"OPEN_INT","."&amp;$AA$3&amp;$AA$4&amp;"C"&amp;BK$4))*100 + MAX(0, BK$4-$A16)*IF(RTD("tos.rtd",,"OPEN_INT","."&amp;$AA$3&amp;$AA$4&amp;"P"&amp;BK$4)="N/A",0,RTD("tos.rtd",,"OPEN_INT","."&amp;$AA$3&amp;$AA$4&amp;"P"&amp;BK$4))*100</f>
        <v>313200</v>
      </c>
      <c r="BL16" s="18">
        <f>MAX(0, $A16-BL$4)*IF(RTD("tos.rtd",,"OPEN_INT","."&amp;$AA$3&amp;$AA$4&amp;"C"&amp;BL$4)="N/A",0,RTD("tos.rtd",,"OPEN_INT","."&amp;$AA$3&amp;$AA$4&amp;"C"&amp;BL$4))*100 + MAX(0, BL$4-$A16)*IF(RTD("tos.rtd",,"OPEN_INT","."&amp;$AA$3&amp;$AA$4&amp;"P"&amp;BL$4)="N/A",0,RTD("tos.rtd",,"OPEN_INT","."&amp;$AA$3&amp;$AA$4&amp;"P"&amp;BL$4))*100</f>
        <v>20000</v>
      </c>
      <c r="BM16" s="18">
        <f>MAX(0, $A16-BM$4)*IF(RTD("tos.rtd",,"OPEN_INT","."&amp;$AA$3&amp;$AA$4&amp;"C"&amp;BM$4)="N/A",0,RTD("tos.rtd",,"OPEN_INT","."&amp;$AA$3&amp;$AA$4&amp;"C"&amp;BM$4))*100 + MAX(0, BM$4-$A16)*IF(RTD("tos.rtd",,"OPEN_INT","."&amp;$AA$3&amp;$AA$4&amp;"P"&amp;BM$4)="N/A",0,RTD("tos.rtd",,"OPEN_INT","."&amp;$AA$3&amp;$AA$4&amp;"P"&amp;BM$4))*100</f>
        <v>10400</v>
      </c>
      <c r="BN16" s="18">
        <f>MAX(0, $A16-BN$4)*IF(RTD("tos.rtd",,"OPEN_INT","."&amp;$AA$3&amp;$AA$4&amp;"C"&amp;BN$4)="N/A",0,RTD("tos.rtd",,"OPEN_INT","."&amp;$AA$3&amp;$AA$4&amp;"C"&amp;BN$4))*100 + MAX(0, BN$4-$A16)*IF(RTD("tos.rtd",,"OPEN_INT","."&amp;$AA$3&amp;$AA$4&amp;"P"&amp;BN$4)="N/A",0,RTD("tos.rtd",,"OPEN_INT","."&amp;$AA$3&amp;$AA$4&amp;"P"&amp;BN$4))*100</f>
        <v>41850</v>
      </c>
      <c r="BO16" s="18">
        <f>MAX(0, $A16-BO$4)*IF(RTD("tos.rtd",,"OPEN_INT","."&amp;$AA$3&amp;$AA$4&amp;"C"&amp;BO$4)="N/A",0,RTD("tos.rtd",,"OPEN_INT","."&amp;$AA$3&amp;$AA$4&amp;"C"&amp;BO$4))*100 + MAX(0, BO$4-$A16)*IF(RTD("tos.rtd",,"OPEN_INT","."&amp;$AA$3&amp;$AA$4&amp;"P"&amp;BO$4)="N/A",0,RTD("tos.rtd",,"OPEN_INT","."&amp;$AA$3&amp;$AA$4&amp;"P"&amp;BO$4))*100</f>
        <v>53200</v>
      </c>
      <c r="BP16" s="18">
        <f>MAX(0, $A16-BP$4)*IF(RTD("tos.rtd",,"OPEN_INT","."&amp;$AA$3&amp;$AA$4&amp;"C"&amp;BP$4)="N/A",0,RTD("tos.rtd",,"OPEN_INT","."&amp;$AA$3&amp;$AA$4&amp;"C"&amp;BP$4))*100 + MAX(0, BP$4-$A16)*IF(RTD("tos.rtd",,"OPEN_INT","."&amp;$AA$3&amp;$AA$4&amp;"P"&amp;BP$4)="N/A",0,RTD("tos.rtd",,"OPEN_INT","."&amp;$AA$3&amp;$AA$4&amp;"P"&amp;BP$4))*100</f>
        <v>0</v>
      </c>
      <c r="BQ16" s="18">
        <f>MAX(0, $A16-BQ$4)*IF(RTD("tos.rtd",,"OPEN_INT","."&amp;$AA$3&amp;$AA$4&amp;"C"&amp;BQ$4)="N/A",0,RTD("tos.rtd",,"OPEN_INT","."&amp;$AA$3&amp;$AA$4&amp;"C"&amp;BQ$4))*100 + MAX(0, BQ$4-$A16)*IF(RTD("tos.rtd",,"OPEN_INT","."&amp;$AA$3&amp;$AA$4&amp;"P"&amp;BQ$4)="N/A",0,RTD("tos.rtd",,"OPEN_INT","."&amp;$AA$3&amp;$AA$4&amp;"P"&amp;BQ$4))*100</f>
        <v>0</v>
      </c>
      <c r="BR16" s="18">
        <f>MAX(0, $A16-BR$4)*IF(RTD("tos.rtd",,"OPEN_INT","."&amp;$AA$3&amp;$AA$4&amp;"C"&amp;BR$4)="N/A",0,RTD("tos.rtd",,"OPEN_INT","."&amp;$AA$3&amp;$AA$4&amp;"C"&amp;BR$4))*100 + MAX(0, BR$4-$A16)*IF(RTD("tos.rtd",,"OPEN_INT","."&amp;$AA$3&amp;$AA$4&amp;"P"&amp;BR$4)="N/A",0,RTD("tos.rtd",,"OPEN_INT","."&amp;$AA$3&amp;$AA$4&amp;"P"&amp;BR$4))*100</f>
        <v>0</v>
      </c>
      <c r="BS16" s="18">
        <f>MAX(0, $A16-BS$4)*IF(RTD("tos.rtd",,"OPEN_INT","."&amp;$AA$3&amp;$AA$4&amp;"C"&amp;BS$4)="N/A",0,RTD("tos.rtd",,"OPEN_INT","."&amp;$AA$3&amp;$AA$4&amp;"C"&amp;BS$4))*100 + MAX(0, BS$4-$A16)*IF(RTD("tos.rtd",,"OPEN_INT","."&amp;$AA$3&amp;$AA$4&amp;"P"&amp;BS$4)="N/A",0,RTD("tos.rtd",,"OPEN_INT","."&amp;$AA$3&amp;$AA$4&amp;"P"&amp;BS$4))*100</f>
        <v>0</v>
      </c>
      <c r="BT16" s="18">
        <f>MAX(0, $A16-BT$4)*IF(RTD("tos.rtd",,"OPEN_INT","."&amp;$AA$3&amp;$AA$4&amp;"C"&amp;BT$4)="N/A",0,RTD("tos.rtd",,"OPEN_INT","."&amp;$AA$3&amp;$AA$4&amp;"C"&amp;BT$4))*100 + MAX(0, BT$4-$A16)*IF(RTD("tos.rtd",,"OPEN_INT","."&amp;$AA$3&amp;$AA$4&amp;"P"&amp;BT$4)="N/A",0,RTD("tos.rtd",,"OPEN_INT","."&amp;$AA$3&amp;$AA$4&amp;"P"&amp;BT$4))*100</f>
        <v>0</v>
      </c>
      <c r="BU16" s="18">
        <f>MAX(0, $A16-BU$4)*IF(RTD("tos.rtd",,"OPEN_INT","."&amp;$AA$3&amp;$AA$4&amp;"C"&amp;BU$4)="N/A",0,RTD("tos.rtd",,"OPEN_INT","."&amp;$AA$3&amp;$AA$4&amp;"C"&amp;BU$4))*100 + MAX(0, BU$4-$A16)*IF(RTD("tos.rtd",,"OPEN_INT","."&amp;$AA$3&amp;$AA$4&amp;"P"&amp;BU$4)="N/A",0,RTD("tos.rtd",,"OPEN_INT","."&amp;$AA$3&amp;$AA$4&amp;"P"&amp;BU$4))*100</f>
        <v>0</v>
      </c>
      <c r="BV16" s="18">
        <f>MAX(0, $A16-BV$4)*IF(RTD("tos.rtd",,"OPEN_INT","."&amp;$AA$3&amp;$AA$4&amp;"C"&amp;BV$4)="N/A",0,RTD("tos.rtd",,"OPEN_INT","."&amp;$AA$3&amp;$AA$4&amp;"C"&amp;BV$4))*100 + MAX(0, BV$4-$A16)*IF(RTD("tos.rtd",,"OPEN_INT","."&amp;$AA$3&amp;$AA$4&amp;"P"&amp;BV$4)="N/A",0,RTD("tos.rtd",,"OPEN_INT","."&amp;$AA$3&amp;$AA$4&amp;"P"&amp;BV$4))*100</f>
        <v>0</v>
      </c>
    </row>
    <row r="17" spans="1:74" s="19" customFormat="1" ht="11.1" customHeight="1" thickBot="1" x14ac:dyDescent="0.3">
      <c r="A17" s="23">
        <f t="shared" si="6"/>
        <v>15.5</v>
      </c>
      <c r="B17" s="14">
        <f ca="1">IF($A$2="PREMIUM_OI",IFERROR(IF($X$1="ABS",(100*RTD("tos.rtd",,"OPEN_INT","."&amp;B$2&amp;B$1&amp;"C"&amp;$A17)*RTD("tos.rtd",,"LAST","."&amp;B$2&amp;B$1&amp;"C"&amp;$A17)+100*RTD("tos.rtd",,"OPEN_INT","."&amp;B$2&amp;B$1&amp;"P"&amp;$A17)*RTD("tos.rtd",,"LAST","."&amp;B$2&amp;B$1&amp;"P"&amp;$A17))/1000000,(100*RTD("tos.rtd",,"OPEN_INT","."&amp;B$2&amp;B$1&amp;"C"&amp;$A17)*RTD("tos.rtd",,"LAST","."&amp;B$2&amp;B$1&amp;"C"&amp;$A17)-100*RTD("tos.rtd",,"OPEN_INT","."&amp;B$2&amp;B$1&amp;"P"&amp;$A17)*RTD("tos.rtd",,"LAST","."&amp;B$2&amp;B$1&amp;"P"&amp;$A17))/1000000),0),IF($A$2="PREMIUM",IFERROR(IF($X$1="ABS",(100*RTD("tos.rtd",,"VOLUME","."&amp;B$2&amp;B$1&amp;"C"&amp;$A17)*RTD("tos.rtd",,"LAST","."&amp;B$2&amp;B$1&amp;"C"&amp;$A17)+100*RTD("tos.rtd",,"VOLUME","."&amp;B$2&amp;B$1&amp;"P"&amp;$A17)*RTD("tos.rtd",,"LAST","."&amp;B$2&amp;B$1&amp;"P"&amp;$A17))/1000000,(100*RTD("tos.rtd",,"VOLUME","."&amp;B$2&amp;B$1&amp;"C"&amp;$A17)*RTD("tos.rtd",,"LAST","."&amp;B$2&amp;B$1&amp;"C"&amp;$A17)-100*RTD("tos.rtd",,"VOLUME","."&amp;B$2&amp;B$1&amp;"P"&amp;$A17)*RTD("tos.rtd",,"LAST","."&amp;B$2&amp;B$1&amp;"P"&amp;$A17))/1000000),0),IF($A$2="DEX",IFERROR(IF($X$1="ABS",(100*RTD("tos.rtd",,"OPEN_INT","."&amp;B$2&amp;B$1&amp;"C"&amp;$A17)*RTD("tos.rtd",,"DELTA","."&amp;B$2&amp;B$1&amp;"C"&amp;$A17)+100*RTD("tos.rtd",,"OPEN_INT","."&amp;B$2&amp;B$1&amp;"P"&amp;$A17)*RTD("tos.rtd",,"DELTA","."&amp;B$2&amp;B$1&amp;"P"&amp;$A17))/1000,(100*RTD("tos.rtd",,"OPEN_INT","."&amp;B$2&amp;B$1&amp;"C"&amp;$A17)*RTD("tos.rtd",,"DELTA","."&amp;B$2&amp;B$1&amp;"C"&amp;$A17)-100*RTD("tos.rtd",,"OPEN_INT","."&amp;B$2&amp;B$1&amp;"P"&amp;$A17)*RTD("tos.rtd",,"DELTA","."&amp;B$2&amp;B$1&amp;"P"&amp;$A17))/1000),0),IF($A$2="VEX",IFERROR(IF($X$1="ABS",($A$4*$A$4*RTD("tos.rtd",,"VOLUME","."&amp;B$2&amp;B$1&amp;"C"&amp;$A17)*RTD("tos.rtd",,"GAMMA","."&amp;B$2&amp;B$1&amp;"C"&amp;$A17)+$A$4*$A$4*RTD("tos.rtd",,"VOLUME","."&amp;B$2&amp;B$1&amp;"P"&amp;$A17)*RTD("tos.rtd",,"GAMMA","."&amp;B$2&amp;B$1&amp;"P"&amp;$A17))/1000000,($A$4*$A$4*RTD("tos.rtd",,"VOLUME","."&amp;B$2&amp;B$1&amp;"C"&amp;$A17)*RTD("tos.rtd",,"GAMMA","."&amp;B$2&amp;B$1&amp;"C"&amp;$A17)-$A$4*$A$4*RTD("tos.rtd",,"VOLUME","."&amp;B$2&amp;B$1&amp;"P"&amp;$A17)*RTD("tos.rtd",,"GAMMA","."&amp;B$2&amp;B$1&amp;"P"&amp;$A17))/1000000),0),IF($A$2="GEX",IFERROR(IF($X$1="ABS",($A$4*$A$4*RTD("tos.rtd",,"OPEN_INT","."&amp;B$2&amp;B$1&amp;"C"&amp;$A17)*RTD("tos.rtd",,"GAMMA","."&amp;B$2&amp;B$1&amp;"C"&amp;$A17)+$A$4*$A$4*RTD("tos.rtd",,"OPEN_INT","."&amp;B$2&amp;B$1&amp;"P"&amp;$A17)*RTD("tos.rtd",,"GAMMA","."&amp;B$2&amp;B$1&amp;"P"&amp;$A17))/1000000,($A$4*$A$4*RTD("tos.rtd",,"OPEN_INT","."&amp;B$2&amp;B$1&amp;"C"&amp;$A17)*RTD("tos.rtd",,"GAMMA","."&amp;B$2&amp;B$1&amp;"C"&amp;$A17)-$A$4*$A$4*RTD("tos.rtd",,"OPEN_INT","."&amp;B$2&amp;B$1&amp;"P"&amp;$A17)*RTD("tos.rtd",,"GAMMA","."&amp;B$2&amp;B$1&amp;"P"&amp;$A17))/1000000),0),IF($A$2="SKEW",IFERROR(VALUE(IF(RTD("tos.rtd",,"IMPL_VOL","."&amp;B$2&amp;B$1&amp;"P"&amp;$A17)="N/A",0,RTD("tos.rtd",,"IMPL_VOL","."&amp;B$2&amp;B$1&amp;"P"&amp;$A17))),0)-IFERROR(VALUE(IF(RTD("tos.rtd",,"IMPL_VOL","."&amp;B$2&amp;B$1&amp;"C"&amp;$A17)="N/A",0,RTD("tos.rtd",,"IMPL_VOL","."&amp;B$2&amp;B$1&amp;"C"&amp;$A17))),0),IF($A$2="MAXPAIN",IF($A$4&gt;$A17,($A$4-$A17)*IF(RTD("tos.rtd",,"OPEN_INT","."&amp;B$2&amp;B$1&amp;"C"&amp;$A17)="N/A",0,RTD("tos.rtd",,"OPEN_INT","."&amp;B$2&amp;B$1&amp;"C"&amp;$A17)),0)+IF($A$4&lt;$A17,($A$5-$A$4)*IF(RTD("tos.rtd",,"OPEN_INT","."&amp;B$2&amp;B$1&amp;"P"&amp;$A17)="N/A",0,RTD("tos.rtd",,"OPEN_INT","."&amp;B$2&amp;B$1&amp;"P"&amp;$A17)),0),IF($X$1="ABS",IF(RTD("tos.rtd",,$A$2,"."&amp;B$2&amp;B$1&amp;"C"&amp;$A17)="N/A",0,RTD("tos.rtd",,$A$2,"."&amp;B$2&amp;B$1&amp;"C"&amp;$A17))+IF(RTD("tos.rtd",,$A$2,"."&amp;B$2&amp;B$1&amp;"P"&amp;$A17)="N/A",0,RTD("tos.rtd",,$A$2,"."&amp;B$2&amp;B$1&amp;"P"&amp;$A17)),IF(RTD("tos.rtd",,$A$2,"."&amp;B$2&amp;B$1&amp;"C"&amp;$A17)="N/A",0,RTD("tos.rtd",,$A$2,"."&amp;B$2&amp;B$1&amp;"C"&amp;$A17))-IF(RTD("tos.rtd",,$A$2,"."&amp;B$2&amp;B$1&amp;"P"&amp;$A17)="N/A",0,RTD("tos.rtd",,$A$2,"."&amp;B$2&amp;B$1&amp;"P"&amp;$A17))))))))))</f>
        <v>0</v>
      </c>
      <c r="C17" s="12">
        <f ca="1">IF($A$2="PREMIUM_OI",IFERROR(IF($X$1="ABS",(100*RTD("tos.rtd",,"OPEN_INT","."&amp;C$2&amp;C$1&amp;"C"&amp;$A17)*RTD("tos.rtd",,"LAST","."&amp;C$2&amp;C$1&amp;"C"&amp;$A17)+100*RTD("tos.rtd",,"OPEN_INT","."&amp;C$2&amp;C$1&amp;"P"&amp;$A17)*RTD("tos.rtd",,"LAST","."&amp;C$2&amp;C$1&amp;"P"&amp;$A17))/1000000,(100*RTD("tos.rtd",,"OPEN_INT","."&amp;C$2&amp;C$1&amp;"C"&amp;$A17)*RTD("tos.rtd",,"LAST","."&amp;C$2&amp;C$1&amp;"C"&amp;$A17)-100*RTD("tos.rtd",,"OPEN_INT","."&amp;C$2&amp;C$1&amp;"P"&amp;$A17)*RTD("tos.rtd",,"LAST","."&amp;C$2&amp;C$1&amp;"P"&amp;$A17))/1000000),0),IF($A$2="PREMIUM",IFERROR(IF($X$1="ABS",(100*RTD("tos.rtd",,"VOLUME","."&amp;C$2&amp;C$1&amp;"C"&amp;$A17)*RTD("tos.rtd",,"LAST","."&amp;C$2&amp;C$1&amp;"C"&amp;$A17)+100*RTD("tos.rtd",,"VOLUME","."&amp;C$2&amp;C$1&amp;"P"&amp;$A17)*RTD("tos.rtd",,"LAST","."&amp;C$2&amp;C$1&amp;"P"&amp;$A17))/1000000,(100*RTD("tos.rtd",,"VOLUME","."&amp;C$2&amp;C$1&amp;"C"&amp;$A17)*RTD("tos.rtd",,"LAST","."&amp;C$2&amp;C$1&amp;"C"&amp;$A17)-100*RTD("tos.rtd",,"VOLUME","."&amp;C$2&amp;C$1&amp;"P"&amp;$A17)*RTD("tos.rtd",,"LAST","."&amp;C$2&amp;C$1&amp;"P"&amp;$A17))/1000000),0),IF($A$2="DEX",IFERROR(IF($X$1="ABS",(100*RTD("tos.rtd",,"OPEN_INT","."&amp;C$2&amp;C$1&amp;"C"&amp;$A17)*RTD("tos.rtd",,"DELTA","."&amp;C$2&amp;C$1&amp;"C"&amp;$A17)+100*RTD("tos.rtd",,"OPEN_INT","."&amp;C$2&amp;C$1&amp;"P"&amp;$A17)*RTD("tos.rtd",,"DELTA","."&amp;C$2&amp;C$1&amp;"P"&amp;$A17))/1000,(100*RTD("tos.rtd",,"OPEN_INT","."&amp;C$2&amp;C$1&amp;"C"&amp;$A17)*RTD("tos.rtd",,"DELTA","."&amp;C$2&amp;C$1&amp;"C"&amp;$A17)-100*RTD("tos.rtd",,"OPEN_INT","."&amp;C$2&amp;C$1&amp;"P"&amp;$A17)*RTD("tos.rtd",,"DELTA","."&amp;C$2&amp;C$1&amp;"P"&amp;$A17))/1000),0),IF($A$2="VEX",IFERROR(IF($X$1="ABS",($A$4*$A$4*RTD("tos.rtd",,"VOLUME","."&amp;C$2&amp;C$1&amp;"C"&amp;$A17)*RTD("tos.rtd",,"GAMMA","."&amp;C$2&amp;C$1&amp;"C"&amp;$A17)+$A$4*$A$4*RTD("tos.rtd",,"VOLUME","."&amp;C$2&amp;C$1&amp;"P"&amp;$A17)*RTD("tos.rtd",,"GAMMA","."&amp;C$2&amp;C$1&amp;"P"&amp;$A17))/1000000,($A$4*$A$4*RTD("tos.rtd",,"VOLUME","."&amp;C$2&amp;C$1&amp;"C"&amp;$A17)*RTD("tos.rtd",,"GAMMA","."&amp;C$2&amp;C$1&amp;"C"&amp;$A17)-$A$4*$A$4*RTD("tos.rtd",,"VOLUME","."&amp;C$2&amp;C$1&amp;"P"&amp;$A17)*RTD("tos.rtd",,"GAMMA","."&amp;C$2&amp;C$1&amp;"P"&amp;$A17))/1000000),0),IF($A$2="GEX",IFERROR(IF($X$1="ABS",($A$4*$A$4*RTD("tos.rtd",,"OPEN_INT","."&amp;C$2&amp;C$1&amp;"C"&amp;$A17)*RTD("tos.rtd",,"GAMMA","."&amp;C$2&amp;C$1&amp;"C"&amp;$A17)+$A$4*$A$4*RTD("tos.rtd",,"OPEN_INT","."&amp;C$2&amp;C$1&amp;"P"&amp;$A17)*RTD("tos.rtd",,"GAMMA","."&amp;C$2&amp;C$1&amp;"P"&amp;$A17))/1000000,($A$4*$A$4*RTD("tos.rtd",,"OPEN_INT","."&amp;C$2&amp;C$1&amp;"C"&amp;$A17)*RTD("tos.rtd",,"GAMMA","."&amp;C$2&amp;C$1&amp;"C"&amp;$A17)-$A$4*$A$4*RTD("tos.rtd",,"OPEN_INT","."&amp;C$2&amp;C$1&amp;"P"&amp;$A17)*RTD("tos.rtd",,"GAMMA","."&amp;C$2&amp;C$1&amp;"P"&amp;$A17))/1000000),0),IF($A$2="SKEW",IFERROR(VALUE(IF(RTD("tos.rtd",,"IMPL_VOL","."&amp;C$2&amp;C$1&amp;"P"&amp;$A17)="N/A",0,RTD("tos.rtd",,"IMPL_VOL","."&amp;C$2&amp;C$1&amp;"P"&amp;$A17))),0)-IFERROR(VALUE(IF(RTD("tos.rtd",,"IMPL_VOL","."&amp;C$2&amp;C$1&amp;"C"&amp;$A17)="N/A",0,RTD("tos.rtd",,"IMPL_VOL","."&amp;C$2&amp;C$1&amp;"C"&amp;$A17))),0),IF($A$2="MAXPAIN",IF($A$4&gt;$A17,($A$4-$A17)*IF(RTD("tos.rtd",,"OPEN_INT","."&amp;C$2&amp;C$1&amp;"C"&amp;$A17)="N/A",0,RTD("tos.rtd",,"OPEN_INT","."&amp;C$2&amp;C$1&amp;"C"&amp;$A17)),0)+IF($A$4&lt;$A17,($A$5-$A$4)*IF(RTD("tos.rtd",,"OPEN_INT","."&amp;C$2&amp;C$1&amp;"P"&amp;$A17)="N/A",0,RTD("tos.rtd",,"OPEN_INT","."&amp;C$2&amp;C$1&amp;"P"&amp;$A17)),0),IF($X$1="ABS",IF(RTD("tos.rtd",,$A$2,"."&amp;C$2&amp;C$1&amp;"C"&amp;$A17)="N/A",0,RTD("tos.rtd",,$A$2,"."&amp;C$2&amp;C$1&amp;"C"&amp;$A17))+IF(RTD("tos.rtd",,$A$2,"."&amp;C$2&amp;C$1&amp;"P"&amp;$A17)="N/A",0,RTD("tos.rtd",,$A$2,"."&amp;C$2&amp;C$1&amp;"P"&amp;$A17)),IF(RTD("tos.rtd",,$A$2,"."&amp;C$2&amp;C$1&amp;"C"&amp;$A17)="N/A",0,RTD("tos.rtd",,$A$2,"."&amp;C$2&amp;C$1&amp;"C"&amp;$A17))-IF(RTD("tos.rtd",,$A$2,"."&amp;C$2&amp;C$1&amp;"P"&amp;$A17)="N/A",0,RTD("tos.rtd",,$A$2,"."&amp;C$2&amp;C$1&amp;"P"&amp;$A17))))))))))</f>
        <v>0</v>
      </c>
      <c r="D17" s="12">
        <f ca="1">IF($A$2="PREMIUM_OI",IFERROR(IF($X$1="ABS",(100*RTD("tos.rtd",,"OPEN_INT","."&amp;D$2&amp;D$1&amp;"C"&amp;$A17)*RTD("tos.rtd",,"LAST","."&amp;D$2&amp;D$1&amp;"C"&amp;$A17)+100*RTD("tos.rtd",,"OPEN_INT","."&amp;D$2&amp;D$1&amp;"P"&amp;$A17)*RTD("tos.rtd",,"LAST","."&amp;D$2&amp;D$1&amp;"P"&amp;$A17))/1000000,(100*RTD("tos.rtd",,"OPEN_INT","."&amp;D$2&amp;D$1&amp;"C"&amp;$A17)*RTD("tos.rtd",,"LAST","."&amp;D$2&amp;D$1&amp;"C"&amp;$A17)-100*RTD("tos.rtd",,"OPEN_INT","."&amp;D$2&amp;D$1&amp;"P"&amp;$A17)*RTD("tos.rtd",,"LAST","."&amp;D$2&amp;D$1&amp;"P"&amp;$A17))/1000000),0),IF($A$2="PREMIUM",IFERROR(IF($X$1="ABS",(100*RTD("tos.rtd",,"VOLUME","."&amp;D$2&amp;D$1&amp;"C"&amp;$A17)*RTD("tos.rtd",,"LAST","."&amp;D$2&amp;D$1&amp;"C"&amp;$A17)+100*RTD("tos.rtd",,"VOLUME","."&amp;D$2&amp;D$1&amp;"P"&amp;$A17)*RTD("tos.rtd",,"LAST","."&amp;D$2&amp;D$1&amp;"P"&amp;$A17))/1000000,(100*RTD("tos.rtd",,"VOLUME","."&amp;D$2&amp;D$1&amp;"C"&amp;$A17)*RTD("tos.rtd",,"LAST","."&amp;D$2&amp;D$1&amp;"C"&amp;$A17)-100*RTD("tos.rtd",,"VOLUME","."&amp;D$2&amp;D$1&amp;"P"&amp;$A17)*RTD("tos.rtd",,"LAST","."&amp;D$2&amp;D$1&amp;"P"&amp;$A17))/1000000),0),IF($A$2="DEX",IFERROR(IF($X$1="ABS",(100*RTD("tos.rtd",,"OPEN_INT","."&amp;D$2&amp;D$1&amp;"C"&amp;$A17)*RTD("tos.rtd",,"DELTA","."&amp;D$2&amp;D$1&amp;"C"&amp;$A17)+100*RTD("tos.rtd",,"OPEN_INT","."&amp;D$2&amp;D$1&amp;"P"&amp;$A17)*RTD("tos.rtd",,"DELTA","."&amp;D$2&amp;D$1&amp;"P"&amp;$A17))/1000,(100*RTD("tos.rtd",,"OPEN_INT","."&amp;D$2&amp;D$1&amp;"C"&amp;$A17)*RTD("tos.rtd",,"DELTA","."&amp;D$2&amp;D$1&amp;"C"&amp;$A17)-100*RTD("tos.rtd",,"OPEN_INT","."&amp;D$2&amp;D$1&amp;"P"&amp;$A17)*RTD("tos.rtd",,"DELTA","."&amp;D$2&amp;D$1&amp;"P"&amp;$A17))/1000),0),IF($A$2="VEX",IFERROR(IF($X$1="ABS",($A$4*$A$4*RTD("tos.rtd",,"VOLUME","."&amp;D$2&amp;D$1&amp;"C"&amp;$A17)*RTD("tos.rtd",,"GAMMA","."&amp;D$2&amp;D$1&amp;"C"&amp;$A17)+$A$4*$A$4*RTD("tos.rtd",,"VOLUME","."&amp;D$2&amp;D$1&amp;"P"&amp;$A17)*RTD("tos.rtd",,"GAMMA","."&amp;D$2&amp;D$1&amp;"P"&amp;$A17))/1000000,($A$4*$A$4*RTD("tos.rtd",,"VOLUME","."&amp;D$2&amp;D$1&amp;"C"&amp;$A17)*RTD("tos.rtd",,"GAMMA","."&amp;D$2&amp;D$1&amp;"C"&amp;$A17)-$A$4*$A$4*RTD("tos.rtd",,"VOLUME","."&amp;D$2&amp;D$1&amp;"P"&amp;$A17)*RTD("tos.rtd",,"GAMMA","."&amp;D$2&amp;D$1&amp;"P"&amp;$A17))/1000000),0),IF($A$2="GEX",IFERROR(IF($X$1="ABS",($A$4*$A$4*RTD("tos.rtd",,"OPEN_INT","."&amp;D$2&amp;D$1&amp;"C"&amp;$A17)*RTD("tos.rtd",,"GAMMA","."&amp;D$2&amp;D$1&amp;"C"&amp;$A17)+$A$4*$A$4*RTD("tos.rtd",,"OPEN_INT","."&amp;D$2&amp;D$1&amp;"P"&amp;$A17)*RTD("tos.rtd",,"GAMMA","."&amp;D$2&amp;D$1&amp;"P"&amp;$A17))/1000000,($A$4*$A$4*RTD("tos.rtd",,"OPEN_INT","."&amp;D$2&amp;D$1&amp;"C"&amp;$A17)*RTD("tos.rtd",,"GAMMA","."&amp;D$2&amp;D$1&amp;"C"&amp;$A17)-$A$4*$A$4*RTD("tos.rtd",,"OPEN_INT","."&amp;D$2&amp;D$1&amp;"P"&amp;$A17)*RTD("tos.rtd",,"GAMMA","."&amp;D$2&amp;D$1&amp;"P"&amp;$A17))/1000000),0),IF($A$2="SKEW",IFERROR(VALUE(IF(RTD("tos.rtd",,"IMPL_VOL","."&amp;D$2&amp;D$1&amp;"P"&amp;$A17)="N/A",0,RTD("tos.rtd",,"IMPL_VOL","."&amp;D$2&amp;D$1&amp;"P"&amp;$A17))),0)-IFERROR(VALUE(IF(RTD("tos.rtd",,"IMPL_VOL","."&amp;D$2&amp;D$1&amp;"C"&amp;$A17)="N/A",0,RTD("tos.rtd",,"IMPL_VOL","."&amp;D$2&amp;D$1&amp;"C"&amp;$A17))),0),IF($A$2="MAXPAIN",IF($A$4&gt;$A17,($A$4-$A17)*IF(RTD("tos.rtd",,"OPEN_INT","."&amp;D$2&amp;D$1&amp;"C"&amp;$A17)="N/A",0,RTD("tos.rtd",,"OPEN_INT","."&amp;D$2&amp;D$1&amp;"C"&amp;$A17)),0)+IF($A$4&lt;$A17,($A$5-$A$4)*IF(RTD("tos.rtd",,"OPEN_INT","."&amp;D$2&amp;D$1&amp;"P"&amp;$A17)="N/A",0,RTD("tos.rtd",,"OPEN_INT","."&amp;D$2&amp;D$1&amp;"P"&amp;$A17)),0),IF($X$1="ABS",IF(RTD("tos.rtd",,$A$2,"."&amp;D$2&amp;D$1&amp;"C"&amp;$A17)="N/A",0,RTD("tos.rtd",,$A$2,"."&amp;D$2&amp;D$1&amp;"C"&amp;$A17))+IF(RTD("tos.rtd",,$A$2,"."&amp;D$2&amp;D$1&amp;"P"&amp;$A17)="N/A",0,RTD("tos.rtd",,$A$2,"."&amp;D$2&amp;D$1&amp;"P"&amp;$A17)),IF(RTD("tos.rtd",,$A$2,"."&amp;D$2&amp;D$1&amp;"C"&amp;$A17)="N/A",0,RTD("tos.rtd",,$A$2,"."&amp;D$2&amp;D$1&amp;"C"&amp;$A17))-IF(RTD("tos.rtd",,$A$2,"."&amp;D$2&amp;D$1&amp;"P"&amp;$A17)="N/A",0,RTD("tos.rtd",,$A$2,"."&amp;D$2&amp;D$1&amp;"P"&amp;$A17))))))))))</f>
        <v>0</v>
      </c>
      <c r="E17" s="12">
        <f ca="1">IF($A$2="PREMIUM_OI",IFERROR(IF($X$1="ABS",(100*RTD("tos.rtd",,"OPEN_INT","."&amp;E$2&amp;E$1&amp;"C"&amp;$A17)*RTD("tos.rtd",,"LAST","."&amp;E$2&amp;E$1&amp;"C"&amp;$A17)+100*RTD("tos.rtd",,"OPEN_INT","."&amp;E$2&amp;E$1&amp;"P"&amp;$A17)*RTD("tos.rtd",,"LAST","."&amp;E$2&amp;E$1&amp;"P"&amp;$A17))/1000000,(100*RTD("tos.rtd",,"OPEN_INT","."&amp;E$2&amp;E$1&amp;"C"&amp;$A17)*RTD("tos.rtd",,"LAST","."&amp;E$2&amp;E$1&amp;"C"&amp;$A17)-100*RTD("tos.rtd",,"OPEN_INT","."&amp;E$2&amp;E$1&amp;"P"&amp;$A17)*RTD("tos.rtd",,"LAST","."&amp;E$2&amp;E$1&amp;"P"&amp;$A17))/1000000),0),IF($A$2="PREMIUM",IFERROR(IF($X$1="ABS",(100*RTD("tos.rtd",,"VOLUME","."&amp;E$2&amp;E$1&amp;"C"&amp;$A17)*RTD("tos.rtd",,"LAST","."&amp;E$2&amp;E$1&amp;"C"&amp;$A17)+100*RTD("tos.rtd",,"VOLUME","."&amp;E$2&amp;E$1&amp;"P"&amp;$A17)*RTD("tos.rtd",,"LAST","."&amp;E$2&amp;E$1&amp;"P"&amp;$A17))/1000000,(100*RTD("tos.rtd",,"VOLUME","."&amp;E$2&amp;E$1&amp;"C"&amp;$A17)*RTD("tos.rtd",,"LAST","."&amp;E$2&amp;E$1&amp;"C"&amp;$A17)-100*RTD("tos.rtd",,"VOLUME","."&amp;E$2&amp;E$1&amp;"P"&amp;$A17)*RTD("tos.rtd",,"LAST","."&amp;E$2&amp;E$1&amp;"P"&amp;$A17))/1000000),0),IF($A$2="DEX",IFERROR(IF($X$1="ABS",(100*RTD("tos.rtd",,"OPEN_INT","."&amp;E$2&amp;E$1&amp;"C"&amp;$A17)*RTD("tos.rtd",,"DELTA","."&amp;E$2&amp;E$1&amp;"C"&amp;$A17)+100*RTD("tos.rtd",,"OPEN_INT","."&amp;E$2&amp;E$1&amp;"P"&amp;$A17)*RTD("tos.rtd",,"DELTA","."&amp;E$2&amp;E$1&amp;"P"&amp;$A17))/1000,(100*RTD("tos.rtd",,"OPEN_INT","."&amp;E$2&amp;E$1&amp;"C"&amp;$A17)*RTD("tos.rtd",,"DELTA","."&amp;E$2&amp;E$1&amp;"C"&amp;$A17)-100*RTD("tos.rtd",,"OPEN_INT","."&amp;E$2&amp;E$1&amp;"P"&amp;$A17)*RTD("tos.rtd",,"DELTA","."&amp;E$2&amp;E$1&amp;"P"&amp;$A17))/1000),0),IF($A$2="VEX",IFERROR(IF($X$1="ABS",($A$4*$A$4*RTD("tos.rtd",,"VOLUME","."&amp;E$2&amp;E$1&amp;"C"&amp;$A17)*RTD("tos.rtd",,"GAMMA","."&amp;E$2&amp;E$1&amp;"C"&amp;$A17)+$A$4*$A$4*RTD("tos.rtd",,"VOLUME","."&amp;E$2&amp;E$1&amp;"P"&amp;$A17)*RTD("tos.rtd",,"GAMMA","."&amp;E$2&amp;E$1&amp;"P"&amp;$A17))/1000000,($A$4*$A$4*RTD("tos.rtd",,"VOLUME","."&amp;E$2&amp;E$1&amp;"C"&amp;$A17)*RTD("tos.rtd",,"GAMMA","."&amp;E$2&amp;E$1&amp;"C"&amp;$A17)-$A$4*$A$4*RTD("tos.rtd",,"VOLUME","."&amp;E$2&amp;E$1&amp;"P"&amp;$A17)*RTD("tos.rtd",,"GAMMA","."&amp;E$2&amp;E$1&amp;"P"&amp;$A17))/1000000),0),IF($A$2="GEX",IFERROR(IF($X$1="ABS",($A$4*$A$4*RTD("tos.rtd",,"OPEN_INT","."&amp;E$2&amp;E$1&amp;"C"&amp;$A17)*RTD("tos.rtd",,"GAMMA","."&amp;E$2&amp;E$1&amp;"C"&amp;$A17)+$A$4*$A$4*RTD("tos.rtd",,"OPEN_INT","."&amp;E$2&amp;E$1&amp;"P"&amp;$A17)*RTD("tos.rtd",,"GAMMA","."&amp;E$2&amp;E$1&amp;"P"&amp;$A17))/1000000,($A$4*$A$4*RTD("tos.rtd",,"OPEN_INT","."&amp;E$2&amp;E$1&amp;"C"&amp;$A17)*RTD("tos.rtd",,"GAMMA","."&amp;E$2&amp;E$1&amp;"C"&amp;$A17)-$A$4*$A$4*RTD("tos.rtd",,"OPEN_INT","."&amp;E$2&amp;E$1&amp;"P"&amp;$A17)*RTD("tos.rtd",,"GAMMA","."&amp;E$2&amp;E$1&amp;"P"&amp;$A17))/1000000),0),IF($A$2="SKEW",IFERROR(VALUE(IF(RTD("tos.rtd",,"IMPL_VOL","."&amp;E$2&amp;E$1&amp;"P"&amp;$A17)="N/A",0,RTD("tos.rtd",,"IMPL_VOL","."&amp;E$2&amp;E$1&amp;"P"&amp;$A17))),0)-IFERROR(VALUE(IF(RTD("tos.rtd",,"IMPL_VOL","."&amp;E$2&amp;E$1&amp;"C"&amp;$A17)="N/A",0,RTD("tos.rtd",,"IMPL_VOL","."&amp;E$2&amp;E$1&amp;"C"&amp;$A17))),0),IF($A$2="MAXPAIN",IF($A$4&gt;$A17,($A$4-$A17)*IF(RTD("tos.rtd",,"OPEN_INT","."&amp;E$2&amp;E$1&amp;"C"&amp;$A17)="N/A",0,RTD("tos.rtd",,"OPEN_INT","."&amp;E$2&amp;E$1&amp;"C"&amp;$A17)),0)+IF($A$4&lt;$A17,($A$5-$A$4)*IF(RTD("tos.rtd",,"OPEN_INT","."&amp;E$2&amp;E$1&amp;"P"&amp;$A17)="N/A",0,RTD("tos.rtd",,"OPEN_INT","."&amp;E$2&amp;E$1&amp;"P"&amp;$A17)),0),IF($X$1="ABS",IF(RTD("tos.rtd",,$A$2,"."&amp;E$2&amp;E$1&amp;"C"&amp;$A17)="N/A",0,RTD("tos.rtd",,$A$2,"."&amp;E$2&amp;E$1&amp;"C"&amp;$A17))+IF(RTD("tos.rtd",,$A$2,"."&amp;E$2&amp;E$1&amp;"P"&amp;$A17)="N/A",0,RTD("tos.rtd",,$A$2,"."&amp;E$2&amp;E$1&amp;"P"&amp;$A17)),IF(RTD("tos.rtd",,$A$2,"."&amp;E$2&amp;E$1&amp;"C"&amp;$A17)="N/A",0,RTD("tos.rtd",,$A$2,"."&amp;E$2&amp;E$1&amp;"C"&amp;$A17))-IF(RTD("tos.rtd",,$A$2,"."&amp;E$2&amp;E$1&amp;"P"&amp;$A17)="N/A",0,RTD("tos.rtd",,$A$2,"."&amp;E$2&amp;E$1&amp;"P"&amp;$A17))))))))))</f>
        <v>0</v>
      </c>
      <c r="F17" s="12">
        <f ca="1">IF($A$2="PREMIUM_OI",IFERROR(IF($X$1="ABS",(100*RTD("tos.rtd",,"OPEN_INT","."&amp;F$2&amp;F$1&amp;"C"&amp;$A17)*RTD("tos.rtd",,"LAST","."&amp;F$2&amp;F$1&amp;"C"&amp;$A17)+100*RTD("tos.rtd",,"OPEN_INT","."&amp;F$2&amp;F$1&amp;"P"&amp;$A17)*RTD("tos.rtd",,"LAST","."&amp;F$2&amp;F$1&amp;"P"&amp;$A17))/1000000,(100*RTD("tos.rtd",,"OPEN_INT","."&amp;F$2&amp;F$1&amp;"C"&amp;$A17)*RTD("tos.rtd",,"LAST","."&amp;F$2&amp;F$1&amp;"C"&amp;$A17)-100*RTD("tos.rtd",,"OPEN_INT","."&amp;F$2&amp;F$1&amp;"P"&amp;$A17)*RTD("tos.rtd",,"LAST","."&amp;F$2&amp;F$1&amp;"P"&amp;$A17))/1000000),0),IF($A$2="PREMIUM",IFERROR(IF($X$1="ABS",(100*RTD("tos.rtd",,"VOLUME","."&amp;F$2&amp;F$1&amp;"C"&amp;$A17)*RTD("tos.rtd",,"LAST","."&amp;F$2&amp;F$1&amp;"C"&amp;$A17)+100*RTD("tos.rtd",,"VOLUME","."&amp;F$2&amp;F$1&amp;"P"&amp;$A17)*RTD("tos.rtd",,"LAST","."&amp;F$2&amp;F$1&amp;"P"&amp;$A17))/1000000,(100*RTD("tos.rtd",,"VOLUME","."&amp;F$2&amp;F$1&amp;"C"&amp;$A17)*RTD("tos.rtd",,"LAST","."&amp;F$2&amp;F$1&amp;"C"&amp;$A17)-100*RTD("tos.rtd",,"VOLUME","."&amp;F$2&amp;F$1&amp;"P"&amp;$A17)*RTD("tos.rtd",,"LAST","."&amp;F$2&amp;F$1&amp;"P"&amp;$A17))/1000000),0),IF($A$2="DEX",IFERROR(IF($X$1="ABS",(100*RTD("tos.rtd",,"OPEN_INT","."&amp;F$2&amp;F$1&amp;"C"&amp;$A17)*RTD("tos.rtd",,"DELTA","."&amp;F$2&amp;F$1&amp;"C"&amp;$A17)+100*RTD("tos.rtd",,"OPEN_INT","."&amp;F$2&amp;F$1&amp;"P"&amp;$A17)*RTD("tos.rtd",,"DELTA","."&amp;F$2&amp;F$1&amp;"P"&amp;$A17))/1000,(100*RTD("tos.rtd",,"OPEN_INT","."&amp;F$2&amp;F$1&amp;"C"&amp;$A17)*RTD("tos.rtd",,"DELTA","."&amp;F$2&amp;F$1&amp;"C"&amp;$A17)-100*RTD("tos.rtd",,"OPEN_INT","."&amp;F$2&amp;F$1&amp;"P"&amp;$A17)*RTD("tos.rtd",,"DELTA","."&amp;F$2&amp;F$1&amp;"P"&amp;$A17))/1000),0),IF($A$2="VEX",IFERROR(IF($X$1="ABS",($A$4*$A$4*RTD("tos.rtd",,"VOLUME","."&amp;F$2&amp;F$1&amp;"C"&amp;$A17)*RTD("tos.rtd",,"GAMMA","."&amp;F$2&amp;F$1&amp;"C"&amp;$A17)+$A$4*$A$4*RTD("tos.rtd",,"VOLUME","."&amp;F$2&amp;F$1&amp;"P"&amp;$A17)*RTD("tos.rtd",,"GAMMA","."&amp;F$2&amp;F$1&amp;"P"&amp;$A17))/1000000,($A$4*$A$4*RTD("tos.rtd",,"VOLUME","."&amp;F$2&amp;F$1&amp;"C"&amp;$A17)*RTD("tos.rtd",,"GAMMA","."&amp;F$2&amp;F$1&amp;"C"&amp;$A17)-$A$4*$A$4*RTD("tos.rtd",,"VOLUME","."&amp;F$2&amp;F$1&amp;"P"&amp;$A17)*RTD("tos.rtd",,"GAMMA","."&amp;F$2&amp;F$1&amp;"P"&amp;$A17))/1000000),0),IF($A$2="GEX",IFERROR(IF($X$1="ABS",($A$4*$A$4*RTD("tos.rtd",,"OPEN_INT","."&amp;F$2&amp;F$1&amp;"C"&amp;$A17)*RTD("tos.rtd",,"GAMMA","."&amp;F$2&amp;F$1&amp;"C"&amp;$A17)+$A$4*$A$4*RTD("tos.rtd",,"OPEN_INT","."&amp;F$2&amp;F$1&amp;"P"&amp;$A17)*RTD("tos.rtd",,"GAMMA","."&amp;F$2&amp;F$1&amp;"P"&amp;$A17))/1000000,($A$4*$A$4*RTD("tos.rtd",,"OPEN_INT","."&amp;F$2&amp;F$1&amp;"C"&amp;$A17)*RTD("tos.rtd",,"GAMMA","."&amp;F$2&amp;F$1&amp;"C"&amp;$A17)-$A$4*$A$4*RTD("tos.rtd",,"OPEN_INT","."&amp;F$2&amp;F$1&amp;"P"&amp;$A17)*RTD("tos.rtd",,"GAMMA","."&amp;F$2&amp;F$1&amp;"P"&amp;$A17))/1000000),0),IF($A$2="SKEW",IFERROR(VALUE(IF(RTD("tos.rtd",,"IMPL_VOL","."&amp;F$2&amp;F$1&amp;"P"&amp;$A17)="N/A",0,RTD("tos.rtd",,"IMPL_VOL","."&amp;F$2&amp;F$1&amp;"P"&amp;$A17))),0)-IFERROR(VALUE(IF(RTD("tos.rtd",,"IMPL_VOL","."&amp;F$2&amp;F$1&amp;"C"&amp;$A17)="N/A",0,RTD("tos.rtd",,"IMPL_VOL","."&amp;F$2&amp;F$1&amp;"C"&amp;$A17))),0),IF($A$2="MAXPAIN",IF($A$4&gt;$A17,($A$4-$A17)*IF(RTD("tos.rtd",,"OPEN_INT","."&amp;F$2&amp;F$1&amp;"C"&amp;$A17)="N/A",0,RTD("tos.rtd",,"OPEN_INT","."&amp;F$2&amp;F$1&amp;"C"&amp;$A17)),0)+IF($A$4&lt;$A17,($A$5-$A$4)*IF(RTD("tos.rtd",,"OPEN_INT","."&amp;F$2&amp;F$1&amp;"P"&amp;$A17)="N/A",0,RTD("tos.rtd",,"OPEN_INT","."&amp;F$2&amp;F$1&amp;"P"&amp;$A17)),0),IF($X$1="ABS",IF(RTD("tos.rtd",,$A$2,"."&amp;F$2&amp;F$1&amp;"C"&amp;$A17)="N/A",0,RTD("tos.rtd",,$A$2,"."&amp;F$2&amp;F$1&amp;"C"&amp;$A17))+IF(RTD("tos.rtd",,$A$2,"."&amp;F$2&amp;F$1&amp;"P"&amp;$A17)="N/A",0,RTD("tos.rtd",,$A$2,"."&amp;F$2&amp;F$1&amp;"P"&amp;$A17)),IF(RTD("tos.rtd",,$A$2,"."&amp;F$2&amp;F$1&amp;"C"&amp;$A17)="N/A",0,RTD("tos.rtd",,$A$2,"."&amp;F$2&amp;F$1&amp;"C"&amp;$A17))-IF(RTD("tos.rtd",,$A$2,"."&amp;F$2&amp;F$1&amp;"P"&amp;$A17)="N/A",0,RTD("tos.rtd",,$A$2,"."&amp;F$2&amp;F$1&amp;"P"&amp;$A17))))))))))</f>
        <v>0</v>
      </c>
      <c r="G17" s="57">
        <f ca="1">IF($A$2="PREMIUM_OI",IFERROR(IF($X$1="ABS",(100*RTD("tos.rtd",,"OPEN_INT","."&amp;G$2&amp;G$1&amp;"C"&amp;$A17)*RTD("tos.rtd",,"LAST","."&amp;G$2&amp;G$1&amp;"C"&amp;$A17)+100*RTD("tos.rtd",,"OPEN_INT","."&amp;G$2&amp;G$1&amp;"P"&amp;$A17)*RTD("tos.rtd",,"LAST","."&amp;G$2&amp;G$1&amp;"P"&amp;$A17))/1000000,(100*RTD("tos.rtd",,"OPEN_INT","."&amp;G$2&amp;G$1&amp;"C"&amp;$A17)*RTD("tos.rtd",,"LAST","."&amp;G$2&amp;G$1&amp;"C"&amp;$A17)-100*RTD("tos.rtd",,"OPEN_INT","."&amp;G$2&amp;G$1&amp;"P"&amp;$A17)*RTD("tos.rtd",,"LAST","."&amp;G$2&amp;G$1&amp;"P"&amp;$A17))/1000000),0),IF($A$2="PREMIUM",IFERROR(IF($X$1="ABS",(100*RTD("tos.rtd",,"VOLUME","."&amp;G$2&amp;G$1&amp;"C"&amp;$A17)*RTD("tos.rtd",,"LAST","."&amp;G$2&amp;G$1&amp;"C"&amp;$A17)+100*RTD("tos.rtd",,"VOLUME","."&amp;G$2&amp;G$1&amp;"P"&amp;$A17)*RTD("tos.rtd",,"LAST","."&amp;G$2&amp;G$1&amp;"P"&amp;$A17))/1000000,(100*RTD("tos.rtd",,"VOLUME","."&amp;G$2&amp;G$1&amp;"C"&amp;$A17)*RTD("tos.rtd",,"LAST","."&amp;G$2&amp;G$1&amp;"C"&amp;$A17)-100*RTD("tos.rtd",,"VOLUME","."&amp;G$2&amp;G$1&amp;"P"&amp;$A17)*RTD("tos.rtd",,"LAST","."&amp;G$2&amp;G$1&amp;"P"&amp;$A17))/1000000),0),IF($A$2="DEX",IFERROR(IF($X$1="ABS",(100*RTD("tos.rtd",,"OPEN_INT","."&amp;G$2&amp;G$1&amp;"C"&amp;$A17)*RTD("tos.rtd",,"DELTA","."&amp;G$2&amp;G$1&amp;"C"&amp;$A17)+100*RTD("tos.rtd",,"OPEN_INT","."&amp;G$2&amp;G$1&amp;"P"&amp;$A17)*RTD("tos.rtd",,"DELTA","."&amp;G$2&amp;G$1&amp;"P"&amp;$A17))/1000,(100*RTD("tos.rtd",,"OPEN_INT","."&amp;G$2&amp;G$1&amp;"C"&amp;$A17)*RTD("tos.rtd",,"DELTA","."&amp;G$2&amp;G$1&amp;"C"&amp;$A17)-100*RTD("tos.rtd",,"OPEN_INT","."&amp;G$2&amp;G$1&amp;"P"&amp;$A17)*RTD("tos.rtd",,"DELTA","."&amp;G$2&amp;G$1&amp;"P"&amp;$A17))/1000),0),IF($A$2="VEX",IFERROR(IF($X$1="ABS",($A$4*$A$4*RTD("tos.rtd",,"VOLUME","."&amp;G$2&amp;G$1&amp;"C"&amp;$A17)*RTD("tos.rtd",,"GAMMA","."&amp;G$2&amp;G$1&amp;"C"&amp;$A17)+$A$4*$A$4*RTD("tos.rtd",,"VOLUME","."&amp;G$2&amp;G$1&amp;"P"&amp;$A17)*RTD("tos.rtd",,"GAMMA","."&amp;G$2&amp;G$1&amp;"P"&amp;$A17))/1000000,($A$4*$A$4*RTD("tos.rtd",,"VOLUME","."&amp;G$2&amp;G$1&amp;"C"&amp;$A17)*RTD("tos.rtd",,"GAMMA","."&amp;G$2&amp;G$1&amp;"C"&amp;$A17)-$A$4*$A$4*RTD("tos.rtd",,"VOLUME","."&amp;G$2&amp;G$1&amp;"P"&amp;$A17)*RTD("tos.rtd",,"GAMMA","."&amp;G$2&amp;G$1&amp;"P"&amp;$A17))/1000000),0),IF($A$2="GEX",IFERROR(IF($X$1="ABS",($A$4*$A$4*RTD("tos.rtd",,"OPEN_INT","."&amp;G$2&amp;G$1&amp;"C"&amp;$A17)*RTD("tos.rtd",,"GAMMA","."&amp;G$2&amp;G$1&amp;"C"&amp;$A17)+$A$4*$A$4*RTD("tos.rtd",,"OPEN_INT","."&amp;G$2&amp;G$1&amp;"P"&amp;$A17)*RTD("tos.rtd",,"GAMMA","."&amp;G$2&amp;G$1&amp;"P"&amp;$A17))/1000000,($A$4*$A$4*RTD("tos.rtd",,"OPEN_INT","."&amp;G$2&amp;G$1&amp;"C"&amp;$A17)*RTD("tos.rtd",,"GAMMA","."&amp;G$2&amp;G$1&amp;"C"&amp;$A17)-$A$4*$A$4*RTD("tos.rtd",,"OPEN_INT","."&amp;G$2&amp;G$1&amp;"P"&amp;$A17)*RTD("tos.rtd",,"GAMMA","."&amp;G$2&amp;G$1&amp;"P"&amp;$A17))/1000000),0),IF($A$2="SKEW",IFERROR(VALUE(IF(RTD("tos.rtd",,"IMPL_VOL","."&amp;G$2&amp;G$1&amp;"P"&amp;$A17)="N/A",0,RTD("tos.rtd",,"IMPL_VOL","."&amp;G$2&amp;G$1&amp;"P"&amp;$A17))),0)-IFERROR(VALUE(IF(RTD("tos.rtd",,"IMPL_VOL","."&amp;G$2&amp;G$1&amp;"C"&amp;$A17)="N/A",0,RTD("tos.rtd",,"IMPL_VOL","."&amp;G$2&amp;G$1&amp;"C"&amp;$A17))),0),IF($A$2="MAXPAIN",IF($A$4&gt;$A17,($A$4-$A17)*IF(RTD("tos.rtd",,"OPEN_INT","."&amp;G$2&amp;G$1&amp;"C"&amp;$A17)="N/A",0,RTD("tos.rtd",,"OPEN_INT","."&amp;G$2&amp;G$1&amp;"C"&amp;$A17)),0)+IF($A$4&lt;$A17,($A$5-$A$4)*IF(RTD("tos.rtd",,"OPEN_INT","."&amp;G$2&amp;G$1&amp;"P"&amp;$A17)="N/A",0,RTD("tos.rtd",,"OPEN_INT","."&amp;G$2&amp;G$1&amp;"P"&amp;$A17)),0),IF($X$1="ABS",IF(RTD("tos.rtd",,$A$2,"."&amp;G$2&amp;G$1&amp;"C"&amp;$A17)="N/A",0,RTD("tos.rtd",,$A$2,"."&amp;G$2&amp;G$1&amp;"C"&amp;$A17))+IF(RTD("tos.rtd",,$A$2,"."&amp;G$2&amp;G$1&amp;"P"&amp;$A17)="N/A",0,RTD("tos.rtd",,$A$2,"."&amp;G$2&amp;G$1&amp;"P"&amp;$A17)),IF(RTD("tos.rtd",,$A$2,"."&amp;G$2&amp;G$1&amp;"C"&amp;$A17)="N/A",0,RTD("tos.rtd",,$A$2,"."&amp;G$2&amp;G$1&amp;"C"&amp;$A17))-IF(RTD("tos.rtd",,$A$2,"."&amp;G$2&amp;G$1&amp;"P"&amp;$A17)="N/A",0,RTD("tos.rtd",,$A$2,"."&amp;G$2&amp;G$1&amp;"P"&amp;$A17))))))))))</f>
        <v>0</v>
      </c>
      <c r="H17" s="14">
        <f ca="1">IF($A$2="PREMIUM_OI",IFERROR(IF($X$1="ABS",(100*RTD("tos.rtd",,"OPEN_INT","."&amp;H$2&amp;H$1&amp;"C"&amp;$A17)*RTD("tos.rtd",,"LAST","."&amp;H$2&amp;H$1&amp;"C"&amp;$A17)+100*RTD("tos.rtd",,"OPEN_INT","."&amp;H$2&amp;H$1&amp;"P"&amp;$A17)*RTD("tos.rtd",,"LAST","."&amp;H$2&amp;H$1&amp;"P"&amp;$A17))/1000000,(100*RTD("tos.rtd",,"OPEN_INT","."&amp;H$2&amp;H$1&amp;"C"&amp;$A17)*RTD("tos.rtd",,"LAST","."&amp;H$2&amp;H$1&amp;"C"&amp;$A17)-100*RTD("tos.rtd",,"OPEN_INT","."&amp;H$2&amp;H$1&amp;"P"&amp;$A17)*RTD("tos.rtd",,"LAST","."&amp;H$2&amp;H$1&amp;"P"&amp;$A17))/1000000),0),IF($A$2="PREMIUM",IFERROR(IF($X$1="ABS",(100*RTD("tos.rtd",,"VOLUME","."&amp;H$2&amp;H$1&amp;"C"&amp;$A17)*RTD("tos.rtd",,"LAST","."&amp;H$2&amp;H$1&amp;"C"&amp;$A17)+100*RTD("tos.rtd",,"VOLUME","."&amp;H$2&amp;H$1&amp;"P"&amp;$A17)*RTD("tos.rtd",,"LAST","."&amp;H$2&amp;H$1&amp;"P"&amp;$A17))/1000000,(100*RTD("tos.rtd",,"VOLUME","."&amp;H$2&amp;H$1&amp;"C"&amp;$A17)*RTD("tos.rtd",,"LAST","."&amp;H$2&amp;H$1&amp;"C"&amp;$A17)-100*RTD("tos.rtd",,"VOLUME","."&amp;H$2&amp;H$1&amp;"P"&amp;$A17)*RTD("tos.rtd",,"LAST","."&amp;H$2&amp;H$1&amp;"P"&amp;$A17))/1000000),0),IF($A$2="DEX",IFERROR(IF($X$1="ABS",(100*RTD("tos.rtd",,"OPEN_INT","."&amp;H$2&amp;H$1&amp;"C"&amp;$A17)*RTD("tos.rtd",,"DELTA","."&amp;H$2&amp;H$1&amp;"C"&amp;$A17)+100*RTD("tos.rtd",,"OPEN_INT","."&amp;H$2&amp;H$1&amp;"P"&amp;$A17)*RTD("tos.rtd",,"DELTA","."&amp;H$2&amp;H$1&amp;"P"&amp;$A17))/1000,(100*RTD("tos.rtd",,"OPEN_INT","."&amp;H$2&amp;H$1&amp;"C"&amp;$A17)*RTD("tos.rtd",,"DELTA","."&amp;H$2&amp;H$1&amp;"C"&amp;$A17)-100*RTD("tos.rtd",,"OPEN_INT","."&amp;H$2&amp;H$1&amp;"P"&amp;$A17)*RTD("tos.rtd",,"DELTA","."&amp;H$2&amp;H$1&amp;"P"&amp;$A17))/1000),0),IF($A$2="VEX",IFERROR(IF($X$1="ABS",($A$4*$A$4*RTD("tos.rtd",,"VOLUME","."&amp;H$2&amp;H$1&amp;"C"&amp;$A17)*RTD("tos.rtd",,"GAMMA","."&amp;H$2&amp;H$1&amp;"C"&amp;$A17)+$A$4*$A$4*RTD("tos.rtd",,"VOLUME","."&amp;H$2&amp;H$1&amp;"P"&amp;$A17)*RTD("tos.rtd",,"GAMMA","."&amp;H$2&amp;H$1&amp;"P"&amp;$A17))/1000000,($A$4*$A$4*RTD("tos.rtd",,"VOLUME","."&amp;H$2&amp;H$1&amp;"C"&amp;$A17)*RTD("tos.rtd",,"GAMMA","."&amp;H$2&amp;H$1&amp;"C"&amp;$A17)-$A$4*$A$4*RTD("tos.rtd",,"VOLUME","."&amp;H$2&amp;H$1&amp;"P"&amp;$A17)*RTD("tos.rtd",,"GAMMA","."&amp;H$2&amp;H$1&amp;"P"&amp;$A17))/1000000),0),IF($A$2="GEX",IFERROR(IF($X$1="ABS",($A$4*$A$4*RTD("tos.rtd",,"OPEN_INT","."&amp;H$2&amp;H$1&amp;"C"&amp;$A17)*RTD("tos.rtd",,"GAMMA","."&amp;H$2&amp;H$1&amp;"C"&amp;$A17)+$A$4*$A$4*RTD("tos.rtd",,"OPEN_INT","."&amp;H$2&amp;H$1&amp;"P"&amp;$A17)*RTD("tos.rtd",,"GAMMA","."&amp;H$2&amp;H$1&amp;"P"&amp;$A17))/1000000,($A$4*$A$4*RTD("tos.rtd",,"OPEN_INT","."&amp;H$2&amp;H$1&amp;"C"&amp;$A17)*RTD("tos.rtd",,"GAMMA","."&amp;H$2&amp;H$1&amp;"C"&amp;$A17)-$A$4*$A$4*RTD("tos.rtd",,"OPEN_INT","."&amp;H$2&amp;H$1&amp;"P"&amp;$A17)*RTD("tos.rtd",,"GAMMA","."&amp;H$2&amp;H$1&amp;"P"&amp;$A17))/1000000),0),IF($A$2="SKEW",IFERROR(VALUE(IF(RTD("tos.rtd",,"IMPL_VOL","."&amp;H$2&amp;H$1&amp;"P"&amp;$A17)="N/A",0,RTD("tos.rtd",,"IMPL_VOL","."&amp;H$2&amp;H$1&amp;"P"&amp;$A17))),0)-IFERROR(VALUE(IF(RTD("tos.rtd",,"IMPL_VOL","."&amp;H$2&amp;H$1&amp;"C"&amp;$A17)="N/A",0,RTD("tos.rtd",,"IMPL_VOL","."&amp;H$2&amp;H$1&amp;"C"&amp;$A17))),0),IF($A$2="MAXPAIN",IF($A$4&gt;$A17,($A$4-$A17)*IF(RTD("tos.rtd",,"OPEN_INT","."&amp;H$2&amp;H$1&amp;"C"&amp;$A17)="N/A",0,RTD("tos.rtd",,"OPEN_INT","."&amp;H$2&amp;H$1&amp;"C"&amp;$A17)),0)+IF($A$4&lt;$A17,($A$5-$A$4)*IF(RTD("tos.rtd",,"OPEN_INT","."&amp;H$2&amp;H$1&amp;"P"&amp;$A17)="N/A",0,RTD("tos.rtd",,"OPEN_INT","."&amp;H$2&amp;H$1&amp;"P"&amp;$A17)),0),IF($X$1="ABS",IF(RTD("tos.rtd",,$A$2,"."&amp;H$2&amp;H$1&amp;"C"&amp;$A17)="N/A",0,RTD("tos.rtd",,$A$2,"."&amp;H$2&amp;H$1&amp;"C"&amp;$A17))+IF(RTD("tos.rtd",,$A$2,"."&amp;H$2&amp;H$1&amp;"P"&amp;$A17)="N/A",0,RTD("tos.rtd",,$A$2,"."&amp;H$2&amp;H$1&amp;"P"&amp;$A17)),IF(RTD("tos.rtd",,$A$2,"."&amp;H$2&amp;H$1&amp;"C"&amp;$A17)="N/A",0,RTD("tos.rtd",,$A$2,"."&amp;H$2&amp;H$1&amp;"C"&amp;$A17))-IF(RTD("tos.rtd",,$A$2,"."&amp;H$2&amp;H$1&amp;"P"&amp;$A17)="N/A",0,RTD("tos.rtd",,$A$2,"."&amp;H$2&amp;H$1&amp;"P"&amp;$A17))))))))))</f>
        <v>0</v>
      </c>
      <c r="I17" s="12">
        <f ca="1">IF($A$2="PREMIUM_OI",IFERROR(IF($X$1="ABS",(100*RTD("tos.rtd",,"OPEN_INT","."&amp;I$2&amp;I$1&amp;"C"&amp;$A17)*RTD("tos.rtd",,"LAST","."&amp;I$2&amp;I$1&amp;"C"&amp;$A17)+100*RTD("tos.rtd",,"OPEN_INT","."&amp;I$2&amp;I$1&amp;"P"&amp;$A17)*RTD("tos.rtd",,"LAST","."&amp;I$2&amp;I$1&amp;"P"&amp;$A17))/1000000,(100*RTD("tos.rtd",,"OPEN_INT","."&amp;I$2&amp;I$1&amp;"C"&amp;$A17)*RTD("tos.rtd",,"LAST","."&amp;I$2&amp;I$1&amp;"C"&amp;$A17)-100*RTD("tos.rtd",,"OPEN_INT","."&amp;I$2&amp;I$1&amp;"P"&amp;$A17)*RTD("tos.rtd",,"LAST","."&amp;I$2&amp;I$1&amp;"P"&amp;$A17))/1000000),0),IF($A$2="PREMIUM",IFERROR(IF($X$1="ABS",(100*RTD("tos.rtd",,"VOLUME","."&amp;I$2&amp;I$1&amp;"C"&amp;$A17)*RTD("tos.rtd",,"LAST","."&amp;I$2&amp;I$1&amp;"C"&amp;$A17)+100*RTD("tos.rtd",,"VOLUME","."&amp;I$2&amp;I$1&amp;"P"&amp;$A17)*RTD("tos.rtd",,"LAST","."&amp;I$2&amp;I$1&amp;"P"&amp;$A17))/1000000,(100*RTD("tos.rtd",,"VOLUME","."&amp;I$2&amp;I$1&amp;"C"&amp;$A17)*RTD("tos.rtd",,"LAST","."&amp;I$2&amp;I$1&amp;"C"&amp;$A17)-100*RTD("tos.rtd",,"VOLUME","."&amp;I$2&amp;I$1&amp;"P"&amp;$A17)*RTD("tos.rtd",,"LAST","."&amp;I$2&amp;I$1&amp;"P"&amp;$A17))/1000000),0),IF($A$2="DEX",IFERROR(IF($X$1="ABS",(100*RTD("tos.rtd",,"OPEN_INT","."&amp;I$2&amp;I$1&amp;"C"&amp;$A17)*RTD("tos.rtd",,"DELTA","."&amp;I$2&amp;I$1&amp;"C"&amp;$A17)+100*RTD("tos.rtd",,"OPEN_INT","."&amp;I$2&amp;I$1&amp;"P"&amp;$A17)*RTD("tos.rtd",,"DELTA","."&amp;I$2&amp;I$1&amp;"P"&amp;$A17))/1000,(100*RTD("tos.rtd",,"OPEN_INT","."&amp;I$2&amp;I$1&amp;"C"&amp;$A17)*RTD("tos.rtd",,"DELTA","."&amp;I$2&amp;I$1&amp;"C"&amp;$A17)-100*RTD("tos.rtd",,"OPEN_INT","."&amp;I$2&amp;I$1&amp;"P"&amp;$A17)*RTD("tos.rtd",,"DELTA","."&amp;I$2&amp;I$1&amp;"P"&amp;$A17))/1000),0),IF($A$2="VEX",IFERROR(IF($X$1="ABS",($A$4*$A$4*RTD("tos.rtd",,"VOLUME","."&amp;I$2&amp;I$1&amp;"C"&amp;$A17)*RTD("tos.rtd",,"GAMMA","."&amp;I$2&amp;I$1&amp;"C"&amp;$A17)+$A$4*$A$4*RTD("tos.rtd",,"VOLUME","."&amp;I$2&amp;I$1&amp;"P"&amp;$A17)*RTD("tos.rtd",,"GAMMA","."&amp;I$2&amp;I$1&amp;"P"&amp;$A17))/1000000,($A$4*$A$4*RTD("tos.rtd",,"VOLUME","."&amp;I$2&amp;I$1&amp;"C"&amp;$A17)*RTD("tos.rtd",,"GAMMA","."&amp;I$2&amp;I$1&amp;"C"&amp;$A17)-$A$4*$A$4*RTD("tos.rtd",,"VOLUME","."&amp;I$2&amp;I$1&amp;"P"&amp;$A17)*RTD("tos.rtd",,"GAMMA","."&amp;I$2&amp;I$1&amp;"P"&amp;$A17))/1000000),0),IF($A$2="GEX",IFERROR(IF($X$1="ABS",($A$4*$A$4*RTD("tos.rtd",,"OPEN_INT","."&amp;I$2&amp;I$1&amp;"C"&amp;$A17)*RTD("tos.rtd",,"GAMMA","."&amp;I$2&amp;I$1&amp;"C"&amp;$A17)+$A$4*$A$4*RTD("tos.rtd",,"OPEN_INT","."&amp;I$2&amp;I$1&amp;"P"&amp;$A17)*RTD("tos.rtd",,"GAMMA","."&amp;I$2&amp;I$1&amp;"P"&amp;$A17))/1000000,($A$4*$A$4*RTD("tos.rtd",,"OPEN_INT","."&amp;I$2&amp;I$1&amp;"C"&amp;$A17)*RTD("tos.rtd",,"GAMMA","."&amp;I$2&amp;I$1&amp;"C"&amp;$A17)-$A$4*$A$4*RTD("tos.rtd",,"OPEN_INT","."&amp;I$2&amp;I$1&amp;"P"&amp;$A17)*RTD("tos.rtd",,"GAMMA","."&amp;I$2&amp;I$1&amp;"P"&amp;$A17))/1000000),0),IF($A$2="SKEW",IFERROR(VALUE(IF(RTD("tos.rtd",,"IMPL_VOL","."&amp;I$2&amp;I$1&amp;"P"&amp;$A17)="N/A",0,RTD("tos.rtd",,"IMPL_VOL","."&amp;I$2&amp;I$1&amp;"P"&amp;$A17))),0)-IFERROR(VALUE(IF(RTD("tos.rtd",,"IMPL_VOL","."&amp;I$2&amp;I$1&amp;"C"&amp;$A17)="N/A",0,RTD("tos.rtd",,"IMPL_VOL","."&amp;I$2&amp;I$1&amp;"C"&amp;$A17))),0),IF($A$2="MAXPAIN",IF($A$4&gt;$A17,($A$4-$A17)*IF(RTD("tos.rtd",,"OPEN_INT","."&amp;I$2&amp;I$1&amp;"C"&amp;$A17)="N/A",0,RTD("tos.rtd",,"OPEN_INT","."&amp;I$2&amp;I$1&amp;"C"&amp;$A17)),0)+IF($A$4&lt;$A17,($A$5-$A$4)*IF(RTD("tos.rtd",,"OPEN_INT","."&amp;I$2&amp;I$1&amp;"P"&amp;$A17)="N/A",0,RTD("tos.rtd",,"OPEN_INT","."&amp;I$2&amp;I$1&amp;"P"&amp;$A17)),0),IF($X$1="ABS",IF(RTD("tos.rtd",,$A$2,"."&amp;I$2&amp;I$1&amp;"C"&amp;$A17)="N/A",0,RTD("tos.rtd",,$A$2,"."&amp;I$2&amp;I$1&amp;"C"&amp;$A17))+IF(RTD("tos.rtd",,$A$2,"."&amp;I$2&amp;I$1&amp;"P"&amp;$A17)="N/A",0,RTD("tos.rtd",,$A$2,"."&amp;I$2&amp;I$1&amp;"P"&amp;$A17)),IF(RTD("tos.rtd",,$A$2,"."&amp;I$2&amp;I$1&amp;"C"&amp;$A17)="N/A",0,RTD("tos.rtd",,$A$2,"."&amp;I$2&amp;I$1&amp;"C"&amp;$A17))-IF(RTD("tos.rtd",,$A$2,"."&amp;I$2&amp;I$1&amp;"P"&amp;$A17)="N/A",0,RTD("tos.rtd",,$A$2,"."&amp;I$2&amp;I$1&amp;"P"&amp;$A17))))))))))</f>
        <v>0</v>
      </c>
      <c r="J17" s="12">
        <f ca="1">IF($A$2="PREMIUM_OI",IFERROR(IF($X$1="ABS",(100*RTD("tos.rtd",,"OPEN_INT","."&amp;J$2&amp;J$1&amp;"C"&amp;$A17)*RTD("tos.rtd",,"LAST","."&amp;J$2&amp;J$1&amp;"C"&amp;$A17)+100*RTD("tos.rtd",,"OPEN_INT","."&amp;J$2&amp;J$1&amp;"P"&amp;$A17)*RTD("tos.rtd",,"LAST","."&amp;J$2&amp;J$1&amp;"P"&amp;$A17))/1000000,(100*RTD("tos.rtd",,"OPEN_INT","."&amp;J$2&amp;J$1&amp;"C"&amp;$A17)*RTD("tos.rtd",,"LAST","."&amp;J$2&amp;J$1&amp;"C"&amp;$A17)-100*RTD("tos.rtd",,"OPEN_INT","."&amp;J$2&amp;J$1&amp;"P"&amp;$A17)*RTD("tos.rtd",,"LAST","."&amp;J$2&amp;J$1&amp;"P"&amp;$A17))/1000000),0),IF($A$2="PREMIUM",IFERROR(IF($X$1="ABS",(100*RTD("tos.rtd",,"VOLUME","."&amp;J$2&amp;J$1&amp;"C"&amp;$A17)*RTD("tos.rtd",,"LAST","."&amp;J$2&amp;J$1&amp;"C"&amp;$A17)+100*RTD("tos.rtd",,"VOLUME","."&amp;J$2&amp;J$1&amp;"P"&amp;$A17)*RTD("tos.rtd",,"LAST","."&amp;J$2&amp;J$1&amp;"P"&amp;$A17))/1000000,(100*RTD("tos.rtd",,"VOLUME","."&amp;J$2&amp;J$1&amp;"C"&amp;$A17)*RTD("tos.rtd",,"LAST","."&amp;J$2&amp;J$1&amp;"C"&amp;$A17)-100*RTD("tos.rtd",,"VOLUME","."&amp;J$2&amp;J$1&amp;"P"&amp;$A17)*RTD("tos.rtd",,"LAST","."&amp;J$2&amp;J$1&amp;"P"&amp;$A17))/1000000),0),IF($A$2="DEX",IFERROR(IF($X$1="ABS",(100*RTD("tos.rtd",,"OPEN_INT","."&amp;J$2&amp;J$1&amp;"C"&amp;$A17)*RTD("tos.rtd",,"DELTA","."&amp;J$2&amp;J$1&amp;"C"&amp;$A17)+100*RTD("tos.rtd",,"OPEN_INT","."&amp;J$2&amp;J$1&amp;"P"&amp;$A17)*RTD("tos.rtd",,"DELTA","."&amp;J$2&amp;J$1&amp;"P"&amp;$A17))/1000,(100*RTD("tos.rtd",,"OPEN_INT","."&amp;J$2&amp;J$1&amp;"C"&amp;$A17)*RTD("tos.rtd",,"DELTA","."&amp;J$2&amp;J$1&amp;"C"&amp;$A17)-100*RTD("tos.rtd",,"OPEN_INT","."&amp;J$2&amp;J$1&amp;"P"&amp;$A17)*RTD("tos.rtd",,"DELTA","."&amp;J$2&amp;J$1&amp;"P"&amp;$A17))/1000),0),IF($A$2="VEX",IFERROR(IF($X$1="ABS",($A$4*$A$4*RTD("tos.rtd",,"VOLUME","."&amp;J$2&amp;J$1&amp;"C"&amp;$A17)*RTD("tos.rtd",,"GAMMA","."&amp;J$2&amp;J$1&amp;"C"&amp;$A17)+$A$4*$A$4*RTD("tos.rtd",,"VOLUME","."&amp;J$2&amp;J$1&amp;"P"&amp;$A17)*RTD("tos.rtd",,"GAMMA","."&amp;J$2&amp;J$1&amp;"P"&amp;$A17))/1000000,($A$4*$A$4*RTD("tos.rtd",,"VOLUME","."&amp;J$2&amp;J$1&amp;"C"&amp;$A17)*RTD("tos.rtd",,"GAMMA","."&amp;J$2&amp;J$1&amp;"C"&amp;$A17)-$A$4*$A$4*RTD("tos.rtd",,"VOLUME","."&amp;J$2&amp;J$1&amp;"P"&amp;$A17)*RTD("tos.rtd",,"GAMMA","."&amp;J$2&amp;J$1&amp;"P"&amp;$A17))/1000000),0),IF($A$2="GEX",IFERROR(IF($X$1="ABS",($A$4*$A$4*RTD("tos.rtd",,"OPEN_INT","."&amp;J$2&amp;J$1&amp;"C"&amp;$A17)*RTD("tos.rtd",,"GAMMA","."&amp;J$2&amp;J$1&amp;"C"&amp;$A17)+$A$4*$A$4*RTD("tos.rtd",,"OPEN_INT","."&amp;J$2&amp;J$1&amp;"P"&amp;$A17)*RTD("tos.rtd",,"GAMMA","."&amp;J$2&amp;J$1&amp;"P"&amp;$A17))/1000000,($A$4*$A$4*RTD("tos.rtd",,"OPEN_INT","."&amp;J$2&amp;J$1&amp;"C"&amp;$A17)*RTD("tos.rtd",,"GAMMA","."&amp;J$2&amp;J$1&amp;"C"&amp;$A17)-$A$4*$A$4*RTD("tos.rtd",,"OPEN_INT","."&amp;J$2&amp;J$1&amp;"P"&amp;$A17)*RTD("tos.rtd",,"GAMMA","."&amp;J$2&amp;J$1&amp;"P"&amp;$A17))/1000000),0),IF($A$2="SKEW",IFERROR(VALUE(IF(RTD("tos.rtd",,"IMPL_VOL","."&amp;J$2&amp;J$1&amp;"P"&amp;$A17)="N/A",0,RTD("tos.rtd",,"IMPL_VOL","."&amp;J$2&amp;J$1&amp;"P"&amp;$A17))),0)-IFERROR(VALUE(IF(RTD("tos.rtd",,"IMPL_VOL","."&amp;J$2&amp;J$1&amp;"C"&amp;$A17)="N/A",0,RTD("tos.rtd",,"IMPL_VOL","."&amp;J$2&amp;J$1&amp;"C"&amp;$A17))),0),IF($A$2="MAXPAIN",IF($A$4&gt;$A17,($A$4-$A17)*IF(RTD("tos.rtd",,"OPEN_INT","."&amp;J$2&amp;J$1&amp;"C"&amp;$A17)="N/A",0,RTD("tos.rtd",,"OPEN_INT","."&amp;J$2&amp;J$1&amp;"C"&amp;$A17)),0)+IF($A$4&lt;$A17,($A$5-$A$4)*IF(RTD("tos.rtd",,"OPEN_INT","."&amp;J$2&amp;J$1&amp;"P"&amp;$A17)="N/A",0,RTD("tos.rtd",,"OPEN_INT","."&amp;J$2&amp;J$1&amp;"P"&amp;$A17)),0),IF($X$1="ABS",IF(RTD("tos.rtd",,$A$2,"."&amp;J$2&amp;J$1&amp;"C"&amp;$A17)="N/A",0,RTD("tos.rtd",,$A$2,"."&amp;J$2&amp;J$1&amp;"C"&amp;$A17))+IF(RTD("tos.rtd",,$A$2,"."&amp;J$2&amp;J$1&amp;"P"&amp;$A17)="N/A",0,RTD("tos.rtd",,$A$2,"."&amp;J$2&amp;J$1&amp;"P"&amp;$A17)),IF(RTD("tos.rtd",,$A$2,"."&amp;J$2&amp;J$1&amp;"C"&amp;$A17)="N/A",0,RTD("tos.rtd",,$A$2,"."&amp;J$2&amp;J$1&amp;"C"&amp;$A17))-IF(RTD("tos.rtd",,$A$2,"."&amp;J$2&amp;J$1&amp;"P"&amp;$A17)="N/A",0,RTD("tos.rtd",,$A$2,"."&amp;J$2&amp;J$1&amp;"P"&amp;$A17))))))))))</f>
        <v>0</v>
      </c>
      <c r="K17" s="12">
        <f ca="1">IF($A$2="PREMIUM_OI",IFERROR(IF($X$1="ABS",(100*RTD("tos.rtd",,"OPEN_INT","."&amp;K$2&amp;K$1&amp;"C"&amp;$A17)*RTD("tos.rtd",,"LAST","."&amp;K$2&amp;K$1&amp;"C"&amp;$A17)+100*RTD("tos.rtd",,"OPEN_INT","."&amp;K$2&amp;K$1&amp;"P"&amp;$A17)*RTD("tos.rtd",,"LAST","."&amp;K$2&amp;K$1&amp;"P"&amp;$A17))/1000000,(100*RTD("tos.rtd",,"OPEN_INT","."&amp;K$2&amp;K$1&amp;"C"&amp;$A17)*RTD("tos.rtd",,"LAST","."&amp;K$2&amp;K$1&amp;"C"&amp;$A17)-100*RTD("tos.rtd",,"OPEN_INT","."&amp;K$2&amp;K$1&amp;"P"&amp;$A17)*RTD("tos.rtd",,"LAST","."&amp;K$2&amp;K$1&amp;"P"&amp;$A17))/1000000),0),IF($A$2="PREMIUM",IFERROR(IF($X$1="ABS",(100*RTD("tos.rtd",,"VOLUME","."&amp;K$2&amp;K$1&amp;"C"&amp;$A17)*RTD("tos.rtd",,"LAST","."&amp;K$2&amp;K$1&amp;"C"&amp;$A17)+100*RTD("tos.rtd",,"VOLUME","."&amp;K$2&amp;K$1&amp;"P"&amp;$A17)*RTD("tos.rtd",,"LAST","."&amp;K$2&amp;K$1&amp;"P"&amp;$A17))/1000000,(100*RTD("tos.rtd",,"VOLUME","."&amp;K$2&amp;K$1&amp;"C"&amp;$A17)*RTD("tos.rtd",,"LAST","."&amp;K$2&amp;K$1&amp;"C"&amp;$A17)-100*RTD("tos.rtd",,"VOLUME","."&amp;K$2&amp;K$1&amp;"P"&amp;$A17)*RTD("tos.rtd",,"LAST","."&amp;K$2&amp;K$1&amp;"P"&amp;$A17))/1000000),0),IF($A$2="DEX",IFERROR(IF($X$1="ABS",(100*RTD("tos.rtd",,"OPEN_INT","."&amp;K$2&amp;K$1&amp;"C"&amp;$A17)*RTD("tos.rtd",,"DELTA","."&amp;K$2&amp;K$1&amp;"C"&amp;$A17)+100*RTD("tos.rtd",,"OPEN_INT","."&amp;K$2&amp;K$1&amp;"P"&amp;$A17)*RTD("tos.rtd",,"DELTA","."&amp;K$2&amp;K$1&amp;"P"&amp;$A17))/1000,(100*RTD("tos.rtd",,"OPEN_INT","."&amp;K$2&amp;K$1&amp;"C"&amp;$A17)*RTD("tos.rtd",,"DELTA","."&amp;K$2&amp;K$1&amp;"C"&amp;$A17)-100*RTD("tos.rtd",,"OPEN_INT","."&amp;K$2&amp;K$1&amp;"P"&amp;$A17)*RTD("tos.rtd",,"DELTA","."&amp;K$2&amp;K$1&amp;"P"&amp;$A17))/1000),0),IF($A$2="VEX",IFERROR(IF($X$1="ABS",($A$4*$A$4*RTD("tos.rtd",,"VOLUME","."&amp;K$2&amp;K$1&amp;"C"&amp;$A17)*RTD("tos.rtd",,"GAMMA","."&amp;K$2&amp;K$1&amp;"C"&amp;$A17)+$A$4*$A$4*RTD("tos.rtd",,"VOLUME","."&amp;K$2&amp;K$1&amp;"P"&amp;$A17)*RTD("tos.rtd",,"GAMMA","."&amp;K$2&amp;K$1&amp;"P"&amp;$A17))/1000000,($A$4*$A$4*RTD("tos.rtd",,"VOLUME","."&amp;K$2&amp;K$1&amp;"C"&amp;$A17)*RTD("tos.rtd",,"GAMMA","."&amp;K$2&amp;K$1&amp;"C"&amp;$A17)-$A$4*$A$4*RTD("tos.rtd",,"VOLUME","."&amp;K$2&amp;K$1&amp;"P"&amp;$A17)*RTD("tos.rtd",,"GAMMA","."&amp;K$2&amp;K$1&amp;"P"&amp;$A17))/1000000),0),IF($A$2="GEX",IFERROR(IF($X$1="ABS",($A$4*$A$4*RTD("tos.rtd",,"OPEN_INT","."&amp;K$2&amp;K$1&amp;"C"&amp;$A17)*RTD("tos.rtd",,"GAMMA","."&amp;K$2&amp;K$1&amp;"C"&amp;$A17)+$A$4*$A$4*RTD("tos.rtd",,"OPEN_INT","."&amp;K$2&amp;K$1&amp;"P"&amp;$A17)*RTD("tos.rtd",,"GAMMA","."&amp;K$2&amp;K$1&amp;"P"&amp;$A17))/1000000,($A$4*$A$4*RTD("tos.rtd",,"OPEN_INT","."&amp;K$2&amp;K$1&amp;"C"&amp;$A17)*RTD("tos.rtd",,"GAMMA","."&amp;K$2&amp;K$1&amp;"C"&amp;$A17)-$A$4*$A$4*RTD("tos.rtd",,"OPEN_INT","."&amp;K$2&amp;K$1&amp;"P"&amp;$A17)*RTD("tos.rtd",,"GAMMA","."&amp;K$2&amp;K$1&amp;"P"&amp;$A17))/1000000),0),IF($A$2="SKEW",IFERROR(VALUE(IF(RTD("tos.rtd",,"IMPL_VOL","."&amp;K$2&amp;K$1&amp;"P"&amp;$A17)="N/A",0,RTD("tos.rtd",,"IMPL_VOL","."&amp;K$2&amp;K$1&amp;"P"&amp;$A17))),0)-IFERROR(VALUE(IF(RTD("tos.rtd",,"IMPL_VOL","."&amp;K$2&amp;K$1&amp;"C"&amp;$A17)="N/A",0,RTD("tos.rtd",,"IMPL_VOL","."&amp;K$2&amp;K$1&amp;"C"&amp;$A17))),0),IF($A$2="MAXPAIN",IF($A$4&gt;$A17,($A$4-$A17)*IF(RTD("tos.rtd",,"OPEN_INT","."&amp;K$2&amp;K$1&amp;"C"&amp;$A17)="N/A",0,RTD("tos.rtd",,"OPEN_INT","."&amp;K$2&amp;K$1&amp;"C"&amp;$A17)),0)+IF($A$4&lt;$A17,($A$5-$A$4)*IF(RTD("tos.rtd",,"OPEN_INT","."&amp;K$2&amp;K$1&amp;"P"&amp;$A17)="N/A",0,RTD("tos.rtd",,"OPEN_INT","."&amp;K$2&amp;K$1&amp;"P"&amp;$A17)),0),IF($X$1="ABS",IF(RTD("tos.rtd",,$A$2,"."&amp;K$2&amp;K$1&amp;"C"&amp;$A17)="N/A",0,RTD("tos.rtd",,$A$2,"."&amp;K$2&amp;K$1&amp;"C"&amp;$A17))+IF(RTD("tos.rtd",,$A$2,"."&amp;K$2&amp;K$1&amp;"P"&amp;$A17)="N/A",0,RTD("tos.rtd",,$A$2,"."&amp;K$2&amp;K$1&amp;"P"&amp;$A17)),IF(RTD("tos.rtd",,$A$2,"."&amp;K$2&amp;K$1&amp;"C"&amp;$A17)="N/A",0,RTD("tos.rtd",,$A$2,"."&amp;K$2&amp;K$1&amp;"C"&amp;$A17))-IF(RTD("tos.rtd",,$A$2,"."&amp;K$2&amp;K$1&amp;"P"&amp;$A17)="N/A",0,RTD("tos.rtd",,$A$2,"."&amp;K$2&amp;K$1&amp;"P"&amp;$A17))))))))))</f>
        <v>0</v>
      </c>
      <c r="L17" s="54">
        <f ca="1">IF($A$2="PREMIUM_OI",IFERROR(IF($X$1="ABS",(100*RTD("tos.rtd",,"OPEN_INT","."&amp;L$2&amp;L$1&amp;"C"&amp;$A17)*RTD("tos.rtd",,"LAST","."&amp;L$2&amp;L$1&amp;"C"&amp;$A17)+100*RTD("tos.rtd",,"OPEN_INT","."&amp;L$2&amp;L$1&amp;"P"&amp;$A17)*RTD("tos.rtd",,"LAST","."&amp;L$2&amp;L$1&amp;"P"&amp;$A17))/1000000,(100*RTD("tos.rtd",,"OPEN_INT","."&amp;L$2&amp;L$1&amp;"C"&amp;$A17)*RTD("tos.rtd",,"LAST","."&amp;L$2&amp;L$1&amp;"C"&amp;$A17)-100*RTD("tos.rtd",,"OPEN_INT","."&amp;L$2&amp;L$1&amp;"P"&amp;$A17)*RTD("tos.rtd",,"LAST","."&amp;L$2&amp;L$1&amp;"P"&amp;$A17))/1000000),0),IF($A$2="PREMIUM",IFERROR(IF($X$1="ABS",(100*RTD("tos.rtd",,"VOLUME","."&amp;L$2&amp;L$1&amp;"C"&amp;$A17)*RTD("tos.rtd",,"LAST","."&amp;L$2&amp;L$1&amp;"C"&amp;$A17)+100*RTD("tos.rtd",,"VOLUME","."&amp;L$2&amp;L$1&amp;"P"&amp;$A17)*RTD("tos.rtd",,"LAST","."&amp;L$2&amp;L$1&amp;"P"&amp;$A17))/1000000,(100*RTD("tos.rtd",,"VOLUME","."&amp;L$2&amp;L$1&amp;"C"&amp;$A17)*RTD("tos.rtd",,"LAST","."&amp;L$2&amp;L$1&amp;"C"&amp;$A17)-100*RTD("tos.rtd",,"VOLUME","."&amp;L$2&amp;L$1&amp;"P"&amp;$A17)*RTD("tos.rtd",,"LAST","."&amp;L$2&amp;L$1&amp;"P"&amp;$A17))/1000000),0),IF($A$2="DEX",IFERROR(IF($X$1="ABS",(100*RTD("tos.rtd",,"OPEN_INT","."&amp;L$2&amp;L$1&amp;"C"&amp;$A17)*RTD("tos.rtd",,"DELTA","."&amp;L$2&amp;L$1&amp;"C"&amp;$A17)+100*RTD("tos.rtd",,"OPEN_INT","."&amp;L$2&amp;L$1&amp;"P"&amp;$A17)*RTD("tos.rtd",,"DELTA","."&amp;L$2&amp;L$1&amp;"P"&amp;$A17))/1000,(100*RTD("tos.rtd",,"OPEN_INT","."&amp;L$2&amp;L$1&amp;"C"&amp;$A17)*RTD("tos.rtd",,"DELTA","."&amp;L$2&amp;L$1&amp;"C"&amp;$A17)-100*RTD("tos.rtd",,"OPEN_INT","."&amp;L$2&amp;L$1&amp;"P"&amp;$A17)*RTD("tos.rtd",,"DELTA","."&amp;L$2&amp;L$1&amp;"P"&amp;$A17))/1000),0),IF($A$2="VEX",IFERROR(IF($X$1="ABS",($A$4*$A$4*RTD("tos.rtd",,"VOLUME","."&amp;L$2&amp;L$1&amp;"C"&amp;$A17)*RTD("tos.rtd",,"GAMMA","."&amp;L$2&amp;L$1&amp;"C"&amp;$A17)+$A$4*$A$4*RTD("tos.rtd",,"VOLUME","."&amp;L$2&amp;L$1&amp;"P"&amp;$A17)*RTD("tos.rtd",,"GAMMA","."&amp;L$2&amp;L$1&amp;"P"&amp;$A17))/1000000,($A$4*$A$4*RTD("tos.rtd",,"VOLUME","."&amp;L$2&amp;L$1&amp;"C"&amp;$A17)*RTD("tos.rtd",,"GAMMA","."&amp;L$2&amp;L$1&amp;"C"&amp;$A17)-$A$4*$A$4*RTD("tos.rtd",,"VOLUME","."&amp;L$2&amp;L$1&amp;"P"&amp;$A17)*RTD("tos.rtd",,"GAMMA","."&amp;L$2&amp;L$1&amp;"P"&amp;$A17))/1000000),0),IF($A$2="GEX",IFERROR(IF($X$1="ABS",($A$4*$A$4*RTD("tos.rtd",,"OPEN_INT","."&amp;L$2&amp;L$1&amp;"C"&amp;$A17)*RTD("tos.rtd",,"GAMMA","."&amp;L$2&amp;L$1&amp;"C"&amp;$A17)+$A$4*$A$4*RTD("tos.rtd",,"OPEN_INT","."&amp;L$2&amp;L$1&amp;"P"&amp;$A17)*RTD("tos.rtd",,"GAMMA","."&amp;L$2&amp;L$1&amp;"P"&amp;$A17))/1000000,($A$4*$A$4*RTD("tos.rtd",,"OPEN_INT","."&amp;L$2&amp;L$1&amp;"C"&amp;$A17)*RTD("tos.rtd",,"GAMMA","."&amp;L$2&amp;L$1&amp;"C"&amp;$A17)-$A$4*$A$4*RTD("tos.rtd",,"OPEN_INT","."&amp;L$2&amp;L$1&amp;"P"&amp;$A17)*RTD("tos.rtd",,"GAMMA","."&amp;L$2&amp;L$1&amp;"P"&amp;$A17))/1000000),0),IF($A$2="SKEW",IFERROR(VALUE(IF(RTD("tos.rtd",,"IMPL_VOL","."&amp;L$2&amp;L$1&amp;"P"&amp;$A17)="N/A",0,RTD("tos.rtd",,"IMPL_VOL","."&amp;L$2&amp;L$1&amp;"P"&amp;$A17))),0)-IFERROR(VALUE(IF(RTD("tos.rtd",,"IMPL_VOL","."&amp;L$2&amp;L$1&amp;"C"&amp;$A17)="N/A",0,RTD("tos.rtd",,"IMPL_VOL","."&amp;L$2&amp;L$1&amp;"C"&amp;$A17))),0),IF($A$2="MAXPAIN",IF($A$4&gt;$A17,($A$4-$A17)*IF(RTD("tos.rtd",,"OPEN_INT","."&amp;L$2&amp;L$1&amp;"C"&amp;$A17)="N/A",0,RTD("tos.rtd",,"OPEN_INT","."&amp;L$2&amp;L$1&amp;"C"&amp;$A17)),0)+IF($A$4&lt;$A17,($A$5-$A$4)*IF(RTD("tos.rtd",,"OPEN_INT","."&amp;L$2&amp;L$1&amp;"P"&amp;$A17)="N/A",0,RTD("tos.rtd",,"OPEN_INT","."&amp;L$2&amp;L$1&amp;"P"&amp;$A17)),0),IF($X$1="ABS",IF(RTD("tos.rtd",,$A$2,"."&amp;L$2&amp;L$1&amp;"C"&amp;$A17)="N/A",0,RTD("tos.rtd",,$A$2,"."&amp;L$2&amp;L$1&amp;"C"&amp;$A17))+IF(RTD("tos.rtd",,$A$2,"."&amp;L$2&amp;L$1&amp;"P"&amp;$A17)="N/A",0,RTD("tos.rtd",,$A$2,"."&amp;L$2&amp;L$1&amp;"P"&amp;$A17)),IF(RTD("tos.rtd",,$A$2,"."&amp;L$2&amp;L$1&amp;"C"&amp;$A17)="N/A",0,RTD("tos.rtd",,$A$2,"."&amp;L$2&amp;L$1&amp;"C"&amp;$A17))-IF(RTD("tos.rtd",,$A$2,"."&amp;L$2&amp;L$1&amp;"P"&amp;$A17)="N/A",0,RTD("tos.rtd",,$A$2,"."&amp;L$2&amp;L$1&amp;"P"&amp;$A17))))))))))</f>
        <v>0</v>
      </c>
      <c r="M17" s="12">
        <f ca="1">IF($A$2="PREMIUM_OI",IFERROR(IF($X$1="ABS",(100*RTD("tos.rtd",,"OPEN_INT","."&amp;M$2&amp;M$1&amp;"C"&amp;$A17)*RTD("tos.rtd",,"LAST","."&amp;M$2&amp;M$1&amp;"C"&amp;$A17)+100*RTD("tos.rtd",,"OPEN_INT","."&amp;M$2&amp;M$1&amp;"P"&amp;$A17)*RTD("tos.rtd",,"LAST","."&amp;M$2&amp;M$1&amp;"P"&amp;$A17))/1000000,(100*RTD("tos.rtd",,"OPEN_INT","."&amp;M$2&amp;M$1&amp;"C"&amp;$A17)*RTD("tos.rtd",,"LAST","."&amp;M$2&amp;M$1&amp;"C"&amp;$A17)-100*RTD("tos.rtd",,"OPEN_INT","."&amp;M$2&amp;M$1&amp;"P"&amp;$A17)*RTD("tos.rtd",,"LAST","."&amp;M$2&amp;M$1&amp;"P"&amp;$A17))/1000000),0),IF($A$2="PREMIUM",IFERROR(IF($X$1="ABS",(100*RTD("tos.rtd",,"VOLUME","."&amp;M$2&amp;M$1&amp;"C"&amp;$A17)*RTD("tos.rtd",,"LAST","."&amp;M$2&amp;M$1&amp;"C"&amp;$A17)+100*RTD("tos.rtd",,"VOLUME","."&amp;M$2&amp;M$1&amp;"P"&amp;$A17)*RTD("tos.rtd",,"LAST","."&amp;M$2&amp;M$1&amp;"P"&amp;$A17))/1000000,(100*RTD("tos.rtd",,"VOLUME","."&amp;M$2&amp;M$1&amp;"C"&amp;$A17)*RTD("tos.rtd",,"LAST","."&amp;M$2&amp;M$1&amp;"C"&amp;$A17)-100*RTD("tos.rtd",,"VOLUME","."&amp;M$2&amp;M$1&amp;"P"&amp;$A17)*RTD("tos.rtd",,"LAST","."&amp;M$2&amp;M$1&amp;"P"&amp;$A17))/1000000),0),IF($A$2="DEX",IFERROR(IF($X$1="ABS",(100*RTD("tos.rtd",,"OPEN_INT","."&amp;M$2&amp;M$1&amp;"C"&amp;$A17)*RTD("tos.rtd",,"DELTA","."&amp;M$2&amp;M$1&amp;"C"&amp;$A17)+100*RTD("tos.rtd",,"OPEN_INT","."&amp;M$2&amp;M$1&amp;"P"&amp;$A17)*RTD("tos.rtd",,"DELTA","."&amp;M$2&amp;M$1&amp;"P"&amp;$A17))/1000,(100*RTD("tos.rtd",,"OPEN_INT","."&amp;M$2&amp;M$1&amp;"C"&amp;$A17)*RTD("tos.rtd",,"DELTA","."&amp;M$2&amp;M$1&amp;"C"&amp;$A17)-100*RTD("tos.rtd",,"OPEN_INT","."&amp;M$2&amp;M$1&amp;"P"&amp;$A17)*RTD("tos.rtd",,"DELTA","."&amp;M$2&amp;M$1&amp;"P"&amp;$A17))/1000),0),IF($A$2="VEX",IFERROR(IF($X$1="ABS",($A$4*$A$4*RTD("tos.rtd",,"VOLUME","."&amp;M$2&amp;M$1&amp;"C"&amp;$A17)*RTD("tos.rtd",,"GAMMA","."&amp;M$2&amp;M$1&amp;"C"&amp;$A17)+$A$4*$A$4*RTD("tos.rtd",,"VOLUME","."&amp;M$2&amp;M$1&amp;"P"&amp;$A17)*RTD("tos.rtd",,"GAMMA","."&amp;M$2&amp;M$1&amp;"P"&amp;$A17))/1000000,($A$4*$A$4*RTD("tos.rtd",,"VOLUME","."&amp;M$2&amp;M$1&amp;"C"&amp;$A17)*RTD("tos.rtd",,"GAMMA","."&amp;M$2&amp;M$1&amp;"C"&amp;$A17)-$A$4*$A$4*RTD("tos.rtd",,"VOLUME","."&amp;M$2&amp;M$1&amp;"P"&amp;$A17)*RTD("tos.rtd",,"GAMMA","."&amp;M$2&amp;M$1&amp;"P"&amp;$A17))/1000000),0),IF($A$2="GEX",IFERROR(IF($X$1="ABS",($A$4*$A$4*RTD("tos.rtd",,"OPEN_INT","."&amp;M$2&amp;M$1&amp;"C"&amp;$A17)*RTD("tos.rtd",,"GAMMA","."&amp;M$2&amp;M$1&amp;"C"&amp;$A17)+$A$4*$A$4*RTD("tos.rtd",,"OPEN_INT","."&amp;M$2&amp;M$1&amp;"P"&amp;$A17)*RTD("tos.rtd",,"GAMMA","."&amp;M$2&amp;M$1&amp;"P"&amp;$A17))/1000000,($A$4*$A$4*RTD("tos.rtd",,"OPEN_INT","."&amp;M$2&amp;M$1&amp;"C"&amp;$A17)*RTD("tos.rtd",,"GAMMA","."&amp;M$2&amp;M$1&amp;"C"&amp;$A17)-$A$4*$A$4*RTD("tos.rtd",,"OPEN_INT","."&amp;M$2&amp;M$1&amp;"P"&amp;$A17)*RTD("tos.rtd",,"GAMMA","."&amp;M$2&amp;M$1&amp;"P"&amp;$A17))/1000000),0),IF($A$2="SKEW",IFERROR(VALUE(IF(RTD("tos.rtd",,"IMPL_VOL","."&amp;M$2&amp;M$1&amp;"P"&amp;$A17)="N/A",0,RTD("tos.rtd",,"IMPL_VOL","."&amp;M$2&amp;M$1&amp;"P"&amp;$A17))),0)-IFERROR(VALUE(IF(RTD("tos.rtd",,"IMPL_VOL","."&amp;M$2&amp;M$1&amp;"C"&amp;$A17)="N/A",0,RTD("tos.rtd",,"IMPL_VOL","."&amp;M$2&amp;M$1&amp;"C"&amp;$A17))),0),IF($A$2="MAXPAIN",IF($A$4&gt;$A17,($A$4-$A17)*IF(RTD("tos.rtd",,"OPEN_INT","."&amp;M$2&amp;M$1&amp;"C"&amp;$A17)="N/A",0,RTD("tos.rtd",,"OPEN_INT","."&amp;M$2&amp;M$1&amp;"C"&amp;$A17)),0)+IF($A$4&lt;$A17,($A$5-$A$4)*IF(RTD("tos.rtd",,"OPEN_INT","."&amp;M$2&amp;M$1&amp;"P"&amp;$A17)="N/A",0,RTD("tos.rtd",,"OPEN_INT","."&amp;M$2&amp;M$1&amp;"P"&amp;$A17)),0),IF($X$1="ABS",IF(RTD("tos.rtd",,$A$2,"."&amp;M$2&amp;M$1&amp;"C"&amp;$A17)="N/A",0,RTD("tos.rtd",,$A$2,"."&amp;M$2&amp;M$1&amp;"C"&amp;$A17))+IF(RTD("tos.rtd",,$A$2,"."&amp;M$2&amp;M$1&amp;"P"&amp;$A17)="N/A",0,RTD("tos.rtd",,$A$2,"."&amp;M$2&amp;M$1&amp;"P"&amp;$A17)),IF(RTD("tos.rtd",,$A$2,"."&amp;M$2&amp;M$1&amp;"C"&amp;$A17)="N/A",0,RTD("tos.rtd",,$A$2,"."&amp;M$2&amp;M$1&amp;"C"&amp;$A17))-IF(RTD("tos.rtd",,$A$2,"."&amp;M$2&amp;M$1&amp;"P"&amp;$A17)="N/A",0,RTD("tos.rtd",,$A$2,"."&amp;M$2&amp;M$1&amp;"P"&amp;$A17))))))))))</f>
        <v>0</v>
      </c>
      <c r="N17" s="12">
        <f ca="1">IF($A$2="PREMIUM_OI",IFERROR(IF($X$1="ABS",(100*RTD("tos.rtd",,"OPEN_INT","."&amp;N$2&amp;N$1&amp;"C"&amp;$A17)*RTD("tos.rtd",,"LAST","."&amp;N$2&amp;N$1&amp;"C"&amp;$A17)+100*RTD("tos.rtd",,"OPEN_INT","."&amp;N$2&amp;N$1&amp;"P"&amp;$A17)*RTD("tos.rtd",,"LAST","."&amp;N$2&amp;N$1&amp;"P"&amp;$A17))/1000000,(100*RTD("tos.rtd",,"OPEN_INT","."&amp;N$2&amp;N$1&amp;"C"&amp;$A17)*RTD("tos.rtd",,"LAST","."&amp;N$2&amp;N$1&amp;"C"&amp;$A17)-100*RTD("tos.rtd",,"OPEN_INT","."&amp;N$2&amp;N$1&amp;"P"&amp;$A17)*RTD("tos.rtd",,"LAST","."&amp;N$2&amp;N$1&amp;"P"&amp;$A17))/1000000),0),IF($A$2="PREMIUM",IFERROR(IF($X$1="ABS",(100*RTD("tos.rtd",,"VOLUME","."&amp;N$2&amp;N$1&amp;"C"&amp;$A17)*RTD("tos.rtd",,"LAST","."&amp;N$2&amp;N$1&amp;"C"&amp;$A17)+100*RTD("tos.rtd",,"VOLUME","."&amp;N$2&amp;N$1&amp;"P"&amp;$A17)*RTD("tos.rtd",,"LAST","."&amp;N$2&amp;N$1&amp;"P"&amp;$A17))/1000000,(100*RTD("tos.rtd",,"VOLUME","."&amp;N$2&amp;N$1&amp;"C"&amp;$A17)*RTD("tos.rtd",,"LAST","."&amp;N$2&amp;N$1&amp;"C"&amp;$A17)-100*RTD("tos.rtd",,"VOLUME","."&amp;N$2&amp;N$1&amp;"P"&amp;$A17)*RTD("tos.rtd",,"LAST","."&amp;N$2&amp;N$1&amp;"P"&amp;$A17))/1000000),0),IF($A$2="DEX",IFERROR(IF($X$1="ABS",(100*RTD("tos.rtd",,"OPEN_INT","."&amp;N$2&amp;N$1&amp;"C"&amp;$A17)*RTD("tos.rtd",,"DELTA","."&amp;N$2&amp;N$1&amp;"C"&amp;$A17)+100*RTD("tos.rtd",,"OPEN_INT","."&amp;N$2&amp;N$1&amp;"P"&amp;$A17)*RTD("tos.rtd",,"DELTA","."&amp;N$2&amp;N$1&amp;"P"&amp;$A17))/1000,(100*RTD("tos.rtd",,"OPEN_INT","."&amp;N$2&amp;N$1&amp;"C"&amp;$A17)*RTD("tos.rtd",,"DELTA","."&amp;N$2&amp;N$1&amp;"C"&amp;$A17)-100*RTD("tos.rtd",,"OPEN_INT","."&amp;N$2&amp;N$1&amp;"P"&amp;$A17)*RTD("tos.rtd",,"DELTA","."&amp;N$2&amp;N$1&amp;"P"&amp;$A17))/1000),0),IF($A$2="VEX",IFERROR(IF($X$1="ABS",($A$4*$A$4*RTD("tos.rtd",,"VOLUME","."&amp;N$2&amp;N$1&amp;"C"&amp;$A17)*RTD("tos.rtd",,"GAMMA","."&amp;N$2&amp;N$1&amp;"C"&amp;$A17)+$A$4*$A$4*RTD("tos.rtd",,"VOLUME","."&amp;N$2&amp;N$1&amp;"P"&amp;$A17)*RTD("tos.rtd",,"GAMMA","."&amp;N$2&amp;N$1&amp;"P"&amp;$A17))/1000000,($A$4*$A$4*RTD("tos.rtd",,"VOLUME","."&amp;N$2&amp;N$1&amp;"C"&amp;$A17)*RTD("tos.rtd",,"GAMMA","."&amp;N$2&amp;N$1&amp;"C"&amp;$A17)-$A$4*$A$4*RTD("tos.rtd",,"VOLUME","."&amp;N$2&amp;N$1&amp;"P"&amp;$A17)*RTD("tos.rtd",,"GAMMA","."&amp;N$2&amp;N$1&amp;"P"&amp;$A17))/1000000),0),IF($A$2="GEX",IFERROR(IF($X$1="ABS",($A$4*$A$4*RTD("tos.rtd",,"OPEN_INT","."&amp;N$2&amp;N$1&amp;"C"&amp;$A17)*RTD("tos.rtd",,"GAMMA","."&amp;N$2&amp;N$1&amp;"C"&amp;$A17)+$A$4*$A$4*RTD("tos.rtd",,"OPEN_INT","."&amp;N$2&amp;N$1&amp;"P"&amp;$A17)*RTD("tos.rtd",,"GAMMA","."&amp;N$2&amp;N$1&amp;"P"&amp;$A17))/1000000,($A$4*$A$4*RTD("tos.rtd",,"OPEN_INT","."&amp;N$2&amp;N$1&amp;"C"&amp;$A17)*RTD("tos.rtd",,"GAMMA","."&amp;N$2&amp;N$1&amp;"C"&amp;$A17)-$A$4*$A$4*RTD("tos.rtd",,"OPEN_INT","."&amp;N$2&amp;N$1&amp;"P"&amp;$A17)*RTD("tos.rtd",,"GAMMA","."&amp;N$2&amp;N$1&amp;"P"&amp;$A17))/1000000),0),IF($A$2="SKEW",IFERROR(VALUE(IF(RTD("tos.rtd",,"IMPL_VOL","."&amp;N$2&amp;N$1&amp;"P"&amp;$A17)="N/A",0,RTD("tos.rtd",,"IMPL_VOL","."&amp;N$2&amp;N$1&amp;"P"&amp;$A17))),0)-IFERROR(VALUE(IF(RTD("tos.rtd",,"IMPL_VOL","."&amp;N$2&amp;N$1&amp;"C"&amp;$A17)="N/A",0,RTD("tos.rtd",,"IMPL_VOL","."&amp;N$2&amp;N$1&amp;"C"&amp;$A17))),0),IF($A$2="MAXPAIN",IF($A$4&gt;$A17,($A$4-$A17)*IF(RTD("tos.rtd",,"OPEN_INT","."&amp;N$2&amp;N$1&amp;"C"&amp;$A17)="N/A",0,RTD("tos.rtd",,"OPEN_INT","."&amp;N$2&amp;N$1&amp;"C"&amp;$A17)),0)+IF($A$4&lt;$A17,($A$5-$A$4)*IF(RTD("tos.rtd",,"OPEN_INT","."&amp;N$2&amp;N$1&amp;"P"&amp;$A17)="N/A",0,RTD("tos.rtd",,"OPEN_INT","."&amp;N$2&amp;N$1&amp;"P"&amp;$A17)),0),IF($X$1="ABS",IF(RTD("tos.rtd",,$A$2,"."&amp;N$2&amp;N$1&amp;"C"&amp;$A17)="N/A",0,RTD("tos.rtd",,$A$2,"."&amp;N$2&amp;N$1&amp;"C"&amp;$A17))+IF(RTD("tos.rtd",,$A$2,"."&amp;N$2&amp;N$1&amp;"P"&amp;$A17)="N/A",0,RTD("tos.rtd",,$A$2,"."&amp;N$2&amp;N$1&amp;"P"&amp;$A17)),IF(RTD("tos.rtd",,$A$2,"."&amp;N$2&amp;N$1&amp;"C"&amp;$A17)="N/A",0,RTD("tos.rtd",,$A$2,"."&amp;N$2&amp;N$1&amp;"C"&amp;$A17))-IF(RTD("tos.rtd",,$A$2,"."&amp;N$2&amp;N$1&amp;"P"&amp;$A17)="N/A",0,RTD("tos.rtd",,$A$2,"."&amp;N$2&amp;N$1&amp;"P"&amp;$A17))))))))))</f>
        <v>0</v>
      </c>
      <c r="O17" s="12">
        <f ca="1">IF($A$2="PREMIUM_OI",IFERROR(IF($X$1="ABS",(100*RTD("tos.rtd",,"OPEN_INT","."&amp;O$2&amp;O$1&amp;"C"&amp;$A17)*RTD("tos.rtd",,"LAST","."&amp;O$2&amp;O$1&amp;"C"&amp;$A17)+100*RTD("tos.rtd",,"OPEN_INT","."&amp;O$2&amp;O$1&amp;"P"&amp;$A17)*RTD("tos.rtd",,"LAST","."&amp;O$2&amp;O$1&amp;"P"&amp;$A17))/1000000,(100*RTD("tos.rtd",,"OPEN_INT","."&amp;O$2&amp;O$1&amp;"C"&amp;$A17)*RTD("tos.rtd",,"LAST","."&amp;O$2&amp;O$1&amp;"C"&amp;$A17)-100*RTD("tos.rtd",,"OPEN_INT","."&amp;O$2&amp;O$1&amp;"P"&amp;$A17)*RTD("tos.rtd",,"LAST","."&amp;O$2&amp;O$1&amp;"P"&amp;$A17))/1000000),0),IF($A$2="PREMIUM",IFERROR(IF($X$1="ABS",(100*RTD("tos.rtd",,"VOLUME","."&amp;O$2&amp;O$1&amp;"C"&amp;$A17)*RTD("tos.rtd",,"LAST","."&amp;O$2&amp;O$1&amp;"C"&amp;$A17)+100*RTD("tos.rtd",,"VOLUME","."&amp;O$2&amp;O$1&amp;"P"&amp;$A17)*RTD("tos.rtd",,"LAST","."&amp;O$2&amp;O$1&amp;"P"&amp;$A17))/1000000,(100*RTD("tos.rtd",,"VOLUME","."&amp;O$2&amp;O$1&amp;"C"&amp;$A17)*RTD("tos.rtd",,"LAST","."&amp;O$2&amp;O$1&amp;"C"&amp;$A17)-100*RTD("tos.rtd",,"VOLUME","."&amp;O$2&amp;O$1&amp;"P"&amp;$A17)*RTD("tos.rtd",,"LAST","."&amp;O$2&amp;O$1&amp;"P"&amp;$A17))/1000000),0),IF($A$2="DEX",IFERROR(IF($X$1="ABS",(100*RTD("tos.rtd",,"OPEN_INT","."&amp;O$2&amp;O$1&amp;"C"&amp;$A17)*RTD("tos.rtd",,"DELTA","."&amp;O$2&amp;O$1&amp;"C"&amp;$A17)+100*RTD("tos.rtd",,"OPEN_INT","."&amp;O$2&amp;O$1&amp;"P"&amp;$A17)*RTD("tos.rtd",,"DELTA","."&amp;O$2&amp;O$1&amp;"P"&amp;$A17))/1000,(100*RTD("tos.rtd",,"OPEN_INT","."&amp;O$2&amp;O$1&amp;"C"&amp;$A17)*RTD("tos.rtd",,"DELTA","."&amp;O$2&amp;O$1&amp;"C"&amp;$A17)-100*RTD("tos.rtd",,"OPEN_INT","."&amp;O$2&amp;O$1&amp;"P"&amp;$A17)*RTD("tos.rtd",,"DELTA","."&amp;O$2&amp;O$1&amp;"P"&amp;$A17))/1000),0),IF($A$2="VEX",IFERROR(IF($X$1="ABS",($A$4*$A$4*RTD("tos.rtd",,"VOLUME","."&amp;O$2&amp;O$1&amp;"C"&amp;$A17)*RTD("tos.rtd",,"GAMMA","."&amp;O$2&amp;O$1&amp;"C"&amp;$A17)+$A$4*$A$4*RTD("tos.rtd",,"VOLUME","."&amp;O$2&amp;O$1&amp;"P"&amp;$A17)*RTD("tos.rtd",,"GAMMA","."&amp;O$2&amp;O$1&amp;"P"&amp;$A17))/1000000,($A$4*$A$4*RTD("tos.rtd",,"VOLUME","."&amp;O$2&amp;O$1&amp;"C"&amp;$A17)*RTD("tos.rtd",,"GAMMA","."&amp;O$2&amp;O$1&amp;"C"&amp;$A17)-$A$4*$A$4*RTD("tos.rtd",,"VOLUME","."&amp;O$2&amp;O$1&amp;"P"&amp;$A17)*RTD("tos.rtd",,"GAMMA","."&amp;O$2&amp;O$1&amp;"P"&amp;$A17))/1000000),0),IF($A$2="GEX",IFERROR(IF($X$1="ABS",($A$4*$A$4*RTD("tos.rtd",,"OPEN_INT","."&amp;O$2&amp;O$1&amp;"C"&amp;$A17)*RTD("tos.rtd",,"GAMMA","."&amp;O$2&amp;O$1&amp;"C"&amp;$A17)+$A$4*$A$4*RTD("tos.rtd",,"OPEN_INT","."&amp;O$2&amp;O$1&amp;"P"&amp;$A17)*RTD("tos.rtd",,"GAMMA","."&amp;O$2&amp;O$1&amp;"P"&amp;$A17))/1000000,($A$4*$A$4*RTD("tos.rtd",,"OPEN_INT","."&amp;O$2&amp;O$1&amp;"C"&amp;$A17)*RTD("tos.rtd",,"GAMMA","."&amp;O$2&amp;O$1&amp;"C"&amp;$A17)-$A$4*$A$4*RTD("tos.rtd",,"OPEN_INT","."&amp;O$2&amp;O$1&amp;"P"&amp;$A17)*RTD("tos.rtd",,"GAMMA","."&amp;O$2&amp;O$1&amp;"P"&amp;$A17))/1000000),0),IF($A$2="SKEW",IFERROR(VALUE(IF(RTD("tos.rtd",,"IMPL_VOL","."&amp;O$2&amp;O$1&amp;"P"&amp;$A17)="N/A",0,RTD("tos.rtd",,"IMPL_VOL","."&amp;O$2&amp;O$1&amp;"P"&amp;$A17))),0)-IFERROR(VALUE(IF(RTD("tos.rtd",,"IMPL_VOL","."&amp;O$2&amp;O$1&amp;"C"&amp;$A17)="N/A",0,RTD("tos.rtd",,"IMPL_VOL","."&amp;O$2&amp;O$1&amp;"C"&amp;$A17))),0),IF($A$2="MAXPAIN",IF($A$4&gt;$A17,($A$4-$A17)*IF(RTD("tos.rtd",,"OPEN_INT","."&amp;O$2&amp;O$1&amp;"C"&amp;$A17)="N/A",0,RTD("tos.rtd",,"OPEN_INT","."&amp;O$2&amp;O$1&amp;"C"&amp;$A17)),0)+IF($A$4&lt;$A17,($A$5-$A$4)*IF(RTD("tos.rtd",,"OPEN_INT","."&amp;O$2&amp;O$1&amp;"P"&amp;$A17)="N/A",0,RTD("tos.rtd",,"OPEN_INT","."&amp;O$2&amp;O$1&amp;"P"&amp;$A17)),0),IF($X$1="ABS",IF(RTD("tos.rtd",,$A$2,"."&amp;O$2&amp;O$1&amp;"C"&amp;$A17)="N/A",0,RTD("tos.rtd",,$A$2,"."&amp;O$2&amp;O$1&amp;"C"&amp;$A17))+IF(RTD("tos.rtd",,$A$2,"."&amp;O$2&amp;O$1&amp;"P"&amp;$A17)="N/A",0,RTD("tos.rtd",,$A$2,"."&amp;O$2&amp;O$1&amp;"P"&amp;$A17)),IF(RTD("tos.rtd",,$A$2,"."&amp;O$2&amp;O$1&amp;"C"&amp;$A17)="N/A",0,RTD("tos.rtd",,$A$2,"."&amp;O$2&amp;O$1&amp;"C"&amp;$A17))-IF(RTD("tos.rtd",,$A$2,"."&amp;O$2&amp;O$1&amp;"P"&amp;$A17)="N/A",0,RTD("tos.rtd",,$A$2,"."&amp;O$2&amp;O$1&amp;"P"&amp;$A17))))))))))</f>
        <v>0</v>
      </c>
      <c r="P17" s="12">
        <f ca="1">IF($A$2="PREMIUM_OI",IFERROR(IF($X$1="ABS",(100*RTD("tos.rtd",,"OPEN_INT","."&amp;P$2&amp;P$1&amp;"C"&amp;$A17)*RTD("tos.rtd",,"LAST","."&amp;P$2&amp;P$1&amp;"C"&amp;$A17)+100*RTD("tos.rtd",,"OPEN_INT","."&amp;P$2&amp;P$1&amp;"P"&amp;$A17)*RTD("tos.rtd",,"LAST","."&amp;P$2&amp;P$1&amp;"P"&amp;$A17))/1000000,(100*RTD("tos.rtd",,"OPEN_INT","."&amp;P$2&amp;P$1&amp;"C"&amp;$A17)*RTD("tos.rtd",,"LAST","."&amp;P$2&amp;P$1&amp;"C"&amp;$A17)-100*RTD("tos.rtd",,"OPEN_INT","."&amp;P$2&amp;P$1&amp;"P"&amp;$A17)*RTD("tos.rtd",,"LAST","."&amp;P$2&amp;P$1&amp;"P"&amp;$A17))/1000000),0),IF($A$2="PREMIUM",IFERROR(IF($X$1="ABS",(100*RTD("tos.rtd",,"VOLUME","."&amp;P$2&amp;P$1&amp;"C"&amp;$A17)*RTD("tos.rtd",,"LAST","."&amp;P$2&amp;P$1&amp;"C"&amp;$A17)+100*RTD("tos.rtd",,"VOLUME","."&amp;P$2&amp;P$1&amp;"P"&amp;$A17)*RTD("tos.rtd",,"LAST","."&amp;P$2&amp;P$1&amp;"P"&amp;$A17))/1000000,(100*RTD("tos.rtd",,"VOLUME","."&amp;P$2&amp;P$1&amp;"C"&amp;$A17)*RTD("tos.rtd",,"LAST","."&amp;P$2&amp;P$1&amp;"C"&amp;$A17)-100*RTD("tos.rtd",,"VOLUME","."&amp;P$2&amp;P$1&amp;"P"&amp;$A17)*RTD("tos.rtd",,"LAST","."&amp;P$2&amp;P$1&amp;"P"&amp;$A17))/1000000),0),IF($A$2="DEX",IFERROR(IF($X$1="ABS",(100*RTD("tos.rtd",,"OPEN_INT","."&amp;P$2&amp;P$1&amp;"C"&amp;$A17)*RTD("tos.rtd",,"DELTA","."&amp;P$2&amp;P$1&amp;"C"&amp;$A17)+100*RTD("tos.rtd",,"OPEN_INT","."&amp;P$2&amp;P$1&amp;"P"&amp;$A17)*RTD("tos.rtd",,"DELTA","."&amp;P$2&amp;P$1&amp;"P"&amp;$A17))/1000,(100*RTD("tos.rtd",,"OPEN_INT","."&amp;P$2&amp;P$1&amp;"C"&amp;$A17)*RTD("tos.rtd",,"DELTA","."&amp;P$2&amp;P$1&amp;"C"&amp;$A17)-100*RTD("tos.rtd",,"OPEN_INT","."&amp;P$2&amp;P$1&amp;"P"&amp;$A17)*RTD("tos.rtd",,"DELTA","."&amp;P$2&amp;P$1&amp;"P"&amp;$A17))/1000),0),IF($A$2="VEX",IFERROR(IF($X$1="ABS",($A$4*$A$4*RTD("tos.rtd",,"VOLUME","."&amp;P$2&amp;P$1&amp;"C"&amp;$A17)*RTD("tos.rtd",,"GAMMA","."&amp;P$2&amp;P$1&amp;"C"&amp;$A17)+$A$4*$A$4*RTD("tos.rtd",,"VOLUME","."&amp;P$2&amp;P$1&amp;"P"&amp;$A17)*RTD("tos.rtd",,"GAMMA","."&amp;P$2&amp;P$1&amp;"P"&amp;$A17))/1000000,($A$4*$A$4*RTD("tos.rtd",,"VOLUME","."&amp;P$2&amp;P$1&amp;"C"&amp;$A17)*RTD("tos.rtd",,"GAMMA","."&amp;P$2&amp;P$1&amp;"C"&amp;$A17)-$A$4*$A$4*RTD("tos.rtd",,"VOLUME","."&amp;P$2&amp;P$1&amp;"P"&amp;$A17)*RTD("tos.rtd",,"GAMMA","."&amp;P$2&amp;P$1&amp;"P"&amp;$A17))/1000000),0),IF($A$2="GEX",IFERROR(IF($X$1="ABS",($A$4*$A$4*RTD("tos.rtd",,"OPEN_INT","."&amp;P$2&amp;P$1&amp;"C"&amp;$A17)*RTD("tos.rtd",,"GAMMA","."&amp;P$2&amp;P$1&amp;"C"&amp;$A17)+$A$4*$A$4*RTD("tos.rtd",,"OPEN_INT","."&amp;P$2&amp;P$1&amp;"P"&amp;$A17)*RTD("tos.rtd",,"GAMMA","."&amp;P$2&amp;P$1&amp;"P"&amp;$A17))/1000000,($A$4*$A$4*RTD("tos.rtd",,"OPEN_INT","."&amp;P$2&amp;P$1&amp;"C"&amp;$A17)*RTD("tos.rtd",,"GAMMA","."&amp;P$2&amp;P$1&amp;"C"&amp;$A17)-$A$4*$A$4*RTD("tos.rtd",,"OPEN_INT","."&amp;P$2&amp;P$1&amp;"P"&amp;$A17)*RTD("tos.rtd",,"GAMMA","."&amp;P$2&amp;P$1&amp;"P"&amp;$A17))/1000000),0),IF($A$2="SKEW",IFERROR(VALUE(IF(RTD("tos.rtd",,"IMPL_VOL","."&amp;P$2&amp;P$1&amp;"P"&amp;$A17)="N/A",0,RTD("tos.rtd",,"IMPL_VOL","."&amp;P$2&amp;P$1&amp;"P"&amp;$A17))),0)-IFERROR(VALUE(IF(RTD("tos.rtd",,"IMPL_VOL","."&amp;P$2&amp;P$1&amp;"C"&amp;$A17)="N/A",0,RTD("tos.rtd",,"IMPL_VOL","."&amp;P$2&amp;P$1&amp;"C"&amp;$A17))),0),IF($A$2="MAXPAIN",IF($A$4&gt;$A17,($A$4-$A17)*IF(RTD("tos.rtd",,"OPEN_INT","."&amp;P$2&amp;P$1&amp;"C"&amp;$A17)="N/A",0,RTD("tos.rtd",,"OPEN_INT","."&amp;P$2&amp;P$1&amp;"C"&amp;$A17)),0)+IF($A$4&lt;$A17,($A$5-$A$4)*IF(RTD("tos.rtd",,"OPEN_INT","."&amp;P$2&amp;P$1&amp;"P"&amp;$A17)="N/A",0,RTD("tos.rtd",,"OPEN_INT","."&amp;P$2&amp;P$1&amp;"P"&amp;$A17)),0),IF($X$1="ABS",IF(RTD("tos.rtd",,$A$2,"."&amp;P$2&amp;P$1&amp;"C"&amp;$A17)="N/A",0,RTD("tos.rtd",,$A$2,"."&amp;P$2&amp;P$1&amp;"C"&amp;$A17))+IF(RTD("tos.rtd",,$A$2,"."&amp;P$2&amp;P$1&amp;"P"&amp;$A17)="N/A",0,RTD("tos.rtd",,$A$2,"."&amp;P$2&amp;P$1&amp;"P"&amp;$A17)),IF(RTD("tos.rtd",,$A$2,"."&amp;P$2&amp;P$1&amp;"C"&amp;$A17)="N/A",0,RTD("tos.rtd",,$A$2,"."&amp;P$2&amp;P$1&amp;"C"&amp;$A17))-IF(RTD("tos.rtd",,$A$2,"."&amp;P$2&amp;P$1&amp;"P"&amp;$A17)="N/A",0,RTD("tos.rtd",,$A$2,"."&amp;P$2&amp;P$1&amp;"P"&amp;$A17))))))))))</f>
        <v>0</v>
      </c>
      <c r="Q17" s="12">
        <f ca="1">IF($A$2="PREMIUM_OI",IFERROR(IF($X$1="ABS",(100*RTD("tos.rtd",,"OPEN_INT","."&amp;Q$2&amp;Q$1&amp;"C"&amp;$A17)*RTD("tos.rtd",,"LAST","."&amp;Q$2&amp;Q$1&amp;"C"&amp;$A17)+100*RTD("tos.rtd",,"OPEN_INT","."&amp;Q$2&amp;Q$1&amp;"P"&amp;$A17)*RTD("tos.rtd",,"LAST","."&amp;Q$2&amp;Q$1&amp;"P"&amp;$A17))/1000000,(100*RTD("tos.rtd",,"OPEN_INT","."&amp;Q$2&amp;Q$1&amp;"C"&amp;$A17)*RTD("tos.rtd",,"LAST","."&amp;Q$2&amp;Q$1&amp;"C"&amp;$A17)-100*RTD("tos.rtd",,"OPEN_INT","."&amp;Q$2&amp;Q$1&amp;"P"&amp;$A17)*RTD("tos.rtd",,"LAST","."&amp;Q$2&amp;Q$1&amp;"P"&amp;$A17))/1000000),0),IF($A$2="PREMIUM",IFERROR(IF($X$1="ABS",(100*RTD("tos.rtd",,"VOLUME","."&amp;Q$2&amp;Q$1&amp;"C"&amp;$A17)*RTD("tos.rtd",,"LAST","."&amp;Q$2&amp;Q$1&amp;"C"&amp;$A17)+100*RTD("tos.rtd",,"VOLUME","."&amp;Q$2&amp;Q$1&amp;"P"&amp;$A17)*RTD("tos.rtd",,"LAST","."&amp;Q$2&amp;Q$1&amp;"P"&amp;$A17))/1000000,(100*RTD("tos.rtd",,"VOLUME","."&amp;Q$2&amp;Q$1&amp;"C"&amp;$A17)*RTD("tos.rtd",,"LAST","."&amp;Q$2&amp;Q$1&amp;"C"&amp;$A17)-100*RTD("tos.rtd",,"VOLUME","."&amp;Q$2&amp;Q$1&amp;"P"&amp;$A17)*RTD("tos.rtd",,"LAST","."&amp;Q$2&amp;Q$1&amp;"P"&amp;$A17))/1000000),0),IF($A$2="DEX",IFERROR(IF($X$1="ABS",(100*RTD("tos.rtd",,"OPEN_INT","."&amp;Q$2&amp;Q$1&amp;"C"&amp;$A17)*RTD("tos.rtd",,"DELTA","."&amp;Q$2&amp;Q$1&amp;"C"&amp;$A17)+100*RTD("tos.rtd",,"OPEN_INT","."&amp;Q$2&amp;Q$1&amp;"P"&amp;$A17)*RTD("tos.rtd",,"DELTA","."&amp;Q$2&amp;Q$1&amp;"P"&amp;$A17))/1000,(100*RTD("tos.rtd",,"OPEN_INT","."&amp;Q$2&amp;Q$1&amp;"C"&amp;$A17)*RTD("tos.rtd",,"DELTA","."&amp;Q$2&amp;Q$1&amp;"C"&amp;$A17)-100*RTD("tos.rtd",,"OPEN_INT","."&amp;Q$2&amp;Q$1&amp;"P"&amp;$A17)*RTD("tos.rtd",,"DELTA","."&amp;Q$2&amp;Q$1&amp;"P"&amp;$A17))/1000),0),IF($A$2="VEX",IFERROR(IF($X$1="ABS",($A$4*$A$4*RTD("tos.rtd",,"VOLUME","."&amp;Q$2&amp;Q$1&amp;"C"&amp;$A17)*RTD("tos.rtd",,"GAMMA","."&amp;Q$2&amp;Q$1&amp;"C"&amp;$A17)+$A$4*$A$4*RTD("tos.rtd",,"VOLUME","."&amp;Q$2&amp;Q$1&amp;"P"&amp;$A17)*RTD("tos.rtd",,"GAMMA","."&amp;Q$2&amp;Q$1&amp;"P"&amp;$A17))/1000000,($A$4*$A$4*RTD("tos.rtd",,"VOLUME","."&amp;Q$2&amp;Q$1&amp;"C"&amp;$A17)*RTD("tos.rtd",,"GAMMA","."&amp;Q$2&amp;Q$1&amp;"C"&amp;$A17)-$A$4*$A$4*RTD("tos.rtd",,"VOLUME","."&amp;Q$2&amp;Q$1&amp;"P"&amp;$A17)*RTD("tos.rtd",,"GAMMA","."&amp;Q$2&amp;Q$1&amp;"P"&amp;$A17))/1000000),0),IF($A$2="GEX",IFERROR(IF($X$1="ABS",($A$4*$A$4*RTD("tos.rtd",,"OPEN_INT","."&amp;Q$2&amp;Q$1&amp;"C"&amp;$A17)*RTD("tos.rtd",,"GAMMA","."&amp;Q$2&amp;Q$1&amp;"C"&amp;$A17)+$A$4*$A$4*RTD("tos.rtd",,"OPEN_INT","."&amp;Q$2&amp;Q$1&amp;"P"&amp;$A17)*RTD("tos.rtd",,"GAMMA","."&amp;Q$2&amp;Q$1&amp;"P"&amp;$A17))/1000000,($A$4*$A$4*RTD("tos.rtd",,"OPEN_INT","."&amp;Q$2&amp;Q$1&amp;"C"&amp;$A17)*RTD("tos.rtd",,"GAMMA","."&amp;Q$2&amp;Q$1&amp;"C"&amp;$A17)-$A$4*$A$4*RTD("tos.rtd",,"OPEN_INT","."&amp;Q$2&amp;Q$1&amp;"P"&amp;$A17)*RTD("tos.rtd",,"GAMMA","."&amp;Q$2&amp;Q$1&amp;"P"&amp;$A17))/1000000),0),IF($A$2="SKEW",IFERROR(VALUE(IF(RTD("tos.rtd",,"IMPL_VOL","."&amp;Q$2&amp;Q$1&amp;"P"&amp;$A17)="N/A",0,RTD("tos.rtd",,"IMPL_VOL","."&amp;Q$2&amp;Q$1&amp;"P"&amp;$A17))),0)-IFERROR(VALUE(IF(RTD("tos.rtd",,"IMPL_VOL","."&amp;Q$2&amp;Q$1&amp;"C"&amp;$A17)="N/A",0,RTD("tos.rtd",,"IMPL_VOL","."&amp;Q$2&amp;Q$1&amp;"C"&amp;$A17))),0),IF($A$2="MAXPAIN",IF($A$4&gt;$A17,($A$4-$A17)*IF(RTD("tos.rtd",,"OPEN_INT","."&amp;Q$2&amp;Q$1&amp;"C"&amp;$A17)="N/A",0,RTD("tos.rtd",,"OPEN_INT","."&amp;Q$2&amp;Q$1&amp;"C"&amp;$A17)),0)+IF($A$4&lt;$A17,($A$5-$A$4)*IF(RTD("tos.rtd",,"OPEN_INT","."&amp;Q$2&amp;Q$1&amp;"P"&amp;$A17)="N/A",0,RTD("tos.rtd",,"OPEN_INT","."&amp;Q$2&amp;Q$1&amp;"P"&amp;$A17)),0),IF($X$1="ABS",IF(RTD("tos.rtd",,$A$2,"."&amp;Q$2&amp;Q$1&amp;"C"&amp;$A17)="N/A",0,RTD("tos.rtd",,$A$2,"."&amp;Q$2&amp;Q$1&amp;"C"&amp;$A17))+IF(RTD("tos.rtd",,$A$2,"."&amp;Q$2&amp;Q$1&amp;"P"&amp;$A17)="N/A",0,RTD("tos.rtd",,$A$2,"."&amp;Q$2&amp;Q$1&amp;"P"&amp;$A17)),IF(RTD("tos.rtd",,$A$2,"."&amp;Q$2&amp;Q$1&amp;"C"&amp;$A17)="N/A",0,RTD("tos.rtd",,$A$2,"."&amp;Q$2&amp;Q$1&amp;"C"&amp;$A17))-IF(RTD("tos.rtd",,$A$2,"."&amp;Q$2&amp;Q$1&amp;"P"&amp;$A17)="N/A",0,RTD("tos.rtd",,$A$2,"."&amp;Q$2&amp;Q$1&amp;"P"&amp;$A17))))))))))</f>
        <v>0</v>
      </c>
      <c r="R17" s="12">
        <f ca="1">IF($A$2="PREMIUM_OI",IFERROR(IF($X$1="ABS",(100*RTD("tos.rtd",,"OPEN_INT","."&amp;R$2&amp;R$1&amp;"C"&amp;$A17)*RTD("tos.rtd",,"LAST","."&amp;R$2&amp;R$1&amp;"C"&amp;$A17)+100*RTD("tos.rtd",,"OPEN_INT","."&amp;R$2&amp;R$1&amp;"P"&amp;$A17)*RTD("tos.rtd",,"LAST","."&amp;R$2&amp;R$1&amp;"P"&amp;$A17))/1000000,(100*RTD("tos.rtd",,"OPEN_INT","."&amp;R$2&amp;R$1&amp;"C"&amp;$A17)*RTD("tos.rtd",,"LAST","."&amp;R$2&amp;R$1&amp;"C"&amp;$A17)-100*RTD("tos.rtd",,"OPEN_INT","."&amp;R$2&amp;R$1&amp;"P"&amp;$A17)*RTD("tos.rtd",,"LAST","."&amp;R$2&amp;R$1&amp;"P"&amp;$A17))/1000000),0),IF($A$2="PREMIUM",IFERROR(IF($X$1="ABS",(100*RTD("tos.rtd",,"VOLUME","."&amp;R$2&amp;R$1&amp;"C"&amp;$A17)*RTD("tos.rtd",,"LAST","."&amp;R$2&amp;R$1&amp;"C"&amp;$A17)+100*RTD("tos.rtd",,"VOLUME","."&amp;R$2&amp;R$1&amp;"P"&amp;$A17)*RTD("tos.rtd",,"LAST","."&amp;R$2&amp;R$1&amp;"P"&amp;$A17))/1000000,(100*RTD("tos.rtd",,"VOLUME","."&amp;R$2&amp;R$1&amp;"C"&amp;$A17)*RTD("tos.rtd",,"LAST","."&amp;R$2&amp;R$1&amp;"C"&amp;$A17)-100*RTD("tos.rtd",,"VOLUME","."&amp;R$2&amp;R$1&amp;"P"&amp;$A17)*RTD("tos.rtd",,"LAST","."&amp;R$2&amp;R$1&amp;"P"&amp;$A17))/1000000),0),IF($A$2="DEX",IFERROR(IF($X$1="ABS",(100*RTD("tos.rtd",,"OPEN_INT","."&amp;R$2&amp;R$1&amp;"C"&amp;$A17)*RTD("tos.rtd",,"DELTA","."&amp;R$2&amp;R$1&amp;"C"&amp;$A17)+100*RTD("tos.rtd",,"OPEN_INT","."&amp;R$2&amp;R$1&amp;"P"&amp;$A17)*RTD("tos.rtd",,"DELTA","."&amp;R$2&amp;R$1&amp;"P"&amp;$A17))/1000,(100*RTD("tos.rtd",,"OPEN_INT","."&amp;R$2&amp;R$1&amp;"C"&amp;$A17)*RTD("tos.rtd",,"DELTA","."&amp;R$2&amp;R$1&amp;"C"&amp;$A17)-100*RTD("tos.rtd",,"OPEN_INT","."&amp;R$2&amp;R$1&amp;"P"&amp;$A17)*RTD("tos.rtd",,"DELTA","."&amp;R$2&amp;R$1&amp;"P"&amp;$A17))/1000),0),IF($A$2="VEX",IFERROR(IF($X$1="ABS",($A$4*$A$4*RTD("tos.rtd",,"VOLUME","."&amp;R$2&amp;R$1&amp;"C"&amp;$A17)*RTD("tos.rtd",,"GAMMA","."&amp;R$2&amp;R$1&amp;"C"&amp;$A17)+$A$4*$A$4*RTD("tos.rtd",,"VOLUME","."&amp;R$2&amp;R$1&amp;"P"&amp;$A17)*RTD("tos.rtd",,"GAMMA","."&amp;R$2&amp;R$1&amp;"P"&amp;$A17))/1000000,($A$4*$A$4*RTD("tos.rtd",,"VOLUME","."&amp;R$2&amp;R$1&amp;"C"&amp;$A17)*RTD("tos.rtd",,"GAMMA","."&amp;R$2&amp;R$1&amp;"C"&amp;$A17)-$A$4*$A$4*RTD("tos.rtd",,"VOLUME","."&amp;R$2&amp;R$1&amp;"P"&amp;$A17)*RTD("tos.rtd",,"GAMMA","."&amp;R$2&amp;R$1&amp;"P"&amp;$A17))/1000000),0),IF($A$2="GEX",IFERROR(IF($X$1="ABS",($A$4*$A$4*RTD("tos.rtd",,"OPEN_INT","."&amp;R$2&amp;R$1&amp;"C"&amp;$A17)*RTD("tos.rtd",,"GAMMA","."&amp;R$2&amp;R$1&amp;"C"&amp;$A17)+$A$4*$A$4*RTD("tos.rtd",,"OPEN_INT","."&amp;R$2&amp;R$1&amp;"P"&amp;$A17)*RTD("tos.rtd",,"GAMMA","."&amp;R$2&amp;R$1&amp;"P"&amp;$A17))/1000000,($A$4*$A$4*RTD("tos.rtd",,"OPEN_INT","."&amp;R$2&amp;R$1&amp;"C"&amp;$A17)*RTD("tos.rtd",,"GAMMA","."&amp;R$2&amp;R$1&amp;"C"&amp;$A17)-$A$4*$A$4*RTD("tos.rtd",,"OPEN_INT","."&amp;R$2&amp;R$1&amp;"P"&amp;$A17)*RTD("tos.rtd",,"GAMMA","."&amp;R$2&amp;R$1&amp;"P"&amp;$A17))/1000000),0),IF($A$2="SKEW",IFERROR(VALUE(IF(RTD("tos.rtd",,"IMPL_VOL","."&amp;R$2&amp;R$1&amp;"P"&amp;$A17)="N/A",0,RTD("tos.rtd",,"IMPL_VOL","."&amp;R$2&amp;R$1&amp;"P"&amp;$A17))),0)-IFERROR(VALUE(IF(RTD("tos.rtd",,"IMPL_VOL","."&amp;R$2&amp;R$1&amp;"C"&amp;$A17)="N/A",0,RTD("tos.rtd",,"IMPL_VOL","."&amp;R$2&amp;R$1&amp;"C"&amp;$A17))),0),IF($A$2="MAXPAIN",IF($A$4&gt;$A17,($A$4-$A17)*IF(RTD("tos.rtd",,"OPEN_INT","."&amp;R$2&amp;R$1&amp;"C"&amp;$A17)="N/A",0,RTD("tos.rtd",,"OPEN_INT","."&amp;R$2&amp;R$1&amp;"C"&amp;$A17)),0)+IF($A$4&lt;$A17,($A$5-$A$4)*IF(RTD("tos.rtd",,"OPEN_INT","."&amp;R$2&amp;R$1&amp;"P"&amp;$A17)="N/A",0,RTD("tos.rtd",,"OPEN_INT","."&amp;R$2&amp;R$1&amp;"P"&amp;$A17)),0),IF($X$1="ABS",IF(RTD("tos.rtd",,$A$2,"."&amp;R$2&amp;R$1&amp;"C"&amp;$A17)="N/A",0,RTD("tos.rtd",,$A$2,"."&amp;R$2&amp;R$1&amp;"C"&amp;$A17))+IF(RTD("tos.rtd",,$A$2,"."&amp;R$2&amp;R$1&amp;"P"&amp;$A17)="N/A",0,RTD("tos.rtd",,$A$2,"."&amp;R$2&amp;R$1&amp;"P"&amp;$A17)),IF(RTD("tos.rtd",,$A$2,"."&amp;R$2&amp;R$1&amp;"C"&amp;$A17)="N/A",0,RTD("tos.rtd",,$A$2,"."&amp;R$2&amp;R$1&amp;"C"&amp;$A17))-IF(RTD("tos.rtd",,$A$2,"."&amp;R$2&amp;R$1&amp;"P"&amp;$A17)="N/A",0,RTD("tos.rtd",,$A$2,"."&amp;R$2&amp;R$1&amp;"P"&amp;$A17))))))))))</f>
        <v>0</v>
      </c>
      <c r="S17" s="12">
        <f ca="1">IF($A$2="PREMIUM_OI",IFERROR(IF($X$1="ABS",(100*RTD("tos.rtd",,"OPEN_INT","."&amp;S$2&amp;S$1&amp;"C"&amp;$A17)*RTD("tos.rtd",,"LAST","."&amp;S$2&amp;S$1&amp;"C"&amp;$A17)+100*RTD("tos.rtd",,"OPEN_INT","."&amp;S$2&amp;S$1&amp;"P"&amp;$A17)*RTD("tos.rtd",,"LAST","."&amp;S$2&amp;S$1&amp;"P"&amp;$A17))/1000000,(100*RTD("tos.rtd",,"OPEN_INT","."&amp;S$2&amp;S$1&amp;"C"&amp;$A17)*RTD("tos.rtd",,"LAST","."&amp;S$2&amp;S$1&amp;"C"&amp;$A17)-100*RTD("tos.rtd",,"OPEN_INT","."&amp;S$2&amp;S$1&amp;"P"&amp;$A17)*RTD("tos.rtd",,"LAST","."&amp;S$2&amp;S$1&amp;"P"&amp;$A17))/1000000),0),IF($A$2="PREMIUM",IFERROR(IF($X$1="ABS",(100*RTD("tos.rtd",,"VOLUME","."&amp;S$2&amp;S$1&amp;"C"&amp;$A17)*RTD("tos.rtd",,"LAST","."&amp;S$2&amp;S$1&amp;"C"&amp;$A17)+100*RTD("tos.rtd",,"VOLUME","."&amp;S$2&amp;S$1&amp;"P"&amp;$A17)*RTD("tos.rtd",,"LAST","."&amp;S$2&amp;S$1&amp;"P"&amp;$A17))/1000000,(100*RTD("tos.rtd",,"VOLUME","."&amp;S$2&amp;S$1&amp;"C"&amp;$A17)*RTD("tos.rtd",,"LAST","."&amp;S$2&amp;S$1&amp;"C"&amp;$A17)-100*RTD("tos.rtd",,"VOLUME","."&amp;S$2&amp;S$1&amp;"P"&amp;$A17)*RTD("tos.rtd",,"LAST","."&amp;S$2&amp;S$1&amp;"P"&amp;$A17))/1000000),0),IF($A$2="DEX",IFERROR(IF($X$1="ABS",(100*RTD("tos.rtd",,"OPEN_INT","."&amp;S$2&amp;S$1&amp;"C"&amp;$A17)*RTD("tos.rtd",,"DELTA","."&amp;S$2&amp;S$1&amp;"C"&amp;$A17)+100*RTD("tos.rtd",,"OPEN_INT","."&amp;S$2&amp;S$1&amp;"P"&amp;$A17)*RTD("tos.rtd",,"DELTA","."&amp;S$2&amp;S$1&amp;"P"&amp;$A17))/1000,(100*RTD("tos.rtd",,"OPEN_INT","."&amp;S$2&amp;S$1&amp;"C"&amp;$A17)*RTD("tos.rtd",,"DELTA","."&amp;S$2&amp;S$1&amp;"C"&amp;$A17)-100*RTD("tos.rtd",,"OPEN_INT","."&amp;S$2&amp;S$1&amp;"P"&amp;$A17)*RTD("tos.rtd",,"DELTA","."&amp;S$2&amp;S$1&amp;"P"&amp;$A17))/1000),0),IF($A$2="VEX",IFERROR(IF($X$1="ABS",($A$4*$A$4*RTD("tos.rtd",,"VOLUME","."&amp;S$2&amp;S$1&amp;"C"&amp;$A17)*RTD("tos.rtd",,"GAMMA","."&amp;S$2&amp;S$1&amp;"C"&amp;$A17)+$A$4*$A$4*RTD("tos.rtd",,"VOLUME","."&amp;S$2&amp;S$1&amp;"P"&amp;$A17)*RTD("tos.rtd",,"GAMMA","."&amp;S$2&amp;S$1&amp;"P"&amp;$A17))/1000000,($A$4*$A$4*RTD("tos.rtd",,"VOLUME","."&amp;S$2&amp;S$1&amp;"C"&amp;$A17)*RTD("tos.rtd",,"GAMMA","."&amp;S$2&amp;S$1&amp;"C"&amp;$A17)-$A$4*$A$4*RTD("tos.rtd",,"VOLUME","."&amp;S$2&amp;S$1&amp;"P"&amp;$A17)*RTD("tos.rtd",,"GAMMA","."&amp;S$2&amp;S$1&amp;"P"&amp;$A17))/1000000),0),IF($A$2="GEX",IFERROR(IF($X$1="ABS",($A$4*$A$4*RTD("tos.rtd",,"OPEN_INT","."&amp;S$2&amp;S$1&amp;"C"&amp;$A17)*RTD("tos.rtd",,"GAMMA","."&amp;S$2&amp;S$1&amp;"C"&amp;$A17)+$A$4*$A$4*RTD("tos.rtd",,"OPEN_INT","."&amp;S$2&amp;S$1&amp;"P"&amp;$A17)*RTD("tos.rtd",,"GAMMA","."&amp;S$2&amp;S$1&amp;"P"&amp;$A17))/1000000,($A$4*$A$4*RTD("tos.rtd",,"OPEN_INT","."&amp;S$2&amp;S$1&amp;"C"&amp;$A17)*RTD("tos.rtd",,"GAMMA","."&amp;S$2&amp;S$1&amp;"C"&amp;$A17)-$A$4*$A$4*RTD("tos.rtd",,"OPEN_INT","."&amp;S$2&amp;S$1&amp;"P"&amp;$A17)*RTD("tos.rtd",,"GAMMA","."&amp;S$2&amp;S$1&amp;"P"&amp;$A17))/1000000),0),IF($A$2="SKEW",IFERROR(VALUE(IF(RTD("tos.rtd",,"IMPL_VOL","."&amp;S$2&amp;S$1&amp;"P"&amp;$A17)="N/A",0,RTD("tos.rtd",,"IMPL_VOL","."&amp;S$2&amp;S$1&amp;"P"&amp;$A17))),0)-IFERROR(VALUE(IF(RTD("tos.rtd",,"IMPL_VOL","."&amp;S$2&amp;S$1&amp;"C"&amp;$A17)="N/A",0,RTD("tos.rtd",,"IMPL_VOL","."&amp;S$2&amp;S$1&amp;"C"&amp;$A17))),0),IF($A$2="MAXPAIN",IF($A$4&gt;$A17,($A$4-$A17)*IF(RTD("tos.rtd",,"OPEN_INT","."&amp;S$2&amp;S$1&amp;"C"&amp;$A17)="N/A",0,RTD("tos.rtd",,"OPEN_INT","."&amp;S$2&amp;S$1&amp;"C"&amp;$A17)),0)+IF($A$4&lt;$A17,($A$5-$A$4)*IF(RTD("tos.rtd",,"OPEN_INT","."&amp;S$2&amp;S$1&amp;"P"&amp;$A17)="N/A",0,RTD("tos.rtd",,"OPEN_INT","."&amp;S$2&amp;S$1&amp;"P"&amp;$A17)),0),IF($X$1="ABS",IF(RTD("tos.rtd",,$A$2,"."&amp;S$2&amp;S$1&amp;"C"&amp;$A17)="N/A",0,RTD("tos.rtd",,$A$2,"."&amp;S$2&amp;S$1&amp;"C"&amp;$A17))+IF(RTD("tos.rtd",,$A$2,"."&amp;S$2&amp;S$1&amp;"P"&amp;$A17)="N/A",0,RTD("tos.rtd",,$A$2,"."&amp;S$2&amp;S$1&amp;"P"&amp;$A17)),IF(RTD("tos.rtd",,$A$2,"."&amp;S$2&amp;S$1&amp;"C"&amp;$A17)="N/A",0,RTD("tos.rtd",,$A$2,"."&amp;S$2&amp;S$1&amp;"C"&amp;$A17))-IF(RTD("tos.rtd",,$A$2,"."&amp;S$2&amp;S$1&amp;"P"&amp;$A17)="N/A",0,RTD("tos.rtd",,$A$2,"."&amp;S$2&amp;S$1&amp;"P"&amp;$A17))))))))))</f>
        <v>0</v>
      </c>
      <c r="T17" s="12">
        <f ca="1">IF($A$2="PREMIUM_OI",IFERROR(IF($X$1="ABS",(100*RTD("tos.rtd",,"OPEN_INT","."&amp;T$2&amp;T$1&amp;"C"&amp;$A17)*RTD("tos.rtd",,"LAST","."&amp;T$2&amp;T$1&amp;"C"&amp;$A17)+100*RTD("tos.rtd",,"OPEN_INT","."&amp;T$2&amp;T$1&amp;"P"&amp;$A17)*RTD("tos.rtd",,"LAST","."&amp;T$2&amp;T$1&amp;"P"&amp;$A17))/1000000,(100*RTD("tos.rtd",,"OPEN_INT","."&amp;T$2&amp;T$1&amp;"C"&amp;$A17)*RTD("tos.rtd",,"LAST","."&amp;T$2&amp;T$1&amp;"C"&amp;$A17)-100*RTD("tos.rtd",,"OPEN_INT","."&amp;T$2&amp;T$1&amp;"P"&amp;$A17)*RTD("tos.rtd",,"LAST","."&amp;T$2&amp;T$1&amp;"P"&amp;$A17))/1000000),0),IF($A$2="PREMIUM",IFERROR(IF($X$1="ABS",(100*RTD("tos.rtd",,"VOLUME","."&amp;T$2&amp;T$1&amp;"C"&amp;$A17)*RTD("tos.rtd",,"LAST","."&amp;T$2&amp;T$1&amp;"C"&amp;$A17)+100*RTD("tos.rtd",,"VOLUME","."&amp;T$2&amp;T$1&amp;"P"&amp;$A17)*RTD("tos.rtd",,"LAST","."&amp;T$2&amp;T$1&amp;"P"&amp;$A17))/1000000,(100*RTD("tos.rtd",,"VOLUME","."&amp;T$2&amp;T$1&amp;"C"&amp;$A17)*RTD("tos.rtd",,"LAST","."&amp;T$2&amp;T$1&amp;"C"&amp;$A17)-100*RTD("tos.rtd",,"VOLUME","."&amp;T$2&amp;T$1&amp;"P"&amp;$A17)*RTD("tos.rtd",,"LAST","."&amp;T$2&amp;T$1&amp;"P"&amp;$A17))/1000000),0),IF($A$2="DEX",IFERROR(IF($X$1="ABS",(100*RTD("tos.rtd",,"OPEN_INT","."&amp;T$2&amp;T$1&amp;"C"&amp;$A17)*RTD("tos.rtd",,"DELTA","."&amp;T$2&amp;T$1&amp;"C"&amp;$A17)+100*RTD("tos.rtd",,"OPEN_INT","."&amp;T$2&amp;T$1&amp;"P"&amp;$A17)*RTD("tos.rtd",,"DELTA","."&amp;T$2&amp;T$1&amp;"P"&amp;$A17))/1000,(100*RTD("tos.rtd",,"OPEN_INT","."&amp;T$2&amp;T$1&amp;"C"&amp;$A17)*RTD("tos.rtd",,"DELTA","."&amp;T$2&amp;T$1&amp;"C"&amp;$A17)-100*RTD("tos.rtd",,"OPEN_INT","."&amp;T$2&amp;T$1&amp;"P"&amp;$A17)*RTD("tos.rtd",,"DELTA","."&amp;T$2&amp;T$1&amp;"P"&amp;$A17))/1000),0),IF($A$2="VEX",IFERROR(IF($X$1="ABS",($A$4*$A$4*RTD("tos.rtd",,"VOLUME","."&amp;T$2&amp;T$1&amp;"C"&amp;$A17)*RTD("tos.rtd",,"GAMMA","."&amp;T$2&amp;T$1&amp;"C"&amp;$A17)+$A$4*$A$4*RTD("tos.rtd",,"VOLUME","."&amp;T$2&amp;T$1&amp;"P"&amp;$A17)*RTD("tos.rtd",,"GAMMA","."&amp;T$2&amp;T$1&amp;"P"&amp;$A17))/1000000,($A$4*$A$4*RTD("tos.rtd",,"VOLUME","."&amp;T$2&amp;T$1&amp;"C"&amp;$A17)*RTD("tos.rtd",,"GAMMA","."&amp;T$2&amp;T$1&amp;"C"&amp;$A17)-$A$4*$A$4*RTD("tos.rtd",,"VOLUME","."&amp;T$2&amp;T$1&amp;"P"&amp;$A17)*RTD("tos.rtd",,"GAMMA","."&amp;T$2&amp;T$1&amp;"P"&amp;$A17))/1000000),0),IF($A$2="GEX",IFERROR(IF($X$1="ABS",($A$4*$A$4*RTD("tos.rtd",,"OPEN_INT","."&amp;T$2&amp;T$1&amp;"C"&amp;$A17)*RTD("tos.rtd",,"GAMMA","."&amp;T$2&amp;T$1&amp;"C"&amp;$A17)+$A$4*$A$4*RTD("tos.rtd",,"OPEN_INT","."&amp;T$2&amp;T$1&amp;"P"&amp;$A17)*RTD("tos.rtd",,"GAMMA","."&amp;T$2&amp;T$1&amp;"P"&amp;$A17))/1000000,($A$4*$A$4*RTD("tos.rtd",,"OPEN_INT","."&amp;T$2&amp;T$1&amp;"C"&amp;$A17)*RTD("tos.rtd",,"GAMMA","."&amp;T$2&amp;T$1&amp;"C"&amp;$A17)-$A$4*$A$4*RTD("tos.rtd",,"OPEN_INT","."&amp;T$2&amp;T$1&amp;"P"&amp;$A17)*RTD("tos.rtd",,"GAMMA","."&amp;T$2&amp;T$1&amp;"P"&amp;$A17))/1000000),0),IF($A$2="SKEW",IFERROR(VALUE(IF(RTD("tos.rtd",,"IMPL_VOL","."&amp;T$2&amp;T$1&amp;"P"&amp;$A17)="N/A",0,RTD("tos.rtd",,"IMPL_VOL","."&amp;T$2&amp;T$1&amp;"P"&amp;$A17))),0)-IFERROR(VALUE(IF(RTD("tos.rtd",,"IMPL_VOL","."&amp;T$2&amp;T$1&amp;"C"&amp;$A17)="N/A",0,RTD("tos.rtd",,"IMPL_VOL","."&amp;T$2&amp;T$1&amp;"C"&amp;$A17))),0),IF($A$2="MAXPAIN",IF($A$4&gt;$A17,($A$4-$A17)*IF(RTD("tos.rtd",,"OPEN_INT","."&amp;T$2&amp;T$1&amp;"C"&amp;$A17)="N/A",0,RTD("tos.rtd",,"OPEN_INT","."&amp;T$2&amp;T$1&amp;"C"&amp;$A17)),0)+IF($A$4&lt;$A17,($A$5-$A$4)*IF(RTD("tos.rtd",,"OPEN_INT","."&amp;T$2&amp;T$1&amp;"P"&amp;$A17)="N/A",0,RTD("tos.rtd",,"OPEN_INT","."&amp;T$2&amp;T$1&amp;"P"&amp;$A17)),0),IF($X$1="ABS",IF(RTD("tos.rtd",,$A$2,"."&amp;T$2&amp;T$1&amp;"C"&amp;$A17)="N/A",0,RTD("tos.rtd",,$A$2,"."&amp;T$2&amp;T$1&amp;"C"&amp;$A17))+IF(RTD("tos.rtd",,$A$2,"."&amp;T$2&amp;T$1&amp;"P"&amp;$A17)="N/A",0,RTD("tos.rtd",,$A$2,"."&amp;T$2&amp;T$1&amp;"P"&amp;$A17)),IF(RTD("tos.rtd",,$A$2,"."&amp;T$2&amp;T$1&amp;"C"&amp;$A17)="N/A",0,RTD("tos.rtd",,$A$2,"."&amp;T$2&amp;T$1&amp;"C"&amp;$A17))-IF(RTD("tos.rtd",,$A$2,"."&amp;T$2&amp;T$1&amp;"P"&amp;$A17)="N/A",0,RTD("tos.rtd",,$A$2,"."&amp;T$2&amp;T$1&amp;"P"&amp;$A17))))))))))</f>
        <v>0</v>
      </c>
      <c r="U17" s="12">
        <f ca="1">IF($A$2="PREMIUM_OI",IFERROR(IF($X$1="ABS",(100*RTD("tos.rtd",,"OPEN_INT","."&amp;U$2&amp;U$1&amp;"C"&amp;$A17)*RTD("tos.rtd",,"LAST","."&amp;U$2&amp;U$1&amp;"C"&amp;$A17)+100*RTD("tos.rtd",,"OPEN_INT","."&amp;U$2&amp;U$1&amp;"P"&amp;$A17)*RTD("tos.rtd",,"LAST","."&amp;U$2&amp;U$1&amp;"P"&amp;$A17))/1000000,(100*RTD("tos.rtd",,"OPEN_INT","."&amp;U$2&amp;U$1&amp;"C"&amp;$A17)*RTD("tos.rtd",,"LAST","."&amp;U$2&amp;U$1&amp;"C"&amp;$A17)-100*RTD("tos.rtd",,"OPEN_INT","."&amp;U$2&amp;U$1&amp;"P"&amp;$A17)*RTD("tos.rtd",,"LAST","."&amp;U$2&amp;U$1&amp;"P"&amp;$A17))/1000000),0),IF($A$2="PREMIUM",IFERROR(IF($X$1="ABS",(100*RTD("tos.rtd",,"VOLUME","."&amp;U$2&amp;U$1&amp;"C"&amp;$A17)*RTD("tos.rtd",,"LAST","."&amp;U$2&amp;U$1&amp;"C"&amp;$A17)+100*RTD("tos.rtd",,"VOLUME","."&amp;U$2&amp;U$1&amp;"P"&amp;$A17)*RTD("tos.rtd",,"LAST","."&amp;U$2&amp;U$1&amp;"P"&amp;$A17))/1000000,(100*RTD("tos.rtd",,"VOLUME","."&amp;U$2&amp;U$1&amp;"C"&amp;$A17)*RTD("tos.rtd",,"LAST","."&amp;U$2&amp;U$1&amp;"C"&amp;$A17)-100*RTD("tos.rtd",,"VOLUME","."&amp;U$2&amp;U$1&amp;"P"&amp;$A17)*RTD("tos.rtd",,"LAST","."&amp;U$2&amp;U$1&amp;"P"&amp;$A17))/1000000),0),IF($A$2="DEX",IFERROR(IF($X$1="ABS",(100*RTD("tos.rtd",,"OPEN_INT","."&amp;U$2&amp;U$1&amp;"C"&amp;$A17)*RTD("tos.rtd",,"DELTA","."&amp;U$2&amp;U$1&amp;"C"&amp;$A17)+100*RTD("tos.rtd",,"OPEN_INT","."&amp;U$2&amp;U$1&amp;"P"&amp;$A17)*RTD("tos.rtd",,"DELTA","."&amp;U$2&amp;U$1&amp;"P"&amp;$A17))/1000,(100*RTD("tos.rtd",,"OPEN_INT","."&amp;U$2&amp;U$1&amp;"C"&amp;$A17)*RTD("tos.rtd",,"DELTA","."&amp;U$2&amp;U$1&amp;"C"&amp;$A17)-100*RTD("tos.rtd",,"OPEN_INT","."&amp;U$2&amp;U$1&amp;"P"&amp;$A17)*RTD("tos.rtd",,"DELTA","."&amp;U$2&amp;U$1&amp;"P"&amp;$A17))/1000),0),IF($A$2="VEX",IFERROR(IF($X$1="ABS",($A$4*$A$4*RTD("tos.rtd",,"VOLUME","."&amp;U$2&amp;U$1&amp;"C"&amp;$A17)*RTD("tos.rtd",,"GAMMA","."&amp;U$2&amp;U$1&amp;"C"&amp;$A17)+$A$4*$A$4*RTD("tos.rtd",,"VOLUME","."&amp;U$2&amp;U$1&amp;"P"&amp;$A17)*RTD("tos.rtd",,"GAMMA","."&amp;U$2&amp;U$1&amp;"P"&amp;$A17))/1000000,($A$4*$A$4*RTD("tos.rtd",,"VOLUME","."&amp;U$2&amp;U$1&amp;"C"&amp;$A17)*RTD("tos.rtd",,"GAMMA","."&amp;U$2&amp;U$1&amp;"C"&amp;$A17)-$A$4*$A$4*RTD("tos.rtd",,"VOLUME","."&amp;U$2&amp;U$1&amp;"P"&amp;$A17)*RTD("tos.rtd",,"GAMMA","."&amp;U$2&amp;U$1&amp;"P"&amp;$A17))/1000000),0),IF($A$2="GEX",IFERROR(IF($X$1="ABS",($A$4*$A$4*RTD("tos.rtd",,"OPEN_INT","."&amp;U$2&amp;U$1&amp;"C"&amp;$A17)*RTD("tos.rtd",,"GAMMA","."&amp;U$2&amp;U$1&amp;"C"&amp;$A17)+$A$4*$A$4*RTD("tos.rtd",,"OPEN_INT","."&amp;U$2&amp;U$1&amp;"P"&amp;$A17)*RTD("tos.rtd",,"GAMMA","."&amp;U$2&amp;U$1&amp;"P"&amp;$A17))/1000000,($A$4*$A$4*RTD("tos.rtd",,"OPEN_INT","."&amp;U$2&amp;U$1&amp;"C"&amp;$A17)*RTD("tos.rtd",,"GAMMA","."&amp;U$2&amp;U$1&amp;"C"&amp;$A17)-$A$4*$A$4*RTD("tos.rtd",,"OPEN_INT","."&amp;U$2&amp;U$1&amp;"P"&amp;$A17)*RTD("tos.rtd",,"GAMMA","."&amp;U$2&amp;U$1&amp;"P"&amp;$A17))/1000000),0),IF($A$2="SKEW",IFERROR(VALUE(IF(RTD("tos.rtd",,"IMPL_VOL","."&amp;U$2&amp;U$1&amp;"P"&amp;$A17)="N/A",0,RTD("tos.rtd",,"IMPL_VOL","."&amp;U$2&amp;U$1&amp;"P"&amp;$A17))),0)-IFERROR(VALUE(IF(RTD("tos.rtd",,"IMPL_VOL","."&amp;U$2&amp;U$1&amp;"C"&amp;$A17)="N/A",0,RTD("tos.rtd",,"IMPL_VOL","."&amp;U$2&amp;U$1&amp;"C"&amp;$A17))),0),IF($A$2="MAXPAIN",IF($A$4&gt;$A17,($A$4-$A17)*IF(RTD("tos.rtd",,"OPEN_INT","."&amp;U$2&amp;U$1&amp;"C"&amp;$A17)="N/A",0,RTD("tos.rtd",,"OPEN_INT","."&amp;U$2&amp;U$1&amp;"C"&amp;$A17)),0)+IF($A$4&lt;$A17,($A$5-$A$4)*IF(RTD("tos.rtd",,"OPEN_INT","."&amp;U$2&amp;U$1&amp;"P"&amp;$A17)="N/A",0,RTD("tos.rtd",,"OPEN_INT","."&amp;U$2&amp;U$1&amp;"P"&amp;$A17)),0),IF($X$1="ABS",IF(RTD("tos.rtd",,$A$2,"."&amp;U$2&amp;U$1&amp;"C"&amp;$A17)="N/A",0,RTD("tos.rtd",,$A$2,"."&amp;U$2&amp;U$1&amp;"C"&amp;$A17))+IF(RTD("tos.rtd",,$A$2,"."&amp;U$2&amp;U$1&amp;"P"&amp;$A17)="N/A",0,RTD("tos.rtd",,$A$2,"."&amp;U$2&amp;U$1&amp;"P"&amp;$A17)),IF(RTD("tos.rtd",,$A$2,"."&amp;U$2&amp;U$1&amp;"C"&amp;$A17)="N/A",0,RTD("tos.rtd",,$A$2,"."&amp;U$2&amp;U$1&amp;"C"&amp;$A17))-IF(RTD("tos.rtd",,$A$2,"."&amp;U$2&amp;U$1&amp;"P"&amp;$A17)="N/A",0,RTD("tos.rtd",,$A$2,"."&amp;U$2&amp;U$1&amp;"P"&amp;$A17))))))))))</f>
        <v>0</v>
      </c>
      <c r="V17" s="12">
        <f ca="1">IF($A$2="PREMIUM_OI",IFERROR(IF($X$1="ABS",(100*RTD("tos.rtd",,"OPEN_INT","."&amp;V$2&amp;V$1&amp;"C"&amp;$A17)*RTD("tos.rtd",,"LAST","."&amp;V$2&amp;V$1&amp;"C"&amp;$A17)+100*RTD("tos.rtd",,"OPEN_INT","."&amp;V$2&amp;V$1&amp;"P"&amp;$A17)*RTD("tos.rtd",,"LAST","."&amp;V$2&amp;V$1&amp;"P"&amp;$A17))/1000000,(100*RTD("tos.rtd",,"OPEN_INT","."&amp;V$2&amp;V$1&amp;"C"&amp;$A17)*RTD("tos.rtd",,"LAST","."&amp;V$2&amp;V$1&amp;"C"&amp;$A17)-100*RTD("tos.rtd",,"OPEN_INT","."&amp;V$2&amp;V$1&amp;"P"&amp;$A17)*RTD("tos.rtd",,"LAST","."&amp;V$2&amp;V$1&amp;"P"&amp;$A17))/1000000),0),IF($A$2="PREMIUM",IFERROR(IF($X$1="ABS",(100*RTD("tos.rtd",,"VOLUME","."&amp;V$2&amp;V$1&amp;"C"&amp;$A17)*RTD("tos.rtd",,"LAST","."&amp;V$2&amp;V$1&amp;"C"&amp;$A17)+100*RTD("tos.rtd",,"VOLUME","."&amp;V$2&amp;V$1&amp;"P"&amp;$A17)*RTD("tos.rtd",,"LAST","."&amp;V$2&amp;V$1&amp;"P"&amp;$A17))/1000000,(100*RTD("tos.rtd",,"VOLUME","."&amp;V$2&amp;V$1&amp;"C"&amp;$A17)*RTD("tos.rtd",,"LAST","."&amp;V$2&amp;V$1&amp;"C"&amp;$A17)-100*RTD("tos.rtd",,"VOLUME","."&amp;V$2&amp;V$1&amp;"P"&amp;$A17)*RTD("tos.rtd",,"LAST","."&amp;V$2&amp;V$1&amp;"P"&amp;$A17))/1000000),0),IF($A$2="DEX",IFERROR(IF($X$1="ABS",(100*RTD("tos.rtd",,"OPEN_INT","."&amp;V$2&amp;V$1&amp;"C"&amp;$A17)*RTD("tos.rtd",,"DELTA","."&amp;V$2&amp;V$1&amp;"C"&amp;$A17)+100*RTD("tos.rtd",,"OPEN_INT","."&amp;V$2&amp;V$1&amp;"P"&amp;$A17)*RTD("tos.rtd",,"DELTA","."&amp;V$2&amp;V$1&amp;"P"&amp;$A17))/1000,(100*RTD("tos.rtd",,"OPEN_INT","."&amp;V$2&amp;V$1&amp;"C"&amp;$A17)*RTD("tos.rtd",,"DELTA","."&amp;V$2&amp;V$1&amp;"C"&amp;$A17)-100*RTD("tos.rtd",,"OPEN_INT","."&amp;V$2&amp;V$1&amp;"P"&amp;$A17)*RTD("tos.rtd",,"DELTA","."&amp;V$2&amp;V$1&amp;"P"&amp;$A17))/1000),0),IF($A$2="VEX",IFERROR(IF($X$1="ABS",($A$4*$A$4*RTD("tos.rtd",,"VOLUME","."&amp;V$2&amp;V$1&amp;"C"&amp;$A17)*RTD("tos.rtd",,"GAMMA","."&amp;V$2&amp;V$1&amp;"C"&amp;$A17)+$A$4*$A$4*RTD("tos.rtd",,"VOLUME","."&amp;V$2&amp;V$1&amp;"P"&amp;$A17)*RTD("tos.rtd",,"GAMMA","."&amp;V$2&amp;V$1&amp;"P"&amp;$A17))/1000000,($A$4*$A$4*RTD("tos.rtd",,"VOLUME","."&amp;V$2&amp;V$1&amp;"C"&amp;$A17)*RTD("tos.rtd",,"GAMMA","."&amp;V$2&amp;V$1&amp;"C"&amp;$A17)-$A$4*$A$4*RTD("tos.rtd",,"VOLUME","."&amp;V$2&amp;V$1&amp;"P"&amp;$A17)*RTD("tos.rtd",,"GAMMA","."&amp;V$2&amp;V$1&amp;"P"&amp;$A17))/1000000),0),IF($A$2="GEX",IFERROR(IF($X$1="ABS",($A$4*$A$4*RTD("tos.rtd",,"OPEN_INT","."&amp;V$2&amp;V$1&amp;"C"&amp;$A17)*RTD("tos.rtd",,"GAMMA","."&amp;V$2&amp;V$1&amp;"C"&amp;$A17)+$A$4*$A$4*RTD("tos.rtd",,"OPEN_INT","."&amp;V$2&amp;V$1&amp;"P"&amp;$A17)*RTD("tos.rtd",,"GAMMA","."&amp;V$2&amp;V$1&amp;"P"&amp;$A17))/1000000,($A$4*$A$4*RTD("tos.rtd",,"OPEN_INT","."&amp;V$2&amp;V$1&amp;"C"&amp;$A17)*RTD("tos.rtd",,"GAMMA","."&amp;V$2&amp;V$1&amp;"C"&amp;$A17)-$A$4*$A$4*RTD("tos.rtd",,"OPEN_INT","."&amp;V$2&amp;V$1&amp;"P"&amp;$A17)*RTD("tos.rtd",,"GAMMA","."&amp;V$2&amp;V$1&amp;"P"&amp;$A17))/1000000),0),IF($A$2="SKEW",IFERROR(VALUE(IF(RTD("tos.rtd",,"IMPL_VOL","."&amp;V$2&amp;V$1&amp;"P"&amp;$A17)="N/A",0,RTD("tos.rtd",,"IMPL_VOL","."&amp;V$2&amp;V$1&amp;"P"&amp;$A17))),0)-IFERROR(VALUE(IF(RTD("tos.rtd",,"IMPL_VOL","."&amp;V$2&amp;V$1&amp;"C"&amp;$A17)="N/A",0,RTD("tos.rtd",,"IMPL_VOL","."&amp;V$2&amp;V$1&amp;"C"&amp;$A17))),0),IF($A$2="MAXPAIN",IF($A$4&gt;$A17,($A$4-$A17)*IF(RTD("tos.rtd",,"OPEN_INT","."&amp;V$2&amp;V$1&amp;"C"&amp;$A17)="N/A",0,RTD("tos.rtd",,"OPEN_INT","."&amp;V$2&amp;V$1&amp;"C"&amp;$A17)),0)+IF($A$4&lt;$A17,($A$5-$A$4)*IF(RTD("tos.rtd",,"OPEN_INT","."&amp;V$2&amp;V$1&amp;"P"&amp;$A17)="N/A",0,RTD("tos.rtd",,"OPEN_INT","."&amp;V$2&amp;V$1&amp;"P"&amp;$A17)),0),IF($X$1="ABS",IF(RTD("tos.rtd",,$A$2,"."&amp;V$2&amp;V$1&amp;"C"&amp;$A17)="N/A",0,RTD("tos.rtd",,$A$2,"."&amp;V$2&amp;V$1&amp;"C"&amp;$A17))+IF(RTD("tos.rtd",,$A$2,"."&amp;V$2&amp;V$1&amp;"P"&amp;$A17)="N/A",0,RTD("tos.rtd",,$A$2,"."&amp;V$2&amp;V$1&amp;"P"&amp;$A17)),IF(RTD("tos.rtd",,$A$2,"."&amp;V$2&amp;V$1&amp;"C"&amp;$A17)="N/A",0,RTD("tos.rtd",,$A$2,"."&amp;V$2&amp;V$1&amp;"C"&amp;$A17))-IF(RTD("tos.rtd",,$A$2,"."&amp;V$2&amp;V$1&amp;"P"&amp;$A17)="N/A",0,RTD("tos.rtd",,$A$2,"."&amp;V$2&amp;V$1&amp;"P"&amp;$A17))))))))))</f>
        <v>0</v>
      </c>
      <c r="W17" s="12">
        <f ca="1">IF($A$2="PREMIUM_OI",IFERROR(IF($X$1="ABS",(100*RTD("tos.rtd",,"OPEN_INT","."&amp;W$2&amp;W$1&amp;"C"&amp;$A17)*RTD("tos.rtd",,"LAST","."&amp;W$2&amp;W$1&amp;"C"&amp;$A17)+100*RTD("tos.rtd",,"OPEN_INT","."&amp;W$2&amp;W$1&amp;"P"&amp;$A17)*RTD("tos.rtd",,"LAST","."&amp;W$2&amp;W$1&amp;"P"&amp;$A17))/1000000,(100*RTD("tos.rtd",,"OPEN_INT","."&amp;W$2&amp;W$1&amp;"C"&amp;$A17)*RTD("tos.rtd",,"LAST","."&amp;W$2&amp;W$1&amp;"C"&amp;$A17)-100*RTD("tos.rtd",,"OPEN_INT","."&amp;W$2&amp;W$1&amp;"P"&amp;$A17)*RTD("tos.rtd",,"LAST","."&amp;W$2&amp;W$1&amp;"P"&amp;$A17))/1000000),0),IF($A$2="PREMIUM",IFERROR(IF($X$1="ABS",(100*RTD("tos.rtd",,"VOLUME","."&amp;W$2&amp;W$1&amp;"C"&amp;$A17)*RTD("tos.rtd",,"LAST","."&amp;W$2&amp;W$1&amp;"C"&amp;$A17)+100*RTD("tos.rtd",,"VOLUME","."&amp;W$2&amp;W$1&amp;"P"&amp;$A17)*RTD("tos.rtd",,"LAST","."&amp;W$2&amp;W$1&amp;"P"&amp;$A17))/1000000,(100*RTD("tos.rtd",,"VOLUME","."&amp;W$2&amp;W$1&amp;"C"&amp;$A17)*RTD("tos.rtd",,"LAST","."&amp;W$2&amp;W$1&amp;"C"&amp;$A17)-100*RTD("tos.rtd",,"VOLUME","."&amp;W$2&amp;W$1&amp;"P"&amp;$A17)*RTD("tos.rtd",,"LAST","."&amp;W$2&amp;W$1&amp;"P"&amp;$A17))/1000000),0),IF($A$2="DEX",IFERROR(IF($X$1="ABS",(100*RTD("tos.rtd",,"OPEN_INT","."&amp;W$2&amp;W$1&amp;"C"&amp;$A17)*RTD("tos.rtd",,"DELTA","."&amp;W$2&amp;W$1&amp;"C"&amp;$A17)+100*RTD("tos.rtd",,"OPEN_INT","."&amp;W$2&amp;W$1&amp;"P"&amp;$A17)*RTD("tos.rtd",,"DELTA","."&amp;W$2&amp;W$1&amp;"P"&amp;$A17))/1000,(100*RTD("tos.rtd",,"OPEN_INT","."&amp;W$2&amp;W$1&amp;"C"&amp;$A17)*RTD("tos.rtd",,"DELTA","."&amp;W$2&amp;W$1&amp;"C"&amp;$A17)-100*RTD("tos.rtd",,"OPEN_INT","."&amp;W$2&amp;W$1&amp;"P"&amp;$A17)*RTD("tos.rtd",,"DELTA","."&amp;W$2&amp;W$1&amp;"P"&amp;$A17))/1000),0),IF($A$2="VEX",IFERROR(IF($X$1="ABS",($A$4*$A$4*RTD("tos.rtd",,"VOLUME","."&amp;W$2&amp;W$1&amp;"C"&amp;$A17)*RTD("tos.rtd",,"GAMMA","."&amp;W$2&amp;W$1&amp;"C"&amp;$A17)+$A$4*$A$4*RTD("tos.rtd",,"VOLUME","."&amp;W$2&amp;W$1&amp;"P"&amp;$A17)*RTD("tos.rtd",,"GAMMA","."&amp;W$2&amp;W$1&amp;"P"&amp;$A17))/1000000,($A$4*$A$4*RTD("tos.rtd",,"VOLUME","."&amp;W$2&amp;W$1&amp;"C"&amp;$A17)*RTD("tos.rtd",,"GAMMA","."&amp;W$2&amp;W$1&amp;"C"&amp;$A17)-$A$4*$A$4*RTD("tos.rtd",,"VOLUME","."&amp;W$2&amp;W$1&amp;"P"&amp;$A17)*RTD("tos.rtd",,"GAMMA","."&amp;W$2&amp;W$1&amp;"P"&amp;$A17))/1000000),0),IF($A$2="GEX",IFERROR(IF($X$1="ABS",($A$4*$A$4*RTD("tos.rtd",,"OPEN_INT","."&amp;W$2&amp;W$1&amp;"C"&amp;$A17)*RTD("tos.rtd",,"GAMMA","."&amp;W$2&amp;W$1&amp;"C"&amp;$A17)+$A$4*$A$4*RTD("tos.rtd",,"OPEN_INT","."&amp;W$2&amp;W$1&amp;"P"&amp;$A17)*RTD("tos.rtd",,"GAMMA","."&amp;W$2&amp;W$1&amp;"P"&amp;$A17))/1000000,($A$4*$A$4*RTD("tos.rtd",,"OPEN_INT","."&amp;W$2&amp;W$1&amp;"C"&amp;$A17)*RTD("tos.rtd",,"GAMMA","."&amp;W$2&amp;W$1&amp;"C"&amp;$A17)-$A$4*$A$4*RTD("tos.rtd",,"OPEN_INT","."&amp;W$2&amp;W$1&amp;"P"&amp;$A17)*RTD("tos.rtd",,"GAMMA","."&amp;W$2&amp;W$1&amp;"P"&amp;$A17))/1000000),0),IF($A$2="SKEW",IFERROR(VALUE(IF(RTD("tos.rtd",,"IMPL_VOL","."&amp;W$2&amp;W$1&amp;"P"&amp;$A17)="N/A",0,RTD("tos.rtd",,"IMPL_VOL","."&amp;W$2&amp;W$1&amp;"P"&amp;$A17))),0)-IFERROR(VALUE(IF(RTD("tos.rtd",,"IMPL_VOL","."&amp;W$2&amp;W$1&amp;"C"&amp;$A17)="N/A",0,RTD("tos.rtd",,"IMPL_VOL","."&amp;W$2&amp;W$1&amp;"C"&amp;$A17))),0),IF($A$2="MAXPAIN",IF($A$4&gt;$A17,($A$4-$A17)*IF(RTD("tos.rtd",,"OPEN_INT","."&amp;W$2&amp;W$1&amp;"C"&amp;$A17)="N/A",0,RTD("tos.rtd",,"OPEN_INT","."&amp;W$2&amp;W$1&amp;"C"&amp;$A17)),0)+IF($A$4&lt;$A17,($A$5-$A$4)*IF(RTD("tos.rtd",,"OPEN_INT","."&amp;W$2&amp;W$1&amp;"P"&amp;$A17)="N/A",0,RTD("tos.rtd",,"OPEN_INT","."&amp;W$2&amp;W$1&amp;"P"&amp;$A17)),0),IF($X$1="ABS",IF(RTD("tos.rtd",,$A$2,"."&amp;W$2&amp;W$1&amp;"C"&amp;$A17)="N/A",0,RTD("tos.rtd",,$A$2,"."&amp;W$2&amp;W$1&amp;"C"&amp;$A17))+IF(RTD("tos.rtd",,$A$2,"."&amp;W$2&amp;W$1&amp;"P"&amp;$A17)="N/A",0,RTD("tos.rtd",,$A$2,"."&amp;W$2&amp;W$1&amp;"P"&amp;$A17)),IF(RTD("tos.rtd",,$A$2,"."&amp;W$2&amp;W$1&amp;"C"&amp;$A17)="N/A",0,RTD("tos.rtd",,$A$2,"."&amp;W$2&amp;W$1&amp;"C"&amp;$A17))-IF(RTD("tos.rtd",,$A$2,"."&amp;W$2&amp;W$1&amp;"P"&amp;$A17)="N/A",0,RTD("tos.rtd",,$A$2,"."&amp;W$2&amp;W$1&amp;"P"&amp;$A17))))))))))</f>
        <v>0</v>
      </c>
      <c r="X17" s="57">
        <f t="shared" ca="1" si="7"/>
        <v>0</v>
      </c>
      <c r="Y17" s="27">
        <f t="shared" ca="1" si="8"/>
        <v>0</v>
      </c>
      <c r="Z17" s="27" t="b">
        <f t="shared" ca="1" si="9"/>
        <v>0</v>
      </c>
      <c r="AA17" s="27">
        <f t="shared" si="10"/>
        <v>138866950</v>
      </c>
      <c r="AB17" s="18">
        <f>MAX(0, $A17-AB$4)*IF(RTD("tos.rtd",,"OPEN_INT","."&amp;$AA$3&amp;$AA$4&amp;"C"&amp;AB$4)="N/A",0,RTD("tos.rtd",,"OPEN_INT","."&amp;$AA$3&amp;$AA$4&amp;"C"&amp;AB$4))*100 + MAX(0, AB$4-$A17)*IF(RTD("tos.rtd",,"OPEN_INT","."&amp;$AA$3&amp;$AA$4&amp;"P"&amp;AB$4)="N/A",0,RTD("tos.rtd",,"OPEN_INT","."&amp;$AA$3&amp;$AA$4&amp;"P"&amp;AB$4))*100</f>
        <v>0</v>
      </c>
      <c r="AC17" s="18">
        <f>MAX(0, $A17-AC$4)*IF(RTD("tos.rtd",,"OPEN_INT","."&amp;$AA$3&amp;$AA$4&amp;"C"&amp;AC$4)="N/A",0,RTD("tos.rtd",,"OPEN_INT","."&amp;$AA$3&amp;$AA$4&amp;"C"&amp;AC$4))*100 + MAX(0, AC$4-$A17)*IF(RTD("tos.rtd",,"OPEN_INT","."&amp;$AA$3&amp;$AA$4&amp;"P"&amp;AC$4)="N/A",0,RTD("tos.rtd",,"OPEN_INT","."&amp;$AA$3&amp;$AA$4&amp;"P"&amp;AC$4))*100</f>
        <v>0</v>
      </c>
      <c r="AD17" s="18">
        <f>MAX(0, $A17-AD$4)*IF(RTD("tos.rtd",,"OPEN_INT","."&amp;$AA$3&amp;$AA$4&amp;"C"&amp;AD$4)="N/A",0,RTD("tos.rtd",,"OPEN_INT","."&amp;$AA$3&amp;$AA$4&amp;"C"&amp;AD$4))*100 + MAX(0, AD$4-$A17)*IF(RTD("tos.rtd",,"OPEN_INT","."&amp;$AA$3&amp;$AA$4&amp;"P"&amp;AD$4)="N/A",0,RTD("tos.rtd",,"OPEN_INT","."&amp;$AA$3&amp;$AA$4&amp;"P"&amp;AD$4))*100</f>
        <v>0</v>
      </c>
      <c r="AE17" s="18">
        <f>MAX(0, $A17-AE$4)*IF(RTD("tos.rtd",,"OPEN_INT","."&amp;$AA$3&amp;$AA$4&amp;"C"&amp;AE$4)="N/A",0,RTD("tos.rtd",,"OPEN_INT","."&amp;$AA$3&amp;$AA$4&amp;"C"&amp;AE$4))*100 + MAX(0, AE$4-$A17)*IF(RTD("tos.rtd",,"OPEN_INT","."&amp;$AA$3&amp;$AA$4&amp;"P"&amp;AE$4)="N/A",0,RTD("tos.rtd",,"OPEN_INT","."&amp;$AA$3&amp;$AA$4&amp;"P"&amp;AE$4))*100</f>
        <v>0</v>
      </c>
      <c r="AF17" s="18">
        <f>MAX(0, $A17-AF$4)*IF(RTD("tos.rtd",,"OPEN_INT","."&amp;$AA$3&amp;$AA$4&amp;"C"&amp;AF$4)="N/A",0,RTD("tos.rtd",,"OPEN_INT","."&amp;$AA$3&amp;$AA$4&amp;"C"&amp;AF$4))*100 + MAX(0, AF$4-$A17)*IF(RTD("tos.rtd",,"OPEN_INT","."&amp;$AA$3&amp;$AA$4&amp;"P"&amp;AF$4)="N/A",0,RTD("tos.rtd",,"OPEN_INT","."&amp;$AA$3&amp;$AA$4&amp;"P"&amp;AF$4))*100</f>
        <v>0</v>
      </c>
      <c r="AG17" s="18">
        <f>MAX(0, $A17-AG$4)*IF(RTD("tos.rtd",,"OPEN_INT","."&amp;$AA$3&amp;$AA$4&amp;"C"&amp;AG$4)="N/A",0,RTD("tos.rtd",,"OPEN_INT","."&amp;$AA$3&amp;$AA$4&amp;"C"&amp;AG$4))*100 + MAX(0, AG$4-$A17)*IF(RTD("tos.rtd",,"OPEN_INT","."&amp;$AA$3&amp;$AA$4&amp;"P"&amp;AG$4)="N/A",0,RTD("tos.rtd",,"OPEN_INT","."&amp;$AA$3&amp;$AA$4&amp;"P"&amp;AG$4))*100</f>
        <v>0</v>
      </c>
      <c r="AH17" s="18">
        <f>MAX(0, $A17-AH$4)*IF(RTD("tos.rtd",,"OPEN_INT","."&amp;$AA$3&amp;$AA$4&amp;"C"&amp;AH$4)="N/A",0,RTD("tos.rtd",,"OPEN_INT","."&amp;$AA$3&amp;$AA$4&amp;"C"&amp;AH$4))*100 + MAX(0, AH$4-$A17)*IF(RTD("tos.rtd",,"OPEN_INT","."&amp;$AA$3&amp;$AA$4&amp;"P"&amp;AH$4)="N/A",0,RTD("tos.rtd",,"OPEN_INT","."&amp;$AA$3&amp;$AA$4&amp;"P"&amp;AH$4))*100</f>
        <v>0</v>
      </c>
      <c r="AI17" s="18">
        <f>MAX(0, $A17-AI$4)*IF(RTD("tos.rtd",,"OPEN_INT","."&amp;$AA$3&amp;$AA$4&amp;"C"&amp;AI$4)="N/A",0,RTD("tos.rtd",,"OPEN_INT","."&amp;$AA$3&amp;$AA$4&amp;"C"&amp;AI$4))*100 + MAX(0, AI$4-$A17)*IF(RTD("tos.rtd",,"OPEN_INT","."&amp;$AA$3&amp;$AA$4&amp;"P"&amp;AI$4)="N/A",0,RTD("tos.rtd",,"OPEN_INT","."&amp;$AA$3&amp;$AA$4&amp;"P"&amp;AI$4))*100</f>
        <v>750</v>
      </c>
      <c r="AJ17" s="18">
        <f>MAX(0, $A17-AJ$4)*IF(RTD("tos.rtd",,"OPEN_INT","."&amp;$AA$3&amp;$AA$4&amp;"C"&amp;AJ$4)="N/A",0,RTD("tos.rtd",,"OPEN_INT","."&amp;$AA$3&amp;$AA$4&amp;"C"&amp;AJ$4))*100 + MAX(0, AJ$4-$A17)*IF(RTD("tos.rtd",,"OPEN_INT","."&amp;$AA$3&amp;$AA$4&amp;"P"&amp;AJ$4)="N/A",0,RTD("tos.rtd",,"OPEN_INT","."&amp;$AA$3&amp;$AA$4&amp;"P"&amp;AJ$4))*100</f>
        <v>1600</v>
      </c>
      <c r="AK17" s="18">
        <f>MAX(0, $A17-AK$4)*IF(RTD("tos.rtd",,"OPEN_INT","."&amp;$AA$3&amp;$AA$4&amp;"C"&amp;AK$4)="N/A",0,RTD("tos.rtd",,"OPEN_INT","."&amp;$AA$3&amp;$AA$4&amp;"C"&amp;AK$4))*100 + MAX(0, AK$4-$A17)*IF(RTD("tos.rtd",,"OPEN_INT","."&amp;$AA$3&amp;$AA$4&amp;"P"&amp;AK$4)="N/A",0,RTD("tos.rtd",,"OPEN_INT","."&amp;$AA$3&amp;$AA$4&amp;"P"&amp;AK$4))*100</f>
        <v>0</v>
      </c>
      <c r="AL17" s="18">
        <f>MAX(0, $A17-AL$4)*IF(RTD("tos.rtd",,"OPEN_INT","."&amp;$AA$3&amp;$AA$4&amp;"C"&amp;AL$4)="N/A",0,RTD("tos.rtd",,"OPEN_INT","."&amp;$AA$3&amp;$AA$4&amp;"C"&amp;AL$4))*100 + MAX(0, AL$4-$A17)*IF(RTD("tos.rtd",,"OPEN_INT","."&amp;$AA$3&amp;$AA$4&amp;"P"&amp;AL$4)="N/A",0,RTD("tos.rtd",,"OPEN_INT","."&amp;$AA$3&amp;$AA$4&amp;"P"&amp;AL$4))*100</f>
        <v>0</v>
      </c>
      <c r="AM17" s="18">
        <f>MAX(0, $A17-AM$4)*IF(RTD("tos.rtd",,"OPEN_INT","."&amp;$AA$3&amp;$AA$4&amp;"C"&amp;AM$4)="N/A",0,RTD("tos.rtd",,"OPEN_INT","."&amp;$AA$3&amp;$AA$4&amp;"C"&amp;AM$4))*100 + MAX(0, AM$4-$A17)*IF(RTD("tos.rtd",,"OPEN_INT","."&amp;$AA$3&amp;$AA$4&amp;"P"&amp;AM$4)="N/A",0,RTD("tos.rtd",,"OPEN_INT","."&amp;$AA$3&amp;$AA$4&amp;"P"&amp;AM$4))*100</f>
        <v>0</v>
      </c>
      <c r="AN17" s="18">
        <f>MAX(0, $A17-AN$4)*IF(RTD("tos.rtd",,"OPEN_INT","."&amp;$AA$3&amp;$AA$4&amp;"C"&amp;AN$4)="N/A",0,RTD("tos.rtd",,"OPEN_INT","."&amp;$AA$3&amp;$AA$4&amp;"C"&amp;AN$4))*100 + MAX(0, AN$4-$A17)*IF(RTD("tos.rtd",,"OPEN_INT","."&amp;$AA$3&amp;$AA$4&amp;"P"&amp;AN$4)="N/A",0,RTD("tos.rtd",,"OPEN_INT","."&amp;$AA$3&amp;$AA$4&amp;"P"&amp;AN$4))*100</f>
        <v>0</v>
      </c>
      <c r="AO17" s="18">
        <f>MAX(0, $A17-AO$4)*IF(RTD("tos.rtd",,"OPEN_INT","."&amp;$AA$3&amp;$AA$4&amp;"C"&amp;AO$4)="N/A",0,RTD("tos.rtd",,"OPEN_INT","."&amp;$AA$3&amp;$AA$4&amp;"C"&amp;AO$4))*100 + MAX(0, AO$4-$A17)*IF(RTD("tos.rtd",,"OPEN_INT","."&amp;$AA$3&amp;$AA$4&amp;"P"&amp;AO$4)="N/A",0,RTD("tos.rtd",,"OPEN_INT","."&amp;$AA$3&amp;$AA$4&amp;"P"&amp;AO$4))*100</f>
        <v>34450</v>
      </c>
      <c r="AP17" s="18">
        <f>MAX(0, $A17-AP$4)*IF(RTD("tos.rtd",,"OPEN_INT","."&amp;$AA$3&amp;$AA$4&amp;"C"&amp;AP$4)="N/A",0,RTD("tos.rtd",,"OPEN_INT","."&amp;$AA$3&amp;$AA$4&amp;"C"&amp;AP$4))*100 + MAX(0, AP$4-$A17)*IF(RTD("tos.rtd",,"OPEN_INT","."&amp;$AA$3&amp;$AA$4&amp;"P"&amp;AP$4)="N/A",0,RTD("tos.rtd",,"OPEN_INT","."&amp;$AA$3&amp;$AA$4&amp;"P"&amp;AP$4))*100</f>
        <v>0</v>
      </c>
      <c r="AQ17" s="18">
        <f>MAX(0, $A17-AQ$4)*IF(RTD("tos.rtd",,"OPEN_INT","."&amp;$AA$3&amp;$AA$4&amp;"C"&amp;AQ$4)="N/A",0,RTD("tos.rtd",,"OPEN_INT","."&amp;$AA$3&amp;$AA$4&amp;"C"&amp;AQ$4))*100 + MAX(0, AQ$4-$A17)*IF(RTD("tos.rtd",,"OPEN_INT","."&amp;$AA$3&amp;$AA$4&amp;"P"&amp;AQ$4)="N/A",0,RTD("tos.rtd",,"OPEN_INT","."&amp;$AA$3&amp;$AA$4&amp;"P"&amp;AQ$4))*100</f>
        <v>96000</v>
      </c>
      <c r="AR17" s="18">
        <f>MAX(0, $A17-AR$4)*IF(RTD("tos.rtd",,"OPEN_INT","."&amp;$AA$3&amp;$AA$4&amp;"C"&amp;AR$4)="N/A",0,RTD("tos.rtd",,"OPEN_INT","."&amp;$AA$3&amp;$AA$4&amp;"C"&amp;AR$4))*100 + MAX(0, AR$4-$A17)*IF(RTD("tos.rtd",,"OPEN_INT","."&amp;$AA$3&amp;$AA$4&amp;"P"&amp;AR$4)="N/A",0,RTD("tos.rtd",,"OPEN_INT","."&amp;$AA$3&amp;$AA$4&amp;"P"&amp;AR$4))*100</f>
        <v>200</v>
      </c>
      <c r="AS17" s="18">
        <f>MAX(0, $A17-AS$4)*IF(RTD("tos.rtd",,"OPEN_INT","."&amp;$AA$3&amp;$AA$4&amp;"C"&amp;AS$4)="N/A",0,RTD("tos.rtd",,"OPEN_INT","."&amp;$AA$3&amp;$AA$4&amp;"C"&amp;AS$4))*100 + MAX(0, AS$4-$A17)*IF(RTD("tos.rtd",,"OPEN_INT","."&amp;$AA$3&amp;$AA$4&amp;"P"&amp;AS$4)="N/A",0,RTD("tos.rtd",,"OPEN_INT","."&amp;$AA$3&amp;$AA$4&amp;"P"&amp;AS$4))*100</f>
        <v>215500</v>
      </c>
      <c r="AT17" s="18">
        <f>MAX(0, $A17-AT$4)*IF(RTD("tos.rtd",,"OPEN_INT","."&amp;$AA$3&amp;$AA$4&amp;"C"&amp;AT$4)="N/A",0,RTD("tos.rtd",,"OPEN_INT","."&amp;$AA$3&amp;$AA$4&amp;"C"&amp;AT$4))*100 + MAX(0, AT$4-$A17)*IF(RTD("tos.rtd",,"OPEN_INT","."&amp;$AA$3&amp;$AA$4&amp;"P"&amp;AT$4)="N/A",0,RTD("tos.rtd",,"OPEN_INT","."&amp;$AA$3&amp;$AA$4&amp;"P"&amp;AT$4))*100</f>
        <v>420600</v>
      </c>
      <c r="AU17" s="18">
        <f>MAX(0, $A17-AU$4)*IF(RTD("tos.rtd",,"OPEN_INT","."&amp;$AA$3&amp;$AA$4&amp;"C"&amp;AU$4)="N/A",0,RTD("tos.rtd",,"OPEN_INT","."&amp;$AA$3&amp;$AA$4&amp;"C"&amp;AU$4))*100 + MAX(0, AU$4-$A17)*IF(RTD("tos.rtd",,"OPEN_INT","."&amp;$AA$3&amp;$AA$4&amp;"P"&amp;AU$4)="N/A",0,RTD("tos.rtd",,"OPEN_INT","."&amp;$AA$3&amp;$AA$4&amp;"P"&amp;AU$4))*100</f>
        <v>589050</v>
      </c>
      <c r="AV17" s="18">
        <f>MAX(0, $A17-AV$4)*IF(RTD("tos.rtd",,"OPEN_INT","."&amp;$AA$3&amp;$AA$4&amp;"C"&amp;AV$4)="N/A",0,RTD("tos.rtd",,"OPEN_INT","."&amp;$AA$3&amp;$AA$4&amp;"C"&amp;AV$4))*100 + MAX(0, AV$4-$A17)*IF(RTD("tos.rtd",,"OPEN_INT","."&amp;$AA$3&amp;$AA$4&amp;"P"&amp;AV$4)="N/A",0,RTD("tos.rtd",,"OPEN_INT","."&amp;$AA$3&amp;$AA$4&amp;"P"&amp;AV$4))*100</f>
        <v>755200</v>
      </c>
      <c r="AW17" s="18">
        <f>MAX(0, $A17-AW$4)*IF(RTD("tos.rtd",,"OPEN_INT","."&amp;$AA$3&amp;$AA$4&amp;"C"&amp;AW$4)="N/A",0,RTD("tos.rtd",,"OPEN_INT","."&amp;$AA$3&amp;$AA$4&amp;"C"&amp;AW$4))*100 + MAX(0, AW$4-$A17)*IF(RTD("tos.rtd",,"OPEN_INT","."&amp;$AA$3&amp;$AA$4&amp;"P"&amp;AW$4)="N/A",0,RTD("tos.rtd",,"OPEN_INT","."&amp;$AA$3&amp;$AA$4&amp;"P"&amp;AW$4))*100</f>
        <v>1383750</v>
      </c>
      <c r="AX17" s="18">
        <f>MAX(0, $A17-AX$4)*IF(RTD("tos.rtd",,"OPEN_INT","."&amp;$AA$3&amp;$AA$4&amp;"C"&amp;AX$4)="N/A",0,RTD("tos.rtd",,"OPEN_INT","."&amp;$AA$3&amp;$AA$4&amp;"C"&amp;AX$4))*100 + MAX(0, AX$4-$A17)*IF(RTD("tos.rtd",,"OPEN_INT","."&amp;$AA$3&amp;$AA$4&amp;"P"&amp;AX$4)="N/A",0,RTD("tos.rtd",,"OPEN_INT","."&amp;$AA$3&amp;$AA$4&amp;"P"&amp;AX$4))*100</f>
        <v>2126500</v>
      </c>
      <c r="AY17" s="18">
        <f>MAX(0, $A17-AY$4)*IF(RTD("tos.rtd",,"OPEN_INT","."&amp;$AA$3&amp;$AA$4&amp;"C"&amp;AY$4)="N/A",0,RTD("tos.rtd",,"OPEN_INT","."&amp;$AA$3&amp;$AA$4&amp;"C"&amp;AY$4))*100 + MAX(0, AY$4-$A17)*IF(RTD("tos.rtd",,"OPEN_INT","."&amp;$AA$3&amp;$AA$4&amp;"P"&amp;AY$4)="N/A",0,RTD("tos.rtd",,"OPEN_INT","."&amp;$AA$3&amp;$AA$4&amp;"P"&amp;AY$4))*100</f>
        <v>10751400</v>
      </c>
      <c r="AZ17" s="18">
        <f>MAX(0, $A17-AZ$4)*IF(RTD("tos.rtd",,"OPEN_INT","."&amp;$AA$3&amp;$AA$4&amp;"C"&amp;AZ$4)="N/A",0,RTD("tos.rtd",,"OPEN_INT","."&amp;$AA$3&amp;$AA$4&amp;"C"&amp;AZ$4))*100 + MAX(0, AZ$4-$A17)*IF(RTD("tos.rtd",,"OPEN_INT","."&amp;$AA$3&amp;$AA$4&amp;"P"&amp;AZ$4)="N/A",0,RTD("tos.rtd",,"OPEN_INT","."&amp;$AA$3&amp;$AA$4&amp;"P"&amp;AZ$4))*100</f>
        <v>5910000</v>
      </c>
      <c r="BA17" s="18">
        <f>MAX(0, $A17-BA$4)*IF(RTD("tos.rtd",,"OPEN_INT","."&amp;$AA$3&amp;$AA$4&amp;"C"&amp;BA$4)="N/A",0,RTD("tos.rtd",,"OPEN_INT","."&amp;$AA$3&amp;$AA$4&amp;"C"&amp;BA$4))*100 + MAX(0, BA$4-$A17)*IF(RTD("tos.rtd",,"OPEN_INT","."&amp;$AA$3&amp;$AA$4&amp;"P"&amp;BA$4)="N/A",0,RTD("tos.rtd",,"OPEN_INT","."&amp;$AA$3&amp;$AA$4&amp;"P"&amp;BA$4))*100</f>
        <v>20024550</v>
      </c>
      <c r="BB17" s="18">
        <f>MAX(0, $A17-BB$4)*IF(RTD("tos.rtd",,"OPEN_INT","."&amp;$AA$3&amp;$AA$4&amp;"C"&amp;BB$4)="N/A",0,RTD("tos.rtd",,"OPEN_INT","."&amp;$AA$3&amp;$AA$4&amp;"C"&amp;BB$4))*100 + MAX(0, BB$4-$A17)*IF(RTD("tos.rtd",,"OPEN_INT","."&amp;$AA$3&amp;$AA$4&amp;"P"&amp;BB$4)="N/A",0,RTD("tos.rtd",,"OPEN_INT","."&amp;$AA$3&amp;$AA$4&amp;"P"&amp;BB$4))*100</f>
        <v>20060600</v>
      </c>
      <c r="BC17" s="18">
        <f>MAX(0, $A17-BC$4)*IF(RTD("tos.rtd",,"OPEN_INT","."&amp;$AA$3&amp;$AA$4&amp;"C"&amp;BC$4)="N/A",0,RTD("tos.rtd",,"OPEN_INT","."&amp;$AA$3&amp;$AA$4&amp;"C"&amp;BC$4))*100 + MAX(0, BC$4-$A17)*IF(RTD("tos.rtd",,"OPEN_INT","."&amp;$AA$3&amp;$AA$4&amp;"P"&amp;BC$4)="N/A",0,RTD("tos.rtd",,"OPEN_INT","."&amp;$AA$3&amp;$AA$4&amp;"P"&amp;BC$4))*100</f>
        <v>30534750</v>
      </c>
      <c r="BD17" s="18">
        <f>MAX(0, $A17-BD$4)*IF(RTD("tos.rtd",,"OPEN_INT","."&amp;$AA$3&amp;$AA$4&amp;"C"&amp;BD$4)="N/A",0,RTD("tos.rtd",,"OPEN_INT","."&amp;$AA$3&amp;$AA$4&amp;"C"&amp;BD$4))*100 + MAX(0, BD$4-$A17)*IF(RTD("tos.rtd",,"OPEN_INT","."&amp;$AA$3&amp;$AA$4&amp;"P"&amp;BD$4)="N/A",0,RTD("tos.rtd",,"OPEN_INT","."&amp;$AA$3&amp;$AA$4&amp;"P"&amp;BD$4))*100</f>
        <v>14848000</v>
      </c>
      <c r="BE17" s="18">
        <f>MAX(0, $A17-BE$4)*IF(RTD("tos.rtd",,"OPEN_INT","."&amp;$AA$3&amp;$AA$4&amp;"C"&amp;BE$4)="N/A",0,RTD("tos.rtd",,"OPEN_INT","."&amp;$AA$3&amp;$AA$4&amp;"C"&amp;BE$4))*100 + MAX(0, BE$4-$A17)*IF(RTD("tos.rtd",,"OPEN_INT","."&amp;$AA$3&amp;$AA$4&amp;"P"&amp;BE$4)="N/A",0,RTD("tos.rtd",,"OPEN_INT","."&amp;$AA$3&amp;$AA$4&amp;"P"&amp;BE$4))*100</f>
        <v>14686300</v>
      </c>
      <c r="BF17" s="18">
        <f>MAX(0, $A17-BF$4)*IF(RTD("tos.rtd",,"OPEN_INT","."&amp;$AA$3&amp;$AA$4&amp;"C"&amp;BF$4)="N/A",0,RTD("tos.rtd",,"OPEN_INT","."&amp;$AA$3&amp;$AA$4&amp;"C"&amp;BF$4))*100 + MAX(0, BF$4-$A17)*IF(RTD("tos.rtd",,"OPEN_INT","."&amp;$AA$3&amp;$AA$4&amp;"P"&amp;BF$4)="N/A",0,RTD("tos.rtd",,"OPEN_INT","."&amp;$AA$3&amp;$AA$4&amp;"P"&amp;BF$4))*100</f>
        <v>7566300</v>
      </c>
      <c r="BG17" s="18">
        <f>MAX(0, $A17-BG$4)*IF(RTD("tos.rtd",,"OPEN_INT","."&amp;$AA$3&amp;$AA$4&amp;"C"&amp;BG$4)="N/A",0,RTD("tos.rtd",,"OPEN_INT","."&amp;$AA$3&amp;$AA$4&amp;"C"&amp;BG$4))*100 + MAX(0, BG$4-$A17)*IF(RTD("tos.rtd",,"OPEN_INT","."&amp;$AA$3&amp;$AA$4&amp;"P"&amp;BG$4)="N/A",0,RTD("tos.rtd",,"OPEN_INT","."&amp;$AA$3&amp;$AA$4&amp;"P"&amp;BG$4))*100</f>
        <v>5447300</v>
      </c>
      <c r="BH17" s="18">
        <f>MAX(0, $A17-BH$4)*IF(RTD("tos.rtd",,"OPEN_INT","."&amp;$AA$3&amp;$AA$4&amp;"C"&amp;BH$4)="N/A",0,RTD("tos.rtd",,"OPEN_INT","."&amp;$AA$3&amp;$AA$4&amp;"C"&amp;BH$4))*100 + MAX(0, BH$4-$A17)*IF(RTD("tos.rtd",,"OPEN_INT","."&amp;$AA$3&amp;$AA$4&amp;"P"&amp;BH$4)="N/A",0,RTD("tos.rtd",,"OPEN_INT","."&amp;$AA$3&amp;$AA$4&amp;"P"&amp;BH$4))*100</f>
        <v>1943000</v>
      </c>
      <c r="BI17" s="18">
        <f>MAX(0, $A17-BI$4)*IF(RTD("tos.rtd",,"OPEN_INT","."&amp;$AA$3&amp;$AA$4&amp;"C"&amp;BI$4)="N/A",0,RTD("tos.rtd",,"OPEN_INT","."&amp;$AA$3&amp;$AA$4&amp;"C"&amp;BI$4))*100 + MAX(0, BI$4-$A17)*IF(RTD("tos.rtd",,"OPEN_INT","."&amp;$AA$3&amp;$AA$4&amp;"P"&amp;BI$4)="N/A",0,RTD("tos.rtd",,"OPEN_INT","."&amp;$AA$3&amp;$AA$4&amp;"P"&amp;BI$4))*100</f>
        <v>884100</v>
      </c>
      <c r="BJ17" s="18">
        <f>MAX(0, $A17-BJ$4)*IF(RTD("tos.rtd",,"OPEN_INT","."&amp;$AA$3&amp;$AA$4&amp;"C"&amp;BJ$4)="N/A",0,RTD("tos.rtd",,"OPEN_INT","."&amp;$AA$3&amp;$AA$4&amp;"C"&amp;BJ$4))*100 + MAX(0, BJ$4-$A17)*IF(RTD("tos.rtd",,"OPEN_INT","."&amp;$AA$3&amp;$AA$4&amp;"P"&amp;BJ$4)="N/A",0,RTD("tos.rtd",,"OPEN_INT","."&amp;$AA$3&amp;$AA$4&amp;"P"&amp;BJ$4))*100</f>
        <v>166100</v>
      </c>
      <c r="BK17" s="18">
        <f>MAX(0, $A17-BK$4)*IF(RTD("tos.rtd",,"OPEN_INT","."&amp;$AA$3&amp;$AA$4&amp;"C"&amp;BK$4)="N/A",0,RTD("tos.rtd",,"OPEN_INT","."&amp;$AA$3&amp;$AA$4&amp;"C"&amp;BK$4))*100 + MAX(0, BK$4-$A17)*IF(RTD("tos.rtd",,"OPEN_INT","."&amp;$AA$3&amp;$AA$4&amp;"P"&amp;BK$4)="N/A",0,RTD("tos.rtd",,"OPEN_INT","."&amp;$AA$3&amp;$AA$4&amp;"P"&amp;BK$4))*100</f>
        <v>300150</v>
      </c>
      <c r="BL17" s="18">
        <f>MAX(0, $A17-BL$4)*IF(RTD("tos.rtd",,"OPEN_INT","."&amp;$AA$3&amp;$AA$4&amp;"C"&amp;BL$4)="N/A",0,RTD("tos.rtd",,"OPEN_INT","."&amp;$AA$3&amp;$AA$4&amp;"C"&amp;BL$4))*100 + MAX(0, BL$4-$A17)*IF(RTD("tos.rtd",,"OPEN_INT","."&amp;$AA$3&amp;$AA$4&amp;"P"&amp;BL$4)="N/A",0,RTD("tos.rtd",,"OPEN_INT","."&amp;$AA$3&amp;$AA$4&amp;"P"&amp;BL$4))*100</f>
        <v>19200</v>
      </c>
      <c r="BM17" s="18">
        <f>MAX(0, $A17-BM$4)*IF(RTD("tos.rtd",,"OPEN_INT","."&amp;$AA$3&amp;$AA$4&amp;"C"&amp;BM$4)="N/A",0,RTD("tos.rtd",,"OPEN_INT","."&amp;$AA$3&amp;$AA$4&amp;"C"&amp;BM$4))*100 + MAX(0, BM$4-$A17)*IF(RTD("tos.rtd",,"OPEN_INT","."&amp;$AA$3&amp;$AA$4&amp;"P"&amp;BM$4)="N/A",0,RTD("tos.rtd",,"OPEN_INT","."&amp;$AA$3&amp;$AA$4&amp;"P"&amp;BM$4))*100</f>
        <v>10000</v>
      </c>
      <c r="BN17" s="18">
        <f>MAX(0, $A17-BN$4)*IF(RTD("tos.rtd",,"OPEN_INT","."&amp;$AA$3&amp;$AA$4&amp;"C"&amp;BN$4)="N/A",0,RTD("tos.rtd",,"OPEN_INT","."&amp;$AA$3&amp;$AA$4&amp;"C"&amp;BN$4))*100 + MAX(0, BN$4-$A17)*IF(RTD("tos.rtd",,"OPEN_INT","."&amp;$AA$3&amp;$AA$4&amp;"P"&amp;BN$4)="N/A",0,RTD("tos.rtd",,"OPEN_INT","."&amp;$AA$3&amp;$AA$4&amp;"P"&amp;BN$4))*100</f>
        <v>40300</v>
      </c>
      <c r="BO17" s="18">
        <f>MAX(0, $A17-BO$4)*IF(RTD("tos.rtd",,"OPEN_INT","."&amp;$AA$3&amp;$AA$4&amp;"C"&amp;BO$4)="N/A",0,RTD("tos.rtd",,"OPEN_INT","."&amp;$AA$3&amp;$AA$4&amp;"C"&amp;BO$4))*100 + MAX(0, BO$4-$A17)*IF(RTD("tos.rtd",,"OPEN_INT","."&amp;$AA$3&amp;$AA$4&amp;"P"&amp;BO$4)="N/A",0,RTD("tos.rtd",,"OPEN_INT","."&amp;$AA$3&amp;$AA$4&amp;"P"&amp;BO$4))*100</f>
        <v>51300</v>
      </c>
      <c r="BP17" s="18">
        <f>MAX(0, $A17-BP$4)*IF(RTD("tos.rtd",,"OPEN_INT","."&amp;$AA$3&amp;$AA$4&amp;"C"&amp;BP$4)="N/A",0,RTD("tos.rtd",,"OPEN_INT","."&amp;$AA$3&amp;$AA$4&amp;"C"&amp;BP$4))*100 + MAX(0, BP$4-$A17)*IF(RTD("tos.rtd",,"OPEN_INT","."&amp;$AA$3&amp;$AA$4&amp;"P"&amp;BP$4)="N/A",0,RTD("tos.rtd",,"OPEN_INT","."&amp;$AA$3&amp;$AA$4&amp;"P"&amp;BP$4))*100</f>
        <v>0</v>
      </c>
      <c r="BQ17" s="18">
        <f>MAX(0, $A17-BQ$4)*IF(RTD("tos.rtd",,"OPEN_INT","."&amp;$AA$3&amp;$AA$4&amp;"C"&amp;BQ$4)="N/A",0,RTD("tos.rtd",,"OPEN_INT","."&amp;$AA$3&amp;$AA$4&amp;"C"&amp;BQ$4))*100 + MAX(0, BQ$4-$A17)*IF(RTD("tos.rtd",,"OPEN_INT","."&amp;$AA$3&amp;$AA$4&amp;"P"&amp;BQ$4)="N/A",0,RTD("tos.rtd",,"OPEN_INT","."&amp;$AA$3&amp;$AA$4&amp;"P"&amp;BQ$4))*100</f>
        <v>0</v>
      </c>
      <c r="BR17" s="18">
        <f>MAX(0, $A17-BR$4)*IF(RTD("tos.rtd",,"OPEN_INT","."&amp;$AA$3&amp;$AA$4&amp;"C"&amp;BR$4)="N/A",0,RTD("tos.rtd",,"OPEN_INT","."&amp;$AA$3&amp;$AA$4&amp;"C"&amp;BR$4))*100 + MAX(0, BR$4-$A17)*IF(RTD("tos.rtd",,"OPEN_INT","."&amp;$AA$3&amp;$AA$4&amp;"P"&amp;BR$4)="N/A",0,RTD("tos.rtd",,"OPEN_INT","."&amp;$AA$3&amp;$AA$4&amp;"P"&amp;BR$4))*100</f>
        <v>0</v>
      </c>
      <c r="BS17" s="18">
        <f>MAX(0, $A17-BS$4)*IF(RTD("tos.rtd",,"OPEN_INT","."&amp;$AA$3&amp;$AA$4&amp;"C"&amp;BS$4)="N/A",0,RTD("tos.rtd",,"OPEN_INT","."&amp;$AA$3&amp;$AA$4&amp;"C"&amp;BS$4))*100 + MAX(0, BS$4-$A17)*IF(RTD("tos.rtd",,"OPEN_INT","."&amp;$AA$3&amp;$AA$4&amp;"P"&amp;BS$4)="N/A",0,RTD("tos.rtd",,"OPEN_INT","."&amp;$AA$3&amp;$AA$4&amp;"P"&amp;BS$4))*100</f>
        <v>0</v>
      </c>
      <c r="BT17" s="18">
        <f>MAX(0, $A17-BT$4)*IF(RTD("tos.rtd",,"OPEN_INT","."&amp;$AA$3&amp;$AA$4&amp;"C"&amp;BT$4)="N/A",0,RTD("tos.rtd",,"OPEN_INT","."&amp;$AA$3&amp;$AA$4&amp;"C"&amp;BT$4))*100 + MAX(0, BT$4-$A17)*IF(RTD("tos.rtd",,"OPEN_INT","."&amp;$AA$3&amp;$AA$4&amp;"P"&amp;BT$4)="N/A",0,RTD("tos.rtd",,"OPEN_INT","."&amp;$AA$3&amp;$AA$4&amp;"P"&amp;BT$4))*100</f>
        <v>0</v>
      </c>
      <c r="BU17" s="18">
        <f>MAX(0, $A17-BU$4)*IF(RTD("tos.rtd",,"OPEN_INT","."&amp;$AA$3&amp;$AA$4&amp;"C"&amp;BU$4)="N/A",0,RTD("tos.rtd",,"OPEN_INT","."&amp;$AA$3&amp;$AA$4&amp;"C"&amp;BU$4))*100 + MAX(0, BU$4-$A17)*IF(RTD("tos.rtd",,"OPEN_INT","."&amp;$AA$3&amp;$AA$4&amp;"P"&amp;BU$4)="N/A",0,RTD("tos.rtd",,"OPEN_INT","."&amp;$AA$3&amp;$AA$4&amp;"P"&amp;BU$4))*100</f>
        <v>0</v>
      </c>
      <c r="BV17" s="18">
        <f>MAX(0, $A17-BV$4)*IF(RTD("tos.rtd",,"OPEN_INT","."&amp;$AA$3&amp;$AA$4&amp;"C"&amp;BV$4)="N/A",0,RTD("tos.rtd",,"OPEN_INT","."&amp;$AA$3&amp;$AA$4&amp;"C"&amp;BV$4))*100 + MAX(0, BV$4-$A17)*IF(RTD("tos.rtd",,"OPEN_INT","."&amp;$AA$3&amp;$AA$4&amp;"P"&amp;BV$4)="N/A",0,RTD("tos.rtd",,"OPEN_INT","."&amp;$AA$3&amp;$AA$4&amp;"P"&amp;BV$4))*100</f>
        <v>0</v>
      </c>
    </row>
    <row r="18" spans="1:74" s="19" customFormat="1" ht="11.1" customHeight="1" thickBot="1" x14ac:dyDescent="0.3">
      <c r="A18" s="23">
        <f t="shared" si="6"/>
        <v>15</v>
      </c>
      <c r="B18" s="14">
        <f ca="1">IF($A$2="PREMIUM_OI",IFERROR(IF($X$1="ABS",(100*RTD("tos.rtd",,"OPEN_INT","."&amp;B$2&amp;B$1&amp;"C"&amp;$A18)*RTD("tos.rtd",,"LAST","."&amp;B$2&amp;B$1&amp;"C"&amp;$A18)+100*RTD("tos.rtd",,"OPEN_INT","."&amp;B$2&amp;B$1&amp;"P"&amp;$A18)*RTD("tos.rtd",,"LAST","."&amp;B$2&amp;B$1&amp;"P"&amp;$A18))/1000000,(100*RTD("tos.rtd",,"OPEN_INT","."&amp;B$2&amp;B$1&amp;"C"&amp;$A18)*RTD("tos.rtd",,"LAST","."&amp;B$2&amp;B$1&amp;"C"&amp;$A18)-100*RTD("tos.rtd",,"OPEN_INT","."&amp;B$2&amp;B$1&amp;"P"&amp;$A18)*RTD("tos.rtd",,"LAST","."&amp;B$2&amp;B$1&amp;"P"&amp;$A18))/1000000),0),IF($A$2="PREMIUM",IFERROR(IF($X$1="ABS",(100*RTD("tos.rtd",,"VOLUME","."&amp;B$2&amp;B$1&amp;"C"&amp;$A18)*RTD("tos.rtd",,"LAST","."&amp;B$2&amp;B$1&amp;"C"&amp;$A18)+100*RTD("tos.rtd",,"VOLUME","."&amp;B$2&amp;B$1&amp;"P"&amp;$A18)*RTD("tos.rtd",,"LAST","."&amp;B$2&amp;B$1&amp;"P"&amp;$A18))/1000000,(100*RTD("tos.rtd",,"VOLUME","."&amp;B$2&amp;B$1&amp;"C"&amp;$A18)*RTD("tos.rtd",,"LAST","."&amp;B$2&amp;B$1&amp;"C"&amp;$A18)-100*RTD("tos.rtd",,"VOLUME","."&amp;B$2&amp;B$1&amp;"P"&amp;$A18)*RTD("tos.rtd",,"LAST","."&amp;B$2&amp;B$1&amp;"P"&amp;$A18))/1000000),0),IF($A$2="DEX",IFERROR(IF($X$1="ABS",(100*RTD("tos.rtd",,"OPEN_INT","."&amp;B$2&amp;B$1&amp;"C"&amp;$A18)*RTD("tos.rtd",,"DELTA","."&amp;B$2&amp;B$1&amp;"C"&amp;$A18)+100*RTD("tos.rtd",,"OPEN_INT","."&amp;B$2&amp;B$1&amp;"P"&amp;$A18)*RTD("tos.rtd",,"DELTA","."&amp;B$2&amp;B$1&amp;"P"&amp;$A18))/1000,(100*RTD("tos.rtd",,"OPEN_INT","."&amp;B$2&amp;B$1&amp;"C"&amp;$A18)*RTD("tos.rtd",,"DELTA","."&amp;B$2&amp;B$1&amp;"C"&amp;$A18)-100*RTD("tos.rtd",,"OPEN_INT","."&amp;B$2&amp;B$1&amp;"P"&amp;$A18)*RTD("tos.rtd",,"DELTA","."&amp;B$2&amp;B$1&amp;"P"&amp;$A18))/1000),0),IF($A$2="VEX",IFERROR(IF($X$1="ABS",($A$4*$A$4*RTD("tos.rtd",,"VOLUME","."&amp;B$2&amp;B$1&amp;"C"&amp;$A18)*RTD("tos.rtd",,"GAMMA","."&amp;B$2&amp;B$1&amp;"C"&amp;$A18)+$A$4*$A$4*RTD("tos.rtd",,"VOLUME","."&amp;B$2&amp;B$1&amp;"P"&amp;$A18)*RTD("tos.rtd",,"GAMMA","."&amp;B$2&amp;B$1&amp;"P"&amp;$A18))/1000000,($A$4*$A$4*RTD("tos.rtd",,"VOLUME","."&amp;B$2&amp;B$1&amp;"C"&amp;$A18)*RTD("tos.rtd",,"GAMMA","."&amp;B$2&amp;B$1&amp;"C"&amp;$A18)-$A$4*$A$4*RTD("tos.rtd",,"VOLUME","."&amp;B$2&amp;B$1&amp;"P"&amp;$A18)*RTD("tos.rtd",,"GAMMA","."&amp;B$2&amp;B$1&amp;"P"&amp;$A18))/1000000),0),IF($A$2="GEX",IFERROR(IF($X$1="ABS",($A$4*$A$4*RTD("tos.rtd",,"OPEN_INT","."&amp;B$2&amp;B$1&amp;"C"&amp;$A18)*RTD("tos.rtd",,"GAMMA","."&amp;B$2&amp;B$1&amp;"C"&amp;$A18)+$A$4*$A$4*RTD("tos.rtd",,"OPEN_INT","."&amp;B$2&amp;B$1&amp;"P"&amp;$A18)*RTD("tos.rtd",,"GAMMA","."&amp;B$2&amp;B$1&amp;"P"&amp;$A18))/1000000,($A$4*$A$4*RTD("tos.rtd",,"OPEN_INT","."&amp;B$2&amp;B$1&amp;"C"&amp;$A18)*RTD("tos.rtd",,"GAMMA","."&amp;B$2&amp;B$1&amp;"C"&amp;$A18)-$A$4*$A$4*RTD("tos.rtd",,"OPEN_INT","."&amp;B$2&amp;B$1&amp;"P"&amp;$A18)*RTD("tos.rtd",,"GAMMA","."&amp;B$2&amp;B$1&amp;"P"&amp;$A18))/1000000),0),IF($A$2="SKEW",IFERROR(VALUE(IF(RTD("tos.rtd",,"IMPL_VOL","."&amp;B$2&amp;B$1&amp;"P"&amp;$A18)="N/A",0,RTD("tos.rtd",,"IMPL_VOL","."&amp;B$2&amp;B$1&amp;"P"&amp;$A18))),0)-IFERROR(VALUE(IF(RTD("tos.rtd",,"IMPL_VOL","."&amp;B$2&amp;B$1&amp;"C"&amp;$A18)="N/A",0,RTD("tos.rtd",,"IMPL_VOL","."&amp;B$2&amp;B$1&amp;"C"&amp;$A18))),0),IF($A$2="MAXPAIN",IF($A$4&gt;$A18,($A$4-$A18)*IF(RTD("tos.rtd",,"OPEN_INT","."&amp;B$2&amp;B$1&amp;"C"&amp;$A18)="N/A",0,RTD("tos.rtd",,"OPEN_INT","."&amp;B$2&amp;B$1&amp;"C"&amp;$A18)),0)+IF($A$4&lt;$A18,($A$5-$A$4)*IF(RTD("tos.rtd",,"OPEN_INT","."&amp;B$2&amp;B$1&amp;"P"&amp;$A18)="N/A",0,RTD("tos.rtd",,"OPEN_INT","."&amp;B$2&amp;B$1&amp;"P"&amp;$A18)),0),IF($X$1="ABS",IF(RTD("tos.rtd",,$A$2,"."&amp;B$2&amp;B$1&amp;"C"&amp;$A18)="N/A",0,RTD("tos.rtd",,$A$2,"."&amp;B$2&amp;B$1&amp;"C"&amp;$A18))+IF(RTD("tos.rtd",,$A$2,"."&amp;B$2&amp;B$1&amp;"P"&amp;$A18)="N/A",0,RTD("tos.rtd",,$A$2,"."&amp;B$2&amp;B$1&amp;"P"&amp;$A18)),IF(RTD("tos.rtd",,$A$2,"."&amp;B$2&amp;B$1&amp;"C"&amp;$A18)="N/A",0,RTD("tos.rtd",,$A$2,"."&amp;B$2&amp;B$1&amp;"C"&amp;$A18))-IF(RTD("tos.rtd",,$A$2,"."&amp;B$2&amp;B$1&amp;"P"&amp;$A18)="N/A",0,RTD("tos.rtd",,$A$2,"."&amp;B$2&amp;B$1&amp;"P"&amp;$A18))))))))))</f>
        <v>0</v>
      </c>
      <c r="C18" s="12">
        <f ca="1">IF($A$2="PREMIUM_OI",IFERROR(IF($X$1="ABS",(100*RTD("tos.rtd",,"OPEN_INT","."&amp;C$2&amp;C$1&amp;"C"&amp;$A18)*RTD("tos.rtd",,"LAST","."&amp;C$2&amp;C$1&amp;"C"&amp;$A18)+100*RTD("tos.rtd",,"OPEN_INT","."&amp;C$2&amp;C$1&amp;"P"&amp;$A18)*RTD("tos.rtd",,"LAST","."&amp;C$2&amp;C$1&amp;"P"&amp;$A18))/1000000,(100*RTD("tos.rtd",,"OPEN_INT","."&amp;C$2&amp;C$1&amp;"C"&amp;$A18)*RTD("tos.rtd",,"LAST","."&amp;C$2&amp;C$1&amp;"C"&amp;$A18)-100*RTD("tos.rtd",,"OPEN_INT","."&amp;C$2&amp;C$1&amp;"P"&amp;$A18)*RTD("tos.rtd",,"LAST","."&amp;C$2&amp;C$1&amp;"P"&amp;$A18))/1000000),0),IF($A$2="PREMIUM",IFERROR(IF($X$1="ABS",(100*RTD("tos.rtd",,"VOLUME","."&amp;C$2&amp;C$1&amp;"C"&amp;$A18)*RTD("tos.rtd",,"LAST","."&amp;C$2&amp;C$1&amp;"C"&amp;$A18)+100*RTD("tos.rtd",,"VOLUME","."&amp;C$2&amp;C$1&amp;"P"&amp;$A18)*RTD("tos.rtd",,"LAST","."&amp;C$2&amp;C$1&amp;"P"&amp;$A18))/1000000,(100*RTD("tos.rtd",,"VOLUME","."&amp;C$2&amp;C$1&amp;"C"&amp;$A18)*RTD("tos.rtd",,"LAST","."&amp;C$2&amp;C$1&amp;"C"&amp;$A18)-100*RTD("tos.rtd",,"VOLUME","."&amp;C$2&amp;C$1&amp;"P"&amp;$A18)*RTD("tos.rtd",,"LAST","."&amp;C$2&amp;C$1&amp;"P"&amp;$A18))/1000000),0),IF($A$2="DEX",IFERROR(IF($X$1="ABS",(100*RTD("tos.rtd",,"OPEN_INT","."&amp;C$2&amp;C$1&amp;"C"&amp;$A18)*RTD("tos.rtd",,"DELTA","."&amp;C$2&amp;C$1&amp;"C"&amp;$A18)+100*RTD("tos.rtd",,"OPEN_INT","."&amp;C$2&amp;C$1&amp;"P"&amp;$A18)*RTD("tos.rtd",,"DELTA","."&amp;C$2&amp;C$1&amp;"P"&amp;$A18))/1000,(100*RTD("tos.rtd",,"OPEN_INT","."&amp;C$2&amp;C$1&amp;"C"&amp;$A18)*RTD("tos.rtd",,"DELTA","."&amp;C$2&amp;C$1&amp;"C"&amp;$A18)-100*RTD("tos.rtd",,"OPEN_INT","."&amp;C$2&amp;C$1&amp;"P"&amp;$A18)*RTD("tos.rtd",,"DELTA","."&amp;C$2&amp;C$1&amp;"P"&amp;$A18))/1000),0),IF($A$2="VEX",IFERROR(IF($X$1="ABS",($A$4*$A$4*RTD("tos.rtd",,"VOLUME","."&amp;C$2&amp;C$1&amp;"C"&amp;$A18)*RTD("tos.rtd",,"GAMMA","."&amp;C$2&amp;C$1&amp;"C"&amp;$A18)+$A$4*$A$4*RTD("tos.rtd",,"VOLUME","."&amp;C$2&amp;C$1&amp;"P"&amp;$A18)*RTD("tos.rtd",,"GAMMA","."&amp;C$2&amp;C$1&amp;"P"&amp;$A18))/1000000,($A$4*$A$4*RTD("tos.rtd",,"VOLUME","."&amp;C$2&amp;C$1&amp;"C"&amp;$A18)*RTD("tos.rtd",,"GAMMA","."&amp;C$2&amp;C$1&amp;"C"&amp;$A18)-$A$4*$A$4*RTD("tos.rtd",,"VOLUME","."&amp;C$2&amp;C$1&amp;"P"&amp;$A18)*RTD("tos.rtd",,"GAMMA","."&amp;C$2&amp;C$1&amp;"P"&amp;$A18))/1000000),0),IF($A$2="GEX",IFERROR(IF($X$1="ABS",($A$4*$A$4*RTD("tos.rtd",,"OPEN_INT","."&amp;C$2&amp;C$1&amp;"C"&amp;$A18)*RTD("tos.rtd",,"GAMMA","."&amp;C$2&amp;C$1&amp;"C"&amp;$A18)+$A$4*$A$4*RTD("tos.rtd",,"OPEN_INT","."&amp;C$2&amp;C$1&amp;"P"&amp;$A18)*RTD("tos.rtd",,"GAMMA","."&amp;C$2&amp;C$1&amp;"P"&amp;$A18))/1000000,($A$4*$A$4*RTD("tos.rtd",,"OPEN_INT","."&amp;C$2&amp;C$1&amp;"C"&amp;$A18)*RTD("tos.rtd",,"GAMMA","."&amp;C$2&amp;C$1&amp;"C"&amp;$A18)-$A$4*$A$4*RTD("tos.rtd",,"OPEN_INT","."&amp;C$2&amp;C$1&amp;"P"&amp;$A18)*RTD("tos.rtd",,"GAMMA","."&amp;C$2&amp;C$1&amp;"P"&amp;$A18))/1000000),0),IF($A$2="SKEW",IFERROR(VALUE(IF(RTD("tos.rtd",,"IMPL_VOL","."&amp;C$2&amp;C$1&amp;"P"&amp;$A18)="N/A",0,RTD("tos.rtd",,"IMPL_VOL","."&amp;C$2&amp;C$1&amp;"P"&amp;$A18))),0)-IFERROR(VALUE(IF(RTD("tos.rtd",,"IMPL_VOL","."&amp;C$2&amp;C$1&amp;"C"&amp;$A18)="N/A",0,RTD("tos.rtd",,"IMPL_VOL","."&amp;C$2&amp;C$1&amp;"C"&amp;$A18))),0),IF($A$2="MAXPAIN",IF($A$4&gt;$A18,($A$4-$A18)*IF(RTD("tos.rtd",,"OPEN_INT","."&amp;C$2&amp;C$1&amp;"C"&amp;$A18)="N/A",0,RTD("tos.rtd",,"OPEN_INT","."&amp;C$2&amp;C$1&amp;"C"&amp;$A18)),0)+IF($A$4&lt;$A18,($A$5-$A$4)*IF(RTD("tos.rtd",,"OPEN_INT","."&amp;C$2&amp;C$1&amp;"P"&amp;$A18)="N/A",0,RTD("tos.rtd",,"OPEN_INT","."&amp;C$2&amp;C$1&amp;"P"&amp;$A18)),0),IF($X$1="ABS",IF(RTD("tos.rtd",,$A$2,"."&amp;C$2&amp;C$1&amp;"C"&amp;$A18)="N/A",0,RTD("tos.rtd",,$A$2,"."&amp;C$2&amp;C$1&amp;"C"&amp;$A18))+IF(RTD("tos.rtd",,$A$2,"."&amp;C$2&amp;C$1&amp;"P"&amp;$A18)="N/A",0,RTD("tos.rtd",,$A$2,"."&amp;C$2&amp;C$1&amp;"P"&amp;$A18)),IF(RTD("tos.rtd",,$A$2,"."&amp;C$2&amp;C$1&amp;"C"&amp;$A18)="N/A",0,RTD("tos.rtd",,$A$2,"."&amp;C$2&amp;C$1&amp;"C"&amp;$A18))-IF(RTD("tos.rtd",,$A$2,"."&amp;C$2&amp;C$1&amp;"P"&amp;$A18)="N/A",0,RTD("tos.rtd",,$A$2,"."&amp;C$2&amp;C$1&amp;"P"&amp;$A18))))))))))</f>
        <v>569</v>
      </c>
      <c r="D18" s="12">
        <f ca="1">IF($A$2="PREMIUM_OI",IFERROR(IF($X$1="ABS",(100*RTD("tos.rtd",,"OPEN_INT","."&amp;D$2&amp;D$1&amp;"C"&amp;$A18)*RTD("tos.rtd",,"LAST","."&amp;D$2&amp;D$1&amp;"C"&amp;$A18)+100*RTD("tos.rtd",,"OPEN_INT","."&amp;D$2&amp;D$1&amp;"P"&amp;$A18)*RTD("tos.rtd",,"LAST","."&amp;D$2&amp;D$1&amp;"P"&amp;$A18))/1000000,(100*RTD("tos.rtd",,"OPEN_INT","."&amp;D$2&amp;D$1&amp;"C"&amp;$A18)*RTD("tos.rtd",,"LAST","."&amp;D$2&amp;D$1&amp;"C"&amp;$A18)-100*RTD("tos.rtd",,"OPEN_INT","."&amp;D$2&amp;D$1&amp;"P"&amp;$A18)*RTD("tos.rtd",,"LAST","."&amp;D$2&amp;D$1&amp;"P"&amp;$A18))/1000000),0),IF($A$2="PREMIUM",IFERROR(IF($X$1="ABS",(100*RTD("tos.rtd",,"VOLUME","."&amp;D$2&amp;D$1&amp;"C"&amp;$A18)*RTD("tos.rtd",,"LAST","."&amp;D$2&amp;D$1&amp;"C"&amp;$A18)+100*RTD("tos.rtd",,"VOLUME","."&amp;D$2&amp;D$1&amp;"P"&amp;$A18)*RTD("tos.rtd",,"LAST","."&amp;D$2&amp;D$1&amp;"P"&amp;$A18))/1000000,(100*RTD("tos.rtd",,"VOLUME","."&amp;D$2&amp;D$1&amp;"C"&amp;$A18)*RTD("tos.rtd",,"LAST","."&amp;D$2&amp;D$1&amp;"C"&amp;$A18)-100*RTD("tos.rtd",,"VOLUME","."&amp;D$2&amp;D$1&amp;"P"&amp;$A18)*RTD("tos.rtd",,"LAST","."&amp;D$2&amp;D$1&amp;"P"&amp;$A18))/1000000),0),IF($A$2="DEX",IFERROR(IF($X$1="ABS",(100*RTD("tos.rtd",,"OPEN_INT","."&amp;D$2&amp;D$1&amp;"C"&amp;$A18)*RTD("tos.rtd",,"DELTA","."&amp;D$2&amp;D$1&amp;"C"&amp;$A18)+100*RTD("tos.rtd",,"OPEN_INT","."&amp;D$2&amp;D$1&amp;"P"&amp;$A18)*RTD("tos.rtd",,"DELTA","."&amp;D$2&amp;D$1&amp;"P"&amp;$A18))/1000,(100*RTD("tos.rtd",,"OPEN_INT","."&amp;D$2&amp;D$1&amp;"C"&amp;$A18)*RTD("tos.rtd",,"DELTA","."&amp;D$2&amp;D$1&amp;"C"&amp;$A18)-100*RTD("tos.rtd",,"OPEN_INT","."&amp;D$2&amp;D$1&amp;"P"&amp;$A18)*RTD("tos.rtd",,"DELTA","."&amp;D$2&amp;D$1&amp;"P"&amp;$A18))/1000),0),IF($A$2="VEX",IFERROR(IF($X$1="ABS",($A$4*$A$4*RTD("tos.rtd",,"VOLUME","."&amp;D$2&amp;D$1&amp;"C"&amp;$A18)*RTD("tos.rtd",,"GAMMA","."&amp;D$2&amp;D$1&amp;"C"&amp;$A18)+$A$4*$A$4*RTD("tos.rtd",,"VOLUME","."&amp;D$2&amp;D$1&amp;"P"&amp;$A18)*RTD("tos.rtd",,"GAMMA","."&amp;D$2&amp;D$1&amp;"P"&amp;$A18))/1000000,($A$4*$A$4*RTD("tos.rtd",,"VOLUME","."&amp;D$2&amp;D$1&amp;"C"&amp;$A18)*RTD("tos.rtd",,"GAMMA","."&amp;D$2&amp;D$1&amp;"C"&amp;$A18)-$A$4*$A$4*RTD("tos.rtd",,"VOLUME","."&amp;D$2&amp;D$1&amp;"P"&amp;$A18)*RTD("tos.rtd",,"GAMMA","."&amp;D$2&amp;D$1&amp;"P"&amp;$A18))/1000000),0),IF($A$2="GEX",IFERROR(IF($X$1="ABS",($A$4*$A$4*RTD("tos.rtd",,"OPEN_INT","."&amp;D$2&amp;D$1&amp;"C"&amp;$A18)*RTD("tos.rtd",,"GAMMA","."&amp;D$2&amp;D$1&amp;"C"&amp;$A18)+$A$4*$A$4*RTD("tos.rtd",,"OPEN_INT","."&amp;D$2&amp;D$1&amp;"P"&amp;$A18)*RTD("tos.rtd",,"GAMMA","."&amp;D$2&amp;D$1&amp;"P"&amp;$A18))/1000000,($A$4*$A$4*RTD("tos.rtd",,"OPEN_INT","."&amp;D$2&amp;D$1&amp;"C"&amp;$A18)*RTD("tos.rtd",,"GAMMA","."&amp;D$2&amp;D$1&amp;"C"&amp;$A18)-$A$4*$A$4*RTD("tos.rtd",,"OPEN_INT","."&amp;D$2&amp;D$1&amp;"P"&amp;$A18)*RTD("tos.rtd",,"GAMMA","."&amp;D$2&amp;D$1&amp;"P"&amp;$A18))/1000000),0),IF($A$2="SKEW",IFERROR(VALUE(IF(RTD("tos.rtd",,"IMPL_VOL","."&amp;D$2&amp;D$1&amp;"P"&amp;$A18)="N/A",0,RTD("tos.rtd",,"IMPL_VOL","."&amp;D$2&amp;D$1&amp;"P"&amp;$A18))),0)-IFERROR(VALUE(IF(RTD("tos.rtd",,"IMPL_VOL","."&amp;D$2&amp;D$1&amp;"C"&amp;$A18)="N/A",0,RTD("tos.rtd",,"IMPL_VOL","."&amp;D$2&amp;D$1&amp;"C"&amp;$A18))),0),IF($A$2="MAXPAIN",IF($A$4&gt;$A18,($A$4-$A18)*IF(RTD("tos.rtd",,"OPEN_INT","."&amp;D$2&amp;D$1&amp;"C"&amp;$A18)="N/A",0,RTD("tos.rtd",,"OPEN_INT","."&amp;D$2&amp;D$1&amp;"C"&amp;$A18)),0)+IF($A$4&lt;$A18,($A$5-$A$4)*IF(RTD("tos.rtd",,"OPEN_INT","."&amp;D$2&amp;D$1&amp;"P"&amp;$A18)="N/A",0,RTD("tos.rtd",,"OPEN_INT","."&amp;D$2&amp;D$1&amp;"P"&amp;$A18)),0),IF($X$1="ABS",IF(RTD("tos.rtd",,$A$2,"."&amp;D$2&amp;D$1&amp;"C"&amp;$A18)="N/A",0,RTD("tos.rtd",,$A$2,"."&amp;D$2&amp;D$1&amp;"C"&amp;$A18))+IF(RTD("tos.rtd",,$A$2,"."&amp;D$2&amp;D$1&amp;"P"&amp;$A18)="N/A",0,RTD("tos.rtd",,$A$2,"."&amp;D$2&amp;D$1&amp;"P"&amp;$A18)),IF(RTD("tos.rtd",,$A$2,"."&amp;D$2&amp;D$1&amp;"C"&amp;$A18)="N/A",0,RTD("tos.rtd",,$A$2,"."&amp;D$2&amp;D$1&amp;"C"&amp;$A18))-IF(RTD("tos.rtd",,$A$2,"."&amp;D$2&amp;D$1&amp;"P"&amp;$A18)="N/A",0,RTD("tos.rtd",,$A$2,"."&amp;D$2&amp;D$1&amp;"P"&amp;$A18))))))))))</f>
        <v>10047</v>
      </c>
      <c r="E18" s="12">
        <f ca="1">IF($A$2="PREMIUM_OI",IFERROR(IF($X$1="ABS",(100*RTD("tos.rtd",,"OPEN_INT","."&amp;E$2&amp;E$1&amp;"C"&amp;$A18)*RTD("tos.rtd",,"LAST","."&amp;E$2&amp;E$1&amp;"C"&amp;$A18)+100*RTD("tos.rtd",,"OPEN_INT","."&amp;E$2&amp;E$1&amp;"P"&amp;$A18)*RTD("tos.rtd",,"LAST","."&amp;E$2&amp;E$1&amp;"P"&amp;$A18))/1000000,(100*RTD("tos.rtd",,"OPEN_INT","."&amp;E$2&amp;E$1&amp;"C"&amp;$A18)*RTD("tos.rtd",,"LAST","."&amp;E$2&amp;E$1&amp;"C"&amp;$A18)-100*RTD("tos.rtd",,"OPEN_INT","."&amp;E$2&amp;E$1&amp;"P"&amp;$A18)*RTD("tos.rtd",,"LAST","."&amp;E$2&amp;E$1&amp;"P"&amp;$A18))/1000000),0),IF($A$2="PREMIUM",IFERROR(IF($X$1="ABS",(100*RTD("tos.rtd",,"VOLUME","."&amp;E$2&amp;E$1&amp;"C"&amp;$A18)*RTD("tos.rtd",,"LAST","."&amp;E$2&amp;E$1&amp;"C"&amp;$A18)+100*RTD("tos.rtd",,"VOLUME","."&amp;E$2&amp;E$1&amp;"P"&amp;$A18)*RTD("tos.rtd",,"LAST","."&amp;E$2&amp;E$1&amp;"P"&amp;$A18))/1000000,(100*RTD("tos.rtd",,"VOLUME","."&amp;E$2&amp;E$1&amp;"C"&amp;$A18)*RTD("tos.rtd",,"LAST","."&amp;E$2&amp;E$1&amp;"C"&amp;$A18)-100*RTD("tos.rtd",,"VOLUME","."&amp;E$2&amp;E$1&amp;"P"&amp;$A18)*RTD("tos.rtd",,"LAST","."&amp;E$2&amp;E$1&amp;"P"&amp;$A18))/1000000),0),IF($A$2="DEX",IFERROR(IF($X$1="ABS",(100*RTD("tos.rtd",,"OPEN_INT","."&amp;E$2&amp;E$1&amp;"C"&amp;$A18)*RTD("tos.rtd",,"DELTA","."&amp;E$2&amp;E$1&amp;"C"&amp;$A18)+100*RTD("tos.rtd",,"OPEN_INT","."&amp;E$2&amp;E$1&amp;"P"&amp;$A18)*RTD("tos.rtd",,"DELTA","."&amp;E$2&amp;E$1&amp;"P"&amp;$A18))/1000,(100*RTD("tos.rtd",,"OPEN_INT","."&amp;E$2&amp;E$1&amp;"C"&amp;$A18)*RTD("tos.rtd",,"DELTA","."&amp;E$2&amp;E$1&amp;"C"&amp;$A18)-100*RTD("tos.rtd",,"OPEN_INT","."&amp;E$2&amp;E$1&amp;"P"&amp;$A18)*RTD("tos.rtd",,"DELTA","."&amp;E$2&amp;E$1&amp;"P"&amp;$A18))/1000),0),IF($A$2="VEX",IFERROR(IF($X$1="ABS",($A$4*$A$4*RTD("tos.rtd",,"VOLUME","."&amp;E$2&amp;E$1&amp;"C"&amp;$A18)*RTD("tos.rtd",,"GAMMA","."&amp;E$2&amp;E$1&amp;"C"&amp;$A18)+$A$4*$A$4*RTD("tos.rtd",,"VOLUME","."&amp;E$2&amp;E$1&amp;"P"&amp;$A18)*RTD("tos.rtd",,"GAMMA","."&amp;E$2&amp;E$1&amp;"P"&amp;$A18))/1000000,($A$4*$A$4*RTD("tos.rtd",,"VOLUME","."&amp;E$2&amp;E$1&amp;"C"&amp;$A18)*RTD("tos.rtd",,"GAMMA","."&amp;E$2&amp;E$1&amp;"C"&amp;$A18)-$A$4*$A$4*RTD("tos.rtd",,"VOLUME","."&amp;E$2&amp;E$1&amp;"P"&amp;$A18)*RTD("tos.rtd",,"GAMMA","."&amp;E$2&amp;E$1&amp;"P"&amp;$A18))/1000000),0),IF($A$2="GEX",IFERROR(IF($X$1="ABS",($A$4*$A$4*RTD("tos.rtd",,"OPEN_INT","."&amp;E$2&amp;E$1&amp;"C"&amp;$A18)*RTD("tos.rtd",,"GAMMA","."&amp;E$2&amp;E$1&amp;"C"&amp;$A18)+$A$4*$A$4*RTD("tos.rtd",,"OPEN_INT","."&amp;E$2&amp;E$1&amp;"P"&amp;$A18)*RTD("tos.rtd",,"GAMMA","."&amp;E$2&amp;E$1&amp;"P"&amp;$A18))/1000000,($A$4*$A$4*RTD("tos.rtd",,"OPEN_INT","."&amp;E$2&amp;E$1&amp;"C"&amp;$A18)*RTD("tos.rtd",,"GAMMA","."&amp;E$2&amp;E$1&amp;"C"&amp;$A18)-$A$4*$A$4*RTD("tos.rtd",,"OPEN_INT","."&amp;E$2&amp;E$1&amp;"P"&amp;$A18)*RTD("tos.rtd",,"GAMMA","."&amp;E$2&amp;E$1&amp;"P"&amp;$A18))/1000000),0),IF($A$2="SKEW",IFERROR(VALUE(IF(RTD("tos.rtd",,"IMPL_VOL","."&amp;E$2&amp;E$1&amp;"P"&amp;$A18)="N/A",0,RTD("tos.rtd",,"IMPL_VOL","."&amp;E$2&amp;E$1&amp;"P"&amp;$A18))),0)-IFERROR(VALUE(IF(RTD("tos.rtd",,"IMPL_VOL","."&amp;E$2&amp;E$1&amp;"C"&amp;$A18)="N/A",0,RTD("tos.rtd",,"IMPL_VOL","."&amp;E$2&amp;E$1&amp;"C"&amp;$A18))),0),IF($A$2="MAXPAIN",IF($A$4&gt;$A18,($A$4-$A18)*IF(RTD("tos.rtd",,"OPEN_INT","."&amp;E$2&amp;E$1&amp;"C"&amp;$A18)="N/A",0,RTD("tos.rtd",,"OPEN_INT","."&amp;E$2&amp;E$1&amp;"C"&amp;$A18)),0)+IF($A$4&lt;$A18,($A$5-$A$4)*IF(RTD("tos.rtd",,"OPEN_INT","."&amp;E$2&amp;E$1&amp;"P"&amp;$A18)="N/A",0,RTD("tos.rtd",,"OPEN_INT","."&amp;E$2&amp;E$1&amp;"P"&amp;$A18)),0),IF($X$1="ABS",IF(RTD("tos.rtd",,$A$2,"."&amp;E$2&amp;E$1&amp;"C"&amp;$A18)="N/A",0,RTD("tos.rtd",,$A$2,"."&amp;E$2&amp;E$1&amp;"C"&amp;$A18))+IF(RTD("tos.rtd",,$A$2,"."&amp;E$2&amp;E$1&amp;"P"&amp;$A18)="N/A",0,RTD("tos.rtd",,$A$2,"."&amp;E$2&amp;E$1&amp;"P"&amp;$A18)),IF(RTD("tos.rtd",,$A$2,"."&amp;E$2&amp;E$1&amp;"C"&amp;$A18)="N/A",0,RTD("tos.rtd",,$A$2,"."&amp;E$2&amp;E$1&amp;"C"&amp;$A18))-IF(RTD("tos.rtd",,$A$2,"."&amp;E$2&amp;E$1&amp;"P"&amp;$A18)="N/A",0,RTD("tos.rtd",,$A$2,"."&amp;E$2&amp;E$1&amp;"P"&amp;$A18))))))))))</f>
        <v>1282</v>
      </c>
      <c r="F18" s="12">
        <f ca="1">IF($A$2="PREMIUM_OI",IFERROR(IF($X$1="ABS",(100*RTD("tos.rtd",,"OPEN_INT","."&amp;F$2&amp;F$1&amp;"C"&amp;$A18)*RTD("tos.rtd",,"LAST","."&amp;F$2&amp;F$1&amp;"C"&amp;$A18)+100*RTD("tos.rtd",,"OPEN_INT","."&amp;F$2&amp;F$1&amp;"P"&amp;$A18)*RTD("tos.rtd",,"LAST","."&amp;F$2&amp;F$1&amp;"P"&amp;$A18))/1000000,(100*RTD("tos.rtd",,"OPEN_INT","."&amp;F$2&amp;F$1&amp;"C"&amp;$A18)*RTD("tos.rtd",,"LAST","."&amp;F$2&amp;F$1&amp;"C"&amp;$A18)-100*RTD("tos.rtd",,"OPEN_INT","."&amp;F$2&amp;F$1&amp;"P"&amp;$A18)*RTD("tos.rtd",,"LAST","."&amp;F$2&amp;F$1&amp;"P"&amp;$A18))/1000000),0),IF($A$2="PREMIUM",IFERROR(IF($X$1="ABS",(100*RTD("tos.rtd",,"VOLUME","."&amp;F$2&amp;F$1&amp;"C"&amp;$A18)*RTD("tos.rtd",,"LAST","."&amp;F$2&amp;F$1&amp;"C"&amp;$A18)+100*RTD("tos.rtd",,"VOLUME","."&amp;F$2&amp;F$1&amp;"P"&amp;$A18)*RTD("tos.rtd",,"LAST","."&amp;F$2&amp;F$1&amp;"P"&amp;$A18))/1000000,(100*RTD("tos.rtd",,"VOLUME","."&amp;F$2&amp;F$1&amp;"C"&amp;$A18)*RTD("tos.rtd",,"LAST","."&amp;F$2&amp;F$1&amp;"C"&amp;$A18)-100*RTD("tos.rtd",,"VOLUME","."&amp;F$2&amp;F$1&amp;"P"&amp;$A18)*RTD("tos.rtd",,"LAST","."&amp;F$2&amp;F$1&amp;"P"&amp;$A18))/1000000),0),IF($A$2="DEX",IFERROR(IF($X$1="ABS",(100*RTD("tos.rtd",,"OPEN_INT","."&amp;F$2&amp;F$1&amp;"C"&amp;$A18)*RTD("tos.rtd",,"DELTA","."&amp;F$2&amp;F$1&amp;"C"&amp;$A18)+100*RTD("tos.rtd",,"OPEN_INT","."&amp;F$2&amp;F$1&amp;"P"&amp;$A18)*RTD("tos.rtd",,"DELTA","."&amp;F$2&amp;F$1&amp;"P"&amp;$A18))/1000,(100*RTD("tos.rtd",,"OPEN_INT","."&amp;F$2&amp;F$1&amp;"C"&amp;$A18)*RTD("tos.rtd",,"DELTA","."&amp;F$2&amp;F$1&amp;"C"&amp;$A18)-100*RTD("tos.rtd",,"OPEN_INT","."&amp;F$2&amp;F$1&amp;"P"&amp;$A18)*RTD("tos.rtd",,"DELTA","."&amp;F$2&amp;F$1&amp;"P"&amp;$A18))/1000),0),IF($A$2="VEX",IFERROR(IF($X$1="ABS",($A$4*$A$4*RTD("tos.rtd",,"VOLUME","."&amp;F$2&amp;F$1&amp;"C"&amp;$A18)*RTD("tos.rtd",,"GAMMA","."&amp;F$2&amp;F$1&amp;"C"&amp;$A18)+$A$4*$A$4*RTD("tos.rtd",,"VOLUME","."&amp;F$2&amp;F$1&amp;"P"&amp;$A18)*RTD("tos.rtd",,"GAMMA","."&amp;F$2&amp;F$1&amp;"P"&amp;$A18))/1000000,($A$4*$A$4*RTD("tos.rtd",,"VOLUME","."&amp;F$2&amp;F$1&amp;"C"&amp;$A18)*RTD("tos.rtd",,"GAMMA","."&amp;F$2&amp;F$1&amp;"C"&amp;$A18)-$A$4*$A$4*RTD("tos.rtd",,"VOLUME","."&amp;F$2&amp;F$1&amp;"P"&amp;$A18)*RTD("tos.rtd",,"GAMMA","."&amp;F$2&amp;F$1&amp;"P"&amp;$A18))/1000000),0),IF($A$2="GEX",IFERROR(IF($X$1="ABS",($A$4*$A$4*RTD("tos.rtd",,"OPEN_INT","."&amp;F$2&amp;F$1&amp;"C"&amp;$A18)*RTD("tos.rtd",,"GAMMA","."&amp;F$2&amp;F$1&amp;"C"&amp;$A18)+$A$4*$A$4*RTD("tos.rtd",,"OPEN_INT","."&amp;F$2&amp;F$1&amp;"P"&amp;$A18)*RTD("tos.rtd",,"GAMMA","."&amp;F$2&amp;F$1&amp;"P"&amp;$A18))/1000000,($A$4*$A$4*RTD("tos.rtd",,"OPEN_INT","."&amp;F$2&amp;F$1&amp;"C"&amp;$A18)*RTD("tos.rtd",,"GAMMA","."&amp;F$2&amp;F$1&amp;"C"&amp;$A18)-$A$4*$A$4*RTD("tos.rtd",,"OPEN_INT","."&amp;F$2&amp;F$1&amp;"P"&amp;$A18)*RTD("tos.rtd",,"GAMMA","."&amp;F$2&amp;F$1&amp;"P"&amp;$A18))/1000000),0),IF($A$2="SKEW",IFERROR(VALUE(IF(RTD("tos.rtd",,"IMPL_VOL","."&amp;F$2&amp;F$1&amp;"P"&amp;$A18)="N/A",0,RTD("tos.rtd",,"IMPL_VOL","."&amp;F$2&amp;F$1&amp;"P"&amp;$A18))),0)-IFERROR(VALUE(IF(RTD("tos.rtd",,"IMPL_VOL","."&amp;F$2&amp;F$1&amp;"C"&amp;$A18)="N/A",0,RTD("tos.rtd",,"IMPL_VOL","."&amp;F$2&amp;F$1&amp;"C"&amp;$A18))),0),IF($A$2="MAXPAIN",IF($A$4&gt;$A18,($A$4-$A18)*IF(RTD("tos.rtd",,"OPEN_INT","."&amp;F$2&amp;F$1&amp;"C"&amp;$A18)="N/A",0,RTD("tos.rtd",,"OPEN_INT","."&amp;F$2&amp;F$1&amp;"C"&amp;$A18)),0)+IF($A$4&lt;$A18,($A$5-$A$4)*IF(RTD("tos.rtd",,"OPEN_INT","."&amp;F$2&amp;F$1&amp;"P"&amp;$A18)="N/A",0,RTD("tos.rtd",,"OPEN_INT","."&amp;F$2&amp;F$1&amp;"P"&amp;$A18)),0),IF($X$1="ABS",IF(RTD("tos.rtd",,$A$2,"."&amp;F$2&amp;F$1&amp;"C"&amp;$A18)="N/A",0,RTD("tos.rtd",,$A$2,"."&amp;F$2&amp;F$1&amp;"C"&amp;$A18))+IF(RTD("tos.rtd",,$A$2,"."&amp;F$2&amp;F$1&amp;"P"&amp;$A18)="N/A",0,RTD("tos.rtd",,$A$2,"."&amp;F$2&amp;F$1&amp;"P"&amp;$A18)),IF(RTD("tos.rtd",,$A$2,"."&amp;F$2&amp;F$1&amp;"C"&amp;$A18)="N/A",0,RTD("tos.rtd",,$A$2,"."&amp;F$2&amp;F$1&amp;"C"&amp;$A18))-IF(RTD("tos.rtd",,$A$2,"."&amp;F$2&amp;F$1&amp;"P"&amp;$A18)="N/A",0,RTD("tos.rtd",,$A$2,"."&amp;F$2&amp;F$1&amp;"P"&amp;$A18))))))))))</f>
        <v>530</v>
      </c>
      <c r="G18" s="57">
        <f ca="1">IF($A$2="PREMIUM_OI",IFERROR(IF($X$1="ABS",(100*RTD("tos.rtd",,"OPEN_INT","."&amp;G$2&amp;G$1&amp;"C"&amp;$A18)*RTD("tos.rtd",,"LAST","."&amp;G$2&amp;G$1&amp;"C"&amp;$A18)+100*RTD("tos.rtd",,"OPEN_INT","."&amp;G$2&amp;G$1&amp;"P"&amp;$A18)*RTD("tos.rtd",,"LAST","."&amp;G$2&amp;G$1&amp;"P"&amp;$A18))/1000000,(100*RTD("tos.rtd",,"OPEN_INT","."&amp;G$2&amp;G$1&amp;"C"&amp;$A18)*RTD("tos.rtd",,"LAST","."&amp;G$2&amp;G$1&amp;"C"&amp;$A18)-100*RTD("tos.rtd",,"OPEN_INT","."&amp;G$2&amp;G$1&amp;"P"&amp;$A18)*RTD("tos.rtd",,"LAST","."&amp;G$2&amp;G$1&amp;"P"&amp;$A18))/1000000),0),IF($A$2="PREMIUM",IFERROR(IF($X$1="ABS",(100*RTD("tos.rtd",,"VOLUME","."&amp;G$2&amp;G$1&amp;"C"&amp;$A18)*RTD("tos.rtd",,"LAST","."&amp;G$2&amp;G$1&amp;"C"&amp;$A18)+100*RTD("tos.rtd",,"VOLUME","."&amp;G$2&amp;G$1&amp;"P"&amp;$A18)*RTD("tos.rtd",,"LAST","."&amp;G$2&amp;G$1&amp;"P"&amp;$A18))/1000000,(100*RTD("tos.rtd",,"VOLUME","."&amp;G$2&amp;G$1&amp;"C"&amp;$A18)*RTD("tos.rtd",,"LAST","."&amp;G$2&amp;G$1&amp;"C"&amp;$A18)-100*RTD("tos.rtd",,"VOLUME","."&amp;G$2&amp;G$1&amp;"P"&amp;$A18)*RTD("tos.rtd",,"LAST","."&amp;G$2&amp;G$1&amp;"P"&amp;$A18))/1000000),0),IF($A$2="DEX",IFERROR(IF($X$1="ABS",(100*RTD("tos.rtd",,"OPEN_INT","."&amp;G$2&amp;G$1&amp;"C"&amp;$A18)*RTD("tos.rtd",,"DELTA","."&amp;G$2&amp;G$1&amp;"C"&amp;$A18)+100*RTD("tos.rtd",,"OPEN_INT","."&amp;G$2&amp;G$1&amp;"P"&amp;$A18)*RTD("tos.rtd",,"DELTA","."&amp;G$2&amp;G$1&amp;"P"&amp;$A18))/1000,(100*RTD("tos.rtd",,"OPEN_INT","."&amp;G$2&amp;G$1&amp;"C"&amp;$A18)*RTD("tos.rtd",,"DELTA","."&amp;G$2&amp;G$1&amp;"C"&amp;$A18)-100*RTD("tos.rtd",,"OPEN_INT","."&amp;G$2&amp;G$1&amp;"P"&amp;$A18)*RTD("tos.rtd",,"DELTA","."&amp;G$2&amp;G$1&amp;"P"&amp;$A18))/1000),0),IF($A$2="VEX",IFERROR(IF($X$1="ABS",($A$4*$A$4*RTD("tos.rtd",,"VOLUME","."&amp;G$2&amp;G$1&amp;"C"&amp;$A18)*RTD("tos.rtd",,"GAMMA","."&amp;G$2&amp;G$1&amp;"C"&amp;$A18)+$A$4*$A$4*RTD("tos.rtd",,"VOLUME","."&amp;G$2&amp;G$1&amp;"P"&amp;$A18)*RTD("tos.rtd",,"GAMMA","."&amp;G$2&amp;G$1&amp;"P"&amp;$A18))/1000000,($A$4*$A$4*RTD("tos.rtd",,"VOLUME","."&amp;G$2&amp;G$1&amp;"C"&amp;$A18)*RTD("tos.rtd",,"GAMMA","."&amp;G$2&amp;G$1&amp;"C"&amp;$A18)-$A$4*$A$4*RTD("tos.rtd",,"VOLUME","."&amp;G$2&amp;G$1&amp;"P"&amp;$A18)*RTD("tos.rtd",,"GAMMA","."&amp;G$2&amp;G$1&amp;"P"&amp;$A18))/1000000),0),IF($A$2="GEX",IFERROR(IF($X$1="ABS",($A$4*$A$4*RTD("tos.rtd",,"OPEN_INT","."&amp;G$2&amp;G$1&amp;"C"&amp;$A18)*RTD("tos.rtd",,"GAMMA","."&amp;G$2&amp;G$1&amp;"C"&amp;$A18)+$A$4*$A$4*RTD("tos.rtd",,"OPEN_INT","."&amp;G$2&amp;G$1&amp;"P"&amp;$A18)*RTD("tos.rtd",,"GAMMA","."&amp;G$2&amp;G$1&amp;"P"&amp;$A18))/1000000,($A$4*$A$4*RTD("tos.rtd",,"OPEN_INT","."&amp;G$2&amp;G$1&amp;"C"&amp;$A18)*RTD("tos.rtd",,"GAMMA","."&amp;G$2&amp;G$1&amp;"C"&amp;$A18)-$A$4*$A$4*RTD("tos.rtd",,"OPEN_INT","."&amp;G$2&amp;G$1&amp;"P"&amp;$A18)*RTD("tos.rtd",,"GAMMA","."&amp;G$2&amp;G$1&amp;"P"&amp;$A18))/1000000),0),IF($A$2="SKEW",IFERROR(VALUE(IF(RTD("tos.rtd",,"IMPL_VOL","."&amp;G$2&amp;G$1&amp;"P"&amp;$A18)="N/A",0,RTD("tos.rtd",,"IMPL_VOL","."&amp;G$2&amp;G$1&amp;"P"&amp;$A18))),0)-IFERROR(VALUE(IF(RTD("tos.rtd",,"IMPL_VOL","."&amp;G$2&amp;G$1&amp;"C"&amp;$A18)="N/A",0,RTD("tos.rtd",,"IMPL_VOL","."&amp;G$2&amp;G$1&amp;"C"&amp;$A18))),0),IF($A$2="MAXPAIN",IF($A$4&gt;$A18,($A$4-$A18)*IF(RTD("tos.rtd",,"OPEN_INT","."&amp;G$2&amp;G$1&amp;"C"&amp;$A18)="N/A",0,RTD("tos.rtd",,"OPEN_INT","."&amp;G$2&amp;G$1&amp;"C"&amp;$A18)),0)+IF($A$4&lt;$A18,($A$5-$A$4)*IF(RTD("tos.rtd",,"OPEN_INT","."&amp;G$2&amp;G$1&amp;"P"&amp;$A18)="N/A",0,RTD("tos.rtd",,"OPEN_INT","."&amp;G$2&amp;G$1&amp;"P"&amp;$A18)),0),IF($X$1="ABS",IF(RTD("tos.rtd",,$A$2,"."&amp;G$2&amp;G$1&amp;"C"&amp;$A18)="N/A",0,RTD("tos.rtd",,$A$2,"."&amp;G$2&amp;G$1&amp;"C"&amp;$A18))+IF(RTD("tos.rtd",,$A$2,"."&amp;G$2&amp;G$1&amp;"P"&amp;$A18)="N/A",0,RTD("tos.rtd",,$A$2,"."&amp;G$2&amp;G$1&amp;"P"&amp;$A18)),IF(RTD("tos.rtd",,$A$2,"."&amp;G$2&amp;G$1&amp;"C"&amp;$A18)="N/A",0,RTD("tos.rtd",,$A$2,"."&amp;G$2&amp;G$1&amp;"C"&amp;$A18))-IF(RTD("tos.rtd",,$A$2,"."&amp;G$2&amp;G$1&amp;"P"&amp;$A18)="N/A",0,RTD("tos.rtd",,$A$2,"."&amp;G$2&amp;G$1&amp;"P"&amp;$A18))))))))))</f>
        <v>299</v>
      </c>
      <c r="H18" s="14">
        <f ca="1">IF($A$2="PREMIUM_OI",IFERROR(IF($X$1="ABS",(100*RTD("tos.rtd",,"OPEN_INT","."&amp;H$2&amp;H$1&amp;"C"&amp;$A18)*RTD("tos.rtd",,"LAST","."&amp;H$2&amp;H$1&amp;"C"&amp;$A18)+100*RTD("tos.rtd",,"OPEN_INT","."&amp;H$2&amp;H$1&amp;"P"&amp;$A18)*RTD("tos.rtd",,"LAST","."&amp;H$2&amp;H$1&amp;"P"&amp;$A18))/1000000,(100*RTD("tos.rtd",,"OPEN_INT","."&amp;H$2&amp;H$1&amp;"C"&amp;$A18)*RTD("tos.rtd",,"LAST","."&amp;H$2&amp;H$1&amp;"C"&amp;$A18)-100*RTD("tos.rtd",,"OPEN_INT","."&amp;H$2&amp;H$1&amp;"P"&amp;$A18)*RTD("tos.rtd",,"LAST","."&amp;H$2&amp;H$1&amp;"P"&amp;$A18))/1000000),0),IF($A$2="PREMIUM",IFERROR(IF($X$1="ABS",(100*RTD("tos.rtd",,"VOLUME","."&amp;H$2&amp;H$1&amp;"C"&amp;$A18)*RTD("tos.rtd",,"LAST","."&amp;H$2&amp;H$1&amp;"C"&amp;$A18)+100*RTD("tos.rtd",,"VOLUME","."&amp;H$2&amp;H$1&amp;"P"&amp;$A18)*RTD("tos.rtd",,"LAST","."&amp;H$2&amp;H$1&amp;"P"&amp;$A18))/1000000,(100*RTD("tos.rtd",,"VOLUME","."&amp;H$2&amp;H$1&amp;"C"&amp;$A18)*RTD("tos.rtd",,"LAST","."&amp;H$2&amp;H$1&amp;"C"&amp;$A18)-100*RTD("tos.rtd",,"VOLUME","."&amp;H$2&amp;H$1&amp;"P"&amp;$A18)*RTD("tos.rtd",,"LAST","."&amp;H$2&amp;H$1&amp;"P"&amp;$A18))/1000000),0),IF($A$2="DEX",IFERROR(IF($X$1="ABS",(100*RTD("tos.rtd",,"OPEN_INT","."&amp;H$2&amp;H$1&amp;"C"&amp;$A18)*RTD("tos.rtd",,"DELTA","."&amp;H$2&amp;H$1&amp;"C"&amp;$A18)+100*RTD("tos.rtd",,"OPEN_INT","."&amp;H$2&amp;H$1&amp;"P"&amp;$A18)*RTD("tos.rtd",,"DELTA","."&amp;H$2&amp;H$1&amp;"P"&amp;$A18))/1000,(100*RTD("tos.rtd",,"OPEN_INT","."&amp;H$2&amp;H$1&amp;"C"&amp;$A18)*RTD("tos.rtd",,"DELTA","."&amp;H$2&amp;H$1&amp;"C"&amp;$A18)-100*RTD("tos.rtd",,"OPEN_INT","."&amp;H$2&amp;H$1&amp;"P"&amp;$A18)*RTD("tos.rtd",,"DELTA","."&amp;H$2&amp;H$1&amp;"P"&amp;$A18))/1000),0),IF($A$2="VEX",IFERROR(IF($X$1="ABS",($A$4*$A$4*RTD("tos.rtd",,"VOLUME","."&amp;H$2&amp;H$1&amp;"C"&amp;$A18)*RTD("tos.rtd",,"GAMMA","."&amp;H$2&amp;H$1&amp;"C"&amp;$A18)+$A$4*$A$4*RTD("tos.rtd",,"VOLUME","."&amp;H$2&amp;H$1&amp;"P"&amp;$A18)*RTD("tos.rtd",,"GAMMA","."&amp;H$2&amp;H$1&amp;"P"&amp;$A18))/1000000,($A$4*$A$4*RTD("tos.rtd",,"VOLUME","."&amp;H$2&amp;H$1&amp;"C"&amp;$A18)*RTD("tos.rtd",,"GAMMA","."&amp;H$2&amp;H$1&amp;"C"&amp;$A18)-$A$4*$A$4*RTD("tos.rtd",,"VOLUME","."&amp;H$2&amp;H$1&amp;"P"&amp;$A18)*RTD("tos.rtd",,"GAMMA","."&amp;H$2&amp;H$1&amp;"P"&amp;$A18))/1000000),0),IF($A$2="GEX",IFERROR(IF($X$1="ABS",($A$4*$A$4*RTD("tos.rtd",,"OPEN_INT","."&amp;H$2&amp;H$1&amp;"C"&amp;$A18)*RTD("tos.rtd",,"GAMMA","."&amp;H$2&amp;H$1&amp;"C"&amp;$A18)+$A$4*$A$4*RTD("tos.rtd",,"OPEN_INT","."&amp;H$2&amp;H$1&amp;"P"&amp;$A18)*RTD("tos.rtd",,"GAMMA","."&amp;H$2&amp;H$1&amp;"P"&amp;$A18))/1000000,($A$4*$A$4*RTD("tos.rtd",,"OPEN_INT","."&amp;H$2&amp;H$1&amp;"C"&amp;$A18)*RTD("tos.rtd",,"GAMMA","."&amp;H$2&amp;H$1&amp;"C"&amp;$A18)-$A$4*$A$4*RTD("tos.rtd",,"OPEN_INT","."&amp;H$2&amp;H$1&amp;"P"&amp;$A18)*RTD("tos.rtd",,"GAMMA","."&amp;H$2&amp;H$1&amp;"P"&amp;$A18))/1000000),0),IF($A$2="SKEW",IFERROR(VALUE(IF(RTD("tos.rtd",,"IMPL_VOL","."&amp;H$2&amp;H$1&amp;"P"&amp;$A18)="N/A",0,RTD("tos.rtd",,"IMPL_VOL","."&amp;H$2&amp;H$1&amp;"P"&amp;$A18))),0)-IFERROR(VALUE(IF(RTD("tos.rtd",,"IMPL_VOL","."&amp;H$2&amp;H$1&amp;"C"&amp;$A18)="N/A",0,RTD("tos.rtd",,"IMPL_VOL","."&amp;H$2&amp;H$1&amp;"C"&amp;$A18))),0),IF($A$2="MAXPAIN",IF($A$4&gt;$A18,($A$4-$A18)*IF(RTD("tos.rtd",,"OPEN_INT","."&amp;H$2&amp;H$1&amp;"C"&amp;$A18)="N/A",0,RTD("tos.rtd",,"OPEN_INT","."&amp;H$2&amp;H$1&amp;"C"&amp;$A18)),0)+IF($A$4&lt;$A18,($A$5-$A$4)*IF(RTD("tos.rtd",,"OPEN_INT","."&amp;H$2&amp;H$1&amp;"P"&amp;$A18)="N/A",0,RTD("tos.rtd",,"OPEN_INT","."&amp;H$2&amp;H$1&amp;"P"&amp;$A18)),0),IF($X$1="ABS",IF(RTD("tos.rtd",,$A$2,"."&amp;H$2&amp;H$1&amp;"C"&amp;$A18)="N/A",0,RTD("tos.rtd",,$A$2,"."&amp;H$2&amp;H$1&amp;"C"&amp;$A18))+IF(RTD("tos.rtd",,$A$2,"."&amp;H$2&amp;H$1&amp;"P"&amp;$A18)="N/A",0,RTD("tos.rtd",,$A$2,"."&amp;H$2&amp;H$1&amp;"P"&amp;$A18)),IF(RTD("tos.rtd",,$A$2,"."&amp;H$2&amp;H$1&amp;"C"&amp;$A18)="N/A",0,RTD("tos.rtd",,$A$2,"."&amp;H$2&amp;H$1&amp;"C"&amp;$A18))-IF(RTD("tos.rtd",,$A$2,"."&amp;H$2&amp;H$1&amp;"P"&amp;$A18)="N/A",0,RTD("tos.rtd",,$A$2,"."&amp;H$2&amp;H$1&amp;"P"&amp;$A18))))))))))</f>
        <v>16906</v>
      </c>
      <c r="I18" s="12">
        <f ca="1">IF($A$2="PREMIUM_OI",IFERROR(IF($X$1="ABS",(100*RTD("tos.rtd",,"OPEN_INT","."&amp;I$2&amp;I$1&amp;"C"&amp;$A18)*RTD("tos.rtd",,"LAST","."&amp;I$2&amp;I$1&amp;"C"&amp;$A18)+100*RTD("tos.rtd",,"OPEN_INT","."&amp;I$2&amp;I$1&amp;"P"&amp;$A18)*RTD("tos.rtd",,"LAST","."&amp;I$2&amp;I$1&amp;"P"&amp;$A18))/1000000,(100*RTD("tos.rtd",,"OPEN_INT","."&amp;I$2&amp;I$1&amp;"C"&amp;$A18)*RTD("tos.rtd",,"LAST","."&amp;I$2&amp;I$1&amp;"C"&amp;$A18)-100*RTD("tos.rtd",,"OPEN_INT","."&amp;I$2&amp;I$1&amp;"P"&amp;$A18)*RTD("tos.rtd",,"LAST","."&amp;I$2&amp;I$1&amp;"P"&amp;$A18))/1000000),0),IF($A$2="PREMIUM",IFERROR(IF($X$1="ABS",(100*RTD("tos.rtd",,"VOLUME","."&amp;I$2&amp;I$1&amp;"C"&amp;$A18)*RTD("tos.rtd",,"LAST","."&amp;I$2&amp;I$1&amp;"C"&amp;$A18)+100*RTD("tos.rtd",,"VOLUME","."&amp;I$2&amp;I$1&amp;"P"&amp;$A18)*RTD("tos.rtd",,"LAST","."&amp;I$2&amp;I$1&amp;"P"&amp;$A18))/1000000,(100*RTD("tos.rtd",,"VOLUME","."&amp;I$2&amp;I$1&amp;"C"&amp;$A18)*RTD("tos.rtd",,"LAST","."&amp;I$2&amp;I$1&amp;"C"&amp;$A18)-100*RTD("tos.rtd",,"VOLUME","."&amp;I$2&amp;I$1&amp;"P"&amp;$A18)*RTD("tos.rtd",,"LAST","."&amp;I$2&amp;I$1&amp;"P"&amp;$A18))/1000000),0),IF($A$2="DEX",IFERROR(IF($X$1="ABS",(100*RTD("tos.rtd",,"OPEN_INT","."&amp;I$2&amp;I$1&amp;"C"&amp;$A18)*RTD("tos.rtd",,"DELTA","."&amp;I$2&amp;I$1&amp;"C"&amp;$A18)+100*RTD("tos.rtd",,"OPEN_INT","."&amp;I$2&amp;I$1&amp;"P"&amp;$A18)*RTD("tos.rtd",,"DELTA","."&amp;I$2&amp;I$1&amp;"P"&amp;$A18))/1000,(100*RTD("tos.rtd",,"OPEN_INT","."&amp;I$2&amp;I$1&amp;"C"&amp;$A18)*RTD("tos.rtd",,"DELTA","."&amp;I$2&amp;I$1&amp;"C"&amp;$A18)-100*RTD("tos.rtd",,"OPEN_INT","."&amp;I$2&amp;I$1&amp;"P"&amp;$A18)*RTD("tos.rtd",,"DELTA","."&amp;I$2&amp;I$1&amp;"P"&amp;$A18))/1000),0),IF($A$2="VEX",IFERROR(IF($X$1="ABS",($A$4*$A$4*RTD("tos.rtd",,"VOLUME","."&amp;I$2&amp;I$1&amp;"C"&amp;$A18)*RTD("tos.rtd",,"GAMMA","."&amp;I$2&amp;I$1&amp;"C"&amp;$A18)+$A$4*$A$4*RTD("tos.rtd",,"VOLUME","."&amp;I$2&amp;I$1&amp;"P"&amp;$A18)*RTD("tos.rtd",,"GAMMA","."&amp;I$2&amp;I$1&amp;"P"&amp;$A18))/1000000,($A$4*$A$4*RTD("tos.rtd",,"VOLUME","."&amp;I$2&amp;I$1&amp;"C"&amp;$A18)*RTD("tos.rtd",,"GAMMA","."&amp;I$2&amp;I$1&amp;"C"&amp;$A18)-$A$4*$A$4*RTD("tos.rtd",,"VOLUME","."&amp;I$2&amp;I$1&amp;"P"&amp;$A18)*RTD("tos.rtd",,"GAMMA","."&amp;I$2&amp;I$1&amp;"P"&amp;$A18))/1000000),0),IF($A$2="GEX",IFERROR(IF($X$1="ABS",($A$4*$A$4*RTD("tos.rtd",,"OPEN_INT","."&amp;I$2&amp;I$1&amp;"C"&amp;$A18)*RTD("tos.rtd",,"GAMMA","."&amp;I$2&amp;I$1&amp;"C"&amp;$A18)+$A$4*$A$4*RTD("tos.rtd",,"OPEN_INT","."&amp;I$2&amp;I$1&amp;"P"&amp;$A18)*RTD("tos.rtd",,"GAMMA","."&amp;I$2&amp;I$1&amp;"P"&amp;$A18))/1000000,($A$4*$A$4*RTD("tos.rtd",,"OPEN_INT","."&amp;I$2&amp;I$1&amp;"C"&amp;$A18)*RTD("tos.rtd",,"GAMMA","."&amp;I$2&amp;I$1&amp;"C"&amp;$A18)-$A$4*$A$4*RTD("tos.rtd",,"OPEN_INT","."&amp;I$2&amp;I$1&amp;"P"&amp;$A18)*RTD("tos.rtd",,"GAMMA","."&amp;I$2&amp;I$1&amp;"P"&amp;$A18))/1000000),0),IF($A$2="SKEW",IFERROR(VALUE(IF(RTD("tos.rtd",,"IMPL_VOL","."&amp;I$2&amp;I$1&amp;"P"&amp;$A18)="N/A",0,RTD("tos.rtd",,"IMPL_VOL","."&amp;I$2&amp;I$1&amp;"P"&amp;$A18))),0)-IFERROR(VALUE(IF(RTD("tos.rtd",,"IMPL_VOL","."&amp;I$2&amp;I$1&amp;"C"&amp;$A18)="N/A",0,RTD("tos.rtd",,"IMPL_VOL","."&amp;I$2&amp;I$1&amp;"C"&amp;$A18))),0),IF($A$2="MAXPAIN",IF($A$4&gt;$A18,($A$4-$A18)*IF(RTD("tos.rtd",,"OPEN_INT","."&amp;I$2&amp;I$1&amp;"C"&amp;$A18)="N/A",0,RTD("tos.rtd",,"OPEN_INT","."&amp;I$2&amp;I$1&amp;"C"&amp;$A18)),0)+IF($A$4&lt;$A18,($A$5-$A$4)*IF(RTD("tos.rtd",,"OPEN_INT","."&amp;I$2&amp;I$1&amp;"P"&amp;$A18)="N/A",0,RTD("tos.rtd",,"OPEN_INT","."&amp;I$2&amp;I$1&amp;"P"&amp;$A18)),0),IF($X$1="ABS",IF(RTD("tos.rtd",,$A$2,"."&amp;I$2&amp;I$1&amp;"C"&amp;$A18)="N/A",0,RTD("tos.rtd",,$A$2,"."&amp;I$2&amp;I$1&amp;"C"&amp;$A18))+IF(RTD("tos.rtd",,$A$2,"."&amp;I$2&amp;I$1&amp;"P"&amp;$A18)="N/A",0,RTD("tos.rtd",,$A$2,"."&amp;I$2&amp;I$1&amp;"P"&amp;$A18)),IF(RTD("tos.rtd",,$A$2,"."&amp;I$2&amp;I$1&amp;"C"&amp;$A18)="N/A",0,RTD("tos.rtd",,$A$2,"."&amp;I$2&amp;I$1&amp;"C"&amp;$A18))-IF(RTD("tos.rtd",,$A$2,"."&amp;I$2&amp;I$1&amp;"P"&amp;$A18)="N/A",0,RTD("tos.rtd",,$A$2,"."&amp;I$2&amp;I$1&amp;"P"&amp;$A18))))))))))</f>
        <v>0</v>
      </c>
      <c r="J18" s="12">
        <f ca="1">IF($A$2="PREMIUM_OI",IFERROR(IF($X$1="ABS",(100*RTD("tos.rtd",,"OPEN_INT","."&amp;J$2&amp;J$1&amp;"C"&amp;$A18)*RTD("tos.rtd",,"LAST","."&amp;J$2&amp;J$1&amp;"C"&amp;$A18)+100*RTD("tos.rtd",,"OPEN_INT","."&amp;J$2&amp;J$1&amp;"P"&amp;$A18)*RTD("tos.rtd",,"LAST","."&amp;J$2&amp;J$1&amp;"P"&amp;$A18))/1000000,(100*RTD("tos.rtd",,"OPEN_INT","."&amp;J$2&amp;J$1&amp;"C"&amp;$A18)*RTD("tos.rtd",,"LAST","."&amp;J$2&amp;J$1&amp;"C"&amp;$A18)-100*RTD("tos.rtd",,"OPEN_INT","."&amp;J$2&amp;J$1&amp;"P"&amp;$A18)*RTD("tos.rtd",,"LAST","."&amp;J$2&amp;J$1&amp;"P"&amp;$A18))/1000000),0),IF($A$2="PREMIUM",IFERROR(IF($X$1="ABS",(100*RTD("tos.rtd",,"VOLUME","."&amp;J$2&amp;J$1&amp;"C"&amp;$A18)*RTD("tos.rtd",,"LAST","."&amp;J$2&amp;J$1&amp;"C"&amp;$A18)+100*RTD("tos.rtd",,"VOLUME","."&amp;J$2&amp;J$1&amp;"P"&amp;$A18)*RTD("tos.rtd",,"LAST","."&amp;J$2&amp;J$1&amp;"P"&amp;$A18))/1000000,(100*RTD("tos.rtd",,"VOLUME","."&amp;J$2&amp;J$1&amp;"C"&amp;$A18)*RTD("tos.rtd",,"LAST","."&amp;J$2&amp;J$1&amp;"C"&amp;$A18)-100*RTD("tos.rtd",,"VOLUME","."&amp;J$2&amp;J$1&amp;"P"&amp;$A18)*RTD("tos.rtd",,"LAST","."&amp;J$2&amp;J$1&amp;"P"&amp;$A18))/1000000),0),IF($A$2="DEX",IFERROR(IF($X$1="ABS",(100*RTD("tos.rtd",,"OPEN_INT","."&amp;J$2&amp;J$1&amp;"C"&amp;$A18)*RTD("tos.rtd",,"DELTA","."&amp;J$2&amp;J$1&amp;"C"&amp;$A18)+100*RTD("tos.rtd",,"OPEN_INT","."&amp;J$2&amp;J$1&amp;"P"&amp;$A18)*RTD("tos.rtd",,"DELTA","."&amp;J$2&amp;J$1&amp;"P"&amp;$A18))/1000,(100*RTD("tos.rtd",,"OPEN_INT","."&amp;J$2&amp;J$1&amp;"C"&amp;$A18)*RTD("tos.rtd",,"DELTA","."&amp;J$2&amp;J$1&amp;"C"&amp;$A18)-100*RTD("tos.rtd",,"OPEN_INT","."&amp;J$2&amp;J$1&amp;"P"&amp;$A18)*RTD("tos.rtd",,"DELTA","."&amp;J$2&amp;J$1&amp;"P"&amp;$A18))/1000),0),IF($A$2="VEX",IFERROR(IF($X$1="ABS",($A$4*$A$4*RTD("tos.rtd",,"VOLUME","."&amp;J$2&amp;J$1&amp;"C"&amp;$A18)*RTD("tos.rtd",,"GAMMA","."&amp;J$2&amp;J$1&amp;"C"&amp;$A18)+$A$4*$A$4*RTD("tos.rtd",,"VOLUME","."&amp;J$2&amp;J$1&amp;"P"&amp;$A18)*RTD("tos.rtd",,"GAMMA","."&amp;J$2&amp;J$1&amp;"P"&amp;$A18))/1000000,($A$4*$A$4*RTD("tos.rtd",,"VOLUME","."&amp;J$2&amp;J$1&amp;"C"&amp;$A18)*RTD("tos.rtd",,"GAMMA","."&amp;J$2&amp;J$1&amp;"C"&amp;$A18)-$A$4*$A$4*RTD("tos.rtd",,"VOLUME","."&amp;J$2&amp;J$1&amp;"P"&amp;$A18)*RTD("tos.rtd",,"GAMMA","."&amp;J$2&amp;J$1&amp;"P"&amp;$A18))/1000000),0),IF($A$2="GEX",IFERROR(IF($X$1="ABS",($A$4*$A$4*RTD("tos.rtd",,"OPEN_INT","."&amp;J$2&amp;J$1&amp;"C"&amp;$A18)*RTD("tos.rtd",,"GAMMA","."&amp;J$2&amp;J$1&amp;"C"&amp;$A18)+$A$4*$A$4*RTD("tos.rtd",,"OPEN_INT","."&amp;J$2&amp;J$1&amp;"P"&amp;$A18)*RTD("tos.rtd",,"GAMMA","."&amp;J$2&amp;J$1&amp;"P"&amp;$A18))/1000000,($A$4*$A$4*RTD("tos.rtd",,"OPEN_INT","."&amp;J$2&amp;J$1&amp;"C"&amp;$A18)*RTD("tos.rtd",,"GAMMA","."&amp;J$2&amp;J$1&amp;"C"&amp;$A18)-$A$4*$A$4*RTD("tos.rtd",,"OPEN_INT","."&amp;J$2&amp;J$1&amp;"P"&amp;$A18)*RTD("tos.rtd",,"GAMMA","."&amp;J$2&amp;J$1&amp;"P"&amp;$A18))/1000000),0),IF($A$2="SKEW",IFERROR(VALUE(IF(RTD("tos.rtd",,"IMPL_VOL","."&amp;J$2&amp;J$1&amp;"P"&amp;$A18)="N/A",0,RTD("tos.rtd",,"IMPL_VOL","."&amp;J$2&amp;J$1&amp;"P"&amp;$A18))),0)-IFERROR(VALUE(IF(RTD("tos.rtd",,"IMPL_VOL","."&amp;J$2&amp;J$1&amp;"C"&amp;$A18)="N/A",0,RTD("tos.rtd",,"IMPL_VOL","."&amp;J$2&amp;J$1&amp;"C"&amp;$A18))),0),IF($A$2="MAXPAIN",IF($A$4&gt;$A18,($A$4-$A18)*IF(RTD("tos.rtd",,"OPEN_INT","."&amp;J$2&amp;J$1&amp;"C"&amp;$A18)="N/A",0,RTD("tos.rtd",,"OPEN_INT","."&amp;J$2&amp;J$1&amp;"C"&amp;$A18)),0)+IF($A$4&lt;$A18,($A$5-$A$4)*IF(RTD("tos.rtd",,"OPEN_INT","."&amp;J$2&amp;J$1&amp;"P"&amp;$A18)="N/A",0,RTD("tos.rtd",,"OPEN_INT","."&amp;J$2&amp;J$1&amp;"P"&amp;$A18)),0),IF($X$1="ABS",IF(RTD("tos.rtd",,$A$2,"."&amp;J$2&amp;J$1&amp;"C"&amp;$A18)="N/A",0,RTD("tos.rtd",,$A$2,"."&amp;J$2&amp;J$1&amp;"C"&amp;$A18))+IF(RTD("tos.rtd",,$A$2,"."&amp;J$2&amp;J$1&amp;"P"&amp;$A18)="N/A",0,RTD("tos.rtd",,$A$2,"."&amp;J$2&amp;J$1&amp;"P"&amp;$A18)),IF(RTD("tos.rtd",,$A$2,"."&amp;J$2&amp;J$1&amp;"C"&amp;$A18)="N/A",0,RTD("tos.rtd",,$A$2,"."&amp;J$2&amp;J$1&amp;"C"&amp;$A18))-IF(RTD("tos.rtd",,$A$2,"."&amp;J$2&amp;J$1&amp;"P"&amp;$A18)="N/A",0,RTD("tos.rtd",,$A$2,"."&amp;J$2&amp;J$1&amp;"P"&amp;$A18))))))))))</f>
        <v>0</v>
      </c>
      <c r="K18" s="12">
        <f ca="1">IF($A$2="PREMIUM_OI",IFERROR(IF($X$1="ABS",(100*RTD("tos.rtd",,"OPEN_INT","."&amp;K$2&amp;K$1&amp;"C"&amp;$A18)*RTD("tos.rtd",,"LAST","."&amp;K$2&amp;K$1&amp;"C"&amp;$A18)+100*RTD("tos.rtd",,"OPEN_INT","."&amp;K$2&amp;K$1&amp;"P"&amp;$A18)*RTD("tos.rtd",,"LAST","."&amp;K$2&amp;K$1&amp;"P"&amp;$A18))/1000000,(100*RTD("tos.rtd",,"OPEN_INT","."&amp;K$2&amp;K$1&amp;"C"&amp;$A18)*RTD("tos.rtd",,"LAST","."&amp;K$2&amp;K$1&amp;"C"&amp;$A18)-100*RTD("tos.rtd",,"OPEN_INT","."&amp;K$2&amp;K$1&amp;"P"&amp;$A18)*RTD("tos.rtd",,"LAST","."&amp;K$2&amp;K$1&amp;"P"&amp;$A18))/1000000),0),IF($A$2="PREMIUM",IFERROR(IF($X$1="ABS",(100*RTD("tos.rtd",,"VOLUME","."&amp;K$2&amp;K$1&amp;"C"&amp;$A18)*RTD("tos.rtd",,"LAST","."&amp;K$2&amp;K$1&amp;"C"&amp;$A18)+100*RTD("tos.rtd",,"VOLUME","."&amp;K$2&amp;K$1&amp;"P"&amp;$A18)*RTD("tos.rtd",,"LAST","."&amp;K$2&amp;K$1&amp;"P"&amp;$A18))/1000000,(100*RTD("tos.rtd",,"VOLUME","."&amp;K$2&amp;K$1&amp;"C"&amp;$A18)*RTD("tos.rtd",,"LAST","."&amp;K$2&amp;K$1&amp;"C"&amp;$A18)-100*RTD("tos.rtd",,"VOLUME","."&amp;K$2&amp;K$1&amp;"P"&amp;$A18)*RTD("tos.rtd",,"LAST","."&amp;K$2&amp;K$1&amp;"P"&amp;$A18))/1000000),0),IF($A$2="DEX",IFERROR(IF($X$1="ABS",(100*RTD("tos.rtd",,"OPEN_INT","."&amp;K$2&amp;K$1&amp;"C"&amp;$A18)*RTD("tos.rtd",,"DELTA","."&amp;K$2&amp;K$1&amp;"C"&amp;$A18)+100*RTD("tos.rtd",,"OPEN_INT","."&amp;K$2&amp;K$1&amp;"P"&amp;$A18)*RTD("tos.rtd",,"DELTA","."&amp;K$2&amp;K$1&amp;"P"&amp;$A18))/1000,(100*RTD("tos.rtd",,"OPEN_INT","."&amp;K$2&amp;K$1&amp;"C"&amp;$A18)*RTD("tos.rtd",,"DELTA","."&amp;K$2&amp;K$1&amp;"C"&amp;$A18)-100*RTD("tos.rtd",,"OPEN_INT","."&amp;K$2&amp;K$1&amp;"P"&amp;$A18)*RTD("tos.rtd",,"DELTA","."&amp;K$2&amp;K$1&amp;"P"&amp;$A18))/1000),0),IF($A$2="VEX",IFERROR(IF($X$1="ABS",($A$4*$A$4*RTD("tos.rtd",,"VOLUME","."&amp;K$2&amp;K$1&amp;"C"&amp;$A18)*RTD("tos.rtd",,"GAMMA","."&amp;K$2&amp;K$1&amp;"C"&amp;$A18)+$A$4*$A$4*RTD("tos.rtd",,"VOLUME","."&amp;K$2&amp;K$1&amp;"P"&amp;$A18)*RTD("tos.rtd",,"GAMMA","."&amp;K$2&amp;K$1&amp;"P"&amp;$A18))/1000000,($A$4*$A$4*RTD("tos.rtd",,"VOLUME","."&amp;K$2&amp;K$1&amp;"C"&amp;$A18)*RTD("tos.rtd",,"GAMMA","."&amp;K$2&amp;K$1&amp;"C"&amp;$A18)-$A$4*$A$4*RTD("tos.rtd",,"VOLUME","."&amp;K$2&amp;K$1&amp;"P"&amp;$A18)*RTD("tos.rtd",,"GAMMA","."&amp;K$2&amp;K$1&amp;"P"&amp;$A18))/1000000),0),IF($A$2="GEX",IFERROR(IF($X$1="ABS",($A$4*$A$4*RTD("tos.rtd",,"OPEN_INT","."&amp;K$2&amp;K$1&amp;"C"&amp;$A18)*RTD("tos.rtd",,"GAMMA","."&amp;K$2&amp;K$1&amp;"C"&amp;$A18)+$A$4*$A$4*RTD("tos.rtd",,"OPEN_INT","."&amp;K$2&amp;K$1&amp;"P"&amp;$A18)*RTD("tos.rtd",,"GAMMA","."&amp;K$2&amp;K$1&amp;"P"&amp;$A18))/1000000,($A$4*$A$4*RTD("tos.rtd",,"OPEN_INT","."&amp;K$2&amp;K$1&amp;"C"&amp;$A18)*RTD("tos.rtd",,"GAMMA","."&amp;K$2&amp;K$1&amp;"C"&amp;$A18)-$A$4*$A$4*RTD("tos.rtd",,"OPEN_INT","."&amp;K$2&amp;K$1&amp;"P"&amp;$A18)*RTD("tos.rtd",,"GAMMA","."&amp;K$2&amp;K$1&amp;"P"&amp;$A18))/1000000),0),IF($A$2="SKEW",IFERROR(VALUE(IF(RTD("tos.rtd",,"IMPL_VOL","."&amp;K$2&amp;K$1&amp;"P"&amp;$A18)="N/A",0,RTD("tos.rtd",,"IMPL_VOL","."&amp;K$2&amp;K$1&amp;"P"&amp;$A18))),0)-IFERROR(VALUE(IF(RTD("tos.rtd",,"IMPL_VOL","."&amp;K$2&amp;K$1&amp;"C"&amp;$A18)="N/A",0,RTD("tos.rtd",,"IMPL_VOL","."&amp;K$2&amp;K$1&amp;"C"&amp;$A18))),0),IF($A$2="MAXPAIN",IF($A$4&gt;$A18,($A$4-$A18)*IF(RTD("tos.rtd",,"OPEN_INT","."&amp;K$2&amp;K$1&amp;"C"&amp;$A18)="N/A",0,RTD("tos.rtd",,"OPEN_INT","."&amp;K$2&amp;K$1&amp;"C"&amp;$A18)),0)+IF($A$4&lt;$A18,($A$5-$A$4)*IF(RTD("tos.rtd",,"OPEN_INT","."&amp;K$2&amp;K$1&amp;"P"&amp;$A18)="N/A",0,RTD("tos.rtd",,"OPEN_INT","."&amp;K$2&amp;K$1&amp;"P"&amp;$A18)),0),IF($X$1="ABS",IF(RTD("tos.rtd",,$A$2,"."&amp;K$2&amp;K$1&amp;"C"&amp;$A18)="N/A",0,RTD("tos.rtd",,$A$2,"."&amp;K$2&amp;K$1&amp;"C"&amp;$A18))+IF(RTD("tos.rtd",,$A$2,"."&amp;K$2&amp;K$1&amp;"P"&amp;$A18)="N/A",0,RTD("tos.rtd",,$A$2,"."&amp;K$2&amp;K$1&amp;"P"&amp;$A18)),IF(RTD("tos.rtd",,$A$2,"."&amp;K$2&amp;K$1&amp;"C"&amp;$A18)="N/A",0,RTD("tos.rtd",,$A$2,"."&amp;K$2&amp;K$1&amp;"C"&amp;$A18))-IF(RTD("tos.rtd",,$A$2,"."&amp;K$2&amp;K$1&amp;"P"&amp;$A18)="N/A",0,RTD("tos.rtd",,$A$2,"."&amp;K$2&amp;K$1&amp;"P"&amp;$A18))))))))))</f>
        <v>0</v>
      </c>
      <c r="L18" s="54">
        <f ca="1">IF($A$2="PREMIUM_OI",IFERROR(IF($X$1="ABS",(100*RTD("tos.rtd",,"OPEN_INT","."&amp;L$2&amp;L$1&amp;"C"&amp;$A18)*RTD("tos.rtd",,"LAST","."&amp;L$2&amp;L$1&amp;"C"&amp;$A18)+100*RTD("tos.rtd",,"OPEN_INT","."&amp;L$2&amp;L$1&amp;"P"&amp;$A18)*RTD("tos.rtd",,"LAST","."&amp;L$2&amp;L$1&amp;"P"&amp;$A18))/1000000,(100*RTD("tos.rtd",,"OPEN_INT","."&amp;L$2&amp;L$1&amp;"C"&amp;$A18)*RTD("tos.rtd",,"LAST","."&amp;L$2&amp;L$1&amp;"C"&amp;$A18)-100*RTD("tos.rtd",,"OPEN_INT","."&amp;L$2&amp;L$1&amp;"P"&amp;$A18)*RTD("tos.rtd",,"LAST","."&amp;L$2&amp;L$1&amp;"P"&amp;$A18))/1000000),0),IF($A$2="PREMIUM",IFERROR(IF($X$1="ABS",(100*RTD("tos.rtd",,"VOLUME","."&amp;L$2&amp;L$1&amp;"C"&amp;$A18)*RTD("tos.rtd",,"LAST","."&amp;L$2&amp;L$1&amp;"C"&amp;$A18)+100*RTD("tos.rtd",,"VOLUME","."&amp;L$2&amp;L$1&amp;"P"&amp;$A18)*RTD("tos.rtd",,"LAST","."&amp;L$2&amp;L$1&amp;"P"&amp;$A18))/1000000,(100*RTD("tos.rtd",,"VOLUME","."&amp;L$2&amp;L$1&amp;"C"&amp;$A18)*RTD("tos.rtd",,"LAST","."&amp;L$2&amp;L$1&amp;"C"&amp;$A18)-100*RTD("tos.rtd",,"VOLUME","."&amp;L$2&amp;L$1&amp;"P"&amp;$A18)*RTD("tos.rtd",,"LAST","."&amp;L$2&amp;L$1&amp;"P"&amp;$A18))/1000000),0),IF($A$2="DEX",IFERROR(IF($X$1="ABS",(100*RTD("tos.rtd",,"OPEN_INT","."&amp;L$2&amp;L$1&amp;"C"&amp;$A18)*RTD("tos.rtd",,"DELTA","."&amp;L$2&amp;L$1&amp;"C"&amp;$A18)+100*RTD("tos.rtd",,"OPEN_INT","."&amp;L$2&amp;L$1&amp;"P"&amp;$A18)*RTD("tos.rtd",,"DELTA","."&amp;L$2&amp;L$1&amp;"P"&amp;$A18))/1000,(100*RTD("tos.rtd",,"OPEN_INT","."&amp;L$2&amp;L$1&amp;"C"&amp;$A18)*RTD("tos.rtd",,"DELTA","."&amp;L$2&amp;L$1&amp;"C"&amp;$A18)-100*RTD("tos.rtd",,"OPEN_INT","."&amp;L$2&amp;L$1&amp;"P"&amp;$A18)*RTD("tos.rtd",,"DELTA","."&amp;L$2&amp;L$1&amp;"P"&amp;$A18))/1000),0),IF($A$2="VEX",IFERROR(IF($X$1="ABS",($A$4*$A$4*RTD("tos.rtd",,"VOLUME","."&amp;L$2&amp;L$1&amp;"C"&amp;$A18)*RTD("tos.rtd",,"GAMMA","."&amp;L$2&amp;L$1&amp;"C"&amp;$A18)+$A$4*$A$4*RTD("tos.rtd",,"VOLUME","."&amp;L$2&amp;L$1&amp;"P"&amp;$A18)*RTD("tos.rtd",,"GAMMA","."&amp;L$2&amp;L$1&amp;"P"&amp;$A18))/1000000,($A$4*$A$4*RTD("tos.rtd",,"VOLUME","."&amp;L$2&amp;L$1&amp;"C"&amp;$A18)*RTD("tos.rtd",,"GAMMA","."&amp;L$2&amp;L$1&amp;"C"&amp;$A18)-$A$4*$A$4*RTD("tos.rtd",,"VOLUME","."&amp;L$2&amp;L$1&amp;"P"&amp;$A18)*RTD("tos.rtd",,"GAMMA","."&amp;L$2&amp;L$1&amp;"P"&amp;$A18))/1000000),0),IF($A$2="GEX",IFERROR(IF($X$1="ABS",($A$4*$A$4*RTD("tos.rtd",,"OPEN_INT","."&amp;L$2&amp;L$1&amp;"C"&amp;$A18)*RTD("tos.rtd",,"GAMMA","."&amp;L$2&amp;L$1&amp;"C"&amp;$A18)+$A$4*$A$4*RTD("tos.rtd",,"OPEN_INT","."&amp;L$2&amp;L$1&amp;"P"&amp;$A18)*RTD("tos.rtd",,"GAMMA","."&amp;L$2&amp;L$1&amp;"P"&amp;$A18))/1000000,($A$4*$A$4*RTD("tos.rtd",,"OPEN_INT","."&amp;L$2&amp;L$1&amp;"C"&amp;$A18)*RTD("tos.rtd",,"GAMMA","."&amp;L$2&amp;L$1&amp;"C"&amp;$A18)-$A$4*$A$4*RTD("tos.rtd",,"OPEN_INT","."&amp;L$2&amp;L$1&amp;"P"&amp;$A18)*RTD("tos.rtd",,"GAMMA","."&amp;L$2&amp;L$1&amp;"P"&amp;$A18))/1000000),0),IF($A$2="SKEW",IFERROR(VALUE(IF(RTD("tos.rtd",,"IMPL_VOL","."&amp;L$2&amp;L$1&amp;"P"&amp;$A18)="N/A",0,RTD("tos.rtd",,"IMPL_VOL","."&amp;L$2&amp;L$1&amp;"P"&amp;$A18))),0)-IFERROR(VALUE(IF(RTD("tos.rtd",,"IMPL_VOL","."&amp;L$2&amp;L$1&amp;"C"&amp;$A18)="N/A",0,RTD("tos.rtd",,"IMPL_VOL","."&amp;L$2&amp;L$1&amp;"C"&amp;$A18))),0),IF($A$2="MAXPAIN",IF($A$4&gt;$A18,($A$4-$A18)*IF(RTD("tos.rtd",,"OPEN_INT","."&amp;L$2&amp;L$1&amp;"C"&amp;$A18)="N/A",0,RTD("tos.rtd",,"OPEN_INT","."&amp;L$2&amp;L$1&amp;"C"&amp;$A18)),0)+IF($A$4&lt;$A18,($A$5-$A$4)*IF(RTD("tos.rtd",,"OPEN_INT","."&amp;L$2&amp;L$1&amp;"P"&amp;$A18)="N/A",0,RTD("tos.rtd",,"OPEN_INT","."&amp;L$2&amp;L$1&amp;"P"&amp;$A18)),0),IF($X$1="ABS",IF(RTD("tos.rtd",,$A$2,"."&amp;L$2&amp;L$1&amp;"C"&amp;$A18)="N/A",0,RTD("tos.rtd",,$A$2,"."&amp;L$2&amp;L$1&amp;"C"&amp;$A18))+IF(RTD("tos.rtd",,$A$2,"."&amp;L$2&amp;L$1&amp;"P"&amp;$A18)="N/A",0,RTD("tos.rtd",,$A$2,"."&amp;L$2&amp;L$1&amp;"P"&amp;$A18)),IF(RTD("tos.rtd",,$A$2,"."&amp;L$2&amp;L$1&amp;"C"&amp;$A18)="N/A",0,RTD("tos.rtd",,$A$2,"."&amp;L$2&amp;L$1&amp;"C"&amp;$A18))-IF(RTD("tos.rtd",,$A$2,"."&amp;L$2&amp;L$1&amp;"P"&amp;$A18)="N/A",0,RTD("tos.rtd",,$A$2,"."&amp;L$2&amp;L$1&amp;"P"&amp;$A18))))))))))</f>
        <v>15653</v>
      </c>
      <c r="M18" s="12">
        <f ca="1">IF($A$2="PREMIUM_OI",IFERROR(IF($X$1="ABS",(100*RTD("tos.rtd",,"OPEN_INT","."&amp;M$2&amp;M$1&amp;"C"&amp;$A18)*RTD("tos.rtd",,"LAST","."&amp;M$2&amp;M$1&amp;"C"&amp;$A18)+100*RTD("tos.rtd",,"OPEN_INT","."&amp;M$2&amp;M$1&amp;"P"&amp;$A18)*RTD("tos.rtd",,"LAST","."&amp;M$2&amp;M$1&amp;"P"&amp;$A18))/1000000,(100*RTD("tos.rtd",,"OPEN_INT","."&amp;M$2&amp;M$1&amp;"C"&amp;$A18)*RTD("tos.rtd",,"LAST","."&amp;M$2&amp;M$1&amp;"C"&amp;$A18)-100*RTD("tos.rtd",,"OPEN_INT","."&amp;M$2&amp;M$1&amp;"P"&amp;$A18)*RTD("tos.rtd",,"LAST","."&amp;M$2&amp;M$1&amp;"P"&amp;$A18))/1000000),0),IF($A$2="PREMIUM",IFERROR(IF($X$1="ABS",(100*RTD("tos.rtd",,"VOLUME","."&amp;M$2&amp;M$1&amp;"C"&amp;$A18)*RTD("tos.rtd",,"LAST","."&amp;M$2&amp;M$1&amp;"C"&amp;$A18)+100*RTD("tos.rtd",,"VOLUME","."&amp;M$2&amp;M$1&amp;"P"&amp;$A18)*RTD("tos.rtd",,"LAST","."&amp;M$2&amp;M$1&amp;"P"&amp;$A18))/1000000,(100*RTD("tos.rtd",,"VOLUME","."&amp;M$2&amp;M$1&amp;"C"&amp;$A18)*RTD("tos.rtd",,"LAST","."&amp;M$2&amp;M$1&amp;"C"&amp;$A18)-100*RTD("tos.rtd",,"VOLUME","."&amp;M$2&amp;M$1&amp;"P"&amp;$A18)*RTD("tos.rtd",,"LAST","."&amp;M$2&amp;M$1&amp;"P"&amp;$A18))/1000000),0),IF($A$2="DEX",IFERROR(IF($X$1="ABS",(100*RTD("tos.rtd",,"OPEN_INT","."&amp;M$2&amp;M$1&amp;"C"&amp;$A18)*RTD("tos.rtd",,"DELTA","."&amp;M$2&amp;M$1&amp;"C"&amp;$A18)+100*RTD("tos.rtd",,"OPEN_INT","."&amp;M$2&amp;M$1&amp;"P"&amp;$A18)*RTD("tos.rtd",,"DELTA","."&amp;M$2&amp;M$1&amp;"P"&amp;$A18))/1000,(100*RTD("tos.rtd",,"OPEN_INT","."&amp;M$2&amp;M$1&amp;"C"&amp;$A18)*RTD("tos.rtd",,"DELTA","."&amp;M$2&amp;M$1&amp;"C"&amp;$A18)-100*RTD("tos.rtd",,"OPEN_INT","."&amp;M$2&amp;M$1&amp;"P"&amp;$A18)*RTD("tos.rtd",,"DELTA","."&amp;M$2&amp;M$1&amp;"P"&amp;$A18))/1000),0),IF($A$2="VEX",IFERROR(IF($X$1="ABS",($A$4*$A$4*RTD("tos.rtd",,"VOLUME","."&amp;M$2&amp;M$1&amp;"C"&amp;$A18)*RTD("tos.rtd",,"GAMMA","."&amp;M$2&amp;M$1&amp;"C"&amp;$A18)+$A$4*$A$4*RTD("tos.rtd",,"VOLUME","."&amp;M$2&amp;M$1&amp;"P"&amp;$A18)*RTD("tos.rtd",,"GAMMA","."&amp;M$2&amp;M$1&amp;"P"&amp;$A18))/1000000,($A$4*$A$4*RTD("tos.rtd",,"VOLUME","."&amp;M$2&amp;M$1&amp;"C"&amp;$A18)*RTD("tos.rtd",,"GAMMA","."&amp;M$2&amp;M$1&amp;"C"&amp;$A18)-$A$4*$A$4*RTD("tos.rtd",,"VOLUME","."&amp;M$2&amp;M$1&amp;"P"&amp;$A18)*RTD("tos.rtd",,"GAMMA","."&amp;M$2&amp;M$1&amp;"P"&amp;$A18))/1000000),0),IF($A$2="GEX",IFERROR(IF($X$1="ABS",($A$4*$A$4*RTD("tos.rtd",,"OPEN_INT","."&amp;M$2&amp;M$1&amp;"C"&amp;$A18)*RTD("tos.rtd",,"GAMMA","."&amp;M$2&amp;M$1&amp;"C"&amp;$A18)+$A$4*$A$4*RTD("tos.rtd",,"OPEN_INT","."&amp;M$2&amp;M$1&amp;"P"&amp;$A18)*RTD("tos.rtd",,"GAMMA","."&amp;M$2&amp;M$1&amp;"P"&amp;$A18))/1000000,($A$4*$A$4*RTD("tos.rtd",,"OPEN_INT","."&amp;M$2&amp;M$1&amp;"C"&amp;$A18)*RTD("tos.rtd",,"GAMMA","."&amp;M$2&amp;M$1&amp;"C"&amp;$A18)-$A$4*$A$4*RTD("tos.rtd",,"OPEN_INT","."&amp;M$2&amp;M$1&amp;"P"&amp;$A18)*RTD("tos.rtd",,"GAMMA","."&amp;M$2&amp;M$1&amp;"P"&amp;$A18))/1000000),0),IF($A$2="SKEW",IFERROR(VALUE(IF(RTD("tos.rtd",,"IMPL_VOL","."&amp;M$2&amp;M$1&amp;"P"&amp;$A18)="N/A",0,RTD("tos.rtd",,"IMPL_VOL","."&amp;M$2&amp;M$1&amp;"P"&amp;$A18))),0)-IFERROR(VALUE(IF(RTD("tos.rtd",,"IMPL_VOL","."&amp;M$2&amp;M$1&amp;"C"&amp;$A18)="N/A",0,RTD("tos.rtd",,"IMPL_VOL","."&amp;M$2&amp;M$1&amp;"C"&amp;$A18))),0),IF($A$2="MAXPAIN",IF($A$4&gt;$A18,($A$4-$A18)*IF(RTD("tos.rtd",,"OPEN_INT","."&amp;M$2&amp;M$1&amp;"C"&amp;$A18)="N/A",0,RTD("tos.rtd",,"OPEN_INT","."&amp;M$2&amp;M$1&amp;"C"&amp;$A18)),0)+IF($A$4&lt;$A18,($A$5-$A$4)*IF(RTD("tos.rtd",,"OPEN_INT","."&amp;M$2&amp;M$1&amp;"P"&amp;$A18)="N/A",0,RTD("tos.rtd",,"OPEN_INT","."&amp;M$2&amp;M$1&amp;"P"&amp;$A18)),0),IF($X$1="ABS",IF(RTD("tos.rtd",,$A$2,"."&amp;M$2&amp;M$1&amp;"C"&amp;$A18)="N/A",0,RTD("tos.rtd",,$A$2,"."&amp;M$2&amp;M$1&amp;"C"&amp;$A18))+IF(RTD("tos.rtd",,$A$2,"."&amp;M$2&amp;M$1&amp;"P"&amp;$A18)="N/A",0,RTD("tos.rtd",,$A$2,"."&amp;M$2&amp;M$1&amp;"P"&amp;$A18)),IF(RTD("tos.rtd",,$A$2,"."&amp;M$2&amp;M$1&amp;"C"&amp;$A18)="N/A",0,RTD("tos.rtd",,$A$2,"."&amp;M$2&amp;M$1&amp;"C"&amp;$A18))-IF(RTD("tos.rtd",,$A$2,"."&amp;M$2&amp;M$1&amp;"P"&amp;$A18)="N/A",0,RTD("tos.rtd",,$A$2,"."&amp;M$2&amp;M$1&amp;"P"&amp;$A18))))))))))</f>
        <v>7420</v>
      </c>
      <c r="N18" s="12">
        <f ca="1">IF($A$2="PREMIUM_OI",IFERROR(IF($X$1="ABS",(100*RTD("tos.rtd",,"OPEN_INT","."&amp;N$2&amp;N$1&amp;"C"&amp;$A18)*RTD("tos.rtd",,"LAST","."&amp;N$2&amp;N$1&amp;"C"&amp;$A18)+100*RTD("tos.rtd",,"OPEN_INT","."&amp;N$2&amp;N$1&amp;"P"&amp;$A18)*RTD("tos.rtd",,"LAST","."&amp;N$2&amp;N$1&amp;"P"&amp;$A18))/1000000,(100*RTD("tos.rtd",,"OPEN_INT","."&amp;N$2&amp;N$1&amp;"C"&amp;$A18)*RTD("tos.rtd",,"LAST","."&amp;N$2&amp;N$1&amp;"C"&amp;$A18)-100*RTD("tos.rtd",,"OPEN_INT","."&amp;N$2&amp;N$1&amp;"P"&amp;$A18)*RTD("tos.rtd",,"LAST","."&amp;N$2&amp;N$1&amp;"P"&amp;$A18))/1000000),0),IF($A$2="PREMIUM",IFERROR(IF($X$1="ABS",(100*RTD("tos.rtd",,"VOLUME","."&amp;N$2&amp;N$1&amp;"C"&amp;$A18)*RTD("tos.rtd",,"LAST","."&amp;N$2&amp;N$1&amp;"C"&amp;$A18)+100*RTD("tos.rtd",,"VOLUME","."&amp;N$2&amp;N$1&amp;"P"&amp;$A18)*RTD("tos.rtd",,"LAST","."&amp;N$2&amp;N$1&amp;"P"&amp;$A18))/1000000,(100*RTD("tos.rtd",,"VOLUME","."&amp;N$2&amp;N$1&amp;"C"&amp;$A18)*RTD("tos.rtd",,"LAST","."&amp;N$2&amp;N$1&amp;"C"&amp;$A18)-100*RTD("tos.rtd",,"VOLUME","."&amp;N$2&amp;N$1&amp;"P"&amp;$A18)*RTD("tos.rtd",,"LAST","."&amp;N$2&amp;N$1&amp;"P"&amp;$A18))/1000000),0),IF($A$2="DEX",IFERROR(IF($X$1="ABS",(100*RTD("tos.rtd",,"OPEN_INT","."&amp;N$2&amp;N$1&amp;"C"&amp;$A18)*RTD("tos.rtd",,"DELTA","."&amp;N$2&amp;N$1&amp;"C"&amp;$A18)+100*RTD("tos.rtd",,"OPEN_INT","."&amp;N$2&amp;N$1&amp;"P"&amp;$A18)*RTD("tos.rtd",,"DELTA","."&amp;N$2&amp;N$1&amp;"P"&amp;$A18))/1000,(100*RTD("tos.rtd",,"OPEN_INT","."&amp;N$2&amp;N$1&amp;"C"&amp;$A18)*RTD("tos.rtd",,"DELTA","."&amp;N$2&amp;N$1&amp;"C"&amp;$A18)-100*RTD("tos.rtd",,"OPEN_INT","."&amp;N$2&amp;N$1&amp;"P"&amp;$A18)*RTD("tos.rtd",,"DELTA","."&amp;N$2&amp;N$1&amp;"P"&amp;$A18))/1000),0),IF($A$2="VEX",IFERROR(IF($X$1="ABS",($A$4*$A$4*RTD("tos.rtd",,"VOLUME","."&amp;N$2&amp;N$1&amp;"C"&amp;$A18)*RTD("tos.rtd",,"GAMMA","."&amp;N$2&amp;N$1&amp;"C"&amp;$A18)+$A$4*$A$4*RTD("tos.rtd",,"VOLUME","."&amp;N$2&amp;N$1&amp;"P"&amp;$A18)*RTD("tos.rtd",,"GAMMA","."&amp;N$2&amp;N$1&amp;"P"&amp;$A18))/1000000,($A$4*$A$4*RTD("tos.rtd",,"VOLUME","."&amp;N$2&amp;N$1&amp;"C"&amp;$A18)*RTD("tos.rtd",,"GAMMA","."&amp;N$2&amp;N$1&amp;"C"&amp;$A18)-$A$4*$A$4*RTD("tos.rtd",,"VOLUME","."&amp;N$2&amp;N$1&amp;"P"&amp;$A18)*RTD("tos.rtd",,"GAMMA","."&amp;N$2&amp;N$1&amp;"P"&amp;$A18))/1000000),0),IF($A$2="GEX",IFERROR(IF($X$1="ABS",($A$4*$A$4*RTD("tos.rtd",,"OPEN_INT","."&amp;N$2&amp;N$1&amp;"C"&amp;$A18)*RTD("tos.rtd",,"GAMMA","."&amp;N$2&amp;N$1&amp;"C"&amp;$A18)+$A$4*$A$4*RTD("tos.rtd",,"OPEN_INT","."&amp;N$2&amp;N$1&amp;"P"&amp;$A18)*RTD("tos.rtd",,"GAMMA","."&amp;N$2&amp;N$1&amp;"P"&amp;$A18))/1000000,($A$4*$A$4*RTD("tos.rtd",,"OPEN_INT","."&amp;N$2&amp;N$1&amp;"C"&amp;$A18)*RTD("tos.rtd",,"GAMMA","."&amp;N$2&amp;N$1&amp;"C"&amp;$A18)-$A$4*$A$4*RTD("tos.rtd",,"OPEN_INT","."&amp;N$2&amp;N$1&amp;"P"&amp;$A18)*RTD("tos.rtd",,"GAMMA","."&amp;N$2&amp;N$1&amp;"P"&amp;$A18))/1000000),0),IF($A$2="SKEW",IFERROR(VALUE(IF(RTD("tos.rtd",,"IMPL_VOL","."&amp;N$2&amp;N$1&amp;"P"&amp;$A18)="N/A",0,RTD("tos.rtd",,"IMPL_VOL","."&amp;N$2&amp;N$1&amp;"P"&amp;$A18))),0)-IFERROR(VALUE(IF(RTD("tos.rtd",,"IMPL_VOL","."&amp;N$2&amp;N$1&amp;"C"&amp;$A18)="N/A",0,RTD("tos.rtd",,"IMPL_VOL","."&amp;N$2&amp;N$1&amp;"C"&amp;$A18))),0),IF($A$2="MAXPAIN",IF($A$4&gt;$A18,($A$4-$A18)*IF(RTD("tos.rtd",,"OPEN_INT","."&amp;N$2&amp;N$1&amp;"C"&amp;$A18)="N/A",0,RTD("tos.rtd",,"OPEN_INT","."&amp;N$2&amp;N$1&amp;"C"&amp;$A18)),0)+IF($A$4&lt;$A18,($A$5-$A$4)*IF(RTD("tos.rtd",,"OPEN_INT","."&amp;N$2&amp;N$1&amp;"P"&amp;$A18)="N/A",0,RTD("tos.rtd",,"OPEN_INT","."&amp;N$2&amp;N$1&amp;"P"&amp;$A18)),0),IF($X$1="ABS",IF(RTD("tos.rtd",,$A$2,"."&amp;N$2&amp;N$1&amp;"C"&amp;$A18)="N/A",0,RTD("tos.rtd",,$A$2,"."&amp;N$2&amp;N$1&amp;"C"&amp;$A18))+IF(RTD("tos.rtd",,$A$2,"."&amp;N$2&amp;N$1&amp;"P"&amp;$A18)="N/A",0,RTD("tos.rtd",,$A$2,"."&amp;N$2&amp;N$1&amp;"P"&amp;$A18)),IF(RTD("tos.rtd",,$A$2,"."&amp;N$2&amp;N$1&amp;"C"&amp;$A18)="N/A",0,RTD("tos.rtd",,$A$2,"."&amp;N$2&amp;N$1&amp;"C"&amp;$A18))-IF(RTD("tos.rtd",,$A$2,"."&amp;N$2&amp;N$1&amp;"P"&amp;$A18)="N/A",0,RTD("tos.rtd",,$A$2,"."&amp;N$2&amp;N$1&amp;"P"&amp;$A18))))))))))</f>
        <v>0</v>
      </c>
      <c r="O18" s="12">
        <f ca="1">IF($A$2="PREMIUM_OI",IFERROR(IF($X$1="ABS",(100*RTD("tos.rtd",,"OPEN_INT","."&amp;O$2&amp;O$1&amp;"C"&amp;$A18)*RTD("tos.rtd",,"LAST","."&amp;O$2&amp;O$1&amp;"C"&amp;$A18)+100*RTD("tos.rtd",,"OPEN_INT","."&amp;O$2&amp;O$1&amp;"P"&amp;$A18)*RTD("tos.rtd",,"LAST","."&amp;O$2&amp;O$1&amp;"P"&amp;$A18))/1000000,(100*RTD("tos.rtd",,"OPEN_INT","."&amp;O$2&amp;O$1&amp;"C"&amp;$A18)*RTD("tos.rtd",,"LAST","."&amp;O$2&amp;O$1&amp;"C"&amp;$A18)-100*RTD("tos.rtd",,"OPEN_INT","."&amp;O$2&amp;O$1&amp;"P"&amp;$A18)*RTD("tos.rtd",,"LAST","."&amp;O$2&amp;O$1&amp;"P"&amp;$A18))/1000000),0),IF($A$2="PREMIUM",IFERROR(IF($X$1="ABS",(100*RTD("tos.rtd",,"VOLUME","."&amp;O$2&amp;O$1&amp;"C"&amp;$A18)*RTD("tos.rtd",,"LAST","."&amp;O$2&amp;O$1&amp;"C"&amp;$A18)+100*RTD("tos.rtd",,"VOLUME","."&amp;O$2&amp;O$1&amp;"P"&amp;$A18)*RTD("tos.rtd",,"LAST","."&amp;O$2&amp;O$1&amp;"P"&amp;$A18))/1000000,(100*RTD("tos.rtd",,"VOLUME","."&amp;O$2&amp;O$1&amp;"C"&amp;$A18)*RTD("tos.rtd",,"LAST","."&amp;O$2&amp;O$1&amp;"C"&amp;$A18)-100*RTD("tos.rtd",,"VOLUME","."&amp;O$2&amp;O$1&amp;"P"&amp;$A18)*RTD("tos.rtd",,"LAST","."&amp;O$2&amp;O$1&amp;"P"&amp;$A18))/1000000),0),IF($A$2="DEX",IFERROR(IF($X$1="ABS",(100*RTD("tos.rtd",,"OPEN_INT","."&amp;O$2&amp;O$1&amp;"C"&amp;$A18)*RTD("tos.rtd",,"DELTA","."&amp;O$2&amp;O$1&amp;"C"&amp;$A18)+100*RTD("tos.rtd",,"OPEN_INT","."&amp;O$2&amp;O$1&amp;"P"&amp;$A18)*RTD("tos.rtd",,"DELTA","."&amp;O$2&amp;O$1&amp;"P"&amp;$A18))/1000,(100*RTD("tos.rtd",,"OPEN_INT","."&amp;O$2&amp;O$1&amp;"C"&amp;$A18)*RTD("tos.rtd",,"DELTA","."&amp;O$2&amp;O$1&amp;"C"&amp;$A18)-100*RTD("tos.rtd",,"OPEN_INT","."&amp;O$2&amp;O$1&amp;"P"&amp;$A18)*RTD("tos.rtd",,"DELTA","."&amp;O$2&amp;O$1&amp;"P"&amp;$A18))/1000),0),IF($A$2="VEX",IFERROR(IF($X$1="ABS",($A$4*$A$4*RTD("tos.rtd",,"VOLUME","."&amp;O$2&amp;O$1&amp;"C"&amp;$A18)*RTD("tos.rtd",,"GAMMA","."&amp;O$2&amp;O$1&amp;"C"&amp;$A18)+$A$4*$A$4*RTD("tos.rtd",,"VOLUME","."&amp;O$2&amp;O$1&amp;"P"&amp;$A18)*RTD("tos.rtd",,"GAMMA","."&amp;O$2&amp;O$1&amp;"P"&amp;$A18))/1000000,($A$4*$A$4*RTD("tos.rtd",,"VOLUME","."&amp;O$2&amp;O$1&amp;"C"&amp;$A18)*RTD("tos.rtd",,"GAMMA","."&amp;O$2&amp;O$1&amp;"C"&amp;$A18)-$A$4*$A$4*RTD("tos.rtd",,"VOLUME","."&amp;O$2&amp;O$1&amp;"P"&amp;$A18)*RTD("tos.rtd",,"GAMMA","."&amp;O$2&amp;O$1&amp;"P"&amp;$A18))/1000000),0),IF($A$2="GEX",IFERROR(IF($X$1="ABS",($A$4*$A$4*RTD("tos.rtd",,"OPEN_INT","."&amp;O$2&amp;O$1&amp;"C"&amp;$A18)*RTD("tos.rtd",,"GAMMA","."&amp;O$2&amp;O$1&amp;"C"&amp;$A18)+$A$4*$A$4*RTD("tos.rtd",,"OPEN_INT","."&amp;O$2&amp;O$1&amp;"P"&amp;$A18)*RTD("tos.rtd",,"GAMMA","."&amp;O$2&amp;O$1&amp;"P"&amp;$A18))/1000000,($A$4*$A$4*RTD("tos.rtd",,"OPEN_INT","."&amp;O$2&amp;O$1&amp;"C"&amp;$A18)*RTD("tos.rtd",,"GAMMA","."&amp;O$2&amp;O$1&amp;"C"&amp;$A18)-$A$4*$A$4*RTD("tos.rtd",,"OPEN_INT","."&amp;O$2&amp;O$1&amp;"P"&amp;$A18)*RTD("tos.rtd",,"GAMMA","."&amp;O$2&amp;O$1&amp;"P"&amp;$A18))/1000000),0),IF($A$2="SKEW",IFERROR(VALUE(IF(RTD("tos.rtd",,"IMPL_VOL","."&amp;O$2&amp;O$1&amp;"P"&amp;$A18)="N/A",0,RTD("tos.rtd",,"IMPL_VOL","."&amp;O$2&amp;O$1&amp;"P"&amp;$A18))),0)-IFERROR(VALUE(IF(RTD("tos.rtd",,"IMPL_VOL","."&amp;O$2&amp;O$1&amp;"C"&amp;$A18)="N/A",0,RTD("tos.rtd",,"IMPL_VOL","."&amp;O$2&amp;O$1&amp;"C"&amp;$A18))),0),IF($A$2="MAXPAIN",IF($A$4&gt;$A18,($A$4-$A18)*IF(RTD("tos.rtd",,"OPEN_INT","."&amp;O$2&amp;O$1&amp;"C"&amp;$A18)="N/A",0,RTD("tos.rtd",,"OPEN_INT","."&amp;O$2&amp;O$1&amp;"C"&amp;$A18)),0)+IF($A$4&lt;$A18,($A$5-$A$4)*IF(RTD("tos.rtd",,"OPEN_INT","."&amp;O$2&amp;O$1&amp;"P"&amp;$A18)="N/A",0,RTD("tos.rtd",,"OPEN_INT","."&amp;O$2&amp;O$1&amp;"P"&amp;$A18)),0),IF($X$1="ABS",IF(RTD("tos.rtd",,$A$2,"."&amp;O$2&amp;O$1&amp;"C"&amp;$A18)="N/A",0,RTD("tos.rtd",,$A$2,"."&amp;O$2&amp;O$1&amp;"C"&amp;$A18))+IF(RTD("tos.rtd",,$A$2,"."&amp;O$2&amp;O$1&amp;"P"&amp;$A18)="N/A",0,RTD("tos.rtd",,$A$2,"."&amp;O$2&amp;O$1&amp;"P"&amp;$A18)),IF(RTD("tos.rtd",,$A$2,"."&amp;O$2&amp;O$1&amp;"C"&amp;$A18)="N/A",0,RTD("tos.rtd",,$A$2,"."&amp;O$2&amp;O$1&amp;"C"&amp;$A18))-IF(RTD("tos.rtd",,$A$2,"."&amp;O$2&amp;O$1&amp;"P"&amp;$A18)="N/A",0,RTD("tos.rtd",,$A$2,"."&amp;O$2&amp;O$1&amp;"P"&amp;$A18))))))))))</f>
        <v>0</v>
      </c>
      <c r="P18" s="12">
        <f ca="1">IF($A$2="PREMIUM_OI",IFERROR(IF($X$1="ABS",(100*RTD("tos.rtd",,"OPEN_INT","."&amp;P$2&amp;P$1&amp;"C"&amp;$A18)*RTD("tos.rtd",,"LAST","."&amp;P$2&amp;P$1&amp;"C"&amp;$A18)+100*RTD("tos.rtd",,"OPEN_INT","."&amp;P$2&amp;P$1&amp;"P"&amp;$A18)*RTD("tos.rtd",,"LAST","."&amp;P$2&amp;P$1&amp;"P"&amp;$A18))/1000000,(100*RTD("tos.rtd",,"OPEN_INT","."&amp;P$2&amp;P$1&amp;"C"&amp;$A18)*RTD("tos.rtd",,"LAST","."&amp;P$2&amp;P$1&amp;"C"&amp;$A18)-100*RTD("tos.rtd",,"OPEN_INT","."&amp;P$2&amp;P$1&amp;"P"&amp;$A18)*RTD("tos.rtd",,"LAST","."&amp;P$2&amp;P$1&amp;"P"&amp;$A18))/1000000),0),IF($A$2="PREMIUM",IFERROR(IF($X$1="ABS",(100*RTD("tos.rtd",,"VOLUME","."&amp;P$2&amp;P$1&amp;"C"&amp;$A18)*RTD("tos.rtd",,"LAST","."&amp;P$2&amp;P$1&amp;"C"&amp;$A18)+100*RTD("tos.rtd",,"VOLUME","."&amp;P$2&amp;P$1&amp;"P"&amp;$A18)*RTD("tos.rtd",,"LAST","."&amp;P$2&amp;P$1&amp;"P"&amp;$A18))/1000000,(100*RTD("tos.rtd",,"VOLUME","."&amp;P$2&amp;P$1&amp;"C"&amp;$A18)*RTD("tos.rtd",,"LAST","."&amp;P$2&amp;P$1&amp;"C"&amp;$A18)-100*RTD("tos.rtd",,"VOLUME","."&amp;P$2&amp;P$1&amp;"P"&amp;$A18)*RTD("tos.rtd",,"LAST","."&amp;P$2&amp;P$1&amp;"P"&amp;$A18))/1000000),0),IF($A$2="DEX",IFERROR(IF($X$1="ABS",(100*RTD("tos.rtd",,"OPEN_INT","."&amp;P$2&amp;P$1&amp;"C"&amp;$A18)*RTD("tos.rtd",,"DELTA","."&amp;P$2&amp;P$1&amp;"C"&amp;$A18)+100*RTD("tos.rtd",,"OPEN_INT","."&amp;P$2&amp;P$1&amp;"P"&amp;$A18)*RTD("tos.rtd",,"DELTA","."&amp;P$2&amp;P$1&amp;"P"&amp;$A18))/1000,(100*RTD("tos.rtd",,"OPEN_INT","."&amp;P$2&amp;P$1&amp;"C"&amp;$A18)*RTD("tos.rtd",,"DELTA","."&amp;P$2&amp;P$1&amp;"C"&amp;$A18)-100*RTD("tos.rtd",,"OPEN_INT","."&amp;P$2&amp;P$1&amp;"P"&amp;$A18)*RTD("tos.rtd",,"DELTA","."&amp;P$2&amp;P$1&amp;"P"&amp;$A18))/1000),0),IF($A$2="VEX",IFERROR(IF($X$1="ABS",($A$4*$A$4*RTD("tos.rtd",,"VOLUME","."&amp;P$2&amp;P$1&amp;"C"&amp;$A18)*RTD("tos.rtd",,"GAMMA","."&amp;P$2&amp;P$1&amp;"C"&amp;$A18)+$A$4*$A$4*RTD("tos.rtd",,"VOLUME","."&amp;P$2&amp;P$1&amp;"P"&amp;$A18)*RTD("tos.rtd",,"GAMMA","."&amp;P$2&amp;P$1&amp;"P"&amp;$A18))/1000000,($A$4*$A$4*RTD("tos.rtd",,"VOLUME","."&amp;P$2&amp;P$1&amp;"C"&amp;$A18)*RTD("tos.rtd",,"GAMMA","."&amp;P$2&amp;P$1&amp;"C"&amp;$A18)-$A$4*$A$4*RTD("tos.rtd",,"VOLUME","."&amp;P$2&amp;P$1&amp;"P"&amp;$A18)*RTD("tos.rtd",,"GAMMA","."&amp;P$2&amp;P$1&amp;"P"&amp;$A18))/1000000),0),IF($A$2="GEX",IFERROR(IF($X$1="ABS",($A$4*$A$4*RTD("tos.rtd",,"OPEN_INT","."&amp;P$2&amp;P$1&amp;"C"&amp;$A18)*RTD("tos.rtd",,"GAMMA","."&amp;P$2&amp;P$1&amp;"C"&amp;$A18)+$A$4*$A$4*RTD("tos.rtd",,"OPEN_INT","."&amp;P$2&amp;P$1&amp;"P"&amp;$A18)*RTD("tos.rtd",,"GAMMA","."&amp;P$2&amp;P$1&amp;"P"&amp;$A18))/1000000,($A$4*$A$4*RTD("tos.rtd",,"OPEN_INT","."&amp;P$2&amp;P$1&amp;"C"&amp;$A18)*RTD("tos.rtd",,"GAMMA","."&amp;P$2&amp;P$1&amp;"C"&amp;$A18)-$A$4*$A$4*RTD("tos.rtd",,"OPEN_INT","."&amp;P$2&amp;P$1&amp;"P"&amp;$A18)*RTD("tos.rtd",,"GAMMA","."&amp;P$2&amp;P$1&amp;"P"&amp;$A18))/1000000),0),IF($A$2="SKEW",IFERROR(VALUE(IF(RTD("tos.rtd",,"IMPL_VOL","."&amp;P$2&amp;P$1&amp;"P"&amp;$A18)="N/A",0,RTD("tos.rtd",,"IMPL_VOL","."&amp;P$2&amp;P$1&amp;"P"&amp;$A18))),0)-IFERROR(VALUE(IF(RTD("tos.rtd",,"IMPL_VOL","."&amp;P$2&amp;P$1&amp;"C"&amp;$A18)="N/A",0,RTD("tos.rtd",,"IMPL_VOL","."&amp;P$2&amp;P$1&amp;"C"&amp;$A18))),0),IF($A$2="MAXPAIN",IF($A$4&gt;$A18,($A$4-$A18)*IF(RTD("tos.rtd",,"OPEN_INT","."&amp;P$2&amp;P$1&amp;"C"&amp;$A18)="N/A",0,RTD("tos.rtd",,"OPEN_INT","."&amp;P$2&amp;P$1&amp;"C"&amp;$A18)),0)+IF($A$4&lt;$A18,($A$5-$A$4)*IF(RTD("tos.rtd",,"OPEN_INT","."&amp;P$2&amp;P$1&amp;"P"&amp;$A18)="N/A",0,RTD("tos.rtd",,"OPEN_INT","."&amp;P$2&amp;P$1&amp;"P"&amp;$A18)),0),IF($X$1="ABS",IF(RTD("tos.rtd",,$A$2,"."&amp;P$2&amp;P$1&amp;"C"&amp;$A18)="N/A",0,RTD("tos.rtd",,$A$2,"."&amp;P$2&amp;P$1&amp;"C"&amp;$A18))+IF(RTD("tos.rtd",,$A$2,"."&amp;P$2&amp;P$1&amp;"P"&amp;$A18)="N/A",0,RTD("tos.rtd",,$A$2,"."&amp;P$2&amp;P$1&amp;"P"&amp;$A18)),IF(RTD("tos.rtd",,$A$2,"."&amp;P$2&amp;P$1&amp;"C"&amp;$A18)="N/A",0,RTD("tos.rtd",,$A$2,"."&amp;P$2&amp;P$1&amp;"C"&amp;$A18))-IF(RTD("tos.rtd",,$A$2,"."&amp;P$2&amp;P$1&amp;"P"&amp;$A18)="N/A",0,RTD("tos.rtd",,$A$2,"."&amp;P$2&amp;P$1&amp;"P"&amp;$A18))))))))))</f>
        <v>4302</v>
      </c>
      <c r="Q18" s="12">
        <f ca="1">IF($A$2="PREMIUM_OI",IFERROR(IF($X$1="ABS",(100*RTD("tos.rtd",,"OPEN_INT","."&amp;Q$2&amp;Q$1&amp;"C"&amp;$A18)*RTD("tos.rtd",,"LAST","."&amp;Q$2&amp;Q$1&amp;"C"&amp;$A18)+100*RTD("tos.rtd",,"OPEN_INT","."&amp;Q$2&amp;Q$1&amp;"P"&amp;$A18)*RTD("tos.rtd",,"LAST","."&amp;Q$2&amp;Q$1&amp;"P"&amp;$A18))/1000000,(100*RTD("tos.rtd",,"OPEN_INT","."&amp;Q$2&amp;Q$1&amp;"C"&amp;$A18)*RTD("tos.rtd",,"LAST","."&amp;Q$2&amp;Q$1&amp;"C"&amp;$A18)-100*RTD("tos.rtd",,"OPEN_INT","."&amp;Q$2&amp;Q$1&amp;"P"&amp;$A18)*RTD("tos.rtd",,"LAST","."&amp;Q$2&amp;Q$1&amp;"P"&amp;$A18))/1000000),0),IF($A$2="PREMIUM",IFERROR(IF($X$1="ABS",(100*RTD("tos.rtd",,"VOLUME","."&amp;Q$2&amp;Q$1&amp;"C"&amp;$A18)*RTD("tos.rtd",,"LAST","."&amp;Q$2&amp;Q$1&amp;"C"&amp;$A18)+100*RTD("tos.rtd",,"VOLUME","."&amp;Q$2&amp;Q$1&amp;"P"&amp;$A18)*RTD("tos.rtd",,"LAST","."&amp;Q$2&amp;Q$1&amp;"P"&amp;$A18))/1000000,(100*RTD("tos.rtd",,"VOLUME","."&amp;Q$2&amp;Q$1&amp;"C"&amp;$A18)*RTD("tos.rtd",,"LAST","."&amp;Q$2&amp;Q$1&amp;"C"&amp;$A18)-100*RTD("tos.rtd",,"VOLUME","."&amp;Q$2&amp;Q$1&amp;"P"&amp;$A18)*RTD("tos.rtd",,"LAST","."&amp;Q$2&amp;Q$1&amp;"P"&amp;$A18))/1000000),0),IF($A$2="DEX",IFERROR(IF($X$1="ABS",(100*RTD("tos.rtd",,"OPEN_INT","."&amp;Q$2&amp;Q$1&amp;"C"&amp;$A18)*RTD("tos.rtd",,"DELTA","."&amp;Q$2&amp;Q$1&amp;"C"&amp;$A18)+100*RTD("tos.rtd",,"OPEN_INT","."&amp;Q$2&amp;Q$1&amp;"P"&amp;$A18)*RTD("tos.rtd",,"DELTA","."&amp;Q$2&amp;Q$1&amp;"P"&amp;$A18))/1000,(100*RTD("tos.rtd",,"OPEN_INT","."&amp;Q$2&amp;Q$1&amp;"C"&amp;$A18)*RTD("tos.rtd",,"DELTA","."&amp;Q$2&amp;Q$1&amp;"C"&amp;$A18)-100*RTD("tos.rtd",,"OPEN_INT","."&amp;Q$2&amp;Q$1&amp;"P"&amp;$A18)*RTD("tos.rtd",,"DELTA","."&amp;Q$2&amp;Q$1&amp;"P"&amp;$A18))/1000),0),IF($A$2="VEX",IFERROR(IF($X$1="ABS",($A$4*$A$4*RTD("tos.rtd",,"VOLUME","."&amp;Q$2&amp;Q$1&amp;"C"&amp;$A18)*RTD("tos.rtd",,"GAMMA","."&amp;Q$2&amp;Q$1&amp;"C"&amp;$A18)+$A$4*$A$4*RTD("tos.rtd",,"VOLUME","."&amp;Q$2&amp;Q$1&amp;"P"&amp;$A18)*RTD("tos.rtd",,"GAMMA","."&amp;Q$2&amp;Q$1&amp;"P"&amp;$A18))/1000000,($A$4*$A$4*RTD("tos.rtd",,"VOLUME","."&amp;Q$2&amp;Q$1&amp;"C"&amp;$A18)*RTD("tos.rtd",,"GAMMA","."&amp;Q$2&amp;Q$1&amp;"C"&amp;$A18)-$A$4*$A$4*RTD("tos.rtd",,"VOLUME","."&amp;Q$2&amp;Q$1&amp;"P"&amp;$A18)*RTD("tos.rtd",,"GAMMA","."&amp;Q$2&amp;Q$1&amp;"P"&amp;$A18))/1000000),0),IF($A$2="GEX",IFERROR(IF($X$1="ABS",($A$4*$A$4*RTD("tos.rtd",,"OPEN_INT","."&amp;Q$2&amp;Q$1&amp;"C"&amp;$A18)*RTD("tos.rtd",,"GAMMA","."&amp;Q$2&amp;Q$1&amp;"C"&amp;$A18)+$A$4*$A$4*RTD("tos.rtd",,"OPEN_INT","."&amp;Q$2&amp;Q$1&amp;"P"&amp;$A18)*RTD("tos.rtd",,"GAMMA","."&amp;Q$2&amp;Q$1&amp;"P"&amp;$A18))/1000000,($A$4*$A$4*RTD("tos.rtd",,"OPEN_INT","."&amp;Q$2&amp;Q$1&amp;"C"&amp;$A18)*RTD("tos.rtd",,"GAMMA","."&amp;Q$2&amp;Q$1&amp;"C"&amp;$A18)-$A$4*$A$4*RTD("tos.rtd",,"OPEN_INT","."&amp;Q$2&amp;Q$1&amp;"P"&amp;$A18)*RTD("tos.rtd",,"GAMMA","."&amp;Q$2&amp;Q$1&amp;"P"&amp;$A18))/1000000),0),IF($A$2="SKEW",IFERROR(VALUE(IF(RTD("tos.rtd",,"IMPL_VOL","."&amp;Q$2&amp;Q$1&amp;"P"&amp;$A18)="N/A",0,RTD("tos.rtd",,"IMPL_VOL","."&amp;Q$2&amp;Q$1&amp;"P"&amp;$A18))),0)-IFERROR(VALUE(IF(RTD("tos.rtd",,"IMPL_VOL","."&amp;Q$2&amp;Q$1&amp;"C"&amp;$A18)="N/A",0,RTD("tos.rtd",,"IMPL_VOL","."&amp;Q$2&amp;Q$1&amp;"C"&amp;$A18))),0),IF($A$2="MAXPAIN",IF($A$4&gt;$A18,($A$4-$A18)*IF(RTD("tos.rtd",,"OPEN_INT","."&amp;Q$2&amp;Q$1&amp;"C"&amp;$A18)="N/A",0,RTD("tos.rtd",,"OPEN_INT","."&amp;Q$2&amp;Q$1&amp;"C"&amp;$A18)),0)+IF($A$4&lt;$A18,($A$5-$A$4)*IF(RTD("tos.rtd",,"OPEN_INT","."&amp;Q$2&amp;Q$1&amp;"P"&amp;$A18)="N/A",0,RTD("tos.rtd",,"OPEN_INT","."&amp;Q$2&amp;Q$1&amp;"P"&amp;$A18)),0),IF($X$1="ABS",IF(RTD("tos.rtd",,$A$2,"."&amp;Q$2&amp;Q$1&amp;"C"&amp;$A18)="N/A",0,RTD("tos.rtd",,$A$2,"."&amp;Q$2&amp;Q$1&amp;"C"&amp;$A18))+IF(RTD("tos.rtd",,$A$2,"."&amp;Q$2&amp;Q$1&amp;"P"&amp;$A18)="N/A",0,RTD("tos.rtd",,$A$2,"."&amp;Q$2&amp;Q$1&amp;"P"&amp;$A18)),IF(RTD("tos.rtd",,$A$2,"."&amp;Q$2&amp;Q$1&amp;"C"&amp;$A18)="N/A",0,RTD("tos.rtd",,$A$2,"."&amp;Q$2&amp;Q$1&amp;"C"&amp;$A18))-IF(RTD("tos.rtd",,$A$2,"."&amp;Q$2&amp;Q$1&amp;"P"&amp;$A18)="N/A",0,RTD("tos.rtd",,$A$2,"."&amp;Q$2&amp;Q$1&amp;"P"&amp;$A18))))))))))</f>
        <v>0</v>
      </c>
      <c r="R18" s="12">
        <f ca="1">IF($A$2="PREMIUM_OI",IFERROR(IF($X$1="ABS",(100*RTD("tos.rtd",,"OPEN_INT","."&amp;R$2&amp;R$1&amp;"C"&amp;$A18)*RTD("tos.rtd",,"LAST","."&amp;R$2&amp;R$1&amp;"C"&amp;$A18)+100*RTD("tos.rtd",,"OPEN_INT","."&amp;R$2&amp;R$1&amp;"P"&amp;$A18)*RTD("tos.rtd",,"LAST","."&amp;R$2&amp;R$1&amp;"P"&amp;$A18))/1000000,(100*RTD("tos.rtd",,"OPEN_INT","."&amp;R$2&amp;R$1&amp;"C"&amp;$A18)*RTD("tos.rtd",,"LAST","."&amp;R$2&amp;R$1&amp;"C"&amp;$A18)-100*RTD("tos.rtd",,"OPEN_INT","."&amp;R$2&amp;R$1&amp;"P"&amp;$A18)*RTD("tos.rtd",,"LAST","."&amp;R$2&amp;R$1&amp;"P"&amp;$A18))/1000000),0),IF($A$2="PREMIUM",IFERROR(IF($X$1="ABS",(100*RTD("tos.rtd",,"VOLUME","."&amp;R$2&amp;R$1&amp;"C"&amp;$A18)*RTD("tos.rtd",,"LAST","."&amp;R$2&amp;R$1&amp;"C"&amp;$A18)+100*RTD("tos.rtd",,"VOLUME","."&amp;R$2&amp;R$1&amp;"P"&amp;$A18)*RTD("tos.rtd",,"LAST","."&amp;R$2&amp;R$1&amp;"P"&amp;$A18))/1000000,(100*RTD("tos.rtd",,"VOLUME","."&amp;R$2&amp;R$1&amp;"C"&amp;$A18)*RTD("tos.rtd",,"LAST","."&amp;R$2&amp;R$1&amp;"C"&amp;$A18)-100*RTD("tos.rtd",,"VOLUME","."&amp;R$2&amp;R$1&amp;"P"&amp;$A18)*RTD("tos.rtd",,"LAST","."&amp;R$2&amp;R$1&amp;"P"&amp;$A18))/1000000),0),IF($A$2="DEX",IFERROR(IF($X$1="ABS",(100*RTD("tos.rtd",,"OPEN_INT","."&amp;R$2&amp;R$1&amp;"C"&amp;$A18)*RTD("tos.rtd",,"DELTA","."&amp;R$2&amp;R$1&amp;"C"&amp;$A18)+100*RTD("tos.rtd",,"OPEN_INT","."&amp;R$2&amp;R$1&amp;"P"&amp;$A18)*RTD("tos.rtd",,"DELTA","."&amp;R$2&amp;R$1&amp;"P"&amp;$A18))/1000,(100*RTD("tos.rtd",,"OPEN_INT","."&amp;R$2&amp;R$1&amp;"C"&amp;$A18)*RTD("tos.rtd",,"DELTA","."&amp;R$2&amp;R$1&amp;"C"&amp;$A18)-100*RTD("tos.rtd",,"OPEN_INT","."&amp;R$2&amp;R$1&amp;"P"&amp;$A18)*RTD("tos.rtd",,"DELTA","."&amp;R$2&amp;R$1&amp;"P"&amp;$A18))/1000),0),IF($A$2="VEX",IFERROR(IF($X$1="ABS",($A$4*$A$4*RTD("tos.rtd",,"VOLUME","."&amp;R$2&amp;R$1&amp;"C"&amp;$A18)*RTD("tos.rtd",,"GAMMA","."&amp;R$2&amp;R$1&amp;"C"&amp;$A18)+$A$4*$A$4*RTD("tos.rtd",,"VOLUME","."&amp;R$2&amp;R$1&amp;"P"&amp;$A18)*RTD("tos.rtd",,"GAMMA","."&amp;R$2&amp;R$1&amp;"P"&amp;$A18))/1000000,($A$4*$A$4*RTD("tos.rtd",,"VOLUME","."&amp;R$2&amp;R$1&amp;"C"&amp;$A18)*RTD("tos.rtd",,"GAMMA","."&amp;R$2&amp;R$1&amp;"C"&amp;$A18)-$A$4*$A$4*RTD("tos.rtd",,"VOLUME","."&amp;R$2&amp;R$1&amp;"P"&amp;$A18)*RTD("tos.rtd",,"GAMMA","."&amp;R$2&amp;R$1&amp;"P"&amp;$A18))/1000000),0),IF($A$2="GEX",IFERROR(IF($X$1="ABS",($A$4*$A$4*RTD("tos.rtd",,"OPEN_INT","."&amp;R$2&amp;R$1&amp;"C"&amp;$A18)*RTD("tos.rtd",,"GAMMA","."&amp;R$2&amp;R$1&amp;"C"&amp;$A18)+$A$4*$A$4*RTD("tos.rtd",,"OPEN_INT","."&amp;R$2&amp;R$1&amp;"P"&amp;$A18)*RTD("tos.rtd",,"GAMMA","."&amp;R$2&amp;R$1&amp;"P"&amp;$A18))/1000000,($A$4*$A$4*RTD("tos.rtd",,"OPEN_INT","."&amp;R$2&amp;R$1&amp;"C"&amp;$A18)*RTD("tos.rtd",,"GAMMA","."&amp;R$2&amp;R$1&amp;"C"&amp;$A18)-$A$4*$A$4*RTD("tos.rtd",,"OPEN_INT","."&amp;R$2&amp;R$1&amp;"P"&amp;$A18)*RTD("tos.rtd",,"GAMMA","."&amp;R$2&amp;R$1&amp;"P"&amp;$A18))/1000000),0),IF($A$2="SKEW",IFERROR(VALUE(IF(RTD("tos.rtd",,"IMPL_VOL","."&amp;R$2&amp;R$1&amp;"P"&amp;$A18)="N/A",0,RTD("tos.rtd",,"IMPL_VOL","."&amp;R$2&amp;R$1&amp;"P"&amp;$A18))),0)-IFERROR(VALUE(IF(RTD("tos.rtd",,"IMPL_VOL","."&amp;R$2&amp;R$1&amp;"C"&amp;$A18)="N/A",0,RTD("tos.rtd",,"IMPL_VOL","."&amp;R$2&amp;R$1&amp;"C"&amp;$A18))),0),IF($A$2="MAXPAIN",IF($A$4&gt;$A18,($A$4-$A18)*IF(RTD("tos.rtd",,"OPEN_INT","."&amp;R$2&amp;R$1&amp;"C"&amp;$A18)="N/A",0,RTD("tos.rtd",,"OPEN_INT","."&amp;R$2&amp;R$1&amp;"C"&amp;$A18)),0)+IF($A$4&lt;$A18,($A$5-$A$4)*IF(RTD("tos.rtd",,"OPEN_INT","."&amp;R$2&amp;R$1&amp;"P"&amp;$A18)="N/A",0,RTD("tos.rtd",,"OPEN_INT","."&amp;R$2&amp;R$1&amp;"P"&amp;$A18)),0),IF($X$1="ABS",IF(RTD("tos.rtd",,$A$2,"."&amp;R$2&amp;R$1&amp;"C"&amp;$A18)="N/A",0,RTD("tos.rtd",,$A$2,"."&amp;R$2&amp;R$1&amp;"C"&amp;$A18))+IF(RTD("tos.rtd",,$A$2,"."&amp;R$2&amp;R$1&amp;"P"&amp;$A18)="N/A",0,RTD("tos.rtd",,$A$2,"."&amp;R$2&amp;R$1&amp;"P"&amp;$A18)),IF(RTD("tos.rtd",,$A$2,"."&amp;R$2&amp;R$1&amp;"C"&amp;$A18)="N/A",0,RTD("tos.rtd",,$A$2,"."&amp;R$2&amp;R$1&amp;"C"&amp;$A18))-IF(RTD("tos.rtd",,$A$2,"."&amp;R$2&amp;R$1&amp;"P"&amp;$A18)="N/A",0,RTD("tos.rtd",,$A$2,"."&amp;R$2&amp;R$1&amp;"P"&amp;$A18))))))))))</f>
        <v>0</v>
      </c>
      <c r="S18" s="12">
        <f ca="1">IF($A$2="PREMIUM_OI",IFERROR(IF($X$1="ABS",(100*RTD("tos.rtd",,"OPEN_INT","."&amp;S$2&amp;S$1&amp;"C"&amp;$A18)*RTD("tos.rtd",,"LAST","."&amp;S$2&amp;S$1&amp;"C"&amp;$A18)+100*RTD("tos.rtd",,"OPEN_INT","."&amp;S$2&amp;S$1&amp;"P"&amp;$A18)*RTD("tos.rtd",,"LAST","."&amp;S$2&amp;S$1&amp;"P"&amp;$A18))/1000000,(100*RTD("tos.rtd",,"OPEN_INT","."&amp;S$2&amp;S$1&amp;"C"&amp;$A18)*RTD("tos.rtd",,"LAST","."&amp;S$2&amp;S$1&amp;"C"&amp;$A18)-100*RTD("tos.rtd",,"OPEN_INT","."&amp;S$2&amp;S$1&amp;"P"&amp;$A18)*RTD("tos.rtd",,"LAST","."&amp;S$2&amp;S$1&amp;"P"&amp;$A18))/1000000),0),IF($A$2="PREMIUM",IFERROR(IF($X$1="ABS",(100*RTD("tos.rtd",,"VOLUME","."&amp;S$2&amp;S$1&amp;"C"&amp;$A18)*RTD("tos.rtd",,"LAST","."&amp;S$2&amp;S$1&amp;"C"&amp;$A18)+100*RTD("tos.rtd",,"VOLUME","."&amp;S$2&amp;S$1&amp;"P"&amp;$A18)*RTD("tos.rtd",,"LAST","."&amp;S$2&amp;S$1&amp;"P"&amp;$A18))/1000000,(100*RTD("tos.rtd",,"VOLUME","."&amp;S$2&amp;S$1&amp;"C"&amp;$A18)*RTD("tos.rtd",,"LAST","."&amp;S$2&amp;S$1&amp;"C"&amp;$A18)-100*RTD("tos.rtd",,"VOLUME","."&amp;S$2&amp;S$1&amp;"P"&amp;$A18)*RTD("tos.rtd",,"LAST","."&amp;S$2&amp;S$1&amp;"P"&amp;$A18))/1000000),0),IF($A$2="DEX",IFERROR(IF($X$1="ABS",(100*RTD("tos.rtd",,"OPEN_INT","."&amp;S$2&amp;S$1&amp;"C"&amp;$A18)*RTD("tos.rtd",,"DELTA","."&amp;S$2&amp;S$1&amp;"C"&amp;$A18)+100*RTD("tos.rtd",,"OPEN_INT","."&amp;S$2&amp;S$1&amp;"P"&amp;$A18)*RTD("tos.rtd",,"DELTA","."&amp;S$2&amp;S$1&amp;"P"&amp;$A18))/1000,(100*RTD("tos.rtd",,"OPEN_INT","."&amp;S$2&amp;S$1&amp;"C"&amp;$A18)*RTD("tos.rtd",,"DELTA","."&amp;S$2&amp;S$1&amp;"C"&amp;$A18)-100*RTD("tos.rtd",,"OPEN_INT","."&amp;S$2&amp;S$1&amp;"P"&amp;$A18)*RTD("tos.rtd",,"DELTA","."&amp;S$2&amp;S$1&amp;"P"&amp;$A18))/1000),0),IF($A$2="VEX",IFERROR(IF($X$1="ABS",($A$4*$A$4*RTD("tos.rtd",,"VOLUME","."&amp;S$2&amp;S$1&amp;"C"&amp;$A18)*RTD("tos.rtd",,"GAMMA","."&amp;S$2&amp;S$1&amp;"C"&amp;$A18)+$A$4*$A$4*RTD("tos.rtd",,"VOLUME","."&amp;S$2&amp;S$1&amp;"P"&amp;$A18)*RTD("tos.rtd",,"GAMMA","."&amp;S$2&amp;S$1&amp;"P"&amp;$A18))/1000000,($A$4*$A$4*RTD("tos.rtd",,"VOLUME","."&amp;S$2&amp;S$1&amp;"C"&amp;$A18)*RTD("tos.rtd",,"GAMMA","."&amp;S$2&amp;S$1&amp;"C"&amp;$A18)-$A$4*$A$4*RTD("tos.rtd",,"VOLUME","."&amp;S$2&amp;S$1&amp;"P"&amp;$A18)*RTD("tos.rtd",,"GAMMA","."&amp;S$2&amp;S$1&amp;"P"&amp;$A18))/1000000),0),IF($A$2="GEX",IFERROR(IF($X$1="ABS",($A$4*$A$4*RTD("tos.rtd",,"OPEN_INT","."&amp;S$2&amp;S$1&amp;"C"&amp;$A18)*RTD("tos.rtd",,"GAMMA","."&amp;S$2&amp;S$1&amp;"C"&amp;$A18)+$A$4*$A$4*RTD("tos.rtd",,"OPEN_INT","."&amp;S$2&amp;S$1&amp;"P"&amp;$A18)*RTD("tos.rtd",,"GAMMA","."&amp;S$2&amp;S$1&amp;"P"&amp;$A18))/1000000,($A$4*$A$4*RTD("tos.rtd",,"OPEN_INT","."&amp;S$2&amp;S$1&amp;"C"&amp;$A18)*RTD("tos.rtd",,"GAMMA","."&amp;S$2&amp;S$1&amp;"C"&amp;$A18)-$A$4*$A$4*RTD("tos.rtd",,"OPEN_INT","."&amp;S$2&amp;S$1&amp;"P"&amp;$A18)*RTD("tos.rtd",,"GAMMA","."&amp;S$2&amp;S$1&amp;"P"&amp;$A18))/1000000),0),IF($A$2="SKEW",IFERROR(VALUE(IF(RTD("tos.rtd",,"IMPL_VOL","."&amp;S$2&amp;S$1&amp;"P"&amp;$A18)="N/A",0,RTD("tos.rtd",,"IMPL_VOL","."&amp;S$2&amp;S$1&amp;"P"&amp;$A18))),0)-IFERROR(VALUE(IF(RTD("tos.rtd",,"IMPL_VOL","."&amp;S$2&amp;S$1&amp;"C"&amp;$A18)="N/A",0,RTD("tos.rtd",,"IMPL_VOL","."&amp;S$2&amp;S$1&amp;"C"&amp;$A18))),0),IF($A$2="MAXPAIN",IF($A$4&gt;$A18,($A$4-$A18)*IF(RTD("tos.rtd",,"OPEN_INT","."&amp;S$2&amp;S$1&amp;"C"&amp;$A18)="N/A",0,RTD("tos.rtd",,"OPEN_INT","."&amp;S$2&amp;S$1&amp;"C"&amp;$A18)),0)+IF($A$4&lt;$A18,($A$5-$A$4)*IF(RTD("tos.rtd",,"OPEN_INT","."&amp;S$2&amp;S$1&amp;"P"&amp;$A18)="N/A",0,RTD("tos.rtd",,"OPEN_INT","."&amp;S$2&amp;S$1&amp;"P"&amp;$A18)),0),IF($X$1="ABS",IF(RTD("tos.rtd",,$A$2,"."&amp;S$2&amp;S$1&amp;"C"&amp;$A18)="N/A",0,RTD("tos.rtd",,$A$2,"."&amp;S$2&amp;S$1&amp;"C"&amp;$A18))+IF(RTD("tos.rtd",,$A$2,"."&amp;S$2&amp;S$1&amp;"P"&amp;$A18)="N/A",0,RTD("tos.rtd",,$A$2,"."&amp;S$2&amp;S$1&amp;"P"&amp;$A18)),IF(RTD("tos.rtd",,$A$2,"."&amp;S$2&amp;S$1&amp;"C"&amp;$A18)="N/A",0,RTD("tos.rtd",,$A$2,"."&amp;S$2&amp;S$1&amp;"C"&amp;$A18))-IF(RTD("tos.rtd",,$A$2,"."&amp;S$2&amp;S$1&amp;"P"&amp;$A18)="N/A",0,RTD("tos.rtd",,$A$2,"."&amp;S$2&amp;S$1&amp;"P"&amp;$A18))))))))))</f>
        <v>0</v>
      </c>
      <c r="T18" s="12">
        <f ca="1">IF($A$2="PREMIUM_OI",IFERROR(IF($X$1="ABS",(100*RTD("tos.rtd",,"OPEN_INT","."&amp;T$2&amp;T$1&amp;"C"&amp;$A18)*RTD("tos.rtd",,"LAST","."&amp;T$2&amp;T$1&amp;"C"&amp;$A18)+100*RTD("tos.rtd",,"OPEN_INT","."&amp;T$2&amp;T$1&amp;"P"&amp;$A18)*RTD("tos.rtd",,"LAST","."&amp;T$2&amp;T$1&amp;"P"&amp;$A18))/1000000,(100*RTD("tos.rtd",,"OPEN_INT","."&amp;T$2&amp;T$1&amp;"C"&amp;$A18)*RTD("tos.rtd",,"LAST","."&amp;T$2&amp;T$1&amp;"C"&amp;$A18)-100*RTD("tos.rtd",,"OPEN_INT","."&amp;T$2&amp;T$1&amp;"P"&amp;$A18)*RTD("tos.rtd",,"LAST","."&amp;T$2&amp;T$1&amp;"P"&amp;$A18))/1000000),0),IF($A$2="PREMIUM",IFERROR(IF($X$1="ABS",(100*RTD("tos.rtd",,"VOLUME","."&amp;T$2&amp;T$1&amp;"C"&amp;$A18)*RTD("tos.rtd",,"LAST","."&amp;T$2&amp;T$1&amp;"C"&amp;$A18)+100*RTD("tos.rtd",,"VOLUME","."&amp;T$2&amp;T$1&amp;"P"&amp;$A18)*RTD("tos.rtd",,"LAST","."&amp;T$2&amp;T$1&amp;"P"&amp;$A18))/1000000,(100*RTD("tos.rtd",,"VOLUME","."&amp;T$2&amp;T$1&amp;"C"&amp;$A18)*RTD("tos.rtd",,"LAST","."&amp;T$2&amp;T$1&amp;"C"&amp;$A18)-100*RTD("tos.rtd",,"VOLUME","."&amp;T$2&amp;T$1&amp;"P"&amp;$A18)*RTD("tos.rtd",,"LAST","."&amp;T$2&amp;T$1&amp;"P"&amp;$A18))/1000000),0),IF($A$2="DEX",IFERROR(IF($X$1="ABS",(100*RTD("tos.rtd",,"OPEN_INT","."&amp;T$2&amp;T$1&amp;"C"&amp;$A18)*RTD("tos.rtd",,"DELTA","."&amp;T$2&amp;T$1&amp;"C"&amp;$A18)+100*RTD("tos.rtd",,"OPEN_INT","."&amp;T$2&amp;T$1&amp;"P"&amp;$A18)*RTD("tos.rtd",,"DELTA","."&amp;T$2&amp;T$1&amp;"P"&amp;$A18))/1000,(100*RTD("tos.rtd",,"OPEN_INT","."&amp;T$2&amp;T$1&amp;"C"&amp;$A18)*RTD("tos.rtd",,"DELTA","."&amp;T$2&amp;T$1&amp;"C"&amp;$A18)-100*RTD("tos.rtd",,"OPEN_INT","."&amp;T$2&amp;T$1&amp;"P"&amp;$A18)*RTD("tos.rtd",,"DELTA","."&amp;T$2&amp;T$1&amp;"P"&amp;$A18))/1000),0),IF($A$2="VEX",IFERROR(IF($X$1="ABS",($A$4*$A$4*RTD("tos.rtd",,"VOLUME","."&amp;T$2&amp;T$1&amp;"C"&amp;$A18)*RTD("tos.rtd",,"GAMMA","."&amp;T$2&amp;T$1&amp;"C"&amp;$A18)+$A$4*$A$4*RTD("tos.rtd",,"VOLUME","."&amp;T$2&amp;T$1&amp;"P"&amp;$A18)*RTD("tos.rtd",,"GAMMA","."&amp;T$2&amp;T$1&amp;"P"&amp;$A18))/1000000,($A$4*$A$4*RTD("tos.rtd",,"VOLUME","."&amp;T$2&amp;T$1&amp;"C"&amp;$A18)*RTD("tos.rtd",,"GAMMA","."&amp;T$2&amp;T$1&amp;"C"&amp;$A18)-$A$4*$A$4*RTD("tos.rtd",,"VOLUME","."&amp;T$2&amp;T$1&amp;"P"&amp;$A18)*RTD("tos.rtd",,"GAMMA","."&amp;T$2&amp;T$1&amp;"P"&amp;$A18))/1000000),0),IF($A$2="GEX",IFERROR(IF($X$1="ABS",($A$4*$A$4*RTD("tos.rtd",,"OPEN_INT","."&amp;T$2&amp;T$1&amp;"C"&amp;$A18)*RTD("tos.rtd",,"GAMMA","."&amp;T$2&amp;T$1&amp;"C"&amp;$A18)+$A$4*$A$4*RTD("tos.rtd",,"OPEN_INT","."&amp;T$2&amp;T$1&amp;"P"&amp;$A18)*RTD("tos.rtd",,"GAMMA","."&amp;T$2&amp;T$1&amp;"P"&amp;$A18))/1000000,($A$4*$A$4*RTD("tos.rtd",,"OPEN_INT","."&amp;T$2&amp;T$1&amp;"C"&amp;$A18)*RTD("tos.rtd",,"GAMMA","."&amp;T$2&amp;T$1&amp;"C"&amp;$A18)-$A$4*$A$4*RTD("tos.rtd",,"OPEN_INT","."&amp;T$2&amp;T$1&amp;"P"&amp;$A18)*RTD("tos.rtd",,"GAMMA","."&amp;T$2&amp;T$1&amp;"P"&amp;$A18))/1000000),0),IF($A$2="SKEW",IFERROR(VALUE(IF(RTD("tos.rtd",,"IMPL_VOL","."&amp;T$2&amp;T$1&amp;"P"&amp;$A18)="N/A",0,RTD("tos.rtd",,"IMPL_VOL","."&amp;T$2&amp;T$1&amp;"P"&amp;$A18))),0)-IFERROR(VALUE(IF(RTD("tos.rtd",,"IMPL_VOL","."&amp;T$2&amp;T$1&amp;"C"&amp;$A18)="N/A",0,RTD("tos.rtd",,"IMPL_VOL","."&amp;T$2&amp;T$1&amp;"C"&amp;$A18))),0),IF($A$2="MAXPAIN",IF($A$4&gt;$A18,($A$4-$A18)*IF(RTD("tos.rtd",,"OPEN_INT","."&amp;T$2&amp;T$1&amp;"C"&amp;$A18)="N/A",0,RTD("tos.rtd",,"OPEN_INT","."&amp;T$2&amp;T$1&amp;"C"&amp;$A18)),0)+IF($A$4&lt;$A18,($A$5-$A$4)*IF(RTD("tos.rtd",,"OPEN_INT","."&amp;T$2&amp;T$1&amp;"P"&amp;$A18)="N/A",0,RTD("tos.rtd",,"OPEN_INT","."&amp;T$2&amp;T$1&amp;"P"&amp;$A18)),0),IF($X$1="ABS",IF(RTD("tos.rtd",,$A$2,"."&amp;T$2&amp;T$1&amp;"C"&amp;$A18)="N/A",0,RTD("tos.rtd",,$A$2,"."&amp;T$2&amp;T$1&amp;"C"&amp;$A18))+IF(RTD("tos.rtd",,$A$2,"."&amp;T$2&amp;T$1&amp;"P"&amp;$A18)="N/A",0,RTD("tos.rtd",,$A$2,"."&amp;T$2&amp;T$1&amp;"P"&amp;$A18)),IF(RTD("tos.rtd",,$A$2,"."&amp;T$2&amp;T$1&amp;"C"&amp;$A18)="N/A",0,RTD("tos.rtd",,$A$2,"."&amp;T$2&amp;T$1&amp;"C"&amp;$A18))-IF(RTD("tos.rtd",,$A$2,"."&amp;T$2&amp;T$1&amp;"P"&amp;$A18)="N/A",0,RTD("tos.rtd",,$A$2,"."&amp;T$2&amp;T$1&amp;"P"&amp;$A18))))))))))</f>
        <v>0</v>
      </c>
      <c r="U18" s="12">
        <f ca="1">IF($A$2="PREMIUM_OI",IFERROR(IF($X$1="ABS",(100*RTD("tos.rtd",,"OPEN_INT","."&amp;U$2&amp;U$1&amp;"C"&amp;$A18)*RTD("tos.rtd",,"LAST","."&amp;U$2&amp;U$1&amp;"C"&amp;$A18)+100*RTD("tos.rtd",,"OPEN_INT","."&amp;U$2&amp;U$1&amp;"P"&amp;$A18)*RTD("tos.rtd",,"LAST","."&amp;U$2&amp;U$1&amp;"P"&amp;$A18))/1000000,(100*RTD("tos.rtd",,"OPEN_INT","."&amp;U$2&amp;U$1&amp;"C"&amp;$A18)*RTD("tos.rtd",,"LAST","."&amp;U$2&amp;U$1&amp;"C"&amp;$A18)-100*RTD("tos.rtd",,"OPEN_INT","."&amp;U$2&amp;U$1&amp;"P"&amp;$A18)*RTD("tos.rtd",,"LAST","."&amp;U$2&amp;U$1&amp;"P"&amp;$A18))/1000000),0),IF($A$2="PREMIUM",IFERROR(IF($X$1="ABS",(100*RTD("tos.rtd",,"VOLUME","."&amp;U$2&amp;U$1&amp;"C"&amp;$A18)*RTD("tos.rtd",,"LAST","."&amp;U$2&amp;U$1&amp;"C"&amp;$A18)+100*RTD("tos.rtd",,"VOLUME","."&amp;U$2&amp;U$1&amp;"P"&amp;$A18)*RTD("tos.rtd",,"LAST","."&amp;U$2&amp;U$1&amp;"P"&amp;$A18))/1000000,(100*RTD("tos.rtd",,"VOLUME","."&amp;U$2&amp;U$1&amp;"C"&amp;$A18)*RTD("tos.rtd",,"LAST","."&amp;U$2&amp;U$1&amp;"C"&amp;$A18)-100*RTD("tos.rtd",,"VOLUME","."&amp;U$2&amp;U$1&amp;"P"&amp;$A18)*RTD("tos.rtd",,"LAST","."&amp;U$2&amp;U$1&amp;"P"&amp;$A18))/1000000),0),IF($A$2="DEX",IFERROR(IF($X$1="ABS",(100*RTD("tos.rtd",,"OPEN_INT","."&amp;U$2&amp;U$1&amp;"C"&amp;$A18)*RTD("tos.rtd",,"DELTA","."&amp;U$2&amp;U$1&amp;"C"&amp;$A18)+100*RTD("tos.rtd",,"OPEN_INT","."&amp;U$2&amp;U$1&amp;"P"&amp;$A18)*RTD("tos.rtd",,"DELTA","."&amp;U$2&amp;U$1&amp;"P"&amp;$A18))/1000,(100*RTD("tos.rtd",,"OPEN_INT","."&amp;U$2&amp;U$1&amp;"C"&amp;$A18)*RTD("tos.rtd",,"DELTA","."&amp;U$2&amp;U$1&amp;"C"&amp;$A18)-100*RTD("tos.rtd",,"OPEN_INT","."&amp;U$2&amp;U$1&amp;"P"&amp;$A18)*RTD("tos.rtd",,"DELTA","."&amp;U$2&amp;U$1&amp;"P"&amp;$A18))/1000),0),IF($A$2="VEX",IFERROR(IF($X$1="ABS",($A$4*$A$4*RTD("tos.rtd",,"VOLUME","."&amp;U$2&amp;U$1&amp;"C"&amp;$A18)*RTD("tos.rtd",,"GAMMA","."&amp;U$2&amp;U$1&amp;"C"&amp;$A18)+$A$4*$A$4*RTD("tos.rtd",,"VOLUME","."&amp;U$2&amp;U$1&amp;"P"&amp;$A18)*RTD("tos.rtd",,"GAMMA","."&amp;U$2&amp;U$1&amp;"P"&amp;$A18))/1000000,($A$4*$A$4*RTD("tos.rtd",,"VOLUME","."&amp;U$2&amp;U$1&amp;"C"&amp;$A18)*RTD("tos.rtd",,"GAMMA","."&amp;U$2&amp;U$1&amp;"C"&amp;$A18)-$A$4*$A$4*RTD("tos.rtd",,"VOLUME","."&amp;U$2&amp;U$1&amp;"P"&amp;$A18)*RTD("tos.rtd",,"GAMMA","."&amp;U$2&amp;U$1&amp;"P"&amp;$A18))/1000000),0),IF($A$2="GEX",IFERROR(IF($X$1="ABS",($A$4*$A$4*RTD("tos.rtd",,"OPEN_INT","."&amp;U$2&amp;U$1&amp;"C"&amp;$A18)*RTD("tos.rtd",,"GAMMA","."&amp;U$2&amp;U$1&amp;"C"&amp;$A18)+$A$4*$A$4*RTD("tos.rtd",,"OPEN_INT","."&amp;U$2&amp;U$1&amp;"P"&amp;$A18)*RTD("tos.rtd",,"GAMMA","."&amp;U$2&amp;U$1&amp;"P"&amp;$A18))/1000000,($A$4*$A$4*RTD("tos.rtd",,"OPEN_INT","."&amp;U$2&amp;U$1&amp;"C"&amp;$A18)*RTD("tos.rtd",,"GAMMA","."&amp;U$2&amp;U$1&amp;"C"&amp;$A18)-$A$4*$A$4*RTD("tos.rtd",,"OPEN_INT","."&amp;U$2&amp;U$1&amp;"P"&amp;$A18)*RTD("tos.rtd",,"GAMMA","."&amp;U$2&amp;U$1&amp;"P"&amp;$A18))/1000000),0),IF($A$2="SKEW",IFERROR(VALUE(IF(RTD("tos.rtd",,"IMPL_VOL","."&amp;U$2&amp;U$1&amp;"P"&amp;$A18)="N/A",0,RTD("tos.rtd",,"IMPL_VOL","."&amp;U$2&amp;U$1&amp;"P"&amp;$A18))),0)-IFERROR(VALUE(IF(RTD("tos.rtd",,"IMPL_VOL","."&amp;U$2&amp;U$1&amp;"C"&amp;$A18)="N/A",0,RTD("tos.rtd",,"IMPL_VOL","."&amp;U$2&amp;U$1&amp;"C"&amp;$A18))),0),IF($A$2="MAXPAIN",IF($A$4&gt;$A18,($A$4-$A18)*IF(RTD("tos.rtd",,"OPEN_INT","."&amp;U$2&amp;U$1&amp;"C"&amp;$A18)="N/A",0,RTD("tos.rtd",,"OPEN_INT","."&amp;U$2&amp;U$1&amp;"C"&amp;$A18)),0)+IF($A$4&lt;$A18,($A$5-$A$4)*IF(RTD("tos.rtd",,"OPEN_INT","."&amp;U$2&amp;U$1&amp;"P"&amp;$A18)="N/A",0,RTD("tos.rtd",,"OPEN_INT","."&amp;U$2&amp;U$1&amp;"P"&amp;$A18)),0),IF($X$1="ABS",IF(RTD("tos.rtd",,$A$2,"."&amp;U$2&amp;U$1&amp;"C"&amp;$A18)="N/A",0,RTD("tos.rtd",,$A$2,"."&amp;U$2&amp;U$1&amp;"C"&amp;$A18))+IF(RTD("tos.rtd",,$A$2,"."&amp;U$2&amp;U$1&amp;"P"&amp;$A18)="N/A",0,RTD("tos.rtd",,$A$2,"."&amp;U$2&amp;U$1&amp;"P"&amp;$A18)),IF(RTD("tos.rtd",,$A$2,"."&amp;U$2&amp;U$1&amp;"C"&amp;$A18)="N/A",0,RTD("tos.rtd",,$A$2,"."&amp;U$2&amp;U$1&amp;"C"&amp;$A18))-IF(RTD("tos.rtd",,$A$2,"."&amp;U$2&amp;U$1&amp;"P"&amp;$A18)="N/A",0,RTD("tos.rtd",,$A$2,"."&amp;U$2&amp;U$1&amp;"P"&amp;$A18))))))))))</f>
        <v>0</v>
      </c>
      <c r="V18" s="12">
        <f ca="1">IF($A$2="PREMIUM_OI",IFERROR(IF($X$1="ABS",(100*RTD("tos.rtd",,"OPEN_INT","."&amp;V$2&amp;V$1&amp;"C"&amp;$A18)*RTD("tos.rtd",,"LAST","."&amp;V$2&amp;V$1&amp;"C"&amp;$A18)+100*RTD("tos.rtd",,"OPEN_INT","."&amp;V$2&amp;V$1&amp;"P"&amp;$A18)*RTD("tos.rtd",,"LAST","."&amp;V$2&amp;V$1&amp;"P"&amp;$A18))/1000000,(100*RTD("tos.rtd",,"OPEN_INT","."&amp;V$2&amp;V$1&amp;"C"&amp;$A18)*RTD("tos.rtd",,"LAST","."&amp;V$2&amp;V$1&amp;"C"&amp;$A18)-100*RTD("tos.rtd",,"OPEN_INT","."&amp;V$2&amp;V$1&amp;"P"&amp;$A18)*RTD("tos.rtd",,"LAST","."&amp;V$2&amp;V$1&amp;"P"&amp;$A18))/1000000),0),IF($A$2="PREMIUM",IFERROR(IF($X$1="ABS",(100*RTD("tos.rtd",,"VOLUME","."&amp;V$2&amp;V$1&amp;"C"&amp;$A18)*RTD("tos.rtd",,"LAST","."&amp;V$2&amp;V$1&amp;"C"&amp;$A18)+100*RTD("tos.rtd",,"VOLUME","."&amp;V$2&amp;V$1&amp;"P"&amp;$A18)*RTD("tos.rtd",,"LAST","."&amp;V$2&amp;V$1&amp;"P"&amp;$A18))/1000000,(100*RTD("tos.rtd",,"VOLUME","."&amp;V$2&amp;V$1&amp;"C"&amp;$A18)*RTD("tos.rtd",,"LAST","."&amp;V$2&amp;V$1&amp;"C"&amp;$A18)-100*RTD("tos.rtd",,"VOLUME","."&amp;V$2&amp;V$1&amp;"P"&amp;$A18)*RTD("tos.rtd",,"LAST","."&amp;V$2&amp;V$1&amp;"P"&amp;$A18))/1000000),0),IF($A$2="DEX",IFERROR(IF($X$1="ABS",(100*RTD("tos.rtd",,"OPEN_INT","."&amp;V$2&amp;V$1&amp;"C"&amp;$A18)*RTD("tos.rtd",,"DELTA","."&amp;V$2&amp;V$1&amp;"C"&amp;$A18)+100*RTD("tos.rtd",,"OPEN_INT","."&amp;V$2&amp;V$1&amp;"P"&amp;$A18)*RTD("tos.rtd",,"DELTA","."&amp;V$2&amp;V$1&amp;"P"&amp;$A18))/1000,(100*RTD("tos.rtd",,"OPEN_INT","."&amp;V$2&amp;V$1&amp;"C"&amp;$A18)*RTD("tos.rtd",,"DELTA","."&amp;V$2&amp;V$1&amp;"C"&amp;$A18)-100*RTD("tos.rtd",,"OPEN_INT","."&amp;V$2&amp;V$1&amp;"P"&amp;$A18)*RTD("tos.rtd",,"DELTA","."&amp;V$2&amp;V$1&amp;"P"&amp;$A18))/1000),0),IF($A$2="VEX",IFERROR(IF($X$1="ABS",($A$4*$A$4*RTD("tos.rtd",,"VOLUME","."&amp;V$2&amp;V$1&amp;"C"&amp;$A18)*RTD("tos.rtd",,"GAMMA","."&amp;V$2&amp;V$1&amp;"C"&amp;$A18)+$A$4*$A$4*RTD("tos.rtd",,"VOLUME","."&amp;V$2&amp;V$1&amp;"P"&amp;$A18)*RTD("tos.rtd",,"GAMMA","."&amp;V$2&amp;V$1&amp;"P"&amp;$A18))/1000000,($A$4*$A$4*RTD("tos.rtd",,"VOLUME","."&amp;V$2&amp;V$1&amp;"C"&amp;$A18)*RTD("tos.rtd",,"GAMMA","."&amp;V$2&amp;V$1&amp;"C"&amp;$A18)-$A$4*$A$4*RTD("tos.rtd",,"VOLUME","."&amp;V$2&amp;V$1&amp;"P"&amp;$A18)*RTD("tos.rtd",,"GAMMA","."&amp;V$2&amp;V$1&amp;"P"&amp;$A18))/1000000),0),IF($A$2="GEX",IFERROR(IF($X$1="ABS",($A$4*$A$4*RTD("tos.rtd",,"OPEN_INT","."&amp;V$2&amp;V$1&amp;"C"&amp;$A18)*RTD("tos.rtd",,"GAMMA","."&amp;V$2&amp;V$1&amp;"C"&amp;$A18)+$A$4*$A$4*RTD("tos.rtd",,"OPEN_INT","."&amp;V$2&amp;V$1&amp;"P"&amp;$A18)*RTD("tos.rtd",,"GAMMA","."&amp;V$2&amp;V$1&amp;"P"&amp;$A18))/1000000,($A$4*$A$4*RTD("tos.rtd",,"OPEN_INT","."&amp;V$2&amp;V$1&amp;"C"&amp;$A18)*RTD("tos.rtd",,"GAMMA","."&amp;V$2&amp;V$1&amp;"C"&amp;$A18)-$A$4*$A$4*RTD("tos.rtd",,"OPEN_INT","."&amp;V$2&amp;V$1&amp;"P"&amp;$A18)*RTD("tos.rtd",,"GAMMA","."&amp;V$2&amp;V$1&amp;"P"&amp;$A18))/1000000),0),IF($A$2="SKEW",IFERROR(VALUE(IF(RTD("tos.rtd",,"IMPL_VOL","."&amp;V$2&amp;V$1&amp;"P"&amp;$A18)="N/A",0,RTD("tos.rtd",,"IMPL_VOL","."&amp;V$2&amp;V$1&amp;"P"&amp;$A18))),0)-IFERROR(VALUE(IF(RTD("tos.rtd",,"IMPL_VOL","."&amp;V$2&amp;V$1&amp;"C"&amp;$A18)="N/A",0,RTD("tos.rtd",,"IMPL_VOL","."&amp;V$2&amp;V$1&amp;"C"&amp;$A18))),0),IF($A$2="MAXPAIN",IF($A$4&gt;$A18,($A$4-$A18)*IF(RTD("tos.rtd",,"OPEN_INT","."&amp;V$2&amp;V$1&amp;"C"&amp;$A18)="N/A",0,RTD("tos.rtd",,"OPEN_INT","."&amp;V$2&amp;V$1&amp;"C"&amp;$A18)),0)+IF($A$4&lt;$A18,($A$5-$A$4)*IF(RTD("tos.rtd",,"OPEN_INT","."&amp;V$2&amp;V$1&amp;"P"&amp;$A18)="N/A",0,RTD("tos.rtd",,"OPEN_INT","."&amp;V$2&amp;V$1&amp;"P"&amp;$A18)),0),IF($X$1="ABS",IF(RTD("tos.rtd",,$A$2,"."&amp;V$2&amp;V$1&amp;"C"&amp;$A18)="N/A",0,RTD("tos.rtd",,$A$2,"."&amp;V$2&amp;V$1&amp;"C"&amp;$A18))+IF(RTD("tos.rtd",,$A$2,"."&amp;V$2&amp;V$1&amp;"P"&amp;$A18)="N/A",0,RTD("tos.rtd",,$A$2,"."&amp;V$2&amp;V$1&amp;"P"&amp;$A18)),IF(RTD("tos.rtd",,$A$2,"."&amp;V$2&amp;V$1&amp;"C"&amp;$A18)="N/A",0,RTD("tos.rtd",,$A$2,"."&amp;V$2&amp;V$1&amp;"C"&amp;$A18))-IF(RTD("tos.rtd",,$A$2,"."&amp;V$2&amp;V$1&amp;"P"&amp;$A18)="N/A",0,RTD("tos.rtd",,$A$2,"."&amp;V$2&amp;V$1&amp;"P"&amp;$A18))))))))))</f>
        <v>0</v>
      </c>
      <c r="W18" s="12">
        <f ca="1">IF($A$2="PREMIUM_OI",IFERROR(IF($X$1="ABS",(100*RTD("tos.rtd",,"OPEN_INT","."&amp;W$2&amp;W$1&amp;"C"&amp;$A18)*RTD("tos.rtd",,"LAST","."&amp;W$2&amp;W$1&amp;"C"&amp;$A18)+100*RTD("tos.rtd",,"OPEN_INT","."&amp;W$2&amp;W$1&amp;"P"&amp;$A18)*RTD("tos.rtd",,"LAST","."&amp;W$2&amp;W$1&amp;"P"&amp;$A18))/1000000,(100*RTD("tos.rtd",,"OPEN_INT","."&amp;W$2&amp;W$1&amp;"C"&amp;$A18)*RTD("tos.rtd",,"LAST","."&amp;W$2&amp;W$1&amp;"C"&amp;$A18)-100*RTD("tos.rtd",,"OPEN_INT","."&amp;W$2&amp;W$1&amp;"P"&amp;$A18)*RTD("tos.rtd",,"LAST","."&amp;W$2&amp;W$1&amp;"P"&amp;$A18))/1000000),0),IF($A$2="PREMIUM",IFERROR(IF($X$1="ABS",(100*RTD("tos.rtd",,"VOLUME","."&amp;W$2&amp;W$1&amp;"C"&amp;$A18)*RTD("tos.rtd",,"LAST","."&amp;W$2&amp;W$1&amp;"C"&amp;$A18)+100*RTD("tos.rtd",,"VOLUME","."&amp;W$2&amp;W$1&amp;"P"&amp;$A18)*RTD("tos.rtd",,"LAST","."&amp;W$2&amp;W$1&amp;"P"&amp;$A18))/1000000,(100*RTD("tos.rtd",,"VOLUME","."&amp;W$2&amp;W$1&amp;"C"&amp;$A18)*RTD("tos.rtd",,"LAST","."&amp;W$2&amp;W$1&amp;"C"&amp;$A18)-100*RTD("tos.rtd",,"VOLUME","."&amp;W$2&amp;W$1&amp;"P"&amp;$A18)*RTD("tos.rtd",,"LAST","."&amp;W$2&amp;W$1&amp;"P"&amp;$A18))/1000000),0),IF($A$2="DEX",IFERROR(IF($X$1="ABS",(100*RTD("tos.rtd",,"OPEN_INT","."&amp;W$2&amp;W$1&amp;"C"&amp;$A18)*RTD("tos.rtd",,"DELTA","."&amp;W$2&amp;W$1&amp;"C"&amp;$A18)+100*RTD("tos.rtd",,"OPEN_INT","."&amp;W$2&amp;W$1&amp;"P"&amp;$A18)*RTD("tos.rtd",,"DELTA","."&amp;W$2&amp;W$1&amp;"P"&amp;$A18))/1000,(100*RTD("tos.rtd",,"OPEN_INT","."&amp;W$2&amp;W$1&amp;"C"&amp;$A18)*RTD("tos.rtd",,"DELTA","."&amp;W$2&amp;W$1&amp;"C"&amp;$A18)-100*RTD("tos.rtd",,"OPEN_INT","."&amp;W$2&amp;W$1&amp;"P"&amp;$A18)*RTD("tos.rtd",,"DELTA","."&amp;W$2&amp;W$1&amp;"P"&amp;$A18))/1000),0),IF($A$2="VEX",IFERROR(IF($X$1="ABS",($A$4*$A$4*RTD("tos.rtd",,"VOLUME","."&amp;W$2&amp;W$1&amp;"C"&amp;$A18)*RTD("tos.rtd",,"GAMMA","."&amp;W$2&amp;W$1&amp;"C"&amp;$A18)+$A$4*$A$4*RTD("tos.rtd",,"VOLUME","."&amp;W$2&amp;W$1&amp;"P"&amp;$A18)*RTD("tos.rtd",,"GAMMA","."&amp;W$2&amp;W$1&amp;"P"&amp;$A18))/1000000,($A$4*$A$4*RTD("tos.rtd",,"VOLUME","."&amp;W$2&amp;W$1&amp;"C"&amp;$A18)*RTD("tos.rtd",,"GAMMA","."&amp;W$2&amp;W$1&amp;"C"&amp;$A18)-$A$4*$A$4*RTD("tos.rtd",,"VOLUME","."&amp;W$2&amp;W$1&amp;"P"&amp;$A18)*RTD("tos.rtd",,"GAMMA","."&amp;W$2&amp;W$1&amp;"P"&amp;$A18))/1000000),0),IF($A$2="GEX",IFERROR(IF($X$1="ABS",($A$4*$A$4*RTD("tos.rtd",,"OPEN_INT","."&amp;W$2&amp;W$1&amp;"C"&amp;$A18)*RTD("tos.rtd",,"GAMMA","."&amp;W$2&amp;W$1&amp;"C"&amp;$A18)+$A$4*$A$4*RTD("tos.rtd",,"OPEN_INT","."&amp;W$2&amp;W$1&amp;"P"&amp;$A18)*RTD("tos.rtd",,"GAMMA","."&amp;W$2&amp;W$1&amp;"P"&amp;$A18))/1000000,($A$4*$A$4*RTD("tos.rtd",,"OPEN_INT","."&amp;W$2&amp;W$1&amp;"C"&amp;$A18)*RTD("tos.rtd",,"GAMMA","."&amp;W$2&amp;W$1&amp;"C"&amp;$A18)-$A$4*$A$4*RTD("tos.rtd",,"OPEN_INT","."&amp;W$2&amp;W$1&amp;"P"&amp;$A18)*RTD("tos.rtd",,"GAMMA","."&amp;W$2&amp;W$1&amp;"P"&amp;$A18))/1000000),0),IF($A$2="SKEW",IFERROR(VALUE(IF(RTD("tos.rtd",,"IMPL_VOL","."&amp;W$2&amp;W$1&amp;"P"&amp;$A18)="N/A",0,RTD("tos.rtd",,"IMPL_VOL","."&amp;W$2&amp;W$1&amp;"P"&amp;$A18))),0)-IFERROR(VALUE(IF(RTD("tos.rtd",,"IMPL_VOL","."&amp;W$2&amp;W$1&amp;"C"&amp;$A18)="N/A",0,RTD("tos.rtd",,"IMPL_VOL","."&amp;W$2&amp;W$1&amp;"C"&amp;$A18))),0),IF($A$2="MAXPAIN",IF($A$4&gt;$A18,($A$4-$A18)*IF(RTD("tos.rtd",,"OPEN_INT","."&amp;W$2&amp;W$1&amp;"C"&amp;$A18)="N/A",0,RTD("tos.rtd",,"OPEN_INT","."&amp;W$2&amp;W$1&amp;"C"&amp;$A18)),0)+IF($A$4&lt;$A18,($A$5-$A$4)*IF(RTD("tos.rtd",,"OPEN_INT","."&amp;W$2&amp;W$1&amp;"P"&amp;$A18)="N/A",0,RTD("tos.rtd",,"OPEN_INT","."&amp;W$2&amp;W$1&amp;"P"&amp;$A18)),0),IF($X$1="ABS",IF(RTD("tos.rtd",,$A$2,"."&amp;W$2&amp;W$1&amp;"C"&amp;$A18)="N/A",0,RTD("tos.rtd",,$A$2,"."&amp;W$2&amp;W$1&amp;"C"&amp;$A18))+IF(RTD("tos.rtd",,$A$2,"."&amp;W$2&amp;W$1&amp;"P"&amp;$A18)="N/A",0,RTD("tos.rtd",,$A$2,"."&amp;W$2&amp;W$1&amp;"P"&amp;$A18)),IF(RTD("tos.rtd",,$A$2,"."&amp;W$2&amp;W$1&amp;"C"&amp;$A18)="N/A",0,RTD("tos.rtd",,$A$2,"."&amp;W$2&amp;W$1&amp;"C"&amp;$A18))-IF(RTD("tos.rtd",,$A$2,"."&amp;W$2&amp;W$1&amp;"P"&amp;$A18)="N/A",0,RTD("tos.rtd",,$A$2,"."&amp;W$2&amp;W$1&amp;"P"&amp;$A18))))))))))</f>
        <v>0</v>
      </c>
      <c r="X18" s="57">
        <f t="shared" ca="1" si="7"/>
        <v>57008</v>
      </c>
      <c r="Y18" s="27">
        <f t="shared" ca="1" si="8"/>
        <v>57008</v>
      </c>
      <c r="Z18" s="27" t="b">
        <f t="shared" ca="1" si="9"/>
        <v>0</v>
      </c>
      <c r="AA18" s="27">
        <f t="shared" si="10"/>
        <v>129000600</v>
      </c>
      <c r="AB18" s="18">
        <f>MAX(0, $A18-AB$4)*IF(RTD("tos.rtd",,"OPEN_INT","."&amp;$AA$3&amp;$AA$4&amp;"C"&amp;AB$4)="N/A",0,RTD("tos.rtd",,"OPEN_INT","."&amp;$AA$3&amp;$AA$4&amp;"C"&amp;AB$4))*100 + MAX(0, AB$4-$A18)*IF(RTD("tos.rtd",,"OPEN_INT","."&amp;$AA$3&amp;$AA$4&amp;"P"&amp;AB$4)="N/A",0,RTD("tos.rtd",,"OPEN_INT","."&amp;$AA$3&amp;$AA$4&amp;"P"&amp;AB$4))*100</f>
        <v>0</v>
      </c>
      <c r="AC18" s="18">
        <f>MAX(0, $A18-AC$4)*IF(RTD("tos.rtd",,"OPEN_INT","."&amp;$AA$3&amp;$AA$4&amp;"C"&amp;AC$4)="N/A",0,RTD("tos.rtd",,"OPEN_INT","."&amp;$AA$3&amp;$AA$4&amp;"C"&amp;AC$4))*100 + MAX(0, AC$4-$A18)*IF(RTD("tos.rtd",,"OPEN_INT","."&amp;$AA$3&amp;$AA$4&amp;"P"&amp;AC$4)="N/A",0,RTD("tos.rtd",,"OPEN_INT","."&amp;$AA$3&amp;$AA$4&amp;"P"&amp;AC$4))*100</f>
        <v>0</v>
      </c>
      <c r="AD18" s="18">
        <f>MAX(0, $A18-AD$4)*IF(RTD("tos.rtd",,"OPEN_INT","."&amp;$AA$3&amp;$AA$4&amp;"C"&amp;AD$4)="N/A",0,RTD("tos.rtd",,"OPEN_INT","."&amp;$AA$3&amp;$AA$4&amp;"C"&amp;AD$4))*100 + MAX(0, AD$4-$A18)*IF(RTD("tos.rtd",,"OPEN_INT","."&amp;$AA$3&amp;$AA$4&amp;"P"&amp;AD$4)="N/A",0,RTD("tos.rtd",,"OPEN_INT","."&amp;$AA$3&amp;$AA$4&amp;"P"&amp;AD$4))*100</f>
        <v>0</v>
      </c>
      <c r="AE18" s="18">
        <f>MAX(0, $A18-AE$4)*IF(RTD("tos.rtd",,"OPEN_INT","."&amp;$AA$3&amp;$AA$4&amp;"C"&amp;AE$4)="N/A",0,RTD("tos.rtd",,"OPEN_INT","."&amp;$AA$3&amp;$AA$4&amp;"C"&amp;AE$4))*100 + MAX(0, AE$4-$A18)*IF(RTD("tos.rtd",,"OPEN_INT","."&amp;$AA$3&amp;$AA$4&amp;"P"&amp;AE$4)="N/A",0,RTD("tos.rtd",,"OPEN_INT","."&amp;$AA$3&amp;$AA$4&amp;"P"&amp;AE$4))*100</f>
        <v>0</v>
      </c>
      <c r="AF18" s="18">
        <f>MAX(0, $A18-AF$4)*IF(RTD("tos.rtd",,"OPEN_INT","."&amp;$AA$3&amp;$AA$4&amp;"C"&amp;AF$4)="N/A",0,RTD("tos.rtd",,"OPEN_INT","."&amp;$AA$3&amp;$AA$4&amp;"C"&amp;AF$4))*100 + MAX(0, AF$4-$A18)*IF(RTD("tos.rtd",,"OPEN_INT","."&amp;$AA$3&amp;$AA$4&amp;"P"&amp;AF$4)="N/A",0,RTD("tos.rtd",,"OPEN_INT","."&amp;$AA$3&amp;$AA$4&amp;"P"&amp;AF$4))*100</f>
        <v>0</v>
      </c>
      <c r="AG18" s="18">
        <f>MAX(0, $A18-AG$4)*IF(RTD("tos.rtd",,"OPEN_INT","."&amp;$AA$3&amp;$AA$4&amp;"C"&amp;AG$4)="N/A",0,RTD("tos.rtd",,"OPEN_INT","."&amp;$AA$3&amp;$AA$4&amp;"C"&amp;AG$4))*100 + MAX(0, AG$4-$A18)*IF(RTD("tos.rtd",,"OPEN_INT","."&amp;$AA$3&amp;$AA$4&amp;"P"&amp;AG$4)="N/A",0,RTD("tos.rtd",,"OPEN_INT","."&amp;$AA$3&amp;$AA$4&amp;"P"&amp;AG$4))*100</f>
        <v>0</v>
      </c>
      <c r="AH18" s="18">
        <f>MAX(0, $A18-AH$4)*IF(RTD("tos.rtd",,"OPEN_INT","."&amp;$AA$3&amp;$AA$4&amp;"C"&amp;AH$4)="N/A",0,RTD("tos.rtd",,"OPEN_INT","."&amp;$AA$3&amp;$AA$4&amp;"C"&amp;AH$4))*100 + MAX(0, AH$4-$A18)*IF(RTD("tos.rtd",,"OPEN_INT","."&amp;$AA$3&amp;$AA$4&amp;"P"&amp;AH$4)="N/A",0,RTD("tos.rtd",,"OPEN_INT","."&amp;$AA$3&amp;$AA$4&amp;"P"&amp;AH$4))*100</f>
        <v>0</v>
      </c>
      <c r="AI18" s="18">
        <f>MAX(0, $A18-AI$4)*IF(RTD("tos.rtd",,"OPEN_INT","."&amp;$AA$3&amp;$AA$4&amp;"C"&amp;AI$4)="N/A",0,RTD("tos.rtd",,"OPEN_INT","."&amp;$AA$3&amp;$AA$4&amp;"C"&amp;AI$4))*100 + MAX(0, AI$4-$A18)*IF(RTD("tos.rtd",,"OPEN_INT","."&amp;$AA$3&amp;$AA$4&amp;"P"&amp;AI$4)="N/A",0,RTD("tos.rtd",,"OPEN_INT","."&amp;$AA$3&amp;$AA$4&amp;"P"&amp;AI$4))*100</f>
        <v>900</v>
      </c>
      <c r="AJ18" s="18">
        <f>MAX(0, $A18-AJ$4)*IF(RTD("tos.rtd",,"OPEN_INT","."&amp;$AA$3&amp;$AA$4&amp;"C"&amp;AJ$4)="N/A",0,RTD("tos.rtd",,"OPEN_INT","."&amp;$AA$3&amp;$AA$4&amp;"C"&amp;AJ$4))*100 + MAX(0, AJ$4-$A18)*IF(RTD("tos.rtd",,"OPEN_INT","."&amp;$AA$3&amp;$AA$4&amp;"P"&amp;AJ$4)="N/A",0,RTD("tos.rtd",,"OPEN_INT","."&amp;$AA$3&amp;$AA$4&amp;"P"&amp;AJ$4))*100</f>
        <v>2000</v>
      </c>
      <c r="AK18" s="18">
        <f>MAX(0, $A18-AK$4)*IF(RTD("tos.rtd",,"OPEN_INT","."&amp;$AA$3&amp;$AA$4&amp;"C"&amp;AK$4)="N/A",0,RTD("tos.rtd",,"OPEN_INT","."&amp;$AA$3&amp;$AA$4&amp;"C"&amp;AK$4))*100 + MAX(0, AK$4-$A18)*IF(RTD("tos.rtd",,"OPEN_INT","."&amp;$AA$3&amp;$AA$4&amp;"P"&amp;AK$4)="N/A",0,RTD("tos.rtd",,"OPEN_INT","."&amp;$AA$3&amp;$AA$4&amp;"P"&amp;AK$4))*100</f>
        <v>0</v>
      </c>
      <c r="AL18" s="18">
        <f>MAX(0, $A18-AL$4)*IF(RTD("tos.rtd",,"OPEN_INT","."&amp;$AA$3&amp;$AA$4&amp;"C"&amp;AL$4)="N/A",0,RTD("tos.rtd",,"OPEN_INT","."&amp;$AA$3&amp;$AA$4&amp;"C"&amp;AL$4))*100 + MAX(0, AL$4-$A18)*IF(RTD("tos.rtd",,"OPEN_INT","."&amp;$AA$3&amp;$AA$4&amp;"P"&amp;AL$4)="N/A",0,RTD("tos.rtd",,"OPEN_INT","."&amp;$AA$3&amp;$AA$4&amp;"P"&amp;AL$4))*100</f>
        <v>0</v>
      </c>
      <c r="AM18" s="18">
        <f>MAX(0, $A18-AM$4)*IF(RTD("tos.rtd",,"OPEN_INT","."&amp;$AA$3&amp;$AA$4&amp;"C"&amp;AM$4)="N/A",0,RTD("tos.rtd",,"OPEN_INT","."&amp;$AA$3&amp;$AA$4&amp;"C"&amp;AM$4))*100 + MAX(0, AM$4-$A18)*IF(RTD("tos.rtd",,"OPEN_INT","."&amp;$AA$3&amp;$AA$4&amp;"P"&amp;AM$4)="N/A",0,RTD("tos.rtd",,"OPEN_INT","."&amp;$AA$3&amp;$AA$4&amp;"P"&amp;AM$4))*100</f>
        <v>0</v>
      </c>
      <c r="AN18" s="18">
        <f>MAX(0, $A18-AN$4)*IF(RTD("tos.rtd",,"OPEN_INT","."&amp;$AA$3&amp;$AA$4&amp;"C"&amp;AN$4)="N/A",0,RTD("tos.rtd",,"OPEN_INT","."&amp;$AA$3&amp;$AA$4&amp;"C"&amp;AN$4))*100 + MAX(0, AN$4-$A18)*IF(RTD("tos.rtd",,"OPEN_INT","."&amp;$AA$3&amp;$AA$4&amp;"P"&amp;AN$4)="N/A",0,RTD("tos.rtd",,"OPEN_INT","."&amp;$AA$3&amp;$AA$4&amp;"P"&amp;AN$4))*100</f>
        <v>0</v>
      </c>
      <c r="AO18" s="18">
        <f>MAX(0, $A18-AO$4)*IF(RTD("tos.rtd",,"OPEN_INT","."&amp;$AA$3&amp;$AA$4&amp;"C"&amp;AO$4)="N/A",0,RTD("tos.rtd",,"OPEN_INT","."&amp;$AA$3&amp;$AA$4&amp;"C"&amp;AO$4))*100 + MAX(0, AO$4-$A18)*IF(RTD("tos.rtd",,"OPEN_INT","."&amp;$AA$3&amp;$AA$4&amp;"P"&amp;AO$4)="N/A",0,RTD("tos.rtd",,"OPEN_INT","."&amp;$AA$3&amp;$AA$4&amp;"P"&amp;AO$4))*100</f>
        <v>0</v>
      </c>
      <c r="AP18" s="18">
        <f>MAX(0, $A18-AP$4)*IF(RTD("tos.rtd",,"OPEN_INT","."&amp;$AA$3&amp;$AA$4&amp;"C"&amp;AP$4)="N/A",0,RTD("tos.rtd",,"OPEN_INT","."&amp;$AA$3&amp;$AA$4&amp;"C"&amp;AP$4))*100 + MAX(0, AP$4-$A18)*IF(RTD("tos.rtd",,"OPEN_INT","."&amp;$AA$3&amp;$AA$4&amp;"P"&amp;AP$4)="N/A",0,RTD("tos.rtd",,"OPEN_INT","."&amp;$AA$3&amp;$AA$4&amp;"P"&amp;AP$4))*100</f>
        <v>0</v>
      </c>
      <c r="AQ18" s="18">
        <f>MAX(0, $A18-AQ$4)*IF(RTD("tos.rtd",,"OPEN_INT","."&amp;$AA$3&amp;$AA$4&amp;"C"&amp;AQ$4)="N/A",0,RTD("tos.rtd",,"OPEN_INT","."&amp;$AA$3&amp;$AA$4&amp;"C"&amp;AQ$4))*100 + MAX(0, AQ$4-$A18)*IF(RTD("tos.rtd",,"OPEN_INT","."&amp;$AA$3&amp;$AA$4&amp;"P"&amp;AQ$4)="N/A",0,RTD("tos.rtd",,"OPEN_INT","."&amp;$AA$3&amp;$AA$4&amp;"P"&amp;AQ$4))*100</f>
        <v>64000</v>
      </c>
      <c r="AR18" s="18">
        <f>MAX(0, $A18-AR$4)*IF(RTD("tos.rtd",,"OPEN_INT","."&amp;$AA$3&amp;$AA$4&amp;"C"&amp;AR$4)="N/A",0,RTD("tos.rtd",,"OPEN_INT","."&amp;$AA$3&amp;$AA$4&amp;"C"&amp;AR$4))*100 + MAX(0, AR$4-$A18)*IF(RTD("tos.rtd",,"OPEN_INT","."&amp;$AA$3&amp;$AA$4&amp;"P"&amp;AR$4)="N/A",0,RTD("tos.rtd",,"OPEN_INT","."&amp;$AA$3&amp;$AA$4&amp;"P"&amp;AR$4))*100</f>
        <v>150</v>
      </c>
      <c r="AS18" s="18">
        <f>MAX(0, $A18-AS$4)*IF(RTD("tos.rtd",,"OPEN_INT","."&amp;$AA$3&amp;$AA$4&amp;"C"&amp;AS$4)="N/A",0,RTD("tos.rtd",,"OPEN_INT","."&amp;$AA$3&amp;$AA$4&amp;"C"&amp;AS$4))*100 + MAX(0, AS$4-$A18)*IF(RTD("tos.rtd",,"OPEN_INT","."&amp;$AA$3&amp;$AA$4&amp;"P"&amp;AS$4)="N/A",0,RTD("tos.rtd",,"OPEN_INT","."&amp;$AA$3&amp;$AA$4&amp;"P"&amp;AS$4))*100</f>
        <v>172400</v>
      </c>
      <c r="AT18" s="18">
        <f>MAX(0, $A18-AT$4)*IF(RTD("tos.rtd",,"OPEN_INT","."&amp;$AA$3&amp;$AA$4&amp;"C"&amp;AT$4)="N/A",0,RTD("tos.rtd",,"OPEN_INT","."&amp;$AA$3&amp;$AA$4&amp;"C"&amp;AT$4))*100 + MAX(0, AT$4-$A18)*IF(RTD("tos.rtd",,"OPEN_INT","."&amp;$AA$3&amp;$AA$4&amp;"P"&amp;AT$4)="N/A",0,RTD("tos.rtd",,"OPEN_INT","."&amp;$AA$3&amp;$AA$4&amp;"P"&amp;AT$4))*100</f>
        <v>350500</v>
      </c>
      <c r="AU18" s="18">
        <f>MAX(0, $A18-AU$4)*IF(RTD("tos.rtd",,"OPEN_INT","."&amp;$AA$3&amp;$AA$4&amp;"C"&amp;AU$4)="N/A",0,RTD("tos.rtd",,"OPEN_INT","."&amp;$AA$3&amp;$AA$4&amp;"C"&amp;AU$4))*100 + MAX(0, AU$4-$A18)*IF(RTD("tos.rtd",,"OPEN_INT","."&amp;$AA$3&amp;$AA$4&amp;"P"&amp;AU$4)="N/A",0,RTD("tos.rtd",,"OPEN_INT","."&amp;$AA$3&amp;$AA$4&amp;"P"&amp;AU$4))*100</f>
        <v>504900</v>
      </c>
      <c r="AV18" s="18">
        <f>MAX(0, $A18-AV$4)*IF(RTD("tos.rtd",,"OPEN_INT","."&amp;$AA$3&amp;$AA$4&amp;"C"&amp;AV$4)="N/A",0,RTD("tos.rtd",,"OPEN_INT","."&amp;$AA$3&amp;$AA$4&amp;"C"&amp;AV$4))*100 + MAX(0, AV$4-$A18)*IF(RTD("tos.rtd",,"OPEN_INT","."&amp;$AA$3&amp;$AA$4&amp;"P"&amp;AV$4)="N/A",0,RTD("tos.rtd",,"OPEN_INT","."&amp;$AA$3&amp;$AA$4&amp;"P"&amp;AV$4))*100</f>
        <v>660800</v>
      </c>
      <c r="AW18" s="18">
        <f>MAX(0, $A18-AW$4)*IF(RTD("tos.rtd",,"OPEN_INT","."&amp;$AA$3&amp;$AA$4&amp;"C"&amp;AW$4)="N/A",0,RTD("tos.rtd",,"OPEN_INT","."&amp;$AA$3&amp;$AA$4&amp;"C"&amp;AW$4))*100 + MAX(0, AW$4-$A18)*IF(RTD("tos.rtd",,"OPEN_INT","."&amp;$AA$3&amp;$AA$4&amp;"P"&amp;AW$4)="N/A",0,RTD("tos.rtd",,"OPEN_INT","."&amp;$AA$3&amp;$AA$4&amp;"P"&amp;AW$4))*100</f>
        <v>1230000</v>
      </c>
      <c r="AX18" s="18">
        <f>MAX(0, $A18-AX$4)*IF(RTD("tos.rtd",,"OPEN_INT","."&amp;$AA$3&amp;$AA$4&amp;"C"&amp;AX$4)="N/A",0,RTD("tos.rtd",,"OPEN_INT","."&amp;$AA$3&amp;$AA$4&amp;"C"&amp;AX$4))*100 + MAX(0, AX$4-$A18)*IF(RTD("tos.rtd",,"OPEN_INT","."&amp;$AA$3&amp;$AA$4&amp;"P"&amp;AX$4)="N/A",0,RTD("tos.rtd",,"OPEN_INT","."&amp;$AA$3&amp;$AA$4&amp;"P"&amp;AX$4))*100</f>
        <v>1913850</v>
      </c>
      <c r="AY18" s="18">
        <f>MAX(0, $A18-AY$4)*IF(RTD("tos.rtd",,"OPEN_INT","."&amp;$AA$3&amp;$AA$4&amp;"C"&amp;AY$4)="N/A",0,RTD("tos.rtd",,"OPEN_INT","."&amp;$AA$3&amp;$AA$4&amp;"C"&amp;AY$4))*100 + MAX(0, AY$4-$A18)*IF(RTD("tos.rtd",,"OPEN_INT","."&amp;$AA$3&amp;$AA$4&amp;"P"&amp;AY$4)="N/A",0,RTD("tos.rtd",,"OPEN_INT","."&amp;$AA$3&amp;$AA$4&amp;"P"&amp;AY$4))*100</f>
        <v>9774000</v>
      </c>
      <c r="AZ18" s="18">
        <f>MAX(0, $A18-AZ$4)*IF(RTD("tos.rtd",,"OPEN_INT","."&amp;$AA$3&amp;$AA$4&amp;"C"&amp;AZ$4)="N/A",0,RTD("tos.rtd",,"OPEN_INT","."&amp;$AA$3&amp;$AA$4&amp;"C"&amp;AZ$4))*100 + MAX(0, AZ$4-$A18)*IF(RTD("tos.rtd",,"OPEN_INT","."&amp;$AA$3&amp;$AA$4&amp;"P"&amp;AZ$4)="N/A",0,RTD("tos.rtd",,"OPEN_INT","."&amp;$AA$3&amp;$AA$4&amp;"P"&amp;AZ$4))*100</f>
        <v>5417500</v>
      </c>
      <c r="BA18" s="18">
        <f>MAX(0, $A18-BA$4)*IF(RTD("tos.rtd",,"OPEN_INT","."&amp;$AA$3&amp;$AA$4&amp;"C"&amp;BA$4)="N/A",0,RTD("tos.rtd",,"OPEN_INT","."&amp;$AA$3&amp;$AA$4&amp;"C"&amp;BA$4))*100 + MAX(0, BA$4-$A18)*IF(RTD("tos.rtd",,"OPEN_INT","."&amp;$AA$3&amp;$AA$4&amp;"P"&amp;BA$4)="N/A",0,RTD("tos.rtd",,"OPEN_INT","."&amp;$AA$3&amp;$AA$4&amp;"P"&amp;BA$4))*100</f>
        <v>18484200</v>
      </c>
      <c r="BB18" s="18">
        <f>MAX(0, $A18-BB$4)*IF(RTD("tos.rtd",,"OPEN_INT","."&amp;$AA$3&amp;$AA$4&amp;"C"&amp;BB$4)="N/A",0,RTD("tos.rtd",,"OPEN_INT","."&amp;$AA$3&amp;$AA$4&amp;"C"&amp;BB$4))*100 + MAX(0, BB$4-$A18)*IF(RTD("tos.rtd",,"OPEN_INT","."&amp;$AA$3&amp;$AA$4&amp;"P"&amp;BB$4)="N/A",0,RTD("tos.rtd",,"OPEN_INT","."&amp;$AA$3&amp;$AA$4&amp;"P"&amp;BB$4))*100</f>
        <v>18627700</v>
      </c>
      <c r="BC18" s="18">
        <f>MAX(0, $A18-BC$4)*IF(RTD("tos.rtd",,"OPEN_INT","."&amp;$AA$3&amp;$AA$4&amp;"C"&amp;BC$4)="N/A",0,RTD("tos.rtd",,"OPEN_INT","."&amp;$AA$3&amp;$AA$4&amp;"C"&amp;BC$4))*100 + MAX(0, BC$4-$A18)*IF(RTD("tos.rtd",,"OPEN_INT","."&amp;$AA$3&amp;$AA$4&amp;"P"&amp;BC$4)="N/A",0,RTD("tos.rtd",,"OPEN_INT","."&amp;$AA$3&amp;$AA$4&amp;"P"&amp;BC$4))*100</f>
        <v>28499100</v>
      </c>
      <c r="BD18" s="18">
        <f>MAX(0, $A18-BD$4)*IF(RTD("tos.rtd",,"OPEN_INT","."&amp;$AA$3&amp;$AA$4&amp;"C"&amp;BD$4)="N/A",0,RTD("tos.rtd",,"OPEN_INT","."&amp;$AA$3&amp;$AA$4&amp;"C"&amp;BD$4))*100 + MAX(0, BD$4-$A18)*IF(RTD("tos.rtd",,"OPEN_INT","."&amp;$AA$3&amp;$AA$4&amp;"P"&amp;BD$4)="N/A",0,RTD("tos.rtd",,"OPEN_INT","."&amp;$AA$3&amp;$AA$4&amp;"P"&amp;BD$4))*100</f>
        <v>13920000</v>
      </c>
      <c r="BE18" s="18">
        <f>MAX(0, $A18-BE$4)*IF(RTD("tos.rtd",,"OPEN_INT","."&amp;$AA$3&amp;$AA$4&amp;"C"&amp;BE$4)="N/A",0,RTD("tos.rtd",,"OPEN_INT","."&amp;$AA$3&amp;$AA$4&amp;"C"&amp;BE$4))*100 + MAX(0, BE$4-$A18)*IF(RTD("tos.rtd",,"OPEN_INT","."&amp;$AA$3&amp;$AA$4&amp;"P"&amp;BE$4)="N/A",0,RTD("tos.rtd",,"OPEN_INT","."&amp;$AA$3&amp;$AA$4&amp;"P"&amp;BE$4))*100</f>
        <v>13822400</v>
      </c>
      <c r="BF18" s="18">
        <f>MAX(0, $A18-BF$4)*IF(RTD("tos.rtd",,"OPEN_INT","."&amp;$AA$3&amp;$AA$4&amp;"C"&amp;BF$4)="N/A",0,RTD("tos.rtd",,"OPEN_INT","."&amp;$AA$3&amp;$AA$4&amp;"C"&amp;BF$4))*100 + MAX(0, BF$4-$A18)*IF(RTD("tos.rtd",,"OPEN_INT","."&amp;$AA$3&amp;$AA$4&amp;"P"&amp;BF$4)="N/A",0,RTD("tos.rtd",,"OPEN_INT","."&amp;$AA$3&amp;$AA$4&amp;"P"&amp;BF$4))*100</f>
        <v>7145950</v>
      </c>
      <c r="BG18" s="18">
        <f>MAX(0, $A18-BG$4)*IF(RTD("tos.rtd",,"OPEN_INT","."&amp;$AA$3&amp;$AA$4&amp;"C"&amp;BG$4)="N/A",0,RTD("tos.rtd",,"OPEN_INT","."&amp;$AA$3&amp;$AA$4&amp;"C"&amp;BG$4))*100 + MAX(0, BG$4-$A18)*IF(RTD("tos.rtd",,"OPEN_INT","."&amp;$AA$3&amp;$AA$4&amp;"P"&amp;BG$4)="N/A",0,RTD("tos.rtd",,"OPEN_INT","."&amp;$AA$3&amp;$AA$4&amp;"P"&amp;BG$4))*100</f>
        <v>5160600</v>
      </c>
      <c r="BH18" s="18">
        <f>MAX(0, $A18-BH$4)*IF(RTD("tos.rtd",,"OPEN_INT","."&amp;$AA$3&amp;$AA$4&amp;"C"&amp;BH$4)="N/A",0,RTD("tos.rtd",,"OPEN_INT","."&amp;$AA$3&amp;$AA$4&amp;"C"&amp;BH$4))*100 + MAX(0, BH$4-$A18)*IF(RTD("tos.rtd",,"OPEN_INT","."&amp;$AA$3&amp;$AA$4&amp;"P"&amp;BH$4)="N/A",0,RTD("tos.rtd",,"OPEN_INT","."&amp;$AA$3&amp;$AA$4&amp;"P"&amp;BH$4))*100</f>
        <v>1845850</v>
      </c>
      <c r="BI18" s="18">
        <f>MAX(0, $A18-BI$4)*IF(RTD("tos.rtd",,"OPEN_INT","."&amp;$AA$3&amp;$AA$4&amp;"C"&amp;BI$4)="N/A",0,RTD("tos.rtd",,"OPEN_INT","."&amp;$AA$3&amp;$AA$4&amp;"C"&amp;BI$4))*100 + MAX(0, BI$4-$A18)*IF(RTD("tos.rtd",,"OPEN_INT","."&amp;$AA$3&amp;$AA$4&amp;"P"&amp;BI$4)="N/A",0,RTD("tos.rtd",,"OPEN_INT","."&amp;$AA$3&amp;$AA$4&amp;"P"&amp;BI$4))*100</f>
        <v>842000</v>
      </c>
      <c r="BJ18" s="18">
        <f>MAX(0, $A18-BJ$4)*IF(RTD("tos.rtd",,"OPEN_INT","."&amp;$AA$3&amp;$AA$4&amp;"C"&amp;BJ$4)="N/A",0,RTD("tos.rtd",,"OPEN_INT","."&amp;$AA$3&amp;$AA$4&amp;"C"&amp;BJ$4))*100 + MAX(0, BJ$4-$A18)*IF(RTD("tos.rtd",,"OPEN_INT","."&amp;$AA$3&amp;$AA$4&amp;"P"&amp;BJ$4)="N/A",0,RTD("tos.rtd",,"OPEN_INT","."&amp;$AA$3&amp;$AA$4&amp;"P"&amp;BJ$4))*100</f>
        <v>158550</v>
      </c>
      <c r="BK18" s="18">
        <f>MAX(0, $A18-BK$4)*IF(RTD("tos.rtd",,"OPEN_INT","."&amp;$AA$3&amp;$AA$4&amp;"C"&amp;BK$4)="N/A",0,RTD("tos.rtd",,"OPEN_INT","."&amp;$AA$3&amp;$AA$4&amp;"C"&amp;BK$4))*100 + MAX(0, BK$4-$A18)*IF(RTD("tos.rtd",,"OPEN_INT","."&amp;$AA$3&amp;$AA$4&amp;"P"&amp;BK$4)="N/A",0,RTD("tos.rtd",,"OPEN_INT","."&amp;$AA$3&amp;$AA$4&amp;"P"&amp;BK$4))*100</f>
        <v>287100</v>
      </c>
      <c r="BL18" s="18">
        <f>MAX(0, $A18-BL$4)*IF(RTD("tos.rtd",,"OPEN_INT","."&amp;$AA$3&amp;$AA$4&amp;"C"&amp;BL$4)="N/A",0,RTD("tos.rtd",,"OPEN_INT","."&amp;$AA$3&amp;$AA$4&amp;"C"&amp;BL$4))*100 + MAX(0, BL$4-$A18)*IF(RTD("tos.rtd",,"OPEN_INT","."&amp;$AA$3&amp;$AA$4&amp;"P"&amp;BL$4)="N/A",0,RTD("tos.rtd",,"OPEN_INT","."&amp;$AA$3&amp;$AA$4&amp;"P"&amp;BL$4))*100</f>
        <v>18400</v>
      </c>
      <c r="BM18" s="18">
        <f>MAX(0, $A18-BM$4)*IF(RTD("tos.rtd",,"OPEN_INT","."&amp;$AA$3&amp;$AA$4&amp;"C"&amp;BM$4)="N/A",0,RTD("tos.rtd",,"OPEN_INT","."&amp;$AA$3&amp;$AA$4&amp;"C"&amp;BM$4))*100 + MAX(0, BM$4-$A18)*IF(RTD("tos.rtd",,"OPEN_INT","."&amp;$AA$3&amp;$AA$4&amp;"P"&amp;BM$4)="N/A",0,RTD("tos.rtd",,"OPEN_INT","."&amp;$AA$3&amp;$AA$4&amp;"P"&amp;BM$4))*100</f>
        <v>9600</v>
      </c>
      <c r="BN18" s="18">
        <f>MAX(0, $A18-BN$4)*IF(RTD("tos.rtd",,"OPEN_INT","."&amp;$AA$3&amp;$AA$4&amp;"C"&amp;BN$4)="N/A",0,RTD("tos.rtd",,"OPEN_INT","."&amp;$AA$3&amp;$AA$4&amp;"C"&amp;BN$4))*100 + MAX(0, BN$4-$A18)*IF(RTD("tos.rtd",,"OPEN_INT","."&amp;$AA$3&amp;$AA$4&amp;"P"&amp;BN$4)="N/A",0,RTD("tos.rtd",,"OPEN_INT","."&amp;$AA$3&amp;$AA$4&amp;"P"&amp;BN$4))*100</f>
        <v>38750</v>
      </c>
      <c r="BO18" s="18">
        <f>MAX(0, $A18-BO$4)*IF(RTD("tos.rtd",,"OPEN_INT","."&amp;$AA$3&amp;$AA$4&amp;"C"&amp;BO$4)="N/A",0,RTD("tos.rtd",,"OPEN_INT","."&amp;$AA$3&amp;$AA$4&amp;"C"&amp;BO$4))*100 + MAX(0, BO$4-$A18)*IF(RTD("tos.rtd",,"OPEN_INT","."&amp;$AA$3&amp;$AA$4&amp;"P"&amp;BO$4)="N/A",0,RTD("tos.rtd",,"OPEN_INT","."&amp;$AA$3&amp;$AA$4&amp;"P"&amp;BO$4))*100</f>
        <v>49400</v>
      </c>
      <c r="BP18" s="18">
        <f>MAX(0, $A18-BP$4)*IF(RTD("tos.rtd",,"OPEN_INT","."&amp;$AA$3&amp;$AA$4&amp;"C"&amp;BP$4)="N/A",0,RTD("tos.rtd",,"OPEN_INT","."&amp;$AA$3&amp;$AA$4&amp;"C"&amp;BP$4))*100 + MAX(0, BP$4-$A18)*IF(RTD("tos.rtd",,"OPEN_INT","."&amp;$AA$3&amp;$AA$4&amp;"P"&amp;BP$4)="N/A",0,RTD("tos.rtd",,"OPEN_INT","."&amp;$AA$3&amp;$AA$4&amp;"P"&amp;BP$4))*100</f>
        <v>0</v>
      </c>
      <c r="BQ18" s="18">
        <f>MAX(0, $A18-BQ$4)*IF(RTD("tos.rtd",,"OPEN_INT","."&amp;$AA$3&amp;$AA$4&amp;"C"&amp;BQ$4)="N/A",0,RTD("tos.rtd",,"OPEN_INT","."&amp;$AA$3&amp;$AA$4&amp;"C"&amp;BQ$4))*100 + MAX(0, BQ$4-$A18)*IF(RTD("tos.rtd",,"OPEN_INT","."&amp;$AA$3&amp;$AA$4&amp;"P"&amp;BQ$4)="N/A",0,RTD("tos.rtd",,"OPEN_INT","."&amp;$AA$3&amp;$AA$4&amp;"P"&amp;BQ$4))*100</f>
        <v>0</v>
      </c>
      <c r="BR18" s="18">
        <f>MAX(0, $A18-BR$4)*IF(RTD("tos.rtd",,"OPEN_INT","."&amp;$AA$3&amp;$AA$4&amp;"C"&amp;BR$4)="N/A",0,RTD("tos.rtd",,"OPEN_INT","."&amp;$AA$3&amp;$AA$4&amp;"C"&amp;BR$4))*100 + MAX(0, BR$4-$A18)*IF(RTD("tos.rtd",,"OPEN_INT","."&amp;$AA$3&amp;$AA$4&amp;"P"&amp;BR$4)="N/A",0,RTD("tos.rtd",,"OPEN_INT","."&amp;$AA$3&amp;$AA$4&amp;"P"&amp;BR$4))*100</f>
        <v>0</v>
      </c>
      <c r="BS18" s="18">
        <f>MAX(0, $A18-BS$4)*IF(RTD("tos.rtd",,"OPEN_INT","."&amp;$AA$3&amp;$AA$4&amp;"C"&amp;BS$4)="N/A",0,RTD("tos.rtd",,"OPEN_INT","."&amp;$AA$3&amp;$AA$4&amp;"C"&amp;BS$4))*100 + MAX(0, BS$4-$A18)*IF(RTD("tos.rtd",,"OPEN_INT","."&amp;$AA$3&amp;$AA$4&amp;"P"&amp;BS$4)="N/A",0,RTD("tos.rtd",,"OPEN_INT","."&amp;$AA$3&amp;$AA$4&amp;"P"&amp;BS$4))*100</f>
        <v>0</v>
      </c>
      <c r="BT18" s="18">
        <f>MAX(0, $A18-BT$4)*IF(RTD("tos.rtd",,"OPEN_INT","."&amp;$AA$3&amp;$AA$4&amp;"C"&amp;BT$4)="N/A",0,RTD("tos.rtd",,"OPEN_INT","."&amp;$AA$3&amp;$AA$4&amp;"C"&amp;BT$4))*100 + MAX(0, BT$4-$A18)*IF(RTD("tos.rtd",,"OPEN_INT","."&amp;$AA$3&amp;$AA$4&amp;"P"&amp;BT$4)="N/A",0,RTD("tos.rtd",,"OPEN_INT","."&amp;$AA$3&amp;$AA$4&amp;"P"&amp;BT$4))*100</f>
        <v>0</v>
      </c>
      <c r="BU18" s="18">
        <f>MAX(0, $A18-BU$4)*IF(RTD("tos.rtd",,"OPEN_INT","."&amp;$AA$3&amp;$AA$4&amp;"C"&amp;BU$4)="N/A",0,RTD("tos.rtd",,"OPEN_INT","."&amp;$AA$3&amp;$AA$4&amp;"C"&amp;BU$4))*100 + MAX(0, BU$4-$A18)*IF(RTD("tos.rtd",,"OPEN_INT","."&amp;$AA$3&amp;$AA$4&amp;"P"&amp;BU$4)="N/A",0,RTD("tos.rtd",,"OPEN_INT","."&amp;$AA$3&amp;$AA$4&amp;"P"&amp;BU$4))*100</f>
        <v>0</v>
      </c>
      <c r="BV18" s="18">
        <f>MAX(0, $A18-BV$4)*IF(RTD("tos.rtd",,"OPEN_INT","."&amp;$AA$3&amp;$AA$4&amp;"C"&amp;BV$4)="N/A",0,RTD("tos.rtd",,"OPEN_INT","."&amp;$AA$3&amp;$AA$4&amp;"C"&amp;BV$4))*100 + MAX(0, BV$4-$A18)*IF(RTD("tos.rtd",,"OPEN_INT","."&amp;$AA$3&amp;$AA$4&amp;"P"&amp;BV$4)="N/A",0,RTD("tos.rtd",,"OPEN_INT","."&amp;$AA$3&amp;$AA$4&amp;"P"&amp;BV$4))*100</f>
        <v>0</v>
      </c>
    </row>
    <row r="19" spans="1:74" s="19" customFormat="1" ht="11.1" customHeight="1" thickBot="1" x14ac:dyDescent="0.3">
      <c r="A19" s="23">
        <f t="shared" si="6"/>
        <v>14.5</v>
      </c>
      <c r="B19" s="14">
        <f ca="1">IF($A$2="PREMIUM_OI",IFERROR(IF($X$1="ABS",(100*RTD("tos.rtd",,"OPEN_INT","."&amp;B$2&amp;B$1&amp;"C"&amp;$A19)*RTD("tos.rtd",,"LAST","."&amp;B$2&amp;B$1&amp;"C"&amp;$A19)+100*RTD("tos.rtd",,"OPEN_INT","."&amp;B$2&amp;B$1&amp;"P"&amp;$A19)*RTD("tos.rtd",,"LAST","."&amp;B$2&amp;B$1&amp;"P"&amp;$A19))/1000000,(100*RTD("tos.rtd",,"OPEN_INT","."&amp;B$2&amp;B$1&amp;"C"&amp;$A19)*RTD("tos.rtd",,"LAST","."&amp;B$2&amp;B$1&amp;"C"&amp;$A19)-100*RTD("tos.rtd",,"OPEN_INT","."&amp;B$2&amp;B$1&amp;"P"&amp;$A19)*RTD("tos.rtd",,"LAST","."&amp;B$2&amp;B$1&amp;"P"&amp;$A19))/1000000),0),IF($A$2="PREMIUM",IFERROR(IF($X$1="ABS",(100*RTD("tos.rtd",,"VOLUME","."&amp;B$2&amp;B$1&amp;"C"&amp;$A19)*RTD("tos.rtd",,"LAST","."&amp;B$2&amp;B$1&amp;"C"&amp;$A19)+100*RTD("tos.rtd",,"VOLUME","."&amp;B$2&amp;B$1&amp;"P"&amp;$A19)*RTD("tos.rtd",,"LAST","."&amp;B$2&amp;B$1&amp;"P"&amp;$A19))/1000000,(100*RTD("tos.rtd",,"VOLUME","."&amp;B$2&amp;B$1&amp;"C"&amp;$A19)*RTD("tos.rtd",,"LAST","."&amp;B$2&amp;B$1&amp;"C"&amp;$A19)-100*RTD("tos.rtd",,"VOLUME","."&amp;B$2&amp;B$1&amp;"P"&amp;$A19)*RTD("tos.rtd",,"LAST","."&amp;B$2&amp;B$1&amp;"P"&amp;$A19))/1000000),0),IF($A$2="DEX",IFERROR(IF($X$1="ABS",(100*RTD("tos.rtd",,"OPEN_INT","."&amp;B$2&amp;B$1&amp;"C"&amp;$A19)*RTD("tos.rtd",,"DELTA","."&amp;B$2&amp;B$1&amp;"C"&amp;$A19)+100*RTD("tos.rtd",,"OPEN_INT","."&amp;B$2&amp;B$1&amp;"P"&amp;$A19)*RTD("tos.rtd",,"DELTA","."&amp;B$2&amp;B$1&amp;"P"&amp;$A19))/1000,(100*RTD("tos.rtd",,"OPEN_INT","."&amp;B$2&amp;B$1&amp;"C"&amp;$A19)*RTD("tos.rtd",,"DELTA","."&amp;B$2&amp;B$1&amp;"C"&amp;$A19)-100*RTD("tos.rtd",,"OPEN_INT","."&amp;B$2&amp;B$1&amp;"P"&amp;$A19)*RTD("tos.rtd",,"DELTA","."&amp;B$2&amp;B$1&amp;"P"&amp;$A19))/1000),0),IF($A$2="VEX",IFERROR(IF($X$1="ABS",($A$4*$A$4*RTD("tos.rtd",,"VOLUME","."&amp;B$2&amp;B$1&amp;"C"&amp;$A19)*RTD("tos.rtd",,"GAMMA","."&amp;B$2&amp;B$1&amp;"C"&amp;$A19)+$A$4*$A$4*RTD("tos.rtd",,"VOLUME","."&amp;B$2&amp;B$1&amp;"P"&amp;$A19)*RTD("tos.rtd",,"GAMMA","."&amp;B$2&amp;B$1&amp;"P"&amp;$A19))/1000000,($A$4*$A$4*RTD("tos.rtd",,"VOLUME","."&amp;B$2&amp;B$1&amp;"C"&amp;$A19)*RTD("tos.rtd",,"GAMMA","."&amp;B$2&amp;B$1&amp;"C"&amp;$A19)-$A$4*$A$4*RTD("tos.rtd",,"VOLUME","."&amp;B$2&amp;B$1&amp;"P"&amp;$A19)*RTD("tos.rtd",,"GAMMA","."&amp;B$2&amp;B$1&amp;"P"&amp;$A19))/1000000),0),IF($A$2="GEX",IFERROR(IF($X$1="ABS",($A$4*$A$4*RTD("tos.rtd",,"OPEN_INT","."&amp;B$2&amp;B$1&amp;"C"&amp;$A19)*RTD("tos.rtd",,"GAMMA","."&amp;B$2&amp;B$1&amp;"C"&amp;$A19)+$A$4*$A$4*RTD("tos.rtd",,"OPEN_INT","."&amp;B$2&amp;B$1&amp;"P"&amp;$A19)*RTD("tos.rtd",,"GAMMA","."&amp;B$2&amp;B$1&amp;"P"&amp;$A19))/1000000,($A$4*$A$4*RTD("tos.rtd",,"OPEN_INT","."&amp;B$2&amp;B$1&amp;"C"&amp;$A19)*RTD("tos.rtd",,"GAMMA","."&amp;B$2&amp;B$1&amp;"C"&amp;$A19)-$A$4*$A$4*RTD("tos.rtd",,"OPEN_INT","."&amp;B$2&amp;B$1&amp;"P"&amp;$A19)*RTD("tos.rtd",,"GAMMA","."&amp;B$2&amp;B$1&amp;"P"&amp;$A19))/1000000),0),IF($A$2="SKEW",IFERROR(VALUE(IF(RTD("tos.rtd",,"IMPL_VOL","."&amp;B$2&amp;B$1&amp;"P"&amp;$A19)="N/A",0,RTD("tos.rtd",,"IMPL_VOL","."&amp;B$2&amp;B$1&amp;"P"&amp;$A19))),0)-IFERROR(VALUE(IF(RTD("tos.rtd",,"IMPL_VOL","."&amp;B$2&amp;B$1&amp;"C"&amp;$A19)="N/A",0,RTD("tos.rtd",,"IMPL_VOL","."&amp;B$2&amp;B$1&amp;"C"&amp;$A19))),0),IF($A$2="MAXPAIN",IF($A$4&gt;$A19,($A$4-$A19)*IF(RTD("tos.rtd",,"OPEN_INT","."&amp;B$2&amp;B$1&amp;"C"&amp;$A19)="N/A",0,RTD("tos.rtd",,"OPEN_INT","."&amp;B$2&amp;B$1&amp;"C"&amp;$A19)),0)+IF($A$4&lt;$A19,($A$5-$A$4)*IF(RTD("tos.rtd",,"OPEN_INT","."&amp;B$2&amp;B$1&amp;"P"&amp;$A19)="N/A",0,RTD("tos.rtd",,"OPEN_INT","."&amp;B$2&amp;B$1&amp;"P"&amp;$A19)),0),IF($X$1="ABS",IF(RTD("tos.rtd",,$A$2,"."&amp;B$2&amp;B$1&amp;"C"&amp;$A19)="N/A",0,RTD("tos.rtd",,$A$2,"."&amp;B$2&amp;B$1&amp;"C"&amp;$A19))+IF(RTD("tos.rtd",,$A$2,"."&amp;B$2&amp;B$1&amp;"P"&amp;$A19)="N/A",0,RTD("tos.rtd",,$A$2,"."&amp;B$2&amp;B$1&amp;"P"&amp;$A19)),IF(RTD("tos.rtd",,$A$2,"."&amp;B$2&amp;B$1&amp;"C"&amp;$A19)="N/A",0,RTD("tos.rtd",,$A$2,"."&amp;B$2&amp;B$1&amp;"C"&amp;$A19))-IF(RTD("tos.rtd",,$A$2,"."&amp;B$2&amp;B$1&amp;"P"&amp;$A19)="N/A",0,RTD("tos.rtd",,$A$2,"."&amp;B$2&amp;B$1&amp;"P"&amp;$A19))))))))))</f>
        <v>0</v>
      </c>
      <c r="C19" s="12">
        <f ca="1">IF($A$2="PREMIUM_OI",IFERROR(IF($X$1="ABS",(100*RTD("tos.rtd",,"OPEN_INT","."&amp;C$2&amp;C$1&amp;"C"&amp;$A19)*RTD("tos.rtd",,"LAST","."&amp;C$2&amp;C$1&amp;"C"&amp;$A19)+100*RTD("tos.rtd",,"OPEN_INT","."&amp;C$2&amp;C$1&amp;"P"&amp;$A19)*RTD("tos.rtd",,"LAST","."&amp;C$2&amp;C$1&amp;"P"&amp;$A19))/1000000,(100*RTD("tos.rtd",,"OPEN_INT","."&amp;C$2&amp;C$1&amp;"C"&amp;$A19)*RTD("tos.rtd",,"LAST","."&amp;C$2&amp;C$1&amp;"C"&amp;$A19)-100*RTD("tos.rtd",,"OPEN_INT","."&amp;C$2&amp;C$1&amp;"P"&amp;$A19)*RTD("tos.rtd",,"LAST","."&amp;C$2&amp;C$1&amp;"P"&amp;$A19))/1000000),0),IF($A$2="PREMIUM",IFERROR(IF($X$1="ABS",(100*RTD("tos.rtd",,"VOLUME","."&amp;C$2&amp;C$1&amp;"C"&amp;$A19)*RTD("tos.rtd",,"LAST","."&amp;C$2&amp;C$1&amp;"C"&amp;$A19)+100*RTD("tos.rtd",,"VOLUME","."&amp;C$2&amp;C$1&amp;"P"&amp;$A19)*RTD("tos.rtd",,"LAST","."&amp;C$2&amp;C$1&amp;"P"&amp;$A19))/1000000,(100*RTD("tos.rtd",,"VOLUME","."&amp;C$2&amp;C$1&amp;"C"&amp;$A19)*RTD("tos.rtd",,"LAST","."&amp;C$2&amp;C$1&amp;"C"&amp;$A19)-100*RTD("tos.rtd",,"VOLUME","."&amp;C$2&amp;C$1&amp;"P"&amp;$A19)*RTD("tos.rtd",,"LAST","."&amp;C$2&amp;C$1&amp;"P"&amp;$A19))/1000000),0),IF($A$2="DEX",IFERROR(IF($X$1="ABS",(100*RTD("tos.rtd",,"OPEN_INT","."&amp;C$2&amp;C$1&amp;"C"&amp;$A19)*RTD("tos.rtd",,"DELTA","."&amp;C$2&amp;C$1&amp;"C"&amp;$A19)+100*RTD("tos.rtd",,"OPEN_INT","."&amp;C$2&amp;C$1&amp;"P"&amp;$A19)*RTD("tos.rtd",,"DELTA","."&amp;C$2&amp;C$1&amp;"P"&amp;$A19))/1000,(100*RTD("tos.rtd",,"OPEN_INT","."&amp;C$2&amp;C$1&amp;"C"&amp;$A19)*RTD("tos.rtd",,"DELTA","."&amp;C$2&amp;C$1&amp;"C"&amp;$A19)-100*RTD("tos.rtd",,"OPEN_INT","."&amp;C$2&amp;C$1&amp;"P"&amp;$A19)*RTD("tos.rtd",,"DELTA","."&amp;C$2&amp;C$1&amp;"P"&amp;$A19))/1000),0),IF($A$2="VEX",IFERROR(IF($X$1="ABS",($A$4*$A$4*RTD("tos.rtd",,"VOLUME","."&amp;C$2&amp;C$1&amp;"C"&amp;$A19)*RTD("tos.rtd",,"GAMMA","."&amp;C$2&amp;C$1&amp;"C"&amp;$A19)+$A$4*$A$4*RTD("tos.rtd",,"VOLUME","."&amp;C$2&amp;C$1&amp;"P"&amp;$A19)*RTD("tos.rtd",,"GAMMA","."&amp;C$2&amp;C$1&amp;"P"&amp;$A19))/1000000,($A$4*$A$4*RTD("tos.rtd",,"VOLUME","."&amp;C$2&amp;C$1&amp;"C"&amp;$A19)*RTD("tos.rtd",,"GAMMA","."&amp;C$2&amp;C$1&amp;"C"&amp;$A19)-$A$4*$A$4*RTD("tos.rtd",,"VOLUME","."&amp;C$2&amp;C$1&amp;"P"&amp;$A19)*RTD("tos.rtd",,"GAMMA","."&amp;C$2&amp;C$1&amp;"P"&amp;$A19))/1000000),0),IF($A$2="GEX",IFERROR(IF($X$1="ABS",($A$4*$A$4*RTD("tos.rtd",,"OPEN_INT","."&amp;C$2&amp;C$1&amp;"C"&amp;$A19)*RTD("tos.rtd",,"GAMMA","."&amp;C$2&amp;C$1&amp;"C"&amp;$A19)+$A$4*$A$4*RTD("tos.rtd",,"OPEN_INT","."&amp;C$2&amp;C$1&amp;"P"&amp;$A19)*RTD("tos.rtd",,"GAMMA","."&amp;C$2&amp;C$1&amp;"P"&amp;$A19))/1000000,($A$4*$A$4*RTD("tos.rtd",,"OPEN_INT","."&amp;C$2&amp;C$1&amp;"C"&amp;$A19)*RTD("tos.rtd",,"GAMMA","."&amp;C$2&amp;C$1&amp;"C"&amp;$A19)-$A$4*$A$4*RTD("tos.rtd",,"OPEN_INT","."&amp;C$2&amp;C$1&amp;"P"&amp;$A19)*RTD("tos.rtd",,"GAMMA","."&amp;C$2&amp;C$1&amp;"P"&amp;$A19))/1000000),0),IF($A$2="SKEW",IFERROR(VALUE(IF(RTD("tos.rtd",,"IMPL_VOL","."&amp;C$2&amp;C$1&amp;"P"&amp;$A19)="N/A",0,RTD("tos.rtd",,"IMPL_VOL","."&amp;C$2&amp;C$1&amp;"P"&amp;$A19))),0)-IFERROR(VALUE(IF(RTD("tos.rtd",,"IMPL_VOL","."&amp;C$2&amp;C$1&amp;"C"&amp;$A19)="N/A",0,RTD("tos.rtd",,"IMPL_VOL","."&amp;C$2&amp;C$1&amp;"C"&amp;$A19))),0),IF($A$2="MAXPAIN",IF($A$4&gt;$A19,($A$4-$A19)*IF(RTD("tos.rtd",,"OPEN_INT","."&amp;C$2&amp;C$1&amp;"C"&amp;$A19)="N/A",0,RTD("tos.rtd",,"OPEN_INT","."&amp;C$2&amp;C$1&amp;"C"&amp;$A19)),0)+IF($A$4&lt;$A19,($A$5-$A$4)*IF(RTD("tos.rtd",,"OPEN_INT","."&amp;C$2&amp;C$1&amp;"P"&amp;$A19)="N/A",0,RTD("tos.rtd",,"OPEN_INT","."&amp;C$2&amp;C$1&amp;"P"&amp;$A19)),0),IF($X$1="ABS",IF(RTD("tos.rtd",,$A$2,"."&amp;C$2&amp;C$1&amp;"C"&amp;$A19)="N/A",0,RTD("tos.rtd",,$A$2,"."&amp;C$2&amp;C$1&amp;"C"&amp;$A19))+IF(RTD("tos.rtd",,$A$2,"."&amp;C$2&amp;C$1&amp;"P"&amp;$A19)="N/A",0,RTD("tos.rtd",,$A$2,"."&amp;C$2&amp;C$1&amp;"P"&amp;$A19)),IF(RTD("tos.rtd",,$A$2,"."&amp;C$2&amp;C$1&amp;"C"&amp;$A19)="N/A",0,RTD("tos.rtd",,$A$2,"."&amp;C$2&amp;C$1&amp;"C"&amp;$A19))-IF(RTD("tos.rtd",,$A$2,"."&amp;C$2&amp;C$1&amp;"P"&amp;$A19)="N/A",0,RTD("tos.rtd",,$A$2,"."&amp;C$2&amp;C$1&amp;"P"&amp;$A19))))))))))</f>
        <v>0</v>
      </c>
      <c r="D19" s="12">
        <f ca="1">IF($A$2="PREMIUM_OI",IFERROR(IF($X$1="ABS",(100*RTD("tos.rtd",,"OPEN_INT","."&amp;D$2&amp;D$1&amp;"C"&amp;$A19)*RTD("tos.rtd",,"LAST","."&amp;D$2&amp;D$1&amp;"C"&amp;$A19)+100*RTD("tos.rtd",,"OPEN_INT","."&amp;D$2&amp;D$1&amp;"P"&amp;$A19)*RTD("tos.rtd",,"LAST","."&amp;D$2&amp;D$1&amp;"P"&amp;$A19))/1000000,(100*RTD("tos.rtd",,"OPEN_INT","."&amp;D$2&amp;D$1&amp;"C"&amp;$A19)*RTD("tos.rtd",,"LAST","."&amp;D$2&amp;D$1&amp;"C"&amp;$A19)-100*RTD("tos.rtd",,"OPEN_INT","."&amp;D$2&amp;D$1&amp;"P"&amp;$A19)*RTD("tos.rtd",,"LAST","."&amp;D$2&amp;D$1&amp;"P"&amp;$A19))/1000000),0),IF($A$2="PREMIUM",IFERROR(IF($X$1="ABS",(100*RTD("tos.rtd",,"VOLUME","."&amp;D$2&amp;D$1&amp;"C"&amp;$A19)*RTD("tos.rtd",,"LAST","."&amp;D$2&amp;D$1&amp;"C"&amp;$A19)+100*RTD("tos.rtd",,"VOLUME","."&amp;D$2&amp;D$1&amp;"P"&amp;$A19)*RTD("tos.rtd",,"LAST","."&amp;D$2&amp;D$1&amp;"P"&amp;$A19))/1000000,(100*RTD("tos.rtd",,"VOLUME","."&amp;D$2&amp;D$1&amp;"C"&amp;$A19)*RTD("tos.rtd",,"LAST","."&amp;D$2&amp;D$1&amp;"C"&amp;$A19)-100*RTD("tos.rtd",,"VOLUME","."&amp;D$2&amp;D$1&amp;"P"&amp;$A19)*RTD("tos.rtd",,"LAST","."&amp;D$2&amp;D$1&amp;"P"&amp;$A19))/1000000),0),IF($A$2="DEX",IFERROR(IF($X$1="ABS",(100*RTD("tos.rtd",,"OPEN_INT","."&amp;D$2&amp;D$1&amp;"C"&amp;$A19)*RTD("tos.rtd",,"DELTA","."&amp;D$2&amp;D$1&amp;"C"&amp;$A19)+100*RTD("tos.rtd",,"OPEN_INT","."&amp;D$2&amp;D$1&amp;"P"&amp;$A19)*RTD("tos.rtd",,"DELTA","."&amp;D$2&amp;D$1&amp;"P"&amp;$A19))/1000,(100*RTD("tos.rtd",,"OPEN_INT","."&amp;D$2&amp;D$1&amp;"C"&amp;$A19)*RTD("tos.rtd",,"DELTA","."&amp;D$2&amp;D$1&amp;"C"&amp;$A19)-100*RTD("tos.rtd",,"OPEN_INT","."&amp;D$2&amp;D$1&amp;"P"&amp;$A19)*RTD("tos.rtd",,"DELTA","."&amp;D$2&amp;D$1&amp;"P"&amp;$A19))/1000),0),IF($A$2="VEX",IFERROR(IF($X$1="ABS",($A$4*$A$4*RTD("tos.rtd",,"VOLUME","."&amp;D$2&amp;D$1&amp;"C"&amp;$A19)*RTD("tos.rtd",,"GAMMA","."&amp;D$2&amp;D$1&amp;"C"&amp;$A19)+$A$4*$A$4*RTD("tos.rtd",,"VOLUME","."&amp;D$2&amp;D$1&amp;"P"&amp;$A19)*RTD("tos.rtd",,"GAMMA","."&amp;D$2&amp;D$1&amp;"P"&amp;$A19))/1000000,($A$4*$A$4*RTD("tos.rtd",,"VOLUME","."&amp;D$2&amp;D$1&amp;"C"&amp;$A19)*RTD("tos.rtd",,"GAMMA","."&amp;D$2&amp;D$1&amp;"C"&amp;$A19)-$A$4*$A$4*RTD("tos.rtd",,"VOLUME","."&amp;D$2&amp;D$1&amp;"P"&amp;$A19)*RTD("tos.rtd",,"GAMMA","."&amp;D$2&amp;D$1&amp;"P"&amp;$A19))/1000000),0),IF($A$2="GEX",IFERROR(IF($X$1="ABS",($A$4*$A$4*RTD("tos.rtd",,"OPEN_INT","."&amp;D$2&amp;D$1&amp;"C"&amp;$A19)*RTD("tos.rtd",,"GAMMA","."&amp;D$2&amp;D$1&amp;"C"&amp;$A19)+$A$4*$A$4*RTD("tos.rtd",,"OPEN_INT","."&amp;D$2&amp;D$1&amp;"P"&amp;$A19)*RTD("tos.rtd",,"GAMMA","."&amp;D$2&amp;D$1&amp;"P"&amp;$A19))/1000000,($A$4*$A$4*RTD("tos.rtd",,"OPEN_INT","."&amp;D$2&amp;D$1&amp;"C"&amp;$A19)*RTD("tos.rtd",,"GAMMA","."&amp;D$2&amp;D$1&amp;"C"&amp;$A19)-$A$4*$A$4*RTD("tos.rtd",,"OPEN_INT","."&amp;D$2&amp;D$1&amp;"P"&amp;$A19)*RTD("tos.rtd",,"GAMMA","."&amp;D$2&amp;D$1&amp;"P"&amp;$A19))/1000000),0),IF($A$2="SKEW",IFERROR(VALUE(IF(RTD("tos.rtd",,"IMPL_VOL","."&amp;D$2&amp;D$1&amp;"P"&amp;$A19)="N/A",0,RTD("tos.rtd",,"IMPL_VOL","."&amp;D$2&amp;D$1&amp;"P"&amp;$A19))),0)-IFERROR(VALUE(IF(RTD("tos.rtd",,"IMPL_VOL","."&amp;D$2&amp;D$1&amp;"C"&amp;$A19)="N/A",0,RTD("tos.rtd",,"IMPL_VOL","."&amp;D$2&amp;D$1&amp;"C"&amp;$A19))),0),IF($A$2="MAXPAIN",IF($A$4&gt;$A19,($A$4-$A19)*IF(RTD("tos.rtd",,"OPEN_INT","."&amp;D$2&amp;D$1&amp;"C"&amp;$A19)="N/A",0,RTD("tos.rtd",,"OPEN_INT","."&amp;D$2&amp;D$1&amp;"C"&amp;$A19)),0)+IF($A$4&lt;$A19,($A$5-$A$4)*IF(RTD("tos.rtd",,"OPEN_INT","."&amp;D$2&amp;D$1&amp;"P"&amp;$A19)="N/A",0,RTD("tos.rtd",,"OPEN_INT","."&amp;D$2&amp;D$1&amp;"P"&amp;$A19)),0),IF($X$1="ABS",IF(RTD("tos.rtd",,$A$2,"."&amp;D$2&amp;D$1&amp;"C"&amp;$A19)="N/A",0,RTD("tos.rtd",,$A$2,"."&amp;D$2&amp;D$1&amp;"C"&amp;$A19))+IF(RTD("tos.rtd",,$A$2,"."&amp;D$2&amp;D$1&amp;"P"&amp;$A19)="N/A",0,RTD("tos.rtd",,$A$2,"."&amp;D$2&amp;D$1&amp;"P"&amp;$A19)),IF(RTD("tos.rtd",,$A$2,"."&amp;D$2&amp;D$1&amp;"C"&amp;$A19)="N/A",0,RTD("tos.rtd",,$A$2,"."&amp;D$2&amp;D$1&amp;"C"&amp;$A19))-IF(RTD("tos.rtd",,$A$2,"."&amp;D$2&amp;D$1&amp;"P"&amp;$A19)="N/A",0,RTD("tos.rtd",,$A$2,"."&amp;D$2&amp;D$1&amp;"P"&amp;$A19))))))))))</f>
        <v>0</v>
      </c>
      <c r="E19" s="12">
        <f ca="1">IF($A$2="PREMIUM_OI",IFERROR(IF($X$1="ABS",(100*RTD("tos.rtd",,"OPEN_INT","."&amp;E$2&amp;E$1&amp;"C"&amp;$A19)*RTD("tos.rtd",,"LAST","."&amp;E$2&amp;E$1&amp;"C"&amp;$A19)+100*RTD("tos.rtd",,"OPEN_INT","."&amp;E$2&amp;E$1&amp;"P"&amp;$A19)*RTD("tos.rtd",,"LAST","."&amp;E$2&amp;E$1&amp;"P"&amp;$A19))/1000000,(100*RTD("tos.rtd",,"OPEN_INT","."&amp;E$2&amp;E$1&amp;"C"&amp;$A19)*RTD("tos.rtd",,"LAST","."&amp;E$2&amp;E$1&amp;"C"&amp;$A19)-100*RTD("tos.rtd",,"OPEN_INT","."&amp;E$2&amp;E$1&amp;"P"&amp;$A19)*RTD("tos.rtd",,"LAST","."&amp;E$2&amp;E$1&amp;"P"&amp;$A19))/1000000),0),IF($A$2="PREMIUM",IFERROR(IF($X$1="ABS",(100*RTD("tos.rtd",,"VOLUME","."&amp;E$2&amp;E$1&amp;"C"&amp;$A19)*RTD("tos.rtd",,"LAST","."&amp;E$2&amp;E$1&amp;"C"&amp;$A19)+100*RTD("tos.rtd",,"VOLUME","."&amp;E$2&amp;E$1&amp;"P"&amp;$A19)*RTD("tos.rtd",,"LAST","."&amp;E$2&amp;E$1&amp;"P"&amp;$A19))/1000000,(100*RTD("tos.rtd",,"VOLUME","."&amp;E$2&amp;E$1&amp;"C"&amp;$A19)*RTD("tos.rtd",,"LAST","."&amp;E$2&amp;E$1&amp;"C"&amp;$A19)-100*RTD("tos.rtd",,"VOLUME","."&amp;E$2&amp;E$1&amp;"P"&amp;$A19)*RTD("tos.rtd",,"LAST","."&amp;E$2&amp;E$1&amp;"P"&amp;$A19))/1000000),0),IF($A$2="DEX",IFERROR(IF($X$1="ABS",(100*RTD("tos.rtd",,"OPEN_INT","."&amp;E$2&amp;E$1&amp;"C"&amp;$A19)*RTD("tos.rtd",,"DELTA","."&amp;E$2&amp;E$1&amp;"C"&amp;$A19)+100*RTD("tos.rtd",,"OPEN_INT","."&amp;E$2&amp;E$1&amp;"P"&amp;$A19)*RTD("tos.rtd",,"DELTA","."&amp;E$2&amp;E$1&amp;"P"&amp;$A19))/1000,(100*RTD("tos.rtd",,"OPEN_INT","."&amp;E$2&amp;E$1&amp;"C"&amp;$A19)*RTD("tos.rtd",,"DELTA","."&amp;E$2&amp;E$1&amp;"C"&amp;$A19)-100*RTD("tos.rtd",,"OPEN_INT","."&amp;E$2&amp;E$1&amp;"P"&amp;$A19)*RTD("tos.rtd",,"DELTA","."&amp;E$2&amp;E$1&amp;"P"&amp;$A19))/1000),0),IF($A$2="VEX",IFERROR(IF($X$1="ABS",($A$4*$A$4*RTD("tos.rtd",,"VOLUME","."&amp;E$2&amp;E$1&amp;"C"&amp;$A19)*RTD("tos.rtd",,"GAMMA","."&amp;E$2&amp;E$1&amp;"C"&amp;$A19)+$A$4*$A$4*RTD("tos.rtd",,"VOLUME","."&amp;E$2&amp;E$1&amp;"P"&amp;$A19)*RTD("tos.rtd",,"GAMMA","."&amp;E$2&amp;E$1&amp;"P"&amp;$A19))/1000000,($A$4*$A$4*RTD("tos.rtd",,"VOLUME","."&amp;E$2&amp;E$1&amp;"C"&amp;$A19)*RTD("tos.rtd",,"GAMMA","."&amp;E$2&amp;E$1&amp;"C"&amp;$A19)-$A$4*$A$4*RTD("tos.rtd",,"VOLUME","."&amp;E$2&amp;E$1&amp;"P"&amp;$A19)*RTD("tos.rtd",,"GAMMA","."&amp;E$2&amp;E$1&amp;"P"&amp;$A19))/1000000),0),IF($A$2="GEX",IFERROR(IF($X$1="ABS",($A$4*$A$4*RTD("tos.rtd",,"OPEN_INT","."&amp;E$2&amp;E$1&amp;"C"&amp;$A19)*RTD("tos.rtd",,"GAMMA","."&amp;E$2&amp;E$1&amp;"C"&amp;$A19)+$A$4*$A$4*RTD("tos.rtd",,"OPEN_INT","."&amp;E$2&amp;E$1&amp;"P"&amp;$A19)*RTD("tos.rtd",,"GAMMA","."&amp;E$2&amp;E$1&amp;"P"&amp;$A19))/1000000,($A$4*$A$4*RTD("tos.rtd",,"OPEN_INT","."&amp;E$2&amp;E$1&amp;"C"&amp;$A19)*RTD("tos.rtd",,"GAMMA","."&amp;E$2&amp;E$1&amp;"C"&amp;$A19)-$A$4*$A$4*RTD("tos.rtd",,"OPEN_INT","."&amp;E$2&amp;E$1&amp;"P"&amp;$A19)*RTD("tos.rtd",,"GAMMA","."&amp;E$2&amp;E$1&amp;"P"&amp;$A19))/1000000),0),IF($A$2="SKEW",IFERROR(VALUE(IF(RTD("tos.rtd",,"IMPL_VOL","."&amp;E$2&amp;E$1&amp;"P"&amp;$A19)="N/A",0,RTD("tos.rtd",,"IMPL_VOL","."&amp;E$2&amp;E$1&amp;"P"&amp;$A19))),0)-IFERROR(VALUE(IF(RTD("tos.rtd",,"IMPL_VOL","."&amp;E$2&amp;E$1&amp;"C"&amp;$A19)="N/A",0,RTD("tos.rtd",,"IMPL_VOL","."&amp;E$2&amp;E$1&amp;"C"&amp;$A19))),0),IF($A$2="MAXPAIN",IF($A$4&gt;$A19,($A$4-$A19)*IF(RTD("tos.rtd",,"OPEN_INT","."&amp;E$2&amp;E$1&amp;"C"&amp;$A19)="N/A",0,RTD("tos.rtd",,"OPEN_INT","."&amp;E$2&amp;E$1&amp;"C"&amp;$A19)),0)+IF($A$4&lt;$A19,($A$5-$A$4)*IF(RTD("tos.rtd",,"OPEN_INT","."&amp;E$2&amp;E$1&amp;"P"&amp;$A19)="N/A",0,RTD("tos.rtd",,"OPEN_INT","."&amp;E$2&amp;E$1&amp;"P"&amp;$A19)),0),IF($X$1="ABS",IF(RTD("tos.rtd",,$A$2,"."&amp;E$2&amp;E$1&amp;"C"&amp;$A19)="N/A",0,RTD("tos.rtd",,$A$2,"."&amp;E$2&amp;E$1&amp;"C"&amp;$A19))+IF(RTD("tos.rtd",,$A$2,"."&amp;E$2&amp;E$1&amp;"P"&amp;$A19)="N/A",0,RTD("tos.rtd",,$A$2,"."&amp;E$2&amp;E$1&amp;"P"&amp;$A19)),IF(RTD("tos.rtd",,$A$2,"."&amp;E$2&amp;E$1&amp;"C"&amp;$A19)="N/A",0,RTD("tos.rtd",,$A$2,"."&amp;E$2&amp;E$1&amp;"C"&amp;$A19))-IF(RTD("tos.rtd",,$A$2,"."&amp;E$2&amp;E$1&amp;"P"&amp;$A19)="N/A",0,RTD("tos.rtd",,$A$2,"."&amp;E$2&amp;E$1&amp;"P"&amp;$A19))))))))))</f>
        <v>0</v>
      </c>
      <c r="F19" s="12">
        <f ca="1">IF($A$2="PREMIUM_OI",IFERROR(IF($X$1="ABS",(100*RTD("tos.rtd",,"OPEN_INT","."&amp;F$2&amp;F$1&amp;"C"&amp;$A19)*RTD("tos.rtd",,"LAST","."&amp;F$2&amp;F$1&amp;"C"&amp;$A19)+100*RTD("tos.rtd",,"OPEN_INT","."&amp;F$2&amp;F$1&amp;"P"&amp;$A19)*RTD("tos.rtd",,"LAST","."&amp;F$2&amp;F$1&amp;"P"&amp;$A19))/1000000,(100*RTD("tos.rtd",,"OPEN_INT","."&amp;F$2&amp;F$1&amp;"C"&amp;$A19)*RTD("tos.rtd",,"LAST","."&amp;F$2&amp;F$1&amp;"C"&amp;$A19)-100*RTD("tos.rtd",,"OPEN_INT","."&amp;F$2&amp;F$1&amp;"P"&amp;$A19)*RTD("tos.rtd",,"LAST","."&amp;F$2&amp;F$1&amp;"P"&amp;$A19))/1000000),0),IF($A$2="PREMIUM",IFERROR(IF($X$1="ABS",(100*RTD("tos.rtd",,"VOLUME","."&amp;F$2&amp;F$1&amp;"C"&amp;$A19)*RTD("tos.rtd",,"LAST","."&amp;F$2&amp;F$1&amp;"C"&amp;$A19)+100*RTD("tos.rtd",,"VOLUME","."&amp;F$2&amp;F$1&amp;"P"&amp;$A19)*RTD("tos.rtd",,"LAST","."&amp;F$2&amp;F$1&amp;"P"&amp;$A19))/1000000,(100*RTD("tos.rtd",,"VOLUME","."&amp;F$2&amp;F$1&amp;"C"&amp;$A19)*RTD("tos.rtd",,"LAST","."&amp;F$2&amp;F$1&amp;"C"&amp;$A19)-100*RTD("tos.rtd",,"VOLUME","."&amp;F$2&amp;F$1&amp;"P"&amp;$A19)*RTD("tos.rtd",,"LAST","."&amp;F$2&amp;F$1&amp;"P"&amp;$A19))/1000000),0),IF($A$2="DEX",IFERROR(IF($X$1="ABS",(100*RTD("tos.rtd",,"OPEN_INT","."&amp;F$2&amp;F$1&amp;"C"&amp;$A19)*RTD("tos.rtd",,"DELTA","."&amp;F$2&amp;F$1&amp;"C"&amp;$A19)+100*RTD("tos.rtd",,"OPEN_INT","."&amp;F$2&amp;F$1&amp;"P"&amp;$A19)*RTD("tos.rtd",,"DELTA","."&amp;F$2&amp;F$1&amp;"P"&amp;$A19))/1000,(100*RTD("tos.rtd",,"OPEN_INT","."&amp;F$2&amp;F$1&amp;"C"&amp;$A19)*RTD("tos.rtd",,"DELTA","."&amp;F$2&amp;F$1&amp;"C"&amp;$A19)-100*RTD("tos.rtd",,"OPEN_INT","."&amp;F$2&amp;F$1&amp;"P"&amp;$A19)*RTD("tos.rtd",,"DELTA","."&amp;F$2&amp;F$1&amp;"P"&amp;$A19))/1000),0),IF($A$2="VEX",IFERROR(IF($X$1="ABS",($A$4*$A$4*RTD("tos.rtd",,"VOLUME","."&amp;F$2&amp;F$1&amp;"C"&amp;$A19)*RTD("tos.rtd",,"GAMMA","."&amp;F$2&amp;F$1&amp;"C"&amp;$A19)+$A$4*$A$4*RTD("tos.rtd",,"VOLUME","."&amp;F$2&amp;F$1&amp;"P"&amp;$A19)*RTD("tos.rtd",,"GAMMA","."&amp;F$2&amp;F$1&amp;"P"&amp;$A19))/1000000,($A$4*$A$4*RTD("tos.rtd",,"VOLUME","."&amp;F$2&amp;F$1&amp;"C"&amp;$A19)*RTD("tos.rtd",,"GAMMA","."&amp;F$2&amp;F$1&amp;"C"&amp;$A19)-$A$4*$A$4*RTD("tos.rtd",,"VOLUME","."&amp;F$2&amp;F$1&amp;"P"&amp;$A19)*RTD("tos.rtd",,"GAMMA","."&amp;F$2&amp;F$1&amp;"P"&amp;$A19))/1000000),0),IF($A$2="GEX",IFERROR(IF($X$1="ABS",($A$4*$A$4*RTD("tos.rtd",,"OPEN_INT","."&amp;F$2&amp;F$1&amp;"C"&amp;$A19)*RTD("tos.rtd",,"GAMMA","."&amp;F$2&amp;F$1&amp;"C"&amp;$A19)+$A$4*$A$4*RTD("tos.rtd",,"OPEN_INT","."&amp;F$2&amp;F$1&amp;"P"&amp;$A19)*RTD("tos.rtd",,"GAMMA","."&amp;F$2&amp;F$1&amp;"P"&amp;$A19))/1000000,($A$4*$A$4*RTD("tos.rtd",,"OPEN_INT","."&amp;F$2&amp;F$1&amp;"C"&amp;$A19)*RTD("tos.rtd",,"GAMMA","."&amp;F$2&amp;F$1&amp;"C"&amp;$A19)-$A$4*$A$4*RTD("tos.rtd",,"OPEN_INT","."&amp;F$2&amp;F$1&amp;"P"&amp;$A19)*RTD("tos.rtd",,"GAMMA","."&amp;F$2&amp;F$1&amp;"P"&amp;$A19))/1000000),0),IF($A$2="SKEW",IFERROR(VALUE(IF(RTD("tos.rtd",,"IMPL_VOL","."&amp;F$2&amp;F$1&amp;"P"&amp;$A19)="N/A",0,RTD("tos.rtd",,"IMPL_VOL","."&amp;F$2&amp;F$1&amp;"P"&amp;$A19))),0)-IFERROR(VALUE(IF(RTD("tos.rtd",,"IMPL_VOL","."&amp;F$2&amp;F$1&amp;"C"&amp;$A19)="N/A",0,RTD("tos.rtd",,"IMPL_VOL","."&amp;F$2&amp;F$1&amp;"C"&amp;$A19))),0),IF($A$2="MAXPAIN",IF($A$4&gt;$A19,($A$4-$A19)*IF(RTD("tos.rtd",,"OPEN_INT","."&amp;F$2&amp;F$1&amp;"C"&amp;$A19)="N/A",0,RTD("tos.rtd",,"OPEN_INT","."&amp;F$2&amp;F$1&amp;"C"&amp;$A19)),0)+IF($A$4&lt;$A19,($A$5-$A$4)*IF(RTD("tos.rtd",,"OPEN_INT","."&amp;F$2&amp;F$1&amp;"P"&amp;$A19)="N/A",0,RTD("tos.rtd",,"OPEN_INT","."&amp;F$2&amp;F$1&amp;"P"&amp;$A19)),0),IF($X$1="ABS",IF(RTD("tos.rtd",,$A$2,"."&amp;F$2&amp;F$1&amp;"C"&amp;$A19)="N/A",0,RTD("tos.rtd",,$A$2,"."&amp;F$2&amp;F$1&amp;"C"&amp;$A19))+IF(RTD("tos.rtd",,$A$2,"."&amp;F$2&amp;F$1&amp;"P"&amp;$A19)="N/A",0,RTD("tos.rtd",,$A$2,"."&amp;F$2&amp;F$1&amp;"P"&amp;$A19)),IF(RTD("tos.rtd",,$A$2,"."&amp;F$2&amp;F$1&amp;"C"&amp;$A19)="N/A",0,RTD("tos.rtd",,$A$2,"."&amp;F$2&amp;F$1&amp;"C"&amp;$A19))-IF(RTD("tos.rtd",,$A$2,"."&amp;F$2&amp;F$1&amp;"P"&amp;$A19)="N/A",0,RTD("tos.rtd",,$A$2,"."&amp;F$2&amp;F$1&amp;"P"&amp;$A19))))))))))</f>
        <v>0</v>
      </c>
      <c r="G19" s="57">
        <f ca="1">IF($A$2="PREMIUM_OI",IFERROR(IF($X$1="ABS",(100*RTD("tos.rtd",,"OPEN_INT","."&amp;G$2&amp;G$1&amp;"C"&amp;$A19)*RTD("tos.rtd",,"LAST","."&amp;G$2&amp;G$1&amp;"C"&amp;$A19)+100*RTD("tos.rtd",,"OPEN_INT","."&amp;G$2&amp;G$1&amp;"P"&amp;$A19)*RTD("tos.rtd",,"LAST","."&amp;G$2&amp;G$1&amp;"P"&amp;$A19))/1000000,(100*RTD("tos.rtd",,"OPEN_INT","."&amp;G$2&amp;G$1&amp;"C"&amp;$A19)*RTD("tos.rtd",,"LAST","."&amp;G$2&amp;G$1&amp;"C"&amp;$A19)-100*RTD("tos.rtd",,"OPEN_INT","."&amp;G$2&amp;G$1&amp;"P"&amp;$A19)*RTD("tos.rtd",,"LAST","."&amp;G$2&amp;G$1&amp;"P"&amp;$A19))/1000000),0),IF($A$2="PREMIUM",IFERROR(IF($X$1="ABS",(100*RTD("tos.rtd",,"VOLUME","."&amp;G$2&amp;G$1&amp;"C"&amp;$A19)*RTD("tos.rtd",,"LAST","."&amp;G$2&amp;G$1&amp;"C"&amp;$A19)+100*RTD("tos.rtd",,"VOLUME","."&amp;G$2&amp;G$1&amp;"P"&amp;$A19)*RTD("tos.rtd",,"LAST","."&amp;G$2&amp;G$1&amp;"P"&amp;$A19))/1000000,(100*RTD("tos.rtd",,"VOLUME","."&amp;G$2&amp;G$1&amp;"C"&amp;$A19)*RTD("tos.rtd",,"LAST","."&amp;G$2&amp;G$1&amp;"C"&amp;$A19)-100*RTD("tos.rtd",,"VOLUME","."&amp;G$2&amp;G$1&amp;"P"&amp;$A19)*RTD("tos.rtd",,"LAST","."&amp;G$2&amp;G$1&amp;"P"&amp;$A19))/1000000),0),IF($A$2="DEX",IFERROR(IF($X$1="ABS",(100*RTD("tos.rtd",,"OPEN_INT","."&amp;G$2&amp;G$1&amp;"C"&amp;$A19)*RTD("tos.rtd",,"DELTA","."&amp;G$2&amp;G$1&amp;"C"&amp;$A19)+100*RTD("tos.rtd",,"OPEN_INT","."&amp;G$2&amp;G$1&amp;"P"&amp;$A19)*RTD("tos.rtd",,"DELTA","."&amp;G$2&amp;G$1&amp;"P"&amp;$A19))/1000,(100*RTD("tos.rtd",,"OPEN_INT","."&amp;G$2&amp;G$1&amp;"C"&amp;$A19)*RTD("tos.rtd",,"DELTA","."&amp;G$2&amp;G$1&amp;"C"&amp;$A19)-100*RTD("tos.rtd",,"OPEN_INT","."&amp;G$2&amp;G$1&amp;"P"&amp;$A19)*RTD("tos.rtd",,"DELTA","."&amp;G$2&amp;G$1&amp;"P"&amp;$A19))/1000),0),IF($A$2="VEX",IFERROR(IF($X$1="ABS",($A$4*$A$4*RTD("tos.rtd",,"VOLUME","."&amp;G$2&amp;G$1&amp;"C"&amp;$A19)*RTD("tos.rtd",,"GAMMA","."&amp;G$2&amp;G$1&amp;"C"&amp;$A19)+$A$4*$A$4*RTD("tos.rtd",,"VOLUME","."&amp;G$2&amp;G$1&amp;"P"&amp;$A19)*RTD("tos.rtd",,"GAMMA","."&amp;G$2&amp;G$1&amp;"P"&amp;$A19))/1000000,($A$4*$A$4*RTD("tos.rtd",,"VOLUME","."&amp;G$2&amp;G$1&amp;"C"&amp;$A19)*RTD("tos.rtd",,"GAMMA","."&amp;G$2&amp;G$1&amp;"C"&amp;$A19)-$A$4*$A$4*RTD("tos.rtd",,"VOLUME","."&amp;G$2&amp;G$1&amp;"P"&amp;$A19)*RTD("tos.rtd",,"GAMMA","."&amp;G$2&amp;G$1&amp;"P"&amp;$A19))/1000000),0),IF($A$2="GEX",IFERROR(IF($X$1="ABS",($A$4*$A$4*RTD("tos.rtd",,"OPEN_INT","."&amp;G$2&amp;G$1&amp;"C"&amp;$A19)*RTD("tos.rtd",,"GAMMA","."&amp;G$2&amp;G$1&amp;"C"&amp;$A19)+$A$4*$A$4*RTD("tos.rtd",,"OPEN_INT","."&amp;G$2&amp;G$1&amp;"P"&amp;$A19)*RTD("tos.rtd",,"GAMMA","."&amp;G$2&amp;G$1&amp;"P"&amp;$A19))/1000000,($A$4*$A$4*RTD("tos.rtd",,"OPEN_INT","."&amp;G$2&amp;G$1&amp;"C"&amp;$A19)*RTD("tos.rtd",,"GAMMA","."&amp;G$2&amp;G$1&amp;"C"&amp;$A19)-$A$4*$A$4*RTD("tos.rtd",,"OPEN_INT","."&amp;G$2&amp;G$1&amp;"P"&amp;$A19)*RTD("tos.rtd",,"GAMMA","."&amp;G$2&amp;G$1&amp;"P"&amp;$A19))/1000000),0),IF($A$2="SKEW",IFERROR(VALUE(IF(RTD("tos.rtd",,"IMPL_VOL","."&amp;G$2&amp;G$1&amp;"P"&amp;$A19)="N/A",0,RTD("tos.rtd",,"IMPL_VOL","."&amp;G$2&amp;G$1&amp;"P"&amp;$A19))),0)-IFERROR(VALUE(IF(RTD("tos.rtd",,"IMPL_VOL","."&amp;G$2&amp;G$1&amp;"C"&amp;$A19)="N/A",0,RTD("tos.rtd",,"IMPL_VOL","."&amp;G$2&amp;G$1&amp;"C"&amp;$A19))),0),IF($A$2="MAXPAIN",IF($A$4&gt;$A19,($A$4-$A19)*IF(RTD("tos.rtd",,"OPEN_INT","."&amp;G$2&amp;G$1&amp;"C"&amp;$A19)="N/A",0,RTD("tos.rtd",,"OPEN_INT","."&amp;G$2&amp;G$1&amp;"C"&amp;$A19)),0)+IF($A$4&lt;$A19,($A$5-$A$4)*IF(RTD("tos.rtd",,"OPEN_INT","."&amp;G$2&amp;G$1&amp;"P"&amp;$A19)="N/A",0,RTD("tos.rtd",,"OPEN_INT","."&amp;G$2&amp;G$1&amp;"P"&amp;$A19)),0),IF($X$1="ABS",IF(RTD("tos.rtd",,$A$2,"."&amp;G$2&amp;G$1&amp;"C"&amp;$A19)="N/A",0,RTD("tos.rtd",,$A$2,"."&amp;G$2&amp;G$1&amp;"C"&amp;$A19))+IF(RTD("tos.rtd",,$A$2,"."&amp;G$2&amp;G$1&amp;"P"&amp;$A19)="N/A",0,RTD("tos.rtd",,$A$2,"."&amp;G$2&amp;G$1&amp;"P"&amp;$A19)),IF(RTD("tos.rtd",,$A$2,"."&amp;G$2&amp;G$1&amp;"C"&amp;$A19)="N/A",0,RTD("tos.rtd",,$A$2,"."&amp;G$2&amp;G$1&amp;"C"&amp;$A19))-IF(RTD("tos.rtd",,$A$2,"."&amp;G$2&amp;G$1&amp;"P"&amp;$A19)="N/A",0,RTD("tos.rtd",,$A$2,"."&amp;G$2&amp;G$1&amp;"P"&amp;$A19))))))))))</f>
        <v>0</v>
      </c>
      <c r="H19" s="14">
        <f ca="1">IF($A$2="PREMIUM_OI",IFERROR(IF($X$1="ABS",(100*RTD("tos.rtd",,"OPEN_INT","."&amp;H$2&amp;H$1&amp;"C"&amp;$A19)*RTD("tos.rtd",,"LAST","."&amp;H$2&amp;H$1&amp;"C"&amp;$A19)+100*RTD("tos.rtd",,"OPEN_INT","."&amp;H$2&amp;H$1&amp;"P"&amp;$A19)*RTD("tos.rtd",,"LAST","."&amp;H$2&amp;H$1&amp;"P"&amp;$A19))/1000000,(100*RTD("tos.rtd",,"OPEN_INT","."&amp;H$2&amp;H$1&amp;"C"&amp;$A19)*RTD("tos.rtd",,"LAST","."&amp;H$2&amp;H$1&amp;"C"&amp;$A19)-100*RTD("tos.rtd",,"OPEN_INT","."&amp;H$2&amp;H$1&amp;"P"&amp;$A19)*RTD("tos.rtd",,"LAST","."&amp;H$2&amp;H$1&amp;"P"&amp;$A19))/1000000),0),IF($A$2="PREMIUM",IFERROR(IF($X$1="ABS",(100*RTD("tos.rtd",,"VOLUME","."&amp;H$2&amp;H$1&amp;"C"&amp;$A19)*RTD("tos.rtd",,"LAST","."&amp;H$2&amp;H$1&amp;"C"&amp;$A19)+100*RTD("tos.rtd",,"VOLUME","."&amp;H$2&amp;H$1&amp;"P"&amp;$A19)*RTD("tos.rtd",,"LAST","."&amp;H$2&amp;H$1&amp;"P"&amp;$A19))/1000000,(100*RTD("tos.rtd",,"VOLUME","."&amp;H$2&amp;H$1&amp;"C"&amp;$A19)*RTD("tos.rtd",,"LAST","."&amp;H$2&amp;H$1&amp;"C"&amp;$A19)-100*RTD("tos.rtd",,"VOLUME","."&amp;H$2&amp;H$1&amp;"P"&amp;$A19)*RTD("tos.rtd",,"LAST","."&amp;H$2&amp;H$1&amp;"P"&amp;$A19))/1000000),0),IF($A$2="DEX",IFERROR(IF($X$1="ABS",(100*RTD("tos.rtd",,"OPEN_INT","."&amp;H$2&amp;H$1&amp;"C"&amp;$A19)*RTD("tos.rtd",,"DELTA","."&amp;H$2&amp;H$1&amp;"C"&amp;$A19)+100*RTD("tos.rtd",,"OPEN_INT","."&amp;H$2&amp;H$1&amp;"P"&amp;$A19)*RTD("tos.rtd",,"DELTA","."&amp;H$2&amp;H$1&amp;"P"&amp;$A19))/1000,(100*RTD("tos.rtd",,"OPEN_INT","."&amp;H$2&amp;H$1&amp;"C"&amp;$A19)*RTD("tos.rtd",,"DELTA","."&amp;H$2&amp;H$1&amp;"C"&amp;$A19)-100*RTD("tos.rtd",,"OPEN_INT","."&amp;H$2&amp;H$1&amp;"P"&amp;$A19)*RTD("tos.rtd",,"DELTA","."&amp;H$2&amp;H$1&amp;"P"&amp;$A19))/1000),0),IF($A$2="VEX",IFERROR(IF($X$1="ABS",($A$4*$A$4*RTD("tos.rtd",,"VOLUME","."&amp;H$2&amp;H$1&amp;"C"&amp;$A19)*RTD("tos.rtd",,"GAMMA","."&amp;H$2&amp;H$1&amp;"C"&amp;$A19)+$A$4*$A$4*RTD("tos.rtd",,"VOLUME","."&amp;H$2&amp;H$1&amp;"P"&amp;$A19)*RTD("tos.rtd",,"GAMMA","."&amp;H$2&amp;H$1&amp;"P"&amp;$A19))/1000000,($A$4*$A$4*RTD("tos.rtd",,"VOLUME","."&amp;H$2&amp;H$1&amp;"C"&amp;$A19)*RTD("tos.rtd",,"GAMMA","."&amp;H$2&amp;H$1&amp;"C"&amp;$A19)-$A$4*$A$4*RTD("tos.rtd",,"VOLUME","."&amp;H$2&amp;H$1&amp;"P"&amp;$A19)*RTD("tos.rtd",,"GAMMA","."&amp;H$2&amp;H$1&amp;"P"&amp;$A19))/1000000),0),IF($A$2="GEX",IFERROR(IF($X$1="ABS",($A$4*$A$4*RTD("tos.rtd",,"OPEN_INT","."&amp;H$2&amp;H$1&amp;"C"&amp;$A19)*RTD("tos.rtd",,"GAMMA","."&amp;H$2&amp;H$1&amp;"C"&amp;$A19)+$A$4*$A$4*RTD("tos.rtd",,"OPEN_INT","."&amp;H$2&amp;H$1&amp;"P"&amp;$A19)*RTD("tos.rtd",,"GAMMA","."&amp;H$2&amp;H$1&amp;"P"&amp;$A19))/1000000,($A$4*$A$4*RTD("tos.rtd",,"OPEN_INT","."&amp;H$2&amp;H$1&amp;"C"&amp;$A19)*RTD("tos.rtd",,"GAMMA","."&amp;H$2&amp;H$1&amp;"C"&amp;$A19)-$A$4*$A$4*RTD("tos.rtd",,"OPEN_INT","."&amp;H$2&amp;H$1&amp;"P"&amp;$A19)*RTD("tos.rtd",,"GAMMA","."&amp;H$2&amp;H$1&amp;"P"&amp;$A19))/1000000),0),IF($A$2="SKEW",IFERROR(VALUE(IF(RTD("tos.rtd",,"IMPL_VOL","."&amp;H$2&amp;H$1&amp;"P"&amp;$A19)="N/A",0,RTD("tos.rtd",,"IMPL_VOL","."&amp;H$2&amp;H$1&amp;"P"&amp;$A19))),0)-IFERROR(VALUE(IF(RTD("tos.rtd",,"IMPL_VOL","."&amp;H$2&amp;H$1&amp;"C"&amp;$A19)="N/A",0,RTD("tos.rtd",,"IMPL_VOL","."&amp;H$2&amp;H$1&amp;"C"&amp;$A19))),0),IF($A$2="MAXPAIN",IF($A$4&gt;$A19,($A$4-$A19)*IF(RTD("tos.rtd",,"OPEN_INT","."&amp;H$2&amp;H$1&amp;"C"&amp;$A19)="N/A",0,RTD("tos.rtd",,"OPEN_INT","."&amp;H$2&amp;H$1&amp;"C"&amp;$A19)),0)+IF($A$4&lt;$A19,($A$5-$A$4)*IF(RTD("tos.rtd",,"OPEN_INT","."&amp;H$2&amp;H$1&amp;"P"&amp;$A19)="N/A",0,RTD("tos.rtd",,"OPEN_INT","."&amp;H$2&amp;H$1&amp;"P"&amp;$A19)),0),IF($X$1="ABS",IF(RTD("tos.rtd",,$A$2,"."&amp;H$2&amp;H$1&amp;"C"&amp;$A19)="N/A",0,RTD("tos.rtd",,$A$2,"."&amp;H$2&amp;H$1&amp;"C"&amp;$A19))+IF(RTD("tos.rtd",,$A$2,"."&amp;H$2&amp;H$1&amp;"P"&amp;$A19)="N/A",0,RTD("tos.rtd",,$A$2,"."&amp;H$2&amp;H$1&amp;"P"&amp;$A19)),IF(RTD("tos.rtd",,$A$2,"."&amp;H$2&amp;H$1&amp;"C"&amp;$A19)="N/A",0,RTD("tos.rtd",,$A$2,"."&amp;H$2&amp;H$1&amp;"C"&amp;$A19))-IF(RTD("tos.rtd",,$A$2,"."&amp;H$2&amp;H$1&amp;"P"&amp;$A19)="N/A",0,RTD("tos.rtd",,$A$2,"."&amp;H$2&amp;H$1&amp;"P"&amp;$A19))))))))))</f>
        <v>0</v>
      </c>
      <c r="I19" s="12">
        <f ca="1">IF($A$2="PREMIUM_OI",IFERROR(IF($X$1="ABS",(100*RTD("tos.rtd",,"OPEN_INT","."&amp;I$2&amp;I$1&amp;"C"&amp;$A19)*RTD("tos.rtd",,"LAST","."&amp;I$2&amp;I$1&amp;"C"&amp;$A19)+100*RTD("tos.rtd",,"OPEN_INT","."&amp;I$2&amp;I$1&amp;"P"&amp;$A19)*RTD("tos.rtd",,"LAST","."&amp;I$2&amp;I$1&amp;"P"&amp;$A19))/1000000,(100*RTD("tos.rtd",,"OPEN_INT","."&amp;I$2&amp;I$1&amp;"C"&amp;$A19)*RTD("tos.rtd",,"LAST","."&amp;I$2&amp;I$1&amp;"C"&amp;$A19)-100*RTD("tos.rtd",,"OPEN_INT","."&amp;I$2&amp;I$1&amp;"P"&amp;$A19)*RTD("tos.rtd",,"LAST","."&amp;I$2&amp;I$1&amp;"P"&amp;$A19))/1000000),0),IF($A$2="PREMIUM",IFERROR(IF($X$1="ABS",(100*RTD("tos.rtd",,"VOLUME","."&amp;I$2&amp;I$1&amp;"C"&amp;$A19)*RTD("tos.rtd",,"LAST","."&amp;I$2&amp;I$1&amp;"C"&amp;$A19)+100*RTD("tos.rtd",,"VOLUME","."&amp;I$2&amp;I$1&amp;"P"&amp;$A19)*RTD("tos.rtd",,"LAST","."&amp;I$2&amp;I$1&amp;"P"&amp;$A19))/1000000,(100*RTD("tos.rtd",,"VOLUME","."&amp;I$2&amp;I$1&amp;"C"&amp;$A19)*RTD("tos.rtd",,"LAST","."&amp;I$2&amp;I$1&amp;"C"&amp;$A19)-100*RTD("tos.rtd",,"VOLUME","."&amp;I$2&amp;I$1&amp;"P"&amp;$A19)*RTD("tos.rtd",,"LAST","."&amp;I$2&amp;I$1&amp;"P"&amp;$A19))/1000000),0),IF($A$2="DEX",IFERROR(IF($X$1="ABS",(100*RTD("tos.rtd",,"OPEN_INT","."&amp;I$2&amp;I$1&amp;"C"&amp;$A19)*RTD("tos.rtd",,"DELTA","."&amp;I$2&amp;I$1&amp;"C"&amp;$A19)+100*RTD("tos.rtd",,"OPEN_INT","."&amp;I$2&amp;I$1&amp;"P"&amp;$A19)*RTD("tos.rtd",,"DELTA","."&amp;I$2&amp;I$1&amp;"P"&amp;$A19))/1000,(100*RTD("tos.rtd",,"OPEN_INT","."&amp;I$2&amp;I$1&amp;"C"&amp;$A19)*RTD("tos.rtd",,"DELTA","."&amp;I$2&amp;I$1&amp;"C"&amp;$A19)-100*RTD("tos.rtd",,"OPEN_INT","."&amp;I$2&amp;I$1&amp;"P"&amp;$A19)*RTD("tos.rtd",,"DELTA","."&amp;I$2&amp;I$1&amp;"P"&amp;$A19))/1000),0),IF($A$2="VEX",IFERROR(IF($X$1="ABS",($A$4*$A$4*RTD("tos.rtd",,"VOLUME","."&amp;I$2&amp;I$1&amp;"C"&amp;$A19)*RTD("tos.rtd",,"GAMMA","."&amp;I$2&amp;I$1&amp;"C"&amp;$A19)+$A$4*$A$4*RTD("tos.rtd",,"VOLUME","."&amp;I$2&amp;I$1&amp;"P"&amp;$A19)*RTD("tos.rtd",,"GAMMA","."&amp;I$2&amp;I$1&amp;"P"&amp;$A19))/1000000,($A$4*$A$4*RTD("tos.rtd",,"VOLUME","."&amp;I$2&amp;I$1&amp;"C"&amp;$A19)*RTD("tos.rtd",,"GAMMA","."&amp;I$2&amp;I$1&amp;"C"&amp;$A19)-$A$4*$A$4*RTD("tos.rtd",,"VOLUME","."&amp;I$2&amp;I$1&amp;"P"&amp;$A19)*RTD("tos.rtd",,"GAMMA","."&amp;I$2&amp;I$1&amp;"P"&amp;$A19))/1000000),0),IF($A$2="GEX",IFERROR(IF($X$1="ABS",($A$4*$A$4*RTD("tos.rtd",,"OPEN_INT","."&amp;I$2&amp;I$1&amp;"C"&amp;$A19)*RTD("tos.rtd",,"GAMMA","."&amp;I$2&amp;I$1&amp;"C"&amp;$A19)+$A$4*$A$4*RTD("tos.rtd",,"OPEN_INT","."&amp;I$2&amp;I$1&amp;"P"&amp;$A19)*RTD("tos.rtd",,"GAMMA","."&amp;I$2&amp;I$1&amp;"P"&amp;$A19))/1000000,($A$4*$A$4*RTD("tos.rtd",,"OPEN_INT","."&amp;I$2&amp;I$1&amp;"C"&amp;$A19)*RTD("tos.rtd",,"GAMMA","."&amp;I$2&amp;I$1&amp;"C"&amp;$A19)-$A$4*$A$4*RTD("tos.rtd",,"OPEN_INT","."&amp;I$2&amp;I$1&amp;"P"&amp;$A19)*RTD("tos.rtd",,"GAMMA","."&amp;I$2&amp;I$1&amp;"P"&amp;$A19))/1000000),0),IF($A$2="SKEW",IFERROR(VALUE(IF(RTD("tos.rtd",,"IMPL_VOL","."&amp;I$2&amp;I$1&amp;"P"&amp;$A19)="N/A",0,RTD("tos.rtd",,"IMPL_VOL","."&amp;I$2&amp;I$1&amp;"P"&amp;$A19))),0)-IFERROR(VALUE(IF(RTD("tos.rtd",,"IMPL_VOL","."&amp;I$2&amp;I$1&amp;"C"&amp;$A19)="N/A",0,RTD("tos.rtd",,"IMPL_VOL","."&amp;I$2&amp;I$1&amp;"C"&amp;$A19))),0),IF($A$2="MAXPAIN",IF($A$4&gt;$A19,($A$4-$A19)*IF(RTD("tos.rtd",,"OPEN_INT","."&amp;I$2&amp;I$1&amp;"C"&amp;$A19)="N/A",0,RTD("tos.rtd",,"OPEN_INT","."&amp;I$2&amp;I$1&amp;"C"&amp;$A19)),0)+IF($A$4&lt;$A19,($A$5-$A$4)*IF(RTD("tos.rtd",,"OPEN_INT","."&amp;I$2&amp;I$1&amp;"P"&amp;$A19)="N/A",0,RTD("tos.rtd",,"OPEN_INT","."&amp;I$2&amp;I$1&amp;"P"&amp;$A19)),0),IF($X$1="ABS",IF(RTD("tos.rtd",,$A$2,"."&amp;I$2&amp;I$1&amp;"C"&amp;$A19)="N/A",0,RTD("tos.rtd",,$A$2,"."&amp;I$2&amp;I$1&amp;"C"&amp;$A19))+IF(RTD("tos.rtd",,$A$2,"."&amp;I$2&amp;I$1&amp;"P"&amp;$A19)="N/A",0,RTD("tos.rtd",,$A$2,"."&amp;I$2&amp;I$1&amp;"P"&amp;$A19)),IF(RTD("tos.rtd",,$A$2,"."&amp;I$2&amp;I$1&amp;"C"&amp;$A19)="N/A",0,RTD("tos.rtd",,$A$2,"."&amp;I$2&amp;I$1&amp;"C"&amp;$A19))-IF(RTD("tos.rtd",,$A$2,"."&amp;I$2&amp;I$1&amp;"P"&amp;$A19)="N/A",0,RTD("tos.rtd",,$A$2,"."&amp;I$2&amp;I$1&amp;"P"&amp;$A19))))))))))</f>
        <v>0</v>
      </c>
      <c r="J19" s="12">
        <f ca="1">IF($A$2="PREMIUM_OI",IFERROR(IF($X$1="ABS",(100*RTD("tos.rtd",,"OPEN_INT","."&amp;J$2&amp;J$1&amp;"C"&amp;$A19)*RTD("tos.rtd",,"LAST","."&amp;J$2&amp;J$1&amp;"C"&amp;$A19)+100*RTD("tos.rtd",,"OPEN_INT","."&amp;J$2&amp;J$1&amp;"P"&amp;$A19)*RTD("tos.rtd",,"LAST","."&amp;J$2&amp;J$1&amp;"P"&amp;$A19))/1000000,(100*RTD("tos.rtd",,"OPEN_INT","."&amp;J$2&amp;J$1&amp;"C"&amp;$A19)*RTD("tos.rtd",,"LAST","."&amp;J$2&amp;J$1&amp;"C"&amp;$A19)-100*RTD("tos.rtd",,"OPEN_INT","."&amp;J$2&amp;J$1&amp;"P"&amp;$A19)*RTD("tos.rtd",,"LAST","."&amp;J$2&amp;J$1&amp;"P"&amp;$A19))/1000000),0),IF($A$2="PREMIUM",IFERROR(IF($X$1="ABS",(100*RTD("tos.rtd",,"VOLUME","."&amp;J$2&amp;J$1&amp;"C"&amp;$A19)*RTD("tos.rtd",,"LAST","."&amp;J$2&amp;J$1&amp;"C"&amp;$A19)+100*RTD("tos.rtd",,"VOLUME","."&amp;J$2&amp;J$1&amp;"P"&amp;$A19)*RTD("tos.rtd",,"LAST","."&amp;J$2&amp;J$1&amp;"P"&amp;$A19))/1000000,(100*RTD("tos.rtd",,"VOLUME","."&amp;J$2&amp;J$1&amp;"C"&amp;$A19)*RTD("tos.rtd",,"LAST","."&amp;J$2&amp;J$1&amp;"C"&amp;$A19)-100*RTD("tos.rtd",,"VOLUME","."&amp;J$2&amp;J$1&amp;"P"&amp;$A19)*RTD("tos.rtd",,"LAST","."&amp;J$2&amp;J$1&amp;"P"&amp;$A19))/1000000),0),IF($A$2="DEX",IFERROR(IF($X$1="ABS",(100*RTD("tos.rtd",,"OPEN_INT","."&amp;J$2&amp;J$1&amp;"C"&amp;$A19)*RTD("tos.rtd",,"DELTA","."&amp;J$2&amp;J$1&amp;"C"&amp;$A19)+100*RTD("tos.rtd",,"OPEN_INT","."&amp;J$2&amp;J$1&amp;"P"&amp;$A19)*RTD("tos.rtd",,"DELTA","."&amp;J$2&amp;J$1&amp;"P"&amp;$A19))/1000,(100*RTD("tos.rtd",,"OPEN_INT","."&amp;J$2&amp;J$1&amp;"C"&amp;$A19)*RTD("tos.rtd",,"DELTA","."&amp;J$2&amp;J$1&amp;"C"&amp;$A19)-100*RTD("tos.rtd",,"OPEN_INT","."&amp;J$2&amp;J$1&amp;"P"&amp;$A19)*RTD("tos.rtd",,"DELTA","."&amp;J$2&amp;J$1&amp;"P"&amp;$A19))/1000),0),IF($A$2="VEX",IFERROR(IF($X$1="ABS",($A$4*$A$4*RTD("tos.rtd",,"VOLUME","."&amp;J$2&amp;J$1&amp;"C"&amp;$A19)*RTD("tos.rtd",,"GAMMA","."&amp;J$2&amp;J$1&amp;"C"&amp;$A19)+$A$4*$A$4*RTD("tos.rtd",,"VOLUME","."&amp;J$2&amp;J$1&amp;"P"&amp;$A19)*RTD("tos.rtd",,"GAMMA","."&amp;J$2&amp;J$1&amp;"P"&amp;$A19))/1000000,($A$4*$A$4*RTD("tos.rtd",,"VOLUME","."&amp;J$2&amp;J$1&amp;"C"&amp;$A19)*RTD("tos.rtd",,"GAMMA","."&amp;J$2&amp;J$1&amp;"C"&amp;$A19)-$A$4*$A$4*RTD("tos.rtd",,"VOLUME","."&amp;J$2&amp;J$1&amp;"P"&amp;$A19)*RTD("tos.rtd",,"GAMMA","."&amp;J$2&amp;J$1&amp;"P"&amp;$A19))/1000000),0),IF($A$2="GEX",IFERROR(IF($X$1="ABS",($A$4*$A$4*RTD("tos.rtd",,"OPEN_INT","."&amp;J$2&amp;J$1&amp;"C"&amp;$A19)*RTD("tos.rtd",,"GAMMA","."&amp;J$2&amp;J$1&amp;"C"&amp;$A19)+$A$4*$A$4*RTD("tos.rtd",,"OPEN_INT","."&amp;J$2&amp;J$1&amp;"P"&amp;$A19)*RTD("tos.rtd",,"GAMMA","."&amp;J$2&amp;J$1&amp;"P"&amp;$A19))/1000000,($A$4*$A$4*RTD("tos.rtd",,"OPEN_INT","."&amp;J$2&amp;J$1&amp;"C"&amp;$A19)*RTD("tos.rtd",,"GAMMA","."&amp;J$2&amp;J$1&amp;"C"&amp;$A19)-$A$4*$A$4*RTD("tos.rtd",,"OPEN_INT","."&amp;J$2&amp;J$1&amp;"P"&amp;$A19)*RTD("tos.rtd",,"GAMMA","."&amp;J$2&amp;J$1&amp;"P"&amp;$A19))/1000000),0),IF($A$2="SKEW",IFERROR(VALUE(IF(RTD("tos.rtd",,"IMPL_VOL","."&amp;J$2&amp;J$1&amp;"P"&amp;$A19)="N/A",0,RTD("tos.rtd",,"IMPL_VOL","."&amp;J$2&amp;J$1&amp;"P"&amp;$A19))),0)-IFERROR(VALUE(IF(RTD("tos.rtd",,"IMPL_VOL","."&amp;J$2&amp;J$1&amp;"C"&amp;$A19)="N/A",0,RTD("tos.rtd",,"IMPL_VOL","."&amp;J$2&amp;J$1&amp;"C"&amp;$A19))),0),IF($A$2="MAXPAIN",IF($A$4&gt;$A19,($A$4-$A19)*IF(RTD("tos.rtd",,"OPEN_INT","."&amp;J$2&amp;J$1&amp;"C"&amp;$A19)="N/A",0,RTD("tos.rtd",,"OPEN_INT","."&amp;J$2&amp;J$1&amp;"C"&amp;$A19)),0)+IF($A$4&lt;$A19,($A$5-$A$4)*IF(RTD("tos.rtd",,"OPEN_INT","."&amp;J$2&amp;J$1&amp;"P"&amp;$A19)="N/A",0,RTD("tos.rtd",,"OPEN_INT","."&amp;J$2&amp;J$1&amp;"P"&amp;$A19)),0),IF($X$1="ABS",IF(RTD("tos.rtd",,$A$2,"."&amp;J$2&amp;J$1&amp;"C"&amp;$A19)="N/A",0,RTD("tos.rtd",,$A$2,"."&amp;J$2&amp;J$1&amp;"C"&amp;$A19))+IF(RTD("tos.rtd",,$A$2,"."&amp;J$2&amp;J$1&amp;"P"&amp;$A19)="N/A",0,RTD("tos.rtd",,$A$2,"."&amp;J$2&amp;J$1&amp;"P"&amp;$A19)),IF(RTD("tos.rtd",,$A$2,"."&amp;J$2&amp;J$1&amp;"C"&amp;$A19)="N/A",0,RTD("tos.rtd",,$A$2,"."&amp;J$2&amp;J$1&amp;"C"&amp;$A19))-IF(RTD("tos.rtd",,$A$2,"."&amp;J$2&amp;J$1&amp;"P"&amp;$A19)="N/A",0,RTD("tos.rtd",,$A$2,"."&amp;J$2&amp;J$1&amp;"P"&amp;$A19))))))))))</f>
        <v>0</v>
      </c>
      <c r="K19" s="12">
        <f ca="1">IF($A$2="PREMIUM_OI",IFERROR(IF($X$1="ABS",(100*RTD("tos.rtd",,"OPEN_INT","."&amp;K$2&amp;K$1&amp;"C"&amp;$A19)*RTD("tos.rtd",,"LAST","."&amp;K$2&amp;K$1&amp;"C"&amp;$A19)+100*RTD("tos.rtd",,"OPEN_INT","."&amp;K$2&amp;K$1&amp;"P"&amp;$A19)*RTD("tos.rtd",,"LAST","."&amp;K$2&amp;K$1&amp;"P"&amp;$A19))/1000000,(100*RTD("tos.rtd",,"OPEN_INT","."&amp;K$2&amp;K$1&amp;"C"&amp;$A19)*RTD("tos.rtd",,"LAST","."&amp;K$2&amp;K$1&amp;"C"&amp;$A19)-100*RTD("tos.rtd",,"OPEN_INT","."&amp;K$2&amp;K$1&amp;"P"&amp;$A19)*RTD("tos.rtd",,"LAST","."&amp;K$2&amp;K$1&amp;"P"&amp;$A19))/1000000),0),IF($A$2="PREMIUM",IFERROR(IF($X$1="ABS",(100*RTD("tos.rtd",,"VOLUME","."&amp;K$2&amp;K$1&amp;"C"&amp;$A19)*RTD("tos.rtd",,"LAST","."&amp;K$2&amp;K$1&amp;"C"&amp;$A19)+100*RTD("tos.rtd",,"VOLUME","."&amp;K$2&amp;K$1&amp;"P"&amp;$A19)*RTD("tos.rtd",,"LAST","."&amp;K$2&amp;K$1&amp;"P"&amp;$A19))/1000000,(100*RTD("tos.rtd",,"VOLUME","."&amp;K$2&amp;K$1&amp;"C"&amp;$A19)*RTD("tos.rtd",,"LAST","."&amp;K$2&amp;K$1&amp;"C"&amp;$A19)-100*RTD("tos.rtd",,"VOLUME","."&amp;K$2&amp;K$1&amp;"P"&amp;$A19)*RTD("tos.rtd",,"LAST","."&amp;K$2&amp;K$1&amp;"P"&amp;$A19))/1000000),0),IF($A$2="DEX",IFERROR(IF($X$1="ABS",(100*RTD("tos.rtd",,"OPEN_INT","."&amp;K$2&amp;K$1&amp;"C"&amp;$A19)*RTD("tos.rtd",,"DELTA","."&amp;K$2&amp;K$1&amp;"C"&amp;$A19)+100*RTD("tos.rtd",,"OPEN_INT","."&amp;K$2&amp;K$1&amp;"P"&amp;$A19)*RTD("tos.rtd",,"DELTA","."&amp;K$2&amp;K$1&amp;"P"&amp;$A19))/1000,(100*RTD("tos.rtd",,"OPEN_INT","."&amp;K$2&amp;K$1&amp;"C"&amp;$A19)*RTD("tos.rtd",,"DELTA","."&amp;K$2&amp;K$1&amp;"C"&amp;$A19)-100*RTD("tos.rtd",,"OPEN_INT","."&amp;K$2&amp;K$1&amp;"P"&amp;$A19)*RTD("tos.rtd",,"DELTA","."&amp;K$2&amp;K$1&amp;"P"&amp;$A19))/1000),0),IF($A$2="VEX",IFERROR(IF($X$1="ABS",($A$4*$A$4*RTD("tos.rtd",,"VOLUME","."&amp;K$2&amp;K$1&amp;"C"&amp;$A19)*RTD("tos.rtd",,"GAMMA","."&amp;K$2&amp;K$1&amp;"C"&amp;$A19)+$A$4*$A$4*RTD("tos.rtd",,"VOLUME","."&amp;K$2&amp;K$1&amp;"P"&amp;$A19)*RTD("tos.rtd",,"GAMMA","."&amp;K$2&amp;K$1&amp;"P"&amp;$A19))/1000000,($A$4*$A$4*RTD("tos.rtd",,"VOLUME","."&amp;K$2&amp;K$1&amp;"C"&amp;$A19)*RTD("tos.rtd",,"GAMMA","."&amp;K$2&amp;K$1&amp;"C"&amp;$A19)-$A$4*$A$4*RTD("tos.rtd",,"VOLUME","."&amp;K$2&amp;K$1&amp;"P"&amp;$A19)*RTD("tos.rtd",,"GAMMA","."&amp;K$2&amp;K$1&amp;"P"&amp;$A19))/1000000),0),IF($A$2="GEX",IFERROR(IF($X$1="ABS",($A$4*$A$4*RTD("tos.rtd",,"OPEN_INT","."&amp;K$2&amp;K$1&amp;"C"&amp;$A19)*RTD("tos.rtd",,"GAMMA","."&amp;K$2&amp;K$1&amp;"C"&amp;$A19)+$A$4*$A$4*RTD("tos.rtd",,"OPEN_INT","."&amp;K$2&amp;K$1&amp;"P"&amp;$A19)*RTD("tos.rtd",,"GAMMA","."&amp;K$2&amp;K$1&amp;"P"&amp;$A19))/1000000,($A$4*$A$4*RTD("tos.rtd",,"OPEN_INT","."&amp;K$2&amp;K$1&amp;"C"&amp;$A19)*RTD("tos.rtd",,"GAMMA","."&amp;K$2&amp;K$1&amp;"C"&amp;$A19)-$A$4*$A$4*RTD("tos.rtd",,"OPEN_INT","."&amp;K$2&amp;K$1&amp;"P"&amp;$A19)*RTD("tos.rtd",,"GAMMA","."&amp;K$2&amp;K$1&amp;"P"&amp;$A19))/1000000),0),IF($A$2="SKEW",IFERROR(VALUE(IF(RTD("tos.rtd",,"IMPL_VOL","."&amp;K$2&amp;K$1&amp;"P"&amp;$A19)="N/A",0,RTD("tos.rtd",,"IMPL_VOL","."&amp;K$2&amp;K$1&amp;"P"&amp;$A19))),0)-IFERROR(VALUE(IF(RTD("tos.rtd",,"IMPL_VOL","."&amp;K$2&amp;K$1&amp;"C"&amp;$A19)="N/A",0,RTD("tos.rtd",,"IMPL_VOL","."&amp;K$2&amp;K$1&amp;"C"&amp;$A19))),0),IF($A$2="MAXPAIN",IF($A$4&gt;$A19,($A$4-$A19)*IF(RTD("tos.rtd",,"OPEN_INT","."&amp;K$2&amp;K$1&amp;"C"&amp;$A19)="N/A",0,RTD("tos.rtd",,"OPEN_INT","."&amp;K$2&amp;K$1&amp;"C"&amp;$A19)),0)+IF($A$4&lt;$A19,($A$5-$A$4)*IF(RTD("tos.rtd",,"OPEN_INT","."&amp;K$2&amp;K$1&amp;"P"&amp;$A19)="N/A",0,RTD("tos.rtd",,"OPEN_INT","."&amp;K$2&amp;K$1&amp;"P"&amp;$A19)),0),IF($X$1="ABS",IF(RTD("tos.rtd",,$A$2,"."&amp;K$2&amp;K$1&amp;"C"&amp;$A19)="N/A",0,RTD("tos.rtd",,$A$2,"."&amp;K$2&amp;K$1&amp;"C"&amp;$A19))+IF(RTD("tos.rtd",,$A$2,"."&amp;K$2&amp;K$1&amp;"P"&amp;$A19)="N/A",0,RTD("tos.rtd",,$A$2,"."&amp;K$2&amp;K$1&amp;"P"&amp;$A19)),IF(RTD("tos.rtd",,$A$2,"."&amp;K$2&amp;K$1&amp;"C"&amp;$A19)="N/A",0,RTD("tos.rtd",,$A$2,"."&amp;K$2&amp;K$1&amp;"C"&amp;$A19))-IF(RTD("tos.rtd",,$A$2,"."&amp;K$2&amp;K$1&amp;"P"&amp;$A19)="N/A",0,RTD("tos.rtd",,$A$2,"."&amp;K$2&amp;K$1&amp;"P"&amp;$A19))))))))))</f>
        <v>0</v>
      </c>
      <c r="L19" s="54">
        <f ca="1">IF($A$2="PREMIUM_OI",IFERROR(IF($X$1="ABS",(100*RTD("tos.rtd",,"OPEN_INT","."&amp;L$2&amp;L$1&amp;"C"&amp;$A19)*RTD("tos.rtd",,"LAST","."&amp;L$2&amp;L$1&amp;"C"&amp;$A19)+100*RTD("tos.rtd",,"OPEN_INT","."&amp;L$2&amp;L$1&amp;"P"&amp;$A19)*RTD("tos.rtd",,"LAST","."&amp;L$2&amp;L$1&amp;"P"&amp;$A19))/1000000,(100*RTD("tos.rtd",,"OPEN_INT","."&amp;L$2&amp;L$1&amp;"C"&amp;$A19)*RTD("tos.rtd",,"LAST","."&amp;L$2&amp;L$1&amp;"C"&amp;$A19)-100*RTD("tos.rtd",,"OPEN_INT","."&amp;L$2&amp;L$1&amp;"P"&amp;$A19)*RTD("tos.rtd",,"LAST","."&amp;L$2&amp;L$1&amp;"P"&amp;$A19))/1000000),0),IF($A$2="PREMIUM",IFERROR(IF($X$1="ABS",(100*RTD("tos.rtd",,"VOLUME","."&amp;L$2&amp;L$1&amp;"C"&amp;$A19)*RTD("tos.rtd",,"LAST","."&amp;L$2&amp;L$1&amp;"C"&amp;$A19)+100*RTD("tos.rtd",,"VOLUME","."&amp;L$2&amp;L$1&amp;"P"&amp;$A19)*RTD("tos.rtd",,"LAST","."&amp;L$2&amp;L$1&amp;"P"&amp;$A19))/1000000,(100*RTD("tos.rtd",,"VOLUME","."&amp;L$2&amp;L$1&amp;"C"&amp;$A19)*RTD("tos.rtd",,"LAST","."&amp;L$2&amp;L$1&amp;"C"&amp;$A19)-100*RTD("tos.rtd",,"VOLUME","."&amp;L$2&amp;L$1&amp;"P"&amp;$A19)*RTD("tos.rtd",,"LAST","."&amp;L$2&amp;L$1&amp;"P"&amp;$A19))/1000000),0),IF($A$2="DEX",IFERROR(IF($X$1="ABS",(100*RTD("tos.rtd",,"OPEN_INT","."&amp;L$2&amp;L$1&amp;"C"&amp;$A19)*RTD("tos.rtd",,"DELTA","."&amp;L$2&amp;L$1&amp;"C"&amp;$A19)+100*RTD("tos.rtd",,"OPEN_INT","."&amp;L$2&amp;L$1&amp;"P"&amp;$A19)*RTD("tos.rtd",,"DELTA","."&amp;L$2&amp;L$1&amp;"P"&amp;$A19))/1000,(100*RTD("tos.rtd",,"OPEN_INT","."&amp;L$2&amp;L$1&amp;"C"&amp;$A19)*RTD("tos.rtd",,"DELTA","."&amp;L$2&amp;L$1&amp;"C"&amp;$A19)-100*RTD("tos.rtd",,"OPEN_INT","."&amp;L$2&amp;L$1&amp;"P"&amp;$A19)*RTD("tos.rtd",,"DELTA","."&amp;L$2&amp;L$1&amp;"P"&amp;$A19))/1000),0),IF($A$2="VEX",IFERROR(IF($X$1="ABS",($A$4*$A$4*RTD("tos.rtd",,"VOLUME","."&amp;L$2&amp;L$1&amp;"C"&amp;$A19)*RTD("tos.rtd",,"GAMMA","."&amp;L$2&amp;L$1&amp;"C"&amp;$A19)+$A$4*$A$4*RTD("tos.rtd",,"VOLUME","."&amp;L$2&amp;L$1&amp;"P"&amp;$A19)*RTD("tos.rtd",,"GAMMA","."&amp;L$2&amp;L$1&amp;"P"&amp;$A19))/1000000,($A$4*$A$4*RTD("tos.rtd",,"VOLUME","."&amp;L$2&amp;L$1&amp;"C"&amp;$A19)*RTD("tos.rtd",,"GAMMA","."&amp;L$2&amp;L$1&amp;"C"&amp;$A19)-$A$4*$A$4*RTD("tos.rtd",,"VOLUME","."&amp;L$2&amp;L$1&amp;"P"&amp;$A19)*RTD("tos.rtd",,"GAMMA","."&amp;L$2&amp;L$1&amp;"P"&amp;$A19))/1000000),0),IF($A$2="GEX",IFERROR(IF($X$1="ABS",($A$4*$A$4*RTD("tos.rtd",,"OPEN_INT","."&amp;L$2&amp;L$1&amp;"C"&amp;$A19)*RTD("tos.rtd",,"GAMMA","."&amp;L$2&amp;L$1&amp;"C"&amp;$A19)+$A$4*$A$4*RTD("tos.rtd",,"OPEN_INT","."&amp;L$2&amp;L$1&amp;"P"&amp;$A19)*RTD("tos.rtd",,"GAMMA","."&amp;L$2&amp;L$1&amp;"P"&amp;$A19))/1000000,($A$4*$A$4*RTD("tos.rtd",,"OPEN_INT","."&amp;L$2&amp;L$1&amp;"C"&amp;$A19)*RTD("tos.rtd",,"GAMMA","."&amp;L$2&amp;L$1&amp;"C"&amp;$A19)-$A$4*$A$4*RTD("tos.rtd",,"OPEN_INT","."&amp;L$2&amp;L$1&amp;"P"&amp;$A19)*RTD("tos.rtd",,"GAMMA","."&amp;L$2&amp;L$1&amp;"P"&amp;$A19))/1000000),0),IF($A$2="SKEW",IFERROR(VALUE(IF(RTD("tos.rtd",,"IMPL_VOL","."&amp;L$2&amp;L$1&amp;"P"&amp;$A19)="N/A",0,RTD("tos.rtd",,"IMPL_VOL","."&amp;L$2&amp;L$1&amp;"P"&amp;$A19))),0)-IFERROR(VALUE(IF(RTD("tos.rtd",,"IMPL_VOL","."&amp;L$2&amp;L$1&amp;"C"&amp;$A19)="N/A",0,RTD("tos.rtd",,"IMPL_VOL","."&amp;L$2&amp;L$1&amp;"C"&amp;$A19))),0),IF($A$2="MAXPAIN",IF($A$4&gt;$A19,($A$4-$A19)*IF(RTD("tos.rtd",,"OPEN_INT","."&amp;L$2&amp;L$1&amp;"C"&amp;$A19)="N/A",0,RTD("tos.rtd",,"OPEN_INT","."&amp;L$2&amp;L$1&amp;"C"&amp;$A19)),0)+IF($A$4&lt;$A19,($A$5-$A$4)*IF(RTD("tos.rtd",,"OPEN_INT","."&amp;L$2&amp;L$1&amp;"P"&amp;$A19)="N/A",0,RTD("tos.rtd",,"OPEN_INT","."&amp;L$2&amp;L$1&amp;"P"&amp;$A19)),0),IF($X$1="ABS",IF(RTD("tos.rtd",,$A$2,"."&amp;L$2&amp;L$1&amp;"C"&amp;$A19)="N/A",0,RTD("tos.rtd",,$A$2,"."&amp;L$2&amp;L$1&amp;"C"&amp;$A19))+IF(RTD("tos.rtd",,$A$2,"."&amp;L$2&amp;L$1&amp;"P"&amp;$A19)="N/A",0,RTD("tos.rtd",,$A$2,"."&amp;L$2&amp;L$1&amp;"P"&amp;$A19)),IF(RTD("tos.rtd",,$A$2,"."&amp;L$2&amp;L$1&amp;"C"&amp;$A19)="N/A",0,RTD("tos.rtd",,$A$2,"."&amp;L$2&amp;L$1&amp;"C"&amp;$A19))-IF(RTD("tos.rtd",,$A$2,"."&amp;L$2&amp;L$1&amp;"P"&amp;$A19)="N/A",0,RTD("tos.rtd",,$A$2,"."&amp;L$2&amp;L$1&amp;"P"&amp;$A19))))))))))</f>
        <v>0</v>
      </c>
      <c r="M19" s="12">
        <f ca="1">IF($A$2="PREMIUM_OI",IFERROR(IF($X$1="ABS",(100*RTD("tos.rtd",,"OPEN_INT","."&amp;M$2&amp;M$1&amp;"C"&amp;$A19)*RTD("tos.rtd",,"LAST","."&amp;M$2&amp;M$1&amp;"C"&amp;$A19)+100*RTD("tos.rtd",,"OPEN_INT","."&amp;M$2&amp;M$1&amp;"P"&amp;$A19)*RTD("tos.rtd",,"LAST","."&amp;M$2&amp;M$1&amp;"P"&amp;$A19))/1000000,(100*RTD("tos.rtd",,"OPEN_INT","."&amp;M$2&amp;M$1&amp;"C"&amp;$A19)*RTD("tos.rtd",,"LAST","."&amp;M$2&amp;M$1&amp;"C"&amp;$A19)-100*RTD("tos.rtd",,"OPEN_INT","."&amp;M$2&amp;M$1&amp;"P"&amp;$A19)*RTD("tos.rtd",,"LAST","."&amp;M$2&amp;M$1&amp;"P"&amp;$A19))/1000000),0),IF($A$2="PREMIUM",IFERROR(IF($X$1="ABS",(100*RTD("tos.rtd",,"VOLUME","."&amp;M$2&amp;M$1&amp;"C"&amp;$A19)*RTD("tos.rtd",,"LAST","."&amp;M$2&amp;M$1&amp;"C"&amp;$A19)+100*RTD("tos.rtd",,"VOLUME","."&amp;M$2&amp;M$1&amp;"P"&amp;$A19)*RTD("tos.rtd",,"LAST","."&amp;M$2&amp;M$1&amp;"P"&amp;$A19))/1000000,(100*RTD("tos.rtd",,"VOLUME","."&amp;M$2&amp;M$1&amp;"C"&amp;$A19)*RTD("tos.rtd",,"LAST","."&amp;M$2&amp;M$1&amp;"C"&amp;$A19)-100*RTD("tos.rtd",,"VOLUME","."&amp;M$2&amp;M$1&amp;"P"&amp;$A19)*RTD("tos.rtd",,"LAST","."&amp;M$2&amp;M$1&amp;"P"&amp;$A19))/1000000),0),IF($A$2="DEX",IFERROR(IF($X$1="ABS",(100*RTD("tos.rtd",,"OPEN_INT","."&amp;M$2&amp;M$1&amp;"C"&amp;$A19)*RTD("tos.rtd",,"DELTA","."&amp;M$2&amp;M$1&amp;"C"&amp;$A19)+100*RTD("tos.rtd",,"OPEN_INT","."&amp;M$2&amp;M$1&amp;"P"&amp;$A19)*RTD("tos.rtd",,"DELTA","."&amp;M$2&amp;M$1&amp;"P"&amp;$A19))/1000,(100*RTD("tos.rtd",,"OPEN_INT","."&amp;M$2&amp;M$1&amp;"C"&amp;$A19)*RTD("tos.rtd",,"DELTA","."&amp;M$2&amp;M$1&amp;"C"&amp;$A19)-100*RTD("tos.rtd",,"OPEN_INT","."&amp;M$2&amp;M$1&amp;"P"&amp;$A19)*RTD("tos.rtd",,"DELTA","."&amp;M$2&amp;M$1&amp;"P"&amp;$A19))/1000),0),IF($A$2="VEX",IFERROR(IF($X$1="ABS",($A$4*$A$4*RTD("tos.rtd",,"VOLUME","."&amp;M$2&amp;M$1&amp;"C"&amp;$A19)*RTD("tos.rtd",,"GAMMA","."&amp;M$2&amp;M$1&amp;"C"&amp;$A19)+$A$4*$A$4*RTD("tos.rtd",,"VOLUME","."&amp;M$2&amp;M$1&amp;"P"&amp;$A19)*RTD("tos.rtd",,"GAMMA","."&amp;M$2&amp;M$1&amp;"P"&amp;$A19))/1000000,($A$4*$A$4*RTD("tos.rtd",,"VOLUME","."&amp;M$2&amp;M$1&amp;"C"&amp;$A19)*RTD("tos.rtd",,"GAMMA","."&amp;M$2&amp;M$1&amp;"C"&amp;$A19)-$A$4*$A$4*RTD("tos.rtd",,"VOLUME","."&amp;M$2&amp;M$1&amp;"P"&amp;$A19)*RTD("tos.rtd",,"GAMMA","."&amp;M$2&amp;M$1&amp;"P"&amp;$A19))/1000000),0),IF($A$2="GEX",IFERROR(IF($X$1="ABS",($A$4*$A$4*RTD("tos.rtd",,"OPEN_INT","."&amp;M$2&amp;M$1&amp;"C"&amp;$A19)*RTD("tos.rtd",,"GAMMA","."&amp;M$2&amp;M$1&amp;"C"&amp;$A19)+$A$4*$A$4*RTD("tos.rtd",,"OPEN_INT","."&amp;M$2&amp;M$1&amp;"P"&amp;$A19)*RTD("tos.rtd",,"GAMMA","."&amp;M$2&amp;M$1&amp;"P"&amp;$A19))/1000000,($A$4*$A$4*RTD("tos.rtd",,"OPEN_INT","."&amp;M$2&amp;M$1&amp;"C"&amp;$A19)*RTD("tos.rtd",,"GAMMA","."&amp;M$2&amp;M$1&amp;"C"&amp;$A19)-$A$4*$A$4*RTD("tos.rtd",,"OPEN_INT","."&amp;M$2&amp;M$1&amp;"P"&amp;$A19)*RTD("tos.rtd",,"GAMMA","."&amp;M$2&amp;M$1&amp;"P"&amp;$A19))/1000000),0),IF($A$2="SKEW",IFERROR(VALUE(IF(RTD("tos.rtd",,"IMPL_VOL","."&amp;M$2&amp;M$1&amp;"P"&amp;$A19)="N/A",0,RTD("tos.rtd",,"IMPL_VOL","."&amp;M$2&amp;M$1&amp;"P"&amp;$A19))),0)-IFERROR(VALUE(IF(RTD("tos.rtd",,"IMPL_VOL","."&amp;M$2&amp;M$1&amp;"C"&amp;$A19)="N/A",0,RTD("tos.rtd",,"IMPL_VOL","."&amp;M$2&amp;M$1&amp;"C"&amp;$A19))),0),IF($A$2="MAXPAIN",IF($A$4&gt;$A19,($A$4-$A19)*IF(RTD("tos.rtd",,"OPEN_INT","."&amp;M$2&amp;M$1&amp;"C"&amp;$A19)="N/A",0,RTD("tos.rtd",,"OPEN_INT","."&amp;M$2&amp;M$1&amp;"C"&amp;$A19)),0)+IF($A$4&lt;$A19,($A$5-$A$4)*IF(RTD("tos.rtd",,"OPEN_INT","."&amp;M$2&amp;M$1&amp;"P"&amp;$A19)="N/A",0,RTD("tos.rtd",,"OPEN_INT","."&amp;M$2&amp;M$1&amp;"P"&amp;$A19)),0),IF($X$1="ABS",IF(RTD("tos.rtd",,$A$2,"."&amp;M$2&amp;M$1&amp;"C"&amp;$A19)="N/A",0,RTD("tos.rtd",,$A$2,"."&amp;M$2&amp;M$1&amp;"C"&amp;$A19))+IF(RTD("tos.rtd",,$A$2,"."&amp;M$2&amp;M$1&amp;"P"&amp;$A19)="N/A",0,RTD("tos.rtd",,$A$2,"."&amp;M$2&amp;M$1&amp;"P"&amp;$A19)),IF(RTD("tos.rtd",,$A$2,"."&amp;M$2&amp;M$1&amp;"C"&amp;$A19)="N/A",0,RTD("tos.rtd",,$A$2,"."&amp;M$2&amp;M$1&amp;"C"&amp;$A19))-IF(RTD("tos.rtd",,$A$2,"."&amp;M$2&amp;M$1&amp;"P"&amp;$A19)="N/A",0,RTD("tos.rtd",,$A$2,"."&amp;M$2&amp;M$1&amp;"P"&amp;$A19))))))))))</f>
        <v>0</v>
      </c>
      <c r="N19" s="12">
        <f ca="1">IF($A$2="PREMIUM_OI",IFERROR(IF($X$1="ABS",(100*RTD("tos.rtd",,"OPEN_INT","."&amp;N$2&amp;N$1&amp;"C"&amp;$A19)*RTD("tos.rtd",,"LAST","."&amp;N$2&amp;N$1&amp;"C"&amp;$A19)+100*RTD("tos.rtd",,"OPEN_INT","."&amp;N$2&amp;N$1&amp;"P"&amp;$A19)*RTD("tos.rtd",,"LAST","."&amp;N$2&amp;N$1&amp;"P"&amp;$A19))/1000000,(100*RTD("tos.rtd",,"OPEN_INT","."&amp;N$2&amp;N$1&amp;"C"&amp;$A19)*RTD("tos.rtd",,"LAST","."&amp;N$2&amp;N$1&amp;"C"&amp;$A19)-100*RTD("tos.rtd",,"OPEN_INT","."&amp;N$2&amp;N$1&amp;"P"&amp;$A19)*RTD("tos.rtd",,"LAST","."&amp;N$2&amp;N$1&amp;"P"&amp;$A19))/1000000),0),IF($A$2="PREMIUM",IFERROR(IF($X$1="ABS",(100*RTD("tos.rtd",,"VOLUME","."&amp;N$2&amp;N$1&amp;"C"&amp;$A19)*RTD("tos.rtd",,"LAST","."&amp;N$2&amp;N$1&amp;"C"&amp;$A19)+100*RTD("tos.rtd",,"VOLUME","."&amp;N$2&amp;N$1&amp;"P"&amp;$A19)*RTD("tos.rtd",,"LAST","."&amp;N$2&amp;N$1&amp;"P"&amp;$A19))/1000000,(100*RTD("tos.rtd",,"VOLUME","."&amp;N$2&amp;N$1&amp;"C"&amp;$A19)*RTD("tos.rtd",,"LAST","."&amp;N$2&amp;N$1&amp;"C"&amp;$A19)-100*RTD("tos.rtd",,"VOLUME","."&amp;N$2&amp;N$1&amp;"P"&amp;$A19)*RTD("tos.rtd",,"LAST","."&amp;N$2&amp;N$1&amp;"P"&amp;$A19))/1000000),0),IF($A$2="DEX",IFERROR(IF($X$1="ABS",(100*RTD("tos.rtd",,"OPEN_INT","."&amp;N$2&amp;N$1&amp;"C"&amp;$A19)*RTD("tos.rtd",,"DELTA","."&amp;N$2&amp;N$1&amp;"C"&amp;$A19)+100*RTD("tos.rtd",,"OPEN_INT","."&amp;N$2&amp;N$1&amp;"P"&amp;$A19)*RTD("tos.rtd",,"DELTA","."&amp;N$2&amp;N$1&amp;"P"&amp;$A19))/1000,(100*RTD("tos.rtd",,"OPEN_INT","."&amp;N$2&amp;N$1&amp;"C"&amp;$A19)*RTD("tos.rtd",,"DELTA","."&amp;N$2&amp;N$1&amp;"C"&amp;$A19)-100*RTD("tos.rtd",,"OPEN_INT","."&amp;N$2&amp;N$1&amp;"P"&amp;$A19)*RTD("tos.rtd",,"DELTA","."&amp;N$2&amp;N$1&amp;"P"&amp;$A19))/1000),0),IF($A$2="VEX",IFERROR(IF($X$1="ABS",($A$4*$A$4*RTD("tos.rtd",,"VOLUME","."&amp;N$2&amp;N$1&amp;"C"&amp;$A19)*RTD("tos.rtd",,"GAMMA","."&amp;N$2&amp;N$1&amp;"C"&amp;$A19)+$A$4*$A$4*RTD("tos.rtd",,"VOLUME","."&amp;N$2&amp;N$1&amp;"P"&amp;$A19)*RTD("tos.rtd",,"GAMMA","."&amp;N$2&amp;N$1&amp;"P"&amp;$A19))/1000000,($A$4*$A$4*RTD("tos.rtd",,"VOLUME","."&amp;N$2&amp;N$1&amp;"C"&amp;$A19)*RTD("tos.rtd",,"GAMMA","."&amp;N$2&amp;N$1&amp;"C"&amp;$A19)-$A$4*$A$4*RTD("tos.rtd",,"VOLUME","."&amp;N$2&amp;N$1&amp;"P"&amp;$A19)*RTD("tos.rtd",,"GAMMA","."&amp;N$2&amp;N$1&amp;"P"&amp;$A19))/1000000),0),IF($A$2="GEX",IFERROR(IF($X$1="ABS",($A$4*$A$4*RTD("tos.rtd",,"OPEN_INT","."&amp;N$2&amp;N$1&amp;"C"&amp;$A19)*RTD("tos.rtd",,"GAMMA","."&amp;N$2&amp;N$1&amp;"C"&amp;$A19)+$A$4*$A$4*RTD("tos.rtd",,"OPEN_INT","."&amp;N$2&amp;N$1&amp;"P"&amp;$A19)*RTD("tos.rtd",,"GAMMA","."&amp;N$2&amp;N$1&amp;"P"&amp;$A19))/1000000,($A$4*$A$4*RTD("tos.rtd",,"OPEN_INT","."&amp;N$2&amp;N$1&amp;"C"&amp;$A19)*RTD("tos.rtd",,"GAMMA","."&amp;N$2&amp;N$1&amp;"C"&amp;$A19)-$A$4*$A$4*RTD("tos.rtd",,"OPEN_INT","."&amp;N$2&amp;N$1&amp;"P"&amp;$A19)*RTD("tos.rtd",,"GAMMA","."&amp;N$2&amp;N$1&amp;"P"&amp;$A19))/1000000),0),IF($A$2="SKEW",IFERROR(VALUE(IF(RTD("tos.rtd",,"IMPL_VOL","."&amp;N$2&amp;N$1&amp;"P"&amp;$A19)="N/A",0,RTD("tos.rtd",,"IMPL_VOL","."&amp;N$2&amp;N$1&amp;"P"&amp;$A19))),0)-IFERROR(VALUE(IF(RTD("tos.rtd",,"IMPL_VOL","."&amp;N$2&amp;N$1&amp;"C"&amp;$A19)="N/A",0,RTD("tos.rtd",,"IMPL_VOL","."&amp;N$2&amp;N$1&amp;"C"&amp;$A19))),0),IF($A$2="MAXPAIN",IF($A$4&gt;$A19,($A$4-$A19)*IF(RTD("tos.rtd",,"OPEN_INT","."&amp;N$2&amp;N$1&amp;"C"&amp;$A19)="N/A",0,RTD("tos.rtd",,"OPEN_INT","."&amp;N$2&amp;N$1&amp;"C"&amp;$A19)),0)+IF($A$4&lt;$A19,($A$5-$A$4)*IF(RTD("tos.rtd",,"OPEN_INT","."&amp;N$2&amp;N$1&amp;"P"&amp;$A19)="N/A",0,RTD("tos.rtd",,"OPEN_INT","."&amp;N$2&amp;N$1&amp;"P"&amp;$A19)),0),IF($X$1="ABS",IF(RTD("tos.rtd",,$A$2,"."&amp;N$2&amp;N$1&amp;"C"&amp;$A19)="N/A",0,RTD("tos.rtd",,$A$2,"."&amp;N$2&amp;N$1&amp;"C"&amp;$A19))+IF(RTD("tos.rtd",,$A$2,"."&amp;N$2&amp;N$1&amp;"P"&amp;$A19)="N/A",0,RTD("tos.rtd",,$A$2,"."&amp;N$2&amp;N$1&amp;"P"&amp;$A19)),IF(RTD("tos.rtd",,$A$2,"."&amp;N$2&amp;N$1&amp;"C"&amp;$A19)="N/A",0,RTD("tos.rtd",,$A$2,"."&amp;N$2&amp;N$1&amp;"C"&amp;$A19))-IF(RTD("tos.rtd",,$A$2,"."&amp;N$2&amp;N$1&amp;"P"&amp;$A19)="N/A",0,RTD("tos.rtd",,$A$2,"."&amp;N$2&amp;N$1&amp;"P"&amp;$A19))))))))))</f>
        <v>0</v>
      </c>
      <c r="O19" s="12">
        <f ca="1">IF($A$2="PREMIUM_OI",IFERROR(IF($X$1="ABS",(100*RTD("tos.rtd",,"OPEN_INT","."&amp;O$2&amp;O$1&amp;"C"&amp;$A19)*RTD("tos.rtd",,"LAST","."&amp;O$2&amp;O$1&amp;"C"&amp;$A19)+100*RTD("tos.rtd",,"OPEN_INT","."&amp;O$2&amp;O$1&amp;"P"&amp;$A19)*RTD("tos.rtd",,"LAST","."&amp;O$2&amp;O$1&amp;"P"&amp;$A19))/1000000,(100*RTD("tos.rtd",,"OPEN_INT","."&amp;O$2&amp;O$1&amp;"C"&amp;$A19)*RTD("tos.rtd",,"LAST","."&amp;O$2&amp;O$1&amp;"C"&amp;$A19)-100*RTD("tos.rtd",,"OPEN_INT","."&amp;O$2&amp;O$1&amp;"P"&amp;$A19)*RTD("tos.rtd",,"LAST","."&amp;O$2&amp;O$1&amp;"P"&amp;$A19))/1000000),0),IF($A$2="PREMIUM",IFERROR(IF($X$1="ABS",(100*RTD("tos.rtd",,"VOLUME","."&amp;O$2&amp;O$1&amp;"C"&amp;$A19)*RTD("tos.rtd",,"LAST","."&amp;O$2&amp;O$1&amp;"C"&amp;$A19)+100*RTD("tos.rtd",,"VOLUME","."&amp;O$2&amp;O$1&amp;"P"&amp;$A19)*RTD("tos.rtd",,"LAST","."&amp;O$2&amp;O$1&amp;"P"&amp;$A19))/1000000,(100*RTD("tos.rtd",,"VOLUME","."&amp;O$2&amp;O$1&amp;"C"&amp;$A19)*RTD("tos.rtd",,"LAST","."&amp;O$2&amp;O$1&amp;"C"&amp;$A19)-100*RTD("tos.rtd",,"VOLUME","."&amp;O$2&amp;O$1&amp;"P"&amp;$A19)*RTD("tos.rtd",,"LAST","."&amp;O$2&amp;O$1&amp;"P"&amp;$A19))/1000000),0),IF($A$2="DEX",IFERROR(IF($X$1="ABS",(100*RTD("tos.rtd",,"OPEN_INT","."&amp;O$2&amp;O$1&amp;"C"&amp;$A19)*RTD("tos.rtd",,"DELTA","."&amp;O$2&amp;O$1&amp;"C"&amp;$A19)+100*RTD("tos.rtd",,"OPEN_INT","."&amp;O$2&amp;O$1&amp;"P"&amp;$A19)*RTD("tos.rtd",,"DELTA","."&amp;O$2&amp;O$1&amp;"P"&amp;$A19))/1000,(100*RTD("tos.rtd",,"OPEN_INT","."&amp;O$2&amp;O$1&amp;"C"&amp;$A19)*RTD("tos.rtd",,"DELTA","."&amp;O$2&amp;O$1&amp;"C"&amp;$A19)-100*RTD("tos.rtd",,"OPEN_INT","."&amp;O$2&amp;O$1&amp;"P"&amp;$A19)*RTD("tos.rtd",,"DELTA","."&amp;O$2&amp;O$1&amp;"P"&amp;$A19))/1000),0),IF($A$2="VEX",IFERROR(IF($X$1="ABS",($A$4*$A$4*RTD("tos.rtd",,"VOLUME","."&amp;O$2&amp;O$1&amp;"C"&amp;$A19)*RTD("tos.rtd",,"GAMMA","."&amp;O$2&amp;O$1&amp;"C"&amp;$A19)+$A$4*$A$4*RTD("tos.rtd",,"VOLUME","."&amp;O$2&amp;O$1&amp;"P"&amp;$A19)*RTD("tos.rtd",,"GAMMA","."&amp;O$2&amp;O$1&amp;"P"&amp;$A19))/1000000,($A$4*$A$4*RTD("tos.rtd",,"VOLUME","."&amp;O$2&amp;O$1&amp;"C"&amp;$A19)*RTD("tos.rtd",,"GAMMA","."&amp;O$2&amp;O$1&amp;"C"&amp;$A19)-$A$4*$A$4*RTD("tos.rtd",,"VOLUME","."&amp;O$2&amp;O$1&amp;"P"&amp;$A19)*RTD("tos.rtd",,"GAMMA","."&amp;O$2&amp;O$1&amp;"P"&amp;$A19))/1000000),0),IF($A$2="GEX",IFERROR(IF($X$1="ABS",($A$4*$A$4*RTD("tos.rtd",,"OPEN_INT","."&amp;O$2&amp;O$1&amp;"C"&amp;$A19)*RTD("tos.rtd",,"GAMMA","."&amp;O$2&amp;O$1&amp;"C"&amp;$A19)+$A$4*$A$4*RTD("tos.rtd",,"OPEN_INT","."&amp;O$2&amp;O$1&amp;"P"&amp;$A19)*RTD("tos.rtd",,"GAMMA","."&amp;O$2&amp;O$1&amp;"P"&amp;$A19))/1000000,($A$4*$A$4*RTD("tos.rtd",,"OPEN_INT","."&amp;O$2&amp;O$1&amp;"C"&amp;$A19)*RTD("tos.rtd",,"GAMMA","."&amp;O$2&amp;O$1&amp;"C"&amp;$A19)-$A$4*$A$4*RTD("tos.rtd",,"OPEN_INT","."&amp;O$2&amp;O$1&amp;"P"&amp;$A19)*RTD("tos.rtd",,"GAMMA","."&amp;O$2&amp;O$1&amp;"P"&amp;$A19))/1000000),0),IF($A$2="SKEW",IFERROR(VALUE(IF(RTD("tos.rtd",,"IMPL_VOL","."&amp;O$2&amp;O$1&amp;"P"&amp;$A19)="N/A",0,RTD("tos.rtd",,"IMPL_VOL","."&amp;O$2&amp;O$1&amp;"P"&amp;$A19))),0)-IFERROR(VALUE(IF(RTD("tos.rtd",,"IMPL_VOL","."&amp;O$2&amp;O$1&amp;"C"&amp;$A19)="N/A",0,RTD("tos.rtd",,"IMPL_VOL","."&amp;O$2&amp;O$1&amp;"C"&amp;$A19))),0),IF($A$2="MAXPAIN",IF($A$4&gt;$A19,($A$4-$A19)*IF(RTD("tos.rtd",,"OPEN_INT","."&amp;O$2&amp;O$1&amp;"C"&amp;$A19)="N/A",0,RTD("tos.rtd",,"OPEN_INT","."&amp;O$2&amp;O$1&amp;"C"&amp;$A19)),0)+IF($A$4&lt;$A19,($A$5-$A$4)*IF(RTD("tos.rtd",,"OPEN_INT","."&amp;O$2&amp;O$1&amp;"P"&amp;$A19)="N/A",0,RTD("tos.rtd",,"OPEN_INT","."&amp;O$2&amp;O$1&amp;"P"&amp;$A19)),0),IF($X$1="ABS",IF(RTD("tos.rtd",,$A$2,"."&amp;O$2&amp;O$1&amp;"C"&amp;$A19)="N/A",0,RTD("tos.rtd",,$A$2,"."&amp;O$2&amp;O$1&amp;"C"&amp;$A19))+IF(RTD("tos.rtd",,$A$2,"."&amp;O$2&amp;O$1&amp;"P"&amp;$A19)="N/A",0,RTD("tos.rtd",,$A$2,"."&amp;O$2&amp;O$1&amp;"P"&amp;$A19)),IF(RTD("tos.rtd",,$A$2,"."&amp;O$2&amp;O$1&amp;"C"&amp;$A19)="N/A",0,RTD("tos.rtd",,$A$2,"."&amp;O$2&amp;O$1&amp;"C"&amp;$A19))-IF(RTD("tos.rtd",,$A$2,"."&amp;O$2&amp;O$1&amp;"P"&amp;$A19)="N/A",0,RTD("tos.rtd",,$A$2,"."&amp;O$2&amp;O$1&amp;"P"&amp;$A19))))))))))</f>
        <v>0</v>
      </c>
      <c r="P19" s="12">
        <f ca="1">IF($A$2="PREMIUM_OI",IFERROR(IF($X$1="ABS",(100*RTD("tos.rtd",,"OPEN_INT","."&amp;P$2&amp;P$1&amp;"C"&amp;$A19)*RTD("tos.rtd",,"LAST","."&amp;P$2&amp;P$1&amp;"C"&amp;$A19)+100*RTD("tos.rtd",,"OPEN_INT","."&amp;P$2&amp;P$1&amp;"P"&amp;$A19)*RTD("tos.rtd",,"LAST","."&amp;P$2&amp;P$1&amp;"P"&amp;$A19))/1000000,(100*RTD("tos.rtd",,"OPEN_INT","."&amp;P$2&amp;P$1&amp;"C"&amp;$A19)*RTD("tos.rtd",,"LAST","."&amp;P$2&amp;P$1&amp;"C"&amp;$A19)-100*RTD("tos.rtd",,"OPEN_INT","."&amp;P$2&amp;P$1&amp;"P"&amp;$A19)*RTD("tos.rtd",,"LAST","."&amp;P$2&amp;P$1&amp;"P"&amp;$A19))/1000000),0),IF($A$2="PREMIUM",IFERROR(IF($X$1="ABS",(100*RTD("tos.rtd",,"VOLUME","."&amp;P$2&amp;P$1&amp;"C"&amp;$A19)*RTD("tos.rtd",,"LAST","."&amp;P$2&amp;P$1&amp;"C"&amp;$A19)+100*RTD("tos.rtd",,"VOLUME","."&amp;P$2&amp;P$1&amp;"P"&amp;$A19)*RTD("tos.rtd",,"LAST","."&amp;P$2&amp;P$1&amp;"P"&amp;$A19))/1000000,(100*RTD("tos.rtd",,"VOLUME","."&amp;P$2&amp;P$1&amp;"C"&amp;$A19)*RTD("tos.rtd",,"LAST","."&amp;P$2&amp;P$1&amp;"C"&amp;$A19)-100*RTD("tos.rtd",,"VOLUME","."&amp;P$2&amp;P$1&amp;"P"&amp;$A19)*RTD("tos.rtd",,"LAST","."&amp;P$2&amp;P$1&amp;"P"&amp;$A19))/1000000),0),IF($A$2="DEX",IFERROR(IF($X$1="ABS",(100*RTD("tos.rtd",,"OPEN_INT","."&amp;P$2&amp;P$1&amp;"C"&amp;$A19)*RTD("tos.rtd",,"DELTA","."&amp;P$2&amp;P$1&amp;"C"&amp;$A19)+100*RTD("tos.rtd",,"OPEN_INT","."&amp;P$2&amp;P$1&amp;"P"&amp;$A19)*RTD("tos.rtd",,"DELTA","."&amp;P$2&amp;P$1&amp;"P"&amp;$A19))/1000,(100*RTD("tos.rtd",,"OPEN_INT","."&amp;P$2&amp;P$1&amp;"C"&amp;$A19)*RTD("tos.rtd",,"DELTA","."&amp;P$2&amp;P$1&amp;"C"&amp;$A19)-100*RTD("tos.rtd",,"OPEN_INT","."&amp;P$2&amp;P$1&amp;"P"&amp;$A19)*RTD("tos.rtd",,"DELTA","."&amp;P$2&amp;P$1&amp;"P"&amp;$A19))/1000),0),IF($A$2="VEX",IFERROR(IF($X$1="ABS",($A$4*$A$4*RTD("tos.rtd",,"VOLUME","."&amp;P$2&amp;P$1&amp;"C"&amp;$A19)*RTD("tos.rtd",,"GAMMA","."&amp;P$2&amp;P$1&amp;"C"&amp;$A19)+$A$4*$A$4*RTD("tos.rtd",,"VOLUME","."&amp;P$2&amp;P$1&amp;"P"&amp;$A19)*RTD("tos.rtd",,"GAMMA","."&amp;P$2&amp;P$1&amp;"P"&amp;$A19))/1000000,($A$4*$A$4*RTD("tos.rtd",,"VOLUME","."&amp;P$2&amp;P$1&amp;"C"&amp;$A19)*RTD("tos.rtd",,"GAMMA","."&amp;P$2&amp;P$1&amp;"C"&amp;$A19)-$A$4*$A$4*RTD("tos.rtd",,"VOLUME","."&amp;P$2&amp;P$1&amp;"P"&amp;$A19)*RTD("tos.rtd",,"GAMMA","."&amp;P$2&amp;P$1&amp;"P"&amp;$A19))/1000000),0),IF($A$2="GEX",IFERROR(IF($X$1="ABS",($A$4*$A$4*RTD("tos.rtd",,"OPEN_INT","."&amp;P$2&amp;P$1&amp;"C"&amp;$A19)*RTD("tos.rtd",,"GAMMA","."&amp;P$2&amp;P$1&amp;"C"&amp;$A19)+$A$4*$A$4*RTD("tos.rtd",,"OPEN_INT","."&amp;P$2&amp;P$1&amp;"P"&amp;$A19)*RTD("tos.rtd",,"GAMMA","."&amp;P$2&amp;P$1&amp;"P"&amp;$A19))/1000000,($A$4*$A$4*RTD("tos.rtd",,"OPEN_INT","."&amp;P$2&amp;P$1&amp;"C"&amp;$A19)*RTD("tos.rtd",,"GAMMA","."&amp;P$2&amp;P$1&amp;"C"&amp;$A19)-$A$4*$A$4*RTD("tos.rtd",,"OPEN_INT","."&amp;P$2&amp;P$1&amp;"P"&amp;$A19)*RTD("tos.rtd",,"GAMMA","."&amp;P$2&amp;P$1&amp;"P"&amp;$A19))/1000000),0),IF($A$2="SKEW",IFERROR(VALUE(IF(RTD("tos.rtd",,"IMPL_VOL","."&amp;P$2&amp;P$1&amp;"P"&amp;$A19)="N/A",0,RTD("tos.rtd",,"IMPL_VOL","."&amp;P$2&amp;P$1&amp;"P"&amp;$A19))),0)-IFERROR(VALUE(IF(RTD("tos.rtd",,"IMPL_VOL","."&amp;P$2&amp;P$1&amp;"C"&amp;$A19)="N/A",0,RTD("tos.rtd",,"IMPL_VOL","."&amp;P$2&amp;P$1&amp;"C"&amp;$A19))),0),IF($A$2="MAXPAIN",IF($A$4&gt;$A19,($A$4-$A19)*IF(RTD("tos.rtd",,"OPEN_INT","."&amp;P$2&amp;P$1&amp;"C"&amp;$A19)="N/A",0,RTD("tos.rtd",,"OPEN_INT","."&amp;P$2&amp;P$1&amp;"C"&amp;$A19)),0)+IF($A$4&lt;$A19,($A$5-$A$4)*IF(RTD("tos.rtd",,"OPEN_INT","."&amp;P$2&amp;P$1&amp;"P"&amp;$A19)="N/A",0,RTD("tos.rtd",,"OPEN_INT","."&amp;P$2&amp;P$1&amp;"P"&amp;$A19)),0),IF($X$1="ABS",IF(RTD("tos.rtd",,$A$2,"."&amp;P$2&amp;P$1&amp;"C"&amp;$A19)="N/A",0,RTD("tos.rtd",,$A$2,"."&amp;P$2&amp;P$1&amp;"C"&amp;$A19))+IF(RTD("tos.rtd",,$A$2,"."&amp;P$2&amp;P$1&amp;"P"&amp;$A19)="N/A",0,RTD("tos.rtd",,$A$2,"."&amp;P$2&amp;P$1&amp;"P"&amp;$A19)),IF(RTD("tos.rtd",,$A$2,"."&amp;P$2&amp;P$1&amp;"C"&amp;$A19)="N/A",0,RTD("tos.rtd",,$A$2,"."&amp;P$2&amp;P$1&amp;"C"&amp;$A19))-IF(RTD("tos.rtd",,$A$2,"."&amp;P$2&amp;P$1&amp;"P"&amp;$A19)="N/A",0,RTD("tos.rtd",,$A$2,"."&amp;P$2&amp;P$1&amp;"P"&amp;$A19))))))))))</f>
        <v>0</v>
      </c>
      <c r="Q19" s="12">
        <f ca="1">IF($A$2="PREMIUM_OI",IFERROR(IF($X$1="ABS",(100*RTD("tos.rtd",,"OPEN_INT","."&amp;Q$2&amp;Q$1&amp;"C"&amp;$A19)*RTD("tos.rtd",,"LAST","."&amp;Q$2&amp;Q$1&amp;"C"&amp;$A19)+100*RTD("tos.rtd",,"OPEN_INT","."&amp;Q$2&amp;Q$1&amp;"P"&amp;$A19)*RTD("tos.rtd",,"LAST","."&amp;Q$2&amp;Q$1&amp;"P"&amp;$A19))/1000000,(100*RTD("tos.rtd",,"OPEN_INT","."&amp;Q$2&amp;Q$1&amp;"C"&amp;$A19)*RTD("tos.rtd",,"LAST","."&amp;Q$2&amp;Q$1&amp;"C"&amp;$A19)-100*RTD("tos.rtd",,"OPEN_INT","."&amp;Q$2&amp;Q$1&amp;"P"&amp;$A19)*RTD("tos.rtd",,"LAST","."&amp;Q$2&amp;Q$1&amp;"P"&amp;$A19))/1000000),0),IF($A$2="PREMIUM",IFERROR(IF($X$1="ABS",(100*RTD("tos.rtd",,"VOLUME","."&amp;Q$2&amp;Q$1&amp;"C"&amp;$A19)*RTD("tos.rtd",,"LAST","."&amp;Q$2&amp;Q$1&amp;"C"&amp;$A19)+100*RTD("tos.rtd",,"VOLUME","."&amp;Q$2&amp;Q$1&amp;"P"&amp;$A19)*RTD("tos.rtd",,"LAST","."&amp;Q$2&amp;Q$1&amp;"P"&amp;$A19))/1000000,(100*RTD("tos.rtd",,"VOLUME","."&amp;Q$2&amp;Q$1&amp;"C"&amp;$A19)*RTD("tos.rtd",,"LAST","."&amp;Q$2&amp;Q$1&amp;"C"&amp;$A19)-100*RTD("tos.rtd",,"VOLUME","."&amp;Q$2&amp;Q$1&amp;"P"&amp;$A19)*RTD("tos.rtd",,"LAST","."&amp;Q$2&amp;Q$1&amp;"P"&amp;$A19))/1000000),0),IF($A$2="DEX",IFERROR(IF($X$1="ABS",(100*RTD("tos.rtd",,"OPEN_INT","."&amp;Q$2&amp;Q$1&amp;"C"&amp;$A19)*RTD("tos.rtd",,"DELTA","."&amp;Q$2&amp;Q$1&amp;"C"&amp;$A19)+100*RTD("tos.rtd",,"OPEN_INT","."&amp;Q$2&amp;Q$1&amp;"P"&amp;$A19)*RTD("tos.rtd",,"DELTA","."&amp;Q$2&amp;Q$1&amp;"P"&amp;$A19))/1000,(100*RTD("tos.rtd",,"OPEN_INT","."&amp;Q$2&amp;Q$1&amp;"C"&amp;$A19)*RTD("tos.rtd",,"DELTA","."&amp;Q$2&amp;Q$1&amp;"C"&amp;$A19)-100*RTD("tos.rtd",,"OPEN_INT","."&amp;Q$2&amp;Q$1&amp;"P"&amp;$A19)*RTD("tos.rtd",,"DELTA","."&amp;Q$2&amp;Q$1&amp;"P"&amp;$A19))/1000),0),IF($A$2="VEX",IFERROR(IF($X$1="ABS",($A$4*$A$4*RTD("tos.rtd",,"VOLUME","."&amp;Q$2&amp;Q$1&amp;"C"&amp;$A19)*RTD("tos.rtd",,"GAMMA","."&amp;Q$2&amp;Q$1&amp;"C"&amp;$A19)+$A$4*$A$4*RTD("tos.rtd",,"VOLUME","."&amp;Q$2&amp;Q$1&amp;"P"&amp;$A19)*RTD("tos.rtd",,"GAMMA","."&amp;Q$2&amp;Q$1&amp;"P"&amp;$A19))/1000000,($A$4*$A$4*RTD("tos.rtd",,"VOLUME","."&amp;Q$2&amp;Q$1&amp;"C"&amp;$A19)*RTD("tos.rtd",,"GAMMA","."&amp;Q$2&amp;Q$1&amp;"C"&amp;$A19)-$A$4*$A$4*RTD("tos.rtd",,"VOLUME","."&amp;Q$2&amp;Q$1&amp;"P"&amp;$A19)*RTD("tos.rtd",,"GAMMA","."&amp;Q$2&amp;Q$1&amp;"P"&amp;$A19))/1000000),0),IF($A$2="GEX",IFERROR(IF($X$1="ABS",($A$4*$A$4*RTD("tos.rtd",,"OPEN_INT","."&amp;Q$2&amp;Q$1&amp;"C"&amp;$A19)*RTD("tos.rtd",,"GAMMA","."&amp;Q$2&amp;Q$1&amp;"C"&amp;$A19)+$A$4*$A$4*RTD("tos.rtd",,"OPEN_INT","."&amp;Q$2&amp;Q$1&amp;"P"&amp;$A19)*RTD("tos.rtd",,"GAMMA","."&amp;Q$2&amp;Q$1&amp;"P"&amp;$A19))/1000000,($A$4*$A$4*RTD("tos.rtd",,"OPEN_INT","."&amp;Q$2&amp;Q$1&amp;"C"&amp;$A19)*RTD("tos.rtd",,"GAMMA","."&amp;Q$2&amp;Q$1&amp;"C"&amp;$A19)-$A$4*$A$4*RTD("tos.rtd",,"OPEN_INT","."&amp;Q$2&amp;Q$1&amp;"P"&amp;$A19)*RTD("tos.rtd",,"GAMMA","."&amp;Q$2&amp;Q$1&amp;"P"&amp;$A19))/1000000),0),IF($A$2="SKEW",IFERROR(VALUE(IF(RTD("tos.rtd",,"IMPL_VOL","."&amp;Q$2&amp;Q$1&amp;"P"&amp;$A19)="N/A",0,RTD("tos.rtd",,"IMPL_VOL","."&amp;Q$2&amp;Q$1&amp;"P"&amp;$A19))),0)-IFERROR(VALUE(IF(RTD("tos.rtd",,"IMPL_VOL","."&amp;Q$2&amp;Q$1&amp;"C"&amp;$A19)="N/A",0,RTD("tos.rtd",,"IMPL_VOL","."&amp;Q$2&amp;Q$1&amp;"C"&amp;$A19))),0),IF($A$2="MAXPAIN",IF($A$4&gt;$A19,($A$4-$A19)*IF(RTD("tos.rtd",,"OPEN_INT","."&amp;Q$2&amp;Q$1&amp;"C"&amp;$A19)="N/A",0,RTD("tos.rtd",,"OPEN_INT","."&amp;Q$2&amp;Q$1&amp;"C"&amp;$A19)),0)+IF($A$4&lt;$A19,($A$5-$A$4)*IF(RTD("tos.rtd",,"OPEN_INT","."&amp;Q$2&amp;Q$1&amp;"P"&amp;$A19)="N/A",0,RTD("tos.rtd",,"OPEN_INT","."&amp;Q$2&amp;Q$1&amp;"P"&amp;$A19)),0),IF($X$1="ABS",IF(RTD("tos.rtd",,$A$2,"."&amp;Q$2&amp;Q$1&amp;"C"&amp;$A19)="N/A",0,RTD("tos.rtd",,$A$2,"."&amp;Q$2&amp;Q$1&amp;"C"&amp;$A19))+IF(RTD("tos.rtd",,$A$2,"."&amp;Q$2&amp;Q$1&amp;"P"&amp;$A19)="N/A",0,RTD("tos.rtd",,$A$2,"."&amp;Q$2&amp;Q$1&amp;"P"&amp;$A19)),IF(RTD("tos.rtd",,$A$2,"."&amp;Q$2&amp;Q$1&amp;"C"&amp;$A19)="N/A",0,RTD("tos.rtd",,$A$2,"."&amp;Q$2&amp;Q$1&amp;"C"&amp;$A19))-IF(RTD("tos.rtd",,$A$2,"."&amp;Q$2&amp;Q$1&amp;"P"&amp;$A19)="N/A",0,RTD("tos.rtd",,$A$2,"."&amp;Q$2&amp;Q$1&amp;"P"&amp;$A19))))))))))</f>
        <v>0</v>
      </c>
      <c r="R19" s="12">
        <f ca="1">IF($A$2="PREMIUM_OI",IFERROR(IF($X$1="ABS",(100*RTD("tos.rtd",,"OPEN_INT","."&amp;R$2&amp;R$1&amp;"C"&amp;$A19)*RTD("tos.rtd",,"LAST","."&amp;R$2&amp;R$1&amp;"C"&amp;$A19)+100*RTD("tos.rtd",,"OPEN_INT","."&amp;R$2&amp;R$1&amp;"P"&amp;$A19)*RTD("tos.rtd",,"LAST","."&amp;R$2&amp;R$1&amp;"P"&amp;$A19))/1000000,(100*RTD("tos.rtd",,"OPEN_INT","."&amp;R$2&amp;R$1&amp;"C"&amp;$A19)*RTD("tos.rtd",,"LAST","."&amp;R$2&amp;R$1&amp;"C"&amp;$A19)-100*RTD("tos.rtd",,"OPEN_INT","."&amp;R$2&amp;R$1&amp;"P"&amp;$A19)*RTD("tos.rtd",,"LAST","."&amp;R$2&amp;R$1&amp;"P"&amp;$A19))/1000000),0),IF($A$2="PREMIUM",IFERROR(IF($X$1="ABS",(100*RTD("tos.rtd",,"VOLUME","."&amp;R$2&amp;R$1&amp;"C"&amp;$A19)*RTD("tos.rtd",,"LAST","."&amp;R$2&amp;R$1&amp;"C"&amp;$A19)+100*RTD("tos.rtd",,"VOLUME","."&amp;R$2&amp;R$1&amp;"P"&amp;$A19)*RTD("tos.rtd",,"LAST","."&amp;R$2&amp;R$1&amp;"P"&amp;$A19))/1000000,(100*RTD("tos.rtd",,"VOLUME","."&amp;R$2&amp;R$1&amp;"C"&amp;$A19)*RTD("tos.rtd",,"LAST","."&amp;R$2&amp;R$1&amp;"C"&amp;$A19)-100*RTD("tos.rtd",,"VOLUME","."&amp;R$2&amp;R$1&amp;"P"&amp;$A19)*RTD("tos.rtd",,"LAST","."&amp;R$2&amp;R$1&amp;"P"&amp;$A19))/1000000),0),IF($A$2="DEX",IFERROR(IF($X$1="ABS",(100*RTD("tos.rtd",,"OPEN_INT","."&amp;R$2&amp;R$1&amp;"C"&amp;$A19)*RTD("tos.rtd",,"DELTA","."&amp;R$2&amp;R$1&amp;"C"&amp;$A19)+100*RTD("tos.rtd",,"OPEN_INT","."&amp;R$2&amp;R$1&amp;"P"&amp;$A19)*RTD("tos.rtd",,"DELTA","."&amp;R$2&amp;R$1&amp;"P"&amp;$A19))/1000,(100*RTD("tos.rtd",,"OPEN_INT","."&amp;R$2&amp;R$1&amp;"C"&amp;$A19)*RTD("tos.rtd",,"DELTA","."&amp;R$2&amp;R$1&amp;"C"&amp;$A19)-100*RTD("tos.rtd",,"OPEN_INT","."&amp;R$2&amp;R$1&amp;"P"&amp;$A19)*RTD("tos.rtd",,"DELTA","."&amp;R$2&amp;R$1&amp;"P"&amp;$A19))/1000),0),IF($A$2="VEX",IFERROR(IF($X$1="ABS",($A$4*$A$4*RTD("tos.rtd",,"VOLUME","."&amp;R$2&amp;R$1&amp;"C"&amp;$A19)*RTD("tos.rtd",,"GAMMA","."&amp;R$2&amp;R$1&amp;"C"&amp;$A19)+$A$4*$A$4*RTD("tos.rtd",,"VOLUME","."&amp;R$2&amp;R$1&amp;"P"&amp;$A19)*RTD("tos.rtd",,"GAMMA","."&amp;R$2&amp;R$1&amp;"P"&amp;$A19))/1000000,($A$4*$A$4*RTD("tos.rtd",,"VOLUME","."&amp;R$2&amp;R$1&amp;"C"&amp;$A19)*RTD("tos.rtd",,"GAMMA","."&amp;R$2&amp;R$1&amp;"C"&amp;$A19)-$A$4*$A$4*RTD("tos.rtd",,"VOLUME","."&amp;R$2&amp;R$1&amp;"P"&amp;$A19)*RTD("tos.rtd",,"GAMMA","."&amp;R$2&amp;R$1&amp;"P"&amp;$A19))/1000000),0),IF($A$2="GEX",IFERROR(IF($X$1="ABS",($A$4*$A$4*RTD("tos.rtd",,"OPEN_INT","."&amp;R$2&amp;R$1&amp;"C"&amp;$A19)*RTD("tos.rtd",,"GAMMA","."&amp;R$2&amp;R$1&amp;"C"&amp;$A19)+$A$4*$A$4*RTD("tos.rtd",,"OPEN_INT","."&amp;R$2&amp;R$1&amp;"P"&amp;$A19)*RTD("tos.rtd",,"GAMMA","."&amp;R$2&amp;R$1&amp;"P"&amp;$A19))/1000000,($A$4*$A$4*RTD("tos.rtd",,"OPEN_INT","."&amp;R$2&amp;R$1&amp;"C"&amp;$A19)*RTD("tos.rtd",,"GAMMA","."&amp;R$2&amp;R$1&amp;"C"&amp;$A19)-$A$4*$A$4*RTD("tos.rtd",,"OPEN_INT","."&amp;R$2&amp;R$1&amp;"P"&amp;$A19)*RTD("tos.rtd",,"GAMMA","."&amp;R$2&amp;R$1&amp;"P"&amp;$A19))/1000000),0),IF($A$2="SKEW",IFERROR(VALUE(IF(RTD("tos.rtd",,"IMPL_VOL","."&amp;R$2&amp;R$1&amp;"P"&amp;$A19)="N/A",0,RTD("tos.rtd",,"IMPL_VOL","."&amp;R$2&amp;R$1&amp;"P"&amp;$A19))),0)-IFERROR(VALUE(IF(RTD("tos.rtd",,"IMPL_VOL","."&amp;R$2&amp;R$1&amp;"C"&amp;$A19)="N/A",0,RTD("tos.rtd",,"IMPL_VOL","."&amp;R$2&amp;R$1&amp;"C"&amp;$A19))),0),IF($A$2="MAXPAIN",IF($A$4&gt;$A19,($A$4-$A19)*IF(RTD("tos.rtd",,"OPEN_INT","."&amp;R$2&amp;R$1&amp;"C"&amp;$A19)="N/A",0,RTD("tos.rtd",,"OPEN_INT","."&amp;R$2&amp;R$1&amp;"C"&amp;$A19)),0)+IF($A$4&lt;$A19,($A$5-$A$4)*IF(RTD("tos.rtd",,"OPEN_INT","."&amp;R$2&amp;R$1&amp;"P"&amp;$A19)="N/A",0,RTD("tos.rtd",,"OPEN_INT","."&amp;R$2&amp;R$1&amp;"P"&amp;$A19)),0),IF($X$1="ABS",IF(RTD("tos.rtd",,$A$2,"."&amp;R$2&amp;R$1&amp;"C"&amp;$A19)="N/A",0,RTD("tos.rtd",,$A$2,"."&amp;R$2&amp;R$1&amp;"C"&amp;$A19))+IF(RTD("tos.rtd",,$A$2,"."&amp;R$2&amp;R$1&amp;"P"&amp;$A19)="N/A",0,RTD("tos.rtd",,$A$2,"."&amp;R$2&amp;R$1&amp;"P"&amp;$A19)),IF(RTD("tos.rtd",,$A$2,"."&amp;R$2&amp;R$1&amp;"C"&amp;$A19)="N/A",0,RTD("tos.rtd",,$A$2,"."&amp;R$2&amp;R$1&amp;"C"&amp;$A19))-IF(RTD("tos.rtd",,$A$2,"."&amp;R$2&amp;R$1&amp;"P"&amp;$A19)="N/A",0,RTD("tos.rtd",,$A$2,"."&amp;R$2&amp;R$1&amp;"P"&amp;$A19))))))))))</f>
        <v>0</v>
      </c>
      <c r="S19" s="12">
        <f ca="1">IF($A$2="PREMIUM_OI",IFERROR(IF($X$1="ABS",(100*RTD("tos.rtd",,"OPEN_INT","."&amp;S$2&amp;S$1&amp;"C"&amp;$A19)*RTD("tos.rtd",,"LAST","."&amp;S$2&amp;S$1&amp;"C"&amp;$A19)+100*RTD("tos.rtd",,"OPEN_INT","."&amp;S$2&amp;S$1&amp;"P"&amp;$A19)*RTD("tos.rtd",,"LAST","."&amp;S$2&amp;S$1&amp;"P"&amp;$A19))/1000000,(100*RTD("tos.rtd",,"OPEN_INT","."&amp;S$2&amp;S$1&amp;"C"&amp;$A19)*RTD("tos.rtd",,"LAST","."&amp;S$2&amp;S$1&amp;"C"&amp;$A19)-100*RTD("tos.rtd",,"OPEN_INT","."&amp;S$2&amp;S$1&amp;"P"&amp;$A19)*RTD("tos.rtd",,"LAST","."&amp;S$2&amp;S$1&amp;"P"&amp;$A19))/1000000),0),IF($A$2="PREMIUM",IFERROR(IF($X$1="ABS",(100*RTD("tos.rtd",,"VOLUME","."&amp;S$2&amp;S$1&amp;"C"&amp;$A19)*RTD("tos.rtd",,"LAST","."&amp;S$2&amp;S$1&amp;"C"&amp;$A19)+100*RTD("tos.rtd",,"VOLUME","."&amp;S$2&amp;S$1&amp;"P"&amp;$A19)*RTD("tos.rtd",,"LAST","."&amp;S$2&amp;S$1&amp;"P"&amp;$A19))/1000000,(100*RTD("tos.rtd",,"VOLUME","."&amp;S$2&amp;S$1&amp;"C"&amp;$A19)*RTD("tos.rtd",,"LAST","."&amp;S$2&amp;S$1&amp;"C"&amp;$A19)-100*RTD("tos.rtd",,"VOLUME","."&amp;S$2&amp;S$1&amp;"P"&amp;$A19)*RTD("tos.rtd",,"LAST","."&amp;S$2&amp;S$1&amp;"P"&amp;$A19))/1000000),0),IF($A$2="DEX",IFERROR(IF($X$1="ABS",(100*RTD("tos.rtd",,"OPEN_INT","."&amp;S$2&amp;S$1&amp;"C"&amp;$A19)*RTD("tos.rtd",,"DELTA","."&amp;S$2&amp;S$1&amp;"C"&amp;$A19)+100*RTD("tos.rtd",,"OPEN_INT","."&amp;S$2&amp;S$1&amp;"P"&amp;$A19)*RTD("tos.rtd",,"DELTA","."&amp;S$2&amp;S$1&amp;"P"&amp;$A19))/1000,(100*RTD("tos.rtd",,"OPEN_INT","."&amp;S$2&amp;S$1&amp;"C"&amp;$A19)*RTD("tos.rtd",,"DELTA","."&amp;S$2&amp;S$1&amp;"C"&amp;$A19)-100*RTD("tos.rtd",,"OPEN_INT","."&amp;S$2&amp;S$1&amp;"P"&amp;$A19)*RTD("tos.rtd",,"DELTA","."&amp;S$2&amp;S$1&amp;"P"&amp;$A19))/1000),0),IF($A$2="VEX",IFERROR(IF($X$1="ABS",($A$4*$A$4*RTD("tos.rtd",,"VOLUME","."&amp;S$2&amp;S$1&amp;"C"&amp;$A19)*RTD("tos.rtd",,"GAMMA","."&amp;S$2&amp;S$1&amp;"C"&amp;$A19)+$A$4*$A$4*RTD("tos.rtd",,"VOLUME","."&amp;S$2&amp;S$1&amp;"P"&amp;$A19)*RTD("tos.rtd",,"GAMMA","."&amp;S$2&amp;S$1&amp;"P"&amp;$A19))/1000000,($A$4*$A$4*RTD("tos.rtd",,"VOLUME","."&amp;S$2&amp;S$1&amp;"C"&amp;$A19)*RTD("tos.rtd",,"GAMMA","."&amp;S$2&amp;S$1&amp;"C"&amp;$A19)-$A$4*$A$4*RTD("tos.rtd",,"VOLUME","."&amp;S$2&amp;S$1&amp;"P"&amp;$A19)*RTD("tos.rtd",,"GAMMA","."&amp;S$2&amp;S$1&amp;"P"&amp;$A19))/1000000),0),IF($A$2="GEX",IFERROR(IF($X$1="ABS",($A$4*$A$4*RTD("tos.rtd",,"OPEN_INT","."&amp;S$2&amp;S$1&amp;"C"&amp;$A19)*RTD("tos.rtd",,"GAMMA","."&amp;S$2&amp;S$1&amp;"C"&amp;$A19)+$A$4*$A$4*RTD("tos.rtd",,"OPEN_INT","."&amp;S$2&amp;S$1&amp;"P"&amp;$A19)*RTD("tos.rtd",,"GAMMA","."&amp;S$2&amp;S$1&amp;"P"&amp;$A19))/1000000,($A$4*$A$4*RTD("tos.rtd",,"OPEN_INT","."&amp;S$2&amp;S$1&amp;"C"&amp;$A19)*RTD("tos.rtd",,"GAMMA","."&amp;S$2&amp;S$1&amp;"C"&amp;$A19)-$A$4*$A$4*RTD("tos.rtd",,"OPEN_INT","."&amp;S$2&amp;S$1&amp;"P"&amp;$A19)*RTD("tos.rtd",,"GAMMA","."&amp;S$2&amp;S$1&amp;"P"&amp;$A19))/1000000),0),IF($A$2="SKEW",IFERROR(VALUE(IF(RTD("tos.rtd",,"IMPL_VOL","."&amp;S$2&amp;S$1&amp;"P"&amp;$A19)="N/A",0,RTD("tos.rtd",,"IMPL_VOL","."&amp;S$2&amp;S$1&amp;"P"&amp;$A19))),0)-IFERROR(VALUE(IF(RTD("tos.rtd",,"IMPL_VOL","."&amp;S$2&amp;S$1&amp;"C"&amp;$A19)="N/A",0,RTD("tos.rtd",,"IMPL_VOL","."&amp;S$2&amp;S$1&amp;"C"&amp;$A19))),0),IF($A$2="MAXPAIN",IF($A$4&gt;$A19,($A$4-$A19)*IF(RTD("tos.rtd",,"OPEN_INT","."&amp;S$2&amp;S$1&amp;"C"&amp;$A19)="N/A",0,RTD("tos.rtd",,"OPEN_INT","."&amp;S$2&amp;S$1&amp;"C"&amp;$A19)),0)+IF($A$4&lt;$A19,($A$5-$A$4)*IF(RTD("tos.rtd",,"OPEN_INT","."&amp;S$2&amp;S$1&amp;"P"&amp;$A19)="N/A",0,RTD("tos.rtd",,"OPEN_INT","."&amp;S$2&amp;S$1&amp;"P"&amp;$A19)),0),IF($X$1="ABS",IF(RTD("tos.rtd",,$A$2,"."&amp;S$2&amp;S$1&amp;"C"&amp;$A19)="N/A",0,RTD("tos.rtd",,$A$2,"."&amp;S$2&amp;S$1&amp;"C"&amp;$A19))+IF(RTD("tos.rtd",,$A$2,"."&amp;S$2&amp;S$1&amp;"P"&amp;$A19)="N/A",0,RTD("tos.rtd",,$A$2,"."&amp;S$2&amp;S$1&amp;"P"&amp;$A19)),IF(RTD("tos.rtd",,$A$2,"."&amp;S$2&amp;S$1&amp;"C"&amp;$A19)="N/A",0,RTD("tos.rtd",,$A$2,"."&amp;S$2&amp;S$1&amp;"C"&amp;$A19))-IF(RTD("tos.rtd",,$A$2,"."&amp;S$2&amp;S$1&amp;"P"&amp;$A19)="N/A",0,RTD("tos.rtd",,$A$2,"."&amp;S$2&amp;S$1&amp;"P"&amp;$A19))))))))))</f>
        <v>0</v>
      </c>
      <c r="T19" s="12">
        <f ca="1">IF($A$2="PREMIUM_OI",IFERROR(IF($X$1="ABS",(100*RTD("tos.rtd",,"OPEN_INT","."&amp;T$2&amp;T$1&amp;"C"&amp;$A19)*RTD("tos.rtd",,"LAST","."&amp;T$2&amp;T$1&amp;"C"&amp;$A19)+100*RTD("tos.rtd",,"OPEN_INT","."&amp;T$2&amp;T$1&amp;"P"&amp;$A19)*RTD("tos.rtd",,"LAST","."&amp;T$2&amp;T$1&amp;"P"&amp;$A19))/1000000,(100*RTD("tos.rtd",,"OPEN_INT","."&amp;T$2&amp;T$1&amp;"C"&amp;$A19)*RTD("tos.rtd",,"LAST","."&amp;T$2&amp;T$1&amp;"C"&amp;$A19)-100*RTD("tos.rtd",,"OPEN_INT","."&amp;T$2&amp;T$1&amp;"P"&amp;$A19)*RTD("tos.rtd",,"LAST","."&amp;T$2&amp;T$1&amp;"P"&amp;$A19))/1000000),0),IF($A$2="PREMIUM",IFERROR(IF($X$1="ABS",(100*RTD("tos.rtd",,"VOLUME","."&amp;T$2&amp;T$1&amp;"C"&amp;$A19)*RTD("tos.rtd",,"LAST","."&amp;T$2&amp;T$1&amp;"C"&amp;$A19)+100*RTD("tos.rtd",,"VOLUME","."&amp;T$2&amp;T$1&amp;"P"&amp;$A19)*RTD("tos.rtd",,"LAST","."&amp;T$2&amp;T$1&amp;"P"&amp;$A19))/1000000,(100*RTD("tos.rtd",,"VOLUME","."&amp;T$2&amp;T$1&amp;"C"&amp;$A19)*RTD("tos.rtd",,"LAST","."&amp;T$2&amp;T$1&amp;"C"&amp;$A19)-100*RTD("tos.rtd",,"VOLUME","."&amp;T$2&amp;T$1&amp;"P"&amp;$A19)*RTD("tos.rtd",,"LAST","."&amp;T$2&amp;T$1&amp;"P"&amp;$A19))/1000000),0),IF($A$2="DEX",IFERROR(IF($X$1="ABS",(100*RTD("tos.rtd",,"OPEN_INT","."&amp;T$2&amp;T$1&amp;"C"&amp;$A19)*RTD("tos.rtd",,"DELTA","."&amp;T$2&amp;T$1&amp;"C"&amp;$A19)+100*RTD("tos.rtd",,"OPEN_INT","."&amp;T$2&amp;T$1&amp;"P"&amp;$A19)*RTD("tos.rtd",,"DELTA","."&amp;T$2&amp;T$1&amp;"P"&amp;$A19))/1000,(100*RTD("tos.rtd",,"OPEN_INT","."&amp;T$2&amp;T$1&amp;"C"&amp;$A19)*RTD("tos.rtd",,"DELTA","."&amp;T$2&amp;T$1&amp;"C"&amp;$A19)-100*RTD("tos.rtd",,"OPEN_INT","."&amp;T$2&amp;T$1&amp;"P"&amp;$A19)*RTD("tos.rtd",,"DELTA","."&amp;T$2&amp;T$1&amp;"P"&amp;$A19))/1000),0),IF($A$2="VEX",IFERROR(IF($X$1="ABS",($A$4*$A$4*RTD("tos.rtd",,"VOLUME","."&amp;T$2&amp;T$1&amp;"C"&amp;$A19)*RTD("tos.rtd",,"GAMMA","."&amp;T$2&amp;T$1&amp;"C"&amp;$A19)+$A$4*$A$4*RTD("tos.rtd",,"VOLUME","."&amp;T$2&amp;T$1&amp;"P"&amp;$A19)*RTD("tos.rtd",,"GAMMA","."&amp;T$2&amp;T$1&amp;"P"&amp;$A19))/1000000,($A$4*$A$4*RTD("tos.rtd",,"VOLUME","."&amp;T$2&amp;T$1&amp;"C"&amp;$A19)*RTD("tos.rtd",,"GAMMA","."&amp;T$2&amp;T$1&amp;"C"&amp;$A19)-$A$4*$A$4*RTD("tos.rtd",,"VOLUME","."&amp;T$2&amp;T$1&amp;"P"&amp;$A19)*RTD("tos.rtd",,"GAMMA","."&amp;T$2&amp;T$1&amp;"P"&amp;$A19))/1000000),0),IF($A$2="GEX",IFERROR(IF($X$1="ABS",($A$4*$A$4*RTD("tos.rtd",,"OPEN_INT","."&amp;T$2&amp;T$1&amp;"C"&amp;$A19)*RTD("tos.rtd",,"GAMMA","."&amp;T$2&amp;T$1&amp;"C"&amp;$A19)+$A$4*$A$4*RTD("tos.rtd",,"OPEN_INT","."&amp;T$2&amp;T$1&amp;"P"&amp;$A19)*RTD("tos.rtd",,"GAMMA","."&amp;T$2&amp;T$1&amp;"P"&amp;$A19))/1000000,($A$4*$A$4*RTD("tos.rtd",,"OPEN_INT","."&amp;T$2&amp;T$1&amp;"C"&amp;$A19)*RTD("tos.rtd",,"GAMMA","."&amp;T$2&amp;T$1&amp;"C"&amp;$A19)-$A$4*$A$4*RTD("tos.rtd",,"OPEN_INT","."&amp;T$2&amp;T$1&amp;"P"&amp;$A19)*RTD("tos.rtd",,"GAMMA","."&amp;T$2&amp;T$1&amp;"P"&amp;$A19))/1000000),0),IF($A$2="SKEW",IFERROR(VALUE(IF(RTD("tos.rtd",,"IMPL_VOL","."&amp;T$2&amp;T$1&amp;"P"&amp;$A19)="N/A",0,RTD("tos.rtd",,"IMPL_VOL","."&amp;T$2&amp;T$1&amp;"P"&amp;$A19))),0)-IFERROR(VALUE(IF(RTD("tos.rtd",,"IMPL_VOL","."&amp;T$2&amp;T$1&amp;"C"&amp;$A19)="N/A",0,RTD("tos.rtd",,"IMPL_VOL","."&amp;T$2&amp;T$1&amp;"C"&amp;$A19))),0),IF($A$2="MAXPAIN",IF($A$4&gt;$A19,($A$4-$A19)*IF(RTD("tos.rtd",,"OPEN_INT","."&amp;T$2&amp;T$1&amp;"C"&amp;$A19)="N/A",0,RTD("tos.rtd",,"OPEN_INT","."&amp;T$2&amp;T$1&amp;"C"&amp;$A19)),0)+IF($A$4&lt;$A19,($A$5-$A$4)*IF(RTD("tos.rtd",,"OPEN_INT","."&amp;T$2&amp;T$1&amp;"P"&amp;$A19)="N/A",0,RTD("tos.rtd",,"OPEN_INT","."&amp;T$2&amp;T$1&amp;"P"&amp;$A19)),0),IF($X$1="ABS",IF(RTD("tos.rtd",,$A$2,"."&amp;T$2&amp;T$1&amp;"C"&amp;$A19)="N/A",0,RTD("tos.rtd",,$A$2,"."&amp;T$2&amp;T$1&amp;"C"&amp;$A19))+IF(RTD("tos.rtd",,$A$2,"."&amp;T$2&amp;T$1&amp;"P"&amp;$A19)="N/A",0,RTD("tos.rtd",,$A$2,"."&amp;T$2&amp;T$1&amp;"P"&amp;$A19)),IF(RTD("tos.rtd",,$A$2,"."&amp;T$2&amp;T$1&amp;"C"&amp;$A19)="N/A",0,RTD("tos.rtd",,$A$2,"."&amp;T$2&amp;T$1&amp;"C"&amp;$A19))-IF(RTD("tos.rtd",,$A$2,"."&amp;T$2&amp;T$1&amp;"P"&amp;$A19)="N/A",0,RTD("tos.rtd",,$A$2,"."&amp;T$2&amp;T$1&amp;"P"&amp;$A19))))))))))</f>
        <v>0</v>
      </c>
      <c r="U19" s="12">
        <f ca="1">IF($A$2="PREMIUM_OI",IFERROR(IF($X$1="ABS",(100*RTD("tos.rtd",,"OPEN_INT","."&amp;U$2&amp;U$1&amp;"C"&amp;$A19)*RTD("tos.rtd",,"LAST","."&amp;U$2&amp;U$1&amp;"C"&amp;$A19)+100*RTD("tos.rtd",,"OPEN_INT","."&amp;U$2&amp;U$1&amp;"P"&amp;$A19)*RTD("tos.rtd",,"LAST","."&amp;U$2&amp;U$1&amp;"P"&amp;$A19))/1000000,(100*RTD("tos.rtd",,"OPEN_INT","."&amp;U$2&amp;U$1&amp;"C"&amp;$A19)*RTD("tos.rtd",,"LAST","."&amp;U$2&amp;U$1&amp;"C"&amp;$A19)-100*RTD("tos.rtd",,"OPEN_INT","."&amp;U$2&amp;U$1&amp;"P"&amp;$A19)*RTD("tos.rtd",,"LAST","."&amp;U$2&amp;U$1&amp;"P"&amp;$A19))/1000000),0),IF($A$2="PREMIUM",IFERROR(IF($X$1="ABS",(100*RTD("tos.rtd",,"VOLUME","."&amp;U$2&amp;U$1&amp;"C"&amp;$A19)*RTD("tos.rtd",,"LAST","."&amp;U$2&amp;U$1&amp;"C"&amp;$A19)+100*RTD("tos.rtd",,"VOLUME","."&amp;U$2&amp;U$1&amp;"P"&amp;$A19)*RTD("tos.rtd",,"LAST","."&amp;U$2&amp;U$1&amp;"P"&amp;$A19))/1000000,(100*RTD("tos.rtd",,"VOLUME","."&amp;U$2&amp;U$1&amp;"C"&amp;$A19)*RTD("tos.rtd",,"LAST","."&amp;U$2&amp;U$1&amp;"C"&amp;$A19)-100*RTD("tos.rtd",,"VOLUME","."&amp;U$2&amp;U$1&amp;"P"&amp;$A19)*RTD("tos.rtd",,"LAST","."&amp;U$2&amp;U$1&amp;"P"&amp;$A19))/1000000),0),IF($A$2="DEX",IFERROR(IF($X$1="ABS",(100*RTD("tos.rtd",,"OPEN_INT","."&amp;U$2&amp;U$1&amp;"C"&amp;$A19)*RTD("tos.rtd",,"DELTA","."&amp;U$2&amp;U$1&amp;"C"&amp;$A19)+100*RTD("tos.rtd",,"OPEN_INT","."&amp;U$2&amp;U$1&amp;"P"&amp;$A19)*RTD("tos.rtd",,"DELTA","."&amp;U$2&amp;U$1&amp;"P"&amp;$A19))/1000,(100*RTD("tos.rtd",,"OPEN_INT","."&amp;U$2&amp;U$1&amp;"C"&amp;$A19)*RTD("tos.rtd",,"DELTA","."&amp;U$2&amp;U$1&amp;"C"&amp;$A19)-100*RTD("tos.rtd",,"OPEN_INT","."&amp;U$2&amp;U$1&amp;"P"&amp;$A19)*RTD("tos.rtd",,"DELTA","."&amp;U$2&amp;U$1&amp;"P"&amp;$A19))/1000),0),IF($A$2="VEX",IFERROR(IF($X$1="ABS",($A$4*$A$4*RTD("tos.rtd",,"VOLUME","."&amp;U$2&amp;U$1&amp;"C"&amp;$A19)*RTD("tos.rtd",,"GAMMA","."&amp;U$2&amp;U$1&amp;"C"&amp;$A19)+$A$4*$A$4*RTD("tos.rtd",,"VOLUME","."&amp;U$2&amp;U$1&amp;"P"&amp;$A19)*RTD("tos.rtd",,"GAMMA","."&amp;U$2&amp;U$1&amp;"P"&amp;$A19))/1000000,($A$4*$A$4*RTD("tos.rtd",,"VOLUME","."&amp;U$2&amp;U$1&amp;"C"&amp;$A19)*RTD("tos.rtd",,"GAMMA","."&amp;U$2&amp;U$1&amp;"C"&amp;$A19)-$A$4*$A$4*RTD("tos.rtd",,"VOLUME","."&amp;U$2&amp;U$1&amp;"P"&amp;$A19)*RTD("tos.rtd",,"GAMMA","."&amp;U$2&amp;U$1&amp;"P"&amp;$A19))/1000000),0),IF($A$2="GEX",IFERROR(IF($X$1="ABS",($A$4*$A$4*RTD("tos.rtd",,"OPEN_INT","."&amp;U$2&amp;U$1&amp;"C"&amp;$A19)*RTD("tos.rtd",,"GAMMA","."&amp;U$2&amp;U$1&amp;"C"&amp;$A19)+$A$4*$A$4*RTD("tos.rtd",,"OPEN_INT","."&amp;U$2&amp;U$1&amp;"P"&amp;$A19)*RTD("tos.rtd",,"GAMMA","."&amp;U$2&amp;U$1&amp;"P"&amp;$A19))/1000000,($A$4*$A$4*RTD("tos.rtd",,"OPEN_INT","."&amp;U$2&amp;U$1&amp;"C"&amp;$A19)*RTD("tos.rtd",,"GAMMA","."&amp;U$2&amp;U$1&amp;"C"&amp;$A19)-$A$4*$A$4*RTD("tos.rtd",,"OPEN_INT","."&amp;U$2&amp;U$1&amp;"P"&amp;$A19)*RTD("tos.rtd",,"GAMMA","."&amp;U$2&amp;U$1&amp;"P"&amp;$A19))/1000000),0),IF($A$2="SKEW",IFERROR(VALUE(IF(RTD("tos.rtd",,"IMPL_VOL","."&amp;U$2&amp;U$1&amp;"P"&amp;$A19)="N/A",0,RTD("tos.rtd",,"IMPL_VOL","."&amp;U$2&amp;U$1&amp;"P"&amp;$A19))),0)-IFERROR(VALUE(IF(RTD("tos.rtd",,"IMPL_VOL","."&amp;U$2&amp;U$1&amp;"C"&amp;$A19)="N/A",0,RTD("tos.rtd",,"IMPL_VOL","."&amp;U$2&amp;U$1&amp;"C"&amp;$A19))),0),IF($A$2="MAXPAIN",IF($A$4&gt;$A19,($A$4-$A19)*IF(RTD("tos.rtd",,"OPEN_INT","."&amp;U$2&amp;U$1&amp;"C"&amp;$A19)="N/A",0,RTD("tos.rtd",,"OPEN_INT","."&amp;U$2&amp;U$1&amp;"C"&amp;$A19)),0)+IF($A$4&lt;$A19,($A$5-$A$4)*IF(RTD("tos.rtd",,"OPEN_INT","."&amp;U$2&amp;U$1&amp;"P"&amp;$A19)="N/A",0,RTD("tos.rtd",,"OPEN_INT","."&amp;U$2&amp;U$1&amp;"P"&amp;$A19)),0),IF($X$1="ABS",IF(RTD("tos.rtd",,$A$2,"."&amp;U$2&amp;U$1&amp;"C"&amp;$A19)="N/A",0,RTD("tos.rtd",,$A$2,"."&amp;U$2&amp;U$1&amp;"C"&amp;$A19))+IF(RTD("tos.rtd",,$A$2,"."&amp;U$2&amp;U$1&amp;"P"&amp;$A19)="N/A",0,RTD("tos.rtd",,$A$2,"."&amp;U$2&amp;U$1&amp;"P"&amp;$A19)),IF(RTD("tos.rtd",,$A$2,"."&amp;U$2&amp;U$1&amp;"C"&amp;$A19)="N/A",0,RTD("tos.rtd",,$A$2,"."&amp;U$2&amp;U$1&amp;"C"&amp;$A19))-IF(RTD("tos.rtd",,$A$2,"."&amp;U$2&amp;U$1&amp;"P"&amp;$A19)="N/A",0,RTD("tos.rtd",,$A$2,"."&amp;U$2&amp;U$1&amp;"P"&amp;$A19))))))))))</f>
        <v>0</v>
      </c>
      <c r="V19" s="12">
        <f ca="1">IF($A$2="PREMIUM_OI",IFERROR(IF($X$1="ABS",(100*RTD("tos.rtd",,"OPEN_INT","."&amp;V$2&amp;V$1&amp;"C"&amp;$A19)*RTD("tos.rtd",,"LAST","."&amp;V$2&amp;V$1&amp;"C"&amp;$A19)+100*RTD("tos.rtd",,"OPEN_INT","."&amp;V$2&amp;V$1&amp;"P"&amp;$A19)*RTD("tos.rtd",,"LAST","."&amp;V$2&amp;V$1&amp;"P"&amp;$A19))/1000000,(100*RTD("tos.rtd",,"OPEN_INT","."&amp;V$2&amp;V$1&amp;"C"&amp;$A19)*RTD("tos.rtd",,"LAST","."&amp;V$2&amp;V$1&amp;"C"&amp;$A19)-100*RTD("tos.rtd",,"OPEN_INT","."&amp;V$2&amp;V$1&amp;"P"&amp;$A19)*RTD("tos.rtd",,"LAST","."&amp;V$2&amp;V$1&amp;"P"&amp;$A19))/1000000),0),IF($A$2="PREMIUM",IFERROR(IF($X$1="ABS",(100*RTD("tos.rtd",,"VOLUME","."&amp;V$2&amp;V$1&amp;"C"&amp;$A19)*RTD("tos.rtd",,"LAST","."&amp;V$2&amp;V$1&amp;"C"&amp;$A19)+100*RTD("tos.rtd",,"VOLUME","."&amp;V$2&amp;V$1&amp;"P"&amp;$A19)*RTD("tos.rtd",,"LAST","."&amp;V$2&amp;V$1&amp;"P"&amp;$A19))/1000000,(100*RTD("tos.rtd",,"VOLUME","."&amp;V$2&amp;V$1&amp;"C"&amp;$A19)*RTD("tos.rtd",,"LAST","."&amp;V$2&amp;V$1&amp;"C"&amp;$A19)-100*RTD("tos.rtd",,"VOLUME","."&amp;V$2&amp;V$1&amp;"P"&amp;$A19)*RTD("tos.rtd",,"LAST","."&amp;V$2&amp;V$1&amp;"P"&amp;$A19))/1000000),0),IF($A$2="DEX",IFERROR(IF($X$1="ABS",(100*RTD("tos.rtd",,"OPEN_INT","."&amp;V$2&amp;V$1&amp;"C"&amp;$A19)*RTD("tos.rtd",,"DELTA","."&amp;V$2&amp;V$1&amp;"C"&amp;$A19)+100*RTD("tos.rtd",,"OPEN_INT","."&amp;V$2&amp;V$1&amp;"P"&amp;$A19)*RTD("tos.rtd",,"DELTA","."&amp;V$2&amp;V$1&amp;"P"&amp;$A19))/1000,(100*RTD("tos.rtd",,"OPEN_INT","."&amp;V$2&amp;V$1&amp;"C"&amp;$A19)*RTD("tos.rtd",,"DELTA","."&amp;V$2&amp;V$1&amp;"C"&amp;$A19)-100*RTD("tos.rtd",,"OPEN_INT","."&amp;V$2&amp;V$1&amp;"P"&amp;$A19)*RTD("tos.rtd",,"DELTA","."&amp;V$2&amp;V$1&amp;"P"&amp;$A19))/1000),0),IF($A$2="VEX",IFERROR(IF($X$1="ABS",($A$4*$A$4*RTD("tos.rtd",,"VOLUME","."&amp;V$2&amp;V$1&amp;"C"&amp;$A19)*RTD("tos.rtd",,"GAMMA","."&amp;V$2&amp;V$1&amp;"C"&amp;$A19)+$A$4*$A$4*RTD("tos.rtd",,"VOLUME","."&amp;V$2&amp;V$1&amp;"P"&amp;$A19)*RTD("tos.rtd",,"GAMMA","."&amp;V$2&amp;V$1&amp;"P"&amp;$A19))/1000000,($A$4*$A$4*RTD("tos.rtd",,"VOLUME","."&amp;V$2&amp;V$1&amp;"C"&amp;$A19)*RTD("tos.rtd",,"GAMMA","."&amp;V$2&amp;V$1&amp;"C"&amp;$A19)-$A$4*$A$4*RTD("tos.rtd",,"VOLUME","."&amp;V$2&amp;V$1&amp;"P"&amp;$A19)*RTD("tos.rtd",,"GAMMA","."&amp;V$2&amp;V$1&amp;"P"&amp;$A19))/1000000),0),IF($A$2="GEX",IFERROR(IF($X$1="ABS",($A$4*$A$4*RTD("tos.rtd",,"OPEN_INT","."&amp;V$2&amp;V$1&amp;"C"&amp;$A19)*RTD("tos.rtd",,"GAMMA","."&amp;V$2&amp;V$1&amp;"C"&amp;$A19)+$A$4*$A$4*RTD("tos.rtd",,"OPEN_INT","."&amp;V$2&amp;V$1&amp;"P"&amp;$A19)*RTD("tos.rtd",,"GAMMA","."&amp;V$2&amp;V$1&amp;"P"&amp;$A19))/1000000,($A$4*$A$4*RTD("tos.rtd",,"OPEN_INT","."&amp;V$2&amp;V$1&amp;"C"&amp;$A19)*RTD("tos.rtd",,"GAMMA","."&amp;V$2&amp;V$1&amp;"C"&amp;$A19)-$A$4*$A$4*RTD("tos.rtd",,"OPEN_INT","."&amp;V$2&amp;V$1&amp;"P"&amp;$A19)*RTD("tos.rtd",,"GAMMA","."&amp;V$2&amp;V$1&amp;"P"&amp;$A19))/1000000),0),IF($A$2="SKEW",IFERROR(VALUE(IF(RTD("tos.rtd",,"IMPL_VOL","."&amp;V$2&amp;V$1&amp;"P"&amp;$A19)="N/A",0,RTD("tos.rtd",,"IMPL_VOL","."&amp;V$2&amp;V$1&amp;"P"&amp;$A19))),0)-IFERROR(VALUE(IF(RTD("tos.rtd",,"IMPL_VOL","."&amp;V$2&amp;V$1&amp;"C"&amp;$A19)="N/A",0,RTD("tos.rtd",,"IMPL_VOL","."&amp;V$2&amp;V$1&amp;"C"&amp;$A19))),0),IF($A$2="MAXPAIN",IF($A$4&gt;$A19,($A$4-$A19)*IF(RTD("tos.rtd",,"OPEN_INT","."&amp;V$2&amp;V$1&amp;"C"&amp;$A19)="N/A",0,RTD("tos.rtd",,"OPEN_INT","."&amp;V$2&amp;V$1&amp;"C"&amp;$A19)),0)+IF($A$4&lt;$A19,($A$5-$A$4)*IF(RTD("tos.rtd",,"OPEN_INT","."&amp;V$2&amp;V$1&amp;"P"&amp;$A19)="N/A",0,RTD("tos.rtd",,"OPEN_INT","."&amp;V$2&amp;V$1&amp;"P"&amp;$A19)),0),IF($X$1="ABS",IF(RTD("tos.rtd",,$A$2,"."&amp;V$2&amp;V$1&amp;"C"&amp;$A19)="N/A",0,RTD("tos.rtd",,$A$2,"."&amp;V$2&amp;V$1&amp;"C"&amp;$A19))+IF(RTD("tos.rtd",,$A$2,"."&amp;V$2&amp;V$1&amp;"P"&amp;$A19)="N/A",0,RTD("tos.rtd",,$A$2,"."&amp;V$2&amp;V$1&amp;"P"&amp;$A19)),IF(RTD("tos.rtd",,$A$2,"."&amp;V$2&amp;V$1&amp;"C"&amp;$A19)="N/A",0,RTD("tos.rtd",,$A$2,"."&amp;V$2&amp;V$1&amp;"C"&amp;$A19))-IF(RTD("tos.rtd",,$A$2,"."&amp;V$2&amp;V$1&amp;"P"&amp;$A19)="N/A",0,RTD("tos.rtd",,$A$2,"."&amp;V$2&amp;V$1&amp;"P"&amp;$A19))))))))))</f>
        <v>0</v>
      </c>
      <c r="W19" s="12">
        <f ca="1">IF($A$2="PREMIUM_OI",IFERROR(IF($X$1="ABS",(100*RTD("tos.rtd",,"OPEN_INT","."&amp;W$2&amp;W$1&amp;"C"&amp;$A19)*RTD("tos.rtd",,"LAST","."&amp;W$2&amp;W$1&amp;"C"&amp;$A19)+100*RTD("tos.rtd",,"OPEN_INT","."&amp;W$2&amp;W$1&amp;"P"&amp;$A19)*RTD("tos.rtd",,"LAST","."&amp;W$2&amp;W$1&amp;"P"&amp;$A19))/1000000,(100*RTD("tos.rtd",,"OPEN_INT","."&amp;W$2&amp;W$1&amp;"C"&amp;$A19)*RTD("tos.rtd",,"LAST","."&amp;W$2&amp;W$1&amp;"C"&amp;$A19)-100*RTD("tos.rtd",,"OPEN_INT","."&amp;W$2&amp;W$1&amp;"P"&amp;$A19)*RTD("tos.rtd",,"LAST","."&amp;W$2&amp;W$1&amp;"P"&amp;$A19))/1000000),0),IF($A$2="PREMIUM",IFERROR(IF($X$1="ABS",(100*RTD("tos.rtd",,"VOLUME","."&amp;W$2&amp;W$1&amp;"C"&amp;$A19)*RTD("tos.rtd",,"LAST","."&amp;W$2&amp;W$1&amp;"C"&amp;$A19)+100*RTD("tos.rtd",,"VOLUME","."&amp;W$2&amp;W$1&amp;"P"&amp;$A19)*RTD("tos.rtd",,"LAST","."&amp;W$2&amp;W$1&amp;"P"&amp;$A19))/1000000,(100*RTD("tos.rtd",,"VOLUME","."&amp;W$2&amp;W$1&amp;"C"&amp;$A19)*RTD("tos.rtd",,"LAST","."&amp;W$2&amp;W$1&amp;"C"&amp;$A19)-100*RTD("tos.rtd",,"VOLUME","."&amp;W$2&amp;W$1&amp;"P"&amp;$A19)*RTD("tos.rtd",,"LAST","."&amp;W$2&amp;W$1&amp;"P"&amp;$A19))/1000000),0),IF($A$2="DEX",IFERROR(IF($X$1="ABS",(100*RTD("tos.rtd",,"OPEN_INT","."&amp;W$2&amp;W$1&amp;"C"&amp;$A19)*RTD("tos.rtd",,"DELTA","."&amp;W$2&amp;W$1&amp;"C"&amp;$A19)+100*RTD("tos.rtd",,"OPEN_INT","."&amp;W$2&amp;W$1&amp;"P"&amp;$A19)*RTD("tos.rtd",,"DELTA","."&amp;W$2&amp;W$1&amp;"P"&amp;$A19))/1000,(100*RTD("tos.rtd",,"OPEN_INT","."&amp;W$2&amp;W$1&amp;"C"&amp;$A19)*RTD("tos.rtd",,"DELTA","."&amp;W$2&amp;W$1&amp;"C"&amp;$A19)-100*RTD("tos.rtd",,"OPEN_INT","."&amp;W$2&amp;W$1&amp;"P"&amp;$A19)*RTD("tos.rtd",,"DELTA","."&amp;W$2&amp;W$1&amp;"P"&amp;$A19))/1000),0),IF($A$2="VEX",IFERROR(IF($X$1="ABS",($A$4*$A$4*RTD("tos.rtd",,"VOLUME","."&amp;W$2&amp;W$1&amp;"C"&amp;$A19)*RTD("tos.rtd",,"GAMMA","."&amp;W$2&amp;W$1&amp;"C"&amp;$A19)+$A$4*$A$4*RTD("tos.rtd",,"VOLUME","."&amp;W$2&amp;W$1&amp;"P"&amp;$A19)*RTD("tos.rtd",,"GAMMA","."&amp;W$2&amp;W$1&amp;"P"&amp;$A19))/1000000,($A$4*$A$4*RTD("tos.rtd",,"VOLUME","."&amp;W$2&amp;W$1&amp;"C"&amp;$A19)*RTD("tos.rtd",,"GAMMA","."&amp;W$2&amp;W$1&amp;"C"&amp;$A19)-$A$4*$A$4*RTD("tos.rtd",,"VOLUME","."&amp;W$2&amp;W$1&amp;"P"&amp;$A19)*RTD("tos.rtd",,"GAMMA","."&amp;W$2&amp;W$1&amp;"P"&amp;$A19))/1000000),0),IF($A$2="GEX",IFERROR(IF($X$1="ABS",($A$4*$A$4*RTD("tos.rtd",,"OPEN_INT","."&amp;W$2&amp;W$1&amp;"C"&amp;$A19)*RTD("tos.rtd",,"GAMMA","."&amp;W$2&amp;W$1&amp;"C"&amp;$A19)+$A$4*$A$4*RTD("tos.rtd",,"OPEN_INT","."&amp;W$2&amp;W$1&amp;"P"&amp;$A19)*RTD("tos.rtd",,"GAMMA","."&amp;W$2&amp;W$1&amp;"P"&amp;$A19))/1000000,($A$4*$A$4*RTD("tos.rtd",,"OPEN_INT","."&amp;W$2&amp;W$1&amp;"C"&amp;$A19)*RTD("tos.rtd",,"GAMMA","."&amp;W$2&amp;W$1&amp;"C"&amp;$A19)-$A$4*$A$4*RTD("tos.rtd",,"OPEN_INT","."&amp;W$2&amp;W$1&amp;"P"&amp;$A19)*RTD("tos.rtd",,"GAMMA","."&amp;W$2&amp;W$1&amp;"P"&amp;$A19))/1000000),0),IF($A$2="SKEW",IFERROR(VALUE(IF(RTD("tos.rtd",,"IMPL_VOL","."&amp;W$2&amp;W$1&amp;"P"&amp;$A19)="N/A",0,RTD("tos.rtd",,"IMPL_VOL","."&amp;W$2&amp;W$1&amp;"P"&amp;$A19))),0)-IFERROR(VALUE(IF(RTD("tos.rtd",,"IMPL_VOL","."&amp;W$2&amp;W$1&amp;"C"&amp;$A19)="N/A",0,RTD("tos.rtd",,"IMPL_VOL","."&amp;W$2&amp;W$1&amp;"C"&amp;$A19))),0),IF($A$2="MAXPAIN",IF($A$4&gt;$A19,($A$4-$A19)*IF(RTD("tos.rtd",,"OPEN_INT","."&amp;W$2&amp;W$1&amp;"C"&amp;$A19)="N/A",0,RTD("tos.rtd",,"OPEN_INT","."&amp;W$2&amp;W$1&amp;"C"&amp;$A19)),0)+IF($A$4&lt;$A19,($A$5-$A$4)*IF(RTD("tos.rtd",,"OPEN_INT","."&amp;W$2&amp;W$1&amp;"P"&amp;$A19)="N/A",0,RTD("tos.rtd",,"OPEN_INT","."&amp;W$2&amp;W$1&amp;"P"&amp;$A19)),0),IF($X$1="ABS",IF(RTD("tos.rtd",,$A$2,"."&amp;W$2&amp;W$1&amp;"C"&amp;$A19)="N/A",0,RTD("tos.rtd",,$A$2,"."&amp;W$2&amp;W$1&amp;"C"&amp;$A19))+IF(RTD("tos.rtd",,$A$2,"."&amp;W$2&amp;W$1&amp;"P"&amp;$A19)="N/A",0,RTD("tos.rtd",,$A$2,"."&amp;W$2&amp;W$1&amp;"P"&amp;$A19)),IF(RTD("tos.rtd",,$A$2,"."&amp;W$2&amp;W$1&amp;"C"&amp;$A19)="N/A",0,RTD("tos.rtd",,$A$2,"."&amp;W$2&amp;W$1&amp;"C"&amp;$A19))-IF(RTD("tos.rtd",,$A$2,"."&amp;W$2&amp;W$1&amp;"P"&amp;$A19)="N/A",0,RTD("tos.rtd",,$A$2,"."&amp;W$2&amp;W$1&amp;"P"&amp;$A19))))))))))</f>
        <v>0</v>
      </c>
      <c r="X19" s="57">
        <f t="shared" ca="1" si="7"/>
        <v>0</v>
      </c>
      <c r="Y19" s="27">
        <f t="shared" ca="1" si="8"/>
        <v>0</v>
      </c>
      <c r="Z19" s="27" t="b">
        <f t="shared" ca="1" si="9"/>
        <v>0</v>
      </c>
      <c r="AA19" s="27">
        <f t="shared" si="10"/>
        <v>119174700</v>
      </c>
      <c r="AB19" s="18">
        <f>MAX(0, $A19-AB$4)*IF(RTD("tos.rtd",,"OPEN_INT","."&amp;$AA$3&amp;$AA$4&amp;"C"&amp;AB$4)="N/A",0,RTD("tos.rtd",,"OPEN_INT","."&amp;$AA$3&amp;$AA$4&amp;"C"&amp;AB$4))*100 + MAX(0, AB$4-$A19)*IF(RTD("tos.rtd",,"OPEN_INT","."&amp;$AA$3&amp;$AA$4&amp;"P"&amp;AB$4)="N/A",0,RTD("tos.rtd",,"OPEN_INT","."&amp;$AA$3&amp;$AA$4&amp;"P"&amp;AB$4))*100</f>
        <v>0</v>
      </c>
      <c r="AC19" s="18">
        <f>MAX(0, $A19-AC$4)*IF(RTD("tos.rtd",,"OPEN_INT","."&amp;$AA$3&amp;$AA$4&amp;"C"&amp;AC$4)="N/A",0,RTD("tos.rtd",,"OPEN_INT","."&amp;$AA$3&amp;$AA$4&amp;"C"&amp;AC$4))*100 + MAX(0, AC$4-$A19)*IF(RTD("tos.rtd",,"OPEN_INT","."&amp;$AA$3&amp;$AA$4&amp;"P"&amp;AC$4)="N/A",0,RTD("tos.rtd",,"OPEN_INT","."&amp;$AA$3&amp;$AA$4&amp;"P"&amp;AC$4))*100</f>
        <v>0</v>
      </c>
      <c r="AD19" s="18">
        <f>MAX(0, $A19-AD$4)*IF(RTD("tos.rtd",,"OPEN_INT","."&amp;$AA$3&amp;$AA$4&amp;"C"&amp;AD$4)="N/A",0,RTD("tos.rtd",,"OPEN_INT","."&amp;$AA$3&amp;$AA$4&amp;"C"&amp;AD$4))*100 + MAX(0, AD$4-$A19)*IF(RTD("tos.rtd",,"OPEN_INT","."&amp;$AA$3&amp;$AA$4&amp;"P"&amp;AD$4)="N/A",0,RTD("tos.rtd",,"OPEN_INT","."&amp;$AA$3&amp;$AA$4&amp;"P"&amp;AD$4))*100</f>
        <v>0</v>
      </c>
      <c r="AE19" s="18">
        <f>MAX(0, $A19-AE$4)*IF(RTD("tos.rtd",,"OPEN_INT","."&amp;$AA$3&amp;$AA$4&amp;"C"&amp;AE$4)="N/A",0,RTD("tos.rtd",,"OPEN_INT","."&amp;$AA$3&amp;$AA$4&amp;"C"&amp;AE$4))*100 + MAX(0, AE$4-$A19)*IF(RTD("tos.rtd",,"OPEN_INT","."&amp;$AA$3&amp;$AA$4&amp;"P"&amp;AE$4)="N/A",0,RTD("tos.rtd",,"OPEN_INT","."&amp;$AA$3&amp;$AA$4&amp;"P"&amp;AE$4))*100</f>
        <v>0</v>
      </c>
      <c r="AF19" s="18">
        <f>MAX(0, $A19-AF$4)*IF(RTD("tos.rtd",,"OPEN_INT","."&amp;$AA$3&amp;$AA$4&amp;"C"&amp;AF$4)="N/A",0,RTD("tos.rtd",,"OPEN_INT","."&amp;$AA$3&amp;$AA$4&amp;"C"&amp;AF$4))*100 + MAX(0, AF$4-$A19)*IF(RTD("tos.rtd",,"OPEN_INT","."&amp;$AA$3&amp;$AA$4&amp;"P"&amp;AF$4)="N/A",0,RTD("tos.rtd",,"OPEN_INT","."&amp;$AA$3&amp;$AA$4&amp;"P"&amp;AF$4))*100</f>
        <v>0</v>
      </c>
      <c r="AG19" s="18">
        <f>MAX(0, $A19-AG$4)*IF(RTD("tos.rtd",,"OPEN_INT","."&amp;$AA$3&amp;$AA$4&amp;"C"&amp;AG$4)="N/A",0,RTD("tos.rtd",,"OPEN_INT","."&amp;$AA$3&amp;$AA$4&amp;"C"&amp;AG$4))*100 + MAX(0, AG$4-$A19)*IF(RTD("tos.rtd",,"OPEN_INT","."&amp;$AA$3&amp;$AA$4&amp;"P"&amp;AG$4)="N/A",0,RTD("tos.rtd",,"OPEN_INT","."&amp;$AA$3&amp;$AA$4&amp;"P"&amp;AG$4))*100</f>
        <v>0</v>
      </c>
      <c r="AH19" s="18">
        <f>MAX(0, $A19-AH$4)*IF(RTD("tos.rtd",,"OPEN_INT","."&amp;$AA$3&amp;$AA$4&amp;"C"&amp;AH$4)="N/A",0,RTD("tos.rtd",,"OPEN_INT","."&amp;$AA$3&amp;$AA$4&amp;"C"&amp;AH$4))*100 + MAX(0, AH$4-$A19)*IF(RTD("tos.rtd",,"OPEN_INT","."&amp;$AA$3&amp;$AA$4&amp;"P"&amp;AH$4)="N/A",0,RTD("tos.rtd",,"OPEN_INT","."&amp;$AA$3&amp;$AA$4&amp;"P"&amp;AH$4))*100</f>
        <v>0</v>
      </c>
      <c r="AI19" s="18">
        <f>MAX(0, $A19-AI$4)*IF(RTD("tos.rtd",,"OPEN_INT","."&amp;$AA$3&amp;$AA$4&amp;"C"&amp;AI$4)="N/A",0,RTD("tos.rtd",,"OPEN_INT","."&amp;$AA$3&amp;$AA$4&amp;"C"&amp;AI$4))*100 + MAX(0, AI$4-$A19)*IF(RTD("tos.rtd",,"OPEN_INT","."&amp;$AA$3&amp;$AA$4&amp;"P"&amp;AI$4)="N/A",0,RTD("tos.rtd",,"OPEN_INT","."&amp;$AA$3&amp;$AA$4&amp;"P"&amp;AI$4))*100</f>
        <v>1050</v>
      </c>
      <c r="AJ19" s="18">
        <f>MAX(0, $A19-AJ$4)*IF(RTD("tos.rtd",,"OPEN_INT","."&amp;$AA$3&amp;$AA$4&amp;"C"&amp;AJ$4)="N/A",0,RTD("tos.rtd",,"OPEN_INT","."&amp;$AA$3&amp;$AA$4&amp;"C"&amp;AJ$4))*100 + MAX(0, AJ$4-$A19)*IF(RTD("tos.rtd",,"OPEN_INT","."&amp;$AA$3&amp;$AA$4&amp;"P"&amp;AJ$4)="N/A",0,RTD("tos.rtd",,"OPEN_INT","."&amp;$AA$3&amp;$AA$4&amp;"P"&amp;AJ$4))*100</f>
        <v>2400</v>
      </c>
      <c r="AK19" s="18">
        <f>MAX(0, $A19-AK$4)*IF(RTD("tos.rtd",,"OPEN_INT","."&amp;$AA$3&amp;$AA$4&amp;"C"&amp;AK$4)="N/A",0,RTD("tos.rtd",,"OPEN_INT","."&amp;$AA$3&amp;$AA$4&amp;"C"&amp;AK$4))*100 + MAX(0, AK$4-$A19)*IF(RTD("tos.rtd",,"OPEN_INT","."&amp;$AA$3&amp;$AA$4&amp;"P"&amp;AK$4)="N/A",0,RTD("tos.rtd",,"OPEN_INT","."&amp;$AA$3&amp;$AA$4&amp;"P"&amp;AK$4))*100</f>
        <v>0</v>
      </c>
      <c r="AL19" s="18">
        <f>MAX(0, $A19-AL$4)*IF(RTD("tos.rtd",,"OPEN_INT","."&amp;$AA$3&amp;$AA$4&amp;"C"&amp;AL$4)="N/A",0,RTD("tos.rtd",,"OPEN_INT","."&amp;$AA$3&amp;$AA$4&amp;"C"&amp;AL$4))*100 + MAX(0, AL$4-$A19)*IF(RTD("tos.rtd",,"OPEN_INT","."&amp;$AA$3&amp;$AA$4&amp;"P"&amp;AL$4)="N/A",0,RTD("tos.rtd",,"OPEN_INT","."&amp;$AA$3&amp;$AA$4&amp;"P"&amp;AL$4))*100</f>
        <v>0</v>
      </c>
      <c r="AM19" s="18">
        <f>MAX(0, $A19-AM$4)*IF(RTD("tos.rtd",,"OPEN_INT","."&amp;$AA$3&amp;$AA$4&amp;"C"&amp;AM$4)="N/A",0,RTD("tos.rtd",,"OPEN_INT","."&amp;$AA$3&amp;$AA$4&amp;"C"&amp;AM$4))*100 + MAX(0, AM$4-$A19)*IF(RTD("tos.rtd",,"OPEN_INT","."&amp;$AA$3&amp;$AA$4&amp;"P"&amp;AM$4)="N/A",0,RTD("tos.rtd",,"OPEN_INT","."&amp;$AA$3&amp;$AA$4&amp;"P"&amp;AM$4))*100</f>
        <v>0</v>
      </c>
      <c r="AN19" s="18">
        <f>MAX(0, $A19-AN$4)*IF(RTD("tos.rtd",,"OPEN_INT","."&amp;$AA$3&amp;$AA$4&amp;"C"&amp;AN$4)="N/A",0,RTD("tos.rtd",,"OPEN_INT","."&amp;$AA$3&amp;$AA$4&amp;"C"&amp;AN$4))*100 + MAX(0, AN$4-$A19)*IF(RTD("tos.rtd",,"OPEN_INT","."&amp;$AA$3&amp;$AA$4&amp;"P"&amp;AN$4)="N/A",0,RTD("tos.rtd",,"OPEN_INT","."&amp;$AA$3&amp;$AA$4&amp;"P"&amp;AN$4))*100</f>
        <v>0</v>
      </c>
      <c r="AO19" s="18">
        <f>MAX(0, $A19-AO$4)*IF(RTD("tos.rtd",,"OPEN_INT","."&amp;$AA$3&amp;$AA$4&amp;"C"&amp;AO$4)="N/A",0,RTD("tos.rtd",,"OPEN_INT","."&amp;$AA$3&amp;$AA$4&amp;"C"&amp;AO$4))*100 + MAX(0, AO$4-$A19)*IF(RTD("tos.rtd",,"OPEN_INT","."&amp;$AA$3&amp;$AA$4&amp;"P"&amp;AO$4)="N/A",0,RTD("tos.rtd",,"OPEN_INT","."&amp;$AA$3&amp;$AA$4&amp;"P"&amp;AO$4))*100</f>
        <v>6000</v>
      </c>
      <c r="AP19" s="18">
        <f>MAX(0, $A19-AP$4)*IF(RTD("tos.rtd",,"OPEN_INT","."&amp;$AA$3&amp;$AA$4&amp;"C"&amp;AP$4)="N/A",0,RTD("tos.rtd",,"OPEN_INT","."&amp;$AA$3&amp;$AA$4&amp;"C"&amp;AP$4))*100 + MAX(0, AP$4-$A19)*IF(RTD("tos.rtd",,"OPEN_INT","."&amp;$AA$3&amp;$AA$4&amp;"P"&amp;AP$4)="N/A",0,RTD("tos.rtd",,"OPEN_INT","."&amp;$AA$3&amp;$AA$4&amp;"P"&amp;AP$4))*100</f>
        <v>0</v>
      </c>
      <c r="AQ19" s="18">
        <f>MAX(0, $A19-AQ$4)*IF(RTD("tos.rtd",,"OPEN_INT","."&amp;$AA$3&amp;$AA$4&amp;"C"&amp;AQ$4)="N/A",0,RTD("tos.rtd",,"OPEN_INT","."&amp;$AA$3&amp;$AA$4&amp;"C"&amp;AQ$4))*100 + MAX(0, AQ$4-$A19)*IF(RTD("tos.rtd",,"OPEN_INT","."&amp;$AA$3&amp;$AA$4&amp;"P"&amp;AQ$4)="N/A",0,RTD("tos.rtd",,"OPEN_INT","."&amp;$AA$3&amp;$AA$4&amp;"P"&amp;AQ$4))*100</f>
        <v>32000</v>
      </c>
      <c r="AR19" s="18">
        <f>MAX(0, $A19-AR$4)*IF(RTD("tos.rtd",,"OPEN_INT","."&amp;$AA$3&amp;$AA$4&amp;"C"&amp;AR$4)="N/A",0,RTD("tos.rtd",,"OPEN_INT","."&amp;$AA$3&amp;$AA$4&amp;"C"&amp;AR$4))*100 + MAX(0, AR$4-$A19)*IF(RTD("tos.rtd",,"OPEN_INT","."&amp;$AA$3&amp;$AA$4&amp;"P"&amp;AR$4)="N/A",0,RTD("tos.rtd",,"OPEN_INT","."&amp;$AA$3&amp;$AA$4&amp;"P"&amp;AR$4))*100</f>
        <v>100</v>
      </c>
      <c r="AS19" s="18">
        <f>MAX(0, $A19-AS$4)*IF(RTD("tos.rtd",,"OPEN_INT","."&amp;$AA$3&amp;$AA$4&amp;"C"&amp;AS$4)="N/A",0,RTD("tos.rtd",,"OPEN_INT","."&amp;$AA$3&amp;$AA$4&amp;"C"&amp;AS$4))*100 + MAX(0, AS$4-$A19)*IF(RTD("tos.rtd",,"OPEN_INT","."&amp;$AA$3&amp;$AA$4&amp;"P"&amp;AS$4)="N/A",0,RTD("tos.rtd",,"OPEN_INT","."&amp;$AA$3&amp;$AA$4&amp;"P"&amp;AS$4))*100</f>
        <v>129300</v>
      </c>
      <c r="AT19" s="18">
        <f>MAX(0, $A19-AT$4)*IF(RTD("tos.rtd",,"OPEN_INT","."&amp;$AA$3&amp;$AA$4&amp;"C"&amp;AT$4)="N/A",0,RTD("tos.rtd",,"OPEN_INT","."&amp;$AA$3&amp;$AA$4&amp;"C"&amp;AT$4))*100 + MAX(0, AT$4-$A19)*IF(RTD("tos.rtd",,"OPEN_INT","."&amp;$AA$3&amp;$AA$4&amp;"P"&amp;AT$4)="N/A",0,RTD("tos.rtd",,"OPEN_INT","."&amp;$AA$3&amp;$AA$4&amp;"P"&amp;AT$4))*100</f>
        <v>280400</v>
      </c>
      <c r="AU19" s="18">
        <f>MAX(0, $A19-AU$4)*IF(RTD("tos.rtd",,"OPEN_INT","."&amp;$AA$3&amp;$AA$4&amp;"C"&amp;AU$4)="N/A",0,RTD("tos.rtd",,"OPEN_INT","."&amp;$AA$3&amp;$AA$4&amp;"C"&amp;AU$4))*100 + MAX(0, AU$4-$A19)*IF(RTD("tos.rtd",,"OPEN_INT","."&amp;$AA$3&amp;$AA$4&amp;"P"&amp;AU$4)="N/A",0,RTD("tos.rtd",,"OPEN_INT","."&amp;$AA$3&amp;$AA$4&amp;"P"&amp;AU$4))*100</f>
        <v>420750</v>
      </c>
      <c r="AV19" s="18">
        <f>MAX(0, $A19-AV$4)*IF(RTD("tos.rtd",,"OPEN_INT","."&amp;$AA$3&amp;$AA$4&amp;"C"&amp;AV$4)="N/A",0,RTD("tos.rtd",,"OPEN_INT","."&amp;$AA$3&amp;$AA$4&amp;"C"&amp;AV$4))*100 + MAX(0, AV$4-$A19)*IF(RTD("tos.rtd",,"OPEN_INT","."&amp;$AA$3&amp;$AA$4&amp;"P"&amp;AV$4)="N/A",0,RTD("tos.rtd",,"OPEN_INT","."&amp;$AA$3&amp;$AA$4&amp;"P"&amp;AV$4))*100</f>
        <v>566400</v>
      </c>
      <c r="AW19" s="18">
        <f>MAX(0, $A19-AW$4)*IF(RTD("tos.rtd",,"OPEN_INT","."&amp;$AA$3&amp;$AA$4&amp;"C"&amp;AW$4)="N/A",0,RTD("tos.rtd",,"OPEN_INT","."&amp;$AA$3&amp;$AA$4&amp;"C"&amp;AW$4))*100 + MAX(0, AW$4-$A19)*IF(RTD("tos.rtd",,"OPEN_INT","."&amp;$AA$3&amp;$AA$4&amp;"P"&amp;AW$4)="N/A",0,RTD("tos.rtd",,"OPEN_INT","."&amp;$AA$3&amp;$AA$4&amp;"P"&amp;AW$4))*100</f>
        <v>1076250</v>
      </c>
      <c r="AX19" s="18">
        <f>MAX(0, $A19-AX$4)*IF(RTD("tos.rtd",,"OPEN_INT","."&amp;$AA$3&amp;$AA$4&amp;"C"&amp;AX$4)="N/A",0,RTD("tos.rtd",,"OPEN_INT","."&amp;$AA$3&amp;$AA$4&amp;"C"&amp;AX$4))*100 + MAX(0, AX$4-$A19)*IF(RTD("tos.rtd",,"OPEN_INT","."&amp;$AA$3&amp;$AA$4&amp;"P"&amp;AX$4)="N/A",0,RTD("tos.rtd",,"OPEN_INT","."&amp;$AA$3&amp;$AA$4&amp;"P"&amp;AX$4))*100</f>
        <v>1701200</v>
      </c>
      <c r="AY19" s="18">
        <f>MAX(0, $A19-AY$4)*IF(RTD("tos.rtd",,"OPEN_INT","."&amp;$AA$3&amp;$AA$4&amp;"C"&amp;AY$4)="N/A",0,RTD("tos.rtd",,"OPEN_INT","."&amp;$AA$3&amp;$AA$4&amp;"C"&amp;AY$4))*100 + MAX(0, AY$4-$A19)*IF(RTD("tos.rtd",,"OPEN_INT","."&amp;$AA$3&amp;$AA$4&amp;"P"&amp;AY$4)="N/A",0,RTD("tos.rtd",,"OPEN_INT","."&amp;$AA$3&amp;$AA$4&amp;"P"&amp;AY$4))*100</f>
        <v>8796600</v>
      </c>
      <c r="AZ19" s="18">
        <f>MAX(0, $A19-AZ$4)*IF(RTD("tos.rtd",,"OPEN_INT","."&amp;$AA$3&amp;$AA$4&amp;"C"&amp;AZ$4)="N/A",0,RTD("tos.rtd",,"OPEN_INT","."&amp;$AA$3&amp;$AA$4&amp;"C"&amp;AZ$4))*100 + MAX(0, AZ$4-$A19)*IF(RTD("tos.rtd",,"OPEN_INT","."&amp;$AA$3&amp;$AA$4&amp;"P"&amp;AZ$4)="N/A",0,RTD("tos.rtd",,"OPEN_INT","."&amp;$AA$3&amp;$AA$4&amp;"P"&amp;AZ$4))*100</f>
        <v>4925000</v>
      </c>
      <c r="BA19" s="18">
        <f>MAX(0, $A19-BA$4)*IF(RTD("tos.rtd",,"OPEN_INT","."&amp;$AA$3&amp;$AA$4&amp;"C"&amp;BA$4)="N/A",0,RTD("tos.rtd",,"OPEN_INT","."&amp;$AA$3&amp;$AA$4&amp;"C"&amp;BA$4))*100 + MAX(0, BA$4-$A19)*IF(RTD("tos.rtd",,"OPEN_INT","."&amp;$AA$3&amp;$AA$4&amp;"P"&amp;BA$4)="N/A",0,RTD("tos.rtd",,"OPEN_INT","."&amp;$AA$3&amp;$AA$4&amp;"P"&amp;BA$4))*100</f>
        <v>16943850</v>
      </c>
      <c r="BB19" s="18">
        <f>MAX(0, $A19-BB$4)*IF(RTD("tos.rtd",,"OPEN_INT","."&amp;$AA$3&amp;$AA$4&amp;"C"&amp;BB$4)="N/A",0,RTD("tos.rtd",,"OPEN_INT","."&amp;$AA$3&amp;$AA$4&amp;"C"&amp;BB$4))*100 + MAX(0, BB$4-$A19)*IF(RTD("tos.rtd",,"OPEN_INT","."&amp;$AA$3&amp;$AA$4&amp;"P"&amp;BB$4)="N/A",0,RTD("tos.rtd",,"OPEN_INT","."&amp;$AA$3&amp;$AA$4&amp;"P"&amp;BB$4))*100</f>
        <v>17194800</v>
      </c>
      <c r="BC19" s="18">
        <f>MAX(0, $A19-BC$4)*IF(RTD("tos.rtd",,"OPEN_INT","."&amp;$AA$3&amp;$AA$4&amp;"C"&amp;BC$4)="N/A",0,RTD("tos.rtd",,"OPEN_INT","."&amp;$AA$3&amp;$AA$4&amp;"C"&amp;BC$4))*100 + MAX(0, BC$4-$A19)*IF(RTD("tos.rtd",,"OPEN_INT","."&amp;$AA$3&amp;$AA$4&amp;"P"&amp;BC$4)="N/A",0,RTD("tos.rtd",,"OPEN_INT","."&amp;$AA$3&amp;$AA$4&amp;"P"&amp;BC$4))*100</f>
        <v>26463450</v>
      </c>
      <c r="BD19" s="18">
        <f>MAX(0, $A19-BD$4)*IF(RTD("tos.rtd",,"OPEN_INT","."&amp;$AA$3&amp;$AA$4&amp;"C"&amp;BD$4)="N/A",0,RTD("tos.rtd",,"OPEN_INT","."&amp;$AA$3&amp;$AA$4&amp;"C"&amp;BD$4))*100 + MAX(0, BD$4-$A19)*IF(RTD("tos.rtd",,"OPEN_INT","."&amp;$AA$3&amp;$AA$4&amp;"P"&amp;BD$4)="N/A",0,RTD("tos.rtd",,"OPEN_INT","."&amp;$AA$3&amp;$AA$4&amp;"P"&amp;BD$4))*100</f>
        <v>12992000</v>
      </c>
      <c r="BE19" s="18">
        <f>MAX(0, $A19-BE$4)*IF(RTD("tos.rtd",,"OPEN_INT","."&amp;$AA$3&amp;$AA$4&amp;"C"&amp;BE$4)="N/A",0,RTD("tos.rtd",,"OPEN_INT","."&amp;$AA$3&amp;$AA$4&amp;"C"&amp;BE$4))*100 + MAX(0, BE$4-$A19)*IF(RTD("tos.rtd",,"OPEN_INT","."&amp;$AA$3&amp;$AA$4&amp;"P"&amp;BE$4)="N/A",0,RTD("tos.rtd",,"OPEN_INT","."&amp;$AA$3&amp;$AA$4&amp;"P"&amp;BE$4))*100</f>
        <v>12958500</v>
      </c>
      <c r="BF19" s="18">
        <f>MAX(0, $A19-BF$4)*IF(RTD("tos.rtd",,"OPEN_INT","."&amp;$AA$3&amp;$AA$4&amp;"C"&amp;BF$4)="N/A",0,RTD("tos.rtd",,"OPEN_INT","."&amp;$AA$3&amp;$AA$4&amp;"C"&amp;BF$4))*100 + MAX(0, BF$4-$A19)*IF(RTD("tos.rtd",,"OPEN_INT","."&amp;$AA$3&amp;$AA$4&amp;"P"&amp;BF$4)="N/A",0,RTD("tos.rtd",,"OPEN_INT","."&amp;$AA$3&amp;$AA$4&amp;"P"&amp;BF$4))*100</f>
        <v>6725600</v>
      </c>
      <c r="BG19" s="18">
        <f>MAX(0, $A19-BG$4)*IF(RTD("tos.rtd",,"OPEN_INT","."&amp;$AA$3&amp;$AA$4&amp;"C"&amp;BG$4)="N/A",0,RTD("tos.rtd",,"OPEN_INT","."&amp;$AA$3&amp;$AA$4&amp;"C"&amp;BG$4))*100 + MAX(0, BG$4-$A19)*IF(RTD("tos.rtd",,"OPEN_INT","."&amp;$AA$3&amp;$AA$4&amp;"P"&amp;BG$4)="N/A",0,RTD("tos.rtd",,"OPEN_INT","."&amp;$AA$3&amp;$AA$4&amp;"P"&amp;BG$4))*100</f>
        <v>4873900</v>
      </c>
      <c r="BH19" s="18">
        <f>MAX(0, $A19-BH$4)*IF(RTD("tos.rtd",,"OPEN_INT","."&amp;$AA$3&amp;$AA$4&amp;"C"&amp;BH$4)="N/A",0,RTD("tos.rtd",,"OPEN_INT","."&amp;$AA$3&amp;$AA$4&amp;"C"&amp;BH$4))*100 + MAX(0, BH$4-$A19)*IF(RTD("tos.rtd",,"OPEN_INT","."&amp;$AA$3&amp;$AA$4&amp;"P"&amp;BH$4)="N/A",0,RTD("tos.rtd",,"OPEN_INT","."&amp;$AA$3&amp;$AA$4&amp;"P"&amp;BH$4))*100</f>
        <v>1748700</v>
      </c>
      <c r="BI19" s="18">
        <f>MAX(0, $A19-BI$4)*IF(RTD("tos.rtd",,"OPEN_INT","."&amp;$AA$3&amp;$AA$4&amp;"C"&amp;BI$4)="N/A",0,RTD("tos.rtd",,"OPEN_INT","."&amp;$AA$3&amp;$AA$4&amp;"C"&amp;BI$4))*100 + MAX(0, BI$4-$A19)*IF(RTD("tos.rtd",,"OPEN_INT","."&amp;$AA$3&amp;$AA$4&amp;"P"&amp;BI$4)="N/A",0,RTD("tos.rtd",,"OPEN_INT","."&amp;$AA$3&amp;$AA$4&amp;"P"&amp;BI$4))*100</f>
        <v>799900</v>
      </c>
      <c r="BJ19" s="18">
        <f>MAX(0, $A19-BJ$4)*IF(RTD("tos.rtd",,"OPEN_INT","."&amp;$AA$3&amp;$AA$4&amp;"C"&amp;BJ$4)="N/A",0,RTD("tos.rtd",,"OPEN_INT","."&amp;$AA$3&amp;$AA$4&amp;"C"&amp;BJ$4))*100 + MAX(0, BJ$4-$A19)*IF(RTD("tos.rtd",,"OPEN_INT","."&amp;$AA$3&amp;$AA$4&amp;"P"&amp;BJ$4)="N/A",0,RTD("tos.rtd",,"OPEN_INT","."&amp;$AA$3&amp;$AA$4&amp;"P"&amp;BJ$4))*100</f>
        <v>151000</v>
      </c>
      <c r="BK19" s="18">
        <f>MAX(0, $A19-BK$4)*IF(RTD("tos.rtd",,"OPEN_INT","."&amp;$AA$3&amp;$AA$4&amp;"C"&amp;BK$4)="N/A",0,RTD("tos.rtd",,"OPEN_INT","."&amp;$AA$3&amp;$AA$4&amp;"C"&amp;BK$4))*100 + MAX(0, BK$4-$A19)*IF(RTD("tos.rtd",,"OPEN_INT","."&amp;$AA$3&amp;$AA$4&amp;"P"&amp;BK$4)="N/A",0,RTD("tos.rtd",,"OPEN_INT","."&amp;$AA$3&amp;$AA$4&amp;"P"&amp;BK$4))*100</f>
        <v>274050</v>
      </c>
      <c r="BL19" s="18">
        <f>MAX(0, $A19-BL$4)*IF(RTD("tos.rtd",,"OPEN_INT","."&amp;$AA$3&amp;$AA$4&amp;"C"&amp;BL$4)="N/A",0,RTD("tos.rtd",,"OPEN_INT","."&amp;$AA$3&amp;$AA$4&amp;"C"&amp;BL$4))*100 + MAX(0, BL$4-$A19)*IF(RTD("tos.rtd",,"OPEN_INT","."&amp;$AA$3&amp;$AA$4&amp;"P"&amp;BL$4)="N/A",0,RTD("tos.rtd",,"OPEN_INT","."&amp;$AA$3&amp;$AA$4&amp;"P"&amp;BL$4))*100</f>
        <v>17600</v>
      </c>
      <c r="BM19" s="18">
        <f>MAX(0, $A19-BM$4)*IF(RTD("tos.rtd",,"OPEN_INT","."&amp;$AA$3&amp;$AA$4&amp;"C"&amp;BM$4)="N/A",0,RTD("tos.rtd",,"OPEN_INT","."&amp;$AA$3&amp;$AA$4&amp;"C"&amp;BM$4))*100 + MAX(0, BM$4-$A19)*IF(RTD("tos.rtd",,"OPEN_INT","."&amp;$AA$3&amp;$AA$4&amp;"P"&amp;BM$4)="N/A",0,RTD("tos.rtd",,"OPEN_INT","."&amp;$AA$3&amp;$AA$4&amp;"P"&amp;BM$4))*100</f>
        <v>9200</v>
      </c>
      <c r="BN19" s="18">
        <f>MAX(0, $A19-BN$4)*IF(RTD("tos.rtd",,"OPEN_INT","."&amp;$AA$3&amp;$AA$4&amp;"C"&amp;BN$4)="N/A",0,RTD("tos.rtd",,"OPEN_INT","."&amp;$AA$3&amp;$AA$4&amp;"C"&amp;BN$4))*100 + MAX(0, BN$4-$A19)*IF(RTD("tos.rtd",,"OPEN_INT","."&amp;$AA$3&amp;$AA$4&amp;"P"&amp;BN$4)="N/A",0,RTD("tos.rtd",,"OPEN_INT","."&amp;$AA$3&amp;$AA$4&amp;"P"&amp;BN$4))*100</f>
        <v>37200</v>
      </c>
      <c r="BO19" s="18">
        <f>MAX(0, $A19-BO$4)*IF(RTD("tos.rtd",,"OPEN_INT","."&amp;$AA$3&amp;$AA$4&amp;"C"&amp;BO$4)="N/A",0,RTD("tos.rtd",,"OPEN_INT","."&amp;$AA$3&amp;$AA$4&amp;"C"&amp;BO$4))*100 + MAX(0, BO$4-$A19)*IF(RTD("tos.rtd",,"OPEN_INT","."&amp;$AA$3&amp;$AA$4&amp;"P"&amp;BO$4)="N/A",0,RTD("tos.rtd",,"OPEN_INT","."&amp;$AA$3&amp;$AA$4&amp;"P"&amp;BO$4))*100</f>
        <v>47500</v>
      </c>
      <c r="BP19" s="18">
        <f>MAX(0, $A19-BP$4)*IF(RTD("tos.rtd",,"OPEN_INT","."&amp;$AA$3&amp;$AA$4&amp;"C"&amp;BP$4)="N/A",0,RTD("tos.rtd",,"OPEN_INT","."&amp;$AA$3&amp;$AA$4&amp;"C"&amp;BP$4))*100 + MAX(0, BP$4-$A19)*IF(RTD("tos.rtd",,"OPEN_INT","."&amp;$AA$3&amp;$AA$4&amp;"P"&amp;BP$4)="N/A",0,RTD("tos.rtd",,"OPEN_INT","."&amp;$AA$3&amp;$AA$4&amp;"P"&amp;BP$4))*100</f>
        <v>0</v>
      </c>
      <c r="BQ19" s="18">
        <f>MAX(0, $A19-BQ$4)*IF(RTD("tos.rtd",,"OPEN_INT","."&amp;$AA$3&amp;$AA$4&amp;"C"&amp;BQ$4)="N/A",0,RTD("tos.rtd",,"OPEN_INT","."&amp;$AA$3&amp;$AA$4&amp;"C"&amp;BQ$4))*100 + MAX(0, BQ$4-$A19)*IF(RTD("tos.rtd",,"OPEN_INT","."&amp;$AA$3&amp;$AA$4&amp;"P"&amp;BQ$4)="N/A",0,RTD("tos.rtd",,"OPEN_INT","."&amp;$AA$3&amp;$AA$4&amp;"P"&amp;BQ$4))*100</f>
        <v>0</v>
      </c>
      <c r="BR19" s="18">
        <f>MAX(0, $A19-BR$4)*IF(RTD("tos.rtd",,"OPEN_INT","."&amp;$AA$3&amp;$AA$4&amp;"C"&amp;BR$4)="N/A",0,RTD("tos.rtd",,"OPEN_INT","."&amp;$AA$3&amp;$AA$4&amp;"C"&amp;BR$4))*100 + MAX(0, BR$4-$A19)*IF(RTD("tos.rtd",,"OPEN_INT","."&amp;$AA$3&amp;$AA$4&amp;"P"&amp;BR$4)="N/A",0,RTD("tos.rtd",,"OPEN_INT","."&amp;$AA$3&amp;$AA$4&amp;"P"&amp;BR$4))*100</f>
        <v>0</v>
      </c>
      <c r="BS19" s="18">
        <f>MAX(0, $A19-BS$4)*IF(RTD("tos.rtd",,"OPEN_INT","."&amp;$AA$3&amp;$AA$4&amp;"C"&amp;BS$4)="N/A",0,RTD("tos.rtd",,"OPEN_INT","."&amp;$AA$3&amp;$AA$4&amp;"C"&amp;BS$4))*100 + MAX(0, BS$4-$A19)*IF(RTD("tos.rtd",,"OPEN_INT","."&amp;$AA$3&amp;$AA$4&amp;"P"&amp;BS$4)="N/A",0,RTD("tos.rtd",,"OPEN_INT","."&amp;$AA$3&amp;$AA$4&amp;"P"&amp;BS$4))*100</f>
        <v>0</v>
      </c>
      <c r="BT19" s="18">
        <f>MAX(0, $A19-BT$4)*IF(RTD("tos.rtd",,"OPEN_INT","."&amp;$AA$3&amp;$AA$4&amp;"C"&amp;BT$4)="N/A",0,RTD("tos.rtd",,"OPEN_INT","."&amp;$AA$3&amp;$AA$4&amp;"C"&amp;BT$4))*100 + MAX(0, BT$4-$A19)*IF(RTD("tos.rtd",,"OPEN_INT","."&amp;$AA$3&amp;$AA$4&amp;"P"&amp;BT$4)="N/A",0,RTD("tos.rtd",,"OPEN_INT","."&amp;$AA$3&amp;$AA$4&amp;"P"&amp;BT$4))*100</f>
        <v>0</v>
      </c>
      <c r="BU19" s="18">
        <f>MAX(0, $A19-BU$4)*IF(RTD("tos.rtd",,"OPEN_INT","."&amp;$AA$3&amp;$AA$4&amp;"C"&amp;BU$4)="N/A",0,RTD("tos.rtd",,"OPEN_INT","."&amp;$AA$3&amp;$AA$4&amp;"C"&amp;BU$4))*100 + MAX(0, BU$4-$A19)*IF(RTD("tos.rtd",,"OPEN_INT","."&amp;$AA$3&amp;$AA$4&amp;"P"&amp;BU$4)="N/A",0,RTD("tos.rtd",,"OPEN_INT","."&amp;$AA$3&amp;$AA$4&amp;"P"&amp;BU$4))*100</f>
        <v>0</v>
      </c>
      <c r="BV19" s="18">
        <f>MAX(0, $A19-BV$4)*IF(RTD("tos.rtd",,"OPEN_INT","."&amp;$AA$3&amp;$AA$4&amp;"C"&amp;BV$4)="N/A",0,RTD("tos.rtd",,"OPEN_INT","."&amp;$AA$3&amp;$AA$4&amp;"C"&amp;BV$4))*100 + MAX(0, BV$4-$A19)*IF(RTD("tos.rtd",,"OPEN_INT","."&amp;$AA$3&amp;$AA$4&amp;"P"&amp;BV$4)="N/A",0,RTD("tos.rtd",,"OPEN_INT","."&amp;$AA$3&amp;$AA$4&amp;"P"&amp;BV$4))*100</f>
        <v>0</v>
      </c>
    </row>
    <row r="20" spans="1:74" s="19" customFormat="1" ht="11.1" customHeight="1" thickBot="1" x14ac:dyDescent="0.3">
      <c r="A20" s="23">
        <f t="shared" si="6"/>
        <v>14</v>
      </c>
      <c r="B20" s="14">
        <f ca="1">IF($A$2="PREMIUM_OI",IFERROR(IF($X$1="ABS",(100*RTD("tos.rtd",,"OPEN_INT","."&amp;B$2&amp;B$1&amp;"C"&amp;$A20)*RTD("tos.rtd",,"LAST","."&amp;B$2&amp;B$1&amp;"C"&amp;$A20)+100*RTD("tos.rtd",,"OPEN_INT","."&amp;B$2&amp;B$1&amp;"P"&amp;$A20)*RTD("tos.rtd",,"LAST","."&amp;B$2&amp;B$1&amp;"P"&amp;$A20))/1000000,(100*RTD("tos.rtd",,"OPEN_INT","."&amp;B$2&amp;B$1&amp;"C"&amp;$A20)*RTD("tos.rtd",,"LAST","."&amp;B$2&amp;B$1&amp;"C"&amp;$A20)-100*RTD("tos.rtd",,"OPEN_INT","."&amp;B$2&amp;B$1&amp;"P"&amp;$A20)*RTD("tos.rtd",,"LAST","."&amp;B$2&amp;B$1&amp;"P"&amp;$A20))/1000000),0),IF($A$2="PREMIUM",IFERROR(IF($X$1="ABS",(100*RTD("tos.rtd",,"VOLUME","."&amp;B$2&amp;B$1&amp;"C"&amp;$A20)*RTD("tos.rtd",,"LAST","."&amp;B$2&amp;B$1&amp;"C"&amp;$A20)+100*RTD("tos.rtd",,"VOLUME","."&amp;B$2&amp;B$1&amp;"P"&amp;$A20)*RTD("tos.rtd",,"LAST","."&amp;B$2&amp;B$1&amp;"P"&amp;$A20))/1000000,(100*RTD("tos.rtd",,"VOLUME","."&amp;B$2&amp;B$1&amp;"C"&amp;$A20)*RTD("tos.rtd",,"LAST","."&amp;B$2&amp;B$1&amp;"C"&amp;$A20)-100*RTD("tos.rtd",,"VOLUME","."&amp;B$2&amp;B$1&amp;"P"&amp;$A20)*RTD("tos.rtd",,"LAST","."&amp;B$2&amp;B$1&amp;"P"&amp;$A20))/1000000),0),IF($A$2="DEX",IFERROR(IF($X$1="ABS",(100*RTD("tos.rtd",,"OPEN_INT","."&amp;B$2&amp;B$1&amp;"C"&amp;$A20)*RTD("tos.rtd",,"DELTA","."&amp;B$2&amp;B$1&amp;"C"&amp;$A20)+100*RTD("tos.rtd",,"OPEN_INT","."&amp;B$2&amp;B$1&amp;"P"&amp;$A20)*RTD("tos.rtd",,"DELTA","."&amp;B$2&amp;B$1&amp;"P"&amp;$A20))/1000,(100*RTD("tos.rtd",,"OPEN_INT","."&amp;B$2&amp;B$1&amp;"C"&amp;$A20)*RTD("tos.rtd",,"DELTA","."&amp;B$2&amp;B$1&amp;"C"&amp;$A20)-100*RTD("tos.rtd",,"OPEN_INT","."&amp;B$2&amp;B$1&amp;"P"&amp;$A20)*RTD("tos.rtd",,"DELTA","."&amp;B$2&amp;B$1&amp;"P"&amp;$A20))/1000),0),IF($A$2="VEX",IFERROR(IF($X$1="ABS",($A$4*$A$4*RTD("tos.rtd",,"VOLUME","."&amp;B$2&amp;B$1&amp;"C"&amp;$A20)*RTD("tos.rtd",,"GAMMA","."&amp;B$2&amp;B$1&amp;"C"&amp;$A20)+$A$4*$A$4*RTD("tos.rtd",,"VOLUME","."&amp;B$2&amp;B$1&amp;"P"&amp;$A20)*RTD("tos.rtd",,"GAMMA","."&amp;B$2&amp;B$1&amp;"P"&amp;$A20))/1000000,($A$4*$A$4*RTD("tos.rtd",,"VOLUME","."&amp;B$2&amp;B$1&amp;"C"&amp;$A20)*RTD("tos.rtd",,"GAMMA","."&amp;B$2&amp;B$1&amp;"C"&amp;$A20)-$A$4*$A$4*RTD("tos.rtd",,"VOLUME","."&amp;B$2&amp;B$1&amp;"P"&amp;$A20)*RTD("tos.rtd",,"GAMMA","."&amp;B$2&amp;B$1&amp;"P"&amp;$A20))/1000000),0),IF($A$2="GEX",IFERROR(IF($X$1="ABS",($A$4*$A$4*RTD("tos.rtd",,"OPEN_INT","."&amp;B$2&amp;B$1&amp;"C"&amp;$A20)*RTD("tos.rtd",,"GAMMA","."&amp;B$2&amp;B$1&amp;"C"&amp;$A20)+$A$4*$A$4*RTD("tos.rtd",,"OPEN_INT","."&amp;B$2&amp;B$1&amp;"P"&amp;$A20)*RTD("tos.rtd",,"GAMMA","."&amp;B$2&amp;B$1&amp;"P"&amp;$A20))/1000000,($A$4*$A$4*RTD("tos.rtd",,"OPEN_INT","."&amp;B$2&amp;B$1&amp;"C"&amp;$A20)*RTD("tos.rtd",,"GAMMA","."&amp;B$2&amp;B$1&amp;"C"&amp;$A20)-$A$4*$A$4*RTD("tos.rtd",,"OPEN_INT","."&amp;B$2&amp;B$1&amp;"P"&amp;$A20)*RTD("tos.rtd",,"GAMMA","."&amp;B$2&amp;B$1&amp;"P"&amp;$A20))/1000000),0),IF($A$2="SKEW",IFERROR(VALUE(IF(RTD("tos.rtd",,"IMPL_VOL","."&amp;B$2&amp;B$1&amp;"P"&amp;$A20)="N/A",0,RTD("tos.rtd",,"IMPL_VOL","."&amp;B$2&amp;B$1&amp;"P"&amp;$A20))),0)-IFERROR(VALUE(IF(RTD("tos.rtd",,"IMPL_VOL","."&amp;B$2&amp;B$1&amp;"C"&amp;$A20)="N/A",0,RTD("tos.rtd",,"IMPL_VOL","."&amp;B$2&amp;B$1&amp;"C"&amp;$A20))),0),IF($A$2="MAXPAIN",IF($A$4&gt;$A20,($A$4-$A20)*IF(RTD("tos.rtd",,"OPEN_INT","."&amp;B$2&amp;B$1&amp;"C"&amp;$A20)="N/A",0,RTD("tos.rtd",,"OPEN_INT","."&amp;B$2&amp;B$1&amp;"C"&amp;$A20)),0)+IF($A$4&lt;$A20,($A$5-$A$4)*IF(RTD("tos.rtd",,"OPEN_INT","."&amp;B$2&amp;B$1&amp;"P"&amp;$A20)="N/A",0,RTD("tos.rtd",,"OPEN_INT","."&amp;B$2&amp;B$1&amp;"P"&amp;$A20)),0),IF($X$1="ABS",IF(RTD("tos.rtd",,$A$2,"."&amp;B$2&amp;B$1&amp;"C"&amp;$A20)="N/A",0,RTD("tos.rtd",,$A$2,"."&amp;B$2&amp;B$1&amp;"C"&amp;$A20))+IF(RTD("tos.rtd",,$A$2,"."&amp;B$2&amp;B$1&amp;"P"&amp;$A20)="N/A",0,RTD("tos.rtd",,$A$2,"."&amp;B$2&amp;B$1&amp;"P"&amp;$A20)),IF(RTD("tos.rtd",,$A$2,"."&amp;B$2&amp;B$1&amp;"C"&amp;$A20)="N/A",0,RTD("tos.rtd",,$A$2,"."&amp;B$2&amp;B$1&amp;"C"&amp;$A20))-IF(RTD("tos.rtd",,$A$2,"."&amp;B$2&amp;B$1&amp;"P"&amp;$A20)="N/A",0,RTD("tos.rtd",,$A$2,"."&amp;B$2&amp;B$1&amp;"P"&amp;$A20))))))))))</f>
        <v>0</v>
      </c>
      <c r="C20" s="12">
        <f ca="1">IF($A$2="PREMIUM_OI",IFERROR(IF($X$1="ABS",(100*RTD("tos.rtd",,"OPEN_INT","."&amp;C$2&amp;C$1&amp;"C"&amp;$A20)*RTD("tos.rtd",,"LAST","."&amp;C$2&amp;C$1&amp;"C"&amp;$A20)+100*RTD("tos.rtd",,"OPEN_INT","."&amp;C$2&amp;C$1&amp;"P"&amp;$A20)*RTD("tos.rtd",,"LAST","."&amp;C$2&amp;C$1&amp;"P"&amp;$A20))/1000000,(100*RTD("tos.rtd",,"OPEN_INT","."&amp;C$2&amp;C$1&amp;"C"&amp;$A20)*RTD("tos.rtd",,"LAST","."&amp;C$2&amp;C$1&amp;"C"&amp;$A20)-100*RTD("tos.rtd",,"OPEN_INT","."&amp;C$2&amp;C$1&amp;"P"&amp;$A20)*RTD("tos.rtd",,"LAST","."&amp;C$2&amp;C$1&amp;"P"&amp;$A20))/1000000),0),IF($A$2="PREMIUM",IFERROR(IF($X$1="ABS",(100*RTD("tos.rtd",,"VOLUME","."&amp;C$2&amp;C$1&amp;"C"&amp;$A20)*RTD("tos.rtd",,"LAST","."&amp;C$2&amp;C$1&amp;"C"&amp;$A20)+100*RTD("tos.rtd",,"VOLUME","."&amp;C$2&amp;C$1&amp;"P"&amp;$A20)*RTD("tos.rtd",,"LAST","."&amp;C$2&amp;C$1&amp;"P"&amp;$A20))/1000000,(100*RTD("tos.rtd",,"VOLUME","."&amp;C$2&amp;C$1&amp;"C"&amp;$A20)*RTD("tos.rtd",,"LAST","."&amp;C$2&amp;C$1&amp;"C"&amp;$A20)-100*RTD("tos.rtd",,"VOLUME","."&amp;C$2&amp;C$1&amp;"P"&amp;$A20)*RTD("tos.rtd",,"LAST","."&amp;C$2&amp;C$1&amp;"P"&amp;$A20))/1000000),0),IF($A$2="DEX",IFERROR(IF($X$1="ABS",(100*RTD("tos.rtd",,"OPEN_INT","."&amp;C$2&amp;C$1&amp;"C"&amp;$A20)*RTD("tos.rtd",,"DELTA","."&amp;C$2&amp;C$1&amp;"C"&amp;$A20)+100*RTD("tos.rtd",,"OPEN_INT","."&amp;C$2&amp;C$1&amp;"P"&amp;$A20)*RTD("tos.rtd",,"DELTA","."&amp;C$2&amp;C$1&amp;"P"&amp;$A20))/1000,(100*RTD("tos.rtd",,"OPEN_INT","."&amp;C$2&amp;C$1&amp;"C"&amp;$A20)*RTD("tos.rtd",,"DELTA","."&amp;C$2&amp;C$1&amp;"C"&amp;$A20)-100*RTD("tos.rtd",,"OPEN_INT","."&amp;C$2&amp;C$1&amp;"P"&amp;$A20)*RTD("tos.rtd",,"DELTA","."&amp;C$2&amp;C$1&amp;"P"&amp;$A20))/1000),0),IF($A$2="VEX",IFERROR(IF($X$1="ABS",($A$4*$A$4*RTD("tos.rtd",,"VOLUME","."&amp;C$2&amp;C$1&amp;"C"&amp;$A20)*RTD("tos.rtd",,"GAMMA","."&amp;C$2&amp;C$1&amp;"C"&amp;$A20)+$A$4*$A$4*RTD("tos.rtd",,"VOLUME","."&amp;C$2&amp;C$1&amp;"P"&amp;$A20)*RTD("tos.rtd",,"GAMMA","."&amp;C$2&amp;C$1&amp;"P"&amp;$A20))/1000000,($A$4*$A$4*RTD("tos.rtd",,"VOLUME","."&amp;C$2&amp;C$1&amp;"C"&amp;$A20)*RTD("tos.rtd",,"GAMMA","."&amp;C$2&amp;C$1&amp;"C"&amp;$A20)-$A$4*$A$4*RTD("tos.rtd",,"VOLUME","."&amp;C$2&amp;C$1&amp;"P"&amp;$A20)*RTD("tos.rtd",,"GAMMA","."&amp;C$2&amp;C$1&amp;"P"&amp;$A20))/1000000),0),IF($A$2="GEX",IFERROR(IF($X$1="ABS",($A$4*$A$4*RTD("tos.rtd",,"OPEN_INT","."&amp;C$2&amp;C$1&amp;"C"&amp;$A20)*RTD("tos.rtd",,"GAMMA","."&amp;C$2&amp;C$1&amp;"C"&amp;$A20)+$A$4*$A$4*RTD("tos.rtd",,"OPEN_INT","."&amp;C$2&amp;C$1&amp;"P"&amp;$A20)*RTD("tos.rtd",,"GAMMA","."&amp;C$2&amp;C$1&amp;"P"&amp;$A20))/1000000,($A$4*$A$4*RTD("tos.rtd",,"OPEN_INT","."&amp;C$2&amp;C$1&amp;"C"&amp;$A20)*RTD("tos.rtd",,"GAMMA","."&amp;C$2&amp;C$1&amp;"C"&amp;$A20)-$A$4*$A$4*RTD("tos.rtd",,"OPEN_INT","."&amp;C$2&amp;C$1&amp;"P"&amp;$A20)*RTD("tos.rtd",,"GAMMA","."&amp;C$2&amp;C$1&amp;"P"&amp;$A20))/1000000),0),IF($A$2="SKEW",IFERROR(VALUE(IF(RTD("tos.rtd",,"IMPL_VOL","."&amp;C$2&amp;C$1&amp;"P"&amp;$A20)="N/A",0,RTD("tos.rtd",,"IMPL_VOL","."&amp;C$2&amp;C$1&amp;"P"&amp;$A20))),0)-IFERROR(VALUE(IF(RTD("tos.rtd",,"IMPL_VOL","."&amp;C$2&amp;C$1&amp;"C"&amp;$A20)="N/A",0,RTD("tos.rtd",,"IMPL_VOL","."&amp;C$2&amp;C$1&amp;"C"&amp;$A20))),0),IF($A$2="MAXPAIN",IF($A$4&gt;$A20,($A$4-$A20)*IF(RTD("tos.rtd",,"OPEN_INT","."&amp;C$2&amp;C$1&amp;"C"&amp;$A20)="N/A",0,RTD("tos.rtd",,"OPEN_INT","."&amp;C$2&amp;C$1&amp;"C"&amp;$A20)),0)+IF($A$4&lt;$A20,($A$5-$A$4)*IF(RTD("tos.rtd",,"OPEN_INT","."&amp;C$2&amp;C$1&amp;"P"&amp;$A20)="N/A",0,RTD("tos.rtd",,"OPEN_INT","."&amp;C$2&amp;C$1&amp;"P"&amp;$A20)),0),IF($X$1="ABS",IF(RTD("tos.rtd",,$A$2,"."&amp;C$2&amp;C$1&amp;"C"&amp;$A20)="N/A",0,RTD("tos.rtd",,$A$2,"."&amp;C$2&amp;C$1&amp;"C"&amp;$A20))+IF(RTD("tos.rtd",,$A$2,"."&amp;C$2&amp;C$1&amp;"P"&amp;$A20)="N/A",0,RTD("tos.rtd",,$A$2,"."&amp;C$2&amp;C$1&amp;"P"&amp;$A20)),IF(RTD("tos.rtd",,$A$2,"."&amp;C$2&amp;C$1&amp;"C"&amp;$A20)="N/A",0,RTD("tos.rtd",,$A$2,"."&amp;C$2&amp;C$1&amp;"C"&amp;$A20))-IF(RTD("tos.rtd",,$A$2,"."&amp;C$2&amp;C$1&amp;"P"&amp;$A20)="N/A",0,RTD("tos.rtd",,$A$2,"."&amp;C$2&amp;C$1&amp;"P"&amp;$A20))))))))))</f>
        <v>587</v>
      </c>
      <c r="D20" s="12">
        <f ca="1">IF($A$2="PREMIUM_OI",IFERROR(IF($X$1="ABS",(100*RTD("tos.rtd",,"OPEN_INT","."&amp;D$2&amp;D$1&amp;"C"&amp;$A20)*RTD("tos.rtd",,"LAST","."&amp;D$2&amp;D$1&amp;"C"&amp;$A20)+100*RTD("tos.rtd",,"OPEN_INT","."&amp;D$2&amp;D$1&amp;"P"&amp;$A20)*RTD("tos.rtd",,"LAST","."&amp;D$2&amp;D$1&amp;"P"&amp;$A20))/1000000,(100*RTD("tos.rtd",,"OPEN_INT","."&amp;D$2&amp;D$1&amp;"C"&amp;$A20)*RTD("tos.rtd",,"LAST","."&amp;D$2&amp;D$1&amp;"C"&amp;$A20)-100*RTD("tos.rtd",,"OPEN_INT","."&amp;D$2&amp;D$1&amp;"P"&amp;$A20)*RTD("tos.rtd",,"LAST","."&amp;D$2&amp;D$1&amp;"P"&amp;$A20))/1000000),0),IF($A$2="PREMIUM",IFERROR(IF($X$1="ABS",(100*RTD("tos.rtd",,"VOLUME","."&amp;D$2&amp;D$1&amp;"C"&amp;$A20)*RTD("tos.rtd",,"LAST","."&amp;D$2&amp;D$1&amp;"C"&amp;$A20)+100*RTD("tos.rtd",,"VOLUME","."&amp;D$2&amp;D$1&amp;"P"&amp;$A20)*RTD("tos.rtd",,"LAST","."&amp;D$2&amp;D$1&amp;"P"&amp;$A20))/1000000,(100*RTD("tos.rtd",,"VOLUME","."&amp;D$2&amp;D$1&amp;"C"&amp;$A20)*RTD("tos.rtd",,"LAST","."&amp;D$2&amp;D$1&amp;"C"&amp;$A20)-100*RTD("tos.rtd",,"VOLUME","."&amp;D$2&amp;D$1&amp;"P"&amp;$A20)*RTD("tos.rtd",,"LAST","."&amp;D$2&amp;D$1&amp;"P"&amp;$A20))/1000000),0),IF($A$2="DEX",IFERROR(IF($X$1="ABS",(100*RTD("tos.rtd",,"OPEN_INT","."&amp;D$2&amp;D$1&amp;"C"&amp;$A20)*RTD("tos.rtd",,"DELTA","."&amp;D$2&amp;D$1&amp;"C"&amp;$A20)+100*RTD("tos.rtd",,"OPEN_INT","."&amp;D$2&amp;D$1&amp;"P"&amp;$A20)*RTD("tos.rtd",,"DELTA","."&amp;D$2&amp;D$1&amp;"P"&amp;$A20))/1000,(100*RTD("tos.rtd",,"OPEN_INT","."&amp;D$2&amp;D$1&amp;"C"&amp;$A20)*RTD("tos.rtd",,"DELTA","."&amp;D$2&amp;D$1&amp;"C"&amp;$A20)-100*RTD("tos.rtd",,"OPEN_INT","."&amp;D$2&amp;D$1&amp;"P"&amp;$A20)*RTD("tos.rtd",,"DELTA","."&amp;D$2&amp;D$1&amp;"P"&amp;$A20))/1000),0),IF($A$2="VEX",IFERROR(IF($X$1="ABS",($A$4*$A$4*RTD("tos.rtd",,"VOLUME","."&amp;D$2&amp;D$1&amp;"C"&amp;$A20)*RTD("tos.rtd",,"GAMMA","."&amp;D$2&amp;D$1&amp;"C"&amp;$A20)+$A$4*$A$4*RTD("tos.rtd",,"VOLUME","."&amp;D$2&amp;D$1&amp;"P"&amp;$A20)*RTD("tos.rtd",,"GAMMA","."&amp;D$2&amp;D$1&amp;"P"&amp;$A20))/1000000,($A$4*$A$4*RTD("tos.rtd",,"VOLUME","."&amp;D$2&amp;D$1&amp;"C"&amp;$A20)*RTD("tos.rtd",,"GAMMA","."&amp;D$2&amp;D$1&amp;"C"&amp;$A20)-$A$4*$A$4*RTD("tos.rtd",,"VOLUME","."&amp;D$2&amp;D$1&amp;"P"&amp;$A20)*RTD("tos.rtd",,"GAMMA","."&amp;D$2&amp;D$1&amp;"P"&amp;$A20))/1000000),0),IF($A$2="GEX",IFERROR(IF($X$1="ABS",($A$4*$A$4*RTD("tos.rtd",,"OPEN_INT","."&amp;D$2&amp;D$1&amp;"C"&amp;$A20)*RTD("tos.rtd",,"GAMMA","."&amp;D$2&amp;D$1&amp;"C"&amp;$A20)+$A$4*$A$4*RTD("tos.rtd",,"OPEN_INT","."&amp;D$2&amp;D$1&amp;"P"&amp;$A20)*RTD("tos.rtd",,"GAMMA","."&amp;D$2&amp;D$1&amp;"P"&amp;$A20))/1000000,($A$4*$A$4*RTD("tos.rtd",,"OPEN_INT","."&amp;D$2&amp;D$1&amp;"C"&amp;$A20)*RTD("tos.rtd",,"GAMMA","."&amp;D$2&amp;D$1&amp;"C"&amp;$A20)-$A$4*$A$4*RTD("tos.rtd",,"OPEN_INT","."&amp;D$2&amp;D$1&amp;"P"&amp;$A20)*RTD("tos.rtd",,"GAMMA","."&amp;D$2&amp;D$1&amp;"P"&amp;$A20))/1000000),0),IF($A$2="SKEW",IFERROR(VALUE(IF(RTD("tos.rtd",,"IMPL_VOL","."&amp;D$2&amp;D$1&amp;"P"&amp;$A20)="N/A",0,RTD("tos.rtd",,"IMPL_VOL","."&amp;D$2&amp;D$1&amp;"P"&amp;$A20))),0)-IFERROR(VALUE(IF(RTD("tos.rtd",,"IMPL_VOL","."&amp;D$2&amp;D$1&amp;"C"&amp;$A20)="N/A",0,RTD("tos.rtd",,"IMPL_VOL","."&amp;D$2&amp;D$1&amp;"C"&amp;$A20))),0),IF($A$2="MAXPAIN",IF($A$4&gt;$A20,($A$4-$A20)*IF(RTD("tos.rtd",,"OPEN_INT","."&amp;D$2&amp;D$1&amp;"C"&amp;$A20)="N/A",0,RTD("tos.rtd",,"OPEN_INT","."&amp;D$2&amp;D$1&amp;"C"&amp;$A20)),0)+IF($A$4&lt;$A20,($A$5-$A$4)*IF(RTD("tos.rtd",,"OPEN_INT","."&amp;D$2&amp;D$1&amp;"P"&amp;$A20)="N/A",0,RTD("tos.rtd",,"OPEN_INT","."&amp;D$2&amp;D$1&amp;"P"&amp;$A20)),0),IF($X$1="ABS",IF(RTD("tos.rtd",,$A$2,"."&amp;D$2&amp;D$1&amp;"C"&amp;$A20)="N/A",0,RTD("tos.rtd",,$A$2,"."&amp;D$2&amp;D$1&amp;"C"&amp;$A20))+IF(RTD("tos.rtd",,$A$2,"."&amp;D$2&amp;D$1&amp;"P"&amp;$A20)="N/A",0,RTD("tos.rtd",,$A$2,"."&amp;D$2&amp;D$1&amp;"P"&amp;$A20)),IF(RTD("tos.rtd",,$A$2,"."&amp;D$2&amp;D$1&amp;"C"&amp;$A20)="N/A",0,RTD("tos.rtd",,$A$2,"."&amp;D$2&amp;D$1&amp;"C"&amp;$A20))-IF(RTD("tos.rtd",,$A$2,"."&amp;D$2&amp;D$1&amp;"P"&amp;$A20)="N/A",0,RTD("tos.rtd",,$A$2,"."&amp;D$2&amp;D$1&amp;"P"&amp;$A20))))))))))</f>
        <v>2041</v>
      </c>
      <c r="E20" s="12">
        <f ca="1">IF($A$2="PREMIUM_OI",IFERROR(IF($X$1="ABS",(100*RTD("tos.rtd",,"OPEN_INT","."&amp;E$2&amp;E$1&amp;"C"&amp;$A20)*RTD("tos.rtd",,"LAST","."&amp;E$2&amp;E$1&amp;"C"&amp;$A20)+100*RTD("tos.rtd",,"OPEN_INT","."&amp;E$2&amp;E$1&amp;"P"&amp;$A20)*RTD("tos.rtd",,"LAST","."&amp;E$2&amp;E$1&amp;"P"&amp;$A20))/1000000,(100*RTD("tos.rtd",,"OPEN_INT","."&amp;E$2&amp;E$1&amp;"C"&amp;$A20)*RTD("tos.rtd",,"LAST","."&amp;E$2&amp;E$1&amp;"C"&amp;$A20)-100*RTD("tos.rtd",,"OPEN_INT","."&amp;E$2&amp;E$1&amp;"P"&amp;$A20)*RTD("tos.rtd",,"LAST","."&amp;E$2&amp;E$1&amp;"P"&amp;$A20))/1000000),0),IF($A$2="PREMIUM",IFERROR(IF($X$1="ABS",(100*RTD("tos.rtd",,"VOLUME","."&amp;E$2&amp;E$1&amp;"C"&amp;$A20)*RTD("tos.rtd",,"LAST","."&amp;E$2&amp;E$1&amp;"C"&amp;$A20)+100*RTD("tos.rtd",,"VOLUME","."&amp;E$2&amp;E$1&amp;"P"&amp;$A20)*RTD("tos.rtd",,"LAST","."&amp;E$2&amp;E$1&amp;"P"&amp;$A20))/1000000,(100*RTD("tos.rtd",,"VOLUME","."&amp;E$2&amp;E$1&amp;"C"&amp;$A20)*RTD("tos.rtd",,"LAST","."&amp;E$2&amp;E$1&amp;"C"&amp;$A20)-100*RTD("tos.rtd",,"VOLUME","."&amp;E$2&amp;E$1&amp;"P"&amp;$A20)*RTD("tos.rtd",,"LAST","."&amp;E$2&amp;E$1&amp;"P"&amp;$A20))/1000000),0),IF($A$2="DEX",IFERROR(IF($X$1="ABS",(100*RTD("tos.rtd",,"OPEN_INT","."&amp;E$2&amp;E$1&amp;"C"&amp;$A20)*RTD("tos.rtd",,"DELTA","."&amp;E$2&amp;E$1&amp;"C"&amp;$A20)+100*RTD("tos.rtd",,"OPEN_INT","."&amp;E$2&amp;E$1&amp;"P"&amp;$A20)*RTD("tos.rtd",,"DELTA","."&amp;E$2&amp;E$1&amp;"P"&amp;$A20))/1000,(100*RTD("tos.rtd",,"OPEN_INT","."&amp;E$2&amp;E$1&amp;"C"&amp;$A20)*RTD("tos.rtd",,"DELTA","."&amp;E$2&amp;E$1&amp;"C"&amp;$A20)-100*RTD("tos.rtd",,"OPEN_INT","."&amp;E$2&amp;E$1&amp;"P"&amp;$A20)*RTD("tos.rtd",,"DELTA","."&amp;E$2&amp;E$1&amp;"P"&amp;$A20))/1000),0),IF($A$2="VEX",IFERROR(IF($X$1="ABS",($A$4*$A$4*RTD("tos.rtd",,"VOLUME","."&amp;E$2&amp;E$1&amp;"C"&amp;$A20)*RTD("tos.rtd",,"GAMMA","."&amp;E$2&amp;E$1&amp;"C"&amp;$A20)+$A$4*$A$4*RTD("tos.rtd",,"VOLUME","."&amp;E$2&amp;E$1&amp;"P"&amp;$A20)*RTD("tos.rtd",,"GAMMA","."&amp;E$2&amp;E$1&amp;"P"&amp;$A20))/1000000,($A$4*$A$4*RTD("tos.rtd",,"VOLUME","."&amp;E$2&amp;E$1&amp;"C"&amp;$A20)*RTD("tos.rtd",,"GAMMA","."&amp;E$2&amp;E$1&amp;"C"&amp;$A20)-$A$4*$A$4*RTD("tos.rtd",,"VOLUME","."&amp;E$2&amp;E$1&amp;"P"&amp;$A20)*RTD("tos.rtd",,"GAMMA","."&amp;E$2&amp;E$1&amp;"P"&amp;$A20))/1000000),0),IF($A$2="GEX",IFERROR(IF($X$1="ABS",($A$4*$A$4*RTD("tos.rtd",,"OPEN_INT","."&amp;E$2&amp;E$1&amp;"C"&amp;$A20)*RTD("tos.rtd",,"GAMMA","."&amp;E$2&amp;E$1&amp;"C"&amp;$A20)+$A$4*$A$4*RTD("tos.rtd",,"OPEN_INT","."&amp;E$2&amp;E$1&amp;"P"&amp;$A20)*RTD("tos.rtd",,"GAMMA","."&amp;E$2&amp;E$1&amp;"P"&amp;$A20))/1000000,($A$4*$A$4*RTD("tos.rtd",,"OPEN_INT","."&amp;E$2&amp;E$1&amp;"C"&amp;$A20)*RTD("tos.rtd",,"GAMMA","."&amp;E$2&amp;E$1&amp;"C"&amp;$A20)-$A$4*$A$4*RTD("tos.rtd",,"OPEN_INT","."&amp;E$2&amp;E$1&amp;"P"&amp;$A20)*RTD("tos.rtd",,"GAMMA","."&amp;E$2&amp;E$1&amp;"P"&amp;$A20))/1000000),0),IF($A$2="SKEW",IFERROR(VALUE(IF(RTD("tos.rtd",,"IMPL_VOL","."&amp;E$2&amp;E$1&amp;"P"&amp;$A20)="N/A",0,RTD("tos.rtd",,"IMPL_VOL","."&amp;E$2&amp;E$1&amp;"P"&amp;$A20))),0)-IFERROR(VALUE(IF(RTD("tos.rtd",,"IMPL_VOL","."&amp;E$2&amp;E$1&amp;"C"&amp;$A20)="N/A",0,RTD("tos.rtd",,"IMPL_VOL","."&amp;E$2&amp;E$1&amp;"C"&amp;$A20))),0),IF($A$2="MAXPAIN",IF($A$4&gt;$A20,($A$4-$A20)*IF(RTD("tos.rtd",,"OPEN_INT","."&amp;E$2&amp;E$1&amp;"C"&amp;$A20)="N/A",0,RTD("tos.rtd",,"OPEN_INT","."&amp;E$2&amp;E$1&amp;"C"&amp;$A20)),0)+IF($A$4&lt;$A20,($A$5-$A$4)*IF(RTD("tos.rtd",,"OPEN_INT","."&amp;E$2&amp;E$1&amp;"P"&amp;$A20)="N/A",0,RTD("tos.rtd",,"OPEN_INT","."&amp;E$2&amp;E$1&amp;"P"&amp;$A20)),0),IF($X$1="ABS",IF(RTD("tos.rtd",,$A$2,"."&amp;E$2&amp;E$1&amp;"C"&amp;$A20)="N/A",0,RTD("tos.rtd",,$A$2,"."&amp;E$2&amp;E$1&amp;"C"&amp;$A20))+IF(RTD("tos.rtd",,$A$2,"."&amp;E$2&amp;E$1&amp;"P"&amp;$A20)="N/A",0,RTD("tos.rtd",,$A$2,"."&amp;E$2&amp;E$1&amp;"P"&amp;$A20)),IF(RTD("tos.rtd",,$A$2,"."&amp;E$2&amp;E$1&amp;"C"&amp;$A20)="N/A",0,RTD("tos.rtd",,$A$2,"."&amp;E$2&amp;E$1&amp;"C"&amp;$A20))-IF(RTD("tos.rtd",,$A$2,"."&amp;E$2&amp;E$1&amp;"P"&amp;$A20)="N/A",0,RTD("tos.rtd",,$A$2,"."&amp;E$2&amp;E$1&amp;"P"&amp;$A20))))))))))</f>
        <v>374</v>
      </c>
      <c r="F20" s="12">
        <f ca="1">IF($A$2="PREMIUM_OI",IFERROR(IF($X$1="ABS",(100*RTD("tos.rtd",,"OPEN_INT","."&amp;F$2&amp;F$1&amp;"C"&amp;$A20)*RTD("tos.rtd",,"LAST","."&amp;F$2&amp;F$1&amp;"C"&amp;$A20)+100*RTD("tos.rtd",,"OPEN_INT","."&amp;F$2&amp;F$1&amp;"P"&amp;$A20)*RTD("tos.rtd",,"LAST","."&amp;F$2&amp;F$1&amp;"P"&amp;$A20))/1000000,(100*RTD("tos.rtd",,"OPEN_INT","."&amp;F$2&amp;F$1&amp;"C"&amp;$A20)*RTD("tos.rtd",,"LAST","."&amp;F$2&amp;F$1&amp;"C"&amp;$A20)-100*RTD("tos.rtd",,"OPEN_INT","."&amp;F$2&amp;F$1&amp;"P"&amp;$A20)*RTD("tos.rtd",,"LAST","."&amp;F$2&amp;F$1&amp;"P"&amp;$A20))/1000000),0),IF($A$2="PREMIUM",IFERROR(IF($X$1="ABS",(100*RTD("tos.rtd",,"VOLUME","."&amp;F$2&amp;F$1&amp;"C"&amp;$A20)*RTD("tos.rtd",,"LAST","."&amp;F$2&amp;F$1&amp;"C"&amp;$A20)+100*RTD("tos.rtd",,"VOLUME","."&amp;F$2&amp;F$1&amp;"P"&amp;$A20)*RTD("tos.rtd",,"LAST","."&amp;F$2&amp;F$1&amp;"P"&amp;$A20))/1000000,(100*RTD("tos.rtd",,"VOLUME","."&amp;F$2&amp;F$1&amp;"C"&amp;$A20)*RTD("tos.rtd",,"LAST","."&amp;F$2&amp;F$1&amp;"C"&amp;$A20)-100*RTD("tos.rtd",,"VOLUME","."&amp;F$2&amp;F$1&amp;"P"&amp;$A20)*RTD("tos.rtd",,"LAST","."&amp;F$2&amp;F$1&amp;"P"&amp;$A20))/1000000),0),IF($A$2="DEX",IFERROR(IF($X$1="ABS",(100*RTD("tos.rtd",,"OPEN_INT","."&amp;F$2&amp;F$1&amp;"C"&amp;$A20)*RTD("tos.rtd",,"DELTA","."&amp;F$2&amp;F$1&amp;"C"&amp;$A20)+100*RTD("tos.rtd",,"OPEN_INT","."&amp;F$2&amp;F$1&amp;"P"&amp;$A20)*RTD("tos.rtd",,"DELTA","."&amp;F$2&amp;F$1&amp;"P"&amp;$A20))/1000,(100*RTD("tos.rtd",,"OPEN_INT","."&amp;F$2&amp;F$1&amp;"C"&amp;$A20)*RTD("tos.rtd",,"DELTA","."&amp;F$2&amp;F$1&amp;"C"&amp;$A20)-100*RTD("tos.rtd",,"OPEN_INT","."&amp;F$2&amp;F$1&amp;"P"&amp;$A20)*RTD("tos.rtd",,"DELTA","."&amp;F$2&amp;F$1&amp;"P"&amp;$A20))/1000),0),IF($A$2="VEX",IFERROR(IF($X$1="ABS",($A$4*$A$4*RTD("tos.rtd",,"VOLUME","."&amp;F$2&amp;F$1&amp;"C"&amp;$A20)*RTD("tos.rtd",,"GAMMA","."&amp;F$2&amp;F$1&amp;"C"&amp;$A20)+$A$4*$A$4*RTD("tos.rtd",,"VOLUME","."&amp;F$2&amp;F$1&amp;"P"&amp;$A20)*RTD("tos.rtd",,"GAMMA","."&amp;F$2&amp;F$1&amp;"P"&amp;$A20))/1000000,($A$4*$A$4*RTD("tos.rtd",,"VOLUME","."&amp;F$2&amp;F$1&amp;"C"&amp;$A20)*RTD("tos.rtd",,"GAMMA","."&amp;F$2&amp;F$1&amp;"C"&amp;$A20)-$A$4*$A$4*RTD("tos.rtd",,"VOLUME","."&amp;F$2&amp;F$1&amp;"P"&amp;$A20)*RTD("tos.rtd",,"GAMMA","."&amp;F$2&amp;F$1&amp;"P"&amp;$A20))/1000000),0),IF($A$2="GEX",IFERROR(IF($X$1="ABS",($A$4*$A$4*RTD("tos.rtd",,"OPEN_INT","."&amp;F$2&amp;F$1&amp;"C"&amp;$A20)*RTD("tos.rtd",,"GAMMA","."&amp;F$2&amp;F$1&amp;"C"&amp;$A20)+$A$4*$A$4*RTD("tos.rtd",,"OPEN_INT","."&amp;F$2&amp;F$1&amp;"P"&amp;$A20)*RTD("tos.rtd",,"GAMMA","."&amp;F$2&amp;F$1&amp;"P"&amp;$A20))/1000000,($A$4*$A$4*RTD("tos.rtd",,"OPEN_INT","."&amp;F$2&amp;F$1&amp;"C"&amp;$A20)*RTD("tos.rtd",,"GAMMA","."&amp;F$2&amp;F$1&amp;"C"&amp;$A20)-$A$4*$A$4*RTD("tos.rtd",,"OPEN_INT","."&amp;F$2&amp;F$1&amp;"P"&amp;$A20)*RTD("tos.rtd",,"GAMMA","."&amp;F$2&amp;F$1&amp;"P"&amp;$A20))/1000000),0),IF($A$2="SKEW",IFERROR(VALUE(IF(RTD("tos.rtd",,"IMPL_VOL","."&amp;F$2&amp;F$1&amp;"P"&amp;$A20)="N/A",0,RTD("tos.rtd",,"IMPL_VOL","."&amp;F$2&amp;F$1&amp;"P"&amp;$A20))),0)-IFERROR(VALUE(IF(RTD("tos.rtd",,"IMPL_VOL","."&amp;F$2&amp;F$1&amp;"C"&amp;$A20)="N/A",0,RTD("tos.rtd",,"IMPL_VOL","."&amp;F$2&amp;F$1&amp;"C"&amp;$A20))),0),IF($A$2="MAXPAIN",IF($A$4&gt;$A20,($A$4-$A20)*IF(RTD("tos.rtd",,"OPEN_INT","."&amp;F$2&amp;F$1&amp;"C"&amp;$A20)="N/A",0,RTD("tos.rtd",,"OPEN_INT","."&amp;F$2&amp;F$1&amp;"C"&amp;$A20)),0)+IF($A$4&lt;$A20,($A$5-$A$4)*IF(RTD("tos.rtd",,"OPEN_INT","."&amp;F$2&amp;F$1&amp;"P"&amp;$A20)="N/A",0,RTD("tos.rtd",,"OPEN_INT","."&amp;F$2&amp;F$1&amp;"P"&amp;$A20)),0),IF($X$1="ABS",IF(RTD("tos.rtd",,$A$2,"."&amp;F$2&amp;F$1&amp;"C"&amp;$A20)="N/A",0,RTD("tos.rtd",,$A$2,"."&amp;F$2&amp;F$1&amp;"C"&amp;$A20))+IF(RTD("tos.rtd",,$A$2,"."&amp;F$2&amp;F$1&amp;"P"&amp;$A20)="N/A",0,RTD("tos.rtd",,$A$2,"."&amp;F$2&amp;F$1&amp;"P"&amp;$A20)),IF(RTD("tos.rtd",,$A$2,"."&amp;F$2&amp;F$1&amp;"C"&amp;$A20)="N/A",0,RTD("tos.rtd",,$A$2,"."&amp;F$2&amp;F$1&amp;"C"&amp;$A20))-IF(RTD("tos.rtd",,$A$2,"."&amp;F$2&amp;F$1&amp;"P"&amp;$A20)="N/A",0,RTD("tos.rtd",,$A$2,"."&amp;F$2&amp;F$1&amp;"P"&amp;$A20))))))))))</f>
        <v>36</v>
      </c>
      <c r="G20" s="57">
        <f ca="1">IF($A$2="PREMIUM_OI",IFERROR(IF($X$1="ABS",(100*RTD("tos.rtd",,"OPEN_INT","."&amp;G$2&amp;G$1&amp;"C"&amp;$A20)*RTD("tos.rtd",,"LAST","."&amp;G$2&amp;G$1&amp;"C"&amp;$A20)+100*RTD("tos.rtd",,"OPEN_INT","."&amp;G$2&amp;G$1&amp;"P"&amp;$A20)*RTD("tos.rtd",,"LAST","."&amp;G$2&amp;G$1&amp;"P"&amp;$A20))/1000000,(100*RTD("tos.rtd",,"OPEN_INT","."&amp;G$2&amp;G$1&amp;"C"&amp;$A20)*RTD("tos.rtd",,"LAST","."&amp;G$2&amp;G$1&amp;"C"&amp;$A20)-100*RTD("tos.rtd",,"OPEN_INT","."&amp;G$2&amp;G$1&amp;"P"&amp;$A20)*RTD("tos.rtd",,"LAST","."&amp;G$2&amp;G$1&amp;"P"&amp;$A20))/1000000),0),IF($A$2="PREMIUM",IFERROR(IF($X$1="ABS",(100*RTD("tos.rtd",,"VOLUME","."&amp;G$2&amp;G$1&amp;"C"&amp;$A20)*RTD("tos.rtd",,"LAST","."&amp;G$2&amp;G$1&amp;"C"&amp;$A20)+100*RTD("tos.rtd",,"VOLUME","."&amp;G$2&amp;G$1&amp;"P"&amp;$A20)*RTD("tos.rtd",,"LAST","."&amp;G$2&amp;G$1&amp;"P"&amp;$A20))/1000000,(100*RTD("tos.rtd",,"VOLUME","."&amp;G$2&amp;G$1&amp;"C"&amp;$A20)*RTD("tos.rtd",,"LAST","."&amp;G$2&amp;G$1&amp;"C"&amp;$A20)-100*RTD("tos.rtd",,"VOLUME","."&amp;G$2&amp;G$1&amp;"P"&amp;$A20)*RTD("tos.rtd",,"LAST","."&amp;G$2&amp;G$1&amp;"P"&amp;$A20))/1000000),0),IF($A$2="DEX",IFERROR(IF($X$1="ABS",(100*RTD("tos.rtd",,"OPEN_INT","."&amp;G$2&amp;G$1&amp;"C"&amp;$A20)*RTD("tos.rtd",,"DELTA","."&amp;G$2&amp;G$1&amp;"C"&amp;$A20)+100*RTD("tos.rtd",,"OPEN_INT","."&amp;G$2&amp;G$1&amp;"P"&amp;$A20)*RTD("tos.rtd",,"DELTA","."&amp;G$2&amp;G$1&amp;"P"&amp;$A20))/1000,(100*RTD("tos.rtd",,"OPEN_INT","."&amp;G$2&amp;G$1&amp;"C"&amp;$A20)*RTD("tos.rtd",,"DELTA","."&amp;G$2&amp;G$1&amp;"C"&amp;$A20)-100*RTD("tos.rtd",,"OPEN_INT","."&amp;G$2&amp;G$1&amp;"P"&amp;$A20)*RTD("tos.rtd",,"DELTA","."&amp;G$2&amp;G$1&amp;"P"&amp;$A20))/1000),0),IF($A$2="VEX",IFERROR(IF($X$1="ABS",($A$4*$A$4*RTD("tos.rtd",,"VOLUME","."&amp;G$2&amp;G$1&amp;"C"&amp;$A20)*RTD("tos.rtd",,"GAMMA","."&amp;G$2&amp;G$1&amp;"C"&amp;$A20)+$A$4*$A$4*RTD("tos.rtd",,"VOLUME","."&amp;G$2&amp;G$1&amp;"P"&amp;$A20)*RTD("tos.rtd",,"GAMMA","."&amp;G$2&amp;G$1&amp;"P"&amp;$A20))/1000000,($A$4*$A$4*RTD("tos.rtd",,"VOLUME","."&amp;G$2&amp;G$1&amp;"C"&amp;$A20)*RTD("tos.rtd",,"GAMMA","."&amp;G$2&amp;G$1&amp;"C"&amp;$A20)-$A$4*$A$4*RTD("tos.rtd",,"VOLUME","."&amp;G$2&amp;G$1&amp;"P"&amp;$A20)*RTD("tos.rtd",,"GAMMA","."&amp;G$2&amp;G$1&amp;"P"&amp;$A20))/1000000),0),IF($A$2="GEX",IFERROR(IF($X$1="ABS",($A$4*$A$4*RTD("tos.rtd",,"OPEN_INT","."&amp;G$2&amp;G$1&amp;"C"&amp;$A20)*RTD("tos.rtd",,"GAMMA","."&amp;G$2&amp;G$1&amp;"C"&amp;$A20)+$A$4*$A$4*RTD("tos.rtd",,"OPEN_INT","."&amp;G$2&amp;G$1&amp;"P"&amp;$A20)*RTD("tos.rtd",,"GAMMA","."&amp;G$2&amp;G$1&amp;"P"&amp;$A20))/1000000,($A$4*$A$4*RTD("tos.rtd",,"OPEN_INT","."&amp;G$2&amp;G$1&amp;"C"&amp;$A20)*RTD("tos.rtd",,"GAMMA","."&amp;G$2&amp;G$1&amp;"C"&amp;$A20)-$A$4*$A$4*RTD("tos.rtd",,"OPEN_INT","."&amp;G$2&amp;G$1&amp;"P"&amp;$A20)*RTD("tos.rtd",,"GAMMA","."&amp;G$2&amp;G$1&amp;"P"&amp;$A20))/1000000),0),IF($A$2="SKEW",IFERROR(VALUE(IF(RTD("tos.rtd",,"IMPL_VOL","."&amp;G$2&amp;G$1&amp;"P"&amp;$A20)="N/A",0,RTD("tos.rtd",,"IMPL_VOL","."&amp;G$2&amp;G$1&amp;"P"&amp;$A20))),0)-IFERROR(VALUE(IF(RTD("tos.rtd",,"IMPL_VOL","."&amp;G$2&amp;G$1&amp;"C"&amp;$A20)="N/A",0,RTD("tos.rtd",,"IMPL_VOL","."&amp;G$2&amp;G$1&amp;"C"&amp;$A20))),0),IF($A$2="MAXPAIN",IF($A$4&gt;$A20,($A$4-$A20)*IF(RTD("tos.rtd",,"OPEN_INT","."&amp;G$2&amp;G$1&amp;"C"&amp;$A20)="N/A",0,RTD("tos.rtd",,"OPEN_INT","."&amp;G$2&amp;G$1&amp;"C"&amp;$A20)),0)+IF($A$4&lt;$A20,($A$5-$A$4)*IF(RTD("tos.rtd",,"OPEN_INT","."&amp;G$2&amp;G$1&amp;"P"&amp;$A20)="N/A",0,RTD("tos.rtd",,"OPEN_INT","."&amp;G$2&amp;G$1&amp;"P"&amp;$A20)),0),IF($X$1="ABS",IF(RTD("tos.rtd",,$A$2,"."&amp;G$2&amp;G$1&amp;"C"&amp;$A20)="N/A",0,RTD("tos.rtd",,$A$2,"."&amp;G$2&amp;G$1&amp;"C"&amp;$A20))+IF(RTD("tos.rtd",,$A$2,"."&amp;G$2&amp;G$1&amp;"P"&amp;$A20)="N/A",0,RTD("tos.rtd",,$A$2,"."&amp;G$2&amp;G$1&amp;"P"&amp;$A20)),IF(RTD("tos.rtd",,$A$2,"."&amp;G$2&amp;G$1&amp;"C"&amp;$A20)="N/A",0,RTD("tos.rtd",,$A$2,"."&amp;G$2&amp;G$1&amp;"C"&amp;$A20))-IF(RTD("tos.rtd",,$A$2,"."&amp;G$2&amp;G$1&amp;"P"&amp;$A20)="N/A",0,RTD("tos.rtd",,$A$2,"."&amp;G$2&amp;G$1&amp;"P"&amp;$A20))))))))))</f>
        <v>218</v>
      </c>
      <c r="H20" s="14">
        <f ca="1">IF($A$2="PREMIUM_OI",IFERROR(IF($X$1="ABS",(100*RTD("tos.rtd",,"OPEN_INT","."&amp;H$2&amp;H$1&amp;"C"&amp;$A20)*RTD("tos.rtd",,"LAST","."&amp;H$2&amp;H$1&amp;"C"&amp;$A20)+100*RTD("tos.rtd",,"OPEN_INT","."&amp;H$2&amp;H$1&amp;"P"&amp;$A20)*RTD("tos.rtd",,"LAST","."&amp;H$2&amp;H$1&amp;"P"&amp;$A20))/1000000,(100*RTD("tos.rtd",,"OPEN_INT","."&amp;H$2&amp;H$1&amp;"C"&amp;$A20)*RTD("tos.rtd",,"LAST","."&amp;H$2&amp;H$1&amp;"C"&amp;$A20)-100*RTD("tos.rtd",,"OPEN_INT","."&amp;H$2&amp;H$1&amp;"P"&amp;$A20)*RTD("tos.rtd",,"LAST","."&amp;H$2&amp;H$1&amp;"P"&amp;$A20))/1000000),0),IF($A$2="PREMIUM",IFERROR(IF($X$1="ABS",(100*RTD("tos.rtd",,"VOLUME","."&amp;H$2&amp;H$1&amp;"C"&amp;$A20)*RTD("tos.rtd",,"LAST","."&amp;H$2&amp;H$1&amp;"C"&amp;$A20)+100*RTD("tos.rtd",,"VOLUME","."&amp;H$2&amp;H$1&amp;"P"&amp;$A20)*RTD("tos.rtd",,"LAST","."&amp;H$2&amp;H$1&amp;"P"&amp;$A20))/1000000,(100*RTD("tos.rtd",,"VOLUME","."&amp;H$2&amp;H$1&amp;"C"&amp;$A20)*RTD("tos.rtd",,"LAST","."&amp;H$2&amp;H$1&amp;"C"&amp;$A20)-100*RTD("tos.rtd",,"VOLUME","."&amp;H$2&amp;H$1&amp;"P"&amp;$A20)*RTD("tos.rtd",,"LAST","."&amp;H$2&amp;H$1&amp;"P"&amp;$A20))/1000000),0),IF($A$2="DEX",IFERROR(IF($X$1="ABS",(100*RTD("tos.rtd",,"OPEN_INT","."&amp;H$2&amp;H$1&amp;"C"&amp;$A20)*RTD("tos.rtd",,"DELTA","."&amp;H$2&amp;H$1&amp;"C"&amp;$A20)+100*RTD("tos.rtd",,"OPEN_INT","."&amp;H$2&amp;H$1&amp;"P"&amp;$A20)*RTD("tos.rtd",,"DELTA","."&amp;H$2&amp;H$1&amp;"P"&amp;$A20))/1000,(100*RTD("tos.rtd",,"OPEN_INT","."&amp;H$2&amp;H$1&amp;"C"&amp;$A20)*RTD("tos.rtd",,"DELTA","."&amp;H$2&amp;H$1&amp;"C"&amp;$A20)-100*RTD("tos.rtd",,"OPEN_INT","."&amp;H$2&amp;H$1&amp;"P"&amp;$A20)*RTD("tos.rtd",,"DELTA","."&amp;H$2&amp;H$1&amp;"P"&amp;$A20))/1000),0),IF($A$2="VEX",IFERROR(IF($X$1="ABS",($A$4*$A$4*RTD("tos.rtd",,"VOLUME","."&amp;H$2&amp;H$1&amp;"C"&amp;$A20)*RTD("tos.rtd",,"GAMMA","."&amp;H$2&amp;H$1&amp;"C"&amp;$A20)+$A$4*$A$4*RTD("tos.rtd",,"VOLUME","."&amp;H$2&amp;H$1&amp;"P"&amp;$A20)*RTD("tos.rtd",,"GAMMA","."&amp;H$2&amp;H$1&amp;"P"&amp;$A20))/1000000,($A$4*$A$4*RTD("tos.rtd",,"VOLUME","."&amp;H$2&amp;H$1&amp;"C"&amp;$A20)*RTD("tos.rtd",,"GAMMA","."&amp;H$2&amp;H$1&amp;"C"&amp;$A20)-$A$4*$A$4*RTD("tos.rtd",,"VOLUME","."&amp;H$2&amp;H$1&amp;"P"&amp;$A20)*RTD("tos.rtd",,"GAMMA","."&amp;H$2&amp;H$1&amp;"P"&amp;$A20))/1000000),0),IF($A$2="GEX",IFERROR(IF($X$1="ABS",($A$4*$A$4*RTD("tos.rtd",,"OPEN_INT","."&amp;H$2&amp;H$1&amp;"C"&amp;$A20)*RTD("tos.rtd",,"GAMMA","."&amp;H$2&amp;H$1&amp;"C"&amp;$A20)+$A$4*$A$4*RTD("tos.rtd",,"OPEN_INT","."&amp;H$2&amp;H$1&amp;"P"&amp;$A20)*RTD("tos.rtd",,"GAMMA","."&amp;H$2&amp;H$1&amp;"P"&amp;$A20))/1000000,($A$4*$A$4*RTD("tos.rtd",,"OPEN_INT","."&amp;H$2&amp;H$1&amp;"C"&amp;$A20)*RTD("tos.rtd",,"GAMMA","."&amp;H$2&amp;H$1&amp;"C"&amp;$A20)-$A$4*$A$4*RTD("tos.rtd",,"OPEN_INT","."&amp;H$2&amp;H$1&amp;"P"&amp;$A20)*RTD("tos.rtd",,"GAMMA","."&amp;H$2&amp;H$1&amp;"P"&amp;$A20))/1000000),0),IF($A$2="SKEW",IFERROR(VALUE(IF(RTD("tos.rtd",,"IMPL_VOL","."&amp;H$2&amp;H$1&amp;"P"&amp;$A20)="N/A",0,RTD("tos.rtd",,"IMPL_VOL","."&amp;H$2&amp;H$1&amp;"P"&amp;$A20))),0)-IFERROR(VALUE(IF(RTD("tos.rtd",,"IMPL_VOL","."&amp;H$2&amp;H$1&amp;"C"&amp;$A20)="N/A",0,RTD("tos.rtd",,"IMPL_VOL","."&amp;H$2&amp;H$1&amp;"C"&amp;$A20))),0),IF($A$2="MAXPAIN",IF($A$4&gt;$A20,($A$4-$A20)*IF(RTD("tos.rtd",,"OPEN_INT","."&amp;H$2&amp;H$1&amp;"C"&amp;$A20)="N/A",0,RTD("tos.rtd",,"OPEN_INT","."&amp;H$2&amp;H$1&amp;"C"&amp;$A20)),0)+IF($A$4&lt;$A20,($A$5-$A$4)*IF(RTD("tos.rtd",,"OPEN_INT","."&amp;H$2&amp;H$1&amp;"P"&amp;$A20)="N/A",0,RTD("tos.rtd",,"OPEN_INT","."&amp;H$2&amp;H$1&amp;"P"&amp;$A20)),0),IF($X$1="ABS",IF(RTD("tos.rtd",,$A$2,"."&amp;H$2&amp;H$1&amp;"C"&amp;$A20)="N/A",0,RTD("tos.rtd",,$A$2,"."&amp;H$2&amp;H$1&amp;"C"&amp;$A20))+IF(RTD("tos.rtd",,$A$2,"."&amp;H$2&amp;H$1&amp;"P"&amp;$A20)="N/A",0,RTD("tos.rtd",,$A$2,"."&amp;H$2&amp;H$1&amp;"P"&amp;$A20)),IF(RTD("tos.rtd",,$A$2,"."&amp;H$2&amp;H$1&amp;"C"&amp;$A20)="N/A",0,RTD("tos.rtd",,$A$2,"."&amp;H$2&amp;H$1&amp;"C"&amp;$A20))-IF(RTD("tos.rtd",,$A$2,"."&amp;H$2&amp;H$1&amp;"P"&amp;$A20)="N/A",0,RTD("tos.rtd",,$A$2,"."&amp;H$2&amp;H$1&amp;"P"&amp;$A20))))))))))</f>
        <v>783</v>
      </c>
      <c r="I20" s="12">
        <f ca="1">IF($A$2="PREMIUM_OI",IFERROR(IF($X$1="ABS",(100*RTD("tos.rtd",,"OPEN_INT","."&amp;I$2&amp;I$1&amp;"C"&amp;$A20)*RTD("tos.rtd",,"LAST","."&amp;I$2&amp;I$1&amp;"C"&amp;$A20)+100*RTD("tos.rtd",,"OPEN_INT","."&amp;I$2&amp;I$1&amp;"P"&amp;$A20)*RTD("tos.rtd",,"LAST","."&amp;I$2&amp;I$1&amp;"P"&amp;$A20))/1000000,(100*RTD("tos.rtd",,"OPEN_INT","."&amp;I$2&amp;I$1&amp;"C"&amp;$A20)*RTD("tos.rtd",,"LAST","."&amp;I$2&amp;I$1&amp;"C"&amp;$A20)-100*RTD("tos.rtd",,"OPEN_INT","."&amp;I$2&amp;I$1&amp;"P"&amp;$A20)*RTD("tos.rtd",,"LAST","."&amp;I$2&amp;I$1&amp;"P"&amp;$A20))/1000000),0),IF($A$2="PREMIUM",IFERROR(IF($X$1="ABS",(100*RTD("tos.rtd",,"VOLUME","."&amp;I$2&amp;I$1&amp;"C"&amp;$A20)*RTD("tos.rtd",,"LAST","."&amp;I$2&amp;I$1&amp;"C"&amp;$A20)+100*RTD("tos.rtd",,"VOLUME","."&amp;I$2&amp;I$1&amp;"P"&amp;$A20)*RTD("tos.rtd",,"LAST","."&amp;I$2&amp;I$1&amp;"P"&amp;$A20))/1000000,(100*RTD("tos.rtd",,"VOLUME","."&amp;I$2&amp;I$1&amp;"C"&amp;$A20)*RTD("tos.rtd",,"LAST","."&amp;I$2&amp;I$1&amp;"C"&amp;$A20)-100*RTD("tos.rtd",,"VOLUME","."&amp;I$2&amp;I$1&amp;"P"&amp;$A20)*RTD("tos.rtd",,"LAST","."&amp;I$2&amp;I$1&amp;"P"&amp;$A20))/1000000),0),IF($A$2="DEX",IFERROR(IF($X$1="ABS",(100*RTD("tos.rtd",,"OPEN_INT","."&amp;I$2&amp;I$1&amp;"C"&amp;$A20)*RTD("tos.rtd",,"DELTA","."&amp;I$2&amp;I$1&amp;"C"&amp;$A20)+100*RTD("tos.rtd",,"OPEN_INT","."&amp;I$2&amp;I$1&amp;"P"&amp;$A20)*RTD("tos.rtd",,"DELTA","."&amp;I$2&amp;I$1&amp;"P"&amp;$A20))/1000,(100*RTD("tos.rtd",,"OPEN_INT","."&amp;I$2&amp;I$1&amp;"C"&amp;$A20)*RTD("tos.rtd",,"DELTA","."&amp;I$2&amp;I$1&amp;"C"&amp;$A20)-100*RTD("tos.rtd",,"OPEN_INT","."&amp;I$2&amp;I$1&amp;"P"&amp;$A20)*RTD("tos.rtd",,"DELTA","."&amp;I$2&amp;I$1&amp;"P"&amp;$A20))/1000),0),IF($A$2="VEX",IFERROR(IF($X$1="ABS",($A$4*$A$4*RTD("tos.rtd",,"VOLUME","."&amp;I$2&amp;I$1&amp;"C"&amp;$A20)*RTD("tos.rtd",,"GAMMA","."&amp;I$2&amp;I$1&amp;"C"&amp;$A20)+$A$4*$A$4*RTD("tos.rtd",,"VOLUME","."&amp;I$2&amp;I$1&amp;"P"&amp;$A20)*RTD("tos.rtd",,"GAMMA","."&amp;I$2&amp;I$1&amp;"P"&amp;$A20))/1000000,($A$4*$A$4*RTD("tos.rtd",,"VOLUME","."&amp;I$2&amp;I$1&amp;"C"&amp;$A20)*RTD("tos.rtd",,"GAMMA","."&amp;I$2&amp;I$1&amp;"C"&amp;$A20)-$A$4*$A$4*RTD("tos.rtd",,"VOLUME","."&amp;I$2&amp;I$1&amp;"P"&amp;$A20)*RTD("tos.rtd",,"GAMMA","."&amp;I$2&amp;I$1&amp;"P"&amp;$A20))/1000000),0),IF($A$2="GEX",IFERROR(IF($X$1="ABS",($A$4*$A$4*RTD("tos.rtd",,"OPEN_INT","."&amp;I$2&amp;I$1&amp;"C"&amp;$A20)*RTD("tos.rtd",,"GAMMA","."&amp;I$2&amp;I$1&amp;"C"&amp;$A20)+$A$4*$A$4*RTD("tos.rtd",,"OPEN_INT","."&amp;I$2&amp;I$1&amp;"P"&amp;$A20)*RTD("tos.rtd",,"GAMMA","."&amp;I$2&amp;I$1&amp;"P"&amp;$A20))/1000000,($A$4*$A$4*RTD("tos.rtd",,"OPEN_INT","."&amp;I$2&amp;I$1&amp;"C"&amp;$A20)*RTD("tos.rtd",,"GAMMA","."&amp;I$2&amp;I$1&amp;"C"&amp;$A20)-$A$4*$A$4*RTD("tos.rtd",,"OPEN_INT","."&amp;I$2&amp;I$1&amp;"P"&amp;$A20)*RTD("tos.rtd",,"GAMMA","."&amp;I$2&amp;I$1&amp;"P"&amp;$A20))/1000000),0),IF($A$2="SKEW",IFERROR(VALUE(IF(RTD("tos.rtd",,"IMPL_VOL","."&amp;I$2&amp;I$1&amp;"P"&amp;$A20)="N/A",0,RTD("tos.rtd",,"IMPL_VOL","."&amp;I$2&amp;I$1&amp;"P"&amp;$A20))),0)-IFERROR(VALUE(IF(RTD("tos.rtd",,"IMPL_VOL","."&amp;I$2&amp;I$1&amp;"C"&amp;$A20)="N/A",0,RTD("tos.rtd",,"IMPL_VOL","."&amp;I$2&amp;I$1&amp;"C"&amp;$A20))),0),IF($A$2="MAXPAIN",IF($A$4&gt;$A20,($A$4-$A20)*IF(RTD("tos.rtd",,"OPEN_INT","."&amp;I$2&amp;I$1&amp;"C"&amp;$A20)="N/A",0,RTD("tos.rtd",,"OPEN_INT","."&amp;I$2&amp;I$1&amp;"C"&amp;$A20)),0)+IF($A$4&lt;$A20,($A$5-$A$4)*IF(RTD("tos.rtd",,"OPEN_INT","."&amp;I$2&amp;I$1&amp;"P"&amp;$A20)="N/A",0,RTD("tos.rtd",,"OPEN_INT","."&amp;I$2&amp;I$1&amp;"P"&amp;$A20)),0),IF($X$1="ABS",IF(RTD("tos.rtd",,$A$2,"."&amp;I$2&amp;I$1&amp;"C"&amp;$A20)="N/A",0,RTD("tos.rtd",,$A$2,"."&amp;I$2&amp;I$1&amp;"C"&amp;$A20))+IF(RTD("tos.rtd",,$A$2,"."&amp;I$2&amp;I$1&amp;"P"&amp;$A20)="N/A",0,RTD("tos.rtd",,$A$2,"."&amp;I$2&amp;I$1&amp;"P"&amp;$A20)),IF(RTD("tos.rtd",,$A$2,"."&amp;I$2&amp;I$1&amp;"C"&amp;$A20)="N/A",0,RTD("tos.rtd",,$A$2,"."&amp;I$2&amp;I$1&amp;"C"&amp;$A20))-IF(RTD("tos.rtd",,$A$2,"."&amp;I$2&amp;I$1&amp;"P"&amp;$A20)="N/A",0,RTD("tos.rtd",,$A$2,"."&amp;I$2&amp;I$1&amp;"P"&amp;$A20))))))))))</f>
        <v>37</v>
      </c>
      <c r="J20" s="12">
        <f ca="1">IF($A$2="PREMIUM_OI",IFERROR(IF($X$1="ABS",(100*RTD("tos.rtd",,"OPEN_INT","."&amp;J$2&amp;J$1&amp;"C"&amp;$A20)*RTD("tos.rtd",,"LAST","."&amp;J$2&amp;J$1&amp;"C"&amp;$A20)+100*RTD("tos.rtd",,"OPEN_INT","."&amp;J$2&amp;J$1&amp;"P"&amp;$A20)*RTD("tos.rtd",,"LAST","."&amp;J$2&amp;J$1&amp;"P"&amp;$A20))/1000000,(100*RTD("tos.rtd",,"OPEN_INT","."&amp;J$2&amp;J$1&amp;"C"&amp;$A20)*RTD("tos.rtd",,"LAST","."&amp;J$2&amp;J$1&amp;"C"&amp;$A20)-100*RTD("tos.rtd",,"OPEN_INT","."&amp;J$2&amp;J$1&amp;"P"&amp;$A20)*RTD("tos.rtd",,"LAST","."&amp;J$2&amp;J$1&amp;"P"&amp;$A20))/1000000),0),IF($A$2="PREMIUM",IFERROR(IF($X$1="ABS",(100*RTD("tos.rtd",,"VOLUME","."&amp;J$2&amp;J$1&amp;"C"&amp;$A20)*RTD("tos.rtd",,"LAST","."&amp;J$2&amp;J$1&amp;"C"&amp;$A20)+100*RTD("tos.rtd",,"VOLUME","."&amp;J$2&amp;J$1&amp;"P"&amp;$A20)*RTD("tos.rtd",,"LAST","."&amp;J$2&amp;J$1&amp;"P"&amp;$A20))/1000000,(100*RTD("tos.rtd",,"VOLUME","."&amp;J$2&amp;J$1&amp;"C"&amp;$A20)*RTD("tos.rtd",,"LAST","."&amp;J$2&amp;J$1&amp;"C"&amp;$A20)-100*RTD("tos.rtd",,"VOLUME","."&amp;J$2&amp;J$1&amp;"P"&amp;$A20)*RTD("tos.rtd",,"LAST","."&amp;J$2&amp;J$1&amp;"P"&amp;$A20))/1000000),0),IF($A$2="DEX",IFERROR(IF($X$1="ABS",(100*RTD("tos.rtd",,"OPEN_INT","."&amp;J$2&amp;J$1&amp;"C"&amp;$A20)*RTD("tos.rtd",,"DELTA","."&amp;J$2&amp;J$1&amp;"C"&amp;$A20)+100*RTD("tos.rtd",,"OPEN_INT","."&amp;J$2&amp;J$1&amp;"P"&amp;$A20)*RTD("tos.rtd",,"DELTA","."&amp;J$2&amp;J$1&amp;"P"&amp;$A20))/1000,(100*RTD("tos.rtd",,"OPEN_INT","."&amp;J$2&amp;J$1&amp;"C"&amp;$A20)*RTD("tos.rtd",,"DELTA","."&amp;J$2&amp;J$1&amp;"C"&amp;$A20)-100*RTD("tos.rtd",,"OPEN_INT","."&amp;J$2&amp;J$1&amp;"P"&amp;$A20)*RTD("tos.rtd",,"DELTA","."&amp;J$2&amp;J$1&amp;"P"&amp;$A20))/1000),0),IF($A$2="VEX",IFERROR(IF($X$1="ABS",($A$4*$A$4*RTD("tos.rtd",,"VOLUME","."&amp;J$2&amp;J$1&amp;"C"&amp;$A20)*RTD("tos.rtd",,"GAMMA","."&amp;J$2&amp;J$1&amp;"C"&amp;$A20)+$A$4*$A$4*RTD("tos.rtd",,"VOLUME","."&amp;J$2&amp;J$1&amp;"P"&amp;$A20)*RTD("tos.rtd",,"GAMMA","."&amp;J$2&amp;J$1&amp;"P"&amp;$A20))/1000000,($A$4*$A$4*RTD("tos.rtd",,"VOLUME","."&amp;J$2&amp;J$1&amp;"C"&amp;$A20)*RTD("tos.rtd",,"GAMMA","."&amp;J$2&amp;J$1&amp;"C"&amp;$A20)-$A$4*$A$4*RTD("tos.rtd",,"VOLUME","."&amp;J$2&amp;J$1&amp;"P"&amp;$A20)*RTD("tos.rtd",,"GAMMA","."&amp;J$2&amp;J$1&amp;"P"&amp;$A20))/1000000),0),IF($A$2="GEX",IFERROR(IF($X$1="ABS",($A$4*$A$4*RTD("tos.rtd",,"OPEN_INT","."&amp;J$2&amp;J$1&amp;"C"&amp;$A20)*RTD("tos.rtd",,"GAMMA","."&amp;J$2&amp;J$1&amp;"C"&amp;$A20)+$A$4*$A$4*RTD("tos.rtd",,"OPEN_INT","."&amp;J$2&amp;J$1&amp;"P"&amp;$A20)*RTD("tos.rtd",,"GAMMA","."&amp;J$2&amp;J$1&amp;"P"&amp;$A20))/1000000,($A$4*$A$4*RTD("tos.rtd",,"OPEN_INT","."&amp;J$2&amp;J$1&amp;"C"&amp;$A20)*RTD("tos.rtd",,"GAMMA","."&amp;J$2&amp;J$1&amp;"C"&amp;$A20)-$A$4*$A$4*RTD("tos.rtd",,"OPEN_INT","."&amp;J$2&amp;J$1&amp;"P"&amp;$A20)*RTD("tos.rtd",,"GAMMA","."&amp;J$2&amp;J$1&amp;"P"&amp;$A20))/1000000),0),IF($A$2="SKEW",IFERROR(VALUE(IF(RTD("tos.rtd",,"IMPL_VOL","."&amp;J$2&amp;J$1&amp;"P"&amp;$A20)="N/A",0,RTD("tos.rtd",,"IMPL_VOL","."&amp;J$2&amp;J$1&amp;"P"&amp;$A20))),0)-IFERROR(VALUE(IF(RTD("tos.rtd",,"IMPL_VOL","."&amp;J$2&amp;J$1&amp;"C"&amp;$A20)="N/A",0,RTD("tos.rtd",,"IMPL_VOL","."&amp;J$2&amp;J$1&amp;"C"&amp;$A20))),0),IF($A$2="MAXPAIN",IF($A$4&gt;$A20,($A$4-$A20)*IF(RTD("tos.rtd",,"OPEN_INT","."&amp;J$2&amp;J$1&amp;"C"&amp;$A20)="N/A",0,RTD("tos.rtd",,"OPEN_INT","."&amp;J$2&amp;J$1&amp;"C"&amp;$A20)),0)+IF($A$4&lt;$A20,($A$5-$A$4)*IF(RTD("tos.rtd",,"OPEN_INT","."&amp;J$2&amp;J$1&amp;"P"&amp;$A20)="N/A",0,RTD("tos.rtd",,"OPEN_INT","."&amp;J$2&amp;J$1&amp;"P"&amp;$A20)),0),IF($X$1="ABS",IF(RTD("tos.rtd",,$A$2,"."&amp;J$2&amp;J$1&amp;"C"&amp;$A20)="N/A",0,RTD("tos.rtd",,$A$2,"."&amp;J$2&amp;J$1&amp;"C"&amp;$A20))+IF(RTD("tos.rtd",,$A$2,"."&amp;J$2&amp;J$1&amp;"P"&amp;$A20)="N/A",0,RTD("tos.rtd",,$A$2,"."&amp;J$2&amp;J$1&amp;"P"&amp;$A20)),IF(RTD("tos.rtd",,$A$2,"."&amp;J$2&amp;J$1&amp;"C"&amp;$A20)="N/A",0,RTD("tos.rtd",,$A$2,"."&amp;J$2&amp;J$1&amp;"C"&amp;$A20))-IF(RTD("tos.rtd",,$A$2,"."&amp;J$2&amp;J$1&amp;"P"&amp;$A20)="N/A",0,RTD("tos.rtd",,$A$2,"."&amp;J$2&amp;J$1&amp;"P"&amp;$A20))))))))))</f>
        <v>0</v>
      </c>
      <c r="K20" s="12">
        <f ca="1">IF($A$2="PREMIUM_OI",IFERROR(IF($X$1="ABS",(100*RTD("tos.rtd",,"OPEN_INT","."&amp;K$2&amp;K$1&amp;"C"&amp;$A20)*RTD("tos.rtd",,"LAST","."&amp;K$2&amp;K$1&amp;"C"&amp;$A20)+100*RTD("tos.rtd",,"OPEN_INT","."&amp;K$2&amp;K$1&amp;"P"&amp;$A20)*RTD("tos.rtd",,"LAST","."&amp;K$2&amp;K$1&amp;"P"&amp;$A20))/1000000,(100*RTD("tos.rtd",,"OPEN_INT","."&amp;K$2&amp;K$1&amp;"C"&amp;$A20)*RTD("tos.rtd",,"LAST","."&amp;K$2&amp;K$1&amp;"C"&amp;$A20)-100*RTD("tos.rtd",,"OPEN_INT","."&amp;K$2&amp;K$1&amp;"P"&amp;$A20)*RTD("tos.rtd",,"LAST","."&amp;K$2&amp;K$1&amp;"P"&amp;$A20))/1000000),0),IF($A$2="PREMIUM",IFERROR(IF($X$1="ABS",(100*RTD("tos.rtd",,"VOLUME","."&amp;K$2&amp;K$1&amp;"C"&amp;$A20)*RTD("tos.rtd",,"LAST","."&amp;K$2&amp;K$1&amp;"C"&amp;$A20)+100*RTD("tos.rtd",,"VOLUME","."&amp;K$2&amp;K$1&amp;"P"&amp;$A20)*RTD("tos.rtd",,"LAST","."&amp;K$2&amp;K$1&amp;"P"&amp;$A20))/1000000,(100*RTD("tos.rtd",,"VOLUME","."&amp;K$2&amp;K$1&amp;"C"&amp;$A20)*RTD("tos.rtd",,"LAST","."&amp;K$2&amp;K$1&amp;"C"&amp;$A20)-100*RTD("tos.rtd",,"VOLUME","."&amp;K$2&amp;K$1&amp;"P"&amp;$A20)*RTD("tos.rtd",,"LAST","."&amp;K$2&amp;K$1&amp;"P"&amp;$A20))/1000000),0),IF($A$2="DEX",IFERROR(IF($X$1="ABS",(100*RTD("tos.rtd",,"OPEN_INT","."&amp;K$2&amp;K$1&amp;"C"&amp;$A20)*RTD("tos.rtd",,"DELTA","."&amp;K$2&amp;K$1&amp;"C"&amp;$A20)+100*RTD("tos.rtd",,"OPEN_INT","."&amp;K$2&amp;K$1&amp;"P"&amp;$A20)*RTD("tos.rtd",,"DELTA","."&amp;K$2&amp;K$1&amp;"P"&amp;$A20))/1000,(100*RTD("tos.rtd",,"OPEN_INT","."&amp;K$2&amp;K$1&amp;"C"&amp;$A20)*RTD("tos.rtd",,"DELTA","."&amp;K$2&amp;K$1&amp;"C"&amp;$A20)-100*RTD("tos.rtd",,"OPEN_INT","."&amp;K$2&amp;K$1&amp;"P"&amp;$A20)*RTD("tos.rtd",,"DELTA","."&amp;K$2&amp;K$1&amp;"P"&amp;$A20))/1000),0),IF($A$2="VEX",IFERROR(IF($X$1="ABS",($A$4*$A$4*RTD("tos.rtd",,"VOLUME","."&amp;K$2&amp;K$1&amp;"C"&amp;$A20)*RTD("tos.rtd",,"GAMMA","."&amp;K$2&amp;K$1&amp;"C"&amp;$A20)+$A$4*$A$4*RTD("tos.rtd",,"VOLUME","."&amp;K$2&amp;K$1&amp;"P"&amp;$A20)*RTD("tos.rtd",,"GAMMA","."&amp;K$2&amp;K$1&amp;"P"&amp;$A20))/1000000,($A$4*$A$4*RTD("tos.rtd",,"VOLUME","."&amp;K$2&amp;K$1&amp;"C"&amp;$A20)*RTD("tos.rtd",,"GAMMA","."&amp;K$2&amp;K$1&amp;"C"&amp;$A20)-$A$4*$A$4*RTD("tos.rtd",,"VOLUME","."&amp;K$2&amp;K$1&amp;"P"&amp;$A20)*RTD("tos.rtd",,"GAMMA","."&amp;K$2&amp;K$1&amp;"P"&amp;$A20))/1000000),0),IF($A$2="GEX",IFERROR(IF($X$1="ABS",($A$4*$A$4*RTD("tos.rtd",,"OPEN_INT","."&amp;K$2&amp;K$1&amp;"C"&amp;$A20)*RTD("tos.rtd",,"GAMMA","."&amp;K$2&amp;K$1&amp;"C"&amp;$A20)+$A$4*$A$4*RTD("tos.rtd",,"OPEN_INT","."&amp;K$2&amp;K$1&amp;"P"&amp;$A20)*RTD("tos.rtd",,"GAMMA","."&amp;K$2&amp;K$1&amp;"P"&amp;$A20))/1000000,($A$4*$A$4*RTD("tos.rtd",,"OPEN_INT","."&amp;K$2&amp;K$1&amp;"C"&amp;$A20)*RTD("tos.rtd",,"GAMMA","."&amp;K$2&amp;K$1&amp;"C"&amp;$A20)-$A$4*$A$4*RTD("tos.rtd",,"OPEN_INT","."&amp;K$2&amp;K$1&amp;"P"&amp;$A20)*RTD("tos.rtd",,"GAMMA","."&amp;K$2&amp;K$1&amp;"P"&amp;$A20))/1000000),0),IF($A$2="SKEW",IFERROR(VALUE(IF(RTD("tos.rtd",,"IMPL_VOL","."&amp;K$2&amp;K$1&amp;"P"&amp;$A20)="N/A",0,RTD("tos.rtd",,"IMPL_VOL","."&amp;K$2&amp;K$1&amp;"P"&amp;$A20))),0)-IFERROR(VALUE(IF(RTD("tos.rtd",,"IMPL_VOL","."&amp;K$2&amp;K$1&amp;"C"&amp;$A20)="N/A",0,RTD("tos.rtd",,"IMPL_VOL","."&amp;K$2&amp;K$1&amp;"C"&amp;$A20))),0),IF($A$2="MAXPAIN",IF($A$4&gt;$A20,($A$4-$A20)*IF(RTD("tos.rtd",,"OPEN_INT","."&amp;K$2&amp;K$1&amp;"C"&amp;$A20)="N/A",0,RTD("tos.rtd",,"OPEN_INT","."&amp;K$2&amp;K$1&amp;"C"&amp;$A20)),0)+IF($A$4&lt;$A20,($A$5-$A$4)*IF(RTD("tos.rtd",,"OPEN_INT","."&amp;K$2&amp;K$1&amp;"P"&amp;$A20)="N/A",0,RTD("tos.rtd",,"OPEN_INT","."&amp;K$2&amp;K$1&amp;"P"&amp;$A20)),0),IF($X$1="ABS",IF(RTD("tos.rtd",,$A$2,"."&amp;K$2&amp;K$1&amp;"C"&amp;$A20)="N/A",0,RTD("tos.rtd",,$A$2,"."&amp;K$2&amp;K$1&amp;"C"&amp;$A20))+IF(RTD("tos.rtd",,$A$2,"."&amp;K$2&amp;K$1&amp;"P"&amp;$A20)="N/A",0,RTD("tos.rtd",,$A$2,"."&amp;K$2&amp;K$1&amp;"P"&amp;$A20)),IF(RTD("tos.rtd",,$A$2,"."&amp;K$2&amp;K$1&amp;"C"&amp;$A20)="N/A",0,RTD("tos.rtd",,$A$2,"."&amp;K$2&amp;K$1&amp;"C"&amp;$A20))-IF(RTD("tos.rtd",,$A$2,"."&amp;K$2&amp;K$1&amp;"P"&amp;$A20)="N/A",0,RTD("tos.rtd",,$A$2,"."&amp;K$2&amp;K$1&amp;"P"&amp;$A20))))))))))</f>
        <v>0</v>
      </c>
      <c r="L20" s="54">
        <f ca="1">IF($A$2="PREMIUM_OI",IFERROR(IF($X$1="ABS",(100*RTD("tos.rtd",,"OPEN_INT","."&amp;L$2&amp;L$1&amp;"C"&amp;$A20)*RTD("tos.rtd",,"LAST","."&amp;L$2&amp;L$1&amp;"C"&amp;$A20)+100*RTD("tos.rtd",,"OPEN_INT","."&amp;L$2&amp;L$1&amp;"P"&amp;$A20)*RTD("tos.rtd",,"LAST","."&amp;L$2&amp;L$1&amp;"P"&amp;$A20))/1000000,(100*RTD("tos.rtd",,"OPEN_INT","."&amp;L$2&amp;L$1&amp;"C"&amp;$A20)*RTD("tos.rtd",,"LAST","."&amp;L$2&amp;L$1&amp;"C"&amp;$A20)-100*RTD("tos.rtd",,"OPEN_INT","."&amp;L$2&amp;L$1&amp;"P"&amp;$A20)*RTD("tos.rtd",,"LAST","."&amp;L$2&amp;L$1&amp;"P"&amp;$A20))/1000000),0),IF($A$2="PREMIUM",IFERROR(IF($X$1="ABS",(100*RTD("tos.rtd",,"VOLUME","."&amp;L$2&amp;L$1&amp;"C"&amp;$A20)*RTD("tos.rtd",,"LAST","."&amp;L$2&amp;L$1&amp;"C"&amp;$A20)+100*RTD("tos.rtd",,"VOLUME","."&amp;L$2&amp;L$1&amp;"P"&amp;$A20)*RTD("tos.rtd",,"LAST","."&amp;L$2&amp;L$1&amp;"P"&amp;$A20))/1000000,(100*RTD("tos.rtd",,"VOLUME","."&amp;L$2&amp;L$1&amp;"C"&amp;$A20)*RTD("tos.rtd",,"LAST","."&amp;L$2&amp;L$1&amp;"C"&amp;$A20)-100*RTD("tos.rtd",,"VOLUME","."&amp;L$2&amp;L$1&amp;"P"&amp;$A20)*RTD("tos.rtd",,"LAST","."&amp;L$2&amp;L$1&amp;"P"&amp;$A20))/1000000),0),IF($A$2="DEX",IFERROR(IF($X$1="ABS",(100*RTD("tos.rtd",,"OPEN_INT","."&amp;L$2&amp;L$1&amp;"C"&amp;$A20)*RTD("tos.rtd",,"DELTA","."&amp;L$2&amp;L$1&amp;"C"&amp;$A20)+100*RTD("tos.rtd",,"OPEN_INT","."&amp;L$2&amp;L$1&amp;"P"&amp;$A20)*RTD("tos.rtd",,"DELTA","."&amp;L$2&amp;L$1&amp;"P"&amp;$A20))/1000,(100*RTD("tos.rtd",,"OPEN_INT","."&amp;L$2&amp;L$1&amp;"C"&amp;$A20)*RTD("tos.rtd",,"DELTA","."&amp;L$2&amp;L$1&amp;"C"&amp;$A20)-100*RTD("tos.rtd",,"OPEN_INT","."&amp;L$2&amp;L$1&amp;"P"&amp;$A20)*RTD("tos.rtd",,"DELTA","."&amp;L$2&amp;L$1&amp;"P"&amp;$A20))/1000),0),IF($A$2="VEX",IFERROR(IF($X$1="ABS",($A$4*$A$4*RTD("tos.rtd",,"VOLUME","."&amp;L$2&amp;L$1&amp;"C"&amp;$A20)*RTD("tos.rtd",,"GAMMA","."&amp;L$2&amp;L$1&amp;"C"&amp;$A20)+$A$4*$A$4*RTD("tos.rtd",,"VOLUME","."&amp;L$2&amp;L$1&amp;"P"&amp;$A20)*RTD("tos.rtd",,"GAMMA","."&amp;L$2&amp;L$1&amp;"P"&amp;$A20))/1000000,($A$4*$A$4*RTD("tos.rtd",,"VOLUME","."&amp;L$2&amp;L$1&amp;"C"&amp;$A20)*RTD("tos.rtd",,"GAMMA","."&amp;L$2&amp;L$1&amp;"C"&amp;$A20)-$A$4*$A$4*RTD("tos.rtd",,"VOLUME","."&amp;L$2&amp;L$1&amp;"P"&amp;$A20)*RTD("tos.rtd",,"GAMMA","."&amp;L$2&amp;L$1&amp;"P"&amp;$A20))/1000000),0),IF($A$2="GEX",IFERROR(IF($X$1="ABS",($A$4*$A$4*RTD("tos.rtd",,"OPEN_INT","."&amp;L$2&amp;L$1&amp;"C"&amp;$A20)*RTD("tos.rtd",,"GAMMA","."&amp;L$2&amp;L$1&amp;"C"&amp;$A20)+$A$4*$A$4*RTD("tos.rtd",,"OPEN_INT","."&amp;L$2&amp;L$1&amp;"P"&amp;$A20)*RTD("tos.rtd",,"GAMMA","."&amp;L$2&amp;L$1&amp;"P"&amp;$A20))/1000000,($A$4*$A$4*RTD("tos.rtd",,"OPEN_INT","."&amp;L$2&amp;L$1&amp;"C"&amp;$A20)*RTD("tos.rtd",,"GAMMA","."&amp;L$2&amp;L$1&amp;"C"&amp;$A20)-$A$4*$A$4*RTD("tos.rtd",,"OPEN_INT","."&amp;L$2&amp;L$1&amp;"P"&amp;$A20)*RTD("tos.rtd",,"GAMMA","."&amp;L$2&amp;L$1&amp;"P"&amp;$A20))/1000000),0),IF($A$2="SKEW",IFERROR(VALUE(IF(RTD("tos.rtd",,"IMPL_VOL","."&amp;L$2&amp;L$1&amp;"P"&amp;$A20)="N/A",0,RTD("tos.rtd",,"IMPL_VOL","."&amp;L$2&amp;L$1&amp;"P"&amp;$A20))),0)-IFERROR(VALUE(IF(RTD("tos.rtd",,"IMPL_VOL","."&amp;L$2&amp;L$1&amp;"C"&amp;$A20)="N/A",0,RTD("tos.rtd",,"IMPL_VOL","."&amp;L$2&amp;L$1&amp;"C"&amp;$A20))),0),IF($A$2="MAXPAIN",IF($A$4&gt;$A20,($A$4-$A20)*IF(RTD("tos.rtd",,"OPEN_INT","."&amp;L$2&amp;L$1&amp;"C"&amp;$A20)="N/A",0,RTD("tos.rtd",,"OPEN_INT","."&amp;L$2&amp;L$1&amp;"C"&amp;$A20)),0)+IF($A$4&lt;$A20,($A$5-$A$4)*IF(RTD("tos.rtd",,"OPEN_INT","."&amp;L$2&amp;L$1&amp;"P"&amp;$A20)="N/A",0,RTD("tos.rtd",,"OPEN_INT","."&amp;L$2&amp;L$1&amp;"P"&amp;$A20)),0),IF($X$1="ABS",IF(RTD("tos.rtd",,$A$2,"."&amp;L$2&amp;L$1&amp;"C"&amp;$A20)="N/A",0,RTD("tos.rtd",,$A$2,"."&amp;L$2&amp;L$1&amp;"C"&amp;$A20))+IF(RTD("tos.rtd",,$A$2,"."&amp;L$2&amp;L$1&amp;"P"&amp;$A20)="N/A",0,RTD("tos.rtd",,$A$2,"."&amp;L$2&amp;L$1&amp;"P"&amp;$A20)),IF(RTD("tos.rtd",,$A$2,"."&amp;L$2&amp;L$1&amp;"C"&amp;$A20)="N/A",0,RTD("tos.rtd",,$A$2,"."&amp;L$2&amp;L$1&amp;"C"&amp;$A20))-IF(RTD("tos.rtd",,$A$2,"."&amp;L$2&amp;L$1&amp;"P"&amp;$A20)="N/A",0,RTD("tos.rtd",,$A$2,"."&amp;L$2&amp;L$1&amp;"P"&amp;$A20))))))))))</f>
        <v>5712</v>
      </c>
      <c r="M20" s="12">
        <f ca="1">IF($A$2="PREMIUM_OI",IFERROR(IF($X$1="ABS",(100*RTD("tos.rtd",,"OPEN_INT","."&amp;M$2&amp;M$1&amp;"C"&amp;$A20)*RTD("tos.rtd",,"LAST","."&amp;M$2&amp;M$1&amp;"C"&amp;$A20)+100*RTD("tos.rtd",,"OPEN_INT","."&amp;M$2&amp;M$1&amp;"P"&amp;$A20)*RTD("tos.rtd",,"LAST","."&amp;M$2&amp;M$1&amp;"P"&amp;$A20))/1000000,(100*RTD("tos.rtd",,"OPEN_INT","."&amp;M$2&amp;M$1&amp;"C"&amp;$A20)*RTD("tos.rtd",,"LAST","."&amp;M$2&amp;M$1&amp;"C"&amp;$A20)-100*RTD("tos.rtd",,"OPEN_INT","."&amp;M$2&amp;M$1&amp;"P"&amp;$A20)*RTD("tos.rtd",,"LAST","."&amp;M$2&amp;M$1&amp;"P"&amp;$A20))/1000000),0),IF($A$2="PREMIUM",IFERROR(IF($X$1="ABS",(100*RTD("tos.rtd",,"VOLUME","."&amp;M$2&amp;M$1&amp;"C"&amp;$A20)*RTD("tos.rtd",,"LAST","."&amp;M$2&amp;M$1&amp;"C"&amp;$A20)+100*RTD("tos.rtd",,"VOLUME","."&amp;M$2&amp;M$1&amp;"P"&amp;$A20)*RTD("tos.rtd",,"LAST","."&amp;M$2&amp;M$1&amp;"P"&amp;$A20))/1000000,(100*RTD("tos.rtd",,"VOLUME","."&amp;M$2&amp;M$1&amp;"C"&amp;$A20)*RTD("tos.rtd",,"LAST","."&amp;M$2&amp;M$1&amp;"C"&amp;$A20)-100*RTD("tos.rtd",,"VOLUME","."&amp;M$2&amp;M$1&amp;"P"&amp;$A20)*RTD("tos.rtd",,"LAST","."&amp;M$2&amp;M$1&amp;"P"&amp;$A20))/1000000),0),IF($A$2="DEX",IFERROR(IF($X$1="ABS",(100*RTD("tos.rtd",,"OPEN_INT","."&amp;M$2&amp;M$1&amp;"C"&amp;$A20)*RTD("tos.rtd",,"DELTA","."&amp;M$2&amp;M$1&amp;"C"&amp;$A20)+100*RTD("tos.rtd",,"OPEN_INT","."&amp;M$2&amp;M$1&amp;"P"&amp;$A20)*RTD("tos.rtd",,"DELTA","."&amp;M$2&amp;M$1&amp;"P"&amp;$A20))/1000,(100*RTD("tos.rtd",,"OPEN_INT","."&amp;M$2&amp;M$1&amp;"C"&amp;$A20)*RTD("tos.rtd",,"DELTA","."&amp;M$2&amp;M$1&amp;"C"&amp;$A20)-100*RTD("tos.rtd",,"OPEN_INT","."&amp;M$2&amp;M$1&amp;"P"&amp;$A20)*RTD("tos.rtd",,"DELTA","."&amp;M$2&amp;M$1&amp;"P"&amp;$A20))/1000),0),IF($A$2="VEX",IFERROR(IF($X$1="ABS",($A$4*$A$4*RTD("tos.rtd",,"VOLUME","."&amp;M$2&amp;M$1&amp;"C"&amp;$A20)*RTD("tos.rtd",,"GAMMA","."&amp;M$2&amp;M$1&amp;"C"&amp;$A20)+$A$4*$A$4*RTD("tos.rtd",,"VOLUME","."&amp;M$2&amp;M$1&amp;"P"&amp;$A20)*RTD("tos.rtd",,"GAMMA","."&amp;M$2&amp;M$1&amp;"P"&amp;$A20))/1000000,($A$4*$A$4*RTD("tos.rtd",,"VOLUME","."&amp;M$2&amp;M$1&amp;"C"&amp;$A20)*RTD("tos.rtd",,"GAMMA","."&amp;M$2&amp;M$1&amp;"C"&amp;$A20)-$A$4*$A$4*RTD("tos.rtd",,"VOLUME","."&amp;M$2&amp;M$1&amp;"P"&amp;$A20)*RTD("tos.rtd",,"GAMMA","."&amp;M$2&amp;M$1&amp;"P"&amp;$A20))/1000000),0),IF($A$2="GEX",IFERROR(IF($X$1="ABS",($A$4*$A$4*RTD("tos.rtd",,"OPEN_INT","."&amp;M$2&amp;M$1&amp;"C"&amp;$A20)*RTD("tos.rtd",,"GAMMA","."&amp;M$2&amp;M$1&amp;"C"&amp;$A20)+$A$4*$A$4*RTD("tos.rtd",,"OPEN_INT","."&amp;M$2&amp;M$1&amp;"P"&amp;$A20)*RTD("tos.rtd",,"GAMMA","."&amp;M$2&amp;M$1&amp;"P"&amp;$A20))/1000000,($A$4*$A$4*RTD("tos.rtd",,"OPEN_INT","."&amp;M$2&amp;M$1&amp;"C"&amp;$A20)*RTD("tos.rtd",,"GAMMA","."&amp;M$2&amp;M$1&amp;"C"&amp;$A20)-$A$4*$A$4*RTD("tos.rtd",,"OPEN_INT","."&amp;M$2&amp;M$1&amp;"P"&amp;$A20)*RTD("tos.rtd",,"GAMMA","."&amp;M$2&amp;M$1&amp;"P"&amp;$A20))/1000000),0),IF($A$2="SKEW",IFERROR(VALUE(IF(RTD("tos.rtd",,"IMPL_VOL","."&amp;M$2&amp;M$1&amp;"P"&amp;$A20)="N/A",0,RTD("tos.rtd",,"IMPL_VOL","."&amp;M$2&amp;M$1&amp;"P"&amp;$A20))),0)-IFERROR(VALUE(IF(RTD("tos.rtd",,"IMPL_VOL","."&amp;M$2&amp;M$1&amp;"C"&amp;$A20)="N/A",0,RTD("tos.rtd",,"IMPL_VOL","."&amp;M$2&amp;M$1&amp;"C"&amp;$A20))),0),IF($A$2="MAXPAIN",IF($A$4&gt;$A20,($A$4-$A20)*IF(RTD("tos.rtd",,"OPEN_INT","."&amp;M$2&amp;M$1&amp;"C"&amp;$A20)="N/A",0,RTD("tos.rtd",,"OPEN_INT","."&amp;M$2&amp;M$1&amp;"C"&amp;$A20)),0)+IF($A$4&lt;$A20,($A$5-$A$4)*IF(RTD("tos.rtd",,"OPEN_INT","."&amp;M$2&amp;M$1&amp;"P"&amp;$A20)="N/A",0,RTD("tos.rtd",,"OPEN_INT","."&amp;M$2&amp;M$1&amp;"P"&amp;$A20)),0),IF($X$1="ABS",IF(RTD("tos.rtd",,$A$2,"."&amp;M$2&amp;M$1&amp;"C"&amp;$A20)="N/A",0,RTD("tos.rtd",,$A$2,"."&amp;M$2&amp;M$1&amp;"C"&amp;$A20))+IF(RTD("tos.rtd",,$A$2,"."&amp;M$2&amp;M$1&amp;"P"&amp;$A20)="N/A",0,RTD("tos.rtd",,$A$2,"."&amp;M$2&amp;M$1&amp;"P"&amp;$A20)),IF(RTD("tos.rtd",,$A$2,"."&amp;M$2&amp;M$1&amp;"C"&amp;$A20)="N/A",0,RTD("tos.rtd",,$A$2,"."&amp;M$2&amp;M$1&amp;"C"&amp;$A20))-IF(RTD("tos.rtd",,$A$2,"."&amp;M$2&amp;M$1&amp;"P"&amp;$A20)="N/A",0,RTD("tos.rtd",,$A$2,"."&amp;M$2&amp;M$1&amp;"P"&amp;$A20))))))))))</f>
        <v>952</v>
      </c>
      <c r="N20" s="12">
        <f ca="1">IF($A$2="PREMIUM_OI",IFERROR(IF($X$1="ABS",(100*RTD("tos.rtd",,"OPEN_INT","."&amp;N$2&amp;N$1&amp;"C"&amp;$A20)*RTD("tos.rtd",,"LAST","."&amp;N$2&amp;N$1&amp;"C"&amp;$A20)+100*RTD("tos.rtd",,"OPEN_INT","."&amp;N$2&amp;N$1&amp;"P"&amp;$A20)*RTD("tos.rtd",,"LAST","."&amp;N$2&amp;N$1&amp;"P"&amp;$A20))/1000000,(100*RTD("tos.rtd",,"OPEN_INT","."&amp;N$2&amp;N$1&amp;"C"&amp;$A20)*RTD("tos.rtd",,"LAST","."&amp;N$2&amp;N$1&amp;"C"&amp;$A20)-100*RTD("tos.rtd",,"OPEN_INT","."&amp;N$2&amp;N$1&amp;"P"&amp;$A20)*RTD("tos.rtd",,"LAST","."&amp;N$2&amp;N$1&amp;"P"&amp;$A20))/1000000),0),IF($A$2="PREMIUM",IFERROR(IF($X$1="ABS",(100*RTD("tos.rtd",,"VOLUME","."&amp;N$2&amp;N$1&amp;"C"&amp;$A20)*RTD("tos.rtd",,"LAST","."&amp;N$2&amp;N$1&amp;"C"&amp;$A20)+100*RTD("tos.rtd",,"VOLUME","."&amp;N$2&amp;N$1&amp;"P"&amp;$A20)*RTD("tos.rtd",,"LAST","."&amp;N$2&amp;N$1&amp;"P"&amp;$A20))/1000000,(100*RTD("tos.rtd",,"VOLUME","."&amp;N$2&amp;N$1&amp;"C"&amp;$A20)*RTD("tos.rtd",,"LAST","."&amp;N$2&amp;N$1&amp;"C"&amp;$A20)-100*RTD("tos.rtd",,"VOLUME","."&amp;N$2&amp;N$1&amp;"P"&amp;$A20)*RTD("tos.rtd",,"LAST","."&amp;N$2&amp;N$1&amp;"P"&amp;$A20))/1000000),0),IF($A$2="DEX",IFERROR(IF($X$1="ABS",(100*RTD("tos.rtd",,"OPEN_INT","."&amp;N$2&amp;N$1&amp;"C"&amp;$A20)*RTD("tos.rtd",,"DELTA","."&amp;N$2&amp;N$1&amp;"C"&amp;$A20)+100*RTD("tos.rtd",,"OPEN_INT","."&amp;N$2&amp;N$1&amp;"P"&amp;$A20)*RTD("tos.rtd",,"DELTA","."&amp;N$2&amp;N$1&amp;"P"&amp;$A20))/1000,(100*RTD("tos.rtd",,"OPEN_INT","."&amp;N$2&amp;N$1&amp;"C"&amp;$A20)*RTD("tos.rtd",,"DELTA","."&amp;N$2&amp;N$1&amp;"C"&amp;$A20)-100*RTD("tos.rtd",,"OPEN_INT","."&amp;N$2&amp;N$1&amp;"P"&amp;$A20)*RTD("tos.rtd",,"DELTA","."&amp;N$2&amp;N$1&amp;"P"&amp;$A20))/1000),0),IF($A$2="VEX",IFERROR(IF($X$1="ABS",($A$4*$A$4*RTD("tos.rtd",,"VOLUME","."&amp;N$2&amp;N$1&amp;"C"&amp;$A20)*RTD("tos.rtd",,"GAMMA","."&amp;N$2&amp;N$1&amp;"C"&amp;$A20)+$A$4*$A$4*RTD("tos.rtd",,"VOLUME","."&amp;N$2&amp;N$1&amp;"P"&amp;$A20)*RTD("tos.rtd",,"GAMMA","."&amp;N$2&amp;N$1&amp;"P"&amp;$A20))/1000000,($A$4*$A$4*RTD("tos.rtd",,"VOLUME","."&amp;N$2&amp;N$1&amp;"C"&amp;$A20)*RTD("tos.rtd",,"GAMMA","."&amp;N$2&amp;N$1&amp;"C"&amp;$A20)-$A$4*$A$4*RTD("tos.rtd",,"VOLUME","."&amp;N$2&amp;N$1&amp;"P"&amp;$A20)*RTD("tos.rtd",,"GAMMA","."&amp;N$2&amp;N$1&amp;"P"&amp;$A20))/1000000),0),IF($A$2="GEX",IFERROR(IF($X$1="ABS",($A$4*$A$4*RTD("tos.rtd",,"OPEN_INT","."&amp;N$2&amp;N$1&amp;"C"&amp;$A20)*RTD("tos.rtd",,"GAMMA","."&amp;N$2&amp;N$1&amp;"C"&amp;$A20)+$A$4*$A$4*RTD("tos.rtd",,"OPEN_INT","."&amp;N$2&amp;N$1&amp;"P"&amp;$A20)*RTD("tos.rtd",,"GAMMA","."&amp;N$2&amp;N$1&amp;"P"&amp;$A20))/1000000,($A$4*$A$4*RTD("tos.rtd",,"OPEN_INT","."&amp;N$2&amp;N$1&amp;"C"&amp;$A20)*RTD("tos.rtd",,"GAMMA","."&amp;N$2&amp;N$1&amp;"C"&amp;$A20)-$A$4*$A$4*RTD("tos.rtd",,"OPEN_INT","."&amp;N$2&amp;N$1&amp;"P"&amp;$A20)*RTD("tos.rtd",,"GAMMA","."&amp;N$2&amp;N$1&amp;"P"&amp;$A20))/1000000),0),IF($A$2="SKEW",IFERROR(VALUE(IF(RTD("tos.rtd",,"IMPL_VOL","."&amp;N$2&amp;N$1&amp;"P"&amp;$A20)="N/A",0,RTD("tos.rtd",,"IMPL_VOL","."&amp;N$2&amp;N$1&amp;"P"&amp;$A20))),0)-IFERROR(VALUE(IF(RTD("tos.rtd",,"IMPL_VOL","."&amp;N$2&amp;N$1&amp;"C"&amp;$A20)="N/A",0,RTD("tos.rtd",,"IMPL_VOL","."&amp;N$2&amp;N$1&amp;"C"&amp;$A20))),0),IF($A$2="MAXPAIN",IF($A$4&gt;$A20,($A$4-$A20)*IF(RTD("tos.rtd",,"OPEN_INT","."&amp;N$2&amp;N$1&amp;"C"&amp;$A20)="N/A",0,RTD("tos.rtd",,"OPEN_INT","."&amp;N$2&amp;N$1&amp;"C"&amp;$A20)),0)+IF($A$4&lt;$A20,($A$5-$A$4)*IF(RTD("tos.rtd",,"OPEN_INT","."&amp;N$2&amp;N$1&amp;"P"&amp;$A20)="N/A",0,RTD("tos.rtd",,"OPEN_INT","."&amp;N$2&amp;N$1&amp;"P"&amp;$A20)),0),IF($X$1="ABS",IF(RTD("tos.rtd",,$A$2,"."&amp;N$2&amp;N$1&amp;"C"&amp;$A20)="N/A",0,RTD("tos.rtd",,$A$2,"."&amp;N$2&amp;N$1&amp;"C"&amp;$A20))+IF(RTD("tos.rtd",,$A$2,"."&amp;N$2&amp;N$1&amp;"P"&amp;$A20)="N/A",0,RTD("tos.rtd",,$A$2,"."&amp;N$2&amp;N$1&amp;"P"&amp;$A20)),IF(RTD("tos.rtd",,$A$2,"."&amp;N$2&amp;N$1&amp;"C"&amp;$A20)="N/A",0,RTD("tos.rtd",,$A$2,"."&amp;N$2&amp;N$1&amp;"C"&amp;$A20))-IF(RTD("tos.rtd",,$A$2,"."&amp;N$2&amp;N$1&amp;"P"&amp;$A20)="N/A",0,RTD("tos.rtd",,$A$2,"."&amp;N$2&amp;N$1&amp;"P"&amp;$A20))))))))))</f>
        <v>0</v>
      </c>
      <c r="O20" s="12">
        <f ca="1">IF($A$2="PREMIUM_OI",IFERROR(IF($X$1="ABS",(100*RTD("tos.rtd",,"OPEN_INT","."&amp;O$2&amp;O$1&amp;"C"&amp;$A20)*RTD("tos.rtd",,"LAST","."&amp;O$2&amp;O$1&amp;"C"&amp;$A20)+100*RTD("tos.rtd",,"OPEN_INT","."&amp;O$2&amp;O$1&amp;"P"&amp;$A20)*RTD("tos.rtd",,"LAST","."&amp;O$2&amp;O$1&amp;"P"&amp;$A20))/1000000,(100*RTD("tos.rtd",,"OPEN_INT","."&amp;O$2&amp;O$1&amp;"C"&amp;$A20)*RTD("tos.rtd",,"LAST","."&amp;O$2&amp;O$1&amp;"C"&amp;$A20)-100*RTD("tos.rtd",,"OPEN_INT","."&amp;O$2&amp;O$1&amp;"P"&amp;$A20)*RTD("tos.rtd",,"LAST","."&amp;O$2&amp;O$1&amp;"P"&amp;$A20))/1000000),0),IF($A$2="PREMIUM",IFERROR(IF($X$1="ABS",(100*RTD("tos.rtd",,"VOLUME","."&amp;O$2&amp;O$1&amp;"C"&amp;$A20)*RTD("tos.rtd",,"LAST","."&amp;O$2&amp;O$1&amp;"C"&amp;$A20)+100*RTD("tos.rtd",,"VOLUME","."&amp;O$2&amp;O$1&amp;"P"&amp;$A20)*RTD("tos.rtd",,"LAST","."&amp;O$2&amp;O$1&amp;"P"&amp;$A20))/1000000,(100*RTD("tos.rtd",,"VOLUME","."&amp;O$2&amp;O$1&amp;"C"&amp;$A20)*RTD("tos.rtd",,"LAST","."&amp;O$2&amp;O$1&amp;"C"&amp;$A20)-100*RTD("tos.rtd",,"VOLUME","."&amp;O$2&amp;O$1&amp;"P"&amp;$A20)*RTD("tos.rtd",,"LAST","."&amp;O$2&amp;O$1&amp;"P"&amp;$A20))/1000000),0),IF($A$2="DEX",IFERROR(IF($X$1="ABS",(100*RTD("tos.rtd",,"OPEN_INT","."&amp;O$2&amp;O$1&amp;"C"&amp;$A20)*RTD("tos.rtd",,"DELTA","."&amp;O$2&amp;O$1&amp;"C"&amp;$A20)+100*RTD("tos.rtd",,"OPEN_INT","."&amp;O$2&amp;O$1&amp;"P"&amp;$A20)*RTD("tos.rtd",,"DELTA","."&amp;O$2&amp;O$1&amp;"P"&amp;$A20))/1000,(100*RTD("tos.rtd",,"OPEN_INT","."&amp;O$2&amp;O$1&amp;"C"&amp;$A20)*RTD("tos.rtd",,"DELTA","."&amp;O$2&amp;O$1&amp;"C"&amp;$A20)-100*RTD("tos.rtd",,"OPEN_INT","."&amp;O$2&amp;O$1&amp;"P"&amp;$A20)*RTD("tos.rtd",,"DELTA","."&amp;O$2&amp;O$1&amp;"P"&amp;$A20))/1000),0),IF($A$2="VEX",IFERROR(IF($X$1="ABS",($A$4*$A$4*RTD("tos.rtd",,"VOLUME","."&amp;O$2&amp;O$1&amp;"C"&amp;$A20)*RTD("tos.rtd",,"GAMMA","."&amp;O$2&amp;O$1&amp;"C"&amp;$A20)+$A$4*$A$4*RTD("tos.rtd",,"VOLUME","."&amp;O$2&amp;O$1&amp;"P"&amp;$A20)*RTD("tos.rtd",,"GAMMA","."&amp;O$2&amp;O$1&amp;"P"&amp;$A20))/1000000,($A$4*$A$4*RTD("tos.rtd",,"VOLUME","."&amp;O$2&amp;O$1&amp;"C"&amp;$A20)*RTD("tos.rtd",,"GAMMA","."&amp;O$2&amp;O$1&amp;"C"&amp;$A20)-$A$4*$A$4*RTD("tos.rtd",,"VOLUME","."&amp;O$2&amp;O$1&amp;"P"&amp;$A20)*RTD("tos.rtd",,"GAMMA","."&amp;O$2&amp;O$1&amp;"P"&amp;$A20))/1000000),0),IF($A$2="GEX",IFERROR(IF($X$1="ABS",($A$4*$A$4*RTD("tos.rtd",,"OPEN_INT","."&amp;O$2&amp;O$1&amp;"C"&amp;$A20)*RTD("tos.rtd",,"GAMMA","."&amp;O$2&amp;O$1&amp;"C"&amp;$A20)+$A$4*$A$4*RTD("tos.rtd",,"OPEN_INT","."&amp;O$2&amp;O$1&amp;"P"&amp;$A20)*RTD("tos.rtd",,"GAMMA","."&amp;O$2&amp;O$1&amp;"P"&amp;$A20))/1000000,($A$4*$A$4*RTD("tos.rtd",,"OPEN_INT","."&amp;O$2&amp;O$1&amp;"C"&amp;$A20)*RTD("tos.rtd",,"GAMMA","."&amp;O$2&amp;O$1&amp;"C"&amp;$A20)-$A$4*$A$4*RTD("tos.rtd",,"OPEN_INT","."&amp;O$2&amp;O$1&amp;"P"&amp;$A20)*RTD("tos.rtd",,"GAMMA","."&amp;O$2&amp;O$1&amp;"P"&amp;$A20))/1000000),0),IF($A$2="SKEW",IFERROR(VALUE(IF(RTD("tos.rtd",,"IMPL_VOL","."&amp;O$2&amp;O$1&amp;"P"&amp;$A20)="N/A",0,RTD("tos.rtd",,"IMPL_VOL","."&amp;O$2&amp;O$1&amp;"P"&amp;$A20))),0)-IFERROR(VALUE(IF(RTD("tos.rtd",,"IMPL_VOL","."&amp;O$2&amp;O$1&amp;"C"&amp;$A20)="N/A",0,RTD("tos.rtd",,"IMPL_VOL","."&amp;O$2&amp;O$1&amp;"C"&amp;$A20))),0),IF($A$2="MAXPAIN",IF($A$4&gt;$A20,($A$4-$A20)*IF(RTD("tos.rtd",,"OPEN_INT","."&amp;O$2&amp;O$1&amp;"C"&amp;$A20)="N/A",0,RTD("tos.rtd",,"OPEN_INT","."&amp;O$2&amp;O$1&amp;"C"&amp;$A20)),0)+IF($A$4&lt;$A20,($A$5-$A$4)*IF(RTD("tos.rtd",,"OPEN_INT","."&amp;O$2&amp;O$1&amp;"P"&amp;$A20)="N/A",0,RTD("tos.rtd",,"OPEN_INT","."&amp;O$2&amp;O$1&amp;"P"&amp;$A20)),0),IF($X$1="ABS",IF(RTD("tos.rtd",,$A$2,"."&amp;O$2&amp;O$1&amp;"C"&amp;$A20)="N/A",0,RTD("tos.rtd",,$A$2,"."&amp;O$2&amp;O$1&amp;"C"&amp;$A20))+IF(RTD("tos.rtd",,$A$2,"."&amp;O$2&amp;O$1&amp;"P"&amp;$A20)="N/A",0,RTD("tos.rtd",,$A$2,"."&amp;O$2&amp;O$1&amp;"P"&amp;$A20)),IF(RTD("tos.rtd",,$A$2,"."&amp;O$2&amp;O$1&amp;"C"&amp;$A20)="N/A",0,RTD("tos.rtd",,$A$2,"."&amp;O$2&amp;O$1&amp;"C"&amp;$A20))-IF(RTD("tos.rtd",,$A$2,"."&amp;O$2&amp;O$1&amp;"P"&amp;$A20)="N/A",0,RTD("tos.rtd",,$A$2,"."&amp;O$2&amp;O$1&amp;"P"&amp;$A20))))))))))</f>
        <v>0</v>
      </c>
      <c r="P20" s="12">
        <f ca="1">IF($A$2="PREMIUM_OI",IFERROR(IF($X$1="ABS",(100*RTD("tos.rtd",,"OPEN_INT","."&amp;P$2&amp;P$1&amp;"C"&amp;$A20)*RTD("tos.rtd",,"LAST","."&amp;P$2&amp;P$1&amp;"C"&amp;$A20)+100*RTD("tos.rtd",,"OPEN_INT","."&amp;P$2&amp;P$1&amp;"P"&amp;$A20)*RTD("tos.rtd",,"LAST","."&amp;P$2&amp;P$1&amp;"P"&amp;$A20))/1000000,(100*RTD("tos.rtd",,"OPEN_INT","."&amp;P$2&amp;P$1&amp;"C"&amp;$A20)*RTD("tos.rtd",,"LAST","."&amp;P$2&amp;P$1&amp;"C"&amp;$A20)-100*RTD("tos.rtd",,"OPEN_INT","."&amp;P$2&amp;P$1&amp;"P"&amp;$A20)*RTD("tos.rtd",,"LAST","."&amp;P$2&amp;P$1&amp;"P"&amp;$A20))/1000000),0),IF($A$2="PREMIUM",IFERROR(IF($X$1="ABS",(100*RTD("tos.rtd",,"VOLUME","."&amp;P$2&amp;P$1&amp;"C"&amp;$A20)*RTD("tos.rtd",,"LAST","."&amp;P$2&amp;P$1&amp;"C"&amp;$A20)+100*RTD("tos.rtd",,"VOLUME","."&amp;P$2&amp;P$1&amp;"P"&amp;$A20)*RTD("tos.rtd",,"LAST","."&amp;P$2&amp;P$1&amp;"P"&amp;$A20))/1000000,(100*RTD("tos.rtd",,"VOLUME","."&amp;P$2&amp;P$1&amp;"C"&amp;$A20)*RTD("tos.rtd",,"LAST","."&amp;P$2&amp;P$1&amp;"C"&amp;$A20)-100*RTD("tos.rtd",,"VOLUME","."&amp;P$2&amp;P$1&amp;"P"&amp;$A20)*RTD("tos.rtd",,"LAST","."&amp;P$2&amp;P$1&amp;"P"&amp;$A20))/1000000),0),IF($A$2="DEX",IFERROR(IF($X$1="ABS",(100*RTD("tos.rtd",,"OPEN_INT","."&amp;P$2&amp;P$1&amp;"C"&amp;$A20)*RTD("tos.rtd",,"DELTA","."&amp;P$2&amp;P$1&amp;"C"&amp;$A20)+100*RTD("tos.rtd",,"OPEN_INT","."&amp;P$2&amp;P$1&amp;"P"&amp;$A20)*RTD("tos.rtd",,"DELTA","."&amp;P$2&amp;P$1&amp;"P"&amp;$A20))/1000,(100*RTD("tos.rtd",,"OPEN_INT","."&amp;P$2&amp;P$1&amp;"C"&amp;$A20)*RTD("tos.rtd",,"DELTA","."&amp;P$2&amp;P$1&amp;"C"&amp;$A20)-100*RTD("tos.rtd",,"OPEN_INT","."&amp;P$2&amp;P$1&amp;"P"&amp;$A20)*RTD("tos.rtd",,"DELTA","."&amp;P$2&amp;P$1&amp;"P"&amp;$A20))/1000),0),IF($A$2="VEX",IFERROR(IF($X$1="ABS",($A$4*$A$4*RTD("tos.rtd",,"VOLUME","."&amp;P$2&amp;P$1&amp;"C"&amp;$A20)*RTD("tos.rtd",,"GAMMA","."&amp;P$2&amp;P$1&amp;"C"&amp;$A20)+$A$4*$A$4*RTD("tos.rtd",,"VOLUME","."&amp;P$2&amp;P$1&amp;"P"&amp;$A20)*RTD("tos.rtd",,"GAMMA","."&amp;P$2&amp;P$1&amp;"P"&amp;$A20))/1000000,($A$4*$A$4*RTD("tos.rtd",,"VOLUME","."&amp;P$2&amp;P$1&amp;"C"&amp;$A20)*RTD("tos.rtd",,"GAMMA","."&amp;P$2&amp;P$1&amp;"C"&amp;$A20)-$A$4*$A$4*RTD("tos.rtd",,"VOLUME","."&amp;P$2&amp;P$1&amp;"P"&amp;$A20)*RTD("tos.rtd",,"GAMMA","."&amp;P$2&amp;P$1&amp;"P"&amp;$A20))/1000000),0),IF($A$2="GEX",IFERROR(IF($X$1="ABS",($A$4*$A$4*RTD("tos.rtd",,"OPEN_INT","."&amp;P$2&amp;P$1&amp;"C"&amp;$A20)*RTD("tos.rtd",,"GAMMA","."&amp;P$2&amp;P$1&amp;"C"&amp;$A20)+$A$4*$A$4*RTD("tos.rtd",,"OPEN_INT","."&amp;P$2&amp;P$1&amp;"P"&amp;$A20)*RTD("tos.rtd",,"GAMMA","."&amp;P$2&amp;P$1&amp;"P"&amp;$A20))/1000000,($A$4*$A$4*RTD("tos.rtd",,"OPEN_INT","."&amp;P$2&amp;P$1&amp;"C"&amp;$A20)*RTD("tos.rtd",,"GAMMA","."&amp;P$2&amp;P$1&amp;"C"&amp;$A20)-$A$4*$A$4*RTD("tos.rtd",,"OPEN_INT","."&amp;P$2&amp;P$1&amp;"P"&amp;$A20)*RTD("tos.rtd",,"GAMMA","."&amp;P$2&amp;P$1&amp;"P"&amp;$A20))/1000000),0),IF($A$2="SKEW",IFERROR(VALUE(IF(RTD("tos.rtd",,"IMPL_VOL","."&amp;P$2&amp;P$1&amp;"P"&amp;$A20)="N/A",0,RTD("tos.rtd",,"IMPL_VOL","."&amp;P$2&amp;P$1&amp;"P"&amp;$A20))),0)-IFERROR(VALUE(IF(RTD("tos.rtd",,"IMPL_VOL","."&amp;P$2&amp;P$1&amp;"C"&amp;$A20)="N/A",0,RTD("tos.rtd",,"IMPL_VOL","."&amp;P$2&amp;P$1&amp;"C"&amp;$A20))),0),IF($A$2="MAXPAIN",IF($A$4&gt;$A20,($A$4-$A20)*IF(RTD("tos.rtd",,"OPEN_INT","."&amp;P$2&amp;P$1&amp;"C"&amp;$A20)="N/A",0,RTD("tos.rtd",,"OPEN_INT","."&amp;P$2&amp;P$1&amp;"C"&amp;$A20)),0)+IF($A$4&lt;$A20,($A$5-$A$4)*IF(RTD("tos.rtd",,"OPEN_INT","."&amp;P$2&amp;P$1&amp;"P"&amp;$A20)="N/A",0,RTD("tos.rtd",,"OPEN_INT","."&amp;P$2&amp;P$1&amp;"P"&amp;$A20)),0),IF($X$1="ABS",IF(RTD("tos.rtd",,$A$2,"."&amp;P$2&amp;P$1&amp;"C"&amp;$A20)="N/A",0,RTD("tos.rtd",,$A$2,"."&amp;P$2&amp;P$1&amp;"C"&amp;$A20))+IF(RTD("tos.rtd",,$A$2,"."&amp;P$2&amp;P$1&amp;"P"&amp;$A20)="N/A",0,RTD("tos.rtd",,$A$2,"."&amp;P$2&amp;P$1&amp;"P"&amp;$A20)),IF(RTD("tos.rtd",,$A$2,"."&amp;P$2&amp;P$1&amp;"C"&amp;$A20)="N/A",0,RTD("tos.rtd",,$A$2,"."&amp;P$2&amp;P$1&amp;"C"&amp;$A20))-IF(RTD("tos.rtd",,$A$2,"."&amp;P$2&amp;P$1&amp;"P"&amp;$A20)="N/A",0,RTD("tos.rtd",,$A$2,"."&amp;P$2&amp;P$1&amp;"P"&amp;$A20))))))))))</f>
        <v>1158</v>
      </c>
      <c r="Q20" s="12">
        <f ca="1">IF($A$2="PREMIUM_OI",IFERROR(IF($X$1="ABS",(100*RTD("tos.rtd",,"OPEN_INT","."&amp;Q$2&amp;Q$1&amp;"C"&amp;$A20)*RTD("tos.rtd",,"LAST","."&amp;Q$2&amp;Q$1&amp;"C"&amp;$A20)+100*RTD("tos.rtd",,"OPEN_INT","."&amp;Q$2&amp;Q$1&amp;"P"&amp;$A20)*RTD("tos.rtd",,"LAST","."&amp;Q$2&amp;Q$1&amp;"P"&amp;$A20))/1000000,(100*RTD("tos.rtd",,"OPEN_INT","."&amp;Q$2&amp;Q$1&amp;"C"&amp;$A20)*RTD("tos.rtd",,"LAST","."&amp;Q$2&amp;Q$1&amp;"C"&amp;$A20)-100*RTD("tos.rtd",,"OPEN_INT","."&amp;Q$2&amp;Q$1&amp;"P"&amp;$A20)*RTD("tos.rtd",,"LAST","."&amp;Q$2&amp;Q$1&amp;"P"&amp;$A20))/1000000),0),IF($A$2="PREMIUM",IFERROR(IF($X$1="ABS",(100*RTD("tos.rtd",,"VOLUME","."&amp;Q$2&amp;Q$1&amp;"C"&amp;$A20)*RTD("tos.rtd",,"LAST","."&amp;Q$2&amp;Q$1&amp;"C"&amp;$A20)+100*RTD("tos.rtd",,"VOLUME","."&amp;Q$2&amp;Q$1&amp;"P"&amp;$A20)*RTD("tos.rtd",,"LAST","."&amp;Q$2&amp;Q$1&amp;"P"&amp;$A20))/1000000,(100*RTD("tos.rtd",,"VOLUME","."&amp;Q$2&amp;Q$1&amp;"C"&amp;$A20)*RTD("tos.rtd",,"LAST","."&amp;Q$2&amp;Q$1&amp;"C"&amp;$A20)-100*RTD("tos.rtd",,"VOLUME","."&amp;Q$2&amp;Q$1&amp;"P"&amp;$A20)*RTD("tos.rtd",,"LAST","."&amp;Q$2&amp;Q$1&amp;"P"&amp;$A20))/1000000),0),IF($A$2="DEX",IFERROR(IF($X$1="ABS",(100*RTD("tos.rtd",,"OPEN_INT","."&amp;Q$2&amp;Q$1&amp;"C"&amp;$A20)*RTD("tos.rtd",,"DELTA","."&amp;Q$2&amp;Q$1&amp;"C"&amp;$A20)+100*RTD("tos.rtd",,"OPEN_INT","."&amp;Q$2&amp;Q$1&amp;"P"&amp;$A20)*RTD("tos.rtd",,"DELTA","."&amp;Q$2&amp;Q$1&amp;"P"&amp;$A20))/1000,(100*RTD("tos.rtd",,"OPEN_INT","."&amp;Q$2&amp;Q$1&amp;"C"&amp;$A20)*RTD("tos.rtd",,"DELTA","."&amp;Q$2&amp;Q$1&amp;"C"&amp;$A20)-100*RTD("tos.rtd",,"OPEN_INT","."&amp;Q$2&amp;Q$1&amp;"P"&amp;$A20)*RTD("tos.rtd",,"DELTA","."&amp;Q$2&amp;Q$1&amp;"P"&amp;$A20))/1000),0),IF($A$2="VEX",IFERROR(IF($X$1="ABS",($A$4*$A$4*RTD("tos.rtd",,"VOLUME","."&amp;Q$2&amp;Q$1&amp;"C"&amp;$A20)*RTD("tos.rtd",,"GAMMA","."&amp;Q$2&amp;Q$1&amp;"C"&amp;$A20)+$A$4*$A$4*RTD("tos.rtd",,"VOLUME","."&amp;Q$2&amp;Q$1&amp;"P"&amp;$A20)*RTD("tos.rtd",,"GAMMA","."&amp;Q$2&amp;Q$1&amp;"P"&amp;$A20))/1000000,($A$4*$A$4*RTD("tos.rtd",,"VOLUME","."&amp;Q$2&amp;Q$1&amp;"C"&amp;$A20)*RTD("tos.rtd",,"GAMMA","."&amp;Q$2&amp;Q$1&amp;"C"&amp;$A20)-$A$4*$A$4*RTD("tos.rtd",,"VOLUME","."&amp;Q$2&amp;Q$1&amp;"P"&amp;$A20)*RTD("tos.rtd",,"GAMMA","."&amp;Q$2&amp;Q$1&amp;"P"&amp;$A20))/1000000),0),IF($A$2="GEX",IFERROR(IF($X$1="ABS",($A$4*$A$4*RTD("tos.rtd",,"OPEN_INT","."&amp;Q$2&amp;Q$1&amp;"C"&amp;$A20)*RTD("tos.rtd",,"GAMMA","."&amp;Q$2&amp;Q$1&amp;"C"&amp;$A20)+$A$4*$A$4*RTD("tos.rtd",,"OPEN_INT","."&amp;Q$2&amp;Q$1&amp;"P"&amp;$A20)*RTD("tos.rtd",,"GAMMA","."&amp;Q$2&amp;Q$1&amp;"P"&amp;$A20))/1000000,($A$4*$A$4*RTD("tos.rtd",,"OPEN_INT","."&amp;Q$2&amp;Q$1&amp;"C"&amp;$A20)*RTD("tos.rtd",,"GAMMA","."&amp;Q$2&amp;Q$1&amp;"C"&amp;$A20)-$A$4*$A$4*RTD("tos.rtd",,"OPEN_INT","."&amp;Q$2&amp;Q$1&amp;"P"&amp;$A20)*RTD("tos.rtd",,"GAMMA","."&amp;Q$2&amp;Q$1&amp;"P"&amp;$A20))/1000000),0),IF($A$2="SKEW",IFERROR(VALUE(IF(RTD("tos.rtd",,"IMPL_VOL","."&amp;Q$2&amp;Q$1&amp;"P"&amp;$A20)="N/A",0,RTD("tos.rtd",,"IMPL_VOL","."&amp;Q$2&amp;Q$1&amp;"P"&amp;$A20))),0)-IFERROR(VALUE(IF(RTD("tos.rtd",,"IMPL_VOL","."&amp;Q$2&amp;Q$1&amp;"C"&amp;$A20)="N/A",0,RTD("tos.rtd",,"IMPL_VOL","."&amp;Q$2&amp;Q$1&amp;"C"&amp;$A20))),0),IF($A$2="MAXPAIN",IF($A$4&gt;$A20,($A$4-$A20)*IF(RTD("tos.rtd",,"OPEN_INT","."&amp;Q$2&amp;Q$1&amp;"C"&amp;$A20)="N/A",0,RTD("tos.rtd",,"OPEN_INT","."&amp;Q$2&amp;Q$1&amp;"C"&amp;$A20)),0)+IF($A$4&lt;$A20,($A$5-$A$4)*IF(RTD("tos.rtd",,"OPEN_INT","."&amp;Q$2&amp;Q$1&amp;"P"&amp;$A20)="N/A",0,RTD("tos.rtd",,"OPEN_INT","."&amp;Q$2&amp;Q$1&amp;"P"&amp;$A20)),0),IF($X$1="ABS",IF(RTD("tos.rtd",,$A$2,"."&amp;Q$2&amp;Q$1&amp;"C"&amp;$A20)="N/A",0,RTD("tos.rtd",,$A$2,"."&amp;Q$2&amp;Q$1&amp;"C"&amp;$A20))+IF(RTD("tos.rtd",,$A$2,"."&amp;Q$2&amp;Q$1&amp;"P"&amp;$A20)="N/A",0,RTD("tos.rtd",,$A$2,"."&amp;Q$2&amp;Q$1&amp;"P"&amp;$A20)),IF(RTD("tos.rtd",,$A$2,"."&amp;Q$2&amp;Q$1&amp;"C"&amp;$A20)="N/A",0,RTD("tos.rtd",,$A$2,"."&amp;Q$2&amp;Q$1&amp;"C"&amp;$A20))-IF(RTD("tos.rtd",,$A$2,"."&amp;Q$2&amp;Q$1&amp;"P"&amp;$A20)="N/A",0,RTD("tos.rtd",,$A$2,"."&amp;Q$2&amp;Q$1&amp;"P"&amp;$A20))))))))))</f>
        <v>0</v>
      </c>
      <c r="R20" s="12">
        <f ca="1">IF($A$2="PREMIUM_OI",IFERROR(IF($X$1="ABS",(100*RTD("tos.rtd",,"OPEN_INT","."&amp;R$2&amp;R$1&amp;"C"&amp;$A20)*RTD("tos.rtd",,"LAST","."&amp;R$2&amp;R$1&amp;"C"&amp;$A20)+100*RTD("tos.rtd",,"OPEN_INT","."&amp;R$2&amp;R$1&amp;"P"&amp;$A20)*RTD("tos.rtd",,"LAST","."&amp;R$2&amp;R$1&amp;"P"&amp;$A20))/1000000,(100*RTD("tos.rtd",,"OPEN_INT","."&amp;R$2&amp;R$1&amp;"C"&amp;$A20)*RTD("tos.rtd",,"LAST","."&amp;R$2&amp;R$1&amp;"C"&amp;$A20)-100*RTD("tos.rtd",,"OPEN_INT","."&amp;R$2&amp;R$1&amp;"P"&amp;$A20)*RTD("tos.rtd",,"LAST","."&amp;R$2&amp;R$1&amp;"P"&amp;$A20))/1000000),0),IF($A$2="PREMIUM",IFERROR(IF($X$1="ABS",(100*RTD("tos.rtd",,"VOLUME","."&amp;R$2&amp;R$1&amp;"C"&amp;$A20)*RTD("tos.rtd",,"LAST","."&amp;R$2&amp;R$1&amp;"C"&amp;$A20)+100*RTD("tos.rtd",,"VOLUME","."&amp;R$2&amp;R$1&amp;"P"&amp;$A20)*RTD("tos.rtd",,"LAST","."&amp;R$2&amp;R$1&amp;"P"&amp;$A20))/1000000,(100*RTD("tos.rtd",,"VOLUME","."&amp;R$2&amp;R$1&amp;"C"&amp;$A20)*RTD("tos.rtd",,"LAST","."&amp;R$2&amp;R$1&amp;"C"&amp;$A20)-100*RTD("tos.rtd",,"VOLUME","."&amp;R$2&amp;R$1&amp;"P"&amp;$A20)*RTD("tos.rtd",,"LAST","."&amp;R$2&amp;R$1&amp;"P"&amp;$A20))/1000000),0),IF($A$2="DEX",IFERROR(IF($X$1="ABS",(100*RTD("tos.rtd",,"OPEN_INT","."&amp;R$2&amp;R$1&amp;"C"&amp;$A20)*RTD("tos.rtd",,"DELTA","."&amp;R$2&amp;R$1&amp;"C"&amp;$A20)+100*RTD("tos.rtd",,"OPEN_INT","."&amp;R$2&amp;R$1&amp;"P"&amp;$A20)*RTD("tos.rtd",,"DELTA","."&amp;R$2&amp;R$1&amp;"P"&amp;$A20))/1000,(100*RTD("tos.rtd",,"OPEN_INT","."&amp;R$2&amp;R$1&amp;"C"&amp;$A20)*RTD("tos.rtd",,"DELTA","."&amp;R$2&amp;R$1&amp;"C"&amp;$A20)-100*RTD("tos.rtd",,"OPEN_INT","."&amp;R$2&amp;R$1&amp;"P"&amp;$A20)*RTD("tos.rtd",,"DELTA","."&amp;R$2&amp;R$1&amp;"P"&amp;$A20))/1000),0),IF($A$2="VEX",IFERROR(IF($X$1="ABS",($A$4*$A$4*RTD("tos.rtd",,"VOLUME","."&amp;R$2&amp;R$1&amp;"C"&amp;$A20)*RTD("tos.rtd",,"GAMMA","."&amp;R$2&amp;R$1&amp;"C"&amp;$A20)+$A$4*$A$4*RTD("tos.rtd",,"VOLUME","."&amp;R$2&amp;R$1&amp;"P"&amp;$A20)*RTD("tos.rtd",,"GAMMA","."&amp;R$2&amp;R$1&amp;"P"&amp;$A20))/1000000,($A$4*$A$4*RTD("tos.rtd",,"VOLUME","."&amp;R$2&amp;R$1&amp;"C"&amp;$A20)*RTD("tos.rtd",,"GAMMA","."&amp;R$2&amp;R$1&amp;"C"&amp;$A20)-$A$4*$A$4*RTD("tos.rtd",,"VOLUME","."&amp;R$2&amp;R$1&amp;"P"&amp;$A20)*RTD("tos.rtd",,"GAMMA","."&amp;R$2&amp;R$1&amp;"P"&amp;$A20))/1000000),0),IF($A$2="GEX",IFERROR(IF($X$1="ABS",($A$4*$A$4*RTD("tos.rtd",,"OPEN_INT","."&amp;R$2&amp;R$1&amp;"C"&amp;$A20)*RTD("tos.rtd",,"GAMMA","."&amp;R$2&amp;R$1&amp;"C"&amp;$A20)+$A$4*$A$4*RTD("tos.rtd",,"OPEN_INT","."&amp;R$2&amp;R$1&amp;"P"&amp;$A20)*RTD("tos.rtd",,"GAMMA","."&amp;R$2&amp;R$1&amp;"P"&amp;$A20))/1000000,($A$4*$A$4*RTD("tos.rtd",,"OPEN_INT","."&amp;R$2&amp;R$1&amp;"C"&amp;$A20)*RTD("tos.rtd",,"GAMMA","."&amp;R$2&amp;R$1&amp;"C"&amp;$A20)-$A$4*$A$4*RTD("tos.rtd",,"OPEN_INT","."&amp;R$2&amp;R$1&amp;"P"&amp;$A20)*RTD("tos.rtd",,"GAMMA","."&amp;R$2&amp;R$1&amp;"P"&amp;$A20))/1000000),0),IF($A$2="SKEW",IFERROR(VALUE(IF(RTD("tos.rtd",,"IMPL_VOL","."&amp;R$2&amp;R$1&amp;"P"&amp;$A20)="N/A",0,RTD("tos.rtd",,"IMPL_VOL","."&amp;R$2&amp;R$1&amp;"P"&amp;$A20))),0)-IFERROR(VALUE(IF(RTD("tos.rtd",,"IMPL_VOL","."&amp;R$2&amp;R$1&amp;"C"&amp;$A20)="N/A",0,RTD("tos.rtd",,"IMPL_VOL","."&amp;R$2&amp;R$1&amp;"C"&amp;$A20))),0),IF($A$2="MAXPAIN",IF($A$4&gt;$A20,($A$4-$A20)*IF(RTD("tos.rtd",,"OPEN_INT","."&amp;R$2&amp;R$1&amp;"C"&amp;$A20)="N/A",0,RTD("tos.rtd",,"OPEN_INT","."&amp;R$2&amp;R$1&amp;"C"&amp;$A20)),0)+IF($A$4&lt;$A20,($A$5-$A$4)*IF(RTD("tos.rtd",,"OPEN_INT","."&amp;R$2&amp;R$1&amp;"P"&amp;$A20)="N/A",0,RTD("tos.rtd",,"OPEN_INT","."&amp;R$2&amp;R$1&amp;"P"&amp;$A20)),0),IF($X$1="ABS",IF(RTD("tos.rtd",,$A$2,"."&amp;R$2&amp;R$1&amp;"C"&amp;$A20)="N/A",0,RTD("tos.rtd",,$A$2,"."&amp;R$2&amp;R$1&amp;"C"&amp;$A20))+IF(RTD("tos.rtd",,$A$2,"."&amp;R$2&amp;R$1&amp;"P"&amp;$A20)="N/A",0,RTD("tos.rtd",,$A$2,"."&amp;R$2&amp;R$1&amp;"P"&amp;$A20)),IF(RTD("tos.rtd",,$A$2,"."&amp;R$2&amp;R$1&amp;"C"&amp;$A20)="N/A",0,RTD("tos.rtd",,$A$2,"."&amp;R$2&amp;R$1&amp;"C"&amp;$A20))-IF(RTD("tos.rtd",,$A$2,"."&amp;R$2&amp;R$1&amp;"P"&amp;$A20)="N/A",0,RTD("tos.rtd",,$A$2,"."&amp;R$2&amp;R$1&amp;"P"&amp;$A20))))))))))</f>
        <v>0</v>
      </c>
      <c r="S20" s="12">
        <f ca="1">IF($A$2="PREMIUM_OI",IFERROR(IF($X$1="ABS",(100*RTD("tos.rtd",,"OPEN_INT","."&amp;S$2&amp;S$1&amp;"C"&amp;$A20)*RTD("tos.rtd",,"LAST","."&amp;S$2&amp;S$1&amp;"C"&amp;$A20)+100*RTD("tos.rtd",,"OPEN_INT","."&amp;S$2&amp;S$1&amp;"P"&amp;$A20)*RTD("tos.rtd",,"LAST","."&amp;S$2&amp;S$1&amp;"P"&amp;$A20))/1000000,(100*RTD("tos.rtd",,"OPEN_INT","."&amp;S$2&amp;S$1&amp;"C"&amp;$A20)*RTD("tos.rtd",,"LAST","."&amp;S$2&amp;S$1&amp;"C"&amp;$A20)-100*RTD("tos.rtd",,"OPEN_INT","."&amp;S$2&amp;S$1&amp;"P"&amp;$A20)*RTD("tos.rtd",,"LAST","."&amp;S$2&amp;S$1&amp;"P"&amp;$A20))/1000000),0),IF($A$2="PREMIUM",IFERROR(IF($X$1="ABS",(100*RTD("tos.rtd",,"VOLUME","."&amp;S$2&amp;S$1&amp;"C"&amp;$A20)*RTD("tos.rtd",,"LAST","."&amp;S$2&amp;S$1&amp;"C"&amp;$A20)+100*RTD("tos.rtd",,"VOLUME","."&amp;S$2&amp;S$1&amp;"P"&amp;$A20)*RTD("tos.rtd",,"LAST","."&amp;S$2&amp;S$1&amp;"P"&amp;$A20))/1000000,(100*RTD("tos.rtd",,"VOLUME","."&amp;S$2&amp;S$1&amp;"C"&amp;$A20)*RTD("tos.rtd",,"LAST","."&amp;S$2&amp;S$1&amp;"C"&amp;$A20)-100*RTD("tos.rtd",,"VOLUME","."&amp;S$2&amp;S$1&amp;"P"&amp;$A20)*RTD("tos.rtd",,"LAST","."&amp;S$2&amp;S$1&amp;"P"&amp;$A20))/1000000),0),IF($A$2="DEX",IFERROR(IF($X$1="ABS",(100*RTD("tos.rtd",,"OPEN_INT","."&amp;S$2&amp;S$1&amp;"C"&amp;$A20)*RTD("tos.rtd",,"DELTA","."&amp;S$2&amp;S$1&amp;"C"&amp;$A20)+100*RTD("tos.rtd",,"OPEN_INT","."&amp;S$2&amp;S$1&amp;"P"&amp;$A20)*RTD("tos.rtd",,"DELTA","."&amp;S$2&amp;S$1&amp;"P"&amp;$A20))/1000,(100*RTD("tos.rtd",,"OPEN_INT","."&amp;S$2&amp;S$1&amp;"C"&amp;$A20)*RTD("tos.rtd",,"DELTA","."&amp;S$2&amp;S$1&amp;"C"&amp;$A20)-100*RTD("tos.rtd",,"OPEN_INT","."&amp;S$2&amp;S$1&amp;"P"&amp;$A20)*RTD("tos.rtd",,"DELTA","."&amp;S$2&amp;S$1&amp;"P"&amp;$A20))/1000),0),IF($A$2="VEX",IFERROR(IF($X$1="ABS",($A$4*$A$4*RTD("tos.rtd",,"VOLUME","."&amp;S$2&amp;S$1&amp;"C"&amp;$A20)*RTD("tos.rtd",,"GAMMA","."&amp;S$2&amp;S$1&amp;"C"&amp;$A20)+$A$4*$A$4*RTD("tos.rtd",,"VOLUME","."&amp;S$2&amp;S$1&amp;"P"&amp;$A20)*RTD("tos.rtd",,"GAMMA","."&amp;S$2&amp;S$1&amp;"P"&amp;$A20))/1000000,($A$4*$A$4*RTD("tos.rtd",,"VOLUME","."&amp;S$2&amp;S$1&amp;"C"&amp;$A20)*RTD("tos.rtd",,"GAMMA","."&amp;S$2&amp;S$1&amp;"C"&amp;$A20)-$A$4*$A$4*RTD("tos.rtd",,"VOLUME","."&amp;S$2&amp;S$1&amp;"P"&amp;$A20)*RTD("tos.rtd",,"GAMMA","."&amp;S$2&amp;S$1&amp;"P"&amp;$A20))/1000000),0),IF($A$2="GEX",IFERROR(IF($X$1="ABS",($A$4*$A$4*RTD("tos.rtd",,"OPEN_INT","."&amp;S$2&amp;S$1&amp;"C"&amp;$A20)*RTD("tos.rtd",,"GAMMA","."&amp;S$2&amp;S$1&amp;"C"&amp;$A20)+$A$4*$A$4*RTD("tos.rtd",,"OPEN_INT","."&amp;S$2&amp;S$1&amp;"P"&amp;$A20)*RTD("tos.rtd",,"GAMMA","."&amp;S$2&amp;S$1&amp;"P"&amp;$A20))/1000000,($A$4*$A$4*RTD("tos.rtd",,"OPEN_INT","."&amp;S$2&amp;S$1&amp;"C"&amp;$A20)*RTD("tos.rtd",,"GAMMA","."&amp;S$2&amp;S$1&amp;"C"&amp;$A20)-$A$4*$A$4*RTD("tos.rtd",,"OPEN_INT","."&amp;S$2&amp;S$1&amp;"P"&amp;$A20)*RTD("tos.rtd",,"GAMMA","."&amp;S$2&amp;S$1&amp;"P"&amp;$A20))/1000000),0),IF($A$2="SKEW",IFERROR(VALUE(IF(RTD("tos.rtd",,"IMPL_VOL","."&amp;S$2&amp;S$1&amp;"P"&amp;$A20)="N/A",0,RTD("tos.rtd",,"IMPL_VOL","."&amp;S$2&amp;S$1&amp;"P"&amp;$A20))),0)-IFERROR(VALUE(IF(RTD("tos.rtd",,"IMPL_VOL","."&amp;S$2&amp;S$1&amp;"C"&amp;$A20)="N/A",0,RTD("tos.rtd",,"IMPL_VOL","."&amp;S$2&amp;S$1&amp;"C"&amp;$A20))),0),IF($A$2="MAXPAIN",IF($A$4&gt;$A20,($A$4-$A20)*IF(RTD("tos.rtd",,"OPEN_INT","."&amp;S$2&amp;S$1&amp;"C"&amp;$A20)="N/A",0,RTD("tos.rtd",,"OPEN_INT","."&amp;S$2&amp;S$1&amp;"C"&amp;$A20)),0)+IF($A$4&lt;$A20,($A$5-$A$4)*IF(RTD("tos.rtd",,"OPEN_INT","."&amp;S$2&amp;S$1&amp;"P"&amp;$A20)="N/A",0,RTD("tos.rtd",,"OPEN_INT","."&amp;S$2&amp;S$1&amp;"P"&amp;$A20)),0),IF($X$1="ABS",IF(RTD("tos.rtd",,$A$2,"."&amp;S$2&amp;S$1&amp;"C"&amp;$A20)="N/A",0,RTD("tos.rtd",,$A$2,"."&amp;S$2&amp;S$1&amp;"C"&amp;$A20))+IF(RTD("tos.rtd",,$A$2,"."&amp;S$2&amp;S$1&amp;"P"&amp;$A20)="N/A",0,RTD("tos.rtd",,$A$2,"."&amp;S$2&amp;S$1&amp;"P"&amp;$A20)),IF(RTD("tos.rtd",,$A$2,"."&amp;S$2&amp;S$1&amp;"C"&amp;$A20)="N/A",0,RTD("tos.rtd",,$A$2,"."&amp;S$2&amp;S$1&amp;"C"&amp;$A20))-IF(RTD("tos.rtd",,$A$2,"."&amp;S$2&amp;S$1&amp;"P"&amp;$A20)="N/A",0,RTD("tos.rtd",,$A$2,"."&amp;S$2&amp;S$1&amp;"P"&amp;$A20))))))))))</f>
        <v>0</v>
      </c>
      <c r="T20" s="12">
        <f ca="1">IF($A$2="PREMIUM_OI",IFERROR(IF($X$1="ABS",(100*RTD("tos.rtd",,"OPEN_INT","."&amp;T$2&amp;T$1&amp;"C"&amp;$A20)*RTD("tos.rtd",,"LAST","."&amp;T$2&amp;T$1&amp;"C"&amp;$A20)+100*RTD("tos.rtd",,"OPEN_INT","."&amp;T$2&amp;T$1&amp;"P"&amp;$A20)*RTD("tos.rtd",,"LAST","."&amp;T$2&amp;T$1&amp;"P"&amp;$A20))/1000000,(100*RTD("tos.rtd",,"OPEN_INT","."&amp;T$2&amp;T$1&amp;"C"&amp;$A20)*RTD("tos.rtd",,"LAST","."&amp;T$2&amp;T$1&amp;"C"&amp;$A20)-100*RTD("tos.rtd",,"OPEN_INT","."&amp;T$2&amp;T$1&amp;"P"&amp;$A20)*RTD("tos.rtd",,"LAST","."&amp;T$2&amp;T$1&amp;"P"&amp;$A20))/1000000),0),IF($A$2="PREMIUM",IFERROR(IF($X$1="ABS",(100*RTD("tos.rtd",,"VOLUME","."&amp;T$2&amp;T$1&amp;"C"&amp;$A20)*RTD("tos.rtd",,"LAST","."&amp;T$2&amp;T$1&amp;"C"&amp;$A20)+100*RTD("tos.rtd",,"VOLUME","."&amp;T$2&amp;T$1&amp;"P"&amp;$A20)*RTD("tos.rtd",,"LAST","."&amp;T$2&amp;T$1&amp;"P"&amp;$A20))/1000000,(100*RTD("tos.rtd",,"VOLUME","."&amp;T$2&amp;T$1&amp;"C"&amp;$A20)*RTD("tos.rtd",,"LAST","."&amp;T$2&amp;T$1&amp;"C"&amp;$A20)-100*RTD("tos.rtd",,"VOLUME","."&amp;T$2&amp;T$1&amp;"P"&amp;$A20)*RTD("tos.rtd",,"LAST","."&amp;T$2&amp;T$1&amp;"P"&amp;$A20))/1000000),0),IF($A$2="DEX",IFERROR(IF($X$1="ABS",(100*RTD("tos.rtd",,"OPEN_INT","."&amp;T$2&amp;T$1&amp;"C"&amp;$A20)*RTD("tos.rtd",,"DELTA","."&amp;T$2&amp;T$1&amp;"C"&amp;$A20)+100*RTD("tos.rtd",,"OPEN_INT","."&amp;T$2&amp;T$1&amp;"P"&amp;$A20)*RTD("tos.rtd",,"DELTA","."&amp;T$2&amp;T$1&amp;"P"&amp;$A20))/1000,(100*RTD("tos.rtd",,"OPEN_INT","."&amp;T$2&amp;T$1&amp;"C"&amp;$A20)*RTD("tos.rtd",,"DELTA","."&amp;T$2&amp;T$1&amp;"C"&amp;$A20)-100*RTD("tos.rtd",,"OPEN_INT","."&amp;T$2&amp;T$1&amp;"P"&amp;$A20)*RTD("tos.rtd",,"DELTA","."&amp;T$2&amp;T$1&amp;"P"&amp;$A20))/1000),0),IF($A$2="VEX",IFERROR(IF($X$1="ABS",($A$4*$A$4*RTD("tos.rtd",,"VOLUME","."&amp;T$2&amp;T$1&amp;"C"&amp;$A20)*RTD("tos.rtd",,"GAMMA","."&amp;T$2&amp;T$1&amp;"C"&amp;$A20)+$A$4*$A$4*RTD("tos.rtd",,"VOLUME","."&amp;T$2&amp;T$1&amp;"P"&amp;$A20)*RTD("tos.rtd",,"GAMMA","."&amp;T$2&amp;T$1&amp;"P"&amp;$A20))/1000000,($A$4*$A$4*RTD("tos.rtd",,"VOLUME","."&amp;T$2&amp;T$1&amp;"C"&amp;$A20)*RTD("tos.rtd",,"GAMMA","."&amp;T$2&amp;T$1&amp;"C"&amp;$A20)-$A$4*$A$4*RTD("tos.rtd",,"VOLUME","."&amp;T$2&amp;T$1&amp;"P"&amp;$A20)*RTD("tos.rtd",,"GAMMA","."&amp;T$2&amp;T$1&amp;"P"&amp;$A20))/1000000),0),IF($A$2="GEX",IFERROR(IF($X$1="ABS",($A$4*$A$4*RTD("tos.rtd",,"OPEN_INT","."&amp;T$2&amp;T$1&amp;"C"&amp;$A20)*RTD("tos.rtd",,"GAMMA","."&amp;T$2&amp;T$1&amp;"C"&amp;$A20)+$A$4*$A$4*RTD("tos.rtd",,"OPEN_INT","."&amp;T$2&amp;T$1&amp;"P"&amp;$A20)*RTD("tos.rtd",,"GAMMA","."&amp;T$2&amp;T$1&amp;"P"&amp;$A20))/1000000,($A$4*$A$4*RTD("tos.rtd",,"OPEN_INT","."&amp;T$2&amp;T$1&amp;"C"&amp;$A20)*RTD("tos.rtd",,"GAMMA","."&amp;T$2&amp;T$1&amp;"C"&amp;$A20)-$A$4*$A$4*RTD("tos.rtd",,"OPEN_INT","."&amp;T$2&amp;T$1&amp;"P"&amp;$A20)*RTD("tos.rtd",,"GAMMA","."&amp;T$2&amp;T$1&amp;"P"&amp;$A20))/1000000),0),IF($A$2="SKEW",IFERROR(VALUE(IF(RTD("tos.rtd",,"IMPL_VOL","."&amp;T$2&amp;T$1&amp;"P"&amp;$A20)="N/A",0,RTD("tos.rtd",,"IMPL_VOL","."&amp;T$2&amp;T$1&amp;"P"&amp;$A20))),0)-IFERROR(VALUE(IF(RTD("tos.rtd",,"IMPL_VOL","."&amp;T$2&amp;T$1&amp;"C"&amp;$A20)="N/A",0,RTD("tos.rtd",,"IMPL_VOL","."&amp;T$2&amp;T$1&amp;"C"&amp;$A20))),0),IF($A$2="MAXPAIN",IF($A$4&gt;$A20,($A$4-$A20)*IF(RTD("tos.rtd",,"OPEN_INT","."&amp;T$2&amp;T$1&amp;"C"&amp;$A20)="N/A",0,RTD("tos.rtd",,"OPEN_INT","."&amp;T$2&amp;T$1&amp;"C"&amp;$A20)),0)+IF($A$4&lt;$A20,($A$5-$A$4)*IF(RTD("tos.rtd",,"OPEN_INT","."&amp;T$2&amp;T$1&amp;"P"&amp;$A20)="N/A",0,RTD("tos.rtd",,"OPEN_INT","."&amp;T$2&amp;T$1&amp;"P"&amp;$A20)),0),IF($X$1="ABS",IF(RTD("tos.rtd",,$A$2,"."&amp;T$2&amp;T$1&amp;"C"&amp;$A20)="N/A",0,RTD("tos.rtd",,$A$2,"."&amp;T$2&amp;T$1&amp;"C"&amp;$A20))+IF(RTD("tos.rtd",,$A$2,"."&amp;T$2&amp;T$1&amp;"P"&amp;$A20)="N/A",0,RTD("tos.rtd",,$A$2,"."&amp;T$2&amp;T$1&amp;"P"&amp;$A20)),IF(RTD("tos.rtd",,$A$2,"."&amp;T$2&amp;T$1&amp;"C"&amp;$A20)="N/A",0,RTD("tos.rtd",,$A$2,"."&amp;T$2&amp;T$1&amp;"C"&amp;$A20))-IF(RTD("tos.rtd",,$A$2,"."&amp;T$2&amp;T$1&amp;"P"&amp;$A20)="N/A",0,RTD("tos.rtd",,$A$2,"."&amp;T$2&amp;T$1&amp;"P"&amp;$A20))))))))))</f>
        <v>0</v>
      </c>
      <c r="U20" s="12">
        <f ca="1">IF($A$2="PREMIUM_OI",IFERROR(IF($X$1="ABS",(100*RTD("tos.rtd",,"OPEN_INT","."&amp;U$2&amp;U$1&amp;"C"&amp;$A20)*RTD("tos.rtd",,"LAST","."&amp;U$2&amp;U$1&amp;"C"&amp;$A20)+100*RTD("tos.rtd",,"OPEN_INT","."&amp;U$2&amp;U$1&amp;"P"&amp;$A20)*RTD("tos.rtd",,"LAST","."&amp;U$2&amp;U$1&amp;"P"&amp;$A20))/1000000,(100*RTD("tos.rtd",,"OPEN_INT","."&amp;U$2&amp;U$1&amp;"C"&amp;$A20)*RTD("tos.rtd",,"LAST","."&amp;U$2&amp;U$1&amp;"C"&amp;$A20)-100*RTD("tos.rtd",,"OPEN_INT","."&amp;U$2&amp;U$1&amp;"P"&amp;$A20)*RTD("tos.rtd",,"LAST","."&amp;U$2&amp;U$1&amp;"P"&amp;$A20))/1000000),0),IF($A$2="PREMIUM",IFERROR(IF($X$1="ABS",(100*RTD("tos.rtd",,"VOLUME","."&amp;U$2&amp;U$1&amp;"C"&amp;$A20)*RTD("tos.rtd",,"LAST","."&amp;U$2&amp;U$1&amp;"C"&amp;$A20)+100*RTD("tos.rtd",,"VOLUME","."&amp;U$2&amp;U$1&amp;"P"&amp;$A20)*RTD("tos.rtd",,"LAST","."&amp;U$2&amp;U$1&amp;"P"&amp;$A20))/1000000,(100*RTD("tos.rtd",,"VOLUME","."&amp;U$2&amp;U$1&amp;"C"&amp;$A20)*RTD("tos.rtd",,"LAST","."&amp;U$2&amp;U$1&amp;"C"&amp;$A20)-100*RTD("tos.rtd",,"VOLUME","."&amp;U$2&amp;U$1&amp;"P"&amp;$A20)*RTD("tos.rtd",,"LAST","."&amp;U$2&amp;U$1&amp;"P"&amp;$A20))/1000000),0),IF($A$2="DEX",IFERROR(IF($X$1="ABS",(100*RTD("tos.rtd",,"OPEN_INT","."&amp;U$2&amp;U$1&amp;"C"&amp;$A20)*RTD("tos.rtd",,"DELTA","."&amp;U$2&amp;U$1&amp;"C"&amp;$A20)+100*RTD("tos.rtd",,"OPEN_INT","."&amp;U$2&amp;U$1&amp;"P"&amp;$A20)*RTD("tos.rtd",,"DELTA","."&amp;U$2&amp;U$1&amp;"P"&amp;$A20))/1000,(100*RTD("tos.rtd",,"OPEN_INT","."&amp;U$2&amp;U$1&amp;"C"&amp;$A20)*RTD("tos.rtd",,"DELTA","."&amp;U$2&amp;U$1&amp;"C"&amp;$A20)-100*RTD("tos.rtd",,"OPEN_INT","."&amp;U$2&amp;U$1&amp;"P"&amp;$A20)*RTD("tos.rtd",,"DELTA","."&amp;U$2&amp;U$1&amp;"P"&amp;$A20))/1000),0),IF($A$2="VEX",IFERROR(IF($X$1="ABS",($A$4*$A$4*RTD("tos.rtd",,"VOLUME","."&amp;U$2&amp;U$1&amp;"C"&amp;$A20)*RTD("tos.rtd",,"GAMMA","."&amp;U$2&amp;U$1&amp;"C"&amp;$A20)+$A$4*$A$4*RTD("tos.rtd",,"VOLUME","."&amp;U$2&amp;U$1&amp;"P"&amp;$A20)*RTD("tos.rtd",,"GAMMA","."&amp;U$2&amp;U$1&amp;"P"&amp;$A20))/1000000,($A$4*$A$4*RTD("tos.rtd",,"VOLUME","."&amp;U$2&amp;U$1&amp;"C"&amp;$A20)*RTD("tos.rtd",,"GAMMA","."&amp;U$2&amp;U$1&amp;"C"&amp;$A20)-$A$4*$A$4*RTD("tos.rtd",,"VOLUME","."&amp;U$2&amp;U$1&amp;"P"&amp;$A20)*RTD("tos.rtd",,"GAMMA","."&amp;U$2&amp;U$1&amp;"P"&amp;$A20))/1000000),0),IF($A$2="GEX",IFERROR(IF($X$1="ABS",($A$4*$A$4*RTD("tos.rtd",,"OPEN_INT","."&amp;U$2&amp;U$1&amp;"C"&amp;$A20)*RTD("tos.rtd",,"GAMMA","."&amp;U$2&amp;U$1&amp;"C"&amp;$A20)+$A$4*$A$4*RTD("tos.rtd",,"OPEN_INT","."&amp;U$2&amp;U$1&amp;"P"&amp;$A20)*RTD("tos.rtd",,"GAMMA","."&amp;U$2&amp;U$1&amp;"P"&amp;$A20))/1000000,($A$4*$A$4*RTD("tos.rtd",,"OPEN_INT","."&amp;U$2&amp;U$1&amp;"C"&amp;$A20)*RTD("tos.rtd",,"GAMMA","."&amp;U$2&amp;U$1&amp;"C"&amp;$A20)-$A$4*$A$4*RTD("tos.rtd",,"OPEN_INT","."&amp;U$2&amp;U$1&amp;"P"&amp;$A20)*RTD("tos.rtd",,"GAMMA","."&amp;U$2&amp;U$1&amp;"P"&amp;$A20))/1000000),0),IF($A$2="SKEW",IFERROR(VALUE(IF(RTD("tos.rtd",,"IMPL_VOL","."&amp;U$2&amp;U$1&amp;"P"&amp;$A20)="N/A",0,RTD("tos.rtd",,"IMPL_VOL","."&amp;U$2&amp;U$1&amp;"P"&amp;$A20))),0)-IFERROR(VALUE(IF(RTD("tos.rtd",,"IMPL_VOL","."&amp;U$2&amp;U$1&amp;"C"&amp;$A20)="N/A",0,RTD("tos.rtd",,"IMPL_VOL","."&amp;U$2&amp;U$1&amp;"C"&amp;$A20))),0),IF($A$2="MAXPAIN",IF($A$4&gt;$A20,($A$4-$A20)*IF(RTD("tos.rtd",,"OPEN_INT","."&amp;U$2&amp;U$1&amp;"C"&amp;$A20)="N/A",0,RTD("tos.rtd",,"OPEN_INT","."&amp;U$2&amp;U$1&amp;"C"&amp;$A20)),0)+IF($A$4&lt;$A20,($A$5-$A$4)*IF(RTD("tos.rtd",,"OPEN_INT","."&amp;U$2&amp;U$1&amp;"P"&amp;$A20)="N/A",0,RTD("tos.rtd",,"OPEN_INT","."&amp;U$2&amp;U$1&amp;"P"&amp;$A20)),0),IF($X$1="ABS",IF(RTD("tos.rtd",,$A$2,"."&amp;U$2&amp;U$1&amp;"C"&amp;$A20)="N/A",0,RTD("tos.rtd",,$A$2,"."&amp;U$2&amp;U$1&amp;"C"&amp;$A20))+IF(RTD("tos.rtd",,$A$2,"."&amp;U$2&amp;U$1&amp;"P"&amp;$A20)="N/A",0,RTD("tos.rtd",,$A$2,"."&amp;U$2&amp;U$1&amp;"P"&amp;$A20)),IF(RTD("tos.rtd",,$A$2,"."&amp;U$2&amp;U$1&amp;"C"&amp;$A20)="N/A",0,RTD("tos.rtd",,$A$2,"."&amp;U$2&amp;U$1&amp;"C"&amp;$A20))-IF(RTD("tos.rtd",,$A$2,"."&amp;U$2&amp;U$1&amp;"P"&amp;$A20)="N/A",0,RTD("tos.rtd",,$A$2,"."&amp;U$2&amp;U$1&amp;"P"&amp;$A20))))))))))</f>
        <v>0</v>
      </c>
      <c r="V20" s="12">
        <f ca="1">IF($A$2="PREMIUM_OI",IFERROR(IF($X$1="ABS",(100*RTD("tos.rtd",,"OPEN_INT","."&amp;V$2&amp;V$1&amp;"C"&amp;$A20)*RTD("tos.rtd",,"LAST","."&amp;V$2&amp;V$1&amp;"C"&amp;$A20)+100*RTD("tos.rtd",,"OPEN_INT","."&amp;V$2&amp;V$1&amp;"P"&amp;$A20)*RTD("tos.rtd",,"LAST","."&amp;V$2&amp;V$1&amp;"P"&amp;$A20))/1000000,(100*RTD("tos.rtd",,"OPEN_INT","."&amp;V$2&amp;V$1&amp;"C"&amp;$A20)*RTD("tos.rtd",,"LAST","."&amp;V$2&amp;V$1&amp;"C"&amp;$A20)-100*RTD("tos.rtd",,"OPEN_INT","."&amp;V$2&amp;V$1&amp;"P"&amp;$A20)*RTD("tos.rtd",,"LAST","."&amp;V$2&amp;V$1&amp;"P"&amp;$A20))/1000000),0),IF($A$2="PREMIUM",IFERROR(IF($X$1="ABS",(100*RTD("tos.rtd",,"VOLUME","."&amp;V$2&amp;V$1&amp;"C"&amp;$A20)*RTD("tos.rtd",,"LAST","."&amp;V$2&amp;V$1&amp;"C"&amp;$A20)+100*RTD("tos.rtd",,"VOLUME","."&amp;V$2&amp;V$1&amp;"P"&amp;$A20)*RTD("tos.rtd",,"LAST","."&amp;V$2&amp;V$1&amp;"P"&amp;$A20))/1000000,(100*RTD("tos.rtd",,"VOLUME","."&amp;V$2&amp;V$1&amp;"C"&amp;$A20)*RTD("tos.rtd",,"LAST","."&amp;V$2&amp;V$1&amp;"C"&amp;$A20)-100*RTD("tos.rtd",,"VOLUME","."&amp;V$2&amp;V$1&amp;"P"&amp;$A20)*RTD("tos.rtd",,"LAST","."&amp;V$2&amp;V$1&amp;"P"&amp;$A20))/1000000),0),IF($A$2="DEX",IFERROR(IF($X$1="ABS",(100*RTD("tos.rtd",,"OPEN_INT","."&amp;V$2&amp;V$1&amp;"C"&amp;$A20)*RTD("tos.rtd",,"DELTA","."&amp;V$2&amp;V$1&amp;"C"&amp;$A20)+100*RTD("tos.rtd",,"OPEN_INT","."&amp;V$2&amp;V$1&amp;"P"&amp;$A20)*RTD("tos.rtd",,"DELTA","."&amp;V$2&amp;V$1&amp;"P"&amp;$A20))/1000,(100*RTD("tos.rtd",,"OPEN_INT","."&amp;V$2&amp;V$1&amp;"C"&amp;$A20)*RTD("tos.rtd",,"DELTA","."&amp;V$2&amp;V$1&amp;"C"&amp;$A20)-100*RTD("tos.rtd",,"OPEN_INT","."&amp;V$2&amp;V$1&amp;"P"&amp;$A20)*RTD("tos.rtd",,"DELTA","."&amp;V$2&amp;V$1&amp;"P"&amp;$A20))/1000),0),IF($A$2="VEX",IFERROR(IF($X$1="ABS",($A$4*$A$4*RTD("tos.rtd",,"VOLUME","."&amp;V$2&amp;V$1&amp;"C"&amp;$A20)*RTD("tos.rtd",,"GAMMA","."&amp;V$2&amp;V$1&amp;"C"&amp;$A20)+$A$4*$A$4*RTD("tos.rtd",,"VOLUME","."&amp;V$2&amp;V$1&amp;"P"&amp;$A20)*RTD("tos.rtd",,"GAMMA","."&amp;V$2&amp;V$1&amp;"P"&amp;$A20))/1000000,($A$4*$A$4*RTD("tos.rtd",,"VOLUME","."&amp;V$2&amp;V$1&amp;"C"&amp;$A20)*RTD("tos.rtd",,"GAMMA","."&amp;V$2&amp;V$1&amp;"C"&amp;$A20)-$A$4*$A$4*RTD("tos.rtd",,"VOLUME","."&amp;V$2&amp;V$1&amp;"P"&amp;$A20)*RTD("tos.rtd",,"GAMMA","."&amp;V$2&amp;V$1&amp;"P"&amp;$A20))/1000000),0),IF($A$2="GEX",IFERROR(IF($X$1="ABS",($A$4*$A$4*RTD("tos.rtd",,"OPEN_INT","."&amp;V$2&amp;V$1&amp;"C"&amp;$A20)*RTD("tos.rtd",,"GAMMA","."&amp;V$2&amp;V$1&amp;"C"&amp;$A20)+$A$4*$A$4*RTD("tos.rtd",,"OPEN_INT","."&amp;V$2&amp;V$1&amp;"P"&amp;$A20)*RTD("tos.rtd",,"GAMMA","."&amp;V$2&amp;V$1&amp;"P"&amp;$A20))/1000000,($A$4*$A$4*RTD("tos.rtd",,"OPEN_INT","."&amp;V$2&amp;V$1&amp;"C"&amp;$A20)*RTD("tos.rtd",,"GAMMA","."&amp;V$2&amp;V$1&amp;"C"&amp;$A20)-$A$4*$A$4*RTD("tos.rtd",,"OPEN_INT","."&amp;V$2&amp;V$1&amp;"P"&amp;$A20)*RTD("tos.rtd",,"GAMMA","."&amp;V$2&amp;V$1&amp;"P"&amp;$A20))/1000000),0),IF($A$2="SKEW",IFERROR(VALUE(IF(RTD("tos.rtd",,"IMPL_VOL","."&amp;V$2&amp;V$1&amp;"P"&amp;$A20)="N/A",0,RTD("tos.rtd",,"IMPL_VOL","."&amp;V$2&amp;V$1&amp;"P"&amp;$A20))),0)-IFERROR(VALUE(IF(RTD("tos.rtd",,"IMPL_VOL","."&amp;V$2&amp;V$1&amp;"C"&amp;$A20)="N/A",0,RTD("tos.rtd",,"IMPL_VOL","."&amp;V$2&amp;V$1&amp;"C"&amp;$A20))),0),IF($A$2="MAXPAIN",IF($A$4&gt;$A20,($A$4-$A20)*IF(RTD("tos.rtd",,"OPEN_INT","."&amp;V$2&amp;V$1&amp;"C"&amp;$A20)="N/A",0,RTD("tos.rtd",,"OPEN_INT","."&amp;V$2&amp;V$1&amp;"C"&amp;$A20)),0)+IF($A$4&lt;$A20,($A$5-$A$4)*IF(RTD("tos.rtd",,"OPEN_INT","."&amp;V$2&amp;V$1&amp;"P"&amp;$A20)="N/A",0,RTD("tos.rtd",,"OPEN_INT","."&amp;V$2&amp;V$1&amp;"P"&amp;$A20)),0),IF($X$1="ABS",IF(RTD("tos.rtd",,$A$2,"."&amp;V$2&amp;V$1&amp;"C"&amp;$A20)="N/A",0,RTD("tos.rtd",,$A$2,"."&amp;V$2&amp;V$1&amp;"C"&amp;$A20))+IF(RTD("tos.rtd",,$A$2,"."&amp;V$2&amp;V$1&amp;"P"&amp;$A20)="N/A",0,RTD("tos.rtd",,$A$2,"."&amp;V$2&amp;V$1&amp;"P"&amp;$A20)),IF(RTD("tos.rtd",,$A$2,"."&amp;V$2&amp;V$1&amp;"C"&amp;$A20)="N/A",0,RTD("tos.rtd",,$A$2,"."&amp;V$2&amp;V$1&amp;"C"&amp;$A20))-IF(RTD("tos.rtd",,$A$2,"."&amp;V$2&amp;V$1&amp;"P"&amp;$A20)="N/A",0,RTD("tos.rtd",,$A$2,"."&amp;V$2&amp;V$1&amp;"P"&amp;$A20))))))))))</f>
        <v>0</v>
      </c>
      <c r="W20" s="12">
        <f ca="1">IF($A$2="PREMIUM_OI",IFERROR(IF($X$1="ABS",(100*RTD("tos.rtd",,"OPEN_INT","."&amp;W$2&amp;W$1&amp;"C"&amp;$A20)*RTD("tos.rtd",,"LAST","."&amp;W$2&amp;W$1&amp;"C"&amp;$A20)+100*RTD("tos.rtd",,"OPEN_INT","."&amp;W$2&amp;W$1&amp;"P"&amp;$A20)*RTD("tos.rtd",,"LAST","."&amp;W$2&amp;W$1&amp;"P"&amp;$A20))/1000000,(100*RTD("tos.rtd",,"OPEN_INT","."&amp;W$2&amp;W$1&amp;"C"&amp;$A20)*RTD("tos.rtd",,"LAST","."&amp;W$2&amp;W$1&amp;"C"&amp;$A20)-100*RTD("tos.rtd",,"OPEN_INT","."&amp;W$2&amp;W$1&amp;"P"&amp;$A20)*RTD("tos.rtd",,"LAST","."&amp;W$2&amp;W$1&amp;"P"&amp;$A20))/1000000),0),IF($A$2="PREMIUM",IFERROR(IF($X$1="ABS",(100*RTD("tos.rtd",,"VOLUME","."&amp;W$2&amp;W$1&amp;"C"&amp;$A20)*RTD("tos.rtd",,"LAST","."&amp;W$2&amp;W$1&amp;"C"&amp;$A20)+100*RTD("tos.rtd",,"VOLUME","."&amp;W$2&amp;W$1&amp;"P"&amp;$A20)*RTD("tos.rtd",,"LAST","."&amp;W$2&amp;W$1&amp;"P"&amp;$A20))/1000000,(100*RTD("tos.rtd",,"VOLUME","."&amp;W$2&amp;W$1&amp;"C"&amp;$A20)*RTD("tos.rtd",,"LAST","."&amp;W$2&amp;W$1&amp;"C"&amp;$A20)-100*RTD("tos.rtd",,"VOLUME","."&amp;W$2&amp;W$1&amp;"P"&amp;$A20)*RTD("tos.rtd",,"LAST","."&amp;W$2&amp;W$1&amp;"P"&amp;$A20))/1000000),0),IF($A$2="DEX",IFERROR(IF($X$1="ABS",(100*RTD("tos.rtd",,"OPEN_INT","."&amp;W$2&amp;W$1&amp;"C"&amp;$A20)*RTD("tos.rtd",,"DELTA","."&amp;W$2&amp;W$1&amp;"C"&amp;$A20)+100*RTD("tos.rtd",,"OPEN_INT","."&amp;W$2&amp;W$1&amp;"P"&amp;$A20)*RTD("tos.rtd",,"DELTA","."&amp;W$2&amp;W$1&amp;"P"&amp;$A20))/1000,(100*RTD("tos.rtd",,"OPEN_INT","."&amp;W$2&amp;W$1&amp;"C"&amp;$A20)*RTD("tos.rtd",,"DELTA","."&amp;W$2&amp;W$1&amp;"C"&amp;$A20)-100*RTD("tos.rtd",,"OPEN_INT","."&amp;W$2&amp;W$1&amp;"P"&amp;$A20)*RTD("tos.rtd",,"DELTA","."&amp;W$2&amp;W$1&amp;"P"&amp;$A20))/1000),0),IF($A$2="VEX",IFERROR(IF($X$1="ABS",($A$4*$A$4*RTD("tos.rtd",,"VOLUME","."&amp;W$2&amp;W$1&amp;"C"&amp;$A20)*RTD("tos.rtd",,"GAMMA","."&amp;W$2&amp;W$1&amp;"C"&amp;$A20)+$A$4*$A$4*RTD("tos.rtd",,"VOLUME","."&amp;W$2&amp;W$1&amp;"P"&amp;$A20)*RTD("tos.rtd",,"GAMMA","."&amp;W$2&amp;W$1&amp;"P"&amp;$A20))/1000000,($A$4*$A$4*RTD("tos.rtd",,"VOLUME","."&amp;W$2&amp;W$1&amp;"C"&amp;$A20)*RTD("tos.rtd",,"GAMMA","."&amp;W$2&amp;W$1&amp;"C"&amp;$A20)-$A$4*$A$4*RTD("tos.rtd",,"VOLUME","."&amp;W$2&amp;W$1&amp;"P"&amp;$A20)*RTD("tos.rtd",,"GAMMA","."&amp;W$2&amp;W$1&amp;"P"&amp;$A20))/1000000),0),IF($A$2="GEX",IFERROR(IF($X$1="ABS",($A$4*$A$4*RTD("tos.rtd",,"OPEN_INT","."&amp;W$2&amp;W$1&amp;"C"&amp;$A20)*RTD("tos.rtd",,"GAMMA","."&amp;W$2&amp;W$1&amp;"C"&amp;$A20)+$A$4*$A$4*RTD("tos.rtd",,"OPEN_INT","."&amp;W$2&amp;W$1&amp;"P"&amp;$A20)*RTD("tos.rtd",,"GAMMA","."&amp;W$2&amp;W$1&amp;"P"&amp;$A20))/1000000,($A$4*$A$4*RTD("tos.rtd",,"OPEN_INT","."&amp;W$2&amp;W$1&amp;"C"&amp;$A20)*RTD("tos.rtd",,"GAMMA","."&amp;W$2&amp;W$1&amp;"C"&amp;$A20)-$A$4*$A$4*RTD("tos.rtd",,"OPEN_INT","."&amp;W$2&amp;W$1&amp;"P"&amp;$A20)*RTD("tos.rtd",,"GAMMA","."&amp;W$2&amp;W$1&amp;"P"&amp;$A20))/1000000),0),IF($A$2="SKEW",IFERROR(VALUE(IF(RTD("tos.rtd",,"IMPL_VOL","."&amp;W$2&amp;W$1&amp;"P"&amp;$A20)="N/A",0,RTD("tos.rtd",,"IMPL_VOL","."&amp;W$2&amp;W$1&amp;"P"&amp;$A20))),0)-IFERROR(VALUE(IF(RTD("tos.rtd",,"IMPL_VOL","."&amp;W$2&amp;W$1&amp;"C"&amp;$A20)="N/A",0,RTD("tos.rtd",,"IMPL_VOL","."&amp;W$2&amp;W$1&amp;"C"&amp;$A20))),0),IF($A$2="MAXPAIN",IF($A$4&gt;$A20,($A$4-$A20)*IF(RTD("tos.rtd",,"OPEN_INT","."&amp;W$2&amp;W$1&amp;"C"&amp;$A20)="N/A",0,RTD("tos.rtd",,"OPEN_INT","."&amp;W$2&amp;W$1&amp;"C"&amp;$A20)),0)+IF($A$4&lt;$A20,($A$5-$A$4)*IF(RTD("tos.rtd",,"OPEN_INT","."&amp;W$2&amp;W$1&amp;"P"&amp;$A20)="N/A",0,RTD("tos.rtd",,"OPEN_INT","."&amp;W$2&amp;W$1&amp;"P"&amp;$A20)),0),IF($X$1="ABS",IF(RTD("tos.rtd",,$A$2,"."&amp;W$2&amp;W$1&amp;"C"&amp;$A20)="N/A",0,RTD("tos.rtd",,$A$2,"."&amp;W$2&amp;W$1&amp;"C"&amp;$A20))+IF(RTD("tos.rtd",,$A$2,"."&amp;W$2&amp;W$1&amp;"P"&amp;$A20)="N/A",0,RTD("tos.rtd",,$A$2,"."&amp;W$2&amp;W$1&amp;"P"&amp;$A20)),IF(RTD("tos.rtd",,$A$2,"."&amp;W$2&amp;W$1&amp;"C"&amp;$A20)="N/A",0,RTD("tos.rtd",,$A$2,"."&amp;W$2&amp;W$1&amp;"C"&amp;$A20))-IF(RTD("tos.rtd",,$A$2,"."&amp;W$2&amp;W$1&amp;"P"&amp;$A20)="N/A",0,RTD("tos.rtd",,$A$2,"."&amp;W$2&amp;W$1&amp;"P"&amp;$A20))))))))))</f>
        <v>0</v>
      </c>
      <c r="X20" s="57">
        <f t="shared" ca="1" si="7"/>
        <v>11898</v>
      </c>
      <c r="Y20" s="27">
        <f t="shared" ca="1" si="8"/>
        <v>11898</v>
      </c>
      <c r="Z20" s="27" t="b">
        <f t="shared" ca="1" si="9"/>
        <v>0</v>
      </c>
      <c r="AA20" s="27">
        <f t="shared" si="10"/>
        <v>109348800</v>
      </c>
      <c r="AB20" s="18">
        <f>MAX(0, $A20-AB$4)*IF(RTD("tos.rtd",,"OPEN_INT","."&amp;$AA$3&amp;$AA$4&amp;"C"&amp;AB$4)="N/A",0,RTD("tos.rtd",,"OPEN_INT","."&amp;$AA$3&amp;$AA$4&amp;"C"&amp;AB$4))*100 + MAX(0, AB$4-$A20)*IF(RTD("tos.rtd",,"OPEN_INT","."&amp;$AA$3&amp;$AA$4&amp;"P"&amp;AB$4)="N/A",0,RTD("tos.rtd",,"OPEN_INT","."&amp;$AA$3&amp;$AA$4&amp;"P"&amp;AB$4))*100</f>
        <v>0</v>
      </c>
      <c r="AC20" s="18">
        <f>MAX(0, $A20-AC$4)*IF(RTD("tos.rtd",,"OPEN_INT","."&amp;$AA$3&amp;$AA$4&amp;"C"&amp;AC$4)="N/A",0,RTD("tos.rtd",,"OPEN_INT","."&amp;$AA$3&amp;$AA$4&amp;"C"&amp;AC$4))*100 + MAX(0, AC$4-$A20)*IF(RTD("tos.rtd",,"OPEN_INT","."&amp;$AA$3&amp;$AA$4&amp;"P"&amp;AC$4)="N/A",0,RTD("tos.rtd",,"OPEN_INT","."&amp;$AA$3&amp;$AA$4&amp;"P"&amp;AC$4))*100</f>
        <v>0</v>
      </c>
      <c r="AD20" s="18">
        <f>MAX(0, $A20-AD$4)*IF(RTD("tos.rtd",,"OPEN_INT","."&amp;$AA$3&amp;$AA$4&amp;"C"&amp;AD$4)="N/A",0,RTD("tos.rtd",,"OPEN_INT","."&amp;$AA$3&amp;$AA$4&amp;"C"&amp;AD$4))*100 + MAX(0, AD$4-$A20)*IF(RTD("tos.rtd",,"OPEN_INT","."&amp;$AA$3&amp;$AA$4&amp;"P"&amp;AD$4)="N/A",0,RTD("tos.rtd",,"OPEN_INT","."&amp;$AA$3&amp;$AA$4&amp;"P"&amp;AD$4))*100</f>
        <v>0</v>
      </c>
      <c r="AE20" s="18">
        <f>MAX(0, $A20-AE$4)*IF(RTD("tos.rtd",,"OPEN_INT","."&amp;$AA$3&amp;$AA$4&amp;"C"&amp;AE$4)="N/A",0,RTD("tos.rtd",,"OPEN_INT","."&amp;$AA$3&amp;$AA$4&amp;"C"&amp;AE$4))*100 + MAX(0, AE$4-$A20)*IF(RTD("tos.rtd",,"OPEN_INT","."&amp;$AA$3&amp;$AA$4&amp;"P"&amp;AE$4)="N/A",0,RTD("tos.rtd",,"OPEN_INT","."&amp;$AA$3&amp;$AA$4&amp;"P"&amp;AE$4))*100</f>
        <v>0</v>
      </c>
      <c r="AF20" s="18">
        <f>MAX(0, $A20-AF$4)*IF(RTD("tos.rtd",,"OPEN_INT","."&amp;$AA$3&amp;$AA$4&amp;"C"&amp;AF$4)="N/A",0,RTD("tos.rtd",,"OPEN_INT","."&amp;$AA$3&amp;$AA$4&amp;"C"&amp;AF$4))*100 + MAX(0, AF$4-$A20)*IF(RTD("tos.rtd",,"OPEN_INT","."&amp;$AA$3&amp;$AA$4&amp;"P"&amp;AF$4)="N/A",0,RTD("tos.rtd",,"OPEN_INT","."&amp;$AA$3&amp;$AA$4&amp;"P"&amp;AF$4))*100</f>
        <v>0</v>
      </c>
      <c r="AG20" s="18">
        <f>MAX(0, $A20-AG$4)*IF(RTD("tos.rtd",,"OPEN_INT","."&amp;$AA$3&amp;$AA$4&amp;"C"&amp;AG$4)="N/A",0,RTD("tos.rtd",,"OPEN_INT","."&amp;$AA$3&amp;$AA$4&amp;"C"&amp;AG$4))*100 + MAX(0, AG$4-$A20)*IF(RTD("tos.rtd",,"OPEN_INT","."&amp;$AA$3&amp;$AA$4&amp;"P"&amp;AG$4)="N/A",0,RTD("tos.rtd",,"OPEN_INT","."&amp;$AA$3&amp;$AA$4&amp;"P"&amp;AG$4))*100</f>
        <v>0</v>
      </c>
      <c r="AH20" s="18">
        <f>MAX(0, $A20-AH$4)*IF(RTD("tos.rtd",,"OPEN_INT","."&amp;$AA$3&amp;$AA$4&amp;"C"&amp;AH$4)="N/A",0,RTD("tos.rtd",,"OPEN_INT","."&amp;$AA$3&amp;$AA$4&amp;"C"&amp;AH$4))*100 + MAX(0, AH$4-$A20)*IF(RTD("tos.rtd",,"OPEN_INT","."&amp;$AA$3&amp;$AA$4&amp;"P"&amp;AH$4)="N/A",0,RTD("tos.rtd",,"OPEN_INT","."&amp;$AA$3&amp;$AA$4&amp;"P"&amp;AH$4))*100</f>
        <v>0</v>
      </c>
      <c r="AI20" s="18">
        <f>MAX(0, $A20-AI$4)*IF(RTD("tos.rtd",,"OPEN_INT","."&amp;$AA$3&amp;$AA$4&amp;"C"&amp;AI$4)="N/A",0,RTD("tos.rtd",,"OPEN_INT","."&amp;$AA$3&amp;$AA$4&amp;"C"&amp;AI$4))*100 + MAX(0, AI$4-$A20)*IF(RTD("tos.rtd",,"OPEN_INT","."&amp;$AA$3&amp;$AA$4&amp;"P"&amp;AI$4)="N/A",0,RTD("tos.rtd",,"OPEN_INT","."&amp;$AA$3&amp;$AA$4&amp;"P"&amp;AI$4))*100</f>
        <v>1200</v>
      </c>
      <c r="AJ20" s="18">
        <f>MAX(0, $A20-AJ$4)*IF(RTD("tos.rtd",,"OPEN_INT","."&amp;$AA$3&amp;$AA$4&amp;"C"&amp;AJ$4)="N/A",0,RTD("tos.rtd",,"OPEN_INT","."&amp;$AA$3&amp;$AA$4&amp;"C"&amp;AJ$4))*100 + MAX(0, AJ$4-$A20)*IF(RTD("tos.rtd",,"OPEN_INT","."&amp;$AA$3&amp;$AA$4&amp;"P"&amp;AJ$4)="N/A",0,RTD("tos.rtd",,"OPEN_INT","."&amp;$AA$3&amp;$AA$4&amp;"P"&amp;AJ$4))*100</f>
        <v>2800</v>
      </c>
      <c r="AK20" s="18">
        <f>MAX(0, $A20-AK$4)*IF(RTD("tos.rtd",,"OPEN_INT","."&amp;$AA$3&amp;$AA$4&amp;"C"&amp;AK$4)="N/A",0,RTD("tos.rtd",,"OPEN_INT","."&amp;$AA$3&amp;$AA$4&amp;"C"&amp;AK$4))*100 + MAX(0, AK$4-$A20)*IF(RTD("tos.rtd",,"OPEN_INT","."&amp;$AA$3&amp;$AA$4&amp;"P"&amp;AK$4)="N/A",0,RTD("tos.rtd",,"OPEN_INT","."&amp;$AA$3&amp;$AA$4&amp;"P"&amp;AK$4))*100</f>
        <v>0</v>
      </c>
      <c r="AL20" s="18">
        <f>MAX(0, $A20-AL$4)*IF(RTD("tos.rtd",,"OPEN_INT","."&amp;$AA$3&amp;$AA$4&amp;"C"&amp;AL$4)="N/A",0,RTD("tos.rtd",,"OPEN_INT","."&amp;$AA$3&amp;$AA$4&amp;"C"&amp;AL$4))*100 + MAX(0, AL$4-$A20)*IF(RTD("tos.rtd",,"OPEN_INT","."&amp;$AA$3&amp;$AA$4&amp;"P"&amp;AL$4)="N/A",0,RTD("tos.rtd",,"OPEN_INT","."&amp;$AA$3&amp;$AA$4&amp;"P"&amp;AL$4))*100</f>
        <v>0</v>
      </c>
      <c r="AM20" s="18">
        <f>MAX(0, $A20-AM$4)*IF(RTD("tos.rtd",,"OPEN_INT","."&amp;$AA$3&amp;$AA$4&amp;"C"&amp;AM$4)="N/A",0,RTD("tos.rtd",,"OPEN_INT","."&amp;$AA$3&amp;$AA$4&amp;"C"&amp;AM$4))*100 + MAX(0, AM$4-$A20)*IF(RTD("tos.rtd",,"OPEN_INT","."&amp;$AA$3&amp;$AA$4&amp;"P"&amp;AM$4)="N/A",0,RTD("tos.rtd",,"OPEN_INT","."&amp;$AA$3&amp;$AA$4&amp;"P"&amp;AM$4))*100</f>
        <v>0</v>
      </c>
      <c r="AN20" s="18">
        <f>MAX(0, $A20-AN$4)*IF(RTD("tos.rtd",,"OPEN_INT","."&amp;$AA$3&amp;$AA$4&amp;"C"&amp;AN$4)="N/A",0,RTD("tos.rtd",,"OPEN_INT","."&amp;$AA$3&amp;$AA$4&amp;"C"&amp;AN$4))*100 + MAX(0, AN$4-$A20)*IF(RTD("tos.rtd",,"OPEN_INT","."&amp;$AA$3&amp;$AA$4&amp;"P"&amp;AN$4)="N/A",0,RTD("tos.rtd",,"OPEN_INT","."&amp;$AA$3&amp;$AA$4&amp;"P"&amp;AN$4))*100</f>
        <v>0</v>
      </c>
      <c r="AO20" s="18">
        <f>MAX(0, $A20-AO$4)*IF(RTD("tos.rtd",,"OPEN_INT","."&amp;$AA$3&amp;$AA$4&amp;"C"&amp;AO$4)="N/A",0,RTD("tos.rtd",,"OPEN_INT","."&amp;$AA$3&amp;$AA$4&amp;"C"&amp;AO$4))*100 + MAX(0, AO$4-$A20)*IF(RTD("tos.rtd",,"OPEN_INT","."&amp;$AA$3&amp;$AA$4&amp;"P"&amp;AO$4)="N/A",0,RTD("tos.rtd",,"OPEN_INT","."&amp;$AA$3&amp;$AA$4&amp;"P"&amp;AO$4))*100</f>
        <v>12000</v>
      </c>
      <c r="AP20" s="18">
        <f>MAX(0, $A20-AP$4)*IF(RTD("tos.rtd",,"OPEN_INT","."&amp;$AA$3&amp;$AA$4&amp;"C"&amp;AP$4)="N/A",0,RTD("tos.rtd",,"OPEN_INT","."&amp;$AA$3&amp;$AA$4&amp;"C"&amp;AP$4))*100 + MAX(0, AP$4-$A20)*IF(RTD("tos.rtd",,"OPEN_INT","."&amp;$AA$3&amp;$AA$4&amp;"P"&amp;AP$4)="N/A",0,RTD("tos.rtd",,"OPEN_INT","."&amp;$AA$3&amp;$AA$4&amp;"P"&amp;AP$4))*100</f>
        <v>0</v>
      </c>
      <c r="AQ20" s="18">
        <f>MAX(0, $A20-AQ$4)*IF(RTD("tos.rtd",,"OPEN_INT","."&amp;$AA$3&amp;$AA$4&amp;"C"&amp;AQ$4)="N/A",0,RTD("tos.rtd",,"OPEN_INT","."&amp;$AA$3&amp;$AA$4&amp;"C"&amp;AQ$4))*100 + MAX(0, AQ$4-$A20)*IF(RTD("tos.rtd",,"OPEN_INT","."&amp;$AA$3&amp;$AA$4&amp;"P"&amp;AQ$4)="N/A",0,RTD("tos.rtd",,"OPEN_INT","."&amp;$AA$3&amp;$AA$4&amp;"P"&amp;AQ$4))*100</f>
        <v>0</v>
      </c>
      <c r="AR20" s="18">
        <f>MAX(0, $A20-AR$4)*IF(RTD("tos.rtd",,"OPEN_INT","."&amp;$AA$3&amp;$AA$4&amp;"C"&amp;AR$4)="N/A",0,RTD("tos.rtd",,"OPEN_INT","."&amp;$AA$3&amp;$AA$4&amp;"C"&amp;AR$4))*100 + MAX(0, AR$4-$A20)*IF(RTD("tos.rtd",,"OPEN_INT","."&amp;$AA$3&amp;$AA$4&amp;"P"&amp;AR$4)="N/A",0,RTD("tos.rtd",,"OPEN_INT","."&amp;$AA$3&amp;$AA$4&amp;"P"&amp;AR$4))*100</f>
        <v>50</v>
      </c>
      <c r="AS20" s="18">
        <f>MAX(0, $A20-AS$4)*IF(RTD("tos.rtd",,"OPEN_INT","."&amp;$AA$3&amp;$AA$4&amp;"C"&amp;AS$4)="N/A",0,RTD("tos.rtd",,"OPEN_INT","."&amp;$AA$3&amp;$AA$4&amp;"C"&amp;AS$4))*100 + MAX(0, AS$4-$A20)*IF(RTD("tos.rtd",,"OPEN_INT","."&amp;$AA$3&amp;$AA$4&amp;"P"&amp;AS$4)="N/A",0,RTD("tos.rtd",,"OPEN_INT","."&amp;$AA$3&amp;$AA$4&amp;"P"&amp;AS$4))*100</f>
        <v>86200</v>
      </c>
      <c r="AT20" s="18">
        <f>MAX(0, $A20-AT$4)*IF(RTD("tos.rtd",,"OPEN_INT","."&amp;$AA$3&amp;$AA$4&amp;"C"&amp;AT$4)="N/A",0,RTD("tos.rtd",,"OPEN_INT","."&amp;$AA$3&amp;$AA$4&amp;"C"&amp;AT$4))*100 + MAX(0, AT$4-$A20)*IF(RTD("tos.rtd",,"OPEN_INT","."&amp;$AA$3&amp;$AA$4&amp;"P"&amp;AT$4)="N/A",0,RTD("tos.rtd",,"OPEN_INT","."&amp;$AA$3&amp;$AA$4&amp;"P"&amp;AT$4))*100</f>
        <v>210300</v>
      </c>
      <c r="AU20" s="18">
        <f>MAX(0, $A20-AU$4)*IF(RTD("tos.rtd",,"OPEN_INT","."&amp;$AA$3&amp;$AA$4&amp;"C"&amp;AU$4)="N/A",0,RTD("tos.rtd",,"OPEN_INT","."&amp;$AA$3&amp;$AA$4&amp;"C"&amp;AU$4))*100 + MAX(0, AU$4-$A20)*IF(RTD("tos.rtd",,"OPEN_INT","."&amp;$AA$3&amp;$AA$4&amp;"P"&amp;AU$4)="N/A",0,RTD("tos.rtd",,"OPEN_INT","."&amp;$AA$3&amp;$AA$4&amp;"P"&amp;AU$4))*100</f>
        <v>336600</v>
      </c>
      <c r="AV20" s="18">
        <f>MAX(0, $A20-AV$4)*IF(RTD("tos.rtd",,"OPEN_INT","."&amp;$AA$3&amp;$AA$4&amp;"C"&amp;AV$4)="N/A",0,RTD("tos.rtd",,"OPEN_INT","."&amp;$AA$3&amp;$AA$4&amp;"C"&amp;AV$4))*100 + MAX(0, AV$4-$A20)*IF(RTD("tos.rtd",,"OPEN_INT","."&amp;$AA$3&amp;$AA$4&amp;"P"&amp;AV$4)="N/A",0,RTD("tos.rtd",,"OPEN_INT","."&amp;$AA$3&amp;$AA$4&amp;"P"&amp;AV$4))*100</f>
        <v>472000</v>
      </c>
      <c r="AW20" s="18">
        <f>MAX(0, $A20-AW$4)*IF(RTD("tos.rtd",,"OPEN_INT","."&amp;$AA$3&amp;$AA$4&amp;"C"&amp;AW$4)="N/A",0,RTD("tos.rtd",,"OPEN_INT","."&amp;$AA$3&amp;$AA$4&amp;"C"&amp;AW$4))*100 + MAX(0, AW$4-$A20)*IF(RTD("tos.rtd",,"OPEN_INT","."&amp;$AA$3&amp;$AA$4&amp;"P"&amp;AW$4)="N/A",0,RTD("tos.rtd",,"OPEN_INT","."&amp;$AA$3&amp;$AA$4&amp;"P"&amp;AW$4))*100</f>
        <v>922500</v>
      </c>
      <c r="AX20" s="18">
        <f>MAX(0, $A20-AX$4)*IF(RTD("tos.rtd",,"OPEN_INT","."&amp;$AA$3&amp;$AA$4&amp;"C"&amp;AX$4)="N/A",0,RTD("tos.rtd",,"OPEN_INT","."&amp;$AA$3&amp;$AA$4&amp;"C"&amp;AX$4))*100 + MAX(0, AX$4-$A20)*IF(RTD("tos.rtd",,"OPEN_INT","."&amp;$AA$3&amp;$AA$4&amp;"P"&amp;AX$4)="N/A",0,RTD("tos.rtd",,"OPEN_INT","."&amp;$AA$3&amp;$AA$4&amp;"P"&amp;AX$4))*100</f>
        <v>1488550</v>
      </c>
      <c r="AY20" s="18">
        <f>MAX(0, $A20-AY$4)*IF(RTD("tos.rtd",,"OPEN_INT","."&amp;$AA$3&amp;$AA$4&amp;"C"&amp;AY$4)="N/A",0,RTD("tos.rtd",,"OPEN_INT","."&amp;$AA$3&amp;$AA$4&amp;"C"&amp;AY$4))*100 + MAX(0, AY$4-$A20)*IF(RTD("tos.rtd",,"OPEN_INT","."&amp;$AA$3&amp;$AA$4&amp;"P"&amp;AY$4)="N/A",0,RTD("tos.rtd",,"OPEN_INT","."&amp;$AA$3&amp;$AA$4&amp;"P"&amp;AY$4))*100</f>
        <v>7819200</v>
      </c>
      <c r="AZ20" s="18">
        <f>MAX(0, $A20-AZ$4)*IF(RTD("tos.rtd",,"OPEN_INT","."&amp;$AA$3&amp;$AA$4&amp;"C"&amp;AZ$4)="N/A",0,RTD("tos.rtd",,"OPEN_INT","."&amp;$AA$3&amp;$AA$4&amp;"C"&amp;AZ$4))*100 + MAX(0, AZ$4-$A20)*IF(RTD("tos.rtd",,"OPEN_INT","."&amp;$AA$3&amp;$AA$4&amp;"P"&amp;AZ$4)="N/A",0,RTD("tos.rtd",,"OPEN_INT","."&amp;$AA$3&amp;$AA$4&amp;"P"&amp;AZ$4))*100</f>
        <v>4432500</v>
      </c>
      <c r="BA20" s="18">
        <f>MAX(0, $A20-BA$4)*IF(RTD("tos.rtd",,"OPEN_INT","."&amp;$AA$3&amp;$AA$4&amp;"C"&amp;BA$4)="N/A",0,RTD("tos.rtd",,"OPEN_INT","."&amp;$AA$3&amp;$AA$4&amp;"C"&amp;BA$4))*100 + MAX(0, BA$4-$A20)*IF(RTD("tos.rtd",,"OPEN_INT","."&amp;$AA$3&amp;$AA$4&amp;"P"&amp;BA$4)="N/A",0,RTD("tos.rtd",,"OPEN_INT","."&amp;$AA$3&amp;$AA$4&amp;"P"&amp;BA$4))*100</f>
        <v>15403500</v>
      </c>
      <c r="BB20" s="18">
        <f>MAX(0, $A20-BB$4)*IF(RTD("tos.rtd",,"OPEN_INT","."&amp;$AA$3&amp;$AA$4&amp;"C"&amp;BB$4)="N/A",0,RTD("tos.rtd",,"OPEN_INT","."&amp;$AA$3&amp;$AA$4&amp;"C"&amp;BB$4))*100 + MAX(0, BB$4-$A20)*IF(RTD("tos.rtd",,"OPEN_INT","."&amp;$AA$3&amp;$AA$4&amp;"P"&amp;BB$4)="N/A",0,RTD("tos.rtd",,"OPEN_INT","."&amp;$AA$3&amp;$AA$4&amp;"P"&amp;BB$4))*100</f>
        <v>15761900</v>
      </c>
      <c r="BC20" s="18">
        <f>MAX(0, $A20-BC$4)*IF(RTD("tos.rtd",,"OPEN_INT","."&amp;$AA$3&amp;$AA$4&amp;"C"&amp;BC$4)="N/A",0,RTD("tos.rtd",,"OPEN_INT","."&amp;$AA$3&amp;$AA$4&amp;"C"&amp;BC$4))*100 + MAX(0, BC$4-$A20)*IF(RTD("tos.rtd",,"OPEN_INT","."&amp;$AA$3&amp;$AA$4&amp;"P"&amp;BC$4)="N/A",0,RTD("tos.rtd",,"OPEN_INT","."&amp;$AA$3&amp;$AA$4&amp;"P"&amp;BC$4))*100</f>
        <v>24427800</v>
      </c>
      <c r="BD20" s="18">
        <f>MAX(0, $A20-BD$4)*IF(RTD("tos.rtd",,"OPEN_INT","."&amp;$AA$3&amp;$AA$4&amp;"C"&amp;BD$4)="N/A",0,RTD("tos.rtd",,"OPEN_INT","."&amp;$AA$3&amp;$AA$4&amp;"C"&amp;BD$4))*100 + MAX(0, BD$4-$A20)*IF(RTD("tos.rtd",,"OPEN_INT","."&amp;$AA$3&amp;$AA$4&amp;"P"&amp;BD$4)="N/A",0,RTD("tos.rtd",,"OPEN_INT","."&amp;$AA$3&amp;$AA$4&amp;"P"&amp;BD$4))*100</f>
        <v>12064000</v>
      </c>
      <c r="BE20" s="18">
        <f>MAX(0, $A20-BE$4)*IF(RTD("tos.rtd",,"OPEN_INT","."&amp;$AA$3&amp;$AA$4&amp;"C"&amp;BE$4)="N/A",0,RTD("tos.rtd",,"OPEN_INT","."&amp;$AA$3&amp;$AA$4&amp;"C"&amp;BE$4))*100 + MAX(0, BE$4-$A20)*IF(RTD("tos.rtd",,"OPEN_INT","."&amp;$AA$3&amp;$AA$4&amp;"P"&amp;BE$4)="N/A",0,RTD("tos.rtd",,"OPEN_INT","."&amp;$AA$3&amp;$AA$4&amp;"P"&amp;BE$4))*100</f>
        <v>12094600</v>
      </c>
      <c r="BF20" s="18">
        <f>MAX(0, $A20-BF$4)*IF(RTD("tos.rtd",,"OPEN_INT","."&amp;$AA$3&amp;$AA$4&amp;"C"&amp;BF$4)="N/A",0,RTD("tos.rtd",,"OPEN_INT","."&amp;$AA$3&amp;$AA$4&amp;"C"&amp;BF$4))*100 + MAX(0, BF$4-$A20)*IF(RTD("tos.rtd",,"OPEN_INT","."&amp;$AA$3&amp;$AA$4&amp;"P"&amp;BF$4)="N/A",0,RTD("tos.rtd",,"OPEN_INT","."&amp;$AA$3&amp;$AA$4&amp;"P"&amp;BF$4))*100</f>
        <v>6305250</v>
      </c>
      <c r="BG20" s="18">
        <f>MAX(0, $A20-BG$4)*IF(RTD("tos.rtd",,"OPEN_INT","."&amp;$AA$3&amp;$AA$4&amp;"C"&amp;BG$4)="N/A",0,RTD("tos.rtd",,"OPEN_INT","."&amp;$AA$3&amp;$AA$4&amp;"C"&amp;BG$4))*100 + MAX(0, BG$4-$A20)*IF(RTD("tos.rtd",,"OPEN_INT","."&amp;$AA$3&amp;$AA$4&amp;"P"&amp;BG$4)="N/A",0,RTD("tos.rtd",,"OPEN_INT","."&amp;$AA$3&amp;$AA$4&amp;"P"&amp;BG$4))*100</f>
        <v>4587200</v>
      </c>
      <c r="BH20" s="18">
        <f>MAX(0, $A20-BH$4)*IF(RTD("tos.rtd",,"OPEN_INT","."&amp;$AA$3&amp;$AA$4&amp;"C"&amp;BH$4)="N/A",0,RTD("tos.rtd",,"OPEN_INT","."&amp;$AA$3&amp;$AA$4&amp;"C"&amp;BH$4))*100 + MAX(0, BH$4-$A20)*IF(RTD("tos.rtd",,"OPEN_INT","."&amp;$AA$3&amp;$AA$4&amp;"P"&amp;BH$4)="N/A",0,RTD("tos.rtd",,"OPEN_INT","."&amp;$AA$3&amp;$AA$4&amp;"P"&amp;BH$4))*100</f>
        <v>1651550</v>
      </c>
      <c r="BI20" s="18">
        <f>MAX(0, $A20-BI$4)*IF(RTD("tos.rtd",,"OPEN_INT","."&amp;$AA$3&amp;$AA$4&amp;"C"&amp;BI$4)="N/A",0,RTD("tos.rtd",,"OPEN_INT","."&amp;$AA$3&amp;$AA$4&amp;"C"&amp;BI$4))*100 + MAX(0, BI$4-$A20)*IF(RTD("tos.rtd",,"OPEN_INT","."&amp;$AA$3&amp;$AA$4&amp;"P"&amp;BI$4)="N/A",0,RTD("tos.rtd",,"OPEN_INT","."&amp;$AA$3&amp;$AA$4&amp;"P"&amp;BI$4))*100</f>
        <v>757800</v>
      </c>
      <c r="BJ20" s="18">
        <f>MAX(0, $A20-BJ$4)*IF(RTD("tos.rtd",,"OPEN_INT","."&amp;$AA$3&amp;$AA$4&amp;"C"&amp;BJ$4)="N/A",0,RTD("tos.rtd",,"OPEN_INT","."&amp;$AA$3&amp;$AA$4&amp;"C"&amp;BJ$4))*100 + MAX(0, BJ$4-$A20)*IF(RTD("tos.rtd",,"OPEN_INT","."&amp;$AA$3&amp;$AA$4&amp;"P"&amp;BJ$4)="N/A",0,RTD("tos.rtd",,"OPEN_INT","."&amp;$AA$3&amp;$AA$4&amp;"P"&amp;BJ$4))*100</f>
        <v>143450</v>
      </c>
      <c r="BK20" s="18">
        <f>MAX(0, $A20-BK$4)*IF(RTD("tos.rtd",,"OPEN_INT","."&amp;$AA$3&amp;$AA$4&amp;"C"&amp;BK$4)="N/A",0,RTD("tos.rtd",,"OPEN_INT","."&amp;$AA$3&amp;$AA$4&amp;"C"&amp;BK$4))*100 + MAX(0, BK$4-$A20)*IF(RTD("tos.rtd",,"OPEN_INT","."&amp;$AA$3&amp;$AA$4&amp;"P"&amp;BK$4)="N/A",0,RTD("tos.rtd",,"OPEN_INT","."&amp;$AA$3&amp;$AA$4&amp;"P"&amp;BK$4))*100</f>
        <v>261000</v>
      </c>
      <c r="BL20" s="18">
        <f>MAX(0, $A20-BL$4)*IF(RTD("tos.rtd",,"OPEN_INT","."&amp;$AA$3&amp;$AA$4&amp;"C"&amp;BL$4)="N/A",0,RTD("tos.rtd",,"OPEN_INT","."&amp;$AA$3&amp;$AA$4&amp;"C"&amp;BL$4))*100 + MAX(0, BL$4-$A20)*IF(RTD("tos.rtd",,"OPEN_INT","."&amp;$AA$3&amp;$AA$4&amp;"P"&amp;BL$4)="N/A",0,RTD("tos.rtd",,"OPEN_INT","."&amp;$AA$3&amp;$AA$4&amp;"P"&amp;BL$4))*100</f>
        <v>16800</v>
      </c>
      <c r="BM20" s="18">
        <f>MAX(0, $A20-BM$4)*IF(RTD("tos.rtd",,"OPEN_INT","."&amp;$AA$3&amp;$AA$4&amp;"C"&amp;BM$4)="N/A",0,RTD("tos.rtd",,"OPEN_INT","."&amp;$AA$3&amp;$AA$4&amp;"C"&amp;BM$4))*100 + MAX(0, BM$4-$A20)*IF(RTD("tos.rtd",,"OPEN_INT","."&amp;$AA$3&amp;$AA$4&amp;"P"&amp;BM$4)="N/A",0,RTD("tos.rtd",,"OPEN_INT","."&amp;$AA$3&amp;$AA$4&amp;"P"&amp;BM$4))*100</f>
        <v>8800</v>
      </c>
      <c r="BN20" s="18">
        <f>MAX(0, $A20-BN$4)*IF(RTD("tos.rtd",,"OPEN_INT","."&amp;$AA$3&amp;$AA$4&amp;"C"&amp;BN$4)="N/A",0,RTD("tos.rtd",,"OPEN_INT","."&amp;$AA$3&amp;$AA$4&amp;"C"&amp;BN$4))*100 + MAX(0, BN$4-$A20)*IF(RTD("tos.rtd",,"OPEN_INT","."&amp;$AA$3&amp;$AA$4&amp;"P"&amp;BN$4)="N/A",0,RTD("tos.rtd",,"OPEN_INT","."&amp;$AA$3&amp;$AA$4&amp;"P"&amp;BN$4))*100</f>
        <v>35650</v>
      </c>
      <c r="BO20" s="18">
        <f>MAX(0, $A20-BO$4)*IF(RTD("tos.rtd",,"OPEN_INT","."&amp;$AA$3&amp;$AA$4&amp;"C"&amp;BO$4)="N/A",0,RTD("tos.rtd",,"OPEN_INT","."&amp;$AA$3&amp;$AA$4&amp;"C"&amp;BO$4))*100 + MAX(0, BO$4-$A20)*IF(RTD("tos.rtd",,"OPEN_INT","."&amp;$AA$3&amp;$AA$4&amp;"P"&amp;BO$4)="N/A",0,RTD("tos.rtd",,"OPEN_INT","."&amp;$AA$3&amp;$AA$4&amp;"P"&amp;BO$4))*100</f>
        <v>45600</v>
      </c>
      <c r="BP20" s="18">
        <f>MAX(0, $A20-BP$4)*IF(RTD("tos.rtd",,"OPEN_INT","."&amp;$AA$3&amp;$AA$4&amp;"C"&amp;BP$4)="N/A",0,RTD("tos.rtd",,"OPEN_INT","."&amp;$AA$3&amp;$AA$4&amp;"C"&amp;BP$4))*100 + MAX(0, BP$4-$A20)*IF(RTD("tos.rtd",,"OPEN_INT","."&amp;$AA$3&amp;$AA$4&amp;"P"&amp;BP$4)="N/A",0,RTD("tos.rtd",,"OPEN_INT","."&amp;$AA$3&amp;$AA$4&amp;"P"&amp;BP$4))*100</f>
        <v>0</v>
      </c>
      <c r="BQ20" s="18">
        <f>MAX(0, $A20-BQ$4)*IF(RTD("tos.rtd",,"OPEN_INT","."&amp;$AA$3&amp;$AA$4&amp;"C"&amp;BQ$4)="N/A",0,RTD("tos.rtd",,"OPEN_INT","."&amp;$AA$3&amp;$AA$4&amp;"C"&amp;BQ$4))*100 + MAX(0, BQ$4-$A20)*IF(RTD("tos.rtd",,"OPEN_INT","."&amp;$AA$3&amp;$AA$4&amp;"P"&amp;BQ$4)="N/A",0,RTD("tos.rtd",,"OPEN_INT","."&amp;$AA$3&amp;$AA$4&amp;"P"&amp;BQ$4))*100</f>
        <v>0</v>
      </c>
      <c r="BR20" s="18">
        <f>MAX(0, $A20-BR$4)*IF(RTD("tos.rtd",,"OPEN_INT","."&amp;$AA$3&amp;$AA$4&amp;"C"&amp;BR$4)="N/A",0,RTD("tos.rtd",,"OPEN_INT","."&amp;$AA$3&amp;$AA$4&amp;"C"&amp;BR$4))*100 + MAX(0, BR$4-$A20)*IF(RTD("tos.rtd",,"OPEN_INT","."&amp;$AA$3&amp;$AA$4&amp;"P"&amp;BR$4)="N/A",0,RTD("tos.rtd",,"OPEN_INT","."&amp;$AA$3&amp;$AA$4&amp;"P"&amp;BR$4))*100</f>
        <v>0</v>
      </c>
      <c r="BS20" s="18">
        <f>MAX(0, $A20-BS$4)*IF(RTD("tos.rtd",,"OPEN_INT","."&amp;$AA$3&amp;$AA$4&amp;"C"&amp;BS$4)="N/A",0,RTD("tos.rtd",,"OPEN_INT","."&amp;$AA$3&amp;$AA$4&amp;"C"&amp;BS$4))*100 + MAX(0, BS$4-$A20)*IF(RTD("tos.rtd",,"OPEN_INT","."&amp;$AA$3&amp;$AA$4&amp;"P"&amp;BS$4)="N/A",0,RTD("tos.rtd",,"OPEN_INT","."&amp;$AA$3&amp;$AA$4&amp;"P"&amp;BS$4))*100</f>
        <v>0</v>
      </c>
      <c r="BT20" s="18">
        <f>MAX(0, $A20-BT$4)*IF(RTD("tos.rtd",,"OPEN_INT","."&amp;$AA$3&amp;$AA$4&amp;"C"&amp;BT$4)="N/A",0,RTD("tos.rtd",,"OPEN_INT","."&amp;$AA$3&amp;$AA$4&amp;"C"&amp;BT$4))*100 + MAX(0, BT$4-$A20)*IF(RTD("tos.rtd",,"OPEN_INT","."&amp;$AA$3&amp;$AA$4&amp;"P"&amp;BT$4)="N/A",0,RTD("tos.rtd",,"OPEN_INT","."&amp;$AA$3&amp;$AA$4&amp;"P"&amp;BT$4))*100</f>
        <v>0</v>
      </c>
      <c r="BU20" s="18">
        <f>MAX(0, $A20-BU$4)*IF(RTD("tos.rtd",,"OPEN_INT","."&amp;$AA$3&amp;$AA$4&amp;"C"&amp;BU$4)="N/A",0,RTD("tos.rtd",,"OPEN_INT","."&amp;$AA$3&amp;$AA$4&amp;"C"&amp;BU$4))*100 + MAX(0, BU$4-$A20)*IF(RTD("tos.rtd",,"OPEN_INT","."&amp;$AA$3&amp;$AA$4&amp;"P"&amp;BU$4)="N/A",0,RTD("tos.rtd",,"OPEN_INT","."&amp;$AA$3&amp;$AA$4&amp;"P"&amp;BU$4))*100</f>
        <v>0</v>
      </c>
      <c r="BV20" s="18">
        <f>MAX(0, $A20-BV$4)*IF(RTD("tos.rtd",,"OPEN_INT","."&amp;$AA$3&amp;$AA$4&amp;"C"&amp;BV$4)="N/A",0,RTD("tos.rtd",,"OPEN_INT","."&amp;$AA$3&amp;$AA$4&amp;"C"&amp;BV$4))*100 + MAX(0, BV$4-$A20)*IF(RTD("tos.rtd",,"OPEN_INT","."&amp;$AA$3&amp;$AA$4&amp;"P"&amp;BV$4)="N/A",0,RTD("tos.rtd",,"OPEN_INT","."&amp;$AA$3&amp;$AA$4&amp;"P"&amp;BV$4))*100</f>
        <v>0</v>
      </c>
    </row>
    <row r="21" spans="1:74" s="19" customFormat="1" ht="11.1" customHeight="1" thickBot="1" x14ac:dyDescent="0.3">
      <c r="A21" s="23">
        <f t="shared" si="6"/>
        <v>13.5</v>
      </c>
      <c r="B21" s="14">
        <f ca="1">IF($A$2="PREMIUM_OI",IFERROR(IF($X$1="ABS",(100*RTD("tos.rtd",,"OPEN_INT","."&amp;B$2&amp;B$1&amp;"C"&amp;$A21)*RTD("tos.rtd",,"LAST","."&amp;B$2&amp;B$1&amp;"C"&amp;$A21)+100*RTD("tos.rtd",,"OPEN_INT","."&amp;B$2&amp;B$1&amp;"P"&amp;$A21)*RTD("tos.rtd",,"LAST","."&amp;B$2&amp;B$1&amp;"P"&amp;$A21))/1000000,(100*RTD("tos.rtd",,"OPEN_INT","."&amp;B$2&amp;B$1&amp;"C"&amp;$A21)*RTD("tos.rtd",,"LAST","."&amp;B$2&amp;B$1&amp;"C"&amp;$A21)-100*RTD("tos.rtd",,"OPEN_INT","."&amp;B$2&amp;B$1&amp;"P"&amp;$A21)*RTD("tos.rtd",,"LAST","."&amp;B$2&amp;B$1&amp;"P"&amp;$A21))/1000000),0),IF($A$2="PREMIUM",IFERROR(IF($X$1="ABS",(100*RTD("tos.rtd",,"VOLUME","."&amp;B$2&amp;B$1&amp;"C"&amp;$A21)*RTD("tos.rtd",,"LAST","."&amp;B$2&amp;B$1&amp;"C"&amp;$A21)+100*RTD("tos.rtd",,"VOLUME","."&amp;B$2&amp;B$1&amp;"P"&amp;$A21)*RTD("tos.rtd",,"LAST","."&amp;B$2&amp;B$1&amp;"P"&amp;$A21))/1000000,(100*RTD("tos.rtd",,"VOLUME","."&amp;B$2&amp;B$1&amp;"C"&amp;$A21)*RTD("tos.rtd",,"LAST","."&amp;B$2&amp;B$1&amp;"C"&amp;$A21)-100*RTD("tos.rtd",,"VOLUME","."&amp;B$2&amp;B$1&amp;"P"&amp;$A21)*RTD("tos.rtd",,"LAST","."&amp;B$2&amp;B$1&amp;"P"&amp;$A21))/1000000),0),IF($A$2="DEX",IFERROR(IF($X$1="ABS",(100*RTD("tos.rtd",,"OPEN_INT","."&amp;B$2&amp;B$1&amp;"C"&amp;$A21)*RTD("tos.rtd",,"DELTA","."&amp;B$2&amp;B$1&amp;"C"&amp;$A21)+100*RTD("tos.rtd",,"OPEN_INT","."&amp;B$2&amp;B$1&amp;"P"&amp;$A21)*RTD("tos.rtd",,"DELTA","."&amp;B$2&amp;B$1&amp;"P"&amp;$A21))/1000,(100*RTD("tos.rtd",,"OPEN_INT","."&amp;B$2&amp;B$1&amp;"C"&amp;$A21)*RTD("tos.rtd",,"DELTA","."&amp;B$2&amp;B$1&amp;"C"&amp;$A21)-100*RTD("tos.rtd",,"OPEN_INT","."&amp;B$2&amp;B$1&amp;"P"&amp;$A21)*RTD("tos.rtd",,"DELTA","."&amp;B$2&amp;B$1&amp;"P"&amp;$A21))/1000),0),IF($A$2="VEX",IFERROR(IF($X$1="ABS",($A$4*$A$4*RTD("tos.rtd",,"VOLUME","."&amp;B$2&amp;B$1&amp;"C"&amp;$A21)*RTD("tos.rtd",,"GAMMA","."&amp;B$2&amp;B$1&amp;"C"&amp;$A21)+$A$4*$A$4*RTD("tos.rtd",,"VOLUME","."&amp;B$2&amp;B$1&amp;"P"&amp;$A21)*RTD("tos.rtd",,"GAMMA","."&amp;B$2&amp;B$1&amp;"P"&amp;$A21))/1000000,($A$4*$A$4*RTD("tos.rtd",,"VOLUME","."&amp;B$2&amp;B$1&amp;"C"&amp;$A21)*RTD("tos.rtd",,"GAMMA","."&amp;B$2&amp;B$1&amp;"C"&amp;$A21)-$A$4*$A$4*RTD("tos.rtd",,"VOLUME","."&amp;B$2&amp;B$1&amp;"P"&amp;$A21)*RTD("tos.rtd",,"GAMMA","."&amp;B$2&amp;B$1&amp;"P"&amp;$A21))/1000000),0),IF($A$2="GEX",IFERROR(IF($X$1="ABS",($A$4*$A$4*RTD("tos.rtd",,"OPEN_INT","."&amp;B$2&amp;B$1&amp;"C"&amp;$A21)*RTD("tos.rtd",,"GAMMA","."&amp;B$2&amp;B$1&amp;"C"&amp;$A21)+$A$4*$A$4*RTD("tos.rtd",,"OPEN_INT","."&amp;B$2&amp;B$1&amp;"P"&amp;$A21)*RTD("tos.rtd",,"GAMMA","."&amp;B$2&amp;B$1&amp;"P"&amp;$A21))/1000000,($A$4*$A$4*RTD("tos.rtd",,"OPEN_INT","."&amp;B$2&amp;B$1&amp;"C"&amp;$A21)*RTD("tos.rtd",,"GAMMA","."&amp;B$2&amp;B$1&amp;"C"&amp;$A21)-$A$4*$A$4*RTD("tos.rtd",,"OPEN_INT","."&amp;B$2&amp;B$1&amp;"P"&amp;$A21)*RTD("tos.rtd",,"GAMMA","."&amp;B$2&amp;B$1&amp;"P"&amp;$A21))/1000000),0),IF($A$2="SKEW",IFERROR(VALUE(IF(RTD("tos.rtd",,"IMPL_VOL","."&amp;B$2&amp;B$1&amp;"P"&amp;$A21)="N/A",0,RTD("tos.rtd",,"IMPL_VOL","."&amp;B$2&amp;B$1&amp;"P"&amp;$A21))),0)-IFERROR(VALUE(IF(RTD("tos.rtd",,"IMPL_VOL","."&amp;B$2&amp;B$1&amp;"C"&amp;$A21)="N/A",0,RTD("tos.rtd",,"IMPL_VOL","."&amp;B$2&amp;B$1&amp;"C"&amp;$A21))),0),IF($A$2="MAXPAIN",IF($A$4&gt;$A21,($A$4-$A21)*IF(RTD("tos.rtd",,"OPEN_INT","."&amp;B$2&amp;B$1&amp;"C"&amp;$A21)="N/A",0,RTD("tos.rtd",,"OPEN_INT","."&amp;B$2&amp;B$1&amp;"C"&amp;$A21)),0)+IF($A$4&lt;$A21,($A$5-$A$4)*IF(RTD("tos.rtd",,"OPEN_INT","."&amp;B$2&amp;B$1&amp;"P"&amp;$A21)="N/A",0,RTD("tos.rtd",,"OPEN_INT","."&amp;B$2&amp;B$1&amp;"P"&amp;$A21)),0),IF($X$1="ABS",IF(RTD("tos.rtd",,$A$2,"."&amp;B$2&amp;B$1&amp;"C"&amp;$A21)="N/A",0,RTD("tos.rtd",,$A$2,"."&amp;B$2&amp;B$1&amp;"C"&amp;$A21))+IF(RTD("tos.rtd",,$A$2,"."&amp;B$2&amp;B$1&amp;"P"&amp;$A21)="N/A",0,RTD("tos.rtd",,$A$2,"."&amp;B$2&amp;B$1&amp;"P"&amp;$A21)),IF(RTD("tos.rtd",,$A$2,"."&amp;B$2&amp;B$1&amp;"C"&amp;$A21)="N/A",0,RTD("tos.rtd",,$A$2,"."&amp;B$2&amp;B$1&amp;"C"&amp;$A21))-IF(RTD("tos.rtd",,$A$2,"."&amp;B$2&amp;B$1&amp;"P"&amp;$A21)="N/A",0,RTD("tos.rtd",,$A$2,"."&amp;B$2&amp;B$1&amp;"P"&amp;$A21))))))))))</f>
        <v>0</v>
      </c>
      <c r="C21" s="12">
        <f ca="1">IF($A$2="PREMIUM_OI",IFERROR(IF($X$1="ABS",(100*RTD("tos.rtd",,"OPEN_INT","."&amp;C$2&amp;C$1&amp;"C"&amp;$A21)*RTD("tos.rtd",,"LAST","."&amp;C$2&amp;C$1&amp;"C"&amp;$A21)+100*RTD("tos.rtd",,"OPEN_INT","."&amp;C$2&amp;C$1&amp;"P"&amp;$A21)*RTD("tos.rtd",,"LAST","."&amp;C$2&amp;C$1&amp;"P"&amp;$A21))/1000000,(100*RTD("tos.rtd",,"OPEN_INT","."&amp;C$2&amp;C$1&amp;"C"&amp;$A21)*RTD("tos.rtd",,"LAST","."&amp;C$2&amp;C$1&amp;"C"&amp;$A21)-100*RTD("tos.rtd",,"OPEN_INT","."&amp;C$2&amp;C$1&amp;"P"&amp;$A21)*RTD("tos.rtd",,"LAST","."&amp;C$2&amp;C$1&amp;"P"&amp;$A21))/1000000),0),IF($A$2="PREMIUM",IFERROR(IF($X$1="ABS",(100*RTD("tos.rtd",,"VOLUME","."&amp;C$2&amp;C$1&amp;"C"&amp;$A21)*RTD("tos.rtd",,"LAST","."&amp;C$2&amp;C$1&amp;"C"&amp;$A21)+100*RTD("tos.rtd",,"VOLUME","."&amp;C$2&amp;C$1&amp;"P"&amp;$A21)*RTD("tos.rtd",,"LAST","."&amp;C$2&amp;C$1&amp;"P"&amp;$A21))/1000000,(100*RTD("tos.rtd",,"VOLUME","."&amp;C$2&amp;C$1&amp;"C"&amp;$A21)*RTD("tos.rtd",,"LAST","."&amp;C$2&amp;C$1&amp;"C"&amp;$A21)-100*RTD("tos.rtd",,"VOLUME","."&amp;C$2&amp;C$1&amp;"P"&amp;$A21)*RTD("tos.rtd",,"LAST","."&amp;C$2&amp;C$1&amp;"P"&amp;$A21))/1000000),0),IF($A$2="DEX",IFERROR(IF($X$1="ABS",(100*RTD("tos.rtd",,"OPEN_INT","."&amp;C$2&amp;C$1&amp;"C"&amp;$A21)*RTD("tos.rtd",,"DELTA","."&amp;C$2&amp;C$1&amp;"C"&amp;$A21)+100*RTD("tos.rtd",,"OPEN_INT","."&amp;C$2&amp;C$1&amp;"P"&amp;$A21)*RTD("tos.rtd",,"DELTA","."&amp;C$2&amp;C$1&amp;"P"&amp;$A21))/1000,(100*RTD("tos.rtd",,"OPEN_INT","."&amp;C$2&amp;C$1&amp;"C"&amp;$A21)*RTD("tos.rtd",,"DELTA","."&amp;C$2&amp;C$1&amp;"C"&amp;$A21)-100*RTD("tos.rtd",,"OPEN_INT","."&amp;C$2&amp;C$1&amp;"P"&amp;$A21)*RTD("tos.rtd",,"DELTA","."&amp;C$2&amp;C$1&amp;"P"&amp;$A21))/1000),0),IF($A$2="VEX",IFERROR(IF($X$1="ABS",($A$4*$A$4*RTD("tos.rtd",,"VOLUME","."&amp;C$2&amp;C$1&amp;"C"&amp;$A21)*RTD("tos.rtd",,"GAMMA","."&amp;C$2&amp;C$1&amp;"C"&amp;$A21)+$A$4*$A$4*RTD("tos.rtd",,"VOLUME","."&amp;C$2&amp;C$1&amp;"P"&amp;$A21)*RTD("tos.rtd",,"GAMMA","."&amp;C$2&amp;C$1&amp;"P"&amp;$A21))/1000000,($A$4*$A$4*RTD("tos.rtd",,"VOLUME","."&amp;C$2&amp;C$1&amp;"C"&amp;$A21)*RTD("tos.rtd",,"GAMMA","."&amp;C$2&amp;C$1&amp;"C"&amp;$A21)-$A$4*$A$4*RTD("tos.rtd",,"VOLUME","."&amp;C$2&amp;C$1&amp;"P"&amp;$A21)*RTD("tos.rtd",,"GAMMA","."&amp;C$2&amp;C$1&amp;"P"&amp;$A21))/1000000),0),IF($A$2="GEX",IFERROR(IF($X$1="ABS",($A$4*$A$4*RTD("tos.rtd",,"OPEN_INT","."&amp;C$2&amp;C$1&amp;"C"&amp;$A21)*RTD("tos.rtd",,"GAMMA","."&amp;C$2&amp;C$1&amp;"C"&amp;$A21)+$A$4*$A$4*RTD("tos.rtd",,"OPEN_INT","."&amp;C$2&amp;C$1&amp;"P"&amp;$A21)*RTD("tos.rtd",,"GAMMA","."&amp;C$2&amp;C$1&amp;"P"&amp;$A21))/1000000,($A$4*$A$4*RTD("tos.rtd",,"OPEN_INT","."&amp;C$2&amp;C$1&amp;"C"&amp;$A21)*RTD("tos.rtd",,"GAMMA","."&amp;C$2&amp;C$1&amp;"C"&amp;$A21)-$A$4*$A$4*RTD("tos.rtd",,"OPEN_INT","."&amp;C$2&amp;C$1&amp;"P"&amp;$A21)*RTD("tos.rtd",,"GAMMA","."&amp;C$2&amp;C$1&amp;"P"&amp;$A21))/1000000),0),IF($A$2="SKEW",IFERROR(VALUE(IF(RTD("tos.rtd",,"IMPL_VOL","."&amp;C$2&amp;C$1&amp;"P"&amp;$A21)="N/A",0,RTD("tos.rtd",,"IMPL_VOL","."&amp;C$2&amp;C$1&amp;"P"&amp;$A21))),0)-IFERROR(VALUE(IF(RTD("tos.rtd",,"IMPL_VOL","."&amp;C$2&amp;C$1&amp;"C"&amp;$A21)="N/A",0,RTD("tos.rtd",,"IMPL_VOL","."&amp;C$2&amp;C$1&amp;"C"&amp;$A21))),0),IF($A$2="MAXPAIN",IF($A$4&gt;$A21,($A$4-$A21)*IF(RTD("tos.rtd",,"OPEN_INT","."&amp;C$2&amp;C$1&amp;"C"&amp;$A21)="N/A",0,RTD("tos.rtd",,"OPEN_INT","."&amp;C$2&amp;C$1&amp;"C"&amp;$A21)),0)+IF($A$4&lt;$A21,($A$5-$A$4)*IF(RTD("tos.rtd",,"OPEN_INT","."&amp;C$2&amp;C$1&amp;"P"&amp;$A21)="N/A",0,RTD("tos.rtd",,"OPEN_INT","."&amp;C$2&amp;C$1&amp;"P"&amp;$A21)),0),IF($X$1="ABS",IF(RTD("tos.rtd",,$A$2,"."&amp;C$2&amp;C$1&amp;"C"&amp;$A21)="N/A",0,RTD("tos.rtd",,$A$2,"."&amp;C$2&amp;C$1&amp;"C"&amp;$A21))+IF(RTD("tos.rtd",,$A$2,"."&amp;C$2&amp;C$1&amp;"P"&amp;$A21)="N/A",0,RTD("tos.rtd",,$A$2,"."&amp;C$2&amp;C$1&amp;"P"&amp;$A21)),IF(RTD("tos.rtd",,$A$2,"."&amp;C$2&amp;C$1&amp;"C"&amp;$A21)="N/A",0,RTD("tos.rtd",,$A$2,"."&amp;C$2&amp;C$1&amp;"C"&amp;$A21))-IF(RTD("tos.rtd",,$A$2,"."&amp;C$2&amp;C$1&amp;"P"&amp;$A21)="N/A",0,RTD("tos.rtd",,$A$2,"."&amp;C$2&amp;C$1&amp;"P"&amp;$A21))))))))))</f>
        <v>-5</v>
      </c>
      <c r="D21" s="12">
        <f ca="1">IF($A$2="PREMIUM_OI",IFERROR(IF($X$1="ABS",(100*RTD("tos.rtd",,"OPEN_INT","."&amp;D$2&amp;D$1&amp;"C"&amp;$A21)*RTD("tos.rtd",,"LAST","."&amp;D$2&amp;D$1&amp;"C"&amp;$A21)+100*RTD("tos.rtd",,"OPEN_INT","."&amp;D$2&amp;D$1&amp;"P"&amp;$A21)*RTD("tos.rtd",,"LAST","."&amp;D$2&amp;D$1&amp;"P"&amp;$A21))/1000000,(100*RTD("tos.rtd",,"OPEN_INT","."&amp;D$2&amp;D$1&amp;"C"&amp;$A21)*RTD("tos.rtd",,"LAST","."&amp;D$2&amp;D$1&amp;"C"&amp;$A21)-100*RTD("tos.rtd",,"OPEN_INT","."&amp;D$2&amp;D$1&amp;"P"&amp;$A21)*RTD("tos.rtd",,"LAST","."&amp;D$2&amp;D$1&amp;"P"&amp;$A21))/1000000),0),IF($A$2="PREMIUM",IFERROR(IF($X$1="ABS",(100*RTD("tos.rtd",,"VOLUME","."&amp;D$2&amp;D$1&amp;"C"&amp;$A21)*RTD("tos.rtd",,"LAST","."&amp;D$2&amp;D$1&amp;"C"&amp;$A21)+100*RTD("tos.rtd",,"VOLUME","."&amp;D$2&amp;D$1&amp;"P"&amp;$A21)*RTD("tos.rtd",,"LAST","."&amp;D$2&amp;D$1&amp;"P"&amp;$A21))/1000000,(100*RTD("tos.rtd",,"VOLUME","."&amp;D$2&amp;D$1&amp;"C"&amp;$A21)*RTD("tos.rtd",,"LAST","."&amp;D$2&amp;D$1&amp;"C"&amp;$A21)-100*RTD("tos.rtd",,"VOLUME","."&amp;D$2&amp;D$1&amp;"P"&amp;$A21)*RTD("tos.rtd",,"LAST","."&amp;D$2&amp;D$1&amp;"P"&amp;$A21))/1000000),0),IF($A$2="DEX",IFERROR(IF($X$1="ABS",(100*RTD("tos.rtd",,"OPEN_INT","."&amp;D$2&amp;D$1&amp;"C"&amp;$A21)*RTD("tos.rtd",,"DELTA","."&amp;D$2&amp;D$1&amp;"C"&amp;$A21)+100*RTD("tos.rtd",,"OPEN_INT","."&amp;D$2&amp;D$1&amp;"P"&amp;$A21)*RTD("tos.rtd",,"DELTA","."&amp;D$2&amp;D$1&amp;"P"&amp;$A21))/1000,(100*RTD("tos.rtd",,"OPEN_INT","."&amp;D$2&amp;D$1&amp;"C"&amp;$A21)*RTD("tos.rtd",,"DELTA","."&amp;D$2&amp;D$1&amp;"C"&amp;$A21)-100*RTD("tos.rtd",,"OPEN_INT","."&amp;D$2&amp;D$1&amp;"P"&amp;$A21)*RTD("tos.rtd",,"DELTA","."&amp;D$2&amp;D$1&amp;"P"&amp;$A21))/1000),0),IF($A$2="VEX",IFERROR(IF($X$1="ABS",($A$4*$A$4*RTD("tos.rtd",,"VOLUME","."&amp;D$2&amp;D$1&amp;"C"&amp;$A21)*RTD("tos.rtd",,"GAMMA","."&amp;D$2&amp;D$1&amp;"C"&amp;$A21)+$A$4*$A$4*RTD("tos.rtd",,"VOLUME","."&amp;D$2&amp;D$1&amp;"P"&amp;$A21)*RTD("tos.rtd",,"GAMMA","."&amp;D$2&amp;D$1&amp;"P"&amp;$A21))/1000000,($A$4*$A$4*RTD("tos.rtd",,"VOLUME","."&amp;D$2&amp;D$1&amp;"C"&amp;$A21)*RTD("tos.rtd",,"GAMMA","."&amp;D$2&amp;D$1&amp;"C"&amp;$A21)-$A$4*$A$4*RTD("tos.rtd",,"VOLUME","."&amp;D$2&amp;D$1&amp;"P"&amp;$A21)*RTD("tos.rtd",,"GAMMA","."&amp;D$2&amp;D$1&amp;"P"&amp;$A21))/1000000),0),IF($A$2="GEX",IFERROR(IF($X$1="ABS",($A$4*$A$4*RTD("tos.rtd",,"OPEN_INT","."&amp;D$2&amp;D$1&amp;"C"&amp;$A21)*RTD("tos.rtd",,"GAMMA","."&amp;D$2&amp;D$1&amp;"C"&amp;$A21)+$A$4*$A$4*RTD("tos.rtd",,"OPEN_INT","."&amp;D$2&amp;D$1&amp;"P"&amp;$A21)*RTD("tos.rtd",,"GAMMA","."&amp;D$2&amp;D$1&amp;"P"&amp;$A21))/1000000,($A$4*$A$4*RTD("tos.rtd",,"OPEN_INT","."&amp;D$2&amp;D$1&amp;"C"&amp;$A21)*RTD("tos.rtd",,"GAMMA","."&amp;D$2&amp;D$1&amp;"C"&amp;$A21)-$A$4*$A$4*RTD("tos.rtd",,"OPEN_INT","."&amp;D$2&amp;D$1&amp;"P"&amp;$A21)*RTD("tos.rtd",,"GAMMA","."&amp;D$2&amp;D$1&amp;"P"&amp;$A21))/1000000),0),IF($A$2="SKEW",IFERROR(VALUE(IF(RTD("tos.rtd",,"IMPL_VOL","."&amp;D$2&amp;D$1&amp;"P"&amp;$A21)="N/A",0,RTD("tos.rtd",,"IMPL_VOL","."&amp;D$2&amp;D$1&amp;"P"&amp;$A21))),0)-IFERROR(VALUE(IF(RTD("tos.rtd",,"IMPL_VOL","."&amp;D$2&amp;D$1&amp;"C"&amp;$A21)="N/A",0,RTD("tos.rtd",,"IMPL_VOL","."&amp;D$2&amp;D$1&amp;"C"&amp;$A21))),0),IF($A$2="MAXPAIN",IF($A$4&gt;$A21,($A$4-$A21)*IF(RTD("tos.rtd",,"OPEN_INT","."&amp;D$2&amp;D$1&amp;"C"&amp;$A21)="N/A",0,RTD("tos.rtd",,"OPEN_INT","."&amp;D$2&amp;D$1&amp;"C"&amp;$A21)),0)+IF($A$4&lt;$A21,($A$5-$A$4)*IF(RTD("tos.rtd",,"OPEN_INT","."&amp;D$2&amp;D$1&amp;"P"&amp;$A21)="N/A",0,RTD("tos.rtd",,"OPEN_INT","."&amp;D$2&amp;D$1&amp;"P"&amp;$A21)),0),IF($X$1="ABS",IF(RTD("tos.rtd",,$A$2,"."&amp;D$2&amp;D$1&amp;"C"&amp;$A21)="N/A",0,RTD("tos.rtd",,$A$2,"."&amp;D$2&amp;D$1&amp;"C"&amp;$A21))+IF(RTD("tos.rtd",,$A$2,"."&amp;D$2&amp;D$1&amp;"P"&amp;$A21)="N/A",0,RTD("tos.rtd",,$A$2,"."&amp;D$2&amp;D$1&amp;"P"&amp;$A21)),IF(RTD("tos.rtd",,$A$2,"."&amp;D$2&amp;D$1&amp;"C"&amp;$A21)="N/A",0,RTD("tos.rtd",,$A$2,"."&amp;D$2&amp;D$1&amp;"C"&amp;$A21))-IF(RTD("tos.rtd",,$A$2,"."&amp;D$2&amp;D$1&amp;"P"&amp;$A21)="N/A",0,RTD("tos.rtd",,$A$2,"."&amp;D$2&amp;D$1&amp;"P"&amp;$A21))))))))))</f>
        <v>0</v>
      </c>
      <c r="E21" s="12">
        <f ca="1">IF($A$2="PREMIUM_OI",IFERROR(IF($X$1="ABS",(100*RTD("tos.rtd",,"OPEN_INT","."&amp;E$2&amp;E$1&amp;"C"&amp;$A21)*RTD("tos.rtd",,"LAST","."&amp;E$2&amp;E$1&amp;"C"&amp;$A21)+100*RTD("tos.rtd",,"OPEN_INT","."&amp;E$2&amp;E$1&amp;"P"&amp;$A21)*RTD("tos.rtd",,"LAST","."&amp;E$2&amp;E$1&amp;"P"&amp;$A21))/1000000,(100*RTD("tos.rtd",,"OPEN_INT","."&amp;E$2&amp;E$1&amp;"C"&amp;$A21)*RTD("tos.rtd",,"LAST","."&amp;E$2&amp;E$1&amp;"C"&amp;$A21)-100*RTD("tos.rtd",,"OPEN_INT","."&amp;E$2&amp;E$1&amp;"P"&amp;$A21)*RTD("tos.rtd",,"LAST","."&amp;E$2&amp;E$1&amp;"P"&amp;$A21))/1000000),0),IF($A$2="PREMIUM",IFERROR(IF($X$1="ABS",(100*RTD("tos.rtd",,"VOLUME","."&amp;E$2&amp;E$1&amp;"C"&amp;$A21)*RTD("tos.rtd",,"LAST","."&amp;E$2&amp;E$1&amp;"C"&amp;$A21)+100*RTD("tos.rtd",,"VOLUME","."&amp;E$2&amp;E$1&amp;"P"&amp;$A21)*RTD("tos.rtd",,"LAST","."&amp;E$2&amp;E$1&amp;"P"&amp;$A21))/1000000,(100*RTD("tos.rtd",,"VOLUME","."&amp;E$2&amp;E$1&amp;"C"&amp;$A21)*RTD("tos.rtd",,"LAST","."&amp;E$2&amp;E$1&amp;"C"&amp;$A21)-100*RTD("tos.rtd",,"VOLUME","."&amp;E$2&amp;E$1&amp;"P"&amp;$A21)*RTD("tos.rtd",,"LAST","."&amp;E$2&amp;E$1&amp;"P"&amp;$A21))/1000000),0),IF($A$2="DEX",IFERROR(IF($X$1="ABS",(100*RTD("tos.rtd",,"OPEN_INT","."&amp;E$2&amp;E$1&amp;"C"&amp;$A21)*RTD("tos.rtd",,"DELTA","."&amp;E$2&amp;E$1&amp;"C"&amp;$A21)+100*RTD("tos.rtd",,"OPEN_INT","."&amp;E$2&amp;E$1&amp;"P"&amp;$A21)*RTD("tos.rtd",,"DELTA","."&amp;E$2&amp;E$1&amp;"P"&amp;$A21))/1000,(100*RTD("tos.rtd",,"OPEN_INT","."&amp;E$2&amp;E$1&amp;"C"&amp;$A21)*RTD("tos.rtd",,"DELTA","."&amp;E$2&amp;E$1&amp;"C"&amp;$A21)-100*RTD("tos.rtd",,"OPEN_INT","."&amp;E$2&amp;E$1&amp;"P"&amp;$A21)*RTD("tos.rtd",,"DELTA","."&amp;E$2&amp;E$1&amp;"P"&amp;$A21))/1000),0),IF($A$2="VEX",IFERROR(IF($X$1="ABS",($A$4*$A$4*RTD("tos.rtd",,"VOLUME","."&amp;E$2&amp;E$1&amp;"C"&amp;$A21)*RTD("tos.rtd",,"GAMMA","."&amp;E$2&amp;E$1&amp;"C"&amp;$A21)+$A$4*$A$4*RTD("tos.rtd",,"VOLUME","."&amp;E$2&amp;E$1&amp;"P"&amp;$A21)*RTD("tos.rtd",,"GAMMA","."&amp;E$2&amp;E$1&amp;"P"&amp;$A21))/1000000,($A$4*$A$4*RTD("tos.rtd",,"VOLUME","."&amp;E$2&amp;E$1&amp;"C"&amp;$A21)*RTD("tos.rtd",,"GAMMA","."&amp;E$2&amp;E$1&amp;"C"&amp;$A21)-$A$4*$A$4*RTD("tos.rtd",,"VOLUME","."&amp;E$2&amp;E$1&amp;"P"&amp;$A21)*RTD("tos.rtd",,"GAMMA","."&amp;E$2&amp;E$1&amp;"P"&amp;$A21))/1000000),0),IF($A$2="GEX",IFERROR(IF($X$1="ABS",($A$4*$A$4*RTD("tos.rtd",,"OPEN_INT","."&amp;E$2&amp;E$1&amp;"C"&amp;$A21)*RTD("tos.rtd",,"GAMMA","."&amp;E$2&amp;E$1&amp;"C"&amp;$A21)+$A$4*$A$4*RTD("tos.rtd",,"OPEN_INT","."&amp;E$2&amp;E$1&amp;"P"&amp;$A21)*RTD("tos.rtd",,"GAMMA","."&amp;E$2&amp;E$1&amp;"P"&amp;$A21))/1000000,($A$4*$A$4*RTD("tos.rtd",,"OPEN_INT","."&amp;E$2&amp;E$1&amp;"C"&amp;$A21)*RTD("tos.rtd",,"GAMMA","."&amp;E$2&amp;E$1&amp;"C"&amp;$A21)-$A$4*$A$4*RTD("tos.rtd",,"OPEN_INT","."&amp;E$2&amp;E$1&amp;"P"&amp;$A21)*RTD("tos.rtd",,"GAMMA","."&amp;E$2&amp;E$1&amp;"P"&amp;$A21))/1000000),0),IF($A$2="SKEW",IFERROR(VALUE(IF(RTD("tos.rtd",,"IMPL_VOL","."&amp;E$2&amp;E$1&amp;"P"&amp;$A21)="N/A",0,RTD("tos.rtd",,"IMPL_VOL","."&amp;E$2&amp;E$1&amp;"P"&amp;$A21))),0)-IFERROR(VALUE(IF(RTD("tos.rtd",,"IMPL_VOL","."&amp;E$2&amp;E$1&amp;"C"&amp;$A21)="N/A",0,RTD("tos.rtd",,"IMPL_VOL","."&amp;E$2&amp;E$1&amp;"C"&amp;$A21))),0),IF($A$2="MAXPAIN",IF($A$4&gt;$A21,($A$4-$A21)*IF(RTD("tos.rtd",,"OPEN_INT","."&amp;E$2&amp;E$1&amp;"C"&amp;$A21)="N/A",0,RTD("tos.rtd",,"OPEN_INT","."&amp;E$2&amp;E$1&amp;"C"&amp;$A21)),0)+IF($A$4&lt;$A21,($A$5-$A$4)*IF(RTD("tos.rtd",,"OPEN_INT","."&amp;E$2&amp;E$1&amp;"P"&amp;$A21)="N/A",0,RTD("tos.rtd",,"OPEN_INT","."&amp;E$2&amp;E$1&amp;"P"&amp;$A21)),0),IF($X$1="ABS",IF(RTD("tos.rtd",,$A$2,"."&amp;E$2&amp;E$1&amp;"C"&amp;$A21)="N/A",0,RTD("tos.rtd",,$A$2,"."&amp;E$2&amp;E$1&amp;"C"&amp;$A21))+IF(RTD("tos.rtd",,$A$2,"."&amp;E$2&amp;E$1&amp;"P"&amp;$A21)="N/A",0,RTD("tos.rtd",,$A$2,"."&amp;E$2&amp;E$1&amp;"P"&amp;$A21)),IF(RTD("tos.rtd",,$A$2,"."&amp;E$2&amp;E$1&amp;"C"&amp;$A21)="N/A",0,RTD("tos.rtd",,$A$2,"."&amp;E$2&amp;E$1&amp;"C"&amp;$A21))-IF(RTD("tos.rtd",,$A$2,"."&amp;E$2&amp;E$1&amp;"P"&amp;$A21)="N/A",0,RTD("tos.rtd",,$A$2,"."&amp;E$2&amp;E$1&amp;"P"&amp;$A21))))))))))</f>
        <v>0</v>
      </c>
      <c r="F21" s="12">
        <f ca="1">IF($A$2="PREMIUM_OI",IFERROR(IF($X$1="ABS",(100*RTD("tos.rtd",,"OPEN_INT","."&amp;F$2&amp;F$1&amp;"C"&amp;$A21)*RTD("tos.rtd",,"LAST","."&amp;F$2&amp;F$1&amp;"C"&amp;$A21)+100*RTD("tos.rtd",,"OPEN_INT","."&amp;F$2&amp;F$1&amp;"P"&amp;$A21)*RTD("tos.rtd",,"LAST","."&amp;F$2&amp;F$1&amp;"P"&amp;$A21))/1000000,(100*RTD("tos.rtd",,"OPEN_INT","."&amp;F$2&amp;F$1&amp;"C"&amp;$A21)*RTD("tos.rtd",,"LAST","."&amp;F$2&amp;F$1&amp;"C"&amp;$A21)-100*RTD("tos.rtd",,"OPEN_INT","."&amp;F$2&amp;F$1&amp;"P"&amp;$A21)*RTD("tos.rtd",,"LAST","."&amp;F$2&amp;F$1&amp;"P"&amp;$A21))/1000000),0),IF($A$2="PREMIUM",IFERROR(IF($X$1="ABS",(100*RTD("tos.rtd",,"VOLUME","."&amp;F$2&amp;F$1&amp;"C"&amp;$A21)*RTD("tos.rtd",,"LAST","."&amp;F$2&amp;F$1&amp;"C"&amp;$A21)+100*RTD("tos.rtd",,"VOLUME","."&amp;F$2&amp;F$1&amp;"P"&amp;$A21)*RTD("tos.rtd",,"LAST","."&amp;F$2&amp;F$1&amp;"P"&amp;$A21))/1000000,(100*RTD("tos.rtd",,"VOLUME","."&amp;F$2&amp;F$1&amp;"C"&amp;$A21)*RTD("tos.rtd",,"LAST","."&amp;F$2&amp;F$1&amp;"C"&amp;$A21)-100*RTD("tos.rtd",,"VOLUME","."&amp;F$2&amp;F$1&amp;"P"&amp;$A21)*RTD("tos.rtd",,"LAST","."&amp;F$2&amp;F$1&amp;"P"&amp;$A21))/1000000),0),IF($A$2="DEX",IFERROR(IF($X$1="ABS",(100*RTD("tos.rtd",,"OPEN_INT","."&amp;F$2&amp;F$1&amp;"C"&amp;$A21)*RTD("tos.rtd",,"DELTA","."&amp;F$2&amp;F$1&amp;"C"&amp;$A21)+100*RTD("tos.rtd",,"OPEN_INT","."&amp;F$2&amp;F$1&amp;"P"&amp;$A21)*RTD("tos.rtd",,"DELTA","."&amp;F$2&amp;F$1&amp;"P"&amp;$A21))/1000,(100*RTD("tos.rtd",,"OPEN_INT","."&amp;F$2&amp;F$1&amp;"C"&amp;$A21)*RTD("tos.rtd",,"DELTA","."&amp;F$2&amp;F$1&amp;"C"&amp;$A21)-100*RTD("tos.rtd",,"OPEN_INT","."&amp;F$2&amp;F$1&amp;"P"&amp;$A21)*RTD("tos.rtd",,"DELTA","."&amp;F$2&amp;F$1&amp;"P"&amp;$A21))/1000),0),IF($A$2="VEX",IFERROR(IF($X$1="ABS",($A$4*$A$4*RTD("tos.rtd",,"VOLUME","."&amp;F$2&amp;F$1&amp;"C"&amp;$A21)*RTD("tos.rtd",,"GAMMA","."&amp;F$2&amp;F$1&amp;"C"&amp;$A21)+$A$4*$A$4*RTD("tos.rtd",,"VOLUME","."&amp;F$2&amp;F$1&amp;"P"&amp;$A21)*RTD("tos.rtd",,"GAMMA","."&amp;F$2&amp;F$1&amp;"P"&amp;$A21))/1000000,($A$4*$A$4*RTD("tos.rtd",,"VOLUME","."&amp;F$2&amp;F$1&amp;"C"&amp;$A21)*RTD("tos.rtd",,"GAMMA","."&amp;F$2&amp;F$1&amp;"C"&amp;$A21)-$A$4*$A$4*RTD("tos.rtd",,"VOLUME","."&amp;F$2&amp;F$1&amp;"P"&amp;$A21)*RTD("tos.rtd",,"GAMMA","."&amp;F$2&amp;F$1&amp;"P"&amp;$A21))/1000000),0),IF($A$2="GEX",IFERROR(IF($X$1="ABS",($A$4*$A$4*RTD("tos.rtd",,"OPEN_INT","."&amp;F$2&amp;F$1&amp;"C"&amp;$A21)*RTD("tos.rtd",,"GAMMA","."&amp;F$2&amp;F$1&amp;"C"&amp;$A21)+$A$4*$A$4*RTD("tos.rtd",,"OPEN_INT","."&amp;F$2&amp;F$1&amp;"P"&amp;$A21)*RTD("tos.rtd",,"GAMMA","."&amp;F$2&amp;F$1&amp;"P"&amp;$A21))/1000000,($A$4*$A$4*RTD("tos.rtd",,"OPEN_INT","."&amp;F$2&amp;F$1&amp;"C"&amp;$A21)*RTD("tos.rtd",,"GAMMA","."&amp;F$2&amp;F$1&amp;"C"&amp;$A21)-$A$4*$A$4*RTD("tos.rtd",,"OPEN_INT","."&amp;F$2&amp;F$1&amp;"P"&amp;$A21)*RTD("tos.rtd",,"GAMMA","."&amp;F$2&amp;F$1&amp;"P"&amp;$A21))/1000000),0),IF($A$2="SKEW",IFERROR(VALUE(IF(RTD("tos.rtd",,"IMPL_VOL","."&amp;F$2&amp;F$1&amp;"P"&amp;$A21)="N/A",0,RTD("tos.rtd",,"IMPL_VOL","."&amp;F$2&amp;F$1&amp;"P"&amp;$A21))),0)-IFERROR(VALUE(IF(RTD("tos.rtd",,"IMPL_VOL","."&amp;F$2&amp;F$1&amp;"C"&amp;$A21)="N/A",0,RTD("tos.rtd",,"IMPL_VOL","."&amp;F$2&amp;F$1&amp;"C"&amp;$A21))),0),IF($A$2="MAXPAIN",IF($A$4&gt;$A21,($A$4-$A21)*IF(RTD("tos.rtd",,"OPEN_INT","."&amp;F$2&amp;F$1&amp;"C"&amp;$A21)="N/A",0,RTD("tos.rtd",,"OPEN_INT","."&amp;F$2&amp;F$1&amp;"C"&amp;$A21)),0)+IF($A$4&lt;$A21,($A$5-$A$4)*IF(RTD("tos.rtd",,"OPEN_INT","."&amp;F$2&amp;F$1&amp;"P"&amp;$A21)="N/A",0,RTD("tos.rtd",,"OPEN_INT","."&amp;F$2&amp;F$1&amp;"P"&amp;$A21)),0),IF($X$1="ABS",IF(RTD("tos.rtd",,$A$2,"."&amp;F$2&amp;F$1&amp;"C"&amp;$A21)="N/A",0,RTD("tos.rtd",,$A$2,"."&amp;F$2&amp;F$1&amp;"C"&amp;$A21))+IF(RTD("tos.rtd",,$A$2,"."&amp;F$2&amp;F$1&amp;"P"&amp;$A21)="N/A",0,RTD("tos.rtd",,$A$2,"."&amp;F$2&amp;F$1&amp;"P"&amp;$A21)),IF(RTD("tos.rtd",,$A$2,"."&amp;F$2&amp;F$1&amp;"C"&amp;$A21)="N/A",0,RTD("tos.rtd",,$A$2,"."&amp;F$2&amp;F$1&amp;"C"&amp;$A21))-IF(RTD("tos.rtd",,$A$2,"."&amp;F$2&amp;F$1&amp;"P"&amp;$A21)="N/A",0,RTD("tos.rtd",,$A$2,"."&amp;F$2&amp;F$1&amp;"P"&amp;$A21))))))))))</f>
        <v>0</v>
      </c>
      <c r="G21" s="57">
        <f ca="1">IF($A$2="PREMIUM_OI",IFERROR(IF($X$1="ABS",(100*RTD("tos.rtd",,"OPEN_INT","."&amp;G$2&amp;G$1&amp;"C"&amp;$A21)*RTD("tos.rtd",,"LAST","."&amp;G$2&amp;G$1&amp;"C"&amp;$A21)+100*RTD("tos.rtd",,"OPEN_INT","."&amp;G$2&amp;G$1&amp;"P"&amp;$A21)*RTD("tos.rtd",,"LAST","."&amp;G$2&amp;G$1&amp;"P"&amp;$A21))/1000000,(100*RTD("tos.rtd",,"OPEN_INT","."&amp;G$2&amp;G$1&amp;"C"&amp;$A21)*RTD("tos.rtd",,"LAST","."&amp;G$2&amp;G$1&amp;"C"&amp;$A21)-100*RTD("tos.rtd",,"OPEN_INT","."&amp;G$2&amp;G$1&amp;"P"&amp;$A21)*RTD("tos.rtd",,"LAST","."&amp;G$2&amp;G$1&amp;"P"&amp;$A21))/1000000),0),IF($A$2="PREMIUM",IFERROR(IF($X$1="ABS",(100*RTD("tos.rtd",,"VOLUME","."&amp;G$2&amp;G$1&amp;"C"&amp;$A21)*RTD("tos.rtd",,"LAST","."&amp;G$2&amp;G$1&amp;"C"&amp;$A21)+100*RTD("tos.rtd",,"VOLUME","."&amp;G$2&amp;G$1&amp;"P"&amp;$A21)*RTD("tos.rtd",,"LAST","."&amp;G$2&amp;G$1&amp;"P"&amp;$A21))/1000000,(100*RTD("tos.rtd",,"VOLUME","."&amp;G$2&amp;G$1&amp;"C"&amp;$A21)*RTD("tos.rtd",,"LAST","."&amp;G$2&amp;G$1&amp;"C"&amp;$A21)-100*RTD("tos.rtd",,"VOLUME","."&amp;G$2&amp;G$1&amp;"P"&amp;$A21)*RTD("tos.rtd",,"LAST","."&amp;G$2&amp;G$1&amp;"P"&amp;$A21))/1000000),0),IF($A$2="DEX",IFERROR(IF($X$1="ABS",(100*RTD("tos.rtd",,"OPEN_INT","."&amp;G$2&amp;G$1&amp;"C"&amp;$A21)*RTD("tos.rtd",,"DELTA","."&amp;G$2&amp;G$1&amp;"C"&amp;$A21)+100*RTD("tos.rtd",,"OPEN_INT","."&amp;G$2&amp;G$1&amp;"P"&amp;$A21)*RTD("tos.rtd",,"DELTA","."&amp;G$2&amp;G$1&amp;"P"&amp;$A21))/1000,(100*RTD("tos.rtd",,"OPEN_INT","."&amp;G$2&amp;G$1&amp;"C"&amp;$A21)*RTD("tos.rtd",,"DELTA","."&amp;G$2&amp;G$1&amp;"C"&amp;$A21)-100*RTD("tos.rtd",,"OPEN_INT","."&amp;G$2&amp;G$1&amp;"P"&amp;$A21)*RTD("tos.rtd",,"DELTA","."&amp;G$2&amp;G$1&amp;"P"&amp;$A21))/1000),0),IF($A$2="VEX",IFERROR(IF($X$1="ABS",($A$4*$A$4*RTD("tos.rtd",,"VOLUME","."&amp;G$2&amp;G$1&amp;"C"&amp;$A21)*RTD("tos.rtd",,"GAMMA","."&amp;G$2&amp;G$1&amp;"C"&amp;$A21)+$A$4*$A$4*RTD("tos.rtd",,"VOLUME","."&amp;G$2&amp;G$1&amp;"P"&amp;$A21)*RTD("tos.rtd",,"GAMMA","."&amp;G$2&amp;G$1&amp;"P"&amp;$A21))/1000000,($A$4*$A$4*RTD("tos.rtd",,"VOLUME","."&amp;G$2&amp;G$1&amp;"C"&amp;$A21)*RTD("tos.rtd",,"GAMMA","."&amp;G$2&amp;G$1&amp;"C"&amp;$A21)-$A$4*$A$4*RTD("tos.rtd",,"VOLUME","."&amp;G$2&amp;G$1&amp;"P"&amp;$A21)*RTD("tos.rtd",,"GAMMA","."&amp;G$2&amp;G$1&amp;"P"&amp;$A21))/1000000),0),IF($A$2="GEX",IFERROR(IF($X$1="ABS",($A$4*$A$4*RTD("tos.rtd",,"OPEN_INT","."&amp;G$2&amp;G$1&amp;"C"&amp;$A21)*RTD("tos.rtd",,"GAMMA","."&amp;G$2&amp;G$1&amp;"C"&amp;$A21)+$A$4*$A$4*RTD("tos.rtd",,"OPEN_INT","."&amp;G$2&amp;G$1&amp;"P"&amp;$A21)*RTD("tos.rtd",,"GAMMA","."&amp;G$2&amp;G$1&amp;"P"&amp;$A21))/1000000,($A$4*$A$4*RTD("tos.rtd",,"OPEN_INT","."&amp;G$2&amp;G$1&amp;"C"&amp;$A21)*RTD("tos.rtd",,"GAMMA","."&amp;G$2&amp;G$1&amp;"C"&amp;$A21)-$A$4*$A$4*RTD("tos.rtd",,"OPEN_INT","."&amp;G$2&amp;G$1&amp;"P"&amp;$A21)*RTD("tos.rtd",,"GAMMA","."&amp;G$2&amp;G$1&amp;"P"&amp;$A21))/1000000),0),IF($A$2="SKEW",IFERROR(VALUE(IF(RTD("tos.rtd",,"IMPL_VOL","."&amp;G$2&amp;G$1&amp;"P"&amp;$A21)="N/A",0,RTD("tos.rtd",,"IMPL_VOL","."&amp;G$2&amp;G$1&amp;"P"&amp;$A21))),0)-IFERROR(VALUE(IF(RTD("tos.rtd",,"IMPL_VOL","."&amp;G$2&amp;G$1&amp;"C"&amp;$A21)="N/A",0,RTD("tos.rtd",,"IMPL_VOL","."&amp;G$2&amp;G$1&amp;"C"&amp;$A21))),0),IF($A$2="MAXPAIN",IF($A$4&gt;$A21,($A$4-$A21)*IF(RTD("tos.rtd",,"OPEN_INT","."&amp;G$2&amp;G$1&amp;"C"&amp;$A21)="N/A",0,RTD("tos.rtd",,"OPEN_INT","."&amp;G$2&amp;G$1&amp;"C"&amp;$A21)),0)+IF($A$4&lt;$A21,($A$5-$A$4)*IF(RTD("tos.rtd",,"OPEN_INT","."&amp;G$2&amp;G$1&amp;"P"&amp;$A21)="N/A",0,RTD("tos.rtd",,"OPEN_INT","."&amp;G$2&amp;G$1&amp;"P"&amp;$A21)),0),IF($X$1="ABS",IF(RTD("tos.rtd",,$A$2,"."&amp;G$2&amp;G$1&amp;"C"&amp;$A21)="N/A",0,RTD("tos.rtd",,$A$2,"."&amp;G$2&amp;G$1&amp;"C"&amp;$A21))+IF(RTD("tos.rtd",,$A$2,"."&amp;G$2&amp;G$1&amp;"P"&amp;$A21)="N/A",0,RTD("tos.rtd",,$A$2,"."&amp;G$2&amp;G$1&amp;"P"&amp;$A21)),IF(RTD("tos.rtd",,$A$2,"."&amp;G$2&amp;G$1&amp;"C"&amp;$A21)="N/A",0,RTD("tos.rtd",,$A$2,"."&amp;G$2&amp;G$1&amp;"C"&amp;$A21))-IF(RTD("tos.rtd",,$A$2,"."&amp;G$2&amp;G$1&amp;"P"&amp;$A21)="N/A",0,RTD("tos.rtd",,$A$2,"."&amp;G$2&amp;G$1&amp;"P"&amp;$A21))))))))))</f>
        <v>0</v>
      </c>
      <c r="H21" s="14">
        <f ca="1">IF($A$2="PREMIUM_OI",IFERROR(IF($X$1="ABS",(100*RTD("tos.rtd",,"OPEN_INT","."&amp;H$2&amp;H$1&amp;"C"&amp;$A21)*RTD("tos.rtd",,"LAST","."&amp;H$2&amp;H$1&amp;"C"&amp;$A21)+100*RTD("tos.rtd",,"OPEN_INT","."&amp;H$2&amp;H$1&amp;"P"&amp;$A21)*RTD("tos.rtd",,"LAST","."&amp;H$2&amp;H$1&amp;"P"&amp;$A21))/1000000,(100*RTD("tos.rtd",,"OPEN_INT","."&amp;H$2&amp;H$1&amp;"C"&amp;$A21)*RTD("tos.rtd",,"LAST","."&amp;H$2&amp;H$1&amp;"C"&amp;$A21)-100*RTD("tos.rtd",,"OPEN_INT","."&amp;H$2&amp;H$1&amp;"P"&amp;$A21)*RTD("tos.rtd",,"LAST","."&amp;H$2&amp;H$1&amp;"P"&amp;$A21))/1000000),0),IF($A$2="PREMIUM",IFERROR(IF($X$1="ABS",(100*RTD("tos.rtd",,"VOLUME","."&amp;H$2&amp;H$1&amp;"C"&amp;$A21)*RTD("tos.rtd",,"LAST","."&amp;H$2&amp;H$1&amp;"C"&amp;$A21)+100*RTD("tos.rtd",,"VOLUME","."&amp;H$2&amp;H$1&amp;"P"&amp;$A21)*RTD("tos.rtd",,"LAST","."&amp;H$2&amp;H$1&amp;"P"&amp;$A21))/1000000,(100*RTD("tos.rtd",,"VOLUME","."&amp;H$2&amp;H$1&amp;"C"&amp;$A21)*RTD("tos.rtd",,"LAST","."&amp;H$2&amp;H$1&amp;"C"&amp;$A21)-100*RTD("tos.rtd",,"VOLUME","."&amp;H$2&amp;H$1&amp;"P"&amp;$A21)*RTD("tos.rtd",,"LAST","."&amp;H$2&amp;H$1&amp;"P"&amp;$A21))/1000000),0),IF($A$2="DEX",IFERROR(IF($X$1="ABS",(100*RTD("tos.rtd",,"OPEN_INT","."&amp;H$2&amp;H$1&amp;"C"&amp;$A21)*RTD("tos.rtd",,"DELTA","."&amp;H$2&amp;H$1&amp;"C"&amp;$A21)+100*RTD("tos.rtd",,"OPEN_INT","."&amp;H$2&amp;H$1&amp;"P"&amp;$A21)*RTD("tos.rtd",,"DELTA","."&amp;H$2&amp;H$1&amp;"P"&amp;$A21))/1000,(100*RTD("tos.rtd",,"OPEN_INT","."&amp;H$2&amp;H$1&amp;"C"&amp;$A21)*RTD("tos.rtd",,"DELTA","."&amp;H$2&amp;H$1&amp;"C"&amp;$A21)-100*RTD("tos.rtd",,"OPEN_INT","."&amp;H$2&amp;H$1&amp;"P"&amp;$A21)*RTD("tos.rtd",,"DELTA","."&amp;H$2&amp;H$1&amp;"P"&amp;$A21))/1000),0),IF($A$2="VEX",IFERROR(IF($X$1="ABS",($A$4*$A$4*RTD("tos.rtd",,"VOLUME","."&amp;H$2&amp;H$1&amp;"C"&amp;$A21)*RTD("tos.rtd",,"GAMMA","."&amp;H$2&amp;H$1&amp;"C"&amp;$A21)+$A$4*$A$4*RTD("tos.rtd",,"VOLUME","."&amp;H$2&amp;H$1&amp;"P"&amp;$A21)*RTD("tos.rtd",,"GAMMA","."&amp;H$2&amp;H$1&amp;"P"&amp;$A21))/1000000,($A$4*$A$4*RTD("tos.rtd",,"VOLUME","."&amp;H$2&amp;H$1&amp;"C"&amp;$A21)*RTD("tos.rtd",,"GAMMA","."&amp;H$2&amp;H$1&amp;"C"&amp;$A21)-$A$4*$A$4*RTD("tos.rtd",,"VOLUME","."&amp;H$2&amp;H$1&amp;"P"&amp;$A21)*RTD("tos.rtd",,"GAMMA","."&amp;H$2&amp;H$1&amp;"P"&amp;$A21))/1000000),0),IF($A$2="GEX",IFERROR(IF($X$1="ABS",($A$4*$A$4*RTD("tos.rtd",,"OPEN_INT","."&amp;H$2&amp;H$1&amp;"C"&amp;$A21)*RTD("tos.rtd",,"GAMMA","."&amp;H$2&amp;H$1&amp;"C"&amp;$A21)+$A$4*$A$4*RTD("tos.rtd",,"OPEN_INT","."&amp;H$2&amp;H$1&amp;"P"&amp;$A21)*RTD("tos.rtd",,"GAMMA","."&amp;H$2&amp;H$1&amp;"P"&amp;$A21))/1000000,($A$4*$A$4*RTD("tos.rtd",,"OPEN_INT","."&amp;H$2&amp;H$1&amp;"C"&amp;$A21)*RTD("tos.rtd",,"GAMMA","."&amp;H$2&amp;H$1&amp;"C"&amp;$A21)-$A$4*$A$4*RTD("tos.rtd",,"OPEN_INT","."&amp;H$2&amp;H$1&amp;"P"&amp;$A21)*RTD("tos.rtd",,"GAMMA","."&amp;H$2&amp;H$1&amp;"P"&amp;$A21))/1000000),0),IF($A$2="SKEW",IFERROR(VALUE(IF(RTD("tos.rtd",,"IMPL_VOL","."&amp;H$2&amp;H$1&amp;"P"&amp;$A21)="N/A",0,RTD("tos.rtd",,"IMPL_VOL","."&amp;H$2&amp;H$1&amp;"P"&amp;$A21))),0)-IFERROR(VALUE(IF(RTD("tos.rtd",,"IMPL_VOL","."&amp;H$2&amp;H$1&amp;"C"&amp;$A21)="N/A",0,RTD("tos.rtd",,"IMPL_VOL","."&amp;H$2&amp;H$1&amp;"C"&amp;$A21))),0),IF($A$2="MAXPAIN",IF($A$4&gt;$A21,($A$4-$A21)*IF(RTD("tos.rtd",,"OPEN_INT","."&amp;H$2&amp;H$1&amp;"C"&amp;$A21)="N/A",0,RTD("tos.rtd",,"OPEN_INT","."&amp;H$2&amp;H$1&amp;"C"&amp;$A21)),0)+IF($A$4&lt;$A21,($A$5-$A$4)*IF(RTD("tos.rtd",,"OPEN_INT","."&amp;H$2&amp;H$1&amp;"P"&amp;$A21)="N/A",0,RTD("tos.rtd",,"OPEN_INT","."&amp;H$2&amp;H$1&amp;"P"&amp;$A21)),0),IF($X$1="ABS",IF(RTD("tos.rtd",,$A$2,"."&amp;H$2&amp;H$1&amp;"C"&amp;$A21)="N/A",0,RTD("tos.rtd",,$A$2,"."&amp;H$2&amp;H$1&amp;"C"&amp;$A21))+IF(RTD("tos.rtd",,$A$2,"."&amp;H$2&amp;H$1&amp;"P"&amp;$A21)="N/A",0,RTD("tos.rtd",,$A$2,"."&amp;H$2&amp;H$1&amp;"P"&amp;$A21)),IF(RTD("tos.rtd",,$A$2,"."&amp;H$2&amp;H$1&amp;"C"&amp;$A21)="N/A",0,RTD("tos.rtd",,$A$2,"."&amp;H$2&amp;H$1&amp;"C"&amp;$A21))-IF(RTD("tos.rtd",,$A$2,"."&amp;H$2&amp;H$1&amp;"P"&amp;$A21)="N/A",0,RTD("tos.rtd",,$A$2,"."&amp;H$2&amp;H$1&amp;"P"&amp;$A21))))))))))</f>
        <v>0</v>
      </c>
      <c r="I21" s="12">
        <f ca="1">IF($A$2="PREMIUM_OI",IFERROR(IF($X$1="ABS",(100*RTD("tos.rtd",,"OPEN_INT","."&amp;I$2&amp;I$1&amp;"C"&amp;$A21)*RTD("tos.rtd",,"LAST","."&amp;I$2&amp;I$1&amp;"C"&amp;$A21)+100*RTD("tos.rtd",,"OPEN_INT","."&amp;I$2&amp;I$1&amp;"P"&amp;$A21)*RTD("tos.rtd",,"LAST","."&amp;I$2&amp;I$1&amp;"P"&amp;$A21))/1000000,(100*RTD("tos.rtd",,"OPEN_INT","."&amp;I$2&amp;I$1&amp;"C"&amp;$A21)*RTD("tos.rtd",,"LAST","."&amp;I$2&amp;I$1&amp;"C"&amp;$A21)-100*RTD("tos.rtd",,"OPEN_INT","."&amp;I$2&amp;I$1&amp;"P"&amp;$A21)*RTD("tos.rtd",,"LAST","."&amp;I$2&amp;I$1&amp;"P"&amp;$A21))/1000000),0),IF($A$2="PREMIUM",IFERROR(IF($X$1="ABS",(100*RTD("tos.rtd",,"VOLUME","."&amp;I$2&amp;I$1&amp;"C"&amp;$A21)*RTD("tos.rtd",,"LAST","."&amp;I$2&amp;I$1&amp;"C"&amp;$A21)+100*RTD("tos.rtd",,"VOLUME","."&amp;I$2&amp;I$1&amp;"P"&amp;$A21)*RTD("tos.rtd",,"LAST","."&amp;I$2&amp;I$1&amp;"P"&amp;$A21))/1000000,(100*RTD("tos.rtd",,"VOLUME","."&amp;I$2&amp;I$1&amp;"C"&amp;$A21)*RTD("tos.rtd",,"LAST","."&amp;I$2&amp;I$1&amp;"C"&amp;$A21)-100*RTD("tos.rtd",,"VOLUME","."&amp;I$2&amp;I$1&amp;"P"&amp;$A21)*RTD("tos.rtd",,"LAST","."&amp;I$2&amp;I$1&amp;"P"&amp;$A21))/1000000),0),IF($A$2="DEX",IFERROR(IF($X$1="ABS",(100*RTD("tos.rtd",,"OPEN_INT","."&amp;I$2&amp;I$1&amp;"C"&amp;$A21)*RTD("tos.rtd",,"DELTA","."&amp;I$2&amp;I$1&amp;"C"&amp;$A21)+100*RTD("tos.rtd",,"OPEN_INT","."&amp;I$2&amp;I$1&amp;"P"&amp;$A21)*RTD("tos.rtd",,"DELTA","."&amp;I$2&amp;I$1&amp;"P"&amp;$A21))/1000,(100*RTD("tos.rtd",,"OPEN_INT","."&amp;I$2&amp;I$1&amp;"C"&amp;$A21)*RTD("tos.rtd",,"DELTA","."&amp;I$2&amp;I$1&amp;"C"&amp;$A21)-100*RTD("tos.rtd",,"OPEN_INT","."&amp;I$2&amp;I$1&amp;"P"&amp;$A21)*RTD("tos.rtd",,"DELTA","."&amp;I$2&amp;I$1&amp;"P"&amp;$A21))/1000),0),IF($A$2="VEX",IFERROR(IF($X$1="ABS",($A$4*$A$4*RTD("tos.rtd",,"VOLUME","."&amp;I$2&amp;I$1&amp;"C"&amp;$A21)*RTD("tos.rtd",,"GAMMA","."&amp;I$2&amp;I$1&amp;"C"&amp;$A21)+$A$4*$A$4*RTD("tos.rtd",,"VOLUME","."&amp;I$2&amp;I$1&amp;"P"&amp;$A21)*RTD("tos.rtd",,"GAMMA","."&amp;I$2&amp;I$1&amp;"P"&amp;$A21))/1000000,($A$4*$A$4*RTD("tos.rtd",,"VOLUME","."&amp;I$2&amp;I$1&amp;"C"&amp;$A21)*RTD("tos.rtd",,"GAMMA","."&amp;I$2&amp;I$1&amp;"C"&amp;$A21)-$A$4*$A$4*RTD("tos.rtd",,"VOLUME","."&amp;I$2&amp;I$1&amp;"P"&amp;$A21)*RTD("tos.rtd",,"GAMMA","."&amp;I$2&amp;I$1&amp;"P"&amp;$A21))/1000000),0),IF($A$2="GEX",IFERROR(IF($X$1="ABS",($A$4*$A$4*RTD("tos.rtd",,"OPEN_INT","."&amp;I$2&amp;I$1&amp;"C"&amp;$A21)*RTD("tos.rtd",,"GAMMA","."&amp;I$2&amp;I$1&amp;"C"&amp;$A21)+$A$4*$A$4*RTD("tos.rtd",,"OPEN_INT","."&amp;I$2&amp;I$1&amp;"P"&amp;$A21)*RTD("tos.rtd",,"GAMMA","."&amp;I$2&amp;I$1&amp;"P"&amp;$A21))/1000000,($A$4*$A$4*RTD("tos.rtd",,"OPEN_INT","."&amp;I$2&amp;I$1&amp;"C"&amp;$A21)*RTD("tos.rtd",,"GAMMA","."&amp;I$2&amp;I$1&amp;"C"&amp;$A21)-$A$4*$A$4*RTD("tos.rtd",,"OPEN_INT","."&amp;I$2&amp;I$1&amp;"P"&amp;$A21)*RTD("tos.rtd",,"GAMMA","."&amp;I$2&amp;I$1&amp;"P"&amp;$A21))/1000000),0),IF($A$2="SKEW",IFERROR(VALUE(IF(RTD("tos.rtd",,"IMPL_VOL","."&amp;I$2&amp;I$1&amp;"P"&amp;$A21)="N/A",0,RTD("tos.rtd",,"IMPL_VOL","."&amp;I$2&amp;I$1&amp;"P"&amp;$A21))),0)-IFERROR(VALUE(IF(RTD("tos.rtd",,"IMPL_VOL","."&amp;I$2&amp;I$1&amp;"C"&amp;$A21)="N/A",0,RTD("tos.rtd",,"IMPL_VOL","."&amp;I$2&amp;I$1&amp;"C"&amp;$A21))),0),IF($A$2="MAXPAIN",IF($A$4&gt;$A21,($A$4-$A21)*IF(RTD("tos.rtd",,"OPEN_INT","."&amp;I$2&amp;I$1&amp;"C"&amp;$A21)="N/A",0,RTD("tos.rtd",,"OPEN_INT","."&amp;I$2&amp;I$1&amp;"C"&amp;$A21)),0)+IF($A$4&lt;$A21,($A$5-$A$4)*IF(RTD("tos.rtd",,"OPEN_INT","."&amp;I$2&amp;I$1&amp;"P"&amp;$A21)="N/A",0,RTD("tos.rtd",,"OPEN_INT","."&amp;I$2&amp;I$1&amp;"P"&amp;$A21)),0),IF($X$1="ABS",IF(RTD("tos.rtd",,$A$2,"."&amp;I$2&amp;I$1&amp;"C"&amp;$A21)="N/A",0,RTD("tos.rtd",,$A$2,"."&amp;I$2&amp;I$1&amp;"C"&amp;$A21))+IF(RTD("tos.rtd",,$A$2,"."&amp;I$2&amp;I$1&amp;"P"&amp;$A21)="N/A",0,RTD("tos.rtd",,$A$2,"."&amp;I$2&amp;I$1&amp;"P"&amp;$A21)),IF(RTD("tos.rtd",,$A$2,"."&amp;I$2&amp;I$1&amp;"C"&amp;$A21)="N/A",0,RTD("tos.rtd",,$A$2,"."&amp;I$2&amp;I$1&amp;"C"&amp;$A21))-IF(RTD("tos.rtd",,$A$2,"."&amp;I$2&amp;I$1&amp;"P"&amp;$A21)="N/A",0,RTD("tos.rtd",,$A$2,"."&amp;I$2&amp;I$1&amp;"P"&amp;$A21))))))))))</f>
        <v>0</v>
      </c>
      <c r="J21" s="12">
        <f ca="1">IF($A$2="PREMIUM_OI",IFERROR(IF($X$1="ABS",(100*RTD("tos.rtd",,"OPEN_INT","."&amp;J$2&amp;J$1&amp;"C"&amp;$A21)*RTD("tos.rtd",,"LAST","."&amp;J$2&amp;J$1&amp;"C"&amp;$A21)+100*RTD("tos.rtd",,"OPEN_INT","."&amp;J$2&amp;J$1&amp;"P"&amp;$A21)*RTD("tos.rtd",,"LAST","."&amp;J$2&amp;J$1&amp;"P"&amp;$A21))/1000000,(100*RTD("tos.rtd",,"OPEN_INT","."&amp;J$2&amp;J$1&amp;"C"&amp;$A21)*RTD("tos.rtd",,"LAST","."&amp;J$2&amp;J$1&amp;"C"&amp;$A21)-100*RTD("tos.rtd",,"OPEN_INT","."&amp;J$2&amp;J$1&amp;"P"&amp;$A21)*RTD("tos.rtd",,"LAST","."&amp;J$2&amp;J$1&amp;"P"&amp;$A21))/1000000),0),IF($A$2="PREMIUM",IFERROR(IF($X$1="ABS",(100*RTD("tos.rtd",,"VOLUME","."&amp;J$2&amp;J$1&amp;"C"&amp;$A21)*RTD("tos.rtd",,"LAST","."&amp;J$2&amp;J$1&amp;"C"&amp;$A21)+100*RTD("tos.rtd",,"VOLUME","."&amp;J$2&amp;J$1&amp;"P"&amp;$A21)*RTD("tos.rtd",,"LAST","."&amp;J$2&amp;J$1&amp;"P"&amp;$A21))/1000000,(100*RTD("tos.rtd",,"VOLUME","."&amp;J$2&amp;J$1&amp;"C"&amp;$A21)*RTD("tos.rtd",,"LAST","."&amp;J$2&amp;J$1&amp;"C"&amp;$A21)-100*RTD("tos.rtd",,"VOLUME","."&amp;J$2&amp;J$1&amp;"P"&amp;$A21)*RTD("tos.rtd",,"LAST","."&amp;J$2&amp;J$1&amp;"P"&amp;$A21))/1000000),0),IF($A$2="DEX",IFERROR(IF($X$1="ABS",(100*RTD("tos.rtd",,"OPEN_INT","."&amp;J$2&amp;J$1&amp;"C"&amp;$A21)*RTD("tos.rtd",,"DELTA","."&amp;J$2&amp;J$1&amp;"C"&amp;$A21)+100*RTD("tos.rtd",,"OPEN_INT","."&amp;J$2&amp;J$1&amp;"P"&amp;$A21)*RTD("tos.rtd",,"DELTA","."&amp;J$2&amp;J$1&amp;"P"&amp;$A21))/1000,(100*RTD("tos.rtd",,"OPEN_INT","."&amp;J$2&amp;J$1&amp;"C"&amp;$A21)*RTD("tos.rtd",,"DELTA","."&amp;J$2&amp;J$1&amp;"C"&amp;$A21)-100*RTD("tos.rtd",,"OPEN_INT","."&amp;J$2&amp;J$1&amp;"P"&amp;$A21)*RTD("tos.rtd",,"DELTA","."&amp;J$2&amp;J$1&amp;"P"&amp;$A21))/1000),0),IF($A$2="VEX",IFERROR(IF($X$1="ABS",($A$4*$A$4*RTD("tos.rtd",,"VOLUME","."&amp;J$2&amp;J$1&amp;"C"&amp;$A21)*RTD("tos.rtd",,"GAMMA","."&amp;J$2&amp;J$1&amp;"C"&amp;$A21)+$A$4*$A$4*RTD("tos.rtd",,"VOLUME","."&amp;J$2&amp;J$1&amp;"P"&amp;$A21)*RTD("tos.rtd",,"GAMMA","."&amp;J$2&amp;J$1&amp;"P"&amp;$A21))/1000000,($A$4*$A$4*RTD("tos.rtd",,"VOLUME","."&amp;J$2&amp;J$1&amp;"C"&amp;$A21)*RTD("tos.rtd",,"GAMMA","."&amp;J$2&amp;J$1&amp;"C"&amp;$A21)-$A$4*$A$4*RTD("tos.rtd",,"VOLUME","."&amp;J$2&amp;J$1&amp;"P"&amp;$A21)*RTD("tos.rtd",,"GAMMA","."&amp;J$2&amp;J$1&amp;"P"&amp;$A21))/1000000),0),IF($A$2="GEX",IFERROR(IF($X$1="ABS",($A$4*$A$4*RTD("tos.rtd",,"OPEN_INT","."&amp;J$2&amp;J$1&amp;"C"&amp;$A21)*RTD("tos.rtd",,"GAMMA","."&amp;J$2&amp;J$1&amp;"C"&amp;$A21)+$A$4*$A$4*RTD("tos.rtd",,"OPEN_INT","."&amp;J$2&amp;J$1&amp;"P"&amp;$A21)*RTD("tos.rtd",,"GAMMA","."&amp;J$2&amp;J$1&amp;"P"&amp;$A21))/1000000,($A$4*$A$4*RTD("tos.rtd",,"OPEN_INT","."&amp;J$2&amp;J$1&amp;"C"&amp;$A21)*RTD("tos.rtd",,"GAMMA","."&amp;J$2&amp;J$1&amp;"C"&amp;$A21)-$A$4*$A$4*RTD("tos.rtd",,"OPEN_INT","."&amp;J$2&amp;J$1&amp;"P"&amp;$A21)*RTD("tos.rtd",,"GAMMA","."&amp;J$2&amp;J$1&amp;"P"&amp;$A21))/1000000),0),IF($A$2="SKEW",IFERROR(VALUE(IF(RTD("tos.rtd",,"IMPL_VOL","."&amp;J$2&amp;J$1&amp;"P"&amp;$A21)="N/A",0,RTD("tos.rtd",,"IMPL_VOL","."&amp;J$2&amp;J$1&amp;"P"&amp;$A21))),0)-IFERROR(VALUE(IF(RTD("tos.rtd",,"IMPL_VOL","."&amp;J$2&amp;J$1&amp;"C"&amp;$A21)="N/A",0,RTD("tos.rtd",,"IMPL_VOL","."&amp;J$2&amp;J$1&amp;"C"&amp;$A21))),0),IF($A$2="MAXPAIN",IF($A$4&gt;$A21,($A$4-$A21)*IF(RTD("tos.rtd",,"OPEN_INT","."&amp;J$2&amp;J$1&amp;"C"&amp;$A21)="N/A",0,RTD("tos.rtd",,"OPEN_INT","."&amp;J$2&amp;J$1&amp;"C"&amp;$A21)),0)+IF($A$4&lt;$A21,($A$5-$A$4)*IF(RTD("tos.rtd",,"OPEN_INT","."&amp;J$2&amp;J$1&amp;"P"&amp;$A21)="N/A",0,RTD("tos.rtd",,"OPEN_INT","."&amp;J$2&amp;J$1&amp;"P"&amp;$A21)),0),IF($X$1="ABS",IF(RTD("tos.rtd",,$A$2,"."&amp;J$2&amp;J$1&amp;"C"&amp;$A21)="N/A",0,RTD("tos.rtd",,$A$2,"."&amp;J$2&amp;J$1&amp;"C"&amp;$A21))+IF(RTD("tos.rtd",,$A$2,"."&amp;J$2&amp;J$1&amp;"P"&amp;$A21)="N/A",0,RTD("tos.rtd",,$A$2,"."&amp;J$2&amp;J$1&amp;"P"&amp;$A21)),IF(RTD("tos.rtd",,$A$2,"."&amp;J$2&amp;J$1&amp;"C"&amp;$A21)="N/A",0,RTD("tos.rtd",,$A$2,"."&amp;J$2&amp;J$1&amp;"C"&amp;$A21))-IF(RTD("tos.rtd",,$A$2,"."&amp;J$2&amp;J$1&amp;"P"&amp;$A21)="N/A",0,RTD("tos.rtd",,$A$2,"."&amp;J$2&amp;J$1&amp;"P"&amp;$A21))))))))))</f>
        <v>0</v>
      </c>
      <c r="K21" s="12">
        <f ca="1">IF($A$2="PREMIUM_OI",IFERROR(IF($X$1="ABS",(100*RTD("tos.rtd",,"OPEN_INT","."&amp;K$2&amp;K$1&amp;"C"&amp;$A21)*RTD("tos.rtd",,"LAST","."&amp;K$2&amp;K$1&amp;"C"&amp;$A21)+100*RTD("tos.rtd",,"OPEN_INT","."&amp;K$2&amp;K$1&amp;"P"&amp;$A21)*RTD("tos.rtd",,"LAST","."&amp;K$2&amp;K$1&amp;"P"&amp;$A21))/1000000,(100*RTD("tos.rtd",,"OPEN_INT","."&amp;K$2&amp;K$1&amp;"C"&amp;$A21)*RTD("tos.rtd",,"LAST","."&amp;K$2&amp;K$1&amp;"C"&amp;$A21)-100*RTD("tos.rtd",,"OPEN_INT","."&amp;K$2&amp;K$1&amp;"P"&amp;$A21)*RTD("tos.rtd",,"LAST","."&amp;K$2&amp;K$1&amp;"P"&amp;$A21))/1000000),0),IF($A$2="PREMIUM",IFERROR(IF($X$1="ABS",(100*RTD("tos.rtd",,"VOLUME","."&amp;K$2&amp;K$1&amp;"C"&amp;$A21)*RTD("tos.rtd",,"LAST","."&amp;K$2&amp;K$1&amp;"C"&amp;$A21)+100*RTD("tos.rtd",,"VOLUME","."&amp;K$2&amp;K$1&amp;"P"&amp;$A21)*RTD("tos.rtd",,"LAST","."&amp;K$2&amp;K$1&amp;"P"&amp;$A21))/1000000,(100*RTD("tos.rtd",,"VOLUME","."&amp;K$2&amp;K$1&amp;"C"&amp;$A21)*RTD("tos.rtd",,"LAST","."&amp;K$2&amp;K$1&amp;"C"&amp;$A21)-100*RTD("tos.rtd",,"VOLUME","."&amp;K$2&amp;K$1&amp;"P"&amp;$A21)*RTD("tos.rtd",,"LAST","."&amp;K$2&amp;K$1&amp;"P"&amp;$A21))/1000000),0),IF($A$2="DEX",IFERROR(IF($X$1="ABS",(100*RTD("tos.rtd",,"OPEN_INT","."&amp;K$2&amp;K$1&amp;"C"&amp;$A21)*RTD("tos.rtd",,"DELTA","."&amp;K$2&amp;K$1&amp;"C"&amp;$A21)+100*RTD("tos.rtd",,"OPEN_INT","."&amp;K$2&amp;K$1&amp;"P"&amp;$A21)*RTD("tos.rtd",,"DELTA","."&amp;K$2&amp;K$1&amp;"P"&amp;$A21))/1000,(100*RTD("tos.rtd",,"OPEN_INT","."&amp;K$2&amp;K$1&amp;"C"&amp;$A21)*RTD("tos.rtd",,"DELTA","."&amp;K$2&amp;K$1&amp;"C"&amp;$A21)-100*RTD("tos.rtd",,"OPEN_INT","."&amp;K$2&amp;K$1&amp;"P"&amp;$A21)*RTD("tos.rtd",,"DELTA","."&amp;K$2&amp;K$1&amp;"P"&amp;$A21))/1000),0),IF($A$2="VEX",IFERROR(IF($X$1="ABS",($A$4*$A$4*RTD("tos.rtd",,"VOLUME","."&amp;K$2&amp;K$1&amp;"C"&amp;$A21)*RTD("tos.rtd",,"GAMMA","."&amp;K$2&amp;K$1&amp;"C"&amp;$A21)+$A$4*$A$4*RTD("tos.rtd",,"VOLUME","."&amp;K$2&amp;K$1&amp;"P"&amp;$A21)*RTD("tos.rtd",,"GAMMA","."&amp;K$2&amp;K$1&amp;"P"&amp;$A21))/1000000,($A$4*$A$4*RTD("tos.rtd",,"VOLUME","."&amp;K$2&amp;K$1&amp;"C"&amp;$A21)*RTD("tos.rtd",,"GAMMA","."&amp;K$2&amp;K$1&amp;"C"&amp;$A21)-$A$4*$A$4*RTD("tos.rtd",,"VOLUME","."&amp;K$2&amp;K$1&amp;"P"&amp;$A21)*RTD("tos.rtd",,"GAMMA","."&amp;K$2&amp;K$1&amp;"P"&amp;$A21))/1000000),0),IF($A$2="GEX",IFERROR(IF($X$1="ABS",($A$4*$A$4*RTD("tos.rtd",,"OPEN_INT","."&amp;K$2&amp;K$1&amp;"C"&amp;$A21)*RTD("tos.rtd",,"GAMMA","."&amp;K$2&amp;K$1&amp;"C"&amp;$A21)+$A$4*$A$4*RTD("tos.rtd",,"OPEN_INT","."&amp;K$2&amp;K$1&amp;"P"&amp;$A21)*RTD("tos.rtd",,"GAMMA","."&amp;K$2&amp;K$1&amp;"P"&amp;$A21))/1000000,($A$4*$A$4*RTD("tos.rtd",,"OPEN_INT","."&amp;K$2&amp;K$1&amp;"C"&amp;$A21)*RTD("tos.rtd",,"GAMMA","."&amp;K$2&amp;K$1&amp;"C"&amp;$A21)-$A$4*$A$4*RTD("tos.rtd",,"OPEN_INT","."&amp;K$2&amp;K$1&amp;"P"&amp;$A21)*RTD("tos.rtd",,"GAMMA","."&amp;K$2&amp;K$1&amp;"P"&amp;$A21))/1000000),0),IF($A$2="SKEW",IFERROR(VALUE(IF(RTD("tos.rtd",,"IMPL_VOL","."&amp;K$2&amp;K$1&amp;"P"&amp;$A21)="N/A",0,RTD("tos.rtd",,"IMPL_VOL","."&amp;K$2&amp;K$1&amp;"P"&amp;$A21))),0)-IFERROR(VALUE(IF(RTD("tos.rtd",,"IMPL_VOL","."&amp;K$2&amp;K$1&amp;"C"&amp;$A21)="N/A",0,RTD("tos.rtd",,"IMPL_VOL","."&amp;K$2&amp;K$1&amp;"C"&amp;$A21))),0),IF($A$2="MAXPAIN",IF($A$4&gt;$A21,($A$4-$A21)*IF(RTD("tos.rtd",,"OPEN_INT","."&amp;K$2&amp;K$1&amp;"C"&amp;$A21)="N/A",0,RTD("tos.rtd",,"OPEN_INT","."&amp;K$2&amp;K$1&amp;"C"&amp;$A21)),0)+IF($A$4&lt;$A21,($A$5-$A$4)*IF(RTD("tos.rtd",,"OPEN_INT","."&amp;K$2&amp;K$1&amp;"P"&amp;$A21)="N/A",0,RTD("tos.rtd",,"OPEN_INT","."&amp;K$2&amp;K$1&amp;"P"&amp;$A21)),0),IF($X$1="ABS",IF(RTD("tos.rtd",,$A$2,"."&amp;K$2&amp;K$1&amp;"C"&amp;$A21)="N/A",0,RTD("tos.rtd",,$A$2,"."&amp;K$2&amp;K$1&amp;"C"&amp;$A21))+IF(RTD("tos.rtd",,$A$2,"."&amp;K$2&amp;K$1&amp;"P"&amp;$A21)="N/A",0,RTD("tos.rtd",,$A$2,"."&amp;K$2&amp;K$1&amp;"P"&amp;$A21)),IF(RTD("tos.rtd",,$A$2,"."&amp;K$2&amp;K$1&amp;"C"&amp;$A21)="N/A",0,RTD("tos.rtd",,$A$2,"."&amp;K$2&amp;K$1&amp;"C"&amp;$A21))-IF(RTD("tos.rtd",,$A$2,"."&amp;K$2&amp;K$1&amp;"P"&amp;$A21)="N/A",0,RTD("tos.rtd",,$A$2,"."&amp;K$2&amp;K$1&amp;"P"&amp;$A21))))))))))</f>
        <v>0</v>
      </c>
      <c r="L21" s="54">
        <f ca="1">IF($A$2="PREMIUM_OI",IFERROR(IF($X$1="ABS",(100*RTD("tos.rtd",,"OPEN_INT","."&amp;L$2&amp;L$1&amp;"C"&amp;$A21)*RTD("tos.rtd",,"LAST","."&amp;L$2&amp;L$1&amp;"C"&amp;$A21)+100*RTD("tos.rtd",,"OPEN_INT","."&amp;L$2&amp;L$1&amp;"P"&amp;$A21)*RTD("tos.rtd",,"LAST","."&amp;L$2&amp;L$1&amp;"P"&amp;$A21))/1000000,(100*RTD("tos.rtd",,"OPEN_INT","."&amp;L$2&amp;L$1&amp;"C"&amp;$A21)*RTD("tos.rtd",,"LAST","."&amp;L$2&amp;L$1&amp;"C"&amp;$A21)-100*RTD("tos.rtd",,"OPEN_INT","."&amp;L$2&amp;L$1&amp;"P"&amp;$A21)*RTD("tos.rtd",,"LAST","."&amp;L$2&amp;L$1&amp;"P"&amp;$A21))/1000000),0),IF($A$2="PREMIUM",IFERROR(IF($X$1="ABS",(100*RTD("tos.rtd",,"VOLUME","."&amp;L$2&amp;L$1&amp;"C"&amp;$A21)*RTD("tos.rtd",,"LAST","."&amp;L$2&amp;L$1&amp;"C"&amp;$A21)+100*RTD("tos.rtd",,"VOLUME","."&amp;L$2&amp;L$1&amp;"P"&amp;$A21)*RTD("tos.rtd",,"LAST","."&amp;L$2&amp;L$1&amp;"P"&amp;$A21))/1000000,(100*RTD("tos.rtd",,"VOLUME","."&amp;L$2&amp;L$1&amp;"C"&amp;$A21)*RTD("tos.rtd",,"LAST","."&amp;L$2&amp;L$1&amp;"C"&amp;$A21)-100*RTD("tos.rtd",,"VOLUME","."&amp;L$2&amp;L$1&amp;"P"&amp;$A21)*RTD("tos.rtd",,"LAST","."&amp;L$2&amp;L$1&amp;"P"&amp;$A21))/1000000),0),IF($A$2="DEX",IFERROR(IF($X$1="ABS",(100*RTD("tos.rtd",,"OPEN_INT","."&amp;L$2&amp;L$1&amp;"C"&amp;$A21)*RTD("tos.rtd",,"DELTA","."&amp;L$2&amp;L$1&amp;"C"&amp;$A21)+100*RTD("tos.rtd",,"OPEN_INT","."&amp;L$2&amp;L$1&amp;"P"&amp;$A21)*RTD("tos.rtd",,"DELTA","."&amp;L$2&amp;L$1&amp;"P"&amp;$A21))/1000,(100*RTD("tos.rtd",,"OPEN_INT","."&amp;L$2&amp;L$1&amp;"C"&amp;$A21)*RTD("tos.rtd",,"DELTA","."&amp;L$2&amp;L$1&amp;"C"&amp;$A21)-100*RTD("tos.rtd",,"OPEN_INT","."&amp;L$2&amp;L$1&amp;"P"&amp;$A21)*RTD("tos.rtd",,"DELTA","."&amp;L$2&amp;L$1&amp;"P"&amp;$A21))/1000),0),IF($A$2="VEX",IFERROR(IF($X$1="ABS",($A$4*$A$4*RTD("tos.rtd",,"VOLUME","."&amp;L$2&amp;L$1&amp;"C"&amp;$A21)*RTD("tos.rtd",,"GAMMA","."&amp;L$2&amp;L$1&amp;"C"&amp;$A21)+$A$4*$A$4*RTD("tos.rtd",,"VOLUME","."&amp;L$2&amp;L$1&amp;"P"&amp;$A21)*RTD("tos.rtd",,"GAMMA","."&amp;L$2&amp;L$1&amp;"P"&amp;$A21))/1000000,($A$4*$A$4*RTD("tos.rtd",,"VOLUME","."&amp;L$2&amp;L$1&amp;"C"&amp;$A21)*RTD("tos.rtd",,"GAMMA","."&amp;L$2&amp;L$1&amp;"C"&amp;$A21)-$A$4*$A$4*RTD("tos.rtd",,"VOLUME","."&amp;L$2&amp;L$1&amp;"P"&amp;$A21)*RTD("tos.rtd",,"GAMMA","."&amp;L$2&amp;L$1&amp;"P"&amp;$A21))/1000000),0),IF($A$2="GEX",IFERROR(IF($X$1="ABS",($A$4*$A$4*RTD("tos.rtd",,"OPEN_INT","."&amp;L$2&amp;L$1&amp;"C"&amp;$A21)*RTD("tos.rtd",,"GAMMA","."&amp;L$2&amp;L$1&amp;"C"&amp;$A21)+$A$4*$A$4*RTD("tos.rtd",,"OPEN_INT","."&amp;L$2&amp;L$1&amp;"P"&amp;$A21)*RTD("tos.rtd",,"GAMMA","."&amp;L$2&amp;L$1&amp;"P"&amp;$A21))/1000000,($A$4*$A$4*RTD("tos.rtd",,"OPEN_INT","."&amp;L$2&amp;L$1&amp;"C"&amp;$A21)*RTD("tos.rtd",,"GAMMA","."&amp;L$2&amp;L$1&amp;"C"&amp;$A21)-$A$4*$A$4*RTD("tos.rtd",,"OPEN_INT","."&amp;L$2&amp;L$1&amp;"P"&amp;$A21)*RTD("tos.rtd",,"GAMMA","."&amp;L$2&amp;L$1&amp;"P"&amp;$A21))/1000000),0),IF($A$2="SKEW",IFERROR(VALUE(IF(RTD("tos.rtd",,"IMPL_VOL","."&amp;L$2&amp;L$1&amp;"P"&amp;$A21)="N/A",0,RTD("tos.rtd",,"IMPL_VOL","."&amp;L$2&amp;L$1&amp;"P"&amp;$A21))),0)-IFERROR(VALUE(IF(RTD("tos.rtd",,"IMPL_VOL","."&amp;L$2&amp;L$1&amp;"C"&amp;$A21)="N/A",0,RTD("tos.rtd",,"IMPL_VOL","."&amp;L$2&amp;L$1&amp;"C"&amp;$A21))),0),IF($A$2="MAXPAIN",IF($A$4&gt;$A21,($A$4-$A21)*IF(RTD("tos.rtd",,"OPEN_INT","."&amp;L$2&amp;L$1&amp;"C"&amp;$A21)="N/A",0,RTD("tos.rtd",,"OPEN_INT","."&amp;L$2&amp;L$1&amp;"C"&amp;$A21)),0)+IF($A$4&lt;$A21,($A$5-$A$4)*IF(RTD("tos.rtd",,"OPEN_INT","."&amp;L$2&amp;L$1&amp;"P"&amp;$A21)="N/A",0,RTD("tos.rtd",,"OPEN_INT","."&amp;L$2&amp;L$1&amp;"P"&amp;$A21)),0),IF($X$1="ABS",IF(RTD("tos.rtd",,$A$2,"."&amp;L$2&amp;L$1&amp;"C"&amp;$A21)="N/A",0,RTD("tos.rtd",,$A$2,"."&amp;L$2&amp;L$1&amp;"C"&amp;$A21))+IF(RTD("tos.rtd",,$A$2,"."&amp;L$2&amp;L$1&amp;"P"&amp;$A21)="N/A",0,RTD("tos.rtd",,$A$2,"."&amp;L$2&amp;L$1&amp;"P"&amp;$A21)),IF(RTD("tos.rtd",,$A$2,"."&amp;L$2&amp;L$1&amp;"C"&amp;$A21)="N/A",0,RTD("tos.rtd",,$A$2,"."&amp;L$2&amp;L$1&amp;"C"&amp;$A21))-IF(RTD("tos.rtd",,$A$2,"."&amp;L$2&amp;L$1&amp;"P"&amp;$A21)="N/A",0,RTD("tos.rtd",,$A$2,"."&amp;L$2&amp;L$1&amp;"P"&amp;$A21))))))))))</f>
        <v>0</v>
      </c>
      <c r="M21" s="12">
        <f ca="1">IF($A$2="PREMIUM_OI",IFERROR(IF($X$1="ABS",(100*RTD("tos.rtd",,"OPEN_INT","."&amp;M$2&amp;M$1&amp;"C"&amp;$A21)*RTD("tos.rtd",,"LAST","."&amp;M$2&amp;M$1&amp;"C"&amp;$A21)+100*RTD("tos.rtd",,"OPEN_INT","."&amp;M$2&amp;M$1&amp;"P"&amp;$A21)*RTD("tos.rtd",,"LAST","."&amp;M$2&amp;M$1&amp;"P"&amp;$A21))/1000000,(100*RTD("tos.rtd",,"OPEN_INT","."&amp;M$2&amp;M$1&amp;"C"&amp;$A21)*RTD("tos.rtd",,"LAST","."&amp;M$2&amp;M$1&amp;"C"&amp;$A21)-100*RTD("tos.rtd",,"OPEN_INT","."&amp;M$2&amp;M$1&amp;"P"&amp;$A21)*RTD("tos.rtd",,"LAST","."&amp;M$2&amp;M$1&amp;"P"&amp;$A21))/1000000),0),IF($A$2="PREMIUM",IFERROR(IF($X$1="ABS",(100*RTD("tos.rtd",,"VOLUME","."&amp;M$2&amp;M$1&amp;"C"&amp;$A21)*RTD("tos.rtd",,"LAST","."&amp;M$2&amp;M$1&amp;"C"&amp;$A21)+100*RTD("tos.rtd",,"VOLUME","."&amp;M$2&amp;M$1&amp;"P"&amp;$A21)*RTD("tos.rtd",,"LAST","."&amp;M$2&amp;M$1&amp;"P"&amp;$A21))/1000000,(100*RTD("tos.rtd",,"VOLUME","."&amp;M$2&amp;M$1&amp;"C"&amp;$A21)*RTD("tos.rtd",,"LAST","."&amp;M$2&amp;M$1&amp;"C"&amp;$A21)-100*RTD("tos.rtd",,"VOLUME","."&amp;M$2&amp;M$1&amp;"P"&amp;$A21)*RTD("tos.rtd",,"LAST","."&amp;M$2&amp;M$1&amp;"P"&amp;$A21))/1000000),0),IF($A$2="DEX",IFERROR(IF($X$1="ABS",(100*RTD("tos.rtd",,"OPEN_INT","."&amp;M$2&amp;M$1&amp;"C"&amp;$A21)*RTD("tos.rtd",,"DELTA","."&amp;M$2&amp;M$1&amp;"C"&amp;$A21)+100*RTD("tos.rtd",,"OPEN_INT","."&amp;M$2&amp;M$1&amp;"P"&amp;$A21)*RTD("tos.rtd",,"DELTA","."&amp;M$2&amp;M$1&amp;"P"&amp;$A21))/1000,(100*RTD("tos.rtd",,"OPEN_INT","."&amp;M$2&amp;M$1&amp;"C"&amp;$A21)*RTD("tos.rtd",,"DELTA","."&amp;M$2&amp;M$1&amp;"C"&amp;$A21)-100*RTD("tos.rtd",,"OPEN_INT","."&amp;M$2&amp;M$1&amp;"P"&amp;$A21)*RTD("tos.rtd",,"DELTA","."&amp;M$2&amp;M$1&amp;"P"&amp;$A21))/1000),0),IF($A$2="VEX",IFERROR(IF($X$1="ABS",($A$4*$A$4*RTD("tos.rtd",,"VOLUME","."&amp;M$2&amp;M$1&amp;"C"&amp;$A21)*RTD("tos.rtd",,"GAMMA","."&amp;M$2&amp;M$1&amp;"C"&amp;$A21)+$A$4*$A$4*RTD("tos.rtd",,"VOLUME","."&amp;M$2&amp;M$1&amp;"P"&amp;$A21)*RTD("tos.rtd",,"GAMMA","."&amp;M$2&amp;M$1&amp;"P"&amp;$A21))/1000000,($A$4*$A$4*RTD("tos.rtd",,"VOLUME","."&amp;M$2&amp;M$1&amp;"C"&amp;$A21)*RTD("tos.rtd",,"GAMMA","."&amp;M$2&amp;M$1&amp;"C"&amp;$A21)-$A$4*$A$4*RTD("tos.rtd",,"VOLUME","."&amp;M$2&amp;M$1&amp;"P"&amp;$A21)*RTD("tos.rtd",,"GAMMA","."&amp;M$2&amp;M$1&amp;"P"&amp;$A21))/1000000),0),IF($A$2="GEX",IFERROR(IF($X$1="ABS",($A$4*$A$4*RTD("tos.rtd",,"OPEN_INT","."&amp;M$2&amp;M$1&amp;"C"&amp;$A21)*RTD("tos.rtd",,"GAMMA","."&amp;M$2&amp;M$1&amp;"C"&amp;$A21)+$A$4*$A$4*RTD("tos.rtd",,"OPEN_INT","."&amp;M$2&amp;M$1&amp;"P"&amp;$A21)*RTD("tos.rtd",,"GAMMA","."&amp;M$2&amp;M$1&amp;"P"&amp;$A21))/1000000,($A$4*$A$4*RTD("tos.rtd",,"OPEN_INT","."&amp;M$2&amp;M$1&amp;"C"&amp;$A21)*RTD("tos.rtd",,"GAMMA","."&amp;M$2&amp;M$1&amp;"C"&amp;$A21)-$A$4*$A$4*RTD("tos.rtd",,"OPEN_INT","."&amp;M$2&amp;M$1&amp;"P"&amp;$A21)*RTD("tos.rtd",,"GAMMA","."&amp;M$2&amp;M$1&amp;"P"&amp;$A21))/1000000),0),IF($A$2="SKEW",IFERROR(VALUE(IF(RTD("tos.rtd",,"IMPL_VOL","."&amp;M$2&amp;M$1&amp;"P"&amp;$A21)="N/A",0,RTD("tos.rtd",,"IMPL_VOL","."&amp;M$2&amp;M$1&amp;"P"&amp;$A21))),0)-IFERROR(VALUE(IF(RTD("tos.rtd",,"IMPL_VOL","."&amp;M$2&amp;M$1&amp;"C"&amp;$A21)="N/A",0,RTD("tos.rtd",,"IMPL_VOL","."&amp;M$2&amp;M$1&amp;"C"&amp;$A21))),0),IF($A$2="MAXPAIN",IF($A$4&gt;$A21,($A$4-$A21)*IF(RTD("tos.rtd",,"OPEN_INT","."&amp;M$2&amp;M$1&amp;"C"&amp;$A21)="N/A",0,RTD("tos.rtd",,"OPEN_INT","."&amp;M$2&amp;M$1&amp;"C"&amp;$A21)),0)+IF($A$4&lt;$A21,($A$5-$A$4)*IF(RTD("tos.rtd",,"OPEN_INT","."&amp;M$2&amp;M$1&amp;"P"&amp;$A21)="N/A",0,RTD("tos.rtd",,"OPEN_INT","."&amp;M$2&amp;M$1&amp;"P"&amp;$A21)),0),IF($X$1="ABS",IF(RTD("tos.rtd",,$A$2,"."&amp;M$2&amp;M$1&amp;"C"&amp;$A21)="N/A",0,RTD("tos.rtd",,$A$2,"."&amp;M$2&amp;M$1&amp;"C"&amp;$A21))+IF(RTD("tos.rtd",,$A$2,"."&amp;M$2&amp;M$1&amp;"P"&amp;$A21)="N/A",0,RTD("tos.rtd",,$A$2,"."&amp;M$2&amp;M$1&amp;"P"&amp;$A21)),IF(RTD("tos.rtd",,$A$2,"."&amp;M$2&amp;M$1&amp;"C"&amp;$A21)="N/A",0,RTD("tos.rtd",,$A$2,"."&amp;M$2&amp;M$1&amp;"C"&amp;$A21))-IF(RTD("tos.rtd",,$A$2,"."&amp;M$2&amp;M$1&amp;"P"&amp;$A21)="N/A",0,RTD("tos.rtd",,$A$2,"."&amp;M$2&amp;M$1&amp;"P"&amp;$A21))))))))))</f>
        <v>0</v>
      </c>
      <c r="N21" s="12">
        <f ca="1">IF($A$2="PREMIUM_OI",IFERROR(IF($X$1="ABS",(100*RTD("tos.rtd",,"OPEN_INT","."&amp;N$2&amp;N$1&amp;"C"&amp;$A21)*RTD("tos.rtd",,"LAST","."&amp;N$2&amp;N$1&amp;"C"&amp;$A21)+100*RTD("tos.rtd",,"OPEN_INT","."&amp;N$2&amp;N$1&amp;"P"&amp;$A21)*RTD("tos.rtd",,"LAST","."&amp;N$2&amp;N$1&amp;"P"&amp;$A21))/1000000,(100*RTD("tos.rtd",,"OPEN_INT","."&amp;N$2&amp;N$1&amp;"C"&amp;$A21)*RTD("tos.rtd",,"LAST","."&amp;N$2&amp;N$1&amp;"C"&amp;$A21)-100*RTD("tos.rtd",,"OPEN_INT","."&amp;N$2&amp;N$1&amp;"P"&amp;$A21)*RTD("tos.rtd",,"LAST","."&amp;N$2&amp;N$1&amp;"P"&amp;$A21))/1000000),0),IF($A$2="PREMIUM",IFERROR(IF($X$1="ABS",(100*RTD("tos.rtd",,"VOLUME","."&amp;N$2&amp;N$1&amp;"C"&amp;$A21)*RTD("tos.rtd",,"LAST","."&amp;N$2&amp;N$1&amp;"C"&amp;$A21)+100*RTD("tos.rtd",,"VOLUME","."&amp;N$2&amp;N$1&amp;"P"&amp;$A21)*RTD("tos.rtd",,"LAST","."&amp;N$2&amp;N$1&amp;"P"&amp;$A21))/1000000,(100*RTD("tos.rtd",,"VOLUME","."&amp;N$2&amp;N$1&amp;"C"&amp;$A21)*RTD("tos.rtd",,"LAST","."&amp;N$2&amp;N$1&amp;"C"&amp;$A21)-100*RTD("tos.rtd",,"VOLUME","."&amp;N$2&amp;N$1&amp;"P"&amp;$A21)*RTD("tos.rtd",,"LAST","."&amp;N$2&amp;N$1&amp;"P"&amp;$A21))/1000000),0),IF($A$2="DEX",IFERROR(IF($X$1="ABS",(100*RTD("tos.rtd",,"OPEN_INT","."&amp;N$2&amp;N$1&amp;"C"&amp;$A21)*RTD("tos.rtd",,"DELTA","."&amp;N$2&amp;N$1&amp;"C"&amp;$A21)+100*RTD("tos.rtd",,"OPEN_INT","."&amp;N$2&amp;N$1&amp;"P"&amp;$A21)*RTD("tos.rtd",,"DELTA","."&amp;N$2&amp;N$1&amp;"P"&amp;$A21))/1000,(100*RTD("tos.rtd",,"OPEN_INT","."&amp;N$2&amp;N$1&amp;"C"&amp;$A21)*RTD("tos.rtd",,"DELTA","."&amp;N$2&amp;N$1&amp;"C"&amp;$A21)-100*RTD("tos.rtd",,"OPEN_INT","."&amp;N$2&amp;N$1&amp;"P"&amp;$A21)*RTD("tos.rtd",,"DELTA","."&amp;N$2&amp;N$1&amp;"P"&amp;$A21))/1000),0),IF($A$2="VEX",IFERROR(IF($X$1="ABS",($A$4*$A$4*RTD("tos.rtd",,"VOLUME","."&amp;N$2&amp;N$1&amp;"C"&amp;$A21)*RTD("tos.rtd",,"GAMMA","."&amp;N$2&amp;N$1&amp;"C"&amp;$A21)+$A$4*$A$4*RTD("tos.rtd",,"VOLUME","."&amp;N$2&amp;N$1&amp;"P"&amp;$A21)*RTD("tos.rtd",,"GAMMA","."&amp;N$2&amp;N$1&amp;"P"&amp;$A21))/1000000,($A$4*$A$4*RTD("tos.rtd",,"VOLUME","."&amp;N$2&amp;N$1&amp;"C"&amp;$A21)*RTD("tos.rtd",,"GAMMA","."&amp;N$2&amp;N$1&amp;"C"&amp;$A21)-$A$4*$A$4*RTD("tos.rtd",,"VOLUME","."&amp;N$2&amp;N$1&amp;"P"&amp;$A21)*RTD("tos.rtd",,"GAMMA","."&amp;N$2&amp;N$1&amp;"P"&amp;$A21))/1000000),0),IF($A$2="GEX",IFERROR(IF($X$1="ABS",($A$4*$A$4*RTD("tos.rtd",,"OPEN_INT","."&amp;N$2&amp;N$1&amp;"C"&amp;$A21)*RTD("tos.rtd",,"GAMMA","."&amp;N$2&amp;N$1&amp;"C"&amp;$A21)+$A$4*$A$4*RTD("tos.rtd",,"OPEN_INT","."&amp;N$2&amp;N$1&amp;"P"&amp;$A21)*RTD("tos.rtd",,"GAMMA","."&amp;N$2&amp;N$1&amp;"P"&amp;$A21))/1000000,($A$4*$A$4*RTD("tos.rtd",,"OPEN_INT","."&amp;N$2&amp;N$1&amp;"C"&amp;$A21)*RTD("tos.rtd",,"GAMMA","."&amp;N$2&amp;N$1&amp;"C"&amp;$A21)-$A$4*$A$4*RTD("tos.rtd",,"OPEN_INT","."&amp;N$2&amp;N$1&amp;"P"&amp;$A21)*RTD("tos.rtd",,"GAMMA","."&amp;N$2&amp;N$1&amp;"P"&amp;$A21))/1000000),0),IF($A$2="SKEW",IFERROR(VALUE(IF(RTD("tos.rtd",,"IMPL_VOL","."&amp;N$2&amp;N$1&amp;"P"&amp;$A21)="N/A",0,RTD("tos.rtd",,"IMPL_VOL","."&amp;N$2&amp;N$1&amp;"P"&amp;$A21))),0)-IFERROR(VALUE(IF(RTD("tos.rtd",,"IMPL_VOL","."&amp;N$2&amp;N$1&amp;"C"&amp;$A21)="N/A",0,RTD("tos.rtd",,"IMPL_VOL","."&amp;N$2&amp;N$1&amp;"C"&amp;$A21))),0),IF($A$2="MAXPAIN",IF($A$4&gt;$A21,($A$4-$A21)*IF(RTD("tos.rtd",,"OPEN_INT","."&amp;N$2&amp;N$1&amp;"C"&amp;$A21)="N/A",0,RTD("tos.rtd",,"OPEN_INT","."&amp;N$2&amp;N$1&amp;"C"&amp;$A21)),0)+IF($A$4&lt;$A21,($A$5-$A$4)*IF(RTD("tos.rtd",,"OPEN_INT","."&amp;N$2&amp;N$1&amp;"P"&amp;$A21)="N/A",0,RTD("tos.rtd",,"OPEN_INT","."&amp;N$2&amp;N$1&amp;"P"&amp;$A21)),0),IF($X$1="ABS",IF(RTD("tos.rtd",,$A$2,"."&amp;N$2&amp;N$1&amp;"C"&amp;$A21)="N/A",0,RTD("tos.rtd",,$A$2,"."&amp;N$2&amp;N$1&amp;"C"&amp;$A21))+IF(RTD("tos.rtd",,$A$2,"."&amp;N$2&amp;N$1&amp;"P"&amp;$A21)="N/A",0,RTD("tos.rtd",,$A$2,"."&amp;N$2&amp;N$1&amp;"P"&amp;$A21)),IF(RTD("tos.rtd",,$A$2,"."&amp;N$2&amp;N$1&amp;"C"&amp;$A21)="N/A",0,RTD("tos.rtd",,$A$2,"."&amp;N$2&amp;N$1&amp;"C"&amp;$A21))-IF(RTD("tos.rtd",,$A$2,"."&amp;N$2&amp;N$1&amp;"P"&amp;$A21)="N/A",0,RTD("tos.rtd",,$A$2,"."&amp;N$2&amp;N$1&amp;"P"&amp;$A21))))))))))</f>
        <v>0</v>
      </c>
      <c r="O21" s="12">
        <f ca="1">IF($A$2="PREMIUM_OI",IFERROR(IF($X$1="ABS",(100*RTD("tos.rtd",,"OPEN_INT","."&amp;O$2&amp;O$1&amp;"C"&amp;$A21)*RTD("tos.rtd",,"LAST","."&amp;O$2&amp;O$1&amp;"C"&amp;$A21)+100*RTD("tos.rtd",,"OPEN_INT","."&amp;O$2&amp;O$1&amp;"P"&amp;$A21)*RTD("tos.rtd",,"LAST","."&amp;O$2&amp;O$1&amp;"P"&amp;$A21))/1000000,(100*RTD("tos.rtd",,"OPEN_INT","."&amp;O$2&amp;O$1&amp;"C"&amp;$A21)*RTD("tos.rtd",,"LAST","."&amp;O$2&amp;O$1&amp;"C"&amp;$A21)-100*RTD("tos.rtd",,"OPEN_INT","."&amp;O$2&amp;O$1&amp;"P"&amp;$A21)*RTD("tos.rtd",,"LAST","."&amp;O$2&amp;O$1&amp;"P"&amp;$A21))/1000000),0),IF($A$2="PREMIUM",IFERROR(IF($X$1="ABS",(100*RTD("tos.rtd",,"VOLUME","."&amp;O$2&amp;O$1&amp;"C"&amp;$A21)*RTD("tos.rtd",,"LAST","."&amp;O$2&amp;O$1&amp;"C"&amp;$A21)+100*RTD("tos.rtd",,"VOLUME","."&amp;O$2&amp;O$1&amp;"P"&amp;$A21)*RTD("tos.rtd",,"LAST","."&amp;O$2&amp;O$1&amp;"P"&amp;$A21))/1000000,(100*RTD("tos.rtd",,"VOLUME","."&amp;O$2&amp;O$1&amp;"C"&amp;$A21)*RTD("tos.rtd",,"LAST","."&amp;O$2&amp;O$1&amp;"C"&amp;$A21)-100*RTD("tos.rtd",,"VOLUME","."&amp;O$2&amp;O$1&amp;"P"&amp;$A21)*RTD("tos.rtd",,"LAST","."&amp;O$2&amp;O$1&amp;"P"&amp;$A21))/1000000),0),IF($A$2="DEX",IFERROR(IF($X$1="ABS",(100*RTD("tos.rtd",,"OPEN_INT","."&amp;O$2&amp;O$1&amp;"C"&amp;$A21)*RTD("tos.rtd",,"DELTA","."&amp;O$2&amp;O$1&amp;"C"&amp;$A21)+100*RTD("tos.rtd",,"OPEN_INT","."&amp;O$2&amp;O$1&amp;"P"&amp;$A21)*RTD("tos.rtd",,"DELTA","."&amp;O$2&amp;O$1&amp;"P"&amp;$A21))/1000,(100*RTD("tos.rtd",,"OPEN_INT","."&amp;O$2&amp;O$1&amp;"C"&amp;$A21)*RTD("tos.rtd",,"DELTA","."&amp;O$2&amp;O$1&amp;"C"&amp;$A21)-100*RTD("tos.rtd",,"OPEN_INT","."&amp;O$2&amp;O$1&amp;"P"&amp;$A21)*RTD("tos.rtd",,"DELTA","."&amp;O$2&amp;O$1&amp;"P"&amp;$A21))/1000),0),IF($A$2="VEX",IFERROR(IF($X$1="ABS",($A$4*$A$4*RTD("tos.rtd",,"VOLUME","."&amp;O$2&amp;O$1&amp;"C"&amp;$A21)*RTD("tos.rtd",,"GAMMA","."&amp;O$2&amp;O$1&amp;"C"&amp;$A21)+$A$4*$A$4*RTD("tos.rtd",,"VOLUME","."&amp;O$2&amp;O$1&amp;"P"&amp;$A21)*RTD("tos.rtd",,"GAMMA","."&amp;O$2&amp;O$1&amp;"P"&amp;$A21))/1000000,($A$4*$A$4*RTD("tos.rtd",,"VOLUME","."&amp;O$2&amp;O$1&amp;"C"&amp;$A21)*RTD("tos.rtd",,"GAMMA","."&amp;O$2&amp;O$1&amp;"C"&amp;$A21)-$A$4*$A$4*RTD("tos.rtd",,"VOLUME","."&amp;O$2&amp;O$1&amp;"P"&amp;$A21)*RTD("tos.rtd",,"GAMMA","."&amp;O$2&amp;O$1&amp;"P"&amp;$A21))/1000000),0),IF($A$2="GEX",IFERROR(IF($X$1="ABS",($A$4*$A$4*RTD("tos.rtd",,"OPEN_INT","."&amp;O$2&amp;O$1&amp;"C"&amp;$A21)*RTD("tos.rtd",,"GAMMA","."&amp;O$2&amp;O$1&amp;"C"&amp;$A21)+$A$4*$A$4*RTD("tos.rtd",,"OPEN_INT","."&amp;O$2&amp;O$1&amp;"P"&amp;$A21)*RTD("tos.rtd",,"GAMMA","."&amp;O$2&amp;O$1&amp;"P"&amp;$A21))/1000000,($A$4*$A$4*RTD("tos.rtd",,"OPEN_INT","."&amp;O$2&amp;O$1&amp;"C"&amp;$A21)*RTD("tos.rtd",,"GAMMA","."&amp;O$2&amp;O$1&amp;"C"&amp;$A21)-$A$4*$A$4*RTD("tos.rtd",,"OPEN_INT","."&amp;O$2&amp;O$1&amp;"P"&amp;$A21)*RTD("tos.rtd",,"GAMMA","."&amp;O$2&amp;O$1&amp;"P"&amp;$A21))/1000000),0),IF($A$2="SKEW",IFERROR(VALUE(IF(RTD("tos.rtd",,"IMPL_VOL","."&amp;O$2&amp;O$1&amp;"P"&amp;$A21)="N/A",0,RTD("tos.rtd",,"IMPL_VOL","."&amp;O$2&amp;O$1&amp;"P"&amp;$A21))),0)-IFERROR(VALUE(IF(RTD("tos.rtd",,"IMPL_VOL","."&amp;O$2&amp;O$1&amp;"C"&amp;$A21)="N/A",0,RTD("tos.rtd",,"IMPL_VOL","."&amp;O$2&amp;O$1&amp;"C"&amp;$A21))),0),IF($A$2="MAXPAIN",IF($A$4&gt;$A21,($A$4-$A21)*IF(RTD("tos.rtd",,"OPEN_INT","."&amp;O$2&amp;O$1&amp;"C"&amp;$A21)="N/A",0,RTD("tos.rtd",,"OPEN_INT","."&amp;O$2&amp;O$1&amp;"C"&amp;$A21)),0)+IF($A$4&lt;$A21,($A$5-$A$4)*IF(RTD("tos.rtd",,"OPEN_INT","."&amp;O$2&amp;O$1&amp;"P"&amp;$A21)="N/A",0,RTD("tos.rtd",,"OPEN_INT","."&amp;O$2&amp;O$1&amp;"P"&amp;$A21)),0),IF($X$1="ABS",IF(RTD("tos.rtd",,$A$2,"."&amp;O$2&amp;O$1&amp;"C"&amp;$A21)="N/A",0,RTD("tos.rtd",,$A$2,"."&amp;O$2&amp;O$1&amp;"C"&amp;$A21))+IF(RTD("tos.rtd",,$A$2,"."&amp;O$2&amp;O$1&amp;"P"&amp;$A21)="N/A",0,RTD("tos.rtd",,$A$2,"."&amp;O$2&amp;O$1&amp;"P"&amp;$A21)),IF(RTD("tos.rtd",,$A$2,"."&amp;O$2&amp;O$1&amp;"C"&amp;$A21)="N/A",0,RTD("tos.rtd",,$A$2,"."&amp;O$2&amp;O$1&amp;"C"&amp;$A21))-IF(RTD("tos.rtd",,$A$2,"."&amp;O$2&amp;O$1&amp;"P"&amp;$A21)="N/A",0,RTD("tos.rtd",,$A$2,"."&amp;O$2&amp;O$1&amp;"P"&amp;$A21))))))))))</f>
        <v>0</v>
      </c>
      <c r="P21" s="12">
        <f ca="1">IF($A$2="PREMIUM_OI",IFERROR(IF($X$1="ABS",(100*RTD("tos.rtd",,"OPEN_INT","."&amp;P$2&amp;P$1&amp;"C"&amp;$A21)*RTD("tos.rtd",,"LAST","."&amp;P$2&amp;P$1&amp;"C"&amp;$A21)+100*RTD("tos.rtd",,"OPEN_INT","."&amp;P$2&amp;P$1&amp;"P"&amp;$A21)*RTD("tos.rtd",,"LAST","."&amp;P$2&amp;P$1&amp;"P"&amp;$A21))/1000000,(100*RTD("tos.rtd",,"OPEN_INT","."&amp;P$2&amp;P$1&amp;"C"&amp;$A21)*RTD("tos.rtd",,"LAST","."&amp;P$2&amp;P$1&amp;"C"&amp;$A21)-100*RTD("tos.rtd",,"OPEN_INT","."&amp;P$2&amp;P$1&amp;"P"&amp;$A21)*RTD("tos.rtd",,"LAST","."&amp;P$2&amp;P$1&amp;"P"&amp;$A21))/1000000),0),IF($A$2="PREMIUM",IFERROR(IF($X$1="ABS",(100*RTD("tos.rtd",,"VOLUME","."&amp;P$2&amp;P$1&amp;"C"&amp;$A21)*RTD("tos.rtd",,"LAST","."&amp;P$2&amp;P$1&amp;"C"&amp;$A21)+100*RTD("tos.rtd",,"VOLUME","."&amp;P$2&amp;P$1&amp;"P"&amp;$A21)*RTD("tos.rtd",,"LAST","."&amp;P$2&amp;P$1&amp;"P"&amp;$A21))/1000000,(100*RTD("tos.rtd",,"VOLUME","."&amp;P$2&amp;P$1&amp;"C"&amp;$A21)*RTD("tos.rtd",,"LAST","."&amp;P$2&amp;P$1&amp;"C"&amp;$A21)-100*RTD("tos.rtd",,"VOLUME","."&amp;P$2&amp;P$1&amp;"P"&amp;$A21)*RTD("tos.rtd",,"LAST","."&amp;P$2&amp;P$1&amp;"P"&amp;$A21))/1000000),0),IF($A$2="DEX",IFERROR(IF($X$1="ABS",(100*RTD("tos.rtd",,"OPEN_INT","."&amp;P$2&amp;P$1&amp;"C"&amp;$A21)*RTD("tos.rtd",,"DELTA","."&amp;P$2&amp;P$1&amp;"C"&amp;$A21)+100*RTD("tos.rtd",,"OPEN_INT","."&amp;P$2&amp;P$1&amp;"P"&amp;$A21)*RTD("tos.rtd",,"DELTA","."&amp;P$2&amp;P$1&amp;"P"&amp;$A21))/1000,(100*RTD("tos.rtd",,"OPEN_INT","."&amp;P$2&amp;P$1&amp;"C"&amp;$A21)*RTD("tos.rtd",,"DELTA","."&amp;P$2&amp;P$1&amp;"C"&amp;$A21)-100*RTD("tos.rtd",,"OPEN_INT","."&amp;P$2&amp;P$1&amp;"P"&amp;$A21)*RTD("tos.rtd",,"DELTA","."&amp;P$2&amp;P$1&amp;"P"&amp;$A21))/1000),0),IF($A$2="VEX",IFERROR(IF($X$1="ABS",($A$4*$A$4*RTD("tos.rtd",,"VOLUME","."&amp;P$2&amp;P$1&amp;"C"&amp;$A21)*RTD("tos.rtd",,"GAMMA","."&amp;P$2&amp;P$1&amp;"C"&amp;$A21)+$A$4*$A$4*RTD("tos.rtd",,"VOLUME","."&amp;P$2&amp;P$1&amp;"P"&amp;$A21)*RTD("tos.rtd",,"GAMMA","."&amp;P$2&amp;P$1&amp;"P"&amp;$A21))/1000000,($A$4*$A$4*RTD("tos.rtd",,"VOLUME","."&amp;P$2&amp;P$1&amp;"C"&amp;$A21)*RTD("tos.rtd",,"GAMMA","."&amp;P$2&amp;P$1&amp;"C"&amp;$A21)-$A$4*$A$4*RTD("tos.rtd",,"VOLUME","."&amp;P$2&amp;P$1&amp;"P"&amp;$A21)*RTD("tos.rtd",,"GAMMA","."&amp;P$2&amp;P$1&amp;"P"&amp;$A21))/1000000),0),IF($A$2="GEX",IFERROR(IF($X$1="ABS",($A$4*$A$4*RTD("tos.rtd",,"OPEN_INT","."&amp;P$2&amp;P$1&amp;"C"&amp;$A21)*RTD("tos.rtd",,"GAMMA","."&amp;P$2&amp;P$1&amp;"C"&amp;$A21)+$A$4*$A$4*RTD("tos.rtd",,"OPEN_INT","."&amp;P$2&amp;P$1&amp;"P"&amp;$A21)*RTD("tos.rtd",,"GAMMA","."&amp;P$2&amp;P$1&amp;"P"&amp;$A21))/1000000,($A$4*$A$4*RTD("tos.rtd",,"OPEN_INT","."&amp;P$2&amp;P$1&amp;"C"&amp;$A21)*RTD("tos.rtd",,"GAMMA","."&amp;P$2&amp;P$1&amp;"C"&amp;$A21)-$A$4*$A$4*RTD("tos.rtd",,"OPEN_INT","."&amp;P$2&amp;P$1&amp;"P"&amp;$A21)*RTD("tos.rtd",,"GAMMA","."&amp;P$2&amp;P$1&amp;"P"&amp;$A21))/1000000),0),IF($A$2="SKEW",IFERROR(VALUE(IF(RTD("tos.rtd",,"IMPL_VOL","."&amp;P$2&amp;P$1&amp;"P"&amp;$A21)="N/A",0,RTD("tos.rtd",,"IMPL_VOL","."&amp;P$2&amp;P$1&amp;"P"&amp;$A21))),0)-IFERROR(VALUE(IF(RTD("tos.rtd",,"IMPL_VOL","."&amp;P$2&amp;P$1&amp;"C"&amp;$A21)="N/A",0,RTD("tos.rtd",,"IMPL_VOL","."&amp;P$2&amp;P$1&amp;"C"&amp;$A21))),0),IF($A$2="MAXPAIN",IF($A$4&gt;$A21,($A$4-$A21)*IF(RTD("tos.rtd",,"OPEN_INT","."&amp;P$2&amp;P$1&amp;"C"&amp;$A21)="N/A",0,RTD("tos.rtd",,"OPEN_INT","."&amp;P$2&amp;P$1&amp;"C"&amp;$A21)),0)+IF($A$4&lt;$A21,($A$5-$A$4)*IF(RTD("tos.rtd",,"OPEN_INT","."&amp;P$2&amp;P$1&amp;"P"&amp;$A21)="N/A",0,RTD("tos.rtd",,"OPEN_INT","."&amp;P$2&amp;P$1&amp;"P"&amp;$A21)),0),IF($X$1="ABS",IF(RTD("tos.rtd",,$A$2,"."&amp;P$2&amp;P$1&amp;"C"&amp;$A21)="N/A",0,RTD("tos.rtd",,$A$2,"."&amp;P$2&amp;P$1&amp;"C"&amp;$A21))+IF(RTD("tos.rtd",,$A$2,"."&amp;P$2&amp;P$1&amp;"P"&amp;$A21)="N/A",0,RTD("tos.rtd",,$A$2,"."&amp;P$2&amp;P$1&amp;"P"&amp;$A21)),IF(RTD("tos.rtd",,$A$2,"."&amp;P$2&amp;P$1&amp;"C"&amp;$A21)="N/A",0,RTD("tos.rtd",,$A$2,"."&amp;P$2&amp;P$1&amp;"C"&amp;$A21))-IF(RTD("tos.rtd",,$A$2,"."&amp;P$2&amp;P$1&amp;"P"&amp;$A21)="N/A",0,RTD("tos.rtd",,$A$2,"."&amp;P$2&amp;P$1&amp;"P"&amp;$A21))))))))))</f>
        <v>0</v>
      </c>
      <c r="Q21" s="12">
        <f ca="1">IF($A$2="PREMIUM_OI",IFERROR(IF($X$1="ABS",(100*RTD("tos.rtd",,"OPEN_INT","."&amp;Q$2&amp;Q$1&amp;"C"&amp;$A21)*RTD("tos.rtd",,"LAST","."&amp;Q$2&amp;Q$1&amp;"C"&amp;$A21)+100*RTD("tos.rtd",,"OPEN_INT","."&amp;Q$2&amp;Q$1&amp;"P"&amp;$A21)*RTD("tos.rtd",,"LAST","."&amp;Q$2&amp;Q$1&amp;"P"&amp;$A21))/1000000,(100*RTD("tos.rtd",,"OPEN_INT","."&amp;Q$2&amp;Q$1&amp;"C"&amp;$A21)*RTD("tos.rtd",,"LAST","."&amp;Q$2&amp;Q$1&amp;"C"&amp;$A21)-100*RTD("tos.rtd",,"OPEN_INT","."&amp;Q$2&amp;Q$1&amp;"P"&amp;$A21)*RTD("tos.rtd",,"LAST","."&amp;Q$2&amp;Q$1&amp;"P"&amp;$A21))/1000000),0),IF($A$2="PREMIUM",IFERROR(IF($X$1="ABS",(100*RTD("tos.rtd",,"VOLUME","."&amp;Q$2&amp;Q$1&amp;"C"&amp;$A21)*RTD("tos.rtd",,"LAST","."&amp;Q$2&amp;Q$1&amp;"C"&amp;$A21)+100*RTD("tos.rtd",,"VOLUME","."&amp;Q$2&amp;Q$1&amp;"P"&amp;$A21)*RTD("tos.rtd",,"LAST","."&amp;Q$2&amp;Q$1&amp;"P"&amp;$A21))/1000000,(100*RTD("tos.rtd",,"VOLUME","."&amp;Q$2&amp;Q$1&amp;"C"&amp;$A21)*RTD("tos.rtd",,"LAST","."&amp;Q$2&amp;Q$1&amp;"C"&amp;$A21)-100*RTD("tos.rtd",,"VOLUME","."&amp;Q$2&amp;Q$1&amp;"P"&amp;$A21)*RTD("tos.rtd",,"LAST","."&amp;Q$2&amp;Q$1&amp;"P"&amp;$A21))/1000000),0),IF($A$2="DEX",IFERROR(IF($X$1="ABS",(100*RTD("tos.rtd",,"OPEN_INT","."&amp;Q$2&amp;Q$1&amp;"C"&amp;$A21)*RTD("tos.rtd",,"DELTA","."&amp;Q$2&amp;Q$1&amp;"C"&amp;$A21)+100*RTD("tos.rtd",,"OPEN_INT","."&amp;Q$2&amp;Q$1&amp;"P"&amp;$A21)*RTD("tos.rtd",,"DELTA","."&amp;Q$2&amp;Q$1&amp;"P"&amp;$A21))/1000,(100*RTD("tos.rtd",,"OPEN_INT","."&amp;Q$2&amp;Q$1&amp;"C"&amp;$A21)*RTD("tos.rtd",,"DELTA","."&amp;Q$2&amp;Q$1&amp;"C"&amp;$A21)-100*RTD("tos.rtd",,"OPEN_INT","."&amp;Q$2&amp;Q$1&amp;"P"&amp;$A21)*RTD("tos.rtd",,"DELTA","."&amp;Q$2&amp;Q$1&amp;"P"&amp;$A21))/1000),0),IF($A$2="VEX",IFERROR(IF($X$1="ABS",($A$4*$A$4*RTD("tos.rtd",,"VOLUME","."&amp;Q$2&amp;Q$1&amp;"C"&amp;$A21)*RTD("tos.rtd",,"GAMMA","."&amp;Q$2&amp;Q$1&amp;"C"&amp;$A21)+$A$4*$A$4*RTD("tos.rtd",,"VOLUME","."&amp;Q$2&amp;Q$1&amp;"P"&amp;$A21)*RTD("tos.rtd",,"GAMMA","."&amp;Q$2&amp;Q$1&amp;"P"&amp;$A21))/1000000,($A$4*$A$4*RTD("tos.rtd",,"VOLUME","."&amp;Q$2&amp;Q$1&amp;"C"&amp;$A21)*RTD("tos.rtd",,"GAMMA","."&amp;Q$2&amp;Q$1&amp;"C"&amp;$A21)-$A$4*$A$4*RTD("tos.rtd",,"VOLUME","."&amp;Q$2&amp;Q$1&amp;"P"&amp;$A21)*RTD("tos.rtd",,"GAMMA","."&amp;Q$2&amp;Q$1&amp;"P"&amp;$A21))/1000000),0),IF($A$2="GEX",IFERROR(IF($X$1="ABS",($A$4*$A$4*RTD("tos.rtd",,"OPEN_INT","."&amp;Q$2&amp;Q$1&amp;"C"&amp;$A21)*RTD("tos.rtd",,"GAMMA","."&amp;Q$2&amp;Q$1&amp;"C"&amp;$A21)+$A$4*$A$4*RTD("tos.rtd",,"OPEN_INT","."&amp;Q$2&amp;Q$1&amp;"P"&amp;$A21)*RTD("tos.rtd",,"GAMMA","."&amp;Q$2&amp;Q$1&amp;"P"&amp;$A21))/1000000,($A$4*$A$4*RTD("tos.rtd",,"OPEN_INT","."&amp;Q$2&amp;Q$1&amp;"C"&amp;$A21)*RTD("tos.rtd",,"GAMMA","."&amp;Q$2&amp;Q$1&amp;"C"&amp;$A21)-$A$4*$A$4*RTD("tos.rtd",,"OPEN_INT","."&amp;Q$2&amp;Q$1&amp;"P"&amp;$A21)*RTD("tos.rtd",,"GAMMA","."&amp;Q$2&amp;Q$1&amp;"P"&amp;$A21))/1000000),0),IF($A$2="SKEW",IFERROR(VALUE(IF(RTD("tos.rtd",,"IMPL_VOL","."&amp;Q$2&amp;Q$1&amp;"P"&amp;$A21)="N/A",0,RTD("tos.rtd",,"IMPL_VOL","."&amp;Q$2&amp;Q$1&amp;"P"&amp;$A21))),0)-IFERROR(VALUE(IF(RTD("tos.rtd",,"IMPL_VOL","."&amp;Q$2&amp;Q$1&amp;"C"&amp;$A21)="N/A",0,RTD("tos.rtd",,"IMPL_VOL","."&amp;Q$2&amp;Q$1&amp;"C"&amp;$A21))),0),IF($A$2="MAXPAIN",IF($A$4&gt;$A21,($A$4-$A21)*IF(RTD("tos.rtd",,"OPEN_INT","."&amp;Q$2&amp;Q$1&amp;"C"&amp;$A21)="N/A",0,RTD("tos.rtd",,"OPEN_INT","."&amp;Q$2&amp;Q$1&amp;"C"&amp;$A21)),0)+IF($A$4&lt;$A21,($A$5-$A$4)*IF(RTD("tos.rtd",,"OPEN_INT","."&amp;Q$2&amp;Q$1&amp;"P"&amp;$A21)="N/A",0,RTD("tos.rtd",,"OPEN_INT","."&amp;Q$2&amp;Q$1&amp;"P"&amp;$A21)),0),IF($X$1="ABS",IF(RTD("tos.rtd",,$A$2,"."&amp;Q$2&amp;Q$1&amp;"C"&amp;$A21)="N/A",0,RTD("tos.rtd",,$A$2,"."&amp;Q$2&amp;Q$1&amp;"C"&amp;$A21))+IF(RTD("tos.rtd",,$A$2,"."&amp;Q$2&amp;Q$1&amp;"P"&amp;$A21)="N/A",0,RTD("tos.rtd",,$A$2,"."&amp;Q$2&amp;Q$1&amp;"P"&amp;$A21)),IF(RTD("tos.rtd",,$A$2,"."&amp;Q$2&amp;Q$1&amp;"C"&amp;$A21)="N/A",0,RTD("tos.rtd",,$A$2,"."&amp;Q$2&amp;Q$1&amp;"C"&amp;$A21))-IF(RTD("tos.rtd",,$A$2,"."&amp;Q$2&amp;Q$1&amp;"P"&amp;$A21)="N/A",0,RTD("tos.rtd",,$A$2,"."&amp;Q$2&amp;Q$1&amp;"P"&amp;$A21))))))))))</f>
        <v>0</v>
      </c>
      <c r="R21" s="12">
        <f ca="1">IF($A$2="PREMIUM_OI",IFERROR(IF($X$1="ABS",(100*RTD("tos.rtd",,"OPEN_INT","."&amp;R$2&amp;R$1&amp;"C"&amp;$A21)*RTD("tos.rtd",,"LAST","."&amp;R$2&amp;R$1&amp;"C"&amp;$A21)+100*RTD("tos.rtd",,"OPEN_INT","."&amp;R$2&amp;R$1&amp;"P"&amp;$A21)*RTD("tos.rtd",,"LAST","."&amp;R$2&amp;R$1&amp;"P"&amp;$A21))/1000000,(100*RTD("tos.rtd",,"OPEN_INT","."&amp;R$2&amp;R$1&amp;"C"&amp;$A21)*RTD("tos.rtd",,"LAST","."&amp;R$2&amp;R$1&amp;"C"&amp;$A21)-100*RTD("tos.rtd",,"OPEN_INT","."&amp;R$2&amp;R$1&amp;"P"&amp;$A21)*RTD("tos.rtd",,"LAST","."&amp;R$2&amp;R$1&amp;"P"&amp;$A21))/1000000),0),IF($A$2="PREMIUM",IFERROR(IF($X$1="ABS",(100*RTD("tos.rtd",,"VOLUME","."&amp;R$2&amp;R$1&amp;"C"&amp;$A21)*RTD("tos.rtd",,"LAST","."&amp;R$2&amp;R$1&amp;"C"&amp;$A21)+100*RTD("tos.rtd",,"VOLUME","."&amp;R$2&amp;R$1&amp;"P"&amp;$A21)*RTD("tos.rtd",,"LAST","."&amp;R$2&amp;R$1&amp;"P"&amp;$A21))/1000000,(100*RTD("tos.rtd",,"VOLUME","."&amp;R$2&amp;R$1&amp;"C"&amp;$A21)*RTD("tos.rtd",,"LAST","."&amp;R$2&amp;R$1&amp;"C"&amp;$A21)-100*RTD("tos.rtd",,"VOLUME","."&amp;R$2&amp;R$1&amp;"P"&amp;$A21)*RTD("tos.rtd",,"LAST","."&amp;R$2&amp;R$1&amp;"P"&amp;$A21))/1000000),0),IF($A$2="DEX",IFERROR(IF($X$1="ABS",(100*RTD("tos.rtd",,"OPEN_INT","."&amp;R$2&amp;R$1&amp;"C"&amp;$A21)*RTD("tos.rtd",,"DELTA","."&amp;R$2&amp;R$1&amp;"C"&amp;$A21)+100*RTD("tos.rtd",,"OPEN_INT","."&amp;R$2&amp;R$1&amp;"P"&amp;$A21)*RTD("tos.rtd",,"DELTA","."&amp;R$2&amp;R$1&amp;"P"&amp;$A21))/1000,(100*RTD("tos.rtd",,"OPEN_INT","."&amp;R$2&amp;R$1&amp;"C"&amp;$A21)*RTD("tos.rtd",,"DELTA","."&amp;R$2&amp;R$1&amp;"C"&amp;$A21)-100*RTD("tos.rtd",,"OPEN_INT","."&amp;R$2&amp;R$1&amp;"P"&amp;$A21)*RTD("tos.rtd",,"DELTA","."&amp;R$2&amp;R$1&amp;"P"&amp;$A21))/1000),0),IF($A$2="VEX",IFERROR(IF($X$1="ABS",($A$4*$A$4*RTD("tos.rtd",,"VOLUME","."&amp;R$2&amp;R$1&amp;"C"&amp;$A21)*RTD("tos.rtd",,"GAMMA","."&amp;R$2&amp;R$1&amp;"C"&amp;$A21)+$A$4*$A$4*RTD("tos.rtd",,"VOLUME","."&amp;R$2&amp;R$1&amp;"P"&amp;$A21)*RTD("tos.rtd",,"GAMMA","."&amp;R$2&amp;R$1&amp;"P"&amp;$A21))/1000000,($A$4*$A$4*RTD("tos.rtd",,"VOLUME","."&amp;R$2&amp;R$1&amp;"C"&amp;$A21)*RTD("tos.rtd",,"GAMMA","."&amp;R$2&amp;R$1&amp;"C"&amp;$A21)-$A$4*$A$4*RTD("tos.rtd",,"VOLUME","."&amp;R$2&amp;R$1&amp;"P"&amp;$A21)*RTD("tos.rtd",,"GAMMA","."&amp;R$2&amp;R$1&amp;"P"&amp;$A21))/1000000),0),IF($A$2="GEX",IFERROR(IF($X$1="ABS",($A$4*$A$4*RTD("tos.rtd",,"OPEN_INT","."&amp;R$2&amp;R$1&amp;"C"&amp;$A21)*RTD("tos.rtd",,"GAMMA","."&amp;R$2&amp;R$1&amp;"C"&amp;$A21)+$A$4*$A$4*RTD("tos.rtd",,"OPEN_INT","."&amp;R$2&amp;R$1&amp;"P"&amp;$A21)*RTD("tos.rtd",,"GAMMA","."&amp;R$2&amp;R$1&amp;"P"&amp;$A21))/1000000,($A$4*$A$4*RTD("tos.rtd",,"OPEN_INT","."&amp;R$2&amp;R$1&amp;"C"&amp;$A21)*RTD("tos.rtd",,"GAMMA","."&amp;R$2&amp;R$1&amp;"C"&amp;$A21)-$A$4*$A$4*RTD("tos.rtd",,"OPEN_INT","."&amp;R$2&amp;R$1&amp;"P"&amp;$A21)*RTD("tos.rtd",,"GAMMA","."&amp;R$2&amp;R$1&amp;"P"&amp;$A21))/1000000),0),IF($A$2="SKEW",IFERROR(VALUE(IF(RTD("tos.rtd",,"IMPL_VOL","."&amp;R$2&amp;R$1&amp;"P"&amp;$A21)="N/A",0,RTD("tos.rtd",,"IMPL_VOL","."&amp;R$2&amp;R$1&amp;"P"&amp;$A21))),0)-IFERROR(VALUE(IF(RTD("tos.rtd",,"IMPL_VOL","."&amp;R$2&amp;R$1&amp;"C"&amp;$A21)="N/A",0,RTD("tos.rtd",,"IMPL_VOL","."&amp;R$2&amp;R$1&amp;"C"&amp;$A21))),0),IF($A$2="MAXPAIN",IF($A$4&gt;$A21,($A$4-$A21)*IF(RTD("tos.rtd",,"OPEN_INT","."&amp;R$2&amp;R$1&amp;"C"&amp;$A21)="N/A",0,RTD("tos.rtd",,"OPEN_INT","."&amp;R$2&amp;R$1&amp;"C"&amp;$A21)),0)+IF($A$4&lt;$A21,($A$5-$A$4)*IF(RTD("tos.rtd",,"OPEN_INT","."&amp;R$2&amp;R$1&amp;"P"&amp;$A21)="N/A",0,RTD("tos.rtd",,"OPEN_INT","."&amp;R$2&amp;R$1&amp;"P"&amp;$A21)),0),IF($X$1="ABS",IF(RTD("tos.rtd",,$A$2,"."&amp;R$2&amp;R$1&amp;"C"&amp;$A21)="N/A",0,RTD("tos.rtd",,$A$2,"."&amp;R$2&amp;R$1&amp;"C"&amp;$A21))+IF(RTD("tos.rtd",,$A$2,"."&amp;R$2&amp;R$1&amp;"P"&amp;$A21)="N/A",0,RTD("tos.rtd",,$A$2,"."&amp;R$2&amp;R$1&amp;"P"&amp;$A21)),IF(RTD("tos.rtd",,$A$2,"."&amp;R$2&amp;R$1&amp;"C"&amp;$A21)="N/A",0,RTD("tos.rtd",,$A$2,"."&amp;R$2&amp;R$1&amp;"C"&amp;$A21))-IF(RTD("tos.rtd",,$A$2,"."&amp;R$2&amp;R$1&amp;"P"&amp;$A21)="N/A",0,RTD("tos.rtd",,$A$2,"."&amp;R$2&amp;R$1&amp;"P"&amp;$A21))))))))))</f>
        <v>0</v>
      </c>
      <c r="S21" s="12">
        <f ca="1">IF($A$2="PREMIUM_OI",IFERROR(IF($X$1="ABS",(100*RTD("tos.rtd",,"OPEN_INT","."&amp;S$2&amp;S$1&amp;"C"&amp;$A21)*RTD("tos.rtd",,"LAST","."&amp;S$2&amp;S$1&amp;"C"&amp;$A21)+100*RTD("tos.rtd",,"OPEN_INT","."&amp;S$2&amp;S$1&amp;"P"&amp;$A21)*RTD("tos.rtd",,"LAST","."&amp;S$2&amp;S$1&amp;"P"&amp;$A21))/1000000,(100*RTD("tos.rtd",,"OPEN_INT","."&amp;S$2&amp;S$1&amp;"C"&amp;$A21)*RTD("tos.rtd",,"LAST","."&amp;S$2&amp;S$1&amp;"C"&amp;$A21)-100*RTD("tos.rtd",,"OPEN_INT","."&amp;S$2&amp;S$1&amp;"P"&amp;$A21)*RTD("tos.rtd",,"LAST","."&amp;S$2&amp;S$1&amp;"P"&amp;$A21))/1000000),0),IF($A$2="PREMIUM",IFERROR(IF($X$1="ABS",(100*RTD("tos.rtd",,"VOLUME","."&amp;S$2&amp;S$1&amp;"C"&amp;$A21)*RTD("tos.rtd",,"LAST","."&amp;S$2&amp;S$1&amp;"C"&amp;$A21)+100*RTD("tos.rtd",,"VOLUME","."&amp;S$2&amp;S$1&amp;"P"&amp;$A21)*RTD("tos.rtd",,"LAST","."&amp;S$2&amp;S$1&amp;"P"&amp;$A21))/1000000,(100*RTD("tos.rtd",,"VOLUME","."&amp;S$2&amp;S$1&amp;"C"&amp;$A21)*RTD("tos.rtd",,"LAST","."&amp;S$2&amp;S$1&amp;"C"&amp;$A21)-100*RTD("tos.rtd",,"VOLUME","."&amp;S$2&amp;S$1&amp;"P"&amp;$A21)*RTD("tos.rtd",,"LAST","."&amp;S$2&amp;S$1&amp;"P"&amp;$A21))/1000000),0),IF($A$2="DEX",IFERROR(IF($X$1="ABS",(100*RTD("tos.rtd",,"OPEN_INT","."&amp;S$2&amp;S$1&amp;"C"&amp;$A21)*RTD("tos.rtd",,"DELTA","."&amp;S$2&amp;S$1&amp;"C"&amp;$A21)+100*RTD("tos.rtd",,"OPEN_INT","."&amp;S$2&amp;S$1&amp;"P"&amp;$A21)*RTD("tos.rtd",,"DELTA","."&amp;S$2&amp;S$1&amp;"P"&amp;$A21))/1000,(100*RTD("tos.rtd",,"OPEN_INT","."&amp;S$2&amp;S$1&amp;"C"&amp;$A21)*RTD("tos.rtd",,"DELTA","."&amp;S$2&amp;S$1&amp;"C"&amp;$A21)-100*RTD("tos.rtd",,"OPEN_INT","."&amp;S$2&amp;S$1&amp;"P"&amp;$A21)*RTD("tos.rtd",,"DELTA","."&amp;S$2&amp;S$1&amp;"P"&amp;$A21))/1000),0),IF($A$2="VEX",IFERROR(IF($X$1="ABS",($A$4*$A$4*RTD("tos.rtd",,"VOLUME","."&amp;S$2&amp;S$1&amp;"C"&amp;$A21)*RTD("tos.rtd",,"GAMMA","."&amp;S$2&amp;S$1&amp;"C"&amp;$A21)+$A$4*$A$4*RTD("tos.rtd",,"VOLUME","."&amp;S$2&amp;S$1&amp;"P"&amp;$A21)*RTD("tos.rtd",,"GAMMA","."&amp;S$2&amp;S$1&amp;"P"&amp;$A21))/1000000,($A$4*$A$4*RTD("tos.rtd",,"VOLUME","."&amp;S$2&amp;S$1&amp;"C"&amp;$A21)*RTD("tos.rtd",,"GAMMA","."&amp;S$2&amp;S$1&amp;"C"&amp;$A21)-$A$4*$A$4*RTD("tos.rtd",,"VOLUME","."&amp;S$2&amp;S$1&amp;"P"&amp;$A21)*RTD("tos.rtd",,"GAMMA","."&amp;S$2&amp;S$1&amp;"P"&amp;$A21))/1000000),0),IF($A$2="GEX",IFERROR(IF($X$1="ABS",($A$4*$A$4*RTD("tos.rtd",,"OPEN_INT","."&amp;S$2&amp;S$1&amp;"C"&amp;$A21)*RTD("tos.rtd",,"GAMMA","."&amp;S$2&amp;S$1&amp;"C"&amp;$A21)+$A$4*$A$4*RTD("tos.rtd",,"OPEN_INT","."&amp;S$2&amp;S$1&amp;"P"&amp;$A21)*RTD("tos.rtd",,"GAMMA","."&amp;S$2&amp;S$1&amp;"P"&amp;$A21))/1000000,($A$4*$A$4*RTD("tos.rtd",,"OPEN_INT","."&amp;S$2&amp;S$1&amp;"C"&amp;$A21)*RTD("tos.rtd",,"GAMMA","."&amp;S$2&amp;S$1&amp;"C"&amp;$A21)-$A$4*$A$4*RTD("tos.rtd",,"OPEN_INT","."&amp;S$2&amp;S$1&amp;"P"&amp;$A21)*RTD("tos.rtd",,"GAMMA","."&amp;S$2&amp;S$1&amp;"P"&amp;$A21))/1000000),0),IF($A$2="SKEW",IFERROR(VALUE(IF(RTD("tos.rtd",,"IMPL_VOL","."&amp;S$2&amp;S$1&amp;"P"&amp;$A21)="N/A",0,RTD("tos.rtd",,"IMPL_VOL","."&amp;S$2&amp;S$1&amp;"P"&amp;$A21))),0)-IFERROR(VALUE(IF(RTD("tos.rtd",,"IMPL_VOL","."&amp;S$2&amp;S$1&amp;"C"&amp;$A21)="N/A",0,RTD("tos.rtd",,"IMPL_VOL","."&amp;S$2&amp;S$1&amp;"C"&amp;$A21))),0),IF($A$2="MAXPAIN",IF($A$4&gt;$A21,($A$4-$A21)*IF(RTD("tos.rtd",,"OPEN_INT","."&amp;S$2&amp;S$1&amp;"C"&amp;$A21)="N/A",0,RTD("tos.rtd",,"OPEN_INT","."&amp;S$2&amp;S$1&amp;"C"&amp;$A21)),0)+IF($A$4&lt;$A21,($A$5-$A$4)*IF(RTD("tos.rtd",,"OPEN_INT","."&amp;S$2&amp;S$1&amp;"P"&amp;$A21)="N/A",0,RTD("tos.rtd",,"OPEN_INT","."&amp;S$2&amp;S$1&amp;"P"&amp;$A21)),0),IF($X$1="ABS",IF(RTD("tos.rtd",,$A$2,"."&amp;S$2&amp;S$1&amp;"C"&amp;$A21)="N/A",0,RTD("tos.rtd",,$A$2,"."&amp;S$2&amp;S$1&amp;"C"&amp;$A21))+IF(RTD("tos.rtd",,$A$2,"."&amp;S$2&amp;S$1&amp;"P"&amp;$A21)="N/A",0,RTD("tos.rtd",,$A$2,"."&amp;S$2&amp;S$1&amp;"P"&amp;$A21)),IF(RTD("tos.rtd",,$A$2,"."&amp;S$2&amp;S$1&amp;"C"&amp;$A21)="N/A",0,RTD("tos.rtd",,$A$2,"."&amp;S$2&amp;S$1&amp;"C"&amp;$A21))-IF(RTD("tos.rtd",,$A$2,"."&amp;S$2&amp;S$1&amp;"P"&amp;$A21)="N/A",0,RTD("tos.rtd",,$A$2,"."&amp;S$2&amp;S$1&amp;"P"&amp;$A21))))))))))</f>
        <v>0</v>
      </c>
      <c r="T21" s="12">
        <f ca="1">IF($A$2="PREMIUM_OI",IFERROR(IF($X$1="ABS",(100*RTD("tos.rtd",,"OPEN_INT","."&amp;T$2&amp;T$1&amp;"C"&amp;$A21)*RTD("tos.rtd",,"LAST","."&amp;T$2&amp;T$1&amp;"C"&amp;$A21)+100*RTD("tos.rtd",,"OPEN_INT","."&amp;T$2&amp;T$1&amp;"P"&amp;$A21)*RTD("tos.rtd",,"LAST","."&amp;T$2&amp;T$1&amp;"P"&amp;$A21))/1000000,(100*RTD("tos.rtd",,"OPEN_INT","."&amp;T$2&amp;T$1&amp;"C"&amp;$A21)*RTD("tos.rtd",,"LAST","."&amp;T$2&amp;T$1&amp;"C"&amp;$A21)-100*RTD("tos.rtd",,"OPEN_INT","."&amp;T$2&amp;T$1&amp;"P"&amp;$A21)*RTD("tos.rtd",,"LAST","."&amp;T$2&amp;T$1&amp;"P"&amp;$A21))/1000000),0),IF($A$2="PREMIUM",IFERROR(IF($X$1="ABS",(100*RTD("tos.rtd",,"VOLUME","."&amp;T$2&amp;T$1&amp;"C"&amp;$A21)*RTD("tos.rtd",,"LAST","."&amp;T$2&amp;T$1&amp;"C"&amp;$A21)+100*RTD("tos.rtd",,"VOLUME","."&amp;T$2&amp;T$1&amp;"P"&amp;$A21)*RTD("tos.rtd",,"LAST","."&amp;T$2&amp;T$1&amp;"P"&amp;$A21))/1000000,(100*RTD("tos.rtd",,"VOLUME","."&amp;T$2&amp;T$1&amp;"C"&amp;$A21)*RTD("tos.rtd",,"LAST","."&amp;T$2&amp;T$1&amp;"C"&amp;$A21)-100*RTD("tos.rtd",,"VOLUME","."&amp;T$2&amp;T$1&amp;"P"&amp;$A21)*RTD("tos.rtd",,"LAST","."&amp;T$2&amp;T$1&amp;"P"&amp;$A21))/1000000),0),IF($A$2="DEX",IFERROR(IF($X$1="ABS",(100*RTD("tos.rtd",,"OPEN_INT","."&amp;T$2&amp;T$1&amp;"C"&amp;$A21)*RTD("tos.rtd",,"DELTA","."&amp;T$2&amp;T$1&amp;"C"&amp;$A21)+100*RTD("tos.rtd",,"OPEN_INT","."&amp;T$2&amp;T$1&amp;"P"&amp;$A21)*RTD("tos.rtd",,"DELTA","."&amp;T$2&amp;T$1&amp;"P"&amp;$A21))/1000,(100*RTD("tos.rtd",,"OPEN_INT","."&amp;T$2&amp;T$1&amp;"C"&amp;$A21)*RTD("tos.rtd",,"DELTA","."&amp;T$2&amp;T$1&amp;"C"&amp;$A21)-100*RTD("tos.rtd",,"OPEN_INT","."&amp;T$2&amp;T$1&amp;"P"&amp;$A21)*RTD("tos.rtd",,"DELTA","."&amp;T$2&amp;T$1&amp;"P"&amp;$A21))/1000),0),IF($A$2="VEX",IFERROR(IF($X$1="ABS",($A$4*$A$4*RTD("tos.rtd",,"VOLUME","."&amp;T$2&amp;T$1&amp;"C"&amp;$A21)*RTD("tos.rtd",,"GAMMA","."&amp;T$2&amp;T$1&amp;"C"&amp;$A21)+$A$4*$A$4*RTD("tos.rtd",,"VOLUME","."&amp;T$2&amp;T$1&amp;"P"&amp;$A21)*RTD("tos.rtd",,"GAMMA","."&amp;T$2&amp;T$1&amp;"P"&amp;$A21))/1000000,($A$4*$A$4*RTD("tos.rtd",,"VOLUME","."&amp;T$2&amp;T$1&amp;"C"&amp;$A21)*RTD("tos.rtd",,"GAMMA","."&amp;T$2&amp;T$1&amp;"C"&amp;$A21)-$A$4*$A$4*RTD("tos.rtd",,"VOLUME","."&amp;T$2&amp;T$1&amp;"P"&amp;$A21)*RTD("tos.rtd",,"GAMMA","."&amp;T$2&amp;T$1&amp;"P"&amp;$A21))/1000000),0),IF($A$2="GEX",IFERROR(IF($X$1="ABS",($A$4*$A$4*RTD("tos.rtd",,"OPEN_INT","."&amp;T$2&amp;T$1&amp;"C"&amp;$A21)*RTD("tos.rtd",,"GAMMA","."&amp;T$2&amp;T$1&amp;"C"&amp;$A21)+$A$4*$A$4*RTD("tos.rtd",,"OPEN_INT","."&amp;T$2&amp;T$1&amp;"P"&amp;$A21)*RTD("tos.rtd",,"GAMMA","."&amp;T$2&amp;T$1&amp;"P"&amp;$A21))/1000000,($A$4*$A$4*RTD("tos.rtd",,"OPEN_INT","."&amp;T$2&amp;T$1&amp;"C"&amp;$A21)*RTD("tos.rtd",,"GAMMA","."&amp;T$2&amp;T$1&amp;"C"&amp;$A21)-$A$4*$A$4*RTD("tos.rtd",,"OPEN_INT","."&amp;T$2&amp;T$1&amp;"P"&amp;$A21)*RTD("tos.rtd",,"GAMMA","."&amp;T$2&amp;T$1&amp;"P"&amp;$A21))/1000000),0),IF($A$2="SKEW",IFERROR(VALUE(IF(RTD("tos.rtd",,"IMPL_VOL","."&amp;T$2&amp;T$1&amp;"P"&amp;$A21)="N/A",0,RTD("tos.rtd",,"IMPL_VOL","."&amp;T$2&amp;T$1&amp;"P"&amp;$A21))),0)-IFERROR(VALUE(IF(RTD("tos.rtd",,"IMPL_VOL","."&amp;T$2&amp;T$1&amp;"C"&amp;$A21)="N/A",0,RTD("tos.rtd",,"IMPL_VOL","."&amp;T$2&amp;T$1&amp;"C"&amp;$A21))),0),IF($A$2="MAXPAIN",IF($A$4&gt;$A21,($A$4-$A21)*IF(RTD("tos.rtd",,"OPEN_INT","."&amp;T$2&amp;T$1&amp;"C"&amp;$A21)="N/A",0,RTD("tos.rtd",,"OPEN_INT","."&amp;T$2&amp;T$1&amp;"C"&amp;$A21)),0)+IF($A$4&lt;$A21,($A$5-$A$4)*IF(RTD("tos.rtd",,"OPEN_INT","."&amp;T$2&amp;T$1&amp;"P"&amp;$A21)="N/A",0,RTD("tos.rtd",,"OPEN_INT","."&amp;T$2&amp;T$1&amp;"P"&amp;$A21)),0),IF($X$1="ABS",IF(RTD("tos.rtd",,$A$2,"."&amp;T$2&amp;T$1&amp;"C"&amp;$A21)="N/A",0,RTD("tos.rtd",,$A$2,"."&amp;T$2&amp;T$1&amp;"C"&amp;$A21))+IF(RTD("tos.rtd",,$A$2,"."&amp;T$2&amp;T$1&amp;"P"&amp;$A21)="N/A",0,RTD("tos.rtd",,$A$2,"."&amp;T$2&amp;T$1&amp;"P"&amp;$A21)),IF(RTD("tos.rtd",,$A$2,"."&amp;T$2&amp;T$1&amp;"C"&amp;$A21)="N/A",0,RTD("tos.rtd",,$A$2,"."&amp;T$2&amp;T$1&amp;"C"&amp;$A21))-IF(RTD("tos.rtd",,$A$2,"."&amp;T$2&amp;T$1&amp;"P"&amp;$A21)="N/A",0,RTD("tos.rtd",,$A$2,"."&amp;T$2&amp;T$1&amp;"P"&amp;$A21))))))))))</f>
        <v>0</v>
      </c>
      <c r="U21" s="12">
        <f ca="1">IF($A$2="PREMIUM_OI",IFERROR(IF($X$1="ABS",(100*RTD("tos.rtd",,"OPEN_INT","."&amp;U$2&amp;U$1&amp;"C"&amp;$A21)*RTD("tos.rtd",,"LAST","."&amp;U$2&amp;U$1&amp;"C"&amp;$A21)+100*RTD("tos.rtd",,"OPEN_INT","."&amp;U$2&amp;U$1&amp;"P"&amp;$A21)*RTD("tos.rtd",,"LAST","."&amp;U$2&amp;U$1&amp;"P"&amp;$A21))/1000000,(100*RTD("tos.rtd",,"OPEN_INT","."&amp;U$2&amp;U$1&amp;"C"&amp;$A21)*RTD("tos.rtd",,"LAST","."&amp;U$2&amp;U$1&amp;"C"&amp;$A21)-100*RTD("tos.rtd",,"OPEN_INT","."&amp;U$2&amp;U$1&amp;"P"&amp;$A21)*RTD("tos.rtd",,"LAST","."&amp;U$2&amp;U$1&amp;"P"&amp;$A21))/1000000),0),IF($A$2="PREMIUM",IFERROR(IF($X$1="ABS",(100*RTD("tos.rtd",,"VOLUME","."&amp;U$2&amp;U$1&amp;"C"&amp;$A21)*RTD("tos.rtd",,"LAST","."&amp;U$2&amp;U$1&amp;"C"&amp;$A21)+100*RTD("tos.rtd",,"VOLUME","."&amp;U$2&amp;U$1&amp;"P"&amp;$A21)*RTD("tos.rtd",,"LAST","."&amp;U$2&amp;U$1&amp;"P"&amp;$A21))/1000000,(100*RTD("tos.rtd",,"VOLUME","."&amp;U$2&amp;U$1&amp;"C"&amp;$A21)*RTD("tos.rtd",,"LAST","."&amp;U$2&amp;U$1&amp;"C"&amp;$A21)-100*RTD("tos.rtd",,"VOLUME","."&amp;U$2&amp;U$1&amp;"P"&amp;$A21)*RTD("tos.rtd",,"LAST","."&amp;U$2&amp;U$1&amp;"P"&amp;$A21))/1000000),0),IF($A$2="DEX",IFERROR(IF($X$1="ABS",(100*RTD("tos.rtd",,"OPEN_INT","."&amp;U$2&amp;U$1&amp;"C"&amp;$A21)*RTD("tos.rtd",,"DELTA","."&amp;U$2&amp;U$1&amp;"C"&amp;$A21)+100*RTD("tos.rtd",,"OPEN_INT","."&amp;U$2&amp;U$1&amp;"P"&amp;$A21)*RTD("tos.rtd",,"DELTA","."&amp;U$2&amp;U$1&amp;"P"&amp;$A21))/1000,(100*RTD("tos.rtd",,"OPEN_INT","."&amp;U$2&amp;U$1&amp;"C"&amp;$A21)*RTD("tos.rtd",,"DELTA","."&amp;U$2&amp;U$1&amp;"C"&amp;$A21)-100*RTD("tos.rtd",,"OPEN_INT","."&amp;U$2&amp;U$1&amp;"P"&amp;$A21)*RTD("tos.rtd",,"DELTA","."&amp;U$2&amp;U$1&amp;"P"&amp;$A21))/1000),0),IF($A$2="VEX",IFERROR(IF($X$1="ABS",($A$4*$A$4*RTD("tos.rtd",,"VOLUME","."&amp;U$2&amp;U$1&amp;"C"&amp;$A21)*RTD("tos.rtd",,"GAMMA","."&amp;U$2&amp;U$1&amp;"C"&amp;$A21)+$A$4*$A$4*RTD("tos.rtd",,"VOLUME","."&amp;U$2&amp;U$1&amp;"P"&amp;$A21)*RTD("tos.rtd",,"GAMMA","."&amp;U$2&amp;U$1&amp;"P"&amp;$A21))/1000000,($A$4*$A$4*RTD("tos.rtd",,"VOLUME","."&amp;U$2&amp;U$1&amp;"C"&amp;$A21)*RTD("tos.rtd",,"GAMMA","."&amp;U$2&amp;U$1&amp;"C"&amp;$A21)-$A$4*$A$4*RTD("tos.rtd",,"VOLUME","."&amp;U$2&amp;U$1&amp;"P"&amp;$A21)*RTD("tos.rtd",,"GAMMA","."&amp;U$2&amp;U$1&amp;"P"&amp;$A21))/1000000),0),IF($A$2="GEX",IFERROR(IF($X$1="ABS",($A$4*$A$4*RTD("tos.rtd",,"OPEN_INT","."&amp;U$2&amp;U$1&amp;"C"&amp;$A21)*RTD("tos.rtd",,"GAMMA","."&amp;U$2&amp;U$1&amp;"C"&amp;$A21)+$A$4*$A$4*RTD("tos.rtd",,"OPEN_INT","."&amp;U$2&amp;U$1&amp;"P"&amp;$A21)*RTD("tos.rtd",,"GAMMA","."&amp;U$2&amp;U$1&amp;"P"&amp;$A21))/1000000,($A$4*$A$4*RTD("tos.rtd",,"OPEN_INT","."&amp;U$2&amp;U$1&amp;"C"&amp;$A21)*RTD("tos.rtd",,"GAMMA","."&amp;U$2&amp;U$1&amp;"C"&amp;$A21)-$A$4*$A$4*RTD("tos.rtd",,"OPEN_INT","."&amp;U$2&amp;U$1&amp;"P"&amp;$A21)*RTD("tos.rtd",,"GAMMA","."&amp;U$2&amp;U$1&amp;"P"&amp;$A21))/1000000),0),IF($A$2="SKEW",IFERROR(VALUE(IF(RTD("tos.rtd",,"IMPL_VOL","."&amp;U$2&amp;U$1&amp;"P"&amp;$A21)="N/A",0,RTD("tos.rtd",,"IMPL_VOL","."&amp;U$2&amp;U$1&amp;"P"&amp;$A21))),0)-IFERROR(VALUE(IF(RTD("tos.rtd",,"IMPL_VOL","."&amp;U$2&amp;U$1&amp;"C"&amp;$A21)="N/A",0,RTD("tos.rtd",,"IMPL_VOL","."&amp;U$2&amp;U$1&amp;"C"&amp;$A21))),0),IF($A$2="MAXPAIN",IF($A$4&gt;$A21,($A$4-$A21)*IF(RTD("tos.rtd",,"OPEN_INT","."&amp;U$2&amp;U$1&amp;"C"&amp;$A21)="N/A",0,RTD("tos.rtd",,"OPEN_INT","."&amp;U$2&amp;U$1&amp;"C"&amp;$A21)),0)+IF($A$4&lt;$A21,($A$5-$A$4)*IF(RTD("tos.rtd",,"OPEN_INT","."&amp;U$2&amp;U$1&amp;"P"&amp;$A21)="N/A",0,RTD("tos.rtd",,"OPEN_INT","."&amp;U$2&amp;U$1&amp;"P"&amp;$A21)),0),IF($X$1="ABS",IF(RTD("tos.rtd",,$A$2,"."&amp;U$2&amp;U$1&amp;"C"&amp;$A21)="N/A",0,RTD("tos.rtd",,$A$2,"."&amp;U$2&amp;U$1&amp;"C"&amp;$A21))+IF(RTD("tos.rtd",,$A$2,"."&amp;U$2&amp;U$1&amp;"P"&amp;$A21)="N/A",0,RTD("tos.rtd",,$A$2,"."&amp;U$2&amp;U$1&amp;"P"&amp;$A21)),IF(RTD("tos.rtd",,$A$2,"."&amp;U$2&amp;U$1&amp;"C"&amp;$A21)="N/A",0,RTD("tos.rtd",,$A$2,"."&amp;U$2&amp;U$1&amp;"C"&amp;$A21))-IF(RTD("tos.rtd",,$A$2,"."&amp;U$2&amp;U$1&amp;"P"&amp;$A21)="N/A",0,RTD("tos.rtd",,$A$2,"."&amp;U$2&amp;U$1&amp;"P"&amp;$A21))))))))))</f>
        <v>0</v>
      </c>
      <c r="V21" s="12">
        <f ca="1">IF($A$2="PREMIUM_OI",IFERROR(IF($X$1="ABS",(100*RTD("tos.rtd",,"OPEN_INT","."&amp;V$2&amp;V$1&amp;"C"&amp;$A21)*RTD("tos.rtd",,"LAST","."&amp;V$2&amp;V$1&amp;"C"&amp;$A21)+100*RTD("tos.rtd",,"OPEN_INT","."&amp;V$2&amp;V$1&amp;"P"&amp;$A21)*RTD("tos.rtd",,"LAST","."&amp;V$2&amp;V$1&amp;"P"&amp;$A21))/1000000,(100*RTD("tos.rtd",,"OPEN_INT","."&amp;V$2&amp;V$1&amp;"C"&amp;$A21)*RTD("tos.rtd",,"LAST","."&amp;V$2&amp;V$1&amp;"C"&amp;$A21)-100*RTD("tos.rtd",,"OPEN_INT","."&amp;V$2&amp;V$1&amp;"P"&amp;$A21)*RTD("tos.rtd",,"LAST","."&amp;V$2&amp;V$1&amp;"P"&amp;$A21))/1000000),0),IF($A$2="PREMIUM",IFERROR(IF($X$1="ABS",(100*RTD("tos.rtd",,"VOLUME","."&amp;V$2&amp;V$1&amp;"C"&amp;$A21)*RTD("tos.rtd",,"LAST","."&amp;V$2&amp;V$1&amp;"C"&amp;$A21)+100*RTD("tos.rtd",,"VOLUME","."&amp;V$2&amp;V$1&amp;"P"&amp;$A21)*RTD("tos.rtd",,"LAST","."&amp;V$2&amp;V$1&amp;"P"&amp;$A21))/1000000,(100*RTD("tos.rtd",,"VOLUME","."&amp;V$2&amp;V$1&amp;"C"&amp;$A21)*RTD("tos.rtd",,"LAST","."&amp;V$2&amp;V$1&amp;"C"&amp;$A21)-100*RTD("tos.rtd",,"VOLUME","."&amp;V$2&amp;V$1&amp;"P"&amp;$A21)*RTD("tos.rtd",,"LAST","."&amp;V$2&amp;V$1&amp;"P"&amp;$A21))/1000000),0),IF($A$2="DEX",IFERROR(IF($X$1="ABS",(100*RTD("tos.rtd",,"OPEN_INT","."&amp;V$2&amp;V$1&amp;"C"&amp;$A21)*RTD("tos.rtd",,"DELTA","."&amp;V$2&amp;V$1&amp;"C"&amp;$A21)+100*RTD("tos.rtd",,"OPEN_INT","."&amp;V$2&amp;V$1&amp;"P"&amp;$A21)*RTD("tos.rtd",,"DELTA","."&amp;V$2&amp;V$1&amp;"P"&amp;$A21))/1000,(100*RTD("tos.rtd",,"OPEN_INT","."&amp;V$2&amp;V$1&amp;"C"&amp;$A21)*RTD("tos.rtd",,"DELTA","."&amp;V$2&amp;V$1&amp;"C"&amp;$A21)-100*RTD("tos.rtd",,"OPEN_INT","."&amp;V$2&amp;V$1&amp;"P"&amp;$A21)*RTD("tos.rtd",,"DELTA","."&amp;V$2&amp;V$1&amp;"P"&amp;$A21))/1000),0),IF($A$2="VEX",IFERROR(IF($X$1="ABS",($A$4*$A$4*RTD("tos.rtd",,"VOLUME","."&amp;V$2&amp;V$1&amp;"C"&amp;$A21)*RTD("tos.rtd",,"GAMMA","."&amp;V$2&amp;V$1&amp;"C"&amp;$A21)+$A$4*$A$4*RTD("tos.rtd",,"VOLUME","."&amp;V$2&amp;V$1&amp;"P"&amp;$A21)*RTD("tos.rtd",,"GAMMA","."&amp;V$2&amp;V$1&amp;"P"&amp;$A21))/1000000,($A$4*$A$4*RTD("tos.rtd",,"VOLUME","."&amp;V$2&amp;V$1&amp;"C"&amp;$A21)*RTD("tos.rtd",,"GAMMA","."&amp;V$2&amp;V$1&amp;"C"&amp;$A21)-$A$4*$A$4*RTD("tos.rtd",,"VOLUME","."&amp;V$2&amp;V$1&amp;"P"&amp;$A21)*RTD("tos.rtd",,"GAMMA","."&amp;V$2&amp;V$1&amp;"P"&amp;$A21))/1000000),0),IF($A$2="GEX",IFERROR(IF($X$1="ABS",($A$4*$A$4*RTD("tos.rtd",,"OPEN_INT","."&amp;V$2&amp;V$1&amp;"C"&amp;$A21)*RTD("tos.rtd",,"GAMMA","."&amp;V$2&amp;V$1&amp;"C"&amp;$A21)+$A$4*$A$4*RTD("tos.rtd",,"OPEN_INT","."&amp;V$2&amp;V$1&amp;"P"&amp;$A21)*RTD("tos.rtd",,"GAMMA","."&amp;V$2&amp;V$1&amp;"P"&amp;$A21))/1000000,($A$4*$A$4*RTD("tos.rtd",,"OPEN_INT","."&amp;V$2&amp;V$1&amp;"C"&amp;$A21)*RTD("tos.rtd",,"GAMMA","."&amp;V$2&amp;V$1&amp;"C"&amp;$A21)-$A$4*$A$4*RTD("tos.rtd",,"OPEN_INT","."&amp;V$2&amp;V$1&amp;"P"&amp;$A21)*RTD("tos.rtd",,"GAMMA","."&amp;V$2&amp;V$1&amp;"P"&amp;$A21))/1000000),0),IF($A$2="SKEW",IFERROR(VALUE(IF(RTD("tos.rtd",,"IMPL_VOL","."&amp;V$2&amp;V$1&amp;"P"&amp;$A21)="N/A",0,RTD("tos.rtd",,"IMPL_VOL","."&amp;V$2&amp;V$1&amp;"P"&amp;$A21))),0)-IFERROR(VALUE(IF(RTD("tos.rtd",,"IMPL_VOL","."&amp;V$2&amp;V$1&amp;"C"&amp;$A21)="N/A",0,RTD("tos.rtd",,"IMPL_VOL","."&amp;V$2&amp;V$1&amp;"C"&amp;$A21))),0),IF($A$2="MAXPAIN",IF($A$4&gt;$A21,($A$4-$A21)*IF(RTD("tos.rtd",,"OPEN_INT","."&amp;V$2&amp;V$1&amp;"C"&amp;$A21)="N/A",0,RTD("tos.rtd",,"OPEN_INT","."&amp;V$2&amp;V$1&amp;"C"&amp;$A21)),0)+IF($A$4&lt;$A21,($A$5-$A$4)*IF(RTD("tos.rtd",,"OPEN_INT","."&amp;V$2&amp;V$1&amp;"P"&amp;$A21)="N/A",0,RTD("tos.rtd",,"OPEN_INT","."&amp;V$2&amp;V$1&amp;"P"&amp;$A21)),0),IF($X$1="ABS",IF(RTD("tos.rtd",,$A$2,"."&amp;V$2&amp;V$1&amp;"C"&amp;$A21)="N/A",0,RTD("tos.rtd",,$A$2,"."&amp;V$2&amp;V$1&amp;"C"&amp;$A21))+IF(RTD("tos.rtd",,$A$2,"."&amp;V$2&amp;V$1&amp;"P"&amp;$A21)="N/A",0,RTD("tos.rtd",,$A$2,"."&amp;V$2&amp;V$1&amp;"P"&amp;$A21)),IF(RTD("tos.rtd",,$A$2,"."&amp;V$2&amp;V$1&amp;"C"&amp;$A21)="N/A",0,RTD("tos.rtd",,$A$2,"."&amp;V$2&amp;V$1&amp;"C"&amp;$A21))-IF(RTD("tos.rtd",,$A$2,"."&amp;V$2&amp;V$1&amp;"P"&amp;$A21)="N/A",0,RTD("tos.rtd",,$A$2,"."&amp;V$2&amp;V$1&amp;"P"&amp;$A21))))))))))</f>
        <v>0</v>
      </c>
      <c r="W21" s="12">
        <f ca="1">IF($A$2="PREMIUM_OI",IFERROR(IF($X$1="ABS",(100*RTD("tos.rtd",,"OPEN_INT","."&amp;W$2&amp;W$1&amp;"C"&amp;$A21)*RTD("tos.rtd",,"LAST","."&amp;W$2&amp;W$1&amp;"C"&amp;$A21)+100*RTD("tos.rtd",,"OPEN_INT","."&amp;W$2&amp;W$1&amp;"P"&amp;$A21)*RTD("tos.rtd",,"LAST","."&amp;W$2&amp;W$1&amp;"P"&amp;$A21))/1000000,(100*RTD("tos.rtd",,"OPEN_INT","."&amp;W$2&amp;W$1&amp;"C"&amp;$A21)*RTD("tos.rtd",,"LAST","."&amp;W$2&amp;W$1&amp;"C"&amp;$A21)-100*RTD("tos.rtd",,"OPEN_INT","."&amp;W$2&amp;W$1&amp;"P"&amp;$A21)*RTD("tos.rtd",,"LAST","."&amp;W$2&amp;W$1&amp;"P"&amp;$A21))/1000000),0),IF($A$2="PREMIUM",IFERROR(IF($X$1="ABS",(100*RTD("tos.rtd",,"VOLUME","."&amp;W$2&amp;W$1&amp;"C"&amp;$A21)*RTD("tos.rtd",,"LAST","."&amp;W$2&amp;W$1&amp;"C"&amp;$A21)+100*RTD("tos.rtd",,"VOLUME","."&amp;W$2&amp;W$1&amp;"P"&amp;$A21)*RTD("tos.rtd",,"LAST","."&amp;W$2&amp;W$1&amp;"P"&amp;$A21))/1000000,(100*RTD("tos.rtd",,"VOLUME","."&amp;W$2&amp;W$1&amp;"C"&amp;$A21)*RTD("tos.rtd",,"LAST","."&amp;W$2&amp;W$1&amp;"C"&amp;$A21)-100*RTD("tos.rtd",,"VOLUME","."&amp;W$2&amp;W$1&amp;"P"&amp;$A21)*RTD("tos.rtd",,"LAST","."&amp;W$2&amp;W$1&amp;"P"&amp;$A21))/1000000),0),IF($A$2="DEX",IFERROR(IF($X$1="ABS",(100*RTD("tos.rtd",,"OPEN_INT","."&amp;W$2&amp;W$1&amp;"C"&amp;$A21)*RTD("tos.rtd",,"DELTA","."&amp;W$2&amp;W$1&amp;"C"&amp;$A21)+100*RTD("tos.rtd",,"OPEN_INT","."&amp;W$2&amp;W$1&amp;"P"&amp;$A21)*RTD("tos.rtd",,"DELTA","."&amp;W$2&amp;W$1&amp;"P"&amp;$A21))/1000,(100*RTD("tos.rtd",,"OPEN_INT","."&amp;W$2&amp;W$1&amp;"C"&amp;$A21)*RTD("tos.rtd",,"DELTA","."&amp;W$2&amp;W$1&amp;"C"&amp;$A21)-100*RTD("tos.rtd",,"OPEN_INT","."&amp;W$2&amp;W$1&amp;"P"&amp;$A21)*RTD("tos.rtd",,"DELTA","."&amp;W$2&amp;W$1&amp;"P"&amp;$A21))/1000),0),IF($A$2="VEX",IFERROR(IF($X$1="ABS",($A$4*$A$4*RTD("tos.rtd",,"VOLUME","."&amp;W$2&amp;W$1&amp;"C"&amp;$A21)*RTD("tos.rtd",,"GAMMA","."&amp;W$2&amp;W$1&amp;"C"&amp;$A21)+$A$4*$A$4*RTD("tos.rtd",,"VOLUME","."&amp;W$2&amp;W$1&amp;"P"&amp;$A21)*RTD("tos.rtd",,"GAMMA","."&amp;W$2&amp;W$1&amp;"P"&amp;$A21))/1000000,($A$4*$A$4*RTD("tos.rtd",,"VOLUME","."&amp;W$2&amp;W$1&amp;"C"&amp;$A21)*RTD("tos.rtd",,"GAMMA","."&amp;W$2&amp;W$1&amp;"C"&amp;$A21)-$A$4*$A$4*RTD("tos.rtd",,"VOLUME","."&amp;W$2&amp;W$1&amp;"P"&amp;$A21)*RTD("tos.rtd",,"GAMMA","."&amp;W$2&amp;W$1&amp;"P"&amp;$A21))/1000000),0),IF($A$2="GEX",IFERROR(IF($X$1="ABS",($A$4*$A$4*RTD("tos.rtd",,"OPEN_INT","."&amp;W$2&amp;W$1&amp;"C"&amp;$A21)*RTD("tos.rtd",,"GAMMA","."&amp;W$2&amp;W$1&amp;"C"&amp;$A21)+$A$4*$A$4*RTD("tos.rtd",,"OPEN_INT","."&amp;W$2&amp;W$1&amp;"P"&amp;$A21)*RTD("tos.rtd",,"GAMMA","."&amp;W$2&amp;W$1&amp;"P"&amp;$A21))/1000000,($A$4*$A$4*RTD("tos.rtd",,"OPEN_INT","."&amp;W$2&amp;W$1&amp;"C"&amp;$A21)*RTD("tos.rtd",,"GAMMA","."&amp;W$2&amp;W$1&amp;"C"&amp;$A21)-$A$4*$A$4*RTD("tos.rtd",,"OPEN_INT","."&amp;W$2&amp;W$1&amp;"P"&amp;$A21)*RTD("tos.rtd",,"GAMMA","."&amp;W$2&amp;W$1&amp;"P"&amp;$A21))/1000000),0),IF($A$2="SKEW",IFERROR(VALUE(IF(RTD("tos.rtd",,"IMPL_VOL","."&amp;W$2&amp;W$1&amp;"P"&amp;$A21)="N/A",0,RTD("tos.rtd",,"IMPL_VOL","."&amp;W$2&amp;W$1&amp;"P"&amp;$A21))),0)-IFERROR(VALUE(IF(RTD("tos.rtd",,"IMPL_VOL","."&amp;W$2&amp;W$1&amp;"C"&amp;$A21)="N/A",0,RTD("tos.rtd",,"IMPL_VOL","."&amp;W$2&amp;W$1&amp;"C"&amp;$A21))),0),IF($A$2="MAXPAIN",IF($A$4&gt;$A21,($A$4-$A21)*IF(RTD("tos.rtd",,"OPEN_INT","."&amp;W$2&amp;W$1&amp;"C"&amp;$A21)="N/A",0,RTD("tos.rtd",,"OPEN_INT","."&amp;W$2&amp;W$1&amp;"C"&amp;$A21)),0)+IF($A$4&lt;$A21,($A$5-$A$4)*IF(RTD("tos.rtd",,"OPEN_INT","."&amp;W$2&amp;W$1&amp;"P"&amp;$A21)="N/A",0,RTD("tos.rtd",,"OPEN_INT","."&amp;W$2&amp;W$1&amp;"P"&amp;$A21)),0),IF($X$1="ABS",IF(RTD("tos.rtd",,$A$2,"."&amp;W$2&amp;W$1&amp;"C"&amp;$A21)="N/A",0,RTD("tos.rtd",,$A$2,"."&amp;W$2&amp;W$1&amp;"C"&amp;$A21))+IF(RTD("tos.rtd",,$A$2,"."&amp;W$2&amp;W$1&amp;"P"&amp;$A21)="N/A",0,RTD("tos.rtd",,$A$2,"."&amp;W$2&amp;W$1&amp;"P"&amp;$A21)),IF(RTD("tos.rtd",,$A$2,"."&amp;W$2&amp;W$1&amp;"C"&amp;$A21)="N/A",0,RTD("tos.rtd",,$A$2,"."&amp;W$2&amp;W$1&amp;"C"&amp;$A21))-IF(RTD("tos.rtd",,$A$2,"."&amp;W$2&amp;W$1&amp;"P"&amp;$A21)="N/A",0,RTD("tos.rtd",,$A$2,"."&amp;W$2&amp;W$1&amp;"P"&amp;$A21))))))))))</f>
        <v>0</v>
      </c>
      <c r="X21" s="57">
        <f t="shared" ca="1" si="7"/>
        <v>-5</v>
      </c>
      <c r="Y21" s="27">
        <f t="shared" ca="1" si="8"/>
        <v>-5</v>
      </c>
      <c r="Z21" s="27" t="b">
        <f t="shared" ca="1" si="9"/>
        <v>0</v>
      </c>
      <c r="AA21" s="27">
        <f t="shared" si="10"/>
        <v>99557550</v>
      </c>
      <c r="AB21" s="18">
        <f>MAX(0, $A21-AB$4)*IF(RTD("tos.rtd",,"OPEN_INT","."&amp;$AA$3&amp;$AA$4&amp;"C"&amp;AB$4)="N/A",0,RTD("tos.rtd",,"OPEN_INT","."&amp;$AA$3&amp;$AA$4&amp;"C"&amp;AB$4))*100 + MAX(0, AB$4-$A21)*IF(RTD("tos.rtd",,"OPEN_INT","."&amp;$AA$3&amp;$AA$4&amp;"P"&amp;AB$4)="N/A",0,RTD("tos.rtd",,"OPEN_INT","."&amp;$AA$3&amp;$AA$4&amp;"P"&amp;AB$4))*100</f>
        <v>0</v>
      </c>
      <c r="AC21" s="18">
        <f>MAX(0, $A21-AC$4)*IF(RTD("tos.rtd",,"OPEN_INT","."&amp;$AA$3&amp;$AA$4&amp;"C"&amp;AC$4)="N/A",0,RTD("tos.rtd",,"OPEN_INT","."&amp;$AA$3&amp;$AA$4&amp;"C"&amp;AC$4))*100 + MAX(0, AC$4-$A21)*IF(RTD("tos.rtd",,"OPEN_INT","."&amp;$AA$3&amp;$AA$4&amp;"P"&amp;AC$4)="N/A",0,RTD("tos.rtd",,"OPEN_INT","."&amp;$AA$3&amp;$AA$4&amp;"P"&amp;AC$4))*100</f>
        <v>0</v>
      </c>
      <c r="AD21" s="18">
        <f>MAX(0, $A21-AD$4)*IF(RTD("tos.rtd",,"OPEN_INT","."&amp;$AA$3&amp;$AA$4&amp;"C"&amp;AD$4)="N/A",0,RTD("tos.rtd",,"OPEN_INT","."&amp;$AA$3&amp;$AA$4&amp;"C"&amp;AD$4))*100 + MAX(0, AD$4-$A21)*IF(RTD("tos.rtd",,"OPEN_INT","."&amp;$AA$3&amp;$AA$4&amp;"P"&amp;AD$4)="N/A",0,RTD("tos.rtd",,"OPEN_INT","."&amp;$AA$3&amp;$AA$4&amp;"P"&amp;AD$4))*100</f>
        <v>0</v>
      </c>
      <c r="AE21" s="18">
        <f>MAX(0, $A21-AE$4)*IF(RTD("tos.rtd",,"OPEN_INT","."&amp;$AA$3&amp;$AA$4&amp;"C"&amp;AE$4)="N/A",0,RTD("tos.rtd",,"OPEN_INT","."&amp;$AA$3&amp;$AA$4&amp;"C"&amp;AE$4))*100 + MAX(0, AE$4-$A21)*IF(RTD("tos.rtd",,"OPEN_INT","."&amp;$AA$3&amp;$AA$4&amp;"P"&amp;AE$4)="N/A",0,RTD("tos.rtd",,"OPEN_INT","."&amp;$AA$3&amp;$AA$4&amp;"P"&amp;AE$4))*100</f>
        <v>0</v>
      </c>
      <c r="AF21" s="18">
        <f>MAX(0, $A21-AF$4)*IF(RTD("tos.rtd",,"OPEN_INT","."&amp;$AA$3&amp;$AA$4&amp;"C"&amp;AF$4)="N/A",0,RTD("tos.rtd",,"OPEN_INT","."&amp;$AA$3&amp;$AA$4&amp;"C"&amp;AF$4))*100 + MAX(0, AF$4-$A21)*IF(RTD("tos.rtd",,"OPEN_INT","."&amp;$AA$3&amp;$AA$4&amp;"P"&amp;AF$4)="N/A",0,RTD("tos.rtd",,"OPEN_INT","."&amp;$AA$3&amp;$AA$4&amp;"P"&amp;AF$4))*100</f>
        <v>0</v>
      </c>
      <c r="AG21" s="18">
        <f>MAX(0, $A21-AG$4)*IF(RTD("tos.rtd",,"OPEN_INT","."&amp;$AA$3&amp;$AA$4&amp;"C"&amp;AG$4)="N/A",0,RTD("tos.rtd",,"OPEN_INT","."&amp;$AA$3&amp;$AA$4&amp;"C"&amp;AG$4))*100 + MAX(0, AG$4-$A21)*IF(RTD("tos.rtd",,"OPEN_INT","."&amp;$AA$3&amp;$AA$4&amp;"P"&amp;AG$4)="N/A",0,RTD("tos.rtd",,"OPEN_INT","."&amp;$AA$3&amp;$AA$4&amp;"P"&amp;AG$4))*100</f>
        <v>0</v>
      </c>
      <c r="AH21" s="18">
        <f>MAX(0, $A21-AH$4)*IF(RTD("tos.rtd",,"OPEN_INT","."&amp;$AA$3&amp;$AA$4&amp;"C"&amp;AH$4)="N/A",0,RTD("tos.rtd",,"OPEN_INT","."&amp;$AA$3&amp;$AA$4&amp;"C"&amp;AH$4))*100 + MAX(0, AH$4-$A21)*IF(RTD("tos.rtd",,"OPEN_INT","."&amp;$AA$3&amp;$AA$4&amp;"P"&amp;AH$4)="N/A",0,RTD("tos.rtd",,"OPEN_INT","."&amp;$AA$3&amp;$AA$4&amp;"P"&amp;AH$4))*100</f>
        <v>0</v>
      </c>
      <c r="AI21" s="18">
        <f>MAX(0, $A21-AI$4)*IF(RTD("tos.rtd",,"OPEN_INT","."&amp;$AA$3&amp;$AA$4&amp;"C"&amp;AI$4)="N/A",0,RTD("tos.rtd",,"OPEN_INT","."&amp;$AA$3&amp;$AA$4&amp;"C"&amp;AI$4))*100 + MAX(0, AI$4-$A21)*IF(RTD("tos.rtd",,"OPEN_INT","."&amp;$AA$3&amp;$AA$4&amp;"P"&amp;AI$4)="N/A",0,RTD("tos.rtd",,"OPEN_INT","."&amp;$AA$3&amp;$AA$4&amp;"P"&amp;AI$4))*100</f>
        <v>1350</v>
      </c>
      <c r="AJ21" s="18">
        <f>MAX(0, $A21-AJ$4)*IF(RTD("tos.rtd",,"OPEN_INT","."&amp;$AA$3&amp;$AA$4&amp;"C"&amp;AJ$4)="N/A",0,RTD("tos.rtd",,"OPEN_INT","."&amp;$AA$3&amp;$AA$4&amp;"C"&amp;AJ$4))*100 + MAX(0, AJ$4-$A21)*IF(RTD("tos.rtd",,"OPEN_INT","."&amp;$AA$3&amp;$AA$4&amp;"P"&amp;AJ$4)="N/A",0,RTD("tos.rtd",,"OPEN_INT","."&amp;$AA$3&amp;$AA$4&amp;"P"&amp;AJ$4))*100</f>
        <v>3200</v>
      </c>
      <c r="AK21" s="18">
        <f>MAX(0, $A21-AK$4)*IF(RTD("tos.rtd",,"OPEN_INT","."&amp;$AA$3&amp;$AA$4&amp;"C"&amp;AK$4)="N/A",0,RTD("tos.rtd",,"OPEN_INT","."&amp;$AA$3&amp;$AA$4&amp;"C"&amp;AK$4))*100 + MAX(0, AK$4-$A21)*IF(RTD("tos.rtd",,"OPEN_INT","."&amp;$AA$3&amp;$AA$4&amp;"P"&amp;AK$4)="N/A",0,RTD("tos.rtd",,"OPEN_INT","."&amp;$AA$3&amp;$AA$4&amp;"P"&amp;AK$4))*100</f>
        <v>0</v>
      </c>
      <c r="AL21" s="18">
        <f>MAX(0, $A21-AL$4)*IF(RTD("tos.rtd",,"OPEN_INT","."&amp;$AA$3&amp;$AA$4&amp;"C"&amp;AL$4)="N/A",0,RTD("tos.rtd",,"OPEN_INT","."&amp;$AA$3&amp;$AA$4&amp;"C"&amp;AL$4))*100 + MAX(0, AL$4-$A21)*IF(RTD("tos.rtd",,"OPEN_INT","."&amp;$AA$3&amp;$AA$4&amp;"P"&amp;AL$4)="N/A",0,RTD("tos.rtd",,"OPEN_INT","."&amp;$AA$3&amp;$AA$4&amp;"P"&amp;AL$4))*100</f>
        <v>0</v>
      </c>
      <c r="AM21" s="18">
        <f>MAX(0, $A21-AM$4)*IF(RTD("tos.rtd",,"OPEN_INT","."&amp;$AA$3&amp;$AA$4&amp;"C"&amp;AM$4)="N/A",0,RTD("tos.rtd",,"OPEN_INT","."&amp;$AA$3&amp;$AA$4&amp;"C"&amp;AM$4))*100 + MAX(0, AM$4-$A21)*IF(RTD("tos.rtd",,"OPEN_INT","."&amp;$AA$3&amp;$AA$4&amp;"P"&amp;AM$4)="N/A",0,RTD("tos.rtd",,"OPEN_INT","."&amp;$AA$3&amp;$AA$4&amp;"P"&amp;AM$4))*100</f>
        <v>0</v>
      </c>
      <c r="AN21" s="18">
        <f>MAX(0, $A21-AN$4)*IF(RTD("tos.rtd",,"OPEN_INT","."&amp;$AA$3&amp;$AA$4&amp;"C"&amp;AN$4)="N/A",0,RTD("tos.rtd",,"OPEN_INT","."&amp;$AA$3&amp;$AA$4&amp;"C"&amp;AN$4))*100 + MAX(0, AN$4-$A21)*IF(RTD("tos.rtd",,"OPEN_INT","."&amp;$AA$3&amp;$AA$4&amp;"P"&amp;AN$4)="N/A",0,RTD("tos.rtd",,"OPEN_INT","."&amp;$AA$3&amp;$AA$4&amp;"P"&amp;AN$4))*100</f>
        <v>0</v>
      </c>
      <c r="AO21" s="18">
        <f>MAX(0, $A21-AO$4)*IF(RTD("tos.rtd",,"OPEN_INT","."&amp;$AA$3&amp;$AA$4&amp;"C"&amp;AO$4)="N/A",0,RTD("tos.rtd",,"OPEN_INT","."&amp;$AA$3&amp;$AA$4&amp;"C"&amp;AO$4))*100 + MAX(0, AO$4-$A21)*IF(RTD("tos.rtd",,"OPEN_INT","."&amp;$AA$3&amp;$AA$4&amp;"P"&amp;AO$4)="N/A",0,RTD("tos.rtd",,"OPEN_INT","."&amp;$AA$3&amp;$AA$4&amp;"P"&amp;AO$4))*100</f>
        <v>18000</v>
      </c>
      <c r="AP21" s="18">
        <f>MAX(0, $A21-AP$4)*IF(RTD("tos.rtd",,"OPEN_INT","."&amp;$AA$3&amp;$AA$4&amp;"C"&amp;AP$4)="N/A",0,RTD("tos.rtd",,"OPEN_INT","."&amp;$AA$3&amp;$AA$4&amp;"C"&amp;AP$4))*100 + MAX(0, AP$4-$A21)*IF(RTD("tos.rtd",,"OPEN_INT","."&amp;$AA$3&amp;$AA$4&amp;"P"&amp;AP$4)="N/A",0,RTD("tos.rtd",,"OPEN_INT","."&amp;$AA$3&amp;$AA$4&amp;"P"&amp;AP$4))*100</f>
        <v>0</v>
      </c>
      <c r="AQ21" s="18">
        <f>MAX(0, $A21-AQ$4)*IF(RTD("tos.rtd",,"OPEN_INT","."&amp;$AA$3&amp;$AA$4&amp;"C"&amp;AQ$4)="N/A",0,RTD("tos.rtd",,"OPEN_INT","."&amp;$AA$3&amp;$AA$4&amp;"C"&amp;AQ$4))*100 + MAX(0, AQ$4-$A21)*IF(RTD("tos.rtd",,"OPEN_INT","."&amp;$AA$3&amp;$AA$4&amp;"P"&amp;AQ$4)="N/A",0,RTD("tos.rtd",,"OPEN_INT","."&amp;$AA$3&amp;$AA$4&amp;"P"&amp;AQ$4))*100</f>
        <v>2650</v>
      </c>
      <c r="AR21" s="18">
        <f>MAX(0, $A21-AR$4)*IF(RTD("tos.rtd",,"OPEN_INT","."&amp;$AA$3&amp;$AA$4&amp;"C"&amp;AR$4)="N/A",0,RTD("tos.rtd",,"OPEN_INT","."&amp;$AA$3&amp;$AA$4&amp;"C"&amp;AR$4))*100 + MAX(0, AR$4-$A21)*IF(RTD("tos.rtd",,"OPEN_INT","."&amp;$AA$3&amp;$AA$4&amp;"P"&amp;AR$4)="N/A",0,RTD("tos.rtd",,"OPEN_INT","."&amp;$AA$3&amp;$AA$4&amp;"P"&amp;AR$4))*100</f>
        <v>0</v>
      </c>
      <c r="AS21" s="18">
        <f>MAX(0, $A21-AS$4)*IF(RTD("tos.rtd",,"OPEN_INT","."&amp;$AA$3&amp;$AA$4&amp;"C"&amp;AS$4)="N/A",0,RTD("tos.rtd",,"OPEN_INT","."&amp;$AA$3&amp;$AA$4&amp;"C"&amp;AS$4))*100 + MAX(0, AS$4-$A21)*IF(RTD("tos.rtd",,"OPEN_INT","."&amp;$AA$3&amp;$AA$4&amp;"P"&amp;AS$4)="N/A",0,RTD("tos.rtd",,"OPEN_INT","."&amp;$AA$3&amp;$AA$4&amp;"P"&amp;AS$4))*100</f>
        <v>43100</v>
      </c>
      <c r="AT21" s="18">
        <f>MAX(0, $A21-AT$4)*IF(RTD("tos.rtd",,"OPEN_INT","."&amp;$AA$3&amp;$AA$4&amp;"C"&amp;AT$4)="N/A",0,RTD("tos.rtd",,"OPEN_INT","."&amp;$AA$3&amp;$AA$4&amp;"C"&amp;AT$4))*100 + MAX(0, AT$4-$A21)*IF(RTD("tos.rtd",,"OPEN_INT","."&amp;$AA$3&amp;$AA$4&amp;"P"&amp;AT$4)="N/A",0,RTD("tos.rtd",,"OPEN_INT","."&amp;$AA$3&amp;$AA$4&amp;"P"&amp;AT$4))*100</f>
        <v>140200</v>
      </c>
      <c r="AU21" s="18">
        <f>MAX(0, $A21-AU$4)*IF(RTD("tos.rtd",,"OPEN_INT","."&amp;$AA$3&amp;$AA$4&amp;"C"&amp;AU$4)="N/A",0,RTD("tos.rtd",,"OPEN_INT","."&amp;$AA$3&amp;$AA$4&amp;"C"&amp;AU$4))*100 + MAX(0, AU$4-$A21)*IF(RTD("tos.rtd",,"OPEN_INT","."&amp;$AA$3&amp;$AA$4&amp;"P"&amp;AU$4)="N/A",0,RTD("tos.rtd",,"OPEN_INT","."&amp;$AA$3&amp;$AA$4&amp;"P"&amp;AU$4))*100</f>
        <v>252450</v>
      </c>
      <c r="AV21" s="18">
        <f>MAX(0, $A21-AV$4)*IF(RTD("tos.rtd",,"OPEN_INT","."&amp;$AA$3&amp;$AA$4&amp;"C"&amp;AV$4)="N/A",0,RTD("tos.rtd",,"OPEN_INT","."&amp;$AA$3&amp;$AA$4&amp;"C"&amp;AV$4))*100 + MAX(0, AV$4-$A21)*IF(RTD("tos.rtd",,"OPEN_INT","."&amp;$AA$3&amp;$AA$4&amp;"P"&amp;AV$4)="N/A",0,RTD("tos.rtd",,"OPEN_INT","."&amp;$AA$3&amp;$AA$4&amp;"P"&amp;AV$4))*100</f>
        <v>377600</v>
      </c>
      <c r="AW21" s="18">
        <f>MAX(0, $A21-AW$4)*IF(RTD("tos.rtd",,"OPEN_INT","."&amp;$AA$3&amp;$AA$4&amp;"C"&amp;AW$4)="N/A",0,RTD("tos.rtd",,"OPEN_INT","."&amp;$AA$3&amp;$AA$4&amp;"C"&amp;AW$4))*100 + MAX(0, AW$4-$A21)*IF(RTD("tos.rtd",,"OPEN_INT","."&amp;$AA$3&amp;$AA$4&amp;"P"&amp;AW$4)="N/A",0,RTD("tos.rtd",,"OPEN_INT","."&amp;$AA$3&amp;$AA$4&amp;"P"&amp;AW$4))*100</f>
        <v>768750</v>
      </c>
      <c r="AX21" s="18">
        <f>MAX(0, $A21-AX$4)*IF(RTD("tos.rtd",,"OPEN_INT","."&amp;$AA$3&amp;$AA$4&amp;"C"&amp;AX$4)="N/A",0,RTD("tos.rtd",,"OPEN_INT","."&amp;$AA$3&amp;$AA$4&amp;"C"&amp;AX$4))*100 + MAX(0, AX$4-$A21)*IF(RTD("tos.rtd",,"OPEN_INT","."&amp;$AA$3&amp;$AA$4&amp;"P"&amp;AX$4)="N/A",0,RTD("tos.rtd",,"OPEN_INT","."&amp;$AA$3&amp;$AA$4&amp;"P"&amp;AX$4))*100</f>
        <v>1275900</v>
      </c>
      <c r="AY21" s="18">
        <f>MAX(0, $A21-AY$4)*IF(RTD("tos.rtd",,"OPEN_INT","."&amp;$AA$3&amp;$AA$4&amp;"C"&amp;AY$4)="N/A",0,RTD("tos.rtd",,"OPEN_INT","."&amp;$AA$3&amp;$AA$4&amp;"C"&amp;AY$4))*100 + MAX(0, AY$4-$A21)*IF(RTD("tos.rtd",,"OPEN_INT","."&amp;$AA$3&amp;$AA$4&amp;"P"&amp;AY$4)="N/A",0,RTD("tos.rtd",,"OPEN_INT","."&amp;$AA$3&amp;$AA$4&amp;"P"&amp;AY$4))*100</f>
        <v>6841800</v>
      </c>
      <c r="AZ21" s="18">
        <f>MAX(0, $A21-AZ$4)*IF(RTD("tos.rtd",,"OPEN_INT","."&amp;$AA$3&amp;$AA$4&amp;"C"&amp;AZ$4)="N/A",0,RTD("tos.rtd",,"OPEN_INT","."&amp;$AA$3&amp;$AA$4&amp;"C"&amp;AZ$4))*100 + MAX(0, AZ$4-$A21)*IF(RTD("tos.rtd",,"OPEN_INT","."&amp;$AA$3&amp;$AA$4&amp;"P"&amp;AZ$4)="N/A",0,RTD("tos.rtd",,"OPEN_INT","."&amp;$AA$3&amp;$AA$4&amp;"P"&amp;AZ$4))*100</f>
        <v>3940000</v>
      </c>
      <c r="BA21" s="18">
        <f>MAX(0, $A21-BA$4)*IF(RTD("tos.rtd",,"OPEN_INT","."&amp;$AA$3&amp;$AA$4&amp;"C"&amp;BA$4)="N/A",0,RTD("tos.rtd",,"OPEN_INT","."&amp;$AA$3&amp;$AA$4&amp;"C"&amp;BA$4))*100 + MAX(0, BA$4-$A21)*IF(RTD("tos.rtd",,"OPEN_INT","."&amp;$AA$3&amp;$AA$4&amp;"P"&amp;BA$4)="N/A",0,RTD("tos.rtd",,"OPEN_INT","."&amp;$AA$3&amp;$AA$4&amp;"P"&amp;BA$4))*100</f>
        <v>13863150</v>
      </c>
      <c r="BB21" s="18">
        <f>MAX(0, $A21-BB$4)*IF(RTD("tos.rtd",,"OPEN_INT","."&amp;$AA$3&amp;$AA$4&amp;"C"&amp;BB$4)="N/A",0,RTD("tos.rtd",,"OPEN_INT","."&amp;$AA$3&amp;$AA$4&amp;"C"&amp;BB$4))*100 + MAX(0, BB$4-$A21)*IF(RTD("tos.rtd",,"OPEN_INT","."&amp;$AA$3&amp;$AA$4&amp;"P"&amp;BB$4)="N/A",0,RTD("tos.rtd",,"OPEN_INT","."&amp;$AA$3&amp;$AA$4&amp;"P"&amp;BB$4))*100</f>
        <v>14329000</v>
      </c>
      <c r="BC21" s="18">
        <f>MAX(0, $A21-BC$4)*IF(RTD("tos.rtd",,"OPEN_INT","."&amp;$AA$3&amp;$AA$4&amp;"C"&amp;BC$4)="N/A",0,RTD("tos.rtd",,"OPEN_INT","."&amp;$AA$3&amp;$AA$4&amp;"C"&amp;BC$4))*100 + MAX(0, BC$4-$A21)*IF(RTD("tos.rtd",,"OPEN_INT","."&amp;$AA$3&amp;$AA$4&amp;"P"&amp;BC$4)="N/A",0,RTD("tos.rtd",,"OPEN_INT","."&amp;$AA$3&amp;$AA$4&amp;"P"&amp;BC$4))*100</f>
        <v>22392150</v>
      </c>
      <c r="BD21" s="18">
        <f>MAX(0, $A21-BD$4)*IF(RTD("tos.rtd",,"OPEN_INT","."&amp;$AA$3&amp;$AA$4&amp;"C"&amp;BD$4)="N/A",0,RTD("tos.rtd",,"OPEN_INT","."&amp;$AA$3&amp;$AA$4&amp;"C"&amp;BD$4))*100 + MAX(0, BD$4-$A21)*IF(RTD("tos.rtd",,"OPEN_INT","."&amp;$AA$3&amp;$AA$4&amp;"P"&amp;BD$4)="N/A",0,RTD("tos.rtd",,"OPEN_INT","."&amp;$AA$3&amp;$AA$4&amp;"P"&amp;BD$4))*100</f>
        <v>11136000</v>
      </c>
      <c r="BE21" s="18">
        <f>MAX(0, $A21-BE$4)*IF(RTD("tos.rtd",,"OPEN_INT","."&amp;$AA$3&amp;$AA$4&amp;"C"&amp;BE$4)="N/A",0,RTD("tos.rtd",,"OPEN_INT","."&amp;$AA$3&amp;$AA$4&amp;"C"&amp;BE$4))*100 + MAX(0, BE$4-$A21)*IF(RTD("tos.rtd",,"OPEN_INT","."&amp;$AA$3&amp;$AA$4&amp;"P"&amp;BE$4)="N/A",0,RTD("tos.rtd",,"OPEN_INT","."&amp;$AA$3&amp;$AA$4&amp;"P"&amp;BE$4))*100</f>
        <v>11230700</v>
      </c>
      <c r="BF21" s="18">
        <f>MAX(0, $A21-BF$4)*IF(RTD("tos.rtd",,"OPEN_INT","."&amp;$AA$3&amp;$AA$4&amp;"C"&amp;BF$4)="N/A",0,RTD("tos.rtd",,"OPEN_INT","."&amp;$AA$3&amp;$AA$4&amp;"C"&amp;BF$4))*100 + MAX(0, BF$4-$A21)*IF(RTD("tos.rtd",,"OPEN_INT","."&amp;$AA$3&amp;$AA$4&amp;"P"&amp;BF$4)="N/A",0,RTD("tos.rtd",,"OPEN_INT","."&amp;$AA$3&amp;$AA$4&amp;"P"&amp;BF$4))*100</f>
        <v>5884900</v>
      </c>
      <c r="BG21" s="18">
        <f>MAX(0, $A21-BG$4)*IF(RTD("tos.rtd",,"OPEN_INT","."&amp;$AA$3&amp;$AA$4&amp;"C"&amp;BG$4)="N/A",0,RTD("tos.rtd",,"OPEN_INT","."&amp;$AA$3&amp;$AA$4&amp;"C"&amp;BG$4))*100 + MAX(0, BG$4-$A21)*IF(RTD("tos.rtd",,"OPEN_INT","."&amp;$AA$3&amp;$AA$4&amp;"P"&amp;BG$4)="N/A",0,RTD("tos.rtd",,"OPEN_INT","."&amp;$AA$3&amp;$AA$4&amp;"P"&amp;BG$4))*100</f>
        <v>4300500</v>
      </c>
      <c r="BH21" s="18">
        <f>MAX(0, $A21-BH$4)*IF(RTD("tos.rtd",,"OPEN_INT","."&amp;$AA$3&amp;$AA$4&amp;"C"&amp;BH$4)="N/A",0,RTD("tos.rtd",,"OPEN_INT","."&amp;$AA$3&amp;$AA$4&amp;"C"&amp;BH$4))*100 + MAX(0, BH$4-$A21)*IF(RTD("tos.rtd",,"OPEN_INT","."&amp;$AA$3&amp;$AA$4&amp;"P"&amp;BH$4)="N/A",0,RTD("tos.rtd",,"OPEN_INT","."&amp;$AA$3&amp;$AA$4&amp;"P"&amp;BH$4))*100</f>
        <v>1554400</v>
      </c>
      <c r="BI21" s="18">
        <f>MAX(0, $A21-BI$4)*IF(RTD("tos.rtd",,"OPEN_INT","."&amp;$AA$3&amp;$AA$4&amp;"C"&amp;BI$4)="N/A",0,RTD("tos.rtd",,"OPEN_INT","."&amp;$AA$3&amp;$AA$4&amp;"C"&amp;BI$4))*100 + MAX(0, BI$4-$A21)*IF(RTD("tos.rtd",,"OPEN_INT","."&amp;$AA$3&amp;$AA$4&amp;"P"&amp;BI$4)="N/A",0,RTD("tos.rtd",,"OPEN_INT","."&amp;$AA$3&amp;$AA$4&amp;"P"&amp;BI$4))*100</f>
        <v>715700</v>
      </c>
      <c r="BJ21" s="18">
        <f>MAX(0, $A21-BJ$4)*IF(RTD("tos.rtd",,"OPEN_INT","."&amp;$AA$3&amp;$AA$4&amp;"C"&amp;BJ$4)="N/A",0,RTD("tos.rtd",,"OPEN_INT","."&amp;$AA$3&amp;$AA$4&amp;"C"&amp;BJ$4))*100 + MAX(0, BJ$4-$A21)*IF(RTD("tos.rtd",,"OPEN_INT","."&amp;$AA$3&amp;$AA$4&amp;"P"&amp;BJ$4)="N/A",0,RTD("tos.rtd",,"OPEN_INT","."&amp;$AA$3&amp;$AA$4&amp;"P"&amp;BJ$4))*100</f>
        <v>135900</v>
      </c>
      <c r="BK21" s="18">
        <f>MAX(0, $A21-BK$4)*IF(RTD("tos.rtd",,"OPEN_INT","."&amp;$AA$3&amp;$AA$4&amp;"C"&amp;BK$4)="N/A",0,RTD("tos.rtd",,"OPEN_INT","."&amp;$AA$3&amp;$AA$4&amp;"C"&amp;BK$4))*100 + MAX(0, BK$4-$A21)*IF(RTD("tos.rtd",,"OPEN_INT","."&amp;$AA$3&amp;$AA$4&amp;"P"&amp;BK$4)="N/A",0,RTD("tos.rtd",,"OPEN_INT","."&amp;$AA$3&amp;$AA$4&amp;"P"&amp;BK$4))*100</f>
        <v>247950</v>
      </c>
      <c r="BL21" s="18">
        <f>MAX(0, $A21-BL$4)*IF(RTD("tos.rtd",,"OPEN_INT","."&amp;$AA$3&amp;$AA$4&amp;"C"&amp;BL$4)="N/A",0,RTD("tos.rtd",,"OPEN_INT","."&amp;$AA$3&amp;$AA$4&amp;"C"&amp;BL$4))*100 + MAX(0, BL$4-$A21)*IF(RTD("tos.rtd",,"OPEN_INT","."&amp;$AA$3&amp;$AA$4&amp;"P"&amp;BL$4)="N/A",0,RTD("tos.rtd",,"OPEN_INT","."&amp;$AA$3&amp;$AA$4&amp;"P"&amp;BL$4))*100</f>
        <v>16000</v>
      </c>
      <c r="BM21" s="18">
        <f>MAX(0, $A21-BM$4)*IF(RTD("tos.rtd",,"OPEN_INT","."&amp;$AA$3&amp;$AA$4&amp;"C"&amp;BM$4)="N/A",0,RTD("tos.rtd",,"OPEN_INT","."&amp;$AA$3&amp;$AA$4&amp;"C"&amp;BM$4))*100 + MAX(0, BM$4-$A21)*IF(RTD("tos.rtd",,"OPEN_INT","."&amp;$AA$3&amp;$AA$4&amp;"P"&amp;BM$4)="N/A",0,RTD("tos.rtd",,"OPEN_INT","."&amp;$AA$3&amp;$AA$4&amp;"P"&amp;BM$4))*100</f>
        <v>8400</v>
      </c>
      <c r="BN21" s="18">
        <f>MAX(0, $A21-BN$4)*IF(RTD("tos.rtd",,"OPEN_INT","."&amp;$AA$3&amp;$AA$4&amp;"C"&amp;BN$4)="N/A",0,RTD("tos.rtd",,"OPEN_INT","."&amp;$AA$3&amp;$AA$4&amp;"C"&amp;BN$4))*100 + MAX(0, BN$4-$A21)*IF(RTD("tos.rtd",,"OPEN_INT","."&amp;$AA$3&amp;$AA$4&amp;"P"&amp;BN$4)="N/A",0,RTD("tos.rtd",,"OPEN_INT","."&amp;$AA$3&amp;$AA$4&amp;"P"&amp;BN$4))*100</f>
        <v>34100</v>
      </c>
      <c r="BO21" s="18">
        <f>MAX(0, $A21-BO$4)*IF(RTD("tos.rtd",,"OPEN_INT","."&amp;$AA$3&amp;$AA$4&amp;"C"&amp;BO$4)="N/A",0,RTD("tos.rtd",,"OPEN_INT","."&amp;$AA$3&amp;$AA$4&amp;"C"&amp;BO$4))*100 + MAX(0, BO$4-$A21)*IF(RTD("tos.rtd",,"OPEN_INT","."&amp;$AA$3&amp;$AA$4&amp;"P"&amp;BO$4)="N/A",0,RTD("tos.rtd",,"OPEN_INT","."&amp;$AA$3&amp;$AA$4&amp;"P"&amp;BO$4))*100</f>
        <v>43700</v>
      </c>
      <c r="BP21" s="18">
        <f>MAX(0, $A21-BP$4)*IF(RTD("tos.rtd",,"OPEN_INT","."&amp;$AA$3&amp;$AA$4&amp;"C"&amp;BP$4)="N/A",0,RTD("tos.rtd",,"OPEN_INT","."&amp;$AA$3&amp;$AA$4&amp;"C"&amp;BP$4))*100 + MAX(0, BP$4-$A21)*IF(RTD("tos.rtd",,"OPEN_INT","."&amp;$AA$3&amp;$AA$4&amp;"P"&amp;BP$4)="N/A",0,RTD("tos.rtd",,"OPEN_INT","."&amp;$AA$3&amp;$AA$4&amp;"P"&amp;BP$4))*100</f>
        <v>0</v>
      </c>
      <c r="BQ21" s="18">
        <f>MAX(0, $A21-BQ$4)*IF(RTD("tos.rtd",,"OPEN_INT","."&amp;$AA$3&amp;$AA$4&amp;"C"&amp;BQ$4)="N/A",0,RTD("tos.rtd",,"OPEN_INT","."&amp;$AA$3&amp;$AA$4&amp;"C"&amp;BQ$4))*100 + MAX(0, BQ$4-$A21)*IF(RTD("tos.rtd",,"OPEN_INT","."&amp;$AA$3&amp;$AA$4&amp;"P"&amp;BQ$4)="N/A",0,RTD("tos.rtd",,"OPEN_INT","."&amp;$AA$3&amp;$AA$4&amp;"P"&amp;BQ$4))*100</f>
        <v>0</v>
      </c>
      <c r="BR21" s="18">
        <f>MAX(0, $A21-BR$4)*IF(RTD("tos.rtd",,"OPEN_INT","."&amp;$AA$3&amp;$AA$4&amp;"C"&amp;BR$4)="N/A",0,RTD("tos.rtd",,"OPEN_INT","."&amp;$AA$3&amp;$AA$4&amp;"C"&amp;BR$4))*100 + MAX(0, BR$4-$A21)*IF(RTD("tos.rtd",,"OPEN_INT","."&amp;$AA$3&amp;$AA$4&amp;"P"&amp;BR$4)="N/A",0,RTD("tos.rtd",,"OPEN_INT","."&amp;$AA$3&amp;$AA$4&amp;"P"&amp;BR$4))*100</f>
        <v>0</v>
      </c>
      <c r="BS21" s="18">
        <f>MAX(0, $A21-BS$4)*IF(RTD("tos.rtd",,"OPEN_INT","."&amp;$AA$3&amp;$AA$4&amp;"C"&amp;BS$4)="N/A",0,RTD("tos.rtd",,"OPEN_INT","."&amp;$AA$3&amp;$AA$4&amp;"C"&amp;BS$4))*100 + MAX(0, BS$4-$A21)*IF(RTD("tos.rtd",,"OPEN_INT","."&amp;$AA$3&amp;$AA$4&amp;"P"&amp;BS$4)="N/A",0,RTD("tos.rtd",,"OPEN_INT","."&amp;$AA$3&amp;$AA$4&amp;"P"&amp;BS$4))*100</f>
        <v>0</v>
      </c>
      <c r="BT21" s="18">
        <f>MAX(0, $A21-BT$4)*IF(RTD("tos.rtd",,"OPEN_INT","."&amp;$AA$3&amp;$AA$4&amp;"C"&amp;BT$4)="N/A",0,RTD("tos.rtd",,"OPEN_INT","."&amp;$AA$3&amp;$AA$4&amp;"C"&amp;BT$4))*100 + MAX(0, BT$4-$A21)*IF(RTD("tos.rtd",,"OPEN_INT","."&amp;$AA$3&amp;$AA$4&amp;"P"&amp;BT$4)="N/A",0,RTD("tos.rtd",,"OPEN_INT","."&amp;$AA$3&amp;$AA$4&amp;"P"&amp;BT$4))*100</f>
        <v>0</v>
      </c>
      <c r="BU21" s="18">
        <f>MAX(0, $A21-BU$4)*IF(RTD("tos.rtd",,"OPEN_INT","."&amp;$AA$3&amp;$AA$4&amp;"C"&amp;BU$4)="N/A",0,RTD("tos.rtd",,"OPEN_INT","."&amp;$AA$3&amp;$AA$4&amp;"C"&amp;BU$4))*100 + MAX(0, BU$4-$A21)*IF(RTD("tos.rtd",,"OPEN_INT","."&amp;$AA$3&amp;$AA$4&amp;"P"&amp;BU$4)="N/A",0,RTD("tos.rtd",,"OPEN_INT","."&amp;$AA$3&amp;$AA$4&amp;"P"&amp;BU$4))*100</f>
        <v>0</v>
      </c>
      <c r="BV21" s="18">
        <f>MAX(0, $A21-BV$4)*IF(RTD("tos.rtd",,"OPEN_INT","."&amp;$AA$3&amp;$AA$4&amp;"C"&amp;BV$4)="N/A",0,RTD("tos.rtd",,"OPEN_INT","."&amp;$AA$3&amp;$AA$4&amp;"C"&amp;BV$4))*100 + MAX(0, BV$4-$A21)*IF(RTD("tos.rtd",,"OPEN_INT","."&amp;$AA$3&amp;$AA$4&amp;"P"&amp;BV$4)="N/A",0,RTD("tos.rtd",,"OPEN_INT","."&amp;$AA$3&amp;$AA$4&amp;"P"&amp;BV$4))*100</f>
        <v>0</v>
      </c>
    </row>
    <row r="22" spans="1:74" s="19" customFormat="1" ht="11.1" customHeight="1" thickBot="1" x14ac:dyDescent="0.3">
      <c r="A22" s="23">
        <f t="shared" si="6"/>
        <v>13</v>
      </c>
      <c r="B22" s="14">
        <f ca="1">IF($A$2="PREMIUM_OI",IFERROR(IF($X$1="ABS",(100*RTD("tos.rtd",,"OPEN_INT","."&amp;B$2&amp;B$1&amp;"C"&amp;$A22)*RTD("tos.rtd",,"LAST","."&amp;B$2&amp;B$1&amp;"C"&amp;$A22)+100*RTD("tos.rtd",,"OPEN_INT","."&amp;B$2&amp;B$1&amp;"P"&amp;$A22)*RTD("tos.rtd",,"LAST","."&amp;B$2&amp;B$1&amp;"P"&amp;$A22))/1000000,(100*RTD("tos.rtd",,"OPEN_INT","."&amp;B$2&amp;B$1&amp;"C"&amp;$A22)*RTD("tos.rtd",,"LAST","."&amp;B$2&amp;B$1&amp;"C"&amp;$A22)-100*RTD("tos.rtd",,"OPEN_INT","."&amp;B$2&amp;B$1&amp;"P"&amp;$A22)*RTD("tos.rtd",,"LAST","."&amp;B$2&amp;B$1&amp;"P"&amp;$A22))/1000000),0),IF($A$2="PREMIUM",IFERROR(IF($X$1="ABS",(100*RTD("tos.rtd",,"VOLUME","."&amp;B$2&amp;B$1&amp;"C"&amp;$A22)*RTD("tos.rtd",,"LAST","."&amp;B$2&amp;B$1&amp;"C"&amp;$A22)+100*RTD("tos.rtd",,"VOLUME","."&amp;B$2&amp;B$1&amp;"P"&amp;$A22)*RTD("tos.rtd",,"LAST","."&amp;B$2&amp;B$1&amp;"P"&amp;$A22))/1000000,(100*RTD("tos.rtd",,"VOLUME","."&amp;B$2&amp;B$1&amp;"C"&amp;$A22)*RTD("tos.rtd",,"LAST","."&amp;B$2&amp;B$1&amp;"C"&amp;$A22)-100*RTD("tos.rtd",,"VOLUME","."&amp;B$2&amp;B$1&amp;"P"&amp;$A22)*RTD("tos.rtd",,"LAST","."&amp;B$2&amp;B$1&amp;"P"&amp;$A22))/1000000),0),IF($A$2="DEX",IFERROR(IF($X$1="ABS",(100*RTD("tos.rtd",,"OPEN_INT","."&amp;B$2&amp;B$1&amp;"C"&amp;$A22)*RTD("tos.rtd",,"DELTA","."&amp;B$2&amp;B$1&amp;"C"&amp;$A22)+100*RTD("tos.rtd",,"OPEN_INT","."&amp;B$2&amp;B$1&amp;"P"&amp;$A22)*RTD("tos.rtd",,"DELTA","."&amp;B$2&amp;B$1&amp;"P"&amp;$A22))/1000,(100*RTD("tos.rtd",,"OPEN_INT","."&amp;B$2&amp;B$1&amp;"C"&amp;$A22)*RTD("tos.rtd",,"DELTA","."&amp;B$2&amp;B$1&amp;"C"&amp;$A22)-100*RTD("tos.rtd",,"OPEN_INT","."&amp;B$2&amp;B$1&amp;"P"&amp;$A22)*RTD("tos.rtd",,"DELTA","."&amp;B$2&amp;B$1&amp;"P"&amp;$A22))/1000),0),IF($A$2="VEX",IFERROR(IF($X$1="ABS",($A$4*$A$4*RTD("tos.rtd",,"VOLUME","."&amp;B$2&amp;B$1&amp;"C"&amp;$A22)*RTD("tos.rtd",,"GAMMA","."&amp;B$2&amp;B$1&amp;"C"&amp;$A22)+$A$4*$A$4*RTD("tos.rtd",,"VOLUME","."&amp;B$2&amp;B$1&amp;"P"&amp;$A22)*RTD("tos.rtd",,"GAMMA","."&amp;B$2&amp;B$1&amp;"P"&amp;$A22))/1000000,($A$4*$A$4*RTD("tos.rtd",,"VOLUME","."&amp;B$2&amp;B$1&amp;"C"&amp;$A22)*RTD("tos.rtd",,"GAMMA","."&amp;B$2&amp;B$1&amp;"C"&amp;$A22)-$A$4*$A$4*RTD("tos.rtd",,"VOLUME","."&amp;B$2&amp;B$1&amp;"P"&amp;$A22)*RTD("tos.rtd",,"GAMMA","."&amp;B$2&amp;B$1&amp;"P"&amp;$A22))/1000000),0),IF($A$2="GEX",IFERROR(IF($X$1="ABS",($A$4*$A$4*RTD("tos.rtd",,"OPEN_INT","."&amp;B$2&amp;B$1&amp;"C"&amp;$A22)*RTD("tos.rtd",,"GAMMA","."&amp;B$2&amp;B$1&amp;"C"&amp;$A22)+$A$4*$A$4*RTD("tos.rtd",,"OPEN_INT","."&amp;B$2&amp;B$1&amp;"P"&amp;$A22)*RTD("tos.rtd",,"GAMMA","."&amp;B$2&amp;B$1&amp;"P"&amp;$A22))/1000000,($A$4*$A$4*RTD("tos.rtd",,"OPEN_INT","."&amp;B$2&amp;B$1&amp;"C"&amp;$A22)*RTD("tos.rtd",,"GAMMA","."&amp;B$2&amp;B$1&amp;"C"&amp;$A22)-$A$4*$A$4*RTD("tos.rtd",,"OPEN_INT","."&amp;B$2&amp;B$1&amp;"P"&amp;$A22)*RTD("tos.rtd",,"GAMMA","."&amp;B$2&amp;B$1&amp;"P"&amp;$A22))/1000000),0),IF($A$2="SKEW",IFERROR(VALUE(IF(RTD("tos.rtd",,"IMPL_VOL","."&amp;B$2&amp;B$1&amp;"P"&amp;$A22)="N/A",0,RTD("tos.rtd",,"IMPL_VOL","."&amp;B$2&amp;B$1&amp;"P"&amp;$A22))),0)-IFERROR(VALUE(IF(RTD("tos.rtd",,"IMPL_VOL","."&amp;B$2&amp;B$1&amp;"C"&amp;$A22)="N/A",0,RTD("tos.rtd",,"IMPL_VOL","."&amp;B$2&amp;B$1&amp;"C"&amp;$A22))),0),IF($A$2="MAXPAIN",IF($A$4&gt;$A22,($A$4-$A22)*IF(RTD("tos.rtd",,"OPEN_INT","."&amp;B$2&amp;B$1&amp;"C"&amp;$A22)="N/A",0,RTD("tos.rtd",,"OPEN_INT","."&amp;B$2&amp;B$1&amp;"C"&amp;$A22)),0)+IF($A$4&lt;$A22,($A$5-$A$4)*IF(RTD("tos.rtd",,"OPEN_INT","."&amp;B$2&amp;B$1&amp;"P"&amp;$A22)="N/A",0,RTD("tos.rtd",,"OPEN_INT","."&amp;B$2&amp;B$1&amp;"P"&amp;$A22)),0),IF($X$1="ABS",IF(RTD("tos.rtd",,$A$2,"."&amp;B$2&amp;B$1&amp;"C"&amp;$A22)="N/A",0,RTD("tos.rtd",,$A$2,"."&amp;B$2&amp;B$1&amp;"C"&amp;$A22))+IF(RTD("tos.rtd",,$A$2,"."&amp;B$2&amp;B$1&amp;"P"&amp;$A22)="N/A",0,RTD("tos.rtd",,$A$2,"."&amp;B$2&amp;B$1&amp;"P"&amp;$A22)),IF(RTD("tos.rtd",,$A$2,"."&amp;B$2&amp;B$1&amp;"C"&amp;$A22)="N/A",0,RTD("tos.rtd",,$A$2,"."&amp;B$2&amp;B$1&amp;"C"&amp;$A22))-IF(RTD("tos.rtd",,$A$2,"."&amp;B$2&amp;B$1&amp;"P"&amp;$A22)="N/A",0,RTD("tos.rtd",,$A$2,"."&amp;B$2&amp;B$1&amp;"P"&amp;$A22))))))))))</f>
        <v>0</v>
      </c>
      <c r="C22" s="12">
        <f ca="1">IF($A$2="PREMIUM_OI",IFERROR(IF($X$1="ABS",(100*RTD("tos.rtd",,"OPEN_INT","."&amp;C$2&amp;C$1&amp;"C"&amp;$A22)*RTD("tos.rtd",,"LAST","."&amp;C$2&amp;C$1&amp;"C"&amp;$A22)+100*RTD("tos.rtd",,"OPEN_INT","."&amp;C$2&amp;C$1&amp;"P"&amp;$A22)*RTD("tos.rtd",,"LAST","."&amp;C$2&amp;C$1&amp;"P"&amp;$A22))/1000000,(100*RTD("tos.rtd",,"OPEN_INT","."&amp;C$2&amp;C$1&amp;"C"&amp;$A22)*RTD("tos.rtd",,"LAST","."&amp;C$2&amp;C$1&amp;"C"&amp;$A22)-100*RTD("tos.rtd",,"OPEN_INT","."&amp;C$2&amp;C$1&amp;"P"&amp;$A22)*RTD("tos.rtd",,"LAST","."&amp;C$2&amp;C$1&amp;"P"&amp;$A22))/1000000),0),IF($A$2="PREMIUM",IFERROR(IF($X$1="ABS",(100*RTD("tos.rtd",,"VOLUME","."&amp;C$2&amp;C$1&amp;"C"&amp;$A22)*RTD("tos.rtd",,"LAST","."&amp;C$2&amp;C$1&amp;"C"&amp;$A22)+100*RTD("tos.rtd",,"VOLUME","."&amp;C$2&amp;C$1&amp;"P"&amp;$A22)*RTD("tos.rtd",,"LAST","."&amp;C$2&amp;C$1&amp;"P"&amp;$A22))/1000000,(100*RTD("tos.rtd",,"VOLUME","."&amp;C$2&amp;C$1&amp;"C"&amp;$A22)*RTD("tos.rtd",,"LAST","."&amp;C$2&amp;C$1&amp;"C"&amp;$A22)-100*RTD("tos.rtd",,"VOLUME","."&amp;C$2&amp;C$1&amp;"P"&amp;$A22)*RTD("tos.rtd",,"LAST","."&amp;C$2&amp;C$1&amp;"P"&amp;$A22))/1000000),0),IF($A$2="DEX",IFERROR(IF($X$1="ABS",(100*RTD("tos.rtd",,"OPEN_INT","."&amp;C$2&amp;C$1&amp;"C"&amp;$A22)*RTD("tos.rtd",,"DELTA","."&amp;C$2&amp;C$1&amp;"C"&amp;$A22)+100*RTD("tos.rtd",,"OPEN_INT","."&amp;C$2&amp;C$1&amp;"P"&amp;$A22)*RTD("tos.rtd",,"DELTA","."&amp;C$2&amp;C$1&amp;"P"&amp;$A22))/1000,(100*RTD("tos.rtd",,"OPEN_INT","."&amp;C$2&amp;C$1&amp;"C"&amp;$A22)*RTD("tos.rtd",,"DELTA","."&amp;C$2&amp;C$1&amp;"C"&amp;$A22)-100*RTD("tos.rtd",,"OPEN_INT","."&amp;C$2&amp;C$1&amp;"P"&amp;$A22)*RTD("tos.rtd",,"DELTA","."&amp;C$2&amp;C$1&amp;"P"&amp;$A22))/1000),0),IF($A$2="VEX",IFERROR(IF($X$1="ABS",($A$4*$A$4*RTD("tos.rtd",,"VOLUME","."&amp;C$2&amp;C$1&amp;"C"&amp;$A22)*RTD("tos.rtd",,"GAMMA","."&amp;C$2&amp;C$1&amp;"C"&amp;$A22)+$A$4*$A$4*RTD("tos.rtd",,"VOLUME","."&amp;C$2&amp;C$1&amp;"P"&amp;$A22)*RTD("tos.rtd",,"GAMMA","."&amp;C$2&amp;C$1&amp;"P"&amp;$A22))/1000000,($A$4*$A$4*RTD("tos.rtd",,"VOLUME","."&amp;C$2&amp;C$1&amp;"C"&amp;$A22)*RTD("tos.rtd",,"GAMMA","."&amp;C$2&amp;C$1&amp;"C"&amp;$A22)-$A$4*$A$4*RTD("tos.rtd",,"VOLUME","."&amp;C$2&amp;C$1&amp;"P"&amp;$A22)*RTD("tos.rtd",,"GAMMA","."&amp;C$2&amp;C$1&amp;"P"&amp;$A22))/1000000),0),IF($A$2="GEX",IFERROR(IF($X$1="ABS",($A$4*$A$4*RTD("tos.rtd",,"OPEN_INT","."&amp;C$2&amp;C$1&amp;"C"&amp;$A22)*RTD("tos.rtd",,"GAMMA","."&amp;C$2&amp;C$1&amp;"C"&amp;$A22)+$A$4*$A$4*RTD("tos.rtd",,"OPEN_INT","."&amp;C$2&amp;C$1&amp;"P"&amp;$A22)*RTD("tos.rtd",,"GAMMA","."&amp;C$2&amp;C$1&amp;"P"&amp;$A22))/1000000,($A$4*$A$4*RTD("tos.rtd",,"OPEN_INT","."&amp;C$2&amp;C$1&amp;"C"&amp;$A22)*RTD("tos.rtd",,"GAMMA","."&amp;C$2&amp;C$1&amp;"C"&amp;$A22)-$A$4*$A$4*RTD("tos.rtd",,"OPEN_INT","."&amp;C$2&amp;C$1&amp;"P"&amp;$A22)*RTD("tos.rtd",,"GAMMA","."&amp;C$2&amp;C$1&amp;"P"&amp;$A22))/1000000),0),IF($A$2="SKEW",IFERROR(VALUE(IF(RTD("tos.rtd",,"IMPL_VOL","."&amp;C$2&amp;C$1&amp;"P"&amp;$A22)="N/A",0,RTD("tos.rtd",,"IMPL_VOL","."&amp;C$2&amp;C$1&amp;"P"&amp;$A22))),0)-IFERROR(VALUE(IF(RTD("tos.rtd",,"IMPL_VOL","."&amp;C$2&amp;C$1&amp;"C"&amp;$A22)="N/A",0,RTD("tos.rtd",,"IMPL_VOL","."&amp;C$2&amp;C$1&amp;"C"&amp;$A22))),0),IF($A$2="MAXPAIN",IF($A$4&gt;$A22,($A$4-$A22)*IF(RTD("tos.rtd",,"OPEN_INT","."&amp;C$2&amp;C$1&amp;"C"&amp;$A22)="N/A",0,RTD("tos.rtd",,"OPEN_INT","."&amp;C$2&amp;C$1&amp;"C"&amp;$A22)),0)+IF($A$4&lt;$A22,($A$5-$A$4)*IF(RTD("tos.rtd",,"OPEN_INT","."&amp;C$2&amp;C$1&amp;"P"&amp;$A22)="N/A",0,RTD("tos.rtd",,"OPEN_INT","."&amp;C$2&amp;C$1&amp;"P"&amp;$A22)),0),IF($X$1="ABS",IF(RTD("tos.rtd",,$A$2,"."&amp;C$2&amp;C$1&amp;"C"&amp;$A22)="N/A",0,RTD("tos.rtd",,$A$2,"."&amp;C$2&amp;C$1&amp;"C"&amp;$A22))+IF(RTD("tos.rtd",,$A$2,"."&amp;C$2&amp;C$1&amp;"P"&amp;$A22)="N/A",0,RTD("tos.rtd",,$A$2,"."&amp;C$2&amp;C$1&amp;"P"&amp;$A22)),IF(RTD("tos.rtd",,$A$2,"."&amp;C$2&amp;C$1&amp;"C"&amp;$A22)="N/A",0,RTD("tos.rtd",,$A$2,"."&amp;C$2&amp;C$1&amp;"C"&amp;$A22))-IF(RTD("tos.rtd",,$A$2,"."&amp;C$2&amp;C$1&amp;"P"&amp;$A22)="N/A",0,RTD("tos.rtd",,$A$2,"."&amp;C$2&amp;C$1&amp;"P"&amp;$A22))))))))))</f>
        <v>800</v>
      </c>
      <c r="D22" s="12">
        <f ca="1">IF($A$2="PREMIUM_OI",IFERROR(IF($X$1="ABS",(100*RTD("tos.rtd",,"OPEN_INT","."&amp;D$2&amp;D$1&amp;"C"&amp;$A22)*RTD("tos.rtd",,"LAST","."&amp;D$2&amp;D$1&amp;"C"&amp;$A22)+100*RTD("tos.rtd",,"OPEN_INT","."&amp;D$2&amp;D$1&amp;"P"&amp;$A22)*RTD("tos.rtd",,"LAST","."&amp;D$2&amp;D$1&amp;"P"&amp;$A22))/1000000,(100*RTD("tos.rtd",,"OPEN_INT","."&amp;D$2&amp;D$1&amp;"C"&amp;$A22)*RTD("tos.rtd",,"LAST","."&amp;D$2&amp;D$1&amp;"C"&amp;$A22)-100*RTD("tos.rtd",,"OPEN_INT","."&amp;D$2&amp;D$1&amp;"P"&amp;$A22)*RTD("tos.rtd",,"LAST","."&amp;D$2&amp;D$1&amp;"P"&amp;$A22))/1000000),0),IF($A$2="PREMIUM",IFERROR(IF($X$1="ABS",(100*RTD("tos.rtd",,"VOLUME","."&amp;D$2&amp;D$1&amp;"C"&amp;$A22)*RTD("tos.rtd",,"LAST","."&amp;D$2&amp;D$1&amp;"C"&amp;$A22)+100*RTD("tos.rtd",,"VOLUME","."&amp;D$2&amp;D$1&amp;"P"&amp;$A22)*RTD("tos.rtd",,"LAST","."&amp;D$2&amp;D$1&amp;"P"&amp;$A22))/1000000,(100*RTD("tos.rtd",,"VOLUME","."&amp;D$2&amp;D$1&amp;"C"&amp;$A22)*RTD("tos.rtd",,"LAST","."&amp;D$2&amp;D$1&amp;"C"&amp;$A22)-100*RTD("tos.rtd",,"VOLUME","."&amp;D$2&amp;D$1&amp;"P"&amp;$A22)*RTD("tos.rtd",,"LAST","."&amp;D$2&amp;D$1&amp;"P"&amp;$A22))/1000000),0),IF($A$2="DEX",IFERROR(IF($X$1="ABS",(100*RTD("tos.rtd",,"OPEN_INT","."&amp;D$2&amp;D$1&amp;"C"&amp;$A22)*RTD("tos.rtd",,"DELTA","."&amp;D$2&amp;D$1&amp;"C"&amp;$A22)+100*RTD("tos.rtd",,"OPEN_INT","."&amp;D$2&amp;D$1&amp;"P"&amp;$A22)*RTD("tos.rtd",,"DELTA","."&amp;D$2&amp;D$1&amp;"P"&amp;$A22))/1000,(100*RTD("tos.rtd",,"OPEN_INT","."&amp;D$2&amp;D$1&amp;"C"&amp;$A22)*RTD("tos.rtd",,"DELTA","."&amp;D$2&amp;D$1&amp;"C"&amp;$A22)-100*RTD("tos.rtd",,"OPEN_INT","."&amp;D$2&amp;D$1&amp;"P"&amp;$A22)*RTD("tos.rtd",,"DELTA","."&amp;D$2&amp;D$1&amp;"P"&amp;$A22))/1000),0),IF($A$2="VEX",IFERROR(IF($X$1="ABS",($A$4*$A$4*RTD("tos.rtd",,"VOLUME","."&amp;D$2&amp;D$1&amp;"C"&amp;$A22)*RTD("tos.rtd",,"GAMMA","."&amp;D$2&amp;D$1&amp;"C"&amp;$A22)+$A$4*$A$4*RTD("tos.rtd",,"VOLUME","."&amp;D$2&amp;D$1&amp;"P"&amp;$A22)*RTD("tos.rtd",,"GAMMA","."&amp;D$2&amp;D$1&amp;"P"&amp;$A22))/1000000,($A$4*$A$4*RTD("tos.rtd",,"VOLUME","."&amp;D$2&amp;D$1&amp;"C"&amp;$A22)*RTD("tos.rtd",,"GAMMA","."&amp;D$2&amp;D$1&amp;"C"&amp;$A22)-$A$4*$A$4*RTD("tos.rtd",,"VOLUME","."&amp;D$2&amp;D$1&amp;"P"&amp;$A22)*RTD("tos.rtd",,"GAMMA","."&amp;D$2&amp;D$1&amp;"P"&amp;$A22))/1000000),0),IF($A$2="GEX",IFERROR(IF($X$1="ABS",($A$4*$A$4*RTD("tos.rtd",,"OPEN_INT","."&amp;D$2&amp;D$1&amp;"C"&amp;$A22)*RTD("tos.rtd",,"GAMMA","."&amp;D$2&amp;D$1&amp;"C"&amp;$A22)+$A$4*$A$4*RTD("tos.rtd",,"OPEN_INT","."&amp;D$2&amp;D$1&amp;"P"&amp;$A22)*RTD("tos.rtd",,"GAMMA","."&amp;D$2&amp;D$1&amp;"P"&amp;$A22))/1000000,($A$4*$A$4*RTD("tos.rtd",,"OPEN_INT","."&amp;D$2&amp;D$1&amp;"C"&amp;$A22)*RTD("tos.rtd",,"GAMMA","."&amp;D$2&amp;D$1&amp;"C"&amp;$A22)-$A$4*$A$4*RTD("tos.rtd",,"OPEN_INT","."&amp;D$2&amp;D$1&amp;"P"&amp;$A22)*RTD("tos.rtd",,"GAMMA","."&amp;D$2&amp;D$1&amp;"P"&amp;$A22))/1000000),0),IF($A$2="SKEW",IFERROR(VALUE(IF(RTD("tos.rtd",,"IMPL_VOL","."&amp;D$2&amp;D$1&amp;"P"&amp;$A22)="N/A",0,RTD("tos.rtd",,"IMPL_VOL","."&amp;D$2&amp;D$1&amp;"P"&amp;$A22))),0)-IFERROR(VALUE(IF(RTD("tos.rtd",,"IMPL_VOL","."&amp;D$2&amp;D$1&amp;"C"&amp;$A22)="N/A",0,RTD("tos.rtd",,"IMPL_VOL","."&amp;D$2&amp;D$1&amp;"C"&amp;$A22))),0),IF($A$2="MAXPAIN",IF($A$4&gt;$A22,($A$4-$A22)*IF(RTD("tos.rtd",,"OPEN_INT","."&amp;D$2&amp;D$1&amp;"C"&amp;$A22)="N/A",0,RTD("tos.rtd",,"OPEN_INT","."&amp;D$2&amp;D$1&amp;"C"&amp;$A22)),0)+IF($A$4&lt;$A22,($A$5-$A$4)*IF(RTD("tos.rtd",,"OPEN_INT","."&amp;D$2&amp;D$1&amp;"P"&amp;$A22)="N/A",0,RTD("tos.rtd",,"OPEN_INT","."&amp;D$2&amp;D$1&amp;"P"&amp;$A22)),0),IF($X$1="ABS",IF(RTD("tos.rtd",,$A$2,"."&amp;D$2&amp;D$1&amp;"C"&amp;$A22)="N/A",0,RTD("tos.rtd",,$A$2,"."&amp;D$2&amp;D$1&amp;"C"&amp;$A22))+IF(RTD("tos.rtd",,$A$2,"."&amp;D$2&amp;D$1&amp;"P"&amp;$A22)="N/A",0,RTD("tos.rtd",,$A$2,"."&amp;D$2&amp;D$1&amp;"P"&amp;$A22)),IF(RTD("tos.rtd",,$A$2,"."&amp;D$2&amp;D$1&amp;"C"&amp;$A22)="N/A",0,RTD("tos.rtd",,$A$2,"."&amp;D$2&amp;D$1&amp;"C"&amp;$A22))-IF(RTD("tos.rtd",,$A$2,"."&amp;D$2&amp;D$1&amp;"P"&amp;$A22)="N/A",0,RTD("tos.rtd",,$A$2,"."&amp;D$2&amp;D$1&amp;"P"&amp;$A22))))))))))</f>
        <v>16469</v>
      </c>
      <c r="E22" s="12">
        <f ca="1">IF($A$2="PREMIUM_OI",IFERROR(IF($X$1="ABS",(100*RTD("tos.rtd",,"OPEN_INT","."&amp;E$2&amp;E$1&amp;"C"&amp;$A22)*RTD("tos.rtd",,"LAST","."&amp;E$2&amp;E$1&amp;"C"&amp;$A22)+100*RTD("tos.rtd",,"OPEN_INT","."&amp;E$2&amp;E$1&amp;"P"&amp;$A22)*RTD("tos.rtd",,"LAST","."&amp;E$2&amp;E$1&amp;"P"&amp;$A22))/1000000,(100*RTD("tos.rtd",,"OPEN_INT","."&amp;E$2&amp;E$1&amp;"C"&amp;$A22)*RTD("tos.rtd",,"LAST","."&amp;E$2&amp;E$1&amp;"C"&amp;$A22)-100*RTD("tos.rtd",,"OPEN_INT","."&amp;E$2&amp;E$1&amp;"P"&amp;$A22)*RTD("tos.rtd",,"LAST","."&amp;E$2&amp;E$1&amp;"P"&amp;$A22))/1000000),0),IF($A$2="PREMIUM",IFERROR(IF($X$1="ABS",(100*RTD("tos.rtd",,"VOLUME","."&amp;E$2&amp;E$1&amp;"C"&amp;$A22)*RTD("tos.rtd",,"LAST","."&amp;E$2&amp;E$1&amp;"C"&amp;$A22)+100*RTD("tos.rtd",,"VOLUME","."&amp;E$2&amp;E$1&amp;"P"&amp;$A22)*RTD("tos.rtd",,"LAST","."&amp;E$2&amp;E$1&amp;"P"&amp;$A22))/1000000,(100*RTD("tos.rtd",,"VOLUME","."&amp;E$2&amp;E$1&amp;"C"&amp;$A22)*RTD("tos.rtd",,"LAST","."&amp;E$2&amp;E$1&amp;"C"&amp;$A22)-100*RTD("tos.rtd",,"VOLUME","."&amp;E$2&amp;E$1&amp;"P"&amp;$A22)*RTD("tos.rtd",,"LAST","."&amp;E$2&amp;E$1&amp;"P"&amp;$A22))/1000000),0),IF($A$2="DEX",IFERROR(IF($X$1="ABS",(100*RTD("tos.rtd",,"OPEN_INT","."&amp;E$2&amp;E$1&amp;"C"&amp;$A22)*RTD("tos.rtd",,"DELTA","."&amp;E$2&amp;E$1&amp;"C"&amp;$A22)+100*RTD("tos.rtd",,"OPEN_INT","."&amp;E$2&amp;E$1&amp;"P"&amp;$A22)*RTD("tos.rtd",,"DELTA","."&amp;E$2&amp;E$1&amp;"P"&amp;$A22))/1000,(100*RTD("tos.rtd",,"OPEN_INT","."&amp;E$2&amp;E$1&amp;"C"&amp;$A22)*RTD("tos.rtd",,"DELTA","."&amp;E$2&amp;E$1&amp;"C"&amp;$A22)-100*RTD("tos.rtd",,"OPEN_INT","."&amp;E$2&amp;E$1&amp;"P"&amp;$A22)*RTD("tos.rtd",,"DELTA","."&amp;E$2&amp;E$1&amp;"P"&amp;$A22))/1000),0),IF($A$2="VEX",IFERROR(IF($X$1="ABS",($A$4*$A$4*RTD("tos.rtd",,"VOLUME","."&amp;E$2&amp;E$1&amp;"C"&amp;$A22)*RTD("tos.rtd",,"GAMMA","."&amp;E$2&amp;E$1&amp;"C"&amp;$A22)+$A$4*$A$4*RTD("tos.rtd",,"VOLUME","."&amp;E$2&amp;E$1&amp;"P"&amp;$A22)*RTD("tos.rtd",,"GAMMA","."&amp;E$2&amp;E$1&amp;"P"&amp;$A22))/1000000,($A$4*$A$4*RTD("tos.rtd",,"VOLUME","."&amp;E$2&amp;E$1&amp;"C"&amp;$A22)*RTD("tos.rtd",,"GAMMA","."&amp;E$2&amp;E$1&amp;"C"&amp;$A22)-$A$4*$A$4*RTD("tos.rtd",,"VOLUME","."&amp;E$2&amp;E$1&amp;"P"&amp;$A22)*RTD("tos.rtd",,"GAMMA","."&amp;E$2&amp;E$1&amp;"P"&amp;$A22))/1000000),0),IF($A$2="GEX",IFERROR(IF($X$1="ABS",($A$4*$A$4*RTD("tos.rtd",,"OPEN_INT","."&amp;E$2&amp;E$1&amp;"C"&amp;$A22)*RTD("tos.rtd",,"GAMMA","."&amp;E$2&amp;E$1&amp;"C"&amp;$A22)+$A$4*$A$4*RTD("tos.rtd",,"OPEN_INT","."&amp;E$2&amp;E$1&amp;"P"&amp;$A22)*RTD("tos.rtd",,"GAMMA","."&amp;E$2&amp;E$1&amp;"P"&amp;$A22))/1000000,($A$4*$A$4*RTD("tos.rtd",,"OPEN_INT","."&amp;E$2&amp;E$1&amp;"C"&amp;$A22)*RTD("tos.rtd",,"GAMMA","."&amp;E$2&amp;E$1&amp;"C"&amp;$A22)-$A$4*$A$4*RTD("tos.rtd",,"OPEN_INT","."&amp;E$2&amp;E$1&amp;"P"&amp;$A22)*RTD("tos.rtd",,"GAMMA","."&amp;E$2&amp;E$1&amp;"P"&amp;$A22))/1000000),0),IF($A$2="SKEW",IFERROR(VALUE(IF(RTD("tos.rtd",,"IMPL_VOL","."&amp;E$2&amp;E$1&amp;"P"&amp;$A22)="N/A",0,RTD("tos.rtd",,"IMPL_VOL","."&amp;E$2&amp;E$1&amp;"P"&amp;$A22))),0)-IFERROR(VALUE(IF(RTD("tos.rtd",,"IMPL_VOL","."&amp;E$2&amp;E$1&amp;"C"&amp;$A22)="N/A",0,RTD("tos.rtd",,"IMPL_VOL","."&amp;E$2&amp;E$1&amp;"C"&amp;$A22))),0),IF($A$2="MAXPAIN",IF($A$4&gt;$A22,($A$4-$A22)*IF(RTD("tos.rtd",,"OPEN_INT","."&amp;E$2&amp;E$1&amp;"C"&amp;$A22)="N/A",0,RTD("tos.rtd",,"OPEN_INT","."&amp;E$2&amp;E$1&amp;"C"&amp;$A22)),0)+IF($A$4&lt;$A22,($A$5-$A$4)*IF(RTD("tos.rtd",,"OPEN_INT","."&amp;E$2&amp;E$1&amp;"P"&amp;$A22)="N/A",0,RTD("tos.rtd",,"OPEN_INT","."&amp;E$2&amp;E$1&amp;"P"&amp;$A22)),0),IF($X$1="ABS",IF(RTD("tos.rtd",,$A$2,"."&amp;E$2&amp;E$1&amp;"C"&amp;$A22)="N/A",0,RTD("tos.rtd",,$A$2,"."&amp;E$2&amp;E$1&amp;"C"&amp;$A22))+IF(RTD("tos.rtd",,$A$2,"."&amp;E$2&amp;E$1&amp;"P"&amp;$A22)="N/A",0,RTD("tos.rtd",,$A$2,"."&amp;E$2&amp;E$1&amp;"P"&amp;$A22)),IF(RTD("tos.rtd",,$A$2,"."&amp;E$2&amp;E$1&amp;"C"&amp;$A22)="N/A",0,RTD("tos.rtd",,$A$2,"."&amp;E$2&amp;E$1&amp;"C"&amp;$A22))-IF(RTD("tos.rtd",,$A$2,"."&amp;E$2&amp;E$1&amp;"P"&amp;$A22)="N/A",0,RTD("tos.rtd",,$A$2,"."&amp;E$2&amp;E$1&amp;"P"&amp;$A22))))))))))</f>
        <v>200</v>
      </c>
      <c r="F22" s="12">
        <f ca="1">IF($A$2="PREMIUM_OI",IFERROR(IF($X$1="ABS",(100*RTD("tos.rtd",,"OPEN_INT","."&amp;F$2&amp;F$1&amp;"C"&amp;$A22)*RTD("tos.rtd",,"LAST","."&amp;F$2&amp;F$1&amp;"C"&amp;$A22)+100*RTD("tos.rtd",,"OPEN_INT","."&amp;F$2&amp;F$1&amp;"P"&amp;$A22)*RTD("tos.rtd",,"LAST","."&amp;F$2&amp;F$1&amp;"P"&amp;$A22))/1000000,(100*RTD("tos.rtd",,"OPEN_INT","."&amp;F$2&amp;F$1&amp;"C"&amp;$A22)*RTD("tos.rtd",,"LAST","."&amp;F$2&amp;F$1&amp;"C"&amp;$A22)-100*RTD("tos.rtd",,"OPEN_INT","."&amp;F$2&amp;F$1&amp;"P"&amp;$A22)*RTD("tos.rtd",,"LAST","."&amp;F$2&amp;F$1&amp;"P"&amp;$A22))/1000000),0),IF($A$2="PREMIUM",IFERROR(IF($X$1="ABS",(100*RTD("tos.rtd",,"VOLUME","."&amp;F$2&amp;F$1&amp;"C"&amp;$A22)*RTD("tos.rtd",,"LAST","."&amp;F$2&amp;F$1&amp;"C"&amp;$A22)+100*RTD("tos.rtd",,"VOLUME","."&amp;F$2&amp;F$1&amp;"P"&amp;$A22)*RTD("tos.rtd",,"LAST","."&amp;F$2&amp;F$1&amp;"P"&amp;$A22))/1000000,(100*RTD("tos.rtd",,"VOLUME","."&amp;F$2&amp;F$1&amp;"C"&amp;$A22)*RTD("tos.rtd",,"LAST","."&amp;F$2&amp;F$1&amp;"C"&amp;$A22)-100*RTD("tos.rtd",,"VOLUME","."&amp;F$2&amp;F$1&amp;"P"&amp;$A22)*RTD("tos.rtd",,"LAST","."&amp;F$2&amp;F$1&amp;"P"&amp;$A22))/1000000),0),IF($A$2="DEX",IFERROR(IF($X$1="ABS",(100*RTD("tos.rtd",,"OPEN_INT","."&amp;F$2&amp;F$1&amp;"C"&amp;$A22)*RTD("tos.rtd",,"DELTA","."&amp;F$2&amp;F$1&amp;"C"&amp;$A22)+100*RTD("tos.rtd",,"OPEN_INT","."&amp;F$2&amp;F$1&amp;"P"&amp;$A22)*RTD("tos.rtd",,"DELTA","."&amp;F$2&amp;F$1&amp;"P"&amp;$A22))/1000,(100*RTD("tos.rtd",,"OPEN_INT","."&amp;F$2&amp;F$1&amp;"C"&amp;$A22)*RTD("tos.rtd",,"DELTA","."&amp;F$2&amp;F$1&amp;"C"&amp;$A22)-100*RTD("tos.rtd",,"OPEN_INT","."&amp;F$2&amp;F$1&amp;"P"&amp;$A22)*RTD("tos.rtd",,"DELTA","."&amp;F$2&amp;F$1&amp;"P"&amp;$A22))/1000),0),IF($A$2="VEX",IFERROR(IF($X$1="ABS",($A$4*$A$4*RTD("tos.rtd",,"VOLUME","."&amp;F$2&amp;F$1&amp;"C"&amp;$A22)*RTD("tos.rtd",,"GAMMA","."&amp;F$2&amp;F$1&amp;"C"&amp;$A22)+$A$4*$A$4*RTD("tos.rtd",,"VOLUME","."&amp;F$2&amp;F$1&amp;"P"&amp;$A22)*RTD("tos.rtd",,"GAMMA","."&amp;F$2&amp;F$1&amp;"P"&amp;$A22))/1000000,($A$4*$A$4*RTD("tos.rtd",,"VOLUME","."&amp;F$2&amp;F$1&amp;"C"&amp;$A22)*RTD("tos.rtd",,"GAMMA","."&amp;F$2&amp;F$1&amp;"C"&amp;$A22)-$A$4*$A$4*RTD("tos.rtd",,"VOLUME","."&amp;F$2&amp;F$1&amp;"P"&amp;$A22)*RTD("tos.rtd",,"GAMMA","."&amp;F$2&amp;F$1&amp;"P"&amp;$A22))/1000000),0),IF($A$2="GEX",IFERROR(IF($X$1="ABS",($A$4*$A$4*RTD("tos.rtd",,"OPEN_INT","."&amp;F$2&amp;F$1&amp;"C"&amp;$A22)*RTD("tos.rtd",,"GAMMA","."&amp;F$2&amp;F$1&amp;"C"&amp;$A22)+$A$4*$A$4*RTD("tos.rtd",,"OPEN_INT","."&amp;F$2&amp;F$1&amp;"P"&amp;$A22)*RTD("tos.rtd",,"GAMMA","."&amp;F$2&amp;F$1&amp;"P"&amp;$A22))/1000000,($A$4*$A$4*RTD("tos.rtd",,"OPEN_INT","."&amp;F$2&amp;F$1&amp;"C"&amp;$A22)*RTD("tos.rtd",,"GAMMA","."&amp;F$2&amp;F$1&amp;"C"&amp;$A22)-$A$4*$A$4*RTD("tos.rtd",,"OPEN_INT","."&amp;F$2&amp;F$1&amp;"P"&amp;$A22)*RTD("tos.rtd",,"GAMMA","."&amp;F$2&amp;F$1&amp;"P"&amp;$A22))/1000000),0),IF($A$2="SKEW",IFERROR(VALUE(IF(RTD("tos.rtd",,"IMPL_VOL","."&amp;F$2&amp;F$1&amp;"P"&amp;$A22)="N/A",0,RTD("tos.rtd",,"IMPL_VOL","."&amp;F$2&amp;F$1&amp;"P"&amp;$A22))),0)-IFERROR(VALUE(IF(RTD("tos.rtd",,"IMPL_VOL","."&amp;F$2&amp;F$1&amp;"C"&amp;$A22)="N/A",0,RTD("tos.rtd",,"IMPL_VOL","."&amp;F$2&amp;F$1&amp;"C"&amp;$A22))),0),IF($A$2="MAXPAIN",IF($A$4&gt;$A22,($A$4-$A22)*IF(RTD("tos.rtd",,"OPEN_INT","."&amp;F$2&amp;F$1&amp;"C"&amp;$A22)="N/A",0,RTD("tos.rtd",,"OPEN_INT","."&amp;F$2&amp;F$1&amp;"C"&amp;$A22)),0)+IF($A$4&lt;$A22,($A$5-$A$4)*IF(RTD("tos.rtd",,"OPEN_INT","."&amp;F$2&amp;F$1&amp;"P"&amp;$A22)="N/A",0,RTD("tos.rtd",,"OPEN_INT","."&amp;F$2&amp;F$1&amp;"P"&amp;$A22)),0),IF($X$1="ABS",IF(RTD("tos.rtd",,$A$2,"."&amp;F$2&amp;F$1&amp;"C"&amp;$A22)="N/A",0,RTD("tos.rtd",,$A$2,"."&amp;F$2&amp;F$1&amp;"C"&amp;$A22))+IF(RTD("tos.rtd",,$A$2,"."&amp;F$2&amp;F$1&amp;"P"&amp;$A22)="N/A",0,RTD("tos.rtd",,$A$2,"."&amp;F$2&amp;F$1&amp;"P"&amp;$A22)),IF(RTD("tos.rtd",,$A$2,"."&amp;F$2&amp;F$1&amp;"C"&amp;$A22)="N/A",0,RTD("tos.rtd",,$A$2,"."&amp;F$2&amp;F$1&amp;"C"&amp;$A22))-IF(RTD("tos.rtd",,$A$2,"."&amp;F$2&amp;F$1&amp;"P"&amp;$A22)="N/A",0,RTD("tos.rtd",,$A$2,"."&amp;F$2&amp;F$1&amp;"P"&amp;$A22))))))))))</f>
        <v>216</v>
      </c>
      <c r="G22" s="57">
        <f ca="1">IF($A$2="PREMIUM_OI",IFERROR(IF($X$1="ABS",(100*RTD("tos.rtd",,"OPEN_INT","."&amp;G$2&amp;G$1&amp;"C"&amp;$A22)*RTD("tos.rtd",,"LAST","."&amp;G$2&amp;G$1&amp;"C"&amp;$A22)+100*RTD("tos.rtd",,"OPEN_INT","."&amp;G$2&amp;G$1&amp;"P"&amp;$A22)*RTD("tos.rtd",,"LAST","."&amp;G$2&amp;G$1&amp;"P"&amp;$A22))/1000000,(100*RTD("tos.rtd",,"OPEN_INT","."&amp;G$2&amp;G$1&amp;"C"&amp;$A22)*RTD("tos.rtd",,"LAST","."&amp;G$2&amp;G$1&amp;"C"&amp;$A22)-100*RTD("tos.rtd",,"OPEN_INT","."&amp;G$2&amp;G$1&amp;"P"&amp;$A22)*RTD("tos.rtd",,"LAST","."&amp;G$2&amp;G$1&amp;"P"&amp;$A22))/1000000),0),IF($A$2="PREMIUM",IFERROR(IF($X$1="ABS",(100*RTD("tos.rtd",,"VOLUME","."&amp;G$2&amp;G$1&amp;"C"&amp;$A22)*RTD("tos.rtd",,"LAST","."&amp;G$2&amp;G$1&amp;"C"&amp;$A22)+100*RTD("tos.rtd",,"VOLUME","."&amp;G$2&amp;G$1&amp;"P"&amp;$A22)*RTD("tos.rtd",,"LAST","."&amp;G$2&amp;G$1&amp;"P"&amp;$A22))/1000000,(100*RTD("tos.rtd",,"VOLUME","."&amp;G$2&amp;G$1&amp;"C"&amp;$A22)*RTD("tos.rtd",,"LAST","."&amp;G$2&amp;G$1&amp;"C"&amp;$A22)-100*RTD("tos.rtd",,"VOLUME","."&amp;G$2&amp;G$1&amp;"P"&amp;$A22)*RTD("tos.rtd",,"LAST","."&amp;G$2&amp;G$1&amp;"P"&amp;$A22))/1000000),0),IF($A$2="DEX",IFERROR(IF($X$1="ABS",(100*RTD("tos.rtd",,"OPEN_INT","."&amp;G$2&amp;G$1&amp;"C"&amp;$A22)*RTD("tos.rtd",,"DELTA","."&amp;G$2&amp;G$1&amp;"C"&amp;$A22)+100*RTD("tos.rtd",,"OPEN_INT","."&amp;G$2&amp;G$1&amp;"P"&amp;$A22)*RTD("tos.rtd",,"DELTA","."&amp;G$2&amp;G$1&amp;"P"&amp;$A22))/1000,(100*RTD("tos.rtd",,"OPEN_INT","."&amp;G$2&amp;G$1&amp;"C"&amp;$A22)*RTD("tos.rtd",,"DELTA","."&amp;G$2&amp;G$1&amp;"C"&amp;$A22)-100*RTD("tos.rtd",,"OPEN_INT","."&amp;G$2&amp;G$1&amp;"P"&amp;$A22)*RTD("tos.rtd",,"DELTA","."&amp;G$2&amp;G$1&amp;"P"&amp;$A22))/1000),0),IF($A$2="VEX",IFERROR(IF($X$1="ABS",($A$4*$A$4*RTD("tos.rtd",,"VOLUME","."&amp;G$2&amp;G$1&amp;"C"&amp;$A22)*RTD("tos.rtd",,"GAMMA","."&amp;G$2&amp;G$1&amp;"C"&amp;$A22)+$A$4*$A$4*RTD("tos.rtd",,"VOLUME","."&amp;G$2&amp;G$1&amp;"P"&amp;$A22)*RTD("tos.rtd",,"GAMMA","."&amp;G$2&amp;G$1&amp;"P"&amp;$A22))/1000000,($A$4*$A$4*RTD("tos.rtd",,"VOLUME","."&amp;G$2&amp;G$1&amp;"C"&amp;$A22)*RTD("tos.rtd",,"GAMMA","."&amp;G$2&amp;G$1&amp;"C"&amp;$A22)-$A$4*$A$4*RTD("tos.rtd",,"VOLUME","."&amp;G$2&amp;G$1&amp;"P"&amp;$A22)*RTD("tos.rtd",,"GAMMA","."&amp;G$2&amp;G$1&amp;"P"&amp;$A22))/1000000),0),IF($A$2="GEX",IFERROR(IF($X$1="ABS",($A$4*$A$4*RTD("tos.rtd",,"OPEN_INT","."&amp;G$2&amp;G$1&amp;"C"&amp;$A22)*RTD("tos.rtd",,"GAMMA","."&amp;G$2&amp;G$1&amp;"C"&amp;$A22)+$A$4*$A$4*RTD("tos.rtd",,"OPEN_INT","."&amp;G$2&amp;G$1&amp;"P"&amp;$A22)*RTD("tos.rtd",,"GAMMA","."&amp;G$2&amp;G$1&amp;"P"&amp;$A22))/1000000,($A$4*$A$4*RTD("tos.rtd",,"OPEN_INT","."&amp;G$2&amp;G$1&amp;"C"&amp;$A22)*RTD("tos.rtd",,"GAMMA","."&amp;G$2&amp;G$1&amp;"C"&amp;$A22)-$A$4*$A$4*RTD("tos.rtd",,"OPEN_INT","."&amp;G$2&amp;G$1&amp;"P"&amp;$A22)*RTD("tos.rtd",,"GAMMA","."&amp;G$2&amp;G$1&amp;"P"&amp;$A22))/1000000),0),IF($A$2="SKEW",IFERROR(VALUE(IF(RTD("tos.rtd",,"IMPL_VOL","."&amp;G$2&amp;G$1&amp;"P"&amp;$A22)="N/A",0,RTD("tos.rtd",,"IMPL_VOL","."&amp;G$2&amp;G$1&amp;"P"&amp;$A22))),0)-IFERROR(VALUE(IF(RTD("tos.rtd",,"IMPL_VOL","."&amp;G$2&amp;G$1&amp;"C"&amp;$A22)="N/A",0,RTD("tos.rtd",,"IMPL_VOL","."&amp;G$2&amp;G$1&amp;"C"&amp;$A22))),0),IF($A$2="MAXPAIN",IF($A$4&gt;$A22,($A$4-$A22)*IF(RTD("tos.rtd",,"OPEN_INT","."&amp;G$2&amp;G$1&amp;"C"&amp;$A22)="N/A",0,RTD("tos.rtd",,"OPEN_INT","."&amp;G$2&amp;G$1&amp;"C"&amp;$A22)),0)+IF($A$4&lt;$A22,($A$5-$A$4)*IF(RTD("tos.rtd",,"OPEN_INT","."&amp;G$2&amp;G$1&amp;"P"&amp;$A22)="N/A",0,RTD("tos.rtd",,"OPEN_INT","."&amp;G$2&amp;G$1&amp;"P"&amp;$A22)),0),IF($X$1="ABS",IF(RTD("tos.rtd",,$A$2,"."&amp;G$2&amp;G$1&amp;"C"&amp;$A22)="N/A",0,RTD("tos.rtd",,$A$2,"."&amp;G$2&amp;G$1&amp;"C"&amp;$A22))+IF(RTD("tos.rtd",,$A$2,"."&amp;G$2&amp;G$1&amp;"P"&amp;$A22)="N/A",0,RTD("tos.rtd",,$A$2,"."&amp;G$2&amp;G$1&amp;"P"&amp;$A22)),IF(RTD("tos.rtd",,$A$2,"."&amp;G$2&amp;G$1&amp;"C"&amp;$A22)="N/A",0,RTD("tos.rtd",,$A$2,"."&amp;G$2&amp;G$1&amp;"C"&amp;$A22))-IF(RTD("tos.rtd",,$A$2,"."&amp;G$2&amp;G$1&amp;"P"&amp;$A22)="N/A",0,RTD("tos.rtd",,$A$2,"."&amp;G$2&amp;G$1&amp;"P"&amp;$A22))))))))))</f>
        <v>52</v>
      </c>
      <c r="H22" s="14">
        <f ca="1">IF($A$2="PREMIUM_OI",IFERROR(IF($X$1="ABS",(100*RTD("tos.rtd",,"OPEN_INT","."&amp;H$2&amp;H$1&amp;"C"&amp;$A22)*RTD("tos.rtd",,"LAST","."&amp;H$2&amp;H$1&amp;"C"&amp;$A22)+100*RTD("tos.rtd",,"OPEN_INT","."&amp;H$2&amp;H$1&amp;"P"&amp;$A22)*RTD("tos.rtd",,"LAST","."&amp;H$2&amp;H$1&amp;"P"&amp;$A22))/1000000,(100*RTD("tos.rtd",,"OPEN_INT","."&amp;H$2&amp;H$1&amp;"C"&amp;$A22)*RTD("tos.rtd",,"LAST","."&amp;H$2&amp;H$1&amp;"C"&amp;$A22)-100*RTD("tos.rtd",,"OPEN_INT","."&amp;H$2&amp;H$1&amp;"P"&amp;$A22)*RTD("tos.rtd",,"LAST","."&amp;H$2&amp;H$1&amp;"P"&amp;$A22))/1000000),0),IF($A$2="PREMIUM",IFERROR(IF($X$1="ABS",(100*RTD("tos.rtd",,"VOLUME","."&amp;H$2&amp;H$1&amp;"C"&amp;$A22)*RTD("tos.rtd",,"LAST","."&amp;H$2&amp;H$1&amp;"C"&amp;$A22)+100*RTD("tos.rtd",,"VOLUME","."&amp;H$2&amp;H$1&amp;"P"&amp;$A22)*RTD("tos.rtd",,"LAST","."&amp;H$2&amp;H$1&amp;"P"&amp;$A22))/1000000,(100*RTD("tos.rtd",,"VOLUME","."&amp;H$2&amp;H$1&amp;"C"&amp;$A22)*RTD("tos.rtd",,"LAST","."&amp;H$2&amp;H$1&amp;"C"&amp;$A22)-100*RTD("tos.rtd",,"VOLUME","."&amp;H$2&amp;H$1&amp;"P"&amp;$A22)*RTD("tos.rtd",,"LAST","."&amp;H$2&amp;H$1&amp;"P"&amp;$A22))/1000000),0),IF($A$2="DEX",IFERROR(IF($X$1="ABS",(100*RTD("tos.rtd",,"OPEN_INT","."&amp;H$2&amp;H$1&amp;"C"&amp;$A22)*RTD("tos.rtd",,"DELTA","."&amp;H$2&amp;H$1&amp;"C"&amp;$A22)+100*RTD("tos.rtd",,"OPEN_INT","."&amp;H$2&amp;H$1&amp;"P"&amp;$A22)*RTD("tos.rtd",,"DELTA","."&amp;H$2&amp;H$1&amp;"P"&amp;$A22))/1000,(100*RTD("tos.rtd",,"OPEN_INT","."&amp;H$2&amp;H$1&amp;"C"&amp;$A22)*RTD("tos.rtd",,"DELTA","."&amp;H$2&amp;H$1&amp;"C"&amp;$A22)-100*RTD("tos.rtd",,"OPEN_INT","."&amp;H$2&amp;H$1&amp;"P"&amp;$A22)*RTD("tos.rtd",,"DELTA","."&amp;H$2&amp;H$1&amp;"P"&amp;$A22))/1000),0),IF($A$2="VEX",IFERROR(IF($X$1="ABS",($A$4*$A$4*RTD("tos.rtd",,"VOLUME","."&amp;H$2&amp;H$1&amp;"C"&amp;$A22)*RTD("tos.rtd",,"GAMMA","."&amp;H$2&amp;H$1&amp;"C"&amp;$A22)+$A$4*$A$4*RTD("tos.rtd",,"VOLUME","."&amp;H$2&amp;H$1&amp;"P"&amp;$A22)*RTD("tos.rtd",,"GAMMA","."&amp;H$2&amp;H$1&amp;"P"&amp;$A22))/1000000,($A$4*$A$4*RTD("tos.rtd",,"VOLUME","."&amp;H$2&amp;H$1&amp;"C"&amp;$A22)*RTD("tos.rtd",,"GAMMA","."&amp;H$2&amp;H$1&amp;"C"&amp;$A22)-$A$4*$A$4*RTD("tos.rtd",,"VOLUME","."&amp;H$2&amp;H$1&amp;"P"&amp;$A22)*RTD("tos.rtd",,"GAMMA","."&amp;H$2&amp;H$1&amp;"P"&amp;$A22))/1000000),0),IF($A$2="GEX",IFERROR(IF($X$1="ABS",($A$4*$A$4*RTD("tos.rtd",,"OPEN_INT","."&amp;H$2&amp;H$1&amp;"C"&amp;$A22)*RTD("tos.rtd",,"GAMMA","."&amp;H$2&amp;H$1&amp;"C"&amp;$A22)+$A$4*$A$4*RTD("tos.rtd",,"OPEN_INT","."&amp;H$2&amp;H$1&amp;"P"&amp;$A22)*RTD("tos.rtd",,"GAMMA","."&amp;H$2&amp;H$1&amp;"P"&amp;$A22))/1000000,($A$4*$A$4*RTD("tos.rtd",,"OPEN_INT","."&amp;H$2&amp;H$1&amp;"C"&amp;$A22)*RTD("tos.rtd",,"GAMMA","."&amp;H$2&amp;H$1&amp;"C"&amp;$A22)-$A$4*$A$4*RTD("tos.rtd",,"OPEN_INT","."&amp;H$2&amp;H$1&amp;"P"&amp;$A22)*RTD("tos.rtd",,"GAMMA","."&amp;H$2&amp;H$1&amp;"P"&amp;$A22))/1000000),0),IF($A$2="SKEW",IFERROR(VALUE(IF(RTD("tos.rtd",,"IMPL_VOL","."&amp;H$2&amp;H$1&amp;"P"&amp;$A22)="N/A",0,RTD("tos.rtd",,"IMPL_VOL","."&amp;H$2&amp;H$1&amp;"P"&amp;$A22))),0)-IFERROR(VALUE(IF(RTD("tos.rtd",,"IMPL_VOL","."&amp;H$2&amp;H$1&amp;"C"&amp;$A22)="N/A",0,RTD("tos.rtd",,"IMPL_VOL","."&amp;H$2&amp;H$1&amp;"C"&amp;$A22))),0),IF($A$2="MAXPAIN",IF($A$4&gt;$A22,($A$4-$A22)*IF(RTD("tos.rtd",,"OPEN_INT","."&amp;H$2&amp;H$1&amp;"C"&amp;$A22)="N/A",0,RTD("tos.rtd",,"OPEN_INT","."&amp;H$2&amp;H$1&amp;"C"&amp;$A22)),0)+IF($A$4&lt;$A22,($A$5-$A$4)*IF(RTD("tos.rtd",,"OPEN_INT","."&amp;H$2&amp;H$1&amp;"P"&amp;$A22)="N/A",0,RTD("tos.rtd",,"OPEN_INT","."&amp;H$2&amp;H$1&amp;"P"&amp;$A22)),0),IF($X$1="ABS",IF(RTD("tos.rtd",,$A$2,"."&amp;H$2&amp;H$1&amp;"C"&amp;$A22)="N/A",0,RTD("tos.rtd",,$A$2,"."&amp;H$2&amp;H$1&amp;"C"&amp;$A22))+IF(RTD("tos.rtd",,$A$2,"."&amp;H$2&amp;H$1&amp;"P"&amp;$A22)="N/A",0,RTD("tos.rtd",,$A$2,"."&amp;H$2&amp;H$1&amp;"P"&amp;$A22)),IF(RTD("tos.rtd",,$A$2,"."&amp;H$2&amp;H$1&amp;"C"&amp;$A22)="N/A",0,RTD("tos.rtd",,$A$2,"."&amp;H$2&amp;H$1&amp;"C"&amp;$A22))-IF(RTD("tos.rtd",,$A$2,"."&amp;H$2&amp;H$1&amp;"P"&amp;$A22)="N/A",0,RTD("tos.rtd",,$A$2,"."&amp;H$2&amp;H$1&amp;"P"&amp;$A22))))))))))</f>
        <v>504</v>
      </c>
      <c r="I22" s="12">
        <f ca="1">IF($A$2="PREMIUM_OI",IFERROR(IF($X$1="ABS",(100*RTD("tos.rtd",,"OPEN_INT","."&amp;I$2&amp;I$1&amp;"C"&amp;$A22)*RTD("tos.rtd",,"LAST","."&amp;I$2&amp;I$1&amp;"C"&amp;$A22)+100*RTD("tos.rtd",,"OPEN_INT","."&amp;I$2&amp;I$1&amp;"P"&amp;$A22)*RTD("tos.rtd",,"LAST","."&amp;I$2&amp;I$1&amp;"P"&amp;$A22))/1000000,(100*RTD("tos.rtd",,"OPEN_INT","."&amp;I$2&amp;I$1&amp;"C"&amp;$A22)*RTD("tos.rtd",,"LAST","."&amp;I$2&amp;I$1&amp;"C"&amp;$A22)-100*RTD("tos.rtd",,"OPEN_INT","."&amp;I$2&amp;I$1&amp;"P"&amp;$A22)*RTD("tos.rtd",,"LAST","."&amp;I$2&amp;I$1&amp;"P"&amp;$A22))/1000000),0),IF($A$2="PREMIUM",IFERROR(IF($X$1="ABS",(100*RTD("tos.rtd",,"VOLUME","."&amp;I$2&amp;I$1&amp;"C"&amp;$A22)*RTD("tos.rtd",,"LAST","."&amp;I$2&amp;I$1&amp;"C"&amp;$A22)+100*RTD("tos.rtd",,"VOLUME","."&amp;I$2&amp;I$1&amp;"P"&amp;$A22)*RTD("tos.rtd",,"LAST","."&amp;I$2&amp;I$1&amp;"P"&amp;$A22))/1000000,(100*RTD("tos.rtd",,"VOLUME","."&amp;I$2&amp;I$1&amp;"C"&amp;$A22)*RTD("tos.rtd",,"LAST","."&amp;I$2&amp;I$1&amp;"C"&amp;$A22)-100*RTD("tos.rtd",,"VOLUME","."&amp;I$2&amp;I$1&amp;"P"&amp;$A22)*RTD("tos.rtd",,"LAST","."&amp;I$2&amp;I$1&amp;"P"&amp;$A22))/1000000),0),IF($A$2="DEX",IFERROR(IF($X$1="ABS",(100*RTD("tos.rtd",,"OPEN_INT","."&amp;I$2&amp;I$1&amp;"C"&amp;$A22)*RTD("tos.rtd",,"DELTA","."&amp;I$2&amp;I$1&amp;"C"&amp;$A22)+100*RTD("tos.rtd",,"OPEN_INT","."&amp;I$2&amp;I$1&amp;"P"&amp;$A22)*RTD("tos.rtd",,"DELTA","."&amp;I$2&amp;I$1&amp;"P"&amp;$A22))/1000,(100*RTD("tos.rtd",,"OPEN_INT","."&amp;I$2&amp;I$1&amp;"C"&amp;$A22)*RTD("tos.rtd",,"DELTA","."&amp;I$2&amp;I$1&amp;"C"&amp;$A22)-100*RTD("tos.rtd",,"OPEN_INT","."&amp;I$2&amp;I$1&amp;"P"&amp;$A22)*RTD("tos.rtd",,"DELTA","."&amp;I$2&amp;I$1&amp;"P"&amp;$A22))/1000),0),IF($A$2="VEX",IFERROR(IF($X$1="ABS",($A$4*$A$4*RTD("tos.rtd",,"VOLUME","."&amp;I$2&amp;I$1&amp;"C"&amp;$A22)*RTD("tos.rtd",,"GAMMA","."&amp;I$2&amp;I$1&amp;"C"&amp;$A22)+$A$4*$A$4*RTD("tos.rtd",,"VOLUME","."&amp;I$2&amp;I$1&amp;"P"&amp;$A22)*RTD("tos.rtd",,"GAMMA","."&amp;I$2&amp;I$1&amp;"P"&amp;$A22))/1000000,($A$4*$A$4*RTD("tos.rtd",,"VOLUME","."&amp;I$2&amp;I$1&amp;"C"&amp;$A22)*RTD("tos.rtd",,"GAMMA","."&amp;I$2&amp;I$1&amp;"C"&amp;$A22)-$A$4*$A$4*RTD("tos.rtd",,"VOLUME","."&amp;I$2&amp;I$1&amp;"P"&amp;$A22)*RTD("tos.rtd",,"GAMMA","."&amp;I$2&amp;I$1&amp;"P"&amp;$A22))/1000000),0),IF($A$2="GEX",IFERROR(IF($X$1="ABS",($A$4*$A$4*RTD("tos.rtd",,"OPEN_INT","."&amp;I$2&amp;I$1&amp;"C"&amp;$A22)*RTD("tos.rtd",,"GAMMA","."&amp;I$2&amp;I$1&amp;"C"&amp;$A22)+$A$4*$A$4*RTD("tos.rtd",,"OPEN_INT","."&amp;I$2&amp;I$1&amp;"P"&amp;$A22)*RTD("tos.rtd",,"GAMMA","."&amp;I$2&amp;I$1&amp;"P"&amp;$A22))/1000000,($A$4*$A$4*RTD("tos.rtd",,"OPEN_INT","."&amp;I$2&amp;I$1&amp;"C"&amp;$A22)*RTD("tos.rtd",,"GAMMA","."&amp;I$2&amp;I$1&amp;"C"&amp;$A22)-$A$4*$A$4*RTD("tos.rtd",,"OPEN_INT","."&amp;I$2&amp;I$1&amp;"P"&amp;$A22)*RTD("tos.rtd",,"GAMMA","."&amp;I$2&amp;I$1&amp;"P"&amp;$A22))/1000000),0),IF($A$2="SKEW",IFERROR(VALUE(IF(RTD("tos.rtd",,"IMPL_VOL","."&amp;I$2&amp;I$1&amp;"P"&amp;$A22)="N/A",0,RTD("tos.rtd",,"IMPL_VOL","."&amp;I$2&amp;I$1&amp;"P"&amp;$A22))),0)-IFERROR(VALUE(IF(RTD("tos.rtd",,"IMPL_VOL","."&amp;I$2&amp;I$1&amp;"C"&amp;$A22)="N/A",0,RTD("tos.rtd",,"IMPL_VOL","."&amp;I$2&amp;I$1&amp;"C"&amp;$A22))),0),IF($A$2="MAXPAIN",IF($A$4&gt;$A22,($A$4-$A22)*IF(RTD("tos.rtd",,"OPEN_INT","."&amp;I$2&amp;I$1&amp;"C"&amp;$A22)="N/A",0,RTD("tos.rtd",,"OPEN_INT","."&amp;I$2&amp;I$1&amp;"C"&amp;$A22)),0)+IF($A$4&lt;$A22,($A$5-$A$4)*IF(RTD("tos.rtd",,"OPEN_INT","."&amp;I$2&amp;I$1&amp;"P"&amp;$A22)="N/A",0,RTD("tos.rtd",,"OPEN_INT","."&amp;I$2&amp;I$1&amp;"P"&amp;$A22)),0),IF($X$1="ABS",IF(RTD("tos.rtd",,$A$2,"."&amp;I$2&amp;I$1&amp;"C"&amp;$A22)="N/A",0,RTD("tos.rtd",,$A$2,"."&amp;I$2&amp;I$1&amp;"C"&amp;$A22))+IF(RTD("tos.rtd",,$A$2,"."&amp;I$2&amp;I$1&amp;"P"&amp;$A22)="N/A",0,RTD("tos.rtd",,$A$2,"."&amp;I$2&amp;I$1&amp;"P"&amp;$A22)),IF(RTD("tos.rtd",,$A$2,"."&amp;I$2&amp;I$1&amp;"C"&amp;$A22)="N/A",0,RTD("tos.rtd",,$A$2,"."&amp;I$2&amp;I$1&amp;"C"&amp;$A22))-IF(RTD("tos.rtd",,$A$2,"."&amp;I$2&amp;I$1&amp;"P"&amp;$A22)="N/A",0,RTD("tos.rtd",,$A$2,"."&amp;I$2&amp;I$1&amp;"P"&amp;$A22))))))))))</f>
        <v>47</v>
      </c>
      <c r="J22" s="12">
        <f ca="1">IF($A$2="PREMIUM_OI",IFERROR(IF($X$1="ABS",(100*RTD("tos.rtd",,"OPEN_INT","."&amp;J$2&amp;J$1&amp;"C"&amp;$A22)*RTD("tos.rtd",,"LAST","."&amp;J$2&amp;J$1&amp;"C"&amp;$A22)+100*RTD("tos.rtd",,"OPEN_INT","."&amp;J$2&amp;J$1&amp;"P"&amp;$A22)*RTD("tos.rtd",,"LAST","."&amp;J$2&amp;J$1&amp;"P"&amp;$A22))/1000000,(100*RTD("tos.rtd",,"OPEN_INT","."&amp;J$2&amp;J$1&amp;"C"&amp;$A22)*RTD("tos.rtd",,"LAST","."&amp;J$2&amp;J$1&amp;"C"&amp;$A22)-100*RTD("tos.rtd",,"OPEN_INT","."&amp;J$2&amp;J$1&amp;"P"&amp;$A22)*RTD("tos.rtd",,"LAST","."&amp;J$2&amp;J$1&amp;"P"&amp;$A22))/1000000),0),IF($A$2="PREMIUM",IFERROR(IF($X$1="ABS",(100*RTD("tos.rtd",,"VOLUME","."&amp;J$2&amp;J$1&amp;"C"&amp;$A22)*RTD("tos.rtd",,"LAST","."&amp;J$2&amp;J$1&amp;"C"&amp;$A22)+100*RTD("tos.rtd",,"VOLUME","."&amp;J$2&amp;J$1&amp;"P"&amp;$A22)*RTD("tos.rtd",,"LAST","."&amp;J$2&amp;J$1&amp;"P"&amp;$A22))/1000000,(100*RTD("tos.rtd",,"VOLUME","."&amp;J$2&amp;J$1&amp;"C"&amp;$A22)*RTD("tos.rtd",,"LAST","."&amp;J$2&amp;J$1&amp;"C"&amp;$A22)-100*RTD("tos.rtd",,"VOLUME","."&amp;J$2&amp;J$1&amp;"P"&amp;$A22)*RTD("tos.rtd",,"LAST","."&amp;J$2&amp;J$1&amp;"P"&amp;$A22))/1000000),0),IF($A$2="DEX",IFERROR(IF($X$1="ABS",(100*RTD("tos.rtd",,"OPEN_INT","."&amp;J$2&amp;J$1&amp;"C"&amp;$A22)*RTD("tos.rtd",,"DELTA","."&amp;J$2&amp;J$1&amp;"C"&amp;$A22)+100*RTD("tos.rtd",,"OPEN_INT","."&amp;J$2&amp;J$1&amp;"P"&amp;$A22)*RTD("tos.rtd",,"DELTA","."&amp;J$2&amp;J$1&amp;"P"&amp;$A22))/1000,(100*RTD("tos.rtd",,"OPEN_INT","."&amp;J$2&amp;J$1&amp;"C"&amp;$A22)*RTD("tos.rtd",,"DELTA","."&amp;J$2&amp;J$1&amp;"C"&amp;$A22)-100*RTD("tos.rtd",,"OPEN_INT","."&amp;J$2&amp;J$1&amp;"P"&amp;$A22)*RTD("tos.rtd",,"DELTA","."&amp;J$2&amp;J$1&amp;"P"&amp;$A22))/1000),0),IF($A$2="VEX",IFERROR(IF($X$1="ABS",($A$4*$A$4*RTD("tos.rtd",,"VOLUME","."&amp;J$2&amp;J$1&amp;"C"&amp;$A22)*RTD("tos.rtd",,"GAMMA","."&amp;J$2&amp;J$1&amp;"C"&amp;$A22)+$A$4*$A$4*RTD("tos.rtd",,"VOLUME","."&amp;J$2&amp;J$1&amp;"P"&amp;$A22)*RTD("tos.rtd",,"GAMMA","."&amp;J$2&amp;J$1&amp;"P"&amp;$A22))/1000000,($A$4*$A$4*RTD("tos.rtd",,"VOLUME","."&amp;J$2&amp;J$1&amp;"C"&amp;$A22)*RTD("tos.rtd",,"GAMMA","."&amp;J$2&amp;J$1&amp;"C"&amp;$A22)-$A$4*$A$4*RTD("tos.rtd",,"VOLUME","."&amp;J$2&amp;J$1&amp;"P"&amp;$A22)*RTD("tos.rtd",,"GAMMA","."&amp;J$2&amp;J$1&amp;"P"&amp;$A22))/1000000),0),IF($A$2="GEX",IFERROR(IF($X$1="ABS",($A$4*$A$4*RTD("tos.rtd",,"OPEN_INT","."&amp;J$2&amp;J$1&amp;"C"&amp;$A22)*RTD("tos.rtd",,"GAMMA","."&amp;J$2&amp;J$1&amp;"C"&amp;$A22)+$A$4*$A$4*RTD("tos.rtd",,"OPEN_INT","."&amp;J$2&amp;J$1&amp;"P"&amp;$A22)*RTD("tos.rtd",,"GAMMA","."&amp;J$2&amp;J$1&amp;"P"&amp;$A22))/1000000,($A$4*$A$4*RTD("tos.rtd",,"OPEN_INT","."&amp;J$2&amp;J$1&amp;"C"&amp;$A22)*RTD("tos.rtd",,"GAMMA","."&amp;J$2&amp;J$1&amp;"C"&amp;$A22)-$A$4*$A$4*RTD("tos.rtd",,"OPEN_INT","."&amp;J$2&amp;J$1&amp;"P"&amp;$A22)*RTD("tos.rtd",,"GAMMA","."&amp;J$2&amp;J$1&amp;"P"&amp;$A22))/1000000),0),IF($A$2="SKEW",IFERROR(VALUE(IF(RTD("tos.rtd",,"IMPL_VOL","."&amp;J$2&amp;J$1&amp;"P"&amp;$A22)="N/A",0,RTD("tos.rtd",,"IMPL_VOL","."&amp;J$2&amp;J$1&amp;"P"&amp;$A22))),0)-IFERROR(VALUE(IF(RTD("tos.rtd",,"IMPL_VOL","."&amp;J$2&amp;J$1&amp;"C"&amp;$A22)="N/A",0,RTD("tos.rtd",,"IMPL_VOL","."&amp;J$2&amp;J$1&amp;"C"&amp;$A22))),0),IF($A$2="MAXPAIN",IF($A$4&gt;$A22,($A$4-$A22)*IF(RTD("tos.rtd",,"OPEN_INT","."&amp;J$2&amp;J$1&amp;"C"&amp;$A22)="N/A",0,RTD("tos.rtd",,"OPEN_INT","."&amp;J$2&amp;J$1&amp;"C"&amp;$A22)),0)+IF($A$4&lt;$A22,($A$5-$A$4)*IF(RTD("tos.rtd",,"OPEN_INT","."&amp;J$2&amp;J$1&amp;"P"&amp;$A22)="N/A",0,RTD("tos.rtd",,"OPEN_INT","."&amp;J$2&amp;J$1&amp;"P"&amp;$A22)),0),IF($X$1="ABS",IF(RTD("tos.rtd",,$A$2,"."&amp;J$2&amp;J$1&amp;"C"&amp;$A22)="N/A",0,RTD("tos.rtd",,$A$2,"."&amp;J$2&amp;J$1&amp;"C"&amp;$A22))+IF(RTD("tos.rtd",,$A$2,"."&amp;J$2&amp;J$1&amp;"P"&amp;$A22)="N/A",0,RTD("tos.rtd",,$A$2,"."&amp;J$2&amp;J$1&amp;"P"&amp;$A22)),IF(RTD("tos.rtd",,$A$2,"."&amp;J$2&amp;J$1&amp;"C"&amp;$A22)="N/A",0,RTD("tos.rtd",,$A$2,"."&amp;J$2&amp;J$1&amp;"C"&amp;$A22))-IF(RTD("tos.rtd",,$A$2,"."&amp;J$2&amp;J$1&amp;"P"&amp;$A22)="N/A",0,RTD("tos.rtd",,$A$2,"."&amp;J$2&amp;J$1&amp;"P"&amp;$A22))))))))))</f>
        <v>0</v>
      </c>
      <c r="K22" s="12">
        <f ca="1">IF($A$2="PREMIUM_OI",IFERROR(IF($X$1="ABS",(100*RTD("tos.rtd",,"OPEN_INT","."&amp;K$2&amp;K$1&amp;"C"&amp;$A22)*RTD("tos.rtd",,"LAST","."&amp;K$2&amp;K$1&amp;"C"&amp;$A22)+100*RTD("tos.rtd",,"OPEN_INT","."&amp;K$2&amp;K$1&amp;"P"&amp;$A22)*RTD("tos.rtd",,"LAST","."&amp;K$2&amp;K$1&amp;"P"&amp;$A22))/1000000,(100*RTD("tos.rtd",,"OPEN_INT","."&amp;K$2&amp;K$1&amp;"C"&amp;$A22)*RTD("tos.rtd",,"LAST","."&amp;K$2&amp;K$1&amp;"C"&amp;$A22)-100*RTD("tos.rtd",,"OPEN_INT","."&amp;K$2&amp;K$1&amp;"P"&amp;$A22)*RTD("tos.rtd",,"LAST","."&amp;K$2&amp;K$1&amp;"P"&amp;$A22))/1000000),0),IF($A$2="PREMIUM",IFERROR(IF($X$1="ABS",(100*RTD("tos.rtd",,"VOLUME","."&amp;K$2&amp;K$1&amp;"C"&amp;$A22)*RTD("tos.rtd",,"LAST","."&amp;K$2&amp;K$1&amp;"C"&amp;$A22)+100*RTD("tos.rtd",,"VOLUME","."&amp;K$2&amp;K$1&amp;"P"&amp;$A22)*RTD("tos.rtd",,"LAST","."&amp;K$2&amp;K$1&amp;"P"&amp;$A22))/1000000,(100*RTD("tos.rtd",,"VOLUME","."&amp;K$2&amp;K$1&amp;"C"&amp;$A22)*RTD("tos.rtd",,"LAST","."&amp;K$2&amp;K$1&amp;"C"&amp;$A22)-100*RTD("tos.rtd",,"VOLUME","."&amp;K$2&amp;K$1&amp;"P"&amp;$A22)*RTD("tos.rtd",,"LAST","."&amp;K$2&amp;K$1&amp;"P"&amp;$A22))/1000000),0),IF($A$2="DEX",IFERROR(IF($X$1="ABS",(100*RTD("tos.rtd",,"OPEN_INT","."&amp;K$2&amp;K$1&amp;"C"&amp;$A22)*RTD("tos.rtd",,"DELTA","."&amp;K$2&amp;K$1&amp;"C"&amp;$A22)+100*RTD("tos.rtd",,"OPEN_INT","."&amp;K$2&amp;K$1&amp;"P"&amp;$A22)*RTD("tos.rtd",,"DELTA","."&amp;K$2&amp;K$1&amp;"P"&amp;$A22))/1000,(100*RTD("tos.rtd",,"OPEN_INT","."&amp;K$2&amp;K$1&amp;"C"&amp;$A22)*RTD("tos.rtd",,"DELTA","."&amp;K$2&amp;K$1&amp;"C"&amp;$A22)-100*RTD("tos.rtd",,"OPEN_INT","."&amp;K$2&amp;K$1&amp;"P"&amp;$A22)*RTD("tos.rtd",,"DELTA","."&amp;K$2&amp;K$1&amp;"P"&amp;$A22))/1000),0),IF($A$2="VEX",IFERROR(IF($X$1="ABS",($A$4*$A$4*RTD("tos.rtd",,"VOLUME","."&amp;K$2&amp;K$1&amp;"C"&amp;$A22)*RTD("tos.rtd",,"GAMMA","."&amp;K$2&amp;K$1&amp;"C"&amp;$A22)+$A$4*$A$4*RTD("tos.rtd",,"VOLUME","."&amp;K$2&amp;K$1&amp;"P"&amp;$A22)*RTD("tos.rtd",,"GAMMA","."&amp;K$2&amp;K$1&amp;"P"&amp;$A22))/1000000,($A$4*$A$4*RTD("tos.rtd",,"VOLUME","."&amp;K$2&amp;K$1&amp;"C"&amp;$A22)*RTD("tos.rtd",,"GAMMA","."&amp;K$2&amp;K$1&amp;"C"&amp;$A22)-$A$4*$A$4*RTD("tos.rtd",,"VOLUME","."&amp;K$2&amp;K$1&amp;"P"&amp;$A22)*RTD("tos.rtd",,"GAMMA","."&amp;K$2&amp;K$1&amp;"P"&amp;$A22))/1000000),0),IF($A$2="GEX",IFERROR(IF($X$1="ABS",($A$4*$A$4*RTD("tos.rtd",,"OPEN_INT","."&amp;K$2&amp;K$1&amp;"C"&amp;$A22)*RTD("tos.rtd",,"GAMMA","."&amp;K$2&amp;K$1&amp;"C"&amp;$A22)+$A$4*$A$4*RTD("tos.rtd",,"OPEN_INT","."&amp;K$2&amp;K$1&amp;"P"&amp;$A22)*RTD("tos.rtd",,"GAMMA","."&amp;K$2&amp;K$1&amp;"P"&amp;$A22))/1000000,($A$4*$A$4*RTD("tos.rtd",,"OPEN_INT","."&amp;K$2&amp;K$1&amp;"C"&amp;$A22)*RTD("tos.rtd",,"GAMMA","."&amp;K$2&amp;K$1&amp;"C"&amp;$A22)-$A$4*$A$4*RTD("tos.rtd",,"OPEN_INT","."&amp;K$2&amp;K$1&amp;"P"&amp;$A22)*RTD("tos.rtd",,"GAMMA","."&amp;K$2&amp;K$1&amp;"P"&amp;$A22))/1000000),0),IF($A$2="SKEW",IFERROR(VALUE(IF(RTD("tos.rtd",,"IMPL_VOL","."&amp;K$2&amp;K$1&amp;"P"&amp;$A22)="N/A",0,RTD("tos.rtd",,"IMPL_VOL","."&amp;K$2&amp;K$1&amp;"P"&amp;$A22))),0)-IFERROR(VALUE(IF(RTD("tos.rtd",,"IMPL_VOL","."&amp;K$2&amp;K$1&amp;"C"&amp;$A22)="N/A",0,RTD("tos.rtd",,"IMPL_VOL","."&amp;K$2&amp;K$1&amp;"C"&amp;$A22))),0),IF($A$2="MAXPAIN",IF($A$4&gt;$A22,($A$4-$A22)*IF(RTD("tos.rtd",,"OPEN_INT","."&amp;K$2&amp;K$1&amp;"C"&amp;$A22)="N/A",0,RTD("tos.rtd",,"OPEN_INT","."&amp;K$2&amp;K$1&amp;"C"&amp;$A22)),0)+IF($A$4&lt;$A22,($A$5-$A$4)*IF(RTD("tos.rtd",,"OPEN_INT","."&amp;K$2&amp;K$1&amp;"P"&amp;$A22)="N/A",0,RTD("tos.rtd",,"OPEN_INT","."&amp;K$2&amp;K$1&amp;"P"&amp;$A22)),0),IF($X$1="ABS",IF(RTD("tos.rtd",,$A$2,"."&amp;K$2&amp;K$1&amp;"C"&amp;$A22)="N/A",0,RTD("tos.rtd",,$A$2,"."&amp;K$2&amp;K$1&amp;"C"&amp;$A22))+IF(RTD("tos.rtd",,$A$2,"."&amp;K$2&amp;K$1&amp;"P"&amp;$A22)="N/A",0,RTD("tos.rtd",,$A$2,"."&amp;K$2&amp;K$1&amp;"P"&amp;$A22)),IF(RTD("tos.rtd",,$A$2,"."&amp;K$2&amp;K$1&amp;"C"&amp;$A22)="N/A",0,RTD("tos.rtd",,$A$2,"."&amp;K$2&amp;K$1&amp;"C"&amp;$A22))-IF(RTD("tos.rtd",,$A$2,"."&amp;K$2&amp;K$1&amp;"P"&amp;$A22)="N/A",0,RTD("tos.rtd",,$A$2,"."&amp;K$2&amp;K$1&amp;"P"&amp;$A22))))))))))</f>
        <v>0</v>
      </c>
      <c r="L22" s="54">
        <f ca="1">IF($A$2="PREMIUM_OI",IFERROR(IF($X$1="ABS",(100*RTD("tos.rtd",,"OPEN_INT","."&amp;L$2&amp;L$1&amp;"C"&amp;$A22)*RTD("tos.rtd",,"LAST","."&amp;L$2&amp;L$1&amp;"C"&amp;$A22)+100*RTD("tos.rtd",,"OPEN_INT","."&amp;L$2&amp;L$1&amp;"P"&amp;$A22)*RTD("tos.rtd",,"LAST","."&amp;L$2&amp;L$1&amp;"P"&amp;$A22))/1000000,(100*RTD("tos.rtd",,"OPEN_INT","."&amp;L$2&amp;L$1&amp;"C"&amp;$A22)*RTD("tos.rtd",,"LAST","."&amp;L$2&amp;L$1&amp;"C"&amp;$A22)-100*RTD("tos.rtd",,"OPEN_INT","."&amp;L$2&amp;L$1&amp;"P"&amp;$A22)*RTD("tos.rtd",,"LAST","."&amp;L$2&amp;L$1&amp;"P"&amp;$A22))/1000000),0),IF($A$2="PREMIUM",IFERROR(IF($X$1="ABS",(100*RTD("tos.rtd",,"VOLUME","."&amp;L$2&amp;L$1&amp;"C"&amp;$A22)*RTD("tos.rtd",,"LAST","."&amp;L$2&amp;L$1&amp;"C"&amp;$A22)+100*RTD("tos.rtd",,"VOLUME","."&amp;L$2&amp;L$1&amp;"P"&amp;$A22)*RTD("tos.rtd",,"LAST","."&amp;L$2&amp;L$1&amp;"P"&amp;$A22))/1000000,(100*RTD("tos.rtd",,"VOLUME","."&amp;L$2&amp;L$1&amp;"C"&amp;$A22)*RTD("tos.rtd",,"LAST","."&amp;L$2&amp;L$1&amp;"C"&amp;$A22)-100*RTD("tos.rtd",,"VOLUME","."&amp;L$2&amp;L$1&amp;"P"&amp;$A22)*RTD("tos.rtd",,"LAST","."&amp;L$2&amp;L$1&amp;"P"&amp;$A22))/1000000),0),IF($A$2="DEX",IFERROR(IF($X$1="ABS",(100*RTD("tos.rtd",,"OPEN_INT","."&amp;L$2&amp;L$1&amp;"C"&amp;$A22)*RTD("tos.rtd",,"DELTA","."&amp;L$2&amp;L$1&amp;"C"&amp;$A22)+100*RTD("tos.rtd",,"OPEN_INT","."&amp;L$2&amp;L$1&amp;"P"&amp;$A22)*RTD("tos.rtd",,"DELTA","."&amp;L$2&amp;L$1&amp;"P"&amp;$A22))/1000,(100*RTD("tos.rtd",,"OPEN_INT","."&amp;L$2&amp;L$1&amp;"C"&amp;$A22)*RTD("tos.rtd",,"DELTA","."&amp;L$2&amp;L$1&amp;"C"&amp;$A22)-100*RTD("tos.rtd",,"OPEN_INT","."&amp;L$2&amp;L$1&amp;"P"&amp;$A22)*RTD("tos.rtd",,"DELTA","."&amp;L$2&amp;L$1&amp;"P"&amp;$A22))/1000),0),IF($A$2="VEX",IFERROR(IF($X$1="ABS",($A$4*$A$4*RTD("tos.rtd",,"VOLUME","."&amp;L$2&amp;L$1&amp;"C"&amp;$A22)*RTD("tos.rtd",,"GAMMA","."&amp;L$2&amp;L$1&amp;"C"&amp;$A22)+$A$4*$A$4*RTD("tos.rtd",,"VOLUME","."&amp;L$2&amp;L$1&amp;"P"&amp;$A22)*RTD("tos.rtd",,"GAMMA","."&amp;L$2&amp;L$1&amp;"P"&amp;$A22))/1000000,($A$4*$A$4*RTD("tos.rtd",,"VOLUME","."&amp;L$2&amp;L$1&amp;"C"&amp;$A22)*RTD("tos.rtd",,"GAMMA","."&amp;L$2&amp;L$1&amp;"C"&amp;$A22)-$A$4*$A$4*RTD("tos.rtd",,"VOLUME","."&amp;L$2&amp;L$1&amp;"P"&amp;$A22)*RTD("tos.rtd",,"GAMMA","."&amp;L$2&amp;L$1&amp;"P"&amp;$A22))/1000000),0),IF($A$2="GEX",IFERROR(IF($X$1="ABS",($A$4*$A$4*RTD("tos.rtd",,"OPEN_INT","."&amp;L$2&amp;L$1&amp;"C"&amp;$A22)*RTD("tos.rtd",,"GAMMA","."&amp;L$2&amp;L$1&amp;"C"&amp;$A22)+$A$4*$A$4*RTD("tos.rtd",,"OPEN_INT","."&amp;L$2&amp;L$1&amp;"P"&amp;$A22)*RTD("tos.rtd",,"GAMMA","."&amp;L$2&amp;L$1&amp;"P"&amp;$A22))/1000000,($A$4*$A$4*RTD("tos.rtd",,"OPEN_INT","."&amp;L$2&amp;L$1&amp;"C"&amp;$A22)*RTD("tos.rtd",,"GAMMA","."&amp;L$2&amp;L$1&amp;"C"&amp;$A22)-$A$4*$A$4*RTD("tos.rtd",,"OPEN_INT","."&amp;L$2&amp;L$1&amp;"P"&amp;$A22)*RTD("tos.rtd",,"GAMMA","."&amp;L$2&amp;L$1&amp;"P"&amp;$A22))/1000000),0),IF($A$2="SKEW",IFERROR(VALUE(IF(RTD("tos.rtd",,"IMPL_VOL","."&amp;L$2&amp;L$1&amp;"P"&amp;$A22)="N/A",0,RTD("tos.rtd",,"IMPL_VOL","."&amp;L$2&amp;L$1&amp;"P"&amp;$A22))),0)-IFERROR(VALUE(IF(RTD("tos.rtd",,"IMPL_VOL","."&amp;L$2&amp;L$1&amp;"C"&amp;$A22)="N/A",0,RTD("tos.rtd",,"IMPL_VOL","."&amp;L$2&amp;L$1&amp;"C"&amp;$A22))),0),IF($A$2="MAXPAIN",IF($A$4&gt;$A22,($A$4-$A22)*IF(RTD("tos.rtd",,"OPEN_INT","."&amp;L$2&amp;L$1&amp;"C"&amp;$A22)="N/A",0,RTD("tos.rtd",,"OPEN_INT","."&amp;L$2&amp;L$1&amp;"C"&amp;$A22)),0)+IF($A$4&lt;$A22,($A$5-$A$4)*IF(RTD("tos.rtd",,"OPEN_INT","."&amp;L$2&amp;L$1&amp;"P"&amp;$A22)="N/A",0,RTD("tos.rtd",,"OPEN_INT","."&amp;L$2&amp;L$1&amp;"P"&amp;$A22)),0),IF($X$1="ABS",IF(RTD("tos.rtd",,$A$2,"."&amp;L$2&amp;L$1&amp;"C"&amp;$A22)="N/A",0,RTD("tos.rtd",,$A$2,"."&amp;L$2&amp;L$1&amp;"C"&amp;$A22))+IF(RTD("tos.rtd",,$A$2,"."&amp;L$2&amp;L$1&amp;"P"&amp;$A22)="N/A",0,RTD("tos.rtd",,$A$2,"."&amp;L$2&amp;L$1&amp;"P"&amp;$A22)),IF(RTD("tos.rtd",,$A$2,"."&amp;L$2&amp;L$1&amp;"C"&amp;$A22)="N/A",0,RTD("tos.rtd",,$A$2,"."&amp;L$2&amp;L$1&amp;"C"&amp;$A22))-IF(RTD("tos.rtd",,$A$2,"."&amp;L$2&amp;L$1&amp;"P"&amp;$A22)="N/A",0,RTD("tos.rtd",,$A$2,"."&amp;L$2&amp;L$1&amp;"P"&amp;$A22))))))))))</f>
        <v>10138</v>
      </c>
      <c r="M22" s="12">
        <f ca="1">IF($A$2="PREMIUM_OI",IFERROR(IF($X$1="ABS",(100*RTD("tos.rtd",,"OPEN_INT","."&amp;M$2&amp;M$1&amp;"C"&amp;$A22)*RTD("tos.rtd",,"LAST","."&amp;M$2&amp;M$1&amp;"C"&amp;$A22)+100*RTD("tos.rtd",,"OPEN_INT","."&amp;M$2&amp;M$1&amp;"P"&amp;$A22)*RTD("tos.rtd",,"LAST","."&amp;M$2&amp;M$1&amp;"P"&amp;$A22))/1000000,(100*RTD("tos.rtd",,"OPEN_INT","."&amp;M$2&amp;M$1&amp;"C"&amp;$A22)*RTD("tos.rtd",,"LAST","."&amp;M$2&amp;M$1&amp;"C"&amp;$A22)-100*RTD("tos.rtd",,"OPEN_INT","."&amp;M$2&amp;M$1&amp;"P"&amp;$A22)*RTD("tos.rtd",,"LAST","."&amp;M$2&amp;M$1&amp;"P"&amp;$A22))/1000000),0),IF($A$2="PREMIUM",IFERROR(IF($X$1="ABS",(100*RTD("tos.rtd",,"VOLUME","."&amp;M$2&amp;M$1&amp;"C"&amp;$A22)*RTD("tos.rtd",,"LAST","."&amp;M$2&amp;M$1&amp;"C"&amp;$A22)+100*RTD("tos.rtd",,"VOLUME","."&amp;M$2&amp;M$1&amp;"P"&amp;$A22)*RTD("tos.rtd",,"LAST","."&amp;M$2&amp;M$1&amp;"P"&amp;$A22))/1000000,(100*RTD("tos.rtd",,"VOLUME","."&amp;M$2&amp;M$1&amp;"C"&amp;$A22)*RTD("tos.rtd",,"LAST","."&amp;M$2&amp;M$1&amp;"C"&amp;$A22)-100*RTD("tos.rtd",,"VOLUME","."&amp;M$2&amp;M$1&amp;"P"&amp;$A22)*RTD("tos.rtd",,"LAST","."&amp;M$2&amp;M$1&amp;"P"&amp;$A22))/1000000),0),IF($A$2="DEX",IFERROR(IF($X$1="ABS",(100*RTD("tos.rtd",,"OPEN_INT","."&amp;M$2&amp;M$1&amp;"C"&amp;$A22)*RTD("tos.rtd",,"DELTA","."&amp;M$2&amp;M$1&amp;"C"&amp;$A22)+100*RTD("tos.rtd",,"OPEN_INT","."&amp;M$2&amp;M$1&amp;"P"&amp;$A22)*RTD("tos.rtd",,"DELTA","."&amp;M$2&amp;M$1&amp;"P"&amp;$A22))/1000,(100*RTD("tos.rtd",,"OPEN_INT","."&amp;M$2&amp;M$1&amp;"C"&amp;$A22)*RTD("tos.rtd",,"DELTA","."&amp;M$2&amp;M$1&amp;"C"&amp;$A22)-100*RTD("tos.rtd",,"OPEN_INT","."&amp;M$2&amp;M$1&amp;"P"&amp;$A22)*RTD("tos.rtd",,"DELTA","."&amp;M$2&amp;M$1&amp;"P"&amp;$A22))/1000),0),IF($A$2="VEX",IFERROR(IF($X$1="ABS",($A$4*$A$4*RTD("tos.rtd",,"VOLUME","."&amp;M$2&amp;M$1&amp;"C"&amp;$A22)*RTD("tos.rtd",,"GAMMA","."&amp;M$2&amp;M$1&amp;"C"&amp;$A22)+$A$4*$A$4*RTD("tos.rtd",,"VOLUME","."&amp;M$2&amp;M$1&amp;"P"&amp;$A22)*RTD("tos.rtd",,"GAMMA","."&amp;M$2&amp;M$1&amp;"P"&amp;$A22))/1000000,($A$4*$A$4*RTD("tos.rtd",,"VOLUME","."&amp;M$2&amp;M$1&amp;"C"&amp;$A22)*RTD("tos.rtd",,"GAMMA","."&amp;M$2&amp;M$1&amp;"C"&amp;$A22)-$A$4*$A$4*RTD("tos.rtd",,"VOLUME","."&amp;M$2&amp;M$1&amp;"P"&amp;$A22)*RTD("tos.rtd",,"GAMMA","."&amp;M$2&amp;M$1&amp;"P"&amp;$A22))/1000000),0),IF($A$2="GEX",IFERROR(IF($X$1="ABS",($A$4*$A$4*RTD("tos.rtd",,"OPEN_INT","."&amp;M$2&amp;M$1&amp;"C"&amp;$A22)*RTD("tos.rtd",,"GAMMA","."&amp;M$2&amp;M$1&amp;"C"&amp;$A22)+$A$4*$A$4*RTD("tos.rtd",,"OPEN_INT","."&amp;M$2&amp;M$1&amp;"P"&amp;$A22)*RTD("tos.rtd",,"GAMMA","."&amp;M$2&amp;M$1&amp;"P"&amp;$A22))/1000000,($A$4*$A$4*RTD("tos.rtd",,"OPEN_INT","."&amp;M$2&amp;M$1&amp;"C"&amp;$A22)*RTD("tos.rtd",,"GAMMA","."&amp;M$2&amp;M$1&amp;"C"&amp;$A22)-$A$4*$A$4*RTD("tos.rtd",,"OPEN_INT","."&amp;M$2&amp;M$1&amp;"P"&amp;$A22)*RTD("tos.rtd",,"GAMMA","."&amp;M$2&amp;M$1&amp;"P"&amp;$A22))/1000000),0),IF($A$2="SKEW",IFERROR(VALUE(IF(RTD("tos.rtd",,"IMPL_VOL","."&amp;M$2&amp;M$1&amp;"P"&amp;$A22)="N/A",0,RTD("tos.rtd",,"IMPL_VOL","."&amp;M$2&amp;M$1&amp;"P"&amp;$A22))),0)-IFERROR(VALUE(IF(RTD("tos.rtd",,"IMPL_VOL","."&amp;M$2&amp;M$1&amp;"C"&amp;$A22)="N/A",0,RTD("tos.rtd",,"IMPL_VOL","."&amp;M$2&amp;M$1&amp;"C"&amp;$A22))),0),IF($A$2="MAXPAIN",IF($A$4&gt;$A22,($A$4-$A22)*IF(RTD("tos.rtd",,"OPEN_INT","."&amp;M$2&amp;M$1&amp;"C"&amp;$A22)="N/A",0,RTD("tos.rtd",,"OPEN_INT","."&amp;M$2&amp;M$1&amp;"C"&amp;$A22)),0)+IF($A$4&lt;$A22,($A$5-$A$4)*IF(RTD("tos.rtd",,"OPEN_INT","."&amp;M$2&amp;M$1&amp;"P"&amp;$A22)="N/A",0,RTD("tos.rtd",,"OPEN_INT","."&amp;M$2&amp;M$1&amp;"P"&amp;$A22)),0),IF($X$1="ABS",IF(RTD("tos.rtd",,$A$2,"."&amp;M$2&amp;M$1&amp;"C"&amp;$A22)="N/A",0,RTD("tos.rtd",,$A$2,"."&amp;M$2&amp;M$1&amp;"C"&amp;$A22))+IF(RTD("tos.rtd",,$A$2,"."&amp;M$2&amp;M$1&amp;"P"&amp;$A22)="N/A",0,RTD("tos.rtd",,$A$2,"."&amp;M$2&amp;M$1&amp;"P"&amp;$A22)),IF(RTD("tos.rtd",,$A$2,"."&amp;M$2&amp;M$1&amp;"C"&amp;$A22)="N/A",0,RTD("tos.rtd",,$A$2,"."&amp;M$2&amp;M$1&amp;"C"&amp;$A22))-IF(RTD("tos.rtd",,$A$2,"."&amp;M$2&amp;M$1&amp;"P"&amp;$A22)="N/A",0,RTD("tos.rtd",,$A$2,"."&amp;M$2&amp;M$1&amp;"P"&amp;$A22))))))))))</f>
        <v>10626</v>
      </c>
      <c r="N22" s="12">
        <f ca="1">IF($A$2="PREMIUM_OI",IFERROR(IF($X$1="ABS",(100*RTD("tos.rtd",,"OPEN_INT","."&amp;N$2&amp;N$1&amp;"C"&amp;$A22)*RTD("tos.rtd",,"LAST","."&amp;N$2&amp;N$1&amp;"C"&amp;$A22)+100*RTD("tos.rtd",,"OPEN_INT","."&amp;N$2&amp;N$1&amp;"P"&amp;$A22)*RTD("tos.rtd",,"LAST","."&amp;N$2&amp;N$1&amp;"P"&amp;$A22))/1000000,(100*RTD("tos.rtd",,"OPEN_INT","."&amp;N$2&amp;N$1&amp;"C"&amp;$A22)*RTD("tos.rtd",,"LAST","."&amp;N$2&amp;N$1&amp;"C"&amp;$A22)-100*RTD("tos.rtd",,"OPEN_INT","."&amp;N$2&amp;N$1&amp;"P"&amp;$A22)*RTD("tos.rtd",,"LAST","."&amp;N$2&amp;N$1&amp;"P"&amp;$A22))/1000000),0),IF($A$2="PREMIUM",IFERROR(IF($X$1="ABS",(100*RTD("tos.rtd",,"VOLUME","."&amp;N$2&amp;N$1&amp;"C"&amp;$A22)*RTD("tos.rtd",,"LAST","."&amp;N$2&amp;N$1&amp;"C"&amp;$A22)+100*RTD("tos.rtd",,"VOLUME","."&amp;N$2&amp;N$1&amp;"P"&amp;$A22)*RTD("tos.rtd",,"LAST","."&amp;N$2&amp;N$1&amp;"P"&amp;$A22))/1000000,(100*RTD("tos.rtd",,"VOLUME","."&amp;N$2&amp;N$1&amp;"C"&amp;$A22)*RTD("tos.rtd",,"LAST","."&amp;N$2&amp;N$1&amp;"C"&amp;$A22)-100*RTD("tos.rtd",,"VOLUME","."&amp;N$2&amp;N$1&amp;"P"&amp;$A22)*RTD("tos.rtd",,"LAST","."&amp;N$2&amp;N$1&amp;"P"&amp;$A22))/1000000),0),IF($A$2="DEX",IFERROR(IF($X$1="ABS",(100*RTD("tos.rtd",,"OPEN_INT","."&amp;N$2&amp;N$1&amp;"C"&amp;$A22)*RTD("tos.rtd",,"DELTA","."&amp;N$2&amp;N$1&amp;"C"&amp;$A22)+100*RTD("tos.rtd",,"OPEN_INT","."&amp;N$2&amp;N$1&amp;"P"&amp;$A22)*RTD("tos.rtd",,"DELTA","."&amp;N$2&amp;N$1&amp;"P"&amp;$A22))/1000,(100*RTD("tos.rtd",,"OPEN_INT","."&amp;N$2&amp;N$1&amp;"C"&amp;$A22)*RTD("tos.rtd",,"DELTA","."&amp;N$2&amp;N$1&amp;"C"&amp;$A22)-100*RTD("tos.rtd",,"OPEN_INT","."&amp;N$2&amp;N$1&amp;"P"&amp;$A22)*RTD("tos.rtd",,"DELTA","."&amp;N$2&amp;N$1&amp;"P"&amp;$A22))/1000),0),IF($A$2="VEX",IFERROR(IF($X$1="ABS",($A$4*$A$4*RTD("tos.rtd",,"VOLUME","."&amp;N$2&amp;N$1&amp;"C"&amp;$A22)*RTD("tos.rtd",,"GAMMA","."&amp;N$2&amp;N$1&amp;"C"&amp;$A22)+$A$4*$A$4*RTD("tos.rtd",,"VOLUME","."&amp;N$2&amp;N$1&amp;"P"&amp;$A22)*RTD("tos.rtd",,"GAMMA","."&amp;N$2&amp;N$1&amp;"P"&amp;$A22))/1000000,($A$4*$A$4*RTD("tos.rtd",,"VOLUME","."&amp;N$2&amp;N$1&amp;"C"&amp;$A22)*RTD("tos.rtd",,"GAMMA","."&amp;N$2&amp;N$1&amp;"C"&amp;$A22)-$A$4*$A$4*RTD("tos.rtd",,"VOLUME","."&amp;N$2&amp;N$1&amp;"P"&amp;$A22)*RTD("tos.rtd",,"GAMMA","."&amp;N$2&amp;N$1&amp;"P"&amp;$A22))/1000000),0),IF($A$2="GEX",IFERROR(IF($X$1="ABS",($A$4*$A$4*RTD("tos.rtd",,"OPEN_INT","."&amp;N$2&amp;N$1&amp;"C"&amp;$A22)*RTD("tos.rtd",,"GAMMA","."&amp;N$2&amp;N$1&amp;"C"&amp;$A22)+$A$4*$A$4*RTD("tos.rtd",,"OPEN_INT","."&amp;N$2&amp;N$1&amp;"P"&amp;$A22)*RTD("tos.rtd",,"GAMMA","."&amp;N$2&amp;N$1&amp;"P"&amp;$A22))/1000000,($A$4*$A$4*RTD("tos.rtd",,"OPEN_INT","."&amp;N$2&amp;N$1&amp;"C"&amp;$A22)*RTD("tos.rtd",,"GAMMA","."&amp;N$2&amp;N$1&amp;"C"&amp;$A22)-$A$4*$A$4*RTD("tos.rtd",,"OPEN_INT","."&amp;N$2&amp;N$1&amp;"P"&amp;$A22)*RTD("tos.rtd",,"GAMMA","."&amp;N$2&amp;N$1&amp;"P"&amp;$A22))/1000000),0),IF($A$2="SKEW",IFERROR(VALUE(IF(RTD("tos.rtd",,"IMPL_VOL","."&amp;N$2&amp;N$1&amp;"P"&amp;$A22)="N/A",0,RTD("tos.rtd",,"IMPL_VOL","."&amp;N$2&amp;N$1&amp;"P"&amp;$A22))),0)-IFERROR(VALUE(IF(RTD("tos.rtd",,"IMPL_VOL","."&amp;N$2&amp;N$1&amp;"C"&amp;$A22)="N/A",0,RTD("tos.rtd",,"IMPL_VOL","."&amp;N$2&amp;N$1&amp;"C"&amp;$A22))),0),IF($A$2="MAXPAIN",IF($A$4&gt;$A22,($A$4-$A22)*IF(RTD("tos.rtd",,"OPEN_INT","."&amp;N$2&amp;N$1&amp;"C"&amp;$A22)="N/A",0,RTD("tos.rtd",,"OPEN_INT","."&amp;N$2&amp;N$1&amp;"C"&amp;$A22)),0)+IF($A$4&lt;$A22,($A$5-$A$4)*IF(RTD("tos.rtd",,"OPEN_INT","."&amp;N$2&amp;N$1&amp;"P"&amp;$A22)="N/A",0,RTD("tos.rtd",,"OPEN_INT","."&amp;N$2&amp;N$1&amp;"P"&amp;$A22)),0),IF($X$1="ABS",IF(RTD("tos.rtd",,$A$2,"."&amp;N$2&amp;N$1&amp;"C"&amp;$A22)="N/A",0,RTD("tos.rtd",,$A$2,"."&amp;N$2&amp;N$1&amp;"C"&amp;$A22))+IF(RTD("tos.rtd",,$A$2,"."&amp;N$2&amp;N$1&amp;"P"&amp;$A22)="N/A",0,RTD("tos.rtd",,$A$2,"."&amp;N$2&amp;N$1&amp;"P"&amp;$A22)),IF(RTD("tos.rtd",,$A$2,"."&amp;N$2&amp;N$1&amp;"C"&amp;$A22)="N/A",0,RTD("tos.rtd",,$A$2,"."&amp;N$2&amp;N$1&amp;"C"&amp;$A22))-IF(RTD("tos.rtd",,$A$2,"."&amp;N$2&amp;N$1&amp;"P"&amp;$A22)="N/A",0,RTD("tos.rtd",,$A$2,"."&amp;N$2&amp;N$1&amp;"P"&amp;$A22))))))))))</f>
        <v>0</v>
      </c>
      <c r="O22" s="12">
        <f ca="1">IF($A$2="PREMIUM_OI",IFERROR(IF($X$1="ABS",(100*RTD("tos.rtd",,"OPEN_INT","."&amp;O$2&amp;O$1&amp;"C"&amp;$A22)*RTD("tos.rtd",,"LAST","."&amp;O$2&amp;O$1&amp;"C"&amp;$A22)+100*RTD("tos.rtd",,"OPEN_INT","."&amp;O$2&amp;O$1&amp;"P"&amp;$A22)*RTD("tos.rtd",,"LAST","."&amp;O$2&amp;O$1&amp;"P"&amp;$A22))/1000000,(100*RTD("tos.rtd",,"OPEN_INT","."&amp;O$2&amp;O$1&amp;"C"&amp;$A22)*RTD("tos.rtd",,"LAST","."&amp;O$2&amp;O$1&amp;"C"&amp;$A22)-100*RTD("tos.rtd",,"OPEN_INT","."&amp;O$2&amp;O$1&amp;"P"&amp;$A22)*RTD("tos.rtd",,"LAST","."&amp;O$2&amp;O$1&amp;"P"&amp;$A22))/1000000),0),IF($A$2="PREMIUM",IFERROR(IF($X$1="ABS",(100*RTD("tos.rtd",,"VOLUME","."&amp;O$2&amp;O$1&amp;"C"&amp;$A22)*RTD("tos.rtd",,"LAST","."&amp;O$2&amp;O$1&amp;"C"&amp;$A22)+100*RTD("tos.rtd",,"VOLUME","."&amp;O$2&amp;O$1&amp;"P"&amp;$A22)*RTD("tos.rtd",,"LAST","."&amp;O$2&amp;O$1&amp;"P"&amp;$A22))/1000000,(100*RTD("tos.rtd",,"VOLUME","."&amp;O$2&amp;O$1&amp;"C"&amp;$A22)*RTD("tos.rtd",,"LAST","."&amp;O$2&amp;O$1&amp;"C"&amp;$A22)-100*RTD("tos.rtd",,"VOLUME","."&amp;O$2&amp;O$1&amp;"P"&amp;$A22)*RTD("tos.rtd",,"LAST","."&amp;O$2&amp;O$1&amp;"P"&amp;$A22))/1000000),0),IF($A$2="DEX",IFERROR(IF($X$1="ABS",(100*RTD("tos.rtd",,"OPEN_INT","."&amp;O$2&amp;O$1&amp;"C"&amp;$A22)*RTD("tos.rtd",,"DELTA","."&amp;O$2&amp;O$1&amp;"C"&amp;$A22)+100*RTD("tos.rtd",,"OPEN_INT","."&amp;O$2&amp;O$1&amp;"P"&amp;$A22)*RTD("tos.rtd",,"DELTA","."&amp;O$2&amp;O$1&amp;"P"&amp;$A22))/1000,(100*RTD("tos.rtd",,"OPEN_INT","."&amp;O$2&amp;O$1&amp;"C"&amp;$A22)*RTD("tos.rtd",,"DELTA","."&amp;O$2&amp;O$1&amp;"C"&amp;$A22)-100*RTD("tos.rtd",,"OPEN_INT","."&amp;O$2&amp;O$1&amp;"P"&amp;$A22)*RTD("tos.rtd",,"DELTA","."&amp;O$2&amp;O$1&amp;"P"&amp;$A22))/1000),0),IF($A$2="VEX",IFERROR(IF($X$1="ABS",($A$4*$A$4*RTD("tos.rtd",,"VOLUME","."&amp;O$2&amp;O$1&amp;"C"&amp;$A22)*RTD("tos.rtd",,"GAMMA","."&amp;O$2&amp;O$1&amp;"C"&amp;$A22)+$A$4*$A$4*RTD("tos.rtd",,"VOLUME","."&amp;O$2&amp;O$1&amp;"P"&amp;$A22)*RTD("tos.rtd",,"GAMMA","."&amp;O$2&amp;O$1&amp;"P"&amp;$A22))/1000000,($A$4*$A$4*RTD("tos.rtd",,"VOLUME","."&amp;O$2&amp;O$1&amp;"C"&amp;$A22)*RTD("tos.rtd",,"GAMMA","."&amp;O$2&amp;O$1&amp;"C"&amp;$A22)-$A$4*$A$4*RTD("tos.rtd",,"VOLUME","."&amp;O$2&amp;O$1&amp;"P"&amp;$A22)*RTD("tos.rtd",,"GAMMA","."&amp;O$2&amp;O$1&amp;"P"&amp;$A22))/1000000),0),IF($A$2="GEX",IFERROR(IF($X$1="ABS",($A$4*$A$4*RTD("tos.rtd",,"OPEN_INT","."&amp;O$2&amp;O$1&amp;"C"&amp;$A22)*RTD("tos.rtd",,"GAMMA","."&amp;O$2&amp;O$1&amp;"C"&amp;$A22)+$A$4*$A$4*RTD("tos.rtd",,"OPEN_INT","."&amp;O$2&amp;O$1&amp;"P"&amp;$A22)*RTD("tos.rtd",,"GAMMA","."&amp;O$2&amp;O$1&amp;"P"&amp;$A22))/1000000,($A$4*$A$4*RTD("tos.rtd",,"OPEN_INT","."&amp;O$2&amp;O$1&amp;"C"&amp;$A22)*RTD("tos.rtd",,"GAMMA","."&amp;O$2&amp;O$1&amp;"C"&amp;$A22)-$A$4*$A$4*RTD("tos.rtd",,"OPEN_INT","."&amp;O$2&amp;O$1&amp;"P"&amp;$A22)*RTD("tos.rtd",,"GAMMA","."&amp;O$2&amp;O$1&amp;"P"&amp;$A22))/1000000),0),IF($A$2="SKEW",IFERROR(VALUE(IF(RTD("tos.rtd",,"IMPL_VOL","."&amp;O$2&amp;O$1&amp;"P"&amp;$A22)="N/A",0,RTD("tos.rtd",,"IMPL_VOL","."&amp;O$2&amp;O$1&amp;"P"&amp;$A22))),0)-IFERROR(VALUE(IF(RTD("tos.rtd",,"IMPL_VOL","."&amp;O$2&amp;O$1&amp;"C"&amp;$A22)="N/A",0,RTD("tos.rtd",,"IMPL_VOL","."&amp;O$2&amp;O$1&amp;"C"&amp;$A22))),0),IF($A$2="MAXPAIN",IF($A$4&gt;$A22,($A$4-$A22)*IF(RTD("tos.rtd",,"OPEN_INT","."&amp;O$2&amp;O$1&amp;"C"&amp;$A22)="N/A",0,RTD("tos.rtd",,"OPEN_INT","."&amp;O$2&amp;O$1&amp;"C"&amp;$A22)),0)+IF($A$4&lt;$A22,($A$5-$A$4)*IF(RTD("tos.rtd",,"OPEN_INT","."&amp;O$2&amp;O$1&amp;"P"&amp;$A22)="N/A",0,RTD("tos.rtd",,"OPEN_INT","."&amp;O$2&amp;O$1&amp;"P"&amp;$A22)),0),IF($X$1="ABS",IF(RTD("tos.rtd",,$A$2,"."&amp;O$2&amp;O$1&amp;"C"&amp;$A22)="N/A",0,RTD("tos.rtd",,$A$2,"."&amp;O$2&amp;O$1&amp;"C"&amp;$A22))+IF(RTD("tos.rtd",,$A$2,"."&amp;O$2&amp;O$1&amp;"P"&amp;$A22)="N/A",0,RTD("tos.rtd",,$A$2,"."&amp;O$2&amp;O$1&amp;"P"&amp;$A22)),IF(RTD("tos.rtd",,$A$2,"."&amp;O$2&amp;O$1&amp;"C"&amp;$A22)="N/A",0,RTD("tos.rtd",,$A$2,"."&amp;O$2&amp;O$1&amp;"C"&amp;$A22))-IF(RTD("tos.rtd",,$A$2,"."&amp;O$2&amp;O$1&amp;"P"&amp;$A22)="N/A",0,RTD("tos.rtd",,$A$2,"."&amp;O$2&amp;O$1&amp;"P"&amp;$A22))))))))))</f>
        <v>0</v>
      </c>
      <c r="P22" s="12">
        <f ca="1">IF($A$2="PREMIUM_OI",IFERROR(IF($X$1="ABS",(100*RTD("tos.rtd",,"OPEN_INT","."&amp;P$2&amp;P$1&amp;"C"&amp;$A22)*RTD("tos.rtd",,"LAST","."&amp;P$2&amp;P$1&amp;"C"&amp;$A22)+100*RTD("tos.rtd",,"OPEN_INT","."&amp;P$2&amp;P$1&amp;"P"&amp;$A22)*RTD("tos.rtd",,"LAST","."&amp;P$2&amp;P$1&amp;"P"&amp;$A22))/1000000,(100*RTD("tos.rtd",,"OPEN_INT","."&amp;P$2&amp;P$1&amp;"C"&amp;$A22)*RTD("tos.rtd",,"LAST","."&amp;P$2&amp;P$1&amp;"C"&amp;$A22)-100*RTD("tos.rtd",,"OPEN_INT","."&amp;P$2&amp;P$1&amp;"P"&amp;$A22)*RTD("tos.rtd",,"LAST","."&amp;P$2&amp;P$1&amp;"P"&amp;$A22))/1000000),0),IF($A$2="PREMIUM",IFERROR(IF($X$1="ABS",(100*RTD("tos.rtd",,"VOLUME","."&amp;P$2&amp;P$1&amp;"C"&amp;$A22)*RTD("tos.rtd",,"LAST","."&amp;P$2&amp;P$1&amp;"C"&amp;$A22)+100*RTD("tos.rtd",,"VOLUME","."&amp;P$2&amp;P$1&amp;"P"&amp;$A22)*RTD("tos.rtd",,"LAST","."&amp;P$2&amp;P$1&amp;"P"&amp;$A22))/1000000,(100*RTD("tos.rtd",,"VOLUME","."&amp;P$2&amp;P$1&amp;"C"&amp;$A22)*RTD("tos.rtd",,"LAST","."&amp;P$2&amp;P$1&amp;"C"&amp;$A22)-100*RTD("tos.rtd",,"VOLUME","."&amp;P$2&amp;P$1&amp;"P"&amp;$A22)*RTD("tos.rtd",,"LAST","."&amp;P$2&amp;P$1&amp;"P"&amp;$A22))/1000000),0),IF($A$2="DEX",IFERROR(IF($X$1="ABS",(100*RTD("tos.rtd",,"OPEN_INT","."&amp;P$2&amp;P$1&amp;"C"&amp;$A22)*RTD("tos.rtd",,"DELTA","."&amp;P$2&amp;P$1&amp;"C"&amp;$A22)+100*RTD("tos.rtd",,"OPEN_INT","."&amp;P$2&amp;P$1&amp;"P"&amp;$A22)*RTD("tos.rtd",,"DELTA","."&amp;P$2&amp;P$1&amp;"P"&amp;$A22))/1000,(100*RTD("tos.rtd",,"OPEN_INT","."&amp;P$2&amp;P$1&amp;"C"&amp;$A22)*RTD("tos.rtd",,"DELTA","."&amp;P$2&amp;P$1&amp;"C"&amp;$A22)-100*RTD("tos.rtd",,"OPEN_INT","."&amp;P$2&amp;P$1&amp;"P"&amp;$A22)*RTD("tos.rtd",,"DELTA","."&amp;P$2&amp;P$1&amp;"P"&amp;$A22))/1000),0),IF($A$2="VEX",IFERROR(IF($X$1="ABS",($A$4*$A$4*RTD("tos.rtd",,"VOLUME","."&amp;P$2&amp;P$1&amp;"C"&amp;$A22)*RTD("tos.rtd",,"GAMMA","."&amp;P$2&amp;P$1&amp;"C"&amp;$A22)+$A$4*$A$4*RTD("tos.rtd",,"VOLUME","."&amp;P$2&amp;P$1&amp;"P"&amp;$A22)*RTD("tos.rtd",,"GAMMA","."&amp;P$2&amp;P$1&amp;"P"&amp;$A22))/1000000,($A$4*$A$4*RTD("tos.rtd",,"VOLUME","."&amp;P$2&amp;P$1&amp;"C"&amp;$A22)*RTD("tos.rtd",,"GAMMA","."&amp;P$2&amp;P$1&amp;"C"&amp;$A22)-$A$4*$A$4*RTD("tos.rtd",,"VOLUME","."&amp;P$2&amp;P$1&amp;"P"&amp;$A22)*RTD("tos.rtd",,"GAMMA","."&amp;P$2&amp;P$1&amp;"P"&amp;$A22))/1000000),0),IF($A$2="GEX",IFERROR(IF($X$1="ABS",($A$4*$A$4*RTD("tos.rtd",,"OPEN_INT","."&amp;P$2&amp;P$1&amp;"C"&amp;$A22)*RTD("tos.rtd",,"GAMMA","."&amp;P$2&amp;P$1&amp;"C"&amp;$A22)+$A$4*$A$4*RTD("tos.rtd",,"OPEN_INT","."&amp;P$2&amp;P$1&amp;"P"&amp;$A22)*RTD("tos.rtd",,"GAMMA","."&amp;P$2&amp;P$1&amp;"P"&amp;$A22))/1000000,($A$4*$A$4*RTD("tos.rtd",,"OPEN_INT","."&amp;P$2&amp;P$1&amp;"C"&amp;$A22)*RTD("tos.rtd",,"GAMMA","."&amp;P$2&amp;P$1&amp;"C"&amp;$A22)-$A$4*$A$4*RTD("tos.rtd",,"OPEN_INT","."&amp;P$2&amp;P$1&amp;"P"&amp;$A22)*RTD("tos.rtd",,"GAMMA","."&amp;P$2&amp;P$1&amp;"P"&amp;$A22))/1000000),0),IF($A$2="SKEW",IFERROR(VALUE(IF(RTD("tos.rtd",,"IMPL_VOL","."&amp;P$2&amp;P$1&amp;"P"&amp;$A22)="N/A",0,RTD("tos.rtd",,"IMPL_VOL","."&amp;P$2&amp;P$1&amp;"P"&amp;$A22))),0)-IFERROR(VALUE(IF(RTD("tos.rtd",,"IMPL_VOL","."&amp;P$2&amp;P$1&amp;"C"&amp;$A22)="N/A",0,RTD("tos.rtd",,"IMPL_VOL","."&amp;P$2&amp;P$1&amp;"C"&amp;$A22))),0),IF($A$2="MAXPAIN",IF($A$4&gt;$A22,($A$4-$A22)*IF(RTD("tos.rtd",,"OPEN_INT","."&amp;P$2&amp;P$1&amp;"C"&amp;$A22)="N/A",0,RTD("tos.rtd",,"OPEN_INT","."&amp;P$2&amp;P$1&amp;"C"&amp;$A22)),0)+IF($A$4&lt;$A22,($A$5-$A$4)*IF(RTD("tos.rtd",,"OPEN_INT","."&amp;P$2&amp;P$1&amp;"P"&amp;$A22)="N/A",0,RTD("tos.rtd",,"OPEN_INT","."&amp;P$2&amp;P$1&amp;"P"&amp;$A22)),0),IF($X$1="ABS",IF(RTD("tos.rtd",,$A$2,"."&amp;P$2&amp;P$1&amp;"C"&amp;$A22)="N/A",0,RTD("tos.rtd",,$A$2,"."&amp;P$2&amp;P$1&amp;"C"&amp;$A22))+IF(RTD("tos.rtd",,$A$2,"."&amp;P$2&amp;P$1&amp;"P"&amp;$A22)="N/A",0,RTD("tos.rtd",,$A$2,"."&amp;P$2&amp;P$1&amp;"P"&amp;$A22)),IF(RTD("tos.rtd",,$A$2,"."&amp;P$2&amp;P$1&amp;"C"&amp;$A22)="N/A",0,RTD("tos.rtd",,$A$2,"."&amp;P$2&amp;P$1&amp;"C"&amp;$A22))-IF(RTD("tos.rtd",,$A$2,"."&amp;P$2&amp;P$1&amp;"P"&amp;$A22)="N/A",0,RTD("tos.rtd",,$A$2,"."&amp;P$2&amp;P$1&amp;"P"&amp;$A22))))))))))</f>
        <v>295</v>
      </c>
      <c r="Q22" s="12">
        <f ca="1">IF($A$2="PREMIUM_OI",IFERROR(IF($X$1="ABS",(100*RTD("tos.rtd",,"OPEN_INT","."&amp;Q$2&amp;Q$1&amp;"C"&amp;$A22)*RTD("tos.rtd",,"LAST","."&amp;Q$2&amp;Q$1&amp;"C"&amp;$A22)+100*RTD("tos.rtd",,"OPEN_INT","."&amp;Q$2&amp;Q$1&amp;"P"&amp;$A22)*RTD("tos.rtd",,"LAST","."&amp;Q$2&amp;Q$1&amp;"P"&amp;$A22))/1000000,(100*RTD("tos.rtd",,"OPEN_INT","."&amp;Q$2&amp;Q$1&amp;"C"&amp;$A22)*RTD("tos.rtd",,"LAST","."&amp;Q$2&amp;Q$1&amp;"C"&amp;$A22)-100*RTD("tos.rtd",,"OPEN_INT","."&amp;Q$2&amp;Q$1&amp;"P"&amp;$A22)*RTD("tos.rtd",,"LAST","."&amp;Q$2&amp;Q$1&amp;"P"&amp;$A22))/1000000),0),IF($A$2="PREMIUM",IFERROR(IF($X$1="ABS",(100*RTD("tos.rtd",,"VOLUME","."&amp;Q$2&amp;Q$1&amp;"C"&amp;$A22)*RTD("tos.rtd",,"LAST","."&amp;Q$2&amp;Q$1&amp;"C"&amp;$A22)+100*RTD("tos.rtd",,"VOLUME","."&amp;Q$2&amp;Q$1&amp;"P"&amp;$A22)*RTD("tos.rtd",,"LAST","."&amp;Q$2&amp;Q$1&amp;"P"&amp;$A22))/1000000,(100*RTD("tos.rtd",,"VOLUME","."&amp;Q$2&amp;Q$1&amp;"C"&amp;$A22)*RTD("tos.rtd",,"LAST","."&amp;Q$2&amp;Q$1&amp;"C"&amp;$A22)-100*RTD("tos.rtd",,"VOLUME","."&amp;Q$2&amp;Q$1&amp;"P"&amp;$A22)*RTD("tos.rtd",,"LAST","."&amp;Q$2&amp;Q$1&amp;"P"&amp;$A22))/1000000),0),IF($A$2="DEX",IFERROR(IF($X$1="ABS",(100*RTD("tos.rtd",,"OPEN_INT","."&amp;Q$2&amp;Q$1&amp;"C"&amp;$A22)*RTD("tos.rtd",,"DELTA","."&amp;Q$2&amp;Q$1&amp;"C"&amp;$A22)+100*RTD("tos.rtd",,"OPEN_INT","."&amp;Q$2&amp;Q$1&amp;"P"&amp;$A22)*RTD("tos.rtd",,"DELTA","."&amp;Q$2&amp;Q$1&amp;"P"&amp;$A22))/1000,(100*RTD("tos.rtd",,"OPEN_INT","."&amp;Q$2&amp;Q$1&amp;"C"&amp;$A22)*RTD("tos.rtd",,"DELTA","."&amp;Q$2&amp;Q$1&amp;"C"&amp;$A22)-100*RTD("tos.rtd",,"OPEN_INT","."&amp;Q$2&amp;Q$1&amp;"P"&amp;$A22)*RTD("tos.rtd",,"DELTA","."&amp;Q$2&amp;Q$1&amp;"P"&amp;$A22))/1000),0),IF($A$2="VEX",IFERROR(IF($X$1="ABS",($A$4*$A$4*RTD("tos.rtd",,"VOLUME","."&amp;Q$2&amp;Q$1&amp;"C"&amp;$A22)*RTD("tos.rtd",,"GAMMA","."&amp;Q$2&amp;Q$1&amp;"C"&amp;$A22)+$A$4*$A$4*RTD("tos.rtd",,"VOLUME","."&amp;Q$2&amp;Q$1&amp;"P"&amp;$A22)*RTD("tos.rtd",,"GAMMA","."&amp;Q$2&amp;Q$1&amp;"P"&amp;$A22))/1000000,($A$4*$A$4*RTD("tos.rtd",,"VOLUME","."&amp;Q$2&amp;Q$1&amp;"C"&amp;$A22)*RTD("tos.rtd",,"GAMMA","."&amp;Q$2&amp;Q$1&amp;"C"&amp;$A22)-$A$4*$A$4*RTD("tos.rtd",,"VOLUME","."&amp;Q$2&amp;Q$1&amp;"P"&amp;$A22)*RTD("tos.rtd",,"GAMMA","."&amp;Q$2&amp;Q$1&amp;"P"&amp;$A22))/1000000),0),IF($A$2="GEX",IFERROR(IF($X$1="ABS",($A$4*$A$4*RTD("tos.rtd",,"OPEN_INT","."&amp;Q$2&amp;Q$1&amp;"C"&amp;$A22)*RTD("tos.rtd",,"GAMMA","."&amp;Q$2&amp;Q$1&amp;"C"&amp;$A22)+$A$4*$A$4*RTD("tos.rtd",,"OPEN_INT","."&amp;Q$2&amp;Q$1&amp;"P"&amp;$A22)*RTD("tos.rtd",,"GAMMA","."&amp;Q$2&amp;Q$1&amp;"P"&amp;$A22))/1000000,($A$4*$A$4*RTD("tos.rtd",,"OPEN_INT","."&amp;Q$2&amp;Q$1&amp;"C"&amp;$A22)*RTD("tos.rtd",,"GAMMA","."&amp;Q$2&amp;Q$1&amp;"C"&amp;$A22)-$A$4*$A$4*RTD("tos.rtd",,"OPEN_INT","."&amp;Q$2&amp;Q$1&amp;"P"&amp;$A22)*RTD("tos.rtd",,"GAMMA","."&amp;Q$2&amp;Q$1&amp;"P"&amp;$A22))/1000000),0),IF($A$2="SKEW",IFERROR(VALUE(IF(RTD("tos.rtd",,"IMPL_VOL","."&amp;Q$2&amp;Q$1&amp;"P"&amp;$A22)="N/A",0,RTD("tos.rtd",,"IMPL_VOL","."&amp;Q$2&amp;Q$1&amp;"P"&amp;$A22))),0)-IFERROR(VALUE(IF(RTD("tos.rtd",,"IMPL_VOL","."&amp;Q$2&amp;Q$1&amp;"C"&amp;$A22)="N/A",0,RTD("tos.rtd",,"IMPL_VOL","."&amp;Q$2&amp;Q$1&amp;"C"&amp;$A22))),0),IF($A$2="MAXPAIN",IF($A$4&gt;$A22,($A$4-$A22)*IF(RTD("tos.rtd",,"OPEN_INT","."&amp;Q$2&amp;Q$1&amp;"C"&amp;$A22)="N/A",0,RTD("tos.rtd",,"OPEN_INT","."&amp;Q$2&amp;Q$1&amp;"C"&amp;$A22)),0)+IF($A$4&lt;$A22,($A$5-$A$4)*IF(RTD("tos.rtd",,"OPEN_INT","."&amp;Q$2&amp;Q$1&amp;"P"&amp;$A22)="N/A",0,RTD("tos.rtd",,"OPEN_INT","."&amp;Q$2&amp;Q$1&amp;"P"&amp;$A22)),0),IF($X$1="ABS",IF(RTD("tos.rtd",,$A$2,"."&amp;Q$2&amp;Q$1&amp;"C"&amp;$A22)="N/A",0,RTD("tos.rtd",,$A$2,"."&amp;Q$2&amp;Q$1&amp;"C"&amp;$A22))+IF(RTD("tos.rtd",,$A$2,"."&amp;Q$2&amp;Q$1&amp;"P"&amp;$A22)="N/A",0,RTD("tos.rtd",,$A$2,"."&amp;Q$2&amp;Q$1&amp;"P"&amp;$A22)),IF(RTD("tos.rtd",,$A$2,"."&amp;Q$2&amp;Q$1&amp;"C"&amp;$A22)="N/A",0,RTD("tos.rtd",,$A$2,"."&amp;Q$2&amp;Q$1&amp;"C"&amp;$A22))-IF(RTD("tos.rtd",,$A$2,"."&amp;Q$2&amp;Q$1&amp;"P"&amp;$A22)="N/A",0,RTD("tos.rtd",,$A$2,"."&amp;Q$2&amp;Q$1&amp;"P"&amp;$A22))))))))))</f>
        <v>0</v>
      </c>
      <c r="R22" s="12">
        <f ca="1">IF($A$2="PREMIUM_OI",IFERROR(IF($X$1="ABS",(100*RTD("tos.rtd",,"OPEN_INT","."&amp;R$2&amp;R$1&amp;"C"&amp;$A22)*RTD("tos.rtd",,"LAST","."&amp;R$2&amp;R$1&amp;"C"&amp;$A22)+100*RTD("tos.rtd",,"OPEN_INT","."&amp;R$2&amp;R$1&amp;"P"&amp;$A22)*RTD("tos.rtd",,"LAST","."&amp;R$2&amp;R$1&amp;"P"&amp;$A22))/1000000,(100*RTD("tos.rtd",,"OPEN_INT","."&amp;R$2&amp;R$1&amp;"C"&amp;$A22)*RTD("tos.rtd",,"LAST","."&amp;R$2&amp;R$1&amp;"C"&amp;$A22)-100*RTD("tos.rtd",,"OPEN_INT","."&amp;R$2&amp;R$1&amp;"P"&amp;$A22)*RTD("tos.rtd",,"LAST","."&amp;R$2&amp;R$1&amp;"P"&amp;$A22))/1000000),0),IF($A$2="PREMIUM",IFERROR(IF($X$1="ABS",(100*RTD("tos.rtd",,"VOLUME","."&amp;R$2&amp;R$1&amp;"C"&amp;$A22)*RTD("tos.rtd",,"LAST","."&amp;R$2&amp;R$1&amp;"C"&amp;$A22)+100*RTD("tos.rtd",,"VOLUME","."&amp;R$2&amp;R$1&amp;"P"&amp;$A22)*RTD("tos.rtd",,"LAST","."&amp;R$2&amp;R$1&amp;"P"&amp;$A22))/1000000,(100*RTD("tos.rtd",,"VOLUME","."&amp;R$2&amp;R$1&amp;"C"&amp;$A22)*RTD("tos.rtd",,"LAST","."&amp;R$2&amp;R$1&amp;"C"&amp;$A22)-100*RTD("tos.rtd",,"VOLUME","."&amp;R$2&amp;R$1&amp;"P"&amp;$A22)*RTD("tos.rtd",,"LAST","."&amp;R$2&amp;R$1&amp;"P"&amp;$A22))/1000000),0),IF($A$2="DEX",IFERROR(IF($X$1="ABS",(100*RTD("tos.rtd",,"OPEN_INT","."&amp;R$2&amp;R$1&amp;"C"&amp;$A22)*RTD("tos.rtd",,"DELTA","."&amp;R$2&amp;R$1&amp;"C"&amp;$A22)+100*RTD("tos.rtd",,"OPEN_INT","."&amp;R$2&amp;R$1&amp;"P"&amp;$A22)*RTD("tos.rtd",,"DELTA","."&amp;R$2&amp;R$1&amp;"P"&amp;$A22))/1000,(100*RTD("tos.rtd",,"OPEN_INT","."&amp;R$2&amp;R$1&amp;"C"&amp;$A22)*RTD("tos.rtd",,"DELTA","."&amp;R$2&amp;R$1&amp;"C"&amp;$A22)-100*RTD("tos.rtd",,"OPEN_INT","."&amp;R$2&amp;R$1&amp;"P"&amp;$A22)*RTD("tos.rtd",,"DELTA","."&amp;R$2&amp;R$1&amp;"P"&amp;$A22))/1000),0),IF($A$2="VEX",IFERROR(IF($X$1="ABS",($A$4*$A$4*RTD("tos.rtd",,"VOLUME","."&amp;R$2&amp;R$1&amp;"C"&amp;$A22)*RTD("tos.rtd",,"GAMMA","."&amp;R$2&amp;R$1&amp;"C"&amp;$A22)+$A$4*$A$4*RTD("tos.rtd",,"VOLUME","."&amp;R$2&amp;R$1&amp;"P"&amp;$A22)*RTD("tos.rtd",,"GAMMA","."&amp;R$2&amp;R$1&amp;"P"&amp;$A22))/1000000,($A$4*$A$4*RTD("tos.rtd",,"VOLUME","."&amp;R$2&amp;R$1&amp;"C"&amp;$A22)*RTD("tos.rtd",,"GAMMA","."&amp;R$2&amp;R$1&amp;"C"&amp;$A22)-$A$4*$A$4*RTD("tos.rtd",,"VOLUME","."&amp;R$2&amp;R$1&amp;"P"&amp;$A22)*RTD("tos.rtd",,"GAMMA","."&amp;R$2&amp;R$1&amp;"P"&amp;$A22))/1000000),0),IF($A$2="GEX",IFERROR(IF($X$1="ABS",($A$4*$A$4*RTD("tos.rtd",,"OPEN_INT","."&amp;R$2&amp;R$1&amp;"C"&amp;$A22)*RTD("tos.rtd",,"GAMMA","."&amp;R$2&amp;R$1&amp;"C"&amp;$A22)+$A$4*$A$4*RTD("tos.rtd",,"OPEN_INT","."&amp;R$2&amp;R$1&amp;"P"&amp;$A22)*RTD("tos.rtd",,"GAMMA","."&amp;R$2&amp;R$1&amp;"P"&amp;$A22))/1000000,($A$4*$A$4*RTD("tos.rtd",,"OPEN_INT","."&amp;R$2&amp;R$1&amp;"C"&amp;$A22)*RTD("tos.rtd",,"GAMMA","."&amp;R$2&amp;R$1&amp;"C"&amp;$A22)-$A$4*$A$4*RTD("tos.rtd",,"OPEN_INT","."&amp;R$2&amp;R$1&amp;"P"&amp;$A22)*RTD("tos.rtd",,"GAMMA","."&amp;R$2&amp;R$1&amp;"P"&amp;$A22))/1000000),0),IF($A$2="SKEW",IFERROR(VALUE(IF(RTD("tos.rtd",,"IMPL_VOL","."&amp;R$2&amp;R$1&amp;"P"&amp;$A22)="N/A",0,RTD("tos.rtd",,"IMPL_VOL","."&amp;R$2&amp;R$1&amp;"P"&amp;$A22))),0)-IFERROR(VALUE(IF(RTD("tos.rtd",,"IMPL_VOL","."&amp;R$2&amp;R$1&amp;"C"&amp;$A22)="N/A",0,RTD("tos.rtd",,"IMPL_VOL","."&amp;R$2&amp;R$1&amp;"C"&amp;$A22))),0),IF($A$2="MAXPAIN",IF($A$4&gt;$A22,($A$4-$A22)*IF(RTD("tos.rtd",,"OPEN_INT","."&amp;R$2&amp;R$1&amp;"C"&amp;$A22)="N/A",0,RTD("tos.rtd",,"OPEN_INT","."&amp;R$2&amp;R$1&amp;"C"&amp;$A22)),0)+IF($A$4&lt;$A22,($A$5-$A$4)*IF(RTD("tos.rtd",,"OPEN_INT","."&amp;R$2&amp;R$1&amp;"P"&amp;$A22)="N/A",0,RTD("tos.rtd",,"OPEN_INT","."&amp;R$2&amp;R$1&amp;"P"&amp;$A22)),0),IF($X$1="ABS",IF(RTD("tos.rtd",,$A$2,"."&amp;R$2&amp;R$1&amp;"C"&amp;$A22)="N/A",0,RTD("tos.rtd",,$A$2,"."&amp;R$2&amp;R$1&amp;"C"&amp;$A22))+IF(RTD("tos.rtd",,$A$2,"."&amp;R$2&amp;R$1&amp;"P"&amp;$A22)="N/A",0,RTD("tos.rtd",,$A$2,"."&amp;R$2&amp;R$1&amp;"P"&amp;$A22)),IF(RTD("tos.rtd",,$A$2,"."&amp;R$2&amp;R$1&amp;"C"&amp;$A22)="N/A",0,RTD("tos.rtd",,$A$2,"."&amp;R$2&amp;R$1&amp;"C"&amp;$A22))-IF(RTD("tos.rtd",,$A$2,"."&amp;R$2&amp;R$1&amp;"P"&amp;$A22)="N/A",0,RTD("tos.rtd",,$A$2,"."&amp;R$2&amp;R$1&amp;"P"&amp;$A22))))))))))</f>
        <v>0</v>
      </c>
      <c r="S22" s="12">
        <f ca="1">IF($A$2="PREMIUM_OI",IFERROR(IF($X$1="ABS",(100*RTD("tos.rtd",,"OPEN_INT","."&amp;S$2&amp;S$1&amp;"C"&amp;$A22)*RTD("tos.rtd",,"LAST","."&amp;S$2&amp;S$1&amp;"C"&amp;$A22)+100*RTD("tos.rtd",,"OPEN_INT","."&amp;S$2&amp;S$1&amp;"P"&amp;$A22)*RTD("tos.rtd",,"LAST","."&amp;S$2&amp;S$1&amp;"P"&amp;$A22))/1000000,(100*RTD("tos.rtd",,"OPEN_INT","."&amp;S$2&amp;S$1&amp;"C"&amp;$A22)*RTD("tos.rtd",,"LAST","."&amp;S$2&amp;S$1&amp;"C"&amp;$A22)-100*RTD("tos.rtd",,"OPEN_INT","."&amp;S$2&amp;S$1&amp;"P"&amp;$A22)*RTD("tos.rtd",,"LAST","."&amp;S$2&amp;S$1&amp;"P"&amp;$A22))/1000000),0),IF($A$2="PREMIUM",IFERROR(IF($X$1="ABS",(100*RTD("tos.rtd",,"VOLUME","."&amp;S$2&amp;S$1&amp;"C"&amp;$A22)*RTD("tos.rtd",,"LAST","."&amp;S$2&amp;S$1&amp;"C"&amp;$A22)+100*RTD("tos.rtd",,"VOLUME","."&amp;S$2&amp;S$1&amp;"P"&amp;$A22)*RTD("tos.rtd",,"LAST","."&amp;S$2&amp;S$1&amp;"P"&amp;$A22))/1000000,(100*RTD("tos.rtd",,"VOLUME","."&amp;S$2&amp;S$1&amp;"C"&amp;$A22)*RTD("tos.rtd",,"LAST","."&amp;S$2&amp;S$1&amp;"C"&amp;$A22)-100*RTD("tos.rtd",,"VOLUME","."&amp;S$2&amp;S$1&amp;"P"&amp;$A22)*RTD("tos.rtd",,"LAST","."&amp;S$2&amp;S$1&amp;"P"&amp;$A22))/1000000),0),IF($A$2="DEX",IFERROR(IF($X$1="ABS",(100*RTD("tos.rtd",,"OPEN_INT","."&amp;S$2&amp;S$1&amp;"C"&amp;$A22)*RTD("tos.rtd",,"DELTA","."&amp;S$2&amp;S$1&amp;"C"&amp;$A22)+100*RTD("tos.rtd",,"OPEN_INT","."&amp;S$2&amp;S$1&amp;"P"&amp;$A22)*RTD("tos.rtd",,"DELTA","."&amp;S$2&amp;S$1&amp;"P"&amp;$A22))/1000,(100*RTD("tos.rtd",,"OPEN_INT","."&amp;S$2&amp;S$1&amp;"C"&amp;$A22)*RTD("tos.rtd",,"DELTA","."&amp;S$2&amp;S$1&amp;"C"&amp;$A22)-100*RTD("tos.rtd",,"OPEN_INT","."&amp;S$2&amp;S$1&amp;"P"&amp;$A22)*RTD("tos.rtd",,"DELTA","."&amp;S$2&amp;S$1&amp;"P"&amp;$A22))/1000),0),IF($A$2="VEX",IFERROR(IF($X$1="ABS",($A$4*$A$4*RTD("tos.rtd",,"VOLUME","."&amp;S$2&amp;S$1&amp;"C"&amp;$A22)*RTD("tos.rtd",,"GAMMA","."&amp;S$2&amp;S$1&amp;"C"&amp;$A22)+$A$4*$A$4*RTD("tos.rtd",,"VOLUME","."&amp;S$2&amp;S$1&amp;"P"&amp;$A22)*RTD("tos.rtd",,"GAMMA","."&amp;S$2&amp;S$1&amp;"P"&amp;$A22))/1000000,($A$4*$A$4*RTD("tos.rtd",,"VOLUME","."&amp;S$2&amp;S$1&amp;"C"&amp;$A22)*RTD("tos.rtd",,"GAMMA","."&amp;S$2&amp;S$1&amp;"C"&amp;$A22)-$A$4*$A$4*RTD("tos.rtd",,"VOLUME","."&amp;S$2&amp;S$1&amp;"P"&amp;$A22)*RTD("tos.rtd",,"GAMMA","."&amp;S$2&amp;S$1&amp;"P"&amp;$A22))/1000000),0),IF($A$2="GEX",IFERROR(IF($X$1="ABS",($A$4*$A$4*RTD("tos.rtd",,"OPEN_INT","."&amp;S$2&amp;S$1&amp;"C"&amp;$A22)*RTD("tos.rtd",,"GAMMA","."&amp;S$2&amp;S$1&amp;"C"&amp;$A22)+$A$4*$A$4*RTD("tos.rtd",,"OPEN_INT","."&amp;S$2&amp;S$1&amp;"P"&amp;$A22)*RTD("tos.rtd",,"GAMMA","."&amp;S$2&amp;S$1&amp;"P"&amp;$A22))/1000000,($A$4*$A$4*RTD("tos.rtd",,"OPEN_INT","."&amp;S$2&amp;S$1&amp;"C"&amp;$A22)*RTD("tos.rtd",,"GAMMA","."&amp;S$2&amp;S$1&amp;"C"&amp;$A22)-$A$4*$A$4*RTD("tos.rtd",,"OPEN_INT","."&amp;S$2&amp;S$1&amp;"P"&amp;$A22)*RTD("tos.rtd",,"GAMMA","."&amp;S$2&amp;S$1&amp;"P"&amp;$A22))/1000000),0),IF($A$2="SKEW",IFERROR(VALUE(IF(RTD("tos.rtd",,"IMPL_VOL","."&amp;S$2&amp;S$1&amp;"P"&amp;$A22)="N/A",0,RTD("tos.rtd",,"IMPL_VOL","."&amp;S$2&amp;S$1&amp;"P"&amp;$A22))),0)-IFERROR(VALUE(IF(RTD("tos.rtd",,"IMPL_VOL","."&amp;S$2&amp;S$1&amp;"C"&amp;$A22)="N/A",0,RTD("tos.rtd",,"IMPL_VOL","."&amp;S$2&amp;S$1&amp;"C"&amp;$A22))),0),IF($A$2="MAXPAIN",IF($A$4&gt;$A22,($A$4-$A22)*IF(RTD("tos.rtd",,"OPEN_INT","."&amp;S$2&amp;S$1&amp;"C"&amp;$A22)="N/A",0,RTD("tos.rtd",,"OPEN_INT","."&amp;S$2&amp;S$1&amp;"C"&amp;$A22)),0)+IF($A$4&lt;$A22,($A$5-$A$4)*IF(RTD("tos.rtd",,"OPEN_INT","."&amp;S$2&amp;S$1&amp;"P"&amp;$A22)="N/A",0,RTD("tos.rtd",,"OPEN_INT","."&amp;S$2&amp;S$1&amp;"P"&amp;$A22)),0),IF($X$1="ABS",IF(RTD("tos.rtd",,$A$2,"."&amp;S$2&amp;S$1&amp;"C"&amp;$A22)="N/A",0,RTD("tos.rtd",,$A$2,"."&amp;S$2&amp;S$1&amp;"C"&amp;$A22))+IF(RTD("tos.rtd",,$A$2,"."&amp;S$2&amp;S$1&amp;"P"&amp;$A22)="N/A",0,RTD("tos.rtd",,$A$2,"."&amp;S$2&amp;S$1&amp;"P"&amp;$A22)),IF(RTD("tos.rtd",,$A$2,"."&amp;S$2&amp;S$1&amp;"C"&amp;$A22)="N/A",0,RTD("tos.rtd",,$A$2,"."&amp;S$2&amp;S$1&amp;"C"&amp;$A22))-IF(RTD("tos.rtd",,$A$2,"."&amp;S$2&amp;S$1&amp;"P"&amp;$A22)="N/A",0,RTD("tos.rtd",,$A$2,"."&amp;S$2&amp;S$1&amp;"P"&amp;$A22))))))))))</f>
        <v>0</v>
      </c>
      <c r="T22" s="12">
        <f ca="1">IF($A$2="PREMIUM_OI",IFERROR(IF($X$1="ABS",(100*RTD("tos.rtd",,"OPEN_INT","."&amp;T$2&amp;T$1&amp;"C"&amp;$A22)*RTD("tos.rtd",,"LAST","."&amp;T$2&amp;T$1&amp;"C"&amp;$A22)+100*RTD("tos.rtd",,"OPEN_INT","."&amp;T$2&amp;T$1&amp;"P"&amp;$A22)*RTD("tos.rtd",,"LAST","."&amp;T$2&amp;T$1&amp;"P"&amp;$A22))/1000000,(100*RTD("tos.rtd",,"OPEN_INT","."&amp;T$2&amp;T$1&amp;"C"&amp;$A22)*RTD("tos.rtd",,"LAST","."&amp;T$2&amp;T$1&amp;"C"&amp;$A22)-100*RTD("tos.rtd",,"OPEN_INT","."&amp;T$2&amp;T$1&amp;"P"&amp;$A22)*RTD("tos.rtd",,"LAST","."&amp;T$2&amp;T$1&amp;"P"&amp;$A22))/1000000),0),IF($A$2="PREMIUM",IFERROR(IF($X$1="ABS",(100*RTD("tos.rtd",,"VOLUME","."&amp;T$2&amp;T$1&amp;"C"&amp;$A22)*RTD("tos.rtd",,"LAST","."&amp;T$2&amp;T$1&amp;"C"&amp;$A22)+100*RTD("tos.rtd",,"VOLUME","."&amp;T$2&amp;T$1&amp;"P"&amp;$A22)*RTD("tos.rtd",,"LAST","."&amp;T$2&amp;T$1&amp;"P"&amp;$A22))/1000000,(100*RTD("tos.rtd",,"VOLUME","."&amp;T$2&amp;T$1&amp;"C"&amp;$A22)*RTD("tos.rtd",,"LAST","."&amp;T$2&amp;T$1&amp;"C"&amp;$A22)-100*RTD("tos.rtd",,"VOLUME","."&amp;T$2&amp;T$1&amp;"P"&amp;$A22)*RTD("tos.rtd",,"LAST","."&amp;T$2&amp;T$1&amp;"P"&amp;$A22))/1000000),0),IF($A$2="DEX",IFERROR(IF($X$1="ABS",(100*RTD("tos.rtd",,"OPEN_INT","."&amp;T$2&amp;T$1&amp;"C"&amp;$A22)*RTD("tos.rtd",,"DELTA","."&amp;T$2&amp;T$1&amp;"C"&amp;$A22)+100*RTD("tos.rtd",,"OPEN_INT","."&amp;T$2&amp;T$1&amp;"P"&amp;$A22)*RTD("tos.rtd",,"DELTA","."&amp;T$2&amp;T$1&amp;"P"&amp;$A22))/1000,(100*RTD("tos.rtd",,"OPEN_INT","."&amp;T$2&amp;T$1&amp;"C"&amp;$A22)*RTD("tos.rtd",,"DELTA","."&amp;T$2&amp;T$1&amp;"C"&amp;$A22)-100*RTD("tos.rtd",,"OPEN_INT","."&amp;T$2&amp;T$1&amp;"P"&amp;$A22)*RTD("tos.rtd",,"DELTA","."&amp;T$2&amp;T$1&amp;"P"&amp;$A22))/1000),0),IF($A$2="VEX",IFERROR(IF($X$1="ABS",($A$4*$A$4*RTD("tos.rtd",,"VOLUME","."&amp;T$2&amp;T$1&amp;"C"&amp;$A22)*RTD("tos.rtd",,"GAMMA","."&amp;T$2&amp;T$1&amp;"C"&amp;$A22)+$A$4*$A$4*RTD("tos.rtd",,"VOLUME","."&amp;T$2&amp;T$1&amp;"P"&amp;$A22)*RTD("tos.rtd",,"GAMMA","."&amp;T$2&amp;T$1&amp;"P"&amp;$A22))/1000000,($A$4*$A$4*RTD("tos.rtd",,"VOLUME","."&amp;T$2&amp;T$1&amp;"C"&amp;$A22)*RTD("tos.rtd",,"GAMMA","."&amp;T$2&amp;T$1&amp;"C"&amp;$A22)-$A$4*$A$4*RTD("tos.rtd",,"VOLUME","."&amp;T$2&amp;T$1&amp;"P"&amp;$A22)*RTD("tos.rtd",,"GAMMA","."&amp;T$2&amp;T$1&amp;"P"&amp;$A22))/1000000),0),IF($A$2="GEX",IFERROR(IF($X$1="ABS",($A$4*$A$4*RTD("tos.rtd",,"OPEN_INT","."&amp;T$2&amp;T$1&amp;"C"&amp;$A22)*RTD("tos.rtd",,"GAMMA","."&amp;T$2&amp;T$1&amp;"C"&amp;$A22)+$A$4*$A$4*RTD("tos.rtd",,"OPEN_INT","."&amp;T$2&amp;T$1&amp;"P"&amp;$A22)*RTD("tos.rtd",,"GAMMA","."&amp;T$2&amp;T$1&amp;"P"&amp;$A22))/1000000,($A$4*$A$4*RTD("tos.rtd",,"OPEN_INT","."&amp;T$2&amp;T$1&amp;"C"&amp;$A22)*RTD("tos.rtd",,"GAMMA","."&amp;T$2&amp;T$1&amp;"C"&amp;$A22)-$A$4*$A$4*RTD("tos.rtd",,"OPEN_INT","."&amp;T$2&amp;T$1&amp;"P"&amp;$A22)*RTD("tos.rtd",,"GAMMA","."&amp;T$2&amp;T$1&amp;"P"&amp;$A22))/1000000),0),IF($A$2="SKEW",IFERROR(VALUE(IF(RTD("tos.rtd",,"IMPL_VOL","."&amp;T$2&amp;T$1&amp;"P"&amp;$A22)="N/A",0,RTD("tos.rtd",,"IMPL_VOL","."&amp;T$2&amp;T$1&amp;"P"&amp;$A22))),0)-IFERROR(VALUE(IF(RTD("tos.rtd",,"IMPL_VOL","."&amp;T$2&amp;T$1&amp;"C"&amp;$A22)="N/A",0,RTD("tos.rtd",,"IMPL_VOL","."&amp;T$2&amp;T$1&amp;"C"&amp;$A22))),0),IF($A$2="MAXPAIN",IF($A$4&gt;$A22,($A$4-$A22)*IF(RTD("tos.rtd",,"OPEN_INT","."&amp;T$2&amp;T$1&amp;"C"&amp;$A22)="N/A",0,RTD("tos.rtd",,"OPEN_INT","."&amp;T$2&amp;T$1&amp;"C"&amp;$A22)),0)+IF($A$4&lt;$A22,($A$5-$A$4)*IF(RTD("tos.rtd",,"OPEN_INT","."&amp;T$2&amp;T$1&amp;"P"&amp;$A22)="N/A",0,RTD("tos.rtd",,"OPEN_INT","."&amp;T$2&amp;T$1&amp;"P"&amp;$A22)),0),IF($X$1="ABS",IF(RTD("tos.rtd",,$A$2,"."&amp;T$2&amp;T$1&amp;"C"&amp;$A22)="N/A",0,RTD("tos.rtd",,$A$2,"."&amp;T$2&amp;T$1&amp;"C"&amp;$A22))+IF(RTD("tos.rtd",,$A$2,"."&amp;T$2&amp;T$1&amp;"P"&amp;$A22)="N/A",0,RTD("tos.rtd",,$A$2,"."&amp;T$2&amp;T$1&amp;"P"&amp;$A22)),IF(RTD("tos.rtd",,$A$2,"."&amp;T$2&amp;T$1&amp;"C"&amp;$A22)="N/A",0,RTD("tos.rtd",,$A$2,"."&amp;T$2&amp;T$1&amp;"C"&amp;$A22))-IF(RTD("tos.rtd",,$A$2,"."&amp;T$2&amp;T$1&amp;"P"&amp;$A22)="N/A",0,RTD("tos.rtd",,$A$2,"."&amp;T$2&amp;T$1&amp;"P"&amp;$A22))))))))))</f>
        <v>0</v>
      </c>
      <c r="U22" s="12">
        <f ca="1">IF($A$2="PREMIUM_OI",IFERROR(IF($X$1="ABS",(100*RTD("tos.rtd",,"OPEN_INT","."&amp;U$2&amp;U$1&amp;"C"&amp;$A22)*RTD("tos.rtd",,"LAST","."&amp;U$2&amp;U$1&amp;"C"&amp;$A22)+100*RTD("tos.rtd",,"OPEN_INT","."&amp;U$2&amp;U$1&amp;"P"&amp;$A22)*RTD("tos.rtd",,"LAST","."&amp;U$2&amp;U$1&amp;"P"&amp;$A22))/1000000,(100*RTD("tos.rtd",,"OPEN_INT","."&amp;U$2&amp;U$1&amp;"C"&amp;$A22)*RTD("tos.rtd",,"LAST","."&amp;U$2&amp;U$1&amp;"C"&amp;$A22)-100*RTD("tos.rtd",,"OPEN_INT","."&amp;U$2&amp;U$1&amp;"P"&amp;$A22)*RTD("tos.rtd",,"LAST","."&amp;U$2&amp;U$1&amp;"P"&amp;$A22))/1000000),0),IF($A$2="PREMIUM",IFERROR(IF($X$1="ABS",(100*RTD("tos.rtd",,"VOLUME","."&amp;U$2&amp;U$1&amp;"C"&amp;$A22)*RTD("tos.rtd",,"LAST","."&amp;U$2&amp;U$1&amp;"C"&amp;$A22)+100*RTD("tos.rtd",,"VOLUME","."&amp;U$2&amp;U$1&amp;"P"&amp;$A22)*RTD("tos.rtd",,"LAST","."&amp;U$2&amp;U$1&amp;"P"&amp;$A22))/1000000,(100*RTD("tos.rtd",,"VOLUME","."&amp;U$2&amp;U$1&amp;"C"&amp;$A22)*RTD("tos.rtd",,"LAST","."&amp;U$2&amp;U$1&amp;"C"&amp;$A22)-100*RTD("tos.rtd",,"VOLUME","."&amp;U$2&amp;U$1&amp;"P"&amp;$A22)*RTD("tos.rtd",,"LAST","."&amp;U$2&amp;U$1&amp;"P"&amp;$A22))/1000000),0),IF($A$2="DEX",IFERROR(IF($X$1="ABS",(100*RTD("tos.rtd",,"OPEN_INT","."&amp;U$2&amp;U$1&amp;"C"&amp;$A22)*RTD("tos.rtd",,"DELTA","."&amp;U$2&amp;U$1&amp;"C"&amp;$A22)+100*RTD("tos.rtd",,"OPEN_INT","."&amp;U$2&amp;U$1&amp;"P"&amp;$A22)*RTD("tos.rtd",,"DELTA","."&amp;U$2&amp;U$1&amp;"P"&amp;$A22))/1000,(100*RTD("tos.rtd",,"OPEN_INT","."&amp;U$2&amp;U$1&amp;"C"&amp;$A22)*RTD("tos.rtd",,"DELTA","."&amp;U$2&amp;U$1&amp;"C"&amp;$A22)-100*RTD("tos.rtd",,"OPEN_INT","."&amp;U$2&amp;U$1&amp;"P"&amp;$A22)*RTD("tos.rtd",,"DELTA","."&amp;U$2&amp;U$1&amp;"P"&amp;$A22))/1000),0),IF($A$2="VEX",IFERROR(IF($X$1="ABS",($A$4*$A$4*RTD("tos.rtd",,"VOLUME","."&amp;U$2&amp;U$1&amp;"C"&amp;$A22)*RTD("tos.rtd",,"GAMMA","."&amp;U$2&amp;U$1&amp;"C"&amp;$A22)+$A$4*$A$4*RTD("tos.rtd",,"VOLUME","."&amp;U$2&amp;U$1&amp;"P"&amp;$A22)*RTD("tos.rtd",,"GAMMA","."&amp;U$2&amp;U$1&amp;"P"&amp;$A22))/1000000,($A$4*$A$4*RTD("tos.rtd",,"VOLUME","."&amp;U$2&amp;U$1&amp;"C"&amp;$A22)*RTD("tos.rtd",,"GAMMA","."&amp;U$2&amp;U$1&amp;"C"&amp;$A22)-$A$4*$A$4*RTD("tos.rtd",,"VOLUME","."&amp;U$2&amp;U$1&amp;"P"&amp;$A22)*RTD("tos.rtd",,"GAMMA","."&amp;U$2&amp;U$1&amp;"P"&amp;$A22))/1000000),0),IF($A$2="GEX",IFERROR(IF($X$1="ABS",($A$4*$A$4*RTD("tos.rtd",,"OPEN_INT","."&amp;U$2&amp;U$1&amp;"C"&amp;$A22)*RTD("tos.rtd",,"GAMMA","."&amp;U$2&amp;U$1&amp;"C"&amp;$A22)+$A$4*$A$4*RTD("tos.rtd",,"OPEN_INT","."&amp;U$2&amp;U$1&amp;"P"&amp;$A22)*RTD("tos.rtd",,"GAMMA","."&amp;U$2&amp;U$1&amp;"P"&amp;$A22))/1000000,($A$4*$A$4*RTD("tos.rtd",,"OPEN_INT","."&amp;U$2&amp;U$1&amp;"C"&amp;$A22)*RTD("tos.rtd",,"GAMMA","."&amp;U$2&amp;U$1&amp;"C"&amp;$A22)-$A$4*$A$4*RTD("tos.rtd",,"OPEN_INT","."&amp;U$2&amp;U$1&amp;"P"&amp;$A22)*RTD("tos.rtd",,"GAMMA","."&amp;U$2&amp;U$1&amp;"P"&amp;$A22))/1000000),0),IF($A$2="SKEW",IFERROR(VALUE(IF(RTD("tos.rtd",,"IMPL_VOL","."&amp;U$2&amp;U$1&amp;"P"&amp;$A22)="N/A",0,RTD("tos.rtd",,"IMPL_VOL","."&amp;U$2&amp;U$1&amp;"P"&amp;$A22))),0)-IFERROR(VALUE(IF(RTD("tos.rtd",,"IMPL_VOL","."&amp;U$2&amp;U$1&amp;"C"&amp;$A22)="N/A",0,RTD("tos.rtd",,"IMPL_VOL","."&amp;U$2&amp;U$1&amp;"C"&amp;$A22))),0),IF($A$2="MAXPAIN",IF($A$4&gt;$A22,($A$4-$A22)*IF(RTD("tos.rtd",,"OPEN_INT","."&amp;U$2&amp;U$1&amp;"C"&amp;$A22)="N/A",0,RTD("tos.rtd",,"OPEN_INT","."&amp;U$2&amp;U$1&amp;"C"&amp;$A22)),0)+IF($A$4&lt;$A22,($A$5-$A$4)*IF(RTD("tos.rtd",,"OPEN_INT","."&amp;U$2&amp;U$1&amp;"P"&amp;$A22)="N/A",0,RTD("tos.rtd",,"OPEN_INT","."&amp;U$2&amp;U$1&amp;"P"&amp;$A22)),0),IF($X$1="ABS",IF(RTD("tos.rtd",,$A$2,"."&amp;U$2&amp;U$1&amp;"C"&amp;$A22)="N/A",0,RTD("tos.rtd",,$A$2,"."&amp;U$2&amp;U$1&amp;"C"&amp;$A22))+IF(RTD("tos.rtd",,$A$2,"."&amp;U$2&amp;U$1&amp;"P"&amp;$A22)="N/A",0,RTD("tos.rtd",,$A$2,"."&amp;U$2&amp;U$1&amp;"P"&amp;$A22)),IF(RTD("tos.rtd",,$A$2,"."&amp;U$2&amp;U$1&amp;"C"&amp;$A22)="N/A",0,RTD("tos.rtd",,$A$2,"."&amp;U$2&amp;U$1&amp;"C"&amp;$A22))-IF(RTD("tos.rtd",,$A$2,"."&amp;U$2&amp;U$1&amp;"P"&amp;$A22)="N/A",0,RTD("tos.rtd",,$A$2,"."&amp;U$2&amp;U$1&amp;"P"&amp;$A22))))))))))</f>
        <v>0</v>
      </c>
      <c r="V22" s="12">
        <f ca="1">IF($A$2="PREMIUM_OI",IFERROR(IF($X$1="ABS",(100*RTD("tos.rtd",,"OPEN_INT","."&amp;V$2&amp;V$1&amp;"C"&amp;$A22)*RTD("tos.rtd",,"LAST","."&amp;V$2&amp;V$1&amp;"C"&amp;$A22)+100*RTD("tos.rtd",,"OPEN_INT","."&amp;V$2&amp;V$1&amp;"P"&amp;$A22)*RTD("tos.rtd",,"LAST","."&amp;V$2&amp;V$1&amp;"P"&amp;$A22))/1000000,(100*RTD("tos.rtd",,"OPEN_INT","."&amp;V$2&amp;V$1&amp;"C"&amp;$A22)*RTD("tos.rtd",,"LAST","."&amp;V$2&amp;V$1&amp;"C"&amp;$A22)-100*RTD("tos.rtd",,"OPEN_INT","."&amp;V$2&amp;V$1&amp;"P"&amp;$A22)*RTD("tos.rtd",,"LAST","."&amp;V$2&amp;V$1&amp;"P"&amp;$A22))/1000000),0),IF($A$2="PREMIUM",IFERROR(IF($X$1="ABS",(100*RTD("tos.rtd",,"VOLUME","."&amp;V$2&amp;V$1&amp;"C"&amp;$A22)*RTD("tos.rtd",,"LAST","."&amp;V$2&amp;V$1&amp;"C"&amp;$A22)+100*RTD("tos.rtd",,"VOLUME","."&amp;V$2&amp;V$1&amp;"P"&amp;$A22)*RTD("tos.rtd",,"LAST","."&amp;V$2&amp;V$1&amp;"P"&amp;$A22))/1000000,(100*RTD("tos.rtd",,"VOLUME","."&amp;V$2&amp;V$1&amp;"C"&amp;$A22)*RTD("tos.rtd",,"LAST","."&amp;V$2&amp;V$1&amp;"C"&amp;$A22)-100*RTD("tos.rtd",,"VOLUME","."&amp;V$2&amp;V$1&amp;"P"&amp;$A22)*RTD("tos.rtd",,"LAST","."&amp;V$2&amp;V$1&amp;"P"&amp;$A22))/1000000),0),IF($A$2="DEX",IFERROR(IF($X$1="ABS",(100*RTD("tos.rtd",,"OPEN_INT","."&amp;V$2&amp;V$1&amp;"C"&amp;$A22)*RTD("tos.rtd",,"DELTA","."&amp;V$2&amp;V$1&amp;"C"&amp;$A22)+100*RTD("tos.rtd",,"OPEN_INT","."&amp;V$2&amp;V$1&amp;"P"&amp;$A22)*RTD("tos.rtd",,"DELTA","."&amp;V$2&amp;V$1&amp;"P"&amp;$A22))/1000,(100*RTD("tos.rtd",,"OPEN_INT","."&amp;V$2&amp;V$1&amp;"C"&amp;$A22)*RTD("tos.rtd",,"DELTA","."&amp;V$2&amp;V$1&amp;"C"&amp;$A22)-100*RTD("tos.rtd",,"OPEN_INT","."&amp;V$2&amp;V$1&amp;"P"&amp;$A22)*RTD("tos.rtd",,"DELTA","."&amp;V$2&amp;V$1&amp;"P"&amp;$A22))/1000),0),IF($A$2="VEX",IFERROR(IF($X$1="ABS",($A$4*$A$4*RTD("tos.rtd",,"VOLUME","."&amp;V$2&amp;V$1&amp;"C"&amp;$A22)*RTD("tos.rtd",,"GAMMA","."&amp;V$2&amp;V$1&amp;"C"&amp;$A22)+$A$4*$A$4*RTD("tos.rtd",,"VOLUME","."&amp;V$2&amp;V$1&amp;"P"&amp;$A22)*RTD("tos.rtd",,"GAMMA","."&amp;V$2&amp;V$1&amp;"P"&amp;$A22))/1000000,($A$4*$A$4*RTD("tos.rtd",,"VOLUME","."&amp;V$2&amp;V$1&amp;"C"&amp;$A22)*RTD("tos.rtd",,"GAMMA","."&amp;V$2&amp;V$1&amp;"C"&amp;$A22)-$A$4*$A$4*RTD("tos.rtd",,"VOLUME","."&amp;V$2&amp;V$1&amp;"P"&amp;$A22)*RTD("tos.rtd",,"GAMMA","."&amp;V$2&amp;V$1&amp;"P"&amp;$A22))/1000000),0),IF($A$2="GEX",IFERROR(IF($X$1="ABS",($A$4*$A$4*RTD("tos.rtd",,"OPEN_INT","."&amp;V$2&amp;V$1&amp;"C"&amp;$A22)*RTD("tos.rtd",,"GAMMA","."&amp;V$2&amp;V$1&amp;"C"&amp;$A22)+$A$4*$A$4*RTD("tos.rtd",,"OPEN_INT","."&amp;V$2&amp;V$1&amp;"P"&amp;$A22)*RTD("tos.rtd",,"GAMMA","."&amp;V$2&amp;V$1&amp;"P"&amp;$A22))/1000000,($A$4*$A$4*RTD("tos.rtd",,"OPEN_INT","."&amp;V$2&amp;V$1&amp;"C"&amp;$A22)*RTD("tos.rtd",,"GAMMA","."&amp;V$2&amp;V$1&amp;"C"&amp;$A22)-$A$4*$A$4*RTD("tos.rtd",,"OPEN_INT","."&amp;V$2&amp;V$1&amp;"P"&amp;$A22)*RTD("tos.rtd",,"GAMMA","."&amp;V$2&amp;V$1&amp;"P"&amp;$A22))/1000000),0),IF($A$2="SKEW",IFERROR(VALUE(IF(RTD("tos.rtd",,"IMPL_VOL","."&amp;V$2&amp;V$1&amp;"P"&amp;$A22)="N/A",0,RTD("tos.rtd",,"IMPL_VOL","."&amp;V$2&amp;V$1&amp;"P"&amp;$A22))),0)-IFERROR(VALUE(IF(RTD("tos.rtd",,"IMPL_VOL","."&amp;V$2&amp;V$1&amp;"C"&amp;$A22)="N/A",0,RTD("tos.rtd",,"IMPL_VOL","."&amp;V$2&amp;V$1&amp;"C"&amp;$A22))),0),IF($A$2="MAXPAIN",IF($A$4&gt;$A22,($A$4-$A22)*IF(RTD("tos.rtd",,"OPEN_INT","."&amp;V$2&amp;V$1&amp;"C"&amp;$A22)="N/A",0,RTD("tos.rtd",,"OPEN_INT","."&amp;V$2&amp;V$1&amp;"C"&amp;$A22)),0)+IF($A$4&lt;$A22,($A$5-$A$4)*IF(RTD("tos.rtd",,"OPEN_INT","."&amp;V$2&amp;V$1&amp;"P"&amp;$A22)="N/A",0,RTD("tos.rtd",,"OPEN_INT","."&amp;V$2&amp;V$1&amp;"P"&amp;$A22)),0),IF($X$1="ABS",IF(RTD("tos.rtd",,$A$2,"."&amp;V$2&amp;V$1&amp;"C"&amp;$A22)="N/A",0,RTD("tos.rtd",,$A$2,"."&amp;V$2&amp;V$1&amp;"C"&amp;$A22))+IF(RTD("tos.rtd",,$A$2,"."&amp;V$2&amp;V$1&amp;"P"&amp;$A22)="N/A",0,RTD("tos.rtd",,$A$2,"."&amp;V$2&amp;V$1&amp;"P"&amp;$A22)),IF(RTD("tos.rtd",,$A$2,"."&amp;V$2&amp;V$1&amp;"C"&amp;$A22)="N/A",0,RTD("tos.rtd",,$A$2,"."&amp;V$2&amp;V$1&amp;"C"&amp;$A22))-IF(RTD("tos.rtd",,$A$2,"."&amp;V$2&amp;V$1&amp;"P"&amp;$A22)="N/A",0,RTD("tos.rtd",,$A$2,"."&amp;V$2&amp;V$1&amp;"P"&amp;$A22))))))))))</f>
        <v>0</v>
      </c>
      <c r="W22" s="12">
        <f ca="1">IF($A$2="PREMIUM_OI",IFERROR(IF($X$1="ABS",(100*RTD("tos.rtd",,"OPEN_INT","."&amp;W$2&amp;W$1&amp;"C"&amp;$A22)*RTD("tos.rtd",,"LAST","."&amp;W$2&amp;W$1&amp;"C"&amp;$A22)+100*RTD("tos.rtd",,"OPEN_INT","."&amp;W$2&amp;W$1&amp;"P"&amp;$A22)*RTD("tos.rtd",,"LAST","."&amp;W$2&amp;W$1&amp;"P"&amp;$A22))/1000000,(100*RTD("tos.rtd",,"OPEN_INT","."&amp;W$2&amp;W$1&amp;"C"&amp;$A22)*RTD("tos.rtd",,"LAST","."&amp;W$2&amp;W$1&amp;"C"&amp;$A22)-100*RTD("tos.rtd",,"OPEN_INT","."&amp;W$2&amp;W$1&amp;"P"&amp;$A22)*RTD("tos.rtd",,"LAST","."&amp;W$2&amp;W$1&amp;"P"&amp;$A22))/1000000),0),IF($A$2="PREMIUM",IFERROR(IF($X$1="ABS",(100*RTD("tos.rtd",,"VOLUME","."&amp;W$2&amp;W$1&amp;"C"&amp;$A22)*RTD("tos.rtd",,"LAST","."&amp;W$2&amp;W$1&amp;"C"&amp;$A22)+100*RTD("tos.rtd",,"VOLUME","."&amp;W$2&amp;W$1&amp;"P"&amp;$A22)*RTD("tos.rtd",,"LAST","."&amp;W$2&amp;W$1&amp;"P"&amp;$A22))/1000000,(100*RTD("tos.rtd",,"VOLUME","."&amp;W$2&amp;W$1&amp;"C"&amp;$A22)*RTD("tos.rtd",,"LAST","."&amp;W$2&amp;W$1&amp;"C"&amp;$A22)-100*RTD("tos.rtd",,"VOLUME","."&amp;W$2&amp;W$1&amp;"P"&amp;$A22)*RTD("tos.rtd",,"LAST","."&amp;W$2&amp;W$1&amp;"P"&amp;$A22))/1000000),0),IF($A$2="DEX",IFERROR(IF($X$1="ABS",(100*RTD("tos.rtd",,"OPEN_INT","."&amp;W$2&amp;W$1&amp;"C"&amp;$A22)*RTD("tos.rtd",,"DELTA","."&amp;W$2&amp;W$1&amp;"C"&amp;$A22)+100*RTD("tos.rtd",,"OPEN_INT","."&amp;W$2&amp;W$1&amp;"P"&amp;$A22)*RTD("tos.rtd",,"DELTA","."&amp;W$2&amp;W$1&amp;"P"&amp;$A22))/1000,(100*RTD("tos.rtd",,"OPEN_INT","."&amp;W$2&amp;W$1&amp;"C"&amp;$A22)*RTD("tos.rtd",,"DELTA","."&amp;W$2&amp;W$1&amp;"C"&amp;$A22)-100*RTD("tos.rtd",,"OPEN_INT","."&amp;W$2&amp;W$1&amp;"P"&amp;$A22)*RTD("tos.rtd",,"DELTA","."&amp;W$2&amp;W$1&amp;"P"&amp;$A22))/1000),0),IF($A$2="VEX",IFERROR(IF($X$1="ABS",($A$4*$A$4*RTD("tos.rtd",,"VOLUME","."&amp;W$2&amp;W$1&amp;"C"&amp;$A22)*RTD("tos.rtd",,"GAMMA","."&amp;W$2&amp;W$1&amp;"C"&amp;$A22)+$A$4*$A$4*RTD("tos.rtd",,"VOLUME","."&amp;W$2&amp;W$1&amp;"P"&amp;$A22)*RTD("tos.rtd",,"GAMMA","."&amp;W$2&amp;W$1&amp;"P"&amp;$A22))/1000000,($A$4*$A$4*RTD("tos.rtd",,"VOLUME","."&amp;W$2&amp;W$1&amp;"C"&amp;$A22)*RTD("tos.rtd",,"GAMMA","."&amp;W$2&amp;W$1&amp;"C"&amp;$A22)-$A$4*$A$4*RTD("tos.rtd",,"VOLUME","."&amp;W$2&amp;W$1&amp;"P"&amp;$A22)*RTD("tos.rtd",,"GAMMA","."&amp;W$2&amp;W$1&amp;"P"&amp;$A22))/1000000),0),IF($A$2="GEX",IFERROR(IF($X$1="ABS",($A$4*$A$4*RTD("tos.rtd",,"OPEN_INT","."&amp;W$2&amp;W$1&amp;"C"&amp;$A22)*RTD("tos.rtd",,"GAMMA","."&amp;W$2&amp;W$1&amp;"C"&amp;$A22)+$A$4*$A$4*RTD("tos.rtd",,"OPEN_INT","."&amp;W$2&amp;W$1&amp;"P"&amp;$A22)*RTD("tos.rtd",,"GAMMA","."&amp;W$2&amp;W$1&amp;"P"&amp;$A22))/1000000,($A$4*$A$4*RTD("tos.rtd",,"OPEN_INT","."&amp;W$2&amp;W$1&amp;"C"&amp;$A22)*RTD("tos.rtd",,"GAMMA","."&amp;W$2&amp;W$1&amp;"C"&amp;$A22)-$A$4*$A$4*RTD("tos.rtd",,"OPEN_INT","."&amp;W$2&amp;W$1&amp;"P"&amp;$A22)*RTD("tos.rtd",,"GAMMA","."&amp;W$2&amp;W$1&amp;"P"&amp;$A22))/1000000),0),IF($A$2="SKEW",IFERROR(VALUE(IF(RTD("tos.rtd",,"IMPL_VOL","."&amp;W$2&amp;W$1&amp;"P"&amp;$A22)="N/A",0,RTD("tos.rtd",,"IMPL_VOL","."&amp;W$2&amp;W$1&amp;"P"&amp;$A22))),0)-IFERROR(VALUE(IF(RTD("tos.rtd",,"IMPL_VOL","."&amp;W$2&amp;W$1&amp;"C"&amp;$A22)="N/A",0,RTD("tos.rtd",,"IMPL_VOL","."&amp;W$2&amp;W$1&amp;"C"&amp;$A22))),0),IF($A$2="MAXPAIN",IF($A$4&gt;$A22,($A$4-$A22)*IF(RTD("tos.rtd",,"OPEN_INT","."&amp;W$2&amp;W$1&amp;"C"&amp;$A22)="N/A",0,RTD("tos.rtd",,"OPEN_INT","."&amp;W$2&amp;W$1&amp;"C"&amp;$A22)),0)+IF($A$4&lt;$A22,($A$5-$A$4)*IF(RTD("tos.rtd",,"OPEN_INT","."&amp;W$2&amp;W$1&amp;"P"&amp;$A22)="N/A",0,RTD("tos.rtd",,"OPEN_INT","."&amp;W$2&amp;W$1&amp;"P"&amp;$A22)),0),IF($X$1="ABS",IF(RTD("tos.rtd",,$A$2,"."&amp;W$2&amp;W$1&amp;"C"&amp;$A22)="N/A",0,RTD("tos.rtd",,$A$2,"."&amp;W$2&amp;W$1&amp;"C"&amp;$A22))+IF(RTD("tos.rtd",,$A$2,"."&amp;W$2&amp;W$1&amp;"P"&amp;$A22)="N/A",0,RTD("tos.rtd",,$A$2,"."&amp;W$2&amp;W$1&amp;"P"&amp;$A22)),IF(RTD("tos.rtd",,$A$2,"."&amp;W$2&amp;W$1&amp;"C"&amp;$A22)="N/A",0,RTD("tos.rtd",,$A$2,"."&amp;W$2&amp;W$1&amp;"C"&amp;$A22))-IF(RTD("tos.rtd",,$A$2,"."&amp;W$2&amp;W$1&amp;"P"&amp;$A22)="N/A",0,RTD("tos.rtd",,$A$2,"."&amp;W$2&amp;W$1&amp;"P"&amp;$A22))))))))))</f>
        <v>0</v>
      </c>
      <c r="X22" s="57">
        <f t="shared" ca="1" si="7"/>
        <v>39347</v>
      </c>
      <c r="Y22" s="27">
        <f t="shared" ca="1" si="8"/>
        <v>39347</v>
      </c>
      <c r="Z22" s="27" t="b">
        <f t="shared" ca="1" si="9"/>
        <v>0</v>
      </c>
      <c r="AA22" s="27">
        <f t="shared" si="10"/>
        <v>89766650</v>
      </c>
      <c r="AB22" s="18">
        <f>MAX(0, $A22-AB$4)*IF(RTD("tos.rtd",,"OPEN_INT","."&amp;$AA$3&amp;$AA$4&amp;"C"&amp;AB$4)="N/A",0,RTD("tos.rtd",,"OPEN_INT","."&amp;$AA$3&amp;$AA$4&amp;"C"&amp;AB$4))*100 + MAX(0, AB$4-$A22)*IF(RTD("tos.rtd",,"OPEN_INT","."&amp;$AA$3&amp;$AA$4&amp;"P"&amp;AB$4)="N/A",0,RTD("tos.rtd",,"OPEN_INT","."&amp;$AA$3&amp;$AA$4&amp;"P"&amp;AB$4))*100</f>
        <v>0</v>
      </c>
      <c r="AC22" s="18">
        <f>MAX(0, $A22-AC$4)*IF(RTD("tos.rtd",,"OPEN_INT","."&amp;$AA$3&amp;$AA$4&amp;"C"&amp;AC$4)="N/A",0,RTD("tos.rtd",,"OPEN_INT","."&amp;$AA$3&amp;$AA$4&amp;"C"&amp;AC$4))*100 + MAX(0, AC$4-$A22)*IF(RTD("tos.rtd",,"OPEN_INT","."&amp;$AA$3&amp;$AA$4&amp;"P"&amp;AC$4)="N/A",0,RTD("tos.rtd",,"OPEN_INT","."&amp;$AA$3&amp;$AA$4&amp;"P"&amp;AC$4))*100</f>
        <v>0</v>
      </c>
      <c r="AD22" s="18">
        <f>MAX(0, $A22-AD$4)*IF(RTD("tos.rtd",,"OPEN_INT","."&amp;$AA$3&amp;$AA$4&amp;"C"&amp;AD$4)="N/A",0,RTD("tos.rtd",,"OPEN_INT","."&amp;$AA$3&amp;$AA$4&amp;"C"&amp;AD$4))*100 + MAX(0, AD$4-$A22)*IF(RTD("tos.rtd",,"OPEN_INT","."&amp;$AA$3&amp;$AA$4&amp;"P"&amp;AD$4)="N/A",0,RTD("tos.rtd",,"OPEN_INT","."&amp;$AA$3&amp;$AA$4&amp;"P"&amp;AD$4))*100</f>
        <v>0</v>
      </c>
      <c r="AE22" s="18">
        <f>MAX(0, $A22-AE$4)*IF(RTD("tos.rtd",,"OPEN_INT","."&amp;$AA$3&amp;$AA$4&amp;"C"&amp;AE$4)="N/A",0,RTD("tos.rtd",,"OPEN_INT","."&amp;$AA$3&amp;$AA$4&amp;"C"&amp;AE$4))*100 + MAX(0, AE$4-$A22)*IF(RTD("tos.rtd",,"OPEN_INT","."&amp;$AA$3&amp;$AA$4&amp;"P"&amp;AE$4)="N/A",0,RTD("tos.rtd",,"OPEN_INT","."&amp;$AA$3&amp;$AA$4&amp;"P"&amp;AE$4))*100</f>
        <v>0</v>
      </c>
      <c r="AF22" s="18">
        <f>MAX(0, $A22-AF$4)*IF(RTD("tos.rtd",,"OPEN_INT","."&amp;$AA$3&amp;$AA$4&amp;"C"&amp;AF$4)="N/A",0,RTD("tos.rtd",,"OPEN_INT","."&amp;$AA$3&amp;$AA$4&amp;"C"&amp;AF$4))*100 + MAX(0, AF$4-$A22)*IF(RTD("tos.rtd",,"OPEN_INT","."&amp;$AA$3&amp;$AA$4&amp;"P"&amp;AF$4)="N/A",0,RTD("tos.rtd",,"OPEN_INT","."&amp;$AA$3&amp;$AA$4&amp;"P"&amp;AF$4))*100</f>
        <v>0</v>
      </c>
      <c r="AG22" s="18">
        <f>MAX(0, $A22-AG$4)*IF(RTD("tos.rtd",,"OPEN_INT","."&amp;$AA$3&amp;$AA$4&amp;"C"&amp;AG$4)="N/A",0,RTD("tos.rtd",,"OPEN_INT","."&amp;$AA$3&amp;$AA$4&amp;"C"&amp;AG$4))*100 + MAX(0, AG$4-$A22)*IF(RTD("tos.rtd",,"OPEN_INT","."&amp;$AA$3&amp;$AA$4&amp;"P"&amp;AG$4)="N/A",0,RTD("tos.rtd",,"OPEN_INT","."&amp;$AA$3&amp;$AA$4&amp;"P"&amp;AG$4))*100</f>
        <v>0</v>
      </c>
      <c r="AH22" s="18">
        <f>MAX(0, $A22-AH$4)*IF(RTD("tos.rtd",,"OPEN_INT","."&amp;$AA$3&amp;$AA$4&amp;"C"&amp;AH$4)="N/A",0,RTD("tos.rtd",,"OPEN_INT","."&amp;$AA$3&amp;$AA$4&amp;"C"&amp;AH$4))*100 + MAX(0, AH$4-$A22)*IF(RTD("tos.rtd",,"OPEN_INT","."&amp;$AA$3&amp;$AA$4&amp;"P"&amp;AH$4)="N/A",0,RTD("tos.rtd",,"OPEN_INT","."&amp;$AA$3&amp;$AA$4&amp;"P"&amp;AH$4))*100</f>
        <v>0</v>
      </c>
      <c r="AI22" s="18">
        <f>MAX(0, $A22-AI$4)*IF(RTD("tos.rtd",,"OPEN_INT","."&amp;$AA$3&amp;$AA$4&amp;"C"&amp;AI$4)="N/A",0,RTD("tos.rtd",,"OPEN_INT","."&amp;$AA$3&amp;$AA$4&amp;"C"&amp;AI$4))*100 + MAX(0, AI$4-$A22)*IF(RTD("tos.rtd",,"OPEN_INT","."&amp;$AA$3&amp;$AA$4&amp;"P"&amp;AI$4)="N/A",0,RTD("tos.rtd",,"OPEN_INT","."&amp;$AA$3&amp;$AA$4&amp;"P"&amp;AI$4))*100</f>
        <v>1500</v>
      </c>
      <c r="AJ22" s="18">
        <f>MAX(0, $A22-AJ$4)*IF(RTD("tos.rtd",,"OPEN_INT","."&amp;$AA$3&amp;$AA$4&amp;"C"&amp;AJ$4)="N/A",0,RTD("tos.rtd",,"OPEN_INT","."&amp;$AA$3&amp;$AA$4&amp;"C"&amp;AJ$4))*100 + MAX(0, AJ$4-$A22)*IF(RTD("tos.rtd",,"OPEN_INT","."&amp;$AA$3&amp;$AA$4&amp;"P"&amp;AJ$4)="N/A",0,RTD("tos.rtd",,"OPEN_INT","."&amp;$AA$3&amp;$AA$4&amp;"P"&amp;AJ$4))*100</f>
        <v>3600</v>
      </c>
      <c r="AK22" s="18">
        <f>MAX(0, $A22-AK$4)*IF(RTD("tos.rtd",,"OPEN_INT","."&amp;$AA$3&amp;$AA$4&amp;"C"&amp;AK$4)="N/A",0,RTD("tos.rtd",,"OPEN_INT","."&amp;$AA$3&amp;$AA$4&amp;"C"&amp;AK$4))*100 + MAX(0, AK$4-$A22)*IF(RTD("tos.rtd",,"OPEN_INT","."&amp;$AA$3&amp;$AA$4&amp;"P"&amp;AK$4)="N/A",0,RTD("tos.rtd",,"OPEN_INT","."&amp;$AA$3&amp;$AA$4&amp;"P"&amp;AK$4))*100</f>
        <v>0</v>
      </c>
      <c r="AL22" s="18">
        <f>MAX(0, $A22-AL$4)*IF(RTD("tos.rtd",,"OPEN_INT","."&amp;$AA$3&amp;$AA$4&amp;"C"&amp;AL$4)="N/A",0,RTD("tos.rtd",,"OPEN_INT","."&amp;$AA$3&amp;$AA$4&amp;"C"&amp;AL$4))*100 + MAX(0, AL$4-$A22)*IF(RTD("tos.rtd",,"OPEN_INT","."&amp;$AA$3&amp;$AA$4&amp;"P"&amp;AL$4)="N/A",0,RTD("tos.rtd",,"OPEN_INT","."&amp;$AA$3&amp;$AA$4&amp;"P"&amp;AL$4))*100</f>
        <v>0</v>
      </c>
      <c r="AM22" s="18">
        <f>MAX(0, $A22-AM$4)*IF(RTD("tos.rtd",,"OPEN_INT","."&amp;$AA$3&amp;$AA$4&amp;"C"&amp;AM$4)="N/A",0,RTD("tos.rtd",,"OPEN_INT","."&amp;$AA$3&amp;$AA$4&amp;"C"&amp;AM$4))*100 + MAX(0, AM$4-$A22)*IF(RTD("tos.rtd",,"OPEN_INT","."&amp;$AA$3&amp;$AA$4&amp;"P"&amp;AM$4)="N/A",0,RTD("tos.rtd",,"OPEN_INT","."&amp;$AA$3&amp;$AA$4&amp;"P"&amp;AM$4))*100</f>
        <v>0</v>
      </c>
      <c r="AN22" s="18">
        <f>MAX(0, $A22-AN$4)*IF(RTD("tos.rtd",,"OPEN_INT","."&amp;$AA$3&amp;$AA$4&amp;"C"&amp;AN$4)="N/A",0,RTD("tos.rtd",,"OPEN_INT","."&amp;$AA$3&amp;$AA$4&amp;"C"&amp;AN$4))*100 + MAX(0, AN$4-$A22)*IF(RTD("tos.rtd",,"OPEN_INT","."&amp;$AA$3&amp;$AA$4&amp;"P"&amp;AN$4)="N/A",0,RTD("tos.rtd",,"OPEN_INT","."&amp;$AA$3&amp;$AA$4&amp;"P"&amp;AN$4))*100</f>
        <v>0</v>
      </c>
      <c r="AO22" s="18">
        <f>MAX(0, $A22-AO$4)*IF(RTD("tos.rtd",,"OPEN_INT","."&amp;$AA$3&amp;$AA$4&amp;"C"&amp;AO$4)="N/A",0,RTD("tos.rtd",,"OPEN_INT","."&amp;$AA$3&amp;$AA$4&amp;"C"&amp;AO$4))*100 + MAX(0, AO$4-$A22)*IF(RTD("tos.rtd",,"OPEN_INT","."&amp;$AA$3&amp;$AA$4&amp;"P"&amp;AO$4)="N/A",0,RTD("tos.rtd",,"OPEN_INT","."&amp;$AA$3&amp;$AA$4&amp;"P"&amp;AO$4))*100</f>
        <v>24000</v>
      </c>
      <c r="AP22" s="18">
        <f>MAX(0, $A22-AP$4)*IF(RTD("tos.rtd",,"OPEN_INT","."&amp;$AA$3&amp;$AA$4&amp;"C"&amp;AP$4)="N/A",0,RTD("tos.rtd",,"OPEN_INT","."&amp;$AA$3&amp;$AA$4&amp;"C"&amp;AP$4))*100 + MAX(0, AP$4-$A22)*IF(RTD("tos.rtd",,"OPEN_INT","."&amp;$AA$3&amp;$AA$4&amp;"P"&amp;AP$4)="N/A",0,RTD("tos.rtd",,"OPEN_INT","."&amp;$AA$3&amp;$AA$4&amp;"P"&amp;AP$4))*100</f>
        <v>0</v>
      </c>
      <c r="AQ22" s="18">
        <f>MAX(0, $A22-AQ$4)*IF(RTD("tos.rtd",,"OPEN_INT","."&amp;$AA$3&amp;$AA$4&amp;"C"&amp;AQ$4)="N/A",0,RTD("tos.rtd",,"OPEN_INT","."&amp;$AA$3&amp;$AA$4&amp;"C"&amp;AQ$4))*100 + MAX(0, AQ$4-$A22)*IF(RTD("tos.rtd",,"OPEN_INT","."&amp;$AA$3&amp;$AA$4&amp;"P"&amp;AQ$4)="N/A",0,RTD("tos.rtd",,"OPEN_INT","."&amp;$AA$3&amp;$AA$4&amp;"P"&amp;AQ$4))*100</f>
        <v>5300</v>
      </c>
      <c r="AR22" s="18">
        <f>MAX(0, $A22-AR$4)*IF(RTD("tos.rtd",,"OPEN_INT","."&amp;$AA$3&amp;$AA$4&amp;"C"&amp;AR$4)="N/A",0,RTD("tos.rtd",,"OPEN_INT","."&amp;$AA$3&amp;$AA$4&amp;"C"&amp;AR$4))*100 + MAX(0, AR$4-$A22)*IF(RTD("tos.rtd",,"OPEN_INT","."&amp;$AA$3&amp;$AA$4&amp;"P"&amp;AR$4)="N/A",0,RTD("tos.rtd",,"OPEN_INT","."&amp;$AA$3&amp;$AA$4&amp;"P"&amp;AR$4))*100</f>
        <v>300</v>
      </c>
      <c r="AS22" s="18">
        <f>MAX(0, $A22-AS$4)*IF(RTD("tos.rtd",,"OPEN_INT","."&amp;$AA$3&amp;$AA$4&amp;"C"&amp;AS$4)="N/A",0,RTD("tos.rtd",,"OPEN_INT","."&amp;$AA$3&amp;$AA$4&amp;"C"&amp;AS$4))*100 + MAX(0, AS$4-$A22)*IF(RTD("tos.rtd",,"OPEN_INT","."&amp;$AA$3&amp;$AA$4&amp;"P"&amp;AS$4)="N/A",0,RTD("tos.rtd",,"OPEN_INT","."&amp;$AA$3&amp;$AA$4&amp;"P"&amp;AS$4))*100</f>
        <v>0</v>
      </c>
      <c r="AT22" s="18">
        <f>MAX(0, $A22-AT$4)*IF(RTD("tos.rtd",,"OPEN_INT","."&amp;$AA$3&amp;$AA$4&amp;"C"&amp;AT$4)="N/A",0,RTD("tos.rtd",,"OPEN_INT","."&amp;$AA$3&amp;$AA$4&amp;"C"&amp;AT$4))*100 + MAX(0, AT$4-$A22)*IF(RTD("tos.rtd",,"OPEN_INT","."&amp;$AA$3&amp;$AA$4&amp;"P"&amp;AT$4)="N/A",0,RTD("tos.rtd",,"OPEN_INT","."&amp;$AA$3&amp;$AA$4&amp;"P"&amp;AT$4))*100</f>
        <v>70100</v>
      </c>
      <c r="AU22" s="18">
        <f>MAX(0, $A22-AU$4)*IF(RTD("tos.rtd",,"OPEN_INT","."&amp;$AA$3&amp;$AA$4&amp;"C"&amp;AU$4)="N/A",0,RTD("tos.rtd",,"OPEN_INT","."&amp;$AA$3&amp;$AA$4&amp;"C"&amp;AU$4))*100 + MAX(0, AU$4-$A22)*IF(RTD("tos.rtd",,"OPEN_INT","."&amp;$AA$3&amp;$AA$4&amp;"P"&amp;AU$4)="N/A",0,RTD("tos.rtd",,"OPEN_INT","."&amp;$AA$3&amp;$AA$4&amp;"P"&amp;AU$4))*100</f>
        <v>168300</v>
      </c>
      <c r="AV22" s="18">
        <f>MAX(0, $A22-AV$4)*IF(RTD("tos.rtd",,"OPEN_INT","."&amp;$AA$3&amp;$AA$4&amp;"C"&amp;AV$4)="N/A",0,RTD("tos.rtd",,"OPEN_INT","."&amp;$AA$3&amp;$AA$4&amp;"C"&amp;AV$4))*100 + MAX(0, AV$4-$A22)*IF(RTD("tos.rtd",,"OPEN_INT","."&amp;$AA$3&amp;$AA$4&amp;"P"&amp;AV$4)="N/A",0,RTD("tos.rtd",,"OPEN_INT","."&amp;$AA$3&amp;$AA$4&amp;"P"&amp;AV$4))*100</f>
        <v>283200</v>
      </c>
      <c r="AW22" s="18">
        <f>MAX(0, $A22-AW$4)*IF(RTD("tos.rtd",,"OPEN_INT","."&amp;$AA$3&amp;$AA$4&amp;"C"&amp;AW$4)="N/A",0,RTD("tos.rtd",,"OPEN_INT","."&amp;$AA$3&amp;$AA$4&amp;"C"&amp;AW$4))*100 + MAX(0, AW$4-$A22)*IF(RTD("tos.rtd",,"OPEN_INT","."&amp;$AA$3&amp;$AA$4&amp;"P"&amp;AW$4)="N/A",0,RTD("tos.rtd",,"OPEN_INT","."&amp;$AA$3&amp;$AA$4&amp;"P"&amp;AW$4))*100</f>
        <v>615000</v>
      </c>
      <c r="AX22" s="18">
        <f>MAX(0, $A22-AX$4)*IF(RTD("tos.rtd",,"OPEN_INT","."&amp;$AA$3&amp;$AA$4&amp;"C"&amp;AX$4)="N/A",0,RTD("tos.rtd",,"OPEN_INT","."&amp;$AA$3&amp;$AA$4&amp;"C"&amp;AX$4))*100 + MAX(0, AX$4-$A22)*IF(RTD("tos.rtd",,"OPEN_INT","."&amp;$AA$3&amp;$AA$4&amp;"P"&amp;AX$4)="N/A",0,RTD("tos.rtd",,"OPEN_INT","."&amp;$AA$3&amp;$AA$4&amp;"P"&amp;AX$4))*100</f>
        <v>1063250</v>
      </c>
      <c r="AY22" s="18">
        <f>MAX(0, $A22-AY$4)*IF(RTD("tos.rtd",,"OPEN_INT","."&amp;$AA$3&amp;$AA$4&amp;"C"&amp;AY$4)="N/A",0,RTD("tos.rtd",,"OPEN_INT","."&amp;$AA$3&amp;$AA$4&amp;"C"&amp;AY$4))*100 + MAX(0, AY$4-$A22)*IF(RTD("tos.rtd",,"OPEN_INT","."&amp;$AA$3&amp;$AA$4&amp;"P"&amp;AY$4)="N/A",0,RTD("tos.rtd",,"OPEN_INT","."&amp;$AA$3&amp;$AA$4&amp;"P"&amp;AY$4))*100</f>
        <v>5864400</v>
      </c>
      <c r="AZ22" s="18">
        <f>MAX(0, $A22-AZ$4)*IF(RTD("tos.rtd",,"OPEN_INT","."&amp;$AA$3&amp;$AA$4&amp;"C"&amp;AZ$4)="N/A",0,RTD("tos.rtd",,"OPEN_INT","."&amp;$AA$3&amp;$AA$4&amp;"C"&amp;AZ$4))*100 + MAX(0, AZ$4-$A22)*IF(RTD("tos.rtd",,"OPEN_INT","."&amp;$AA$3&amp;$AA$4&amp;"P"&amp;AZ$4)="N/A",0,RTD("tos.rtd",,"OPEN_INT","."&amp;$AA$3&amp;$AA$4&amp;"P"&amp;AZ$4))*100</f>
        <v>3447500</v>
      </c>
      <c r="BA22" s="18">
        <f>MAX(0, $A22-BA$4)*IF(RTD("tos.rtd",,"OPEN_INT","."&amp;$AA$3&amp;$AA$4&amp;"C"&amp;BA$4)="N/A",0,RTD("tos.rtd",,"OPEN_INT","."&amp;$AA$3&amp;$AA$4&amp;"C"&amp;BA$4))*100 + MAX(0, BA$4-$A22)*IF(RTD("tos.rtd",,"OPEN_INT","."&amp;$AA$3&amp;$AA$4&amp;"P"&amp;BA$4)="N/A",0,RTD("tos.rtd",,"OPEN_INT","."&amp;$AA$3&amp;$AA$4&amp;"P"&amp;BA$4))*100</f>
        <v>12322800</v>
      </c>
      <c r="BB22" s="18">
        <f>MAX(0, $A22-BB$4)*IF(RTD("tos.rtd",,"OPEN_INT","."&amp;$AA$3&amp;$AA$4&amp;"C"&amp;BB$4)="N/A",0,RTD("tos.rtd",,"OPEN_INT","."&amp;$AA$3&amp;$AA$4&amp;"C"&amp;BB$4))*100 + MAX(0, BB$4-$A22)*IF(RTD("tos.rtd",,"OPEN_INT","."&amp;$AA$3&amp;$AA$4&amp;"P"&amp;BB$4)="N/A",0,RTD("tos.rtd",,"OPEN_INT","."&amp;$AA$3&amp;$AA$4&amp;"P"&amp;BB$4))*100</f>
        <v>12896100</v>
      </c>
      <c r="BC22" s="18">
        <f>MAX(0, $A22-BC$4)*IF(RTD("tos.rtd",,"OPEN_INT","."&amp;$AA$3&amp;$AA$4&amp;"C"&amp;BC$4)="N/A",0,RTD("tos.rtd",,"OPEN_INT","."&amp;$AA$3&amp;$AA$4&amp;"C"&amp;BC$4))*100 + MAX(0, BC$4-$A22)*IF(RTD("tos.rtd",,"OPEN_INT","."&amp;$AA$3&amp;$AA$4&amp;"P"&amp;BC$4)="N/A",0,RTD("tos.rtd",,"OPEN_INT","."&amp;$AA$3&amp;$AA$4&amp;"P"&amp;BC$4))*100</f>
        <v>20356500</v>
      </c>
      <c r="BD22" s="18">
        <f>MAX(0, $A22-BD$4)*IF(RTD("tos.rtd",,"OPEN_INT","."&amp;$AA$3&amp;$AA$4&amp;"C"&amp;BD$4)="N/A",0,RTD("tos.rtd",,"OPEN_INT","."&amp;$AA$3&amp;$AA$4&amp;"C"&amp;BD$4))*100 + MAX(0, BD$4-$A22)*IF(RTD("tos.rtd",,"OPEN_INT","."&amp;$AA$3&amp;$AA$4&amp;"P"&amp;BD$4)="N/A",0,RTD("tos.rtd",,"OPEN_INT","."&amp;$AA$3&amp;$AA$4&amp;"P"&amp;BD$4))*100</f>
        <v>10208000</v>
      </c>
      <c r="BE22" s="18">
        <f>MAX(0, $A22-BE$4)*IF(RTD("tos.rtd",,"OPEN_INT","."&amp;$AA$3&amp;$AA$4&amp;"C"&amp;BE$4)="N/A",0,RTD("tos.rtd",,"OPEN_INT","."&amp;$AA$3&amp;$AA$4&amp;"C"&amp;BE$4))*100 + MAX(0, BE$4-$A22)*IF(RTD("tos.rtd",,"OPEN_INT","."&amp;$AA$3&amp;$AA$4&amp;"P"&amp;BE$4)="N/A",0,RTD("tos.rtd",,"OPEN_INT","."&amp;$AA$3&amp;$AA$4&amp;"P"&amp;BE$4))*100</f>
        <v>10366800</v>
      </c>
      <c r="BF22" s="18">
        <f>MAX(0, $A22-BF$4)*IF(RTD("tos.rtd",,"OPEN_INT","."&amp;$AA$3&amp;$AA$4&amp;"C"&amp;BF$4)="N/A",0,RTD("tos.rtd",,"OPEN_INT","."&amp;$AA$3&amp;$AA$4&amp;"C"&amp;BF$4))*100 + MAX(0, BF$4-$A22)*IF(RTD("tos.rtd",,"OPEN_INT","."&amp;$AA$3&amp;$AA$4&amp;"P"&amp;BF$4)="N/A",0,RTD("tos.rtd",,"OPEN_INT","."&amp;$AA$3&amp;$AA$4&amp;"P"&amp;BF$4))*100</f>
        <v>5464550</v>
      </c>
      <c r="BG22" s="18">
        <f>MAX(0, $A22-BG$4)*IF(RTD("tos.rtd",,"OPEN_INT","."&amp;$AA$3&amp;$AA$4&amp;"C"&amp;BG$4)="N/A",0,RTD("tos.rtd",,"OPEN_INT","."&amp;$AA$3&amp;$AA$4&amp;"C"&amp;BG$4))*100 + MAX(0, BG$4-$A22)*IF(RTD("tos.rtd",,"OPEN_INT","."&amp;$AA$3&amp;$AA$4&amp;"P"&amp;BG$4)="N/A",0,RTD("tos.rtd",,"OPEN_INT","."&amp;$AA$3&amp;$AA$4&amp;"P"&amp;BG$4))*100</f>
        <v>4013800</v>
      </c>
      <c r="BH22" s="18">
        <f>MAX(0, $A22-BH$4)*IF(RTD("tos.rtd",,"OPEN_INT","."&amp;$AA$3&amp;$AA$4&amp;"C"&amp;BH$4)="N/A",0,RTD("tos.rtd",,"OPEN_INT","."&amp;$AA$3&amp;$AA$4&amp;"C"&amp;BH$4))*100 + MAX(0, BH$4-$A22)*IF(RTD("tos.rtd",,"OPEN_INT","."&amp;$AA$3&amp;$AA$4&amp;"P"&amp;BH$4)="N/A",0,RTD("tos.rtd",,"OPEN_INT","."&amp;$AA$3&amp;$AA$4&amp;"P"&amp;BH$4))*100</f>
        <v>1457250</v>
      </c>
      <c r="BI22" s="18">
        <f>MAX(0, $A22-BI$4)*IF(RTD("tos.rtd",,"OPEN_INT","."&amp;$AA$3&amp;$AA$4&amp;"C"&amp;BI$4)="N/A",0,RTD("tos.rtd",,"OPEN_INT","."&amp;$AA$3&amp;$AA$4&amp;"C"&amp;BI$4))*100 + MAX(0, BI$4-$A22)*IF(RTD("tos.rtd",,"OPEN_INT","."&amp;$AA$3&amp;$AA$4&amp;"P"&amp;BI$4)="N/A",0,RTD("tos.rtd",,"OPEN_INT","."&amp;$AA$3&amp;$AA$4&amp;"P"&amp;BI$4))*100</f>
        <v>673600</v>
      </c>
      <c r="BJ22" s="18">
        <f>MAX(0, $A22-BJ$4)*IF(RTD("tos.rtd",,"OPEN_INT","."&amp;$AA$3&amp;$AA$4&amp;"C"&amp;BJ$4)="N/A",0,RTD("tos.rtd",,"OPEN_INT","."&amp;$AA$3&amp;$AA$4&amp;"C"&amp;BJ$4))*100 + MAX(0, BJ$4-$A22)*IF(RTD("tos.rtd",,"OPEN_INT","."&amp;$AA$3&amp;$AA$4&amp;"P"&amp;BJ$4)="N/A",0,RTD("tos.rtd",,"OPEN_INT","."&amp;$AA$3&amp;$AA$4&amp;"P"&amp;BJ$4))*100</f>
        <v>128350</v>
      </c>
      <c r="BK22" s="18">
        <f>MAX(0, $A22-BK$4)*IF(RTD("tos.rtd",,"OPEN_INT","."&amp;$AA$3&amp;$AA$4&amp;"C"&amp;BK$4)="N/A",0,RTD("tos.rtd",,"OPEN_INT","."&amp;$AA$3&amp;$AA$4&amp;"C"&amp;BK$4))*100 + MAX(0, BK$4-$A22)*IF(RTD("tos.rtd",,"OPEN_INT","."&amp;$AA$3&amp;$AA$4&amp;"P"&amp;BK$4)="N/A",0,RTD("tos.rtd",,"OPEN_INT","."&amp;$AA$3&amp;$AA$4&amp;"P"&amp;BK$4))*100</f>
        <v>234900</v>
      </c>
      <c r="BL22" s="18">
        <f>MAX(0, $A22-BL$4)*IF(RTD("tos.rtd",,"OPEN_INT","."&amp;$AA$3&amp;$AA$4&amp;"C"&amp;BL$4)="N/A",0,RTD("tos.rtd",,"OPEN_INT","."&amp;$AA$3&amp;$AA$4&amp;"C"&amp;BL$4))*100 + MAX(0, BL$4-$A22)*IF(RTD("tos.rtd",,"OPEN_INT","."&amp;$AA$3&amp;$AA$4&amp;"P"&amp;BL$4)="N/A",0,RTD("tos.rtd",,"OPEN_INT","."&amp;$AA$3&amp;$AA$4&amp;"P"&amp;BL$4))*100</f>
        <v>15200</v>
      </c>
      <c r="BM22" s="18">
        <f>MAX(0, $A22-BM$4)*IF(RTD("tos.rtd",,"OPEN_INT","."&amp;$AA$3&amp;$AA$4&amp;"C"&amp;BM$4)="N/A",0,RTD("tos.rtd",,"OPEN_INT","."&amp;$AA$3&amp;$AA$4&amp;"C"&amp;BM$4))*100 + MAX(0, BM$4-$A22)*IF(RTD("tos.rtd",,"OPEN_INT","."&amp;$AA$3&amp;$AA$4&amp;"P"&amp;BM$4)="N/A",0,RTD("tos.rtd",,"OPEN_INT","."&amp;$AA$3&amp;$AA$4&amp;"P"&amp;BM$4))*100</f>
        <v>8000</v>
      </c>
      <c r="BN22" s="18">
        <f>MAX(0, $A22-BN$4)*IF(RTD("tos.rtd",,"OPEN_INT","."&amp;$AA$3&amp;$AA$4&amp;"C"&amp;BN$4)="N/A",0,RTD("tos.rtd",,"OPEN_INT","."&amp;$AA$3&amp;$AA$4&amp;"C"&amp;BN$4))*100 + MAX(0, BN$4-$A22)*IF(RTD("tos.rtd",,"OPEN_INT","."&amp;$AA$3&amp;$AA$4&amp;"P"&amp;BN$4)="N/A",0,RTD("tos.rtd",,"OPEN_INT","."&amp;$AA$3&amp;$AA$4&amp;"P"&amp;BN$4))*100</f>
        <v>32550</v>
      </c>
      <c r="BO22" s="18">
        <f>MAX(0, $A22-BO$4)*IF(RTD("tos.rtd",,"OPEN_INT","."&amp;$AA$3&amp;$AA$4&amp;"C"&amp;BO$4)="N/A",0,RTD("tos.rtd",,"OPEN_INT","."&amp;$AA$3&amp;$AA$4&amp;"C"&amp;BO$4))*100 + MAX(0, BO$4-$A22)*IF(RTD("tos.rtd",,"OPEN_INT","."&amp;$AA$3&amp;$AA$4&amp;"P"&amp;BO$4)="N/A",0,RTD("tos.rtd",,"OPEN_INT","."&amp;$AA$3&amp;$AA$4&amp;"P"&amp;BO$4))*100</f>
        <v>41800</v>
      </c>
      <c r="BP22" s="18">
        <f>MAX(0, $A22-BP$4)*IF(RTD("tos.rtd",,"OPEN_INT","."&amp;$AA$3&amp;$AA$4&amp;"C"&amp;BP$4)="N/A",0,RTD("tos.rtd",,"OPEN_INT","."&amp;$AA$3&amp;$AA$4&amp;"C"&amp;BP$4))*100 + MAX(0, BP$4-$A22)*IF(RTD("tos.rtd",,"OPEN_INT","."&amp;$AA$3&amp;$AA$4&amp;"P"&amp;BP$4)="N/A",0,RTD("tos.rtd",,"OPEN_INT","."&amp;$AA$3&amp;$AA$4&amp;"P"&amp;BP$4))*100</f>
        <v>0</v>
      </c>
      <c r="BQ22" s="18">
        <f>MAX(0, $A22-BQ$4)*IF(RTD("tos.rtd",,"OPEN_INT","."&amp;$AA$3&amp;$AA$4&amp;"C"&amp;BQ$4)="N/A",0,RTD("tos.rtd",,"OPEN_INT","."&amp;$AA$3&amp;$AA$4&amp;"C"&amp;BQ$4))*100 + MAX(0, BQ$4-$A22)*IF(RTD("tos.rtd",,"OPEN_INT","."&amp;$AA$3&amp;$AA$4&amp;"P"&amp;BQ$4)="N/A",0,RTD("tos.rtd",,"OPEN_INT","."&amp;$AA$3&amp;$AA$4&amp;"P"&amp;BQ$4))*100</f>
        <v>0</v>
      </c>
      <c r="BR22" s="18">
        <f>MAX(0, $A22-BR$4)*IF(RTD("tos.rtd",,"OPEN_INT","."&amp;$AA$3&amp;$AA$4&amp;"C"&amp;BR$4)="N/A",0,RTD("tos.rtd",,"OPEN_INT","."&amp;$AA$3&amp;$AA$4&amp;"C"&amp;BR$4))*100 + MAX(0, BR$4-$A22)*IF(RTD("tos.rtd",,"OPEN_INT","."&amp;$AA$3&amp;$AA$4&amp;"P"&amp;BR$4)="N/A",0,RTD("tos.rtd",,"OPEN_INT","."&amp;$AA$3&amp;$AA$4&amp;"P"&amp;BR$4))*100</f>
        <v>0</v>
      </c>
      <c r="BS22" s="18">
        <f>MAX(0, $A22-BS$4)*IF(RTD("tos.rtd",,"OPEN_INT","."&amp;$AA$3&amp;$AA$4&amp;"C"&amp;BS$4)="N/A",0,RTD("tos.rtd",,"OPEN_INT","."&amp;$AA$3&amp;$AA$4&amp;"C"&amp;BS$4))*100 + MAX(0, BS$4-$A22)*IF(RTD("tos.rtd",,"OPEN_INT","."&amp;$AA$3&amp;$AA$4&amp;"P"&amp;BS$4)="N/A",0,RTD("tos.rtd",,"OPEN_INT","."&amp;$AA$3&amp;$AA$4&amp;"P"&amp;BS$4))*100</f>
        <v>0</v>
      </c>
      <c r="BT22" s="18">
        <f>MAX(0, $A22-BT$4)*IF(RTD("tos.rtd",,"OPEN_INT","."&amp;$AA$3&amp;$AA$4&amp;"C"&amp;BT$4)="N/A",0,RTD("tos.rtd",,"OPEN_INT","."&amp;$AA$3&amp;$AA$4&amp;"C"&amp;BT$4))*100 + MAX(0, BT$4-$A22)*IF(RTD("tos.rtd",,"OPEN_INT","."&amp;$AA$3&amp;$AA$4&amp;"P"&amp;BT$4)="N/A",0,RTD("tos.rtd",,"OPEN_INT","."&amp;$AA$3&amp;$AA$4&amp;"P"&amp;BT$4))*100</f>
        <v>0</v>
      </c>
      <c r="BU22" s="18">
        <f>MAX(0, $A22-BU$4)*IF(RTD("tos.rtd",,"OPEN_INT","."&amp;$AA$3&amp;$AA$4&amp;"C"&amp;BU$4)="N/A",0,RTD("tos.rtd",,"OPEN_INT","."&amp;$AA$3&amp;$AA$4&amp;"C"&amp;BU$4))*100 + MAX(0, BU$4-$A22)*IF(RTD("tos.rtd",,"OPEN_INT","."&amp;$AA$3&amp;$AA$4&amp;"P"&amp;BU$4)="N/A",0,RTD("tos.rtd",,"OPEN_INT","."&amp;$AA$3&amp;$AA$4&amp;"P"&amp;BU$4))*100</f>
        <v>0</v>
      </c>
      <c r="BV22" s="18">
        <f>MAX(0, $A22-BV$4)*IF(RTD("tos.rtd",,"OPEN_INT","."&amp;$AA$3&amp;$AA$4&amp;"C"&amp;BV$4)="N/A",0,RTD("tos.rtd",,"OPEN_INT","."&amp;$AA$3&amp;$AA$4&amp;"C"&amp;BV$4))*100 + MAX(0, BV$4-$A22)*IF(RTD("tos.rtd",,"OPEN_INT","."&amp;$AA$3&amp;$AA$4&amp;"P"&amp;BV$4)="N/A",0,RTD("tos.rtd",,"OPEN_INT","."&amp;$AA$3&amp;$AA$4&amp;"P"&amp;BV$4))*100</f>
        <v>0</v>
      </c>
    </row>
    <row r="23" spans="1:74" s="19" customFormat="1" ht="11.1" customHeight="1" thickBot="1" x14ac:dyDescent="0.3">
      <c r="A23" s="23">
        <f t="shared" si="6"/>
        <v>12.5</v>
      </c>
      <c r="B23" s="14">
        <f ca="1">IF($A$2="PREMIUM_OI",IFERROR(IF($X$1="ABS",(100*RTD("tos.rtd",,"OPEN_INT","."&amp;B$2&amp;B$1&amp;"C"&amp;$A23)*RTD("tos.rtd",,"LAST","."&amp;B$2&amp;B$1&amp;"C"&amp;$A23)+100*RTD("tos.rtd",,"OPEN_INT","."&amp;B$2&amp;B$1&amp;"P"&amp;$A23)*RTD("tos.rtd",,"LAST","."&amp;B$2&amp;B$1&amp;"P"&amp;$A23))/1000000,(100*RTD("tos.rtd",,"OPEN_INT","."&amp;B$2&amp;B$1&amp;"C"&amp;$A23)*RTD("tos.rtd",,"LAST","."&amp;B$2&amp;B$1&amp;"C"&amp;$A23)-100*RTD("tos.rtd",,"OPEN_INT","."&amp;B$2&amp;B$1&amp;"P"&amp;$A23)*RTD("tos.rtd",,"LAST","."&amp;B$2&amp;B$1&amp;"P"&amp;$A23))/1000000),0),IF($A$2="PREMIUM",IFERROR(IF($X$1="ABS",(100*RTD("tos.rtd",,"VOLUME","."&amp;B$2&amp;B$1&amp;"C"&amp;$A23)*RTD("tos.rtd",,"LAST","."&amp;B$2&amp;B$1&amp;"C"&amp;$A23)+100*RTD("tos.rtd",,"VOLUME","."&amp;B$2&amp;B$1&amp;"P"&amp;$A23)*RTD("tos.rtd",,"LAST","."&amp;B$2&amp;B$1&amp;"P"&amp;$A23))/1000000,(100*RTD("tos.rtd",,"VOLUME","."&amp;B$2&amp;B$1&amp;"C"&amp;$A23)*RTD("tos.rtd",,"LAST","."&amp;B$2&amp;B$1&amp;"C"&amp;$A23)-100*RTD("tos.rtd",,"VOLUME","."&amp;B$2&amp;B$1&amp;"P"&amp;$A23)*RTD("tos.rtd",,"LAST","."&amp;B$2&amp;B$1&amp;"P"&amp;$A23))/1000000),0),IF($A$2="DEX",IFERROR(IF($X$1="ABS",(100*RTD("tos.rtd",,"OPEN_INT","."&amp;B$2&amp;B$1&amp;"C"&amp;$A23)*RTD("tos.rtd",,"DELTA","."&amp;B$2&amp;B$1&amp;"C"&amp;$A23)+100*RTD("tos.rtd",,"OPEN_INT","."&amp;B$2&amp;B$1&amp;"P"&amp;$A23)*RTD("tos.rtd",,"DELTA","."&amp;B$2&amp;B$1&amp;"P"&amp;$A23))/1000,(100*RTD("tos.rtd",,"OPEN_INT","."&amp;B$2&amp;B$1&amp;"C"&amp;$A23)*RTD("tos.rtd",,"DELTA","."&amp;B$2&amp;B$1&amp;"C"&amp;$A23)-100*RTD("tos.rtd",,"OPEN_INT","."&amp;B$2&amp;B$1&amp;"P"&amp;$A23)*RTD("tos.rtd",,"DELTA","."&amp;B$2&amp;B$1&amp;"P"&amp;$A23))/1000),0),IF($A$2="VEX",IFERROR(IF($X$1="ABS",($A$4*$A$4*RTD("tos.rtd",,"VOLUME","."&amp;B$2&amp;B$1&amp;"C"&amp;$A23)*RTD("tos.rtd",,"GAMMA","."&amp;B$2&amp;B$1&amp;"C"&amp;$A23)+$A$4*$A$4*RTD("tos.rtd",,"VOLUME","."&amp;B$2&amp;B$1&amp;"P"&amp;$A23)*RTD("tos.rtd",,"GAMMA","."&amp;B$2&amp;B$1&amp;"P"&amp;$A23))/1000000,($A$4*$A$4*RTD("tos.rtd",,"VOLUME","."&amp;B$2&amp;B$1&amp;"C"&amp;$A23)*RTD("tos.rtd",,"GAMMA","."&amp;B$2&amp;B$1&amp;"C"&amp;$A23)-$A$4*$A$4*RTD("tos.rtd",,"VOLUME","."&amp;B$2&amp;B$1&amp;"P"&amp;$A23)*RTD("tos.rtd",,"GAMMA","."&amp;B$2&amp;B$1&amp;"P"&amp;$A23))/1000000),0),IF($A$2="GEX",IFERROR(IF($X$1="ABS",($A$4*$A$4*RTD("tos.rtd",,"OPEN_INT","."&amp;B$2&amp;B$1&amp;"C"&amp;$A23)*RTD("tos.rtd",,"GAMMA","."&amp;B$2&amp;B$1&amp;"C"&amp;$A23)+$A$4*$A$4*RTD("tos.rtd",,"OPEN_INT","."&amp;B$2&amp;B$1&amp;"P"&amp;$A23)*RTD("tos.rtd",,"GAMMA","."&amp;B$2&amp;B$1&amp;"P"&amp;$A23))/1000000,($A$4*$A$4*RTD("tos.rtd",,"OPEN_INT","."&amp;B$2&amp;B$1&amp;"C"&amp;$A23)*RTD("tos.rtd",,"GAMMA","."&amp;B$2&amp;B$1&amp;"C"&amp;$A23)-$A$4*$A$4*RTD("tos.rtd",,"OPEN_INT","."&amp;B$2&amp;B$1&amp;"P"&amp;$A23)*RTD("tos.rtd",,"GAMMA","."&amp;B$2&amp;B$1&amp;"P"&amp;$A23))/1000000),0),IF($A$2="SKEW",IFERROR(VALUE(IF(RTD("tos.rtd",,"IMPL_VOL","."&amp;B$2&amp;B$1&amp;"P"&amp;$A23)="N/A",0,RTD("tos.rtd",,"IMPL_VOL","."&amp;B$2&amp;B$1&amp;"P"&amp;$A23))),0)-IFERROR(VALUE(IF(RTD("tos.rtd",,"IMPL_VOL","."&amp;B$2&amp;B$1&amp;"C"&amp;$A23)="N/A",0,RTD("tos.rtd",,"IMPL_VOL","."&amp;B$2&amp;B$1&amp;"C"&amp;$A23))),0),IF($A$2="MAXPAIN",IF($A$4&gt;$A23,($A$4-$A23)*IF(RTD("tos.rtd",,"OPEN_INT","."&amp;B$2&amp;B$1&amp;"C"&amp;$A23)="N/A",0,RTD("tos.rtd",,"OPEN_INT","."&amp;B$2&amp;B$1&amp;"C"&amp;$A23)),0)+IF($A$4&lt;$A23,($A$5-$A$4)*IF(RTD("tos.rtd",,"OPEN_INT","."&amp;B$2&amp;B$1&amp;"P"&amp;$A23)="N/A",0,RTD("tos.rtd",,"OPEN_INT","."&amp;B$2&amp;B$1&amp;"P"&amp;$A23)),0),IF($X$1="ABS",IF(RTD("tos.rtd",,$A$2,"."&amp;B$2&amp;B$1&amp;"C"&amp;$A23)="N/A",0,RTD("tos.rtd",,$A$2,"."&amp;B$2&amp;B$1&amp;"C"&amp;$A23))+IF(RTD("tos.rtd",,$A$2,"."&amp;B$2&amp;B$1&amp;"P"&amp;$A23)="N/A",0,RTD("tos.rtd",,$A$2,"."&amp;B$2&amp;B$1&amp;"P"&amp;$A23)),IF(RTD("tos.rtd",,$A$2,"."&amp;B$2&amp;B$1&amp;"C"&amp;$A23)="N/A",0,RTD("tos.rtd",,$A$2,"."&amp;B$2&amp;B$1&amp;"C"&amp;$A23))-IF(RTD("tos.rtd",,$A$2,"."&amp;B$2&amp;B$1&amp;"P"&amp;$A23)="N/A",0,RTD("tos.rtd",,$A$2,"."&amp;B$2&amp;B$1&amp;"P"&amp;$A23))))))))))</f>
        <v>0</v>
      </c>
      <c r="C23" s="12">
        <f ca="1">IF($A$2="PREMIUM_OI",IFERROR(IF($X$1="ABS",(100*RTD("tos.rtd",,"OPEN_INT","."&amp;C$2&amp;C$1&amp;"C"&amp;$A23)*RTD("tos.rtd",,"LAST","."&amp;C$2&amp;C$1&amp;"C"&amp;$A23)+100*RTD("tos.rtd",,"OPEN_INT","."&amp;C$2&amp;C$1&amp;"P"&amp;$A23)*RTD("tos.rtd",,"LAST","."&amp;C$2&amp;C$1&amp;"P"&amp;$A23))/1000000,(100*RTD("tos.rtd",,"OPEN_INT","."&amp;C$2&amp;C$1&amp;"C"&amp;$A23)*RTD("tos.rtd",,"LAST","."&amp;C$2&amp;C$1&amp;"C"&amp;$A23)-100*RTD("tos.rtd",,"OPEN_INT","."&amp;C$2&amp;C$1&amp;"P"&amp;$A23)*RTD("tos.rtd",,"LAST","."&amp;C$2&amp;C$1&amp;"P"&amp;$A23))/1000000),0),IF($A$2="PREMIUM",IFERROR(IF($X$1="ABS",(100*RTD("tos.rtd",,"VOLUME","."&amp;C$2&amp;C$1&amp;"C"&amp;$A23)*RTD("tos.rtd",,"LAST","."&amp;C$2&amp;C$1&amp;"C"&amp;$A23)+100*RTD("tos.rtd",,"VOLUME","."&amp;C$2&amp;C$1&amp;"P"&amp;$A23)*RTD("tos.rtd",,"LAST","."&amp;C$2&amp;C$1&amp;"P"&amp;$A23))/1000000,(100*RTD("tos.rtd",,"VOLUME","."&amp;C$2&amp;C$1&amp;"C"&amp;$A23)*RTD("tos.rtd",,"LAST","."&amp;C$2&amp;C$1&amp;"C"&amp;$A23)-100*RTD("tos.rtd",,"VOLUME","."&amp;C$2&amp;C$1&amp;"P"&amp;$A23)*RTD("tos.rtd",,"LAST","."&amp;C$2&amp;C$1&amp;"P"&amp;$A23))/1000000),0),IF($A$2="DEX",IFERROR(IF($X$1="ABS",(100*RTD("tos.rtd",,"OPEN_INT","."&amp;C$2&amp;C$1&amp;"C"&amp;$A23)*RTD("tos.rtd",,"DELTA","."&amp;C$2&amp;C$1&amp;"C"&amp;$A23)+100*RTD("tos.rtd",,"OPEN_INT","."&amp;C$2&amp;C$1&amp;"P"&amp;$A23)*RTD("tos.rtd",,"DELTA","."&amp;C$2&amp;C$1&amp;"P"&amp;$A23))/1000,(100*RTD("tos.rtd",,"OPEN_INT","."&amp;C$2&amp;C$1&amp;"C"&amp;$A23)*RTD("tos.rtd",,"DELTA","."&amp;C$2&amp;C$1&amp;"C"&amp;$A23)-100*RTD("tos.rtd",,"OPEN_INT","."&amp;C$2&amp;C$1&amp;"P"&amp;$A23)*RTD("tos.rtd",,"DELTA","."&amp;C$2&amp;C$1&amp;"P"&amp;$A23))/1000),0),IF($A$2="VEX",IFERROR(IF($X$1="ABS",($A$4*$A$4*RTD("tos.rtd",,"VOLUME","."&amp;C$2&amp;C$1&amp;"C"&amp;$A23)*RTD("tos.rtd",,"GAMMA","."&amp;C$2&amp;C$1&amp;"C"&amp;$A23)+$A$4*$A$4*RTD("tos.rtd",,"VOLUME","."&amp;C$2&amp;C$1&amp;"P"&amp;$A23)*RTD("tos.rtd",,"GAMMA","."&amp;C$2&amp;C$1&amp;"P"&amp;$A23))/1000000,($A$4*$A$4*RTD("tos.rtd",,"VOLUME","."&amp;C$2&amp;C$1&amp;"C"&amp;$A23)*RTD("tos.rtd",,"GAMMA","."&amp;C$2&amp;C$1&amp;"C"&amp;$A23)-$A$4*$A$4*RTD("tos.rtd",,"VOLUME","."&amp;C$2&amp;C$1&amp;"P"&amp;$A23)*RTD("tos.rtd",,"GAMMA","."&amp;C$2&amp;C$1&amp;"P"&amp;$A23))/1000000),0),IF($A$2="GEX",IFERROR(IF($X$1="ABS",($A$4*$A$4*RTD("tos.rtd",,"OPEN_INT","."&amp;C$2&amp;C$1&amp;"C"&amp;$A23)*RTD("tos.rtd",,"GAMMA","."&amp;C$2&amp;C$1&amp;"C"&amp;$A23)+$A$4*$A$4*RTD("tos.rtd",,"OPEN_INT","."&amp;C$2&amp;C$1&amp;"P"&amp;$A23)*RTD("tos.rtd",,"GAMMA","."&amp;C$2&amp;C$1&amp;"P"&amp;$A23))/1000000,($A$4*$A$4*RTD("tos.rtd",,"OPEN_INT","."&amp;C$2&amp;C$1&amp;"C"&amp;$A23)*RTD("tos.rtd",,"GAMMA","."&amp;C$2&amp;C$1&amp;"C"&amp;$A23)-$A$4*$A$4*RTD("tos.rtd",,"OPEN_INT","."&amp;C$2&amp;C$1&amp;"P"&amp;$A23)*RTD("tos.rtd",,"GAMMA","."&amp;C$2&amp;C$1&amp;"P"&amp;$A23))/1000000),0),IF($A$2="SKEW",IFERROR(VALUE(IF(RTD("tos.rtd",,"IMPL_VOL","."&amp;C$2&amp;C$1&amp;"P"&amp;$A23)="N/A",0,RTD("tos.rtd",,"IMPL_VOL","."&amp;C$2&amp;C$1&amp;"P"&amp;$A23))),0)-IFERROR(VALUE(IF(RTD("tos.rtd",,"IMPL_VOL","."&amp;C$2&amp;C$1&amp;"C"&amp;$A23)="N/A",0,RTD("tos.rtd",,"IMPL_VOL","."&amp;C$2&amp;C$1&amp;"C"&amp;$A23))),0),IF($A$2="MAXPAIN",IF($A$4&gt;$A23,($A$4-$A23)*IF(RTD("tos.rtd",,"OPEN_INT","."&amp;C$2&amp;C$1&amp;"C"&amp;$A23)="N/A",0,RTD("tos.rtd",,"OPEN_INT","."&amp;C$2&amp;C$1&amp;"C"&amp;$A23)),0)+IF($A$4&lt;$A23,($A$5-$A$4)*IF(RTD("tos.rtd",,"OPEN_INT","."&amp;C$2&amp;C$1&amp;"P"&amp;$A23)="N/A",0,RTD("tos.rtd",,"OPEN_INT","."&amp;C$2&amp;C$1&amp;"P"&amp;$A23)),0),IF($X$1="ABS",IF(RTD("tos.rtd",,$A$2,"."&amp;C$2&amp;C$1&amp;"C"&amp;$A23)="N/A",0,RTD("tos.rtd",,$A$2,"."&amp;C$2&amp;C$1&amp;"C"&amp;$A23))+IF(RTD("tos.rtd",,$A$2,"."&amp;C$2&amp;C$1&amp;"P"&amp;$A23)="N/A",0,RTD("tos.rtd",,$A$2,"."&amp;C$2&amp;C$1&amp;"P"&amp;$A23)),IF(RTD("tos.rtd",,$A$2,"."&amp;C$2&amp;C$1&amp;"C"&amp;$A23)="N/A",0,RTD("tos.rtd",,$A$2,"."&amp;C$2&amp;C$1&amp;"C"&amp;$A23))-IF(RTD("tos.rtd",,$A$2,"."&amp;C$2&amp;C$1&amp;"P"&amp;$A23)="N/A",0,RTD("tos.rtd",,$A$2,"."&amp;C$2&amp;C$1&amp;"P"&amp;$A23))))))))))</f>
        <v>1332</v>
      </c>
      <c r="D23" s="12">
        <f ca="1">IF($A$2="PREMIUM_OI",IFERROR(IF($X$1="ABS",(100*RTD("tos.rtd",,"OPEN_INT","."&amp;D$2&amp;D$1&amp;"C"&amp;$A23)*RTD("tos.rtd",,"LAST","."&amp;D$2&amp;D$1&amp;"C"&amp;$A23)+100*RTD("tos.rtd",,"OPEN_INT","."&amp;D$2&amp;D$1&amp;"P"&amp;$A23)*RTD("tos.rtd",,"LAST","."&amp;D$2&amp;D$1&amp;"P"&amp;$A23))/1000000,(100*RTD("tos.rtd",,"OPEN_INT","."&amp;D$2&amp;D$1&amp;"C"&amp;$A23)*RTD("tos.rtd",,"LAST","."&amp;D$2&amp;D$1&amp;"C"&amp;$A23)-100*RTD("tos.rtd",,"OPEN_INT","."&amp;D$2&amp;D$1&amp;"P"&amp;$A23)*RTD("tos.rtd",,"LAST","."&amp;D$2&amp;D$1&amp;"P"&amp;$A23))/1000000),0),IF($A$2="PREMIUM",IFERROR(IF($X$1="ABS",(100*RTD("tos.rtd",,"VOLUME","."&amp;D$2&amp;D$1&amp;"C"&amp;$A23)*RTD("tos.rtd",,"LAST","."&amp;D$2&amp;D$1&amp;"C"&amp;$A23)+100*RTD("tos.rtd",,"VOLUME","."&amp;D$2&amp;D$1&amp;"P"&amp;$A23)*RTD("tos.rtd",,"LAST","."&amp;D$2&amp;D$1&amp;"P"&amp;$A23))/1000000,(100*RTD("tos.rtd",,"VOLUME","."&amp;D$2&amp;D$1&amp;"C"&amp;$A23)*RTD("tos.rtd",,"LAST","."&amp;D$2&amp;D$1&amp;"C"&amp;$A23)-100*RTD("tos.rtd",,"VOLUME","."&amp;D$2&amp;D$1&amp;"P"&amp;$A23)*RTD("tos.rtd",,"LAST","."&amp;D$2&amp;D$1&amp;"P"&amp;$A23))/1000000),0),IF($A$2="DEX",IFERROR(IF($X$1="ABS",(100*RTD("tos.rtd",,"OPEN_INT","."&amp;D$2&amp;D$1&amp;"C"&amp;$A23)*RTD("tos.rtd",,"DELTA","."&amp;D$2&amp;D$1&amp;"C"&amp;$A23)+100*RTD("tos.rtd",,"OPEN_INT","."&amp;D$2&amp;D$1&amp;"P"&amp;$A23)*RTD("tos.rtd",,"DELTA","."&amp;D$2&amp;D$1&amp;"P"&amp;$A23))/1000,(100*RTD("tos.rtd",,"OPEN_INT","."&amp;D$2&amp;D$1&amp;"C"&amp;$A23)*RTD("tos.rtd",,"DELTA","."&amp;D$2&amp;D$1&amp;"C"&amp;$A23)-100*RTD("tos.rtd",,"OPEN_INT","."&amp;D$2&amp;D$1&amp;"P"&amp;$A23)*RTD("tos.rtd",,"DELTA","."&amp;D$2&amp;D$1&amp;"P"&amp;$A23))/1000),0),IF($A$2="VEX",IFERROR(IF($X$1="ABS",($A$4*$A$4*RTD("tos.rtd",,"VOLUME","."&amp;D$2&amp;D$1&amp;"C"&amp;$A23)*RTD("tos.rtd",,"GAMMA","."&amp;D$2&amp;D$1&amp;"C"&amp;$A23)+$A$4*$A$4*RTD("tos.rtd",,"VOLUME","."&amp;D$2&amp;D$1&amp;"P"&amp;$A23)*RTD("tos.rtd",,"GAMMA","."&amp;D$2&amp;D$1&amp;"P"&amp;$A23))/1000000,($A$4*$A$4*RTD("tos.rtd",,"VOLUME","."&amp;D$2&amp;D$1&amp;"C"&amp;$A23)*RTD("tos.rtd",,"GAMMA","."&amp;D$2&amp;D$1&amp;"C"&amp;$A23)-$A$4*$A$4*RTD("tos.rtd",,"VOLUME","."&amp;D$2&amp;D$1&amp;"P"&amp;$A23)*RTD("tos.rtd",,"GAMMA","."&amp;D$2&amp;D$1&amp;"P"&amp;$A23))/1000000),0),IF($A$2="GEX",IFERROR(IF($X$1="ABS",($A$4*$A$4*RTD("tos.rtd",,"OPEN_INT","."&amp;D$2&amp;D$1&amp;"C"&amp;$A23)*RTD("tos.rtd",,"GAMMA","."&amp;D$2&amp;D$1&amp;"C"&amp;$A23)+$A$4*$A$4*RTD("tos.rtd",,"OPEN_INT","."&amp;D$2&amp;D$1&amp;"P"&amp;$A23)*RTD("tos.rtd",,"GAMMA","."&amp;D$2&amp;D$1&amp;"P"&amp;$A23))/1000000,($A$4*$A$4*RTD("tos.rtd",,"OPEN_INT","."&amp;D$2&amp;D$1&amp;"C"&amp;$A23)*RTD("tos.rtd",,"GAMMA","."&amp;D$2&amp;D$1&amp;"C"&amp;$A23)-$A$4*$A$4*RTD("tos.rtd",,"OPEN_INT","."&amp;D$2&amp;D$1&amp;"P"&amp;$A23)*RTD("tos.rtd",,"GAMMA","."&amp;D$2&amp;D$1&amp;"P"&amp;$A23))/1000000),0),IF($A$2="SKEW",IFERROR(VALUE(IF(RTD("tos.rtd",,"IMPL_VOL","."&amp;D$2&amp;D$1&amp;"P"&amp;$A23)="N/A",0,RTD("tos.rtd",,"IMPL_VOL","."&amp;D$2&amp;D$1&amp;"P"&amp;$A23))),0)-IFERROR(VALUE(IF(RTD("tos.rtd",,"IMPL_VOL","."&amp;D$2&amp;D$1&amp;"C"&amp;$A23)="N/A",0,RTD("tos.rtd",,"IMPL_VOL","."&amp;D$2&amp;D$1&amp;"C"&amp;$A23))),0),IF($A$2="MAXPAIN",IF($A$4&gt;$A23,($A$4-$A23)*IF(RTD("tos.rtd",,"OPEN_INT","."&amp;D$2&amp;D$1&amp;"C"&amp;$A23)="N/A",0,RTD("tos.rtd",,"OPEN_INT","."&amp;D$2&amp;D$1&amp;"C"&amp;$A23)),0)+IF($A$4&lt;$A23,($A$5-$A$4)*IF(RTD("tos.rtd",,"OPEN_INT","."&amp;D$2&amp;D$1&amp;"P"&amp;$A23)="N/A",0,RTD("tos.rtd",,"OPEN_INT","."&amp;D$2&amp;D$1&amp;"P"&amp;$A23)),0),IF($X$1="ABS",IF(RTD("tos.rtd",,$A$2,"."&amp;D$2&amp;D$1&amp;"C"&amp;$A23)="N/A",0,RTD("tos.rtd",,$A$2,"."&amp;D$2&amp;D$1&amp;"C"&amp;$A23))+IF(RTD("tos.rtd",,$A$2,"."&amp;D$2&amp;D$1&amp;"P"&amp;$A23)="N/A",0,RTD("tos.rtd",,$A$2,"."&amp;D$2&amp;D$1&amp;"P"&amp;$A23)),IF(RTD("tos.rtd",,$A$2,"."&amp;D$2&amp;D$1&amp;"C"&amp;$A23)="N/A",0,RTD("tos.rtd",,$A$2,"."&amp;D$2&amp;D$1&amp;"C"&amp;$A23))-IF(RTD("tos.rtd",,$A$2,"."&amp;D$2&amp;D$1&amp;"P"&amp;$A23)="N/A",0,RTD("tos.rtd",,$A$2,"."&amp;D$2&amp;D$1&amp;"P"&amp;$A23))))))))))</f>
        <v>244</v>
      </c>
      <c r="E23" s="12">
        <f ca="1">IF($A$2="PREMIUM_OI",IFERROR(IF($X$1="ABS",(100*RTD("tos.rtd",,"OPEN_INT","."&amp;E$2&amp;E$1&amp;"C"&amp;$A23)*RTD("tos.rtd",,"LAST","."&amp;E$2&amp;E$1&amp;"C"&amp;$A23)+100*RTD("tos.rtd",,"OPEN_INT","."&amp;E$2&amp;E$1&amp;"P"&amp;$A23)*RTD("tos.rtd",,"LAST","."&amp;E$2&amp;E$1&amp;"P"&amp;$A23))/1000000,(100*RTD("tos.rtd",,"OPEN_INT","."&amp;E$2&amp;E$1&amp;"C"&amp;$A23)*RTD("tos.rtd",,"LAST","."&amp;E$2&amp;E$1&amp;"C"&amp;$A23)-100*RTD("tos.rtd",,"OPEN_INT","."&amp;E$2&amp;E$1&amp;"P"&amp;$A23)*RTD("tos.rtd",,"LAST","."&amp;E$2&amp;E$1&amp;"P"&amp;$A23))/1000000),0),IF($A$2="PREMIUM",IFERROR(IF($X$1="ABS",(100*RTD("tos.rtd",,"VOLUME","."&amp;E$2&amp;E$1&amp;"C"&amp;$A23)*RTD("tos.rtd",,"LAST","."&amp;E$2&amp;E$1&amp;"C"&amp;$A23)+100*RTD("tos.rtd",,"VOLUME","."&amp;E$2&amp;E$1&amp;"P"&amp;$A23)*RTD("tos.rtd",,"LAST","."&amp;E$2&amp;E$1&amp;"P"&amp;$A23))/1000000,(100*RTD("tos.rtd",,"VOLUME","."&amp;E$2&amp;E$1&amp;"C"&amp;$A23)*RTD("tos.rtd",,"LAST","."&amp;E$2&amp;E$1&amp;"C"&amp;$A23)-100*RTD("tos.rtd",,"VOLUME","."&amp;E$2&amp;E$1&amp;"P"&amp;$A23)*RTD("tos.rtd",,"LAST","."&amp;E$2&amp;E$1&amp;"P"&amp;$A23))/1000000),0),IF($A$2="DEX",IFERROR(IF($X$1="ABS",(100*RTD("tos.rtd",,"OPEN_INT","."&amp;E$2&amp;E$1&amp;"C"&amp;$A23)*RTD("tos.rtd",,"DELTA","."&amp;E$2&amp;E$1&amp;"C"&amp;$A23)+100*RTD("tos.rtd",,"OPEN_INT","."&amp;E$2&amp;E$1&amp;"P"&amp;$A23)*RTD("tos.rtd",,"DELTA","."&amp;E$2&amp;E$1&amp;"P"&amp;$A23))/1000,(100*RTD("tos.rtd",,"OPEN_INT","."&amp;E$2&amp;E$1&amp;"C"&amp;$A23)*RTD("tos.rtd",,"DELTA","."&amp;E$2&amp;E$1&amp;"C"&amp;$A23)-100*RTD("tos.rtd",,"OPEN_INT","."&amp;E$2&amp;E$1&amp;"P"&amp;$A23)*RTD("tos.rtd",,"DELTA","."&amp;E$2&amp;E$1&amp;"P"&amp;$A23))/1000),0),IF($A$2="VEX",IFERROR(IF($X$1="ABS",($A$4*$A$4*RTD("tos.rtd",,"VOLUME","."&amp;E$2&amp;E$1&amp;"C"&amp;$A23)*RTD("tos.rtd",,"GAMMA","."&amp;E$2&amp;E$1&amp;"C"&amp;$A23)+$A$4*$A$4*RTD("tos.rtd",,"VOLUME","."&amp;E$2&amp;E$1&amp;"P"&amp;$A23)*RTD("tos.rtd",,"GAMMA","."&amp;E$2&amp;E$1&amp;"P"&amp;$A23))/1000000,($A$4*$A$4*RTD("tos.rtd",,"VOLUME","."&amp;E$2&amp;E$1&amp;"C"&amp;$A23)*RTD("tos.rtd",,"GAMMA","."&amp;E$2&amp;E$1&amp;"C"&amp;$A23)-$A$4*$A$4*RTD("tos.rtd",,"VOLUME","."&amp;E$2&amp;E$1&amp;"P"&amp;$A23)*RTD("tos.rtd",,"GAMMA","."&amp;E$2&amp;E$1&amp;"P"&amp;$A23))/1000000),0),IF($A$2="GEX",IFERROR(IF($X$1="ABS",($A$4*$A$4*RTD("tos.rtd",,"OPEN_INT","."&amp;E$2&amp;E$1&amp;"C"&amp;$A23)*RTD("tos.rtd",,"GAMMA","."&amp;E$2&amp;E$1&amp;"C"&amp;$A23)+$A$4*$A$4*RTD("tos.rtd",,"OPEN_INT","."&amp;E$2&amp;E$1&amp;"P"&amp;$A23)*RTD("tos.rtd",,"GAMMA","."&amp;E$2&amp;E$1&amp;"P"&amp;$A23))/1000000,($A$4*$A$4*RTD("tos.rtd",,"OPEN_INT","."&amp;E$2&amp;E$1&amp;"C"&amp;$A23)*RTD("tos.rtd",,"GAMMA","."&amp;E$2&amp;E$1&amp;"C"&amp;$A23)-$A$4*$A$4*RTD("tos.rtd",,"OPEN_INT","."&amp;E$2&amp;E$1&amp;"P"&amp;$A23)*RTD("tos.rtd",,"GAMMA","."&amp;E$2&amp;E$1&amp;"P"&amp;$A23))/1000000),0),IF($A$2="SKEW",IFERROR(VALUE(IF(RTD("tos.rtd",,"IMPL_VOL","."&amp;E$2&amp;E$1&amp;"P"&amp;$A23)="N/A",0,RTD("tos.rtd",,"IMPL_VOL","."&amp;E$2&amp;E$1&amp;"P"&amp;$A23))),0)-IFERROR(VALUE(IF(RTD("tos.rtd",,"IMPL_VOL","."&amp;E$2&amp;E$1&amp;"C"&amp;$A23)="N/A",0,RTD("tos.rtd",,"IMPL_VOL","."&amp;E$2&amp;E$1&amp;"C"&amp;$A23))),0),IF($A$2="MAXPAIN",IF($A$4&gt;$A23,($A$4-$A23)*IF(RTD("tos.rtd",,"OPEN_INT","."&amp;E$2&amp;E$1&amp;"C"&amp;$A23)="N/A",0,RTD("tos.rtd",,"OPEN_INT","."&amp;E$2&amp;E$1&amp;"C"&amp;$A23)),0)+IF($A$4&lt;$A23,($A$5-$A$4)*IF(RTD("tos.rtd",,"OPEN_INT","."&amp;E$2&amp;E$1&amp;"P"&amp;$A23)="N/A",0,RTD("tos.rtd",,"OPEN_INT","."&amp;E$2&amp;E$1&amp;"P"&amp;$A23)),0),IF($X$1="ABS",IF(RTD("tos.rtd",,$A$2,"."&amp;E$2&amp;E$1&amp;"C"&amp;$A23)="N/A",0,RTD("tos.rtd",,$A$2,"."&amp;E$2&amp;E$1&amp;"C"&amp;$A23))+IF(RTD("tos.rtd",,$A$2,"."&amp;E$2&amp;E$1&amp;"P"&amp;$A23)="N/A",0,RTD("tos.rtd",,$A$2,"."&amp;E$2&amp;E$1&amp;"P"&amp;$A23)),IF(RTD("tos.rtd",,$A$2,"."&amp;E$2&amp;E$1&amp;"C"&amp;$A23)="N/A",0,RTD("tos.rtd",,$A$2,"."&amp;E$2&amp;E$1&amp;"C"&amp;$A23))-IF(RTD("tos.rtd",,$A$2,"."&amp;E$2&amp;E$1&amp;"P"&amp;$A23)="N/A",0,RTD("tos.rtd",,$A$2,"."&amp;E$2&amp;E$1&amp;"P"&amp;$A23))))))))))</f>
        <v>642</v>
      </c>
      <c r="F23" s="12">
        <f ca="1">IF($A$2="PREMIUM_OI",IFERROR(IF($X$1="ABS",(100*RTD("tos.rtd",,"OPEN_INT","."&amp;F$2&amp;F$1&amp;"C"&amp;$A23)*RTD("tos.rtd",,"LAST","."&amp;F$2&amp;F$1&amp;"C"&amp;$A23)+100*RTD("tos.rtd",,"OPEN_INT","."&amp;F$2&amp;F$1&amp;"P"&amp;$A23)*RTD("tos.rtd",,"LAST","."&amp;F$2&amp;F$1&amp;"P"&amp;$A23))/1000000,(100*RTD("tos.rtd",,"OPEN_INT","."&amp;F$2&amp;F$1&amp;"C"&amp;$A23)*RTD("tos.rtd",,"LAST","."&amp;F$2&amp;F$1&amp;"C"&amp;$A23)-100*RTD("tos.rtd",,"OPEN_INT","."&amp;F$2&amp;F$1&amp;"P"&amp;$A23)*RTD("tos.rtd",,"LAST","."&amp;F$2&amp;F$1&amp;"P"&amp;$A23))/1000000),0),IF($A$2="PREMIUM",IFERROR(IF($X$1="ABS",(100*RTD("tos.rtd",,"VOLUME","."&amp;F$2&amp;F$1&amp;"C"&amp;$A23)*RTD("tos.rtd",,"LAST","."&amp;F$2&amp;F$1&amp;"C"&amp;$A23)+100*RTD("tos.rtd",,"VOLUME","."&amp;F$2&amp;F$1&amp;"P"&amp;$A23)*RTD("tos.rtd",,"LAST","."&amp;F$2&amp;F$1&amp;"P"&amp;$A23))/1000000,(100*RTD("tos.rtd",,"VOLUME","."&amp;F$2&amp;F$1&amp;"C"&amp;$A23)*RTD("tos.rtd",,"LAST","."&amp;F$2&amp;F$1&amp;"C"&amp;$A23)-100*RTD("tos.rtd",,"VOLUME","."&amp;F$2&amp;F$1&amp;"P"&amp;$A23)*RTD("tos.rtd",,"LAST","."&amp;F$2&amp;F$1&amp;"P"&amp;$A23))/1000000),0),IF($A$2="DEX",IFERROR(IF($X$1="ABS",(100*RTD("tos.rtd",,"OPEN_INT","."&amp;F$2&amp;F$1&amp;"C"&amp;$A23)*RTD("tos.rtd",,"DELTA","."&amp;F$2&amp;F$1&amp;"C"&amp;$A23)+100*RTD("tos.rtd",,"OPEN_INT","."&amp;F$2&amp;F$1&amp;"P"&amp;$A23)*RTD("tos.rtd",,"DELTA","."&amp;F$2&amp;F$1&amp;"P"&amp;$A23))/1000,(100*RTD("tos.rtd",,"OPEN_INT","."&amp;F$2&amp;F$1&amp;"C"&amp;$A23)*RTD("tos.rtd",,"DELTA","."&amp;F$2&amp;F$1&amp;"C"&amp;$A23)-100*RTD("tos.rtd",,"OPEN_INT","."&amp;F$2&amp;F$1&amp;"P"&amp;$A23)*RTD("tos.rtd",,"DELTA","."&amp;F$2&amp;F$1&amp;"P"&amp;$A23))/1000),0),IF($A$2="VEX",IFERROR(IF($X$1="ABS",($A$4*$A$4*RTD("tos.rtd",,"VOLUME","."&amp;F$2&amp;F$1&amp;"C"&amp;$A23)*RTD("tos.rtd",,"GAMMA","."&amp;F$2&amp;F$1&amp;"C"&amp;$A23)+$A$4*$A$4*RTD("tos.rtd",,"VOLUME","."&amp;F$2&amp;F$1&amp;"P"&amp;$A23)*RTD("tos.rtd",,"GAMMA","."&amp;F$2&amp;F$1&amp;"P"&amp;$A23))/1000000,($A$4*$A$4*RTD("tos.rtd",,"VOLUME","."&amp;F$2&amp;F$1&amp;"C"&amp;$A23)*RTD("tos.rtd",,"GAMMA","."&amp;F$2&amp;F$1&amp;"C"&amp;$A23)-$A$4*$A$4*RTD("tos.rtd",,"VOLUME","."&amp;F$2&amp;F$1&amp;"P"&amp;$A23)*RTD("tos.rtd",,"GAMMA","."&amp;F$2&amp;F$1&amp;"P"&amp;$A23))/1000000),0),IF($A$2="GEX",IFERROR(IF($X$1="ABS",($A$4*$A$4*RTD("tos.rtd",,"OPEN_INT","."&amp;F$2&amp;F$1&amp;"C"&amp;$A23)*RTD("tos.rtd",,"GAMMA","."&amp;F$2&amp;F$1&amp;"C"&amp;$A23)+$A$4*$A$4*RTD("tos.rtd",,"OPEN_INT","."&amp;F$2&amp;F$1&amp;"P"&amp;$A23)*RTD("tos.rtd",,"GAMMA","."&amp;F$2&amp;F$1&amp;"P"&amp;$A23))/1000000,($A$4*$A$4*RTD("tos.rtd",,"OPEN_INT","."&amp;F$2&amp;F$1&amp;"C"&amp;$A23)*RTD("tos.rtd",,"GAMMA","."&amp;F$2&amp;F$1&amp;"C"&amp;$A23)-$A$4*$A$4*RTD("tos.rtd",,"OPEN_INT","."&amp;F$2&amp;F$1&amp;"P"&amp;$A23)*RTD("tos.rtd",,"GAMMA","."&amp;F$2&amp;F$1&amp;"P"&amp;$A23))/1000000),0),IF($A$2="SKEW",IFERROR(VALUE(IF(RTD("tos.rtd",,"IMPL_VOL","."&amp;F$2&amp;F$1&amp;"P"&amp;$A23)="N/A",0,RTD("tos.rtd",,"IMPL_VOL","."&amp;F$2&amp;F$1&amp;"P"&amp;$A23))),0)-IFERROR(VALUE(IF(RTD("tos.rtd",,"IMPL_VOL","."&amp;F$2&amp;F$1&amp;"C"&amp;$A23)="N/A",0,RTD("tos.rtd",,"IMPL_VOL","."&amp;F$2&amp;F$1&amp;"C"&amp;$A23))),0),IF($A$2="MAXPAIN",IF($A$4&gt;$A23,($A$4-$A23)*IF(RTD("tos.rtd",,"OPEN_INT","."&amp;F$2&amp;F$1&amp;"C"&amp;$A23)="N/A",0,RTD("tos.rtd",,"OPEN_INT","."&amp;F$2&amp;F$1&amp;"C"&amp;$A23)),0)+IF($A$4&lt;$A23,($A$5-$A$4)*IF(RTD("tos.rtd",,"OPEN_INT","."&amp;F$2&amp;F$1&amp;"P"&amp;$A23)="N/A",0,RTD("tos.rtd",,"OPEN_INT","."&amp;F$2&amp;F$1&amp;"P"&amp;$A23)),0),IF($X$1="ABS",IF(RTD("tos.rtd",,$A$2,"."&amp;F$2&amp;F$1&amp;"C"&amp;$A23)="N/A",0,RTD("tos.rtd",,$A$2,"."&amp;F$2&amp;F$1&amp;"C"&amp;$A23))+IF(RTD("tos.rtd",,$A$2,"."&amp;F$2&amp;F$1&amp;"P"&amp;$A23)="N/A",0,RTD("tos.rtd",,$A$2,"."&amp;F$2&amp;F$1&amp;"P"&amp;$A23)),IF(RTD("tos.rtd",,$A$2,"."&amp;F$2&amp;F$1&amp;"C"&amp;$A23)="N/A",0,RTD("tos.rtd",,$A$2,"."&amp;F$2&amp;F$1&amp;"C"&amp;$A23))-IF(RTD("tos.rtd",,$A$2,"."&amp;F$2&amp;F$1&amp;"P"&amp;$A23)="N/A",0,RTD("tos.rtd",,$A$2,"."&amp;F$2&amp;F$1&amp;"P"&amp;$A23))))))))))</f>
        <v>270</v>
      </c>
      <c r="G23" s="57">
        <f ca="1">IF($A$2="PREMIUM_OI",IFERROR(IF($X$1="ABS",(100*RTD("tos.rtd",,"OPEN_INT","."&amp;G$2&amp;G$1&amp;"C"&amp;$A23)*RTD("tos.rtd",,"LAST","."&amp;G$2&amp;G$1&amp;"C"&amp;$A23)+100*RTD("tos.rtd",,"OPEN_INT","."&amp;G$2&amp;G$1&amp;"P"&amp;$A23)*RTD("tos.rtd",,"LAST","."&amp;G$2&amp;G$1&amp;"P"&amp;$A23))/1000000,(100*RTD("tos.rtd",,"OPEN_INT","."&amp;G$2&amp;G$1&amp;"C"&amp;$A23)*RTD("tos.rtd",,"LAST","."&amp;G$2&amp;G$1&amp;"C"&amp;$A23)-100*RTD("tos.rtd",,"OPEN_INT","."&amp;G$2&amp;G$1&amp;"P"&amp;$A23)*RTD("tos.rtd",,"LAST","."&amp;G$2&amp;G$1&amp;"P"&amp;$A23))/1000000),0),IF($A$2="PREMIUM",IFERROR(IF($X$1="ABS",(100*RTD("tos.rtd",,"VOLUME","."&amp;G$2&amp;G$1&amp;"C"&amp;$A23)*RTD("tos.rtd",,"LAST","."&amp;G$2&amp;G$1&amp;"C"&amp;$A23)+100*RTD("tos.rtd",,"VOLUME","."&amp;G$2&amp;G$1&amp;"P"&amp;$A23)*RTD("tos.rtd",,"LAST","."&amp;G$2&amp;G$1&amp;"P"&amp;$A23))/1000000,(100*RTD("tos.rtd",,"VOLUME","."&amp;G$2&amp;G$1&amp;"C"&amp;$A23)*RTD("tos.rtd",,"LAST","."&amp;G$2&amp;G$1&amp;"C"&amp;$A23)-100*RTD("tos.rtd",,"VOLUME","."&amp;G$2&amp;G$1&amp;"P"&amp;$A23)*RTD("tos.rtd",,"LAST","."&amp;G$2&amp;G$1&amp;"P"&amp;$A23))/1000000),0),IF($A$2="DEX",IFERROR(IF($X$1="ABS",(100*RTD("tos.rtd",,"OPEN_INT","."&amp;G$2&amp;G$1&amp;"C"&amp;$A23)*RTD("tos.rtd",,"DELTA","."&amp;G$2&amp;G$1&amp;"C"&amp;$A23)+100*RTD("tos.rtd",,"OPEN_INT","."&amp;G$2&amp;G$1&amp;"P"&amp;$A23)*RTD("tos.rtd",,"DELTA","."&amp;G$2&amp;G$1&amp;"P"&amp;$A23))/1000,(100*RTD("tos.rtd",,"OPEN_INT","."&amp;G$2&amp;G$1&amp;"C"&amp;$A23)*RTD("tos.rtd",,"DELTA","."&amp;G$2&amp;G$1&amp;"C"&amp;$A23)-100*RTD("tos.rtd",,"OPEN_INT","."&amp;G$2&amp;G$1&amp;"P"&amp;$A23)*RTD("tos.rtd",,"DELTA","."&amp;G$2&amp;G$1&amp;"P"&amp;$A23))/1000),0),IF($A$2="VEX",IFERROR(IF($X$1="ABS",($A$4*$A$4*RTD("tos.rtd",,"VOLUME","."&amp;G$2&amp;G$1&amp;"C"&amp;$A23)*RTD("tos.rtd",,"GAMMA","."&amp;G$2&amp;G$1&amp;"C"&amp;$A23)+$A$4*$A$4*RTD("tos.rtd",,"VOLUME","."&amp;G$2&amp;G$1&amp;"P"&amp;$A23)*RTD("tos.rtd",,"GAMMA","."&amp;G$2&amp;G$1&amp;"P"&amp;$A23))/1000000,($A$4*$A$4*RTD("tos.rtd",,"VOLUME","."&amp;G$2&amp;G$1&amp;"C"&amp;$A23)*RTD("tos.rtd",,"GAMMA","."&amp;G$2&amp;G$1&amp;"C"&amp;$A23)-$A$4*$A$4*RTD("tos.rtd",,"VOLUME","."&amp;G$2&amp;G$1&amp;"P"&amp;$A23)*RTD("tos.rtd",,"GAMMA","."&amp;G$2&amp;G$1&amp;"P"&amp;$A23))/1000000),0),IF($A$2="GEX",IFERROR(IF($X$1="ABS",($A$4*$A$4*RTD("tos.rtd",,"OPEN_INT","."&amp;G$2&amp;G$1&amp;"C"&amp;$A23)*RTD("tos.rtd",,"GAMMA","."&amp;G$2&amp;G$1&amp;"C"&amp;$A23)+$A$4*$A$4*RTD("tos.rtd",,"OPEN_INT","."&amp;G$2&amp;G$1&amp;"P"&amp;$A23)*RTD("tos.rtd",,"GAMMA","."&amp;G$2&amp;G$1&amp;"P"&amp;$A23))/1000000,($A$4*$A$4*RTD("tos.rtd",,"OPEN_INT","."&amp;G$2&amp;G$1&amp;"C"&amp;$A23)*RTD("tos.rtd",,"GAMMA","."&amp;G$2&amp;G$1&amp;"C"&amp;$A23)-$A$4*$A$4*RTD("tos.rtd",,"OPEN_INT","."&amp;G$2&amp;G$1&amp;"P"&amp;$A23)*RTD("tos.rtd",,"GAMMA","."&amp;G$2&amp;G$1&amp;"P"&amp;$A23))/1000000),0),IF($A$2="SKEW",IFERROR(VALUE(IF(RTD("tos.rtd",,"IMPL_VOL","."&amp;G$2&amp;G$1&amp;"P"&amp;$A23)="N/A",0,RTD("tos.rtd",,"IMPL_VOL","."&amp;G$2&amp;G$1&amp;"P"&amp;$A23))),0)-IFERROR(VALUE(IF(RTD("tos.rtd",,"IMPL_VOL","."&amp;G$2&amp;G$1&amp;"C"&amp;$A23)="N/A",0,RTD("tos.rtd",,"IMPL_VOL","."&amp;G$2&amp;G$1&amp;"C"&amp;$A23))),0),IF($A$2="MAXPAIN",IF($A$4&gt;$A23,($A$4-$A23)*IF(RTD("tos.rtd",,"OPEN_INT","."&amp;G$2&amp;G$1&amp;"C"&amp;$A23)="N/A",0,RTD("tos.rtd",,"OPEN_INT","."&amp;G$2&amp;G$1&amp;"C"&amp;$A23)),0)+IF($A$4&lt;$A23,($A$5-$A$4)*IF(RTD("tos.rtd",,"OPEN_INT","."&amp;G$2&amp;G$1&amp;"P"&amp;$A23)="N/A",0,RTD("tos.rtd",,"OPEN_INT","."&amp;G$2&amp;G$1&amp;"P"&amp;$A23)),0),IF($X$1="ABS",IF(RTD("tos.rtd",,$A$2,"."&amp;G$2&amp;G$1&amp;"C"&amp;$A23)="N/A",0,RTD("tos.rtd",,$A$2,"."&amp;G$2&amp;G$1&amp;"C"&amp;$A23))+IF(RTD("tos.rtd",,$A$2,"."&amp;G$2&amp;G$1&amp;"P"&amp;$A23)="N/A",0,RTD("tos.rtd",,$A$2,"."&amp;G$2&amp;G$1&amp;"P"&amp;$A23)),IF(RTD("tos.rtd",,$A$2,"."&amp;G$2&amp;G$1&amp;"C"&amp;$A23)="N/A",0,RTD("tos.rtd",,$A$2,"."&amp;G$2&amp;G$1&amp;"C"&amp;$A23))-IF(RTD("tos.rtd",,$A$2,"."&amp;G$2&amp;G$1&amp;"P"&amp;$A23)="N/A",0,RTD("tos.rtd",,$A$2,"."&amp;G$2&amp;G$1&amp;"P"&amp;$A23))))))))))</f>
        <v>27</v>
      </c>
      <c r="H23" s="14">
        <f ca="1">IF($A$2="PREMIUM_OI",IFERROR(IF($X$1="ABS",(100*RTD("tos.rtd",,"OPEN_INT","."&amp;H$2&amp;H$1&amp;"C"&amp;$A23)*RTD("tos.rtd",,"LAST","."&amp;H$2&amp;H$1&amp;"C"&amp;$A23)+100*RTD("tos.rtd",,"OPEN_INT","."&amp;H$2&amp;H$1&amp;"P"&amp;$A23)*RTD("tos.rtd",,"LAST","."&amp;H$2&amp;H$1&amp;"P"&amp;$A23))/1000000,(100*RTD("tos.rtd",,"OPEN_INT","."&amp;H$2&amp;H$1&amp;"C"&amp;$A23)*RTD("tos.rtd",,"LAST","."&amp;H$2&amp;H$1&amp;"C"&amp;$A23)-100*RTD("tos.rtd",,"OPEN_INT","."&amp;H$2&amp;H$1&amp;"P"&amp;$A23)*RTD("tos.rtd",,"LAST","."&amp;H$2&amp;H$1&amp;"P"&amp;$A23))/1000000),0),IF($A$2="PREMIUM",IFERROR(IF($X$1="ABS",(100*RTD("tos.rtd",,"VOLUME","."&amp;H$2&amp;H$1&amp;"C"&amp;$A23)*RTD("tos.rtd",,"LAST","."&amp;H$2&amp;H$1&amp;"C"&amp;$A23)+100*RTD("tos.rtd",,"VOLUME","."&amp;H$2&amp;H$1&amp;"P"&amp;$A23)*RTD("tos.rtd",,"LAST","."&amp;H$2&amp;H$1&amp;"P"&amp;$A23))/1000000,(100*RTD("tos.rtd",,"VOLUME","."&amp;H$2&amp;H$1&amp;"C"&amp;$A23)*RTD("tos.rtd",,"LAST","."&amp;H$2&amp;H$1&amp;"C"&amp;$A23)-100*RTD("tos.rtd",,"VOLUME","."&amp;H$2&amp;H$1&amp;"P"&amp;$A23)*RTD("tos.rtd",,"LAST","."&amp;H$2&amp;H$1&amp;"P"&amp;$A23))/1000000),0),IF($A$2="DEX",IFERROR(IF($X$1="ABS",(100*RTD("tos.rtd",,"OPEN_INT","."&amp;H$2&amp;H$1&amp;"C"&amp;$A23)*RTD("tos.rtd",,"DELTA","."&amp;H$2&amp;H$1&amp;"C"&amp;$A23)+100*RTD("tos.rtd",,"OPEN_INT","."&amp;H$2&amp;H$1&amp;"P"&amp;$A23)*RTD("tos.rtd",,"DELTA","."&amp;H$2&amp;H$1&amp;"P"&amp;$A23))/1000,(100*RTD("tos.rtd",,"OPEN_INT","."&amp;H$2&amp;H$1&amp;"C"&amp;$A23)*RTD("tos.rtd",,"DELTA","."&amp;H$2&amp;H$1&amp;"C"&amp;$A23)-100*RTD("tos.rtd",,"OPEN_INT","."&amp;H$2&amp;H$1&amp;"P"&amp;$A23)*RTD("tos.rtd",,"DELTA","."&amp;H$2&amp;H$1&amp;"P"&amp;$A23))/1000),0),IF($A$2="VEX",IFERROR(IF($X$1="ABS",($A$4*$A$4*RTD("tos.rtd",,"VOLUME","."&amp;H$2&amp;H$1&amp;"C"&amp;$A23)*RTD("tos.rtd",,"GAMMA","."&amp;H$2&amp;H$1&amp;"C"&amp;$A23)+$A$4*$A$4*RTD("tos.rtd",,"VOLUME","."&amp;H$2&amp;H$1&amp;"P"&amp;$A23)*RTD("tos.rtd",,"GAMMA","."&amp;H$2&amp;H$1&amp;"P"&amp;$A23))/1000000,($A$4*$A$4*RTD("tos.rtd",,"VOLUME","."&amp;H$2&amp;H$1&amp;"C"&amp;$A23)*RTD("tos.rtd",,"GAMMA","."&amp;H$2&amp;H$1&amp;"C"&amp;$A23)-$A$4*$A$4*RTD("tos.rtd",,"VOLUME","."&amp;H$2&amp;H$1&amp;"P"&amp;$A23)*RTD("tos.rtd",,"GAMMA","."&amp;H$2&amp;H$1&amp;"P"&amp;$A23))/1000000),0),IF($A$2="GEX",IFERROR(IF($X$1="ABS",($A$4*$A$4*RTD("tos.rtd",,"OPEN_INT","."&amp;H$2&amp;H$1&amp;"C"&amp;$A23)*RTD("tos.rtd",,"GAMMA","."&amp;H$2&amp;H$1&amp;"C"&amp;$A23)+$A$4*$A$4*RTD("tos.rtd",,"OPEN_INT","."&amp;H$2&amp;H$1&amp;"P"&amp;$A23)*RTD("tos.rtd",,"GAMMA","."&amp;H$2&amp;H$1&amp;"P"&amp;$A23))/1000000,($A$4*$A$4*RTD("tos.rtd",,"OPEN_INT","."&amp;H$2&amp;H$1&amp;"C"&amp;$A23)*RTD("tos.rtd",,"GAMMA","."&amp;H$2&amp;H$1&amp;"C"&amp;$A23)-$A$4*$A$4*RTD("tos.rtd",,"OPEN_INT","."&amp;H$2&amp;H$1&amp;"P"&amp;$A23)*RTD("tos.rtd",,"GAMMA","."&amp;H$2&amp;H$1&amp;"P"&amp;$A23))/1000000),0),IF($A$2="SKEW",IFERROR(VALUE(IF(RTD("tos.rtd",,"IMPL_VOL","."&amp;H$2&amp;H$1&amp;"P"&amp;$A23)="N/A",0,RTD("tos.rtd",,"IMPL_VOL","."&amp;H$2&amp;H$1&amp;"P"&amp;$A23))),0)-IFERROR(VALUE(IF(RTD("tos.rtd",,"IMPL_VOL","."&amp;H$2&amp;H$1&amp;"C"&amp;$A23)="N/A",0,RTD("tos.rtd",,"IMPL_VOL","."&amp;H$2&amp;H$1&amp;"C"&amp;$A23))),0),IF($A$2="MAXPAIN",IF($A$4&gt;$A23,($A$4-$A23)*IF(RTD("tos.rtd",,"OPEN_INT","."&amp;H$2&amp;H$1&amp;"C"&amp;$A23)="N/A",0,RTD("tos.rtd",,"OPEN_INT","."&amp;H$2&amp;H$1&amp;"C"&amp;$A23)),0)+IF($A$4&lt;$A23,($A$5-$A$4)*IF(RTD("tos.rtd",,"OPEN_INT","."&amp;H$2&amp;H$1&amp;"P"&amp;$A23)="N/A",0,RTD("tos.rtd",,"OPEN_INT","."&amp;H$2&amp;H$1&amp;"P"&amp;$A23)),0),IF($X$1="ABS",IF(RTD("tos.rtd",,$A$2,"."&amp;H$2&amp;H$1&amp;"C"&amp;$A23)="N/A",0,RTD("tos.rtd",,$A$2,"."&amp;H$2&amp;H$1&amp;"C"&amp;$A23))+IF(RTD("tos.rtd",,$A$2,"."&amp;H$2&amp;H$1&amp;"P"&amp;$A23)="N/A",0,RTD("tos.rtd",,$A$2,"."&amp;H$2&amp;H$1&amp;"P"&amp;$A23)),IF(RTD("tos.rtd",,$A$2,"."&amp;H$2&amp;H$1&amp;"C"&amp;$A23)="N/A",0,RTD("tos.rtd",,$A$2,"."&amp;H$2&amp;H$1&amp;"C"&amp;$A23))-IF(RTD("tos.rtd",,$A$2,"."&amp;H$2&amp;H$1&amp;"P"&amp;$A23)="N/A",0,RTD("tos.rtd",,$A$2,"."&amp;H$2&amp;H$1&amp;"P"&amp;$A23))))))))))</f>
        <v>0</v>
      </c>
      <c r="I23" s="12">
        <f ca="1">IF($A$2="PREMIUM_OI",IFERROR(IF($X$1="ABS",(100*RTD("tos.rtd",,"OPEN_INT","."&amp;I$2&amp;I$1&amp;"C"&amp;$A23)*RTD("tos.rtd",,"LAST","."&amp;I$2&amp;I$1&amp;"C"&amp;$A23)+100*RTD("tos.rtd",,"OPEN_INT","."&amp;I$2&amp;I$1&amp;"P"&amp;$A23)*RTD("tos.rtd",,"LAST","."&amp;I$2&amp;I$1&amp;"P"&amp;$A23))/1000000,(100*RTD("tos.rtd",,"OPEN_INT","."&amp;I$2&amp;I$1&amp;"C"&amp;$A23)*RTD("tos.rtd",,"LAST","."&amp;I$2&amp;I$1&amp;"C"&amp;$A23)-100*RTD("tos.rtd",,"OPEN_INT","."&amp;I$2&amp;I$1&amp;"P"&amp;$A23)*RTD("tos.rtd",,"LAST","."&amp;I$2&amp;I$1&amp;"P"&amp;$A23))/1000000),0),IF($A$2="PREMIUM",IFERROR(IF($X$1="ABS",(100*RTD("tos.rtd",,"VOLUME","."&amp;I$2&amp;I$1&amp;"C"&amp;$A23)*RTD("tos.rtd",,"LAST","."&amp;I$2&amp;I$1&amp;"C"&amp;$A23)+100*RTD("tos.rtd",,"VOLUME","."&amp;I$2&amp;I$1&amp;"P"&amp;$A23)*RTD("tos.rtd",,"LAST","."&amp;I$2&amp;I$1&amp;"P"&amp;$A23))/1000000,(100*RTD("tos.rtd",,"VOLUME","."&amp;I$2&amp;I$1&amp;"C"&amp;$A23)*RTD("tos.rtd",,"LAST","."&amp;I$2&amp;I$1&amp;"C"&amp;$A23)-100*RTD("tos.rtd",,"VOLUME","."&amp;I$2&amp;I$1&amp;"P"&amp;$A23)*RTD("tos.rtd",,"LAST","."&amp;I$2&amp;I$1&amp;"P"&amp;$A23))/1000000),0),IF($A$2="DEX",IFERROR(IF($X$1="ABS",(100*RTD("tos.rtd",,"OPEN_INT","."&amp;I$2&amp;I$1&amp;"C"&amp;$A23)*RTD("tos.rtd",,"DELTA","."&amp;I$2&amp;I$1&amp;"C"&amp;$A23)+100*RTD("tos.rtd",,"OPEN_INT","."&amp;I$2&amp;I$1&amp;"P"&amp;$A23)*RTD("tos.rtd",,"DELTA","."&amp;I$2&amp;I$1&amp;"P"&amp;$A23))/1000,(100*RTD("tos.rtd",,"OPEN_INT","."&amp;I$2&amp;I$1&amp;"C"&amp;$A23)*RTD("tos.rtd",,"DELTA","."&amp;I$2&amp;I$1&amp;"C"&amp;$A23)-100*RTD("tos.rtd",,"OPEN_INT","."&amp;I$2&amp;I$1&amp;"P"&amp;$A23)*RTD("tos.rtd",,"DELTA","."&amp;I$2&amp;I$1&amp;"P"&amp;$A23))/1000),0),IF($A$2="VEX",IFERROR(IF($X$1="ABS",($A$4*$A$4*RTD("tos.rtd",,"VOLUME","."&amp;I$2&amp;I$1&amp;"C"&amp;$A23)*RTD("tos.rtd",,"GAMMA","."&amp;I$2&amp;I$1&amp;"C"&amp;$A23)+$A$4*$A$4*RTD("tos.rtd",,"VOLUME","."&amp;I$2&amp;I$1&amp;"P"&amp;$A23)*RTD("tos.rtd",,"GAMMA","."&amp;I$2&amp;I$1&amp;"P"&amp;$A23))/1000000,($A$4*$A$4*RTD("tos.rtd",,"VOLUME","."&amp;I$2&amp;I$1&amp;"C"&amp;$A23)*RTD("tos.rtd",,"GAMMA","."&amp;I$2&amp;I$1&amp;"C"&amp;$A23)-$A$4*$A$4*RTD("tos.rtd",,"VOLUME","."&amp;I$2&amp;I$1&amp;"P"&amp;$A23)*RTD("tos.rtd",,"GAMMA","."&amp;I$2&amp;I$1&amp;"P"&amp;$A23))/1000000),0),IF($A$2="GEX",IFERROR(IF($X$1="ABS",($A$4*$A$4*RTD("tos.rtd",,"OPEN_INT","."&amp;I$2&amp;I$1&amp;"C"&amp;$A23)*RTD("tos.rtd",,"GAMMA","."&amp;I$2&amp;I$1&amp;"C"&amp;$A23)+$A$4*$A$4*RTD("tos.rtd",,"OPEN_INT","."&amp;I$2&amp;I$1&amp;"P"&amp;$A23)*RTD("tos.rtd",,"GAMMA","."&amp;I$2&amp;I$1&amp;"P"&amp;$A23))/1000000,($A$4*$A$4*RTD("tos.rtd",,"OPEN_INT","."&amp;I$2&amp;I$1&amp;"C"&amp;$A23)*RTD("tos.rtd",,"GAMMA","."&amp;I$2&amp;I$1&amp;"C"&amp;$A23)-$A$4*$A$4*RTD("tos.rtd",,"OPEN_INT","."&amp;I$2&amp;I$1&amp;"P"&amp;$A23)*RTD("tos.rtd",,"GAMMA","."&amp;I$2&amp;I$1&amp;"P"&amp;$A23))/1000000),0),IF($A$2="SKEW",IFERROR(VALUE(IF(RTD("tos.rtd",,"IMPL_VOL","."&amp;I$2&amp;I$1&amp;"P"&amp;$A23)="N/A",0,RTD("tos.rtd",,"IMPL_VOL","."&amp;I$2&amp;I$1&amp;"P"&amp;$A23))),0)-IFERROR(VALUE(IF(RTD("tos.rtd",,"IMPL_VOL","."&amp;I$2&amp;I$1&amp;"C"&amp;$A23)="N/A",0,RTD("tos.rtd",,"IMPL_VOL","."&amp;I$2&amp;I$1&amp;"C"&amp;$A23))),0),IF($A$2="MAXPAIN",IF($A$4&gt;$A23,($A$4-$A23)*IF(RTD("tos.rtd",,"OPEN_INT","."&amp;I$2&amp;I$1&amp;"C"&amp;$A23)="N/A",0,RTD("tos.rtd",,"OPEN_INT","."&amp;I$2&amp;I$1&amp;"C"&amp;$A23)),0)+IF($A$4&lt;$A23,($A$5-$A$4)*IF(RTD("tos.rtd",,"OPEN_INT","."&amp;I$2&amp;I$1&amp;"P"&amp;$A23)="N/A",0,RTD("tos.rtd",,"OPEN_INT","."&amp;I$2&amp;I$1&amp;"P"&amp;$A23)),0),IF($X$1="ABS",IF(RTD("tos.rtd",,$A$2,"."&amp;I$2&amp;I$1&amp;"C"&amp;$A23)="N/A",0,RTD("tos.rtd",,$A$2,"."&amp;I$2&amp;I$1&amp;"C"&amp;$A23))+IF(RTD("tos.rtd",,$A$2,"."&amp;I$2&amp;I$1&amp;"P"&amp;$A23)="N/A",0,RTD("tos.rtd",,$A$2,"."&amp;I$2&amp;I$1&amp;"P"&amp;$A23)),IF(RTD("tos.rtd",,$A$2,"."&amp;I$2&amp;I$1&amp;"C"&amp;$A23)="N/A",0,RTD("tos.rtd",,$A$2,"."&amp;I$2&amp;I$1&amp;"C"&amp;$A23))-IF(RTD("tos.rtd",,$A$2,"."&amp;I$2&amp;I$1&amp;"P"&amp;$A23)="N/A",0,RTD("tos.rtd",,$A$2,"."&amp;I$2&amp;I$1&amp;"P"&amp;$A23))))))))))</f>
        <v>3</v>
      </c>
      <c r="J23" s="12">
        <f ca="1">IF($A$2="PREMIUM_OI",IFERROR(IF($X$1="ABS",(100*RTD("tos.rtd",,"OPEN_INT","."&amp;J$2&amp;J$1&amp;"C"&amp;$A23)*RTD("tos.rtd",,"LAST","."&amp;J$2&amp;J$1&amp;"C"&amp;$A23)+100*RTD("tos.rtd",,"OPEN_INT","."&amp;J$2&amp;J$1&amp;"P"&amp;$A23)*RTD("tos.rtd",,"LAST","."&amp;J$2&amp;J$1&amp;"P"&amp;$A23))/1000000,(100*RTD("tos.rtd",,"OPEN_INT","."&amp;J$2&amp;J$1&amp;"C"&amp;$A23)*RTD("tos.rtd",,"LAST","."&amp;J$2&amp;J$1&amp;"C"&amp;$A23)-100*RTD("tos.rtd",,"OPEN_INT","."&amp;J$2&amp;J$1&amp;"P"&amp;$A23)*RTD("tos.rtd",,"LAST","."&amp;J$2&amp;J$1&amp;"P"&amp;$A23))/1000000),0),IF($A$2="PREMIUM",IFERROR(IF($X$1="ABS",(100*RTD("tos.rtd",,"VOLUME","."&amp;J$2&amp;J$1&amp;"C"&amp;$A23)*RTD("tos.rtd",,"LAST","."&amp;J$2&amp;J$1&amp;"C"&amp;$A23)+100*RTD("tos.rtd",,"VOLUME","."&amp;J$2&amp;J$1&amp;"P"&amp;$A23)*RTD("tos.rtd",,"LAST","."&amp;J$2&amp;J$1&amp;"P"&amp;$A23))/1000000,(100*RTD("tos.rtd",,"VOLUME","."&amp;J$2&amp;J$1&amp;"C"&amp;$A23)*RTD("tos.rtd",,"LAST","."&amp;J$2&amp;J$1&amp;"C"&amp;$A23)-100*RTD("tos.rtd",,"VOLUME","."&amp;J$2&amp;J$1&amp;"P"&amp;$A23)*RTD("tos.rtd",,"LAST","."&amp;J$2&amp;J$1&amp;"P"&amp;$A23))/1000000),0),IF($A$2="DEX",IFERROR(IF($X$1="ABS",(100*RTD("tos.rtd",,"OPEN_INT","."&amp;J$2&amp;J$1&amp;"C"&amp;$A23)*RTD("tos.rtd",,"DELTA","."&amp;J$2&amp;J$1&amp;"C"&amp;$A23)+100*RTD("tos.rtd",,"OPEN_INT","."&amp;J$2&amp;J$1&amp;"P"&amp;$A23)*RTD("tos.rtd",,"DELTA","."&amp;J$2&amp;J$1&amp;"P"&amp;$A23))/1000,(100*RTD("tos.rtd",,"OPEN_INT","."&amp;J$2&amp;J$1&amp;"C"&amp;$A23)*RTD("tos.rtd",,"DELTA","."&amp;J$2&amp;J$1&amp;"C"&amp;$A23)-100*RTD("tos.rtd",,"OPEN_INT","."&amp;J$2&amp;J$1&amp;"P"&amp;$A23)*RTD("tos.rtd",,"DELTA","."&amp;J$2&amp;J$1&amp;"P"&amp;$A23))/1000),0),IF($A$2="VEX",IFERROR(IF($X$1="ABS",($A$4*$A$4*RTD("tos.rtd",,"VOLUME","."&amp;J$2&amp;J$1&amp;"C"&amp;$A23)*RTD("tos.rtd",,"GAMMA","."&amp;J$2&amp;J$1&amp;"C"&amp;$A23)+$A$4*$A$4*RTD("tos.rtd",,"VOLUME","."&amp;J$2&amp;J$1&amp;"P"&amp;$A23)*RTD("tos.rtd",,"GAMMA","."&amp;J$2&amp;J$1&amp;"P"&amp;$A23))/1000000,($A$4*$A$4*RTD("tos.rtd",,"VOLUME","."&amp;J$2&amp;J$1&amp;"C"&amp;$A23)*RTD("tos.rtd",,"GAMMA","."&amp;J$2&amp;J$1&amp;"C"&amp;$A23)-$A$4*$A$4*RTD("tos.rtd",,"VOLUME","."&amp;J$2&amp;J$1&amp;"P"&amp;$A23)*RTD("tos.rtd",,"GAMMA","."&amp;J$2&amp;J$1&amp;"P"&amp;$A23))/1000000),0),IF($A$2="GEX",IFERROR(IF($X$1="ABS",($A$4*$A$4*RTD("tos.rtd",,"OPEN_INT","."&amp;J$2&amp;J$1&amp;"C"&amp;$A23)*RTD("tos.rtd",,"GAMMA","."&amp;J$2&amp;J$1&amp;"C"&amp;$A23)+$A$4*$A$4*RTD("tos.rtd",,"OPEN_INT","."&amp;J$2&amp;J$1&amp;"P"&amp;$A23)*RTD("tos.rtd",,"GAMMA","."&amp;J$2&amp;J$1&amp;"P"&amp;$A23))/1000000,($A$4*$A$4*RTD("tos.rtd",,"OPEN_INT","."&amp;J$2&amp;J$1&amp;"C"&amp;$A23)*RTD("tos.rtd",,"GAMMA","."&amp;J$2&amp;J$1&amp;"C"&amp;$A23)-$A$4*$A$4*RTD("tos.rtd",,"OPEN_INT","."&amp;J$2&amp;J$1&amp;"P"&amp;$A23)*RTD("tos.rtd",,"GAMMA","."&amp;J$2&amp;J$1&amp;"P"&amp;$A23))/1000000),0),IF($A$2="SKEW",IFERROR(VALUE(IF(RTD("tos.rtd",,"IMPL_VOL","."&amp;J$2&amp;J$1&amp;"P"&amp;$A23)="N/A",0,RTD("tos.rtd",,"IMPL_VOL","."&amp;J$2&amp;J$1&amp;"P"&amp;$A23))),0)-IFERROR(VALUE(IF(RTD("tos.rtd",,"IMPL_VOL","."&amp;J$2&amp;J$1&amp;"C"&amp;$A23)="N/A",0,RTD("tos.rtd",,"IMPL_VOL","."&amp;J$2&amp;J$1&amp;"C"&amp;$A23))),0),IF($A$2="MAXPAIN",IF($A$4&gt;$A23,($A$4-$A23)*IF(RTD("tos.rtd",,"OPEN_INT","."&amp;J$2&amp;J$1&amp;"C"&amp;$A23)="N/A",0,RTD("tos.rtd",,"OPEN_INT","."&amp;J$2&amp;J$1&amp;"C"&amp;$A23)),0)+IF($A$4&lt;$A23,($A$5-$A$4)*IF(RTD("tos.rtd",,"OPEN_INT","."&amp;J$2&amp;J$1&amp;"P"&amp;$A23)="N/A",0,RTD("tos.rtd",,"OPEN_INT","."&amp;J$2&amp;J$1&amp;"P"&amp;$A23)),0),IF($X$1="ABS",IF(RTD("tos.rtd",,$A$2,"."&amp;J$2&amp;J$1&amp;"C"&amp;$A23)="N/A",0,RTD("tos.rtd",,$A$2,"."&amp;J$2&amp;J$1&amp;"C"&amp;$A23))+IF(RTD("tos.rtd",,$A$2,"."&amp;J$2&amp;J$1&amp;"P"&amp;$A23)="N/A",0,RTD("tos.rtd",,$A$2,"."&amp;J$2&amp;J$1&amp;"P"&amp;$A23)),IF(RTD("tos.rtd",,$A$2,"."&amp;J$2&amp;J$1&amp;"C"&amp;$A23)="N/A",0,RTD("tos.rtd",,$A$2,"."&amp;J$2&amp;J$1&amp;"C"&amp;$A23))-IF(RTD("tos.rtd",,$A$2,"."&amp;J$2&amp;J$1&amp;"P"&amp;$A23)="N/A",0,RTD("tos.rtd",,$A$2,"."&amp;J$2&amp;J$1&amp;"P"&amp;$A23))))))))))</f>
        <v>0</v>
      </c>
      <c r="K23" s="12">
        <f ca="1">IF($A$2="PREMIUM_OI",IFERROR(IF($X$1="ABS",(100*RTD("tos.rtd",,"OPEN_INT","."&amp;K$2&amp;K$1&amp;"C"&amp;$A23)*RTD("tos.rtd",,"LAST","."&amp;K$2&amp;K$1&amp;"C"&amp;$A23)+100*RTD("tos.rtd",,"OPEN_INT","."&amp;K$2&amp;K$1&amp;"P"&amp;$A23)*RTD("tos.rtd",,"LAST","."&amp;K$2&amp;K$1&amp;"P"&amp;$A23))/1000000,(100*RTD("tos.rtd",,"OPEN_INT","."&amp;K$2&amp;K$1&amp;"C"&amp;$A23)*RTD("tos.rtd",,"LAST","."&amp;K$2&amp;K$1&amp;"C"&amp;$A23)-100*RTD("tos.rtd",,"OPEN_INT","."&amp;K$2&amp;K$1&amp;"P"&amp;$A23)*RTD("tos.rtd",,"LAST","."&amp;K$2&amp;K$1&amp;"P"&amp;$A23))/1000000),0),IF($A$2="PREMIUM",IFERROR(IF($X$1="ABS",(100*RTD("tos.rtd",,"VOLUME","."&amp;K$2&amp;K$1&amp;"C"&amp;$A23)*RTD("tos.rtd",,"LAST","."&amp;K$2&amp;K$1&amp;"C"&amp;$A23)+100*RTD("tos.rtd",,"VOLUME","."&amp;K$2&amp;K$1&amp;"P"&amp;$A23)*RTD("tos.rtd",,"LAST","."&amp;K$2&amp;K$1&amp;"P"&amp;$A23))/1000000,(100*RTD("tos.rtd",,"VOLUME","."&amp;K$2&amp;K$1&amp;"C"&amp;$A23)*RTD("tos.rtd",,"LAST","."&amp;K$2&amp;K$1&amp;"C"&amp;$A23)-100*RTD("tos.rtd",,"VOLUME","."&amp;K$2&amp;K$1&amp;"P"&amp;$A23)*RTD("tos.rtd",,"LAST","."&amp;K$2&amp;K$1&amp;"P"&amp;$A23))/1000000),0),IF($A$2="DEX",IFERROR(IF($X$1="ABS",(100*RTD("tos.rtd",,"OPEN_INT","."&amp;K$2&amp;K$1&amp;"C"&amp;$A23)*RTD("tos.rtd",,"DELTA","."&amp;K$2&amp;K$1&amp;"C"&amp;$A23)+100*RTD("tos.rtd",,"OPEN_INT","."&amp;K$2&amp;K$1&amp;"P"&amp;$A23)*RTD("tos.rtd",,"DELTA","."&amp;K$2&amp;K$1&amp;"P"&amp;$A23))/1000,(100*RTD("tos.rtd",,"OPEN_INT","."&amp;K$2&amp;K$1&amp;"C"&amp;$A23)*RTD("tos.rtd",,"DELTA","."&amp;K$2&amp;K$1&amp;"C"&amp;$A23)-100*RTD("tos.rtd",,"OPEN_INT","."&amp;K$2&amp;K$1&amp;"P"&amp;$A23)*RTD("tos.rtd",,"DELTA","."&amp;K$2&amp;K$1&amp;"P"&amp;$A23))/1000),0),IF($A$2="VEX",IFERROR(IF($X$1="ABS",($A$4*$A$4*RTD("tos.rtd",,"VOLUME","."&amp;K$2&amp;K$1&amp;"C"&amp;$A23)*RTD("tos.rtd",,"GAMMA","."&amp;K$2&amp;K$1&amp;"C"&amp;$A23)+$A$4*$A$4*RTD("tos.rtd",,"VOLUME","."&amp;K$2&amp;K$1&amp;"P"&amp;$A23)*RTD("tos.rtd",,"GAMMA","."&amp;K$2&amp;K$1&amp;"P"&amp;$A23))/1000000,($A$4*$A$4*RTD("tos.rtd",,"VOLUME","."&amp;K$2&amp;K$1&amp;"C"&amp;$A23)*RTD("tos.rtd",,"GAMMA","."&amp;K$2&amp;K$1&amp;"C"&amp;$A23)-$A$4*$A$4*RTD("tos.rtd",,"VOLUME","."&amp;K$2&amp;K$1&amp;"P"&amp;$A23)*RTD("tos.rtd",,"GAMMA","."&amp;K$2&amp;K$1&amp;"P"&amp;$A23))/1000000),0),IF($A$2="GEX",IFERROR(IF($X$1="ABS",($A$4*$A$4*RTD("tos.rtd",,"OPEN_INT","."&amp;K$2&amp;K$1&amp;"C"&amp;$A23)*RTD("tos.rtd",,"GAMMA","."&amp;K$2&amp;K$1&amp;"C"&amp;$A23)+$A$4*$A$4*RTD("tos.rtd",,"OPEN_INT","."&amp;K$2&amp;K$1&amp;"P"&amp;$A23)*RTD("tos.rtd",,"GAMMA","."&amp;K$2&amp;K$1&amp;"P"&amp;$A23))/1000000,($A$4*$A$4*RTD("tos.rtd",,"OPEN_INT","."&amp;K$2&amp;K$1&amp;"C"&amp;$A23)*RTD("tos.rtd",,"GAMMA","."&amp;K$2&amp;K$1&amp;"C"&amp;$A23)-$A$4*$A$4*RTD("tos.rtd",,"OPEN_INT","."&amp;K$2&amp;K$1&amp;"P"&amp;$A23)*RTD("tos.rtd",,"GAMMA","."&amp;K$2&amp;K$1&amp;"P"&amp;$A23))/1000000),0),IF($A$2="SKEW",IFERROR(VALUE(IF(RTD("tos.rtd",,"IMPL_VOL","."&amp;K$2&amp;K$1&amp;"P"&amp;$A23)="N/A",0,RTD("tos.rtd",,"IMPL_VOL","."&amp;K$2&amp;K$1&amp;"P"&amp;$A23))),0)-IFERROR(VALUE(IF(RTD("tos.rtd",,"IMPL_VOL","."&amp;K$2&amp;K$1&amp;"C"&amp;$A23)="N/A",0,RTD("tos.rtd",,"IMPL_VOL","."&amp;K$2&amp;K$1&amp;"C"&amp;$A23))),0),IF($A$2="MAXPAIN",IF($A$4&gt;$A23,($A$4-$A23)*IF(RTD("tos.rtd",,"OPEN_INT","."&amp;K$2&amp;K$1&amp;"C"&amp;$A23)="N/A",0,RTD("tos.rtd",,"OPEN_INT","."&amp;K$2&amp;K$1&amp;"C"&amp;$A23)),0)+IF($A$4&lt;$A23,($A$5-$A$4)*IF(RTD("tos.rtd",,"OPEN_INT","."&amp;K$2&amp;K$1&amp;"P"&amp;$A23)="N/A",0,RTD("tos.rtd",,"OPEN_INT","."&amp;K$2&amp;K$1&amp;"P"&amp;$A23)),0),IF($X$1="ABS",IF(RTD("tos.rtd",,$A$2,"."&amp;K$2&amp;K$1&amp;"C"&amp;$A23)="N/A",0,RTD("tos.rtd",,$A$2,"."&amp;K$2&amp;K$1&amp;"C"&amp;$A23))+IF(RTD("tos.rtd",,$A$2,"."&amp;K$2&amp;K$1&amp;"P"&amp;$A23)="N/A",0,RTD("tos.rtd",,$A$2,"."&amp;K$2&amp;K$1&amp;"P"&amp;$A23)),IF(RTD("tos.rtd",,$A$2,"."&amp;K$2&amp;K$1&amp;"C"&amp;$A23)="N/A",0,RTD("tos.rtd",,$A$2,"."&amp;K$2&amp;K$1&amp;"C"&amp;$A23))-IF(RTD("tos.rtd",,$A$2,"."&amp;K$2&amp;K$1&amp;"P"&amp;$A23)="N/A",0,RTD("tos.rtd",,$A$2,"."&amp;K$2&amp;K$1&amp;"P"&amp;$A23))))))))))</f>
        <v>0</v>
      </c>
      <c r="L23" s="54">
        <f ca="1">IF($A$2="PREMIUM_OI",IFERROR(IF($X$1="ABS",(100*RTD("tos.rtd",,"OPEN_INT","."&amp;L$2&amp;L$1&amp;"C"&amp;$A23)*RTD("tos.rtd",,"LAST","."&amp;L$2&amp;L$1&amp;"C"&amp;$A23)+100*RTD("tos.rtd",,"OPEN_INT","."&amp;L$2&amp;L$1&amp;"P"&amp;$A23)*RTD("tos.rtd",,"LAST","."&amp;L$2&amp;L$1&amp;"P"&amp;$A23))/1000000,(100*RTD("tos.rtd",,"OPEN_INT","."&amp;L$2&amp;L$1&amp;"C"&amp;$A23)*RTD("tos.rtd",,"LAST","."&amp;L$2&amp;L$1&amp;"C"&amp;$A23)-100*RTD("tos.rtd",,"OPEN_INT","."&amp;L$2&amp;L$1&amp;"P"&amp;$A23)*RTD("tos.rtd",,"LAST","."&amp;L$2&amp;L$1&amp;"P"&amp;$A23))/1000000),0),IF($A$2="PREMIUM",IFERROR(IF($X$1="ABS",(100*RTD("tos.rtd",,"VOLUME","."&amp;L$2&amp;L$1&amp;"C"&amp;$A23)*RTD("tos.rtd",,"LAST","."&amp;L$2&amp;L$1&amp;"C"&amp;$A23)+100*RTD("tos.rtd",,"VOLUME","."&amp;L$2&amp;L$1&amp;"P"&amp;$A23)*RTD("tos.rtd",,"LAST","."&amp;L$2&amp;L$1&amp;"P"&amp;$A23))/1000000,(100*RTD("tos.rtd",,"VOLUME","."&amp;L$2&amp;L$1&amp;"C"&amp;$A23)*RTD("tos.rtd",,"LAST","."&amp;L$2&amp;L$1&amp;"C"&amp;$A23)-100*RTD("tos.rtd",,"VOLUME","."&amp;L$2&amp;L$1&amp;"P"&amp;$A23)*RTD("tos.rtd",,"LAST","."&amp;L$2&amp;L$1&amp;"P"&amp;$A23))/1000000),0),IF($A$2="DEX",IFERROR(IF($X$1="ABS",(100*RTD("tos.rtd",,"OPEN_INT","."&amp;L$2&amp;L$1&amp;"C"&amp;$A23)*RTD("tos.rtd",,"DELTA","."&amp;L$2&amp;L$1&amp;"C"&amp;$A23)+100*RTD("tos.rtd",,"OPEN_INT","."&amp;L$2&amp;L$1&amp;"P"&amp;$A23)*RTD("tos.rtd",,"DELTA","."&amp;L$2&amp;L$1&amp;"P"&amp;$A23))/1000,(100*RTD("tos.rtd",,"OPEN_INT","."&amp;L$2&amp;L$1&amp;"C"&amp;$A23)*RTD("tos.rtd",,"DELTA","."&amp;L$2&amp;L$1&amp;"C"&amp;$A23)-100*RTD("tos.rtd",,"OPEN_INT","."&amp;L$2&amp;L$1&amp;"P"&amp;$A23)*RTD("tos.rtd",,"DELTA","."&amp;L$2&amp;L$1&amp;"P"&amp;$A23))/1000),0),IF($A$2="VEX",IFERROR(IF($X$1="ABS",($A$4*$A$4*RTD("tos.rtd",,"VOLUME","."&amp;L$2&amp;L$1&amp;"C"&amp;$A23)*RTD("tos.rtd",,"GAMMA","."&amp;L$2&amp;L$1&amp;"C"&amp;$A23)+$A$4*$A$4*RTD("tos.rtd",,"VOLUME","."&amp;L$2&amp;L$1&amp;"P"&amp;$A23)*RTD("tos.rtd",,"GAMMA","."&amp;L$2&amp;L$1&amp;"P"&amp;$A23))/1000000,($A$4*$A$4*RTD("tos.rtd",,"VOLUME","."&amp;L$2&amp;L$1&amp;"C"&amp;$A23)*RTD("tos.rtd",,"GAMMA","."&amp;L$2&amp;L$1&amp;"C"&amp;$A23)-$A$4*$A$4*RTD("tos.rtd",,"VOLUME","."&amp;L$2&amp;L$1&amp;"P"&amp;$A23)*RTD("tos.rtd",,"GAMMA","."&amp;L$2&amp;L$1&amp;"P"&amp;$A23))/1000000),0),IF($A$2="GEX",IFERROR(IF($X$1="ABS",($A$4*$A$4*RTD("tos.rtd",,"OPEN_INT","."&amp;L$2&amp;L$1&amp;"C"&amp;$A23)*RTD("tos.rtd",,"GAMMA","."&amp;L$2&amp;L$1&amp;"C"&amp;$A23)+$A$4*$A$4*RTD("tos.rtd",,"OPEN_INT","."&amp;L$2&amp;L$1&amp;"P"&amp;$A23)*RTD("tos.rtd",,"GAMMA","."&amp;L$2&amp;L$1&amp;"P"&amp;$A23))/1000000,($A$4*$A$4*RTD("tos.rtd",,"OPEN_INT","."&amp;L$2&amp;L$1&amp;"C"&amp;$A23)*RTD("tos.rtd",,"GAMMA","."&amp;L$2&amp;L$1&amp;"C"&amp;$A23)-$A$4*$A$4*RTD("tos.rtd",,"OPEN_INT","."&amp;L$2&amp;L$1&amp;"P"&amp;$A23)*RTD("tos.rtd",,"GAMMA","."&amp;L$2&amp;L$1&amp;"P"&amp;$A23))/1000000),0),IF($A$2="SKEW",IFERROR(VALUE(IF(RTD("tos.rtd",,"IMPL_VOL","."&amp;L$2&amp;L$1&amp;"P"&amp;$A23)="N/A",0,RTD("tos.rtd",,"IMPL_VOL","."&amp;L$2&amp;L$1&amp;"P"&amp;$A23))),0)-IFERROR(VALUE(IF(RTD("tos.rtd",,"IMPL_VOL","."&amp;L$2&amp;L$1&amp;"C"&amp;$A23)="N/A",0,RTD("tos.rtd",,"IMPL_VOL","."&amp;L$2&amp;L$1&amp;"C"&amp;$A23))),0),IF($A$2="MAXPAIN",IF($A$4&gt;$A23,($A$4-$A23)*IF(RTD("tos.rtd",,"OPEN_INT","."&amp;L$2&amp;L$1&amp;"C"&amp;$A23)="N/A",0,RTD("tos.rtd",,"OPEN_INT","."&amp;L$2&amp;L$1&amp;"C"&amp;$A23)),0)+IF($A$4&lt;$A23,($A$5-$A$4)*IF(RTD("tos.rtd",,"OPEN_INT","."&amp;L$2&amp;L$1&amp;"P"&amp;$A23)="N/A",0,RTD("tos.rtd",,"OPEN_INT","."&amp;L$2&amp;L$1&amp;"P"&amp;$A23)),0),IF($X$1="ABS",IF(RTD("tos.rtd",,$A$2,"."&amp;L$2&amp;L$1&amp;"C"&amp;$A23)="N/A",0,RTD("tos.rtd",,$A$2,"."&amp;L$2&amp;L$1&amp;"C"&amp;$A23))+IF(RTD("tos.rtd",,$A$2,"."&amp;L$2&amp;L$1&amp;"P"&amp;$A23)="N/A",0,RTD("tos.rtd",,$A$2,"."&amp;L$2&amp;L$1&amp;"P"&amp;$A23)),IF(RTD("tos.rtd",,$A$2,"."&amp;L$2&amp;L$1&amp;"C"&amp;$A23)="N/A",0,RTD("tos.rtd",,$A$2,"."&amp;L$2&amp;L$1&amp;"C"&amp;$A23))-IF(RTD("tos.rtd",,$A$2,"."&amp;L$2&amp;L$1&amp;"P"&amp;$A23)="N/A",0,RTD("tos.rtd",,$A$2,"."&amp;L$2&amp;L$1&amp;"P"&amp;$A23))))))))))</f>
        <v>0</v>
      </c>
      <c r="M23" s="12">
        <f ca="1">IF($A$2="PREMIUM_OI",IFERROR(IF($X$1="ABS",(100*RTD("tos.rtd",,"OPEN_INT","."&amp;M$2&amp;M$1&amp;"C"&amp;$A23)*RTD("tos.rtd",,"LAST","."&amp;M$2&amp;M$1&amp;"C"&amp;$A23)+100*RTD("tos.rtd",,"OPEN_INT","."&amp;M$2&amp;M$1&amp;"P"&amp;$A23)*RTD("tos.rtd",,"LAST","."&amp;M$2&amp;M$1&amp;"P"&amp;$A23))/1000000,(100*RTD("tos.rtd",,"OPEN_INT","."&amp;M$2&amp;M$1&amp;"C"&amp;$A23)*RTD("tos.rtd",,"LAST","."&amp;M$2&amp;M$1&amp;"C"&amp;$A23)-100*RTD("tos.rtd",,"OPEN_INT","."&amp;M$2&amp;M$1&amp;"P"&amp;$A23)*RTD("tos.rtd",,"LAST","."&amp;M$2&amp;M$1&amp;"P"&amp;$A23))/1000000),0),IF($A$2="PREMIUM",IFERROR(IF($X$1="ABS",(100*RTD("tos.rtd",,"VOLUME","."&amp;M$2&amp;M$1&amp;"C"&amp;$A23)*RTD("tos.rtd",,"LAST","."&amp;M$2&amp;M$1&amp;"C"&amp;$A23)+100*RTD("tos.rtd",,"VOLUME","."&amp;M$2&amp;M$1&amp;"P"&amp;$A23)*RTD("tos.rtd",,"LAST","."&amp;M$2&amp;M$1&amp;"P"&amp;$A23))/1000000,(100*RTD("tos.rtd",,"VOLUME","."&amp;M$2&amp;M$1&amp;"C"&amp;$A23)*RTD("tos.rtd",,"LAST","."&amp;M$2&amp;M$1&amp;"C"&amp;$A23)-100*RTD("tos.rtd",,"VOLUME","."&amp;M$2&amp;M$1&amp;"P"&amp;$A23)*RTD("tos.rtd",,"LAST","."&amp;M$2&amp;M$1&amp;"P"&amp;$A23))/1000000),0),IF($A$2="DEX",IFERROR(IF($X$1="ABS",(100*RTD("tos.rtd",,"OPEN_INT","."&amp;M$2&amp;M$1&amp;"C"&amp;$A23)*RTD("tos.rtd",,"DELTA","."&amp;M$2&amp;M$1&amp;"C"&amp;$A23)+100*RTD("tos.rtd",,"OPEN_INT","."&amp;M$2&amp;M$1&amp;"P"&amp;$A23)*RTD("tos.rtd",,"DELTA","."&amp;M$2&amp;M$1&amp;"P"&amp;$A23))/1000,(100*RTD("tos.rtd",,"OPEN_INT","."&amp;M$2&amp;M$1&amp;"C"&amp;$A23)*RTD("tos.rtd",,"DELTA","."&amp;M$2&amp;M$1&amp;"C"&amp;$A23)-100*RTD("tos.rtd",,"OPEN_INT","."&amp;M$2&amp;M$1&amp;"P"&amp;$A23)*RTD("tos.rtd",,"DELTA","."&amp;M$2&amp;M$1&amp;"P"&amp;$A23))/1000),0),IF($A$2="VEX",IFERROR(IF($X$1="ABS",($A$4*$A$4*RTD("tos.rtd",,"VOLUME","."&amp;M$2&amp;M$1&amp;"C"&amp;$A23)*RTD("tos.rtd",,"GAMMA","."&amp;M$2&amp;M$1&amp;"C"&amp;$A23)+$A$4*$A$4*RTD("tos.rtd",,"VOLUME","."&amp;M$2&amp;M$1&amp;"P"&amp;$A23)*RTD("tos.rtd",,"GAMMA","."&amp;M$2&amp;M$1&amp;"P"&amp;$A23))/1000000,($A$4*$A$4*RTD("tos.rtd",,"VOLUME","."&amp;M$2&amp;M$1&amp;"C"&amp;$A23)*RTD("tos.rtd",,"GAMMA","."&amp;M$2&amp;M$1&amp;"C"&amp;$A23)-$A$4*$A$4*RTD("tos.rtd",,"VOLUME","."&amp;M$2&amp;M$1&amp;"P"&amp;$A23)*RTD("tos.rtd",,"GAMMA","."&amp;M$2&amp;M$1&amp;"P"&amp;$A23))/1000000),0),IF($A$2="GEX",IFERROR(IF($X$1="ABS",($A$4*$A$4*RTD("tos.rtd",,"OPEN_INT","."&amp;M$2&amp;M$1&amp;"C"&amp;$A23)*RTD("tos.rtd",,"GAMMA","."&amp;M$2&amp;M$1&amp;"C"&amp;$A23)+$A$4*$A$4*RTD("tos.rtd",,"OPEN_INT","."&amp;M$2&amp;M$1&amp;"P"&amp;$A23)*RTD("tos.rtd",,"GAMMA","."&amp;M$2&amp;M$1&amp;"P"&amp;$A23))/1000000,($A$4*$A$4*RTD("tos.rtd",,"OPEN_INT","."&amp;M$2&amp;M$1&amp;"C"&amp;$A23)*RTD("tos.rtd",,"GAMMA","."&amp;M$2&amp;M$1&amp;"C"&amp;$A23)-$A$4*$A$4*RTD("tos.rtd",,"OPEN_INT","."&amp;M$2&amp;M$1&amp;"P"&amp;$A23)*RTD("tos.rtd",,"GAMMA","."&amp;M$2&amp;M$1&amp;"P"&amp;$A23))/1000000),0),IF($A$2="SKEW",IFERROR(VALUE(IF(RTD("tos.rtd",,"IMPL_VOL","."&amp;M$2&amp;M$1&amp;"P"&amp;$A23)="N/A",0,RTD("tos.rtd",,"IMPL_VOL","."&amp;M$2&amp;M$1&amp;"P"&amp;$A23))),0)-IFERROR(VALUE(IF(RTD("tos.rtd",,"IMPL_VOL","."&amp;M$2&amp;M$1&amp;"C"&amp;$A23)="N/A",0,RTD("tos.rtd",,"IMPL_VOL","."&amp;M$2&amp;M$1&amp;"C"&amp;$A23))),0),IF($A$2="MAXPAIN",IF($A$4&gt;$A23,($A$4-$A23)*IF(RTD("tos.rtd",,"OPEN_INT","."&amp;M$2&amp;M$1&amp;"C"&amp;$A23)="N/A",0,RTD("tos.rtd",,"OPEN_INT","."&amp;M$2&amp;M$1&amp;"C"&amp;$A23)),0)+IF($A$4&lt;$A23,($A$5-$A$4)*IF(RTD("tos.rtd",,"OPEN_INT","."&amp;M$2&amp;M$1&amp;"P"&amp;$A23)="N/A",0,RTD("tos.rtd",,"OPEN_INT","."&amp;M$2&amp;M$1&amp;"P"&amp;$A23)),0),IF($X$1="ABS",IF(RTD("tos.rtd",,$A$2,"."&amp;M$2&amp;M$1&amp;"C"&amp;$A23)="N/A",0,RTD("tos.rtd",,$A$2,"."&amp;M$2&amp;M$1&amp;"C"&amp;$A23))+IF(RTD("tos.rtd",,$A$2,"."&amp;M$2&amp;M$1&amp;"P"&amp;$A23)="N/A",0,RTD("tos.rtd",,$A$2,"."&amp;M$2&amp;M$1&amp;"P"&amp;$A23)),IF(RTD("tos.rtd",,$A$2,"."&amp;M$2&amp;M$1&amp;"C"&amp;$A23)="N/A",0,RTD("tos.rtd",,$A$2,"."&amp;M$2&amp;M$1&amp;"C"&amp;$A23))-IF(RTD("tos.rtd",,$A$2,"."&amp;M$2&amp;M$1&amp;"P"&amp;$A23)="N/A",0,RTD("tos.rtd",,$A$2,"."&amp;M$2&amp;M$1&amp;"P"&amp;$A23))))))))))</f>
        <v>0</v>
      </c>
      <c r="N23" s="12">
        <f ca="1">IF($A$2="PREMIUM_OI",IFERROR(IF($X$1="ABS",(100*RTD("tos.rtd",,"OPEN_INT","."&amp;N$2&amp;N$1&amp;"C"&amp;$A23)*RTD("tos.rtd",,"LAST","."&amp;N$2&amp;N$1&amp;"C"&amp;$A23)+100*RTD("tos.rtd",,"OPEN_INT","."&amp;N$2&amp;N$1&amp;"P"&amp;$A23)*RTD("tos.rtd",,"LAST","."&amp;N$2&amp;N$1&amp;"P"&amp;$A23))/1000000,(100*RTD("tos.rtd",,"OPEN_INT","."&amp;N$2&amp;N$1&amp;"C"&amp;$A23)*RTD("tos.rtd",,"LAST","."&amp;N$2&amp;N$1&amp;"C"&amp;$A23)-100*RTD("tos.rtd",,"OPEN_INT","."&amp;N$2&amp;N$1&amp;"P"&amp;$A23)*RTD("tos.rtd",,"LAST","."&amp;N$2&amp;N$1&amp;"P"&amp;$A23))/1000000),0),IF($A$2="PREMIUM",IFERROR(IF($X$1="ABS",(100*RTD("tos.rtd",,"VOLUME","."&amp;N$2&amp;N$1&amp;"C"&amp;$A23)*RTD("tos.rtd",,"LAST","."&amp;N$2&amp;N$1&amp;"C"&amp;$A23)+100*RTD("tos.rtd",,"VOLUME","."&amp;N$2&amp;N$1&amp;"P"&amp;$A23)*RTD("tos.rtd",,"LAST","."&amp;N$2&amp;N$1&amp;"P"&amp;$A23))/1000000,(100*RTD("tos.rtd",,"VOLUME","."&amp;N$2&amp;N$1&amp;"C"&amp;$A23)*RTD("tos.rtd",,"LAST","."&amp;N$2&amp;N$1&amp;"C"&amp;$A23)-100*RTD("tos.rtd",,"VOLUME","."&amp;N$2&amp;N$1&amp;"P"&amp;$A23)*RTD("tos.rtd",,"LAST","."&amp;N$2&amp;N$1&amp;"P"&amp;$A23))/1000000),0),IF($A$2="DEX",IFERROR(IF($X$1="ABS",(100*RTD("tos.rtd",,"OPEN_INT","."&amp;N$2&amp;N$1&amp;"C"&amp;$A23)*RTD("tos.rtd",,"DELTA","."&amp;N$2&amp;N$1&amp;"C"&amp;$A23)+100*RTD("tos.rtd",,"OPEN_INT","."&amp;N$2&amp;N$1&amp;"P"&amp;$A23)*RTD("tos.rtd",,"DELTA","."&amp;N$2&amp;N$1&amp;"P"&amp;$A23))/1000,(100*RTD("tos.rtd",,"OPEN_INT","."&amp;N$2&amp;N$1&amp;"C"&amp;$A23)*RTD("tos.rtd",,"DELTA","."&amp;N$2&amp;N$1&amp;"C"&amp;$A23)-100*RTD("tos.rtd",,"OPEN_INT","."&amp;N$2&amp;N$1&amp;"P"&amp;$A23)*RTD("tos.rtd",,"DELTA","."&amp;N$2&amp;N$1&amp;"P"&amp;$A23))/1000),0),IF($A$2="VEX",IFERROR(IF($X$1="ABS",($A$4*$A$4*RTD("tos.rtd",,"VOLUME","."&amp;N$2&amp;N$1&amp;"C"&amp;$A23)*RTD("tos.rtd",,"GAMMA","."&amp;N$2&amp;N$1&amp;"C"&amp;$A23)+$A$4*$A$4*RTD("tos.rtd",,"VOLUME","."&amp;N$2&amp;N$1&amp;"P"&amp;$A23)*RTD("tos.rtd",,"GAMMA","."&amp;N$2&amp;N$1&amp;"P"&amp;$A23))/1000000,($A$4*$A$4*RTD("tos.rtd",,"VOLUME","."&amp;N$2&amp;N$1&amp;"C"&amp;$A23)*RTD("tos.rtd",,"GAMMA","."&amp;N$2&amp;N$1&amp;"C"&amp;$A23)-$A$4*$A$4*RTD("tos.rtd",,"VOLUME","."&amp;N$2&amp;N$1&amp;"P"&amp;$A23)*RTD("tos.rtd",,"GAMMA","."&amp;N$2&amp;N$1&amp;"P"&amp;$A23))/1000000),0),IF($A$2="GEX",IFERROR(IF($X$1="ABS",($A$4*$A$4*RTD("tos.rtd",,"OPEN_INT","."&amp;N$2&amp;N$1&amp;"C"&amp;$A23)*RTD("tos.rtd",,"GAMMA","."&amp;N$2&amp;N$1&amp;"C"&amp;$A23)+$A$4*$A$4*RTD("tos.rtd",,"OPEN_INT","."&amp;N$2&amp;N$1&amp;"P"&amp;$A23)*RTD("tos.rtd",,"GAMMA","."&amp;N$2&amp;N$1&amp;"P"&amp;$A23))/1000000,($A$4*$A$4*RTD("tos.rtd",,"OPEN_INT","."&amp;N$2&amp;N$1&amp;"C"&amp;$A23)*RTD("tos.rtd",,"GAMMA","."&amp;N$2&amp;N$1&amp;"C"&amp;$A23)-$A$4*$A$4*RTD("tos.rtd",,"OPEN_INT","."&amp;N$2&amp;N$1&amp;"P"&amp;$A23)*RTD("tos.rtd",,"GAMMA","."&amp;N$2&amp;N$1&amp;"P"&amp;$A23))/1000000),0),IF($A$2="SKEW",IFERROR(VALUE(IF(RTD("tos.rtd",,"IMPL_VOL","."&amp;N$2&amp;N$1&amp;"P"&amp;$A23)="N/A",0,RTD("tos.rtd",,"IMPL_VOL","."&amp;N$2&amp;N$1&amp;"P"&amp;$A23))),0)-IFERROR(VALUE(IF(RTD("tos.rtd",,"IMPL_VOL","."&amp;N$2&amp;N$1&amp;"C"&amp;$A23)="N/A",0,RTD("tos.rtd",,"IMPL_VOL","."&amp;N$2&amp;N$1&amp;"C"&amp;$A23))),0),IF($A$2="MAXPAIN",IF($A$4&gt;$A23,($A$4-$A23)*IF(RTD("tos.rtd",,"OPEN_INT","."&amp;N$2&amp;N$1&amp;"C"&amp;$A23)="N/A",0,RTD("tos.rtd",,"OPEN_INT","."&amp;N$2&amp;N$1&amp;"C"&amp;$A23)),0)+IF($A$4&lt;$A23,($A$5-$A$4)*IF(RTD("tos.rtd",,"OPEN_INT","."&amp;N$2&amp;N$1&amp;"P"&amp;$A23)="N/A",0,RTD("tos.rtd",,"OPEN_INT","."&amp;N$2&amp;N$1&amp;"P"&amp;$A23)),0),IF($X$1="ABS",IF(RTD("tos.rtd",,$A$2,"."&amp;N$2&amp;N$1&amp;"C"&amp;$A23)="N/A",0,RTD("tos.rtd",,$A$2,"."&amp;N$2&amp;N$1&amp;"C"&amp;$A23))+IF(RTD("tos.rtd",,$A$2,"."&amp;N$2&amp;N$1&amp;"P"&amp;$A23)="N/A",0,RTD("tos.rtd",,$A$2,"."&amp;N$2&amp;N$1&amp;"P"&amp;$A23)),IF(RTD("tos.rtd",,$A$2,"."&amp;N$2&amp;N$1&amp;"C"&amp;$A23)="N/A",0,RTD("tos.rtd",,$A$2,"."&amp;N$2&amp;N$1&amp;"C"&amp;$A23))-IF(RTD("tos.rtd",,$A$2,"."&amp;N$2&amp;N$1&amp;"P"&amp;$A23)="N/A",0,RTD("tos.rtd",,$A$2,"."&amp;N$2&amp;N$1&amp;"P"&amp;$A23))))))))))</f>
        <v>0</v>
      </c>
      <c r="O23" s="12">
        <f ca="1">IF($A$2="PREMIUM_OI",IFERROR(IF($X$1="ABS",(100*RTD("tos.rtd",,"OPEN_INT","."&amp;O$2&amp;O$1&amp;"C"&amp;$A23)*RTD("tos.rtd",,"LAST","."&amp;O$2&amp;O$1&amp;"C"&amp;$A23)+100*RTD("tos.rtd",,"OPEN_INT","."&amp;O$2&amp;O$1&amp;"P"&amp;$A23)*RTD("tos.rtd",,"LAST","."&amp;O$2&amp;O$1&amp;"P"&amp;$A23))/1000000,(100*RTD("tos.rtd",,"OPEN_INT","."&amp;O$2&amp;O$1&amp;"C"&amp;$A23)*RTD("tos.rtd",,"LAST","."&amp;O$2&amp;O$1&amp;"C"&amp;$A23)-100*RTD("tos.rtd",,"OPEN_INT","."&amp;O$2&amp;O$1&amp;"P"&amp;$A23)*RTD("tos.rtd",,"LAST","."&amp;O$2&amp;O$1&amp;"P"&amp;$A23))/1000000),0),IF($A$2="PREMIUM",IFERROR(IF($X$1="ABS",(100*RTD("tos.rtd",,"VOLUME","."&amp;O$2&amp;O$1&amp;"C"&amp;$A23)*RTD("tos.rtd",,"LAST","."&amp;O$2&amp;O$1&amp;"C"&amp;$A23)+100*RTD("tos.rtd",,"VOLUME","."&amp;O$2&amp;O$1&amp;"P"&amp;$A23)*RTD("tos.rtd",,"LAST","."&amp;O$2&amp;O$1&amp;"P"&amp;$A23))/1000000,(100*RTD("tos.rtd",,"VOLUME","."&amp;O$2&amp;O$1&amp;"C"&amp;$A23)*RTD("tos.rtd",,"LAST","."&amp;O$2&amp;O$1&amp;"C"&amp;$A23)-100*RTD("tos.rtd",,"VOLUME","."&amp;O$2&amp;O$1&amp;"P"&amp;$A23)*RTD("tos.rtd",,"LAST","."&amp;O$2&amp;O$1&amp;"P"&amp;$A23))/1000000),0),IF($A$2="DEX",IFERROR(IF($X$1="ABS",(100*RTD("tos.rtd",,"OPEN_INT","."&amp;O$2&amp;O$1&amp;"C"&amp;$A23)*RTD("tos.rtd",,"DELTA","."&amp;O$2&amp;O$1&amp;"C"&amp;$A23)+100*RTD("tos.rtd",,"OPEN_INT","."&amp;O$2&amp;O$1&amp;"P"&amp;$A23)*RTD("tos.rtd",,"DELTA","."&amp;O$2&amp;O$1&amp;"P"&amp;$A23))/1000,(100*RTD("tos.rtd",,"OPEN_INT","."&amp;O$2&amp;O$1&amp;"C"&amp;$A23)*RTD("tos.rtd",,"DELTA","."&amp;O$2&amp;O$1&amp;"C"&amp;$A23)-100*RTD("tos.rtd",,"OPEN_INT","."&amp;O$2&amp;O$1&amp;"P"&amp;$A23)*RTD("tos.rtd",,"DELTA","."&amp;O$2&amp;O$1&amp;"P"&amp;$A23))/1000),0),IF($A$2="VEX",IFERROR(IF($X$1="ABS",($A$4*$A$4*RTD("tos.rtd",,"VOLUME","."&amp;O$2&amp;O$1&amp;"C"&amp;$A23)*RTD("tos.rtd",,"GAMMA","."&amp;O$2&amp;O$1&amp;"C"&amp;$A23)+$A$4*$A$4*RTD("tos.rtd",,"VOLUME","."&amp;O$2&amp;O$1&amp;"P"&amp;$A23)*RTD("tos.rtd",,"GAMMA","."&amp;O$2&amp;O$1&amp;"P"&amp;$A23))/1000000,($A$4*$A$4*RTD("tos.rtd",,"VOLUME","."&amp;O$2&amp;O$1&amp;"C"&amp;$A23)*RTD("tos.rtd",,"GAMMA","."&amp;O$2&amp;O$1&amp;"C"&amp;$A23)-$A$4*$A$4*RTD("tos.rtd",,"VOLUME","."&amp;O$2&amp;O$1&amp;"P"&amp;$A23)*RTD("tos.rtd",,"GAMMA","."&amp;O$2&amp;O$1&amp;"P"&amp;$A23))/1000000),0),IF($A$2="GEX",IFERROR(IF($X$1="ABS",($A$4*$A$4*RTD("tos.rtd",,"OPEN_INT","."&amp;O$2&amp;O$1&amp;"C"&amp;$A23)*RTD("tos.rtd",,"GAMMA","."&amp;O$2&amp;O$1&amp;"C"&amp;$A23)+$A$4*$A$4*RTD("tos.rtd",,"OPEN_INT","."&amp;O$2&amp;O$1&amp;"P"&amp;$A23)*RTD("tos.rtd",,"GAMMA","."&amp;O$2&amp;O$1&amp;"P"&amp;$A23))/1000000,($A$4*$A$4*RTD("tos.rtd",,"OPEN_INT","."&amp;O$2&amp;O$1&amp;"C"&amp;$A23)*RTD("tos.rtd",,"GAMMA","."&amp;O$2&amp;O$1&amp;"C"&amp;$A23)-$A$4*$A$4*RTD("tos.rtd",,"OPEN_INT","."&amp;O$2&amp;O$1&amp;"P"&amp;$A23)*RTD("tos.rtd",,"GAMMA","."&amp;O$2&amp;O$1&amp;"P"&amp;$A23))/1000000),0),IF($A$2="SKEW",IFERROR(VALUE(IF(RTD("tos.rtd",,"IMPL_VOL","."&amp;O$2&amp;O$1&amp;"P"&amp;$A23)="N/A",0,RTD("tos.rtd",,"IMPL_VOL","."&amp;O$2&amp;O$1&amp;"P"&amp;$A23))),0)-IFERROR(VALUE(IF(RTD("tos.rtd",,"IMPL_VOL","."&amp;O$2&amp;O$1&amp;"C"&amp;$A23)="N/A",0,RTD("tos.rtd",,"IMPL_VOL","."&amp;O$2&amp;O$1&amp;"C"&amp;$A23))),0),IF($A$2="MAXPAIN",IF($A$4&gt;$A23,($A$4-$A23)*IF(RTD("tos.rtd",,"OPEN_INT","."&amp;O$2&amp;O$1&amp;"C"&amp;$A23)="N/A",0,RTD("tos.rtd",,"OPEN_INT","."&amp;O$2&amp;O$1&amp;"C"&amp;$A23)),0)+IF($A$4&lt;$A23,($A$5-$A$4)*IF(RTD("tos.rtd",,"OPEN_INT","."&amp;O$2&amp;O$1&amp;"P"&amp;$A23)="N/A",0,RTD("tos.rtd",,"OPEN_INT","."&amp;O$2&amp;O$1&amp;"P"&amp;$A23)),0),IF($X$1="ABS",IF(RTD("tos.rtd",,$A$2,"."&amp;O$2&amp;O$1&amp;"C"&amp;$A23)="N/A",0,RTD("tos.rtd",,$A$2,"."&amp;O$2&amp;O$1&amp;"C"&amp;$A23))+IF(RTD("tos.rtd",,$A$2,"."&amp;O$2&amp;O$1&amp;"P"&amp;$A23)="N/A",0,RTD("tos.rtd",,$A$2,"."&amp;O$2&amp;O$1&amp;"P"&amp;$A23)),IF(RTD("tos.rtd",,$A$2,"."&amp;O$2&amp;O$1&amp;"C"&amp;$A23)="N/A",0,RTD("tos.rtd",,$A$2,"."&amp;O$2&amp;O$1&amp;"C"&amp;$A23))-IF(RTD("tos.rtd",,$A$2,"."&amp;O$2&amp;O$1&amp;"P"&amp;$A23)="N/A",0,RTD("tos.rtd",,$A$2,"."&amp;O$2&amp;O$1&amp;"P"&amp;$A23))))))))))</f>
        <v>0</v>
      </c>
      <c r="P23" s="12">
        <f ca="1">IF($A$2="PREMIUM_OI",IFERROR(IF($X$1="ABS",(100*RTD("tos.rtd",,"OPEN_INT","."&amp;P$2&amp;P$1&amp;"C"&amp;$A23)*RTD("tos.rtd",,"LAST","."&amp;P$2&amp;P$1&amp;"C"&amp;$A23)+100*RTD("tos.rtd",,"OPEN_INT","."&amp;P$2&amp;P$1&amp;"P"&amp;$A23)*RTD("tos.rtd",,"LAST","."&amp;P$2&amp;P$1&amp;"P"&amp;$A23))/1000000,(100*RTD("tos.rtd",,"OPEN_INT","."&amp;P$2&amp;P$1&amp;"C"&amp;$A23)*RTD("tos.rtd",,"LAST","."&amp;P$2&amp;P$1&amp;"C"&amp;$A23)-100*RTD("tos.rtd",,"OPEN_INT","."&amp;P$2&amp;P$1&amp;"P"&amp;$A23)*RTD("tos.rtd",,"LAST","."&amp;P$2&amp;P$1&amp;"P"&amp;$A23))/1000000),0),IF($A$2="PREMIUM",IFERROR(IF($X$1="ABS",(100*RTD("tos.rtd",,"VOLUME","."&amp;P$2&amp;P$1&amp;"C"&amp;$A23)*RTD("tos.rtd",,"LAST","."&amp;P$2&amp;P$1&amp;"C"&amp;$A23)+100*RTD("tos.rtd",,"VOLUME","."&amp;P$2&amp;P$1&amp;"P"&amp;$A23)*RTD("tos.rtd",,"LAST","."&amp;P$2&amp;P$1&amp;"P"&amp;$A23))/1000000,(100*RTD("tos.rtd",,"VOLUME","."&amp;P$2&amp;P$1&amp;"C"&amp;$A23)*RTD("tos.rtd",,"LAST","."&amp;P$2&amp;P$1&amp;"C"&amp;$A23)-100*RTD("tos.rtd",,"VOLUME","."&amp;P$2&amp;P$1&amp;"P"&amp;$A23)*RTD("tos.rtd",,"LAST","."&amp;P$2&amp;P$1&amp;"P"&amp;$A23))/1000000),0),IF($A$2="DEX",IFERROR(IF($X$1="ABS",(100*RTD("tos.rtd",,"OPEN_INT","."&amp;P$2&amp;P$1&amp;"C"&amp;$A23)*RTD("tos.rtd",,"DELTA","."&amp;P$2&amp;P$1&amp;"C"&amp;$A23)+100*RTD("tos.rtd",,"OPEN_INT","."&amp;P$2&amp;P$1&amp;"P"&amp;$A23)*RTD("tos.rtd",,"DELTA","."&amp;P$2&amp;P$1&amp;"P"&amp;$A23))/1000,(100*RTD("tos.rtd",,"OPEN_INT","."&amp;P$2&amp;P$1&amp;"C"&amp;$A23)*RTD("tos.rtd",,"DELTA","."&amp;P$2&amp;P$1&amp;"C"&amp;$A23)-100*RTD("tos.rtd",,"OPEN_INT","."&amp;P$2&amp;P$1&amp;"P"&amp;$A23)*RTD("tos.rtd",,"DELTA","."&amp;P$2&amp;P$1&amp;"P"&amp;$A23))/1000),0),IF($A$2="VEX",IFERROR(IF($X$1="ABS",($A$4*$A$4*RTD("tos.rtd",,"VOLUME","."&amp;P$2&amp;P$1&amp;"C"&amp;$A23)*RTD("tos.rtd",,"GAMMA","."&amp;P$2&amp;P$1&amp;"C"&amp;$A23)+$A$4*$A$4*RTD("tos.rtd",,"VOLUME","."&amp;P$2&amp;P$1&amp;"P"&amp;$A23)*RTD("tos.rtd",,"GAMMA","."&amp;P$2&amp;P$1&amp;"P"&amp;$A23))/1000000,($A$4*$A$4*RTD("tos.rtd",,"VOLUME","."&amp;P$2&amp;P$1&amp;"C"&amp;$A23)*RTD("tos.rtd",,"GAMMA","."&amp;P$2&amp;P$1&amp;"C"&amp;$A23)-$A$4*$A$4*RTD("tos.rtd",,"VOLUME","."&amp;P$2&amp;P$1&amp;"P"&amp;$A23)*RTD("tos.rtd",,"GAMMA","."&amp;P$2&amp;P$1&amp;"P"&amp;$A23))/1000000),0),IF($A$2="GEX",IFERROR(IF($X$1="ABS",($A$4*$A$4*RTD("tos.rtd",,"OPEN_INT","."&amp;P$2&amp;P$1&amp;"C"&amp;$A23)*RTD("tos.rtd",,"GAMMA","."&amp;P$2&amp;P$1&amp;"C"&amp;$A23)+$A$4*$A$4*RTD("tos.rtd",,"OPEN_INT","."&amp;P$2&amp;P$1&amp;"P"&amp;$A23)*RTD("tos.rtd",,"GAMMA","."&amp;P$2&amp;P$1&amp;"P"&amp;$A23))/1000000,($A$4*$A$4*RTD("tos.rtd",,"OPEN_INT","."&amp;P$2&amp;P$1&amp;"C"&amp;$A23)*RTD("tos.rtd",,"GAMMA","."&amp;P$2&amp;P$1&amp;"C"&amp;$A23)-$A$4*$A$4*RTD("tos.rtd",,"OPEN_INT","."&amp;P$2&amp;P$1&amp;"P"&amp;$A23)*RTD("tos.rtd",,"GAMMA","."&amp;P$2&amp;P$1&amp;"P"&amp;$A23))/1000000),0),IF($A$2="SKEW",IFERROR(VALUE(IF(RTD("tos.rtd",,"IMPL_VOL","."&amp;P$2&amp;P$1&amp;"P"&amp;$A23)="N/A",0,RTD("tos.rtd",,"IMPL_VOL","."&amp;P$2&amp;P$1&amp;"P"&amp;$A23))),0)-IFERROR(VALUE(IF(RTD("tos.rtd",,"IMPL_VOL","."&amp;P$2&amp;P$1&amp;"C"&amp;$A23)="N/A",0,RTD("tos.rtd",,"IMPL_VOL","."&amp;P$2&amp;P$1&amp;"C"&amp;$A23))),0),IF($A$2="MAXPAIN",IF($A$4&gt;$A23,($A$4-$A23)*IF(RTD("tos.rtd",,"OPEN_INT","."&amp;P$2&amp;P$1&amp;"C"&amp;$A23)="N/A",0,RTD("tos.rtd",,"OPEN_INT","."&amp;P$2&amp;P$1&amp;"C"&amp;$A23)),0)+IF($A$4&lt;$A23,($A$5-$A$4)*IF(RTD("tos.rtd",,"OPEN_INT","."&amp;P$2&amp;P$1&amp;"P"&amp;$A23)="N/A",0,RTD("tos.rtd",,"OPEN_INT","."&amp;P$2&amp;P$1&amp;"P"&amp;$A23)),0),IF($X$1="ABS",IF(RTD("tos.rtd",,$A$2,"."&amp;P$2&amp;P$1&amp;"C"&amp;$A23)="N/A",0,RTD("tos.rtd",,$A$2,"."&amp;P$2&amp;P$1&amp;"C"&amp;$A23))+IF(RTD("tos.rtd",,$A$2,"."&amp;P$2&amp;P$1&amp;"P"&amp;$A23)="N/A",0,RTD("tos.rtd",,$A$2,"."&amp;P$2&amp;P$1&amp;"P"&amp;$A23)),IF(RTD("tos.rtd",,$A$2,"."&amp;P$2&amp;P$1&amp;"C"&amp;$A23)="N/A",0,RTD("tos.rtd",,$A$2,"."&amp;P$2&amp;P$1&amp;"C"&amp;$A23))-IF(RTD("tos.rtd",,$A$2,"."&amp;P$2&amp;P$1&amp;"P"&amp;$A23)="N/A",0,RTD("tos.rtd",,$A$2,"."&amp;P$2&amp;P$1&amp;"P"&amp;$A23))))))))))</f>
        <v>0</v>
      </c>
      <c r="Q23" s="12">
        <f ca="1">IF($A$2="PREMIUM_OI",IFERROR(IF($X$1="ABS",(100*RTD("tos.rtd",,"OPEN_INT","."&amp;Q$2&amp;Q$1&amp;"C"&amp;$A23)*RTD("tos.rtd",,"LAST","."&amp;Q$2&amp;Q$1&amp;"C"&amp;$A23)+100*RTD("tos.rtd",,"OPEN_INT","."&amp;Q$2&amp;Q$1&amp;"P"&amp;$A23)*RTD("tos.rtd",,"LAST","."&amp;Q$2&amp;Q$1&amp;"P"&amp;$A23))/1000000,(100*RTD("tos.rtd",,"OPEN_INT","."&amp;Q$2&amp;Q$1&amp;"C"&amp;$A23)*RTD("tos.rtd",,"LAST","."&amp;Q$2&amp;Q$1&amp;"C"&amp;$A23)-100*RTD("tos.rtd",,"OPEN_INT","."&amp;Q$2&amp;Q$1&amp;"P"&amp;$A23)*RTD("tos.rtd",,"LAST","."&amp;Q$2&amp;Q$1&amp;"P"&amp;$A23))/1000000),0),IF($A$2="PREMIUM",IFERROR(IF($X$1="ABS",(100*RTD("tos.rtd",,"VOLUME","."&amp;Q$2&amp;Q$1&amp;"C"&amp;$A23)*RTD("tos.rtd",,"LAST","."&amp;Q$2&amp;Q$1&amp;"C"&amp;$A23)+100*RTD("tos.rtd",,"VOLUME","."&amp;Q$2&amp;Q$1&amp;"P"&amp;$A23)*RTD("tos.rtd",,"LAST","."&amp;Q$2&amp;Q$1&amp;"P"&amp;$A23))/1000000,(100*RTD("tos.rtd",,"VOLUME","."&amp;Q$2&amp;Q$1&amp;"C"&amp;$A23)*RTD("tos.rtd",,"LAST","."&amp;Q$2&amp;Q$1&amp;"C"&amp;$A23)-100*RTD("tos.rtd",,"VOLUME","."&amp;Q$2&amp;Q$1&amp;"P"&amp;$A23)*RTD("tos.rtd",,"LAST","."&amp;Q$2&amp;Q$1&amp;"P"&amp;$A23))/1000000),0),IF($A$2="DEX",IFERROR(IF($X$1="ABS",(100*RTD("tos.rtd",,"OPEN_INT","."&amp;Q$2&amp;Q$1&amp;"C"&amp;$A23)*RTD("tos.rtd",,"DELTA","."&amp;Q$2&amp;Q$1&amp;"C"&amp;$A23)+100*RTD("tos.rtd",,"OPEN_INT","."&amp;Q$2&amp;Q$1&amp;"P"&amp;$A23)*RTD("tos.rtd",,"DELTA","."&amp;Q$2&amp;Q$1&amp;"P"&amp;$A23))/1000,(100*RTD("tos.rtd",,"OPEN_INT","."&amp;Q$2&amp;Q$1&amp;"C"&amp;$A23)*RTD("tos.rtd",,"DELTA","."&amp;Q$2&amp;Q$1&amp;"C"&amp;$A23)-100*RTD("tos.rtd",,"OPEN_INT","."&amp;Q$2&amp;Q$1&amp;"P"&amp;$A23)*RTD("tos.rtd",,"DELTA","."&amp;Q$2&amp;Q$1&amp;"P"&amp;$A23))/1000),0),IF($A$2="VEX",IFERROR(IF($X$1="ABS",($A$4*$A$4*RTD("tos.rtd",,"VOLUME","."&amp;Q$2&amp;Q$1&amp;"C"&amp;$A23)*RTD("tos.rtd",,"GAMMA","."&amp;Q$2&amp;Q$1&amp;"C"&amp;$A23)+$A$4*$A$4*RTD("tos.rtd",,"VOLUME","."&amp;Q$2&amp;Q$1&amp;"P"&amp;$A23)*RTD("tos.rtd",,"GAMMA","."&amp;Q$2&amp;Q$1&amp;"P"&amp;$A23))/1000000,($A$4*$A$4*RTD("tos.rtd",,"VOLUME","."&amp;Q$2&amp;Q$1&amp;"C"&amp;$A23)*RTD("tos.rtd",,"GAMMA","."&amp;Q$2&amp;Q$1&amp;"C"&amp;$A23)-$A$4*$A$4*RTD("tos.rtd",,"VOLUME","."&amp;Q$2&amp;Q$1&amp;"P"&amp;$A23)*RTD("tos.rtd",,"GAMMA","."&amp;Q$2&amp;Q$1&amp;"P"&amp;$A23))/1000000),0),IF($A$2="GEX",IFERROR(IF($X$1="ABS",($A$4*$A$4*RTD("tos.rtd",,"OPEN_INT","."&amp;Q$2&amp;Q$1&amp;"C"&amp;$A23)*RTD("tos.rtd",,"GAMMA","."&amp;Q$2&amp;Q$1&amp;"C"&amp;$A23)+$A$4*$A$4*RTD("tos.rtd",,"OPEN_INT","."&amp;Q$2&amp;Q$1&amp;"P"&amp;$A23)*RTD("tos.rtd",,"GAMMA","."&amp;Q$2&amp;Q$1&amp;"P"&amp;$A23))/1000000,($A$4*$A$4*RTD("tos.rtd",,"OPEN_INT","."&amp;Q$2&amp;Q$1&amp;"C"&amp;$A23)*RTD("tos.rtd",,"GAMMA","."&amp;Q$2&amp;Q$1&amp;"C"&amp;$A23)-$A$4*$A$4*RTD("tos.rtd",,"OPEN_INT","."&amp;Q$2&amp;Q$1&amp;"P"&amp;$A23)*RTD("tos.rtd",,"GAMMA","."&amp;Q$2&amp;Q$1&amp;"P"&amp;$A23))/1000000),0),IF($A$2="SKEW",IFERROR(VALUE(IF(RTD("tos.rtd",,"IMPL_VOL","."&amp;Q$2&amp;Q$1&amp;"P"&amp;$A23)="N/A",0,RTD("tos.rtd",,"IMPL_VOL","."&amp;Q$2&amp;Q$1&amp;"P"&amp;$A23))),0)-IFERROR(VALUE(IF(RTD("tos.rtd",,"IMPL_VOL","."&amp;Q$2&amp;Q$1&amp;"C"&amp;$A23)="N/A",0,RTD("tos.rtd",,"IMPL_VOL","."&amp;Q$2&amp;Q$1&amp;"C"&amp;$A23))),0),IF($A$2="MAXPAIN",IF($A$4&gt;$A23,($A$4-$A23)*IF(RTD("tos.rtd",,"OPEN_INT","."&amp;Q$2&amp;Q$1&amp;"C"&amp;$A23)="N/A",0,RTD("tos.rtd",,"OPEN_INT","."&amp;Q$2&amp;Q$1&amp;"C"&amp;$A23)),0)+IF($A$4&lt;$A23,($A$5-$A$4)*IF(RTD("tos.rtd",,"OPEN_INT","."&amp;Q$2&amp;Q$1&amp;"P"&amp;$A23)="N/A",0,RTD("tos.rtd",,"OPEN_INT","."&amp;Q$2&amp;Q$1&amp;"P"&amp;$A23)),0),IF($X$1="ABS",IF(RTD("tos.rtd",,$A$2,"."&amp;Q$2&amp;Q$1&amp;"C"&amp;$A23)="N/A",0,RTD("tos.rtd",,$A$2,"."&amp;Q$2&amp;Q$1&amp;"C"&amp;$A23))+IF(RTD("tos.rtd",,$A$2,"."&amp;Q$2&amp;Q$1&amp;"P"&amp;$A23)="N/A",0,RTD("tos.rtd",,$A$2,"."&amp;Q$2&amp;Q$1&amp;"P"&amp;$A23)),IF(RTD("tos.rtd",,$A$2,"."&amp;Q$2&amp;Q$1&amp;"C"&amp;$A23)="N/A",0,RTD("tos.rtd",,$A$2,"."&amp;Q$2&amp;Q$1&amp;"C"&amp;$A23))-IF(RTD("tos.rtd",,$A$2,"."&amp;Q$2&amp;Q$1&amp;"P"&amp;$A23)="N/A",0,RTD("tos.rtd",,$A$2,"."&amp;Q$2&amp;Q$1&amp;"P"&amp;$A23))))))))))</f>
        <v>0</v>
      </c>
      <c r="R23" s="12">
        <f ca="1">IF($A$2="PREMIUM_OI",IFERROR(IF($X$1="ABS",(100*RTD("tos.rtd",,"OPEN_INT","."&amp;R$2&amp;R$1&amp;"C"&amp;$A23)*RTD("tos.rtd",,"LAST","."&amp;R$2&amp;R$1&amp;"C"&amp;$A23)+100*RTD("tos.rtd",,"OPEN_INT","."&amp;R$2&amp;R$1&amp;"P"&amp;$A23)*RTD("tos.rtd",,"LAST","."&amp;R$2&amp;R$1&amp;"P"&amp;$A23))/1000000,(100*RTD("tos.rtd",,"OPEN_INT","."&amp;R$2&amp;R$1&amp;"C"&amp;$A23)*RTD("tos.rtd",,"LAST","."&amp;R$2&amp;R$1&amp;"C"&amp;$A23)-100*RTD("tos.rtd",,"OPEN_INT","."&amp;R$2&amp;R$1&amp;"P"&amp;$A23)*RTD("tos.rtd",,"LAST","."&amp;R$2&amp;R$1&amp;"P"&amp;$A23))/1000000),0),IF($A$2="PREMIUM",IFERROR(IF($X$1="ABS",(100*RTD("tos.rtd",,"VOLUME","."&amp;R$2&amp;R$1&amp;"C"&amp;$A23)*RTD("tos.rtd",,"LAST","."&amp;R$2&amp;R$1&amp;"C"&amp;$A23)+100*RTD("tos.rtd",,"VOLUME","."&amp;R$2&amp;R$1&amp;"P"&amp;$A23)*RTD("tos.rtd",,"LAST","."&amp;R$2&amp;R$1&amp;"P"&amp;$A23))/1000000,(100*RTD("tos.rtd",,"VOLUME","."&amp;R$2&amp;R$1&amp;"C"&amp;$A23)*RTD("tos.rtd",,"LAST","."&amp;R$2&amp;R$1&amp;"C"&amp;$A23)-100*RTD("tos.rtd",,"VOLUME","."&amp;R$2&amp;R$1&amp;"P"&amp;$A23)*RTD("tos.rtd",,"LAST","."&amp;R$2&amp;R$1&amp;"P"&amp;$A23))/1000000),0),IF($A$2="DEX",IFERROR(IF($X$1="ABS",(100*RTD("tos.rtd",,"OPEN_INT","."&amp;R$2&amp;R$1&amp;"C"&amp;$A23)*RTD("tos.rtd",,"DELTA","."&amp;R$2&amp;R$1&amp;"C"&amp;$A23)+100*RTD("tos.rtd",,"OPEN_INT","."&amp;R$2&amp;R$1&amp;"P"&amp;$A23)*RTD("tos.rtd",,"DELTA","."&amp;R$2&amp;R$1&amp;"P"&amp;$A23))/1000,(100*RTD("tos.rtd",,"OPEN_INT","."&amp;R$2&amp;R$1&amp;"C"&amp;$A23)*RTD("tos.rtd",,"DELTA","."&amp;R$2&amp;R$1&amp;"C"&amp;$A23)-100*RTD("tos.rtd",,"OPEN_INT","."&amp;R$2&amp;R$1&amp;"P"&amp;$A23)*RTD("tos.rtd",,"DELTA","."&amp;R$2&amp;R$1&amp;"P"&amp;$A23))/1000),0),IF($A$2="VEX",IFERROR(IF($X$1="ABS",($A$4*$A$4*RTD("tos.rtd",,"VOLUME","."&amp;R$2&amp;R$1&amp;"C"&amp;$A23)*RTD("tos.rtd",,"GAMMA","."&amp;R$2&amp;R$1&amp;"C"&amp;$A23)+$A$4*$A$4*RTD("tos.rtd",,"VOLUME","."&amp;R$2&amp;R$1&amp;"P"&amp;$A23)*RTD("tos.rtd",,"GAMMA","."&amp;R$2&amp;R$1&amp;"P"&amp;$A23))/1000000,($A$4*$A$4*RTD("tos.rtd",,"VOLUME","."&amp;R$2&amp;R$1&amp;"C"&amp;$A23)*RTD("tos.rtd",,"GAMMA","."&amp;R$2&amp;R$1&amp;"C"&amp;$A23)-$A$4*$A$4*RTD("tos.rtd",,"VOLUME","."&amp;R$2&amp;R$1&amp;"P"&amp;$A23)*RTD("tos.rtd",,"GAMMA","."&amp;R$2&amp;R$1&amp;"P"&amp;$A23))/1000000),0),IF($A$2="GEX",IFERROR(IF($X$1="ABS",($A$4*$A$4*RTD("tos.rtd",,"OPEN_INT","."&amp;R$2&amp;R$1&amp;"C"&amp;$A23)*RTD("tos.rtd",,"GAMMA","."&amp;R$2&amp;R$1&amp;"C"&amp;$A23)+$A$4*$A$4*RTD("tos.rtd",,"OPEN_INT","."&amp;R$2&amp;R$1&amp;"P"&amp;$A23)*RTD("tos.rtd",,"GAMMA","."&amp;R$2&amp;R$1&amp;"P"&amp;$A23))/1000000,($A$4*$A$4*RTD("tos.rtd",,"OPEN_INT","."&amp;R$2&amp;R$1&amp;"C"&amp;$A23)*RTD("tos.rtd",,"GAMMA","."&amp;R$2&amp;R$1&amp;"C"&amp;$A23)-$A$4*$A$4*RTD("tos.rtd",,"OPEN_INT","."&amp;R$2&amp;R$1&amp;"P"&amp;$A23)*RTD("tos.rtd",,"GAMMA","."&amp;R$2&amp;R$1&amp;"P"&amp;$A23))/1000000),0),IF($A$2="SKEW",IFERROR(VALUE(IF(RTD("tos.rtd",,"IMPL_VOL","."&amp;R$2&amp;R$1&amp;"P"&amp;$A23)="N/A",0,RTD("tos.rtd",,"IMPL_VOL","."&amp;R$2&amp;R$1&amp;"P"&amp;$A23))),0)-IFERROR(VALUE(IF(RTD("tos.rtd",,"IMPL_VOL","."&amp;R$2&amp;R$1&amp;"C"&amp;$A23)="N/A",0,RTD("tos.rtd",,"IMPL_VOL","."&amp;R$2&amp;R$1&amp;"C"&amp;$A23))),0),IF($A$2="MAXPAIN",IF($A$4&gt;$A23,($A$4-$A23)*IF(RTD("tos.rtd",,"OPEN_INT","."&amp;R$2&amp;R$1&amp;"C"&amp;$A23)="N/A",0,RTD("tos.rtd",,"OPEN_INT","."&amp;R$2&amp;R$1&amp;"C"&amp;$A23)),0)+IF($A$4&lt;$A23,($A$5-$A$4)*IF(RTD("tos.rtd",,"OPEN_INT","."&amp;R$2&amp;R$1&amp;"P"&amp;$A23)="N/A",0,RTD("tos.rtd",,"OPEN_INT","."&amp;R$2&amp;R$1&amp;"P"&amp;$A23)),0),IF($X$1="ABS",IF(RTD("tos.rtd",,$A$2,"."&amp;R$2&amp;R$1&amp;"C"&amp;$A23)="N/A",0,RTD("tos.rtd",,$A$2,"."&amp;R$2&amp;R$1&amp;"C"&amp;$A23))+IF(RTD("tos.rtd",,$A$2,"."&amp;R$2&amp;R$1&amp;"P"&amp;$A23)="N/A",0,RTD("tos.rtd",,$A$2,"."&amp;R$2&amp;R$1&amp;"P"&amp;$A23)),IF(RTD("tos.rtd",,$A$2,"."&amp;R$2&amp;R$1&amp;"C"&amp;$A23)="N/A",0,RTD("tos.rtd",,$A$2,"."&amp;R$2&amp;R$1&amp;"C"&amp;$A23))-IF(RTD("tos.rtd",,$A$2,"."&amp;R$2&amp;R$1&amp;"P"&amp;$A23)="N/A",0,RTD("tos.rtd",,$A$2,"."&amp;R$2&amp;R$1&amp;"P"&amp;$A23))))))))))</f>
        <v>0</v>
      </c>
      <c r="S23" s="12">
        <f ca="1">IF($A$2="PREMIUM_OI",IFERROR(IF($X$1="ABS",(100*RTD("tos.rtd",,"OPEN_INT","."&amp;S$2&amp;S$1&amp;"C"&amp;$A23)*RTD("tos.rtd",,"LAST","."&amp;S$2&amp;S$1&amp;"C"&amp;$A23)+100*RTD("tos.rtd",,"OPEN_INT","."&amp;S$2&amp;S$1&amp;"P"&amp;$A23)*RTD("tos.rtd",,"LAST","."&amp;S$2&amp;S$1&amp;"P"&amp;$A23))/1000000,(100*RTD("tos.rtd",,"OPEN_INT","."&amp;S$2&amp;S$1&amp;"C"&amp;$A23)*RTD("tos.rtd",,"LAST","."&amp;S$2&amp;S$1&amp;"C"&amp;$A23)-100*RTD("tos.rtd",,"OPEN_INT","."&amp;S$2&amp;S$1&amp;"P"&amp;$A23)*RTD("tos.rtd",,"LAST","."&amp;S$2&amp;S$1&amp;"P"&amp;$A23))/1000000),0),IF($A$2="PREMIUM",IFERROR(IF($X$1="ABS",(100*RTD("tos.rtd",,"VOLUME","."&amp;S$2&amp;S$1&amp;"C"&amp;$A23)*RTD("tos.rtd",,"LAST","."&amp;S$2&amp;S$1&amp;"C"&amp;$A23)+100*RTD("tos.rtd",,"VOLUME","."&amp;S$2&amp;S$1&amp;"P"&amp;$A23)*RTD("tos.rtd",,"LAST","."&amp;S$2&amp;S$1&amp;"P"&amp;$A23))/1000000,(100*RTD("tos.rtd",,"VOLUME","."&amp;S$2&amp;S$1&amp;"C"&amp;$A23)*RTD("tos.rtd",,"LAST","."&amp;S$2&amp;S$1&amp;"C"&amp;$A23)-100*RTD("tos.rtd",,"VOLUME","."&amp;S$2&amp;S$1&amp;"P"&amp;$A23)*RTD("tos.rtd",,"LAST","."&amp;S$2&amp;S$1&amp;"P"&amp;$A23))/1000000),0),IF($A$2="DEX",IFERROR(IF($X$1="ABS",(100*RTD("tos.rtd",,"OPEN_INT","."&amp;S$2&amp;S$1&amp;"C"&amp;$A23)*RTD("tos.rtd",,"DELTA","."&amp;S$2&amp;S$1&amp;"C"&amp;$A23)+100*RTD("tos.rtd",,"OPEN_INT","."&amp;S$2&amp;S$1&amp;"P"&amp;$A23)*RTD("tos.rtd",,"DELTA","."&amp;S$2&amp;S$1&amp;"P"&amp;$A23))/1000,(100*RTD("tos.rtd",,"OPEN_INT","."&amp;S$2&amp;S$1&amp;"C"&amp;$A23)*RTD("tos.rtd",,"DELTA","."&amp;S$2&amp;S$1&amp;"C"&amp;$A23)-100*RTD("tos.rtd",,"OPEN_INT","."&amp;S$2&amp;S$1&amp;"P"&amp;$A23)*RTD("tos.rtd",,"DELTA","."&amp;S$2&amp;S$1&amp;"P"&amp;$A23))/1000),0),IF($A$2="VEX",IFERROR(IF($X$1="ABS",($A$4*$A$4*RTD("tos.rtd",,"VOLUME","."&amp;S$2&amp;S$1&amp;"C"&amp;$A23)*RTD("tos.rtd",,"GAMMA","."&amp;S$2&amp;S$1&amp;"C"&amp;$A23)+$A$4*$A$4*RTD("tos.rtd",,"VOLUME","."&amp;S$2&amp;S$1&amp;"P"&amp;$A23)*RTD("tos.rtd",,"GAMMA","."&amp;S$2&amp;S$1&amp;"P"&amp;$A23))/1000000,($A$4*$A$4*RTD("tos.rtd",,"VOLUME","."&amp;S$2&amp;S$1&amp;"C"&amp;$A23)*RTD("tos.rtd",,"GAMMA","."&amp;S$2&amp;S$1&amp;"C"&amp;$A23)-$A$4*$A$4*RTD("tos.rtd",,"VOLUME","."&amp;S$2&amp;S$1&amp;"P"&amp;$A23)*RTD("tos.rtd",,"GAMMA","."&amp;S$2&amp;S$1&amp;"P"&amp;$A23))/1000000),0),IF($A$2="GEX",IFERROR(IF($X$1="ABS",($A$4*$A$4*RTD("tos.rtd",,"OPEN_INT","."&amp;S$2&amp;S$1&amp;"C"&amp;$A23)*RTD("tos.rtd",,"GAMMA","."&amp;S$2&amp;S$1&amp;"C"&amp;$A23)+$A$4*$A$4*RTD("tos.rtd",,"OPEN_INT","."&amp;S$2&amp;S$1&amp;"P"&amp;$A23)*RTD("tos.rtd",,"GAMMA","."&amp;S$2&amp;S$1&amp;"P"&amp;$A23))/1000000,($A$4*$A$4*RTD("tos.rtd",,"OPEN_INT","."&amp;S$2&amp;S$1&amp;"C"&amp;$A23)*RTD("tos.rtd",,"GAMMA","."&amp;S$2&amp;S$1&amp;"C"&amp;$A23)-$A$4*$A$4*RTD("tos.rtd",,"OPEN_INT","."&amp;S$2&amp;S$1&amp;"P"&amp;$A23)*RTD("tos.rtd",,"GAMMA","."&amp;S$2&amp;S$1&amp;"P"&amp;$A23))/1000000),0),IF($A$2="SKEW",IFERROR(VALUE(IF(RTD("tos.rtd",,"IMPL_VOL","."&amp;S$2&amp;S$1&amp;"P"&amp;$A23)="N/A",0,RTD("tos.rtd",,"IMPL_VOL","."&amp;S$2&amp;S$1&amp;"P"&amp;$A23))),0)-IFERROR(VALUE(IF(RTD("tos.rtd",,"IMPL_VOL","."&amp;S$2&amp;S$1&amp;"C"&amp;$A23)="N/A",0,RTD("tos.rtd",,"IMPL_VOL","."&amp;S$2&amp;S$1&amp;"C"&amp;$A23))),0),IF($A$2="MAXPAIN",IF($A$4&gt;$A23,($A$4-$A23)*IF(RTD("tos.rtd",,"OPEN_INT","."&amp;S$2&amp;S$1&amp;"C"&amp;$A23)="N/A",0,RTD("tos.rtd",,"OPEN_INT","."&amp;S$2&amp;S$1&amp;"C"&amp;$A23)),0)+IF($A$4&lt;$A23,($A$5-$A$4)*IF(RTD("tos.rtd",,"OPEN_INT","."&amp;S$2&amp;S$1&amp;"P"&amp;$A23)="N/A",0,RTD("tos.rtd",,"OPEN_INT","."&amp;S$2&amp;S$1&amp;"P"&amp;$A23)),0),IF($X$1="ABS",IF(RTD("tos.rtd",,$A$2,"."&amp;S$2&amp;S$1&amp;"C"&amp;$A23)="N/A",0,RTD("tos.rtd",,$A$2,"."&amp;S$2&amp;S$1&amp;"C"&amp;$A23))+IF(RTD("tos.rtd",,$A$2,"."&amp;S$2&amp;S$1&amp;"P"&amp;$A23)="N/A",0,RTD("tos.rtd",,$A$2,"."&amp;S$2&amp;S$1&amp;"P"&amp;$A23)),IF(RTD("tos.rtd",,$A$2,"."&amp;S$2&amp;S$1&amp;"C"&amp;$A23)="N/A",0,RTD("tos.rtd",,$A$2,"."&amp;S$2&amp;S$1&amp;"C"&amp;$A23))-IF(RTD("tos.rtd",,$A$2,"."&amp;S$2&amp;S$1&amp;"P"&amp;$A23)="N/A",0,RTD("tos.rtd",,$A$2,"."&amp;S$2&amp;S$1&amp;"P"&amp;$A23))))))))))</f>
        <v>0</v>
      </c>
      <c r="T23" s="12">
        <f ca="1">IF($A$2="PREMIUM_OI",IFERROR(IF($X$1="ABS",(100*RTD("tos.rtd",,"OPEN_INT","."&amp;T$2&amp;T$1&amp;"C"&amp;$A23)*RTD("tos.rtd",,"LAST","."&amp;T$2&amp;T$1&amp;"C"&amp;$A23)+100*RTD("tos.rtd",,"OPEN_INT","."&amp;T$2&amp;T$1&amp;"P"&amp;$A23)*RTD("tos.rtd",,"LAST","."&amp;T$2&amp;T$1&amp;"P"&amp;$A23))/1000000,(100*RTD("tos.rtd",,"OPEN_INT","."&amp;T$2&amp;T$1&amp;"C"&amp;$A23)*RTD("tos.rtd",,"LAST","."&amp;T$2&amp;T$1&amp;"C"&amp;$A23)-100*RTD("tos.rtd",,"OPEN_INT","."&amp;T$2&amp;T$1&amp;"P"&amp;$A23)*RTD("tos.rtd",,"LAST","."&amp;T$2&amp;T$1&amp;"P"&amp;$A23))/1000000),0),IF($A$2="PREMIUM",IFERROR(IF($X$1="ABS",(100*RTD("tos.rtd",,"VOLUME","."&amp;T$2&amp;T$1&amp;"C"&amp;$A23)*RTD("tos.rtd",,"LAST","."&amp;T$2&amp;T$1&amp;"C"&amp;$A23)+100*RTD("tos.rtd",,"VOLUME","."&amp;T$2&amp;T$1&amp;"P"&amp;$A23)*RTD("tos.rtd",,"LAST","."&amp;T$2&amp;T$1&amp;"P"&amp;$A23))/1000000,(100*RTD("tos.rtd",,"VOLUME","."&amp;T$2&amp;T$1&amp;"C"&amp;$A23)*RTD("tos.rtd",,"LAST","."&amp;T$2&amp;T$1&amp;"C"&amp;$A23)-100*RTD("tos.rtd",,"VOLUME","."&amp;T$2&amp;T$1&amp;"P"&amp;$A23)*RTD("tos.rtd",,"LAST","."&amp;T$2&amp;T$1&amp;"P"&amp;$A23))/1000000),0),IF($A$2="DEX",IFERROR(IF($X$1="ABS",(100*RTD("tos.rtd",,"OPEN_INT","."&amp;T$2&amp;T$1&amp;"C"&amp;$A23)*RTD("tos.rtd",,"DELTA","."&amp;T$2&amp;T$1&amp;"C"&amp;$A23)+100*RTD("tos.rtd",,"OPEN_INT","."&amp;T$2&amp;T$1&amp;"P"&amp;$A23)*RTD("tos.rtd",,"DELTA","."&amp;T$2&amp;T$1&amp;"P"&amp;$A23))/1000,(100*RTD("tos.rtd",,"OPEN_INT","."&amp;T$2&amp;T$1&amp;"C"&amp;$A23)*RTD("tos.rtd",,"DELTA","."&amp;T$2&amp;T$1&amp;"C"&amp;$A23)-100*RTD("tos.rtd",,"OPEN_INT","."&amp;T$2&amp;T$1&amp;"P"&amp;$A23)*RTD("tos.rtd",,"DELTA","."&amp;T$2&amp;T$1&amp;"P"&amp;$A23))/1000),0),IF($A$2="VEX",IFERROR(IF($X$1="ABS",($A$4*$A$4*RTD("tos.rtd",,"VOLUME","."&amp;T$2&amp;T$1&amp;"C"&amp;$A23)*RTD("tos.rtd",,"GAMMA","."&amp;T$2&amp;T$1&amp;"C"&amp;$A23)+$A$4*$A$4*RTD("tos.rtd",,"VOLUME","."&amp;T$2&amp;T$1&amp;"P"&amp;$A23)*RTD("tos.rtd",,"GAMMA","."&amp;T$2&amp;T$1&amp;"P"&amp;$A23))/1000000,($A$4*$A$4*RTD("tos.rtd",,"VOLUME","."&amp;T$2&amp;T$1&amp;"C"&amp;$A23)*RTD("tos.rtd",,"GAMMA","."&amp;T$2&amp;T$1&amp;"C"&amp;$A23)-$A$4*$A$4*RTD("tos.rtd",,"VOLUME","."&amp;T$2&amp;T$1&amp;"P"&amp;$A23)*RTD("tos.rtd",,"GAMMA","."&amp;T$2&amp;T$1&amp;"P"&amp;$A23))/1000000),0),IF($A$2="GEX",IFERROR(IF($X$1="ABS",($A$4*$A$4*RTD("tos.rtd",,"OPEN_INT","."&amp;T$2&amp;T$1&amp;"C"&amp;$A23)*RTD("tos.rtd",,"GAMMA","."&amp;T$2&amp;T$1&amp;"C"&amp;$A23)+$A$4*$A$4*RTD("tos.rtd",,"OPEN_INT","."&amp;T$2&amp;T$1&amp;"P"&amp;$A23)*RTD("tos.rtd",,"GAMMA","."&amp;T$2&amp;T$1&amp;"P"&amp;$A23))/1000000,($A$4*$A$4*RTD("tos.rtd",,"OPEN_INT","."&amp;T$2&amp;T$1&amp;"C"&amp;$A23)*RTD("tos.rtd",,"GAMMA","."&amp;T$2&amp;T$1&amp;"C"&amp;$A23)-$A$4*$A$4*RTD("tos.rtd",,"OPEN_INT","."&amp;T$2&amp;T$1&amp;"P"&amp;$A23)*RTD("tos.rtd",,"GAMMA","."&amp;T$2&amp;T$1&amp;"P"&amp;$A23))/1000000),0),IF($A$2="SKEW",IFERROR(VALUE(IF(RTD("tos.rtd",,"IMPL_VOL","."&amp;T$2&amp;T$1&amp;"P"&amp;$A23)="N/A",0,RTD("tos.rtd",,"IMPL_VOL","."&amp;T$2&amp;T$1&amp;"P"&amp;$A23))),0)-IFERROR(VALUE(IF(RTD("tos.rtd",,"IMPL_VOL","."&amp;T$2&amp;T$1&amp;"C"&amp;$A23)="N/A",0,RTD("tos.rtd",,"IMPL_VOL","."&amp;T$2&amp;T$1&amp;"C"&amp;$A23))),0),IF($A$2="MAXPAIN",IF($A$4&gt;$A23,($A$4-$A23)*IF(RTD("tos.rtd",,"OPEN_INT","."&amp;T$2&amp;T$1&amp;"C"&amp;$A23)="N/A",0,RTD("tos.rtd",,"OPEN_INT","."&amp;T$2&amp;T$1&amp;"C"&amp;$A23)),0)+IF($A$4&lt;$A23,($A$5-$A$4)*IF(RTD("tos.rtd",,"OPEN_INT","."&amp;T$2&amp;T$1&amp;"P"&amp;$A23)="N/A",0,RTD("tos.rtd",,"OPEN_INT","."&amp;T$2&amp;T$1&amp;"P"&amp;$A23)),0),IF($X$1="ABS",IF(RTD("tos.rtd",,$A$2,"."&amp;T$2&amp;T$1&amp;"C"&amp;$A23)="N/A",0,RTD("tos.rtd",,$A$2,"."&amp;T$2&amp;T$1&amp;"C"&amp;$A23))+IF(RTD("tos.rtd",,$A$2,"."&amp;T$2&amp;T$1&amp;"P"&amp;$A23)="N/A",0,RTD("tos.rtd",,$A$2,"."&amp;T$2&amp;T$1&amp;"P"&amp;$A23)),IF(RTD("tos.rtd",,$A$2,"."&amp;T$2&amp;T$1&amp;"C"&amp;$A23)="N/A",0,RTD("tos.rtd",,$A$2,"."&amp;T$2&amp;T$1&amp;"C"&amp;$A23))-IF(RTD("tos.rtd",,$A$2,"."&amp;T$2&amp;T$1&amp;"P"&amp;$A23)="N/A",0,RTD("tos.rtd",,$A$2,"."&amp;T$2&amp;T$1&amp;"P"&amp;$A23))))))))))</f>
        <v>0</v>
      </c>
      <c r="U23" s="12">
        <f ca="1">IF($A$2="PREMIUM_OI",IFERROR(IF($X$1="ABS",(100*RTD("tos.rtd",,"OPEN_INT","."&amp;U$2&amp;U$1&amp;"C"&amp;$A23)*RTD("tos.rtd",,"LAST","."&amp;U$2&amp;U$1&amp;"C"&amp;$A23)+100*RTD("tos.rtd",,"OPEN_INT","."&amp;U$2&amp;U$1&amp;"P"&amp;$A23)*RTD("tos.rtd",,"LAST","."&amp;U$2&amp;U$1&amp;"P"&amp;$A23))/1000000,(100*RTD("tos.rtd",,"OPEN_INT","."&amp;U$2&amp;U$1&amp;"C"&amp;$A23)*RTD("tos.rtd",,"LAST","."&amp;U$2&amp;U$1&amp;"C"&amp;$A23)-100*RTD("tos.rtd",,"OPEN_INT","."&amp;U$2&amp;U$1&amp;"P"&amp;$A23)*RTD("tos.rtd",,"LAST","."&amp;U$2&amp;U$1&amp;"P"&amp;$A23))/1000000),0),IF($A$2="PREMIUM",IFERROR(IF($X$1="ABS",(100*RTD("tos.rtd",,"VOLUME","."&amp;U$2&amp;U$1&amp;"C"&amp;$A23)*RTD("tos.rtd",,"LAST","."&amp;U$2&amp;U$1&amp;"C"&amp;$A23)+100*RTD("tos.rtd",,"VOLUME","."&amp;U$2&amp;U$1&amp;"P"&amp;$A23)*RTD("tos.rtd",,"LAST","."&amp;U$2&amp;U$1&amp;"P"&amp;$A23))/1000000,(100*RTD("tos.rtd",,"VOLUME","."&amp;U$2&amp;U$1&amp;"C"&amp;$A23)*RTD("tos.rtd",,"LAST","."&amp;U$2&amp;U$1&amp;"C"&amp;$A23)-100*RTD("tos.rtd",,"VOLUME","."&amp;U$2&amp;U$1&amp;"P"&amp;$A23)*RTD("tos.rtd",,"LAST","."&amp;U$2&amp;U$1&amp;"P"&amp;$A23))/1000000),0),IF($A$2="DEX",IFERROR(IF($X$1="ABS",(100*RTD("tos.rtd",,"OPEN_INT","."&amp;U$2&amp;U$1&amp;"C"&amp;$A23)*RTD("tos.rtd",,"DELTA","."&amp;U$2&amp;U$1&amp;"C"&amp;$A23)+100*RTD("tos.rtd",,"OPEN_INT","."&amp;U$2&amp;U$1&amp;"P"&amp;$A23)*RTD("tos.rtd",,"DELTA","."&amp;U$2&amp;U$1&amp;"P"&amp;$A23))/1000,(100*RTD("tos.rtd",,"OPEN_INT","."&amp;U$2&amp;U$1&amp;"C"&amp;$A23)*RTD("tos.rtd",,"DELTA","."&amp;U$2&amp;U$1&amp;"C"&amp;$A23)-100*RTD("tos.rtd",,"OPEN_INT","."&amp;U$2&amp;U$1&amp;"P"&amp;$A23)*RTD("tos.rtd",,"DELTA","."&amp;U$2&amp;U$1&amp;"P"&amp;$A23))/1000),0),IF($A$2="VEX",IFERROR(IF($X$1="ABS",($A$4*$A$4*RTD("tos.rtd",,"VOLUME","."&amp;U$2&amp;U$1&amp;"C"&amp;$A23)*RTD("tos.rtd",,"GAMMA","."&amp;U$2&amp;U$1&amp;"C"&amp;$A23)+$A$4*$A$4*RTD("tos.rtd",,"VOLUME","."&amp;U$2&amp;U$1&amp;"P"&amp;$A23)*RTD("tos.rtd",,"GAMMA","."&amp;U$2&amp;U$1&amp;"P"&amp;$A23))/1000000,($A$4*$A$4*RTD("tos.rtd",,"VOLUME","."&amp;U$2&amp;U$1&amp;"C"&amp;$A23)*RTD("tos.rtd",,"GAMMA","."&amp;U$2&amp;U$1&amp;"C"&amp;$A23)-$A$4*$A$4*RTD("tos.rtd",,"VOLUME","."&amp;U$2&amp;U$1&amp;"P"&amp;$A23)*RTD("tos.rtd",,"GAMMA","."&amp;U$2&amp;U$1&amp;"P"&amp;$A23))/1000000),0),IF($A$2="GEX",IFERROR(IF($X$1="ABS",($A$4*$A$4*RTD("tos.rtd",,"OPEN_INT","."&amp;U$2&amp;U$1&amp;"C"&amp;$A23)*RTD("tos.rtd",,"GAMMA","."&amp;U$2&amp;U$1&amp;"C"&amp;$A23)+$A$4*$A$4*RTD("tos.rtd",,"OPEN_INT","."&amp;U$2&amp;U$1&amp;"P"&amp;$A23)*RTD("tos.rtd",,"GAMMA","."&amp;U$2&amp;U$1&amp;"P"&amp;$A23))/1000000,($A$4*$A$4*RTD("tos.rtd",,"OPEN_INT","."&amp;U$2&amp;U$1&amp;"C"&amp;$A23)*RTD("tos.rtd",,"GAMMA","."&amp;U$2&amp;U$1&amp;"C"&amp;$A23)-$A$4*$A$4*RTD("tos.rtd",,"OPEN_INT","."&amp;U$2&amp;U$1&amp;"P"&amp;$A23)*RTD("tos.rtd",,"GAMMA","."&amp;U$2&amp;U$1&amp;"P"&amp;$A23))/1000000),0),IF($A$2="SKEW",IFERROR(VALUE(IF(RTD("tos.rtd",,"IMPL_VOL","."&amp;U$2&amp;U$1&amp;"P"&amp;$A23)="N/A",0,RTD("tos.rtd",,"IMPL_VOL","."&amp;U$2&amp;U$1&amp;"P"&amp;$A23))),0)-IFERROR(VALUE(IF(RTD("tos.rtd",,"IMPL_VOL","."&amp;U$2&amp;U$1&amp;"C"&amp;$A23)="N/A",0,RTD("tos.rtd",,"IMPL_VOL","."&amp;U$2&amp;U$1&amp;"C"&amp;$A23))),0),IF($A$2="MAXPAIN",IF($A$4&gt;$A23,($A$4-$A23)*IF(RTD("tos.rtd",,"OPEN_INT","."&amp;U$2&amp;U$1&amp;"C"&amp;$A23)="N/A",0,RTD("tos.rtd",,"OPEN_INT","."&amp;U$2&amp;U$1&amp;"C"&amp;$A23)),0)+IF($A$4&lt;$A23,($A$5-$A$4)*IF(RTD("tos.rtd",,"OPEN_INT","."&amp;U$2&amp;U$1&amp;"P"&amp;$A23)="N/A",0,RTD("tos.rtd",,"OPEN_INT","."&amp;U$2&amp;U$1&amp;"P"&amp;$A23)),0),IF($X$1="ABS",IF(RTD("tos.rtd",,$A$2,"."&amp;U$2&amp;U$1&amp;"C"&amp;$A23)="N/A",0,RTD("tos.rtd",,$A$2,"."&amp;U$2&amp;U$1&amp;"C"&amp;$A23))+IF(RTD("tos.rtd",,$A$2,"."&amp;U$2&amp;U$1&amp;"P"&amp;$A23)="N/A",0,RTD("tos.rtd",,$A$2,"."&amp;U$2&amp;U$1&amp;"P"&amp;$A23)),IF(RTD("tos.rtd",,$A$2,"."&amp;U$2&amp;U$1&amp;"C"&amp;$A23)="N/A",0,RTD("tos.rtd",,$A$2,"."&amp;U$2&amp;U$1&amp;"C"&amp;$A23))-IF(RTD("tos.rtd",,$A$2,"."&amp;U$2&amp;U$1&amp;"P"&amp;$A23)="N/A",0,RTD("tos.rtd",,$A$2,"."&amp;U$2&amp;U$1&amp;"P"&amp;$A23))))))))))</f>
        <v>0</v>
      </c>
      <c r="V23" s="12">
        <f ca="1">IF($A$2="PREMIUM_OI",IFERROR(IF($X$1="ABS",(100*RTD("tos.rtd",,"OPEN_INT","."&amp;V$2&amp;V$1&amp;"C"&amp;$A23)*RTD("tos.rtd",,"LAST","."&amp;V$2&amp;V$1&amp;"C"&amp;$A23)+100*RTD("tos.rtd",,"OPEN_INT","."&amp;V$2&amp;V$1&amp;"P"&amp;$A23)*RTD("tos.rtd",,"LAST","."&amp;V$2&amp;V$1&amp;"P"&amp;$A23))/1000000,(100*RTD("tos.rtd",,"OPEN_INT","."&amp;V$2&amp;V$1&amp;"C"&amp;$A23)*RTD("tos.rtd",,"LAST","."&amp;V$2&amp;V$1&amp;"C"&amp;$A23)-100*RTD("tos.rtd",,"OPEN_INT","."&amp;V$2&amp;V$1&amp;"P"&amp;$A23)*RTD("tos.rtd",,"LAST","."&amp;V$2&amp;V$1&amp;"P"&amp;$A23))/1000000),0),IF($A$2="PREMIUM",IFERROR(IF($X$1="ABS",(100*RTD("tos.rtd",,"VOLUME","."&amp;V$2&amp;V$1&amp;"C"&amp;$A23)*RTD("tos.rtd",,"LAST","."&amp;V$2&amp;V$1&amp;"C"&amp;$A23)+100*RTD("tos.rtd",,"VOLUME","."&amp;V$2&amp;V$1&amp;"P"&amp;$A23)*RTD("tos.rtd",,"LAST","."&amp;V$2&amp;V$1&amp;"P"&amp;$A23))/1000000,(100*RTD("tos.rtd",,"VOLUME","."&amp;V$2&amp;V$1&amp;"C"&amp;$A23)*RTD("tos.rtd",,"LAST","."&amp;V$2&amp;V$1&amp;"C"&amp;$A23)-100*RTD("tos.rtd",,"VOLUME","."&amp;V$2&amp;V$1&amp;"P"&amp;$A23)*RTD("tos.rtd",,"LAST","."&amp;V$2&amp;V$1&amp;"P"&amp;$A23))/1000000),0),IF($A$2="DEX",IFERROR(IF($X$1="ABS",(100*RTD("tos.rtd",,"OPEN_INT","."&amp;V$2&amp;V$1&amp;"C"&amp;$A23)*RTD("tos.rtd",,"DELTA","."&amp;V$2&amp;V$1&amp;"C"&amp;$A23)+100*RTD("tos.rtd",,"OPEN_INT","."&amp;V$2&amp;V$1&amp;"P"&amp;$A23)*RTD("tos.rtd",,"DELTA","."&amp;V$2&amp;V$1&amp;"P"&amp;$A23))/1000,(100*RTD("tos.rtd",,"OPEN_INT","."&amp;V$2&amp;V$1&amp;"C"&amp;$A23)*RTD("tos.rtd",,"DELTA","."&amp;V$2&amp;V$1&amp;"C"&amp;$A23)-100*RTD("tos.rtd",,"OPEN_INT","."&amp;V$2&amp;V$1&amp;"P"&amp;$A23)*RTD("tos.rtd",,"DELTA","."&amp;V$2&amp;V$1&amp;"P"&amp;$A23))/1000),0),IF($A$2="VEX",IFERROR(IF($X$1="ABS",($A$4*$A$4*RTD("tos.rtd",,"VOLUME","."&amp;V$2&amp;V$1&amp;"C"&amp;$A23)*RTD("tos.rtd",,"GAMMA","."&amp;V$2&amp;V$1&amp;"C"&amp;$A23)+$A$4*$A$4*RTD("tos.rtd",,"VOLUME","."&amp;V$2&amp;V$1&amp;"P"&amp;$A23)*RTD("tos.rtd",,"GAMMA","."&amp;V$2&amp;V$1&amp;"P"&amp;$A23))/1000000,($A$4*$A$4*RTD("tos.rtd",,"VOLUME","."&amp;V$2&amp;V$1&amp;"C"&amp;$A23)*RTD("tos.rtd",,"GAMMA","."&amp;V$2&amp;V$1&amp;"C"&amp;$A23)-$A$4*$A$4*RTD("tos.rtd",,"VOLUME","."&amp;V$2&amp;V$1&amp;"P"&amp;$A23)*RTD("tos.rtd",,"GAMMA","."&amp;V$2&amp;V$1&amp;"P"&amp;$A23))/1000000),0),IF($A$2="GEX",IFERROR(IF($X$1="ABS",($A$4*$A$4*RTD("tos.rtd",,"OPEN_INT","."&amp;V$2&amp;V$1&amp;"C"&amp;$A23)*RTD("tos.rtd",,"GAMMA","."&amp;V$2&amp;V$1&amp;"C"&amp;$A23)+$A$4*$A$4*RTD("tos.rtd",,"OPEN_INT","."&amp;V$2&amp;V$1&amp;"P"&amp;$A23)*RTD("tos.rtd",,"GAMMA","."&amp;V$2&amp;V$1&amp;"P"&amp;$A23))/1000000,($A$4*$A$4*RTD("tos.rtd",,"OPEN_INT","."&amp;V$2&amp;V$1&amp;"C"&amp;$A23)*RTD("tos.rtd",,"GAMMA","."&amp;V$2&amp;V$1&amp;"C"&amp;$A23)-$A$4*$A$4*RTD("tos.rtd",,"OPEN_INT","."&amp;V$2&amp;V$1&amp;"P"&amp;$A23)*RTD("tos.rtd",,"GAMMA","."&amp;V$2&amp;V$1&amp;"P"&amp;$A23))/1000000),0),IF($A$2="SKEW",IFERROR(VALUE(IF(RTD("tos.rtd",,"IMPL_VOL","."&amp;V$2&amp;V$1&amp;"P"&amp;$A23)="N/A",0,RTD("tos.rtd",,"IMPL_VOL","."&amp;V$2&amp;V$1&amp;"P"&amp;$A23))),0)-IFERROR(VALUE(IF(RTD("tos.rtd",,"IMPL_VOL","."&amp;V$2&amp;V$1&amp;"C"&amp;$A23)="N/A",0,RTD("tos.rtd",,"IMPL_VOL","."&amp;V$2&amp;V$1&amp;"C"&amp;$A23))),0),IF($A$2="MAXPAIN",IF($A$4&gt;$A23,($A$4-$A23)*IF(RTD("tos.rtd",,"OPEN_INT","."&amp;V$2&amp;V$1&amp;"C"&amp;$A23)="N/A",0,RTD("tos.rtd",,"OPEN_INT","."&amp;V$2&amp;V$1&amp;"C"&amp;$A23)),0)+IF($A$4&lt;$A23,($A$5-$A$4)*IF(RTD("tos.rtd",,"OPEN_INT","."&amp;V$2&amp;V$1&amp;"P"&amp;$A23)="N/A",0,RTD("tos.rtd",,"OPEN_INT","."&amp;V$2&amp;V$1&amp;"P"&amp;$A23)),0),IF($X$1="ABS",IF(RTD("tos.rtd",,$A$2,"."&amp;V$2&amp;V$1&amp;"C"&amp;$A23)="N/A",0,RTD("tos.rtd",,$A$2,"."&amp;V$2&amp;V$1&amp;"C"&amp;$A23))+IF(RTD("tos.rtd",,$A$2,"."&amp;V$2&amp;V$1&amp;"P"&amp;$A23)="N/A",0,RTD("tos.rtd",,$A$2,"."&amp;V$2&amp;V$1&amp;"P"&amp;$A23)),IF(RTD("tos.rtd",,$A$2,"."&amp;V$2&amp;V$1&amp;"C"&amp;$A23)="N/A",0,RTD("tos.rtd",,$A$2,"."&amp;V$2&amp;V$1&amp;"C"&amp;$A23))-IF(RTD("tos.rtd",,$A$2,"."&amp;V$2&amp;V$1&amp;"P"&amp;$A23)="N/A",0,RTD("tos.rtd",,$A$2,"."&amp;V$2&amp;V$1&amp;"P"&amp;$A23))))))))))</f>
        <v>0</v>
      </c>
      <c r="W23" s="12">
        <f ca="1">IF($A$2="PREMIUM_OI",IFERROR(IF($X$1="ABS",(100*RTD("tos.rtd",,"OPEN_INT","."&amp;W$2&amp;W$1&amp;"C"&amp;$A23)*RTD("tos.rtd",,"LAST","."&amp;W$2&amp;W$1&amp;"C"&amp;$A23)+100*RTD("tos.rtd",,"OPEN_INT","."&amp;W$2&amp;W$1&amp;"P"&amp;$A23)*RTD("tos.rtd",,"LAST","."&amp;W$2&amp;W$1&amp;"P"&amp;$A23))/1000000,(100*RTD("tos.rtd",,"OPEN_INT","."&amp;W$2&amp;W$1&amp;"C"&amp;$A23)*RTD("tos.rtd",,"LAST","."&amp;W$2&amp;W$1&amp;"C"&amp;$A23)-100*RTD("tos.rtd",,"OPEN_INT","."&amp;W$2&amp;W$1&amp;"P"&amp;$A23)*RTD("tos.rtd",,"LAST","."&amp;W$2&amp;W$1&amp;"P"&amp;$A23))/1000000),0),IF($A$2="PREMIUM",IFERROR(IF($X$1="ABS",(100*RTD("tos.rtd",,"VOLUME","."&amp;W$2&amp;W$1&amp;"C"&amp;$A23)*RTD("tos.rtd",,"LAST","."&amp;W$2&amp;W$1&amp;"C"&amp;$A23)+100*RTD("tos.rtd",,"VOLUME","."&amp;W$2&amp;W$1&amp;"P"&amp;$A23)*RTD("tos.rtd",,"LAST","."&amp;W$2&amp;W$1&amp;"P"&amp;$A23))/1000000,(100*RTD("tos.rtd",,"VOLUME","."&amp;W$2&amp;W$1&amp;"C"&amp;$A23)*RTD("tos.rtd",,"LAST","."&amp;W$2&amp;W$1&amp;"C"&amp;$A23)-100*RTD("tos.rtd",,"VOLUME","."&amp;W$2&amp;W$1&amp;"P"&amp;$A23)*RTD("tos.rtd",,"LAST","."&amp;W$2&amp;W$1&amp;"P"&amp;$A23))/1000000),0),IF($A$2="DEX",IFERROR(IF($X$1="ABS",(100*RTD("tos.rtd",,"OPEN_INT","."&amp;W$2&amp;W$1&amp;"C"&amp;$A23)*RTD("tos.rtd",,"DELTA","."&amp;W$2&amp;W$1&amp;"C"&amp;$A23)+100*RTD("tos.rtd",,"OPEN_INT","."&amp;W$2&amp;W$1&amp;"P"&amp;$A23)*RTD("tos.rtd",,"DELTA","."&amp;W$2&amp;W$1&amp;"P"&amp;$A23))/1000,(100*RTD("tos.rtd",,"OPEN_INT","."&amp;W$2&amp;W$1&amp;"C"&amp;$A23)*RTD("tos.rtd",,"DELTA","."&amp;W$2&amp;W$1&amp;"C"&amp;$A23)-100*RTD("tos.rtd",,"OPEN_INT","."&amp;W$2&amp;W$1&amp;"P"&amp;$A23)*RTD("tos.rtd",,"DELTA","."&amp;W$2&amp;W$1&amp;"P"&amp;$A23))/1000),0),IF($A$2="VEX",IFERROR(IF($X$1="ABS",($A$4*$A$4*RTD("tos.rtd",,"VOLUME","."&amp;W$2&amp;W$1&amp;"C"&amp;$A23)*RTD("tos.rtd",,"GAMMA","."&amp;W$2&amp;W$1&amp;"C"&amp;$A23)+$A$4*$A$4*RTD("tos.rtd",,"VOLUME","."&amp;W$2&amp;W$1&amp;"P"&amp;$A23)*RTD("tos.rtd",,"GAMMA","."&amp;W$2&amp;W$1&amp;"P"&amp;$A23))/1000000,($A$4*$A$4*RTD("tos.rtd",,"VOLUME","."&amp;W$2&amp;W$1&amp;"C"&amp;$A23)*RTD("tos.rtd",,"GAMMA","."&amp;W$2&amp;W$1&amp;"C"&amp;$A23)-$A$4*$A$4*RTD("tos.rtd",,"VOLUME","."&amp;W$2&amp;W$1&amp;"P"&amp;$A23)*RTD("tos.rtd",,"GAMMA","."&amp;W$2&amp;W$1&amp;"P"&amp;$A23))/1000000),0),IF($A$2="GEX",IFERROR(IF($X$1="ABS",($A$4*$A$4*RTD("tos.rtd",,"OPEN_INT","."&amp;W$2&amp;W$1&amp;"C"&amp;$A23)*RTD("tos.rtd",,"GAMMA","."&amp;W$2&amp;W$1&amp;"C"&amp;$A23)+$A$4*$A$4*RTD("tos.rtd",,"OPEN_INT","."&amp;W$2&amp;W$1&amp;"P"&amp;$A23)*RTD("tos.rtd",,"GAMMA","."&amp;W$2&amp;W$1&amp;"P"&amp;$A23))/1000000,($A$4*$A$4*RTD("tos.rtd",,"OPEN_INT","."&amp;W$2&amp;W$1&amp;"C"&amp;$A23)*RTD("tos.rtd",,"GAMMA","."&amp;W$2&amp;W$1&amp;"C"&amp;$A23)-$A$4*$A$4*RTD("tos.rtd",,"OPEN_INT","."&amp;W$2&amp;W$1&amp;"P"&amp;$A23)*RTD("tos.rtd",,"GAMMA","."&amp;W$2&amp;W$1&amp;"P"&amp;$A23))/1000000),0),IF($A$2="SKEW",IFERROR(VALUE(IF(RTD("tos.rtd",,"IMPL_VOL","."&amp;W$2&amp;W$1&amp;"P"&amp;$A23)="N/A",0,RTD("tos.rtd",,"IMPL_VOL","."&amp;W$2&amp;W$1&amp;"P"&amp;$A23))),0)-IFERROR(VALUE(IF(RTD("tos.rtd",,"IMPL_VOL","."&amp;W$2&amp;W$1&amp;"C"&amp;$A23)="N/A",0,RTD("tos.rtd",,"IMPL_VOL","."&amp;W$2&amp;W$1&amp;"C"&amp;$A23))),0),IF($A$2="MAXPAIN",IF($A$4&gt;$A23,($A$4-$A23)*IF(RTD("tos.rtd",,"OPEN_INT","."&amp;W$2&amp;W$1&amp;"C"&amp;$A23)="N/A",0,RTD("tos.rtd",,"OPEN_INT","."&amp;W$2&amp;W$1&amp;"C"&amp;$A23)),0)+IF($A$4&lt;$A23,($A$5-$A$4)*IF(RTD("tos.rtd",,"OPEN_INT","."&amp;W$2&amp;W$1&amp;"P"&amp;$A23)="N/A",0,RTD("tos.rtd",,"OPEN_INT","."&amp;W$2&amp;W$1&amp;"P"&amp;$A23)),0),IF($X$1="ABS",IF(RTD("tos.rtd",,$A$2,"."&amp;W$2&amp;W$1&amp;"C"&amp;$A23)="N/A",0,RTD("tos.rtd",,$A$2,"."&amp;W$2&amp;W$1&amp;"C"&amp;$A23))+IF(RTD("tos.rtd",,$A$2,"."&amp;W$2&amp;W$1&amp;"P"&amp;$A23)="N/A",0,RTD("tos.rtd",,$A$2,"."&amp;W$2&amp;W$1&amp;"P"&amp;$A23)),IF(RTD("tos.rtd",,$A$2,"."&amp;W$2&amp;W$1&amp;"C"&amp;$A23)="N/A",0,RTD("tos.rtd",,$A$2,"."&amp;W$2&amp;W$1&amp;"C"&amp;$A23))-IF(RTD("tos.rtd",,$A$2,"."&amp;W$2&amp;W$1&amp;"P"&amp;$A23)="N/A",0,RTD("tos.rtd",,$A$2,"."&amp;W$2&amp;W$1&amp;"P"&amp;$A23))))))))))</f>
        <v>0</v>
      </c>
      <c r="X23" s="57">
        <f t="shared" ca="1" si="7"/>
        <v>2518</v>
      </c>
      <c r="Y23" s="27">
        <f t="shared" ca="1" si="8"/>
        <v>2518</v>
      </c>
      <c r="Z23" s="27" t="b">
        <f t="shared" ca="1" si="9"/>
        <v>0</v>
      </c>
      <c r="AA23" s="27">
        <f t="shared" si="10"/>
        <v>80021950</v>
      </c>
      <c r="AB23" s="18">
        <f>MAX(0, $A23-AB$4)*IF(RTD("tos.rtd",,"OPEN_INT","."&amp;$AA$3&amp;$AA$4&amp;"C"&amp;AB$4)="N/A",0,RTD("tos.rtd",,"OPEN_INT","."&amp;$AA$3&amp;$AA$4&amp;"C"&amp;AB$4))*100 + MAX(0, AB$4-$A23)*IF(RTD("tos.rtd",,"OPEN_INT","."&amp;$AA$3&amp;$AA$4&amp;"P"&amp;AB$4)="N/A",0,RTD("tos.rtd",,"OPEN_INT","."&amp;$AA$3&amp;$AA$4&amp;"P"&amp;AB$4))*100</f>
        <v>0</v>
      </c>
      <c r="AC23" s="18">
        <f>MAX(0, $A23-AC$4)*IF(RTD("tos.rtd",,"OPEN_INT","."&amp;$AA$3&amp;$AA$4&amp;"C"&amp;AC$4)="N/A",0,RTD("tos.rtd",,"OPEN_INT","."&amp;$AA$3&amp;$AA$4&amp;"C"&amp;AC$4))*100 + MAX(0, AC$4-$A23)*IF(RTD("tos.rtd",,"OPEN_INT","."&amp;$AA$3&amp;$AA$4&amp;"P"&amp;AC$4)="N/A",0,RTD("tos.rtd",,"OPEN_INT","."&amp;$AA$3&amp;$AA$4&amp;"P"&amp;AC$4))*100</f>
        <v>0</v>
      </c>
      <c r="AD23" s="18">
        <f>MAX(0, $A23-AD$4)*IF(RTD("tos.rtd",,"OPEN_INT","."&amp;$AA$3&amp;$AA$4&amp;"C"&amp;AD$4)="N/A",0,RTD("tos.rtd",,"OPEN_INT","."&amp;$AA$3&amp;$AA$4&amp;"C"&amp;AD$4))*100 + MAX(0, AD$4-$A23)*IF(RTD("tos.rtd",,"OPEN_INT","."&amp;$AA$3&amp;$AA$4&amp;"P"&amp;AD$4)="N/A",0,RTD("tos.rtd",,"OPEN_INT","."&amp;$AA$3&amp;$AA$4&amp;"P"&amp;AD$4))*100</f>
        <v>0</v>
      </c>
      <c r="AE23" s="18">
        <f>MAX(0, $A23-AE$4)*IF(RTD("tos.rtd",,"OPEN_INT","."&amp;$AA$3&amp;$AA$4&amp;"C"&amp;AE$4)="N/A",0,RTD("tos.rtd",,"OPEN_INT","."&amp;$AA$3&amp;$AA$4&amp;"C"&amp;AE$4))*100 + MAX(0, AE$4-$A23)*IF(RTD("tos.rtd",,"OPEN_INT","."&amp;$AA$3&amp;$AA$4&amp;"P"&amp;AE$4)="N/A",0,RTD("tos.rtd",,"OPEN_INT","."&amp;$AA$3&amp;$AA$4&amp;"P"&amp;AE$4))*100</f>
        <v>0</v>
      </c>
      <c r="AF23" s="18">
        <f>MAX(0, $A23-AF$4)*IF(RTD("tos.rtd",,"OPEN_INT","."&amp;$AA$3&amp;$AA$4&amp;"C"&amp;AF$4)="N/A",0,RTD("tos.rtd",,"OPEN_INT","."&amp;$AA$3&amp;$AA$4&amp;"C"&amp;AF$4))*100 + MAX(0, AF$4-$A23)*IF(RTD("tos.rtd",,"OPEN_INT","."&amp;$AA$3&amp;$AA$4&amp;"P"&amp;AF$4)="N/A",0,RTD("tos.rtd",,"OPEN_INT","."&amp;$AA$3&amp;$AA$4&amp;"P"&amp;AF$4))*100</f>
        <v>0</v>
      </c>
      <c r="AG23" s="18">
        <f>MAX(0, $A23-AG$4)*IF(RTD("tos.rtd",,"OPEN_INT","."&amp;$AA$3&amp;$AA$4&amp;"C"&amp;AG$4)="N/A",0,RTD("tos.rtd",,"OPEN_INT","."&amp;$AA$3&amp;$AA$4&amp;"C"&amp;AG$4))*100 + MAX(0, AG$4-$A23)*IF(RTD("tos.rtd",,"OPEN_INT","."&amp;$AA$3&amp;$AA$4&amp;"P"&amp;AG$4)="N/A",0,RTD("tos.rtd",,"OPEN_INT","."&amp;$AA$3&amp;$AA$4&amp;"P"&amp;AG$4))*100</f>
        <v>0</v>
      </c>
      <c r="AH23" s="18">
        <f>MAX(0, $A23-AH$4)*IF(RTD("tos.rtd",,"OPEN_INT","."&amp;$AA$3&amp;$AA$4&amp;"C"&amp;AH$4)="N/A",0,RTD("tos.rtd",,"OPEN_INT","."&amp;$AA$3&amp;$AA$4&amp;"C"&amp;AH$4))*100 + MAX(0, AH$4-$A23)*IF(RTD("tos.rtd",,"OPEN_INT","."&amp;$AA$3&amp;$AA$4&amp;"P"&amp;AH$4)="N/A",0,RTD("tos.rtd",,"OPEN_INT","."&amp;$AA$3&amp;$AA$4&amp;"P"&amp;AH$4))*100</f>
        <v>0</v>
      </c>
      <c r="AI23" s="18">
        <f>MAX(0, $A23-AI$4)*IF(RTD("tos.rtd",,"OPEN_INT","."&amp;$AA$3&amp;$AA$4&amp;"C"&amp;AI$4)="N/A",0,RTD("tos.rtd",,"OPEN_INT","."&amp;$AA$3&amp;$AA$4&amp;"C"&amp;AI$4))*100 + MAX(0, AI$4-$A23)*IF(RTD("tos.rtd",,"OPEN_INT","."&amp;$AA$3&amp;$AA$4&amp;"P"&amp;AI$4)="N/A",0,RTD("tos.rtd",,"OPEN_INT","."&amp;$AA$3&amp;$AA$4&amp;"P"&amp;AI$4))*100</f>
        <v>1650</v>
      </c>
      <c r="AJ23" s="18">
        <f>MAX(0, $A23-AJ$4)*IF(RTD("tos.rtd",,"OPEN_INT","."&amp;$AA$3&amp;$AA$4&amp;"C"&amp;AJ$4)="N/A",0,RTD("tos.rtd",,"OPEN_INT","."&amp;$AA$3&amp;$AA$4&amp;"C"&amp;AJ$4))*100 + MAX(0, AJ$4-$A23)*IF(RTD("tos.rtd",,"OPEN_INT","."&amp;$AA$3&amp;$AA$4&amp;"P"&amp;AJ$4)="N/A",0,RTD("tos.rtd",,"OPEN_INT","."&amp;$AA$3&amp;$AA$4&amp;"P"&amp;AJ$4))*100</f>
        <v>4000</v>
      </c>
      <c r="AK23" s="18">
        <f>MAX(0, $A23-AK$4)*IF(RTD("tos.rtd",,"OPEN_INT","."&amp;$AA$3&amp;$AA$4&amp;"C"&amp;AK$4)="N/A",0,RTD("tos.rtd",,"OPEN_INT","."&amp;$AA$3&amp;$AA$4&amp;"C"&amp;AK$4))*100 + MAX(0, AK$4-$A23)*IF(RTD("tos.rtd",,"OPEN_INT","."&amp;$AA$3&amp;$AA$4&amp;"P"&amp;AK$4)="N/A",0,RTD("tos.rtd",,"OPEN_INT","."&amp;$AA$3&amp;$AA$4&amp;"P"&amp;AK$4))*100</f>
        <v>0</v>
      </c>
      <c r="AL23" s="18">
        <f>MAX(0, $A23-AL$4)*IF(RTD("tos.rtd",,"OPEN_INT","."&amp;$AA$3&amp;$AA$4&amp;"C"&amp;AL$4)="N/A",0,RTD("tos.rtd",,"OPEN_INT","."&amp;$AA$3&amp;$AA$4&amp;"C"&amp;AL$4))*100 + MAX(0, AL$4-$A23)*IF(RTD("tos.rtd",,"OPEN_INT","."&amp;$AA$3&amp;$AA$4&amp;"P"&amp;AL$4)="N/A",0,RTD("tos.rtd",,"OPEN_INT","."&amp;$AA$3&amp;$AA$4&amp;"P"&amp;AL$4))*100</f>
        <v>0</v>
      </c>
      <c r="AM23" s="18">
        <f>MAX(0, $A23-AM$4)*IF(RTD("tos.rtd",,"OPEN_INT","."&amp;$AA$3&amp;$AA$4&amp;"C"&amp;AM$4)="N/A",0,RTD("tos.rtd",,"OPEN_INT","."&amp;$AA$3&amp;$AA$4&amp;"C"&amp;AM$4))*100 + MAX(0, AM$4-$A23)*IF(RTD("tos.rtd",,"OPEN_INT","."&amp;$AA$3&amp;$AA$4&amp;"P"&amp;AM$4)="N/A",0,RTD("tos.rtd",,"OPEN_INT","."&amp;$AA$3&amp;$AA$4&amp;"P"&amp;AM$4))*100</f>
        <v>0</v>
      </c>
      <c r="AN23" s="18">
        <f>MAX(0, $A23-AN$4)*IF(RTD("tos.rtd",,"OPEN_INT","."&amp;$AA$3&amp;$AA$4&amp;"C"&amp;AN$4)="N/A",0,RTD("tos.rtd",,"OPEN_INT","."&amp;$AA$3&amp;$AA$4&amp;"C"&amp;AN$4))*100 + MAX(0, AN$4-$A23)*IF(RTD("tos.rtd",,"OPEN_INT","."&amp;$AA$3&amp;$AA$4&amp;"P"&amp;AN$4)="N/A",0,RTD("tos.rtd",,"OPEN_INT","."&amp;$AA$3&amp;$AA$4&amp;"P"&amp;AN$4))*100</f>
        <v>0</v>
      </c>
      <c r="AO23" s="18">
        <f>MAX(0, $A23-AO$4)*IF(RTD("tos.rtd",,"OPEN_INT","."&amp;$AA$3&amp;$AA$4&amp;"C"&amp;AO$4)="N/A",0,RTD("tos.rtd",,"OPEN_INT","."&amp;$AA$3&amp;$AA$4&amp;"C"&amp;AO$4))*100 + MAX(0, AO$4-$A23)*IF(RTD("tos.rtd",,"OPEN_INT","."&amp;$AA$3&amp;$AA$4&amp;"P"&amp;AO$4)="N/A",0,RTD("tos.rtd",,"OPEN_INT","."&amp;$AA$3&amp;$AA$4&amp;"P"&amp;AO$4))*100</f>
        <v>30000</v>
      </c>
      <c r="AP23" s="18">
        <f>MAX(0, $A23-AP$4)*IF(RTD("tos.rtd",,"OPEN_INT","."&amp;$AA$3&amp;$AA$4&amp;"C"&amp;AP$4)="N/A",0,RTD("tos.rtd",,"OPEN_INT","."&amp;$AA$3&amp;$AA$4&amp;"C"&amp;AP$4))*100 + MAX(0, AP$4-$A23)*IF(RTD("tos.rtd",,"OPEN_INT","."&amp;$AA$3&amp;$AA$4&amp;"P"&amp;AP$4)="N/A",0,RTD("tos.rtd",,"OPEN_INT","."&amp;$AA$3&amp;$AA$4&amp;"P"&amp;AP$4))*100</f>
        <v>0</v>
      </c>
      <c r="AQ23" s="18">
        <f>MAX(0, $A23-AQ$4)*IF(RTD("tos.rtd",,"OPEN_INT","."&amp;$AA$3&amp;$AA$4&amp;"C"&amp;AQ$4)="N/A",0,RTD("tos.rtd",,"OPEN_INT","."&amp;$AA$3&amp;$AA$4&amp;"C"&amp;AQ$4))*100 + MAX(0, AQ$4-$A23)*IF(RTD("tos.rtd",,"OPEN_INT","."&amp;$AA$3&amp;$AA$4&amp;"P"&amp;AQ$4)="N/A",0,RTD("tos.rtd",,"OPEN_INT","."&amp;$AA$3&amp;$AA$4&amp;"P"&amp;AQ$4))*100</f>
        <v>7950</v>
      </c>
      <c r="AR23" s="18">
        <f>MAX(0, $A23-AR$4)*IF(RTD("tos.rtd",,"OPEN_INT","."&amp;$AA$3&amp;$AA$4&amp;"C"&amp;AR$4)="N/A",0,RTD("tos.rtd",,"OPEN_INT","."&amp;$AA$3&amp;$AA$4&amp;"C"&amp;AR$4))*100 + MAX(0, AR$4-$A23)*IF(RTD("tos.rtd",,"OPEN_INT","."&amp;$AA$3&amp;$AA$4&amp;"P"&amp;AR$4)="N/A",0,RTD("tos.rtd",,"OPEN_INT","."&amp;$AA$3&amp;$AA$4&amp;"P"&amp;AR$4))*100</f>
        <v>600</v>
      </c>
      <c r="AS23" s="18">
        <f>MAX(0, $A23-AS$4)*IF(RTD("tos.rtd",,"OPEN_INT","."&amp;$AA$3&amp;$AA$4&amp;"C"&amp;AS$4)="N/A",0,RTD("tos.rtd",,"OPEN_INT","."&amp;$AA$3&amp;$AA$4&amp;"C"&amp;AS$4))*100 + MAX(0, AS$4-$A23)*IF(RTD("tos.rtd",,"OPEN_INT","."&amp;$AA$3&amp;$AA$4&amp;"P"&amp;AS$4)="N/A",0,RTD("tos.rtd",,"OPEN_INT","."&amp;$AA$3&amp;$AA$4&amp;"P"&amp;AS$4))*100</f>
        <v>3100</v>
      </c>
      <c r="AT23" s="18">
        <f>MAX(0, $A23-AT$4)*IF(RTD("tos.rtd",,"OPEN_INT","."&amp;$AA$3&amp;$AA$4&amp;"C"&amp;AT$4)="N/A",0,RTD("tos.rtd",,"OPEN_INT","."&amp;$AA$3&amp;$AA$4&amp;"C"&amp;AT$4))*100 + MAX(0, AT$4-$A23)*IF(RTD("tos.rtd",,"OPEN_INT","."&amp;$AA$3&amp;$AA$4&amp;"P"&amp;AT$4)="N/A",0,RTD("tos.rtd",,"OPEN_INT","."&amp;$AA$3&amp;$AA$4&amp;"P"&amp;AT$4))*100</f>
        <v>0</v>
      </c>
      <c r="AU23" s="18">
        <f>MAX(0, $A23-AU$4)*IF(RTD("tos.rtd",,"OPEN_INT","."&amp;$AA$3&amp;$AA$4&amp;"C"&amp;AU$4)="N/A",0,RTD("tos.rtd",,"OPEN_INT","."&amp;$AA$3&amp;$AA$4&amp;"C"&amp;AU$4))*100 + MAX(0, AU$4-$A23)*IF(RTD("tos.rtd",,"OPEN_INT","."&amp;$AA$3&amp;$AA$4&amp;"P"&amp;AU$4)="N/A",0,RTD("tos.rtd",,"OPEN_INT","."&amp;$AA$3&amp;$AA$4&amp;"P"&amp;AU$4))*100</f>
        <v>84150</v>
      </c>
      <c r="AV23" s="18">
        <f>MAX(0, $A23-AV$4)*IF(RTD("tos.rtd",,"OPEN_INT","."&amp;$AA$3&amp;$AA$4&amp;"C"&amp;AV$4)="N/A",0,RTD("tos.rtd",,"OPEN_INT","."&amp;$AA$3&amp;$AA$4&amp;"C"&amp;AV$4))*100 + MAX(0, AV$4-$A23)*IF(RTD("tos.rtd",,"OPEN_INT","."&amp;$AA$3&amp;$AA$4&amp;"P"&amp;AV$4)="N/A",0,RTD("tos.rtd",,"OPEN_INT","."&amp;$AA$3&amp;$AA$4&amp;"P"&amp;AV$4))*100</f>
        <v>188800</v>
      </c>
      <c r="AW23" s="18">
        <f>MAX(0, $A23-AW$4)*IF(RTD("tos.rtd",,"OPEN_INT","."&amp;$AA$3&amp;$AA$4&amp;"C"&amp;AW$4)="N/A",0,RTD("tos.rtd",,"OPEN_INT","."&amp;$AA$3&amp;$AA$4&amp;"C"&amp;AW$4))*100 + MAX(0, AW$4-$A23)*IF(RTD("tos.rtd",,"OPEN_INT","."&amp;$AA$3&amp;$AA$4&amp;"P"&amp;AW$4)="N/A",0,RTD("tos.rtd",,"OPEN_INT","."&amp;$AA$3&amp;$AA$4&amp;"P"&amp;AW$4))*100</f>
        <v>461250</v>
      </c>
      <c r="AX23" s="18">
        <f>MAX(0, $A23-AX$4)*IF(RTD("tos.rtd",,"OPEN_INT","."&amp;$AA$3&amp;$AA$4&amp;"C"&amp;AX$4)="N/A",0,RTD("tos.rtd",,"OPEN_INT","."&amp;$AA$3&amp;$AA$4&amp;"C"&amp;AX$4))*100 + MAX(0, AX$4-$A23)*IF(RTD("tos.rtd",,"OPEN_INT","."&amp;$AA$3&amp;$AA$4&amp;"P"&amp;AX$4)="N/A",0,RTD("tos.rtd",,"OPEN_INT","."&amp;$AA$3&amp;$AA$4&amp;"P"&amp;AX$4))*100</f>
        <v>850600</v>
      </c>
      <c r="AY23" s="18">
        <f>MAX(0, $A23-AY$4)*IF(RTD("tos.rtd",,"OPEN_INT","."&amp;$AA$3&amp;$AA$4&amp;"C"&amp;AY$4)="N/A",0,RTD("tos.rtd",,"OPEN_INT","."&amp;$AA$3&amp;$AA$4&amp;"C"&amp;AY$4))*100 + MAX(0, AY$4-$A23)*IF(RTD("tos.rtd",,"OPEN_INT","."&amp;$AA$3&amp;$AA$4&amp;"P"&amp;AY$4)="N/A",0,RTD("tos.rtd",,"OPEN_INT","."&amp;$AA$3&amp;$AA$4&amp;"P"&amp;AY$4))*100</f>
        <v>4887000</v>
      </c>
      <c r="AZ23" s="18">
        <f>MAX(0, $A23-AZ$4)*IF(RTD("tos.rtd",,"OPEN_INT","."&amp;$AA$3&amp;$AA$4&amp;"C"&amp;AZ$4)="N/A",0,RTD("tos.rtd",,"OPEN_INT","."&amp;$AA$3&amp;$AA$4&amp;"C"&amp;AZ$4))*100 + MAX(0, AZ$4-$A23)*IF(RTD("tos.rtd",,"OPEN_INT","."&amp;$AA$3&amp;$AA$4&amp;"P"&amp;AZ$4)="N/A",0,RTD("tos.rtd",,"OPEN_INT","."&amp;$AA$3&amp;$AA$4&amp;"P"&amp;AZ$4))*100</f>
        <v>2955000</v>
      </c>
      <c r="BA23" s="18">
        <f>MAX(0, $A23-BA$4)*IF(RTD("tos.rtd",,"OPEN_INT","."&amp;$AA$3&amp;$AA$4&amp;"C"&amp;BA$4)="N/A",0,RTD("tos.rtd",,"OPEN_INT","."&amp;$AA$3&amp;$AA$4&amp;"C"&amp;BA$4))*100 + MAX(0, BA$4-$A23)*IF(RTD("tos.rtd",,"OPEN_INT","."&amp;$AA$3&amp;$AA$4&amp;"P"&amp;BA$4)="N/A",0,RTD("tos.rtd",,"OPEN_INT","."&amp;$AA$3&amp;$AA$4&amp;"P"&amp;BA$4))*100</f>
        <v>10782450</v>
      </c>
      <c r="BB23" s="18">
        <f>MAX(0, $A23-BB$4)*IF(RTD("tos.rtd",,"OPEN_INT","."&amp;$AA$3&amp;$AA$4&amp;"C"&amp;BB$4)="N/A",0,RTD("tos.rtd",,"OPEN_INT","."&amp;$AA$3&amp;$AA$4&amp;"C"&amp;BB$4))*100 + MAX(0, BB$4-$A23)*IF(RTD("tos.rtd",,"OPEN_INT","."&amp;$AA$3&amp;$AA$4&amp;"P"&amp;BB$4)="N/A",0,RTD("tos.rtd",,"OPEN_INT","."&amp;$AA$3&amp;$AA$4&amp;"P"&amp;BB$4))*100</f>
        <v>11463200</v>
      </c>
      <c r="BC23" s="18">
        <f>MAX(0, $A23-BC$4)*IF(RTD("tos.rtd",,"OPEN_INT","."&amp;$AA$3&amp;$AA$4&amp;"C"&amp;BC$4)="N/A",0,RTD("tos.rtd",,"OPEN_INT","."&amp;$AA$3&amp;$AA$4&amp;"C"&amp;BC$4))*100 + MAX(0, BC$4-$A23)*IF(RTD("tos.rtd",,"OPEN_INT","."&amp;$AA$3&amp;$AA$4&amp;"P"&amp;BC$4)="N/A",0,RTD("tos.rtd",,"OPEN_INT","."&amp;$AA$3&amp;$AA$4&amp;"P"&amp;BC$4))*100</f>
        <v>18320850</v>
      </c>
      <c r="BD23" s="18">
        <f>MAX(0, $A23-BD$4)*IF(RTD("tos.rtd",,"OPEN_INT","."&amp;$AA$3&amp;$AA$4&amp;"C"&amp;BD$4)="N/A",0,RTD("tos.rtd",,"OPEN_INT","."&amp;$AA$3&amp;$AA$4&amp;"C"&amp;BD$4))*100 + MAX(0, BD$4-$A23)*IF(RTD("tos.rtd",,"OPEN_INT","."&amp;$AA$3&amp;$AA$4&amp;"P"&amp;BD$4)="N/A",0,RTD("tos.rtd",,"OPEN_INT","."&amp;$AA$3&amp;$AA$4&amp;"P"&amp;BD$4))*100</f>
        <v>9280000</v>
      </c>
      <c r="BE23" s="18">
        <f>MAX(0, $A23-BE$4)*IF(RTD("tos.rtd",,"OPEN_INT","."&amp;$AA$3&amp;$AA$4&amp;"C"&amp;BE$4)="N/A",0,RTD("tos.rtd",,"OPEN_INT","."&amp;$AA$3&amp;$AA$4&amp;"C"&amp;BE$4))*100 + MAX(0, BE$4-$A23)*IF(RTD("tos.rtd",,"OPEN_INT","."&amp;$AA$3&amp;$AA$4&amp;"P"&amp;BE$4)="N/A",0,RTD("tos.rtd",,"OPEN_INT","."&amp;$AA$3&amp;$AA$4&amp;"P"&amp;BE$4))*100</f>
        <v>9502900</v>
      </c>
      <c r="BF23" s="18">
        <f>MAX(0, $A23-BF$4)*IF(RTD("tos.rtd",,"OPEN_INT","."&amp;$AA$3&amp;$AA$4&amp;"C"&amp;BF$4)="N/A",0,RTD("tos.rtd",,"OPEN_INT","."&amp;$AA$3&amp;$AA$4&amp;"C"&amp;BF$4))*100 + MAX(0, BF$4-$A23)*IF(RTD("tos.rtd",,"OPEN_INT","."&amp;$AA$3&amp;$AA$4&amp;"P"&amp;BF$4)="N/A",0,RTD("tos.rtd",,"OPEN_INT","."&amp;$AA$3&amp;$AA$4&amp;"P"&amp;BF$4))*100</f>
        <v>5044200</v>
      </c>
      <c r="BG23" s="18">
        <f>MAX(0, $A23-BG$4)*IF(RTD("tos.rtd",,"OPEN_INT","."&amp;$AA$3&amp;$AA$4&amp;"C"&amp;BG$4)="N/A",0,RTD("tos.rtd",,"OPEN_INT","."&amp;$AA$3&amp;$AA$4&amp;"C"&amp;BG$4))*100 + MAX(0, BG$4-$A23)*IF(RTD("tos.rtd",,"OPEN_INT","."&amp;$AA$3&amp;$AA$4&amp;"P"&amp;BG$4)="N/A",0,RTD("tos.rtd",,"OPEN_INT","."&amp;$AA$3&amp;$AA$4&amp;"P"&amp;BG$4))*100</f>
        <v>3727100</v>
      </c>
      <c r="BH23" s="18">
        <f>MAX(0, $A23-BH$4)*IF(RTD("tos.rtd",,"OPEN_INT","."&amp;$AA$3&amp;$AA$4&amp;"C"&amp;BH$4)="N/A",0,RTD("tos.rtd",,"OPEN_INT","."&amp;$AA$3&amp;$AA$4&amp;"C"&amp;BH$4))*100 + MAX(0, BH$4-$A23)*IF(RTD("tos.rtd",,"OPEN_INT","."&amp;$AA$3&amp;$AA$4&amp;"P"&amp;BH$4)="N/A",0,RTD("tos.rtd",,"OPEN_INT","."&amp;$AA$3&amp;$AA$4&amp;"P"&amp;BH$4))*100</f>
        <v>1360100</v>
      </c>
      <c r="BI23" s="18">
        <f>MAX(0, $A23-BI$4)*IF(RTD("tos.rtd",,"OPEN_INT","."&amp;$AA$3&amp;$AA$4&amp;"C"&amp;BI$4)="N/A",0,RTD("tos.rtd",,"OPEN_INT","."&amp;$AA$3&amp;$AA$4&amp;"C"&amp;BI$4))*100 + MAX(0, BI$4-$A23)*IF(RTD("tos.rtd",,"OPEN_INT","."&amp;$AA$3&amp;$AA$4&amp;"P"&amp;BI$4)="N/A",0,RTD("tos.rtd",,"OPEN_INT","."&amp;$AA$3&amp;$AA$4&amp;"P"&amp;BI$4))*100</f>
        <v>631500</v>
      </c>
      <c r="BJ23" s="18">
        <f>MAX(0, $A23-BJ$4)*IF(RTD("tos.rtd",,"OPEN_INT","."&amp;$AA$3&amp;$AA$4&amp;"C"&amp;BJ$4)="N/A",0,RTD("tos.rtd",,"OPEN_INT","."&amp;$AA$3&amp;$AA$4&amp;"C"&amp;BJ$4))*100 + MAX(0, BJ$4-$A23)*IF(RTD("tos.rtd",,"OPEN_INT","."&amp;$AA$3&amp;$AA$4&amp;"P"&amp;BJ$4)="N/A",0,RTD("tos.rtd",,"OPEN_INT","."&amp;$AA$3&amp;$AA$4&amp;"P"&amp;BJ$4))*100</f>
        <v>120800</v>
      </c>
      <c r="BK23" s="18">
        <f>MAX(0, $A23-BK$4)*IF(RTD("tos.rtd",,"OPEN_INT","."&amp;$AA$3&amp;$AA$4&amp;"C"&amp;BK$4)="N/A",0,RTD("tos.rtd",,"OPEN_INT","."&amp;$AA$3&amp;$AA$4&amp;"C"&amp;BK$4))*100 + MAX(0, BK$4-$A23)*IF(RTD("tos.rtd",,"OPEN_INT","."&amp;$AA$3&amp;$AA$4&amp;"P"&amp;BK$4)="N/A",0,RTD("tos.rtd",,"OPEN_INT","."&amp;$AA$3&amp;$AA$4&amp;"P"&amp;BK$4))*100</f>
        <v>221850</v>
      </c>
      <c r="BL23" s="18">
        <f>MAX(0, $A23-BL$4)*IF(RTD("tos.rtd",,"OPEN_INT","."&amp;$AA$3&amp;$AA$4&amp;"C"&amp;BL$4)="N/A",0,RTD("tos.rtd",,"OPEN_INT","."&amp;$AA$3&amp;$AA$4&amp;"C"&amp;BL$4))*100 + MAX(0, BL$4-$A23)*IF(RTD("tos.rtd",,"OPEN_INT","."&amp;$AA$3&amp;$AA$4&amp;"P"&amp;BL$4)="N/A",0,RTD("tos.rtd",,"OPEN_INT","."&amp;$AA$3&amp;$AA$4&amp;"P"&amp;BL$4))*100</f>
        <v>14400</v>
      </c>
      <c r="BM23" s="18">
        <f>MAX(0, $A23-BM$4)*IF(RTD("tos.rtd",,"OPEN_INT","."&amp;$AA$3&amp;$AA$4&amp;"C"&amp;BM$4)="N/A",0,RTD("tos.rtd",,"OPEN_INT","."&amp;$AA$3&amp;$AA$4&amp;"C"&amp;BM$4))*100 + MAX(0, BM$4-$A23)*IF(RTD("tos.rtd",,"OPEN_INT","."&amp;$AA$3&amp;$AA$4&amp;"P"&amp;BM$4)="N/A",0,RTD("tos.rtd",,"OPEN_INT","."&amp;$AA$3&amp;$AA$4&amp;"P"&amp;BM$4))*100</f>
        <v>7600</v>
      </c>
      <c r="BN23" s="18">
        <f>MAX(0, $A23-BN$4)*IF(RTD("tos.rtd",,"OPEN_INT","."&amp;$AA$3&amp;$AA$4&amp;"C"&amp;BN$4)="N/A",0,RTD("tos.rtd",,"OPEN_INT","."&amp;$AA$3&amp;$AA$4&amp;"C"&amp;BN$4))*100 + MAX(0, BN$4-$A23)*IF(RTD("tos.rtd",,"OPEN_INT","."&amp;$AA$3&amp;$AA$4&amp;"P"&amp;BN$4)="N/A",0,RTD("tos.rtd",,"OPEN_INT","."&amp;$AA$3&amp;$AA$4&amp;"P"&amp;BN$4))*100</f>
        <v>31000</v>
      </c>
      <c r="BO23" s="18">
        <f>MAX(0, $A23-BO$4)*IF(RTD("tos.rtd",,"OPEN_INT","."&amp;$AA$3&amp;$AA$4&amp;"C"&amp;BO$4)="N/A",0,RTD("tos.rtd",,"OPEN_INT","."&amp;$AA$3&amp;$AA$4&amp;"C"&amp;BO$4))*100 + MAX(0, BO$4-$A23)*IF(RTD("tos.rtd",,"OPEN_INT","."&amp;$AA$3&amp;$AA$4&amp;"P"&amp;BO$4)="N/A",0,RTD("tos.rtd",,"OPEN_INT","."&amp;$AA$3&amp;$AA$4&amp;"P"&amp;BO$4))*100</f>
        <v>39900</v>
      </c>
      <c r="BP23" s="18">
        <f>MAX(0, $A23-BP$4)*IF(RTD("tos.rtd",,"OPEN_INT","."&amp;$AA$3&amp;$AA$4&amp;"C"&amp;BP$4)="N/A",0,RTD("tos.rtd",,"OPEN_INT","."&amp;$AA$3&amp;$AA$4&amp;"C"&amp;BP$4))*100 + MAX(0, BP$4-$A23)*IF(RTD("tos.rtd",,"OPEN_INT","."&amp;$AA$3&amp;$AA$4&amp;"P"&amp;BP$4)="N/A",0,RTD("tos.rtd",,"OPEN_INT","."&amp;$AA$3&amp;$AA$4&amp;"P"&amp;BP$4))*100</f>
        <v>0</v>
      </c>
      <c r="BQ23" s="18">
        <f>MAX(0, $A23-BQ$4)*IF(RTD("tos.rtd",,"OPEN_INT","."&amp;$AA$3&amp;$AA$4&amp;"C"&amp;BQ$4)="N/A",0,RTD("tos.rtd",,"OPEN_INT","."&amp;$AA$3&amp;$AA$4&amp;"C"&amp;BQ$4))*100 + MAX(0, BQ$4-$A23)*IF(RTD("tos.rtd",,"OPEN_INT","."&amp;$AA$3&amp;$AA$4&amp;"P"&amp;BQ$4)="N/A",0,RTD("tos.rtd",,"OPEN_INT","."&amp;$AA$3&amp;$AA$4&amp;"P"&amp;BQ$4))*100</f>
        <v>0</v>
      </c>
      <c r="BR23" s="18">
        <f>MAX(0, $A23-BR$4)*IF(RTD("tos.rtd",,"OPEN_INT","."&amp;$AA$3&amp;$AA$4&amp;"C"&amp;BR$4)="N/A",0,RTD("tos.rtd",,"OPEN_INT","."&amp;$AA$3&amp;$AA$4&amp;"C"&amp;BR$4))*100 + MAX(0, BR$4-$A23)*IF(RTD("tos.rtd",,"OPEN_INT","."&amp;$AA$3&amp;$AA$4&amp;"P"&amp;BR$4)="N/A",0,RTD("tos.rtd",,"OPEN_INT","."&amp;$AA$3&amp;$AA$4&amp;"P"&amp;BR$4))*100</f>
        <v>0</v>
      </c>
      <c r="BS23" s="18">
        <f>MAX(0, $A23-BS$4)*IF(RTD("tos.rtd",,"OPEN_INT","."&amp;$AA$3&amp;$AA$4&amp;"C"&amp;BS$4)="N/A",0,RTD("tos.rtd",,"OPEN_INT","."&amp;$AA$3&amp;$AA$4&amp;"C"&amp;BS$4))*100 + MAX(0, BS$4-$A23)*IF(RTD("tos.rtd",,"OPEN_INT","."&amp;$AA$3&amp;$AA$4&amp;"P"&amp;BS$4)="N/A",0,RTD("tos.rtd",,"OPEN_INT","."&amp;$AA$3&amp;$AA$4&amp;"P"&amp;BS$4))*100</f>
        <v>0</v>
      </c>
      <c r="BT23" s="18">
        <f>MAX(0, $A23-BT$4)*IF(RTD("tos.rtd",,"OPEN_INT","."&amp;$AA$3&amp;$AA$4&amp;"C"&amp;BT$4)="N/A",0,RTD("tos.rtd",,"OPEN_INT","."&amp;$AA$3&amp;$AA$4&amp;"C"&amp;BT$4))*100 + MAX(0, BT$4-$A23)*IF(RTD("tos.rtd",,"OPEN_INT","."&amp;$AA$3&amp;$AA$4&amp;"P"&amp;BT$4)="N/A",0,RTD("tos.rtd",,"OPEN_INT","."&amp;$AA$3&amp;$AA$4&amp;"P"&amp;BT$4))*100</f>
        <v>0</v>
      </c>
      <c r="BU23" s="18">
        <f>MAX(0, $A23-BU$4)*IF(RTD("tos.rtd",,"OPEN_INT","."&amp;$AA$3&amp;$AA$4&amp;"C"&amp;BU$4)="N/A",0,RTD("tos.rtd",,"OPEN_INT","."&amp;$AA$3&amp;$AA$4&amp;"C"&amp;BU$4))*100 + MAX(0, BU$4-$A23)*IF(RTD("tos.rtd",,"OPEN_INT","."&amp;$AA$3&amp;$AA$4&amp;"P"&amp;BU$4)="N/A",0,RTD("tos.rtd",,"OPEN_INT","."&amp;$AA$3&amp;$AA$4&amp;"P"&amp;BU$4))*100</f>
        <v>0</v>
      </c>
      <c r="BV23" s="18">
        <f>MAX(0, $A23-BV$4)*IF(RTD("tos.rtd",,"OPEN_INT","."&amp;$AA$3&amp;$AA$4&amp;"C"&amp;BV$4)="N/A",0,RTD("tos.rtd",,"OPEN_INT","."&amp;$AA$3&amp;$AA$4&amp;"C"&amp;BV$4))*100 + MAX(0, BV$4-$A23)*IF(RTD("tos.rtd",,"OPEN_INT","."&amp;$AA$3&amp;$AA$4&amp;"P"&amp;BV$4)="N/A",0,RTD("tos.rtd",,"OPEN_INT","."&amp;$AA$3&amp;$AA$4&amp;"P"&amp;BV$4))*100</f>
        <v>0</v>
      </c>
    </row>
    <row r="24" spans="1:74" s="19" customFormat="1" ht="11.1" customHeight="1" thickBot="1" x14ac:dyDescent="0.3">
      <c r="A24" s="23">
        <f t="shared" si="6"/>
        <v>12</v>
      </c>
      <c r="B24" s="14">
        <f ca="1">IF($A$2="PREMIUM_OI",IFERROR(IF($X$1="ABS",(100*RTD("tos.rtd",,"OPEN_INT","."&amp;B$2&amp;B$1&amp;"C"&amp;$A24)*RTD("tos.rtd",,"LAST","."&amp;B$2&amp;B$1&amp;"C"&amp;$A24)+100*RTD("tos.rtd",,"OPEN_INT","."&amp;B$2&amp;B$1&amp;"P"&amp;$A24)*RTD("tos.rtd",,"LAST","."&amp;B$2&amp;B$1&amp;"P"&amp;$A24))/1000000,(100*RTD("tos.rtd",,"OPEN_INT","."&amp;B$2&amp;B$1&amp;"C"&amp;$A24)*RTD("tos.rtd",,"LAST","."&amp;B$2&amp;B$1&amp;"C"&amp;$A24)-100*RTD("tos.rtd",,"OPEN_INT","."&amp;B$2&amp;B$1&amp;"P"&amp;$A24)*RTD("tos.rtd",,"LAST","."&amp;B$2&amp;B$1&amp;"P"&amp;$A24))/1000000),0),IF($A$2="PREMIUM",IFERROR(IF($X$1="ABS",(100*RTD("tos.rtd",,"VOLUME","."&amp;B$2&amp;B$1&amp;"C"&amp;$A24)*RTD("tos.rtd",,"LAST","."&amp;B$2&amp;B$1&amp;"C"&amp;$A24)+100*RTD("tos.rtd",,"VOLUME","."&amp;B$2&amp;B$1&amp;"P"&amp;$A24)*RTD("tos.rtd",,"LAST","."&amp;B$2&amp;B$1&amp;"P"&amp;$A24))/1000000,(100*RTD("tos.rtd",,"VOLUME","."&amp;B$2&amp;B$1&amp;"C"&amp;$A24)*RTD("tos.rtd",,"LAST","."&amp;B$2&amp;B$1&amp;"C"&amp;$A24)-100*RTD("tos.rtd",,"VOLUME","."&amp;B$2&amp;B$1&amp;"P"&amp;$A24)*RTD("tos.rtd",,"LAST","."&amp;B$2&amp;B$1&amp;"P"&amp;$A24))/1000000),0),IF($A$2="DEX",IFERROR(IF($X$1="ABS",(100*RTD("tos.rtd",,"OPEN_INT","."&amp;B$2&amp;B$1&amp;"C"&amp;$A24)*RTD("tos.rtd",,"DELTA","."&amp;B$2&amp;B$1&amp;"C"&amp;$A24)+100*RTD("tos.rtd",,"OPEN_INT","."&amp;B$2&amp;B$1&amp;"P"&amp;$A24)*RTD("tos.rtd",,"DELTA","."&amp;B$2&amp;B$1&amp;"P"&amp;$A24))/1000,(100*RTD("tos.rtd",,"OPEN_INT","."&amp;B$2&amp;B$1&amp;"C"&amp;$A24)*RTD("tos.rtd",,"DELTA","."&amp;B$2&amp;B$1&amp;"C"&amp;$A24)-100*RTD("tos.rtd",,"OPEN_INT","."&amp;B$2&amp;B$1&amp;"P"&amp;$A24)*RTD("tos.rtd",,"DELTA","."&amp;B$2&amp;B$1&amp;"P"&amp;$A24))/1000),0),IF($A$2="VEX",IFERROR(IF($X$1="ABS",($A$4*$A$4*RTD("tos.rtd",,"VOLUME","."&amp;B$2&amp;B$1&amp;"C"&amp;$A24)*RTD("tos.rtd",,"GAMMA","."&amp;B$2&amp;B$1&amp;"C"&amp;$A24)+$A$4*$A$4*RTD("tos.rtd",,"VOLUME","."&amp;B$2&amp;B$1&amp;"P"&amp;$A24)*RTD("tos.rtd",,"GAMMA","."&amp;B$2&amp;B$1&amp;"P"&amp;$A24))/1000000,($A$4*$A$4*RTD("tos.rtd",,"VOLUME","."&amp;B$2&amp;B$1&amp;"C"&amp;$A24)*RTD("tos.rtd",,"GAMMA","."&amp;B$2&amp;B$1&amp;"C"&amp;$A24)-$A$4*$A$4*RTD("tos.rtd",,"VOLUME","."&amp;B$2&amp;B$1&amp;"P"&amp;$A24)*RTD("tos.rtd",,"GAMMA","."&amp;B$2&amp;B$1&amp;"P"&amp;$A24))/1000000),0),IF($A$2="GEX",IFERROR(IF($X$1="ABS",($A$4*$A$4*RTD("tos.rtd",,"OPEN_INT","."&amp;B$2&amp;B$1&amp;"C"&amp;$A24)*RTD("tos.rtd",,"GAMMA","."&amp;B$2&amp;B$1&amp;"C"&amp;$A24)+$A$4*$A$4*RTD("tos.rtd",,"OPEN_INT","."&amp;B$2&amp;B$1&amp;"P"&amp;$A24)*RTD("tos.rtd",,"GAMMA","."&amp;B$2&amp;B$1&amp;"P"&amp;$A24))/1000000,($A$4*$A$4*RTD("tos.rtd",,"OPEN_INT","."&amp;B$2&amp;B$1&amp;"C"&amp;$A24)*RTD("tos.rtd",,"GAMMA","."&amp;B$2&amp;B$1&amp;"C"&amp;$A24)-$A$4*$A$4*RTD("tos.rtd",,"OPEN_INT","."&amp;B$2&amp;B$1&amp;"P"&amp;$A24)*RTD("tos.rtd",,"GAMMA","."&amp;B$2&amp;B$1&amp;"P"&amp;$A24))/1000000),0),IF($A$2="SKEW",IFERROR(VALUE(IF(RTD("tos.rtd",,"IMPL_VOL","."&amp;B$2&amp;B$1&amp;"P"&amp;$A24)="N/A",0,RTD("tos.rtd",,"IMPL_VOL","."&amp;B$2&amp;B$1&amp;"P"&amp;$A24))),0)-IFERROR(VALUE(IF(RTD("tos.rtd",,"IMPL_VOL","."&amp;B$2&amp;B$1&amp;"C"&amp;$A24)="N/A",0,RTD("tos.rtd",,"IMPL_VOL","."&amp;B$2&amp;B$1&amp;"C"&amp;$A24))),0),IF($A$2="MAXPAIN",IF($A$4&gt;$A24,($A$4-$A24)*IF(RTD("tos.rtd",,"OPEN_INT","."&amp;B$2&amp;B$1&amp;"C"&amp;$A24)="N/A",0,RTD("tos.rtd",,"OPEN_INT","."&amp;B$2&amp;B$1&amp;"C"&amp;$A24)),0)+IF($A$4&lt;$A24,($A$5-$A$4)*IF(RTD("tos.rtd",,"OPEN_INT","."&amp;B$2&amp;B$1&amp;"P"&amp;$A24)="N/A",0,RTD("tos.rtd",,"OPEN_INT","."&amp;B$2&amp;B$1&amp;"P"&amp;$A24)),0),IF($X$1="ABS",IF(RTD("tos.rtd",,$A$2,"."&amp;B$2&amp;B$1&amp;"C"&amp;$A24)="N/A",0,RTD("tos.rtd",,$A$2,"."&amp;B$2&amp;B$1&amp;"C"&amp;$A24))+IF(RTD("tos.rtd",,$A$2,"."&amp;B$2&amp;B$1&amp;"P"&amp;$A24)="N/A",0,RTD("tos.rtd",,$A$2,"."&amp;B$2&amp;B$1&amp;"P"&amp;$A24)),IF(RTD("tos.rtd",,$A$2,"."&amp;B$2&amp;B$1&amp;"C"&amp;$A24)="N/A",0,RTD("tos.rtd",,$A$2,"."&amp;B$2&amp;B$1&amp;"C"&amp;$A24))-IF(RTD("tos.rtd",,$A$2,"."&amp;B$2&amp;B$1&amp;"P"&amp;$A24)="N/A",0,RTD("tos.rtd",,$A$2,"."&amp;B$2&amp;B$1&amp;"P"&amp;$A24))))))))))</f>
        <v>0</v>
      </c>
      <c r="C24" s="12">
        <f ca="1">IF($A$2="PREMIUM_OI",IFERROR(IF($X$1="ABS",(100*RTD("tos.rtd",,"OPEN_INT","."&amp;C$2&amp;C$1&amp;"C"&amp;$A24)*RTD("tos.rtd",,"LAST","."&amp;C$2&amp;C$1&amp;"C"&amp;$A24)+100*RTD("tos.rtd",,"OPEN_INT","."&amp;C$2&amp;C$1&amp;"P"&amp;$A24)*RTD("tos.rtd",,"LAST","."&amp;C$2&amp;C$1&amp;"P"&amp;$A24))/1000000,(100*RTD("tos.rtd",,"OPEN_INT","."&amp;C$2&amp;C$1&amp;"C"&amp;$A24)*RTD("tos.rtd",,"LAST","."&amp;C$2&amp;C$1&amp;"C"&amp;$A24)-100*RTD("tos.rtd",,"OPEN_INT","."&amp;C$2&amp;C$1&amp;"P"&amp;$A24)*RTD("tos.rtd",,"LAST","."&amp;C$2&amp;C$1&amp;"P"&amp;$A24))/1000000),0),IF($A$2="PREMIUM",IFERROR(IF($X$1="ABS",(100*RTD("tos.rtd",,"VOLUME","."&amp;C$2&amp;C$1&amp;"C"&amp;$A24)*RTD("tos.rtd",,"LAST","."&amp;C$2&amp;C$1&amp;"C"&amp;$A24)+100*RTD("tos.rtd",,"VOLUME","."&amp;C$2&amp;C$1&amp;"P"&amp;$A24)*RTD("tos.rtd",,"LAST","."&amp;C$2&amp;C$1&amp;"P"&amp;$A24))/1000000,(100*RTD("tos.rtd",,"VOLUME","."&amp;C$2&amp;C$1&amp;"C"&amp;$A24)*RTD("tos.rtd",,"LAST","."&amp;C$2&amp;C$1&amp;"C"&amp;$A24)-100*RTD("tos.rtd",,"VOLUME","."&amp;C$2&amp;C$1&amp;"P"&amp;$A24)*RTD("tos.rtd",,"LAST","."&amp;C$2&amp;C$1&amp;"P"&amp;$A24))/1000000),0),IF($A$2="DEX",IFERROR(IF($X$1="ABS",(100*RTD("tos.rtd",,"OPEN_INT","."&amp;C$2&amp;C$1&amp;"C"&amp;$A24)*RTD("tos.rtd",,"DELTA","."&amp;C$2&amp;C$1&amp;"C"&amp;$A24)+100*RTD("tos.rtd",,"OPEN_INT","."&amp;C$2&amp;C$1&amp;"P"&amp;$A24)*RTD("tos.rtd",,"DELTA","."&amp;C$2&amp;C$1&amp;"P"&amp;$A24))/1000,(100*RTD("tos.rtd",,"OPEN_INT","."&amp;C$2&amp;C$1&amp;"C"&amp;$A24)*RTD("tos.rtd",,"DELTA","."&amp;C$2&amp;C$1&amp;"C"&amp;$A24)-100*RTD("tos.rtd",,"OPEN_INT","."&amp;C$2&amp;C$1&amp;"P"&amp;$A24)*RTD("tos.rtd",,"DELTA","."&amp;C$2&amp;C$1&amp;"P"&amp;$A24))/1000),0),IF($A$2="VEX",IFERROR(IF($X$1="ABS",($A$4*$A$4*RTD("tos.rtd",,"VOLUME","."&amp;C$2&amp;C$1&amp;"C"&amp;$A24)*RTD("tos.rtd",,"GAMMA","."&amp;C$2&amp;C$1&amp;"C"&amp;$A24)+$A$4*$A$4*RTD("tos.rtd",,"VOLUME","."&amp;C$2&amp;C$1&amp;"P"&amp;$A24)*RTD("tos.rtd",,"GAMMA","."&amp;C$2&amp;C$1&amp;"P"&amp;$A24))/1000000,($A$4*$A$4*RTD("tos.rtd",,"VOLUME","."&amp;C$2&amp;C$1&amp;"C"&amp;$A24)*RTD("tos.rtd",,"GAMMA","."&amp;C$2&amp;C$1&amp;"C"&amp;$A24)-$A$4*$A$4*RTD("tos.rtd",,"VOLUME","."&amp;C$2&amp;C$1&amp;"P"&amp;$A24)*RTD("tos.rtd",,"GAMMA","."&amp;C$2&amp;C$1&amp;"P"&amp;$A24))/1000000),0),IF($A$2="GEX",IFERROR(IF($X$1="ABS",($A$4*$A$4*RTD("tos.rtd",,"OPEN_INT","."&amp;C$2&amp;C$1&amp;"C"&amp;$A24)*RTD("tos.rtd",,"GAMMA","."&amp;C$2&amp;C$1&amp;"C"&amp;$A24)+$A$4*$A$4*RTD("tos.rtd",,"OPEN_INT","."&amp;C$2&amp;C$1&amp;"P"&amp;$A24)*RTD("tos.rtd",,"GAMMA","."&amp;C$2&amp;C$1&amp;"P"&amp;$A24))/1000000,($A$4*$A$4*RTD("tos.rtd",,"OPEN_INT","."&amp;C$2&amp;C$1&amp;"C"&amp;$A24)*RTD("tos.rtd",,"GAMMA","."&amp;C$2&amp;C$1&amp;"C"&amp;$A24)-$A$4*$A$4*RTD("tos.rtd",,"OPEN_INT","."&amp;C$2&amp;C$1&amp;"P"&amp;$A24)*RTD("tos.rtd",,"GAMMA","."&amp;C$2&amp;C$1&amp;"P"&amp;$A24))/1000000),0),IF($A$2="SKEW",IFERROR(VALUE(IF(RTD("tos.rtd",,"IMPL_VOL","."&amp;C$2&amp;C$1&amp;"P"&amp;$A24)="N/A",0,RTD("tos.rtd",,"IMPL_VOL","."&amp;C$2&amp;C$1&amp;"P"&amp;$A24))),0)-IFERROR(VALUE(IF(RTD("tos.rtd",,"IMPL_VOL","."&amp;C$2&amp;C$1&amp;"C"&amp;$A24)="N/A",0,RTD("tos.rtd",,"IMPL_VOL","."&amp;C$2&amp;C$1&amp;"C"&amp;$A24))),0),IF($A$2="MAXPAIN",IF($A$4&gt;$A24,($A$4-$A24)*IF(RTD("tos.rtd",,"OPEN_INT","."&amp;C$2&amp;C$1&amp;"C"&amp;$A24)="N/A",0,RTD("tos.rtd",,"OPEN_INT","."&amp;C$2&amp;C$1&amp;"C"&amp;$A24)),0)+IF($A$4&lt;$A24,($A$5-$A$4)*IF(RTD("tos.rtd",,"OPEN_INT","."&amp;C$2&amp;C$1&amp;"P"&amp;$A24)="N/A",0,RTD("tos.rtd",,"OPEN_INT","."&amp;C$2&amp;C$1&amp;"P"&amp;$A24)),0),IF($X$1="ABS",IF(RTD("tos.rtd",,$A$2,"."&amp;C$2&amp;C$1&amp;"C"&amp;$A24)="N/A",0,RTD("tos.rtd",,$A$2,"."&amp;C$2&amp;C$1&amp;"C"&amp;$A24))+IF(RTD("tos.rtd",,$A$2,"."&amp;C$2&amp;C$1&amp;"P"&amp;$A24)="N/A",0,RTD("tos.rtd",,$A$2,"."&amp;C$2&amp;C$1&amp;"P"&amp;$A24)),IF(RTD("tos.rtd",,$A$2,"."&amp;C$2&amp;C$1&amp;"C"&amp;$A24)="N/A",0,RTD("tos.rtd",,$A$2,"."&amp;C$2&amp;C$1&amp;"C"&amp;$A24))-IF(RTD("tos.rtd",,$A$2,"."&amp;C$2&amp;C$1&amp;"P"&amp;$A24)="N/A",0,RTD("tos.rtd",,$A$2,"."&amp;C$2&amp;C$1&amp;"P"&amp;$A24))))))))))</f>
        <v>1643</v>
      </c>
      <c r="D24" s="12">
        <f ca="1">IF($A$2="PREMIUM_OI",IFERROR(IF($X$1="ABS",(100*RTD("tos.rtd",,"OPEN_INT","."&amp;D$2&amp;D$1&amp;"C"&amp;$A24)*RTD("tos.rtd",,"LAST","."&amp;D$2&amp;D$1&amp;"C"&amp;$A24)+100*RTD("tos.rtd",,"OPEN_INT","."&amp;D$2&amp;D$1&amp;"P"&amp;$A24)*RTD("tos.rtd",,"LAST","."&amp;D$2&amp;D$1&amp;"P"&amp;$A24))/1000000,(100*RTD("tos.rtd",,"OPEN_INT","."&amp;D$2&amp;D$1&amp;"C"&amp;$A24)*RTD("tos.rtd",,"LAST","."&amp;D$2&amp;D$1&amp;"C"&amp;$A24)-100*RTD("tos.rtd",,"OPEN_INT","."&amp;D$2&amp;D$1&amp;"P"&amp;$A24)*RTD("tos.rtd",,"LAST","."&amp;D$2&amp;D$1&amp;"P"&amp;$A24))/1000000),0),IF($A$2="PREMIUM",IFERROR(IF($X$1="ABS",(100*RTD("tos.rtd",,"VOLUME","."&amp;D$2&amp;D$1&amp;"C"&amp;$A24)*RTD("tos.rtd",,"LAST","."&amp;D$2&amp;D$1&amp;"C"&amp;$A24)+100*RTD("tos.rtd",,"VOLUME","."&amp;D$2&amp;D$1&amp;"P"&amp;$A24)*RTD("tos.rtd",,"LAST","."&amp;D$2&amp;D$1&amp;"P"&amp;$A24))/1000000,(100*RTD("tos.rtd",,"VOLUME","."&amp;D$2&amp;D$1&amp;"C"&amp;$A24)*RTD("tos.rtd",,"LAST","."&amp;D$2&amp;D$1&amp;"C"&amp;$A24)-100*RTD("tos.rtd",,"VOLUME","."&amp;D$2&amp;D$1&amp;"P"&amp;$A24)*RTD("tos.rtd",,"LAST","."&amp;D$2&amp;D$1&amp;"P"&amp;$A24))/1000000),0),IF($A$2="DEX",IFERROR(IF($X$1="ABS",(100*RTD("tos.rtd",,"OPEN_INT","."&amp;D$2&amp;D$1&amp;"C"&amp;$A24)*RTD("tos.rtd",,"DELTA","."&amp;D$2&amp;D$1&amp;"C"&amp;$A24)+100*RTD("tos.rtd",,"OPEN_INT","."&amp;D$2&amp;D$1&amp;"P"&amp;$A24)*RTD("tos.rtd",,"DELTA","."&amp;D$2&amp;D$1&amp;"P"&amp;$A24))/1000,(100*RTD("tos.rtd",,"OPEN_INT","."&amp;D$2&amp;D$1&amp;"C"&amp;$A24)*RTD("tos.rtd",,"DELTA","."&amp;D$2&amp;D$1&amp;"C"&amp;$A24)-100*RTD("tos.rtd",,"OPEN_INT","."&amp;D$2&amp;D$1&amp;"P"&amp;$A24)*RTD("tos.rtd",,"DELTA","."&amp;D$2&amp;D$1&amp;"P"&amp;$A24))/1000),0),IF($A$2="VEX",IFERROR(IF($X$1="ABS",($A$4*$A$4*RTD("tos.rtd",,"VOLUME","."&amp;D$2&amp;D$1&amp;"C"&amp;$A24)*RTD("tos.rtd",,"GAMMA","."&amp;D$2&amp;D$1&amp;"C"&amp;$A24)+$A$4*$A$4*RTD("tos.rtd",,"VOLUME","."&amp;D$2&amp;D$1&amp;"P"&amp;$A24)*RTD("tos.rtd",,"GAMMA","."&amp;D$2&amp;D$1&amp;"P"&amp;$A24))/1000000,($A$4*$A$4*RTD("tos.rtd",,"VOLUME","."&amp;D$2&amp;D$1&amp;"C"&amp;$A24)*RTD("tos.rtd",,"GAMMA","."&amp;D$2&amp;D$1&amp;"C"&amp;$A24)-$A$4*$A$4*RTD("tos.rtd",,"VOLUME","."&amp;D$2&amp;D$1&amp;"P"&amp;$A24)*RTD("tos.rtd",,"GAMMA","."&amp;D$2&amp;D$1&amp;"P"&amp;$A24))/1000000),0),IF($A$2="GEX",IFERROR(IF($X$1="ABS",($A$4*$A$4*RTD("tos.rtd",,"OPEN_INT","."&amp;D$2&amp;D$1&amp;"C"&amp;$A24)*RTD("tos.rtd",,"GAMMA","."&amp;D$2&amp;D$1&amp;"C"&amp;$A24)+$A$4*$A$4*RTD("tos.rtd",,"OPEN_INT","."&amp;D$2&amp;D$1&amp;"P"&amp;$A24)*RTD("tos.rtd",,"GAMMA","."&amp;D$2&amp;D$1&amp;"P"&amp;$A24))/1000000,($A$4*$A$4*RTD("tos.rtd",,"OPEN_INT","."&amp;D$2&amp;D$1&amp;"C"&amp;$A24)*RTD("tos.rtd",,"GAMMA","."&amp;D$2&amp;D$1&amp;"C"&amp;$A24)-$A$4*$A$4*RTD("tos.rtd",,"OPEN_INT","."&amp;D$2&amp;D$1&amp;"P"&amp;$A24)*RTD("tos.rtd",,"GAMMA","."&amp;D$2&amp;D$1&amp;"P"&amp;$A24))/1000000),0),IF($A$2="SKEW",IFERROR(VALUE(IF(RTD("tos.rtd",,"IMPL_VOL","."&amp;D$2&amp;D$1&amp;"P"&amp;$A24)="N/A",0,RTD("tos.rtd",,"IMPL_VOL","."&amp;D$2&amp;D$1&amp;"P"&amp;$A24))),0)-IFERROR(VALUE(IF(RTD("tos.rtd",,"IMPL_VOL","."&amp;D$2&amp;D$1&amp;"C"&amp;$A24)="N/A",0,RTD("tos.rtd",,"IMPL_VOL","."&amp;D$2&amp;D$1&amp;"C"&amp;$A24))),0),IF($A$2="MAXPAIN",IF($A$4&gt;$A24,($A$4-$A24)*IF(RTD("tos.rtd",,"OPEN_INT","."&amp;D$2&amp;D$1&amp;"C"&amp;$A24)="N/A",0,RTD("tos.rtd",,"OPEN_INT","."&amp;D$2&amp;D$1&amp;"C"&amp;$A24)),0)+IF($A$4&lt;$A24,($A$5-$A$4)*IF(RTD("tos.rtd",,"OPEN_INT","."&amp;D$2&amp;D$1&amp;"P"&amp;$A24)="N/A",0,RTD("tos.rtd",,"OPEN_INT","."&amp;D$2&amp;D$1&amp;"P"&amp;$A24)),0),IF($X$1="ABS",IF(RTD("tos.rtd",,$A$2,"."&amp;D$2&amp;D$1&amp;"C"&amp;$A24)="N/A",0,RTD("tos.rtd",,$A$2,"."&amp;D$2&amp;D$1&amp;"C"&amp;$A24))+IF(RTD("tos.rtd",,$A$2,"."&amp;D$2&amp;D$1&amp;"P"&amp;$A24)="N/A",0,RTD("tos.rtd",,$A$2,"."&amp;D$2&amp;D$1&amp;"P"&amp;$A24)),IF(RTD("tos.rtd",,$A$2,"."&amp;D$2&amp;D$1&amp;"C"&amp;$A24)="N/A",0,RTD("tos.rtd",,$A$2,"."&amp;D$2&amp;D$1&amp;"C"&amp;$A24))-IF(RTD("tos.rtd",,$A$2,"."&amp;D$2&amp;D$1&amp;"P"&amp;$A24)="N/A",0,RTD("tos.rtd",,$A$2,"."&amp;D$2&amp;D$1&amp;"P"&amp;$A24))))))))))</f>
        <v>11933</v>
      </c>
      <c r="E24" s="12">
        <f ca="1">IF($A$2="PREMIUM_OI",IFERROR(IF($X$1="ABS",(100*RTD("tos.rtd",,"OPEN_INT","."&amp;E$2&amp;E$1&amp;"C"&amp;$A24)*RTD("tos.rtd",,"LAST","."&amp;E$2&amp;E$1&amp;"C"&amp;$A24)+100*RTD("tos.rtd",,"OPEN_INT","."&amp;E$2&amp;E$1&amp;"P"&amp;$A24)*RTD("tos.rtd",,"LAST","."&amp;E$2&amp;E$1&amp;"P"&amp;$A24))/1000000,(100*RTD("tos.rtd",,"OPEN_INT","."&amp;E$2&amp;E$1&amp;"C"&amp;$A24)*RTD("tos.rtd",,"LAST","."&amp;E$2&amp;E$1&amp;"C"&amp;$A24)-100*RTD("tos.rtd",,"OPEN_INT","."&amp;E$2&amp;E$1&amp;"P"&amp;$A24)*RTD("tos.rtd",,"LAST","."&amp;E$2&amp;E$1&amp;"P"&amp;$A24))/1000000),0),IF($A$2="PREMIUM",IFERROR(IF($X$1="ABS",(100*RTD("tos.rtd",,"VOLUME","."&amp;E$2&amp;E$1&amp;"C"&amp;$A24)*RTD("tos.rtd",,"LAST","."&amp;E$2&amp;E$1&amp;"C"&amp;$A24)+100*RTD("tos.rtd",,"VOLUME","."&amp;E$2&amp;E$1&amp;"P"&amp;$A24)*RTD("tos.rtd",,"LAST","."&amp;E$2&amp;E$1&amp;"P"&amp;$A24))/1000000,(100*RTD("tos.rtd",,"VOLUME","."&amp;E$2&amp;E$1&amp;"C"&amp;$A24)*RTD("tos.rtd",,"LAST","."&amp;E$2&amp;E$1&amp;"C"&amp;$A24)-100*RTD("tos.rtd",,"VOLUME","."&amp;E$2&amp;E$1&amp;"P"&amp;$A24)*RTD("tos.rtd",,"LAST","."&amp;E$2&amp;E$1&amp;"P"&amp;$A24))/1000000),0),IF($A$2="DEX",IFERROR(IF($X$1="ABS",(100*RTD("tos.rtd",,"OPEN_INT","."&amp;E$2&amp;E$1&amp;"C"&amp;$A24)*RTD("tos.rtd",,"DELTA","."&amp;E$2&amp;E$1&amp;"C"&amp;$A24)+100*RTD("tos.rtd",,"OPEN_INT","."&amp;E$2&amp;E$1&amp;"P"&amp;$A24)*RTD("tos.rtd",,"DELTA","."&amp;E$2&amp;E$1&amp;"P"&amp;$A24))/1000,(100*RTD("tos.rtd",,"OPEN_INT","."&amp;E$2&amp;E$1&amp;"C"&amp;$A24)*RTD("tos.rtd",,"DELTA","."&amp;E$2&amp;E$1&amp;"C"&amp;$A24)-100*RTD("tos.rtd",,"OPEN_INT","."&amp;E$2&amp;E$1&amp;"P"&amp;$A24)*RTD("tos.rtd",,"DELTA","."&amp;E$2&amp;E$1&amp;"P"&amp;$A24))/1000),0),IF($A$2="VEX",IFERROR(IF($X$1="ABS",($A$4*$A$4*RTD("tos.rtd",,"VOLUME","."&amp;E$2&amp;E$1&amp;"C"&amp;$A24)*RTD("tos.rtd",,"GAMMA","."&amp;E$2&amp;E$1&amp;"C"&amp;$A24)+$A$4*$A$4*RTD("tos.rtd",,"VOLUME","."&amp;E$2&amp;E$1&amp;"P"&amp;$A24)*RTD("tos.rtd",,"GAMMA","."&amp;E$2&amp;E$1&amp;"P"&amp;$A24))/1000000,($A$4*$A$4*RTD("tos.rtd",,"VOLUME","."&amp;E$2&amp;E$1&amp;"C"&amp;$A24)*RTD("tos.rtd",,"GAMMA","."&amp;E$2&amp;E$1&amp;"C"&amp;$A24)-$A$4*$A$4*RTD("tos.rtd",,"VOLUME","."&amp;E$2&amp;E$1&amp;"P"&amp;$A24)*RTD("tos.rtd",,"GAMMA","."&amp;E$2&amp;E$1&amp;"P"&amp;$A24))/1000000),0),IF($A$2="GEX",IFERROR(IF($X$1="ABS",($A$4*$A$4*RTD("tos.rtd",,"OPEN_INT","."&amp;E$2&amp;E$1&amp;"C"&amp;$A24)*RTD("tos.rtd",,"GAMMA","."&amp;E$2&amp;E$1&amp;"C"&amp;$A24)+$A$4*$A$4*RTD("tos.rtd",,"OPEN_INT","."&amp;E$2&amp;E$1&amp;"P"&amp;$A24)*RTD("tos.rtd",,"GAMMA","."&amp;E$2&amp;E$1&amp;"P"&amp;$A24))/1000000,($A$4*$A$4*RTD("tos.rtd",,"OPEN_INT","."&amp;E$2&amp;E$1&amp;"C"&amp;$A24)*RTD("tos.rtd",,"GAMMA","."&amp;E$2&amp;E$1&amp;"C"&amp;$A24)-$A$4*$A$4*RTD("tos.rtd",,"OPEN_INT","."&amp;E$2&amp;E$1&amp;"P"&amp;$A24)*RTD("tos.rtd",,"GAMMA","."&amp;E$2&amp;E$1&amp;"P"&amp;$A24))/1000000),0),IF($A$2="SKEW",IFERROR(VALUE(IF(RTD("tos.rtd",,"IMPL_VOL","."&amp;E$2&amp;E$1&amp;"P"&amp;$A24)="N/A",0,RTD("tos.rtd",,"IMPL_VOL","."&amp;E$2&amp;E$1&amp;"P"&amp;$A24))),0)-IFERROR(VALUE(IF(RTD("tos.rtd",,"IMPL_VOL","."&amp;E$2&amp;E$1&amp;"C"&amp;$A24)="N/A",0,RTD("tos.rtd",,"IMPL_VOL","."&amp;E$2&amp;E$1&amp;"C"&amp;$A24))),0),IF($A$2="MAXPAIN",IF($A$4&gt;$A24,($A$4-$A24)*IF(RTD("tos.rtd",,"OPEN_INT","."&amp;E$2&amp;E$1&amp;"C"&amp;$A24)="N/A",0,RTD("tos.rtd",,"OPEN_INT","."&amp;E$2&amp;E$1&amp;"C"&amp;$A24)),0)+IF($A$4&lt;$A24,($A$5-$A$4)*IF(RTD("tos.rtd",,"OPEN_INT","."&amp;E$2&amp;E$1&amp;"P"&amp;$A24)="N/A",0,RTD("tos.rtd",,"OPEN_INT","."&amp;E$2&amp;E$1&amp;"P"&amp;$A24)),0),IF($X$1="ABS",IF(RTD("tos.rtd",,$A$2,"."&amp;E$2&amp;E$1&amp;"C"&amp;$A24)="N/A",0,RTD("tos.rtd",,$A$2,"."&amp;E$2&amp;E$1&amp;"C"&amp;$A24))+IF(RTD("tos.rtd",,$A$2,"."&amp;E$2&amp;E$1&amp;"P"&amp;$A24)="N/A",0,RTD("tos.rtd",,$A$2,"."&amp;E$2&amp;E$1&amp;"P"&amp;$A24)),IF(RTD("tos.rtd",,$A$2,"."&amp;E$2&amp;E$1&amp;"C"&amp;$A24)="N/A",0,RTD("tos.rtd",,$A$2,"."&amp;E$2&amp;E$1&amp;"C"&amp;$A24))-IF(RTD("tos.rtd",,$A$2,"."&amp;E$2&amp;E$1&amp;"P"&amp;$A24)="N/A",0,RTD("tos.rtd",,$A$2,"."&amp;E$2&amp;E$1&amp;"P"&amp;$A24))))))))))</f>
        <v>1896</v>
      </c>
      <c r="F24" s="12">
        <f ca="1">IF($A$2="PREMIUM_OI",IFERROR(IF($X$1="ABS",(100*RTD("tos.rtd",,"OPEN_INT","."&amp;F$2&amp;F$1&amp;"C"&amp;$A24)*RTD("tos.rtd",,"LAST","."&amp;F$2&amp;F$1&amp;"C"&amp;$A24)+100*RTD("tos.rtd",,"OPEN_INT","."&amp;F$2&amp;F$1&amp;"P"&amp;$A24)*RTD("tos.rtd",,"LAST","."&amp;F$2&amp;F$1&amp;"P"&amp;$A24))/1000000,(100*RTD("tos.rtd",,"OPEN_INT","."&amp;F$2&amp;F$1&amp;"C"&amp;$A24)*RTD("tos.rtd",,"LAST","."&amp;F$2&amp;F$1&amp;"C"&amp;$A24)-100*RTD("tos.rtd",,"OPEN_INT","."&amp;F$2&amp;F$1&amp;"P"&amp;$A24)*RTD("tos.rtd",,"LAST","."&amp;F$2&amp;F$1&amp;"P"&amp;$A24))/1000000),0),IF($A$2="PREMIUM",IFERROR(IF($X$1="ABS",(100*RTD("tos.rtd",,"VOLUME","."&amp;F$2&amp;F$1&amp;"C"&amp;$A24)*RTD("tos.rtd",,"LAST","."&amp;F$2&amp;F$1&amp;"C"&amp;$A24)+100*RTD("tos.rtd",,"VOLUME","."&amp;F$2&amp;F$1&amp;"P"&amp;$A24)*RTD("tos.rtd",,"LAST","."&amp;F$2&amp;F$1&amp;"P"&amp;$A24))/1000000,(100*RTD("tos.rtd",,"VOLUME","."&amp;F$2&amp;F$1&amp;"C"&amp;$A24)*RTD("tos.rtd",,"LAST","."&amp;F$2&amp;F$1&amp;"C"&amp;$A24)-100*RTD("tos.rtd",,"VOLUME","."&amp;F$2&amp;F$1&amp;"P"&amp;$A24)*RTD("tos.rtd",,"LAST","."&amp;F$2&amp;F$1&amp;"P"&amp;$A24))/1000000),0),IF($A$2="DEX",IFERROR(IF($X$1="ABS",(100*RTD("tos.rtd",,"OPEN_INT","."&amp;F$2&amp;F$1&amp;"C"&amp;$A24)*RTD("tos.rtd",,"DELTA","."&amp;F$2&amp;F$1&amp;"C"&amp;$A24)+100*RTD("tos.rtd",,"OPEN_INT","."&amp;F$2&amp;F$1&amp;"P"&amp;$A24)*RTD("tos.rtd",,"DELTA","."&amp;F$2&amp;F$1&amp;"P"&amp;$A24))/1000,(100*RTD("tos.rtd",,"OPEN_INT","."&amp;F$2&amp;F$1&amp;"C"&amp;$A24)*RTD("tos.rtd",,"DELTA","."&amp;F$2&amp;F$1&amp;"C"&amp;$A24)-100*RTD("tos.rtd",,"OPEN_INT","."&amp;F$2&amp;F$1&amp;"P"&amp;$A24)*RTD("tos.rtd",,"DELTA","."&amp;F$2&amp;F$1&amp;"P"&amp;$A24))/1000),0),IF($A$2="VEX",IFERROR(IF($X$1="ABS",($A$4*$A$4*RTD("tos.rtd",,"VOLUME","."&amp;F$2&amp;F$1&amp;"C"&amp;$A24)*RTD("tos.rtd",,"GAMMA","."&amp;F$2&amp;F$1&amp;"C"&amp;$A24)+$A$4*$A$4*RTD("tos.rtd",,"VOLUME","."&amp;F$2&amp;F$1&amp;"P"&amp;$A24)*RTD("tos.rtd",,"GAMMA","."&amp;F$2&amp;F$1&amp;"P"&amp;$A24))/1000000,($A$4*$A$4*RTD("tos.rtd",,"VOLUME","."&amp;F$2&amp;F$1&amp;"C"&amp;$A24)*RTD("tos.rtd",,"GAMMA","."&amp;F$2&amp;F$1&amp;"C"&amp;$A24)-$A$4*$A$4*RTD("tos.rtd",,"VOLUME","."&amp;F$2&amp;F$1&amp;"P"&amp;$A24)*RTD("tos.rtd",,"GAMMA","."&amp;F$2&amp;F$1&amp;"P"&amp;$A24))/1000000),0),IF($A$2="GEX",IFERROR(IF($X$1="ABS",($A$4*$A$4*RTD("tos.rtd",,"OPEN_INT","."&amp;F$2&amp;F$1&amp;"C"&amp;$A24)*RTD("tos.rtd",,"GAMMA","."&amp;F$2&amp;F$1&amp;"C"&amp;$A24)+$A$4*$A$4*RTD("tos.rtd",,"OPEN_INT","."&amp;F$2&amp;F$1&amp;"P"&amp;$A24)*RTD("tos.rtd",,"GAMMA","."&amp;F$2&amp;F$1&amp;"P"&amp;$A24))/1000000,($A$4*$A$4*RTD("tos.rtd",,"OPEN_INT","."&amp;F$2&amp;F$1&amp;"C"&amp;$A24)*RTD("tos.rtd",,"GAMMA","."&amp;F$2&amp;F$1&amp;"C"&amp;$A24)-$A$4*$A$4*RTD("tos.rtd",,"OPEN_INT","."&amp;F$2&amp;F$1&amp;"P"&amp;$A24)*RTD("tos.rtd",,"GAMMA","."&amp;F$2&amp;F$1&amp;"P"&amp;$A24))/1000000),0),IF($A$2="SKEW",IFERROR(VALUE(IF(RTD("tos.rtd",,"IMPL_VOL","."&amp;F$2&amp;F$1&amp;"P"&amp;$A24)="N/A",0,RTD("tos.rtd",,"IMPL_VOL","."&amp;F$2&amp;F$1&amp;"P"&amp;$A24))),0)-IFERROR(VALUE(IF(RTD("tos.rtd",,"IMPL_VOL","."&amp;F$2&amp;F$1&amp;"C"&amp;$A24)="N/A",0,RTD("tos.rtd",,"IMPL_VOL","."&amp;F$2&amp;F$1&amp;"C"&amp;$A24))),0),IF($A$2="MAXPAIN",IF($A$4&gt;$A24,($A$4-$A24)*IF(RTD("tos.rtd",,"OPEN_INT","."&amp;F$2&amp;F$1&amp;"C"&amp;$A24)="N/A",0,RTD("tos.rtd",,"OPEN_INT","."&amp;F$2&amp;F$1&amp;"C"&amp;$A24)),0)+IF($A$4&lt;$A24,($A$5-$A$4)*IF(RTD("tos.rtd",,"OPEN_INT","."&amp;F$2&amp;F$1&amp;"P"&amp;$A24)="N/A",0,RTD("tos.rtd",,"OPEN_INT","."&amp;F$2&amp;F$1&amp;"P"&amp;$A24)),0),IF($X$1="ABS",IF(RTD("tos.rtd",,$A$2,"."&amp;F$2&amp;F$1&amp;"C"&amp;$A24)="N/A",0,RTD("tos.rtd",,$A$2,"."&amp;F$2&amp;F$1&amp;"C"&amp;$A24))+IF(RTD("tos.rtd",,$A$2,"."&amp;F$2&amp;F$1&amp;"P"&amp;$A24)="N/A",0,RTD("tos.rtd",,$A$2,"."&amp;F$2&amp;F$1&amp;"P"&amp;$A24)),IF(RTD("tos.rtd",,$A$2,"."&amp;F$2&amp;F$1&amp;"C"&amp;$A24)="N/A",0,RTD("tos.rtd",,$A$2,"."&amp;F$2&amp;F$1&amp;"C"&amp;$A24))-IF(RTD("tos.rtd",,$A$2,"."&amp;F$2&amp;F$1&amp;"P"&amp;$A24)="N/A",0,RTD("tos.rtd",,$A$2,"."&amp;F$2&amp;F$1&amp;"P"&amp;$A24))))))))))</f>
        <v>80</v>
      </c>
      <c r="G24" s="57">
        <f ca="1">IF($A$2="PREMIUM_OI",IFERROR(IF($X$1="ABS",(100*RTD("tos.rtd",,"OPEN_INT","."&amp;G$2&amp;G$1&amp;"C"&amp;$A24)*RTD("tos.rtd",,"LAST","."&amp;G$2&amp;G$1&amp;"C"&amp;$A24)+100*RTD("tos.rtd",,"OPEN_INT","."&amp;G$2&amp;G$1&amp;"P"&amp;$A24)*RTD("tos.rtd",,"LAST","."&amp;G$2&amp;G$1&amp;"P"&amp;$A24))/1000000,(100*RTD("tos.rtd",,"OPEN_INT","."&amp;G$2&amp;G$1&amp;"C"&amp;$A24)*RTD("tos.rtd",,"LAST","."&amp;G$2&amp;G$1&amp;"C"&amp;$A24)-100*RTD("tos.rtd",,"OPEN_INT","."&amp;G$2&amp;G$1&amp;"P"&amp;$A24)*RTD("tos.rtd",,"LAST","."&amp;G$2&amp;G$1&amp;"P"&amp;$A24))/1000000),0),IF($A$2="PREMIUM",IFERROR(IF($X$1="ABS",(100*RTD("tos.rtd",,"VOLUME","."&amp;G$2&amp;G$1&amp;"C"&amp;$A24)*RTD("tos.rtd",,"LAST","."&amp;G$2&amp;G$1&amp;"C"&amp;$A24)+100*RTD("tos.rtd",,"VOLUME","."&amp;G$2&amp;G$1&amp;"P"&amp;$A24)*RTD("tos.rtd",,"LAST","."&amp;G$2&amp;G$1&amp;"P"&amp;$A24))/1000000,(100*RTD("tos.rtd",,"VOLUME","."&amp;G$2&amp;G$1&amp;"C"&amp;$A24)*RTD("tos.rtd",,"LAST","."&amp;G$2&amp;G$1&amp;"C"&amp;$A24)-100*RTD("tos.rtd",,"VOLUME","."&amp;G$2&amp;G$1&amp;"P"&amp;$A24)*RTD("tos.rtd",,"LAST","."&amp;G$2&amp;G$1&amp;"P"&amp;$A24))/1000000),0),IF($A$2="DEX",IFERROR(IF($X$1="ABS",(100*RTD("tos.rtd",,"OPEN_INT","."&amp;G$2&amp;G$1&amp;"C"&amp;$A24)*RTD("tos.rtd",,"DELTA","."&amp;G$2&amp;G$1&amp;"C"&amp;$A24)+100*RTD("tos.rtd",,"OPEN_INT","."&amp;G$2&amp;G$1&amp;"P"&amp;$A24)*RTD("tos.rtd",,"DELTA","."&amp;G$2&amp;G$1&amp;"P"&amp;$A24))/1000,(100*RTD("tos.rtd",,"OPEN_INT","."&amp;G$2&amp;G$1&amp;"C"&amp;$A24)*RTD("tos.rtd",,"DELTA","."&amp;G$2&amp;G$1&amp;"C"&amp;$A24)-100*RTD("tos.rtd",,"OPEN_INT","."&amp;G$2&amp;G$1&amp;"P"&amp;$A24)*RTD("tos.rtd",,"DELTA","."&amp;G$2&amp;G$1&amp;"P"&amp;$A24))/1000),0),IF($A$2="VEX",IFERROR(IF($X$1="ABS",($A$4*$A$4*RTD("tos.rtd",,"VOLUME","."&amp;G$2&amp;G$1&amp;"C"&amp;$A24)*RTD("tos.rtd",,"GAMMA","."&amp;G$2&amp;G$1&amp;"C"&amp;$A24)+$A$4*$A$4*RTD("tos.rtd",,"VOLUME","."&amp;G$2&amp;G$1&amp;"P"&amp;$A24)*RTD("tos.rtd",,"GAMMA","."&amp;G$2&amp;G$1&amp;"P"&amp;$A24))/1000000,($A$4*$A$4*RTD("tos.rtd",,"VOLUME","."&amp;G$2&amp;G$1&amp;"C"&amp;$A24)*RTD("tos.rtd",,"GAMMA","."&amp;G$2&amp;G$1&amp;"C"&amp;$A24)-$A$4*$A$4*RTD("tos.rtd",,"VOLUME","."&amp;G$2&amp;G$1&amp;"P"&amp;$A24)*RTD("tos.rtd",,"GAMMA","."&amp;G$2&amp;G$1&amp;"P"&amp;$A24))/1000000),0),IF($A$2="GEX",IFERROR(IF($X$1="ABS",($A$4*$A$4*RTD("tos.rtd",,"OPEN_INT","."&amp;G$2&amp;G$1&amp;"C"&amp;$A24)*RTD("tos.rtd",,"GAMMA","."&amp;G$2&amp;G$1&amp;"C"&amp;$A24)+$A$4*$A$4*RTD("tos.rtd",,"OPEN_INT","."&amp;G$2&amp;G$1&amp;"P"&amp;$A24)*RTD("tos.rtd",,"GAMMA","."&amp;G$2&amp;G$1&amp;"P"&amp;$A24))/1000000,($A$4*$A$4*RTD("tos.rtd",,"OPEN_INT","."&amp;G$2&amp;G$1&amp;"C"&amp;$A24)*RTD("tos.rtd",,"GAMMA","."&amp;G$2&amp;G$1&amp;"C"&amp;$A24)-$A$4*$A$4*RTD("tos.rtd",,"OPEN_INT","."&amp;G$2&amp;G$1&amp;"P"&amp;$A24)*RTD("tos.rtd",,"GAMMA","."&amp;G$2&amp;G$1&amp;"P"&amp;$A24))/1000000),0),IF($A$2="SKEW",IFERROR(VALUE(IF(RTD("tos.rtd",,"IMPL_VOL","."&amp;G$2&amp;G$1&amp;"P"&amp;$A24)="N/A",0,RTD("tos.rtd",,"IMPL_VOL","."&amp;G$2&amp;G$1&amp;"P"&amp;$A24))),0)-IFERROR(VALUE(IF(RTD("tos.rtd",,"IMPL_VOL","."&amp;G$2&amp;G$1&amp;"C"&amp;$A24)="N/A",0,RTD("tos.rtd",,"IMPL_VOL","."&amp;G$2&amp;G$1&amp;"C"&amp;$A24))),0),IF($A$2="MAXPAIN",IF($A$4&gt;$A24,($A$4-$A24)*IF(RTD("tos.rtd",,"OPEN_INT","."&amp;G$2&amp;G$1&amp;"C"&amp;$A24)="N/A",0,RTD("tos.rtd",,"OPEN_INT","."&amp;G$2&amp;G$1&amp;"C"&amp;$A24)),0)+IF($A$4&lt;$A24,($A$5-$A$4)*IF(RTD("tos.rtd",,"OPEN_INT","."&amp;G$2&amp;G$1&amp;"P"&amp;$A24)="N/A",0,RTD("tos.rtd",,"OPEN_INT","."&amp;G$2&amp;G$1&amp;"P"&amp;$A24)),0),IF($X$1="ABS",IF(RTD("tos.rtd",,$A$2,"."&amp;G$2&amp;G$1&amp;"C"&amp;$A24)="N/A",0,RTD("tos.rtd",,$A$2,"."&amp;G$2&amp;G$1&amp;"C"&amp;$A24))+IF(RTD("tos.rtd",,$A$2,"."&amp;G$2&amp;G$1&amp;"P"&amp;$A24)="N/A",0,RTD("tos.rtd",,$A$2,"."&amp;G$2&amp;G$1&amp;"P"&amp;$A24)),IF(RTD("tos.rtd",,$A$2,"."&amp;G$2&amp;G$1&amp;"C"&amp;$A24)="N/A",0,RTD("tos.rtd",,$A$2,"."&amp;G$2&amp;G$1&amp;"C"&amp;$A24))-IF(RTD("tos.rtd",,$A$2,"."&amp;G$2&amp;G$1&amp;"P"&amp;$A24)="N/A",0,RTD("tos.rtd",,$A$2,"."&amp;G$2&amp;G$1&amp;"P"&amp;$A24))))))))))</f>
        <v>185</v>
      </c>
      <c r="H24" s="14">
        <f ca="1">IF($A$2="PREMIUM_OI",IFERROR(IF($X$1="ABS",(100*RTD("tos.rtd",,"OPEN_INT","."&amp;H$2&amp;H$1&amp;"C"&amp;$A24)*RTD("tos.rtd",,"LAST","."&amp;H$2&amp;H$1&amp;"C"&amp;$A24)+100*RTD("tos.rtd",,"OPEN_INT","."&amp;H$2&amp;H$1&amp;"P"&amp;$A24)*RTD("tos.rtd",,"LAST","."&amp;H$2&amp;H$1&amp;"P"&amp;$A24))/1000000,(100*RTD("tos.rtd",,"OPEN_INT","."&amp;H$2&amp;H$1&amp;"C"&amp;$A24)*RTD("tos.rtd",,"LAST","."&amp;H$2&amp;H$1&amp;"C"&amp;$A24)-100*RTD("tos.rtd",,"OPEN_INT","."&amp;H$2&amp;H$1&amp;"P"&amp;$A24)*RTD("tos.rtd",,"LAST","."&amp;H$2&amp;H$1&amp;"P"&amp;$A24))/1000000),0),IF($A$2="PREMIUM",IFERROR(IF($X$1="ABS",(100*RTD("tos.rtd",,"VOLUME","."&amp;H$2&amp;H$1&amp;"C"&amp;$A24)*RTD("tos.rtd",,"LAST","."&amp;H$2&amp;H$1&amp;"C"&amp;$A24)+100*RTD("tos.rtd",,"VOLUME","."&amp;H$2&amp;H$1&amp;"P"&amp;$A24)*RTD("tos.rtd",,"LAST","."&amp;H$2&amp;H$1&amp;"P"&amp;$A24))/1000000,(100*RTD("tos.rtd",,"VOLUME","."&amp;H$2&amp;H$1&amp;"C"&amp;$A24)*RTD("tos.rtd",,"LAST","."&amp;H$2&amp;H$1&amp;"C"&amp;$A24)-100*RTD("tos.rtd",,"VOLUME","."&amp;H$2&amp;H$1&amp;"P"&amp;$A24)*RTD("tos.rtd",,"LAST","."&amp;H$2&amp;H$1&amp;"P"&amp;$A24))/1000000),0),IF($A$2="DEX",IFERROR(IF($X$1="ABS",(100*RTD("tos.rtd",,"OPEN_INT","."&amp;H$2&amp;H$1&amp;"C"&amp;$A24)*RTD("tos.rtd",,"DELTA","."&amp;H$2&amp;H$1&amp;"C"&amp;$A24)+100*RTD("tos.rtd",,"OPEN_INT","."&amp;H$2&amp;H$1&amp;"P"&amp;$A24)*RTD("tos.rtd",,"DELTA","."&amp;H$2&amp;H$1&amp;"P"&amp;$A24))/1000,(100*RTD("tos.rtd",,"OPEN_INT","."&amp;H$2&amp;H$1&amp;"C"&amp;$A24)*RTD("tos.rtd",,"DELTA","."&amp;H$2&amp;H$1&amp;"C"&amp;$A24)-100*RTD("tos.rtd",,"OPEN_INT","."&amp;H$2&amp;H$1&amp;"P"&amp;$A24)*RTD("tos.rtd",,"DELTA","."&amp;H$2&amp;H$1&amp;"P"&amp;$A24))/1000),0),IF($A$2="VEX",IFERROR(IF($X$1="ABS",($A$4*$A$4*RTD("tos.rtd",,"VOLUME","."&amp;H$2&amp;H$1&amp;"C"&amp;$A24)*RTD("tos.rtd",,"GAMMA","."&amp;H$2&amp;H$1&amp;"C"&amp;$A24)+$A$4*$A$4*RTD("tos.rtd",,"VOLUME","."&amp;H$2&amp;H$1&amp;"P"&amp;$A24)*RTD("tos.rtd",,"GAMMA","."&amp;H$2&amp;H$1&amp;"P"&amp;$A24))/1000000,($A$4*$A$4*RTD("tos.rtd",,"VOLUME","."&amp;H$2&amp;H$1&amp;"C"&amp;$A24)*RTD("tos.rtd",,"GAMMA","."&amp;H$2&amp;H$1&amp;"C"&amp;$A24)-$A$4*$A$4*RTD("tos.rtd",,"VOLUME","."&amp;H$2&amp;H$1&amp;"P"&amp;$A24)*RTD("tos.rtd",,"GAMMA","."&amp;H$2&amp;H$1&amp;"P"&amp;$A24))/1000000),0),IF($A$2="GEX",IFERROR(IF($X$1="ABS",($A$4*$A$4*RTD("tos.rtd",,"OPEN_INT","."&amp;H$2&amp;H$1&amp;"C"&amp;$A24)*RTD("tos.rtd",,"GAMMA","."&amp;H$2&amp;H$1&amp;"C"&amp;$A24)+$A$4*$A$4*RTD("tos.rtd",,"OPEN_INT","."&amp;H$2&amp;H$1&amp;"P"&amp;$A24)*RTD("tos.rtd",,"GAMMA","."&amp;H$2&amp;H$1&amp;"P"&amp;$A24))/1000000,($A$4*$A$4*RTD("tos.rtd",,"OPEN_INT","."&amp;H$2&amp;H$1&amp;"C"&amp;$A24)*RTD("tos.rtd",,"GAMMA","."&amp;H$2&amp;H$1&amp;"C"&amp;$A24)-$A$4*$A$4*RTD("tos.rtd",,"OPEN_INT","."&amp;H$2&amp;H$1&amp;"P"&amp;$A24)*RTD("tos.rtd",,"GAMMA","."&amp;H$2&amp;H$1&amp;"P"&amp;$A24))/1000000),0),IF($A$2="SKEW",IFERROR(VALUE(IF(RTD("tos.rtd",,"IMPL_VOL","."&amp;H$2&amp;H$1&amp;"P"&amp;$A24)="N/A",0,RTD("tos.rtd",,"IMPL_VOL","."&amp;H$2&amp;H$1&amp;"P"&amp;$A24))),0)-IFERROR(VALUE(IF(RTD("tos.rtd",,"IMPL_VOL","."&amp;H$2&amp;H$1&amp;"C"&amp;$A24)="N/A",0,RTD("tos.rtd",,"IMPL_VOL","."&amp;H$2&amp;H$1&amp;"C"&amp;$A24))),0),IF($A$2="MAXPAIN",IF($A$4&gt;$A24,($A$4-$A24)*IF(RTD("tos.rtd",,"OPEN_INT","."&amp;H$2&amp;H$1&amp;"C"&amp;$A24)="N/A",0,RTD("tos.rtd",,"OPEN_INT","."&amp;H$2&amp;H$1&amp;"C"&amp;$A24)),0)+IF($A$4&lt;$A24,($A$5-$A$4)*IF(RTD("tos.rtd",,"OPEN_INT","."&amp;H$2&amp;H$1&amp;"P"&amp;$A24)="N/A",0,RTD("tos.rtd",,"OPEN_INT","."&amp;H$2&amp;H$1&amp;"P"&amp;$A24)),0),IF($X$1="ABS",IF(RTD("tos.rtd",,$A$2,"."&amp;H$2&amp;H$1&amp;"C"&amp;$A24)="N/A",0,RTD("tos.rtd",,$A$2,"."&amp;H$2&amp;H$1&amp;"C"&amp;$A24))+IF(RTD("tos.rtd",,$A$2,"."&amp;H$2&amp;H$1&amp;"P"&amp;$A24)="N/A",0,RTD("tos.rtd",,$A$2,"."&amp;H$2&amp;H$1&amp;"P"&amp;$A24)),IF(RTD("tos.rtd",,$A$2,"."&amp;H$2&amp;H$1&amp;"C"&amp;$A24)="N/A",0,RTD("tos.rtd",,$A$2,"."&amp;H$2&amp;H$1&amp;"C"&amp;$A24))-IF(RTD("tos.rtd",,$A$2,"."&amp;H$2&amp;H$1&amp;"P"&amp;$A24)="N/A",0,RTD("tos.rtd",,$A$2,"."&amp;H$2&amp;H$1&amp;"P"&amp;$A24))))))))))</f>
        <v>4379</v>
      </c>
      <c r="I24" s="12">
        <f ca="1">IF($A$2="PREMIUM_OI",IFERROR(IF($X$1="ABS",(100*RTD("tos.rtd",,"OPEN_INT","."&amp;I$2&amp;I$1&amp;"C"&amp;$A24)*RTD("tos.rtd",,"LAST","."&amp;I$2&amp;I$1&amp;"C"&amp;$A24)+100*RTD("tos.rtd",,"OPEN_INT","."&amp;I$2&amp;I$1&amp;"P"&amp;$A24)*RTD("tos.rtd",,"LAST","."&amp;I$2&amp;I$1&amp;"P"&amp;$A24))/1000000,(100*RTD("tos.rtd",,"OPEN_INT","."&amp;I$2&amp;I$1&amp;"C"&amp;$A24)*RTD("tos.rtd",,"LAST","."&amp;I$2&amp;I$1&amp;"C"&amp;$A24)-100*RTD("tos.rtd",,"OPEN_INT","."&amp;I$2&amp;I$1&amp;"P"&amp;$A24)*RTD("tos.rtd",,"LAST","."&amp;I$2&amp;I$1&amp;"P"&amp;$A24))/1000000),0),IF($A$2="PREMIUM",IFERROR(IF($X$1="ABS",(100*RTD("tos.rtd",,"VOLUME","."&amp;I$2&amp;I$1&amp;"C"&amp;$A24)*RTD("tos.rtd",,"LAST","."&amp;I$2&amp;I$1&amp;"C"&amp;$A24)+100*RTD("tos.rtd",,"VOLUME","."&amp;I$2&amp;I$1&amp;"P"&amp;$A24)*RTD("tos.rtd",,"LAST","."&amp;I$2&amp;I$1&amp;"P"&amp;$A24))/1000000,(100*RTD("tos.rtd",,"VOLUME","."&amp;I$2&amp;I$1&amp;"C"&amp;$A24)*RTD("tos.rtd",,"LAST","."&amp;I$2&amp;I$1&amp;"C"&amp;$A24)-100*RTD("tos.rtd",,"VOLUME","."&amp;I$2&amp;I$1&amp;"P"&amp;$A24)*RTD("tos.rtd",,"LAST","."&amp;I$2&amp;I$1&amp;"P"&amp;$A24))/1000000),0),IF($A$2="DEX",IFERROR(IF($X$1="ABS",(100*RTD("tos.rtd",,"OPEN_INT","."&amp;I$2&amp;I$1&amp;"C"&amp;$A24)*RTD("tos.rtd",,"DELTA","."&amp;I$2&amp;I$1&amp;"C"&amp;$A24)+100*RTD("tos.rtd",,"OPEN_INT","."&amp;I$2&amp;I$1&amp;"P"&amp;$A24)*RTD("tos.rtd",,"DELTA","."&amp;I$2&amp;I$1&amp;"P"&amp;$A24))/1000,(100*RTD("tos.rtd",,"OPEN_INT","."&amp;I$2&amp;I$1&amp;"C"&amp;$A24)*RTD("tos.rtd",,"DELTA","."&amp;I$2&amp;I$1&amp;"C"&amp;$A24)-100*RTD("tos.rtd",,"OPEN_INT","."&amp;I$2&amp;I$1&amp;"P"&amp;$A24)*RTD("tos.rtd",,"DELTA","."&amp;I$2&amp;I$1&amp;"P"&amp;$A24))/1000),0),IF($A$2="VEX",IFERROR(IF($X$1="ABS",($A$4*$A$4*RTD("tos.rtd",,"VOLUME","."&amp;I$2&amp;I$1&amp;"C"&amp;$A24)*RTD("tos.rtd",,"GAMMA","."&amp;I$2&amp;I$1&amp;"C"&amp;$A24)+$A$4*$A$4*RTD("tos.rtd",,"VOLUME","."&amp;I$2&amp;I$1&amp;"P"&amp;$A24)*RTD("tos.rtd",,"GAMMA","."&amp;I$2&amp;I$1&amp;"P"&amp;$A24))/1000000,($A$4*$A$4*RTD("tos.rtd",,"VOLUME","."&amp;I$2&amp;I$1&amp;"C"&amp;$A24)*RTD("tos.rtd",,"GAMMA","."&amp;I$2&amp;I$1&amp;"C"&amp;$A24)-$A$4*$A$4*RTD("tos.rtd",,"VOLUME","."&amp;I$2&amp;I$1&amp;"P"&amp;$A24)*RTD("tos.rtd",,"GAMMA","."&amp;I$2&amp;I$1&amp;"P"&amp;$A24))/1000000),0),IF($A$2="GEX",IFERROR(IF($X$1="ABS",($A$4*$A$4*RTD("tos.rtd",,"OPEN_INT","."&amp;I$2&amp;I$1&amp;"C"&amp;$A24)*RTD("tos.rtd",,"GAMMA","."&amp;I$2&amp;I$1&amp;"C"&amp;$A24)+$A$4*$A$4*RTD("tos.rtd",,"OPEN_INT","."&amp;I$2&amp;I$1&amp;"P"&amp;$A24)*RTD("tos.rtd",,"GAMMA","."&amp;I$2&amp;I$1&amp;"P"&amp;$A24))/1000000,($A$4*$A$4*RTD("tos.rtd",,"OPEN_INT","."&amp;I$2&amp;I$1&amp;"C"&amp;$A24)*RTD("tos.rtd",,"GAMMA","."&amp;I$2&amp;I$1&amp;"C"&amp;$A24)-$A$4*$A$4*RTD("tos.rtd",,"OPEN_INT","."&amp;I$2&amp;I$1&amp;"P"&amp;$A24)*RTD("tos.rtd",,"GAMMA","."&amp;I$2&amp;I$1&amp;"P"&amp;$A24))/1000000),0),IF($A$2="SKEW",IFERROR(VALUE(IF(RTD("tos.rtd",,"IMPL_VOL","."&amp;I$2&amp;I$1&amp;"P"&amp;$A24)="N/A",0,RTD("tos.rtd",,"IMPL_VOL","."&amp;I$2&amp;I$1&amp;"P"&amp;$A24))),0)-IFERROR(VALUE(IF(RTD("tos.rtd",,"IMPL_VOL","."&amp;I$2&amp;I$1&amp;"C"&amp;$A24)="N/A",0,RTD("tos.rtd",,"IMPL_VOL","."&amp;I$2&amp;I$1&amp;"C"&amp;$A24))),0),IF($A$2="MAXPAIN",IF($A$4&gt;$A24,($A$4-$A24)*IF(RTD("tos.rtd",,"OPEN_INT","."&amp;I$2&amp;I$1&amp;"C"&amp;$A24)="N/A",0,RTD("tos.rtd",,"OPEN_INT","."&amp;I$2&amp;I$1&amp;"C"&amp;$A24)),0)+IF($A$4&lt;$A24,($A$5-$A$4)*IF(RTD("tos.rtd",,"OPEN_INT","."&amp;I$2&amp;I$1&amp;"P"&amp;$A24)="N/A",0,RTD("tos.rtd",,"OPEN_INT","."&amp;I$2&amp;I$1&amp;"P"&amp;$A24)),0),IF($X$1="ABS",IF(RTD("tos.rtd",,$A$2,"."&amp;I$2&amp;I$1&amp;"C"&amp;$A24)="N/A",0,RTD("tos.rtd",,$A$2,"."&amp;I$2&amp;I$1&amp;"C"&amp;$A24))+IF(RTD("tos.rtd",,$A$2,"."&amp;I$2&amp;I$1&amp;"P"&amp;$A24)="N/A",0,RTD("tos.rtd",,$A$2,"."&amp;I$2&amp;I$1&amp;"P"&amp;$A24)),IF(RTD("tos.rtd",,$A$2,"."&amp;I$2&amp;I$1&amp;"C"&amp;$A24)="N/A",0,RTD("tos.rtd",,$A$2,"."&amp;I$2&amp;I$1&amp;"C"&amp;$A24))-IF(RTD("tos.rtd",,$A$2,"."&amp;I$2&amp;I$1&amp;"P"&amp;$A24)="N/A",0,RTD("tos.rtd",,$A$2,"."&amp;I$2&amp;I$1&amp;"P"&amp;$A24))))))))))</f>
        <v>26</v>
      </c>
      <c r="J24" s="12">
        <f ca="1">IF($A$2="PREMIUM_OI",IFERROR(IF($X$1="ABS",(100*RTD("tos.rtd",,"OPEN_INT","."&amp;J$2&amp;J$1&amp;"C"&amp;$A24)*RTD("tos.rtd",,"LAST","."&amp;J$2&amp;J$1&amp;"C"&amp;$A24)+100*RTD("tos.rtd",,"OPEN_INT","."&amp;J$2&amp;J$1&amp;"P"&amp;$A24)*RTD("tos.rtd",,"LAST","."&amp;J$2&amp;J$1&amp;"P"&amp;$A24))/1000000,(100*RTD("tos.rtd",,"OPEN_INT","."&amp;J$2&amp;J$1&amp;"C"&amp;$A24)*RTD("tos.rtd",,"LAST","."&amp;J$2&amp;J$1&amp;"C"&amp;$A24)-100*RTD("tos.rtd",,"OPEN_INT","."&amp;J$2&amp;J$1&amp;"P"&amp;$A24)*RTD("tos.rtd",,"LAST","."&amp;J$2&amp;J$1&amp;"P"&amp;$A24))/1000000),0),IF($A$2="PREMIUM",IFERROR(IF($X$1="ABS",(100*RTD("tos.rtd",,"VOLUME","."&amp;J$2&amp;J$1&amp;"C"&amp;$A24)*RTD("tos.rtd",,"LAST","."&amp;J$2&amp;J$1&amp;"C"&amp;$A24)+100*RTD("tos.rtd",,"VOLUME","."&amp;J$2&amp;J$1&amp;"P"&amp;$A24)*RTD("tos.rtd",,"LAST","."&amp;J$2&amp;J$1&amp;"P"&amp;$A24))/1000000,(100*RTD("tos.rtd",,"VOLUME","."&amp;J$2&amp;J$1&amp;"C"&amp;$A24)*RTD("tos.rtd",,"LAST","."&amp;J$2&amp;J$1&amp;"C"&amp;$A24)-100*RTD("tos.rtd",,"VOLUME","."&amp;J$2&amp;J$1&amp;"P"&amp;$A24)*RTD("tos.rtd",,"LAST","."&amp;J$2&amp;J$1&amp;"P"&amp;$A24))/1000000),0),IF($A$2="DEX",IFERROR(IF($X$1="ABS",(100*RTD("tos.rtd",,"OPEN_INT","."&amp;J$2&amp;J$1&amp;"C"&amp;$A24)*RTD("tos.rtd",,"DELTA","."&amp;J$2&amp;J$1&amp;"C"&amp;$A24)+100*RTD("tos.rtd",,"OPEN_INT","."&amp;J$2&amp;J$1&amp;"P"&amp;$A24)*RTD("tos.rtd",,"DELTA","."&amp;J$2&amp;J$1&amp;"P"&amp;$A24))/1000,(100*RTD("tos.rtd",,"OPEN_INT","."&amp;J$2&amp;J$1&amp;"C"&amp;$A24)*RTD("tos.rtd",,"DELTA","."&amp;J$2&amp;J$1&amp;"C"&amp;$A24)-100*RTD("tos.rtd",,"OPEN_INT","."&amp;J$2&amp;J$1&amp;"P"&amp;$A24)*RTD("tos.rtd",,"DELTA","."&amp;J$2&amp;J$1&amp;"P"&amp;$A24))/1000),0),IF($A$2="VEX",IFERROR(IF($X$1="ABS",($A$4*$A$4*RTD("tos.rtd",,"VOLUME","."&amp;J$2&amp;J$1&amp;"C"&amp;$A24)*RTD("tos.rtd",,"GAMMA","."&amp;J$2&amp;J$1&amp;"C"&amp;$A24)+$A$4*$A$4*RTD("tos.rtd",,"VOLUME","."&amp;J$2&amp;J$1&amp;"P"&amp;$A24)*RTD("tos.rtd",,"GAMMA","."&amp;J$2&amp;J$1&amp;"P"&amp;$A24))/1000000,($A$4*$A$4*RTD("tos.rtd",,"VOLUME","."&amp;J$2&amp;J$1&amp;"C"&amp;$A24)*RTD("tos.rtd",,"GAMMA","."&amp;J$2&amp;J$1&amp;"C"&amp;$A24)-$A$4*$A$4*RTD("tos.rtd",,"VOLUME","."&amp;J$2&amp;J$1&amp;"P"&amp;$A24)*RTD("tos.rtd",,"GAMMA","."&amp;J$2&amp;J$1&amp;"P"&amp;$A24))/1000000),0),IF($A$2="GEX",IFERROR(IF($X$1="ABS",($A$4*$A$4*RTD("tos.rtd",,"OPEN_INT","."&amp;J$2&amp;J$1&amp;"C"&amp;$A24)*RTD("tos.rtd",,"GAMMA","."&amp;J$2&amp;J$1&amp;"C"&amp;$A24)+$A$4*$A$4*RTD("tos.rtd",,"OPEN_INT","."&amp;J$2&amp;J$1&amp;"P"&amp;$A24)*RTD("tos.rtd",,"GAMMA","."&amp;J$2&amp;J$1&amp;"P"&amp;$A24))/1000000,($A$4*$A$4*RTD("tos.rtd",,"OPEN_INT","."&amp;J$2&amp;J$1&amp;"C"&amp;$A24)*RTD("tos.rtd",,"GAMMA","."&amp;J$2&amp;J$1&amp;"C"&amp;$A24)-$A$4*$A$4*RTD("tos.rtd",,"OPEN_INT","."&amp;J$2&amp;J$1&amp;"P"&amp;$A24)*RTD("tos.rtd",,"GAMMA","."&amp;J$2&amp;J$1&amp;"P"&amp;$A24))/1000000),0),IF($A$2="SKEW",IFERROR(VALUE(IF(RTD("tos.rtd",,"IMPL_VOL","."&amp;J$2&amp;J$1&amp;"P"&amp;$A24)="N/A",0,RTD("tos.rtd",,"IMPL_VOL","."&amp;J$2&amp;J$1&amp;"P"&amp;$A24))),0)-IFERROR(VALUE(IF(RTD("tos.rtd",,"IMPL_VOL","."&amp;J$2&amp;J$1&amp;"C"&amp;$A24)="N/A",0,RTD("tos.rtd",,"IMPL_VOL","."&amp;J$2&amp;J$1&amp;"C"&amp;$A24))),0),IF($A$2="MAXPAIN",IF($A$4&gt;$A24,($A$4-$A24)*IF(RTD("tos.rtd",,"OPEN_INT","."&amp;J$2&amp;J$1&amp;"C"&amp;$A24)="N/A",0,RTD("tos.rtd",,"OPEN_INT","."&amp;J$2&amp;J$1&amp;"C"&amp;$A24)),0)+IF($A$4&lt;$A24,($A$5-$A$4)*IF(RTD("tos.rtd",,"OPEN_INT","."&amp;J$2&amp;J$1&amp;"P"&amp;$A24)="N/A",0,RTD("tos.rtd",,"OPEN_INT","."&amp;J$2&amp;J$1&amp;"P"&amp;$A24)),0),IF($X$1="ABS",IF(RTD("tos.rtd",,$A$2,"."&amp;J$2&amp;J$1&amp;"C"&amp;$A24)="N/A",0,RTD("tos.rtd",,$A$2,"."&amp;J$2&amp;J$1&amp;"C"&amp;$A24))+IF(RTD("tos.rtd",,$A$2,"."&amp;J$2&amp;J$1&amp;"P"&amp;$A24)="N/A",0,RTD("tos.rtd",,$A$2,"."&amp;J$2&amp;J$1&amp;"P"&amp;$A24)),IF(RTD("tos.rtd",,$A$2,"."&amp;J$2&amp;J$1&amp;"C"&amp;$A24)="N/A",0,RTD("tos.rtd",,$A$2,"."&amp;J$2&amp;J$1&amp;"C"&amp;$A24))-IF(RTD("tos.rtd",,$A$2,"."&amp;J$2&amp;J$1&amp;"P"&amp;$A24)="N/A",0,RTD("tos.rtd",,$A$2,"."&amp;J$2&amp;J$1&amp;"P"&amp;$A24))))))))))</f>
        <v>0</v>
      </c>
      <c r="K24" s="12">
        <f ca="1">IF($A$2="PREMIUM_OI",IFERROR(IF($X$1="ABS",(100*RTD("tos.rtd",,"OPEN_INT","."&amp;K$2&amp;K$1&amp;"C"&amp;$A24)*RTD("tos.rtd",,"LAST","."&amp;K$2&amp;K$1&amp;"C"&amp;$A24)+100*RTD("tos.rtd",,"OPEN_INT","."&amp;K$2&amp;K$1&amp;"P"&amp;$A24)*RTD("tos.rtd",,"LAST","."&amp;K$2&amp;K$1&amp;"P"&amp;$A24))/1000000,(100*RTD("tos.rtd",,"OPEN_INT","."&amp;K$2&amp;K$1&amp;"C"&amp;$A24)*RTD("tos.rtd",,"LAST","."&amp;K$2&amp;K$1&amp;"C"&amp;$A24)-100*RTD("tos.rtd",,"OPEN_INT","."&amp;K$2&amp;K$1&amp;"P"&amp;$A24)*RTD("tos.rtd",,"LAST","."&amp;K$2&amp;K$1&amp;"P"&amp;$A24))/1000000),0),IF($A$2="PREMIUM",IFERROR(IF($X$1="ABS",(100*RTD("tos.rtd",,"VOLUME","."&amp;K$2&amp;K$1&amp;"C"&amp;$A24)*RTD("tos.rtd",,"LAST","."&amp;K$2&amp;K$1&amp;"C"&amp;$A24)+100*RTD("tos.rtd",,"VOLUME","."&amp;K$2&amp;K$1&amp;"P"&amp;$A24)*RTD("tos.rtd",,"LAST","."&amp;K$2&amp;K$1&amp;"P"&amp;$A24))/1000000,(100*RTD("tos.rtd",,"VOLUME","."&amp;K$2&amp;K$1&amp;"C"&amp;$A24)*RTD("tos.rtd",,"LAST","."&amp;K$2&amp;K$1&amp;"C"&amp;$A24)-100*RTD("tos.rtd",,"VOLUME","."&amp;K$2&amp;K$1&amp;"P"&amp;$A24)*RTD("tos.rtd",,"LAST","."&amp;K$2&amp;K$1&amp;"P"&amp;$A24))/1000000),0),IF($A$2="DEX",IFERROR(IF($X$1="ABS",(100*RTD("tos.rtd",,"OPEN_INT","."&amp;K$2&amp;K$1&amp;"C"&amp;$A24)*RTD("tos.rtd",,"DELTA","."&amp;K$2&amp;K$1&amp;"C"&amp;$A24)+100*RTD("tos.rtd",,"OPEN_INT","."&amp;K$2&amp;K$1&amp;"P"&amp;$A24)*RTD("tos.rtd",,"DELTA","."&amp;K$2&amp;K$1&amp;"P"&amp;$A24))/1000,(100*RTD("tos.rtd",,"OPEN_INT","."&amp;K$2&amp;K$1&amp;"C"&amp;$A24)*RTD("tos.rtd",,"DELTA","."&amp;K$2&amp;K$1&amp;"C"&amp;$A24)-100*RTD("tos.rtd",,"OPEN_INT","."&amp;K$2&amp;K$1&amp;"P"&amp;$A24)*RTD("tos.rtd",,"DELTA","."&amp;K$2&amp;K$1&amp;"P"&amp;$A24))/1000),0),IF($A$2="VEX",IFERROR(IF($X$1="ABS",($A$4*$A$4*RTD("tos.rtd",,"VOLUME","."&amp;K$2&amp;K$1&amp;"C"&amp;$A24)*RTD("tos.rtd",,"GAMMA","."&amp;K$2&amp;K$1&amp;"C"&amp;$A24)+$A$4*$A$4*RTD("tos.rtd",,"VOLUME","."&amp;K$2&amp;K$1&amp;"P"&amp;$A24)*RTD("tos.rtd",,"GAMMA","."&amp;K$2&amp;K$1&amp;"P"&amp;$A24))/1000000,($A$4*$A$4*RTD("tos.rtd",,"VOLUME","."&amp;K$2&amp;K$1&amp;"C"&amp;$A24)*RTD("tos.rtd",,"GAMMA","."&amp;K$2&amp;K$1&amp;"C"&amp;$A24)-$A$4*$A$4*RTD("tos.rtd",,"VOLUME","."&amp;K$2&amp;K$1&amp;"P"&amp;$A24)*RTD("tos.rtd",,"GAMMA","."&amp;K$2&amp;K$1&amp;"P"&amp;$A24))/1000000),0),IF($A$2="GEX",IFERROR(IF($X$1="ABS",($A$4*$A$4*RTD("tos.rtd",,"OPEN_INT","."&amp;K$2&amp;K$1&amp;"C"&amp;$A24)*RTD("tos.rtd",,"GAMMA","."&amp;K$2&amp;K$1&amp;"C"&amp;$A24)+$A$4*$A$4*RTD("tos.rtd",,"OPEN_INT","."&amp;K$2&amp;K$1&amp;"P"&amp;$A24)*RTD("tos.rtd",,"GAMMA","."&amp;K$2&amp;K$1&amp;"P"&amp;$A24))/1000000,($A$4*$A$4*RTD("tos.rtd",,"OPEN_INT","."&amp;K$2&amp;K$1&amp;"C"&amp;$A24)*RTD("tos.rtd",,"GAMMA","."&amp;K$2&amp;K$1&amp;"C"&amp;$A24)-$A$4*$A$4*RTD("tos.rtd",,"OPEN_INT","."&amp;K$2&amp;K$1&amp;"P"&amp;$A24)*RTD("tos.rtd",,"GAMMA","."&amp;K$2&amp;K$1&amp;"P"&amp;$A24))/1000000),0),IF($A$2="SKEW",IFERROR(VALUE(IF(RTD("tos.rtd",,"IMPL_VOL","."&amp;K$2&amp;K$1&amp;"P"&amp;$A24)="N/A",0,RTD("tos.rtd",,"IMPL_VOL","."&amp;K$2&amp;K$1&amp;"P"&amp;$A24))),0)-IFERROR(VALUE(IF(RTD("tos.rtd",,"IMPL_VOL","."&amp;K$2&amp;K$1&amp;"C"&amp;$A24)="N/A",0,RTD("tos.rtd",,"IMPL_VOL","."&amp;K$2&amp;K$1&amp;"C"&amp;$A24))),0),IF($A$2="MAXPAIN",IF($A$4&gt;$A24,($A$4-$A24)*IF(RTD("tos.rtd",,"OPEN_INT","."&amp;K$2&amp;K$1&amp;"C"&amp;$A24)="N/A",0,RTD("tos.rtd",,"OPEN_INT","."&amp;K$2&amp;K$1&amp;"C"&amp;$A24)),0)+IF($A$4&lt;$A24,($A$5-$A$4)*IF(RTD("tos.rtd",,"OPEN_INT","."&amp;K$2&amp;K$1&amp;"P"&amp;$A24)="N/A",0,RTD("tos.rtd",,"OPEN_INT","."&amp;K$2&amp;K$1&amp;"P"&amp;$A24)),0),IF($X$1="ABS",IF(RTD("tos.rtd",,$A$2,"."&amp;K$2&amp;K$1&amp;"C"&amp;$A24)="N/A",0,RTD("tos.rtd",,$A$2,"."&amp;K$2&amp;K$1&amp;"C"&amp;$A24))+IF(RTD("tos.rtd",,$A$2,"."&amp;K$2&amp;K$1&amp;"P"&amp;$A24)="N/A",0,RTD("tos.rtd",,$A$2,"."&amp;K$2&amp;K$1&amp;"P"&amp;$A24)),IF(RTD("tos.rtd",,$A$2,"."&amp;K$2&amp;K$1&amp;"C"&amp;$A24)="N/A",0,RTD("tos.rtd",,$A$2,"."&amp;K$2&amp;K$1&amp;"C"&amp;$A24))-IF(RTD("tos.rtd",,$A$2,"."&amp;K$2&amp;K$1&amp;"P"&amp;$A24)="N/A",0,RTD("tos.rtd",,$A$2,"."&amp;K$2&amp;K$1&amp;"P"&amp;$A24))))))))))</f>
        <v>0</v>
      </c>
      <c r="L24" s="54">
        <f ca="1">IF($A$2="PREMIUM_OI",IFERROR(IF($X$1="ABS",(100*RTD("tos.rtd",,"OPEN_INT","."&amp;L$2&amp;L$1&amp;"C"&amp;$A24)*RTD("tos.rtd",,"LAST","."&amp;L$2&amp;L$1&amp;"C"&amp;$A24)+100*RTD("tos.rtd",,"OPEN_INT","."&amp;L$2&amp;L$1&amp;"P"&amp;$A24)*RTD("tos.rtd",,"LAST","."&amp;L$2&amp;L$1&amp;"P"&amp;$A24))/1000000,(100*RTD("tos.rtd",,"OPEN_INT","."&amp;L$2&amp;L$1&amp;"C"&amp;$A24)*RTD("tos.rtd",,"LAST","."&amp;L$2&amp;L$1&amp;"C"&amp;$A24)-100*RTD("tos.rtd",,"OPEN_INT","."&amp;L$2&amp;L$1&amp;"P"&amp;$A24)*RTD("tos.rtd",,"LAST","."&amp;L$2&amp;L$1&amp;"P"&amp;$A24))/1000000),0),IF($A$2="PREMIUM",IFERROR(IF($X$1="ABS",(100*RTD("tos.rtd",,"VOLUME","."&amp;L$2&amp;L$1&amp;"C"&amp;$A24)*RTD("tos.rtd",,"LAST","."&amp;L$2&amp;L$1&amp;"C"&amp;$A24)+100*RTD("tos.rtd",,"VOLUME","."&amp;L$2&amp;L$1&amp;"P"&amp;$A24)*RTD("tos.rtd",,"LAST","."&amp;L$2&amp;L$1&amp;"P"&amp;$A24))/1000000,(100*RTD("tos.rtd",,"VOLUME","."&amp;L$2&amp;L$1&amp;"C"&amp;$A24)*RTD("tos.rtd",,"LAST","."&amp;L$2&amp;L$1&amp;"C"&amp;$A24)-100*RTD("tos.rtd",,"VOLUME","."&amp;L$2&amp;L$1&amp;"P"&amp;$A24)*RTD("tos.rtd",,"LAST","."&amp;L$2&amp;L$1&amp;"P"&amp;$A24))/1000000),0),IF($A$2="DEX",IFERROR(IF($X$1="ABS",(100*RTD("tos.rtd",,"OPEN_INT","."&amp;L$2&amp;L$1&amp;"C"&amp;$A24)*RTD("tos.rtd",,"DELTA","."&amp;L$2&amp;L$1&amp;"C"&amp;$A24)+100*RTD("tos.rtd",,"OPEN_INT","."&amp;L$2&amp;L$1&amp;"P"&amp;$A24)*RTD("tos.rtd",,"DELTA","."&amp;L$2&amp;L$1&amp;"P"&amp;$A24))/1000,(100*RTD("tos.rtd",,"OPEN_INT","."&amp;L$2&amp;L$1&amp;"C"&amp;$A24)*RTD("tos.rtd",,"DELTA","."&amp;L$2&amp;L$1&amp;"C"&amp;$A24)-100*RTD("tos.rtd",,"OPEN_INT","."&amp;L$2&amp;L$1&amp;"P"&amp;$A24)*RTD("tos.rtd",,"DELTA","."&amp;L$2&amp;L$1&amp;"P"&amp;$A24))/1000),0),IF($A$2="VEX",IFERROR(IF($X$1="ABS",($A$4*$A$4*RTD("tos.rtd",,"VOLUME","."&amp;L$2&amp;L$1&amp;"C"&amp;$A24)*RTD("tos.rtd",,"GAMMA","."&amp;L$2&amp;L$1&amp;"C"&amp;$A24)+$A$4*$A$4*RTD("tos.rtd",,"VOLUME","."&amp;L$2&amp;L$1&amp;"P"&amp;$A24)*RTD("tos.rtd",,"GAMMA","."&amp;L$2&amp;L$1&amp;"P"&amp;$A24))/1000000,($A$4*$A$4*RTD("tos.rtd",,"VOLUME","."&amp;L$2&amp;L$1&amp;"C"&amp;$A24)*RTD("tos.rtd",,"GAMMA","."&amp;L$2&amp;L$1&amp;"C"&amp;$A24)-$A$4*$A$4*RTD("tos.rtd",,"VOLUME","."&amp;L$2&amp;L$1&amp;"P"&amp;$A24)*RTD("tos.rtd",,"GAMMA","."&amp;L$2&amp;L$1&amp;"P"&amp;$A24))/1000000),0),IF($A$2="GEX",IFERROR(IF($X$1="ABS",($A$4*$A$4*RTD("tos.rtd",,"OPEN_INT","."&amp;L$2&amp;L$1&amp;"C"&amp;$A24)*RTD("tos.rtd",,"GAMMA","."&amp;L$2&amp;L$1&amp;"C"&amp;$A24)+$A$4*$A$4*RTD("tos.rtd",,"OPEN_INT","."&amp;L$2&amp;L$1&amp;"P"&amp;$A24)*RTD("tos.rtd",,"GAMMA","."&amp;L$2&amp;L$1&amp;"P"&amp;$A24))/1000000,($A$4*$A$4*RTD("tos.rtd",,"OPEN_INT","."&amp;L$2&amp;L$1&amp;"C"&amp;$A24)*RTD("tos.rtd",,"GAMMA","."&amp;L$2&amp;L$1&amp;"C"&amp;$A24)-$A$4*$A$4*RTD("tos.rtd",,"OPEN_INT","."&amp;L$2&amp;L$1&amp;"P"&amp;$A24)*RTD("tos.rtd",,"GAMMA","."&amp;L$2&amp;L$1&amp;"P"&amp;$A24))/1000000),0),IF($A$2="SKEW",IFERROR(VALUE(IF(RTD("tos.rtd",,"IMPL_VOL","."&amp;L$2&amp;L$1&amp;"P"&amp;$A24)="N/A",0,RTD("tos.rtd",,"IMPL_VOL","."&amp;L$2&amp;L$1&amp;"P"&amp;$A24))),0)-IFERROR(VALUE(IF(RTD("tos.rtd",,"IMPL_VOL","."&amp;L$2&amp;L$1&amp;"C"&amp;$A24)="N/A",0,RTD("tos.rtd",,"IMPL_VOL","."&amp;L$2&amp;L$1&amp;"C"&amp;$A24))),0),IF($A$2="MAXPAIN",IF($A$4&gt;$A24,($A$4-$A24)*IF(RTD("tos.rtd",,"OPEN_INT","."&amp;L$2&amp;L$1&amp;"C"&amp;$A24)="N/A",0,RTD("tos.rtd",,"OPEN_INT","."&amp;L$2&amp;L$1&amp;"C"&amp;$A24)),0)+IF($A$4&lt;$A24,($A$5-$A$4)*IF(RTD("tos.rtd",,"OPEN_INT","."&amp;L$2&amp;L$1&amp;"P"&amp;$A24)="N/A",0,RTD("tos.rtd",,"OPEN_INT","."&amp;L$2&amp;L$1&amp;"P"&amp;$A24)),0),IF($X$1="ABS",IF(RTD("tos.rtd",,$A$2,"."&amp;L$2&amp;L$1&amp;"C"&amp;$A24)="N/A",0,RTD("tos.rtd",,$A$2,"."&amp;L$2&amp;L$1&amp;"C"&amp;$A24))+IF(RTD("tos.rtd",,$A$2,"."&amp;L$2&amp;L$1&amp;"P"&amp;$A24)="N/A",0,RTD("tos.rtd",,$A$2,"."&amp;L$2&amp;L$1&amp;"P"&amp;$A24)),IF(RTD("tos.rtd",,$A$2,"."&amp;L$2&amp;L$1&amp;"C"&amp;$A24)="N/A",0,RTD("tos.rtd",,$A$2,"."&amp;L$2&amp;L$1&amp;"C"&amp;$A24))-IF(RTD("tos.rtd",,$A$2,"."&amp;L$2&amp;L$1&amp;"P"&amp;$A24)="N/A",0,RTD("tos.rtd",,$A$2,"."&amp;L$2&amp;L$1&amp;"P"&amp;$A24))))))))))</f>
        <v>17333</v>
      </c>
      <c r="M24" s="12">
        <f ca="1">IF($A$2="PREMIUM_OI",IFERROR(IF($X$1="ABS",(100*RTD("tos.rtd",,"OPEN_INT","."&amp;M$2&amp;M$1&amp;"C"&amp;$A24)*RTD("tos.rtd",,"LAST","."&amp;M$2&amp;M$1&amp;"C"&amp;$A24)+100*RTD("tos.rtd",,"OPEN_INT","."&amp;M$2&amp;M$1&amp;"P"&amp;$A24)*RTD("tos.rtd",,"LAST","."&amp;M$2&amp;M$1&amp;"P"&amp;$A24))/1000000,(100*RTD("tos.rtd",,"OPEN_INT","."&amp;M$2&amp;M$1&amp;"C"&amp;$A24)*RTD("tos.rtd",,"LAST","."&amp;M$2&amp;M$1&amp;"C"&amp;$A24)-100*RTD("tos.rtd",,"OPEN_INT","."&amp;M$2&amp;M$1&amp;"P"&amp;$A24)*RTD("tos.rtd",,"LAST","."&amp;M$2&amp;M$1&amp;"P"&amp;$A24))/1000000),0),IF($A$2="PREMIUM",IFERROR(IF($X$1="ABS",(100*RTD("tos.rtd",,"VOLUME","."&amp;M$2&amp;M$1&amp;"C"&amp;$A24)*RTD("tos.rtd",,"LAST","."&amp;M$2&amp;M$1&amp;"C"&amp;$A24)+100*RTD("tos.rtd",,"VOLUME","."&amp;M$2&amp;M$1&amp;"P"&amp;$A24)*RTD("tos.rtd",,"LAST","."&amp;M$2&amp;M$1&amp;"P"&amp;$A24))/1000000,(100*RTD("tos.rtd",,"VOLUME","."&amp;M$2&amp;M$1&amp;"C"&amp;$A24)*RTD("tos.rtd",,"LAST","."&amp;M$2&amp;M$1&amp;"C"&amp;$A24)-100*RTD("tos.rtd",,"VOLUME","."&amp;M$2&amp;M$1&amp;"P"&amp;$A24)*RTD("tos.rtd",,"LAST","."&amp;M$2&amp;M$1&amp;"P"&amp;$A24))/1000000),0),IF($A$2="DEX",IFERROR(IF($X$1="ABS",(100*RTD("tos.rtd",,"OPEN_INT","."&amp;M$2&amp;M$1&amp;"C"&amp;$A24)*RTD("tos.rtd",,"DELTA","."&amp;M$2&amp;M$1&amp;"C"&amp;$A24)+100*RTD("tos.rtd",,"OPEN_INT","."&amp;M$2&amp;M$1&amp;"P"&amp;$A24)*RTD("tos.rtd",,"DELTA","."&amp;M$2&amp;M$1&amp;"P"&amp;$A24))/1000,(100*RTD("tos.rtd",,"OPEN_INT","."&amp;M$2&amp;M$1&amp;"C"&amp;$A24)*RTD("tos.rtd",,"DELTA","."&amp;M$2&amp;M$1&amp;"C"&amp;$A24)-100*RTD("tos.rtd",,"OPEN_INT","."&amp;M$2&amp;M$1&amp;"P"&amp;$A24)*RTD("tos.rtd",,"DELTA","."&amp;M$2&amp;M$1&amp;"P"&amp;$A24))/1000),0),IF($A$2="VEX",IFERROR(IF($X$1="ABS",($A$4*$A$4*RTD("tos.rtd",,"VOLUME","."&amp;M$2&amp;M$1&amp;"C"&amp;$A24)*RTD("tos.rtd",,"GAMMA","."&amp;M$2&amp;M$1&amp;"C"&amp;$A24)+$A$4*$A$4*RTD("tos.rtd",,"VOLUME","."&amp;M$2&amp;M$1&amp;"P"&amp;$A24)*RTD("tos.rtd",,"GAMMA","."&amp;M$2&amp;M$1&amp;"P"&amp;$A24))/1000000,($A$4*$A$4*RTD("tos.rtd",,"VOLUME","."&amp;M$2&amp;M$1&amp;"C"&amp;$A24)*RTD("tos.rtd",,"GAMMA","."&amp;M$2&amp;M$1&amp;"C"&amp;$A24)-$A$4*$A$4*RTD("tos.rtd",,"VOLUME","."&amp;M$2&amp;M$1&amp;"P"&amp;$A24)*RTD("tos.rtd",,"GAMMA","."&amp;M$2&amp;M$1&amp;"P"&amp;$A24))/1000000),0),IF($A$2="GEX",IFERROR(IF($X$1="ABS",($A$4*$A$4*RTD("tos.rtd",,"OPEN_INT","."&amp;M$2&amp;M$1&amp;"C"&amp;$A24)*RTD("tos.rtd",,"GAMMA","."&amp;M$2&amp;M$1&amp;"C"&amp;$A24)+$A$4*$A$4*RTD("tos.rtd",,"OPEN_INT","."&amp;M$2&amp;M$1&amp;"P"&amp;$A24)*RTD("tos.rtd",,"GAMMA","."&amp;M$2&amp;M$1&amp;"P"&amp;$A24))/1000000,($A$4*$A$4*RTD("tos.rtd",,"OPEN_INT","."&amp;M$2&amp;M$1&amp;"C"&amp;$A24)*RTD("tos.rtd",,"GAMMA","."&amp;M$2&amp;M$1&amp;"C"&amp;$A24)-$A$4*$A$4*RTD("tos.rtd",,"OPEN_INT","."&amp;M$2&amp;M$1&amp;"P"&amp;$A24)*RTD("tos.rtd",,"GAMMA","."&amp;M$2&amp;M$1&amp;"P"&amp;$A24))/1000000),0),IF($A$2="SKEW",IFERROR(VALUE(IF(RTD("tos.rtd",,"IMPL_VOL","."&amp;M$2&amp;M$1&amp;"P"&amp;$A24)="N/A",0,RTD("tos.rtd",,"IMPL_VOL","."&amp;M$2&amp;M$1&amp;"P"&amp;$A24))),0)-IFERROR(VALUE(IF(RTD("tos.rtd",,"IMPL_VOL","."&amp;M$2&amp;M$1&amp;"C"&amp;$A24)="N/A",0,RTD("tos.rtd",,"IMPL_VOL","."&amp;M$2&amp;M$1&amp;"C"&amp;$A24))),0),IF($A$2="MAXPAIN",IF($A$4&gt;$A24,($A$4-$A24)*IF(RTD("tos.rtd",,"OPEN_INT","."&amp;M$2&amp;M$1&amp;"C"&amp;$A24)="N/A",0,RTD("tos.rtd",,"OPEN_INT","."&amp;M$2&amp;M$1&amp;"C"&amp;$A24)),0)+IF($A$4&lt;$A24,($A$5-$A$4)*IF(RTD("tos.rtd",,"OPEN_INT","."&amp;M$2&amp;M$1&amp;"P"&amp;$A24)="N/A",0,RTD("tos.rtd",,"OPEN_INT","."&amp;M$2&amp;M$1&amp;"P"&amp;$A24)),0),IF($X$1="ABS",IF(RTD("tos.rtd",,$A$2,"."&amp;M$2&amp;M$1&amp;"C"&amp;$A24)="N/A",0,RTD("tos.rtd",,$A$2,"."&amp;M$2&amp;M$1&amp;"C"&amp;$A24))+IF(RTD("tos.rtd",,$A$2,"."&amp;M$2&amp;M$1&amp;"P"&amp;$A24)="N/A",0,RTD("tos.rtd",,$A$2,"."&amp;M$2&amp;M$1&amp;"P"&amp;$A24)),IF(RTD("tos.rtd",,$A$2,"."&amp;M$2&amp;M$1&amp;"C"&amp;$A24)="N/A",0,RTD("tos.rtd",,$A$2,"."&amp;M$2&amp;M$1&amp;"C"&amp;$A24))-IF(RTD("tos.rtd",,$A$2,"."&amp;M$2&amp;M$1&amp;"P"&amp;$A24)="N/A",0,RTD("tos.rtd",,$A$2,"."&amp;M$2&amp;M$1&amp;"P"&amp;$A24))))))))))</f>
        <v>3593</v>
      </c>
      <c r="N24" s="12">
        <f ca="1">IF($A$2="PREMIUM_OI",IFERROR(IF($X$1="ABS",(100*RTD("tos.rtd",,"OPEN_INT","."&amp;N$2&amp;N$1&amp;"C"&amp;$A24)*RTD("tos.rtd",,"LAST","."&amp;N$2&amp;N$1&amp;"C"&amp;$A24)+100*RTD("tos.rtd",,"OPEN_INT","."&amp;N$2&amp;N$1&amp;"P"&amp;$A24)*RTD("tos.rtd",,"LAST","."&amp;N$2&amp;N$1&amp;"P"&amp;$A24))/1000000,(100*RTD("tos.rtd",,"OPEN_INT","."&amp;N$2&amp;N$1&amp;"C"&amp;$A24)*RTD("tos.rtd",,"LAST","."&amp;N$2&amp;N$1&amp;"C"&amp;$A24)-100*RTD("tos.rtd",,"OPEN_INT","."&amp;N$2&amp;N$1&amp;"P"&amp;$A24)*RTD("tos.rtd",,"LAST","."&amp;N$2&amp;N$1&amp;"P"&amp;$A24))/1000000),0),IF($A$2="PREMIUM",IFERROR(IF($X$1="ABS",(100*RTD("tos.rtd",,"VOLUME","."&amp;N$2&amp;N$1&amp;"C"&amp;$A24)*RTD("tos.rtd",,"LAST","."&amp;N$2&amp;N$1&amp;"C"&amp;$A24)+100*RTD("tos.rtd",,"VOLUME","."&amp;N$2&amp;N$1&amp;"P"&amp;$A24)*RTD("tos.rtd",,"LAST","."&amp;N$2&amp;N$1&amp;"P"&amp;$A24))/1000000,(100*RTD("tos.rtd",,"VOLUME","."&amp;N$2&amp;N$1&amp;"C"&amp;$A24)*RTD("tos.rtd",,"LAST","."&amp;N$2&amp;N$1&amp;"C"&amp;$A24)-100*RTD("tos.rtd",,"VOLUME","."&amp;N$2&amp;N$1&amp;"P"&amp;$A24)*RTD("tos.rtd",,"LAST","."&amp;N$2&amp;N$1&amp;"P"&amp;$A24))/1000000),0),IF($A$2="DEX",IFERROR(IF($X$1="ABS",(100*RTD("tos.rtd",,"OPEN_INT","."&amp;N$2&amp;N$1&amp;"C"&amp;$A24)*RTD("tos.rtd",,"DELTA","."&amp;N$2&amp;N$1&amp;"C"&amp;$A24)+100*RTD("tos.rtd",,"OPEN_INT","."&amp;N$2&amp;N$1&amp;"P"&amp;$A24)*RTD("tos.rtd",,"DELTA","."&amp;N$2&amp;N$1&amp;"P"&amp;$A24))/1000,(100*RTD("tos.rtd",,"OPEN_INT","."&amp;N$2&amp;N$1&amp;"C"&amp;$A24)*RTD("tos.rtd",,"DELTA","."&amp;N$2&amp;N$1&amp;"C"&amp;$A24)-100*RTD("tos.rtd",,"OPEN_INT","."&amp;N$2&amp;N$1&amp;"P"&amp;$A24)*RTD("tos.rtd",,"DELTA","."&amp;N$2&amp;N$1&amp;"P"&amp;$A24))/1000),0),IF($A$2="VEX",IFERROR(IF($X$1="ABS",($A$4*$A$4*RTD("tos.rtd",,"VOLUME","."&amp;N$2&amp;N$1&amp;"C"&amp;$A24)*RTD("tos.rtd",,"GAMMA","."&amp;N$2&amp;N$1&amp;"C"&amp;$A24)+$A$4*$A$4*RTD("tos.rtd",,"VOLUME","."&amp;N$2&amp;N$1&amp;"P"&amp;$A24)*RTD("tos.rtd",,"GAMMA","."&amp;N$2&amp;N$1&amp;"P"&amp;$A24))/1000000,($A$4*$A$4*RTD("tos.rtd",,"VOLUME","."&amp;N$2&amp;N$1&amp;"C"&amp;$A24)*RTD("tos.rtd",,"GAMMA","."&amp;N$2&amp;N$1&amp;"C"&amp;$A24)-$A$4*$A$4*RTD("tos.rtd",,"VOLUME","."&amp;N$2&amp;N$1&amp;"P"&amp;$A24)*RTD("tos.rtd",,"GAMMA","."&amp;N$2&amp;N$1&amp;"P"&amp;$A24))/1000000),0),IF($A$2="GEX",IFERROR(IF($X$1="ABS",($A$4*$A$4*RTD("tos.rtd",,"OPEN_INT","."&amp;N$2&amp;N$1&amp;"C"&amp;$A24)*RTD("tos.rtd",,"GAMMA","."&amp;N$2&amp;N$1&amp;"C"&amp;$A24)+$A$4*$A$4*RTD("tos.rtd",,"OPEN_INT","."&amp;N$2&amp;N$1&amp;"P"&amp;$A24)*RTD("tos.rtd",,"GAMMA","."&amp;N$2&amp;N$1&amp;"P"&amp;$A24))/1000000,($A$4*$A$4*RTD("tos.rtd",,"OPEN_INT","."&amp;N$2&amp;N$1&amp;"C"&amp;$A24)*RTD("tos.rtd",,"GAMMA","."&amp;N$2&amp;N$1&amp;"C"&amp;$A24)-$A$4*$A$4*RTD("tos.rtd",,"OPEN_INT","."&amp;N$2&amp;N$1&amp;"P"&amp;$A24)*RTD("tos.rtd",,"GAMMA","."&amp;N$2&amp;N$1&amp;"P"&amp;$A24))/1000000),0),IF($A$2="SKEW",IFERROR(VALUE(IF(RTD("tos.rtd",,"IMPL_VOL","."&amp;N$2&amp;N$1&amp;"P"&amp;$A24)="N/A",0,RTD("tos.rtd",,"IMPL_VOL","."&amp;N$2&amp;N$1&amp;"P"&amp;$A24))),0)-IFERROR(VALUE(IF(RTD("tos.rtd",,"IMPL_VOL","."&amp;N$2&amp;N$1&amp;"C"&amp;$A24)="N/A",0,RTD("tos.rtd",,"IMPL_VOL","."&amp;N$2&amp;N$1&amp;"C"&amp;$A24))),0),IF($A$2="MAXPAIN",IF($A$4&gt;$A24,($A$4-$A24)*IF(RTD("tos.rtd",,"OPEN_INT","."&amp;N$2&amp;N$1&amp;"C"&amp;$A24)="N/A",0,RTD("tos.rtd",,"OPEN_INT","."&amp;N$2&amp;N$1&amp;"C"&amp;$A24)),0)+IF($A$4&lt;$A24,($A$5-$A$4)*IF(RTD("tos.rtd",,"OPEN_INT","."&amp;N$2&amp;N$1&amp;"P"&amp;$A24)="N/A",0,RTD("tos.rtd",,"OPEN_INT","."&amp;N$2&amp;N$1&amp;"P"&amp;$A24)),0),IF($X$1="ABS",IF(RTD("tos.rtd",,$A$2,"."&amp;N$2&amp;N$1&amp;"C"&amp;$A24)="N/A",0,RTD("tos.rtd",,$A$2,"."&amp;N$2&amp;N$1&amp;"C"&amp;$A24))+IF(RTD("tos.rtd",,$A$2,"."&amp;N$2&amp;N$1&amp;"P"&amp;$A24)="N/A",0,RTD("tos.rtd",,$A$2,"."&amp;N$2&amp;N$1&amp;"P"&amp;$A24)),IF(RTD("tos.rtd",,$A$2,"."&amp;N$2&amp;N$1&amp;"C"&amp;$A24)="N/A",0,RTD("tos.rtd",,$A$2,"."&amp;N$2&amp;N$1&amp;"C"&amp;$A24))-IF(RTD("tos.rtd",,$A$2,"."&amp;N$2&amp;N$1&amp;"P"&amp;$A24)="N/A",0,RTD("tos.rtd",,$A$2,"."&amp;N$2&amp;N$1&amp;"P"&amp;$A24))))))))))</f>
        <v>0</v>
      </c>
      <c r="O24" s="12">
        <f ca="1">IF($A$2="PREMIUM_OI",IFERROR(IF($X$1="ABS",(100*RTD("tos.rtd",,"OPEN_INT","."&amp;O$2&amp;O$1&amp;"C"&amp;$A24)*RTD("tos.rtd",,"LAST","."&amp;O$2&amp;O$1&amp;"C"&amp;$A24)+100*RTD("tos.rtd",,"OPEN_INT","."&amp;O$2&amp;O$1&amp;"P"&amp;$A24)*RTD("tos.rtd",,"LAST","."&amp;O$2&amp;O$1&amp;"P"&amp;$A24))/1000000,(100*RTD("tos.rtd",,"OPEN_INT","."&amp;O$2&amp;O$1&amp;"C"&amp;$A24)*RTD("tos.rtd",,"LAST","."&amp;O$2&amp;O$1&amp;"C"&amp;$A24)-100*RTD("tos.rtd",,"OPEN_INT","."&amp;O$2&amp;O$1&amp;"P"&amp;$A24)*RTD("tos.rtd",,"LAST","."&amp;O$2&amp;O$1&amp;"P"&amp;$A24))/1000000),0),IF($A$2="PREMIUM",IFERROR(IF($X$1="ABS",(100*RTD("tos.rtd",,"VOLUME","."&amp;O$2&amp;O$1&amp;"C"&amp;$A24)*RTD("tos.rtd",,"LAST","."&amp;O$2&amp;O$1&amp;"C"&amp;$A24)+100*RTD("tos.rtd",,"VOLUME","."&amp;O$2&amp;O$1&amp;"P"&amp;$A24)*RTD("tos.rtd",,"LAST","."&amp;O$2&amp;O$1&amp;"P"&amp;$A24))/1000000,(100*RTD("tos.rtd",,"VOLUME","."&amp;O$2&amp;O$1&amp;"C"&amp;$A24)*RTD("tos.rtd",,"LAST","."&amp;O$2&amp;O$1&amp;"C"&amp;$A24)-100*RTD("tos.rtd",,"VOLUME","."&amp;O$2&amp;O$1&amp;"P"&amp;$A24)*RTD("tos.rtd",,"LAST","."&amp;O$2&amp;O$1&amp;"P"&amp;$A24))/1000000),0),IF($A$2="DEX",IFERROR(IF($X$1="ABS",(100*RTD("tos.rtd",,"OPEN_INT","."&amp;O$2&amp;O$1&amp;"C"&amp;$A24)*RTD("tos.rtd",,"DELTA","."&amp;O$2&amp;O$1&amp;"C"&amp;$A24)+100*RTD("tos.rtd",,"OPEN_INT","."&amp;O$2&amp;O$1&amp;"P"&amp;$A24)*RTD("tos.rtd",,"DELTA","."&amp;O$2&amp;O$1&amp;"P"&amp;$A24))/1000,(100*RTD("tos.rtd",,"OPEN_INT","."&amp;O$2&amp;O$1&amp;"C"&amp;$A24)*RTD("tos.rtd",,"DELTA","."&amp;O$2&amp;O$1&amp;"C"&amp;$A24)-100*RTD("tos.rtd",,"OPEN_INT","."&amp;O$2&amp;O$1&amp;"P"&amp;$A24)*RTD("tos.rtd",,"DELTA","."&amp;O$2&amp;O$1&amp;"P"&amp;$A24))/1000),0),IF($A$2="VEX",IFERROR(IF($X$1="ABS",($A$4*$A$4*RTD("tos.rtd",,"VOLUME","."&amp;O$2&amp;O$1&amp;"C"&amp;$A24)*RTD("tos.rtd",,"GAMMA","."&amp;O$2&amp;O$1&amp;"C"&amp;$A24)+$A$4*$A$4*RTD("tos.rtd",,"VOLUME","."&amp;O$2&amp;O$1&amp;"P"&amp;$A24)*RTD("tos.rtd",,"GAMMA","."&amp;O$2&amp;O$1&amp;"P"&amp;$A24))/1000000,($A$4*$A$4*RTD("tos.rtd",,"VOLUME","."&amp;O$2&amp;O$1&amp;"C"&amp;$A24)*RTD("tos.rtd",,"GAMMA","."&amp;O$2&amp;O$1&amp;"C"&amp;$A24)-$A$4*$A$4*RTD("tos.rtd",,"VOLUME","."&amp;O$2&amp;O$1&amp;"P"&amp;$A24)*RTD("tos.rtd",,"GAMMA","."&amp;O$2&amp;O$1&amp;"P"&amp;$A24))/1000000),0),IF($A$2="GEX",IFERROR(IF($X$1="ABS",($A$4*$A$4*RTD("tos.rtd",,"OPEN_INT","."&amp;O$2&amp;O$1&amp;"C"&amp;$A24)*RTD("tos.rtd",,"GAMMA","."&amp;O$2&amp;O$1&amp;"C"&amp;$A24)+$A$4*$A$4*RTD("tos.rtd",,"OPEN_INT","."&amp;O$2&amp;O$1&amp;"P"&amp;$A24)*RTD("tos.rtd",,"GAMMA","."&amp;O$2&amp;O$1&amp;"P"&amp;$A24))/1000000,($A$4*$A$4*RTD("tos.rtd",,"OPEN_INT","."&amp;O$2&amp;O$1&amp;"C"&amp;$A24)*RTD("tos.rtd",,"GAMMA","."&amp;O$2&amp;O$1&amp;"C"&amp;$A24)-$A$4*$A$4*RTD("tos.rtd",,"OPEN_INT","."&amp;O$2&amp;O$1&amp;"P"&amp;$A24)*RTD("tos.rtd",,"GAMMA","."&amp;O$2&amp;O$1&amp;"P"&amp;$A24))/1000000),0),IF($A$2="SKEW",IFERROR(VALUE(IF(RTD("tos.rtd",,"IMPL_VOL","."&amp;O$2&amp;O$1&amp;"P"&amp;$A24)="N/A",0,RTD("tos.rtd",,"IMPL_VOL","."&amp;O$2&amp;O$1&amp;"P"&amp;$A24))),0)-IFERROR(VALUE(IF(RTD("tos.rtd",,"IMPL_VOL","."&amp;O$2&amp;O$1&amp;"C"&amp;$A24)="N/A",0,RTD("tos.rtd",,"IMPL_VOL","."&amp;O$2&amp;O$1&amp;"C"&amp;$A24))),0),IF($A$2="MAXPAIN",IF($A$4&gt;$A24,($A$4-$A24)*IF(RTD("tos.rtd",,"OPEN_INT","."&amp;O$2&amp;O$1&amp;"C"&amp;$A24)="N/A",0,RTD("tos.rtd",,"OPEN_INT","."&amp;O$2&amp;O$1&amp;"C"&amp;$A24)),0)+IF($A$4&lt;$A24,($A$5-$A$4)*IF(RTD("tos.rtd",,"OPEN_INT","."&amp;O$2&amp;O$1&amp;"P"&amp;$A24)="N/A",0,RTD("tos.rtd",,"OPEN_INT","."&amp;O$2&amp;O$1&amp;"P"&amp;$A24)),0),IF($X$1="ABS",IF(RTD("tos.rtd",,$A$2,"."&amp;O$2&amp;O$1&amp;"C"&amp;$A24)="N/A",0,RTD("tos.rtd",,$A$2,"."&amp;O$2&amp;O$1&amp;"C"&amp;$A24))+IF(RTD("tos.rtd",,$A$2,"."&amp;O$2&amp;O$1&amp;"P"&amp;$A24)="N/A",0,RTD("tos.rtd",,$A$2,"."&amp;O$2&amp;O$1&amp;"P"&amp;$A24)),IF(RTD("tos.rtd",,$A$2,"."&amp;O$2&amp;O$1&amp;"C"&amp;$A24)="N/A",0,RTD("tos.rtd",,$A$2,"."&amp;O$2&amp;O$1&amp;"C"&amp;$A24))-IF(RTD("tos.rtd",,$A$2,"."&amp;O$2&amp;O$1&amp;"P"&amp;$A24)="N/A",0,RTD("tos.rtd",,$A$2,"."&amp;O$2&amp;O$1&amp;"P"&amp;$A24))))))))))</f>
        <v>0</v>
      </c>
      <c r="P24" s="12">
        <f ca="1">IF($A$2="PREMIUM_OI",IFERROR(IF($X$1="ABS",(100*RTD("tos.rtd",,"OPEN_INT","."&amp;P$2&amp;P$1&amp;"C"&amp;$A24)*RTD("tos.rtd",,"LAST","."&amp;P$2&amp;P$1&amp;"C"&amp;$A24)+100*RTD("tos.rtd",,"OPEN_INT","."&amp;P$2&amp;P$1&amp;"P"&amp;$A24)*RTD("tos.rtd",,"LAST","."&amp;P$2&amp;P$1&amp;"P"&amp;$A24))/1000000,(100*RTD("tos.rtd",,"OPEN_INT","."&amp;P$2&amp;P$1&amp;"C"&amp;$A24)*RTD("tos.rtd",,"LAST","."&amp;P$2&amp;P$1&amp;"C"&amp;$A24)-100*RTD("tos.rtd",,"OPEN_INT","."&amp;P$2&amp;P$1&amp;"P"&amp;$A24)*RTD("tos.rtd",,"LAST","."&amp;P$2&amp;P$1&amp;"P"&amp;$A24))/1000000),0),IF($A$2="PREMIUM",IFERROR(IF($X$1="ABS",(100*RTD("tos.rtd",,"VOLUME","."&amp;P$2&amp;P$1&amp;"C"&amp;$A24)*RTD("tos.rtd",,"LAST","."&amp;P$2&amp;P$1&amp;"C"&amp;$A24)+100*RTD("tos.rtd",,"VOLUME","."&amp;P$2&amp;P$1&amp;"P"&amp;$A24)*RTD("tos.rtd",,"LAST","."&amp;P$2&amp;P$1&amp;"P"&amp;$A24))/1000000,(100*RTD("tos.rtd",,"VOLUME","."&amp;P$2&amp;P$1&amp;"C"&amp;$A24)*RTD("tos.rtd",,"LAST","."&amp;P$2&amp;P$1&amp;"C"&amp;$A24)-100*RTD("tos.rtd",,"VOLUME","."&amp;P$2&amp;P$1&amp;"P"&amp;$A24)*RTD("tos.rtd",,"LAST","."&amp;P$2&amp;P$1&amp;"P"&amp;$A24))/1000000),0),IF($A$2="DEX",IFERROR(IF($X$1="ABS",(100*RTD("tos.rtd",,"OPEN_INT","."&amp;P$2&amp;P$1&amp;"C"&amp;$A24)*RTD("tos.rtd",,"DELTA","."&amp;P$2&amp;P$1&amp;"C"&amp;$A24)+100*RTD("tos.rtd",,"OPEN_INT","."&amp;P$2&amp;P$1&amp;"P"&amp;$A24)*RTD("tos.rtd",,"DELTA","."&amp;P$2&amp;P$1&amp;"P"&amp;$A24))/1000,(100*RTD("tos.rtd",,"OPEN_INT","."&amp;P$2&amp;P$1&amp;"C"&amp;$A24)*RTD("tos.rtd",,"DELTA","."&amp;P$2&amp;P$1&amp;"C"&amp;$A24)-100*RTD("tos.rtd",,"OPEN_INT","."&amp;P$2&amp;P$1&amp;"P"&amp;$A24)*RTD("tos.rtd",,"DELTA","."&amp;P$2&amp;P$1&amp;"P"&amp;$A24))/1000),0),IF($A$2="VEX",IFERROR(IF($X$1="ABS",($A$4*$A$4*RTD("tos.rtd",,"VOLUME","."&amp;P$2&amp;P$1&amp;"C"&amp;$A24)*RTD("tos.rtd",,"GAMMA","."&amp;P$2&amp;P$1&amp;"C"&amp;$A24)+$A$4*$A$4*RTD("tos.rtd",,"VOLUME","."&amp;P$2&amp;P$1&amp;"P"&amp;$A24)*RTD("tos.rtd",,"GAMMA","."&amp;P$2&amp;P$1&amp;"P"&amp;$A24))/1000000,($A$4*$A$4*RTD("tos.rtd",,"VOLUME","."&amp;P$2&amp;P$1&amp;"C"&amp;$A24)*RTD("tos.rtd",,"GAMMA","."&amp;P$2&amp;P$1&amp;"C"&amp;$A24)-$A$4*$A$4*RTD("tos.rtd",,"VOLUME","."&amp;P$2&amp;P$1&amp;"P"&amp;$A24)*RTD("tos.rtd",,"GAMMA","."&amp;P$2&amp;P$1&amp;"P"&amp;$A24))/1000000),0),IF($A$2="GEX",IFERROR(IF($X$1="ABS",($A$4*$A$4*RTD("tos.rtd",,"OPEN_INT","."&amp;P$2&amp;P$1&amp;"C"&amp;$A24)*RTD("tos.rtd",,"GAMMA","."&amp;P$2&amp;P$1&amp;"C"&amp;$A24)+$A$4*$A$4*RTD("tos.rtd",,"OPEN_INT","."&amp;P$2&amp;P$1&amp;"P"&amp;$A24)*RTD("tos.rtd",,"GAMMA","."&amp;P$2&amp;P$1&amp;"P"&amp;$A24))/1000000,($A$4*$A$4*RTD("tos.rtd",,"OPEN_INT","."&amp;P$2&amp;P$1&amp;"C"&amp;$A24)*RTD("tos.rtd",,"GAMMA","."&amp;P$2&amp;P$1&amp;"C"&amp;$A24)-$A$4*$A$4*RTD("tos.rtd",,"OPEN_INT","."&amp;P$2&amp;P$1&amp;"P"&amp;$A24)*RTD("tos.rtd",,"GAMMA","."&amp;P$2&amp;P$1&amp;"P"&amp;$A24))/1000000),0),IF($A$2="SKEW",IFERROR(VALUE(IF(RTD("tos.rtd",,"IMPL_VOL","."&amp;P$2&amp;P$1&amp;"P"&amp;$A24)="N/A",0,RTD("tos.rtd",,"IMPL_VOL","."&amp;P$2&amp;P$1&amp;"P"&amp;$A24))),0)-IFERROR(VALUE(IF(RTD("tos.rtd",,"IMPL_VOL","."&amp;P$2&amp;P$1&amp;"C"&amp;$A24)="N/A",0,RTD("tos.rtd",,"IMPL_VOL","."&amp;P$2&amp;P$1&amp;"C"&amp;$A24))),0),IF($A$2="MAXPAIN",IF($A$4&gt;$A24,($A$4-$A24)*IF(RTD("tos.rtd",,"OPEN_INT","."&amp;P$2&amp;P$1&amp;"C"&amp;$A24)="N/A",0,RTD("tos.rtd",,"OPEN_INT","."&amp;P$2&amp;P$1&amp;"C"&amp;$A24)),0)+IF($A$4&lt;$A24,($A$5-$A$4)*IF(RTD("tos.rtd",,"OPEN_INT","."&amp;P$2&amp;P$1&amp;"P"&amp;$A24)="N/A",0,RTD("tos.rtd",,"OPEN_INT","."&amp;P$2&amp;P$1&amp;"P"&amp;$A24)),0),IF($X$1="ABS",IF(RTD("tos.rtd",,$A$2,"."&amp;P$2&amp;P$1&amp;"C"&amp;$A24)="N/A",0,RTD("tos.rtd",,$A$2,"."&amp;P$2&amp;P$1&amp;"C"&amp;$A24))+IF(RTD("tos.rtd",,$A$2,"."&amp;P$2&amp;P$1&amp;"P"&amp;$A24)="N/A",0,RTD("tos.rtd",,$A$2,"."&amp;P$2&amp;P$1&amp;"P"&amp;$A24)),IF(RTD("tos.rtd",,$A$2,"."&amp;P$2&amp;P$1&amp;"C"&amp;$A24)="N/A",0,RTD("tos.rtd",,$A$2,"."&amp;P$2&amp;P$1&amp;"C"&amp;$A24))-IF(RTD("tos.rtd",,$A$2,"."&amp;P$2&amp;P$1&amp;"P"&amp;$A24)="N/A",0,RTD("tos.rtd",,$A$2,"."&amp;P$2&amp;P$1&amp;"P"&amp;$A24))))))))))</f>
        <v>4944</v>
      </c>
      <c r="Q24" s="12">
        <f ca="1">IF($A$2="PREMIUM_OI",IFERROR(IF($X$1="ABS",(100*RTD("tos.rtd",,"OPEN_INT","."&amp;Q$2&amp;Q$1&amp;"C"&amp;$A24)*RTD("tos.rtd",,"LAST","."&amp;Q$2&amp;Q$1&amp;"C"&amp;$A24)+100*RTD("tos.rtd",,"OPEN_INT","."&amp;Q$2&amp;Q$1&amp;"P"&amp;$A24)*RTD("tos.rtd",,"LAST","."&amp;Q$2&amp;Q$1&amp;"P"&amp;$A24))/1000000,(100*RTD("tos.rtd",,"OPEN_INT","."&amp;Q$2&amp;Q$1&amp;"C"&amp;$A24)*RTD("tos.rtd",,"LAST","."&amp;Q$2&amp;Q$1&amp;"C"&amp;$A24)-100*RTD("tos.rtd",,"OPEN_INT","."&amp;Q$2&amp;Q$1&amp;"P"&amp;$A24)*RTD("tos.rtd",,"LAST","."&amp;Q$2&amp;Q$1&amp;"P"&amp;$A24))/1000000),0),IF($A$2="PREMIUM",IFERROR(IF($X$1="ABS",(100*RTD("tos.rtd",,"VOLUME","."&amp;Q$2&amp;Q$1&amp;"C"&amp;$A24)*RTD("tos.rtd",,"LAST","."&amp;Q$2&amp;Q$1&amp;"C"&amp;$A24)+100*RTD("tos.rtd",,"VOLUME","."&amp;Q$2&amp;Q$1&amp;"P"&amp;$A24)*RTD("tos.rtd",,"LAST","."&amp;Q$2&amp;Q$1&amp;"P"&amp;$A24))/1000000,(100*RTD("tos.rtd",,"VOLUME","."&amp;Q$2&amp;Q$1&amp;"C"&amp;$A24)*RTD("tos.rtd",,"LAST","."&amp;Q$2&amp;Q$1&amp;"C"&amp;$A24)-100*RTD("tos.rtd",,"VOLUME","."&amp;Q$2&amp;Q$1&amp;"P"&amp;$A24)*RTD("tos.rtd",,"LAST","."&amp;Q$2&amp;Q$1&amp;"P"&amp;$A24))/1000000),0),IF($A$2="DEX",IFERROR(IF($X$1="ABS",(100*RTD("tos.rtd",,"OPEN_INT","."&amp;Q$2&amp;Q$1&amp;"C"&amp;$A24)*RTD("tos.rtd",,"DELTA","."&amp;Q$2&amp;Q$1&amp;"C"&amp;$A24)+100*RTD("tos.rtd",,"OPEN_INT","."&amp;Q$2&amp;Q$1&amp;"P"&amp;$A24)*RTD("tos.rtd",,"DELTA","."&amp;Q$2&amp;Q$1&amp;"P"&amp;$A24))/1000,(100*RTD("tos.rtd",,"OPEN_INT","."&amp;Q$2&amp;Q$1&amp;"C"&amp;$A24)*RTD("tos.rtd",,"DELTA","."&amp;Q$2&amp;Q$1&amp;"C"&amp;$A24)-100*RTD("tos.rtd",,"OPEN_INT","."&amp;Q$2&amp;Q$1&amp;"P"&amp;$A24)*RTD("tos.rtd",,"DELTA","."&amp;Q$2&amp;Q$1&amp;"P"&amp;$A24))/1000),0),IF($A$2="VEX",IFERROR(IF($X$1="ABS",($A$4*$A$4*RTD("tos.rtd",,"VOLUME","."&amp;Q$2&amp;Q$1&amp;"C"&amp;$A24)*RTD("tos.rtd",,"GAMMA","."&amp;Q$2&amp;Q$1&amp;"C"&amp;$A24)+$A$4*$A$4*RTD("tos.rtd",,"VOLUME","."&amp;Q$2&amp;Q$1&amp;"P"&amp;$A24)*RTD("tos.rtd",,"GAMMA","."&amp;Q$2&amp;Q$1&amp;"P"&amp;$A24))/1000000,($A$4*$A$4*RTD("tos.rtd",,"VOLUME","."&amp;Q$2&amp;Q$1&amp;"C"&amp;$A24)*RTD("tos.rtd",,"GAMMA","."&amp;Q$2&amp;Q$1&amp;"C"&amp;$A24)-$A$4*$A$4*RTD("tos.rtd",,"VOLUME","."&amp;Q$2&amp;Q$1&amp;"P"&amp;$A24)*RTD("tos.rtd",,"GAMMA","."&amp;Q$2&amp;Q$1&amp;"P"&amp;$A24))/1000000),0),IF($A$2="GEX",IFERROR(IF($X$1="ABS",($A$4*$A$4*RTD("tos.rtd",,"OPEN_INT","."&amp;Q$2&amp;Q$1&amp;"C"&amp;$A24)*RTD("tos.rtd",,"GAMMA","."&amp;Q$2&amp;Q$1&amp;"C"&amp;$A24)+$A$4*$A$4*RTD("tos.rtd",,"OPEN_INT","."&amp;Q$2&amp;Q$1&amp;"P"&amp;$A24)*RTD("tos.rtd",,"GAMMA","."&amp;Q$2&amp;Q$1&amp;"P"&amp;$A24))/1000000,($A$4*$A$4*RTD("tos.rtd",,"OPEN_INT","."&amp;Q$2&amp;Q$1&amp;"C"&amp;$A24)*RTD("tos.rtd",,"GAMMA","."&amp;Q$2&amp;Q$1&amp;"C"&amp;$A24)-$A$4*$A$4*RTD("tos.rtd",,"OPEN_INT","."&amp;Q$2&amp;Q$1&amp;"P"&amp;$A24)*RTD("tos.rtd",,"GAMMA","."&amp;Q$2&amp;Q$1&amp;"P"&amp;$A24))/1000000),0),IF($A$2="SKEW",IFERROR(VALUE(IF(RTD("tos.rtd",,"IMPL_VOL","."&amp;Q$2&amp;Q$1&amp;"P"&amp;$A24)="N/A",0,RTD("tos.rtd",,"IMPL_VOL","."&amp;Q$2&amp;Q$1&amp;"P"&amp;$A24))),0)-IFERROR(VALUE(IF(RTD("tos.rtd",,"IMPL_VOL","."&amp;Q$2&amp;Q$1&amp;"C"&amp;$A24)="N/A",0,RTD("tos.rtd",,"IMPL_VOL","."&amp;Q$2&amp;Q$1&amp;"C"&amp;$A24))),0),IF($A$2="MAXPAIN",IF($A$4&gt;$A24,($A$4-$A24)*IF(RTD("tos.rtd",,"OPEN_INT","."&amp;Q$2&amp;Q$1&amp;"C"&amp;$A24)="N/A",0,RTD("tos.rtd",,"OPEN_INT","."&amp;Q$2&amp;Q$1&amp;"C"&amp;$A24)),0)+IF($A$4&lt;$A24,($A$5-$A$4)*IF(RTD("tos.rtd",,"OPEN_INT","."&amp;Q$2&amp;Q$1&amp;"P"&amp;$A24)="N/A",0,RTD("tos.rtd",,"OPEN_INT","."&amp;Q$2&amp;Q$1&amp;"P"&amp;$A24)),0),IF($X$1="ABS",IF(RTD("tos.rtd",,$A$2,"."&amp;Q$2&amp;Q$1&amp;"C"&amp;$A24)="N/A",0,RTD("tos.rtd",,$A$2,"."&amp;Q$2&amp;Q$1&amp;"C"&amp;$A24))+IF(RTD("tos.rtd",,$A$2,"."&amp;Q$2&amp;Q$1&amp;"P"&amp;$A24)="N/A",0,RTD("tos.rtd",,$A$2,"."&amp;Q$2&amp;Q$1&amp;"P"&amp;$A24)),IF(RTD("tos.rtd",,$A$2,"."&amp;Q$2&amp;Q$1&amp;"C"&amp;$A24)="N/A",0,RTD("tos.rtd",,$A$2,"."&amp;Q$2&amp;Q$1&amp;"C"&amp;$A24))-IF(RTD("tos.rtd",,$A$2,"."&amp;Q$2&amp;Q$1&amp;"P"&amp;$A24)="N/A",0,RTD("tos.rtd",,$A$2,"."&amp;Q$2&amp;Q$1&amp;"P"&amp;$A24))))))))))</f>
        <v>0</v>
      </c>
      <c r="R24" s="12">
        <f ca="1">IF($A$2="PREMIUM_OI",IFERROR(IF($X$1="ABS",(100*RTD("tos.rtd",,"OPEN_INT","."&amp;R$2&amp;R$1&amp;"C"&amp;$A24)*RTD("tos.rtd",,"LAST","."&amp;R$2&amp;R$1&amp;"C"&amp;$A24)+100*RTD("tos.rtd",,"OPEN_INT","."&amp;R$2&amp;R$1&amp;"P"&amp;$A24)*RTD("tos.rtd",,"LAST","."&amp;R$2&amp;R$1&amp;"P"&amp;$A24))/1000000,(100*RTD("tos.rtd",,"OPEN_INT","."&amp;R$2&amp;R$1&amp;"C"&amp;$A24)*RTD("tos.rtd",,"LAST","."&amp;R$2&amp;R$1&amp;"C"&amp;$A24)-100*RTD("tos.rtd",,"OPEN_INT","."&amp;R$2&amp;R$1&amp;"P"&amp;$A24)*RTD("tos.rtd",,"LAST","."&amp;R$2&amp;R$1&amp;"P"&amp;$A24))/1000000),0),IF($A$2="PREMIUM",IFERROR(IF($X$1="ABS",(100*RTD("tos.rtd",,"VOLUME","."&amp;R$2&amp;R$1&amp;"C"&amp;$A24)*RTD("tos.rtd",,"LAST","."&amp;R$2&amp;R$1&amp;"C"&amp;$A24)+100*RTD("tos.rtd",,"VOLUME","."&amp;R$2&amp;R$1&amp;"P"&amp;$A24)*RTD("tos.rtd",,"LAST","."&amp;R$2&amp;R$1&amp;"P"&amp;$A24))/1000000,(100*RTD("tos.rtd",,"VOLUME","."&amp;R$2&amp;R$1&amp;"C"&amp;$A24)*RTD("tos.rtd",,"LAST","."&amp;R$2&amp;R$1&amp;"C"&amp;$A24)-100*RTD("tos.rtd",,"VOLUME","."&amp;R$2&amp;R$1&amp;"P"&amp;$A24)*RTD("tos.rtd",,"LAST","."&amp;R$2&amp;R$1&amp;"P"&amp;$A24))/1000000),0),IF($A$2="DEX",IFERROR(IF($X$1="ABS",(100*RTD("tos.rtd",,"OPEN_INT","."&amp;R$2&amp;R$1&amp;"C"&amp;$A24)*RTD("tos.rtd",,"DELTA","."&amp;R$2&amp;R$1&amp;"C"&amp;$A24)+100*RTD("tos.rtd",,"OPEN_INT","."&amp;R$2&amp;R$1&amp;"P"&amp;$A24)*RTD("tos.rtd",,"DELTA","."&amp;R$2&amp;R$1&amp;"P"&amp;$A24))/1000,(100*RTD("tos.rtd",,"OPEN_INT","."&amp;R$2&amp;R$1&amp;"C"&amp;$A24)*RTD("tos.rtd",,"DELTA","."&amp;R$2&amp;R$1&amp;"C"&amp;$A24)-100*RTD("tos.rtd",,"OPEN_INT","."&amp;R$2&amp;R$1&amp;"P"&amp;$A24)*RTD("tos.rtd",,"DELTA","."&amp;R$2&amp;R$1&amp;"P"&amp;$A24))/1000),0),IF($A$2="VEX",IFERROR(IF($X$1="ABS",($A$4*$A$4*RTD("tos.rtd",,"VOLUME","."&amp;R$2&amp;R$1&amp;"C"&amp;$A24)*RTD("tos.rtd",,"GAMMA","."&amp;R$2&amp;R$1&amp;"C"&amp;$A24)+$A$4*$A$4*RTD("tos.rtd",,"VOLUME","."&amp;R$2&amp;R$1&amp;"P"&amp;$A24)*RTD("tos.rtd",,"GAMMA","."&amp;R$2&amp;R$1&amp;"P"&amp;$A24))/1000000,($A$4*$A$4*RTD("tos.rtd",,"VOLUME","."&amp;R$2&amp;R$1&amp;"C"&amp;$A24)*RTD("tos.rtd",,"GAMMA","."&amp;R$2&amp;R$1&amp;"C"&amp;$A24)-$A$4*$A$4*RTD("tos.rtd",,"VOLUME","."&amp;R$2&amp;R$1&amp;"P"&amp;$A24)*RTD("tos.rtd",,"GAMMA","."&amp;R$2&amp;R$1&amp;"P"&amp;$A24))/1000000),0),IF($A$2="GEX",IFERROR(IF($X$1="ABS",($A$4*$A$4*RTD("tos.rtd",,"OPEN_INT","."&amp;R$2&amp;R$1&amp;"C"&amp;$A24)*RTD("tos.rtd",,"GAMMA","."&amp;R$2&amp;R$1&amp;"C"&amp;$A24)+$A$4*$A$4*RTD("tos.rtd",,"OPEN_INT","."&amp;R$2&amp;R$1&amp;"P"&amp;$A24)*RTD("tos.rtd",,"GAMMA","."&amp;R$2&amp;R$1&amp;"P"&amp;$A24))/1000000,($A$4*$A$4*RTD("tos.rtd",,"OPEN_INT","."&amp;R$2&amp;R$1&amp;"C"&amp;$A24)*RTD("tos.rtd",,"GAMMA","."&amp;R$2&amp;R$1&amp;"C"&amp;$A24)-$A$4*$A$4*RTD("tos.rtd",,"OPEN_INT","."&amp;R$2&amp;R$1&amp;"P"&amp;$A24)*RTD("tos.rtd",,"GAMMA","."&amp;R$2&amp;R$1&amp;"P"&amp;$A24))/1000000),0),IF($A$2="SKEW",IFERROR(VALUE(IF(RTD("tos.rtd",,"IMPL_VOL","."&amp;R$2&amp;R$1&amp;"P"&amp;$A24)="N/A",0,RTD("tos.rtd",,"IMPL_VOL","."&amp;R$2&amp;R$1&amp;"P"&amp;$A24))),0)-IFERROR(VALUE(IF(RTD("tos.rtd",,"IMPL_VOL","."&amp;R$2&amp;R$1&amp;"C"&amp;$A24)="N/A",0,RTD("tos.rtd",,"IMPL_VOL","."&amp;R$2&amp;R$1&amp;"C"&amp;$A24))),0),IF($A$2="MAXPAIN",IF($A$4&gt;$A24,($A$4-$A24)*IF(RTD("tos.rtd",,"OPEN_INT","."&amp;R$2&amp;R$1&amp;"C"&amp;$A24)="N/A",0,RTD("tos.rtd",,"OPEN_INT","."&amp;R$2&amp;R$1&amp;"C"&amp;$A24)),0)+IF($A$4&lt;$A24,($A$5-$A$4)*IF(RTD("tos.rtd",,"OPEN_INT","."&amp;R$2&amp;R$1&amp;"P"&amp;$A24)="N/A",0,RTD("tos.rtd",,"OPEN_INT","."&amp;R$2&amp;R$1&amp;"P"&amp;$A24)),0),IF($X$1="ABS",IF(RTD("tos.rtd",,$A$2,"."&amp;R$2&amp;R$1&amp;"C"&amp;$A24)="N/A",0,RTD("tos.rtd",,$A$2,"."&amp;R$2&amp;R$1&amp;"C"&amp;$A24))+IF(RTD("tos.rtd",,$A$2,"."&amp;R$2&amp;R$1&amp;"P"&amp;$A24)="N/A",0,RTD("tos.rtd",,$A$2,"."&amp;R$2&amp;R$1&amp;"P"&amp;$A24)),IF(RTD("tos.rtd",,$A$2,"."&amp;R$2&amp;R$1&amp;"C"&amp;$A24)="N/A",0,RTD("tos.rtd",,$A$2,"."&amp;R$2&amp;R$1&amp;"C"&amp;$A24))-IF(RTD("tos.rtd",,$A$2,"."&amp;R$2&amp;R$1&amp;"P"&amp;$A24)="N/A",0,RTD("tos.rtd",,$A$2,"."&amp;R$2&amp;R$1&amp;"P"&amp;$A24))))))))))</f>
        <v>0</v>
      </c>
      <c r="S24" s="12">
        <f ca="1">IF($A$2="PREMIUM_OI",IFERROR(IF($X$1="ABS",(100*RTD("tos.rtd",,"OPEN_INT","."&amp;S$2&amp;S$1&amp;"C"&amp;$A24)*RTD("tos.rtd",,"LAST","."&amp;S$2&amp;S$1&amp;"C"&amp;$A24)+100*RTD("tos.rtd",,"OPEN_INT","."&amp;S$2&amp;S$1&amp;"P"&amp;$A24)*RTD("tos.rtd",,"LAST","."&amp;S$2&amp;S$1&amp;"P"&amp;$A24))/1000000,(100*RTD("tos.rtd",,"OPEN_INT","."&amp;S$2&amp;S$1&amp;"C"&amp;$A24)*RTD("tos.rtd",,"LAST","."&amp;S$2&amp;S$1&amp;"C"&amp;$A24)-100*RTD("tos.rtd",,"OPEN_INT","."&amp;S$2&amp;S$1&amp;"P"&amp;$A24)*RTD("tos.rtd",,"LAST","."&amp;S$2&amp;S$1&amp;"P"&amp;$A24))/1000000),0),IF($A$2="PREMIUM",IFERROR(IF($X$1="ABS",(100*RTD("tos.rtd",,"VOLUME","."&amp;S$2&amp;S$1&amp;"C"&amp;$A24)*RTD("tos.rtd",,"LAST","."&amp;S$2&amp;S$1&amp;"C"&amp;$A24)+100*RTD("tos.rtd",,"VOLUME","."&amp;S$2&amp;S$1&amp;"P"&amp;$A24)*RTD("tos.rtd",,"LAST","."&amp;S$2&amp;S$1&amp;"P"&amp;$A24))/1000000,(100*RTD("tos.rtd",,"VOLUME","."&amp;S$2&amp;S$1&amp;"C"&amp;$A24)*RTD("tos.rtd",,"LAST","."&amp;S$2&amp;S$1&amp;"C"&amp;$A24)-100*RTD("tos.rtd",,"VOLUME","."&amp;S$2&amp;S$1&amp;"P"&amp;$A24)*RTD("tos.rtd",,"LAST","."&amp;S$2&amp;S$1&amp;"P"&amp;$A24))/1000000),0),IF($A$2="DEX",IFERROR(IF($X$1="ABS",(100*RTD("tos.rtd",,"OPEN_INT","."&amp;S$2&amp;S$1&amp;"C"&amp;$A24)*RTD("tos.rtd",,"DELTA","."&amp;S$2&amp;S$1&amp;"C"&amp;$A24)+100*RTD("tos.rtd",,"OPEN_INT","."&amp;S$2&amp;S$1&amp;"P"&amp;$A24)*RTD("tos.rtd",,"DELTA","."&amp;S$2&amp;S$1&amp;"P"&amp;$A24))/1000,(100*RTD("tos.rtd",,"OPEN_INT","."&amp;S$2&amp;S$1&amp;"C"&amp;$A24)*RTD("tos.rtd",,"DELTA","."&amp;S$2&amp;S$1&amp;"C"&amp;$A24)-100*RTD("tos.rtd",,"OPEN_INT","."&amp;S$2&amp;S$1&amp;"P"&amp;$A24)*RTD("tos.rtd",,"DELTA","."&amp;S$2&amp;S$1&amp;"P"&amp;$A24))/1000),0),IF($A$2="VEX",IFERROR(IF($X$1="ABS",($A$4*$A$4*RTD("tos.rtd",,"VOLUME","."&amp;S$2&amp;S$1&amp;"C"&amp;$A24)*RTD("tos.rtd",,"GAMMA","."&amp;S$2&amp;S$1&amp;"C"&amp;$A24)+$A$4*$A$4*RTD("tos.rtd",,"VOLUME","."&amp;S$2&amp;S$1&amp;"P"&amp;$A24)*RTD("tos.rtd",,"GAMMA","."&amp;S$2&amp;S$1&amp;"P"&amp;$A24))/1000000,($A$4*$A$4*RTD("tos.rtd",,"VOLUME","."&amp;S$2&amp;S$1&amp;"C"&amp;$A24)*RTD("tos.rtd",,"GAMMA","."&amp;S$2&amp;S$1&amp;"C"&amp;$A24)-$A$4*$A$4*RTD("tos.rtd",,"VOLUME","."&amp;S$2&amp;S$1&amp;"P"&amp;$A24)*RTD("tos.rtd",,"GAMMA","."&amp;S$2&amp;S$1&amp;"P"&amp;$A24))/1000000),0),IF($A$2="GEX",IFERROR(IF($X$1="ABS",($A$4*$A$4*RTD("tos.rtd",,"OPEN_INT","."&amp;S$2&amp;S$1&amp;"C"&amp;$A24)*RTD("tos.rtd",,"GAMMA","."&amp;S$2&amp;S$1&amp;"C"&amp;$A24)+$A$4*$A$4*RTD("tos.rtd",,"OPEN_INT","."&amp;S$2&amp;S$1&amp;"P"&amp;$A24)*RTD("tos.rtd",,"GAMMA","."&amp;S$2&amp;S$1&amp;"P"&amp;$A24))/1000000,($A$4*$A$4*RTD("tos.rtd",,"OPEN_INT","."&amp;S$2&amp;S$1&amp;"C"&amp;$A24)*RTD("tos.rtd",,"GAMMA","."&amp;S$2&amp;S$1&amp;"C"&amp;$A24)-$A$4*$A$4*RTD("tos.rtd",,"OPEN_INT","."&amp;S$2&amp;S$1&amp;"P"&amp;$A24)*RTD("tos.rtd",,"GAMMA","."&amp;S$2&amp;S$1&amp;"P"&amp;$A24))/1000000),0),IF($A$2="SKEW",IFERROR(VALUE(IF(RTD("tos.rtd",,"IMPL_VOL","."&amp;S$2&amp;S$1&amp;"P"&amp;$A24)="N/A",0,RTD("tos.rtd",,"IMPL_VOL","."&amp;S$2&amp;S$1&amp;"P"&amp;$A24))),0)-IFERROR(VALUE(IF(RTD("tos.rtd",,"IMPL_VOL","."&amp;S$2&amp;S$1&amp;"C"&amp;$A24)="N/A",0,RTD("tos.rtd",,"IMPL_VOL","."&amp;S$2&amp;S$1&amp;"C"&amp;$A24))),0),IF($A$2="MAXPAIN",IF($A$4&gt;$A24,($A$4-$A24)*IF(RTD("tos.rtd",,"OPEN_INT","."&amp;S$2&amp;S$1&amp;"C"&amp;$A24)="N/A",0,RTD("tos.rtd",,"OPEN_INT","."&amp;S$2&amp;S$1&amp;"C"&amp;$A24)),0)+IF($A$4&lt;$A24,($A$5-$A$4)*IF(RTD("tos.rtd",,"OPEN_INT","."&amp;S$2&amp;S$1&amp;"P"&amp;$A24)="N/A",0,RTD("tos.rtd",,"OPEN_INT","."&amp;S$2&amp;S$1&amp;"P"&amp;$A24)),0),IF($X$1="ABS",IF(RTD("tos.rtd",,$A$2,"."&amp;S$2&amp;S$1&amp;"C"&amp;$A24)="N/A",0,RTD("tos.rtd",,$A$2,"."&amp;S$2&amp;S$1&amp;"C"&amp;$A24))+IF(RTD("tos.rtd",,$A$2,"."&amp;S$2&amp;S$1&amp;"P"&amp;$A24)="N/A",0,RTD("tos.rtd",,$A$2,"."&amp;S$2&amp;S$1&amp;"P"&amp;$A24)),IF(RTD("tos.rtd",,$A$2,"."&amp;S$2&amp;S$1&amp;"C"&amp;$A24)="N/A",0,RTD("tos.rtd",,$A$2,"."&amp;S$2&amp;S$1&amp;"C"&amp;$A24))-IF(RTD("tos.rtd",,$A$2,"."&amp;S$2&amp;S$1&amp;"P"&amp;$A24)="N/A",0,RTD("tos.rtd",,$A$2,"."&amp;S$2&amp;S$1&amp;"P"&amp;$A24))))))))))</f>
        <v>0</v>
      </c>
      <c r="T24" s="12">
        <f ca="1">IF($A$2="PREMIUM_OI",IFERROR(IF($X$1="ABS",(100*RTD("tos.rtd",,"OPEN_INT","."&amp;T$2&amp;T$1&amp;"C"&amp;$A24)*RTD("tos.rtd",,"LAST","."&amp;T$2&amp;T$1&amp;"C"&amp;$A24)+100*RTD("tos.rtd",,"OPEN_INT","."&amp;T$2&amp;T$1&amp;"P"&amp;$A24)*RTD("tos.rtd",,"LAST","."&amp;T$2&amp;T$1&amp;"P"&amp;$A24))/1000000,(100*RTD("tos.rtd",,"OPEN_INT","."&amp;T$2&amp;T$1&amp;"C"&amp;$A24)*RTD("tos.rtd",,"LAST","."&amp;T$2&amp;T$1&amp;"C"&amp;$A24)-100*RTD("tos.rtd",,"OPEN_INT","."&amp;T$2&amp;T$1&amp;"P"&amp;$A24)*RTD("tos.rtd",,"LAST","."&amp;T$2&amp;T$1&amp;"P"&amp;$A24))/1000000),0),IF($A$2="PREMIUM",IFERROR(IF($X$1="ABS",(100*RTD("tos.rtd",,"VOLUME","."&amp;T$2&amp;T$1&amp;"C"&amp;$A24)*RTD("tos.rtd",,"LAST","."&amp;T$2&amp;T$1&amp;"C"&amp;$A24)+100*RTD("tos.rtd",,"VOLUME","."&amp;T$2&amp;T$1&amp;"P"&amp;$A24)*RTD("tos.rtd",,"LAST","."&amp;T$2&amp;T$1&amp;"P"&amp;$A24))/1000000,(100*RTD("tos.rtd",,"VOLUME","."&amp;T$2&amp;T$1&amp;"C"&amp;$A24)*RTD("tos.rtd",,"LAST","."&amp;T$2&amp;T$1&amp;"C"&amp;$A24)-100*RTD("tos.rtd",,"VOLUME","."&amp;T$2&amp;T$1&amp;"P"&amp;$A24)*RTD("tos.rtd",,"LAST","."&amp;T$2&amp;T$1&amp;"P"&amp;$A24))/1000000),0),IF($A$2="DEX",IFERROR(IF($X$1="ABS",(100*RTD("tos.rtd",,"OPEN_INT","."&amp;T$2&amp;T$1&amp;"C"&amp;$A24)*RTD("tos.rtd",,"DELTA","."&amp;T$2&amp;T$1&amp;"C"&amp;$A24)+100*RTD("tos.rtd",,"OPEN_INT","."&amp;T$2&amp;T$1&amp;"P"&amp;$A24)*RTD("tos.rtd",,"DELTA","."&amp;T$2&amp;T$1&amp;"P"&amp;$A24))/1000,(100*RTD("tos.rtd",,"OPEN_INT","."&amp;T$2&amp;T$1&amp;"C"&amp;$A24)*RTD("tos.rtd",,"DELTA","."&amp;T$2&amp;T$1&amp;"C"&amp;$A24)-100*RTD("tos.rtd",,"OPEN_INT","."&amp;T$2&amp;T$1&amp;"P"&amp;$A24)*RTD("tos.rtd",,"DELTA","."&amp;T$2&amp;T$1&amp;"P"&amp;$A24))/1000),0),IF($A$2="VEX",IFERROR(IF($X$1="ABS",($A$4*$A$4*RTD("tos.rtd",,"VOLUME","."&amp;T$2&amp;T$1&amp;"C"&amp;$A24)*RTD("tos.rtd",,"GAMMA","."&amp;T$2&amp;T$1&amp;"C"&amp;$A24)+$A$4*$A$4*RTD("tos.rtd",,"VOLUME","."&amp;T$2&amp;T$1&amp;"P"&amp;$A24)*RTD("tos.rtd",,"GAMMA","."&amp;T$2&amp;T$1&amp;"P"&amp;$A24))/1000000,($A$4*$A$4*RTD("tos.rtd",,"VOLUME","."&amp;T$2&amp;T$1&amp;"C"&amp;$A24)*RTD("tos.rtd",,"GAMMA","."&amp;T$2&amp;T$1&amp;"C"&amp;$A24)-$A$4*$A$4*RTD("tos.rtd",,"VOLUME","."&amp;T$2&amp;T$1&amp;"P"&amp;$A24)*RTD("tos.rtd",,"GAMMA","."&amp;T$2&amp;T$1&amp;"P"&amp;$A24))/1000000),0),IF($A$2="GEX",IFERROR(IF($X$1="ABS",($A$4*$A$4*RTD("tos.rtd",,"OPEN_INT","."&amp;T$2&amp;T$1&amp;"C"&amp;$A24)*RTD("tos.rtd",,"GAMMA","."&amp;T$2&amp;T$1&amp;"C"&amp;$A24)+$A$4*$A$4*RTD("tos.rtd",,"OPEN_INT","."&amp;T$2&amp;T$1&amp;"P"&amp;$A24)*RTD("tos.rtd",,"GAMMA","."&amp;T$2&amp;T$1&amp;"P"&amp;$A24))/1000000,($A$4*$A$4*RTD("tos.rtd",,"OPEN_INT","."&amp;T$2&amp;T$1&amp;"C"&amp;$A24)*RTD("tos.rtd",,"GAMMA","."&amp;T$2&amp;T$1&amp;"C"&amp;$A24)-$A$4*$A$4*RTD("tos.rtd",,"OPEN_INT","."&amp;T$2&amp;T$1&amp;"P"&amp;$A24)*RTD("tos.rtd",,"GAMMA","."&amp;T$2&amp;T$1&amp;"P"&amp;$A24))/1000000),0),IF($A$2="SKEW",IFERROR(VALUE(IF(RTD("tos.rtd",,"IMPL_VOL","."&amp;T$2&amp;T$1&amp;"P"&amp;$A24)="N/A",0,RTD("tos.rtd",,"IMPL_VOL","."&amp;T$2&amp;T$1&amp;"P"&amp;$A24))),0)-IFERROR(VALUE(IF(RTD("tos.rtd",,"IMPL_VOL","."&amp;T$2&amp;T$1&amp;"C"&amp;$A24)="N/A",0,RTD("tos.rtd",,"IMPL_VOL","."&amp;T$2&amp;T$1&amp;"C"&amp;$A24))),0),IF($A$2="MAXPAIN",IF($A$4&gt;$A24,($A$4-$A24)*IF(RTD("tos.rtd",,"OPEN_INT","."&amp;T$2&amp;T$1&amp;"C"&amp;$A24)="N/A",0,RTD("tos.rtd",,"OPEN_INT","."&amp;T$2&amp;T$1&amp;"C"&amp;$A24)),0)+IF($A$4&lt;$A24,($A$5-$A$4)*IF(RTD("tos.rtd",,"OPEN_INT","."&amp;T$2&amp;T$1&amp;"P"&amp;$A24)="N/A",0,RTD("tos.rtd",,"OPEN_INT","."&amp;T$2&amp;T$1&amp;"P"&amp;$A24)),0),IF($X$1="ABS",IF(RTD("tos.rtd",,$A$2,"."&amp;T$2&amp;T$1&amp;"C"&amp;$A24)="N/A",0,RTD("tos.rtd",,$A$2,"."&amp;T$2&amp;T$1&amp;"C"&amp;$A24))+IF(RTD("tos.rtd",,$A$2,"."&amp;T$2&amp;T$1&amp;"P"&amp;$A24)="N/A",0,RTD("tos.rtd",,$A$2,"."&amp;T$2&amp;T$1&amp;"P"&amp;$A24)),IF(RTD("tos.rtd",,$A$2,"."&amp;T$2&amp;T$1&amp;"C"&amp;$A24)="N/A",0,RTD("tos.rtd",,$A$2,"."&amp;T$2&amp;T$1&amp;"C"&amp;$A24))-IF(RTD("tos.rtd",,$A$2,"."&amp;T$2&amp;T$1&amp;"P"&amp;$A24)="N/A",0,RTD("tos.rtd",,$A$2,"."&amp;T$2&amp;T$1&amp;"P"&amp;$A24))))))))))</f>
        <v>0</v>
      </c>
      <c r="U24" s="12">
        <f ca="1">IF($A$2="PREMIUM_OI",IFERROR(IF($X$1="ABS",(100*RTD("tos.rtd",,"OPEN_INT","."&amp;U$2&amp;U$1&amp;"C"&amp;$A24)*RTD("tos.rtd",,"LAST","."&amp;U$2&amp;U$1&amp;"C"&amp;$A24)+100*RTD("tos.rtd",,"OPEN_INT","."&amp;U$2&amp;U$1&amp;"P"&amp;$A24)*RTD("tos.rtd",,"LAST","."&amp;U$2&amp;U$1&amp;"P"&amp;$A24))/1000000,(100*RTD("tos.rtd",,"OPEN_INT","."&amp;U$2&amp;U$1&amp;"C"&amp;$A24)*RTD("tos.rtd",,"LAST","."&amp;U$2&amp;U$1&amp;"C"&amp;$A24)-100*RTD("tos.rtd",,"OPEN_INT","."&amp;U$2&amp;U$1&amp;"P"&amp;$A24)*RTD("tos.rtd",,"LAST","."&amp;U$2&amp;U$1&amp;"P"&amp;$A24))/1000000),0),IF($A$2="PREMIUM",IFERROR(IF($X$1="ABS",(100*RTD("tos.rtd",,"VOLUME","."&amp;U$2&amp;U$1&amp;"C"&amp;$A24)*RTD("tos.rtd",,"LAST","."&amp;U$2&amp;U$1&amp;"C"&amp;$A24)+100*RTD("tos.rtd",,"VOLUME","."&amp;U$2&amp;U$1&amp;"P"&amp;$A24)*RTD("tos.rtd",,"LAST","."&amp;U$2&amp;U$1&amp;"P"&amp;$A24))/1000000,(100*RTD("tos.rtd",,"VOLUME","."&amp;U$2&amp;U$1&amp;"C"&amp;$A24)*RTD("tos.rtd",,"LAST","."&amp;U$2&amp;U$1&amp;"C"&amp;$A24)-100*RTD("tos.rtd",,"VOLUME","."&amp;U$2&amp;U$1&amp;"P"&amp;$A24)*RTD("tos.rtd",,"LAST","."&amp;U$2&amp;U$1&amp;"P"&amp;$A24))/1000000),0),IF($A$2="DEX",IFERROR(IF($X$1="ABS",(100*RTD("tos.rtd",,"OPEN_INT","."&amp;U$2&amp;U$1&amp;"C"&amp;$A24)*RTD("tos.rtd",,"DELTA","."&amp;U$2&amp;U$1&amp;"C"&amp;$A24)+100*RTD("tos.rtd",,"OPEN_INT","."&amp;U$2&amp;U$1&amp;"P"&amp;$A24)*RTD("tos.rtd",,"DELTA","."&amp;U$2&amp;U$1&amp;"P"&amp;$A24))/1000,(100*RTD("tos.rtd",,"OPEN_INT","."&amp;U$2&amp;U$1&amp;"C"&amp;$A24)*RTD("tos.rtd",,"DELTA","."&amp;U$2&amp;U$1&amp;"C"&amp;$A24)-100*RTD("tos.rtd",,"OPEN_INT","."&amp;U$2&amp;U$1&amp;"P"&amp;$A24)*RTD("tos.rtd",,"DELTA","."&amp;U$2&amp;U$1&amp;"P"&amp;$A24))/1000),0),IF($A$2="VEX",IFERROR(IF($X$1="ABS",($A$4*$A$4*RTD("tos.rtd",,"VOLUME","."&amp;U$2&amp;U$1&amp;"C"&amp;$A24)*RTD("tos.rtd",,"GAMMA","."&amp;U$2&amp;U$1&amp;"C"&amp;$A24)+$A$4*$A$4*RTD("tos.rtd",,"VOLUME","."&amp;U$2&amp;U$1&amp;"P"&amp;$A24)*RTD("tos.rtd",,"GAMMA","."&amp;U$2&amp;U$1&amp;"P"&amp;$A24))/1000000,($A$4*$A$4*RTD("tos.rtd",,"VOLUME","."&amp;U$2&amp;U$1&amp;"C"&amp;$A24)*RTD("tos.rtd",,"GAMMA","."&amp;U$2&amp;U$1&amp;"C"&amp;$A24)-$A$4*$A$4*RTD("tos.rtd",,"VOLUME","."&amp;U$2&amp;U$1&amp;"P"&amp;$A24)*RTD("tos.rtd",,"GAMMA","."&amp;U$2&amp;U$1&amp;"P"&amp;$A24))/1000000),0),IF($A$2="GEX",IFERROR(IF($X$1="ABS",($A$4*$A$4*RTD("tos.rtd",,"OPEN_INT","."&amp;U$2&amp;U$1&amp;"C"&amp;$A24)*RTD("tos.rtd",,"GAMMA","."&amp;U$2&amp;U$1&amp;"C"&amp;$A24)+$A$4*$A$4*RTD("tos.rtd",,"OPEN_INT","."&amp;U$2&amp;U$1&amp;"P"&amp;$A24)*RTD("tos.rtd",,"GAMMA","."&amp;U$2&amp;U$1&amp;"P"&amp;$A24))/1000000,($A$4*$A$4*RTD("tos.rtd",,"OPEN_INT","."&amp;U$2&amp;U$1&amp;"C"&amp;$A24)*RTD("tos.rtd",,"GAMMA","."&amp;U$2&amp;U$1&amp;"C"&amp;$A24)-$A$4*$A$4*RTD("tos.rtd",,"OPEN_INT","."&amp;U$2&amp;U$1&amp;"P"&amp;$A24)*RTD("tos.rtd",,"GAMMA","."&amp;U$2&amp;U$1&amp;"P"&amp;$A24))/1000000),0),IF($A$2="SKEW",IFERROR(VALUE(IF(RTD("tos.rtd",,"IMPL_VOL","."&amp;U$2&amp;U$1&amp;"P"&amp;$A24)="N/A",0,RTD("tos.rtd",,"IMPL_VOL","."&amp;U$2&amp;U$1&amp;"P"&amp;$A24))),0)-IFERROR(VALUE(IF(RTD("tos.rtd",,"IMPL_VOL","."&amp;U$2&amp;U$1&amp;"C"&amp;$A24)="N/A",0,RTD("tos.rtd",,"IMPL_VOL","."&amp;U$2&amp;U$1&amp;"C"&amp;$A24))),0),IF($A$2="MAXPAIN",IF($A$4&gt;$A24,($A$4-$A24)*IF(RTD("tos.rtd",,"OPEN_INT","."&amp;U$2&amp;U$1&amp;"C"&amp;$A24)="N/A",0,RTD("tos.rtd",,"OPEN_INT","."&amp;U$2&amp;U$1&amp;"C"&amp;$A24)),0)+IF($A$4&lt;$A24,($A$5-$A$4)*IF(RTD("tos.rtd",,"OPEN_INT","."&amp;U$2&amp;U$1&amp;"P"&amp;$A24)="N/A",0,RTD("tos.rtd",,"OPEN_INT","."&amp;U$2&amp;U$1&amp;"P"&amp;$A24)),0),IF($X$1="ABS",IF(RTD("tos.rtd",,$A$2,"."&amp;U$2&amp;U$1&amp;"C"&amp;$A24)="N/A",0,RTD("tos.rtd",,$A$2,"."&amp;U$2&amp;U$1&amp;"C"&amp;$A24))+IF(RTD("tos.rtd",,$A$2,"."&amp;U$2&amp;U$1&amp;"P"&amp;$A24)="N/A",0,RTD("tos.rtd",,$A$2,"."&amp;U$2&amp;U$1&amp;"P"&amp;$A24)),IF(RTD("tos.rtd",,$A$2,"."&amp;U$2&amp;U$1&amp;"C"&amp;$A24)="N/A",0,RTD("tos.rtd",,$A$2,"."&amp;U$2&amp;U$1&amp;"C"&amp;$A24))-IF(RTD("tos.rtd",,$A$2,"."&amp;U$2&amp;U$1&amp;"P"&amp;$A24)="N/A",0,RTD("tos.rtd",,$A$2,"."&amp;U$2&amp;U$1&amp;"P"&amp;$A24))))))))))</f>
        <v>0</v>
      </c>
      <c r="V24" s="12">
        <f ca="1">IF($A$2="PREMIUM_OI",IFERROR(IF($X$1="ABS",(100*RTD("tos.rtd",,"OPEN_INT","."&amp;V$2&amp;V$1&amp;"C"&amp;$A24)*RTD("tos.rtd",,"LAST","."&amp;V$2&amp;V$1&amp;"C"&amp;$A24)+100*RTD("tos.rtd",,"OPEN_INT","."&amp;V$2&amp;V$1&amp;"P"&amp;$A24)*RTD("tos.rtd",,"LAST","."&amp;V$2&amp;V$1&amp;"P"&amp;$A24))/1000000,(100*RTD("tos.rtd",,"OPEN_INT","."&amp;V$2&amp;V$1&amp;"C"&amp;$A24)*RTD("tos.rtd",,"LAST","."&amp;V$2&amp;V$1&amp;"C"&amp;$A24)-100*RTD("tos.rtd",,"OPEN_INT","."&amp;V$2&amp;V$1&amp;"P"&amp;$A24)*RTD("tos.rtd",,"LAST","."&amp;V$2&amp;V$1&amp;"P"&amp;$A24))/1000000),0),IF($A$2="PREMIUM",IFERROR(IF($X$1="ABS",(100*RTD("tos.rtd",,"VOLUME","."&amp;V$2&amp;V$1&amp;"C"&amp;$A24)*RTD("tos.rtd",,"LAST","."&amp;V$2&amp;V$1&amp;"C"&amp;$A24)+100*RTD("tos.rtd",,"VOLUME","."&amp;V$2&amp;V$1&amp;"P"&amp;$A24)*RTD("tos.rtd",,"LAST","."&amp;V$2&amp;V$1&amp;"P"&amp;$A24))/1000000,(100*RTD("tos.rtd",,"VOLUME","."&amp;V$2&amp;V$1&amp;"C"&amp;$A24)*RTD("tos.rtd",,"LAST","."&amp;V$2&amp;V$1&amp;"C"&amp;$A24)-100*RTD("tos.rtd",,"VOLUME","."&amp;V$2&amp;V$1&amp;"P"&amp;$A24)*RTD("tos.rtd",,"LAST","."&amp;V$2&amp;V$1&amp;"P"&amp;$A24))/1000000),0),IF($A$2="DEX",IFERROR(IF($X$1="ABS",(100*RTD("tos.rtd",,"OPEN_INT","."&amp;V$2&amp;V$1&amp;"C"&amp;$A24)*RTD("tos.rtd",,"DELTA","."&amp;V$2&amp;V$1&amp;"C"&amp;$A24)+100*RTD("tos.rtd",,"OPEN_INT","."&amp;V$2&amp;V$1&amp;"P"&amp;$A24)*RTD("tos.rtd",,"DELTA","."&amp;V$2&amp;V$1&amp;"P"&amp;$A24))/1000,(100*RTD("tos.rtd",,"OPEN_INT","."&amp;V$2&amp;V$1&amp;"C"&amp;$A24)*RTD("tos.rtd",,"DELTA","."&amp;V$2&amp;V$1&amp;"C"&amp;$A24)-100*RTD("tos.rtd",,"OPEN_INT","."&amp;V$2&amp;V$1&amp;"P"&amp;$A24)*RTD("tos.rtd",,"DELTA","."&amp;V$2&amp;V$1&amp;"P"&amp;$A24))/1000),0),IF($A$2="VEX",IFERROR(IF($X$1="ABS",($A$4*$A$4*RTD("tos.rtd",,"VOLUME","."&amp;V$2&amp;V$1&amp;"C"&amp;$A24)*RTD("tos.rtd",,"GAMMA","."&amp;V$2&amp;V$1&amp;"C"&amp;$A24)+$A$4*$A$4*RTD("tos.rtd",,"VOLUME","."&amp;V$2&amp;V$1&amp;"P"&amp;$A24)*RTD("tos.rtd",,"GAMMA","."&amp;V$2&amp;V$1&amp;"P"&amp;$A24))/1000000,($A$4*$A$4*RTD("tos.rtd",,"VOLUME","."&amp;V$2&amp;V$1&amp;"C"&amp;$A24)*RTD("tos.rtd",,"GAMMA","."&amp;V$2&amp;V$1&amp;"C"&amp;$A24)-$A$4*$A$4*RTD("tos.rtd",,"VOLUME","."&amp;V$2&amp;V$1&amp;"P"&amp;$A24)*RTD("tos.rtd",,"GAMMA","."&amp;V$2&amp;V$1&amp;"P"&amp;$A24))/1000000),0),IF($A$2="GEX",IFERROR(IF($X$1="ABS",($A$4*$A$4*RTD("tos.rtd",,"OPEN_INT","."&amp;V$2&amp;V$1&amp;"C"&amp;$A24)*RTD("tos.rtd",,"GAMMA","."&amp;V$2&amp;V$1&amp;"C"&amp;$A24)+$A$4*$A$4*RTD("tos.rtd",,"OPEN_INT","."&amp;V$2&amp;V$1&amp;"P"&amp;$A24)*RTD("tos.rtd",,"GAMMA","."&amp;V$2&amp;V$1&amp;"P"&amp;$A24))/1000000,($A$4*$A$4*RTD("tos.rtd",,"OPEN_INT","."&amp;V$2&amp;V$1&amp;"C"&amp;$A24)*RTD("tos.rtd",,"GAMMA","."&amp;V$2&amp;V$1&amp;"C"&amp;$A24)-$A$4*$A$4*RTD("tos.rtd",,"OPEN_INT","."&amp;V$2&amp;V$1&amp;"P"&amp;$A24)*RTD("tos.rtd",,"GAMMA","."&amp;V$2&amp;V$1&amp;"P"&amp;$A24))/1000000),0),IF($A$2="SKEW",IFERROR(VALUE(IF(RTD("tos.rtd",,"IMPL_VOL","."&amp;V$2&amp;V$1&amp;"P"&amp;$A24)="N/A",0,RTD("tos.rtd",,"IMPL_VOL","."&amp;V$2&amp;V$1&amp;"P"&amp;$A24))),0)-IFERROR(VALUE(IF(RTD("tos.rtd",,"IMPL_VOL","."&amp;V$2&amp;V$1&amp;"C"&amp;$A24)="N/A",0,RTD("tos.rtd",,"IMPL_VOL","."&amp;V$2&amp;V$1&amp;"C"&amp;$A24))),0),IF($A$2="MAXPAIN",IF($A$4&gt;$A24,($A$4-$A24)*IF(RTD("tos.rtd",,"OPEN_INT","."&amp;V$2&amp;V$1&amp;"C"&amp;$A24)="N/A",0,RTD("tos.rtd",,"OPEN_INT","."&amp;V$2&amp;V$1&amp;"C"&amp;$A24)),0)+IF($A$4&lt;$A24,($A$5-$A$4)*IF(RTD("tos.rtd",,"OPEN_INT","."&amp;V$2&amp;V$1&amp;"P"&amp;$A24)="N/A",0,RTD("tos.rtd",,"OPEN_INT","."&amp;V$2&amp;V$1&amp;"P"&amp;$A24)),0),IF($X$1="ABS",IF(RTD("tos.rtd",,$A$2,"."&amp;V$2&amp;V$1&amp;"C"&amp;$A24)="N/A",0,RTD("tos.rtd",,$A$2,"."&amp;V$2&amp;V$1&amp;"C"&amp;$A24))+IF(RTD("tos.rtd",,$A$2,"."&amp;V$2&amp;V$1&amp;"P"&amp;$A24)="N/A",0,RTD("tos.rtd",,$A$2,"."&amp;V$2&amp;V$1&amp;"P"&amp;$A24)),IF(RTD("tos.rtd",,$A$2,"."&amp;V$2&amp;V$1&amp;"C"&amp;$A24)="N/A",0,RTD("tos.rtd",,$A$2,"."&amp;V$2&amp;V$1&amp;"C"&amp;$A24))-IF(RTD("tos.rtd",,$A$2,"."&amp;V$2&amp;V$1&amp;"P"&amp;$A24)="N/A",0,RTD("tos.rtd",,$A$2,"."&amp;V$2&amp;V$1&amp;"P"&amp;$A24))))))))))</f>
        <v>0</v>
      </c>
      <c r="W24" s="12">
        <f ca="1">IF($A$2="PREMIUM_OI",IFERROR(IF($X$1="ABS",(100*RTD("tos.rtd",,"OPEN_INT","."&amp;W$2&amp;W$1&amp;"C"&amp;$A24)*RTD("tos.rtd",,"LAST","."&amp;W$2&amp;W$1&amp;"C"&amp;$A24)+100*RTD("tos.rtd",,"OPEN_INT","."&amp;W$2&amp;W$1&amp;"P"&amp;$A24)*RTD("tos.rtd",,"LAST","."&amp;W$2&amp;W$1&amp;"P"&amp;$A24))/1000000,(100*RTD("tos.rtd",,"OPEN_INT","."&amp;W$2&amp;W$1&amp;"C"&amp;$A24)*RTD("tos.rtd",,"LAST","."&amp;W$2&amp;W$1&amp;"C"&amp;$A24)-100*RTD("tos.rtd",,"OPEN_INT","."&amp;W$2&amp;W$1&amp;"P"&amp;$A24)*RTD("tos.rtd",,"LAST","."&amp;W$2&amp;W$1&amp;"P"&amp;$A24))/1000000),0),IF($A$2="PREMIUM",IFERROR(IF($X$1="ABS",(100*RTD("tos.rtd",,"VOLUME","."&amp;W$2&amp;W$1&amp;"C"&amp;$A24)*RTD("tos.rtd",,"LAST","."&amp;W$2&amp;W$1&amp;"C"&amp;$A24)+100*RTD("tos.rtd",,"VOLUME","."&amp;W$2&amp;W$1&amp;"P"&amp;$A24)*RTD("tos.rtd",,"LAST","."&amp;W$2&amp;W$1&amp;"P"&amp;$A24))/1000000,(100*RTD("tos.rtd",,"VOLUME","."&amp;W$2&amp;W$1&amp;"C"&amp;$A24)*RTD("tos.rtd",,"LAST","."&amp;W$2&amp;W$1&amp;"C"&amp;$A24)-100*RTD("tos.rtd",,"VOLUME","."&amp;W$2&amp;W$1&amp;"P"&amp;$A24)*RTD("tos.rtd",,"LAST","."&amp;W$2&amp;W$1&amp;"P"&amp;$A24))/1000000),0),IF($A$2="DEX",IFERROR(IF($X$1="ABS",(100*RTD("tos.rtd",,"OPEN_INT","."&amp;W$2&amp;W$1&amp;"C"&amp;$A24)*RTD("tos.rtd",,"DELTA","."&amp;W$2&amp;W$1&amp;"C"&amp;$A24)+100*RTD("tos.rtd",,"OPEN_INT","."&amp;W$2&amp;W$1&amp;"P"&amp;$A24)*RTD("tos.rtd",,"DELTA","."&amp;W$2&amp;W$1&amp;"P"&amp;$A24))/1000,(100*RTD("tos.rtd",,"OPEN_INT","."&amp;W$2&amp;W$1&amp;"C"&amp;$A24)*RTD("tos.rtd",,"DELTA","."&amp;W$2&amp;W$1&amp;"C"&amp;$A24)-100*RTD("tos.rtd",,"OPEN_INT","."&amp;W$2&amp;W$1&amp;"P"&amp;$A24)*RTD("tos.rtd",,"DELTA","."&amp;W$2&amp;W$1&amp;"P"&amp;$A24))/1000),0),IF($A$2="VEX",IFERROR(IF($X$1="ABS",($A$4*$A$4*RTD("tos.rtd",,"VOLUME","."&amp;W$2&amp;W$1&amp;"C"&amp;$A24)*RTD("tos.rtd",,"GAMMA","."&amp;W$2&amp;W$1&amp;"C"&amp;$A24)+$A$4*$A$4*RTD("tos.rtd",,"VOLUME","."&amp;W$2&amp;W$1&amp;"P"&amp;$A24)*RTD("tos.rtd",,"GAMMA","."&amp;W$2&amp;W$1&amp;"P"&amp;$A24))/1000000,($A$4*$A$4*RTD("tos.rtd",,"VOLUME","."&amp;W$2&amp;W$1&amp;"C"&amp;$A24)*RTD("tos.rtd",,"GAMMA","."&amp;W$2&amp;W$1&amp;"C"&amp;$A24)-$A$4*$A$4*RTD("tos.rtd",,"VOLUME","."&amp;W$2&amp;W$1&amp;"P"&amp;$A24)*RTD("tos.rtd",,"GAMMA","."&amp;W$2&amp;W$1&amp;"P"&amp;$A24))/1000000),0),IF($A$2="GEX",IFERROR(IF($X$1="ABS",($A$4*$A$4*RTD("tos.rtd",,"OPEN_INT","."&amp;W$2&amp;W$1&amp;"C"&amp;$A24)*RTD("tos.rtd",,"GAMMA","."&amp;W$2&amp;W$1&amp;"C"&amp;$A24)+$A$4*$A$4*RTD("tos.rtd",,"OPEN_INT","."&amp;W$2&amp;W$1&amp;"P"&amp;$A24)*RTD("tos.rtd",,"GAMMA","."&amp;W$2&amp;W$1&amp;"P"&amp;$A24))/1000000,($A$4*$A$4*RTD("tos.rtd",,"OPEN_INT","."&amp;W$2&amp;W$1&amp;"C"&amp;$A24)*RTD("tos.rtd",,"GAMMA","."&amp;W$2&amp;W$1&amp;"C"&amp;$A24)-$A$4*$A$4*RTD("tos.rtd",,"OPEN_INT","."&amp;W$2&amp;W$1&amp;"P"&amp;$A24)*RTD("tos.rtd",,"GAMMA","."&amp;W$2&amp;W$1&amp;"P"&amp;$A24))/1000000),0),IF($A$2="SKEW",IFERROR(VALUE(IF(RTD("tos.rtd",,"IMPL_VOL","."&amp;W$2&amp;W$1&amp;"P"&amp;$A24)="N/A",0,RTD("tos.rtd",,"IMPL_VOL","."&amp;W$2&amp;W$1&amp;"P"&amp;$A24))),0)-IFERROR(VALUE(IF(RTD("tos.rtd",,"IMPL_VOL","."&amp;W$2&amp;W$1&amp;"C"&amp;$A24)="N/A",0,RTD("tos.rtd",,"IMPL_VOL","."&amp;W$2&amp;W$1&amp;"C"&amp;$A24))),0),IF($A$2="MAXPAIN",IF($A$4&gt;$A24,($A$4-$A24)*IF(RTD("tos.rtd",,"OPEN_INT","."&amp;W$2&amp;W$1&amp;"C"&amp;$A24)="N/A",0,RTD("tos.rtd",,"OPEN_INT","."&amp;W$2&amp;W$1&amp;"C"&amp;$A24)),0)+IF($A$4&lt;$A24,($A$5-$A$4)*IF(RTD("tos.rtd",,"OPEN_INT","."&amp;W$2&amp;W$1&amp;"P"&amp;$A24)="N/A",0,RTD("tos.rtd",,"OPEN_INT","."&amp;W$2&amp;W$1&amp;"P"&amp;$A24)),0),IF($X$1="ABS",IF(RTD("tos.rtd",,$A$2,"."&amp;W$2&amp;W$1&amp;"C"&amp;$A24)="N/A",0,RTD("tos.rtd",,$A$2,"."&amp;W$2&amp;W$1&amp;"C"&amp;$A24))+IF(RTD("tos.rtd",,$A$2,"."&amp;W$2&amp;W$1&amp;"P"&amp;$A24)="N/A",0,RTD("tos.rtd",,$A$2,"."&amp;W$2&amp;W$1&amp;"P"&amp;$A24)),IF(RTD("tos.rtd",,$A$2,"."&amp;W$2&amp;W$1&amp;"C"&amp;$A24)="N/A",0,RTD("tos.rtd",,$A$2,"."&amp;W$2&amp;W$1&amp;"C"&amp;$A24))-IF(RTD("tos.rtd",,$A$2,"."&amp;W$2&amp;W$1&amp;"P"&amp;$A24)="N/A",0,RTD("tos.rtd",,$A$2,"."&amp;W$2&amp;W$1&amp;"P"&amp;$A24))))))))))</f>
        <v>0</v>
      </c>
      <c r="X24" s="57">
        <f t="shared" ca="1" si="7"/>
        <v>46012</v>
      </c>
      <c r="Y24" s="27">
        <f t="shared" ca="1" si="8"/>
        <v>46012</v>
      </c>
      <c r="Z24" s="27" t="b">
        <f t="shared" ca="1" si="9"/>
        <v>0</v>
      </c>
      <c r="AA24" s="27">
        <f t="shared" si="10"/>
        <v>70350850</v>
      </c>
      <c r="AB24" s="18">
        <f>MAX(0, $A24-AB$4)*IF(RTD("tos.rtd",,"OPEN_INT","."&amp;$AA$3&amp;$AA$4&amp;"C"&amp;AB$4)="N/A",0,RTD("tos.rtd",,"OPEN_INT","."&amp;$AA$3&amp;$AA$4&amp;"C"&amp;AB$4))*100 + MAX(0, AB$4-$A24)*IF(RTD("tos.rtd",,"OPEN_INT","."&amp;$AA$3&amp;$AA$4&amp;"P"&amp;AB$4)="N/A",0,RTD("tos.rtd",,"OPEN_INT","."&amp;$AA$3&amp;$AA$4&amp;"P"&amp;AB$4))*100</f>
        <v>0</v>
      </c>
      <c r="AC24" s="18">
        <f>MAX(0, $A24-AC$4)*IF(RTD("tos.rtd",,"OPEN_INT","."&amp;$AA$3&amp;$AA$4&amp;"C"&amp;AC$4)="N/A",0,RTD("tos.rtd",,"OPEN_INT","."&amp;$AA$3&amp;$AA$4&amp;"C"&amp;AC$4))*100 + MAX(0, AC$4-$A24)*IF(RTD("tos.rtd",,"OPEN_INT","."&amp;$AA$3&amp;$AA$4&amp;"P"&amp;AC$4)="N/A",0,RTD("tos.rtd",,"OPEN_INT","."&amp;$AA$3&amp;$AA$4&amp;"P"&amp;AC$4))*100</f>
        <v>0</v>
      </c>
      <c r="AD24" s="18">
        <f>MAX(0, $A24-AD$4)*IF(RTD("tos.rtd",,"OPEN_INT","."&amp;$AA$3&amp;$AA$4&amp;"C"&amp;AD$4)="N/A",0,RTD("tos.rtd",,"OPEN_INT","."&amp;$AA$3&amp;$AA$4&amp;"C"&amp;AD$4))*100 + MAX(0, AD$4-$A24)*IF(RTD("tos.rtd",,"OPEN_INT","."&amp;$AA$3&amp;$AA$4&amp;"P"&amp;AD$4)="N/A",0,RTD("tos.rtd",,"OPEN_INT","."&amp;$AA$3&amp;$AA$4&amp;"P"&amp;AD$4))*100</f>
        <v>0</v>
      </c>
      <c r="AE24" s="18">
        <f>MAX(0, $A24-AE$4)*IF(RTD("tos.rtd",,"OPEN_INT","."&amp;$AA$3&amp;$AA$4&amp;"C"&amp;AE$4)="N/A",0,RTD("tos.rtd",,"OPEN_INT","."&amp;$AA$3&amp;$AA$4&amp;"C"&amp;AE$4))*100 + MAX(0, AE$4-$A24)*IF(RTD("tos.rtd",,"OPEN_INT","."&amp;$AA$3&amp;$AA$4&amp;"P"&amp;AE$4)="N/A",0,RTD("tos.rtd",,"OPEN_INT","."&amp;$AA$3&amp;$AA$4&amp;"P"&amp;AE$4))*100</f>
        <v>0</v>
      </c>
      <c r="AF24" s="18">
        <f>MAX(0, $A24-AF$4)*IF(RTD("tos.rtd",,"OPEN_INT","."&amp;$AA$3&amp;$AA$4&amp;"C"&amp;AF$4)="N/A",0,RTD("tos.rtd",,"OPEN_INT","."&amp;$AA$3&amp;$AA$4&amp;"C"&amp;AF$4))*100 + MAX(0, AF$4-$A24)*IF(RTD("tos.rtd",,"OPEN_INT","."&amp;$AA$3&amp;$AA$4&amp;"P"&amp;AF$4)="N/A",0,RTD("tos.rtd",,"OPEN_INT","."&amp;$AA$3&amp;$AA$4&amp;"P"&amp;AF$4))*100</f>
        <v>0</v>
      </c>
      <c r="AG24" s="18">
        <f>MAX(0, $A24-AG$4)*IF(RTD("tos.rtd",,"OPEN_INT","."&amp;$AA$3&amp;$AA$4&amp;"C"&amp;AG$4)="N/A",0,RTD("tos.rtd",,"OPEN_INT","."&amp;$AA$3&amp;$AA$4&amp;"C"&amp;AG$4))*100 + MAX(0, AG$4-$A24)*IF(RTD("tos.rtd",,"OPEN_INT","."&amp;$AA$3&amp;$AA$4&amp;"P"&amp;AG$4)="N/A",0,RTD("tos.rtd",,"OPEN_INT","."&amp;$AA$3&amp;$AA$4&amp;"P"&amp;AG$4))*100</f>
        <v>0</v>
      </c>
      <c r="AH24" s="18">
        <f>MAX(0, $A24-AH$4)*IF(RTD("tos.rtd",,"OPEN_INT","."&amp;$AA$3&amp;$AA$4&amp;"C"&amp;AH$4)="N/A",0,RTD("tos.rtd",,"OPEN_INT","."&amp;$AA$3&amp;$AA$4&amp;"C"&amp;AH$4))*100 + MAX(0, AH$4-$A24)*IF(RTD("tos.rtd",,"OPEN_INT","."&amp;$AA$3&amp;$AA$4&amp;"P"&amp;AH$4)="N/A",0,RTD("tos.rtd",,"OPEN_INT","."&amp;$AA$3&amp;$AA$4&amp;"P"&amp;AH$4))*100</f>
        <v>0</v>
      </c>
      <c r="AI24" s="18">
        <f>MAX(0, $A24-AI$4)*IF(RTD("tos.rtd",,"OPEN_INT","."&amp;$AA$3&amp;$AA$4&amp;"C"&amp;AI$4)="N/A",0,RTD("tos.rtd",,"OPEN_INT","."&amp;$AA$3&amp;$AA$4&amp;"C"&amp;AI$4))*100 + MAX(0, AI$4-$A24)*IF(RTD("tos.rtd",,"OPEN_INT","."&amp;$AA$3&amp;$AA$4&amp;"P"&amp;AI$4)="N/A",0,RTD("tos.rtd",,"OPEN_INT","."&amp;$AA$3&amp;$AA$4&amp;"P"&amp;AI$4))*100</f>
        <v>1800</v>
      </c>
      <c r="AJ24" s="18">
        <f>MAX(0, $A24-AJ$4)*IF(RTD("tos.rtd",,"OPEN_INT","."&amp;$AA$3&amp;$AA$4&amp;"C"&amp;AJ$4)="N/A",0,RTD("tos.rtd",,"OPEN_INT","."&amp;$AA$3&amp;$AA$4&amp;"C"&amp;AJ$4))*100 + MAX(0, AJ$4-$A24)*IF(RTD("tos.rtd",,"OPEN_INT","."&amp;$AA$3&amp;$AA$4&amp;"P"&amp;AJ$4)="N/A",0,RTD("tos.rtd",,"OPEN_INT","."&amp;$AA$3&amp;$AA$4&amp;"P"&amp;AJ$4))*100</f>
        <v>4400</v>
      </c>
      <c r="AK24" s="18">
        <f>MAX(0, $A24-AK$4)*IF(RTD("tos.rtd",,"OPEN_INT","."&amp;$AA$3&amp;$AA$4&amp;"C"&amp;AK$4)="N/A",0,RTD("tos.rtd",,"OPEN_INT","."&amp;$AA$3&amp;$AA$4&amp;"C"&amp;AK$4))*100 + MAX(0, AK$4-$A24)*IF(RTD("tos.rtd",,"OPEN_INT","."&amp;$AA$3&amp;$AA$4&amp;"P"&amp;AK$4)="N/A",0,RTD("tos.rtd",,"OPEN_INT","."&amp;$AA$3&amp;$AA$4&amp;"P"&amp;AK$4))*100</f>
        <v>0</v>
      </c>
      <c r="AL24" s="18">
        <f>MAX(0, $A24-AL$4)*IF(RTD("tos.rtd",,"OPEN_INT","."&amp;$AA$3&amp;$AA$4&amp;"C"&amp;AL$4)="N/A",0,RTD("tos.rtd",,"OPEN_INT","."&amp;$AA$3&amp;$AA$4&amp;"C"&amp;AL$4))*100 + MAX(0, AL$4-$A24)*IF(RTD("tos.rtd",,"OPEN_INT","."&amp;$AA$3&amp;$AA$4&amp;"P"&amp;AL$4)="N/A",0,RTD("tos.rtd",,"OPEN_INT","."&amp;$AA$3&amp;$AA$4&amp;"P"&amp;AL$4))*100</f>
        <v>0</v>
      </c>
      <c r="AM24" s="18">
        <f>MAX(0, $A24-AM$4)*IF(RTD("tos.rtd",,"OPEN_INT","."&amp;$AA$3&amp;$AA$4&amp;"C"&amp;AM$4)="N/A",0,RTD("tos.rtd",,"OPEN_INT","."&amp;$AA$3&amp;$AA$4&amp;"C"&amp;AM$4))*100 + MAX(0, AM$4-$A24)*IF(RTD("tos.rtd",,"OPEN_INT","."&amp;$AA$3&amp;$AA$4&amp;"P"&amp;AM$4)="N/A",0,RTD("tos.rtd",,"OPEN_INT","."&amp;$AA$3&amp;$AA$4&amp;"P"&amp;AM$4))*100</f>
        <v>0</v>
      </c>
      <c r="AN24" s="18">
        <f>MAX(0, $A24-AN$4)*IF(RTD("tos.rtd",,"OPEN_INT","."&amp;$AA$3&amp;$AA$4&amp;"C"&amp;AN$4)="N/A",0,RTD("tos.rtd",,"OPEN_INT","."&amp;$AA$3&amp;$AA$4&amp;"C"&amp;AN$4))*100 + MAX(0, AN$4-$A24)*IF(RTD("tos.rtd",,"OPEN_INT","."&amp;$AA$3&amp;$AA$4&amp;"P"&amp;AN$4)="N/A",0,RTD("tos.rtd",,"OPEN_INT","."&amp;$AA$3&amp;$AA$4&amp;"P"&amp;AN$4))*100</f>
        <v>0</v>
      </c>
      <c r="AO24" s="18">
        <f>MAX(0, $A24-AO$4)*IF(RTD("tos.rtd",,"OPEN_INT","."&amp;$AA$3&amp;$AA$4&amp;"C"&amp;AO$4)="N/A",0,RTD("tos.rtd",,"OPEN_INT","."&amp;$AA$3&amp;$AA$4&amp;"C"&amp;AO$4))*100 + MAX(0, AO$4-$A24)*IF(RTD("tos.rtd",,"OPEN_INT","."&amp;$AA$3&amp;$AA$4&amp;"P"&amp;AO$4)="N/A",0,RTD("tos.rtd",,"OPEN_INT","."&amp;$AA$3&amp;$AA$4&amp;"P"&amp;AO$4))*100</f>
        <v>36000</v>
      </c>
      <c r="AP24" s="18">
        <f>MAX(0, $A24-AP$4)*IF(RTD("tos.rtd",,"OPEN_INT","."&amp;$AA$3&amp;$AA$4&amp;"C"&amp;AP$4)="N/A",0,RTD("tos.rtd",,"OPEN_INT","."&amp;$AA$3&amp;$AA$4&amp;"C"&amp;AP$4))*100 + MAX(0, AP$4-$A24)*IF(RTD("tos.rtd",,"OPEN_INT","."&amp;$AA$3&amp;$AA$4&amp;"P"&amp;AP$4)="N/A",0,RTD("tos.rtd",,"OPEN_INT","."&amp;$AA$3&amp;$AA$4&amp;"P"&amp;AP$4))*100</f>
        <v>0</v>
      </c>
      <c r="AQ24" s="18">
        <f>MAX(0, $A24-AQ$4)*IF(RTD("tos.rtd",,"OPEN_INT","."&amp;$AA$3&amp;$AA$4&amp;"C"&amp;AQ$4)="N/A",0,RTD("tos.rtd",,"OPEN_INT","."&amp;$AA$3&amp;$AA$4&amp;"C"&amp;AQ$4))*100 + MAX(0, AQ$4-$A24)*IF(RTD("tos.rtd",,"OPEN_INT","."&amp;$AA$3&amp;$AA$4&amp;"P"&amp;AQ$4)="N/A",0,RTD("tos.rtd",,"OPEN_INT","."&amp;$AA$3&amp;$AA$4&amp;"P"&amp;AQ$4))*100</f>
        <v>10600</v>
      </c>
      <c r="AR24" s="18">
        <f>MAX(0, $A24-AR$4)*IF(RTD("tos.rtd",,"OPEN_INT","."&amp;$AA$3&amp;$AA$4&amp;"C"&amp;AR$4)="N/A",0,RTD("tos.rtd",,"OPEN_INT","."&amp;$AA$3&amp;$AA$4&amp;"C"&amp;AR$4))*100 + MAX(0, AR$4-$A24)*IF(RTD("tos.rtd",,"OPEN_INT","."&amp;$AA$3&amp;$AA$4&amp;"P"&amp;AR$4)="N/A",0,RTD("tos.rtd",,"OPEN_INT","."&amp;$AA$3&amp;$AA$4&amp;"P"&amp;AR$4))*100</f>
        <v>900</v>
      </c>
      <c r="AS24" s="18">
        <f>MAX(0, $A24-AS$4)*IF(RTD("tos.rtd",,"OPEN_INT","."&amp;$AA$3&amp;$AA$4&amp;"C"&amp;AS$4)="N/A",0,RTD("tos.rtd",,"OPEN_INT","."&amp;$AA$3&amp;$AA$4&amp;"C"&amp;AS$4))*100 + MAX(0, AS$4-$A24)*IF(RTD("tos.rtd",,"OPEN_INT","."&amp;$AA$3&amp;$AA$4&amp;"P"&amp;AS$4)="N/A",0,RTD("tos.rtd",,"OPEN_INT","."&amp;$AA$3&amp;$AA$4&amp;"P"&amp;AS$4))*100</f>
        <v>6200</v>
      </c>
      <c r="AT24" s="18">
        <f>MAX(0, $A24-AT$4)*IF(RTD("tos.rtd",,"OPEN_INT","."&amp;$AA$3&amp;$AA$4&amp;"C"&amp;AT$4)="N/A",0,RTD("tos.rtd",,"OPEN_INT","."&amp;$AA$3&amp;$AA$4&amp;"C"&amp;AT$4))*100 + MAX(0, AT$4-$A24)*IF(RTD("tos.rtd",,"OPEN_INT","."&amp;$AA$3&amp;$AA$4&amp;"P"&amp;AT$4)="N/A",0,RTD("tos.rtd",,"OPEN_INT","."&amp;$AA$3&amp;$AA$4&amp;"P"&amp;AT$4))*100</f>
        <v>3500</v>
      </c>
      <c r="AU24" s="18">
        <f>MAX(0, $A24-AU$4)*IF(RTD("tos.rtd",,"OPEN_INT","."&amp;$AA$3&amp;$AA$4&amp;"C"&amp;AU$4)="N/A",0,RTD("tos.rtd",,"OPEN_INT","."&amp;$AA$3&amp;$AA$4&amp;"C"&amp;AU$4))*100 + MAX(0, AU$4-$A24)*IF(RTD("tos.rtd",,"OPEN_INT","."&amp;$AA$3&amp;$AA$4&amp;"P"&amp;AU$4)="N/A",0,RTD("tos.rtd",,"OPEN_INT","."&amp;$AA$3&amp;$AA$4&amp;"P"&amp;AU$4))*100</f>
        <v>0</v>
      </c>
      <c r="AV24" s="18">
        <f>MAX(0, $A24-AV$4)*IF(RTD("tos.rtd",,"OPEN_INT","."&amp;$AA$3&amp;$AA$4&amp;"C"&amp;AV$4)="N/A",0,RTD("tos.rtd",,"OPEN_INT","."&amp;$AA$3&amp;$AA$4&amp;"C"&amp;AV$4))*100 + MAX(0, AV$4-$A24)*IF(RTD("tos.rtd",,"OPEN_INT","."&amp;$AA$3&amp;$AA$4&amp;"P"&amp;AV$4)="N/A",0,RTD("tos.rtd",,"OPEN_INT","."&amp;$AA$3&amp;$AA$4&amp;"P"&amp;AV$4))*100</f>
        <v>94400</v>
      </c>
      <c r="AW24" s="18">
        <f>MAX(0, $A24-AW$4)*IF(RTD("tos.rtd",,"OPEN_INT","."&amp;$AA$3&amp;$AA$4&amp;"C"&amp;AW$4)="N/A",0,RTD("tos.rtd",,"OPEN_INT","."&amp;$AA$3&amp;$AA$4&amp;"C"&amp;AW$4))*100 + MAX(0, AW$4-$A24)*IF(RTD("tos.rtd",,"OPEN_INT","."&amp;$AA$3&amp;$AA$4&amp;"P"&amp;AW$4)="N/A",0,RTD("tos.rtd",,"OPEN_INT","."&amp;$AA$3&amp;$AA$4&amp;"P"&amp;AW$4))*100</f>
        <v>307500</v>
      </c>
      <c r="AX24" s="18">
        <f>MAX(0, $A24-AX$4)*IF(RTD("tos.rtd",,"OPEN_INT","."&amp;$AA$3&amp;$AA$4&amp;"C"&amp;AX$4)="N/A",0,RTD("tos.rtd",,"OPEN_INT","."&amp;$AA$3&amp;$AA$4&amp;"C"&amp;AX$4))*100 + MAX(0, AX$4-$A24)*IF(RTD("tos.rtd",,"OPEN_INT","."&amp;$AA$3&amp;$AA$4&amp;"P"&amp;AX$4)="N/A",0,RTD("tos.rtd",,"OPEN_INT","."&amp;$AA$3&amp;$AA$4&amp;"P"&amp;AX$4))*100</f>
        <v>637950</v>
      </c>
      <c r="AY24" s="18">
        <f>MAX(0, $A24-AY$4)*IF(RTD("tos.rtd",,"OPEN_INT","."&amp;$AA$3&amp;$AA$4&amp;"C"&amp;AY$4)="N/A",0,RTD("tos.rtd",,"OPEN_INT","."&amp;$AA$3&amp;$AA$4&amp;"C"&amp;AY$4))*100 + MAX(0, AY$4-$A24)*IF(RTD("tos.rtd",,"OPEN_INT","."&amp;$AA$3&amp;$AA$4&amp;"P"&amp;AY$4)="N/A",0,RTD("tos.rtd",,"OPEN_INT","."&amp;$AA$3&amp;$AA$4&amp;"P"&amp;AY$4))*100</f>
        <v>3909600</v>
      </c>
      <c r="AZ24" s="18">
        <f>MAX(0, $A24-AZ$4)*IF(RTD("tos.rtd",,"OPEN_INT","."&amp;$AA$3&amp;$AA$4&amp;"C"&amp;AZ$4)="N/A",0,RTD("tos.rtd",,"OPEN_INT","."&amp;$AA$3&amp;$AA$4&amp;"C"&amp;AZ$4))*100 + MAX(0, AZ$4-$A24)*IF(RTD("tos.rtd",,"OPEN_INT","."&amp;$AA$3&amp;$AA$4&amp;"P"&amp;AZ$4)="N/A",0,RTD("tos.rtd",,"OPEN_INT","."&amp;$AA$3&amp;$AA$4&amp;"P"&amp;AZ$4))*100</f>
        <v>2462500</v>
      </c>
      <c r="BA24" s="18">
        <f>MAX(0, $A24-BA$4)*IF(RTD("tos.rtd",,"OPEN_INT","."&amp;$AA$3&amp;$AA$4&amp;"C"&amp;BA$4)="N/A",0,RTD("tos.rtd",,"OPEN_INT","."&amp;$AA$3&amp;$AA$4&amp;"C"&amp;BA$4))*100 + MAX(0, BA$4-$A24)*IF(RTD("tos.rtd",,"OPEN_INT","."&amp;$AA$3&amp;$AA$4&amp;"P"&amp;BA$4)="N/A",0,RTD("tos.rtd",,"OPEN_INT","."&amp;$AA$3&amp;$AA$4&amp;"P"&amp;BA$4))*100</f>
        <v>9242100</v>
      </c>
      <c r="BB24" s="18">
        <f>MAX(0, $A24-BB$4)*IF(RTD("tos.rtd",,"OPEN_INT","."&amp;$AA$3&amp;$AA$4&amp;"C"&amp;BB$4)="N/A",0,RTD("tos.rtd",,"OPEN_INT","."&amp;$AA$3&amp;$AA$4&amp;"C"&amp;BB$4))*100 + MAX(0, BB$4-$A24)*IF(RTD("tos.rtd",,"OPEN_INT","."&amp;$AA$3&amp;$AA$4&amp;"P"&amp;BB$4)="N/A",0,RTD("tos.rtd",,"OPEN_INT","."&amp;$AA$3&amp;$AA$4&amp;"P"&amp;BB$4))*100</f>
        <v>10030300</v>
      </c>
      <c r="BC24" s="18">
        <f>MAX(0, $A24-BC$4)*IF(RTD("tos.rtd",,"OPEN_INT","."&amp;$AA$3&amp;$AA$4&amp;"C"&amp;BC$4)="N/A",0,RTD("tos.rtd",,"OPEN_INT","."&amp;$AA$3&amp;$AA$4&amp;"C"&amp;BC$4))*100 + MAX(0, BC$4-$A24)*IF(RTD("tos.rtd",,"OPEN_INT","."&amp;$AA$3&amp;$AA$4&amp;"P"&amp;BC$4)="N/A",0,RTD("tos.rtd",,"OPEN_INT","."&amp;$AA$3&amp;$AA$4&amp;"P"&amp;BC$4))*100</f>
        <v>16285200</v>
      </c>
      <c r="BD24" s="18">
        <f>MAX(0, $A24-BD$4)*IF(RTD("tos.rtd",,"OPEN_INT","."&amp;$AA$3&amp;$AA$4&amp;"C"&amp;BD$4)="N/A",0,RTD("tos.rtd",,"OPEN_INT","."&amp;$AA$3&amp;$AA$4&amp;"C"&amp;BD$4))*100 + MAX(0, BD$4-$A24)*IF(RTD("tos.rtd",,"OPEN_INT","."&amp;$AA$3&amp;$AA$4&amp;"P"&amp;BD$4)="N/A",0,RTD("tos.rtd",,"OPEN_INT","."&amp;$AA$3&amp;$AA$4&amp;"P"&amp;BD$4))*100</f>
        <v>8352000</v>
      </c>
      <c r="BE24" s="18">
        <f>MAX(0, $A24-BE$4)*IF(RTD("tos.rtd",,"OPEN_INT","."&amp;$AA$3&amp;$AA$4&amp;"C"&amp;BE$4)="N/A",0,RTD("tos.rtd",,"OPEN_INT","."&amp;$AA$3&amp;$AA$4&amp;"C"&amp;BE$4))*100 + MAX(0, BE$4-$A24)*IF(RTD("tos.rtd",,"OPEN_INT","."&amp;$AA$3&amp;$AA$4&amp;"P"&amp;BE$4)="N/A",0,RTD("tos.rtd",,"OPEN_INT","."&amp;$AA$3&amp;$AA$4&amp;"P"&amp;BE$4))*100</f>
        <v>8639000</v>
      </c>
      <c r="BF24" s="18">
        <f>MAX(0, $A24-BF$4)*IF(RTD("tos.rtd",,"OPEN_INT","."&amp;$AA$3&amp;$AA$4&amp;"C"&amp;BF$4)="N/A",0,RTD("tos.rtd",,"OPEN_INT","."&amp;$AA$3&amp;$AA$4&amp;"C"&amp;BF$4))*100 + MAX(0, BF$4-$A24)*IF(RTD("tos.rtd",,"OPEN_INT","."&amp;$AA$3&amp;$AA$4&amp;"P"&amp;BF$4)="N/A",0,RTD("tos.rtd",,"OPEN_INT","."&amp;$AA$3&amp;$AA$4&amp;"P"&amp;BF$4))*100</f>
        <v>4623850</v>
      </c>
      <c r="BG24" s="18">
        <f>MAX(0, $A24-BG$4)*IF(RTD("tos.rtd",,"OPEN_INT","."&amp;$AA$3&amp;$AA$4&amp;"C"&amp;BG$4)="N/A",0,RTD("tos.rtd",,"OPEN_INT","."&amp;$AA$3&amp;$AA$4&amp;"C"&amp;BG$4))*100 + MAX(0, BG$4-$A24)*IF(RTD("tos.rtd",,"OPEN_INT","."&amp;$AA$3&amp;$AA$4&amp;"P"&amp;BG$4)="N/A",0,RTD("tos.rtd",,"OPEN_INT","."&amp;$AA$3&amp;$AA$4&amp;"P"&amp;BG$4))*100</f>
        <v>3440400</v>
      </c>
      <c r="BH24" s="18">
        <f>MAX(0, $A24-BH$4)*IF(RTD("tos.rtd",,"OPEN_INT","."&amp;$AA$3&amp;$AA$4&amp;"C"&amp;BH$4)="N/A",0,RTD("tos.rtd",,"OPEN_INT","."&amp;$AA$3&amp;$AA$4&amp;"C"&amp;BH$4))*100 + MAX(0, BH$4-$A24)*IF(RTD("tos.rtd",,"OPEN_INT","."&amp;$AA$3&amp;$AA$4&amp;"P"&amp;BH$4)="N/A",0,RTD("tos.rtd",,"OPEN_INT","."&amp;$AA$3&amp;$AA$4&amp;"P"&amp;BH$4))*100</f>
        <v>1262950</v>
      </c>
      <c r="BI24" s="18">
        <f>MAX(0, $A24-BI$4)*IF(RTD("tos.rtd",,"OPEN_INT","."&amp;$AA$3&amp;$AA$4&amp;"C"&amp;BI$4)="N/A",0,RTD("tos.rtd",,"OPEN_INT","."&amp;$AA$3&amp;$AA$4&amp;"C"&amp;BI$4))*100 + MAX(0, BI$4-$A24)*IF(RTD("tos.rtd",,"OPEN_INT","."&amp;$AA$3&amp;$AA$4&amp;"P"&amp;BI$4)="N/A",0,RTD("tos.rtd",,"OPEN_INT","."&amp;$AA$3&amp;$AA$4&amp;"P"&amp;BI$4))*100</f>
        <v>589400</v>
      </c>
      <c r="BJ24" s="18">
        <f>MAX(0, $A24-BJ$4)*IF(RTD("tos.rtd",,"OPEN_INT","."&amp;$AA$3&amp;$AA$4&amp;"C"&amp;BJ$4)="N/A",0,RTD("tos.rtd",,"OPEN_INT","."&amp;$AA$3&amp;$AA$4&amp;"C"&amp;BJ$4))*100 + MAX(0, BJ$4-$A24)*IF(RTD("tos.rtd",,"OPEN_INT","."&amp;$AA$3&amp;$AA$4&amp;"P"&amp;BJ$4)="N/A",0,RTD("tos.rtd",,"OPEN_INT","."&amp;$AA$3&amp;$AA$4&amp;"P"&amp;BJ$4))*100</f>
        <v>113250</v>
      </c>
      <c r="BK24" s="18">
        <f>MAX(0, $A24-BK$4)*IF(RTD("tos.rtd",,"OPEN_INT","."&amp;$AA$3&amp;$AA$4&amp;"C"&amp;BK$4)="N/A",0,RTD("tos.rtd",,"OPEN_INT","."&amp;$AA$3&amp;$AA$4&amp;"C"&amp;BK$4))*100 + MAX(0, BK$4-$A24)*IF(RTD("tos.rtd",,"OPEN_INT","."&amp;$AA$3&amp;$AA$4&amp;"P"&amp;BK$4)="N/A",0,RTD("tos.rtd",,"OPEN_INT","."&amp;$AA$3&amp;$AA$4&amp;"P"&amp;BK$4))*100</f>
        <v>208800</v>
      </c>
      <c r="BL24" s="18">
        <f>MAX(0, $A24-BL$4)*IF(RTD("tos.rtd",,"OPEN_INT","."&amp;$AA$3&amp;$AA$4&amp;"C"&amp;BL$4)="N/A",0,RTD("tos.rtd",,"OPEN_INT","."&amp;$AA$3&amp;$AA$4&amp;"C"&amp;BL$4))*100 + MAX(0, BL$4-$A24)*IF(RTD("tos.rtd",,"OPEN_INT","."&amp;$AA$3&amp;$AA$4&amp;"P"&amp;BL$4)="N/A",0,RTD("tos.rtd",,"OPEN_INT","."&amp;$AA$3&amp;$AA$4&amp;"P"&amp;BL$4))*100</f>
        <v>13600</v>
      </c>
      <c r="BM24" s="18">
        <f>MAX(0, $A24-BM$4)*IF(RTD("tos.rtd",,"OPEN_INT","."&amp;$AA$3&amp;$AA$4&amp;"C"&amp;BM$4)="N/A",0,RTD("tos.rtd",,"OPEN_INT","."&amp;$AA$3&amp;$AA$4&amp;"C"&amp;BM$4))*100 + MAX(0, BM$4-$A24)*IF(RTD("tos.rtd",,"OPEN_INT","."&amp;$AA$3&amp;$AA$4&amp;"P"&amp;BM$4)="N/A",0,RTD("tos.rtd",,"OPEN_INT","."&amp;$AA$3&amp;$AA$4&amp;"P"&amp;BM$4))*100</f>
        <v>7200</v>
      </c>
      <c r="BN24" s="18">
        <f>MAX(0, $A24-BN$4)*IF(RTD("tos.rtd",,"OPEN_INT","."&amp;$AA$3&amp;$AA$4&amp;"C"&amp;BN$4)="N/A",0,RTD("tos.rtd",,"OPEN_INT","."&amp;$AA$3&amp;$AA$4&amp;"C"&amp;BN$4))*100 + MAX(0, BN$4-$A24)*IF(RTD("tos.rtd",,"OPEN_INT","."&amp;$AA$3&amp;$AA$4&amp;"P"&amp;BN$4)="N/A",0,RTD("tos.rtd",,"OPEN_INT","."&amp;$AA$3&amp;$AA$4&amp;"P"&amp;BN$4))*100</f>
        <v>29450</v>
      </c>
      <c r="BO24" s="18">
        <f>MAX(0, $A24-BO$4)*IF(RTD("tos.rtd",,"OPEN_INT","."&amp;$AA$3&amp;$AA$4&amp;"C"&amp;BO$4)="N/A",0,RTD("tos.rtd",,"OPEN_INT","."&amp;$AA$3&amp;$AA$4&amp;"C"&amp;BO$4))*100 + MAX(0, BO$4-$A24)*IF(RTD("tos.rtd",,"OPEN_INT","."&amp;$AA$3&amp;$AA$4&amp;"P"&amp;BO$4)="N/A",0,RTD("tos.rtd",,"OPEN_INT","."&amp;$AA$3&amp;$AA$4&amp;"P"&amp;BO$4))*100</f>
        <v>38000</v>
      </c>
      <c r="BP24" s="18">
        <f>MAX(0, $A24-BP$4)*IF(RTD("tos.rtd",,"OPEN_INT","."&amp;$AA$3&amp;$AA$4&amp;"C"&amp;BP$4)="N/A",0,RTD("tos.rtd",,"OPEN_INT","."&amp;$AA$3&amp;$AA$4&amp;"C"&amp;BP$4))*100 + MAX(0, BP$4-$A24)*IF(RTD("tos.rtd",,"OPEN_INT","."&amp;$AA$3&amp;$AA$4&amp;"P"&amp;BP$4)="N/A",0,RTD("tos.rtd",,"OPEN_INT","."&amp;$AA$3&amp;$AA$4&amp;"P"&amp;BP$4))*100</f>
        <v>0</v>
      </c>
      <c r="BQ24" s="18">
        <f>MAX(0, $A24-BQ$4)*IF(RTD("tos.rtd",,"OPEN_INT","."&amp;$AA$3&amp;$AA$4&amp;"C"&amp;BQ$4)="N/A",0,RTD("tos.rtd",,"OPEN_INT","."&amp;$AA$3&amp;$AA$4&amp;"C"&amp;BQ$4))*100 + MAX(0, BQ$4-$A24)*IF(RTD("tos.rtd",,"OPEN_INT","."&amp;$AA$3&amp;$AA$4&amp;"P"&amp;BQ$4)="N/A",0,RTD("tos.rtd",,"OPEN_INT","."&amp;$AA$3&amp;$AA$4&amp;"P"&amp;BQ$4))*100</f>
        <v>0</v>
      </c>
      <c r="BR24" s="18">
        <f>MAX(0, $A24-BR$4)*IF(RTD("tos.rtd",,"OPEN_INT","."&amp;$AA$3&amp;$AA$4&amp;"C"&amp;BR$4)="N/A",0,RTD("tos.rtd",,"OPEN_INT","."&amp;$AA$3&amp;$AA$4&amp;"C"&amp;BR$4))*100 + MAX(0, BR$4-$A24)*IF(RTD("tos.rtd",,"OPEN_INT","."&amp;$AA$3&amp;$AA$4&amp;"P"&amp;BR$4)="N/A",0,RTD("tos.rtd",,"OPEN_INT","."&amp;$AA$3&amp;$AA$4&amp;"P"&amp;BR$4))*100</f>
        <v>0</v>
      </c>
      <c r="BS24" s="18">
        <f>MAX(0, $A24-BS$4)*IF(RTD("tos.rtd",,"OPEN_INT","."&amp;$AA$3&amp;$AA$4&amp;"C"&amp;BS$4)="N/A",0,RTD("tos.rtd",,"OPEN_INT","."&amp;$AA$3&amp;$AA$4&amp;"C"&amp;BS$4))*100 + MAX(0, BS$4-$A24)*IF(RTD("tos.rtd",,"OPEN_INT","."&amp;$AA$3&amp;$AA$4&amp;"P"&amp;BS$4)="N/A",0,RTD("tos.rtd",,"OPEN_INT","."&amp;$AA$3&amp;$AA$4&amp;"P"&amp;BS$4))*100</f>
        <v>0</v>
      </c>
      <c r="BT24" s="18">
        <f>MAX(0, $A24-BT$4)*IF(RTD("tos.rtd",,"OPEN_INT","."&amp;$AA$3&amp;$AA$4&amp;"C"&amp;BT$4)="N/A",0,RTD("tos.rtd",,"OPEN_INT","."&amp;$AA$3&amp;$AA$4&amp;"C"&amp;BT$4))*100 + MAX(0, BT$4-$A24)*IF(RTD("tos.rtd",,"OPEN_INT","."&amp;$AA$3&amp;$AA$4&amp;"P"&amp;BT$4)="N/A",0,RTD("tos.rtd",,"OPEN_INT","."&amp;$AA$3&amp;$AA$4&amp;"P"&amp;BT$4))*100</f>
        <v>0</v>
      </c>
      <c r="BU24" s="18">
        <f>MAX(0, $A24-BU$4)*IF(RTD("tos.rtd",,"OPEN_INT","."&amp;$AA$3&amp;$AA$4&amp;"C"&amp;BU$4)="N/A",0,RTD("tos.rtd",,"OPEN_INT","."&amp;$AA$3&amp;$AA$4&amp;"C"&amp;BU$4))*100 + MAX(0, BU$4-$A24)*IF(RTD("tos.rtd",,"OPEN_INT","."&amp;$AA$3&amp;$AA$4&amp;"P"&amp;BU$4)="N/A",0,RTD("tos.rtd",,"OPEN_INT","."&amp;$AA$3&amp;$AA$4&amp;"P"&amp;BU$4))*100</f>
        <v>0</v>
      </c>
      <c r="BV24" s="18">
        <f>MAX(0, $A24-BV$4)*IF(RTD("tos.rtd",,"OPEN_INT","."&amp;$AA$3&amp;$AA$4&amp;"C"&amp;BV$4)="N/A",0,RTD("tos.rtd",,"OPEN_INT","."&amp;$AA$3&amp;$AA$4&amp;"C"&amp;BV$4))*100 + MAX(0, BV$4-$A24)*IF(RTD("tos.rtd",,"OPEN_INT","."&amp;$AA$3&amp;$AA$4&amp;"P"&amp;BV$4)="N/A",0,RTD("tos.rtd",,"OPEN_INT","."&amp;$AA$3&amp;$AA$4&amp;"P"&amp;BV$4))*100</f>
        <v>0</v>
      </c>
    </row>
    <row r="25" spans="1:74" s="19" customFormat="1" ht="11.1" customHeight="1" thickBot="1" x14ac:dyDescent="0.3">
      <c r="A25" s="23">
        <f t="shared" si="6"/>
        <v>11.5</v>
      </c>
      <c r="B25" s="14">
        <f ca="1">IF($A$2="PREMIUM_OI",IFERROR(IF($X$1="ABS",(100*RTD("tos.rtd",,"OPEN_INT","."&amp;B$2&amp;B$1&amp;"C"&amp;$A25)*RTD("tos.rtd",,"LAST","."&amp;B$2&amp;B$1&amp;"C"&amp;$A25)+100*RTD("tos.rtd",,"OPEN_INT","."&amp;B$2&amp;B$1&amp;"P"&amp;$A25)*RTD("tos.rtd",,"LAST","."&amp;B$2&amp;B$1&amp;"P"&amp;$A25))/1000000,(100*RTD("tos.rtd",,"OPEN_INT","."&amp;B$2&amp;B$1&amp;"C"&amp;$A25)*RTD("tos.rtd",,"LAST","."&amp;B$2&amp;B$1&amp;"C"&amp;$A25)-100*RTD("tos.rtd",,"OPEN_INT","."&amp;B$2&amp;B$1&amp;"P"&amp;$A25)*RTD("tos.rtd",,"LAST","."&amp;B$2&amp;B$1&amp;"P"&amp;$A25))/1000000),0),IF($A$2="PREMIUM",IFERROR(IF($X$1="ABS",(100*RTD("tos.rtd",,"VOLUME","."&amp;B$2&amp;B$1&amp;"C"&amp;$A25)*RTD("tos.rtd",,"LAST","."&amp;B$2&amp;B$1&amp;"C"&amp;$A25)+100*RTD("tos.rtd",,"VOLUME","."&amp;B$2&amp;B$1&amp;"P"&amp;$A25)*RTD("tos.rtd",,"LAST","."&amp;B$2&amp;B$1&amp;"P"&amp;$A25))/1000000,(100*RTD("tos.rtd",,"VOLUME","."&amp;B$2&amp;B$1&amp;"C"&amp;$A25)*RTD("tos.rtd",,"LAST","."&amp;B$2&amp;B$1&amp;"C"&amp;$A25)-100*RTD("tos.rtd",,"VOLUME","."&amp;B$2&amp;B$1&amp;"P"&amp;$A25)*RTD("tos.rtd",,"LAST","."&amp;B$2&amp;B$1&amp;"P"&amp;$A25))/1000000),0),IF($A$2="DEX",IFERROR(IF($X$1="ABS",(100*RTD("tos.rtd",,"OPEN_INT","."&amp;B$2&amp;B$1&amp;"C"&amp;$A25)*RTD("tos.rtd",,"DELTA","."&amp;B$2&amp;B$1&amp;"C"&amp;$A25)+100*RTD("tos.rtd",,"OPEN_INT","."&amp;B$2&amp;B$1&amp;"P"&amp;$A25)*RTD("tos.rtd",,"DELTA","."&amp;B$2&amp;B$1&amp;"P"&amp;$A25))/1000,(100*RTD("tos.rtd",,"OPEN_INT","."&amp;B$2&amp;B$1&amp;"C"&amp;$A25)*RTD("tos.rtd",,"DELTA","."&amp;B$2&amp;B$1&amp;"C"&amp;$A25)-100*RTD("tos.rtd",,"OPEN_INT","."&amp;B$2&amp;B$1&amp;"P"&amp;$A25)*RTD("tos.rtd",,"DELTA","."&amp;B$2&amp;B$1&amp;"P"&amp;$A25))/1000),0),IF($A$2="VEX",IFERROR(IF($X$1="ABS",($A$4*$A$4*RTD("tos.rtd",,"VOLUME","."&amp;B$2&amp;B$1&amp;"C"&amp;$A25)*RTD("tos.rtd",,"GAMMA","."&amp;B$2&amp;B$1&amp;"C"&amp;$A25)+$A$4*$A$4*RTD("tos.rtd",,"VOLUME","."&amp;B$2&amp;B$1&amp;"P"&amp;$A25)*RTD("tos.rtd",,"GAMMA","."&amp;B$2&amp;B$1&amp;"P"&amp;$A25))/1000000,($A$4*$A$4*RTD("tos.rtd",,"VOLUME","."&amp;B$2&amp;B$1&amp;"C"&amp;$A25)*RTD("tos.rtd",,"GAMMA","."&amp;B$2&amp;B$1&amp;"C"&amp;$A25)-$A$4*$A$4*RTD("tos.rtd",,"VOLUME","."&amp;B$2&amp;B$1&amp;"P"&amp;$A25)*RTD("tos.rtd",,"GAMMA","."&amp;B$2&amp;B$1&amp;"P"&amp;$A25))/1000000),0),IF($A$2="GEX",IFERROR(IF($X$1="ABS",($A$4*$A$4*RTD("tos.rtd",,"OPEN_INT","."&amp;B$2&amp;B$1&amp;"C"&amp;$A25)*RTD("tos.rtd",,"GAMMA","."&amp;B$2&amp;B$1&amp;"C"&amp;$A25)+$A$4*$A$4*RTD("tos.rtd",,"OPEN_INT","."&amp;B$2&amp;B$1&amp;"P"&amp;$A25)*RTD("tos.rtd",,"GAMMA","."&amp;B$2&amp;B$1&amp;"P"&amp;$A25))/1000000,($A$4*$A$4*RTD("tos.rtd",,"OPEN_INT","."&amp;B$2&amp;B$1&amp;"C"&amp;$A25)*RTD("tos.rtd",,"GAMMA","."&amp;B$2&amp;B$1&amp;"C"&amp;$A25)-$A$4*$A$4*RTD("tos.rtd",,"OPEN_INT","."&amp;B$2&amp;B$1&amp;"P"&amp;$A25)*RTD("tos.rtd",,"GAMMA","."&amp;B$2&amp;B$1&amp;"P"&amp;$A25))/1000000),0),IF($A$2="SKEW",IFERROR(VALUE(IF(RTD("tos.rtd",,"IMPL_VOL","."&amp;B$2&amp;B$1&amp;"P"&amp;$A25)="N/A",0,RTD("tos.rtd",,"IMPL_VOL","."&amp;B$2&amp;B$1&amp;"P"&amp;$A25))),0)-IFERROR(VALUE(IF(RTD("tos.rtd",,"IMPL_VOL","."&amp;B$2&amp;B$1&amp;"C"&amp;$A25)="N/A",0,RTD("tos.rtd",,"IMPL_VOL","."&amp;B$2&amp;B$1&amp;"C"&amp;$A25))),0),IF($A$2="MAXPAIN",IF($A$4&gt;$A25,($A$4-$A25)*IF(RTD("tos.rtd",,"OPEN_INT","."&amp;B$2&amp;B$1&amp;"C"&amp;$A25)="N/A",0,RTD("tos.rtd",,"OPEN_INT","."&amp;B$2&amp;B$1&amp;"C"&amp;$A25)),0)+IF($A$4&lt;$A25,($A$5-$A$4)*IF(RTD("tos.rtd",,"OPEN_INT","."&amp;B$2&amp;B$1&amp;"P"&amp;$A25)="N/A",0,RTD("tos.rtd",,"OPEN_INT","."&amp;B$2&amp;B$1&amp;"P"&amp;$A25)),0),IF($X$1="ABS",IF(RTD("tos.rtd",,$A$2,"."&amp;B$2&amp;B$1&amp;"C"&amp;$A25)="N/A",0,RTD("tos.rtd",,$A$2,"."&amp;B$2&amp;B$1&amp;"C"&amp;$A25))+IF(RTD("tos.rtd",,$A$2,"."&amp;B$2&amp;B$1&amp;"P"&amp;$A25)="N/A",0,RTD("tos.rtd",,$A$2,"."&amp;B$2&amp;B$1&amp;"P"&amp;$A25)),IF(RTD("tos.rtd",,$A$2,"."&amp;B$2&amp;B$1&amp;"C"&amp;$A25)="N/A",0,RTD("tos.rtd",,$A$2,"."&amp;B$2&amp;B$1&amp;"C"&amp;$A25))-IF(RTD("tos.rtd",,$A$2,"."&amp;B$2&amp;B$1&amp;"P"&amp;$A25)="N/A",0,RTD("tos.rtd",,$A$2,"."&amp;B$2&amp;B$1&amp;"P"&amp;$A25))))))))))</f>
        <v>0</v>
      </c>
      <c r="C25" s="12">
        <f ca="1">IF($A$2="PREMIUM_OI",IFERROR(IF($X$1="ABS",(100*RTD("tos.rtd",,"OPEN_INT","."&amp;C$2&amp;C$1&amp;"C"&amp;$A25)*RTD("tos.rtd",,"LAST","."&amp;C$2&amp;C$1&amp;"C"&amp;$A25)+100*RTD("tos.rtd",,"OPEN_INT","."&amp;C$2&amp;C$1&amp;"P"&amp;$A25)*RTD("tos.rtd",,"LAST","."&amp;C$2&amp;C$1&amp;"P"&amp;$A25))/1000000,(100*RTD("tos.rtd",,"OPEN_INT","."&amp;C$2&amp;C$1&amp;"C"&amp;$A25)*RTD("tos.rtd",,"LAST","."&amp;C$2&amp;C$1&amp;"C"&amp;$A25)-100*RTD("tos.rtd",,"OPEN_INT","."&amp;C$2&amp;C$1&amp;"P"&amp;$A25)*RTD("tos.rtd",,"LAST","."&amp;C$2&amp;C$1&amp;"P"&amp;$A25))/1000000),0),IF($A$2="PREMIUM",IFERROR(IF($X$1="ABS",(100*RTD("tos.rtd",,"VOLUME","."&amp;C$2&amp;C$1&amp;"C"&amp;$A25)*RTD("tos.rtd",,"LAST","."&amp;C$2&amp;C$1&amp;"C"&amp;$A25)+100*RTD("tos.rtd",,"VOLUME","."&amp;C$2&amp;C$1&amp;"P"&amp;$A25)*RTD("tos.rtd",,"LAST","."&amp;C$2&amp;C$1&amp;"P"&amp;$A25))/1000000,(100*RTD("tos.rtd",,"VOLUME","."&amp;C$2&amp;C$1&amp;"C"&amp;$A25)*RTD("tos.rtd",,"LAST","."&amp;C$2&amp;C$1&amp;"C"&amp;$A25)-100*RTD("tos.rtd",,"VOLUME","."&amp;C$2&amp;C$1&amp;"P"&amp;$A25)*RTD("tos.rtd",,"LAST","."&amp;C$2&amp;C$1&amp;"P"&amp;$A25))/1000000),0),IF($A$2="DEX",IFERROR(IF($X$1="ABS",(100*RTD("tos.rtd",,"OPEN_INT","."&amp;C$2&amp;C$1&amp;"C"&amp;$A25)*RTD("tos.rtd",,"DELTA","."&amp;C$2&amp;C$1&amp;"C"&amp;$A25)+100*RTD("tos.rtd",,"OPEN_INT","."&amp;C$2&amp;C$1&amp;"P"&amp;$A25)*RTD("tos.rtd",,"DELTA","."&amp;C$2&amp;C$1&amp;"P"&amp;$A25))/1000,(100*RTD("tos.rtd",,"OPEN_INT","."&amp;C$2&amp;C$1&amp;"C"&amp;$A25)*RTD("tos.rtd",,"DELTA","."&amp;C$2&amp;C$1&amp;"C"&amp;$A25)-100*RTD("tos.rtd",,"OPEN_INT","."&amp;C$2&amp;C$1&amp;"P"&amp;$A25)*RTD("tos.rtd",,"DELTA","."&amp;C$2&amp;C$1&amp;"P"&amp;$A25))/1000),0),IF($A$2="VEX",IFERROR(IF($X$1="ABS",($A$4*$A$4*RTD("tos.rtd",,"VOLUME","."&amp;C$2&amp;C$1&amp;"C"&amp;$A25)*RTD("tos.rtd",,"GAMMA","."&amp;C$2&amp;C$1&amp;"C"&amp;$A25)+$A$4*$A$4*RTD("tos.rtd",,"VOLUME","."&amp;C$2&amp;C$1&amp;"P"&amp;$A25)*RTD("tos.rtd",,"GAMMA","."&amp;C$2&amp;C$1&amp;"P"&amp;$A25))/1000000,($A$4*$A$4*RTD("tos.rtd",,"VOLUME","."&amp;C$2&amp;C$1&amp;"C"&amp;$A25)*RTD("tos.rtd",,"GAMMA","."&amp;C$2&amp;C$1&amp;"C"&amp;$A25)-$A$4*$A$4*RTD("tos.rtd",,"VOLUME","."&amp;C$2&amp;C$1&amp;"P"&amp;$A25)*RTD("tos.rtd",,"GAMMA","."&amp;C$2&amp;C$1&amp;"P"&amp;$A25))/1000000),0),IF($A$2="GEX",IFERROR(IF($X$1="ABS",($A$4*$A$4*RTD("tos.rtd",,"OPEN_INT","."&amp;C$2&amp;C$1&amp;"C"&amp;$A25)*RTD("tos.rtd",,"GAMMA","."&amp;C$2&amp;C$1&amp;"C"&amp;$A25)+$A$4*$A$4*RTD("tos.rtd",,"OPEN_INT","."&amp;C$2&amp;C$1&amp;"P"&amp;$A25)*RTD("tos.rtd",,"GAMMA","."&amp;C$2&amp;C$1&amp;"P"&amp;$A25))/1000000,($A$4*$A$4*RTD("tos.rtd",,"OPEN_INT","."&amp;C$2&amp;C$1&amp;"C"&amp;$A25)*RTD("tos.rtd",,"GAMMA","."&amp;C$2&amp;C$1&amp;"C"&amp;$A25)-$A$4*$A$4*RTD("tos.rtd",,"OPEN_INT","."&amp;C$2&amp;C$1&amp;"P"&amp;$A25)*RTD("tos.rtd",,"GAMMA","."&amp;C$2&amp;C$1&amp;"P"&amp;$A25))/1000000),0),IF($A$2="SKEW",IFERROR(VALUE(IF(RTD("tos.rtd",,"IMPL_VOL","."&amp;C$2&amp;C$1&amp;"P"&amp;$A25)="N/A",0,RTD("tos.rtd",,"IMPL_VOL","."&amp;C$2&amp;C$1&amp;"P"&amp;$A25))),0)-IFERROR(VALUE(IF(RTD("tos.rtd",,"IMPL_VOL","."&amp;C$2&amp;C$1&amp;"C"&amp;$A25)="N/A",0,RTD("tos.rtd",,"IMPL_VOL","."&amp;C$2&amp;C$1&amp;"C"&amp;$A25))),0),IF($A$2="MAXPAIN",IF($A$4&gt;$A25,($A$4-$A25)*IF(RTD("tos.rtd",,"OPEN_INT","."&amp;C$2&amp;C$1&amp;"C"&amp;$A25)="N/A",0,RTD("tos.rtd",,"OPEN_INT","."&amp;C$2&amp;C$1&amp;"C"&amp;$A25)),0)+IF($A$4&lt;$A25,($A$5-$A$4)*IF(RTD("tos.rtd",,"OPEN_INT","."&amp;C$2&amp;C$1&amp;"P"&amp;$A25)="N/A",0,RTD("tos.rtd",,"OPEN_INT","."&amp;C$2&amp;C$1&amp;"P"&amp;$A25)),0),IF($X$1="ABS",IF(RTD("tos.rtd",,$A$2,"."&amp;C$2&amp;C$1&amp;"C"&amp;$A25)="N/A",0,RTD("tos.rtd",,$A$2,"."&amp;C$2&amp;C$1&amp;"C"&amp;$A25))+IF(RTD("tos.rtd",,$A$2,"."&amp;C$2&amp;C$1&amp;"P"&amp;$A25)="N/A",0,RTD("tos.rtd",,$A$2,"."&amp;C$2&amp;C$1&amp;"P"&amp;$A25)),IF(RTD("tos.rtd",,$A$2,"."&amp;C$2&amp;C$1&amp;"C"&amp;$A25)="N/A",0,RTD("tos.rtd",,$A$2,"."&amp;C$2&amp;C$1&amp;"C"&amp;$A25))-IF(RTD("tos.rtd",,$A$2,"."&amp;C$2&amp;C$1&amp;"P"&amp;$A25)="N/A",0,RTD("tos.rtd",,$A$2,"."&amp;C$2&amp;C$1&amp;"P"&amp;$A25))))))))))</f>
        <v>1727</v>
      </c>
      <c r="D25" s="12">
        <f ca="1">IF($A$2="PREMIUM_OI",IFERROR(IF($X$1="ABS",(100*RTD("tos.rtd",,"OPEN_INT","."&amp;D$2&amp;D$1&amp;"C"&amp;$A25)*RTD("tos.rtd",,"LAST","."&amp;D$2&amp;D$1&amp;"C"&amp;$A25)+100*RTD("tos.rtd",,"OPEN_INT","."&amp;D$2&amp;D$1&amp;"P"&amp;$A25)*RTD("tos.rtd",,"LAST","."&amp;D$2&amp;D$1&amp;"P"&amp;$A25))/1000000,(100*RTD("tos.rtd",,"OPEN_INT","."&amp;D$2&amp;D$1&amp;"C"&amp;$A25)*RTD("tos.rtd",,"LAST","."&amp;D$2&amp;D$1&amp;"C"&amp;$A25)-100*RTD("tos.rtd",,"OPEN_INT","."&amp;D$2&amp;D$1&amp;"P"&amp;$A25)*RTD("tos.rtd",,"LAST","."&amp;D$2&amp;D$1&amp;"P"&amp;$A25))/1000000),0),IF($A$2="PREMIUM",IFERROR(IF($X$1="ABS",(100*RTD("tos.rtd",,"VOLUME","."&amp;D$2&amp;D$1&amp;"C"&amp;$A25)*RTD("tos.rtd",,"LAST","."&amp;D$2&amp;D$1&amp;"C"&amp;$A25)+100*RTD("tos.rtd",,"VOLUME","."&amp;D$2&amp;D$1&amp;"P"&amp;$A25)*RTD("tos.rtd",,"LAST","."&amp;D$2&amp;D$1&amp;"P"&amp;$A25))/1000000,(100*RTD("tos.rtd",,"VOLUME","."&amp;D$2&amp;D$1&amp;"C"&amp;$A25)*RTD("tos.rtd",,"LAST","."&amp;D$2&amp;D$1&amp;"C"&amp;$A25)-100*RTD("tos.rtd",,"VOLUME","."&amp;D$2&amp;D$1&amp;"P"&amp;$A25)*RTD("tos.rtd",,"LAST","."&amp;D$2&amp;D$1&amp;"P"&amp;$A25))/1000000),0),IF($A$2="DEX",IFERROR(IF($X$1="ABS",(100*RTD("tos.rtd",,"OPEN_INT","."&amp;D$2&amp;D$1&amp;"C"&amp;$A25)*RTD("tos.rtd",,"DELTA","."&amp;D$2&amp;D$1&amp;"C"&amp;$A25)+100*RTD("tos.rtd",,"OPEN_INT","."&amp;D$2&amp;D$1&amp;"P"&amp;$A25)*RTD("tos.rtd",,"DELTA","."&amp;D$2&amp;D$1&amp;"P"&amp;$A25))/1000,(100*RTD("tos.rtd",,"OPEN_INT","."&amp;D$2&amp;D$1&amp;"C"&amp;$A25)*RTD("tos.rtd",,"DELTA","."&amp;D$2&amp;D$1&amp;"C"&amp;$A25)-100*RTD("tos.rtd",,"OPEN_INT","."&amp;D$2&amp;D$1&amp;"P"&amp;$A25)*RTD("tos.rtd",,"DELTA","."&amp;D$2&amp;D$1&amp;"P"&amp;$A25))/1000),0),IF($A$2="VEX",IFERROR(IF($X$1="ABS",($A$4*$A$4*RTD("tos.rtd",,"VOLUME","."&amp;D$2&amp;D$1&amp;"C"&amp;$A25)*RTD("tos.rtd",,"GAMMA","."&amp;D$2&amp;D$1&amp;"C"&amp;$A25)+$A$4*$A$4*RTD("tos.rtd",,"VOLUME","."&amp;D$2&amp;D$1&amp;"P"&amp;$A25)*RTD("tos.rtd",,"GAMMA","."&amp;D$2&amp;D$1&amp;"P"&amp;$A25))/1000000,($A$4*$A$4*RTD("tos.rtd",,"VOLUME","."&amp;D$2&amp;D$1&amp;"C"&amp;$A25)*RTD("tos.rtd",,"GAMMA","."&amp;D$2&amp;D$1&amp;"C"&amp;$A25)-$A$4*$A$4*RTD("tos.rtd",,"VOLUME","."&amp;D$2&amp;D$1&amp;"P"&amp;$A25)*RTD("tos.rtd",,"GAMMA","."&amp;D$2&amp;D$1&amp;"P"&amp;$A25))/1000000),0),IF($A$2="GEX",IFERROR(IF($X$1="ABS",($A$4*$A$4*RTD("tos.rtd",,"OPEN_INT","."&amp;D$2&amp;D$1&amp;"C"&amp;$A25)*RTD("tos.rtd",,"GAMMA","."&amp;D$2&amp;D$1&amp;"C"&amp;$A25)+$A$4*$A$4*RTD("tos.rtd",,"OPEN_INT","."&amp;D$2&amp;D$1&amp;"P"&amp;$A25)*RTD("tos.rtd",,"GAMMA","."&amp;D$2&amp;D$1&amp;"P"&amp;$A25))/1000000,($A$4*$A$4*RTD("tos.rtd",,"OPEN_INT","."&amp;D$2&amp;D$1&amp;"C"&amp;$A25)*RTD("tos.rtd",,"GAMMA","."&amp;D$2&amp;D$1&amp;"C"&amp;$A25)-$A$4*$A$4*RTD("tos.rtd",,"OPEN_INT","."&amp;D$2&amp;D$1&amp;"P"&amp;$A25)*RTD("tos.rtd",,"GAMMA","."&amp;D$2&amp;D$1&amp;"P"&amp;$A25))/1000000),0),IF($A$2="SKEW",IFERROR(VALUE(IF(RTD("tos.rtd",,"IMPL_VOL","."&amp;D$2&amp;D$1&amp;"P"&amp;$A25)="N/A",0,RTD("tos.rtd",,"IMPL_VOL","."&amp;D$2&amp;D$1&amp;"P"&amp;$A25))),0)-IFERROR(VALUE(IF(RTD("tos.rtd",,"IMPL_VOL","."&amp;D$2&amp;D$1&amp;"C"&amp;$A25)="N/A",0,RTD("tos.rtd",,"IMPL_VOL","."&amp;D$2&amp;D$1&amp;"C"&amp;$A25))),0),IF($A$2="MAXPAIN",IF($A$4&gt;$A25,($A$4-$A25)*IF(RTD("tos.rtd",,"OPEN_INT","."&amp;D$2&amp;D$1&amp;"C"&amp;$A25)="N/A",0,RTD("tos.rtd",,"OPEN_INT","."&amp;D$2&amp;D$1&amp;"C"&amp;$A25)),0)+IF($A$4&lt;$A25,($A$5-$A$4)*IF(RTD("tos.rtd",,"OPEN_INT","."&amp;D$2&amp;D$1&amp;"P"&amp;$A25)="N/A",0,RTD("tos.rtd",,"OPEN_INT","."&amp;D$2&amp;D$1&amp;"P"&amp;$A25)),0),IF($X$1="ABS",IF(RTD("tos.rtd",,$A$2,"."&amp;D$2&amp;D$1&amp;"C"&amp;$A25)="N/A",0,RTD("tos.rtd",,$A$2,"."&amp;D$2&amp;D$1&amp;"C"&amp;$A25))+IF(RTD("tos.rtd",,$A$2,"."&amp;D$2&amp;D$1&amp;"P"&amp;$A25)="N/A",0,RTD("tos.rtd",,$A$2,"."&amp;D$2&amp;D$1&amp;"P"&amp;$A25)),IF(RTD("tos.rtd",,$A$2,"."&amp;D$2&amp;D$1&amp;"C"&amp;$A25)="N/A",0,RTD("tos.rtd",,$A$2,"."&amp;D$2&amp;D$1&amp;"C"&amp;$A25))-IF(RTD("tos.rtd",,$A$2,"."&amp;D$2&amp;D$1&amp;"P"&amp;$A25)="N/A",0,RTD("tos.rtd",,$A$2,"."&amp;D$2&amp;D$1&amp;"P"&amp;$A25))))))))))</f>
        <v>81</v>
      </c>
      <c r="E25" s="12">
        <f ca="1">IF($A$2="PREMIUM_OI",IFERROR(IF($X$1="ABS",(100*RTD("tos.rtd",,"OPEN_INT","."&amp;E$2&amp;E$1&amp;"C"&amp;$A25)*RTD("tos.rtd",,"LAST","."&amp;E$2&amp;E$1&amp;"C"&amp;$A25)+100*RTD("tos.rtd",,"OPEN_INT","."&amp;E$2&amp;E$1&amp;"P"&amp;$A25)*RTD("tos.rtd",,"LAST","."&amp;E$2&amp;E$1&amp;"P"&amp;$A25))/1000000,(100*RTD("tos.rtd",,"OPEN_INT","."&amp;E$2&amp;E$1&amp;"C"&amp;$A25)*RTD("tos.rtd",,"LAST","."&amp;E$2&amp;E$1&amp;"C"&amp;$A25)-100*RTD("tos.rtd",,"OPEN_INT","."&amp;E$2&amp;E$1&amp;"P"&amp;$A25)*RTD("tos.rtd",,"LAST","."&amp;E$2&amp;E$1&amp;"P"&amp;$A25))/1000000),0),IF($A$2="PREMIUM",IFERROR(IF($X$1="ABS",(100*RTD("tos.rtd",,"VOLUME","."&amp;E$2&amp;E$1&amp;"C"&amp;$A25)*RTD("tos.rtd",,"LAST","."&amp;E$2&amp;E$1&amp;"C"&amp;$A25)+100*RTD("tos.rtd",,"VOLUME","."&amp;E$2&amp;E$1&amp;"P"&amp;$A25)*RTD("tos.rtd",,"LAST","."&amp;E$2&amp;E$1&amp;"P"&amp;$A25))/1000000,(100*RTD("tos.rtd",,"VOLUME","."&amp;E$2&amp;E$1&amp;"C"&amp;$A25)*RTD("tos.rtd",,"LAST","."&amp;E$2&amp;E$1&amp;"C"&amp;$A25)-100*RTD("tos.rtd",,"VOLUME","."&amp;E$2&amp;E$1&amp;"P"&amp;$A25)*RTD("tos.rtd",,"LAST","."&amp;E$2&amp;E$1&amp;"P"&amp;$A25))/1000000),0),IF($A$2="DEX",IFERROR(IF($X$1="ABS",(100*RTD("tos.rtd",,"OPEN_INT","."&amp;E$2&amp;E$1&amp;"C"&amp;$A25)*RTD("tos.rtd",,"DELTA","."&amp;E$2&amp;E$1&amp;"C"&amp;$A25)+100*RTD("tos.rtd",,"OPEN_INT","."&amp;E$2&amp;E$1&amp;"P"&amp;$A25)*RTD("tos.rtd",,"DELTA","."&amp;E$2&amp;E$1&amp;"P"&amp;$A25))/1000,(100*RTD("tos.rtd",,"OPEN_INT","."&amp;E$2&amp;E$1&amp;"C"&amp;$A25)*RTD("tos.rtd",,"DELTA","."&amp;E$2&amp;E$1&amp;"C"&amp;$A25)-100*RTD("tos.rtd",,"OPEN_INT","."&amp;E$2&amp;E$1&amp;"P"&amp;$A25)*RTD("tos.rtd",,"DELTA","."&amp;E$2&amp;E$1&amp;"P"&amp;$A25))/1000),0),IF($A$2="VEX",IFERROR(IF($X$1="ABS",($A$4*$A$4*RTD("tos.rtd",,"VOLUME","."&amp;E$2&amp;E$1&amp;"C"&amp;$A25)*RTD("tos.rtd",,"GAMMA","."&amp;E$2&amp;E$1&amp;"C"&amp;$A25)+$A$4*$A$4*RTD("tos.rtd",,"VOLUME","."&amp;E$2&amp;E$1&amp;"P"&amp;$A25)*RTD("tos.rtd",,"GAMMA","."&amp;E$2&amp;E$1&amp;"P"&amp;$A25))/1000000,($A$4*$A$4*RTD("tos.rtd",,"VOLUME","."&amp;E$2&amp;E$1&amp;"C"&amp;$A25)*RTD("tos.rtd",,"GAMMA","."&amp;E$2&amp;E$1&amp;"C"&amp;$A25)-$A$4*$A$4*RTD("tos.rtd",,"VOLUME","."&amp;E$2&amp;E$1&amp;"P"&amp;$A25)*RTD("tos.rtd",,"GAMMA","."&amp;E$2&amp;E$1&amp;"P"&amp;$A25))/1000000),0),IF($A$2="GEX",IFERROR(IF($X$1="ABS",($A$4*$A$4*RTD("tos.rtd",,"OPEN_INT","."&amp;E$2&amp;E$1&amp;"C"&amp;$A25)*RTD("tos.rtd",,"GAMMA","."&amp;E$2&amp;E$1&amp;"C"&amp;$A25)+$A$4*$A$4*RTD("tos.rtd",,"OPEN_INT","."&amp;E$2&amp;E$1&amp;"P"&amp;$A25)*RTD("tos.rtd",,"GAMMA","."&amp;E$2&amp;E$1&amp;"P"&amp;$A25))/1000000,($A$4*$A$4*RTD("tos.rtd",,"OPEN_INT","."&amp;E$2&amp;E$1&amp;"C"&amp;$A25)*RTD("tos.rtd",,"GAMMA","."&amp;E$2&amp;E$1&amp;"C"&amp;$A25)-$A$4*$A$4*RTD("tos.rtd",,"OPEN_INT","."&amp;E$2&amp;E$1&amp;"P"&amp;$A25)*RTD("tos.rtd",,"GAMMA","."&amp;E$2&amp;E$1&amp;"P"&amp;$A25))/1000000),0),IF($A$2="SKEW",IFERROR(VALUE(IF(RTD("tos.rtd",,"IMPL_VOL","."&amp;E$2&amp;E$1&amp;"P"&amp;$A25)="N/A",0,RTD("tos.rtd",,"IMPL_VOL","."&amp;E$2&amp;E$1&amp;"P"&amp;$A25))),0)-IFERROR(VALUE(IF(RTD("tos.rtd",,"IMPL_VOL","."&amp;E$2&amp;E$1&amp;"C"&amp;$A25)="N/A",0,RTD("tos.rtd",,"IMPL_VOL","."&amp;E$2&amp;E$1&amp;"C"&amp;$A25))),0),IF($A$2="MAXPAIN",IF($A$4&gt;$A25,($A$4-$A25)*IF(RTD("tos.rtd",,"OPEN_INT","."&amp;E$2&amp;E$1&amp;"C"&amp;$A25)="N/A",0,RTD("tos.rtd",,"OPEN_INT","."&amp;E$2&amp;E$1&amp;"C"&amp;$A25)),0)+IF($A$4&lt;$A25,($A$5-$A$4)*IF(RTD("tos.rtd",,"OPEN_INT","."&amp;E$2&amp;E$1&amp;"P"&amp;$A25)="N/A",0,RTD("tos.rtd",,"OPEN_INT","."&amp;E$2&amp;E$1&amp;"P"&amp;$A25)),0),IF($X$1="ABS",IF(RTD("tos.rtd",,$A$2,"."&amp;E$2&amp;E$1&amp;"C"&amp;$A25)="N/A",0,RTD("tos.rtd",,$A$2,"."&amp;E$2&amp;E$1&amp;"C"&amp;$A25))+IF(RTD("tos.rtd",,$A$2,"."&amp;E$2&amp;E$1&amp;"P"&amp;$A25)="N/A",0,RTD("tos.rtd",,$A$2,"."&amp;E$2&amp;E$1&amp;"P"&amp;$A25)),IF(RTD("tos.rtd",,$A$2,"."&amp;E$2&amp;E$1&amp;"C"&amp;$A25)="N/A",0,RTD("tos.rtd",,$A$2,"."&amp;E$2&amp;E$1&amp;"C"&amp;$A25))-IF(RTD("tos.rtd",,$A$2,"."&amp;E$2&amp;E$1&amp;"P"&amp;$A25)="N/A",0,RTD("tos.rtd",,$A$2,"."&amp;E$2&amp;E$1&amp;"P"&amp;$A25))))))))))</f>
        <v>152</v>
      </c>
      <c r="F25" s="12">
        <f ca="1">IF($A$2="PREMIUM_OI",IFERROR(IF($X$1="ABS",(100*RTD("tos.rtd",,"OPEN_INT","."&amp;F$2&amp;F$1&amp;"C"&amp;$A25)*RTD("tos.rtd",,"LAST","."&amp;F$2&amp;F$1&amp;"C"&amp;$A25)+100*RTD("tos.rtd",,"OPEN_INT","."&amp;F$2&amp;F$1&amp;"P"&amp;$A25)*RTD("tos.rtd",,"LAST","."&amp;F$2&amp;F$1&amp;"P"&amp;$A25))/1000000,(100*RTD("tos.rtd",,"OPEN_INT","."&amp;F$2&amp;F$1&amp;"C"&amp;$A25)*RTD("tos.rtd",,"LAST","."&amp;F$2&amp;F$1&amp;"C"&amp;$A25)-100*RTD("tos.rtd",,"OPEN_INT","."&amp;F$2&amp;F$1&amp;"P"&amp;$A25)*RTD("tos.rtd",,"LAST","."&amp;F$2&amp;F$1&amp;"P"&amp;$A25))/1000000),0),IF($A$2="PREMIUM",IFERROR(IF($X$1="ABS",(100*RTD("tos.rtd",,"VOLUME","."&amp;F$2&amp;F$1&amp;"C"&amp;$A25)*RTD("tos.rtd",,"LAST","."&amp;F$2&amp;F$1&amp;"C"&amp;$A25)+100*RTD("tos.rtd",,"VOLUME","."&amp;F$2&amp;F$1&amp;"P"&amp;$A25)*RTD("tos.rtd",,"LAST","."&amp;F$2&amp;F$1&amp;"P"&amp;$A25))/1000000,(100*RTD("tos.rtd",,"VOLUME","."&amp;F$2&amp;F$1&amp;"C"&amp;$A25)*RTD("tos.rtd",,"LAST","."&amp;F$2&amp;F$1&amp;"C"&amp;$A25)-100*RTD("tos.rtd",,"VOLUME","."&amp;F$2&amp;F$1&amp;"P"&amp;$A25)*RTD("tos.rtd",,"LAST","."&amp;F$2&amp;F$1&amp;"P"&amp;$A25))/1000000),0),IF($A$2="DEX",IFERROR(IF($X$1="ABS",(100*RTD("tos.rtd",,"OPEN_INT","."&amp;F$2&amp;F$1&amp;"C"&amp;$A25)*RTD("tos.rtd",,"DELTA","."&amp;F$2&amp;F$1&amp;"C"&amp;$A25)+100*RTD("tos.rtd",,"OPEN_INT","."&amp;F$2&amp;F$1&amp;"P"&amp;$A25)*RTD("tos.rtd",,"DELTA","."&amp;F$2&amp;F$1&amp;"P"&amp;$A25))/1000,(100*RTD("tos.rtd",,"OPEN_INT","."&amp;F$2&amp;F$1&amp;"C"&amp;$A25)*RTD("tos.rtd",,"DELTA","."&amp;F$2&amp;F$1&amp;"C"&amp;$A25)-100*RTD("tos.rtd",,"OPEN_INT","."&amp;F$2&amp;F$1&amp;"P"&amp;$A25)*RTD("tos.rtd",,"DELTA","."&amp;F$2&amp;F$1&amp;"P"&amp;$A25))/1000),0),IF($A$2="VEX",IFERROR(IF($X$1="ABS",($A$4*$A$4*RTD("tos.rtd",,"VOLUME","."&amp;F$2&amp;F$1&amp;"C"&amp;$A25)*RTD("tos.rtd",,"GAMMA","."&amp;F$2&amp;F$1&amp;"C"&amp;$A25)+$A$4*$A$4*RTD("tos.rtd",,"VOLUME","."&amp;F$2&amp;F$1&amp;"P"&amp;$A25)*RTD("tos.rtd",,"GAMMA","."&amp;F$2&amp;F$1&amp;"P"&amp;$A25))/1000000,($A$4*$A$4*RTD("tos.rtd",,"VOLUME","."&amp;F$2&amp;F$1&amp;"C"&amp;$A25)*RTD("tos.rtd",,"GAMMA","."&amp;F$2&amp;F$1&amp;"C"&amp;$A25)-$A$4*$A$4*RTD("tos.rtd",,"VOLUME","."&amp;F$2&amp;F$1&amp;"P"&amp;$A25)*RTD("tos.rtd",,"GAMMA","."&amp;F$2&amp;F$1&amp;"P"&amp;$A25))/1000000),0),IF($A$2="GEX",IFERROR(IF($X$1="ABS",($A$4*$A$4*RTD("tos.rtd",,"OPEN_INT","."&amp;F$2&amp;F$1&amp;"C"&amp;$A25)*RTD("tos.rtd",,"GAMMA","."&amp;F$2&amp;F$1&amp;"C"&amp;$A25)+$A$4*$A$4*RTD("tos.rtd",,"OPEN_INT","."&amp;F$2&amp;F$1&amp;"P"&amp;$A25)*RTD("tos.rtd",,"GAMMA","."&amp;F$2&amp;F$1&amp;"P"&amp;$A25))/1000000,($A$4*$A$4*RTD("tos.rtd",,"OPEN_INT","."&amp;F$2&amp;F$1&amp;"C"&amp;$A25)*RTD("tos.rtd",,"GAMMA","."&amp;F$2&amp;F$1&amp;"C"&amp;$A25)-$A$4*$A$4*RTD("tos.rtd",,"OPEN_INT","."&amp;F$2&amp;F$1&amp;"P"&amp;$A25)*RTD("tos.rtd",,"GAMMA","."&amp;F$2&amp;F$1&amp;"P"&amp;$A25))/1000000),0),IF($A$2="SKEW",IFERROR(VALUE(IF(RTD("tos.rtd",,"IMPL_VOL","."&amp;F$2&amp;F$1&amp;"P"&amp;$A25)="N/A",0,RTD("tos.rtd",,"IMPL_VOL","."&amp;F$2&amp;F$1&amp;"P"&amp;$A25))),0)-IFERROR(VALUE(IF(RTD("tos.rtd",,"IMPL_VOL","."&amp;F$2&amp;F$1&amp;"C"&amp;$A25)="N/A",0,RTD("tos.rtd",,"IMPL_VOL","."&amp;F$2&amp;F$1&amp;"C"&amp;$A25))),0),IF($A$2="MAXPAIN",IF($A$4&gt;$A25,($A$4-$A25)*IF(RTD("tos.rtd",,"OPEN_INT","."&amp;F$2&amp;F$1&amp;"C"&amp;$A25)="N/A",0,RTD("tos.rtd",,"OPEN_INT","."&amp;F$2&amp;F$1&amp;"C"&amp;$A25)),0)+IF($A$4&lt;$A25,($A$5-$A$4)*IF(RTD("tos.rtd",,"OPEN_INT","."&amp;F$2&amp;F$1&amp;"P"&amp;$A25)="N/A",0,RTD("tos.rtd",,"OPEN_INT","."&amp;F$2&amp;F$1&amp;"P"&amp;$A25)),0),IF($X$1="ABS",IF(RTD("tos.rtd",,$A$2,"."&amp;F$2&amp;F$1&amp;"C"&amp;$A25)="N/A",0,RTD("tos.rtd",,$A$2,"."&amp;F$2&amp;F$1&amp;"C"&amp;$A25))+IF(RTD("tos.rtd",,$A$2,"."&amp;F$2&amp;F$1&amp;"P"&amp;$A25)="N/A",0,RTD("tos.rtd",,$A$2,"."&amp;F$2&amp;F$1&amp;"P"&amp;$A25)),IF(RTD("tos.rtd",,$A$2,"."&amp;F$2&amp;F$1&amp;"C"&amp;$A25)="N/A",0,RTD("tos.rtd",,$A$2,"."&amp;F$2&amp;F$1&amp;"C"&amp;$A25))-IF(RTD("tos.rtd",,$A$2,"."&amp;F$2&amp;F$1&amp;"P"&amp;$A25)="N/A",0,RTD("tos.rtd",,$A$2,"."&amp;F$2&amp;F$1&amp;"P"&amp;$A25))))))))))</f>
        <v>23</v>
      </c>
      <c r="G25" s="57">
        <f ca="1">IF($A$2="PREMIUM_OI",IFERROR(IF($X$1="ABS",(100*RTD("tos.rtd",,"OPEN_INT","."&amp;G$2&amp;G$1&amp;"C"&amp;$A25)*RTD("tos.rtd",,"LAST","."&amp;G$2&amp;G$1&amp;"C"&amp;$A25)+100*RTD("tos.rtd",,"OPEN_INT","."&amp;G$2&amp;G$1&amp;"P"&amp;$A25)*RTD("tos.rtd",,"LAST","."&amp;G$2&amp;G$1&amp;"P"&amp;$A25))/1000000,(100*RTD("tos.rtd",,"OPEN_INT","."&amp;G$2&amp;G$1&amp;"C"&amp;$A25)*RTD("tos.rtd",,"LAST","."&amp;G$2&amp;G$1&amp;"C"&amp;$A25)-100*RTD("tos.rtd",,"OPEN_INT","."&amp;G$2&amp;G$1&amp;"P"&amp;$A25)*RTD("tos.rtd",,"LAST","."&amp;G$2&amp;G$1&amp;"P"&amp;$A25))/1000000),0),IF($A$2="PREMIUM",IFERROR(IF($X$1="ABS",(100*RTD("tos.rtd",,"VOLUME","."&amp;G$2&amp;G$1&amp;"C"&amp;$A25)*RTD("tos.rtd",,"LAST","."&amp;G$2&amp;G$1&amp;"C"&amp;$A25)+100*RTD("tos.rtd",,"VOLUME","."&amp;G$2&amp;G$1&amp;"P"&amp;$A25)*RTD("tos.rtd",,"LAST","."&amp;G$2&amp;G$1&amp;"P"&amp;$A25))/1000000,(100*RTD("tos.rtd",,"VOLUME","."&amp;G$2&amp;G$1&amp;"C"&amp;$A25)*RTD("tos.rtd",,"LAST","."&amp;G$2&amp;G$1&amp;"C"&amp;$A25)-100*RTD("tos.rtd",,"VOLUME","."&amp;G$2&amp;G$1&amp;"P"&amp;$A25)*RTD("tos.rtd",,"LAST","."&amp;G$2&amp;G$1&amp;"P"&amp;$A25))/1000000),0),IF($A$2="DEX",IFERROR(IF($X$1="ABS",(100*RTD("tos.rtd",,"OPEN_INT","."&amp;G$2&amp;G$1&amp;"C"&amp;$A25)*RTD("tos.rtd",,"DELTA","."&amp;G$2&amp;G$1&amp;"C"&amp;$A25)+100*RTD("tos.rtd",,"OPEN_INT","."&amp;G$2&amp;G$1&amp;"P"&amp;$A25)*RTD("tos.rtd",,"DELTA","."&amp;G$2&amp;G$1&amp;"P"&amp;$A25))/1000,(100*RTD("tos.rtd",,"OPEN_INT","."&amp;G$2&amp;G$1&amp;"C"&amp;$A25)*RTD("tos.rtd",,"DELTA","."&amp;G$2&amp;G$1&amp;"C"&amp;$A25)-100*RTD("tos.rtd",,"OPEN_INT","."&amp;G$2&amp;G$1&amp;"P"&amp;$A25)*RTD("tos.rtd",,"DELTA","."&amp;G$2&amp;G$1&amp;"P"&amp;$A25))/1000),0),IF($A$2="VEX",IFERROR(IF($X$1="ABS",($A$4*$A$4*RTD("tos.rtd",,"VOLUME","."&amp;G$2&amp;G$1&amp;"C"&amp;$A25)*RTD("tos.rtd",,"GAMMA","."&amp;G$2&amp;G$1&amp;"C"&amp;$A25)+$A$4*$A$4*RTD("tos.rtd",,"VOLUME","."&amp;G$2&amp;G$1&amp;"P"&amp;$A25)*RTD("tos.rtd",,"GAMMA","."&amp;G$2&amp;G$1&amp;"P"&amp;$A25))/1000000,($A$4*$A$4*RTD("tos.rtd",,"VOLUME","."&amp;G$2&amp;G$1&amp;"C"&amp;$A25)*RTD("tos.rtd",,"GAMMA","."&amp;G$2&amp;G$1&amp;"C"&amp;$A25)-$A$4*$A$4*RTD("tos.rtd",,"VOLUME","."&amp;G$2&amp;G$1&amp;"P"&amp;$A25)*RTD("tos.rtd",,"GAMMA","."&amp;G$2&amp;G$1&amp;"P"&amp;$A25))/1000000),0),IF($A$2="GEX",IFERROR(IF($X$1="ABS",($A$4*$A$4*RTD("tos.rtd",,"OPEN_INT","."&amp;G$2&amp;G$1&amp;"C"&amp;$A25)*RTD("tos.rtd",,"GAMMA","."&amp;G$2&amp;G$1&amp;"C"&amp;$A25)+$A$4*$A$4*RTD("tos.rtd",,"OPEN_INT","."&amp;G$2&amp;G$1&amp;"P"&amp;$A25)*RTD("tos.rtd",,"GAMMA","."&amp;G$2&amp;G$1&amp;"P"&amp;$A25))/1000000,($A$4*$A$4*RTD("tos.rtd",,"OPEN_INT","."&amp;G$2&amp;G$1&amp;"C"&amp;$A25)*RTD("tos.rtd",,"GAMMA","."&amp;G$2&amp;G$1&amp;"C"&amp;$A25)-$A$4*$A$4*RTD("tos.rtd",,"OPEN_INT","."&amp;G$2&amp;G$1&amp;"P"&amp;$A25)*RTD("tos.rtd",,"GAMMA","."&amp;G$2&amp;G$1&amp;"P"&amp;$A25))/1000000),0),IF($A$2="SKEW",IFERROR(VALUE(IF(RTD("tos.rtd",,"IMPL_VOL","."&amp;G$2&amp;G$1&amp;"P"&amp;$A25)="N/A",0,RTD("tos.rtd",,"IMPL_VOL","."&amp;G$2&amp;G$1&amp;"P"&amp;$A25))),0)-IFERROR(VALUE(IF(RTD("tos.rtd",,"IMPL_VOL","."&amp;G$2&amp;G$1&amp;"C"&amp;$A25)="N/A",0,RTD("tos.rtd",,"IMPL_VOL","."&amp;G$2&amp;G$1&amp;"C"&amp;$A25))),0),IF($A$2="MAXPAIN",IF($A$4&gt;$A25,($A$4-$A25)*IF(RTD("tos.rtd",,"OPEN_INT","."&amp;G$2&amp;G$1&amp;"C"&amp;$A25)="N/A",0,RTD("tos.rtd",,"OPEN_INT","."&amp;G$2&amp;G$1&amp;"C"&amp;$A25)),0)+IF($A$4&lt;$A25,($A$5-$A$4)*IF(RTD("tos.rtd",,"OPEN_INT","."&amp;G$2&amp;G$1&amp;"P"&amp;$A25)="N/A",0,RTD("tos.rtd",,"OPEN_INT","."&amp;G$2&amp;G$1&amp;"P"&amp;$A25)),0),IF($X$1="ABS",IF(RTD("tos.rtd",,$A$2,"."&amp;G$2&amp;G$1&amp;"C"&amp;$A25)="N/A",0,RTD("tos.rtd",,$A$2,"."&amp;G$2&amp;G$1&amp;"C"&amp;$A25))+IF(RTD("tos.rtd",,$A$2,"."&amp;G$2&amp;G$1&amp;"P"&amp;$A25)="N/A",0,RTD("tos.rtd",,$A$2,"."&amp;G$2&amp;G$1&amp;"P"&amp;$A25)),IF(RTD("tos.rtd",,$A$2,"."&amp;G$2&amp;G$1&amp;"C"&amp;$A25)="N/A",0,RTD("tos.rtd",,$A$2,"."&amp;G$2&amp;G$1&amp;"C"&amp;$A25))-IF(RTD("tos.rtd",,$A$2,"."&amp;G$2&amp;G$1&amp;"P"&amp;$A25)="N/A",0,RTD("tos.rtd",,$A$2,"."&amp;G$2&amp;G$1&amp;"P"&amp;$A25))))))))))</f>
        <v>8</v>
      </c>
      <c r="H25" s="14">
        <f ca="1">IF($A$2="PREMIUM_OI",IFERROR(IF($X$1="ABS",(100*RTD("tos.rtd",,"OPEN_INT","."&amp;H$2&amp;H$1&amp;"C"&amp;$A25)*RTD("tos.rtd",,"LAST","."&amp;H$2&amp;H$1&amp;"C"&amp;$A25)+100*RTD("tos.rtd",,"OPEN_INT","."&amp;H$2&amp;H$1&amp;"P"&amp;$A25)*RTD("tos.rtd",,"LAST","."&amp;H$2&amp;H$1&amp;"P"&amp;$A25))/1000000,(100*RTD("tos.rtd",,"OPEN_INT","."&amp;H$2&amp;H$1&amp;"C"&amp;$A25)*RTD("tos.rtd",,"LAST","."&amp;H$2&amp;H$1&amp;"C"&amp;$A25)-100*RTD("tos.rtd",,"OPEN_INT","."&amp;H$2&amp;H$1&amp;"P"&amp;$A25)*RTD("tos.rtd",,"LAST","."&amp;H$2&amp;H$1&amp;"P"&amp;$A25))/1000000),0),IF($A$2="PREMIUM",IFERROR(IF($X$1="ABS",(100*RTD("tos.rtd",,"VOLUME","."&amp;H$2&amp;H$1&amp;"C"&amp;$A25)*RTD("tos.rtd",,"LAST","."&amp;H$2&amp;H$1&amp;"C"&amp;$A25)+100*RTD("tos.rtd",,"VOLUME","."&amp;H$2&amp;H$1&amp;"P"&amp;$A25)*RTD("tos.rtd",,"LAST","."&amp;H$2&amp;H$1&amp;"P"&amp;$A25))/1000000,(100*RTD("tos.rtd",,"VOLUME","."&amp;H$2&amp;H$1&amp;"C"&amp;$A25)*RTD("tos.rtd",,"LAST","."&amp;H$2&amp;H$1&amp;"C"&amp;$A25)-100*RTD("tos.rtd",,"VOLUME","."&amp;H$2&amp;H$1&amp;"P"&amp;$A25)*RTD("tos.rtd",,"LAST","."&amp;H$2&amp;H$1&amp;"P"&amp;$A25))/1000000),0),IF($A$2="DEX",IFERROR(IF($X$1="ABS",(100*RTD("tos.rtd",,"OPEN_INT","."&amp;H$2&amp;H$1&amp;"C"&amp;$A25)*RTD("tos.rtd",,"DELTA","."&amp;H$2&amp;H$1&amp;"C"&amp;$A25)+100*RTD("tos.rtd",,"OPEN_INT","."&amp;H$2&amp;H$1&amp;"P"&amp;$A25)*RTD("tos.rtd",,"DELTA","."&amp;H$2&amp;H$1&amp;"P"&amp;$A25))/1000,(100*RTD("tos.rtd",,"OPEN_INT","."&amp;H$2&amp;H$1&amp;"C"&amp;$A25)*RTD("tos.rtd",,"DELTA","."&amp;H$2&amp;H$1&amp;"C"&amp;$A25)-100*RTD("tos.rtd",,"OPEN_INT","."&amp;H$2&amp;H$1&amp;"P"&amp;$A25)*RTD("tos.rtd",,"DELTA","."&amp;H$2&amp;H$1&amp;"P"&amp;$A25))/1000),0),IF($A$2="VEX",IFERROR(IF($X$1="ABS",($A$4*$A$4*RTD("tos.rtd",,"VOLUME","."&amp;H$2&amp;H$1&amp;"C"&amp;$A25)*RTD("tos.rtd",,"GAMMA","."&amp;H$2&amp;H$1&amp;"C"&amp;$A25)+$A$4*$A$4*RTD("tos.rtd",,"VOLUME","."&amp;H$2&amp;H$1&amp;"P"&amp;$A25)*RTD("tos.rtd",,"GAMMA","."&amp;H$2&amp;H$1&amp;"P"&amp;$A25))/1000000,($A$4*$A$4*RTD("tos.rtd",,"VOLUME","."&amp;H$2&amp;H$1&amp;"C"&amp;$A25)*RTD("tos.rtd",,"GAMMA","."&amp;H$2&amp;H$1&amp;"C"&amp;$A25)-$A$4*$A$4*RTD("tos.rtd",,"VOLUME","."&amp;H$2&amp;H$1&amp;"P"&amp;$A25)*RTD("tos.rtd",,"GAMMA","."&amp;H$2&amp;H$1&amp;"P"&amp;$A25))/1000000),0),IF($A$2="GEX",IFERROR(IF($X$1="ABS",($A$4*$A$4*RTD("tos.rtd",,"OPEN_INT","."&amp;H$2&amp;H$1&amp;"C"&amp;$A25)*RTD("tos.rtd",,"GAMMA","."&amp;H$2&amp;H$1&amp;"C"&amp;$A25)+$A$4*$A$4*RTD("tos.rtd",,"OPEN_INT","."&amp;H$2&amp;H$1&amp;"P"&amp;$A25)*RTD("tos.rtd",,"GAMMA","."&amp;H$2&amp;H$1&amp;"P"&amp;$A25))/1000000,($A$4*$A$4*RTD("tos.rtd",,"OPEN_INT","."&amp;H$2&amp;H$1&amp;"C"&amp;$A25)*RTD("tos.rtd",,"GAMMA","."&amp;H$2&amp;H$1&amp;"C"&amp;$A25)-$A$4*$A$4*RTD("tos.rtd",,"OPEN_INT","."&amp;H$2&amp;H$1&amp;"P"&amp;$A25)*RTD("tos.rtd",,"GAMMA","."&amp;H$2&amp;H$1&amp;"P"&amp;$A25))/1000000),0),IF($A$2="SKEW",IFERROR(VALUE(IF(RTD("tos.rtd",,"IMPL_VOL","."&amp;H$2&amp;H$1&amp;"P"&amp;$A25)="N/A",0,RTD("tos.rtd",,"IMPL_VOL","."&amp;H$2&amp;H$1&amp;"P"&amp;$A25))),0)-IFERROR(VALUE(IF(RTD("tos.rtd",,"IMPL_VOL","."&amp;H$2&amp;H$1&amp;"C"&amp;$A25)="N/A",0,RTD("tos.rtd",,"IMPL_VOL","."&amp;H$2&amp;H$1&amp;"C"&amp;$A25))),0),IF($A$2="MAXPAIN",IF($A$4&gt;$A25,($A$4-$A25)*IF(RTD("tos.rtd",,"OPEN_INT","."&amp;H$2&amp;H$1&amp;"C"&amp;$A25)="N/A",0,RTD("tos.rtd",,"OPEN_INT","."&amp;H$2&amp;H$1&amp;"C"&amp;$A25)),0)+IF($A$4&lt;$A25,($A$5-$A$4)*IF(RTD("tos.rtd",,"OPEN_INT","."&amp;H$2&amp;H$1&amp;"P"&amp;$A25)="N/A",0,RTD("tos.rtd",,"OPEN_INT","."&amp;H$2&amp;H$1&amp;"P"&amp;$A25)),0),IF($X$1="ABS",IF(RTD("tos.rtd",,$A$2,"."&amp;H$2&amp;H$1&amp;"C"&amp;$A25)="N/A",0,RTD("tos.rtd",,$A$2,"."&amp;H$2&amp;H$1&amp;"C"&amp;$A25))+IF(RTD("tos.rtd",,$A$2,"."&amp;H$2&amp;H$1&amp;"P"&amp;$A25)="N/A",0,RTD("tos.rtd",,$A$2,"."&amp;H$2&amp;H$1&amp;"P"&amp;$A25)),IF(RTD("tos.rtd",,$A$2,"."&amp;H$2&amp;H$1&amp;"C"&amp;$A25)="N/A",0,RTD("tos.rtd",,$A$2,"."&amp;H$2&amp;H$1&amp;"C"&amp;$A25))-IF(RTD("tos.rtd",,$A$2,"."&amp;H$2&amp;H$1&amp;"P"&amp;$A25)="N/A",0,RTD("tos.rtd",,$A$2,"."&amp;H$2&amp;H$1&amp;"P"&amp;$A25))))))))))</f>
        <v>0</v>
      </c>
      <c r="I25" s="12">
        <f ca="1">IF($A$2="PREMIUM_OI",IFERROR(IF($X$1="ABS",(100*RTD("tos.rtd",,"OPEN_INT","."&amp;I$2&amp;I$1&amp;"C"&amp;$A25)*RTD("tos.rtd",,"LAST","."&amp;I$2&amp;I$1&amp;"C"&amp;$A25)+100*RTD("tos.rtd",,"OPEN_INT","."&amp;I$2&amp;I$1&amp;"P"&amp;$A25)*RTD("tos.rtd",,"LAST","."&amp;I$2&amp;I$1&amp;"P"&amp;$A25))/1000000,(100*RTD("tos.rtd",,"OPEN_INT","."&amp;I$2&amp;I$1&amp;"C"&amp;$A25)*RTD("tos.rtd",,"LAST","."&amp;I$2&amp;I$1&amp;"C"&amp;$A25)-100*RTD("tos.rtd",,"OPEN_INT","."&amp;I$2&amp;I$1&amp;"P"&amp;$A25)*RTD("tos.rtd",,"LAST","."&amp;I$2&amp;I$1&amp;"P"&amp;$A25))/1000000),0),IF($A$2="PREMIUM",IFERROR(IF($X$1="ABS",(100*RTD("tos.rtd",,"VOLUME","."&amp;I$2&amp;I$1&amp;"C"&amp;$A25)*RTD("tos.rtd",,"LAST","."&amp;I$2&amp;I$1&amp;"C"&amp;$A25)+100*RTD("tos.rtd",,"VOLUME","."&amp;I$2&amp;I$1&amp;"P"&amp;$A25)*RTD("tos.rtd",,"LAST","."&amp;I$2&amp;I$1&amp;"P"&amp;$A25))/1000000,(100*RTD("tos.rtd",,"VOLUME","."&amp;I$2&amp;I$1&amp;"C"&amp;$A25)*RTD("tos.rtd",,"LAST","."&amp;I$2&amp;I$1&amp;"C"&amp;$A25)-100*RTD("tos.rtd",,"VOLUME","."&amp;I$2&amp;I$1&amp;"P"&amp;$A25)*RTD("tos.rtd",,"LAST","."&amp;I$2&amp;I$1&amp;"P"&amp;$A25))/1000000),0),IF($A$2="DEX",IFERROR(IF($X$1="ABS",(100*RTD("tos.rtd",,"OPEN_INT","."&amp;I$2&amp;I$1&amp;"C"&amp;$A25)*RTD("tos.rtd",,"DELTA","."&amp;I$2&amp;I$1&amp;"C"&amp;$A25)+100*RTD("tos.rtd",,"OPEN_INT","."&amp;I$2&amp;I$1&amp;"P"&amp;$A25)*RTD("tos.rtd",,"DELTA","."&amp;I$2&amp;I$1&amp;"P"&amp;$A25))/1000,(100*RTD("tos.rtd",,"OPEN_INT","."&amp;I$2&amp;I$1&amp;"C"&amp;$A25)*RTD("tos.rtd",,"DELTA","."&amp;I$2&amp;I$1&amp;"C"&amp;$A25)-100*RTD("tos.rtd",,"OPEN_INT","."&amp;I$2&amp;I$1&amp;"P"&amp;$A25)*RTD("tos.rtd",,"DELTA","."&amp;I$2&amp;I$1&amp;"P"&amp;$A25))/1000),0),IF($A$2="VEX",IFERROR(IF($X$1="ABS",($A$4*$A$4*RTD("tos.rtd",,"VOLUME","."&amp;I$2&amp;I$1&amp;"C"&amp;$A25)*RTD("tos.rtd",,"GAMMA","."&amp;I$2&amp;I$1&amp;"C"&amp;$A25)+$A$4*$A$4*RTD("tos.rtd",,"VOLUME","."&amp;I$2&amp;I$1&amp;"P"&amp;$A25)*RTD("tos.rtd",,"GAMMA","."&amp;I$2&amp;I$1&amp;"P"&amp;$A25))/1000000,($A$4*$A$4*RTD("tos.rtd",,"VOLUME","."&amp;I$2&amp;I$1&amp;"C"&amp;$A25)*RTD("tos.rtd",,"GAMMA","."&amp;I$2&amp;I$1&amp;"C"&amp;$A25)-$A$4*$A$4*RTD("tos.rtd",,"VOLUME","."&amp;I$2&amp;I$1&amp;"P"&amp;$A25)*RTD("tos.rtd",,"GAMMA","."&amp;I$2&amp;I$1&amp;"P"&amp;$A25))/1000000),0),IF($A$2="GEX",IFERROR(IF($X$1="ABS",($A$4*$A$4*RTD("tos.rtd",,"OPEN_INT","."&amp;I$2&amp;I$1&amp;"C"&amp;$A25)*RTD("tos.rtd",,"GAMMA","."&amp;I$2&amp;I$1&amp;"C"&amp;$A25)+$A$4*$A$4*RTD("tos.rtd",,"OPEN_INT","."&amp;I$2&amp;I$1&amp;"P"&amp;$A25)*RTD("tos.rtd",,"GAMMA","."&amp;I$2&amp;I$1&amp;"P"&amp;$A25))/1000000,($A$4*$A$4*RTD("tos.rtd",,"OPEN_INT","."&amp;I$2&amp;I$1&amp;"C"&amp;$A25)*RTD("tos.rtd",,"GAMMA","."&amp;I$2&amp;I$1&amp;"C"&amp;$A25)-$A$4*$A$4*RTD("tos.rtd",,"OPEN_INT","."&amp;I$2&amp;I$1&amp;"P"&amp;$A25)*RTD("tos.rtd",,"GAMMA","."&amp;I$2&amp;I$1&amp;"P"&amp;$A25))/1000000),0),IF($A$2="SKEW",IFERROR(VALUE(IF(RTD("tos.rtd",,"IMPL_VOL","."&amp;I$2&amp;I$1&amp;"P"&amp;$A25)="N/A",0,RTD("tos.rtd",,"IMPL_VOL","."&amp;I$2&amp;I$1&amp;"P"&amp;$A25))),0)-IFERROR(VALUE(IF(RTD("tos.rtd",,"IMPL_VOL","."&amp;I$2&amp;I$1&amp;"C"&amp;$A25)="N/A",0,RTD("tos.rtd",,"IMPL_VOL","."&amp;I$2&amp;I$1&amp;"C"&amp;$A25))),0),IF($A$2="MAXPAIN",IF($A$4&gt;$A25,($A$4-$A25)*IF(RTD("tos.rtd",,"OPEN_INT","."&amp;I$2&amp;I$1&amp;"C"&amp;$A25)="N/A",0,RTD("tos.rtd",,"OPEN_INT","."&amp;I$2&amp;I$1&amp;"C"&amp;$A25)),0)+IF($A$4&lt;$A25,($A$5-$A$4)*IF(RTD("tos.rtd",,"OPEN_INT","."&amp;I$2&amp;I$1&amp;"P"&amp;$A25)="N/A",0,RTD("tos.rtd",,"OPEN_INT","."&amp;I$2&amp;I$1&amp;"P"&amp;$A25)),0),IF($X$1="ABS",IF(RTD("tos.rtd",,$A$2,"."&amp;I$2&amp;I$1&amp;"C"&amp;$A25)="N/A",0,RTD("tos.rtd",,$A$2,"."&amp;I$2&amp;I$1&amp;"C"&amp;$A25))+IF(RTD("tos.rtd",,$A$2,"."&amp;I$2&amp;I$1&amp;"P"&amp;$A25)="N/A",0,RTD("tos.rtd",,$A$2,"."&amp;I$2&amp;I$1&amp;"P"&amp;$A25)),IF(RTD("tos.rtd",,$A$2,"."&amp;I$2&amp;I$1&amp;"C"&amp;$A25)="N/A",0,RTD("tos.rtd",,$A$2,"."&amp;I$2&amp;I$1&amp;"C"&amp;$A25))-IF(RTD("tos.rtd",,$A$2,"."&amp;I$2&amp;I$1&amp;"P"&amp;$A25)="N/A",0,RTD("tos.rtd",,$A$2,"."&amp;I$2&amp;I$1&amp;"P"&amp;$A25))))))))))</f>
        <v>0</v>
      </c>
      <c r="J25" s="12">
        <f ca="1">IF($A$2="PREMIUM_OI",IFERROR(IF($X$1="ABS",(100*RTD("tos.rtd",,"OPEN_INT","."&amp;J$2&amp;J$1&amp;"C"&amp;$A25)*RTD("tos.rtd",,"LAST","."&amp;J$2&amp;J$1&amp;"C"&amp;$A25)+100*RTD("tos.rtd",,"OPEN_INT","."&amp;J$2&amp;J$1&amp;"P"&amp;$A25)*RTD("tos.rtd",,"LAST","."&amp;J$2&amp;J$1&amp;"P"&amp;$A25))/1000000,(100*RTD("tos.rtd",,"OPEN_INT","."&amp;J$2&amp;J$1&amp;"C"&amp;$A25)*RTD("tos.rtd",,"LAST","."&amp;J$2&amp;J$1&amp;"C"&amp;$A25)-100*RTD("tos.rtd",,"OPEN_INT","."&amp;J$2&amp;J$1&amp;"P"&amp;$A25)*RTD("tos.rtd",,"LAST","."&amp;J$2&amp;J$1&amp;"P"&amp;$A25))/1000000),0),IF($A$2="PREMIUM",IFERROR(IF($X$1="ABS",(100*RTD("tos.rtd",,"VOLUME","."&amp;J$2&amp;J$1&amp;"C"&amp;$A25)*RTD("tos.rtd",,"LAST","."&amp;J$2&amp;J$1&amp;"C"&amp;$A25)+100*RTD("tos.rtd",,"VOLUME","."&amp;J$2&amp;J$1&amp;"P"&amp;$A25)*RTD("tos.rtd",,"LAST","."&amp;J$2&amp;J$1&amp;"P"&amp;$A25))/1000000,(100*RTD("tos.rtd",,"VOLUME","."&amp;J$2&amp;J$1&amp;"C"&amp;$A25)*RTD("tos.rtd",,"LAST","."&amp;J$2&amp;J$1&amp;"C"&amp;$A25)-100*RTD("tos.rtd",,"VOLUME","."&amp;J$2&amp;J$1&amp;"P"&amp;$A25)*RTD("tos.rtd",,"LAST","."&amp;J$2&amp;J$1&amp;"P"&amp;$A25))/1000000),0),IF($A$2="DEX",IFERROR(IF($X$1="ABS",(100*RTD("tos.rtd",,"OPEN_INT","."&amp;J$2&amp;J$1&amp;"C"&amp;$A25)*RTD("tos.rtd",,"DELTA","."&amp;J$2&amp;J$1&amp;"C"&amp;$A25)+100*RTD("tos.rtd",,"OPEN_INT","."&amp;J$2&amp;J$1&amp;"P"&amp;$A25)*RTD("tos.rtd",,"DELTA","."&amp;J$2&amp;J$1&amp;"P"&amp;$A25))/1000,(100*RTD("tos.rtd",,"OPEN_INT","."&amp;J$2&amp;J$1&amp;"C"&amp;$A25)*RTD("tos.rtd",,"DELTA","."&amp;J$2&amp;J$1&amp;"C"&amp;$A25)-100*RTD("tos.rtd",,"OPEN_INT","."&amp;J$2&amp;J$1&amp;"P"&amp;$A25)*RTD("tos.rtd",,"DELTA","."&amp;J$2&amp;J$1&amp;"P"&amp;$A25))/1000),0),IF($A$2="VEX",IFERROR(IF($X$1="ABS",($A$4*$A$4*RTD("tos.rtd",,"VOLUME","."&amp;J$2&amp;J$1&amp;"C"&amp;$A25)*RTD("tos.rtd",,"GAMMA","."&amp;J$2&amp;J$1&amp;"C"&amp;$A25)+$A$4*$A$4*RTD("tos.rtd",,"VOLUME","."&amp;J$2&amp;J$1&amp;"P"&amp;$A25)*RTD("tos.rtd",,"GAMMA","."&amp;J$2&amp;J$1&amp;"P"&amp;$A25))/1000000,($A$4*$A$4*RTD("tos.rtd",,"VOLUME","."&amp;J$2&amp;J$1&amp;"C"&amp;$A25)*RTD("tos.rtd",,"GAMMA","."&amp;J$2&amp;J$1&amp;"C"&amp;$A25)-$A$4*$A$4*RTD("tos.rtd",,"VOLUME","."&amp;J$2&amp;J$1&amp;"P"&amp;$A25)*RTD("tos.rtd",,"GAMMA","."&amp;J$2&amp;J$1&amp;"P"&amp;$A25))/1000000),0),IF($A$2="GEX",IFERROR(IF($X$1="ABS",($A$4*$A$4*RTD("tos.rtd",,"OPEN_INT","."&amp;J$2&amp;J$1&amp;"C"&amp;$A25)*RTD("tos.rtd",,"GAMMA","."&amp;J$2&amp;J$1&amp;"C"&amp;$A25)+$A$4*$A$4*RTD("tos.rtd",,"OPEN_INT","."&amp;J$2&amp;J$1&amp;"P"&amp;$A25)*RTD("tos.rtd",,"GAMMA","."&amp;J$2&amp;J$1&amp;"P"&amp;$A25))/1000000,($A$4*$A$4*RTD("tos.rtd",,"OPEN_INT","."&amp;J$2&amp;J$1&amp;"C"&amp;$A25)*RTD("tos.rtd",,"GAMMA","."&amp;J$2&amp;J$1&amp;"C"&amp;$A25)-$A$4*$A$4*RTD("tos.rtd",,"OPEN_INT","."&amp;J$2&amp;J$1&amp;"P"&amp;$A25)*RTD("tos.rtd",,"GAMMA","."&amp;J$2&amp;J$1&amp;"P"&amp;$A25))/1000000),0),IF($A$2="SKEW",IFERROR(VALUE(IF(RTD("tos.rtd",,"IMPL_VOL","."&amp;J$2&amp;J$1&amp;"P"&amp;$A25)="N/A",0,RTD("tos.rtd",,"IMPL_VOL","."&amp;J$2&amp;J$1&amp;"P"&amp;$A25))),0)-IFERROR(VALUE(IF(RTD("tos.rtd",,"IMPL_VOL","."&amp;J$2&amp;J$1&amp;"C"&amp;$A25)="N/A",0,RTD("tos.rtd",,"IMPL_VOL","."&amp;J$2&amp;J$1&amp;"C"&amp;$A25))),0),IF($A$2="MAXPAIN",IF($A$4&gt;$A25,($A$4-$A25)*IF(RTD("tos.rtd",,"OPEN_INT","."&amp;J$2&amp;J$1&amp;"C"&amp;$A25)="N/A",0,RTD("tos.rtd",,"OPEN_INT","."&amp;J$2&amp;J$1&amp;"C"&amp;$A25)),0)+IF($A$4&lt;$A25,($A$5-$A$4)*IF(RTD("tos.rtd",,"OPEN_INT","."&amp;J$2&amp;J$1&amp;"P"&amp;$A25)="N/A",0,RTD("tos.rtd",,"OPEN_INT","."&amp;J$2&amp;J$1&amp;"P"&amp;$A25)),0),IF($X$1="ABS",IF(RTD("tos.rtd",,$A$2,"."&amp;J$2&amp;J$1&amp;"C"&amp;$A25)="N/A",0,RTD("tos.rtd",,$A$2,"."&amp;J$2&amp;J$1&amp;"C"&amp;$A25))+IF(RTD("tos.rtd",,$A$2,"."&amp;J$2&amp;J$1&amp;"P"&amp;$A25)="N/A",0,RTD("tos.rtd",,$A$2,"."&amp;J$2&amp;J$1&amp;"P"&amp;$A25)),IF(RTD("tos.rtd",,$A$2,"."&amp;J$2&amp;J$1&amp;"C"&amp;$A25)="N/A",0,RTD("tos.rtd",,$A$2,"."&amp;J$2&amp;J$1&amp;"C"&amp;$A25))-IF(RTD("tos.rtd",,$A$2,"."&amp;J$2&amp;J$1&amp;"P"&amp;$A25)="N/A",0,RTD("tos.rtd",,$A$2,"."&amp;J$2&amp;J$1&amp;"P"&amp;$A25))))))))))</f>
        <v>0</v>
      </c>
      <c r="K25" s="12">
        <f ca="1">IF($A$2="PREMIUM_OI",IFERROR(IF($X$1="ABS",(100*RTD("tos.rtd",,"OPEN_INT","."&amp;K$2&amp;K$1&amp;"C"&amp;$A25)*RTD("tos.rtd",,"LAST","."&amp;K$2&amp;K$1&amp;"C"&amp;$A25)+100*RTD("tos.rtd",,"OPEN_INT","."&amp;K$2&amp;K$1&amp;"P"&amp;$A25)*RTD("tos.rtd",,"LAST","."&amp;K$2&amp;K$1&amp;"P"&amp;$A25))/1000000,(100*RTD("tos.rtd",,"OPEN_INT","."&amp;K$2&amp;K$1&amp;"C"&amp;$A25)*RTD("tos.rtd",,"LAST","."&amp;K$2&amp;K$1&amp;"C"&amp;$A25)-100*RTD("tos.rtd",,"OPEN_INT","."&amp;K$2&amp;K$1&amp;"P"&amp;$A25)*RTD("tos.rtd",,"LAST","."&amp;K$2&amp;K$1&amp;"P"&amp;$A25))/1000000),0),IF($A$2="PREMIUM",IFERROR(IF($X$1="ABS",(100*RTD("tos.rtd",,"VOLUME","."&amp;K$2&amp;K$1&amp;"C"&amp;$A25)*RTD("tos.rtd",,"LAST","."&amp;K$2&amp;K$1&amp;"C"&amp;$A25)+100*RTD("tos.rtd",,"VOLUME","."&amp;K$2&amp;K$1&amp;"P"&amp;$A25)*RTD("tos.rtd",,"LAST","."&amp;K$2&amp;K$1&amp;"P"&amp;$A25))/1000000,(100*RTD("tos.rtd",,"VOLUME","."&amp;K$2&amp;K$1&amp;"C"&amp;$A25)*RTD("tos.rtd",,"LAST","."&amp;K$2&amp;K$1&amp;"C"&amp;$A25)-100*RTD("tos.rtd",,"VOLUME","."&amp;K$2&amp;K$1&amp;"P"&amp;$A25)*RTD("tos.rtd",,"LAST","."&amp;K$2&amp;K$1&amp;"P"&amp;$A25))/1000000),0),IF($A$2="DEX",IFERROR(IF($X$1="ABS",(100*RTD("tos.rtd",,"OPEN_INT","."&amp;K$2&amp;K$1&amp;"C"&amp;$A25)*RTD("tos.rtd",,"DELTA","."&amp;K$2&amp;K$1&amp;"C"&amp;$A25)+100*RTD("tos.rtd",,"OPEN_INT","."&amp;K$2&amp;K$1&amp;"P"&amp;$A25)*RTD("tos.rtd",,"DELTA","."&amp;K$2&amp;K$1&amp;"P"&amp;$A25))/1000,(100*RTD("tos.rtd",,"OPEN_INT","."&amp;K$2&amp;K$1&amp;"C"&amp;$A25)*RTD("tos.rtd",,"DELTA","."&amp;K$2&amp;K$1&amp;"C"&amp;$A25)-100*RTD("tos.rtd",,"OPEN_INT","."&amp;K$2&amp;K$1&amp;"P"&amp;$A25)*RTD("tos.rtd",,"DELTA","."&amp;K$2&amp;K$1&amp;"P"&amp;$A25))/1000),0),IF($A$2="VEX",IFERROR(IF($X$1="ABS",($A$4*$A$4*RTD("tos.rtd",,"VOLUME","."&amp;K$2&amp;K$1&amp;"C"&amp;$A25)*RTD("tos.rtd",,"GAMMA","."&amp;K$2&amp;K$1&amp;"C"&amp;$A25)+$A$4*$A$4*RTD("tos.rtd",,"VOLUME","."&amp;K$2&amp;K$1&amp;"P"&amp;$A25)*RTD("tos.rtd",,"GAMMA","."&amp;K$2&amp;K$1&amp;"P"&amp;$A25))/1000000,($A$4*$A$4*RTD("tos.rtd",,"VOLUME","."&amp;K$2&amp;K$1&amp;"C"&amp;$A25)*RTD("tos.rtd",,"GAMMA","."&amp;K$2&amp;K$1&amp;"C"&amp;$A25)-$A$4*$A$4*RTD("tos.rtd",,"VOLUME","."&amp;K$2&amp;K$1&amp;"P"&amp;$A25)*RTD("tos.rtd",,"GAMMA","."&amp;K$2&amp;K$1&amp;"P"&amp;$A25))/1000000),0),IF($A$2="GEX",IFERROR(IF($X$1="ABS",($A$4*$A$4*RTD("tos.rtd",,"OPEN_INT","."&amp;K$2&amp;K$1&amp;"C"&amp;$A25)*RTD("tos.rtd",,"GAMMA","."&amp;K$2&amp;K$1&amp;"C"&amp;$A25)+$A$4*$A$4*RTD("tos.rtd",,"OPEN_INT","."&amp;K$2&amp;K$1&amp;"P"&amp;$A25)*RTD("tos.rtd",,"GAMMA","."&amp;K$2&amp;K$1&amp;"P"&amp;$A25))/1000000,($A$4*$A$4*RTD("tos.rtd",,"OPEN_INT","."&amp;K$2&amp;K$1&amp;"C"&amp;$A25)*RTD("tos.rtd",,"GAMMA","."&amp;K$2&amp;K$1&amp;"C"&amp;$A25)-$A$4*$A$4*RTD("tos.rtd",,"OPEN_INT","."&amp;K$2&amp;K$1&amp;"P"&amp;$A25)*RTD("tos.rtd",,"GAMMA","."&amp;K$2&amp;K$1&amp;"P"&amp;$A25))/1000000),0),IF($A$2="SKEW",IFERROR(VALUE(IF(RTD("tos.rtd",,"IMPL_VOL","."&amp;K$2&amp;K$1&amp;"P"&amp;$A25)="N/A",0,RTD("tos.rtd",,"IMPL_VOL","."&amp;K$2&amp;K$1&amp;"P"&amp;$A25))),0)-IFERROR(VALUE(IF(RTD("tos.rtd",,"IMPL_VOL","."&amp;K$2&amp;K$1&amp;"C"&amp;$A25)="N/A",0,RTD("tos.rtd",,"IMPL_VOL","."&amp;K$2&amp;K$1&amp;"C"&amp;$A25))),0),IF($A$2="MAXPAIN",IF($A$4&gt;$A25,($A$4-$A25)*IF(RTD("tos.rtd",,"OPEN_INT","."&amp;K$2&amp;K$1&amp;"C"&amp;$A25)="N/A",0,RTD("tos.rtd",,"OPEN_INT","."&amp;K$2&amp;K$1&amp;"C"&amp;$A25)),0)+IF($A$4&lt;$A25,($A$5-$A$4)*IF(RTD("tos.rtd",,"OPEN_INT","."&amp;K$2&amp;K$1&amp;"P"&amp;$A25)="N/A",0,RTD("tos.rtd",,"OPEN_INT","."&amp;K$2&amp;K$1&amp;"P"&amp;$A25)),0),IF($X$1="ABS",IF(RTD("tos.rtd",,$A$2,"."&amp;K$2&amp;K$1&amp;"C"&amp;$A25)="N/A",0,RTD("tos.rtd",,$A$2,"."&amp;K$2&amp;K$1&amp;"C"&amp;$A25))+IF(RTD("tos.rtd",,$A$2,"."&amp;K$2&amp;K$1&amp;"P"&amp;$A25)="N/A",0,RTD("tos.rtd",,$A$2,"."&amp;K$2&amp;K$1&amp;"P"&amp;$A25)),IF(RTD("tos.rtd",,$A$2,"."&amp;K$2&amp;K$1&amp;"C"&amp;$A25)="N/A",0,RTD("tos.rtd",,$A$2,"."&amp;K$2&amp;K$1&amp;"C"&amp;$A25))-IF(RTD("tos.rtd",,$A$2,"."&amp;K$2&amp;K$1&amp;"P"&amp;$A25)="N/A",0,RTD("tos.rtd",,$A$2,"."&amp;K$2&amp;K$1&amp;"P"&amp;$A25))))))))))</f>
        <v>0</v>
      </c>
      <c r="L25" s="54">
        <f ca="1">IF($A$2="PREMIUM_OI",IFERROR(IF($X$1="ABS",(100*RTD("tos.rtd",,"OPEN_INT","."&amp;L$2&amp;L$1&amp;"C"&amp;$A25)*RTD("tos.rtd",,"LAST","."&amp;L$2&amp;L$1&amp;"C"&amp;$A25)+100*RTD("tos.rtd",,"OPEN_INT","."&amp;L$2&amp;L$1&amp;"P"&amp;$A25)*RTD("tos.rtd",,"LAST","."&amp;L$2&amp;L$1&amp;"P"&amp;$A25))/1000000,(100*RTD("tos.rtd",,"OPEN_INT","."&amp;L$2&amp;L$1&amp;"C"&amp;$A25)*RTD("tos.rtd",,"LAST","."&amp;L$2&amp;L$1&amp;"C"&amp;$A25)-100*RTD("tos.rtd",,"OPEN_INT","."&amp;L$2&amp;L$1&amp;"P"&amp;$A25)*RTD("tos.rtd",,"LAST","."&amp;L$2&amp;L$1&amp;"P"&amp;$A25))/1000000),0),IF($A$2="PREMIUM",IFERROR(IF($X$1="ABS",(100*RTD("tos.rtd",,"VOLUME","."&amp;L$2&amp;L$1&amp;"C"&amp;$A25)*RTD("tos.rtd",,"LAST","."&amp;L$2&amp;L$1&amp;"C"&amp;$A25)+100*RTD("tos.rtd",,"VOLUME","."&amp;L$2&amp;L$1&amp;"P"&amp;$A25)*RTD("tos.rtd",,"LAST","."&amp;L$2&amp;L$1&amp;"P"&amp;$A25))/1000000,(100*RTD("tos.rtd",,"VOLUME","."&amp;L$2&amp;L$1&amp;"C"&amp;$A25)*RTD("tos.rtd",,"LAST","."&amp;L$2&amp;L$1&amp;"C"&amp;$A25)-100*RTD("tos.rtd",,"VOLUME","."&amp;L$2&amp;L$1&amp;"P"&amp;$A25)*RTD("tos.rtd",,"LAST","."&amp;L$2&amp;L$1&amp;"P"&amp;$A25))/1000000),0),IF($A$2="DEX",IFERROR(IF($X$1="ABS",(100*RTD("tos.rtd",,"OPEN_INT","."&amp;L$2&amp;L$1&amp;"C"&amp;$A25)*RTD("tos.rtd",,"DELTA","."&amp;L$2&amp;L$1&amp;"C"&amp;$A25)+100*RTD("tos.rtd",,"OPEN_INT","."&amp;L$2&amp;L$1&amp;"P"&amp;$A25)*RTD("tos.rtd",,"DELTA","."&amp;L$2&amp;L$1&amp;"P"&amp;$A25))/1000,(100*RTD("tos.rtd",,"OPEN_INT","."&amp;L$2&amp;L$1&amp;"C"&amp;$A25)*RTD("tos.rtd",,"DELTA","."&amp;L$2&amp;L$1&amp;"C"&amp;$A25)-100*RTD("tos.rtd",,"OPEN_INT","."&amp;L$2&amp;L$1&amp;"P"&amp;$A25)*RTD("tos.rtd",,"DELTA","."&amp;L$2&amp;L$1&amp;"P"&amp;$A25))/1000),0),IF($A$2="VEX",IFERROR(IF($X$1="ABS",($A$4*$A$4*RTD("tos.rtd",,"VOLUME","."&amp;L$2&amp;L$1&amp;"C"&amp;$A25)*RTD("tos.rtd",,"GAMMA","."&amp;L$2&amp;L$1&amp;"C"&amp;$A25)+$A$4*$A$4*RTD("tos.rtd",,"VOLUME","."&amp;L$2&amp;L$1&amp;"P"&amp;$A25)*RTD("tos.rtd",,"GAMMA","."&amp;L$2&amp;L$1&amp;"P"&amp;$A25))/1000000,($A$4*$A$4*RTD("tos.rtd",,"VOLUME","."&amp;L$2&amp;L$1&amp;"C"&amp;$A25)*RTD("tos.rtd",,"GAMMA","."&amp;L$2&amp;L$1&amp;"C"&amp;$A25)-$A$4*$A$4*RTD("tos.rtd",,"VOLUME","."&amp;L$2&amp;L$1&amp;"P"&amp;$A25)*RTD("tos.rtd",,"GAMMA","."&amp;L$2&amp;L$1&amp;"P"&amp;$A25))/1000000),0),IF($A$2="GEX",IFERROR(IF($X$1="ABS",($A$4*$A$4*RTD("tos.rtd",,"OPEN_INT","."&amp;L$2&amp;L$1&amp;"C"&amp;$A25)*RTD("tos.rtd",,"GAMMA","."&amp;L$2&amp;L$1&amp;"C"&amp;$A25)+$A$4*$A$4*RTD("tos.rtd",,"OPEN_INT","."&amp;L$2&amp;L$1&amp;"P"&amp;$A25)*RTD("tos.rtd",,"GAMMA","."&amp;L$2&amp;L$1&amp;"P"&amp;$A25))/1000000,($A$4*$A$4*RTD("tos.rtd",,"OPEN_INT","."&amp;L$2&amp;L$1&amp;"C"&amp;$A25)*RTD("tos.rtd",,"GAMMA","."&amp;L$2&amp;L$1&amp;"C"&amp;$A25)-$A$4*$A$4*RTD("tos.rtd",,"OPEN_INT","."&amp;L$2&amp;L$1&amp;"P"&amp;$A25)*RTD("tos.rtd",,"GAMMA","."&amp;L$2&amp;L$1&amp;"P"&amp;$A25))/1000000),0),IF($A$2="SKEW",IFERROR(VALUE(IF(RTD("tos.rtd",,"IMPL_VOL","."&amp;L$2&amp;L$1&amp;"P"&amp;$A25)="N/A",0,RTD("tos.rtd",,"IMPL_VOL","."&amp;L$2&amp;L$1&amp;"P"&amp;$A25))),0)-IFERROR(VALUE(IF(RTD("tos.rtd",,"IMPL_VOL","."&amp;L$2&amp;L$1&amp;"C"&amp;$A25)="N/A",0,RTD("tos.rtd",,"IMPL_VOL","."&amp;L$2&amp;L$1&amp;"C"&amp;$A25))),0),IF($A$2="MAXPAIN",IF($A$4&gt;$A25,($A$4-$A25)*IF(RTD("tos.rtd",,"OPEN_INT","."&amp;L$2&amp;L$1&amp;"C"&amp;$A25)="N/A",0,RTD("tos.rtd",,"OPEN_INT","."&amp;L$2&amp;L$1&amp;"C"&amp;$A25)),0)+IF($A$4&lt;$A25,($A$5-$A$4)*IF(RTD("tos.rtd",,"OPEN_INT","."&amp;L$2&amp;L$1&amp;"P"&amp;$A25)="N/A",0,RTD("tos.rtd",,"OPEN_INT","."&amp;L$2&amp;L$1&amp;"P"&amp;$A25)),0),IF($X$1="ABS",IF(RTD("tos.rtd",,$A$2,"."&amp;L$2&amp;L$1&amp;"C"&amp;$A25)="N/A",0,RTD("tos.rtd",,$A$2,"."&amp;L$2&amp;L$1&amp;"C"&amp;$A25))+IF(RTD("tos.rtd",,$A$2,"."&amp;L$2&amp;L$1&amp;"P"&amp;$A25)="N/A",0,RTD("tos.rtd",,$A$2,"."&amp;L$2&amp;L$1&amp;"P"&amp;$A25)),IF(RTD("tos.rtd",,$A$2,"."&amp;L$2&amp;L$1&amp;"C"&amp;$A25)="N/A",0,RTD("tos.rtd",,$A$2,"."&amp;L$2&amp;L$1&amp;"C"&amp;$A25))-IF(RTD("tos.rtd",,$A$2,"."&amp;L$2&amp;L$1&amp;"P"&amp;$A25)="N/A",0,RTD("tos.rtd",,$A$2,"."&amp;L$2&amp;L$1&amp;"P"&amp;$A25))))))))))</f>
        <v>0</v>
      </c>
      <c r="M25" s="12">
        <f ca="1">IF($A$2="PREMIUM_OI",IFERROR(IF($X$1="ABS",(100*RTD("tos.rtd",,"OPEN_INT","."&amp;M$2&amp;M$1&amp;"C"&amp;$A25)*RTD("tos.rtd",,"LAST","."&amp;M$2&amp;M$1&amp;"C"&amp;$A25)+100*RTD("tos.rtd",,"OPEN_INT","."&amp;M$2&amp;M$1&amp;"P"&amp;$A25)*RTD("tos.rtd",,"LAST","."&amp;M$2&amp;M$1&amp;"P"&amp;$A25))/1000000,(100*RTD("tos.rtd",,"OPEN_INT","."&amp;M$2&amp;M$1&amp;"C"&amp;$A25)*RTD("tos.rtd",,"LAST","."&amp;M$2&amp;M$1&amp;"C"&amp;$A25)-100*RTD("tos.rtd",,"OPEN_INT","."&amp;M$2&amp;M$1&amp;"P"&amp;$A25)*RTD("tos.rtd",,"LAST","."&amp;M$2&amp;M$1&amp;"P"&amp;$A25))/1000000),0),IF($A$2="PREMIUM",IFERROR(IF($X$1="ABS",(100*RTD("tos.rtd",,"VOLUME","."&amp;M$2&amp;M$1&amp;"C"&amp;$A25)*RTD("tos.rtd",,"LAST","."&amp;M$2&amp;M$1&amp;"C"&amp;$A25)+100*RTD("tos.rtd",,"VOLUME","."&amp;M$2&amp;M$1&amp;"P"&amp;$A25)*RTD("tos.rtd",,"LAST","."&amp;M$2&amp;M$1&amp;"P"&amp;$A25))/1000000,(100*RTD("tos.rtd",,"VOLUME","."&amp;M$2&amp;M$1&amp;"C"&amp;$A25)*RTD("tos.rtd",,"LAST","."&amp;M$2&amp;M$1&amp;"C"&amp;$A25)-100*RTD("tos.rtd",,"VOLUME","."&amp;M$2&amp;M$1&amp;"P"&amp;$A25)*RTD("tos.rtd",,"LAST","."&amp;M$2&amp;M$1&amp;"P"&amp;$A25))/1000000),0),IF($A$2="DEX",IFERROR(IF($X$1="ABS",(100*RTD("tos.rtd",,"OPEN_INT","."&amp;M$2&amp;M$1&amp;"C"&amp;$A25)*RTD("tos.rtd",,"DELTA","."&amp;M$2&amp;M$1&amp;"C"&amp;$A25)+100*RTD("tos.rtd",,"OPEN_INT","."&amp;M$2&amp;M$1&amp;"P"&amp;$A25)*RTD("tos.rtd",,"DELTA","."&amp;M$2&amp;M$1&amp;"P"&amp;$A25))/1000,(100*RTD("tos.rtd",,"OPEN_INT","."&amp;M$2&amp;M$1&amp;"C"&amp;$A25)*RTD("tos.rtd",,"DELTA","."&amp;M$2&amp;M$1&amp;"C"&amp;$A25)-100*RTD("tos.rtd",,"OPEN_INT","."&amp;M$2&amp;M$1&amp;"P"&amp;$A25)*RTD("tos.rtd",,"DELTA","."&amp;M$2&amp;M$1&amp;"P"&amp;$A25))/1000),0),IF($A$2="VEX",IFERROR(IF($X$1="ABS",($A$4*$A$4*RTD("tos.rtd",,"VOLUME","."&amp;M$2&amp;M$1&amp;"C"&amp;$A25)*RTD("tos.rtd",,"GAMMA","."&amp;M$2&amp;M$1&amp;"C"&amp;$A25)+$A$4*$A$4*RTD("tos.rtd",,"VOLUME","."&amp;M$2&amp;M$1&amp;"P"&amp;$A25)*RTD("tos.rtd",,"GAMMA","."&amp;M$2&amp;M$1&amp;"P"&amp;$A25))/1000000,($A$4*$A$4*RTD("tos.rtd",,"VOLUME","."&amp;M$2&amp;M$1&amp;"C"&amp;$A25)*RTD("tos.rtd",,"GAMMA","."&amp;M$2&amp;M$1&amp;"C"&amp;$A25)-$A$4*$A$4*RTD("tos.rtd",,"VOLUME","."&amp;M$2&amp;M$1&amp;"P"&amp;$A25)*RTD("tos.rtd",,"GAMMA","."&amp;M$2&amp;M$1&amp;"P"&amp;$A25))/1000000),0),IF($A$2="GEX",IFERROR(IF($X$1="ABS",($A$4*$A$4*RTD("tos.rtd",,"OPEN_INT","."&amp;M$2&amp;M$1&amp;"C"&amp;$A25)*RTD("tos.rtd",,"GAMMA","."&amp;M$2&amp;M$1&amp;"C"&amp;$A25)+$A$4*$A$4*RTD("tos.rtd",,"OPEN_INT","."&amp;M$2&amp;M$1&amp;"P"&amp;$A25)*RTD("tos.rtd",,"GAMMA","."&amp;M$2&amp;M$1&amp;"P"&amp;$A25))/1000000,($A$4*$A$4*RTD("tos.rtd",,"OPEN_INT","."&amp;M$2&amp;M$1&amp;"C"&amp;$A25)*RTD("tos.rtd",,"GAMMA","."&amp;M$2&amp;M$1&amp;"C"&amp;$A25)-$A$4*$A$4*RTD("tos.rtd",,"OPEN_INT","."&amp;M$2&amp;M$1&amp;"P"&amp;$A25)*RTD("tos.rtd",,"GAMMA","."&amp;M$2&amp;M$1&amp;"P"&amp;$A25))/1000000),0),IF($A$2="SKEW",IFERROR(VALUE(IF(RTD("tos.rtd",,"IMPL_VOL","."&amp;M$2&amp;M$1&amp;"P"&amp;$A25)="N/A",0,RTD("tos.rtd",,"IMPL_VOL","."&amp;M$2&amp;M$1&amp;"P"&amp;$A25))),0)-IFERROR(VALUE(IF(RTD("tos.rtd",,"IMPL_VOL","."&amp;M$2&amp;M$1&amp;"C"&amp;$A25)="N/A",0,RTD("tos.rtd",,"IMPL_VOL","."&amp;M$2&amp;M$1&amp;"C"&amp;$A25))),0),IF($A$2="MAXPAIN",IF($A$4&gt;$A25,($A$4-$A25)*IF(RTD("tos.rtd",,"OPEN_INT","."&amp;M$2&amp;M$1&amp;"C"&amp;$A25)="N/A",0,RTD("tos.rtd",,"OPEN_INT","."&amp;M$2&amp;M$1&amp;"C"&amp;$A25)),0)+IF($A$4&lt;$A25,($A$5-$A$4)*IF(RTD("tos.rtd",,"OPEN_INT","."&amp;M$2&amp;M$1&amp;"P"&amp;$A25)="N/A",0,RTD("tos.rtd",,"OPEN_INT","."&amp;M$2&amp;M$1&amp;"P"&amp;$A25)),0),IF($X$1="ABS",IF(RTD("tos.rtd",,$A$2,"."&amp;M$2&amp;M$1&amp;"C"&amp;$A25)="N/A",0,RTD("tos.rtd",,$A$2,"."&amp;M$2&amp;M$1&amp;"C"&amp;$A25))+IF(RTD("tos.rtd",,$A$2,"."&amp;M$2&amp;M$1&amp;"P"&amp;$A25)="N/A",0,RTD("tos.rtd",,$A$2,"."&amp;M$2&amp;M$1&amp;"P"&amp;$A25)),IF(RTD("tos.rtd",,$A$2,"."&amp;M$2&amp;M$1&amp;"C"&amp;$A25)="N/A",0,RTD("tos.rtd",,$A$2,"."&amp;M$2&amp;M$1&amp;"C"&amp;$A25))-IF(RTD("tos.rtd",,$A$2,"."&amp;M$2&amp;M$1&amp;"P"&amp;$A25)="N/A",0,RTD("tos.rtd",,$A$2,"."&amp;M$2&amp;M$1&amp;"P"&amp;$A25))))))))))</f>
        <v>0</v>
      </c>
      <c r="N25" s="12">
        <f ca="1">IF($A$2="PREMIUM_OI",IFERROR(IF($X$1="ABS",(100*RTD("tos.rtd",,"OPEN_INT","."&amp;N$2&amp;N$1&amp;"C"&amp;$A25)*RTD("tos.rtd",,"LAST","."&amp;N$2&amp;N$1&amp;"C"&amp;$A25)+100*RTD("tos.rtd",,"OPEN_INT","."&amp;N$2&amp;N$1&amp;"P"&amp;$A25)*RTD("tos.rtd",,"LAST","."&amp;N$2&amp;N$1&amp;"P"&amp;$A25))/1000000,(100*RTD("tos.rtd",,"OPEN_INT","."&amp;N$2&amp;N$1&amp;"C"&amp;$A25)*RTD("tos.rtd",,"LAST","."&amp;N$2&amp;N$1&amp;"C"&amp;$A25)-100*RTD("tos.rtd",,"OPEN_INT","."&amp;N$2&amp;N$1&amp;"P"&amp;$A25)*RTD("tos.rtd",,"LAST","."&amp;N$2&amp;N$1&amp;"P"&amp;$A25))/1000000),0),IF($A$2="PREMIUM",IFERROR(IF($X$1="ABS",(100*RTD("tos.rtd",,"VOLUME","."&amp;N$2&amp;N$1&amp;"C"&amp;$A25)*RTD("tos.rtd",,"LAST","."&amp;N$2&amp;N$1&amp;"C"&amp;$A25)+100*RTD("tos.rtd",,"VOLUME","."&amp;N$2&amp;N$1&amp;"P"&amp;$A25)*RTD("tos.rtd",,"LAST","."&amp;N$2&amp;N$1&amp;"P"&amp;$A25))/1000000,(100*RTD("tos.rtd",,"VOLUME","."&amp;N$2&amp;N$1&amp;"C"&amp;$A25)*RTD("tos.rtd",,"LAST","."&amp;N$2&amp;N$1&amp;"C"&amp;$A25)-100*RTD("tos.rtd",,"VOLUME","."&amp;N$2&amp;N$1&amp;"P"&amp;$A25)*RTD("tos.rtd",,"LAST","."&amp;N$2&amp;N$1&amp;"P"&amp;$A25))/1000000),0),IF($A$2="DEX",IFERROR(IF($X$1="ABS",(100*RTD("tos.rtd",,"OPEN_INT","."&amp;N$2&amp;N$1&amp;"C"&amp;$A25)*RTD("tos.rtd",,"DELTA","."&amp;N$2&amp;N$1&amp;"C"&amp;$A25)+100*RTD("tos.rtd",,"OPEN_INT","."&amp;N$2&amp;N$1&amp;"P"&amp;$A25)*RTD("tos.rtd",,"DELTA","."&amp;N$2&amp;N$1&amp;"P"&amp;$A25))/1000,(100*RTD("tos.rtd",,"OPEN_INT","."&amp;N$2&amp;N$1&amp;"C"&amp;$A25)*RTD("tos.rtd",,"DELTA","."&amp;N$2&amp;N$1&amp;"C"&amp;$A25)-100*RTD("tos.rtd",,"OPEN_INT","."&amp;N$2&amp;N$1&amp;"P"&amp;$A25)*RTD("tos.rtd",,"DELTA","."&amp;N$2&amp;N$1&amp;"P"&amp;$A25))/1000),0),IF($A$2="VEX",IFERROR(IF($X$1="ABS",($A$4*$A$4*RTD("tos.rtd",,"VOLUME","."&amp;N$2&amp;N$1&amp;"C"&amp;$A25)*RTD("tos.rtd",,"GAMMA","."&amp;N$2&amp;N$1&amp;"C"&amp;$A25)+$A$4*$A$4*RTD("tos.rtd",,"VOLUME","."&amp;N$2&amp;N$1&amp;"P"&amp;$A25)*RTD("tos.rtd",,"GAMMA","."&amp;N$2&amp;N$1&amp;"P"&amp;$A25))/1000000,($A$4*$A$4*RTD("tos.rtd",,"VOLUME","."&amp;N$2&amp;N$1&amp;"C"&amp;$A25)*RTD("tos.rtd",,"GAMMA","."&amp;N$2&amp;N$1&amp;"C"&amp;$A25)-$A$4*$A$4*RTD("tos.rtd",,"VOLUME","."&amp;N$2&amp;N$1&amp;"P"&amp;$A25)*RTD("tos.rtd",,"GAMMA","."&amp;N$2&amp;N$1&amp;"P"&amp;$A25))/1000000),0),IF($A$2="GEX",IFERROR(IF($X$1="ABS",($A$4*$A$4*RTD("tos.rtd",,"OPEN_INT","."&amp;N$2&amp;N$1&amp;"C"&amp;$A25)*RTD("tos.rtd",,"GAMMA","."&amp;N$2&amp;N$1&amp;"C"&amp;$A25)+$A$4*$A$4*RTD("tos.rtd",,"OPEN_INT","."&amp;N$2&amp;N$1&amp;"P"&amp;$A25)*RTD("tos.rtd",,"GAMMA","."&amp;N$2&amp;N$1&amp;"P"&amp;$A25))/1000000,($A$4*$A$4*RTD("tos.rtd",,"OPEN_INT","."&amp;N$2&amp;N$1&amp;"C"&amp;$A25)*RTD("tos.rtd",,"GAMMA","."&amp;N$2&amp;N$1&amp;"C"&amp;$A25)-$A$4*$A$4*RTD("tos.rtd",,"OPEN_INT","."&amp;N$2&amp;N$1&amp;"P"&amp;$A25)*RTD("tos.rtd",,"GAMMA","."&amp;N$2&amp;N$1&amp;"P"&amp;$A25))/1000000),0),IF($A$2="SKEW",IFERROR(VALUE(IF(RTD("tos.rtd",,"IMPL_VOL","."&amp;N$2&amp;N$1&amp;"P"&amp;$A25)="N/A",0,RTD("tos.rtd",,"IMPL_VOL","."&amp;N$2&amp;N$1&amp;"P"&amp;$A25))),0)-IFERROR(VALUE(IF(RTD("tos.rtd",,"IMPL_VOL","."&amp;N$2&amp;N$1&amp;"C"&amp;$A25)="N/A",0,RTD("tos.rtd",,"IMPL_VOL","."&amp;N$2&amp;N$1&amp;"C"&amp;$A25))),0),IF($A$2="MAXPAIN",IF($A$4&gt;$A25,($A$4-$A25)*IF(RTD("tos.rtd",,"OPEN_INT","."&amp;N$2&amp;N$1&amp;"C"&amp;$A25)="N/A",0,RTD("tos.rtd",,"OPEN_INT","."&amp;N$2&amp;N$1&amp;"C"&amp;$A25)),0)+IF($A$4&lt;$A25,($A$5-$A$4)*IF(RTD("tos.rtd",,"OPEN_INT","."&amp;N$2&amp;N$1&amp;"P"&amp;$A25)="N/A",0,RTD("tos.rtd",,"OPEN_INT","."&amp;N$2&amp;N$1&amp;"P"&amp;$A25)),0),IF($X$1="ABS",IF(RTD("tos.rtd",,$A$2,"."&amp;N$2&amp;N$1&amp;"C"&amp;$A25)="N/A",0,RTD("tos.rtd",,$A$2,"."&amp;N$2&amp;N$1&amp;"C"&amp;$A25))+IF(RTD("tos.rtd",,$A$2,"."&amp;N$2&amp;N$1&amp;"P"&amp;$A25)="N/A",0,RTD("tos.rtd",,$A$2,"."&amp;N$2&amp;N$1&amp;"P"&amp;$A25)),IF(RTD("tos.rtd",,$A$2,"."&amp;N$2&amp;N$1&amp;"C"&amp;$A25)="N/A",0,RTD("tos.rtd",,$A$2,"."&amp;N$2&amp;N$1&amp;"C"&amp;$A25))-IF(RTD("tos.rtd",,$A$2,"."&amp;N$2&amp;N$1&amp;"P"&amp;$A25)="N/A",0,RTD("tos.rtd",,$A$2,"."&amp;N$2&amp;N$1&amp;"P"&amp;$A25))))))))))</f>
        <v>0</v>
      </c>
      <c r="O25" s="12">
        <f ca="1">IF($A$2="PREMIUM_OI",IFERROR(IF($X$1="ABS",(100*RTD("tos.rtd",,"OPEN_INT","."&amp;O$2&amp;O$1&amp;"C"&amp;$A25)*RTD("tos.rtd",,"LAST","."&amp;O$2&amp;O$1&amp;"C"&amp;$A25)+100*RTD("tos.rtd",,"OPEN_INT","."&amp;O$2&amp;O$1&amp;"P"&amp;$A25)*RTD("tos.rtd",,"LAST","."&amp;O$2&amp;O$1&amp;"P"&amp;$A25))/1000000,(100*RTD("tos.rtd",,"OPEN_INT","."&amp;O$2&amp;O$1&amp;"C"&amp;$A25)*RTD("tos.rtd",,"LAST","."&amp;O$2&amp;O$1&amp;"C"&amp;$A25)-100*RTD("tos.rtd",,"OPEN_INT","."&amp;O$2&amp;O$1&amp;"P"&amp;$A25)*RTD("tos.rtd",,"LAST","."&amp;O$2&amp;O$1&amp;"P"&amp;$A25))/1000000),0),IF($A$2="PREMIUM",IFERROR(IF($X$1="ABS",(100*RTD("tos.rtd",,"VOLUME","."&amp;O$2&amp;O$1&amp;"C"&amp;$A25)*RTD("tos.rtd",,"LAST","."&amp;O$2&amp;O$1&amp;"C"&amp;$A25)+100*RTD("tos.rtd",,"VOLUME","."&amp;O$2&amp;O$1&amp;"P"&amp;$A25)*RTD("tos.rtd",,"LAST","."&amp;O$2&amp;O$1&amp;"P"&amp;$A25))/1000000,(100*RTD("tos.rtd",,"VOLUME","."&amp;O$2&amp;O$1&amp;"C"&amp;$A25)*RTD("tos.rtd",,"LAST","."&amp;O$2&amp;O$1&amp;"C"&amp;$A25)-100*RTD("tos.rtd",,"VOLUME","."&amp;O$2&amp;O$1&amp;"P"&amp;$A25)*RTD("tos.rtd",,"LAST","."&amp;O$2&amp;O$1&amp;"P"&amp;$A25))/1000000),0),IF($A$2="DEX",IFERROR(IF($X$1="ABS",(100*RTD("tos.rtd",,"OPEN_INT","."&amp;O$2&amp;O$1&amp;"C"&amp;$A25)*RTD("tos.rtd",,"DELTA","."&amp;O$2&amp;O$1&amp;"C"&amp;$A25)+100*RTD("tos.rtd",,"OPEN_INT","."&amp;O$2&amp;O$1&amp;"P"&amp;$A25)*RTD("tos.rtd",,"DELTA","."&amp;O$2&amp;O$1&amp;"P"&amp;$A25))/1000,(100*RTD("tos.rtd",,"OPEN_INT","."&amp;O$2&amp;O$1&amp;"C"&amp;$A25)*RTD("tos.rtd",,"DELTA","."&amp;O$2&amp;O$1&amp;"C"&amp;$A25)-100*RTD("tos.rtd",,"OPEN_INT","."&amp;O$2&amp;O$1&amp;"P"&amp;$A25)*RTD("tos.rtd",,"DELTA","."&amp;O$2&amp;O$1&amp;"P"&amp;$A25))/1000),0),IF($A$2="VEX",IFERROR(IF($X$1="ABS",($A$4*$A$4*RTD("tos.rtd",,"VOLUME","."&amp;O$2&amp;O$1&amp;"C"&amp;$A25)*RTD("tos.rtd",,"GAMMA","."&amp;O$2&amp;O$1&amp;"C"&amp;$A25)+$A$4*$A$4*RTD("tos.rtd",,"VOLUME","."&amp;O$2&amp;O$1&amp;"P"&amp;$A25)*RTD("tos.rtd",,"GAMMA","."&amp;O$2&amp;O$1&amp;"P"&amp;$A25))/1000000,($A$4*$A$4*RTD("tos.rtd",,"VOLUME","."&amp;O$2&amp;O$1&amp;"C"&amp;$A25)*RTD("tos.rtd",,"GAMMA","."&amp;O$2&amp;O$1&amp;"C"&amp;$A25)-$A$4*$A$4*RTD("tos.rtd",,"VOLUME","."&amp;O$2&amp;O$1&amp;"P"&amp;$A25)*RTD("tos.rtd",,"GAMMA","."&amp;O$2&amp;O$1&amp;"P"&amp;$A25))/1000000),0),IF($A$2="GEX",IFERROR(IF($X$1="ABS",($A$4*$A$4*RTD("tos.rtd",,"OPEN_INT","."&amp;O$2&amp;O$1&amp;"C"&amp;$A25)*RTD("tos.rtd",,"GAMMA","."&amp;O$2&amp;O$1&amp;"C"&amp;$A25)+$A$4*$A$4*RTD("tos.rtd",,"OPEN_INT","."&amp;O$2&amp;O$1&amp;"P"&amp;$A25)*RTD("tos.rtd",,"GAMMA","."&amp;O$2&amp;O$1&amp;"P"&amp;$A25))/1000000,($A$4*$A$4*RTD("tos.rtd",,"OPEN_INT","."&amp;O$2&amp;O$1&amp;"C"&amp;$A25)*RTD("tos.rtd",,"GAMMA","."&amp;O$2&amp;O$1&amp;"C"&amp;$A25)-$A$4*$A$4*RTD("tos.rtd",,"OPEN_INT","."&amp;O$2&amp;O$1&amp;"P"&amp;$A25)*RTD("tos.rtd",,"GAMMA","."&amp;O$2&amp;O$1&amp;"P"&amp;$A25))/1000000),0),IF($A$2="SKEW",IFERROR(VALUE(IF(RTD("tos.rtd",,"IMPL_VOL","."&amp;O$2&amp;O$1&amp;"P"&amp;$A25)="N/A",0,RTD("tos.rtd",,"IMPL_VOL","."&amp;O$2&amp;O$1&amp;"P"&amp;$A25))),0)-IFERROR(VALUE(IF(RTD("tos.rtd",,"IMPL_VOL","."&amp;O$2&amp;O$1&amp;"C"&amp;$A25)="N/A",0,RTD("tos.rtd",,"IMPL_VOL","."&amp;O$2&amp;O$1&amp;"C"&amp;$A25))),0),IF($A$2="MAXPAIN",IF($A$4&gt;$A25,($A$4-$A25)*IF(RTD("tos.rtd",,"OPEN_INT","."&amp;O$2&amp;O$1&amp;"C"&amp;$A25)="N/A",0,RTD("tos.rtd",,"OPEN_INT","."&amp;O$2&amp;O$1&amp;"C"&amp;$A25)),0)+IF($A$4&lt;$A25,($A$5-$A$4)*IF(RTD("tos.rtd",,"OPEN_INT","."&amp;O$2&amp;O$1&amp;"P"&amp;$A25)="N/A",0,RTD("tos.rtd",,"OPEN_INT","."&amp;O$2&amp;O$1&amp;"P"&amp;$A25)),0),IF($X$1="ABS",IF(RTD("tos.rtd",,$A$2,"."&amp;O$2&amp;O$1&amp;"C"&amp;$A25)="N/A",0,RTD("tos.rtd",,$A$2,"."&amp;O$2&amp;O$1&amp;"C"&amp;$A25))+IF(RTD("tos.rtd",,$A$2,"."&amp;O$2&amp;O$1&amp;"P"&amp;$A25)="N/A",0,RTD("tos.rtd",,$A$2,"."&amp;O$2&amp;O$1&amp;"P"&amp;$A25)),IF(RTD("tos.rtd",,$A$2,"."&amp;O$2&amp;O$1&amp;"C"&amp;$A25)="N/A",0,RTD("tos.rtd",,$A$2,"."&amp;O$2&amp;O$1&amp;"C"&amp;$A25))-IF(RTD("tos.rtd",,$A$2,"."&amp;O$2&amp;O$1&amp;"P"&amp;$A25)="N/A",0,RTD("tos.rtd",,$A$2,"."&amp;O$2&amp;O$1&amp;"P"&amp;$A25))))))))))</f>
        <v>0</v>
      </c>
      <c r="P25" s="12">
        <f ca="1">IF($A$2="PREMIUM_OI",IFERROR(IF($X$1="ABS",(100*RTD("tos.rtd",,"OPEN_INT","."&amp;P$2&amp;P$1&amp;"C"&amp;$A25)*RTD("tos.rtd",,"LAST","."&amp;P$2&amp;P$1&amp;"C"&amp;$A25)+100*RTD("tos.rtd",,"OPEN_INT","."&amp;P$2&amp;P$1&amp;"P"&amp;$A25)*RTD("tos.rtd",,"LAST","."&amp;P$2&amp;P$1&amp;"P"&amp;$A25))/1000000,(100*RTD("tos.rtd",,"OPEN_INT","."&amp;P$2&amp;P$1&amp;"C"&amp;$A25)*RTD("tos.rtd",,"LAST","."&amp;P$2&amp;P$1&amp;"C"&amp;$A25)-100*RTD("tos.rtd",,"OPEN_INT","."&amp;P$2&amp;P$1&amp;"P"&amp;$A25)*RTD("tos.rtd",,"LAST","."&amp;P$2&amp;P$1&amp;"P"&amp;$A25))/1000000),0),IF($A$2="PREMIUM",IFERROR(IF($X$1="ABS",(100*RTD("tos.rtd",,"VOLUME","."&amp;P$2&amp;P$1&amp;"C"&amp;$A25)*RTD("tos.rtd",,"LAST","."&amp;P$2&amp;P$1&amp;"C"&amp;$A25)+100*RTD("tos.rtd",,"VOLUME","."&amp;P$2&amp;P$1&amp;"P"&amp;$A25)*RTD("tos.rtd",,"LAST","."&amp;P$2&amp;P$1&amp;"P"&amp;$A25))/1000000,(100*RTD("tos.rtd",,"VOLUME","."&amp;P$2&amp;P$1&amp;"C"&amp;$A25)*RTD("tos.rtd",,"LAST","."&amp;P$2&amp;P$1&amp;"C"&amp;$A25)-100*RTD("tos.rtd",,"VOLUME","."&amp;P$2&amp;P$1&amp;"P"&amp;$A25)*RTD("tos.rtd",,"LAST","."&amp;P$2&amp;P$1&amp;"P"&amp;$A25))/1000000),0),IF($A$2="DEX",IFERROR(IF($X$1="ABS",(100*RTD("tos.rtd",,"OPEN_INT","."&amp;P$2&amp;P$1&amp;"C"&amp;$A25)*RTD("tos.rtd",,"DELTA","."&amp;P$2&amp;P$1&amp;"C"&amp;$A25)+100*RTD("tos.rtd",,"OPEN_INT","."&amp;P$2&amp;P$1&amp;"P"&amp;$A25)*RTD("tos.rtd",,"DELTA","."&amp;P$2&amp;P$1&amp;"P"&amp;$A25))/1000,(100*RTD("tos.rtd",,"OPEN_INT","."&amp;P$2&amp;P$1&amp;"C"&amp;$A25)*RTD("tos.rtd",,"DELTA","."&amp;P$2&amp;P$1&amp;"C"&amp;$A25)-100*RTD("tos.rtd",,"OPEN_INT","."&amp;P$2&amp;P$1&amp;"P"&amp;$A25)*RTD("tos.rtd",,"DELTA","."&amp;P$2&amp;P$1&amp;"P"&amp;$A25))/1000),0),IF($A$2="VEX",IFERROR(IF($X$1="ABS",($A$4*$A$4*RTD("tos.rtd",,"VOLUME","."&amp;P$2&amp;P$1&amp;"C"&amp;$A25)*RTD("tos.rtd",,"GAMMA","."&amp;P$2&amp;P$1&amp;"C"&amp;$A25)+$A$4*$A$4*RTD("tos.rtd",,"VOLUME","."&amp;P$2&amp;P$1&amp;"P"&amp;$A25)*RTD("tos.rtd",,"GAMMA","."&amp;P$2&amp;P$1&amp;"P"&amp;$A25))/1000000,($A$4*$A$4*RTD("tos.rtd",,"VOLUME","."&amp;P$2&amp;P$1&amp;"C"&amp;$A25)*RTD("tos.rtd",,"GAMMA","."&amp;P$2&amp;P$1&amp;"C"&amp;$A25)-$A$4*$A$4*RTD("tos.rtd",,"VOLUME","."&amp;P$2&amp;P$1&amp;"P"&amp;$A25)*RTD("tos.rtd",,"GAMMA","."&amp;P$2&amp;P$1&amp;"P"&amp;$A25))/1000000),0),IF($A$2="GEX",IFERROR(IF($X$1="ABS",($A$4*$A$4*RTD("tos.rtd",,"OPEN_INT","."&amp;P$2&amp;P$1&amp;"C"&amp;$A25)*RTD("tos.rtd",,"GAMMA","."&amp;P$2&amp;P$1&amp;"C"&amp;$A25)+$A$4*$A$4*RTD("tos.rtd",,"OPEN_INT","."&amp;P$2&amp;P$1&amp;"P"&amp;$A25)*RTD("tos.rtd",,"GAMMA","."&amp;P$2&amp;P$1&amp;"P"&amp;$A25))/1000000,($A$4*$A$4*RTD("tos.rtd",,"OPEN_INT","."&amp;P$2&amp;P$1&amp;"C"&amp;$A25)*RTD("tos.rtd",,"GAMMA","."&amp;P$2&amp;P$1&amp;"C"&amp;$A25)-$A$4*$A$4*RTD("tos.rtd",,"OPEN_INT","."&amp;P$2&amp;P$1&amp;"P"&amp;$A25)*RTD("tos.rtd",,"GAMMA","."&amp;P$2&amp;P$1&amp;"P"&amp;$A25))/1000000),0),IF($A$2="SKEW",IFERROR(VALUE(IF(RTD("tos.rtd",,"IMPL_VOL","."&amp;P$2&amp;P$1&amp;"P"&amp;$A25)="N/A",0,RTD("tos.rtd",,"IMPL_VOL","."&amp;P$2&amp;P$1&amp;"P"&amp;$A25))),0)-IFERROR(VALUE(IF(RTD("tos.rtd",,"IMPL_VOL","."&amp;P$2&amp;P$1&amp;"C"&amp;$A25)="N/A",0,RTD("tos.rtd",,"IMPL_VOL","."&amp;P$2&amp;P$1&amp;"C"&amp;$A25))),0),IF($A$2="MAXPAIN",IF($A$4&gt;$A25,($A$4-$A25)*IF(RTD("tos.rtd",,"OPEN_INT","."&amp;P$2&amp;P$1&amp;"C"&amp;$A25)="N/A",0,RTD("tos.rtd",,"OPEN_INT","."&amp;P$2&amp;P$1&amp;"C"&amp;$A25)),0)+IF($A$4&lt;$A25,($A$5-$A$4)*IF(RTD("tos.rtd",,"OPEN_INT","."&amp;P$2&amp;P$1&amp;"P"&amp;$A25)="N/A",0,RTD("tos.rtd",,"OPEN_INT","."&amp;P$2&amp;P$1&amp;"P"&amp;$A25)),0),IF($X$1="ABS",IF(RTD("tos.rtd",,$A$2,"."&amp;P$2&amp;P$1&amp;"C"&amp;$A25)="N/A",0,RTD("tos.rtd",,$A$2,"."&amp;P$2&amp;P$1&amp;"C"&amp;$A25))+IF(RTD("tos.rtd",,$A$2,"."&amp;P$2&amp;P$1&amp;"P"&amp;$A25)="N/A",0,RTD("tos.rtd",,$A$2,"."&amp;P$2&amp;P$1&amp;"P"&amp;$A25)),IF(RTD("tos.rtd",,$A$2,"."&amp;P$2&amp;P$1&amp;"C"&amp;$A25)="N/A",0,RTD("tos.rtd",,$A$2,"."&amp;P$2&amp;P$1&amp;"C"&amp;$A25))-IF(RTD("tos.rtd",,$A$2,"."&amp;P$2&amp;P$1&amp;"P"&amp;$A25)="N/A",0,RTD("tos.rtd",,$A$2,"."&amp;P$2&amp;P$1&amp;"P"&amp;$A25))))))))))</f>
        <v>0</v>
      </c>
      <c r="Q25" s="12">
        <f ca="1">IF($A$2="PREMIUM_OI",IFERROR(IF($X$1="ABS",(100*RTD("tos.rtd",,"OPEN_INT","."&amp;Q$2&amp;Q$1&amp;"C"&amp;$A25)*RTD("tos.rtd",,"LAST","."&amp;Q$2&amp;Q$1&amp;"C"&amp;$A25)+100*RTD("tos.rtd",,"OPEN_INT","."&amp;Q$2&amp;Q$1&amp;"P"&amp;$A25)*RTD("tos.rtd",,"LAST","."&amp;Q$2&amp;Q$1&amp;"P"&amp;$A25))/1000000,(100*RTD("tos.rtd",,"OPEN_INT","."&amp;Q$2&amp;Q$1&amp;"C"&amp;$A25)*RTD("tos.rtd",,"LAST","."&amp;Q$2&amp;Q$1&amp;"C"&amp;$A25)-100*RTD("tos.rtd",,"OPEN_INT","."&amp;Q$2&amp;Q$1&amp;"P"&amp;$A25)*RTD("tos.rtd",,"LAST","."&amp;Q$2&amp;Q$1&amp;"P"&amp;$A25))/1000000),0),IF($A$2="PREMIUM",IFERROR(IF($X$1="ABS",(100*RTD("tos.rtd",,"VOLUME","."&amp;Q$2&amp;Q$1&amp;"C"&amp;$A25)*RTD("tos.rtd",,"LAST","."&amp;Q$2&amp;Q$1&amp;"C"&amp;$A25)+100*RTD("tos.rtd",,"VOLUME","."&amp;Q$2&amp;Q$1&amp;"P"&amp;$A25)*RTD("tos.rtd",,"LAST","."&amp;Q$2&amp;Q$1&amp;"P"&amp;$A25))/1000000,(100*RTD("tos.rtd",,"VOLUME","."&amp;Q$2&amp;Q$1&amp;"C"&amp;$A25)*RTD("tos.rtd",,"LAST","."&amp;Q$2&amp;Q$1&amp;"C"&amp;$A25)-100*RTD("tos.rtd",,"VOLUME","."&amp;Q$2&amp;Q$1&amp;"P"&amp;$A25)*RTD("tos.rtd",,"LAST","."&amp;Q$2&amp;Q$1&amp;"P"&amp;$A25))/1000000),0),IF($A$2="DEX",IFERROR(IF($X$1="ABS",(100*RTD("tos.rtd",,"OPEN_INT","."&amp;Q$2&amp;Q$1&amp;"C"&amp;$A25)*RTD("tos.rtd",,"DELTA","."&amp;Q$2&amp;Q$1&amp;"C"&amp;$A25)+100*RTD("tos.rtd",,"OPEN_INT","."&amp;Q$2&amp;Q$1&amp;"P"&amp;$A25)*RTD("tos.rtd",,"DELTA","."&amp;Q$2&amp;Q$1&amp;"P"&amp;$A25))/1000,(100*RTD("tos.rtd",,"OPEN_INT","."&amp;Q$2&amp;Q$1&amp;"C"&amp;$A25)*RTD("tos.rtd",,"DELTA","."&amp;Q$2&amp;Q$1&amp;"C"&amp;$A25)-100*RTD("tos.rtd",,"OPEN_INT","."&amp;Q$2&amp;Q$1&amp;"P"&amp;$A25)*RTD("tos.rtd",,"DELTA","."&amp;Q$2&amp;Q$1&amp;"P"&amp;$A25))/1000),0),IF($A$2="VEX",IFERROR(IF($X$1="ABS",($A$4*$A$4*RTD("tos.rtd",,"VOLUME","."&amp;Q$2&amp;Q$1&amp;"C"&amp;$A25)*RTD("tos.rtd",,"GAMMA","."&amp;Q$2&amp;Q$1&amp;"C"&amp;$A25)+$A$4*$A$4*RTD("tos.rtd",,"VOLUME","."&amp;Q$2&amp;Q$1&amp;"P"&amp;$A25)*RTD("tos.rtd",,"GAMMA","."&amp;Q$2&amp;Q$1&amp;"P"&amp;$A25))/1000000,($A$4*$A$4*RTD("tos.rtd",,"VOLUME","."&amp;Q$2&amp;Q$1&amp;"C"&amp;$A25)*RTD("tos.rtd",,"GAMMA","."&amp;Q$2&amp;Q$1&amp;"C"&amp;$A25)-$A$4*$A$4*RTD("tos.rtd",,"VOLUME","."&amp;Q$2&amp;Q$1&amp;"P"&amp;$A25)*RTD("tos.rtd",,"GAMMA","."&amp;Q$2&amp;Q$1&amp;"P"&amp;$A25))/1000000),0),IF($A$2="GEX",IFERROR(IF($X$1="ABS",($A$4*$A$4*RTD("tos.rtd",,"OPEN_INT","."&amp;Q$2&amp;Q$1&amp;"C"&amp;$A25)*RTD("tos.rtd",,"GAMMA","."&amp;Q$2&amp;Q$1&amp;"C"&amp;$A25)+$A$4*$A$4*RTD("tos.rtd",,"OPEN_INT","."&amp;Q$2&amp;Q$1&amp;"P"&amp;$A25)*RTD("tos.rtd",,"GAMMA","."&amp;Q$2&amp;Q$1&amp;"P"&amp;$A25))/1000000,($A$4*$A$4*RTD("tos.rtd",,"OPEN_INT","."&amp;Q$2&amp;Q$1&amp;"C"&amp;$A25)*RTD("tos.rtd",,"GAMMA","."&amp;Q$2&amp;Q$1&amp;"C"&amp;$A25)-$A$4*$A$4*RTD("tos.rtd",,"OPEN_INT","."&amp;Q$2&amp;Q$1&amp;"P"&amp;$A25)*RTD("tos.rtd",,"GAMMA","."&amp;Q$2&amp;Q$1&amp;"P"&amp;$A25))/1000000),0),IF($A$2="SKEW",IFERROR(VALUE(IF(RTD("tos.rtd",,"IMPL_VOL","."&amp;Q$2&amp;Q$1&amp;"P"&amp;$A25)="N/A",0,RTD("tos.rtd",,"IMPL_VOL","."&amp;Q$2&amp;Q$1&amp;"P"&amp;$A25))),0)-IFERROR(VALUE(IF(RTD("tos.rtd",,"IMPL_VOL","."&amp;Q$2&amp;Q$1&amp;"C"&amp;$A25)="N/A",0,RTD("tos.rtd",,"IMPL_VOL","."&amp;Q$2&amp;Q$1&amp;"C"&amp;$A25))),0),IF($A$2="MAXPAIN",IF($A$4&gt;$A25,($A$4-$A25)*IF(RTD("tos.rtd",,"OPEN_INT","."&amp;Q$2&amp;Q$1&amp;"C"&amp;$A25)="N/A",0,RTD("tos.rtd",,"OPEN_INT","."&amp;Q$2&amp;Q$1&amp;"C"&amp;$A25)),0)+IF($A$4&lt;$A25,($A$5-$A$4)*IF(RTD("tos.rtd",,"OPEN_INT","."&amp;Q$2&amp;Q$1&amp;"P"&amp;$A25)="N/A",0,RTD("tos.rtd",,"OPEN_INT","."&amp;Q$2&amp;Q$1&amp;"P"&amp;$A25)),0),IF($X$1="ABS",IF(RTD("tos.rtd",,$A$2,"."&amp;Q$2&amp;Q$1&amp;"C"&amp;$A25)="N/A",0,RTD("tos.rtd",,$A$2,"."&amp;Q$2&amp;Q$1&amp;"C"&amp;$A25))+IF(RTD("tos.rtd",,$A$2,"."&amp;Q$2&amp;Q$1&amp;"P"&amp;$A25)="N/A",0,RTD("tos.rtd",,$A$2,"."&amp;Q$2&amp;Q$1&amp;"P"&amp;$A25)),IF(RTD("tos.rtd",,$A$2,"."&amp;Q$2&amp;Q$1&amp;"C"&amp;$A25)="N/A",0,RTD("tos.rtd",,$A$2,"."&amp;Q$2&amp;Q$1&amp;"C"&amp;$A25))-IF(RTD("tos.rtd",,$A$2,"."&amp;Q$2&amp;Q$1&amp;"P"&amp;$A25)="N/A",0,RTD("tos.rtd",,$A$2,"."&amp;Q$2&amp;Q$1&amp;"P"&amp;$A25))))))))))</f>
        <v>0</v>
      </c>
      <c r="R25" s="12">
        <f ca="1">IF($A$2="PREMIUM_OI",IFERROR(IF($X$1="ABS",(100*RTD("tos.rtd",,"OPEN_INT","."&amp;R$2&amp;R$1&amp;"C"&amp;$A25)*RTD("tos.rtd",,"LAST","."&amp;R$2&amp;R$1&amp;"C"&amp;$A25)+100*RTD("tos.rtd",,"OPEN_INT","."&amp;R$2&amp;R$1&amp;"P"&amp;$A25)*RTD("tos.rtd",,"LAST","."&amp;R$2&amp;R$1&amp;"P"&amp;$A25))/1000000,(100*RTD("tos.rtd",,"OPEN_INT","."&amp;R$2&amp;R$1&amp;"C"&amp;$A25)*RTD("tos.rtd",,"LAST","."&amp;R$2&amp;R$1&amp;"C"&amp;$A25)-100*RTD("tos.rtd",,"OPEN_INT","."&amp;R$2&amp;R$1&amp;"P"&amp;$A25)*RTD("tos.rtd",,"LAST","."&amp;R$2&amp;R$1&amp;"P"&amp;$A25))/1000000),0),IF($A$2="PREMIUM",IFERROR(IF($X$1="ABS",(100*RTD("tos.rtd",,"VOLUME","."&amp;R$2&amp;R$1&amp;"C"&amp;$A25)*RTD("tos.rtd",,"LAST","."&amp;R$2&amp;R$1&amp;"C"&amp;$A25)+100*RTD("tos.rtd",,"VOLUME","."&amp;R$2&amp;R$1&amp;"P"&amp;$A25)*RTD("tos.rtd",,"LAST","."&amp;R$2&amp;R$1&amp;"P"&amp;$A25))/1000000,(100*RTD("tos.rtd",,"VOLUME","."&amp;R$2&amp;R$1&amp;"C"&amp;$A25)*RTD("tos.rtd",,"LAST","."&amp;R$2&amp;R$1&amp;"C"&amp;$A25)-100*RTD("tos.rtd",,"VOLUME","."&amp;R$2&amp;R$1&amp;"P"&amp;$A25)*RTD("tos.rtd",,"LAST","."&amp;R$2&amp;R$1&amp;"P"&amp;$A25))/1000000),0),IF($A$2="DEX",IFERROR(IF($X$1="ABS",(100*RTD("tos.rtd",,"OPEN_INT","."&amp;R$2&amp;R$1&amp;"C"&amp;$A25)*RTD("tos.rtd",,"DELTA","."&amp;R$2&amp;R$1&amp;"C"&amp;$A25)+100*RTD("tos.rtd",,"OPEN_INT","."&amp;R$2&amp;R$1&amp;"P"&amp;$A25)*RTD("tos.rtd",,"DELTA","."&amp;R$2&amp;R$1&amp;"P"&amp;$A25))/1000,(100*RTD("tos.rtd",,"OPEN_INT","."&amp;R$2&amp;R$1&amp;"C"&amp;$A25)*RTD("tos.rtd",,"DELTA","."&amp;R$2&amp;R$1&amp;"C"&amp;$A25)-100*RTD("tos.rtd",,"OPEN_INT","."&amp;R$2&amp;R$1&amp;"P"&amp;$A25)*RTD("tos.rtd",,"DELTA","."&amp;R$2&amp;R$1&amp;"P"&amp;$A25))/1000),0),IF($A$2="VEX",IFERROR(IF($X$1="ABS",($A$4*$A$4*RTD("tos.rtd",,"VOLUME","."&amp;R$2&amp;R$1&amp;"C"&amp;$A25)*RTD("tos.rtd",,"GAMMA","."&amp;R$2&amp;R$1&amp;"C"&amp;$A25)+$A$4*$A$4*RTD("tos.rtd",,"VOLUME","."&amp;R$2&amp;R$1&amp;"P"&amp;$A25)*RTD("tos.rtd",,"GAMMA","."&amp;R$2&amp;R$1&amp;"P"&amp;$A25))/1000000,($A$4*$A$4*RTD("tos.rtd",,"VOLUME","."&amp;R$2&amp;R$1&amp;"C"&amp;$A25)*RTD("tos.rtd",,"GAMMA","."&amp;R$2&amp;R$1&amp;"C"&amp;$A25)-$A$4*$A$4*RTD("tos.rtd",,"VOLUME","."&amp;R$2&amp;R$1&amp;"P"&amp;$A25)*RTD("tos.rtd",,"GAMMA","."&amp;R$2&amp;R$1&amp;"P"&amp;$A25))/1000000),0),IF($A$2="GEX",IFERROR(IF($X$1="ABS",($A$4*$A$4*RTD("tos.rtd",,"OPEN_INT","."&amp;R$2&amp;R$1&amp;"C"&amp;$A25)*RTD("tos.rtd",,"GAMMA","."&amp;R$2&amp;R$1&amp;"C"&amp;$A25)+$A$4*$A$4*RTD("tos.rtd",,"OPEN_INT","."&amp;R$2&amp;R$1&amp;"P"&amp;$A25)*RTD("tos.rtd",,"GAMMA","."&amp;R$2&amp;R$1&amp;"P"&amp;$A25))/1000000,($A$4*$A$4*RTD("tos.rtd",,"OPEN_INT","."&amp;R$2&amp;R$1&amp;"C"&amp;$A25)*RTD("tos.rtd",,"GAMMA","."&amp;R$2&amp;R$1&amp;"C"&amp;$A25)-$A$4*$A$4*RTD("tos.rtd",,"OPEN_INT","."&amp;R$2&amp;R$1&amp;"P"&amp;$A25)*RTD("tos.rtd",,"GAMMA","."&amp;R$2&amp;R$1&amp;"P"&amp;$A25))/1000000),0),IF($A$2="SKEW",IFERROR(VALUE(IF(RTD("tos.rtd",,"IMPL_VOL","."&amp;R$2&amp;R$1&amp;"P"&amp;$A25)="N/A",0,RTD("tos.rtd",,"IMPL_VOL","."&amp;R$2&amp;R$1&amp;"P"&amp;$A25))),0)-IFERROR(VALUE(IF(RTD("tos.rtd",,"IMPL_VOL","."&amp;R$2&amp;R$1&amp;"C"&amp;$A25)="N/A",0,RTD("tos.rtd",,"IMPL_VOL","."&amp;R$2&amp;R$1&amp;"C"&amp;$A25))),0),IF($A$2="MAXPAIN",IF($A$4&gt;$A25,($A$4-$A25)*IF(RTD("tos.rtd",,"OPEN_INT","."&amp;R$2&amp;R$1&amp;"C"&amp;$A25)="N/A",0,RTD("tos.rtd",,"OPEN_INT","."&amp;R$2&amp;R$1&amp;"C"&amp;$A25)),0)+IF($A$4&lt;$A25,($A$5-$A$4)*IF(RTD("tos.rtd",,"OPEN_INT","."&amp;R$2&amp;R$1&amp;"P"&amp;$A25)="N/A",0,RTD("tos.rtd",,"OPEN_INT","."&amp;R$2&amp;R$1&amp;"P"&amp;$A25)),0),IF($X$1="ABS",IF(RTD("tos.rtd",,$A$2,"."&amp;R$2&amp;R$1&amp;"C"&amp;$A25)="N/A",0,RTD("tos.rtd",,$A$2,"."&amp;R$2&amp;R$1&amp;"C"&amp;$A25))+IF(RTD("tos.rtd",,$A$2,"."&amp;R$2&amp;R$1&amp;"P"&amp;$A25)="N/A",0,RTD("tos.rtd",,$A$2,"."&amp;R$2&amp;R$1&amp;"P"&amp;$A25)),IF(RTD("tos.rtd",,$A$2,"."&amp;R$2&amp;R$1&amp;"C"&amp;$A25)="N/A",0,RTD("tos.rtd",,$A$2,"."&amp;R$2&amp;R$1&amp;"C"&amp;$A25))-IF(RTD("tos.rtd",,$A$2,"."&amp;R$2&amp;R$1&amp;"P"&amp;$A25)="N/A",0,RTD("tos.rtd",,$A$2,"."&amp;R$2&amp;R$1&amp;"P"&amp;$A25))))))))))</f>
        <v>0</v>
      </c>
      <c r="S25" s="12">
        <f ca="1">IF($A$2="PREMIUM_OI",IFERROR(IF($X$1="ABS",(100*RTD("tos.rtd",,"OPEN_INT","."&amp;S$2&amp;S$1&amp;"C"&amp;$A25)*RTD("tos.rtd",,"LAST","."&amp;S$2&amp;S$1&amp;"C"&amp;$A25)+100*RTD("tos.rtd",,"OPEN_INT","."&amp;S$2&amp;S$1&amp;"P"&amp;$A25)*RTD("tos.rtd",,"LAST","."&amp;S$2&amp;S$1&amp;"P"&amp;$A25))/1000000,(100*RTD("tos.rtd",,"OPEN_INT","."&amp;S$2&amp;S$1&amp;"C"&amp;$A25)*RTD("tos.rtd",,"LAST","."&amp;S$2&amp;S$1&amp;"C"&amp;$A25)-100*RTD("tos.rtd",,"OPEN_INT","."&amp;S$2&amp;S$1&amp;"P"&amp;$A25)*RTD("tos.rtd",,"LAST","."&amp;S$2&amp;S$1&amp;"P"&amp;$A25))/1000000),0),IF($A$2="PREMIUM",IFERROR(IF($X$1="ABS",(100*RTD("tos.rtd",,"VOLUME","."&amp;S$2&amp;S$1&amp;"C"&amp;$A25)*RTD("tos.rtd",,"LAST","."&amp;S$2&amp;S$1&amp;"C"&amp;$A25)+100*RTD("tos.rtd",,"VOLUME","."&amp;S$2&amp;S$1&amp;"P"&amp;$A25)*RTD("tos.rtd",,"LAST","."&amp;S$2&amp;S$1&amp;"P"&amp;$A25))/1000000,(100*RTD("tos.rtd",,"VOLUME","."&amp;S$2&amp;S$1&amp;"C"&amp;$A25)*RTD("tos.rtd",,"LAST","."&amp;S$2&amp;S$1&amp;"C"&amp;$A25)-100*RTD("tos.rtd",,"VOLUME","."&amp;S$2&amp;S$1&amp;"P"&amp;$A25)*RTD("tos.rtd",,"LAST","."&amp;S$2&amp;S$1&amp;"P"&amp;$A25))/1000000),0),IF($A$2="DEX",IFERROR(IF($X$1="ABS",(100*RTD("tos.rtd",,"OPEN_INT","."&amp;S$2&amp;S$1&amp;"C"&amp;$A25)*RTD("tos.rtd",,"DELTA","."&amp;S$2&amp;S$1&amp;"C"&amp;$A25)+100*RTD("tos.rtd",,"OPEN_INT","."&amp;S$2&amp;S$1&amp;"P"&amp;$A25)*RTD("tos.rtd",,"DELTA","."&amp;S$2&amp;S$1&amp;"P"&amp;$A25))/1000,(100*RTD("tos.rtd",,"OPEN_INT","."&amp;S$2&amp;S$1&amp;"C"&amp;$A25)*RTD("tos.rtd",,"DELTA","."&amp;S$2&amp;S$1&amp;"C"&amp;$A25)-100*RTD("tos.rtd",,"OPEN_INT","."&amp;S$2&amp;S$1&amp;"P"&amp;$A25)*RTD("tos.rtd",,"DELTA","."&amp;S$2&amp;S$1&amp;"P"&amp;$A25))/1000),0),IF($A$2="VEX",IFERROR(IF($X$1="ABS",($A$4*$A$4*RTD("tos.rtd",,"VOLUME","."&amp;S$2&amp;S$1&amp;"C"&amp;$A25)*RTD("tos.rtd",,"GAMMA","."&amp;S$2&amp;S$1&amp;"C"&amp;$A25)+$A$4*$A$4*RTD("tos.rtd",,"VOLUME","."&amp;S$2&amp;S$1&amp;"P"&amp;$A25)*RTD("tos.rtd",,"GAMMA","."&amp;S$2&amp;S$1&amp;"P"&amp;$A25))/1000000,($A$4*$A$4*RTD("tos.rtd",,"VOLUME","."&amp;S$2&amp;S$1&amp;"C"&amp;$A25)*RTD("tos.rtd",,"GAMMA","."&amp;S$2&amp;S$1&amp;"C"&amp;$A25)-$A$4*$A$4*RTD("tos.rtd",,"VOLUME","."&amp;S$2&amp;S$1&amp;"P"&amp;$A25)*RTD("tos.rtd",,"GAMMA","."&amp;S$2&amp;S$1&amp;"P"&amp;$A25))/1000000),0),IF($A$2="GEX",IFERROR(IF($X$1="ABS",($A$4*$A$4*RTD("tos.rtd",,"OPEN_INT","."&amp;S$2&amp;S$1&amp;"C"&amp;$A25)*RTD("tos.rtd",,"GAMMA","."&amp;S$2&amp;S$1&amp;"C"&amp;$A25)+$A$4*$A$4*RTD("tos.rtd",,"OPEN_INT","."&amp;S$2&amp;S$1&amp;"P"&amp;$A25)*RTD("tos.rtd",,"GAMMA","."&amp;S$2&amp;S$1&amp;"P"&amp;$A25))/1000000,($A$4*$A$4*RTD("tos.rtd",,"OPEN_INT","."&amp;S$2&amp;S$1&amp;"C"&amp;$A25)*RTD("tos.rtd",,"GAMMA","."&amp;S$2&amp;S$1&amp;"C"&amp;$A25)-$A$4*$A$4*RTD("tos.rtd",,"OPEN_INT","."&amp;S$2&amp;S$1&amp;"P"&amp;$A25)*RTD("tos.rtd",,"GAMMA","."&amp;S$2&amp;S$1&amp;"P"&amp;$A25))/1000000),0),IF($A$2="SKEW",IFERROR(VALUE(IF(RTD("tos.rtd",,"IMPL_VOL","."&amp;S$2&amp;S$1&amp;"P"&amp;$A25)="N/A",0,RTD("tos.rtd",,"IMPL_VOL","."&amp;S$2&amp;S$1&amp;"P"&amp;$A25))),0)-IFERROR(VALUE(IF(RTD("tos.rtd",,"IMPL_VOL","."&amp;S$2&amp;S$1&amp;"C"&amp;$A25)="N/A",0,RTD("tos.rtd",,"IMPL_VOL","."&amp;S$2&amp;S$1&amp;"C"&amp;$A25))),0),IF($A$2="MAXPAIN",IF($A$4&gt;$A25,($A$4-$A25)*IF(RTD("tos.rtd",,"OPEN_INT","."&amp;S$2&amp;S$1&amp;"C"&amp;$A25)="N/A",0,RTD("tos.rtd",,"OPEN_INT","."&amp;S$2&amp;S$1&amp;"C"&amp;$A25)),0)+IF($A$4&lt;$A25,($A$5-$A$4)*IF(RTD("tos.rtd",,"OPEN_INT","."&amp;S$2&amp;S$1&amp;"P"&amp;$A25)="N/A",0,RTD("tos.rtd",,"OPEN_INT","."&amp;S$2&amp;S$1&amp;"P"&amp;$A25)),0),IF($X$1="ABS",IF(RTD("tos.rtd",,$A$2,"."&amp;S$2&amp;S$1&amp;"C"&amp;$A25)="N/A",0,RTD("tos.rtd",,$A$2,"."&amp;S$2&amp;S$1&amp;"C"&amp;$A25))+IF(RTD("tos.rtd",,$A$2,"."&amp;S$2&amp;S$1&amp;"P"&amp;$A25)="N/A",0,RTD("tos.rtd",,$A$2,"."&amp;S$2&amp;S$1&amp;"P"&amp;$A25)),IF(RTD("tos.rtd",,$A$2,"."&amp;S$2&amp;S$1&amp;"C"&amp;$A25)="N/A",0,RTD("tos.rtd",,$A$2,"."&amp;S$2&amp;S$1&amp;"C"&amp;$A25))-IF(RTD("tos.rtd",,$A$2,"."&amp;S$2&amp;S$1&amp;"P"&amp;$A25)="N/A",0,RTD("tos.rtd",,$A$2,"."&amp;S$2&amp;S$1&amp;"P"&amp;$A25))))))))))</f>
        <v>0</v>
      </c>
      <c r="T25" s="12">
        <f ca="1">IF($A$2="PREMIUM_OI",IFERROR(IF($X$1="ABS",(100*RTD("tos.rtd",,"OPEN_INT","."&amp;T$2&amp;T$1&amp;"C"&amp;$A25)*RTD("tos.rtd",,"LAST","."&amp;T$2&amp;T$1&amp;"C"&amp;$A25)+100*RTD("tos.rtd",,"OPEN_INT","."&amp;T$2&amp;T$1&amp;"P"&amp;$A25)*RTD("tos.rtd",,"LAST","."&amp;T$2&amp;T$1&amp;"P"&amp;$A25))/1000000,(100*RTD("tos.rtd",,"OPEN_INT","."&amp;T$2&amp;T$1&amp;"C"&amp;$A25)*RTD("tos.rtd",,"LAST","."&amp;T$2&amp;T$1&amp;"C"&amp;$A25)-100*RTD("tos.rtd",,"OPEN_INT","."&amp;T$2&amp;T$1&amp;"P"&amp;$A25)*RTD("tos.rtd",,"LAST","."&amp;T$2&amp;T$1&amp;"P"&amp;$A25))/1000000),0),IF($A$2="PREMIUM",IFERROR(IF($X$1="ABS",(100*RTD("tos.rtd",,"VOLUME","."&amp;T$2&amp;T$1&amp;"C"&amp;$A25)*RTD("tos.rtd",,"LAST","."&amp;T$2&amp;T$1&amp;"C"&amp;$A25)+100*RTD("tos.rtd",,"VOLUME","."&amp;T$2&amp;T$1&amp;"P"&amp;$A25)*RTD("tos.rtd",,"LAST","."&amp;T$2&amp;T$1&amp;"P"&amp;$A25))/1000000,(100*RTD("tos.rtd",,"VOLUME","."&amp;T$2&amp;T$1&amp;"C"&amp;$A25)*RTD("tos.rtd",,"LAST","."&amp;T$2&amp;T$1&amp;"C"&amp;$A25)-100*RTD("tos.rtd",,"VOLUME","."&amp;T$2&amp;T$1&amp;"P"&amp;$A25)*RTD("tos.rtd",,"LAST","."&amp;T$2&amp;T$1&amp;"P"&amp;$A25))/1000000),0),IF($A$2="DEX",IFERROR(IF($X$1="ABS",(100*RTD("tos.rtd",,"OPEN_INT","."&amp;T$2&amp;T$1&amp;"C"&amp;$A25)*RTD("tos.rtd",,"DELTA","."&amp;T$2&amp;T$1&amp;"C"&amp;$A25)+100*RTD("tos.rtd",,"OPEN_INT","."&amp;T$2&amp;T$1&amp;"P"&amp;$A25)*RTD("tos.rtd",,"DELTA","."&amp;T$2&amp;T$1&amp;"P"&amp;$A25))/1000,(100*RTD("tos.rtd",,"OPEN_INT","."&amp;T$2&amp;T$1&amp;"C"&amp;$A25)*RTD("tos.rtd",,"DELTA","."&amp;T$2&amp;T$1&amp;"C"&amp;$A25)-100*RTD("tos.rtd",,"OPEN_INT","."&amp;T$2&amp;T$1&amp;"P"&amp;$A25)*RTD("tos.rtd",,"DELTA","."&amp;T$2&amp;T$1&amp;"P"&amp;$A25))/1000),0),IF($A$2="VEX",IFERROR(IF($X$1="ABS",($A$4*$A$4*RTD("tos.rtd",,"VOLUME","."&amp;T$2&amp;T$1&amp;"C"&amp;$A25)*RTD("tos.rtd",,"GAMMA","."&amp;T$2&amp;T$1&amp;"C"&amp;$A25)+$A$4*$A$4*RTD("tos.rtd",,"VOLUME","."&amp;T$2&amp;T$1&amp;"P"&amp;$A25)*RTD("tos.rtd",,"GAMMA","."&amp;T$2&amp;T$1&amp;"P"&amp;$A25))/1000000,($A$4*$A$4*RTD("tos.rtd",,"VOLUME","."&amp;T$2&amp;T$1&amp;"C"&amp;$A25)*RTD("tos.rtd",,"GAMMA","."&amp;T$2&amp;T$1&amp;"C"&amp;$A25)-$A$4*$A$4*RTD("tos.rtd",,"VOLUME","."&amp;T$2&amp;T$1&amp;"P"&amp;$A25)*RTD("tos.rtd",,"GAMMA","."&amp;T$2&amp;T$1&amp;"P"&amp;$A25))/1000000),0),IF($A$2="GEX",IFERROR(IF($X$1="ABS",($A$4*$A$4*RTD("tos.rtd",,"OPEN_INT","."&amp;T$2&amp;T$1&amp;"C"&amp;$A25)*RTD("tos.rtd",,"GAMMA","."&amp;T$2&amp;T$1&amp;"C"&amp;$A25)+$A$4*$A$4*RTD("tos.rtd",,"OPEN_INT","."&amp;T$2&amp;T$1&amp;"P"&amp;$A25)*RTD("tos.rtd",,"GAMMA","."&amp;T$2&amp;T$1&amp;"P"&amp;$A25))/1000000,($A$4*$A$4*RTD("tos.rtd",,"OPEN_INT","."&amp;T$2&amp;T$1&amp;"C"&amp;$A25)*RTD("tos.rtd",,"GAMMA","."&amp;T$2&amp;T$1&amp;"C"&amp;$A25)-$A$4*$A$4*RTD("tos.rtd",,"OPEN_INT","."&amp;T$2&amp;T$1&amp;"P"&amp;$A25)*RTD("tos.rtd",,"GAMMA","."&amp;T$2&amp;T$1&amp;"P"&amp;$A25))/1000000),0),IF($A$2="SKEW",IFERROR(VALUE(IF(RTD("tos.rtd",,"IMPL_VOL","."&amp;T$2&amp;T$1&amp;"P"&amp;$A25)="N/A",0,RTD("tos.rtd",,"IMPL_VOL","."&amp;T$2&amp;T$1&amp;"P"&amp;$A25))),0)-IFERROR(VALUE(IF(RTD("tos.rtd",,"IMPL_VOL","."&amp;T$2&amp;T$1&amp;"C"&amp;$A25)="N/A",0,RTD("tos.rtd",,"IMPL_VOL","."&amp;T$2&amp;T$1&amp;"C"&amp;$A25))),0),IF($A$2="MAXPAIN",IF($A$4&gt;$A25,($A$4-$A25)*IF(RTD("tos.rtd",,"OPEN_INT","."&amp;T$2&amp;T$1&amp;"C"&amp;$A25)="N/A",0,RTD("tos.rtd",,"OPEN_INT","."&amp;T$2&amp;T$1&amp;"C"&amp;$A25)),0)+IF($A$4&lt;$A25,($A$5-$A$4)*IF(RTD("tos.rtd",,"OPEN_INT","."&amp;T$2&amp;T$1&amp;"P"&amp;$A25)="N/A",0,RTD("tos.rtd",,"OPEN_INT","."&amp;T$2&amp;T$1&amp;"P"&amp;$A25)),0),IF($X$1="ABS",IF(RTD("tos.rtd",,$A$2,"."&amp;T$2&amp;T$1&amp;"C"&amp;$A25)="N/A",0,RTD("tos.rtd",,$A$2,"."&amp;T$2&amp;T$1&amp;"C"&amp;$A25))+IF(RTD("tos.rtd",,$A$2,"."&amp;T$2&amp;T$1&amp;"P"&amp;$A25)="N/A",0,RTD("tos.rtd",,$A$2,"."&amp;T$2&amp;T$1&amp;"P"&amp;$A25)),IF(RTD("tos.rtd",,$A$2,"."&amp;T$2&amp;T$1&amp;"C"&amp;$A25)="N/A",0,RTD("tos.rtd",,$A$2,"."&amp;T$2&amp;T$1&amp;"C"&amp;$A25))-IF(RTD("tos.rtd",,$A$2,"."&amp;T$2&amp;T$1&amp;"P"&amp;$A25)="N/A",0,RTD("tos.rtd",,$A$2,"."&amp;T$2&amp;T$1&amp;"P"&amp;$A25))))))))))</f>
        <v>0</v>
      </c>
      <c r="U25" s="12">
        <f ca="1">IF($A$2="PREMIUM_OI",IFERROR(IF($X$1="ABS",(100*RTD("tos.rtd",,"OPEN_INT","."&amp;U$2&amp;U$1&amp;"C"&amp;$A25)*RTD("tos.rtd",,"LAST","."&amp;U$2&amp;U$1&amp;"C"&amp;$A25)+100*RTD("tos.rtd",,"OPEN_INT","."&amp;U$2&amp;U$1&amp;"P"&amp;$A25)*RTD("tos.rtd",,"LAST","."&amp;U$2&amp;U$1&amp;"P"&amp;$A25))/1000000,(100*RTD("tos.rtd",,"OPEN_INT","."&amp;U$2&amp;U$1&amp;"C"&amp;$A25)*RTD("tos.rtd",,"LAST","."&amp;U$2&amp;U$1&amp;"C"&amp;$A25)-100*RTD("tos.rtd",,"OPEN_INT","."&amp;U$2&amp;U$1&amp;"P"&amp;$A25)*RTD("tos.rtd",,"LAST","."&amp;U$2&amp;U$1&amp;"P"&amp;$A25))/1000000),0),IF($A$2="PREMIUM",IFERROR(IF($X$1="ABS",(100*RTD("tos.rtd",,"VOLUME","."&amp;U$2&amp;U$1&amp;"C"&amp;$A25)*RTD("tos.rtd",,"LAST","."&amp;U$2&amp;U$1&amp;"C"&amp;$A25)+100*RTD("tos.rtd",,"VOLUME","."&amp;U$2&amp;U$1&amp;"P"&amp;$A25)*RTD("tos.rtd",,"LAST","."&amp;U$2&amp;U$1&amp;"P"&amp;$A25))/1000000,(100*RTD("tos.rtd",,"VOLUME","."&amp;U$2&amp;U$1&amp;"C"&amp;$A25)*RTD("tos.rtd",,"LAST","."&amp;U$2&amp;U$1&amp;"C"&amp;$A25)-100*RTD("tos.rtd",,"VOLUME","."&amp;U$2&amp;U$1&amp;"P"&amp;$A25)*RTD("tos.rtd",,"LAST","."&amp;U$2&amp;U$1&amp;"P"&amp;$A25))/1000000),0),IF($A$2="DEX",IFERROR(IF($X$1="ABS",(100*RTD("tos.rtd",,"OPEN_INT","."&amp;U$2&amp;U$1&amp;"C"&amp;$A25)*RTD("tos.rtd",,"DELTA","."&amp;U$2&amp;U$1&amp;"C"&amp;$A25)+100*RTD("tos.rtd",,"OPEN_INT","."&amp;U$2&amp;U$1&amp;"P"&amp;$A25)*RTD("tos.rtd",,"DELTA","."&amp;U$2&amp;U$1&amp;"P"&amp;$A25))/1000,(100*RTD("tos.rtd",,"OPEN_INT","."&amp;U$2&amp;U$1&amp;"C"&amp;$A25)*RTD("tos.rtd",,"DELTA","."&amp;U$2&amp;U$1&amp;"C"&amp;$A25)-100*RTD("tos.rtd",,"OPEN_INT","."&amp;U$2&amp;U$1&amp;"P"&amp;$A25)*RTD("tos.rtd",,"DELTA","."&amp;U$2&amp;U$1&amp;"P"&amp;$A25))/1000),0),IF($A$2="VEX",IFERROR(IF($X$1="ABS",($A$4*$A$4*RTD("tos.rtd",,"VOLUME","."&amp;U$2&amp;U$1&amp;"C"&amp;$A25)*RTD("tos.rtd",,"GAMMA","."&amp;U$2&amp;U$1&amp;"C"&amp;$A25)+$A$4*$A$4*RTD("tos.rtd",,"VOLUME","."&amp;U$2&amp;U$1&amp;"P"&amp;$A25)*RTD("tos.rtd",,"GAMMA","."&amp;U$2&amp;U$1&amp;"P"&amp;$A25))/1000000,($A$4*$A$4*RTD("tos.rtd",,"VOLUME","."&amp;U$2&amp;U$1&amp;"C"&amp;$A25)*RTD("tos.rtd",,"GAMMA","."&amp;U$2&amp;U$1&amp;"C"&amp;$A25)-$A$4*$A$4*RTD("tos.rtd",,"VOLUME","."&amp;U$2&amp;U$1&amp;"P"&amp;$A25)*RTD("tos.rtd",,"GAMMA","."&amp;U$2&amp;U$1&amp;"P"&amp;$A25))/1000000),0),IF($A$2="GEX",IFERROR(IF($X$1="ABS",($A$4*$A$4*RTD("tos.rtd",,"OPEN_INT","."&amp;U$2&amp;U$1&amp;"C"&amp;$A25)*RTD("tos.rtd",,"GAMMA","."&amp;U$2&amp;U$1&amp;"C"&amp;$A25)+$A$4*$A$4*RTD("tos.rtd",,"OPEN_INT","."&amp;U$2&amp;U$1&amp;"P"&amp;$A25)*RTD("tos.rtd",,"GAMMA","."&amp;U$2&amp;U$1&amp;"P"&amp;$A25))/1000000,($A$4*$A$4*RTD("tos.rtd",,"OPEN_INT","."&amp;U$2&amp;U$1&amp;"C"&amp;$A25)*RTD("tos.rtd",,"GAMMA","."&amp;U$2&amp;U$1&amp;"C"&amp;$A25)-$A$4*$A$4*RTD("tos.rtd",,"OPEN_INT","."&amp;U$2&amp;U$1&amp;"P"&amp;$A25)*RTD("tos.rtd",,"GAMMA","."&amp;U$2&amp;U$1&amp;"P"&amp;$A25))/1000000),0),IF($A$2="SKEW",IFERROR(VALUE(IF(RTD("tos.rtd",,"IMPL_VOL","."&amp;U$2&amp;U$1&amp;"P"&amp;$A25)="N/A",0,RTD("tos.rtd",,"IMPL_VOL","."&amp;U$2&amp;U$1&amp;"P"&amp;$A25))),0)-IFERROR(VALUE(IF(RTD("tos.rtd",,"IMPL_VOL","."&amp;U$2&amp;U$1&amp;"C"&amp;$A25)="N/A",0,RTD("tos.rtd",,"IMPL_VOL","."&amp;U$2&amp;U$1&amp;"C"&amp;$A25))),0),IF($A$2="MAXPAIN",IF($A$4&gt;$A25,($A$4-$A25)*IF(RTD("tos.rtd",,"OPEN_INT","."&amp;U$2&amp;U$1&amp;"C"&amp;$A25)="N/A",0,RTD("tos.rtd",,"OPEN_INT","."&amp;U$2&amp;U$1&amp;"C"&amp;$A25)),0)+IF($A$4&lt;$A25,($A$5-$A$4)*IF(RTD("tos.rtd",,"OPEN_INT","."&amp;U$2&amp;U$1&amp;"P"&amp;$A25)="N/A",0,RTD("tos.rtd",,"OPEN_INT","."&amp;U$2&amp;U$1&amp;"P"&amp;$A25)),0),IF($X$1="ABS",IF(RTD("tos.rtd",,$A$2,"."&amp;U$2&amp;U$1&amp;"C"&amp;$A25)="N/A",0,RTD("tos.rtd",,$A$2,"."&amp;U$2&amp;U$1&amp;"C"&amp;$A25))+IF(RTD("tos.rtd",,$A$2,"."&amp;U$2&amp;U$1&amp;"P"&amp;$A25)="N/A",0,RTD("tos.rtd",,$A$2,"."&amp;U$2&amp;U$1&amp;"P"&amp;$A25)),IF(RTD("tos.rtd",,$A$2,"."&amp;U$2&amp;U$1&amp;"C"&amp;$A25)="N/A",0,RTD("tos.rtd",,$A$2,"."&amp;U$2&amp;U$1&amp;"C"&amp;$A25))-IF(RTD("tos.rtd",,$A$2,"."&amp;U$2&amp;U$1&amp;"P"&amp;$A25)="N/A",0,RTD("tos.rtd",,$A$2,"."&amp;U$2&amp;U$1&amp;"P"&amp;$A25))))))))))</f>
        <v>0</v>
      </c>
      <c r="V25" s="12">
        <f ca="1">IF($A$2="PREMIUM_OI",IFERROR(IF($X$1="ABS",(100*RTD("tos.rtd",,"OPEN_INT","."&amp;V$2&amp;V$1&amp;"C"&amp;$A25)*RTD("tos.rtd",,"LAST","."&amp;V$2&amp;V$1&amp;"C"&amp;$A25)+100*RTD("tos.rtd",,"OPEN_INT","."&amp;V$2&amp;V$1&amp;"P"&amp;$A25)*RTD("tos.rtd",,"LAST","."&amp;V$2&amp;V$1&amp;"P"&amp;$A25))/1000000,(100*RTD("tos.rtd",,"OPEN_INT","."&amp;V$2&amp;V$1&amp;"C"&amp;$A25)*RTD("tos.rtd",,"LAST","."&amp;V$2&amp;V$1&amp;"C"&amp;$A25)-100*RTD("tos.rtd",,"OPEN_INT","."&amp;V$2&amp;V$1&amp;"P"&amp;$A25)*RTD("tos.rtd",,"LAST","."&amp;V$2&amp;V$1&amp;"P"&amp;$A25))/1000000),0),IF($A$2="PREMIUM",IFERROR(IF($X$1="ABS",(100*RTD("tos.rtd",,"VOLUME","."&amp;V$2&amp;V$1&amp;"C"&amp;$A25)*RTD("tos.rtd",,"LAST","."&amp;V$2&amp;V$1&amp;"C"&amp;$A25)+100*RTD("tos.rtd",,"VOLUME","."&amp;V$2&amp;V$1&amp;"P"&amp;$A25)*RTD("tos.rtd",,"LAST","."&amp;V$2&amp;V$1&amp;"P"&amp;$A25))/1000000,(100*RTD("tos.rtd",,"VOLUME","."&amp;V$2&amp;V$1&amp;"C"&amp;$A25)*RTD("tos.rtd",,"LAST","."&amp;V$2&amp;V$1&amp;"C"&amp;$A25)-100*RTD("tos.rtd",,"VOLUME","."&amp;V$2&amp;V$1&amp;"P"&amp;$A25)*RTD("tos.rtd",,"LAST","."&amp;V$2&amp;V$1&amp;"P"&amp;$A25))/1000000),0),IF($A$2="DEX",IFERROR(IF($X$1="ABS",(100*RTD("tos.rtd",,"OPEN_INT","."&amp;V$2&amp;V$1&amp;"C"&amp;$A25)*RTD("tos.rtd",,"DELTA","."&amp;V$2&amp;V$1&amp;"C"&amp;$A25)+100*RTD("tos.rtd",,"OPEN_INT","."&amp;V$2&amp;V$1&amp;"P"&amp;$A25)*RTD("tos.rtd",,"DELTA","."&amp;V$2&amp;V$1&amp;"P"&amp;$A25))/1000,(100*RTD("tos.rtd",,"OPEN_INT","."&amp;V$2&amp;V$1&amp;"C"&amp;$A25)*RTD("tos.rtd",,"DELTA","."&amp;V$2&amp;V$1&amp;"C"&amp;$A25)-100*RTD("tos.rtd",,"OPEN_INT","."&amp;V$2&amp;V$1&amp;"P"&amp;$A25)*RTD("tos.rtd",,"DELTA","."&amp;V$2&amp;V$1&amp;"P"&amp;$A25))/1000),0),IF($A$2="VEX",IFERROR(IF($X$1="ABS",($A$4*$A$4*RTD("tos.rtd",,"VOLUME","."&amp;V$2&amp;V$1&amp;"C"&amp;$A25)*RTD("tos.rtd",,"GAMMA","."&amp;V$2&amp;V$1&amp;"C"&amp;$A25)+$A$4*$A$4*RTD("tos.rtd",,"VOLUME","."&amp;V$2&amp;V$1&amp;"P"&amp;$A25)*RTD("tos.rtd",,"GAMMA","."&amp;V$2&amp;V$1&amp;"P"&amp;$A25))/1000000,($A$4*$A$4*RTD("tos.rtd",,"VOLUME","."&amp;V$2&amp;V$1&amp;"C"&amp;$A25)*RTD("tos.rtd",,"GAMMA","."&amp;V$2&amp;V$1&amp;"C"&amp;$A25)-$A$4*$A$4*RTD("tos.rtd",,"VOLUME","."&amp;V$2&amp;V$1&amp;"P"&amp;$A25)*RTD("tos.rtd",,"GAMMA","."&amp;V$2&amp;V$1&amp;"P"&amp;$A25))/1000000),0),IF($A$2="GEX",IFERROR(IF($X$1="ABS",($A$4*$A$4*RTD("tos.rtd",,"OPEN_INT","."&amp;V$2&amp;V$1&amp;"C"&amp;$A25)*RTD("tos.rtd",,"GAMMA","."&amp;V$2&amp;V$1&amp;"C"&amp;$A25)+$A$4*$A$4*RTD("tos.rtd",,"OPEN_INT","."&amp;V$2&amp;V$1&amp;"P"&amp;$A25)*RTD("tos.rtd",,"GAMMA","."&amp;V$2&amp;V$1&amp;"P"&amp;$A25))/1000000,($A$4*$A$4*RTD("tos.rtd",,"OPEN_INT","."&amp;V$2&amp;V$1&amp;"C"&amp;$A25)*RTD("tos.rtd",,"GAMMA","."&amp;V$2&amp;V$1&amp;"C"&amp;$A25)-$A$4*$A$4*RTD("tos.rtd",,"OPEN_INT","."&amp;V$2&amp;V$1&amp;"P"&amp;$A25)*RTD("tos.rtd",,"GAMMA","."&amp;V$2&amp;V$1&amp;"P"&amp;$A25))/1000000),0),IF($A$2="SKEW",IFERROR(VALUE(IF(RTD("tos.rtd",,"IMPL_VOL","."&amp;V$2&amp;V$1&amp;"P"&amp;$A25)="N/A",0,RTD("tos.rtd",,"IMPL_VOL","."&amp;V$2&amp;V$1&amp;"P"&amp;$A25))),0)-IFERROR(VALUE(IF(RTD("tos.rtd",,"IMPL_VOL","."&amp;V$2&amp;V$1&amp;"C"&amp;$A25)="N/A",0,RTD("tos.rtd",,"IMPL_VOL","."&amp;V$2&amp;V$1&amp;"C"&amp;$A25))),0),IF($A$2="MAXPAIN",IF($A$4&gt;$A25,($A$4-$A25)*IF(RTD("tos.rtd",,"OPEN_INT","."&amp;V$2&amp;V$1&amp;"C"&amp;$A25)="N/A",0,RTD("tos.rtd",,"OPEN_INT","."&amp;V$2&amp;V$1&amp;"C"&amp;$A25)),0)+IF($A$4&lt;$A25,($A$5-$A$4)*IF(RTD("tos.rtd",,"OPEN_INT","."&amp;V$2&amp;V$1&amp;"P"&amp;$A25)="N/A",0,RTD("tos.rtd",,"OPEN_INT","."&amp;V$2&amp;V$1&amp;"P"&amp;$A25)),0),IF($X$1="ABS",IF(RTD("tos.rtd",,$A$2,"."&amp;V$2&amp;V$1&amp;"C"&amp;$A25)="N/A",0,RTD("tos.rtd",,$A$2,"."&amp;V$2&amp;V$1&amp;"C"&amp;$A25))+IF(RTD("tos.rtd",,$A$2,"."&amp;V$2&amp;V$1&amp;"P"&amp;$A25)="N/A",0,RTD("tos.rtd",,$A$2,"."&amp;V$2&amp;V$1&amp;"P"&amp;$A25)),IF(RTD("tos.rtd",,$A$2,"."&amp;V$2&amp;V$1&amp;"C"&amp;$A25)="N/A",0,RTD("tos.rtd",,$A$2,"."&amp;V$2&amp;V$1&amp;"C"&amp;$A25))-IF(RTD("tos.rtd",,$A$2,"."&amp;V$2&amp;V$1&amp;"P"&amp;$A25)="N/A",0,RTD("tos.rtd",,$A$2,"."&amp;V$2&amp;V$1&amp;"P"&amp;$A25))))))))))</f>
        <v>0</v>
      </c>
      <c r="W25" s="12">
        <f ca="1">IF($A$2="PREMIUM_OI",IFERROR(IF($X$1="ABS",(100*RTD("tos.rtd",,"OPEN_INT","."&amp;W$2&amp;W$1&amp;"C"&amp;$A25)*RTD("tos.rtd",,"LAST","."&amp;W$2&amp;W$1&amp;"C"&amp;$A25)+100*RTD("tos.rtd",,"OPEN_INT","."&amp;W$2&amp;W$1&amp;"P"&amp;$A25)*RTD("tos.rtd",,"LAST","."&amp;W$2&amp;W$1&amp;"P"&amp;$A25))/1000000,(100*RTD("tos.rtd",,"OPEN_INT","."&amp;W$2&amp;W$1&amp;"C"&amp;$A25)*RTD("tos.rtd",,"LAST","."&amp;W$2&amp;W$1&amp;"C"&amp;$A25)-100*RTD("tos.rtd",,"OPEN_INT","."&amp;W$2&amp;W$1&amp;"P"&amp;$A25)*RTD("tos.rtd",,"LAST","."&amp;W$2&amp;W$1&amp;"P"&amp;$A25))/1000000),0),IF($A$2="PREMIUM",IFERROR(IF($X$1="ABS",(100*RTD("tos.rtd",,"VOLUME","."&amp;W$2&amp;W$1&amp;"C"&amp;$A25)*RTD("tos.rtd",,"LAST","."&amp;W$2&amp;W$1&amp;"C"&amp;$A25)+100*RTD("tos.rtd",,"VOLUME","."&amp;W$2&amp;W$1&amp;"P"&amp;$A25)*RTD("tos.rtd",,"LAST","."&amp;W$2&amp;W$1&amp;"P"&amp;$A25))/1000000,(100*RTD("tos.rtd",,"VOLUME","."&amp;W$2&amp;W$1&amp;"C"&amp;$A25)*RTD("tos.rtd",,"LAST","."&amp;W$2&amp;W$1&amp;"C"&amp;$A25)-100*RTD("tos.rtd",,"VOLUME","."&amp;W$2&amp;W$1&amp;"P"&amp;$A25)*RTD("tos.rtd",,"LAST","."&amp;W$2&amp;W$1&amp;"P"&amp;$A25))/1000000),0),IF($A$2="DEX",IFERROR(IF($X$1="ABS",(100*RTD("tos.rtd",,"OPEN_INT","."&amp;W$2&amp;W$1&amp;"C"&amp;$A25)*RTD("tos.rtd",,"DELTA","."&amp;W$2&amp;W$1&amp;"C"&amp;$A25)+100*RTD("tos.rtd",,"OPEN_INT","."&amp;W$2&amp;W$1&amp;"P"&amp;$A25)*RTD("tos.rtd",,"DELTA","."&amp;W$2&amp;W$1&amp;"P"&amp;$A25))/1000,(100*RTD("tos.rtd",,"OPEN_INT","."&amp;W$2&amp;W$1&amp;"C"&amp;$A25)*RTD("tos.rtd",,"DELTA","."&amp;W$2&amp;W$1&amp;"C"&amp;$A25)-100*RTD("tos.rtd",,"OPEN_INT","."&amp;W$2&amp;W$1&amp;"P"&amp;$A25)*RTD("tos.rtd",,"DELTA","."&amp;W$2&amp;W$1&amp;"P"&amp;$A25))/1000),0),IF($A$2="VEX",IFERROR(IF($X$1="ABS",($A$4*$A$4*RTD("tos.rtd",,"VOLUME","."&amp;W$2&amp;W$1&amp;"C"&amp;$A25)*RTD("tos.rtd",,"GAMMA","."&amp;W$2&amp;W$1&amp;"C"&amp;$A25)+$A$4*$A$4*RTD("tos.rtd",,"VOLUME","."&amp;W$2&amp;W$1&amp;"P"&amp;$A25)*RTD("tos.rtd",,"GAMMA","."&amp;W$2&amp;W$1&amp;"P"&amp;$A25))/1000000,($A$4*$A$4*RTD("tos.rtd",,"VOLUME","."&amp;W$2&amp;W$1&amp;"C"&amp;$A25)*RTD("tos.rtd",,"GAMMA","."&amp;W$2&amp;W$1&amp;"C"&amp;$A25)-$A$4*$A$4*RTD("tos.rtd",,"VOLUME","."&amp;W$2&amp;W$1&amp;"P"&amp;$A25)*RTD("tos.rtd",,"GAMMA","."&amp;W$2&amp;W$1&amp;"P"&amp;$A25))/1000000),0),IF($A$2="GEX",IFERROR(IF($X$1="ABS",($A$4*$A$4*RTD("tos.rtd",,"OPEN_INT","."&amp;W$2&amp;W$1&amp;"C"&amp;$A25)*RTD("tos.rtd",,"GAMMA","."&amp;W$2&amp;W$1&amp;"C"&amp;$A25)+$A$4*$A$4*RTD("tos.rtd",,"OPEN_INT","."&amp;W$2&amp;W$1&amp;"P"&amp;$A25)*RTD("tos.rtd",,"GAMMA","."&amp;W$2&amp;W$1&amp;"P"&amp;$A25))/1000000,($A$4*$A$4*RTD("tos.rtd",,"OPEN_INT","."&amp;W$2&amp;W$1&amp;"C"&amp;$A25)*RTD("tos.rtd",,"GAMMA","."&amp;W$2&amp;W$1&amp;"C"&amp;$A25)-$A$4*$A$4*RTD("tos.rtd",,"OPEN_INT","."&amp;W$2&amp;W$1&amp;"P"&amp;$A25)*RTD("tos.rtd",,"GAMMA","."&amp;W$2&amp;W$1&amp;"P"&amp;$A25))/1000000),0),IF($A$2="SKEW",IFERROR(VALUE(IF(RTD("tos.rtd",,"IMPL_VOL","."&amp;W$2&amp;W$1&amp;"P"&amp;$A25)="N/A",0,RTD("tos.rtd",,"IMPL_VOL","."&amp;W$2&amp;W$1&amp;"P"&amp;$A25))),0)-IFERROR(VALUE(IF(RTD("tos.rtd",,"IMPL_VOL","."&amp;W$2&amp;W$1&amp;"C"&amp;$A25)="N/A",0,RTD("tos.rtd",,"IMPL_VOL","."&amp;W$2&amp;W$1&amp;"C"&amp;$A25))),0),IF($A$2="MAXPAIN",IF($A$4&gt;$A25,($A$4-$A25)*IF(RTD("tos.rtd",,"OPEN_INT","."&amp;W$2&amp;W$1&amp;"C"&amp;$A25)="N/A",0,RTD("tos.rtd",,"OPEN_INT","."&amp;W$2&amp;W$1&amp;"C"&amp;$A25)),0)+IF($A$4&lt;$A25,($A$5-$A$4)*IF(RTD("tos.rtd",,"OPEN_INT","."&amp;W$2&amp;W$1&amp;"P"&amp;$A25)="N/A",0,RTD("tos.rtd",,"OPEN_INT","."&amp;W$2&amp;W$1&amp;"P"&amp;$A25)),0),IF($X$1="ABS",IF(RTD("tos.rtd",,$A$2,"."&amp;W$2&amp;W$1&amp;"C"&amp;$A25)="N/A",0,RTD("tos.rtd",,$A$2,"."&amp;W$2&amp;W$1&amp;"C"&amp;$A25))+IF(RTD("tos.rtd",,$A$2,"."&amp;W$2&amp;W$1&amp;"P"&amp;$A25)="N/A",0,RTD("tos.rtd",,$A$2,"."&amp;W$2&amp;W$1&amp;"P"&amp;$A25)),IF(RTD("tos.rtd",,$A$2,"."&amp;W$2&amp;W$1&amp;"C"&amp;$A25)="N/A",0,RTD("tos.rtd",,$A$2,"."&amp;W$2&amp;W$1&amp;"C"&amp;$A25))-IF(RTD("tos.rtd",,$A$2,"."&amp;W$2&amp;W$1&amp;"P"&amp;$A25)="N/A",0,RTD("tos.rtd",,$A$2,"."&amp;W$2&amp;W$1&amp;"P"&amp;$A25))))))))))</f>
        <v>0</v>
      </c>
      <c r="X25" s="57">
        <f t="shared" ca="1" si="7"/>
        <v>1991</v>
      </c>
      <c r="Y25" s="27">
        <f t="shared" ca="1" si="8"/>
        <v>1991</v>
      </c>
      <c r="Z25" s="27" t="b">
        <f t="shared" ca="1" si="9"/>
        <v>0</v>
      </c>
      <c r="AA25" s="27">
        <f t="shared" si="10"/>
        <v>60765900</v>
      </c>
      <c r="AB25" s="18">
        <f>MAX(0, $A25-AB$4)*IF(RTD("tos.rtd",,"OPEN_INT","."&amp;$AA$3&amp;$AA$4&amp;"C"&amp;AB$4)="N/A",0,RTD("tos.rtd",,"OPEN_INT","."&amp;$AA$3&amp;$AA$4&amp;"C"&amp;AB$4))*100 + MAX(0, AB$4-$A25)*IF(RTD("tos.rtd",,"OPEN_INT","."&amp;$AA$3&amp;$AA$4&amp;"P"&amp;AB$4)="N/A",0,RTD("tos.rtd",,"OPEN_INT","."&amp;$AA$3&amp;$AA$4&amp;"P"&amp;AB$4))*100</f>
        <v>0</v>
      </c>
      <c r="AC25" s="18">
        <f>MAX(0, $A25-AC$4)*IF(RTD("tos.rtd",,"OPEN_INT","."&amp;$AA$3&amp;$AA$4&amp;"C"&amp;AC$4)="N/A",0,RTD("tos.rtd",,"OPEN_INT","."&amp;$AA$3&amp;$AA$4&amp;"C"&amp;AC$4))*100 + MAX(0, AC$4-$A25)*IF(RTD("tos.rtd",,"OPEN_INT","."&amp;$AA$3&amp;$AA$4&amp;"P"&amp;AC$4)="N/A",0,RTD("tos.rtd",,"OPEN_INT","."&amp;$AA$3&amp;$AA$4&amp;"P"&amp;AC$4))*100</f>
        <v>0</v>
      </c>
      <c r="AD25" s="18">
        <f>MAX(0, $A25-AD$4)*IF(RTD("tos.rtd",,"OPEN_INT","."&amp;$AA$3&amp;$AA$4&amp;"C"&amp;AD$4)="N/A",0,RTD("tos.rtd",,"OPEN_INT","."&amp;$AA$3&amp;$AA$4&amp;"C"&amp;AD$4))*100 + MAX(0, AD$4-$A25)*IF(RTD("tos.rtd",,"OPEN_INT","."&amp;$AA$3&amp;$AA$4&amp;"P"&amp;AD$4)="N/A",0,RTD("tos.rtd",,"OPEN_INT","."&amp;$AA$3&amp;$AA$4&amp;"P"&amp;AD$4))*100</f>
        <v>0</v>
      </c>
      <c r="AE25" s="18">
        <f>MAX(0, $A25-AE$4)*IF(RTD("tos.rtd",,"OPEN_INT","."&amp;$AA$3&amp;$AA$4&amp;"C"&amp;AE$4)="N/A",0,RTD("tos.rtd",,"OPEN_INT","."&amp;$AA$3&amp;$AA$4&amp;"C"&amp;AE$4))*100 + MAX(0, AE$4-$A25)*IF(RTD("tos.rtd",,"OPEN_INT","."&amp;$AA$3&amp;$AA$4&amp;"P"&amp;AE$4)="N/A",0,RTD("tos.rtd",,"OPEN_INT","."&amp;$AA$3&amp;$AA$4&amp;"P"&amp;AE$4))*100</f>
        <v>0</v>
      </c>
      <c r="AF25" s="18">
        <f>MAX(0, $A25-AF$4)*IF(RTD("tos.rtd",,"OPEN_INT","."&amp;$AA$3&amp;$AA$4&amp;"C"&amp;AF$4)="N/A",0,RTD("tos.rtd",,"OPEN_INT","."&amp;$AA$3&amp;$AA$4&amp;"C"&amp;AF$4))*100 + MAX(0, AF$4-$A25)*IF(RTD("tos.rtd",,"OPEN_INT","."&amp;$AA$3&amp;$AA$4&amp;"P"&amp;AF$4)="N/A",0,RTD("tos.rtd",,"OPEN_INT","."&amp;$AA$3&amp;$AA$4&amp;"P"&amp;AF$4))*100</f>
        <v>0</v>
      </c>
      <c r="AG25" s="18">
        <f>MAX(0, $A25-AG$4)*IF(RTD("tos.rtd",,"OPEN_INT","."&amp;$AA$3&amp;$AA$4&amp;"C"&amp;AG$4)="N/A",0,RTD("tos.rtd",,"OPEN_INT","."&amp;$AA$3&amp;$AA$4&amp;"C"&amp;AG$4))*100 + MAX(0, AG$4-$A25)*IF(RTD("tos.rtd",,"OPEN_INT","."&amp;$AA$3&amp;$AA$4&amp;"P"&amp;AG$4)="N/A",0,RTD("tos.rtd",,"OPEN_INT","."&amp;$AA$3&amp;$AA$4&amp;"P"&amp;AG$4))*100</f>
        <v>0</v>
      </c>
      <c r="AH25" s="18">
        <f>MAX(0, $A25-AH$4)*IF(RTD("tos.rtd",,"OPEN_INT","."&amp;$AA$3&amp;$AA$4&amp;"C"&amp;AH$4)="N/A",0,RTD("tos.rtd",,"OPEN_INT","."&amp;$AA$3&amp;$AA$4&amp;"C"&amp;AH$4))*100 + MAX(0, AH$4-$A25)*IF(RTD("tos.rtd",,"OPEN_INT","."&amp;$AA$3&amp;$AA$4&amp;"P"&amp;AH$4)="N/A",0,RTD("tos.rtd",,"OPEN_INT","."&amp;$AA$3&amp;$AA$4&amp;"P"&amp;AH$4))*100</f>
        <v>0</v>
      </c>
      <c r="AI25" s="18">
        <f>MAX(0, $A25-AI$4)*IF(RTD("tos.rtd",,"OPEN_INT","."&amp;$AA$3&amp;$AA$4&amp;"C"&amp;AI$4)="N/A",0,RTD("tos.rtd",,"OPEN_INT","."&amp;$AA$3&amp;$AA$4&amp;"C"&amp;AI$4))*100 + MAX(0, AI$4-$A25)*IF(RTD("tos.rtd",,"OPEN_INT","."&amp;$AA$3&amp;$AA$4&amp;"P"&amp;AI$4)="N/A",0,RTD("tos.rtd",,"OPEN_INT","."&amp;$AA$3&amp;$AA$4&amp;"P"&amp;AI$4))*100</f>
        <v>1950</v>
      </c>
      <c r="AJ25" s="18">
        <f>MAX(0, $A25-AJ$4)*IF(RTD("tos.rtd",,"OPEN_INT","."&amp;$AA$3&amp;$AA$4&amp;"C"&amp;AJ$4)="N/A",0,RTD("tos.rtd",,"OPEN_INT","."&amp;$AA$3&amp;$AA$4&amp;"C"&amp;AJ$4))*100 + MAX(0, AJ$4-$A25)*IF(RTD("tos.rtd",,"OPEN_INT","."&amp;$AA$3&amp;$AA$4&amp;"P"&amp;AJ$4)="N/A",0,RTD("tos.rtd",,"OPEN_INT","."&amp;$AA$3&amp;$AA$4&amp;"P"&amp;AJ$4))*100</f>
        <v>4800</v>
      </c>
      <c r="AK25" s="18">
        <f>MAX(0, $A25-AK$4)*IF(RTD("tos.rtd",,"OPEN_INT","."&amp;$AA$3&amp;$AA$4&amp;"C"&amp;AK$4)="N/A",0,RTD("tos.rtd",,"OPEN_INT","."&amp;$AA$3&amp;$AA$4&amp;"C"&amp;AK$4))*100 + MAX(0, AK$4-$A25)*IF(RTD("tos.rtd",,"OPEN_INT","."&amp;$AA$3&amp;$AA$4&amp;"P"&amp;AK$4)="N/A",0,RTD("tos.rtd",,"OPEN_INT","."&amp;$AA$3&amp;$AA$4&amp;"P"&amp;AK$4))*100</f>
        <v>0</v>
      </c>
      <c r="AL25" s="18">
        <f>MAX(0, $A25-AL$4)*IF(RTD("tos.rtd",,"OPEN_INT","."&amp;$AA$3&amp;$AA$4&amp;"C"&amp;AL$4)="N/A",0,RTD("tos.rtd",,"OPEN_INT","."&amp;$AA$3&amp;$AA$4&amp;"C"&amp;AL$4))*100 + MAX(0, AL$4-$A25)*IF(RTD("tos.rtd",,"OPEN_INT","."&amp;$AA$3&amp;$AA$4&amp;"P"&amp;AL$4)="N/A",0,RTD("tos.rtd",,"OPEN_INT","."&amp;$AA$3&amp;$AA$4&amp;"P"&amp;AL$4))*100</f>
        <v>0</v>
      </c>
      <c r="AM25" s="18">
        <f>MAX(0, $A25-AM$4)*IF(RTD("tos.rtd",,"OPEN_INT","."&amp;$AA$3&amp;$AA$4&amp;"C"&amp;AM$4)="N/A",0,RTD("tos.rtd",,"OPEN_INT","."&amp;$AA$3&amp;$AA$4&amp;"C"&amp;AM$4))*100 + MAX(0, AM$4-$A25)*IF(RTD("tos.rtd",,"OPEN_INT","."&amp;$AA$3&amp;$AA$4&amp;"P"&amp;AM$4)="N/A",0,RTD("tos.rtd",,"OPEN_INT","."&amp;$AA$3&amp;$AA$4&amp;"P"&amp;AM$4))*100</f>
        <v>0</v>
      </c>
      <c r="AN25" s="18">
        <f>MAX(0, $A25-AN$4)*IF(RTD("tos.rtd",,"OPEN_INT","."&amp;$AA$3&amp;$AA$4&amp;"C"&amp;AN$4)="N/A",0,RTD("tos.rtd",,"OPEN_INT","."&amp;$AA$3&amp;$AA$4&amp;"C"&amp;AN$4))*100 + MAX(0, AN$4-$A25)*IF(RTD("tos.rtd",,"OPEN_INT","."&amp;$AA$3&amp;$AA$4&amp;"P"&amp;AN$4)="N/A",0,RTD("tos.rtd",,"OPEN_INT","."&amp;$AA$3&amp;$AA$4&amp;"P"&amp;AN$4))*100</f>
        <v>0</v>
      </c>
      <c r="AO25" s="18">
        <f>MAX(0, $A25-AO$4)*IF(RTD("tos.rtd",,"OPEN_INT","."&amp;$AA$3&amp;$AA$4&amp;"C"&amp;AO$4)="N/A",0,RTD("tos.rtd",,"OPEN_INT","."&amp;$AA$3&amp;$AA$4&amp;"C"&amp;AO$4))*100 + MAX(0, AO$4-$A25)*IF(RTD("tos.rtd",,"OPEN_INT","."&amp;$AA$3&amp;$AA$4&amp;"P"&amp;AO$4)="N/A",0,RTD("tos.rtd",,"OPEN_INT","."&amp;$AA$3&amp;$AA$4&amp;"P"&amp;AO$4))*100</f>
        <v>42000</v>
      </c>
      <c r="AP25" s="18">
        <f>MAX(0, $A25-AP$4)*IF(RTD("tos.rtd",,"OPEN_INT","."&amp;$AA$3&amp;$AA$4&amp;"C"&amp;AP$4)="N/A",0,RTD("tos.rtd",,"OPEN_INT","."&amp;$AA$3&amp;$AA$4&amp;"C"&amp;AP$4))*100 + MAX(0, AP$4-$A25)*IF(RTD("tos.rtd",,"OPEN_INT","."&amp;$AA$3&amp;$AA$4&amp;"P"&amp;AP$4)="N/A",0,RTD("tos.rtd",,"OPEN_INT","."&amp;$AA$3&amp;$AA$4&amp;"P"&amp;AP$4))*100</f>
        <v>0</v>
      </c>
      <c r="AQ25" s="18">
        <f>MAX(0, $A25-AQ$4)*IF(RTD("tos.rtd",,"OPEN_INT","."&amp;$AA$3&amp;$AA$4&amp;"C"&amp;AQ$4)="N/A",0,RTD("tos.rtd",,"OPEN_INT","."&amp;$AA$3&amp;$AA$4&amp;"C"&amp;AQ$4))*100 + MAX(0, AQ$4-$A25)*IF(RTD("tos.rtd",,"OPEN_INT","."&amp;$AA$3&amp;$AA$4&amp;"P"&amp;AQ$4)="N/A",0,RTD("tos.rtd",,"OPEN_INT","."&amp;$AA$3&amp;$AA$4&amp;"P"&amp;AQ$4))*100</f>
        <v>13250</v>
      </c>
      <c r="AR25" s="18">
        <f>MAX(0, $A25-AR$4)*IF(RTD("tos.rtd",,"OPEN_INT","."&amp;$AA$3&amp;$AA$4&amp;"C"&amp;AR$4)="N/A",0,RTD("tos.rtd",,"OPEN_INT","."&amp;$AA$3&amp;$AA$4&amp;"C"&amp;AR$4))*100 + MAX(0, AR$4-$A25)*IF(RTD("tos.rtd",,"OPEN_INT","."&amp;$AA$3&amp;$AA$4&amp;"P"&amp;AR$4)="N/A",0,RTD("tos.rtd",,"OPEN_INT","."&amp;$AA$3&amp;$AA$4&amp;"P"&amp;AR$4))*100</f>
        <v>1200</v>
      </c>
      <c r="AS25" s="18">
        <f>MAX(0, $A25-AS$4)*IF(RTD("tos.rtd",,"OPEN_INT","."&amp;$AA$3&amp;$AA$4&amp;"C"&amp;AS$4)="N/A",0,RTD("tos.rtd",,"OPEN_INT","."&amp;$AA$3&amp;$AA$4&amp;"C"&amp;AS$4))*100 + MAX(0, AS$4-$A25)*IF(RTD("tos.rtd",,"OPEN_INT","."&amp;$AA$3&amp;$AA$4&amp;"P"&amp;AS$4)="N/A",0,RTD("tos.rtd",,"OPEN_INT","."&amp;$AA$3&amp;$AA$4&amp;"P"&amp;AS$4))*100</f>
        <v>9300</v>
      </c>
      <c r="AT25" s="18">
        <f>MAX(0, $A25-AT$4)*IF(RTD("tos.rtd",,"OPEN_INT","."&amp;$AA$3&amp;$AA$4&amp;"C"&amp;AT$4)="N/A",0,RTD("tos.rtd",,"OPEN_INT","."&amp;$AA$3&amp;$AA$4&amp;"C"&amp;AT$4))*100 + MAX(0, AT$4-$A25)*IF(RTD("tos.rtd",,"OPEN_INT","."&amp;$AA$3&amp;$AA$4&amp;"P"&amp;AT$4)="N/A",0,RTD("tos.rtd",,"OPEN_INT","."&amp;$AA$3&amp;$AA$4&amp;"P"&amp;AT$4))*100</f>
        <v>7000</v>
      </c>
      <c r="AU25" s="18">
        <f>MAX(0, $A25-AU$4)*IF(RTD("tos.rtd",,"OPEN_INT","."&amp;$AA$3&amp;$AA$4&amp;"C"&amp;AU$4)="N/A",0,RTD("tos.rtd",,"OPEN_INT","."&amp;$AA$3&amp;$AA$4&amp;"C"&amp;AU$4))*100 + MAX(0, AU$4-$A25)*IF(RTD("tos.rtd",,"OPEN_INT","."&amp;$AA$3&amp;$AA$4&amp;"P"&amp;AU$4)="N/A",0,RTD("tos.rtd",,"OPEN_INT","."&amp;$AA$3&amp;$AA$4&amp;"P"&amp;AU$4))*100</f>
        <v>2000</v>
      </c>
      <c r="AV25" s="18">
        <f>MAX(0, $A25-AV$4)*IF(RTD("tos.rtd",,"OPEN_INT","."&amp;$AA$3&amp;$AA$4&amp;"C"&amp;AV$4)="N/A",0,RTD("tos.rtd",,"OPEN_INT","."&amp;$AA$3&amp;$AA$4&amp;"C"&amp;AV$4))*100 + MAX(0, AV$4-$A25)*IF(RTD("tos.rtd",,"OPEN_INT","."&amp;$AA$3&amp;$AA$4&amp;"P"&amp;AV$4)="N/A",0,RTD("tos.rtd",,"OPEN_INT","."&amp;$AA$3&amp;$AA$4&amp;"P"&amp;AV$4))*100</f>
        <v>0</v>
      </c>
      <c r="AW25" s="18">
        <f>MAX(0, $A25-AW$4)*IF(RTD("tos.rtd",,"OPEN_INT","."&amp;$AA$3&amp;$AA$4&amp;"C"&amp;AW$4)="N/A",0,RTD("tos.rtd",,"OPEN_INT","."&amp;$AA$3&amp;$AA$4&amp;"C"&amp;AW$4))*100 + MAX(0, AW$4-$A25)*IF(RTD("tos.rtd",,"OPEN_INT","."&amp;$AA$3&amp;$AA$4&amp;"P"&amp;AW$4)="N/A",0,RTD("tos.rtd",,"OPEN_INT","."&amp;$AA$3&amp;$AA$4&amp;"P"&amp;AW$4))*100</f>
        <v>153750</v>
      </c>
      <c r="AX25" s="18">
        <f>MAX(0, $A25-AX$4)*IF(RTD("tos.rtd",,"OPEN_INT","."&amp;$AA$3&amp;$AA$4&amp;"C"&amp;AX$4)="N/A",0,RTD("tos.rtd",,"OPEN_INT","."&amp;$AA$3&amp;$AA$4&amp;"C"&amp;AX$4))*100 + MAX(0, AX$4-$A25)*IF(RTD("tos.rtd",,"OPEN_INT","."&amp;$AA$3&amp;$AA$4&amp;"P"&amp;AX$4)="N/A",0,RTD("tos.rtd",,"OPEN_INT","."&amp;$AA$3&amp;$AA$4&amp;"P"&amp;AX$4))*100</f>
        <v>425300</v>
      </c>
      <c r="AY25" s="18">
        <f>MAX(0, $A25-AY$4)*IF(RTD("tos.rtd",,"OPEN_INT","."&amp;$AA$3&amp;$AA$4&amp;"C"&amp;AY$4)="N/A",0,RTD("tos.rtd",,"OPEN_INT","."&amp;$AA$3&amp;$AA$4&amp;"C"&amp;AY$4))*100 + MAX(0, AY$4-$A25)*IF(RTD("tos.rtd",,"OPEN_INT","."&amp;$AA$3&amp;$AA$4&amp;"P"&amp;AY$4)="N/A",0,RTD("tos.rtd",,"OPEN_INT","."&amp;$AA$3&amp;$AA$4&amp;"P"&amp;AY$4))*100</f>
        <v>2932200</v>
      </c>
      <c r="AZ25" s="18">
        <f>MAX(0, $A25-AZ$4)*IF(RTD("tos.rtd",,"OPEN_INT","."&amp;$AA$3&amp;$AA$4&amp;"C"&amp;AZ$4)="N/A",0,RTD("tos.rtd",,"OPEN_INT","."&amp;$AA$3&amp;$AA$4&amp;"C"&amp;AZ$4))*100 + MAX(0, AZ$4-$A25)*IF(RTD("tos.rtd",,"OPEN_INT","."&amp;$AA$3&amp;$AA$4&amp;"P"&amp;AZ$4)="N/A",0,RTD("tos.rtd",,"OPEN_INT","."&amp;$AA$3&amp;$AA$4&amp;"P"&amp;AZ$4))*100</f>
        <v>1970000</v>
      </c>
      <c r="BA25" s="18">
        <f>MAX(0, $A25-BA$4)*IF(RTD("tos.rtd",,"OPEN_INT","."&amp;$AA$3&amp;$AA$4&amp;"C"&amp;BA$4)="N/A",0,RTD("tos.rtd",,"OPEN_INT","."&amp;$AA$3&amp;$AA$4&amp;"C"&amp;BA$4))*100 + MAX(0, BA$4-$A25)*IF(RTD("tos.rtd",,"OPEN_INT","."&amp;$AA$3&amp;$AA$4&amp;"P"&amp;BA$4)="N/A",0,RTD("tos.rtd",,"OPEN_INT","."&amp;$AA$3&amp;$AA$4&amp;"P"&amp;BA$4))*100</f>
        <v>7701750</v>
      </c>
      <c r="BB25" s="18">
        <f>MAX(0, $A25-BB$4)*IF(RTD("tos.rtd",,"OPEN_INT","."&amp;$AA$3&amp;$AA$4&amp;"C"&amp;BB$4)="N/A",0,RTD("tos.rtd",,"OPEN_INT","."&amp;$AA$3&amp;$AA$4&amp;"C"&amp;BB$4))*100 + MAX(0, BB$4-$A25)*IF(RTD("tos.rtd",,"OPEN_INT","."&amp;$AA$3&amp;$AA$4&amp;"P"&amp;BB$4)="N/A",0,RTD("tos.rtd",,"OPEN_INT","."&amp;$AA$3&amp;$AA$4&amp;"P"&amp;BB$4))*100</f>
        <v>8597400</v>
      </c>
      <c r="BC25" s="18">
        <f>MAX(0, $A25-BC$4)*IF(RTD("tos.rtd",,"OPEN_INT","."&amp;$AA$3&amp;$AA$4&amp;"C"&amp;BC$4)="N/A",0,RTD("tos.rtd",,"OPEN_INT","."&amp;$AA$3&amp;$AA$4&amp;"C"&amp;BC$4))*100 + MAX(0, BC$4-$A25)*IF(RTD("tos.rtd",,"OPEN_INT","."&amp;$AA$3&amp;$AA$4&amp;"P"&amp;BC$4)="N/A",0,RTD("tos.rtd",,"OPEN_INT","."&amp;$AA$3&amp;$AA$4&amp;"P"&amp;BC$4))*100</f>
        <v>14249550</v>
      </c>
      <c r="BD25" s="18">
        <f>MAX(0, $A25-BD$4)*IF(RTD("tos.rtd",,"OPEN_INT","."&amp;$AA$3&amp;$AA$4&amp;"C"&amp;BD$4)="N/A",0,RTD("tos.rtd",,"OPEN_INT","."&amp;$AA$3&amp;$AA$4&amp;"C"&amp;BD$4))*100 + MAX(0, BD$4-$A25)*IF(RTD("tos.rtd",,"OPEN_INT","."&amp;$AA$3&amp;$AA$4&amp;"P"&amp;BD$4)="N/A",0,RTD("tos.rtd",,"OPEN_INT","."&amp;$AA$3&amp;$AA$4&amp;"P"&amp;BD$4))*100</f>
        <v>7424000</v>
      </c>
      <c r="BE25" s="18">
        <f>MAX(0, $A25-BE$4)*IF(RTD("tos.rtd",,"OPEN_INT","."&amp;$AA$3&amp;$AA$4&amp;"C"&amp;BE$4)="N/A",0,RTD("tos.rtd",,"OPEN_INT","."&amp;$AA$3&amp;$AA$4&amp;"C"&amp;BE$4))*100 + MAX(0, BE$4-$A25)*IF(RTD("tos.rtd",,"OPEN_INT","."&amp;$AA$3&amp;$AA$4&amp;"P"&amp;BE$4)="N/A",0,RTD("tos.rtd",,"OPEN_INT","."&amp;$AA$3&amp;$AA$4&amp;"P"&amp;BE$4))*100</f>
        <v>7775100</v>
      </c>
      <c r="BF25" s="18">
        <f>MAX(0, $A25-BF$4)*IF(RTD("tos.rtd",,"OPEN_INT","."&amp;$AA$3&amp;$AA$4&amp;"C"&amp;BF$4)="N/A",0,RTD("tos.rtd",,"OPEN_INT","."&amp;$AA$3&amp;$AA$4&amp;"C"&amp;BF$4))*100 + MAX(0, BF$4-$A25)*IF(RTD("tos.rtd",,"OPEN_INT","."&amp;$AA$3&amp;$AA$4&amp;"P"&amp;BF$4)="N/A",0,RTD("tos.rtd",,"OPEN_INT","."&amp;$AA$3&amp;$AA$4&amp;"P"&amp;BF$4))*100</f>
        <v>4203500</v>
      </c>
      <c r="BG25" s="18">
        <f>MAX(0, $A25-BG$4)*IF(RTD("tos.rtd",,"OPEN_INT","."&amp;$AA$3&amp;$AA$4&amp;"C"&amp;BG$4)="N/A",0,RTD("tos.rtd",,"OPEN_INT","."&amp;$AA$3&amp;$AA$4&amp;"C"&amp;BG$4))*100 + MAX(0, BG$4-$A25)*IF(RTD("tos.rtd",,"OPEN_INT","."&amp;$AA$3&amp;$AA$4&amp;"P"&amp;BG$4)="N/A",0,RTD("tos.rtd",,"OPEN_INT","."&amp;$AA$3&amp;$AA$4&amp;"P"&amp;BG$4))*100</f>
        <v>3153700</v>
      </c>
      <c r="BH25" s="18">
        <f>MAX(0, $A25-BH$4)*IF(RTD("tos.rtd",,"OPEN_INT","."&amp;$AA$3&amp;$AA$4&amp;"C"&amp;BH$4)="N/A",0,RTD("tos.rtd",,"OPEN_INT","."&amp;$AA$3&amp;$AA$4&amp;"C"&amp;BH$4))*100 + MAX(0, BH$4-$A25)*IF(RTD("tos.rtd",,"OPEN_INT","."&amp;$AA$3&amp;$AA$4&amp;"P"&amp;BH$4)="N/A",0,RTD("tos.rtd",,"OPEN_INT","."&amp;$AA$3&amp;$AA$4&amp;"P"&amp;BH$4))*100</f>
        <v>1165800</v>
      </c>
      <c r="BI25" s="18">
        <f>MAX(0, $A25-BI$4)*IF(RTD("tos.rtd",,"OPEN_INT","."&amp;$AA$3&amp;$AA$4&amp;"C"&amp;BI$4)="N/A",0,RTD("tos.rtd",,"OPEN_INT","."&amp;$AA$3&amp;$AA$4&amp;"C"&amp;BI$4))*100 + MAX(0, BI$4-$A25)*IF(RTD("tos.rtd",,"OPEN_INT","."&amp;$AA$3&amp;$AA$4&amp;"P"&amp;BI$4)="N/A",0,RTD("tos.rtd",,"OPEN_INT","."&amp;$AA$3&amp;$AA$4&amp;"P"&amp;BI$4))*100</f>
        <v>547300</v>
      </c>
      <c r="BJ25" s="18">
        <f>MAX(0, $A25-BJ$4)*IF(RTD("tos.rtd",,"OPEN_INT","."&amp;$AA$3&amp;$AA$4&amp;"C"&amp;BJ$4)="N/A",0,RTD("tos.rtd",,"OPEN_INT","."&amp;$AA$3&amp;$AA$4&amp;"C"&amp;BJ$4))*100 + MAX(0, BJ$4-$A25)*IF(RTD("tos.rtd",,"OPEN_INT","."&amp;$AA$3&amp;$AA$4&amp;"P"&amp;BJ$4)="N/A",0,RTD("tos.rtd",,"OPEN_INT","."&amp;$AA$3&amp;$AA$4&amp;"P"&amp;BJ$4))*100</f>
        <v>105700</v>
      </c>
      <c r="BK25" s="18">
        <f>MAX(0, $A25-BK$4)*IF(RTD("tos.rtd",,"OPEN_INT","."&amp;$AA$3&amp;$AA$4&amp;"C"&amp;BK$4)="N/A",0,RTD("tos.rtd",,"OPEN_INT","."&amp;$AA$3&amp;$AA$4&amp;"C"&amp;BK$4))*100 + MAX(0, BK$4-$A25)*IF(RTD("tos.rtd",,"OPEN_INT","."&amp;$AA$3&amp;$AA$4&amp;"P"&amp;BK$4)="N/A",0,RTD("tos.rtd",,"OPEN_INT","."&amp;$AA$3&amp;$AA$4&amp;"P"&amp;BK$4))*100</f>
        <v>195750</v>
      </c>
      <c r="BL25" s="18">
        <f>MAX(0, $A25-BL$4)*IF(RTD("tos.rtd",,"OPEN_INT","."&amp;$AA$3&amp;$AA$4&amp;"C"&amp;BL$4)="N/A",0,RTD("tos.rtd",,"OPEN_INT","."&amp;$AA$3&amp;$AA$4&amp;"C"&amp;BL$4))*100 + MAX(0, BL$4-$A25)*IF(RTD("tos.rtd",,"OPEN_INT","."&amp;$AA$3&amp;$AA$4&amp;"P"&amp;BL$4)="N/A",0,RTD("tos.rtd",,"OPEN_INT","."&amp;$AA$3&amp;$AA$4&amp;"P"&amp;BL$4))*100</f>
        <v>12800</v>
      </c>
      <c r="BM25" s="18">
        <f>MAX(0, $A25-BM$4)*IF(RTD("tos.rtd",,"OPEN_INT","."&amp;$AA$3&amp;$AA$4&amp;"C"&amp;BM$4)="N/A",0,RTD("tos.rtd",,"OPEN_INT","."&amp;$AA$3&amp;$AA$4&amp;"C"&amp;BM$4))*100 + MAX(0, BM$4-$A25)*IF(RTD("tos.rtd",,"OPEN_INT","."&amp;$AA$3&amp;$AA$4&amp;"P"&amp;BM$4)="N/A",0,RTD("tos.rtd",,"OPEN_INT","."&amp;$AA$3&amp;$AA$4&amp;"P"&amp;BM$4))*100</f>
        <v>6800</v>
      </c>
      <c r="BN25" s="18">
        <f>MAX(0, $A25-BN$4)*IF(RTD("tos.rtd",,"OPEN_INT","."&amp;$AA$3&amp;$AA$4&amp;"C"&amp;BN$4)="N/A",0,RTD("tos.rtd",,"OPEN_INT","."&amp;$AA$3&amp;$AA$4&amp;"C"&amp;BN$4))*100 + MAX(0, BN$4-$A25)*IF(RTD("tos.rtd",,"OPEN_INT","."&amp;$AA$3&amp;$AA$4&amp;"P"&amp;BN$4)="N/A",0,RTD("tos.rtd",,"OPEN_INT","."&amp;$AA$3&amp;$AA$4&amp;"P"&amp;BN$4))*100</f>
        <v>27900</v>
      </c>
      <c r="BO25" s="18">
        <f>MAX(0, $A25-BO$4)*IF(RTD("tos.rtd",,"OPEN_INT","."&amp;$AA$3&amp;$AA$4&amp;"C"&amp;BO$4)="N/A",0,RTD("tos.rtd",,"OPEN_INT","."&amp;$AA$3&amp;$AA$4&amp;"C"&amp;BO$4))*100 + MAX(0, BO$4-$A25)*IF(RTD("tos.rtd",,"OPEN_INT","."&amp;$AA$3&amp;$AA$4&amp;"P"&amp;BO$4)="N/A",0,RTD("tos.rtd",,"OPEN_INT","."&amp;$AA$3&amp;$AA$4&amp;"P"&amp;BO$4))*100</f>
        <v>36100</v>
      </c>
      <c r="BP25" s="18">
        <f>MAX(0, $A25-BP$4)*IF(RTD("tos.rtd",,"OPEN_INT","."&amp;$AA$3&amp;$AA$4&amp;"C"&amp;BP$4)="N/A",0,RTD("tos.rtd",,"OPEN_INT","."&amp;$AA$3&amp;$AA$4&amp;"C"&amp;BP$4))*100 + MAX(0, BP$4-$A25)*IF(RTD("tos.rtd",,"OPEN_INT","."&amp;$AA$3&amp;$AA$4&amp;"P"&amp;BP$4)="N/A",0,RTD("tos.rtd",,"OPEN_INT","."&amp;$AA$3&amp;$AA$4&amp;"P"&amp;BP$4))*100</f>
        <v>0</v>
      </c>
      <c r="BQ25" s="18">
        <f>MAX(0, $A25-BQ$4)*IF(RTD("tos.rtd",,"OPEN_INT","."&amp;$AA$3&amp;$AA$4&amp;"C"&amp;BQ$4)="N/A",0,RTD("tos.rtd",,"OPEN_INT","."&amp;$AA$3&amp;$AA$4&amp;"C"&amp;BQ$4))*100 + MAX(0, BQ$4-$A25)*IF(RTD("tos.rtd",,"OPEN_INT","."&amp;$AA$3&amp;$AA$4&amp;"P"&amp;BQ$4)="N/A",0,RTD("tos.rtd",,"OPEN_INT","."&amp;$AA$3&amp;$AA$4&amp;"P"&amp;BQ$4))*100</f>
        <v>0</v>
      </c>
      <c r="BR25" s="18">
        <f>MAX(0, $A25-BR$4)*IF(RTD("tos.rtd",,"OPEN_INT","."&amp;$AA$3&amp;$AA$4&amp;"C"&amp;BR$4)="N/A",0,RTD("tos.rtd",,"OPEN_INT","."&amp;$AA$3&amp;$AA$4&amp;"C"&amp;BR$4))*100 + MAX(0, BR$4-$A25)*IF(RTD("tos.rtd",,"OPEN_INT","."&amp;$AA$3&amp;$AA$4&amp;"P"&amp;BR$4)="N/A",0,RTD("tos.rtd",,"OPEN_INT","."&amp;$AA$3&amp;$AA$4&amp;"P"&amp;BR$4))*100</f>
        <v>0</v>
      </c>
      <c r="BS25" s="18">
        <f>MAX(0, $A25-BS$4)*IF(RTD("tos.rtd",,"OPEN_INT","."&amp;$AA$3&amp;$AA$4&amp;"C"&amp;BS$4)="N/A",0,RTD("tos.rtd",,"OPEN_INT","."&amp;$AA$3&amp;$AA$4&amp;"C"&amp;BS$4))*100 + MAX(0, BS$4-$A25)*IF(RTD("tos.rtd",,"OPEN_INT","."&amp;$AA$3&amp;$AA$4&amp;"P"&amp;BS$4)="N/A",0,RTD("tos.rtd",,"OPEN_INT","."&amp;$AA$3&amp;$AA$4&amp;"P"&amp;BS$4))*100</f>
        <v>0</v>
      </c>
      <c r="BT25" s="18">
        <f>MAX(0, $A25-BT$4)*IF(RTD("tos.rtd",,"OPEN_INT","."&amp;$AA$3&amp;$AA$4&amp;"C"&amp;BT$4)="N/A",0,RTD("tos.rtd",,"OPEN_INT","."&amp;$AA$3&amp;$AA$4&amp;"C"&amp;BT$4))*100 + MAX(0, BT$4-$A25)*IF(RTD("tos.rtd",,"OPEN_INT","."&amp;$AA$3&amp;$AA$4&amp;"P"&amp;BT$4)="N/A",0,RTD("tos.rtd",,"OPEN_INT","."&amp;$AA$3&amp;$AA$4&amp;"P"&amp;BT$4))*100</f>
        <v>0</v>
      </c>
      <c r="BU25" s="18">
        <f>MAX(0, $A25-BU$4)*IF(RTD("tos.rtd",,"OPEN_INT","."&amp;$AA$3&amp;$AA$4&amp;"C"&amp;BU$4)="N/A",0,RTD("tos.rtd",,"OPEN_INT","."&amp;$AA$3&amp;$AA$4&amp;"C"&amp;BU$4))*100 + MAX(0, BU$4-$A25)*IF(RTD("tos.rtd",,"OPEN_INT","."&amp;$AA$3&amp;$AA$4&amp;"P"&amp;BU$4)="N/A",0,RTD("tos.rtd",,"OPEN_INT","."&amp;$AA$3&amp;$AA$4&amp;"P"&amp;BU$4))*100</f>
        <v>0</v>
      </c>
      <c r="BV25" s="18">
        <f>MAX(0, $A25-BV$4)*IF(RTD("tos.rtd",,"OPEN_INT","."&amp;$AA$3&amp;$AA$4&amp;"C"&amp;BV$4)="N/A",0,RTD("tos.rtd",,"OPEN_INT","."&amp;$AA$3&amp;$AA$4&amp;"C"&amp;BV$4))*100 + MAX(0, BV$4-$A25)*IF(RTD("tos.rtd",,"OPEN_INT","."&amp;$AA$3&amp;$AA$4&amp;"P"&amp;BV$4)="N/A",0,RTD("tos.rtd",,"OPEN_INT","."&amp;$AA$3&amp;$AA$4&amp;"P"&amp;BV$4))*100</f>
        <v>0</v>
      </c>
    </row>
    <row r="26" spans="1:74" s="19" customFormat="1" ht="11.1" customHeight="1" thickBot="1" x14ac:dyDescent="0.3">
      <c r="A26" s="23">
        <f t="shared" si="6"/>
        <v>11</v>
      </c>
      <c r="B26" s="14">
        <f ca="1">IF($A$2="PREMIUM_OI",IFERROR(IF($X$1="ABS",(100*RTD("tos.rtd",,"OPEN_INT","."&amp;B$2&amp;B$1&amp;"C"&amp;$A26)*RTD("tos.rtd",,"LAST","."&amp;B$2&amp;B$1&amp;"C"&amp;$A26)+100*RTD("tos.rtd",,"OPEN_INT","."&amp;B$2&amp;B$1&amp;"P"&amp;$A26)*RTD("tos.rtd",,"LAST","."&amp;B$2&amp;B$1&amp;"P"&amp;$A26))/1000000,(100*RTD("tos.rtd",,"OPEN_INT","."&amp;B$2&amp;B$1&amp;"C"&amp;$A26)*RTD("tos.rtd",,"LAST","."&amp;B$2&amp;B$1&amp;"C"&amp;$A26)-100*RTD("tos.rtd",,"OPEN_INT","."&amp;B$2&amp;B$1&amp;"P"&amp;$A26)*RTD("tos.rtd",,"LAST","."&amp;B$2&amp;B$1&amp;"P"&amp;$A26))/1000000),0),IF($A$2="PREMIUM",IFERROR(IF($X$1="ABS",(100*RTD("tos.rtd",,"VOLUME","."&amp;B$2&amp;B$1&amp;"C"&amp;$A26)*RTD("tos.rtd",,"LAST","."&amp;B$2&amp;B$1&amp;"C"&amp;$A26)+100*RTD("tos.rtd",,"VOLUME","."&amp;B$2&amp;B$1&amp;"P"&amp;$A26)*RTD("tos.rtd",,"LAST","."&amp;B$2&amp;B$1&amp;"P"&amp;$A26))/1000000,(100*RTD("tos.rtd",,"VOLUME","."&amp;B$2&amp;B$1&amp;"C"&amp;$A26)*RTD("tos.rtd",,"LAST","."&amp;B$2&amp;B$1&amp;"C"&amp;$A26)-100*RTD("tos.rtd",,"VOLUME","."&amp;B$2&amp;B$1&amp;"P"&amp;$A26)*RTD("tos.rtd",,"LAST","."&amp;B$2&amp;B$1&amp;"P"&amp;$A26))/1000000),0),IF($A$2="DEX",IFERROR(IF($X$1="ABS",(100*RTD("tos.rtd",,"OPEN_INT","."&amp;B$2&amp;B$1&amp;"C"&amp;$A26)*RTD("tos.rtd",,"DELTA","."&amp;B$2&amp;B$1&amp;"C"&amp;$A26)+100*RTD("tos.rtd",,"OPEN_INT","."&amp;B$2&amp;B$1&amp;"P"&amp;$A26)*RTD("tos.rtd",,"DELTA","."&amp;B$2&amp;B$1&amp;"P"&amp;$A26))/1000,(100*RTD("tos.rtd",,"OPEN_INT","."&amp;B$2&amp;B$1&amp;"C"&amp;$A26)*RTD("tos.rtd",,"DELTA","."&amp;B$2&amp;B$1&amp;"C"&amp;$A26)-100*RTD("tos.rtd",,"OPEN_INT","."&amp;B$2&amp;B$1&amp;"P"&amp;$A26)*RTD("tos.rtd",,"DELTA","."&amp;B$2&amp;B$1&amp;"P"&amp;$A26))/1000),0),IF($A$2="VEX",IFERROR(IF($X$1="ABS",($A$4*$A$4*RTD("tos.rtd",,"VOLUME","."&amp;B$2&amp;B$1&amp;"C"&amp;$A26)*RTD("tos.rtd",,"GAMMA","."&amp;B$2&amp;B$1&amp;"C"&amp;$A26)+$A$4*$A$4*RTD("tos.rtd",,"VOLUME","."&amp;B$2&amp;B$1&amp;"P"&amp;$A26)*RTD("tos.rtd",,"GAMMA","."&amp;B$2&amp;B$1&amp;"P"&amp;$A26))/1000000,($A$4*$A$4*RTD("tos.rtd",,"VOLUME","."&amp;B$2&amp;B$1&amp;"C"&amp;$A26)*RTD("tos.rtd",,"GAMMA","."&amp;B$2&amp;B$1&amp;"C"&amp;$A26)-$A$4*$A$4*RTD("tos.rtd",,"VOLUME","."&amp;B$2&amp;B$1&amp;"P"&amp;$A26)*RTD("tos.rtd",,"GAMMA","."&amp;B$2&amp;B$1&amp;"P"&amp;$A26))/1000000),0),IF($A$2="GEX",IFERROR(IF($X$1="ABS",($A$4*$A$4*RTD("tos.rtd",,"OPEN_INT","."&amp;B$2&amp;B$1&amp;"C"&amp;$A26)*RTD("tos.rtd",,"GAMMA","."&amp;B$2&amp;B$1&amp;"C"&amp;$A26)+$A$4*$A$4*RTD("tos.rtd",,"OPEN_INT","."&amp;B$2&amp;B$1&amp;"P"&amp;$A26)*RTD("tos.rtd",,"GAMMA","."&amp;B$2&amp;B$1&amp;"P"&amp;$A26))/1000000,($A$4*$A$4*RTD("tos.rtd",,"OPEN_INT","."&amp;B$2&amp;B$1&amp;"C"&amp;$A26)*RTD("tos.rtd",,"GAMMA","."&amp;B$2&amp;B$1&amp;"C"&amp;$A26)-$A$4*$A$4*RTD("tos.rtd",,"OPEN_INT","."&amp;B$2&amp;B$1&amp;"P"&amp;$A26)*RTD("tos.rtd",,"GAMMA","."&amp;B$2&amp;B$1&amp;"P"&amp;$A26))/1000000),0),IF($A$2="SKEW",IFERROR(VALUE(IF(RTD("tos.rtd",,"IMPL_VOL","."&amp;B$2&amp;B$1&amp;"P"&amp;$A26)="N/A",0,RTD("tos.rtd",,"IMPL_VOL","."&amp;B$2&amp;B$1&amp;"P"&amp;$A26))),0)-IFERROR(VALUE(IF(RTD("tos.rtd",,"IMPL_VOL","."&amp;B$2&amp;B$1&amp;"C"&amp;$A26)="N/A",0,RTD("tos.rtd",,"IMPL_VOL","."&amp;B$2&amp;B$1&amp;"C"&amp;$A26))),0),IF($A$2="MAXPAIN",IF($A$4&gt;$A26,($A$4-$A26)*IF(RTD("tos.rtd",,"OPEN_INT","."&amp;B$2&amp;B$1&amp;"C"&amp;$A26)="N/A",0,RTD("tos.rtd",,"OPEN_INT","."&amp;B$2&amp;B$1&amp;"C"&amp;$A26)),0)+IF($A$4&lt;$A26,($A$5-$A$4)*IF(RTD("tos.rtd",,"OPEN_INT","."&amp;B$2&amp;B$1&amp;"P"&amp;$A26)="N/A",0,RTD("tos.rtd",,"OPEN_INT","."&amp;B$2&amp;B$1&amp;"P"&amp;$A26)),0),IF($X$1="ABS",IF(RTD("tos.rtd",,$A$2,"."&amp;B$2&amp;B$1&amp;"C"&amp;$A26)="N/A",0,RTD("tos.rtd",,$A$2,"."&amp;B$2&amp;B$1&amp;"C"&amp;$A26))+IF(RTD("tos.rtd",,$A$2,"."&amp;B$2&amp;B$1&amp;"P"&amp;$A26)="N/A",0,RTD("tos.rtd",,$A$2,"."&amp;B$2&amp;B$1&amp;"P"&amp;$A26)),IF(RTD("tos.rtd",,$A$2,"."&amp;B$2&amp;B$1&amp;"C"&amp;$A26)="N/A",0,RTD("tos.rtd",,$A$2,"."&amp;B$2&amp;B$1&amp;"C"&amp;$A26))-IF(RTD("tos.rtd",,$A$2,"."&amp;B$2&amp;B$1&amp;"P"&amp;$A26)="N/A",0,RTD("tos.rtd",,$A$2,"."&amp;B$2&amp;B$1&amp;"P"&amp;$A26))))))))))</f>
        <v>0</v>
      </c>
      <c r="C26" s="12">
        <f ca="1">IF($A$2="PREMIUM_OI",IFERROR(IF($X$1="ABS",(100*RTD("tos.rtd",,"OPEN_INT","."&amp;C$2&amp;C$1&amp;"C"&amp;$A26)*RTD("tos.rtd",,"LAST","."&amp;C$2&amp;C$1&amp;"C"&amp;$A26)+100*RTD("tos.rtd",,"OPEN_INT","."&amp;C$2&amp;C$1&amp;"P"&amp;$A26)*RTD("tos.rtd",,"LAST","."&amp;C$2&amp;C$1&amp;"P"&amp;$A26))/1000000,(100*RTD("tos.rtd",,"OPEN_INT","."&amp;C$2&amp;C$1&amp;"C"&amp;$A26)*RTD("tos.rtd",,"LAST","."&amp;C$2&amp;C$1&amp;"C"&amp;$A26)-100*RTD("tos.rtd",,"OPEN_INT","."&amp;C$2&amp;C$1&amp;"P"&amp;$A26)*RTD("tos.rtd",,"LAST","."&amp;C$2&amp;C$1&amp;"P"&amp;$A26))/1000000),0),IF($A$2="PREMIUM",IFERROR(IF($X$1="ABS",(100*RTD("tos.rtd",,"VOLUME","."&amp;C$2&amp;C$1&amp;"C"&amp;$A26)*RTD("tos.rtd",,"LAST","."&amp;C$2&amp;C$1&amp;"C"&amp;$A26)+100*RTD("tos.rtd",,"VOLUME","."&amp;C$2&amp;C$1&amp;"P"&amp;$A26)*RTD("tos.rtd",,"LAST","."&amp;C$2&amp;C$1&amp;"P"&amp;$A26))/1000000,(100*RTD("tos.rtd",,"VOLUME","."&amp;C$2&amp;C$1&amp;"C"&amp;$A26)*RTD("tos.rtd",,"LAST","."&amp;C$2&amp;C$1&amp;"C"&amp;$A26)-100*RTD("tos.rtd",,"VOLUME","."&amp;C$2&amp;C$1&amp;"P"&amp;$A26)*RTD("tos.rtd",,"LAST","."&amp;C$2&amp;C$1&amp;"P"&amp;$A26))/1000000),0),IF($A$2="DEX",IFERROR(IF($X$1="ABS",(100*RTD("tos.rtd",,"OPEN_INT","."&amp;C$2&amp;C$1&amp;"C"&amp;$A26)*RTD("tos.rtd",,"DELTA","."&amp;C$2&amp;C$1&amp;"C"&amp;$A26)+100*RTD("tos.rtd",,"OPEN_INT","."&amp;C$2&amp;C$1&amp;"P"&amp;$A26)*RTD("tos.rtd",,"DELTA","."&amp;C$2&amp;C$1&amp;"P"&amp;$A26))/1000,(100*RTD("tos.rtd",,"OPEN_INT","."&amp;C$2&amp;C$1&amp;"C"&amp;$A26)*RTD("tos.rtd",,"DELTA","."&amp;C$2&amp;C$1&amp;"C"&amp;$A26)-100*RTD("tos.rtd",,"OPEN_INT","."&amp;C$2&amp;C$1&amp;"P"&amp;$A26)*RTD("tos.rtd",,"DELTA","."&amp;C$2&amp;C$1&amp;"P"&amp;$A26))/1000),0),IF($A$2="VEX",IFERROR(IF($X$1="ABS",($A$4*$A$4*RTD("tos.rtd",,"VOLUME","."&amp;C$2&amp;C$1&amp;"C"&amp;$A26)*RTD("tos.rtd",,"GAMMA","."&amp;C$2&amp;C$1&amp;"C"&amp;$A26)+$A$4*$A$4*RTD("tos.rtd",,"VOLUME","."&amp;C$2&amp;C$1&amp;"P"&amp;$A26)*RTD("tos.rtd",,"GAMMA","."&amp;C$2&amp;C$1&amp;"P"&amp;$A26))/1000000,($A$4*$A$4*RTD("tos.rtd",,"VOLUME","."&amp;C$2&amp;C$1&amp;"C"&amp;$A26)*RTD("tos.rtd",,"GAMMA","."&amp;C$2&amp;C$1&amp;"C"&amp;$A26)-$A$4*$A$4*RTD("tos.rtd",,"VOLUME","."&amp;C$2&amp;C$1&amp;"P"&amp;$A26)*RTD("tos.rtd",,"GAMMA","."&amp;C$2&amp;C$1&amp;"P"&amp;$A26))/1000000),0),IF($A$2="GEX",IFERROR(IF($X$1="ABS",($A$4*$A$4*RTD("tos.rtd",,"OPEN_INT","."&amp;C$2&amp;C$1&amp;"C"&amp;$A26)*RTD("tos.rtd",,"GAMMA","."&amp;C$2&amp;C$1&amp;"C"&amp;$A26)+$A$4*$A$4*RTD("tos.rtd",,"OPEN_INT","."&amp;C$2&amp;C$1&amp;"P"&amp;$A26)*RTD("tos.rtd",,"GAMMA","."&amp;C$2&amp;C$1&amp;"P"&amp;$A26))/1000000,($A$4*$A$4*RTD("tos.rtd",,"OPEN_INT","."&amp;C$2&amp;C$1&amp;"C"&amp;$A26)*RTD("tos.rtd",,"GAMMA","."&amp;C$2&amp;C$1&amp;"C"&amp;$A26)-$A$4*$A$4*RTD("tos.rtd",,"OPEN_INT","."&amp;C$2&amp;C$1&amp;"P"&amp;$A26)*RTD("tos.rtd",,"GAMMA","."&amp;C$2&amp;C$1&amp;"P"&amp;$A26))/1000000),0),IF($A$2="SKEW",IFERROR(VALUE(IF(RTD("tos.rtd",,"IMPL_VOL","."&amp;C$2&amp;C$1&amp;"P"&amp;$A26)="N/A",0,RTD("tos.rtd",,"IMPL_VOL","."&amp;C$2&amp;C$1&amp;"P"&amp;$A26))),0)-IFERROR(VALUE(IF(RTD("tos.rtd",,"IMPL_VOL","."&amp;C$2&amp;C$1&amp;"C"&amp;$A26)="N/A",0,RTD("tos.rtd",,"IMPL_VOL","."&amp;C$2&amp;C$1&amp;"C"&amp;$A26))),0),IF($A$2="MAXPAIN",IF($A$4&gt;$A26,($A$4-$A26)*IF(RTD("tos.rtd",,"OPEN_INT","."&amp;C$2&amp;C$1&amp;"C"&amp;$A26)="N/A",0,RTD("tos.rtd",,"OPEN_INT","."&amp;C$2&amp;C$1&amp;"C"&amp;$A26)),0)+IF($A$4&lt;$A26,($A$5-$A$4)*IF(RTD("tos.rtd",,"OPEN_INT","."&amp;C$2&amp;C$1&amp;"P"&amp;$A26)="N/A",0,RTD("tos.rtd",,"OPEN_INT","."&amp;C$2&amp;C$1&amp;"P"&amp;$A26)),0),IF($X$1="ABS",IF(RTD("tos.rtd",,$A$2,"."&amp;C$2&amp;C$1&amp;"C"&amp;$A26)="N/A",0,RTD("tos.rtd",,$A$2,"."&amp;C$2&amp;C$1&amp;"C"&amp;$A26))+IF(RTD("tos.rtd",,$A$2,"."&amp;C$2&amp;C$1&amp;"P"&amp;$A26)="N/A",0,RTD("tos.rtd",,$A$2,"."&amp;C$2&amp;C$1&amp;"P"&amp;$A26)),IF(RTD("tos.rtd",,$A$2,"."&amp;C$2&amp;C$1&amp;"C"&amp;$A26)="N/A",0,RTD("tos.rtd",,$A$2,"."&amp;C$2&amp;C$1&amp;"C"&amp;$A26))-IF(RTD("tos.rtd",,$A$2,"."&amp;C$2&amp;C$1&amp;"P"&amp;$A26)="N/A",0,RTD("tos.rtd",,$A$2,"."&amp;C$2&amp;C$1&amp;"P"&amp;$A26))))))))))</f>
        <v>2873</v>
      </c>
      <c r="D26" s="12">
        <f ca="1">IF($A$2="PREMIUM_OI",IFERROR(IF($X$1="ABS",(100*RTD("tos.rtd",,"OPEN_INT","."&amp;D$2&amp;D$1&amp;"C"&amp;$A26)*RTD("tos.rtd",,"LAST","."&amp;D$2&amp;D$1&amp;"C"&amp;$A26)+100*RTD("tos.rtd",,"OPEN_INT","."&amp;D$2&amp;D$1&amp;"P"&amp;$A26)*RTD("tos.rtd",,"LAST","."&amp;D$2&amp;D$1&amp;"P"&amp;$A26))/1000000,(100*RTD("tos.rtd",,"OPEN_INT","."&amp;D$2&amp;D$1&amp;"C"&amp;$A26)*RTD("tos.rtd",,"LAST","."&amp;D$2&amp;D$1&amp;"C"&amp;$A26)-100*RTD("tos.rtd",,"OPEN_INT","."&amp;D$2&amp;D$1&amp;"P"&amp;$A26)*RTD("tos.rtd",,"LAST","."&amp;D$2&amp;D$1&amp;"P"&amp;$A26))/1000000),0),IF($A$2="PREMIUM",IFERROR(IF($X$1="ABS",(100*RTD("tos.rtd",,"VOLUME","."&amp;D$2&amp;D$1&amp;"C"&amp;$A26)*RTD("tos.rtd",,"LAST","."&amp;D$2&amp;D$1&amp;"C"&amp;$A26)+100*RTD("tos.rtd",,"VOLUME","."&amp;D$2&amp;D$1&amp;"P"&amp;$A26)*RTD("tos.rtd",,"LAST","."&amp;D$2&amp;D$1&amp;"P"&amp;$A26))/1000000,(100*RTD("tos.rtd",,"VOLUME","."&amp;D$2&amp;D$1&amp;"C"&amp;$A26)*RTD("tos.rtd",,"LAST","."&amp;D$2&amp;D$1&amp;"C"&amp;$A26)-100*RTD("tos.rtd",,"VOLUME","."&amp;D$2&amp;D$1&amp;"P"&amp;$A26)*RTD("tos.rtd",,"LAST","."&amp;D$2&amp;D$1&amp;"P"&amp;$A26))/1000000),0),IF($A$2="DEX",IFERROR(IF($X$1="ABS",(100*RTD("tos.rtd",,"OPEN_INT","."&amp;D$2&amp;D$1&amp;"C"&amp;$A26)*RTD("tos.rtd",,"DELTA","."&amp;D$2&amp;D$1&amp;"C"&amp;$A26)+100*RTD("tos.rtd",,"OPEN_INT","."&amp;D$2&amp;D$1&amp;"P"&amp;$A26)*RTD("tos.rtd",,"DELTA","."&amp;D$2&amp;D$1&amp;"P"&amp;$A26))/1000,(100*RTD("tos.rtd",,"OPEN_INT","."&amp;D$2&amp;D$1&amp;"C"&amp;$A26)*RTD("tos.rtd",,"DELTA","."&amp;D$2&amp;D$1&amp;"C"&amp;$A26)-100*RTD("tos.rtd",,"OPEN_INT","."&amp;D$2&amp;D$1&amp;"P"&amp;$A26)*RTD("tos.rtd",,"DELTA","."&amp;D$2&amp;D$1&amp;"P"&amp;$A26))/1000),0),IF($A$2="VEX",IFERROR(IF($X$1="ABS",($A$4*$A$4*RTD("tos.rtd",,"VOLUME","."&amp;D$2&amp;D$1&amp;"C"&amp;$A26)*RTD("tos.rtd",,"GAMMA","."&amp;D$2&amp;D$1&amp;"C"&amp;$A26)+$A$4*$A$4*RTD("tos.rtd",,"VOLUME","."&amp;D$2&amp;D$1&amp;"P"&amp;$A26)*RTD("tos.rtd",,"GAMMA","."&amp;D$2&amp;D$1&amp;"P"&amp;$A26))/1000000,($A$4*$A$4*RTD("tos.rtd",,"VOLUME","."&amp;D$2&amp;D$1&amp;"C"&amp;$A26)*RTD("tos.rtd",,"GAMMA","."&amp;D$2&amp;D$1&amp;"C"&amp;$A26)-$A$4*$A$4*RTD("tos.rtd",,"VOLUME","."&amp;D$2&amp;D$1&amp;"P"&amp;$A26)*RTD("tos.rtd",,"GAMMA","."&amp;D$2&amp;D$1&amp;"P"&amp;$A26))/1000000),0),IF($A$2="GEX",IFERROR(IF($X$1="ABS",($A$4*$A$4*RTD("tos.rtd",,"OPEN_INT","."&amp;D$2&amp;D$1&amp;"C"&amp;$A26)*RTD("tos.rtd",,"GAMMA","."&amp;D$2&amp;D$1&amp;"C"&amp;$A26)+$A$4*$A$4*RTD("tos.rtd",,"OPEN_INT","."&amp;D$2&amp;D$1&amp;"P"&amp;$A26)*RTD("tos.rtd",,"GAMMA","."&amp;D$2&amp;D$1&amp;"P"&amp;$A26))/1000000,($A$4*$A$4*RTD("tos.rtd",,"OPEN_INT","."&amp;D$2&amp;D$1&amp;"C"&amp;$A26)*RTD("tos.rtd",,"GAMMA","."&amp;D$2&amp;D$1&amp;"C"&amp;$A26)-$A$4*$A$4*RTD("tos.rtd",,"OPEN_INT","."&amp;D$2&amp;D$1&amp;"P"&amp;$A26)*RTD("tos.rtd",,"GAMMA","."&amp;D$2&amp;D$1&amp;"P"&amp;$A26))/1000000),0),IF($A$2="SKEW",IFERROR(VALUE(IF(RTD("tos.rtd",,"IMPL_VOL","."&amp;D$2&amp;D$1&amp;"P"&amp;$A26)="N/A",0,RTD("tos.rtd",,"IMPL_VOL","."&amp;D$2&amp;D$1&amp;"P"&amp;$A26))),0)-IFERROR(VALUE(IF(RTD("tos.rtd",,"IMPL_VOL","."&amp;D$2&amp;D$1&amp;"C"&amp;$A26)="N/A",0,RTD("tos.rtd",,"IMPL_VOL","."&amp;D$2&amp;D$1&amp;"C"&amp;$A26))),0),IF($A$2="MAXPAIN",IF($A$4&gt;$A26,($A$4-$A26)*IF(RTD("tos.rtd",,"OPEN_INT","."&amp;D$2&amp;D$1&amp;"C"&amp;$A26)="N/A",0,RTD("tos.rtd",,"OPEN_INT","."&amp;D$2&amp;D$1&amp;"C"&amp;$A26)),0)+IF($A$4&lt;$A26,($A$5-$A$4)*IF(RTD("tos.rtd",,"OPEN_INT","."&amp;D$2&amp;D$1&amp;"P"&amp;$A26)="N/A",0,RTD("tos.rtd",,"OPEN_INT","."&amp;D$2&amp;D$1&amp;"P"&amp;$A26)),0),IF($X$1="ABS",IF(RTD("tos.rtd",,$A$2,"."&amp;D$2&amp;D$1&amp;"C"&amp;$A26)="N/A",0,RTD("tos.rtd",,$A$2,"."&amp;D$2&amp;D$1&amp;"C"&amp;$A26))+IF(RTD("tos.rtd",,$A$2,"."&amp;D$2&amp;D$1&amp;"P"&amp;$A26)="N/A",0,RTD("tos.rtd",,$A$2,"."&amp;D$2&amp;D$1&amp;"P"&amp;$A26)),IF(RTD("tos.rtd",,$A$2,"."&amp;D$2&amp;D$1&amp;"C"&amp;$A26)="N/A",0,RTD("tos.rtd",,$A$2,"."&amp;D$2&amp;D$1&amp;"C"&amp;$A26))-IF(RTD("tos.rtd",,$A$2,"."&amp;D$2&amp;D$1&amp;"P"&amp;$A26)="N/A",0,RTD("tos.rtd",,$A$2,"."&amp;D$2&amp;D$1&amp;"P"&amp;$A26))))))))))</f>
        <v>10487</v>
      </c>
      <c r="E26" s="12">
        <f ca="1">IF($A$2="PREMIUM_OI",IFERROR(IF($X$1="ABS",(100*RTD("tos.rtd",,"OPEN_INT","."&amp;E$2&amp;E$1&amp;"C"&amp;$A26)*RTD("tos.rtd",,"LAST","."&amp;E$2&amp;E$1&amp;"C"&amp;$A26)+100*RTD("tos.rtd",,"OPEN_INT","."&amp;E$2&amp;E$1&amp;"P"&amp;$A26)*RTD("tos.rtd",,"LAST","."&amp;E$2&amp;E$1&amp;"P"&amp;$A26))/1000000,(100*RTD("tos.rtd",,"OPEN_INT","."&amp;E$2&amp;E$1&amp;"C"&amp;$A26)*RTD("tos.rtd",,"LAST","."&amp;E$2&amp;E$1&amp;"C"&amp;$A26)-100*RTD("tos.rtd",,"OPEN_INT","."&amp;E$2&amp;E$1&amp;"P"&amp;$A26)*RTD("tos.rtd",,"LAST","."&amp;E$2&amp;E$1&amp;"P"&amp;$A26))/1000000),0),IF($A$2="PREMIUM",IFERROR(IF($X$1="ABS",(100*RTD("tos.rtd",,"VOLUME","."&amp;E$2&amp;E$1&amp;"C"&amp;$A26)*RTD("tos.rtd",,"LAST","."&amp;E$2&amp;E$1&amp;"C"&amp;$A26)+100*RTD("tos.rtd",,"VOLUME","."&amp;E$2&amp;E$1&amp;"P"&amp;$A26)*RTD("tos.rtd",,"LAST","."&amp;E$2&amp;E$1&amp;"P"&amp;$A26))/1000000,(100*RTD("tos.rtd",,"VOLUME","."&amp;E$2&amp;E$1&amp;"C"&amp;$A26)*RTD("tos.rtd",,"LAST","."&amp;E$2&amp;E$1&amp;"C"&amp;$A26)-100*RTD("tos.rtd",,"VOLUME","."&amp;E$2&amp;E$1&amp;"P"&amp;$A26)*RTD("tos.rtd",,"LAST","."&amp;E$2&amp;E$1&amp;"P"&amp;$A26))/1000000),0),IF($A$2="DEX",IFERROR(IF($X$1="ABS",(100*RTD("tos.rtd",,"OPEN_INT","."&amp;E$2&amp;E$1&amp;"C"&amp;$A26)*RTD("tos.rtd",,"DELTA","."&amp;E$2&amp;E$1&amp;"C"&amp;$A26)+100*RTD("tos.rtd",,"OPEN_INT","."&amp;E$2&amp;E$1&amp;"P"&amp;$A26)*RTD("tos.rtd",,"DELTA","."&amp;E$2&amp;E$1&amp;"P"&amp;$A26))/1000,(100*RTD("tos.rtd",,"OPEN_INT","."&amp;E$2&amp;E$1&amp;"C"&amp;$A26)*RTD("tos.rtd",,"DELTA","."&amp;E$2&amp;E$1&amp;"C"&amp;$A26)-100*RTD("tos.rtd",,"OPEN_INT","."&amp;E$2&amp;E$1&amp;"P"&amp;$A26)*RTD("tos.rtd",,"DELTA","."&amp;E$2&amp;E$1&amp;"P"&amp;$A26))/1000),0),IF($A$2="VEX",IFERROR(IF($X$1="ABS",($A$4*$A$4*RTD("tos.rtd",,"VOLUME","."&amp;E$2&amp;E$1&amp;"C"&amp;$A26)*RTD("tos.rtd",,"GAMMA","."&amp;E$2&amp;E$1&amp;"C"&amp;$A26)+$A$4*$A$4*RTD("tos.rtd",,"VOLUME","."&amp;E$2&amp;E$1&amp;"P"&amp;$A26)*RTD("tos.rtd",,"GAMMA","."&amp;E$2&amp;E$1&amp;"P"&amp;$A26))/1000000,($A$4*$A$4*RTD("tos.rtd",,"VOLUME","."&amp;E$2&amp;E$1&amp;"C"&amp;$A26)*RTD("tos.rtd",,"GAMMA","."&amp;E$2&amp;E$1&amp;"C"&amp;$A26)-$A$4*$A$4*RTD("tos.rtd",,"VOLUME","."&amp;E$2&amp;E$1&amp;"P"&amp;$A26)*RTD("tos.rtd",,"GAMMA","."&amp;E$2&amp;E$1&amp;"P"&amp;$A26))/1000000),0),IF($A$2="GEX",IFERROR(IF($X$1="ABS",($A$4*$A$4*RTD("tos.rtd",,"OPEN_INT","."&amp;E$2&amp;E$1&amp;"C"&amp;$A26)*RTD("tos.rtd",,"GAMMA","."&amp;E$2&amp;E$1&amp;"C"&amp;$A26)+$A$4*$A$4*RTD("tos.rtd",,"OPEN_INT","."&amp;E$2&amp;E$1&amp;"P"&amp;$A26)*RTD("tos.rtd",,"GAMMA","."&amp;E$2&amp;E$1&amp;"P"&amp;$A26))/1000000,($A$4*$A$4*RTD("tos.rtd",,"OPEN_INT","."&amp;E$2&amp;E$1&amp;"C"&amp;$A26)*RTD("tos.rtd",,"GAMMA","."&amp;E$2&amp;E$1&amp;"C"&amp;$A26)-$A$4*$A$4*RTD("tos.rtd",,"OPEN_INT","."&amp;E$2&amp;E$1&amp;"P"&amp;$A26)*RTD("tos.rtd",,"GAMMA","."&amp;E$2&amp;E$1&amp;"P"&amp;$A26))/1000000),0),IF($A$2="SKEW",IFERROR(VALUE(IF(RTD("tos.rtd",,"IMPL_VOL","."&amp;E$2&amp;E$1&amp;"P"&amp;$A26)="N/A",0,RTD("tos.rtd",,"IMPL_VOL","."&amp;E$2&amp;E$1&amp;"P"&amp;$A26))),0)-IFERROR(VALUE(IF(RTD("tos.rtd",,"IMPL_VOL","."&amp;E$2&amp;E$1&amp;"C"&amp;$A26)="N/A",0,RTD("tos.rtd",,"IMPL_VOL","."&amp;E$2&amp;E$1&amp;"C"&amp;$A26))),0),IF($A$2="MAXPAIN",IF($A$4&gt;$A26,($A$4-$A26)*IF(RTD("tos.rtd",,"OPEN_INT","."&amp;E$2&amp;E$1&amp;"C"&amp;$A26)="N/A",0,RTD("tos.rtd",,"OPEN_INT","."&amp;E$2&amp;E$1&amp;"C"&amp;$A26)),0)+IF($A$4&lt;$A26,($A$5-$A$4)*IF(RTD("tos.rtd",,"OPEN_INT","."&amp;E$2&amp;E$1&amp;"P"&amp;$A26)="N/A",0,RTD("tos.rtd",,"OPEN_INT","."&amp;E$2&amp;E$1&amp;"P"&amp;$A26)),0),IF($X$1="ABS",IF(RTD("tos.rtd",,$A$2,"."&amp;E$2&amp;E$1&amp;"C"&amp;$A26)="N/A",0,RTD("tos.rtd",,$A$2,"."&amp;E$2&amp;E$1&amp;"C"&amp;$A26))+IF(RTD("tos.rtd",,$A$2,"."&amp;E$2&amp;E$1&amp;"P"&amp;$A26)="N/A",0,RTD("tos.rtd",,$A$2,"."&amp;E$2&amp;E$1&amp;"P"&amp;$A26)),IF(RTD("tos.rtd",,$A$2,"."&amp;E$2&amp;E$1&amp;"C"&amp;$A26)="N/A",0,RTD("tos.rtd",,$A$2,"."&amp;E$2&amp;E$1&amp;"C"&amp;$A26))-IF(RTD("tos.rtd",,$A$2,"."&amp;E$2&amp;E$1&amp;"P"&amp;$A26)="N/A",0,RTD("tos.rtd",,$A$2,"."&amp;E$2&amp;E$1&amp;"P"&amp;$A26))))))))))</f>
        <v>2752</v>
      </c>
      <c r="F26" s="12">
        <f ca="1">IF($A$2="PREMIUM_OI",IFERROR(IF($X$1="ABS",(100*RTD("tos.rtd",,"OPEN_INT","."&amp;F$2&amp;F$1&amp;"C"&amp;$A26)*RTD("tos.rtd",,"LAST","."&amp;F$2&amp;F$1&amp;"C"&amp;$A26)+100*RTD("tos.rtd",,"OPEN_INT","."&amp;F$2&amp;F$1&amp;"P"&amp;$A26)*RTD("tos.rtd",,"LAST","."&amp;F$2&amp;F$1&amp;"P"&amp;$A26))/1000000,(100*RTD("tos.rtd",,"OPEN_INT","."&amp;F$2&amp;F$1&amp;"C"&amp;$A26)*RTD("tos.rtd",,"LAST","."&amp;F$2&amp;F$1&amp;"C"&amp;$A26)-100*RTD("tos.rtd",,"OPEN_INT","."&amp;F$2&amp;F$1&amp;"P"&amp;$A26)*RTD("tos.rtd",,"LAST","."&amp;F$2&amp;F$1&amp;"P"&amp;$A26))/1000000),0),IF($A$2="PREMIUM",IFERROR(IF($X$1="ABS",(100*RTD("tos.rtd",,"VOLUME","."&amp;F$2&amp;F$1&amp;"C"&amp;$A26)*RTD("tos.rtd",,"LAST","."&amp;F$2&amp;F$1&amp;"C"&amp;$A26)+100*RTD("tos.rtd",,"VOLUME","."&amp;F$2&amp;F$1&amp;"P"&amp;$A26)*RTD("tos.rtd",,"LAST","."&amp;F$2&amp;F$1&amp;"P"&amp;$A26))/1000000,(100*RTD("tos.rtd",,"VOLUME","."&amp;F$2&amp;F$1&amp;"C"&amp;$A26)*RTD("tos.rtd",,"LAST","."&amp;F$2&amp;F$1&amp;"C"&amp;$A26)-100*RTD("tos.rtd",,"VOLUME","."&amp;F$2&amp;F$1&amp;"P"&amp;$A26)*RTD("tos.rtd",,"LAST","."&amp;F$2&amp;F$1&amp;"P"&amp;$A26))/1000000),0),IF($A$2="DEX",IFERROR(IF($X$1="ABS",(100*RTD("tos.rtd",,"OPEN_INT","."&amp;F$2&amp;F$1&amp;"C"&amp;$A26)*RTD("tos.rtd",,"DELTA","."&amp;F$2&amp;F$1&amp;"C"&amp;$A26)+100*RTD("tos.rtd",,"OPEN_INT","."&amp;F$2&amp;F$1&amp;"P"&amp;$A26)*RTD("tos.rtd",,"DELTA","."&amp;F$2&amp;F$1&amp;"P"&amp;$A26))/1000,(100*RTD("tos.rtd",,"OPEN_INT","."&amp;F$2&amp;F$1&amp;"C"&amp;$A26)*RTD("tos.rtd",,"DELTA","."&amp;F$2&amp;F$1&amp;"C"&amp;$A26)-100*RTD("tos.rtd",,"OPEN_INT","."&amp;F$2&amp;F$1&amp;"P"&amp;$A26)*RTD("tos.rtd",,"DELTA","."&amp;F$2&amp;F$1&amp;"P"&amp;$A26))/1000),0),IF($A$2="VEX",IFERROR(IF($X$1="ABS",($A$4*$A$4*RTD("tos.rtd",,"VOLUME","."&amp;F$2&amp;F$1&amp;"C"&amp;$A26)*RTD("tos.rtd",,"GAMMA","."&amp;F$2&amp;F$1&amp;"C"&amp;$A26)+$A$4*$A$4*RTD("tos.rtd",,"VOLUME","."&amp;F$2&amp;F$1&amp;"P"&amp;$A26)*RTD("tos.rtd",,"GAMMA","."&amp;F$2&amp;F$1&amp;"P"&amp;$A26))/1000000,($A$4*$A$4*RTD("tos.rtd",,"VOLUME","."&amp;F$2&amp;F$1&amp;"C"&amp;$A26)*RTD("tos.rtd",,"GAMMA","."&amp;F$2&amp;F$1&amp;"C"&amp;$A26)-$A$4*$A$4*RTD("tos.rtd",,"VOLUME","."&amp;F$2&amp;F$1&amp;"P"&amp;$A26)*RTD("tos.rtd",,"GAMMA","."&amp;F$2&amp;F$1&amp;"P"&amp;$A26))/1000000),0),IF($A$2="GEX",IFERROR(IF($X$1="ABS",($A$4*$A$4*RTD("tos.rtd",,"OPEN_INT","."&amp;F$2&amp;F$1&amp;"C"&amp;$A26)*RTD("tos.rtd",,"GAMMA","."&amp;F$2&amp;F$1&amp;"C"&amp;$A26)+$A$4*$A$4*RTD("tos.rtd",,"OPEN_INT","."&amp;F$2&amp;F$1&amp;"P"&amp;$A26)*RTD("tos.rtd",,"GAMMA","."&amp;F$2&amp;F$1&amp;"P"&amp;$A26))/1000000,($A$4*$A$4*RTD("tos.rtd",,"OPEN_INT","."&amp;F$2&amp;F$1&amp;"C"&amp;$A26)*RTD("tos.rtd",,"GAMMA","."&amp;F$2&amp;F$1&amp;"C"&amp;$A26)-$A$4*$A$4*RTD("tos.rtd",,"OPEN_INT","."&amp;F$2&amp;F$1&amp;"P"&amp;$A26)*RTD("tos.rtd",,"GAMMA","."&amp;F$2&amp;F$1&amp;"P"&amp;$A26))/1000000),0),IF($A$2="SKEW",IFERROR(VALUE(IF(RTD("tos.rtd",,"IMPL_VOL","."&amp;F$2&amp;F$1&amp;"P"&amp;$A26)="N/A",0,RTD("tos.rtd",,"IMPL_VOL","."&amp;F$2&amp;F$1&amp;"P"&amp;$A26))),0)-IFERROR(VALUE(IF(RTD("tos.rtd",,"IMPL_VOL","."&amp;F$2&amp;F$1&amp;"C"&amp;$A26)="N/A",0,RTD("tos.rtd",,"IMPL_VOL","."&amp;F$2&amp;F$1&amp;"C"&amp;$A26))),0),IF($A$2="MAXPAIN",IF($A$4&gt;$A26,($A$4-$A26)*IF(RTD("tos.rtd",,"OPEN_INT","."&amp;F$2&amp;F$1&amp;"C"&amp;$A26)="N/A",0,RTD("tos.rtd",,"OPEN_INT","."&amp;F$2&amp;F$1&amp;"C"&amp;$A26)),0)+IF($A$4&lt;$A26,($A$5-$A$4)*IF(RTD("tos.rtd",,"OPEN_INT","."&amp;F$2&amp;F$1&amp;"P"&amp;$A26)="N/A",0,RTD("tos.rtd",,"OPEN_INT","."&amp;F$2&amp;F$1&amp;"P"&amp;$A26)),0),IF($X$1="ABS",IF(RTD("tos.rtd",,$A$2,"."&amp;F$2&amp;F$1&amp;"C"&amp;$A26)="N/A",0,RTD("tos.rtd",,$A$2,"."&amp;F$2&amp;F$1&amp;"C"&amp;$A26))+IF(RTD("tos.rtd",,$A$2,"."&amp;F$2&amp;F$1&amp;"P"&amp;$A26)="N/A",0,RTD("tos.rtd",,$A$2,"."&amp;F$2&amp;F$1&amp;"P"&amp;$A26)),IF(RTD("tos.rtd",,$A$2,"."&amp;F$2&amp;F$1&amp;"C"&amp;$A26)="N/A",0,RTD("tos.rtd",,$A$2,"."&amp;F$2&amp;F$1&amp;"C"&amp;$A26))-IF(RTD("tos.rtd",,$A$2,"."&amp;F$2&amp;F$1&amp;"P"&amp;$A26)="N/A",0,RTD("tos.rtd",,$A$2,"."&amp;F$2&amp;F$1&amp;"P"&amp;$A26))))))))))</f>
        <v>228</v>
      </c>
      <c r="G26" s="57">
        <f ca="1">IF($A$2="PREMIUM_OI",IFERROR(IF($X$1="ABS",(100*RTD("tos.rtd",,"OPEN_INT","."&amp;G$2&amp;G$1&amp;"C"&amp;$A26)*RTD("tos.rtd",,"LAST","."&amp;G$2&amp;G$1&amp;"C"&amp;$A26)+100*RTD("tos.rtd",,"OPEN_INT","."&amp;G$2&amp;G$1&amp;"P"&amp;$A26)*RTD("tos.rtd",,"LAST","."&amp;G$2&amp;G$1&amp;"P"&amp;$A26))/1000000,(100*RTD("tos.rtd",,"OPEN_INT","."&amp;G$2&amp;G$1&amp;"C"&amp;$A26)*RTD("tos.rtd",,"LAST","."&amp;G$2&amp;G$1&amp;"C"&amp;$A26)-100*RTD("tos.rtd",,"OPEN_INT","."&amp;G$2&amp;G$1&amp;"P"&amp;$A26)*RTD("tos.rtd",,"LAST","."&amp;G$2&amp;G$1&amp;"P"&amp;$A26))/1000000),0),IF($A$2="PREMIUM",IFERROR(IF($X$1="ABS",(100*RTD("tos.rtd",,"VOLUME","."&amp;G$2&amp;G$1&amp;"C"&amp;$A26)*RTD("tos.rtd",,"LAST","."&amp;G$2&amp;G$1&amp;"C"&amp;$A26)+100*RTD("tos.rtd",,"VOLUME","."&amp;G$2&amp;G$1&amp;"P"&amp;$A26)*RTD("tos.rtd",,"LAST","."&amp;G$2&amp;G$1&amp;"P"&amp;$A26))/1000000,(100*RTD("tos.rtd",,"VOLUME","."&amp;G$2&amp;G$1&amp;"C"&amp;$A26)*RTD("tos.rtd",,"LAST","."&amp;G$2&amp;G$1&amp;"C"&amp;$A26)-100*RTD("tos.rtd",,"VOLUME","."&amp;G$2&amp;G$1&amp;"P"&amp;$A26)*RTD("tos.rtd",,"LAST","."&amp;G$2&amp;G$1&amp;"P"&amp;$A26))/1000000),0),IF($A$2="DEX",IFERROR(IF($X$1="ABS",(100*RTD("tos.rtd",,"OPEN_INT","."&amp;G$2&amp;G$1&amp;"C"&amp;$A26)*RTD("tos.rtd",,"DELTA","."&amp;G$2&amp;G$1&amp;"C"&amp;$A26)+100*RTD("tos.rtd",,"OPEN_INT","."&amp;G$2&amp;G$1&amp;"P"&amp;$A26)*RTD("tos.rtd",,"DELTA","."&amp;G$2&amp;G$1&amp;"P"&amp;$A26))/1000,(100*RTD("tos.rtd",,"OPEN_INT","."&amp;G$2&amp;G$1&amp;"C"&amp;$A26)*RTD("tos.rtd",,"DELTA","."&amp;G$2&amp;G$1&amp;"C"&amp;$A26)-100*RTD("tos.rtd",,"OPEN_INT","."&amp;G$2&amp;G$1&amp;"P"&amp;$A26)*RTD("tos.rtd",,"DELTA","."&amp;G$2&amp;G$1&amp;"P"&amp;$A26))/1000),0),IF($A$2="VEX",IFERROR(IF($X$1="ABS",($A$4*$A$4*RTD("tos.rtd",,"VOLUME","."&amp;G$2&amp;G$1&amp;"C"&amp;$A26)*RTD("tos.rtd",,"GAMMA","."&amp;G$2&amp;G$1&amp;"C"&amp;$A26)+$A$4*$A$4*RTD("tos.rtd",,"VOLUME","."&amp;G$2&amp;G$1&amp;"P"&amp;$A26)*RTD("tos.rtd",,"GAMMA","."&amp;G$2&amp;G$1&amp;"P"&amp;$A26))/1000000,($A$4*$A$4*RTD("tos.rtd",,"VOLUME","."&amp;G$2&amp;G$1&amp;"C"&amp;$A26)*RTD("tos.rtd",,"GAMMA","."&amp;G$2&amp;G$1&amp;"C"&amp;$A26)-$A$4*$A$4*RTD("tos.rtd",,"VOLUME","."&amp;G$2&amp;G$1&amp;"P"&amp;$A26)*RTD("tos.rtd",,"GAMMA","."&amp;G$2&amp;G$1&amp;"P"&amp;$A26))/1000000),0),IF($A$2="GEX",IFERROR(IF($X$1="ABS",($A$4*$A$4*RTD("tos.rtd",,"OPEN_INT","."&amp;G$2&amp;G$1&amp;"C"&amp;$A26)*RTD("tos.rtd",,"GAMMA","."&amp;G$2&amp;G$1&amp;"C"&amp;$A26)+$A$4*$A$4*RTD("tos.rtd",,"OPEN_INT","."&amp;G$2&amp;G$1&amp;"P"&amp;$A26)*RTD("tos.rtd",,"GAMMA","."&amp;G$2&amp;G$1&amp;"P"&amp;$A26))/1000000,($A$4*$A$4*RTD("tos.rtd",,"OPEN_INT","."&amp;G$2&amp;G$1&amp;"C"&amp;$A26)*RTD("tos.rtd",,"GAMMA","."&amp;G$2&amp;G$1&amp;"C"&amp;$A26)-$A$4*$A$4*RTD("tos.rtd",,"OPEN_INT","."&amp;G$2&amp;G$1&amp;"P"&amp;$A26)*RTD("tos.rtd",,"GAMMA","."&amp;G$2&amp;G$1&amp;"P"&amp;$A26))/1000000),0),IF($A$2="SKEW",IFERROR(VALUE(IF(RTD("tos.rtd",,"IMPL_VOL","."&amp;G$2&amp;G$1&amp;"P"&amp;$A26)="N/A",0,RTD("tos.rtd",,"IMPL_VOL","."&amp;G$2&amp;G$1&amp;"P"&amp;$A26))),0)-IFERROR(VALUE(IF(RTD("tos.rtd",,"IMPL_VOL","."&amp;G$2&amp;G$1&amp;"C"&amp;$A26)="N/A",0,RTD("tos.rtd",,"IMPL_VOL","."&amp;G$2&amp;G$1&amp;"C"&amp;$A26))),0),IF($A$2="MAXPAIN",IF($A$4&gt;$A26,($A$4-$A26)*IF(RTD("tos.rtd",,"OPEN_INT","."&amp;G$2&amp;G$1&amp;"C"&amp;$A26)="N/A",0,RTD("tos.rtd",,"OPEN_INT","."&amp;G$2&amp;G$1&amp;"C"&amp;$A26)),0)+IF($A$4&lt;$A26,($A$5-$A$4)*IF(RTD("tos.rtd",,"OPEN_INT","."&amp;G$2&amp;G$1&amp;"P"&amp;$A26)="N/A",0,RTD("tos.rtd",,"OPEN_INT","."&amp;G$2&amp;G$1&amp;"P"&amp;$A26)),0),IF($X$1="ABS",IF(RTD("tos.rtd",,$A$2,"."&amp;G$2&amp;G$1&amp;"C"&amp;$A26)="N/A",0,RTD("tos.rtd",,$A$2,"."&amp;G$2&amp;G$1&amp;"C"&amp;$A26))+IF(RTD("tos.rtd",,$A$2,"."&amp;G$2&amp;G$1&amp;"P"&amp;$A26)="N/A",0,RTD("tos.rtd",,$A$2,"."&amp;G$2&amp;G$1&amp;"P"&amp;$A26)),IF(RTD("tos.rtd",,$A$2,"."&amp;G$2&amp;G$1&amp;"C"&amp;$A26)="N/A",0,RTD("tos.rtd",,$A$2,"."&amp;G$2&amp;G$1&amp;"C"&amp;$A26))-IF(RTD("tos.rtd",,$A$2,"."&amp;G$2&amp;G$1&amp;"P"&amp;$A26)="N/A",0,RTD("tos.rtd",,$A$2,"."&amp;G$2&amp;G$1&amp;"P"&amp;$A26))))))))))</f>
        <v>123</v>
      </c>
      <c r="H26" s="14">
        <f ca="1">IF($A$2="PREMIUM_OI",IFERROR(IF($X$1="ABS",(100*RTD("tos.rtd",,"OPEN_INT","."&amp;H$2&amp;H$1&amp;"C"&amp;$A26)*RTD("tos.rtd",,"LAST","."&amp;H$2&amp;H$1&amp;"C"&amp;$A26)+100*RTD("tos.rtd",,"OPEN_INT","."&amp;H$2&amp;H$1&amp;"P"&amp;$A26)*RTD("tos.rtd",,"LAST","."&amp;H$2&amp;H$1&amp;"P"&amp;$A26))/1000000,(100*RTD("tos.rtd",,"OPEN_INT","."&amp;H$2&amp;H$1&amp;"C"&amp;$A26)*RTD("tos.rtd",,"LAST","."&amp;H$2&amp;H$1&amp;"C"&amp;$A26)-100*RTD("tos.rtd",,"OPEN_INT","."&amp;H$2&amp;H$1&amp;"P"&amp;$A26)*RTD("tos.rtd",,"LAST","."&amp;H$2&amp;H$1&amp;"P"&amp;$A26))/1000000),0),IF($A$2="PREMIUM",IFERROR(IF($X$1="ABS",(100*RTD("tos.rtd",,"VOLUME","."&amp;H$2&amp;H$1&amp;"C"&amp;$A26)*RTD("tos.rtd",,"LAST","."&amp;H$2&amp;H$1&amp;"C"&amp;$A26)+100*RTD("tos.rtd",,"VOLUME","."&amp;H$2&amp;H$1&amp;"P"&amp;$A26)*RTD("tos.rtd",,"LAST","."&amp;H$2&amp;H$1&amp;"P"&amp;$A26))/1000000,(100*RTD("tos.rtd",,"VOLUME","."&amp;H$2&amp;H$1&amp;"C"&amp;$A26)*RTD("tos.rtd",,"LAST","."&amp;H$2&amp;H$1&amp;"C"&amp;$A26)-100*RTD("tos.rtd",,"VOLUME","."&amp;H$2&amp;H$1&amp;"P"&amp;$A26)*RTD("tos.rtd",,"LAST","."&amp;H$2&amp;H$1&amp;"P"&amp;$A26))/1000000),0),IF($A$2="DEX",IFERROR(IF($X$1="ABS",(100*RTD("tos.rtd",,"OPEN_INT","."&amp;H$2&amp;H$1&amp;"C"&amp;$A26)*RTD("tos.rtd",,"DELTA","."&amp;H$2&amp;H$1&amp;"C"&amp;$A26)+100*RTD("tos.rtd",,"OPEN_INT","."&amp;H$2&amp;H$1&amp;"P"&amp;$A26)*RTD("tos.rtd",,"DELTA","."&amp;H$2&amp;H$1&amp;"P"&amp;$A26))/1000,(100*RTD("tos.rtd",,"OPEN_INT","."&amp;H$2&amp;H$1&amp;"C"&amp;$A26)*RTD("tos.rtd",,"DELTA","."&amp;H$2&amp;H$1&amp;"C"&amp;$A26)-100*RTD("tos.rtd",,"OPEN_INT","."&amp;H$2&amp;H$1&amp;"P"&amp;$A26)*RTD("tos.rtd",,"DELTA","."&amp;H$2&amp;H$1&amp;"P"&amp;$A26))/1000),0),IF($A$2="VEX",IFERROR(IF($X$1="ABS",($A$4*$A$4*RTD("tos.rtd",,"VOLUME","."&amp;H$2&amp;H$1&amp;"C"&amp;$A26)*RTD("tos.rtd",,"GAMMA","."&amp;H$2&amp;H$1&amp;"C"&amp;$A26)+$A$4*$A$4*RTD("tos.rtd",,"VOLUME","."&amp;H$2&amp;H$1&amp;"P"&amp;$A26)*RTD("tos.rtd",,"GAMMA","."&amp;H$2&amp;H$1&amp;"P"&amp;$A26))/1000000,($A$4*$A$4*RTD("tos.rtd",,"VOLUME","."&amp;H$2&amp;H$1&amp;"C"&amp;$A26)*RTD("tos.rtd",,"GAMMA","."&amp;H$2&amp;H$1&amp;"C"&amp;$A26)-$A$4*$A$4*RTD("tos.rtd",,"VOLUME","."&amp;H$2&amp;H$1&amp;"P"&amp;$A26)*RTD("tos.rtd",,"GAMMA","."&amp;H$2&amp;H$1&amp;"P"&amp;$A26))/1000000),0),IF($A$2="GEX",IFERROR(IF($X$1="ABS",($A$4*$A$4*RTD("tos.rtd",,"OPEN_INT","."&amp;H$2&amp;H$1&amp;"C"&amp;$A26)*RTD("tos.rtd",,"GAMMA","."&amp;H$2&amp;H$1&amp;"C"&amp;$A26)+$A$4*$A$4*RTD("tos.rtd",,"OPEN_INT","."&amp;H$2&amp;H$1&amp;"P"&amp;$A26)*RTD("tos.rtd",,"GAMMA","."&amp;H$2&amp;H$1&amp;"P"&amp;$A26))/1000000,($A$4*$A$4*RTD("tos.rtd",,"OPEN_INT","."&amp;H$2&amp;H$1&amp;"C"&amp;$A26)*RTD("tos.rtd",,"GAMMA","."&amp;H$2&amp;H$1&amp;"C"&amp;$A26)-$A$4*$A$4*RTD("tos.rtd",,"OPEN_INT","."&amp;H$2&amp;H$1&amp;"P"&amp;$A26)*RTD("tos.rtd",,"GAMMA","."&amp;H$2&amp;H$1&amp;"P"&amp;$A26))/1000000),0),IF($A$2="SKEW",IFERROR(VALUE(IF(RTD("tos.rtd",,"IMPL_VOL","."&amp;H$2&amp;H$1&amp;"P"&amp;$A26)="N/A",0,RTD("tos.rtd",,"IMPL_VOL","."&amp;H$2&amp;H$1&amp;"P"&amp;$A26))),0)-IFERROR(VALUE(IF(RTD("tos.rtd",,"IMPL_VOL","."&amp;H$2&amp;H$1&amp;"C"&amp;$A26)="N/A",0,RTD("tos.rtd",,"IMPL_VOL","."&amp;H$2&amp;H$1&amp;"C"&amp;$A26))),0),IF($A$2="MAXPAIN",IF($A$4&gt;$A26,($A$4-$A26)*IF(RTD("tos.rtd",,"OPEN_INT","."&amp;H$2&amp;H$1&amp;"C"&amp;$A26)="N/A",0,RTD("tos.rtd",,"OPEN_INT","."&amp;H$2&amp;H$1&amp;"C"&amp;$A26)),0)+IF($A$4&lt;$A26,($A$5-$A$4)*IF(RTD("tos.rtd",,"OPEN_INT","."&amp;H$2&amp;H$1&amp;"P"&amp;$A26)="N/A",0,RTD("tos.rtd",,"OPEN_INT","."&amp;H$2&amp;H$1&amp;"P"&amp;$A26)),0),IF($X$1="ABS",IF(RTD("tos.rtd",,$A$2,"."&amp;H$2&amp;H$1&amp;"C"&amp;$A26)="N/A",0,RTD("tos.rtd",,$A$2,"."&amp;H$2&amp;H$1&amp;"C"&amp;$A26))+IF(RTD("tos.rtd",,$A$2,"."&amp;H$2&amp;H$1&amp;"P"&amp;$A26)="N/A",0,RTD("tos.rtd",,$A$2,"."&amp;H$2&amp;H$1&amp;"P"&amp;$A26)),IF(RTD("tos.rtd",,$A$2,"."&amp;H$2&amp;H$1&amp;"C"&amp;$A26)="N/A",0,RTD("tos.rtd",,$A$2,"."&amp;H$2&amp;H$1&amp;"C"&amp;$A26))-IF(RTD("tos.rtd",,$A$2,"."&amp;H$2&amp;H$1&amp;"P"&amp;$A26)="N/A",0,RTD("tos.rtd",,$A$2,"."&amp;H$2&amp;H$1&amp;"P"&amp;$A26))))))))))</f>
        <v>4753</v>
      </c>
      <c r="I26" s="12">
        <f ca="1">IF($A$2="PREMIUM_OI",IFERROR(IF($X$1="ABS",(100*RTD("tos.rtd",,"OPEN_INT","."&amp;I$2&amp;I$1&amp;"C"&amp;$A26)*RTD("tos.rtd",,"LAST","."&amp;I$2&amp;I$1&amp;"C"&amp;$A26)+100*RTD("tos.rtd",,"OPEN_INT","."&amp;I$2&amp;I$1&amp;"P"&amp;$A26)*RTD("tos.rtd",,"LAST","."&amp;I$2&amp;I$1&amp;"P"&amp;$A26))/1000000,(100*RTD("tos.rtd",,"OPEN_INT","."&amp;I$2&amp;I$1&amp;"C"&amp;$A26)*RTD("tos.rtd",,"LAST","."&amp;I$2&amp;I$1&amp;"C"&amp;$A26)-100*RTD("tos.rtd",,"OPEN_INT","."&amp;I$2&amp;I$1&amp;"P"&amp;$A26)*RTD("tos.rtd",,"LAST","."&amp;I$2&amp;I$1&amp;"P"&amp;$A26))/1000000),0),IF($A$2="PREMIUM",IFERROR(IF($X$1="ABS",(100*RTD("tos.rtd",,"VOLUME","."&amp;I$2&amp;I$1&amp;"C"&amp;$A26)*RTD("tos.rtd",,"LAST","."&amp;I$2&amp;I$1&amp;"C"&amp;$A26)+100*RTD("tos.rtd",,"VOLUME","."&amp;I$2&amp;I$1&amp;"P"&amp;$A26)*RTD("tos.rtd",,"LAST","."&amp;I$2&amp;I$1&amp;"P"&amp;$A26))/1000000,(100*RTD("tos.rtd",,"VOLUME","."&amp;I$2&amp;I$1&amp;"C"&amp;$A26)*RTD("tos.rtd",,"LAST","."&amp;I$2&amp;I$1&amp;"C"&amp;$A26)-100*RTD("tos.rtd",,"VOLUME","."&amp;I$2&amp;I$1&amp;"P"&amp;$A26)*RTD("tos.rtd",,"LAST","."&amp;I$2&amp;I$1&amp;"P"&amp;$A26))/1000000),0),IF($A$2="DEX",IFERROR(IF($X$1="ABS",(100*RTD("tos.rtd",,"OPEN_INT","."&amp;I$2&amp;I$1&amp;"C"&amp;$A26)*RTD("tos.rtd",,"DELTA","."&amp;I$2&amp;I$1&amp;"C"&amp;$A26)+100*RTD("tos.rtd",,"OPEN_INT","."&amp;I$2&amp;I$1&amp;"P"&amp;$A26)*RTD("tos.rtd",,"DELTA","."&amp;I$2&amp;I$1&amp;"P"&amp;$A26))/1000,(100*RTD("tos.rtd",,"OPEN_INT","."&amp;I$2&amp;I$1&amp;"C"&amp;$A26)*RTD("tos.rtd",,"DELTA","."&amp;I$2&amp;I$1&amp;"C"&amp;$A26)-100*RTD("tos.rtd",,"OPEN_INT","."&amp;I$2&amp;I$1&amp;"P"&amp;$A26)*RTD("tos.rtd",,"DELTA","."&amp;I$2&amp;I$1&amp;"P"&amp;$A26))/1000),0),IF($A$2="VEX",IFERROR(IF($X$1="ABS",($A$4*$A$4*RTD("tos.rtd",,"VOLUME","."&amp;I$2&amp;I$1&amp;"C"&amp;$A26)*RTD("tos.rtd",,"GAMMA","."&amp;I$2&amp;I$1&amp;"C"&amp;$A26)+$A$4*$A$4*RTD("tos.rtd",,"VOLUME","."&amp;I$2&amp;I$1&amp;"P"&amp;$A26)*RTD("tos.rtd",,"GAMMA","."&amp;I$2&amp;I$1&amp;"P"&amp;$A26))/1000000,($A$4*$A$4*RTD("tos.rtd",,"VOLUME","."&amp;I$2&amp;I$1&amp;"C"&amp;$A26)*RTD("tos.rtd",,"GAMMA","."&amp;I$2&amp;I$1&amp;"C"&amp;$A26)-$A$4*$A$4*RTD("tos.rtd",,"VOLUME","."&amp;I$2&amp;I$1&amp;"P"&amp;$A26)*RTD("tos.rtd",,"GAMMA","."&amp;I$2&amp;I$1&amp;"P"&amp;$A26))/1000000),0),IF($A$2="GEX",IFERROR(IF($X$1="ABS",($A$4*$A$4*RTD("tos.rtd",,"OPEN_INT","."&amp;I$2&amp;I$1&amp;"C"&amp;$A26)*RTD("tos.rtd",,"GAMMA","."&amp;I$2&amp;I$1&amp;"C"&amp;$A26)+$A$4*$A$4*RTD("tos.rtd",,"OPEN_INT","."&amp;I$2&amp;I$1&amp;"P"&amp;$A26)*RTD("tos.rtd",,"GAMMA","."&amp;I$2&amp;I$1&amp;"P"&amp;$A26))/1000000,($A$4*$A$4*RTD("tos.rtd",,"OPEN_INT","."&amp;I$2&amp;I$1&amp;"C"&amp;$A26)*RTD("tos.rtd",,"GAMMA","."&amp;I$2&amp;I$1&amp;"C"&amp;$A26)-$A$4*$A$4*RTD("tos.rtd",,"OPEN_INT","."&amp;I$2&amp;I$1&amp;"P"&amp;$A26)*RTD("tos.rtd",,"GAMMA","."&amp;I$2&amp;I$1&amp;"P"&amp;$A26))/1000000),0),IF($A$2="SKEW",IFERROR(VALUE(IF(RTD("tos.rtd",,"IMPL_VOL","."&amp;I$2&amp;I$1&amp;"P"&amp;$A26)="N/A",0,RTD("tos.rtd",,"IMPL_VOL","."&amp;I$2&amp;I$1&amp;"P"&amp;$A26))),0)-IFERROR(VALUE(IF(RTD("tos.rtd",,"IMPL_VOL","."&amp;I$2&amp;I$1&amp;"C"&amp;$A26)="N/A",0,RTD("tos.rtd",,"IMPL_VOL","."&amp;I$2&amp;I$1&amp;"C"&amp;$A26))),0),IF($A$2="MAXPAIN",IF($A$4&gt;$A26,($A$4-$A26)*IF(RTD("tos.rtd",,"OPEN_INT","."&amp;I$2&amp;I$1&amp;"C"&amp;$A26)="N/A",0,RTD("tos.rtd",,"OPEN_INT","."&amp;I$2&amp;I$1&amp;"C"&amp;$A26)),0)+IF($A$4&lt;$A26,($A$5-$A$4)*IF(RTD("tos.rtd",,"OPEN_INT","."&amp;I$2&amp;I$1&amp;"P"&amp;$A26)="N/A",0,RTD("tos.rtd",,"OPEN_INT","."&amp;I$2&amp;I$1&amp;"P"&amp;$A26)),0),IF($X$1="ABS",IF(RTD("tos.rtd",,$A$2,"."&amp;I$2&amp;I$1&amp;"C"&amp;$A26)="N/A",0,RTD("tos.rtd",,$A$2,"."&amp;I$2&amp;I$1&amp;"C"&amp;$A26))+IF(RTD("tos.rtd",,$A$2,"."&amp;I$2&amp;I$1&amp;"P"&amp;$A26)="N/A",0,RTD("tos.rtd",,$A$2,"."&amp;I$2&amp;I$1&amp;"P"&amp;$A26)),IF(RTD("tos.rtd",,$A$2,"."&amp;I$2&amp;I$1&amp;"C"&amp;$A26)="N/A",0,RTD("tos.rtd",,$A$2,"."&amp;I$2&amp;I$1&amp;"C"&amp;$A26))-IF(RTD("tos.rtd",,$A$2,"."&amp;I$2&amp;I$1&amp;"P"&amp;$A26)="N/A",0,RTD("tos.rtd",,$A$2,"."&amp;I$2&amp;I$1&amp;"P"&amp;$A26))))))))))</f>
        <v>376</v>
      </c>
      <c r="J26" s="12">
        <f ca="1">IF($A$2="PREMIUM_OI",IFERROR(IF($X$1="ABS",(100*RTD("tos.rtd",,"OPEN_INT","."&amp;J$2&amp;J$1&amp;"C"&amp;$A26)*RTD("tos.rtd",,"LAST","."&amp;J$2&amp;J$1&amp;"C"&amp;$A26)+100*RTD("tos.rtd",,"OPEN_INT","."&amp;J$2&amp;J$1&amp;"P"&amp;$A26)*RTD("tos.rtd",,"LAST","."&amp;J$2&amp;J$1&amp;"P"&amp;$A26))/1000000,(100*RTD("tos.rtd",,"OPEN_INT","."&amp;J$2&amp;J$1&amp;"C"&amp;$A26)*RTD("tos.rtd",,"LAST","."&amp;J$2&amp;J$1&amp;"C"&amp;$A26)-100*RTD("tos.rtd",,"OPEN_INT","."&amp;J$2&amp;J$1&amp;"P"&amp;$A26)*RTD("tos.rtd",,"LAST","."&amp;J$2&amp;J$1&amp;"P"&amp;$A26))/1000000),0),IF($A$2="PREMIUM",IFERROR(IF($X$1="ABS",(100*RTD("tos.rtd",,"VOLUME","."&amp;J$2&amp;J$1&amp;"C"&amp;$A26)*RTD("tos.rtd",,"LAST","."&amp;J$2&amp;J$1&amp;"C"&amp;$A26)+100*RTD("tos.rtd",,"VOLUME","."&amp;J$2&amp;J$1&amp;"P"&amp;$A26)*RTD("tos.rtd",,"LAST","."&amp;J$2&amp;J$1&amp;"P"&amp;$A26))/1000000,(100*RTD("tos.rtd",,"VOLUME","."&amp;J$2&amp;J$1&amp;"C"&amp;$A26)*RTD("tos.rtd",,"LAST","."&amp;J$2&amp;J$1&amp;"C"&amp;$A26)-100*RTD("tos.rtd",,"VOLUME","."&amp;J$2&amp;J$1&amp;"P"&amp;$A26)*RTD("tos.rtd",,"LAST","."&amp;J$2&amp;J$1&amp;"P"&amp;$A26))/1000000),0),IF($A$2="DEX",IFERROR(IF($X$1="ABS",(100*RTD("tos.rtd",,"OPEN_INT","."&amp;J$2&amp;J$1&amp;"C"&amp;$A26)*RTD("tos.rtd",,"DELTA","."&amp;J$2&amp;J$1&amp;"C"&amp;$A26)+100*RTD("tos.rtd",,"OPEN_INT","."&amp;J$2&amp;J$1&amp;"P"&amp;$A26)*RTD("tos.rtd",,"DELTA","."&amp;J$2&amp;J$1&amp;"P"&amp;$A26))/1000,(100*RTD("tos.rtd",,"OPEN_INT","."&amp;J$2&amp;J$1&amp;"C"&amp;$A26)*RTD("tos.rtd",,"DELTA","."&amp;J$2&amp;J$1&amp;"C"&amp;$A26)-100*RTD("tos.rtd",,"OPEN_INT","."&amp;J$2&amp;J$1&amp;"P"&amp;$A26)*RTD("tos.rtd",,"DELTA","."&amp;J$2&amp;J$1&amp;"P"&amp;$A26))/1000),0),IF($A$2="VEX",IFERROR(IF($X$1="ABS",($A$4*$A$4*RTD("tos.rtd",,"VOLUME","."&amp;J$2&amp;J$1&amp;"C"&amp;$A26)*RTD("tos.rtd",,"GAMMA","."&amp;J$2&amp;J$1&amp;"C"&amp;$A26)+$A$4*$A$4*RTD("tos.rtd",,"VOLUME","."&amp;J$2&amp;J$1&amp;"P"&amp;$A26)*RTD("tos.rtd",,"GAMMA","."&amp;J$2&amp;J$1&amp;"P"&amp;$A26))/1000000,($A$4*$A$4*RTD("tos.rtd",,"VOLUME","."&amp;J$2&amp;J$1&amp;"C"&amp;$A26)*RTD("tos.rtd",,"GAMMA","."&amp;J$2&amp;J$1&amp;"C"&amp;$A26)-$A$4*$A$4*RTD("tos.rtd",,"VOLUME","."&amp;J$2&amp;J$1&amp;"P"&amp;$A26)*RTD("tos.rtd",,"GAMMA","."&amp;J$2&amp;J$1&amp;"P"&amp;$A26))/1000000),0),IF($A$2="GEX",IFERROR(IF($X$1="ABS",($A$4*$A$4*RTD("tos.rtd",,"OPEN_INT","."&amp;J$2&amp;J$1&amp;"C"&amp;$A26)*RTD("tos.rtd",,"GAMMA","."&amp;J$2&amp;J$1&amp;"C"&amp;$A26)+$A$4*$A$4*RTD("tos.rtd",,"OPEN_INT","."&amp;J$2&amp;J$1&amp;"P"&amp;$A26)*RTD("tos.rtd",,"GAMMA","."&amp;J$2&amp;J$1&amp;"P"&amp;$A26))/1000000,($A$4*$A$4*RTD("tos.rtd",,"OPEN_INT","."&amp;J$2&amp;J$1&amp;"C"&amp;$A26)*RTD("tos.rtd",,"GAMMA","."&amp;J$2&amp;J$1&amp;"C"&amp;$A26)-$A$4*$A$4*RTD("tos.rtd",,"OPEN_INT","."&amp;J$2&amp;J$1&amp;"P"&amp;$A26)*RTD("tos.rtd",,"GAMMA","."&amp;J$2&amp;J$1&amp;"P"&amp;$A26))/1000000),0),IF($A$2="SKEW",IFERROR(VALUE(IF(RTD("tos.rtd",,"IMPL_VOL","."&amp;J$2&amp;J$1&amp;"P"&amp;$A26)="N/A",0,RTD("tos.rtd",,"IMPL_VOL","."&amp;J$2&amp;J$1&amp;"P"&amp;$A26))),0)-IFERROR(VALUE(IF(RTD("tos.rtd",,"IMPL_VOL","."&amp;J$2&amp;J$1&amp;"C"&amp;$A26)="N/A",0,RTD("tos.rtd",,"IMPL_VOL","."&amp;J$2&amp;J$1&amp;"C"&amp;$A26))),0),IF($A$2="MAXPAIN",IF($A$4&gt;$A26,($A$4-$A26)*IF(RTD("tos.rtd",,"OPEN_INT","."&amp;J$2&amp;J$1&amp;"C"&amp;$A26)="N/A",0,RTD("tos.rtd",,"OPEN_INT","."&amp;J$2&amp;J$1&amp;"C"&amp;$A26)),0)+IF($A$4&lt;$A26,($A$5-$A$4)*IF(RTD("tos.rtd",,"OPEN_INT","."&amp;J$2&amp;J$1&amp;"P"&amp;$A26)="N/A",0,RTD("tos.rtd",,"OPEN_INT","."&amp;J$2&amp;J$1&amp;"P"&amp;$A26)),0),IF($X$1="ABS",IF(RTD("tos.rtd",,$A$2,"."&amp;J$2&amp;J$1&amp;"C"&amp;$A26)="N/A",0,RTD("tos.rtd",,$A$2,"."&amp;J$2&amp;J$1&amp;"C"&amp;$A26))+IF(RTD("tos.rtd",,$A$2,"."&amp;J$2&amp;J$1&amp;"P"&amp;$A26)="N/A",0,RTD("tos.rtd",,$A$2,"."&amp;J$2&amp;J$1&amp;"P"&amp;$A26)),IF(RTD("tos.rtd",,$A$2,"."&amp;J$2&amp;J$1&amp;"C"&amp;$A26)="N/A",0,RTD("tos.rtd",,$A$2,"."&amp;J$2&amp;J$1&amp;"C"&amp;$A26))-IF(RTD("tos.rtd",,$A$2,"."&amp;J$2&amp;J$1&amp;"P"&amp;$A26)="N/A",0,RTD("tos.rtd",,$A$2,"."&amp;J$2&amp;J$1&amp;"P"&amp;$A26))))))))))</f>
        <v>0</v>
      </c>
      <c r="K26" s="12">
        <f ca="1">IF($A$2="PREMIUM_OI",IFERROR(IF($X$1="ABS",(100*RTD("tos.rtd",,"OPEN_INT","."&amp;K$2&amp;K$1&amp;"C"&amp;$A26)*RTD("tos.rtd",,"LAST","."&amp;K$2&amp;K$1&amp;"C"&amp;$A26)+100*RTD("tos.rtd",,"OPEN_INT","."&amp;K$2&amp;K$1&amp;"P"&amp;$A26)*RTD("tos.rtd",,"LAST","."&amp;K$2&amp;K$1&amp;"P"&amp;$A26))/1000000,(100*RTD("tos.rtd",,"OPEN_INT","."&amp;K$2&amp;K$1&amp;"C"&amp;$A26)*RTD("tos.rtd",,"LAST","."&amp;K$2&amp;K$1&amp;"C"&amp;$A26)-100*RTD("tos.rtd",,"OPEN_INT","."&amp;K$2&amp;K$1&amp;"P"&amp;$A26)*RTD("tos.rtd",,"LAST","."&amp;K$2&amp;K$1&amp;"P"&amp;$A26))/1000000),0),IF($A$2="PREMIUM",IFERROR(IF($X$1="ABS",(100*RTD("tos.rtd",,"VOLUME","."&amp;K$2&amp;K$1&amp;"C"&amp;$A26)*RTD("tos.rtd",,"LAST","."&amp;K$2&amp;K$1&amp;"C"&amp;$A26)+100*RTD("tos.rtd",,"VOLUME","."&amp;K$2&amp;K$1&amp;"P"&amp;$A26)*RTD("tos.rtd",,"LAST","."&amp;K$2&amp;K$1&amp;"P"&amp;$A26))/1000000,(100*RTD("tos.rtd",,"VOLUME","."&amp;K$2&amp;K$1&amp;"C"&amp;$A26)*RTD("tos.rtd",,"LAST","."&amp;K$2&amp;K$1&amp;"C"&amp;$A26)-100*RTD("tos.rtd",,"VOLUME","."&amp;K$2&amp;K$1&amp;"P"&amp;$A26)*RTD("tos.rtd",,"LAST","."&amp;K$2&amp;K$1&amp;"P"&amp;$A26))/1000000),0),IF($A$2="DEX",IFERROR(IF($X$1="ABS",(100*RTD("tos.rtd",,"OPEN_INT","."&amp;K$2&amp;K$1&amp;"C"&amp;$A26)*RTD("tos.rtd",,"DELTA","."&amp;K$2&amp;K$1&amp;"C"&amp;$A26)+100*RTD("tos.rtd",,"OPEN_INT","."&amp;K$2&amp;K$1&amp;"P"&amp;$A26)*RTD("tos.rtd",,"DELTA","."&amp;K$2&amp;K$1&amp;"P"&amp;$A26))/1000,(100*RTD("tos.rtd",,"OPEN_INT","."&amp;K$2&amp;K$1&amp;"C"&amp;$A26)*RTD("tos.rtd",,"DELTA","."&amp;K$2&amp;K$1&amp;"C"&amp;$A26)-100*RTD("tos.rtd",,"OPEN_INT","."&amp;K$2&amp;K$1&amp;"P"&amp;$A26)*RTD("tos.rtd",,"DELTA","."&amp;K$2&amp;K$1&amp;"P"&amp;$A26))/1000),0),IF($A$2="VEX",IFERROR(IF($X$1="ABS",($A$4*$A$4*RTD("tos.rtd",,"VOLUME","."&amp;K$2&amp;K$1&amp;"C"&amp;$A26)*RTD("tos.rtd",,"GAMMA","."&amp;K$2&amp;K$1&amp;"C"&amp;$A26)+$A$4*$A$4*RTD("tos.rtd",,"VOLUME","."&amp;K$2&amp;K$1&amp;"P"&amp;$A26)*RTD("tos.rtd",,"GAMMA","."&amp;K$2&amp;K$1&amp;"P"&amp;$A26))/1000000,($A$4*$A$4*RTD("tos.rtd",,"VOLUME","."&amp;K$2&amp;K$1&amp;"C"&amp;$A26)*RTD("tos.rtd",,"GAMMA","."&amp;K$2&amp;K$1&amp;"C"&amp;$A26)-$A$4*$A$4*RTD("tos.rtd",,"VOLUME","."&amp;K$2&amp;K$1&amp;"P"&amp;$A26)*RTD("tos.rtd",,"GAMMA","."&amp;K$2&amp;K$1&amp;"P"&amp;$A26))/1000000),0),IF($A$2="GEX",IFERROR(IF($X$1="ABS",($A$4*$A$4*RTD("tos.rtd",,"OPEN_INT","."&amp;K$2&amp;K$1&amp;"C"&amp;$A26)*RTD("tos.rtd",,"GAMMA","."&amp;K$2&amp;K$1&amp;"C"&amp;$A26)+$A$4*$A$4*RTD("tos.rtd",,"OPEN_INT","."&amp;K$2&amp;K$1&amp;"P"&amp;$A26)*RTD("tos.rtd",,"GAMMA","."&amp;K$2&amp;K$1&amp;"P"&amp;$A26))/1000000,($A$4*$A$4*RTD("tos.rtd",,"OPEN_INT","."&amp;K$2&amp;K$1&amp;"C"&amp;$A26)*RTD("tos.rtd",,"GAMMA","."&amp;K$2&amp;K$1&amp;"C"&amp;$A26)-$A$4*$A$4*RTD("tos.rtd",,"OPEN_INT","."&amp;K$2&amp;K$1&amp;"P"&amp;$A26)*RTD("tos.rtd",,"GAMMA","."&amp;K$2&amp;K$1&amp;"P"&amp;$A26))/1000000),0),IF($A$2="SKEW",IFERROR(VALUE(IF(RTD("tos.rtd",,"IMPL_VOL","."&amp;K$2&amp;K$1&amp;"P"&amp;$A26)="N/A",0,RTD("tos.rtd",,"IMPL_VOL","."&amp;K$2&amp;K$1&amp;"P"&amp;$A26))),0)-IFERROR(VALUE(IF(RTD("tos.rtd",,"IMPL_VOL","."&amp;K$2&amp;K$1&amp;"C"&amp;$A26)="N/A",0,RTD("tos.rtd",,"IMPL_VOL","."&amp;K$2&amp;K$1&amp;"C"&amp;$A26))),0),IF($A$2="MAXPAIN",IF($A$4&gt;$A26,($A$4-$A26)*IF(RTD("tos.rtd",,"OPEN_INT","."&amp;K$2&amp;K$1&amp;"C"&amp;$A26)="N/A",0,RTD("tos.rtd",,"OPEN_INT","."&amp;K$2&amp;K$1&amp;"C"&amp;$A26)),0)+IF($A$4&lt;$A26,($A$5-$A$4)*IF(RTD("tos.rtd",,"OPEN_INT","."&amp;K$2&amp;K$1&amp;"P"&amp;$A26)="N/A",0,RTD("tos.rtd",,"OPEN_INT","."&amp;K$2&amp;K$1&amp;"P"&amp;$A26)),0),IF($X$1="ABS",IF(RTD("tos.rtd",,$A$2,"."&amp;K$2&amp;K$1&amp;"C"&amp;$A26)="N/A",0,RTD("tos.rtd",,$A$2,"."&amp;K$2&amp;K$1&amp;"C"&amp;$A26))+IF(RTD("tos.rtd",,$A$2,"."&amp;K$2&amp;K$1&amp;"P"&amp;$A26)="N/A",0,RTD("tos.rtd",,$A$2,"."&amp;K$2&amp;K$1&amp;"P"&amp;$A26)),IF(RTD("tos.rtd",,$A$2,"."&amp;K$2&amp;K$1&amp;"C"&amp;$A26)="N/A",0,RTD("tos.rtd",,$A$2,"."&amp;K$2&amp;K$1&amp;"C"&amp;$A26))-IF(RTD("tos.rtd",,$A$2,"."&amp;K$2&amp;K$1&amp;"P"&amp;$A26)="N/A",0,RTD("tos.rtd",,$A$2,"."&amp;K$2&amp;K$1&amp;"P"&amp;$A26))))))))))</f>
        <v>0</v>
      </c>
      <c r="L26" s="54">
        <f ca="1">IF($A$2="PREMIUM_OI",IFERROR(IF($X$1="ABS",(100*RTD("tos.rtd",,"OPEN_INT","."&amp;L$2&amp;L$1&amp;"C"&amp;$A26)*RTD("tos.rtd",,"LAST","."&amp;L$2&amp;L$1&amp;"C"&amp;$A26)+100*RTD("tos.rtd",,"OPEN_INT","."&amp;L$2&amp;L$1&amp;"P"&amp;$A26)*RTD("tos.rtd",,"LAST","."&amp;L$2&amp;L$1&amp;"P"&amp;$A26))/1000000,(100*RTD("tos.rtd",,"OPEN_INT","."&amp;L$2&amp;L$1&amp;"C"&amp;$A26)*RTD("tos.rtd",,"LAST","."&amp;L$2&amp;L$1&amp;"C"&amp;$A26)-100*RTD("tos.rtd",,"OPEN_INT","."&amp;L$2&amp;L$1&amp;"P"&amp;$A26)*RTD("tos.rtd",,"LAST","."&amp;L$2&amp;L$1&amp;"P"&amp;$A26))/1000000),0),IF($A$2="PREMIUM",IFERROR(IF($X$1="ABS",(100*RTD("tos.rtd",,"VOLUME","."&amp;L$2&amp;L$1&amp;"C"&amp;$A26)*RTD("tos.rtd",,"LAST","."&amp;L$2&amp;L$1&amp;"C"&amp;$A26)+100*RTD("tos.rtd",,"VOLUME","."&amp;L$2&amp;L$1&amp;"P"&amp;$A26)*RTD("tos.rtd",,"LAST","."&amp;L$2&amp;L$1&amp;"P"&amp;$A26))/1000000,(100*RTD("tos.rtd",,"VOLUME","."&amp;L$2&amp;L$1&amp;"C"&amp;$A26)*RTD("tos.rtd",,"LAST","."&amp;L$2&amp;L$1&amp;"C"&amp;$A26)-100*RTD("tos.rtd",,"VOLUME","."&amp;L$2&amp;L$1&amp;"P"&amp;$A26)*RTD("tos.rtd",,"LAST","."&amp;L$2&amp;L$1&amp;"P"&amp;$A26))/1000000),0),IF($A$2="DEX",IFERROR(IF($X$1="ABS",(100*RTD("tos.rtd",,"OPEN_INT","."&amp;L$2&amp;L$1&amp;"C"&amp;$A26)*RTD("tos.rtd",,"DELTA","."&amp;L$2&amp;L$1&amp;"C"&amp;$A26)+100*RTD("tos.rtd",,"OPEN_INT","."&amp;L$2&amp;L$1&amp;"P"&amp;$A26)*RTD("tos.rtd",,"DELTA","."&amp;L$2&amp;L$1&amp;"P"&amp;$A26))/1000,(100*RTD("tos.rtd",,"OPEN_INT","."&amp;L$2&amp;L$1&amp;"C"&amp;$A26)*RTD("tos.rtd",,"DELTA","."&amp;L$2&amp;L$1&amp;"C"&amp;$A26)-100*RTD("tos.rtd",,"OPEN_INT","."&amp;L$2&amp;L$1&amp;"P"&amp;$A26)*RTD("tos.rtd",,"DELTA","."&amp;L$2&amp;L$1&amp;"P"&amp;$A26))/1000),0),IF($A$2="VEX",IFERROR(IF($X$1="ABS",($A$4*$A$4*RTD("tos.rtd",,"VOLUME","."&amp;L$2&amp;L$1&amp;"C"&amp;$A26)*RTD("tos.rtd",,"GAMMA","."&amp;L$2&amp;L$1&amp;"C"&amp;$A26)+$A$4*$A$4*RTD("tos.rtd",,"VOLUME","."&amp;L$2&amp;L$1&amp;"P"&amp;$A26)*RTD("tos.rtd",,"GAMMA","."&amp;L$2&amp;L$1&amp;"P"&amp;$A26))/1000000,($A$4*$A$4*RTD("tos.rtd",,"VOLUME","."&amp;L$2&amp;L$1&amp;"C"&amp;$A26)*RTD("tos.rtd",,"GAMMA","."&amp;L$2&amp;L$1&amp;"C"&amp;$A26)-$A$4*$A$4*RTD("tos.rtd",,"VOLUME","."&amp;L$2&amp;L$1&amp;"P"&amp;$A26)*RTD("tos.rtd",,"GAMMA","."&amp;L$2&amp;L$1&amp;"P"&amp;$A26))/1000000),0),IF($A$2="GEX",IFERROR(IF($X$1="ABS",($A$4*$A$4*RTD("tos.rtd",,"OPEN_INT","."&amp;L$2&amp;L$1&amp;"C"&amp;$A26)*RTD("tos.rtd",,"GAMMA","."&amp;L$2&amp;L$1&amp;"C"&amp;$A26)+$A$4*$A$4*RTD("tos.rtd",,"OPEN_INT","."&amp;L$2&amp;L$1&amp;"P"&amp;$A26)*RTD("tos.rtd",,"GAMMA","."&amp;L$2&amp;L$1&amp;"P"&amp;$A26))/1000000,($A$4*$A$4*RTD("tos.rtd",,"OPEN_INT","."&amp;L$2&amp;L$1&amp;"C"&amp;$A26)*RTD("tos.rtd",,"GAMMA","."&amp;L$2&amp;L$1&amp;"C"&amp;$A26)-$A$4*$A$4*RTD("tos.rtd",,"OPEN_INT","."&amp;L$2&amp;L$1&amp;"P"&amp;$A26)*RTD("tos.rtd",,"GAMMA","."&amp;L$2&amp;L$1&amp;"P"&amp;$A26))/1000000),0),IF($A$2="SKEW",IFERROR(VALUE(IF(RTD("tos.rtd",,"IMPL_VOL","."&amp;L$2&amp;L$1&amp;"P"&amp;$A26)="N/A",0,RTD("tos.rtd",,"IMPL_VOL","."&amp;L$2&amp;L$1&amp;"P"&amp;$A26))),0)-IFERROR(VALUE(IF(RTD("tos.rtd",,"IMPL_VOL","."&amp;L$2&amp;L$1&amp;"C"&amp;$A26)="N/A",0,RTD("tos.rtd",,"IMPL_VOL","."&amp;L$2&amp;L$1&amp;"C"&amp;$A26))),0),IF($A$2="MAXPAIN",IF($A$4&gt;$A26,($A$4-$A26)*IF(RTD("tos.rtd",,"OPEN_INT","."&amp;L$2&amp;L$1&amp;"C"&amp;$A26)="N/A",0,RTD("tos.rtd",,"OPEN_INT","."&amp;L$2&amp;L$1&amp;"C"&amp;$A26)),0)+IF($A$4&lt;$A26,($A$5-$A$4)*IF(RTD("tos.rtd",,"OPEN_INT","."&amp;L$2&amp;L$1&amp;"P"&amp;$A26)="N/A",0,RTD("tos.rtd",,"OPEN_INT","."&amp;L$2&amp;L$1&amp;"P"&amp;$A26)),0),IF($X$1="ABS",IF(RTD("tos.rtd",,$A$2,"."&amp;L$2&amp;L$1&amp;"C"&amp;$A26)="N/A",0,RTD("tos.rtd",,$A$2,"."&amp;L$2&amp;L$1&amp;"C"&amp;$A26))+IF(RTD("tos.rtd",,$A$2,"."&amp;L$2&amp;L$1&amp;"P"&amp;$A26)="N/A",0,RTD("tos.rtd",,$A$2,"."&amp;L$2&amp;L$1&amp;"P"&amp;$A26)),IF(RTD("tos.rtd",,$A$2,"."&amp;L$2&amp;L$1&amp;"C"&amp;$A26)="N/A",0,RTD("tos.rtd",,$A$2,"."&amp;L$2&amp;L$1&amp;"C"&amp;$A26))-IF(RTD("tos.rtd",,$A$2,"."&amp;L$2&amp;L$1&amp;"P"&amp;$A26)="N/A",0,RTD("tos.rtd",,$A$2,"."&amp;L$2&amp;L$1&amp;"P"&amp;$A26))))))))))</f>
        <v>9106</v>
      </c>
      <c r="M26" s="12">
        <f ca="1">IF($A$2="PREMIUM_OI",IFERROR(IF($X$1="ABS",(100*RTD("tos.rtd",,"OPEN_INT","."&amp;M$2&amp;M$1&amp;"C"&amp;$A26)*RTD("tos.rtd",,"LAST","."&amp;M$2&amp;M$1&amp;"C"&amp;$A26)+100*RTD("tos.rtd",,"OPEN_INT","."&amp;M$2&amp;M$1&amp;"P"&amp;$A26)*RTD("tos.rtd",,"LAST","."&amp;M$2&amp;M$1&amp;"P"&amp;$A26))/1000000,(100*RTD("tos.rtd",,"OPEN_INT","."&amp;M$2&amp;M$1&amp;"C"&amp;$A26)*RTD("tos.rtd",,"LAST","."&amp;M$2&amp;M$1&amp;"C"&amp;$A26)-100*RTD("tos.rtd",,"OPEN_INT","."&amp;M$2&amp;M$1&amp;"P"&amp;$A26)*RTD("tos.rtd",,"LAST","."&amp;M$2&amp;M$1&amp;"P"&amp;$A26))/1000000),0),IF($A$2="PREMIUM",IFERROR(IF($X$1="ABS",(100*RTD("tos.rtd",,"VOLUME","."&amp;M$2&amp;M$1&amp;"C"&amp;$A26)*RTD("tos.rtd",,"LAST","."&amp;M$2&amp;M$1&amp;"C"&amp;$A26)+100*RTD("tos.rtd",,"VOLUME","."&amp;M$2&amp;M$1&amp;"P"&amp;$A26)*RTD("tos.rtd",,"LAST","."&amp;M$2&amp;M$1&amp;"P"&amp;$A26))/1000000,(100*RTD("tos.rtd",,"VOLUME","."&amp;M$2&amp;M$1&amp;"C"&amp;$A26)*RTD("tos.rtd",,"LAST","."&amp;M$2&amp;M$1&amp;"C"&amp;$A26)-100*RTD("tos.rtd",,"VOLUME","."&amp;M$2&amp;M$1&amp;"P"&amp;$A26)*RTD("tos.rtd",,"LAST","."&amp;M$2&amp;M$1&amp;"P"&amp;$A26))/1000000),0),IF($A$2="DEX",IFERROR(IF($X$1="ABS",(100*RTD("tos.rtd",,"OPEN_INT","."&amp;M$2&amp;M$1&amp;"C"&amp;$A26)*RTD("tos.rtd",,"DELTA","."&amp;M$2&amp;M$1&amp;"C"&amp;$A26)+100*RTD("tos.rtd",,"OPEN_INT","."&amp;M$2&amp;M$1&amp;"P"&amp;$A26)*RTD("tos.rtd",,"DELTA","."&amp;M$2&amp;M$1&amp;"P"&amp;$A26))/1000,(100*RTD("tos.rtd",,"OPEN_INT","."&amp;M$2&amp;M$1&amp;"C"&amp;$A26)*RTD("tos.rtd",,"DELTA","."&amp;M$2&amp;M$1&amp;"C"&amp;$A26)-100*RTD("tos.rtd",,"OPEN_INT","."&amp;M$2&amp;M$1&amp;"P"&amp;$A26)*RTD("tos.rtd",,"DELTA","."&amp;M$2&amp;M$1&amp;"P"&amp;$A26))/1000),0),IF($A$2="VEX",IFERROR(IF($X$1="ABS",($A$4*$A$4*RTD("tos.rtd",,"VOLUME","."&amp;M$2&amp;M$1&amp;"C"&amp;$A26)*RTD("tos.rtd",,"GAMMA","."&amp;M$2&amp;M$1&amp;"C"&amp;$A26)+$A$4*$A$4*RTD("tos.rtd",,"VOLUME","."&amp;M$2&amp;M$1&amp;"P"&amp;$A26)*RTD("tos.rtd",,"GAMMA","."&amp;M$2&amp;M$1&amp;"P"&amp;$A26))/1000000,($A$4*$A$4*RTD("tos.rtd",,"VOLUME","."&amp;M$2&amp;M$1&amp;"C"&amp;$A26)*RTD("tos.rtd",,"GAMMA","."&amp;M$2&amp;M$1&amp;"C"&amp;$A26)-$A$4*$A$4*RTD("tos.rtd",,"VOLUME","."&amp;M$2&amp;M$1&amp;"P"&amp;$A26)*RTD("tos.rtd",,"GAMMA","."&amp;M$2&amp;M$1&amp;"P"&amp;$A26))/1000000),0),IF($A$2="GEX",IFERROR(IF($X$1="ABS",($A$4*$A$4*RTD("tos.rtd",,"OPEN_INT","."&amp;M$2&amp;M$1&amp;"C"&amp;$A26)*RTD("tos.rtd",,"GAMMA","."&amp;M$2&amp;M$1&amp;"C"&amp;$A26)+$A$4*$A$4*RTD("tos.rtd",,"OPEN_INT","."&amp;M$2&amp;M$1&amp;"P"&amp;$A26)*RTD("tos.rtd",,"GAMMA","."&amp;M$2&amp;M$1&amp;"P"&amp;$A26))/1000000,($A$4*$A$4*RTD("tos.rtd",,"OPEN_INT","."&amp;M$2&amp;M$1&amp;"C"&amp;$A26)*RTD("tos.rtd",,"GAMMA","."&amp;M$2&amp;M$1&amp;"C"&amp;$A26)-$A$4*$A$4*RTD("tos.rtd",,"OPEN_INT","."&amp;M$2&amp;M$1&amp;"P"&amp;$A26)*RTD("tos.rtd",,"GAMMA","."&amp;M$2&amp;M$1&amp;"P"&amp;$A26))/1000000),0),IF($A$2="SKEW",IFERROR(VALUE(IF(RTD("tos.rtd",,"IMPL_VOL","."&amp;M$2&amp;M$1&amp;"P"&amp;$A26)="N/A",0,RTD("tos.rtd",,"IMPL_VOL","."&amp;M$2&amp;M$1&amp;"P"&amp;$A26))),0)-IFERROR(VALUE(IF(RTD("tos.rtd",,"IMPL_VOL","."&amp;M$2&amp;M$1&amp;"C"&amp;$A26)="N/A",0,RTD("tos.rtd",,"IMPL_VOL","."&amp;M$2&amp;M$1&amp;"C"&amp;$A26))),0),IF($A$2="MAXPAIN",IF($A$4&gt;$A26,($A$4-$A26)*IF(RTD("tos.rtd",,"OPEN_INT","."&amp;M$2&amp;M$1&amp;"C"&amp;$A26)="N/A",0,RTD("tos.rtd",,"OPEN_INT","."&amp;M$2&amp;M$1&amp;"C"&amp;$A26)),0)+IF($A$4&lt;$A26,($A$5-$A$4)*IF(RTD("tos.rtd",,"OPEN_INT","."&amp;M$2&amp;M$1&amp;"P"&amp;$A26)="N/A",0,RTD("tos.rtd",,"OPEN_INT","."&amp;M$2&amp;M$1&amp;"P"&amp;$A26)),0),IF($X$1="ABS",IF(RTD("tos.rtd",,$A$2,"."&amp;M$2&amp;M$1&amp;"C"&amp;$A26)="N/A",0,RTD("tos.rtd",,$A$2,"."&amp;M$2&amp;M$1&amp;"C"&amp;$A26))+IF(RTD("tos.rtd",,$A$2,"."&amp;M$2&amp;M$1&amp;"P"&amp;$A26)="N/A",0,RTD("tos.rtd",,$A$2,"."&amp;M$2&amp;M$1&amp;"P"&amp;$A26)),IF(RTD("tos.rtd",,$A$2,"."&amp;M$2&amp;M$1&amp;"C"&amp;$A26)="N/A",0,RTD("tos.rtd",,$A$2,"."&amp;M$2&amp;M$1&amp;"C"&amp;$A26))-IF(RTD("tos.rtd",,$A$2,"."&amp;M$2&amp;M$1&amp;"P"&amp;$A26)="N/A",0,RTD("tos.rtd",,$A$2,"."&amp;M$2&amp;M$1&amp;"P"&amp;$A26))))))))))</f>
        <v>1413</v>
      </c>
      <c r="N26" s="12">
        <f ca="1">IF($A$2="PREMIUM_OI",IFERROR(IF($X$1="ABS",(100*RTD("tos.rtd",,"OPEN_INT","."&amp;N$2&amp;N$1&amp;"C"&amp;$A26)*RTD("tos.rtd",,"LAST","."&amp;N$2&amp;N$1&amp;"C"&amp;$A26)+100*RTD("tos.rtd",,"OPEN_INT","."&amp;N$2&amp;N$1&amp;"P"&amp;$A26)*RTD("tos.rtd",,"LAST","."&amp;N$2&amp;N$1&amp;"P"&amp;$A26))/1000000,(100*RTD("tos.rtd",,"OPEN_INT","."&amp;N$2&amp;N$1&amp;"C"&amp;$A26)*RTD("tos.rtd",,"LAST","."&amp;N$2&amp;N$1&amp;"C"&amp;$A26)-100*RTD("tos.rtd",,"OPEN_INT","."&amp;N$2&amp;N$1&amp;"P"&amp;$A26)*RTD("tos.rtd",,"LAST","."&amp;N$2&amp;N$1&amp;"P"&amp;$A26))/1000000),0),IF($A$2="PREMIUM",IFERROR(IF($X$1="ABS",(100*RTD("tos.rtd",,"VOLUME","."&amp;N$2&amp;N$1&amp;"C"&amp;$A26)*RTD("tos.rtd",,"LAST","."&amp;N$2&amp;N$1&amp;"C"&amp;$A26)+100*RTD("tos.rtd",,"VOLUME","."&amp;N$2&amp;N$1&amp;"P"&amp;$A26)*RTD("tos.rtd",,"LAST","."&amp;N$2&amp;N$1&amp;"P"&amp;$A26))/1000000,(100*RTD("tos.rtd",,"VOLUME","."&amp;N$2&amp;N$1&amp;"C"&amp;$A26)*RTD("tos.rtd",,"LAST","."&amp;N$2&amp;N$1&amp;"C"&amp;$A26)-100*RTD("tos.rtd",,"VOLUME","."&amp;N$2&amp;N$1&amp;"P"&amp;$A26)*RTD("tos.rtd",,"LAST","."&amp;N$2&amp;N$1&amp;"P"&amp;$A26))/1000000),0),IF($A$2="DEX",IFERROR(IF($X$1="ABS",(100*RTD("tos.rtd",,"OPEN_INT","."&amp;N$2&amp;N$1&amp;"C"&amp;$A26)*RTD("tos.rtd",,"DELTA","."&amp;N$2&amp;N$1&amp;"C"&amp;$A26)+100*RTD("tos.rtd",,"OPEN_INT","."&amp;N$2&amp;N$1&amp;"P"&amp;$A26)*RTD("tos.rtd",,"DELTA","."&amp;N$2&amp;N$1&amp;"P"&amp;$A26))/1000,(100*RTD("tos.rtd",,"OPEN_INT","."&amp;N$2&amp;N$1&amp;"C"&amp;$A26)*RTD("tos.rtd",,"DELTA","."&amp;N$2&amp;N$1&amp;"C"&amp;$A26)-100*RTD("tos.rtd",,"OPEN_INT","."&amp;N$2&amp;N$1&amp;"P"&amp;$A26)*RTD("tos.rtd",,"DELTA","."&amp;N$2&amp;N$1&amp;"P"&amp;$A26))/1000),0),IF($A$2="VEX",IFERROR(IF($X$1="ABS",($A$4*$A$4*RTD("tos.rtd",,"VOLUME","."&amp;N$2&amp;N$1&amp;"C"&amp;$A26)*RTD("tos.rtd",,"GAMMA","."&amp;N$2&amp;N$1&amp;"C"&amp;$A26)+$A$4*$A$4*RTD("tos.rtd",,"VOLUME","."&amp;N$2&amp;N$1&amp;"P"&amp;$A26)*RTD("tos.rtd",,"GAMMA","."&amp;N$2&amp;N$1&amp;"P"&amp;$A26))/1000000,($A$4*$A$4*RTD("tos.rtd",,"VOLUME","."&amp;N$2&amp;N$1&amp;"C"&amp;$A26)*RTD("tos.rtd",,"GAMMA","."&amp;N$2&amp;N$1&amp;"C"&amp;$A26)-$A$4*$A$4*RTD("tos.rtd",,"VOLUME","."&amp;N$2&amp;N$1&amp;"P"&amp;$A26)*RTD("tos.rtd",,"GAMMA","."&amp;N$2&amp;N$1&amp;"P"&amp;$A26))/1000000),0),IF($A$2="GEX",IFERROR(IF($X$1="ABS",($A$4*$A$4*RTD("tos.rtd",,"OPEN_INT","."&amp;N$2&amp;N$1&amp;"C"&amp;$A26)*RTD("tos.rtd",,"GAMMA","."&amp;N$2&amp;N$1&amp;"C"&amp;$A26)+$A$4*$A$4*RTD("tos.rtd",,"OPEN_INT","."&amp;N$2&amp;N$1&amp;"P"&amp;$A26)*RTD("tos.rtd",,"GAMMA","."&amp;N$2&amp;N$1&amp;"P"&amp;$A26))/1000000,($A$4*$A$4*RTD("tos.rtd",,"OPEN_INT","."&amp;N$2&amp;N$1&amp;"C"&amp;$A26)*RTD("tos.rtd",,"GAMMA","."&amp;N$2&amp;N$1&amp;"C"&amp;$A26)-$A$4*$A$4*RTD("tos.rtd",,"OPEN_INT","."&amp;N$2&amp;N$1&amp;"P"&amp;$A26)*RTD("tos.rtd",,"GAMMA","."&amp;N$2&amp;N$1&amp;"P"&amp;$A26))/1000000),0),IF($A$2="SKEW",IFERROR(VALUE(IF(RTD("tos.rtd",,"IMPL_VOL","."&amp;N$2&amp;N$1&amp;"P"&amp;$A26)="N/A",0,RTD("tos.rtd",,"IMPL_VOL","."&amp;N$2&amp;N$1&amp;"P"&amp;$A26))),0)-IFERROR(VALUE(IF(RTD("tos.rtd",,"IMPL_VOL","."&amp;N$2&amp;N$1&amp;"C"&amp;$A26)="N/A",0,RTD("tos.rtd",,"IMPL_VOL","."&amp;N$2&amp;N$1&amp;"C"&amp;$A26))),0),IF($A$2="MAXPAIN",IF($A$4&gt;$A26,($A$4-$A26)*IF(RTD("tos.rtd",,"OPEN_INT","."&amp;N$2&amp;N$1&amp;"C"&amp;$A26)="N/A",0,RTD("tos.rtd",,"OPEN_INT","."&amp;N$2&amp;N$1&amp;"C"&amp;$A26)),0)+IF($A$4&lt;$A26,($A$5-$A$4)*IF(RTD("tos.rtd",,"OPEN_INT","."&amp;N$2&amp;N$1&amp;"P"&amp;$A26)="N/A",0,RTD("tos.rtd",,"OPEN_INT","."&amp;N$2&amp;N$1&amp;"P"&amp;$A26)),0),IF($X$1="ABS",IF(RTD("tos.rtd",,$A$2,"."&amp;N$2&amp;N$1&amp;"C"&amp;$A26)="N/A",0,RTD("tos.rtd",,$A$2,"."&amp;N$2&amp;N$1&amp;"C"&amp;$A26))+IF(RTD("tos.rtd",,$A$2,"."&amp;N$2&amp;N$1&amp;"P"&amp;$A26)="N/A",0,RTD("tos.rtd",,$A$2,"."&amp;N$2&amp;N$1&amp;"P"&amp;$A26)),IF(RTD("tos.rtd",,$A$2,"."&amp;N$2&amp;N$1&amp;"C"&amp;$A26)="N/A",0,RTD("tos.rtd",,$A$2,"."&amp;N$2&amp;N$1&amp;"C"&amp;$A26))-IF(RTD("tos.rtd",,$A$2,"."&amp;N$2&amp;N$1&amp;"P"&amp;$A26)="N/A",0,RTD("tos.rtd",,$A$2,"."&amp;N$2&amp;N$1&amp;"P"&amp;$A26))))))))))</f>
        <v>0</v>
      </c>
      <c r="O26" s="12">
        <f ca="1">IF($A$2="PREMIUM_OI",IFERROR(IF($X$1="ABS",(100*RTD("tos.rtd",,"OPEN_INT","."&amp;O$2&amp;O$1&amp;"C"&amp;$A26)*RTD("tos.rtd",,"LAST","."&amp;O$2&amp;O$1&amp;"C"&amp;$A26)+100*RTD("tos.rtd",,"OPEN_INT","."&amp;O$2&amp;O$1&amp;"P"&amp;$A26)*RTD("tos.rtd",,"LAST","."&amp;O$2&amp;O$1&amp;"P"&amp;$A26))/1000000,(100*RTD("tos.rtd",,"OPEN_INT","."&amp;O$2&amp;O$1&amp;"C"&amp;$A26)*RTD("tos.rtd",,"LAST","."&amp;O$2&amp;O$1&amp;"C"&amp;$A26)-100*RTD("tos.rtd",,"OPEN_INT","."&amp;O$2&amp;O$1&amp;"P"&amp;$A26)*RTD("tos.rtd",,"LAST","."&amp;O$2&amp;O$1&amp;"P"&amp;$A26))/1000000),0),IF($A$2="PREMIUM",IFERROR(IF($X$1="ABS",(100*RTD("tos.rtd",,"VOLUME","."&amp;O$2&amp;O$1&amp;"C"&amp;$A26)*RTD("tos.rtd",,"LAST","."&amp;O$2&amp;O$1&amp;"C"&amp;$A26)+100*RTD("tos.rtd",,"VOLUME","."&amp;O$2&amp;O$1&amp;"P"&amp;$A26)*RTD("tos.rtd",,"LAST","."&amp;O$2&amp;O$1&amp;"P"&amp;$A26))/1000000,(100*RTD("tos.rtd",,"VOLUME","."&amp;O$2&amp;O$1&amp;"C"&amp;$A26)*RTD("tos.rtd",,"LAST","."&amp;O$2&amp;O$1&amp;"C"&amp;$A26)-100*RTD("tos.rtd",,"VOLUME","."&amp;O$2&amp;O$1&amp;"P"&amp;$A26)*RTD("tos.rtd",,"LAST","."&amp;O$2&amp;O$1&amp;"P"&amp;$A26))/1000000),0),IF($A$2="DEX",IFERROR(IF($X$1="ABS",(100*RTD("tos.rtd",,"OPEN_INT","."&amp;O$2&amp;O$1&amp;"C"&amp;$A26)*RTD("tos.rtd",,"DELTA","."&amp;O$2&amp;O$1&amp;"C"&amp;$A26)+100*RTD("tos.rtd",,"OPEN_INT","."&amp;O$2&amp;O$1&amp;"P"&amp;$A26)*RTD("tos.rtd",,"DELTA","."&amp;O$2&amp;O$1&amp;"P"&amp;$A26))/1000,(100*RTD("tos.rtd",,"OPEN_INT","."&amp;O$2&amp;O$1&amp;"C"&amp;$A26)*RTD("tos.rtd",,"DELTA","."&amp;O$2&amp;O$1&amp;"C"&amp;$A26)-100*RTD("tos.rtd",,"OPEN_INT","."&amp;O$2&amp;O$1&amp;"P"&amp;$A26)*RTD("tos.rtd",,"DELTA","."&amp;O$2&amp;O$1&amp;"P"&amp;$A26))/1000),0),IF($A$2="VEX",IFERROR(IF($X$1="ABS",($A$4*$A$4*RTD("tos.rtd",,"VOLUME","."&amp;O$2&amp;O$1&amp;"C"&amp;$A26)*RTD("tos.rtd",,"GAMMA","."&amp;O$2&amp;O$1&amp;"C"&amp;$A26)+$A$4*$A$4*RTD("tos.rtd",,"VOLUME","."&amp;O$2&amp;O$1&amp;"P"&amp;$A26)*RTD("tos.rtd",,"GAMMA","."&amp;O$2&amp;O$1&amp;"P"&amp;$A26))/1000000,($A$4*$A$4*RTD("tos.rtd",,"VOLUME","."&amp;O$2&amp;O$1&amp;"C"&amp;$A26)*RTD("tos.rtd",,"GAMMA","."&amp;O$2&amp;O$1&amp;"C"&amp;$A26)-$A$4*$A$4*RTD("tos.rtd",,"VOLUME","."&amp;O$2&amp;O$1&amp;"P"&amp;$A26)*RTD("tos.rtd",,"GAMMA","."&amp;O$2&amp;O$1&amp;"P"&amp;$A26))/1000000),0),IF($A$2="GEX",IFERROR(IF($X$1="ABS",($A$4*$A$4*RTD("tos.rtd",,"OPEN_INT","."&amp;O$2&amp;O$1&amp;"C"&amp;$A26)*RTD("tos.rtd",,"GAMMA","."&amp;O$2&amp;O$1&amp;"C"&amp;$A26)+$A$4*$A$4*RTD("tos.rtd",,"OPEN_INT","."&amp;O$2&amp;O$1&amp;"P"&amp;$A26)*RTD("tos.rtd",,"GAMMA","."&amp;O$2&amp;O$1&amp;"P"&amp;$A26))/1000000,($A$4*$A$4*RTD("tos.rtd",,"OPEN_INT","."&amp;O$2&amp;O$1&amp;"C"&amp;$A26)*RTD("tos.rtd",,"GAMMA","."&amp;O$2&amp;O$1&amp;"C"&amp;$A26)-$A$4*$A$4*RTD("tos.rtd",,"OPEN_INT","."&amp;O$2&amp;O$1&amp;"P"&amp;$A26)*RTD("tos.rtd",,"GAMMA","."&amp;O$2&amp;O$1&amp;"P"&amp;$A26))/1000000),0),IF($A$2="SKEW",IFERROR(VALUE(IF(RTD("tos.rtd",,"IMPL_VOL","."&amp;O$2&amp;O$1&amp;"P"&amp;$A26)="N/A",0,RTD("tos.rtd",,"IMPL_VOL","."&amp;O$2&amp;O$1&amp;"P"&amp;$A26))),0)-IFERROR(VALUE(IF(RTD("tos.rtd",,"IMPL_VOL","."&amp;O$2&amp;O$1&amp;"C"&amp;$A26)="N/A",0,RTD("tos.rtd",,"IMPL_VOL","."&amp;O$2&amp;O$1&amp;"C"&amp;$A26))),0),IF($A$2="MAXPAIN",IF($A$4&gt;$A26,($A$4-$A26)*IF(RTD("tos.rtd",,"OPEN_INT","."&amp;O$2&amp;O$1&amp;"C"&amp;$A26)="N/A",0,RTD("tos.rtd",,"OPEN_INT","."&amp;O$2&amp;O$1&amp;"C"&amp;$A26)),0)+IF($A$4&lt;$A26,($A$5-$A$4)*IF(RTD("tos.rtd",,"OPEN_INT","."&amp;O$2&amp;O$1&amp;"P"&amp;$A26)="N/A",0,RTD("tos.rtd",,"OPEN_INT","."&amp;O$2&amp;O$1&amp;"P"&amp;$A26)),0),IF($X$1="ABS",IF(RTD("tos.rtd",,$A$2,"."&amp;O$2&amp;O$1&amp;"C"&amp;$A26)="N/A",0,RTD("tos.rtd",,$A$2,"."&amp;O$2&amp;O$1&amp;"C"&amp;$A26))+IF(RTD("tos.rtd",,$A$2,"."&amp;O$2&amp;O$1&amp;"P"&amp;$A26)="N/A",0,RTD("tos.rtd",,$A$2,"."&amp;O$2&amp;O$1&amp;"P"&amp;$A26)),IF(RTD("tos.rtd",,$A$2,"."&amp;O$2&amp;O$1&amp;"C"&amp;$A26)="N/A",0,RTD("tos.rtd",,$A$2,"."&amp;O$2&amp;O$1&amp;"C"&amp;$A26))-IF(RTD("tos.rtd",,$A$2,"."&amp;O$2&amp;O$1&amp;"P"&amp;$A26)="N/A",0,RTD("tos.rtd",,$A$2,"."&amp;O$2&amp;O$1&amp;"P"&amp;$A26))))))))))</f>
        <v>0</v>
      </c>
      <c r="P26" s="12">
        <f ca="1">IF($A$2="PREMIUM_OI",IFERROR(IF($X$1="ABS",(100*RTD("tos.rtd",,"OPEN_INT","."&amp;P$2&amp;P$1&amp;"C"&amp;$A26)*RTD("tos.rtd",,"LAST","."&amp;P$2&amp;P$1&amp;"C"&amp;$A26)+100*RTD("tos.rtd",,"OPEN_INT","."&amp;P$2&amp;P$1&amp;"P"&amp;$A26)*RTD("tos.rtd",,"LAST","."&amp;P$2&amp;P$1&amp;"P"&amp;$A26))/1000000,(100*RTD("tos.rtd",,"OPEN_INT","."&amp;P$2&amp;P$1&amp;"C"&amp;$A26)*RTD("tos.rtd",,"LAST","."&amp;P$2&amp;P$1&amp;"C"&amp;$A26)-100*RTD("tos.rtd",,"OPEN_INT","."&amp;P$2&amp;P$1&amp;"P"&amp;$A26)*RTD("tos.rtd",,"LAST","."&amp;P$2&amp;P$1&amp;"P"&amp;$A26))/1000000),0),IF($A$2="PREMIUM",IFERROR(IF($X$1="ABS",(100*RTD("tos.rtd",,"VOLUME","."&amp;P$2&amp;P$1&amp;"C"&amp;$A26)*RTD("tos.rtd",,"LAST","."&amp;P$2&amp;P$1&amp;"C"&amp;$A26)+100*RTD("tos.rtd",,"VOLUME","."&amp;P$2&amp;P$1&amp;"P"&amp;$A26)*RTD("tos.rtd",,"LAST","."&amp;P$2&amp;P$1&amp;"P"&amp;$A26))/1000000,(100*RTD("tos.rtd",,"VOLUME","."&amp;P$2&amp;P$1&amp;"C"&amp;$A26)*RTD("tos.rtd",,"LAST","."&amp;P$2&amp;P$1&amp;"C"&amp;$A26)-100*RTD("tos.rtd",,"VOLUME","."&amp;P$2&amp;P$1&amp;"P"&amp;$A26)*RTD("tos.rtd",,"LAST","."&amp;P$2&amp;P$1&amp;"P"&amp;$A26))/1000000),0),IF($A$2="DEX",IFERROR(IF($X$1="ABS",(100*RTD("tos.rtd",,"OPEN_INT","."&amp;P$2&amp;P$1&amp;"C"&amp;$A26)*RTD("tos.rtd",,"DELTA","."&amp;P$2&amp;P$1&amp;"C"&amp;$A26)+100*RTD("tos.rtd",,"OPEN_INT","."&amp;P$2&amp;P$1&amp;"P"&amp;$A26)*RTD("tos.rtd",,"DELTA","."&amp;P$2&amp;P$1&amp;"P"&amp;$A26))/1000,(100*RTD("tos.rtd",,"OPEN_INT","."&amp;P$2&amp;P$1&amp;"C"&amp;$A26)*RTD("tos.rtd",,"DELTA","."&amp;P$2&amp;P$1&amp;"C"&amp;$A26)-100*RTD("tos.rtd",,"OPEN_INT","."&amp;P$2&amp;P$1&amp;"P"&amp;$A26)*RTD("tos.rtd",,"DELTA","."&amp;P$2&amp;P$1&amp;"P"&amp;$A26))/1000),0),IF($A$2="VEX",IFERROR(IF($X$1="ABS",($A$4*$A$4*RTD("tos.rtd",,"VOLUME","."&amp;P$2&amp;P$1&amp;"C"&amp;$A26)*RTD("tos.rtd",,"GAMMA","."&amp;P$2&amp;P$1&amp;"C"&amp;$A26)+$A$4*$A$4*RTD("tos.rtd",,"VOLUME","."&amp;P$2&amp;P$1&amp;"P"&amp;$A26)*RTD("tos.rtd",,"GAMMA","."&amp;P$2&amp;P$1&amp;"P"&amp;$A26))/1000000,($A$4*$A$4*RTD("tos.rtd",,"VOLUME","."&amp;P$2&amp;P$1&amp;"C"&amp;$A26)*RTD("tos.rtd",,"GAMMA","."&amp;P$2&amp;P$1&amp;"C"&amp;$A26)-$A$4*$A$4*RTD("tos.rtd",,"VOLUME","."&amp;P$2&amp;P$1&amp;"P"&amp;$A26)*RTD("tos.rtd",,"GAMMA","."&amp;P$2&amp;P$1&amp;"P"&amp;$A26))/1000000),0),IF($A$2="GEX",IFERROR(IF($X$1="ABS",($A$4*$A$4*RTD("tos.rtd",,"OPEN_INT","."&amp;P$2&amp;P$1&amp;"C"&amp;$A26)*RTD("tos.rtd",,"GAMMA","."&amp;P$2&amp;P$1&amp;"C"&amp;$A26)+$A$4*$A$4*RTD("tos.rtd",,"OPEN_INT","."&amp;P$2&amp;P$1&amp;"P"&amp;$A26)*RTD("tos.rtd",,"GAMMA","."&amp;P$2&amp;P$1&amp;"P"&amp;$A26))/1000000,($A$4*$A$4*RTD("tos.rtd",,"OPEN_INT","."&amp;P$2&amp;P$1&amp;"C"&amp;$A26)*RTD("tos.rtd",,"GAMMA","."&amp;P$2&amp;P$1&amp;"C"&amp;$A26)-$A$4*$A$4*RTD("tos.rtd",,"OPEN_INT","."&amp;P$2&amp;P$1&amp;"P"&amp;$A26)*RTD("tos.rtd",,"GAMMA","."&amp;P$2&amp;P$1&amp;"P"&amp;$A26))/1000000),0),IF($A$2="SKEW",IFERROR(VALUE(IF(RTD("tos.rtd",,"IMPL_VOL","."&amp;P$2&amp;P$1&amp;"P"&amp;$A26)="N/A",0,RTD("tos.rtd",,"IMPL_VOL","."&amp;P$2&amp;P$1&amp;"P"&amp;$A26))),0)-IFERROR(VALUE(IF(RTD("tos.rtd",,"IMPL_VOL","."&amp;P$2&amp;P$1&amp;"C"&amp;$A26)="N/A",0,RTD("tos.rtd",,"IMPL_VOL","."&amp;P$2&amp;P$1&amp;"C"&amp;$A26))),0),IF($A$2="MAXPAIN",IF($A$4&gt;$A26,($A$4-$A26)*IF(RTD("tos.rtd",,"OPEN_INT","."&amp;P$2&amp;P$1&amp;"C"&amp;$A26)="N/A",0,RTD("tos.rtd",,"OPEN_INT","."&amp;P$2&amp;P$1&amp;"C"&amp;$A26)),0)+IF($A$4&lt;$A26,($A$5-$A$4)*IF(RTD("tos.rtd",,"OPEN_INT","."&amp;P$2&amp;P$1&amp;"P"&amp;$A26)="N/A",0,RTD("tos.rtd",,"OPEN_INT","."&amp;P$2&amp;P$1&amp;"P"&amp;$A26)),0),IF($X$1="ABS",IF(RTD("tos.rtd",,$A$2,"."&amp;P$2&amp;P$1&amp;"C"&amp;$A26)="N/A",0,RTD("tos.rtd",,$A$2,"."&amp;P$2&amp;P$1&amp;"C"&amp;$A26))+IF(RTD("tos.rtd",,$A$2,"."&amp;P$2&amp;P$1&amp;"P"&amp;$A26)="N/A",0,RTD("tos.rtd",,$A$2,"."&amp;P$2&amp;P$1&amp;"P"&amp;$A26)),IF(RTD("tos.rtd",,$A$2,"."&amp;P$2&amp;P$1&amp;"C"&amp;$A26)="N/A",0,RTD("tos.rtd",,$A$2,"."&amp;P$2&amp;P$1&amp;"C"&amp;$A26))-IF(RTD("tos.rtd",,$A$2,"."&amp;P$2&amp;P$1&amp;"P"&amp;$A26)="N/A",0,RTD("tos.rtd",,$A$2,"."&amp;P$2&amp;P$1&amp;"P"&amp;$A26))))))))))</f>
        <v>2023</v>
      </c>
      <c r="Q26" s="12">
        <f ca="1">IF($A$2="PREMIUM_OI",IFERROR(IF($X$1="ABS",(100*RTD("tos.rtd",,"OPEN_INT","."&amp;Q$2&amp;Q$1&amp;"C"&amp;$A26)*RTD("tos.rtd",,"LAST","."&amp;Q$2&amp;Q$1&amp;"C"&amp;$A26)+100*RTD("tos.rtd",,"OPEN_INT","."&amp;Q$2&amp;Q$1&amp;"P"&amp;$A26)*RTD("tos.rtd",,"LAST","."&amp;Q$2&amp;Q$1&amp;"P"&amp;$A26))/1000000,(100*RTD("tos.rtd",,"OPEN_INT","."&amp;Q$2&amp;Q$1&amp;"C"&amp;$A26)*RTD("tos.rtd",,"LAST","."&amp;Q$2&amp;Q$1&amp;"C"&amp;$A26)-100*RTD("tos.rtd",,"OPEN_INT","."&amp;Q$2&amp;Q$1&amp;"P"&amp;$A26)*RTD("tos.rtd",,"LAST","."&amp;Q$2&amp;Q$1&amp;"P"&amp;$A26))/1000000),0),IF($A$2="PREMIUM",IFERROR(IF($X$1="ABS",(100*RTD("tos.rtd",,"VOLUME","."&amp;Q$2&amp;Q$1&amp;"C"&amp;$A26)*RTD("tos.rtd",,"LAST","."&amp;Q$2&amp;Q$1&amp;"C"&amp;$A26)+100*RTD("tos.rtd",,"VOLUME","."&amp;Q$2&amp;Q$1&amp;"P"&amp;$A26)*RTD("tos.rtd",,"LAST","."&amp;Q$2&amp;Q$1&amp;"P"&amp;$A26))/1000000,(100*RTD("tos.rtd",,"VOLUME","."&amp;Q$2&amp;Q$1&amp;"C"&amp;$A26)*RTD("tos.rtd",,"LAST","."&amp;Q$2&amp;Q$1&amp;"C"&amp;$A26)-100*RTD("tos.rtd",,"VOLUME","."&amp;Q$2&amp;Q$1&amp;"P"&amp;$A26)*RTD("tos.rtd",,"LAST","."&amp;Q$2&amp;Q$1&amp;"P"&amp;$A26))/1000000),0),IF($A$2="DEX",IFERROR(IF($X$1="ABS",(100*RTD("tos.rtd",,"OPEN_INT","."&amp;Q$2&amp;Q$1&amp;"C"&amp;$A26)*RTD("tos.rtd",,"DELTA","."&amp;Q$2&amp;Q$1&amp;"C"&amp;$A26)+100*RTD("tos.rtd",,"OPEN_INT","."&amp;Q$2&amp;Q$1&amp;"P"&amp;$A26)*RTD("tos.rtd",,"DELTA","."&amp;Q$2&amp;Q$1&amp;"P"&amp;$A26))/1000,(100*RTD("tos.rtd",,"OPEN_INT","."&amp;Q$2&amp;Q$1&amp;"C"&amp;$A26)*RTD("tos.rtd",,"DELTA","."&amp;Q$2&amp;Q$1&amp;"C"&amp;$A26)-100*RTD("tos.rtd",,"OPEN_INT","."&amp;Q$2&amp;Q$1&amp;"P"&amp;$A26)*RTD("tos.rtd",,"DELTA","."&amp;Q$2&amp;Q$1&amp;"P"&amp;$A26))/1000),0),IF($A$2="VEX",IFERROR(IF($X$1="ABS",($A$4*$A$4*RTD("tos.rtd",,"VOLUME","."&amp;Q$2&amp;Q$1&amp;"C"&amp;$A26)*RTD("tos.rtd",,"GAMMA","."&amp;Q$2&amp;Q$1&amp;"C"&amp;$A26)+$A$4*$A$4*RTD("tos.rtd",,"VOLUME","."&amp;Q$2&amp;Q$1&amp;"P"&amp;$A26)*RTD("tos.rtd",,"GAMMA","."&amp;Q$2&amp;Q$1&amp;"P"&amp;$A26))/1000000,($A$4*$A$4*RTD("tos.rtd",,"VOLUME","."&amp;Q$2&amp;Q$1&amp;"C"&amp;$A26)*RTD("tos.rtd",,"GAMMA","."&amp;Q$2&amp;Q$1&amp;"C"&amp;$A26)-$A$4*$A$4*RTD("tos.rtd",,"VOLUME","."&amp;Q$2&amp;Q$1&amp;"P"&amp;$A26)*RTD("tos.rtd",,"GAMMA","."&amp;Q$2&amp;Q$1&amp;"P"&amp;$A26))/1000000),0),IF($A$2="GEX",IFERROR(IF($X$1="ABS",($A$4*$A$4*RTD("tos.rtd",,"OPEN_INT","."&amp;Q$2&amp;Q$1&amp;"C"&amp;$A26)*RTD("tos.rtd",,"GAMMA","."&amp;Q$2&amp;Q$1&amp;"C"&amp;$A26)+$A$4*$A$4*RTD("tos.rtd",,"OPEN_INT","."&amp;Q$2&amp;Q$1&amp;"P"&amp;$A26)*RTD("tos.rtd",,"GAMMA","."&amp;Q$2&amp;Q$1&amp;"P"&amp;$A26))/1000000,($A$4*$A$4*RTD("tos.rtd",,"OPEN_INT","."&amp;Q$2&amp;Q$1&amp;"C"&amp;$A26)*RTD("tos.rtd",,"GAMMA","."&amp;Q$2&amp;Q$1&amp;"C"&amp;$A26)-$A$4*$A$4*RTD("tos.rtd",,"OPEN_INT","."&amp;Q$2&amp;Q$1&amp;"P"&amp;$A26)*RTD("tos.rtd",,"GAMMA","."&amp;Q$2&amp;Q$1&amp;"P"&amp;$A26))/1000000),0),IF($A$2="SKEW",IFERROR(VALUE(IF(RTD("tos.rtd",,"IMPL_VOL","."&amp;Q$2&amp;Q$1&amp;"P"&amp;$A26)="N/A",0,RTD("tos.rtd",,"IMPL_VOL","."&amp;Q$2&amp;Q$1&amp;"P"&amp;$A26))),0)-IFERROR(VALUE(IF(RTD("tos.rtd",,"IMPL_VOL","."&amp;Q$2&amp;Q$1&amp;"C"&amp;$A26)="N/A",0,RTD("tos.rtd",,"IMPL_VOL","."&amp;Q$2&amp;Q$1&amp;"C"&amp;$A26))),0),IF($A$2="MAXPAIN",IF($A$4&gt;$A26,($A$4-$A26)*IF(RTD("tos.rtd",,"OPEN_INT","."&amp;Q$2&amp;Q$1&amp;"C"&amp;$A26)="N/A",0,RTD("tos.rtd",,"OPEN_INT","."&amp;Q$2&amp;Q$1&amp;"C"&amp;$A26)),0)+IF($A$4&lt;$A26,($A$5-$A$4)*IF(RTD("tos.rtd",,"OPEN_INT","."&amp;Q$2&amp;Q$1&amp;"P"&amp;$A26)="N/A",0,RTD("tos.rtd",,"OPEN_INT","."&amp;Q$2&amp;Q$1&amp;"P"&amp;$A26)),0),IF($X$1="ABS",IF(RTD("tos.rtd",,$A$2,"."&amp;Q$2&amp;Q$1&amp;"C"&amp;$A26)="N/A",0,RTD("tos.rtd",,$A$2,"."&amp;Q$2&amp;Q$1&amp;"C"&amp;$A26))+IF(RTD("tos.rtd",,$A$2,"."&amp;Q$2&amp;Q$1&amp;"P"&amp;$A26)="N/A",0,RTD("tos.rtd",,$A$2,"."&amp;Q$2&amp;Q$1&amp;"P"&amp;$A26)),IF(RTD("tos.rtd",,$A$2,"."&amp;Q$2&amp;Q$1&amp;"C"&amp;$A26)="N/A",0,RTD("tos.rtd",,$A$2,"."&amp;Q$2&amp;Q$1&amp;"C"&amp;$A26))-IF(RTD("tos.rtd",,$A$2,"."&amp;Q$2&amp;Q$1&amp;"P"&amp;$A26)="N/A",0,RTD("tos.rtd",,$A$2,"."&amp;Q$2&amp;Q$1&amp;"P"&amp;$A26))))))))))</f>
        <v>0</v>
      </c>
      <c r="R26" s="12">
        <f ca="1">IF($A$2="PREMIUM_OI",IFERROR(IF($X$1="ABS",(100*RTD("tos.rtd",,"OPEN_INT","."&amp;R$2&amp;R$1&amp;"C"&amp;$A26)*RTD("tos.rtd",,"LAST","."&amp;R$2&amp;R$1&amp;"C"&amp;$A26)+100*RTD("tos.rtd",,"OPEN_INT","."&amp;R$2&amp;R$1&amp;"P"&amp;$A26)*RTD("tos.rtd",,"LAST","."&amp;R$2&amp;R$1&amp;"P"&amp;$A26))/1000000,(100*RTD("tos.rtd",,"OPEN_INT","."&amp;R$2&amp;R$1&amp;"C"&amp;$A26)*RTD("tos.rtd",,"LAST","."&amp;R$2&amp;R$1&amp;"C"&amp;$A26)-100*RTD("tos.rtd",,"OPEN_INT","."&amp;R$2&amp;R$1&amp;"P"&amp;$A26)*RTD("tos.rtd",,"LAST","."&amp;R$2&amp;R$1&amp;"P"&amp;$A26))/1000000),0),IF($A$2="PREMIUM",IFERROR(IF($X$1="ABS",(100*RTD("tos.rtd",,"VOLUME","."&amp;R$2&amp;R$1&amp;"C"&amp;$A26)*RTD("tos.rtd",,"LAST","."&amp;R$2&amp;R$1&amp;"C"&amp;$A26)+100*RTD("tos.rtd",,"VOLUME","."&amp;R$2&amp;R$1&amp;"P"&amp;$A26)*RTD("tos.rtd",,"LAST","."&amp;R$2&amp;R$1&amp;"P"&amp;$A26))/1000000,(100*RTD("tos.rtd",,"VOLUME","."&amp;R$2&amp;R$1&amp;"C"&amp;$A26)*RTD("tos.rtd",,"LAST","."&amp;R$2&amp;R$1&amp;"C"&amp;$A26)-100*RTD("tos.rtd",,"VOLUME","."&amp;R$2&amp;R$1&amp;"P"&amp;$A26)*RTD("tos.rtd",,"LAST","."&amp;R$2&amp;R$1&amp;"P"&amp;$A26))/1000000),0),IF($A$2="DEX",IFERROR(IF($X$1="ABS",(100*RTD("tos.rtd",,"OPEN_INT","."&amp;R$2&amp;R$1&amp;"C"&amp;$A26)*RTD("tos.rtd",,"DELTA","."&amp;R$2&amp;R$1&amp;"C"&amp;$A26)+100*RTD("tos.rtd",,"OPEN_INT","."&amp;R$2&amp;R$1&amp;"P"&amp;$A26)*RTD("tos.rtd",,"DELTA","."&amp;R$2&amp;R$1&amp;"P"&amp;$A26))/1000,(100*RTD("tos.rtd",,"OPEN_INT","."&amp;R$2&amp;R$1&amp;"C"&amp;$A26)*RTD("tos.rtd",,"DELTA","."&amp;R$2&amp;R$1&amp;"C"&amp;$A26)-100*RTD("tos.rtd",,"OPEN_INT","."&amp;R$2&amp;R$1&amp;"P"&amp;$A26)*RTD("tos.rtd",,"DELTA","."&amp;R$2&amp;R$1&amp;"P"&amp;$A26))/1000),0),IF($A$2="VEX",IFERROR(IF($X$1="ABS",($A$4*$A$4*RTD("tos.rtd",,"VOLUME","."&amp;R$2&amp;R$1&amp;"C"&amp;$A26)*RTD("tos.rtd",,"GAMMA","."&amp;R$2&amp;R$1&amp;"C"&amp;$A26)+$A$4*$A$4*RTD("tos.rtd",,"VOLUME","."&amp;R$2&amp;R$1&amp;"P"&amp;$A26)*RTD("tos.rtd",,"GAMMA","."&amp;R$2&amp;R$1&amp;"P"&amp;$A26))/1000000,($A$4*$A$4*RTD("tos.rtd",,"VOLUME","."&amp;R$2&amp;R$1&amp;"C"&amp;$A26)*RTD("tos.rtd",,"GAMMA","."&amp;R$2&amp;R$1&amp;"C"&amp;$A26)-$A$4*$A$4*RTD("tos.rtd",,"VOLUME","."&amp;R$2&amp;R$1&amp;"P"&amp;$A26)*RTD("tos.rtd",,"GAMMA","."&amp;R$2&amp;R$1&amp;"P"&amp;$A26))/1000000),0),IF($A$2="GEX",IFERROR(IF($X$1="ABS",($A$4*$A$4*RTD("tos.rtd",,"OPEN_INT","."&amp;R$2&amp;R$1&amp;"C"&amp;$A26)*RTD("tos.rtd",,"GAMMA","."&amp;R$2&amp;R$1&amp;"C"&amp;$A26)+$A$4*$A$4*RTD("tos.rtd",,"OPEN_INT","."&amp;R$2&amp;R$1&amp;"P"&amp;$A26)*RTD("tos.rtd",,"GAMMA","."&amp;R$2&amp;R$1&amp;"P"&amp;$A26))/1000000,($A$4*$A$4*RTD("tos.rtd",,"OPEN_INT","."&amp;R$2&amp;R$1&amp;"C"&amp;$A26)*RTD("tos.rtd",,"GAMMA","."&amp;R$2&amp;R$1&amp;"C"&amp;$A26)-$A$4*$A$4*RTD("tos.rtd",,"OPEN_INT","."&amp;R$2&amp;R$1&amp;"P"&amp;$A26)*RTD("tos.rtd",,"GAMMA","."&amp;R$2&amp;R$1&amp;"P"&amp;$A26))/1000000),0),IF($A$2="SKEW",IFERROR(VALUE(IF(RTD("tos.rtd",,"IMPL_VOL","."&amp;R$2&amp;R$1&amp;"P"&amp;$A26)="N/A",0,RTD("tos.rtd",,"IMPL_VOL","."&amp;R$2&amp;R$1&amp;"P"&amp;$A26))),0)-IFERROR(VALUE(IF(RTD("tos.rtd",,"IMPL_VOL","."&amp;R$2&amp;R$1&amp;"C"&amp;$A26)="N/A",0,RTD("tos.rtd",,"IMPL_VOL","."&amp;R$2&amp;R$1&amp;"C"&amp;$A26))),0),IF($A$2="MAXPAIN",IF($A$4&gt;$A26,($A$4-$A26)*IF(RTD("tos.rtd",,"OPEN_INT","."&amp;R$2&amp;R$1&amp;"C"&amp;$A26)="N/A",0,RTD("tos.rtd",,"OPEN_INT","."&amp;R$2&amp;R$1&amp;"C"&amp;$A26)),0)+IF($A$4&lt;$A26,($A$5-$A$4)*IF(RTD("tos.rtd",,"OPEN_INT","."&amp;R$2&amp;R$1&amp;"P"&amp;$A26)="N/A",0,RTD("tos.rtd",,"OPEN_INT","."&amp;R$2&amp;R$1&amp;"P"&amp;$A26)),0),IF($X$1="ABS",IF(RTD("tos.rtd",,$A$2,"."&amp;R$2&amp;R$1&amp;"C"&amp;$A26)="N/A",0,RTD("tos.rtd",,$A$2,"."&amp;R$2&amp;R$1&amp;"C"&amp;$A26))+IF(RTD("tos.rtd",,$A$2,"."&amp;R$2&amp;R$1&amp;"P"&amp;$A26)="N/A",0,RTD("tos.rtd",,$A$2,"."&amp;R$2&amp;R$1&amp;"P"&amp;$A26)),IF(RTD("tos.rtd",,$A$2,"."&amp;R$2&amp;R$1&amp;"C"&amp;$A26)="N/A",0,RTD("tos.rtd",,$A$2,"."&amp;R$2&amp;R$1&amp;"C"&amp;$A26))-IF(RTD("tos.rtd",,$A$2,"."&amp;R$2&amp;R$1&amp;"P"&amp;$A26)="N/A",0,RTD("tos.rtd",,$A$2,"."&amp;R$2&amp;R$1&amp;"P"&amp;$A26))))))))))</f>
        <v>0</v>
      </c>
      <c r="S26" s="12">
        <f ca="1">IF($A$2="PREMIUM_OI",IFERROR(IF($X$1="ABS",(100*RTD("tos.rtd",,"OPEN_INT","."&amp;S$2&amp;S$1&amp;"C"&amp;$A26)*RTD("tos.rtd",,"LAST","."&amp;S$2&amp;S$1&amp;"C"&amp;$A26)+100*RTD("tos.rtd",,"OPEN_INT","."&amp;S$2&amp;S$1&amp;"P"&amp;$A26)*RTD("tos.rtd",,"LAST","."&amp;S$2&amp;S$1&amp;"P"&amp;$A26))/1000000,(100*RTD("tos.rtd",,"OPEN_INT","."&amp;S$2&amp;S$1&amp;"C"&amp;$A26)*RTD("tos.rtd",,"LAST","."&amp;S$2&amp;S$1&amp;"C"&amp;$A26)-100*RTD("tos.rtd",,"OPEN_INT","."&amp;S$2&amp;S$1&amp;"P"&amp;$A26)*RTD("tos.rtd",,"LAST","."&amp;S$2&amp;S$1&amp;"P"&amp;$A26))/1000000),0),IF($A$2="PREMIUM",IFERROR(IF($X$1="ABS",(100*RTD("tos.rtd",,"VOLUME","."&amp;S$2&amp;S$1&amp;"C"&amp;$A26)*RTD("tos.rtd",,"LAST","."&amp;S$2&amp;S$1&amp;"C"&amp;$A26)+100*RTD("tos.rtd",,"VOLUME","."&amp;S$2&amp;S$1&amp;"P"&amp;$A26)*RTD("tos.rtd",,"LAST","."&amp;S$2&amp;S$1&amp;"P"&amp;$A26))/1000000,(100*RTD("tos.rtd",,"VOLUME","."&amp;S$2&amp;S$1&amp;"C"&amp;$A26)*RTD("tos.rtd",,"LAST","."&amp;S$2&amp;S$1&amp;"C"&amp;$A26)-100*RTD("tos.rtd",,"VOLUME","."&amp;S$2&amp;S$1&amp;"P"&amp;$A26)*RTD("tos.rtd",,"LAST","."&amp;S$2&amp;S$1&amp;"P"&amp;$A26))/1000000),0),IF($A$2="DEX",IFERROR(IF($X$1="ABS",(100*RTD("tos.rtd",,"OPEN_INT","."&amp;S$2&amp;S$1&amp;"C"&amp;$A26)*RTD("tos.rtd",,"DELTA","."&amp;S$2&amp;S$1&amp;"C"&amp;$A26)+100*RTD("tos.rtd",,"OPEN_INT","."&amp;S$2&amp;S$1&amp;"P"&amp;$A26)*RTD("tos.rtd",,"DELTA","."&amp;S$2&amp;S$1&amp;"P"&amp;$A26))/1000,(100*RTD("tos.rtd",,"OPEN_INT","."&amp;S$2&amp;S$1&amp;"C"&amp;$A26)*RTD("tos.rtd",,"DELTA","."&amp;S$2&amp;S$1&amp;"C"&amp;$A26)-100*RTD("tos.rtd",,"OPEN_INT","."&amp;S$2&amp;S$1&amp;"P"&amp;$A26)*RTD("tos.rtd",,"DELTA","."&amp;S$2&amp;S$1&amp;"P"&amp;$A26))/1000),0),IF($A$2="VEX",IFERROR(IF($X$1="ABS",($A$4*$A$4*RTD("tos.rtd",,"VOLUME","."&amp;S$2&amp;S$1&amp;"C"&amp;$A26)*RTD("tos.rtd",,"GAMMA","."&amp;S$2&amp;S$1&amp;"C"&amp;$A26)+$A$4*$A$4*RTD("tos.rtd",,"VOLUME","."&amp;S$2&amp;S$1&amp;"P"&amp;$A26)*RTD("tos.rtd",,"GAMMA","."&amp;S$2&amp;S$1&amp;"P"&amp;$A26))/1000000,($A$4*$A$4*RTD("tos.rtd",,"VOLUME","."&amp;S$2&amp;S$1&amp;"C"&amp;$A26)*RTD("tos.rtd",,"GAMMA","."&amp;S$2&amp;S$1&amp;"C"&amp;$A26)-$A$4*$A$4*RTD("tos.rtd",,"VOLUME","."&amp;S$2&amp;S$1&amp;"P"&amp;$A26)*RTD("tos.rtd",,"GAMMA","."&amp;S$2&amp;S$1&amp;"P"&amp;$A26))/1000000),0),IF($A$2="GEX",IFERROR(IF($X$1="ABS",($A$4*$A$4*RTD("tos.rtd",,"OPEN_INT","."&amp;S$2&amp;S$1&amp;"C"&amp;$A26)*RTD("tos.rtd",,"GAMMA","."&amp;S$2&amp;S$1&amp;"C"&amp;$A26)+$A$4*$A$4*RTD("tos.rtd",,"OPEN_INT","."&amp;S$2&amp;S$1&amp;"P"&amp;$A26)*RTD("tos.rtd",,"GAMMA","."&amp;S$2&amp;S$1&amp;"P"&amp;$A26))/1000000,($A$4*$A$4*RTD("tos.rtd",,"OPEN_INT","."&amp;S$2&amp;S$1&amp;"C"&amp;$A26)*RTD("tos.rtd",,"GAMMA","."&amp;S$2&amp;S$1&amp;"C"&amp;$A26)-$A$4*$A$4*RTD("tos.rtd",,"OPEN_INT","."&amp;S$2&amp;S$1&amp;"P"&amp;$A26)*RTD("tos.rtd",,"GAMMA","."&amp;S$2&amp;S$1&amp;"P"&amp;$A26))/1000000),0),IF($A$2="SKEW",IFERROR(VALUE(IF(RTD("tos.rtd",,"IMPL_VOL","."&amp;S$2&amp;S$1&amp;"P"&amp;$A26)="N/A",0,RTD("tos.rtd",,"IMPL_VOL","."&amp;S$2&amp;S$1&amp;"P"&amp;$A26))),0)-IFERROR(VALUE(IF(RTD("tos.rtd",,"IMPL_VOL","."&amp;S$2&amp;S$1&amp;"C"&amp;$A26)="N/A",0,RTD("tos.rtd",,"IMPL_VOL","."&amp;S$2&amp;S$1&amp;"C"&amp;$A26))),0),IF($A$2="MAXPAIN",IF($A$4&gt;$A26,($A$4-$A26)*IF(RTD("tos.rtd",,"OPEN_INT","."&amp;S$2&amp;S$1&amp;"C"&amp;$A26)="N/A",0,RTD("tos.rtd",,"OPEN_INT","."&amp;S$2&amp;S$1&amp;"C"&amp;$A26)),0)+IF($A$4&lt;$A26,($A$5-$A$4)*IF(RTD("tos.rtd",,"OPEN_INT","."&amp;S$2&amp;S$1&amp;"P"&amp;$A26)="N/A",0,RTD("tos.rtd",,"OPEN_INT","."&amp;S$2&amp;S$1&amp;"P"&amp;$A26)),0),IF($X$1="ABS",IF(RTD("tos.rtd",,$A$2,"."&amp;S$2&amp;S$1&amp;"C"&amp;$A26)="N/A",0,RTD("tos.rtd",,$A$2,"."&amp;S$2&amp;S$1&amp;"C"&amp;$A26))+IF(RTD("tos.rtd",,$A$2,"."&amp;S$2&amp;S$1&amp;"P"&amp;$A26)="N/A",0,RTD("tos.rtd",,$A$2,"."&amp;S$2&amp;S$1&amp;"P"&amp;$A26)),IF(RTD("tos.rtd",,$A$2,"."&amp;S$2&amp;S$1&amp;"C"&amp;$A26)="N/A",0,RTD("tos.rtd",,$A$2,"."&amp;S$2&amp;S$1&amp;"C"&amp;$A26))-IF(RTD("tos.rtd",,$A$2,"."&amp;S$2&amp;S$1&amp;"P"&amp;$A26)="N/A",0,RTD("tos.rtd",,$A$2,"."&amp;S$2&amp;S$1&amp;"P"&amp;$A26))))))))))</f>
        <v>0</v>
      </c>
      <c r="T26" s="12">
        <f ca="1">IF($A$2="PREMIUM_OI",IFERROR(IF($X$1="ABS",(100*RTD("tos.rtd",,"OPEN_INT","."&amp;T$2&amp;T$1&amp;"C"&amp;$A26)*RTD("tos.rtd",,"LAST","."&amp;T$2&amp;T$1&amp;"C"&amp;$A26)+100*RTD("tos.rtd",,"OPEN_INT","."&amp;T$2&amp;T$1&amp;"P"&amp;$A26)*RTD("tos.rtd",,"LAST","."&amp;T$2&amp;T$1&amp;"P"&amp;$A26))/1000000,(100*RTD("tos.rtd",,"OPEN_INT","."&amp;T$2&amp;T$1&amp;"C"&amp;$A26)*RTD("tos.rtd",,"LAST","."&amp;T$2&amp;T$1&amp;"C"&amp;$A26)-100*RTD("tos.rtd",,"OPEN_INT","."&amp;T$2&amp;T$1&amp;"P"&amp;$A26)*RTD("tos.rtd",,"LAST","."&amp;T$2&amp;T$1&amp;"P"&amp;$A26))/1000000),0),IF($A$2="PREMIUM",IFERROR(IF($X$1="ABS",(100*RTD("tos.rtd",,"VOLUME","."&amp;T$2&amp;T$1&amp;"C"&amp;$A26)*RTD("tos.rtd",,"LAST","."&amp;T$2&amp;T$1&amp;"C"&amp;$A26)+100*RTD("tos.rtd",,"VOLUME","."&amp;T$2&amp;T$1&amp;"P"&amp;$A26)*RTD("tos.rtd",,"LAST","."&amp;T$2&amp;T$1&amp;"P"&amp;$A26))/1000000,(100*RTD("tos.rtd",,"VOLUME","."&amp;T$2&amp;T$1&amp;"C"&amp;$A26)*RTD("tos.rtd",,"LAST","."&amp;T$2&amp;T$1&amp;"C"&amp;$A26)-100*RTD("tos.rtd",,"VOLUME","."&amp;T$2&amp;T$1&amp;"P"&amp;$A26)*RTD("tos.rtd",,"LAST","."&amp;T$2&amp;T$1&amp;"P"&amp;$A26))/1000000),0),IF($A$2="DEX",IFERROR(IF($X$1="ABS",(100*RTD("tos.rtd",,"OPEN_INT","."&amp;T$2&amp;T$1&amp;"C"&amp;$A26)*RTD("tos.rtd",,"DELTA","."&amp;T$2&amp;T$1&amp;"C"&amp;$A26)+100*RTD("tos.rtd",,"OPEN_INT","."&amp;T$2&amp;T$1&amp;"P"&amp;$A26)*RTD("tos.rtd",,"DELTA","."&amp;T$2&amp;T$1&amp;"P"&amp;$A26))/1000,(100*RTD("tos.rtd",,"OPEN_INT","."&amp;T$2&amp;T$1&amp;"C"&amp;$A26)*RTD("tos.rtd",,"DELTA","."&amp;T$2&amp;T$1&amp;"C"&amp;$A26)-100*RTD("tos.rtd",,"OPEN_INT","."&amp;T$2&amp;T$1&amp;"P"&amp;$A26)*RTD("tos.rtd",,"DELTA","."&amp;T$2&amp;T$1&amp;"P"&amp;$A26))/1000),0),IF($A$2="VEX",IFERROR(IF($X$1="ABS",($A$4*$A$4*RTD("tos.rtd",,"VOLUME","."&amp;T$2&amp;T$1&amp;"C"&amp;$A26)*RTD("tos.rtd",,"GAMMA","."&amp;T$2&amp;T$1&amp;"C"&amp;$A26)+$A$4*$A$4*RTD("tos.rtd",,"VOLUME","."&amp;T$2&amp;T$1&amp;"P"&amp;$A26)*RTD("tos.rtd",,"GAMMA","."&amp;T$2&amp;T$1&amp;"P"&amp;$A26))/1000000,($A$4*$A$4*RTD("tos.rtd",,"VOLUME","."&amp;T$2&amp;T$1&amp;"C"&amp;$A26)*RTD("tos.rtd",,"GAMMA","."&amp;T$2&amp;T$1&amp;"C"&amp;$A26)-$A$4*$A$4*RTD("tos.rtd",,"VOLUME","."&amp;T$2&amp;T$1&amp;"P"&amp;$A26)*RTD("tos.rtd",,"GAMMA","."&amp;T$2&amp;T$1&amp;"P"&amp;$A26))/1000000),0),IF($A$2="GEX",IFERROR(IF($X$1="ABS",($A$4*$A$4*RTD("tos.rtd",,"OPEN_INT","."&amp;T$2&amp;T$1&amp;"C"&amp;$A26)*RTD("tos.rtd",,"GAMMA","."&amp;T$2&amp;T$1&amp;"C"&amp;$A26)+$A$4*$A$4*RTD("tos.rtd",,"OPEN_INT","."&amp;T$2&amp;T$1&amp;"P"&amp;$A26)*RTD("tos.rtd",,"GAMMA","."&amp;T$2&amp;T$1&amp;"P"&amp;$A26))/1000000,($A$4*$A$4*RTD("tos.rtd",,"OPEN_INT","."&amp;T$2&amp;T$1&amp;"C"&amp;$A26)*RTD("tos.rtd",,"GAMMA","."&amp;T$2&amp;T$1&amp;"C"&amp;$A26)-$A$4*$A$4*RTD("tos.rtd",,"OPEN_INT","."&amp;T$2&amp;T$1&amp;"P"&amp;$A26)*RTD("tos.rtd",,"GAMMA","."&amp;T$2&amp;T$1&amp;"P"&amp;$A26))/1000000),0),IF($A$2="SKEW",IFERROR(VALUE(IF(RTD("tos.rtd",,"IMPL_VOL","."&amp;T$2&amp;T$1&amp;"P"&amp;$A26)="N/A",0,RTD("tos.rtd",,"IMPL_VOL","."&amp;T$2&amp;T$1&amp;"P"&amp;$A26))),0)-IFERROR(VALUE(IF(RTD("tos.rtd",,"IMPL_VOL","."&amp;T$2&amp;T$1&amp;"C"&amp;$A26)="N/A",0,RTD("tos.rtd",,"IMPL_VOL","."&amp;T$2&amp;T$1&amp;"C"&amp;$A26))),0),IF($A$2="MAXPAIN",IF($A$4&gt;$A26,($A$4-$A26)*IF(RTD("tos.rtd",,"OPEN_INT","."&amp;T$2&amp;T$1&amp;"C"&amp;$A26)="N/A",0,RTD("tos.rtd",,"OPEN_INT","."&amp;T$2&amp;T$1&amp;"C"&amp;$A26)),0)+IF($A$4&lt;$A26,($A$5-$A$4)*IF(RTD("tos.rtd",,"OPEN_INT","."&amp;T$2&amp;T$1&amp;"P"&amp;$A26)="N/A",0,RTD("tos.rtd",,"OPEN_INT","."&amp;T$2&amp;T$1&amp;"P"&amp;$A26)),0),IF($X$1="ABS",IF(RTD("tos.rtd",,$A$2,"."&amp;T$2&amp;T$1&amp;"C"&amp;$A26)="N/A",0,RTD("tos.rtd",,$A$2,"."&amp;T$2&amp;T$1&amp;"C"&amp;$A26))+IF(RTD("tos.rtd",,$A$2,"."&amp;T$2&amp;T$1&amp;"P"&amp;$A26)="N/A",0,RTD("tos.rtd",,$A$2,"."&amp;T$2&amp;T$1&amp;"P"&amp;$A26)),IF(RTD("tos.rtd",,$A$2,"."&amp;T$2&amp;T$1&amp;"C"&amp;$A26)="N/A",0,RTD("tos.rtd",,$A$2,"."&amp;T$2&amp;T$1&amp;"C"&amp;$A26))-IF(RTD("tos.rtd",,$A$2,"."&amp;T$2&amp;T$1&amp;"P"&amp;$A26)="N/A",0,RTD("tos.rtd",,$A$2,"."&amp;T$2&amp;T$1&amp;"P"&amp;$A26))))))))))</f>
        <v>0</v>
      </c>
      <c r="U26" s="12">
        <f ca="1">IF($A$2="PREMIUM_OI",IFERROR(IF($X$1="ABS",(100*RTD("tos.rtd",,"OPEN_INT","."&amp;U$2&amp;U$1&amp;"C"&amp;$A26)*RTD("tos.rtd",,"LAST","."&amp;U$2&amp;U$1&amp;"C"&amp;$A26)+100*RTD("tos.rtd",,"OPEN_INT","."&amp;U$2&amp;U$1&amp;"P"&amp;$A26)*RTD("tos.rtd",,"LAST","."&amp;U$2&amp;U$1&amp;"P"&amp;$A26))/1000000,(100*RTD("tos.rtd",,"OPEN_INT","."&amp;U$2&amp;U$1&amp;"C"&amp;$A26)*RTD("tos.rtd",,"LAST","."&amp;U$2&amp;U$1&amp;"C"&amp;$A26)-100*RTD("tos.rtd",,"OPEN_INT","."&amp;U$2&amp;U$1&amp;"P"&amp;$A26)*RTD("tos.rtd",,"LAST","."&amp;U$2&amp;U$1&amp;"P"&amp;$A26))/1000000),0),IF($A$2="PREMIUM",IFERROR(IF($X$1="ABS",(100*RTD("tos.rtd",,"VOLUME","."&amp;U$2&amp;U$1&amp;"C"&amp;$A26)*RTD("tos.rtd",,"LAST","."&amp;U$2&amp;U$1&amp;"C"&amp;$A26)+100*RTD("tos.rtd",,"VOLUME","."&amp;U$2&amp;U$1&amp;"P"&amp;$A26)*RTD("tos.rtd",,"LAST","."&amp;U$2&amp;U$1&amp;"P"&amp;$A26))/1000000,(100*RTD("tos.rtd",,"VOLUME","."&amp;U$2&amp;U$1&amp;"C"&amp;$A26)*RTD("tos.rtd",,"LAST","."&amp;U$2&amp;U$1&amp;"C"&amp;$A26)-100*RTD("tos.rtd",,"VOLUME","."&amp;U$2&amp;U$1&amp;"P"&amp;$A26)*RTD("tos.rtd",,"LAST","."&amp;U$2&amp;U$1&amp;"P"&amp;$A26))/1000000),0),IF($A$2="DEX",IFERROR(IF($X$1="ABS",(100*RTD("tos.rtd",,"OPEN_INT","."&amp;U$2&amp;U$1&amp;"C"&amp;$A26)*RTD("tos.rtd",,"DELTA","."&amp;U$2&amp;U$1&amp;"C"&amp;$A26)+100*RTD("tos.rtd",,"OPEN_INT","."&amp;U$2&amp;U$1&amp;"P"&amp;$A26)*RTD("tos.rtd",,"DELTA","."&amp;U$2&amp;U$1&amp;"P"&amp;$A26))/1000,(100*RTD("tos.rtd",,"OPEN_INT","."&amp;U$2&amp;U$1&amp;"C"&amp;$A26)*RTD("tos.rtd",,"DELTA","."&amp;U$2&amp;U$1&amp;"C"&amp;$A26)-100*RTD("tos.rtd",,"OPEN_INT","."&amp;U$2&amp;U$1&amp;"P"&amp;$A26)*RTD("tos.rtd",,"DELTA","."&amp;U$2&amp;U$1&amp;"P"&amp;$A26))/1000),0),IF($A$2="VEX",IFERROR(IF($X$1="ABS",($A$4*$A$4*RTD("tos.rtd",,"VOLUME","."&amp;U$2&amp;U$1&amp;"C"&amp;$A26)*RTD("tos.rtd",,"GAMMA","."&amp;U$2&amp;U$1&amp;"C"&amp;$A26)+$A$4*$A$4*RTD("tos.rtd",,"VOLUME","."&amp;U$2&amp;U$1&amp;"P"&amp;$A26)*RTD("tos.rtd",,"GAMMA","."&amp;U$2&amp;U$1&amp;"P"&amp;$A26))/1000000,($A$4*$A$4*RTD("tos.rtd",,"VOLUME","."&amp;U$2&amp;U$1&amp;"C"&amp;$A26)*RTD("tos.rtd",,"GAMMA","."&amp;U$2&amp;U$1&amp;"C"&amp;$A26)-$A$4*$A$4*RTD("tos.rtd",,"VOLUME","."&amp;U$2&amp;U$1&amp;"P"&amp;$A26)*RTD("tos.rtd",,"GAMMA","."&amp;U$2&amp;U$1&amp;"P"&amp;$A26))/1000000),0),IF($A$2="GEX",IFERROR(IF($X$1="ABS",($A$4*$A$4*RTD("tos.rtd",,"OPEN_INT","."&amp;U$2&amp;U$1&amp;"C"&amp;$A26)*RTD("tos.rtd",,"GAMMA","."&amp;U$2&amp;U$1&amp;"C"&amp;$A26)+$A$4*$A$4*RTD("tos.rtd",,"OPEN_INT","."&amp;U$2&amp;U$1&amp;"P"&amp;$A26)*RTD("tos.rtd",,"GAMMA","."&amp;U$2&amp;U$1&amp;"P"&amp;$A26))/1000000,($A$4*$A$4*RTD("tos.rtd",,"OPEN_INT","."&amp;U$2&amp;U$1&amp;"C"&amp;$A26)*RTD("tos.rtd",,"GAMMA","."&amp;U$2&amp;U$1&amp;"C"&amp;$A26)-$A$4*$A$4*RTD("tos.rtd",,"OPEN_INT","."&amp;U$2&amp;U$1&amp;"P"&amp;$A26)*RTD("tos.rtd",,"GAMMA","."&amp;U$2&amp;U$1&amp;"P"&amp;$A26))/1000000),0),IF($A$2="SKEW",IFERROR(VALUE(IF(RTD("tos.rtd",,"IMPL_VOL","."&amp;U$2&amp;U$1&amp;"P"&amp;$A26)="N/A",0,RTD("tos.rtd",,"IMPL_VOL","."&amp;U$2&amp;U$1&amp;"P"&amp;$A26))),0)-IFERROR(VALUE(IF(RTD("tos.rtd",,"IMPL_VOL","."&amp;U$2&amp;U$1&amp;"C"&amp;$A26)="N/A",0,RTD("tos.rtd",,"IMPL_VOL","."&amp;U$2&amp;U$1&amp;"C"&amp;$A26))),0),IF($A$2="MAXPAIN",IF($A$4&gt;$A26,($A$4-$A26)*IF(RTD("tos.rtd",,"OPEN_INT","."&amp;U$2&amp;U$1&amp;"C"&amp;$A26)="N/A",0,RTD("tos.rtd",,"OPEN_INT","."&amp;U$2&amp;U$1&amp;"C"&amp;$A26)),0)+IF($A$4&lt;$A26,($A$5-$A$4)*IF(RTD("tos.rtd",,"OPEN_INT","."&amp;U$2&amp;U$1&amp;"P"&amp;$A26)="N/A",0,RTD("tos.rtd",,"OPEN_INT","."&amp;U$2&amp;U$1&amp;"P"&amp;$A26)),0),IF($X$1="ABS",IF(RTD("tos.rtd",,$A$2,"."&amp;U$2&amp;U$1&amp;"C"&amp;$A26)="N/A",0,RTD("tos.rtd",,$A$2,"."&amp;U$2&amp;U$1&amp;"C"&amp;$A26))+IF(RTD("tos.rtd",,$A$2,"."&amp;U$2&amp;U$1&amp;"P"&amp;$A26)="N/A",0,RTD("tos.rtd",,$A$2,"."&amp;U$2&amp;U$1&amp;"P"&amp;$A26)),IF(RTD("tos.rtd",,$A$2,"."&amp;U$2&amp;U$1&amp;"C"&amp;$A26)="N/A",0,RTD("tos.rtd",,$A$2,"."&amp;U$2&amp;U$1&amp;"C"&amp;$A26))-IF(RTD("tos.rtd",,$A$2,"."&amp;U$2&amp;U$1&amp;"P"&amp;$A26)="N/A",0,RTD("tos.rtd",,$A$2,"."&amp;U$2&amp;U$1&amp;"P"&amp;$A26))))))))))</f>
        <v>0</v>
      </c>
      <c r="V26" s="12">
        <f ca="1">IF($A$2="PREMIUM_OI",IFERROR(IF($X$1="ABS",(100*RTD("tos.rtd",,"OPEN_INT","."&amp;V$2&amp;V$1&amp;"C"&amp;$A26)*RTD("tos.rtd",,"LAST","."&amp;V$2&amp;V$1&amp;"C"&amp;$A26)+100*RTD("tos.rtd",,"OPEN_INT","."&amp;V$2&amp;V$1&amp;"P"&amp;$A26)*RTD("tos.rtd",,"LAST","."&amp;V$2&amp;V$1&amp;"P"&amp;$A26))/1000000,(100*RTD("tos.rtd",,"OPEN_INT","."&amp;V$2&amp;V$1&amp;"C"&amp;$A26)*RTD("tos.rtd",,"LAST","."&amp;V$2&amp;V$1&amp;"C"&amp;$A26)-100*RTD("tos.rtd",,"OPEN_INT","."&amp;V$2&amp;V$1&amp;"P"&amp;$A26)*RTD("tos.rtd",,"LAST","."&amp;V$2&amp;V$1&amp;"P"&amp;$A26))/1000000),0),IF($A$2="PREMIUM",IFERROR(IF($X$1="ABS",(100*RTD("tos.rtd",,"VOLUME","."&amp;V$2&amp;V$1&amp;"C"&amp;$A26)*RTD("tos.rtd",,"LAST","."&amp;V$2&amp;V$1&amp;"C"&amp;$A26)+100*RTD("tos.rtd",,"VOLUME","."&amp;V$2&amp;V$1&amp;"P"&amp;$A26)*RTD("tos.rtd",,"LAST","."&amp;V$2&amp;V$1&amp;"P"&amp;$A26))/1000000,(100*RTD("tos.rtd",,"VOLUME","."&amp;V$2&amp;V$1&amp;"C"&amp;$A26)*RTD("tos.rtd",,"LAST","."&amp;V$2&amp;V$1&amp;"C"&amp;$A26)-100*RTD("tos.rtd",,"VOLUME","."&amp;V$2&amp;V$1&amp;"P"&amp;$A26)*RTD("tos.rtd",,"LAST","."&amp;V$2&amp;V$1&amp;"P"&amp;$A26))/1000000),0),IF($A$2="DEX",IFERROR(IF($X$1="ABS",(100*RTD("tos.rtd",,"OPEN_INT","."&amp;V$2&amp;V$1&amp;"C"&amp;$A26)*RTD("tos.rtd",,"DELTA","."&amp;V$2&amp;V$1&amp;"C"&amp;$A26)+100*RTD("tos.rtd",,"OPEN_INT","."&amp;V$2&amp;V$1&amp;"P"&amp;$A26)*RTD("tos.rtd",,"DELTA","."&amp;V$2&amp;V$1&amp;"P"&amp;$A26))/1000,(100*RTD("tos.rtd",,"OPEN_INT","."&amp;V$2&amp;V$1&amp;"C"&amp;$A26)*RTD("tos.rtd",,"DELTA","."&amp;V$2&amp;V$1&amp;"C"&amp;$A26)-100*RTD("tos.rtd",,"OPEN_INT","."&amp;V$2&amp;V$1&amp;"P"&amp;$A26)*RTD("tos.rtd",,"DELTA","."&amp;V$2&amp;V$1&amp;"P"&amp;$A26))/1000),0),IF($A$2="VEX",IFERROR(IF($X$1="ABS",($A$4*$A$4*RTD("tos.rtd",,"VOLUME","."&amp;V$2&amp;V$1&amp;"C"&amp;$A26)*RTD("tos.rtd",,"GAMMA","."&amp;V$2&amp;V$1&amp;"C"&amp;$A26)+$A$4*$A$4*RTD("tos.rtd",,"VOLUME","."&amp;V$2&amp;V$1&amp;"P"&amp;$A26)*RTD("tos.rtd",,"GAMMA","."&amp;V$2&amp;V$1&amp;"P"&amp;$A26))/1000000,($A$4*$A$4*RTD("tos.rtd",,"VOLUME","."&amp;V$2&amp;V$1&amp;"C"&amp;$A26)*RTD("tos.rtd",,"GAMMA","."&amp;V$2&amp;V$1&amp;"C"&amp;$A26)-$A$4*$A$4*RTD("tos.rtd",,"VOLUME","."&amp;V$2&amp;V$1&amp;"P"&amp;$A26)*RTD("tos.rtd",,"GAMMA","."&amp;V$2&amp;V$1&amp;"P"&amp;$A26))/1000000),0),IF($A$2="GEX",IFERROR(IF($X$1="ABS",($A$4*$A$4*RTD("tos.rtd",,"OPEN_INT","."&amp;V$2&amp;V$1&amp;"C"&amp;$A26)*RTD("tos.rtd",,"GAMMA","."&amp;V$2&amp;V$1&amp;"C"&amp;$A26)+$A$4*$A$4*RTD("tos.rtd",,"OPEN_INT","."&amp;V$2&amp;V$1&amp;"P"&amp;$A26)*RTD("tos.rtd",,"GAMMA","."&amp;V$2&amp;V$1&amp;"P"&amp;$A26))/1000000,($A$4*$A$4*RTD("tos.rtd",,"OPEN_INT","."&amp;V$2&amp;V$1&amp;"C"&amp;$A26)*RTD("tos.rtd",,"GAMMA","."&amp;V$2&amp;V$1&amp;"C"&amp;$A26)-$A$4*$A$4*RTD("tos.rtd",,"OPEN_INT","."&amp;V$2&amp;V$1&amp;"P"&amp;$A26)*RTD("tos.rtd",,"GAMMA","."&amp;V$2&amp;V$1&amp;"P"&amp;$A26))/1000000),0),IF($A$2="SKEW",IFERROR(VALUE(IF(RTD("tos.rtd",,"IMPL_VOL","."&amp;V$2&amp;V$1&amp;"P"&amp;$A26)="N/A",0,RTD("tos.rtd",,"IMPL_VOL","."&amp;V$2&amp;V$1&amp;"P"&amp;$A26))),0)-IFERROR(VALUE(IF(RTD("tos.rtd",,"IMPL_VOL","."&amp;V$2&amp;V$1&amp;"C"&amp;$A26)="N/A",0,RTD("tos.rtd",,"IMPL_VOL","."&amp;V$2&amp;V$1&amp;"C"&amp;$A26))),0),IF($A$2="MAXPAIN",IF($A$4&gt;$A26,($A$4-$A26)*IF(RTD("tos.rtd",,"OPEN_INT","."&amp;V$2&amp;V$1&amp;"C"&amp;$A26)="N/A",0,RTD("tos.rtd",,"OPEN_INT","."&amp;V$2&amp;V$1&amp;"C"&amp;$A26)),0)+IF($A$4&lt;$A26,($A$5-$A$4)*IF(RTD("tos.rtd",,"OPEN_INT","."&amp;V$2&amp;V$1&amp;"P"&amp;$A26)="N/A",0,RTD("tos.rtd",,"OPEN_INT","."&amp;V$2&amp;V$1&amp;"P"&amp;$A26)),0),IF($X$1="ABS",IF(RTD("tos.rtd",,$A$2,"."&amp;V$2&amp;V$1&amp;"C"&amp;$A26)="N/A",0,RTD("tos.rtd",,$A$2,"."&amp;V$2&amp;V$1&amp;"C"&amp;$A26))+IF(RTD("tos.rtd",,$A$2,"."&amp;V$2&amp;V$1&amp;"P"&amp;$A26)="N/A",0,RTD("tos.rtd",,$A$2,"."&amp;V$2&amp;V$1&amp;"P"&amp;$A26)),IF(RTD("tos.rtd",,$A$2,"."&amp;V$2&amp;V$1&amp;"C"&amp;$A26)="N/A",0,RTD("tos.rtd",,$A$2,"."&amp;V$2&amp;V$1&amp;"C"&amp;$A26))-IF(RTD("tos.rtd",,$A$2,"."&amp;V$2&amp;V$1&amp;"P"&amp;$A26)="N/A",0,RTD("tos.rtd",,$A$2,"."&amp;V$2&amp;V$1&amp;"P"&amp;$A26))))))))))</f>
        <v>0</v>
      </c>
      <c r="W26" s="12">
        <f ca="1">IF($A$2="PREMIUM_OI",IFERROR(IF($X$1="ABS",(100*RTD("tos.rtd",,"OPEN_INT","."&amp;W$2&amp;W$1&amp;"C"&amp;$A26)*RTD("tos.rtd",,"LAST","."&amp;W$2&amp;W$1&amp;"C"&amp;$A26)+100*RTD("tos.rtd",,"OPEN_INT","."&amp;W$2&amp;W$1&amp;"P"&amp;$A26)*RTD("tos.rtd",,"LAST","."&amp;W$2&amp;W$1&amp;"P"&amp;$A26))/1000000,(100*RTD("tos.rtd",,"OPEN_INT","."&amp;W$2&amp;W$1&amp;"C"&amp;$A26)*RTD("tos.rtd",,"LAST","."&amp;W$2&amp;W$1&amp;"C"&amp;$A26)-100*RTD("tos.rtd",,"OPEN_INT","."&amp;W$2&amp;W$1&amp;"P"&amp;$A26)*RTD("tos.rtd",,"LAST","."&amp;W$2&amp;W$1&amp;"P"&amp;$A26))/1000000),0),IF($A$2="PREMIUM",IFERROR(IF($X$1="ABS",(100*RTD("tos.rtd",,"VOLUME","."&amp;W$2&amp;W$1&amp;"C"&amp;$A26)*RTD("tos.rtd",,"LAST","."&amp;W$2&amp;W$1&amp;"C"&amp;$A26)+100*RTD("tos.rtd",,"VOLUME","."&amp;W$2&amp;W$1&amp;"P"&amp;$A26)*RTD("tos.rtd",,"LAST","."&amp;W$2&amp;W$1&amp;"P"&amp;$A26))/1000000,(100*RTD("tos.rtd",,"VOLUME","."&amp;W$2&amp;W$1&amp;"C"&amp;$A26)*RTD("tos.rtd",,"LAST","."&amp;W$2&amp;W$1&amp;"C"&amp;$A26)-100*RTD("tos.rtd",,"VOLUME","."&amp;W$2&amp;W$1&amp;"P"&amp;$A26)*RTD("tos.rtd",,"LAST","."&amp;W$2&amp;W$1&amp;"P"&amp;$A26))/1000000),0),IF($A$2="DEX",IFERROR(IF($X$1="ABS",(100*RTD("tos.rtd",,"OPEN_INT","."&amp;W$2&amp;W$1&amp;"C"&amp;$A26)*RTD("tos.rtd",,"DELTA","."&amp;W$2&amp;W$1&amp;"C"&amp;$A26)+100*RTD("tos.rtd",,"OPEN_INT","."&amp;W$2&amp;W$1&amp;"P"&amp;$A26)*RTD("tos.rtd",,"DELTA","."&amp;W$2&amp;W$1&amp;"P"&amp;$A26))/1000,(100*RTD("tos.rtd",,"OPEN_INT","."&amp;W$2&amp;W$1&amp;"C"&amp;$A26)*RTD("tos.rtd",,"DELTA","."&amp;W$2&amp;W$1&amp;"C"&amp;$A26)-100*RTD("tos.rtd",,"OPEN_INT","."&amp;W$2&amp;W$1&amp;"P"&amp;$A26)*RTD("tos.rtd",,"DELTA","."&amp;W$2&amp;W$1&amp;"P"&amp;$A26))/1000),0),IF($A$2="VEX",IFERROR(IF($X$1="ABS",($A$4*$A$4*RTD("tos.rtd",,"VOLUME","."&amp;W$2&amp;W$1&amp;"C"&amp;$A26)*RTD("tos.rtd",,"GAMMA","."&amp;W$2&amp;W$1&amp;"C"&amp;$A26)+$A$4*$A$4*RTD("tos.rtd",,"VOLUME","."&amp;W$2&amp;W$1&amp;"P"&amp;$A26)*RTD("tos.rtd",,"GAMMA","."&amp;W$2&amp;W$1&amp;"P"&amp;$A26))/1000000,($A$4*$A$4*RTD("tos.rtd",,"VOLUME","."&amp;W$2&amp;W$1&amp;"C"&amp;$A26)*RTD("tos.rtd",,"GAMMA","."&amp;W$2&amp;W$1&amp;"C"&amp;$A26)-$A$4*$A$4*RTD("tos.rtd",,"VOLUME","."&amp;W$2&amp;W$1&amp;"P"&amp;$A26)*RTD("tos.rtd",,"GAMMA","."&amp;W$2&amp;W$1&amp;"P"&amp;$A26))/1000000),0),IF($A$2="GEX",IFERROR(IF($X$1="ABS",($A$4*$A$4*RTD("tos.rtd",,"OPEN_INT","."&amp;W$2&amp;W$1&amp;"C"&amp;$A26)*RTD("tos.rtd",,"GAMMA","."&amp;W$2&amp;W$1&amp;"C"&amp;$A26)+$A$4*$A$4*RTD("tos.rtd",,"OPEN_INT","."&amp;W$2&amp;W$1&amp;"P"&amp;$A26)*RTD("tos.rtd",,"GAMMA","."&amp;W$2&amp;W$1&amp;"P"&amp;$A26))/1000000,($A$4*$A$4*RTD("tos.rtd",,"OPEN_INT","."&amp;W$2&amp;W$1&amp;"C"&amp;$A26)*RTD("tos.rtd",,"GAMMA","."&amp;W$2&amp;W$1&amp;"C"&amp;$A26)-$A$4*$A$4*RTD("tos.rtd",,"OPEN_INT","."&amp;W$2&amp;W$1&amp;"P"&amp;$A26)*RTD("tos.rtd",,"GAMMA","."&amp;W$2&amp;W$1&amp;"P"&amp;$A26))/1000000),0),IF($A$2="SKEW",IFERROR(VALUE(IF(RTD("tos.rtd",,"IMPL_VOL","."&amp;W$2&amp;W$1&amp;"P"&amp;$A26)="N/A",0,RTD("tos.rtd",,"IMPL_VOL","."&amp;W$2&amp;W$1&amp;"P"&amp;$A26))),0)-IFERROR(VALUE(IF(RTD("tos.rtd",,"IMPL_VOL","."&amp;W$2&amp;W$1&amp;"C"&amp;$A26)="N/A",0,RTD("tos.rtd",,"IMPL_VOL","."&amp;W$2&amp;W$1&amp;"C"&amp;$A26))),0),IF($A$2="MAXPAIN",IF($A$4&gt;$A26,($A$4-$A26)*IF(RTD("tos.rtd",,"OPEN_INT","."&amp;W$2&amp;W$1&amp;"C"&amp;$A26)="N/A",0,RTD("tos.rtd",,"OPEN_INT","."&amp;W$2&amp;W$1&amp;"C"&amp;$A26)),0)+IF($A$4&lt;$A26,($A$5-$A$4)*IF(RTD("tos.rtd",,"OPEN_INT","."&amp;W$2&amp;W$1&amp;"P"&amp;$A26)="N/A",0,RTD("tos.rtd",,"OPEN_INT","."&amp;W$2&amp;W$1&amp;"P"&amp;$A26)),0),IF($X$1="ABS",IF(RTD("tos.rtd",,$A$2,"."&amp;W$2&amp;W$1&amp;"C"&amp;$A26)="N/A",0,RTD("tos.rtd",,$A$2,"."&amp;W$2&amp;W$1&amp;"C"&amp;$A26))+IF(RTD("tos.rtd",,$A$2,"."&amp;W$2&amp;W$1&amp;"P"&amp;$A26)="N/A",0,RTD("tos.rtd",,$A$2,"."&amp;W$2&amp;W$1&amp;"P"&amp;$A26)),IF(RTD("tos.rtd",,$A$2,"."&amp;W$2&amp;W$1&amp;"C"&amp;$A26)="N/A",0,RTD("tos.rtd",,$A$2,"."&amp;W$2&amp;W$1&amp;"C"&amp;$A26))-IF(RTD("tos.rtd",,$A$2,"."&amp;W$2&amp;W$1&amp;"P"&amp;$A26)="N/A",0,RTD("tos.rtd",,$A$2,"."&amp;W$2&amp;W$1&amp;"P"&amp;$A26))))))))))</f>
        <v>0</v>
      </c>
      <c r="X26" s="57">
        <f t="shared" ca="1" si="7"/>
        <v>34134</v>
      </c>
      <c r="Y26" s="27">
        <f t="shared" ca="1" si="8"/>
        <v>34134</v>
      </c>
      <c r="Z26" s="27" t="b">
        <f t="shared" ca="1" si="9"/>
        <v>0</v>
      </c>
      <c r="AA26" s="27">
        <f t="shared" si="10"/>
        <v>51283400</v>
      </c>
      <c r="AB26" s="18">
        <f>MAX(0, $A26-AB$4)*IF(RTD("tos.rtd",,"OPEN_INT","."&amp;$AA$3&amp;$AA$4&amp;"C"&amp;AB$4)="N/A",0,RTD("tos.rtd",,"OPEN_INT","."&amp;$AA$3&amp;$AA$4&amp;"C"&amp;AB$4))*100 + MAX(0, AB$4-$A26)*IF(RTD("tos.rtd",,"OPEN_INT","."&amp;$AA$3&amp;$AA$4&amp;"P"&amp;AB$4)="N/A",0,RTD("tos.rtd",,"OPEN_INT","."&amp;$AA$3&amp;$AA$4&amp;"P"&amp;AB$4))*100</f>
        <v>0</v>
      </c>
      <c r="AC26" s="18">
        <f>MAX(0, $A26-AC$4)*IF(RTD("tos.rtd",,"OPEN_INT","."&amp;$AA$3&amp;$AA$4&amp;"C"&amp;AC$4)="N/A",0,RTD("tos.rtd",,"OPEN_INT","."&amp;$AA$3&amp;$AA$4&amp;"C"&amp;AC$4))*100 + MAX(0, AC$4-$A26)*IF(RTD("tos.rtd",,"OPEN_INT","."&amp;$AA$3&amp;$AA$4&amp;"P"&amp;AC$4)="N/A",0,RTD("tos.rtd",,"OPEN_INT","."&amp;$AA$3&amp;$AA$4&amp;"P"&amp;AC$4))*100</f>
        <v>0</v>
      </c>
      <c r="AD26" s="18">
        <f>MAX(0, $A26-AD$4)*IF(RTD("tos.rtd",,"OPEN_INT","."&amp;$AA$3&amp;$AA$4&amp;"C"&amp;AD$4)="N/A",0,RTD("tos.rtd",,"OPEN_INT","."&amp;$AA$3&amp;$AA$4&amp;"C"&amp;AD$4))*100 + MAX(0, AD$4-$A26)*IF(RTD("tos.rtd",,"OPEN_INT","."&amp;$AA$3&amp;$AA$4&amp;"P"&amp;AD$4)="N/A",0,RTD("tos.rtd",,"OPEN_INT","."&amp;$AA$3&amp;$AA$4&amp;"P"&amp;AD$4))*100</f>
        <v>0</v>
      </c>
      <c r="AE26" s="18">
        <f>MAX(0, $A26-AE$4)*IF(RTD("tos.rtd",,"OPEN_INT","."&amp;$AA$3&amp;$AA$4&amp;"C"&amp;AE$4)="N/A",0,RTD("tos.rtd",,"OPEN_INT","."&amp;$AA$3&amp;$AA$4&amp;"C"&amp;AE$4))*100 + MAX(0, AE$4-$A26)*IF(RTD("tos.rtd",,"OPEN_INT","."&amp;$AA$3&amp;$AA$4&amp;"P"&amp;AE$4)="N/A",0,RTD("tos.rtd",,"OPEN_INT","."&amp;$AA$3&amp;$AA$4&amp;"P"&amp;AE$4))*100</f>
        <v>0</v>
      </c>
      <c r="AF26" s="18">
        <f>MAX(0, $A26-AF$4)*IF(RTD("tos.rtd",,"OPEN_INT","."&amp;$AA$3&amp;$AA$4&amp;"C"&amp;AF$4)="N/A",0,RTD("tos.rtd",,"OPEN_INT","."&amp;$AA$3&amp;$AA$4&amp;"C"&amp;AF$4))*100 + MAX(0, AF$4-$A26)*IF(RTD("tos.rtd",,"OPEN_INT","."&amp;$AA$3&amp;$AA$4&amp;"P"&amp;AF$4)="N/A",0,RTD("tos.rtd",,"OPEN_INT","."&amp;$AA$3&amp;$AA$4&amp;"P"&amp;AF$4))*100</f>
        <v>0</v>
      </c>
      <c r="AG26" s="18">
        <f>MAX(0, $A26-AG$4)*IF(RTD("tos.rtd",,"OPEN_INT","."&amp;$AA$3&amp;$AA$4&amp;"C"&amp;AG$4)="N/A",0,RTD("tos.rtd",,"OPEN_INT","."&amp;$AA$3&amp;$AA$4&amp;"C"&amp;AG$4))*100 + MAX(0, AG$4-$A26)*IF(RTD("tos.rtd",,"OPEN_INT","."&amp;$AA$3&amp;$AA$4&amp;"P"&amp;AG$4)="N/A",0,RTD("tos.rtd",,"OPEN_INT","."&amp;$AA$3&amp;$AA$4&amp;"P"&amp;AG$4))*100</f>
        <v>0</v>
      </c>
      <c r="AH26" s="18">
        <f>MAX(0, $A26-AH$4)*IF(RTD("tos.rtd",,"OPEN_INT","."&amp;$AA$3&amp;$AA$4&amp;"C"&amp;AH$4)="N/A",0,RTD("tos.rtd",,"OPEN_INT","."&amp;$AA$3&amp;$AA$4&amp;"C"&amp;AH$4))*100 + MAX(0, AH$4-$A26)*IF(RTD("tos.rtd",,"OPEN_INT","."&amp;$AA$3&amp;$AA$4&amp;"P"&amp;AH$4)="N/A",0,RTD("tos.rtd",,"OPEN_INT","."&amp;$AA$3&amp;$AA$4&amp;"P"&amp;AH$4))*100</f>
        <v>0</v>
      </c>
      <c r="AI26" s="18">
        <f>MAX(0, $A26-AI$4)*IF(RTD("tos.rtd",,"OPEN_INT","."&amp;$AA$3&amp;$AA$4&amp;"C"&amp;AI$4)="N/A",0,RTD("tos.rtd",,"OPEN_INT","."&amp;$AA$3&amp;$AA$4&amp;"C"&amp;AI$4))*100 + MAX(0, AI$4-$A26)*IF(RTD("tos.rtd",,"OPEN_INT","."&amp;$AA$3&amp;$AA$4&amp;"P"&amp;AI$4)="N/A",0,RTD("tos.rtd",,"OPEN_INT","."&amp;$AA$3&amp;$AA$4&amp;"P"&amp;AI$4))*100</f>
        <v>2100</v>
      </c>
      <c r="AJ26" s="18">
        <f>MAX(0, $A26-AJ$4)*IF(RTD("tos.rtd",,"OPEN_INT","."&amp;$AA$3&amp;$AA$4&amp;"C"&amp;AJ$4)="N/A",0,RTD("tos.rtd",,"OPEN_INT","."&amp;$AA$3&amp;$AA$4&amp;"C"&amp;AJ$4))*100 + MAX(0, AJ$4-$A26)*IF(RTD("tos.rtd",,"OPEN_INT","."&amp;$AA$3&amp;$AA$4&amp;"P"&amp;AJ$4)="N/A",0,RTD("tos.rtd",,"OPEN_INT","."&amp;$AA$3&amp;$AA$4&amp;"P"&amp;AJ$4))*100</f>
        <v>5200</v>
      </c>
      <c r="AK26" s="18">
        <f>MAX(0, $A26-AK$4)*IF(RTD("tos.rtd",,"OPEN_INT","."&amp;$AA$3&amp;$AA$4&amp;"C"&amp;AK$4)="N/A",0,RTD("tos.rtd",,"OPEN_INT","."&amp;$AA$3&amp;$AA$4&amp;"C"&amp;AK$4))*100 + MAX(0, AK$4-$A26)*IF(RTD("tos.rtd",,"OPEN_INT","."&amp;$AA$3&amp;$AA$4&amp;"P"&amp;AK$4)="N/A",0,RTD("tos.rtd",,"OPEN_INT","."&amp;$AA$3&amp;$AA$4&amp;"P"&amp;AK$4))*100</f>
        <v>0</v>
      </c>
      <c r="AL26" s="18">
        <f>MAX(0, $A26-AL$4)*IF(RTD("tos.rtd",,"OPEN_INT","."&amp;$AA$3&amp;$AA$4&amp;"C"&amp;AL$4)="N/A",0,RTD("tos.rtd",,"OPEN_INT","."&amp;$AA$3&amp;$AA$4&amp;"C"&amp;AL$4))*100 + MAX(0, AL$4-$A26)*IF(RTD("tos.rtd",,"OPEN_INT","."&amp;$AA$3&amp;$AA$4&amp;"P"&amp;AL$4)="N/A",0,RTD("tos.rtd",,"OPEN_INT","."&amp;$AA$3&amp;$AA$4&amp;"P"&amp;AL$4))*100</f>
        <v>0</v>
      </c>
      <c r="AM26" s="18">
        <f>MAX(0, $A26-AM$4)*IF(RTD("tos.rtd",,"OPEN_INT","."&amp;$AA$3&amp;$AA$4&amp;"C"&amp;AM$4)="N/A",0,RTD("tos.rtd",,"OPEN_INT","."&amp;$AA$3&amp;$AA$4&amp;"C"&amp;AM$4))*100 + MAX(0, AM$4-$A26)*IF(RTD("tos.rtd",,"OPEN_INT","."&amp;$AA$3&amp;$AA$4&amp;"P"&amp;AM$4)="N/A",0,RTD("tos.rtd",,"OPEN_INT","."&amp;$AA$3&amp;$AA$4&amp;"P"&amp;AM$4))*100</f>
        <v>0</v>
      </c>
      <c r="AN26" s="18">
        <f>MAX(0, $A26-AN$4)*IF(RTD("tos.rtd",,"OPEN_INT","."&amp;$AA$3&amp;$AA$4&amp;"C"&amp;AN$4)="N/A",0,RTD("tos.rtd",,"OPEN_INT","."&amp;$AA$3&amp;$AA$4&amp;"C"&amp;AN$4))*100 + MAX(0, AN$4-$A26)*IF(RTD("tos.rtd",,"OPEN_INT","."&amp;$AA$3&amp;$AA$4&amp;"P"&amp;AN$4)="N/A",0,RTD("tos.rtd",,"OPEN_INT","."&amp;$AA$3&amp;$AA$4&amp;"P"&amp;AN$4))*100</f>
        <v>0</v>
      </c>
      <c r="AO26" s="18">
        <f>MAX(0, $A26-AO$4)*IF(RTD("tos.rtd",,"OPEN_INT","."&amp;$AA$3&amp;$AA$4&amp;"C"&amp;AO$4)="N/A",0,RTD("tos.rtd",,"OPEN_INT","."&amp;$AA$3&amp;$AA$4&amp;"C"&amp;AO$4))*100 + MAX(0, AO$4-$A26)*IF(RTD("tos.rtd",,"OPEN_INT","."&amp;$AA$3&amp;$AA$4&amp;"P"&amp;AO$4)="N/A",0,RTD("tos.rtd",,"OPEN_INT","."&amp;$AA$3&amp;$AA$4&amp;"P"&amp;AO$4))*100</f>
        <v>48000</v>
      </c>
      <c r="AP26" s="18">
        <f>MAX(0, $A26-AP$4)*IF(RTD("tos.rtd",,"OPEN_INT","."&amp;$AA$3&amp;$AA$4&amp;"C"&amp;AP$4)="N/A",0,RTD("tos.rtd",,"OPEN_INT","."&amp;$AA$3&amp;$AA$4&amp;"C"&amp;AP$4))*100 + MAX(0, AP$4-$A26)*IF(RTD("tos.rtd",,"OPEN_INT","."&amp;$AA$3&amp;$AA$4&amp;"P"&amp;AP$4)="N/A",0,RTD("tos.rtd",,"OPEN_INT","."&amp;$AA$3&amp;$AA$4&amp;"P"&amp;AP$4))*100</f>
        <v>0</v>
      </c>
      <c r="AQ26" s="18">
        <f>MAX(0, $A26-AQ$4)*IF(RTD("tos.rtd",,"OPEN_INT","."&amp;$AA$3&amp;$AA$4&amp;"C"&amp;AQ$4)="N/A",0,RTD("tos.rtd",,"OPEN_INT","."&amp;$AA$3&amp;$AA$4&amp;"C"&amp;AQ$4))*100 + MAX(0, AQ$4-$A26)*IF(RTD("tos.rtd",,"OPEN_INT","."&amp;$AA$3&amp;$AA$4&amp;"P"&amp;AQ$4)="N/A",0,RTD("tos.rtd",,"OPEN_INT","."&amp;$AA$3&amp;$AA$4&amp;"P"&amp;AQ$4))*100</f>
        <v>15900</v>
      </c>
      <c r="AR26" s="18">
        <f>MAX(0, $A26-AR$4)*IF(RTD("tos.rtd",,"OPEN_INT","."&amp;$AA$3&amp;$AA$4&amp;"C"&amp;AR$4)="N/A",0,RTD("tos.rtd",,"OPEN_INT","."&amp;$AA$3&amp;$AA$4&amp;"C"&amp;AR$4))*100 + MAX(0, AR$4-$A26)*IF(RTD("tos.rtd",,"OPEN_INT","."&amp;$AA$3&amp;$AA$4&amp;"P"&amp;AR$4)="N/A",0,RTD("tos.rtd",,"OPEN_INT","."&amp;$AA$3&amp;$AA$4&amp;"P"&amp;AR$4))*100</f>
        <v>1500</v>
      </c>
      <c r="AS26" s="18">
        <f>MAX(0, $A26-AS$4)*IF(RTD("tos.rtd",,"OPEN_INT","."&amp;$AA$3&amp;$AA$4&amp;"C"&amp;AS$4)="N/A",0,RTD("tos.rtd",,"OPEN_INT","."&amp;$AA$3&amp;$AA$4&amp;"C"&amp;AS$4))*100 + MAX(0, AS$4-$A26)*IF(RTD("tos.rtd",,"OPEN_INT","."&amp;$AA$3&amp;$AA$4&amp;"P"&amp;AS$4)="N/A",0,RTD("tos.rtd",,"OPEN_INT","."&amp;$AA$3&amp;$AA$4&amp;"P"&amp;AS$4))*100</f>
        <v>12400</v>
      </c>
      <c r="AT26" s="18">
        <f>MAX(0, $A26-AT$4)*IF(RTD("tos.rtd",,"OPEN_INT","."&amp;$AA$3&amp;$AA$4&amp;"C"&amp;AT$4)="N/A",0,RTD("tos.rtd",,"OPEN_INT","."&amp;$AA$3&amp;$AA$4&amp;"C"&amp;AT$4))*100 + MAX(0, AT$4-$A26)*IF(RTD("tos.rtd",,"OPEN_INT","."&amp;$AA$3&amp;$AA$4&amp;"P"&amp;AT$4)="N/A",0,RTD("tos.rtd",,"OPEN_INT","."&amp;$AA$3&amp;$AA$4&amp;"P"&amp;AT$4))*100</f>
        <v>10500</v>
      </c>
      <c r="AU26" s="18">
        <f>MAX(0, $A26-AU$4)*IF(RTD("tos.rtd",,"OPEN_INT","."&amp;$AA$3&amp;$AA$4&amp;"C"&amp;AU$4)="N/A",0,RTD("tos.rtd",,"OPEN_INT","."&amp;$AA$3&amp;$AA$4&amp;"C"&amp;AU$4))*100 + MAX(0, AU$4-$A26)*IF(RTD("tos.rtd",,"OPEN_INT","."&amp;$AA$3&amp;$AA$4&amp;"P"&amp;AU$4)="N/A",0,RTD("tos.rtd",,"OPEN_INT","."&amp;$AA$3&amp;$AA$4&amp;"P"&amp;AU$4))*100</f>
        <v>4000</v>
      </c>
      <c r="AV26" s="18">
        <f>MAX(0, $A26-AV$4)*IF(RTD("tos.rtd",,"OPEN_INT","."&amp;$AA$3&amp;$AA$4&amp;"C"&amp;AV$4)="N/A",0,RTD("tos.rtd",,"OPEN_INT","."&amp;$AA$3&amp;$AA$4&amp;"C"&amp;AV$4))*100 + MAX(0, AV$4-$A26)*IF(RTD("tos.rtd",,"OPEN_INT","."&amp;$AA$3&amp;$AA$4&amp;"P"&amp;AV$4)="N/A",0,RTD("tos.rtd",,"OPEN_INT","."&amp;$AA$3&amp;$AA$4&amp;"P"&amp;AV$4))*100</f>
        <v>8050</v>
      </c>
      <c r="AW26" s="18">
        <f>MAX(0, $A26-AW$4)*IF(RTD("tos.rtd",,"OPEN_INT","."&amp;$AA$3&amp;$AA$4&amp;"C"&amp;AW$4)="N/A",0,RTD("tos.rtd",,"OPEN_INT","."&amp;$AA$3&amp;$AA$4&amp;"C"&amp;AW$4))*100 + MAX(0, AW$4-$A26)*IF(RTD("tos.rtd",,"OPEN_INT","."&amp;$AA$3&amp;$AA$4&amp;"P"&amp;AW$4)="N/A",0,RTD("tos.rtd",,"OPEN_INT","."&amp;$AA$3&amp;$AA$4&amp;"P"&amp;AW$4))*100</f>
        <v>0</v>
      </c>
      <c r="AX26" s="18">
        <f>MAX(0, $A26-AX$4)*IF(RTD("tos.rtd",,"OPEN_INT","."&amp;$AA$3&amp;$AA$4&amp;"C"&amp;AX$4)="N/A",0,RTD("tos.rtd",,"OPEN_INT","."&amp;$AA$3&amp;$AA$4&amp;"C"&amp;AX$4))*100 + MAX(0, AX$4-$A26)*IF(RTD("tos.rtd",,"OPEN_INT","."&amp;$AA$3&amp;$AA$4&amp;"P"&amp;AX$4)="N/A",0,RTD("tos.rtd",,"OPEN_INT","."&amp;$AA$3&amp;$AA$4&amp;"P"&amp;AX$4))*100</f>
        <v>212650</v>
      </c>
      <c r="AY26" s="18">
        <f>MAX(0, $A26-AY$4)*IF(RTD("tos.rtd",,"OPEN_INT","."&amp;$AA$3&amp;$AA$4&amp;"C"&amp;AY$4)="N/A",0,RTD("tos.rtd",,"OPEN_INT","."&amp;$AA$3&amp;$AA$4&amp;"C"&amp;AY$4))*100 + MAX(0, AY$4-$A26)*IF(RTD("tos.rtd",,"OPEN_INT","."&amp;$AA$3&amp;$AA$4&amp;"P"&amp;AY$4)="N/A",0,RTD("tos.rtd",,"OPEN_INT","."&amp;$AA$3&amp;$AA$4&amp;"P"&amp;AY$4))*100</f>
        <v>1954800</v>
      </c>
      <c r="AZ26" s="18">
        <f>MAX(0, $A26-AZ$4)*IF(RTD("tos.rtd",,"OPEN_INT","."&amp;$AA$3&amp;$AA$4&amp;"C"&amp;AZ$4)="N/A",0,RTD("tos.rtd",,"OPEN_INT","."&amp;$AA$3&amp;$AA$4&amp;"C"&amp;AZ$4))*100 + MAX(0, AZ$4-$A26)*IF(RTD("tos.rtd",,"OPEN_INT","."&amp;$AA$3&amp;$AA$4&amp;"P"&amp;AZ$4)="N/A",0,RTD("tos.rtd",,"OPEN_INT","."&amp;$AA$3&amp;$AA$4&amp;"P"&amp;AZ$4))*100</f>
        <v>1477500</v>
      </c>
      <c r="BA26" s="18">
        <f>MAX(0, $A26-BA$4)*IF(RTD("tos.rtd",,"OPEN_INT","."&amp;$AA$3&amp;$AA$4&amp;"C"&amp;BA$4)="N/A",0,RTD("tos.rtd",,"OPEN_INT","."&amp;$AA$3&amp;$AA$4&amp;"C"&amp;BA$4))*100 + MAX(0, BA$4-$A26)*IF(RTD("tos.rtd",,"OPEN_INT","."&amp;$AA$3&amp;$AA$4&amp;"P"&amp;BA$4)="N/A",0,RTD("tos.rtd",,"OPEN_INT","."&amp;$AA$3&amp;$AA$4&amp;"P"&amp;BA$4))*100</f>
        <v>6161400</v>
      </c>
      <c r="BB26" s="18">
        <f>MAX(0, $A26-BB$4)*IF(RTD("tos.rtd",,"OPEN_INT","."&amp;$AA$3&amp;$AA$4&amp;"C"&amp;BB$4)="N/A",0,RTD("tos.rtd",,"OPEN_INT","."&amp;$AA$3&amp;$AA$4&amp;"C"&amp;BB$4))*100 + MAX(0, BB$4-$A26)*IF(RTD("tos.rtd",,"OPEN_INT","."&amp;$AA$3&amp;$AA$4&amp;"P"&amp;BB$4)="N/A",0,RTD("tos.rtd",,"OPEN_INT","."&amp;$AA$3&amp;$AA$4&amp;"P"&amp;BB$4))*100</f>
        <v>7164500</v>
      </c>
      <c r="BC26" s="18">
        <f>MAX(0, $A26-BC$4)*IF(RTD("tos.rtd",,"OPEN_INT","."&amp;$AA$3&amp;$AA$4&amp;"C"&amp;BC$4)="N/A",0,RTD("tos.rtd",,"OPEN_INT","."&amp;$AA$3&amp;$AA$4&amp;"C"&amp;BC$4))*100 + MAX(0, BC$4-$A26)*IF(RTD("tos.rtd",,"OPEN_INT","."&amp;$AA$3&amp;$AA$4&amp;"P"&amp;BC$4)="N/A",0,RTD("tos.rtd",,"OPEN_INT","."&amp;$AA$3&amp;$AA$4&amp;"P"&amp;BC$4))*100</f>
        <v>12213900</v>
      </c>
      <c r="BD26" s="18">
        <f>MAX(0, $A26-BD$4)*IF(RTD("tos.rtd",,"OPEN_INT","."&amp;$AA$3&amp;$AA$4&amp;"C"&amp;BD$4)="N/A",0,RTD("tos.rtd",,"OPEN_INT","."&amp;$AA$3&amp;$AA$4&amp;"C"&amp;BD$4))*100 + MAX(0, BD$4-$A26)*IF(RTD("tos.rtd",,"OPEN_INT","."&amp;$AA$3&amp;$AA$4&amp;"P"&amp;BD$4)="N/A",0,RTD("tos.rtd",,"OPEN_INT","."&amp;$AA$3&amp;$AA$4&amp;"P"&amp;BD$4))*100</f>
        <v>6496000</v>
      </c>
      <c r="BE26" s="18">
        <f>MAX(0, $A26-BE$4)*IF(RTD("tos.rtd",,"OPEN_INT","."&amp;$AA$3&amp;$AA$4&amp;"C"&amp;BE$4)="N/A",0,RTD("tos.rtd",,"OPEN_INT","."&amp;$AA$3&amp;$AA$4&amp;"C"&amp;BE$4))*100 + MAX(0, BE$4-$A26)*IF(RTD("tos.rtd",,"OPEN_INT","."&amp;$AA$3&amp;$AA$4&amp;"P"&amp;BE$4)="N/A",0,RTD("tos.rtd",,"OPEN_INT","."&amp;$AA$3&amp;$AA$4&amp;"P"&amp;BE$4))*100</f>
        <v>6911200</v>
      </c>
      <c r="BF26" s="18">
        <f>MAX(0, $A26-BF$4)*IF(RTD("tos.rtd",,"OPEN_INT","."&amp;$AA$3&amp;$AA$4&amp;"C"&amp;BF$4)="N/A",0,RTD("tos.rtd",,"OPEN_INT","."&amp;$AA$3&amp;$AA$4&amp;"C"&amp;BF$4))*100 + MAX(0, BF$4-$A26)*IF(RTD("tos.rtd",,"OPEN_INT","."&amp;$AA$3&amp;$AA$4&amp;"P"&amp;BF$4)="N/A",0,RTD("tos.rtd",,"OPEN_INT","."&amp;$AA$3&amp;$AA$4&amp;"P"&amp;BF$4))*100</f>
        <v>3783150</v>
      </c>
      <c r="BG26" s="18">
        <f>MAX(0, $A26-BG$4)*IF(RTD("tos.rtd",,"OPEN_INT","."&amp;$AA$3&amp;$AA$4&amp;"C"&amp;BG$4)="N/A",0,RTD("tos.rtd",,"OPEN_INT","."&amp;$AA$3&amp;$AA$4&amp;"C"&amp;BG$4))*100 + MAX(0, BG$4-$A26)*IF(RTD("tos.rtd",,"OPEN_INT","."&amp;$AA$3&amp;$AA$4&amp;"P"&amp;BG$4)="N/A",0,RTD("tos.rtd",,"OPEN_INT","."&amp;$AA$3&amp;$AA$4&amp;"P"&amp;BG$4))*100</f>
        <v>2867000</v>
      </c>
      <c r="BH26" s="18">
        <f>MAX(0, $A26-BH$4)*IF(RTD("tos.rtd",,"OPEN_INT","."&amp;$AA$3&amp;$AA$4&amp;"C"&amp;BH$4)="N/A",0,RTD("tos.rtd",,"OPEN_INT","."&amp;$AA$3&amp;$AA$4&amp;"C"&amp;BH$4))*100 + MAX(0, BH$4-$A26)*IF(RTD("tos.rtd",,"OPEN_INT","."&amp;$AA$3&amp;$AA$4&amp;"P"&amp;BH$4)="N/A",0,RTD("tos.rtd",,"OPEN_INT","."&amp;$AA$3&amp;$AA$4&amp;"P"&amp;BH$4))*100</f>
        <v>1068650</v>
      </c>
      <c r="BI26" s="18">
        <f>MAX(0, $A26-BI$4)*IF(RTD("tos.rtd",,"OPEN_INT","."&amp;$AA$3&amp;$AA$4&amp;"C"&amp;BI$4)="N/A",0,RTD("tos.rtd",,"OPEN_INT","."&amp;$AA$3&amp;$AA$4&amp;"C"&amp;BI$4))*100 + MAX(0, BI$4-$A26)*IF(RTD("tos.rtd",,"OPEN_INT","."&amp;$AA$3&amp;$AA$4&amp;"P"&amp;BI$4)="N/A",0,RTD("tos.rtd",,"OPEN_INT","."&amp;$AA$3&amp;$AA$4&amp;"P"&amp;BI$4))*100</f>
        <v>505200</v>
      </c>
      <c r="BJ26" s="18">
        <f>MAX(0, $A26-BJ$4)*IF(RTD("tos.rtd",,"OPEN_INT","."&amp;$AA$3&amp;$AA$4&amp;"C"&amp;BJ$4)="N/A",0,RTD("tos.rtd",,"OPEN_INT","."&amp;$AA$3&amp;$AA$4&amp;"C"&amp;BJ$4))*100 + MAX(0, BJ$4-$A26)*IF(RTD("tos.rtd",,"OPEN_INT","."&amp;$AA$3&amp;$AA$4&amp;"P"&amp;BJ$4)="N/A",0,RTD("tos.rtd",,"OPEN_INT","."&amp;$AA$3&amp;$AA$4&amp;"P"&amp;BJ$4))*100</f>
        <v>98150</v>
      </c>
      <c r="BK26" s="18">
        <f>MAX(0, $A26-BK$4)*IF(RTD("tos.rtd",,"OPEN_INT","."&amp;$AA$3&amp;$AA$4&amp;"C"&amp;BK$4)="N/A",0,RTD("tos.rtd",,"OPEN_INT","."&amp;$AA$3&amp;$AA$4&amp;"C"&amp;BK$4))*100 + MAX(0, BK$4-$A26)*IF(RTD("tos.rtd",,"OPEN_INT","."&amp;$AA$3&amp;$AA$4&amp;"P"&amp;BK$4)="N/A",0,RTD("tos.rtd",,"OPEN_INT","."&amp;$AA$3&amp;$AA$4&amp;"P"&amp;BK$4))*100</f>
        <v>182700</v>
      </c>
      <c r="BL26" s="18">
        <f>MAX(0, $A26-BL$4)*IF(RTD("tos.rtd",,"OPEN_INT","."&amp;$AA$3&amp;$AA$4&amp;"C"&amp;BL$4)="N/A",0,RTD("tos.rtd",,"OPEN_INT","."&amp;$AA$3&amp;$AA$4&amp;"C"&amp;BL$4))*100 + MAX(0, BL$4-$A26)*IF(RTD("tos.rtd",,"OPEN_INT","."&amp;$AA$3&amp;$AA$4&amp;"P"&amp;BL$4)="N/A",0,RTD("tos.rtd",,"OPEN_INT","."&amp;$AA$3&amp;$AA$4&amp;"P"&amp;BL$4))*100</f>
        <v>12000</v>
      </c>
      <c r="BM26" s="18">
        <f>MAX(0, $A26-BM$4)*IF(RTD("tos.rtd",,"OPEN_INT","."&amp;$AA$3&amp;$AA$4&amp;"C"&amp;BM$4)="N/A",0,RTD("tos.rtd",,"OPEN_INT","."&amp;$AA$3&amp;$AA$4&amp;"C"&amp;BM$4))*100 + MAX(0, BM$4-$A26)*IF(RTD("tos.rtd",,"OPEN_INT","."&amp;$AA$3&amp;$AA$4&amp;"P"&amp;BM$4)="N/A",0,RTD("tos.rtd",,"OPEN_INT","."&amp;$AA$3&amp;$AA$4&amp;"P"&amp;BM$4))*100</f>
        <v>6400</v>
      </c>
      <c r="BN26" s="18">
        <f>MAX(0, $A26-BN$4)*IF(RTD("tos.rtd",,"OPEN_INT","."&amp;$AA$3&amp;$AA$4&amp;"C"&amp;BN$4)="N/A",0,RTD("tos.rtd",,"OPEN_INT","."&amp;$AA$3&amp;$AA$4&amp;"C"&amp;BN$4))*100 + MAX(0, BN$4-$A26)*IF(RTD("tos.rtd",,"OPEN_INT","."&amp;$AA$3&amp;$AA$4&amp;"P"&amp;BN$4)="N/A",0,RTD("tos.rtd",,"OPEN_INT","."&amp;$AA$3&amp;$AA$4&amp;"P"&amp;BN$4))*100</f>
        <v>26350</v>
      </c>
      <c r="BO26" s="18">
        <f>MAX(0, $A26-BO$4)*IF(RTD("tos.rtd",,"OPEN_INT","."&amp;$AA$3&amp;$AA$4&amp;"C"&amp;BO$4)="N/A",0,RTD("tos.rtd",,"OPEN_INT","."&amp;$AA$3&amp;$AA$4&amp;"C"&amp;BO$4))*100 + MAX(0, BO$4-$A26)*IF(RTD("tos.rtd",,"OPEN_INT","."&amp;$AA$3&amp;$AA$4&amp;"P"&amp;BO$4)="N/A",0,RTD("tos.rtd",,"OPEN_INT","."&amp;$AA$3&amp;$AA$4&amp;"P"&amp;BO$4))*100</f>
        <v>34200</v>
      </c>
      <c r="BP26" s="18">
        <f>MAX(0, $A26-BP$4)*IF(RTD("tos.rtd",,"OPEN_INT","."&amp;$AA$3&amp;$AA$4&amp;"C"&amp;BP$4)="N/A",0,RTD("tos.rtd",,"OPEN_INT","."&amp;$AA$3&amp;$AA$4&amp;"C"&amp;BP$4))*100 + MAX(0, BP$4-$A26)*IF(RTD("tos.rtd",,"OPEN_INT","."&amp;$AA$3&amp;$AA$4&amp;"P"&amp;BP$4)="N/A",0,RTD("tos.rtd",,"OPEN_INT","."&amp;$AA$3&amp;$AA$4&amp;"P"&amp;BP$4))*100</f>
        <v>0</v>
      </c>
      <c r="BQ26" s="18">
        <f>MAX(0, $A26-BQ$4)*IF(RTD("tos.rtd",,"OPEN_INT","."&amp;$AA$3&amp;$AA$4&amp;"C"&amp;BQ$4)="N/A",0,RTD("tos.rtd",,"OPEN_INT","."&amp;$AA$3&amp;$AA$4&amp;"C"&amp;BQ$4))*100 + MAX(0, BQ$4-$A26)*IF(RTD("tos.rtd",,"OPEN_INT","."&amp;$AA$3&amp;$AA$4&amp;"P"&amp;BQ$4)="N/A",0,RTD("tos.rtd",,"OPEN_INT","."&amp;$AA$3&amp;$AA$4&amp;"P"&amp;BQ$4))*100</f>
        <v>0</v>
      </c>
      <c r="BR26" s="18">
        <f>MAX(0, $A26-BR$4)*IF(RTD("tos.rtd",,"OPEN_INT","."&amp;$AA$3&amp;$AA$4&amp;"C"&amp;BR$4)="N/A",0,RTD("tos.rtd",,"OPEN_INT","."&amp;$AA$3&amp;$AA$4&amp;"C"&amp;BR$4))*100 + MAX(0, BR$4-$A26)*IF(RTD("tos.rtd",,"OPEN_INT","."&amp;$AA$3&amp;$AA$4&amp;"P"&amp;BR$4)="N/A",0,RTD("tos.rtd",,"OPEN_INT","."&amp;$AA$3&amp;$AA$4&amp;"P"&amp;BR$4))*100</f>
        <v>0</v>
      </c>
      <c r="BS26" s="18">
        <f>MAX(0, $A26-BS$4)*IF(RTD("tos.rtd",,"OPEN_INT","."&amp;$AA$3&amp;$AA$4&amp;"C"&amp;BS$4)="N/A",0,RTD("tos.rtd",,"OPEN_INT","."&amp;$AA$3&amp;$AA$4&amp;"C"&amp;BS$4))*100 + MAX(0, BS$4-$A26)*IF(RTD("tos.rtd",,"OPEN_INT","."&amp;$AA$3&amp;$AA$4&amp;"P"&amp;BS$4)="N/A",0,RTD("tos.rtd",,"OPEN_INT","."&amp;$AA$3&amp;$AA$4&amp;"P"&amp;BS$4))*100</f>
        <v>0</v>
      </c>
      <c r="BT26" s="18">
        <f>MAX(0, $A26-BT$4)*IF(RTD("tos.rtd",,"OPEN_INT","."&amp;$AA$3&amp;$AA$4&amp;"C"&amp;BT$4)="N/A",0,RTD("tos.rtd",,"OPEN_INT","."&amp;$AA$3&amp;$AA$4&amp;"C"&amp;BT$4))*100 + MAX(0, BT$4-$A26)*IF(RTD("tos.rtd",,"OPEN_INT","."&amp;$AA$3&amp;$AA$4&amp;"P"&amp;BT$4)="N/A",0,RTD("tos.rtd",,"OPEN_INT","."&amp;$AA$3&amp;$AA$4&amp;"P"&amp;BT$4))*100</f>
        <v>0</v>
      </c>
      <c r="BU26" s="18">
        <f>MAX(0, $A26-BU$4)*IF(RTD("tos.rtd",,"OPEN_INT","."&amp;$AA$3&amp;$AA$4&amp;"C"&amp;BU$4)="N/A",0,RTD("tos.rtd",,"OPEN_INT","."&amp;$AA$3&amp;$AA$4&amp;"C"&amp;BU$4))*100 + MAX(0, BU$4-$A26)*IF(RTD("tos.rtd",,"OPEN_INT","."&amp;$AA$3&amp;$AA$4&amp;"P"&amp;BU$4)="N/A",0,RTD("tos.rtd",,"OPEN_INT","."&amp;$AA$3&amp;$AA$4&amp;"P"&amp;BU$4))*100</f>
        <v>0</v>
      </c>
      <c r="BV26" s="18">
        <f>MAX(0, $A26-BV$4)*IF(RTD("tos.rtd",,"OPEN_INT","."&amp;$AA$3&amp;$AA$4&amp;"C"&amp;BV$4)="N/A",0,RTD("tos.rtd",,"OPEN_INT","."&amp;$AA$3&amp;$AA$4&amp;"C"&amp;BV$4))*100 + MAX(0, BV$4-$A26)*IF(RTD("tos.rtd",,"OPEN_INT","."&amp;$AA$3&amp;$AA$4&amp;"P"&amp;BV$4)="N/A",0,RTD("tos.rtd",,"OPEN_INT","."&amp;$AA$3&amp;$AA$4&amp;"P"&amp;BV$4))*100</f>
        <v>0</v>
      </c>
    </row>
    <row r="27" spans="1:74" s="19" customFormat="1" ht="11.1" customHeight="1" thickBot="1" x14ac:dyDescent="0.3">
      <c r="A27" s="23">
        <f>+A28+$A$1</f>
        <v>10.5</v>
      </c>
      <c r="B27" s="14">
        <f ca="1">IF($A$2="PREMIUM_OI",IFERROR(IF($X$1="ABS",(100*RTD("tos.rtd",,"OPEN_INT","."&amp;B$2&amp;B$1&amp;"C"&amp;$A27)*RTD("tos.rtd",,"LAST","."&amp;B$2&amp;B$1&amp;"C"&amp;$A27)+100*RTD("tos.rtd",,"OPEN_INT","."&amp;B$2&amp;B$1&amp;"P"&amp;$A27)*RTD("tos.rtd",,"LAST","."&amp;B$2&amp;B$1&amp;"P"&amp;$A27))/1000000,(100*RTD("tos.rtd",,"OPEN_INT","."&amp;B$2&amp;B$1&amp;"C"&amp;$A27)*RTD("tos.rtd",,"LAST","."&amp;B$2&amp;B$1&amp;"C"&amp;$A27)-100*RTD("tos.rtd",,"OPEN_INT","."&amp;B$2&amp;B$1&amp;"P"&amp;$A27)*RTD("tos.rtd",,"LAST","."&amp;B$2&amp;B$1&amp;"P"&amp;$A27))/1000000),0),IF($A$2="PREMIUM",IFERROR(IF($X$1="ABS",(100*RTD("tos.rtd",,"VOLUME","."&amp;B$2&amp;B$1&amp;"C"&amp;$A27)*RTD("tos.rtd",,"LAST","."&amp;B$2&amp;B$1&amp;"C"&amp;$A27)+100*RTD("tos.rtd",,"VOLUME","."&amp;B$2&amp;B$1&amp;"P"&amp;$A27)*RTD("tos.rtd",,"LAST","."&amp;B$2&amp;B$1&amp;"P"&amp;$A27))/1000000,(100*RTD("tos.rtd",,"VOLUME","."&amp;B$2&amp;B$1&amp;"C"&amp;$A27)*RTD("tos.rtd",,"LAST","."&amp;B$2&amp;B$1&amp;"C"&amp;$A27)-100*RTD("tos.rtd",,"VOLUME","."&amp;B$2&amp;B$1&amp;"P"&amp;$A27)*RTD("tos.rtd",,"LAST","."&amp;B$2&amp;B$1&amp;"P"&amp;$A27))/1000000),0),IF($A$2="DEX",IFERROR(IF($X$1="ABS",(100*RTD("tos.rtd",,"OPEN_INT","."&amp;B$2&amp;B$1&amp;"C"&amp;$A27)*RTD("tos.rtd",,"DELTA","."&amp;B$2&amp;B$1&amp;"C"&amp;$A27)+100*RTD("tos.rtd",,"OPEN_INT","."&amp;B$2&amp;B$1&amp;"P"&amp;$A27)*RTD("tos.rtd",,"DELTA","."&amp;B$2&amp;B$1&amp;"P"&amp;$A27))/1000,(100*RTD("tos.rtd",,"OPEN_INT","."&amp;B$2&amp;B$1&amp;"C"&amp;$A27)*RTD("tos.rtd",,"DELTA","."&amp;B$2&amp;B$1&amp;"C"&amp;$A27)-100*RTD("tos.rtd",,"OPEN_INT","."&amp;B$2&amp;B$1&amp;"P"&amp;$A27)*RTD("tos.rtd",,"DELTA","."&amp;B$2&amp;B$1&amp;"P"&amp;$A27))/1000),0),IF($A$2="VEX",IFERROR(IF($X$1="ABS",($A$4*$A$4*RTD("tos.rtd",,"VOLUME","."&amp;B$2&amp;B$1&amp;"C"&amp;$A27)*RTD("tos.rtd",,"GAMMA","."&amp;B$2&amp;B$1&amp;"C"&amp;$A27)+$A$4*$A$4*RTD("tos.rtd",,"VOLUME","."&amp;B$2&amp;B$1&amp;"P"&amp;$A27)*RTD("tos.rtd",,"GAMMA","."&amp;B$2&amp;B$1&amp;"P"&amp;$A27))/1000000,($A$4*$A$4*RTD("tos.rtd",,"VOLUME","."&amp;B$2&amp;B$1&amp;"C"&amp;$A27)*RTD("tos.rtd",,"GAMMA","."&amp;B$2&amp;B$1&amp;"C"&amp;$A27)-$A$4*$A$4*RTD("tos.rtd",,"VOLUME","."&amp;B$2&amp;B$1&amp;"P"&amp;$A27)*RTD("tos.rtd",,"GAMMA","."&amp;B$2&amp;B$1&amp;"P"&amp;$A27))/1000000),0),IF($A$2="GEX",IFERROR(IF($X$1="ABS",($A$4*$A$4*RTD("tos.rtd",,"OPEN_INT","."&amp;B$2&amp;B$1&amp;"C"&amp;$A27)*RTD("tos.rtd",,"GAMMA","."&amp;B$2&amp;B$1&amp;"C"&amp;$A27)+$A$4*$A$4*RTD("tos.rtd",,"OPEN_INT","."&amp;B$2&amp;B$1&amp;"P"&amp;$A27)*RTD("tos.rtd",,"GAMMA","."&amp;B$2&amp;B$1&amp;"P"&amp;$A27))/1000000,($A$4*$A$4*RTD("tos.rtd",,"OPEN_INT","."&amp;B$2&amp;B$1&amp;"C"&amp;$A27)*RTD("tos.rtd",,"GAMMA","."&amp;B$2&amp;B$1&amp;"C"&amp;$A27)-$A$4*$A$4*RTD("tos.rtd",,"OPEN_INT","."&amp;B$2&amp;B$1&amp;"P"&amp;$A27)*RTD("tos.rtd",,"GAMMA","."&amp;B$2&amp;B$1&amp;"P"&amp;$A27))/1000000),0),IF($A$2="SKEW",IFERROR(VALUE(IF(RTD("tos.rtd",,"IMPL_VOL","."&amp;B$2&amp;B$1&amp;"P"&amp;$A27)="N/A",0,RTD("tos.rtd",,"IMPL_VOL","."&amp;B$2&amp;B$1&amp;"P"&amp;$A27))),0)-IFERROR(VALUE(IF(RTD("tos.rtd",,"IMPL_VOL","."&amp;B$2&amp;B$1&amp;"C"&amp;$A27)="N/A",0,RTD("tos.rtd",,"IMPL_VOL","."&amp;B$2&amp;B$1&amp;"C"&amp;$A27))),0),IF($A$2="MAXPAIN",IF($A$4&gt;$A27,($A$4-$A27)*IF(RTD("tos.rtd",,"OPEN_INT","."&amp;B$2&amp;B$1&amp;"C"&amp;$A27)="N/A",0,RTD("tos.rtd",,"OPEN_INT","."&amp;B$2&amp;B$1&amp;"C"&amp;$A27)),0)+IF($A$4&lt;$A27,($A$5-$A$4)*IF(RTD("tos.rtd",,"OPEN_INT","."&amp;B$2&amp;B$1&amp;"P"&amp;$A27)="N/A",0,RTD("tos.rtd",,"OPEN_INT","."&amp;B$2&amp;B$1&amp;"P"&amp;$A27)),0),IF($X$1="ABS",IF(RTD("tos.rtd",,$A$2,"."&amp;B$2&amp;B$1&amp;"C"&amp;$A27)="N/A",0,RTD("tos.rtd",,$A$2,"."&amp;B$2&amp;B$1&amp;"C"&amp;$A27))+IF(RTD("tos.rtd",,$A$2,"."&amp;B$2&amp;B$1&amp;"P"&amp;$A27)="N/A",0,RTD("tos.rtd",,$A$2,"."&amp;B$2&amp;B$1&amp;"P"&amp;$A27)),IF(RTD("tos.rtd",,$A$2,"."&amp;B$2&amp;B$1&amp;"C"&amp;$A27)="N/A",0,RTD("tos.rtd",,$A$2,"."&amp;B$2&amp;B$1&amp;"C"&amp;$A27))-IF(RTD("tos.rtd",,$A$2,"."&amp;B$2&amp;B$1&amp;"P"&amp;$A27)="N/A",0,RTD("tos.rtd",,$A$2,"."&amp;B$2&amp;B$1&amp;"P"&amp;$A27))))))))))</f>
        <v>0</v>
      </c>
      <c r="C27" s="12">
        <f ca="1">IF($A$2="PREMIUM_OI",IFERROR(IF($X$1="ABS",(100*RTD("tos.rtd",,"OPEN_INT","."&amp;C$2&amp;C$1&amp;"C"&amp;$A27)*RTD("tos.rtd",,"LAST","."&amp;C$2&amp;C$1&amp;"C"&amp;$A27)+100*RTD("tos.rtd",,"OPEN_INT","."&amp;C$2&amp;C$1&amp;"P"&amp;$A27)*RTD("tos.rtd",,"LAST","."&amp;C$2&amp;C$1&amp;"P"&amp;$A27))/1000000,(100*RTD("tos.rtd",,"OPEN_INT","."&amp;C$2&amp;C$1&amp;"C"&amp;$A27)*RTD("tos.rtd",,"LAST","."&amp;C$2&amp;C$1&amp;"C"&amp;$A27)-100*RTD("tos.rtd",,"OPEN_INT","."&amp;C$2&amp;C$1&amp;"P"&amp;$A27)*RTD("tos.rtd",,"LAST","."&amp;C$2&amp;C$1&amp;"P"&amp;$A27))/1000000),0),IF($A$2="PREMIUM",IFERROR(IF($X$1="ABS",(100*RTD("tos.rtd",,"VOLUME","."&amp;C$2&amp;C$1&amp;"C"&amp;$A27)*RTD("tos.rtd",,"LAST","."&amp;C$2&amp;C$1&amp;"C"&amp;$A27)+100*RTD("tos.rtd",,"VOLUME","."&amp;C$2&amp;C$1&amp;"P"&amp;$A27)*RTD("tos.rtd",,"LAST","."&amp;C$2&amp;C$1&amp;"P"&amp;$A27))/1000000,(100*RTD("tos.rtd",,"VOLUME","."&amp;C$2&amp;C$1&amp;"C"&amp;$A27)*RTD("tos.rtd",,"LAST","."&amp;C$2&amp;C$1&amp;"C"&amp;$A27)-100*RTD("tos.rtd",,"VOLUME","."&amp;C$2&amp;C$1&amp;"P"&amp;$A27)*RTD("tos.rtd",,"LAST","."&amp;C$2&amp;C$1&amp;"P"&amp;$A27))/1000000),0),IF($A$2="DEX",IFERROR(IF($X$1="ABS",(100*RTD("tos.rtd",,"OPEN_INT","."&amp;C$2&amp;C$1&amp;"C"&amp;$A27)*RTD("tos.rtd",,"DELTA","."&amp;C$2&amp;C$1&amp;"C"&amp;$A27)+100*RTD("tos.rtd",,"OPEN_INT","."&amp;C$2&amp;C$1&amp;"P"&amp;$A27)*RTD("tos.rtd",,"DELTA","."&amp;C$2&amp;C$1&amp;"P"&amp;$A27))/1000,(100*RTD("tos.rtd",,"OPEN_INT","."&amp;C$2&amp;C$1&amp;"C"&amp;$A27)*RTD("tos.rtd",,"DELTA","."&amp;C$2&amp;C$1&amp;"C"&amp;$A27)-100*RTD("tos.rtd",,"OPEN_INT","."&amp;C$2&amp;C$1&amp;"P"&amp;$A27)*RTD("tos.rtd",,"DELTA","."&amp;C$2&amp;C$1&amp;"P"&amp;$A27))/1000),0),IF($A$2="VEX",IFERROR(IF($X$1="ABS",($A$4*$A$4*RTD("tos.rtd",,"VOLUME","."&amp;C$2&amp;C$1&amp;"C"&amp;$A27)*RTD("tos.rtd",,"GAMMA","."&amp;C$2&amp;C$1&amp;"C"&amp;$A27)+$A$4*$A$4*RTD("tos.rtd",,"VOLUME","."&amp;C$2&amp;C$1&amp;"P"&amp;$A27)*RTD("tos.rtd",,"GAMMA","."&amp;C$2&amp;C$1&amp;"P"&amp;$A27))/1000000,($A$4*$A$4*RTD("tos.rtd",,"VOLUME","."&amp;C$2&amp;C$1&amp;"C"&amp;$A27)*RTD("tos.rtd",,"GAMMA","."&amp;C$2&amp;C$1&amp;"C"&amp;$A27)-$A$4*$A$4*RTD("tos.rtd",,"VOLUME","."&amp;C$2&amp;C$1&amp;"P"&amp;$A27)*RTD("tos.rtd",,"GAMMA","."&amp;C$2&amp;C$1&amp;"P"&amp;$A27))/1000000),0),IF($A$2="GEX",IFERROR(IF($X$1="ABS",($A$4*$A$4*RTD("tos.rtd",,"OPEN_INT","."&amp;C$2&amp;C$1&amp;"C"&amp;$A27)*RTD("tos.rtd",,"GAMMA","."&amp;C$2&amp;C$1&amp;"C"&amp;$A27)+$A$4*$A$4*RTD("tos.rtd",,"OPEN_INT","."&amp;C$2&amp;C$1&amp;"P"&amp;$A27)*RTD("tos.rtd",,"GAMMA","."&amp;C$2&amp;C$1&amp;"P"&amp;$A27))/1000000,($A$4*$A$4*RTD("tos.rtd",,"OPEN_INT","."&amp;C$2&amp;C$1&amp;"C"&amp;$A27)*RTD("tos.rtd",,"GAMMA","."&amp;C$2&amp;C$1&amp;"C"&amp;$A27)-$A$4*$A$4*RTD("tos.rtd",,"OPEN_INT","."&amp;C$2&amp;C$1&amp;"P"&amp;$A27)*RTD("tos.rtd",,"GAMMA","."&amp;C$2&amp;C$1&amp;"P"&amp;$A27))/1000000),0),IF($A$2="SKEW",IFERROR(VALUE(IF(RTD("tos.rtd",,"IMPL_VOL","."&amp;C$2&amp;C$1&amp;"P"&amp;$A27)="N/A",0,RTD("tos.rtd",,"IMPL_VOL","."&amp;C$2&amp;C$1&amp;"P"&amp;$A27))),0)-IFERROR(VALUE(IF(RTD("tos.rtd",,"IMPL_VOL","."&amp;C$2&amp;C$1&amp;"C"&amp;$A27)="N/A",0,RTD("tos.rtd",,"IMPL_VOL","."&amp;C$2&amp;C$1&amp;"C"&amp;$A27))),0),IF($A$2="MAXPAIN",IF($A$4&gt;$A27,($A$4-$A27)*IF(RTD("tos.rtd",,"OPEN_INT","."&amp;C$2&amp;C$1&amp;"C"&amp;$A27)="N/A",0,RTD("tos.rtd",,"OPEN_INT","."&amp;C$2&amp;C$1&amp;"C"&amp;$A27)),0)+IF($A$4&lt;$A27,($A$5-$A$4)*IF(RTD("tos.rtd",,"OPEN_INT","."&amp;C$2&amp;C$1&amp;"P"&amp;$A27)="N/A",0,RTD("tos.rtd",,"OPEN_INT","."&amp;C$2&amp;C$1&amp;"P"&amp;$A27)),0),IF($X$1="ABS",IF(RTD("tos.rtd",,$A$2,"."&amp;C$2&amp;C$1&amp;"C"&amp;$A27)="N/A",0,RTD("tos.rtd",,$A$2,"."&amp;C$2&amp;C$1&amp;"C"&amp;$A27))+IF(RTD("tos.rtd",,$A$2,"."&amp;C$2&amp;C$1&amp;"P"&amp;$A27)="N/A",0,RTD("tos.rtd",,$A$2,"."&amp;C$2&amp;C$1&amp;"P"&amp;$A27)),IF(RTD("tos.rtd",,$A$2,"."&amp;C$2&amp;C$1&amp;"C"&amp;$A27)="N/A",0,RTD("tos.rtd",,$A$2,"."&amp;C$2&amp;C$1&amp;"C"&amp;$A27))-IF(RTD("tos.rtd",,$A$2,"."&amp;C$2&amp;C$1&amp;"P"&amp;$A27)="N/A",0,RTD("tos.rtd",,$A$2,"."&amp;C$2&amp;C$1&amp;"P"&amp;$A27))))))))))</f>
        <v>4006</v>
      </c>
      <c r="D27" s="12">
        <f ca="1">IF($A$2="PREMIUM_OI",IFERROR(IF($X$1="ABS",(100*RTD("tos.rtd",,"OPEN_INT","."&amp;D$2&amp;D$1&amp;"C"&amp;$A27)*RTD("tos.rtd",,"LAST","."&amp;D$2&amp;D$1&amp;"C"&amp;$A27)+100*RTD("tos.rtd",,"OPEN_INT","."&amp;D$2&amp;D$1&amp;"P"&amp;$A27)*RTD("tos.rtd",,"LAST","."&amp;D$2&amp;D$1&amp;"P"&amp;$A27))/1000000,(100*RTD("tos.rtd",,"OPEN_INT","."&amp;D$2&amp;D$1&amp;"C"&amp;$A27)*RTD("tos.rtd",,"LAST","."&amp;D$2&amp;D$1&amp;"C"&amp;$A27)-100*RTD("tos.rtd",,"OPEN_INT","."&amp;D$2&amp;D$1&amp;"P"&amp;$A27)*RTD("tos.rtd",,"LAST","."&amp;D$2&amp;D$1&amp;"P"&amp;$A27))/1000000),0),IF($A$2="PREMIUM",IFERROR(IF($X$1="ABS",(100*RTD("tos.rtd",,"VOLUME","."&amp;D$2&amp;D$1&amp;"C"&amp;$A27)*RTD("tos.rtd",,"LAST","."&amp;D$2&amp;D$1&amp;"C"&amp;$A27)+100*RTD("tos.rtd",,"VOLUME","."&amp;D$2&amp;D$1&amp;"P"&amp;$A27)*RTD("tos.rtd",,"LAST","."&amp;D$2&amp;D$1&amp;"P"&amp;$A27))/1000000,(100*RTD("tos.rtd",,"VOLUME","."&amp;D$2&amp;D$1&amp;"C"&amp;$A27)*RTD("tos.rtd",,"LAST","."&amp;D$2&amp;D$1&amp;"C"&amp;$A27)-100*RTD("tos.rtd",,"VOLUME","."&amp;D$2&amp;D$1&amp;"P"&amp;$A27)*RTD("tos.rtd",,"LAST","."&amp;D$2&amp;D$1&amp;"P"&amp;$A27))/1000000),0),IF($A$2="DEX",IFERROR(IF($X$1="ABS",(100*RTD("tos.rtd",,"OPEN_INT","."&amp;D$2&amp;D$1&amp;"C"&amp;$A27)*RTD("tos.rtd",,"DELTA","."&amp;D$2&amp;D$1&amp;"C"&amp;$A27)+100*RTD("tos.rtd",,"OPEN_INT","."&amp;D$2&amp;D$1&amp;"P"&amp;$A27)*RTD("tos.rtd",,"DELTA","."&amp;D$2&amp;D$1&amp;"P"&amp;$A27))/1000,(100*RTD("tos.rtd",,"OPEN_INT","."&amp;D$2&amp;D$1&amp;"C"&amp;$A27)*RTD("tos.rtd",,"DELTA","."&amp;D$2&amp;D$1&amp;"C"&amp;$A27)-100*RTD("tos.rtd",,"OPEN_INT","."&amp;D$2&amp;D$1&amp;"P"&amp;$A27)*RTD("tos.rtd",,"DELTA","."&amp;D$2&amp;D$1&amp;"P"&amp;$A27))/1000),0),IF($A$2="VEX",IFERROR(IF($X$1="ABS",($A$4*$A$4*RTD("tos.rtd",,"VOLUME","."&amp;D$2&amp;D$1&amp;"C"&amp;$A27)*RTD("tos.rtd",,"GAMMA","."&amp;D$2&amp;D$1&amp;"C"&amp;$A27)+$A$4*$A$4*RTD("tos.rtd",,"VOLUME","."&amp;D$2&amp;D$1&amp;"P"&amp;$A27)*RTD("tos.rtd",,"GAMMA","."&amp;D$2&amp;D$1&amp;"P"&amp;$A27))/1000000,($A$4*$A$4*RTD("tos.rtd",,"VOLUME","."&amp;D$2&amp;D$1&amp;"C"&amp;$A27)*RTD("tos.rtd",,"GAMMA","."&amp;D$2&amp;D$1&amp;"C"&amp;$A27)-$A$4*$A$4*RTD("tos.rtd",,"VOLUME","."&amp;D$2&amp;D$1&amp;"P"&amp;$A27)*RTD("tos.rtd",,"GAMMA","."&amp;D$2&amp;D$1&amp;"P"&amp;$A27))/1000000),0),IF($A$2="GEX",IFERROR(IF($X$1="ABS",($A$4*$A$4*RTD("tos.rtd",,"OPEN_INT","."&amp;D$2&amp;D$1&amp;"C"&amp;$A27)*RTD("tos.rtd",,"GAMMA","."&amp;D$2&amp;D$1&amp;"C"&amp;$A27)+$A$4*$A$4*RTD("tos.rtd",,"OPEN_INT","."&amp;D$2&amp;D$1&amp;"P"&amp;$A27)*RTD("tos.rtd",,"GAMMA","."&amp;D$2&amp;D$1&amp;"P"&amp;$A27))/1000000,($A$4*$A$4*RTD("tos.rtd",,"OPEN_INT","."&amp;D$2&amp;D$1&amp;"C"&amp;$A27)*RTD("tos.rtd",,"GAMMA","."&amp;D$2&amp;D$1&amp;"C"&amp;$A27)-$A$4*$A$4*RTD("tos.rtd",,"OPEN_INT","."&amp;D$2&amp;D$1&amp;"P"&amp;$A27)*RTD("tos.rtd",,"GAMMA","."&amp;D$2&amp;D$1&amp;"P"&amp;$A27))/1000000),0),IF($A$2="SKEW",IFERROR(VALUE(IF(RTD("tos.rtd",,"IMPL_VOL","."&amp;D$2&amp;D$1&amp;"P"&amp;$A27)="N/A",0,RTD("tos.rtd",,"IMPL_VOL","."&amp;D$2&amp;D$1&amp;"P"&amp;$A27))),0)-IFERROR(VALUE(IF(RTD("tos.rtd",,"IMPL_VOL","."&amp;D$2&amp;D$1&amp;"C"&amp;$A27)="N/A",0,RTD("tos.rtd",,"IMPL_VOL","."&amp;D$2&amp;D$1&amp;"C"&amp;$A27))),0),IF($A$2="MAXPAIN",IF($A$4&gt;$A27,($A$4-$A27)*IF(RTD("tos.rtd",,"OPEN_INT","."&amp;D$2&amp;D$1&amp;"C"&amp;$A27)="N/A",0,RTD("tos.rtd",,"OPEN_INT","."&amp;D$2&amp;D$1&amp;"C"&amp;$A27)),0)+IF($A$4&lt;$A27,($A$5-$A$4)*IF(RTD("tos.rtd",,"OPEN_INT","."&amp;D$2&amp;D$1&amp;"P"&amp;$A27)="N/A",0,RTD("tos.rtd",,"OPEN_INT","."&amp;D$2&amp;D$1&amp;"P"&amp;$A27)),0),IF($X$1="ABS",IF(RTD("tos.rtd",,$A$2,"."&amp;D$2&amp;D$1&amp;"C"&amp;$A27)="N/A",0,RTD("tos.rtd",,$A$2,"."&amp;D$2&amp;D$1&amp;"C"&amp;$A27))+IF(RTD("tos.rtd",,$A$2,"."&amp;D$2&amp;D$1&amp;"P"&amp;$A27)="N/A",0,RTD("tos.rtd",,$A$2,"."&amp;D$2&amp;D$1&amp;"P"&amp;$A27)),IF(RTD("tos.rtd",,$A$2,"."&amp;D$2&amp;D$1&amp;"C"&amp;$A27)="N/A",0,RTD("tos.rtd",,$A$2,"."&amp;D$2&amp;D$1&amp;"C"&amp;$A27))-IF(RTD("tos.rtd",,$A$2,"."&amp;D$2&amp;D$1&amp;"P"&amp;$A27)="N/A",0,RTD("tos.rtd",,$A$2,"."&amp;D$2&amp;D$1&amp;"P"&amp;$A27))))))))))</f>
        <v>1197</v>
      </c>
      <c r="E27" s="12">
        <f ca="1">IF($A$2="PREMIUM_OI",IFERROR(IF($X$1="ABS",(100*RTD("tos.rtd",,"OPEN_INT","."&amp;E$2&amp;E$1&amp;"C"&amp;$A27)*RTD("tos.rtd",,"LAST","."&amp;E$2&amp;E$1&amp;"C"&amp;$A27)+100*RTD("tos.rtd",,"OPEN_INT","."&amp;E$2&amp;E$1&amp;"P"&amp;$A27)*RTD("tos.rtd",,"LAST","."&amp;E$2&amp;E$1&amp;"P"&amp;$A27))/1000000,(100*RTD("tos.rtd",,"OPEN_INT","."&amp;E$2&amp;E$1&amp;"C"&amp;$A27)*RTD("tos.rtd",,"LAST","."&amp;E$2&amp;E$1&amp;"C"&amp;$A27)-100*RTD("tos.rtd",,"OPEN_INT","."&amp;E$2&amp;E$1&amp;"P"&amp;$A27)*RTD("tos.rtd",,"LAST","."&amp;E$2&amp;E$1&amp;"P"&amp;$A27))/1000000),0),IF($A$2="PREMIUM",IFERROR(IF($X$1="ABS",(100*RTD("tos.rtd",,"VOLUME","."&amp;E$2&amp;E$1&amp;"C"&amp;$A27)*RTD("tos.rtd",,"LAST","."&amp;E$2&amp;E$1&amp;"C"&amp;$A27)+100*RTD("tos.rtd",,"VOLUME","."&amp;E$2&amp;E$1&amp;"P"&amp;$A27)*RTD("tos.rtd",,"LAST","."&amp;E$2&amp;E$1&amp;"P"&amp;$A27))/1000000,(100*RTD("tos.rtd",,"VOLUME","."&amp;E$2&amp;E$1&amp;"C"&amp;$A27)*RTD("tos.rtd",,"LAST","."&amp;E$2&amp;E$1&amp;"C"&amp;$A27)-100*RTD("tos.rtd",,"VOLUME","."&amp;E$2&amp;E$1&amp;"P"&amp;$A27)*RTD("tos.rtd",,"LAST","."&amp;E$2&amp;E$1&amp;"P"&amp;$A27))/1000000),0),IF($A$2="DEX",IFERROR(IF($X$1="ABS",(100*RTD("tos.rtd",,"OPEN_INT","."&amp;E$2&amp;E$1&amp;"C"&amp;$A27)*RTD("tos.rtd",,"DELTA","."&amp;E$2&amp;E$1&amp;"C"&amp;$A27)+100*RTD("tos.rtd",,"OPEN_INT","."&amp;E$2&amp;E$1&amp;"P"&amp;$A27)*RTD("tos.rtd",,"DELTA","."&amp;E$2&amp;E$1&amp;"P"&amp;$A27))/1000,(100*RTD("tos.rtd",,"OPEN_INT","."&amp;E$2&amp;E$1&amp;"C"&amp;$A27)*RTD("tos.rtd",,"DELTA","."&amp;E$2&amp;E$1&amp;"C"&amp;$A27)-100*RTD("tos.rtd",,"OPEN_INT","."&amp;E$2&amp;E$1&amp;"P"&amp;$A27)*RTD("tos.rtd",,"DELTA","."&amp;E$2&amp;E$1&amp;"P"&amp;$A27))/1000),0),IF($A$2="VEX",IFERROR(IF($X$1="ABS",($A$4*$A$4*RTD("tos.rtd",,"VOLUME","."&amp;E$2&amp;E$1&amp;"C"&amp;$A27)*RTD("tos.rtd",,"GAMMA","."&amp;E$2&amp;E$1&amp;"C"&amp;$A27)+$A$4*$A$4*RTD("tos.rtd",,"VOLUME","."&amp;E$2&amp;E$1&amp;"P"&amp;$A27)*RTD("tos.rtd",,"GAMMA","."&amp;E$2&amp;E$1&amp;"P"&amp;$A27))/1000000,($A$4*$A$4*RTD("tos.rtd",,"VOLUME","."&amp;E$2&amp;E$1&amp;"C"&amp;$A27)*RTD("tos.rtd",,"GAMMA","."&amp;E$2&amp;E$1&amp;"C"&amp;$A27)-$A$4*$A$4*RTD("tos.rtd",,"VOLUME","."&amp;E$2&amp;E$1&amp;"P"&amp;$A27)*RTD("tos.rtd",,"GAMMA","."&amp;E$2&amp;E$1&amp;"P"&amp;$A27))/1000000),0),IF($A$2="GEX",IFERROR(IF($X$1="ABS",($A$4*$A$4*RTD("tos.rtd",,"OPEN_INT","."&amp;E$2&amp;E$1&amp;"C"&amp;$A27)*RTD("tos.rtd",,"GAMMA","."&amp;E$2&amp;E$1&amp;"C"&amp;$A27)+$A$4*$A$4*RTD("tos.rtd",,"OPEN_INT","."&amp;E$2&amp;E$1&amp;"P"&amp;$A27)*RTD("tos.rtd",,"GAMMA","."&amp;E$2&amp;E$1&amp;"P"&amp;$A27))/1000000,($A$4*$A$4*RTD("tos.rtd",,"OPEN_INT","."&amp;E$2&amp;E$1&amp;"C"&amp;$A27)*RTD("tos.rtd",,"GAMMA","."&amp;E$2&amp;E$1&amp;"C"&amp;$A27)-$A$4*$A$4*RTD("tos.rtd",,"OPEN_INT","."&amp;E$2&amp;E$1&amp;"P"&amp;$A27)*RTD("tos.rtd",,"GAMMA","."&amp;E$2&amp;E$1&amp;"P"&amp;$A27))/1000000),0),IF($A$2="SKEW",IFERROR(VALUE(IF(RTD("tos.rtd",,"IMPL_VOL","."&amp;E$2&amp;E$1&amp;"P"&amp;$A27)="N/A",0,RTD("tos.rtd",,"IMPL_VOL","."&amp;E$2&amp;E$1&amp;"P"&amp;$A27))),0)-IFERROR(VALUE(IF(RTD("tos.rtd",,"IMPL_VOL","."&amp;E$2&amp;E$1&amp;"C"&amp;$A27)="N/A",0,RTD("tos.rtd",,"IMPL_VOL","."&amp;E$2&amp;E$1&amp;"C"&amp;$A27))),0),IF($A$2="MAXPAIN",IF($A$4&gt;$A27,($A$4-$A27)*IF(RTD("tos.rtd",,"OPEN_INT","."&amp;E$2&amp;E$1&amp;"C"&amp;$A27)="N/A",0,RTD("tos.rtd",,"OPEN_INT","."&amp;E$2&amp;E$1&amp;"C"&amp;$A27)),0)+IF($A$4&lt;$A27,($A$5-$A$4)*IF(RTD("tos.rtd",,"OPEN_INT","."&amp;E$2&amp;E$1&amp;"P"&amp;$A27)="N/A",0,RTD("tos.rtd",,"OPEN_INT","."&amp;E$2&amp;E$1&amp;"P"&amp;$A27)),0),IF($X$1="ABS",IF(RTD("tos.rtd",,$A$2,"."&amp;E$2&amp;E$1&amp;"C"&amp;$A27)="N/A",0,RTD("tos.rtd",,$A$2,"."&amp;E$2&amp;E$1&amp;"C"&amp;$A27))+IF(RTD("tos.rtd",,$A$2,"."&amp;E$2&amp;E$1&amp;"P"&amp;$A27)="N/A",0,RTD("tos.rtd",,$A$2,"."&amp;E$2&amp;E$1&amp;"P"&amp;$A27)),IF(RTD("tos.rtd",,$A$2,"."&amp;E$2&amp;E$1&amp;"C"&amp;$A27)="N/A",0,RTD("tos.rtd",,$A$2,"."&amp;E$2&amp;E$1&amp;"C"&amp;$A27))-IF(RTD("tos.rtd",,$A$2,"."&amp;E$2&amp;E$1&amp;"P"&amp;$A27)="N/A",0,RTD("tos.rtd",,$A$2,"."&amp;E$2&amp;E$1&amp;"P"&amp;$A27))))))))))</f>
        <v>1298</v>
      </c>
      <c r="F27" s="12">
        <f ca="1">IF($A$2="PREMIUM_OI",IFERROR(IF($X$1="ABS",(100*RTD("tos.rtd",,"OPEN_INT","."&amp;F$2&amp;F$1&amp;"C"&amp;$A27)*RTD("tos.rtd",,"LAST","."&amp;F$2&amp;F$1&amp;"C"&amp;$A27)+100*RTD("tos.rtd",,"OPEN_INT","."&amp;F$2&amp;F$1&amp;"P"&amp;$A27)*RTD("tos.rtd",,"LAST","."&amp;F$2&amp;F$1&amp;"P"&amp;$A27))/1000000,(100*RTD("tos.rtd",,"OPEN_INT","."&amp;F$2&amp;F$1&amp;"C"&amp;$A27)*RTD("tos.rtd",,"LAST","."&amp;F$2&amp;F$1&amp;"C"&amp;$A27)-100*RTD("tos.rtd",,"OPEN_INT","."&amp;F$2&amp;F$1&amp;"P"&amp;$A27)*RTD("tos.rtd",,"LAST","."&amp;F$2&amp;F$1&amp;"P"&amp;$A27))/1000000),0),IF($A$2="PREMIUM",IFERROR(IF($X$1="ABS",(100*RTD("tos.rtd",,"VOLUME","."&amp;F$2&amp;F$1&amp;"C"&amp;$A27)*RTD("tos.rtd",,"LAST","."&amp;F$2&amp;F$1&amp;"C"&amp;$A27)+100*RTD("tos.rtd",,"VOLUME","."&amp;F$2&amp;F$1&amp;"P"&amp;$A27)*RTD("tos.rtd",,"LAST","."&amp;F$2&amp;F$1&amp;"P"&amp;$A27))/1000000,(100*RTD("tos.rtd",,"VOLUME","."&amp;F$2&amp;F$1&amp;"C"&amp;$A27)*RTD("tos.rtd",,"LAST","."&amp;F$2&amp;F$1&amp;"C"&amp;$A27)-100*RTD("tos.rtd",,"VOLUME","."&amp;F$2&amp;F$1&amp;"P"&amp;$A27)*RTD("tos.rtd",,"LAST","."&amp;F$2&amp;F$1&amp;"P"&amp;$A27))/1000000),0),IF($A$2="DEX",IFERROR(IF($X$1="ABS",(100*RTD("tos.rtd",,"OPEN_INT","."&amp;F$2&amp;F$1&amp;"C"&amp;$A27)*RTD("tos.rtd",,"DELTA","."&amp;F$2&amp;F$1&amp;"C"&amp;$A27)+100*RTD("tos.rtd",,"OPEN_INT","."&amp;F$2&amp;F$1&amp;"P"&amp;$A27)*RTD("tos.rtd",,"DELTA","."&amp;F$2&amp;F$1&amp;"P"&amp;$A27))/1000,(100*RTD("tos.rtd",,"OPEN_INT","."&amp;F$2&amp;F$1&amp;"C"&amp;$A27)*RTD("tos.rtd",,"DELTA","."&amp;F$2&amp;F$1&amp;"C"&amp;$A27)-100*RTD("tos.rtd",,"OPEN_INT","."&amp;F$2&amp;F$1&amp;"P"&amp;$A27)*RTD("tos.rtd",,"DELTA","."&amp;F$2&amp;F$1&amp;"P"&amp;$A27))/1000),0),IF($A$2="VEX",IFERROR(IF($X$1="ABS",($A$4*$A$4*RTD("tos.rtd",,"VOLUME","."&amp;F$2&amp;F$1&amp;"C"&amp;$A27)*RTD("tos.rtd",,"GAMMA","."&amp;F$2&amp;F$1&amp;"C"&amp;$A27)+$A$4*$A$4*RTD("tos.rtd",,"VOLUME","."&amp;F$2&amp;F$1&amp;"P"&amp;$A27)*RTD("tos.rtd",,"GAMMA","."&amp;F$2&amp;F$1&amp;"P"&amp;$A27))/1000000,($A$4*$A$4*RTD("tos.rtd",,"VOLUME","."&amp;F$2&amp;F$1&amp;"C"&amp;$A27)*RTD("tos.rtd",,"GAMMA","."&amp;F$2&amp;F$1&amp;"C"&amp;$A27)-$A$4*$A$4*RTD("tos.rtd",,"VOLUME","."&amp;F$2&amp;F$1&amp;"P"&amp;$A27)*RTD("tos.rtd",,"GAMMA","."&amp;F$2&amp;F$1&amp;"P"&amp;$A27))/1000000),0),IF($A$2="GEX",IFERROR(IF($X$1="ABS",($A$4*$A$4*RTD("tos.rtd",,"OPEN_INT","."&amp;F$2&amp;F$1&amp;"C"&amp;$A27)*RTD("tos.rtd",,"GAMMA","."&amp;F$2&amp;F$1&amp;"C"&amp;$A27)+$A$4*$A$4*RTD("tos.rtd",,"OPEN_INT","."&amp;F$2&amp;F$1&amp;"P"&amp;$A27)*RTD("tos.rtd",,"GAMMA","."&amp;F$2&amp;F$1&amp;"P"&amp;$A27))/1000000,($A$4*$A$4*RTD("tos.rtd",,"OPEN_INT","."&amp;F$2&amp;F$1&amp;"C"&amp;$A27)*RTD("tos.rtd",,"GAMMA","."&amp;F$2&amp;F$1&amp;"C"&amp;$A27)-$A$4*$A$4*RTD("tos.rtd",,"OPEN_INT","."&amp;F$2&amp;F$1&amp;"P"&amp;$A27)*RTD("tos.rtd",,"GAMMA","."&amp;F$2&amp;F$1&amp;"P"&amp;$A27))/1000000),0),IF($A$2="SKEW",IFERROR(VALUE(IF(RTD("tos.rtd",,"IMPL_VOL","."&amp;F$2&amp;F$1&amp;"P"&amp;$A27)="N/A",0,RTD("tos.rtd",,"IMPL_VOL","."&amp;F$2&amp;F$1&amp;"P"&amp;$A27))),0)-IFERROR(VALUE(IF(RTD("tos.rtd",,"IMPL_VOL","."&amp;F$2&amp;F$1&amp;"C"&amp;$A27)="N/A",0,RTD("tos.rtd",,"IMPL_VOL","."&amp;F$2&amp;F$1&amp;"C"&amp;$A27))),0),IF($A$2="MAXPAIN",IF($A$4&gt;$A27,($A$4-$A27)*IF(RTD("tos.rtd",,"OPEN_INT","."&amp;F$2&amp;F$1&amp;"C"&amp;$A27)="N/A",0,RTD("tos.rtd",,"OPEN_INT","."&amp;F$2&amp;F$1&amp;"C"&amp;$A27)),0)+IF($A$4&lt;$A27,($A$5-$A$4)*IF(RTD("tos.rtd",,"OPEN_INT","."&amp;F$2&amp;F$1&amp;"P"&amp;$A27)="N/A",0,RTD("tos.rtd",,"OPEN_INT","."&amp;F$2&amp;F$1&amp;"P"&amp;$A27)),0),IF($X$1="ABS",IF(RTD("tos.rtd",,$A$2,"."&amp;F$2&amp;F$1&amp;"C"&amp;$A27)="N/A",0,RTD("tos.rtd",,$A$2,"."&amp;F$2&amp;F$1&amp;"C"&amp;$A27))+IF(RTD("tos.rtd",,$A$2,"."&amp;F$2&amp;F$1&amp;"P"&amp;$A27)="N/A",0,RTD("tos.rtd",,$A$2,"."&amp;F$2&amp;F$1&amp;"P"&amp;$A27)),IF(RTD("tos.rtd",,$A$2,"."&amp;F$2&amp;F$1&amp;"C"&amp;$A27)="N/A",0,RTD("tos.rtd",,$A$2,"."&amp;F$2&amp;F$1&amp;"C"&amp;$A27))-IF(RTD("tos.rtd",,$A$2,"."&amp;F$2&amp;F$1&amp;"P"&amp;$A27)="N/A",0,RTD("tos.rtd",,$A$2,"."&amp;F$2&amp;F$1&amp;"P"&amp;$A27))))))))))</f>
        <v>424</v>
      </c>
      <c r="G27" s="57">
        <f ca="1">IF($A$2="PREMIUM_OI",IFERROR(IF($X$1="ABS",(100*RTD("tos.rtd",,"OPEN_INT","."&amp;G$2&amp;G$1&amp;"C"&amp;$A27)*RTD("tos.rtd",,"LAST","."&amp;G$2&amp;G$1&amp;"C"&amp;$A27)+100*RTD("tos.rtd",,"OPEN_INT","."&amp;G$2&amp;G$1&amp;"P"&amp;$A27)*RTD("tos.rtd",,"LAST","."&amp;G$2&amp;G$1&amp;"P"&amp;$A27))/1000000,(100*RTD("tos.rtd",,"OPEN_INT","."&amp;G$2&amp;G$1&amp;"C"&amp;$A27)*RTD("tos.rtd",,"LAST","."&amp;G$2&amp;G$1&amp;"C"&amp;$A27)-100*RTD("tos.rtd",,"OPEN_INT","."&amp;G$2&amp;G$1&amp;"P"&amp;$A27)*RTD("tos.rtd",,"LAST","."&amp;G$2&amp;G$1&amp;"P"&amp;$A27))/1000000),0),IF($A$2="PREMIUM",IFERROR(IF($X$1="ABS",(100*RTD("tos.rtd",,"VOLUME","."&amp;G$2&amp;G$1&amp;"C"&amp;$A27)*RTD("tos.rtd",,"LAST","."&amp;G$2&amp;G$1&amp;"C"&amp;$A27)+100*RTD("tos.rtd",,"VOLUME","."&amp;G$2&amp;G$1&amp;"P"&amp;$A27)*RTD("tos.rtd",,"LAST","."&amp;G$2&amp;G$1&amp;"P"&amp;$A27))/1000000,(100*RTD("tos.rtd",,"VOLUME","."&amp;G$2&amp;G$1&amp;"C"&amp;$A27)*RTD("tos.rtd",,"LAST","."&amp;G$2&amp;G$1&amp;"C"&amp;$A27)-100*RTD("tos.rtd",,"VOLUME","."&amp;G$2&amp;G$1&amp;"P"&amp;$A27)*RTD("tos.rtd",,"LAST","."&amp;G$2&amp;G$1&amp;"P"&amp;$A27))/1000000),0),IF($A$2="DEX",IFERROR(IF($X$1="ABS",(100*RTD("tos.rtd",,"OPEN_INT","."&amp;G$2&amp;G$1&amp;"C"&amp;$A27)*RTD("tos.rtd",,"DELTA","."&amp;G$2&amp;G$1&amp;"C"&amp;$A27)+100*RTD("tos.rtd",,"OPEN_INT","."&amp;G$2&amp;G$1&amp;"P"&amp;$A27)*RTD("tos.rtd",,"DELTA","."&amp;G$2&amp;G$1&amp;"P"&amp;$A27))/1000,(100*RTD("tos.rtd",,"OPEN_INT","."&amp;G$2&amp;G$1&amp;"C"&amp;$A27)*RTD("tos.rtd",,"DELTA","."&amp;G$2&amp;G$1&amp;"C"&amp;$A27)-100*RTD("tos.rtd",,"OPEN_INT","."&amp;G$2&amp;G$1&amp;"P"&amp;$A27)*RTD("tos.rtd",,"DELTA","."&amp;G$2&amp;G$1&amp;"P"&amp;$A27))/1000),0),IF($A$2="VEX",IFERROR(IF($X$1="ABS",($A$4*$A$4*RTD("tos.rtd",,"VOLUME","."&amp;G$2&amp;G$1&amp;"C"&amp;$A27)*RTD("tos.rtd",,"GAMMA","."&amp;G$2&amp;G$1&amp;"C"&amp;$A27)+$A$4*$A$4*RTD("tos.rtd",,"VOLUME","."&amp;G$2&amp;G$1&amp;"P"&amp;$A27)*RTD("tos.rtd",,"GAMMA","."&amp;G$2&amp;G$1&amp;"P"&amp;$A27))/1000000,($A$4*$A$4*RTD("tos.rtd",,"VOLUME","."&amp;G$2&amp;G$1&amp;"C"&amp;$A27)*RTD("tos.rtd",,"GAMMA","."&amp;G$2&amp;G$1&amp;"C"&amp;$A27)-$A$4*$A$4*RTD("tos.rtd",,"VOLUME","."&amp;G$2&amp;G$1&amp;"P"&amp;$A27)*RTD("tos.rtd",,"GAMMA","."&amp;G$2&amp;G$1&amp;"P"&amp;$A27))/1000000),0),IF($A$2="GEX",IFERROR(IF($X$1="ABS",($A$4*$A$4*RTD("tos.rtd",,"OPEN_INT","."&amp;G$2&amp;G$1&amp;"C"&amp;$A27)*RTD("tos.rtd",,"GAMMA","."&amp;G$2&amp;G$1&amp;"C"&amp;$A27)+$A$4*$A$4*RTD("tos.rtd",,"OPEN_INT","."&amp;G$2&amp;G$1&amp;"P"&amp;$A27)*RTD("tos.rtd",,"GAMMA","."&amp;G$2&amp;G$1&amp;"P"&amp;$A27))/1000000,($A$4*$A$4*RTD("tos.rtd",,"OPEN_INT","."&amp;G$2&amp;G$1&amp;"C"&amp;$A27)*RTD("tos.rtd",,"GAMMA","."&amp;G$2&amp;G$1&amp;"C"&amp;$A27)-$A$4*$A$4*RTD("tos.rtd",,"OPEN_INT","."&amp;G$2&amp;G$1&amp;"P"&amp;$A27)*RTD("tos.rtd",,"GAMMA","."&amp;G$2&amp;G$1&amp;"P"&amp;$A27))/1000000),0),IF($A$2="SKEW",IFERROR(VALUE(IF(RTD("tos.rtd",,"IMPL_VOL","."&amp;G$2&amp;G$1&amp;"P"&amp;$A27)="N/A",0,RTD("tos.rtd",,"IMPL_VOL","."&amp;G$2&amp;G$1&amp;"P"&amp;$A27))),0)-IFERROR(VALUE(IF(RTD("tos.rtd",,"IMPL_VOL","."&amp;G$2&amp;G$1&amp;"C"&amp;$A27)="N/A",0,RTD("tos.rtd",,"IMPL_VOL","."&amp;G$2&amp;G$1&amp;"C"&amp;$A27))),0),IF($A$2="MAXPAIN",IF($A$4&gt;$A27,($A$4-$A27)*IF(RTD("tos.rtd",,"OPEN_INT","."&amp;G$2&amp;G$1&amp;"C"&amp;$A27)="N/A",0,RTD("tos.rtd",,"OPEN_INT","."&amp;G$2&amp;G$1&amp;"C"&amp;$A27)),0)+IF($A$4&lt;$A27,($A$5-$A$4)*IF(RTD("tos.rtd",,"OPEN_INT","."&amp;G$2&amp;G$1&amp;"P"&amp;$A27)="N/A",0,RTD("tos.rtd",,"OPEN_INT","."&amp;G$2&amp;G$1&amp;"P"&amp;$A27)),0),IF($X$1="ABS",IF(RTD("tos.rtd",,$A$2,"."&amp;G$2&amp;G$1&amp;"C"&amp;$A27)="N/A",0,RTD("tos.rtd",,$A$2,"."&amp;G$2&amp;G$1&amp;"C"&amp;$A27))+IF(RTD("tos.rtd",,$A$2,"."&amp;G$2&amp;G$1&amp;"P"&amp;$A27)="N/A",0,RTD("tos.rtd",,$A$2,"."&amp;G$2&amp;G$1&amp;"P"&amp;$A27)),IF(RTD("tos.rtd",,$A$2,"."&amp;G$2&amp;G$1&amp;"C"&amp;$A27)="N/A",0,RTD("tos.rtd",,$A$2,"."&amp;G$2&amp;G$1&amp;"C"&amp;$A27))-IF(RTD("tos.rtd",,$A$2,"."&amp;G$2&amp;G$1&amp;"P"&amp;$A27)="N/A",0,RTD("tos.rtd",,$A$2,"."&amp;G$2&amp;G$1&amp;"P"&amp;$A27))))))))))</f>
        <v>334</v>
      </c>
      <c r="H27" s="14">
        <f ca="1">IF($A$2="PREMIUM_OI",IFERROR(IF($X$1="ABS",(100*RTD("tos.rtd",,"OPEN_INT","."&amp;H$2&amp;H$1&amp;"C"&amp;$A27)*RTD("tos.rtd",,"LAST","."&amp;H$2&amp;H$1&amp;"C"&amp;$A27)+100*RTD("tos.rtd",,"OPEN_INT","."&amp;H$2&amp;H$1&amp;"P"&amp;$A27)*RTD("tos.rtd",,"LAST","."&amp;H$2&amp;H$1&amp;"P"&amp;$A27))/1000000,(100*RTD("tos.rtd",,"OPEN_INT","."&amp;H$2&amp;H$1&amp;"C"&amp;$A27)*RTD("tos.rtd",,"LAST","."&amp;H$2&amp;H$1&amp;"C"&amp;$A27)-100*RTD("tos.rtd",,"OPEN_INT","."&amp;H$2&amp;H$1&amp;"P"&amp;$A27)*RTD("tos.rtd",,"LAST","."&amp;H$2&amp;H$1&amp;"P"&amp;$A27))/1000000),0),IF($A$2="PREMIUM",IFERROR(IF($X$1="ABS",(100*RTD("tos.rtd",,"VOLUME","."&amp;H$2&amp;H$1&amp;"C"&amp;$A27)*RTD("tos.rtd",,"LAST","."&amp;H$2&amp;H$1&amp;"C"&amp;$A27)+100*RTD("tos.rtd",,"VOLUME","."&amp;H$2&amp;H$1&amp;"P"&amp;$A27)*RTD("tos.rtd",,"LAST","."&amp;H$2&amp;H$1&amp;"P"&amp;$A27))/1000000,(100*RTD("tos.rtd",,"VOLUME","."&amp;H$2&amp;H$1&amp;"C"&amp;$A27)*RTD("tos.rtd",,"LAST","."&amp;H$2&amp;H$1&amp;"C"&amp;$A27)-100*RTD("tos.rtd",,"VOLUME","."&amp;H$2&amp;H$1&amp;"P"&amp;$A27)*RTD("tos.rtd",,"LAST","."&amp;H$2&amp;H$1&amp;"P"&amp;$A27))/1000000),0),IF($A$2="DEX",IFERROR(IF($X$1="ABS",(100*RTD("tos.rtd",,"OPEN_INT","."&amp;H$2&amp;H$1&amp;"C"&amp;$A27)*RTD("tos.rtd",,"DELTA","."&amp;H$2&amp;H$1&amp;"C"&amp;$A27)+100*RTD("tos.rtd",,"OPEN_INT","."&amp;H$2&amp;H$1&amp;"P"&amp;$A27)*RTD("tos.rtd",,"DELTA","."&amp;H$2&amp;H$1&amp;"P"&amp;$A27))/1000,(100*RTD("tos.rtd",,"OPEN_INT","."&amp;H$2&amp;H$1&amp;"C"&amp;$A27)*RTD("tos.rtd",,"DELTA","."&amp;H$2&amp;H$1&amp;"C"&amp;$A27)-100*RTD("tos.rtd",,"OPEN_INT","."&amp;H$2&amp;H$1&amp;"P"&amp;$A27)*RTD("tos.rtd",,"DELTA","."&amp;H$2&amp;H$1&amp;"P"&amp;$A27))/1000),0),IF($A$2="VEX",IFERROR(IF($X$1="ABS",($A$4*$A$4*RTD("tos.rtd",,"VOLUME","."&amp;H$2&amp;H$1&amp;"C"&amp;$A27)*RTD("tos.rtd",,"GAMMA","."&amp;H$2&amp;H$1&amp;"C"&amp;$A27)+$A$4*$A$4*RTD("tos.rtd",,"VOLUME","."&amp;H$2&amp;H$1&amp;"P"&amp;$A27)*RTD("tos.rtd",,"GAMMA","."&amp;H$2&amp;H$1&amp;"P"&amp;$A27))/1000000,($A$4*$A$4*RTD("tos.rtd",,"VOLUME","."&amp;H$2&amp;H$1&amp;"C"&amp;$A27)*RTD("tos.rtd",,"GAMMA","."&amp;H$2&amp;H$1&amp;"C"&amp;$A27)-$A$4*$A$4*RTD("tos.rtd",,"VOLUME","."&amp;H$2&amp;H$1&amp;"P"&amp;$A27)*RTD("tos.rtd",,"GAMMA","."&amp;H$2&amp;H$1&amp;"P"&amp;$A27))/1000000),0),IF($A$2="GEX",IFERROR(IF($X$1="ABS",($A$4*$A$4*RTD("tos.rtd",,"OPEN_INT","."&amp;H$2&amp;H$1&amp;"C"&amp;$A27)*RTD("tos.rtd",,"GAMMA","."&amp;H$2&amp;H$1&amp;"C"&amp;$A27)+$A$4*$A$4*RTD("tos.rtd",,"OPEN_INT","."&amp;H$2&amp;H$1&amp;"P"&amp;$A27)*RTD("tos.rtd",,"GAMMA","."&amp;H$2&amp;H$1&amp;"P"&amp;$A27))/1000000,($A$4*$A$4*RTD("tos.rtd",,"OPEN_INT","."&amp;H$2&amp;H$1&amp;"C"&amp;$A27)*RTD("tos.rtd",,"GAMMA","."&amp;H$2&amp;H$1&amp;"C"&amp;$A27)-$A$4*$A$4*RTD("tos.rtd",,"OPEN_INT","."&amp;H$2&amp;H$1&amp;"P"&amp;$A27)*RTD("tos.rtd",,"GAMMA","."&amp;H$2&amp;H$1&amp;"P"&amp;$A27))/1000000),0),IF($A$2="SKEW",IFERROR(VALUE(IF(RTD("tos.rtd",,"IMPL_VOL","."&amp;H$2&amp;H$1&amp;"P"&amp;$A27)="N/A",0,RTD("tos.rtd",,"IMPL_VOL","."&amp;H$2&amp;H$1&amp;"P"&amp;$A27))),0)-IFERROR(VALUE(IF(RTD("tos.rtd",,"IMPL_VOL","."&amp;H$2&amp;H$1&amp;"C"&amp;$A27)="N/A",0,RTD("tos.rtd",,"IMPL_VOL","."&amp;H$2&amp;H$1&amp;"C"&amp;$A27))),0),IF($A$2="MAXPAIN",IF($A$4&gt;$A27,($A$4-$A27)*IF(RTD("tos.rtd",,"OPEN_INT","."&amp;H$2&amp;H$1&amp;"C"&amp;$A27)="N/A",0,RTD("tos.rtd",,"OPEN_INT","."&amp;H$2&amp;H$1&amp;"C"&amp;$A27)),0)+IF($A$4&lt;$A27,($A$5-$A$4)*IF(RTD("tos.rtd",,"OPEN_INT","."&amp;H$2&amp;H$1&amp;"P"&amp;$A27)="N/A",0,RTD("tos.rtd",,"OPEN_INT","."&amp;H$2&amp;H$1&amp;"P"&amp;$A27)),0),IF($X$1="ABS",IF(RTD("tos.rtd",,$A$2,"."&amp;H$2&amp;H$1&amp;"C"&amp;$A27)="N/A",0,RTD("tos.rtd",,$A$2,"."&amp;H$2&amp;H$1&amp;"C"&amp;$A27))+IF(RTD("tos.rtd",,$A$2,"."&amp;H$2&amp;H$1&amp;"P"&amp;$A27)="N/A",0,RTD("tos.rtd",,$A$2,"."&amp;H$2&amp;H$1&amp;"P"&amp;$A27)),IF(RTD("tos.rtd",,$A$2,"."&amp;H$2&amp;H$1&amp;"C"&amp;$A27)="N/A",0,RTD("tos.rtd",,$A$2,"."&amp;H$2&amp;H$1&amp;"C"&amp;$A27))-IF(RTD("tos.rtd",,$A$2,"."&amp;H$2&amp;H$1&amp;"P"&amp;$A27)="N/A",0,RTD("tos.rtd",,$A$2,"."&amp;H$2&amp;H$1&amp;"P"&amp;$A27))))))))))</f>
        <v>0</v>
      </c>
      <c r="I27" s="12">
        <f ca="1">IF($A$2="PREMIUM_OI",IFERROR(IF($X$1="ABS",(100*RTD("tos.rtd",,"OPEN_INT","."&amp;I$2&amp;I$1&amp;"C"&amp;$A27)*RTD("tos.rtd",,"LAST","."&amp;I$2&amp;I$1&amp;"C"&amp;$A27)+100*RTD("tos.rtd",,"OPEN_INT","."&amp;I$2&amp;I$1&amp;"P"&amp;$A27)*RTD("tos.rtd",,"LAST","."&amp;I$2&amp;I$1&amp;"P"&amp;$A27))/1000000,(100*RTD("tos.rtd",,"OPEN_INT","."&amp;I$2&amp;I$1&amp;"C"&amp;$A27)*RTD("tos.rtd",,"LAST","."&amp;I$2&amp;I$1&amp;"C"&amp;$A27)-100*RTD("tos.rtd",,"OPEN_INT","."&amp;I$2&amp;I$1&amp;"P"&amp;$A27)*RTD("tos.rtd",,"LAST","."&amp;I$2&amp;I$1&amp;"P"&amp;$A27))/1000000),0),IF($A$2="PREMIUM",IFERROR(IF($X$1="ABS",(100*RTD("tos.rtd",,"VOLUME","."&amp;I$2&amp;I$1&amp;"C"&amp;$A27)*RTD("tos.rtd",,"LAST","."&amp;I$2&amp;I$1&amp;"C"&amp;$A27)+100*RTD("tos.rtd",,"VOLUME","."&amp;I$2&amp;I$1&amp;"P"&amp;$A27)*RTD("tos.rtd",,"LAST","."&amp;I$2&amp;I$1&amp;"P"&amp;$A27))/1000000,(100*RTD("tos.rtd",,"VOLUME","."&amp;I$2&amp;I$1&amp;"C"&amp;$A27)*RTD("tos.rtd",,"LAST","."&amp;I$2&amp;I$1&amp;"C"&amp;$A27)-100*RTD("tos.rtd",,"VOLUME","."&amp;I$2&amp;I$1&amp;"P"&amp;$A27)*RTD("tos.rtd",,"LAST","."&amp;I$2&amp;I$1&amp;"P"&amp;$A27))/1000000),0),IF($A$2="DEX",IFERROR(IF($X$1="ABS",(100*RTD("tos.rtd",,"OPEN_INT","."&amp;I$2&amp;I$1&amp;"C"&amp;$A27)*RTD("tos.rtd",,"DELTA","."&amp;I$2&amp;I$1&amp;"C"&amp;$A27)+100*RTD("tos.rtd",,"OPEN_INT","."&amp;I$2&amp;I$1&amp;"P"&amp;$A27)*RTD("tos.rtd",,"DELTA","."&amp;I$2&amp;I$1&amp;"P"&amp;$A27))/1000,(100*RTD("tos.rtd",,"OPEN_INT","."&amp;I$2&amp;I$1&amp;"C"&amp;$A27)*RTD("tos.rtd",,"DELTA","."&amp;I$2&amp;I$1&amp;"C"&amp;$A27)-100*RTD("tos.rtd",,"OPEN_INT","."&amp;I$2&amp;I$1&amp;"P"&amp;$A27)*RTD("tos.rtd",,"DELTA","."&amp;I$2&amp;I$1&amp;"P"&amp;$A27))/1000),0),IF($A$2="VEX",IFERROR(IF($X$1="ABS",($A$4*$A$4*RTD("tos.rtd",,"VOLUME","."&amp;I$2&amp;I$1&amp;"C"&amp;$A27)*RTD("tos.rtd",,"GAMMA","."&amp;I$2&amp;I$1&amp;"C"&amp;$A27)+$A$4*$A$4*RTD("tos.rtd",,"VOLUME","."&amp;I$2&amp;I$1&amp;"P"&amp;$A27)*RTD("tos.rtd",,"GAMMA","."&amp;I$2&amp;I$1&amp;"P"&amp;$A27))/1000000,($A$4*$A$4*RTD("tos.rtd",,"VOLUME","."&amp;I$2&amp;I$1&amp;"C"&amp;$A27)*RTD("tos.rtd",,"GAMMA","."&amp;I$2&amp;I$1&amp;"C"&amp;$A27)-$A$4*$A$4*RTD("tos.rtd",,"VOLUME","."&amp;I$2&amp;I$1&amp;"P"&amp;$A27)*RTD("tos.rtd",,"GAMMA","."&amp;I$2&amp;I$1&amp;"P"&amp;$A27))/1000000),0),IF($A$2="GEX",IFERROR(IF($X$1="ABS",($A$4*$A$4*RTD("tos.rtd",,"OPEN_INT","."&amp;I$2&amp;I$1&amp;"C"&amp;$A27)*RTD("tos.rtd",,"GAMMA","."&amp;I$2&amp;I$1&amp;"C"&amp;$A27)+$A$4*$A$4*RTD("tos.rtd",,"OPEN_INT","."&amp;I$2&amp;I$1&amp;"P"&amp;$A27)*RTD("tos.rtd",,"GAMMA","."&amp;I$2&amp;I$1&amp;"P"&amp;$A27))/1000000,($A$4*$A$4*RTD("tos.rtd",,"OPEN_INT","."&amp;I$2&amp;I$1&amp;"C"&amp;$A27)*RTD("tos.rtd",,"GAMMA","."&amp;I$2&amp;I$1&amp;"C"&amp;$A27)-$A$4*$A$4*RTD("tos.rtd",,"OPEN_INT","."&amp;I$2&amp;I$1&amp;"P"&amp;$A27)*RTD("tos.rtd",,"GAMMA","."&amp;I$2&amp;I$1&amp;"P"&amp;$A27))/1000000),0),IF($A$2="SKEW",IFERROR(VALUE(IF(RTD("tos.rtd",,"IMPL_VOL","."&amp;I$2&amp;I$1&amp;"P"&amp;$A27)="N/A",0,RTD("tos.rtd",,"IMPL_VOL","."&amp;I$2&amp;I$1&amp;"P"&amp;$A27))),0)-IFERROR(VALUE(IF(RTD("tos.rtd",,"IMPL_VOL","."&amp;I$2&amp;I$1&amp;"C"&amp;$A27)="N/A",0,RTD("tos.rtd",,"IMPL_VOL","."&amp;I$2&amp;I$1&amp;"C"&amp;$A27))),0),IF($A$2="MAXPAIN",IF($A$4&gt;$A27,($A$4-$A27)*IF(RTD("tos.rtd",,"OPEN_INT","."&amp;I$2&amp;I$1&amp;"C"&amp;$A27)="N/A",0,RTD("tos.rtd",,"OPEN_INT","."&amp;I$2&amp;I$1&amp;"C"&amp;$A27)),0)+IF($A$4&lt;$A27,($A$5-$A$4)*IF(RTD("tos.rtd",,"OPEN_INT","."&amp;I$2&amp;I$1&amp;"P"&amp;$A27)="N/A",0,RTD("tos.rtd",,"OPEN_INT","."&amp;I$2&amp;I$1&amp;"P"&amp;$A27)),0),IF($X$1="ABS",IF(RTD("tos.rtd",,$A$2,"."&amp;I$2&amp;I$1&amp;"C"&amp;$A27)="N/A",0,RTD("tos.rtd",,$A$2,"."&amp;I$2&amp;I$1&amp;"C"&amp;$A27))+IF(RTD("tos.rtd",,$A$2,"."&amp;I$2&amp;I$1&amp;"P"&amp;$A27)="N/A",0,RTD("tos.rtd",,$A$2,"."&amp;I$2&amp;I$1&amp;"P"&amp;$A27)),IF(RTD("tos.rtd",,$A$2,"."&amp;I$2&amp;I$1&amp;"C"&amp;$A27)="N/A",0,RTD("tos.rtd",,$A$2,"."&amp;I$2&amp;I$1&amp;"C"&amp;$A27))-IF(RTD("tos.rtd",,$A$2,"."&amp;I$2&amp;I$1&amp;"P"&amp;$A27)="N/A",0,RTD("tos.rtd",,$A$2,"."&amp;I$2&amp;I$1&amp;"P"&amp;$A27))))))))))</f>
        <v>-52</v>
      </c>
      <c r="J27" s="12">
        <f ca="1">IF($A$2="PREMIUM_OI",IFERROR(IF($X$1="ABS",(100*RTD("tos.rtd",,"OPEN_INT","."&amp;J$2&amp;J$1&amp;"C"&amp;$A27)*RTD("tos.rtd",,"LAST","."&amp;J$2&amp;J$1&amp;"C"&amp;$A27)+100*RTD("tos.rtd",,"OPEN_INT","."&amp;J$2&amp;J$1&amp;"P"&amp;$A27)*RTD("tos.rtd",,"LAST","."&amp;J$2&amp;J$1&amp;"P"&amp;$A27))/1000000,(100*RTD("tos.rtd",,"OPEN_INT","."&amp;J$2&amp;J$1&amp;"C"&amp;$A27)*RTD("tos.rtd",,"LAST","."&amp;J$2&amp;J$1&amp;"C"&amp;$A27)-100*RTD("tos.rtd",,"OPEN_INT","."&amp;J$2&amp;J$1&amp;"P"&amp;$A27)*RTD("tos.rtd",,"LAST","."&amp;J$2&amp;J$1&amp;"P"&amp;$A27))/1000000),0),IF($A$2="PREMIUM",IFERROR(IF($X$1="ABS",(100*RTD("tos.rtd",,"VOLUME","."&amp;J$2&amp;J$1&amp;"C"&amp;$A27)*RTD("tos.rtd",,"LAST","."&amp;J$2&amp;J$1&amp;"C"&amp;$A27)+100*RTD("tos.rtd",,"VOLUME","."&amp;J$2&amp;J$1&amp;"P"&amp;$A27)*RTD("tos.rtd",,"LAST","."&amp;J$2&amp;J$1&amp;"P"&amp;$A27))/1000000,(100*RTD("tos.rtd",,"VOLUME","."&amp;J$2&amp;J$1&amp;"C"&amp;$A27)*RTD("tos.rtd",,"LAST","."&amp;J$2&amp;J$1&amp;"C"&amp;$A27)-100*RTD("tos.rtd",,"VOLUME","."&amp;J$2&amp;J$1&amp;"P"&amp;$A27)*RTD("tos.rtd",,"LAST","."&amp;J$2&amp;J$1&amp;"P"&amp;$A27))/1000000),0),IF($A$2="DEX",IFERROR(IF($X$1="ABS",(100*RTD("tos.rtd",,"OPEN_INT","."&amp;J$2&amp;J$1&amp;"C"&amp;$A27)*RTD("tos.rtd",,"DELTA","."&amp;J$2&amp;J$1&amp;"C"&amp;$A27)+100*RTD("tos.rtd",,"OPEN_INT","."&amp;J$2&amp;J$1&amp;"P"&amp;$A27)*RTD("tos.rtd",,"DELTA","."&amp;J$2&amp;J$1&amp;"P"&amp;$A27))/1000,(100*RTD("tos.rtd",,"OPEN_INT","."&amp;J$2&amp;J$1&amp;"C"&amp;$A27)*RTD("tos.rtd",,"DELTA","."&amp;J$2&amp;J$1&amp;"C"&amp;$A27)-100*RTD("tos.rtd",,"OPEN_INT","."&amp;J$2&amp;J$1&amp;"P"&amp;$A27)*RTD("tos.rtd",,"DELTA","."&amp;J$2&amp;J$1&amp;"P"&amp;$A27))/1000),0),IF($A$2="VEX",IFERROR(IF($X$1="ABS",($A$4*$A$4*RTD("tos.rtd",,"VOLUME","."&amp;J$2&amp;J$1&amp;"C"&amp;$A27)*RTD("tos.rtd",,"GAMMA","."&amp;J$2&amp;J$1&amp;"C"&amp;$A27)+$A$4*$A$4*RTD("tos.rtd",,"VOLUME","."&amp;J$2&amp;J$1&amp;"P"&amp;$A27)*RTD("tos.rtd",,"GAMMA","."&amp;J$2&amp;J$1&amp;"P"&amp;$A27))/1000000,($A$4*$A$4*RTD("tos.rtd",,"VOLUME","."&amp;J$2&amp;J$1&amp;"C"&amp;$A27)*RTD("tos.rtd",,"GAMMA","."&amp;J$2&amp;J$1&amp;"C"&amp;$A27)-$A$4*$A$4*RTD("tos.rtd",,"VOLUME","."&amp;J$2&amp;J$1&amp;"P"&amp;$A27)*RTD("tos.rtd",,"GAMMA","."&amp;J$2&amp;J$1&amp;"P"&amp;$A27))/1000000),0),IF($A$2="GEX",IFERROR(IF($X$1="ABS",($A$4*$A$4*RTD("tos.rtd",,"OPEN_INT","."&amp;J$2&amp;J$1&amp;"C"&amp;$A27)*RTD("tos.rtd",,"GAMMA","."&amp;J$2&amp;J$1&amp;"C"&amp;$A27)+$A$4*$A$4*RTD("tos.rtd",,"OPEN_INT","."&amp;J$2&amp;J$1&amp;"P"&amp;$A27)*RTD("tos.rtd",,"GAMMA","."&amp;J$2&amp;J$1&amp;"P"&amp;$A27))/1000000,($A$4*$A$4*RTD("tos.rtd",,"OPEN_INT","."&amp;J$2&amp;J$1&amp;"C"&amp;$A27)*RTD("tos.rtd",,"GAMMA","."&amp;J$2&amp;J$1&amp;"C"&amp;$A27)-$A$4*$A$4*RTD("tos.rtd",,"OPEN_INT","."&amp;J$2&amp;J$1&amp;"P"&amp;$A27)*RTD("tos.rtd",,"GAMMA","."&amp;J$2&amp;J$1&amp;"P"&amp;$A27))/1000000),0),IF($A$2="SKEW",IFERROR(VALUE(IF(RTD("tos.rtd",,"IMPL_VOL","."&amp;J$2&amp;J$1&amp;"P"&amp;$A27)="N/A",0,RTD("tos.rtd",,"IMPL_VOL","."&amp;J$2&amp;J$1&amp;"P"&amp;$A27))),0)-IFERROR(VALUE(IF(RTD("tos.rtd",,"IMPL_VOL","."&amp;J$2&amp;J$1&amp;"C"&amp;$A27)="N/A",0,RTD("tos.rtd",,"IMPL_VOL","."&amp;J$2&amp;J$1&amp;"C"&amp;$A27))),0),IF($A$2="MAXPAIN",IF($A$4&gt;$A27,($A$4-$A27)*IF(RTD("tos.rtd",,"OPEN_INT","."&amp;J$2&amp;J$1&amp;"C"&amp;$A27)="N/A",0,RTD("tos.rtd",,"OPEN_INT","."&amp;J$2&amp;J$1&amp;"C"&amp;$A27)),0)+IF($A$4&lt;$A27,($A$5-$A$4)*IF(RTD("tos.rtd",,"OPEN_INT","."&amp;J$2&amp;J$1&amp;"P"&amp;$A27)="N/A",0,RTD("tos.rtd",,"OPEN_INT","."&amp;J$2&amp;J$1&amp;"P"&amp;$A27)),0),IF($X$1="ABS",IF(RTD("tos.rtd",,$A$2,"."&amp;J$2&amp;J$1&amp;"C"&amp;$A27)="N/A",0,RTD("tos.rtd",,$A$2,"."&amp;J$2&amp;J$1&amp;"C"&amp;$A27))+IF(RTD("tos.rtd",,$A$2,"."&amp;J$2&amp;J$1&amp;"P"&amp;$A27)="N/A",0,RTD("tos.rtd",,$A$2,"."&amp;J$2&amp;J$1&amp;"P"&amp;$A27)),IF(RTD("tos.rtd",,$A$2,"."&amp;J$2&amp;J$1&amp;"C"&amp;$A27)="N/A",0,RTD("tos.rtd",,$A$2,"."&amp;J$2&amp;J$1&amp;"C"&amp;$A27))-IF(RTD("tos.rtd",,$A$2,"."&amp;J$2&amp;J$1&amp;"P"&amp;$A27)="N/A",0,RTD("tos.rtd",,$A$2,"."&amp;J$2&amp;J$1&amp;"P"&amp;$A27))))))))))</f>
        <v>0</v>
      </c>
      <c r="K27" s="12">
        <f ca="1">IF($A$2="PREMIUM_OI",IFERROR(IF($X$1="ABS",(100*RTD("tos.rtd",,"OPEN_INT","."&amp;K$2&amp;K$1&amp;"C"&amp;$A27)*RTD("tos.rtd",,"LAST","."&amp;K$2&amp;K$1&amp;"C"&amp;$A27)+100*RTD("tos.rtd",,"OPEN_INT","."&amp;K$2&amp;K$1&amp;"P"&amp;$A27)*RTD("tos.rtd",,"LAST","."&amp;K$2&amp;K$1&amp;"P"&amp;$A27))/1000000,(100*RTD("tos.rtd",,"OPEN_INT","."&amp;K$2&amp;K$1&amp;"C"&amp;$A27)*RTD("tos.rtd",,"LAST","."&amp;K$2&amp;K$1&amp;"C"&amp;$A27)-100*RTD("tos.rtd",,"OPEN_INT","."&amp;K$2&amp;K$1&amp;"P"&amp;$A27)*RTD("tos.rtd",,"LAST","."&amp;K$2&amp;K$1&amp;"P"&amp;$A27))/1000000),0),IF($A$2="PREMIUM",IFERROR(IF($X$1="ABS",(100*RTD("tos.rtd",,"VOLUME","."&amp;K$2&amp;K$1&amp;"C"&amp;$A27)*RTD("tos.rtd",,"LAST","."&amp;K$2&amp;K$1&amp;"C"&amp;$A27)+100*RTD("tos.rtd",,"VOLUME","."&amp;K$2&amp;K$1&amp;"P"&amp;$A27)*RTD("tos.rtd",,"LAST","."&amp;K$2&amp;K$1&amp;"P"&amp;$A27))/1000000,(100*RTD("tos.rtd",,"VOLUME","."&amp;K$2&amp;K$1&amp;"C"&amp;$A27)*RTD("tos.rtd",,"LAST","."&amp;K$2&amp;K$1&amp;"C"&amp;$A27)-100*RTD("tos.rtd",,"VOLUME","."&amp;K$2&amp;K$1&amp;"P"&amp;$A27)*RTD("tos.rtd",,"LAST","."&amp;K$2&amp;K$1&amp;"P"&amp;$A27))/1000000),0),IF($A$2="DEX",IFERROR(IF($X$1="ABS",(100*RTD("tos.rtd",,"OPEN_INT","."&amp;K$2&amp;K$1&amp;"C"&amp;$A27)*RTD("tos.rtd",,"DELTA","."&amp;K$2&amp;K$1&amp;"C"&amp;$A27)+100*RTD("tos.rtd",,"OPEN_INT","."&amp;K$2&amp;K$1&amp;"P"&amp;$A27)*RTD("tos.rtd",,"DELTA","."&amp;K$2&amp;K$1&amp;"P"&amp;$A27))/1000,(100*RTD("tos.rtd",,"OPEN_INT","."&amp;K$2&amp;K$1&amp;"C"&amp;$A27)*RTD("tos.rtd",,"DELTA","."&amp;K$2&amp;K$1&amp;"C"&amp;$A27)-100*RTD("tos.rtd",,"OPEN_INT","."&amp;K$2&amp;K$1&amp;"P"&amp;$A27)*RTD("tos.rtd",,"DELTA","."&amp;K$2&amp;K$1&amp;"P"&amp;$A27))/1000),0),IF($A$2="VEX",IFERROR(IF($X$1="ABS",($A$4*$A$4*RTD("tos.rtd",,"VOLUME","."&amp;K$2&amp;K$1&amp;"C"&amp;$A27)*RTD("tos.rtd",,"GAMMA","."&amp;K$2&amp;K$1&amp;"C"&amp;$A27)+$A$4*$A$4*RTD("tos.rtd",,"VOLUME","."&amp;K$2&amp;K$1&amp;"P"&amp;$A27)*RTD("tos.rtd",,"GAMMA","."&amp;K$2&amp;K$1&amp;"P"&amp;$A27))/1000000,($A$4*$A$4*RTD("tos.rtd",,"VOLUME","."&amp;K$2&amp;K$1&amp;"C"&amp;$A27)*RTD("tos.rtd",,"GAMMA","."&amp;K$2&amp;K$1&amp;"C"&amp;$A27)-$A$4*$A$4*RTD("tos.rtd",,"VOLUME","."&amp;K$2&amp;K$1&amp;"P"&amp;$A27)*RTD("tos.rtd",,"GAMMA","."&amp;K$2&amp;K$1&amp;"P"&amp;$A27))/1000000),0),IF($A$2="GEX",IFERROR(IF($X$1="ABS",($A$4*$A$4*RTD("tos.rtd",,"OPEN_INT","."&amp;K$2&amp;K$1&amp;"C"&amp;$A27)*RTD("tos.rtd",,"GAMMA","."&amp;K$2&amp;K$1&amp;"C"&amp;$A27)+$A$4*$A$4*RTD("tos.rtd",,"OPEN_INT","."&amp;K$2&amp;K$1&amp;"P"&amp;$A27)*RTD("tos.rtd",,"GAMMA","."&amp;K$2&amp;K$1&amp;"P"&amp;$A27))/1000000,($A$4*$A$4*RTD("tos.rtd",,"OPEN_INT","."&amp;K$2&amp;K$1&amp;"C"&amp;$A27)*RTD("tos.rtd",,"GAMMA","."&amp;K$2&amp;K$1&amp;"C"&amp;$A27)-$A$4*$A$4*RTD("tos.rtd",,"OPEN_INT","."&amp;K$2&amp;K$1&amp;"P"&amp;$A27)*RTD("tos.rtd",,"GAMMA","."&amp;K$2&amp;K$1&amp;"P"&amp;$A27))/1000000),0),IF($A$2="SKEW",IFERROR(VALUE(IF(RTD("tos.rtd",,"IMPL_VOL","."&amp;K$2&amp;K$1&amp;"P"&amp;$A27)="N/A",0,RTD("tos.rtd",,"IMPL_VOL","."&amp;K$2&amp;K$1&amp;"P"&amp;$A27))),0)-IFERROR(VALUE(IF(RTD("tos.rtd",,"IMPL_VOL","."&amp;K$2&amp;K$1&amp;"C"&amp;$A27)="N/A",0,RTD("tos.rtd",,"IMPL_VOL","."&amp;K$2&amp;K$1&amp;"C"&amp;$A27))),0),IF($A$2="MAXPAIN",IF($A$4&gt;$A27,($A$4-$A27)*IF(RTD("tos.rtd",,"OPEN_INT","."&amp;K$2&amp;K$1&amp;"C"&amp;$A27)="N/A",0,RTD("tos.rtd",,"OPEN_INT","."&amp;K$2&amp;K$1&amp;"C"&amp;$A27)),0)+IF($A$4&lt;$A27,($A$5-$A$4)*IF(RTD("tos.rtd",,"OPEN_INT","."&amp;K$2&amp;K$1&amp;"P"&amp;$A27)="N/A",0,RTD("tos.rtd",,"OPEN_INT","."&amp;K$2&amp;K$1&amp;"P"&amp;$A27)),0),IF($X$1="ABS",IF(RTD("tos.rtd",,$A$2,"."&amp;K$2&amp;K$1&amp;"C"&amp;$A27)="N/A",0,RTD("tos.rtd",,$A$2,"."&amp;K$2&amp;K$1&amp;"C"&amp;$A27))+IF(RTD("tos.rtd",,$A$2,"."&amp;K$2&amp;K$1&amp;"P"&amp;$A27)="N/A",0,RTD("tos.rtd",,$A$2,"."&amp;K$2&amp;K$1&amp;"P"&amp;$A27)),IF(RTD("tos.rtd",,$A$2,"."&amp;K$2&amp;K$1&amp;"C"&amp;$A27)="N/A",0,RTD("tos.rtd",,$A$2,"."&amp;K$2&amp;K$1&amp;"C"&amp;$A27))-IF(RTD("tos.rtd",,$A$2,"."&amp;K$2&amp;K$1&amp;"P"&amp;$A27)="N/A",0,RTD("tos.rtd",,$A$2,"."&amp;K$2&amp;K$1&amp;"P"&amp;$A27))))))))))</f>
        <v>0</v>
      </c>
      <c r="L27" s="54">
        <f ca="1">IF($A$2="PREMIUM_OI",IFERROR(IF($X$1="ABS",(100*RTD("tos.rtd",,"OPEN_INT","."&amp;L$2&amp;L$1&amp;"C"&amp;$A27)*RTD("tos.rtd",,"LAST","."&amp;L$2&amp;L$1&amp;"C"&amp;$A27)+100*RTD("tos.rtd",,"OPEN_INT","."&amp;L$2&amp;L$1&amp;"P"&amp;$A27)*RTD("tos.rtd",,"LAST","."&amp;L$2&amp;L$1&amp;"P"&amp;$A27))/1000000,(100*RTD("tos.rtd",,"OPEN_INT","."&amp;L$2&amp;L$1&amp;"C"&amp;$A27)*RTD("tos.rtd",,"LAST","."&amp;L$2&amp;L$1&amp;"C"&amp;$A27)-100*RTD("tos.rtd",,"OPEN_INT","."&amp;L$2&amp;L$1&amp;"P"&amp;$A27)*RTD("tos.rtd",,"LAST","."&amp;L$2&amp;L$1&amp;"P"&amp;$A27))/1000000),0),IF($A$2="PREMIUM",IFERROR(IF($X$1="ABS",(100*RTD("tos.rtd",,"VOLUME","."&amp;L$2&amp;L$1&amp;"C"&amp;$A27)*RTD("tos.rtd",,"LAST","."&amp;L$2&amp;L$1&amp;"C"&amp;$A27)+100*RTD("tos.rtd",,"VOLUME","."&amp;L$2&amp;L$1&amp;"P"&amp;$A27)*RTD("tos.rtd",,"LAST","."&amp;L$2&amp;L$1&amp;"P"&amp;$A27))/1000000,(100*RTD("tos.rtd",,"VOLUME","."&amp;L$2&amp;L$1&amp;"C"&amp;$A27)*RTD("tos.rtd",,"LAST","."&amp;L$2&amp;L$1&amp;"C"&amp;$A27)-100*RTD("tos.rtd",,"VOLUME","."&amp;L$2&amp;L$1&amp;"P"&amp;$A27)*RTD("tos.rtd",,"LAST","."&amp;L$2&amp;L$1&amp;"P"&amp;$A27))/1000000),0),IF($A$2="DEX",IFERROR(IF($X$1="ABS",(100*RTD("tos.rtd",,"OPEN_INT","."&amp;L$2&amp;L$1&amp;"C"&amp;$A27)*RTD("tos.rtd",,"DELTA","."&amp;L$2&amp;L$1&amp;"C"&amp;$A27)+100*RTD("tos.rtd",,"OPEN_INT","."&amp;L$2&amp;L$1&amp;"P"&amp;$A27)*RTD("tos.rtd",,"DELTA","."&amp;L$2&amp;L$1&amp;"P"&amp;$A27))/1000,(100*RTD("tos.rtd",,"OPEN_INT","."&amp;L$2&amp;L$1&amp;"C"&amp;$A27)*RTD("tos.rtd",,"DELTA","."&amp;L$2&amp;L$1&amp;"C"&amp;$A27)-100*RTD("tos.rtd",,"OPEN_INT","."&amp;L$2&amp;L$1&amp;"P"&amp;$A27)*RTD("tos.rtd",,"DELTA","."&amp;L$2&amp;L$1&amp;"P"&amp;$A27))/1000),0),IF($A$2="VEX",IFERROR(IF($X$1="ABS",($A$4*$A$4*RTD("tos.rtd",,"VOLUME","."&amp;L$2&amp;L$1&amp;"C"&amp;$A27)*RTD("tos.rtd",,"GAMMA","."&amp;L$2&amp;L$1&amp;"C"&amp;$A27)+$A$4*$A$4*RTD("tos.rtd",,"VOLUME","."&amp;L$2&amp;L$1&amp;"P"&amp;$A27)*RTD("tos.rtd",,"GAMMA","."&amp;L$2&amp;L$1&amp;"P"&amp;$A27))/1000000,($A$4*$A$4*RTD("tos.rtd",,"VOLUME","."&amp;L$2&amp;L$1&amp;"C"&amp;$A27)*RTD("tos.rtd",,"GAMMA","."&amp;L$2&amp;L$1&amp;"C"&amp;$A27)-$A$4*$A$4*RTD("tos.rtd",,"VOLUME","."&amp;L$2&amp;L$1&amp;"P"&amp;$A27)*RTD("tos.rtd",,"GAMMA","."&amp;L$2&amp;L$1&amp;"P"&amp;$A27))/1000000),0),IF($A$2="GEX",IFERROR(IF($X$1="ABS",($A$4*$A$4*RTD("tos.rtd",,"OPEN_INT","."&amp;L$2&amp;L$1&amp;"C"&amp;$A27)*RTD("tos.rtd",,"GAMMA","."&amp;L$2&amp;L$1&amp;"C"&amp;$A27)+$A$4*$A$4*RTD("tos.rtd",,"OPEN_INT","."&amp;L$2&amp;L$1&amp;"P"&amp;$A27)*RTD("tos.rtd",,"GAMMA","."&amp;L$2&amp;L$1&amp;"P"&amp;$A27))/1000000,($A$4*$A$4*RTD("tos.rtd",,"OPEN_INT","."&amp;L$2&amp;L$1&amp;"C"&amp;$A27)*RTD("tos.rtd",,"GAMMA","."&amp;L$2&amp;L$1&amp;"C"&amp;$A27)-$A$4*$A$4*RTD("tos.rtd",,"OPEN_INT","."&amp;L$2&amp;L$1&amp;"P"&amp;$A27)*RTD("tos.rtd",,"GAMMA","."&amp;L$2&amp;L$1&amp;"P"&amp;$A27))/1000000),0),IF($A$2="SKEW",IFERROR(VALUE(IF(RTD("tos.rtd",,"IMPL_VOL","."&amp;L$2&amp;L$1&amp;"P"&amp;$A27)="N/A",0,RTD("tos.rtd",,"IMPL_VOL","."&amp;L$2&amp;L$1&amp;"P"&amp;$A27))),0)-IFERROR(VALUE(IF(RTD("tos.rtd",,"IMPL_VOL","."&amp;L$2&amp;L$1&amp;"C"&amp;$A27)="N/A",0,RTD("tos.rtd",,"IMPL_VOL","."&amp;L$2&amp;L$1&amp;"C"&amp;$A27))),0),IF($A$2="MAXPAIN",IF($A$4&gt;$A27,($A$4-$A27)*IF(RTD("tos.rtd",,"OPEN_INT","."&amp;L$2&amp;L$1&amp;"C"&amp;$A27)="N/A",0,RTD("tos.rtd",,"OPEN_INT","."&amp;L$2&amp;L$1&amp;"C"&amp;$A27)),0)+IF($A$4&lt;$A27,($A$5-$A$4)*IF(RTD("tos.rtd",,"OPEN_INT","."&amp;L$2&amp;L$1&amp;"P"&amp;$A27)="N/A",0,RTD("tos.rtd",,"OPEN_INT","."&amp;L$2&amp;L$1&amp;"P"&amp;$A27)),0),IF($X$1="ABS",IF(RTD("tos.rtd",,$A$2,"."&amp;L$2&amp;L$1&amp;"C"&amp;$A27)="N/A",0,RTD("tos.rtd",,$A$2,"."&amp;L$2&amp;L$1&amp;"C"&amp;$A27))+IF(RTD("tos.rtd",,$A$2,"."&amp;L$2&amp;L$1&amp;"P"&amp;$A27)="N/A",0,RTD("tos.rtd",,$A$2,"."&amp;L$2&amp;L$1&amp;"P"&amp;$A27)),IF(RTD("tos.rtd",,$A$2,"."&amp;L$2&amp;L$1&amp;"C"&amp;$A27)="N/A",0,RTD("tos.rtd",,$A$2,"."&amp;L$2&amp;L$1&amp;"C"&amp;$A27))-IF(RTD("tos.rtd",,$A$2,"."&amp;L$2&amp;L$1&amp;"P"&amp;$A27)="N/A",0,RTD("tos.rtd",,$A$2,"."&amp;L$2&amp;L$1&amp;"P"&amp;$A27))))))))))</f>
        <v>0</v>
      </c>
      <c r="M27" s="12">
        <f ca="1">IF($A$2="PREMIUM_OI",IFERROR(IF($X$1="ABS",(100*RTD("tos.rtd",,"OPEN_INT","."&amp;M$2&amp;M$1&amp;"C"&amp;$A27)*RTD("tos.rtd",,"LAST","."&amp;M$2&amp;M$1&amp;"C"&amp;$A27)+100*RTD("tos.rtd",,"OPEN_INT","."&amp;M$2&amp;M$1&amp;"P"&amp;$A27)*RTD("tos.rtd",,"LAST","."&amp;M$2&amp;M$1&amp;"P"&amp;$A27))/1000000,(100*RTD("tos.rtd",,"OPEN_INT","."&amp;M$2&amp;M$1&amp;"C"&amp;$A27)*RTD("tos.rtd",,"LAST","."&amp;M$2&amp;M$1&amp;"C"&amp;$A27)-100*RTD("tos.rtd",,"OPEN_INT","."&amp;M$2&amp;M$1&amp;"P"&amp;$A27)*RTD("tos.rtd",,"LAST","."&amp;M$2&amp;M$1&amp;"P"&amp;$A27))/1000000),0),IF($A$2="PREMIUM",IFERROR(IF($X$1="ABS",(100*RTD("tos.rtd",,"VOLUME","."&amp;M$2&amp;M$1&amp;"C"&amp;$A27)*RTD("tos.rtd",,"LAST","."&amp;M$2&amp;M$1&amp;"C"&amp;$A27)+100*RTD("tos.rtd",,"VOLUME","."&amp;M$2&amp;M$1&amp;"P"&amp;$A27)*RTD("tos.rtd",,"LAST","."&amp;M$2&amp;M$1&amp;"P"&amp;$A27))/1000000,(100*RTD("tos.rtd",,"VOLUME","."&amp;M$2&amp;M$1&amp;"C"&amp;$A27)*RTD("tos.rtd",,"LAST","."&amp;M$2&amp;M$1&amp;"C"&amp;$A27)-100*RTD("tos.rtd",,"VOLUME","."&amp;M$2&amp;M$1&amp;"P"&amp;$A27)*RTD("tos.rtd",,"LAST","."&amp;M$2&amp;M$1&amp;"P"&amp;$A27))/1000000),0),IF($A$2="DEX",IFERROR(IF($X$1="ABS",(100*RTD("tos.rtd",,"OPEN_INT","."&amp;M$2&amp;M$1&amp;"C"&amp;$A27)*RTD("tos.rtd",,"DELTA","."&amp;M$2&amp;M$1&amp;"C"&amp;$A27)+100*RTD("tos.rtd",,"OPEN_INT","."&amp;M$2&amp;M$1&amp;"P"&amp;$A27)*RTD("tos.rtd",,"DELTA","."&amp;M$2&amp;M$1&amp;"P"&amp;$A27))/1000,(100*RTD("tos.rtd",,"OPEN_INT","."&amp;M$2&amp;M$1&amp;"C"&amp;$A27)*RTD("tos.rtd",,"DELTA","."&amp;M$2&amp;M$1&amp;"C"&amp;$A27)-100*RTD("tos.rtd",,"OPEN_INT","."&amp;M$2&amp;M$1&amp;"P"&amp;$A27)*RTD("tos.rtd",,"DELTA","."&amp;M$2&amp;M$1&amp;"P"&amp;$A27))/1000),0),IF($A$2="VEX",IFERROR(IF($X$1="ABS",($A$4*$A$4*RTD("tos.rtd",,"VOLUME","."&amp;M$2&amp;M$1&amp;"C"&amp;$A27)*RTD("tos.rtd",,"GAMMA","."&amp;M$2&amp;M$1&amp;"C"&amp;$A27)+$A$4*$A$4*RTD("tos.rtd",,"VOLUME","."&amp;M$2&amp;M$1&amp;"P"&amp;$A27)*RTD("tos.rtd",,"GAMMA","."&amp;M$2&amp;M$1&amp;"P"&amp;$A27))/1000000,($A$4*$A$4*RTD("tos.rtd",,"VOLUME","."&amp;M$2&amp;M$1&amp;"C"&amp;$A27)*RTD("tos.rtd",,"GAMMA","."&amp;M$2&amp;M$1&amp;"C"&amp;$A27)-$A$4*$A$4*RTD("tos.rtd",,"VOLUME","."&amp;M$2&amp;M$1&amp;"P"&amp;$A27)*RTD("tos.rtd",,"GAMMA","."&amp;M$2&amp;M$1&amp;"P"&amp;$A27))/1000000),0),IF($A$2="GEX",IFERROR(IF($X$1="ABS",($A$4*$A$4*RTD("tos.rtd",,"OPEN_INT","."&amp;M$2&amp;M$1&amp;"C"&amp;$A27)*RTD("tos.rtd",,"GAMMA","."&amp;M$2&amp;M$1&amp;"C"&amp;$A27)+$A$4*$A$4*RTD("tos.rtd",,"OPEN_INT","."&amp;M$2&amp;M$1&amp;"P"&amp;$A27)*RTD("tos.rtd",,"GAMMA","."&amp;M$2&amp;M$1&amp;"P"&amp;$A27))/1000000,($A$4*$A$4*RTD("tos.rtd",,"OPEN_INT","."&amp;M$2&amp;M$1&amp;"C"&amp;$A27)*RTD("tos.rtd",,"GAMMA","."&amp;M$2&amp;M$1&amp;"C"&amp;$A27)-$A$4*$A$4*RTD("tos.rtd",,"OPEN_INT","."&amp;M$2&amp;M$1&amp;"P"&amp;$A27)*RTD("tos.rtd",,"GAMMA","."&amp;M$2&amp;M$1&amp;"P"&amp;$A27))/1000000),0),IF($A$2="SKEW",IFERROR(VALUE(IF(RTD("tos.rtd",,"IMPL_VOL","."&amp;M$2&amp;M$1&amp;"P"&amp;$A27)="N/A",0,RTD("tos.rtd",,"IMPL_VOL","."&amp;M$2&amp;M$1&amp;"P"&amp;$A27))),0)-IFERROR(VALUE(IF(RTD("tos.rtd",,"IMPL_VOL","."&amp;M$2&amp;M$1&amp;"C"&amp;$A27)="N/A",0,RTD("tos.rtd",,"IMPL_VOL","."&amp;M$2&amp;M$1&amp;"C"&amp;$A27))),0),IF($A$2="MAXPAIN",IF($A$4&gt;$A27,($A$4-$A27)*IF(RTD("tos.rtd",,"OPEN_INT","."&amp;M$2&amp;M$1&amp;"C"&amp;$A27)="N/A",0,RTD("tos.rtd",,"OPEN_INT","."&amp;M$2&amp;M$1&amp;"C"&amp;$A27)),0)+IF($A$4&lt;$A27,($A$5-$A$4)*IF(RTD("tos.rtd",,"OPEN_INT","."&amp;M$2&amp;M$1&amp;"P"&amp;$A27)="N/A",0,RTD("tos.rtd",,"OPEN_INT","."&amp;M$2&amp;M$1&amp;"P"&amp;$A27)),0),IF($X$1="ABS",IF(RTD("tos.rtd",,$A$2,"."&amp;M$2&amp;M$1&amp;"C"&amp;$A27)="N/A",0,RTD("tos.rtd",,$A$2,"."&amp;M$2&amp;M$1&amp;"C"&amp;$A27))+IF(RTD("tos.rtd",,$A$2,"."&amp;M$2&amp;M$1&amp;"P"&amp;$A27)="N/A",0,RTD("tos.rtd",,$A$2,"."&amp;M$2&amp;M$1&amp;"P"&amp;$A27)),IF(RTD("tos.rtd",,$A$2,"."&amp;M$2&amp;M$1&amp;"C"&amp;$A27)="N/A",0,RTD("tos.rtd",,$A$2,"."&amp;M$2&amp;M$1&amp;"C"&amp;$A27))-IF(RTD("tos.rtd",,$A$2,"."&amp;M$2&amp;M$1&amp;"P"&amp;$A27)="N/A",0,RTD("tos.rtd",,$A$2,"."&amp;M$2&amp;M$1&amp;"P"&amp;$A27))))))))))</f>
        <v>0</v>
      </c>
      <c r="N27" s="12">
        <f ca="1">IF($A$2="PREMIUM_OI",IFERROR(IF($X$1="ABS",(100*RTD("tos.rtd",,"OPEN_INT","."&amp;N$2&amp;N$1&amp;"C"&amp;$A27)*RTD("tos.rtd",,"LAST","."&amp;N$2&amp;N$1&amp;"C"&amp;$A27)+100*RTD("tos.rtd",,"OPEN_INT","."&amp;N$2&amp;N$1&amp;"P"&amp;$A27)*RTD("tos.rtd",,"LAST","."&amp;N$2&amp;N$1&amp;"P"&amp;$A27))/1000000,(100*RTD("tos.rtd",,"OPEN_INT","."&amp;N$2&amp;N$1&amp;"C"&amp;$A27)*RTD("tos.rtd",,"LAST","."&amp;N$2&amp;N$1&amp;"C"&amp;$A27)-100*RTD("tos.rtd",,"OPEN_INT","."&amp;N$2&amp;N$1&amp;"P"&amp;$A27)*RTD("tos.rtd",,"LAST","."&amp;N$2&amp;N$1&amp;"P"&amp;$A27))/1000000),0),IF($A$2="PREMIUM",IFERROR(IF($X$1="ABS",(100*RTD("tos.rtd",,"VOLUME","."&amp;N$2&amp;N$1&amp;"C"&amp;$A27)*RTD("tos.rtd",,"LAST","."&amp;N$2&amp;N$1&amp;"C"&amp;$A27)+100*RTD("tos.rtd",,"VOLUME","."&amp;N$2&amp;N$1&amp;"P"&amp;$A27)*RTD("tos.rtd",,"LAST","."&amp;N$2&amp;N$1&amp;"P"&amp;$A27))/1000000,(100*RTD("tos.rtd",,"VOLUME","."&amp;N$2&amp;N$1&amp;"C"&amp;$A27)*RTD("tos.rtd",,"LAST","."&amp;N$2&amp;N$1&amp;"C"&amp;$A27)-100*RTD("tos.rtd",,"VOLUME","."&amp;N$2&amp;N$1&amp;"P"&amp;$A27)*RTD("tos.rtd",,"LAST","."&amp;N$2&amp;N$1&amp;"P"&amp;$A27))/1000000),0),IF($A$2="DEX",IFERROR(IF($X$1="ABS",(100*RTD("tos.rtd",,"OPEN_INT","."&amp;N$2&amp;N$1&amp;"C"&amp;$A27)*RTD("tos.rtd",,"DELTA","."&amp;N$2&amp;N$1&amp;"C"&amp;$A27)+100*RTD("tos.rtd",,"OPEN_INT","."&amp;N$2&amp;N$1&amp;"P"&amp;$A27)*RTD("tos.rtd",,"DELTA","."&amp;N$2&amp;N$1&amp;"P"&amp;$A27))/1000,(100*RTD("tos.rtd",,"OPEN_INT","."&amp;N$2&amp;N$1&amp;"C"&amp;$A27)*RTD("tos.rtd",,"DELTA","."&amp;N$2&amp;N$1&amp;"C"&amp;$A27)-100*RTD("tos.rtd",,"OPEN_INT","."&amp;N$2&amp;N$1&amp;"P"&amp;$A27)*RTD("tos.rtd",,"DELTA","."&amp;N$2&amp;N$1&amp;"P"&amp;$A27))/1000),0),IF($A$2="VEX",IFERROR(IF($X$1="ABS",($A$4*$A$4*RTD("tos.rtd",,"VOLUME","."&amp;N$2&amp;N$1&amp;"C"&amp;$A27)*RTD("tos.rtd",,"GAMMA","."&amp;N$2&amp;N$1&amp;"C"&amp;$A27)+$A$4*$A$4*RTD("tos.rtd",,"VOLUME","."&amp;N$2&amp;N$1&amp;"P"&amp;$A27)*RTD("tos.rtd",,"GAMMA","."&amp;N$2&amp;N$1&amp;"P"&amp;$A27))/1000000,($A$4*$A$4*RTD("tos.rtd",,"VOLUME","."&amp;N$2&amp;N$1&amp;"C"&amp;$A27)*RTD("tos.rtd",,"GAMMA","."&amp;N$2&amp;N$1&amp;"C"&amp;$A27)-$A$4*$A$4*RTD("tos.rtd",,"VOLUME","."&amp;N$2&amp;N$1&amp;"P"&amp;$A27)*RTD("tos.rtd",,"GAMMA","."&amp;N$2&amp;N$1&amp;"P"&amp;$A27))/1000000),0),IF($A$2="GEX",IFERROR(IF($X$1="ABS",($A$4*$A$4*RTD("tos.rtd",,"OPEN_INT","."&amp;N$2&amp;N$1&amp;"C"&amp;$A27)*RTD("tos.rtd",,"GAMMA","."&amp;N$2&amp;N$1&amp;"C"&amp;$A27)+$A$4*$A$4*RTD("tos.rtd",,"OPEN_INT","."&amp;N$2&amp;N$1&amp;"P"&amp;$A27)*RTD("tos.rtd",,"GAMMA","."&amp;N$2&amp;N$1&amp;"P"&amp;$A27))/1000000,($A$4*$A$4*RTD("tos.rtd",,"OPEN_INT","."&amp;N$2&amp;N$1&amp;"C"&amp;$A27)*RTD("tos.rtd",,"GAMMA","."&amp;N$2&amp;N$1&amp;"C"&amp;$A27)-$A$4*$A$4*RTD("tos.rtd",,"OPEN_INT","."&amp;N$2&amp;N$1&amp;"P"&amp;$A27)*RTD("tos.rtd",,"GAMMA","."&amp;N$2&amp;N$1&amp;"P"&amp;$A27))/1000000),0),IF($A$2="SKEW",IFERROR(VALUE(IF(RTD("tos.rtd",,"IMPL_VOL","."&amp;N$2&amp;N$1&amp;"P"&amp;$A27)="N/A",0,RTD("tos.rtd",,"IMPL_VOL","."&amp;N$2&amp;N$1&amp;"P"&amp;$A27))),0)-IFERROR(VALUE(IF(RTD("tos.rtd",,"IMPL_VOL","."&amp;N$2&amp;N$1&amp;"C"&amp;$A27)="N/A",0,RTD("tos.rtd",,"IMPL_VOL","."&amp;N$2&amp;N$1&amp;"C"&amp;$A27))),0),IF($A$2="MAXPAIN",IF($A$4&gt;$A27,($A$4-$A27)*IF(RTD("tos.rtd",,"OPEN_INT","."&amp;N$2&amp;N$1&amp;"C"&amp;$A27)="N/A",0,RTD("tos.rtd",,"OPEN_INT","."&amp;N$2&amp;N$1&amp;"C"&amp;$A27)),0)+IF($A$4&lt;$A27,($A$5-$A$4)*IF(RTD("tos.rtd",,"OPEN_INT","."&amp;N$2&amp;N$1&amp;"P"&amp;$A27)="N/A",0,RTD("tos.rtd",,"OPEN_INT","."&amp;N$2&amp;N$1&amp;"P"&amp;$A27)),0),IF($X$1="ABS",IF(RTD("tos.rtd",,$A$2,"."&amp;N$2&amp;N$1&amp;"C"&amp;$A27)="N/A",0,RTD("tos.rtd",,$A$2,"."&amp;N$2&amp;N$1&amp;"C"&amp;$A27))+IF(RTD("tos.rtd",,$A$2,"."&amp;N$2&amp;N$1&amp;"P"&amp;$A27)="N/A",0,RTD("tos.rtd",,$A$2,"."&amp;N$2&amp;N$1&amp;"P"&amp;$A27)),IF(RTD("tos.rtd",,$A$2,"."&amp;N$2&amp;N$1&amp;"C"&amp;$A27)="N/A",0,RTD("tos.rtd",,$A$2,"."&amp;N$2&amp;N$1&amp;"C"&amp;$A27))-IF(RTD("tos.rtd",,$A$2,"."&amp;N$2&amp;N$1&amp;"P"&amp;$A27)="N/A",0,RTD("tos.rtd",,$A$2,"."&amp;N$2&amp;N$1&amp;"P"&amp;$A27))))))))))</f>
        <v>0</v>
      </c>
      <c r="O27" s="12">
        <f ca="1">IF($A$2="PREMIUM_OI",IFERROR(IF($X$1="ABS",(100*RTD("tos.rtd",,"OPEN_INT","."&amp;O$2&amp;O$1&amp;"C"&amp;$A27)*RTD("tos.rtd",,"LAST","."&amp;O$2&amp;O$1&amp;"C"&amp;$A27)+100*RTD("tos.rtd",,"OPEN_INT","."&amp;O$2&amp;O$1&amp;"P"&amp;$A27)*RTD("tos.rtd",,"LAST","."&amp;O$2&amp;O$1&amp;"P"&amp;$A27))/1000000,(100*RTD("tos.rtd",,"OPEN_INT","."&amp;O$2&amp;O$1&amp;"C"&amp;$A27)*RTD("tos.rtd",,"LAST","."&amp;O$2&amp;O$1&amp;"C"&amp;$A27)-100*RTD("tos.rtd",,"OPEN_INT","."&amp;O$2&amp;O$1&amp;"P"&amp;$A27)*RTD("tos.rtd",,"LAST","."&amp;O$2&amp;O$1&amp;"P"&amp;$A27))/1000000),0),IF($A$2="PREMIUM",IFERROR(IF($X$1="ABS",(100*RTD("tos.rtd",,"VOLUME","."&amp;O$2&amp;O$1&amp;"C"&amp;$A27)*RTD("tos.rtd",,"LAST","."&amp;O$2&amp;O$1&amp;"C"&amp;$A27)+100*RTD("tos.rtd",,"VOLUME","."&amp;O$2&amp;O$1&amp;"P"&amp;$A27)*RTD("tos.rtd",,"LAST","."&amp;O$2&amp;O$1&amp;"P"&amp;$A27))/1000000,(100*RTD("tos.rtd",,"VOLUME","."&amp;O$2&amp;O$1&amp;"C"&amp;$A27)*RTD("tos.rtd",,"LAST","."&amp;O$2&amp;O$1&amp;"C"&amp;$A27)-100*RTD("tos.rtd",,"VOLUME","."&amp;O$2&amp;O$1&amp;"P"&amp;$A27)*RTD("tos.rtd",,"LAST","."&amp;O$2&amp;O$1&amp;"P"&amp;$A27))/1000000),0),IF($A$2="DEX",IFERROR(IF($X$1="ABS",(100*RTD("tos.rtd",,"OPEN_INT","."&amp;O$2&amp;O$1&amp;"C"&amp;$A27)*RTD("tos.rtd",,"DELTA","."&amp;O$2&amp;O$1&amp;"C"&amp;$A27)+100*RTD("tos.rtd",,"OPEN_INT","."&amp;O$2&amp;O$1&amp;"P"&amp;$A27)*RTD("tos.rtd",,"DELTA","."&amp;O$2&amp;O$1&amp;"P"&amp;$A27))/1000,(100*RTD("tos.rtd",,"OPEN_INT","."&amp;O$2&amp;O$1&amp;"C"&amp;$A27)*RTD("tos.rtd",,"DELTA","."&amp;O$2&amp;O$1&amp;"C"&amp;$A27)-100*RTD("tos.rtd",,"OPEN_INT","."&amp;O$2&amp;O$1&amp;"P"&amp;$A27)*RTD("tos.rtd",,"DELTA","."&amp;O$2&amp;O$1&amp;"P"&amp;$A27))/1000),0),IF($A$2="VEX",IFERROR(IF($X$1="ABS",($A$4*$A$4*RTD("tos.rtd",,"VOLUME","."&amp;O$2&amp;O$1&amp;"C"&amp;$A27)*RTD("tos.rtd",,"GAMMA","."&amp;O$2&amp;O$1&amp;"C"&amp;$A27)+$A$4*$A$4*RTD("tos.rtd",,"VOLUME","."&amp;O$2&amp;O$1&amp;"P"&amp;$A27)*RTD("tos.rtd",,"GAMMA","."&amp;O$2&amp;O$1&amp;"P"&amp;$A27))/1000000,($A$4*$A$4*RTD("tos.rtd",,"VOLUME","."&amp;O$2&amp;O$1&amp;"C"&amp;$A27)*RTD("tos.rtd",,"GAMMA","."&amp;O$2&amp;O$1&amp;"C"&amp;$A27)-$A$4*$A$4*RTD("tos.rtd",,"VOLUME","."&amp;O$2&amp;O$1&amp;"P"&amp;$A27)*RTD("tos.rtd",,"GAMMA","."&amp;O$2&amp;O$1&amp;"P"&amp;$A27))/1000000),0),IF($A$2="GEX",IFERROR(IF($X$1="ABS",($A$4*$A$4*RTD("tos.rtd",,"OPEN_INT","."&amp;O$2&amp;O$1&amp;"C"&amp;$A27)*RTD("tos.rtd",,"GAMMA","."&amp;O$2&amp;O$1&amp;"C"&amp;$A27)+$A$4*$A$4*RTD("tos.rtd",,"OPEN_INT","."&amp;O$2&amp;O$1&amp;"P"&amp;$A27)*RTD("tos.rtd",,"GAMMA","."&amp;O$2&amp;O$1&amp;"P"&amp;$A27))/1000000,($A$4*$A$4*RTD("tos.rtd",,"OPEN_INT","."&amp;O$2&amp;O$1&amp;"C"&amp;$A27)*RTD("tos.rtd",,"GAMMA","."&amp;O$2&amp;O$1&amp;"C"&amp;$A27)-$A$4*$A$4*RTD("tos.rtd",,"OPEN_INT","."&amp;O$2&amp;O$1&amp;"P"&amp;$A27)*RTD("tos.rtd",,"GAMMA","."&amp;O$2&amp;O$1&amp;"P"&amp;$A27))/1000000),0),IF($A$2="SKEW",IFERROR(VALUE(IF(RTD("tos.rtd",,"IMPL_VOL","."&amp;O$2&amp;O$1&amp;"P"&amp;$A27)="N/A",0,RTD("tos.rtd",,"IMPL_VOL","."&amp;O$2&amp;O$1&amp;"P"&amp;$A27))),0)-IFERROR(VALUE(IF(RTD("tos.rtd",,"IMPL_VOL","."&amp;O$2&amp;O$1&amp;"C"&amp;$A27)="N/A",0,RTD("tos.rtd",,"IMPL_VOL","."&amp;O$2&amp;O$1&amp;"C"&amp;$A27))),0),IF($A$2="MAXPAIN",IF($A$4&gt;$A27,($A$4-$A27)*IF(RTD("tos.rtd",,"OPEN_INT","."&amp;O$2&amp;O$1&amp;"C"&amp;$A27)="N/A",0,RTD("tos.rtd",,"OPEN_INT","."&amp;O$2&amp;O$1&amp;"C"&amp;$A27)),0)+IF($A$4&lt;$A27,($A$5-$A$4)*IF(RTD("tos.rtd",,"OPEN_INT","."&amp;O$2&amp;O$1&amp;"P"&amp;$A27)="N/A",0,RTD("tos.rtd",,"OPEN_INT","."&amp;O$2&amp;O$1&amp;"P"&amp;$A27)),0),IF($X$1="ABS",IF(RTD("tos.rtd",,$A$2,"."&amp;O$2&amp;O$1&amp;"C"&amp;$A27)="N/A",0,RTD("tos.rtd",,$A$2,"."&amp;O$2&amp;O$1&amp;"C"&amp;$A27))+IF(RTD("tos.rtd",,$A$2,"."&amp;O$2&amp;O$1&amp;"P"&amp;$A27)="N/A",0,RTD("tos.rtd",,$A$2,"."&amp;O$2&amp;O$1&amp;"P"&amp;$A27)),IF(RTD("tos.rtd",,$A$2,"."&amp;O$2&amp;O$1&amp;"C"&amp;$A27)="N/A",0,RTD("tos.rtd",,$A$2,"."&amp;O$2&amp;O$1&amp;"C"&amp;$A27))-IF(RTD("tos.rtd",,$A$2,"."&amp;O$2&amp;O$1&amp;"P"&amp;$A27)="N/A",0,RTD("tos.rtd",,$A$2,"."&amp;O$2&amp;O$1&amp;"P"&amp;$A27))))))))))</f>
        <v>0</v>
      </c>
      <c r="P27" s="12">
        <f ca="1">IF($A$2="PREMIUM_OI",IFERROR(IF($X$1="ABS",(100*RTD("tos.rtd",,"OPEN_INT","."&amp;P$2&amp;P$1&amp;"C"&amp;$A27)*RTD("tos.rtd",,"LAST","."&amp;P$2&amp;P$1&amp;"C"&amp;$A27)+100*RTD("tos.rtd",,"OPEN_INT","."&amp;P$2&amp;P$1&amp;"P"&amp;$A27)*RTD("tos.rtd",,"LAST","."&amp;P$2&amp;P$1&amp;"P"&amp;$A27))/1000000,(100*RTD("tos.rtd",,"OPEN_INT","."&amp;P$2&amp;P$1&amp;"C"&amp;$A27)*RTD("tos.rtd",,"LAST","."&amp;P$2&amp;P$1&amp;"C"&amp;$A27)-100*RTD("tos.rtd",,"OPEN_INT","."&amp;P$2&amp;P$1&amp;"P"&amp;$A27)*RTD("tos.rtd",,"LAST","."&amp;P$2&amp;P$1&amp;"P"&amp;$A27))/1000000),0),IF($A$2="PREMIUM",IFERROR(IF($X$1="ABS",(100*RTD("tos.rtd",,"VOLUME","."&amp;P$2&amp;P$1&amp;"C"&amp;$A27)*RTD("tos.rtd",,"LAST","."&amp;P$2&amp;P$1&amp;"C"&amp;$A27)+100*RTD("tos.rtd",,"VOLUME","."&amp;P$2&amp;P$1&amp;"P"&amp;$A27)*RTD("tos.rtd",,"LAST","."&amp;P$2&amp;P$1&amp;"P"&amp;$A27))/1000000,(100*RTD("tos.rtd",,"VOLUME","."&amp;P$2&amp;P$1&amp;"C"&amp;$A27)*RTD("tos.rtd",,"LAST","."&amp;P$2&amp;P$1&amp;"C"&amp;$A27)-100*RTD("tos.rtd",,"VOLUME","."&amp;P$2&amp;P$1&amp;"P"&amp;$A27)*RTD("tos.rtd",,"LAST","."&amp;P$2&amp;P$1&amp;"P"&amp;$A27))/1000000),0),IF($A$2="DEX",IFERROR(IF($X$1="ABS",(100*RTD("tos.rtd",,"OPEN_INT","."&amp;P$2&amp;P$1&amp;"C"&amp;$A27)*RTD("tos.rtd",,"DELTA","."&amp;P$2&amp;P$1&amp;"C"&amp;$A27)+100*RTD("tos.rtd",,"OPEN_INT","."&amp;P$2&amp;P$1&amp;"P"&amp;$A27)*RTD("tos.rtd",,"DELTA","."&amp;P$2&amp;P$1&amp;"P"&amp;$A27))/1000,(100*RTD("tos.rtd",,"OPEN_INT","."&amp;P$2&amp;P$1&amp;"C"&amp;$A27)*RTD("tos.rtd",,"DELTA","."&amp;P$2&amp;P$1&amp;"C"&amp;$A27)-100*RTD("tos.rtd",,"OPEN_INT","."&amp;P$2&amp;P$1&amp;"P"&amp;$A27)*RTD("tos.rtd",,"DELTA","."&amp;P$2&amp;P$1&amp;"P"&amp;$A27))/1000),0),IF($A$2="VEX",IFERROR(IF($X$1="ABS",($A$4*$A$4*RTD("tos.rtd",,"VOLUME","."&amp;P$2&amp;P$1&amp;"C"&amp;$A27)*RTD("tos.rtd",,"GAMMA","."&amp;P$2&amp;P$1&amp;"C"&amp;$A27)+$A$4*$A$4*RTD("tos.rtd",,"VOLUME","."&amp;P$2&amp;P$1&amp;"P"&amp;$A27)*RTD("tos.rtd",,"GAMMA","."&amp;P$2&amp;P$1&amp;"P"&amp;$A27))/1000000,($A$4*$A$4*RTD("tos.rtd",,"VOLUME","."&amp;P$2&amp;P$1&amp;"C"&amp;$A27)*RTD("tos.rtd",,"GAMMA","."&amp;P$2&amp;P$1&amp;"C"&amp;$A27)-$A$4*$A$4*RTD("tos.rtd",,"VOLUME","."&amp;P$2&amp;P$1&amp;"P"&amp;$A27)*RTD("tos.rtd",,"GAMMA","."&amp;P$2&amp;P$1&amp;"P"&amp;$A27))/1000000),0),IF($A$2="GEX",IFERROR(IF($X$1="ABS",($A$4*$A$4*RTD("tos.rtd",,"OPEN_INT","."&amp;P$2&amp;P$1&amp;"C"&amp;$A27)*RTD("tos.rtd",,"GAMMA","."&amp;P$2&amp;P$1&amp;"C"&amp;$A27)+$A$4*$A$4*RTD("tos.rtd",,"OPEN_INT","."&amp;P$2&amp;P$1&amp;"P"&amp;$A27)*RTD("tos.rtd",,"GAMMA","."&amp;P$2&amp;P$1&amp;"P"&amp;$A27))/1000000,($A$4*$A$4*RTD("tos.rtd",,"OPEN_INT","."&amp;P$2&amp;P$1&amp;"C"&amp;$A27)*RTD("tos.rtd",,"GAMMA","."&amp;P$2&amp;P$1&amp;"C"&amp;$A27)-$A$4*$A$4*RTD("tos.rtd",,"OPEN_INT","."&amp;P$2&amp;P$1&amp;"P"&amp;$A27)*RTD("tos.rtd",,"GAMMA","."&amp;P$2&amp;P$1&amp;"P"&amp;$A27))/1000000),0),IF($A$2="SKEW",IFERROR(VALUE(IF(RTD("tos.rtd",,"IMPL_VOL","."&amp;P$2&amp;P$1&amp;"P"&amp;$A27)="N/A",0,RTD("tos.rtd",,"IMPL_VOL","."&amp;P$2&amp;P$1&amp;"P"&amp;$A27))),0)-IFERROR(VALUE(IF(RTD("tos.rtd",,"IMPL_VOL","."&amp;P$2&amp;P$1&amp;"C"&amp;$A27)="N/A",0,RTD("tos.rtd",,"IMPL_VOL","."&amp;P$2&amp;P$1&amp;"C"&amp;$A27))),0),IF($A$2="MAXPAIN",IF($A$4&gt;$A27,($A$4-$A27)*IF(RTD("tos.rtd",,"OPEN_INT","."&amp;P$2&amp;P$1&amp;"C"&amp;$A27)="N/A",0,RTD("tos.rtd",,"OPEN_INT","."&amp;P$2&amp;P$1&amp;"C"&amp;$A27)),0)+IF($A$4&lt;$A27,($A$5-$A$4)*IF(RTD("tos.rtd",,"OPEN_INT","."&amp;P$2&amp;P$1&amp;"P"&amp;$A27)="N/A",0,RTD("tos.rtd",,"OPEN_INT","."&amp;P$2&amp;P$1&amp;"P"&amp;$A27)),0),IF($X$1="ABS",IF(RTD("tos.rtd",,$A$2,"."&amp;P$2&amp;P$1&amp;"C"&amp;$A27)="N/A",0,RTD("tos.rtd",,$A$2,"."&amp;P$2&amp;P$1&amp;"C"&amp;$A27))+IF(RTD("tos.rtd",,$A$2,"."&amp;P$2&amp;P$1&amp;"P"&amp;$A27)="N/A",0,RTD("tos.rtd",,$A$2,"."&amp;P$2&amp;P$1&amp;"P"&amp;$A27)),IF(RTD("tos.rtd",,$A$2,"."&amp;P$2&amp;P$1&amp;"C"&amp;$A27)="N/A",0,RTD("tos.rtd",,$A$2,"."&amp;P$2&amp;P$1&amp;"C"&amp;$A27))-IF(RTD("tos.rtd",,$A$2,"."&amp;P$2&amp;P$1&amp;"P"&amp;$A27)="N/A",0,RTD("tos.rtd",,$A$2,"."&amp;P$2&amp;P$1&amp;"P"&amp;$A27))))))))))</f>
        <v>0</v>
      </c>
      <c r="Q27" s="12">
        <f ca="1">IF($A$2="PREMIUM_OI",IFERROR(IF($X$1="ABS",(100*RTD("tos.rtd",,"OPEN_INT","."&amp;Q$2&amp;Q$1&amp;"C"&amp;$A27)*RTD("tos.rtd",,"LAST","."&amp;Q$2&amp;Q$1&amp;"C"&amp;$A27)+100*RTD("tos.rtd",,"OPEN_INT","."&amp;Q$2&amp;Q$1&amp;"P"&amp;$A27)*RTD("tos.rtd",,"LAST","."&amp;Q$2&amp;Q$1&amp;"P"&amp;$A27))/1000000,(100*RTD("tos.rtd",,"OPEN_INT","."&amp;Q$2&amp;Q$1&amp;"C"&amp;$A27)*RTD("tos.rtd",,"LAST","."&amp;Q$2&amp;Q$1&amp;"C"&amp;$A27)-100*RTD("tos.rtd",,"OPEN_INT","."&amp;Q$2&amp;Q$1&amp;"P"&amp;$A27)*RTD("tos.rtd",,"LAST","."&amp;Q$2&amp;Q$1&amp;"P"&amp;$A27))/1000000),0),IF($A$2="PREMIUM",IFERROR(IF($X$1="ABS",(100*RTD("tos.rtd",,"VOLUME","."&amp;Q$2&amp;Q$1&amp;"C"&amp;$A27)*RTD("tos.rtd",,"LAST","."&amp;Q$2&amp;Q$1&amp;"C"&amp;$A27)+100*RTD("tos.rtd",,"VOLUME","."&amp;Q$2&amp;Q$1&amp;"P"&amp;$A27)*RTD("tos.rtd",,"LAST","."&amp;Q$2&amp;Q$1&amp;"P"&amp;$A27))/1000000,(100*RTD("tos.rtd",,"VOLUME","."&amp;Q$2&amp;Q$1&amp;"C"&amp;$A27)*RTD("tos.rtd",,"LAST","."&amp;Q$2&amp;Q$1&amp;"C"&amp;$A27)-100*RTD("tos.rtd",,"VOLUME","."&amp;Q$2&amp;Q$1&amp;"P"&amp;$A27)*RTD("tos.rtd",,"LAST","."&amp;Q$2&amp;Q$1&amp;"P"&amp;$A27))/1000000),0),IF($A$2="DEX",IFERROR(IF($X$1="ABS",(100*RTD("tos.rtd",,"OPEN_INT","."&amp;Q$2&amp;Q$1&amp;"C"&amp;$A27)*RTD("tos.rtd",,"DELTA","."&amp;Q$2&amp;Q$1&amp;"C"&amp;$A27)+100*RTD("tos.rtd",,"OPEN_INT","."&amp;Q$2&amp;Q$1&amp;"P"&amp;$A27)*RTD("tos.rtd",,"DELTA","."&amp;Q$2&amp;Q$1&amp;"P"&amp;$A27))/1000,(100*RTD("tos.rtd",,"OPEN_INT","."&amp;Q$2&amp;Q$1&amp;"C"&amp;$A27)*RTD("tos.rtd",,"DELTA","."&amp;Q$2&amp;Q$1&amp;"C"&amp;$A27)-100*RTD("tos.rtd",,"OPEN_INT","."&amp;Q$2&amp;Q$1&amp;"P"&amp;$A27)*RTD("tos.rtd",,"DELTA","."&amp;Q$2&amp;Q$1&amp;"P"&amp;$A27))/1000),0),IF($A$2="VEX",IFERROR(IF($X$1="ABS",($A$4*$A$4*RTD("tos.rtd",,"VOLUME","."&amp;Q$2&amp;Q$1&amp;"C"&amp;$A27)*RTD("tos.rtd",,"GAMMA","."&amp;Q$2&amp;Q$1&amp;"C"&amp;$A27)+$A$4*$A$4*RTD("tos.rtd",,"VOLUME","."&amp;Q$2&amp;Q$1&amp;"P"&amp;$A27)*RTD("tos.rtd",,"GAMMA","."&amp;Q$2&amp;Q$1&amp;"P"&amp;$A27))/1000000,($A$4*$A$4*RTD("tos.rtd",,"VOLUME","."&amp;Q$2&amp;Q$1&amp;"C"&amp;$A27)*RTD("tos.rtd",,"GAMMA","."&amp;Q$2&amp;Q$1&amp;"C"&amp;$A27)-$A$4*$A$4*RTD("tos.rtd",,"VOLUME","."&amp;Q$2&amp;Q$1&amp;"P"&amp;$A27)*RTD("tos.rtd",,"GAMMA","."&amp;Q$2&amp;Q$1&amp;"P"&amp;$A27))/1000000),0),IF($A$2="GEX",IFERROR(IF($X$1="ABS",($A$4*$A$4*RTD("tos.rtd",,"OPEN_INT","."&amp;Q$2&amp;Q$1&amp;"C"&amp;$A27)*RTD("tos.rtd",,"GAMMA","."&amp;Q$2&amp;Q$1&amp;"C"&amp;$A27)+$A$4*$A$4*RTD("tos.rtd",,"OPEN_INT","."&amp;Q$2&amp;Q$1&amp;"P"&amp;$A27)*RTD("tos.rtd",,"GAMMA","."&amp;Q$2&amp;Q$1&amp;"P"&amp;$A27))/1000000,($A$4*$A$4*RTD("tos.rtd",,"OPEN_INT","."&amp;Q$2&amp;Q$1&amp;"C"&amp;$A27)*RTD("tos.rtd",,"GAMMA","."&amp;Q$2&amp;Q$1&amp;"C"&amp;$A27)-$A$4*$A$4*RTD("tos.rtd",,"OPEN_INT","."&amp;Q$2&amp;Q$1&amp;"P"&amp;$A27)*RTD("tos.rtd",,"GAMMA","."&amp;Q$2&amp;Q$1&amp;"P"&amp;$A27))/1000000),0),IF($A$2="SKEW",IFERROR(VALUE(IF(RTD("tos.rtd",,"IMPL_VOL","."&amp;Q$2&amp;Q$1&amp;"P"&amp;$A27)="N/A",0,RTD("tos.rtd",,"IMPL_VOL","."&amp;Q$2&amp;Q$1&amp;"P"&amp;$A27))),0)-IFERROR(VALUE(IF(RTD("tos.rtd",,"IMPL_VOL","."&amp;Q$2&amp;Q$1&amp;"C"&amp;$A27)="N/A",0,RTD("tos.rtd",,"IMPL_VOL","."&amp;Q$2&amp;Q$1&amp;"C"&amp;$A27))),0),IF($A$2="MAXPAIN",IF($A$4&gt;$A27,($A$4-$A27)*IF(RTD("tos.rtd",,"OPEN_INT","."&amp;Q$2&amp;Q$1&amp;"C"&amp;$A27)="N/A",0,RTD("tos.rtd",,"OPEN_INT","."&amp;Q$2&amp;Q$1&amp;"C"&amp;$A27)),0)+IF($A$4&lt;$A27,($A$5-$A$4)*IF(RTD("tos.rtd",,"OPEN_INT","."&amp;Q$2&amp;Q$1&amp;"P"&amp;$A27)="N/A",0,RTD("tos.rtd",,"OPEN_INT","."&amp;Q$2&amp;Q$1&amp;"P"&amp;$A27)),0),IF($X$1="ABS",IF(RTD("tos.rtd",,$A$2,"."&amp;Q$2&amp;Q$1&amp;"C"&amp;$A27)="N/A",0,RTD("tos.rtd",,$A$2,"."&amp;Q$2&amp;Q$1&amp;"C"&amp;$A27))+IF(RTD("tos.rtd",,$A$2,"."&amp;Q$2&amp;Q$1&amp;"P"&amp;$A27)="N/A",0,RTD("tos.rtd",,$A$2,"."&amp;Q$2&amp;Q$1&amp;"P"&amp;$A27)),IF(RTD("tos.rtd",,$A$2,"."&amp;Q$2&amp;Q$1&amp;"C"&amp;$A27)="N/A",0,RTD("tos.rtd",,$A$2,"."&amp;Q$2&amp;Q$1&amp;"C"&amp;$A27))-IF(RTD("tos.rtd",,$A$2,"."&amp;Q$2&amp;Q$1&amp;"P"&amp;$A27)="N/A",0,RTD("tos.rtd",,$A$2,"."&amp;Q$2&amp;Q$1&amp;"P"&amp;$A27))))))))))</f>
        <v>0</v>
      </c>
      <c r="R27" s="12">
        <f ca="1">IF($A$2="PREMIUM_OI",IFERROR(IF($X$1="ABS",(100*RTD("tos.rtd",,"OPEN_INT","."&amp;R$2&amp;R$1&amp;"C"&amp;$A27)*RTD("tos.rtd",,"LAST","."&amp;R$2&amp;R$1&amp;"C"&amp;$A27)+100*RTD("tos.rtd",,"OPEN_INT","."&amp;R$2&amp;R$1&amp;"P"&amp;$A27)*RTD("tos.rtd",,"LAST","."&amp;R$2&amp;R$1&amp;"P"&amp;$A27))/1000000,(100*RTD("tos.rtd",,"OPEN_INT","."&amp;R$2&amp;R$1&amp;"C"&amp;$A27)*RTD("tos.rtd",,"LAST","."&amp;R$2&amp;R$1&amp;"C"&amp;$A27)-100*RTD("tos.rtd",,"OPEN_INT","."&amp;R$2&amp;R$1&amp;"P"&amp;$A27)*RTD("tos.rtd",,"LAST","."&amp;R$2&amp;R$1&amp;"P"&amp;$A27))/1000000),0),IF($A$2="PREMIUM",IFERROR(IF($X$1="ABS",(100*RTD("tos.rtd",,"VOLUME","."&amp;R$2&amp;R$1&amp;"C"&amp;$A27)*RTD("tos.rtd",,"LAST","."&amp;R$2&amp;R$1&amp;"C"&amp;$A27)+100*RTD("tos.rtd",,"VOLUME","."&amp;R$2&amp;R$1&amp;"P"&amp;$A27)*RTD("tos.rtd",,"LAST","."&amp;R$2&amp;R$1&amp;"P"&amp;$A27))/1000000,(100*RTD("tos.rtd",,"VOLUME","."&amp;R$2&amp;R$1&amp;"C"&amp;$A27)*RTD("tos.rtd",,"LAST","."&amp;R$2&amp;R$1&amp;"C"&amp;$A27)-100*RTD("tos.rtd",,"VOLUME","."&amp;R$2&amp;R$1&amp;"P"&amp;$A27)*RTD("tos.rtd",,"LAST","."&amp;R$2&amp;R$1&amp;"P"&amp;$A27))/1000000),0),IF($A$2="DEX",IFERROR(IF($X$1="ABS",(100*RTD("tos.rtd",,"OPEN_INT","."&amp;R$2&amp;R$1&amp;"C"&amp;$A27)*RTD("tos.rtd",,"DELTA","."&amp;R$2&amp;R$1&amp;"C"&amp;$A27)+100*RTD("tos.rtd",,"OPEN_INT","."&amp;R$2&amp;R$1&amp;"P"&amp;$A27)*RTD("tos.rtd",,"DELTA","."&amp;R$2&amp;R$1&amp;"P"&amp;$A27))/1000,(100*RTD("tos.rtd",,"OPEN_INT","."&amp;R$2&amp;R$1&amp;"C"&amp;$A27)*RTD("tos.rtd",,"DELTA","."&amp;R$2&amp;R$1&amp;"C"&amp;$A27)-100*RTD("tos.rtd",,"OPEN_INT","."&amp;R$2&amp;R$1&amp;"P"&amp;$A27)*RTD("tos.rtd",,"DELTA","."&amp;R$2&amp;R$1&amp;"P"&amp;$A27))/1000),0),IF($A$2="VEX",IFERROR(IF($X$1="ABS",($A$4*$A$4*RTD("tos.rtd",,"VOLUME","."&amp;R$2&amp;R$1&amp;"C"&amp;$A27)*RTD("tos.rtd",,"GAMMA","."&amp;R$2&amp;R$1&amp;"C"&amp;$A27)+$A$4*$A$4*RTD("tos.rtd",,"VOLUME","."&amp;R$2&amp;R$1&amp;"P"&amp;$A27)*RTD("tos.rtd",,"GAMMA","."&amp;R$2&amp;R$1&amp;"P"&amp;$A27))/1000000,($A$4*$A$4*RTD("tos.rtd",,"VOLUME","."&amp;R$2&amp;R$1&amp;"C"&amp;$A27)*RTD("tos.rtd",,"GAMMA","."&amp;R$2&amp;R$1&amp;"C"&amp;$A27)-$A$4*$A$4*RTD("tos.rtd",,"VOLUME","."&amp;R$2&amp;R$1&amp;"P"&amp;$A27)*RTD("tos.rtd",,"GAMMA","."&amp;R$2&amp;R$1&amp;"P"&amp;$A27))/1000000),0),IF($A$2="GEX",IFERROR(IF($X$1="ABS",($A$4*$A$4*RTD("tos.rtd",,"OPEN_INT","."&amp;R$2&amp;R$1&amp;"C"&amp;$A27)*RTD("tos.rtd",,"GAMMA","."&amp;R$2&amp;R$1&amp;"C"&amp;$A27)+$A$4*$A$4*RTD("tos.rtd",,"OPEN_INT","."&amp;R$2&amp;R$1&amp;"P"&amp;$A27)*RTD("tos.rtd",,"GAMMA","."&amp;R$2&amp;R$1&amp;"P"&amp;$A27))/1000000,($A$4*$A$4*RTD("tos.rtd",,"OPEN_INT","."&amp;R$2&amp;R$1&amp;"C"&amp;$A27)*RTD("tos.rtd",,"GAMMA","."&amp;R$2&amp;R$1&amp;"C"&amp;$A27)-$A$4*$A$4*RTD("tos.rtd",,"OPEN_INT","."&amp;R$2&amp;R$1&amp;"P"&amp;$A27)*RTD("tos.rtd",,"GAMMA","."&amp;R$2&amp;R$1&amp;"P"&amp;$A27))/1000000),0),IF($A$2="SKEW",IFERROR(VALUE(IF(RTD("tos.rtd",,"IMPL_VOL","."&amp;R$2&amp;R$1&amp;"P"&amp;$A27)="N/A",0,RTD("tos.rtd",,"IMPL_VOL","."&amp;R$2&amp;R$1&amp;"P"&amp;$A27))),0)-IFERROR(VALUE(IF(RTD("tos.rtd",,"IMPL_VOL","."&amp;R$2&amp;R$1&amp;"C"&amp;$A27)="N/A",0,RTD("tos.rtd",,"IMPL_VOL","."&amp;R$2&amp;R$1&amp;"C"&amp;$A27))),0),IF($A$2="MAXPAIN",IF($A$4&gt;$A27,($A$4-$A27)*IF(RTD("tos.rtd",,"OPEN_INT","."&amp;R$2&amp;R$1&amp;"C"&amp;$A27)="N/A",0,RTD("tos.rtd",,"OPEN_INT","."&amp;R$2&amp;R$1&amp;"C"&amp;$A27)),0)+IF($A$4&lt;$A27,($A$5-$A$4)*IF(RTD("tos.rtd",,"OPEN_INT","."&amp;R$2&amp;R$1&amp;"P"&amp;$A27)="N/A",0,RTD("tos.rtd",,"OPEN_INT","."&amp;R$2&amp;R$1&amp;"P"&amp;$A27)),0),IF($X$1="ABS",IF(RTD("tos.rtd",,$A$2,"."&amp;R$2&amp;R$1&amp;"C"&amp;$A27)="N/A",0,RTD("tos.rtd",,$A$2,"."&amp;R$2&amp;R$1&amp;"C"&amp;$A27))+IF(RTD("tos.rtd",,$A$2,"."&amp;R$2&amp;R$1&amp;"P"&amp;$A27)="N/A",0,RTD("tos.rtd",,$A$2,"."&amp;R$2&amp;R$1&amp;"P"&amp;$A27)),IF(RTD("tos.rtd",,$A$2,"."&amp;R$2&amp;R$1&amp;"C"&amp;$A27)="N/A",0,RTD("tos.rtd",,$A$2,"."&amp;R$2&amp;R$1&amp;"C"&amp;$A27))-IF(RTD("tos.rtd",,$A$2,"."&amp;R$2&amp;R$1&amp;"P"&amp;$A27)="N/A",0,RTD("tos.rtd",,$A$2,"."&amp;R$2&amp;R$1&amp;"P"&amp;$A27))))))))))</f>
        <v>0</v>
      </c>
      <c r="S27" s="12">
        <f ca="1">IF($A$2="PREMIUM_OI",IFERROR(IF($X$1="ABS",(100*RTD("tos.rtd",,"OPEN_INT","."&amp;S$2&amp;S$1&amp;"C"&amp;$A27)*RTD("tos.rtd",,"LAST","."&amp;S$2&amp;S$1&amp;"C"&amp;$A27)+100*RTD("tos.rtd",,"OPEN_INT","."&amp;S$2&amp;S$1&amp;"P"&amp;$A27)*RTD("tos.rtd",,"LAST","."&amp;S$2&amp;S$1&amp;"P"&amp;$A27))/1000000,(100*RTD("tos.rtd",,"OPEN_INT","."&amp;S$2&amp;S$1&amp;"C"&amp;$A27)*RTD("tos.rtd",,"LAST","."&amp;S$2&amp;S$1&amp;"C"&amp;$A27)-100*RTD("tos.rtd",,"OPEN_INT","."&amp;S$2&amp;S$1&amp;"P"&amp;$A27)*RTD("tos.rtd",,"LAST","."&amp;S$2&amp;S$1&amp;"P"&amp;$A27))/1000000),0),IF($A$2="PREMIUM",IFERROR(IF($X$1="ABS",(100*RTD("tos.rtd",,"VOLUME","."&amp;S$2&amp;S$1&amp;"C"&amp;$A27)*RTD("tos.rtd",,"LAST","."&amp;S$2&amp;S$1&amp;"C"&amp;$A27)+100*RTD("tos.rtd",,"VOLUME","."&amp;S$2&amp;S$1&amp;"P"&amp;$A27)*RTD("tos.rtd",,"LAST","."&amp;S$2&amp;S$1&amp;"P"&amp;$A27))/1000000,(100*RTD("tos.rtd",,"VOLUME","."&amp;S$2&amp;S$1&amp;"C"&amp;$A27)*RTD("tos.rtd",,"LAST","."&amp;S$2&amp;S$1&amp;"C"&amp;$A27)-100*RTD("tos.rtd",,"VOLUME","."&amp;S$2&amp;S$1&amp;"P"&amp;$A27)*RTD("tos.rtd",,"LAST","."&amp;S$2&amp;S$1&amp;"P"&amp;$A27))/1000000),0),IF($A$2="DEX",IFERROR(IF($X$1="ABS",(100*RTD("tos.rtd",,"OPEN_INT","."&amp;S$2&amp;S$1&amp;"C"&amp;$A27)*RTD("tos.rtd",,"DELTA","."&amp;S$2&amp;S$1&amp;"C"&amp;$A27)+100*RTD("tos.rtd",,"OPEN_INT","."&amp;S$2&amp;S$1&amp;"P"&amp;$A27)*RTD("tos.rtd",,"DELTA","."&amp;S$2&amp;S$1&amp;"P"&amp;$A27))/1000,(100*RTD("tos.rtd",,"OPEN_INT","."&amp;S$2&amp;S$1&amp;"C"&amp;$A27)*RTD("tos.rtd",,"DELTA","."&amp;S$2&amp;S$1&amp;"C"&amp;$A27)-100*RTD("tos.rtd",,"OPEN_INT","."&amp;S$2&amp;S$1&amp;"P"&amp;$A27)*RTD("tos.rtd",,"DELTA","."&amp;S$2&amp;S$1&amp;"P"&amp;$A27))/1000),0),IF($A$2="VEX",IFERROR(IF($X$1="ABS",($A$4*$A$4*RTD("tos.rtd",,"VOLUME","."&amp;S$2&amp;S$1&amp;"C"&amp;$A27)*RTD("tos.rtd",,"GAMMA","."&amp;S$2&amp;S$1&amp;"C"&amp;$A27)+$A$4*$A$4*RTD("tos.rtd",,"VOLUME","."&amp;S$2&amp;S$1&amp;"P"&amp;$A27)*RTD("tos.rtd",,"GAMMA","."&amp;S$2&amp;S$1&amp;"P"&amp;$A27))/1000000,($A$4*$A$4*RTD("tos.rtd",,"VOLUME","."&amp;S$2&amp;S$1&amp;"C"&amp;$A27)*RTD("tos.rtd",,"GAMMA","."&amp;S$2&amp;S$1&amp;"C"&amp;$A27)-$A$4*$A$4*RTD("tos.rtd",,"VOLUME","."&amp;S$2&amp;S$1&amp;"P"&amp;$A27)*RTD("tos.rtd",,"GAMMA","."&amp;S$2&amp;S$1&amp;"P"&amp;$A27))/1000000),0),IF($A$2="GEX",IFERROR(IF($X$1="ABS",($A$4*$A$4*RTD("tos.rtd",,"OPEN_INT","."&amp;S$2&amp;S$1&amp;"C"&amp;$A27)*RTD("tos.rtd",,"GAMMA","."&amp;S$2&amp;S$1&amp;"C"&amp;$A27)+$A$4*$A$4*RTD("tos.rtd",,"OPEN_INT","."&amp;S$2&amp;S$1&amp;"P"&amp;$A27)*RTD("tos.rtd",,"GAMMA","."&amp;S$2&amp;S$1&amp;"P"&amp;$A27))/1000000,($A$4*$A$4*RTD("tos.rtd",,"OPEN_INT","."&amp;S$2&amp;S$1&amp;"C"&amp;$A27)*RTD("tos.rtd",,"GAMMA","."&amp;S$2&amp;S$1&amp;"C"&amp;$A27)-$A$4*$A$4*RTD("tos.rtd",,"OPEN_INT","."&amp;S$2&amp;S$1&amp;"P"&amp;$A27)*RTD("tos.rtd",,"GAMMA","."&amp;S$2&amp;S$1&amp;"P"&amp;$A27))/1000000),0),IF($A$2="SKEW",IFERROR(VALUE(IF(RTD("tos.rtd",,"IMPL_VOL","."&amp;S$2&amp;S$1&amp;"P"&amp;$A27)="N/A",0,RTD("tos.rtd",,"IMPL_VOL","."&amp;S$2&amp;S$1&amp;"P"&amp;$A27))),0)-IFERROR(VALUE(IF(RTD("tos.rtd",,"IMPL_VOL","."&amp;S$2&amp;S$1&amp;"C"&amp;$A27)="N/A",0,RTD("tos.rtd",,"IMPL_VOL","."&amp;S$2&amp;S$1&amp;"C"&amp;$A27))),0),IF($A$2="MAXPAIN",IF($A$4&gt;$A27,($A$4-$A27)*IF(RTD("tos.rtd",,"OPEN_INT","."&amp;S$2&amp;S$1&amp;"C"&amp;$A27)="N/A",0,RTD("tos.rtd",,"OPEN_INT","."&amp;S$2&amp;S$1&amp;"C"&amp;$A27)),0)+IF($A$4&lt;$A27,($A$5-$A$4)*IF(RTD("tos.rtd",,"OPEN_INT","."&amp;S$2&amp;S$1&amp;"P"&amp;$A27)="N/A",0,RTD("tos.rtd",,"OPEN_INT","."&amp;S$2&amp;S$1&amp;"P"&amp;$A27)),0),IF($X$1="ABS",IF(RTD("tos.rtd",,$A$2,"."&amp;S$2&amp;S$1&amp;"C"&amp;$A27)="N/A",0,RTD("tos.rtd",,$A$2,"."&amp;S$2&amp;S$1&amp;"C"&amp;$A27))+IF(RTD("tos.rtd",,$A$2,"."&amp;S$2&amp;S$1&amp;"P"&amp;$A27)="N/A",0,RTD("tos.rtd",,$A$2,"."&amp;S$2&amp;S$1&amp;"P"&amp;$A27)),IF(RTD("tos.rtd",,$A$2,"."&amp;S$2&amp;S$1&amp;"C"&amp;$A27)="N/A",0,RTD("tos.rtd",,$A$2,"."&amp;S$2&amp;S$1&amp;"C"&amp;$A27))-IF(RTD("tos.rtd",,$A$2,"."&amp;S$2&amp;S$1&amp;"P"&amp;$A27)="N/A",0,RTD("tos.rtd",,$A$2,"."&amp;S$2&amp;S$1&amp;"P"&amp;$A27))))))))))</f>
        <v>0</v>
      </c>
      <c r="T27" s="12">
        <f ca="1">IF($A$2="PREMIUM_OI",IFERROR(IF($X$1="ABS",(100*RTD("tos.rtd",,"OPEN_INT","."&amp;T$2&amp;T$1&amp;"C"&amp;$A27)*RTD("tos.rtd",,"LAST","."&amp;T$2&amp;T$1&amp;"C"&amp;$A27)+100*RTD("tos.rtd",,"OPEN_INT","."&amp;T$2&amp;T$1&amp;"P"&amp;$A27)*RTD("tos.rtd",,"LAST","."&amp;T$2&amp;T$1&amp;"P"&amp;$A27))/1000000,(100*RTD("tos.rtd",,"OPEN_INT","."&amp;T$2&amp;T$1&amp;"C"&amp;$A27)*RTD("tos.rtd",,"LAST","."&amp;T$2&amp;T$1&amp;"C"&amp;$A27)-100*RTD("tos.rtd",,"OPEN_INT","."&amp;T$2&amp;T$1&amp;"P"&amp;$A27)*RTD("tos.rtd",,"LAST","."&amp;T$2&amp;T$1&amp;"P"&amp;$A27))/1000000),0),IF($A$2="PREMIUM",IFERROR(IF($X$1="ABS",(100*RTD("tos.rtd",,"VOLUME","."&amp;T$2&amp;T$1&amp;"C"&amp;$A27)*RTD("tos.rtd",,"LAST","."&amp;T$2&amp;T$1&amp;"C"&amp;$A27)+100*RTD("tos.rtd",,"VOLUME","."&amp;T$2&amp;T$1&amp;"P"&amp;$A27)*RTD("tos.rtd",,"LAST","."&amp;T$2&amp;T$1&amp;"P"&amp;$A27))/1000000,(100*RTD("tos.rtd",,"VOLUME","."&amp;T$2&amp;T$1&amp;"C"&amp;$A27)*RTD("tos.rtd",,"LAST","."&amp;T$2&amp;T$1&amp;"C"&amp;$A27)-100*RTD("tos.rtd",,"VOLUME","."&amp;T$2&amp;T$1&amp;"P"&amp;$A27)*RTD("tos.rtd",,"LAST","."&amp;T$2&amp;T$1&amp;"P"&amp;$A27))/1000000),0),IF($A$2="DEX",IFERROR(IF($X$1="ABS",(100*RTD("tos.rtd",,"OPEN_INT","."&amp;T$2&amp;T$1&amp;"C"&amp;$A27)*RTD("tos.rtd",,"DELTA","."&amp;T$2&amp;T$1&amp;"C"&amp;$A27)+100*RTD("tos.rtd",,"OPEN_INT","."&amp;T$2&amp;T$1&amp;"P"&amp;$A27)*RTD("tos.rtd",,"DELTA","."&amp;T$2&amp;T$1&amp;"P"&amp;$A27))/1000,(100*RTD("tos.rtd",,"OPEN_INT","."&amp;T$2&amp;T$1&amp;"C"&amp;$A27)*RTD("tos.rtd",,"DELTA","."&amp;T$2&amp;T$1&amp;"C"&amp;$A27)-100*RTD("tos.rtd",,"OPEN_INT","."&amp;T$2&amp;T$1&amp;"P"&amp;$A27)*RTD("tos.rtd",,"DELTA","."&amp;T$2&amp;T$1&amp;"P"&amp;$A27))/1000),0),IF($A$2="VEX",IFERROR(IF($X$1="ABS",($A$4*$A$4*RTD("tos.rtd",,"VOLUME","."&amp;T$2&amp;T$1&amp;"C"&amp;$A27)*RTD("tos.rtd",,"GAMMA","."&amp;T$2&amp;T$1&amp;"C"&amp;$A27)+$A$4*$A$4*RTD("tos.rtd",,"VOLUME","."&amp;T$2&amp;T$1&amp;"P"&amp;$A27)*RTD("tos.rtd",,"GAMMA","."&amp;T$2&amp;T$1&amp;"P"&amp;$A27))/1000000,($A$4*$A$4*RTD("tos.rtd",,"VOLUME","."&amp;T$2&amp;T$1&amp;"C"&amp;$A27)*RTD("tos.rtd",,"GAMMA","."&amp;T$2&amp;T$1&amp;"C"&amp;$A27)-$A$4*$A$4*RTD("tos.rtd",,"VOLUME","."&amp;T$2&amp;T$1&amp;"P"&amp;$A27)*RTD("tos.rtd",,"GAMMA","."&amp;T$2&amp;T$1&amp;"P"&amp;$A27))/1000000),0),IF($A$2="GEX",IFERROR(IF($X$1="ABS",($A$4*$A$4*RTD("tos.rtd",,"OPEN_INT","."&amp;T$2&amp;T$1&amp;"C"&amp;$A27)*RTD("tos.rtd",,"GAMMA","."&amp;T$2&amp;T$1&amp;"C"&amp;$A27)+$A$4*$A$4*RTD("tos.rtd",,"OPEN_INT","."&amp;T$2&amp;T$1&amp;"P"&amp;$A27)*RTD("tos.rtd",,"GAMMA","."&amp;T$2&amp;T$1&amp;"P"&amp;$A27))/1000000,($A$4*$A$4*RTD("tos.rtd",,"OPEN_INT","."&amp;T$2&amp;T$1&amp;"C"&amp;$A27)*RTD("tos.rtd",,"GAMMA","."&amp;T$2&amp;T$1&amp;"C"&amp;$A27)-$A$4*$A$4*RTD("tos.rtd",,"OPEN_INT","."&amp;T$2&amp;T$1&amp;"P"&amp;$A27)*RTD("tos.rtd",,"GAMMA","."&amp;T$2&amp;T$1&amp;"P"&amp;$A27))/1000000),0),IF($A$2="SKEW",IFERROR(VALUE(IF(RTD("tos.rtd",,"IMPL_VOL","."&amp;T$2&amp;T$1&amp;"P"&amp;$A27)="N/A",0,RTD("tos.rtd",,"IMPL_VOL","."&amp;T$2&amp;T$1&amp;"P"&amp;$A27))),0)-IFERROR(VALUE(IF(RTD("tos.rtd",,"IMPL_VOL","."&amp;T$2&amp;T$1&amp;"C"&amp;$A27)="N/A",0,RTD("tos.rtd",,"IMPL_VOL","."&amp;T$2&amp;T$1&amp;"C"&amp;$A27))),0),IF($A$2="MAXPAIN",IF($A$4&gt;$A27,($A$4-$A27)*IF(RTD("tos.rtd",,"OPEN_INT","."&amp;T$2&amp;T$1&amp;"C"&amp;$A27)="N/A",0,RTD("tos.rtd",,"OPEN_INT","."&amp;T$2&amp;T$1&amp;"C"&amp;$A27)),0)+IF($A$4&lt;$A27,($A$5-$A$4)*IF(RTD("tos.rtd",,"OPEN_INT","."&amp;T$2&amp;T$1&amp;"P"&amp;$A27)="N/A",0,RTD("tos.rtd",,"OPEN_INT","."&amp;T$2&amp;T$1&amp;"P"&amp;$A27)),0),IF($X$1="ABS",IF(RTD("tos.rtd",,$A$2,"."&amp;T$2&amp;T$1&amp;"C"&amp;$A27)="N/A",0,RTD("tos.rtd",,$A$2,"."&amp;T$2&amp;T$1&amp;"C"&amp;$A27))+IF(RTD("tos.rtd",,$A$2,"."&amp;T$2&amp;T$1&amp;"P"&amp;$A27)="N/A",0,RTD("tos.rtd",,$A$2,"."&amp;T$2&amp;T$1&amp;"P"&amp;$A27)),IF(RTD("tos.rtd",,$A$2,"."&amp;T$2&amp;T$1&amp;"C"&amp;$A27)="N/A",0,RTD("tos.rtd",,$A$2,"."&amp;T$2&amp;T$1&amp;"C"&amp;$A27))-IF(RTD("tos.rtd",,$A$2,"."&amp;T$2&amp;T$1&amp;"P"&amp;$A27)="N/A",0,RTD("tos.rtd",,$A$2,"."&amp;T$2&amp;T$1&amp;"P"&amp;$A27))))))))))</f>
        <v>0</v>
      </c>
      <c r="U27" s="12">
        <f ca="1">IF($A$2="PREMIUM_OI",IFERROR(IF($X$1="ABS",(100*RTD("tos.rtd",,"OPEN_INT","."&amp;U$2&amp;U$1&amp;"C"&amp;$A27)*RTD("tos.rtd",,"LAST","."&amp;U$2&amp;U$1&amp;"C"&amp;$A27)+100*RTD("tos.rtd",,"OPEN_INT","."&amp;U$2&amp;U$1&amp;"P"&amp;$A27)*RTD("tos.rtd",,"LAST","."&amp;U$2&amp;U$1&amp;"P"&amp;$A27))/1000000,(100*RTD("tos.rtd",,"OPEN_INT","."&amp;U$2&amp;U$1&amp;"C"&amp;$A27)*RTD("tos.rtd",,"LAST","."&amp;U$2&amp;U$1&amp;"C"&amp;$A27)-100*RTD("tos.rtd",,"OPEN_INT","."&amp;U$2&amp;U$1&amp;"P"&amp;$A27)*RTD("tos.rtd",,"LAST","."&amp;U$2&amp;U$1&amp;"P"&amp;$A27))/1000000),0),IF($A$2="PREMIUM",IFERROR(IF($X$1="ABS",(100*RTD("tos.rtd",,"VOLUME","."&amp;U$2&amp;U$1&amp;"C"&amp;$A27)*RTD("tos.rtd",,"LAST","."&amp;U$2&amp;U$1&amp;"C"&amp;$A27)+100*RTD("tos.rtd",,"VOLUME","."&amp;U$2&amp;U$1&amp;"P"&amp;$A27)*RTD("tos.rtd",,"LAST","."&amp;U$2&amp;U$1&amp;"P"&amp;$A27))/1000000,(100*RTD("tos.rtd",,"VOLUME","."&amp;U$2&amp;U$1&amp;"C"&amp;$A27)*RTD("tos.rtd",,"LAST","."&amp;U$2&amp;U$1&amp;"C"&amp;$A27)-100*RTD("tos.rtd",,"VOLUME","."&amp;U$2&amp;U$1&amp;"P"&amp;$A27)*RTD("tos.rtd",,"LAST","."&amp;U$2&amp;U$1&amp;"P"&amp;$A27))/1000000),0),IF($A$2="DEX",IFERROR(IF($X$1="ABS",(100*RTD("tos.rtd",,"OPEN_INT","."&amp;U$2&amp;U$1&amp;"C"&amp;$A27)*RTD("tos.rtd",,"DELTA","."&amp;U$2&amp;U$1&amp;"C"&amp;$A27)+100*RTD("tos.rtd",,"OPEN_INT","."&amp;U$2&amp;U$1&amp;"P"&amp;$A27)*RTD("tos.rtd",,"DELTA","."&amp;U$2&amp;U$1&amp;"P"&amp;$A27))/1000,(100*RTD("tos.rtd",,"OPEN_INT","."&amp;U$2&amp;U$1&amp;"C"&amp;$A27)*RTD("tos.rtd",,"DELTA","."&amp;U$2&amp;U$1&amp;"C"&amp;$A27)-100*RTD("tos.rtd",,"OPEN_INT","."&amp;U$2&amp;U$1&amp;"P"&amp;$A27)*RTD("tos.rtd",,"DELTA","."&amp;U$2&amp;U$1&amp;"P"&amp;$A27))/1000),0),IF($A$2="VEX",IFERROR(IF($X$1="ABS",($A$4*$A$4*RTD("tos.rtd",,"VOLUME","."&amp;U$2&amp;U$1&amp;"C"&amp;$A27)*RTD("tos.rtd",,"GAMMA","."&amp;U$2&amp;U$1&amp;"C"&amp;$A27)+$A$4*$A$4*RTD("tos.rtd",,"VOLUME","."&amp;U$2&amp;U$1&amp;"P"&amp;$A27)*RTD("tos.rtd",,"GAMMA","."&amp;U$2&amp;U$1&amp;"P"&amp;$A27))/1000000,($A$4*$A$4*RTD("tos.rtd",,"VOLUME","."&amp;U$2&amp;U$1&amp;"C"&amp;$A27)*RTD("tos.rtd",,"GAMMA","."&amp;U$2&amp;U$1&amp;"C"&amp;$A27)-$A$4*$A$4*RTD("tos.rtd",,"VOLUME","."&amp;U$2&amp;U$1&amp;"P"&amp;$A27)*RTD("tos.rtd",,"GAMMA","."&amp;U$2&amp;U$1&amp;"P"&amp;$A27))/1000000),0),IF($A$2="GEX",IFERROR(IF($X$1="ABS",($A$4*$A$4*RTD("tos.rtd",,"OPEN_INT","."&amp;U$2&amp;U$1&amp;"C"&amp;$A27)*RTD("tos.rtd",,"GAMMA","."&amp;U$2&amp;U$1&amp;"C"&amp;$A27)+$A$4*$A$4*RTD("tos.rtd",,"OPEN_INT","."&amp;U$2&amp;U$1&amp;"P"&amp;$A27)*RTD("tos.rtd",,"GAMMA","."&amp;U$2&amp;U$1&amp;"P"&amp;$A27))/1000000,($A$4*$A$4*RTD("tos.rtd",,"OPEN_INT","."&amp;U$2&amp;U$1&amp;"C"&amp;$A27)*RTD("tos.rtd",,"GAMMA","."&amp;U$2&amp;U$1&amp;"C"&amp;$A27)-$A$4*$A$4*RTD("tos.rtd",,"OPEN_INT","."&amp;U$2&amp;U$1&amp;"P"&amp;$A27)*RTD("tos.rtd",,"GAMMA","."&amp;U$2&amp;U$1&amp;"P"&amp;$A27))/1000000),0),IF($A$2="SKEW",IFERROR(VALUE(IF(RTD("tos.rtd",,"IMPL_VOL","."&amp;U$2&amp;U$1&amp;"P"&amp;$A27)="N/A",0,RTD("tos.rtd",,"IMPL_VOL","."&amp;U$2&amp;U$1&amp;"P"&amp;$A27))),0)-IFERROR(VALUE(IF(RTD("tos.rtd",,"IMPL_VOL","."&amp;U$2&amp;U$1&amp;"C"&amp;$A27)="N/A",0,RTD("tos.rtd",,"IMPL_VOL","."&amp;U$2&amp;U$1&amp;"C"&amp;$A27))),0),IF($A$2="MAXPAIN",IF($A$4&gt;$A27,($A$4-$A27)*IF(RTD("tos.rtd",,"OPEN_INT","."&amp;U$2&amp;U$1&amp;"C"&amp;$A27)="N/A",0,RTD("tos.rtd",,"OPEN_INT","."&amp;U$2&amp;U$1&amp;"C"&amp;$A27)),0)+IF($A$4&lt;$A27,($A$5-$A$4)*IF(RTD("tos.rtd",,"OPEN_INT","."&amp;U$2&amp;U$1&amp;"P"&amp;$A27)="N/A",0,RTD("tos.rtd",,"OPEN_INT","."&amp;U$2&amp;U$1&amp;"P"&amp;$A27)),0),IF($X$1="ABS",IF(RTD("tos.rtd",,$A$2,"."&amp;U$2&amp;U$1&amp;"C"&amp;$A27)="N/A",0,RTD("tos.rtd",,$A$2,"."&amp;U$2&amp;U$1&amp;"C"&amp;$A27))+IF(RTD("tos.rtd",,$A$2,"."&amp;U$2&amp;U$1&amp;"P"&amp;$A27)="N/A",0,RTD("tos.rtd",,$A$2,"."&amp;U$2&amp;U$1&amp;"P"&amp;$A27)),IF(RTD("tos.rtd",,$A$2,"."&amp;U$2&amp;U$1&amp;"C"&amp;$A27)="N/A",0,RTD("tos.rtd",,$A$2,"."&amp;U$2&amp;U$1&amp;"C"&amp;$A27))-IF(RTD("tos.rtd",,$A$2,"."&amp;U$2&amp;U$1&amp;"P"&amp;$A27)="N/A",0,RTD("tos.rtd",,$A$2,"."&amp;U$2&amp;U$1&amp;"P"&amp;$A27))))))))))</f>
        <v>0</v>
      </c>
      <c r="V27" s="12">
        <f ca="1">IF($A$2="PREMIUM_OI",IFERROR(IF($X$1="ABS",(100*RTD("tos.rtd",,"OPEN_INT","."&amp;V$2&amp;V$1&amp;"C"&amp;$A27)*RTD("tos.rtd",,"LAST","."&amp;V$2&amp;V$1&amp;"C"&amp;$A27)+100*RTD("tos.rtd",,"OPEN_INT","."&amp;V$2&amp;V$1&amp;"P"&amp;$A27)*RTD("tos.rtd",,"LAST","."&amp;V$2&amp;V$1&amp;"P"&amp;$A27))/1000000,(100*RTD("tos.rtd",,"OPEN_INT","."&amp;V$2&amp;V$1&amp;"C"&amp;$A27)*RTD("tos.rtd",,"LAST","."&amp;V$2&amp;V$1&amp;"C"&amp;$A27)-100*RTD("tos.rtd",,"OPEN_INT","."&amp;V$2&amp;V$1&amp;"P"&amp;$A27)*RTD("tos.rtd",,"LAST","."&amp;V$2&amp;V$1&amp;"P"&amp;$A27))/1000000),0),IF($A$2="PREMIUM",IFERROR(IF($X$1="ABS",(100*RTD("tos.rtd",,"VOLUME","."&amp;V$2&amp;V$1&amp;"C"&amp;$A27)*RTD("tos.rtd",,"LAST","."&amp;V$2&amp;V$1&amp;"C"&amp;$A27)+100*RTD("tos.rtd",,"VOLUME","."&amp;V$2&amp;V$1&amp;"P"&amp;$A27)*RTD("tos.rtd",,"LAST","."&amp;V$2&amp;V$1&amp;"P"&amp;$A27))/1000000,(100*RTD("tos.rtd",,"VOLUME","."&amp;V$2&amp;V$1&amp;"C"&amp;$A27)*RTD("tos.rtd",,"LAST","."&amp;V$2&amp;V$1&amp;"C"&amp;$A27)-100*RTD("tos.rtd",,"VOLUME","."&amp;V$2&amp;V$1&amp;"P"&amp;$A27)*RTD("tos.rtd",,"LAST","."&amp;V$2&amp;V$1&amp;"P"&amp;$A27))/1000000),0),IF($A$2="DEX",IFERROR(IF($X$1="ABS",(100*RTD("tos.rtd",,"OPEN_INT","."&amp;V$2&amp;V$1&amp;"C"&amp;$A27)*RTD("tos.rtd",,"DELTA","."&amp;V$2&amp;V$1&amp;"C"&amp;$A27)+100*RTD("tos.rtd",,"OPEN_INT","."&amp;V$2&amp;V$1&amp;"P"&amp;$A27)*RTD("tos.rtd",,"DELTA","."&amp;V$2&amp;V$1&amp;"P"&amp;$A27))/1000,(100*RTD("tos.rtd",,"OPEN_INT","."&amp;V$2&amp;V$1&amp;"C"&amp;$A27)*RTD("tos.rtd",,"DELTA","."&amp;V$2&amp;V$1&amp;"C"&amp;$A27)-100*RTD("tos.rtd",,"OPEN_INT","."&amp;V$2&amp;V$1&amp;"P"&amp;$A27)*RTD("tos.rtd",,"DELTA","."&amp;V$2&amp;V$1&amp;"P"&amp;$A27))/1000),0),IF($A$2="VEX",IFERROR(IF($X$1="ABS",($A$4*$A$4*RTD("tos.rtd",,"VOLUME","."&amp;V$2&amp;V$1&amp;"C"&amp;$A27)*RTD("tos.rtd",,"GAMMA","."&amp;V$2&amp;V$1&amp;"C"&amp;$A27)+$A$4*$A$4*RTD("tos.rtd",,"VOLUME","."&amp;V$2&amp;V$1&amp;"P"&amp;$A27)*RTD("tos.rtd",,"GAMMA","."&amp;V$2&amp;V$1&amp;"P"&amp;$A27))/1000000,($A$4*$A$4*RTD("tos.rtd",,"VOLUME","."&amp;V$2&amp;V$1&amp;"C"&amp;$A27)*RTD("tos.rtd",,"GAMMA","."&amp;V$2&amp;V$1&amp;"C"&amp;$A27)-$A$4*$A$4*RTD("tos.rtd",,"VOLUME","."&amp;V$2&amp;V$1&amp;"P"&amp;$A27)*RTD("tos.rtd",,"GAMMA","."&amp;V$2&amp;V$1&amp;"P"&amp;$A27))/1000000),0),IF($A$2="GEX",IFERROR(IF($X$1="ABS",($A$4*$A$4*RTD("tos.rtd",,"OPEN_INT","."&amp;V$2&amp;V$1&amp;"C"&amp;$A27)*RTD("tos.rtd",,"GAMMA","."&amp;V$2&amp;V$1&amp;"C"&amp;$A27)+$A$4*$A$4*RTD("tos.rtd",,"OPEN_INT","."&amp;V$2&amp;V$1&amp;"P"&amp;$A27)*RTD("tos.rtd",,"GAMMA","."&amp;V$2&amp;V$1&amp;"P"&amp;$A27))/1000000,($A$4*$A$4*RTD("tos.rtd",,"OPEN_INT","."&amp;V$2&amp;V$1&amp;"C"&amp;$A27)*RTD("tos.rtd",,"GAMMA","."&amp;V$2&amp;V$1&amp;"C"&amp;$A27)-$A$4*$A$4*RTD("tos.rtd",,"OPEN_INT","."&amp;V$2&amp;V$1&amp;"P"&amp;$A27)*RTD("tos.rtd",,"GAMMA","."&amp;V$2&amp;V$1&amp;"P"&amp;$A27))/1000000),0),IF($A$2="SKEW",IFERROR(VALUE(IF(RTD("tos.rtd",,"IMPL_VOL","."&amp;V$2&amp;V$1&amp;"P"&amp;$A27)="N/A",0,RTD("tos.rtd",,"IMPL_VOL","."&amp;V$2&amp;V$1&amp;"P"&amp;$A27))),0)-IFERROR(VALUE(IF(RTD("tos.rtd",,"IMPL_VOL","."&amp;V$2&amp;V$1&amp;"C"&amp;$A27)="N/A",0,RTD("tos.rtd",,"IMPL_VOL","."&amp;V$2&amp;V$1&amp;"C"&amp;$A27))),0),IF($A$2="MAXPAIN",IF($A$4&gt;$A27,($A$4-$A27)*IF(RTD("tos.rtd",,"OPEN_INT","."&amp;V$2&amp;V$1&amp;"C"&amp;$A27)="N/A",0,RTD("tos.rtd",,"OPEN_INT","."&amp;V$2&amp;V$1&amp;"C"&amp;$A27)),0)+IF($A$4&lt;$A27,($A$5-$A$4)*IF(RTD("tos.rtd",,"OPEN_INT","."&amp;V$2&amp;V$1&amp;"P"&amp;$A27)="N/A",0,RTD("tos.rtd",,"OPEN_INT","."&amp;V$2&amp;V$1&amp;"P"&amp;$A27)),0),IF($X$1="ABS",IF(RTD("tos.rtd",,$A$2,"."&amp;V$2&amp;V$1&amp;"C"&amp;$A27)="N/A",0,RTD("tos.rtd",,$A$2,"."&amp;V$2&amp;V$1&amp;"C"&amp;$A27))+IF(RTD("tos.rtd",,$A$2,"."&amp;V$2&amp;V$1&amp;"P"&amp;$A27)="N/A",0,RTD("tos.rtd",,$A$2,"."&amp;V$2&amp;V$1&amp;"P"&amp;$A27)),IF(RTD("tos.rtd",,$A$2,"."&amp;V$2&amp;V$1&amp;"C"&amp;$A27)="N/A",0,RTD("tos.rtd",,$A$2,"."&amp;V$2&amp;V$1&amp;"C"&amp;$A27))-IF(RTD("tos.rtd",,$A$2,"."&amp;V$2&amp;V$1&amp;"P"&amp;$A27)="N/A",0,RTD("tos.rtd",,$A$2,"."&amp;V$2&amp;V$1&amp;"P"&amp;$A27))))))))))</f>
        <v>0</v>
      </c>
      <c r="W27" s="12">
        <f ca="1">IF($A$2="PREMIUM_OI",IFERROR(IF($X$1="ABS",(100*RTD("tos.rtd",,"OPEN_INT","."&amp;W$2&amp;W$1&amp;"C"&amp;$A27)*RTD("tos.rtd",,"LAST","."&amp;W$2&amp;W$1&amp;"C"&amp;$A27)+100*RTD("tos.rtd",,"OPEN_INT","."&amp;W$2&amp;W$1&amp;"P"&amp;$A27)*RTD("tos.rtd",,"LAST","."&amp;W$2&amp;W$1&amp;"P"&amp;$A27))/1000000,(100*RTD("tos.rtd",,"OPEN_INT","."&amp;W$2&amp;W$1&amp;"C"&amp;$A27)*RTD("tos.rtd",,"LAST","."&amp;W$2&amp;W$1&amp;"C"&amp;$A27)-100*RTD("tos.rtd",,"OPEN_INT","."&amp;W$2&amp;W$1&amp;"P"&amp;$A27)*RTD("tos.rtd",,"LAST","."&amp;W$2&amp;W$1&amp;"P"&amp;$A27))/1000000),0),IF($A$2="PREMIUM",IFERROR(IF($X$1="ABS",(100*RTD("tos.rtd",,"VOLUME","."&amp;W$2&amp;W$1&amp;"C"&amp;$A27)*RTD("tos.rtd",,"LAST","."&amp;W$2&amp;W$1&amp;"C"&amp;$A27)+100*RTD("tos.rtd",,"VOLUME","."&amp;W$2&amp;W$1&amp;"P"&amp;$A27)*RTD("tos.rtd",,"LAST","."&amp;W$2&amp;W$1&amp;"P"&amp;$A27))/1000000,(100*RTD("tos.rtd",,"VOLUME","."&amp;W$2&amp;W$1&amp;"C"&amp;$A27)*RTD("tos.rtd",,"LAST","."&amp;W$2&amp;W$1&amp;"C"&amp;$A27)-100*RTD("tos.rtd",,"VOLUME","."&amp;W$2&amp;W$1&amp;"P"&amp;$A27)*RTD("tos.rtd",,"LAST","."&amp;W$2&amp;W$1&amp;"P"&amp;$A27))/1000000),0),IF($A$2="DEX",IFERROR(IF($X$1="ABS",(100*RTD("tos.rtd",,"OPEN_INT","."&amp;W$2&amp;W$1&amp;"C"&amp;$A27)*RTD("tos.rtd",,"DELTA","."&amp;W$2&amp;W$1&amp;"C"&amp;$A27)+100*RTD("tos.rtd",,"OPEN_INT","."&amp;W$2&amp;W$1&amp;"P"&amp;$A27)*RTD("tos.rtd",,"DELTA","."&amp;W$2&amp;W$1&amp;"P"&amp;$A27))/1000,(100*RTD("tos.rtd",,"OPEN_INT","."&amp;W$2&amp;W$1&amp;"C"&amp;$A27)*RTD("tos.rtd",,"DELTA","."&amp;W$2&amp;W$1&amp;"C"&amp;$A27)-100*RTD("tos.rtd",,"OPEN_INT","."&amp;W$2&amp;W$1&amp;"P"&amp;$A27)*RTD("tos.rtd",,"DELTA","."&amp;W$2&amp;W$1&amp;"P"&amp;$A27))/1000),0),IF($A$2="VEX",IFERROR(IF($X$1="ABS",($A$4*$A$4*RTD("tos.rtd",,"VOLUME","."&amp;W$2&amp;W$1&amp;"C"&amp;$A27)*RTD("tos.rtd",,"GAMMA","."&amp;W$2&amp;W$1&amp;"C"&amp;$A27)+$A$4*$A$4*RTD("tos.rtd",,"VOLUME","."&amp;W$2&amp;W$1&amp;"P"&amp;$A27)*RTD("tos.rtd",,"GAMMA","."&amp;W$2&amp;W$1&amp;"P"&amp;$A27))/1000000,($A$4*$A$4*RTD("tos.rtd",,"VOLUME","."&amp;W$2&amp;W$1&amp;"C"&amp;$A27)*RTD("tos.rtd",,"GAMMA","."&amp;W$2&amp;W$1&amp;"C"&amp;$A27)-$A$4*$A$4*RTD("tos.rtd",,"VOLUME","."&amp;W$2&amp;W$1&amp;"P"&amp;$A27)*RTD("tos.rtd",,"GAMMA","."&amp;W$2&amp;W$1&amp;"P"&amp;$A27))/1000000),0),IF($A$2="GEX",IFERROR(IF($X$1="ABS",($A$4*$A$4*RTD("tos.rtd",,"OPEN_INT","."&amp;W$2&amp;W$1&amp;"C"&amp;$A27)*RTD("tos.rtd",,"GAMMA","."&amp;W$2&amp;W$1&amp;"C"&amp;$A27)+$A$4*$A$4*RTD("tos.rtd",,"OPEN_INT","."&amp;W$2&amp;W$1&amp;"P"&amp;$A27)*RTD("tos.rtd",,"GAMMA","."&amp;W$2&amp;W$1&amp;"P"&amp;$A27))/1000000,($A$4*$A$4*RTD("tos.rtd",,"OPEN_INT","."&amp;W$2&amp;W$1&amp;"C"&amp;$A27)*RTD("tos.rtd",,"GAMMA","."&amp;W$2&amp;W$1&amp;"C"&amp;$A27)-$A$4*$A$4*RTD("tos.rtd",,"OPEN_INT","."&amp;W$2&amp;W$1&amp;"P"&amp;$A27)*RTD("tos.rtd",,"GAMMA","."&amp;W$2&amp;W$1&amp;"P"&amp;$A27))/1000000),0),IF($A$2="SKEW",IFERROR(VALUE(IF(RTD("tos.rtd",,"IMPL_VOL","."&amp;W$2&amp;W$1&amp;"P"&amp;$A27)="N/A",0,RTD("tos.rtd",,"IMPL_VOL","."&amp;W$2&amp;W$1&amp;"P"&amp;$A27))),0)-IFERROR(VALUE(IF(RTD("tos.rtd",,"IMPL_VOL","."&amp;W$2&amp;W$1&amp;"C"&amp;$A27)="N/A",0,RTD("tos.rtd",,"IMPL_VOL","."&amp;W$2&amp;W$1&amp;"C"&amp;$A27))),0),IF($A$2="MAXPAIN",IF($A$4&gt;$A27,($A$4-$A27)*IF(RTD("tos.rtd",,"OPEN_INT","."&amp;W$2&amp;W$1&amp;"C"&amp;$A27)="N/A",0,RTD("tos.rtd",,"OPEN_INT","."&amp;W$2&amp;W$1&amp;"C"&amp;$A27)),0)+IF($A$4&lt;$A27,($A$5-$A$4)*IF(RTD("tos.rtd",,"OPEN_INT","."&amp;W$2&amp;W$1&amp;"P"&amp;$A27)="N/A",0,RTD("tos.rtd",,"OPEN_INT","."&amp;W$2&amp;W$1&amp;"P"&amp;$A27)),0),IF($X$1="ABS",IF(RTD("tos.rtd",,$A$2,"."&amp;W$2&amp;W$1&amp;"C"&amp;$A27)="N/A",0,RTD("tos.rtd",,$A$2,"."&amp;W$2&amp;W$1&amp;"C"&amp;$A27))+IF(RTD("tos.rtd",,$A$2,"."&amp;W$2&amp;W$1&amp;"P"&amp;$A27)="N/A",0,RTD("tos.rtd",,$A$2,"."&amp;W$2&amp;W$1&amp;"P"&amp;$A27)),IF(RTD("tos.rtd",,$A$2,"."&amp;W$2&amp;W$1&amp;"C"&amp;$A27)="N/A",0,RTD("tos.rtd",,$A$2,"."&amp;W$2&amp;W$1&amp;"C"&amp;$A27))-IF(RTD("tos.rtd",,$A$2,"."&amp;W$2&amp;W$1&amp;"P"&amp;$A27)="N/A",0,RTD("tos.rtd",,$A$2,"."&amp;W$2&amp;W$1&amp;"P"&amp;$A27))))))))))</f>
        <v>0</v>
      </c>
      <c r="X27" s="57">
        <f t="shared" ca="1" si="7"/>
        <v>7207</v>
      </c>
      <c r="Y27" s="27">
        <f t="shared" ca="1" si="8"/>
        <v>7207</v>
      </c>
      <c r="Z27" s="27" t="b">
        <f t="shared" ca="1" si="9"/>
        <v>0</v>
      </c>
      <c r="AA27" s="27">
        <f t="shared" si="10"/>
        <v>41964750</v>
      </c>
      <c r="AB27" s="18">
        <f>MAX(0, $A27-AB$4)*IF(RTD("tos.rtd",,"OPEN_INT","."&amp;$AA$3&amp;$AA$4&amp;"C"&amp;AB$4)="N/A",0,RTD("tos.rtd",,"OPEN_INT","."&amp;$AA$3&amp;$AA$4&amp;"C"&amp;AB$4))*100 + MAX(0, AB$4-$A27)*IF(RTD("tos.rtd",,"OPEN_INT","."&amp;$AA$3&amp;$AA$4&amp;"P"&amp;AB$4)="N/A",0,RTD("tos.rtd",,"OPEN_INT","."&amp;$AA$3&amp;$AA$4&amp;"P"&amp;AB$4))*100</f>
        <v>0</v>
      </c>
      <c r="AC27" s="18">
        <f>MAX(0, $A27-AC$4)*IF(RTD("tos.rtd",,"OPEN_INT","."&amp;$AA$3&amp;$AA$4&amp;"C"&amp;AC$4)="N/A",0,RTD("tos.rtd",,"OPEN_INT","."&amp;$AA$3&amp;$AA$4&amp;"C"&amp;AC$4))*100 + MAX(0, AC$4-$A27)*IF(RTD("tos.rtd",,"OPEN_INT","."&amp;$AA$3&amp;$AA$4&amp;"P"&amp;AC$4)="N/A",0,RTD("tos.rtd",,"OPEN_INT","."&amp;$AA$3&amp;$AA$4&amp;"P"&amp;AC$4))*100</f>
        <v>0</v>
      </c>
      <c r="AD27" s="18">
        <f>MAX(0, $A27-AD$4)*IF(RTD("tos.rtd",,"OPEN_INT","."&amp;$AA$3&amp;$AA$4&amp;"C"&amp;AD$4)="N/A",0,RTD("tos.rtd",,"OPEN_INT","."&amp;$AA$3&amp;$AA$4&amp;"C"&amp;AD$4))*100 + MAX(0, AD$4-$A27)*IF(RTD("tos.rtd",,"OPEN_INT","."&amp;$AA$3&amp;$AA$4&amp;"P"&amp;AD$4)="N/A",0,RTD("tos.rtd",,"OPEN_INT","."&amp;$AA$3&amp;$AA$4&amp;"P"&amp;AD$4))*100</f>
        <v>0</v>
      </c>
      <c r="AE27" s="18">
        <f>MAX(0, $A27-AE$4)*IF(RTD("tos.rtd",,"OPEN_INT","."&amp;$AA$3&amp;$AA$4&amp;"C"&amp;AE$4)="N/A",0,RTD("tos.rtd",,"OPEN_INT","."&amp;$AA$3&amp;$AA$4&amp;"C"&amp;AE$4))*100 + MAX(0, AE$4-$A27)*IF(RTD("tos.rtd",,"OPEN_INT","."&amp;$AA$3&amp;$AA$4&amp;"P"&amp;AE$4)="N/A",0,RTD("tos.rtd",,"OPEN_INT","."&amp;$AA$3&amp;$AA$4&amp;"P"&amp;AE$4))*100</f>
        <v>0</v>
      </c>
      <c r="AF27" s="18">
        <f>MAX(0, $A27-AF$4)*IF(RTD("tos.rtd",,"OPEN_INT","."&amp;$AA$3&amp;$AA$4&amp;"C"&amp;AF$4)="N/A",0,RTD("tos.rtd",,"OPEN_INT","."&amp;$AA$3&amp;$AA$4&amp;"C"&amp;AF$4))*100 + MAX(0, AF$4-$A27)*IF(RTD("tos.rtd",,"OPEN_INT","."&amp;$AA$3&amp;$AA$4&amp;"P"&amp;AF$4)="N/A",0,RTD("tos.rtd",,"OPEN_INT","."&amp;$AA$3&amp;$AA$4&amp;"P"&amp;AF$4))*100</f>
        <v>0</v>
      </c>
      <c r="AG27" s="18">
        <f>MAX(0, $A27-AG$4)*IF(RTD("tos.rtd",,"OPEN_INT","."&amp;$AA$3&amp;$AA$4&amp;"C"&amp;AG$4)="N/A",0,RTD("tos.rtd",,"OPEN_INT","."&amp;$AA$3&amp;$AA$4&amp;"C"&amp;AG$4))*100 + MAX(0, AG$4-$A27)*IF(RTD("tos.rtd",,"OPEN_INT","."&amp;$AA$3&amp;$AA$4&amp;"P"&amp;AG$4)="N/A",0,RTD("tos.rtd",,"OPEN_INT","."&amp;$AA$3&amp;$AA$4&amp;"P"&amp;AG$4))*100</f>
        <v>0</v>
      </c>
      <c r="AH27" s="18">
        <f>MAX(0, $A27-AH$4)*IF(RTD("tos.rtd",,"OPEN_INT","."&amp;$AA$3&amp;$AA$4&amp;"C"&amp;AH$4)="N/A",0,RTD("tos.rtd",,"OPEN_INT","."&amp;$AA$3&amp;$AA$4&amp;"C"&amp;AH$4))*100 + MAX(0, AH$4-$A27)*IF(RTD("tos.rtd",,"OPEN_INT","."&amp;$AA$3&amp;$AA$4&amp;"P"&amp;AH$4)="N/A",0,RTD("tos.rtd",,"OPEN_INT","."&amp;$AA$3&amp;$AA$4&amp;"P"&amp;AH$4))*100</f>
        <v>0</v>
      </c>
      <c r="AI27" s="18">
        <f>MAX(0, $A27-AI$4)*IF(RTD("tos.rtd",,"OPEN_INT","."&amp;$AA$3&amp;$AA$4&amp;"C"&amp;AI$4)="N/A",0,RTD("tos.rtd",,"OPEN_INT","."&amp;$AA$3&amp;$AA$4&amp;"C"&amp;AI$4))*100 + MAX(0, AI$4-$A27)*IF(RTD("tos.rtd",,"OPEN_INT","."&amp;$AA$3&amp;$AA$4&amp;"P"&amp;AI$4)="N/A",0,RTD("tos.rtd",,"OPEN_INT","."&amp;$AA$3&amp;$AA$4&amp;"P"&amp;AI$4))*100</f>
        <v>2250</v>
      </c>
      <c r="AJ27" s="18">
        <f>MAX(0, $A27-AJ$4)*IF(RTD("tos.rtd",,"OPEN_INT","."&amp;$AA$3&amp;$AA$4&amp;"C"&amp;AJ$4)="N/A",0,RTD("tos.rtd",,"OPEN_INT","."&amp;$AA$3&amp;$AA$4&amp;"C"&amp;AJ$4))*100 + MAX(0, AJ$4-$A27)*IF(RTD("tos.rtd",,"OPEN_INT","."&amp;$AA$3&amp;$AA$4&amp;"P"&amp;AJ$4)="N/A",0,RTD("tos.rtd",,"OPEN_INT","."&amp;$AA$3&amp;$AA$4&amp;"P"&amp;AJ$4))*100</f>
        <v>5600</v>
      </c>
      <c r="AK27" s="18">
        <f>MAX(0, $A27-AK$4)*IF(RTD("tos.rtd",,"OPEN_INT","."&amp;$AA$3&amp;$AA$4&amp;"C"&amp;AK$4)="N/A",0,RTD("tos.rtd",,"OPEN_INT","."&amp;$AA$3&amp;$AA$4&amp;"C"&amp;AK$4))*100 + MAX(0, AK$4-$A27)*IF(RTD("tos.rtd",,"OPEN_INT","."&amp;$AA$3&amp;$AA$4&amp;"P"&amp;AK$4)="N/A",0,RTD("tos.rtd",,"OPEN_INT","."&amp;$AA$3&amp;$AA$4&amp;"P"&amp;AK$4))*100</f>
        <v>0</v>
      </c>
      <c r="AL27" s="18">
        <f>MAX(0, $A27-AL$4)*IF(RTD("tos.rtd",,"OPEN_INT","."&amp;$AA$3&amp;$AA$4&amp;"C"&amp;AL$4)="N/A",0,RTD("tos.rtd",,"OPEN_INT","."&amp;$AA$3&amp;$AA$4&amp;"C"&amp;AL$4))*100 + MAX(0, AL$4-$A27)*IF(RTD("tos.rtd",,"OPEN_INT","."&amp;$AA$3&amp;$AA$4&amp;"P"&amp;AL$4)="N/A",0,RTD("tos.rtd",,"OPEN_INT","."&amp;$AA$3&amp;$AA$4&amp;"P"&amp;AL$4))*100</f>
        <v>0</v>
      </c>
      <c r="AM27" s="18">
        <f>MAX(0, $A27-AM$4)*IF(RTD("tos.rtd",,"OPEN_INT","."&amp;$AA$3&amp;$AA$4&amp;"C"&amp;AM$4)="N/A",0,RTD("tos.rtd",,"OPEN_INT","."&amp;$AA$3&amp;$AA$4&amp;"C"&amp;AM$4))*100 + MAX(0, AM$4-$A27)*IF(RTD("tos.rtd",,"OPEN_INT","."&amp;$AA$3&amp;$AA$4&amp;"P"&amp;AM$4)="N/A",0,RTD("tos.rtd",,"OPEN_INT","."&amp;$AA$3&amp;$AA$4&amp;"P"&amp;AM$4))*100</f>
        <v>0</v>
      </c>
      <c r="AN27" s="18">
        <f>MAX(0, $A27-AN$4)*IF(RTD("tos.rtd",,"OPEN_INT","."&amp;$AA$3&amp;$AA$4&amp;"C"&amp;AN$4)="N/A",0,RTD("tos.rtd",,"OPEN_INT","."&amp;$AA$3&amp;$AA$4&amp;"C"&amp;AN$4))*100 + MAX(0, AN$4-$A27)*IF(RTD("tos.rtd",,"OPEN_INT","."&amp;$AA$3&amp;$AA$4&amp;"P"&amp;AN$4)="N/A",0,RTD("tos.rtd",,"OPEN_INT","."&amp;$AA$3&amp;$AA$4&amp;"P"&amp;AN$4))*100</f>
        <v>0</v>
      </c>
      <c r="AO27" s="18">
        <f>MAX(0, $A27-AO$4)*IF(RTD("tos.rtd",,"OPEN_INT","."&amp;$AA$3&amp;$AA$4&amp;"C"&amp;AO$4)="N/A",0,RTD("tos.rtd",,"OPEN_INT","."&amp;$AA$3&amp;$AA$4&amp;"C"&amp;AO$4))*100 + MAX(0, AO$4-$A27)*IF(RTD("tos.rtd",,"OPEN_INT","."&amp;$AA$3&amp;$AA$4&amp;"P"&amp;AO$4)="N/A",0,RTD("tos.rtd",,"OPEN_INT","."&amp;$AA$3&amp;$AA$4&amp;"P"&amp;AO$4))*100</f>
        <v>54000</v>
      </c>
      <c r="AP27" s="18">
        <f>MAX(0, $A27-AP$4)*IF(RTD("tos.rtd",,"OPEN_INT","."&amp;$AA$3&amp;$AA$4&amp;"C"&amp;AP$4)="N/A",0,RTD("tos.rtd",,"OPEN_INT","."&amp;$AA$3&amp;$AA$4&amp;"C"&amp;AP$4))*100 + MAX(0, AP$4-$A27)*IF(RTD("tos.rtd",,"OPEN_INT","."&amp;$AA$3&amp;$AA$4&amp;"P"&amp;AP$4)="N/A",0,RTD("tos.rtd",,"OPEN_INT","."&amp;$AA$3&amp;$AA$4&amp;"P"&amp;AP$4))*100</f>
        <v>0</v>
      </c>
      <c r="AQ27" s="18">
        <f>MAX(0, $A27-AQ$4)*IF(RTD("tos.rtd",,"OPEN_INT","."&amp;$AA$3&amp;$AA$4&amp;"C"&amp;AQ$4)="N/A",0,RTD("tos.rtd",,"OPEN_INT","."&amp;$AA$3&amp;$AA$4&amp;"C"&amp;AQ$4))*100 + MAX(0, AQ$4-$A27)*IF(RTD("tos.rtd",,"OPEN_INT","."&amp;$AA$3&amp;$AA$4&amp;"P"&amp;AQ$4)="N/A",0,RTD("tos.rtd",,"OPEN_INT","."&amp;$AA$3&amp;$AA$4&amp;"P"&amp;AQ$4))*100</f>
        <v>18550</v>
      </c>
      <c r="AR27" s="18">
        <f>MAX(0, $A27-AR$4)*IF(RTD("tos.rtd",,"OPEN_INT","."&amp;$AA$3&amp;$AA$4&amp;"C"&amp;AR$4)="N/A",0,RTD("tos.rtd",,"OPEN_INT","."&amp;$AA$3&amp;$AA$4&amp;"C"&amp;AR$4))*100 + MAX(0, AR$4-$A27)*IF(RTD("tos.rtd",,"OPEN_INT","."&amp;$AA$3&amp;$AA$4&amp;"P"&amp;AR$4)="N/A",0,RTD("tos.rtd",,"OPEN_INT","."&amp;$AA$3&amp;$AA$4&amp;"P"&amp;AR$4))*100</f>
        <v>1800</v>
      </c>
      <c r="AS27" s="18">
        <f>MAX(0, $A27-AS$4)*IF(RTD("tos.rtd",,"OPEN_INT","."&amp;$AA$3&amp;$AA$4&amp;"C"&amp;AS$4)="N/A",0,RTD("tos.rtd",,"OPEN_INT","."&amp;$AA$3&amp;$AA$4&amp;"C"&amp;AS$4))*100 + MAX(0, AS$4-$A27)*IF(RTD("tos.rtd",,"OPEN_INT","."&amp;$AA$3&amp;$AA$4&amp;"P"&amp;AS$4)="N/A",0,RTD("tos.rtd",,"OPEN_INT","."&amp;$AA$3&amp;$AA$4&amp;"P"&amp;AS$4))*100</f>
        <v>15500</v>
      </c>
      <c r="AT27" s="18">
        <f>MAX(0, $A27-AT$4)*IF(RTD("tos.rtd",,"OPEN_INT","."&amp;$AA$3&amp;$AA$4&amp;"C"&amp;AT$4)="N/A",0,RTD("tos.rtd",,"OPEN_INT","."&amp;$AA$3&amp;$AA$4&amp;"C"&amp;AT$4))*100 + MAX(0, AT$4-$A27)*IF(RTD("tos.rtd",,"OPEN_INT","."&amp;$AA$3&amp;$AA$4&amp;"P"&amp;AT$4)="N/A",0,RTD("tos.rtd",,"OPEN_INT","."&amp;$AA$3&amp;$AA$4&amp;"P"&amp;AT$4))*100</f>
        <v>14000</v>
      </c>
      <c r="AU27" s="18">
        <f>MAX(0, $A27-AU$4)*IF(RTD("tos.rtd",,"OPEN_INT","."&amp;$AA$3&amp;$AA$4&amp;"C"&amp;AU$4)="N/A",0,RTD("tos.rtd",,"OPEN_INT","."&amp;$AA$3&amp;$AA$4&amp;"C"&amp;AU$4))*100 + MAX(0, AU$4-$A27)*IF(RTD("tos.rtd",,"OPEN_INT","."&amp;$AA$3&amp;$AA$4&amp;"P"&amp;AU$4)="N/A",0,RTD("tos.rtd",,"OPEN_INT","."&amp;$AA$3&amp;$AA$4&amp;"P"&amp;AU$4))*100</f>
        <v>6000</v>
      </c>
      <c r="AV27" s="18">
        <f>MAX(0, $A27-AV$4)*IF(RTD("tos.rtd",,"OPEN_INT","."&amp;$AA$3&amp;$AA$4&amp;"C"&amp;AV$4)="N/A",0,RTD("tos.rtd",,"OPEN_INT","."&amp;$AA$3&amp;$AA$4&amp;"C"&amp;AV$4))*100 + MAX(0, AV$4-$A27)*IF(RTD("tos.rtd",,"OPEN_INT","."&amp;$AA$3&amp;$AA$4&amp;"P"&amp;AV$4)="N/A",0,RTD("tos.rtd",,"OPEN_INT","."&amp;$AA$3&amp;$AA$4&amp;"P"&amp;AV$4))*100</f>
        <v>16100</v>
      </c>
      <c r="AW27" s="18">
        <f>MAX(0, $A27-AW$4)*IF(RTD("tos.rtd",,"OPEN_INT","."&amp;$AA$3&amp;$AA$4&amp;"C"&amp;AW$4)="N/A",0,RTD("tos.rtd",,"OPEN_INT","."&amp;$AA$3&amp;$AA$4&amp;"C"&amp;AW$4))*100 + MAX(0, AW$4-$A27)*IF(RTD("tos.rtd",,"OPEN_INT","."&amp;$AA$3&amp;$AA$4&amp;"P"&amp;AW$4)="N/A",0,RTD("tos.rtd",,"OPEN_INT","."&amp;$AA$3&amp;$AA$4&amp;"P"&amp;AW$4))*100</f>
        <v>10100</v>
      </c>
      <c r="AX27" s="18">
        <f>MAX(0, $A27-AX$4)*IF(RTD("tos.rtd",,"OPEN_INT","."&amp;$AA$3&amp;$AA$4&amp;"C"&amp;AX$4)="N/A",0,RTD("tos.rtd",,"OPEN_INT","."&amp;$AA$3&amp;$AA$4&amp;"C"&amp;AX$4))*100 + MAX(0, AX$4-$A27)*IF(RTD("tos.rtd",,"OPEN_INT","."&amp;$AA$3&amp;$AA$4&amp;"P"&amp;AX$4)="N/A",0,RTD("tos.rtd",,"OPEN_INT","."&amp;$AA$3&amp;$AA$4&amp;"P"&amp;AX$4))*100</f>
        <v>0</v>
      </c>
      <c r="AY27" s="18">
        <f>MAX(0, $A27-AY$4)*IF(RTD("tos.rtd",,"OPEN_INT","."&amp;$AA$3&amp;$AA$4&amp;"C"&amp;AY$4)="N/A",0,RTD("tos.rtd",,"OPEN_INT","."&amp;$AA$3&amp;$AA$4&amp;"C"&amp;AY$4))*100 + MAX(0, AY$4-$A27)*IF(RTD("tos.rtd",,"OPEN_INT","."&amp;$AA$3&amp;$AA$4&amp;"P"&amp;AY$4)="N/A",0,RTD("tos.rtd",,"OPEN_INT","."&amp;$AA$3&amp;$AA$4&amp;"P"&amp;AY$4))*100</f>
        <v>977400</v>
      </c>
      <c r="AZ27" s="18">
        <f>MAX(0, $A27-AZ$4)*IF(RTD("tos.rtd",,"OPEN_INT","."&amp;$AA$3&amp;$AA$4&amp;"C"&amp;AZ$4)="N/A",0,RTD("tos.rtd",,"OPEN_INT","."&amp;$AA$3&amp;$AA$4&amp;"C"&amp;AZ$4))*100 + MAX(0, AZ$4-$A27)*IF(RTD("tos.rtd",,"OPEN_INT","."&amp;$AA$3&amp;$AA$4&amp;"P"&amp;AZ$4)="N/A",0,RTD("tos.rtd",,"OPEN_INT","."&amp;$AA$3&amp;$AA$4&amp;"P"&amp;AZ$4))*100</f>
        <v>985000</v>
      </c>
      <c r="BA27" s="18">
        <f>MAX(0, $A27-BA$4)*IF(RTD("tos.rtd",,"OPEN_INT","."&amp;$AA$3&amp;$AA$4&amp;"C"&amp;BA$4)="N/A",0,RTD("tos.rtd",,"OPEN_INT","."&amp;$AA$3&amp;$AA$4&amp;"C"&amp;BA$4))*100 + MAX(0, BA$4-$A27)*IF(RTD("tos.rtd",,"OPEN_INT","."&amp;$AA$3&amp;$AA$4&amp;"P"&amp;BA$4)="N/A",0,RTD("tos.rtd",,"OPEN_INT","."&amp;$AA$3&amp;$AA$4&amp;"P"&amp;BA$4))*100</f>
        <v>4621050</v>
      </c>
      <c r="BB27" s="18">
        <f>MAX(0, $A27-BB$4)*IF(RTD("tos.rtd",,"OPEN_INT","."&amp;$AA$3&amp;$AA$4&amp;"C"&amp;BB$4)="N/A",0,RTD("tos.rtd",,"OPEN_INT","."&amp;$AA$3&amp;$AA$4&amp;"C"&amp;BB$4))*100 + MAX(0, BB$4-$A27)*IF(RTD("tos.rtd",,"OPEN_INT","."&amp;$AA$3&amp;$AA$4&amp;"P"&amp;BB$4)="N/A",0,RTD("tos.rtd",,"OPEN_INT","."&amp;$AA$3&amp;$AA$4&amp;"P"&amp;BB$4))*100</f>
        <v>5731600</v>
      </c>
      <c r="BC27" s="18">
        <f>MAX(0, $A27-BC$4)*IF(RTD("tos.rtd",,"OPEN_INT","."&amp;$AA$3&amp;$AA$4&amp;"C"&amp;BC$4)="N/A",0,RTD("tos.rtd",,"OPEN_INT","."&amp;$AA$3&amp;$AA$4&amp;"C"&amp;BC$4))*100 + MAX(0, BC$4-$A27)*IF(RTD("tos.rtd",,"OPEN_INT","."&amp;$AA$3&amp;$AA$4&amp;"P"&amp;BC$4)="N/A",0,RTD("tos.rtd",,"OPEN_INT","."&amp;$AA$3&amp;$AA$4&amp;"P"&amp;BC$4))*100</f>
        <v>10178250</v>
      </c>
      <c r="BD27" s="18">
        <f>MAX(0, $A27-BD$4)*IF(RTD("tos.rtd",,"OPEN_INT","."&amp;$AA$3&amp;$AA$4&amp;"C"&amp;BD$4)="N/A",0,RTD("tos.rtd",,"OPEN_INT","."&amp;$AA$3&amp;$AA$4&amp;"C"&amp;BD$4))*100 + MAX(0, BD$4-$A27)*IF(RTD("tos.rtd",,"OPEN_INT","."&amp;$AA$3&amp;$AA$4&amp;"P"&amp;BD$4)="N/A",0,RTD("tos.rtd",,"OPEN_INT","."&amp;$AA$3&amp;$AA$4&amp;"P"&amp;BD$4))*100</f>
        <v>5568000</v>
      </c>
      <c r="BE27" s="18">
        <f>MAX(0, $A27-BE$4)*IF(RTD("tos.rtd",,"OPEN_INT","."&amp;$AA$3&amp;$AA$4&amp;"C"&amp;BE$4)="N/A",0,RTD("tos.rtd",,"OPEN_INT","."&amp;$AA$3&amp;$AA$4&amp;"C"&amp;BE$4))*100 + MAX(0, BE$4-$A27)*IF(RTD("tos.rtd",,"OPEN_INT","."&amp;$AA$3&amp;$AA$4&amp;"P"&amp;BE$4)="N/A",0,RTD("tos.rtd",,"OPEN_INT","."&amp;$AA$3&amp;$AA$4&amp;"P"&amp;BE$4))*100</f>
        <v>6047300</v>
      </c>
      <c r="BF27" s="18">
        <f>MAX(0, $A27-BF$4)*IF(RTD("tos.rtd",,"OPEN_INT","."&amp;$AA$3&amp;$AA$4&amp;"C"&amp;BF$4)="N/A",0,RTD("tos.rtd",,"OPEN_INT","."&amp;$AA$3&amp;$AA$4&amp;"C"&amp;BF$4))*100 + MAX(0, BF$4-$A27)*IF(RTD("tos.rtd",,"OPEN_INT","."&amp;$AA$3&amp;$AA$4&amp;"P"&amp;BF$4)="N/A",0,RTD("tos.rtd",,"OPEN_INT","."&amp;$AA$3&amp;$AA$4&amp;"P"&amp;BF$4))*100</f>
        <v>3362800</v>
      </c>
      <c r="BG27" s="18">
        <f>MAX(0, $A27-BG$4)*IF(RTD("tos.rtd",,"OPEN_INT","."&amp;$AA$3&amp;$AA$4&amp;"C"&amp;BG$4)="N/A",0,RTD("tos.rtd",,"OPEN_INT","."&amp;$AA$3&amp;$AA$4&amp;"C"&amp;BG$4))*100 + MAX(0, BG$4-$A27)*IF(RTD("tos.rtd",,"OPEN_INT","."&amp;$AA$3&amp;$AA$4&amp;"P"&amp;BG$4)="N/A",0,RTD("tos.rtd",,"OPEN_INT","."&amp;$AA$3&amp;$AA$4&amp;"P"&amp;BG$4))*100</f>
        <v>2580300</v>
      </c>
      <c r="BH27" s="18">
        <f>MAX(0, $A27-BH$4)*IF(RTD("tos.rtd",,"OPEN_INT","."&amp;$AA$3&amp;$AA$4&amp;"C"&amp;BH$4)="N/A",0,RTD("tos.rtd",,"OPEN_INT","."&amp;$AA$3&amp;$AA$4&amp;"C"&amp;BH$4))*100 + MAX(0, BH$4-$A27)*IF(RTD("tos.rtd",,"OPEN_INT","."&amp;$AA$3&amp;$AA$4&amp;"P"&amp;BH$4)="N/A",0,RTD("tos.rtd",,"OPEN_INT","."&amp;$AA$3&amp;$AA$4&amp;"P"&amp;BH$4))*100</f>
        <v>971500</v>
      </c>
      <c r="BI27" s="18">
        <f>MAX(0, $A27-BI$4)*IF(RTD("tos.rtd",,"OPEN_INT","."&amp;$AA$3&amp;$AA$4&amp;"C"&amp;BI$4)="N/A",0,RTD("tos.rtd",,"OPEN_INT","."&amp;$AA$3&amp;$AA$4&amp;"C"&amp;BI$4))*100 + MAX(0, BI$4-$A27)*IF(RTD("tos.rtd",,"OPEN_INT","."&amp;$AA$3&amp;$AA$4&amp;"P"&amp;BI$4)="N/A",0,RTD("tos.rtd",,"OPEN_INT","."&amp;$AA$3&amp;$AA$4&amp;"P"&amp;BI$4))*100</f>
        <v>463100</v>
      </c>
      <c r="BJ27" s="18">
        <f>MAX(0, $A27-BJ$4)*IF(RTD("tos.rtd",,"OPEN_INT","."&amp;$AA$3&amp;$AA$4&amp;"C"&amp;BJ$4)="N/A",0,RTD("tos.rtd",,"OPEN_INT","."&amp;$AA$3&amp;$AA$4&amp;"C"&amp;BJ$4))*100 + MAX(0, BJ$4-$A27)*IF(RTD("tos.rtd",,"OPEN_INT","."&amp;$AA$3&amp;$AA$4&amp;"P"&amp;BJ$4)="N/A",0,RTD("tos.rtd",,"OPEN_INT","."&amp;$AA$3&amp;$AA$4&amp;"P"&amp;BJ$4))*100</f>
        <v>90600</v>
      </c>
      <c r="BK27" s="18">
        <f>MAX(0, $A27-BK$4)*IF(RTD("tos.rtd",,"OPEN_INT","."&amp;$AA$3&amp;$AA$4&amp;"C"&amp;BK$4)="N/A",0,RTD("tos.rtd",,"OPEN_INT","."&amp;$AA$3&amp;$AA$4&amp;"C"&amp;BK$4))*100 + MAX(0, BK$4-$A27)*IF(RTD("tos.rtd",,"OPEN_INT","."&amp;$AA$3&amp;$AA$4&amp;"P"&amp;BK$4)="N/A",0,RTD("tos.rtd",,"OPEN_INT","."&amp;$AA$3&amp;$AA$4&amp;"P"&amp;BK$4))*100</f>
        <v>169650</v>
      </c>
      <c r="BL27" s="18">
        <f>MAX(0, $A27-BL$4)*IF(RTD("tos.rtd",,"OPEN_INT","."&amp;$AA$3&amp;$AA$4&amp;"C"&amp;BL$4)="N/A",0,RTD("tos.rtd",,"OPEN_INT","."&amp;$AA$3&amp;$AA$4&amp;"C"&amp;BL$4))*100 + MAX(0, BL$4-$A27)*IF(RTD("tos.rtd",,"OPEN_INT","."&amp;$AA$3&amp;$AA$4&amp;"P"&amp;BL$4)="N/A",0,RTD("tos.rtd",,"OPEN_INT","."&amp;$AA$3&amp;$AA$4&amp;"P"&amp;BL$4))*100</f>
        <v>11200</v>
      </c>
      <c r="BM27" s="18">
        <f>MAX(0, $A27-BM$4)*IF(RTD("tos.rtd",,"OPEN_INT","."&amp;$AA$3&amp;$AA$4&amp;"C"&amp;BM$4)="N/A",0,RTD("tos.rtd",,"OPEN_INT","."&amp;$AA$3&amp;$AA$4&amp;"C"&amp;BM$4))*100 + MAX(0, BM$4-$A27)*IF(RTD("tos.rtd",,"OPEN_INT","."&amp;$AA$3&amp;$AA$4&amp;"P"&amp;BM$4)="N/A",0,RTD("tos.rtd",,"OPEN_INT","."&amp;$AA$3&amp;$AA$4&amp;"P"&amp;BM$4))*100</f>
        <v>6000</v>
      </c>
      <c r="BN27" s="18">
        <f>MAX(0, $A27-BN$4)*IF(RTD("tos.rtd",,"OPEN_INT","."&amp;$AA$3&amp;$AA$4&amp;"C"&amp;BN$4)="N/A",0,RTD("tos.rtd",,"OPEN_INT","."&amp;$AA$3&amp;$AA$4&amp;"C"&amp;BN$4))*100 + MAX(0, BN$4-$A27)*IF(RTD("tos.rtd",,"OPEN_INT","."&amp;$AA$3&amp;$AA$4&amp;"P"&amp;BN$4)="N/A",0,RTD("tos.rtd",,"OPEN_INT","."&amp;$AA$3&amp;$AA$4&amp;"P"&amp;BN$4))*100</f>
        <v>24800</v>
      </c>
      <c r="BO27" s="18">
        <f>MAX(0, $A27-BO$4)*IF(RTD("tos.rtd",,"OPEN_INT","."&amp;$AA$3&amp;$AA$4&amp;"C"&amp;BO$4)="N/A",0,RTD("tos.rtd",,"OPEN_INT","."&amp;$AA$3&amp;$AA$4&amp;"C"&amp;BO$4))*100 + MAX(0, BO$4-$A27)*IF(RTD("tos.rtd",,"OPEN_INT","."&amp;$AA$3&amp;$AA$4&amp;"P"&amp;BO$4)="N/A",0,RTD("tos.rtd",,"OPEN_INT","."&amp;$AA$3&amp;$AA$4&amp;"P"&amp;BO$4))*100</f>
        <v>32300</v>
      </c>
      <c r="BP27" s="18">
        <f>MAX(0, $A27-BP$4)*IF(RTD("tos.rtd",,"OPEN_INT","."&amp;$AA$3&amp;$AA$4&amp;"C"&amp;BP$4)="N/A",0,RTD("tos.rtd",,"OPEN_INT","."&amp;$AA$3&amp;$AA$4&amp;"C"&amp;BP$4))*100 + MAX(0, BP$4-$A27)*IF(RTD("tos.rtd",,"OPEN_INT","."&amp;$AA$3&amp;$AA$4&amp;"P"&amp;BP$4)="N/A",0,RTD("tos.rtd",,"OPEN_INT","."&amp;$AA$3&amp;$AA$4&amp;"P"&amp;BP$4))*100</f>
        <v>0</v>
      </c>
      <c r="BQ27" s="18">
        <f>MAX(0, $A27-BQ$4)*IF(RTD("tos.rtd",,"OPEN_INT","."&amp;$AA$3&amp;$AA$4&amp;"C"&amp;BQ$4)="N/A",0,RTD("tos.rtd",,"OPEN_INT","."&amp;$AA$3&amp;$AA$4&amp;"C"&amp;BQ$4))*100 + MAX(0, BQ$4-$A27)*IF(RTD("tos.rtd",,"OPEN_INT","."&amp;$AA$3&amp;$AA$4&amp;"P"&amp;BQ$4)="N/A",0,RTD("tos.rtd",,"OPEN_INT","."&amp;$AA$3&amp;$AA$4&amp;"P"&amp;BQ$4))*100</f>
        <v>0</v>
      </c>
      <c r="BR27" s="18">
        <f>MAX(0, $A27-BR$4)*IF(RTD("tos.rtd",,"OPEN_INT","."&amp;$AA$3&amp;$AA$4&amp;"C"&amp;BR$4)="N/A",0,RTD("tos.rtd",,"OPEN_INT","."&amp;$AA$3&amp;$AA$4&amp;"C"&amp;BR$4))*100 + MAX(0, BR$4-$A27)*IF(RTD("tos.rtd",,"OPEN_INT","."&amp;$AA$3&amp;$AA$4&amp;"P"&amp;BR$4)="N/A",0,RTD("tos.rtd",,"OPEN_INT","."&amp;$AA$3&amp;$AA$4&amp;"P"&amp;BR$4))*100</f>
        <v>0</v>
      </c>
      <c r="BS27" s="18">
        <f>MAX(0, $A27-BS$4)*IF(RTD("tos.rtd",,"OPEN_INT","."&amp;$AA$3&amp;$AA$4&amp;"C"&amp;BS$4)="N/A",0,RTD("tos.rtd",,"OPEN_INT","."&amp;$AA$3&amp;$AA$4&amp;"C"&amp;BS$4))*100 + MAX(0, BS$4-$A27)*IF(RTD("tos.rtd",,"OPEN_INT","."&amp;$AA$3&amp;$AA$4&amp;"P"&amp;BS$4)="N/A",0,RTD("tos.rtd",,"OPEN_INT","."&amp;$AA$3&amp;$AA$4&amp;"P"&amp;BS$4))*100</f>
        <v>0</v>
      </c>
      <c r="BT27" s="18">
        <f>MAX(0, $A27-BT$4)*IF(RTD("tos.rtd",,"OPEN_INT","."&amp;$AA$3&amp;$AA$4&amp;"C"&amp;BT$4)="N/A",0,RTD("tos.rtd",,"OPEN_INT","."&amp;$AA$3&amp;$AA$4&amp;"C"&amp;BT$4))*100 + MAX(0, BT$4-$A27)*IF(RTD("tos.rtd",,"OPEN_INT","."&amp;$AA$3&amp;$AA$4&amp;"P"&amp;BT$4)="N/A",0,RTD("tos.rtd",,"OPEN_INT","."&amp;$AA$3&amp;$AA$4&amp;"P"&amp;BT$4))*100</f>
        <v>0</v>
      </c>
      <c r="BU27" s="18">
        <f>MAX(0, $A27-BU$4)*IF(RTD("tos.rtd",,"OPEN_INT","."&amp;$AA$3&amp;$AA$4&amp;"C"&amp;BU$4)="N/A",0,RTD("tos.rtd",,"OPEN_INT","."&amp;$AA$3&amp;$AA$4&amp;"C"&amp;BU$4))*100 + MAX(0, BU$4-$A27)*IF(RTD("tos.rtd",,"OPEN_INT","."&amp;$AA$3&amp;$AA$4&amp;"P"&amp;BU$4)="N/A",0,RTD("tos.rtd",,"OPEN_INT","."&amp;$AA$3&amp;$AA$4&amp;"P"&amp;BU$4))*100</f>
        <v>0</v>
      </c>
      <c r="BV27" s="18">
        <f>MAX(0, $A27-BV$4)*IF(RTD("tos.rtd",,"OPEN_INT","."&amp;$AA$3&amp;$AA$4&amp;"C"&amp;BV$4)="N/A",0,RTD("tos.rtd",,"OPEN_INT","."&amp;$AA$3&amp;$AA$4&amp;"C"&amp;BV$4))*100 + MAX(0, BV$4-$A27)*IF(RTD("tos.rtd",,"OPEN_INT","."&amp;$AA$3&amp;$AA$4&amp;"P"&amp;BV$4)="N/A",0,RTD("tos.rtd",,"OPEN_INT","."&amp;$AA$3&amp;$AA$4&amp;"P"&amp;BV$4))*100</f>
        <v>0</v>
      </c>
    </row>
    <row r="28" spans="1:74" s="19" customFormat="1" ht="11.1" customHeight="1" thickBot="1" x14ac:dyDescent="0.3">
      <c r="A28" s="24">
        <f>+ROUND(A4/A53,0)*A53</f>
        <v>10</v>
      </c>
      <c r="B28" s="14">
        <f ca="1">IF($A$2="PREMIUM_OI",IFERROR(IF($X$1="ABS",(100*RTD("tos.rtd",,"OPEN_INT","."&amp;B$2&amp;B$1&amp;"C"&amp;$A28)*RTD("tos.rtd",,"LAST","."&amp;B$2&amp;B$1&amp;"C"&amp;$A28)+100*RTD("tos.rtd",,"OPEN_INT","."&amp;B$2&amp;B$1&amp;"P"&amp;$A28)*RTD("tos.rtd",,"LAST","."&amp;B$2&amp;B$1&amp;"P"&amp;$A28))/1000000,(100*RTD("tos.rtd",,"OPEN_INT","."&amp;B$2&amp;B$1&amp;"C"&amp;$A28)*RTD("tos.rtd",,"LAST","."&amp;B$2&amp;B$1&amp;"C"&amp;$A28)-100*RTD("tos.rtd",,"OPEN_INT","."&amp;B$2&amp;B$1&amp;"P"&amp;$A28)*RTD("tos.rtd",,"LAST","."&amp;B$2&amp;B$1&amp;"P"&amp;$A28))/1000000),0),IF($A$2="PREMIUM",IFERROR(IF($X$1="ABS",(100*RTD("tos.rtd",,"VOLUME","."&amp;B$2&amp;B$1&amp;"C"&amp;$A28)*RTD("tos.rtd",,"LAST","."&amp;B$2&amp;B$1&amp;"C"&amp;$A28)+100*RTD("tos.rtd",,"VOLUME","."&amp;B$2&amp;B$1&amp;"P"&amp;$A28)*RTD("tos.rtd",,"LAST","."&amp;B$2&amp;B$1&amp;"P"&amp;$A28))/1000000,(100*RTD("tos.rtd",,"VOLUME","."&amp;B$2&amp;B$1&amp;"C"&amp;$A28)*RTD("tos.rtd",,"LAST","."&amp;B$2&amp;B$1&amp;"C"&amp;$A28)-100*RTD("tos.rtd",,"VOLUME","."&amp;B$2&amp;B$1&amp;"P"&amp;$A28)*RTD("tos.rtd",,"LAST","."&amp;B$2&amp;B$1&amp;"P"&amp;$A28))/1000000),0),IF($A$2="DEX",IFERROR(IF($X$1="ABS",(100*RTD("tos.rtd",,"OPEN_INT","."&amp;B$2&amp;B$1&amp;"C"&amp;$A28)*RTD("tos.rtd",,"DELTA","."&amp;B$2&amp;B$1&amp;"C"&amp;$A28)+100*RTD("tos.rtd",,"OPEN_INT","."&amp;B$2&amp;B$1&amp;"P"&amp;$A28)*RTD("tos.rtd",,"DELTA","."&amp;B$2&amp;B$1&amp;"P"&amp;$A28))/1000,(100*RTD("tos.rtd",,"OPEN_INT","."&amp;B$2&amp;B$1&amp;"C"&amp;$A28)*RTD("tos.rtd",,"DELTA","."&amp;B$2&amp;B$1&amp;"C"&amp;$A28)-100*RTD("tos.rtd",,"OPEN_INT","."&amp;B$2&amp;B$1&amp;"P"&amp;$A28)*RTD("tos.rtd",,"DELTA","."&amp;B$2&amp;B$1&amp;"P"&amp;$A28))/1000),0),IF($A$2="VEX",IFERROR(IF($X$1="ABS",($A$4*$A$4*RTD("tos.rtd",,"VOLUME","."&amp;B$2&amp;B$1&amp;"C"&amp;$A28)*RTD("tos.rtd",,"GAMMA","."&amp;B$2&amp;B$1&amp;"C"&amp;$A28)+$A$4*$A$4*RTD("tos.rtd",,"VOLUME","."&amp;B$2&amp;B$1&amp;"P"&amp;$A28)*RTD("tos.rtd",,"GAMMA","."&amp;B$2&amp;B$1&amp;"P"&amp;$A28))/1000000,($A$4*$A$4*RTD("tos.rtd",,"VOLUME","."&amp;B$2&amp;B$1&amp;"C"&amp;$A28)*RTD("tos.rtd",,"GAMMA","."&amp;B$2&amp;B$1&amp;"C"&amp;$A28)-$A$4*$A$4*RTD("tos.rtd",,"VOLUME","."&amp;B$2&amp;B$1&amp;"P"&amp;$A28)*RTD("tos.rtd",,"GAMMA","."&amp;B$2&amp;B$1&amp;"P"&amp;$A28))/1000000),0),IF($A$2="GEX",IFERROR(IF($X$1="ABS",($A$4*$A$4*RTD("tos.rtd",,"OPEN_INT","."&amp;B$2&amp;B$1&amp;"C"&amp;$A28)*RTD("tos.rtd",,"GAMMA","."&amp;B$2&amp;B$1&amp;"C"&amp;$A28)+$A$4*$A$4*RTD("tos.rtd",,"OPEN_INT","."&amp;B$2&amp;B$1&amp;"P"&amp;$A28)*RTD("tos.rtd",,"GAMMA","."&amp;B$2&amp;B$1&amp;"P"&amp;$A28))/1000000,($A$4*$A$4*RTD("tos.rtd",,"OPEN_INT","."&amp;B$2&amp;B$1&amp;"C"&amp;$A28)*RTD("tos.rtd",,"GAMMA","."&amp;B$2&amp;B$1&amp;"C"&amp;$A28)-$A$4*$A$4*RTD("tos.rtd",,"OPEN_INT","."&amp;B$2&amp;B$1&amp;"P"&amp;$A28)*RTD("tos.rtd",,"GAMMA","."&amp;B$2&amp;B$1&amp;"P"&amp;$A28))/1000000),0),IF($A$2="SKEW",IFERROR(VALUE(IF(RTD("tos.rtd",,"IMPL_VOL","."&amp;B$2&amp;B$1&amp;"P"&amp;$A28)="N/A",0,RTD("tos.rtd",,"IMPL_VOL","."&amp;B$2&amp;B$1&amp;"P"&amp;$A28))),0)-IFERROR(VALUE(IF(RTD("tos.rtd",,"IMPL_VOL","."&amp;B$2&amp;B$1&amp;"C"&amp;$A28)="N/A",0,RTD("tos.rtd",,"IMPL_VOL","."&amp;B$2&amp;B$1&amp;"C"&amp;$A28))),0),IF($A$2="MAXPAIN",IF($A$4&gt;$A28,($A$4-$A28)*IF(RTD("tos.rtd",,"OPEN_INT","."&amp;B$2&amp;B$1&amp;"C"&amp;$A28)="N/A",0,RTD("tos.rtd",,"OPEN_INT","."&amp;B$2&amp;B$1&amp;"C"&amp;$A28)),0)+IF($A$4&lt;$A28,($A$5-$A$4)*IF(RTD("tos.rtd",,"OPEN_INT","."&amp;B$2&amp;B$1&amp;"P"&amp;$A28)="N/A",0,RTD("tos.rtd",,"OPEN_INT","."&amp;B$2&amp;B$1&amp;"P"&amp;$A28)),0),IF($X$1="ABS",IF(RTD("tos.rtd",,$A$2,"."&amp;B$2&amp;B$1&amp;"C"&amp;$A28)="N/A",0,RTD("tos.rtd",,$A$2,"."&amp;B$2&amp;B$1&amp;"C"&amp;$A28))+IF(RTD("tos.rtd",,$A$2,"."&amp;B$2&amp;B$1&amp;"P"&amp;$A28)="N/A",0,RTD("tos.rtd",,$A$2,"."&amp;B$2&amp;B$1&amp;"P"&amp;$A28)),IF(RTD("tos.rtd",,$A$2,"."&amp;B$2&amp;B$1&amp;"C"&amp;$A28)="N/A",0,RTD("tos.rtd",,$A$2,"."&amp;B$2&amp;B$1&amp;"C"&amp;$A28))-IF(RTD("tos.rtd",,$A$2,"."&amp;B$2&amp;B$1&amp;"P"&amp;$A28)="N/A",0,RTD("tos.rtd",,$A$2,"."&amp;B$2&amp;B$1&amp;"P"&amp;$A28))))))))))</f>
        <v>0</v>
      </c>
      <c r="C28" s="12">
        <f ca="1">IF($A$2="PREMIUM_OI",IFERROR(IF($X$1="ABS",(100*RTD("tos.rtd",,"OPEN_INT","."&amp;C$2&amp;C$1&amp;"C"&amp;$A28)*RTD("tos.rtd",,"LAST","."&amp;C$2&amp;C$1&amp;"C"&amp;$A28)+100*RTD("tos.rtd",,"OPEN_INT","."&amp;C$2&amp;C$1&amp;"P"&amp;$A28)*RTD("tos.rtd",,"LAST","."&amp;C$2&amp;C$1&amp;"P"&amp;$A28))/1000000,(100*RTD("tos.rtd",,"OPEN_INT","."&amp;C$2&amp;C$1&amp;"C"&amp;$A28)*RTD("tos.rtd",,"LAST","."&amp;C$2&amp;C$1&amp;"C"&amp;$A28)-100*RTD("tos.rtd",,"OPEN_INT","."&amp;C$2&amp;C$1&amp;"P"&amp;$A28)*RTD("tos.rtd",,"LAST","."&amp;C$2&amp;C$1&amp;"P"&amp;$A28))/1000000),0),IF($A$2="PREMIUM",IFERROR(IF($X$1="ABS",(100*RTD("tos.rtd",,"VOLUME","."&amp;C$2&amp;C$1&amp;"C"&amp;$A28)*RTD("tos.rtd",,"LAST","."&amp;C$2&amp;C$1&amp;"C"&amp;$A28)+100*RTD("tos.rtd",,"VOLUME","."&amp;C$2&amp;C$1&amp;"P"&amp;$A28)*RTD("tos.rtd",,"LAST","."&amp;C$2&amp;C$1&amp;"P"&amp;$A28))/1000000,(100*RTD("tos.rtd",,"VOLUME","."&amp;C$2&amp;C$1&amp;"C"&amp;$A28)*RTD("tos.rtd",,"LAST","."&amp;C$2&amp;C$1&amp;"C"&amp;$A28)-100*RTD("tos.rtd",,"VOLUME","."&amp;C$2&amp;C$1&amp;"P"&amp;$A28)*RTD("tos.rtd",,"LAST","."&amp;C$2&amp;C$1&amp;"P"&amp;$A28))/1000000),0),IF($A$2="DEX",IFERROR(IF($X$1="ABS",(100*RTD("tos.rtd",,"OPEN_INT","."&amp;C$2&amp;C$1&amp;"C"&amp;$A28)*RTD("tos.rtd",,"DELTA","."&amp;C$2&amp;C$1&amp;"C"&amp;$A28)+100*RTD("tos.rtd",,"OPEN_INT","."&amp;C$2&amp;C$1&amp;"P"&amp;$A28)*RTD("tos.rtd",,"DELTA","."&amp;C$2&amp;C$1&amp;"P"&amp;$A28))/1000,(100*RTD("tos.rtd",,"OPEN_INT","."&amp;C$2&amp;C$1&amp;"C"&amp;$A28)*RTD("tos.rtd",,"DELTA","."&amp;C$2&amp;C$1&amp;"C"&amp;$A28)-100*RTD("tos.rtd",,"OPEN_INT","."&amp;C$2&amp;C$1&amp;"P"&amp;$A28)*RTD("tos.rtd",,"DELTA","."&amp;C$2&amp;C$1&amp;"P"&amp;$A28))/1000),0),IF($A$2="VEX",IFERROR(IF($X$1="ABS",($A$4*$A$4*RTD("tos.rtd",,"VOLUME","."&amp;C$2&amp;C$1&amp;"C"&amp;$A28)*RTD("tos.rtd",,"GAMMA","."&amp;C$2&amp;C$1&amp;"C"&amp;$A28)+$A$4*$A$4*RTD("tos.rtd",,"VOLUME","."&amp;C$2&amp;C$1&amp;"P"&amp;$A28)*RTD("tos.rtd",,"GAMMA","."&amp;C$2&amp;C$1&amp;"P"&amp;$A28))/1000000,($A$4*$A$4*RTD("tos.rtd",,"VOLUME","."&amp;C$2&amp;C$1&amp;"C"&amp;$A28)*RTD("tos.rtd",,"GAMMA","."&amp;C$2&amp;C$1&amp;"C"&amp;$A28)-$A$4*$A$4*RTD("tos.rtd",,"VOLUME","."&amp;C$2&amp;C$1&amp;"P"&amp;$A28)*RTD("tos.rtd",,"GAMMA","."&amp;C$2&amp;C$1&amp;"P"&amp;$A28))/1000000),0),IF($A$2="GEX",IFERROR(IF($X$1="ABS",($A$4*$A$4*RTD("tos.rtd",,"OPEN_INT","."&amp;C$2&amp;C$1&amp;"C"&amp;$A28)*RTD("tos.rtd",,"GAMMA","."&amp;C$2&amp;C$1&amp;"C"&amp;$A28)+$A$4*$A$4*RTD("tos.rtd",,"OPEN_INT","."&amp;C$2&amp;C$1&amp;"P"&amp;$A28)*RTD("tos.rtd",,"GAMMA","."&amp;C$2&amp;C$1&amp;"P"&amp;$A28))/1000000,($A$4*$A$4*RTD("tos.rtd",,"OPEN_INT","."&amp;C$2&amp;C$1&amp;"C"&amp;$A28)*RTD("tos.rtd",,"GAMMA","."&amp;C$2&amp;C$1&amp;"C"&amp;$A28)-$A$4*$A$4*RTD("tos.rtd",,"OPEN_INT","."&amp;C$2&amp;C$1&amp;"P"&amp;$A28)*RTD("tos.rtd",,"GAMMA","."&amp;C$2&amp;C$1&amp;"P"&amp;$A28))/1000000),0),IF($A$2="SKEW",IFERROR(VALUE(IF(RTD("tos.rtd",,"IMPL_VOL","."&amp;C$2&amp;C$1&amp;"P"&amp;$A28)="N/A",0,RTD("tos.rtd",,"IMPL_VOL","."&amp;C$2&amp;C$1&amp;"P"&amp;$A28))),0)-IFERROR(VALUE(IF(RTD("tos.rtd",,"IMPL_VOL","."&amp;C$2&amp;C$1&amp;"C"&amp;$A28)="N/A",0,RTD("tos.rtd",,"IMPL_VOL","."&amp;C$2&amp;C$1&amp;"C"&amp;$A28))),0),IF($A$2="MAXPAIN",IF($A$4&gt;$A28,($A$4-$A28)*IF(RTD("tos.rtd",,"OPEN_INT","."&amp;C$2&amp;C$1&amp;"C"&amp;$A28)="N/A",0,RTD("tos.rtd",,"OPEN_INT","."&amp;C$2&amp;C$1&amp;"C"&amp;$A28)),0)+IF($A$4&lt;$A28,($A$5-$A$4)*IF(RTD("tos.rtd",,"OPEN_INT","."&amp;C$2&amp;C$1&amp;"P"&amp;$A28)="N/A",0,RTD("tos.rtd",,"OPEN_INT","."&amp;C$2&amp;C$1&amp;"P"&amp;$A28)),0),IF($X$1="ABS",IF(RTD("tos.rtd",,$A$2,"."&amp;C$2&amp;C$1&amp;"C"&amp;$A28)="N/A",0,RTD("tos.rtd",,$A$2,"."&amp;C$2&amp;C$1&amp;"C"&amp;$A28))+IF(RTD("tos.rtd",,$A$2,"."&amp;C$2&amp;C$1&amp;"P"&amp;$A28)="N/A",0,RTD("tos.rtd",,$A$2,"."&amp;C$2&amp;C$1&amp;"P"&amp;$A28)),IF(RTD("tos.rtd",,$A$2,"."&amp;C$2&amp;C$1&amp;"C"&amp;$A28)="N/A",0,RTD("tos.rtd",,$A$2,"."&amp;C$2&amp;C$1&amp;"C"&amp;$A28))-IF(RTD("tos.rtd",,$A$2,"."&amp;C$2&amp;C$1&amp;"P"&amp;$A28)="N/A",0,RTD("tos.rtd",,$A$2,"."&amp;C$2&amp;C$1&amp;"P"&amp;$A28))))))))))</f>
        <v>17474</v>
      </c>
      <c r="D28" s="12">
        <f ca="1">IF($A$2="PREMIUM_OI",IFERROR(IF($X$1="ABS",(100*RTD("tos.rtd",,"OPEN_INT","."&amp;D$2&amp;D$1&amp;"C"&amp;$A28)*RTD("tos.rtd",,"LAST","."&amp;D$2&amp;D$1&amp;"C"&amp;$A28)+100*RTD("tos.rtd",,"OPEN_INT","."&amp;D$2&amp;D$1&amp;"P"&amp;$A28)*RTD("tos.rtd",,"LAST","."&amp;D$2&amp;D$1&amp;"P"&amp;$A28))/1000000,(100*RTD("tos.rtd",,"OPEN_INT","."&amp;D$2&amp;D$1&amp;"C"&amp;$A28)*RTD("tos.rtd",,"LAST","."&amp;D$2&amp;D$1&amp;"C"&amp;$A28)-100*RTD("tos.rtd",,"OPEN_INT","."&amp;D$2&amp;D$1&amp;"P"&amp;$A28)*RTD("tos.rtd",,"LAST","."&amp;D$2&amp;D$1&amp;"P"&amp;$A28))/1000000),0),IF($A$2="PREMIUM",IFERROR(IF($X$1="ABS",(100*RTD("tos.rtd",,"VOLUME","."&amp;D$2&amp;D$1&amp;"C"&amp;$A28)*RTD("tos.rtd",,"LAST","."&amp;D$2&amp;D$1&amp;"C"&amp;$A28)+100*RTD("tos.rtd",,"VOLUME","."&amp;D$2&amp;D$1&amp;"P"&amp;$A28)*RTD("tos.rtd",,"LAST","."&amp;D$2&amp;D$1&amp;"P"&amp;$A28))/1000000,(100*RTD("tos.rtd",,"VOLUME","."&amp;D$2&amp;D$1&amp;"C"&amp;$A28)*RTD("tos.rtd",,"LAST","."&amp;D$2&amp;D$1&amp;"C"&amp;$A28)-100*RTD("tos.rtd",,"VOLUME","."&amp;D$2&amp;D$1&amp;"P"&amp;$A28)*RTD("tos.rtd",,"LAST","."&amp;D$2&amp;D$1&amp;"P"&amp;$A28))/1000000),0),IF($A$2="DEX",IFERROR(IF($X$1="ABS",(100*RTD("tos.rtd",,"OPEN_INT","."&amp;D$2&amp;D$1&amp;"C"&amp;$A28)*RTD("tos.rtd",,"DELTA","."&amp;D$2&amp;D$1&amp;"C"&amp;$A28)+100*RTD("tos.rtd",,"OPEN_INT","."&amp;D$2&amp;D$1&amp;"P"&amp;$A28)*RTD("tos.rtd",,"DELTA","."&amp;D$2&amp;D$1&amp;"P"&amp;$A28))/1000,(100*RTD("tos.rtd",,"OPEN_INT","."&amp;D$2&amp;D$1&amp;"C"&amp;$A28)*RTD("tos.rtd",,"DELTA","."&amp;D$2&amp;D$1&amp;"C"&amp;$A28)-100*RTD("tos.rtd",,"OPEN_INT","."&amp;D$2&amp;D$1&amp;"P"&amp;$A28)*RTD("tos.rtd",,"DELTA","."&amp;D$2&amp;D$1&amp;"P"&amp;$A28))/1000),0),IF($A$2="VEX",IFERROR(IF($X$1="ABS",($A$4*$A$4*RTD("tos.rtd",,"VOLUME","."&amp;D$2&amp;D$1&amp;"C"&amp;$A28)*RTD("tos.rtd",,"GAMMA","."&amp;D$2&amp;D$1&amp;"C"&amp;$A28)+$A$4*$A$4*RTD("tos.rtd",,"VOLUME","."&amp;D$2&amp;D$1&amp;"P"&amp;$A28)*RTD("tos.rtd",,"GAMMA","."&amp;D$2&amp;D$1&amp;"P"&amp;$A28))/1000000,($A$4*$A$4*RTD("tos.rtd",,"VOLUME","."&amp;D$2&amp;D$1&amp;"C"&amp;$A28)*RTD("tos.rtd",,"GAMMA","."&amp;D$2&amp;D$1&amp;"C"&amp;$A28)-$A$4*$A$4*RTD("tos.rtd",,"VOLUME","."&amp;D$2&amp;D$1&amp;"P"&amp;$A28)*RTD("tos.rtd",,"GAMMA","."&amp;D$2&amp;D$1&amp;"P"&amp;$A28))/1000000),0),IF($A$2="GEX",IFERROR(IF($X$1="ABS",($A$4*$A$4*RTD("tos.rtd",,"OPEN_INT","."&amp;D$2&amp;D$1&amp;"C"&amp;$A28)*RTD("tos.rtd",,"GAMMA","."&amp;D$2&amp;D$1&amp;"C"&amp;$A28)+$A$4*$A$4*RTD("tos.rtd",,"OPEN_INT","."&amp;D$2&amp;D$1&amp;"P"&amp;$A28)*RTD("tos.rtd",,"GAMMA","."&amp;D$2&amp;D$1&amp;"P"&amp;$A28))/1000000,($A$4*$A$4*RTD("tos.rtd",,"OPEN_INT","."&amp;D$2&amp;D$1&amp;"C"&amp;$A28)*RTD("tos.rtd",,"GAMMA","."&amp;D$2&amp;D$1&amp;"C"&amp;$A28)-$A$4*$A$4*RTD("tos.rtd",,"OPEN_INT","."&amp;D$2&amp;D$1&amp;"P"&amp;$A28)*RTD("tos.rtd",,"GAMMA","."&amp;D$2&amp;D$1&amp;"P"&amp;$A28))/1000000),0),IF($A$2="SKEW",IFERROR(VALUE(IF(RTD("tos.rtd",,"IMPL_VOL","."&amp;D$2&amp;D$1&amp;"P"&amp;$A28)="N/A",0,RTD("tos.rtd",,"IMPL_VOL","."&amp;D$2&amp;D$1&amp;"P"&amp;$A28))),0)-IFERROR(VALUE(IF(RTD("tos.rtd",,"IMPL_VOL","."&amp;D$2&amp;D$1&amp;"C"&amp;$A28)="N/A",0,RTD("tos.rtd",,"IMPL_VOL","."&amp;D$2&amp;D$1&amp;"C"&amp;$A28))),0),IF($A$2="MAXPAIN",IF($A$4&gt;$A28,($A$4-$A28)*IF(RTD("tos.rtd",,"OPEN_INT","."&amp;D$2&amp;D$1&amp;"C"&amp;$A28)="N/A",0,RTD("tos.rtd",,"OPEN_INT","."&amp;D$2&amp;D$1&amp;"C"&amp;$A28)),0)+IF($A$4&lt;$A28,($A$5-$A$4)*IF(RTD("tos.rtd",,"OPEN_INT","."&amp;D$2&amp;D$1&amp;"P"&amp;$A28)="N/A",0,RTD("tos.rtd",,"OPEN_INT","."&amp;D$2&amp;D$1&amp;"P"&amp;$A28)),0),IF($X$1="ABS",IF(RTD("tos.rtd",,$A$2,"."&amp;D$2&amp;D$1&amp;"C"&amp;$A28)="N/A",0,RTD("tos.rtd",,$A$2,"."&amp;D$2&amp;D$1&amp;"C"&amp;$A28))+IF(RTD("tos.rtd",,$A$2,"."&amp;D$2&amp;D$1&amp;"P"&amp;$A28)="N/A",0,RTD("tos.rtd",,$A$2,"."&amp;D$2&amp;D$1&amp;"P"&amp;$A28)),IF(RTD("tos.rtd",,$A$2,"."&amp;D$2&amp;D$1&amp;"C"&amp;$A28)="N/A",0,RTD("tos.rtd",,$A$2,"."&amp;D$2&amp;D$1&amp;"C"&amp;$A28))-IF(RTD("tos.rtd",,$A$2,"."&amp;D$2&amp;D$1&amp;"P"&amp;$A28)="N/A",0,RTD("tos.rtd",,$A$2,"."&amp;D$2&amp;D$1&amp;"P"&amp;$A28))))))))))</f>
        <v>67946</v>
      </c>
      <c r="E28" s="12">
        <f ca="1">IF($A$2="PREMIUM_OI",IFERROR(IF($X$1="ABS",(100*RTD("tos.rtd",,"OPEN_INT","."&amp;E$2&amp;E$1&amp;"C"&amp;$A28)*RTD("tos.rtd",,"LAST","."&amp;E$2&amp;E$1&amp;"C"&amp;$A28)+100*RTD("tos.rtd",,"OPEN_INT","."&amp;E$2&amp;E$1&amp;"P"&amp;$A28)*RTD("tos.rtd",,"LAST","."&amp;E$2&amp;E$1&amp;"P"&amp;$A28))/1000000,(100*RTD("tos.rtd",,"OPEN_INT","."&amp;E$2&amp;E$1&amp;"C"&amp;$A28)*RTD("tos.rtd",,"LAST","."&amp;E$2&amp;E$1&amp;"C"&amp;$A28)-100*RTD("tos.rtd",,"OPEN_INT","."&amp;E$2&amp;E$1&amp;"P"&amp;$A28)*RTD("tos.rtd",,"LAST","."&amp;E$2&amp;E$1&amp;"P"&amp;$A28))/1000000),0),IF($A$2="PREMIUM",IFERROR(IF($X$1="ABS",(100*RTD("tos.rtd",,"VOLUME","."&amp;E$2&amp;E$1&amp;"C"&amp;$A28)*RTD("tos.rtd",,"LAST","."&amp;E$2&amp;E$1&amp;"C"&amp;$A28)+100*RTD("tos.rtd",,"VOLUME","."&amp;E$2&amp;E$1&amp;"P"&amp;$A28)*RTD("tos.rtd",,"LAST","."&amp;E$2&amp;E$1&amp;"P"&amp;$A28))/1000000,(100*RTD("tos.rtd",,"VOLUME","."&amp;E$2&amp;E$1&amp;"C"&amp;$A28)*RTD("tos.rtd",,"LAST","."&amp;E$2&amp;E$1&amp;"C"&amp;$A28)-100*RTD("tos.rtd",,"VOLUME","."&amp;E$2&amp;E$1&amp;"P"&amp;$A28)*RTD("tos.rtd",,"LAST","."&amp;E$2&amp;E$1&amp;"P"&amp;$A28))/1000000),0),IF($A$2="DEX",IFERROR(IF($X$1="ABS",(100*RTD("tos.rtd",,"OPEN_INT","."&amp;E$2&amp;E$1&amp;"C"&amp;$A28)*RTD("tos.rtd",,"DELTA","."&amp;E$2&amp;E$1&amp;"C"&amp;$A28)+100*RTD("tos.rtd",,"OPEN_INT","."&amp;E$2&amp;E$1&amp;"P"&amp;$A28)*RTD("tos.rtd",,"DELTA","."&amp;E$2&amp;E$1&amp;"P"&amp;$A28))/1000,(100*RTD("tos.rtd",,"OPEN_INT","."&amp;E$2&amp;E$1&amp;"C"&amp;$A28)*RTD("tos.rtd",,"DELTA","."&amp;E$2&amp;E$1&amp;"C"&amp;$A28)-100*RTD("tos.rtd",,"OPEN_INT","."&amp;E$2&amp;E$1&amp;"P"&amp;$A28)*RTD("tos.rtd",,"DELTA","."&amp;E$2&amp;E$1&amp;"P"&amp;$A28))/1000),0),IF($A$2="VEX",IFERROR(IF($X$1="ABS",($A$4*$A$4*RTD("tos.rtd",,"VOLUME","."&amp;E$2&amp;E$1&amp;"C"&amp;$A28)*RTD("tos.rtd",,"GAMMA","."&amp;E$2&amp;E$1&amp;"C"&amp;$A28)+$A$4*$A$4*RTD("tos.rtd",,"VOLUME","."&amp;E$2&amp;E$1&amp;"P"&amp;$A28)*RTD("tos.rtd",,"GAMMA","."&amp;E$2&amp;E$1&amp;"P"&amp;$A28))/1000000,($A$4*$A$4*RTD("tos.rtd",,"VOLUME","."&amp;E$2&amp;E$1&amp;"C"&amp;$A28)*RTD("tos.rtd",,"GAMMA","."&amp;E$2&amp;E$1&amp;"C"&amp;$A28)-$A$4*$A$4*RTD("tos.rtd",,"VOLUME","."&amp;E$2&amp;E$1&amp;"P"&amp;$A28)*RTD("tos.rtd",,"GAMMA","."&amp;E$2&amp;E$1&amp;"P"&amp;$A28))/1000000),0),IF($A$2="GEX",IFERROR(IF($X$1="ABS",($A$4*$A$4*RTD("tos.rtd",,"OPEN_INT","."&amp;E$2&amp;E$1&amp;"C"&amp;$A28)*RTD("tos.rtd",,"GAMMA","."&amp;E$2&amp;E$1&amp;"C"&amp;$A28)+$A$4*$A$4*RTD("tos.rtd",,"OPEN_INT","."&amp;E$2&amp;E$1&amp;"P"&amp;$A28)*RTD("tos.rtd",,"GAMMA","."&amp;E$2&amp;E$1&amp;"P"&amp;$A28))/1000000,($A$4*$A$4*RTD("tos.rtd",,"OPEN_INT","."&amp;E$2&amp;E$1&amp;"C"&amp;$A28)*RTD("tos.rtd",,"GAMMA","."&amp;E$2&amp;E$1&amp;"C"&amp;$A28)-$A$4*$A$4*RTD("tos.rtd",,"OPEN_INT","."&amp;E$2&amp;E$1&amp;"P"&amp;$A28)*RTD("tos.rtd",,"GAMMA","."&amp;E$2&amp;E$1&amp;"P"&amp;$A28))/1000000),0),IF($A$2="SKEW",IFERROR(VALUE(IF(RTD("tos.rtd",,"IMPL_VOL","."&amp;E$2&amp;E$1&amp;"P"&amp;$A28)="N/A",0,RTD("tos.rtd",,"IMPL_VOL","."&amp;E$2&amp;E$1&amp;"P"&amp;$A28))),0)-IFERROR(VALUE(IF(RTD("tos.rtd",,"IMPL_VOL","."&amp;E$2&amp;E$1&amp;"C"&amp;$A28)="N/A",0,RTD("tos.rtd",,"IMPL_VOL","."&amp;E$2&amp;E$1&amp;"C"&amp;$A28))),0),IF($A$2="MAXPAIN",IF($A$4&gt;$A28,($A$4-$A28)*IF(RTD("tos.rtd",,"OPEN_INT","."&amp;E$2&amp;E$1&amp;"C"&amp;$A28)="N/A",0,RTD("tos.rtd",,"OPEN_INT","."&amp;E$2&amp;E$1&amp;"C"&amp;$A28)),0)+IF($A$4&lt;$A28,($A$5-$A$4)*IF(RTD("tos.rtd",,"OPEN_INT","."&amp;E$2&amp;E$1&amp;"P"&amp;$A28)="N/A",0,RTD("tos.rtd",,"OPEN_INT","."&amp;E$2&amp;E$1&amp;"P"&amp;$A28)),0),IF($X$1="ABS",IF(RTD("tos.rtd",,$A$2,"."&amp;E$2&amp;E$1&amp;"C"&amp;$A28)="N/A",0,RTD("tos.rtd",,$A$2,"."&amp;E$2&amp;E$1&amp;"C"&amp;$A28))+IF(RTD("tos.rtd",,$A$2,"."&amp;E$2&amp;E$1&amp;"P"&amp;$A28)="N/A",0,RTD("tos.rtd",,$A$2,"."&amp;E$2&amp;E$1&amp;"P"&amp;$A28)),IF(RTD("tos.rtd",,$A$2,"."&amp;E$2&amp;E$1&amp;"C"&amp;$A28)="N/A",0,RTD("tos.rtd",,$A$2,"."&amp;E$2&amp;E$1&amp;"C"&amp;$A28))-IF(RTD("tos.rtd",,$A$2,"."&amp;E$2&amp;E$1&amp;"P"&amp;$A28)="N/A",0,RTD("tos.rtd",,$A$2,"."&amp;E$2&amp;E$1&amp;"P"&amp;$A28))))))))))</f>
        <v>6051</v>
      </c>
      <c r="F28" s="12">
        <f ca="1">IF($A$2="PREMIUM_OI",IFERROR(IF($X$1="ABS",(100*RTD("tos.rtd",,"OPEN_INT","."&amp;F$2&amp;F$1&amp;"C"&amp;$A28)*RTD("tos.rtd",,"LAST","."&amp;F$2&amp;F$1&amp;"C"&amp;$A28)+100*RTD("tos.rtd",,"OPEN_INT","."&amp;F$2&amp;F$1&amp;"P"&amp;$A28)*RTD("tos.rtd",,"LAST","."&amp;F$2&amp;F$1&amp;"P"&amp;$A28))/1000000,(100*RTD("tos.rtd",,"OPEN_INT","."&amp;F$2&amp;F$1&amp;"C"&amp;$A28)*RTD("tos.rtd",,"LAST","."&amp;F$2&amp;F$1&amp;"C"&amp;$A28)-100*RTD("tos.rtd",,"OPEN_INT","."&amp;F$2&amp;F$1&amp;"P"&amp;$A28)*RTD("tos.rtd",,"LAST","."&amp;F$2&amp;F$1&amp;"P"&amp;$A28))/1000000),0),IF($A$2="PREMIUM",IFERROR(IF($X$1="ABS",(100*RTD("tos.rtd",,"VOLUME","."&amp;F$2&amp;F$1&amp;"C"&amp;$A28)*RTD("tos.rtd",,"LAST","."&amp;F$2&amp;F$1&amp;"C"&amp;$A28)+100*RTD("tos.rtd",,"VOLUME","."&amp;F$2&amp;F$1&amp;"P"&amp;$A28)*RTD("tos.rtd",,"LAST","."&amp;F$2&amp;F$1&amp;"P"&amp;$A28))/1000000,(100*RTD("tos.rtd",,"VOLUME","."&amp;F$2&amp;F$1&amp;"C"&amp;$A28)*RTD("tos.rtd",,"LAST","."&amp;F$2&amp;F$1&amp;"C"&amp;$A28)-100*RTD("tos.rtd",,"VOLUME","."&amp;F$2&amp;F$1&amp;"P"&amp;$A28)*RTD("tos.rtd",,"LAST","."&amp;F$2&amp;F$1&amp;"P"&amp;$A28))/1000000),0),IF($A$2="DEX",IFERROR(IF($X$1="ABS",(100*RTD("tos.rtd",,"OPEN_INT","."&amp;F$2&amp;F$1&amp;"C"&amp;$A28)*RTD("tos.rtd",,"DELTA","."&amp;F$2&amp;F$1&amp;"C"&amp;$A28)+100*RTD("tos.rtd",,"OPEN_INT","."&amp;F$2&amp;F$1&amp;"P"&amp;$A28)*RTD("tos.rtd",,"DELTA","."&amp;F$2&amp;F$1&amp;"P"&amp;$A28))/1000,(100*RTD("tos.rtd",,"OPEN_INT","."&amp;F$2&amp;F$1&amp;"C"&amp;$A28)*RTD("tos.rtd",,"DELTA","."&amp;F$2&amp;F$1&amp;"C"&amp;$A28)-100*RTD("tos.rtd",,"OPEN_INT","."&amp;F$2&amp;F$1&amp;"P"&amp;$A28)*RTD("tos.rtd",,"DELTA","."&amp;F$2&amp;F$1&amp;"P"&amp;$A28))/1000),0),IF($A$2="VEX",IFERROR(IF($X$1="ABS",($A$4*$A$4*RTD("tos.rtd",,"VOLUME","."&amp;F$2&amp;F$1&amp;"C"&amp;$A28)*RTD("tos.rtd",,"GAMMA","."&amp;F$2&amp;F$1&amp;"C"&amp;$A28)+$A$4*$A$4*RTD("tos.rtd",,"VOLUME","."&amp;F$2&amp;F$1&amp;"P"&amp;$A28)*RTD("tos.rtd",,"GAMMA","."&amp;F$2&amp;F$1&amp;"P"&amp;$A28))/1000000,($A$4*$A$4*RTD("tos.rtd",,"VOLUME","."&amp;F$2&amp;F$1&amp;"C"&amp;$A28)*RTD("tos.rtd",,"GAMMA","."&amp;F$2&amp;F$1&amp;"C"&amp;$A28)-$A$4*$A$4*RTD("tos.rtd",,"VOLUME","."&amp;F$2&amp;F$1&amp;"P"&amp;$A28)*RTD("tos.rtd",,"GAMMA","."&amp;F$2&amp;F$1&amp;"P"&amp;$A28))/1000000),0),IF($A$2="GEX",IFERROR(IF($X$1="ABS",($A$4*$A$4*RTD("tos.rtd",,"OPEN_INT","."&amp;F$2&amp;F$1&amp;"C"&amp;$A28)*RTD("tos.rtd",,"GAMMA","."&amp;F$2&amp;F$1&amp;"C"&amp;$A28)+$A$4*$A$4*RTD("tos.rtd",,"OPEN_INT","."&amp;F$2&amp;F$1&amp;"P"&amp;$A28)*RTD("tos.rtd",,"GAMMA","."&amp;F$2&amp;F$1&amp;"P"&amp;$A28))/1000000,($A$4*$A$4*RTD("tos.rtd",,"OPEN_INT","."&amp;F$2&amp;F$1&amp;"C"&amp;$A28)*RTD("tos.rtd",,"GAMMA","."&amp;F$2&amp;F$1&amp;"C"&amp;$A28)-$A$4*$A$4*RTD("tos.rtd",,"OPEN_INT","."&amp;F$2&amp;F$1&amp;"P"&amp;$A28)*RTD("tos.rtd",,"GAMMA","."&amp;F$2&amp;F$1&amp;"P"&amp;$A28))/1000000),0),IF($A$2="SKEW",IFERROR(VALUE(IF(RTD("tos.rtd",,"IMPL_VOL","."&amp;F$2&amp;F$1&amp;"P"&amp;$A28)="N/A",0,RTD("tos.rtd",,"IMPL_VOL","."&amp;F$2&amp;F$1&amp;"P"&amp;$A28))),0)-IFERROR(VALUE(IF(RTD("tos.rtd",,"IMPL_VOL","."&amp;F$2&amp;F$1&amp;"C"&amp;$A28)="N/A",0,RTD("tos.rtd",,"IMPL_VOL","."&amp;F$2&amp;F$1&amp;"C"&amp;$A28))),0),IF($A$2="MAXPAIN",IF($A$4&gt;$A28,($A$4-$A28)*IF(RTD("tos.rtd",,"OPEN_INT","."&amp;F$2&amp;F$1&amp;"C"&amp;$A28)="N/A",0,RTD("tos.rtd",,"OPEN_INT","."&amp;F$2&amp;F$1&amp;"C"&amp;$A28)),0)+IF($A$4&lt;$A28,($A$5-$A$4)*IF(RTD("tos.rtd",,"OPEN_INT","."&amp;F$2&amp;F$1&amp;"P"&amp;$A28)="N/A",0,RTD("tos.rtd",,"OPEN_INT","."&amp;F$2&amp;F$1&amp;"P"&amp;$A28)),0),IF($X$1="ABS",IF(RTD("tos.rtd",,$A$2,"."&amp;F$2&amp;F$1&amp;"C"&amp;$A28)="N/A",0,RTD("tos.rtd",,$A$2,"."&amp;F$2&amp;F$1&amp;"C"&amp;$A28))+IF(RTD("tos.rtd",,$A$2,"."&amp;F$2&amp;F$1&amp;"P"&amp;$A28)="N/A",0,RTD("tos.rtd",,$A$2,"."&amp;F$2&amp;F$1&amp;"P"&amp;$A28)),IF(RTD("tos.rtd",,$A$2,"."&amp;F$2&amp;F$1&amp;"C"&amp;$A28)="N/A",0,RTD("tos.rtd",,$A$2,"."&amp;F$2&amp;F$1&amp;"C"&amp;$A28))-IF(RTD("tos.rtd",,$A$2,"."&amp;F$2&amp;F$1&amp;"P"&amp;$A28)="N/A",0,RTD("tos.rtd",,$A$2,"."&amp;F$2&amp;F$1&amp;"P"&amp;$A28))))))))))</f>
        <v>2874</v>
      </c>
      <c r="G28" s="57">
        <f ca="1">IF($A$2="PREMIUM_OI",IFERROR(IF($X$1="ABS",(100*RTD("tos.rtd",,"OPEN_INT","."&amp;G$2&amp;G$1&amp;"C"&amp;$A28)*RTD("tos.rtd",,"LAST","."&amp;G$2&amp;G$1&amp;"C"&amp;$A28)+100*RTD("tos.rtd",,"OPEN_INT","."&amp;G$2&amp;G$1&amp;"P"&amp;$A28)*RTD("tos.rtd",,"LAST","."&amp;G$2&amp;G$1&amp;"P"&amp;$A28))/1000000,(100*RTD("tos.rtd",,"OPEN_INT","."&amp;G$2&amp;G$1&amp;"C"&amp;$A28)*RTD("tos.rtd",,"LAST","."&amp;G$2&amp;G$1&amp;"C"&amp;$A28)-100*RTD("tos.rtd",,"OPEN_INT","."&amp;G$2&amp;G$1&amp;"P"&amp;$A28)*RTD("tos.rtd",,"LAST","."&amp;G$2&amp;G$1&amp;"P"&amp;$A28))/1000000),0),IF($A$2="PREMIUM",IFERROR(IF($X$1="ABS",(100*RTD("tos.rtd",,"VOLUME","."&amp;G$2&amp;G$1&amp;"C"&amp;$A28)*RTD("tos.rtd",,"LAST","."&amp;G$2&amp;G$1&amp;"C"&amp;$A28)+100*RTD("tos.rtd",,"VOLUME","."&amp;G$2&amp;G$1&amp;"P"&amp;$A28)*RTD("tos.rtd",,"LAST","."&amp;G$2&amp;G$1&amp;"P"&amp;$A28))/1000000,(100*RTD("tos.rtd",,"VOLUME","."&amp;G$2&amp;G$1&amp;"C"&amp;$A28)*RTD("tos.rtd",,"LAST","."&amp;G$2&amp;G$1&amp;"C"&amp;$A28)-100*RTD("tos.rtd",,"VOLUME","."&amp;G$2&amp;G$1&amp;"P"&amp;$A28)*RTD("tos.rtd",,"LAST","."&amp;G$2&amp;G$1&amp;"P"&amp;$A28))/1000000),0),IF($A$2="DEX",IFERROR(IF($X$1="ABS",(100*RTD("tos.rtd",,"OPEN_INT","."&amp;G$2&amp;G$1&amp;"C"&amp;$A28)*RTD("tos.rtd",,"DELTA","."&amp;G$2&amp;G$1&amp;"C"&amp;$A28)+100*RTD("tos.rtd",,"OPEN_INT","."&amp;G$2&amp;G$1&amp;"P"&amp;$A28)*RTD("tos.rtd",,"DELTA","."&amp;G$2&amp;G$1&amp;"P"&amp;$A28))/1000,(100*RTD("tos.rtd",,"OPEN_INT","."&amp;G$2&amp;G$1&amp;"C"&amp;$A28)*RTD("tos.rtd",,"DELTA","."&amp;G$2&amp;G$1&amp;"C"&amp;$A28)-100*RTD("tos.rtd",,"OPEN_INT","."&amp;G$2&amp;G$1&amp;"P"&amp;$A28)*RTD("tos.rtd",,"DELTA","."&amp;G$2&amp;G$1&amp;"P"&amp;$A28))/1000),0),IF($A$2="VEX",IFERROR(IF($X$1="ABS",($A$4*$A$4*RTD("tos.rtd",,"VOLUME","."&amp;G$2&amp;G$1&amp;"C"&amp;$A28)*RTD("tos.rtd",,"GAMMA","."&amp;G$2&amp;G$1&amp;"C"&amp;$A28)+$A$4*$A$4*RTD("tos.rtd",,"VOLUME","."&amp;G$2&amp;G$1&amp;"P"&amp;$A28)*RTD("tos.rtd",,"GAMMA","."&amp;G$2&amp;G$1&amp;"P"&amp;$A28))/1000000,($A$4*$A$4*RTD("tos.rtd",,"VOLUME","."&amp;G$2&amp;G$1&amp;"C"&amp;$A28)*RTD("tos.rtd",,"GAMMA","."&amp;G$2&amp;G$1&amp;"C"&amp;$A28)-$A$4*$A$4*RTD("tos.rtd",,"VOLUME","."&amp;G$2&amp;G$1&amp;"P"&amp;$A28)*RTD("tos.rtd",,"GAMMA","."&amp;G$2&amp;G$1&amp;"P"&amp;$A28))/1000000),0),IF($A$2="GEX",IFERROR(IF($X$1="ABS",($A$4*$A$4*RTD("tos.rtd",,"OPEN_INT","."&amp;G$2&amp;G$1&amp;"C"&amp;$A28)*RTD("tos.rtd",,"GAMMA","."&amp;G$2&amp;G$1&amp;"C"&amp;$A28)+$A$4*$A$4*RTD("tos.rtd",,"OPEN_INT","."&amp;G$2&amp;G$1&amp;"P"&amp;$A28)*RTD("tos.rtd",,"GAMMA","."&amp;G$2&amp;G$1&amp;"P"&amp;$A28))/1000000,($A$4*$A$4*RTD("tos.rtd",,"OPEN_INT","."&amp;G$2&amp;G$1&amp;"C"&amp;$A28)*RTD("tos.rtd",,"GAMMA","."&amp;G$2&amp;G$1&amp;"C"&amp;$A28)-$A$4*$A$4*RTD("tos.rtd",,"OPEN_INT","."&amp;G$2&amp;G$1&amp;"P"&amp;$A28)*RTD("tos.rtd",,"GAMMA","."&amp;G$2&amp;G$1&amp;"P"&amp;$A28))/1000000),0),IF($A$2="SKEW",IFERROR(VALUE(IF(RTD("tos.rtd",,"IMPL_VOL","."&amp;G$2&amp;G$1&amp;"P"&amp;$A28)="N/A",0,RTD("tos.rtd",,"IMPL_VOL","."&amp;G$2&amp;G$1&amp;"P"&amp;$A28))),0)-IFERROR(VALUE(IF(RTD("tos.rtd",,"IMPL_VOL","."&amp;G$2&amp;G$1&amp;"C"&amp;$A28)="N/A",0,RTD("tos.rtd",,"IMPL_VOL","."&amp;G$2&amp;G$1&amp;"C"&amp;$A28))),0),IF($A$2="MAXPAIN",IF($A$4&gt;$A28,($A$4-$A28)*IF(RTD("tos.rtd",,"OPEN_INT","."&amp;G$2&amp;G$1&amp;"C"&amp;$A28)="N/A",0,RTD("tos.rtd",,"OPEN_INT","."&amp;G$2&amp;G$1&amp;"C"&amp;$A28)),0)+IF($A$4&lt;$A28,($A$5-$A$4)*IF(RTD("tos.rtd",,"OPEN_INT","."&amp;G$2&amp;G$1&amp;"P"&amp;$A28)="N/A",0,RTD("tos.rtd",,"OPEN_INT","."&amp;G$2&amp;G$1&amp;"P"&amp;$A28)),0),IF($X$1="ABS",IF(RTD("tos.rtd",,$A$2,"."&amp;G$2&amp;G$1&amp;"C"&amp;$A28)="N/A",0,RTD("tos.rtd",,$A$2,"."&amp;G$2&amp;G$1&amp;"C"&amp;$A28))+IF(RTD("tos.rtd",,$A$2,"."&amp;G$2&amp;G$1&amp;"P"&amp;$A28)="N/A",0,RTD("tos.rtd",,$A$2,"."&amp;G$2&amp;G$1&amp;"P"&amp;$A28)),IF(RTD("tos.rtd",,$A$2,"."&amp;G$2&amp;G$1&amp;"C"&amp;$A28)="N/A",0,RTD("tos.rtd",,$A$2,"."&amp;G$2&amp;G$1&amp;"C"&amp;$A28))-IF(RTD("tos.rtd",,$A$2,"."&amp;G$2&amp;G$1&amp;"P"&amp;$A28)="N/A",0,RTD("tos.rtd",,$A$2,"."&amp;G$2&amp;G$1&amp;"P"&amp;$A28))))))))))</f>
        <v>656</v>
      </c>
      <c r="H28" s="14">
        <f ca="1">IF($A$2="PREMIUM_OI",IFERROR(IF($X$1="ABS",(100*RTD("tos.rtd",,"OPEN_INT","."&amp;H$2&amp;H$1&amp;"C"&amp;$A28)*RTD("tos.rtd",,"LAST","."&amp;H$2&amp;H$1&amp;"C"&amp;$A28)+100*RTD("tos.rtd",,"OPEN_INT","."&amp;H$2&amp;H$1&amp;"P"&amp;$A28)*RTD("tos.rtd",,"LAST","."&amp;H$2&amp;H$1&amp;"P"&amp;$A28))/1000000,(100*RTD("tos.rtd",,"OPEN_INT","."&amp;H$2&amp;H$1&amp;"C"&amp;$A28)*RTD("tos.rtd",,"LAST","."&amp;H$2&amp;H$1&amp;"C"&amp;$A28)-100*RTD("tos.rtd",,"OPEN_INT","."&amp;H$2&amp;H$1&amp;"P"&amp;$A28)*RTD("tos.rtd",,"LAST","."&amp;H$2&amp;H$1&amp;"P"&amp;$A28))/1000000),0),IF($A$2="PREMIUM",IFERROR(IF($X$1="ABS",(100*RTD("tos.rtd",,"VOLUME","."&amp;H$2&amp;H$1&amp;"C"&amp;$A28)*RTD("tos.rtd",,"LAST","."&amp;H$2&amp;H$1&amp;"C"&amp;$A28)+100*RTD("tos.rtd",,"VOLUME","."&amp;H$2&amp;H$1&amp;"P"&amp;$A28)*RTD("tos.rtd",,"LAST","."&amp;H$2&amp;H$1&amp;"P"&amp;$A28))/1000000,(100*RTD("tos.rtd",,"VOLUME","."&amp;H$2&amp;H$1&amp;"C"&amp;$A28)*RTD("tos.rtd",,"LAST","."&amp;H$2&amp;H$1&amp;"C"&amp;$A28)-100*RTD("tos.rtd",,"VOLUME","."&amp;H$2&amp;H$1&amp;"P"&amp;$A28)*RTD("tos.rtd",,"LAST","."&amp;H$2&amp;H$1&amp;"P"&amp;$A28))/1000000),0),IF($A$2="DEX",IFERROR(IF($X$1="ABS",(100*RTD("tos.rtd",,"OPEN_INT","."&amp;H$2&amp;H$1&amp;"C"&amp;$A28)*RTD("tos.rtd",,"DELTA","."&amp;H$2&amp;H$1&amp;"C"&amp;$A28)+100*RTD("tos.rtd",,"OPEN_INT","."&amp;H$2&amp;H$1&amp;"P"&amp;$A28)*RTD("tos.rtd",,"DELTA","."&amp;H$2&amp;H$1&amp;"P"&amp;$A28))/1000,(100*RTD("tos.rtd",,"OPEN_INT","."&amp;H$2&amp;H$1&amp;"C"&amp;$A28)*RTD("tos.rtd",,"DELTA","."&amp;H$2&amp;H$1&amp;"C"&amp;$A28)-100*RTD("tos.rtd",,"OPEN_INT","."&amp;H$2&amp;H$1&amp;"P"&amp;$A28)*RTD("tos.rtd",,"DELTA","."&amp;H$2&amp;H$1&amp;"P"&amp;$A28))/1000),0),IF($A$2="VEX",IFERROR(IF($X$1="ABS",($A$4*$A$4*RTD("tos.rtd",,"VOLUME","."&amp;H$2&amp;H$1&amp;"C"&amp;$A28)*RTD("tos.rtd",,"GAMMA","."&amp;H$2&amp;H$1&amp;"C"&amp;$A28)+$A$4*$A$4*RTD("tos.rtd",,"VOLUME","."&amp;H$2&amp;H$1&amp;"P"&amp;$A28)*RTD("tos.rtd",,"GAMMA","."&amp;H$2&amp;H$1&amp;"P"&amp;$A28))/1000000,($A$4*$A$4*RTD("tos.rtd",,"VOLUME","."&amp;H$2&amp;H$1&amp;"C"&amp;$A28)*RTD("tos.rtd",,"GAMMA","."&amp;H$2&amp;H$1&amp;"C"&amp;$A28)-$A$4*$A$4*RTD("tos.rtd",,"VOLUME","."&amp;H$2&amp;H$1&amp;"P"&amp;$A28)*RTD("tos.rtd",,"GAMMA","."&amp;H$2&amp;H$1&amp;"P"&amp;$A28))/1000000),0),IF($A$2="GEX",IFERROR(IF($X$1="ABS",($A$4*$A$4*RTD("tos.rtd",,"OPEN_INT","."&amp;H$2&amp;H$1&amp;"C"&amp;$A28)*RTD("tos.rtd",,"GAMMA","."&amp;H$2&amp;H$1&amp;"C"&amp;$A28)+$A$4*$A$4*RTD("tos.rtd",,"OPEN_INT","."&amp;H$2&amp;H$1&amp;"P"&amp;$A28)*RTD("tos.rtd",,"GAMMA","."&amp;H$2&amp;H$1&amp;"P"&amp;$A28))/1000000,($A$4*$A$4*RTD("tos.rtd",,"OPEN_INT","."&amp;H$2&amp;H$1&amp;"C"&amp;$A28)*RTD("tos.rtd",,"GAMMA","."&amp;H$2&amp;H$1&amp;"C"&amp;$A28)-$A$4*$A$4*RTD("tos.rtd",,"OPEN_INT","."&amp;H$2&amp;H$1&amp;"P"&amp;$A28)*RTD("tos.rtd",,"GAMMA","."&amp;H$2&amp;H$1&amp;"P"&amp;$A28))/1000000),0),IF($A$2="SKEW",IFERROR(VALUE(IF(RTD("tos.rtd",,"IMPL_VOL","."&amp;H$2&amp;H$1&amp;"P"&amp;$A28)="N/A",0,RTD("tos.rtd",,"IMPL_VOL","."&amp;H$2&amp;H$1&amp;"P"&amp;$A28))),0)-IFERROR(VALUE(IF(RTD("tos.rtd",,"IMPL_VOL","."&amp;H$2&amp;H$1&amp;"C"&amp;$A28)="N/A",0,RTD("tos.rtd",,"IMPL_VOL","."&amp;H$2&amp;H$1&amp;"C"&amp;$A28))),0),IF($A$2="MAXPAIN",IF($A$4&gt;$A28,($A$4-$A28)*IF(RTD("tos.rtd",,"OPEN_INT","."&amp;H$2&amp;H$1&amp;"C"&amp;$A28)="N/A",0,RTD("tos.rtd",,"OPEN_INT","."&amp;H$2&amp;H$1&amp;"C"&amp;$A28)),0)+IF($A$4&lt;$A28,($A$5-$A$4)*IF(RTD("tos.rtd",,"OPEN_INT","."&amp;H$2&amp;H$1&amp;"P"&amp;$A28)="N/A",0,RTD("tos.rtd",,"OPEN_INT","."&amp;H$2&amp;H$1&amp;"P"&amp;$A28)),0),IF($X$1="ABS",IF(RTD("tos.rtd",,$A$2,"."&amp;H$2&amp;H$1&amp;"C"&amp;$A28)="N/A",0,RTD("tos.rtd",,$A$2,"."&amp;H$2&amp;H$1&amp;"C"&amp;$A28))+IF(RTD("tos.rtd",,$A$2,"."&amp;H$2&amp;H$1&amp;"P"&amp;$A28)="N/A",0,RTD("tos.rtd",,$A$2,"."&amp;H$2&amp;H$1&amp;"P"&amp;$A28)),IF(RTD("tos.rtd",,$A$2,"."&amp;H$2&amp;H$1&amp;"C"&amp;$A28)="N/A",0,RTD("tos.rtd",,$A$2,"."&amp;H$2&amp;H$1&amp;"C"&amp;$A28))-IF(RTD("tos.rtd",,$A$2,"."&amp;H$2&amp;H$1&amp;"P"&amp;$A28)="N/A",0,RTD("tos.rtd",,$A$2,"."&amp;H$2&amp;H$1&amp;"P"&amp;$A28))))))))))</f>
        <v>10446</v>
      </c>
      <c r="I28" s="12">
        <f ca="1">IF($A$2="PREMIUM_OI",IFERROR(IF($X$1="ABS",(100*RTD("tos.rtd",,"OPEN_INT","."&amp;I$2&amp;I$1&amp;"C"&amp;$A28)*RTD("tos.rtd",,"LAST","."&amp;I$2&amp;I$1&amp;"C"&amp;$A28)+100*RTD("tos.rtd",,"OPEN_INT","."&amp;I$2&amp;I$1&amp;"P"&amp;$A28)*RTD("tos.rtd",,"LAST","."&amp;I$2&amp;I$1&amp;"P"&amp;$A28))/1000000,(100*RTD("tos.rtd",,"OPEN_INT","."&amp;I$2&amp;I$1&amp;"C"&amp;$A28)*RTD("tos.rtd",,"LAST","."&amp;I$2&amp;I$1&amp;"C"&amp;$A28)-100*RTD("tos.rtd",,"OPEN_INT","."&amp;I$2&amp;I$1&amp;"P"&amp;$A28)*RTD("tos.rtd",,"LAST","."&amp;I$2&amp;I$1&amp;"P"&amp;$A28))/1000000),0),IF($A$2="PREMIUM",IFERROR(IF($X$1="ABS",(100*RTD("tos.rtd",,"VOLUME","."&amp;I$2&amp;I$1&amp;"C"&amp;$A28)*RTD("tos.rtd",,"LAST","."&amp;I$2&amp;I$1&amp;"C"&amp;$A28)+100*RTD("tos.rtd",,"VOLUME","."&amp;I$2&amp;I$1&amp;"P"&amp;$A28)*RTD("tos.rtd",,"LAST","."&amp;I$2&amp;I$1&amp;"P"&amp;$A28))/1000000,(100*RTD("tos.rtd",,"VOLUME","."&amp;I$2&amp;I$1&amp;"C"&amp;$A28)*RTD("tos.rtd",,"LAST","."&amp;I$2&amp;I$1&amp;"C"&amp;$A28)-100*RTD("tos.rtd",,"VOLUME","."&amp;I$2&amp;I$1&amp;"P"&amp;$A28)*RTD("tos.rtd",,"LAST","."&amp;I$2&amp;I$1&amp;"P"&amp;$A28))/1000000),0),IF($A$2="DEX",IFERROR(IF($X$1="ABS",(100*RTD("tos.rtd",,"OPEN_INT","."&amp;I$2&amp;I$1&amp;"C"&amp;$A28)*RTD("tos.rtd",,"DELTA","."&amp;I$2&amp;I$1&amp;"C"&amp;$A28)+100*RTD("tos.rtd",,"OPEN_INT","."&amp;I$2&amp;I$1&amp;"P"&amp;$A28)*RTD("tos.rtd",,"DELTA","."&amp;I$2&amp;I$1&amp;"P"&amp;$A28))/1000,(100*RTD("tos.rtd",,"OPEN_INT","."&amp;I$2&amp;I$1&amp;"C"&amp;$A28)*RTD("tos.rtd",,"DELTA","."&amp;I$2&amp;I$1&amp;"C"&amp;$A28)-100*RTD("tos.rtd",,"OPEN_INT","."&amp;I$2&amp;I$1&amp;"P"&amp;$A28)*RTD("tos.rtd",,"DELTA","."&amp;I$2&amp;I$1&amp;"P"&amp;$A28))/1000),0),IF($A$2="VEX",IFERROR(IF($X$1="ABS",($A$4*$A$4*RTD("tos.rtd",,"VOLUME","."&amp;I$2&amp;I$1&amp;"C"&amp;$A28)*RTD("tos.rtd",,"GAMMA","."&amp;I$2&amp;I$1&amp;"C"&amp;$A28)+$A$4*$A$4*RTD("tos.rtd",,"VOLUME","."&amp;I$2&amp;I$1&amp;"P"&amp;$A28)*RTD("tos.rtd",,"GAMMA","."&amp;I$2&amp;I$1&amp;"P"&amp;$A28))/1000000,($A$4*$A$4*RTD("tos.rtd",,"VOLUME","."&amp;I$2&amp;I$1&amp;"C"&amp;$A28)*RTD("tos.rtd",,"GAMMA","."&amp;I$2&amp;I$1&amp;"C"&amp;$A28)-$A$4*$A$4*RTD("tos.rtd",,"VOLUME","."&amp;I$2&amp;I$1&amp;"P"&amp;$A28)*RTD("tos.rtd",,"GAMMA","."&amp;I$2&amp;I$1&amp;"P"&amp;$A28))/1000000),0),IF($A$2="GEX",IFERROR(IF($X$1="ABS",($A$4*$A$4*RTD("tos.rtd",,"OPEN_INT","."&amp;I$2&amp;I$1&amp;"C"&amp;$A28)*RTD("tos.rtd",,"GAMMA","."&amp;I$2&amp;I$1&amp;"C"&amp;$A28)+$A$4*$A$4*RTD("tos.rtd",,"OPEN_INT","."&amp;I$2&amp;I$1&amp;"P"&amp;$A28)*RTD("tos.rtd",,"GAMMA","."&amp;I$2&amp;I$1&amp;"P"&amp;$A28))/1000000,($A$4*$A$4*RTD("tos.rtd",,"OPEN_INT","."&amp;I$2&amp;I$1&amp;"C"&amp;$A28)*RTD("tos.rtd",,"GAMMA","."&amp;I$2&amp;I$1&amp;"C"&amp;$A28)-$A$4*$A$4*RTD("tos.rtd",,"OPEN_INT","."&amp;I$2&amp;I$1&amp;"P"&amp;$A28)*RTD("tos.rtd",,"GAMMA","."&amp;I$2&amp;I$1&amp;"P"&amp;$A28))/1000000),0),IF($A$2="SKEW",IFERROR(VALUE(IF(RTD("tos.rtd",,"IMPL_VOL","."&amp;I$2&amp;I$1&amp;"P"&amp;$A28)="N/A",0,RTD("tos.rtd",,"IMPL_VOL","."&amp;I$2&amp;I$1&amp;"P"&amp;$A28))),0)-IFERROR(VALUE(IF(RTD("tos.rtd",,"IMPL_VOL","."&amp;I$2&amp;I$1&amp;"C"&amp;$A28)="N/A",0,RTD("tos.rtd",,"IMPL_VOL","."&amp;I$2&amp;I$1&amp;"C"&amp;$A28))),0),IF($A$2="MAXPAIN",IF($A$4&gt;$A28,($A$4-$A28)*IF(RTD("tos.rtd",,"OPEN_INT","."&amp;I$2&amp;I$1&amp;"C"&amp;$A28)="N/A",0,RTD("tos.rtd",,"OPEN_INT","."&amp;I$2&amp;I$1&amp;"C"&amp;$A28)),0)+IF($A$4&lt;$A28,($A$5-$A$4)*IF(RTD("tos.rtd",,"OPEN_INT","."&amp;I$2&amp;I$1&amp;"P"&amp;$A28)="N/A",0,RTD("tos.rtd",,"OPEN_INT","."&amp;I$2&amp;I$1&amp;"P"&amp;$A28)),0),IF($X$1="ABS",IF(RTD("tos.rtd",,$A$2,"."&amp;I$2&amp;I$1&amp;"C"&amp;$A28)="N/A",0,RTD("tos.rtd",,$A$2,"."&amp;I$2&amp;I$1&amp;"C"&amp;$A28))+IF(RTD("tos.rtd",,$A$2,"."&amp;I$2&amp;I$1&amp;"P"&amp;$A28)="N/A",0,RTD("tos.rtd",,$A$2,"."&amp;I$2&amp;I$1&amp;"P"&amp;$A28)),IF(RTD("tos.rtd",,$A$2,"."&amp;I$2&amp;I$1&amp;"C"&amp;$A28)="N/A",0,RTD("tos.rtd",,$A$2,"."&amp;I$2&amp;I$1&amp;"C"&amp;$A28))-IF(RTD("tos.rtd",,$A$2,"."&amp;I$2&amp;I$1&amp;"P"&amp;$A28)="N/A",0,RTD("tos.rtd",,$A$2,"."&amp;I$2&amp;I$1&amp;"P"&amp;$A28))))))))))</f>
        <v>59</v>
      </c>
      <c r="J28" s="12">
        <f ca="1">IF($A$2="PREMIUM_OI",IFERROR(IF($X$1="ABS",(100*RTD("tos.rtd",,"OPEN_INT","."&amp;J$2&amp;J$1&amp;"C"&amp;$A28)*RTD("tos.rtd",,"LAST","."&amp;J$2&amp;J$1&amp;"C"&amp;$A28)+100*RTD("tos.rtd",,"OPEN_INT","."&amp;J$2&amp;J$1&amp;"P"&amp;$A28)*RTD("tos.rtd",,"LAST","."&amp;J$2&amp;J$1&amp;"P"&amp;$A28))/1000000,(100*RTD("tos.rtd",,"OPEN_INT","."&amp;J$2&amp;J$1&amp;"C"&amp;$A28)*RTD("tos.rtd",,"LAST","."&amp;J$2&amp;J$1&amp;"C"&amp;$A28)-100*RTD("tos.rtd",,"OPEN_INT","."&amp;J$2&amp;J$1&amp;"P"&amp;$A28)*RTD("tos.rtd",,"LAST","."&amp;J$2&amp;J$1&amp;"P"&amp;$A28))/1000000),0),IF($A$2="PREMIUM",IFERROR(IF($X$1="ABS",(100*RTD("tos.rtd",,"VOLUME","."&amp;J$2&amp;J$1&amp;"C"&amp;$A28)*RTD("tos.rtd",,"LAST","."&amp;J$2&amp;J$1&amp;"C"&amp;$A28)+100*RTD("tos.rtd",,"VOLUME","."&amp;J$2&amp;J$1&amp;"P"&amp;$A28)*RTD("tos.rtd",,"LAST","."&amp;J$2&amp;J$1&amp;"P"&amp;$A28))/1000000,(100*RTD("tos.rtd",,"VOLUME","."&amp;J$2&amp;J$1&amp;"C"&amp;$A28)*RTD("tos.rtd",,"LAST","."&amp;J$2&amp;J$1&amp;"C"&amp;$A28)-100*RTD("tos.rtd",,"VOLUME","."&amp;J$2&amp;J$1&amp;"P"&amp;$A28)*RTD("tos.rtd",,"LAST","."&amp;J$2&amp;J$1&amp;"P"&amp;$A28))/1000000),0),IF($A$2="DEX",IFERROR(IF($X$1="ABS",(100*RTD("tos.rtd",,"OPEN_INT","."&amp;J$2&amp;J$1&amp;"C"&amp;$A28)*RTD("tos.rtd",,"DELTA","."&amp;J$2&amp;J$1&amp;"C"&amp;$A28)+100*RTD("tos.rtd",,"OPEN_INT","."&amp;J$2&amp;J$1&amp;"P"&amp;$A28)*RTD("tos.rtd",,"DELTA","."&amp;J$2&amp;J$1&amp;"P"&amp;$A28))/1000,(100*RTD("tos.rtd",,"OPEN_INT","."&amp;J$2&amp;J$1&amp;"C"&amp;$A28)*RTD("tos.rtd",,"DELTA","."&amp;J$2&amp;J$1&amp;"C"&amp;$A28)-100*RTD("tos.rtd",,"OPEN_INT","."&amp;J$2&amp;J$1&amp;"P"&amp;$A28)*RTD("tos.rtd",,"DELTA","."&amp;J$2&amp;J$1&amp;"P"&amp;$A28))/1000),0),IF($A$2="VEX",IFERROR(IF($X$1="ABS",($A$4*$A$4*RTD("tos.rtd",,"VOLUME","."&amp;J$2&amp;J$1&amp;"C"&amp;$A28)*RTD("tos.rtd",,"GAMMA","."&amp;J$2&amp;J$1&amp;"C"&amp;$A28)+$A$4*$A$4*RTD("tos.rtd",,"VOLUME","."&amp;J$2&amp;J$1&amp;"P"&amp;$A28)*RTD("tos.rtd",,"GAMMA","."&amp;J$2&amp;J$1&amp;"P"&amp;$A28))/1000000,($A$4*$A$4*RTD("tos.rtd",,"VOLUME","."&amp;J$2&amp;J$1&amp;"C"&amp;$A28)*RTD("tos.rtd",,"GAMMA","."&amp;J$2&amp;J$1&amp;"C"&amp;$A28)-$A$4*$A$4*RTD("tos.rtd",,"VOLUME","."&amp;J$2&amp;J$1&amp;"P"&amp;$A28)*RTD("tos.rtd",,"GAMMA","."&amp;J$2&amp;J$1&amp;"P"&amp;$A28))/1000000),0),IF($A$2="GEX",IFERROR(IF($X$1="ABS",($A$4*$A$4*RTD("tos.rtd",,"OPEN_INT","."&amp;J$2&amp;J$1&amp;"C"&amp;$A28)*RTD("tos.rtd",,"GAMMA","."&amp;J$2&amp;J$1&amp;"C"&amp;$A28)+$A$4*$A$4*RTD("tos.rtd",,"OPEN_INT","."&amp;J$2&amp;J$1&amp;"P"&amp;$A28)*RTD("tos.rtd",,"GAMMA","."&amp;J$2&amp;J$1&amp;"P"&amp;$A28))/1000000,($A$4*$A$4*RTD("tos.rtd",,"OPEN_INT","."&amp;J$2&amp;J$1&amp;"C"&amp;$A28)*RTD("tos.rtd",,"GAMMA","."&amp;J$2&amp;J$1&amp;"C"&amp;$A28)-$A$4*$A$4*RTD("tos.rtd",,"OPEN_INT","."&amp;J$2&amp;J$1&amp;"P"&amp;$A28)*RTD("tos.rtd",,"GAMMA","."&amp;J$2&amp;J$1&amp;"P"&amp;$A28))/1000000),0),IF($A$2="SKEW",IFERROR(VALUE(IF(RTD("tos.rtd",,"IMPL_VOL","."&amp;J$2&amp;J$1&amp;"P"&amp;$A28)="N/A",0,RTD("tos.rtd",,"IMPL_VOL","."&amp;J$2&amp;J$1&amp;"P"&amp;$A28))),0)-IFERROR(VALUE(IF(RTD("tos.rtd",,"IMPL_VOL","."&amp;J$2&amp;J$1&amp;"C"&amp;$A28)="N/A",0,RTD("tos.rtd",,"IMPL_VOL","."&amp;J$2&amp;J$1&amp;"C"&amp;$A28))),0),IF($A$2="MAXPAIN",IF($A$4&gt;$A28,($A$4-$A28)*IF(RTD("tos.rtd",,"OPEN_INT","."&amp;J$2&amp;J$1&amp;"C"&amp;$A28)="N/A",0,RTD("tos.rtd",,"OPEN_INT","."&amp;J$2&amp;J$1&amp;"C"&amp;$A28)),0)+IF($A$4&lt;$A28,($A$5-$A$4)*IF(RTD("tos.rtd",,"OPEN_INT","."&amp;J$2&amp;J$1&amp;"P"&amp;$A28)="N/A",0,RTD("tos.rtd",,"OPEN_INT","."&amp;J$2&amp;J$1&amp;"P"&amp;$A28)),0),IF($X$1="ABS",IF(RTD("tos.rtd",,$A$2,"."&amp;J$2&amp;J$1&amp;"C"&amp;$A28)="N/A",0,RTD("tos.rtd",,$A$2,"."&amp;J$2&amp;J$1&amp;"C"&amp;$A28))+IF(RTD("tos.rtd",,$A$2,"."&amp;J$2&amp;J$1&amp;"P"&amp;$A28)="N/A",0,RTD("tos.rtd",,$A$2,"."&amp;J$2&amp;J$1&amp;"P"&amp;$A28)),IF(RTD("tos.rtd",,$A$2,"."&amp;J$2&amp;J$1&amp;"C"&amp;$A28)="N/A",0,RTD("tos.rtd",,$A$2,"."&amp;J$2&amp;J$1&amp;"C"&amp;$A28))-IF(RTD("tos.rtd",,$A$2,"."&amp;J$2&amp;J$1&amp;"P"&amp;$A28)="N/A",0,RTD("tos.rtd",,$A$2,"."&amp;J$2&amp;J$1&amp;"P"&amp;$A28))))))))))</f>
        <v>0</v>
      </c>
      <c r="K28" s="12">
        <f ca="1">IF($A$2="PREMIUM_OI",IFERROR(IF($X$1="ABS",(100*RTD("tos.rtd",,"OPEN_INT","."&amp;K$2&amp;K$1&amp;"C"&amp;$A28)*RTD("tos.rtd",,"LAST","."&amp;K$2&amp;K$1&amp;"C"&amp;$A28)+100*RTD("tos.rtd",,"OPEN_INT","."&amp;K$2&amp;K$1&amp;"P"&amp;$A28)*RTD("tos.rtd",,"LAST","."&amp;K$2&amp;K$1&amp;"P"&amp;$A28))/1000000,(100*RTD("tos.rtd",,"OPEN_INT","."&amp;K$2&amp;K$1&amp;"C"&amp;$A28)*RTD("tos.rtd",,"LAST","."&amp;K$2&amp;K$1&amp;"C"&amp;$A28)-100*RTD("tos.rtd",,"OPEN_INT","."&amp;K$2&amp;K$1&amp;"P"&amp;$A28)*RTD("tos.rtd",,"LAST","."&amp;K$2&amp;K$1&amp;"P"&amp;$A28))/1000000),0),IF($A$2="PREMIUM",IFERROR(IF($X$1="ABS",(100*RTD("tos.rtd",,"VOLUME","."&amp;K$2&amp;K$1&amp;"C"&amp;$A28)*RTD("tos.rtd",,"LAST","."&amp;K$2&amp;K$1&amp;"C"&amp;$A28)+100*RTD("tos.rtd",,"VOLUME","."&amp;K$2&amp;K$1&amp;"P"&amp;$A28)*RTD("tos.rtd",,"LAST","."&amp;K$2&amp;K$1&amp;"P"&amp;$A28))/1000000,(100*RTD("tos.rtd",,"VOLUME","."&amp;K$2&amp;K$1&amp;"C"&amp;$A28)*RTD("tos.rtd",,"LAST","."&amp;K$2&amp;K$1&amp;"C"&amp;$A28)-100*RTD("tos.rtd",,"VOLUME","."&amp;K$2&amp;K$1&amp;"P"&amp;$A28)*RTD("tos.rtd",,"LAST","."&amp;K$2&amp;K$1&amp;"P"&amp;$A28))/1000000),0),IF($A$2="DEX",IFERROR(IF($X$1="ABS",(100*RTD("tos.rtd",,"OPEN_INT","."&amp;K$2&amp;K$1&amp;"C"&amp;$A28)*RTD("tos.rtd",,"DELTA","."&amp;K$2&amp;K$1&amp;"C"&amp;$A28)+100*RTD("tos.rtd",,"OPEN_INT","."&amp;K$2&amp;K$1&amp;"P"&amp;$A28)*RTD("tos.rtd",,"DELTA","."&amp;K$2&amp;K$1&amp;"P"&amp;$A28))/1000,(100*RTD("tos.rtd",,"OPEN_INT","."&amp;K$2&amp;K$1&amp;"C"&amp;$A28)*RTD("tos.rtd",,"DELTA","."&amp;K$2&amp;K$1&amp;"C"&amp;$A28)-100*RTD("tos.rtd",,"OPEN_INT","."&amp;K$2&amp;K$1&amp;"P"&amp;$A28)*RTD("tos.rtd",,"DELTA","."&amp;K$2&amp;K$1&amp;"P"&amp;$A28))/1000),0),IF($A$2="VEX",IFERROR(IF($X$1="ABS",($A$4*$A$4*RTD("tos.rtd",,"VOLUME","."&amp;K$2&amp;K$1&amp;"C"&amp;$A28)*RTD("tos.rtd",,"GAMMA","."&amp;K$2&amp;K$1&amp;"C"&amp;$A28)+$A$4*$A$4*RTD("tos.rtd",,"VOLUME","."&amp;K$2&amp;K$1&amp;"P"&amp;$A28)*RTD("tos.rtd",,"GAMMA","."&amp;K$2&amp;K$1&amp;"P"&amp;$A28))/1000000,($A$4*$A$4*RTD("tos.rtd",,"VOLUME","."&amp;K$2&amp;K$1&amp;"C"&amp;$A28)*RTD("tos.rtd",,"GAMMA","."&amp;K$2&amp;K$1&amp;"C"&amp;$A28)-$A$4*$A$4*RTD("tos.rtd",,"VOLUME","."&amp;K$2&amp;K$1&amp;"P"&amp;$A28)*RTD("tos.rtd",,"GAMMA","."&amp;K$2&amp;K$1&amp;"P"&amp;$A28))/1000000),0),IF($A$2="GEX",IFERROR(IF($X$1="ABS",($A$4*$A$4*RTD("tos.rtd",,"OPEN_INT","."&amp;K$2&amp;K$1&amp;"C"&amp;$A28)*RTD("tos.rtd",,"GAMMA","."&amp;K$2&amp;K$1&amp;"C"&amp;$A28)+$A$4*$A$4*RTD("tos.rtd",,"OPEN_INT","."&amp;K$2&amp;K$1&amp;"P"&amp;$A28)*RTD("tos.rtd",,"GAMMA","."&amp;K$2&amp;K$1&amp;"P"&amp;$A28))/1000000,($A$4*$A$4*RTD("tos.rtd",,"OPEN_INT","."&amp;K$2&amp;K$1&amp;"C"&amp;$A28)*RTD("tos.rtd",,"GAMMA","."&amp;K$2&amp;K$1&amp;"C"&amp;$A28)-$A$4*$A$4*RTD("tos.rtd",,"OPEN_INT","."&amp;K$2&amp;K$1&amp;"P"&amp;$A28)*RTD("tos.rtd",,"GAMMA","."&amp;K$2&amp;K$1&amp;"P"&amp;$A28))/1000000),0),IF($A$2="SKEW",IFERROR(VALUE(IF(RTD("tos.rtd",,"IMPL_VOL","."&amp;K$2&amp;K$1&amp;"P"&amp;$A28)="N/A",0,RTD("tos.rtd",,"IMPL_VOL","."&amp;K$2&amp;K$1&amp;"P"&amp;$A28))),0)-IFERROR(VALUE(IF(RTD("tos.rtd",,"IMPL_VOL","."&amp;K$2&amp;K$1&amp;"C"&amp;$A28)="N/A",0,RTD("tos.rtd",,"IMPL_VOL","."&amp;K$2&amp;K$1&amp;"C"&amp;$A28))),0),IF($A$2="MAXPAIN",IF($A$4&gt;$A28,($A$4-$A28)*IF(RTD("tos.rtd",,"OPEN_INT","."&amp;K$2&amp;K$1&amp;"C"&amp;$A28)="N/A",0,RTD("tos.rtd",,"OPEN_INT","."&amp;K$2&amp;K$1&amp;"C"&amp;$A28)),0)+IF($A$4&lt;$A28,($A$5-$A$4)*IF(RTD("tos.rtd",,"OPEN_INT","."&amp;K$2&amp;K$1&amp;"P"&amp;$A28)="N/A",0,RTD("tos.rtd",,"OPEN_INT","."&amp;K$2&amp;K$1&amp;"P"&amp;$A28)),0),IF($X$1="ABS",IF(RTD("tos.rtd",,$A$2,"."&amp;K$2&amp;K$1&amp;"C"&amp;$A28)="N/A",0,RTD("tos.rtd",,$A$2,"."&amp;K$2&amp;K$1&amp;"C"&amp;$A28))+IF(RTD("tos.rtd",,$A$2,"."&amp;K$2&amp;K$1&amp;"P"&amp;$A28)="N/A",0,RTD("tos.rtd",,$A$2,"."&amp;K$2&amp;K$1&amp;"P"&amp;$A28)),IF(RTD("tos.rtd",,$A$2,"."&amp;K$2&amp;K$1&amp;"C"&amp;$A28)="N/A",0,RTD("tos.rtd",,$A$2,"."&amp;K$2&amp;K$1&amp;"C"&amp;$A28))-IF(RTD("tos.rtd",,$A$2,"."&amp;K$2&amp;K$1&amp;"P"&amp;$A28)="N/A",0,RTD("tos.rtd",,$A$2,"."&amp;K$2&amp;K$1&amp;"P"&amp;$A28))))))))))</f>
        <v>0</v>
      </c>
      <c r="L28" s="54">
        <f ca="1">IF($A$2="PREMIUM_OI",IFERROR(IF($X$1="ABS",(100*RTD("tos.rtd",,"OPEN_INT","."&amp;L$2&amp;L$1&amp;"C"&amp;$A28)*RTD("tos.rtd",,"LAST","."&amp;L$2&amp;L$1&amp;"C"&amp;$A28)+100*RTD("tos.rtd",,"OPEN_INT","."&amp;L$2&amp;L$1&amp;"P"&amp;$A28)*RTD("tos.rtd",,"LAST","."&amp;L$2&amp;L$1&amp;"P"&amp;$A28))/1000000,(100*RTD("tos.rtd",,"OPEN_INT","."&amp;L$2&amp;L$1&amp;"C"&amp;$A28)*RTD("tos.rtd",,"LAST","."&amp;L$2&amp;L$1&amp;"C"&amp;$A28)-100*RTD("tos.rtd",,"OPEN_INT","."&amp;L$2&amp;L$1&amp;"P"&amp;$A28)*RTD("tos.rtd",,"LAST","."&amp;L$2&amp;L$1&amp;"P"&amp;$A28))/1000000),0),IF($A$2="PREMIUM",IFERROR(IF($X$1="ABS",(100*RTD("tos.rtd",,"VOLUME","."&amp;L$2&amp;L$1&amp;"C"&amp;$A28)*RTD("tos.rtd",,"LAST","."&amp;L$2&amp;L$1&amp;"C"&amp;$A28)+100*RTD("tos.rtd",,"VOLUME","."&amp;L$2&amp;L$1&amp;"P"&amp;$A28)*RTD("tos.rtd",,"LAST","."&amp;L$2&amp;L$1&amp;"P"&amp;$A28))/1000000,(100*RTD("tos.rtd",,"VOLUME","."&amp;L$2&amp;L$1&amp;"C"&amp;$A28)*RTD("tos.rtd",,"LAST","."&amp;L$2&amp;L$1&amp;"C"&amp;$A28)-100*RTD("tos.rtd",,"VOLUME","."&amp;L$2&amp;L$1&amp;"P"&amp;$A28)*RTD("tos.rtd",,"LAST","."&amp;L$2&amp;L$1&amp;"P"&amp;$A28))/1000000),0),IF($A$2="DEX",IFERROR(IF($X$1="ABS",(100*RTD("tos.rtd",,"OPEN_INT","."&amp;L$2&amp;L$1&amp;"C"&amp;$A28)*RTD("tos.rtd",,"DELTA","."&amp;L$2&amp;L$1&amp;"C"&amp;$A28)+100*RTD("tos.rtd",,"OPEN_INT","."&amp;L$2&amp;L$1&amp;"P"&amp;$A28)*RTD("tos.rtd",,"DELTA","."&amp;L$2&amp;L$1&amp;"P"&amp;$A28))/1000,(100*RTD("tos.rtd",,"OPEN_INT","."&amp;L$2&amp;L$1&amp;"C"&amp;$A28)*RTD("tos.rtd",,"DELTA","."&amp;L$2&amp;L$1&amp;"C"&amp;$A28)-100*RTD("tos.rtd",,"OPEN_INT","."&amp;L$2&amp;L$1&amp;"P"&amp;$A28)*RTD("tos.rtd",,"DELTA","."&amp;L$2&amp;L$1&amp;"P"&amp;$A28))/1000),0),IF($A$2="VEX",IFERROR(IF($X$1="ABS",($A$4*$A$4*RTD("tos.rtd",,"VOLUME","."&amp;L$2&amp;L$1&amp;"C"&amp;$A28)*RTD("tos.rtd",,"GAMMA","."&amp;L$2&amp;L$1&amp;"C"&amp;$A28)+$A$4*$A$4*RTD("tos.rtd",,"VOLUME","."&amp;L$2&amp;L$1&amp;"P"&amp;$A28)*RTD("tos.rtd",,"GAMMA","."&amp;L$2&amp;L$1&amp;"P"&amp;$A28))/1000000,($A$4*$A$4*RTD("tos.rtd",,"VOLUME","."&amp;L$2&amp;L$1&amp;"C"&amp;$A28)*RTD("tos.rtd",,"GAMMA","."&amp;L$2&amp;L$1&amp;"C"&amp;$A28)-$A$4*$A$4*RTD("tos.rtd",,"VOLUME","."&amp;L$2&amp;L$1&amp;"P"&amp;$A28)*RTD("tos.rtd",,"GAMMA","."&amp;L$2&amp;L$1&amp;"P"&amp;$A28))/1000000),0),IF($A$2="GEX",IFERROR(IF($X$1="ABS",($A$4*$A$4*RTD("tos.rtd",,"OPEN_INT","."&amp;L$2&amp;L$1&amp;"C"&amp;$A28)*RTD("tos.rtd",,"GAMMA","."&amp;L$2&amp;L$1&amp;"C"&amp;$A28)+$A$4*$A$4*RTD("tos.rtd",,"OPEN_INT","."&amp;L$2&amp;L$1&amp;"P"&amp;$A28)*RTD("tos.rtd",,"GAMMA","."&amp;L$2&amp;L$1&amp;"P"&amp;$A28))/1000000,($A$4*$A$4*RTD("tos.rtd",,"OPEN_INT","."&amp;L$2&amp;L$1&amp;"C"&amp;$A28)*RTD("tos.rtd",,"GAMMA","."&amp;L$2&amp;L$1&amp;"C"&amp;$A28)-$A$4*$A$4*RTD("tos.rtd",,"OPEN_INT","."&amp;L$2&amp;L$1&amp;"P"&amp;$A28)*RTD("tos.rtd",,"GAMMA","."&amp;L$2&amp;L$1&amp;"P"&amp;$A28))/1000000),0),IF($A$2="SKEW",IFERROR(VALUE(IF(RTD("tos.rtd",,"IMPL_VOL","."&amp;L$2&amp;L$1&amp;"P"&amp;$A28)="N/A",0,RTD("tos.rtd",,"IMPL_VOL","."&amp;L$2&amp;L$1&amp;"P"&amp;$A28))),0)-IFERROR(VALUE(IF(RTD("tos.rtd",,"IMPL_VOL","."&amp;L$2&amp;L$1&amp;"C"&amp;$A28)="N/A",0,RTD("tos.rtd",,"IMPL_VOL","."&amp;L$2&amp;L$1&amp;"C"&amp;$A28))),0),IF($A$2="MAXPAIN",IF($A$4&gt;$A28,($A$4-$A28)*IF(RTD("tos.rtd",,"OPEN_INT","."&amp;L$2&amp;L$1&amp;"C"&amp;$A28)="N/A",0,RTD("tos.rtd",,"OPEN_INT","."&amp;L$2&amp;L$1&amp;"C"&amp;$A28)),0)+IF($A$4&lt;$A28,($A$5-$A$4)*IF(RTD("tos.rtd",,"OPEN_INT","."&amp;L$2&amp;L$1&amp;"P"&amp;$A28)="N/A",0,RTD("tos.rtd",,"OPEN_INT","."&amp;L$2&amp;L$1&amp;"P"&amp;$A28)),0),IF($X$1="ABS",IF(RTD("tos.rtd",,$A$2,"."&amp;L$2&amp;L$1&amp;"C"&amp;$A28)="N/A",0,RTD("tos.rtd",,$A$2,"."&amp;L$2&amp;L$1&amp;"C"&amp;$A28))+IF(RTD("tos.rtd",,$A$2,"."&amp;L$2&amp;L$1&amp;"P"&amp;$A28)="N/A",0,RTD("tos.rtd",,$A$2,"."&amp;L$2&amp;L$1&amp;"P"&amp;$A28)),IF(RTD("tos.rtd",,$A$2,"."&amp;L$2&amp;L$1&amp;"C"&amp;$A28)="N/A",0,RTD("tos.rtd",,$A$2,"."&amp;L$2&amp;L$1&amp;"C"&amp;$A28))-IF(RTD("tos.rtd",,$A$2,"."&amp;L$2&amp;L$1&amp;"P"&amp;$A28)="N/A",0,RTD("tos.rtd",,$A$2,"."&amp;L$2&amp;L$1&amp;"P"&amp;$A28))))))))))</f>
        <v>63280</v>
      </c>
      <c r="M28" s="12">
        <f ca="1">IF($A$2="PREMIUM_OI",IFERROR(IF($X$1="ABS",(100*RTD("tos.rtd",,"OPEN_INT","."&amp;M$2&amp;M$1&amp;"C"&amp;$A28)*RTD("tos.rtd",,"LAST","."&amp;M$2&amp;M$1&amp;"C"&amp;$A28)+100*RTD("tos.rtd",,"OPEN_INT","."&amp;M$2&amp;M$1&amp;"P"&amp;$A28)*RTD("tos.rtd",,"LAST","."&amp;M$2&amp;M$1&amp;"P"&amp;$A28))/1000000,(100*RTD("tos.rtd",,"OPEN_INT","."&amp;M$2&amp;M$1&amp;"C"&amp;$A28)*RTD("tos.rtd",,"LAST","."&amp;M$2&amp;M$1&amp;"C"&amp;$A28)-100*RTD("tos.rtd",,"OPEN_INT","."&amp;M$2&amp;M$1&amp;"P"&amp;$A28)*RTD("tos.rtd",,"LAST","."&amp;M$2&amp;M$1&amp;"P"&amp;$A28))/1000000),0),IF($A$2="PREMIUM",IFERROR(IF($X$1="ABS",(100*RTD("tos.rtd",,"VOLUME","."&amp;M$2&amp;M$1&amp;"C"&amp;$A28)*RTD("tos.rtd",,"LAST","."&amp;M$2&amp;M$1&amp;"C"&amp;$A28)+100*RTD("tos.rtd",,"VOLUME","."&amp;M$2&amp;M$1&amp;"P"&amp;$A28)*RTD("tos.rtd",,"LAST","."&amp;M$2&amp;M$1&amp;"P"&amp;$A28))/1000000,(100*RTD("tos.rtd",,"VOLUME","."&amp;M$2&amp;M$1&amp;"C"&amp;$A28)*RTD("tos.rtd",,"LAST","."&amp;M$2&amp;M$1&amp;"C"&amp;$A28)-100*RTD("tos.rtd",,"VOLUME","."&amp;M$2&amp;M$1&amp;"P"&amp;$A28)*RTD("tos.rtd",,"LAST","."&amp;M$2&amp;M$1&amp;"P"&amp;$A28))/1000000),0),IF($A$2="DEX",IFERROR(IF($X$1="ABS",(100*RTD("tos.rtd",,"OPEN_INT","."&amp;M$2&amp;M$1&amp;"C"&amp;$A28)*RTD("tos.rtd",,"DELTA","."&amp;M$2&amp;M$1&amp;"C"&amp;$A28)+100*RTD("tos.rtd",,"OPEN_INT","."&amp;M$2&amp;M$1&amp;"P"&amp;$A28)*RTD("tos.rtd",,"DELTA","."&amp;M$2&amp;M$1&amp;"P"&amp;$A28))/1000,(100*RTD("tos.rtd",,"OPEN_INT","."&amp;M$2&amp;M$1&amp;"C"&amp;$A28)*RTD("tos.rtd",,"DELTA","."&amp;M$2&amp;M$1&amp;"C"&amp;$A28)-100*RTD("tos.rtd",,"OPEN_INT","."&amp;M$2&amp;M$1&amp;"P"&amp;$A28)*RTD("tos.rtd",,"DELTA","."&amp;M$2&amp;M$1&amp;"P"&amp;$A28))/1000),0),IF($A$2="VEX",IFERROR(IF($X$1="ABS",($A$4*$A$4*RTD("tos.rtd",,"VOLUME","."&amp;M$2&amp;M$1&amp;"C"&amp;$A28)*RTD("tos.rtd",,"GAMMA","."&amp;M$2&amp;M$1&amp;"C"&amp;$A28)+$A$4*$A$4*RTD("tos.rtd",,"VOLUME","."&amp;M$2&amp;M$1&amp;"P"&amp;$A28)*RTD("tos.rtd",,"GAMMA","."&amp;M$2&amp;M$1&amp;"P"&amp;$A28))/1000000,($A$4*$A$4*RTD("tos.rtd",,"VOLUME","."&amp;M$2&amp;M$1&amp;"C"&amp;$A28)*RTD("tos.rtd",,"GAMMA","."&amp;M$2&amp;M$1&amp;"C"&amp;$A28)-$A$4*$A$4*RTD("tos.rtd",,"VOLUME","."&amp;M$2&amp;M$1&amp;"P"&amp;$A28)*RTD("tos.rtd",,"GAMMA","."&amp;M$2&amp;M$1&amp;"P"&amp;$A28))/1000000),0),IF($A$2="GEX",IFERROR(IF($X$1="ABS",($A$4*$A$4*RTD("tos.rtd",,"OPEN_INT","."&amp;M$2&amp;M$1&amp;"C"&amp;$A28)*RTD("tos.rtd",,"GAMMA","."&amp;M$2&amp;M$1&amp;"C"&amp;$A28)+$A$4*$A$4*RTD("tos.rtd",,"OPEN_INT","."&amp;M$2&amp;M$1&amp;"P"&amp;$A28)*RTD("tos.rtd",,"GAMMA","."&amp;M$2&amp;M$1&amp;"P"&amp;$A28))/1000000,($A$4*$A$4*RTD("tos.rtd",,"OPEN_INT","."&amp;M$2&amp;M$1&amp;"C"&amp;$A28)*RTD("tos.rtd",,"GAMMA","."&amp;M$2&amp;M$1&amp;"C"&amp;$A28)-$A$4*$A$4*RTD("tos.rtd",,"OPEN_INT","."&amp;M$2&amp;M$1&amp;"P"&amp;$A28)*RTD("tos.rtd",,"GAMMA","."&amp;M$2&amp;M$1&amp;"P"&amp;$A28))/1000000),0),IF($A$2="SKEW",IFERROR(VALUE(IF(RTD("tos.rtd",,"IMPL_VOL","."&amp;M$2&amp;M$1&amp;"P"&amp;$A28)="N/A",0,RTD("tos.rtd",,"IMPL_VOL","."&amp;M$2&amp;M$1&amp;"P"&amp;$A28))),0)-IFERROR(VALUE(IF(RTD("tos.rtd",,"IMPL_VOL","."&amp;M$2&amp;M$1&amp;"C"&amp;$A28)="N/A",0,RTD("tos.rtd",,"IMPL_VOL","."&amp;M$2&amp;M$1&amp;"C"&amp;$A28))),0),IF($A$2="MAXPAIN",IF($A$4&gt;$A28,($A$4-$A28)*IF(RTD("tos.rtd",,"OPEN_INT","."&amp;M$2&amp;M$1&amp;"C"&amp;$A28)="N/A",0,RTD("tos.rtd",,"OPEN_INT","."&amp;M$2&amp;M$1&amp;"C"&amp;$A28)),0)+IF($A$4&lt;$A28,($A$5-$A$4)*IF(RTD("tos.rtd",,"OPEN_INT","."&amp;M$2&amp;M$1&amp;"P"&amp;$A28)="N/A",0,RTD("tos.rtd",,"OPEN_INT","."&amp;M$2&amp;M$1&amp;"P"&amp;$A28)),0),IF($X$1="ABS",IF(RTD("tos.rtd",,$A$2,"."&amp;M$2&amp;M$1&amp;"C"&amp;$A28)="N/A",0,RTD("tos.rtd",,$A$2,"."&amp;M$2&amp;M$1&amp;"C"&amp;$A28))+IF(RTD("tos.rtd",,$A$2,"."&amp;M$2&amp;M$1&amp;"P"&amp;$A28)="N/A",0,RTD("tos.rtd",,$A$2,"."&amp;M$2&amp;M$1&amp;"P"&amp;$A28)),IF(RTD("tos.rtd",,$A$2,"."&amp;M$2&amp;M$1&amp;"C"&amp;$A28)="N/A",0,RTD("tos.rtd",,$A$2,"."&amp;M$2&amp;M$1&amp;"C"&amp;$A28))-IF(RTD("tos.rtd",,$A$2,"."&amp;M$2&amp;M$1&amp;"P"&amp;$A28)="N/A",0,RTD("tos.rtd",,$A$2,"."&amp;M$2&amp;M$1&amp;"P"&amp;$A28))))))))))</f>
        <v>23997</v>
      </c>
      <c r="N28" s="12">
        <f ca="1">IF($A$2="PREMIUM_OI",IFERROR(IF($X$1="ABS",(100*RTD("tos.rtd",,"OPEN_INT","."&amp;N$2&amp;N$1&amp;"C"&amp;$A28)*RTD("tos.rtd",,"LAST","."&amp;N$2&amp;N$1&amp;"C"&amp;$A28)+100*RTD("tos.rtd",,"OPEN_INT","."&amp;N$2&amp;N$1&amp;"P"&amp;$A28)*RTD("tos.rtd",,"LAST","."&amp;N$2&amp;N$1&amp;"P"&amp;$A28))/1000000,(100*RTD("tos.rtd",,"OPEN_INT","."&amp;N$2&amp;N$1&amp;"C"&amp;$A28)*RTD("tos.rtd",,"LAST","."&amp;N$2&amp;N$1&amp;"C"&amp;$A28)-100*RTD("tos.rtd",,"OPEN_INT","."&amp;N$2&amp;N$1&amp;"P"&amp;$A28)*RTD("tos.rtd",,"LAST","."&amp;N$2&amp;N$1&amp;"P"&amp;$A28))/1000000),0),IF($A$2="PREMIUM",IFERROR(IF($X$1="ABS",(100*RTD("tos.rtd",,"VOLUME","."&amp;N$2&amp;N$1&amp;"C"&amp;$A28)*RTD("tos.rtd",,"LAST","."&amp;N$2&amp;N$1&amp;"C"&amp;$A28)+100*RTD("tos.rtd",,"VOLUME","."&amp;N$2&amp;N$1&amp;"P"&amp;$A28)*RTD("tos.rtd",,"LAST","."&amp;N$2&amp;N$1&amp;"P"&amp;$A28))/1000000,(100*RTD("tos.rtd",,"VOLUME","."&amp;N$2&amp;N$1&amp;"C"&amp;$A28)*RTD("tos.rtd",,"LAST","."&amp;N$2&amp;N$1&amp;"C"&amp;$A28)-100*RTD("tos.rtd",,"VOLUME","."&amp;N$2&amp;N$1&amp;"P"&amp;$A28)*RTD("tos.rtd",,"LAST","."&amp;N$2&amp;N$1&amp;"P"&amp;$A28))/1000000),0),IF($A$2="DEX",IFERROR(IF($X$1="ABS",(100*RTD("tos.rtd",,"OPEN_INT","."&amp;N$2&amp;N$1&amp;"C"&amp;$A28)*RTD("tos.rtd",,"DELTA","."&amp;N$2&amp;N$1&amp;"C"&amp;$A28)+100*RTD("tos.rtd",,"OPEN_INT","."&amp;N$2&amp;N$1&amp;"P"&amp;$A28)*RTD("tos.rtd",,"DELTA","."&amp;N$2&amp;N$1&amp;"P"&amp;$A28))/1000,(100*RTD("tos.rtd",,"OPEN_INT","."&amp;N$2&amp;N$1&amp;"C"&amp;$A28)*RTD("tos.rtd",,"DELTA","."&amp;N$2&amp;N$1&amp;"C"&amp;$A28)-100*RTD("tos.rtd",,"OPEN_INT","."&amp;N$2&amp;N$1&amp;"P"&amp;$A28)*RTD("tos.rtd",,"DELTA","."&amp;N$2&amp;N$1&amp;"P"&amp;$A28))/1000),0),IF($A$2="VEX",IFERROR(IF($X$1="ABS",($A$4*$A$4*RTD("tos.rtd",,"VOLUME","."&amp;N$2&amp;N$1&amp;"C"&amp;$A28)*RTD("tos.rtd",,"GAMMA","."&amp;N$2&amp;N$1&amp;"C"&amp;$A28)+$A$4*$A$4*RTD("tos.rtd",,"VOLUME","."&amp;N$2&amp;N$1&amp;"P"&amp;$A28)*RTD("tos.rtd",,"GAMMA","."&amp;N$2&amp;N$1&amp;"P"&amp;$A28))/1000000,($A$4*$A$4*RTD("tos.rtd",,"VOLUME","."&amp;N$2&amp;N$1&amp;"C"&amp;$A28)*RTD("tos.rtd",,"GAMMA","."&amp;N$2&amp;N$1&amp;"C"&amp;$A28)-$A$4*$A$4*RTD("tos.rtd",,"VOLUME","."&amp;N$2&amp;N$1&amp;"P"&amp;$A28)*RTD("tos.rtd",,"GAMMA","."&amp;N$2&amp;N$1&amp;"P"&amp;$A28))/1000000),0),IF($A$2="GEX",IFERROR(IF($X$1="ABS",($A$4*$A$4*RTD("tos.rtd",,"OPEN_INT","."&amp;N$2&amp;N$1&amp;"C"&amp;$A28)*RTD("tos.rtd",,"GAMMA","."&amp;N$2&amp;N$1&amp;"C"&amp;$A28)+$A$4*$A$4*RTD("tos.rtd",,"OPEN_INT","."&amp;N$2&amp;N$1&amp;"P"&amp;$A28)*RTD("tos.rtd",,"GAMMA","."&amp;N$2&amp;N$1&amp;"P"&amp;$A28))/1000000,($A$4*$A$4*RTD("tos.rtd",,"OPEN_INT","."&amp;N$2&amp;N$1&amp;"C"&amp;$A28)*RTD("tos.rtd",,"GAMMA","."&amp;N$2&amp;N$1&amp;"C"&amp;$A28)-$A$4*$A$4*RTD("tos.rtd",,"OPEN_INT","."&amp;N$2&amp;N$1&amp;"P"&amp;$A28)*RTD("tos.rtd",,"GAMMA","."&amp;N$2&amp;N$1&amp;"P"&amp;$A28))/1000000),0),IF($A$2="SKEW",IFERROR(VALUE(IF(RTD("tos.rtd",,"IMPL_VOL","."&amp;N$2&amp;N$1&amp;"P"&amp;$A28)="N/A",0,RTD("tos.rtd",,"IMPL_VOL","."&amp;N$2&amp;N$1&amp;"P"&amp;$A28))),0)-IFERROR(VALUE(IF(RTD("tos.rtd",,"IMPL_VOL","."&amp;N$2&amp;N$1&amp;"C"&amp;$A28)="N/A",0,RTD("tos.rtd",,"IMPL_VOL","."&amp;N$2&amp;N$1&amp;"C"&amp;$A28))),0),IF($A$2="MAXPAIN",IF($A$4&gt;$A28,($A$4-$A28)*IF(RTD("tos.rtd",,"OPEN_INT","."&amp;N$2&amp;N$1&amp;"C"&amp;$A28)="N/A",0,RTD("tos.rtd",,"OPEN_INT","."&amp;N$2&amp;N$1&amp;"C"&amp;$A28)),0)+IF($A$4&lt;$A28,($A$5-$A$4)*IF(RTD("tos.rtd",,"OPEN_INT","."&amp;N$2&amp;N$1&amp;"P"&amp;$A28)="N/A",0,RTD("tos.rtd",,"OPEN_INT","."&amp;N$2&amp;N$1&amp;"P"&amp;$A28)),0),IF($X$1="ABS",IF(RTD("tos.rtd",,$A$2,"."&amp;N$2&amp;N$1&amp;"C"&amp;$A28)="N/A",0,RTD("tos.rtd",,$A$2,"."&amp;N$2&amp;N$1&amp;"C"&amp;$A28))+IF(RTD("tos.rtd",,$A$2,"."&amp;N$2&amp;N$1&amp;"P"&amp;$A28)="N/A",0,RTD("tos.rtd",,$A$2,"."&amp;N$2&amp;N$1&amp;"P"&amp;$A28)),IF(RTD("tos.rtd",,$A$2,"."&amp;N$2&amp;N$1&amp;"C"&amp;$A28)="N/A",0,RTD("tos.rtd",,$A$2,"."&amp;N$2&amp;N$1&amp;"C"&amp;$A28))-IF(RTD("tos.rtd",,$A$2,"."&amp;N$2&amp;N$1&amp;"P"&amp;$A28)="N/A",0,RTD("tos.rtd",,$A$2,"."&amp;N$2&amp;N$1&amp;"P"&amp;$A28))))))))))</f>
        <v>0</v>
      </c>
      <c r="O28" s="12">
        <f ca="1">IF($A$2="PREMIUM_OI",IFERROR(IF($X$1="ABS",(100*RTD("tos.rtd",,"OPEN_INT","."&amp;O$2&amp;O$1&amp;"C"&amp;$A28)*RTD("tos.rtd",,"LAST","."&amp;O$2&amp;O$1&amp;"C"&amp;$A28)+100*RTD("tos.rtd",,"OPEN_INT","."&amp;O$2&amp;O$1&amp;"P"&amp;$A28)*RTD("tos.rtd",,"LAST","."&amp;O$2&amp;O$1&amp;"P"&amp;$A28))/1000000,(100*RTD("tos.rtd",,"OPEN_INT","."&amp;O$2&amp;O$1&amp;"C"&amp;$A28)*RTD("tos.rtd",,"LAST","."&amp;O$2&amp;O$1&amp;"C"&amp;$A28)-100*RTD("tos.rtd",,"OPEN_INT","."&amp;O$2&amp;O$1&amp;"P"&amp;$A28)*RTD("tos.rtd",,"LAST","."&amp;O$2&amp;O$1&amp;"P"&amp;$A28))/1000000),0),IF($A$2="PREMIUM",IFERROR(IF($X$1="ABS",(100*RTD("tos.rtd",,"VOLUME","."&amp;O$2&amp;O$1&amp;"C"&amp;$A28)*RTD("tos.rtd",,"LAST","."&amp;O$2&amp;O$1&amp;"C"&amp;$A28)+100*RTD("tos.rtd",,"VOLUME","."&amp;O$2&amp;O$1&amp;"P"&amp;$A28)*RTD("tos.rtd",,"LAST","."&amp;O$2&amp;O$1&amp;"P"&amp;$A28))/1000000,(100*RTD("tos.rtd",,"VOLUME","."&amp;O$2&amp;O$1&amp;"C"&amp;$A28)*RTD("tos.rtd",,"LAST","."&amp;O$2&amp;O$1&amp;"C"&amp;$A28)-100*RTD("tos.rtd",,"VOLUME","."&amp;O$2&amp;O$1&amp;"P"&amp;$A28)*RTD("tos.rtd",,"LAST","."&amp;O$2&amp;O$1&amp;"P"&amp;$A28))/1000000),0),IF($A$2="DEX",IFERROR(IF($X$1="ABS",(100*RTD("tos.rtd",,"OPEN_INT","."&amp;O$2&amp;O$1&amp;"C"&amp;$A28)*RTD("tos.rtd",,"DELTA","."&amp;O$2&amp;O$1&amp;"C"&amp;$A28)+100*RTD("tos.rtd",,"OPEN_INT","."&amp;O$2&amp;O$1&amp;"P"&amp;$A28)*RTD("tos.rtd",,"DELTA","."&amp;O$2&amp;O$1&amp;"P"&amp;$A28))/1000,(100*RTD("tos.rtd",,"OPEN_INT","."&amp;O$2&amp;O$1&amp;"C"&amp;$A28)*RTD("tos.rtd",,"DELTA","."&amp;O$2&amp;O$1&amp;"C"&amp;$A28)-100*RTD("tos.rtd",,"OPEN_INT","."&amp;O$2&amp;O$1&amp;"P"&amp;$A28)*RTD("tos.rtd",,"DELTA","."&amp;O$2&amp;O$1&amp;"P"&amp;$A28))/1000),0),IF($A$2="VEX",IFERROR(IF($X$1="ABS",($A$4*$A$4*RTD("tos.rtd",,"VOLUME","."&amp;O$2&amp;O$1&amp;"C"&amp;$A28)*RTD("tos.rtd",,"GAMMA","."&amp;O$2&amp;O$1&amp;"C"&amp;$A28)+$A$4*$A$4*RTD("tos.rtd",,"VOLUME","."&amp;O$2&amp;O$1&amp;"P"&amp;$A28)*RTD("tos.rtd",,"GAMMA","."&amp;O$2&amp;O$1&amp;"P"&amp;$A28))/1000000,($A$4*$A$4*RTD("tos.rtd",,"VOLUME","."&amp;O$2&amp;O$1&amp;"C"&amp;$A28)*RTD("tos.rtd",,"GAMMA","."&amp;O$2&amp;O$1&amp;"C"&amp;$A28)-$A$4*$A$4*RTD("tos.rtd",,"VOLUME","."&amp;O$2&amp;O$1&amp;"P"&amp;$A28)*RTD("tos.rtd",,"GAMMA","."&amp;O$2&amp;O$1&amp;"P"&amp;$A28))/1000000),0),IF($A$2="GEX",IFERROR(IF($X$1="ABS",($A$4*$A$4*RTD("tos.rtd",,"OPEN_INT","."&amp;O$2&amp;O$1&amp;"C"&amp;$A28)*RTD("tos.rtd",,"GAMMA","."&amp;O$2&amp;O$1&amp;"C"&amp;$A28)+$A$4*$A$4*RTD("tos.rtd",,"OPEN_INT","."&amp;O$2&amp;O$1&amp;"P"&amp;$A28)*RTD("tos.rtd",,"GAMMA","."&amp;O$2&amp;O$1&amp;"P"&amp;$A28))/1000000,($A$4*$A$4*RTD("tos.rtd",,"OPEN_INT","."&amp;O$2&amp;O$1&amp;"C"&amp;$A28)*RTD("tos.rtd",,"GAMMA","."&amp;O$2&amp;O$1&amp;"C"&amp;$A28)-$A$4*$A$4*RTD("tos.rtd",,"OPEN_INT","."&amp;O$2&amp;O$1&amp;"P"&amp;$A28)*RTD("tos.rtd",,"GAMMA","."&amp;O$2&amp;O$1&amp;"P"&amp;$A28))/1000000),0),IF($A$2="SKEW",IFERROR(VALUE(IF(RTD("tos.rtd",,"IMPL_VOL","."&amp;O$2&amp;O$1&amp;"P"&amp;$A28)="N/A",0,RTD("tos.rtd",,"IMPL_VOL","."&amp;O$2&amp;O$1&amp;"P"&amp;$A28))),0)-IFERROR(VALUE(IF(RTD("tos.rtd",,"IMPL_VOL","."&amp;O$2&amp;O$1&amp;"C"&amp;$A28)="N/A",0,RTD("tos.rtd",,"IMPL_VOL","."&amp;O$2&amp;O$1&amp;"C"&amp;$A28))),0),IF($A$2="MAXPAIN",IF($A$4&gt;$A28,($A$4-$A28)*IF(RTD("tos.rtd",,"OPEN_INT","."&amp;O$2&amp;O$1&amp;"C"&amp;$A28)="N/A",0,RTD("tos.rtd",,"OPEN_INT","."&amp;O$2&amp;O$1&amp;"C"&amp;$A28)),0)+IF($A$4&lt;$A28,($A$5-$A$4)*IF(RTD("tos.rtd",,"OPEN_INT","."&amp;O$2&amp;O$1&amp;"P"&amp;$A28)="N/A",0,RTD("tos.rtd",,"OPEN_INT","."&amp;O$2&amp;O$1&amp;"P"&amp;$A28)),0),IF($X$1="ABS",IF(RTD("tos.rtd",,$A$2,"."&amp;O$2&amp;O$1&amp;"C"&amp;$A28)="N/A",0,RTD("tos.rtd",,$A$2,"."&amp;O$2&amp;O$1&amp;"C"&amp;$A28))+IF(RTD("tos.rtd",,$A$2,"."&amp;O$2&amp;O$1&amp;"P"&amp;$A28)="N/A",0,RTD("tos.rtd",,$A$2,"."&amp;O$2&amp;O$1&amp;"P"&amp;$A28)),IF(RTD("tos.rtd",,$A$2,"."&amp;O$2&amp;O$1&amp;"C"&amp;$A28)="N/A",0,RTD("tos.rtd",,$A$2,"."&amp;O$2&amp;O$1&amp;"C"&amp;$A28))-IF(RTD("tos.rtd",,$A$2,"."&amp;O$2&amp;O$1&amp;"P"&amp;$A28)="N/A",0,RTD("tos.rtd",,$A$2,"."&amp;O$2&amp;O$1&amp;"P"&amp;$A28))))))))))</f>
        <v>0</v>
      </c>
      <c r="P28" s="12">
        <f ca="1">IF($A$2="PREMIUM_OI",IFERROR(IF($X$1="ABS",(100*RTD("tos.rtd",,"OPEN_INT","."&amp;P$2&amp;P$1&amp;"C"&amp;$A28)*RTD("tos.rtd",,"LAST","."&amp;P$2&amp;P$1&amp;"C"&amp;$A28)+100*RTD("tos.rtd",,"OPEN_INT","."&amp;P$2&amp;P$1&amp;"P"&amp;$A28)*RTD("tos.rtd",,"LAST","."&amp;P$2&amp;P$1&amp;"P"&amp;$A28))/1000000,(100*RTD("tos.rtd",,"OPEN_INT","."&amp;P$2&amp;P$1&amp;"C"&amp;$A28)*RTD("tos.rtd",,"LAST","."&amp;P$2&amp;P$1&amp;"C"&amp;$A28)-100*RTD("tos.rtd",,"OPEN_INT","."&amp;P$2&amp;P$1&amp;"P"&amp;$A28)*RTD("tos.rtd",,"LAST","."&amp;P$2&amp;P$1&amp;"P"&amp;$A28))/1000000),0),IF($A$2="PREMIUM",IFERROR(IF($X$1="ABS",(100*RTD("tos.rtd",,"VOLUME","."&amp;P$2&amp;P$1&amp;"C"&amp;$A28)*RTD("tos.rtd",,"LAST","."&amp;P$2&amp;P$1&amp;"C"&amp;$A28)+100*RTD("tos.rtd",,"VOLUME","."&amp;P$2&amp;P$1&amp;"P"&amp;$A28)*RTD("tos.rtd",,"LAST","."&amp;P$2&amp;P$1&amp;"P"&amp;$A28))/1000000,(100*RTD("tos.rtd",,"VOLUME","."&amp;P$2&amp;P$1&amp;"C"&amp;$A28)*RTD("tos.rtd",,"LAST","."&amp;P$2&amp;P$1&amp;"C"&amp;$A28)-100*RTD("tos.rtd",,"VOLUME","."&amp;P$2&amp;P$1&amp;"P"&amp;$A28)*RTD("tos.rtd",,"LAST","."&amp;P$2&amp;P$1&amp;"P"&amp;$A28))/1000000),0),IF($A$2="DEX",IFERROR(IF($X$1="ABS",(100*RTD("tos.rtd",,"OPEN_INT","."&amp;P$2&amp;P$1&amp;"C"&amp;$A28)*RTD("tos.rtd",,"DELTA","."&amp;P$2&amp;P$1&amp;"C"&amp;$A28)+100*RTD("tos.rtd",,"OPEN_INT","."&amp;P$2&amp;P$1&amp;"P"&amp;$A28)*RTD("tos.rtd",,"DELTA","."&amp;P$2&amp;P$1&amp;"P"&amp;$A28))/1000,(100*RTD("tos.rtd",,"OPEN_INT","."&amp;P$2&amp;P$1&amp;"C"&amp;$A28)*RTD("tos.rtd",,"DELTA","."&amp;P$2&amp;P$1&amp;"C"&amp;$A28)-100*RTD("tos.rtd",,"OPEN_INT","."&amp;P$2&amp;P$1&amp;"P"&amp;$A28)*RTD("tos.rtd",,"DELTA","."&amp;P$2&amp;P$1&amp;"P"&amp;$A28))/1000),0),IF($A$2="VEX",IFERROR(IF($X$1="ABS",($A$4*$A$4*RTD("tos.rtd",,"VOLUME","."&amp;P$2&amp;P$1&amp;"C"&amp;$A28)*RTD("tos.rtd",,"GAMMA","."&amp;P$2&amp;P$1&amp;"C"&amp;$A28)+$A$4*$A$4*RTD("tos.rtd",,"VOLUME","."&amp;P$2&amp;P$1&amp;"P"&amp;$A28)*RTD("tos.rtd",,"GAMMA","."&amp;P$2&amp;P$1&amp;"P"&amp;$A28))/1000000,($A$4*$A$4*RTD("tos.rtd",,"VOLUME","."&amp;P$2&amp;P$1&amp;"C"&amp;$A28)*RTD("tos.rtd",,"GAMMA","."&amp;P$2&amp;P$1&amp;"C"&amp;$A28)-$A$4*$A$4*RTD("tos.rtd",,"VOLUME","."&amp;P$2&amp;P$1&amp;"P"&amp;$A28)*RTD("tos.rtd",,"GAMMA","."&amp;P$2&amp;P$1&amp;"P"&amp;$A28))/1000000),0),IF($A$2="GEX",IFERROR(IF($X$1="ABS",($A$4*$A$4*RTD("tos.rtd",,"OPEN_INT","."&amp;P$2&amp;P$1&amp;"C"&amp;$A28)*RTD("tos.rtd",,"GAMMA","."&amp;P$2&amp;P$1&amp;"C"&amp;$A28)+$A$4*$A$4*RTD("tos.rtd",,"OPEN_INT","."&amp;P$2&amp;P$1&amp;"P"&amp;$A28)*RTD("tos.rtd",,"GAMMA","."&amp;P$2&amp;P$1&amp;"P"&amp;$A28))/1000000,($A$4*$A$4*RTD("tos.rtd",,"OPEN_INT","."&amp;P$2&amp;P$1&amp;"C"&amp;$A28)*RTD("tos.rtd",,"GAMMA","."&amp;P$2&amp;P$1&amp;"C"&amp;$A28)-$A$4*$A$4*RTD("tos.rtd",,"OPEN_INT","."&amp;P$2&amp;P$1&amp;"P"&amp;$A28)*RTD("tos.rtd",,"GAMMA","."&amp;P$2&amp;P$1&amp;"P"&amp;$A28))/1000000),0),IF($A$2="SKEW",IFERROR(VALUE(IF(RTD("tos.rtd",,"IMPL_VOL","."&amp;P$2&amp;P$1&amp;"P"&amp;$A28)="N/A",0,RTD("tos.rtd",,"IMPL_VOL","."&amp;P$2&amp;P$1&amp;"P"&amp;$A28))),0)-IFERROR(VALUE(IF(RTD("tos.rtd",,"IMPL_VOL","."&amp;P$2&amp;P$1&amp;"C"&amp;$A28)="N/A",0,RTD("tos.rtd",,"IMPL_VOL","."&amp;P$2&amp;P$1&amp;"C"&amp;$A28))),0),IF($A$2="MAXPAIN",IF($A$4&gt;$A28,($A$4-$A28)*IF(RTD("tos.rtd",,"OPEN_INT","."&amp;P$2&amp;P$1&amp;"C"&amp;$A28)="N/A",0,RTD("tos.rtd",,"OPEN_INT","."&amp;P$2&amp;P$1&amp;"C"&amp;$A28)),0)+IF($A$4&lt;$A28,($A$5-$A$4)*IF(RTD("tos.rtd",,"OPEN_INT","."&amp;P$2&amp;P$1&amp;"P"&amp;$A28)="N/A",0,RTD("tos.rtd",,"OPEN_INT","."&amp;P$2&amp;P$1&amp;"P"&amp;$A28)),0),IF($X$1="ABS",IF(RTD("tos.rtd",,$A$2,"."&amp;P$2&amp;P$1&amp;"C"&amp;$A28)="N/A",0,RTD("tos.rtd",,$A$2,"."&amp;P$2&amp;P$1&amp;"C"&amp;$A28))+IF(RTD("tos.rtd",,$A$2,"."&amp;P$2&amp;P$1&amp;"P"&amp;$A28)="N/A",0,RTD("tos.rtd",,$A$2,"."&amp;P$2&amp;P$1&amp;"P"&amp;$A28)),IF(RTD("tos.rtd",,$A$2,"."&amp;P$2&amp;P$1&amp;"C"&amp;$A28)="N/A",0,RTD("tos.rtd",,$A$2,"."&amp;P$2&amp;P$1&amp;"C"&amp;$A28))-IF(RTD("tos.rtd",,$A$2,"."&amp;P$2&amp;P$1&amp;"P"&amp;$A28)="N/A",0,RTD("tos.rtd",,$A$2,"."&amp;P$2&amp;P$1&amp;"P"&amp;$A28))))))))))</f>
        <v>6842</v>
      </c>
      <c r="Q28" s="12">
        <f ca="1">IF($A$2="PREMIUM_OI",IFERROR(IF($X$1="ABS",(100*RTD("tos.rtd",,"OPEN_INT","."&amp;Q$2&amp;Q$1&amp;"C"&amp;$A28)*RTD("tos.rtd",,"LAST","."&amp;Q$2&amp;Q$1&amp;"C"&amp;$A28)+100*RTD("tos.rtd",,"OPEN_INT","."&amp;Q$2&amp;Q$1&amp;"P"&amp;$A28)*RTD("tos.rtd",,"LAST","."&amp;Q$2&amp;Q$1&amp;"P"&amp;$A28))/1000000,(100*RTD("tos.rtd",,"OPEN_INT","."&amp;Q$2&amp;Q$1&amp;"C"&amp;$A28)*RTD("tos.rtd",,"LAST","."&amp;Q$2&amp;Q$1&amp;"C"&amp;$A28)-100*RTD("tos.rtd",,"OPEN_INT","."&amp;Q$2&amp;Q$1&amp;"P"&amp;$A28)*RTD("tos.rtd",,"LAST","."&amp;Q$2&amp;Q$1&amp;"P"&amp;$A28))/1000000),0),IF($A$2="PREMIUM",IFERROR(IF($X$1="ABS",(100*RTD("tos.rtd",,"VOLUME","."&amp;Q$2&amp;Q$1&amp;"C"&amp;$A28)*RTD("tos.rtd",,"LAST","."&amp;Q$2&amp;Q$1&amp;"C"&amp;$A28)+100*RTD("tos.rtd",,"VOLUME","."&amp;Q$2&amp;Q$1&amp;"P"&amp;$A28)*RTD("tos.rtd",,"LAST","."&amp;Q$2&amp;Q$1&amp;"P"&amp;$A28))/1000000,(100*RTD("tos.rtd",,"VOLUME","."&amp;Q$2&amp;Q$1&amp;"C"&amp;$A28)*RTD("tos.rtd",,"LAST","."&amp;Q$2&amp;Q$1&amp;"C"&amp;$A28)-100*RTD("tos.rtd",,"VOLUME","."&amp;Q$2&amp;Q$1&amp;"P"&amp;$A28)*RTD("tos.rtd",,"LAST","."&amp;Q$2&amp;Q$1&amp;"P"&amp;$A28))/1000000),0),IF($A$2="DEX",IFERROR(IF($X$1="ABS",(100*RTD("tos.rtd",,"OPEN_INT","."&amp;Q$2&amp;Q$1&amp;"C"&amp;$A28)*RTD("tos.rtd",,"DELTA","."&amp;Q$2&amp;Q$1&amp;"C"&amp;$A28)+100*RTD("tos.rtd",,"OPEN_INT","."&amp;Q$2&amp;Q$1&amp;"P"&amp;$A28)*RTD("tos.rtd",,"DELTA","."&amp;Q$2&amp;Q$1&amp;"P"&amp;$A28))/1000,(100*RTD("tos.rtd",,"OPEN_INT","."&amp;Q$2&amp;Q$1&amp;"C"&amp;$A28)*RTD("tos.rtd",,"DELTA","."&amp;Q$2&amp;Q$1&amp;"C"&amp;$A28)-100*RTD("tos.rtd",,"OPEN_INT","."&amp;Q$2&amp;Q$1&amp;"P"&amp;$A28)*RTD("tos.rtd",,"DELTA","."&amp;Q$2&amp;Q$1&amp;"P"&amp;$A28))/1000),0),IF($A$2="VEX",IFERROR(IF($X$1="ABS",($A$4*$A$4*RTD("tos.rtd",,"VOLUME","."&amp;Q$2&amp;Q$1&amp;"C"&amp;$A28)*RTD("tos.rtd",,"GAMMA","."&amp;Q$2&amp;Q$1&amp;"C"&amp;$A28)+$A$4*$A$4*RTD("tos.rtd",,"VOLUME","."&amp;Q$2&amp;Q$1&amp;"P"&amp;$A28)*RTD("tos.rtd",,"GAMMA","."&amp;Q$2&amp;Q$1&amp;"P"&amp;$A28))/1000000,($A$4*$A$4*RTD("tos.rtd",,"VOLUME","."&amp;Q$2&amp;Q$1&amp;"C"&amp;$A28)*RTD("tos.rtd",,"GAMMA","."&amp;Q$2&amp;Q$1&amp;"C"&amp;$A28)-$A$4*$A$4*RTD("tos.rtd",,"VOLUME","."&amp;Q$2&amp;Q$1&amp;"P"&amp;$A28)*RTD("tos.rtd",,"GAMMA","."&amp;Q$2&amp;Q$1&amp;"P"&amp;$A28))/1000000),0),IF($A$2="GEX",IFERROR(IF($X$1="ABS",($A$4*$A$4*RTD("tos.rtd",,"OPEN_INT","."&amp;Q$2&amp;Q$1&amp;"C"&amp;$A28)*RTD("tos.rtd",,"GAMMA","."&amp;Q$2&amp;Q$1&amp;"C"&amp;$A28)+$A$4*$A$4*RTD("tos.rtd",,"OPEN_INT","."&amp;Q$2&amp;Q$1&amp;"P"&amp;$A28)*RTD("tos.rtd",,"GAMMA","."&amp;Q$2&amp;Q$1&amp;"P"&amp;$A28))/1000000,($A$4*$A$4*RTD("tos.rtd",,"OPEN_INT","."&amp;Q$2&amp;Q$1&amp;"C"&amp;$A28)*RTD("tos.rtd",,"GAMMA","."&amp;Q$2&amp;Q$1&amp;"C"&amp;$A28)-$A$4*$A$4*RTD("tos.rtd",,"OPEN_INT","."&amp;Q$2&amp;Q$1&amp;"P"&amp;$A28)*RTD("tos.rtd",,"GAMMA","."&amp;Q$2&amp;Q$1&amp;"P"&amp;$A28))/1000000),0),IF($A$2="SKEW",IFERROR(VALUE(IF(RTD("tos.rtd",,"IMPL_VOL","."&amp;Q$2&amp;Q$1&amp;"P"&amp;$A28)="N/A",0,RTD("tos.rtd",,"IMPL_VOL","."&amp;Q$2&amp;Q$1&amp;"P"&amp;$A28))),0)-IFERROR(VALUE(IF(RTD("tos.rtd",,"IMPL_VOL","."&amp;Q$2&amp;Q$1&amp;"C"&amp;$A28)="N/A",0,RTD("tos.rtd",,"IMPL_VOL","."&amp;Q$2&amp;Q$1&amp;"C"&amp;$A28))),0),IF($A$2="MAXPAIN",IF($A$4&gt;$A28,($A$4-$A28)*IF(RTD("tos.rtd",,"OPEN_INT","."&amp;Q$2&amp;Q$1&amp;"C"&amp;$A28)="N/A",0,RTD("tos.rtd",,"OPEN_INT","."&amp;Q$2&amp;Q$1&amp;"C"&amp;$A28)),0)+IF($A$4&lt;$A28,($A$5-$A$4)*IF(RTD("tos.rtd",,"OPEN_INT","."&amp;Q$2&amp;Q$1&amp;"P"&amp;$A28)="N/A",0,RTD("tos.rtd",,"OPEN_INT","."&amp;Q$2&amp;Q$1&amp;"P"&amp;$A28)),0),IF($X$1="ABS",IF(RTD("tos.rtd",,$A$2,"."&amp;Q$2&amp;Q$1&amp;"C"&amp;$A28)="N/A",0,RTD("tos.rtd",,$A$2,"."&amp;Q$2&amp;Q$1&amp;"C"&amp;$A28))+IF(RTD("tos.rtd",,$A$2,"."&amp;Q$2&amp;Q$1&amp;"P"&amp;$A28)="N/A",0,RTD("tos.rtd",,$A$2,"."&amp;Q$2&amp;Q$1&amp;"P"&amp;$A28)),IF(RTD("tos.rtd",,$A$2,"."&amp;Q$2&amp;Q$1&amp;"C"&amp;$A28)="N/A",0,RTD("tos.rtd",,$A$2,"."&amp;Q$2&amp;Q$1&amp;"C"&amp;$A28))-IF(RTD("tos.rtd",,$A$2,"."&amp;Q$2&amp;Q$1&amp;"P"&amp;$A28)="N/A",0,RTD("tos.rtd",,$A$2,"."&amp;Q$2&amp;Q$1&amp;"P"&amp;$A28))))))))))</f>
        <v>0</v>
      </c>
      <c r="R28" s="12">
        <f ca="1">IF($A$2="PREMIUM_OI",IFERROR(IF($X$1="ABS",(100*RTD("tos.rtd",,"OPEN_INT","."&amp;R$2&amp;R$1&amp;"C"&amp;$A28)*RTD("tos.rtd",,"LAST","."&amp;R$2&amp;R$1&amp;"C"&amp;$A28)+100*RTD("tos.rtd",,"OPEN_INT","."&amp;R$2&amp;R$1&amp;"P"&amp;$A28)*RTD("tos.rtd",,"LAST","."&amp;R$2&amp;R$1&amp;"P"&amp;$A28))/1000000,(100*RTD("tos.rtd",,"OPEN_INT","."&amp;R$2&amp;R$1&amp;"C"&amp;$A28)*RTD("tos.rtd",,"LAST","."&amp;R$2&amp;R$1&amp;"C"&amp;$A28)-100*RTD("tos.rtd",,"OPEN_INT","."&amp;R$2&amp;R$1&amp;"P"&amp;$A28)*RTD("tos.rtd",,"LAST","."&amp;R$2&amp;R$1&amp;"P"&amp;$A28))/1000000),0),IF($A$2="PREMIUM",IFERROR(IF($X$1="ABS",(100*RTD("tos.rtd",,"VOLUME","."&amp;R$2&amp;R$1&amp;"C"&amp;$A28)*RTD("tos.rtd",,"LAST","."&amp;R$2&amp;R$1&amp;"C"&amp;$A28)+100*RTD("tos.rtd",,"VOLUME","."&amp;R$2&amp;R$1&amp;"P"&amp;$A28)*RTD("tos.rtd",,"LAST","."&amp;R$2&amp;R$1&amp;"P"&amp;$A28))/1000000,(100*RTD("tos.rtd",,"VOLUME","."&amp;R$2&amp;R$1&amp;"C"&amp;$A28)*RTD("tos.rtd",,"LAST","."&amp;R$2&amp;R$1&amp;"C"&amp;$A28)-100*RTD("tos.rtd",,"VOLUME","."&amp;R$2&amp;R$1&amp;"P"&amp;$A28)*RTD("tos.rtd",,"LAST","."&amp;R$2&amp;R$1&amp;"P"&amp;$A28))/1000000),0),IF($A$2="DEX",IFERROR(IF($X$1="ABS",(100*RTD("tos.rtd",,"OPEN_INT","."&amp;R$2&amp;R$1&amp;"C"&amp;$A28)*RTD("tos.rtd",,"DELTA","."&amp;R$2&amp;R$1&amp;"C"&amp;$A28)+100*RTD("tos.rtd",,"OPEN_INT","."&amp;R$2&amp;R$1&amp;"P"&amp;$A28)*RTD("tos.rtd",,"DELTA","."&amp;R$2&amp;R$1&amp;"P"&amp;$A28))/1000,(100*RTD("tos.rtd",,"OPEN_INT","."&amp;R$2&amp;R$1&amp;"C"&amp;$A28)*RTD("tos.rtd",,"DELTA","."&amp;R$2&amp;R$1&amp;"C"&amp;$A28)-100*RTD("tos.rtd",,"OPEN_INT","."&amp;R$2&amp;R$1&amp;"P"&amp;$A28)*RTD("tos.rtd",,"DELTA","."&amp;R$2&amp;R$1&amp;"P"&amp;$A28))/1000),0),IF($A$2="VEX",IFERROR(IF($X$1="ABS",($A$4*$A$4*RTD("tos.rtd",,"VOLUME","."&amp;R$2&amp;R$1&amp;"C"&amp;$A28)*RTD("tos.rtd",,"GAMMA","."&amp;R$2&amp;R$1&amp;"C"&amp;$A28)+$A$4*$A$4*RTD("tos.rtd",,"VOLUME","."&amp;R$2&amp;R$1&amp;"P"&amp;$A28)*RTD("tos.rtd",,"GAMMA","."&amp;R$2&amp;R$1&amp;"P"&amp;$A28))/1000000,($A$4*$A$4*RTD("tos.rtd",,"VOLUME","."&amp;R$2&amp;R$1&amp;"C"&amp;$A28)*RTD("tos.rtd",,"GAMMA","."&amp;R$2&amp;R$1&amp;"C"&amp;$A28)-$A$4*$A$4*RTD("tos.rtd",,"VOLUME","."&amp;R$2&amp;R$1&amp;"P"&amp;$A28)*RTD("tos.rtd",,"GAMMA","."&amp;R$2&amp;R$1&amp;"P"&amp;$A28))/1000000),0),IF($A$2="GEX",IFERROR(IF($X$1="ABS",($A$4*$A$4*RTD("tos.rtd",,"OPEN_INT","."&amp;R$2&amp;R$1&amp;"C"&amp;$A28)*RTD("tos.rtd",,"GAMMA","."&amp;R$2&amp;R$1&amp;"C"&amp;$A28)+$A$4*$A$4*RTD("tos.rtd",,"OPEN_INT","."&amp;R$2&amp;R$1&amp;"P"&amp;$A28)*RTD("tos.rtd",,"GAMMA","."&amp;R$2&amp;R$1&amp;"P"&amp;$A28))/1000000,($A$4*$A$4*RTD("tos.rtd",,"OPEN_INT","."&amp;R$2&amp;R$1&amp;"C"&amp;$A28)*RTD("tos.rtd",,"GAMMA","."&amp;R$2&amp;R$1&amp;"C"&amp;$A28)-$A$4*$A$4*RTD("tos.rtd",,"OPEN_INT","."&amp;R$2&amp;R$1&amp;"P"&amp;$A28)*RTD("tos.rtd",,"GAMMA","."&amp;R$2&amp;R$1&amp;"P"&amp;$A28))/1000000),0),IF($A$2="SKEW",IFERROR(VALUE(IF(RTD("tos.rtd",,"IMPL_VOL","."&amp;R$2&amp;R$1&amp;"P"&amp;$A28)="N/A",0,RTD("tos.rtd",,"IMPL_VOL","."&amp;R$2&amp;R$1&amp;"P"&amp;$A28))),0)-IFERROR(VALUE(IF(RTD("tos.rtd",,"IMPL_VOL","."&amp;R$2&amp;R$1&amp;"C"&amp;$A28)="N/A",0,RTD("tos.rtd",,"IMPL_VOL","."&amp;R$2&amp;R$1&amp;"C"&amp;$A28))),0),IF($A$2="MAXPAIN",IF($A$4&gt;$A28,($A$4-$A28)*IF(RTD("tos.rtd",,"OPEN_INT","."&amp;R$2&amp;R$1&amp;"C"&amp;$A28)="N/A",0,RTD("tos.rtd",,"OPEN_INT","."&amp;R$2&amp;R$1&amp;"C"&amp;$A28)),0)+IF($A$4&lt;$A28,($A$5-$A$4)*IF(RTD("tos.rtd",,"OPEN_INT","."&amp;R$2&amp;R$1&amp;"P"&amp;$A28)="N/A",0,RTD("tos.rtd",,"OPEN_INT","."&amp;R$2&amp;R$1&amp;"P"&amp;$A28)),0),IF($X$1="ABS",IF(RTD("tos.rtd",,$A$2,"."&amp;R$2&amp;R$1&amp;"C"&amp;$A28)="N/A",0,RTD("tos.rtd",,$A$2,"."&amp;R$2&amp;R$1&amp;"C"&amp;$A28))+IF(RTD("tos.rtd",,$A$2,"."&amp;R$2&amp;R$1&amp;"P"&amp;$A28)="N/A",0,RTD("tos.rtd",,$A$2,"."&amp;R$2&amp;R$1&amp;"P"&amp;$A28)),IF(RTD("tos.rtd",,$A$2,"."&amp;R$2&amp;R$1&amp;"C"&amp;$A28)="N/A",0,RTD("tos.rtd",,$A$2,"."&amp;R$2&amp;R$1&amp;"C"&amp;$A28))-IF(RTD("tos.rtd",,$A$2,"."&amp;R$2&amp;R$1&amp;"P"&amp;$A28)="N/A",0,RTD("tos.rtd",,$A$2,"."&amp;R$2&amp;R$1&amp;"P"&amp;$A28))))))))))</f>
        <v>0</v>
      </c>
      <c r="S28" s="12">
        <f ca="1">IF($A$2="PREMIUM_OI",IFERROR(IF($X$1="ABS",(100*RTD("tos.rtd",,"OPEN_INT","."&amp;S$2&amp;S$1&amp;"C"&amp;$A28)*RTD("tos.rtd",,"LAST","."&amp;S$2&amp;S$1&amp;"C"&amp;$A28)+100*RTD("tos.rtd",,"OPEN_INT","."&amp;S$2&amp;S$1&amp;"P"&amp;$A28)*RTD("tos.rtd",,"LAST","."&amp;S$2&amp;S$1&amp;"P"&amp;$A28))/1000000,(100*RTD("tos.rtd",,"OPEN_INT","."&amp;S$2&amp;S$1&amp;"C"&amp;$A28)*RTD("tos.rtd",,"LAST","."&amp;S$2&amp;S$1&amp;"C"&amp;$A28)-100*RTD("tos.rtd",,"OPEN_INT","."&amp;S$2&amp;S$1&amp;"P"&amp;$A28)*RTD("tos.rtd",,"LAST","."&amp;S$2&amp;S$1&amp;"P"&amp;$A28))/1000000),0),IF($A$2="PREMIUM",IFERROR(IF($X$1="ABS",(100*RTD("tos.rtd",,"VOLUME","."&amp;S$2&amp;S$1&amp;"C"&amp;$A28)*RTD("tos.rtd",,"LAST","."&amp;S$2&amp;S$1&amp;"C"&amp;$A28)+100*RTD("tos.rtd",,"VOLUME","."&amp;S$2&amp;S$1&amp;"P"&amp;$A28)*RTD("tos.rtd",,"LAST","."&amp;S$2&amp;S$1&amp;"P"&amp;$A28))/1000000,(100*RTD("tos.rtd",,"VOLUME","."&amp;S$2&amp;S$1&amp;"C"&amp;$A28)*RTD("tos.rtd",,"LAST","."&amp;S$2&amp;S$1&amp;"C"&amp;$A28)-100*RTD("tos.rtd",,"VOLUME","."&amp;S$2&amp;S$1&amp;"P"&amp;$A28)*RTD("tos.rtd",,"LAST","."&amp;S$2&amp;S$1&amp;"P"&amp;$A28))/1000000),0),IF($A$2="DEX",IFERROR(IF($X$1="ABS",(100*RTD("tos.rtd",,"OPEN_INT","."&amp;S$2&amp;S$1&amp;"C"&amp;$A28)*RTD("tos.rtd",,"DELTA","."&amp;S$2&amp;S$1&amp;"C"&amp;$A28)+100*RTD("tos.rtd",,"OPEN_INT","."&amp;S$2&amp;S$1&amp;"P"&amp;$A28)*RTD("tos.rtd",,"DELTA","."&amp;S$2&amp;S$1&amp;"P"&amp;$A28))/1000,(100*RTD("tos.rtd",,"OPEN_INT","."&amp;S$2&amp;S$1&amp;"C"&amp;$A28)*RTD("tos.rtd",,"DELTA","."&amp;S$2&amp;S$1&amp;"C"&amp;$A28)-100*RTD("tos.rtd",,"OPEN_INT","."&amp;S$2&amp;S$1&amp;"P"&amp;$A28)*RTD("tos.rtd",,"DELTA","."&amp;S$2&amp;S$1&amp;"P"&amp;$A28))/1000),0),IF($A$2="VEX",IFERROR(IF($X$1="ABS",($A$4*$A$4*RTD("tos.rtd",,"VOLUME","."&amp;S$2&amp;S$1&amp;"C"&amp;$A28)*RTD("tos.rtd",,"GAMMA","."&amp;S$2&amp;S$1&amp;"C"&amp;$A28)+$A$4*$A$4*RTD("tos.rtd",,"VOLUME","."&amp;S$2&amp;S$1&amp;"P"&amp;$A28)*RTD("tos.rtd",,"GAMMA","."&amp;S$2&amp;S$1&amp;"P"&amp;$A28))/1000000,($A$4*$A$4*RTD("tos.rtd",,"VOLUME","."&amp;S$2&amp;S$1&amp;"C"&amp;$A28)*RTD("tos.rtd",,"GAMMA","."&amp;S$2&amp;S$1&amp;"C"&amp;$A28)-$A$4*$A$4*RTD("tos.rtd",,"VOLUME","."&amp;S$2&amp;S$1&amp;"P"&amp;$A28)*RTD("tos.rtd",,"GAMMA","."&amp;S$2&amp;S$1&amp;"P"&amp;$A28))/1000000),0),IF($A$2="GEX",IFERROR(IF($X$1="ABS",($A$4*$A$4*RTD("tos.rtd",,"OPEN_INT","."&amp;S$2&amp;S$1&amp;"C"&amp;$A28)*RTD("tos.rtd",,"GAMMA","."&amp;S$2&amp;S$1&amp;"C"&amp;$A28)+$A$4*$A$4*RTD("tos.rtd",,"OPEN_INT","."&amp;S$2&amp;S$1&amp;"P"&amp;$A28)*RTD("tos.rtd",,"GAMMA","."&amp;S$2&amp;S$1&amp;"P"&amp;$A28))/1000000,($A$4*$A$4*RTD("tos.rtd",,"OPEN_INT","."&amp;S$2&amp;S$1&amp;"C"&amp;$A28)*RTD("tos.rtd",,"GAMMA","."&amp;S$2&amp;S$1&amp;"C"&amp;$A28)-$A$4*$A$4*RTD("tos.rtd",,"OPEN_INT","."&amp;S$2&amp;S$1&amp;"P"&amp;$A28)*RTD("tos.rtd",,"GAMMA","."&amp;S$2&amp;S$1&amp;"P"&amp;$A28))/1000000),0),IF($A$2="SKEW",IFERROR(VALUE(IF(RTD("tos.rtd",,"IMPL_VOL","."&amp;S$2&amp;S$1&amp;"P"&amp;$A28)="N/A",0,RTD("tos.rtd",,"IMPL_VOL","."&amp;S$2&amp;S$1&amp;"P"&amp;$A28))),0)-IFERROR(VALUE(IF(RTD("tos.rtd",,"IMPL_VOL","."&amp;S$2&amp;S$1&amp;"C"&amp;$A28)="N/A",0,RTD("tos.rtd",,"IMPL_VOL","."&amp;S$2&amp;S$1&amp;"C"&amp;$A28))),0),IF($A$2="MAXPAIN",IF($A$4&gt;$A28,($A$4-$A28)*IF(RTD("tos.rtd",,"OPEN_INT","."&amp;S$2&amp;S$1&amp;"C"&amp;$A28)="N/A",0,RTD("tos.rtd",,"OPEN_INT","."&amp;S$2&amp;S$1&amp;"C"&amp;$A28)),0)+IF($A$4&lt;$A28,($A$5-$A$4)*IF(RTD("tos.rtd",,"OPEN_INT","."&amp;S$2&amp;S$1&amp;"P"&amp;$A28)="N/A",0,RTD("tos.rtd",,"OPEN_INT","."&amp;S$2&amp;S$1&amp;"P"&amp;$A28)),0),IF($X$1="ABS",IF(RTD("tos.rtd",,$A$2,"."&amp;S$2&amp;S$1&amp;"C"&amp;$A28)="N/A",0,RTD("tos.rtd",,$A$2,"."&amp;S$2&amp;S$1&amp;"C"&amp;$A28))+IF(RTD("tos.rtd",,$A$2,"."&amp;S$2&amp;S$1&amp;"P"&amp;$A28)="N/A",0,RTD("tos.rtd",,$A$2,"."&amp;S$2&amp;S$1&amp;"P"&amp;$A28)),IF(RTD("tos.rtd",,$A$2,"."&amp;S$2&amp;S$1&amp;"C"&amp;$A28)="N/A",0,RTD("tos.rtd",,$A$2,"."&amp;S$2&amp;S$1&amp;"C"&amp;$A28))-IF(RTD("tos.rtd",,$A$2,"."&amp;S$2&amp;S$1&amp;"P"&amp;$A28)="N/A",0,RTD("tos.rtd",,$A$2,"."&amp;S$2&amp;S$1&amp;"P"&amp;$A28))))))))))</f>
        <v>0</v>
      </c>
      <c r="T28" s="12">
        <f ca="1">IF($A$2="PREMIUM_OI",IFERROR(IF($X$1="ABS",(100*RTD("tos.rtd",,"OPEN_INT","."&amp;T$2&amp;T$1&amp;"C"&amp;$A28)*RTD("tos.rtd",,"LAST","."&amp;T$2&amp;T$1&amp;"C"&amp;$A28)+100*RTD("tos.rtd",,"OPEN_INT","."&amp;T$2&amp;T$1&amp;"P"&amp;$A28)*RTD("tos.rtd",,"LAST","."&amp;T$2&amp;T$1&amp;"P"&amp;$A28))/1000000,(100*RTD("tos.rtd",,"OPEN_INT","."&amp;T$2&amp;T$1&amp;"C"&amp;$A28)*RTD("tos.rtd",,"LAST","."&amp;T$2&amp;T$1&amp;"C"&amp;$A28)-100*RTD("tos.rtd",,"OPEN_INT","."&amp;T$2&amp;T$1&amp;"P"&amp;$A28)*RTD("tos.rtd",,"LAST","."&amp;T$2&amp;T$1&amp;"P"&amp;$A28))/1000000),0),IF($A$2="PREMIUM",IFERROR(IF($X$1="ABS",(100*RTD("tos.rtd",,"VOLUME","."&amp;T$2&amp;T$1&amp;"C"&amp;$A28)*RTD("tos.rtd",,"LAST","."&amp;T$2&amp;T$1&amp;"C"&amp;$A28)+100*RTD("tos.rtd",,"VOLUME","."&amp;T$2&amp;T$1&amp;"P"&amp;$A28)*RTD("tos.rtd",,"LAST","."&amp;T$2&amp;T$1&amp;"P"&amp;$A28))/1000000,(100*RTD("tos.rtd",,"VOLUME","."&amp;T$2&amp;T$1&amp;"C"&amp;$A28)*RTD("tos.rtd",,"LAST","."&amp;T$2&amp;T$1&amp;"C"&amp;$A28)-100*RTD("tos.rtd",,"VOLUME","."&amp;T$2&amp;T$1&amp;"P"&amp;$A28)*RTD("tos.rtd",,"LAST","."&amp;T$2&amp;T$1&amp;"P"&amp;$A28))/1000000),0),IF($A$2="DEX",IFERROR(IF($X$1="ABS",(100*RTD("tos.rtd",,"OPEN_INT","."&amp;T$2&amp;T$1&amp;"C"&amp;$A28)*RTD("tos.rtd",,"DELTA","."&amp;T$2&amp;T$1&amp;"C"&amp;$A28)+100*RTD("tos.rtd",,"OPEN_INT","."&amp;T$2&amp;T$1&amp;"P"&amp;$A28)*RTD("tos.rtd",,"DELTA","."&amp;T$2&amp;T$1&amp;"P"&amp;$A28))/1000,(100*RTD("tos.rtd",,"OPEN_INT","."&amp;T$2&amp;T$1&amp;"C"&amp;$A28)*RTD("tos.rtd",,"DELTA","."&amp;T$2&amp;T$1&amp;"C"&amp;$A28)-100*RTD("tos.rtd",,"OPEN_INT","."&amp;T$2&amp;T$1&amp;"P"&amp;$A28)*RTD("tos.rtd",,"DELTA","."&amp;T$2&amp;T$1&amp;"P"&amp;$A28))/1000),0),IF($A$2="VEX",IFERROR(IF($X$1="ABS",($A$4*$A$4*RTD("tos.rtd",,"VOLUME","."&amp;T$2&amp;T$1&amp;"C"&amp;$A28)*RTD("tos.rtd",,"GAMMA","."&amp;T$2&amp;T$1&amp;"C"&amp;$A28)+$A$4*$A$4*RTD("tos.rtd",,"VOLUME","."&amp;T$2&amp;T$1&amp;"P"&amp;$A28)*RTD("tos.rtd",,"GAMMA","."&amp;T$2&amp;T$1&amp;"P"&amp;$A28))/1000000,($A$4*$A$4*RTD("tos.rtd",,"VOLUME","."&amp;T$2&amp;T$1&amp;"C"&amp;$A28)*RTD("tos.rtd",,"GAMMA","."&amp;T$2&amp;T$1&amp;"C"&amp;$A28)-$A$4*$A$4*RTD("tos.rtd",,"VOLUME","."&amp;T$2&amp;T$1&amp;"P"&amp;$A28)*RTD("tos.rtd",,"GAMMA","."&amp;T$2&amp;T$1&amp;"P"&amp;$A28))/1000000),0),IF($A$2="GEX",IFERROR(IF($X$1="ABS",($A$4*$A$4*RTD("tos.rtd",,"OPEN_INT","."&amp;T$2&amp;T$1&amp;"C"&amp;$A28)*RTD("tos.rtd",,"GAMMA","."&amp;T$2&amp;T$1&amp;"C"&amp;$A28)+$A$4*$A$4*RTD("tos.rtd",,"OPEN_INT","."&amp;T$2&amp;T$1&amp;"P"&amp;$A28)*RTD("tos.rtd",,"GAMMA","."&amp;T$2&amp;T$1&amp;"P"&amp;$A28))/1000000,($A$4*$A$4*RTD("tos.rtd",,"OPEN_INT","."&amp;T$2&amp;T$1&amp;"C"&amp;$A28)*RTD("tos.rtd",,"GAMMA","."&amp;T$2&amp;T$1&amp;"C"&amp;$A28)-$A$4*$A$4*RTD("tos.rtd",,"OPEN_INT","."&amp;T$2&amp;T$1&amp;"P"&amp;$A28)*RTD("tos.rtd",,"GAMMA","."&amp;T$2&amp;T$1&amp;"P"&amp;$A28))/1000000),0),IF($A$2="SKEW",IFERROR(VALUE(IF(RTD("tos.rtd",,"IMPL_VOL","."&amp;T$2&amp;T$1&amp;"P"&amp;$A28)="N/A",0,RTD("tos.rtd",,"IMPL_VOL","."&amp;T$2&amp;T$1&amp;"P"&amp;$A28))),0)-IFERROR(VALUE(IF(RTD("tos.rtd",,"IMPL_VOL","."&amp;T$2&amp;T$1&amp;"C"&amp;$A28)="N/A",0,RTD("tos.rtd",,"IMPL_VOL","."&amp;T$2&amp;T$1&amp;"C"&amp;$A28))),0),IF($A$2="MAXPAIN",IF($A$4&gt;$A28,($A$4-$A28)*IF(RTD("tos.rtd",,"OPEN_INT","."&amp;T$2&amp;T$1&amp;"C"&amp;$A28)="N/A",0,RTD("tos.rtd",,"OPEN_INT","."&amp;T$2&amp;T$1&amp;"C"&amp;$A28)),0)+IF($A$4&lt;$A28,($A$5-$A$4)*IF(RTD("tos.rtd",,"OPEN_INT","."&amp;T$2&amp;T$1&amp;"P"&amp;$A28)="N/A",0,RTD("tos.rtd",,"OPEN_INT","."&amp;T$2&amp;T$1&amp;"P"&amp;$A28)),0),IF($X$1="ABS",IF(RTD("tos.rtd",,$A$2,"."&amp;T$2&amp;T$1&amp;"C"&amp;$A28)="N/A",0,RTD("tos.rtd",,$A$2,"."&amp;T$2&amp;T$1&amp;"C"&amp;$A28))+IF(RTD("tos.rtd",,$A$2,"."&amp;T$2&amp;T$1&amp;"P"&amp;$A28)="N/A",0,RTD("tos.rtd",,$A$2,"."&amp;T$2&amp;T$1&amp;"P"&amp;$A28)),IF(RTD("tos.rtd",,$A$2,"."&amp;T$2&amp;T$1&amp;"C"&amp;$A28)="N/A",0,RTD("tos.rtd",,$A$2,"."&amp;T$2&amp;T$1&amp;"C"&amp;$A28))-IF(RTD("tos.rtd",,$A$2,"."&amp;T$2&amp;T$1&amp;"P"&amp;$A28)="N/A",0,RTD("tos.rtd",,$A$2,"."&amp;T$2&amp;T$1&amp;"P"&amp;$A28))))))))))</f>
        <v>0</v>
      </c>
      <c r="U28" s="12">
        <f ca="1">IF($A$2="PREMIUM_OI",IFERROR(IF($X$1="ABS",(100*RTD("tos.rtd",,"OPEN_INT","."&amp;U$2&amp;U$1&amp;"C"&amp;$A28)*RTD("tos.rtd",,"LAST","."&amp;U$2&amp;U$1&amp;"C"&amp;$A28)+100*RTD("tos.rtd",,"OPEN_INT","."&amp;U$2&amp;U$1&amp;"P"&amp;$A28)*RTD("tos.rtd",,"LAST","."&amp;U$2&amp;U$1&amp;"P"&amp;$A28))/1000000,(100*RTD("tos.rtd",,"OPEN_INT","."&amp;U$2&amp;U$1&amp;"C"&amp;$A28)*RTD("tos.rtd",,"LAST","."&amp;U$2&amp;U$1&amp;"C"&amp;$A28)-100*RTD("tos.rtd",,"OPEN_INT","."&amp;U$2&amp;U$1&amp;"P"&amp;$A28)*RTD("tos.rtd",,"LAST","."&amp;U$2&amp;U$1&amp;"P"&amp;$A28))/1000000),0),IF($A$2="PREMIUM",IFERROR(IF($X$1="ABS",(100*RTD("tos.rtd",,"VOLUME","."&amp;U$2&amp;U$1&amp;"C"&amp;$A28)*RTD("tos.rtd",,"LAST","."&amp;U$2&amp;U$1&amp;"C"&amp;$A28)+100*RTD("tos.rtd",,"VOLUME","."&amp;U$2&amp;U$1&amp;"P"&amp;$A28)*RTD("tos.rtd",,"LAST","."&amp;U$2&amp;U$1&amp;"P"&amp;$A28))/1000000,(100*RTD("tos.rtd",,"VOLUME","."&amp;U$2&amp;U$1&amp;"C"&amp;$A28)*RTD("tos.rtd",,"LAST","."&amp;U$2&amp;U$1&amp;"C"&amp;$A28)-100*RTD("tos.rtd",,"VOLUME","."&amp;U$2&amp;U$1&amp;"P"&amp;$A28)*RTD("tos.rtd",,"LAST","."&amp;U$2&amp;U$1&amp;"P"&amp;$A28))/1000000),0),IF($A$2="DEX",IFERROR(IF($X$1="ABS",(100*RTD("tos.rtd",,"OPEN_INT","."&amp;U$2&amp;U$1&amp;"C"&amp;$A28)*RTD("tos.rtd",,"DELTA","."&amp;U$2&amp;U$1&amp;"C"&amp;$A28)+100*RTD("tos.rtd",,"OPEN_INT","."&amp;U$2&amp;U$1&amp;"P"&amp;$A28)*RTD("tos.rtd",,"DELTA","."&amp;U$2&amp;U$1&amp;"P"&amp;$A28))/1000,(100*RTD("tos.rtd",,"OPEN_INT","."&amp;U$2&amp;U$1&amp;"C"&amp;$A28)*RTD("tos.rtd",,"DELTA","."&amp;U$2&amp;U$1&amp;"C"&amp;$A28)-100*RTD("tos.rtd",,"OPEN_INT","."&amp;U$2&amp;U$1&amp;"P"&amp;$A28)*RTD("tos.rtd",,"DELTA","."&amp;U$2&amp;U$1&amp;"P"&amp;$A28))/1000),0),IF($A$2="VEX",IFERROR(IF($X$1="ABS",($A$4*$A$4*RTD("tos.rtd",,"VOLUME","."&amp;U$2&amp;U$1&amp;"C"&amp;$A28)*RTD("tos.rtd",,"GAMMA","."&amp;U$2&amp;U$1&amp;"C"&amp;$A28)+$A$4*$A$4*RTD("tos.rtd",,"VOLUME","."&amp;U$2&amp;U$1&amp;"P"&amp;$A28)*RTD("tos.rtd",,"GAMMA","."&amp;U$2&amp;U$1&amp;"P"&amp;$A28))/1000000,($A$4*$A$4*RTD("tos.rtd",,"VOLUME","."&amp;U$2&amp;U$1&amp;"C"&amp;$A28)*RTD("tos.rtd",,"GAMMA","."&amp;U$2&amp;U$1&amp;"C"&amp;$A28)-$A$4*$A$4*RTD("tos.rtd",,"VOLUME","."&amp;U$2&amp;U$1&amp;"P"&amp;$A28)*RTD("tos.rtd",,"GAMMA","."&amp;U$2&amp;U$1&amp;"P"&amp;$A28))/1000000),0),IF($A$2="GEX",IFERROR(IF($X$1="ABS",($A$4*$A$4*RTD("tos.rtd",,"OPEN_INT","."&amp;U$2&amp;U$1&amp;"C"&amp;$A28)*RTD("tos.rtd",,"GAMMA","."&amp;U$2&amp;U$1&amp;"C"&amp;$A28)+$A$4*$A$4*RTD("tos.rtd",,"OPEN_INT","."&amp;U$2&amp;U$1&amp;"P"&amp;$A28)*RTD("tos.rtd",,"GAMMA","."&amp;U$2&amp;U$1&amp;"P"&amp;$A28))/1000000,($A$4*$A$4*RTD("tos.rtd",,"OPEN_INT","."&amp;U$2&amp;U$1&amp;"C"&amp;$A28)*RTD("tos.rtd",,"GAMMA","."&amp;U$2&amp;U$1&amp;"C"&amp;$A28)-$A$4*$A$4*RTD("tos.rtd",,"OPEN_INT","."&amp;U$2&amp;U$1&amp;"P"&amp;$A28)*RTD("tos.rtd",,"GAMMA","."&amp;U$2&amp;U$1&amp;"P"&amp;$A28))/1000000),0),IF($A$2="SKEW",IFERROR(VALUE(IF(RTD("tos.rtd",,"IMPL_VOL","."&amp;U$2&amp;U$1&amp;"P"&amp;$A28)="N/A",0,RTD("tos.rtd",,"IMPL_VOL","."&amp;U$2&amp;U$1&amp;"P"&amp;$A28))),0)-IFERROR(VALUE(IF(RTD("tos.rtd",,"IMPL_VOL","."&amp;U$2&amp;U$1&amp;"C"&amp;$A28)="N/A",0,RTD("tos.rtd",,"IMPL_VOL","."&amp;U$2&amp;U$1&amp;"C"&amp;$A28))),0),IF($A$2="MAXPAIN",IF($A$4&gt;$A28,($A$4-$A28)*IF(RTD("tos.rtd",,"OPEN_INT","."&amp;U$2&amp;U$1&amp;"C"&amp;$A28)="N/A",0,RTD("tos.rtd",,"OPEN_INT","."&amp;U$2&amp;U$1&amp;"C"&amp;$A28)),0)+IF($A$4&lt;$A28,($A$5-$A$4)*IF(RTD("tos.rtd",,"OPEN_INT","."&amp;U$2&amp;U$1&amp;"P"&amp;$A28)="N/A",0,RTD("tos.rtd",,"OPEN_INT","."&amp;U$2&amp;U$1&amp;"P"&amp;$A28)),0),IF($X$1="ABS",IF(RTD("tos.rtd",,$A$2,"."&amp;U$2&amp;U$1&amp;"C"&amp;$A28)="N/A",0,RTD("tos.rtd",,$A$2,"."&amp;U$2&amp;U$1&amp;"C"&amp;$A28))+IF(RTD("tos.rtd",,$A$2,"."&amp;U$2&amp;U$1&amp;"P"&amp;$A28)="N/A",0,RTD("tos.rtd",,$A$2,"."&amp;U$2&amp;U$1&amp;"P"&amp;$A28)),IF(RTD("tos.rtd",,$A$2,"."&amp;U$2&amp;U$1&amp;"C"&amp;$A28)="N/A",0,RTD("tos.rtd",,$A$2,"."&amp;U$2&amp;U$1&amp;"C"&amp;$A28))-IF(RTD("tos.rtd",,$A$2,"."&amp;U$2&amp;U$1&amp;"P"&amp;$A28)="N/A",0,RTD("tos.rtd",,$A$2,"."&amp;U$2&amp;U$1&amp;"P"&amp;$A28))))))))))</f>
        <v>0</v>
      </c>
      <c r="V28" s="12">
        <f ca="1">IF($A$2="PREMIUM_OI",IFERROR(IF($X$1="ABS",(100*RTD("tos.rtd",,"OPEN_INT","."&amp;V$2&amp;V$1&amp;"C"&amp;$A28)*RTD("tos.rtd",,"LAST","."&amp;V$2&amp;V$1&amp;"C"&amp;$A28)+100*RTD("tos.rtd",,"OPEN_INT","."&amp;V$2&amp;V$1&amp;"P"&amp;$A28)*RTD("tos.rtd",,"LAST","."&amp;V$2&amp;V$1&amp;"P"&amp;$A28))/1000000,(100*RTD("tos.rtd",,"OPEN_INT","."&amp;V$2&amp;V$1&amp;"C"&amp;$A28)*RTD("tos.rtd",,"LAST","."&amp;V$2&amp;V$1&amp;"C"&amp;$A28)-100*RTD("tos.rtd",,"OPEN_INT","."&amp;V$2&amp;V$1&amp;"P"&amp;$A28)*RTD("tos.rtd",,"LAST","."&amp;V$2&amp;V$1&amp;"P"&amp;$A28))/1000000),0),IF($A$2="PREMIUM",IFERROR(IF($X$1="ABS",(100*RTD("tos.rtd",,"VOLUME","."&amp;V$2&amp;V$1&amp;"C"&amp;$A28)*RTD("tos.rtd",,"LAST","."&amp;V$2&amp;V$1&amp;"C"&amp;$A28)+100*RTD("tos.rtd",,"VOLUME","."&amp;V$2&amp;V$1&amp;"P"&amp;$A28)*RTD("tos.rtd",,"LAST","."&amp;V$2&amp;V$1&amp;"P"&amp;$A28))/1000000,(100*RTD("tos.rtd",,"VOLUME","."&amp;V$2&amp;V$1&amp;"C"&amp;$A28)*RTD("tos.rtd",,"LAST","."&amp;V$2&amp;V$1&amp;"C"&amp;$A28)-100*RTD("tos.rtd",,"VOLUME","."&amp;V$2&amp;V$1&amp;"P"&amp;$A28)*RTD("tos.rtd",,"LAST","."&amp;V$2&amp;V$1&amp;"P"&amp;$A28))/1000000),0),IF($A$2="DEX",IFERROR(IF($X$1="ABS",(100*RTD("tos.rtd",,"OPEN_INT","."&amp;V$2&amp;V$1&amp;"C"&amp;$A28)*RTD("tos.rtd",,"DELTA","."&amp;V$2&amp;V$1&amp;"C"&amp;$A28)+100*RTD("tos.rtd",,"OPEN_INT","."&amp;V$2&amp;V$1&amp;"P"&amp;$A28)*RTD("tos.rtd",,"DELTA","."&amp;V$2&amp;V$1&amp;"P"&amp;$A28))/1000,(100*RTD("tos.rtd",,"OPEN_INT","."&amp;V$2&amp;V$1&amp;"C"&amp;$A28)*RTD("tos.rtd",,"DELTA","."&amp;V$2&amp;V$1&amp;"C"&amp;$A28)-100*RTD("tos.rtd",,"OPEN_INT","."&amp;V$2&amp;V$1&amp;"P"&amp;$A28)*RTD("tos.rtd",,"DELTA","."&amp;V$2&amp;V$1&amp;"P"&amp;$A28))/1000),0),IF($A$2="VEX",IFERROR(IF($X$1="ABS",($A$4*$A$4*RTD("tos.rtd",,"VOLUME","."&amp;V$2&amp;V$1&amp;"C"&amp;$A28)*RTD("tos.rtd",,"GAMMA","."&amp;V$2&amp;V$1&amp;"C"&amp;$A28)+$A$4*$A$4*RTD("tos.rtd",,"VOLUME","."&amp;V$2&amp;V$1&amp;"P"&amp;$A28)*RTD("tos.rtd",,"GAMMA","."&amp;V$2&amp;V$1&amp;"P"&amp;$A28))/1000000,($A$4*$A$4*RTD("tos.rtd",,"VOLUME","."&amp;V$2&amp;V$1&amp;"C"&amp;$A28)*RTD("tos.rtd",,"GAMMA","."&amp;V$2&amp;V$1&amp;"C"&amp;$A28)-$A$4*$A$4*RTD("tos.rtd",,"VOLUME","."&amp;V$2&amp;V$1&amp;"P"&amp;$A28)*RTD("tos.rtd",,"GAMMA","."&amp;V$2&amp;V$1&amp;"P"&amp;$A28))/1000000),0),IF($A$2="GEX",IFERROR(IF($X$1="ABS",($A$4*$A$4*RTD("tos.rtd",,"OPEN_INT","."&amp;V$2&amp;V$1&amp;"C"&amp;$A28)*RTD("tos.rtd",,"GAMMA","."&amp;V$2&amp;V$1&amp;"C"&amp;$A28)+$A$4*$A$4*RTD("tos.rtd",,"OPEN_INT","."&amp;V$2&amp;V$1&amp;"P"&amp;$A28)*RTD("tos.rtd",,"GAMMA","."&amp;V$2&amp;V$1&amp;"P"&amp;$A28))/1000000,($A$4*$A$4*RTD("tos.rtd",,"OPEN_INT","."&amp;V$2&amp;V$1&amp;"C"&amp;$A28)*RTD("tos.rtd",,"GAMMA","."&amp;V$2&amp;V$1&amp;"C"&amp;$A28)-$A$4*$A$4*RTD("tos.rtd",,"OPEN_INT","."&amp;V$2&amp;V$1&amp;"P"&amp;$A28)*RTD("tos.rtd",,"GAMMA","."&amp;V$2&amp;V$1&amp;"P"&amp;$A28))/1000000),0),IF($A$2="SKEW",IFERROR(VALUE(IF(RTD("tos.rtd",,"IMPL_VOL","."&amp;V$2&amp;V$1&amp;"P"&amp;$A28)="N/A",0,RTD("tos.rtd",,"IMPL_VOL","."&amp;V$2&amp;V$1&amp;"P"&amp;$A28))),0)-IFERROR(VALUE(IF(RTD("tos.rtd",,"IMPL_VOL","."&amp;V$2&amp;V$1&amp;"C"&amp;$A28)="N/A",0,RTD("tos.rtd",,"IMPL_VOL","."&amp;V$2&amp;V$1&amp;"C"&amp;$A28))),0),IF($A$2="MAXPAIN",IF($A$4&gt;$A28,($A$4-$A28)*IF(RTD("tos.rtd",,"OPEN_INT","."&amp;V$2&amp;V$1&amp;"C"&amp;$A28)="N/A",0,RTD("tos.rtd",,"OPEN_INT","."&amp;V$2&amp;V$1&amp;"C"&amp;$A28)),0)+IF($A$4&lt;$A28,($A$5-$A$4)*IF(RTD("tos.rtd",,"OPEN_INT","."&amp;V$2&amp;V$1&amp;"P"&amp;$A28)="N/A",0,RTD("tos.rtd",,"OPEN_INT","."&amp;V$2&amp;V$1&amp;"P"&amp;$A28)),0),IF($X$1="ABS",IF(RTD("tos.rtd",,$A$2,"."&amp;V$2&amp;V$1&amp;"C"&amp;$A28)="N/A",0,RTD("tos.rtd",,$A$2,"."&amp;V$2&amp;V$1&amp;"C"&amp;$A28))+IF(RTD("tos.rtd",,$A$2,"."&amp;V$2&amp;V$1&amp;"P"&amp;$A28)="N/A",0,RTD("tos.rtd",,$A$2,"."&amp;V$2&amp;V$1&amp;"P"&amp;$A28)),IF(RTD("tos.rtd",,$A$2,"."&amp;V$2&amp;V$1&amp;"C"&amp;$A28)="N/A",0,RTD("tos.rtd",,$A$2,"."&amp;V$2&amp;V$1&amp;"C"&amp;$A28))-IF(RTD("tos.rtd",,$A$2,"."&amp;V$2&amp;V$1&amp;"P"&amp;$A28)="N/A",0,RTD("tos.rtd",,$A$2,"."&amp;V$2&amp;V$1&amp;"P"&amp;$A28))))))))))</f>
        <v>0</v>
      </c>
      <c r="W28" s="12">
        <f ca="1">IF($A$2="PREMIUM_OI",IFERROR(IF($X$1="ABS",(100*RTD("tos.rtd",,"OPEN_INT","."&amp;W$2&amp;W$1&amp;"C"&amp;$A28)*RTD("tos.rtd",,"LAST","."&amp;W$2&amp;W$1&amp;"C"&amp;$A28)+100*RTD("tos.rtd",,"OPEN_INT","."&amp;W$2&amp;W$1&amp;"P"&amp;$A28)*RTD("tos.rtd",,"LAST","."&amp;W$2&amp;W$1&amp;"P"&amp;$A28))/1000000,(100*RTD("tos.rtd",,"OPEN_INT","."&amp;W$2&amp;W$1&amp;"C"&amp;$A28)*RTD("tos.rtd",,"LAST","."&amp;W$2&amp;W$1&amp;"C"&amp;$A28)-100*RTD("tos.rtd",,"OPEN_INT","."&amp;W$2&amp;W$1&amp;"P"&amp;$A28)*RTD("tos.rtd",,"LAST","."&amp;W$2&amp;W$1&amp;"P"&amp;$A28))/1000000),0),IF($A$2="PREMIUM",IFERROR(IF($X$1="ABS",(100*RTD("tos.rtd",,"VOLUME","."&amp;W$2&amp;W$1&amp;"C"&amp;$A28)*RTD("tos.rtd",,"LAST","."&amp;W$2&amp;W$1&amp;"C"&amp;$A28)+100*RTD("tos.rtd",,"VOLUME","."&amp;W$2&amp;W$1&amp;"P"&amp;$A28)*RTD("tos.rtd",,"LAST","."&amp;W$2&amp;W$1&amp;"P"&amp;$A28))/1000000,(100*RTD("tos.rtd",,"VOLUME","."&amp;W$2&amp;W$1&amp;"C"&amp;$A28)*RTD("tos.rtd",,"LAST","."&amp;W$2&amp;W$1&amp;"C"&amp;$A28)-100*RTD("tos.rtd",,"VOLUME","."&amp;W$2&amp;W$1&amp;"P"&amp;$A28)*RTD("tos.rtd",,"LAST","."&amp;W$2&amp;W$1&amp;"P"&amp;$A28))/1000000),0),IF($A$2="DEX",IFERROR(IF($X$1="ABS",(100*RTD("tos.rtd",,"OPEN_INT","."&amp;W$2&amp;W$1&amp;"C"&amp;$A28)*RTD("tos.rtd",,"DELTA","."&amp;W$2&amp;W$1&amp;"C"&amp;$A28)+100*RTD("tos.rtd",,"OPEN_INT","."&amp;W$2&amp;W$1&amp;"P"&amp;$A28)*RTD("tos.rtd",,"DELTA","."&amp;W$2&amp;W$1&amp;"P"&amp;$A28))/1000,(100*RTD("tos.rtd",,"OPEN_INT","."&amp;W$2&amp;W$1&amp;"C"&amp;$A28)*RTD("tos.rtd",,"DELTA","."&amp;W$2&amp;W$1&amp;"C"&amp;$A28)-100*RTD("tos.rtd",,"OPEN_INT","."&amp;W$2&amp;W$1&amp;"P"&amp;$A28)*RTD("tos.rtd",,"DELTA","."&amp;W$2&amp;W$1&amp;"P"&amp;$A28))/1000),0),IF($A$2="VEX",IFERROR(IF($X$1="ABS",($A$4*$A$4*RTD("tos.rtd",,"VOLUME","."&amp;W$2&amp;W$1&amp;"C"&amp;$A28)*RTD("tos.rtd",,"GAMMA","."&amp;W$2&amp;W$1&amp;"C"&amp;$A28)+$A$4*$A$4*RTD("tos.rtd",,"VOLUME","."&amp;W$2&amp;W$1&amp;"P"&amp;$A28)*RTD("tos.rtd",,"GAMMA","."&amp;W$2&amp;W$1&amp;"P"&amp;$A28))/1000000,($A$4*$A$4*RTD("tos.rtd",,"VOLUME","."&amp;W$2&amp;W$1&amp;"C"&amp;$A28)*RTD("tos.rtd",,"GAMMA","."&amp;W$2&amp;W$1&amp;"C"&amp;$A28)-$A$4*$A$4*RTD("tos.rtd",,"VOLUME","."&amp;W$2&amp;W$1&amp;"P"&amp;$A28)*RTD("tos.rtd",,"GAMMA","."&amp;W$2&amp;W$1&amp;"P"&amp;$A28))/1000000),0),IF($A$2="GEX",IFERROR(IF($X$1="ABS",($A$4*$A$4*RTD("tos.rtd",,"OPEN_INT","."&amp;W$2&amp;W$1&amp;"C"&amp;$A28)*RTD("tos.rtd",,"GAMMA","."&amp;W$2&amp;W$1&amp;"C"&amp;$A28)+$A$4*$A$4*RTD("tos.rtd",,"OPEN_INT","."&amp;W$2&amp;W$1&amp;"P"&amp;$A28)*RTD("tos.rtd",,"GAMMA","."&amp;W$2&amp;W$1&amp;"P"&amp;$A28))/1000000,($A$4*$A$4*RTD("tos.rtd",,"OPEN_INT","."&amp;W$2&amp;W$1&amp;"C"&amp;$A28)*RTD("tos.rtd",,"GAMMA","."&amp;W$2&amp;W$1&amp;"C"&amp;$A28)-$A$4*$A$4*RTD("tos.rtd",,"OPEN_INT","."&amp;W$2&amp;W$1&amp;"P"&amp;$A28)*RTD("tos.rtd",,"GAMMA","."&amp;W$2&amp;W$1&amp;"P"&amp;$A28))/1000000),0),IF($A$2="SKEW",IFERROR(VALUE(IF(RTD("tos.rtd",,"IMPL_VOL","."&amp;W$2&amp;W$1&amp;"P"&amp;$A28)="N/A",0,RTD("tos.rtd",,"IMPL_VOL","."&amp;W$2&amp;W$1&amp;"P"&amp;$A28))),0)-IFERROR(VALUE(IF(RTD("tos.rtd",,"IMPL_VOL","."&amp;W$2&amp;W$1&amp;"C"&amp;$A28)="N/A",0,RTD("tos.rtd",,"IMPL_VOL","."&amp;W$2&amp;W$1&amp;"C"&amp;$A28))),0),IF($A$2="MAXPAIN",IF($A$4&gt;$A28,($A$4-$A28)*IF(RTD("tos.rtd",,"OPEN_INT","."&amp;W$2&amp;W$1&amp;"C"&amp;$A28)="N/A",0,RTD("tos.rtd",,"OPEN_INT","."&amp;W$2&amp;W$1&amp;"C"&amp;$A28)),0)+IF($A$4&lt;$A28,($A$5-$A$4)*IF(RTD("tos.rtd",,"OPEN_INT","."&amp;W$2&amp;W$1&amp;"P"&amp;$A28)="N/A",0,RTD("tos.rtd",,"OPEN_INT","."&amp;W$2&amp;W$1&amp;"P"&amp;$A28)),0),IF($X$1="ABS",IF(RTD("tos.rtd",,$A$2,"."&amp;W$2&amp;W$1&amp;"C"&amp;$A28)="N/A",0,RTD("tos.rtd",,$A$2,"."&amp;W$2&amp;W$1&amp;"C"&amp;$A28))+IF(RTD("tos.rtd",,$A$2,"."&amp;W$2&amp;W$1&amp;"P"&amp;$A28)="N/A",0,RTD("tos.rtd",,$A$2,"."&amp;W$2&amp;W$1&amp;"P"&amp;$A28)),IF(RTD("tos.rtd",,$A$2,"."&amp;W$2&amp;W$1&amp;"C"&amp;$A28)="N/A",0,RTD("tos.rtd",,$A$2,"."&amp;W$2&amp;W$1&amp;"C"&amp;$A28))-IF(RTD("tos.rtd",,$A$2,"."&amp;W$2&amp;W$1&amp;"P"&amp;$A28)="N/A",0,RTD("tos.rtd",,$A$2,"."&amp;W$2&amp;W$1&amp;"P"&amp;$A28))))))))))</f>
        <v>0</v>
      </c>
      <c r="X28" s="57">
        <f t="shared" ca="1" si="7"/>
        <v>199625</v>
      </c>
      <c r="Y28" s="27">
        <f t="shared" ca="1" si="8"/>
        <v>199625</v>
      </c>
      <c r="Z28" s="27" t="b">
        <f t="shared" ca="1" si="9"/>
        <v>0</v>
      </c>
      <c r="AA28" s="27">
        <f t="shared" si="10"/>
        <v>32871100</v>
      </c>
      <c r="AB28" s="18">
        <f>MAX(0, $A28-AB$4)*IF(RTD("tos.rtd",,"OPEN_INT","."&amp;$AA$3&amp;$AA$4&amp;"C"&amp;AB$4)="N/A",0,RTD("tos.rtd",,"OPEN_INT","."&amp;$AA$3&amp;$AA$4&amp;"C"&amp;AB$4))*100 + MAX(0, AB$4-$A28)*IF(RTD("tos.rtd",,"OPEN_INT","."&amp;$AA$3&amp;$AA$4&amp;"P"&amp;AB$4)="N/A",0,RTD("tos.rtd",,"OPEN_INT","."&amp;$AA$3&amp;$AA$4&amp;"P"&amp;AB$4))*100</f>
        <v>0</v>
      </c>
      <c r="AC28" s="18">
        <f>MAX(0, $A28-AC$4)*IF(RTD("tos.rtd",,"OPEN_INT","."&amp;$AA$3&amp;$AA$4&amp;"C"&amp;AC$4)="N/A",0,RTD("tos.rtd",,"OPEN_INT","."&amp;$AA$3&amp;$AA$4&amp;"C"&amp;AC$4))*100 + MAX(0, AC$4-$A28)*IF(RTD("tos.rtd",,"OPEN_INT","."&amp;$AA$3&amp;$AA$4&amp;"P"&amp;AC$4)="N/A",0,RTD("tos.rtd",,"OPEN_INT","."&amp;$AA$3&amp;$AA$4&amp;"P"&amp;AC$4))*100</f>
        <v>0</v>
      </c>
      <c r="AD28" s="18">
        <f>MAX(0, $A28-AD$4)*IF(RTD("tos.rtd",,"OPEN_INT","."&amp;$AA$3&amp;$AA$4&amp;"C"&amp;AD$4)="N/A",0,RTD("tos.rtd",,"OPEN_INT","."&amp;$AA$3&amp;$AA$4&amp;"C"&amp;AD$4))*100 + MAX(0, AD$4-$A28)*IF(RTD("tos.rtd",,"OPEN_INT","."&amp;$AA$3&amp;$AA$4&amp;"P"&amp;AD$4)="N/A",0,RTD("tos.rtd",,"OPEN_INT","."&amp;$AA$3&amp;$AA$4&amp;"P"&amp;AD$4))*100</f>
        <v>0</v>
      </c>
      <c r="AE28" s="18">
        <f>MAX(0, $A28-AE$4)*IF(RTD("tos.rtd",,"OPEN_INT","."&amp;$AA$3&amp;$AA$4&amp;"C"&amp;AE$4)="N/A",0,RTD("tos.rtd",,"OPEN_INT","."&amp;$AA$3&amp;$AA$4&amp;"C"&amp;AE$4))*100 + MAX(0, AE$4-$A28)*IF(RTD("tos.rtd",,"OPEN_INT","."&amp;$AA$3&amp;$AA$4&amp;"P"&amp;AE$4)="N/A",0,RTD("tos.rtd",,"OPEN_INT","."&amp;$AA$3&amp;$AA$4&amp;"P"&amp;AE$4))*100</f>
        <v>0</v>
      </c>
      <c r="AF28" s="18">
        <f>MAX(0, $A28-AF$4)*IF(RTD("tos.rtd",,"OPEN_INT","."&amp;$AA$3&amp;$AA$4&amp;"C"&amp;AF$4)="N/A",0,RTD("tos.rtd",,"OPEN_INT","."&amp;$AA$3&amp;$AA$4&amp;"C"&amp;AF$4))*100 + MAX(0, AF$4-$A28)*IF(RTD("tos.rtd",,"OPEN_INT","."&amp;$AA$3&amp;$AA$4&amp;"P"&amp;AF$4)="N/A",0,RTD("tos.rtd",,"OPEN_INT","."&amp;$AA$3&amp;$AA$4&amp;"P"&amp;AF$4))*100</f>
        <v>0</v>
      </c>
      <c r="AG28" s="18">
        <f>MAX(0, $A28-AG$4)*IF(RTD("tos.rtd",,"OPEN_INT","."&amp;$AA$3&amp;$AA$4&amp;"C"&amp;AG$4)="N/A",0,RTD("tos.rtd",,"OPEN_INT","."&amp;$AA$3&amp;$AA$4&amp;"C"&amp;AG$4))*100 + MAX(0, AG$4-$A28)*IF(RTD("tos.rtd",,"OPEN_INT","."&amp;$AA$3&amp;$AA$4&amp;"P"&amp;AG$4)="N/A",0,RTD("tos.rtd",,"OPEN_INT","."&amp;$AA$3&amp;$AA$4&amp;"P"&amp;AG$4))*100</f>
        <v>0</v>
      </c>
      <c r="AH28" s="18">
        <f>MAX(0, $A28-AH$4)*IF(RTD("tos.rtd",,"OPEN_INT","."&amp;$AA$3&amp;$AA$4&amp;"C"&amp;AH$4)="N/A",0,RTD("tos.rtd",,"OPEN_INT","."&amp;$AA$3&amp;$AA$4&amp;"C"&amp;AH$4))*100 + MAX(0, AH$4-$A28)*IF(RTD("tos.rtd",,"OPEN_INT","."&amp;$AA$3&amp;$AA$4&amp;"P"&amp;AH$4)="N/A",0,RTD("tos.rtd",,"OPEN_INT","."&amp;$AA$3&amp;$AA$4&amp;"P"&amp;AH$4))*100</f>
        <v>0</v>
      </c>
      <c r="AI28" s="18">
        <f>MAX(0, $A28-AI$4)*IF(RTD("tos.rtd",,"OPEN_INT","."&amp;$AA$3&amp;$AA$4&amp;"C"&amp;AI$4)="N/A",0,RTD("tos.rtd",,"OPEN_INT","."&amp;$AA$3&amp;$AA$4&amp;"C"&amp;AI$4))*100 + MAX(0, AI$4-$A28)*IF(RTD("tos.rtd",,"OPEN_INT","."&amp;$AA$3&amp;$AA$4&amp;"P"&amp;AI$4)="N/A",0,RTD("tos.rtd",,"OPEN_INT","."&amp;$AA$3&amp;$AA$4&amp;"P"&amp;AI$4))*100</f>
        <v>2400</v>
      </c>
      <c r="AJ28" s="18">
        <f>MAX(0, $A28-AJ$4)*IF(RTD("tos.rtd",,"OPEN_INT","."&amp;$AA$3&amp;$AA$4&amp;"C"&amp;AJ$4)="N/A",0,RTD("tos.rtd",,"OPEN_INT","."&amp;$AA$3&amp;$AA$4&amp;"C"&amp;AJ$4))*100 + MAX(0, AJ$4-$A28)*IF(RTD("tos.rtd",,"OPEN_INT","."&amp;$AA$3&amp;$AA$4&amp;"P"&amp;AJ$4)="N/A",0,RTD("tos.rtd",,"OPEN_INT","."&amp;$AA$3&amp;$AA$4&amp;"P"&amp;AJ$4))*100</f>
        <v>6000</v>
      </c>
      <c r="AK28" s="18">
        <f>MAX(0, $A28-AK$4)*IF(RTD("tos.rtd",,"OPEN_INT","."&amp;$AA$3&amp;$AA$4&amp;"C"&amp;AK$4)="N/A",0,RTD("tos.rtd",,"OPEN_INT","."&amp;$AA$3&amp;$AA$4&amp;"C"&amp;AK$4))*100 + MAX(0, AK$4-$A28)*IF(RTD("tos.rtd",,"OPEN_INT","."&amp;$AA$3&amp;$AA$4&amp;"P"&amp;AK$4)="N/A",0,RTD("tos.rtd",,"OPEN_INT","."&amp;$AA$3&amp;$AA$4&amp;"P"&amp;AK$4))*100</f>
        <v>0</v>
      </c>
      <c r="AL28" s="18">
        <f>MAX(0, $A28-AL$4)*IF(RTD("tos.rtd",,"OPEN_INT","."&amp;$AA$3&amp;$AA$4&amp;"C"&amp;AL$4)="N/A",0,RTD("tos.rtd",,"OPEN_INT","."&amp;$AA$3&amp;$AA$4&amp;"C"&amp;AL$4))*100 + MAX(0, AL$4-$A28)*IF(RTD("tos.rtd",,"OPEN_INT","."&amp;$AA$3&amp;$AA$4&amp;"P"&amp;AL$4)="N/A",0,RTD("tos.rtd",,"OPEN_INT","."&amp;$AA$3&amp;$AA$4&amp;"P"&amp;AL$4))*100</f>
        <v>0</v>
      </c>
      <c r="AM28" s="18">
        <f>MAX(0, $A28-AM$4)*IF(RTD("tos.rtd",,"OPEN_INT","."&amp;$AA$3&amp;$AA$4&amp;"C"&amp;AM$4)="N/A",0,RTD("tos.rtd",,"OPEN_INT","."&amp;$AA$3&amp;$AA$4&amp;"C"&amp;AM$4))*100 + MAX(0, AM$4-$A28)*IF(RTD("tos.rtd",,"OPEN_INT","."&amp;$AA$3&amp;$AA$4&amp;"P"&amp;AM$4)="N/A",0,RTD("tos.rtd",,"OPEN_INT","."&amp;$AA$3&amp;$AA$4&amp;"P"&amp;AM$4))*100</f>
        <v>0</v>
      </c>
      <c r="AN28" s="18">
        <f>MAX(0, $A28-AN$4)*IF(RTD("tos.rtd",,"OPEN_INT","."&amp;$AA$3&amp;$AA$4&amp;"C"&amp;AN$4)="N/A",0,RTD("tos.rtd",,"OPEN_INT","."&amp;$AA$3&amp;$AA$4&amp;"C"&amp;AN$4))*100 + MAX(0, AN$4-$A28)*IF(RTD("tos.rtd",,"OPEN_INT","."&amp;$AA$3&amp;$AA$4&amp;"P"&amp;AN$4)="N/A",0,RTD("tos.rtd",,"OPEN_INT","."&amp;$AA$3&amp;$AA$4&amp;"P"&amp;AN$4))*100</f>
        <v>0</v>
      </c>
      <c r="AO28" s="18">
        <f>MAX(0, $A28-AO$4)*IF(RTD("tos.rtd",,"OPEN_INT","."&amp;$AA$3&amp;$AA$4&amp;"C"&amp;AO$4)="N/A",0,RTD("tos.rtd",,"OPEN_INT","."&amp;$AA$3&amp;$AA$4&amp;"C"&amp;AO$4))*100 + MAX(0, AO$4-$A28)*IF(RTD("tos.rtd",,"OPEN_INT","."&amp;$AA$3&amp;$AA$4&amp;"P"&amp;AO$4)="N/A",0,RTD("tos.rtd",,"OPEN_INT","."&amp;$AA$3&amp;$AA$4&amp;"P"&amp;AO$4))*100</f>
        <v>60000</v>
      </c>
      <c r="AP28" s="18">
        <f>MAX(0, $A28-AP$4)*IF(RTD("tos.rtd",,"OPEN_INT","."&amp;$AA$3&amp;$AA$4&amp;"C"&amp;AP$4)="N/A",0,RTD("tos.rtd",,"OPEN_INT","."&amp;$AA$3&amp;$AA$4&amp;"C"&amp;AP$4))*100 + MAX(0, AP$4-$A28)*IF(RTD("tos.rtd",,"OPEN_INT","."&amp;$AA$3&amp;$AA$4&amp;"P"&amp;AP$4)="N/A",0,RTD("tos.rtd",,"OPEN_INT","."&amp;$AA$3&amp;$AA$4&amp;"P"&amp;AP$4))*100</f>
        <v>0</v>
      </c>
      <c r="AQ28" s="18">
        <f>MAX(0, $A28-AQ$4)*IF(RTD("tos.rtd",,"OPEN_INT","."&amp;$AA$3&amp;$AA$4&amp;"C"&amp;AQ$4)="N/A",0,RTD("tos.rtd",,"OPEN_INT","."&amp;$AA$3&amp;$AA$4&amp;"C"&amp;AQ$4))*100 + MAX(0, AQ$4-$A28)*IF(RTD("tos.rtd",,"OPEN_INT","."&amp;$AA$3&amp;$AA$4&amp;"P"&amp;AQ$4)="N/A",0,RTD("tos.rtd",,"OPEN_INT","."&amp;$AA$3&amp;$AA$4&amp;"P"&amp;AQ$4))*100</f>
        <v>21200</v>
      </c>
      <c r="AR28" s="18">
        <f>MAX(0, $A28-AR$4)*IF(RTD("tos.rtd",,"OPEN_INT","."&amp;$AA$3&amp;$AA$4&amp;"C"&amp;AR$4)="N/A",0,RTD("tos.rtd",,"OPEN_INT","."&amp;$AA$3&amp;$AA$4&amp;"C"&amp;AR$4))*100 + MAX(0, AR$4-$A28)*IF(RTD("tos.rtd",,"OPEN_INT","."&amp;$AA$3&amp;$AA$4&amp;"P"&amp;AR$4)="N/A",0,RTD("tos.rtd",,"OPEN_INT","."&amp;$AA$3&amp;$AA$4&amp;"P"&amp;AR$4))*100</f>
        <v>2100</v>
      </c>
      <c r="AS28" s="18">
        <f>MAX(0, $A28-AS$4)*IF(RTD("tos.rtd",,"OPEN_INT","."&amp;$AA$3&amp;$AA$4&amp;"C"&amp;AS$4)="N/A",0,RTD("tos.rtd",,"OPEN_INT","."&amp;$AA$3&amp;$AA$4&amp;"C"&amp;AS$4))*100 + MAX(0, AS$4-$A28)*IF(RTD("tos.rtd",,"OPEN_INT","."&amp;$AA$3&amp;$AA$4&amp;"P"&amp;AS$4)="N/A",0,RTD("tos.rtd",,"OPEN_INT","."&amp;$AA$3&amp;$AA$4&amp;"P"&amp;AS$4))*100</f>
        <v>18600</v>
      </c>
      <c r="AT28" s="18">
        <f>MAX(0, $A28-AT$4)*IF(RTD("tos.rtd",,"OPEN_INT","."&amp;$AA$3&amp;$AA$4&amp;"C"&amp;AT$4)="N/A",0,RTD("tos.rtd",,"OPEN_INT","."&amp;$AA$3&amp;$AA$4&amp;"C"&amp;AT$4))*100 + MAX(0, AT$4-$A28)*IF(RTD("tos.rtd",,"OPEN_INT","."&amp;$AA$3&amp;$AA$4&amp;"P"&amp;AT$4)="N/A",0,RTD("tos.rtd",,"OPEN_INT","."&amp;$AA$3&amp;$AA$4&amp;"P"&amp;AT$4))*100</f>
        <v>17500</v>
      </c>
      <c r="AU28" s="18">
        <f>MAX(0, $A28-AU$4)*IF(RTD("tos.rtd",,"OPEN_INT","."&amp;$AA$3&amp;$AA$4&amp;"C"&amp;AU$4)="N/A",0,RTD("tos.rtd",,"OPEN_INT","."&amp;$AA$3&amp;$AA$4&amp;"C"&amp;AU$4))*100 + MAX(0, AU$4-$A28)*IF(RTD("tos.rtd",,"OPEN_INT","."&amp;$AA$3&amp;$AA$4&amp;"P"&amp;AU$4)="N/A",0,RTD("tos.rtd",,"OPEN_INT","."&amp;$AA$3&amp;$AA$4&amp;"P"&amp;AU$4))*100</f>
        <v>8000</v>
      </c>
      <c r="AV28" s="18">
        <f>MAX(0, $A28-AV$4)*IF(RTD("tos.rtd",,"OPEN_INT","."&amp;$AA$3&amp;$AA$4&amp;"C"&amp;AV$4)="N/A",0,RTD("tos.rtd",,"OPEN_INT","."&amp;$AA$3&amp;$AA$4&amp;"C"&amp;AV$4))*100 + MAX(0, AV$4-$A28)*IF(RTD("tos.rtd",,"OPEN_INT","."&amp;$AA$3&amp;$AA$4&amp;"P"&amp;AV$4)="N/A",0,RTD("tos.rtd",,"OPEN_INT","."&amp;$AA$3&amp;$AA$4&amp;"P"&amp;AV$4))*100</f>
        <v>24150</v>
      </c>
      <c r="AW28" s="18">
        <f>MAX(0, $A28-AW$4)*IF(RTD("tos.rtd",,"OPEN_INT","."&amp;$AA$3&amp;$AA$4&amp;"C"&amp;AW$4)="N/A",0,RTD("tos.rtd",,"OPEN_INT","."&amp;$AA$3&amp;$AA$4&amp;"C"&amp;AW$4))*100 + MAX(0, AW$4-$A28)*IF(RTD("tos.rtd",,"OPEN_INT","."&amp;$AA$3&amp;$AA$4&amp;"P"&amp;AW$4)="N/A",0,RTD("tos.rtd",,"OPEN_INT","."&amp;$AA$3&amp;$AA$4&amp;"P"&amp;AW$4))*100</f>
        <v>20200</v>
      </c>
      <c r="AX28" s="18">
        <f>MAX(0, $A28-AX$4)*IF(RTD("tos.rtd",,"OPEN_INT","."&amp;$AA$3&amp;$AA$4&amp;"C"&amp;AX$4)="N/A",0,RTD("tos.rtd",,"OPEN_INT","."&amp;$AA$3&amp;$AA$4&amp;"C"&amp;AX$4))*100 + MAX(0, AX$4-$A28)*IF(RTD("tos.rtd",,"OPEN_INT","."&amp;$AA$3&amp;$AA$4&amp;"P"&amp;AX$4)="N/A",0,RTD("tos.rtd",,"OPEN_INT","."&amp;$AA$3&amp;$AA$4&amp;"P"&amp;AX$4))*100</f>
        <v>12350</v>
      </c>
      <c r="AY28" s="18">
        <f>MAX(0, $A28-AY$4)*IF(RTD("tos.rtd",,"OPEN_INT","."&amp;$AA$3&amp;$AA$4&amp;"C"&amp;AY$4)="N/A",0,RTD("tos.rtd",,"OPEN_INT","."&amp;$AA$3&amp;$AA$4&amp;"C"&amp;AY$4))*100 + MAX(0, AY$4-$A28)*IF(RTD("tos.rtd",,"OPEN_INT","."&amp;$AA$3&amp;$AA$4&amp;"P"&amp;AY$4)="N/A",0,RTD("tos.rtd",,"OPEN_INT","."&amp;$AA$3&amp;$AA$4&amp;"P"&amp;AY$4))*100</f>
        <v>0</v>
      </c>
      <c r="AZ28" s="18">
        <f>MAX(0, $A28-AZ$4)*IF(RTD("tos.rtd",,"OPEN_INT","."&amp;$AA$3&amp;$AA$4&amp;"C"&amp;AZ$4)="N/A",0,RTD("tos.rtd",,"OPEN_INT","."&amp;$AA$3&amp;$AA$4&amp;"C"&amp;AZ$4))*100 + MAX(0, AZ$4-$A28)*IF(RTD("tos.rtd",,"OPEN_INT","."&amp;$AA$3&amp;$AA$4&amp;"P"&amp;AZ$4)="N/A",0,RTD("tos.rtd",,"OPEN_INT","."&amp;$AA$3&amp;$AA$4&amp;"P"&amp;AZ$4))*100</f>
        <v>492500</v>
      </c>
      <c r="BA28" s="18">
        <f>MAX(0, $A28-BA$4)*IF(RTD("tos.rtd",,"OPEN_INT","."&amp;$AA$3&amp;$AA$4&amp;"C"&amp;BA$4)="N/A",0,RTD("tos.rtd",,"OPEN_INT","."&amp;$AA$3&amp;$AA$4&amp;"C"&amp;BA$4))*100 + MAX(0, BA$4-$A28)*IF(RTD("tos.rtd",,"OPEN_INT","."&amp;$AA$3&amp;$AA$4&amp;"P"&amp;BA$4)="N/A",0,RTD("tos.rtd",,"OPEN_INT","."&amp;$AA$3&amp;$AA$4&amp;"P"&amp;BA$4))*100</f>
        <v>3080700</v>
      </c>
      <c r="BB28" s="18">
        <f>MAX(0, $A28-BB$4)*IF(RTD("tos.rtd",,"OPEN_INT","."&amp;$AA$3&amp;$AA$4&amp;"C"&amp;BB$4)="N/A",0,RTD("tos.rtd",,"OPEN_INT","."&amp;$AA$3&amp;$AA$4&amp;"C"&amp;BB$4))*100 + MAX(0, BB$4-$A28)*IF(RTD("tos.rtd",,"OPEN_INT","."&amp;$AA$3&amp;$AA$4&amp;"P"&amp;BB$4)="N/A",0,RTD("tos.rtd",,"OPEN_INT","."&amp;$AA$3&amp;$AA$4&amp;"P"&amp;BB$4))*100</f>
        <v>4298700</v>
      </c>
      <c r="BC28" s="18">
        <f>MAX(0, $A28-BC$4)*IF(RTD("tos.rtd",,"OPEN_INT","."&amp;$AA$3&amp;$AA$4&amp;"C"&amp;BC$4)="N/A",0,RTD("tos.rtd",,"OPEN_INT","."&amp;$AA$3&amp;$AA$4&amp;"C"&amp;BC$4))*100 + MAX(0, BC$4-$A28)*IF(RTD("tos.rtd",,"OPEN_INT","."&amp;$AA$3&amp;$AA$4&amp;"P"&amp;BC$4)="N/A",0,RTD("tos.rtd",,"OPEN_INT","."&amp;$AA$3&amp;$AA$4&amp;"P"&amp;BC$4))*100</f>
        <v>8142600</v>
      </c>
      <c r="BD28" s="18">
        <f>MAX(0, $A28-BD$4)*IF(RTD("tos.rtd",,"OPEN_INT","."&amp;$AA$3&amp;$AA$4&amp;"C"&amp;BD$4)="N/A",0,RTD("tos.rtd",,"OPEN_INT","."&amp;$AA$3&amp;$AA$4&amp;"C"&amp;BD$4))*100 + MAX(0, BD$4-$A28)*IF(RTD("tos.rtd",,"OPEN_INT","."&amp;$AA$3&amp;$AA$4&amp;"P"&amp;BD$4)="N/A",0,RTD("tos.rtd",,"OPEN_INT","."&amp;$AA$3&amp;$AA$4&amp;"P"&amp;BD$4))*100</f>
        <v>4640000</v>
      </c>
      <c r="BE28" s="18">
        <f>MAX(0, $A28-BE$4)*IF(RTD("tos.rtd",,"OPEN_INT","."&amp;$AA$3&amp;$AA$4&amp;"C"&amp;BE$4)="N/A",0,RTD("tos.rtd",,"OPEN_INT","."&amp;$AA$3&amp;$AA$4&amp;"C"&amp;BE$4))*100 + MAX(0, BE$4-$A28)*IF(RTD("tos.rtd",,"OPEN_INT","."&amp;$AA$3&amp;$AA$4&amp;"P"&amp;BE$4)="N/A",0,RTD("tos.rtd",,"OPEN_INT","."&amp;$AA$3&amp;$AA$4&amp;"P"&amp;BE$4))*100</f>
        <v>5183400</v>
      </c>
      <c r="BF28" s="18">
        <f>MAX(0, $A28-BF$4)*IF(RTD("tos.rtd",,"OPEN_INT","."&amp;$AA$3&amp;$AA$4&amp;"C"&amp;BF$4)="N/A",0,RTD("tos.rtd",,"OPEN_INT","."&amp;$AA$3&amp;$AA$4&amp;"C"&amp;BF$4))*100 + MAX(0, BF$4-$A28)*IF(RTD("tos.rtd",,"OPEN_INT","."&amp;$AA$3&amp;$AA$4&amp;"P"&amp;BF$4)="N/A",0,RTD("tos.rtd",,"OPEN_INT","."&amp;$AA$3&amp;$AA$4&amp;"P"&amp;BF$4))*100</f>
        <v>2942450</v>
      </c>
      <c r="BG28" s="18">
        <f>MAX(0, $A28-BG$4)*IF(RTD("tos.rtd",,"OPEN_INT","."&amp;$AA$3&amp;$AA$4&amp;"C"&amp;BG$4)="N/A",0,RTD("tos.rtd",,"OPEN_INT","."&amp;$AA$3&amp;$AA$4&amp;"C"&amp;BG$4))*100 + MAX(0, BG$4-$A28)*IF(RTD("tos.rtd",,"OPEN_INT","."&amp;$AA$3&amp;$AA$4&amp;"P"&amp;BG$4)="N/A",0,RTD("tos.rtd",,"OPEN_INT","."&amp;$AA$3&amp;$AA$4&amp;"P"&amp;BG$4))*100</f>
        <v>2293600</v>
      </c>
      <c r="BH28" s="18">
        <f>MAX(0, $A28-BH$4)*IF(RTD("tos.rtd",,"OPEN_INT","."&amp;$AA$3&amp;$AA$4&amp;"C"&amp;BH$4)="N/A",0,RTD("tos.rtd",,"OPEN_INT","."&amp;$AA$3&amp;$AA$4&amp;"C"&amp;BH$4))*100 + MAX(0, BH$4-$A28)*IF(RTD("tos.rtd",,"OPEN_INT","."&amp;$AA$3&amp;$AA$4&amp;"P"&amp;BH$4)="N/A",0,RTD("tos.rtd",,"OPEN_INT","."&amp;$AA$3&amp;$AA$4&amp;"P"&amp;BH$4))*100</f>
        <v>874350</v>
      </c>
      <c r="BI28" s="18">
        <f>MAX(0, $A28-BI$4)*IF(RTD("tos.rtd",,"OPEN_INT","."&amp;$AA$3&amp;$AA$4&amp;"C"&amp;BI$4)="N/A",0,RTD("tos.rtd",,"OPEN_INT","."&amp;$AA$3&amp;$AA$4&amp;"C"&amp;BI$4))*100 + MAX(0, BI$4-$A28)*IF(RTD("tos.rtd",,"OPEN_INT","."&amp;$AA$3&amp;$AA$4&amp;"P"&amp;BI$4)="N/A",0,RTD("tos.rtd",,"OPEN_INT","."&amp;$AA$3&amp;$AA$4&amp;"P"&amp;BI$4))*100</f>
        <v>421000</v>
      </c>
      <c r="BJ28" s="18">
        <f>MAX(0, $A28-BJ$4)*IF(RTD("tos.rtd",,"OPEN_INT","."&amp;$AA$3&amp;$AA$4&amp;"C"&amp;BJ$4)="N/A",0,RTD("tos.rtd",,"OPEN_INT","."&amp;$AA$3&amp;$AA$4&amp;"C"&amp;BJ$4))*100 + MAX(0, BJ$4-$A28)*IF(RTD("tos.rtd",,"OPEN_INT","."&amp;$AA$3&amp;$AA$4&amp;"P"&amp;BJ$4)="N/A",0,RTD("tos.rtd",,"OPEN_INT","."&amp;$AA$3&amp;$AA$4&amp;"P"&amp;BJ$4))*100</f>
        <v>83050</v>
      </c>
      <c r="BK28" s="18">
        <f>MAX(0, $A28-BK$4)*IF(RTD("tos.rtd",,"OPEN_INT","."&amp;$AA$3&amp;$AA$4&amp;"C"&amp;BK$4)="N/A",0,RTD("tos.rtd",,"OPEN_INT","."&amp;$AA$3&amp;$AA$4&amp;"C"&amp;BK$4))*100 + MAX(0, BK$4-$A28)*IF(RTD("tos.rtd",,"OPEN_INT","."&amp;$AA$3&amp;$AA$4&amp;"P"&amp;BK$4)="N/A",0,RTD("tos.rtd",,"OPEN_INT","."&amp;$AA$3&amp;$AA$4&amp;"P"&amp;BK$4))*100</f>
        <v>156600</v>
      </c>
      <c r="BL28" s="18">
        <f>MAX(0, $A28-BL$4)*IF(RTD("tos.rtd",,"OPEN_INT","."&amp;$AA$3&amp;$AA$4&amp;"C"&amp;BL$4)="N/A",0,RTD("tos.rtd",,"OPEN_INT","."&amp;$AA$3&amp;$AA$4&amp;"C"&amp;BL$4))*100 + MAX(0, BL$4-$A28)*IF(RTD("tos.rtd",,"OPEN_INT","."&amp;$AA$3&amp;$AA$4&amp;"P"&amp;BL$4)="N/A",0,RTD("tos.rtd",,"OPEN_INT","."&amp;$AA$3&amp;$AA$4&amp;"P"&amp;BL$4))*100</f>
        <v>10400</v>
      </c>
      <c r="BM28" s="18">
        <f>MAX(0, $A28-BM$4)*IF(RTD("tos.rtd",,"OPEN_INT","."&amp;$AA$3&amp;$AA$4&amp;"C"&amp;BM$4)="N/A",0,RTD("tos.rtd",,"OPEN_INT","."&amp;$AA$3&amp;$AA$4&amp;"C"&amp;BM$4))*100 + MAX(0, BM$4-$A28)*IF(RTD("tos.rtd",,"OPEN_INT","."&amp;$AA$3&amp;$AA$4&amp;"P"&amp;BM$4)="N/A",0,RTD("tos.rtd",,"OPEN_INT","."&amp;$AA$3&amp;$AA$4&amp;"P"&amp;BM$4))*100</f>
        <v>5600</v>
      </c>
      <c r="BN28" s="18">
        <f>MAX(0, $A28-BN$4)*IF(RTD("tos.rtd",,"OPEN_INT","."&amp;$AA$3&amp;$AA$4&amp;"C"&amp;BN$4)="N/A",0,RTD("tos.rtd",,"OPEN_INT","."&amp;$AA$3&amp;$AA$4&amp;"C"&amp;BN$4))*100 + MAX(0, BN$4-$A28)*IF(RTD("tos.rtd",,"OPEN_INT","."&amp;$AA$3&amp;$AA$4&amp;"P"&amp;BN$4)="N/A",0,RTD("tos.rtd",,"OPEN_INT","."&amp;$AA$3&amp;$AA$4&amp;"P"&amp;BN$4))*100</f>
        <v>23250</v>
      </c>
      <c r="BO28" s="18">
        <f>MAX(0, $A28-BO$4)*IF(RTD("tos.rtd",,"OPEN_INT","."&amp;$AA$3&amp;$AA$4&amp;"C"&amp;BO$4)="N/A",0,RTD("tos.rtd",,"OPEN_INT","."&amp;$AA$3&amp;$AA$4&amp;"C"&amp;BO$4))*100 + MAX(0, BO$4-$A28)*IF(RTD("tos.rtd",,"OPEN_INT","."&amp;$AA$3&amp;$AA$4&amp;"P"&amp;BO$4)="N/A",0,RTD("tos.rtd",,"OPEN_INT","."&amp;$AA$3&amp;$AA$4&amp;"P"&amp;BO$4))*100</f>
        <v>30400</v>
      </c>
      <c r="BP28" s="18">
        <f>MAX(0, $A28-BP$4)*IF(RTD("tos.rtd",,"OPEN_INT","."&amp;$AA$3&amp;$AA$4&amp;"C"&amp;BP$4)="N/A",0,RTD("tos.rtd",,"OPEN_INT","."&amp;$AA$3&amp;$AA$4&amp;"C"&amp;BP$4))*100 + MAX(0, BP$4-$A28)*IF(RTD("tos.rtd",,"OPEN_INT","."&amp;$AA$3&amp;$AA$4&amp;"P"&amp;BP$4)="N/A",0,RTD("tos.rtd",,"OPEN_INT","."&amp;$AA$3&amp;$AA$4&amp;"P"&amp;BP$4))*100</f>
        <v>0</v>
      </c>
      <c r="BQ28" s="18">
        <f>MAX(0, $A28-BQ$4)*IF(RTD("tos.rtd",,"OPEN_INT","."&amp;$AA$3&amp;$AA$4&amp;"C"&amp;BQ$4)="N/A",0,RTD("tos.rtd",,"OPEN_INT","."&amp;$AA$3&amp;$AA$4&amp;"C"&amp;BQ$4))*100 + MAX(0, BQ$4-$A28)*IF(RTD("tos.rtd",,"OPEN_INT","."&amp;$AA$3&amp;$AA$4&amp;"P"&amp;BQ$4)="N/A",0,RTD("tos.rtd",,"OPEN_INT","."&amp;$AA$3&amp;$AA$4&amp;"P"&amp;BQ$4))*100</f>
        <v>0</v>
      </c>
      <c r="BR28" s="18">
        <f>MAX(0, $A28-BR$4)*IF(RTD("tos.rtd",,"OPEN_INT","."&amp;$AA$3&amp;$AA$4&amp;"C"&amp;BR$4)="N/A",0,RTD("tos.rtd",,"OPEN_INT","."&amp;$AA$3&amp;$AA$4&amp;"C"&amp;BR$4))*100 + MAX(0, BR$4-$A28)*IF(RTD("tos.rtd",,"OPEN_INT","."&amp;$AA$3&amp;$AA$4&amp;"P"&amp;BR$4)="N/A",0,RTD("tos.rtd",,"OPEN_INT","."&amp;$AA$3&amp;$AA$4&amp;"P"&amp;BR$4))*100</f>
        <v>0</v>
      </c>
      <c r="BS28" s="18">
        <f>MAX(0, $A28-BS$4)*IF(RTD("tos.rtd",,"OPEN_INT","."&amp;$AA$3&amp;$AA$4&amp;"C"&amp;BS$4)="N/A",0,RTD("tos.rtd",,"OPEN_INT","."&amp;$AA$3&amp;$AA$4&amp;"C"&amp;BS$4))*100 + MAX(0, BS$4-$A28)*IF(RTD("tos.rtd",,"OPEN_INT","."&amp;$AA$3&amp;$AA$4&amp;"P"&amp;BS$4)="N/A",0,RTD("tos.rtd",,"OPEN_INT","."&amp;$AA$3&amp;$AA$4&amp;"P"&amp;BS$4))*100</f>
        <v>0</v>
      </c>
      <c r="BT28" s="18">
        <f>MAX(0, $A28-BT$4)*IF(RTD("tos.rtd",,"OPEN_INT","."&amp;$AA$3&amp;$AA$4&amp;"C"&amp;BT$4)="N/A",0,RTD("tos.rtd",,"OPEN_INT","."&amp;$AA$3&amp;$AA$4&amp;"C"&amp;BT$4))*100 + MAX(0, BT$4-$A28)*IF(RTD("tos.rtd",,"OPEN_INT","."&amp;$AA$3&amp;$AA$4&amp;"P"&amp;BT$4)="N/A",0,RTD("tos.rtd",,"OPEN_INT","."&amp;$AA$3&amp;$AA$4&amp;"P"&amp;BT$4))*100</f>
        <v>0</v>
      </c>
      <c r="BU28" s="18">
        <f>MAX(0, $A28-BU$4)*IF(RTD("tos.rtd",,"OPEN_INT","."&amp;$AA$3&amp;$AA$4&amp;"C"&amp;BU$4)="N/A",0,RTD("tos.rtd",,"OPEN_INT","."&amp;$AA$3&amp;$AA$4&amp;"C"&amp;BU$4))*100 + MAX(0, BU$4-$A28)*IF(RTD("tos.rtd",,"OPEN_INT","."&amp;$AA$3&amp;$AA$4&amp;"P"&amp;BU$4)="N/A",0,RTD("tos.rtd",,"OPEN_INT","."&amp;$AA$3&amp;$AA$4&amp;"P"&amp;BU$4))*100</f>
        <v>0</v>
      </c>
      <c r="BV28" s="18">
        <f>MAX(0, $A28-BV$4)*IF(RTD("tos.rtd",,"OPEN_INT","."&amp;$AA$3&amp;$AA$4&amp;"C"&amp;BV$4)="N/A",0,RTD("tos.rtd",,"OPEN_INT","."&amp;$AA$3&amp;$AA$4&amp;"C"&amp;BV$4))*100 + MAX(0, BV$4-$A28)*IF(RTD("tos.rtd",,"OPEN_INT","."&amp;$AA$3&amp;$AA$4&amp;"P"&amp;BV$4)="N/A",0,RTD("tos.rtd",,"OPEN_INT","."&amp;$AA$3&amp;$AA$4&amp;"P"&amp;BV$4))*100</f>
        <v>0</v>
      </c>
    </row>
    <row r="29" spans="1:74" s="19" customFormat="1" ht="11.1" customHeight="1" thickBot="1" x14ac:dyDescent="0.3">
      <c r="A29" s="25">
        <f t="shared" ref="A29:A51" si="11">+A28-$A$1</f>
        <v>9.5</v>
      </c>
      <c r="B29" s="14">
        <f ca="1">IF($A$2="PREMIUM_OI",IFERROR(IF($X$1="ABS",(100*RTD("tos.rtd",,"OPEN_INT","."&amp;B$2&amp;B$1&amp;"C"&amp;$A29)*RTD("tos.rtd",,"LAST","."&amp;B$2&amp;B$1&amp;"C"&amp;$A29)+100*RTD("tos.rtd",,"OPEN_INT","."&amp;B$2&amp;B$1&amp;"P"&amp;$A29)*RTD("tos.rtd",,"LAST","."&amp;B$2&amp;B$1&amp;"P"&amp;$A29))/1000000,(100*RTD("tos.rtd",,"OPEN_INT","."&amp;B$2&amp;B$1&amp;"C"&amp;$A29)*RTD("tos.rtd",,"LAST","."&amp;B$2&amp;B$1&amp;"C"&amp;$A29)-100*RTD("tos.rtd",,"OPEN_INT","."&amp;B$2&amp;B$1&amp;"P"&amp;$A29)*RTD("tos.rtd",,"LAST","."&amp;B$2&amp;B$1&amp;"P"&amp;$A29))/1000000),0),IF($A$2="PREMIUM",IFERROR(IF($X$1="ABS",(100*RTD("tos.rtd",,"VOLUME","."&amp;B$2&amp;B$1&amp;"C"&amp;$A29)*RTD("tos.rtd",,"LAST","."&amp;B$2&amp;B$1&amp;"C"&amp;$A29)+100*RTD("tos.rtd",,"VOLUME","."&amp;B$2&amp;B$1&amp;"P"&amp;$A29)*RTD("tos.rtd",,"LAST","."&amp;B$2&amp;B$1&amp;"P"&amp;$A29))/1000000,(100*RTD("tos.rtd",,"VOLUME","."&amp;B$2&amp;B$1&amp;"C"&amp;$A29)*RTD("tos.rtd",,"LAST","."&amp;B$2&amp;B$1&amp;"C"&amp;$A29)-100*RTD("tos.rtd",,"VOLUME","."&amp;B$2&amp;B$1&amp;"P"&amp;$A29)*RTD("tos.rtd",,"LAST","."&amp;B$2&amp;B$1&amp;"P"&amp;$A29))/1000000),0),IF($A$2="DEX",IFERROR(IF($X$1="ABS",(100*RTD("tos.rtd",,"OPEN_INT","."&amp;B$2&amp;B$1&amp;"C"&amp;$A29)*RTD("tos.rtd",,"DELTA","."&amp;B$2&amp;B$1&amp;"C"&amp;$A29)+100*RTD("tos.rtd",,"OPEN_INT","."&amp;B$2&amp;B$1&amp;"P"&amp;$A29)*RTD("tos.rtd",,"DELTA","."&amp;B$2&amp;B$1&amp;"P"&amp;$A29))/1000,(100*RTD("tos.rtd",,"OPEN_INT","."&amp;B$2&amp;B$1&amp;"C"&amp;$A29)*RTD("tos.rtd",,"DELTA","."&amp;B$2&amp;B$1&amp;"C"&amp;$A29)-100*RTD("tos.rtd",,"OPEN_INT","."&amp;B$2&amp;B$1&amp;"P"&amp;$A29)*RTD("tos.rtd",,"DELTA","."&amp;B$2&amp;B$1&amp;"P"&amp;$A29))/1000),0),IF($A$2="VEX",IFERROR(IF($X$1="ABS",($A$4*$A$4*RTD("tos.rtd",,"VOLUME","."&amp;B$2&amp;B$1&amp;"C"&amp;$A29)*RTD("tos.rtd",,"GAMMA","."&amp;B$2&amp;B$1&amp;"C"&amp;$A29)+$A$4*$A$4*RTD("tos.rtd",,"VOLUME","."&amp;B$2&amp;B$1&amp;"P"&amp;$A29)*RTD("tos.rtd",,"GAMMA","."&amp;B$2&amp;B$1&amp;"P"&amp;$A29))/1000000,($A$4*$A$4*RTD("tos.rtd",,"VOLUME","."&amp;B$2&amp;B$1&amp;"C"&amp;$A29)*RTD("tos.rtd",,"GAMMA","."&amp;B$2&amp;B$1&amp;"C"&amp;$A29)-$A$4*$A$4*RTD("tos.rtd",,"VOLUME","."&amp;B$2&amp;B$1&amp;"P"&amp;$A29)*RTD("tos.rtd",,"GAMMA","."&amp;B$2&amp;B$1&amp;"P"&amp;$A29))/1000000),0),IF($A$2="GEX",IFERROR(IF($X$1="ABS",($A$4*$A$4*RTD("tos.rtd",,"OPEN_INT","."&amp;B$2&amp;B$1&amp;"C"&amp;$A29)*RTD("tos.rtd",,"GAMMA","."&amp;B$2&amp;B$1&amp;"C"&amp;$A29)+$A$4*$A$4*RTD("tos.rtd",,"OPEN_INT","."&amp;B$2&amp;B$1&amp;"P"&amp;$A29)*RTD("tos.rtd",,"GAMMA","."&amp;B$2&amp;B$1&amp;"P"&amp;$A29))/1000000,($A$4*$A$4*RTD("tos.rtd",,"OPEN_INT","."&amp;B$2&amp;B$1&amp;"C"&amp;$A29)*RTD("tos.rtd",,"GAMMA","."&amp;B$2&amp;B$1&amp;"C"&amp;$A29)-$A$4*$A$4*RTD("tos.rtd",,"OPEN_INT","."&amp;B$2&amp;B$1&amp;"P"&amp;$A29)*RTD("tos.rtd",,"GAMMA","."&amp;B$2&amp;B$1&amp;"P"&amp;$A29))/1000000),0),IF($A$2="SKEW",IFERROR(VALUE(IF(RTD("tos.rtd",,"IMPL_VOL","."&amp;B$2&amp;B$1&amp;"P"&amp;$A29)="N/A",0,RTD("tos.rtd",,"IMPL_VOL","."&amp;B$2&amp;B$1&amp;"P"&amp;$A29))),0)-IFERROR(VALUE(IF(RTD("tos.rtd",,"IMPL_VOL","."&amp;B$2&amp;B$1&amp;"C"&amp;$A29)="N/A",0,RTD("tos.rtd",,"IMPL_VOL","."&amp;B$2&amp;B$1&amp;"C"&amp;$A29))),0),IF($A$2="MAXPAIN",IF($A$4&gt;$A29,($A$4-$A29)*IF(RTD("tos.rtd",,"OPEN_INT","."&amp;B$2&amp;B$1&amp;"C"&amp;$A29)="N/A",0,RTD("tos.rtd",,"OPEN_INT","."&amp;B$2&amp;B$1&amp;"C"&amp;$A29)),0)+IF($A$4&lt;$A29,($A$5-$A$4)*IF(RTD("tos.rtd",,"OPEN_INT","."&amp;B$2&amp;B$1&amp;"P"&amp;$A29)="N/A",0,RTD("tos.rtd",,"OPEN_INT","."&amp;B$2&amp;B$1&amp;"P"&amp;$A29)),0),IF($X$1="ABS",IF(RTD("tos.rtd",,$A$2,"."&amp;B$2&amp;B$1&amp;"C"&amp;$A29)="N/A",0,RTD("tos.rtd",,$A$2,"."&amp;B$2&amp;B$1&amp;"C"&amp;$A29))+IF(RTD("tos.rtd",,$A$2,"."&amp;B$2&amp;B$1&amp;"P"&amp;$A29)="N/A",0,RTD("tos.rtd",,$A$2,"."&amp;B$2&amp;B$1&amp;"P"&amp;$A29)),IF(RTD("tos.rtd",,$A$2,"."&amp;B$2&amp;B$1&amp;"C"&amp;$A29)="N/A",0,RTD("tos.rtd",,$A$2,"."&amp;B$2&amp;B$1&amp;"C"&amp;$A29))-IF(RTD("tos.rtd",,$A$2,"."&amp;B$2&amp;B$1&amp;"P"&amp;$A29)="N/A",0,RTD("tos.rtd",,$A$2,"."&amp;B$2&amp;B$1&amp;"P"&amp;$A29))))))))))</f>
        <v>0</v>
      </c>
      <c r="C29" s="12">
        <f ca="1">IF($A$2="PREMIUM_OI",IFERROR(IF($X$1="ABS",(100*RTD("tos.rtd",,"OPEN_INT","."&amp;C$2&amp;C$1&amp;"C"&amp;$A29)*RTD("tos.rtd",,"LAST","."&amp;C$2&amp;C$1&amp;"C"&amp;$A29)+100*RTD("tos.rtd",,"OPEN_INT","."&amp;C$2&amp;C$1&amp;"P"&amp;$A29)*RTD("tos.rtd",,"LAST","."&amp;C$2&amp;C$1&amp;"P"&amp;$A29))/1000000,(100*RTD("tos.rtd",,"OPEN_INT","."&amp;C$2&amp;C$1&amp;"C"&amp;$A29)*RTD("tos.rtd",,"LAST","."&amp;C$2&amp;C$1&amp;"C"&amp;$A29)-100*RTD("tos.rtd",,"OPEN_INT","."&amp;C$2&amp;C$1&amp;"P"&amp;$A29)*RTD("tos.rtd",,"LAST","."&amp;C$2&amp;C$1&amp;"P"&amp;$A29))/1000000),0),IF($A$2="PREMIUM",IFERROR(IF($X$1="ABS",(100*RTD("tos.rtd",,"VOLUME","."&amp;C$2&amp;C$1&amp;"C"&amp;$A29)*RTD("tos.rtd",,"LAST","."&amp;C$2&amp;C$1&amp;"C"&amp;$A29)+100*RTD("tos.rtd",,"VOLUME","."&amp;C$2&amp;C$1&amp;"P"&amp;$A29)*RTD("tos.rtd",,"LAST","."&amp;C$2&amp;C$1&amp;"P"&amp;$A29))/1000000,(100*RTD("tos.rtd",,"VOLUME","."&amp;C$2&amp;C$1&amp;"C"&amp;$A29)*RTD("tos.rtd",,"LAST","."&amp;C$2&amp;C$1&amp;"C"&amp;$A29)-100*RTD("tos.rtd",,"VOLUME","."&amp;C$2&amp;C$1&amp;"P"&amp;$A29)*RTD("tos.rtd",,"LAST","."&amp;C$2&amp;C$1&amp;"P"&amp;$A29))/1000000),0),IF($A$2="DEX",IFERROR(IF($X$1="ABS",(100*RTD("tos.rtd",,"OPEN_INT","."&amp;C$2&amp;C$1&amp;"C"&amp;$A29)*RTD("tos.rtd",,"DELTA","."&amp;C$2&amp;C$1&amp;"C"&amp;$A29)+100*RTD("tos.rtd",,"OPEN_INT","."&amp;C$2&amp;C$1&amp;"P"&amp;$A29)*RTD("tos.rtd",,"DELTA","."&amp;C$2&amp;C$1&amp;"P"&amp;$A29))/1000,(100*RTD("tos.rtd",,"OPEN_INT","."&amp;C$2&amp;C$1&amp;"C"&amp;$A29)*RTD("tos.rtd",,"DELTA","."&amp;C$2&amp;C$1&amp;"C"&amp;$A29)-100*RTD("tos.rtd",,"OPEN_INT","."&amp;C$2&amp;C$1&amp;"P"&amp;$A29)*RTD("tos.rtd",,"DELTA","."&amp;C$2&amp;C$1&amp;"P"&amp;$A29))/1000),0),IF($A$2="VEX",IFERROR(IF($X$1="ABS",($A$4*$A$4*RTD("tos.rtd",,"VOLUME","."&amp;C$2&amp;C$1&amp;"C"&amp;$A29)*RTD("tos.rtd",,"GAMMA","."&amp;C$2&amp;C$1&amp;"C"&amp;$A29)+$A$4*$A$4*RTD("tos.rtd",,"VOLUME","."&amp;C$2&amp;C$1&amp;"P"&amp;$A29)*RTD("tos.rtd",,"GAMMA","."&amp;C$2&amp;C$1&amp;"P"&amp;$A29))/1000000,($A$4*$A$4*RTD("tos.rtd",,"VOLUME","."&amp;C$2&amp;C$1&amp;"C"&amp;$A29)*RTD("tos.rtd",,"GAMMA","."&amp;C$2&amp;C$1&amp;"C"&amp;$A29)-$A$4*$A$4*RTD("tos.rtd",,"VOLUME","."&amp;C$2&amp;C$1&amp;"P"&amp;$A29)*RTD("tos.rtd",,"GAMMA","."&amp;C$2&amp;C$1&amp;"P"&amp;$A29))/1000000),0),IF($A$2="GEX",IFERROR(IF($X$1="ABS",($A$4*$A$4*RTD("tos.rtd",,"OPEN_INT","."&amp;C$2&amp;C$1&amp;"C"&amp;$A29)*RTD("tos.rtd",,"GAMMA","."&amp;C$2&amp;C$1&amp;"C"&amp;$A29)+$A$4*$A$4*RTD("tos.rtd",,"OPEN_INT","."&amp;C$2&amp;C$1&amp;"P"&amp;$A29)*RTD("tos.rtd",,"GAMMA","."&amp;C$2&amp;C$1&amp;"P"&amp;$A29))/1000000,($A$4*$A$4*RTD("tos.rtd",,"OPEN_INT","."&amp;C$2&amp;C$1&amp;"C"&amp;$A29)*RTD("tos.rtd",,"GAMMA","."&amp;C$2&amp;C$1&amp;"C"&amp;$A29)-$A$4*$A$4*RTD("tos.rtd",,"OPEN_INT","."&amp;C$2&amp;C$1&amp;"P"&amp;$A29)*RTD("tos.rtd",,"GAMMA","."&amp;C$2&amp;C$1&amp;"P"&amp;$A29))/1000000),0),IF($A$2="SKEW",IFERROR(VALUE(IF(RTD("tos.rtd",,"IMPL_VOL","."&amp;C$2&amp;C$1&amp;"P"&amp;$A29)="N/A",0,RTD("tos.rtd",,"IMPL_VOL","."&amp;C$2&amp;C$1&amp;"P"&amp;$A29))),0)-IFERROR(VALUE(IF(RTD("tos.rtd",,"IMPL_VOL","."&amp;C$2&amp;C$1&amp;"C"&amp;$A29)="N/A",0,RTD("tos.rtd",,"IMPL_VOL","."&amp;C$2&amp;C$1&amp;"C"&amp;$A29))),0),IF($A$2="MAXPAIN",IF($A$4&gt;$A29,($A$4-$A29)*IF(RTD("tos.rtd",,"OPEN_INT","."&amp;C$2&amp;C$1&amp;"C"&amp;$A29)="N/A",0,RTD("tos.rtd",,"OPEN_INT","."&amp;C$2&amp;C$1&amp;"C"&amp;$A29)),0)+IF($A$4&lt;$A29,($A$5-$A$4)*IF(RTD("tos.rtd",,"OPEN_INT","."&amp;C$2&amp;C$1&amp;"P"&amp;$A29)="N/A",0,RTD("tos.rtd",,"OPEN_INT","."&amp;C$2&amp;C$1&amp;"P"&amp;$A29)),0),IF($X$1="ABS",IF(RTD("tos.rtd",,$A$2,"."&amp;C$2&amp;C$1&amp;"C"&amp;$A29)="N/A",0,RTD("tos.rtd",,$A$2,"."&amp;C$2&amp;C$1&amp;"C"&amp;$A29))+IF(RTD("tos.rtd",,$A$2,"."&amp;C$2&amp;C$1&amp;"P"&amp;$A29)="N/A",0,RTD("tos.rtd",,$A$2,"."&amp;C$2&amp;C$1&amp;"P"&amp;$A29)),IF(RTD("tos.rtd",,$A$2,"."&amp;C$2&amp;C$1&amp;"C"&amp;$A29)="N/A",0,RTD("tos.rtd",,$A$2,"."&amp;C$2&amp;C$1&amp;"C"&amp;$A29))-IF(RTD("tos.rtd",,$A$2,"."&amp;C$2&amp;C$1&amp;"P"&amp;$A29)="N/A",0,RTD("tos.rtd",,$A$2,"."&amp;C$2&amp;C$1&amp;"P"&amp;$A29))))))))))</f>
        <v>9282</v>
      </c>
      <c r="D29" s="12">
        <f ca="1">IF($A$2="PREMIUM_OI",IFERROR(IF($X$1="ABS",(100*RTD("tos.rtd",,"OPEN_INT","."&amp;D$2&amp;D$1&amp;"C"&amp;$A29)*RTD("tos.rtd",,"LAST","."&amp;D$2&amp;D$1&amp;"C"&amp;$A29)+100*RTD("tos.rtd",,"OPEN_INT","."&amp;D$2&amp;D$1&amp;"P"&amp;$A29)*RTD("tos.rtd",,"LAST","."&amp;D$2&amp;D$1&amp;"P"&amp;$A29))/1000000,(100*RTD("tos.rtd",,"OPEN_INT","."&amp;D$2&amp;D$1&amp;"C"&amp;$A29)*RTD("tos.rtd",,"LAST","."&amp;D$2&amp;D$1&amp;"C"&amp;$A29)-100*RTD("tos.rtd",,"OPEN_INT","."&amp;D$2&amp;D$1&amp;"P"&amp;$A29)*RTD("tos.rtd",,"LAST","."&amp;D$2&amp;D$1&amp;"P"&amp;$A29))/1000000),0),IF($A$2="PREMIUM",IFERROR(IF($X$1="ABS",(100*RTD("tos.rtd",,"VOLUME","."&amp;D$2&amp;D$1&amp;"C"&amp;$A29)*RTD("tos.rtd",,"LAST","."&amp;D$2&amp;D$1&amp;"C"&amp;$A29)+100*RTD("tos.rtd",,"VOLUME","."&amp;D$2&amp;D$1&amp;"P"&amp;$A29)*RTD("tos.rtd",,"LAST","."&amp;D$2&amp;D$1&amp;"P"&amp;$A29))/1000000,(100*RTD("tos.rtd",,"VOLUME","."&amp;D$2&amp;D$1&amp;"C"&amp;$A29)*RTD("tos.rtd",,"LAST","."&amp;D$2&amp;D$1&amp;"C"&amp;$A29)-100*RTD("tos.rtd",,"VOLUME","."&amp;D$2&amp;D$1&amp;"P"&amp;$A29)*RTD("tos.rtd",,"LAST","."&amp;D$2&amp;D$1&amp;"P"&amp;$A29))/1000000),0),IF($A$2="DEX",IFERROR(IF($X$1="ABS",(100*RTD("tos.rtd",,"OPEN_INT","."&amp;D$2&amp;D$1&amp;"C"&amp;$A29)*RTD("tos.rtd",,"DELTA","."&amp;D$2&amp;D$1&amp;"C"&amp;$A29)+100*RTD("tos.rtd",,"OPEN_INT","."&amp;D$2&amp;D$1&amp;"P"&amp;$A29)*RTD("tos.rtd",,"DELTA","."&amp;D$2&amp;D$1&amp;"P"&amp;$A29))/1000,(100*RTD("tos.rtd",,"OPEN_INT","."&amp;D$2&amp;D$1&amp;"C"&amp;$A29)*RTD("tos.rtd",,"DELTA","."&amp;D$2&amp;D$1&amp;"C"&amp;$A29)-100*RTD("tos.rtd",,"OPEN_INT","."&amp;D$2&amp;D$1&amp;"P"&amp;$A29)*RTD("tos.rtd",,"DELTA","."&amp;D$2&amp;D$1&amp;"P"&amp;$A29))/1000),0),IF($A$2="VEX",IFERROR(IF($X$1="ABS",($A$4*$A$4*RTD("tos.rtd",,"VOLUME","."&amp;D$2&amp;D$1&amp;"C"&amp;$A29)*RTD("tos.rtd",,"GAMMA","."&amp;D$2&amp;D$1&amp;"C"&amp;$A29)+$A$4*$A$4*RTD("tos.rtd",,"VOLUME","."&amp;D$2&amp;D$1&amp;"P"&amp;$A29)*RTD("tos.rtd",,"GAMMA","."&amp;D$2&amp;D$1&amp;"P"&amp;$A29))/1000000,($A$4*$A$4*RTD("tos.rtd",,"VOLUME","."&amp;D$2&amp;D$1&amp;"C"&amp;$A29)*RTD("tos.rtd",,"GAMMA","."&amp;D$2&amp;D$1&amp;"C"&amp;$A29)-$A$4*$A$4*RTD("tos.rtd",,"VOLUME","."&amp;D$2&amp;D$1&amp;"P"&amp;$A29)*RTD("tos.rtd",,"GAMMA","."&amp;D$2&amp;D$1&amp;"P"&amp;$A29))/1000000),0),IF($A$2="GEX",IFERROR(IF($X$1="ABS",($A$4*$A$4*RTD("tos.rtd",,"OPEN_INT","."&amp;D$2&amp;D$1&amp;"C"&amp;$A29)*RTD("tos.rtd",,"GAMMA","."&amp;D$2&amp;D$1&amp;"C"&amp;$A29)+$A$4*$A$4*RTD("tos.rtd",,"OPEN_INT","."&amp;D$2&amp;D$1&amp;"P"&amp;$A29)*RTD("tos.rtd",,"GAMMA","."&amp;D$2&amp;D$1&amp;"P"&amp;$A29))/1000000,($A$4*$A$4*RTD("tos.rtd",,"OPEN_INT","."&amp;D$2&amp;D$1&amp;"C"&amp;$A29)*RTD("tos.rtd",,"GAMMA","."&amp;D$2&amp;D$1&amp;"C"&amp;$A29)-$A$4*$A$4*RTD("tos.rtd",,"OPEN_INT","."&amp;D$2&amp;D$1&amp;"P"&amp;$A29)*RTD("tos.rtd",,"GAMMA","."&amp;D$2&amp;D$1&amp;"P"&amp;$A29))/1000000),0),IF($A$2="SKEW",IFERROR(VALUE(IF(RTD("tos.rtd",,"IMPL_VOL","."&amp;D$2&amp;D$1&amp;"P"&amp;$A29)="N/A",0,RTD("tos.rtd",,"IMPL_VOL","."&amp;D$2&amp;D$1&amp;"P"&amp;$A29))),0)-IFERROR(VALUE(IF(RTD("tos.rtd",,"IMPL_VOL","."&amp;D$2&amp;D$1&amp;"C"&amp;$A29)="N/A",0,RTD("tos.rtd",,"IMPL_VOL","."&amp;D$2&amp;D$1&amp;"C"&amp;$A29))),0),IF($A$2="MAXPAIN",IF($A$4&gt;$A29,($A$4-$A29)*IF(RTD("tos.rtd",,"OPEN_INT","."&amp;D$2&amp;D$1&amp;"C"&amp;$A29)="N/A",0,RTD("tos.rtd",,"OPEN_INT","."&amp;D$2&amp;D$1&amp;"C"&amp;$A29)),0)+IF($A$4&lt;$A29,($A$5-$A$4)*IF(RTD("tos.rtd",,"OPEN_INT","."&amp;D$2&amp;D$1&amp;"P"&amp;$A29)="N/A",0,RTD("tos.rtd",,"OPEN_INT","."&amp;D$2&amp;D$1&amp;"P"&amp;$A29)),0),IF($X$1="ABS",IF(RTD("tos.rtd",,$A$2,"."&amp;D$2&amp;D$1&amp;"C"&amp;$A29)="N/A",0,RTD("tos.rtd",,$A$2,"."&amp;D$2&amp;D$1&amp;"C"&amp;$A29))+IF(RTD("tos.rtd",,$A$2,"."&amp;D$2&amp;D$1&amp;"P"&amp;$A29)="N/A",0,RTD("tos.rtd",,$A$2,"."&amp;D$2&amp;D$1&amp;"P"&amp;$A29)),IF(RTD("tos.rtd",,$A$2,"."&amp;D$2&amp;D$1&amp;"C"&amp;$A29)="N/A",0,RTD("tos.rtd",,$A$2,"."&amp;D$2&amp;D$1&amp;"C"&amp;$A29))-IF(RTD("tos.rtd",,$A$2,"."&amp;D$2&amp;D$1&amp;"P"&amp;$A29)="N/A",0,RTD("tos.rtd",,$A$2,"."&amp;D$2&amp;D$1&amp;"P"&amp;$A29))))))))))</f>
        <v>5363</v>
      </c>
      <c r="E29" s="12">
        <f ca="1">IF($A$2="PREMIUM_OI",IFERROR(IF($X$1="ABS",(100*RTD("tos.rtd",,"OPEN_INT","."&amp;E$2&amp;E$1&amp;"C"&amp;$A29)*RTD("tos.rtd",,"LAST","."&amp;E$2&amp;E$1&amp;"C"&amp;$A29)+100*RTD("tos.rtd",,"OPEN_INT","."&amp;E$2&amp;E$1&amp;"P"&amp;$A29)*RTD("tos.rtd",,"LAST","."&amp;E$2&amp;E$1&amp;"P"&amp;$A29))/1000000,(100*RTD("tos.rtd",,"OPEN_INT","."&amp;E$2&amp;E$1&amp;"C"&amp;$A29)*RTD("tos.rtd",,"LAST","."&amp;E$2&amp;E$1&amp;"C"&amp;$A29)-100*RTD("tos.rtd",,"OPEN_INT","."&amp;E$2&amp;E$1&amp;"P"&amp;$A29)*RTD("tos.rtd",,"LAST","."&amp;E$2&amp;E$1&amp;"P"&amp;$A29))/1000000),0),IF($A$2="PREMIUM",IFERROR(IF($X$1="ABS",(100*RTD("tos.rtd",,"VOLUME","."&amp;E$2&amp;E$1&amp;"C"&amp;$A29)*RTD("tos.rtd",,"LAST","."&amp;E$2&amp;E$1&amp;"C"&amp;$A29)+100*RTD("tos.rtd",,"VOLUME","."&amp;E$2&amp;E$1&amp;"P"&amp;$A29)*RTD("tos.rtd",,"LAST","."&amp;E$2&amp;E$1&amp;"P"&amp;$A29))/1000000,(100*RTD("tos.rtd",,"VOLUME","."&amp;E$2&amp;E$1&amp;"C"&amp;$A29)*RTD("tos.rtd",,"LAST","."&amp;E$2&amp;E$1&amp;"C"&amp;$A29)-100*RTD("tos.rtd",,"VOLUME","."&amp;E$2&amp;E$1&amp;"P"&amp;$A29)*RTD("tos.rtd",,"LAST","."&amp;E$2&amp;E$1&amp;"P"&amp;$A29))/1000000),0),IF($A$2="DEX",IFERROR(IF($X$1="ABS",(100*RTD("tos.rtd",,"OPEN_INT","."&amp;E$2&amp;E$1&amp;"C"&amp;$A29)*RTD("tos.rtd",,"DELTA","."&amp;E$2&amp;E$1&amp;"C"&amp;$A29)+100*RTD("tos.rtd",,"OPEN_INT","."&amp;E$2&amp;E$1&amp;"P"&amp;$A29)*RTD("tos.rtd",,"DELTA","."&amp;E$2&amp;E$1&amp;"P"&amp;$A29))/1000,(100*RTD("tos.rtd",,"OPEN_INT","."&amp;E$2&amp;E$1&amp;"C"&amp;$A29)*RTD("tos.rtd",,"DELTA","."&amp;E$2&amp;E$1&amp;"C"&amp;$A29)-100*RTD("tos.rtd",,"OPEN_INT","."&amp;E$2&amp;E$1&amp;"P"&amp;$A29)*RTD("tos.rtd",,"DELTA","."&amp;E$2&amp;E$1&amp;"P"&amp;$A29))/1000),0),IF($A$2="VEX",IFERROR(IF($X$1="ABS",($A$4*$A$4*RTD("tos.rtd",,"VOLUME","."&amp;E$2&amp;E$1&amp;"C"&amp;$A29)*RTD("tos.rtd",,"GAMMA","."&amp;E$2&amp;E$1&amp;"C"&amp;$A29)+$A$4*$A$4*RTD("tos.rtd",,"VOLUME","."&amp;E$2&amp;E$1&amp;"P"&amp;$A29)*RTD("tos.rtd",,"GAMMA","."&amp;E$2&amp;E$1&amp;"P"&amp;$A29))/1000000,($A$4*$A$4*RTD("tos.rtd",,"VOLUME","."&amp;E$2&amp;E$1&amp;"C"&amp;$A29)*RTD("tos.rtd",,"GAMMA","."&amp;E$2&amp;E$1&amp;"C"&amp;$A29)-$A$4*$A$4*RTD("tos.rtd",,"VOLUME","."&amp;E$2&amp;E$1&amp;"P"&amp;$A29)*RTD("tos.rtd",,"GAMMA","."&amp;E$2&amp;E$1&amp;"P"&amp;$A29))/1000000),0),IF($A$2="GEX",IFERROR(IF($X$1="ABS",($A$4*$A$4*RTD("tos.rtd",,"OPEN_INT","."&amp;E$2&amp;E$1&amp;"C"&amp;$A29)*RTD("tos.rtd",,"GAMMA","."&amp;E$2&amp;E$1&amp;"C"&amp;$A29)+$A$4*$A$4*RTD("tos.rtd",,"OPEN_INT","."&amp;E$2&amp;E$1&amp;"P"&amp;$A29)*RTD("tos.rtd",,"GAMMA","."&amp;E$2&amp;E$1&amp;"P"&amp;$A29))/1000000,($A$4*$A$4*RTD("tos.rtd",,"OPEN_INT","."&amp;E$2&amp;E$1&amp;"C"&amp;$A29)*RTD("tos.rtd",,"GAMMA","."&amp;E$2&amp;E$1&amp;"C"&amp;$A29)-$A$4*$A$4*RTD("tos.rtd",,"OPEN_INT","."&amp;E$2&amp;E$1&amp;"P"&amp;$A29)*RTD("tos.rtd",,"GAMMA","."&amp;E$2&amp;E$1&amp;"P"&amp;$A29))/1000000),0),IF($A$2="SKEW",IFERROR(VALUE(IF(RTD("tos.rtd",,"IMPL_VOL","."&amp;E$2&amp;E$1&amp;"P"&amp;$A29)="N/A",0,RTD("tos.rtd",,"IMPL_VOL","."&amp;E$2&amp;E$1&amp;"P"&amp;$A29))),0)-IFERROR(VALUE(IF(RTD("tos.rtd",,"IMPL_VOL","."&amp;E$2&amp;E$1&amp;"C"&amp;$A29)="N/A",0,RTD("tos.rtd",,"IMPL_VOL","."&amp;E$2&amp;E$1&amp;"C"&amp;$A29))),0),IF($A$2="MAXPAIN",IF($A$4&gt;$A29,($A$4-$A29)*IF(RTD("tos.rtd",,"OPEN_INT","."&amp;E$2&amp;E$1&amp;"C"&amp;$A29)="N/A",0,RTD("tos.rtd",,"OPEN_INT","."&amp;E$2&amp;E$1&amp;"C"&amp;$A29)),0)+IF($A$4&lt;$A29,($A$5-$A$4)*IF(RTD("tos.rtd",,"OPEN_INT","."&amp;E$2&amp;E$1&amp;"P"&amp;$A29)="N/A",0,RTD("tos.rtd",,"OPEN_INT","."&amp;E$2&amp;E$1&amp;"P"&amp;$A29)),0),IF($X$1="ABS",IF(RTD("tos.rtd",,$A$2,"."&amp;E$2&amp;E$1&amp;"C"&amp;$A29)="N/A",0,RTD("tos.rtd",,$A$2,"."&amp;E$2&amp;E$1&amp;"C"&amp;$A29))+IF(RTD("tos.rtd",,$A$2,"."&amp;E$2&amp;E$1&amp;"P"&amp;$A29)="N/A",0,RTD("tos.rtd",,$A$2,"."&amp;E$2&amp;E$1&amp;"P"&amp;$A29)),IF(RTD("tos.rtd",,$A$2,"."&amp;E$2&amp;E$1&amp;"C"&amp;$A29)="N/A",0,RTD("tos.rtd",,$A$2,"."&amp;E$2&amp;E$1&amp;"C"&amp;$A29))-IF(RTD("tos.rtd",,$A$2,"."&amp;E$2&amp;E$1&amp;"P"&amp;$A29)="N/A",0,RTD("tos.rtd",,$A$2,"."&amp;E$2&amp;E$1&amp;"P"&amp;$A29))))))))))</f>
        <v>4056</v>
      </c>
      <c r="F29" s="12">
        <f ca="1">IF($A$2="PREMIUM_OI",IFERROR(IF($X$1="ABS",(100*RTD("tos.rtd",,"OPEN_INT","."&amp;F$2&amp;F$1&amp;"C"&amp;$A29)*RTD("tos.rtd",,"LAST","."&amp;F$2&amp;F$1&amp;"C"&amp;$A29)+100*RTD("tos.rtd",,"OPEN_INT","."&amp;F$2&amp;F$1&amp;"P"&amp;$A29)*RTD("tos.rtd",,"LAST","."&amp;F$2&amp;F$1&amp;"P"&amp;$A29))/1000000,(100*RTD("tos.rtd",,"OPEN_INT","."&amp;F$2&amp;F$1&amp;"C"&amp;$A29)*RTD("tos.rtd",,"LAST","."&amp;F$2&amp;F$1&amp;"C"&amp;$A29)-100*RTD("tos.rtd",,"OPEN_INT","."&amp;F$2&amp;F$1&amp;"P"&amp;$A29)*RTD("tos.rtd",,"LAST","."&amp;F$2&amp;F$1&amp;"P"&amp;$A29))/1000000),0),IF($A$2="PREMIUM",IFERROR(IF($X$1="ABS",(100*RTD("tos.rtd",,"VOLUME","."&amp;F$2&amp;F$1&amp;"C"&amp;$A29)*RTD("tos.rtd",,"LAST","."&amp;F$2&amp;F$1&amp;"C"&amp;$A29)+100*RTD("tos.rtd",,"VOLUME","."&amp;F$2&amp;F$1&amp;"P"&amp;$A29)*RTD("tos.rtd",,"LAST","."&amp;F$2&amp;F$1&amp;"P"&amp;$A29))/1000000,(100*RTD("tos.rtd",,"VOLUME","."&amp;F$2&amp;F$1&amp;"C"&amp;$A29)*RTD("tos.rtd",,"LAST","."&amp;F$2&amp;F$1&amp;"C"&amp;$A29)-100*RTD("tos.rtd",,"VOLUME","."&amp;F$2&amp;F$1&amp;"P"&amp;$A29)*RTD("tos.rtd",,"LAST","."&amp;F$2&amp;F$1&amp;"P"&amp;$A29))/1000000),0),IF($A$2="DEX",IFERROR(IF($X$1="ABS",(100*RTD("tos.rtd",,"OPEN_INT","."&amp;F$2&amp;F$1&amp;"C"&amp;$A29)*RTD("tos.rtd",,"DELTA","."&amp;F$2&amp;F$1&amp;"C"&amp;$A29)+100*RTD("tos.rtd",,"OPEN_INT","."&amp;F$2&amp;F$1&amp;"P"&amp;$A29)*RTD("tos.rtd",,"DELTA","."&amp;F$2&amp;F$1&amp;"P"&amp;$A29))/1000,(100*RTD("tos.rtd",,"OPEN_INT","."&amp;F$2&amp;F$1&amp;"C"&amp;$A29)*RTD("tos.rtd",,"DELTA","."&amp;F$2&amp;F$1&amp;"C"&amp;$A29)-100*RTD("tos.rtd",,"OPEN_INT","."&amp;F$2&amp;F$1&amp;"P"&amp;$A29)*RTD("tos.rtd",,"DELTA","."&amp;F$2&amp;F$1&amp;"P"&amp;$A29))/1000),0),IF($A$2="VEX",IFERROR(IF($X$1="ABS",($A$4*$A$4*RTD("tos.rtd",,"VOLUME","."&amp;F$2&amp;F$1&amp;"C"&amp;$A29)*RTD("tos.rtd",,"GAMMA","."&amp;F$2&amp;F$1&amp;"C"&amp;$A29)+$A$4*$A$4*RTD("tos.rtd",,"VOLUME","."&amp;F$2&amp;F$1&amp;"P"&amp;$A29)*RTD("tos.rtd",,"GAMMA","."&amp;F$2&amp;F$1&amp;"P"&amp;$A29))/1000000,($A$4*$A$4*RTD("tos.rtd",,"VOLUME","."&amp;F$2&amp;F$1&amp;"C"&amp;$A29)*RTD("tos.rtd",,"GAMMA","."&amp;F$2&amp;F$1&amp;"C"&amp;$A29)-$A$4*$A$4*RTD("tos.rtd",,"VOLUME","."&amp;F$2&amp;F$1&amp;"P"&amp;$A29)*RTD("tos.rtd",,"GAMMA","."&amp;F$2&amp;F$1&amp;"P"&amp;$A29))/1000000),0),IF($A$2="GEX",IFERROR(IF($X$1="ABS",($A$4*$A$4*RTD("tos.rtd",,"OPEN_INT","."&amp;F$2&amp;F$1&amp;"C"&amp;$A29)*RTD("tos.rtd",,"GAMMA","."&amp;F$2&amp;F$1&amp;"C"&amp;$A29)+$A$4*$A$4*RTD("tos.rtd",,"OPEN_INT","."&amp;F$2&amp;F$1&amp;"P"&amp;$A29)*RTD("tos.rtd",,"GAMMA","."&amp;F$2&amp;F$1&amp;"P"&amp;$A29))/1000000,($A$4*$A$4*RTD("tos.rtd",,"OPEN_INT","."&amp;F$2&amp;F$1&amp;"C"&amp;$A29)*RTD("tos.rtd",,"GAMMA","."&amp;F$2&amp;F$1&amp;"C"&amp;$A29)-$A$4*$A$4*RTD("tos.rtd",,"OPEN_INT","."&amp;F$2&amp;F$1&amp;"P"&amp;$A29)*RTD("tos.rtd",,"GAMMA","."&amp;F$2&amp;F$1&amp;"P"&amp;$A29))/1000000),0),IF($A$2="SKEW",IFERROR(VALUE(IF(RTD("tos.rtd",,"IMPL_VOL","."&amp;F$2&amp;F$1&amp;"P"&amp;$A29)="N/A",0,RTD("tos.rtd",,"IMPL_VOL","."&amp;F$2&amp;F$1&amp;"P"&amp;$A29))),0)-IFERROR(VALUE(IF(RTD("tos.rtd",,"IMPL_VOL","."&amp;F$2&amp;F$1&amp;"C"&amp;$A29)="N/A",0,RTD("tos.rtd",,"IMPL_VOL","."&amp;F$2&amp;F$1&amp;"C"&amp;$A29))),0),IF($A$2="MAXPAIN",IF($A$4&gt;$A29,($A$4-$A29)*IF(RTD("tos.rtd",,"OPEN_INT","."&amp;F$2&amp;F$1&amp;"C"&amp;$A29)="N/A",0,RTD("tos.rtd",,"OPEN_INT","."&amp;F$2&amp;F$1&amp;"C"&amp;$A29)),0)+IF($A$4&lt;$A29,($A$5-$A$4)*IF(RTD("tos.rtd",,"OPEN_INT","."&amp;F$2&amp;F$1&amp;"P"&amp;$A29)="N/A",0,RTD("tos.rtd",,"OPEN_INT","."&amp;F$2&amp;F$1&amp;"P"&amp;$A29)),0),IF($X$1="ABS",IF(RTD("tos.rtd",,$A$2,"."&amp;F$2&amp;F$1&amp;"C"&amp;$A29)="N/A",0,RTD("tos.rtd",,$A$2,"."&amp;F$2&amp;F$1&amp;"C"&amp;$A29))+IF(RTD("tos.rtd",,$A$2,"."&amp;F$2&amp;F$1&amp;"P"&amp;$A29)="N/A",0,RTD("tos.rtd",,$A$2,"."&amp;F$2&amp;F$1&amp;"P"&amp;$A29)),IF(RTD("tos.rtd",,$A$2,"."&amp;F$2&amp;F$1&amp;"C"&amp;$A29)="N/A",0,RTD("tos.rtd",,$A$2,"."&amp;F$2&amp;F$1&amp;"C"&amp;$A29))-IF(RTD("tos.rtd",,$A$2,"."&amp;F$2&amp;F$1&amp;"P"&amp;$A29)="N/A",0,RTD("tos.rtd",,$A$2,"."&amp;F$2&amp;F$1&amp;"P"&amp;$A29))))))))))</f>
        <v>1450</v>
      </c>
      <c r="G29" s="57">
        <f ca="1">IF($A$2="PREMIUM_OI",IFERROR(IF($X$1="ABS",(100*RTD("tos.rtd",,"OPEN_INT","."&amp;G$2&amp;G$1&amp;"C"&amp;$A29)*RTD("tos.rtd",,"LAST","."&amp;G$2&amp;G$1&amp;"C"&amp;$A29)+100*RTD("tos.rtd",,"OPEN_INT","."&amp;G$2&amp;G$1&amp;"P"&amp;$A29)*RTD("tos.rtd",,"LAST","."&amp;G$2&amp;G$1&amp;"P"&amp;$A29))/1000000,(100*RTD("tos.rtd",,"OPEN_INT","."&amp;G$2&amp;G$1&amp;"C"&amp;$A29)*RTD("tos.rtd",,"LAST","."&amp;G$2&amp;G$1&amp;"C"&amp;$A29)-100*RTD("tos.rtd",,"OPEN_INT","."&amp;G$2&amp;G$1&amp;"P"&amp;$A29)*RTD("tos.rtd",,"LAST","."&amp;G$2&amp;G$1&amp;"P"&amp;$A29))/1000000),0),IF($A$2="PREMIUM",IFERROR(IF($X$1="ABS",(100*RTD("tos.rtd",,"VOLUME","."&amp;G$2&amp;G$1&amp;"C"&amp;$A29)*RTD("tos.rtd",,"LAST","."&amp;G$2&amp;G$1&amp;"C"&amp;$A29)+100*RTD("tos.rtd",,"VOLUME","."&amp;G$2&amp;G$1&amp;"P"&amp;$A29)*RTD("tos.rtd",,"LAST","."&amp;G$2&amp;G$1&amp;"P"&amp;$A29))/1000000,(100*RTD("tos.rtd",,"VOLUME","."&amp;G$2&amp;G$1&amp;"C"&amp;$A29)*RTD("tos.rtd",,"LAST","."&amp;G$2&amp;G$1&amp;"C"&amp;$A29)-100*RTD("tos.rtd",,"VOLUME","."&amp;G$2&amp;G$1&amp;"P"&amp;$A29)*RTD("tos.rtd",,"LAST","."&amp;G$2&amp;G$1&amp;"P"&amp;$A29))/1000000),0),IF($A$2="DEX",IFERROR(IF($X$1="ABS",(100*RTD("tos.rtd",,"OPEN_INT","."&amp;G$2&amp;G$1&amp;"C"&amp;$A29)*RTD("tos.rtd",,"DELTA","."&amp;G$2&amp;G$1&amp;"C"&amp;$A29)+100*RTD("tos.rtd",,"OPEN_INT","."&amp;G$2&amp;G$1&amp;"P"&amp;$A29)*RTD("tos.rtd",,"DELTA","."&amp;G$2&amp;G$1&amp;"P"&amp;$A29))/1000,(100*RTD("tos.rtd",,"OPEN_INT","."&amp;G$2&amp;G$1&amp;"C"&amp;$A29)*RTD("tos.rtd",,"DELTA","."&amp;G$2&amp;G$1&amp;"C"&amp;$A29)-100*RTD("tos.rtd",,"OPEN_INT","."&amp;G$2&amp;G$1&amp;"P"&amp;$A29)*RTD("tos.rtd",,"DELTA","."&amp;G$2&amp;G$1&amp;"P"&amp;$A29))/1000),0),IF($A$2="VEX",IFERROR(IF($X$1="ABS",($A$4*$A$4*RTD("tos.rtd",,"VOLUME","."&amp;G$2&amp;G$1&amp;"C"&amp;$A29)*RTD("tos.rtd",,"GAMMA","."&amp;G$2&amp;G$1&amp;"C"&amp;$A29)+$A$4*$A$4*RTD("tos.rtd",,"VOLUME","."&amp;G$2&amp;G$1&amp;"P"&amp;$A29)*RTD("tos.rtd",,"GAMMA","."&amp;G$2&amp;G$1&amp;"P"&amp;$A29))/1000000,($A$4*$A$4*RTD("tos.rtd",,"VOLUME","."&amp;G$2&amp;G$1&amp;"C"&amp;$A29)*RTD("tos.rtd",,"GAMMA","."&amp;G$2&amp;G$1&amp;"C"&amp;$A29)-$A$4*$A$4*RTD("tos.rtd",,"VOLUME","."&amp;G$2&amp;G$1&amp;"P"&amp;$A29)*RTD("tos.rtd",,"GAMMA","."&amp;G$2&amp;G$1&amp;"P"&amp;$A29))/1000000),0),IF($A$2="GEX",IFERROR(IF($X$1="ABS",($A$4*$A$4*RTD("tos.rtd",,"OPEN_INT","."&amp;G$2&amp;G$1&amp;"C"&amp;$A29)*RTD("tos.rtd",,"GAMMA","."&amp;G$2&amp;G$1&amp;"C"&amp;$A29)+$A$4*$A$4*RTD("tos.rtd",,"OPEN_INT","."&amp;G$2&amp;G$1&amp;"P"&amp;$A29)*RTD("tos.rtd",,"GAMMA","."&amp;G$2&amp;G$1&amp;"P"&amp;$A29))/1000000,($A$4*$A$4*RTD("tos.rtd",,"OPEN_INT","."&amp;G$2&amp;G$1&amp;"C"&amp;$A29)*RTD("tos.rtd",,"GAMMA","."&amp;G$2&amp;G$1&amp;"C"&amp;$A29)-$A$4*$A$4*RTD("tos.rtd",,"OPEN_INT","."&amp;G$2&amp;G$1&amp;"P"&amp;$A29)*RTD("tos.rtd",,"GAMMA","."&amp;G$2&amp;G$1&amp;"P"&amp;$A29))/1000000),0),IF($A$2="SKEW",IFERROR(VALUE(IF(RTD("tos.rtd",,"IMPL_VOL","."&amp;G$2&amp;G$1&amp;"P"&amp;$A29)="N/A",0,RTD("tos.rtd",,"IMPL_VOL","."&amp;G$2&amp;G$1&amp;"P"&amp;$A29))),0)-IFERROR(VALUE(IF(RTD("tos.rtd",,"IMPL_VOL","."&amp;G$2&amp;G$1&amp;"C"&amp;$A29)="N/A",0,RTD("tos.rtd",,"IMPL_VOL","."&amp;G$2&amp;G$1&amp;"C"&amp;$A29))),0),IF($A$2="MAXPAIN",IF($A$4&gt;$A29,($A$4-$A29)*IF(RTD("tos.rtd",,"OPEN_INT","."&amp;G$2&amp;G$1&amp;"C"&amp;$A29)="N/A",0,RTD("tos.rtd",,"OPEN_INT","."&amp;G$2&amp;G$1&amp;"C"&amp;$A29)),0)+IF($A$4&lt;$A29,($A$5-$A$4)*IF(RTD("tos.rtd",,"OPEN_INT","."&amp;G$2&amp;G$1&amp;"P"&amp;$A29)="N/A",0,RTD("tos.rtd",,"OPEN_INT","."&amp;G$2&amp;G$1&amp;"P"&amp;$A29)),0),IF($X$1="ABS",IF(RTD("tos.rtd",,$A$2,"."&amp;G$2&amp;G$1&amp;"C"&amp;$A29)="N/A",0,RTD("tos.rtd",,$A$2,"."&amp;G$2&amp;G$1&amp;"C"&amp;$A29))+IF(RTD("tos.rtd",,$A$2,"."&amp;G$2&amp;G$1&amp;"P"&amp;$A29)="N/A",0,RTD("tos.rtd",,$A$2,"."&amp;G$2&amp;G$1&amp;"P"&amp;$A29)),IF(RTD("tos.rtd",,$A$2,"."&amp;G$2&amp;G$1&amp;"C"&amp;$A29)="N/A",0,RTD("tos.rtd",,$A$2,"."&amp;G$2&amp;G$1&amp;"C"&amp;$A29))-IF(RTD("tos.rtd",,$A$2,"."&amp;G$2&amp;G$1&amp;"P"&amp;$A29)="N/A",0,RTD("tos.rtd",,$A$2,"."&amp;G$2&amp;G$1&amp;"P"&amp;$A29))))))))))</f>
        <v>122</v>
      </c>
      <c r="H29" s="14">
        <f ca="1">IF($A$2="PREMIUM_OI",IFERROR(IF($X$1="ABS",(100*RTD("tos.rtd",,"OPEN_INT","."&amp;H$2&amp;H$1&amp;"C"&amp;$A29)*RTD("tos.rtd",,"LAST","."&amp;H$2&amp;H$1&amp;"C"&amp;$A29)+100*RTD("tos.rtd",,"OPEN_INT","."&amp;H$2&amp;H$1&amp;"P"&amp;$A29)*RTD("tos.rtd",,"LAST","."&amp;H$2&amp;H$1&amp;"P"&amp;$A29))/1000000,(100*RTD("tos.rtd",,"OPEN_INT","."&amp;H$2&amp;H$1&amp;"C"&amp;$A29)*RTD("tos.rtd",,"LAST","."&amp;H$2&amp;H$1&amp;"C"&amp;$A29)-100*RTD("tos.rtd",,"OPEN_INT","."&amp;H$2&amp;H$1&amp;"P"&amp;$A29)*RTD("tos.rtd",,"LAST","."&amp;H$2&amp;H$1&amp;"P"&amp;$A29))/1000000),0),IF($A$2="PREMIUM",IFERROR(IF($X$1="ABS",(100*RTD("tos.rtd",,"VOLUME","."&amp;H$2&amp;H$1&amp;"C"&amp;$A29)*RTD("tos.rtd",,"LAST","."&amp;H$2&amp;H$1&amp;"C"&amp;$A29)+100*RTD("tos.rtd",,"VOLUME","."&amp;H$2&amp;H$1&amp;"P"&amp;$A29)*RTD("tos.rtd",,"LAST","."&amp;H$2&amp;H$1&amp;"P"&amp;$A29))/1000000,(100*RTD("tos.rtd",,"VOLUME","."&amp;H$2&amp;H$1&amp;"C"&amp;$A29)*RTD("tos.rtd",,"LAST","."&amp;H$2&amp;H$1&amp;"C"&amp;$A29)-100*RTD("tos.rtd",,"VOLUME","."&amp;H$2&amp;H$1&amp;"P"&amp;$A29)*RTD("tos.rtd",,"LAST","."&amp;H$2&amp;H$1&amp;"P"&amp;$A29))/1000000),0),IF($A$2="DEX",IFERROR(IF($X$1="ABS",(100*RTD("tos.rtd",,"OPEN_INT","."&amp;H$2&amp;H$1&amp;"C"&amp;$A29)*RTD("tos.rtd",,"DELTA","."&amp;H$2&amp;H$1&amp;"C"&amp;$A29)+100*RTD("tos.rtd",,"OPEN_INT","."&amp;H$2&amp;H$1&amp;"P"&amp;$A29)*RTD("tos.rtd",,"DELTA","."&amp;H$2&amp;H$1&amp;"P"&amp;$A29))/1000,(100*RTD("tos.rtd",,"OPEN_INT","."&amp;H$2&amp;H$1&amp;"C"&amp;$A29)*RTD("tos.rtd",,"DELTA","."&amp;H$2&amp;H$1&amp;"C"&amp;$A29)-100*RTD("tos.rtd",,"OPEN_INT","."&amp;H$2&amp;H$1&amp;"P"&amp;$A29)*RTD("tos.rtd",,"DELTA","."&amp;H$2&amp;H$1&amp;"P"&amp;$A29))/1000),0),IF($A$2="VEX",IFERROR(IF($X$1="ABS",($A$4*$A$4*RTD("tos.rtd",,"VOLUME","."&amp;H$2&amp;H$1&amp;"C"&amp;$A29)*RTD("tos.rtd",,"GAMMA","."&amp;H$2&amp;H$1&amp;"C"&amp;$A29)+$A$4*$A$4*RTD("tos.rtd",,"VOLUME","."&amp;H$2&amp;H$1&amp;"P"&amp;$A29)*RTD("tos.rtd",,"GAMMA","."&amp;H$2&amp;H$1&amp;"P"&amp;$A29))/1000000,($A$4*$A$4*RTD("tos.rtd",,"VOLUME","."&amp;H$2&amp;H$1&amp;"C"&amp;$A29)*RTD("tos.rtd",,"GAMMA","."&amp;H$2&amp;H$1&amp;"C"&amp;$A29)-$A$4*$A$4*RTD("tos.rtd",,"VOLUME","."&amp;H$2&amp;H$1&amp;"P"&amp;$A29)*RTD("tos.rtd",,"GAMMA","."&amp;H$2&amp;H$1&amp;"P"&amp;$A29))/1000000),0),IF($A$2="GEX",IFERROR(IF($X$1="ABS",($A$4*$A$4*RTD("tos.rtd",,"OPEN_INT","."&amp;H$2&amp;H$1&amp;"C"&amp;$A29)*RTD("tos.rtd",,"GAMMA","."&amp;H$2&amp;H$1&amp;"C"&amp;$A29)+$A$4*$A$4*RTD("tos.rtd",,"OPEN_INT","."&amp;H$2&amp;H$1&amp;"P"&amp;$A29)*RTD("tos.rtd",,"GAMMA","."&amp;H$2&amp;H$1&amp;"P"&amp;$A29))/1000000,($A$4*$A$4*RTD("tos.rtd",,"OPEN_INT","."&amp;H$2&amp;H$1&amp;"C"&amp;$A29)*RTD("tos.rtd",,"GAMMA","."&amp;H$2&amp;H$1&amp;"C"&amp;$A29)-$A$4*$A$4*RTD("tos.rtd",,"OPEN_INT","."&amp;H$2&amp;H$1&amp;"P"&amp;$A29)*RTD("tos.rtd",,"GAMMA","."&amp;H$2&amp;H$1&amp;"P"&amp;$A29))/1000000),0),IF($A$2="SKEW",IFERROR(VALUE(IF(RTD("tos.rtd",,"IMPL_VOL","."&amp;H$2&amp;H$1&amp;"P"&amp;$A29)="N/A",0,RTD("tos.rtd",,"IMPL_VOL","."&amp;H$2&amp;H$1&amp;"P"&amp;$A29))),0)-IFERROR(VALUE(IF(RTD("tos.rtd",,"IMPL_VOL","."&amp;H$2&amp;H$1&amp;"C"&amp;$A29)="N/A",0,RTD("tos.rtd",,"IMPL_VOL","."&amp;H$2&amp;H$1&amp;"C"&amp;$A29))),0),IF($A$2="MAXPAIN",IF($A$4&gt;$A29,($A$4-$A29)*IF(RTD("tos.rtd",,"OPEN_INT","."&amp;H$2&amp;H$1&amp;"C"&amp;$A29)="N/A",0,RTD("tos.rtd",,"OPEN_INT","."&amp;H$2&amp;H$1&amp;"C"&amp;$A29)),0)+IF($A$4&lt;$A29,($A$5-$A$4)*IF(RTD("tos.rtd",,"OPEN_INT","."&amp;H$2&amp;H$1&amp;"P"&amp;$A29)="N/A",0,RTD("tos.rtd",,"OPEN_INT","."&amp;H$2&amp;H$1&amp;"P"&amp;$A29)),0),IF($X$1="ABS",IF(RTD("tos.rtd",,$A$2,"."&amp;H$2&amp;H$1&amp;"C"&amp;$A29)="N/A",0,RTD("tos.rtd",,$A$2,"."&amp;H$2&amp;H$1&amp;"C"&amp;$A29))+IF(RTD("tos.rtd",,$A$2,"."&amp;H$2&amp;H$1&amp;"P"&amp;$A29)="N/A",0,RTD("tos.rtd",,$A$2,"."&amp;H$2&amp;H$1&amp;"P"&amp;$A29)),IF(RTD("tos.rtd",,$A$2,"."&amp;H$2&amp;H$1&amp;"C"&amp;$A29)="N/A",0,RTD("tos.rtd",,$A$2,"."&amp;H$2&amp;H$1&amp;"C"&amp;$A29))-IF(RTD("tos.rtd",,$A$2,"."&amp;H$2&amp;H$1&amp;"P"&amp;$A29)="N/A",0,RTD("tos.rtd",,$A$2,"."&amp;H$2&amp;H$1&amp;"P"&amp;$A29))))))))))</f>
        <v>0</v>
      </c>
      <c r="I29" s="12">
        <f ca="1">IF($A$2="PREMIUM_OI",IFERROR(IF($X$1="ABS",(100*RTD("tos.rtd",,"OPEN_INT","."&amp;I$2&amp;I$1&amp;"C"&amp;$A29)*RTD("tos.rtd",,"LAST","."&amp;I$2&amp;I$1&amp;"C"&amp;$A29)+100*RTD("tos.rtd",,"OPEN_INT","."&amp;I$2&amp;I$1&amp;"P"&amp;$A29)*RTD("tos.rtd",,"LAST","."&amp;I$2&amp;I$1&amp;"P"&amp;$A29))/1000000,(100*RTD("tos.rtd",,"OPEN_INT","."&amp;I$2&amp;I$1&amp;"C"&amp;$A29)*RTD("tos.rtd",,"LAST","."&amp;I$2&amp;I$1&amp;"C"&amp;$A29)-100*RTD("tos.rtd",,"OPEN_INT","."&amp;I$2&amp;I$1&amp;"P"&amp;$A29)*RTD("tos.rtd",,"LAST","."&amp;I$2&amp;I$1&amp;"P"&amp;$A29))/1000000),0),IF($A$2="PREMIUM",IFERROR(IF($X$1="ABS",(100*RTD("tos.rtd",,"VOLUME","."&amp;I$2&amp;I$1&amp;"C"&amp;$A29)*RTD("tos.rtd",,"LAST","."&amp;I$2&amp;I$1&amp;"C"&amp;$A29)+100*RTD("tos.rtd",,"VOLUME","."&amp;I$2&amp;I$1&amp;"P"&amp;$A29)*RTD("tos.rtd",,"LAST","."&amp;I$2&amp;I$1&amp;"P"&amp;$A29))/1000000,(100*RTD("tos.rtd",,"VOLUME","."&amp;I$2&amp;I$1&amp;"C"&amp;$A29)*RTD("tos.rtd",,"LAST","."&amp;I$2&amp;I$1&amp;"C"&amp;$A29)-100*RTD("tos.rtd",,"VOLUME","."&amp;I$2&amp;I$1&amp;"P"&amp;$A29)*RTD("tos.rtd",,"LAST","."&amp;I$2&amp;I$1&amp;"P"&amp;$A29))/1000000),0),IF($A$2="DEX",IFERROR(IF($X$1="ABS",(100*RTD("tos.rtd",,"OPEN_INT","."&amp;I$2&amp;I$1&amp;"C"&amp;$A29)*RTD("tos.rtd",,"DELTA","."&amp;I$2&amp;I$1&amp;"C"&amp;$A29)+100*RTD("tos.rtd",,"OPEN_INT","."&amp;I$2&amp;I$1&amp;"P"&amp;$A29)*RTD("tos.rtd",,"DELTA","."&amp;I$2&amp;I$1&amp;"P"&amp;$A29))/1000,(100*RTD("tos.rtd",,"OPEN_INT","."&amp;I$2&amp;I$1&amp;"C"&amp;$A29)*RTD("tos.rtd",,"DELTA","."&amp;I$2&amp;I$1&amp;"C"&amp;$A29)-100*RTD("tos.rtd",,"OPEN_INT","."&amp;I$2&amp;I$1&amp;"P"&amp;$A29)*RTD("tos.rtd",,"DELTA","."&amp;I$2&amp;I$1&amp;"P"&amp;$A29))/1000),0),IF($A$2="VEX",IFERROR(IF($X$1="ABS",($A$4*$A$4*RTD("tos.rtd",,"VOLUME","."&amp;I$2&amp;I$1&amp;"C"&amp;$A29)*RTD("tos.rtd",,"GAMMA","."&amp;I$2&amp;I$1&amp;"C"&amp;$A29)+$A$4*$A$4*RTD("tos.rtd",,"VOLUME","."&amp;I$2&amp;I$1&amp;"P"&amp;$A29)*RTD("tos.rtd",,"GAMMA","."&amp;I$2&amp;I$1&amp;"P"&amp;$A29))/1000000,($A$4*$A$4*RTD("tos.rtd",,"VOLUME","."&amp;I$2&amp;I$1&amp;"C"&amp;$A29)*RTD("tos.rtd",,"GAMMA","."&amp;I$2&amp;I$1&amp;"C"&amp;$A29)-$A$4*$A$4*RTD("tos.rtd",,"VOLUME","."&amp;I$2&amp;I$1&amp;"P"&amp;$A29)*RTD("tos.rtd",,"GAMMA","."&amp;I$2&amp;I$1&amp;"P"&amp;$A29))/1000000),0),IF($A$2="GEX",IFERROR(IF($X$1="ABS",($A$4*$A$4*RTD("tos.rtd",,"OPEN_INT","."&amp;I$2&amp;I$1&amp;"C"&amp;$A29)*RTD("tos.rtd",,"GAMMA","."&amp;I$2&amp;I$1&amp;"C"&amp;$A29)+$A$4*$A$4*RTD("tos.rtd",,"OPEN_INT","."&amp;I$2&amp;I$1&amp;"P"&amp;$A29)*RTD("tos.rtd",,"GAMMA","."&amp;I$2&amp;I$1&amp;"P"&amp;$A29))/1000000,($A$4*$A$4*RTD("tos.rtd",,"OPEN_INT","."&amp;I$2&amp;I$1&amp;"C"&amp;$A29)*RTD("tos.rtd",,"GAMMA","."&amp;I$2&amp;I$1&amp;"C"&amp;$A29)-$A$4*$A$4*RTD("tos.rtd",,"OPEN_INT","."&amp;I$2&amp;I$1&amp;"P"&amp;$A29)*RTD("tos.rtd",,"GAMMA","."&amp;I$2&amp;I$1&amp;"P"&amp;$A29))/1000000),0),IF($A$2="SKEW",IFERROR(VALUE(IF(RTD("tos.rtd",,"IMPL_VOL","."&amp;I$2&amp;I$1&amp;"P"&amp;$A29)="N/A",0,RTD("tos.rtd",,"IMPL_VOL","."&amp;I$2&amp;I$1&amp;"P"&amp;$A29))),0)-IFERROR(VALUE(IF(RTD("tos.rtd",,"IMPL_VOL","."&amp;I$2&amp;I$1&amp;"C"&amp;$A29)="N/A",0,RTD("tos.rtd",,"IMPL_VOL","."&amp;I$2&amp;I$1&amp;"C"&amp;$A29))),0),IF($A$2="MAXPAIN",IF($A$4&gt;$A29,($A$4-$A29)*IF(RTD("tos.rtd",,"OPEN_INT","."&amp;I$2&amp;I$1&amp;"C"&amp;$A29)="N/A",0,RTD("tos.rtd",,"OPEN_INT","."&amp;I$2&amp;I$1&amp;"C"&amp;$A29)),0)+IF($A$4&lt;$A29,($A$5-$A$4)*IF(RTD("tos.rtd",,"OPEN_INT","."&amp;I$2&amp;I$1&amp;"P"&amp;$A29)="N/A",0,RTD("tos.rtd",,"OPEN_INT","."&amp;I$2&amp;I$1&amp;"P"&amp;$A29)),0),IF($X$1="ABS",IF(RTD("tos.rtd",,$A$2,"."&amp;I$2&amp;I$1&amp;"C"&amp;$A29)="N/A",0,RTD("tos.rtd",,$A$2,"."&amp;I$2&amp;I$1&amp;"C"&amp;$A29))+IF(RTD("tos.rtd",,$A$2,"."&amp;I$2&amp;I$1&amp;"P"&amp;$A29)="N/A",0,RTD("tos.rtd",,$A$2,"."&amp;I$2&amp;I$1&amp;"P"&amp;$A29)),IF(RTD("tos.rtd",,$A$2,"."&amp;I$2&amp;I$1&amp;"C"&amp;$A29)="N/A",0,RTD("tos.rtd",,$A$2,"."&amp;I$2&amp;I$1&amp;"C"&amp;$A29))-IF(RTD("tos.rtd",,$A$2,"."&amp;I$2&amp;I$1&amp;"P"&amp;$A29)="N/A",0,RTD("tos.rtd",,$A$2,"."&amp;I$2&amp;I$1&amp;"P"&amp;$A29))))))))))</f>
        <v>283</v>
      </c>
      <c r="J29" s="12">
        <f ca="1">IF($A$2="PREMIUM_OI",IFERROR(IF($X$1="ABS",(100*RTD("tos.rtd",,"OPEN_INT","."&amp;J$2&amp;J$1&amp;"C"&amp;$A29)*RTD("tos.rtd",,"LAST","."&amp;J$2&amp;J$1&amp;"C"&amp;$A29)+100*RTD("tos.rtd",,"OPEN_INT","."&amp;J$2&amp;J$1&amp;"P"&amp;$A29)*RTD("tos.rtd",,"LAST","."&amp;J$2&amp;J$1&amp;"P"&amp;$A29))/1000000,(100*RTD("tos.rtd",,"OPEN_INT","."&amp;J$2&amp;J$1&amp;"C"&amp;$A29)*RTD("tos.rtd",,"LAST","."&amp;J$2&amp;J$1&amp;"C"&amp;$A29)-100*RTD("tos.rtd",,"OPEN_INT","."&amp;J$2&amp;J$1&amp;"P"&amp;$A29)*RTD("tos.rtd",,"LAST","."&amp;J$2&amp;J$1&amp;"P"&amp;$A29))/1000000),0),IF($A$2="PREMIUM",IFERROR(IF($X$1="ABS",(100*RTD("tos.rtd",,"VOLUME","."&amp;J$2&amp;J$1&amp;"C"&amp;$A29)*RTD("tos.rtd",,"LAST","."&amp;J$2&amp;J$1&amp;"C"&amp;$A29)+100*RTD("tos.rtd",,"VOLUME","."&amp;J$2&amp;J$1&amp;"P"&amp;$A29)*RTD("tos.rtd",,"LAST","."&amp;J$2&amp;J$1&amp;"P"&amp;$A29))/1000000,(100*RTD("tos.rtd",,"VOLUME","."&amp;J$2&amp;J$1&amp;"C"&amp;$A29)*RTD("tos.rtd",,"LAST","."&amp;J$2&amp;J$1&amp;"C"&amp;$A29)-100*RTD("tos.rtd",,"VOLUME","."&amp;J$2&amp;J$1&amp;"P"&amp;$A29)*RTD("tos.rtd",,"LAST","."&amp;J$2&amp;J$1&amp;"P"&amp;$A29))/1000000),0),IF($A$2="DEX",IFERROR(IF($X$1="ABS",(100*RTD("tos.rtd",,"OPEN_INT","."&amp;J$2&amp;J$1&amp;"C"&amp;$A29)*RTD("tos.rtd",,"DELTA","."&amp;J$2&amp;J$1&amp;"C"&amp;$A29)+100*RTD("tos.rtd",,"OPEN_INT","."&amp;J$2&amp;J$1&amp;"P"&amp;$A29)*RTD("tos.rtd",,"DELTA","."&amp;J$2&amp;J$1&amp;"P"&amp;$A29))/1000,(100*RTD("tos.rtd",,"OPEN_INT","."&amp;J$2&amp;J$1&amp;"C"&amp;$A29)*RTD("tos.rtd",,"DELTA","."&amp;J$2&amp;J$1&amp;"C"&amp;$A29)-100*RTD("tos.rtd",,"OPEN_INT","."&amp;J$2&amp;J$1&amp;"P"&amp;$A29)*RTD("tos.rtd",,"DELTA","."&amp;J$2&amp;J$1&amp;"P"&amp;$A29))/1000),0),IF($A$2="VEX",IFERROR(IF($X$1="ABS",($A$4*$A$4*RTD("tos.rtd",,"VOLUME","."&amp;J$2&amp;J$1&amp;"C"&amp;$A29)*RTD("tos.rtd",,"GAMMA","."&amp;J$2&amp;J$1&amp;"C"&amp;$A29)+$A$4*$A$4*RTD("tos.rtd",,"VOLUME","."&amp;J$2&amp;J$1&amp;"P"&amp;$A29)*RTD("tos.rtd",,"GAMMA","."&amp;J$2&amp;J$1&amp;"P"&amp;$A29))/1000000,($A$4*$A$4*RTD("tos.rtd",,"VOLUME","."&amp;J$2&amp;J$1&amp;"C"&amp;$A29)*RTD("tos.rtd",,"GAMMA","."&amp;J$2&amp;J$1&amp;"C"&amp;$A29)-$A$4*$A$4*RTD("tos.rtd",,"VOLUME","."&amp;J$2&amp;J$1&amp;"P"&amp;$A29)*RTD("tos.rtd",,"GAMMA","."&amp;J$2&amp;J$1&amp;"P"&amp;$A29))/1000000),0),IF($A$2="GEX",IFERROR(IF($X$1="ABS",($A$4*$A$4*RTD("tos.rtd",,"OPEN_INT","."&amp;J$2&amp;J$1&amp;"C"&amp;$A29)*RTD("tos.rtd",,"GAMMA","."&amp;J$2&amp;J$1&amp;"C"&amp;$A29)+$A$4*$A$4*RTD("tos.rtd",,"OPEN_INT","."&amp;J$2&amp;J$1&amp;"P"&amp;$A29)*RTD("tos.rtd",,"GAMMA","."&amp;J$2&amp;J$1&amp;"P"&amp;$A29))/1000000,($A$4*$A$4*RTD("tos.rtd",,"OPEN_INT","."&amp;J$2&amp;J$1&amp;"C"&amp;$A29)*RTD("tos.rtd",,"GAMMA","."&amp;J$2&amp;J$1&amp;"C"&amp;$A29)-$A$4*$A$4*RTD("tos.rtd",,"OPEN_INT","."&amp;J$2&amp;J$1&amp;"P"&amp;$A29)*RTD("tos.rtd",,"GAMMA","."&amp;J$2&amp;J$1&amp;"P"&amp;$A29))/1000000),0),IF($A$2="SKEW",IFERROR(VALUE(IF(RTD("tos.rtd",,"IMPL_VOL","."&amp;J$2&amp;J$1&amp;"P"&amp;$A29)="N/A",0,RTD("tos.rtd",,"IMPL_VOL","."&amp;J$2&amp;J$1&amp;"P"&amp;$A29))),0)-IFERROR(VALUE(IF(RTD("tos.rtd",,"IMPL_VOL","."&amp;J$2&amp;J$1&amp;"C"&amp;$A29)="N/A",0,RTD("tos.rtd",,"IMPL_VOL","."&amp;J$2&amp;J$1&amp;"C"&amp;$A29))),0),IF($A$2="MAXPAIN",IF($A$4&gt;$A29,($A$4-$A29)*IF(RTD("tos.rtd",,"OPEN_INT","."&amp;J$2&amp;J$1&amp;"C"&amp;$A29)="N/A",0,RTD("tos.rtd",,"OPEN_INT","."&amp;J$2&amp;J$1&amp;"C"&amp;$A29)),0)+IF($A$4&lt;$A29,($A$5-$A$4)*IF(RTD("tos.rtd",,"OPEN_INT","."&amp;J$2&amp;J$1&amp;"P"&amp;$A29)="N/A",0,RTD("tos.rtd",,"OPEN_INT","."&amp;J$2&amp;J$1&amp;"P"&amp;$A29)),0),IF($X$1="ABS",IF(RTD("tos.rtd",,$A$2,"."&amp;J$2&amp;J$1&amp;"C"&amp;$A29)="N/A",0,RTD("tos.rtd",,$A$2,"."&amp;J$2&amp;J$1&amp;"C"&amp;$A29))+IF(RTD("tos.rtd",,$A$2,"."&amp;J$2&amp;J$1&amp;"P"&amp;$A29)="N/A",0,RTD("tos.rtd",,$A$2,"."&amp;J$2&amp;J$1&amp;"P"&amp;$A29)),IF(RTD("tos.rtd",,$A$2,"."&amp;J$2&amp;J$1&amp;"C"&amp;$A29)="N/A",0,RTD("tos.rtd",,$A$2,"."&amp;J$2&amp;J$1&amp;"C"&amp;$A29))-IF(RTD("tos.rtd",,$A$2,"."&amp;J$2&amp;J$1&amp;"P"&amp;$A29)="N/A",0,RTD("tos.rtd",,$A$2,"."&amp;J$2&amp;J$1&amp;"P"&amp;$A29))))))))))</f>
        <v>0</v>
      </c>
      <c r="K29" s="12">
        <f ca="1">IF($A$2="PREMIUM_OI",IFERROR(IF($X$1="ABS",(100*RTD("tos.rtd",,"OPEN_INT","."&amp;K$2&amp;K$1&amp;"C"&amp;$A29)*RTD("tos.rtd",,"LAST","."&amp;K$2&amp;K$1&amp;"C"&amp;$A29)+100*RTD("tos.rtd",,"OPEN_INT","."&amp;K$2&amp;K$1&amp;"P"&amp;$A29)*RTD("tos.rtd",,"LAST","."&amp;K$2&amp;K$1&amp;"P"&amp;$A29))/1000000,(100*RTD("tos.rtd",,"OPEN_INT","."&amp;K$2&amp;K$1&amp;"C"&amp;$A29)*RTD("tos.rtd",,"LAST","."&amp;K$2&amp;K$1&amp;"C"&amp;$A29)-100*RTD("tos.rtd",,"OPEN_INT","."&amp;K$2&amp;K$1&amp;"P"&amp;$A29)*RTD("tos.rtd",,"LAST","."&amp;K$2&amp;K$1&amp;"P"&amp;$A29))/1000000),0),IF($A$2="PREMIUM",IFERROR(IF($X$1="ABS",(100*RTD("tos.rtd",,"VOLUME","."&amp;K$2&amp;K$1&amp;"C"&amp;$A29)*RTD("tos.rtd",,"LAST","."&amp;K$2&amp;K$1&amp;"C"&amp;$A29)+100*RTD("tos.rtd",,"VOLUME","."&amp;K$2&amp;K$1&amp;"P"&amp;$A29)*RTD("tos.rtd",,"LAST","."&amp;K$2&amp;K$1&amp;"P"&amp;$A29))/1000000,(100*RTD("tos.rtd",,"VOLUME","."&amp;K$2&amp;K$1&amp;"C"&amp;$A29)*RTD("tos.rtd",,"LAST","."&amp;K$2&amp;K$1&amp;"C"&amp;$A29)-100*RTD("tos.rtd",,"VOLUME","."&amp;K$2&amp;K$1&amp;"P"&amp;$A29)*RTD("tos.rtd",,"LAST","."&amp;K$2&amp;K$1&amp;"P"&amp;$A29))/1000000),0),IF($A$2="DEX",IFERROR(IF($X$1="ABS",(100*RTD("tos.rtd",,"OPEN_INT","."&amp;K$2&amp;K$1&amp;"C"&amp;$A29)*RTD("tos.rtd",,"DELTA","."&amp;K$2&amp;K$1&amp;"C"&amp;$A29)+100*RTD("tos.rtd",,"OPEN_INT","."&amp;K$2&amp;K$1&amp;"P"&amp;$A29)*RTD("tos.rtd",,"DELTA","."&amp;K$2&amp;K$1&amp;"P"&amp;$A29))/1000,(100*RTD("tos.rtd",,"OPEN_INT","."&amp;K$2&amp;K$1&amp;"C"&amp;$A29)*RTD("tos.rtd",,"DELTA","."&amp;K$2&amp;K$1&amp;"C"&amp;$A29)-100*RTD("tos.rtd",,"OPEN_INT","."&amp;K$2&amp;K$1&amp;"P"&amp;$A29)*RTD("tos.rtd",,"DELTA","."&amp;K$2&amp;K$1&amp;"P"&amp;$A29))/1000),0),IF($A$2="VEX",IFERROR(IF($X$1="ABS",($A$4*$A$4*RTD("tos.rtd",,"VOLUME","."&amp;K$2&amp;K$1&amp;"C"&amp;$A29)*RTD("tos.rtd",,"GAMMA","."&amp;K$2&amp;K$1&amp;"C"&amp;$A29)+$A$4*$A$4*RTD("tos.rtd",,"VOLUME","."&amp;K$2&amp;K$1&amp;"P"&amp;$A29)*RTD("tos.rtd",,"GAMMA","."&amp;K$2&amp;K$1&amp;"P"&amp;$A29))/1000000,($A$4*$A$4*RTD("tos.rtd",,"VOLUME","."&amp;K$2&amp;K$1&amp;"C"&amp;$A29)*RTD("tos.rtd",,"GAMMA","."&amp;K$2&amp;K$1&amp;"C"&amp;$A29)-$A$4*$A$4*RTD("tos.rtd",,"VOLUME","."&amp;K$2&amp;K$1&amp;"P"&amp;$A29)*RTD("tos.rtd",,"GAMMA","."&amp;K$2&amp;K$1&amp;"P"&amp;$A29))/1000000),0),IF($A$2="GEX",IFERROR(IF($X$1="ABS",($A$4*$A$4*RTD("tos.rtd",,"OPEN_INT","."&amp;K$2&amp;K$1&amp;"C"&amp;$A29)*RTD("tos.rtd",,"GAMMA","."&amp;K$2&amp;K$1&amp;"C"&amp;$A29)+$A$4*$A$4*RTD("tos.rtd",,"OPEN_INT","."&amp;K$2&amp;K$1&amp;"P"&amp;$A29)*RTD("tos.rtd",,"GAMMA","."&amp;K$2&amp;K$1&amp;"P"&amp;$A29))/1000000,($A$4*$A$4*RTD("tos.rtd",,"OPEN_INT","."&amp;K$2&amp;K$1&amp;"C"&amp;$A29)*RTD("tos.rtd",,"GAMMA","."&amp;K$2&amp;K$1&amp;"C"&amp;$A29)-$A$4*$A$4*RTD("tos.rtd",,"OPEN_INT","."&amp;K$2&amp;K$1&amp;"P"&amp;$A29)*RTD("tos.rtd",,"GAMMA","."&amp;K$2&amp;K$1&amp;"P"&amp;$A29))/1000000),0),IF($A$2="SKEW",IFERROR(VALUE(IF(RTD("tos.rtd",,"IMPL_VOL","."&amp;K$2&amp;K$1&amp;"P"&amp;$A29)="N/A",0,RTD("tos.rtd",,"IMPL_VOL","."&amp;K$2&amp;K$1&amp;"P"&amp;$A29))),0)-IFERROR(VALUE(IF(RTD("tos.rtd",,"IMPL_VOL","."&amp;K$2&amp;K$1&amp;"C"&amp;$A29)="N/A",0,RTD("tos.rtd",,"IMPL_VOL","."&amp;K$2&amp;K$1&amp;"C"&amp;$A29))),0),IF($A$2="MAXPAIN",IF($A$4&gt;$A29,($A$4-$A29)*IF(RTD("tos.rtd",,"OPEN_INT","."&amp;K$2&amp;K$1&amp;"C"&amp;$A29)="N/A",0,RTD("tos.rtd",,"OPEN_INT","."&amp;K$2&amp;K$1&amp;"C"&amp;$A29)),0)+IF($A$4&lt;$A29,($A$5-$A$4)*IF(RTD("tos.rtd",,"OPEN_INT","."&amp;K$2&amp;K$1&amp;"P"&amp;$A29)="N/A",0,RTD("tos.rtd",,"OPEN_INT","."&amp;K$2&amp;K$1&amp;"P"&amp;$A29)),0),IF($X$1="ABS",IF(RTD("tos.rtd",,$A$2,"."&amp;K$2&amp;K$1&amp;"C"&amp;$A29)="N/A",0,RTD("tos.rtd",,$A$2,"."&amp;K$2&amp;K$1&amp;"C"&amp;$A29))+IF(RTD("tos.rtd",,$A$2,"."&amp;K$2&amp;K$1&amp;"P"&amp;$A29)="N/A",0,RTD("tos.rtd",,$A$2,"."&amp;K$2&amp;K$1&amp;"P"&amp;$A29)),IF(RTD("tos.rtd",,$A$2,"."&amp;K$2&amp;K$1&amp;"C"&amp;$A29)="N/A",0,RTD("tos.rtd",,$A$2,"."&amp;K$2&amp;K$1&amp;"C"&amp;$A29))-IF(RTD("tos.rtd",,$A$2,"."&amp;K$2&amp;K$1&amp;"P"&amp;$A29)="N/A",0,RTD("tos.rtd",,$A$2,"."&amp;K$2&amp;K$1&amp;"P"&amp;$A29))))))))))</f>
        <v>0</v>
      </c>
      <c r="L29" s="54">
        <f ca="1">IF($A$2="PREMIUM_OI",IFERROR(IF($X$1="ABS",(100*RTD("tos.rtd",,"OPEN_INT","."&amp;L$2&amp;L$1&amp;"C"&amp;$A29)*RTD("tos.rtd",,"LAST","."&amp;L$2&amp;L$1&amp;"C"&amp;$A29)+100*RTD("tos.rtd",,"OPEN_INT","."&amp;L$2&amp;L$1&amp;"P"&amp;$A29)*RTD("tos.rtd",,"LAST","."&amp;L$2&amp;L$1&amp;"P"&amp;$A29))/1000000,(100*RTD("tos.rtd",,"OPEN_INT","."&amp;L$2&amp;L$1&amp;"C"&amp;$A29)*RTD("tos.rtd",,"LAST","."&amp;L$2&amp;L$1&amp;"C"&amp;$A29)-100*RTD("tos.rtd",,"OPEN_INT","."&amp;L$2&amp;L$1&amp;"P"&amp;$A29)*RTD("tos.rtd",,"LAST","."&amp;L$2&amp;L$1&amp;"P"&amp;$A29))/1000000),0),IF($A$2="PREMIUM",IFERROR(IF($X$1="ABS",(100*RTD("tos.rtd",,"VOLUME","."&amp;L$2&amp;L$1&amp;"C"&amp;$A29)*RTD("tos.rtd",,"LAST","."&amp;L$2&amp;L$1&amp;"C"&amp;$A29)+100*RTD("tos.rtd",,"VOLUME","."&amp;L$2&amp;L$1&amp;"P"&amp;$A29)*RTD("tos.rtd",,"LAST","."&amp;L$2&amp;L$1&amp;"P"&amp;$A29))/1000000,(100*RTD("tos.rtd",,"VOLUME","."&amp;L$2&amp;L$1&amp;"C"&amp;$A29)*RTD("tos.rtd",,"LAST","."&amp;L$2&amp;L$1&amp;"C"&amp;$A29)-100*RTD("tos.rtd",,"VOLUME","."&amp;L$2&amp;L$1&amp;"P"&amp;$A29)*RTD("tos.rtd",,"LAST","."&amp;L$2&amp;L$1&amp;"P"&amp;$A29))/1000000),0),IF($A$2="DEX",IFERROR(IF($X$1="ABS",(100*RTD("tos.rtd",,"OPEN_INT","."&amp;L$2&amp;L$1&amp;"C"&amp;$A29)*RTD("tos.rtd",,"DELTA","."&amp;L$2&amp;L$1&amp;"C"&amp;$A29)+100*RTD("tos.rtd",,"OPEN_INT","."&amp;L$2&amp;L$1&amp;"P"&amp;$A29)*RTD("tos.rtd",,"DELTA","."&amp;L$2&amp;L$1&amp;"P"&amp;$A29))/1000,(100*RTD("tos.rtd",,"OPEN_INT","."&amp;L$2&amp;L$1&amp;"C"&amp;$A29)*RTD("tos.rtd",,"DELTA","."&amp;L$2&amp;L$1&amp;"C"&amp;$A29)-100*RTD("tos.rtd",,"OPEN_INT","."&amp;L$2&amp;L$1&amp;"P"&amp;$A29)*RTD("tos.rtd",,"DELTA","."&amp;L$2&amp;L$1&amp;"P"&amp;$A29))/1000),0),IF($A$2="VEX",IFERROR(IF($X$1="ABS",($A$4*$A$4*RTD("tos.rtd",,"VOLUME","."&amp;L$2&amp;L$1&amp;"C"&amp;$A29)*RTD("tos.rtd",,"GAMMA","."&amp;L$2&amp;L$1&amp;"C"&amp;$A29)+$A$4*$A$4*RTD("tos.rtd",,"VOLUME","."&amp;L$2&amp;L$1&amp;"P"&amp;$A29)*RTD("tos.rtd",,"GAMMA","."&amp;L$2&amp;L$1&amp;"P"&amp;$A29))/1000000,($A$4*$A$4*RTD("tos.rtd",,"VOLUME","."&amp;L$2&amp;L$1&amp;"C"&amp;$A29)*RTD("tos.rtd",,"GAMMA","."&amp;L$2&amp;L$1&amp;"C"&amp;$A29)-$A$4*$A$4*RTD("tos.rtd",,"VOLUME","."&amp;L$2&amp;L$1&amp;"P"&amp;$A29)*RTD("tos.rtd",,"GAMMA","."&amp;L$2&amp;L$1&amp;"P"&amp;$A29))/1000000),0),IF($A$2="GEX",IFERROR(IF($X$1="ABS",($A$4*$A$4*RTD("tos.rtd",,"OPEN_INT","."&amp;L$2&amp;L$1&amp;"C"&amp;$A29)*RTD("tos.rtd",,"GAMMA","."&amp;L$2&amp;L$1&amp;"C"&amp;$A29)+$A$4*$A$4*RTD("tos.rtd",,"OPEN_INT","."&amp;L$2&amp;L$1&amp;"P"&amp;$A29)*RTD("tos.rtd",,"GAMMA","."&amp;L$2&amp;L$1&amp;"P"&amp;$A29))/1000000,($A$4*$A$4*RTD("tos.rtd",,"OPEN_INT","."&amp;L$2&amp;L$1&amp;"C"&amp;$A29)*RTD("tos.rtd",,"GAMMA","."&amp;L$2&amp;L$1&amp;"C"&amp;$A29)-$A$4*$A$4*RTD("tos.rtd",,"OPEN_INT","."&amp;L$2&amp;L$1&amp;"P"&amp;$A29)*RTD("tos.rtd",,"GAMMA","."&amp;L$2&amp;L$1&amp;"P"&amp;$A29))/1000000),0),IF($A$2="SKEW",IFERROR(VALUE(IF(RTD("tos.rtd",,"IMPL_VOL","."&amp;L$2&amp;L$1&amp;"P"&amp;$A29)="N/A",0,RTD("tos.rtd",,"IMPL_VOL","."&amp;L$2&amp;L$1&amp;"P"&amp;$A29))),0)-IFERROR(VALUE(IF(RTD("tos.rtd",,"IMPL_VOL","."&amp;L$2&amp;L$1&amp;"C"&amp;$A29)="N/A",0,RTD("tos.rtd",,"IMPL_VOL","."&amp;L$2&amp;L$1&amp;"C"&amp;$A29))),0),IF($A$2="MAXPAIN",IF($A$4&gt;$A29,($A$4-$A29)*IF(RTD("tos.rtd",,"OPEN_INT","."&amp;L$2&amp;L$1&amp;"C"&amp;$A29)="N/A",0,RTD("tos.rtd",,"OPEN_INT","."&amp;L$2&amp;L$1&amp;"C"&amp;$A29)),0)+IF($A$4&lt;$A29,($A$5-$A$4)*IF(RTD("tos.rtd",,"OPEN_INT","."&amp;L$2&amp;L$1&amp;"P"&amp;$A29)="N/A",0,RTD("tos.rtd",,"OPEN_INT","."&amp;L$2&amp;L$1&amp;"P"&amp;$A29)),0),IF($X$1="ABS",IF(RTD("tos.rtd",,$A$2,"."&amp;L$2&amp;L$1&amp;"C"&amp;$A29)="N/A",0,RTD("tos.rtd",,$A$2,"."&amp;L$2&amp;L$1&amp;"C"&amp;$A29))+IF(RTD("tos.rtd",,$A$2,"."&amp;L$2&amp;L$1&amp;"P"&amp;$A29)="N/A",0,RTD("tos.rtd",,$A$2,"."&amp;L$2&amp;L$1&amp;"P"&amp;$A29)),IF(RTD("tos.rtd",,$A$2,"."&amp;L$2&amp;L$1&amp;"C"&amp;$A29)="N/A",0,RTD("tos.rtd",,$A$2,"."&amp;L$2&amp;L$1&amp;"C"&amp;$A29))-IF(RTD("tos.rtd",,$A$2,"."&amp;L$2&amp;L$1&amp;"P"&amp;$A29)="N/A",0,RTD("tos.rtd",,$A$2,"."&amp;L$2&amp;L$1&amp;"P"&amp;$A29))))))))))</f>
        <v>0</v>
      </c>
      <c r="M29" s="12">
        <f ca="1">IF($A$2="PREMIUM_OI",IFERROR(IF($X$1="ABS",(100*RTD("tos.rtd",,"OPEN_INT","."&amp;M$2&amp;M$1&amp;"C"&amp;$A29)*RTD("tos.rtd",,"LAST","."&amp;M$2&amp;M$1&amp;"C"&amp;$A29)+100*RTD("tos.rtd",,"OPEN_INT","."&amp;M$2&amp;M$1&amp;"P"&amp;$A29)*RTD("tos.rtd",,"LAST","."&amp;M$2&amp;M$1&amp;"P"&amp;$A29))/1000000,(100*RTD("tos.rtd",,"OPEN_INT","."&amp;M$2&amp;M$1&amp;"C"&amp;$A29)*RTD("tos.rtd",,"LAST","."&amp;M$2&amp;M$1&amp;"C"&amp;$A29)-100*RTD("tos.rtd",,"OPEN_INT","."&amp;M$2&amp;M$1&amp;"P"&amp;$A29)*RTD("tos.rtd",,"LAST","."&amp;M$2&amp;M$1&amp;"P"&amp;$A29))/1000000),0),IF($A$2="PREMIUM",IFERROR(IF($X$1="ABS",(100*RTD("tos.rtd",,"VOLUME","."&amp;M$2&amp;M$1&amp;"C"&amp;$A29)*RTD("tos.rtd",,"LAST","."&amp;M$2&amp;M$1&amp;"C"&amp;$A29)+100*RTD("tos.rtd",,"VOLUME","."&amp;M$2&amp;M$1&amp;"P"&amp;$A29)*RTD("tos.rtd",,"LAST","."&amp;M$2&amp;M$1&amp;"P"&amp;$A29))/1000000,(100*RTD("tos.rtd",,"VOLUME","."&amp;M$2&amp;M$1&amp;"C"&amp;$A29)*RTD("tos.rtd",,"LAST","."&amp;M$2&amp;M$1&amp;"C"&amp;$A29)-100*RTD("tos.rtd",,"VOLUME","."&amp;M$2&amp;M$1&amp;"P"&amp;$A29)*RTD("tos.rtd",,"LAST","."&amp;M$2&amp;M$1&amp;"P"&amp;$A29))/1000000),0),IF($A$2="DEX",IFERROR(IF($X$1="ABS",(100*RTD("tos.rtd",,"OPEN_INT","."&amp;M$2&amp;M$1&amp;"C"&amp;$A29)*RTD("tos.rtd",,"DELTA","."&amp;M$2&amp;M$1&amp;"C"&amp;$A29)+100*RTD("tos.rtd",,"OPEN_INT","."&amp;M$2&amp;M$1&amp;"P"&amp;$A29)*RTD("tos.rtd",,"DELTA","."&amp;M$2&amp;M$1&amp;"P"&amp;$A29))/1000,(100*RTD("tos.rtd",,"OPEN_INT","."&amp;M$2&amp;M$1&amp;"C"&amp;$A29)*RTD("tos.rtd",,"DELTA","."&amp;M$2&amp;M$1&amp;"C"&amp;$A29)-100*RTD("tos.rtd",,"OPEN_INT","."&amp;M$2&amp;M$1&amp;"P"&amp;$A29)*RTD("tos.rtd",,"DELTA","."&amp;M$2&amp;M$1&amp;"P"&amp;$A29))/1000),0),IF($A$2="VEX",IFERROR(IF($X$1="ABS",($A$4*$A$4*RTD("tos.rtd",,"VOLUME","."&amp;M$2&amp;M$1&amp;"C"&amp;$A29)*RTD("tos.rtd",,"GAMMA","."&amp;M$2&amp;M$1&amp;"C"&amp;$A29)+$A$4*$A$4*RTD("tos.rtd",,"VOLUME","."&amp;M$2&amp;M$1&amp;"P"&amp;$A29)*RTD("tos.rtd",,"GAMMA","."&amp;M$2&amp;M$1&amp;"P"&amp;$A29))/1000000,($A$4*$A$4*RTD("tos.rtd",,"VOLUME","."&amp;M$2&amp;M$1&amp;"C"&amp;$A29)*RTD("tos.rtd",,"GAMMA","."&amp;M$2&amp;M$1&amp;"C"&amp;$A29)-$A$4*$A$4*RTD("tos.rtd",,"VOLUME","."&amp;M$2&amp;M$1&amp;"P"&amp;$A29)*RTD("tos.rtd",,"GAMMA","."&amp;M$2&amp;M$1&amp;"P"&amp;$A29))/1000000),0),IF($A$2="GEX",IFERROR(IF($X$1="ABS",($A$4*$A$4*RTD("tos.rtd",,"OPEN_INT","."&amp;M$2&amp;M$1&amp;"C"&amp;$A29)*RTD("tos.rtd",,"GAMMA","."&amp;M$2&amp;M$1&amp;"C"&amp;$A29)+$A$4*$A$4*RTD("tos.rtd",,"OPEN_INT","."&amp;M$2&amp;M$1&amp;"P"&amp;$A29)*RTD("tos.rtd",,"GAMMA","."&amp;M$2&amp;M$1&amp;"P"&amp;$A29))/1000000,($A$4*$A$4*RTD("tos.rtd",,"OPEN_INT","."&amp;M$2&amp;M$1&amp;"C"&amp;$A29)*RTD("tos.rtd",,"GAMMA","."&amp;M$2&amp;M$1&amp;"C"&amp;$A29)-$A$4*$A$4*RTD("tos.rtd",,"OPEN_INT","."&amp;M$2&amp;M$1&amp;"P"&amp;$A29)*RTD("tos.rtd",,"GAMMA","."&amp;M$2&amp;M$1&amp;"P"&amp;$A29))/1000000),0),IF($A$2="SKEW",IFERROR(VALUE(IF(RTD("tos.rtd",,"IMPL_VOL","."&amp;M$2&amp;M$1&amp;"P"&amp;$A29)="N/A",0,RTD("tos.rtd",,"IMPL_VOL","."&amp;M$2&amp;M$1&amp;"P"&amp;$A29))),0)-IFERROR(VALUE(IF(RTD("tos.rtd",,"IMPL_VOL","."&amp;M$2&amp;M$1&amp;"C"&amp;$A29)="N/A",0,RTD("tos.rtd",,"IMPL_VOL","."&amp;M$2&amp;M$1&amp;"C"&amp;$A29))),0),IF($A$2="MAXPAIN",IF($A$4&gt;$A29,($A$4-$A29)*IF(RTD("tos.rtd",,"OPEN_INT","."&amp;M$2&amp;M$1&amp;"C"&amp;$A29)="N/A",0,RTD("tos.rtd",,"OPEN_INT","."&amp;M$2&amp;M$1&amp;"C"&amp;$A29)),0)+IF($A$4&lt;$A29,($A$5-$A$4)*IF(RTD("tos.rtd",,"OPEN_INT","."&amp;M$2&amp;M$1&amp;"P"&amp;$A29)="N/A",0,RTD("tos.rtd",,"OPEN_INT","."&amp;M$2&amp;M$1&amp;"P"&amp;$A29)),0),IF($X$1="ABS",IF(RTD("tos.rtd",,$A$2,"."&amp;M$2&amp;M$1&amp;"C"&amp;$A29)="N/A",0,RTD("tos.rtd",,$A$2,"."&amp;M$2&amp;M$1&amp;"C"&amp;$A29))+IF(RTD("tos.rtd",,$A$2,"."&amp;M$2&amp;M$1&amp;"P"&amp;$A29)="N/A",0,RTD("tos.rtd",,$A$2,"."&amp;M$2&amp;M$1&amp;"P"&amp;$A29)),IF(RTD("tos.rtd",,$A$2,"."&amp;M$2&amp;M$1&amp;"C"&amp;$A29)="N/A",0,RTD("tos.rtd",,$A$2,"."&amp;M$2&amp;M$1&amp;"C"&amp;$A29))-IF(RTD("tos.rtd",,$A$2,"."&amp;M$2&amp;M$1&amp;"P"&amp;$A29)="N/A",0,RTD("tos.rtd",,$A$2,"."&amp;M$2&amp;M$1&amp;"P"&amp;$A29))))))))))</f>
        <v>0</v>
      </c>
      <c r="N29" s="12">
        <f ca="1">IF($A$2="PREMIUM_OI",IFERROR(IF($X$1="ABS",(100*RTD("tos.rtd",,"OPEN_INT","."&amp;N$2&amp;N$1&amp;"C"&amp;$A29)*RTD("tos.rtd",,"LAST","."&amp;N$2&amp;N$1&amp;"C"&amp;$A29)+100*RTD("tos.rtd",,"OPEN_INT","."&amp;N$2&amp;N$1&amp;"P"&amp;$A29)*RTD("tos.rtd",,"LAST","."&amp;N$2&amp;N$1&amp;"P"&amp;$A29))/1000000,(100*RTD("tos.rtd",,"OPEN_INT","."&amp;N$2&amp;N$1&amp;"C"&amp;$A29)*RTD("tos.rtd",,"LAST","."&amp;N$2&amp;N$1&amp;"C"&amp;$A29)-100*RTD("tos.rtd",,"OPEN_INT","."&amp;N$2&amp;N$1&amp;"P"&amp;$A29)*RTD("tos.rtd",,"LAST","."&amp;N$2&amp;N$1&amp;"P"&amp;$A29))/1000000),0),IF($A$2="PREMIUM",IFERROR(IF($X$1="ABS",(100*RTD("tos.rtd",,"VOLUME","."&amp;N$2&amp;N$1&amp;"C"&amp;$A29)*RTD("tos.rtd",,"LAST","."&amp;N$2&amp;N$1&amp;"C"&amp;$A29)+100*RTD("tos.rtd",,"VOLUME","."&amp;N$2&amp;N$1&amp;"P"&amp;$A29)*RTD("tos.rtd",,"LAST","."&amp;N$2&amp;N$1&amp;"P"&amp;$A29))/1000000,(100*RTD("tos.rtd",,"VOLUME","."&amp;N$2&amp;N$1&amp;"C"&amp;$A29)*RTD("tos.rtd",,"LAST","."&amp;N$2&amp;N$1&amp;"C"&amp;$A29)-100*RTD("tos.rtd",,"VOLUME","."&amp;N$2&amp;N$1&amp;"P"&amp;$A29)*RTD("tos.rtd",,"LAST","."&amp;N$2&amp;N$1&amp;"P"&amp;$A29))/1000000),0),IF($A$2="DEX",IFERROR(IF($X$1="ABS",(100*RTD("tos.rtd",,"OPEN_INT","."&amp;N$2&amp;N$1&amp;"C"&amp;$A29)*RTD("tos.rtd",,"DELTA","."&amp;N$2&amp;N$1&amp;"C"&amp;$A29)+100*RTD("tos.rtd",,"OPEN_INT","."&amp;N$2&amp;N$1&amp;"P"&amp;$A29)*RTD("tos.rtd",,"DELTA","."&amp;N$2&amp;N$1&amp;"P"&amp;$A29))/1000,(100*RTD("tos.rtd",,"OPEN_INT","."&amp;N$2&amp;N$1&amp;"C"&amp;$A29)*RTD("tos.rtd",,"DELTA","."&amp;N$2&amp;N$1&amp;"C"&amp;$A29)-100*RTD("tos.rtd",,"OPEN_INT","."&amp;N$2&amp;N$1&amp;"P"&amp;$A29)*RTD("tos.rtd",,"DELTA","."&amp;N$2&amp;N$1&amp;"P"&amp;$A29))/1000),0),IF($A$2="VEX",IFERROR(IF($X$1="ABS",($A$4*$A$4*RTD("tos.rtd",,"VOLUME","."&amp;N$2&amp;N$1&amp;"C"&amp;$A29)*RTD("tos.rtd",,"GAMMA","."&amp;N$2&amp;N$1&amp;"C"&amp;$A29)+$A$4*$A$4*RTD("tos.rtd",,"VOLUME","."&amp;N$2&amp;N$1&amp;"P"&amp;$A29)*RTD("tos.rtd",,"GAMMA","."&amp;N$2&amp;N$1&amp;"P"&amp;$A29))/1000000,($A$4*$A$4*RTD("tos.rtd",,"VOLUME","."&amp;N$2&amp;N$1&amp;"C"&amp;$A29)*RTD("tos.rtd",,"GAMMA","."&amp;N$2&amp;N$1&amp;"C"&amp;$A29)-$A$4*$A$4*RTD("tos.rtd",,"VOLUME","."&amp;N$2&amp;N$1&amp;"P"&amp;$A29)*RTD("tos.rtd",,"GAMMA","."&amp;N$2&amp;N$1&amp;"P"&amp;$A29))/1000000),0),IF($A$2="GEX",IFERROR(IF($X$1="ABS",($A$4*$A$4*RTD("tos.rtd",,"OPEN_INT","."&amp;N$2&amp;N$1&amp;"C"&amp;$A29)*RTD("tos.rtd",,"GAMMA","."&amp;N$2&amp;N$1&amp;"C"&amp;$A29)+$A$4*$A$4*RTD("tos.rtd",,"OPEN_INT","."&amp;N$2&amp;N$1&amp;"P"&amp;$A29)*RTD("tos.rtd",,"GAMMA","."&amp;N$2&amp;N$1&amp;"P"&amp;$A29))/1000000,($A$4*$A$4*RTD("tos.rtd",,"OPEN_INT","."&amp;N$2&amp;N$1&amp;"C"&amp;$A29)*RTD("tos.rtd",,"GAMMA","."&amp;N$2&amp;N$1&amp;"C"&amp;$A29)-$A$4*$A$4*RTD("tos.rtd",,"OPEN_INT","."&amp;N$2&amp;N$1&amp;"P"&amp;$A29)*RTD("tos.rtd",,"GAMMA","."&amp;N$2&amp;N$1&amp;"P"&amp;$A29))/1000000),0),IF($A$2="SKEW",IFERROR(VALUE(IF(RTD("tos.rtd",,"IMPL_VOL","."&amp;N$2&amp;N$1&amp;"P"&amp;$A29)="N/A",0,RTD("tos.rtd",,"IMPL_VOL","."&amp;N$2&amp;N$1&amp;"P"&amp;$A29))),0)-IFERROR(VALUE(IF(RTD("tos.rtd",,"IMPL_VOL","."&amp;N$2&amp;N$1&amp;"C"&amp;$A29)="N/A",0,RTD("tos.rtd",,"IMPL_VOL","."&amp;N$2&amp;N$1&amp;"C"&amp;$A29))),0),IF($A$2="MAXPAIN",IF($A$4&gt;$A29,($A$4-$A29)*IF(RTD("tos.rtd",,"OPEN_INT","."&amp;N$2&amp;N$1&amp;"C"&amp;$A29)="N/A",0,RTD("tos.rtd",,"OPEN_INT","."&amp;N$2&amp;N$1&amp;"C"&amp;$A29)),0)+IF($A$4&lt;$A29,($A$5-$A$4)*IF(RTD("tos.rtd",,"OPEN_INT","."&amp;N$2&amp;N$1&amp;"P"&amp;$A29)="N/A",0,RTD("tos.rtd",,"OPEN_INT","."&amp;N$2&amp;N$1&amp;"P"&amp;$A29)),0),IF($X$1="ABS",IF(RTD("tos.rtd",,$A$2,"."&amp;N$2&amp;N$1&amp;"C"&amp;$A29)="N/A",0,RTD("tos.rtd",,$A$2,"."&amp;N$2&amp;N$1&amp;"C"&amp;$A29))+IF(RTD("tos.rtd",,$A$2,"."&amp;N$2&amp;N$1&amp;"P"&amp;$A29)="N/A",0,RTD("tos.rtd",,$A$2,"."&amp;N$2&amp;N$1&amp;"P"&amp;$A29)),IF(RTD("tos.rtd",,$A$2,"."&amp;N$2&amp;N$1&amp;"C"&amp;$A29)="N/A",0,RTD("tos.rtd",,$A$2,"."&amp;N$2&amp;N$1&amp;"C"&amp;$A29))-IF(RTD("tos.rtd",,$A$2,"."&amp;N$2&amp;N$1&amp;"P"&amp;$A29)="N/A",0,RTD("tos.rtd",,$A$2,"."&amp;N$2&amp;N$1&amp;"P"&amp;$A29))))))))))</f>
        <v>0</v>
      </c>
      <c r="O29" s="12">
        <f ca="1">IF($A$2="PREMIUM_OI",IFERROR(IF($X$1="ABS",(100*RTD("tos.rtd",,"OPEN_INT","."&amp;O$2&amp;O$1&amp;"C"&amp;$A29)*RTD("tos.rtd",,"LAST","."&amp;O$2&amp;O$1&amp;"C"&amp;$A29)+100*RTD("tos.rtd",,"OPEN_INT","."&amp;O$2&amp;O$1&amp;"P"&amp;$A29)*RTD("tos.rtd",,"LAST","."&amp;O$2&amp;O$1&amp;"P"&amp;$A29))/1000000,(100*RTD("tos.rtd",,"OPEN_INT","."&amp;O$2&amp;O$1&amp;"C"&amp;$A29)*RTD("tos.rtd",,"LAST","."&amp;O$2&amp;O$1&amp;"C"&amp;$A29)-100*RTD("tos.rtd",,"OPEN_INT","."&amp;O$2&amp;O$1&amp;"P"&amp;$A29)*RTD("tos.rtd",,"LAST","."&amp;O$2&amp;O$1&amp;"P"&amp;$A29))/1000000),0),IF($A$2="PREMIUM",IFERROR(IF($X$1="ABS",(100*RTD("tos.rtd",,"VOLUME","."&amp;O$2&amp;O$1&amp;"C"&amp;$A29)*RTD("tos.rtd",,"LAST","."&amp;O$2&amp;O$1&amp;"C"&amp;$A29)+100*RTD("tos.rtd",,"VOLUME","."&amp;O$2&amp;O$1&amp;"P"&amp;$A29)*RTD("tos.rtd",,"LAST","."&amp;O$2&amp;O$1&amp;"P"&amp;$A29))/1000000,(100*RTD("tos.rtd",,"VOLUME","."&amp;O$2&amp;O$1&amp;"C"&amp;$A29)*RTD("tos.rtd",,"LAST","."&amp;O$2&amp;O$1&amp;"C"&amp;$A29)-100*RTD("tos.rtd",,"VOLUME","."&amp;O$2&amp;O$1&amp;"P"&amp;$A29)*RTD("tos.rtd",,"LAST","."&amp;O$2&amp;O$1&amp;"P"&amp;$A29))/1000000),0),IF($A$2="DEX",IFERROR(IF($X$1="ABS",(100*RTD("tos.rtd",,"OPEN_INT","."&amp;O$2&amp;O$1&amp;"C"&amp;$A29)*RTD("tos.rtd",,"DELTA","."&amp;O$2&amp;O$1&amp;"C"&amp;$A29)+100*RTD("tos.rtd",,"OPEN_INT","."&amp;O$2&amp;O$1&amp;"P"&amp;$A29)*RTD("tos.rtd",,"DELTA","."&amp;O$2&amp;O$1&amp;"P"&amp;$A29))/1000,(100*RTD("tos.rtd",,"OPEN_INT","."&amp;O$2&amp;O$1&amp;"C"&amp;$A29)*RTD("tos.rtd",,"DELTA","."&amp;O$2&amp;O$1&amp;"C"&amp;$A29)-100*RTD("tos.rtd",,"OPEN_INT","."&amp;O$2&amp;O$1&amp;"P"&amp;$A29)*RTD("tos.rtd",,"DELTA","."&amp;O$2&amp;O$1&amp;"P"&amp;$A29))/1000),0),IF($A$2="VEX",IFERROR(IF($X$1="ABS",($A$4*$A$4*RTD("tos.rtd",,"VOLUME","."&amp;O$2&amp;O$1&amp;"C"&amp;$A29)*RTD("tos.rtd",,"GAMMA","."&amp;O$2&amp;O$1&amp;"C"&amp;$A29)+$A$4*$A$4*RTD("tos.rtd",,"VOLUME","."&amp;O$2&amp;O$1&amp;"P"&amp;$A29)*RTD("tos.rtd",,"GAMMA","."&amp;O$2&amp;O$1&amp;"P"&amp;$A29))/1000000,($A$4*$A$4*RTD("tos.rtd",,"VOLUME","."&amp;O$2&amp;O$1&amp;"C"&amp;$A29)*RTD("tos.rtd",,"GAMMA","."&amp;O$2&amp;O$1&amp;"C"&amp;$A29)-$A$4*$A$4*RTD("tos.rtd",,"VOLUME","."&amp;O$2&amp;O$1&amp;"P"&amp;$A29)*RTD("tos.rtd",,"GAMMA","."&amp;O$2&amp;O$1&amp;"P"&amp;$A29))/1000000),0),IF($A$2="GEX",IFERROR(IF($X$1="ABS",($A$4*$A$4*RTD("tos.rtd",,"OPEN_INT","."&amp;O$2&amp;O$1&amp;"C"&amp;$A29)*RTD("tos.rtd",,"GAMMA","."&amp;O$2&amp;O$1&amp;"C"&amp;$A29)+$A$4*$A$4*RTD("tos.rtd",,"OPEN_INT","."&amp;O$2&amp;O$1&amp;"P"&amp;$A29)*RTD("tos.rtd",,"GAMMA","."&amp;O$2&amp;O$1&amp;"P"&amp;$A29))/1000000,($A$4*$A$4*RTD("tos.rtd",,"OPEN_INT","."&amp;O$2&amp;O$1&amp;"C"&amp;$A29)*RTD("tos.rtd",,"GAMMA","."&amp;O$2&amp;O$1&amp;"C"&amp;$A29)-$A$4*$A$4*RTD("tos.rtd",,"OPEN_INT","."&amp;O$2&amp;O$1&amp;"P"&amp;$A29)*RTD("tos.rtd",,"GAMMA","."&amp;O$2&amp;O$1&amp;"P"&amp;$A29))/1000000),0),IF($A$2="SKEW",IFERROR(VALUE(IF(RTD("tos.rtd",,"IMPL_VOL","."&amp;O$2&amp;O$1&amp;"P"&amp;$A29)="N/A",0,RTD("tos.rtd",,"IMPL_VOL","."&amp;O$2&amp;O$1&amp;"P"&amp;$A29))),0)-IFERROR(VALUE(IF(RTD("tos.rtd",,"IMPL_VOL","."&amp;O$2&amp;O$1&amp;"C"&amp;$A29)="N/A",0,RTD("tos.rtd",,"IMPL_VOL","."&amp;O$2&amp;O$1&amp;"C"&amp;$A29))),0),IF($A$2="MAXPAIN",IF($A$4&gt;$A29,($A$4-$A29)*IF(RTD("tos.rtd",,"OPEN_INT","."&amp;O$2&amp;O$1&amp;"C"&amp;$A29)="N/A",0,RTD("tos.rtd",,"OPEN_INT","."&amp;O$2&amp;O$1&amp;"C"&amp;$A29)),0)+IF($A$4&lt;$A29,($A$5-$A$4)*IF(RTD("tos.rtd",,"OPEN_INT","."&amp;O$2&amp;O$1&amp;"P"&amp;$A29)="N/A",0,RTD("tos.rtd",,"OPEN_INT","."&amp;O$2&amp;O$1&amp;"P"&amp;$A29)),0),IF($X$1="ABS",IF(RTD("tos.rtd",,$A$2,"."&amp;O$2&amp;O$1&amp;"C"&amp;$A29)="N/A",0,RTD("tos.rtd",,$A$2,"."&amp;O$2&amp;O$1&amp;"C"&amp;$A29))+IF(RTD("tos.rtd",,$A$2,"."&amp;O$2&amp;O$1&amp;"P"&amp;$A29)="N/A",0,RTD("tos.rtd",,$A$2,"."&amp;O$2&amp;O$1&amp;"P"&amp;$A29)),IF(RTD("tos.rtd",,$A$2,"."&amp;O$2&amp;O$1&amp;"C"&amp;$A29)="N/A",0,RTD("tos.rtd",,$A$2,"."&amp;O$2&amp;O$1&amp;"C"&amp;$A29))-IF(RTD("tos.rtd",,$A$2,"."&amp;O$2&amp;O$1&amp;"P"&amp;$A29)="N/A",0,RTD("tos.rtd",,$A$2,"."&amp;O$2&amp;O$1&amp;"P"&amp;$A29))))))))))</f>
        <v>0</v>
      </c>
      <c r="P29" s="12">
        <f ca="1">IF($A$2="PREMIUM_OI",IFERROR(IF($X$1="ABS",(100*RTD("tos.rtd",,"OPEN_INT","."&amp;P$2&amp;P$1&amp;"C"&amp;$A29)*RTD("tos.rtd",,"LAST","."&amp;P$2&amp;P$1&amp;"C"&amp;$A29)+100*RTD("tos.rtd",,"OPEN_INT","."&amp;P$2&amp;P$1&amp;"P"&amp;$A29)*RTD("tos.rtd",,"LAST","."&amp;P$2&amp;P$1&amp;"P"&amp;$A29))/1000000,(100*RTD("tos.rtd",,"OPEN_INT","."&amp;P$2&amp;P$1&amp;"C"&amp;$A29)*RTD("tos.rtd",,"LAST","."&amp;P$2&amp;P$1&amp;"C"&amp;$A29)-100*RTD("tos.rtd",,"OPEN_INT","."&amp;P$2&amp;P$1&amp;"P"&amp;$A29)*RTD("tos.rtd",,"LAST","."&amp;P$2&amp;P$1&amp;"P"&amp;$A29))/1000000),0),IF($A$2="PREMIUM",IFERROR(IF($X$1="ABS",(100*RTD("tos.rtd",,"VOLUME","."&amp;P$2&amp;P$1&amp;"C"&amp;$A29)*RTD("tos.rtd",,"LAST","."&amp;P$2&amp;P$1&amp;"C"&amp;$A29)+100*RTD("tos.rtd",,"VOLUME","."&amp;P$2&amp;P$1&amp;"P"&amp;$A29)*RTD("tos.rtd",,"LAST","."&amp;P$2&amp;P$1&amp;"P"&amp;$A29))/1000000,(100*RTD("tos.rtd",,"VOLUME","."&amp;P$2&amp;P$1&amp;"C"&amp;$A29)*RTD("tos.rtd",,"LAST","."&amp;P$2&amp;P$1&amp;"C"&amp;$A29)-100*RTD("tos.rtd",,"VOLUME","."&amp;P$2&amp;P$1&amp;"P"&amp;$A29)*RTD("tos.rtd",,"LAST","."&amp;P$2&amp;P$1&amp;"P"&amp;$A29))/1000000),0),IF($A$2="DEX",IFERROR(IF($X$1="ABS",(100*RTD("tos.rtd",,"OPEN_INT","."&amp;P$2&amp;P$1&amp;"C"&amp;$A29)*RTD("tos.rtd",,"DELTA","."&amp;P$2&amp;P$1&amp;"C"&amp;$A29)+100*RTD("tos.rtd",,"OPEN_INT","."&amp;P$2&amp;P$1&amp;"P"&amp;$A29)*RTD("tos.rtd",,"DELTA","."&amp;P$2&amp;P$1&amp;"P"&amp;$A29))/1000,(100*RTD("tos.rtd",,"OPEN_INT","."&amp;P$2&amp;P$1&amp;"C"&amp;$A29)*RTD("tos.rtd",,"DELTA","."&amp;P$2&amp;P$1&amp;"C"&amp;$A29)-100*RTD("tos.rtd",,"OPEN_INT","."&amp;P$2&amp;P$1&amp;"P"&amp;$A29)*RTD("tos.rtd",,"DELTA","."&amp;P$2&amp;P$1&amp;"P"&amp;$A29))/1000),0),IF($A$2="VEX",IFERROR(IF($X$1="ABS",($A$4*$A$4*RTD("tos.rtd",,"VOLUME","."&amp;P$2&amp;P$1&amp;"C"&amp;$A29)*RTD("tos.rtd",,"GAMMA","."&amp;P$2&amp;P$1&amp;"C"&amp;$A29)+$A$4*$A$4*RTD("tos.rtd",,"VOLUME","."&amp;P$2&amp;P$1&amp;"P"&amp;$A29)*RTD("tos.rtd",,"GAMMA","."&amp;P$2&amp;P$1&amp;"P"&amp;$A29))/1000000,($A$4*$A$4*RTD("tos.rtd",,"VOLUME","."&amp;P$2&amp;P$1&amp;"C"&amp;$A29)*RTD("tos.rtd",,"GAMMA","."&amp;P$2&amp;P$1&amp;"C"&amp;$A29)-$A$4*$A$4*RTD("tos.rtd",,"VOLUME","."&amp;P$2&amp;P$1&amp;"P"&amp;$A29)*RTD("tos.rtd",,"GAMMA","."&amp;P$2&amp;P$1&amp;"P"&amp;$A29))/1000000),0),IF($A$2="GEX",IFERROR(IF($X$1="ABS",($A$4*$A$4*RTD("tos.rtd",,"OPEN_INT","."&amp;P$2&amp;P$1&amp;"C"&amp;$A29)*RTD("tos.rtd",,"GAMMA","."&amp;P$2&amp;P$1&amp;"C"&amp;$A29)+$A$4*$A$4*RTD("tos.rtd",,"OPEN_INT","."&amp;P$2&amp;P$1&amp;"P"&amp;$A29)*RTD("tos.rtd",,"GAMMA","."&amp;P$2&amp;P$1&amp;"P"&amp;$A29))/1000000,($A$4*$A$4*RTD("tos.rtd",,"OPEN_INT","."&amp;P$2&amp;P$1&amp;"C"&amp;$A29)*RTD("tos.rtd",,"GAMMA","."&amp;P$2&amp;P$1&amp;"C"&amp;$A29)-$A$4*$A$4*RTD("tos.rtd",,"OPEN_INT","."&amp;P$2&amp;P$1&amp;"P"&amp;$A29)*RTD("tos.rtd",,"GAMMA","."&amp;P$2&amp;P$1&amp;"P"&amp;$A29))/1000000),0),IF($A$2="SKEW",IFERROR(VALUE(IF(RTD("tos.rtd",,"IMPL_VOL","."&amp;P$2&amp;P$1&amp;"P"&amp;$A29)="N/A",0,RTD("tos.rtd",,"IMPL_VOL","."&amp;P$2&amp;P$1&amp;"P"&amp;$A29))),0)-IFERROR(VALUE(IF(RTD("tos.rtd",,"IMPL_VOL","."&amp;P$2&amp;P$1&amp;"C"&amp;$A29)="N/A",0,RTD("tos.rtd",,"IMPL_VOL","."&amp;P$2&amp;P$1&amp;"C"&amp;$A29))),0),IF($A$2="MAXPAIN",IF($A$4&gt;$A29,($A$4-$A29)*IF(RTD("tos.rtd",,"OPEN_INT","."&amp;P$2&amp;P$1&amp;"C"&amp;$A29)="N/A",0,RTD("tos.rtd",,"OPEN_INT","."&amp;P$2&amp;P$1&amp;"C"&amp;$A29)),0)+IF($A$4&lt;$A29,($A$5-$A$4)*IF(RTD("tos.rtd",,"OPEN_INT","."&amp;P$2&amp;P$1&amp;"P"&amp;$A29)="N/A",0,RTD("tos.rtd",,"OPEN_INT","."&amp;P$2&amp;P$1&amp;"P"&amp;$A29)),0),IF($X$1="ABS",IF(RTD("tos.rtd",,$A$2,"."&amp;P$2&amp;P$1&amp;"C"&amp;$A29)="N/A",0,RTD("tos.rtd",,$A$2,"."&amp;P$2&amp;P$1&amp;"C"&amp;$A29))+IF(RTD("tos.rtd",,$A$2,"."&amp;P$2&amp;P$1&amp;"P"&amp;$A29)="N/A",0,RTD("tos.rtd",,$A$2,"."&amp;P$2&amp;P$1&amp;"P"&amp;$A29)),IF(RTD("tos.rtd",,$A$2,"."&amp;P$2&amp;P$1&amp;"C"&amp;$A29)="N/A",0,RTD("tos.rtd",,$A$2,"."&amp;P$2&amp;P$1&amp;"C"&amp;$A29))-IF(RTD("tos.rtd",,$A$2,"."&amp;P$2&amp;P$1&amp;"P"&amp;$A29)="N/A",0,RTD("tos.rtd",,$A$2,"."&amp;P$2&amp;P$1&amp;"P"&amp;$A29))))))))))</f>
        <v>0</v>
      </c>
      <c r="Q29" s="12">
        <f ca="1">IF($A$2="PREMIUM_OI",IFERROR(IF($X$1="ABS",(100*RTD("tos.rtd",,"OPEN_INT","."&amp;Q$2&amp;Q$1&amp;"C"&amp;$A29)*RTD("tos.rtd",,"LAST","."&amp;Q$2&amp;Q$1&amp;"C"&amp;$A29)+100*RTD("tos.rtd",,"OPEN_INT","."&amp;Q$2&amp;Q$1&amp;"P"&amp;$A29)*RTD("tos.rtd",,"LAST","."&amp;Q$2&amp;Q$1&amp;"P"&amp;$A29))/1000000,(100*RTD("tos.rtd",,"OPEN_INT","."&amp;Q$2&amp;Q$1&amp;"C"&amp;$A29)*RTD("tos.rtd",,"LAST","."&amp;Q$2&amp;Q$1&amp;"C"&amp;$A29)-100*RTD("tos.rtd",,"OPEN_INT","."&amp;Q$2&amp;Q$1&amp;"P"&amp;$A29)*RTD("tos.rtd",,"LAST","."&amp;Q$2&amp;Q$1&amp;"P"&amp;$A29))/1000000),0),IF($A$2="PREMIUM",IFERROR(IF($X$1="ABS",(100*RTD("tos.rtd",,"VOLUME","."&amp;Q$2&amp;Q$1&amp;"C"&amp;$A29)*RTD("tos.rtd",,"LAST","."&amp;Q$2&amp;Q$1&amp;"C"&amp;$A29)+100*RTD("tos.rtd",,"VOLUME","."&amp;Q$2&amp;Q$1&amp;"P"&amp;$A29)*RTD("tos.rtd",,"LAST","."&amp;Q$2&amp;Q$1&amp;"P"&amp;$A29))/1000000,(100*RTD("tos.rtd",,"VOLUME","."&amp;Q$2&amp;Q$1&amp;"C"&amp;$A29)*RTD("tos.rtd",,"LAST","."&amp;Q$2&amp;Q$1&amp;"C"&amp;$A29)-100*RTD("tos.rtd",,"VOLUME","."&amp;Q$2&amp;Q$1&amp;"P"&amp;$A29)*RTD("tos.rtd",,"LAST","."&amp;Q$2&amp;Q$1&amp;"P"&amp;$A29))/1000000),0),IF($A$2="DEX",IFERROR(IF($X$1="ABS",(100*RTD("tos.rtd",,"OPEN_INT","."&amp;Q$2&amp;Q$1&amp;"C"&amp;$A29)*RTD("tos.rtd",,"DELTA","."&amp;Q$2&amp;Q$1&amp;"C"&amp;$A29)+100*RTD("tos.rtd",,"OPEN_INT","."&amp;Q$2&amp;Q$1&amp;"P"&amp;$A29)*RTD("tos.rtd",,"DELTA","."&amp;Q$2&amp;Q$1&amp;"P"&amp;$A29))/1000,(100*RTD("tos.rtd",,"OPEN_INT","."&amp;Q$2&amp;Q$1&amp;"C"&amp;$A29)*RTD("tos.rtd",,"DELTA","."&amp;Q$2&amp;Q$1&amp;"C"&amp;$A29)-100*RTD("tos.rtd",,"OPEN_INT","."&amp;Q$2&amp;Q$1&amp;"P"&amp;$A29)*RTD("tos.rtd",,"DELTA","."&amp;Q$2&amp;Q$1&amp;"P"&amp;$A29))/1000),0),IF($A$2="VEX",IFERROR(IF($X$1="ABS",($A$4*$A$4*RTD("tos.rtd",,"VOLUME","."&amp;Q$2&amp;Q$1&amp;"C"&amp;$A29)*RTD("tos.rtd",,"GAMMA","."&amp;Q$2&amp;Q$1&amp;"C"&amp;$A29)+$A$4*$A$4*RTD("tos.rtd",,"VOLUME","."&amp;Q$2&amp;Q$1&amp;"P"&amp;$A29)*RTD("tos.rtd",,"GAMMA","."&amp;Q$2&amp;Q$1&amp;"P"&amp;$A29))/1000000,($A$4*$A$4*RTD("tos.rtd",,"VOLUME","."&amp;Q$2&amp;Q$1&amp;"C"&amp;$A29)*RTD("tos.rtd",,"GAMMA","."&amp;Q$2&amp;Q$1&amp;"C"&amp;$A29)-$A$4*$A$4*RTD("tos.rtd",,"VOLUME","."&amp;Q$2&amp;Q$1&amp;"P"&amp;$A29)*RTD("tos.rtd",,"GAMMA","."&amp;Q$2&amp;Q$1&amp;"P"&amp;$A29))/1000000),0),IF($A$2="GEX",IFERROR(IF($X$1="ABS",($A$4*$A$4*RTD("tos.rtd",,"OPEN_INT","."&amp;Q$2&amp;Q$1&amp;"C"&amp;$A29)*RTD("tos.rtd",,"GAMMA","."&amp;Q$2&amp;Q$1&amp;"C"&amp;$A29)+$A$4*$A$4*RTD("tos.rtd",,"OPEN_INT","."&amp;Q$2&amp;Q$1&amp;"P"&amp;$A29)*RTD("tos.rtd",,"GAMMA","."&amp;Q$2&amp;Q$1&amp;"P"&amp;$A29))/1000000,($A$4*$A$4*RTD("tos.rtd",,"OPEN_INT","."&amp;Q$2&amp;Q$1&amp;"C"&amp;$A29)*RTD("tos.rtd",,"GAMMA","."&amp;Q$2&amp;Q$1&amp;"C"&amp;$A29)-$A$4*$A$4*RTD("tos.rtd",,"OPEN_INT","."&amp;Q$2&amp;Q$1&amp;"P"&amp;$A29)*RTD("tos.rtd",,"GAMMA","."&amp;Q$2&amp;Q$1&amp;"P"&amp;$A29))/1000000),0),IF($A$2="SKEW",IFERROR(VALUE(IF(RTD("tos.rtd",,"IMPL_VOL","."&amp;Q$2&amp;Q$1&amp;"P"&amp;$A29)="N/A",0,RTD("tos.rtd",,"IMPL_VOL","."&amp;Q$2&amp;Q$1&amp;"P"&amp;$A29))),0)-IFERROR(VALUE(IF(RTD("tos.rtd",,"IMPL_VOL","."&amp;Q$2&amp;Q$1&amp;"C"&amp;$A29)="N/A",0,RTD("tos.rtd",,"IMPL_VOL","."&amp;Q$2&amp;Q$1&amp;"C"&amp;$A29))),0),IF($A$2="MAXPAIN",IF($A$4&gt;$A29,($A$4-$A29)*IF(RTD("tos.rtd",,"OPEN_INT","."&amp;Q$2&amp;Q$1&amp;"C"&amp;$A29)="N/A",0,RTD("tos.rtd",,"OPEN_INT","."&amp;Q$2&amp;Q$1&amp;"C"&amp;$A29)),0)+IF($A$4&lt;$A29,($A$5-$A$4)*IF(RTD("tos.rtd",,"OPEN_INT","."&amp;Q$2&amp;Q$1&amp;"P"&amp;$A29)="N/A",0,RTD("tos.rtd",,"OPEN_INT","."&amp;Q$2&amp;Q$1&amp;"P"&amp;$A29)),0),IF($X$1="ABS",IF(RTD("tos.rtd",,$A$2,"."&amp;Q$2&amp;Q$1&amp;"C"&amp;$A29)="N/A",0,RTD("tos.rtd",,$A$2,"."&amp;Q$2&amp;Q$1&amp;"C"&amp;$A29))+IF(RTD("tos.rtd",,$A$2,"."&amp;Q$2&amp;Q$1&amp;"P"&amp;$A29)="N/A",0,RTD("tos.rtd",,$A$2,"."&amp;Q$2&amp;Q$1&amp;"P"&amp;$A29)),IF(RTD("tos.rtd",,$A$2,"."&amp;Q$2&amp;Q$1&amp;"C"&amp;$A29)="N/A",0,RTD("tos.rtd",,$A$2,"."&amp;Q$2&amp;Q$1&amp;"C"&amp;$A29))-IF(RTD("tos.rtd",,$A$2,"."&amp;Q$2&amp;Q$1&amp;"P"&amp;$A29)="N/A",0,RTD("tos.rtd",,$A$2,"."&amp;Q$2&amp;Q$1&amp;"P"&amp;$A29))))))))))</f>
        <v>0</v>
      </c>
      <c r="R29" s="12">
        <f ca="1">IF($A$2="PREMIUM_OI",IFERROR(IF($X$1="ABS",(100*RTD("tos.rtd",,"OPEN_INT","."&amp;R$2&amp;R$1&amp;"C"&amp;$A29)*RTD("tos.rtd",,"LAST","."&amp;R$2&amp;R$1&amp;"C"&amp;$A29)+100*RTD("tos.rtd",,"OPEN_INT","."&amp;R$2&amp;R$1&amp;"P"&amp;$A29)*RTD("tos.rtd",,"LAST","."&amp;R$2&amp;R$1&amp;"P"&amp;$A29))/1000000,(100*RTD("tos.rtd",,"OPEN_INT","."&amp;R$2&amp;R$1&amp;"C"&amp;$A29)*RTD("tos.rtd",,"LAST","."&amp;R$2&amp;R$1&amp;"C"&amp;$A29)-100*RTD("tos.rtd",,"OPEN_INT","."&amp;R$2&amp;R$1&amp;"P"&amp;$A29)*RTD("tos.rtd",,"LAST","."&amp;R$2&amp;R$1&amp;"P"&amp;$A29))/1000000),0),IF($A$2="PREMIUM",IFERROR(IF($X$1="ABS",(100*RTD("tos.rtd",,"VOLUME","."&amp;R$2&amp;R$1&amp;"C"&amp;$A29)*RTD("tos.rtd",,"LAST","."&amp;R$2&amp;R$1&amp;"C"&amp;$A29)+100*RTD("tos.rtd",,"VOLUME","."&amp;R$2&amp;R$1&amp;"P"&amp;$A29)*RTD("tos.rtd",,"LAST","."&amp;R$2&amp;R$1&amp;"P"&amp;$A29))/1000000,(100*RTD("tos.rtd",,"VOLUME","."&amp;R$2&amp;R$1&amp;"C"&amp;$A29)*RTD("tos.rtd",,"LAST","."&amp;R$2&amp;R$1&amp;"C"&amp;$A29)-100*RTD("tos.rtd",,"VOLUME","."&amp;R$2&amp;R$1&amp;"P"&amp;$A29)*RTD("tos.rtd",,"LAST","."&amp;R$2&amp;R$1&amp;"P"&amp;$A29))/1000000),0),IF($A$2="DEX",IFERROR(IF($X$1="ABS",(100*RTD("tos.rtd",,"OPEN_INT","."&amp;R$2&amp;R$1&amp;"C"&amp;$A29)*RTD("tos.rtd",,"DELTA","."&amp;R$2&amp;R$1&amp;"C"&amp;$A29)+100*RTD("tos.rtd",,"OPEN_INT","."&amp;R$2&amp;R$1&amp;"P"&amp;$A29)*RTD("tos.rtd",,"DELTA","."&amp;R$2&amp;R$1&amp;"P"&amp;$A29))/1000,(100*RTD("tos.rtd",,"OPEN_INT","."&amp;R$2&amp;R$1&amp;"C"&amp;$A29)*RTD("tos.rtd",,"DELTA","."&amp;R$2&amp;R$1&amp;"C"&amp;$A29)-100*RTD("tos.rtd",,"OPEN_INT","."&amp;R$2&amp;R$1&amp;"P"&amp;$A29)*RTD("tos.rtd",,"DELTA","."&amp;R$2&amp;R$1&amp;"P"&amp;$A29))/1000),0),IF($A$2="VEX",IFERROR(IF($X$1="ABS",($A$4*$A$4*RTD("tos.rtd",,"VOLUME","."&amp;R$2&amp;R$1&amp;"C"&amp;$A29)*RTD("tos.rtd",,"GAMMA","."&amp;R$2&amp;R$1&amp;"C"&amp;$A29)+$A$4*$A$4*RTD("tos.rtd",,"VOLUME","."&amp;R$2&amp;R$1&amp;"P"&amp;$A29)*RTD("tos.rtd",,"GAMMA","."&amp;R$2&amp;R$1&amp;"P"&amp;$A29))/1000000,($A$4*$A$4*RTD("tos.rtd",,"VOLUME","."&amp;R$2&amp;R$1&amp;"C"&amp;$A29)*RTD("tos.rtd",,"GAMMA","."&amp;R$2&amp;R$1&amp;"C"&amp;$A29)-$A$4*$A$4*RTD("tos.rtd",,"VOLUME","."&amp;R$2&amp;R$1&amp;"P"&amp;$A29)*RTD("tos.rtd",,"GAMMA","."&amp;R$2&amp;R$1&amp;"P"&amp;$A29))/1000000),0),IF($A$2="GEX",IFERROR(IF($X$1="ABS",($A$4*$A$4*RTD("tos.rtd",,"OPEN_INT","."&amp;R$2&amp;R$1&amp;"C"&amp;$A29)*RTD("tos.rtd",,"GAMMA","."&amp;R$2&amp;R$1&amp;"C"&amp;$A29)+$A$4*$A$4*RTD("tos.rtd",,"OPEN_INT","."&amp;R$2&amp;R$1&amp;"P"&amp;$A29)*RTD("tos.rtd",,"GAMMA","."&amp;R$2&amp;R$1&amp;"P"&amp;$A29))/1000000,($A$4*$A$4*RTD("tos.rtd",,"OPEN_INT","."&amp;R$2&amp;R$1&amp;"C"&amp;$A29)*RTD("tos.rtd",,"GAMMA","."&amp;R$2&amp;R$1&amp;"C"&amp;$A29)-$A$4*$A$4*RTD("tos.rtd",,"OPEN_INT","."&amp;R$2&amp;R$1&amp;"P"&amp;$A29)*RTD("tos.rtd",,"GAMMA","."&amp;R$2&amp;R$1&amp;"P"&amp;$A29))/1000000),0),IF($A$2="SKEW",IFERROR(VALUE(IF(RTD("tos.rtd",,"IMPL_VOL","."&amp;R$2&amp;R$1&amp;"P"&amp;$A29)="N/A",0,RTD("tos.rtd",,"IMPL_VOL","."&amp;R$2&amp;R$1&amp;"P"&amp;$A29))),0)-IFERROR(VALUE(IF(RTD("tos.rtd",,"IMPL_VOL","."&amp;R$2&amp;R$1&amp;"C"&amp;$A29)="N/A",0,RTD("tos.rtd",,"IMPL_VOL","."&amp;R$2&amp;R$1&amp;"C"&amp;$A29))),0),IF($A$2="MAXPAIN",IF($A$4&gt;$A29,($A$4-$A29)*IF(RTD("tos.rtd",,"OPEN_INT","."&amp;R$2&amp;R$1&amp;"C"&amp;$A29)="N/A",0,RTD("tos.rtd",,"OPEN_INT","."&amp;R$2&amp;R$1&amp;"C"&amp;$A29)),0)+IF($A$4&lt;$A29,($A$5-$A$4)*IF(RTD("tos.rtd",,"OPEN_INT","."&amp;R$2&amp;R$1&amp;"P"&amp;$A29)="N/A",0,RTD("tos.rtd",,"OPEN_INT","."&amp;R$2&amp;R$1&amp;"P"&amp;$A29)),0),IF($X$1="ABS",IF(RTD("tos.rtd",,$A$2,"."&amp;R$2&amp;R$1&amp;"C"&amp;$A29)="N/A",0,RTD("tos.rtd",,$A$2,"."&amp;R$2&amp;R$1&amp;"C"&amp;$A29))+IF(RTD("tos.rtd",,$A$2,"."&amp;R$2&amp;R$1&amp;"P"&amp;$A29)="N/A",0,RTD("tos.rtd",,$A$2,"."&amp;R$2&amp;R$1&amp;"P"&amp;$A29)),IF(RTD("tos.rtd",,$A$2,"."&amp;R$2&amp;R$1&amp;"C"&amp;$A29)="N/A",0,RTD("tos.rtd",,$A$2,"."&amp;R$2&amp;R$1&amp;"C"&amp;$A29))-IF(RTD("tos.rtd",,$A$2,"."&amp;R$2&amp;R$1&amp;"P"&amp;$A29)="N/A",0,RTD("tos.rtd",,$A$2,"."&amp;R$2&amp;R$1&amp;"P"&amp;$A29))))))))))</f>
        <v>0</v>
      </c>
      <c r="S29" s="12">
        <f ca="1">IF($A$2="PREMIUM_OI",IFERROR(IF($X$1="ABS",(100*RTD("tos.rtd",,"OPEN_INT","."&amp;S$2&amp;S$1&amp;"C"&amp;$A29)*RTD("tos.rtd",,"LAST","."&amp;S$2&amp;S$1&amp;"C"&amp;$A29)+100*RTD("tos.rtd",,"OPEN_INT","."&amp;S$2&amp;S$1&amp;"P"&amp;$A29)*RTD("tos.rtd",,"LAST","."&amp;S$2&amp;S$1&amp;"P"&amp;$A29))/1000000,(100*RTD("tos.rtd",,"OPEN_INT","."&amp;S$2&amp;S$1&amp;"C"&amp;$A29)*RTD("tos.rtd",,"LAST","."&amp;S$2&amp;S$1&amp;"C"&amp;$A29)-100*RTD("tos.rtd",,"OPEN_INT","."&amp;S$2&amp;S$1&amp;"P"&amp;$A29)*RTD("tos.rtd",,"LAST","."&amp;S$2&amp;S$1&amp;"P"&amp;$A29))/1000000),0),IF($A$2="PREMIUM",IFERROR(IF($X$1="ABS",(100*RTD("tos.rtd",,"VOLUME","."&amp;S$2&amp;S$1&amp;"C"&amp;$A29)*RTD("tos.rtd",,"LAST","."&amp;S$2&amp;S$1&amp;"C"&amp;$A29)+100*RTD("tos.rtd",,"VOLUME","."&amp;S$2&amp;S$1&amp;"P"&amp;$A29)*RTD("tos.rtd",,"LAST","."&amp;S$2&amp;S$1&amp;"P"&amp;$A29))/1000000,(100*RTD("tos.rtd",,"VOLUME","."&amp;S$2&amp;S$1&amp;"C"&amp;$A29)*RTD("tos.rtd",,"LAST","."&amp;S$2&amp;S$1&amp;"C"&amp;$A29)-100*RTD("tos.rtd",,"VOLUME","."&amp;S$2&amp;S$1&amp;"P"&amp;$A29)*RTD("tos.rtd",,"LAST","."&amp;S$2&amp;S$1&amp;"P"&amp;$A29))/1000000),0),IF($A$2="DEX",IFERROR(IF($X$1="ABS",(100*RTD("tos.rtd",,"OPEN_INT","."&amp;S$2&amp;S$1&amp;"C"&amp;$A29)*RTD("tos.rtd",,"DELTA","."&amp;S$2&amp;S$1&amp;"C"&amp;$A29)+100*RTD("tos.rtd",,"OPEN_INT","."&amp;S$2&amp;S$1&amp;"P"&amp;$A29)*RTD("tos.rtd",,"DELTA","."&amp;S$2&amp;S$1&amp;"P"&amp;$A29))/1000,(100*RTD("tos.rtd",,"OPEN_INT","."&amp;S$2&amp;S$1&amp;"C"&amp;$A29)*RTD("tos.rtd",,"DELTA","."&amp;S$2&amp;S$1&amp;"C"&amp;$A29)-100*RTD("tos.rtd",,"OPEN_INT","."&amp;S$2&amp;S$1&amp;"P"&amp;$A29)*RTD("tos.rtd",,"DELTA","."&amp;S$2&amp;S$1&amp;"P"&amp;$A29))/1000),0),IF($A$2="VEX",IFERROR(IF($X$1="ABS",($A$4*$A$4*RTD("tos.rtd",,"VOLUME","."&amp;S$2&amp;S$1&amp;"C"&amp;$A29)*RTD("tos.rtd",,"GAMMA","."&amp;S$2&amp;S$1&amp;"C"&amp;$A29)+$A$4*$A$4*RTD("tos.rtd",,"VOLUME","."&amp;S$2&amp;S$1&amp;"P"&amp;$A29)*RTD("tos.rtd",,"GAMMA","."&amp;S$2&amp;S$1&amp;"P"&amp;$A29))/1000000,($A$4*$A$4*RTD("tos.rtd",,"VOLUME","."&amp;S$2&amp;S$1&amp;"C"&amp;$A29)*RTD("tos.rtd",,"GAMMA","."&amp;S$2&amp;S$1&amp;"C"&amp;$A29)-$A$4*$A$4*RTD("tos.rtd",,"VOLUME","."&amp;S$2&amp;S$1&amp;"P"&amp;$A29)*RTD("tos.rtd",,"GAMMA","."&amp;S$2&amp;S$1&amp;"P"&amp;$A29))/1000000),0),IF($A$2="GEX",IFERROR(IF($X$1="ABS",($A$4*$A$4*RTD("tos.rtd",,"OPEN_INT","."&amp;S$2&amp;S$1&amp;"C"&amp;$A29)*RTD("tos.rtd",,"GAMMA","."&amp;S$2&amp;S$1&amp;"C"&amp;$A29)+$A$4*$A$4*RTD("tos.rtd",,"OPEN_INT","."&amp;S$2&amp;S$1&amp;"P"&amp;$A29)*RTD("tos.rtd",,"GAMMA","."&amp;S$2&amp;S$1&amp;"P"&amp;$A29))/1000000,($A$4*$A$4*RTD("tos.rtd",,"OPEN_INT","."&amp;S$2&amp;S$1&amp;"C"&amp;$A29)*RTD("tos.rtd",,"GAMMA","."&amp;S$2&amp;S$1&amp;"C"&amp;$A29)-$A$4*$A$4*RTD("tos.rtd",,"OPEN_INT","."&amp;S$2&amp;S$1&amp;"P"&amp;$A29)*RTD("tos.rtd",,"GAMMA","."&amp;S$2&amp;S$1&amp;"P"&amp;$A29))/1000000),0),IF($A$2="SKEW",IFERROR(VALUE(IF(RTD("tos.rtd",,"IMPL_VOL","."&amp;S$2&amp;S$1&amp;"P"&amp;$A29)="N/A",0,RTD("tos.rtd",,"IMPL_VOL","."&amp;S$2&amp;S$1&amp;"P"&amp;$A29))),0)-IFERROR(VALUE(IF(RTD("tos.rtd",,"IMPL_VOL","."&amp;S$2&amp;S$1&amp;"C"&amp;$A29)="N/A",0,RTD("tos.rtd",,"IMPL_VOL","."&amp;S$2&amp;S$1&amp;"C"&amp;$A29))),0),IF($A$2="MAXPAIN",IF($A$4&gt;$A29,($A$4-$A29)*IF(RTD("tos.rtd",,"OPEN_INT","."&amp;S$2&amp;S$1&amp;"C"&amp;$A29)="N/A",0,RTD("tos.rtd",,"OPEN_INT","."&amp;S$2&amp;S$1&amp;"C"&amp;$A29)),0)+IF($A$4&lt;$A29,($A$5-$A$4)*IF(RTD("tos.rtd",,"OPEN_INT","."&amp;S$2&amp;S$1&amp;"P"&amp;$A29)="N/A",0,RTD("tos.rtd",,"OPEN_INT","."&amp;S$2&amp;S$1&amp;"P"&amp;$A29)),0),IF($X$1="ABS",IF(RTD("tos.rtd",,$A$2,"."&amp;S$2&amp;S$1&amp;"C"&amp;$A29)="N/A",0,RTD("tos.rtd",,$A$2,"."&amp;S$2&amp;S$1&amp;"C"&amp;$A29))+IF(RTD("tos.rtd",,$A$2,"."&amp;S$2&amp;S$1&amp;"P"&amp;$A29)="N/A",0,RTD("tos.rtd",,$A$2,"."&amp;S$2&amp;S$1&amp;"P"&amp;$A29)),IF(RTD("tos.rtd",,$A$2,"."&amp;S$2&amp;S$1&amp;"C"&amp;$A29)="N/A",0,RTD("tos.rtd",,$A$2,"."&amp;S$2&amp;S$1&amp;"C"&amp;$A29))-IF(RTD("tos.rtd",,$A$2,"."&amp;S$2&amp;S$1&amp;"P"&amp;$A29)="N/A",0,RTD("tos.rtd",,$A$2,"."&amp;S$2&amp;S$1&amp;"P"&amp;$A29))))))))))</f>
        <v>0</v>
      </c>
      <c r="T29" s="12">
        <f ca="1">IF($A$2="PREMIUM_OI",IFERROR(IF($X$1="ABS",(100*RTD("tos.rtd",,"OPEN_INT","."&amp;T$2&amp;T$1&amp;"C"&amp;$A29)*RTD("tos.rtd",,"LAST","."&amp;T$2&amp;T$1&amp;"C"&amp;$A29)+100*RTD("tos.rtd",,"OPEN_INT","."&amp;T$2&amp;T$1&amp;"P"&amp;$A29)*RTD("tos.rtd",,"LAST","."&amp;T$2&amp;T$1&amp;"P"&amp;$A29))/1000000,(100*RTD("tos.rtd",,"OPEN_INT","."&amp;T$2&amp;T$1&amp;"C"&amp;$A29)*RTD("tos.rtd",,"LAST","."&amp;T$2&amp;T$1&amp;"C"&amp;$A29)-100*RTD("tos.rtd",,"OPEN_INT","."&amp;T$2&amp;T$1&amp;"P"&amp;$A29)*RTD("tos.rtd",,"LAST","."&amp;T$2&amp;T$1&amp;"P"&amp;$A29))/1000000),0),IF($A$2="PREMIUM",IFERROR(IF($X$1="ABS",(100*RTD("tos.rtd",,"VOLUME","."&amp;T$2&amp;T$1&amp;"C"&amp;$A29)*RTD("tos.rtd",,"LAST","."&amp;T$2&amp;T$1&amp;"C"&amp;$A29)+100*RTD("tos.rtd",,"VOLUME","."&amp;T$2&amp;T$1&amp;"P"&amp;$A29)*RTD("tos.rtd",,"LAST","."&amp;T$2&amp;T$1&amp;"P"&amp;$A29))/1000000,(100*RTD("tos.rtd",,"VOLUME","."&amp;T$2&amp;T$1&amp;"C"&amp;$A29)*RTD("tos.rtd",,"LAST","."&amp;T$2&amp;T$1&amp;"C"&amp;$A29)-100*RTD("tos.rtd",,"VOLUME","."&amp;T$2&amp;T$1&amp;"P"&amp;$A29)*RTD("tos.rtd",,"LAST","."&amp;T$2&amp;T$1&amp;"P"&amp;$A29))/1000000),0),IF($A$2="DEX",IFERROR(IF($X$1="ABS",(100*RTD("tos.rtd",,"OPEN_INT","."&amp;T$2&amp;T$1&amp;"C"&amp;$A29)*RTD("tos.rtd",,"DELTA","."&amp;T$2&amp;T$1&amp;"C"&amp;$A29)+100*RTD("tos.rtd",,"OPEN_INT","."&amp;T$2&amp;T$1&amp;"P"&amp;$A29)*RTD("tos.rtd",,"DELTA","."&amp;T$2&amp;T$1&amp;"P"&amp;$A29))/1000,(100*RTD("tos.rtd",,"OPEN_INT","."&amp;T$2&amp;T$1&amp;"C"&amp;$A29)*RTD("tos.rtd",,"DELTA","."&amp;T$2&amp;T$1&amp;"C"&amp;$A29)-100*RTD("tos.rtd",,"OPEN_INT","."&amp;T$2&amp;T$1&amp;"P"&amp;$A29)*RTD("tos.rtd",,"DELTA","."&amp;T$2&amp;T$1&amp;"P"&amp;$A29))/1000),0),IF($A$2="VEX",IFERROR(IF($X$1="ABS",($A$4*$A$4*RTD("tos.rtd",,"VOLUME","."&amp;T$2&amp;T$1&amp;"C"&amp;$A29)*RTD("tos.rtd",,"GAMMA","."&amp;T$2&amp;T$1&amp;"C"&amp;$A29)+$A$4*$A$4*RTD("tos.rtd",,"VOLUME","."&amp;T$2&amp;T$1&amp;"P"&amp;$A29)*RTD("tos.rtd",,"GAMMA","."&amp;T$2&amp;T$1&amp;"P"&amp;$A29))/1000000,($A$4*$A$4*RTD("tos.rtd",,"VOLUME","."&amp;T$2&amp;T$1&amp;"C"&amp;$A29)*RTD("tos.rtd",,"GAMMA","."&amp;T$2&amp;T$1&amp;"C"&amp;$A29)-$A$4*$A$4*RTD("tos.rtd",,"VOLUME","."&amp;T$2&amp;T$1&amp;"P"&amp;$A29)*RTD("tos.rtd",,"GAMMA","."&amp;T$2&amp;T$1&amp;"P"&amp;$A29))/1000000),0),IF($A$2="GEX",IFERROR(IF($X$1="ABS",($A$4*$A$4*RTD("tos.rtd",,"OPEN_INT","."&amp;T$2&amp;T$1&amp;"C"&amp;$A29)*RTD("tos.rtd",,"GAMMA","."&amp;T$2&amp;T$1&amp;"C"&amp;$A29)+$A$4*$A$4*RTD("tos.rtd",,"OPEN_INT","."&amp;T$2&amp;T$1&amp;"P"&amp;$A29)*RTD("tos.rtd",,"GAMMA","."&amp;T$2&amp;T$1&amp;"P"&amp;$A29))/1000000,($A$4*$A$4*RTD("tos.rtd",,"OPEN_INT","."&amp;T$2&amp;T$1&amp;"C"&amp;$A29)*RTD("tos.rtd",,"GAMMA","."&amp;T$2&amp;T$1&amp;"C"&amp;$A29)-$A$4*$A$4*RTD("tos.rtd",,"OPEN_INT","."&amp;T$2&amp;T$1&amp;"P"&amp;$A29)*RTD("tos.rtd",,"GAMMA","."&amp;T$2&amp;T$1&amp;"P"&amp;$A29))/1000000),0),IF($A$2="SKEW",IFERROR(VALUE(IF(RTD("tos.rtd",,"IMPL_VOL","."&amp;T$2&amp;T$1&amp;"P"&amp;$A29)="N/A",0,RTD("tos.rtd",,"IMPL_VOL","."&amp;T$2&amp;T$1&amp;"P"&amp;$A29))),0)-IFERROR(VALUE(IF(RTD("tos.rtd",,"IMPL_VOL","."&amp;T$2&amp;T$1&amp;"C"&amp;$A29)="N/A",0,RTD("tos.rtd",,"IMPL_VOL","."&amp;T$2&amp;T$1&amp;"C"&amp;$A29))),0),IF($A$2="MAXPAIN",IF($A$4&gt;$A29,($A$4-$A29)*IF(RTD("tos.rtd",,"OPEN_INT","."&amp;T$2&amp;T$1&amp;"C"&amp;$A29)="N/A",0,RTD("tos.rtd",,"OPEN_INT","."&amp;T$2&amp;T$1&amp;"C"&amp;$A29)),0)+IF($A$4&lt;$A29,($A$5-$A$4)*IF(RTD("tos.rtd",,"OPEN_INT","."&amp;T$2&amp;T$1&amp;"P"&amp;$A29)="N/A",0,RTD("tos.rtd",,"OPEN_INT","."&amp;T$2&amp;T$1&amp;"P"&amp;$A29)),0),IF($X$1="ABS",IF(RTD("tos.rtd",,$A$2,"."&amp;T$2&amp;T$1&amp;"C"&amp;$A29)="N/A",0,RTD("tos.rtd",,$A$2,"."&amp;T$2&amp;T$1&amp;"C"&amp;$A29))+IF(RTD("tos.rtd",,$A$2,"."&amp;T$2&amp;T$1&amp;"P"&amp;$A29)="N/A",0,RTD("tos.rtd",,$A$2,"."&amp;T$2&amp;T$1&amp;"P"&amp;$A29)),IF(RTD("tos.rtd",,$A$2,"."&amp;T$2&amp;T$1&amp;"C"&amp;$A29)="N/A",0,RTD("tos.rtd",,$A$2,"."&amp;T$2&amp;T$1&amp;"C"&amp;$A29))-IF(RTD("tos.rtd",,$A$2,"."&amp;T$2&amp;T$1&amp;"P"&amp;$A29)="N/A",0,RTD("tos.rtd",,$A$2,"."&amp;T$2&amp;T$1&amp;"P"&amp;$A29))))))))))</f>
        <v>0</v>
      </c>
      <c r="U29" s="12">
        <f ca="1">IF($A$2="PREMIUM_OI",IFERROR(IF($X$1="ABS",(100*RTD("tos.rtd",,"OPEN_INT","."&amp;U$2&amp;U$1&amp;"C"&amp;$A29)*RTD("tos.rtd",,"LAST","."&amp;U$2&amp;U$1&amp;"C"&amp;$A29)+100*RTD("tos.rtd",,"OPEN_INT","."&amp;U$2&amp;U$1&amp;"P"&amp;$A29)*RTD("tos.rtd",,"LAST","."&amp;U$2&amp;U$1&amp;"P"&amp;$A29))/1000000,(100*RTD("tos.rtd",,"OPEN_INT","."&amp;U$2&amp;U$1&amp;"C"&amp;$A29)*RTD("tos.rtd",,"LAST","."&amp;U$2&amp;U$1&amp;"C"&amp;$A29)-100*RTD("tos.rtd",,"OPEN_INT","."&amp;U$2&amp;U$1&amp;"P"&amp;$A29)*RTD("tos.rtd",,"LAST","."&amp;U$2&amp;U$1&amp;"P"&amp;$A29))/1000000),0),IF($A$2="PREMIUM",IFERROR(IF($X$1="ABS",(100*RTD("tos.rtd",,"VOLUME","."&amp;U$2&amp;U$1&amp;"C"&amp;$A29)*RTD("tos.rtd",,"LAST","."&amp;U$2&amp;U$1&amp;"C"&amp;$A29)+100*RTD("tos.rtd",,"VOLUME","."&amp;U$2&amp;U$1&amp;"P"&amp;$A29)*RTD("tos.rtd",,"LAST","."&amp;U$2&amp;U$1&amp;"P"&amp;$A29))/1000000,(100*RTD("tos.rtd",,"VOLUME","."&amp;U$2&amp;U$1&amp;"C"&amp;$A29)*RTD("tos.rtd",,"LAST","."&amp;U$2&amp;U$1&amp;"C"&amp;$A29)-100*RTD("tos.rtd",,"VOLUME","."&amp;U$2&amp;U$1&amp;"P"&amp;$A29)*RTD("tos.rtd",,"LAST","."&amp;U$2&amp;U$1&amp;"P"&amp;$A29))/1000000),0),IF($A$2="DEX",IFERROR(IF($X$1="ABS",(100*RTD("tos.rtd",,"OPEN_INT","."&amp;U$2&amp;U$1&amp;"C"&amp;$A29)*RTD("tos.rtd",,"DELTA","."&amp;U$2&amp;U$1&amp;"C"&amp;$A29)+100*RTD("tos.rtd",,"OPEN_INT","."&amp;U$2&amp;U$1&amp;"P"&amp;$A29)*RTD("tos.rtd",,"DELTA","."&amp;U$2&amp;U$1&amp;"P"&amp;$A29))/1000,(100*RTD("tos.rtd",,"OPEN_INT","."&amp;U$2&amp;U$1&amp;"C"&amp;$A29)*RTD("tos.rtd",,"DELTA","."&amp;U$2&amp;U$1&amp;"C"&amp;$A29)-100*RTD("tos.rtd",,"OPEN_INT","."&amp;U$2&amp;U$1&amp;"P"&amp;$A29)*RTD("tos.rtd",,"DELTA","."&amp;U$2&amp;U$1&amp;"P"&amp;$A29))/1000),0),IF($A$2="VEX",IFERROR(IF($X$1="ABS",($A$4*$A$4*RTD("tos.rtd",,"VOLUME","."&amp;U$2&amp;U$1&amp;"C"&amp;$A29)*RTD("tos.rtd",,"GAMMA","."&amp;U$2&amp;U$1&amp;"C"&amp;$A29)+$A$4*$A$4*RTD("tos.rtd",,"VOLUME","."&amp;U$2&amp;U$1&amp;"P"&amp;$A29)*RTD("tos.rtd",,"GAMMA","."&amp;U$2&amp;U$1&amp;"P"&amp;$A29))/1000000,($A$4*$A$4*RTD("tos.rtd",,"VOLUME","."&amp;U$2&amp;U$1&amp;"C"&amp;$A29)*RTD("tos.rtd",,"GAMMA","."&amp;U$2&amp;U$1&amp;"C"&amp;$A29)-$A$4*$A$4*RTD("tos.rtd",,"VOLUME","."&amp;U$2&amp;U$1&amp;"P"&amp;$A29)*RTD("tos.rtd",,"GAMMA","."&amp;U$2&amp;U$1&amp;"P"&amp;$A29))/1000000),0),IF($A$2="GEX",IFERROR(IF($X$1="ABS",($A$4*$A$4*RTD("tos.rtd",,"OPEN_INT","."&amp;U$2&amp;U$1&amp;"C"&amp;$A29)*RTD("tos.rtd",,"GAMMA","."&amp;U$2&amp;U$1&amp;"C"&amp;$A29)+$A$4*$A$4*RTD("tos.rtd",,"OPEN_INT","."&amp;U$2&amp;U$1&amp;"P"&amp;$A29)*RTD("tos.rtd",,"GAMMA","."&amp;U$2&amp;U$1&amp;"P"&amp;$A29))/1000000,($A$4*$A$4*RTD("tos.rtd",,"OPEN_INT","."&amp;U$2&amp;U$1&amp;"C"&amp;$A29)*RTD("tos.rtd",,"GAMMA","."&amp;U$2&amp;U$1&amp;"C"&amp;$A29)-$A$4*$A$4*RTD("tos.rtd",,"OPEN_INT","."&amp;U$2&amp;U$1&amp;"P"&amp;$A29)*RTD("tos.rtd",,"GAMMA","."&amp;U$2&amp;U$1&amp;"P"&amp;$A29))/1000000),0),IF($A$2="SKEW",IFERROR(VALUE(IF(RTD("tos.rtd",,"IMPL_VOL","."&amp;U$2&amp;U$1&amp;"P"&amp;$A29)="N/A",0,RTD("tos.rtd",,"IMPL_VOL","."&amp;U$2&amp;U$1&amp;"P"&amp;$A29))),0)-IFERROR(VALUE(IF(RTD("tos.rtd",,"IMPL_VOL","."&amp;U$2&amp;U$1&amp;"C"&amp;$A29)="N/A",0,RTD("tos.rtd",,"IMPL_VOL","."&amp;U$2&amp;U$1&amp;"C"&amp;$A29))),0),IF($A$2="MAXPAIN",IF($A$4&gt;$A29,($A$4-$A29)*IF(RTD("tos.rtd",,"OPEN_INT","."&amp;U$2&amp;U$1&amp;"C"&amp;$A29)="N/A",0,RTD("tos.rtd",,"OPEN_INT","."&amp;U$2&amp;U$1&amp;"C"&amp;$A29)),0)+IF($A$4&lt;$A29,($A$5-$A$4)*IF(RTD("tos.rtd",,"OPEN_INT","."&amp;U$2&amp;U$1&amp;"P"&amp;$A29)="N/A",0,RTD("tos.rtd",,"OPEN_INT","."&amp;U$2&amp;U$1&amp;"P"&amp;$A29)),0),IF($X$1="ABS",IF(RTD("tos.rtd",,$A$2,"."&amp;U$2&amp;U$1&amp;"C"&amp;$A29)="N/A",0,RTD("tos.rtd",,$A$2,"."&amp;U$2&amp;U$1&amp;"C"&amp;$A29))+IF(RTD("tos.rtd",,$A$2,"."&amp;U$2&amp;U$1&amp;"P"&amp;$A29)="N/A",0,RTD("tos.rtd",,$A$2,"."&amp;U$2&amp;U$1&amp;"P"&amp;$A29)),IF(RTD("tos.rtd",,$A$2,"."&amp;U$2&amp;U$1&amp;"C"&amp;$A29)="N/A",0,RTD("tos.rtd",,$A$2,"."&amp;U$2&amp;U$1&amp;"C"&amp;$A29))-IF(RTD("tos.rtd",,$A$2,"."&amp;U$2&amp;U$1&amp;"P"&amp;$A29)="N/A",0,RTD("tos.rtd",,$A$2,"."&amp;U$2&amp;U$1&amp;"P"&amp;$A29))))))))))</f>
        <v>0</v>
      </c>
      <c r="V29" s="12">
        <f ca="1">IF($A$2="PREMIUM_OI",IFERROR(IF($X$1="ABS",(100*RTD("tos.rtd",,"OPEN_INT","."&amp;V$2&amp;V$1&amp;"C"&amp;$A29)*RTD("tos.rtd",,"LAST","."&amp;V$2&amp;V$1&amp;"C"&amp;$A29)+100*RTD("tos.rtd",,"OPEN_INT","."&amp;V$2&amp;V$1&amp;"P"&amp;$A29)*RTD("tos.rtd",,"LAST","."&amp;V$2&amp;V$1&amp;"P"&amp;$A29))/1000000,(100*RTD("tos.rtd",,"OPEN_INT","."&amp;V$2&amp;V$1&amp;"C"&amp;$A29)*RTD("tos.rtd",,"LAST","."&amp;V$2&amp;V$1&amp;"C"&amp;$A29)-100*RTD("tos.rtd",,"OPEN_INT","."&amp;V$2&amp;V$1&amp;"P"&amp;$A29)*RTD("tos.rtd",,"LAST","."&amp;V$2&amp;V$1&amp;"P"&amp;$A29))/1000000),0),IF($A$2="PREMIUM",IFERROR(IF($X$1="ABS",(100*RTD("tos.rtd",,"VOLUME","."&amp;V$2&amp;V$1&amp;"C"&amp;$A29)*RTD("tos.rtd",,"LAST","."&amp;V$2&amp;V$1&amp;"C"&amp;$A29)+100*RTD("tos.rtd",,"VOLUME","."&amp;V$2&amp;V$1&amp;"P"&amp;$A29)*RTD("tos.rtd",,"LAST","."&amp;V$2&amp;V$1&amp;"P"&amp;$A29))/1000000,(100*RTD("tos.rtd",,"VOLUME","."&amp;V$2&amp;V$1&amp;"C"&amp;$A29)*RTD("tos.rtd",,"LAST","."&amp;V$2&amp;V$1&amp;"C"&amp;$A29)-100*RTD("tos.rtd",,"VOLUME","."&amp;V$2&amp;V$1&amp;"P"&amp;$A29)*RTD("tos.rtd",,"LAST","."&amp;V$2&amp;V$1&amp;"P"&amp;$A29))/1000000),0),IF($A$2="DEX",IFERROR(IF($X$1="ABS",(100*RTD("tos.rtd",,"OPEN_INT","."&amp;V$2&amp;V$1&amp;"C"&amp;$A29)*RTD("tos.rtd",,"DELTA","."&amp;V$2&amp;V$1&amp;"C"&amp;$A29)+100*RTD("tos.rtd",,"OPEN_INT","."&amp;V$2&amp;V$1&amp;"P"&amp;$A29)*RTD("tos.rtd",,"DELTA","."&amp;V$2&amp;V$1&amp;"P"&amp;$A29))/1000,(100*RTD("tos.rtd",,"OPEN_INT","."&amp;V$2&amp;V$1&amp;"C"&amp;$A29)*RTD("tos.rtd",,"DELTA","."&amp;V$2&amp;V$1&amp;"C"&amp;$A29)-100*RTD("tos.rtd",,"OPEN_INT","."&amp;V$2&amp;V$1&amp;"P"&amp;$A29)*RTD("tos.rtd",,"DELTA","."&amp;V$2&amp;V$1&amp;"P"&amp;$A29))/1000),0),IF($A$2="VEX",IFERROR(IF($X$1="ABS",($A$4*$A$4*RTD("tos.rtd",,"VOLUME","."&amp;V$2&amp;V$1&amp;"C"&amp;$A29)*RTD("tos.rtd",,"GAMMA","."&amp;V$2&amp;V$1&amp;"C"&amp;$A29)+$A$4*$A$4*RTD("tos.rtd",,"VOLUME","."&amp;V$2&amp;V$1&amp;"P"&amp;$A29)*RTD("tos.rtd",,"GAMMA","."&amp;V$2&amp;V$1&amp;"P"&amp;$A29))/1000000,($A$4*$A$4*RTD("tos.rtd",,"VOLUME","."&amp;V$2&amp;V$1&amp;"C"&amp;$A29)*RTD("tos.rtd",,"GAMMA","."&amp;V$2&amp;V$1&amp;"C"&amp;$A29)-$A$4*$A$4*RTD("tos.rtd",,"VOLUME","."&amp;V$2&amp;V$1&amp;"P"&amp;$A29)*RTD("tos.rtd",,"GAMMA","."&amp;V$2&amp;V$1&amp;"P"&amp;$A29))/1000000),0),IF($A$2="GEX",IFERROR(IF($X$1="ABS",($A$4*$A$4*RTD("tos.rtd",,"OPEN_INT","."&amp;V$2&amp;V$1&amp;"C"&amp;$A29)*RTD("tos.rtd",,"GAMMA","."&amp;V$2&amp;V$1&amp;"C"&amp;$A29)+$A$4*$A$4*RTD("tos.rtd",,"OPEN_INT","."&amp;V$2&amp;V$1&amp;"P"&amp;$A29)*RTD("tos.rtd",,"GAMMA","."&amp;V$2&amp;V$1&amp;"P"&amp;$A29))/1000000,($A$4*$A$4*RTD("tos.rtd",,"OPEN_INT","."&amp;V$2&amp;V$1&amp;"C"&amp;$A29)*RTD("tos.rtd",,"GAMMA","."&amp;V$2&amp;V$1&amp;"C"&amp;$A29)-$A$4*$A$4*RTD("tos.rtd",,"OPEN_INT","."&amp;V$2&amp;V$1&amp;"P"&amp;$A29)*RTD("tos.rtd",,"GAMMA","."&amp;V$2&amp;V$1&amp;"P"&amp;$A29))/1000000),0),IF($A$2="SKEW",IFERROR(VALUE(IF(RTD("tos.rtd",,"IMPL_VOL","."&amp;V$2&amp;V$1&amp;"P"&amp;$A29)="N/A",0,RTD("tos.rtd",,"IMPL_VOL","."&amp;V$2&amp;V$1&amp;"P"&amp;$A29))),0)-IFERROR(VALUE(IF(RTD("tos.rtd",,"IMPL_VOL","."&amp;V$2&amp;V$1&amp;"C"&amp;$A29)="N/A",0,RTD("tos.rtd",,"IMPL_VOL","."&amp;V$2&amp;V$1&amp;"C"&amp;$A29))),0),IF($A$2="MAXPAIN",IF($A$4&gt;$A29,($A$4-$A29)*IF(RTD("tos.rtd",,"OPEN_INT","."&amp;V$2&amp;V$1&amp;"C"&amp;$A29)="N/A",0,RTD("tos.rtd",,"OPEN_INT","."&amp;V$2&amp;V$1&amp;"C"&amp;$A29)),0)+IF($A$4&lt;$A29,($A$5-$A$4)*IF(RTD("tos.rtd",,"OPEN_INT","."&amp;V$2&amp;V$1&amp;"P"&amp;$A29)="N/A",0,RTD("tos.rtd",,"OPEN_INT","."&amp;V$2&amp;V$1&amp;"P"&amp;$A29)),0),IF($X$1="ABS",IF(RTD("tos.rtd",,$A$2,"."&amp;V$2&amp;V$1&amp;"C"&amp;$A29)="N/A",0,RTD("tos.rtd",,$A$2,"."&amp;V$2&amp;V$1&amp;"C"&amp;$A29))+IF(RTD("tos.rtd",,$A$2,"."&amp;V$2&amp;V$1&amp;"P"&amp;$A29)="N/A",0,RTD("tos.rtd",,$A$2,"."&amp;V$2&amp;V$1&amp;"P"&amp;$A29)),IF(RTD("tos.rtd",,$A$2,"."&amp;V$2&amp;V$1&amp;"C"&amp;$A29)="N/A",0,RTD("tos.rtd",,$A$2,"."&amp;V$2&amp;V$1&amp;"C"&amp;$A29))-IF(RTD("tos.rtd",,$A$2,"."&amp;V$2&amp;V$1&amp;"P"&amp;$A29)="N/A",0,RTD("tos.rtd",,$A$2,"."&amp;V$2&amp;V$1&amp;"P"&amp;$A29))))))))))</f>
        <v>0</v>
      </c>
      <c r="W29" s="12">
        <f ca="1">IF($A$2="PREMIUM_OI",IFERROR(IF($X$1="ABS",(100*RTD("tos.rtd",,"OPEN_INT","."&amp;W$2&amp;W$1&amp;"C"&amp;$A29)*RTD("tos.rtd",,"LAST","."&amp;W$2&amp;W$1&amp;"C"&amp;$A29)+100*RTD("tos.rtd",,"OPEN_INT","."&amp;W$2&amp;W$1&amp;"P"&amp;$A29)*RTD("tos.rtd",,"LAST","."&amp;W$2&amp;W$1&amp;"P"&amp;$A29))/1000000,(100*RTD("tos.rtd",,"OPEN_INT","."&amp;W$2&amp;W$1&amp;"C"&amp;$A29)*RTD("tos.rtd",,"LAST","."&amp;W$2&amp;W$1&amp;"C"&amp;$A29)-100*RTD("tos.rtd",,"OPEN_INT","."&amp;W$2&amp;W$1&amp;"P"&amp;$A29)*RTD("tos.rtd",,"LAST","."&amp;W$2&amp;W$1&amp;"P"&amp;$A29))/1000000),0),IF($A$2="PREMIUM",IFERROR(IF($X$1="ABS",(100*RTD("tos.rtd",,"VOLUME","."&amp;W$2&amp;W$1&amp;"C"&amp;$A29)*RTD("tos.rtd",,"LAST","."&amp;W$2&amp;W$1&amp;"C"&amp;$A29)+100*RTD("tos.rtd",,"VOLUME","."&amp;W$2&amp;W$1&amp;"P"&amp;$A29)*RTD("tos.rtd",,"LAST","."&amp;W$2&amp;W$1&amp;"P"&amp;$A29))/1000000,(100*RTD("tos.rtd",,"VOLUME","."&amp;W$2&amp;W$1&amp;"C"&amp;$A29)*RTD("tos.rtd",,"LAST","."&amp;W$2&amp;W$1&amp;"C"&amp;$A29)-100*RTD("tos.rtd",,"VOLUME","."&amp;W$2&amp;W$1&amp;"P"&amp;$A29)*RTD("tos.rtd",,"LAST","."&amp;W$2&amp;W$1&amp;"P"&amp;$A29))/1000000),0),IF($A$2="DEX",IFERROR(IF($X$1="ABS",(100*RTD("tos.rtd",,"OPEN_INT","."&amp;W$2&amp;W$1&amp;"C"&amp;$A29)*RTD("tos.rtd",,"DELTA","."&amp;W$2&amp;W$1&amp;"C"&amp;$A29)+100*RTD("tos.rtd",,"OPEN_INT","."&amp;W$2&amp;W$1&amp;"P"&amp;$A29)*RTD("tos.rtd",,"DELTA","."&amp;W$2&amp;W$1&amp;"P"&amp;$A29))/1000,(100*RTD("tos.rtd",,"OPEN_INT","."&amp;W$2&amp;W$1&amp;"C"&amp;$A29)*RTD("tos.rtd",,"DELTA","."&amp;W$2&amp;W$1&amp;"C"&amp;$A29)-100*RTD("tos.rtd",,"OPEN_INT","."&amp;W$2&amp;W$1&amp;"P"&amp;$A29)*RTD("tos.rtd",,"DELTA","."&amp;W$2&amp;W$1&amp;"P"&amp;$A29))/1000),0),IF($A$2="VEX",IFERROR(IF($X$1="ABS",($A$4*$A$4*RTD("tos.rtd",,"VOLUME","."&amp;W$2&amp;W$1&amp;"C"&amp;$A29)*RTD("tos.rtd",,"GAMMA","."&amp;W$2&amp;W$1&amp;"C"&amp;$A29)+$A$4*$A$4*RTD("tos.rtd",,"VOLUME","."&amp;W$2&amp;W$1&amp;"P"&amp;$A29)*RTD("tos.rtd",,"GAMMA","."&amp;W$2&amp;W$1&amp;"P"&amp;$A29))/1000000,($A$4*$A$4*RTD("tos.rtd",,"VOLUME","."&amp;W$2&amp;W$1&amp;"C"&amp;$A29)*RTD("tos.rtd",,"GAMMA","."&amp;W$2&amp;W$1&amp;"C"&amp;$A29)-$A$4*$A$4*RTD("tos.rtd",,"VOLUME","."&amp;W$2&amp;W$1&amp;"P"&amp;$A29)*RTD("tos.rtd",,"GAMMA","."&amp;W$2&amp;W$1&amp;"P"&amp;$A29))/1000000),0),IF($A$2="GEX",IFERROR(IF($X$1="ABS",($A$4*$A$4*RTD("tos.rtd",,"OPEN_INT","."&amp;W$2&amp;W$1&amp;"C"&amp;$A29)*RTD("tos.rtd",,"GAMMA","."&amp;W$2&amp;W$1&amp;"C"&amp;$A29)+$A$4*$A$4*RTD("tos.rtd",,"OPEN_INT","."&amp;W$2&amp;W$1&amp;"P"&amp;$A29)*RTD("tos.rtd",,"GAMMA","."&amp;W$2&amp;W$1&amp;"P"&amp;$A29))/1000000,($A$4*$A$4*RTD("tos.rtd",,"OPEN_INT","."&amp;W$2&amp;W$1&amp;"C"&amp;$A29)*RTD("tos.rtd",,"GAMMA","."&amp;W$2&amp;W$1&amp;"C"&amp;$A29)-$A$4*$A$4*RTD("tos.rtd",,"OPEN_INT","."&amp;W$2&amp;W$1&amp;"P"&amp;$A29)*RTD("tos.rtd",,"GAMMA","."&amp;W$2&amp;W$1&amp;"P"&amp;$A29))/1000000),0),IF($A$2="SKEW",IFERROR(VALUE(IF(RTD("tos.rtd",,"IMPL_VOL","."&amp;W$2&amp;W$1&amp;"P"&amp;$A29)="N/A",0,RTD("tos.rtd",,"IMPL_VOL","."&amp;W$2&amp;W$1&amp;"P"&amp;$A29))),0)-IFERROR(VALUE(IF(RTD("tos.rtd",,"IMPL_VOL","."&amp;W$2&amp;W$1&amp;"C"&amp;$A29)="N/A",0,RTD("tos.rtd",,"IMPL_VOL","."&amp;W$2&amp;W$1&amp;"C"&amp;$A29))),0),IF($A$2="MAXPAIN",IF($A$4&gt;$A29,($A$4-$A29)*IF(RTD("tos.rtd",,"OPEN_INT","."&amp;W$2&amp;W$1&amp;"C"&amp;$A29)="N/A",0,RTD("tos.rtd",,"OPEN_INT","."&amp;W$2&amp;W$1&amp;"C"&amp;$A29)),0)+IF($A$4&lt;$A29,($A$5-$A$4)*IF(RTD("tos.rtd",,"OPEN_INT","."&amp;W$2&amp;W$1&amp;"P"&amp;$A29)="N/A",0,RTD("tos.rtd",,"OPEN_INT","."&amp;W$2&amp;W$1&amp;"P"&amp;$A29)),0),IF($X$1="ABS",IF(RTD("tos.rtd",,$A$2,"."&amp;W$2&amp;W$1&amp;"C"&amp;$A29)="N/A",0,RTD("tos.rtd",,$A$2,"."&amp;W$2&amp;W$1&amp;"C"&amp;$A29))+IF(RTD("tos.rtd",,$A$2,"."&amp;W$2&amp;W$1&amp;"P"&amp;$A29)="N/A",0,RTD("tos.rtd",,$A$2,"."&amp;W$2&amp;W$1&amp;"P"&amp;$A29)),IF(RTD("tos.rtd",,$A$2,"."&amp;W$2&amp;W$1&amp;"C"&amp;$A29)="N/A",0,RTD("tos.rtd",,$A$2,"."&amp;W$2&amp;W$1&amp;"C"&amp;$A29))-IF(RTD("tos.rtd",,$A$2,"."&amp;W$2&amp;W$1&amp;"P"&amp;$A29)="N/A",0,RTD("tos.rtd",,$A$2,"."&amp;W$2&amp;W$1&amp;"P"&amp;$A29))))))))))</f>
        <v>0</v>
      </c>
      <c r="X29" s="57">
        <f t="shared" ca="1" si="7"/>
        <v>20556</v>
      </c>
      <c r="Y29" s="27">
        <f t="shared" ca="1" si="8"/>
        <v>20556</v>
      </c>
      <c r="Z29" s="27">
        <f t="shared" ca="1" si="9"/>
        <v>106745.33333333333</v>
      </c>
      <c r="AA29" s="27">
        <f t="shared" si="10"/>
        <v>24858550</v>
      </c>
      <c r="AB29" s="18">
        <f>MAX(0, $A29-AB$4)*IF(RTD("tos.rtd",,"OPEN_INT","."&amp;$AA$3&amp;$AA$4&amp;"C"&amp;AB$4)="N/A",0,RTD("tos.rtd",,"OPEN_INT","."&amp;$AA$3&amp;$AA$4&amp;"C"&amp;AB$4))*100 + MAX(0, AB$4-$A29)*IF(RTD("tos.rtd",,"OPEN_INT","."&amp;$AA$3&amp;$AA$4&amp;"P"&amp;AB$4)="N/A",0,RTD("tos.rtd",,"OPEN_INT","."&amp;$AA$3&amp;$AA$4&amp;"P"&amp;AB$4))*100</f>
        <v>0</v>
      </c>
      <c r="AC29" s="18">
        <f>MAX(0, $A29-AC$4)*IF(RTD("tos.rtd",,"OPEN_INT","."&amp;$AA$3&amp;$AA$4&amp;"C"&amp;AC$4)="N/A",0,RTD("tos.rtd",,"OPEN_INT","."&amp;$AA$3&amp;$AA$4&amp;"C"&amp;AC$4))*100 + MAX(0, AC$4-$A29)*IF(RTD("tos.rtd",,"OPEN_INT","."&amp;$AA$3&amp;$AA$4&amp;"P"&amp;AC$4)="N/A",0,RTD("tos.rtd",,"OPEN_INT","."&amp;$AA$3&amp;$AA$4&amp;"P"&amp;AC$4))*100</f>
        <v>0</v>
      </c>
      <c r="AD29" s="18">
        <f>MAX(0, $A29-AD$4)*IF(RTD("tos.rtd",,"OPEN_INT","."&amp;$AA$3&amp;$AA$4&amp;"C"&amp;AD$4)="N/A",0,RTD("tos.rtd",,"OPEN_INT","."&amp;$AA$3&amp;$AA$4&amp;"C"&amp;AD$4))*100 + MAX(0, AD$4-$A29)*IF(RTD("tos.rtd",,"OPEN_INT","."&amp;$AA$3&amp;$AA$4&amp;"P"&amp;AD$4)="N/A",0,RTD("tos.rtd",,"OPEN_INT","."&amp;$AA$3&amp;$AA$4&amp;"P"&amp;AD$4))*100</f>
        <v>0</v>
      </c>
      <c r="AE29" s="18">
        <f>MAX(0, $A29-AE$4)*IF(RTD("tos.rtd",,"OPEN_INT","."&amp;$AA$3&amp;$AA$4&amp;"C"&amp;AE$4)="N/A",0,RTD("tos.rtd",,"OPEN_INT","."&amp;$AA$3&amp;$AA$4&amp;"C"&amp;AE$4))*100 + MAX(0, AE$4-$A29)*IF(RTD("tos.rtd",,"OPEN_INT","."&amp;$AA$3&amp;$AA$4&amp;"P"&amp;AE$4)="N/A",0,RTD("tos.rtd",,"OPEN_INT","."&amp;$AA$3&amp;$AA$4&amp;"P"&amp;AE$4))*100</f>
        <v>0</v>
      </c>
      <c r="AF29" s="18">
        <f>MAX(0, $A29-AF$4)*IF(RTD("tos.rtd",,"OPEN_INT","."&amp;$AA$3&amp;$AA$4&amp;"C"&amp;AF$4)="N/A",0,RTD("tos.rtd",,"OPEN_INT","."&amp;$AA$3&amp;$AA$4&amp;"C"&amp;AF$4))*100 + MAX(0, AF$4-$A29)*IF(RTD("tos.rtd",,"OPEN_INT","."&amp;$AA$3&amp;$AA$4&amp;"P"&amp;AF$4)="N/A",0,RTD("tos.rtd",,"OPEN_INT","."&amp;$AA$3&amp;$AA$4&amp;"P"&amp;AF$4))*100</f>
        <v>0</v>
      </c>
      <c r="AG29" s="18">
        <f>MAX(0, $A29-AG$4)*IF(RTD("tos.rtd",,"OPEN_INT","."&amp;$AA$3&amp;$AA$4&amp;"C"&amp;AG$4)="N/A",0,RTD("tos.rtd",,"OPEN_INT","."&amp;$AA$3&amp;$AA$4&amp;"C"&amp;AG$4))*100 + MAX(0, AG$4-$A29)*IF(RTD("tos.rtd",,"OPEN_INT","."&amp;$AA$3&amp;$AA$4&amp;"P"&amp;AG$4)="N/A",0,RTD("tos.rtd",,"OPEN_INT","."&amp;$AA$3&amp;$AA$4&amp;"P"&amp;AG$4))*100</f>
        <v>0</v>
      </c>
      <c r="AH29" s="18">
        <f>MAX(0, $A29-AH$4)*IF(RTD("tos.rtd",,"OPEN_INT","."&amp;$AA$3&amp;$AA$4&amp;"C"&amp;AH$4)="N/A",0,RTD("tos.rtd",,"OPEN_INT","."&amp;$AA$3&amp;$AA$4&amp;"C"&amp;AH$4))*100 + MAX(0, AH$4-$A29)*IF(RTD("tos.rtd",,"OPEN_INT","."&amp;$AA$3&amp;$AA$4&amp;"P"&amp;AH$4)="N/A",0,RTD("tos.rtd",,"OPEN_INT","."&amp;$AA$3&amp;$AA$4&amp;"P"&amp;AH$4))*100</f>
        <v>0</v>
      </c>
      <c r="AI29" s="18">
        <f>MAX(0, $A29-AI$4)*IF(RTD("tos.rtd",,"OPEN_INT","."&amp;$AA$3&amp;$AA$4&amp;"C"&amp;AI$4)="N/A",0,RTD("tos.rtd",,"OPEN_INT","."&amp;$AA$3&amp;$AA$4&amp;"C"&amp;AI$4))*100 + MAX(0, AI$4-$A29)*IF(RTD("tos.rtd",,"OPEN_INT","."&amp;$AA$3&amp;$AA$4&amp;"P"&amp;AI$4)="N/A",0,RTD("tos.rtd",,"OPEN_INT","."&amp;$AA$3&amp;$AA$4&amp;"P"&amp;AI$4))*100</f>
        <v>2550</v>
      </c>
      <c r="AJ29" s="18">
        <f>MAX(0, $A29-AJ$4)*IF(RTD("tos.rtd",,"OPEN_INT","."&amp;$AA$3&amp;$AA$4&amp;"C"&amp;AJ$4)="N/A",0,RTD("tos.rtd",,"OPEN_INT","."&amp;$AA$3&amp;$AA$4&amp;"C"&amp;AJ$4))*100 + MAX(0, AJ$4-$A29)*IF(RTD("tos.rtd",,"OPEN_INT","."&amp;$AA$3&amp;$AA$4&amp;"P"&amp;AJ$4)="N/A",0,RTD("tos.rtd",,"OPEN_INT","."&amp;$AA$3&amp;$AA$4&amp;"P"&amp;AJ$4))*100</f>
        <v>6400</v>
      </c>
      <c r="AK29" s="18">
        <f>MAX(0, $A29-AK$4)*IF(RTD("tos.rtd",,"OPEN_INT","."&amp;$AA$3&amp;$AA$4&amp;"C"&amp;AK$4)="N/A",0,RTD("tos.rtd",,"OPEN_INT","."&amp;$AA$3&amp;$AA$4&amp;"C"&amp;AK$4))*100 + MAX(0, AK$4-$A29)*IF(RTD("tos.rtd",,"OPEN_INT","."&amp;$AA$3&amp;$AA$4&amp;"P"&amp;AK$4)="N/A",0,RTD("tos.rtd",,"OPEN_INT","."&amp;$AA$3&amp;$AA$4&amp;"P"&amp;AK$4))*100</f>
        <v>0</v>
      </c>
      <c r="AL29" s="18">
        <f>MAX(0, $A29-AL$4)*IF(RTD("tos.rtd",,"OPEN_INT","."&amp;$AA$3&amp;$AA$4&amp;"C"&amp;AL$4)="N/A",0,RTD("tos.rtd",,"OPEN_INT","."&amp;$AA$3&amp;$AA$4&amp;"C"&amp;AL$4))*100 + MAX(0, AL$4-$A29)*IF(RTD("tos.rtd",,"OPEN_INT","."&amp;$AA$3&amp;$AA$4&amp;"P"&amp;AL$4)="N/A",0,RTD("tos.rtd",,"OPEN_INT","."&amp;$AA$3&amp;$AA$4&amp;"P"&amp;AL$4))*100</f>
        <v>0</v>
      </c>
      <c r="AM29" s="18">
        <f>MAX(0, $A29-AM$4)*IF(RTD("tos.rtd",,"OPEN_INT","."&amp;$AA$3&amp;$AA$4&amp;"C"&amp;AM$4)="N/A",0,RTD("tos.rtd",,"OPEN_INT","."&amp;$AA$3&amp;$AA$4&amp;"C"&amp;AM$4))*100 + MAX(0, AM$4-$A29)*IF(RTD("tos.rtd",,"OPEN_INT","."&amp;$AA$3&amp;$AA$4&amp;"P"&amp;AM$4)="N/A",0,RTD("tos.rtd",,"OPEN_INT","."&amp;$AA$3&amp;$AA$4&amp;"P"&amp;AM$4))*100</f>
        <v>0</v>
      </c>
      <c r="AN29" s="18">
        <f>MAX(0, $A29-AN$4)*IF(RTD("tos.rtd",,"OPEN_INT","."&amp;$AA$3&amp;$AA$4&amp;"C"&amp;AN$4)="N/A",0,RTD("tos.rtd",,"OPEN_INT","."&amp;$AA$3&amp;$AA$4&amp;"C"&amp;AN$4))*100 + MAX(0, AN$4-$A29)*IF(RTD("tos.rtd",,"OPEN_INT","."&amp;$AA$3&amp;$AA$4&amp;"P"&amp;AN$4)="N/A",0,RTD("tos.rtd",,"OPEN_INT","."&amp;$AA$3&amp;$AA$4&amp;"P"&amp;AN$4))*100</f>
        <v>0</v>
      </c>
      <c r="AO29" s="18">
        <f>MAX(0, $A29-AO$4)*IF(RTD("tos.rtd",,"OPEN_INT","."&amp;$AA$3&amp;$AA$4&amp;"C"&amp;AO$4)="N/A",0,RTD("tos.rtd",,"OPEN_INT","."&amp;$AA$3&amp;$AA$4&amp;"C"&amp;AO$4))*100 + MAX(0, AO$4-$A29)*IF(RTD("tos.rtd",,"OPEN_INT","."&amp;$AA$3&amp;$AA$4&amp;"P"&amp;AO$4)="N/A",0,RTD("tos.rtd",,"OPEN_INT","."&amp;$AA$3&amp;$AA$4&amp;"P"&amp;AO$4))*100</f>
        <v>66000</v>
      </c>
      <c r="AP29" s="18">
        <f>MAX(0, $A29-AP$4)*IF(RTD("tos.rtd",,"OPEN_INT","."&amp;$AA$3&amp;$AA$4&amp;"C"&amp;AP$4)="N/A",0,RTD("tos.rtd",,"OPEN_INT","."&amp;$AA$3&amp;$AA$4&amp;"C"&amp;AP$4))*100 + MAX(0, AP$4-$A29)*IF(RTD("tos.rtd",,"OPEN_INT","."&amp;$AA$3&amp;$AA$4&amp;"P"&amp;AP$4)="N/A",0,RTD("tos.rtd",,"OPEN_INT","."&amp;$AA$3&amp;$AA$4&amp;"P"&amp;AP$4))*100</f>
        <v>0</v>
      </c>
      <c r="AQ29" s="18">
        <f>MAX(0, $A29-AQ$4)*IF(RTD("tos.rtd",,"OPEN_INT","."&amp;$AA$3&amp;$AA$4&amp;"C"&amp;AQ$4)="N/A",0,RTD("tos.rtd",,"OPEN_INT","."&amp;$AA$3&amp;$AA$4&amp;"C"&amp;AQ$4))*100 + MAX(0, AQ$4-$A29)*IF(RTD("tos.rtd",,"OPEN_INT","."&amp;$AA$3&amp;$AA$4&amp;"P"&amp;AQ$4)="N/A",0,RTD("tos.rtd",,"OPEN_INT","."&amp;$AA$3&amp;$AA$4&amp;"P"&amp;AQ$4))*100</f>
        <v>23850</v>
      </c>
      <c r="AR29" s="18">
        <f>MAX(0, $A29-AR$4)*IF(RTD("tos.rtd",,"OPEN_INT","."&amp;$AA$3&amp;$AA$4&amp;"C"&amp;AR$4)="N/A",0,RTD("tos.rtd",,"OPEN_INT","."&amp;$AA$3&amp;$AA$4&amp;"C"&amp;AR$4))*100 + MAX(0, AR$4-$A29)*IF(RTD("tos.rtd",,"OPEN_INT","."&amp;$AA$3&amp;$AA$4&amp;"P"&amp;AR$4)="N/A",0,RTD("tos.rtd",,"OPEN_INT","."&amp;$AA$3&amp;$AA$4&amp;"P"&amp;AR$4))*100</f>
        <v>2400</v>
      </c>
      <c r="AS29" s="18">
        <f>MAX(0, $A29-AS$4)*IF(RTD("tos.rtd",,"OPEN_INT","."&amp;$AA$3&amp;$AA$4&amp;"C"&amp;AS$4)="N/A",0,RTD("tos.rtd",,"OPEN_INT","."&amp;$AA$3&amp;$AA$4&amp;"C"&amp;AS$4))*100 + MAX(0, AS$4-$A29)*IF(RTD("tos.rtd",,"OPEN_INT","."&amp;$AA$3&amp;$AA$4&amp;"P"&amp;AS$4)="N/A",0,RTD("tos.rtd",,"OPEN_INT","."&amp;$AA$3&amp;$AA$4&amp;"P"&amp;AS$4))*100</f>
        <v>21700</v>
      </c>
      <c r="AT29" s="18">
        <f>MAX(0, $A29-AT$4)*IF(RTD("tos.rtd",,"OPEN_INT","."&amp;$AA$3&amp;$AA$4&amp;"C"&amp;AT$4)="N/A",0,RTD("tos.rtd",,"OPEN_INT","."&amp;$AA$3&amp;$AA$4&amp;"C"&amp;AT$4))*100 + MAX(0, AT$4-$A29)*IF(RTD("tos.rtd",,"OPEN_INT","."&amp;$AA$3&amp;$AA$4&amp;"P"&amp;AT$4)="N/A",0,RTD("tos.rtd",,"OPEN_INT","."&amp;$AA$3&amp;$AA$4&amp;"P"&amp;AT$4))*100</f>
        <v>21000</v>
      </c>
      <c r="AU29" s="18">
        <f>MAX(0, $A29-AU$4)*IF(RTD("tos.rtd",,"OPEN_INT","."&amp;$AA$3&amp;$AA$4&amp;"C"&amp;AU$4)="N/A",0,RTD("tos.rtd",,"OPEN_INT","."&amp;$AA$3&amp;$AA$4&amp;"C"&amp;AU$4))*100 + MAX(0, AU$4-$A29)*IF(RTD("tos.rtd",,"OPEN_INT","."&amp;$AA$3&amp;$AA$4&amp;"P"&amp;AU$4)="N/A",0,RTD("tos.rtd",,"OPEN_INT","."&amp;$AA$3&amp;$AA$4&amp;"P"&amp;AU$4))*100</f>
        <v>10000</v>
      </c>
      <c r="AV29" s="18">
        <f>MAX(0, $A29-AV$4)*IF(RTD("tos.rtd",,"OPEN_INT","."&amp;$AA$3&amp;$AA$4&amp;"C"&amp;AV$4)="N/A",0,RTD("tos.rtd",,"OPEN_INT","."&amp;$AA$3&amp;$AA$4&amp;"C"&amp;AV$4))*100 + MAX(0, AV$4-$A29)*IF(RTD("tos.rtd",,"OPEN_INT","."&amp;$AA$3&amp;$AA$4&amp;"P"&amp;AV$4)="N/A",0,RTD("tos.rtd",,"OPEN_INT","."&amp;$AA$3&amp;$AA$4&amp;"P"&amp;AV$4))*100</f>
        <v>32200</v>
      </c>
      <c r="AW29" s="18">
        <f>MAX(0, $A29-AW$4)*IF(RTD("tos.rtd",,"OPEN_INT","."&amp;$AA$3&amp;$AA$4&amp;"C"&amp;AW$4)="N/A",0,RTD("tos.rtd",,"OPEN_INT","."&amp;$AA$3&amp;$AA$4&amp;"C"&amp;AW$4))*100 + MAX(0, AW$4-$A29)*IF(RTD("tos.rtd",,"OPEN_INT","."&amp;$AA$3&amp;$AA$4&amp;"P"&amp;AW$4)="N/A",0,RTD("tos.rtd",,"OPEN_INT","."&amp;$AA$3&amp;$AA$4&amp;"P"&amp;AW$4))*100</f>
        <v>30300</v>
      </c>
      <c r="AX29" s="18">
        <f>MAX(0, $A29-AX$4)*IF(RTD("tos.rtd",,"OPEN_INT","."&amp;$AA$3&amp;$AA$4&amp;"C"&amp;AX$4)="N/A",0,RTD("tos.rtd",,"OPEN_INT","."&amp;$AA$3&amp;$AA$4&amp;"C"&amp;AX$4))*100 + MAX(0, AX$4-$A29)*IF(RTD("tos.rtd",,"OPEN_INT","."&amp;$AA$3&amp;$AA$4&amp;"P"&amp;AX$4)="N/A",0,RTD("tos.rtd",,"OPEN_INT","."&amp;$AA$3&amp;$AA$4&amp;"P"&amp;AX$4))*100</f>
        <v>24700</v>
      </c>
      <c r="AY29" s="18">
        <f>MAX(0, $A29-AY$4)*IF(RTD("tos.rtd",,"OPEN_INT","."&amp;$AA$3&amp;$AA$4&amp;"C"&amp;AY$4)="N/A",0,RTD("tos.rtd",,"OPEN_INT","."&amp;$AA$3&amp;$AA$4&amp;"C"&amp;AY$4))*100 + MAX(0, AY$4-$A29)*IF(RTD("tos.rtd",,"OPEN_INT","."&amp;$AA$3&amp;$AA$4&amp;"P"&amp;AY$4)="N/A",0,RTD("tos.rtd",,"OPEN_INT","."&amp;$AA$3&amp;$AA$4&amp;"P"&amp;AY$4))*100</f>
        <v>103700</v>
      </c>
      <c r="AZ29" s="18">
        <f>MAX(0, $A29-AZ$4)*IF(RTD("tos.rtd",,"OPEN_INT","."&amp;$AA$3&amp;$AA$4&amp;"C"&amp;AZ$4)="N/A",0,RTD("tos.rtd",,"OPEN_INT","."&amp;$AA$3&amp;$AA$4&amp;"C"&amp;AZ$4))*100 + MAX(0, AZ$4-$A29)*IF(RTD("tos.rtd",,"OPEN_INT","."&amp;$AA$3&amp;$AA$4&amp;"P"&amp;AZ$4)="N/A",0,RTD("tos.rtd",,"OPEN_INT","."&amp;$AA$3&amp;$AA$4&amp;"P"&amp;AZ$4))*100</f>
        <v>0</v>
      </c>
      <c r="BA29" s="18">
        <f>MAX(0, $A29-BA$4)*IF(RTD("tos.rtd",,"OPEN_INT","."&amp;$AA$3&amp;$AA$4&amp;"C"&amp;BA$4)="N/A",0,RTD("tos.rtd",,"OPEN_INT","."&amp;$AA$3&amp;$AA$4&amp;"C"&amp;BA$4))*100 + MAX(0, BA$4-$A29)*IF(RTD("tos.rtd",,"OPEN_INT","."&amp;$AA$3&amp;$AA$4&amp;"P"&amp;BA$4)="N/A",0,RTD("tos.rtd",,"OPEN_INT","."&amp;$AA$3&amp;$AA$4&amp;"P"&amp;BA$4))*100</f>
        <v>1540350</v>
      </c>
      <c r="BB29" s="18">
        <f>MAX(0, $A29-BB$4)*IF(RTD("tos.rtd",,"OPEN_INT","."&amp;$AA$3&amp;$AA$4&amp;"C"&amp;BB$4)="N/A",0,RTD("tos.rtd",,"OPEN_INT","."&amp;$AA$3&amp;$AA$4&amp;"C"&amp;BB$4))*100 + MAX(0, BB$4-$A29)*IF(RTD("tos.rtd",,"OPEN_INT","."&amp;$AA$3&amp;$AA$4&amp;"P"&amp;BB$4)="N/A",0,RTD("tos.rtd",,"OPEN_INT","."&amp;$AA$3&amp;$AA$4&amp;"P"&amp;BB$4))*100</f>
        <v>2865800</v>
      </c>
      <c r="BC29" s="18">
        <f>MAX(0, $A29-BC$4)*IF(RTD("tos.rtd",,"OPEN_INT","."&amp;$AA$3&amp;$AA$4&amp;"C"&amp;BC$4)="N/A",0,RTD("tos.rtd",,"OPEN_INT","."&amp;$AA$3&amp;$AA$4&amp;"C"&amp;BC$4))*100 + MAX(0, BC$4-$A29)*IF(RTD("tos.rtd",,"OPEN_INT","."&amp;$AA$3&amp;$AA$4&amp;"P"&amp;BC$4)="N/A",0,RTD("tos.rtd",,"OPEN_INT","."&amp;$AA$3&amp;$AA$4&amp;"P"&amp;BC$4))*100</f>
        <v>6106950</v>
      </c>
      <c r="BD29" s="18">
        <f>MAX(0, $A29-BD$4)*IF(RTD("tos.rtd",,"OPEN_INT","."&amp;$AA$3&amp;$AA$4&amp;"C"&amp;BD$4)="N/A",0,RTD("tos.rtd",,"OPEN_INT","."&amp;$AA$3&amp;$AA$4&amp;"C"&amp;BD$4))*100 + MAX(0, BD$4-$A29)*IF(RTD("tos.rtd",,"OPEN_INT","."&amp;$AA$3&amp;$AA$4&amp;"P"&amp;BD$4)="N/A",0,RTD("tos.rtd",,"OPEN_INT","."&amp;$AA$3&amp;$AA$4&amp;"P"&amp;BD$4))*100</f>
        <v>3712000</v>
      </c>
      <c r="BE29" s="18">
        <f>MAX(0, $A29-BE$4)*IF(RTD("tos.rtd",,"OPEN_INT","."&amp;$AA$3&amp;$AA$4&amp;"C"&amp;BE$4)="N/A",0,RTD("tos.rtd",,"OPEN_INT","."&amp;$AA$3&amp;$AA$4&amp;"C"&amp;BE$4))*100 + MAX(0, BE$4-$A29)*IF(RTD("tos.rtd",,"OPEN_INT","."&amp;$AA$3&amp;$AA$4&amp;"P"&amp;BE$4)="N/A",0,RTD("tos.rtd",,"OPEN_INT","."&amp;$AA$3&amp;$AA$4&amp;"P"&amp;BE$4))*100</f>
        <v>4319500</v>
      </c>
      <c r="BF29" s="18">
        <f>MAX(0, $A29-BF$4)*IF(RTD("tos.rtd",,"OPEN_INT","."&amp;$AA$3&amp;$AA$4&amp;"C"&amp;BF$4)="N/A",0,RTD("tos.rtd",,"OPEN_INT","."&amp;$AA$3&amp;$AA$4&amp;"C"&amp;BF$4))*100 + MAX(0, BF$4-$A29)*IF(RTD("tos.rtd",,"OPEN_INT","."&amp;$AA$3&amp;$AA$4&amp;"P"&amp;BF$4)="N/A",0,RTD("tos.rtd",,"OPEN_INT","."&amp;$AA$3&amp;$AA$4&amp;"P"&amp;BF$4))*100</f>
        <v>2522100</v>
      </c>
      <c r="BG29" s="18">
        <f>MAX(0, $A29-BG$4)*IF(RTD("tos.rtd",,"OPEN_INT","."&amp;$AA$3&amp;$AA$4&amp;"C"&amp;BG$4)="N/A",0,RTD("tos.rtd",,"OPEN_INT","."&amp;$AA$3&amp;$AA$4&amp;"C"&amp;BG$4))*100 + MAX(0, BG$4-$A29)*IF(RTD("tos.rtd",,"OPEN_INT","."&amp;$AA$3&amp;$AA$4&amp;"P"&amp;BG$4)="N/A",0,RTD("tos.rtd",,"OPEN_INT","."&amp;$AA$3&amp;$AA$4&amp;"P"&amp;BG$4))*100</f>
        <v>2006900</v>
      </c>
      <c r="BH29" s="18">
        <f>MAX(0, $A29-BH$4)*IF(RTD("tos.rtd",,"OPEN_INT","."&amp;$AA$3&amp;$AA$4&amp;"C"&amp;BH$4)="N/A",0,RTD("tos.rtd",,"OPEN_INT","."&amp;$AA$3&amp;$AA$4&amp;"C"&amp;BH$4))*100 + MAX(0, BH$4-$A29)*IF(RTD("tos.rtd",,"OPEN_INT","."&amp;$AA$3&amp;$AA$4&amp;"P"&amp;BH$4)="N/A",0,RTD("tos.rtd",,"OPEN_INT","."&amp;$AA$3&amp;$AA$4&amp;"P"&amp;BH$4))*100</f>
        <v>777200</v>
      </c>
      <c r="BI29" s="18">
        <f>MAX(0, $A29-BI$4)*IF(RTD("tos.rtd",,"OPEN_INT","."&amp;$AA$3&amp;$AA$4&amp;"C"&amp;BI$4)="N/A",0,RTD("tos.rtd",,"OPEN_INT","."&amp;$AA$3&amp;$AA$4&amp;"C"&amp;BI$4))*100 + MAX(0, BI$4-$A29)*IF(RTD("tos.rtd",,"OPEN_INT","."&amp;$AA$3&amp;$AA$4&amp;"P"&amp;BI$4)="N/A",0,RTD("tos.rtd",,"OPEN_INT","."&amp;$AA$3&amp;$AA$4&amp;"P"&amp;BI$4))*100</f>
        <v>378900</v>
      </c>
      <c r="BJ29" s="18">
        <f>MAX(0, $A29-BJ$4)*IF(RTD("tos.rtd",,"OPEN_INT","."&amp;$AA$3&amp;$AA$4&amp;"C"&amp;BJ$4)="N/A",0,RTD("tos.rtd",,"OPEN_INT","."&amp;$AA$3&amp;$AA$4&amp;"C"&amp;BJ$4))*100 + MAX(0, BJ$4-$A29)*IF(RTD("tos.rtd",,"OPEN_INT","."&amp;$AA$3&amp;$AA$4&amp;"P"&amp;BJ$4)="N/A",0,RTD("tos.rtd",,"OPEN_INT","."&amp;$AA$3&amp;$AA$4&amp;"P"&amp;BJ$4))*100</f>
        <v>75500</v>
      </c>
      <c r="BK29" s="18">
        <f>MAX(0, $A29-BK$4)*IF(RTD("tos.rtd",,"OPEN_INT","."&amp;$AA$3&amp;$AA$4&amp;"C"&amp;BK$4)="N/A",0,RTD("tos.rtd",,"OPEN_INT","."&amp;$AA$3&amp;$AA$4&amp;"C"&amp;BK$4))*100 + MAX(0, BK$4-$A29)*IF(RTD("tos.rtd",,"OPEN_INT","."&amp;$AA$3&amp;$AA$4&amp;"P"&amp;BK$4)="N/A",0,RTD("tos.rtd",,"OPEN_INT","."&amp;$AA$3&amp;$AA$4&amp;"P"&amp;BK$4))*100</f>
        <v>143550</v>
      </c>
      <c r="BL29" s="18">
        <f>MAX(0, $A29-BL$4)*IF(RTD("tos.rtd",,"OPEN_INT","."&amp;$AA$3&amp;$AA$4&amp;"C"&amp;BL$4)="N/A",0,RTD("tos.rtd",,"OPEN_INT","."&amp;$AA$3&amp;$AA$4&amp;"C"&amp;BL$4))*100 + MAX(0, BL$4-$A29)*IF(RTD("tos.rtd",,"OPEN_INT","."&amp;$AA$3&amp;$AA$4&amp;"P"&amp;BL$4)="N/A",0,RTD("tos.rtd",,"OPEN_INT","."&amp;$AA$3&amp;$AA$4&amp;"P"&amp;BL$4))*100</f>
        <v>9600</v>
      </c>
      <c r="BM29" s="18">
        <f>MAX(0, $A29-BM$4)*IF(RTD("tos.rtd",,"OPEN_INT","."&amp;$AA$3&amp;$AA$4&amp;"C"&amp;BM$4)="N/A",0,RTD("tos.rtd",,"OPEN_INT","."&amp;$AA$3&amp;$AA$4&amp;"C"&amp;BM$4))*100 + MAX(0, BM$4-$A29)*IF(RTD("tos.rtd",,"OPEN_INT","."&amp;$AA$3&amp;$AA$4&amp;"P"&amp;BM$4)="N/A",0,RTD("tos.rtd",,"OPEN_INT","."&amp;$AA$3&amp;$AA$4&amp;"P"&amp;BM$4))*100</f>
        <v>5200</v>
      </c>
      <c r="BN29" s="18">
        <f>MAX(0, $A29-BN$4)*IF(RTD("tos.rtd",,"OPEN_INT","."&amp;$AA$3&amp;$AA$4&amp;"C"&amp;BN$4)="N/A",0,RTD("tos.rtd",,"OPEN_INT","."&amp;$AA$3&amp;$AA$4&amp;"C"&amp;BN$4))*100 + MAX(0, BN$4-$A29)*IF(RTD("tos.rtd",,"OPEN_INT","."&amp;$AA$3&amp;$AA$4&amp;"P"&amp;BN$4)="N/A",0,RTD("tos.rtd",,"OPEN_INT","."&amp;$AA$3&amp;$AA$4&amp;"P"&amp;BN$4))*100</f>
        <v>21700</v>
      </c>
      <c r="BO29" s="18">
        <f>MAX(0, $A29-BO$4)*IF(RTD("tos.rtd",,"OPEN_INT","."&amp;$AA$3&amp;$AA$4&amp;"C"&amp;BO$4)="N/A",0,RTD("tos.rtd",,"OPEN_INT","."&amp;$AA$3&amp;$AA$4&amp;"C"&amp;BO$4))*100 + MAX(0, BO$4-$A29)*IF(RTD("tos.rtd",,"OPEN_INT","."&amp;$AA$3&amp;$AA$4&amp;"P"&amp;BO$4)="N/A",0,RTD("tos.rtd",,"OPEN_INT","."&amp;$AA$3&amp;$AA$4&amp;"P"&amp;BO$4))*100</f>
        <v>28500</v>
      </c>
      <c r="BP29" s="18">
        <f>MAX(0, $A29-BP$4)*IF(RTD("tos.rtd",,"OPEN_INT","."&amp;$AA$3&amp;$AA$4&amp;"C"&amp;BP$4)="N/A",0,RTD("tos.rtd",,"OPEN_INT","."&amp;$AA$3&amp;$AA$4&amp;"C"&amp;BP$4))*100 + MAX(0, BP$4-$A29)*IF(RTD("tos.rtd",,"OPEN_INT","."&amp;$AA$3&amp;$AA$4&amp;"P"&amp;BP$4)="N/A",0,RTD("tos.rtd",,"OPEN_INT","."&amp;$AA$3&amp;$AA$4&amp;"P"&amp;BP$4))*100</f>
        <v>0</v>
      </c>
      <c r="BQ29" s="18">
        <f>MAX(0, $A29-BQ$4)*IF(RTD("tos.rtd",,"OPEN_INT","."&amp;$AA$3&amp;$AA$4&amp;"C"&amp;BQ$4)="N/A",0,RTD("tos.rtd",,"OPEN_INT","."&amp;$AA$3&amp;$AA$4&amp;"C"&amp;BQ$4))*100 + MAX(0, BQ$4-$A29)*IF(RTD("tos.rtd",,"OPEN_INT","."&amp;$AA$3&amp;$AA$4&amp;"P"&amp;BQ$4)="N/A",0,RTD("tos.rtd",,"OPEN_INT","."&amp;$AA$3&amp;$AA$4&amp;"P"&amp;BQ$4))*100</f>
        <v>0</v>
      </c>
      <c r="BR29" s="18">
        <f>MAX(0, $A29-BR$4)*IF(RTD("tos.rtd",,"OPEN_INT","."&amp;$AA$3&amp;$AA$4&amp;"C"&amp;BR$4)="N/A",0,RTD("tos.rtd",,"OPEN_INT","."&amp;$AA$3&amp;$AA$4&amp;"C"&amp;BR$4))*100 + MAX(0, BR$4-$A29)*IF(RTD("tos.rtd",,"OPEN_INT","."&amp;$AA$3&amp;$AA$4&amp;"P"&amp;BR$4)="N/A",0,RTD("tos.rtd",,"OPEN_INT","."&amp;$AA$3&amp;$AA$4&amp;"P"&amp;BR$4))*100</f>
        <v>0</v>
      </c>
      <c r="BS29" s="18">
        <f>MAX(0, $A29-BS$4)*IF(RTD("tos.rtd",,"OPEN_INT","."&amp;$AA$3&amp;$AA$4&amp;"C"&amp;BS$4)="N/A",0,RTD("tos.rtd",,"OPEN_INT","."&amp;$AA$3&amp;$AA$4&amp;"C"&amp;BS$4))*100 + MAX(0, BS$4-$A29)*IF(RTD("tos.rtd",,"OPEN_INT","."&amp;$AA$3&amp;$AA$4&amp;"P"&amp;BS$4)="N/A",0,RTD("tos.rtd",,"OPEN_INT","."&amp;$AA$3&amp;$AA$4&amp;"P"&amp;BS$4))*100</f>
        <v>0</v>
      </c>
      <c r="BT29" s="18">
        <f>MAX(0, $A29-BT$4)*IF(RTD("tos.rtd",,"OPEN_INT","."&amp;$AA$3&amp;$AA$4&amp;"C"&amp;BT$4)="N/A",0,RTD("tos.rtd",,"OPEN_INT","."&amp;$AA$3&amp;$AA$4&amp;"C"&amp;BT$4))*100 + MAX(0, BT$4-$A29)*IF(RTD("tos.rtd",,"OPEN_INT","."&amp;$AA$3&amp;$AA$4&amp;"P"&amp;BT$4)="N/A",0,RTD("tos.rtd",,"OPEN_INT","."&amp;$AA$3&amp;$AA$4&amp;"P"&amp;BT$4))*100</f>
        <v>0</v>
      </c>
      <c r="BU29" s="18">
        <f>MAX(0, $A29-BU$4)*IF(RTD("tos.rtd",,"OPEN_INT","."&amp;$AA$3&amp;$AA$4&amp;"C"&amp;BU$4)="N/A",0,RTD("tos.rtd",,"OPEN_INT","."&amp;$AA$3&amp;$AA$4&amp;"C"&amp;BU$4))*100 + MAX(0, BU$4-$A29)*IF(RTD("tos.rtd",,"OPEN_INT","."&amp;$AA$3&amp;$AA$4&amp;"P"&amp;BU$4)="N/A",0,RTD("tos.rtd",,"OPEN_INT","."&amp;$AA$3&amp;$AA$4&amp;"P"&amp;BU$4))*100</f>
        <v>0</v>
      </c>
      <c r="BV29" s="18">
        <f>MAX(0, $A29-BV$4)*IF(RTD("tos.rtd",,"OPEN_INT","."&amp;$AA$3&amp;$AA$4&amp;"C"&amp;BV$4)="N/A",0,RTD("tos.rtd",,"OPEN_INT","."&amp;$AA$3&amp;$AA$4&amp;"C"&amp;BV$4))*100 + MAX(0, BV$4-$A29)*IF(RTD("tos.rtd",,"OPEN_INT","."&amp;$AA$3&amp;$AA$4&amp;"P"&amp;BV$4)="N/A",0,RTD("tos.rtd",,"OPEN_INT","."&amp;$AA$3&amp;$AA$4&amp;"P"&amp;BV$4))*100</f>
        <v>0</v>
      </c>
    </row>
    <row r="30" spans="1:74" s="19" customFormat="1" ht="11.1" customHeight="1" thickBot="1" x14ac:dyDescent="0.3">
      <c r="A30" s="23">
        <f t="shared" si="11"/>
        <v>9</v>
      </c>
      <c r="B30" s="14">
        <f ca="1">IF($A$2="PREMIUM_OI",IFERROR(IF($X$1="ABS",(100*RTD("tos.rtd",,"OPEN_INT","."&amp;B$2&amp;B$1&amp;"C"&amp;$A30)*RTD("tos.rtd",,"LAST","."&amp;B$2&amp;B$1&amp;"C"&amp;$A30)+100*RTD("tos.rtd",,"OPEN_INT","."&amp;B$2&amp;B$1&amp;"P"&amp;$A30)*RTD("tos.rtd",,"LAST","."&amp;B$2&amp;B$1&amp;"P"&amp;$A30))/1000000,(100*RTD("tos.rtd",,"OPEN_INT","."&amp;B$2&amp;B$1&amp;"C"&amp;$A30)*RTD("tos.rtd",,"LAST","."&amp;B$2&amp;B$1&amp;"C"&amp;$A30)-100*RTD("tos.rtd",,"OPEN_INT","."&amp;B$2&amp;B$1&amp;"P"&amp;$A30)*RTD("tos.rtd",,"LAST","."&amp;B$2&amp;B$1&amp;"P"&amp;$A30))/1000000),0),IF($A$2="PREMIUM",IFERROR(IF($X$1="ABS",(100*RTD("tos.rtd",,"VOLUME","."&amp;B$2&amp;B$1&amp;"C"&amp;$A30)*RTD("tos.rtd",,"LAST","."&amp;B$2&amp;B$1&amp;"C"&amp;$A30)+100*RTD("tos.rtd",,"VOLUME","."&amp;B$2&amp;B$1&amp;"P"&amp;$A30)*RTD("tos.rtd",,"LAST","."&amp;B$2&amp;B$1&amp;"P"&amp;$A30))/1000000,(100*RTD("tos.rtd",,"VOLUME","."&amp;B$2&amp;B$1&amp;"C"&amp;$A30)*RTD("tos.rtd",,"LAST","."&amp;B$2&amp;B$1&amp;"C"&amp;$A30)-100*RTD("tos.rtd",,"VOLUME","."&amp;B$2&amp;B$1&amp;"P"&amp;$A30)*RTD("tos.rtd",,"LAST","."&amp;B$2&amp;B$1&amp;"P"&amp;$A30))/1000000),0),IF($A$2="DEX",IFERROR(IF($X$1="ABS",(100*RTD("tos.rtd",,"OPEN_INT","."&amp;B$2&amp;B$1&amp;"C"&amp;$A30)*RTD("tos.rtd",,"DELTA","."&amp;B$2&amp;B$1&amp;"C"&amp;$A30)+100*RTD("tos.rtd",,"OPEN_INT","."&amp;B$2&amp;B$1&amp;"P"&amp;$A30)*RTD("tos.rtd",,"DELTA","."&amp;B$2&amp;B$1&amp;"P"&amp;$A30))/1000,(100*RTD("tos.rtd",,"OPEN_INT","."&amp;B$2&amp;B$1&amp;"C"&amp;$A30)*RTD("tos.rtd",,"DELTA","."&amp;B$2&amp;B$1&amp;"C"&amp;$A30)-100*RTD("tos.rtd",,"OPEN_INT","."&amp;B$2&amp;B$1&amp;"P"&amp;$A30)*RTD("tos.rtd",,"DELTA","."&amp;B$2&amp;B$1&amp;"P"&amp;$A30))/1000),0),IF($A$2="VEX",IFERROR(IF($X$1="ABS",($A$4*$A$4*RTD("tos.rtd",,"VOLUME","."&amp;B$2&amp;B$1&amp;"C"&amp;$A30)*RTD("tos.rtd",,"GAMMA","."&amp;B$2&amp;B$1&amp;"C"&amp;$A30)+$A$4*$A$4*RTD("tos.rtd",,"VOLUME","."&amp;B$2&amp;B$1&amp;"P"&amp;$A30)*RTD("tos.rtd",,"GAMMA","."&amp;B$2&amp;B$1&amp;"P"&amp;$A30))/1000000,($A$4*$A$4*RTD("tos.rtd",,"VOLUME","."&amp;B$2&amp;B$1&amp;"C"&amp;$A30)*RTD("tos.rtd",,"GAMMA","."&amp;B$2&amp;B$1&amp;"C"&amp;$A30)-$A$4*$A$4*RTD("tos.rtd",,"VOLUME","."&amp;B$2&amp;B$1&amp;"P"&amp;$A30)*RTD("tos.rtd",,"GAMMA","."&amp;B$2&amp;B$1&amp;"P"&amp;$A30))/1000000),0),IF($A$2="GEX",IFERROR(IF($X$1="ABS",($A$4*$A$4*RTD("tos.rtd",,"OPEN_INT","."&amp;B$2&amp;B$1&amp;"C"&amp;$A30)*RTD("tos.rtd",,"GAMMA","."&amp;B$2&amp;B$1&amp;"C"&amp;$A30)+$A$4*$A$4*RTD("tos.rtd",,"OPEN_INT","."&amp;B$2&amp;B$1&amp;"P"&amp;$A30)*RTD("tos.rtd",,"GAMMA","."&amp;B$2&amp;B$1&amp;"P"&amp;$A30))/1000000,($A$4*$A$4*RTD("tos.rtd",,"OPEN_INT","."&amp;B$2&amp;B$1&amp;"C"&amp;$A30)*RTD("tos.rtd",,"GAMMA","."&amp;B$2&amp;B$1&amp;"C"&amp;$A30)-$A$4*$A$4*RTD("tos.rtd",,"OPEN_INT","."&amp;B$2&amp;B$1&amp;"P"&amp;$A30)*RTD("tos.rtd",,"GAMMA","."&amp;B$2&amp;B$1&amp;"P"&amp;$A30))/1000000),0),IF($A$2="SKEW",IFERROR(VALUE(IF(RTD("tos.rtd",,"IMPL_VOL","."&amp;B$2&amp;B$1&amp;"P"&amp;$A30)="N/A",0,RTD("tos.rtd",,"IMPL_VOL","."&amp;B$2&amp;B$1&amp;"P"&amp;$A30))),0)-IFERROR(VALUE(IF(RTD("tos.rtd",,"IMPL_VOL","."&amp;B$2&amp;B$1&amp;"C"&amp;$A30)="N/A",0,RTD("tos.rtd",,"IMPL_VOL","."&amp;B$2&amp;B$1&amp;"C"&amp;$A30))),0),IF($A$2="MAXPAIN",IF($A$4&gt;$A30,($A$4-$A30)*IF(RTD("tos.rtd",,"OPEN_INT","."&amp;B$2&amp;B$1&amp;"C"&amp;$A30)="N/A",0,RTD("tos.rtd",,"OPEN_INT","."&amp;B$2&amp;B$1&amp;"C"&amp;$A30)),0)+IF($A$4&lt;$A30,($A$5-$A$4)*IF(RTD("tos.rtd",,"OPEN_INT","."&amp;B$2&amp;B$1&amp;"P"&amp;$A30)="N/A",0,RTD("tos.rtd",,"OPEN_INT","."&amp;B$2&amp;B$1&amp;"P"&amp;$A30)),0),IF($X$1="ABS",IF(RTD("tos.rtd",,$A$2,"."&amp;B$2&amp;B$1&amp;"C"&amp;$A30)="N/A",0,RTD("tos.rtd",,$A$2,"."&amp;B$2&amp;B$1&amp;"C"&amp;$A30))+IF(RTD("tos.rtd",,$A$2,"."&amp;B$2&amp;B$1&amp;"P"&amp;$A30)="N/A",0,RTD("tos.rtd",,$A$2,"."&amp;B$2&amp;B$1&amp;"P"&amp;$A30)),IF(RTD("tos.rtd",,$A$2,"."&amp;B$2&amp;B$1&amp;"C"&amp;$A30)="N/A",0,RTD("tos.rtd",,$A$2,"."&amp;B$2&amp;B$1&amp;"C"&amp;$A30))-IF(RTD("tos.rtd",,$A$2,"."&amp;B$2&amp;B$1&amp;"P"&amp;$A30)="N/A",0,RTD("tos.rtd",,$A$2,"."&amp;B$2&amp;B$1&amp;"P"&amp;$A30))))))))))</f>
        <v>0</v>
      </c>
      <c r="C30" s="12">
        <f ca="1">IF($A$2="PREMIUM_OI",IFERROR(IF($X$1="ABS",(100*RTD("tos.rtd",,"OPEN_INT","."&amp;C$2&amp;C$1&amp;"C"&amp;$A30)*RTD("tos.rtd",,"LAST","."&amp;C$2&amp;C$1&amp;"C"&amp;$A30)+100*RTD("tos.rtd",,"OPEN_INT","."&amp;C$2&amp;C$1&amp;"P"&amp;$A30)*RTD("tos.rtd",,"LAST","."&amp;C$2&amp;C$1&amp;"P"&amp;$A30))/1000000,(100*RTD("tos.rtd",,"OPEN_INT","."&amp;C$2&amp;C$1&amp;"C"&amp;$A30)*RTD("tos.rtd",,"LAST","."&amp;C$2&amp;C$1&amp;"C"&amp;$A30)-100*RTD("tos.rtd",,"OPEN_INT","."&amp;C$2&amp;C$1&amp;"P"&amp;$A30)*RTD("tos.rtd",,"LAST","."&amp;C$2&amp;C$1&amp;"P"&amp;$A30))/1000000),0),IF($A$2="PREMIUM",IFERROR(IF($X$1="ABS",(100*RTD("tos.rtd",,"VOLUME","."&amp;C$2&amp;C$1&amp;"C"&amp;$A30)*RTD("tos.rtd",,"LAST","."&amp;C$2&amp;C$1&amp;"C"&amp;$A30)+100*RTD("tos.rtd",,"VOLUME","."&amp;C$2&amp;C$1&amp;"P"&amp;$A30)*RTD("tos.rtd",,"LAST","."&amp;C$2&amp;C$1&amp;"P"&amp;$A30))/1000000,(100*RTD("tos.rtd",,"VOLUME","."&amp;C$2&amp;C$1&amp;"C"&amp;$A30)*RTD("tos.rtd",,"LAST","."&amp;C$2&amp;C$1&amp;"C"&amp;$A30)-100*RTD("tos.rtd",,"VOLUME","."&amp;C$2&amp;C$1&amp;"P"&amp;$A30)*RTD("tos.rtd",,"LAST","."&amp;C$2&amp;C$1&amp;"P"&amp;$A30))/1000000),0),IF($A$2="DEX",IFERROR(IF($X$1="ABS",(100*RTD("tos.rtd",,"OPEN_INT","."&amp;C$2&amp;C$1&amp;"C"&amp;$A30)*RTD("tos.rtd",,"DELTA","."&amp;C$2&amp;C$1&amp;"C"&amp;$A30)+100*RTD("tos.rtd",,"OPEN_INT","."&amp;C$2&amp;C$1&amp;"P"&amp;$A30)*RTD("tos.rtd",,"DELTA","."&amp;C$2&amp;C$1&amp;"P"&amp;$A30))/1000,(100*RTD("tos.rtd",,"OPEN_INT","."&amp;C$2&amp;C$1&amp;"C"&amp;$A30)*RTD("tos.rtd",,"DELTA","."&amp;C$2&amp;C$1&amp;"C"&amp;$A30)-100*RTD("tos.rtd",,"OPEN_INT","."&amp;C$2&amp;C$1&amp;"P"&amp;$A30)*RTD("tos.rtd",,"DELTA","."&amp;C$2&amp;C$1&amp;"P"&amp;$A30))/1000),0),IF($A$2="VEX",IFERROR(IF($X$1="ABS",($A$4*$A$4*RTD("tos.rtd",,"VOLUME","."&amp;C$2&amp;C$1&amp;"C"&amp;$A30)*RTD("tos.rtd",,"GAMMA","."&amp;C$2&amp;C$1&amp;"C"&amp;$A30)+$A$4*$A$4*RTD("tos.rtd",,"VOLUME","."&amp;C$2&amp;C$1&amp;"P"&amp;$A30)*RTD("tos.rtd",,"GAMMA","."&amp;C$2&amp;C$1&amp;"P"&amp;$A30))/1000000,($A$4*$A$4*RTD("tos.rtd",,"VOLUME","."&amp;C$2&amp;C$1&amp;"C"&amp;$A30)*RTD("tos.rtd",,"GAMMA","."&amp;C$2&amp;C$1&amp;"C"&amp;$A30)-$A$4*$A$4*RTD("tos.rtd",,"VOLUME","."&amp;C$2&amp;C$1&amp;"P"&amp;$A30)*RTD("tos.rtd",,"GAMMA","."&amp;C$2&amp;C$1&amp;"P"&amp;$A30))/1000000),0),IF($A$2="GEX",IFERROR(IF($X$1="ABS",($A$4*$A$4*RTD("tos.rtd",,"OPEN_INT","."&amp;C$2&amp;C$1&amp;"C"&amp;$A30)*RTD("tos.rtd",,"GAMMA","."&amp;C$2&amp;C$1&amp;"C"&amp;$A30)+$A$4*$A$4*RTD("tos.rtd",,"OPEN_INT","."&amp;C$2&amp;C$1&amp;"P"&amp;$A30)*RTD("tos.rtd",,"GAMMA","."&amp;C$2&amp;C$1&amp;"P"&amp;$A30))/1000000,($A$4*$A$4*RTD("tos.rtd",,"OPEN_INT","."&amp;C$2&amp;C$1&amp;"C"&amp;$A30)*RTD("tos.rtd",,"GAMMA","."&amp;C$2&amp;C$1&amp;"C"&amp;$A30)-$A$4*$A$4*RTD("tos.rtd",,"OPEN_INT","."&amp;C$2&amp;C$1&amp;"P"&amp;$A30)*RTD("tos.rtd",,"GAMMA","."&amp;C$2&amp;C$1&amp;"P"&amp;$A30))/1000000),0),IF($A$2="SKEW",IFERROR(VALUE(IF(RTD("tos.rtd",,"IMPL_VOL","."&amp;C$2&amp;C$1&amp;"P"&amp;$A30)="N/A",0,RTD("tos.rtd",,"IMPL_VOL","."&amp;C$2&amp;C$1&amp;"P"&amp;$A30))),0)-IFERROR(VALUE(IF(RTD("tos.rtd",,"IMPL_VOL","."&amp;C$2&amp;C$1&amp;"C"&amp;$A30)="N/A",0,RTD("tos.rtd",,"IMPL_VOL","."&amp;C$2&amp;C$1&amp;"C"&amp;$A30))),0),IF($A$2="MAXPAIN",IF($A$4&gt;$A30,($A$4-$A30)*IF(RTD("tos.rtd",,"OPEN_INT","."&amp;C$2&amp;C$1&amp;"C"&amp;$A30)="N/A",0,RTD("tos.rtd",,"OPEN_INT","."&amp;C$2&amp;C$1&amp;"C"&amp;$A30)),0)+IF($A$4&lt;$A30,($A$5-$A$4)*IF(RTD("tos.rtd",,"OPEN_INT","."&amp;C$2&amp;C$1&amp;"P"&amp;$A30)="N/A",0,RTD("tos.rtd",,"OPEN_INT","."&amp;C$2&amp;C$1&amp;"P"&amp;$A30)),0),IF($X$1="ABS",IF(RTD("tos.rtd",,$A$2,"."&amp;C$2&amp;C$1&amp;"C"&amp;$A30)="N/A",0,RTD("tos.rtd",,$A$2,"."&amp;C$2&amp;C$1&amp;"C"&amp;$A30))+IF(RTD("tos.rtd",,$A$2,"."&amp;C$2&amp;C$1&amp;"P"&amp;$A30)="N/A",0,RTD("tos.rtd",,$A$2,"."&amp;C$2&amp;C$1&amp;"P"&amp;$A30)),IF(RTD("tos.rtd",,$A$2,"."&amp;C$2&amp;C$1&amp;"C"&amp;$A30)="N/A",0,RTD("tos.rtd",,$A$2,"."&amp;C$2&amp;C$1&amp;"C"&amp;$A30))-IF(RTD("tos.rtd",,$A$2,"."&amp;C$2&amp;C$1&amp;"P"&amp;$A30)="N/A",0,RTD("tos.rtd",,$A$2,"."&amp;C$2&amp;C$1&amp;"P"&amp;$A30))))))))))</f>
        <v>28467</v>
      </c>
      <c r="D30" s="12">
        <f ca="1">IF($A$2="PREMIUM_OI",IFERROR(IF($X$1="ABS",(100*RTD("tos.rtd",,"OPEN_INT","."&amp;D$2&amp;D$1&amp;"C"&amp;$A30)*RTD("tos.rtd",,"LAST","."&amp;D$2&amp;D$1&amp;"C"&amp;$A30)+100*RTD("tos.rtd",,"OPEN_INT","."&amp;D$2&amp;D$1&amp;"P"&amp;$A30)*RTD("tos.rtd",,"LAST","."&amp;D$2&amp;D$1&amp;"P"&amp;$A30))/1000000,(100*RTD("tos.rtd",,"OPEN_INT","."&amp;D$2&amp;D$1&amp;"C"&amp;$A30)*RTD("tos.rtd",,"LAST","."&amp;D$2&amp;D$1&amp;"C"&amp;$A30)-100*RTD("tos.rtd",,"OPEN_INT","."&amp;D$2&amp;D$1&amp;"P"&amp;$A30)*RTD("tos.rtd",,"LAST","."&amp;D$2&amp;D$1&amp;"P"&amp;$A30))/1000000),0),IF($A$2="PREMIUM",IFERROR(IF($X$1="ABS",(100*RTD("tos.rtd",,"VOLUME","."&amp;D$2&amp;D$1&amp;"C"&amp;$A30)*RTD("tos.rtd",,"LAST","."&amp;D$2&amp;D$1&amp;"C"&amp;$A30)+100*RTD("tos.rtd",,"VOLUME","."&amp;D$2&amp;D$1&amp;"P"&amp;$A30)*RTD("tos.rtd",,"LAST","."&amp;D$2&amp;D$1&amp;"P"&amp;$A30))/1000000,(100*RTD("tos.rtd",,"VOLUME","."&amp;D$2&amp;D$1&amp;"C"&amp;$A30)*RTD("tos.rtd",,"LAST","."&amp;D$2&amp;D$1&amp;"C"&amp;$A30)-100*RTD("tos.rtd",,"VOLUME","."&amp;D$2&amp;D$1&amp;"P"&amp;$A30)*RTD("tos.rtd",,"LAST","."&amp;D$2&amp;D$1&amp;"P"&amp;$A30))/1000000),0),IF($A$2="DEX",IFERROR(IF($X$1="ABS",(100*RTD("tos.rtd",,"OPEN_INT","."&amp;D$2&amp;D$1&amp;"C"&amp;$A30)*RTD("tos.rtd",,"DELTA","."&amp;D$2&amp;D$1&amp;"C"&amp;$A30)+100*RTD("tos.rtd",,"OPEN_INT","."&amp;D$2&amp;D$1&amp;"P"&amp;$A30)*RTD("tos.rtd",,"DELTA","."&amp;D$2&amp;D$1&amp;"P"&amp;$A30))/1000,(100*RTD("tos.rtd",,"OPEN_INT","."&amp;D$2&amp;D$1&amp;"C"&amp;$A30)*RTD("tos.rtd",,"DELTA","."&amp;D$2&amp;D$1&amp;"C"&amp;$A30)-100*RTD("tos.rtd",,"OPEN_INT","."&amp;D$2&amp;D$1&amp;"P"&amp;$A30)*RTD("tos.rtd",,"DELTA","."&amp;D$2&amp;D$1&amp;"P"&amp;$A30))/1000),0),IF($A$2="VEX",IFERROR(IF($X$1="ABS",($A$4*$A$4*RTD("tos.rtd",,"VOLUME","."&amp;D$2&amp;D$1&amp;"C"&amp;$A30)*RTD("tos.rtd",,"GAMMA","."&amp;D$2&amp;D$1&amp;"C"&amp;$A30)+$A$4*$A$4*RTD("tos.rtd",,"VOLUME","."&amp;D$2&amp;D$1&amp;"P"&amp;$A30)*RTD("tos.rtd",,"GAMMA","."&amp;D$2&amp;D$1&amp;"P"&amp;$A30))/1000000,($A$4*$A$4*RTD("tos.rtd",,"VOLUME","."&amp;D$2&amp;D$1&amp;"C"&amp;$A30)*RTD("tos.rtd",,"GAMMA","."&amp;D$2&amp;D$1&amp;"C"&amp;$A30)-$A$4*$A$4*RTD("tos.rtd",,"VOLUME","."&amp;D$2&amp;D$1&amp;"P"&amp;$A30)*RTD("tos.rtd",,"GAMMA","."&amp;D$2&amp;D$1&amp;"P"&amp;$A30))/1000000),0),IF($A$2="GEX",IFERROR(IF($X$1="ABS",($A$4*$A$4*RTD("tos.rtd",,"OPEN_INT","."&amp;D$2&amp;D$1&amp;"C"&amp;$A30)*RTD("tos.rtd",,"GAMMA","."&amp;D$2&amp;D$1&amp;"C"&amp;$A30)+$A$4*$A$4*RTD("tos.rtd",,"OPEN_INT","."&amp;D$2&amp;D$1&amp;"P"&amp;$A30)*RTD("tos.rtd",,"GAMMA","."&amp;D$2&amp;D$1&amp;"P"&amp;$A30))/1000000,($A$4*$A$4*RTD("tos.rtd",,"OPEN_INT","."&amp;D$2&amp;D$1&amp;"C"&amp;$A30)*RTD("tos.rtd",,"GAMMA","."&amp;D$2&amp;D$1&amp;"C"&amp;$A30)-$A$4*$A$4*RTD("tos.rtd",,"OPEN_INT","."&amp;D$2&amp;D$1&amp;"P"&amp;$A30)*RTD("tos.rtd",,"GAMMA","."&amp;D$2&amp;D$1&amp;"P"&amp;$A30))/1000000),0),IF($A$2="SKEW",IFERROR(VALUE(IF(RTD("tos.rtd",,"IMPL_VOL","."&amp;D$2&amp;D$1&amp;"P"&amp;$A30)="N/A",0,RTD("tos.rtd",,"IMPL_VOL","."&amp;D$2&amp;D$1&amp;"P"&amp;$A30))),0)-IFERROR(VALUE(IF(RTD("tos.rtd",,"IMPL_VOL","."&amp;D$2&amp;D$1&amp;"C"&amp;$A30)="N/A",0,RTD("tos.rtd",,"IMPL_VOL","."&amp;D$2&amp;D$1&amp;"C"&amp;$A30))),0),IF($A$2="MAXPAIN",IF($A$4&gt;$A30,($A$4-$A30)*IF(RTD("tos.rtd",,"OPEN_INT","."&amp;D$2&amp;D$1&amp;"C"&amp;$A30)="N/A",0,RTD("tos.rtd",,"OPEN_INT","."&amp;D$2&amp;D$1&amp;"C"&amp;$A30)),0)+IF($A$4&lt;$A30,($A$5-$A$4)*IF(RTD("tos.rtd",,"OPEN_INT","."&amp;D$2&amp;D$1&amp;"P"&amp;$A30)="N/A",0,RTD("tos.rtd",,"OPEN_INT","."&amp;D$2&amp;D$1&amp;"P"&amp;$A30)),0),IF($X$1="ABS",IF(RTD("tos.rtd",,$A$2,"."&amp;D$2&amp;D$1&amp;"C"&amp;$A30)="N/A",0,RTD("tos.rtd",,$A$2,"."&amp;D$2&amp;D$1&amp;"C"&amp;$A30))+IF(RTD("tos.rtd",,$A$2,"."&amp;D$2&amp;D$1&amp;"P"&amp;$A30)="N/A",0,RTD("tos.rtd",,$A$2,"."&amp;D$2&amp;D$1&amp;"P"&amp;$A30)),IF(RTD("tos.rtd",,$A$2,"."&amp;D$2&amp;D$1&amp;"C"&amp;$A30)="N/A",0,RTD("tos.rtd",,$A$2,"."&amp;D$2&amp;D$1&amp;"C"&amp;$A30))-IF(RTD("tos.rtd",,$A$2,"."&amp;D$2&amp;D$1&amp;"P"&amp;$A30)="N/A",0,RTD("tos.rtd",,$A$2,"."&amp;D$2&amp;D$1&amp;"P"&amp;$A30))))))))))</f>
        <v>21449</v>
      </c>
      <c r="E30" s="12">
        <f ca="1">IF($A$2="PREMIUM_OI",IFERROR(IF($X$1="ABS",(100*RTD("tos.rtd",,"OPEN_INT","."&amp;E$2&amp;E$1&amp;"C"&amp;$A30)*RTD("tos.rtd",,"LAST","."&amp;E$2&amp;E$1&amp;"C"&amp;$A30)+100*RTD("tos.rtd",,"OPEN_INT","."&amp;E$2&amp;E$1&amp;"P"&amp;$A30)*RTD("tos.rtd",,"LAST","."&amp;E$2&amp;E$1&amp;"P"&amp;$A30))/1000000,(100*RTD("tos.rtd",,"OPEN_INT","."&amp;E$2&amp;E$1&amp;"C"&amp;$A30)*RTD("tos.rtd",,"LAST","."&amp;E$2&amp;E$1&amp;"C"&amp;$A30)-100*RTD("tos.rtd",,"OPEN_INT","."&amp;E$2&amp;E$1&amp;"P"&amp;$A30)*RTD("tos.rtd",,"LAST","."&amp;E$2&amp;E$1&amp;"P"&amp;$A30))/1000000),0),IF($A$2="PREMIUM",IFERROR(IF($X$1="ABS",(100*RTD("tos.rtd",,"VOLUME","."&amp;E$2&amp;E$1&amp;"C"&amp;$A30)*RTD("tos.rtd",,"LAST","."&amp;E$2&amp;E$1&amp;"C"&amp;$A30)+100*RTD("tos.rtd",,"VOLUME","."&amp;E$2&amp;E$1&amp;"P"&amp;$A30)*RTD("tos.rtd",,"LAST","."&amp;E$2&amp;E$1&amp;"P"&amp;$A30))/1000000,(100*RTD("tos.rtd",,"VOLUME","."&amp;E$2&amp;E$1&amp;"C"&amp;$A30)*RTD("tos.rtd",,"LAST","."&amp;E$2&amp;E$1&amp;"C"&amp;$A30)-100*RTD("tos.rtd",,"VOLUME","."&amp;E$2&amp;E$1&amp;"P"&amp;$A30)*RTD("tos.rtd",,"LAST","."&amp;E$2&amp;E$1&amp;"P"&amp;$A30))/1000000),0),IF($A$2="DEX",IFERROR(IF($X$1="ABS",(100*RTD("tos.rtd",,"OPEN_INT","."&amp;E$2&amp;E$1&amp;"C"&amp;$A30)*RTD("tos.rtd",,"DELTA","."&amp;E$2&amp;E$1&amp;"C"&amp;$A30)+100*RTD("tos.rtd",,"OPEN_INT","."&amp;E$2&amp;E$1&amp;"P"&amp;$A30)*RTD("tos.rtd",,"DELTA","."&amp;E$2&amp;E$1&amp;"P"&amp;$A30))/1000,(100*RTD("tos.rtd",,"OPEN_INT","."&amp;E$2&amp;E$1&amp;"C"&amp;$A30)*RTD("tos.rtd",,"DELTA","."&amp;E$2&amp;E$1&amp;"C"&amp;$A30)-100*RTD("tos.rtd",,"OPEN_INT","."&amp;E$2&amp;E$1&amp;"P"&amp;$A30)*RTD("tos.rtd",,"DELTA","."&amp;E$2&amp;E$1&amp;"P"&amp;$A30))/1000),0),IF($A$2="VEX",IFERROR(IF($X$1="ABS",($A$4*$A$4*RTD("tos.rtd",,"VOLUME","."&amp;E$2&amp;E$1&amp;"C"&amp;$A30)*RTD("tos.rtd",,"GAMMA","."&amp;E$2&amp;E$1&amp;"C"&amp;$A30)+$A$4*$A$4*RTD("tos.rtd",,"VOLUME","."&amp;E$2&amp;E$1&amp;"P"&amp;$A30)*RTD("tos.rtd",,"GAMMA","."&amp;E$2&amp;E$1&amp;"P"&amp;$A30))/1000000,($A$4*$A$4*RTD("tos.rtd",,"VOLUME","."&amp;E$2&amp;E$1&amp;"C"&amp;$A30)*RTD("tos.rtd",,"GAMMA","."&amp;E$2&amp;E$1&amp;"C"&amp;$A30)-$A$4*$A$4*RTD("tos.rtd",,"VOLUME","."&amp;E$2&amp;E$1&amp;"P"&amp;$A30)*RTD("tos.rtd",,"GAMMA","."&amp;E$2&amp;E$1&amp;"P"&amp;$A30))/1000000),0),IF($A$2="GEX",IFERROR(IF($X$1="ABS",($A$4*$A$4*RTD("tos.rtd",,"OPEN_INT","."&amp;E$2&amp;E$1&amp;"C"&amp;$A30)*RTD("tos.rtd",,"GAMMA","."&amp;E$2&amp;E$1&amp;"C"&amp;$A30)+$A$4*$A$4*RTD("tos.rtd",,"OPEN_INT","."&amp;E$2&amp;E$1&amp;"P"&amp;$A30)*RTD("tos.rtd",,"GAMMA","."&amp;E$2&amp;E$1&amp;"P"&amp;$A30))/1000000,($A$4*$A$4*RTD("tos.rtd",,"OPEN_INT","."&amp;E$2&amp;E$1&amp;"C"&amp;$A30)*RTD("tos.rtd",,"GAMMA","."&amp;E$2&amp;E$1&amp;"C"&amp;$A30)-$A$4*$A$4*RTD("tos.rtd",,"OPEN_INT","."&amp;E$2&amp;E$1&amp;"P"&amp;$A30)*RTD("tos.rtd",,"GAMMA","."&amp;E$2&amp;E$1&amp;"P"&amp;$A30))/1000000),0),IF($A$2="SKEW",IFERROR(VALUE(IF(RTD("tos.rtd",,"IMPL_VOL","."&amp;E$2&amp;E$1&amp;"P"&amp;$A30)="N/A",0,RTD("tos.rtd",,"IMPL_VOL","."&amp;E$2&amp;E$1&amp;"P"&amp;$A30))),0)-IFERROR(VALUE(IF(RTD("tos.rtd",,"IMPL_VOL","."&amp;E$2&amp;E$1&amp;"C"&amp;$A30)="N/A",0,RTD("tos.rtd",,"IMPL_VOL","."&amp;E$2&amp;E$1&amp;"C"&amp;$A30))),0),IF($A$2="MAXPAIN",IF($A$4&gt;$A30,($A$4-$A30)*IF(RTD("tos.rtd",,"OPEN_INT","."&amp;E$2&amp;E$1&amp;"C"&amp;$A30)="N/A",0,RTD("tos.rtd",,"OPEN_INT","."&amp;E$2&amp;E$1&amp;"C"&amp;$A30)),0)+IF($A$4&lt;$A30,($A$5-$A$4)*IF(RTD("tos.rtd",,"OPEN_INT","."&amp;E$2&amp;E$1&amp;"P"&amp;$A30)="N/A",0,RTD("tos.rtd",,"OPEN_INT","."&amp;E$2&amp;E$1&amp;"P"&amp;$A30)),0),IF($X$1="ABS",IF(RTD("tos.rtd",,$A$2,"."&amp;E$2&amp;E$1&amp;"C"&amp;$A30)="N/A",0,RTD("tos.rtd",,$A$2,"."&amp;E$2&amp;E$1&amp;"C"&amp;$A30))+IF(RTD("tos.rtd",,$A$2,"."&amp;E$2&amp;E$1&amp;"P"&amp;$A30)="N/A",0,RTD("tos.rtd",,$A$2,"."&amp;E$2&amp;E$1&amp;"P"&amp;$A30)),IF(RTD("tos.rtd",,$A$2,"."&amp;E$2&amp;E$1&amp;"C"&amp;$A30)="N/A",0,RTD("tos.rtd",,$A$2,"."&amp;E$2&amp;E$1&amp;"C"&amp;$A30))-IF(RTD("tos.rtd",,$A$2,"."&amp;E$2&amp;E$1&amp;"P"&amp;$A30)="N/A",0,RTD("tos.rtd",,$A$2,"."&amp;E$2&amp;E$1&amp;"P"&amp;$A30))))))))))</f>
        <v>2986</v>
      </c>
      <c r="F30" s="12">
        <f ca="1">IF($A$2="PREMIUM_OI",IFERROR(IF($X$1="ABS",(100*RTD("tos.rtd",,"OPEN_INT","."&amp;F$2&amp;F$1&amp;"C"&amp;$A30)*RTD("tos.rtd",,"LAST","."&amp;F$2&amp;F$1&amp;"C"&amp;$A30)+100*RTD("tos.rtd",,"OPEN_INT","."&amp;F$2&amp;F$1&amp;"P"&amp;$A30)*RTD("tos.rtd",,"LAST","."&amp;F$2&amp;F$1&amp;"P"&amp;$A30))/1000000,(100*RTD("tos.rtd",,"OPEN_INT","."&amp;F$2&amp;F$1&amp;"C"&amp;$A30)*RTD("tos.rtd",,"LAST","."&amp;F$2&amp;F$1&amp;"C"&amp;$A30)-100*RTD("tos.rtd",,"OPEN_INT","."&amp;F$2&amp;F$1&amp;"P"&amp;$A30)*RTD("tos.rtd",,"LAST","."&amp;F$2&amp;F$1&amp;"P"&amp;$A30))/1000000),0),IF($A$2="PREMIUM",IFERROR(IF($X$1="ABS",(100*RTD("tos.rtd",,"VOLUME","."&amp;F$2&amp;F$1&amp;"C"&amp;$A30)*RTD("tos.rtd",,"LAST","."&amp;F$2&amp;F$1&amp;"C"&amp;$A30)+100*RTD("tos.rtd",,"VOLUME","."&amp;F$2&amp;F$1&amp;"P"&amp;$A30)*RTD("tos.rtd",,"LAST","."&amp;F$2&amp;F$1&amp;"P"&amp;$A30))/1000000,(100*RTD("tos.rtd",,"VOLUME","."&amp;F$2&amp;F$1&amp;"C"&amp;$A30)*RTD("tos.rtd",,"LAST","."&amp;F$2&amp;F$1&amp;"C"&amp;$A30)-100*RTD("tos.rtd",,"VOLUME","."&amp;F$2&amp;F$1&amp;"P"&amp;$A30)*RTD("tos.rtd",,"LAST","."&amp;F$2&amp;F$1&amp;"P"&amp;$A30))/1000000),0),IF($A$2="DEX",IFERROR(IF($X$1="ABS",(100*RTD("tos.rtd",,"OPEN_INT","."&amp;F$2&amp;F$1&amp;"C"&amp;$A30)*RTD("tos.rtd",,"DELTA","."&amp;F$2&amp;F$1&amp;"C"&amp;$A30)+100*RTD("tos.rtd",,"OPEN_INT","."&amp;F$2&amp;F$1&amp;"P"&amp;$A30)*RTD("tos.rtd",,"DELTA","."&amp;F$2&amp;F$1&amp;"P"&amp;$A30))/1000,(100*RTD("tos.rtd",,"OPEN_INT","."&amp;F$2&amp;F$1&amp;"C"&amp;$A30)*RTD("tos.rtd",,"DELTA","."&amp;F$2&amp;F$1&amp;"C"&amp;$A30)-100*RTD("tos.rtd",,"OPEN_INT","."&amp;F$2&amp;F$1&amp;"P"&amp;$A30)*RTD("tos.rtd",,"DELTA","."&amp;F$2&amp;F$1&amp;"P"&amp;$A30))/1000),0),IF($A$2="VEX",IFERROR(IF($X$1="ABS",($A$4*$A$4*RTD("tos.rtd",,"VOLUME","."&amp;F$2&amp;F$1&amp;"C"&amp;$A30)*RTD("tos.rtd",,"GAMMA","."&amp;F$2&amp;F$1&amp;"C"&amp;$A30)+$A$4*$A$4*RTD("tos.rtd",,"VOLUME","."&amp;F$2&amp;F$1&amp;"P"&amp;$A30)*RTD("tos.rtd",,"GAMMA","."&amp;F$2&amp;F$1&amp;"P"&amp;$A30))/1000000,($A$4*$A$4*RTD("tos.rtd",,"VOLUME","."&amp;F$2&amp;F$1&amp;"C"&amp;$A30)*RTD("tos.rtd",,"GAMMA","."&amp;F$2&amp;F$1&amp;"C"&amp;$A30)-$A$4*$A$4*RTD("tos.rtd",,"VOLUME","."&amp;F$2&amp;F$1&amp;"P"&amp;$A30)*RTD("tos.rtd",,"GAMMA","."&amp;F$2&amp;F$1&amp;"P"&amp;$A30))/1000000),0),IF($A$2="GEX",IFERROR(IF($X$1="ABS",($A$4*$A$4*RTD("tos.rtd",,"OPEN_INT","."&amp;F$2&amp;F$1&amp;"C"&amp;$A30)*RTD("tos.rtd",,"GAMMA","."&amp;F$2&amp;F$1&amp;"C"&amp;$A30)+$A$4*$A$4*RTD("tos.rtd",,"OPEN_INT","."&amp;F$2&amp;F$1&amp;"P"&amp;$A30)*RTD("tos.rtd",,"GAMMA","."&amp;F$2&amp;F$1&amp;"P"&amp;$A30))/1000000,($A$4*$A$4*RTD("tos.rtd",,"OPEN_INT","."&amp;F$2&amp;F$1&amp;"C"&amp;$A30)*RTD("tos.rtd",,"GAMMA","."&amp;F$2&amp;F$1&amp;"C"&amp;$A30)-$A$4*$A$4*RTD("tos.rtd",,"OPEN_INT","."&amp;F$2&amp;F$1&amp;"P"&amp;$A30)*RTD("tos.rtd",,"GAMMA","."&amp;F$2&amp;F$1&amp;"P"&amp;$A30))/1000000),0),IF($A$2="SKEW",IFERROR(VALUE(IF(RTD("tos.rtd",,"IMPL_VOL","."&amp;F$2&amp;F$1&amp;"P"&amp;$A30)="N/A",0,RTD("tos.rtd",,"IMPL_VOL","."&amp;F$2&amp;F$1&amp;"P"&amp;$A30))),0)-IFERROR(VALUE(IF(RTD("tos.rtd",,"IMPL_VOL","."&amp;F$2&amp;F$1&amp;"C"&amp;$A30)="N/A",0,RTD("tos.rtd",,"IMPL_VOL","."&amp;F$2&amp;F$1&amp;"C"&amp;$A30))),0),IF($A$2="MAXPAIN",IF($A$4&gt;$A30,($A$4-$A30)*IF(RTD("tos.rtd",,"OPEN_INT","."&amp;F$2&amp;F$1&amp;"C"&amp;$A30)="N/A",0,RTD("tos.rtd",,"OPEN_INT","."&amp;F$2&amp;F$1&amp;"C"&amp;$A30)),0)+IF($A$4&lt;$A30,($A$5-$A$4)*IF(RTD("tos.rtd",,"OPEN_INT","."&amp;F$2&amp;F$1&amp;"P"&amp;$A30)="N/A",0,RTD("tos.rtd",,"OPEN_INT","."&amp;F$2&amp;F$1&amp;"P"&amp;$A30)),0),IF($X$1="ABS",IF(RTD("tos.rtd",,$A$2,"."&amp;F$2&amp;F$1&amp;"C"&amp;$A30)="N/A",0,RTD("tos.rtd",,$A$2,"."&amp;F$2&amp;F$1&amp;"C"&amp;$A30))+IF(RTD("tos.rtd",,$A$2,"."&amp;F$2&amp;F$1&amp;"P"&amp;$A30)="N/A",0,RTD("tos.rtd",,$A$2,"."&amp;F$2&amp;F$1&amp;"P"&amp;$A30)),IF(RTD("tos.rtd",,$A$2,"."&amp;F$2&amp;F$1&amp;"C"&amp;$A30)="N/A",0,RTD("tos.rtd",,$A$2,"."&amp;F$2&amp;F$1&amp;"C"&amp;$A30))-IF(RTD("tos.rtd",,$A$2,"."&amp;F$2&amp;F$1&amp;"P"&amp;$A30)="N/A",0,RTD("tos.rtd",,$A$2,"."&amp;F$2&amp;F$1&amp;"P"&amp;$A30))))))))))</f>
        <v>1573</v>
      </c>
      <c r="G30" s="57">
        <f ca="1">IF($A$2="PREMIUM_OI",IFERROR(IF($X$1="ABS",(100*RTD("tos.rtd",,"OPEN_INT","."&amp;G$2&amp;G$1&amp;"C"&amp;$A30)*RTD("tos.rtd",,"LAST","."&amp;G$2&amp;G$1&amp;"C"&amp;$A30)+100*RTD("tos.rtd",,"OPEN_INT","."&amp;G$2&amp;G$1&amp;"P"&amp;$A30)*RTD("tos.rtd",,"LAST","."&amp;G$2&amp;G$1&amp;"P"&amp;$A30))/1000000,(100*RTD("tos.rtd",,"OPEN_INT","."&amp;G$2&amp;G$1&amp;"C"&amp;$A30)*RTD("tos.rtd",,"LAST","."&amp;G$2&amp;G$1&amp;"C"&amp;$A30)-100*RTD("tos.rtd",,"OPEN_INT","."&amp;G$2&amp;G$1&amp;"P"&amp;$A30)*RTD("tos.rtd",,"LAST","."&amp;G$2&amp;G$1&amp;"P"&amp;$A30))/1000000),0),IF($A$2="PREMIUM",IFERROR(IF($X$1="ABS",(100*RTD("tos.rtd",,"VOLUME","."&amp;G$2&amp;G$1&amp;"C"&amp;$A30)*RTD("tos.rtd",,"LAST","."&amp;G$2&amp;G$1&amp;"C"&amp;$A30)+100*RTD("tos.rtd",,"VOLUME","."&amp;G$2&amp;G$1&amp;"P"&amp;$A30)*RTD("tos.rtd",,"LAST","."&amp;G$2&amp;G$1&amp;"P"&amp;$A30))/1000000,(100*RTD("tos.rtd",,"VOLUME","."&amp;G$2&amp;G$1&amp;"C"&amp;$A30)*RTD("tos.rtd",,"LAST","."&amp;G$2&amp;G$1&amp;"C"&amp;$A30)-100*RTD("tos.rtd",,"VOLUME","."&amp;G$2&amp;G$1&amp;"P"&amp;$A30)*RTD("tos.rtd",,"LAST","."&amp;G$2&amp;G$1&amp;"P"&amp;$A30))/1000000),0),IF($A$2="DEX",IFERROR(IF($X$1="ABS",(100*RTD("tos.rtd",,"OPEN_INT","."&amp;G$2&amp;G$1&amp;"C"&amp;$A30)*RTD("tos.rtd",,"DELTA","."&amp;G$2&amp;G$1&amp;"C"&amp;$A30)+100*RTD("tos.rtd",,"OPEN_INT","."&amp;G$2&amp;G$1&amp;"P"&amp;$A30)*RTD("tos.rtd",,"DELTA","."&amp;G$2&amp;G$1&amp;"P"&amp;$A30))/1000,(100*RTD("tos.rtd",,"OPEN_INT","."&amp;G$2&amp;G$1&amp;"C"&amp;$A30)*RTD("tos.rtd",,"DELTA","."&amp;G$2&amp;G$1&amp;"C"&amp;$A30)-100*RTD("tos.rtd",,"OPEN_INT","."&amp;G$2&amp;G$1&amp;"P"&amp;$A30)*RTD("tos.rtd",,"DELTA","."&amp;G$2&amp;G$1&amp;"P"&amp;$A30))/1000),0),IF($A$2="VEX",IFERROR(IF($X$1="ABS",($A$4*$A$4*RTD("tos.rtd",,"VOLUME","."&amp;G$2&amp;G$1&amp;"C"&amp;$A30)*RTD("tos.rtd",,"GAMMA","."&amp;G$2&amp;G$1&amp;"C"&amp;$A30)+$A$4*$A$4*RTD("tos.rtd",,"VOLUME","."&amp;G$2&amp;G$1&amp;"P"&amp;$A30)*RTD("tos.rtd",,"GAMMA","."&amp;G$2&amp;G$1&amp;"P"&amp;$A30))/1000000,($A$4*$A$4*RTD("tos.rtd",,"VOLUME","."&amp;G$2&amp;G$1&amp;"C"&amp;$A30)*RTD("tos.rtd",,"GAMMA","."&amp;G$2&amp;G$1&amp;"C"&amp;$A30)-$A$4*$A$4*RTD("tos.rtd",,"VOLUME","."&amp;G$2&amp;G$1&amp;"P"&amp;$A30)*RTD("tos.rtd",,"GAMMA","."&amp;G$2&amp;G$1&amp;"P"&amp;$A30))/1000000),0),IF($A$2="GEX",IFERROR(IF($X$1="ABS",($A$4*$A$4*RTD("tos.rtd",,"OPEN_INT","."&amp;G$2&amp;G$1&amp;"C"&amp;$A30)*RTD("tos.rtd",,"GAMMA","."&amp;G$2&amp;G$1&amp;"C"&amp;$A30)+$A$4*$A$4*RTD("tos.rtd",,"OPEN_INT","."&amp;G$2&amp;G$1&amp;"P"&amp;$A30)*RTD("tos.rtd",,"GAMMA","."&amp;G$2&amp;G$1&amp;"P"&amp;$A30))/1000000,($A$4*$A$4*RTD("tos.rtd",,"OPEN_INT","."&amp;G$2&amp;G$1&amp;"C"&amp;$A30)*RTD("tos.rtd",,"GAMMA","."&amp;G$2&amp;G$1&amp;"C"&amp;$A30)-$A$4*$A$4*RTD("tos.rtd",,"OPEN_INT","."&amp;G$2&amp;G$1&amp;"P"&amp;$A30)*RTD("tos.rtd",,"GAMMA","."&amp;G$2&amp;G$1&amp;"P"&amp;$A30))/1000000),0),IF($A$2="SKEW",IFERROR(VALUE(IF(RTD("tos.rtd",,"IMPL_VOL","."&amp;G$2&amp;G$1&amp;"P"&amp;$A30)="N/A",0,RTD("tos.rtd",,"IMPL_VOL","."&amp;G$2&amp;G$1&amp;"P"&amp;$A30))),0)-IFERROR(VALUE(IF(RTD("tos.rtd",,"IMPL_VOL","."&amp;G$2&amp;G$1&amp;"C"&amp;$A30)="N/A",0,RTD("tos.rtd",,"IMPL_VOL","."&amp;G$2&amp;G$1&amp;"C"&amp;$A30))),0),IF($A$2="MAXPAIN",IF($A$4&gt;$A30,($A$4-$A30)*IF(RTD("tos.rtd",,"OPEN_INT","."&amp;G$2&amp;G$1&amp;"C"&amp;$A30)="N/A",0,RTD("tos.rtd",,"OPEN_INT","."&amp;G$2&amp;G$1&amp;"C"&amp;$A30)),0)+IF($A$4&lt;$A30,($A$5-$A$4)*IF(RTD("tos.rtd",,"OPEN_INT","."&amp;G$2&amp;G$1&amp;"P"&amp;$A30)="N/A",0,RTD("tos.rtd",,"OPEN_INT","."&amp;G$2&amp;G$1&amp;"P"&amp;$A30)),0),IF($X$1="ABS",IF(RTD("tos.rtd",,$A$2,"."&amp;G$2&amp;G$1&amp;"C"&amp;$A30)="N/A",0,RTD("tos.rtd",,$A$2,"."&amp;G$2&amp;G$1&amp;"C"&amp;$A30))+IF(RTD("tos.rtd",,$A$2,"."&amp;G$2&amp;G$1&amp;"P"&amp;$A30)="N/A",0,RTD("tos.rtd",,$A$2,"."&amp;G$2&amp;G$1&amp;"P"&amp;$A30)),IF(RTD("tos.rtd",,$A$2,"."&amp;G$2&amp;G$1&amp;"C"&amp;$A30)="N/A",0,RTD("tos.rtd",,$A$2,"."&amp;G$2&amp;G$1&amp;"C"&amp;$A30))-IF(RTD("tos.rtd",,$A$2,"."&amp;G$2&amp;G$1&amp;"P"&amp;$A30)="N/A",0,RTD("tos.rtd",,$A$2,"."&amp;G$2&amp;G$1&amp;"P"&amp;$A30))))))))))</f>
        <v>426</v>
      </c>
      <c r="H30" s="14">
        <f ca="1">IF($A$2="PREMIUM_OI",IFERROR(IF($X$1="ABS",(100*RTD("tos.rtd",,"OPEN_INT","."&amp;H$2&amp;H$1&amp;"C"&amp;$A30)*RTD("tos.rtd",,"LAST","."&amp;H$2&amp;H$1&amp;"C"&amp;$A30)+100*RTD("tos.rtd",,"OPEN_INT","."&amp;H$2&amp;H$1&amp;"P"&amp;$A30)*RTD("tos.rtd",,"LAST","."&amp;H$2&amp;H$1&amp;"P"&amp;$A30))/1000000,(100*RTD("tos.rtd",,"OPEN_INT","."&amp;H$2&amp;H$1&amp;"C"&amp;$A30)*RTD("tos.rtd",,"LAST","."&amp;H$2&amp;H$1&amp;"C"&amp;$A30)-100*RTD("tos.rtd",,"OPEN_INT","."&amp;H$2&amp;H$1&amp;"P"&amp;$A30)*RTD("tos.rtd",,"LAST","."&amp;H$2&amp;H$1&amp;"P"&amp;$A30))/1000000),0),IF($A$2="PREMIUM",IFERROR(IF($X$1="ABS",(100*RTD("tos.rtd",,"VOLUME","."&amp;H$2&amp;H$1&amp;"C"&amp;$A30)*RTD("tos.rtd",,"LAST","."&amp;H$2&amp;H$1&amp;"C"&amp;$A30)+100*RTD("tos.rtd",,"VOLUME","."&amp;H$2&amp;H$1&amp;"P"&amp;$A30)*RTD("tos.rtd",,"LAST","."&amp;H$2&amp;H$1&amp;"P"&amp;$A30))/1000000,(100*RTD("tos.rtd",,"VOLUME","."&amp;H$2&amp;H$1&amp;"C"&amp;$A30)*RTD("tos.rtd",,"LAST","."&amp;H$2&amp;H$1&amp;"C"&amp;$A30)-100*RTD("tos.rtd",,"VOLUME","."&amp;H$2&amp;H$1&amp;"P"&amp;$A30)*RTD("tos.rtd",,"LAST","."&amp;H$2&amp;H$1&amp;"P"&amp;$A30))/1000000),0),IF($A$2="DEX",IFERROR(IF($X$1="ABS",(100*RTD("tos.rtd",,"OPEN_INT","."&amp;H$2&amp;H$1&amp;"C"&amp;$A30)*RTD("tos.rtd",,"DELTA","."&amp;H$2&amp;H$1&amp;"C"&amp;$A30)+100*RTD("tos.rtd",,"OPEN_INT","."&amp;H$2&amp;H$1&amp;"P"&amp;$A30)*RTD("tos.rtd",,"DELTA","."&amp;H$2&amp;H$1&amp;"P"&amp;$A30))/1000,(100*RTD("tos.rtd",,"OPEN_INT","."&amp;H$2&amp;H$1&amp;"C"&amp;$A30)*RTD("tos.rtd",,"DELTA","."&amp;H$2&amp;H$1&amp;"C"&amp;$A30)-100*RTD("tos.rtd",,"OPEN_INT","."&amp;H$2&amp;H$1&amp;"P"&amp;$A30)*RTD("tos.rtd",,"DELTA","."&amp;H$2&amp;H$1&amp;"P"&amp;$A30))/1000),0),IF($A$2="VEX",IFERROR(IF($X$1="ABS",($A$4*$A$4*RTD("tos.rtd",,"VOLUME","."&amp;H$2&amp;H$1&amp;"C"&amp;$A30)*RTD("tos.rtd",,"GAMMA","."&amp;H$2&amp;H$1&amp;"C"&amp;$A30)+$A$4*$A$4*RTD("tos.rtd",,"VOLUME","."&amp;H$2&amp;H$1&amp;"P"&amp;$A30)*RTD("tos.rtd",,"GAMMA","."&amp;H$2&amp;H$1&amp;"P"&amp;$A30))/1000000,($A$4*$A$4*RTD("tos.rtd",,"VOLUME","."&amp;H$2&amp;H$1&amp;"C"&amp;$A30)*RTD("tos.rtd",,"GAMMA","."&amp;H$2&amp;H$1&amp;"C"&amp;$A30)-$A$4*$A$4*RTD("tos.rtd",,"VOLUME","."&amp;H$2&amp;H$1&amp;"P"&amp;$A30)*RTD("tos.rtd",,"GAMMA","."&amp;H$2&amp;H$1&amp;"P"&amp;$A30))/1000000),0),IF($A$2="GEX",IFERROR(IF($X$1="ABS",($A$4*$A$4*RTD("tos.rtd",,"OPEN_INT","."&amp;H$2&amp;H$1&amp;"C"&amp;$A30)*RTD("tos.rtd",,"GAMMA","."&amp;H$2&amp;H$1&amp;"C"&amp;$A30)+$A$4*$A$4*RTD("tos.rtd",,"OPEN_INT","."&amp;H$2&amp;H$1&amp;"P"&amp;$A30)*RTD("tos.rtd",,"GAMMA","."&amp;H$2&amp;H$1&amp;"P"&amp;$A30))/1000000,($A$4*$A$4*RTD("tos.rtd",,"OPEN_INT","."&amp;H$2&amp;H$1&amp;"C"&amp;$A30)*RTD("tos.rtd",,"GAMMA","."&amp;H$2&amp;H$1&amp;"C"&amp;$A30)-$A$4*$A$4*RTD("tos.rtd",,"OPEN_INT","."&amp;H$2&amp;H$1&amp;"P"&amp;$A30)*RTD("tos.rtd",,"GAMMA","."&amp;H$2&amp;H$1&amp;"P"&amp;$A30))/1000000),0),IF($A$2="SKEW",IFERROR(VALUE(IF(RTD("tos.rtd",,"IMPL_VOL","."&amp;H$2&amp;H$1&amp;"P"&amp;$A30)="N/A",0,RTD("tos.rtd",,"IMPL_VOL","."&amp;H$2&amp;H$1&amp;"P"&amp;$A30))),0)-IFERROR(VALUE(IF(RTD("tos.rtd",,"IMPL_VOL","."&amp;H$2&amp;H$1&amp;"C"&amp;$A30)="N/A",0,RTD("tos.rtd",,"IMPL_VOL","."&amp;H$2&amp;H$1&amp;"C"&amp;$A30))),0),IF($A$2="MAXPAIN",IF($A$4&gt;$A30,($A$4-$A30)*IF(RTD("tos.rtd",,"OPEN_INT","."&amp;H$2&amp;H$1&amp;"C"&amp;$A30)="N/A",0,RTD("tos.rtd",,"OPEN_INT","."&amp;H$2&amp;H$1&amp;"C"&amp;$A30)),0)+IF($A$4&lt;$A30,($A$5-$A$4)*IF(RTD("tos.rtd",,"OPEN_INT","."&amp;H$2&amp;H$1&amp;"P"&amp;$A30)="N/A",0,RTD("tos.rtd",,"OPEN_INT","."&amp;H$2&amp;H$1&amp;"P"&amp;$A30)),0),IF($X$1="ABS",IF(RTD("tos.rtd",,$A$2,"."&amp;H$2&amp;H$1&amp;"C"&amp;$A30)="N/A",0,RTD("tos.rtd",,$A$2,"."&amp;H$2&amp;H$1&amp;"C"&amp;$A30))+IF(RTD("tos.rtd",,$A$2,"."&amp;H$2&amp;H$1&amp;"P"&amp;$A30)="N/A",0,RTD("tos.rtd",,$A$2,"."&amp;H$2&amp;H$1&amp;"P"&amp;$A30)),IF(RTD("tos.rtd",,$A$2,"."&amp;H$2&amp;H$1&amp;"C"&amp;$A30)="N/A",0,RTD("tos.rtd",,$A$2,"."&amp;H$2&amp;H$1&amp;"C"&amp;$A30))-IF(RTD("tos.rtd",,$A$2,"."&amp;H$2&amp;H$1&amp;"P"&amp;$A30)="N/A",0,RTD("tos.rtd",,$A$2,"."&amp;H$2&amp;H$1&amp;"P"&amp;$A30))))))))))</f>
        <v>4326</v>
      </c>
      <c r="I30" s="12">
        <f ca="1">IF($A$2="PREMIUM_OI",IFERROR(IF($X$1="ABS",(100*RTD("tos.rtd",,"OPEN_INT","."&amp;I$2&amp;I$1&amp;"C"&amp;$A30)*RTD("tos.rtd",,"LAST","."&amp;I$2&amp;I$1&amp;"C"&amp;$A30)+100*RTD("tos.rtd",,"OPEN_INT","."&amp;I$2&amp;I$1&amp;"P"&amp;$A30)*RTD("tos.rtd",,"LAST","."&amp;I$2&amp;I$1&amp;"P"&amp;$A30))/1000000,(100*RTD("tos.rtd",,"OPEN_INT","."&amp;I$2&amp;I$1&amp;"C"&amp;$A30)*RTD("tos.rtd",,"LAST","."&amp;I$2&amp;I$1&amp;"C"&amp;$A30)-100*RTD("tos.rtd",,"OPEN_INT","."&amp;I$2&amp;I$1&amp;"P"&amp;$A30)*RTD("tos.rtd",,"LAST","."&amp;I$2&amp;I$1&amp;"P"&amp;$A30))/1000000),0),IF($A$2="PREMIUM",IFERROR(IF($X$1="ABS",(100*RTD("tos.rtd",,"VOLUME","."&amp;I$2&amp;I$1&amp;"C"&amp;$A30)*RTD("tos.rtd",,"LAST","."&amp;I$2&amp;I$1&amp;"C"&amp;$A30)+100*RTD("tos.rtd",,"VOLUME","."&amp;I$2&amp;I$1&amp;"P"&amp;$A30)*RTD("tos.rtd",,"LAST","."&amp;I$2&amp;I$1&amp;"P"&amp;$A30))/1000000,(100*RTD("tos.rtd",,"VOLUME","."&amp;I$2&amp;I$1&amp;"C"&amp;$A30)*RTD("tos.rtd",,"LAST","."&amp;I$2&amp;I$1&amp;"C"&amp;$A30)-100*RTD("tos.rtd",,"VOLUME","."&amp;I$2&amp;I$1&amp;"P"&amp;$A30)*RTD("tos.rtd",,"LAST","."&amp;I$2&amp;I$1&amp;"P"&amp;$A30))/1000000),0),IF($A$2="DEX",IFERROR(IF($X$1="ABS",(100*RTD("tos.rtd",,"OPEN_INT","."&amp;I$2&amp;I$1&amp;"C"&amp;$A30)*RTD("tos.rtd",,"DELTA","."&amp;I$2&amp;I$1&amp;"C"&amp;$A30)+100*RTD("tos.rtd",,"OPEN_INT","."&amp;I$2&amp;I$1&amp;"P"&amp;$A30)*RTD("tos.rtd",,"DELTA","."&amp;I$2&amp;I$1&amp;"P"&amp;$A30))/1000,(100*RTD("tos.rtd",,"OPEN_INT","."&amp;I$2&amp;I$1&amp;"C"&amp;$A30)*RTD("tos.rtd",,"DELTA","."&amp;I$2&amp;I$1&amp;"C"&amp;$A30)-100*RTD("tos.rtd",,"OPEN_INT","."&amp;I$2&amp;I$1&amp;"P"&amp;$A30)*RTD("tos.rtd",,"DELTA","."&amp;I$2&amp;I$1&amp;"P"&amp;$A30))/1000),0),IF($A$2="VEX",IFERROR(IF($X$1="ABS",($A$4*$A$4*RTD("tos.rtd",,"VOLUME","."&amp;I$2&amp;I$1&amp;"C"&amp;$A30)*RTD("tos.rtd",,"GAMMA","."&amp;I$2&amp;I$1&amp;"C"&amp;$A30)+$A$4*$A$4*RTD("tos.rtd",,"VOLUME","."&amp;I$2&amp;I$1&amp;"P"&amp;$A30)*RTD("tos.rtd",,"GAMMA","."&amp;I$2&amp;I$1&amp;"P"&amp;$A30))/1000000,($A$4*$A$4*RTD("tos.rtd",,"VOLUME","."&amp;I$2&amp;I$1&amp;"C"&amp;$A30)*RTD("tos.rtd",,"GAMMA","."&amp;I$2&amp;I$1&amp;"C"&amp;$A30)-$A$4*$A$4*RTD("tos.rtd",,"VOLUME","."&amp;I$2&amp;I$1&amp;"P"&amp;$A30)*RTD("tos.rtd",,"GAMMA","."&amp;I$2&amp;I$1&amp;"P"&amp;$A30))/1000000),0),IF($A$2="GEX",IFERROR(IF($X$1="ABS",($A$4*$A$4*RTD("tos.rtd",,"OPEN_INT","."&amp;I$2&amp;I$1&amp;"C"&amp;$A30)*RTD("tos.rtd",,"GAMMA","."&amp;I$2&amp;I$1&amp;"C"&amp;$A30)+$A$4*$A$4*RTD("tos.rtd",,"OPEN_INT","."&amp;I$2&amp;I$1&amp;"P"&amp;$A30)*RTD("tos.rtd",,"GAMMA","."&amp;I$2&amp;I$1&amp;"P"&amp;$A30))/1000000,($A$4*$A$4*RTD("tos.rtd",,"OPEN_INT","."&amp;I$2&amp;I$1&amp;"C"&amp;$A30)*RTD("tos.rtd",,"GAMMA","."&amp;I$2&amp;I$1&amp;"C"&amp;$A30)-$A$4*$A$4*RTD("tos.rtd",,"OPEN_INT","."&amp;I$2&amp;I$1&amp;"P"&amp;$A30)*RTD("tos.rtd",,"GAMMA","."&amp;I$2&amp;I$1&amp;"P"&amp;$A30))/1000000),0),IF($A$2="SKEW",IFERROR(VALUE(IF(RTD("tos.rtd",,"IMPL_VOL","."&amp;I$2&amp;I$1&amp;"P"&amp;$A30)="N/A",0,RTD("tos.rtd",,"IMPL_VOL","."&amp;I$2&amp;I$1&amp;"P"&amp;$A30))),0)-IFERROR(VALUE(IF(RTD("tos.rtd",,"IMPL_VOL","."&amp;I$2&amp;I$1&amp;"C"&amp;$A30)="N/A",0,RTD("tos.rtd",,"IMPL_VOL","."&amp;I$2&amp;I$1&amp;"C"&amp;$A30))),0),IF($A$2="MAXPAIN",IF($A$4&gt;$A30,($A$4-$A30)*IF(RTD("tos.rtd",,"OPEN_INT","."&amp;I$2&amp;I$1&amp;"C"&amp;$A30)="N/A",0,RTD("tos.rtd",,"OPEN_INT","."&amp;I$2&amp;I$1&amp;"C"&amp;$A30)),0)+IF($A$4&lt;$A30,($A$5-$A$4)*IF(RTD("tos.rtd",,"OPEN_INT","."&amp;I$2&amp;I$1&amp;"P"&amp;$A30)="N/A",0,RTD("tos.rtd",,"OPEN_INT","."&amp;I$2&amp;I$1&amp;"P"&amp;$A30)),0),IF($X$1="ABS",IF(RTD("tos.rtd",,$A$2,"."&amp;I$2&amp;I$1&amp;"C"&amp;$A30)="N/A",0,RTD("tos.rtd",,$A$2,"."&amp;I$2&amp;I$1&amp;"C"&amp;$A30))+IF(RTD("tos.rtd",,$A$2,"."&amp;I$2&amp;I$1&amp;"P"&amp;$A30)="N/A",0,RTD("tos.rtd",,$A$2,"."&amp;I$2&amp;I$1&amp;"P"&amp;$A30)),IF(RTD("tos.rtd",,$A$2,"."&amp;I$2&amp;I$1&amp;"C"&amp;$A30)="N/A",0,RTD("tos.rtd",,$A$2,"."&amp;I$2&amp;I$1&amp;"C"&amp;$A30))-IF(RTD("tos.rtd",,$A$2,"."&amp;I$2&amp;I$1&amp;"P"&amp;$A30)="N/A",0,RTD("tos.rtd",,$A$2,"."&amp;I$2&amp;I$1&amp;"P"&amp;$A30))))))))))</f>
        <v>363</v>
      </c>
      <c r="J30" s="12">
        <f ca="1">IF($A$2="PREMIUM_OI",IFERROR(IF($X$1="ABS",(100*RTD("tos.rtd",,"OPEN_INT","."&amp;J$2&amp;J$1&amp;"C"&amp;$A30)*RTD("tos.rtd",,"LAST","."&amp;J$2&amp;J$1&amp;"C"&amp;$A30)+100*RTD("tos.rtd",,"OPEN_INT","."&amp;J$2&amp;J$1&amp;"P"&amp;$A30)*RTD("tos.rtd",,"LAST","."&amp;J$2&amp;J$1&amp;"P"&amp;$A30))/1000000,(100*RTD("tos.rtd",,"OPEN_INT","."&amp;J$2&amp;J$1&amp;"C"&amp;$A30)*RTD("tos.rtd",,"LAST","."&amp;J$2&amp;J$1&amp;"C"&amp;$A30)-100*RTD("tos.rtd",,"OPEN_INT","."&amp;J$2&amp;J$1&amp;"P"&amp;$A30)*RTD("tos.rtd",,"LAST","."&amp;J$2&amp;J$1&amp;"P"&amp;$A30))/1000000),0),IF($A$2="PREMIUM",IFERROR(IF($X$1="ABS",(100*RTD("tos.rtd",,"VOLUME","."&amp;J$2&amp;J$1&amp;"C"&amp;$A30)*RTD("tos.rtd",,"LAST","."&amp;J$2&amp;J$1&amp;"C"&amp;$A30)+100*RTD("tos.rtd",,"VOLUME","."&amp;J$2&amp;J$1&amp;"P"&amp;$A30)*RTD("tos.rtd",,"LAST","."&amp;J$2&amp;J$1&amp;"P"&amp;$A30))/1000000,(100*RTD("tos.rtd",,"VOLUME","."&amp;J$2&amp;J$1&amp;"C"&amp;$A30)*RTD("tos.rtd",,"LAST","."&amp;J$2&amp;J$1&amp;"C"&amp;$A30)-100*RTD("tos.rtd",,"VOLUME","."&amp;J$2&amp;J$1&amp;"P"&amp;$A30)*RTD("tos.rtd",,"LAST","."&amp;J$2&amp;J$1&amp;"P"&amp;$A30))/1000000),0),IF($A$2="DEX",IFERROR(IF($X$1="ABS",(100*RTD("tos.rtd",,"OPEN_INT","."&amp;J$2&amp;J$1&amp;"C"&amp;$A30)*RTD("tos.rtd",,"DELTA","."&amp;J$2&amp;J$1&amp;"C"&amp;$A30)+100*RTD("tos.rtd",,"OPEN_INT","."&amp;J$2&amp;J$1&amp;"P"&amp;$A30)*RTD("tos.rtd",,"DELTA","."&amp;J$2&amp;J$1&amp;"P"&amp;$A30))/1000,(100*RTD("tos.rtd",,"OPEN_INT","."&amp;J$2&amp;J$1&amp;"C"&amp;$A30)*RTD("tos.rtd",,"DELTA","."&amp;J$2&amp;J$1&amp;"C"&amp;$A30)-100*RTD("tos.rtd",,"OPEN_INT","."&amp;J$2&amp;J$1&amp;"P"&amp;$A30)*RTD("tos.rtd",,"DELTA","."&amp;J$2&amp;J$1&amp;"P"&amp;$A30))/1000),0),IF($A$2="VEX",IFERROR(IF($X$1="ABS",($A$4*$A$4*RTD("tos.rtd",,"VOLUME","."&amp;J$2&amp;J$1&amp;"C"&amp;$A30)*RTD("tos.rtd",,"GAMMA","."&amp;J$2&amp;J$1&amp;"C"&amp;$A30)+$A$4*$A$4*RTD("tos.rtd",,"VOLUME","."&amp;J$2&amp;J$1&amp;"P"&amp;$A30)*RTD("tos.rtd",,"GAMMA","."&amp;J$2&amp;J$1&amp;"P"&amp;$A30))/1000000,($A$4*$A$4*RTD("tos.rtd",,"VOLUME","."&amp;J$2&amp;J$1&amp;"C"&amp;$A30)*RTD("tos.rtd",,"GAMMA","."&amp;J$2&amp;J$1&amp;"C"&amp;$A30)-$A$4*$A$4*RTD("tos.rtd",,"VOLUME","."&amp;J$2&amp;J$1&amp;"P"&amp;$A30)*RTD("tos.rtd",,"GAMMA","."&amp;J$2&amp;J$1&amp;"P"&amp;$A30))/1000000),0),IF($A$2="GEX",IFERROR(IF($X$1="ABS",($A$4*$A$4*RTD("tos.rtd",,"OPEN_INT","."&amp;J$2&amp;J$1&amp;"C"&amp;$A30)*RTD("tos.rtd",,"GAMMA","."&amp;J$2&amp;J$1&amp;"C"&amp;$A30)+$A$4*$A$4*RTD("tos.rtd",,"OPEN_INT","."&amp;J$2&amp;J$1&amp;"P"&amp;$A30)*RTD("tos.rtd",,"GAMMA","."&amp;J$2&amp;J$1&amp;"P"&amp;$A30))/1000000,($A$4*$A$4*RTD("tos.rtd",,"OPEN_INT","."&amp;J$2&amp;J$1&amp;"C"&amp;$A30)*RTD("tos.rtd",,"GAMMA","."&amp;J$2&amp;J$1&amp;"C"&amp;$A30)-$A$4*$A$4*RTD("tos.rtd",,"OPEN_INT","."&amp;J$2&amp;J$1&amp;"P"&amp;$A30)*RTD("tos.rtd",,"GAMMA","."&amp;J$2&amp;J$1&amp;"P"&amp;$A30))/1000000),0),IF($A$2="SKEW",IFERROR(VALUE(IF(RTD("tos.rtd",,"IMPL_VOL","."&amp;J$2&amp;J$1&amp;"P"&amp;$A30)="N/A",0,RTD("tos.rtd",,"IMPL_VOL","."&amp;J$2&amp;J$1&amp;"P"&amp;$A30))),0)-IFERROR(VALUE(IF(RTD("tos.rtd",,"IMPL_VOL","."&amp;J$2&amp;J$1&amp;"C"&amp;$A30)="N/A",0,RTD("tos.rtd",,"IMPL_VOL","."&amp;J$2&amp;J$1&amp;"C"&amp;$A30))),0),IF($A$2="MAXPAIN",IF($A$4&gt;$A30,($A$4-$A30)*IF(RTD("tos.rtd",,"OPEN_INT","."&amp;J$2&amp;J$1&amp;"C"&amp;$A30)="N/A",0,RTD("tos.rtd",,"OPEN_INT","."&amp;J$2&amp;J$1&amp;"C"&amp;$A30)),0)+IF($A$4&lt;$A30,($A$5-$A$4)*IF(RTD("tos.rtd",,"OPEN_INT","."&amp;J$2&amp;J$1&amp;"P"&amp;$A30)="N/A",0,RTD("tos.rtd",,"OPEN_INT","."&amp;J$2&amp;J$1&amp;"P"&amp;$A30)),0),IF($X$1="ABS",IF(RTD("tos.rtd",,$A$2,"."&amp;J$2&amp;J$1&amp;"C"&amp;$A30)="N/A",0,RTD("tos.rtd",,$A$2,"."&amp;J$2&amp;J$1&amp;"C"&amp;$A30))+IF(RTD("tos.rtd",,$A$2,"."&amp;J$2&amp;J$1&amp;"P"&amp;$A30)="N/A",0,RTD("tos.rtd",,$A$2,"."&amp;J$2&amp;J$1&amp;"P"&amp;$A30)),IF(RTD("tos.rtd",,$A$2,"."&amp;J$2&amp;J$1&amp;"C"&amp;$A30)="N/A",0,RTD("tos.rtd",,$A$2,"."&amp;J$2&amp;J$1&amp;"C"&amp;$A30))-IF(RTD("tos.rtd",,$A$2,"."&amp;J$2&amp;J$1&amp;"P"&amp;$A30)="N/A",0,RTD("tos.rtd",,$A$2,"."&amp;J$2&amp;J$1&amp;"P"&amp;$A30))))))))))</f>
        <v>0</v>
      </c>
      <c r="K30" s="12">
        <f ca="1">IF($A$2="PREMIUM_OI",IFERROR(IF($X$1="ABS",(100*RTD("tos.rtd",,"OPEN_INT","."&amp;K$2&amp;K$1&amp;"C"&amp;$A30)*RTD("tos.rtd",,"LAST","."&amp;K$2&amp;K$1&amp;"C"&amp;$A30)+100*RTD("tos.rtd",,"OPEN_INT","."&amp;K$2&amp;K$1&amp;"P"&amp;$A30)*RTD("tos.rtd",,"LAST","."&amp;K$2&amp;K$1&amp;"P"&amp;$A30))/1000000,(100*RTD("tos.rtd",,"OPEN_INT","."&amp;K$2&amp;K$1&amp;"C"&amp;$A30)*RTD("tos.rtd",,"LAST","."&amp;K$2&amp;K$1&amp;"C"&amp;$A30)-100*RTD("tos.rtd",,"OPEN_INT","."&amp;K$2&amp;K$1&amp;"P"&amp;$A30)*RTD("tos.rtd",,"LAST","."&amp;K$2&amp;K$1&amp;"P"&amp;$A30))/1000000),0),IF($A$2="PREMIUM",IFERROR(IF($X$1="ABS",(100*RTD("tos.rtd",,"VOLUME","."&amp;K$2&amp;K$1&amp;"C"&amp;$A30)*RTD("tos.rtd",,"LAST","."&amp;K$2&amp;K$1&amp;"C"&amp;$A30)+100*RTD("tos.rtd",,"VOLUME","."&amp;K$2&amp;K$1&amp;"P"&amp;$A30)*RTD("tos.rtd",,"LAST","."&amp;K$2&amp;K$1&amp;"P"&amp;$A30))/1000000,(100*RTD("tos.rtd",,"VOLUME","."&amp;K$2&amp;K$1&amp;"C"&amp;$A30)*RTD("tos.rtd",,"LAST","."&amp;K$2&amp;K$1&amp;"C"&amp;$A30)-100*RTD("tos.rtd",,"VOLUME","."&amp;K$2&amp;K$1&amp;"P"&amp;$A30)*RTD("tos.rtd",,"LAST","."&amp;K$2&amp;K$1&amp;"P"&amp;$A30))/1000000),0),IF($A$2="DEX",IFERROR(IF($X$1="ABS",(100*RTD("tos.rtd",,"OPEN_INT","."&amp;K$2&amp;K$1&amp;"C"&amp;$A30)*RTD("tos.rtd",,"DELTA","."&amp;K$2&amp;K$1&amp;"C"&amp;$A30)+100*RTD("tos.rtd",,"OPEN_INT","."&amp;K$2&amp;K$1&amp;"P"&amp;$A30)*RTD("tos.rtd",,"DELTA","."&amp;K$2&amp;K$1&amp;"P"&amp;$A30))/1000,(100*RTD("tos.rtd",,"OPEN_INT","."&amp;K$2&amp;K$1&amp;"C"&amp;$A30)*RTD("tos.rtd",,"DELTA","."&amp;K$2&amp;K$1&amp;"C"&amp;$A30)-100*RTD("tos.rtd",,"OPEN_INT","."&amp;K$2&amp;K$1&amp;"P"&amp;$A30)*RTD("tos.rtd",,"DELTA","."&amp;K$2&amp;K$1&amp;"P"&amp;$A30))/1000),0),IF($A$2="VEX",IFERROR(IF($X$1="ABS",($A$4*$A$4*RTD("tos.rtd",,"VOLUME","."&amp;K$2&amp;K$1&amp;"C"&amp;$A30)*RTD("tos.rtd",,"GAMMA","."&amp;K$2&amp;K$1&amp;"C"&amp;$A30)+$A$4*$A$4*RTD("tos.rtd",,"VOLUME","."&amp;K$2&amp;K$1&amp;"P"&amp;$A30)*RTD("tos.rtd",,"GAMMA","."&amp;K$2&amp;K$1&amp;"P"&amp;$A30))/1000000,($A$4*$A$4*RTD("tos.rtd",,"VOLUME","."&amp;K$2&amp;K$1&amp;"C"&amp;$A30)*RTD("tos.rtd",,"GAMMA","."&amp;K$2&amp;K$1&amp;"C"&amp;$A30)-$A$4*$A$4*RTD("tos.rtd",,"VOLUME","."&amp;K$2&amp;K$1&amp;"P"&amp;$A30)*RTD("tos.rtd",,"GAMMA","."&amp;K$2&amp;K$1&amp;"P"&amp;$A30))/1000000),0),IF($A$2="GEX",IFERROR(IF($X$1="ABS",($A$4*$A$4*RTD("tos.rtd",,"OPEN_INT","."&amp;K$2&amp;K$1&amp;"C"&amp;$A30)*RTD("tos.rtd",,"GAMMA","."&amp;K$2&amp;K$1&amp;"C"&amp;$A30)+$A$4*$A$4*RTD("tos.rtd",,"OPEN_INT","."&amp;K$2&amp;K$1&amp;"P"&amp;$A30)*RTD("tos.rtd",,"GAMMA","."&amp;K$2&amp;K$1&amp;"P"&amp;$A30))/1000000,($A$4*$A$4*RTD("tos.rtd",,"OPEN_INT","."&amp;K$2&amp;K$1&amp;"C"&amp;$A30)*RTD("tos.rtd",,"GAMMA","."&amp;K$2&amp;K$1&amp;"C"&amp;$A30)-$A$4*$A$4*RTD("tos.rtd",,"OPEN_INT","."&amp;K$2&amp;K$1&amp;"P"&amp;$A30)*RTD("tos.rtd",,"GAMMA","."&amp;K$2&amp;K$1&amp;"P"&amp;$A30))/1000000),0),IF($A$2="SKEW",IFERROR(VALUE(IF(RTD("tos.rtd",,"IMPL_VOL","."&amp;K$2&amp;K$1&amp;"P"&amp;$A30)="N/A",0,RTD("tos.rtd",,"IMPL_VOL","."&amp;K$2&amp;K$1&amp;"P"&amp;$A30))),0)-IFERROR(VALUE(IF(RTD("tos.rtd",,"IMPL_VOL","."&amp;K$2&amp;K$1&amp;"C"&amp;$A30)="N/A",0,RTD("tos.rtd",,"IMPL_VOL","."&amp;K$2&amp;K$1&amp;"C"&amp;$A30))),0),IF($A$2="MAXPAIN",IF($A$4&gt;$A30,($A$4-$A30)*IF(RTD("tos.rtd",,"OPEN_INT","."&amp;K$2&amp;K$1&amp;"C"&amp;$A30)="N/A",0,RTD("tos.rtd",,"OPEN_INT","."&amp;K$2&amp;K$1&amp;"C"&amp;$A30)),0)+IF($A$4&lt;$A30,($A$5-$A$4)*IF(RTD("tos.rtd",,"OPEN_INT","."&amp;K$2&amp;K$1&amp;"P"&amp;$A30)="N/A",0,RTD("tos.rtd",,"OPEN_INT","."&amp;K$2&amp;K$1&amp;"P"&amp;$A30)),0),IF($X$1="ABS",IF(RTD("tos.rtd",,$A$2,"."&amp;K$2&amp;K$1&amp;"C"&amp;$A30)="N/A",0,RTD("tos.rtd",,$A$2,"."&amp;K$2&amp;K$1&amp;"C"&amp;$A30))+IF(RTD("tos.rtd",,$A$2,"."&amp;K$2&amp;K$1&amp;"P"&amp;$A30)="N/A",0,RTD("tos.rtd",,$A$2,"."&amp;K$2&amp;K$1&amp;"P"&amp;$A30)),IF(RTD("tos.rtd",,$A$2,"."&amp;K$2&amp;K$1&amp;"C"&amp;$A30)="N/A",0,RTD("tos.rtd",,$A$2,"."&amp;K$2&amp;K$1&amp;"C"&amp;$A30))-IF(RTD("tos.rtd",,$A$2,"."&amp;K$2&amp;K$1&amp;"P"&amp;$A30)="N/A",0,RTD("tos.rtd",,$A$2,"."&amp;K$2&amp;K$1&amp;"P"&amp;$A30))))))))))</f>
        <v>0</v>
      </c>
      <c r="L30" s="54">
        <f ca="1">IF($A$2="PREMIUM_OI",IFERROR(IF($X$1="ABS",(100*RTD("tos.rtd",,"OPEN_INT","."&amp;L$2&amp;L$1&amp;"C"&amp;$A30)*RTD("tos.rtd",,"LAST","."&amp;L$2&amp;L$1&amp;"C"&amp;$A30)+100*RTD("tos.rtd",,"OPEN_INT","."&amp;L$2&amp;L$1&amp;"P"&amp;$A30)*RTD("tos.rtd",,"LAST","."&amp;L$2&amp;L$1&amp;"P"&amp;$A30))/1000000,(100*RTD("tos.rtd",,"OPEN_INT","."&amp;L$2&amp;L$1&amp;"C"&amp;$A30)*RTD("tos.rtd",,"LAST","."&amp;L$2&amp;L$1&amp;"C"&amp;$A30)-100*RTD("tos.rtd",,"OPEN_INT","."&amp;L$2&amp;L$1&amp;"P"&amp;$A30)*RTD("tos.rtd",,"LAST","."&amp;L$2&amp;L$1&amp;"P"&amp;$A30))/1000000),0),IF($A$2="PREMIUM",IFERROR(IF($X$1="ABS",(100*RTD("tos.rtd",,"VOLUME","."&amp;L$2&amp;L$1&amp;"C"&amp;$A30)*RTD("tos.rtd",,"LAST","."&amp;L$2&amp;L$1&amp;"C"&amp;$A30)+100*RTD("tos.rtd",,"VOLUME","."&amp;L$2&amp;L$1&amp;"P"&amp;$A30)*RTD("tos.rtd",,"LAST","."&amp;L$2&amp;L$1&amp;"P"&amp;$A30))/1000000,(100*RTD("tos.rtd",,"VOLUME","."&amp;L$2&amp;L$1&amp;"C"&amp;$A30)*RTD("tos.rtd",,"LAST","."&amp;L$2&amp;L$1&amp;"C"&amp;$A30)-100*RTD("tos.rtd",,"VOLUME","."&amp;L$2&amp;L$1&amp;"P"&amp;$A30)*RTD("tos.rtd",,"LAST","."&amp;L$2&amp;L$1&amp;"P"&amp;$A30))/1000000),0),IF($A$2="DEX",IFERROR(IF($X$1="ABS",(100*RTD("tos.rtd",,"OPEN_INT","."&amp;L$2&amp;L$1&amp;"C"&amp;$A30)*RTD("tos.rtd",,"DELTA","."&amp;L$2&amp;L$1&amp;"C"&amp;$A30)+100*RTD("tos.rtd",,"OPEN_INT","."&amp;L$2&amp;L$1&amp;"P"&amp;$A30)*RTD("tos.rtd",,"DELTA","."&amp;L$2&amp;L$1&amp;"P"&amp;$A30))/1000,(100*RTD("tos.rtd",,"OPEN_INT","."&amp;L$2&amp;L$1&amp;"C"&amp;$A30)*RTD("tos.rtd",,"DELTA","."&amp;L$2&amp;L$1&amp;"C"&amp;$A30)-100*RTD("tos.rtd",,"OPEN_INT","."&amp;L$2&amp;L$1&amp;"P"&amp;$A30)*RTD("tos.rtd",,"DELTA","."&amp;L$2&amp;L$1&amp;"P"&amp;$A30))/1000),0),IF($A$2="VEX",IFERROR(IF($X$1="ABS",($A$4*$A$4*RTD("tos.rtd",,"VOLUME","."&amp;L$2&amp;L$1&amp;"C"&amp;$A30)*RTD("tos.rtd",,"GAMMA","."&amp;L$2&amp;L$1&amp;"C"&amp;$A30)+$A$4*$A$4*RTD("tos.rtd",,"VOLUME","."&amp;L$2&amp;L$1&amp;"P"&amp;$A30)*RTD("tos.rtd",,"GAMMA","."&amp;L$2&amp;L$1&amp;"P"&amp;$A30))/1000000,($A$4*$A$4*RTD("tos.rtd",,"VOLUME","."&amp;L$2&amp;L$1&amp;"C"&amp;$A30)*RTD("tos.rtd",,"GAMMA","."&amp;L$2&amp;L$1&amp;"C"&amp;$A30)-$A$4*$A$4*RTD("tos.rtd",,"VOLUME","."&amp;L$2&amp;L$1&amp;"P"&amp;$A30)*RTD("tos.rtd",,"GAMMA","."&amp;L$2&amp;L$1&amp;"P"&amp;$A30))/1000000),0),IF($A$2="GEX",IFERROR(IF($X$1="ABS",($A$4*$A$4*RTD("tos.rtd",,"OPEN_INT","."&amp;L$2&amp;L$1&amp;"C"&amp;$A30)*RTD("tos.rtd",,"GAMMA","."&amp;L$2&amp;L$1&amp;"C"&amp;$A30)+$A$4*$A$4*RTD("tos.rtd",,"OPEN_INT","."&amp;L$2&amp;L$1&amp;"P"&amp;$A30)*RTD("tos.rtd",,"GAMMA","."&amp;L$2&amp;L$1&amp;"P"&amp;$A30))/1000000,($A$4*$A$4*RTD("tos.rtd",,"OPEN_INT","."&amp;L$2&amp;L$1&amp;"C"&amp;$A30)*RTD("tos.rtd",,"GAMMA","."&amp;L$2&amp;L$1&amp;"C"&amp;$A30)-$A$4*$A$4*RTD("tos.rtd",,"OPEN_INT","."&amp;L$2&amp;L$1&amp;"P"&amp;$A30)*RTD("tos.rtd",,"GAMMA","."&amp;L$2&amp;L$1&amp;"P"&amp;$A30))/1000000),0),IF($A$2="SKEW",IFERROR(VALUE(IF(RTD("tos.rtd",,"IMPL_VOL","."&amp;L$2&amp;L$1&amp;"P"&amp;$A30)="N/A",0,RTD("tos.rtd",,"IMPL_VOL","."&amp;L$2&amp;L$1&amp;"P"&amp;$A30))),0)-IFERROR(VALUE(IF(RTD("tos.rtd",,"IMPL_VOL","."&amp;L$2&amp;L$1&amp;"C"&amp;$A30)="N/A",0,RTD("tos.rtd",,"IMPL_VOL","."&amp;L$2&amp;L$1&amp;"C"&amp;$A30))),0),IF($A$2="MAXPAIN",IF($A$4&gt;$A30,($A$4-$A30)*IF(RTD("tos.rtd",,"OPEN_INT","."&amp;L$2&amp;L$1&amp;"C"&amp;$A30)="N/A",0,RTD("tos.rtd",,"OPEN_INT","."&amp;L$2&amp;L$1&amp;"C"&amp;$A30)),0)+IF($A$4&lt;$A30,($A$5-$A$4)*IF(RTD("tos.rtd",,"OPEN_INT","."&amp;L$2&amp;L$1&amp;"P"&amp;$A30)="N/A",0,RTD("tos.rtd",,"OPEN_INT","."&amp;L$2&amp;L$1&amp;"P"&amp;$A30)),0),IF($X$1="ABS",IF(RTD("tos.rtd",,$A$2,"."&amp;L$2&amp;L$1&amp;"C"&amp;$A30)="N/A",0,RTD("tos.rtd",,$A$2,"."&amp;L$2&amp;L$1&amp;"C"&amp;$A30))+IF(RTD("tos.rtd",,$A$2,"."&amp;L$2&amp;L$1&amp;"P"&amp;$A30)="N/A",0,RTD("tos.rtd",,$A$2,"."&amp;L$2&amp;L$1&amp;"P"&amp;$A30)),IF(RTD("tos.rtd",,$A$2,"."&amp;L$2&amp;L$1&amp;"C"&amp;$A30)="N/A",0,RTD("tos.rtd",,$A$2,"."&amp;L$2&amp;L$1&amp;"C"&amp;$A30))-IF(RTD("tos.rtd",,$A$2,"."&amp;L$2&amp;L$1&amp;"P"&amp;$A30)="N/A",0,RTD("tos.rtd",,$A$2,"."&amp;L$2&amp;L$1&amp;"P"&amp;$A30))))))))))</f>
        <v>28316</v>
      </c>
      <c r="M30" s="12">
        <f ca="1">IF($A$2="PREMIUM_OI",IFERROR(IF($X$1="ABS",(100*RTD("tos.rtd",,"OPEN_INT","."&amp;M$2&amp;M$1&amp;"C"&amp;$A30)*RTD("tos.rtd",,"LAST","."&amp;M$2&amp;M$1&amp;"C"&amp;$A30)+100*RTD("tos.rtd",,"OPEN_INT","."&amp;M$2&amp;M$1&amp;"P"&amp;$A30)*RTD("tos.rtd",,"LAST","."&amp;M$2&amp;M$1&amp;"P"&amp;$A30))/1000000,(100*RTD("tos.rtd",,"OPEN_INT","."&amp;M$2&amp;M$1&amp;"C"&amp;$A30)*RTD("tos.rtd",,"LAST","."&amp;M$2&amp;M$1&amp;"C"&amp;$A30)-100*RTD("tos.rtd",,"OPEN_INT","."&amp;M$2&amp;M$1&amp;"P"&amp;$A30)*RTD("tos.rtd",,"LAST","."&amp;M$2&amp;M$1&amp;"P"&amp;$A30))/1000000),0),IF($A$2="PREMIUM",IFERROR(IF($X$1="ABS",(100*RTD("tos.rtd",,"VOLUME","."&amp;M$2&amp;M$1&amp;"C"&amp;$A30)*RTD("tos.rtd",,"LAST","."&amp;M$2&amp;M$1&amp;"C"&amp;$A30)+100*RTD("tos.rtd",,"VOLUME","."&amp;M$2&amp;M$1&amp;"P"&amp;$A30)*RTD("tos.rtd",,"LAST","."&amp;M$2&amp;M$1&amp;"P"&amp;$A30))/1000000,(100*RTD("tos.rtd",,"VOLUME","."&amp;M$2&amp;M$1&amp;"C"&amp;$A30)*RTD("tos.rtd",,"LAST","."&amp;M$2&amp;M$1&amp;"C"&amp;$A30)-100*RTD("tos.rtd",,"VOLUME","."&amp;M$2&amp;M$1&amp;"P"&amp;$A30)*RTD("tos.rtd",,"LAST","."&amp;M$2&amp;M$1&amp;"P"&amp;$A30))/1000000),0),IF($A$2="DEX",IFERROR(IF($X$1="ABS",(100*RTD("tos.rtd",,"OPEN_INT","."&amp;M$2&amp;M$1&amp;"C"&amp;$A30)*RTD("tos.rtd",,"DELTA","."&amp;M$2&amp;M$1&amp;"C"&amp;$A30)+100*RTD("tos.rtd",,"OPEN_INT","."&amp;M$2&amp;M$1&amp;"P"&amp;$A30)*RTD("tos.rtd",,"DELTA","."&amp;M$2&amp;M$1&amp;"P"&amp;$A30))/1000,(100*RTD("tos.rtd",,"OPEN_INT","."&amp;M$2&amp;M$1&amp;"C"&amp;$A30)*RTD("tos.rtd",,"DELTA","."&amp;M$2&amp;M$1&amp;"C"&amp;$A30)-100*RTD("tos.rtd",,"OPEN_INT","."&amp;M$2&amp;M$1&amp;"P"&amp;$A30)*RTD("tos.rtd",,"DELTA","."&amp;M$2&amp;M$1&amp;"P"&amp;$A30))/1000),0),IF($A$2="VEX",IFERROR(IF($X$1="ABS",($A$4*$A$4*RTD("tos.rtd",,"VOLUME","."&amp;M$2&amp;M$1&amp;"C"&amp;$A30)*RTD("tos.rtd",,"GAMMA","."&amp;M$2&amp;M$1&amp;"C"&amp;$A30)+$A$4*$A$4*RTD("tos.rtd",,"VOLUME","."&amp;M$2&amp;M$1&amp;"P"&amp;$A30)*RTD("tos.rtd",,"GAMMA","."&amp;M$2&amp;M$1&amp;"P"&amp;$A30))/1000000,($A$4*$A$4*RTD("tos.rtd",,"VOLUME","."&amp;M$2&amp;M$1&amp;"C"&amp;$A30)*RTD("tos.rtd",,"GAMMA","."&amp;M$2&amp;M$1&amp;"C"&amp;$A30)-$A$4*$A$4*RTD("tos.rtd",,"VOLUME","."&amp;M$2&amp;M$1&amp;"P"&amp;$A30)*RTD("tos.rtd",,"GAMMA","."&amp;M$2&amp;M$1&amp;"P"&amp;$A30))/1000000),0),IF($A$2="GEX",IFERROR(IF($X$1="ABS",($A$4*$A$4*RTD("tos.rtd",,"OPEN_INT","."&amp;M$2&amp;M$1&amp;"C"&amp;$A30)*RTD("tos.rtd",,"GAMMA","."&amp;M$2&amp;M$1&amp;"C"&amp;$A30)+$A$4*$A$4*RTD("tos.rtd",,"OPEN_INT","."&amp;M$2&amp;M$1&amp;"P"&amp;$A30)*RTD("tos.rtd",,"GAMMA","."&amp;M$2&amp;M$1&amp;"P"&amp;$A30))/1000000,($A$4*$A$4*RTD("tos.rtd",,"OPEN_INT","."&amp;M$2&amp;M$1&amp;"C"&amp;$A30)*RTD("tos.rtd",,"GAMMA","."&amp;M$2&amp;M$1&amp;"C"&amp;$A30)-$A$4*$A$4*RTD("tos.rtd",,"OPEN_INT","."&amp;M$2&amp;M$1&amp;"P"&amp;$A30)*RTD("tos.rtd",,"GAMMA","."&amp;M$2&amp;M$1&amp;"P"&amp;$A30))/1000000),0),IF($A$2="SKEW",IFERROR(VALUE(IF(RTD("tos.rtd",,"IMPL_VOL","."&amp;M$2&amp;M$1&amp;"P"&amp;$A30)="N/A",0,RTD("tos.rtd",,"IMPL_VOL","."&amp;M$2&amp;M$1&amp;"P"&amp;$A30))),0)-IFERROR(VALUE(IF(RTD("tos.rtd",,"IMPL_VOL","."&amp;M$2&amp;M$1&amp;"C"&amp;$A30)="N/A",0,RTD("tos.rtd",,"IMPL_VOL","."&amp;M$2&amp;M$1&amp;"C"&amp;$A30))),0),IF($A$2="MAXPAIN",IF($A$4&gt;$A30,($A$4-$A30)*IF(RTD("tos.rtd",,"OPEN_INT","."&amp;M$2&amp;M$1&amp;"C"&amp;$A30)="N/A",0,RTD("tos.rtd",,"OPEN_INT","."&amp;M$2&amp;M$1&amp;"C"&amp;$A30)),0)+IF($A$4&lt;$A30,($A$5-$A$4)*IF(RTD("tos.rtd",,"OPEN_INT","."&amp;M$2&amp;M$1&amp;"P"&amp;$A30)="N/A",0,RTD("tos.rtd",,"OPEN_INT","."&amp;M$2&amp;M$1&amp;"P"&amp;$A30)),0),IF($X$1="ABS",IF(RTD("tos.rtd",,$A$2,"."&amp;M$2&amp;M$1&amp;"C"&amp;$A30)="N/A",0,RTD("tos.rtd",,$A$2,"."&amp;M$2&amp;M$1&amp;"C"&amp;$A30))+IF(RTD("tos.rtd",,$A$2,"."&amp;M$2&amp;M$1&amp;"P"&amp;$A30)="N/A",0,RTD("tos.rtd",,$A$2,"."&amp;M$2&amp;M$1&amp;"P"&amp;$A30)),IF(RTD("tos.rtd",,$A$2,"."&amp;M$2&amp;M$1&amp;"C"&amp;$A30)="N/A",0,RTD("tos.rtd",,$A$2,"."&amp;M$2&amp;M$1&amp;"C"&amp;$A30))-IF(RTD("tos.rtd",,$A$2,"."&amp;M$2&amp;M$1&amp;"P"&amp;$A30)="N/A",0,RTD("tos.rtd",,$A$2,"."&amp;M$2&amp;M$1&amp;"P"&amp;$A30))))))))))</f>
        <v>8640</v>
      </c>
      <c r="N30" s="12">
        <f ca="1">IF($A$2="PREMIUM_OI",IFERROR(IF($X$1="ABS",(100*RTD("tos.rtd",,"OPEN_INT","."&amp;N$2&amp;N$1&amp;"C"&amp;$A30)*RTD("tos.rtd",,"LAST","."&amp;N$2&amp;N$1&amp;"C"&amp;$A30)+100*RTD("tos.rtd",,"OPEN_INT","."&amp;N$2&amp;N$1&amp;"P"&amp;$A30)*RTD("tos.rtd",,"LAST","."&amp;N$2&amp;N$1&amp;"P"&amp;$A30))/1000000,(100*RTD("tos.rtd",,"OPEN_INT","."&amp;N$2&amp;N$1&amp;"C"&amp;$A30)*RTD("tos.rtd",,"LAST","."&amp;N$2&amp;N$1&amp;"C"&amp;$A30)-100*RTD("tos.rtd",,"OPEN_INT","."&amp;N$2&amp;N$1&amp;"P"&amp;$A30)*RTD("tos.rtd",,"LAST","."&amp;N$2&amp;N$1&amp;"P"&amp;$A30))/1000000),0),IF($A$2="PREMIUM",IFERROR(IF($X$1="ABS",(100*RTD("tos.rtd",,"VOLUME","."&amp;N$2&amp;N$1&amp;"C"&amp;$A30)*RTD("tos.rtd",,"LAST","."&amp;N$2&amp;N$1&amp;"C"&amp;$A30)+100*RTD("tos.rtd",,"VOLUME","."&amp;N$2&amp;N$1&amp;"P"&amp;$A30)*RTD("tos.rtd",,"LAST","."&amp;N$2&amp;N$1&amp;"P"&amp;$A30))/1000000,(100*RTD("tos.rtd",,"VOLUME","."&amp;N$2&amp;N$1&amp;"C"&amp;$A30)*RTD("tos.rtd",,"LAST","."&amp;N$2&amp;N$1&amp;"C"&amp;$A30)-100*RTD("tos.rtd",,"VOLUME","."&amp;N$2&amp;N$1&amp;"P"&amp;$A30)*RTD("tos.rtd",,"LAST","."&amp;N$2&amp;N$1&amp;"P"&amp;$A30))/1000000),0),IF($A$2="DEX",IFERROR(IF($X$1="ABS",(100*RTD("tos.rtd",,"OPEN_INT","."&amp;N$2&amp;N$1&amp;"C"&amp;$A30)*RTD("tos.rtd",,"DELTA","."&amp;N$2&amp;N$1&amp;"C"&amp;$A30)+100*RTD("tos.rtd",,"OPEN_INT","."&amp;N$2&amp;N$1&amp;"P"&amp;$A30)*RTD("tos.rtd",,"DELTA","."&amp;N$2&amp;N$1&amp;"P"&amp;$A30))/1000,(100*RTD("tos.rtd",,"OPEN_INT","."&amp;N$2&amp;N$1&amp;"C"&amp;$A30)*RTD("tos.rtd",,"DELTA","."&amp;N$2&amp;N$1&amp;"C"&amp;$A30)-100*RTD("tos.rtd",,"OPEN_INT","."&amp;N$2&amp;N$1&amp;"P"&amp;$A30)*RTD("tos.rtd",,"DELTA","."&amp;N$2&amp;N$1&amp;"P"&amp;$A30))/1000),0),IF($A$2="VEX",IFERROR(IF($X$1="ABS",($A$4*$A$4*RTD("tos.rtd",,"VOLUME","."&amp;N$2&amp;N$1&amp;"C"&amp;$A30)*RTD("tos.rtd",,"GAMMA","."&amp;N$2&amp;N$1&amp;"C"&amp;$A30)+$A$4*$A$4*RTD("tos.rtd",,"VOLUME","."&amp;N$2&amp;N$1&amp;"P"&amp;$A30)*RTD("tos.rtd",,"GAMMA","."&amp;N$2&amp;N$1&amp;"P"&amp;$A30))/1000000,($A$4*$A$4*RTD("tos.rtd",,"VOLUME","."&amp;N$2&amp;N$1&amp;"C"&amp;$A30)*RTD("tos.rtd",,"GAMMA","."&amp;N$2&amp;N$1&amp;"C"&amp;$A30)-$A$4*$A$4*RTD("tos.rtd",,"VOLUME","."&amp;N$2&amp;N$1&amp;"P"&amp;$A30)*RTD("tos.rtd",,"GAMMA","."&amp;N$2&amp;N$1&amp;"P"&amp;$A30))/1000000),0),IF($A$2="GEX",IFERROR(IF($X$1="ABS",($A$4*$A$4*RTD("tos.rtd",,"OPEN_INT","."&amp;N$2&amp;N$1&amp;"C"&amp;$A30)*RTD("tos.rtd",,"GAMMA","."&amp;N$2&amp;N$1&amp;"C"&amp;$A30)+$A$4*$A$4*RTD("tos.rtd",,"OPEN_INT","."&amp;N$2&amp;N$1&amp;"P"&amp;$A30)*RTD("tos.rtd",,"GAMMA","."&amp;N$2&amp;N$1&amp;"P"&amp;$A30))/1000000,($A$4*$A$4*RTD("tos.rtd",,"OPEN_INT","."&amp;N$2&amp;N$1&amp;"C"&amp;$A30)*RTD("tos.rtd",,"GAMMA","."&amp;N$2&amp;N$1&amp;"C"&amp;$A30)-$A$4*$A$4*RTD("tos.rtd",,"OPEN_INT","."&amp;N$2&amp;N$1&amp;"P"&amp;$A30)*RTD("tos.rtd",,"GAMMA","."&amp;N$2&amp;N$1&amp;"P"&amp;$A30))/1000000),0),IF($A$2="SKEW",IFERROR(VALUE(IF(RTD("tos.rtd",,"IMPL_VOL","."&amp;N$2&amp;N$1&amp;"P"&amp;$A30)="N/A",0,RTD("tos.rtd",,"IMPL_VOL","."&amp;N$2&amp;N$1&amp;"P"&amp;$A30))),0)-IFERROR(VALUE(IF(RTD("tos.rtd",,"IMPL_VOL","."&amp;N$2&amp;N$1&amp;"C"&amp;$A30)="N/A",0,RTD("tos.rtd",,"IMPL_VOL","."&amp;N$2&amp;N$1&amp;"C"&amp;$A30))),0),IF($A$2="MAXPAIN",IF($A$4&gt;$A30,($A$4-$A30)*IF(RTD("tos.rtd",,"OPEN_INT","."&amp;N$2&amp;N$1&amp;"C"&amp;$A30)="N/A",0,RTD("tos.rtd",,"OPEN_INT","."&amp;N$2&amp;N$1&amp;"C"&amp;$A30)),0)+IF($A$4&lt;$A30,($A$5-$A$4)*IF(RTD("tos.rtd",,"OPEN_INT","."&amp;N$2&amp;N$1&amp;"P"&amp;$A30)="N/A",0,RTD("tos.rtd",,"OPEN_INT","."&amp;N$2&amp;N$1&amp;"P"&amp;$A30)),0),IF($X$1="ABS",IF(RTD("tos.rtd",,$A$2,"."&amp;N$2&amp;N$1&amp;"C"&amp;$A30)="N/A",0,RTD("tos.rtd",,$A$2,"."&amp;N$2&amp;N$1&amp;"C"&amp;$A30))+IF(RTD("tos.rtd",,$A$2,"."&amp;N$2&amp;N$1&amp;"P"&amp;$A30)="N/A",0,RTD("tos.rtd",,$A$2,"."&amp;N$2&amp;N$1&amp;"P"&amp;$A30)),IF(RTD("tos.rtd",,$A$2,"."&amp;N$2&amp;N$1&amp;"C"&amp;$A30)="N/A",0,RTD("tos.rtd",,$A$2,"."&amp;N$2&amp;N$1&amp;"C"&amp;$A30))-IF(RTD("tos.rtd",,$A$2,"."&amp;N$2&amp;N$1&amp;"P"&amp;$A30)="N/A",0,RTD("tos.rtd",,$A$2,"."&amp;N$2&amp;N$1&amp;"P"&amp;$A30))))))))))</f>
        <v>0</v>
      </c>
      <c r="O30" s="12">
        <f ca="1">IF($A$2="PREMIUM_OI",IFERROR(IF($X$1="ABS",(100*RTD("tos.rtd",,"OPEN_INT","."&amp;O$2&amp;O$1&amp;"C"&amp;$A30)*RTD("tos.rtd",,"LAST","."&amp;O$2&amp;O$1&amp;"C"&amp;$A30)+100*RTD("tos.rtd",,"OPEN_INT","."&amp;O$2&amp;O$1&amp;"P"&amp;$A30)*RTD("tos.rtd",,"LAST","."&amp;O$2&amp;O$1&amp;"P"&amp;$A30))/1000000,(100*RTD("tos.rtd",,"OPEN_INT","."&amp;O$2&amp;O$1&amp;"C"&amp;$A30)*RTD("tos.rtd",,"LAST","."&amp;O$2&amp;O$1&amp;"C"&amp;$A30)-100*RTD("tos.rtd",,"OPEN_INT","."&amp;O$2&amp;O$1&amp;"P"&amp;$A30)*RTD("tos.rtd",,"LAST","."&amp;O$2&amp;O$1&amp;"P"&amp;$A30))/1000000),0),IF($A$2="PREMIUM",IFERROR(IF($X$1="ABS",(100*RTD("tos.rtd",,"VOLUME","."&amp;O$2&amp;O$1&amp;"C"&amp;$A30)*RTD("tos.rtd",,"LAST","."&amp;O$2&amp;O$1&amp;"C"&amp;$A30)+100*RTD("tos.rtd",,"VOLUME","."&amp;O$2&amp;O$1&amp;"P"&amp;$A30)*RTD("tos.rtd",,"LAST","."&amp;O$2&amp;O$1&amp;"P"&amp;$A30))/1000000,(100*RTD("tos.rtd",,"VOLUME","."&amp;O$2&amp;O$1&amp;"C"&amp;$A30)*RTD("tos.rtd",,"LAST","."&amp;O$2&amp;O$1&amp;"C"&amp;$A30)-100*RTD("tos.rtd",,"VOLUME","."&amp;O$2&amp;O$1&amp;"P"&amp;$A30)*RTD("tos.rtd",,"LAST","."&amp;O$2&amp;O$1&amp;"P"&amp;$A30))/1000000),0),IF($A$2="DEX",IFERROR(IF($X$1="ABS",(100*RTD("tos.rtd",,"OPEN_INT","."&amp;O$2&amp;O$1&amp;"C"&amp;$A30)*RTD("tos.rtd",,"DELTA","."&amp;O$2&amp;O$1&amp;"C"&amp;$A30)+100*RTD("tos.rtd",,"OPEN_INT","."&amp;O$2&amp;O$1&amp;"P"&amp;$A30)*RTD("tos.rtd",,"DELTA","."&amp;O$2&amp;O$1&amp;"P"&amp;$A30))/1000,(100*RTD("tos.rtd",,"OPEN_INT","."&amp;O$2&amp;O$1&amp;"C"&amp;$A30)*RTD("tos.rtd",,"DELTA","."&amp;O$2&amp;O$1&amp;"C"&amp;$A30)-100*RTD("tos.rtd",,"OPEN_INT","."&amp;O$2&amp;O$1&amp;"P"&amp;$A30)*RTD("tos.rtd",,"DELTA","."&amp;O$2&amp;O$1&amp;"P"&amp;$A30))/1000),0),IF($A$2="VEX",IFERROR(IF($X$1="ABS",($A$4*$A$4*RTD("tos.rtd",,"VOLUME","."&amp;O$2&amp;O$1&amp;"C"&amp;$A30)*RTD("tos.rtd",,"GAMMA","."&amp;O$2&amp;O$1&amp;"C"&amp;$A30)+$A$4*$A$4*RTD("tos.rtd",,"VOLUME","."&amp;O$2&amp;O$1&amp;"P"&amp;$A30)*RTD("tos.rtd",,"GAMMA","."&amp;O$2&amp;O$1&amp;"P"&amp;$A30))/1000000,($A$4*$A$4*RTD("tos.rtd",,"VOLUME","."&amp;O$2&amp;O$1&amp;"C"&amp;$A30)*RTD("tos.rtd",,"GAMMA","."&amp;O$2&amp;O$1&amp;"C"&amp;$A30)-$A$4*$A$4*RTD("tos.rtd",,"VOLUME","."&amp;O$2&amp;O$1&amp;"P"&amp;$A30)*RTD("tos.rtd",,"GAMMA","."&amp;O$2&amp;O$1&amp;"P"&amp;$A30))/1000000),0),IF($A$2="GEX",IFERROR(IF($X$1="ABS",($A$4*$A$4*RTD("tos.rtd",,"OPEN_INT","."&amp;O$2&amp;O$1&amp;"C"&amp;$A30)*RTD("tos.rtd",,"GAMMA","."&amp;O$2&amp;O$1&amp;"C"&amp;$A30)+$A$4*$A$4*RTD("tos.rtd",,"OPEN_INT","."&amp;O$2&amp;O$1&amp;"P"&amp;$A30)*RTD("tos.rtd",,"GAMMA","."&amp;O$2&amp;O$1&amp;"P"&amp;$A30))/1000000,($A$4*$A$4*RTD("tos.rtd",,"OPEN_INT","."&amp;O$2&amp;O$1&amp;"C"&amp;$A30)*RTD("tos.rtd",,"GAMMA","."&amp;O$2&amp;O$1&amp;"C"&amp;$A30)-$A$4*$A$4*RTD("tos.rtd",,"OPEN_INT","."&amp;O$2&amp;O$1&amp;"P"&amp;$A30)*RTD("tos.rtd",,"GAMMA","."&amp;O$2&amp;O$1&amp;"P"&amp;$A30))/1000000),0),IF($A$2="SKEW",IFERROR(VALUE(IF(RTD("tos.rtd",,"IMPL_VOL","."&amp;O$2&amp;O$1&amp;"P"&amp;$A30)="N/A",0,RTD("tos.rtd",,"IMPL_VOL","."&amp;O$2&amp;O$1&amp;"P"&amp;$A30))),0)-IFERROR(VALUE(IF(RTD("tos.rtd",,"IMPL_VOL","."&amp;O$2&amp;O$1&amp;"C"&amp;$A30)="N/A",0,RTD("tos.rtd",,"IMPL_VOL","."&amp;O$2&amp;O$1&amp;"C"&amp;$A30))),0),IF($A$2="MAXPAIN",IF($A$4&gt;$A30,($A$4-$A30)*IF(RTD("tos.rtd",,"OPEN_INT","."&amp;O$2&amp;O$1&amp;"C"&amp;$A30)="N/A",0,RTD("tos.rtd",,"OPEN_INT","."&amp;O$2&amp;O$1&amp;"C"&amp;$A30)),0)+IF($A$4&lt;$A30,($A$5-$A$4)*IF(RTD("tos.rtd",,"OPEN_INT","."&amp;O$2&amp;O$1&amp;"P"&amp;$A30)="N/A",0,RTD("tos.rtd",,"OPEN_INT","."&amp;O$2&amp;O$1&amp;"P"&amp;$A30)),0),IF($X$1="ABS",IF(RTD("tos.rtd",,$A$2,"."&amp;O$2&amp;O$1&amp;"C"&amp;$A30)="N/A",0,RTD("tos.rtd",,$A$2,"."&amp;O$2&amp;O$1&amp;"C"&amp;$A30))+IF(RTD("tos.rtd",,$A$2,"."&amp;O$2&amp;O$1&amp;"P"&amp;$A30)="N/A",0,RTD("tos.rtd",,$A$2,"."&amp;O$2&amp;O$1&amp;"P"&amp;$A30)),IF(RTD("tos.rtd",,$A$2,"."&amp;O$2&amp;O$1&amp;"C"&amp;$A30)="N/A",0,RTD("tos.rtd",,$A$2,"."&amp;O$2&amp;O$1&amp;"C"&amp;$A30))-IF(RTD("tos.rtd",,$A$2,"."&amp;O$2&amp;O$1&amp;"P"&amp;$A30)="N/A",0,RTD("tos.rtd",,$A$2,"."&amp;O$2&amp;O$1&amp;"P"&amp;$A30))))))))))</f>
        <v>0</v>
      </c>
      <c r="P30" s="12">
        <f ca="1">IF($A$2="PREMIUM_OI",IFERROR(IF($X$1="ABS",(100*RTD("tos.rtd",,"OPEN_INT","."&amp;P$2&amp;P$1&amp;"C"&amp;$A30)*RTD("tos.rtd",,"LAST","."&amp;P$2&amp;P$1&amp;"C"&amp;$A30)+100*RTD("tos.rtd",,"OPEN_INT","."&amp;P$2&amp;P$1&amp;"P"&amp;$A30)*RTD("tos.rtd",,"LAST","."&amp;P$2&amp;P$1&amp;"P"&amp;$A30))/1000000,(100*RTD("tos.rtd",,"OPEN_INT","."&amp;P$2&amp;P$1&amp;"C"&amp;$A30)*RTD("tos.rtd",,"LAST","."&amp;P$2&amp;P$1&amp;"C"&amp;$A30)-100*RTD("tos.rtd",,"OPEN_INT","."&amp;P$2&amp;P$1&amp;"P"&amp;$A30)*RTD("tos.rtd",,"LAST","."&amp;P$2&amp;P$1&amp;"P"&amp;$A30))/1000000),0),IF($A$2="PREMIUM",IFERROR(IF($X$1="ABS",(100*RTD("tos.rtd",,"VOLUME","."&amp;P$2&amp;P$1&amp;"C"&amp;$A30)*RTD("tos.rtd",,"LAST","."&amp;P$2&amp;P$1&amp;"C"&amp;$A30)+100*RTD("tos.rtd",,"VOLUME","."&amp;P$2&amp;P$1&amp;"P"&amp;$A30)*RTD("tos.rtd",,"LAST","."&amp;P$2&amp;P$1&amp;"P"&amp;$A30))/1000000,(100*RTD("tos.rtd",,"VOLUME","."&amp;P$2&amp;P$1&amp;"C"&amp;$A30)*RTD("tos.rtd",,"LAST","."&amp;P$2&amp;P$1&amp;"C"&amp;$A30)-100*RTD("tos.rtd",,"VOLUME","."&amp;P$2&amp;P$1&amp;"P"&amp;$A30)*RTD("tos.rtd",,"LAST","."&amp;P$2&amp;P$1&amp;"P"&amp;$A30))/1000000),0),IF($A$2="DEX",IFERROR(IF($X$1="ABS",(100*RTD("tos.rtd",,"OPEN_INT","."&amp;P$2&amp;P$1&amp;"C"&amp;$A30)*RTD("tos.rtd",,"DELTA","."&amp;P$2&amp;P$1&amp;"C"&amp;$A30)+100*RTD("tos.rtd",,"OPEN_INT","."&amp;P$2&amp;P$1&amp;"P"&amp;$A30)*RTD("tos.rtd",,"DELTA","."&amp;P$2&amp;P$1&amp;"P"&amp;$A30))/1000,(100*RTD("tos.rtd",,"OPEN_INT","."&amp;P$2&amp;P$1&amp;"C"&amp;$A30)*RTD("tos.rtd",,"DELTA","."&amp;P$2&amp;P$1&amp;"C"&amp;$A30)-100*RTD("tos.rtd",,"OPEN_INT","."&amp;P$2&amp;P$1&amp;"P"&amp;$A30)*RTD("tos.rtd",,"DELTA","."&amp;P$2&amp;P$1&amp;"P"&amp;$A30))/1000),0),IF($A$2="VEX",IFERROR(IF($X$1="ABS",($A$4*$A$4*RTD("tos.rtd",,"VOLUME","."&amp;P$2&amp;P$1&amp;"C"&amp;$A30)*RTD("tos.rtd",,"GAMMA","."&amp;P$2&amp;P$1&amp;"C"&amp;$A30)+$A$4*$A$4*RTD("tos.rtd",,"VOLUME","."&amp;P$2&amp;P$1&amp;"P"&amp;$A30)*RTD("tos.rtd",,"GAMMA","."&amp;P$2&amp;P$1&amp;"P"&amp;$A30))/1000000,($A$4*$A$4*RTD("tos.rtd",,"VOLUME","."&amp;P$2&amp;P$1&amp;"C"&amp;$A30)*RTD("tos.rtd",,"GAMMA","."&amp;P$2&amp;P$1&amp;"C"&amp;$A30)-$A$4*$A$4*RTD("tos.rtd",,"VOLUME","."&amp;P$2&amp;P$1&amp;"P"&amp;$A30)*RTD("tos.rtd",,"GAMMA","."&amp;P$2&amp;P$1&amp;"P"&amp;$A30))/1000000),0),IF($A$2="GEX",IFERROR(IF($X$1="ABS",($A$4*$A$4*RTD("tos.rtd",,"OPEN_INT","."&amp;P$2&amp;P$1&amp;"C"&amp;$A30)*RTD("tos.rtd",,"GAMMA","."&amp;P$2&amp;P$1&amp;"C"&amp;$A30)+$A$4*$A$4*RTD("tos.rtd",,"OPEN_INT","."&amp;P$2&amp;P$1&amp;"P"&amp;$A30)*RTD("tos.rtd",,"GAMMA","."&amp;P$2&amp;P$1&amp;"P"&amp;$A30))/1000000,($A$4*$A$4*RTD("tos.rtd",,"OPEN_INT","."&amp;P$2&amp;P$1&amp;"C"&amp;$A30)*RTD("tos.rtd",,"GAMMA","."&amp;P$2&amp;P$1&amp;"C"&amp;$A30)-$A$4*$A$4*RTD("tos.rtd",,"OPEN_INT","."&amp;P$2&amp;P$1&amp;"P"&amp;$A30)*RTD("tos.rtd",,"GAMMA","."&amp;P$2&amp;P$1&amp;"P"&amp;$A30))/1000000),0),IF($A$2="SKEW",IFERROR(VALUE(IF(RTD("tos.rtd",,"IMPL_VOL","."&amp;P$2&amp;P$1&amp;"P"&amp;$A30)="N/A",0,RTD("tos.rtd",,"IMPL_VOL","."&amp;P$2&amp;P$1&amp;"P"&amp;$A30))),0)-IFERROR(VALUE(IF(RTD("tos.rtd",,"IMPL_VOL","."&amp;P$2&amp;P$1&amp;"C"&amp;$A30)="N/A",0,RTD("tos.rtd",,"IMPL_VOL","."&amp;P$2&amp;P$1&amp;"C"&amp;$A30))),0),IF($A$2="MAXPAIN",IF($A$4&gt;$A30,($A$4-$A30)*IF(RTD("tos.rtd",,"OPEN_INT","."&amp;P$2&amp;P$1&amp;"C"&amp;$A30)="N/A",0,RTD("tos.rtd",,"OPEN_INT","."&amp;P$2&amp;P$1&amp;"C"&amp;$A30)),0)+IF($A$4&lt;$A30,($A$5-$A$4)*IF(RTD("tos.rtd",,"OPEN_INT","."&amp;P$2&amp;P$1&amp;"P"&amp;$A30)="N/A",0,RTD("tos.rtd",,"OPEN_INT","."&amp;P$2&amp;P$1&amp;"P"&amp;$A30)),0),IF($X$1="ABS",IF(RTD("tos.rtd",,$A$2,"."&amp;P$2&amp;P$1&amp;"C"&amp;$A30)="N/A",0,RTD("tos.rtd",,$A$2,"."&amp;P$2&amp;P$1&amp;"C"&amp;$A30))+IF(RTD("tos.rtd",,$A$2,"."&amp;P$2&amp;P$1&amp;"P"&amp;$A30)="N/A",0,RTD("tos.rtd",,$A$2,"."&amp;P$2&amp;P$1&amp;"P"&amp;$A30)),IF(RTD("tos.rtd",,$A$2,"."&amp;P$2&amp;P$1&amp;"C"&amp;$A30)="N/A",0,RTD("tos.rtd",,$A$2,"."&amp;P$2&amp;P$1&amp;"C"&amp;$A30))-IF(RTD("tos.rtd",,$A$2,"."&amp;P$2&amp;P$1&amp;"P"&amp;$A30)="N/A",0,RTD("tos.rtd",,$A$2,"."&amp;P$2&amp;P$1&amp;"P"&amp;$A30))))))))))</f>
        <v>3509</v>
      </c>
      <c r="Q30" s="12">
        <f ca="1">IF($A$2="PREMIUM_OI",IFERROR(IF($X$1="ABS",(100*RTD("tos.rtd",,"OPEN_INT","."&amp;Q$2&amp;Q$1&amp;"C"&amp;$A30)*RTD("tos.rtd",,"LAST","."&amp;Q$2&amp;Q$1&amp;"C"&amp;$A30)+100*RTD("tos.rtd",,"OPEN_INT","."&amp;Q$2&amp;Q$1&amp;"P"&amp;$A30)*RTD("tos.rtd",,"LAST","."&amp;Q$2&amp;Q$1&amp;"P"&amp;$A30))/1000000,(100*RTD("tos.rtd",,"OPEN_INT","."&amp;Q$2&amp;Q$1&amp;"C"&amp;$A30)*RTD("tos.rtd",,"LAST","."&amp;Q$2&amp;Q$1&amp;"C"&amp;$A30)-100*RTD("tos.rtd",,"OPEN_INT","."&amp;Q$2&amp;Q$1&amp;"P"&amp;$A30)*RTD("tos.rtd",,"LAST","."&amp;Q$2&amp;Q$1&amp;"P"&amp;$A30))/1000000),0),IF($A$2="PREMIUM",IFERROR(IF($X$1="ABS",(100*RTD("tos.rtd",,"VOLUME","."&amp;Q$2&amp;Q$1&amp;"C"&amp;$A30)*RTD("tos.rtd",,"LAST","."&amp;Q$2&amp;Q$1&amp;"C"&amp;$A30)+100*RTD("tos.rtd",,"VOLUME","."&amp;Q$2&amp;Q$1&amp;"P"&amp;$A30)*RTD("tos.rtd",,"LAST","."&amp;Q$2&amp;Q$1&amp;"P"&amp;$A30))/1000000,(100*RTD("tos.rtd",,"VOLUME","."&amp;Q$2&amp;Q$1&amp;"C"&amp;$A30)*RTD("tos.rtd",,"LAST","."&amp;Q$2&amp;Q$1&amp;"C"&amp;$A30)-100*RTD("tos.rtd",,"VOLUME","."&amp;Q$2&amp;Q$1&amp;"P"&amp;$A30)*RTD("tos.rtd",,"LAST","."&amp;Q$2&amp;Q$1&amp;"P"&amp;$A30))/1000000),0),IF($A$2="DEX",IFERROR(IF($X$1="ABS",(100*RTD("tos.rtd",,"OPEN_INT","."&amp;Q$2&amp;Q$1&amp;"C"&amp;$A30)*RTD("tos.rtd",,"DELTA","."&amp;Q$2&amp;Q$1&amp;"C"&amp;$A30)+100*RTD("tos.rtd",,"OPEN_INT","."&amp;Q$2&amp;Q$1&amp;"P"&amp;$A30)*RTD("tos.rtd",,"DELTA","."&amp;Q$2&amp;Q$1&amp;"P"&amp;$A30))/1000,(100*RTD("tos.rtd",,"OPEN_INT","."&amp;Q$2&amp;Q$1&amp;"C"&amp;$A30)*RTD("tos.rtd",,"DELTA","."&amp;Q$2&amp;Q$1&amp;"C"&amp;$A30)-100*RTD("tos.rtd",,"OPEN_INT","."&amp;Q$2&amp;Q$1&amp;"P"&amp;$A30)*RTD("tos.rtd",,"DELTA","."&amp;Q$2&amp;Q$1&amp;"P"&amp;$A30))/1000),0),IF($A$2="VEX",IFERROR(IF($X$1="ABS",($A$4*$A$4*RTD("tos.rtd",,"VOLUME","."&amp;Q$2&amp;Q$1&amp;"C"&amp;$A30)*RTD("tos.rtd",,"GAMMA","."&amp;Q$2&amp;Q$1&amp;"C"&amp;$A30)+$A$4*$A$4*RTD("tos.rtd",,"VOLUME","."&amp;Q$2&amp;Q$1&amp;"P"&amp;$A30)*RTD("tos.rtd",,"GAMMA","."&amp;Q$2&amp;Q$1&amp;"P"&amp;$A30))/1000000,($A$4*$A$4*RTD("tos.rtd",,"VOLUME","."&amp;Q$2&amp;Q$1&amp;"C"&amp;$A30)*RTD("tos.rtd",,"GAMMA","."&amp;Q$2&amp;Q$1&amp;"C"&amp;$A30)-$A$4*$A$4*RTD("tos.rtd",,"VOLUME","."&amp;Q$2&amp;Q$1&amp;"P"&amp;$A30)*RTD("tos.rtd",,"GAMMA","."&amp;Q$2&amp;Q$1&amp;"P"&amp;$A30))/1000000),0),IF($A$2="GEX",IFERROR(IF($X$1="ABS",($A$4*$A$4*RTD("tos.rtd",,"OPEN_INT","."&amp;Q$2&amp;Q$1&amp;"C"&amp;$A30)*RTD("tos.rtd",,"GAMMA","."&amp;Q$2&amp;Q$1&amp;"C"&amp;$A30)+$A$4*$A$4*RTD("tos.rtd",,"OPEN_INT","."&amp;Q$2&amp;Q$1&amp;"P"&amp;$A30)*RTD("tos.rtd",,"GAMMA","."&amp;Q$2&amp;Q$1&amp;"P"&amp;$A30))/1000000,($A$4*$A$4*RTD("tos.rtd",,"OPEN_INT","."&amp;Q$2&amp;Q$1&amp;"C"&amp;$A30)*RTD("tos.rtd",,"GAMMA","."&amp;Q$2&amp;Q$1&amp;"C"&amp;$A30)-$A$4*$A$4*RTD("tos.rtd",,"OPEN_INT","."&amp;Q$2&amp;Q$1&amp;"P"&amp;$A30)*RTD("tos.rtd",,"GAMMA","."&amp;Q$2&amp;Q$1&amp;"P"&amp;$A30))/1000000),0),IF($A$2="SKEW",IFERROR(VALUE(IF(RTD("tos.rtd",,"IMPL_VOL","."&amp;Q$2&amp;Q$1&amp;"P"&amp;$A30)="N/A",0,RTD("tos.rtd",,"IMPL_VOL","."&amp;Q$2&amp;Q$1&amp;"P"&amp;$A30))),0)-IFERROR(VALUE(IF(RTD("tos.rtd",,"IMPL_VOL","."&amp;Q$2&amp;Q$1&amp;"C"&amp;$A30)="N/A",0,RTD("tos.rtd",,"IMPL_VOL","."&amp;Q$2&amp;Q$1&amp;"C"&amp;$A30))),0),IF($A$2="MAXPAIN",IF($A$4&gt;$A30,($A$4-$A30)*IF(RTD("tos.rtd",,"OPEN_INT","."&amp;Q$2&amp;Q$1&amp;"C"&amp;$A30)="N/A",0,RTD("tos.rtd",,"OPEN_INT","."&amp;Q$2&amp;Q$1&amp;"C"&amp;$A30)),0)+IF($A$4&lt;$A30,($A$5-$A$4)*IF(RTD("tos.rtd",,"OPEN_INT","."&amp;Q$2&amp;Q$1&amp;"P"&amp;$A30)="N/A",0,RTD("tos.rtd",,"OPEN_INT","."&amp;Q$2&amp;Q$1&amp;"P"&amp;$A30)),0),IF($X$1="ABS",IF(RTD("tos.rtd",,$A$2,"."&amp;Q$2&amp;Q$1&amp;"C"&amp;$A30)="N/A",0,RTD("tos.rtd",,$A$2,"."&amp;Q$2&amp;Q$1&amp;"C"&amp;$A30))+IF(RTD("tos.rtd",,$A$2,"."&amp;Q$2&amp;Q$1&amp;"P"&amp;$A30)="N/A",0,RTD("tos.rtd",,$A$2,"."&amp;Q$2&amp;Q$1&amp;"P"&amp;$A30)),IF(RTD("tos.rtd",,$A$2,"."&amp;Q$2&amp;Q$1&amp;"C"&amp;$A30)="N/A",0,RTD("tos.rtd",,$A$2,"."&amp;Q$2&amp;Q$1&amp;"C"&amp;$A30))-IF(RTD("tos.rtd",,$A$2,"."&amp;Q$2&amp;Q$1&amp;"P"&amp;$A30)="N/A",0,RTD("tos.rtd",,$A$2,"."&amp;Q$2&amp;Q$1&amp;"P"&amp;$A30))))))))))</f>
        <v>0</v>
      </c>
      <c r="R30" s="12">
        <f ca="1">IF($A$2="PREMIUM_OI",IFERROR(IF($X$1="ABS",(100*RTD("tos.rtd",,"OPEN_INT","."&amp;R$2&amp;R$1&amp;"C"&amp;$A30)*RTD("tos.rtd",,"LAST","."&amp;R$2&amp;R$1&amp;"C"&amp;$A30)+100*RTD("tos.rtd",,"OPEN_INT","."&amp;R$2&amp;R$1&amp;"P"&amp;$A30)*RTD("tos.rtd",,"LAST","."&amp;R$2&amp;R$1&amp;"P"&amp;$A30))/1000000,(100*RTD("tos.rtd",,"OPEN_INT","."&amp;R$2&amp;R$1&amp;"C"&amp;$A30)*RTD("tos.rtd",,"LAST","."&amp;R$2&amp;R$1&amp;"C"&amp;$A30)-100*RTD("tos.rtd",,"OPEN_INT","."&amp;R$2&amp;R$1&amp;"P"&amp;$A30)*RTD("tos.rtd",,"LAST","."&amp;R$2&amp;R$1&amp;"P"&amp;$A30))/1000000),0),IF($A$2="PREMIUM",IFERROR(IF($X$1="ABS",(100*RTD("tos.rtd",,"VOLUME","."&amp;R$2&amp;R$1&amp;"C"&amp;$A30)*RTD("tos.rtd",,"LAST","."&amp;R$2&amp;R$1&amp;"C"&amp;$A30)+100*RTD("tos.rtd",,"VOLUME","."&amp;R$2&amp;R$1&amp;"P"&amp;$A30)*RTD("tos.rtd",,"LAST","."&amp;R$2&amp;R$1&amp;"P"&amp;$A30))/1000000,(100*RTD("tos.rtd",,"VOLUME","."&amp;R$2&amp;R$1&amp;"C"&amp;$A30)*RTD("tos.rtd",,"LAST","."&amp;R$2&amp;R$1&amp;"C"&amp;$A30)-100*RTD("tos.rtd",,"VOLUME","."&amp;R$2&amp;R$1&amp;"P"&amp;$A30)*RTD("tos.rtd",,"LAST","."&amp;R$2&amp;R$1&amp;"P"&amp;$A30))/1000000),0),IF($A$2="DEX",IFERROR(IF($X$1="ABS",(100*RTD("tos.rtd",,"OPEN_INT","."&amp;R$2&amp;R$1&amp;"C"&amp;$A30)*RTD("tos.rtd",,"DELTA","."&amp;R$2&amp;R$1&amp;"C"&amp;$A30)+100*RTD("tos.rtd",,"OPEN_INT","."&amp;R$2&amp;R$1&amp;"P"&amp;$A30)*RTD("tos.rtd",,"DELTA","."&amp;R$2&amp;R$1&amp;"P"&amp;$A30))/1000,(100*RTD("tos.rtd",,"OPEN_INT","."&amp;R$2&amp;R$1&amp;"C"&amp;$A30)*RTD("tos.rtd",,"DELTA","."&amp;R$2&amp;R$1&amp;"C"&amp;$A30)-100*RTD("tos.rtd",,"OPEN_INT","."&amp;R$2&amp;R$1&amp;"P"&amp;$A30)*RTD("tos.rtd",,"DELTA","."&amp;R$2&amp;R$1&amp;"P"&amp;$A30))/1000),0),IF($A$2="VEX",IFERROR(IF($X$1="ABS",($A$4*$A$4*RTD("tos.rtd",,"VOLUME","."&amp;R$2&amp;R$1&amp;"C"&amp;$A30)*RTD("tos.rtd",,"GAMMA","."&amp;R$2&amp;R$1&amp;"C"&amp;$A30)+$A$4*$A$4*RTD("tos.rtd",,"VOLUME","."&amp;R$2&amp;R$1&amp;"P"&amp;$A30)*RTD("tos.rtd",,"GAMMA","."&amp;R$2&amp;R$1&amp;"P"&amp;$A30))/1000000,($A$4*$A$4*RTD("tos.rtd",,"VOLUME","."&amp;R$2&amp;R$1&amp;"C"&amp;$A30)*RTD("tos.rtd",,"GAMMA","."&amp;R$2&amp;R$1&amp;"C"&amp;$A30)-$A$4*$A$4*RTD("tos.rtd",,"VOLUME","."&amp;R$2&amp;R$1&amp;"P"&amp;$A30)*RTD("tos.rtd",,"GAMMA","."&amp;R$2&amp;R$1&amp;"P"&amp;$A30))/1000000),0),IF($A$2="GEX",IFERROR(IF($X$1="ABS",($A$4*$A$4*RTD("tos.rtd",,"OPEN_INT","."&amp;R$2&amp;R$1&amp;"C"&amp;$A30)*RTD("tos.rtd",,"GAMMA","."&amp;R$2&amp;R$1&amp;"C"&amp;$A30)+$A$4*$A$4*RTD("tos.rtd",,"OPEN_INT","."&amp;R$2&amp;R$1&amp;"P"&amp;$A30)*RTD("tos.rtd",,"GAMMA","."&amp;R$2&amp;R$1&amp;"P"&amp;$A30))/1000000,($A$4*$A$4*RTD("tos.rtd",,"OPEN_INT","."&amp;R$2&amp;R$1&amp;"C"&amp;$A30)*RTD("tos.rtd",,"GAMMA","."&amp;R$2&amp;R$1&amp;"C"&amp;$A30)-$A$4*$A$4*RTD("tos.rtd",,"OPEN_INT","."&amp;R$2&amp;R$1&amp;"P"&amp;$A30)*RTD("tos.rtd",,"GAMMA","."&amp;R$2&amp;R$1&amp;"P"&amp;$A30))/1000000),0),IF($A$2="SKEW",IFERROR(VALUE(IF(RTD("tos.rtd",,"IMPL_VOL","."&amp;R$2&amp;R$1&amp;"P"&amp;$A30)="N/A",0,RTD("tos.rtd",,"IMPL_VOL","."&amp;R$2&amp;R$1&amp;"P"&amp;$A30))),0)-IFERROR(VALUE(IF(RTD("tos.rtd",,"IMPL_VOL","."&amp;R$2&amp;R$1&amp;"C"&amp;$A30)="N/A",0,RTD("tos.rtd",,"IMPL_VOL","."&amp;R$2&amp;R$1&amp;"C"&amp;$A30))),0),IF($A$2="MAXPAIN",IF($A$4&gt;$A30,($A$4-$A30)*IF(RTD("tos.rtd",,"OPEN_INT","."&amp;R$2&amp;R$1&amp;"C"&amp;$A30)="N/A",0,RTD("tos.rtd",,"OPEN_INT","."&amp;R$2&amp;R$1&amp;"C"&amp;$A30)),0)+IF($A$4&lt;$A30,($A$5-$A$4)*IF(RTD("tos.rtd",,"OPEN_INT","."&amp;R$2&amp;R$1&amp;"P"&amp;$A30)="N/A",0,RTD("tos.rtd",,"OPEN_INT","."&amp;R$2&amp;R$1&amp;"P"&amp;$A30)),0),IF($X$1="ABS",IF(RTD("tos.rtd",,$A$2,"."&amp;R$2&amp;R$1&amp;"C"&amp;$A30)="N/A",0,RTD("tos.rtd",,$A$2,"."&amp;R$2&amp;R$1&amp;"C"&amp;$A30))+IF(RTD("tos.rtd",,$A$2,"."&amp;R$2&amp;R$1&amp;"P"&amp;$A30)="N/A",0,RTD("tos.rtd",,$A$2,"."&amp;R$2&amp;R$1&amp;"P"&amp;$A30)),IF(RTD("tos.rtd",,$A$2,"."&amp;R$2&amp;R$1&amp;"C"&amp;$A30)="N/A",0,RTD("tos.rtd",,$A$2,"."&amp;R$2&amp;R$1&amp;"C"&amp;$A30))-IF(RTD("tos.rtd",,$A$2,"."&amp;R$2&amp;R$1&amp;"P"&amp;$A30)="N/A",0,RTD("tos.rtd",,$A$2,"."&amp;R$2&amp;R$1&amp;"P"&amp;$A30))))))))))</f>
        <v>0</v>
      </c>
      <c r="S30" s="12">
        <f ca="1">IF($A$2="PREMIUM_OI",IFERROR(IF($X$1="ABS",(100*RTD("tos.rtd",,"OPEN_INT","."&amp;S$2&amp;S$1&amp;"C"&amp;$A30)*RTD("tos.rtd",,"LAST","."&amp;S$2&amp;S$1&amp;"C"&amp;$A30)+100*RTD("tos.rtd",,"OPEN_INT","."&amp;S$2&amp;S$1&amp;"P"&amp;$A30)*RTD("tos.rtd",,"LAST","."&amp;S$2&amp;S$1&amp;"P"&amp;$A30))/1000000,(100*RTD("tos.rtd",,"OPEN_INT","."&amp;S$2&amp;S$1&amp;"C"&amp;$A30)*RTD("tos.rtd",,"LAST","."&amp;S$2&amp;S$1&amp;"C"&amp;$A30)-100*RTD("tos.rtd",,"OPEN_INT","."&amp;S$2&amp;S$1&amp;"P"&amp;$A30)*RTD("tos.rtd",,"LAST","."&amp;S$2&amp;S$1&amp;"P"&amp;$A30))/1000000),0),IF($A$2="PREMIUM",IFERROR(IF($X$1="ABS",(100*RTD("tos.rtd",,"VOLUME","."&amp;S$2&amp;S$1&amp;"C"&amp;$A30)*RTD("tos.rtd",,"LAST","."&amp;S$2&amp;S$1&amp;"C"&amp;$A30)+100*RTD("tos.rtd",,"VOLUME","."&amp;S$2&amp;S$1&amp;"P"&amp;$A30)*RTD("tos.rtd",,"LAST","."&amp;S$2&amp;S$1&amp;"P"&amp;$A30))/1000000,(100*RTD("tos.rtd",,"VOLUME","."&amp;S$2&amp;S$1&amp;"C"&amp;$A30)*RTD("tos.rtd",,"LAST","."&amp;S$2&amp;S$1&amp;"C"&amp;$A30)-100*RTD("tos.rtd",,"VOLUME","."&amp;S$2&amp;S$1&amp;"P"&amp;$A30)*RTD("tos.rtd",,"LAST","."&amp;S$2&amp;S$1&amp;"P"&amp;$A30))/1000000),0),IF($A$2="DEX",IFERROR(IF($X$1="ABS",(100*RTD("tos.rtd",,"OPEN_INT","."&amp;S$2&amp;S$1&amp;"C"&amp;$A30)*RTD("tos.rtd",,"DELTA","."&amp;S$2&amp;S$1&amp;"C"&amp;$A30)+100*RTD("tos.rtd",,"OPEN_INT","."&amp;S$2&amp;S$1&amp;"P"&amp;$A30)*RTD("tos.rtd",,"DELTA","."&amp;S$2&amp;S$1&amp;"P"&amp;$A30))/1000,(100*RTD("tos.rtd",,"OPEN_INT","."&amp;S$2&amp;S$1&amp;"C"&amp;$A30)*RTD("tos.rtd",,"DELTA","."&amp;S$2&amp;S$1&amp;"C"&amp;$A30)-100*RTD("tos.rtd",,"OPEN_INT","."&amp;S$2&amp;S$1&amp;"P"&amp;$A30)*RTD("tos.rtd",,"DELTA","."&amp;S$2&amp;S$1&amp;"P"&amp;$A30))/1000),0),IF($A$2="VEX",IFERROR(IF($X$1="ABS",($A$4*$A$4*RTD("tos.rtd",,"VOLUME","."&amp;S$2&amp;S$1&amp;"C"&amp;$A30)*RTD("tos.rtd",,"GAMMA","."&amp;S$2&amp;S$1&amp;"C"&amp;$A30)+$A$4*$A$4*RTD("tos.rtd",,"VOLUME","."&amp;S$2&amp;S$1&amp;"P"&amp;$A30)*RTD("tos.rtd",,"GAMMA","."&amp;S$2&amp;S$1&amp;"P"&amp;$A30))/1000000,($A$4*$A$4*RTD("tos.rtd",,"VOLUME","."&amp;S$2&amp;S$1&amp;"C"&amp;$A30)*RTD("tos.rtd",,"GAMMA","."&amp;S$2&amp;S$1&amp;"C"&amp;$A30)-$A$4*$A$4*RTD("tos.rtd",,"VOLUME","."&amp;S$2&amp;S$1&amp;"P"&amp;$A30)*RTD("tos.rtd",,"GAMMA","."&amp;S$2&amp;S$1&amp;"P"&amp;$A30))/1000000),0),IF($A$2="GEX",IFERROR(IF($X$1="ABS",($A$4*$A$4*RTD("tos.rtd",,"OPEN_INT","."&amp;S$2&amp;S$1&amp;"C"&amp;$A30)*RTD("tos.rtd",,"GAMMA","."&amp;S$2&amp;S$1&amp;"C"&amp;$A30)+$A$4*$A$4*RTD("tos.rtd",,"OPEN_INT","."&amp;S$2&amp;S$1&amp;"P"&amp;$A30)*RTD("tos.rtd",,"GAMMA","."&amp;S$2&amp;S$1&amp;"P"&amp;$A30))/1000000,($A$4*$A$4*RTD("tos.rtd",,"OPEN_INT","."&amp;S$2&amp;S$1&amp;"C"&amp;$A30)*RTD("tos.rtd",,"GAMMA","."&amp;S$2&amp;S$1&amp;"C"&amp;$A30)-$A$4*$A$4*RTD("tos.rtd",,"OPEN_INT","."&amp;S$2&amp;S$1&amp;"P"&amp;$A30)*RTD("tos.rtd",,"GAMMA","."&amp;S$2&amp;S$1&amp;"P"&amp;$A30))/1000000),0),IF($A$2="SKEW",IFERROR(VALUE(IF(RTD("tos.rtd",,"IMPL_VOL","."&amp;S$2&amp;S$1&amp;"P"&amp;$A30)="N/A",0,RTD("tos.rtd",,"IMPL_VOL","."&amp;S$2&amp;S$1&amp;"P"&amp;$A30))),0)-IFERROR(VALUE(IF(RTD("tos.rtd",,"IMPL_VOL","."&amp;S$2&amp;S$1&amp;"C"&amp;$A30)="N/A",0,RTD("tos.rtd",,"IMPL_VOL","."&amp;S$2&amp;S$1&amp;"C"&amp;$A30))),0),IF($A$2="MAXPAIN",IF($A$4&gt;$A30,($A$4-$A30)*IF(RTD("tos.rtd",,"OPEN_INT","."&amp;S$2&amp;S$1&amp;"C"&amp;$A30)="N/A",0,RTD("tos.rtd",,"OPEN_INT","."&amp;S$2&amp;S$1&amp;"C"&amp;$A30)),0)+IF($A$4&lt;$A30,($A$5-$A$4)*IF(RTD("tos.rtd",,"OPEN_INT","."&amp;S$2&amp;S$1&amp;"P"&amp;$A30)="N/A",0,RTD("tos.rtd",,"OPEN_INT","."&amp;S$2&amp;S$1&amp;"P"&amp;$A30)),0),IF($X$1="ABS",IF(RTD("tos.rtd",,$A$2,"."&amp;S$2&amp;S$1&amp;"C"&amp;$A30)="N/A",0,RTD("tos.rtd",,$A$2,"."&amp;S$2&amp;S$1&amp;"C"&amp;$A30))+IF(RTD("tos.rtd",,$A$2,"."&amp;S$2&amp;S$1&amp;"P"&amp;$A30)="N/A",0,RTD("tos.rtd",,$A$2,"."&amp;S$2&amp;S$1&amp;"P"&amp;$A30)),IF(RTD("tos.rtd",,$A$2,"."&amp;S$2&amp;S$1&amp;"C"&amp;$A30)="N/A",0,RTD("tos.rtd",,$A$2,"."&amp;S$2&amp;S$1&amp;"C"&amp;$A30))-IF(RTD("tos.rtd",,$A$2,"."&amp;S$2&amp;S$1&amp;"P"&amp;$A30)="N/A",0,RTD("tos.rtd",,$A$2,"."&amp;S$2&amp;S$1&amp;"P"&amp;$A30))))))))))</f>
        <v>0</v>
      </c>
      <c r="T30" s="12">
        <f ca="1">IF($A$2="PREMIUM_OI",IFERROR(IF($X$1="ABS",(100*RTD("tos.rtd",,"OPEN_INT","."&amp;T$2&amp;T$1&amp;"C"&amp;$A30)*RTD("tos.rtd",,"LAST","."&amp;T$2&amp;T$1&amp;"C"&amp;$A30)+100*RTD("tos.rtd",,"OPEN_INT","."&amp;T$2&amp;T$1&amp;"P"&amp;$A30)*RTD("tos.rtd",,"LAST","."&amp;T$2&amp;T$1&amp;"P"&amp;$A30))/1000000,(100*RTD("tos.rtd",,"OPEN_INT","."&amp;T$2&amp;T$1&amp;"C"&amp;$A30)*RTD("tos.rtd",,"LAST","."&amp;T$2&amp;T$1&amp;"C"&amp;$A30)-100*RTD("tos.rtd",,"OPEN_INT","."&amp;T$2&amp;T$1&amp;"P"&amp;$A30)*RTD("tos.rtd",,"LAST","."&amp;T$2&amp;T$1&amp;"P"&amp;$A30))/1000000),0),IF($A$2="PREMIUM",IFERROR(IF($X$1="ABS",(100*RTD("tos.rtd",,"VOLUME","."&amp;T$2&amp;T$1&amp;"C"&amp;$A30)*RTD("tos.rtd",,"LAST","."&amp;T$2&amp;T$1&amp;"C"&amp;$A30)+100*RTD("tos.rtd",,"VOLUME","."&amp;T$2&amp;T$1&amp;"P"&amp;$A30)*RTD("tos.rtd",,"LAST","."&amp;T$2&amp;T$1&amp;"P"&amp;$A30))/1000000,(100*RTD("tos.rtd",,"VOLUME","."&amp;T$2&amp;T$1&amp;"C"&amp;$A30)*RTD("tos.rtd",,"LAST","."&amp;T$2&amp;T$1&amp;"C"&amp;$A30)-100*RTD("tos.rtd",,"VOLUME","."&amp;T$2&amp;T$1&amp;"P"&amp;$A30)*RTD("tos.rtd",,"LAST","."&amp;T$2&amp;T$1&amp;"P"&amp;$A30))/1000000),0),IF($A$2="DEX",IFERROR(IF($X$1="ABS",(100*RTD("tos.rtd",,"OPEN_INT","."&amp;T$2&amp;T$1&amp;"C"&amp;$A30)*RTD("tos.rtd",,"DELTA","."&amp;T$2&amp;T$1&amp;"C"&amp;$A30)+100*RTD("tos.rtd",,"OPEN_INT","."&amp;T$2&amp;T$1&amp;"P"&amp;$A30)*RTD("tos.rtd",,"DELTA","."&amp;T$2&amp;T$1&amp;"P"&amp;$A30))/1000,(100*RTD("tos.rtd",,"OPEN_INT","."&amp;T$2&amp;T$1&amp;"C"&amp;$A30)*RTD("tos.rtd",,"DELTA","."&amp;T$2&amp;T$1&amp;"C"&amp;$A30)-100*RTD("tos.rtd",,"OPEN_INT","."&amp;T$2&amp;T$1&amp;"P"&amp;$A30)*RTD("tos.rtd",,"DELTA","."&amp;T$2&amp;T$1&amp;"P"&amp;$A30))/1000),0),IF($A$2="VEX",IFERROR(IF($X$1="ABS",($A$4*$A$4*RTD("tos.rtd",,"VOLUME","."&amp;T$2&amp;T$1&amp;"C"&amp;$A30)*RTD("tos.rtd",,"GAMMA","."&amp;T$2&amp;T$1&amp;"C"&amp;$A30)+$A$4*$A$4*RTD("tos.rtd",,"VOLUME","."&amp;T$2&amp;T$1&amp;"P"&amp;$A30)*RTD("tos.rtd",,"GAMMA","."&amp;T$2&amp;T$1&amp;"P"&amp;$A30))/1000000,($A$4*$A$4*RTD("tos.rtd",,"VOLUME","."&amp;T$2&amp;T$1&amp;"C"&amp;$A30)*RTD("tos.rtd",,"GAMMA","."&amp;T$2&amp;T$1&amp;"C"&amp;$A30)-$A$4*$A$4*RTD("tos.rtd",,"VOLUME","."&amp;T$2&amp;T$1&amp;"P"&amp;$A30)*RTD("tos.rtd",,"GAMMA","."&amp;T$2&amp;T$1&amp;"P"&amp;$A30))/1000000),0),IF($A$2="GEX",IFERROR(IF($X$1="ABS",($A$4*$A$4*RTD("tos.rtd",,"OPEN_INT","."&amp;T$2&amp;T$1&amp;"C"&amp;$A30)*RTD("tos.rtd",,"GAMMA","."&amp;T$2&amp;T$1&amp;"C"&amp;$A30)+$A$4*$A$4*RTD("tos.rtd",,"OPEN_INT","."&amp;T$2&amp;T$1&amp;"P"&amp;$A30)*RTD("tos.rtd",,"GAMMA","."&amp;T$2&amp;T$1&amp;"P"&amp;$A30))/1000000,($A$4*$A$4*RTD("tos.rtd",,"OPEN_INT","."&amp;T$2&amp;T$1&amp;"C"&amp;$A30)*RTD("tos.rtd",,"GAMMA","."&amp;T$2&amp;T$1&amp;"C"&amp;$A30)-$A$4*$A$4*RTD("tos.rtd",,"OPEN_INT","."&amp;T$2&amp;T$1&amp;"P"&amp;$A30)*RTD("tos.rtd",,"GAMMA","."&amp;T$2&amp;T$1&amp;"P"&amp;$A30))/1000000),0),IF($A$2="SKEW",IFERROR(VALUE(IF(RTD("tos.rtd",,"IMPL_VOL","."&amp;T$2&amp;T$1&amp;"P"&amp;$A30)="N/A",0,RTD("tos.rtd",,"IMPL_VOL","."&amp;T$2&amp;T$1&amp;"P"&amp;$A30))),0)-IFERROR(VALUE(IF(RTD("tos.rtd",,"IMPL_VOL","."&amp;T$2&amp;T$1&amp;"C"&amp;$A30)="N/A",0,RTD("tos.rtd",,"IMPL_VOL","."&amp;T$2&amp;T$1&amp;"C"&amp;$A30))),0),IF($A$2="MAXPAIN",IF($A$4&gt;$A30,($A$4-$A30)*IF(RTD("tos.rtd",,"OPEN_INT","."&amp;T$2&amp;T$1&amp;"C"&amp;$A30)="N/A",0,RTD("tos.rtd",,"OPEN_INT","."&amp;T$2&amp;T$1&amp;"C"&amp;$A30)),0)+IF($A$4&lt;$A30,($A$5-$A$4)*IF(RTD("tos.rtd",,"OPEN_INT","."&amp;T$2&amp;T$1&amp;"P"&amp;$A30)="N/A",0,RTD("tos.rtd",,"OPEN_INT","."&amp;T$2&amp;T$1&amp;"P"&amp;$A30)),0),IF($X$1="ABS",IF(RTD("tos.rtd",,$A$2,"."&amp;T$2&amp;T$1&amp;"C"&amp;$A30)="N/A",0,RTD("tos.rtd",,$A$2,"."&amp;T$2&amp;T$1&amp;"C"&amp;$A30))+IF(RTD("tos.rtd",,$A$2,"."&amp;T$2&amp;T$1&amp;"P"&amp;$A30)="N/A",0,RTD("tos.rtd",,$A$2,"."&amp;T$2&amp;T$1&amp;"P"&amp;$A30)),IF(RTD("tos.rtd",,$A$2,"."&amp;T$2&amp;T$1&amp;"C"&amp;$A30)="N/A",0,RTD("tos.rtd",,$A$2,"."&amp;T$2&amp;T$1&amp;"C"&amp;$A30))-IF(RTD("tos.rtd",,$A$2,"."&amp;T$2&amp;T$1&amp;"P"&amp;$A30)="N/A",0,RTD("tos.rtd",,$A$2,"."&amp;T$2&amp;T$1&amp;"P"&amp;$A30))))))))))</f>
        <v>0</v>
      </c>
      <c r="U30" s="12">
        <f ca="1">IF($A$2="PREMIUM_OI",IFERROR(IF($X$1="ABS",(100*RTD("tos.rtd",,"OPEN_INT","."&amp;U$2&amp;U$1&amp;"C"&amp;$A30)*RTD("tos.rtd",,"LAST","."&amp;U$2&amp;U$1&amp;"C"&amp;$A30)+100*RTD("tos.rtd",,"OPEN_INT","."&amp;U$2&amp;U$1&amp;"P"&amp;$A30)*RTD("tos.rtd",,"LAST","."&amp;U$2&amp;U$1&amp;"P"&amp;$A30))/1000000,(100*RTD("tos.rtd",,"OPEN_INT","."&amp;U$2&amp;U$1&amp;"C"&amp;$A30)*RTD("tos.rtd",,"LAST","."&amp;U$2&amp;U$1&amp;"C"&amp;$A30)-100*RTD("tos.rtd",,"OPEN_INT","."&amp;U$2&amp;U$1&amp;"P"&amp;$A30)*RTD("tos.rtd",,"LAST","."&amp;U$2&amp;U$1&amp;"P"&amp;$A30))/1000000),0),IF($A$2="PREMIUM",IFERROR(IF($X$1="ABS",(100*RTD("tos.rtd",,"VOLUME","."&amp;U$2&amp;U$1&amp;"C"&amp;$A30)*RTD("tos.rtd",,"LAST","."&amp;U$2&amp;U$1&amp;"C"&amp;$A30)+100*RTD("tos.rtd",,"VOLUME","."&amp;U$2&amp;U$1&amp;"P"&amp;$A30)*RTD("tos.rtd",,"LAST","."&amp;U$2&amp;U$1&amp;"P"&amp;$A30))/1000000,(100*RTD("tos.rtd",,"VOLUME","."&amp;U$2&amp;U$1&amp;"C"&amp;$A30)*RTD("tos.rtd",,"LAST","."&amp;U$2&amp;U$1&amp;"C"&amp;$A30)-100*RTD("tos.rtd",,"VOLUME","."&amp;U$2&amp;U$1&amp;"P"&amp;$A30)*RTD("tos.rtd",,"LAST","."&amp;U$2&amp;U$1&amp;"P"&amp;$A30))/1000000),0),IF($A$2="DEX",IFERROR(IF($X$1="ABS",(100*RTD("tos.rtd",,"OPEN_INT","."&amp;U$2&amp;U$1&amp;"C"&amp;$A30)*RTD("tos.rtd",,"DELTA","."&amp;U$2&amp;U$1&amp;"C"&amp;$A30)+100*RTD("tos.rtd",,"OPEN_INT","."&amp;U$2&amp;U$1&amp;"P"&amp;$A30)*RTD("tos.rtd",,"DELTA","."&amp;U$2&amp;U$1&amp;"P"&amp;$A30))/1000,(100*RTD("tos.rtd",,"OPEN_INT","."&amp;U$2&amp;U$1&amp;"C"&amp;$A30)*RTD("tos.rtd",,"DELTA","."&amp;U$2&amp;U$1&amp;"C"&amp;$A30)-100*RTD("tos.rtd",,"OPEN_INT","."&amp;U$2&amp;U$1&amp;"P"&amp;$A30)*RTD("tos.rtd",,"DELTA","."&amp;U$2&amp;U$1&amp;"P"&amp;$A30))/1000),0),IF($A$2="VEX",IFERROR(IF($X$1="ABS",($A$4*$A$4*RTD("tos.rtd",,"VOLUME","."&amp;U$2&amp;U$1&amp;"C"&amp;$A30)*RTD("tos.rtd",,"GAMMA","."&amp;U$2&amp;U$1&amp;"C"&amp;$A30)+$A$4*$A$4*RTD("tos.rtd",,"VOLUME","."&amp;U$2&amp;U$1&amp;"P"&amp;$A30)*RTD("tos.rtd",,"GAMMA","."&amp;U$2&amp;U$1&amp;"P"&amp;$A30))/1000000,($A$4*$A$4*RTD("tos.rtd",,"VOLUME","."&amp;U$2&amp;U$1&amp;"C"&amp;$A30)*RTD("tos.rtd",,"GAMMA","."&amp;U$2&amp;U$1&amp;"C"&amp;$A30)-$A$4*$A$4*RTD("tos.rtd",,"VOLUME","."&amp;U$2&amp;U$1&amp;"P"&amp;$A30)*RTD("tos.rtd",,"GAMMA","."&amp;U$2&amp;U$1&amp;"P"&amp;$A30))/1000000),0),IF($A$2="GEX",IFERROR(IF($X$1="ABS",($A$4*$A$4*RTD("tos.rtd",,"OPEN_INT","."&amp;U$2&amp;U$1&amp;"C"&amp;$A30)*RTD("tos.rtd",,"GAMMA","."&amp;U$2&amp;U$1&amp;"C"&amp;$A30)+$A$4*$A$4*RTD("tos.rtd",,"OPEN_INT","."&amp;U$2&amp;U$1&amp;"P"&amp;$A30)*RTD("tos.rtd",,"GAMMA","."&amp;U$2&amp;U$1&amp;"P"&amp;$A30))/1000000,($A$4*$A$4*RTD("tos.rtd",,"OPEN_INT","."&amp;U$2&amp;U$1&amp;"C"&amp;$A30)*RTD("tos.rtd",,"GAMMA","."&amp;U$2&amp;U$1&amp;"C"&amp;$A30)-$A$4*$A$4*RTD("tos.rtd",,"OPEN_INT","."&amp;U$2&amp;U$1&amp;"P"&amp;$A30)*RTD("tos.rtd",,"GAMMA","."&amp;U$2&amp;U$1&amp;"P"&amp;$A30))/1000000),0),IF($A$2="SKEW",IFERROR(VALUE(IF(RTD("tos.rtd",,"IMPL_VOL","."&amp;U$2&amp;U$1&amp;"P"&amp;$A30)="N/A",0,RTD("tos.rtd",,"IMPL_VOL","."&amp;U$2&amp;U$1&amp;"P"&amp;$A30))),0)-IFERROR(VALUE(IF(RTD("tos.rtd",,"IMPL_VOL","."&amp;U$2&amp;U$1&amp;"C"&amp;$A30)="N/A",0,RTD("tos.rtd",,"IMPL_VOL","."&amp;U$2&amp;U$1&amp;"C"&amp;$A30))),0),IF($A$2="MAXPAIN",IF($A$4&gt;$A30,($A$4-$A30)*IF(RTD("tos.rtd",,"OPEN_INT","."&amp;U$2&amp;U$1&amp;"C"&amp;$A30)="N/A",0,RTD("tos.rtd",,"OPEN_INT","."&amp;U$2&amp;U$1&amp;"C"&amp;$A30)),0)+IF($A$4&lt;$A30,($A$5-$A$4)*IF(RTD("tos.rtd",,"OPEN_INT","."&amp;U$2&amp;U$1&amp;"P"&amp;$A30)="N/A",0,RTD("tos.rtd",,"OPEN_INT","."&amp;U$2&amp;U$1&amp;"P"&amp;$A30)),0),IF($X$1="ABS",IF(RTD("tos.rtd",,$A$2,"."&amp;U$2&amp;U$1&amp;"C"&amp;$A30)="N/A",0,RTD("tos.rtd",,$A$2,"."&amp;U$2&amp;U$1&amp;"C"&amp;$A30))+IF(RTD("tos.rtd",,$A$2,"."&amp;U$2&amp;U$1&amp;"P"&amp;$A30)="N/A",0,RTD("tos.rtd",,$A$2,"."&amp;U$2&amp;U$1&amp;"P"&amp;$A30)),IF(RTD("tos.rtd",,$A$2,"."&amp;U$2&amp;U$1&amp;"C"&amp;$A30)="N/A",0,RTD("tos.rtd",,$A$2,"."&amp;U$2&amp;U$1&amp;"C"&amp;$A30))-IF(RTD("tos.rtd",,$A$2,"."&amp;U$2&amp;U$1&amp;"P"&amp;$A30)="N/A",0,RTD("tos.rtd",,$A$2,"."&amp;U$2&amp;U$1&amp;"P"&amp;$A30))))))))))</f>
        <v>0</v>
      </c>
      <c r="V30" s="12">
        <f ca="1">IF($A$2="PREMIUM_OI",IFERROR(IF($X$1="ABS",(100*RTD("tos.rtd",,"OPEN_INT","."&amp;V$2&amp;V$1&amp;"C"&amp;$A30)*RTD("tos.rtd",,"LAST","."&amp;V$2&amp;V$1&amp;"C"&amp;$A30)+100*RTD("tos.rtd",,"OPEN_INT","."&amp;V$2&amp;V$1&amp;"P"&amp;$A30)*RTD("tos.rtd",,"LAST","."&amp;V$2&amp;V$1&amp;"P"&amp;$A30))/1000000,(100*RTD("tos.rtd",,"OPEN_INT","."&amp;V$2&amp;V$1&amp;"C"&amp;$A30)*RTD("tos.rtd",,"LAST","."&amp;V$2&amp;V$1&amp;"C"&amp;$A30)-100*RTD("tos.rtd",,"OPEN_INT","."&amp;V$2&amp;V$1&amp;"P"&amp;$A30)*RTD("tos.rtd",,"LAST","."&amp;V$2&amp;V$1&amp;"P"&amp;$A30))/1000000),0),IF($A$2="PREMIUM",IFERROR(IF($X$1="ABS",(100*RTD("tos.rtd",,"VOLUME","."&amp;V$2&amp;V$1&amp;"C"&amp;$A30)*RTD("tos.rtd",,"LAST","."&amp;V$2&amp;V$1&amp;"C"&amp;$A30)+100*RTD("tos.rtd",,"VOLUME","."&amp;V$2&amp;V$1&amp;"P"&amp;$A30)*RTD("tos.rtd",,"LAST","."&amp;V$2&amp;V$1&amp;"P"&amp;$A30))/1000000,(100*RTD("tos.rtd",,"VOLUME","."&amp;V$2&amp;V$1&amp;"C"&amp;$A30)*RTD("tos.rtd",,"LAST","."&amp;V$2&amp;V$1&amp;"C"&amp;$A30)-100*RTD("tos.rtd",,"VOLUME","."&amp;V$2&amp;V$1&amp;"P"&amp;$A30)*RTD("tos.rtd",,"LAST","."&amp;V$2&amp;V$1&amp;"P"&amp;$A30))/1000000),0),IF($A$2="DEX",IFERROR(IF($X$1="ABS",(100*RTD("tos.rtd",,"OPEN_INT","."&amp;V$2&amp;V$1&amp;"C"&amp;$A30)*RTD("tos.rtd",,"DELTA","."&amp;V$2&amp;V$1&amp;"C"&amp;$A30)+100*RTD("tos.rtd",,"OPEN_INT","."&amp;V$2&amp;V$1&amp;"P"&amp;$A30)*RTD("tos.rtd",,"DELTA","."&amp;V$2&amp;V$1&amp;"P"&amp;$A30))/1000,(100*RTD("tos.rtd",,"OPEN_INT","."&amp;V$2&amp;V$1&amp;"C"&amp;$A30)*RTD("tos.rtd",,"DELTA","."&amp;V$2&amp;V$1&amp;"C"&amp;$A30)-100*RTD("tos.rtd",,"OPEN_INT","."&amp;V$2&amp;V$1&amp;"P"&amp;$A30)*RTD("tos.rtd",,"DELTA","."&amp;V$2&amp;V$1&amp;"P"&amp;$A30))/1000),0),IF($A$2="VEX",IFERROR(IF($X$1="ABS",($A$4*$A$4*RTD("tos.rtd",,"VOLUME","."&amp;V$2&amp;V$1&amp;"C"&amp;$A30)*RTD("tos.rtd",,"GAMMA","."&amp;V$2&amp;V$1&amp;"C"&amp;$A30)+$A$4*$A$4*RTD("tos.rtd",,"VOLUME","."&amp;V$2&amp;V$1&amp;"P"&amp;$A30)*RTD("tos.rtd",,"GAMMA","."&amp;V$2&amp;V$1&amp;"P"&amp;$A30))/1000000,($A$4*$A$4*RTD("tos.rtd",,"VOLUME","."&amp;V$2&amp;V$1&amp;"C"&amp;$A30)*RTD("tos.rtd",,"GAMMA","."&amp;V$2&amp;V$1&amp;"C"&amp;$A30)-$A$4*$A$4*RTD("tos.rtd",,"VOLUME","."&amp;V$2&amp;V$1&amp;"P"&amp;$A30)*RTD("tos.rtd",,"GAMMA","."&amp;V$2&amp;V$1&amp;"P"&amp;$A30))/1000000),0),IF($A$2="GEX",IFERROR(IF($X$1="ABS",($A$4*$A$4*RTD("tos.rtd",,"OPEN_INT","."&amp;V$2&amp;V$1&amp;"C"&amp;$A30)*RTD("tos.rtd",,"GAMMA","."&amp;V$2&amp;V$1&amp;"C"&amp;$A30)+$A$4*$A$4*RTD("tos.rtd",,"OPEN_INT","."&amp;V$2&amp;V$1&amp;"P"&amp;$A30)*RTD("tos.rtd",,"GAMMA","."&amp;V$2&amp;V$1&amp;"P"&amp;$A30))/1000000,($A$4*$A$4*RTD("tos.rtd",,"OPEN_INT","."&amp;V$2&amp;V$1&amp;"C"&amp;$A30)*RTD("tos.rtd",,"GAMMA","."&amp;V$2&amp;V$1&amp;"C"&amp;$A30)-$A$4*$A$4*RTD("tos.rtd",,"OPEN_INT","."&amp;V$2&amp;V$1&amp;"P"&amp;$A30)*RTD("tos.rtd",,"GAMMA","."&amp;V$2&amp;V$1&amp;"P"&amp;$A30))/1000000),0),IF($A$2="SKEW",IFERROR(VALUE(IF(RTD("tos.rtd",,"IMPL_VOL","."&amp;V$2&amp;V$1&amp;"P"&amp;$A30)="N/A",0,RTD("tos.rtd",,"IMPL_VOL","."&amp;V$2&amp;V$1&amp;"P"&amp;$A30))),0)-IFERROR(VALUE(IF(RTD("tos.rtd",,"IMPL_VOL","."&amp;V$2&amp;V$1&amp;"C"&amp;$A30)="N/A",0,RTD("tos.rtd",,"IMPL_VOL","."&amp;V$2&amp;V$1&amp;"C"&amp;$A30))),0),IF($A$2="MAXPAIN",IF($A$4&gt;$A30,($A$4-$A30)*IF(RTD("tos.rtd",,"OPEN_INT","."&amp;V$2&amp;V$1&amp;"C"&amp;$A30)="N/A",0,RTD("tos.rtd",,"OPEN_INT","."&amp;V$2&amp;V$1&amp;"C"&amp;$A30)),0)+IF($A$4&lt;$A30,($A$5-$A$4)*IF(RTD("tos.rtd",,"OPEN_INT","."&amp;V$2&amp;V$1&amp;"P"&amp;$A30)="N/A",0,RTD("tos.rtd",,"OPEN_INT","."&amp;V$2&amp;V$1&amp;"P"&amp;$A30)),0),IF($X$1="ABS",IF(RTD("tos.rtd",,$A$2,"."&amp;V$2&amp;V$1&amp;"C"&amp;$A30)="N/A",0,RTD("tos.rtd",,$A$2,"."&amp;V$2&amp;V$1&amp;"C"&amp;$A30))+IF(RTD("tos.rtd",,$A$2,"."&amp;V$2&amp;V$1&amp;"P"&amp;$A30)="N/A",0,RTD("tos.rtd",,$A$2,"."&amp;V$2&amp;V$1&amp;"P"&amp;$A30)),IF(RTD("tos.rtd",,$A$2,"."&amp;V$2&amp;V$1&amp;"C"&amp;$A30)="N/A",0,RTD("tos.rtd",,$A$2,"."&amp;V$2&amp;V$1&amp;"C"&amp;$A30))-IF(RTD("tos.rtd",,$A$2,"."&amp;V$2&amp;V$1&amp;"P"&amp;$A30)="N/A",0,RTD("tos.rtd",,$A$2,"."&amp;V$2&amp;V$1&amp;"P"&amp;$A30))))))))))</f>
        <v>0</v>
      </c>
      <c r="W30" s="12">
        <f ca="1">IF($A$2="PREMIUM_OI",IFERROR(IF($X$1="ABS",(100*RTD("tos.rtd",,"OPEN_INT","."&amp;W$2&amp;W$1&amp;"C"&amp;$A30)*RTD("tos.rtd",,"LAST","."&amp;W$2&amp;W$1&amp;"C"&amp;$A30)+100*RTD("tos.rtd",,"OPEN_INT","."&amp;W$2&amp;W$1&amp;"P"&amp;$A30)*RTD("tos.rtd",,"LAST","."&amp;W$2&amp;W$1&amp;"P"&amp;$A30))/1000000,(100*RTD("tos.rtd",,"OPEN_INT","."&amp;W$2&amp;W$1&amp;"C"&amp;$A30)*RTD("tos.rtd",,"LAST","."&amp;W$2&amp;W$1&amp;"C"&amp;$A30)-100*RTD("tos.rtd",,"OPEN_INT","."&amp;W$2&amp;W$1&amp;"P"&amp;$A30)*RTD("tos.rtd",,"LAST","."&amp;W$2&amp;W$1&amp;"P"&amp;$A30))/1000000),0),IF($A$2="PREMIUM",IFERROR(IF($X$1="ABS",(100*RTD("tos.rtd",,"VOLUME","."&amp;W$2&amp;W$1&amp;"C"&amp;$A30)*RTD("tos.rtd",,"LAST","."&amp;W$2&amp;W$1&amp;"C"&amp;$A30)+100*RTD("tos.rtd",,"VOLUME","."&amp;W$2&amp;W$1&amp;"P"&amp;$A30)*RTD("tos.rtd",,"LAST","."&amp;W$2&amp;W$1&amp;"P"&amp;$A30))/1000000,(100*RTD("tos.rtd",,"VOLUME","."&amp;W$2&amp;W$1&amp;"C"&amp;$A30)*RTD("tos.rtd",,"LAST","."&amp;W$2&amp;W$1&amp;"C"&amp;$A30)-100*RTD("tos.rtd",,"VOLUME","."&amp;W$2&amp;W$1&amp;"P"&amp;$A30)*RTD("tos.rtd",,"LAST","."&amp;W$2&amp;W$1&amp;"P"&amp;$A30))/1000000),0),IF($A$2="DEX",IFERROR(IF($X$1="ABS",(100*RTD("tos.rtd",,"OPEN_INT","."&amp;W$2&amp;W$1&amp;"C"&amp;$A30)*RTD("tos.rtd",,"DELTA","."&amp;W$2&amp;W$1&amp;"C"&amp;$A30)+100*RTD("tos.rtd",,"OPEN_INT","."&amp;W$2&amp;W$1&amp;"P"&amp;$A30)*RTD("tos.rtd",,"DELTA","."&amp;W$2&amp;W$1&amp;"P"&amp;$A30))/1000,(100*RTD("tos.rtd",,"OPEN_INT","."&amp;W$2&amp;W$1&amp;"C"&amp;$A30)*RTD("tos.rtd",,"DELTA","."&amp;W$2&amp;W$1&amp;"C"&amp;$A30)-100*RTD("tos.rtd",,"OPEN_INT","."&amp;W$2&amp;W$1&amp;"P"&amp;$A30)*RTD("tos.rtd",,"DELTA","."&amp;W$2&amp;W$1&amp;"P"&amp;$A30))/1000),0),IF($A$2="VEX",IFERROR(IF($X$1="ABS",($A$4*$A$4*RTD("tos.rtd",,"VOLUME","."&amp;W$2&amp;W$1&amp;"C"&amp;$A30)*RTD("tos.rtd",,"GAMMA","."&amp;W$2&amp;W$1&amp;"C"&amp;$A30)+$A$4*$A$4*RTD("tos.rtd",,"VOLUME","."&amp;W$2&amp;W$1&amp;"P"&amp;$A30)*RTD("tos.rtd",,"GAMMA","."&amp;W$2&amp;W$1&amp;"P"&amp;$A30))/1000000,($A$4*$A$4*RTD("tos.rtd",,"VOLUME","."&amp;W$2&amp;W$1&amp;"C"&amp;$A30)*RTD("tos.rtd",,"GAMMA","."&amp;W$2&amp;W$1&amp;"C"&amp;$A30)-$A$4*$A$4*RTD("tos.rtd",,"VOLUME","."&amp;W$2&amp;W$1&amp;"P"&amp;$A30)*RTD("tos.rtd",,"GAMMA","."&amp;W$2&amp;W$1&amp;"P"&amp;$A30))/1000000),0),IF($A$2="GEX",IFERROR(IF($X$1="ABS",($A$4*$A$4*RTD("tos.rtd",,"OPEN_INT","."&amp;W$2&amp;W$1&amp;"C"&amp;$A30)*RTD("tos.rtd",,"GAMMA","."&amp;W$2&amp;W$1&amp;"C"&amp;$A30)+$A$4*$A$4*RTD("tos.rtd",,"OPEN_INT","."&amp;W$2&amp;W$1&amp;"P"&amp;$A30)*RTD("tos.rtd",,"GAMMA","."&amp;W$2&amp;W$1&amp;"P"&amp;$A30))/1000000,($A$4*$A$4*RTD("tos.rtd",,"OPEN_INT","."&amp;W$2&amp;W$1&amp;"C"&amp;$A30)*RTD("tos.rtd",,"GAMMA","."&amp;W$2&amp;W$1&amp;"C"&amp;$A30)-$A$4*$A$4*RTD("tos.rtd",,"OPEN_INT","."&amp;W$2&amp;W$1&amp;"P"&amp;$A30)*RTD("tos.rtd",,"GAMMA","."&amp;W$2&amp;W$1&amp;"P"&amp;$A30))/1000000),0),IF($A$2="SKEW",IFERROR(VALUE(IF(RTD("tos.rtd",,"IMPL_VOL","."&amp;W$2&amp;W$1&amp;"P"&amp;$A30)="N/A",0,RTD("tos.rtd",,"IMPL_VOL","."&amp;W$2&amp;W$1&amp;"P"&amp;$A30))),0)-IFERROR(VALUE(IF(RTD("tos.rtd",,"IMPL_VOL","."&amp;W$2&amp;W$1&amp;"C"&amp;$A30)="N/A",0,RTD("tos.rtd",,"IMPL_VOL","."&amp;W$2&amp;W$1&amp;"C"&amp;$A30))),0),IF($A$2="MAXPAIN",IF($A$4&gt;$A30,($A$4-$A30)*IF(RTD("tos.rtd",,"OPEN_INT","."&amp;W$2&amp;W$1&amp;"C"&amp;$A30)="N/A",0,RTD("tos.rtd",,"OPEN_INT","."&amp;W$2&amp;W$1&amp;"C"&amp;$A30)),0)+IF($A$4&lt;$A30,($A$5-$A$4)*IF(RTD("tos.rtd",,"OPEN_INT","."&amp;W$2&amp;W$1&amp;"P"&amp;$A30)="N/A",0,RTD("tos.rtd",,"OPEN_INT","."&amp;W$2&amp;W$1&amp;"P"&amp;$A30)),0),IF($X$1="ABS",IF(RTD("tos.rtd",,$A$2,"."&amp;W$2&amp;W$1&amp;"C"&amp;$A30)="N/A",0,RTD("tos.rtd",,$A$2,"."&amp;W$2&amp;W$1&amp;"C"&amp;$A30))+IF(RTD("tos.rtd",,$A$2,"."&amp;W$2&amp;W$1&amp;"P"&amp;$A30)="N/A",0,RTD("tos.rtd",,$A$2,"."&amp;W$2&amp;W$1&amp;"P"&amp;$A30)),IF(RTD("tos.rtd",,$A$2,"."&amp;W$2&amp;W$1&amp;"C"&amp;$A30)="N/A",0,RTD("tos.rtd",,$A$2,"."&amp;W$2&amp;W$1&amp;"C"&amp;$A30))-IF(RTD("tos.rtd",,$A$2,"."&amp;W$2&amp;W$1&amp;"P"&amp;$A30)="N/A",0,RTD("tos.rtd",,$A$2,"."&amp;W$2&amp;W$1&amp;"P"&amp;$A30))))))))))</f>
        <v>0</v>
      </c>
      <c r="X30" s="57">
        <f t="shared" ca="1" si="7"/>
        <v>100055</v>
      </c>
      <c r="Y30" s="27">
        <f t="shared" ca="1" si="8"/>
        <v>100055</v>
      </c>
      <c r="Z30" s="27">
        <f t="shared" ca="1" si="9"/>
        <v>53230.333333333336</v>
      </c>
      <c r="AA30" s="27">
        <f t="shared" si="10"/>
        <v>17366900</v>
      </c>
      <c r="AB30" s="18">
        <f>MAX(0, $A30-AB$4)*IF(RTD("tos.rtd",,"OPEN_INT","."&amp;$AA$3&amp;$AA$4&amp;"C"&amp;AB$4)="N/A",0,RTD("tos.rtd",,"OPEN_INT","."&amp;$AA$3&amp;$AA$4&amp;"C"&amp;AB$4))*100 + MAX(0, AB$4-$A30)*IF(RTD("tos.rtd",,"OPEN_INT","."&amp;$AA$3&amp;$AA$4&amp;"P"&amp;AB$4)="N/A",0,RTD("tos.rtd",,"OPEN_INT","."&amp;$AA$3&amp;$AA$4&amp;"P"&amp;AB$4))*100</f>
        <v>0</v>
      </c>
      <c r="AC30" s="18">
        <f>MAX(0, $A30-AC$4)*IF(RTD("tos.rtd",,"OPEN_INT","."&amp;$AA$3&amp;$AA$4&amp;"C"&amp;AC$4)="N/A",0,RTD("tos.rtd",,"OPEN_INT","."&amp;$AA$3&amp;$AA$4&amp;"C"&amp;AC$4))*100 + MAX(0, AC$4-$A30)*IF(RTD("tos.rtd",,"OPEN_INT","."&amp;$AA$3&amp;$AA$4&amp;"P"&amp;AC$4)="N/A",0,RTD("tos.rtd",,"OPEN_INT","."&amp;$AA$3&amp;$AA$4&amp;"P"&amp;AC$4))*100</f>
        <v>0</v>
      </c>
      <c r="AD30" s="18">
        <f>MAX(0, $A30-AD$4)*IF(RTD("tos.rtd",,"OPEN_INT","."&amp;$AA$3&amp;$AA$4&amp;"C"&amp;AD$4)="N/A",0,RTD("tos.rtd",,"OPEN_INT","."&amp;$AA$3&amp;$AA$4&amp;"C"&amp;AD$4))*100 + MAX(0, AD$4-$A30)*IF(RTD("tos.rtd",,"OPEN_INT","."&amp;$AA$3&amp;$AA$4&amp;"P"&amp;AD$4)="N/A",0,RTD("tos.rtd",,"OPEN_INT","."&amp;$AA$3&amp;$AA$4&amp;"P"&amp;AD$4))*100</f>
        <v>0</v>
      </c>
      <c r="AE30" s="18">
        <f>MAX(0, $A30-AE$4)*IF(RTD("tos.rtd",,"OPEN_INT","."&amp;$AA$3&amp;$AA$4&amp;"C"&amp;AE$4)="N/A",0,RTD("tos.rtd",,"OPEN_INT","."&amp;$AA$3&amp;$AA$4&amp;"C"&amp;AE$4))*100 + MAX(0, AE$4-$A30)*IF(RTD("tos.rtd",,"OPEN_INT","."&amp;$AA$3&amp;$AA$4&amp;"P"&amp;AE$4)="N/A",0,RTD("tos.rtd",,"OPEN_INT","."&amp;$AA$3&amp;$AA$4&amp;"P"&amp;AE$4))*100</f>
        <v>0</v>
      </c>
      <c r="AF30" s="18">
        <f>MAX(0, $A30-AF$4)*IF(RTD("tos.rtd",,"OPEN_INT","."&amp;$AA$3&amp;$AA$4&amp;"C"&amp;AF$4)="N/A",0,RTD("tos.rtd",,"OPEN_INT","."&amp;$AA$3&amp;$AA$4&amp;"C"&amp;AF$4))*100 + MAX(0, AF$4-$A30)*IF(RTD("tos.rtd",,"OPEN_INT","."&amp;$AA$3&amp;$AA$4&amp;"P"&amp;AF$4)="N/A",0,RTD("tos.rtd",,"OPEN_INT","."&amp;$AA$3&amp;$AA$4&amp;"P"&amp;AF$4))*100</f>
        <v>0</v>
      </c>
      <c r="AG30" s="18">
        <f>MAX(0, $A30-AG$4)*IF(RTD("tos.rtd",,"OPEN_INT","."&amp;$AA$3&amp;$AA$4&amp;"C"&amp;AG$4)="N/A",0,RTD("tos.rtd",,"OPEN_INT","."&amp;$AA$3&amp;$AA$4&amp;"C"&amp;AG$4))*100 + MAX(0, AG$4-$A30)*IF(RTD("tos.rtd",,"OPEN_INT","."&amp;$AA$3&amp;$AA$4&amp;"P"&amp;AG$4)="N/A",0,RTD("tos.rtd",,"OPEN_INT","."&amp;$AA$3&amp;$AA$4&amp;"P"&amp;AG$4))*100</f>
        <v>0</v>
      </c>
      <c r="AH30" s="18">
        <f>MAX(0, $A30-AH$4)*IF(RTD("tos.rtd",,"OPEN_INT","."&amp;$AA$3&amp;$AA$4&amp;"C"&amp;AH$4)="N/A",0,RTD("tos.rtd",,"OPEN_INT","."&amp;$AA$3&amp;$AA$4&amp;"C"&amp;AH$4))*100 + MAX(0, AH$4-$A30)*IF(RTD("tos.rtd",,"OPEN_INT","."&amp;$AA$3&amp;$AA$4&amp;"P"&amp;AH$4)="N/A",0,RTD("tos.rtd",,"OPEN_INT","."&amp;$AA$3&amp;$AA$4&amp;"P"&amp;AH$4))*100</f>
        <v>0</v>
      </c>
      <c r="AI30" s="18">
        <f>MAX(0, $A30-AI$4)*IF(RTD("tos.rtd",,"OPEN_INT","."&amp;$AA$3&amp;$AA$4&amp;"C"&amp;AI$4)="N/A",0,RTD("tos.rtd",,"OPEN_INT","."&amp;$AA$3&amp;$AA$4&amp;"C"&amp;AI$4))*100 + MAX(0, AI$4-$A30)*IF(RTD("tos.rtd",,"OPEN_INT","."&amp;$AA$3&amp;$AA$4&amp;"P"&amp;AI$4)="N/A",0,RTD("tos.rtd",,"OPEN_INT","."&amp;$AA$3&amp;$AA$4&amp;"P"&amp;AI$4))*100</f>
        <v>2700</v>
      </c>
      <c r="AJ30" s="18">
        <f>MAX(0, $A30-AJ$4)*IF(RTD("tos.rtd",,"OPEN_INT","."&amp;$AA$3&amp;$AA$4&amp;"C"&amp;AJ$4)="N/A",0,RTD("tos.rtd",,"OPEN_INT","."&amp;$AA$3&amp;$AA$4&amp;"C"&amp;AJ$4))*100 + MAX(0, AJ$4-$A30)*IF(RTD("tos.rtd",,"OPEN_INT","."&amp;$AA$3&amp;$AA$4&amp;"P"&amp;AJ$4)="N/A",0,RTD("tos.rtd",,"OPEN_INT","."&amp;$AA$3&amp;$AA$4&amp;"P"&amp;AJ$4))*100</f>
        <v>6800</v>
      </c>
      <c r="AK30" s="18">
        <f>MAX(0, $A30-AK$4)*IF(RTD("tos.rtd",,"OPEN_INT","."&amp;$AA$3&amp;$AA$4&amp;"C"&amp;AK$4)="N/A",0,RTD("tos.rtd",,"OPEN_INT","."&amp;$AA$3&amp;$AA$4&amp;"C"&amp;AK$4))*100 + MAX(0, AK$4-$A30)*IF(RTD("tos.rtd",,"OPEN_INT","."&amp;$AA$3&amp;$AA$4&amp;"P"&amp;AK$4)="N/A",0,RTD("tos.rtd",,"OPEN_INT","."&amp;$AA$3&amp;$AA$4&amp;"P"&amp;AK$4))*100</f>
        <v>0</v>
      </c>
      <c r="AL30" s="18">
        <f>MAX(0, $A30-AL$4)*IF(RTD("tos.rtd",,"OPEN_INT","."&amp;$AA$3&amp;$AA$4&amp;"C"&amp;AL$4)="N/A",0,RTD("tos.rtd",,"OPEN_INT","."&amp;$AA$3&amp;$AA$4&amp;"C"&amp;AL$4))*100 + MAX(0, AL$4-$A30)*IF(RTD("tos.rtd",,"OPEN_INT","."&amp;$AA$3&amp;$AA$4&amp;"P"&amp;AL$4)="N/A",0,RTD("tos.rtd",,"OPEN_INT","."&amp;$AA$3&amp;$AA$4&amp;"P"&amp;AL$4))*100</f>
        <v>0</v>
      </c>
      <c r="AM30" s="18">
        <f>MAX(0, $A30-AM$4)*IF(RTD("tos.rtd",,"OPEN_INT","."&amp;$AA$3&amp;$AA$4&amp;"C"&amp;AM$4)="N/A",0,RTD("tos.rtd",,"OPEN_INT","."&amp;$AA$3&amp;$AA$4&amp;"C"&amp;AM$4))*100 + MAX(0, AM$4-$A30)*IF(RTD("tos.rtd",,"OPEN_INT","."&amp;$AA$3&amp;$AA$4&amp;"P"&amp;AM$4)="N/A",0,RTD("tos.rtd",,"OPEN_INT","."&amp;$AA$3&amp;$AA$4&amp;"P"&amp;AM$4))*100</f>
        <v>0</v>
      </c>
      <c r="AN30" s="18">
        <f>MAX(0, $A30-AN$4)*IF(RTD("tos.rtd",,"OPEN_INT","."&amp;$AA$3&amp;$AA$4&amp;"C"&amp;AN$4)="N/A",0,RTD("tos.rtd",,"OPEN_INT","."&amp;$AA$3&amp;$AA$4&amp;"C"&amp;AN$4))*100 + MAX(0, AN$4-$A30)*IF(RTD("tos.rtd",,"OPEN_INT","."&amp;$AA$3&amp;$AA$4&amp;"P"&amp;AN$4)="N/A",0,RTD("tos.rtd",,"OPEN_INT","."&amp;$AA$3&amp;$AA$4&amp;"P"&amp;AN$4))*100</f>
        <v>0</v>
      </c>
      <c r="AO30" s="18">
        <f>MAX(0, $A30-AO$4)*IF(RTD("tos.rtd",,"OPEN_INT","."&amp;$AA$3&amp;$AA$4&amp;"C"&amp;AO$4)="N/A",0,RTD("tos.rtd",,"OPEN_INT","."&amp;$AA$3&amp;$AA$4&amp;"C"&amp;AO$4))*100 + MAX(0, AO$4-$A30)*IF(RTD("tos.rtd",,"OPEN_INT","."&amp;$AA$3&amp;$AA$4&amp;"P"&amp;AO$4)="N/A",0,RTD("tos.rtd",,"OPEN_INT","."&amp;$AA$3&amp;$AA$4&amp;"P"&amp;AO$4))*100</f>
        <v>72000</v>
      </c>
      <c r="AP30" s="18">
        <f>MAX(0, $A30-AP$4)*IF(RTD("tos.rtd",,"OPEN_INT","."&amp;$AA$3&amp;$AA$4&amp;"C"&amp;AP$4)="N/A",0,RTD("tos.rtd",,"OPEN_INT","."&amp;$AA$3&amp;$AA$4&amp;"C"&amp;AP$4))*100 + MAX(0, AP$4-$A30)*IF(RTD("tos.rtd",,"OPEN_INT","."&amp;$AA$3&amp;$AA$4&amp;"P"&amp;AP$4)="N/A",0,RTD("tos.rtd",,"OPEN_INT","."&amp;$AA$3&amp;$AA$4&amp;"P"&amp;AP$4))*100</f>
        <v>0</v>
      </c>
      <c r="AQ30" s="18">
        <f>MAX(0, $A30-AQ$4)*IF(RTD("tos.rtd",,"OPEN_INT","."&amp;$AA$3&amp;$AA$4&amp;"C"&amp;AQ$4)="N/A",0,RTD("tos.rtd",,"OPEN_INT","."&amp;$AA$3&amp;$AA$4&amp;"C"&amp;AQ$4))*100 + MAX(0, AQ$4-$A30)*IF(RTD("tos.rtd",,"OPEN_INT","."&amp;$AA$3&amp;$AA$4&amp;"P"&amp;AQ$4)="N/A",0,RTD("tos.rtd",,"OPEN_INT","."&amp;$AA$3&amp;$AA$4&amp;"P"&amp;AQ$4))*100</f>
        <v>26500</v>
      </c>
      <c r="AR30" s="18">
        <f>MAX(0, $A30-AR$4)*IF(RTD("tos.rtd",,"OPEN_INT","."&amp;$AA$3&amp;$AA$4&amp;"C"&amp;AR$4)="N/A",0,RTD("tos.rtd",,"OPEN_INT","."&amp;$AA$3&amp;$AA$4&amp;"C"&amp;AR$4))*100 + MAX(0, AR$4-$A30)*IF(RTD("tos.rtd",,"OPEN_INT","."&amp;$AA$3&amp;$AA$4&amp;"P"&amp;AR$4)="N/A",0,RTD("tos.rtd",,"OPEN_INT","."&amp;$AA$3&amp;$AA$4&amp;"P"&amp;AR$4))*100</f>
        <v>2700</v>
      </c>
      <c r="AS30" s="18">
        <f>MAX(0, $A30-AS$4)*IF(RTD("tos.rtd",,"OPEN_INT","."&amp;$AA$3&amp;$AA$4&amp;"C"&amp;AS$4)="N/A",0,RTD("tos.rtd",,"OPEN_INT","."&amp;$AA$3&amp;$AA$4&amp;"C"&amp;AS$4))*100 + MAX(0, AS$4-$A30)*IF(RTD("tos.rtd",,"OPEN_INT","."&amp;$AA$3&amp;$AA$4&amp;"P"&amp;AS$4)="N/A",0,RTD("tos.rtd",,"OPEN_INT","."&amp;$AA$3&amp;$AA$4&amp;"P"&amp;AS$4))*100</f>
        <v>24800</v>
      </c>
      <c r="AT30" s="18">
        <f>MAX(0, $A30-AT$4)*IF(RTD("tos.rtd",,"OPEN_INT","."&amp;$AA$3&amp;$AA$4&amp;"C"&amp;AT$4)="N/A",0,RTD("tos.rtd",,"OPEN_INT","."&amp;$AA$3&amp;$AA$4&amp;"C"&amp;AT$4))*100 + MAX(0, AT$4-$A30)*IF(RTD("tos.rtd",,"OPEN_INT","."&amp;$AA$3&amp;$AA$4&amp;"P"&amp;AT$4)="N/A",0,RTD("tos.rtd",,"OPEN_INT","."&amp;$AA$3&amp;$AA$4&amp;"P"&amp;AT$4))*100</f>
        <v>24500</v>
      </c>
      <c r="AU30" s="18">
        <f>MAX(0, $A30-AU$4)*IF(RTD("tos.rtd",,"OPEN_INT","."&amp;$AA$3&amp;$AA$4&amp;"C"&amp;AU$4)="N/A",0,RTD("tos.rtd",,"OPEN_INT","."&amp;$AA$3&amp;$AA$4&amp;"C"&amp;AU$4))*100 + MAX(0, AU$4-$A30)*IF(RTD("tos.rtd",,"OPEN_INT","."&amp;$AA$3&amp;$AA$4&amp;"P"&amp;AU$4)="N/A",0,RTD("tos.rtd",,"OPEN_INT","."&amp;$AA$3&amp;$AA$4&amp;"P"&amp;AU$4))*100</f>
        <v>12000</v>
      </c>
      <c r="AV30" s="18">
        <f>MAX(0, $A30-AV$4)*IF(RTD("tos.rtd",,"OPEN_INT","."&amp;$AA$3&amp;$AA$4&amp;"C"&amp;AV$4)="N/A",0,RTD("tos.rtd",,"OPEN_INT","."&amp;$AA$3&amp;$AA$4&amp;"C"&amp;AV$4))*100 + MAX(0, AV$4-$A30)*IF(RTD("tos.rtd",,"OPEN_INT","."&amp;$AA$3&amp;$AA$4&amp;"P"&amp;AV$4)="N/A",0,RTD("tos.rtd",,"OPEN_INT","."&amp;$AA$3&amp;$AA$4&amp;"P"&amp;AV$4))*100</f>
        <v>40250</v>
      </c>
      <c r="AW30" s="18">
        <f>MAX(0, $A30-AW$4)*IF(RTD("tos.rtd",,"OPEN_INT","."&amp;$AA$3&amp;$AA$4&amp;"C"&amp;AW$4)="N/A",0,RTD("tos.rtd",,"OPEN_INT","."&amp;$AA$3&amp;$AA$4&amp;"C"&amp;AW$4))*100 + MAX(0, AW$4-$A30)*IF(RTD("tos.rtd",,"OPEN_INT","."&amp;$AA$3&amp;$AA$4&amp;"P"&amp;AW$4)="N/A",0,RTD("tos.rtd",,"OPEN_INT","."&amp;$AA$3&amp;$AA$4&amp;"P"&amp;AW$4))*100</f>
        <v>40400</v>
      </c>
      <c r="AX30" s="18">
        <f>MAX(0, $A30-AX$4)*IF(RTD("tos.rtd",,"OPEN_INT","."&amp;$AA$3&amp;$AA$4&amp;"C"&amp;AX$4)="N/A",0,RTD("tos.rtd",,"OPEN_INT","."&amp;$AA$3&amp;$AA$4&amp;"C"&amp;AX$4))*100 + MAX(0, AX$4-$A30)*IF(RTD("tos.rtd",,"OPEN_INT","."&amp;$AA$3&amp;$AA$4&amp;"P"&amp;AX$4)="N/A",0,RTD("tos.rtd",,"OPEN_INT","."&amp;$AA$3&amp;$AA$4&amp;"P"&amp;AX$4))*100</f>
        <v>37050</v>
      </c>
      <c r="AY30" s="18">
        <f>MAX(0, $A30-AY$4)*IF(RTD("tos.rtd",,"OPEN_INT","."&amp;$AA$3&amp;$AA$4&amp;"C"&amp;AY$4)="N/A",0,RTD("tos.rtd",,"OPEN_INT","."&amp;$AA$3&amp;$AA$4&amp;"C"&amp;AY$4))*100 + MAX(0, AY$4-$A30)*IF(RTD("tos.rtd",,"OPEN_INT","."&amp;$AA$3&amp;$AA$4&amp;"P"&amp;AY$4)="N/A",0,RTD("tos.rtd",,"OPEN_INT","."&amp;$AA$3&amp;$AA$4&amp;"P"&amp;AY$4))*100</f>
        <v>207400</v>
      </c>
      <c r="AZ30" s="18">
        <f>MAX(0, $A30-AZ$4)*IF(RTD("tos.rtd",,"OPEN_INT","."&amp;$AA$3&amp;$AA$4&amp;"C"&amp;AZ$4)="N/A",0,RTD("tos.rtd",,"OPEN_INT","."&amp;$AA$3&amp;$AA$4&amp;"C"&amp;AZ$4))*100 + MAX(0, AZ$4-$A30)*IF(RTD("tos.rtd",,"OPEN_INT","."&amp;$AA$3&amp;$AA$4&amp;"P"&amp;AZ$4)="N/A",0,RTD("tos.rtd",,"OPEN_INT","."&amp;$AA$3&amp;$AA$4&amp;"P"&amp;AZ$4))*100</f>
        <v>28400</v>
      </c>
      <c r="BA30" s="18">
        <f>MAX(0, $A30-BA$4)*IF(RTD("tos.rtd",,"OPEN_INT","."&amp;$AA$3&amp;$AA$4&amp;"C"&amp;BA$4)="N/A",0,RTD("tos.rtd",,"OPEN_INT","."&amp;$AA$3&amp;$AA$4&amp;"C"&amp;BA$4))*100 + MAX(0, BA$4-$A30)*IF(RTD("tos.rtd",,"OPEN_INT","."&amp;$AA$3&amp;$AA$4&amp;"P"&amp;BA$4)="N/A",0,RTD("tos.rtd",,"OPEN_INT","."&amp;$AA$3&amp;$AA$4&amp;"P"&amp;BA$4))*100</f>
        <v>0</v>
      </c>
      <c r="BB30" s="18">
        <f>MAX(0, $A30-BB$4)*IF(RTD("tos.rtd",,"OPEN_INT","."&amp;$AA$3&amp;$AA$4&amp;"C"&amp;BB$4)="N/A",0,RTD("tos.rtd",,"OPEN_INT","."&amp;$AA$3&amp;$AA$4&amp;"C"&amp;BB$4))*100 + MAX(0, BB$4-$A30)*IF(RTD("tos.rtd",,"OPEN_INT","."&amp;$AA$3&amp;$AA$4&amp;"P"&amp;BB$4)="N/A",0,RTD("tos.rtd",,"OPEN_INT","."&amp;$AA$3&amp;$AA$4&amp;"P"&amp;BB$4))*100</f>
        <v>1432900</v>
      </c>
      <c r="BC30" s="18">
        <f>MAX(0, $A30-BC$4)*IF(RTD("tos.rtd",,"OPEN_INT","."&amp;$AA$3&amp;$AA$4&amp;"C"&amp;BC$4)="N/A",0,RTD("tos.rtd",,"OPEN_INT","."&amp;$AA$3&amp;$AA$4&amp;"C"&amp;BC$4))*100 + MAX(0, BC$4-$A30)*IF(RTD("tos.rtd",,"OPEN_INT","."&amp;$AA$3&amp;$AA$4&amp;"P"&amp;BC$4)="N/A",0,RTD("tos.rtd",,"OPEN_INT","."&amp;$AA$3&amp;$AA$4&amp;"P"&amp;BC$4))*100</f>
        <v>4071300</v>
      </c>
      <c r="BD30" s="18">
        <f>MAX(0, $A30-BD$4)*IF(RTD("tos.rtd",,"OPEN_INT","."&amp;$AA$3&amp;$AA$4&amp;"C"&amp;BD$4)="N/A",0,RTD("tos.rtd",,"OPEN_INT","."&amp;$AA$3&amp;$AA$4&amp;"C"&amp;BD$4))*100 + MAX(0, BD$4-$A30)*IF(RTD("tos.rtd",,"OPEN_INT","."&amp;$AA$3&amp;$AA$4&amp;"P"&amp;BD$4)="N/A",0,RTD("tos.rtd",,"OPEN_INT","."&amp;$AA$3&amp;$AA$4&amp;"P"&amp;BD$4))*100</f>
        <v>2784000</v>
      </c>
      <c r="BE30" s="18">
        <f>MAX(0, $A30-BE$4)*IF(RTD("tos.rtd",,"OPEN_INT","."&amp;$AA$3&amp;$AA$4&amp;"C"&amp;BE$4)="N/A",0,RTD("tos.rtd",,"OPEN_INT","."&amp;$AA$3&amp;$AA$4&amp;"C"&amp;BE$4))*100 + MAX(0, BE$4-$A30)*IF(RTD("tos.rtd",,"OPEN_INT","."&amp;$AA$3&amp;$AA$4&amp;"P"&amp;BE$4)="N/A",0,RTD("tos.rtd",,"OPEN_INT","."&amp;$AA$3&amp;$AA$4&amp;"P"&amp;BE$4))*100</f>
        <v>3455600</v>
      </c>
      <c r="BF30" s="18">
        <f>MAX(0, $A30-BF$4)*IF(RTD("tos.rtd",,"OPEN_INT","."&amp;$AA$3&amp;$AA$4&amp;"C"&amp;BF$4)="N/A",0,RTD("tos.rtd",,"OPEN_INT","."&amp;$AA$3&amp;$AA$4&amp;"C"&amp;BF$4))*100 + MAX(0, BF$4-$A30)*IF(RTD("tos.rtd",,"OPEN_INT","."&amp;$AA$3&amp;$AA$4&amp;"P"&amp;BF$4)="N/A",0,RTD("tos.rtd",,"OPEN_INT","."&amp;$AA$3&amp;$AA$4&amp;"P"&amp;BF$4))*100</f>
        <v>2101750</v>
      </c>
      <c r="BG30" s="18">
        <f>MAX(0, $A30-BG$4)*IF(RTD("tos.rtd",,"OPEN_INT","."&amp;$AA$3&amp;$AA$4&amp;"C"&amp;BG$4)="N/A",0,RTD("tos.rtd",,"OPEN_INT","."&amp;$AA$3&amp;$AA$4&amp;"C"&amp;BG$4))*100 + MAX(0, BG$4-$A30)*IF(RTD("tos.rtd",,"OPEN_INT","."&amp;$AA$3&amp;$AA$4&amp;"P"&amp;BG$4)="N/A",0,RTD("tos.rtd",,"OPEN_INT","."&amp;$AA$3&amp;$AA$4&amp;"P"&amp;BG$4))*100</f>
        <v>1720200</v>
      </c>
      <c r="BH30" s="18">
        <f>MAX(0, $A30-BH$4)*IF(RTD("tos.rtd",,"OPEN_INT","."&amp;$AA$3&amp;$AA$4&amp;"C"&amp;BH$4)="N/A",0,RTD("tos.rtd",,"OPEN_INT","."&amp;$AA$3&amp;$AA$4&amp;"C"&amp;BH$4))*100 + MAX(0, BH$4-$A30)*IF(RTD("tos.rtd",,"OPEN_INT","."&amp;$AA$3&amp;$AA$4&amp;"P"&amp;BH$4)="N/A",0,RTD("tos.rtd",,"OPEN_INT","."&amp;$AA$3&amp;$AA$4&amp;"P"&amp;BH$4))*100</f>
        <v>680050</v>
      </c>
      <c r="BI30" s="18">
        <f>MAX(0, $A30-BI$4)*IF(RTD("tos.rtd",,"OPEN_INT","."&amp;$AA$3&amp;$AA$4&amp;"C"&amp;BI$4)="N/A",0,RTD("tos.rtd",,"OPEN_INT","."&amp;$AA$3&amp;$AA$4&amp;"C"&amp;BI$4))*100 + MAX(0, BI$4-$A30)*IF(RTD("tos.rtd",,"OPEN_INT","."&amp;$AA$3&amp;$AA$4&amp;"P"&amp;BI$4)="N/A",0,RTD("tos.rtd",,"OPEN_INT","."&amp;$AA$3&amp;$AA$4&amp;"P"&amp;BI$4))*100</f>
        <v>336800</v>
      </c>
      <c r="BJ30" s="18">
        <f>MAX(0, $A30-BJ$4)*IF(RTD("tos.rtd",,"OPEN_INT","."&amp;$AA$3&amp;$AA$4&amp;"C"&amp;BJ$4)="N/A",0,RTD("tos.rtd",,"OPEN_INT","."&amp;$AA$3&amp;$AA$4&amp;"C"&amp;BJ$4))*100 + MAX(0, BJ$4-$A30)*IF(RTD("tos.rtd",,"OPEN_INT","."&amp;$AA$3&amp;$AA$4&amp;"P"&amp;BJ$4)="N/A",0,RTD("tos.rtd",,"OPEN_INT","."&amp;$AA$3&amp;$AA$4&amp;"P"&amp;BJ$4))*100</f>
        <v>67950</v>
      </c>
      <c r="BK30" s="18">
        <f>MAX(0, $A30-BK$4)*IF(RTD("tos.rtd",,"OPEN_INT","."&amp;$AA$3&amp;$AA$4&amp;"C"&amp;BK$4)="N/A",0,RTD("tos.rtd",,"OPEN_INT","."&amp;$AA$3&amp;$AA$4&amp;"C"&amp;BK$4))*100 + MAX(0, BK$4-$A30)*IF(RTD("tos.rtd",,"OPEN_INT","."&amp;$AA$3&amp;$AA$4&amp;"P"&amp;BK$4)="N/A",0,RTD("tos.rtd",,"OPEN_INT","."&amp;$AA$3&amp;$AA$4&amp;"P"&amp;BK$4))*100</f>
        <v>130500</v>
      </c>
      <c r="BL30" s="18">
        <f>MAX(0, $A30-BL$4)*IF(RTD("tos.rtd",,"OPEN_INT","."&amp;$AA$3&amp;$AA$4&amp;"C"&amp;BL$4)="N/A",0,RTD("tos.rtd",,"OPEN_INT","."&amp;$AA$3&amp;$AA$4&amp;"C"&amp;BL$4))*100 + MAX(0, BL$4-$A30)*IF(RTD("tos.rtd",,"OPEN_INT","."&amp;$AA$3&amp;$AA$4&amp;"P"&amp;BL$4)="N/A",0,RTD("tos.rtd",,"OPEN_INT","."&amp;$AA$3&amp;$AA$4&amp;"P"&amp;BL$4))*100</f>
        <v>8800</v>
      </c>
      <c r="BM30" s="18">
        <f>MAX(0, $A30-BM$4)*IF(RTD("tos.rtd",,"OPEN_INT","."&amp;$AA$3&amp;$AA$4&amp;"C"&amp;BM$4)="N/A",0,RTD("tos.rtd",,"OPEN_INT","."&amp;$AA$3&amp;$AA$4&amp;"C"&amp;BM$4))*100 + MAX(0, BM$4-$A30)*IF(RTD("tos.rtd",,"OPEN_INT","."&amp;$AA$3&amp;$AA$4&amp;"P"&amp;BM$4)="N/A",0,RTD("tos.rtd",,"OPEN_INT","."&amp;$AA$3&amp;$AA$4&amp;"P"&amp;BM$4))*100</f>
        <v>4800</v>
      </c>
      <c r="BN30" s="18">
        <f>MAX(0, $A30-BN$4)*IF(RTD("tos.rtd",,"OPEN_INT","."&amp;$AA$3&amp;$AA$4&amp;"C"&amp;BN$4)="N/A",0,RTD("tos.rtd",,"OPEN_INT","."&amp;$AA$3&amp;$AA$4&amp;"C"&amp;BN$4))*100 + MAX(0, BN$4-$A30)*IF(RTD("tos.rtd",,"OPEN_INT","."&amp;$AA$3&amp;$AA$4&amp;"P"&amp;BN$4)="N/A",0,RTD("tos.rtd",,"OPEN_INT","."&amp;$AA$3&amp;$AA$4&amp;"P"&amp;BN$4))*100</f>
        <v>20150</v>
      </c>
      <c r="BO30" s="18">
        <f>MAX(0, $A30-BO$4)*IF(RTD("tos.rtd",,"OPEN_INT","."&amp;$AA$3&amp;$AA$4&amp;"C"&amp;BO$4)="N/A",0,RTD("tos.rtd",,"OPEN_INT","."&amp;$AA$3&amp;$AA$4&amp;"C"&amp;BO$4))*100 + MAX(0, BO$4-$A30)*IF(RTD("tos.rtd",,"OPEN_INT","."&amp;$AA$3&amp;$AA$4&amp;"P"&amp;BO$4)="N/A",0,RTD("tos.rtd",,"OPEN_INT","."&amp;$AA$3&amp;$AA$4&amp;"P"&amp;BO$4))*100</f>
        <v>26600</v>
      </c>
      <c r="BP30" s="18">
        <f>MAX(0, $A30-BP$4)*IF(RTD("tos.rtd",,"OPEN_INT","."&amp;$AA$3&amp;$AA$4&amp;"C"&amp;BP$4)="N/A",0,RTD("tos.rtd",,"OPEN_INT","."&amp;$AA$3&amp;$AA$4&amp;"C"&amp;BP$4))*100 + MAX(0, BP$4-$A30)*IF(RTD("tos.rtd",,"OPEN_INT","."&amp;$AA$3&amp;$AA$4&amp;"P"&amp;BP$4)="N/A",0,RTD("tos.rtd",,"OPEN_INT","."&amp;$AA$3&amp;$AA$4&amp;"P"&amp;BP$4))*100</f>
        <v>0</v>
      </c>
      <c r="BQ30" s="18">
        <f>MAX(0, $A30-BQ$4)*IF(RTD("tos.rtd",,"OPEN_INT","."&amp;$AA$3&amp;$AA$4&amp;"C"&amp;BQ$4)="N/A",0,RTD("tos.rtd",,"OPEN_INT","."&amp;$AA$3&amp;$AA$4&amp;"C"&amp;BQ$4))*100 + MAX(0, BQ$4-$A30)*IF(RTD("tos.rtd",,"OPEN_INT","."&amp;$AA$3&amp;$AA$4&amp;"P"&amp;BQ$4)="N/A",0,RTD("tos.rtd",,"OPEN_INT","."&amp;$AA$3&amp;$AA$4&amp;"P"&amp;BQ$4))*100</f>
        <v>0</v>
      </c>
      <c r="BR30" s="18">
        <f>MAX(0, $A30-BR$4)*IF(RTD("tos.rtd",,"OPEN_INT","."&amp;$AA$3&amp;$AA$4&amp;"C"&amp;BR$4)="N/A",0,RTD("tos.rtd",,"OPEN_INT","."&amp;$AA$3&amp;$AA$4&amp;"C"&amp;BR$4))*100 + MAX(0, BR$4-$A30)*IF(RTD("tos.rtd",,"OPEN_INT","."&amp;$AA$3&amp;$AA$4&amp;"P"&amp;BR$4)="N/A",0,RTD("tos.rtd",,"OPEN_INT","."&amp;$AA$3&amp;$AA$4&amp;"P"&amp;BR$4))*100</f>
        <v>0</v>
      </c>
      <c r="BS30" s="18">
        <f>MAX(0, $A30-BS$4)*IF(RTD("tos.rtd",,"OPEN_INT","."&amp;$AA$3&amp;$AA$4&amp;"C"&amp;BS$4)="N/A",0,RTD("tos.rtd",,"OPEN_INT","."&amp;$AA$3&amp;$AA$4&amp;"C"&amp;BS$4))*100 + MAX(0, BS$4-$A30)*IF(RTD("tos.rtd",,"OPEN_INT","."&amp;$AA$3&amp;$AA$4&amp;"P"&amp;BS$4)="N/A",0,RTD("tos.rtd",,"OPEN_INT","."&amp;$AA$3&amp;$AA$4&amp;"P"&amp;BS$4))*100</f>
        <v>0</v>
      </c>
      <c r="BT30" s="18">
        <f>MAX(0, $A30-BT$4)*IF(RTD("tos.rtd",,"OPEN_INT","."&amp;$AA$3&amp;$AA$4&amp;"C"&amp;BT$4)="N/A",0,RTD("tos.rtd",,"OPEN_INT","."&amp;$AA$3&amp;$AA$4&amp;"C"&amp;BT$4))*100 + MAX(0, BT$4-$A30)*IF(RTD("tos.rtd",,"OPEN_INT","."&amp;$AA$3&amp;$AA$4&amp;"P"&amp;BT$4)="N/A",0,RTD("tos.rtd",,"OPEN_INT","."&amp;$AA$3&amp;$AA$4&amp;"P"&amp;BT$4))*100</f>
        <v>0</v>
      </c>
      <c r="BU30" s="18">
        <f>MAX(0, $A30-BU$4)*IF(RTD("tos.rtd",,"OPEN_INT","."&amp;$AA$3&amp;$AA$4&amp;"C"&amp;BU$4)="N/A",0,RTD("tos.rtd",,"OPEN_INT","."&amp;$AA$3&amp;$AA$4&amp;"C"&amp;BU$4))*100 + MAX(0, BU$4-$A30)*IF(RTD("tos.rtd",,"OPEN_INT","."&amp;$AA$3&amp;$AA$4&amp;"P"&amp;BU$4)="N/A",0,RTD("tos.rtd",,"OPEN_INT","."&amp;$AA$3&amp;$AA$4&amp;"P"&amp;BU$4))*100</f>
        <v>0</v>
      </c>
      <c r="BV30" s="18">
        <f>MAX(0, $A30-BV$4)*IF(RTD("tos.rtd",,"OPEN_INT","."&amp;$AA$3&amp;$AA$4&amp;"C"&amp;BV$4)="N/A",0,RTD("tos.rtd",,"OPEN_INT","."&amp;$AA$3&amp;$AA$4&amp;"C"&amp;BV$4))*100 + MAX(0, BV$4-$A30)*IF(RTD("tos.rtd",,"OPEN_INT","."&amp;$AA$3&amp;$AA$4&amp;"P"&amp;BV$4)="N/A",0,RTD("tos.rtd",,"OPEN_INT","."&amp;$AA$3&amp;$AA$4&amp;"P"&amp;BV$4))*100</f>
        <v>0</v>
      </c>
    </row>
    <row r="31" spans="1:74" s="19" customFormat="1" ht="11.1" customHeight="1" thickBot="1" x14ac:dyDescent="0.3">
      <c r="A31" s="23">
        <f t="shared" si="11"/>
        <v>8.5</v>
      </c>
      <c r="B31" s="14">
        <f ca="1">IF($A$2="PREMIUM_OI",IFERROR(IF($X$1="ABS",(100*RTD("tos.rtd",,"OPEN_INT","."&amp;B$2&amp;B$1&amp;"C"&amp;$A31)*RTD("tos.rtd",,"LAST","."&amp;B$2&amp;B$1&amp;"C"&amp;$A31)+100*RTD("tos.rtd",,"OPEN_INT","."&amp;B$2&amp;B$1&amp;"P"&amp;$A31)*RTD("tos.rtd",,"LAST","."&amp;B$2&amp;B$1&amp;"P"&amp;$A31))/1000000,(100*RTD("tos.rtd",,"OPEN_INT","."&amp;B$2&amp;B$1&amp;"C"&amp;$A31)*RTD("tos.rtd",,"LAST","."&amp;B$2&amp;B$1&amp;"C"&amp;$A31)-100*RTD("tos.rtd",,"OPEN_INT","."&amp;B$2&amp;B$1&amp;"P"&amp;$A31)*RTD("tos.rtd",,"LAST","."&amp;B$2&amp;B$1&amp;"P"&amp;$A31))/1000000),0),IF($A$2="PREMIUM",IFERROR(IF($X$1="ABS",(100*RTD("tos.rtd",,"VOLUME","."&amp;B$2&amp;B$1&amp;"C"&amp;$A31)*RTD("tos.rtd",,"LAST","."&amp;B$2&amp;B$1&amp;"C"&amp;$A31)+100*RTD("tos.rtd",,"VOLUME","."&amp;B$2&amp;B$1&amp;"P"&amp;$A31)*RTD("tos.rtd",,"LAST","."&amp;B$2&amp;B$1&amp;"P"&amp;$A31))/1000000,(100*RTD("tos.rtd",,"VOLUME","."&amp;B$2&amp;B$1&amp;"C"&amp;$A31)*RTD("tos.rtd",,"LAST","."&amp;B$2&amp;B$1&amp;"C"&amp;$A31)-100*RTD("tos.rtd",,"VOLUME","."&amp;B$2&amp;B$1&amp;"P"&amp;$A31)*RTD("tos.rtd",,"LAST","."&amp;B$2&amp;B$1&amp;"P"&amp;$A31))/1000000),0),IF($A$2="DEX",IFERROR(IF($X$1="ABS",(100*RTD("tos.rtd",,"OPEN_INT","."&amp;B$2&amp;B$1&amp;"C"&amp;$A31)*RTD("tos.rtd",,"DELTA","."&amp;B$2&amp;B$1&amp;"C"&amp;$A31)+100*RTD("tos.rtd",,"OPEN_INT","."&amp;B$2&amp;B$1&amp;"P"&amp;$A31)*RTD("tos.rtd",,"DELTA","."&amp;B$2&amp;B$1&amp;"P"&amp;$A31))/1000,(100*RTD("tos.rtd",,"OPEN_INT","."&amp;B$2&amp;B$1&amp;"C"&amp;$A31)*RTD("tos.rtd",,"DELTA","."&amp;B$2&amp;B$1&amp;"C"&amp;$A31)-100*RTD("tos.rtd",,"OPEN_INT","."&amp;B$2&amp;B$1&amp;"P"&amp;$A31)*RTD("tos.rtd",,"DELTA","."&amp;B$2&amp;B$1&amp;"P"&amp;$A31))/1000),0),IF($A$2="VEX",IFERROR(IF($X$1="ABS",($A$4*$A$4*RTD("tos.rtd",,"VOLUME","."&amp;B$2&amp;B$1&amp;"C"&amp;$A31)*RTD("tos.rtd",,"GAMMA","."&amp;B$2&amp;B$1&amp;"C"&amp;$A31)+$A$4*$A$4*RTD("tos.rtd",,"VOLUME","."&amp;B$2&amp;B$1&amp;"P"&amp;$A31)*RTD("tos.rtd",,"GAMMA","."&amp;B$2&amp;B$1&amp;"P"&amp;$A31))/1000000,($A$4*$A$4*RTD("tos.rtd",,"VOLUME","."&amp;B$2&amp;B$1&amp;"C"&amp;$A31)*RTD("tos.rtd",,"GAMMA","."&amp;B$2&amp;B$1&amp;"C"&amp;$A31)-$A$4*$A$4*RTD("tos.rtd",,"VOLUME","."&amp;B$2&amp;B$1&amp;"P"&amp;$A31)*RTD("tos.rtd",,"GAMMA","."&amp;B$2&amp;B$1&amp;"P"&amp;$A31))/1000000),0),IF($A$2="GEX",IFERROR(IF($X$1="ABS",($A$4*$A$4*RTD("tos.rtd",,"OPEN_INT","."&amp;B$2&amp;B$1&amp;"C"&amp;$A31)*RTD("tos.rtd",,"GAMMA","."&amp;B$2&amp;B$1&amp;"C"&amp;$A31)+$A$4*$A$4*RTD("tos.rtd",,"OPEN_INT","."&amp;B$2&amp;B$1&amp;"P"&amp;$A31)*RTD("tos.rtd",,"GAMMA","."&amp;B$2&amp;B$1&amp;"P"&amp;$A31))/1000000,($A$4*$A$4*RTD("tos.rtd",,"OPEN_INT","."&amp;B$2&amp;B$1&amp;"C"&amp;$A31)*RTD("tos.rtd",,"GAMMA","."&amp;B$2&amp;B$1&amp;"C"&amp;$A31)-$A$4*$A$4*RTD("tos.rtd",,"OPEN_INT","."&amp;B$2&amp;B$1&amp;"P"&amp;$A31)*RTD("tos.rtd",,"GAMMA","."&amp;B$2&amp;B$1&amp;"P"&amp;$A31))/1000000),0),IF($A$2="SKEW",IFERROR(VALUE(IF(RTD("tos.rtd",,"IMPL_VOL","."&amp;B$2&amp;B$1&amp;"P"&amp;$A31)="N/A",0,RTD("tos.rtd",,"IMPL_VOL","."&amp;B$2&amp;B$1&amp;"P"&amp;$A31))),0)-IFERROR(VALUE(IF(RTD("tos.rtd",,"IMPL_VOL","."&amp;B$2&amp;B$1&amp;"C"&amp;$A31)="N/A",0,RTD("tos.rtd",,"IMPL_VOL","."&amp;B$2&amp;B$1&amp;"C"&amp;$A31))),0),IF($A$2="MAXPAIN",IF($A$4&gt;$A31,($A$4-$A31)*IF(RTD("tos.rtd",,"OPEN_INT","."&amp;B$2&amp;B$1&amp;"C"&amp;$A31)="N/A",0,RTD("tos.rtd",,"OPEN_INT","."&amp;B$2&amp;B$1&amp;"C"&amp;$A31)),0)+IF($A$4&lt;$A31,($A$5-$A$4)*IF(RTD("tos.rtd",,"OPEN_INT","."&amp;B$2&amp;B$1&amp;"P"&amp;$A31)="N/A",0,RTD("tos.rtd",,"OPEN_INT","."&amp;B$2&amp;B$1&amp;"P"&amp;$A31)),0),IF($X$1="ABS",IF(RTD("tos.rtd",,$A$2,"."&amp;B$2&amp;B$1&amp;"C"&amp;$A31)="N/A",0,RTD("tos.rtd",,$A$2,"."&amp;B$2&amp;B$1&amp;"C"&amp;$A31))+IF(RTD("tos.rtd",,$A$2,"."&amp;B$2&amp;B$1&amp;"P"&amp;$A31)="N/A",0,RTD("tos.rtd",,$A$2,"."&amp;B$2&amp;B$1&amp;"P"&amp;$A31)),IF(RTD("tos.rtd",,$A$2,"."&amp;B$2&amp;B$1&amp;"C"&amp;$A31)="N/A",0,RTD("tos.rtd",,$A$2,"."&amp;B$2&amp;B$1&amp;"C"&amp;$A31))-IF(RTD("tos.rtd",,$A$2,"."&amp;B$2&amp;B$1&amp;"P"&amp;$A31)="N/A",0,RTD("tos.rtd",,$A$2,"."&amp;B$2&amp;B$1&amp;"P"&amp;$A31))))))))))</f>
        <v>0</v>
      </c>
      <c r="C31" s="12">
        <f ca="1">IF($A$2="PREMIUM_OI",IFERROR(IF($X$1="ABS",(100*RTD("tos.rtd",,"OPEN_INT","."&amp;C$2&amp;C$1&amp;"C"&amp;$A31)*RTD("tos.rtd",,"LAST","."&amp;C$2&amp;C$1&amp;"C"&amp;$A31)+100*RTD("tos.rtd",,"OPEN_INT","."&amp;C$2&amp;C$1&amp;"P"&amp;$A31)*RTD("tos.rtd",,"LAST","."&amp;C$2&amp;C$1&amp;"P"&amp;$A31))/1000000,(100*RTD("tos.rtd",,"OPEN_INT","."&amp;C$2&amp;C$1&amp;"C"&amp;$A31)*RTD("tos.rtd",,"LAST","."&amp;C$2&amp;C$1&amp;"C"&amp;$A31)-100*RTD("tos.rtd",,"OPEN_INT","."&amp;C$2&amp;C$1&amp;"P"&amp;$A31)*RTD("tos.rtd",,"LAST","."&amp;C$2&amp;C$1&amp;"P"&amp;$A31))/1000000),0),IF($A$2="PREMIUM",IFERROR(IF($X$1="ABS",(100*RTD("tos.rtd",,"VOLUME","."&amp;C$2&amp;C$1&amp;"C"&amp;$A31)*RTD("tos.rtd",,"LAST","."&amp;C$2&amp;C$1&amp;"C"&amp;$A31)+100*RTD("tos.rtd",,"VOLUME","."&amp;C$2&amp;C$1&amp;"P"&amp;$A31)*RTD("tos.rtd",,"LAST","."&amp;C$2&amp;C$1&amp;"P"&amp;$A31))/1000000,(100*RTD("tos.rtd",,"VOLUME","."&amp;C$2&amp;C$1&amp;"C"&amp;$A31)*RTD("tos.rtd",,"LAST","."&amp;C$2&amp;C$1&amp;"C"&amp;$A31)-100*RTD("tos.rtd",,"VOLUME","."&amp;C$2&amp;C$1&amp;"P"&amp;$A31)*RTD("tos.rtd",,"LAST","."&amp;C$2&amp;C$1&amp;"P"&amp;$A31))/1000000),0),IF($A$2="DEX",IFERROR(IF($X$1="ABS",(100*RTD("tos.rtd",,"OPEN_INT","."&amp;C$2&amp;C$1&amp;"C"&amp;$A31)*RTD("tos.rtd",,"DELTA","."&amp;C$2&amp;C$1&amp;"C"&amp;$A31)+100*RTD("tos.rtd",,"OPEN_INT","."&amp;C$2&amp;C$1&amp;"P"&amp;$A31)*RTD("tos.rtd",,"DELTA","."&amp;C$2&amp;C$1&amp;"P"&amp;$A31))/1000,(100*RTD("tos.rtd",,"OPEN_INT","."&amp;C$2&amp;C$1&amp;"C"&amp;$A31)*RTD("tos.rtd",,"DELTA","."&amp;C$2&amp;C$1&amp;"C"&amp;$A31)-100*RTD("tos.rtd",,"OPEN_INT","."&amp;C$2&amp;C$1&amp;"P"&amp;$A31)*RTD("tos.rtd",,"DELTA","."&amp;C$2&amp;C$1&amp;"P"&amp;$A31))/1000),0),IF($A$2="VEX",IFERROR(IF($X$1="ABS",($A$4*$A$4*RTD("tos.rtd",,"VOLUME","."&amp;C$2&amp;C$1&amp;"C"&amp;$A31)*RTD("tos.rtd",,"GAMMA","."&amp;C$2&amp;C$1&amp;"C"&amp;$A31)+$A$4*$A$4*RTD("tos.rtd",,"VOLUME","."&amp;C$2&amp;C$1&amp;"P"&amp;$A31)*RTD("tos.rtd",,"GAMMA","."&amp;C$2&amp;C$1&amp;"P"&amp;$A31))/1000000,($A$4*$A$4*RTD("tos.rtd",,"VOLUME","."&amp;C$2&amp;C$1&amp;"C"&amp;$A31)*RTD("tos.rtd",,"GAMMA","."&amp;C$2&amp;C$1&amp;"C"&amp;$A31)-$A$4*$A$4*RTD("tos.rtd",,"VOLUME","."&amp;C$2&amp;C$1&amp;"P"&amp;$A31)*RTD("tos.rtd",,"GAMMA","."&amp;C$2&amp;C$1&amp;"P"&amp;$A31))/1000000),0),IF($A$2="GEX",IFERROR(IF($X$1="ABS",($A$4*$A$4*RTD("tos.rtd",,"OPEN_INT","."&amp;C$2&amp;C$1&amp;"C"&amp;$A31)*RTD("tos.rtd",,"GAMMA","."&amp;C$2&amp;C$1&amp;"C"&amp;$A31)+$A$4*$A$4*RTD("tos.rtd",,"OPEN_INT","."&amp;C$2&amp;C$1&amp;"P"&amp;$A31)*RTD("tos.rtd",,"GAMMA","."&amp;C$2&amp;C$1&amp;"P"&amp;$A31))/1000000,($A$4*$A$4*RTD("tos.rtd",,"OPEN_INT","."&amp;C$2&amp;C$1&amp;"C"&amp;$A31)*RTD("tos.rtd",,"GAMMA","."&amp;C$2&amp;C$1&amp;"C"&amp;$A31)-$A$4*$A$4*RTD("tos.rtd",,"OPEN_INT","."&amp;C$2&amp;C$1&amp;"P"&amp;$A31)*RTD("tos.rtd",,"GAMMA","."&amp;C$2&amp;C$1&amp;"P"&amp;$A31))/1000000),0),IF($A$2="SKEW",IFERROR(VALUE(IF(RTD("tos.rtd",,"IMPL_VOL","."&amp;C$2&amp;C$1&amp;"P"&amp;$A31)="N/A",0,RTD("tos.rtd",,"IMPL_VOL","."&amp;C$2&amp;C$1&amp;"P"&amp;$A31))),0)-IFERROR(VALUE(IF(RTD("tos.rtd",,"IMPL_VOL","."&amp;C$2&amp;C$1&amp;"C"&amp;$A31)="N/A",0,RTD("tos.rtd",,"IMPL_VOL","."&amp;C$2&amp;C$1&amp;"C"&amp;$A31))),0),IF($A$2="MAXPAIN",IF($A$4&gt;$A31,($A$4-$A31)*IF(RTD("tos.rtd",,"OPEN_INT","."&amp;C$2&amp;C$1&amp;"C"&amp;$A31)="N/A",0,RTD("tos.rtd",,"OPEN_INT","."&amp;C$2&amp;C$1&amp;"C"&amp;$A31)),0)+IF($A$4&lt;$A31,($A$5-$A$4)*IF(RTD("tos.rtd",,"OPEN_INT","."&amp;C$2&amp;C$1&amp;"P"&amp;$A31)="N/A",0,RTD("tos.rtd",,"OPEN_INT","."&amp;C$2&amp;C$1&amp;"P"&amp;$A31)),0),IF($X$1="ABS",IF(RTD("tos.rtd",,$A$2,"."&amp;C$2&amp;C$1&amp;"C"&amp;$A31)="N/A",0,RTD("tos.rtd",,$A$2,"."&amp;C$2&amp;C$1&amp;"C"&amp;$A31))+IF(RTD("tos.rtd",,$A$2,"."&amp;C$2&amp;C$1&amp;"P"&amp;$A31)="N/A",0,RTD("tos.rtd",,$A$2,"."&amp;C$2&amp;C$1&amp;"P"&amp;$A31)),IF(RTD("tos.rtd",,$A$2,"."&amp;C$2&amp;C$1&amp;"C"&amp;$A31)="N/A",0,RTD("tos.rtd",,$A$2,"."&amp;C$2&amp;C$1&amp;"C"&amp;$A31))-IF(RTD("tos.rtd",,$A$2,"."&amp;C$2&amp;C$1&amp;"P"&amp;$A31)="N/A",0,RTD("tos.rtd",,$A$2,"."&amp;C$2&amp;C$1&amp;"P"&amp;$A31))))))))))</f>
        <v>26374</v>
      </c>
      <c r="D31" s="12">
        <f ca="1">IF($A$2="PREMIUM_OI",IFERROR(IF($X$1="ABS",(100*RTD("tos.rtd",,"OPEN_INT","."&amp;D$2&amp;D$1&amp;"C"&amp;$A31)*RTD("tos.rtd",,"LAST","."&amp;D$2&amp;D$1&amp;"C"&amp;$A31)+100*RTD("tos.rtd",,"OPEN_INT","."&amp;D$2&amp;D$1&amp;"P"&amp;$A31)*RTD("tos.rtd",,"LAST","."&amp;D$2&amp;D$1&amp;"P"&amp;$A31))/1000000,(100*RTD("tos.rtd",,"OPEN_INT","."&amp;D$2&amp;D$1&amp;"C"&amp;$A31)*RTD("tos.rtd",,"LAST","."&amp;D$2&amp;D$1&amp;"C"&amp;$A31)-100*RTD("tos.rtd",,"OPEN_INT","."&amp;D$2&amp;D$1&amp;"P"&amp;$A31)*RTD("tos.rtd",,"LAST","."&amp;D$2&amp;D$1&amp;"P"&amp;$A31))/1000000),0),IF($A$2="PREMIUM",IFERROR(IF($X$1="ABS",(100*RTD("tos.rtd",,"VOLUME","."&amp;D$2&amp;D$1&amp;"C"&amp;$A31)*RTD("tos.rtd",,"LAST","."&amp;D$2&amp;D$1&amp;"C"&amp;$A31)+100*RTD("tos.rtd",,"VOLUME","."&amp;D$2&amp;D$1&amp;"P"&amp;$A31)*RTD("tos.rtd",,"LAST","."&amp;D$2&amp;D$1&amp;"P"&amp;$A31))/1000000,(100*RTD("tos.rtd",,"VOLUME","."&amp;D$2&amp;D$1&amp;"C"&amp;$A31)*RTD("tos.rtd",,"LAST","."&amp;D$2&amp;D$1&amp;"C"&amp;$A31)-100*RTD("tos.rtd",,"VOLUME","."&amp;D$2&amp;D$1&amp;"P"&amp;$A31)*RTD("tos.rtd",,"LAST","."&amp;D$2&amp;D$1&amp;"P"&amp;$A31))/1000000),0),IF($A$2="DEX",IFERROR(IF($X$1="ABS",(100*RTD("tos.rtd",,"OPEN_INT","."&amp;D$2&amp;D$1&amp;"C"&amp;$A31)*RTD("tos.rtd",,"DELTA","."&amp;D$2&amp;D$1&amp;"C"&amp;$A31)+100*RTD("tos.rtd",,"OPEN_INT","."&amp;D$2&amp;D$1&amp;"P"&amp;$A31)*RTD("tos.rtd",,"DELTA","."&amp;D$2&amp;D$1&amp;"P"&amp;$A31))/1000,(100*RTD("tos.rtd",,"OPEN_INT","."&amp;D$2&amp;D$1&amp;"C"&amp;$A31)*RTD("tos.rtd",,"DELTA","."&amp;D$2&amp;D$1&amp;"C"&amp;$A31)-100*RTD("tos.rtd",,"OPEN_INT","."&amp;D$2&amp;D$1&amp;"P"&amp;$A31)*RTD("tos.rtd",,"DELTA","."&amp;D$2&amp;D$1&amp;"P"&amp;$A31))/1000),0),IF($A$2="VEX",IFERROR(IF($X$1="ABS",($A$4*$A$4*RTD("tos.rtd",,"VOLUME","."&amp;D$2&amp;D$1&amp;"C"&amp;$A31)*RTD("tos.rtd",,"GAMMA","."&amp;D$2&amp;D$1&amp;"C"&amp;$A31)+$A$4*$A$4*RTD("tos.rtd",,"VOLUME","."&amp;D$2&amp;D$1&amp;"P"&amp;$A31)*RTD("tos.rtd",,"GAMMA","."&amp;D$2&amp;D$1&amp;"P"&amp;$A31))/1000000,($A$4*$A$4*RTD("tos.rtd",,"VOLUME","."&amp;D$2&amp;D$1&amp;"C"&amp;$A31)*RTD("tos.rtd",,"GAMMA","."&amp;D$2&amp;D$1&amp;"C"&amp;$A31)-$A$4*$A$4*RTD("tos.rtd",,"VOLUME","."&amp;D$2&amp;D$1&amp;"P"&amp;$A31)*RTD("tos.rtd",,"GAMMA","."&amp;D$2&amp;D$1&amp;"P"&amp;$A31))/1000000),0),IF($A$2="GEX",IFERROR(IF($X$1="ABS",($A$4*$A$4*RTD("tos.rtd",,"OPEN_INT","."&amp;D$2&amp;D$1&amp;"C"&amp;$A31)*RTD("tos.rtd",,"GAMMA","."&amp;D$2&amp;D$1&amp;"C"&amp;$A31)+$A$4*$A$4*RTD("tos.rtd",,"OPEN_INT","."&amp;D$2&amp;D$1&amp;"P"&amp;$A31)*RTD("tos.rtd",,"GAMMA","."&amp;D$2&amp;D$1&amp;"P"&amp;$A31))/1000000,($A$4*$A$4*RTD("tos.rtd",,"OPEN_INT","."&amp;D$2&amp;D$1&amp;"C"&amp;$A31)*RTD("tos.rtd",,"GAMMA","."&amp;D$2&amp;D$1&amp;"C"&amp;$A31)-$A$4*$A$4*RTD("tos.rtd",,"OPEN_INT","."&amp;D$2&amp;D$1&amp;"P"&amp;$A31)*RTD("tos.rtd",,"GAMMA","."&amp;D$2&amp;D$1&amp;"P"&amp;$A31))/1000000),0),IF($A$2="SKEW",IFERROR(VALUE(IF(RTD("tos.rtd",,"IMPL_VOL","."&amp;D$2&amp;D$1&amp;"P"&amp;$A31)="N/A",0,RTD("tos.rtd",,"IMPL_VOL","."&amp;D$2&amp;D$1&amp;"P"&amp;$A31))),0)-IFERROR(VALUE(IF(RTD("tos.rtd",,"IMPL_VOL","."&amp;D$2&amp;D$1&amp;"C"&amp;$A31)="N/A",0,RTD("tos.rtd",,"IMPL_VOL","."&amp;D$2&amp;D$1&amp;"C"&amp;$A31))),0),IF($A$2="MAXPAIN",IF($A$4&gt;$A31,($A$4-$A31)*IF(RTD("tos.rtd",,"OPEN_INT","."&amp;D$2&amp;D$1&amp;"C"&amp;$A31)="N/A",0,RTD("tos.rtd",,"OPEN_INT","."&amp;D$2&amp;D$1&amp;"C"&amp;$A31)),0)+IF($A$4&lt;$A31,($A$5-$A$4)*IF(RTD("tos.rtd",,"OPEN_INT","."&amp;D$2&amp;D$1&amp;"P"&amp;$A31)="N/A",0,RTD("tos.rtd",,"OPEN_INT","."&amp;D$2&amp;D$1&amp;"P"&amp;$A31)),0),IF($X$1="ABS",IF(RTD("tos.rtd",,$A$2,"."&amp;D$2&amp;D$1&amp;"C"&amp;$A31)="N/A",0,RTD("tos.rtd",,$A$2,"."&amp;D$2&amp;D$1&amp;"C"&amp;$A31))+IF(RTD("tos.rtd",,$A$2,"."&amp;D$2&amp;D$1&amp;"P"&amp;$A31)="N/A",0,RTD("tos.rtd",,$A$2,"."&amp;D$2&amp;D$1&amp;"P"&amp;$A31)),IF(RTD("tos.rtd",,$A$2,"."&amp;D$2&amp;D$1&amp;"C"&amp;$A31)="N/A",0,RTD("tos.rtd",,$A$2,"."&amp;D$2&amp;D$1&amp;"C"&amp;$A31))-IF(RTD("tos.rtd",,$A$2,"."&amp;D$2&amp;D$1&amp;"P"&amp;$A31)="N/A",0,RTD("tos.rtd",,$A$2,"."&amp;D$2&amp;D$1&amp;"P"&amp;$A31))))))))))</f>
        <v>7085</v>
      </c>
      <c r="E31" s="12">
        <f ca="1">IF($A$2="PREMIUM_OI",IFERROR(IF($X$1="ABS",(100*RTD("tos.rtd",,"OPEN_INT","."&amp;E$2&amp;E$1&amp;"C"&amp;$A31)*RTD("tos.rtd",,"LAST","."&amp;E$2&amp;E$1&amp;"C"&amp;$A31)+100*RTD("tos.rtd",,"OPEN_INT","."&amp;E$2&amp;E$1&amp;"P"&amp;$A31)*RTD("tos.rtd",,"LAST","."&amp;E$2&amp;E$1&amp;"P"&amp;$A31))/1000000,(100*RTD("tos.rtd",,"OPEN_INT","."&amp;E$2&amp;E$1&amp;"C"&amp;$A31)*RTD("tos.rtd",,"LAST","."&amp;E$2&amp;E$1&amp;"C"&amp;$A31)-100*RTD("tos.rtd",,"OPEN_INT","."&amp;E$2&amp;E$1&amp;"P"&amp;$A31)*RTD("tos.rtd",,"LAST","."&amp;E$2&amp;E$1&amp;"P"&amp;$A31))/1000000),0),IF($A$2="PREMIUM",IFERROR(IF($X$1="ABS",(100*RTD("tos.rtd",,"VOLUME","."&amp;E$2&amp;E$1&amp;"C"&amp;$A31)*RTD("tos.rtd",,"LAST","."&amp;E$2&amp;E$1&amp;"C"&amp;$A31)+100*RTD("tos.rtd",,"VOLUME","."&amp;E$2&amp;E$1&amp;"P"&amp;$A31)*RTD("tos.rtd",,"LAST","."&amp;E$2&amp;E$1&amp;"P"&amp;$A31))/1000000,(100*RTD("tos.rtd",,"VOLUME","."&amp;E$2&amp;E$1&amp;"C"&amp;$A31)*RTD("tos.rtd",,"LAST","."&amp;E$2&amp;E$1&amp;"C"&amp;$A31)-100*RTD("tos.rtd",,"VOLUME","."&amp;E$2&amp;E$1&amp;"P"&amp;$A31)*RTD("tos.rtd",,"LAST","."&amp;E$2&amp;E$1&amp;"P"&amp;$A31))/1000000),0),IF($A$2="DEX",IFERROR(IF($X$1="ABS",(100*RTD("tos.rtd",,"OPEN_INT","."&amp;E$2&amp;E$1&amp;"C"&amp;$A31)*RTD("tos.rtd",,"DELTA","."&amp;E$2&amp;E$1&amp;"C"&amp;$A31)+100*RTD("tos.rtd",,"OPEN_INT","."&amp;E$2&amp;E$1&amp;"P"&amp;$A31)*RTD("tos.rtd",,"DELTA","."&amp;E$2&amp;E$1&amp;"P"&amp;$A31))/1000,(100*RTD("tos.rtd",,"OPEN_INT","."&amp;E$2&amp;E$1&amp;"C"&amp;$A31)*RTD("tos.rtd",,"DELTA","."&amp;E$2&amp;E$1&amp;"C"&amp;$A31)-100*RTD("tos.rtd",,"OPEN_INT","."&amp;E$2&amp;E$1&amp;"P"&amp;$A31)*RTD("tos.rtd",,"DELTA","."&amp;E$2&amp;E$1&amp;"P"&amp;$A31))/1000),0),IF($A$2="VEX",IFERROR(IF($X$1="ABS",($A$4*$A$4*RTD("tos.rtd",,"VOLUME","."&amp;E$2&amp;E$1&amp;"C"&amp;$A31)*RTD("tos.rtd",,"GAMMA","."&amp;E$2&amp;E$1&amp;"C"&amp;$A31)+$A$4*$A$4*RTD("tos.rtd",,"VOLUME","."&amp;E$2&amp;E$1&amp;"P"&amp;$A31)*RTD("tos.rtd",,"GAMMA","."&amp;E$2&amp;E$1&amp;"P"&amp;$A31))/1000000,($A$4*$A$4*RTD("tos.rtd",,"VOLUME","."&amp;E$2&amp;E$1&amp;"C"&amp;$A31)*RTD("tos.rtd",,"GAMMA","."&amp;E$2&amp;E$1&amp;"C"&amp;$A31)-$A$4*$A$4*RTD("tos.rtd",,"VOLUME","."&amp;E$2&amp;E$1&amp;"P"&amp;$A31)*RTD("tos.rtd",,"GAMMA","."&amp;E$2&amp;E$1&amp;"P"&amp;$A31))/1000000),0),IF($A$2="GEX",IFERROR(IF($X$1="ABS",($A$4*$A$4*RTD("tos.rtd",,"OPEN_INT","."&amp;E$2&amp;E$1&amp;"C"&amp;$A31)*RTD("tos.rtd",,"GAMMA","."&amp;E$2&amp;E$1&amp;"C"&amp;$A31)+$A$4*$A$4*RTD("tos.rtd",,"OPEN_INT","."&amp;E$2&amp;E$1&amp;"P"&amp;$A31)*RTD("tos.rtd",,"GAMMA","."&amp;E$2&amp;E$1&amp;"P"&amp;$A31))/1000000,($A$4*$A$4*RTD("tos.rtd",,"OPEN_INT","."&amp;E$2&amp;E$1&amp;"C"&amp;$A31)*RTD("tos.rtd",,"GAMMA","."&amp;E$2&amp;E$1&amp;"C"&amp;$A31)-$A$4*$A$4*RTD("tos.rtd",,"OPEN_INT","."&amp;E$2&amp;E$1&amp;"P"&amp;$A31)*RTD("tos.rtd",,"GAMMA","."&amp;E$2&amp;E$1&amp;"P"&amp;$A31))/1000000),0),IF($A$2="SKEW",IFERROR(VALUE(IF(RTD("tos.rtd",,"IMPL_VOL","."&amp;E$2&amp;E$1&amp;"P"&amp;$A31)="N/A",0,RTD("tos.rtd",,"IMPL_VOL","."&amp;E$2&amp;E$1&amp;"P"&amp;$A31))),0)-IFERROR(VALUE(IF(RTD("tos.rtd",,"IMPL_VOL","."&amp;E$2&amp;E$1&amp;"C"&amp;$A31)="N/A",0,RTD("tos.rtd",,"IMPL_VOL","."&amp;E$2&amp;E$1&amp;"C"&amp;$A31))),0),IF($A$2="MAXPAIN",IF($A$4&gt;$A31,($A$4-$A31)*IF(RTD("tos.rtd",,"OPEN_INT","."&amp;E$2&amp;E$1&amp;"C"&amp;$A31)="N/A",0,RTD("tos.rtd",,"OPEN_INT","."&amp;E$2&amp;E$1&amp;"C"&amp;$A31)),0)+IF($A$4&lt;$A31,($A$5-$A$4)*IF(RTD("tos.rtd",,"OPEN_INT","."&amp;E$2&amp;E$1&amp;"P"&amp;$A31)="N/A",0,RTD("tos.rtd",,"OPEN_INT","."&amp;E$2&amp;E$1&amp;"P"&amp;$A31)),0),IF($X$1="ABS",IF(RTD("tos.rtd",,$A$2,"."&amp;E$2&amp;E$1&amp;"C"&amp;$A31)="N/A",0,RTD("tos.rtd",,$A$2,"."&amp;E$2&amp;E$1&amp;"C"&amp;$A31))+IF(RTD("tos.rtd",,$A$2,"."&amp;E$2&amp;E$1&amp;"P"&amp;$A31)="N/A",0,RTD("tos.rtd",,$A$2,"."&amp;E$2&amp;E$1&amp;"P"&amp;$A31)),IF(RTD("tos.rtd",,$A$2,"."&amp;E$2&amp;E$1&amp;"C"&amp;$A31)="N/A",0,RTD("tos.rtd",,$A$2,"."&amp;E$2&amp;E$1&amp;"C"&amp;$A31))-IF(RTD("tos.rtd",,$A$2,"."&amp;E$2&amp;E$1&amp;"P"&amp;$A31)="N/A",0,RTD("tos.rtd",,$A$2,"."&amp;E$2&amp;E$1&amp;"P"&amp;$A31))))))))))</f>
        <v>3685</v>
      </c>
      <c r="F31" s="12">
        <f ca="1">IF($A$2="PREMIUM_OI",IFERROR(IF($X$1="ABS",(100*RTD("tos.rtd",,"OPEN_INT","."&amp;F$2&amp;F$1&amp;"C"&amp;$A31)*RTD("tos.rtd",,"LAST","."&amp;F$2&amp;F$1&amp;"C"&amp;$A31)+100*RTD("tos.rtd",,"OPEN_INT","."&amp;F$2&amp;F$1&amp;"P"&amp;$A31)*RTD("tos.rtd",,"LAST","."&amp;F$2&amp;F$1&amp;"P"&amp;$A31))/1000000,(100*RTD("tos.rtd",,"OPEN_INT","."&amp;F$2&amp;F$1&amp;"C"&amp;$A31)*RTD("tos.rtd",,"LAST","."&amp;F$2&amp;F$1&amp;"C"&amp;$A31)-100*RTD("tos.rtd",,"OPEN_INT","."&amp;F$2&amp;F$1&amp;"P"&amp;$A31)*RTD("tos.rtd",,"LAST","."&amp;F$2&amp;F$1&amp;"P"&amp;$A31))/1000000),0),IF($A$2="PREMIUM",IFERROR(IF($X$1="ABS",(100*RTD("tos.rtd",,"VOLUME","."&amp;F$2&amp;F$1&amp;"C"&amp;$A31)*RTD("tos.rtd",,"LAST","."&amp;F$2&amp;F$1&amp;"C"&amp;$A31)+100*RTD("tos.rtd",,"VOLUME","."&amp;F$2&amp;F$1&amp;"P"&amp;$A31)*RTD("tos.rtd",,"LAST","."&amp;F$2&amp;F$1&amp;"P"&amp;$A31))/1000000,(100*RTD("tos.rtd",,"VOLUME","."&amp;F$2&amp;F$1&amp;"C"&amp;$A31)*RTD("tos.rtd",,"LAST","."&amp;F$2&amp;F$1&amp;"C"&amp;$A31)-100*RTD("tos.rtd",,"VOLUME","."&amp;F$2&amp;F$1&amp;"P"&amp;$A31)*RTD("tos.rtd",,"LAST","."&amp;F$2&amp;F$1&amp;"P"&amp;$A31))/1000000),0),IF($A$2="DEX",IFERROR(IF($X$1="ABS",(100*RTD("tos.rtd",,"OPEN_INT","."&amp;F$2&amp;F$1&amp;"C"&amp;$A31)*RTD("tos.rtd",,"DELTA","."&amp;F$2&amp;F$1&amp;"C"&amp;$A31)+100*RTD("tos.rtd",,"OPEN_INT","."&amp;F$2&amp;F$1&amp;"P"&amp;$A31)*RTD("tos.rtd",,"DELTA","."&amp;F$2&amp;F$1&amp;"P"&amp;$A31))/1000,(100*RTD("tos.rtd",,"OPEN_INT","."&amp;F$2&amp;F$1&amp;"C"&amp;$A31)*RTD("tos.rtd",,"DELTA","."&amp;F$2&amp;F$1&amp;"C"&amp;$A31)-100*RTD("tos.rtd",,"OPEN_INT","."&amp;F$2&amp;F$1&amp;"P"&amp;$A31)*RTD("tos.rtd",,"DELTA","."&amp;F$2&amp;F$1&amp;"P"&amp;$A31))/1000),0),IF($A$2="VEX",IFERROR(IF($X$1="ABS",($A$4*$A$4*RTD("tos.rtd",,"VOLUME","."&amp;F$2&amp;F$1&amp;"C"&amp;$A31)*RTD("tos.rtd",,"GAMMA","."&amp;F$2&amp;F$1&amp;"C"&amp;$A31)+$A$4*$A$4*RTD("tos.rtd",,"VOLUME","."&amp;F$2&amp;F$1&amp;"P"&amp;$A31)*RTD("tos.rtd",,"GAMMA","."&amp;F$2&amp;F$1&amp;"P"&amp;$A31))/1000000,($A$4*$A$4*RTD("tos.rtd",,"VOLUME","."&amp;F$2&amp;F$1&amp;"C"&amp;$A31)*RTD("tos.rtd",,"GAMMA","."&amp;F$2&amp;F$1&amp;"C"&amp;$A31)-$A$4*$A$4*RTD("tos.rtd",,"VOLUME","."&amp;F$2&amp;F$1&amp;"P"&amp;$A31)*RTD("tos.rtd",,"GAMMA","."&amp;F$2&amp;F$1&amp;"P"&amp;$A31))/1000000),0),IF($A$2="GEX",IFERROR(IF($X$1="ABS",($A$4*$A$4*RTD("tos.rtd",,"OPEN_INT","."&amp;F$2&amp;F$1&amp;"C"&amp;$A31)*RTD("tos.rtd",,"GAMMA","."&amp;F$2&amp;F$1&amp;"C"&amp;$A31)+$A$4*$A$4*RTD("tos.rtd",,"OPEN_INT","."&amp;F$2&amp;F$1&amp;"P"&amp;$A31)*RTD("tos.rtd",,"GAMMA","."&amp;F$2&amp;F$1&amp;"P"&amp;$A31))/1000000,($A$4*$A$4*RTD("tos.rtd",,"OPEN_INT","."&amp;F$2&amp;F$1&amp;"C"&amp;$A31)*RTD("tos.rtd",,"GAMMA","."&amp;F$2&amp;F$1&amp;"C"&amp;$A31)-$A$4*$A$4*RTD("tos.rtd",,"OPEN_INT","."&amp;F$2&amp;F$1&amp;"P"&amp;$A31)*RTD("tos.rtd",,"GAMMA","."&amp;F$2&amp;F$1&amp;"P"&amp;$A31))/1000000),0),IF($A$2="SKEW",IFERROR(VALUE(IF(RTD("tos.rtd",,"IMPL_VOL","."&amp;F$2&amp;F$1&amp;"P"&amp;$A31)="N/A",0,RTD("tos.rtd",,"IMPL_VOL","."&amp;F$2&amp;F$1&amp;"P"&amp;$A31))),0)-IFERROR(VALUE(IF(RTD("tos.rtd",,"IMPL_VOL","."&amp;F$2&amp;F$1&amp;"C"&amp;$A31)="N/A",0,RTD("tos.rtd",,"IMPL_VOL","."&amp;F$2&amp;F$1&amp;"C"&amp;$A31))),0),IF($A$2="MAXPAIN",IF($A$4&gt;$A31,($A$4-$A31)*IF(RTD("tos.rtd",,"OPEN_INT","."&amp;F$2&amp;F$1&amp;"C"&amp;$A31)="N/A",0,RTD("tos.rtd",,"OPEN_INT","."&amp;F$2&amp;F$1&amp;"C"&amp;$A31)),0)+IF($A$4&lt;$A31,($A$5-$A$4)*IF(RTD("tos.rtd",,"OPEN_INT","."&amp;F$2&amp;F$1&amp;"P"&amp;$A31)="N/A",0,RTD("tos.rtd",,"OPEN_INT","."&amp;F$2&amp;F$1&amp;"P"&amp;$A31)),0),IF($X$1="ABS",IF(RTD("tos.rtd",,$A$2,"."&amp;F$2&amp;F$1&amp;"C"&amp;$A31)="N/A",0,RTD("tos.rtd",,$A$2,"."&amp;F$2&amp;F$1&amp;"C"&amp;$A31))+IF(RTD("tos.rtd",,$A$2,"."&amp;F$2&amp;F$1&amp;"P"&amp;$A31)="N/A",0,RTD("tos.rtd",,$A$2,"."&amp;F$2&amp;F$1&amp;"P"&amp;$A31)),IF(RTD("tos.rtd",,$A$2,"."&amp;F$2&amp;F$1&amp;"C"&amp;$A31)="N/A",0,RTD("tos.rtd",,$A$2,"."&amp;F$2&amp;F$1&amp;"C"&amp;$A31))-IF(RTD("tos.rtd",,$A$2,"."&amp;F$2&amp;F$1&amp;"P"&amp;$A31)="N/A",0,RTD("tos.rtd",,$A$2,"."&amp;F$2&amp;F$1&amp;"P"&amp;$A31))))))))))</f>
        <v>1367</v>
      </c>
      <c r="G31" s="57">
        <f ca="1">IF($A$2="PREMIUM_OI",IFERROR(IF($X$1="ABS",(100*RTD("tos.rtd",,"OPEN_INT","."&amp;G$2&amp;G$1&amp;"C"&amp;$A31)*RTD("tos.rtd",,"LAST","."&amp;G$2&amp;G$1&amp;"C"&amp;$A31)+100*RTD("tos.rtd",,"OPEN_INT","."&amp;G$2&amp;G$1&amp;"P"&amp;$A31)*RTD("tos.rtd",,"LAST","."&amp;G$2&amp;G$1&amp;"P"&amp;$A31))/1000000,(100*RTD("tos.rtd",,"OPEN_INT","."&amp;G$2&amp;G$1&amp;"C"&amp;$A31)*RTD("tos.rtd",,"LAST","."&amp;G$2&amp;G$1&amp;"C"&amp;$A31)-100*RTD("tos.rtd",,"OPEN_INT","."&amp;G$2&amp;G$1&amp;"P"&amp;$A31)*RTD("tos.rtd",,"LAST","."&amp;G$2&amp;G$1&amp;"P"&amp;$A31))/1000000),0),IF($A$2="PREMIUM",IFERROR(IF($X$1="ABS",(100*RTD("tos.rtd",,"VOLUME","."&amp;G$2&amp;G$1&amp;"C"&amp;$A31)*RTD("tos.rtd",,"LAST","."&amp;G$2&amp;G$1&amp;"C"&amp;$A31)+100*RTD("tos.rtd",,"VOLUME","."&amp;G$2&amp;G$1&amp;"P"&amp;$A31)*RTD("tos.rtd",,"LAST","."&amp;G$2&amp;G$1&amp;"P"&amp;$A31))/1000000,(100*RTD("tos.rtd",,"VOLUME","."&amp;G$2&amp;G$1&amp;"C"&amp;$A31)*RTD("tos.rtd",,"LAST","."&amp;G$2&amp;G$1&amp;"C"&amp;$A31)-100*RTD("tos.rtd",,"VOLUME","."&amp;G$2&amp;G$1&amp;"P"&amp;$A31)*RTD("tos.rtd",,"LAST","."&amp;G$2&amp;G$1&amp;"P"&amp;$A31))/1000000),0),IF($A$2="DEX",IFERROR(IF($X$1="ABS",(100*RTD("tos.rtd",,"OPEN_INT","."&amp;G$2&amp;G$1&amp;"C"&amp;$A31)*RTD("tos.rtd",,"DELTA","."&amp;G$2&amp;G$1&amp;"C"&amp;$A31)+100*RTD("tos.rtd",,"OPEN_INT","."&amp;G$2&amp;G$1&amp;"P"&amp;$A31)*RTD("tos.rtd",,"DELTA","."&amp;G$2&amp;G$1&amp;"P"&amp;$A31))/1000,(100*RTD("tos.rtd",,"OPEN_INT","."&amp;G$2&amp;G$1&amp;"C"&amp;$A31)*RTD("tos.rtd",,"DELTA","."&amp;G$2&amp;G$1&amp;"C"&amp;$A31)-100*RTD("tos.rtd",,"OPEN_INT","."&amp;G$2&amp;G$1&amp;"P"&amp;$A31)*RTD("tos.rtd",,"DELTA","."&amp;G$2&amp;G$1&amp;"P"&amp;$A31))/1000),0),IF($A$2="VEX",IFERROR(IF($X$1="ABS",($A$4*$A$4*RTD("tos.rtd",,"VOLUME","."&amp;G$2&amp;G$1&amp;"C"&amp;$A31)*RTD("tos.rtd",,"GAMMA","."&amp;G$2&amp;G$1&amp;"C"&amp;$A31)+$A$4*$A$4*RTD("tos.rtd",,"VOLUME","."&amp;G$2&amp;G$1&amp;"P"&amp;$A31)*RTD("tos.rtd",,"GAMMA","."&amp;G$2&amp;G$1&amp;"P"&amp;$A31))/1000000,($A$4*$A$4*RTD("tos.rtd",,"VOLUME","."&amp;G$2&amp;G$1&amp;"C"&amp;$A31)*RTD("tos.rtd",,"GAMMA","."&amp;G$2&amp;G$1&amp;"C"&amp;$A31)-$A$4*$A$4*RTD("tos.rtd",,"VOLUME","."&amp;G$2&amp;G$1&amp;"P"&amp;$A31)*RTD("tos.rtd",,"GAMMA","."&amp;G$2&amp;G$1&amp;"P"&amp;$A31))/1000000),0),IF($A$2="GEX",IFERROR(IF($X$1="ABS",($A$4*$A$4*RTD("tos.rtd",,"OPEN_INT","."&amp;G$2&amp;G$1&amp;"C"&amp;$A31)*RTD("tos.rtd",,"GAMMA","."&amp;G$2&amp;G$1&amp;"C"&amp;$A31)+$A$4*$A$4*RTD("tos.rtd",,"OPEN_INT","."&amp;G$2&amp;G$1&amp;"P"&amp;$A31)*RTD("tos.rtd",,"GAMMA","."&amp;G$2&amp;G$1&amp;"P"&amp;$A31))/1000000,($A$4*$A$4*RTD("tos.rtd",,"OPEN_INT","."&amp;G$2&amp;G$1&amp;"C"&amp;$A31)*RTD("tos.rtd",,"GAMMA","."&amp;G$2&amp;G$1&amp;"C"&amp;$A31)-$A$4*$A$4*RTD("tos.rtd",,"OPEN_INT","."&amp;G$2&amp;G$1&amp;"P"&amp;$A31)*RTD("tos.rtd",,"GAMMA","."&amp;G$2&amp;G$1&amp;"P"&amp;$A31))/1000000),0),IF($A$2="SKEW",IFERROR(VALUE(IF(RTD("tos.rtd",,"IMPL_VOL","."&amp;G$2&amp;G$1&amp;"P"&amp;$A31)="N/A",0,RTD("tos.rtd",,"IMPL_VOL","."&amp;G$2&amp;G$1&amp;"P"&amp;$A31))),0)-IFERROR(VALUE(IF(RTD("tos.rtd",,"IMPL_VOL","."&amp;G$2&amp;G$1&amp;"C"&amp;$A31)="N/A",0,RTD("tos.rtd",,"IMPL_VOL","."&amp;G$2&amp;G$1&amp;"C"&amp;$A31))),0),IF($A$2="MAXPAIN",IF($A$4&gt;$A31,($A$4-$A31)*IF(RTD("tos.rtd",,"OPEN_INT","."&amp;G$2&amp;G$1&amp;"C"&amp;$A31)="N/A",0,RTD("tos.rtd",,"OPEN_INT","."&amp;G$2&amp;G$1&amp;"C"&amp;$A31)),0)+IF($A$4&lt;$A31,($A$5-$A$4)*IF(RTD("tos.rtd",,"OPEN_INT","."&amp;G$2&amp;G$1&amp;"P"&amp;$A31)="N/A",0,RTD("tos.rtd",,"OPEN_INT","."&amp;G$2&amp;G$1&amp;"P"&amp;$A31)),0),IF($X$1="ABS",IF(RTD("tos.rtd",,$A$2,"."&amp;G$2&amp;G$1&amp;"C"&amp;$A31)="N/A",0,RTD("tos.rtd",,$A$2,"."&amp;G$2&amp;G$1&amp;"C"&amp;$A31))+IF(RTD("tos.rtd",,$A$2,"."&amp;G$2&amp;G$1&amp;"P"&amp;$A31)="N/A",0,RTD("tos.rtd",,$A$2,"."&amp;G$2&amp;G$1&amp;"P"&amp;$A31)),IF(RTD("tos.rtd",,$A$2,"."&amp;G$2&amp;G$1&amp;"C"&amp;$A31)="N/A",0,RTD("tos.rtd",,$A$2,"."&amp;G$2&amp;G$1&amp;"C"&amp;$A31))-IF(RTD("tos.rtd",,$A$2,"."&amp;G$2&amp;G$1&amp;"P"&amp;$A31)="N/A",0,RTD("tos.rtd",,$A$2,"."&amp;G$2&amp;G$1&amp;"P"&amp;$A31))))))))))</f>
        <v>498</v>
      </c>
      <c r="H31" s="14">
        <f ca="1">IF($A$2="PREMIUM_OI",IFERROR(IF($X$1="ABS",(100*RTD("tos.rtd",,"OPEN_INT","."&amp;H$2&amp;H$1&amp;"C"&amp;$A31)*RTD("tos.rtd",,"LAST","."&amp;H$2&amp;H$1&amp;"C"&amp;$A31)+100*RTD("tos.rtd",,"OPEN_INT","."&amp;H$2&amp;H$1&amp;"P"&amp;$A31)*RTD("tos.rtd",,"LAST","."&amp;H$2&amp;H$1&amp;"P"&amp;$A31))/1000000,(100*RTD("tos.rtd",,"OPEN_INT","."&amp;H$2&amp;H$1&amp;"C"&amp;$A31)*RTD("tos.rtd",,"LAST","."&amp;H$2&amp;H$1&amp;"C"&amp;$A31)-100*RTD("tos.rtd",,"OPEN_INT","."&amp;H$2&amp;H$1&amp;"P"&amp;$A31)*RTD("tos.rtd",,"LAST","."&amp;H$2&amp;H$1&amp;"P"&amp;$A31))/1000000),0),IF($A$2="PREMIUM",IFERROR(IF($X$1="ABS",(100*RTD("tos.rtd",,"VOLUME","."&amp;H$2&amp;H$1&amp;"C"&amp;$A31)*RTD("tos.rtd",,"LAST","."&amp;H$2&amp;H$1&amp;"C"&amp;$A31)+100*RTD("tos.rtd",,"VOLUME","."&amp;H$2&amp;H$1&amp;"P"&amp;$A31)*RTD("tos.rtd",,"LAST","."&amp;H$2&amp;H$1&amp;"P"&amp;$A31))/1000000,(100*RTD("tos.rtd",,"VOLUME","."&amp;H$2&amp;H$1&amp;"C"&amp;$A31)*RTD("tos.rtd",,"LAST","."&amp;H$2&amp;H$1&amp;"C"&amp;$A31)-100*RTD("tos.rtd",,"VOLUME","."&amp;H$2&amp;H$1&amp;"P"&amp;$A31)*RTD("tos.rtd",,"LAST","."&amp;H$2&amp;H$1&amp;"P"&amp;$A31))/1000000),0),IF($A$2="DEX",IFERROR(IF($X$1="ABS",(100*RTD("tos.rtd",,"OPEN_INT","."&amp;H$2&amp;H$1&amp;"C"&amp;$A31)*RTD("tos.rtd",,"DELTA","."&amp;H$2&amp;H$1&amp;"C"&amp;$A31)+100*RTD("tos.rtd",,"OPEN_INT","."&amp;H$2&amp;H$1&amp;"P"&amp;$A31)*RTD("tos.rtd",,"DELTA","."&amp;H$2&amp;H$1&amp;"P"&amp;$A31))/1000,(100*RTD("tos.rtd",,"OPEN_INT","."&amp;H$2&amp;H$1&amp;"C"&amp;$A31)*RTD("tos.rtd",,"DELTA","."&amp;H$2&amp;H$1&amp;"C"&amp;$A31)-100*RTD("tos.rtd",,"OPEN_INT","."&amp;H$2&amp;H$1&amp;"P"&amp;$A31)*RTD("tos.rtd",,"DELTA","."&amp;H$2&amp;H$1&amp;"P"&amp;$A31))/1000),0),IF($A$2="VEX",IFERROR(IF($X$1="ABS",($A$4*$A$4*RTD("tos.rtd",,"VOLUME","."&amp;H$2&amp;H$1&amp;"C"&amp;$A31)*RTD("tos.rtd",,"GAMMA","."&amp;H$2&amp;H$1&amp;"C"&amp;$A31)+$A$4*$A$4*RTD("tos.rtd",,"VOLUME","."&amp;H$2&amp;H$1&amp;"P"&amp;$A31)*RTD("tos.rtd",,"GAMMA","."&amp;H$2&amp;H$1&amp;"P"&amp;$A31))/1000000,($A$4*$A$4*RTD("tos.rtd",,"VOLUME","."&amp;H$2&amp;H$1&amp;"C"&amp;$A31)*RTD("tos.rtd",,"GAMMA","."&amp;H$2&amp;H$1&amp;"C"&amp;$A31)-$A$4*$A$4*RTD("tos.rtd",,"VOLUME","."&amp;H$2&amp;H$1&amp;"P"&amp;$A31)*RTD("tos.rtd",,"GAMMA","."&amp;H$2&amp;H$1&amp;"P"&amp;$A31))/1000000),0),IF($A$2="GEX",IFERROR(IF($X$1="ABS",($A$4*$A$4*RTD("tos.rtd",,"OPEN_INT","."&amp;H$2&amp;H$1&amp;"C"&amp;$A31)*RTD("tos.rtd",,"GAMMA","."&amp;H$2&amp;H$1&amp;"C"&amp;$A31)+$A$4*$A$4*RTD("tos.rtd",,"OPEN_INT","."&amp;H$2&amp;H$1&amp;"P"&amp;$A31)*RTD("tos.rtd",,"GAMMA","."&amp;H$2&amp;H$1&amp;"P"&amp;$A31))/1000000,($A$4*$A$4*RTD("tos.rtd",,"OPEN_INT","."&amp;H$2&amp;H$1&amp;"C"&amp;$A31)*RTD("tos.rtd",,"GAMMA","."&amp;H$2&amp;H$1&amp;"C"&amp;$A31)-$A$4*$A$4*RTD("tos.rtd",,"OPEN_INT","."&amp;H$2&amp;H$1&amp;"P"&amp;$A31)*RTD("tos.rtd",,"GAMMA","."&amp;H$2&amp;H$1&amp;"P"&amp;$A31))/1000000),0),IF($A$2="SKEW",IFERROR(VALUE(IF(RTD("tos.rtd",,"IMPL_VOL","."&amp;H$2&amp;H$1&amp;"P"&amp;$A31)="N/A",0,RTD("tos.rtd",,"IMPL_VOL","."&amp;H$2&amp;H$1&amp;"P"&amp;$A31))),0)-IFERROR(VALUE(IF(RTD("tos.rtd",,"IMPL_VOL","."&amp;H$2&amp;H$1&amp;"C"&amp;$A31)="N/A",0,RTD("tos.rtd",,"IMPL_VOL","."&amp;H$2&amp;H$1&amp;"C"&amp;$A31))),0),IF($A$2="MAXPAIN",IF($A$4&gt;$A31,($A$4-$A31)*IF(RTD("tos.rtd",,"OPEN_INT","."&amp;H$2&amp;H$1&amp;"C"&amp;$A31)="N/A",0,RTD("tos.rtd",,"OPEN_INT","."&amp;H$2&amp;H$1&amp;"C"&amp;$A31)),0)+IF($A$4&lt;$A31,($A$5-$A$4)*IF(RTD("tos.rtd",,"OPEN_INT","."&amp;H$2&amp;H$1&amp;"P"&amp;$A31)="N/A",0,RTD("tos.rtd",,"OPEN_INT","."&amp;H$2&amp;H$1&amp;"P"&amp;$A31)),0),IF($X$1="ABS",IF(RTD("tos.rtd",,$A$2,"."&amp;H$2&amp;H$1&amp;"C"&amp;$A31)="N/A",0,RTD("tos.rtd",,$A$2,"."&amp;H$2&amp;H$1&amp;"C"&amp;$A31))+IF(RTD("tos.rtd",,$A$2,"."&amp;H$2&amp;H$1&amp;"P"&amp;$A31)="N/A",0,RTD("tos.rtd",,$A$2,"."&amp;H$2&amp;H$1&amp;"P"&amp;$A31)),IF(RTD("tos.rtd",,$A$2,"."&amp;H$2&amp;H$1&amp;"C"&amp;$A31)="N/A",0,RTD("tos.rtd",,$A$2,"."&amp;H$2&amp;H$1&amp;"C"&amp;$A31))-IF(RTD("tos.rtd",,$A$2,"."&amp;H$2&amp;H$1&amp;"P"&amp;$A31)="N/A",0,RTD("tos.rtd",,$A$2,"."&amp;H$2&amp;H$1&amp;"P"&amp;$A31))))))))))</f>
        <v>0</v>
      </c>
      <c r="I31" s="12">
        <f ca="1">IF($A$2="PREMIUM_OI",IFERROR(IF($X$1="ABS",(100*RTD("tos.rtd",,"OPEN_INT","."&amp;I$2&amp;I$1&amp;"C"&amp;$A31)*RTD("tos.rtd",,"LAST","."&amp;I$2&amp;I$1&amp;"C"&amp;$A31)+100*RTD("tos.rtd",,"OPEN_INT","."&amp;I$2&amp;I$1&amp;"P"&amp;$A31)*RTD("tos.rtd",,"LAST","."&amp;I$2&amp;I$1&amp;"P"&amp;$A31))/1000000,(100*RTD("tos.rtd",,"OPEN_INT","."&amp;I$2&amp;I$1&amp;"C"&amp;$A31)*RTD("tos.rtd",,"LAST","."&amp;I$2&amp;I$1&amp;"C"&amp;$A31)-100*RTD("tos.rtd",,"OPEN_INT","."&amp;I$2&amp;I$1&amp;"P"&amp;$A31)*RTD("tos.rtd",,"LAST","."&amp;I$2&amp;I$1&amp;"P"&amp;$A31))/1000000),0),IF($A$2="PREMIUM",IFERROR(IF($X$1="ABS",(100*RTD("tos.rtd",,"VOLUME","."&amp;I$2&amp;I$1&amp;"C"&amp;$A31)*RTD("tos.rtd",,"LAST","."&amp;I$2&amp;I$1&amp;"C"&amp;$A31)+100*RTD("tos.rtd",,"VOLUME","."&amp;I$2&amp;I$1&amp;"P"&amp;$A31)*RTD("tos.rtd",,"LAST","."&amp;I$2&amp;I$1&amp;"P"&amp;$A31))/1000000,(100*RTD("tos.rtd",,"VOLUME","."&amp;I$2&amp;I$1&amp;"C"&amp;$A31)*RTD("tos.rtd",,"LAST","."&amp;I$2&amp;I$1&amp;"C"&amp;$A31)-100*RTD("tos.rtd",,"VOLUME","."&amp;I$2&amp;I$1&amp;"P"&amp;$A31)*RTD("tos.rtd",,"LAST","."&amp;I$2&amp;I$1&amp;"P"&amp;$A31))/1000000),0),IF($A$2="DEX",IFERROR(IF($X$1="ABS",(100*RTD("tos.rtd",,"OPEN_INT","."&amp;I$2&amp;I$1&amp;"C"&amp;$A31)*RTD("tos.rtd",,"DELTA","."&amp;I$2&amp;I$1&amp;"C"&amp;$A31)+100*RTD("tos.rtd",,"OPEN_INT","."&amp;I$2&amp;I$1&amp;"P"&amp;$A31)*RTD("tos.rtd",,"DELTA","."&amp;I$2&amp;I$1&amp;"P"&amp;$A31))/1000,(100*RTD("tos.rtd",,"OPEN_INT","."&amp;I$2&amp;I$1&amp;"C"&amp;$A31)*RTD("tos.rtd",,"DELTA","."&amp;I$2&amp;I$1&amp;"C"&amp;$A31)-100*RTD("tos.rtd",,"OPEN_INT","."&amp;I$2&amp;I$1&amp;"P"&amp;$A31)*RTD("tos.rtd",,"DELTA","."&amp;I$2&amp;I$1&amp;"P"&amp;$A31))/1000),0),IF($A$2="VEX",IFERROR(IF($X$1="ABS",($A$4*$A$4*RTD("tos.rtd",,"VOLUME","."&amp;I$2&amp;I$1&amp;"C"&amp;$A31)*RTD("tos.rtd",,"GAMMA","."&amp;I$2&amp;I$1&amp;"C"&amp;$A31)+$A$4*$A$4*RTD("tos.rtd",,"VOLUME","."&amp;I$2&amp;I$1&amp;"P"&amp;$A31)*RTD("tos.rtd",,"GAMMA","."&amp;I$2&amp;I$1&amp;"P"&amp;$A31))/1000000,($A$4*$A$4*RTD("tos.rtd",,"VOLUME","."&amp;I$2&amp;I$1&amp;"C"&amp;$A31)*RTD("tos.rtd",,"GAMMA","."&amp;I$2&amp;I$1&amp;"C"&amp;$A31)-$A$4*$A$4*RTD("tos.rtd",,"VOLUME","."&amp;I$2&amp;I$1&amp;"P"&amp;$A31)*RTD("tos.rtd",,"GAMMA","."&amp;I$2&amp;I$1&amp;"P"&amp;$A31))/1000000),0),IF($A$2="GEX",IFERROR(IF($X$1="ABS",($A$4*$A$4*RTD("tos.rtd",,"OPEN_INT","."&amp;I$2&amp;I$1&amp;"C"&amp;$A31)*RTD("tos.rtd",,"GAMMA","."&amp;I$2&amp;I$1&amp;"C"&amp;$A31)+$A$4*$A$4*RTD("tos.rtd",,"OPEN_INT","."&amp;I$2&amp;I$1&amp;"P"&amp;$A31)*RTD("tos.rtd",,"GAMMA","."&amp;I$2&amp;I$1&amp;"P"&amp;$A31))/1000000,($A$4*$A$4*RTD("tos.rtd",,"OPEN_INT","."&amp;I$2&amp;I$1&amp;"C"&amp;$A31)*RTD("tos.rtd",,"GAMMA","."&amp;I$2&amp;I$1&amp;"C"&amp;$A31)-$A$4*$A$4*RTD("tos.rtd",,"OPEN_INT","."&amp;I$2&amp;I$1&amp;"P"&amp;$A31)*RTD("tos.rtd",,"GAMMA","."&amp;I$2&amp;I$1&amp;"P"&amp;$A31))/1000000),0),IF($A$2="SKEW",IFERROR(VALUE(IF(RTD("tos.rtd",,"IMPL_VOL","."&amp;I$2&amp;I$1&amp;"P"&amp;$A31)="N/A",0,RTD("tos.rtd",,"IMPL_VOL","."&amp;I$2&amp;I$1&amp;"P"&amp;$A31))),0)-IFERROR(VALUE(IF(RTD("tos.rtd",,"IMPL_VOL","."&amp;I$2&amp;I$1&amp;"C"&amp;$A31)="N/A",0,RTD("tos.rtd",,"IMPL_VOL","."&amp;I$2&amp;I$1&amp;"C"&amp;$A31))),0),IF($A$2="MAXPAIN",IF($A$4&gt;$A31,($A$4-$A31)*IF(RTD("tos.rtd",,"OPEN_INT","."&amp;I$2&amp;I$1&amp;"C"&amp;$A31)="N/A",0,RTD("tos.rtd",,"OPEN_INT","."&amp;I$2&amp;I$1&amp;"C"&amp;$A31)),0)+IF($A$4&lt;$A31,($A$5-$A$4)*IF(RTD("tos.rtd",,"OPEN_INT","."&amp;I$2&amp;I$1&amp;"P"&amp;$A31)="N/A",0,RTD("tos.rtd",,"OPEN_INT","."&amp;I$2&amp;I$1&amp;"P"&amp;$A31)),0),IF($X$1="ABS",IF(RTD("tos.rtd",,$A$2,"."&amp;I$2&amp;I$1&amp;"C"&amp;$A31)="N/A",0,RTD("tos.rtd",,$A$2,"."&amp;I$2&amp;I$1&amp;"C"&amp;$A31))+IF(RTD("tos.rtd",,$A$2,"."&amp;I$2&amp;I$1&amp;"P"&amp;$A31)="N/A",0,RTD("tos.rtd",,$A$2,"."&amp;I$2&amp;I$1&amp;"P"&amp;$A31)),IF(RTD("tos.rtd",,$A$2,"."&amp;I$2&amp;I$1&amp;"C"&amp;$A31)="N/A",0,RTD("tos.rtd",,$A$2,"."&amp;I$2&amp;I$1&amp;"C"&amp;$A31))-IF(RTD("tos.rtd",,$A$2,"."&amp;I$2&amp;I$1&amp;"P"&amp;$A31)="N/A",0,RTD("tos.rtd",,$A$2,"."&amp;I$2&amp;I$1&amp;"P"&amp;$A31))))))))))</f>
        <v>71</v>
      </c>
      <c r="J31" s="12">
        <f ca="1">IF($A$2="PREMIUM_OI",IFERROR(IF($X$1="ABS",(100*RTD("tos.rtd",,"OPEN_INT","."&amp;J$2&amp;J$1&amp;"C"&amp;$A31)*RTD("tos.rtd",,"LAST","."&amp;J$2&amp;J$1&amp;"C"&amp;$A31)+100*RTD("tos.rtd",,"OPEN_INT","."&amp;J$2&amp;J$1&amp;"P"&amp;$A31)*RTD("tos.rtd",,"LAST","."&amp;J$2&amp;J$1&amp;"P"&amp;$A31))/1000000,(100*RTD("tos.rtd",,"OPEN_INT","."&amp;J$2&amp;J$1&amp;"C"&amp;$A31)*RTD("tos.rtd",,"LAST","."&amp;J$2&amp;J$1&amp;"C"&amp;$A31)-100*RTD("tos.rtd",,"OPEN_INT","."&amp;J$2&amp;J$1&amp;"P"&amp;$A31)*RTD("tos.rtd",,"LAST","."&amp;J$2&amp;J$1&amp;"P"&amp;$A31))/1000000),0),IF($A$2="PREMIUM",IFERROR(IF($X$1="ABS",(100*RTD("tos.rtd",,"VOLUME","."&amp;J$2&amp;J$1&amp;"C"&amp;$A31)*RTD("tos.rtd",,"LAST","."&amp;J$2&amp;J$1&amp;"C"&amp;$A31)+100*RTD("tos.rtd",,"VOLUME","."&amp;J$2&amp;J$1&amp;"P"&amp;$A31)*RTD("tos.rtd",,"LAST","."&amp;J$2&amp;J$1&amp;"P"&amp;$A31))/1000000,(100*RTD("tos.rtd",,"VOLUME","."&amp;J$2&amp;J$1&amp;"C"&amp;$A31)*RTD("tos.rtd",,"LAST","."&amp;J$2&amp;J$1&amp;"C"&amp;$A31)-100*RTD("tos.rtd",,"VOLUME","."&amp;J$2&amp;J$1&amp;"P"&amp;$A31)*RTD("tos.rtd",,"LAST","."&amp;J$2&amp;J$1&amp;"P"&amp;$A31))/1000000),0),IF($A$2="DEX",IFERROR(IF($X$1="ABS",(100*RTD("tos.rtd",,"OPEN_INT","."&amp;J$2&amp;J$1&amp;"C"&amp;$A31)*RTD("tos.rtd",,"DELTA","."&amp;J$2&amp;J$1&amp;"C"&amp;$A31)+100*RTD("tos.rtd",,"OPEN_INT","."&amp;J$2&amp;J$1&amp;"P"&amp;$A31)*RTD("tos.rtd",,"DELTA","."&amp;J$2&amp;J$1&amp;"P"&amp;$A31))/1000,(100*RTD("tos.rtd",,"OPEN_INT","."&amp;J$2&amp;J$1&amp;"C"&amp;$A31)*RTD("tos.rtd",,"DELTA","."&amp;J$2&amp;J$1&amp;"C"&amp;$A31)-100*RTD("tos.rtd",,"OPEN_INT","."&amp;J$2&amp;J$1&amp;"P"&amp;$A31)*RTD("tos.rtd",,"DELTA","."&amp;J$2&amp;J$1&amp;"P"&amp;$A31))/1000),0),IF($A$2="VEX",IFERROR(IF($X$1="ABS",($A$4*$A$4*RTD("tos.rtd",,"VOLUME","."&amp;J$2&amp;J$1&amp;"C"&amp;$A31)*RTD("tos.rtd",,"GAMMA","."&amp;J$2&amp;J$1&amp;"C"&amp;$A31)+$A$4*$A$4*RTD("tos.rtd",,"VOLUME","."&amp;J$2&amp;J$1&amp;"P"&amp;$A31)*RTD("tos.rtd",,"GAMMA","."&amp;J$2&amp;J$1&amp;"P"&amp;$A31))/1000000,($A$4*$A$4*RTD("tos.rtd",,"VOLUME","."&amp;J$2&amp;J$1&amp;"C"&amp;$A31)*RTD("tos.rtd",,"GAMMA","."&amp;J$2&amp;J$1&amp;"C"&amp;$A31)-$A$4*$A$4*RTD("tos.rtd",,"VOLUME","."&amp;J$2&amp;J$1&amp;"P"&amp;$A31)*RTD("tos.rtd",,"GAMMA","."&amp;J$2&amp;J$1&amp;"P"&amp;$A31))/1000000),0),IF($A$2="GEX",IFERROR(IF($X$1="ABS",($A$4*$A$4*RTD("tos.rtd",,"OPEN_INT","."&amp;J$2&amp;J$1&amp;"C"&amp;$A31)*RTD("tos.rtd",,"GAMMA","."&amp;J$2&amp;J$1&amp;"C"&amp;$A31)+$A$4*$A$4*RTD("tos.rtd",,"OPEN_INT","."&amp;J$2&amp;J$1&amp;"P"&amp;$A31)*RTD("tos.rtd",,"GAMMA","."&amp;J$2&amp;J$1&amp;"P"&amp;$A31))/1000000,($A$4*$A$4*RTD("tos.rtd",,"OPEN_INT","."&amp;J$2&amp;J$1&amp;"C"&amp;$A31)*RTD("tos.rtd",,"GAMMA","."&amp;J$2&amp;J$1&amp;"C"&amp;$A31)-$A$4*$A$4*RTD("tos.rtd",,"OPEN_INT","."&amp;J$2&amp;J$1&amp;"P"&amp;$A31)*RTD("tos.rtd",,"GAMMA","."&amp;J$2&amp;J$1&amp;"P"&amp;$A31))/1000000),0),IF($A$2="SKEW",IFERROR(VALUE(IF(RTD("tos.rtd",,"IMPL_VOL","."&amp;J$2&amp;J$1&amp;"P"&amp;$A31)="N/A",0,RTD("tos.rtd",,"IMPL_VOL","."&amp;J$2&amp;J$1&amp;"P"&amp;$A31))),0)-IFERROR(VALUE(IF(RTD("tos.rtd",,"IMPL_VOL","."&amp;J$2&amp;J$1&amp;"C"&amp;$A31)="N/A",0,RTD("tos.rtd",,"IMPL_VOL","."&amp;J$2&amp;J$1&amp;"C"&amp;$A31))),0),IF($A$2="MAXPAIN",IF($A$4&gt;$A31,($A$4-$A31)*IF(RTD("tos.rtd",,"OPEN_INT","."&amp;J$2&amp;J$1&amp;"C"&amp;$A31)="N/A",0,RTD("tos.rtd",,"OPEN_INT","."&amp;J$2&amp;J$1&amp;"C"&amp;$A31)),0)+IF($A$4&lt;$A31,($A$5-$A$4)*IF(RTD("tos.rtd",,"OPEN_INT","."&amp;J$2&amp;J$1&amp;"P"&amp;$A31)="N/A",0,RTD("tos.rtd",,"OPEN_INT","."&amp;J$2&amp;J$1&amp;"P"&amp;$A31)),0),IF($X$1="ABS",IF(RTD("tos.rtd",,$A$2,"."&amp;J$2&amp;J$1&amp;"C"&amp;$A31)="N/A",0,RTD("tos.rtd",,$A$2,"."&amp;J$2&amp;J$1&amp;"C"&amp;$A31))+IF(RTD("tos.rtd",,$A$2,"."&amp;J$2&amp;J$1&amp;"P"&amp;$A31)="N/A",0,RTD("tos.rtd",,$A$2,"."&amp;J$2&amp;J$1&amp;"P"&amp;$A31)),IF(RTD("tos.rtd",,$A$2,"."&amp;J$2&amp;J$1&amp;"C"&amp;$A31)="N/A",0,RTD("tos.rtd",,$A$2,"."&amp;J$2&amp;J$1&amp;"C"&amp;$A31))-IF(RTD("tos.rtd",,$A$2,"."&amp;J$2&amp;J$1&amp;"P"&amp;$A31)="N/A",0,RTD("tos.rtd",,$A$2,"."&amp;J$2&amp;J$1&amp;"P"&amp;$A31))))))))))</f>
        <v>0</v>
      </c>
      <c r="K31" s="12">
        <f ca="1">IF($A$2="PREMIUM_OI",IFERROR(IF($X$1="ABS",(100*RTD("tos.rtd",,"OPEN_INT","."&amp;K$2&amp;K$1&amp;"C"&amp;$A31)*RTD("tos.rtd",,"LAST","."&amp;K$2&amp;K$1&amp;"C"&amp;$A31)+100*RTD("tos.rtd",,"OPEN_INT","."&amp;K$2&amp;K$1&amp;"P"&amp;$A31)*RTD("tos.rtd",,"LAST","."&amp;K$2&amp;K$1&amp;"P"&amp;$A31))/1000000,(100*RTD("tos.rtd",,"OPEN_INT","."&amp;K$2&amp;K$1&amp;"C"&amp;$A31)*RTD("tos.rtd",,"LAST","."&amp;K$2&amp;K$1&amp;"C"&amp;$A31)-100*RTD("tos.rtd",,"OPEN_INT","."&amp;K$2&amp;K$1&amp;"P"&amp;$A31)*RTD("tos.rtd",,"LAST","."&amp;K$2&amp;K$1&amp;"P"&amp;$A31))/1000000),0),IF($A$2="PREMIUM",IFERROR(IF($X$1="ABS",(100*RTD("tos.rtd",,"VOLUME","."&amp;K$2&amp;K$1&amp;"C"&amp;$A31)*RTD("tos.rtd",,"LAST","."&amp;K$2&amp;K$1&amp;"C"&amp;$A31)+100*RTD("tos.rtd",,"VOLUME","."&amp;K$2&amp;K$1&amp;"P"&amp;$A31)*RTD("tos.rtd",,"LAST","."&amp;K$2&amp;K$1&amp;"P"&amp;$A31))/1000000,(100*RTD("tos.rtd",,"VOLUME","."&amp;K$2&amp;K$1&amp;"C"&amp;$A31)*RTD("tos.rtd",,"LAST","."&amp;K$2&amp;K$1&amp;"C"&amp;$A31)-100*RTD("tos.rtd",,"VOLUME","."&amp;K$2&amp;K$1&amp;"P"&amp;$A31)*RTD("tos.rtd",,"LAST","."&amp;K$2&amp;K$1&amp;"P"&amp;$A31))/1000000),0),IF($A$2="DEX",IFERROR(IF($X$1="ABS",(100*RTD("tos.rtd",,"OPEN_INT","."&amp;K$2&amp;K$1&amp;"C"&amp;$A31)*RTD("tos.rtd",,"DELTA","."&amp;K$2&amp;K$1&amp;"C"&amp;$A31)+100*RTD("tos.rtd",,"OPEN_INT","."&amp;K$2&amp;K$1&amp;"P"&amp;$A31)*RTD("tos.rtd",,"DELTA","."&amp;K$2&amp;K$1&amp;"P"&amp;$A31))/1000,(100*RTD("tos.rtd",,"OPEN_INT","."&amp;K$2&amp;K$1&amp;"C"&amp;$A31)*RTD("tos.rtd",,"DELTA","."&amp;K$2&amp;K$1&amp;"C"&amp;$A31)-100*RTD("tos.rtd",,"OPEN_INT","."&amp;K$2&amp;K$1&amp;"P"&amp;$A31)*RTD("tos.rtd",,"DELTA","."&amp;K$2&amp;K$1&amp;"P"&amp;$A31))/1000),0),IF($A$2="VEX",IFERROR(IF($X$1="ABS",($A$4*$A$4*RTD("tos.rtd",,"VOLUME","."&amp;K$2&amp;K$1&amp;"C"&amp;$A31)*RTD("tos.rtd",,"GAMMA","."&amp;K$2&amp;K$1&amp;"C"&amp;$A31)+$A$4*$A$4*RTD("tos.rtd",,"VOLUME","."&amp;K$2&amp;K$1&amp;"P"&amp;$A31)*RTD("tos.rtd",,"GAMMA","."&amp;K$2&amp;K$1&amp;"P"&amp;$A31))/1000000,($A$4*$A$4*RTD("tos.rtd",,"VOLUME","."&amp;K$2&amp;K$1&amp;"C"&amp;$A31)*RTD("tos.rtd",,"GAMMA","."&amp;K$2&amp;K$1&amp;"C"&amp;$A31)-$A$4*$A$4*RTD("tos.rtd",,"VOLUME","."&amp;K$2&amp;K$1&amp;"P"&amp;$A31)*RTD("tos.rtd",,"GAMMA","."&amp;K$2&amp;K$1&amp;"P"&amp;$A31))/1000000),0),IF($A$2="GEX",IFERROR(IF($X$1="ABS",($A$4*$A$4*RTD("tos.rtd",,"OPEN_INT","."&amp;K$2&amp;K$1&amp;"C"&amp;$A31)*RTD("tos.rtd",,"GAMMA","."&amp;K$2&amp;K$1&amp;"C"&amp;$A31)+$A$4*$A$4*RTD("tos.rtd",,"OPEN_INT","."&amp;K$2&amp;K$1&amp;"P"&amp;$A31)*RTD("tos.rtd",,"GAMMA","."&amp;K$2&amp;K$1&amp;"P"&amp;$A31))/1000000,($A$4*$A$4*RTD("tos.rtd",,"OPEN_INT","."&amp;K$2&amp;K$1&amp;"C"&amp;$A31)*RTD("tos.rtd",,"GAMMA","."&amp;K$2&amp;K$1&amp;"C"&amp;$A31)-$A$4*$A$4*RTD("tos.rtd",,"OPEN_INT","."&amp;K$2&amp;K$1&amp;"P"&amp;$A31)*RTD("tos.rtd",,"GAMMA","."&amp;K$2&amp;K$1&amp;"P"&amp;$A31))/1000000),0),IF($A$2="SKEW",IFERROR(VALUE(IF(RTD("tos.rtd",,"IMPL_VOL","."&amp;K$2&amp;K$1&amp;"P"&amp;$A31)="N/A",0,RTD("tos.rtd",,"IMPL_VOL","."&amp;K$2&amp;K$1&amp;"P"&amp;$A31))),0)-IFERROR(VALUE(IF(RTD("tos.rtd",,"IMPL_VOL","."&amp;K$2&amp;K$1&amp;"C"&amp;$A31)="N/A",0,RTD("tos.rtd",,"IMPL_VOL","."&amp;K$2&amp;K$1&amp;"C"&amp;$A31))),0),IF($A$2="MAXPAIN",IF($A$4&gt;$A31,($A$4-$A31)*IF(RTD("tos.rtd",,"OPEN_INT","."&amp;K$2&amp;K$1&amp;"C"&amp;$A31)="N/A",0,RTD("tos.rtd",,"OPEN_INT","."&amp;K$2&amp;K$1&amp;"C"&amp;$A31)),0)+IF($A$4&lt;$A31,($A$5-$A$4)*IF(RTD("tos.rtd",,"OPEN_INT","."&amp;K$2&amp;K$1&amp;"P"&amp;$A31)="N/A",0,RTD("tos.rtd",,"OPEN_INT","."&amp;K$2&amp;K$1&amp;"P"&amp;$A31)),0),IF($X$1="ABS",IF(RTD("tos.rtd",,$A$2,"."&amp;K$2&amp;K$1&amp;"C"&amp;$A31)="N/A",0,RTD("tos.rtd",,$A$2,"."&amp;K$2&amp;K$1&amp;"C"&amp;$A31))+IF(RTD("tos.rtd",,$A$2,"."&amp;K$2&amp;K$1&amp;"P"&amp;$A31)="N/A",0,RTD("tos.rtd",,$A$2,"."&amp;K$2&amp;K$1&amp;"P"&amp;$A31)),IF(RTD("tos.rtd",,$A$2,"."&amp;K$2&amp;K$1&amp;"C"&amp;$A31)="N/A",0,RTD("tos.rtd",,$A$2,"."&amp;K$2&amp;K$1&amp;"C"&amp;$A31))-IF(RTD("tos.rtd",,$A$2,"."&amp;K$2&amp;K$1&amp;"P"&amp;$A31)="N/A",0,RTD("tos.rtd",,$A$2,"."&amp;K$2&amp;K$1&amp;"P"&amp;$A31))))))))))</f>
        <v>0</v>
      </c>
      <c r="L31" s="54">
        <f ca="1">IF($A$2="PREMIUM_OI",IFERROR(IF($X$1="ABS",(100*RTD("tos.rtd",,"OPEN_INT","."&amp;L$2&amp;L$1&amp;"C"&amp;$A31)*RTD("tos.rtd",,"LAST","."&amp;L$2&amp;L$1&amp;"C"&amp;$A31)+100*RTD("tos.rtd",,"OPEN_INT","."&amp;L$2&amp;L$1&amp;"P"&amp;$A31)*RTD("tos.rtd",,"LAST","."&amp;L$2&amp;L$1&amp;"P"&amp;$A31))/1000000,(100*RTD("tos.rtd",,"OPEN_INT","."&amp;L$2&amp;L$1&amp;"C"&amp;$A31)*RTD("tos.rtd",,"LAST","."&amp;L$2&amp;L$1&amp;"C"&amp;$A31)-100*RTD("tos.rtd",,"OPEN_INT","."&amp;L$2&amp;L$1&amp;"P"&amp;$A31)*RTD("tos.rtd",,"LAST","."&amp;L$2&amp;L$1&amp;"P"&amp;$A31))/1000000),0),IF($A$2="PREMIUM",IFERROR(IF($X$1="ABS",(100*RTD("tos.rtd",,"VOLUME","."&amp;L$2&amp;L$1&amp;"C"&amp;$A31)*RTD("tos.rtd",,"LAST","."&amp;L$2&amp;L$1&amp;"C"&amp;$A31)+100*RTD("tos.rtd",,"VOLUME","."&amp;L$2&amp;L$1&amp;"P"&amp;$A31)*RTD("tos.rtd",,"LAST","."&amp;L$2&amp;L$1&amp;"P"&amp;$A31))/1000000,(100*RTD("tos.rtd",,"VOLUME","."&amp;L$2&amp;L$1&amp;"C"&amp;$A31)*RTD("tos.rtd",,"LAST","."&amp;L$2&amp;L$1&amp;"C"&amp;$A31)-100*RTD("tos.rtd",,"VOLUME","."&amp;L$2&amp;L$1&amp;"P"&amp;$A31)*RTD("tos.rtd",,"LAST","."&amp;L$2&amp;L$1&amp;"P"&amp;$A31))/1000000),0),IF($A$2="DEX",IFERROR(IF($X$1="ABS",(100*RTD("tos.rtd",,"OPEN_INT","."&amp;L$2&amp;L$1&amp;"C"&amp;$A31)*RTD("tos.rtd",,"DELTA","."&amp;L$2&amp;L$1&amp;"C"&amp;$A31)+100*RTD("tos.rtd",,"OPEN_INT","."&amp;L$2&amp;L$1&amp;"P"&amp;$A31)*RTD("tos.rtd",,"DELTA","."&amp;L$2&amp;L$1&amp;"P"&amp;$A31))/1000,(100*RTD("tos.rtd",,"OPEN_INT","."&amp;L$2&amp;L$1&amp;"C"&amp;$A31)*RTD("tos.rtd",,"DELTA","."&amp;L$2&amp;L$1&amp;"C"&amp;$A31)-100*RTD("tos.rtd",,"OPEN_INT","."&amp;L$2&amp;L$1&amp;"P"&amp;$A31)*RTD("tos.rtd",,"DELTA","."&amp;L$2&amp;L$1&amp;"P"&amp;$A31))/1000),0),IF($A$2="VEX",IFERROR(IF($X$1="ABS",($A$4*$A$4*RTD("tos.rtd",,"VOLUME","."&amp;L$2&amp;L$1&amp;"C"&amp;$A31)*RTD("tos.rtd",,"GAMMA","."&amp;L$2&amp;L$1&amp;"C"&amp;$A31)+$A$4*$A$4*RTD("tos.rtd",,"VOLUME","."&amp;L$2&amp;L$1&amp;"P"&amp;$A31)*RTD("tos.rtd",,"GAMMA","."&amp;L$2&amp;L$1&amp;"P"&amp;$A31))/1000000,($A$4*$A$4*RTD("tos.rtd",,"VOLUME","."&amp;L$2&amp;L$1&amp;"C"&amp;$A31)*RTD("tos.rtd",,"GAMMA","."&amp;L$2&amp;L$1&amp;"C"&amp;$A31)-$A$4*$A$4*RTD("tos.rtd",,"VOLUME","."&amp;L$2&amp;L$1&amp;"P"&amp;$A31)*RTD("tos.rtd",,"GAMMA","."&amp;L$2&amp;L$1&amp;"P"&amp;$A31))/1000000),0),IF($A$2="GEX",IFERROR(IF($X$1="ABS",($A$4*$A$4*RTD("tos.rtd",,"OPEN_INT","."&amp;L$2&amp;L$1&amp;"C"&amp;$A31)*RTD("tos.rtd",,"GAMMA","."&amp;L$2&amp;L$1&amp;"C"&amp;$A31)+$A$4*$A$4*RTD("tos.rtd",,"OPEN_INT","."&amp;L$2&amp;L$1&amp;"P"&amp;$A31)*RTD("tos.rtd",,"GAMMA","."&amp;L$2&amp;L$1&amp;"P"&amp;$A31))/1000000,($A$4*$A$4*RTD("tos.rtd",,"OPEN_INT","."&amp;L$2&amp;L$1&amp;"C"&amp;$A31)*RTD("tos.rtd",,"GAMMA","."&amp;L$2&amp;L$1&amp;"C"&amp;$A31)-$A$4*$A$4*RTD("tos.rtd",,"OPEN_INT","."&amp;L$2&amp;L$1&amp;"P"&amp;$A31)*RTD("tos.rtd",,"GAMMA","."&amp;L$2&amp;L$1&amp;"P"&amp;$A31))/1000000),0),IF($A$2="SKEW",IFERROR(VALUE(IF(RTD("tos.rtd",,"IMPL_VOL","."&amp;L$2&amp;L$1&amp;"P"&amp;$A31)="N/A",0,RTD("tos.rtd",,"IMPL_VOL","."&amp;L$2&amp;L$1&amp;"P"&amp;$A31))),0)-IFERROR(VALUE(IF(RTD("tos.rtd",,"IMPL_VOL","."&amp;L$2&amp;L$1&amp;"C"&amp;$A31)="N/A",0,RTD("tos.rtd",,"IMPL_VOL","."&amp;L$2&amp;L$1&amp;"C"&amp;$A31))),0),IF($A$2="MAXPAIN",IF($A$4&gt;$A31,($A$4-$A31)*IF(RTD("tos.rtd",,"OPEN_INT","."&amp;L$2&amp;L$1&amp;"C"&amp;$A31)="N/A",0,RTD("tos.rtd",,"OPEN_INT","."&amp;L$2&amp;L$1&amp;"C"&amp;$A31)),0)+IF($A$4&lt;$A31,($A$5-$A$4)*IF(RTD("tos.rtd",,"OPEN_INT","."&amp;L$2&amp;L$1&amp;"P"&amp;$A31)="N/A",0,RTD("tos.rtd",,"OPEN_INT","."&amp;L$2&amp;L$1&amp;"P"&amp;$A31)),0),IF($X$1="ABS",IF(RTD("tos.rtd",,$A$2,"."&amp;L$2&amp;L$1&amp;"C"&amp;$A31)="N/A",0,RTD("tos.rtd",,$A$2,"."&amp;L$2&amp;L$1&amp;"C"&amp;$A31))+IF(RTD("tos.rtd",,$A$2,"."&amp;L$2&amp;L$1&amp;"P"&amp;$A31)="N/A",0,RTD("tos.rtd",,$A$2,"."&amp;L$2&amp;L$1&amp;"P"&amp;$A31)),IF(RTD("tos.rtd",,$A$2,"."&amp;L$2&amp;L$1&amp;"C"&amp;$A31)="N/A",0,RTD("tos.rtd",,$A$2,"."&amp;L$2&amp;L$1&amp;"C"&amp;$A31))-IF(RTD("tos.rtd",,$A$2,"."&amp;L$2&amp;L$1&amp;"P"&amp;$A31)="N/A",0,RTD("tos.rtd",,$A$2,"."&amp;L$2&amp;L$1&amp;"P"&amp;$A31))))))))))</f>
        <v>0</v>
      </c>
      <c r="M31" s="12">
        <f ca="1">IF($A$2="PREMIUM_OI",IFERROR(IF($X$1="ABS",(100*RTD("tos.rtd",,"OPEN_INT","."&amp;M$2&amp;M$1&amp;"C"&amp;$A31)*RTD("tos.rtd",,"LAST","."&amp;M$2&amp;M$1&amp;"C"&amp;$A31)+100*RTD("tos.rtd",,"OPEN_INT","."&amp;M$2&amp;M$1&amp;"P"&amp;$A31)*RTD("tos.rtd",,"LAST","."&amp;M$2&amp;M$1&amp;"P"&amp;$A31))/1000000,(100*RTD("tos.rtd",,"OPEN_INT","."&amp;M$2&amp;M$1&amp;"C"&amp;$A31)*RTD("tos.rtd",,"LAST","."&amp;M$2&amp;M$1&amp;"C"&amp;$A31)-100*RTD("tos.rtd",,"OPEN_INT","."&amp;M$2&amp;M$1&amp;"P"&amp;$A31)*RTD("tos.rtd",,"LAST","."&amp;M$2&amp;M$1&amp;"P"&amp;$A31))/1000000),0),IF($A$2="PREMIUM",IFERROR(IF($X$1="ABS",(100*RTD("tos.rtd",,"VOLUME","."&amp;M$2&amp;M$1&amp;"C"&amp;$A31)*RTD("tos.rtd",,"LAST","."&amp;M$2&amp;M$1&amp;"C"&amp;$A31)+100*RTD("tos.rtd",,"VOLUME","."&amp;M$2&amp;M$1&amp;"P"&amp;$A31)*RTD("tos.rtd",,"LAST","."&amp;M$2&amp;M$1&amp;"P"&amp;$A31))/1000000,(100*RTD("tos.rtd",,"VOLUME","."&amp;M$2&amp;M$1&amp;"C"&amp;$A31)*RTD("tos.rtd",,"LAST","."&amp;M$2&amp;M$1&amp;"C"&amp;$A31)-100*RTD("tos.rtd",,"VOLUME","."&amp;M$2&amp;M$1&amp;"P"&amp;$A31)*RTD("tos.rtd",,"LAST","."&amp;M$2&amp;M$1&amp;"P"&amp;$A31))/1000000),0),IF($A$2="DEX",IFERROR(IF($X$1="ABS",(100*RTD("tos.rtd",,"OPEN_INT","."&amp;M$2&amp;M$1&amp;"C"&amp;$A31)*RTD("tos.rtd",,"DELTA","."&amp;M$2&amp;M$1&amp;"C"&amp;$A31)+100*RTD("tos.rtd",,"OPEN_INT","."&amp;M$2&amp;M$1&amp;"P"&amp;$A31)*RTD("tos.rtd",,"DELTA","."&amp;M$2&amp;M$1&amp;"P"&amp;$A31))/1000,(100*RTD("tos.rtd",,"OPEN_INT","."&amp;M$2&amp;M$1&amp;"C"&amp;$A31)*RTD("tos.rtd",,"DELTA","."&amp;M$2&amp;M$1&amp;"C"&amp;$A31)-100*RTD("tos.rtd",,"OPEN_INT","."&amp;M$2&amp;M$1&amp;"P"&amp;$A31)*RTD("tos.rtd",,"DELTA","."&amp;M$2&amp;M$1&amp;"P"&amp;$A31))/1000),0),IF($A$2="VEX",IFERROR(IF($X$1="ABS",($A$4*$A$4*RTD("tos.rtd",,"VOLUME","."&amp;M$2&amp;M$1&amp;"C"&amp;$A31)*RTD("tos.rtd",,"GAMMA","."&amp;M$2&amp;M$1&amp;"C"&amp;$A31)+$A$4*$A$4*RTD("tos.rtd",,"VOLUME","."&amp;M$2&amp;M$1&amp;"P"&amp;$A31)*RTD("tos.rtd",,"GAMMA","."&amp;M$2&amp;M$1&amp;"P"&amp;$A31))/1000000,($A$4*$A$4*RTD("tos.rtd",,"VOLUME","."&amp;M$2&amp;M$1&amp;"C"&amp;$A31)*RTD("tos.rtd",,"GAMMA","."&amp;M$2&amp;M$1&amp;"C"&amp;$A31)-$A$4*$A$4*RTD("tos.rtd",,"VOLUME","."&amp;M$2&amp;M$1&amp;"P"&amp;$A31)*RTD("tos.rtd",,"GAMMA","."&amp;M$2&amp;M$1&amp;"P"&amp;$A31))/1000000),0),IF($A$2="GEX",IFERROR(IF($X$1="ABS",($A$4*$A$4*RTD("tos.rtd",,"OPEN_INT","."&amp;M$2&amp;M$1&amp;"C"&amp;$A31)*RTD("tos.rtd",,"GAMMA","."&amp;M$2&amp;M$1&amp;"C"&amp;$A31)+$A$4*$A$4*RTD("tos.rtd",,"OPEN_INT","."&amp;M$2&amp;M$1&amp;"P"&amp;$A31)*RTD("tos.rtd",,"GAMMA","."&amp;M$2&amp;M$1&amp;"P"&amp;$A31))/1000000,($A$4*$A$4*RTD("tos.rtd",,"OPEN_INT","."&amp;M$2&amp;M$1&amp;"C"&amp;$A31)*RTD("tos.rtd",,"GAMMA","."&amp;M$2&amp;M$1&amp;"C"&amp;$A31)-$A$4*$A$4*RTD("tos.rtd",,"OPEN_INT","."&amp;M$2&amp;M$1&amp;"P"&amp;$A31)*RTD("tos.rtd",,"GAMMA","."&amp;M$2&amp;M$1&amp;"P"&amp;$A31))/1000000),0),IF($A$2="SKEW",IFERROR(VALUE(IF(RTD("tos.rtd",,"IMPL_VOL","."&amp;M$2&amp;M$1&amp;"P"&amp;$A31)="N/A",0,RTD("tos.rtd",,"IMPL_VOL","."&amp;M$2&amp;M$1&amp;"P"&amp;$A31))),0)-IFERROR(VALUE(IF(RTD("tos.rtd",,"IMPL_VOL","."&amp;M$2&amp;M$1&amp;"C"&amp;$A31)="N/A",0,RTD("tos.rtd",,"IMPL_VOL","."&amp;M$2&amp;M$1&amp;"C"&amp;$A31))),0),IF($A$2="MAXPAIN",IF($A$4&gt;$A31,($A$4-$A31)*IF(RTD("tos.rtd",,"OPEN_INT","."&amp;M$2&amp;M$1&amp;"C"&amp;$A31)="N/A",0,RTD("tos.rtd",,"OPEN_INT","."&amp;M$2&amp;M$1&amp;"C"&amp;$A31)),0)+IF($A$4&lt;$A31,($A$5-$A$4)*IF(RTD("tos.rtd",,"OPEN_INT","."&amp;M$2&amp;M$1&amp;"P"&amp;$A31)="N/A",0,RTD("tos.rtd",,"OPEN_INT","."&amp;M$2&amp;M$1&amp;"P"&amp;$A31)),0),IF($X$1="ABS",IF(RTD("tos.rtd",,$A$2,"."&amp;M$2&amp;M$1&amp;"C"&amp;$A31)="N/A",0,RTD("tos.rtd",,$A$2,"."&amp;M$2&amp;M$1&amp;"C"&amp;$A31))+IF(RTD("tos.rtd",,$A$2,"."&amp;M$2&amp;M$1&amp;"P"&amp;$A31)="N/A",0,RTD("tos.rtd",,$A$2,"."&amp;M$2&amp;M$1&amp;"P"&amp;$A31)),IF(RTD("tos.rtd",,$A$2,"."&amp;M$2&amp;M$1&amp;"C"&amp;$A31)="N/A",0,RTD("tos.rtd",,$A$2,"."&amp;M$2&amp;M$1&amp;"C"&amp;$A31))-IF(RTD("tos.rtd",,$A$2,"."&amp;M$2&amp;M$1&amp;"P"&amp;$A31)="N/A",0,RTD("tos.rtd",,$A$2,"."&amp;M$2&amp;M$1&amp;"P"&amp;$A31))))))))))</f>
        <v>0</v>
      </c>
      <c r="N31" s="12">
        <f ca="1">IF($A$2="PREMIUM_OI",IFERROR(IF($X$1="ABS",(100*RTD("tos.rtd",,"OPEN_INT","."&amp;N$2&amp;N$1&amp;"C"&amp;$A31)*RTD("tos.rtd",,"LAST","."&amp;N$2&amp;N$1&amp;"C"&amp;$A31)+100*RTD("tos.rtd",,"OPEN_INT","."&amp;N$2&amp;N$1&amp;"P"&amp;$A31)*RTD("tos.rtd",,"LAST","."&amp;N$2&amp;N$1&amp;"P"&amp;$A31))/1000000,(100*RTD("tos.rtd",,"OPEN_INT","."&amp;N$2&amp;N$1&amp;"C"&amp;$A31)*RTD("tos.rtd",,"LAST","."&amp;N$2&amp;N$1&amp;"C"&amp;$A31)-100*RTD("tos.rtd",,"OPEN_INT","."&amp;N$2&amp;N$1&amp;"P"&amp;$A31)*RTD("tos.rtd",,"LAST","."&amp;N$2&amp;N$1&amp;"P"&amp;$A31))/1000000),0),IF($A$2="PREMIUM",IFERROR(IF($X$1="ABS",(100*RTD("tos.rtd",,"VOLUME","."&amp;N$2&amp;N$1&amp;"C"&amp;$A31)*RTD("tos.rtd",,"LAST","."&amp;N$2&amp;N$1&amp;"C"&amp;$A31)+100*RTD("tos.rtd",,"VOLUME","."&amp;N$2&amp;N$1&amp;"P"&amp;$A31)*RTD("tos.rtd",,"LAST","."&amp;N$2&amp;N$1&amp;"P"&amp;$A31))/1000000,(100*RTD("tos.rtd",,"VOLUME","."&amp;N$2&amp;N$1&amp;"C"&amp;$A31)*RTD("tos.rtd",,"LAST","."&amp;N$2&amp;N$1&amp;"C"&amp;$A31)-100*RTD("tos.rtd",,"VOLUME","."&amp;N$2&amp;N$1&amp;"P"&amp;$A31)*RTD("tos.rtd",,"LAST","."&amp;N$2&amp;N$1&amp;"P"&amp;$A31))/1000000),0),IF($A$2="DEX",IFERROR(IF($X$1="ABS",(100*RTD("tos.rtd",,"OPEN_INT","."&amp;N$2&amp;N$1&amp;"C"&amp;$A31)*RTD("tos.rtd",,"DELTA","."&amp;N$2&amp;N$1&amp;"C"&amp;$A31)+100*RTD("tos.rtd",,"OPEN_INT","."&amp;N$2&amp;N$1&amp;"P"&amp;$A31)*RTD("tos.rtd",,"DELTA","."&amp;N$2&amp;N$1&amp;"P"&amp;$A31))/1000,(100*RTD("tos.rtd",,"OPEN_INT","."&amp;N$2&amp;N$1&amp;"C"&amp;$A31)*RTD("tos.rtd",,"DELTA","."&amp;N$2&amp;N$1&amp;"C"&amp;$A31)-100*RTD("tos.rtd",,"OPEN_INT","."&amp;N$2&amp;N$1&amp;"P"&amp;$A31)*RTD("tos.rtd",,"DELTA","."&amp;N$2&amp;N$1&amp;"P"&amp;$A31))/1000),0),IF($A$2="VEX",IFERROR(IF($X$1="ABS",($A$4*$A$4*RTD("tos.rtd",,"VOLUME","."&amp;N$2&amp;N$1&amp;"C"&amp;$A31)*RTD("tos.rtd",,"GAMMA","."&amp;N$2&amp;N$1&amp;"C"&amp;$A31)+$A$4*$A$4*RTD("tos.rtd",,"VOLUME","."&amp;N$2&amp;N$1&amp;"P"&amp;$A31)*RTD("tos.rtd",,"GAMMA","."&amp;N$2&amp;N$1&amp;"P"&amp;$A31))/1000000,($A$4*$A$4*RTD("tos.rtd",,"VOLUME","."&amp;N$2&amp;N$1&amp;"C"&amp;$A31)*RTD("tos.rtd",,"GAMMA","."&amp;N$2&amp;N$1&amp;"C"&amp;$A31)-$A$4*$A$4*RTD("tos.rtd",,"VOLUME","."&amp;N$2&amp;N$1&amp;"P"&amp;$A31)*RTD("tos.rtd",,"GAMMA","."&amp;N$2&amp;N$1&amp;"P"&amp;$A31))/1000000),0),IF($A$2="GEX",IFERROR(IF($X$1="ABS",($A$4*$A$4*RTD("tos.rtd",,"OPEN_INT","."&amp;N$2&amp;N$1&amp;"C"&amp;$A31)*RTD("tos.rtd",,"GAMMA","."&amp;N$2&amp;N$1&amp;"C"&amp;$A31)+$A$4*$A$4*RTD("tos.rtd",,"OPEN_INT","."&amp;N$2&amp;N$1&amp;"P"&amp;$A31)*RTD("tos.rtd",,"GAMMA","."&amp;N$2&amp;N$1&amp;"P"&amp;$A31))/1000000,($A$4*$A$4*RTD("tos.rtd",,"OPEN_INT","."&amp;N$2&amp;N$1&amp;"C"&amp;$A31)*RTD("tos.rtd",,"GAMMA","."&amp;N$2&amp;N$1&amp;"C"&amp;$A31)-$A$4*$A$4*RTD("tos.rtd",,"OPEN_INT","."&amp;N$2&amp;N$1&amp;"P"&amp;$A31)*RTD("tos.rtd",,"GAMMA","."&amp;N$2&amp;N$1&amp;"P"&amp;$A31))/1000000),0),IF($A$2="SKEW",IFERROR(VALUE(IF(RTD("tos.rtd",,"IMPL_VOL","."&amp;N$2&amp;N$1&amp;"P"&amp;$A31)="N/A",0,RTD("tos.rtd",,"IMPL_VOL","."&amp;N$2&amp;N$1&amp;"P"&amp;$A31))),0)-IFERROR(VALUE(IF(RTD("tos.rtd",,"IMPL_VOL","."&amp;N$2&amp;N$1&amp;"C"&amp;$A31)="N/A",0,RTD("tos.rtd",,"IMPL_VOL","."&amp;N$2&amp;N$1&amp;"C"&amp;$A31))),0),IF($A$2="MAXPAIN",IF($A$4&gt;$A31,($A$4-$A31)*IF(RTD("tos.rtd",,"OPEN_INT","."&amp;N$2&amp;N$1&amp;"C"&amp;$A31)="N/A",0,RTD("tos.rtd",,"OPEN_INT","."&amp;N$2&amp;N$1&amp;"C"&amp;$A31)),0)+IF($A$4&lt;$A31,($A$5-$A$4)*IF(RTD("tos.rtd",,"OPEN_INT","."&amp;N$2&amp;N$1&amp;"P"&amp;$A31)="N/A",0,RTD("tos.rtd",,"OPEN_INT","."&amp;N$2&amp;N$1&amp;"P"&amp;$A31)),0),IF($X$1="ABS",IF(RTD("tos.rtd",,$A$2,"."&amp;N$2&amp;N$1&amp;"C"&amp;$A31)="N/A",0,RTD("tos.rtd",,$A$2,"."&amp;N$2&amp;N$1&amp;"C"&amp;$A31))+IF(RTD("tos.rtd",,$A$2,"."&amp;N$2&amp;N$1&amp;"P"&amp;$A31)="N/A",0,RTD("tos.rtd",,$A$2,"."&amp;N$2&amp;N$1&amp;"P"&amp;$A31)),IF(RTD("tos.rtd",,$A$2,"."&amp;N$2&amp;N$1&amp;"C"&amp;$A31)="N/A",0,RTD("tos.rtd",,$A$2,"."&amp;N$2&amp;N$1&amp;"C"&amp;$A31))-IF(RTD("tos.rtd",,$A$2,"."&amp;N$2&amp;N$1&amp;"P"&amp;$A31)="N/A",0,RTD("tos.rtd",,$A$2,"."&amp;N$2&amp;N$1&amp;"P"&amp;$A31))))))))))</f>
        <v>0</v>
      </c>
      <c r="O31" s="12">
        <f ca="1">IF($A$2="PREMIUM_OI",IFERROR(IF($X$1="ABS",(100*RTD("tos.rtd",,"OPEN_INT","."&amp;O$2&amp;O$1&amp;"C"&amp;$A31)*RTD("tos.rtd",,"LAST","."&amp;O$2&amp;O$1&amp;"C"&amp;$A31)+100*RTD("tos.rtd",,"OPEN_INT","."&amp;O$2&amp;O$1&amp;"P"&amp;$A31)*RTD("tos.rtd",,"LAST","."&amp;O$2&amp;O$1&amp;"P"&amp;$A31))/1000000,(100*RTD("tos.rtd",,"OPEN_INT","."&amp;O$2&amp;O$1&amp;"C"&amp;$A31)*RTD("tos.rtd",,"LAST","."&amp;O$2&amp;O$1&amp;"C"&amp;$A31)-100*RTD("tos.rtd",,"OPEN_INT","."&amp;O$2&amp;O$1&amp;"P"&amp;$A31)*RTD("tos.rtd",,"LAST","."&amp;O$2&amp;O$1&amp;"P"&amp;$A31))/1000000),0),IF($A$2="PREMIUM",IFERROR(IF($X$1="ABS",(100*RTD("tos.rtd",,"VOLUME","."&amp;O$2&amp;O$1&amp;"C"&amp;$A31)*RTD("tos.rtd",,"LAST","."&amp;O$2&amp;O$1&amp;"C"&amp;$A31)+100*RTD("tos.rtd",,"VOLUME","."&amp;O$2&amp;O$1&amp;"P"&amp;$A31)*RTD("tos.rtd",,"LAST","."&amp;O$2&amp;O$1&amp;"P"&amp;$A31))/1000000,(100*RTD("tos.rtd",,"VOLUME","."&amp;O$2&amp;O$1&amp;"C"&amp;$A31)*RTD("tos.rtd",,"LAST","."&amp;O$2&amp;O$1&amp;"C"&amp;$A31)-100*RTD("tos.rtd",,"VOLUME","."&amp;O$2&amp;O$1&amp;"P"&amp;$A31)*RTD("tos.rtd",,"LAST","."&amp;O$2&amp;O$1&amp;"P"&amp;$A31))/1000000),0),IF($A$2="DEX",IFERROR(IF($X$1="ABS",(100*RTD("tos.rtd",,"OPEN_INT","."&amp;O$2&amp;O$1&amp;"C"&amp;$A31)*RTD("tos.rtd",,"DELTA","."&amp;O$2&amp;O$1&amp;"C"&amp;$A31)+100*RTD("tos.rtd",,"OPEN_INT","."&amp;O$2&amp;O$1&amp;"P"&amp;$A31)*RTD("tos.rtd",,"DELTA","."&amp;O$2&amp;O$1&amp;"P"&amp;$A31))/1000,(100*RTD("tos.rtd",,"OPEN_INT","."&amp;O$2&amp;O$1&amp;"C"&amp;$A31)*RTD("tos.rtd",,"DELTA","."&amp;O$2&amp;O$1&amp;"C"&amp;$A31)-100*RTD("tos.rtd",,"OPEN_INT","."&amp;O$2&amp;O$1&amp;"P"&amp;$A31)*RTD("tos.rtd",,"DELTA","."&amp;O$2&amp;O$1&amp;"P"&amp;$A31))/1000),0),IF($A$2="VEX",IFERROR(IF($X$1="ABS",($A$4*$A$4*RTD("tos.rtd",,"VOLUME","."&amp;O$2&amp;O$1&amp;"C"&amp;$A31)*RTD("tos.rtd",,"GAMMA","."&amp;O$2&amp;O$1&amp;"C"&amp;$A31)+$A$4*$A$4*RTD("tos.rtd",,"VOLUME","."&amp;O$2&amp;O$1&amp;"P"&amp;$A31)*RTD("tos.rtd",,"GAMMA","."&amp;O$2&amp;O$1&amp;"P"&amp;$A31))/1000000,($A$4*$A$4*RTD("tos.rtd",,"VOLUME","."&amp;O$2&amp;O$1&amp;"C"&amp;$A31)*RTD("tos.rtd",,"GAMMA","."&amp;O$2&amp;O$1&amp;"C"&amp;$A31)-$A$4*$A$4*RTD("tos.rtd",,"VOLUME","."&amp;O$2&amp;O$1&amp;"P"&amp;$A31)*RTD("tos.rtd",,"GAMMA","."&amp;O$2&amp;O$1&amp;"P"&amp;$A31))/1000000),0),IF($A$2="GEX",IFERROR(IF($X$1="ABS",($A$4*$A$4*RTD("tos.rtd",,"OPEN_INT","."&amp;O$2&amp;O$1&amp;"C"&amp;$A31)*RTD("tos.rtd",,"GAMMA","."&amp;O$2&amp;O$1&amp;"C"&amp;$A31)+$A$4*$A$4*RTD("tos.rtd",,"OPEN_INT","."&amp;O$2&amp;O$1&amp;"P"&amp;$A31)*RTD("tos.rtd",,"GAMMA","."&amp;O$2&amp;O$1&amp;"P"&amp;$A31))/1000000,($A$4*$A$4*RTD("tos.rtd",,"OPEN_INT","."&amp;O$2&amp;O$1&amp;"C"&amp;$A31)*RTD("tos.rtd",,"GAMMA","."&amp;O$2&amp;O$1&amp;"C"&amp;$A31)-$A$4*$A$4*RTD("tos.rtd",,"OPEN_INT","."&amp;O$2&amp;O$1&amp;"P"&amp;$A31)*RTD("tos.rtd",,"GAMMA","."&amp;O$2&amp;O$1&amp;"P"&amp;$A31))/1000000),0),IF($A$2="SKEW",IFERROR(VALUE(IF(RTD("tos.rtd",,"IMPL_VOL","."&amp;O$2&amp;O$1&amp;"P"&amp;$A31)="N/A",0,RTD("tos.rtd",,"IMPL_VOL","."&amp;O$2&amp;O$1&amp;"P"&amp;$A31))),0)-IFERROR(VALUE(IF(RTD("tos.rtd",,"IMPL_VOL","."&amp;O$2&amp;O$1&amp;"C"&amp;$A31)="N/A",0,RTD("tos.rtd",,"IMPL_VOL","."&amp;O$2&amp;O$1&amp;"C"&amp;$A31))),0),IF($A$2="MAXPAIN",IF($A$4&gt;$A31,($A$4-$A31)*IF(RTD("tos.rtd",,"OPEN_INT","."&amp;O$2&amp;O$1&amp;"C"&amp;$A31)="N/A",0,RTD("tos.rtd",,"OPEN_INT","."&amp;O$2&amp;O$1&amp;"C"&amp;$A31)),0)+IF($A$4&lt;$A31,($A$5-$A$4)*IF(RTD("tos.rtd",,"OPEN_INT","."&amp;O$2&amp;O$1&amp;"P"&amp;$A31)="N/A",0,RTD("tos.rtd",,"OPEN_INT","."&amp;O$2&amp;O$1&amp;"P"&amp;$A31)),0),IF($X$1="ABS",IF(RTD("tos.rtd",,$A$2,"."&amp;O$2&amp;O$1&amp;"C"&amp;$A31)="N/A",0,RTD("tos.rtd",,$A$2,"."&amp;O$2&amp;O$1&amp;"C"&amp;$A31))+IF(RTD("tos.rtd",,$A$2,"."&amp;O$2&amp;O$1&amp;"P"&amp;$A31)="N/A",0,RTD("tos.rtd",,$A$2,"."&amp;O$2&amp;O$1&amp;"P"&amp;$A31)),IF(RTD("tos.rtd",,$A$2,"."&amp;O$2&amp;O$1&amp;"C"&amp;$A31)="N/A",0,RTD("tos.rtd",,$A$2,"."&amp;O$2&amp;O$1&amp;"C"&amp;$A31))-IF(RTD("tos.rtd",,$A$2,"."&amp;O$2&amp;O$1&amp;"P"&amp;$A31)="N/A",0,RTD("tos.rtd",,$A$2,"."&amp;O$2&amp;O$1&amp;"P"&amp;$A31))))))))))</f>
        <v>0</v>
      </c>
      <c r="P31" s="12">
        <f ca="1">IF($A$2="PREMIUM_OI",IFERROR(IF($X$1="ABS",(100*RTD("tos.rtd",,"OPEN_INT","."&amp;P$2&amp;P$1&amp;"C"&amp;$A31)*RTD("tos.rtd",,"LAST","."&amp;P$2&amp;P$1&amp;"C"&amp;$A31)+100*RTD("tos.rtd",,"OPEN_INT","."&amp;P$2&amp;P$1&amp;"P"&amp;$A31)*RTD("tos.rtd",,"LAST","."&amp;P$2&amp;P$1&amp;"P"&amp;$A31))/1000000,(100*RTD("tos.rtd",,"OPEN_INT","."&amp;P$2&amp;P$1&amp;"C"&amp;$A31)*RTD("tos.rtd",,"LAST","."&amp;P$2&amp;P$1&amp;"C"&amp;$A31)-100*RTD("tos.rtd",,"OPEN_INT","."&amp;P$2&amp;P$1&amp;"P"&amp;$A31)*RTD("tos.rtd",,"LAST","."&amp;P$2&amp;P$1&amp;"P"&amp;$A31))/1000000),0),IF($A$2="PREMIUM",IFERROR(IF($X$1="ABS",(100*RTD("tos.rtd",,"VOLUME","."&amp;P$2&amp;P$1&amp;"C"&amp;$A31)*RTD("tos.rtd",,"LAST","."&amp;P$2&amp;P$1&amp;"C"&amp;$A31)+100*RTD("tos.rtd",,"VOLUME","."&amp;P$2&amp;P$1&amp;"P"&amp;$A31)*RTD("tos.rtd",,"LAST","."&amp;P$2&amp;P$1&amp;"P"&amp;$A31))/1000000,(100*RTD("tos.rtd",,"VOLUME","."&amp;P$2&amp;P$1&amp;"C"&amp;$A31)*RTD("tos.rtd",,"LAST","."&amp;P$2&amp;P$1&amp;"C"&amp;$A31)-100*RTD("tos.rtd",,"VOLUME","."&amp;P$2&amp;P$1&amp;"P"&amp;$A31)*RTD("tos.rtd",,"LAST","."&amp;P$2&amp;P$1&amp;"P"&amp;$A31))/1000000),0),IF($A$2="DEX",IFERROR(IF($X$1="ABS",(100*RTD("tos.rtd",,"OPEN_INT","."&amp;P$2&amp;P$1&amp;"C"&amp;$A31)*RTD("tos.rtd",,"DELTA","."&amp;P$2&amp;P$1&amp;"C"&amp;$A31)+100*RTD("tos.rtd",,"OPEN_INT","."&amp;P$2&amp;P$1&amp;"P"&amp;$A31)*RTD("tos.rtd",,"DELTA","."&amp;P$2&amp;P$1&amp;"P"&amp;$A31))/1000,(100*RTD("tos.rtd",,"OPEN_INT","."&amp;P$2&amp;P$1&amp;"C"&amp;$A31)*RTD("tos.rtd",,"DELTA","."&amp;P$2&amp;P$1&amp;"C"&amp;$A31)-100*RTD("tos.rtd",,"OPEN_INT","."&amp;P$2&amp;P$1&amp;"P"&amp;$A31)*RTD("tos.rtd",,"DELTA","."&amp;P$2&amp;P$1&amp;"P"&amp;$A31))/1000),0),IF($A$2="VEX",IFERROR(IF($X$1="ABS",($A$4*$A$4*RTD("tos.rtd",,"VOLUME","."&amp;P$2&amp;P$1&amp;"C"&amp;$A31)*RTD("tos.rtd",,"GAMMA","."&amp;P$2&amp;P$1&amp;"C"&amp;$A31)+$A$4*$A$4*RTD("tos.rtd",,"VOLUME","."&amp;P$2&amp;P$1&amp;"P"&amp;$A31)*RTD("tos.rtd",,"GAMMA","."&amp;P$2&amp;P$1&amp;"P"&amp;$A31))/1000000,($A$4*$A$4*RTD("tos.rtd",,"VOLUME","."&amp;P$2&amp;P$1&amp;"C"&amp;$A31)*RTD("tos.rtd",,"GAMMA","."&amp;P$2&amp;P$1&amp;"C"&amp;$A31)-$A$4*$A$4*RTD("tos.rtd",,"VOLUME","."&amp;P$2&amp;P$1&amp;"P"&amp;$A31)*RTD("tos.rtd",,"GAMMA","."&amp;P$2&amp;P$1&amp;"P"&amp;$A31))/1000000),0),IF($A$2="GEX",IFERROR(IF($X$1="ABS",($A$4*$A$4*RTD("tos.rtd",,"OPEN_INT","."&amp;P$2&amp;P$1&amp;"C"&amp;$A31)*RTD("tos.rtd",,"GAMMA","."&amp;P$2&amp;P$1&amp;"C"&amp;$A31)+$A$4*$A$4*RTD("tos.rtd",,"OPEN_INT","."&amp;P$2&amp;P$1&amp;"P"&amp;$A31)*RTD("tos.rtd",,"GAMMA","."&amp;P$2&amp;P$1&amp;"P"&amp;$A31))/1000000,($A$4*$A$4*RTD("tos.rtd",,"OPEN_INT","."&amp;P$2&amp;P$1&amp;"C"&amp;$A31)*RTD("tos.rtd",,"GAMMA","."&amp;P$2&amp;P$1&amp;"C"&amp;$A31)-$A$4*$A$4*RTD("tos.rtd",,"OPEN_INT","."&amp;P$2&amp;P$1&amp;"P"&amp;$A31)*RTD("tos.rtd",,"GAMMA","."&amp;P$2&amp;P$1&amp;"P"&amp;$A31))/1000000),0),IF($A$2="SKEW",IFERROR(VALUE(IF(RTD("tos.rtd",,"IMPL_VOL","."&amp;P$2&amp;P$1&amp;"P"&amp;$A31)="N/A",0,RTD("tos.rtd",,"IMPL_VOL","."&amp;P$2&amp;P$1&amp;"P"&amp;$A31))),0)-IFERROR(VALUE(IF(RTD("tos.rtd",,"IMPL_VOL","."&amp;P$2&amp;P$1&amp;"C"&amp;$A31)="N/A",0,RTD("tos.rtd",,"IMPL_VOL","."&amp;P$2&amp;P$1&amp;"C"&amp;$A31))),0),IF($A$2="MAXPAIN",IF($A$4&gt;$A31,($A$4-$A31)*IF(RTD("tos.rtd",,"OPEN_INT","."&amp;P$2&amp;P$1&amp;"C"&amp;$A31)="N/A",0,RTD("tos.rtd",,"OPEN_INT","."&amp;P$2&amp;P$1&amp;"C"&amp;$A31)),0)+IF($A$4&lt;$A31,($A$5-$A$4)*IF(RTD("tos.rtd",,"OPEN_INT","."&amp;P$2&amp;P$1&amp;"P"&amp;$A31)="N/A",0,RTD("tos.rtd",,"OPEN_INT","."&amp;P$2&amp;P$1&amp;"P"&amp;$A31)),0),IF($X$1="ABS",IF(RTD("tos.rtd",,$A$2,"."&amp;P$2&amp;P$1&amp;"C"&amp;$A31)="N/A",0,RTD("tos.rtd",,$A$2,"."&amp;P$2&amp;P$1&amp;"C"&amp;$A31))+IF(RTD("tos.rtd",,$A$2,"."&amp;P$2&amp;P$1&amp;"P"&amp;$A31)="N/A",0,RTD("tos.rtd",,$A$2,"."&amp;P$2&amp;P$1&amp;"P"&amp;$A31)),IF(RTD("tos.rtd",,$A$2,"."&amp;P$2&amp;P$1&amp;"C"&amp;$A31)="N/A",0,RTD("tos.rtd",,$A$2,"."&amp;P$2&amp;P$1&amp;"C"&amp;$A31))-IF(RTD("tos.rtd",,$A$2,"."&amp;P$2&amp;P$1&amp;"P"&amp;$A31)="N/A",0,RTD("tos.rtd",,$A$2,"."&amp;P$2&amp;P$1&amp;"P"&amp;$A31))))))))))</f>
        <v>0</v>
      </c>
      <c r="Q31" s="12">
        <f ca="1">IF($A$2="PREMIUM_OI",IFERROR(IF($X$1="ABS",(100*RTD("tos.rtd",,"OPEN_INT","."&amp;Q$2&amp;Q$1&amp;"C"&amp;$A31)*RTD("tos.rtd",,"LAST","."&amp;Q$2&amp;Q$1&amp;"C"&amp;$A31)+100*RTD("tos.rtd",,"OPEN_INT","."&amp;Q$2&amp;Q$1&amp;"P"&amp;$A31)*RTD("tos.rtd",,"LAST","."&amp;Q$2&amp;Q$1&amp;"P"&amp;$A31))/1000000,(100*RTD("tos.rtd",,"OPEN_INT","."&amp;Q$2&amp;Q$1&amp;"C"&amp;$A31)*RTD("tos.rtd",,"LAST","."&amp;Q$2&amp;Q$1&amp;"C"&amp;$A31)-100*RTD("tos.rtd",,"OPEN_INT","."&amp;Q$2&amp;Q$1&amp;"P"&amp;$A31)*RTD("tos.rtd",,"LAST","."&amp;Q$2&amp;Q$1&amp;"P"&amp;$A31))/1000000),0),IF($A$2="PREMIUM",IFERROR(IF($X$1="ABS",(100*RTD("tos.rtd",,"VOLUME","."&amp;Q$2&amp;Q$1&amp;"C"&amp;$A31)*RTD("tos.rtd",,"LAST","."&amp;Q$2&amp;Q$1&amp;"C"&amp;$A31)+100*RTD("tos.rtd",,"VOLUME","."&amp;Q$2&amp;Q$1&amp;"P"&amp;$A31)*RTD("tos.rtd",,"LAST","."&amp;Q$2&amp;Q$1&amp;"P"&amp;$A31))/1000000,(100*RTD("tos.rtd",,"VOLUME","."&amp;Q$2&amp;Q$1&amp;"C"&amp;$A31)*RTD("tos.rtd",,"LAST","."&amp;Q$2&amp;Q$1&amp;"C"&amp;$A31)-100*RTD("tos.rtd",,"VOLUME","."&amp;Q$2&amp;Q$1&amp;"P"&amp;$A31)*RTD("tos.rtd",,"LAST","."&amp;Q$2&amp;Q$1&amp;"P"&amp;$A31))/1000000),0),IF($A$2="DEX",IFERROR(IF($X$1="ABS",(100*RTD("tos.rtd",,"OPEN_INT","."&amp;Q$2&amp;Q$1&amp;"C"&amp;$A31)*RTD("tos.rtd",,"DELTA","."&amp;Q$2&amp;Q$1&amp;"C"&amp;$A31)+100*RTD("tos.rtd",,"OPEN_INT","."&amp;Q$2&amp;Q$1&amp;"P"&amp;$A31)*RTD("tos.rtd",,"DELTA","."&amp;Q$2&amp;Q$1&amp;"P"&amp;$A31))/1000,(100*RTD("tos.rtd",,"OPEN_INT","."&amp;Q$2&amp;Q$1&amp;"C"&amp;$A31)*RTD("tos.rtd",,"DELTA","."&amp;Q$2&amp;Q$1&amp;"C"&amp;$A31)-100*RTD("tos.rtd",,"OPEN_INT","."&amp;Q$2&amp;Q$1&amp;"P"&amp;$A31)*RTD("tos.rtd",,"DELTA","."&amp;Q$2&amp;Q$1&amp;"P"&amp;$A31))/1000),0),IF($A$2="VEX",IFERROR(IF($X$1="ABS",($A$4*$A$4*RTD("tos.rtd",,"VOLUME","."&amp;Q$2&amp;Q$1&amp;"C"&amp;$A31)*RTD("tos.rtd",,"GAMMA","."&amp;Q$2&amp;Q$1&amp;"C"&amp;$A31)+$A$4*$A$4*RTD("tos.rtd",,"VOLUME","."&amp;Q$2&amp;Q$1&amp;"P"&amp;$A31)*RTD("tos.rtd",,"GAMMA","."&amp;Q$2&amp;Q$1&amp;"P"&amp;$A31))/1000000,($A$4*$A$4*RTD("tos.rtd",,"VOLUME","."&amp;Q$2&amp;Q$1&amp;"C"&amp;$A31)*RTD("tos.rtd",,"GAMMA","."&amp;Q$2&amp;Q$1&amp;"C"&amp;$A31)-$A$4*$A$4*RTD("tos.rtd",,"VOLUME","."&amp;Q$2&amp;Q$1&amp;"P"&amp;$A31)*RTD("tos.rtd",,"GAMMA","."&amp;Q$2&amp;Q$1&amp;"P"&amp;$A31))/1000000),0),IF($A$2="GEX",IFERROR(IF($X$1="ABS",($A$4*$A$4*RTD("tos.rtd",,"OPEN_INT","."&amp;Q$2&amp;Q$1&amp;"C"&amp;$A31)*RTD("tos.rtd",,"GAMMA","."&amp;Q$2&amp;Q$1&amp;"C"&amp;$A31)+$A$4*$A$4*RTD("tos.rtd",,"OPEN_INT","."&amp;Q$2&amp;Q$1&amp;"P"&amp;$A31)*RTD("tos.rtd",,"GAMMA","."&amp;Q$2&amp;Q$1&amp;"P"&amp;$A31))/1000000,($A$4*$A$4*RTD("tos.rtd",,"OPEN_INT","."&amp;Q$2&amp;Q$1&amp;"C"&amp;$A31)*RTD("tos.rtd",,"GAMMA","."&amp;Q$2&amp;Q$1&amp;"C"&amp;$A31)-$A$4*$A$4*RTD("tos.rtd",,"OPEN_INT","."&amp;Q$2&amp;Q$1&amp;"P"&amp;$A31)*RTD("tos.rtd",,"GAMMA","."&amp;Q$2&amp;Q$1&amp;"P"&amp;$A31))/1000000),0),IF($A$2="SKEW",IFERROR(VALUE(IF(RTD("tos.rtd",,"IMPL_VOL","."&amp;Q$2&amp;Q$1&amp;"P"&amp;$A31)="N/A",0,RTD("tos.rtd",,"IMPL_VOL","."&amp;Q$2&amp;Q$1&amp;"P"&amp;$A31))),0)-IFERROR(VALUE(IF(RTD("tos.rtd",,"IMPL_VOL","."&amp;Q$2&amp;Q$1&amp;"C"&amp;$A31)="N/A",0,RTD("tos.rtd",,"IMPL_VOL","."&amp;Q$2&amp;Q$1&amp;"C"&amp;$A31))),0),IF($A$2="MAXPAIN",IF($A$4&gt;$A31,($A$4-$A31)*IF(RTD("tos.rtd",,"OPEN_INT","."&amp;Q$2&amp;Q$1&amp;"C"&amp;$A31)="N/A",0,RTD("tos.rtd",,"OPEN_INT","."&amp;Q$2&amp;Q$1&amp;"C"&amp;$A31)),0)+IF($A$4&lt;$A31,($A$5-$A$4)*IF(RTD("tos.rtd",,"OPEN_INT","."&amp;Q$2&amp;Q$1&amp;"P"&amp;$A31)="N/A",0,RTD("tos.rtd",,"OPEN_INT","."&amp;Q$2&amp;Q$1&amp;"P"&amp;$A31)),0),IF($X$1="ABS",IF(RTD("tos.rtd",,$A$2,"."&amp;Q$2&amp;Q$1&amp;"C"&amp;$A31)="N/A",0,RTD("tos.rtd",,$A$2,"."&amp;Q$2&amp;Q$1&amp;"C"&amp;$A31))+IF(RTD("tos.rtd",,$A$2,"."&amp;Q$2&amp;Q$1&amp;"P"&amp;$A31)="N/A",0,RTD("tos.rtd",,$A$2,"."&amp;Q$2&amp;Q$1&amp;"P"&amp;$A31)),IF(RTD("tos.rtd",,$A$2,"."&amp;Q$2&amp;Q$1&amp;"C"&amp;$A31)="N/A",0,RTD("tos.rtd",,$A$2,"."&amp;Q$2&amp;Q$1&amp;"C"&amp;$A31))-IF(RTD("tos.rtd",,$A$2,"."&amp;Q$2&amp;Q$1&amp;"P"&amp;$A31)="N/A",0,RTD("tos.rtd",,$A$2,"."&amp;Q$2&amp;Q$1&amp;"P"&amp;$A31))))))))))</f>
        <v>0</v>
      </c>
      <c r="R31" s="12">
        <f ca="1">IF($A$2="PREMIUM_OI",IFERROR(IF($X$1="ABS",(100*RTD("tos.rtd",,"OPEN_INT","."&amp;R$2&amp;R$1&amp;"C"&amp;$A31)*RTD("tos.rtd",,"LAST","."&amp;R$2&amp;R$1&amp;"C"&amp;$A31)+100*RTD("tos.rtd",,"OPEN_INT","."&amp;R$2&amp;R$1&amp;"P"&amp;$A31)*RTD("tos.rtd",,"LAST","."&amp;R$2&amp;R$1&amp;"P"&amp;$A31))/1000000,(100*RTD("tos.rtd",,"OPEN_INT","."&amp;R$2&amp;R$1&amp;"C"&amp;$A31)*RTD("tos.rtd",,"LAST","."&amp;R$2&amp;R$1&amp;"C"&amp;$A31)-100*RTD("tos.rtd",,"OPEN_INT","."&amp;R$2&amp;R$1&amp;"P"&amp;$A31)*RTD("tos.rtd",,"LAST","."&amp;R$2&amp;R$1&amp;"P"&amp;$A31))/1000000),0),IF($A$2="PREMIUM",IFERROR(IF($X$1="ABS",(100*RTD("tos.rtd",,"VOLUME","."&amp;R$2&amp;R$1&amp;"C"&amp;$A31)*RTD("tos.rtd",,"LAST","."&amp;R$2&amp;R$1&amp;"C"&amp;$A31)+100*RTD("tos.rtd",,"VOLUME","."&amp;R$2&amp;R$1&amp;"P"&amp;$A31)*RTD("tos.rtd",,"LAST","."&amp;R$2&amp;R$1&amp;"P"&amp;$A31))/1000000,(100*RTD("tos.rtd",,"VOLUME","."&amp;R$2&amp;R$1&amp;"C"&amp;$A31)*RTD("tos.rtd",,"LAST","."&amp;R$2&amp;R$1&amp;"C"&amp;$A31)-100*RTD("tos.rtd",,"VOLUME","."&amp;R$2&amp;R$1&amp;"P"&amp;$A31)*RTD("tos.rtd",,"LAST","."&amp;R$2&amp;R$1&amp;"P"&amp;$A31))/1000000),0),IF($A$2="DEX",IFERROR(IF($X$1="ABS",(100*RTD("tos.rtd",,"OPEN_INT","."&amp;R$2&amp;R$1&amp;"C"&amp;$A31)*RTD("tos.rtd",,"DELTA","."&amp;R$2&amp;R$1&amp;"C"&amp;$A31)+100*RTD("tos.rtd",,"OPEN_INT","."&amp;R$2&amp;R$1&amp;"P"&amp;$A31)*RTD("tos.rtd",,"DELTA","."&amp;R$2&amp;R$1&amp;"P"&amp;$A31))/1000,(100*RTD("tos.rtd",,"OPEN_INT","."&amp;R$2&amp;R$1&amp;"C"&amp;$A31)*RTD("tos.rtd",,"DELTA","."&amp;R$2&amp;R$1&amp;"C"&amp;$A31)-100*RTD("tos.rtd",,"OPEN_INT","."&amp;R$2&amp;R$1&amp;"P"&amp;$A31)*RTD("tos.rtd",,"DELTA","."&amp;R$2&amp;R$1&amp;"P"&amp;$A31))/1000),0),IF($A$2="VEX",IFERROR(IF($X$1="ABS",($A$4*$A$4*RTD("tos.rtd",,"VOLUME","."&amp;R$2&amp;R$1&amp;"C"&amp;$A31)*RTD("tos.rtd",,"GAMMA","."&amp;R$2&amp;R$1&amp;"C"&amp;$A31)+$A$4*$A$4*RTD("tos.rtd",,"VOLUME","."&amp;R$2&amp;R$1&amp;"P"&amp;$A31)*RTD("tos.rtd",,"GAMMA","."&amp;R$2&amp;R$1&amp;"P"&amp;$A31))/1000000,($A$4*$A$4*RTD("tos.rtd",,"VOLUME","."&amp;R$2&amp;R$1&amp;"C"&amp;$A31)*RTD("tos.rtd",,"GAMMA","."&amp;R$2&amp;R$1&amp;"C"&amp;$A31)-$A$4*$A$4*RTD("tos.rtd",,"VOLUME","."&amp;R$2&amp;R$1&amp;"P"&amp;$A31)*RTD("tos.rtd",,"GAMMA","."&amp;R$2&amp;R$1&amp;"P"&amp;$A31))/1000000),0),IF($A$2="GEX",IFERROR(IF($X$1="ABS",($A$4*$A$4*RTD("tos.rtd",,"OPEN_INT","."&amp;R$2&amp;R$1&amp;"C"&amp;$A31)*RTD("tos.rtd",,"GAMMA","."&amp;R$2&amp;R$1&amp;"C"&amp;$A31)+$A$4*$A$4*RTD("tos.rtd",,"OPEN_INT","."&amp;R$2&amp;R$1&amp;"P"&amp;$A31)*RTD("tos.rtd",,"GAMMA","."&amp;R$2&amp;R$1&amp;"P"&amp;$A31))/1000000,($A$4*$A$4*RTD("tos.rtd",,"OPEN_INT","."&amp;R$2&amp;R$1&amp;"C"&amp;$A31)*RTD("tos.rtd",,"GAMMA","."&amp;R$2&amp;R$1&amp;"C"&amp;$A31)-$A$4*$A$4*RTD("tos.rtd",,"OPEN_INT","."&amp;R$2&amp;R$1&amp;"P"&amp;$A31)*RTD("tos.rtd",,"GAMMA","."&amp;R$2&amp;R$1&amp;"P"&amp;$A31))/1000000),0),IF($A$2="SKEW",IFERROR(VALUE(IF(RTD("tos.rtd",,"IMPL_VOL","."&amp;R$2&amp;R$1&amp;"P"&amp;$A31)="N/A",0,RTD("tos.rtd",,"IMPL_VOL","."&amp;R$2&amp;R$1&amp;"P"&amp;$A31))),0)-IFERROR(VALUE(IF(RTD("tos.rtd",,"IMPL_VOL","."&amp;R$2&amp;R$1&amp;"C"&amp;$A31)="N/A",0,RTD("tos.rtd",,"IMPL_VOL","."&amp;R$2&amp;R$1&amp;"C"&amp;$A31))),0),IF($A$2="MAXPAIN",IF($A$4&gt;$A31,($A$4-$A31)*IF(RTD("tos.rtd",,"OPEN_INT","."&amp;R$2&amp;R$1&amp;"C"&amp;$A31)="N/A",0,RTD("tos.rtd",,"OPEN_INT","."&amp;R$2&amp;R$1&amp;"C"&amp;$A31)),0)+IF($A$4&lt;$A31,($A$5-$A$4)*IF(RTD("tos.rtd",,"OPEN_INT","."&amp;R$2&amp;R$1&amp;"P"&amp;$A31)="N/A",0,RTD("tos.rtd",,"OPEN_INT","."&amp;R$2&amp;R$1&amp;"P"&amp;$A31)),0),IF($X$1="ABS",IF(RTD("tos.rtd",,$A$2,"."&amp;R$2&amp;R$1&amp;"C"&amp;$A31)="N/A",0,RTD("tos.rtd",,$A$2,"."&amp;R$2&amp;R$1&amp;"C"&amp;$A31))+IF(RTD("tos.rtd",,$A$2,"."&amp;R$2&amp;R$1&amp;"P"&amp;$A31)="N/A",0,RTD("tos.rtd",,$A$2,"."&amp;R$2&amp;R$1&amp;"P"&amp;$A31)),IF(RTD("tos.rtd",,$A$2,"."&amp;R$2&amp;R$1&amp;"C"&amp;$A31)="N/A",0,RTD("tos.rtd",,$A$2,"."&amp;R$2&amp;R$1&amp;"C"&amp;$A31))-IF(RTD("tos.rtd",,$A$2,"."&amp;R$2&amp;R$1&amp;"P"&amp;$A31)="N/A",0,RTD("tos.rtd",,$A$2,"."&amp;R$2&amp;R$1&amp;"P"&amp;$A31))))))))))</f>
        <v>0</v>
      </c>
      <c r="S31" s="12">
        <f ca="1">IF($A$2="PREMIUM_OI",IFERROR(IF($X$1="ABS",(100*RTD("tos.rtd",,"OPEN_INT","."&amp;S$2&amp;S$1&amp;"C"&amp;$A31)*RTD("tos.rtd",,"LAST","."&amp;S$2&amp;S$1&amp;"C"&amp;$A31)+100*RTD("tos.rtd",,"OPEN_INT","."&amp;S$2&amp;S$1&amp;"P"&amp;$A31)*RTD("tos.rtd",,"LAST","."&amp;S$2&amp;S$1&amp;"P"&amp;$A31))/1000000,(100*RTD("tos.rtd",,"OPEN_INT","."&amp;S$2&amp;S$1&amp;"C"&amp;$A31)*RTD("tos.rtd",,"LAST","."&amp;S$2&amp;S$1&amp;"C"&amp;$A31)-100*RTD("tos.rtd",,"OPEN_INT","."&amp;S$2&amp;S$1&amp;"P"&amp;$A31)*RTD("tos.rtd",,"LAST","."&amp;S$2&amp;S$1&amp;"P"&amp;$A31))/1000000),0),IF($A$2="PREMIUM",IFERROR(IF($X$1="ABS",(100*RTD("tos.rtd",,"VOLUME","."&amp;S$2&amp;S$1&amp;"C"&amp;$A31)*RTD("tos.rtd",,"LAST","."&amp;S$2&amp;S$1&amp;"C"&amp;$A31)+100*RTD("tos.rtd",,"VOLUME","."&amp;S$2&amp;S$1&amp;"P"&amp;$A31)*RTD("tos.rtd",,"LAST","."&amp;S$2&amp;S$1&amp;"P"&amp;$A31))/1000000,(100*RTD("tos.rtd",,"VOLUME","."&amp;S$2&amp;S$1&amp;"C"&amp;$A31)*RTD("tos.rtd",,"LAST","."&amp;S$2&amp;S$1&amp;"C"&amp;$A31)-100*RTD("tos.rtd",,"VOLUME","."&amp;S$2&amp;S$1&amp;"P"&amp;$A31)*RTD("tos.rtd",,"LAST","."&amp;S$2&amp;S$1&amp;"P"&amp;$A31))/1000000),0),IF($A$2="DEX",IFERROR(IF($X$1="ABS",(100*RTD("tos.rtd",,"OPEN_INT","."&amp;S$2&amp;S$1&amp;"C"&amp;$A31)*RTD("tos.rtd",,"DELTA","."&amp;S$2&amp;S$1&amp;"C"&amp;$A31)+100*RTD("tos.rtd",,"OPEN_INT","."&amp;S$2&amp;S$1&amp;"P"&amp;$A31)*RTD("tos.rtd",,"DELTA","."&amp;S$2&amp;S$1&amp;"P"&amp;$A31))/1000,(100*RTD("tos.rtd",,"OPEN_INT","."&amp;S$2&amp;S$1&amp;"C"&amp;$A31)*RTD("tos.rtd",,"DELTA","."&amp;S$2&amp;S$1&amp;"C"&amp;$A31)-100*RTD("tos.rtd",,"OPEN_INT","."&amp;S$2&amp;S$1&amp;"P"&amp;$A31)*RTD("tos.rtd",,"DELTA","."&amp;S$2&amp;S$1&amp;"P"&amp;$A31))/1000),0),IF($A$2="VEX",IFERROR(IF($X$1="ABS",($A$4*$A$4*RTD("tos.rtd",,"VOLUME","."&amp;S$2&amp;S$1&amp;"C"&amp;$A31)*RTD("tos.rtd",,"GAMMA","."&amp;S$2&amp;S$1&amp;"C"&amp;$A31)+$A$4*$A$4*RTD("tos.rtd",,"VOLUME","."&amp;S$2&amp;S$1&amp;"P"&amp;$A31)*RTD("tos.rtd",,"GAMMA","."&amp;S$2&amp;S$1&amp;"P"&amp;$A31))/1000000,($A$4*$A$4*RTD("tos.rtd",,"VOLUME","."&amp;S$2&amp;S$1&amp;"C"&amp;$A31)*RTD("tos.rtd",,"GAMMA","."&amp;S$2&amp;S$1&amp;"C"&amp;$A31)-$A$4*$A$4*RTD("tos.rtd",,"VOLUME","."&amp;S$2&amp;S$1&amp;"P"&amp;$A31)*RTD("tos.rtd",,"GAMMA","."&amp;S$2&amp;S$1&amp;"P"&amp;$A31))/1000000),0),IF($A$2="GEX",IFERROR(IF($X$1="ABS",($A$4*$A$4*RTD("tos.rtd",,"OPEN_INT","."&amp;S$2&amp;S$1&amp;"C"&amp;$A31)*RTD("tos.rtd",,"GAMMA","."&amp;S$2&amp;S$1&amp;"C"&amp;$A31)+$A$4*$A$4*RTD("tos.rtd",,"OPEN_INT","."&amp;S$2&amp;S$1&amp;"P"&amp;$A31)*RTD("tos.rtd",,"GAMMA","."&amp;S$2&amp;S$1&amp;"P"&amp;$A31))/1000000,($A$4*$A$4*RTD("tos.rtd",,"OPEN_INT","."&amp;S$2&amp;S$1&amp;"C"&amp;$A31)*RTD("tos.rtd",,"GAMMA","."&amp;S$2&amp;S$1&amp;"C"&amp;$A31)-$A$4*$A$4*RTD("tos.rtd",,"OPEN_INT","."&amp;S$2&amp;S$1&amp;"P"&amp;$A31)*RTD("tos.rtd",,"GAMMA","."&amp;S$2&amp;S$1&amp;"P"&amp;$A31))/1000000),0),IF($A$2="SKEW",IFERROR(VALUE(IF(RTD("tos.rtd",,"IMPL_VOL","."&amp;S$2&amp;S$1&amp;"P"&amp;$A31)="N/A",0,RTD("tos.rtd",,"IMPL_VOL","."&amp;S$2&amp;S$1&amp;"P"&amp;$A31))),0)-IFERROR(VALUE(IF(RTD("tos.rtd",,"IMPL_VOL","."&amp;S$2&amp;S$1&amp;"C"&amp;$A31)="N/A",0,RTD("tos.rtd",,"IMPL_VOL","."&amp;S$2&amp;S$1&amp;"C"&amp;$A31))),0),IF($A$2="MAXPAIN",IF($A$4&gt;$A31,($A$4-$A31)*IF(RTD("tos.rtd",,"OPEN_INT","."&amp;S$2&amp;S$1&amp;"C"&amp;$A31)="N/A",0,RTD("tos.rtd",,"OPEN_INT","."&amp;S$2&amp;S$1&amp;"C"&amp;$A31)),0)+IF($A$4&lt;$A31,($A$5-$A$4)*IF(RTD("tos.rtd",,"OPEN_INT","."&amp;S$2&amp;S$1&amp;"P"&amp;$A31)="N/A",0,RTD("tos.rtd",,"OPEN_INT","."&amp;S$2&amp;S$1&amp;"P"&amp;$A31)),0),IF($X$1="ABS",IF(RTD("tos.rtd",,$A$2,"."&amp;S$2&amp;S$1&amp;"C"&amp;$A31)="N/A",0,RTD("tos.rtd",,$A$2,"."&amp;S$2&amp;S$1&amp;"C"&amp;$A31))+IF(RTD("tos.rtd",,$A$2,"."&amp;S$2&amp;S$1&amp;"P"&amp;$A31)="N/A",0,RTD("tos.rtd",,$A$2,"."&amp;S$2&amp;S$1&amp;"P"&amp;$A31)),IF(RTD("tos.rtd",,$A$2,"."&amp;S$2&amp;S$1&amp;"C"&amp;$A31)="N/A",0,RTD("tos.rtd",,$A$2,"."&amp;S$2&amp;S$1&amp;"C"&amp;$A31))-IF(RTD("tos.rtd",,$A$2,"."&amp;S$2&amp;S$1&amp;"P"&amp;$A31)="N/A",0,RTD("tos.rtd",,$A$2,"."&amp;S$2&amp;S$1&amp;"P"&amp;$A31))))))))))</f>
        <v>0</v>
      </c>
      <c r="T31" s="12">
        <f ca="1">IF($A$2="PREMIUM_OI",IFERROR(IF($X$1="ABS",(100*RTD("tos.rtd",,"OPEN_INT","."&amp;T$2&amp;T$1&amp;"C"&amp;$A31)*RTD("tos.rtd",,"LAST","."&amp;T$2&amp;T$1&amp;"C"&amp;$A31)+100*RTD("tos.rtd",,"OPEN_INT","."&amp;T$2&amp;T$1&amp;"P"&amp;$A31)*RTD("tos.rtd",,"LAST","."&amp;T$2&amp;T$1&amp;"P"&amp;$A31))/1000000,(100*RTD("tos.rtd",,"OPEN_INT","."&amp;T$2&amp;T$1&amp;"C"&amp;$A31)*RTD("tos.rtd",,"LAST","."&amp;T$2&amp;T$1&amp;"C"&amp;$A31)-100*RTD("tos.rtd",,"OPEN_INT","."&amp;T$2&amp;T$1&amp;"P"&amp;$A31)*RTD("tos.rtd",,"LAST","."&amp;T$2&amp;T$1&amp;"P"&amp;$A31))/1000000),0),IF($A$2="PREMIUM",IFERROR(IF($X$1="ABS",(100*RTD("tos.rtd",,"VOLUME","."&amp;T$2&amp;T$1&amp;"C"&amp;$A31)*RTD("tos.rtd",,"LAST","."&amp;T$2&amp;T$1&amp;"C"&amp;$A31)+100*RTD("tos.rtd",,"VOLUME","."&amp;T$2&amp;T$1&amp;"P"&amp;$A31)*RTD("tos.rtd",,"LAST","."&amp;T$2&amp;T$1&amp;"P"&amp;$A31))/1000000,(100*RTD("tos.rtd",,"VOLUME","."&amp;T$2&amp;T$1&amp;"C"&amp;$A31)*RTD("tos.rtd",,"LAST","."&amp;T$2&amp;T$1&amp;"C"&amp;$A31)-100*RTD("tos.rtd",,"VOLUME","."&amp;T$2&amp;T$1&amp;"P"&amp;$A31)*RTD("tos.rtd",,"LAST","."&amp;T$2&amp;T$1&amp;"P"&amp;$A31))/1000000),0),IF($A$2="DEX",IFERROR(IF($X$1="ABS",(100*RTD("tos.rtd",,"OPEN_INT","."&amp;T$2&amp;T$1&amp;"C"&amp;$A31)*RTD("tos.rtd",,"DELTA","."&amp;T$2&amp;T$1&amp;"C"&amp;$A31)+100*RTD("tos.rtd",,"OPEN_INT","."&amp;T$2&amp;T$1&amp;"P"&amp;$A31)*RTD("tos.rtd",,"DELTA","."&amp;T$2&amp;T$1&amp;"P"&amp;$A31))/1000,(100*RTD("tos.rtd",,"OPEN_INT","."&amp;T$2&amp;T$1&amp;"C"&amp;$A31)*RTD("tos.rtd",,"DELTA","."&amp;T$2&amp;T$1&amp;"C"&amp;$A31)-100*RTD("tos.rtd",,"OPEN_INT","."&amp;T$2&amp;T$1&amp;"P"&amp;$A31)*RTD("tos.rtd",,"DELTA","."&amp;T$2&amp;T$1&amp;"P"&amp;$A31))/1000),0),IF($A$2="VEX",IFERROR(IF($X$1="ABS",($A$4*$A$4*RTD("tos.rtd",,"VOLUME","."&amp;T$2&amp;T$1&amp;"C"&amp;$A31)*RTD("tos.rtd",,"GAMMA","."&amp;T$2&amp;T$1&amp;"C"&amp;$A31)+$A$4*$A$4*RTD("tos.rtd",,"VOLUME","."&amp;T$2&amp;T$1&amp;"P"&amp;$A31)*RTD("tos.rtd",,"GAMMA","."&amp;T$2&amp;T$1&amp;"P"&amp;$A31))/1000000,($A$4*$A$4*RTD("tos.rtd",,"VOLUME","."&amp;T$2&amp;T$1&amp;"C"&amp;$A31)*RTD("tos.rtd",,"GAMMA","."&amp;T$2&amp;T$1&amp;"C"&amp;$A31)-$A$4*$A$4*RTD("tos.rtd",,"VOLUME","."&amp;T$2&amp;T$1&amp;"P"&amp;$A31)*RTD("tos.rtd",,"GAMMA","."&amp;T$2&amp;T$1&amp;"P"&amp;$A31))/1000000),0),IF($A$2="GEX",IFERROR(IF($X$1="ABS",($A$4*$A$4*RTD("tos.rtd",,"OPEN_INT","."&amp;T$2&amp;T$1&amp;"C"&amp;$A31)*RTD("tos.rtd",,"GAMMA","."&amp;T$2&amp;T$1&amp;"C"&amp;$A31)+$A$4*$A$4*RTD("tos.rtd",,"OPEN_INT","."&amp;T$2&amp;T$1&amp;"P"&amp;$A31)*RTD("tos.rtd",,"GAMMA","."&amp;T$2&amp;T$1&amp;"P"&amp;$A31))/1000000,($A$4*$A$4*RTD("tos.rtd",,"OPEN_INT","."&amp;T$2&amp;T$1&amp;"C"&amp;$A31)*RTD("tos.rtd",,"GAMMA","."&amp;T$2&amp;T$1&amp;"C"&amp;$A31)-$A$4*$A$4*RTD("tos.rtd",,"OPEN_INT","."&amp;T$2&amp;T$1&amp;"P"&amp;$A31)*RTD("tos.rtd",,"GAMMA","."&amp;T$2&amp;T$1&amp;"P"&amp;$A31))/1000000),0),IF($A$2="SKEW",IFERROR(VALUE(IF(RTD("tos.rtd",,"IMPL_VOL","."&amp;T$2&amp;T$1&amp;"P"&amp;$A31)="N/A",0,RTD("tos.rtd",,"IMPL_VOL","."&amp;T$2&amp;T$1&amp;"P"&amp;$A31))),0)-IFERROR(VALUE(IF(RTD("tos.rtd",,"IMPL_VOL","."&amp;T$2&amp;T$1&amp;"C"&amp;$A31)="N/A",0,RTD("tos.rtd",,"IMPL_VOL","."&amp;T$2&amp;T$1&amp;"C"&amp;$A31))),0),IF($A$2="MAXPAIN",IF($A$4&gt;$A31,($A$4-$A31)*IF(RTD("tos.rtd",,"OPEN_INT","."&amp;T$2&amp;T$1&amp;"C"&amp;$A31)="N/A",0,RTD("tos.rtd",,"OPEN_INT","."&amp;T$2&amp;T$1&amp;"C"&amp;$A31)),0)+IF($A$4&lt;$A31,($A$5-$A$4)*IF(RTD("tos.rtd",,"OPEN_INT","."&amp;T$2&amp;T$1&amp;"P"&amp;$A31)="N/A",0,RTD("tos.rtd",,"OPEN_INT","."&amp;T$2&amp;T$1&amp;"P"&amp;$A31)),0),IF($X$1="ABS",IF(RTD("tos.rtd",,$A$2,"."&amp;T$2&amp;T$1&amp;"C"&amp;$A31)="N/A",0,RTD("tos.rtd",,$A$2,"."&amp;T$2&amp;T$1&amp;"C"&amp;$A31))+IF(RTD("tos.rtd",,$A$2,"."&amp;T$2&amp;T$1&amp;"P"&amp;$A31)="N/A",0,RTD("tos.rtd",,$A$2,"."&amp;T$2&amp;T$1&amp;"P"&amp;$A31)),IF(RTD("tos.rtd",,$A$2,"."&amp;T$2&amp;T$1&amp;"C"&amp;$A31)="N/A",0,RTD("tos.rtd",,$A$2,"."&amp;T$2&amp;T$1&amp;"C"&amp;$A31))-IF(RTD("tos.rtd",,$A$2,"."&amp;T$2&amp;T$1&amp;"P"&amp;$A31)="N/A",0,RTD("tos.rtd",,$A$2,"."&amp;T$2&amp;T$1&amp;"P"&amp;$A31))))))))))</f>
        <v>0</v>
      </c>
      <c r="U31" s="12">
        <f ca="1">IF($A$2="PREMIUM_OI",IFERROR(IF($X$1="ABS",(100*RTD("tos.rtd",,"OPEN_INT","."&amp;U$2&amp;U$1&amp;"C"&amp;$A31)*RTD("tos.rtd",,"LAST","."&amp;U$2&amp;U$1&amp;"C"&amp;$A31)+100*RTD("tos.rtd",,"OPEN_INT","."&amp;U$2&amp;U$1&amp;"P"&amp;$A31)*RTD("tos.rtd",,"LAST","."&amp;U$2&amp;U$1&amp;"P"&amp;$A31))/1000000,(100*RTD("tos.rtd",,"OPEN_INT","."&amp;U$2&amp;U$1&amp;"C"&amp;$A31)*RTD("tos.rtd",,"LAST","."&amp;U$2&amp;U$1&amp;"C"&amp;$A31)-100*RTD("tos.rtd",,"OPEN_INT","."&amp;U$2&amp;U$1&amp;"P"&amp;$A31)*RTD("tos.rtd",,"LAST","."&amp;U$2&amp;U$1&amp;"P"&amp;$A31))/1000000),0),IF($A$2="PREMIUM",IFERROR(IF($X$1="ABS",(100*RTD("tos.rtd",,"VOLUME","."&amp;U$2&amp;U$1&amp;"C"&amp;$A31)*RTD("tos.rtd",,"LAST","."&amp;U$2&amp;U$1&amp;"C"&amp;$A31)+100*RTD("tos.rtd",,"VOLUME","."&amp;U$2&amp;U$1&amp;"P"&amp;$A31)*RTD("tos.rtd",,"LAST","."&amp;U$2&amp;U$1&amp;"P"&amp;$A31))/1000000,(100*RTD("tos.rtd",,"VOLUME","."&amp;U$2&amp;U$1&amp;"C"&amp;$A31)*RTD("tos.rtd",,"LAST","."&amp;U$2&amp;U$1&amp;"C"&amp;$A31)-100*RTD("tos.rtd",,"VOLUME","."&amp;U$2&amp;U$1&amp;"P"&amp;$A31)*RTD("tos.rtd",,"LAST","."&amp;U$2&amp;U$1&amp;"P"&amp;$A31))/1000000),0),IF($A$2="DEX",IFERROR(IF($X$1="ABS",(100*RTD("tos.rtd",,"OPEN_INT","."&amp;U$2&amp;U$1&amp;"C"&amp;$A31)*RTD("tos.rtd",,"DELTA","."&amp;U$2&amp;U$1&amp;"C"&amp;$A31)+100*RTD("tos.rtd",,"OPEN_INT","."&amp;U$2&amp;U$1&amp;"P"&amp;$A31)*RTD("tos.rtd",,"DELTA","."&amp;U$2&amp;U$1&amp;"P"&amp;$A31))/1000,(100*RTD("tos.rtd",,"OPEN_INT","."&amp;U$2&amp;U$1&amp;"C"&amp;$A31)*RTD("tos.rtd",,"DELTA","."&amp;U$2&amp;U$1&amp;"C"&amp;$A31)-100*RTD("tos.rtd",,"OPEN_INT","."&amp;U$2&amp;U$1&amp;"P"&amp;$A31)*RTD("tos.rtd",,"DELTA","."&amp;U$2&amp;U$1&amp;"P"&amp;$A31))/1000),0),IF($A$2="VEX",IFERROR(IF($X$1="ABS",($A$4*$A$4*RTD("tos.rtd",,"VOLUME","."&amp;U$2&amp;U$1&amp;"C"&amp;$A31)*RTD("tos.rtd",,"GAMMA","."&amp;U$2&amp;U$1&amp;"C"&amp;$A31)+$A$4*$A$4*RTD("tos.rtd",,"VOLUME","."&amp;U$2&amp;U$1&amp;"P"&amp;$A31)*RTD("tos.rtd",,"GAMMA","."&amp;U$2&amp;U$1&amp;"P"&amp;$A31))/1000000,($A$4*$A$4*RTD("tos.rtd",,"VOLUME","."&amp;U$2&amp;U$1&amp;"C"&amp;$A31)*RTD("tos.rtd",,"GAMMA","."&amp;U$2&amp;U$1&amp;"C"&amp;$A31)-$A$4*$A$4*RTD("tos.rtd",,"VOLUME","."&amp;U$2&amp;U$1&amp;"P"&amp;$A31)*RTD("tos.rtd",,"GAMMA","."&amp;U$2&amp;U$1&amp;"P"&amp;$A31))/1000000),0),IF($A$2="GEX",IFERROR(IF($X$1="ABS",($A$4*$A$4*RTD("tos.rtd",,"OPEN_INT","."&amp;U$2&amp;U$1&amp;"C"&amp;$A31)*RTD("tos.rtd",,"GAMMA","."&amp;U$2&amp;U$1&amp;"C"&amp;$A31)+$A$4*$A$4*RTD("tos.rtd",,"OPEN_INT","."&amp;U$2&amp;U$1&amp;"P"&amp;$A31)*RTD("tos.rtd",,"GAMMA","."&amp;U$2&amp;U$1&amp;"P"&amp;$A31))/1000000,($A$4*$A$4*RTD("tos.rtd",,"OPEN_INT","."&amp;U$2&amp;U$1&amp;"C"&amp;$A31)*RTD("tos.rtd",,"GAMMA","."&amp;U$2&amp;U$1&amp;"C"&amp;$A31)-$A$4*$A$4*RTD("tos.rtd",,"OPEN_INT","."&amp;U$2&amp;U$1&amp;"P"&amp;$A31)*RTD("tos.rtd",,"GAMMA","."&amp;U$2&amp;U$1&amp;"P"&amp;$A31))/1000000),0),IF($A$2="SKEW",IFERROR(VALUE(IF(RTD("tos.rtd",,"IMPL_VOL","."&amp;U$2&amp;U$1&amp;"P"&amp;$A31)="N/A",0,RTD("tos.rtd",,"IMPL_VOL","."&amp;U$2&amp;U$1&amp;"P"&amp;$A31))),0)-IFERROR(VALUE(IF(RTD("tos.rtd",,"IMPL_VOL","."&amp;U$2&amp;U$1&amp;"C"&amp;$A31)="N/A",0,RTD("tos.rtd",,"IMPL_VOL","."&amp;U$2&amp;U$1&amp;"C"&amp;$A31))),0),IF($A$2="MAXPAIN",IF($A$4&gt;$A31,($A$4-$A31)*IF(RTD("tos.rtd",,"OPEN_INT","."&amp;U$2&amp;U$1&amp;"C"&amp;$A31)="N/A",0,RTD("tos.rtd",,"OPEN_INT","."&amp;U$2&amp;U$1&amp;"C"&amp;$A31)),0)+IF($A$4&lt;$A31,($A$5-$A$4)*IF(RTD("tos.rtd",,"OPEN_INT","."&amp;U$2&amp;U$1&amp;"P"&amp;$A31)="N/A",0,RTD("tos.rtd",,"OPEN_INT","."&amp;U$2&amp;U$1&amp;"P"&amp;$A31)),0),IF($X$1="ABS",IF(RTD("tos.rtd",,$A$2,"."&amp;U$2&amp;U$1&amp;"C"&amp;$A31)="N/A",0,RTD("tos.rtd",,$A$2,"."&amp;U$2&amp;U$1&amp;"C"&amp;$A31))+IF(RTD("tos.rtd",,$A$2,"."&amp;U$2&amp;U$1&amp;"P"&amp;$A31)="N/A",0,RTD("tos.rtd",,$A$2,"."&amp;U$2&amp;U$1&amp;"P"&amp;$A31)),IF(RTD("tos.rtd",,$A$2,"."&amp;U$2&amp;U$1&amp;"C"&amp;$A31)="N/A",0,RTD("tos.rtd",,$A$2,"."&amp;U$2&amp;U$1&amp;"C"&amp;$A31))-IF(RTD("tos.rtd",,$A$2,"."&amp;U$2&amp;U$1&amp;"P"&amp;$A31)="N/A",0,RTD("tos.rtd",,$A$2,"."&amp;U$2&amp;U$1&amp;"P"&amp;$A31))))))))))</f>
        <v>0</v>
      </c>
      <c r="V31" s="12">
        <f ca="1">IF($A$2="PREMIUM_OI",IFERROR(IF($X$1="ABS",(100*RTD("tos.rtd",,"OPEN_INT","."&amp;V$2&amp;V$1&amp;"C"&amp;$A31)*RTD("tos.rtd",,"LAST","."&amp;V$2&amp;V$1&amp;"C"&amp;$A31)+100*RTD("tos.rtd",,"OPEN_INT","."&amp;V$2&amp;V$1&amp;"P"&amp;$A31)*RTD("tos.rtd",,"LAST","."&amp;V$2&amp;V$1&amp;"P"&amp;$A31))/1000000,(100*RTD("tos.rtd",,"OPEN_INT","."&amp;V$2&amp;V$1&amp;"C"&amp;$A31)*RTD("tos.rtd",,"LAST","."&amp;V$2&amp;V$1&amp;"C"&amp;$A31)-100*RTD("tos.rtd",,"OPEN_INT","."&amp;V$2&amp;V$1&amp;"P"&amp;$A31)*RTD("tos.rtd",,"LAST","."&amp;V$2&amp;V$1&amp;"P"&amp;$A31))/1000000),0),IF($A$2="PREMIUM",IFERROR(IF($X$1="ABS",(100*RTD("tos.rtd",,"VOLUME","."&amp;V$2&amp;V$1&amp;"C"&amp;$A31)*RTD("tos.rtd",,"LAST","."&amp;V$2&amp;V$1&amp;"C"&amp;$A31)+100*RTD("tos.rtd",,"VOLUME","."&amp;V$2&amp;V$1&amp;"P"&amp;$A31)*RTD("tos.rtd",,"LAST","."&amp;V$2&amp;V$1&amp;"P"&amp;$A31))/1000000,(100*RTD("tos.rtd",,"VOLUME","."&amp;V$2&amp;V$1&amp;"C"&amp;$A31)*RTD("tos.rtd",,"LAST","."&amp;V$2&amp;V$1&amp;"C"&amp;$A31)-100*RTD("tos.rtd",,"VOLUME","."&amp;V$2&amp;V$1&amp;"P"&amp;$A31)*RTD("tos.rtd",,"LAST","."&amp;V$2&amp;V$1&amp;"P"&amp;$A31))/1000000),0),IF($A$2="DEX",IFERROR(IF($X$1="ABS",(100*RTD("tos.rtd",,"OPEN_INT","."&amp;V$2&amp;V$1&amp;"C"&amp;$A31)*RTD("tos.rtd",,"DELTA","."&amp;V$2&amp;V$1&amp;"C"&amp;$A31)+100*RTD("tos.rtd",,"OPEN_INT","."&amp;V$2&amp;V$1&amp;"P"&amp;$A31)*RTD("tos.rtd",,"DELTA","."&amp;V$2&amp;V$1&amp;"P"&amp;$A31))/1000,(100*RTD("tos.rtd",,"OPEN_INT","."&amp;V$2&amp;V$1&amp;"C"&amp;$A31)*RTD("tos.rtd",,"DELTA","."&amp;V$2&amp;V$1&amp;"C"&amp;$A31)-100*RTD("tos.rtd",,"OPEN_INT","."&amp;V$2&amp;V$1&amp;"P"&amp;$A31)*RTD("tos.rtd",,"DELTA","."&amp;V$2&amp;V$1&amp;"P"&amp;$A31))/1000),0),IF($A$2="VEX",IFERROR(IF($X$1="ABS",($A$4*$A$4*RTD("tos.rtd",,"VOLUME","."&amp;V$2&amp;V$1&amp;"C"&amp;$A31)*RTD("tos.rtd",,"GAMMA","."&amp;V$2&amp;V$1&amp;"C"&amp;$A31)+$A$4*$A$4*RTD("tos.rtd",,"VOLUME","."&amp;V$2&amp;V$1&amp;"P"&amp;$A31)*RTD("tos.rtd",,"GAMMA","."&amp;V$2&amp;V$1&amp;"P"&amp;$A31))/1000000,($A$4*$A$4*RTD("tos.rtd",,"VOLUME","."&amp;V$2&amp;V$1&amp;"C"&amp;$A31)*RTD("tos.rtd",,"GAMMA","."&amp;V$2&amp;V$1&amp;"C"&amp;$A31)-$A$4*$A$4*RTD("tos.rtd",,"VOLUME","."&amp;V$2&amp;V$1&amp;"P"&amp;$A31)*RTD("tos.rtd",,"GAMMA","."&amp;V$2&amp;V$1&amp;"P"&amp;$A31))/1000000),0),IF($A$2="GEX",IFERROR(IF($X$1="ABS",($A$4*$A$4*RTD("tos.rtd",,"OPEN_INT","."&amp;V$2&amp;V$1&amp;"C"&amp;$A31)*RTD("tos.rtd",,"GAMMA","."&amp;V$2&amp;V$1&amp;"C"&amp;$A31)+$A$4*$A$4*RTD("tos.rtd",,"OPEN_INT","."&amp;V$2&amp;V$1&amp;"P"&amp;$A31)*RTD("tos.rtd",,"GAMMA","."&amp;V$2&amp;V$1&amp;"P"&amp;$A31))/1000000,($A$4*$A$4*RTD("tos.rtd",,"OPEN_INT","."&amp;V$2&amp;V$1&amp;"C"&amp;$A31)*RTD("tos.rtd",,"GAMMA","."&amp;V$2&amp;V$1&amp;"C"&amp;$A31)-$A$4*$A$4*RTD("tos.rtd",,"OPEN_INT","."&amp;V$2&amp;V$1&amp;"P"&amp;$A31)*RTD("tos.rtd",,"GAMMA","."&amp;V$2&amp;V$1&amp;"P"&amp;$A31))/1000000),0),IF($A$2="SKEW",IFERROR(VALUE(IF(RTD("tos.rtd",,"IMPL_VOL","."&amp;V$2&amp;V$1&amp;"P"&amp;$A31)="N/A",0,RTD("tos.rtd",,"IMPL_VOL","."&amp;V$2&amp;V$1&amp;"P"&amp;$A31))),0)-IFERROR(VALUE(IF(RTD("tos.rtd",,"IMPL_VOL","."&amp;V$2&amp;V$1&amp;"C"&amp;$A31)="N/A",0,RTD("tos.rtd",,"IMPL_VOL","."&amp;V$2&amp;V$1&amp;"C"&amp;$A31))),0),IF($A$2="MAXPAIN",IF($A$4&gt;$A31,($A$4-$A31)*IF(RTD("tos.rtd",,"OPEN_INT","."&amp;V$2&amp;V$1&amp;"C"&amp;$A31)="N/A",0,RTD("tos.rtd",,"OPEN_INT","."&amp;V$2&amp;V$1&amp;"C"&amp;$A31)),0)+IF($A$4&lt;$A31,($A$5-$A$4)*IF(RTD("tos.rtd",,"OPEN_INT","."&amp;V$2&amp;V$1&amp;"P"&amp;$A31)="N/A",0,RTD("tos.rtd",,"OPEN_INT","."&amp;V$2&amp;V$1&amp;"P"&amp;$A31)),0),IF($X$1="ABS",IF(RTD("tos.rtd",,$A$2,"."&amp;V$2&amp;V$1&amp;"C"&amp;$A31)="N/A",0,RTD("tos.rtd",,$A$2,"."&amp;V$2&amp;V$1&amp;"C"&amp;$A31))+IF(RTD("tos.rtd",,$A$2,"."&amp;V$2&amp;V$1&amp;"P"&amp;$A31)="N/A",0,RTD("tos.rtd",,$A$2,"."&amp;V$2&amp;V$1&amp;"P"&amp;$A31)),IF(RTD("tos.rtd",,$A$2,"."&amp;V$2&amp;V$1&amp;"C"&amp;$A31)="N/A",0,RTD("tos.rtd",,$A$2,"."&amp;V$2&amp;V$1&amp;"C"&amp;$A31))-IF(RTD("tos.rtd",,$A$2,"."&amp;V$2&amp;V$1&amp;"P"&amp;$A31)="N/A",0,RTD("tos.rtd",,$A$2,"."&amp;V$2&amp;V$1&amp;"P"&amp;$A31))))))))))</f>
        <v>0</v>
      </c>
      <c r="W31" s="12">
        <f ca="1">IF($A$2="PREMIUM_OI",IFERROR(IF($X$1="ABS",(100*RTD("tos.rtd",,"OPEN_INT","."&amp;W$2&amp;W$1&amp;"C"&amp;$A31)*RTD("tos.rtd",,"LAST","."&amp;W$2&amp;W$1&amp;"C"&amp;$A31)+100*RTD("tos.rtd",,"OPEN_INT","."&amp;W$2&amp;W$1&amp;"P"&amp;$A31)*RTD("tos.rtd",,"LAST","."&amp;W$2&amp;W$1&amp;"P"&amp;$A31))/1000000,(100*RTD("tos.rtd",,"OPEN_INT","."&amp;W$2&amp;W$1&amp;"C"&amp;$A31)*RTD("tos.rtd",,"LAST","."&amp;W$2&amp;W$1&amp;"C"&amp;$A31)-100*RTD("tos.rtd",,"OPEN_INT","."&amp;W$2&amp;W$1&amp;"P"&amp;$A31)*RTD("tos.rtd",,"LAST","."&amp;W$2&amp;W$1&amp;"P"&amp;$A31))/1000000),0),IF($A$2="PREMIUM",IFERROR(IF($X$1="ABS",(100*RTD("tos.rtd",,"VOLUME","."&amp;W$2&amp;W$1&amp;"C"&amp;$A31)*RTD("tos.rtd",,"LAST","."&amp;W$2&amp;W$1&amp;"C"&amp;$A31)+100*RTD("tos.rtd",,"VOLUME","."&amp;W$2&amp;W$1&amp;"P"&amp;$A31)*RTD("tos.rtd",,"LAST","."&amp;W$2&amp;W$1&amp;"P"&amp;$A31))/1000000,(100*RTD("tos.rtd",,"VOLUME","."&amp;W$2&amp;W$1&amp;"C"&amp;$A31)*RTD("tos.rtd",,"LAST","."&amp;W$2&amp;W$1&amp;"C"&amp;$A31)-100*RTD("tos.rtd",,"VOLUME","."&amp;W$2&amp;W$1&amp;"P"&amp;$A31)*RTD("tos.rtd",,"LAST","."&amp;W$2&amp;W$1&amp;"P"&amp;$A31))/1000000),0),IF($A$2="DEX",IFERROR(IF($X$1="ABS",(100*RTD("tos.rtd",,"OPEN_INT","."&amp;W$2&amp;W$1&amp;"C"&amp;$A31)*RTD("tos.rtd",,"DELTA","."&amp;W$2&amp;W$1&amp;"C"&amp;$A31)+100*RTD("tos.rtd",,"OPEN_INT","."&amp;W$2&amp;W$1&amp;"P"&amp;$A31)*RTD("tos.rtd",,"DELTA","."&amp;W$2&amp;W$1&amp;"P"&amp;$A31))/1000,(100*RTD("tos.rtd",,"OPEN_INT","."&amp;W$2&amp;W$1&amp;"C"&amp;$A31)*RTD("tos.rtd",,"DELTA","."&amp;W$2&amp;W$1&amp;"C"&amp;$A31)-100*RTD("tos.rtd",,"OPEN_INT","."&amp;W$2&amp;W$1&amp;"P"&amp;$A31)*RTD("tos.rtd",,"DELTA","."&amp;W$2&amp;W$1&amp;"P"&amp;$A31))/1000),0),IF($A$2="VEX",IFERROR(IF($X$1="ABS",($A$4*$A$4*RTD("tos.rtd",,"VOLUME","."&amp;W$2&amp;W$1&amp;"C"&amp;$A31)*RTD("tos.rtd",,"GAMMA","."&amp;W$2&amp;W$1&amp;"C"&amp;$A31)+$A$4*$A$4*RTD("tos.rtd",,"VOLUME","."&amp;W$2&amp;W$1&amp;"P"&amp;$A31)*RTD("tos.rtd",,"GAMMA","."&amp;W$2&amp;W$1&amp;"P"&amp;$A31))/1000000,($A$4*$A$4*RTD("tos.rtd",,"VOLUME","."&amp;W$2&amp;W$1&amp;"C"&amp;$A31)*RTD("tos.rtd",,"GAMMA","."&amp;W$2&amp;W$1&amp;"C"&amp;$A31)-$A$4*$A$4*RTD("tos.rtd",,"VOLUME","."&amp;W$2&amp;W$1&amp;"P"&amp;$A31)*RTD("tos.rtd",,"GAMMA","."&amp;W$2&amp;W$1&amp;"P"&amp;$A31))/1000000),0),IF($A$2="GEX",IFERROR(IF($X$1="ABS",($A$4*$A$4*RTD("tos.rtd",,"OPEN_INT","."&amp;W$2&amp;W$1&amp;"C"&amp;$A31)*RTD("tos.rtd",,"GAMMA","."&amp;W$2&amp;W$1&amp;"C"&amp;$A31)+$A$4*$A$4*RTD("tos.rtd",,"OPEN_INT","."&amp;W$2&amp;W$1&amp;"P"&amp;$A31)*RTD("tos.rtd",,"GAMMA","."&amp;W$2&amp;W$1&amp;"P"&amp;$A31))/1000000,($A$4*$A$4*RTD("tos.rtd",,"OPEN_INT","."&amp;W$2&amp;W$1&amp;"C"&amp;$A31)*RTD("tos.rtd",,"GAMMA","."&amp;W$2&amp;W$1&amp;"C"&amp;$A31)-$A$4*$A$4*RTD("tos.rtd",,"OPEN_INT","."&amp;W$2&amp;W$1&amp;"P"&amp;$A31)*RTD("tos.rtd",,"GAMMA","."&amp;W$2&amp;W$1&amp;"P"&amp;$A31))/1000000),0),IF($A$2="SKEW",IFERROR(VALUE(IF(RTD("tos.rtd",,"IMPL_VOL","."&amp;W$2&amp;W$1&amp;"P"&amp;$A31)="N/A",0,RTD("tos.rtd",,"IMPL_VOL","."&amp;W$2&amp;W$1&amp;"P"&amp;$A31))),0)-IFERROR(VALUE(IF(RTD("tos.rtd",,"IMPL_VOL","."&amp;W$2&amp;W$1&amp;"C"&amp;$A31)="N/A",0,RTD("tos.rtd",,"IMPL_VOL","."&amp;W$2&amp;W$1&amp;"C"&amp;$A31))),0),IF($A$2="MAXPAIN",IF($A$4&gt;$A31,($A$4-$A31)*IF(RTD("tos.rtd",,"OPEN_INT","."&amp;W$2&amp;W$1&amp;"C"&amp;$A31)="N/A",0,RTD("tos.rtd",,"OPEN_INT","."&amp;W$2&amp;W$1&amp;"C"&amp;$A31)),0)+IF($A$4&lt;$A31,($A$5-$A$4)*IF(RTD("tos.rtd",,"OPEN_INT","."&amp;W$2&amp;W$1&amp;"P"&amp;$A31)="N/A",0,RTD("tos.rtd",,"OPEN_INT","."&amp;W$2&amp;W$1&amp;"P"&amp;$A31)),0),IF($X$1="ABS",IF(RTD("tos.rtd",,$A$2,"."&amp;W$2&amp;W$1&amp;"C"&amp;$A31)="N/A",0,RTD("tos.rtd",,$A$2,"."&amp;W$2&amp;W$1&amp;"C"&amp;$A31))+IF(RTD("tos.rtd",,$A$2,"."&amp;W$2&amp;W$1&amp;"P"&amp;$A31)="N/A",0,RTD("tos.rtd",,$A$2,"."&amp;W$2&amp;W$1&amp;"P"&amp;$A31)),IF(RTD("tos.rtd",,$A$2,"."&amp;W$2&amp;W$1&amp;"C"&amp;$A31)="N/A",0,RTD("tos.rtd",,$A$2,"."&amp;W$2&amp;W$1&amp;"C"&amp;$A31))-IF(RTD("tos.rtd",,$A$2,"."&amp;W$2&amp;W$1&amp;"P"&amp;$A31)="N/A",0,RTD("tos.rtd",,$A$2,"."&amp;W$2&amp;W$1&amp;"P"&amp;$A31))))))))))</f>
        <v>0</v>
      </c>
      <c r="X31" s="57">
        <f t="shared" ca="1" si="7"/>
        <v>39080</v>
      </c>
      <c r="Y31" s="27">
        <f t="shared" ca="1" si="8"/>
        <v>39080</v>
      </c>
      <c r="Z31" s="27">
        <f t="shared" ca="1" si="9"/>
        <v>85533</v>
      </c>
      <c r="AA31" s="27">
        <f t="shared" si="10"/>
        <v>11532600</v>
      </c>
      <c r="AB31" s="18">
        <f>MAX(0, $A31-AB$4)*IF(RTD("tos.rtd",,"OPEN_INT","."&amp;$AA$3&amp;$AA$4&amp;"C"&amp;AB$4)="N/A",0,RTD("tos.rtd",,"OPEN_INT","."&amp;$AA$3&amp;$AA$4&amp;"C"&amp;AB$4))*100 + MAX(0, AB$4-$A31)*IF(RTD("tos.rtd",,"OPEN_INT","."&amp;$AA$3&amp;$AA$4&amp;"P"&amp;AB$4)="N/A",0,RTD("tos.rtd",,"OPEN_INT","."&amp;$AA$3&amp;$AA$4&amp;"P"&amp;AB$4))*100</f>
        <v>0</v>
      </c>
      <c r="AC31" s="18">
        <f>MAX(0, $A31-AC$4)*IF(RTD("tos.rtd",,"OPEN_INT","."&amp;$AA$3&amp;$AA$4&amp;"C"&amp;AC$4)="N/A",0,RTD("tos.rtd",,"OPEN_INT","."&amp;$AA$3&amp;$AA$4&amp;"C"&amp;AC$4))*100 + MAX(0, AC$4-$A31)*IF(RTD("tos.rtd",,"OPEN_INT","."&amp;$AA$3&amp;$AA$4&amp;"P"&amp;AC$4)="N/A",0,RTD("tos.rtd",,"OPEN_INT","."&amp;$AA$3&amp;$AA$4&amp;"P"&amp;AC$4))*100</f>
        <v>0</v>
      </c>
      <c r="AD31" s="18">
        <f>MAX(0, $A31-AD$4)*IF(RTD("tos.rtd",,"OPEN_INT","."&amp;$AA$3&amp;$AA$4&amp;"C"&amp;AD$4)="N/A",0,RTD("tos.rtd",,"OPEN_INT","."&amp;$AA$3&amp;$AA$4&amp;"C"&amp;AD$4))*100 + MAX(0, AD$4-$A31)*IF(RTD("tos.rtd",,"OPEN_INT","."&amp;$AA$3&amp;$AA$4&amp;"P"&amp;AD$4)="N/A",0,RTD("tos.rtd",,"OPEN_INT","."&amp;$AA$3&amp;$AA$4&amp;"P"&amp;AD$4))*100</f>
        <v>0</v>
      </c>
      <c r="AE31" s="18">
        <f>MAX(0, $A31-AE$4)*IF(RTD("tos.rtd",,"OPEN_INT","."&amp;$AA$3&amp;$AA$4&amp;"C"&amp;AE$4)="N/A",0,RTD("tos.rtd",,"OPEN_INT","."&amp;$AA$3&amp;$AA$4&amp;"C"&amp;AE$4))*100 + MAX(0, AE$4-$A31)*IF(RTD("tos.rtd",,"OPEN_INT","."&amp;$AA$3&amp;$AA$4&amp;"P"&amp;AE$4)="N/A",0,RTD("tos.rtd",,"OPEN_INT","."&amp;$AA$3&amp;$AA$4&amp;"P"&amp;AE$4))*100</f>
        <v>0</v>
      </c>
      <c r="AF31" s="18">
        <f>MAX(0, $A31-AF$4)*IF(RTD("tos.rtd",,"OPEN_INT","."&amp;$AA$3&amp;$AA$4&amp;"C"&amp;AF$4)="N/A",0,RTD("tos.rtd",,"OPEN_INT","."&amp;$AA$3&amp;$AA$4&amp;"C"&amp;AF$4))*100 + MAX(0, AF$4-$A31)*IF(RTD("tos.rtd",,"OPEN_INT","."&amp;$AA$3&amp;$AA$4&amp;"P"&amp;AF$4)="N/A",0,RTD("tos.rtd",,"OPEN_INT","."&amp;$AA$3&amp;$AA$4&amp;"P"&amp;AF$4))*100</f>
        <v>0</v>
      </c>
      <c r="AG31" s="18">
        <f>MAX(0, $A31-AG$4)*IF(RTD("tos.rtd",,"OPEN_INT","."&amp;$AA$3&amp;$AA$4&amp;"C"&amp;AG$4)="N/A",0,RTD("tos.rtd",,"OPEN_INT","."&amp;$AA$3&amp;$AA$4&amp;"C"&amp;AG$4))*100 + MAX(0, AG$4-$A31)*IF(RTD("tos.rtd",,"OPEN_INT","."&amp;$AA$3&amp;$AA$4&amp;"P"&amp;AG$4)="N/A",0,RTD("tos.rtd",,"OPEN_INT","."&amp;$AA$3&amp;$AA$4&amp;"P"&amp;AG$4))*100</f>
        <v>0</v>
      </c>
      <c r="AH31" s="18">
        <f>MAX(0, $A31-AH$4)*IF(RTD("tos.rtd",,"OPEN_INT","."&amp;$AA$3&amp;$AA$4&amp;"C"&amp;AH$4)="N/A",0,RTD("tos.rtd",,"OPEN_INT","."&amp;$AA$3&amp;$AA$4&amp;"C"&amp;AH$4))*100 + MAX(0, AH$4-$A31)*IF(RTD("tos.rtd",,"OPEN_INT","."&amp;$AA$3&amp;$AA$4&amp;"P"&amp;AH$4)="N/A",0,RTD("tos.rtd",,"OPEN_INT","."&amp;$AA$3&amp;$AA$4&amp;"P"&amp;AH$4))*100</f>
        <v>0</v>
      </c>
      <c r="AI31" s="18">
        <f>MAX(0, $A31-AI$4)*IF(RTD("tos.rtd",,"OPEN_INT","."&amp;$AA$3&amp;$AA$4&amp;"C"&amp;AI$4)="N/A",0,RTD("tos.rtd",,"OPEN_INT","."&amp;$AA$3&amp;$AA$4&amp;"C"&amp;AI$4))*100 + MAX(0, AI$4-$A31)*IF(RTD("tos.rtd",,"OPEN_INT","."&amp;$AA$3&amp;$AA$4&amp;"P"&amp;AI$4)="N/A",0,RTD("tos.rtd",,"OPEN_INT","."&amp;$AA$3&amp;$AA$4&amp;"P"&amp;AI$4))*100</f>
        <v>2850</v>
      </c>
      <c r="AJ31" s="18">
        <f>MAX(0, $A31-AJ$4)*IF(RTD("tos.rtd",,"OPEN_INT","."&amp;$AA$3&amp;$AA$4&amp;"C"&amp;AJ$4)="N/A",0,RTD("tos.rtd",,"OPEN_INT","."&amp;$AA$3&amp;$AA$4&amp;"C"&amp;AJ$4))*100 + MAX(0, AJ$4-$A31)*IF(RTD("tos.rtd",,"OPEN_INT","."&amp;$AA$3&amp;$AA$4&amp;"P"&amp;AJ$4)="N/A",0,RTD("tos.rtd",,"OPEN_INT","."&amp;$AA$3&amp;$AA$4&amp;"P"&amp;AJ$4))*100</f>
        <v>7200</v>
      </c>
      <c r="AK31" s="18">
        <f>MAX(0, $A31-AK$4)*IF(RTD("tos.rtd",,"OPEN_INT","."&amp;$AA$3&amp;$AA$4&amp;"C"&amp;AK$4)="N/A",0,RTD("tos.rtd",,"OPEN_INT","."&amp;$AA$3&amp;$AA$4&amp;"C"&amp;AK$4))*100 + MAX(0, AK$4-$A31)*IF(RTD("tos.rtd",,"OPEN_INT","."&amp;$AA$3&amp;$AA$4&amp;"P"&amp;AK$4)="N/A",0,RTD("tos.rtd",,"OPEN_INT","."&amp;$AA$3&amp;$AA$4&amp;"P"&amp;AK$4))*100</f>
        <v>0</v>
      </c>
      <c r="AL31" s="18">
        <f>MAX(0, $A31-AL$4)*IF(RTD("tos.rtd",,"OPEN_INT","."&amp;$AA$3&amp;$AA$4&amp;"C"&amp;AL$4)="N/A",0,RTD("tos.rtd",,"OPEN_INT","."&amp;$AA$3&amp;$AA$4&amp;"C"&amp;AL$4))*100 + MAX(0, AL$4-$A31)*IF(RTD("tos.rtd",,"OPEN_INT","."&amp;$AA$3&amp;$AA$4&amp;"P"&amp;AL$4)="N/A",0,RTD("tos.rtd",,"OPEN_INT","."&amp;$AA$3&amp;$AA$4&amp;"P"&amp;AL$4))*100</f>
        <v>0</v>
      </c>
      <c r="AM31" s="18">
        <f>MAX(0, $A31-AM$4)*IF(RTD("tos.rtd",,"OPEN_INT","."&amp;$AA$3&amp;$AA$4&amp;"C"&amp;AM$4)="N/A",0,RTD("tos.rtd",,"OPEN_INT","."&amp;$AA$3&amp;$AA$4&amp;"C"&amp;AM$4))*100 + MAX(0, AM$4-$A31)*IF(RTD("tos.rtd",,"OPEN_INT","."&amp;$AA$3&amp;$AA$4&amp;"P"&amp;AM$4)="N/A",0,RTD("tos.rtd",,"OPEN_INT","."&amp;$AA$3&amp;$AA$4&amp;"P"&amp;AM$4))*100</f>
        <v>0</v>
      </c>
      <c r="AN31" s="18">
        <f>MAX(0, $A31-AN$4)*IF(RTD("tos.rtd",,"OPEN_INT","."&amp;$AA$3&amp;$AA$4&amp;"C"&amp;AN$4)="N/A",0,RTD("tos.rtd",,"OPEN_INT","."&amp;$AA$3&amp;$AA$4&amp;"C"&amp;AN$4))*100 + MAX(0, AN$4-$A31)*IF(RTD("tos.rtd",,"OPEN_INT","."&amp;$AA$3&amp;$AA$4&amp;"P"&amp;AN$4)="N/A",0,RTD("tos.rtd",,"OPEN_INT","."&amp;$AA$3&amp;$AA$4&amp;"P"&amp;AN$4))*100</f>
        <v>0</v>
      </c>
      <c r="AO31" s="18">
        <f>MAX(0, $A31-AO$4)*IF(RTD("tos.rtd",,"OPEN_INT","."&amp;$AA$3&amp;$AA$4&amp;"C"&amp;AO$4)="N/A",0,RTD("tos.rtd",,"OPEN_INT","."&amp;$AA$3&amp;$AA$4&amp;"C"&amp;AO$4))*100 + MAX(0, AO$4-$A31)*IF(RTD("tos.rtd",,"OPEN_INT","."&amp;$AA$3&amp;$AA$4&amp;"P"&amp;AO$4)="N/A",0,RTD("tos.rtd",,"OPEN_INT","."&amp;$AA$3&amp;$AA$4&amp;"P"&amp;AO$4))*100</f>
        <v>78000</v>
      </c>
      <c r="AP31" s="18">
        <f>MAX(0, $A31-AP$4)*IF(RTD("tos.rtd",,"OPEN_INT","."&amp;$AA$3&amp;$AA$4&amp;"C"&amp;AP$4)="N/A",0,RTD("tos.rtd",,"OPEN_INT","."&amp;$AA$3&amp;$AA$4&amp;"C"&amp;AP$4))*100 + MAX(0, AP$4-$A31)*IF(RTD("tos.rtd",,"OPEN_INT","."&amp;$AA$3&amp;$AA$4&amp;"P"&amp;AP$4)="N/A",0,RTD("tos.rtd",,"OPEN_INT","."&amp;$AA$3&amp;$AA$4&amp;"P"&amp;AP$4))*100</f>
        <v>0</v>
      </c>
      <c r="AQ31" s="18">
        <f>MAX(0, $A31-AQ$4)*IF(RTD("tos.rtd",,"OPEN_INT","."&amp;$AA$3&amp;$AA$4&amp;"C"&amp;AQ$4)="N/A",0,RTD("tos.rtd",,"OPEN_INT","."&amp;$AA$3&amp;$AA$4&amp;"C"&amp;AQ$4))*100 + MAX(0, AQ$4-$A31)*IF(RTD("tos.rtd",,"OPEN_INT","."&amp;$AA$3&amp;$AA$4&amp;"P"&amp;AQ$4)="N/A",0,RTD("tos.rtd",,"OPEN_INT","."&amp;$AA$3&amp;$AA$4&amp;"P"&amp;AQ$4))*100</f>
        <v>29150</v>
      </c>
      <c r="AR31" s="18">
        <f>MAX(0, $A31-AR$4)*IF(RTD("tos.rtd",,"OPEN_INT","."&amp;$AA$3&amp;$AA$4&amp;"C"&amp;AR$4)="N/A",0,RTD("tos.rtd",,"OPEN_INT","."&amp;$AA$3&amp;$AA$4&amp;"C"&amp;AR$4))*100 + MAX(0, AR$4-$A31)*IF(RTD("tos.rtd",,"OPEN_INT","."&amp;$AA$3&amp;$AA$4&amp;"P"&amp;AR$4)="N/A",0,RTD("tos.rtd",,"OPEN_INT","."&amp;$AA$3&amp;$AA$4&amp;"P"&amp;AR$4))*100</f>
        <v>3000</v>
      </c>
      <c r="AS31" s="18">
        <f>MAX(0, $A31-AS$4)*IF(RTD("tos.rtd",,"OPEN_INT","."&amp;$AA$3&amp;$AA$4&amp;"C"&amp;AS$4)="N/A",0,RTD("tos.rtd",,"OPEN_INT","."&amp;$AA$3&amp;$AA$4&amp;"C"&amp;AS$4))*100 + MAX(0, AS$4-$A31)*IF(RTD("tos.rtd",,"OPEN_INT","."&amp;$AA$3&amp;$AA$4&amp;"P"&amp;AS$4)="N/A",0,RTD("tos.rtd",,"OPEN_INT","."&amp;$AA$3&amp;$AA$4&amp;"P"&amp;AS$4))*100</f>
        <v>27900</v>
      </c>
      <c r="AT31" s="18">
        <f>MAX(0, $A31-AT$4)*IF(RTD("tos.rtd",,"OPEN_INT","."&amp;$AA$3&amp;$AA$4&amp;"C"&amp;AT$4)="N/A",0,RTD("tos.rtd",,"OPEN_INT","."&amp;$AA$3&amp;$AA$4&amp;"C"&amp;AT$4))*100 + MAX(0, AT$4-$A31)*IF(RTD("tos.rtd",,"OPEN_INT","."&amp;$AA$3&amp;$AA$4&amp;"P"&amp;AT$4)="N/A",0,RTD("tos.rtd",,"OPEN_INT","."&amp;$AA$3&amp;$AA$4&amp;"P"&amp;AT$4))*100</f>
        <v>28000</v>
      </c>
      <c r="AU31" s="18">
        <f>MAX(0, $A31-AU$4)*IF(RTD("tos.rtd",,"OPEN_INT","."&amp;$AA$3&amp;$AA$4&amp;"C"&amp;AU$4)="N/A",0,RTD("tos.rtd",,"OPEN_INT","."&amp;$AA$3&amp;$AA$4&amp;"C"&amp;AU$4))*100 + MAX(0, AU$4-$A31)*IF(RTD("tos.rtd",,"OPEN_INT","."&amp;$AA$3&amp;$AA$4&amp;"P"&amp;AU$4)="N/A",0,RTD("tos.rtd",,"OPEN_INT","."&amp;$AA$3&amp;$AA$4&amp;"P"&amp;AU$4))*100</f>
        <v>14000</v>
      </c>
      <c r="AV31" s="18">
        <f>MAX(0, $A31-AV$4)*IF(RTD("tos.rtd",,"OPEN_INT","."&amp;$AA$3&amp;$AA$4&amp;"C"&amp;AV$4)="N/A",0,RTD("tos.rtd",,"OPEN_INT","."&amp;$AA$3&amp;$AA$4&amp;"C"&amp;AV$4))*100 + MAX(0, AV$4-$A31)*IF(RTD("tos.rtd",,"OPEN_INT","."&amp;$AA$3&amp;$AA$4&amp;"P"&amp;AV$4)="N/A",0,RTD("tos.rtd",,"OPEN_INT","."&amp;$AA$3&amp;$AA$4&amp;"P"&amp;AV$4))*100</f>
        <v>48300</v>
      </c>
      <c r="AW31" s="18">
        <f>MAX(0, $A31-AW$4)*IF(RTD("tos.rtd",,"OPEN_INT","."&amp;$AA$3&amp;$AA$4&amp;"C"&amp;AW$4)="N/A",0,RTD("tos.rtd",,"OPEN_INT","."&amp;$AA$3&amp;$AA$4&amp;"C"&amp;AW$4))*100 + MAX(0, AW$4-$A31)*IF(RTD("tos.rtd",,"OPEN_INT","."&amp;$AA$3&amp;$AA$4&amp;"P"&amp;AW$4)="N/A",0,RTD("tos.rtd",,"OPEN_INT","."&amp;$AA$3&amp;$AA$4&amp;"P"&amp;AW$4))*100</f>
        <v>50500</v>
      </c>
      <c r="AX31" s="18">
        <f>MAX(0, $A31-AX$4)*IF(RTD("tos.rtd",,"OPEN_INT","."&amp;$AA$3&amp;$AA$4&amp;"C"&amp;AX$4)="N/A",0,RTD("tos.rtd",,"OPEN_INT","."&amp;$AA$3&amp;$AA$4&amp;"C"&amp;AX$4))*100 + MAX(0, AX$4-$A31)*IF(RTD("tos.rtd",,"OPEN_INT","."&amp;$AA$3&amp;$AA$4&amp;"P"&amp;AX$4)="N/A",0,RTD("tos.rtd",,"OPEN_INT","."&amp;$AA$3&amp;$AA$4&amp;"P"&amp;AX$4))*100</f>
        <v>49400</v>
      </c>
      <c r="AY31" s="18">
        <f>MAX(0, $A31-AY$4)*IF(RTD("tos.rtd",,"OPEN_INT","."&amp;$AA$3&amp;$AA$4&amp;"C"&amp;AY$4)="N/A",0,RTD("tos.rtd",,"OPEN_INT","."&amp;$AA$3&amp;$AA$4&amp;"C"&amp;AY$4))*100 + MAX(0, AY$4-$A31)*IF(RTD("tos.rtd",,"OPEN_INT","."&amp;$AA$3&amp;$AA$4&amp;"P"&amp;AY$4)="N/A",0,RTD("tos.rtd",,"OPEN_INT","."&amp;$AA$3&amp;$AA$4&amp;"P"&amp;AY$4))*100</f>
        <v>311100</v>
      </c>
      <c r="AZ31" s="18">
        <f>MAX(0, $A31-AZ$4)*IF(RTD("tos.rtd",,"OPEN_INT","."&amp;$AA$3&amp;$AA$4&amp;"C"&amp;AZ$4)="N/A",0,RTD("tos.rtd",,"OPEN_INT","."&amp;$AA$3&amp;$AA$4&amp;"C"&amp;AZ$4))*100 + MAX(0, AZ$4-$A31)*IF(RTD("tos.rtd",,"OPEN_INT","."&amp;$AA$3&amp;$AA$4&amp;"P"&amp;AZ$4)="N/A",0,RTD("tos.rtd",,"OPEN_INT","."&amp;$AA$3&amp;$AA$4&amp;"P"&amp;AZ$4))*100</f>
        <v>56800</v>
      </c>
      <c r="BA31" s="18">
        <f>MAX(0, $A31-BA$4)*IF(RTD("tos.rtd",,"OPEN_INT","."&amp;$AA$3&amp;$AA$4&amp;"C"&amp;BA$4)="N/A",0,RTD("tos.rtd",,"OPEN_INT","."&amp;$AA$3&amp;$AA$4&amp;"C"&amp;BA$4))*100 + MAX(0, BA$4-$A31)*IF(RTD("tos.rtd",,"OPEN_INT","."&amp;$AA$3&amp;$AA$4&amp;"P"&amp;BA$4)="N/A",0,RTD("tos.rtd",,"OPEN_INT","."&amp;$AA$3&amp;$AA$4&amp;"P"&amp;BA$4))*100</f>
        <v>117000</v>
      </c>
      <c r="BB31" s="18">
        <f>MAX(0, $A31-BB$4)*IF(RTD("tos.rtd",,"OPEN_INT","."&amp;$AA$3&amp;$AA$4&amp;"C"&amp;BB$4)="N/A",0,RTD("tos.rtd",,"OPEN_INT","."&amp;$AA$3&amp;$AA$4&amp;"C"&amp;BB$4))*100 + MAX(0, BB$4-$A31)*IF(RTD("tos.rtd",,"OPEN_INT","."&amp;$AA$3&amp;$AA$4&amp;"P"&amp;BB$4)="N/A",0,RTD("tos.rtd",,"OPEN_INT","."&amp;$AA$3&amp;$AA$4&amp;"P"&amp;BB$4))*100</f>
        <v>0</v>
      </c>
      <c r="BC31" s="18">
        <f>MAX(0, $A31-BC$4)*IF(RTD("tos.rtd",,"OPEN_INT","."&amp;$AA$3&amp;$AA$4&amp;"C"&amp;BC$4)="N/A",0,RTD("tos.rtd",,"OPEN_INT","."&amp;$AA$3&amp;$AA$4&amp;"C"&amp;BC$4))*100 + MAX(0, BC$4-$A31)*IF(RTD("tos.rtd",,"OPEN_INT","."&amp;$AA$3&amp;$AA$4&amp;"P"&amp;BC$4)="N/A",0,RTD("tos.rtd",,"OPEN_INT","."&amp;$AA$3&amp;$AA$4&amp;"P"&amp;BC$4))*100</f>
        <v>2035650</v>
      </c>
      <c r="BD31" s="18">
        <f>MAX(0, $A31-BD$4)*IF(RTD("tos.rtd",,"OPEN_INT","."&amp;$AA$3&amp;$AA$4&amp;"C"&amp;BD$4)="N/A",0,RTD("tos.rtd",,"OPEN_INT","."&amp;$AA$3&amp;$AA$4&amp;"C"&amp;BD$4))*100 + MAX(0, BD$4-$A31)*IF(RTD("tos.rtd",,"OPEN_INT","."&amp;$AA$3&amp;$AA$4&amp;"P"&amp;BD$4)="N/A",0,RTD("tos.rtd",,"OPEN_INT","."&amp;$AA$3&amp;$AA$4&amp;"P"&amp;BD$4))*100</f>
        <v>1856000</v>
      </c>
      <c r="BE31" s="18">
        <f>MAX(0, $A31-BE$4)*IF(RTD("tos.rtd",,"OPEN_INT","."&amp;$AA$3&amp;$AA$4&amp;"C"&amp;BE$4)="N/A",0,RTD("tos.rtd",,"OPEN_INT","."&amp;$AA$3&amp;$AA$4&amp;"C"&amp;BE$4))*100 + MAX(0, BE$4-$A31)*IF(RTD("tos.rtd",,"OPEN_INT","."&amp;$AA$3&amp;$AA$4&amp;"P"&amp;BE$4)="N/A",0,RTD("tos.rtd",,"OPEN_INT","."&amp;$AA$3&amp;$AA$4&amp;"P"&amp;BE$4))*100</f>
        <v>2591700</v>
      </c>
      <c r="BF31" s="18">
        <f>MAX(0, $A31-BF$4)*IF(RTD("tos.rtd",,"OPEN_INT","."&amp;$AA$3&amp;$AA$4&amp;"C"&amp;BF$4)="N/A",0,RTD("tos.rtd",,"OPEN_INT","."&amp;$AA$3&amp;$AA$4&amp;"C"&amp;BF$4))*100 + MAX(0, BF$4-$A31)*IF(RTD("tos.rtd",,"OPEN_INT","."&amp;$AA$3&amp;$AA$4&amp;"P"&amp;BF$4)="N/A",0,RTD("tos.rtd",,"OPEN_INT","."&amp;$AA$3&amp;$AA$4&amp;"P"&amp;BF$4))*100</f>
        <v>1681400</v>
      </c>
      <c r="BG31" s="18">
        <f>MAX(0, $A31-BG$4)*IF(RTD("tos.rtd",,"OPEN_INT","."&amp;$AA$3&amp;$AA$4&amp;"C"&amp;BG$4)="N/A",0,RTD("tos.rtd",,"OPEN_INT","."&amp;$AA$3&amp;$AA$4&amp;"C"&amp;BG$4))*100 + MAX(0, BG$4-$A31)*IF(RTD("tos.rtd",,"OPEN_INT","."&amp;$AA$3&amp;$AA$4&amp;"P"&amp;BG$4)="N/A",0,RTD("tos.rtd",,"OPEN_INT","."&amp;$AA$3&amp;$AA$4&amp;"P"&amp;BG$4))*100</f>
        <v>1433500</v>
      </c>
      <c r="BH31" s="18">
        <f>MAX(0, $A31-BH$4)*IF(RTD("tos.rtd",,"OPEN_INT","."&amp;$AA$3&amp;$AA$4&amp;"C"&amp;BH$4)="N/A",0,RTD("tos.rtd",,"OPEN_INT","."&amp;$AA$3&amp;$AA$4&amp;"C"&amp;BH$4))*100 + MAX(0, BH$4-$A31)*IF(RTD("tos.rtd",,"OPEN_INT","."&amp;$AA$3&amp;$AA$4&amp;"P"&amp;BH$4)="N/A",0,RTD("tos.rtd",,"OPEN_INT","."&amp;$AA$3&amp;$AA$4&amp;"P"&amp;BH$4))*100</f>
        <v>582900</v>
      </c>
      <c r="BI31" s="18">
        <f>MAX(0, $A31-BI$4)*IF(RTD("tos.rtd",,"OPEN_INT","."&amp;$AA$3&amp;$AA$4&amp;"C"&amp;BI$4)="N/A",0,RTD("tos.rtd",,"OPEN_INT","."&amp;$AA$3&amp;$AA$4&amp;"C"&amp;BI$4))*100 + MAX(0, BI$4-$A31)*IF(RTD("tos.rtd",,"OPEN_INT","."&amp;$AA$3&amp;$AA$4&amp;"P"&amp;BI$4)="N/A",0,RTD("tos.rtd",,"OPEN_INT","."&amp;$AA$3&amp;$AA$4&amp;"P"&amp;BI$4))*100</f>
        <v>294700</v>
      </c>
      <c r="BJ31" s="18">
        <f>MAX(0, $A31-BJ$4)*IF(RTD("tos.rtd",,"OPEN_INT","."&amp;$AA$3&amp;$AA$4&amp;"C"&amp;BJ$4)="N/A",0,RTD("tos.rtd",,"OPEN_INT","."&amp;$AA$3&amp;$AA$4&amp;"C"&amp;BJ$4))*100 + MAX(0, BJ$4-$A31)*IF(RTD("tos.rtd",,"OPEN_INT","."&amp;$AA$3&amp;$AA$4&amp;"P"&amp;BJ$4)="N/A",0,RTD("tos.rtd",,"OPEN_INT","."&amp;$AA$3&amp;$AA$4&amp;"P"&amp;BJ$4))*100</f>
        <v>60400</v>
      </c>
      <c r="BK31" s="18">
        <f>MAX(0, $A31-BK$4)*IF(RTD("tos.rtd",,"OPEN_INT","."&amp;$AA$3&amp;$AA$4&amp;"C"&amp;BK$4)="N/A",0,RTD("tos.rtd",,"OPEN_INT","."&amp;$AA$3&amp;$AA$4&amp;"C"&amp;BK$4))*100 + MAX(0, BK$4-$A31)*IF(RTD("tos.rtd",,"OPEN_INT","."&amp;$AA$3&amp;$AA$4&amp;"P"&amp;BK$4)="N/A",0,RTD("tos.rtd",,"OPEN_INT","."&amp;$AA$3&amp;$AA$4&amp;"P"&amp;BK$4))*100</f>
        <v>117450</v>
      </c>
      <c r="BL31" s="18">
        <f>MAX(0, $A31-BL$4)*IF(RTD("tos.rtd",,"OPEN_INT","."&amp;$AA$3&amp;$AA$4&amp;"C"&amp;BL$4)="N/A",0,RTD("tos.rtd",,"OPEN_INT","."&amp;$AA$3&amp;$AA$4&amp;"C"&amp;BL$4))*100 + MAX(0, BL$4-$A31)*IF(RTD("tos.rtd",,"OPEN_INT","."&amp;$AA$3&amp;$AA$4&amp;"P"&amp;BL$4)="N/A",0,RTD("tos.rtd",,"OPEN_INT","."&amp;$AA$3&amp;$AA$4&amp;"P"&amp;BL$4))*100</f>
        <v>8000</v>
      </c>
      <c r="BM31" s="18">
        <f>MAX(0, $A31-BM$4)*IF(RTD("tos.rtd",,"OPEN_INT","."&amp;$AA$3&amp;$AA$4&amp;"C"&amp;BM$4)="N/A",0,RTD("tos.rtd",,"OPEN_INT","."&amp;$AA$3&amp;$AA$4&amp;"C"&amp;BM$4))*100 + MAX(0, BM$4-$A31)*IF(RTD("tos.rtd",,"OPEN_INT","."&amp;$AA$3&amp;$AA$4&amp;"P"&amp;BM$4)="N/A",0,RTD("tos.rtd",,"OPEN_INT","."&amp;$AA$3&amp;$AA$4&amp;"P"&amp;BM$4))*100</f>
        <v>4400</v>
      </c>
      <c r="BN31" s="18">
        <f>MAX(0, $A31-BN$4)*IF(RTD("tos.rtd",,"OPEN_INT","."&amp;$AA$3&amp;$AA$4&amp;"C"&amp;BN$4)="N/A",0,RTD("tos.rtd",,"OPEN_INT","."&amp;$AA$3&amp;$AA$4&amp;"C"&amp;BN$4))*100 + MAX(0, BN$4-$A31)*IF(RTD("tos.rtd",,"OPEN_INT","."&amp;$AA$3&amp;$AA$4&amp;"P"&amp;BN$4)="N/A",0,RTD("tos.rtd",,"OPEN_INT","."&amp;$AA$3&amp;$AA$4&amp;"P"&amp;BN$4))*100</f>
        <v>18600</v>
      </c>
      <c r="BO31" s="18">
        <f>MAX(0, $A31-BO$4)*IF(RTD("tos.rtd",,"OPEN_INT","."&amp;$AA$3&amp;$AA$4&amp;"C"&amp;BO$4)="N/A",0,RTD("tos.rtd",,"OPEN_INT","."&amp;$AA$3&amp;$AA$4&amp;"C"&amp;BO$4))*100 + MAX(0, BO$4-$A31)*IF(RTD("tos.rtd",,"OPEN_INT","."&amp;$AA$3&amp;$AA$4&amp;"P"&amp;BO$4)="N/A",0,RTD("tos.rtd",,"OPEN_INT","."&amp;$AA$3&amp;$AA$4&amp;"P"&amp;BO$4))*100</f>
        <v>24700</v>
      </c>
      <c r="BP31" s="18">
        <f>MAX(0, $A31-BP$4)*IF(RTD("tos.rtd",,"OPEN_INT","."&amp;$AA$3&amp;$AA$4&amp;"C"&amp;BP$4)="N/A",0,RTD("tos.rtd",,"OPEN_INT","."&amp;$AA$3&amp;$AA$4&amp;"C"&amp;BP$4))*100 + MAX(0, BP$4-$A31)*IF(RTD("tos.rtd",,"OPEN_INT","."&amp;$AA$3&amp;$AA$4&amp;"P"&amp;BP$4)="N/A",0,RTD("tos.rtd",,"OPEN_INT","."&amp;$AA$3&amp;$AA$4&amp;"P"&amp;BP$4))*100</f>
        <v>0</v>
      </c>
      <c r="BQ31" s="18">
        <f>MAX(0, $A31-BQ$4)*IF(RTD("tos.rtd",,"OPEN_INT","."&amp;$AA$3&amp;$AA$4&amp;"C"&amp;BQ$4)="N/A",0,RTD("tos.rtd",,"OPEN_INT","."&amp;$AA$3&amp;$AA$4&amp;"C"&amp;BQ$4))*100 + MAX(0, BQ$4-$A31)*IF(RTD("tos.rtd",,"OPEN_INT","."&amp;$AA$3&amp;$AA$4&amp;"P"&amp;BQ$4)="N/A",0,RTD("tos.rtd",,"OPEN_INT","."&amp;$AA$3&amp;$AA$4&amp;"P"&amp;BQ$4))*100</f>
        <v>0</v>
      </c>
      <c r="BR31" s="18">
        <f>MAX(0, $A31-BR$4)*IF(RTD("tos.rtd",,"OPEN_INT","."&amp;$AA$3&amp;$AA$4&amp;"C"&amp;BR$4)="N/A",0,RTD("tos.rtd",,"OPEN_INT","."&amp;$AA$3&amp;$AA$4&amp;"C"&amp;BR$4))*100 + MAX(0, BR$4-$A31)*IF(RTD("tos.rtd",,"OPEN_INT","."&amp;$AA$3&amp;$AA$4&amp;"P"&amp;BR$4)="N/A",0,RTD("tos.rtd",,"OPEN_INT","."&amp;$AA$3&amp;$AA$4&amp;"P"&amp;BR$4))*100</f>
        <v>0</v>
      </c>
      <c r="BS31" s="18">
        <f>MAX(0, $A31-BS$4)*IF(RTD("tos.rtd",,"OPEN_INT","."&amp;$AA$3&amp;$AA$4&amp;"C"&amp;BS$4)="N/A",0,RTD("tos.rtd",,"OPEN_INT","."&amp;$AA$3&amp;$AA$4&amp;"C"&amp;BS$4))*100 + MAX(0, BS$4-$A31)*IF(RTD("tos.rtd",,"OPEN_INT","."&amp;$AA$3&amp;$AA$4&amp;"P"&amp;BS$4)="N/A",0,RTD("tos.rtd",,"OPEN_INT","."&amp;$AA$3&amp;$AA$4&amp;"P"&amp;BS$4))*100</f>
        <v>0</v>
      </c>
      <c r="BT31" s="18">
        <f>MAX(0, $A31-BT$4)*IF(RTD("tos.rtd",,"OPEN_INT","."&amp;$AA$3&amp;$AA$4&amp;"C"&amp;BT$4)="N/A",0,RTD("tos.rtd",,"OPEN_INT","."&amp;$AA$3&amp;$AA$4&amp;"C"&amp;BT$4))*100 + MAX(0, BT$4-$A31)*IF(RTD("tos.rtd",,"OPEN_INT","."&amp;$AA$3&amp;$AA$4&amp;"P"&amp;BT$4)="N/A",0,RTD("tos.rtd",,"OPEN_INT","."&amp;$AA$3&amp;$AA$4&amp;"P"&amp;BT$4))*100</f>
        <v>0</v>
      </c>
      <c r="BU31" s="18">
        <f>MAX(0, $A31-BU$4)*IF(RTD("tos.rtd",,"OPEN_INT","."&amp;$AA$3&amp;$AA$4&amp;"C"&amp;BU$4)="N/A",0,RTD("tos.rtd",,"OPEN_INT","."&amp;$AA$3&amp;$AA$4&amp;"C"&amp;BU$4))*100 + MAX(0, BU$4-$A31)*IF(RTD("tos.rtd",,"OPEN_INT","."&amp;$AA$3&amp;$AA$4&amp;"P"&amp;BU$4)="N/A",0,RTD("tos.rtd",,"OPEN_INT","."&amp;$AA$3&amp;$AA$4&amp;"P"&amp;BU$4))*100</f>
        <v>0</v>
      </c>
      <c r="BV31" s="18">
        <f>MAX(0, $A31-BV$4)*IF(RTD("tos.rtd",,"OPEN_INT","."&amp;$AA$3&amp;$AA$4&amp;"C"&amp;BV$4)="N/A",0,RTD("tos.rtd",,"OPEN_INT","."&amp;$AA$3&amp;$AA$4&amp;"C"&amp;BV$4))*100 + MAX(0, BV$4-$A31)*IF(RTD("tos.rtd",,"OPEN_INT","."&amp;$AA$3&amp;$AA$4&amp;"P"&amp;BV$4)="N/A",0,RTD("tos.rtd",,"OPEN_INT","."&amp;$AA$3&amp;$AA$4&amp;"P"&amp;BV$4))*100</f>
        <v>0</v>
      </c>
    </row>
    <row r="32" spans="1:74" s="19" customFormat="1" ht="11.1" customHeight="1" thickBot="1" x14ac:dyDescent="0.3">
      <c r="A32" s="23">
        <f t="shared" si="11"/>
        <v>8</v>
      </c>
      <c r="B32" s="14">
        <f ca="1">IF($A$2="PREMIUM_OI",IFERROR(IF($X$1="ABS",(100*RTD("tos.rtd",,"OPEN_INT","."&amp;B$2&amp;B$1&amp;"C"&amp;$A32)*RTD("tos.rtd",,"LAST","."&amp;B$2&amp;B$1&amp;"C"&amp;$A32)+100*RTD("tos.rtd",,"OPEN_INT","."&amp;B$2&amp;B$1&amp;"P"&amp;$A32)*RTD("tos.rtd",,"LAST","."&amp;B$2&amp;B$1&amp;"P"&amp;$A32))/1000000,(100*RTD("tos.rtd",,"OPEN_INT","."&amp;B$2&amp;B$1&amp;"C"&amp;$A32)*RTD("tos.rtd",,"LAST","."&amp;B$2&amp;B$1&amp;"C"&amp;$A32)-100*RTD("tos.rtd",,"OPEN_INT","."&amp;B$2&amp;B$1&amp;"P"&amp;$A32)*RTD("tos.rtd",,"LAST","."&amp;B$2&amp;B$1&amp;"P"&amp;$A32))/1000000),0),IF($A$2="PREMIUM",IFERROR(IF($X$1="ABS",(100*RTD("tos.rtd",,"VOLUME","."&amp;B$2&amp;B$1&amp;"C"&amp;$A32)*RTD("tos.rtd",,"LAST","."&amp;B$2&amp;B$1&amp;"C"&amp;$A32)+100*RTD("tos.rtd",,"VOLUME","."&amp;B$2&amp;B$1&amp;"P"&amp;$A32)*RTD("tos.rtd",,"LAST","."&amp;B$2&amp;B$1&amp;"P"&amp;$A32))/1000000,(100*RTD("tos.rtd",,"VOLUME","."&amp;B$2&amp;B$1&amp;"C"&amp;$A32)*RTD("tos.rtd",,"LAST","."&amp;B$2&amp;B$1&amp;"C"&amp;$A32)-100*RTD("tos.rtd",,"VOLUME","."&amp;B$2&amp;B$1&amp;"P"&amp;$A32)*RTD("tos.rtd",,"LAST","."&amp;B$2&amp;B$1&amp;"P"&amp;$A32))/1000000),0),IF($A$2="DEX",IFERROR(IF($X$1="ABS",(100*RTD("tos.rtd",,"OPEN_INT","."&amp;B$2&amp;B$1&amp;"C"&amp;$A32)*RTD("tos.rtd",,"DELTA","."&amp;B$2&amp;B$1&amp;"C"&amp;$A32)+100*RTD("tos.rtd",,"OPEN_INT","."&amp;B$2&amp;B$1&amp;"P"&amp;$A32)*RTD("tos.rtd",,"DELTA","."&amp;B$2&amp;B$1&amp;"P"&amp;$A32))/1000,(100*RTD("tos.rtd",,"OPEN_INT","."&amp;B$2&amp;B$1&amp;"C"&amp;$A32)*RTD("tos.rtd",,"DELTA","."&amp;B$2&amp;B$1&amp;"C"&amp;$A32)-100*RTD("tos.rtd",,"OPEN_INT","."&amp;B$2&amp;B$1&amp;"P"&amp;$A32)*RTD("tos.rtd",,"DELTA","."&amp;B$2&amp;B$1&amp;"P"&amp;$A32))/1000),0),IF($A$2="VEX",IFERROR(IF($X$1="ABS",($A$4*$A$4*RTD("tos.rtd",,"VOLUME","."&amp;B$2&amp;B$1&amp;"C"&amp;$A32)*RTD("tos.rtd",,"GAMMA","."&amp;B$2&amp;B$1&amp;"C"&amp;$A32)+$A$4*$A$4*RTD("tos.rtd",,"VOLUME","."&amp;B$2&amp;B$1&amp;"P"&amp;$A32)*RTD("tos.rtd",,"GAMMA","."&amp;B$2&amp;B$1&amp;"P"&amp;$A32))/1000000,($A$4*$A$4*RTD("tos.rtd",,"VOLUME","."&amp;B$2&amp;B$1&amp;"C"&amp;$A32)*RTD("tos.rtd",,"GAMMA","."&amp;B$2&amp;B$1&amp;"C"&amp;$A32)-$A$4*$A$4*RTD("tos.rtd",,"VOLUME","."&amp;B$2&amp;B$1&amp;"P"&amp;$A32)*RTD("tos.rtd",,"GAMMA","."&amp;B$2&amp;B$1&amp;"P"&amp;$A32))/1000000),0),IF($A$2="GEX",IFERROR(IF($X$1="ABS",($A$4*$A$4*RTD("tos.rtd",,"OPEN_INT","."&amp;B$2&amp;B$1&amp;"C"&amp;$A32)*RTD("tos.rtd",,"GAMMA","."&amp;B$2&amp;B$1&amp;"C"&amp;$A32)+$A$4*$A$4*RTD("tos.rtd",,"OPEN_INT","."&amp;B$2&amp;B$1&amp;"P"&amp;$A32)*RTD("tos.rtd",,"GAMMA","."&amp;B$2&amp;B$1&amp;"P"&amp;$A32))/1000000,($A$4*$A$4*RTD("tos.rtd",,"OPEN_INT","."&amp;B$2&amp;B$1&amp;"C"&amp;$A32)*RTD("tos.rtd",,"GAMMA","."&amp;B$2&amp;B$1&amp;"C"&amp;$A32)-$A$4*$A$4*RTD("tos.rtd",,"OPEN_INT","."&amp;B$2&amp;B$1&amp;"P"&amp;$A32)*RTD("tos.rtd",,"GAMMA","."&amp;B$2&amp;B$1&amp;"P"&amp;$A32))/1000000),0),IF($A$2="SKEW",IFERROR(VALUE(IF(RTD("tos.rtd",,"IMPL_VOL","."&amp;B$2&amp;B$1&amp;"P"&amp;$A32)="N/A",0,RTD("tos.rtd",,"IMPL_VOL","."&amp;B$2&amp;B$1&amp;"P"&amp;$A32))),0)-IFERROR(VALUE(IF(RTD("tos.rtd",,"IMPL_VOL","."&amp;B$2&amp;B$1&amp;"C"&amp;$A32)="N/A",0,RTD("tos.rtd",,"IMPL_VOL","."&amp;B$2&amp;B$1&amp;"C"&amp;$A32))),0),IF($A$2="MAXPAIN",IF($A$4&gt;$A32,($A$4-$A32)*IF(RTD("tos.rtd",,"OPEN_INT","."&amp;B$2&amp;B$1&amp;"C"&amp;$A32)="N/A",0,RTD("tos.rtd",,"OPEN_INT","."&amp;B$2&amp;B$1&amp;"C"&amp;$A32)),0)+IF($A$4&lt;$A32,($A$5-$A$4)*IF(RTD("tos.rtd",,"OPEN_INT","."&amp;B$2&amp;B$1&amp;"P"&amp;$A32)="N/A",0,RTD("tos.rtd",,"OPEN_INT","."&amp;B$2&amp;B$1&amp;"P"&amp;$A32)),0),IF($X$1="ABS",IF(RTD("tos.rtd",,$A$2,"."&amp;B$2&amp;B$1&amp;"C"&amp;$A32)="N/A",0,RTD("tos.rtd",,$A$2,"."&amp;B$2&amp;B$1&amp;"C"&amp;$A32))+IF(RTD("tos.rtd",,$A$2,"."&amp;B$2&amp;B$1&amp;"P"&amp;$A32)="N/A",0,RTD("tos.rtd",,$A$2,"."&amp;B$2&amp;B$1&amp;"P"&amp;$A32)),IF(RTD("tos.rtd",,$A$2,"."&amp;B$2&amp;B$1&amp;"C"&amp;$A32)="N/A",0,RTD("tos.rtd",,$A$2,"."&amp;B$2&amp;B$1&amp;"C"&amp;$A32))-IF(RTD("tos.rtd",,$A$2,"."&amp;B$2&amp;B$1&amp;"P"&amp;$A32)="N/A",0,RTD("tos.rtd",,$A$2,"."&amp;B$2&amp;B$1&amp;"P"&amp;$A32))))))))))</f>
        <v>0</v>
      </c>
      <c r="C32" s="12">
        <f ca="1">IF($A$2="PREMIUM_OI",IFERROR(IF($X$1="ABS",(100*RTD("tos.rtd",,"OPEN_INT","."&amp;C$2&amp;C$1&amp;"C"&amp;$A32)*RTD("tos.rtd",,"LAST","."&amp;C$2&amp;C$1&amp;"C"&amp;$A32)+100*RTD("tos.rtd",,"OPEN_INT","."&amp;C$2&amp;C$1&amp;"P"&amp;$A32)*RTD("tos.rtd",,"LAST","."&amp;C$2&amp;C$1&amp;"P"&amp;$A32))/1000000,(100*RTD("tos.rtd",,"OPEN_INT","."&amp;C$2&amp;C$1&amp;"C"&amp;$A32)*RTD("tos.rtd",,"LAST","."&amp;C$2&amp;C$1&amp;"C"&amp;$A32)-100*RTD("tos.rtd",,"OPEN_INT","."&amp;C$2&amp;C$1&amp;"P"&amp;$A32)*RTD("tos.rtd",,"LAST","."&amp;C$2&amp;C$1&amp;"P"&amp;$A32))/1000000),0),IF($A$2="PREMIUM",IFERROR(IF($X$1="ABS",(100*RTD("tos.rtd",,"VOLUME","."&amp;C$2&amp;C$1&amp;"C"&amp;$A32)*RTD("tos.rtd",,"LAST","."&amp;C$2&amp;C$1&amp;"C"&amp;$A32)+100*RTD("tos.rtd",,"VOLUME","."&amp;C$2&amp;C$1&amp;"P"&amp;$A32)*RTD("tos.rtd",,"LAST","."&amp;C$2&amp;C$1&amp;"P"&amp;$A32))/1000000,(100*RTD("tos.rtd",,"VOLUME","."&amp;C$2&amp;C$1&amp;"C"&amp;$A32)*RTD("tos.rtd",,"LAST","."&amp;C$2&amp;C$1&amp;"C"&amp;$A32)-100*RTD("tos.rtd",,"VOLUME","."&amp;C$2&amp;C$1&amp;"P"&amp;$A32)*RTD("tos.rtd",,"LAST","."&amp;C$2&amp;C$1&amp;"P"&amp;$A32))/1000000),0),IF($A$2="DEX",IFERROR(IF($X$1="ABS",(100*RTD("tos.rtd",,"OPEN_INT","."&amp;C$2&amp;C$1&amp;"C"&amp;$A32)*RTD("tos.rtd",,"DELTA","."&amp;C$2&amp;C$1&amp;"C"&amp;$A32)+100*RTD("tos.rtd",,"OPEN_INT","."&amp;C$2&amp;C$1&amp;"P"&amp;$A32)*RTD("tos.rtd",,"DELTA","."&amp;C$2&amp;C$1&amp;"P"&amp;$A32))/1000,(100*RTD("tos.rtd",,"OPEN_INT","."&amp;C$2&amp;C$1&amp;"C"&amp;$A32)*RTD("tos.rtd",,"DELTA","."&amp;C$2&amp;C$1&amp;"C"&amp;$A32)-100*RTD("tos.rtd",,"OPEN_INT","."&amp;C$2&amp;C$1&amp;"P"&amp;$A32)*RTD("tos.rtd",,"DELTA","."&amp;C$2&amp;C$1&amp;"P"&amp;$A32))/1000),0),IF($A$2="VEX",IFERROR(IF($X$1="ABS",($A$4*$A$4*RTD("tos.rtd",,"VOLUME","."&amp;C$2&amp;C$1&amp;"C"&amp;$A32)*RTD("tos.rtd",,"GAMMA","."&amp;C$2&amp;C$1&amp;"C"&amp;$A32)+$A$4*$A$4*RTD("tos.rtd",,"VOLUME","."&amp;C$2&amp;C$1&amp;"P"&amp;$A32)*RTD("tos.rtd",,"GAMMA","."&amp;C$2&amp;C$1&amp;"P"&amp;$A32))/1000000,($A$4*$A$4*RTD("tos.rtd",,"VOLUME","."&amp;C$2&amp;C$1&amp;"C"&amp;$A32)*RTD("tos.rtd",,"GAMMA","."&amp;C$2&amp;C$1&amp;"C"&amp;$A32)-$A$4*$A$4*RTD("tos.rtd",,"VOLUME","."&amp;C$2&amp;C$1&amp;"P"&amp;$A32)*RTD("tos.rtd",,"GAMMA","."&amp;C$2&amp;C$1&amp;"P"&amp;$A32))/1000000),0),IF($A$2="GEX",IFERROR(IF($X$1="ABS",($A$4*$A$4*RTD("tos.rtd",,"OPEN_INT","."&amp;C$2&amp;C$1&amp;"C"&amp;$A32)*RTD("tos.rtd",,"GAMMA","."&amp;C$2&amp;C$1&amp;"C"&amp;$A32)+$A$4*$A$4*RTD("tos.rtd",,"OPEN_INT","."&amp;C$2&amp;C$1&amp;"P"&amp;$A32)*RTD("tos.rtd",,"GAMMA","."&amp;C$2&amp;C$1&amp;"P"&amp;$A32))/1000000,($A$4*$A$4*RTD("tos.rtd",,"OPEN_INT","."&amp;C$2&amp;C$1&amp;"C"&amp;$A32)*RTD("tos.rtd",,"GAMMA","."&amp;C$2&amp;C$1&amp;"C"&amp;$A32)-$A$4*$A$4*RTD("tos.rtd",,"OPEN_INT","."&amp;C$2&amp;C$1&amp;"P"&amp;$A32)*RTD("tos.rtd",,"GAMMA","."&amp;C$2&amp;C$1&amp;"P"&amp;$A32))/1000000),0),IF($A$2="SKEW",IFERROR(VALUE(IF(RTD("tos.rtd",,"IMPL_VOL","."&amp;C$2&amp;C$1&amp;"P"&amp;$A32)="N/A",0,RTD("tos.rtd",,"IMPL_VOL","."&amp;C$2&amp;C$1&amp;"P"&amp;$A32))),0)-IFERROR(VALUE(IF(RTD("tos.rtd",,"IMPL_VOL","."&amp;C$2&amp;C$1&amp;"C"&amp;$A32)="N/A",0,RTD("tos.rtd",,"IMPL_VOL","."&amp;C$2&amp;C$1&amp;"C"&amp;$A32))),0),IF($A$2="MAXPAIN",IF($A$4&gt;$A32,($A$4-$A32)*IF(RTD("tos.rtd",,"OPEN_INT","."&amp;C$2&amp;C$1&amp;"C"&amp;$A32)="N/A",0,RTD("tos.rtd",,"OPEN_INT","."&amp;C$2&amp;C$1&amp;"C"&amp;$A32)),0)+IF($A$4&lt;$A32,($A$5-$A$4)*IF(RTD("tos.rtd",,"OPEN_INT","."&amp;C$2&amp;C$1&amp;"P"&amp;$A32)="N/A",0,RTD("tos.rtd",,"OPEN_INT","."&amp;C$2&amp;C$1&amp;"P"&amp;$A32)),0),IF($X$1="ABS",IF(RTD("tos.rtd",,$A$2,"."&amp;C$2&amp;C$1&amp;"C"&amp;$A32)="N/A",0,RTD("tos.rtd",,$A$2,"."&amp;C$2&amp;C$1&amp;"C"&amp;$A32))+IF(RTD("tos.rtd",,$A$2,"."&amp;C$2&amp;C$1&amp;"P"&amp;$A32)="N/A",0,RTD("tos.rtd",,$A$2,"."&amp;C$2&amp;C$1&amp;"P"&amp;$A32)),IF(RTD("tos.rtd",,$A$2,"."&amp;C$2&amp;C$1&amp;"C"&amp;$A32)="N/A",0,RTD("tos.rtd",,$A$2,"."&amp;C$2&amp;C$1&amp;"C"&amp;$A32))-IF(RTD("tos.rtd",,$A$2,"."&amp;C$2&amp;C$1&amp;"P"&amp;$A32)="N/A",0,RTD("tos.rtd",,$A$2,"."&amp;C$2&amp;C$1&amp;"P"&amp;$A32))))))))))</f>
        <v>33062</v>
      </c>
      <c r="D32" s="12">
        <f ca="1">IF($A$2="PREMIUM_OI",IFERROR(IF($X$1="ABS",(100*RTD("tos.rtd",,"OPEN_INT","."&amp;D$2&amp;D$1&amp;"C"&amp;$A32)*RTD("tos.rtd",,"LAST","."&amp;D$2&amp;D$1&amp;"C"&amp;$A32)+100*RTD("tos.rtd",,"OPEN_INT","."&amp;D$2&amp;D$1&amp;"P"&amp;$A32)*RTD("tos.rtd",,"LAST","."&amp;D$2&amp;D$1&amp;"P"&amp;$A32))/1000000,(100*RTD("tos.rtd",,"OPEN_INT","."&amp;D$2&amp;D$1&amp;"C"&amp;$A32)*RTD("tos.rtd",,"LAST","."&amp;D$2&amp;D$1&amp;"C"&amp;$A32)-100*RTD("tos.rtd",,"OPEN_INT","."&amp;D$2&amp;D$1&amp;"P"&amp;$A32)*RTD("tos.rtd",,"LAST","."&amp;D$2&amp;D$1&amp;"P"&amp;$A32))/1000000),0),IF($A$2="PREMIUM",IFERROR(IF($X$1="ABS",(100*RTD("tos.rtd",,"VOLUME","."&amp;D$2&amp;D$1&amp;"C"&amp;$A32)*RTD("tos.rtd",,"LAST","."&amp;D$2&amp;D$1&amp;"C"&amp;$A32)+100*RTD("tos.rtd",,"VOLUME","."&amp;D$2&amp;D$1&amp;"P"&amp;$A32)*RTD("tos.rtd",,"LAST","."&amp;D$2&amp;D$1&amp;"P"&amp;$A32))/1000000,(100*RTD("tos.rtd",,"VOLUME","."&amp;D$2&amp;D$1&amp;"C"&amp;$A32)*RTD("tos.rtd",,"LAST","."&amp;D$2&amp;D$1&amp;"C"&amp;$A32)-100*RTD("tos.rtd",,"VOLUME","."&amp;D$2&amp;D$1&amp;"P"&amp;$A32)*RTD("tos.rtd",,"LAST","."&amp;D$2&amp;D$1&amp;"P"&amp;$A32))/1000000),0),IF($A$2="DEX",IFERROR(IF($X$1="ABS",(100*RTD("tos.rtd",,"OPEN_INT","."&amp;D$2&amp;D$1&amp;"C"&amp;$A32)*RTD("tos.rtd",,"DELTA","."&amp;D$2&amp;D$1&amp;"C"&amp;$A32)+100*RTD("tos.rtd",,"OPEN_INT","."&amp;D$2&amp;D$1&amp;"P"&amp;$A32)*RTD("tos.rtd",,"DELTA","."&amp;D$2&amp;D$1&amp;"P"&amp;$A32))/1000,(100*RTD("tos.rtd",,"OPEN_INT","."&amp;D$2&amp;D$1&amp;"C"&amp;$A32)*RTD("tos.rtd",,"DELTA","."&amp;D$2&amp;D$1&amp;"C"&amp;$A32)-100*RTD("tos.rtd",,"OPEN_INT","."&amp;D$2&amp;D$1&amp;"P"&amp;$A32)*RTD("tos.rtd",,"DELTA","."&amp;D$2&amp;D$1&amp;"P"&amp;$A32))/1000),0),IF($A$2="VEX",IFERROR(IF($X$1="ABS",($A$4*$A$4*RTD("tos.rtd",,"VOLUME","."&amp;D$2&amp;D$1&amp;"C"&amp;$A32)*RTD("tos.rtd",,"GAMMA","."&amp;D$2&amp;D$1&amp;"C"&amp;$A32)+$A$4*$A$4*RTD("tos.rtd",,"VOLUME","."&amp;D$2&amp;D$1&amp;"P"&amp;$A32)*RTD("tos.rtd",,"GAMMA","."&amp;D$2&amp;D$1&amp;"P"&amp;$A32))/1000000,($A$4*$A$4*RTD("tos.rtd",,"VOLUME","."&amp;D$2&amp;D$1&amp;"C"&amp;$A32)*RTD("tos.rtd",,"GAMMA","."&amp;D$2&amp;D$1&amp;"C"&amp;$A32)-$A$4*$A$4*RTD("tos.rtd",,"VOLUME","."&amp;D$2&amp;D$1&amp;"P"&amp;$A32)*RTD("tos.rtd",,"GAMMA","."&amp;D$2&amp;D$1&amp;"P"&amp;$A32))/1000000),0),IF($A$2="GEX",IFERROR(IF($X$1="ABS",($A$4*$A$4*RTD("tos.rtd",,"OPEN_INT","."&amp;D$2&amp;D$1&amp;"C"&amp;$A32)*RTD("tos.rtd",,"GAMMA","."&amp;D$2&amp;D$1&amp;"C"&amp;$A32)+$A$4*$A$4*RTD("tos.rtd",,"OPEN_INT","."&amp;D$2&amp;D$1&amp;"P"&amp;$A32)*RTD("tos.rtd",,"GAMMA","."&amp;D$2&amp;D$1&amp;"P"&amp;$A32))/1000000,($A$4*$A$4*RTD("tos.rtd",,"OPEN_INT","."&amp;D$2&amp;D$1&amp;"C"&amp;$A32)*RTD("tos.rtd",,"GAMMA","."&amp;D$2&amp;D$1&amp;"C"&amp;$A32)-$A$4*$A$4*RTD("tos.rtd",,"OPEN_INT","."&amp;D$2&amp;D$1&amp;"P"&amp;$A32)*RTD("tos.rtd",,"GAMMA","."&amp;D$2&amp;D$1&amp;"P"&amp;$A32))/1000000),0),IF($A$2="SKEW",IFERROR(VALUE(IF(RTD("tos.rtd",,"IMPL_VOL","."&amp;D$2&amp;D$1&amp;"P"&amp;$A32)="N/A",0,RTD("tos.rtd",,"IMPL_VOL","."&amp;D$2&amp;D$1&amp;"P"&amp;$A32))),0)-IFERROR(VALUE(IF(RTD("tos.rtd",,"IMPL_VOL","."&amp;D$2&amp;D$1&amp;"C"&amp;$A32)="N/A",0,RTD("tos.rtd",,"IMPL_VOL","."&amp;D$2&amp;D$1&amp;"C"&amp;$A32))),0),IF($A$2="MAXPAIN",IF($A$4&gt;$A32,($A$4-$A32)*IF(RTD("tos.rtd",,"OPEN_INT","."&amp;D$2&amp;D$1&amp;"C"&amp;$A32)="N/A",0,RTD("tos.rtd",,"OPEN_INT","."&amp;D$2&amp;D$1&amp;"C"&amp;$A32)),0)+IF($A$4&lt;$A32,($A$5-$A$4)*IF(RTD("tos.rtd",,"OPEN_INT","."&amp;D$2&amp;D$1&amp;"P"&amp;$A32)="N/A",0,RTD("tos.rtd",,"OPEN_INT","."&amp;D$2&amp;D$1&amp;"P"&amp;$A32)),0),IF($X$1="ABS",IF(RTD("tos.rtd",,$A$2,"."&amp;D$2&amp;D$1&amp;"C"&amp;$A32)="N/A",0,RTD("tos.rtd",,$A$2,"."&amp;D$2&amp;D$1&amp;"C"&amp;$A32))+IF(RTD("tos.rtd",,$A$2,"."&amp;D$2&amp;D$1&amp;"P"&amp;$A32)="N/A",0,RTD("tos.rtd",,$A$2,"."&amp;D$2&amp;D$1&amp;"P"&amp;$A32)),IF(RTD("tos.rtd",,$A$2,"."&amp;D$2&amp;D$1&amp;"C"&amp;$A32)="N/A",0,RTD("tos.rtd",,$A$2,"."&amp;D$2&amp;D$1&amp;"C"&amp;$A32))-IF(RTD("tos.rtd",,$A$2,"."&amp;D$2&amp;D$1&amp;"P"&amp;$A32)="N/A",0,RTD("tos.rtd",,$A$2,"."&amp;D$2&amp;D$1&amp;"P"&amp;$A32))))))))))</f>
        <v>23265</v>
      </c>
      <c r="E32" s="12">
        <f ca="1">IF($A$2="PREMIUM_OI",IFERROR(IF($X$1="ABS",(100*RTD("tos.rtd",,"OPEN_INT","."&amp;E$2&amp;E$1&amp;"C"&amp;$A32)*RTD("tos.rtd",,"LAST","."&amp;E$2&amp;E$1&amp;"C"&amp;$A32)+100*RTD("tos.rtd",,"OPEN_INT","."&amp;E$2&amp;E$1&amp;"P"&amp;$A32)*RTD("tos.rtd",,"LAST","."&amp;E$2&amp;E$1&amp;"P"&amp;$A32))/1000000,(100*RTD("tos.rtd",,"OPEN_INT","."&amp;E$2&amp;E$1&amp;"C"&amp;$A32)*RTD("tos.rtd",,"LAST","."&amp;E$2&amp;E$1&amp;"C"&amp;$A32)-100*RTD("tos.rtd",,"OPEN_INT","."&amp;E$2&amp;E$1&amp;"P"&amp;$A32)*RTD("tos.rtd",,"LAST","."&amp;E$2&amp;E$1&amp;"P"&amp;$A32))/1000000),0),IF($A$2="PREMIUM",IFERROR(IF($X$1="ABS",(100*RTD("tos.rtd",,"VOLUME","."&amp;E$2&amp;E$1&amp;"C"&amp;$A32)*RTD("tos.rtd",,"LAST","."&amp;E$2&amp;E$1&amp;"C"&amp;$A32)+100*RTD("tos.rtd",,"VOLUME","."&amp;E$2&amp;E$1&amp;"P"&amp;$A32)*RTD("tos.rtd",,"LAST","."&amp;E$2&amp;E$1&amp;"P"&amp;$A32))/1000000,(100*RTD("tos.rtd",,"VOLUME","."&amp;E$2&amp;E$1&amp;"C"&amp;$A32)*RTD("tos.rtd",,"LAST","."&amp;E$2&amp;E$1&amp;"C"&amp;$A32)-100*RTD("tos.rtd",,"VOLUME","."&amp;E$2&amp;E$1&amp;"P"&amp;$A32)*RTD("tos.rtd",,"LAST","."&amp;E$2&amp;E$1&amp;"P"&amp;$A32))/1000000),0),IF($A$2="DEX",IFERROR(IF($X$1="ABS",(100*RTD("tos.rtd",,"OPEN_INT","."&amp;E$2&amp;E$1&amp;"C"&amp;$A32)*RTD("tos.rtd",,"DELTA","."&amp;E$2&amp;E$1&amp;"C"&amp;$A32)+100*RTD("tos.rtd",,"OPEN_INT","."&amp;E$2&amp;E$1&amp;"P"&amp;$A32)*RTD("tos.rtd",,"DELTA","."&amp;E$2&amp;E$1&amp;"P"&amp;$A32))/1000,(100*RTD("tos.rtd",,"OPEN_INT","."&amp;E$2&amp;E$1&amp;"C"&amp;$A32)*RTD("tos.rtd",,"DELTA","."&amp;E$2&amp;E$1&amp;"C"&amp;$A32)-100*RTD("tos.rtd",,"OPEN_INT","."&amp;E$2&amp;E$1&amp;"P"&amp;$A32)*RTD("tos.rtd",,"DELTA","."&amp;E$2&amp;E$1&amp;"P"&amp;$A32))/1000),0),IF($A$2="VEX",IFERROR(IF($X$1="ABS",($A$4*$A$4*RTD("tos.rtd",,"VOLUME","."&amp;E$2&amp;E$1&amp;"C"&amp;$A32)*RTD("tos.rtd",,"GAMMA","."&amp;E$2&amp;E$1&amp;"C"&amp;$A32)+$A$4*$A$4*RTD("tos.rtd",,"VOLUME","."&amp;E$2&amp;E$1&amp;"P"&amp;$A32)*RTD("tos.rtd",,"GAMMA","."&amp;E$2&amp;E$1&amp;"P"&amp;$A32))/1000000,($A$4*$A$4*RTD("tos.rtd",,"VOLUME","."&amp;E$2&amp;E$1&amp;"C"&amp;$A32)*RTD("tos.rtd",,"GAMMA","."&amp;E$2&amp;E$1&amp;"C"&amp;$A32)-$A$4*$A$4*RTD("tos.rtd",,"VOLUME","."&amp;E$2&amp;E$1&amp;"P"&amp;$A32)*RTD("tos.rtd",,"GAMMA","."&amp;E$2&amp;E$1&amp;"P"&amp;$A32))/1000000),0),IF($A$2="GEX",IFERROR(IF($X$1="ABS",($A$4*$A$4*RTD("tos.rtd",,"OPEN_INT","."&amp;E$2&amp;E$1&amp;"C"&amp;$A32)*RTD("tos.rtd",,"GAMMA","."&amp;E$2&amp;E$1&amp;"C"&amp;$A32)+$A$4*$A$4*RTD("tos.rtd",,"OPEN_INT","."&amp;E$2&amp;E$1&amp;"P"&amp;$A32)*RTD("tos.rtd",,"GAMMA","."&amp;E$2&amp;E$1&amp;"P"&amp;$A32))/1000000,($A$4*$A$4*RTD("tos.rtd",,"OPEN_INT","."&amp;E$2&amp;E$1&amp;"C"&amp;$A32)*RTD("tos.rtd",,"GAMMA","."&amp;E$2&amp;E$1&amp;"C"&amp;$A32)-$A$4*$A$4*RTD("tos.rtd",,"OPEN_INT","."&amp;E$2&amp;E$1&amp;"P"&amp;$A32)*RTD("tos.rtd",,"GAMMA","."&amp;E$2&amp;E$1&amp;"P"&amp;$A32))/1000000),0),IF($A$2="SKEW",IFERROR(VALUE(IF(RTD("tos.rtd",,"IMPL_VOL","."&amp;E$2&amp;E$1&amp;"P"&amp;$A32)="N/A",0,RTD("tos.rtd",,"IMPL_VOL","."&amp;E$2&amp;E$1&amp;"P"&amp;$A32))),0)-IFERROR(VALUE(IF(RTD("tos.rtd",,"IMPL_VOL","."&amp;E$2&amp;E$1&amp;"C"&amp;$A32)="N/A",0,RTD("tos.rtd",,"IMPL_VOL","."&amp;E$2&amp;E$1&amp;"C"&amp;$A32))),0),IF($A$2="MAXPAIN",IF($A$4&gt;$A32,($A$4-$A32)*IF(RTD("tos.rtd",,"OPEN_INT","."&amp;E$2&amp;E$1&amp;"C"&amp;$A32)="N/A",0,RTD("tos.rtd",,"OPEN_INT","."&amp;E$2&amp;E$1&amp;"C"&amp;$A32)),0)+IF($A$4&lt;$A32,($A$5-$A$4)*IF(RTD("tos.rtd",,"OPEN_INT","."&amp;E$2&amp;E$1&amp;"P"&amp;$A32)="N/A",0,RTD("tos.rtd",,"OPEN_INT","."&amp;E$2&amp;E$1&amp;"P"&amp;$A32)),0),IF($X$1="ABS",IF(RTD("tos.rtd",,$A$2,"."&amp;E$2&amp;E$1&amp;"C"&amp;$A32)="N/A",0,RTD("tos.rtd",,$A$2,"."&amp;E$2&amp;E$1&amp;"C"&amp;$A32))+IF(RTD("tos.rtd",,$A$2,"."&amp;E$2&amp;E$1&amp;"P"&amp;$A32)="N/A",0,RTD("tos.rtd",,$A$2,"."&amp;E$2&amp;E$1&amp;"P"&amp;$A32)),IF(RTD("tos.rtd",,$A$2,"."&amp;E$2&amp;E$1&amp;"C"&amp;$A32)="N/A",0,RTD("tos.rtd",,$A$2,"."&amp;E$2&amp;E$1&amp;"C"&amp;$A32))-IF(RTD("tos.rtd",,$A$2,"."&amp;E$2&amp;E$1&amp;"P"&amp;$A32)="N/A",0,RTD("tos.rtd",,$A$2,"."&amp;E$2&amp;E$1&amp;"P"&amp;$A32))))))))))</f>
        <v>6624</v>
      </c>
      <c r="F32" s="12">
        <f ca="1">IF($A$2="PREMIUM_OI",IFERROR(IF($X$1="ABS",(100*RTD("tos.rtd",,"OPEN_INT","."&amp;F$2&amp;F$1&amp;"C"&amp;$A32)*RTD("tos.rtd",,"LAST","."&amp;F$2&amp;F$1&amp;"C"&amp;$A32)+100*RTD("tos.rtd",,"OPEN_INT","."&amp;F$2&amp;F$1&amp;"P"&amp;$A32)*RTD("tos.rtd",,"LAST","."&amp;F$2&amp;F$1&amp;"P"&amp;$A32))/1000000,(100*RTD("tos.rtd",,"OPEN_INT","."&amp;F$2&amp;F$1&amp;"C"&amp;$A32)*RTD("tos.rtd",,"LAST","."&amp;F$2&amp;F$1&amp;"C"&amp;$A32)-100*RTD("tos.rtd",,"OPEN_INT","."&amp;F$2&amp;F$1&amp;"P"&amp;$A32)*RTD("tos.rtd",,"LAST","."&amp;F$2&amp;F$1&amp;"P"&amp;$A32))/1000000),0),IF($A$2="PREMIUM",IFERROR(IF($X$1="ABS",(100*RTD("tos.rtd",,"VOLUME","."&amp;F$2&amp;F$1&amp;"C"&amp;$A32)*RTD("tos.rtd",,"LAST","."&amp;F$2&amp;F$1&amp;"C"&amp;$A32)+100*RTD("tos.rtd",,"VOLUME","."&amp;F$2&amp;F$1&amp;"P"&amp;$A32)*RTD("tos.rtd",,"LAST","."&amp;F$2&amp;F$1&amp;"P"&amp;$A32))/1000000,(100*RTD("tos.rtd",,"VOLUME","."&amp;F$2&amp;F$1&amp;"C"&amp;$A32)*RTD("tos.rtd",,"LAST","."&amp;F$2&amp;F$1&amp;"C"&amp;$A32)-100*RTD("tos.rtd",,"VOLUME","."&amp;F$2&amp;F$1&amp;"P"&amp;$A32)*RTD("tos.rtd",,"LAST","."&amp;F$2&amp;F$1&amp;"P"&amp;$A32))/1000000),0),IF($A$2="DEX",IFERROR(IF($X$1="ABS",(100*RTD("tos.rtd",,"OPEN_INT","."&amp;F$2&amp;F$1&amp;"C"&amp;$A32)*RTD("tos.rtd",,"DELTA","."&amp;F$2&amp;F$1&amp;"C"&amp;$A32)+100*RTD("tos.rtd",,"OPEN_INT","."&amp;F$2&amp;F$1&amp;"P"&amp;$A32)*RTD("tos.rtd",,"DELTA","."&amp;F$2&amp;F$1&amp;"P"&amp;$A32))/1000,(100*RTD("tos.rtd",,"OPEN_INT","."&amp;F$2&amp;F$1&amp;"C"&amp;$A32)*RTD("tos.rtd",,"DELTA","."&amp;F$2&amp;F$1&amp;"C"&amp;$A32)-100*RTD("tos.rtd",,"OPEN_INT","."&amp;F$2&amp;F$1&amp;"P"&amp;$A32)*RTD("tos.rtd",,"DELTA","."&amp;F$2&amp;F$1&amp;"P"&amp;$A32))/1000),0),IF($A$2="VEX",IFERROR(IF($X$1="ABS",($A$4*$A$4*RTD("tos.rtd",,"VOLUME","."&amp;F$2&amp;F$1&amp;"C"&amp;$A32)*RTD("tos.rtd",,"GAMMA","."&amp;F$2&amp;F$1&amp;"C"&amp;$A32)+$A$4*$A$4*RTD("tos.rtd",,"VOLUME","."&amp;F$2&amp;F$1&amp;"P"&amp;$A32)*RTD("tos.rtd",,"GAMMA","."&amp;F$2&amp;F$1&amp;"P"&amp;$A32))/1000000,($A$4*$A$4*RTD("tos.rtd",,"VOLUME","."&amp;F$2&amp;F$1&amp;"C"&amp;$A32)*RTD("tos.rtd",,"GAMMA","."&amp;F$2&amp;F$1&amp;"C"&amp;$A32)-$A$4*$A$4*RTD("tos.rtd",,"VOLUME","."&amp;F$2&amp;F$1&amp;"P"&amp;$A32)*RTD("tos.rtd",,"GAMMA","."&amp;F$2&amp;F$1&amp;"P"&amp;$A32))/1000000),0),IF($A$2="GEX",IFERROR(IF($X$1="ABS",($A$4*$A$4*RTD("tos.rtd",,"OPEN_INT","."&amp;F$2&amp;F$1&amp;"C"&amp;$A32)*RTD("tos.rtd",,"GAMMA","."&amp;F$2&amp;F$1&amp;"C"&amp;$A32)+$A$4*$A$4*RTD("tos.rtd",,"OPEN_INT","."&amp;F$2&amp;F$1&amp;"P"&amp;$A32)*RTD("tos.rtd",,"GAMMA","."&amp;F$2&amp;F$1&amp;"P"&amp;$A32))/1000000,($A$4*$A$4*RTD("tos.rtd",,"OPEN_INT","."&amp;F$2&amp;F$1&amp;"C"&amp;$A32)*RTD("tos.rtd",,"GAMMA","."&amp;F$2&amp;F$1&amp;"C"&amp;$A32)-$A$4*$A$4*RTD("tos.rtd",,"OPEN_INT","."&amp;F$2&amp;F$1&amp;"P"&amp;$A32)*RTD("tos.rtd",,"GAMMA","."&amp;F$2&amp;F$1&amp;"P"&amp;$A32))/1000000),0),IF($A$2="SKEW",IFERROR(VALUE(IF(RTD("tos.rtd",,"IMPL_VOL","."&amp;F$2&amp;F$1&amp;"P"&amp;$A32)="N/A",0,RTD("tos.rtd",,"IMPL_VOL","."&amp;F$2&amp;F$1&amp;"P"&amp;$A32))),0)-IFERROR(VALUE(IF(RTD("tos.rtd",,"IMPL_VOL","."&amp;F$2&amp;F$1&amp;"C"&amp;$A32)="N/A",0,RTD("tos.rtd",,"IMPL_VOL","."&amp;F$2&amp;F$1&amp;"C"&amp;$A32))),0),IF($A$2="MAXPAIN",IF($A$4&gt;$A32,($A$4-$A32)*IF(RTD("tos.rtd",,"OPEN_INT","."&amp;F$2&amp;F$1&amp;"C"&amp;$A32)="N/A",0,RTD("tos.rtd",,"OPEN_INT","."&amp;F$2&amp;F$1&amp;"C"&amp;$A32)),0)+IF($A$4&lt;$A32,($A$5-$A$4)*IF(RTD("tos.rtd",,"OPEN_INT","."&amp;F$2&amp;F$1&amp;"P"&amp;$A32)="N/A",0,RTD("tos.rtd",,"OPEN_INT","."&amp;F$2&amp;F$1&amp;"P"&amp;$A32)),0),IF($X$1="ABS",IF(RTD("tos.rtd",,$A$2,"."&amp;F$2&amp;F$1&amp;"C"&amp;$A32)="N/A",0,RTD("tos.rtd",,$A$2,"."&amp;F$2&amp;F$1&amp;"C"&amp;$A32))+IF(RTD("tos.rtd",,$A$2,"."&amp;F$2&amp;F$1&amp;"P"&amp;$A32)="N/A",0,RTD("tos.rtd",,$A$2,"."&amp;F$2&amp;F$1&amp;"P"&amp;$A32)),IF(RTD("tos.rtd",,$A$2,"."&amp;F$2&amp;F$1&amp;"C"&amp;$A32)="N/A",0,RTD("tos.rtd",,$A$2,"."&amp;F$2&amp;F$1&amp;"C"&amp;$A32))-IF(RTD("tos.rtd",,$A$2,"."&amp;F$2&amp;F$1&amp;"P"&amp;$A32)="N/A",0,RTD("tos.rtd",,$A$2,"."&amp;F$2&amp;F$1&amp;"P"&amp;$A32))))))))))</f>
        <v>-839</v>
      </c>
      <c r="G32" s="57">
        <f ca="1">IF($A$2="PREMIUM_OI",IFERROR(IF($X$1="ABS",(100*RTD("tos.rtd",,"OPEN_INT","."&amp;G$2&amp;G$1&amp;"C"&amp;$A32)*RTD("tos.rtd",,"LAST","."&amp;G$2&amp;G$1&amp;"C"&amp;$A32)+100*RTD("tos.rtd",,"OPEN_INT","."&amp;G$2&amp;G$1&amp;"P"&amp;$A32)*RTD("tos.rtd",,"LAST","."&amp;G$2&amp;G$1&amp;"P"&amp;$A32))/1000000,(100*RTD("tos.rtd",,"OPEN_INT","."&amp;G$2&amp;G$1&amp;"C"&amp;$A32)*RTD("tos.rtd",,"LAST","."&amp;G$2&amp;G$1&amp;"C"&amp;$A32)-100*RTD("tos.rtd",,"OPEN_INT","."&amp;G$2&amp;G$1&amp;"P"&amp;$A32)*RTD("tos.rtd",,"LAST","."&amp;G$2&amp;G$1&amp;"P"&amp;$A32))/1000000),0),IF($A$2="PREMIUM",IFERROR(IF($X$1="ABS",(100*RTD("tos.rtd",,"VOLUME","."&amp;G$2&amp;G$1&amp;"C"&amp;$A32)*RTD("tos.rtd",,"LAST","."&amp;G$2&amp;G$1&amp;"C"&amp;$A32)+100*RTD("tos.rtd",,"VOLUME","."&amp;G$2&amp;G$1&amp;"P"&amp;$A32)*RTD("tos.rtd",,"LAST","."&amp;G$2&amp;G$1&amp;"P"&amp;$A32))/1000000,(100*RTD("tos.rtd",,"VOLUME","."&amp;G$2&amp;G$1&amp;"C"&amp;$A32)*RTD("tos.rtd",,"LAST","."&amp;G$2&amp;G$1&amp;"C"&amp;$A32)-100*RTD("tos.rtd",,"VOLUME","."&amp;G$2&amp;G$1&amp;"P"&amp;$A32)*RTD("tos.rtd",,"LAST","."&amp;G$2&amp;G$1&amp;"P"&amp;$A32))/1000000),0),IF($A$2="DEX",IFERROR(IF($X$1="ABS",(100*RTD("tos.rtd",,"OPEN_INT","."&amp;G$2&amp;G$1&amp;"C"&amp;$A32)*RTD("tos.rtd",,"DELTA","."&amp;G$2&amp;G$1&amp;"C"&amp;$A32)+100*RTD("tos.rtd",,"OPEN_INT","."&amp;G$2&amp;G$1&amp;"P"&amp;$A32)*RTD("tos.rtd",,"DELTA","."&amp;G$2&amp;G$1&amp;"P"&amp;$A32))/1000,(100*RTD("tos.rtd",,"OPEN_INT","."&amp;G$2&amp;G$1&amp;"C"&amp;$A32)*RTD("tos.rtd",,"DELTA","."&amp;G$2&amp;G$1&amp;"C"&amp;$A32)-100*RTD("tos.rtd",,"OPEN_INT","."&amp;G$2&amp;G$1&amp;"P"&amp;$A32)*RTD("tos.rtd",,"DELTA","."&amp;G$2&amp;G$1&amp;"P"&amp;$A32))/1000),0),IF($A$2="VEX",IFERROR(IF($X$1="ABS",($A$4*$A$4*RTD("tos.rtd",,"VOLUME","."&amp;G$2&amp;G$1&amp;"C"&amp;$A32)*RTD("tos.rtd",,"GAMMA","."&amp;G$2&amp;G$1&amp;"C"&amp;$A32)+$A$4*$A$4*RTD("tos.rtd",,"VOLUME","."&amp;G$2&amp;G$1&amp;"P"&amp;$A32)*RTD("tos.rtd",,"GAMMA","."&amp;G$2&amp;G$1&amp;"P"&amp;$A32))/1000000,($A$4*$A$4*RTD("tos.rtd",,"VOLUME","."&amp;G$2&amp;G$1&amp;"C"&amp;$A32)*RTD("tos.rtd",,"GAMMA","."&amp;G$2&amp;G$1&amp;"C"&amp;$A32)-$A$4*$A$4*RTD("tos.rtd",,"VOLUME","."&amp;G$2&amp;G$1&amp;"P"&amp;$A32)*RTD("tos.rtd",,"GAMMA","."&amp;G$2&amp;G$1&amp;"P"&amp;$A32))/1000000),0),IF($A$2="GEX",IFERROR(IF($X$1="ABS",($A$4*$A$4*RTD("tos.rtd",,"OPEN_INT","."&amp;G$2&amp;G$1&amp;"C"&amp;$A32)*RTD("tos.rtd",,"GAMMA","."&amp;G$2&amp;G$1&amp;"C"&amp;$A32)+$A$4*$A$4*RTD("tos.rtd",,"OPEN_INT","."&amp;G$2&amp;G$1&amp;"P"&amp;$A32)*RTD("tos.rtd",,"GAMMA","."&amp;G$2&amp;G$1&amp;"P"&amp;$A32))/1000000,($A$4*$A$4*RTD("tos.rtd",,"OPEN_INT","."&amp;G$2&amp;G$1&amp;"C"&amp;$A32)*RTD("tos.rtd",,"GAMMA","."&amp;G$2&amp;G$1&amp;"C"&amp;$A32)-$A$4*$A$4*RTD("tos.rtd",,"OPEN_INT","."&amp;G$2&amp;G$1&amp;"P"&amp;$A32)*RTD("tos.rtd",,"GAMMA","."&amp;G$2&amp;G$1&amp;"P"&amp;$A32))/1000000),0),IF($A$2="SKEW",IFERROR(VALUE(IF(RTD("tos.rtd",,"IMPL_VOL","."&amp;G$2&amp;G$1&amp;"P"&amp;$A32)="N/A",0,RTD("tos.rtd",,"IMPL_VOL","."&amp;G$2&amp;G$1&amp;"P"&amp;$A32))),0)-IFERROR(VALUE(IF(RTD("tos.rtd",,"IMPL_VOL","."&amp;G$2&amp;G$1&amp;"C"&amp;$A32)="N/A",0,RTD("tos.rtd",,"IMPL_VOL","."&amp;G$2&amp;G$1&amp;"C"&amp;$A32))),0),IF($A$2="MAXPAIN",IF($A$4&gt;$A32,($A$4-$A32)*IF(RTD("tos.rtd",,"OPEN_INT","."&amp;G$2&amp;G$1&amp;"C"&amp;$A32)="N/A",0,RTD("tos.rtd",,"OPEN_INT","."&amp;G$2&amp;G$1&amp;"C"&amp;$A32)),0)+IF($A$4&lt;$A32,($A$5-$A$4)*IF(RTD("tos.rtd",,"OPEN_INT","."&amp;G$2&amp;G$1&amp;"P"&amp;$A32)="N/A",0,RTD("tos.rtd",,"OPEN_INT","."&amp;G$2&amp;G$1&amp;"P"&amp;$A32)),0),IF($X$1="ABS",IF(RTD("tos.rtd",,$A$2,"."&amp;G$2&amp;G$1&amp;"C"&amp;$A32)="N/A",0,RTD("tos.rtd",,$A$2,"."&amp;G$2&amp;G$1&amp;"C"&amp;$A32))+IF(RTD("tos.rtd",,$A$2,"."&amp;G$2&amp;G$1&amp;"P"&amp;$A32)="N/A",0,RTD("tos.rtd",,$A$2,"."&amp;G$2&amp;G$1&amp;"P"&amp;$A32)),IF(RTD("tos.rtd",,$A$2,"."&amp;G$2&amp;G$1&amp;"C"&amp;$A32)="N/A",0,RTD("tos.rtd",,$A$2,"."&amp;G$2&amp;G$1&amp;"C"&amp;$A32))-IF(RTD("tos.rtd",,$A$2,"."&amp;G$2&amp;G$1&amp;"P"&amp;$A32)="N/A",0,RTD("tos.rtd",,$A$2,"."&amp;G$2&amp;G$1&amp;"P"&amp;$A32))))))))))</f>
        <v>506</v>
      </c>
      <c r="H32" s="14">
        <f ca="1">IF($A$2="PREMIUM_OI",IFERROR(IF($X$1="ABS",(100*RTD("tos.rtd",,"OPEN_INT","."&amp;H$2&amp;H$1&amp;"C"&amp;$A32)*RTD("tos.rtd",,"LAST","."&amp;H$2&amp;H$1&amp;"C"&amp;$A32)+100*RTD("tos.rtd",,"OPEN_INT","."&amp;H$2&amp;H$1&amp;"P"&amp;$A32)*RTD("tos.rtd",,"LAST","."&amp;H$2&amp;H$1&amp;"P"&amp;$A32))/1000000,(100*RTD("tos.rtd",,"OPEN_INT","."&amp;H$2&amp;H$1&amp;"C"&amp;$A32)*RTD("tos.rtd",,"LAST","."&amp;H$2&amp;H$1&amp;"C"&amp;$A32)-100*RTD("tos.rtd",,"OPEN_INT","."&amp;H$2&amp;H$1&amp;"P"&amp;$A32)*RTD("tos.rtd",,"LAST","."&amp;H$2&amp;H$1&amp;"P"&amp;$A32))/1000000),0),IF($A$2="PREMIUM",IFERROR(IF($X$1="ABS",(100*RTD("tos.rtd",,"VOLUME","."&amp;H$2&amp;H$1&amp;"C"&amp;$A32)*RTD("tos.rtd",,"LAST","."&amp;H$2&amp;H$1&amp;"C"&amp;$A32)+100*RTD("tos.rtd",,"VOLUME","."&amp;H$2&amp;H$1&amp;"P"&amp;$A32)*RTD("tos.rtd",,"LAST","."&amp;H$2&amp;H$1&amp;"P"&amp;$A32))/1000000,(100*RTD("tos.rtd",,"VOLUME","."&amp;H$2&amp;H$1&amp;"C"&amp;$A32)*RTD("tos.rtd",,"LAST","."&amp;H$2&amp;H$1&amp;"C"&amp;$A32)-100*RTD("tos.rtd",,"VOLUME","."&amp;H$2&amp;H$1&amp;"P"&amp;$A32)*RTD("tos.rtd",,"LAST","."&amp;H$2&amp;H$1&amp;"P"&amp;$A32))/1000000),0),IF($A$2="DEX",IFERROR(IF($X$1="ABS",(100*RTD("tos.rtd",,"OPEN_INT","."&amp;H$2&amp;H$1&amp;"C"&amp;$A32)*RTD("tos.rtd",,"DELTA","."&amp;H$2&amp;H$1&amp;"C"&amp;$A32)+100*RTD("tos.rtd",,"OPEN_INT","."&amp;H$2&amp;H$1&amp;"P"&amp;$A32)*RTD("tos.rtd",,"DELTA","."&amp;H$2&amp;H$1&amp;"P"&amp;$A32))/1000,(100*RTD("tos.rtd",,"OPEN_INT","."&amp;H$2&amp;H$1&amp;"C"&amp;$A32)*RTD("tos.rtd",,"DELTA","."&amp;H$2&amp;H$1&amp;"C"&amp;$A32)-100*RTD("tos.rtd",,"OPEN_INT","."&amp;H$2&amp;H$1&amp;"P"&amp;$A32)*RTD("tos.rtd",,"DELTA","."&amp;H$2&amp;H$1&amp;"P"&amp;$A32))/1000),0),IF($A$2="VEX",IFERROR(IF($X$1="ABS",($A$4*$A$4*RTD("tos.rtd",,"VOLUME","."&amp;H$2&amp;H$1&amp;"C"&amp;$A32)*RTD("tos.rtd",,"GAMMA","."&amp;H$2&amp;H$1&amp;"C"&amp;$A32)+$A$4*$A$4*RTD("tos.rtd",,"VOLUME","."&amp;H$2&amp;H$1&amp;"P"&amp;$A32)*RTD("tos.rtd",,"GAMMA","."&amp;H$2&amp;H$1&amp;"P"&amp;$A32))/1000000,($A$4*$A$4*RTD("tos.rtd",,"VOLUME","."&amp;H$2&amp;H$1&amp;"C"&amp;$A32)*RTD("tos.rtd",,"GAMMA","."&amp;H$2&amp;H$1&amp;"C"&amp;$A32)-$A$4*$A$4*RTD("tos.rtd",,"VOLUME","."&amp;H$2&amp;H$1&amp;"P"&amp;$A32)*RTD("tos.rtd",,"GAMMA","."&amp;H$2&amp;H$1&amp;"P"&amp;$A32))/1000000),0),IF($A$2="GEX",IFERROR(IF($X$1="ABS",($A$4*$A$4*RTD("tos.rtd",,"OPEN_INT","."&amp;H$2&amp;H$1&amp;"C"&amp;$A32)*RTD("tos.rtd",,"GAMMA","."&amp;H$2&amp;H$1&amp;"C"&amp;$A32)+$A$4*$A$4*RTD("tos.rtd",,"OPEN_INT","."&amp;H$2&amp;H$1&amp;"P"&amp;$A32)*RTD("tos.rtd",,"GAMMA","."&amp;H$2&amp;H$1&amp;"P"&amp;$A32))/1000000,($A$4*$A$4*RTD("tos.rtd",,"OPEN_INT","."&amp;H$2&amp;H$1&amp;"C"&amp;$A32)*RTD("tos.rtd",,"GAMMA","."&amp;H$2&amp;H$1&amp;"C"&amp;$A32)-$A$4*$A$4*RTD("tos.rtd",,"OPEN_INT","."&amp;H$2&amp;H$1&amp;"P"&amp;$A32)*RTD("tos.rtd",,"GAMMA","."&amp;H$2&amp;H$1&amp;"P"&amp;$A32))/1000000),0),IF($A$2="SKEW",IFERROR(VALUE(IF(RTD("tos.rtd",,"IMPL_VOL","."&amp;H$2&amp;H$1&amp;"P"&amp;$A32)="N/A",0,RTD("tos.rtd",,"IMPL_VOL","."&amp;H$2&amp;H$1&amp;"P"&amp;$A32))),0)-IFERROR(VALUE(IF(RTD("tos.rtd",,"IMPL_VOL","."&amp;H$2&amp;H$1&amp;"C"&amp;$A32)="N/A",0,RTD("tos.rtd",,"IMPL_VOL","."&amp;H$2&amp;H$1&amp;"C"&amp;$A32))),0),IF($A$2="MAXPAIN",IF($A$4&gt;$A32,($A$4-$A32)*IF(RTD("tos.rtd",,"OPEN_INT","."&amp;H$2&amp;H$1&amp;"C"&amp;$A32)="N/A",0,RTD("tos.rtd",,"OPEN_INT","."&amp;H$2&amp;H$1&amp;"C"&amp;$A32)),0)+IF($A$4&lt;$A32,($A$5-$A$4)*IF(RTD("tos.rtd",,"OPEN_INT","."&amp;H$2&amp;H$1&amp;"P"&amp;$A32)="N/A",0,RTD("tos.rtd",,"OPEN_INT","."&amp;H$2&amp;H$1&amp;"P"&amp;$A32)),0),IF($X$1="ABS",IF(RTD("tos.rtd",,$A$2,"."&amp;H$2&amp;H$1&amp;"C"&amp;$A32)="N/A",0,RTD("tos.rtd",,$A$2,"."&amp;H$2&amp;H$1&amp;"C"&amp;$A32))+IF(RTD("tos.rtd",,$A$2,"."&amp;H$2&amp;H$1&amp;"P"&amp;$A32)="N/A",0,RTD("tos.rtd",,$A$2,"."&amp;H$2&amp;H$1&amp;"P"&amp;$A32)),IF(RTD("tos.rtd",,$A$2,"."&amp;H$2&amp;H$1&amp;"C"&amp;$A32)="N/A",0,RTD("tos.rtd",,$A$2,"."&amp;H$2&amp;H$1&amp;"C"&amp;$A32))-IF(RTD("tos.rtd",,$A$2,"."&amp;H$2&amp;H$1&amp;"P"&amp;$A32)="N/A",0,RTD("tos.rtd",,$A$2,"."&amp;H$2&amp;H$1&amp;"P"&amp;$A32))))))))))</f>
        <v>14063</v>
      </c>
      <c r="I32" s="12">
        <f ca="1">IF($A$2="PREMIUM_OI",IFERROR(IF($X$1="ABS",(100*RTD("tos.rtd",,"OPEN_INT","."&amp;I$2&amp;I$1&amp;"C"&amp;$A32)*RTD("tos.rtd",,"LAST","."&amp;I$2&amp;I$1&amp;"C"&amp;$A32)+100*RTD("tos.rtd",,"OPEN_INT","."&amp;I$2&amp;I$1&amp;"P"&amp;$A32)*RTD("tos.rtd",,"LAST","."&amp;I$2&amp;I$1&amp;"P"&amp;$A32))/1000000,(100*RTD("tos.rtd",,"OPEN_INT","."&amp;I$2&amp;I$1&amp;"C"&amp;$A32)*RTD("tos.rtd",,"LAST","."&amp;I$2&amp;I$1&amp;"C"&amp;$A32)-100*RTD("tos.rtd",,"OPEN_INT","."&amp;I$2&amp;I$1&amp;"P"&amp;$A32)*RTD("tos.rtd",,"LAST","."&amp;I$2&amp;I$1&amp;"P"&amp;$A32))/1000000),0),IF($A$2="PREMIUM",IFERROR(IF($X$1="ABS",(100*RTD("tos.rtd",,"VOLUME","."&amp;I$2&amp;I$1&amp;"C"&amp;$A32)*RTD("tos.rtd",,"LAST","."&amp;I$2&amp;I$1&amp;"C"&amp;$A32)+100*RTD("tos.rtd",,"VOLUME","."&amp;I$2&amp;I$1&amp;"P"&amp;$A32)*RTD("tos.rtd",,"LAST","."&amp;I$2&amp;I$1&amp;"P"&amp;$A32))/1000000,(100*RTD("tos.rtd",,"VOLUME","."&amp;I$2&amp;I$1&amp;"C"&amp;$A32)*RTD("tos.rtd",,"LAST","."&amp;I$2&amp;I$1&amp;"C"&amp;$A32)-100*RTD("tos.rtd",,"VOLUME","."&amp;I$2&amp;I$1&amp;"P"&amp;$A32)*RTD("tos.rtd",,"LAST","."&amp;I$2&amp;I$1&amp;"P"&amp;$A32))/1000000),0),IF($A$2="DEX",IFERROR(IF($X$1="ABS",(100*RTD("tos.rtd",,"OPEN_INT","."&amp;I$2&amp;I$1&amp;"C"&amp;$A32)*RTD("tos.rtd",,"DELTA","."&amp;I$2&amp;I$1&amp;"C"&amp;$A32)+100*RTD("tos.rtd",,"OPEN_INT","."&amp;I$2&amp;I$1&amp;"P"&amp;$A32)*RTD("tos.rtd",,"DELTA","."&amp;I$2&amp;I$1&amp;"P"&amp;$A32))/1000,(100*RTD("tos.rtd",,"OPEN_INT","."&amp;I$2&amp;I$1&amp;"C"&amp;$A32)*RTD("tos.rtd",,"DELTA","."&amp;I$2&amp;I$1&amp;"C"&amp;$A32)-100*RTD("tos.rtd",,"OPEN_INT","."&amp;I$2&amp;I$1&amp;"P"&amp;$A32)*RTD("tos.rtd",,"DELTA","."&amp;I$2&amp;I$1&amp;"P"&amp;$A32))/1000),0),IF($A$2="VEX",IFERROR(IF($X$1="ABS",($A$4*$A$4*RTD("tos.rtd",,"VOLUME","."&amp;I$2&amp;I$1&amp;"C"&amp;$A32)*RTD("tos.rtd",,"GAMMA","."&amp;I$2&amp;I$1&amp;"C"&amp;$A32)+$A$4*$A$4*RTD("tos.rtd",,"VOLUME","."&amp;I$2&amp;I$1&amp;"P"&amp;$A32)*RTD("tos.rtd",,"GAMMA","."&amp;I$2&amp;I$1&amp;"P"&amp;$A32))/1000000,($A$4*$A$4*RTD("tos.rtd",,"VOLUME","."&amp;I$2&amp;I$1&amp;"C"&amp;$A32)*RTD("tos.rtd",,"GAMMA","."&amp;I$2&amp;I$1&amp;"C"&amp;$A32)-$A$4*$A$4*RTD("tos.rtd",,"VOLUME","."&amp;I$2&amp;I$1&amp;"P"&amp;$A32)*RTD("tos.rtd",,"GAMMA","."&amp;I$2&amp;I$1&amp;"P"&amp;$A32))/1000000),0),IF($A$2="GEX",IFERROR(IF($X$1="ABS",($A$4*$A$4*RTD("tos.rtd",,"OPEN_INT","."&amp;I$2&amp;I$1&amp;"C"&amp;$A32)*RTD("tos.rtd",,"GAMMA","."&amp;I$2&amp;I$1&amp;"C"&amp;$A32)+$A$4*$A$4*RTD("tos.rtd",,"OPEN_INT","."&amp;I$2&amp;I$1&amp;"P"&amp;$A32)*RTD("tos.rtd",,"GAMMA","."&amp;I$2&amp;I$1&amp;"P"&amp;$A32))/1000000,($A$4*$A$4*RTD("tos.rtd",,"OPEN_INT","."&amp;I$2&amp;I$1&amp;"C"&amp;$A32)*RTD("tos.rtd",,"GAMMA","."&amp;I$2&amp;I$1&amp;"C"&amp;$A32)-$A$4*$A$4*RTD("tos.rtd",,"OPEN_INT","."&amp;I$2&amp;I$1&amp;"P"&amp;$A32)*RTD("tos.rtd",,"GAMMA","."&amp;I$2&amp;I$1&amp;"P"&amp;$A32))/1000000),0),IF($A$2="SKEW",IFERROR(VALUE(IF(RTD("tos.rtd",,"IMPL_VOL","."&amp;I$2&amp;I$1&amp;"P"&amp;$A32)="N/A",0,RTD("tos.rtd",,"IMPL_VOL","."&amp;I$2&amp;I$1&amp;"P"&amp;$A32))),0)-IFERROR(VALUE(IF(RTD("tos.rtd",,"IMPL_VOL","."&amp;I$2&amp;I$1&amp;"C"&amp;$A32)="N/A",0,RTD("tos.rtd",,"IMPL_VOL","."&amp;I$2&amp;I$1&amp;"C"&amp;$A32))),0),IF($A$2="MAXPAIN",IF($A$4&gt;$A32,($A$4-$A32)*IF(RTD("tos.rtd",,"OPEN_INT","."&amp;I$2&amp;I$1&amp;"C"&amp;$A32)="N/A",0,RTD("tos.rtd",,"OPEN_INT","."&amp;I$2&amp;I$1&amp;"C"&amp;$A32)),0)+IF($A$4&lt;$A32,($A$5-$A$4)*IF(RTD("tos.rtd",,"OPEN_INT","."&amp;I$2&amp;I$1&amp;"P"&amp;$A32)="N/A",0,RTD("tos.rtd",,"OPEN_INT","."&amp;I$2&amp;I$1&amp;"P"&amp;$A32)),0),IF($X$1="ABS",IF(RTD("tos.rtd",,$A$2,"."&amp;I$2&amp;I$1&amp;"C"&amp;$A32)="N/A",0,RTD("tos.rtd",,$A$2,"."&amp;I$2&amp;I$1&amp;"C"&amp;$A32))+IF(RTD("tos.rtd",,$A$2,"."&amp;I$2&amp;I$1&amp;"P"&amp;$A32)="N/A",0,RTD("tos.rtd",,$A$2,"."&amp;I$2&amp;I$1&amp;"P"&amp;$A32)),IF(RTD("tos.rtd",,$A$2,"."&amp;I$2&amp;I$1&amp;"C"&amp;$A32)="N/A",0,RTD("tos.rtd",,$A$2,"."&amp;I$2&amp;I$1&amp;"C"&amp;$A32))-IF(RTD("tos.rtd",,$A$2,"."&amp;I$2&amp;I$1&amp;"P"&amp;$A32)="N/A",0,RTD("tos.rtd",,$A$2,"."&amp;I$2&amp;I$1&amp;"P"&amp;$A32))))))))))</f>
        <v>344</v>
      </c>
      <c r="J32" s="12">
        <f ca="1">IF($A$2="PREMIUM_OI",IFERROR(IF($X$1="ABS",(100*RTD("tos.rtd",,"OPEN_INT","."&amp;J$2&amp;J$1&amp;"C"&amp;$A32)*RTD("tos.rtd",,"LAST","."&amp;J$2&amp;J$1&amp;"C"&amp;$A32)+100*RTD("tos.rtd",,"OPEN_INT","."&amp;J$2&amp;J$1&amp;"P"&amp;$A32)*RTD("tos.rtd",,"LAST","."&amp;J$2&amp;J$1&amp;"P"&amp;$A32))/1000000,(100*RTD("tos.rtd",,"OPEN_INT","."&amp;J$2&amp;J$1&amp;"C"&amp;$A32)*RTD("tos.rtd",,"LAST","."&amp;J$2&amp;J$1&amp;"C"&amp;$A32)-100*RTD("tos.rtd",,"OPEN_INT","."&amp;J$2&amp;J$1&amp;"P"&amp;$A32)*RTD("tos.rtd",,"LAST","."&amp;J$2&amp;J$1&amp;"P"&amp;$A32))/1000000),0),IF($A$2="PREMIUM",IFERROR(IF($X$1="ABS",(100*RTD("tos.rtd",,"VOLUME","."&amp;J$2&amp;J$1&amp;"C"&amp;$A32)*RTD("tos.rtd",,"LAST","."&amp;J$2&amp;J$1&amp;"C"&amp;$A32)+100*RTD("tos.rtd",,"VOLUME","."&amp;J$2&amp;J$1&amp;"P"&amp;$A32)*RTD("tos.rtd",,"LAST","."&amp;J$2&amp;J$1&amp;"P"&amp;$A32))/1000000,(100*RTD("tos.rtd",,"VOLUME","."&amp;J$2&amp;J$1&amp;"C"&amp;$A32)*RTD("tos.rtd",,"LAST","."&amp;J$2&amp;J$1&amp;"C"&amp;$A32)-100*RTD("tos.rtd",,"VOLUME","."&amp;J$2&amp;J$1&amp;"P"&amp;$A32)*RTD("tos.rtd",,"LAST","."&amp;J$2&amp;J$1&amp;"P"&amp;$A32))/1000000),0),IF($A$2="DEX",IFERROR(IF($X$1="ABS",(100*RTD("tos.rtd",,"OPEN_INT","."&amp;J$2&amp;J$1&amp;"C"&amp;$A32)*RTD("tos.rtd",,"DELTA","."&amp;J$2&amp;J$1&amp;"C"&amp;$A32)+100*RTD("tos.rtd",,"OPEN_INT","."&amp;J$2&amp;J$1&amp;"P"&amp;$A32)*RTD("tos.rtd",,"DELTA","."&amp;J$2&amp;J$1&amp;"P"&amp;$A32))/1000,(100*RTD("tos.rtd",,"OPEN_INT","."&amp;J$2&amp;J$1&amp;"C"&amp;$A32)*RTD("tos.rtd",,"DELTA","."&amp;J$2&amp;J$1&amp;"C"&amp;$A32)-100*RTD("tos.rtd",,"OPEN_INT","."&amp;J$2&amp;J$1&amp;"P"&amp;$A32)*RTD("tos.rtd",,"DELTA","."&amp;J$2&amp;J$1&amp;"P"&amp;$A32))/1000),0),IF($A$2="VEX",IFERROR(IF($X$1="ABS",($A$4*$A$4*RTD("tos.rtd",,"VOLUME","."&amp;J$2&amp;J$1&amp;"C"&amp;$A32)*RTD("tos.rtd",,"GAMMA","."&amp;J$2&amp;J$1&amp;"C"&amp;$A32)+$A$4*$A$4*RTD("tos.rtd",,"VOLUME","."&amp;J$2&amp;J$1&amp;"P"&amp;$A32)*RTD("tos.rtd",,"GAMMA","."&amp;J$2&amp;J$1&amp;"P"&amp;$A32))/1000000,($A$4*$A$4*RTD("tos.rtd",,"VOLUME","."&amp;J$2&amp;J$1&amp;"C"&amp;$A32)*RTD("tos.rtd",,"GAMMA","."&amp;J$2&amp;J$1&amp;"C"&amp;$A32)-$A$4*$A$4*RTD("tos.rtd",,"VOLUME","."&amp;J$2&amp;J$1&amp;"P"&amp;$A32)*RTD("tos.rtd",,"GAMMA","."&amp;J$2&amp;J$1&amp;"P"&amp;$A32))/1000000),0),IF($A$2="GEX",IFERROR(IF($X$1="ABS",($A$4*$A$4*RTD("tos.rtd",,"OPEN_INT","."&amp;J$2&amp;J$1&amp;"C"&amp;$A32)*RTD("tos.rtd",,"GAMMA","."&amp;J$2&amp;J$1&amp;"C"&amp;$A32)+$A$4*$A$4*RTD("tos.rtd",,"OPEN_INT","."&amp;J$2&amp;J$1&amp;"P"&amp;$A32)*RTD("tos.rtd",,"GAMMA","."&amp;J$2&amp;J$1&amp;"P"&amp;$A32))/1000000,($A$4*$A$4*RTD("tos.rtd",,"OPEN_INT","."&amp;J$2&amp;J$1&amp;"C"&amp;$A32)*RTD("tos.rtd",,"GAMMA","."&amp;J$2&amp;J$1&amp;"C"&amp;$A32)-$A$4*$A$4*RTD("tos.rtd",,"OPEN_INT","."&amp;J$2&amp;J$1&amp;"P"&amp;$A32)*RTD("tos.rtd",,"GAMMA","."&amp;J$2&amp;J$1&amp;"P"&amp;$A32))/1000000),0),IF($A$2="SKEW",IFERROR(VALUE(IF(RTD("tos.rtd",,"IMPL_VOL","."&amp;J$2&amp;J$1&amp;"P"&amp;$A32)="N/A",0,RTD("tos.rtd",,"IMPL_VOL","."&amp;J$2&amp;J$1&amp;"P"&amp;$A32))),0)-IFERROR(VALUE(IF(RTD("tos.rtd",,"IMPL_VOL","."&amp;J$2&amp;J$1&amp;"C"&amp;$A32)="N/A",0,RTD("tos.rtd",,"IMPL_VOL","."&amp;J$2&amp;J$1&amp;"C"&amp;$A32))),0),IF($A$2="MAXPAIN",IF($A$4&gt;$A32,($A$4-$A32)*IF(RTD("tos.rtd",,"OPEN_INT","."&amp;J$2&amp;J$1&amp;"C"&amp;$A32)="N/A",0,RTD("tos.rtd",,"OPEN_INT","."&amp;J$2&amp;J$1&amp;"C"&amp;$A32)),0)+IF($A$4&lt;$A32,($A$5-$A$4)*IF(RTD("tos.rtd",,"OPEN_INT","."&amp;J$2&amp;J$1&amp;"P"&amp;$A32)="N/A",0,RTD("tos.rtd",,"OPEN_INT","."&amp;J$2&amp;J$1&amp;"P"&amp;$A32)),0),IF($X$1="ABS",IF(RTD("tos.rtd",,$A$2,"."&amp;J$2&amp;J$1&amp;"C"&amp;$A32)="N/A",0,RTD("tos.rtd",,$A$2,"."&amp;J$2&amp;J$1&amp;"C"&amp;$A32))+IF(RTD("tos.rtd",,$A$2,"."&amp;J$2&amp;J$1&amp;"P"&amp;$A32)="N/A",0,RTD("tos.rtd",,$A$2,"."&amp;J$2&amp;J$1&amp;"P"&amp;$A32)),IF(RTD("tos.rtd",,$A$2,"."&amp;J$2&amp;J$1&amp;"C"&amp;$A32)="N/A",0,RTD("tos.rtd",,$A$2,"."&amp;J$2&amp;J$1&amp;"C"&amp;$A32))-IF(RTD("tos.rtd",,$A$2,"."&amp;J$2&amp;J$1&amp;"P"&amp;$A32)="N/A",0,RTD("tos.rtd",,$A$2,"."&amp;J$2&amp;J$1&amp;"P"&amp;$A32))))))))))</f>
        <v>0</v>
      </c>
      <c r="K32" s="12">
        <f ca="1">IF($A$2="PREMIUM_OI",IFERROR(IF($X$1="ABS",(100*RTD("tos.rtd",,"OPEN_INT","."&amp;K$2&amp;K$1&amp;"C"&amp;$A32)*RTD("tos.rtd",,"LAST","."&amp;K$2&amp;K$1&amp;"C"&amp;$A32)+100*RTD("tos.rtd",,"OPEN_INT","."&amp;K$2&amp;K$1&amp;"P"&amp;$A32)*RTD("tos.rtd",,"LAST","."&amp;K$2&amp;K$1&amp;"P"&amp;$A32))/1000000,(100*RTD("tos.rtd",,"OPEN_INT","."&amp;K$2&amp;K$1&amp;"C"&amp;$A32)*RTD("tos.rtd",,"LAST","."&amp;K$2&amp;K$1&amp;"C"&amp;$A32)-100*RTD("tos.rtd",,"OPEN_INT","."&amp;K$2&amp;K$1&amp;"P"&amp;$A32)*RTD("tos.rtd",,"LAST","."&amp;K$2&amp;K$1&amp;"P"&amp;$A32))/1000000),0),IF($A$2="PREMIUM",IFERROR(IF($X$1="ABS",(100*RTD("tos.rtd",,"VOLUME","."&amp;K$2&amp;K$1&amp;"C"&amp;$A32)*RTD("tos.rtd",,"LAST","."&amp;K$2&amp;K$1&amp;"C"&amp;$A32)+100*RTD("tos.rtd",,"VOLUME","."&amp;K$2&amp;K$1&amp;"P"&amp;$A32)*RTD("tos.rtd",,"LAST","."&amp;K$2&amp;K$1&amp;"P"&amp;$A32))/1000000,(100*RTD("tos.rtd",,"VOLUME","."&amp;K$2&amp;K$1&amp;"C"&amp;$A32)*RTD("tos.rtd",,"LAST","."&amp;K$2&amp;K$1&amp;"C"&amp;$A32)-100*RTD("tos.rtd",,"VOLUME","."&amp;K$2&amp;K$1&amp;"P"&amp;$A32)*RTD("tos.rtd",,"LAST","."&amp;K$2&amp;K$1&amp;"P"&amp;$A32))/1000000),0),IF($A$2="DEX",IFERROR(IF($X$1="ABS",(100*RTD("tos.rtd",,"OPEN_INT","."&amp;K$2&amp;K$1&amp;"C"&amp;$A32)*RTD("tos.rtd",,"DELTA","."&amp;K$2&amp;K$1&amp;"C"&amp;$A32)+100*RTD("tos.rtd",,"OPEN_INT","."&amp;K$2&amp;K$1&amp;"P"&amp;$A32)*RTD("tos.rtd",,"DELTA","."&amp;K$2&amp;K$1&amp;"P"&amp;$A32))/1000,(100*RTD("tos.rtd",,"OPEN_INT","."&amp;K$2&amp;K$1&amp;"C"&amp;$A32)*RTD("tos.rtd",,"DELTA","."&amp;K$2&amp;K$1&amp;"C"&amp;$A32)-100*RTD("tos.rtd",,"OPEN_INT","."&amp;K$2&amp;K$1&amp;"P"&amp;$A32)*RTD("tos.rtd",,"DELTA","."&amp;K$2&amp;K$1&amp;"P"&amp;$A32))/1000),0),IF($A$2="VEX",IFERROR(IF($X$1="ABS",($A$4*$A$4*RTD("tos.rtd",,"VOLUME","."&amp;K$2&amp;K$1&amp;"C"&amp;$A32)*RTD("tos.rtd",,"GAMMA","."&amp;K$2&amp;K$1&amp;"C"&amp;$A32)+$A$4*$A$4*RTD("tos.rtd",,"VOLUME","."&amp;K$2&amp;K$1&amp;"P"&amp;$A32)*RTD("tos.rtd",,"GAMMA","."&amp;K$2&amp;K$1&amp;"P"&amp;$A32))/1000000,($A$4*$A$4*RTD("tos.rtd",,"VOLUME","."&amp;K$2&amp;K$1&amp;"C"&amp;$A32)*RTD("tos.rtd",,"GAMMA","."&amp;K$2&amp;K$1&amp;"C"&amp;$A32)-$A$4*$A$4*RTD("tos.rtd",,"VOLUME","."&amp;K$2&amp;K$1&amp;"P"&amp;$A32)*RTD("tos.rtd",,"GAMMA","."&amp;K$2&amp;K$1&amp;"P"&amp;$A32))/1000000),0),IF($A$2="GEX",IFERROR(IF($X$1="ABS",($A$4*$A$4*RTD("tos.rtd",,"OPEN_INT","."&amp;K$2&amp;K$1&amp;"C"&amp;$A32)*RTD("tos.rtd",,"GAMMA","."&amp;K$2&amp;K$1&amp;"C"&amp;$A32)+$A$4*$A$4*RTD("tos.rtd",,"OPEN_INT","."&amp;K$2&amp;K$1&amp;"P"&amp;$A32)*RTD("tos.rtd",,"GAMMA","."&amp;K$2&amp;K$1&amp;"P"&amp;$A32))/1000000,($A$4*$A$4*RTD("tos.rtd",,"OPEN_INT","."&amp;K$2&amp;K$1&amp;"C"&amp;$A32)*RTD("tos.rtd",,"GAMMA","."&amp;K$2&amp;K$1&amp;"C"&amp;$A32)-$A$4*$A$4*RTD("tos.rtd",,"OPEN_INT","."&amp;K$2&amp;K$1&amp;"P"&amp;$A32)*RTD("tos.rtd",,"GAMMA","."&amp;K$2&amp;K$1&amp;"P"&amp;$A32))/1000000),0),IF($A$2="SKEW",IFERROR(VALUE(IF(RTD("tos.rtd",,"IMPL_VOL","."&amp;K$2&amp;K$1&amp;"P"&amp;$A32)="N/A",0,RTD("tos.rtd",,"IMPL_VOL","."&amp;K$2&amp;K$1&amp;"P"&amp;$A32))),0)-IFERROR(VALUE(IF(RTD("tos.rtd",,"IMPL_VOL","."&amp;K$2&amp;K$1&amp;"C"&amp;$A32)="N/A",0,RTD("tos.rtd",,"IMPL_VOL","."&amp;K$2&amp;K$1&amp;"C"&amp;$A32))),0),IF($A$2="MAXPAIN",IF($A$4&gt;$A32,($A$4-$A32)*IF(RTD("tos.rtd",,"OPEN_INT","."&amp;K$2&amp;K$1&amp;"C"&amp;$A32)="N/A",0,RTD("tos.rtd",,"OPEN_INT","."&amp;K$2&amp;K$1&amp;"C"&amp;$A32)),0)+IF($A$4&lt;$A32,($A$5-$A$4)*IF(RTD("tos.rtd",,"OPEN_INT","."&amp;K$2&amp;K$1&amp;"P"&amp;$A32)="N/A",0,RTD("tos.rtd",,"OPEN_INT","."&amp;K$2&amp;K$1&amp;"P"&amp;$A32)),0),IF($X$1="ABS",IF(RTD("tos.rtd",,$A$2,"."&amp;K$2&amp;K$1&amp;"C"&amp;$A32)="N/A",0,RTD("tos.rtd",,$A$2,"."&amp;K$2&amp;K$1&amp;"C"&amp;$A32))+IF(RTD("tos.rtd",,$A$2,"."&amp;K$2&amp;K$1&amp;"P"&amp;$A32)="N/A",0,RTD("tos.rtd",,$A$2,"."&amp;K$2&amp;K$1&amp;"P"&amp;$A32)),IF(RTD("tos.rtd",,$A$2,"."&amp;K$2&amp;K$1&amp;"C"&amp;$A32)="N/A",0,RTD("tos.rtd",,$A$2,"."&amp;K$2&amp;K$1&amp;"C"&amp;$A32))-IF(RTD("tos.rtd",,$A$2,"."&amp;K$2&amp;K$1&amp;"P"&amp;$A32)="N/A",0,RTD("tos.rtd",,$A$2,"."&amp;K$2&amp;K$1&amp;"P"&amp;$A32))))))))))</f>
        <v>0</v>
      </c>
      <c r="L32" s="54">
        <f ca="1">IF($A$2="PREMIUM_OI",IFERROR(IF($X$1="ABS",(100*RTD("tos.rtd",,"OPEN_INT","."&amp;L$2&amp;L$1&amp;"C"&amp;$A32)*RTD("tos.rtd",,"LAST","."&amp;L$2&amp;L$1&amp;"C"&amp;$A32)+100*RTD("tos.rtd",,"OPEN_INT","."&amp;L$2&amp;L$1&amp;"P"&amp;$A32)*RTD("tos.rtd",,"LAST","."&amp;L$2&amp;L$1&amp;"P"&amp;$A32))/1000000,(100*RTD("tos.rtd",,"OPEN_INT","."&amp;L$2&amp;L$1&amp;"C"&amp;$A32)*RTD("tos.rtd",,"LAST","."&amp;L$2&amp;L$1&amp;"C"&amp;$A32)-100*RTD("tos.rtd",,"OPEN_INT","."&amp;L$2&amp;L$1&amp;"P"&amp;$A32)*RTD("tos.rtd",,"LAST","."&amp;L$2&amp;L$1&amp;"P"&amp;$A32))/1000000),0),IF($A$2="PREMIUM",IFERROR(IF($X$1="ABS",(100*RTD("tos.rtd",,"VOLUME","."&amp;L$2&amp;L$1&amp;"C"&amp;$A32)*RTD("tos.rtd",,"LAST","."&amp;L$2&amp;L$1&amp;"C"&amp;$A32)+100*RTD("tos.rtd",,"VOLUME","."&amp;L$2&amp;L$1&amp;"P"&amp;$A32)*RTD("tos.rtd",,"LAST","."&amp;L$2&amp;L$1&amp;"P"&amp;$A32))/1000000,(100*RTD("tos.rtd",,"VOLUME","."&amp;L$2&amp;L$1&amp;"C"&amp;$A32)*RTD("tos.rtd",,"LAST","."&amp;L$2&amp;L$1&amp;"C"&amp;$A32)-100*RTD("tos.rtd",,"VOLUME","."&amp;L$2&amp;L$1&amp;"P"&amp;$A32)*RTD("tos.rtd",,"LAST","."&amp;L$2&amp;L$1&amp;"P"&amp;$A32))/1000000),0),IF($A$2="DEX",IFERROR(IF($X$1="ABS",(100*RTD("tos.rtd",,"OPEN_INT","."&amp;L$2&amp;L$1&amp;"C"&amp;$A32)*RTD("tos.rtd",,"DELTA","."&amp;L$2&amp;L$1&amp;"C"&amp;$A32)+100*RTD("tos.rtd",,"OPEN_INT","."&amp;L$2&amp;L$1&amp;"P"&amp;$A32)*RTD("tos.rtd",,"DELTA","."&amp;L$2&amp;L$1&amp;"P"&amp;$A32))/1000,(100*RTD("tos.rtd",,"OPEN_INT","."&amp;L$2&amp;L$1&amp;"C"&amp;$A32)*RTD("tos.rtd",,"DELTA","."&amp;L$2&amp;L$1&amp;"C"&amp;$A32)-100*RTD("tos.rtd",,"OPEN_INT","."&amp;L$2&amp;L$1&amp;"P"&amp;$A32)*RTD("tos.rtd",,"DELTA","."&amp;L$2&amp;L$1&amp;"P"&amp;$A32))/1000),0),IF($A$2="VEX",IFERROR(IF($X$1="ABS",($A$4*$A$4*RTD("tos.rtd",,"VOLUME","."&amp;L$2&amp;L$1&amp;"C"&amp;$A32)*RTD("tos.rtd",,"GAMMA","."&amp;L$2&amp;L$1&amp;"C"&amp;$A32)+$A$4*$A$4*RTD("tos.rtd",,"VOLUME","."&amp;L$2&amp;L$1&amp;"P"&amp;$A32)*RTD("tos.rtd",,"GAMMA","."&amp;L$2&amp;L$1&amp;"P"&amp;$A32))/1000000,($A$4*$A$4*RTD("tos.rtd",,"VOLUME","."&amp;L$2&amp;L$1&amp;"C"&amp;$A32)*RTD("tos.rtd",,"GAMMA","."&amp;L$2&amp;L$1&amp;"C"&amp;$A32)-$A$4*$A$4*RTD("tos.rtd",,"VOLUME","."&amp;L$2&amp;L$1&amp;"P"&amp;$A32)*RTD("tos.rtd",,"GAMMA","."&amp;L$2&amp;L$1&amp;"P"&amp;$A32))/1000000),0),IF($A$2="GEX",IFERROR(IF($X$1="ABS",($A$4*$A$4*RTD("tos.rtd",,"OPEN_INT","."&amp;L$2&amp;L$1&amp;"C"&amp;$A32)*RTD("tos.rtd",,"GAMMA","."&amp;L$2&amp;L$1&amp;"C"&amp;$A32)+$A$4*$A$4*RTD("tos.rtd",,"OPEN_INT","."&amp;L$2&amp;L$1&amp;"P"&amp;$A32)*RTD("tos.rtd",,"GAMMA","."&amp;L$2&amp;L$1&amp;"P"&amp;$A32))/1000000,($A$4*$A$4*RTD("tos.rtd",,"OPEN_INT","."&amp;L$2&amp;L$1&amp;"C"&amp;$A32)*RTD("tos.rtd",,"GAMMA","."&amp;L$2&amp;L$1&amp;"C"&amp;$A32)-$A$4*$A$4*RTD("tos.rtd",,"OPEN_INT","."&amp;L$2&amp;L$1&amp;"P"&amp;$A32)*RTD("tos.rtd",,"GAMMA","."&amp;L$2&amp;L$1&amp;"P"&amp;$A32))/1000000),0),IF($A$2="SKEW",IFERROR(VALUE(IF(RTD("tos.rtd",,"IMPL_VOL","."&amp;L$2&amp;L$1&amp;"P"&amp;$A32)="N/A",0,RTD("tos.rtd",,"IMPL_VOL","."&amp;L$2&amp;L$1&amp;"P"&amp;$A32))),0)-IFERROR(VALUE(IF(RTD("tos.rtd",,"IMPL_VOL","."&amp;L$2&amp;L$1&amp;"C"&amp;$A32)="N/A",0,RTD("tos.rtd",,"IMPL_VOL","."&amp;L$2&amp;L$1&amp;"C"&amp;$A32))),0),IF($A$2="MAXPAIN",IF($A$4&gt;$A32,($A$4-$A32)*IF(RTD("tos.rtd",,"OPEN_INT","."&amp;L$2&amp;L$1&amp;"C"&amp;$A32)="N/A",0,RTD("tos.rtd",,"OPEN_INT","."&amp;L$2&amp;L$1&amp;"C"&amp;$A32)),0)+IF($A$4&lt;$A32,($A$5-$A$4)*IF(RTD("tos.rtd",,"OPEN_INT","."&amp;L$2&amp;L$1&amp;"P"&amp;$A32)="N/A",0,RTD("tos.rtd",,"OPEN_INT","."&amp;L$2&amp;L$1&amp;"P"&amp;$A32)),0),IF($X$1="ABS",IF(RTD("tos.rtd",,$A$2,"."&amp;L$2&amp;L$1&amp;"C"&amp;$A32)="N/A",0,RTD("tos.rtd",,$A$2,"."&amp;L$2&amp;L$1&amp;"C"&amp;$A32))+IF(RTD("tos.rtd",,$A$2,"."&amp;L$2&amp;L$1&amp;"P"&amp;$A32)="N/A",0,RTD("tos.rtd",,$A$2,"."&amp;L$2&amp;L$1&amp;"P"&amp;$A32)),IF(RTD("tos.rtd",,$A$2,"."&amp;L$2&amp;L$1&amp;"C"&amp;$A32)="N/A",0,RTD("tos.rtd",,$A$2,"."&amp;L$2&amp;L$1&amp;"C"&amp;$A32))-IF(RTD("tos.rtd",,$A$2,"."&amp;L$2&amp;L$1&amp;"P"&amp;$A32)="N/A",0,RTD("tos.rtd",,$A$2,"."&amp;L$2&amp;L$1&amp;"P"&amp;$A32))))))))))</f>
        <v>23314</v>
      </c>
      <c r="M32" s="12">
        <f ca="1">IF($A$2="PREMIUM_OI",IFERROR(IF($X$1="ABS",(100*RTD("tos.rtd",,"OPEN_INT","."&amp;M$2&amp;M$1&amp;"C"&amp;$A32)*RTD("tos.rtd",,"LAST","."&amp;M$2&amp;M$1&amp;"C"&amp;$A32)+100*RTD("tos.rtd",,"OPEN_INT","."&amp;M$2&amp;M$1&amp;"P"&amp;$A32)*RTD("tos.rtd",,"LAST","."&amp;M$2&amp;M$1&amp;"P"&amp;$A32))/1000000,(100*RTD("tos.rtd",,"OPEN_INT","."&amp;M$2&amp;M$1&amp;"C"&amp;$A32)*RTD("tos.rtd",,"LAST","."&amp;M$2&amp;M$1&amp;"C"&amp;$A32)-100*RTD("tos.rtd",,"OPEN_INT","."&amp;M$2&amp;M$1&amp;"P"&amp;$A32)*RTD("tos.rtd",,"LAST","."&amp;M$2&amp;M$1&amp;"P"&amp;$A32))/1000000),0),IF($A$2="PREMIUM",IFERROR(IF($X$1="ABS",(100*RTD("tos.rtd",,"VOLUME","."&amp;M$2&amp;M$1&amp;"C"&amp;$A32)*RTD("tos.rtd",,"LAST","."&amp;M$2&amp;M$1&amp;"C"&amp;$A32)+100*RTD("tos.rtd",,"VOLUME","."&amp;M$2&amp;M$1&amp;"P"&amp;$A32)*RTD("tos.rtd",,"LAST","."&amp;M$2&amp;M$1&amp;"P"&amp;$A32))/1000000,(100*RTD("tos.rtd",,"VOLUME","."&amp;M$2&amp;M$1&amp;"C"&amp;$A32)*RTD("tos.rtd",,"LAST","."&amp;M$2&amp;M$1&amp;"C"&amp;$A32)-100*RTD("tos.rtd",,"VOLUME","."&amp;M$2&amp;M$1&amp;"P"&amp;$A32)*RTD("tos.rtd",,"LAST","."&amp;M$2&amp;M$1&amp;"P"&amp;$A32))/1000000),0),IF($A$2="DEX",IFERROR(IF($X$1="ABS",(100*RTD("tos.rtd",,"OPEN_INT","."&amp;M$2&amp;M$1&amp;"C"&amp;$A32)*RTD("tos.rtd",,"DELTA","."&amp;M$2&amp;M$1&amp;"C"&amp;$A32)+100*RTD("tos.rtd",,"OPEN_INT","."&amp;M$2&amp;M$1&amp;"P"&amp;$A32)*RTD("tos.rtd",,"DELTA","."&amp;M$2&amp;M$1&amp;"P"&amp;$A32))/1000,(100*RTD("tos.rtd",,"OPEN_INT","."&amp;M$2&amp;M$1&amp;"C"&amp;$A32)*RTD("tos.rtd",,"DELTA","."&amp;M$2&amp;M$1&amp;"C"&amp;$A32)-100*RTD("tos.rtd",,"OPEN_INT","."&amp;M$2&amp;M$1&amp;"P"&amp;$A32)*RTD("tos.rtd",,"DELTA","."&amp;M$2&amp;M$1&amp;"P"&amp;$A32))/1000),0),IF($A$2="VEX",IFERROR(IF($X$1="ABS",($A$4*$A$4*RTD("tos.rtd",,"VOLUME","."&amp;M$2&amp;M$1&amp;"C"&amp;$A32)*RTD("tos.rtd",,"GAMMA","."&amp;M$2&amp;M$1&amp;"C"&amp;$A32)+$A$4*$A$4*RTD("tos.rtd",,"VOLUME","."&amp;M$2&amp;M$1&amp;"P"&amp;$A32)*RTD("tos.rtd",,"GAMMA","."&amp;M$2&amp;M$1&amp;"P"&amp;$A32))/1000000,($A$4*$A$4*RTD("tos.rtd",,"VOLUME","."&amp;M$2&amp;M$1&amp;"C"&amp;$A32)*RTD("tos.rtd",,"GAMMA","."&amp;M$2&amp;M$1&amp;"C"&amp;$A32)-$A$4*$A$4*RTD("tos.rtd",,"VOLUME","."&amp;M$2&amp;M$1&amp;"P"&amp;$A32)*RTD("tos.rtd",,"GAMMA","."&amp;M$2&amp;M$1&amp;"P"&amp;$A32))/1000000),0),IF($A$2="GEX",IFERROR(IF($X$1="ABS",($A$4*$A$4*RTD("tos.rtd",,"OPEN_INT","."&amp;M$2&amp;M$1&amp;"C"&amp;$A32)*RTD("tos.rtd",,"GAMMA","."&amp;M$2&amp;M$1&amp;"C"&amp;$A32)+$A$4*$A$4*RTD("tos.rtd",,"OPEN_INT","."&amp;M$2&amp;M$1&amp;"P"&amp;$A32)*RTD("tos.rtd",,"GAMMA","."&amp;M$2&amp;M$1&amp;"P"&amp;$A32))/1000000,($A$4*$A$4*RTD("tos.rtd",,"OPEN_INT","."&amp;M$2&amp;M$1&amp;"C"&amp;$A32)*RTD("tos.rtd",,"GAMMA","."&amp;M$2&amp;M$1&amp;"C"&amp;$A32)-$A$4*$A$4*RTD("tos.rtd",,"OPEN_INT","."&amp;M$2&amp;M$1&amp;"P"&amp;$A32)*RTD("tos.rtd",,"GAMMA","."&amp;M$2&amp;M$1&amp;"P"&amp;$A32))/1000000),0),IF($A$2="SKEW",IFERROR(VALUE(IF(RTD("tos.rtd",,"IMPL_VOL","."&amp;M$2&amp;M$1&amp;"P"&amp;$A32)="N/A",0,RTD("tos.rtd",,"IMPL_VOL","."&amp;M$2&amp;M$1&amp;"P"&amp;$A32))),0)-IFERROR(VALUE(IF(RTD("tos.rtd",,"IMPL_VOL","."&amp;M$2&amp;M$1&amp;"C"&amp;$A32)="N/A",0,RTD("tos.rtd",,"IMPL_VOL","."&amp;M$2&amp;M$1&amp;"C"&amp;$A32))),0),IF($A$2="MAXPAIN",IF($A$4&gt;$A32,($A$4-$A32)*IF(RTD("tos.rtd",,"OPEN_INT","."&amp;M$2&amp;M$1&amp;"C"&amp;$A32)="N/A",0,RTD("tos.rtd",,"OPEN_INT","."&amp;M$2&amp;M$1&amp;"C"&amp;$A32)),0)+IF($A$4&lt;$A32,($A$5-$A$4)*IF(RTD("tos.rtd",,"OPEN_INT","."&amp;M$2&amp;M$1&amp;"P"&amp;$A32)="N/A",0,RTD("tos.rtd",,"OPEN_INT","."&amp;M$2&amp;M$1&amp;"P"&amp;$A32)),0),IF($X$1="ABS",IF(RTD("tos.rtd",,$A$2,"."&amp;M$2&amp;M$1&amp;"C"&amp;$A32)="N/A",0,RTD("tos.rtd",,$A$2,"."&amp;M$2&amp;M$1&amp;"C"&amp;$A32))+IF(RTD("tos.rtd",,$A$2,"."&amp;M$2&amp;M$1&amp;"P"&amp;$A32)="N/A",0,RTD("tos.rtd",,$A$2,"."&amp;M$2&amp;M$1&amp;"P"&amp;$A32)),IF(RTD("tos.rtd",,$A$2,"."&amp;M$2&amp;M$1&amp;"C"&amp;$A32)="N/A",0,RTD("tos.rtd",,$A$2,"."&amp;M$2&amp;M$1&amp;"C"&amp;$A32))-IF(RTD("tos.rtd",,$A$2,"."&amp;M$2&amp;M$1&amp;"P"&amp;$A32)="N/A",0,RTD("tos.rtd",,$A$2,"."&amp;M$2&amp;M$1&amp;"P"&amp;$A32))))))))))</f>
        <v>12288</v>
      </c>
      <c r="N32" s="12">
        <f ca="1">IF($A$2="PREMIUM_OI",IFERROR(IF($X$1="ABS",(100*RTD("tos.rtd",,"OPEN_INT","."&amp;N$2&amp;N$1&amp;"C"&amp;$A32)*RTD("tos.rtd",,"LAST","."&amp;N$2&amp;N$1&amp;"C"&amp;$A32)+100*RTD("tos.rtd",,"OPEN_INT","."&amp;N$2&amp;N$1&amp;"P"&amp;$A32)*RTD("tos.rtd",,"LAST","."&amp;N$2&amp;N$1&amp;"P"&amp;$A32))/1000000,(100*RTD("tos.rtd",,"OPEN_INT","."&amp;N$2&amp;N$1&amp;"C"&amp;$A32)*RTD("tos.rtd",,"LAST","."&amp;N$2&amp;N$1&amp;"C"&amp;$A32)-100*RTD("tos.rtd",,"OPEN_INT","."&amp;N$2&amp;N$1&amp;"P"&amp;$A32)*RTD("tos.rtd",,"LAST","."&amp;N$2&amp;N$1&amp;"P"&amp;$A32))/1000000),0),IF($A$2="PREMIUM",IFERROR(IF($X$1="ABS",(100*RTD("tos.rtd",,"VOLUME","."&amp;N$2&amp;N$1&amp;"C"&amp;$A32)*RTD("tos.rtd",,"LAST","."&amp;N$2&amp;N$1&amp;"C"&amp;$A32)+100*RTD("tos.rtd",,"VOLUME","."&amp;N$2&amp;N$1&amp;"P"&amp;$A32)*RTD("tos.rtd",,"LAST","."&amp;N$2&amp;N$1&amp;"P"&amp;$A32))/1000000,(100*RTD("tos.rtd",,"VOLUME","."&amp;N$2&amp;N$1&amp;"C"&amp;$A32)*RTD("tos.rtd",,"LAST","."&amp;N$2&amp;N$1&amp;"C"&amp;$A32)-100*RTD("tos.rtd",,"VOLUME","."&amp;N$2&amp;N$1&amp;"P"&amp;$A32)*RTD("tos.rtd",,"LAST","."&amp;N$2&amp;N$1&amp;"P"&amp;$A32))/1000000),0),IF($A$2="DEX",IFERROR(IF($X$1="ABS",(100*RTD("tos.rtd",,"OPEN_INT","."&amp;N$2&amp;N$1&amp;"C"&amp;$A32)*RTD("tos.rtd",,"DELTA","."&amp;N$2&amp;N$1&amp;"C"&amp;$A32)+100*RTD("tos.rtd",,"OPEN_INT","."&amp;N$2&amp;N$1&amp;"P"&amp;$A32)*RTD("tos.rtd",,"DELTA","."&amp;N$2&amp;N$1&amp;"P"&amp;$A32))/1000,(100*RTD("tos.rtd",,"OPEN_INT","."&amp;N$2&amp;N$1&amp;"C"&amp;$A32)*RTD("tos.rtd",,"DELTA","."&amp;N$2&amp;N$1&amp;"C"&amp;$A32)-100*RTD("tos.rtd",,"OPEN_INT","."&amp;N$2&amp;N$1&amp;"P"&amp;$A32)*RTD("tos.rtd",,"DELTA","."&amp;N$2&amp;N$1&amp;"P"&amp;$A32))/1000),0),IF($A$2="VEX",IFERROR(IF($X$1="ABS",($A$4*$A$4*RTD("tos.rtd",,"VOLUME","."&amp;N$2&amp;N$1&amp;"C"&amp;$A32)*RTD("tos.rtd",,"GAMMA","."&amp;N$2&amp;N$1&amp;"C"&amp;$A32)+$A$4*$A$4*RTD("tos.rtd",,"VOLUME","."&amp;N$2&amp;N$1&amp;"P"&amp;$A32)*RTD("tos.rtd",,"GAMMA","."&amp;N$2&amp;N$1&amp;"P"&amp;$A32))/1000000,($A$4*$A$4*RTD("tos.rtd",,"VOLUME","."&amp;N$2&amp;N$1&amp;"C"&amp;$A32)*RTD("tos.rtd",,"GAMMA","."&amp;N$2&amp;N$1&amp;"C"&amp;$A32)-$A$4*$A$4*RTD("tos.rtd",,"VOLUME","."&amp;N$2&amp;N$1&amp;"P"&amp;$A32)*RTD("tos.rtd",,"GAMMA","."&amp;N$2&amp;N$1&amp;"P"&amp;$A32))/1000000),0),IF($A$2="GEX",IFERROR(IF($X$1="ABS",($A$4*$A$4*RTD("tos.rtd",,"OPEN_INT","."&amp;N$2&amp;N$1&amp;"C"&amp;$A32)*RTD("tos.rtd",,"GAMMA","."&amp;N$2&amp;N$1&amp;"C"&amp;$A32)+$A$4*$A$4*RTD("tos.rtd",,"OPEN_INT","."&amp;N$2&amp;N$1&amp;"P"&amp;$A32)*RTD("tos.rtd",,"GAMMA","."&amp;N$2&amp;N$1&amp;"P"&amp;$A32))/1000000,($A$4*$A$4*RTD("tos.rtd",,"OPEN_INT","."&amp;N$2&amp;N$1&amp;"C"&amp;$A32)*RTD("tos.rtd",,"GAMMA","."&amp;N$2&amp;N$1&amp;"C"&amp;$A32)-$A$4*$A$4*RTD("tos.rtd",,"OPEN_INT","."&amp;N$2&amp;N$1&amp;"P"&amp;$A32)*RTD("tos.rtd",,"GAMMA","."&amp;N$2&amp;N$1&amp;"P"&amp;$A32))/1000000),0),IF($A$2="SKEW",IFERROR(VALUE(IF(RTD("tos.rtd",,"IMPL_VOL","."&amp;N$2&amp;N$1&amp;"P"&amp;$A32)="N/A",0,RTD("tos.rtd",,"IMPL_VOL","."&amp;N$2&amp;N$1&amp;"P"&amp;$A32))),0)-IFERROR(VALUE(IF(RTD("tos.rtd",,"IMPL_VOL","."&amp;N$2&amp;N$1&amp;"C"&amp;$A32)="N/A",0,RTD("tos.rtd",,"IMPL_VOL","."&amp;N$2&amp;N$1&amp;"C"&amp;$A32))),0),IF($A$2="MAXPAIN",IF($A$4&gt;$A32,($A$4-$A32)*IF(RTD("tos.rtd",,"OPEN_INT","."&amp;N$2&amp;N$1&amp;"C"&amp;$A32)="N/A",0,RTD("tos.rtd",,"OPEN_INT","."&amp;N$2&amp;N$1&amp;"C"&amp;$A32)),0)+IF($A$4&lt;$A32,($A$5-$A$4)*IF(RTD("tos.rtd",,"OPEN_INT","."&amp;N$2&amp;N$1&amp;"P"&amp;$A32)="N/A",0,RTD("tos.rtd",,"OPEN_INT","."&amp;N$2&amp;N$1&amp;"P"&amp;$A32)),0),IF($X$1="ABS",IF(RTD("tos.rtd",,$A$2,"."&amp;N$2&amp;N$1&amp;"C"&amp;$A32)="N/A",0,RTD("tos.rtd",,$A$2,"."&amp;N$2&amp;N$1&amp;"C"&amp;$A32))+IF(RTD("tos.rtd",,$A$2,"."&amp;N$2&amp;N$1&amp;"P"&amp;$A32)="N/A",0,RTD("tos.rtd",,$A$2,"."&amp;N$2&amp;N$1&amp;"P"&amp;$A32)),IF(RTD("tos.rtd",,$A$2,"."&amp;N$2&amp;N$1&amp;"C"&amp;$A32)="N/A",0,RTD("tos.rtd",,$A$2,"."&amp;N$2&amp;N$1&amp;"C"&amp;$A32))-IF(RTD("tos.rtd",,$A$2,"."&amp;N$2&amp;N$1&amp;"P"&amp;$A32)="N/A",0,RTD("tos.rtd",,$A$2,"."&amp;N$2&amp;N$1&amp;"P"&amp;$A32))))))))))</f>
        <v>0</v>
      </c>
      <c r="O32" s="12">
        <f ca="1">IF($A$2="PREMIUM_OI",IFERROR(IF($X$1="ABS",(100*RTD("tos.rtd",,"OPEN_INT","."&amp;O$2&amp;O$1&amp;"C"&amp;$A32)*RTD("tos.rtd",,"LAST","."&amp;O$2&amp;O$1&amp;"C"&amp;$A32)+100*RTD("tos.rtd",,"OPEN_INT","."&amp;O$2&amp;O$1&amp;"P"&amp;$A32)*RTD("tos.rtd",,"LAST","."&amp;O$2&amp;O$1&amp;"P"&amp;$A32))/1000000,(100*RTD("tos.rtd",,"OPEN_INT","."&amp;O$2&amp;O$1&amp;"C"&amp;$A32)*RTD("tos.rtd",,"LAST","."&amp;O$2&amp;O$1&amp;"C"&amp;$A32)-100*RTD("tos.rtd",,"OPEN_INT","."&amp;O$2&amp;O$1&amp;"P"&amp;$A32)*RTD("tos.rtd",,"LAST","."&amp;O$2&amp;O$1&amp;"P"&amp;$A32))/1000000),0),IF($A$2="PREMIUM",IFERROR(IF($X$1="ABS",(100*RTD("tos.rtd",,"VOLUME","."&amp;O$2&amp;O$1&amp;"C"&amp;$A32)*RTD("tos.rtd",,"LAST","."&amp;O$2&amp;O$1&amp;"C"&amp;$A32)+100*RTD("tos.rtd",,"VOLUME","."&amp;O$2&amp;O$1&amp;"P"&amp;$A32)*RTD("tos.rtd",,"LAST","."&amp;O$2&amp;O$1&amp;"P"&amp;$A32))/1000000,(100*RTD("tos.rtd",,"VOLUME","."&amp;O$2&amp;O$1&amp;"C"&amp;$A32)*RTD("tos.rtd",,"LAST","."&amp;O$2&amp;O$1&amp;"C"&amp;$A32)-100*RTD("tos.rtd",,"VOLUME","."&amp;O$2&amp;O$1&amp;"P"&amp;$A32)*RTD("tos.rtd",,"LAST","."&amp;O$2&amp;O$1&amp;"P"&amp;$A32))/1000000),0),IF($A$2="DEX",IFERROR(IF($X$1="ABS",(100*RTD("tos.rtd",,"OPEN_INT","."&amp;O$2&amp;O$1&amp;"C"&amp;$A32)*RTD("tos.rtd",,"DELTA","."&amp;O$2&amp;O$1&amp;"C"&amp;$A32)+100*RTD("tos.rtd",,"OPEN_INT","."&amp;O$2&amp;O$1&amp;"P"&amp;$A32)*RTD("tos.rtd",,"DELTA","."&amp;O$2&amp;O$1&amp;"P"&amp;$A32))/1000,(100*RTD("tos.rtd",,"OPEN_INT","."&amp;O$2&amp;O$1&amp;"C"&amp;$A32)*RTD("tos.rtd",,"DELTA","."&amp;O$2&amp;O$1&amp;"C"&amp;$A32)-100*RTD("tos.rtd",,"OPEN_INT","."&amp;O$2&amp;O$1&amp;"P"&amp;$A32)*RTD("tos.rtd",,"DELTA","."&amp;O$2&amp;O$1&amp;"P"&amp;$A32))/1000),0),IF($A$2="VEX",IFERROR(IF($X$1="ABS",($A$4*$A$4*RTD("tos.rtd",,"VOLUME","."&amp;O$2&amp;O$1&amp;"C"&amp;$A32)*RTD("tos.rtd",,"GAMMA","."&amp;O$2&amp;O$1&amp;"C"&amp;$A32)+$A$4*$A$4*RTD("tos.rtd",,"VOLUME","."&amp;O$2&amp;O$1&amp;"P"&amp;$A32)*RTD("tos.rtd",,"GAMMA","."&amp;O$2&amp;O$1&amp;"P"&amp;$A32))/1000000,($A$4*$A$4*RTD("tos.rtd",,"VOLUME","."&amp;O$2&amp;O$1&amp;"C"&amp;$A32)*RTD("tos.rtd",,"GAMMA","."&amp;O$2&amp;O$1&amp;"C"&amp;$A32)-$A$4*$A$4*RTD("tos.rtd",,"VOLUME","."&amp;O$2&amp;O$1&amp;"P"&amp;$A32)*RTD("tos.rtd",,"GAMMA","."&amp;O$2&amp;O$1&amp;"P"&amp;$A32))/1000000),0),IF($A$2="GEX",IFERROR(IF($X$1="ABS",($A$4*$A$4*RTD("tos.rtd",,"OPEN_INT","."&amp;O$2&amp;O$1&amp;"C"&amp;$A32)*RTD("tos.rtd",,"GAMMA","."&amp;O$2&amp;O$1&amp;"C"&amp;$A32)+$A$4*$A$4*RTD("tos.rtd",,"OPEN_INT","."&amp;O$2&amp;O$1&amp;"P"&amp;$A32)*RTD("tos.rtd",,"GAMMA","."&amp;O$2&amp;O$1&amp;"P"&amp;$A32))/1000000,($A$4*$A$4*RTD("tos.rtd",,"OPEN_INT","."&amp;O$2&amp;O$1&amp;"C"&amp;$A32)*RTD("tos.rtd",,"GAMMA","."&amp;O$2&amp;O$1&amp;"C"&amp;$A32)-$A$4*$A$4*RTD("tos.rtd",,"OPEN_INT","."&amp;O$2&amp;O$1&amp;"P"&amp;$A32)*RTD("tos.rtd",,"GAMMA","."&amp;O$2&amp;O$1&amp;"P"&amp;$A32))/1000000),0),IF($A$2="SKEW",IFERROR(VALUE(IF(RTD("tos.rtd",,"IMPL_VOL","."&amp;O$2&amp;O$1&amp;"P"&amp;$A32)="N/A",0,RTD("tos.rtd",,"IMPL_VOL","."&amp;O$2&amp;O$1&amp;"P"&amp;$A32))),0)-IFERROR(VALUE(IF(RTD("tos.rtd",,"IMPL_VOL","."&amp;O$2&amp;O$1&amp;"C"&amp;$A32)="N/A",0,RTD("tos.rtd",,"IMPL_VOL","."&amp;O$2&amp;O$1&amp;"C"&amp;$A32))),0),IF($A$2="MAXPAIN",IF($A$4&gt;$A32,($A$4-$A32)*IF(RTD("tos.rtd",,"OPEN_INT","."&amp;O$2&amp;O$1&amp;"C"&amp;$A32)="N/A",0,RTD("tos.rtd",,"OPEN_INT","."&amp;O$2&amp;O$1&amp;"C"&amp;$A32)),0)+IF($A$4&lt;$A32,($A$5-$A$4)*IF(RTD("tos.rtd",,"OPEN_INT","."&amp;O$2&amp;O$1&amp;"P"&amp;$A32)="N/A",0,RTD("tos.rtd",,"OPEN_INT","."&amp;O$2&amp;O$1&amp;"P"&amp;$A32)),0),IF($X$1="ABS",IF(RTD("tos.rtd",,$A$2,"."&amp;O$2&amp;O$1&amp;"C"&amp;$A32)="N/A",0,RTD("tos.rtd",,$A$2,"."&amp;O$2&amp;O$1&amp;"C"&amp;$A32))+IF(RTD("tos.rtd",,$A$2,"."&amp;O$2&amp;O$1&amp;"P"&amp;$A32)="N/A",0,RTD("tos.rtd",,$A$2,"."&amp;O$2&amp;O$1&amp;"P"&amp;$A32)),IF(RTD("tos.rtd",,$A$2,"."&amp;O$2&amp;O$1&amp;"C"&amp;$A32)="N/A",0,RTD("tos.rtd",,$A$2,"."&amp;O$2&amp;O$1&amp;"C"&amp;$A32))-IF(RTD("tos.rtd",,$A$2,"."&amp;O$2&amp;O$1&amp;"P"&amp;$A32)="N/A",0,RTD("tos.rtd",,$A$2,"."&amp;O$2&amp;O$1&amp;"P"&amp;$A32))))))))))</f>
        <v>0</v>
      </c>
      <c r="P32" s="12">
        <f ca="1">IF($A$2="PREMIUM_OI",IFERROR(IF($X$1="ABS",(100*RTD("tos.rtd",,"OPEN_INT","."&amp;P$2&amp;P$1&amp;"C"&amp;$A32)*RTD("tos.rtd",,"LAST","."&amp;P$2&amp;P$1&amp;"C"&amp;$A32)+100*RTD("tos.rtd",,"OPEN_INT","."&amp;P$2&amp;P$1&amp;"P"&amp;$A32)*RTD("tos.rtd",,"LAST","."&amp;P$2&amp;P$1&amp;"P"&amp;$A32))/1000000,(100*RTD("tos.rtd",,"OPEN_INT","."&amp;P$2&amp;P$1&amp;"C"&amp;$A32)*RTD("tos.rtd",,"LAST","."&amp;P$2&amp;P$1&amp;"C"&amp;$A32)-100*RTD("tos.rtd",,"OPEN_INT","."&amp;P$2&amp;P$1&amp;"P"&amp;$A32)*RTD("tos.rtd",,"LAST","."&amp;P$2&amp;P$1&amp;"P"&amp;$A32))/1000000),0),IF($A$2="PREMIUM",IFERROR(IF($X$1="ABS",(100*RTD("tos.rtd",,"VOLUME","."&amp;P$2&amp;P$1&amp;"C"&amp;$A32)*RTD("tos.rtd",,"LAST","."&amp;P$2&amp;P$1&amp;"C"&amp;$A32)+100*RTD("tos.rtd",,"VOLUME","."&amp;P$2&amp;P$1&amp;"P"&amp;$A32)*RTD("tos.rtd",,"LAST","."&amp;P$2&amp;P$1&amp;"P"&amp;$A32))/1000000,(100*RTD("tos.rtd",,"VOLUME","."&amp;P$2&amp;P$1&amp;"C"&amp;$A32)*RTD("tos.rtd",,"LAST","."&amp;P$2&amp;P$1&amp;"C"&amp;$A32)-100*RTD("tos.rtd",,"VOLUME","."&amp;P$2&amp;P$1&amp;"P"&amp;$A32)*RTD("tos.rtd",,"LAST","."&amp;P$2&amp;P$1&amp;"P"&amp;$A32))/1000000),0),IF($A$2="DEX",IFERROR(IF($X$1="ABS",(100*RTD("tos.rtd",,"OPEN_INT","."&amp;P$2&amp;P$1&amp;"C"&amp;$A32)*RTD("tos.rtd",,"DELTA","."&amp;P$2&amp;P$1&amp;"C"&amp;$A32)+100*RTD("tos.rtd",,"OPEN_INT","."&amp;P$2&amp;P$1&amp;"P"&amp;$A32)*RTD("tos.rtd",,"DELTA","."&amp;P$2&amp;P$1&amp;"P"&amp;$A32))/1000,(100*RTD("tos.rtd",,"OPEN_INT","."&amp;P$2&amp;P$1&amp;"C"&amp;$A32)*RTD("tos.rtd",,"DELTA","."&amp;P$2&amp;P$1&amp;"C"&amp;$A32)-100*RTD("tos.rtd",,"OPEN_INT","."&amp;P$2&amp;P$1&amp;"P"&amp;$A32)*RTD("tos.rtd",,"DELTA","."&amp;P$2&amp;P$1&amp;"P"&amp;$A32))/1000),0),IF($A$2="VEX",IFERROR(IF($X$1="ABS",($A$4*$A$4*RTD("tos.rtd",,"VOLUME","."&amp;P$2&amp;P$1&amp;"C"&amp;$A32)*RTD("tos.rtd",,"GAMMA","."&amp;P$2&amp;P$1&amp;"C"&amp;$A32)+$A$4*$A$4*RTD("tos.rtd",,"VOLUME","."&amp;P$2&amp;P$1&amp;"P"&amp;$A32)*RTD("tos.rtd",,"GAMMA","."&amp;P$2&amp;P$1&amp;"P"&amp;$A32))/1000000,($A$4*$A$4*RTD("tos.rtd",,"VOLUME","."&amp;P$2&amp;P$1&amp;"C"&amp;$A32)*RTD("tos.rtd",,"GAMMA","."&amp;P$2&amp;P$1&amp;"C"&amp;$A32)-$A$4*$A$4*RTD("tos.rtd",,"VOLUME","."&amp;P$2&amp;P$1&amp;"P"&amp;$A32)*RTD("tos.rtd",,"GAMMA","."&amp;P$2&amp;P$1&amp;"P"&amp;$A32))/1000000),0),IF($A$2="GEX",IFERROR(IF($X$1="ABS",($A$4*$A$4*RTD("tos.rtd",,"OPEN_INT","."&amp;P$2&amp;P$1&amp;"C"&amp;$A32)*RTD("tos.rtd",,"GAMMA","."&amp;P$2&amp;P$1&amp;"C"&amp;$A32)+$A$4*$A$4*RTD("tos.rtd",,"OPEN_INT","."&amp;P$2&amp;P$1&amp;"P"&amp;$A32)*RTD("tos.rtd",,"GAMMA","."&amp;P$2&amp;P$1&amp;"P"&amp;$A32))/1000000,($A$4*$A$4*RTD("tos.rtd",,"OPEN_INT","."&amp;P$2&amp;P$1&amp;"C"&amp;$A32)*RTD("tos.rtd",,"GAMMA","."&amp;P$2&amp;P$1&amp;"C"&amp;$A32)-$A$4*$A$4*RTD("tos.rtd",,"OPEN_INT","."&amp;P$2&amp;P$1&amp;"P"&amp;$A32)*RTD("tos.rtd",,"GAMMA","."&amp;P$2&amp;P$1&amp;"P"&amp;$A32))/1000000),0),IF($A$2="SKEW",IFERROR(VALUE(IF(RTD("tos.rtd",,"IMPL_VOL","."&amp;P$2&amp;P$1&amp;"P"&amp;$A32)="N/A",0,RTD("tos.rtd",,"IMPL_VOL","."&amp;P$2&amp;P$1&amp;"P"&amp;$A32))),0)-IFERROR(VALUE(IF(RTD("tos.rtd",,"IMPL_VOL","."&amp;P$2&amp;P$1&amp;"C"&amp;$A32)="N/A",0,RTD("tos.rtd",,"IMPL_VOL","."&amp;P$2&amp;P$1&amp;"C"&amp;$A32))),0),IF($A$2="MAXPAIN",IF($A$4&gt;$A32,($A$4-$A32)*IF(RTD("tos.rtd",,"OPEN_INT","."&amp;P$2&amp;P$1&amp;"C"&amp;$A32)="N/A",0,RTD("tos.rtd",,"OPEN_INT","."&amp;P$2&amp;P$1&amp;"C"&amp;$A32)),0)+IF($A$4&lt;$A32,($A$5-$A$4)*IF(RTD("tos.rtd",,"OPEN_INT","."&amp;P$2&amp;P$1&amp;"P"&amp;$A32)="N/A",0,RTD("tos.rtd",,"OPEN_INT","."&amp;P$2&amp;P$1&amp;"P"&amp;$A32)),0),IF($X$1="ABS",IF(RTD("tos.rtd",,$A$2,"."&amp;P$2&amp;P$1&amp;"C"&amp;$A32)="N/A",0,RTD("tos.rtd",,$A$2,"."&amp;P$2&amp;P$1&amp;"C"&amp;$A32))+IF(RTD("tos.rtd",,$A$2,"."&amp;P$2&amp;P$1&amp;"P"&amp;$A32)="N/A",0,RTD("tos.rtd",,$A$2,"."&amp;P$2&amp;P$1&amp;"P"&amp;$A32)),IF(RTD("tos.rtd",,$A$2,"."&amp;P$2&amp;P$1&amp;"C"&amp;$A32)="N/A",0,RTD("tos.rtd",,$A$2,"."&amp;P$2&amp;P$1&amp;"C"&amp;$A32))-IF(RTD("tos.rtd",,$A$2,"."&amp;P$2&amp;P$1&amp;"P"&amp;$A32)="N/A",0,RTD("tos.rtd",,$A$2,"."&amp;P$2&amp;P$1&amp;"P"&amp;$A32))))))))))</f>
        <v>4837</v>
      </c>
      <c r="Q32" s="12">
        <f ca="1">IF($A$2="PREMIUM_OI",IFERROR(IF($X$1="ABS",(100*RTD("tos.rtd",,"OPEN_INT","."&amp;Q$2&amp;Q$1&amp;"C"&amp;$A32)*RTD("tos.rtd",,"LAST","."&amp;Q$2&amp;Q$1&amp;"C"&amp;$A32)+100*RTD("tos.rtd",,"OPEN_INT","."&amp;Q$2&amp;Q$1&amp;"P"&amp;$A32)*RTD("tos.rtd",,"LAST","."&amp;Q$2&amp;Q$1&amp;"P"&amp;$A32))/1000000,(100*RTD("tos.rtd",,"OPEN_INT","."&amp;Q$2&amp;Q$1&amp;"C"&amp;$A32)*RTD("tos.rtd",,"LAST","."&amp;Q$2&amp;Q$1&amp;"C"&amp;$A32)-100*RTD("tos.rtd",,"OPEN_INT","."&amp;Q$2&amp;Q$1&amp;"P"&amp;$A32)*RTD("tos.rtd",,"LAST","."&amp;Q$2&amp;Q$1&amp;"P"&amp;$A32))/1000000),0),IF($A$2="PREMIUM",IFERROR(IF($X$1="ABS",(100*RTD("tos.rtd",,"VOLUME","."&amp;Q$2&amp;Q$1&amp;"C"&amp;$A32)*RTD("tos.rtd",,"LAST","."&amp;Q$2&amp;Q$1&amp;"C"&amp;$A32)+100*RTD("tos.rtd",,"VOLUME","."&amp;Q$2&amp;Q$1&amp;"P"&amp;$A32)*RTD("tos.rtd",,"LAST","."&amp;Q$2&amp;Q$1&amp;"P"&amp;$A32))/1000000,(100*RTD("tos.rtd",,"VOLUME","."&amp;Q$2&amp;Q$1&amp;"C"&amp;$A32)*RTD("tos.rtd",,"LAST","."&amp;Q$2&amp;Q$1&amp;"C"&amp;$A32)-100*RTD("tos.rtd",,"VOLUME","."&amp;Q$2&amp;Q$1&amp;"P"&amp;$A32)*RTD("tos.rtd",,"LAST","."&amp;Q$2&amp;Q$1&amp;"P"&amp;$A32))/1000000),0),IF($A$2="DEX",IFERROR(IF($X$1="ABS",(100*RTD("tos.rtd",,"OPEN_INT","."&amp;Q$2&amp;Q$1&amp;"C"&amp;$A32)*RTD("tos.rtd",,"DELTA","."&amp;Q$2&amp;Q$1&amp;"C"&amp;$A32)+100*RTD("tos.rtd",,"OPEN_INT","."&amp;Q$2&amp;Q$1&amp;"P"&amp;$A32)*RTD("tos.rtd",,"DELTA","."&amp;Q$2&amp;Q$1&amp;"P"&amp;$A32))/1000,(100*RTD("tos.rtd",,"OPEN_INT","."&amp;Q$2&amp;Q$1&amp;"C"&amp;$A32)*RTD("tos.rtd",,"DELTA","."&amp;Q$2&amp;Q$1&amp;"C"&amp;$A32)-100*RTD("tos.rtd",,"OPEN_INT","."&amp;Q$2&amp;Q$1&amp;"P"&amp;$A32)*RTD("tos.rtd",,"DELTA","."&amp;Q$2&amp;Q$1&amp;"P"&amp;$A32))/1000),0),IF($A$2="VEX",IFERROR(IF($X$1="ABS",($A$4*$A$4*RTD("tos.rtd",,"VOLUME","."&amp;Q$2&amp;Q$1&amp;"C"&amp;$A32)*RTD("tos.rtd",,"GAMMA","."&amp;Q$2&amp;Q$1&amp;"C"&amp;$A32)+$A$4*$A$4*RTD("tos.rtd",,"VOLUME","."&amp;Q$2&amp;Q$1&amp;"P"&amp;$A32)*RTD("tos.rtd",,"GAMMA","."&amp;Q$2&amp;Q$1&amp;"P"&amp;$A32))/1000000,($A$4*$A$4*RTD("tos.rtd",,"VOLUME","."&amp;Q$2&amp;Q$1&amp;"C"&amp;$A32)*RTD("tos.rtd",,"GAMMA","."&amp;Q$2&amp;Q$1&amp;"C"&amp;$A32)-$A$4*$A$4*RTD("tos.rtd",,"VOLUME","."&amp;Q$2&amp;Q$1&amp;"P"&amp;$A32)*RTD("tos.rtd",,"GAMMA","."&amp;Q$2&amp;Q$1&amp;"P"&amp;$A32))/1000000),0),IF($A$2="GEX",IFERROR(IF($X$1="ABS",($A$4*$A$4*RTD("tos.rtd",,"OPEN_INT","."&amp;Q$2&amp;Q$1&amp;"C"&amp;$A32)*RTD("tos.rtd",,"GAMMA","."&amp;Q$2&amp;Q$1&amp;"C"&amp;$A32)+$A$4*$A$4*RTD("tos.rtd",,"OPEN_INT","."&amp;Q$2&amp;Q$1&amp;"P"&amp;$A32)*RTD("tos.rtd",,"GAMMA","."&amp;Q$2&amp;Q$1&amp;"P"&amp;$A32))/1000000,($A$4*$A$4*RTD("tos.rtd",,"OPEN_INT","."&amp;Q$2&amp;Q$1&amp;"C"&amp;$A32)*RTD("tos.rtd",,"GAMMA","."&amp;Q$2&amp;Q$1&amp;"C"&amp;$A32)-$A$4*$A$4*RTD("tos.rtd",,"OPEN_INT","."&amp;Q$2&amp;Q$1&amp;"P"&amp;$A32)*RTD("tos.rtd",,"GAMMA","."&amp;Q$2&amp;Q$1&amp;"P"&amp;$A32))/1000000),0),IF($A$2="SKEW",IFERROR(VALUE(IF(RTD("tos.rtd",,"IMPL_VOL","."&amp;Q$2&amp;Q$1&amp;"P"&amp;$A32)="N/A",0,RTD("tos.rtd",,"IMPL_VOL","."&amp;Q$2&amp;Q$1&amp;"P"&amp;$A32))),0)-IFERROR(VALUE(IF(RTD("tos.rtd",,"IMPL_VOL","."&amp;Q$2&amp;Q$1&amp;"C"&amp;$A32)="N/A",0,RTD("tos.rtd",,"IMPL_VOL","."&amp;Q$2&amp;Q$1&amp;"C"&amp;$A32))),0),IF($A$2="MAXPAIN",IF($A$4&gt;$A32,($A$4-$A32)*IF(RTD("tos.rtd",,"OPEN_INT","."&amp;Q$2&amp;Q$1&amp;"C"&amp;$A32)="N/A",0,RTD("tos.rtd",,"OPEN_INT","."&amp;Q$2&amp;Q$1&amp;"C"&amp;$A32)),0)+IF($A$4&lt;$A32,($A$5-$A$4)*IF(RTD("tos.rtd",,"OPEN_INT","."&amp;Q$2&amp;Q$1&amp;"P"&amp;$A32)="N/A",0,RTD("tos.rtd",,"OPEN_INT","."&amp;Q$2&amp;Q$1&amp;"P"&amp;$A32)),0),IF($X$1="ABS",IF(RTD("tos.rtd",,$A$2,"."&amp;Q$2&amp;Q$1&amp;"C"&amp;$A32)="N/A",0,RTD("tos.rtd",,$A$2,"."&amp;Q$2&amp;Q$1&amp;"C"&amp;$A32))+IF(RTD("tos.rtd",,$A$2,"."&amp;Q$2&amp;Q$1&amp;"P"&amp;$A32)="N/A",0,RTD("tos.rtd",,$A$2,"."&amp;Q$2&amp;Q$1&amp;"P"&amp;$A32)),IF(RTD("tos.rtd",,$A$2,"."&amp;Q$2&amp;Q$1&amp;"C"&amp;$A32)="N/A",0,RTD("tos.rtd",,$A$2,"."&amp;Q$2&amp;Q$1&amp;"C"&amp;$A32))-IF(RTD("tos.rtd",,$A$2,"."&amp;Q$2&amp;Q$1&amp;"P"&amp;$A32)="N/A",0,RTD("tos.rtd",,$A$2,"."&amp;Q$2&amp;Q$1&amp;"P"&amp;$A32))))))))))</f>
        <v>0</v>
      </c>
      <c r="R32" s="12">
        <f ca="1">IF($A$2="PREMIUM_OI",IFERROR(IF($X$1="ABS",(100*RTD("tos.rtd",,"OPEN_INT","."&amp;R$2&amp;R$1&amp;"C"&amp;$A32)*RTD("tos.rtd",,"LAST","."&amp;R$2&amp;R$1&amp;"C"&amp;$A32)+100*RTD("tos.rtd",,"OPEN_INT","."&amp;R$2&amp;R$1&amp;"P"&amp;$A32)*RTD("tos.rtd",,"LAST","."&amp;R$2&amp;R$1&amp;"P"&amp;$A32))/1000000,(100*RTD("tos.rtd",,"OPEN_INT","."&amp;R$2&amp;R$1&amp;"C"&amp;$A32)*RTD("tos.rtd",,"LAST","."&amp;R$2&amp;R$1&amp;"C"&amp;$A32)-100*RTD("tos.rtd",,"OPEN_INT","."&amp;R$2&amp;R$1&amp;"P"&amp;$A32)*RTD("tos.rtd",,"LAST","."&amp;R$2&amp;R$1&amp;"P"&amp;$A32))/1000000),0),IF($A$2="PREMIUM",IFERROR(IF($X$1="ABS",(100*RTD("tos.rtd",,"VOLUME","."&amp;R$2&amp;R$1&amp;"C"&amp;$A32)*RTD("tos.rtd",,"LAST","."&amp;R$2&amp;R$1&amp;"C"&amp;$A32)+100*RTD("tos.rtd",,"VOLUME","."&amp;R$2&amp;R$1&amp;"P"&amp;$A32)*RTD("tos.rtd",,"LAST","."&amp;R$2&amp;R$1&amp;"P"&amp;$A32))/1000000,(100*RTD("tos.rtd",,"VOLUME","."&amp;R$2&amp;R$1&amp;"C"&amp;$A32)*RTD("tos.rtd",,"LAST","."&amp;R$2&amp;R$1&amp;"C"&amp;$A32)-100*RTD("tos.rtd",,"VOLUME","."&amp;R$2&amp;R$1&amp;"P"&amp;$A32)*RTD("tos.rtd",,"LAST","."&amp;R$2&amp;R$1&amp;"P"&amp;$A32))/1000000),0),IF($A$2="DEX",IFERROR(IF($X$1="ABS",(100*RTD("tos.rtd",,"OPEN_INT","."&amp;R$2&amp;R$1&amp;"C"&amp;$A32)*RTD("tos.rtd",,"DELTA","."&amp;R$2&amp;R$1&amp;"C"&amp;$A32)+100*RTD("tos.rtd",,"OPEN_INT","."&amp;R$2&amp;R$1&amp;"P"&amp;$A32)*RTD("tos.rtd",,"DELTA","."&amp;R$2&amp;R$1&amp;"P"&amp;$A32))/1000,(100*RTD("tos.rtd",,"OPEN_INT","."&amp;R$2&amp;R$1&amp;"C"&amp;$A32)*RTD("tos.rtd",,"DELTA","."&amp;R$2&amp;R$1&amp;"C"&amp;$A32)-100*RTD("tos.rtd",,"OPEN_INT","."&amp;R$2&amp;R$1&amp;"P"&amp;$A32)*RTD("tos.rtd",,"DELTA","."&amp;R$2&amp;R$1&amp;"P"&amp;$A32))/1000),0),IF($A$2="VEX",IFERROR(IF($X$1="ABS",($A$4*$A$4*RTD("tos.rtd",,"VOLUME","."&amp;R$2&amp;R$1&amp;"C"&amp;$A32)*RTD("tos.rtd",,"GAMMA","."&amp;R$2&amp;R$1&amp;"C"&amp;$A32)+$A$4*$A$4*RTD("tos.rtd",,"VOLUME","."&amp;R$2&amp;R$1&amp;"P"&amp;$A32)*RTD("tos.rtd",,"GAMMA","."&amp;R$2&amp;R$1&amp;"P"&amp;$A32))/1000000,($A$4*$A$4*RTD("tos.rtd",,"VOLUME","."&amp;R$2&amp;R$1&amp;"C"&amp;$A32)*RTD("tos.rtd",,"GAMMA","."&amp;R$2&amp;R$1&amp;"C"&amp;$A32)-$A$4*$A$4*RTD("tos.rtd",,"VOLUME","."&amp;R$2&amp;R$1&amp;"P"&amp;$A32)*RTD("tos.rtd",,"GAMMA","."&amp;R$2&amp;R$1&amp;"P"&amp;$A32))/1000000),0),IF($A$2="GEX",IFERROR(IF($X$1="ABS",($A$4*$A$4*RTD("tos.rtd",,"OPEN_INT","."&amp;R$2&amp;R$1&amp;"C"&amp;$A32)*RTD("tos.rtd",,"GAMMA","."&amp;R$2&amp;R$1&amp;"C"&amp;$A32)+$A$4*$A$4*RTD("tos.rtd",,"OPEN_INT","."&amp;R$2&amp;R$1&amp;"P"&amp;$A32)*RTD("tos.rtd",,"GAMMA","."&amp;R$2&amp;R$1&amp;"P"&amp;$A32))/1000000,($A$4*$A$4*RTD("tos.rtd",,"OPEN_INT","."&amp;R$2&amp;R$1&amp;"C"&amp;$A32)*RTD("tos.rtd",,"GAMMA","."&amp;R$2&amp;R$1&amp;"C"&amp;$A32)-$A$4*$A$4*RTD("tos.rtd",,"OPEN_INT","."&amp;R$2&amp;R$1&amp;"P"&amp;$A32)*RTD("tos.rtd",,"GAMMA","."&amp;R$2&amp;R$1&amp;"P"&amp;$A32))/1000000),0),IF($A$2="SKEW",IFERROR(VALUE(IF(RTD("tos.rtd",,"IMPL_VOL","."&amp;R$2&amp;R$1&amp;"P"&amp;$A32)="N/A",0,RTD("tos.rtd",,"IMPL_VOL","."&amp;R$2&amp;R$1&amp;"P"&amp;$A32))),0)-IFERROR(VALUE(IF(RTD("tos.rtd",,"IMPL_VOL","."&amp;R$2&amp;R$1&amp;"C"&amp;$A32)="N/A",0,RTD("tos.rtd",,"IMPL_VOL","."&amp;R$2&amp;R$1&amp;"C"&amp;$A32))),0),IF($A$2="MAXPAIN",IF($A$4&gt;$A32,($A$4-$A32)*IF(RTD("tos.rtd",,"OPEN_INT","."&amp;R$2&amp;R$1&amp;"C"&amp;$A32)="N/A",0,RTD("tos.rtd",,"OPEN_INT","."&amp;R$2&amp;R$1&amp;"C"&amp;$A32)),0)+IF($A$4&lt;$A32,($A$5-$A$4)*IF(RTD("tos.rtd",,"OPEN_INT","."&amp;R$2&amp;R$1&amp;"P"&amp;$A32)="N/A",0,RTD("tos.rtd",,"OPEN_INT","."&amp;R$2&amp;R$1&amp;"P"&amp;$A32)),0),IF($X$1="ABS",IF(RTD("tos.rtd",,$A$2,"."&amp;R$2&amp;R$1&amp;"C"&amp;$A32)="N/A",0,RTD("tos.rtd",,$A$2,"."&amp;R$2&amp;R$1&amp;"C"&amp;$A32))+IF(RTD("tos.rtd",,$A$2,"."&amp;R$2&amp;R$1&amp;"P"&amp;$A32)="N/A",0,RTD("tos.rtd",,$A$2,"."&amp;R$2&amp;R$1&amp;"P"&amp;$A32)),IF(RTD("tos.rtd",,$A$2,"."&amp;R$2&amp;R$1&amp;"C"&amp;$A32)="N/A",0,RTD("tos.rtd",,$A$2,"."&amp;R$2&amp;R$1&amp;"C"&amp;$A32))-IF(RTD("tos.rtd",,$A$2,"."&amp;R$2&amp;R$1&amp;"P"&amp;$A32)="N/A",0,RTD("tos.rtd",,$A$2,"."&amp;R$2&amp;R$1&amp;"P"&amp;$A32))))))))))</f>
        <v>0</v>
      </c>
      <c r="S32" s="12">
        <f ca="1">IF($A$2="PREMIUM_OI",IFERROR(IF($X$1="ABS",(100*RTD("tos.rtd",,"OPEN_INT","."&amp;S$2&amp;S$1&amp;"C"&amp;$A32)*RTD("tos.rtd",,"LAST","."&amp;S$2&amp;S$1&amp;"C"&amp;$A32)+100*RTD("tos.rtd",,"OPEN_INT","."&amp;S$2&amp;S$1&amp;"P"&amp;$A32)*RTD("tos.rtd",,"LAST","."&amp;S$2&amp;S$1&amp;"P"&amp;$A32))/1000000,(100*RTD("tos.rtd",,"OPEN_INT","."&amp;S$2&amp;S$1&amp;"C"&amp;$A32)*RTD("tos.rtd",,"LAST","."&amp;S$2&amp;S$1&amp;"C"&amp;$A32)-100*RTD("tos.rtd",,"OPEN_INT","."&amp;S$2&amp;S$1&amp;"P"&amp;$A32)*RTD("tos.rtd",,"LAST","."&amp;S$2&amp;S$1&amp;"P"&amp;$A32))/1000000),0),IF($A$2="PREMIUM",IFERROR(IF($X$1="ABS",(100*RTD("tos.rtd",,"VOLUME","."&amp;S$2&amp;S$1&amp;"C"&amp;$A32)*RTD("tos.rtd",,"LAST","."&amp;S$2&amp;S$1&amp;"C"&amp;$A32)+100*RTD("tos.rtd",,"VOLUME","."&amp;S$2&amp;S$1&amp;"P"&amp;$A32)*RTD("tos.rtd",,"LAST","."&amp;S$2&amp;S$1&amp;"P"&amp;$A32))/1000000,(100*RTD("tos.rtd",,"VOLUME","."&amp;S$2&amp;S$1&amp;"C"&amp;$A32)*RTD("tos.rtd",,"LAST","."&amp;S$2&amp;S$1&amp;"C"&amp;$A32)-100*RTD("tos.rtd",,"VOLUME","."&amp;S$2&amp;S$1&amp;"P"&amp;$A32)*RTD("tos.rtd",,"LAST","."&amp;S$2&amp;S$1&amp;"P"&amp;$A32))/1000000),0),IF($A$2="DEX",IFERROR(IF($X$1="ABS",(100*RTD("tos.rtd",,"OPEN_INT","."&amp;S$2&amp;S$1&amp;"C"&amp;$A32)*RTD("tos.rtd",,"DELTA","."&amp;S$2&amp;S$1&amp;"C"&amp;$A32)+100*RTD("tos.rtd",,"OPEN_INT","."&amp;S$2&amp;S$1&amp;"P"&amp;$A32)*RTD("tos.rtd",,"DELTA","."&amp;S$2&amp;S$1&amp;"P"&amp;$A32))/1000,(100*RTD("tos.rtd",,"OPEN_INT","."&amp;S$2&amp;S$1&amp;"C"&amp;$A32)*RTD("tos.rtd",,"DELTA","."&amp;S$2&amp;S$1&amp;"C"&amp;$A32)-100*RTD("tos.rtd",,"OPEN_INT","."&amp;S$2&amp;S$1&amp;"P"&amp;$A32)*RTD("tos.rtd",,"DELTA","."&amp;S$2&amp;S$1&amp;"P"&amp;$A32))/1000),0),IF($A$2="VEX",IFERROR(IF($X$1="ABS",($A$4*$A$4*RTD("tos.rtd",,"VOLUME","."&amp;S$2&amp;S$1&amp;"C"&amp;$A32)*RTD("tos.rtd",,"GAMMA","."&amp;S$2&amp;S$1&amp;"C"&amp;$A32)+$A$4*$A$4*RTD("tos.rtd",,"VOLUME","."&amp;S$2&amp;S$1&amp;"P"&amp;$A32)*RTD("tos.rtd",,"GAMMA","."&amp;S$2&amp;S$1&amp;"P"&amp;$A32))/1000000,($A$4*$A$4*RTD("tos.rtd",,"VOLUME","."&amp;S$2&amp;S$1&amp;"C"&amp;$A32)*RTD("tos.rtd",,"GAMMA","."&amp;S$2&amp;S$1&amp;"C"&amp;$A32)-$A$4*$A$4*RTD("tos.rtd",,"VOLUME","."&amp;S$2&amp;S$1&amp;"P"&amp;$A32)*RTD("tos.rtd",,"GAMMA","."&amp;S$2&amp;S$1&amp;"P"&amp;$A32))/1000000),0),IF($A$2="GEX",IFERROR(IF($X$1="ABS",($A$4*$A$4*RTD("tos.rtd",,"OPEN_INT","."&amp;S$2&amp;S$1&amp;"C"&amp;$A32)*RTD("tos.rtd",,"GAMMA","."&amp;S$2&amp;S$1&amp;"C"&amp;$A32)+$A$4*$A$4*RTD("tos.rtd",,"OPEN_INT","."&amp;S$2&amp;S$1&amp;"P"&amp;$A32)*RTD("tos.rtd",,"GAMMA","."&amp;S$2&amp;S$1&amp;"P"&amp;$A32))/1000000,($A$4*$A$4*RTD("tos.rtd",,"OPEN_INT","."&amp;S$2&amp;S$1&amp;"C"&amp;$A32)*RTD("tos.rtd",,"GAMMA","."&amp;S$2&amp;S$1&amp;"C"&amp;$A32)-$A$4*$A$4*RTD("tos.rtd",,"OPEN_INT","."&amp;S$2&amp;S$1&amp;"P"&amp;$A32)*RTD("tos.rtd",,"GAMMA","."&amp;S$2&amp;S$1&amp;"P"&amp;$A32))/1000000),0),IF($A$2="SKEW",IFERROR(VALUE(IF(RTD("tos.rtd",,"IMPL_VOL","."&amp;S$2&amp;S$1&amp;"P"&amp;$A32)="N/A",0,RTD("tos.rtd",,"IMPL_VOL","."&amp;S$2&amp;S$1&amp;"P"&amp;$A32))),0)-IFERROR(VALUE(IF(RTD("tos.rtd",,"IMPL_VOL","."&amp;S$2&amp;S$1&amp;"C"&amp;$A32)="N/A",0,RTD("tos.rtd",,"IMPL_VOL","."&amp;S$2&amp;S$1&amp;"C"&amp;$A32))),0),IF($A$2="MAXPAIN",IF($A$4&gt;$A32,($A$4-$A32)*IF(RTD("tos.rtd",,"OPEN_INT","."&amp;S$2&amp;S$1&amp;"C"&amp;$A32)="N/A",0,RTD("tos.rtd",,"OPEN_INT","."&amp;S$2&amp;S$1&amp;"C"&amp;$A32)),0)+IF($A$4&lt;$A32,($A$5-$A$4)*IF(RTD("tos.rtd",,"OPEN_INT","."&amp;S$2&amp;S$1&amp;"P"&amp;$A32)="N/A",0,RTD("tos.rtd",,"OPEN_INT","."&amp;S$2&amp;S$1&amp;"P"&amp;$A32)),0),IF($X$1="ABS",IF(RTD("tos.rtd",,$A$2,"."&amp;S$2&amp;S$1&amp;"C"&amp;$A32)="N/A",0,RTD("tos.rtd",,$A$2,"."&amp;S$2&amp;S$1&amp;"C"&amp;$A32))+IF(RTD("tos.rtd",,$A$2,"."&amp;S$2&amp;S$1&amp;"P"&amp;$A32)="N/A",0,RTD("tos.rtd",,$A$2,"."&amp;S$2&amp;S$1&amp;"P"&amp;$A32)),IF(RTD("tos.rtd",,$A$2,"."&amp;S$2&amp;S$1&amp;"C"&amp;$A32)="N/A",0,RTD("tos.rtd",,$A$2,"."&amp;S$2&amp;S$1&amp;"C"&amp;$A32))-IF(RTD("tos.rtd",,$A$2,"."&amp;S$2&amp;S$1&amp;"P"&amp;$A32)="N/A",0,RTD("tos.rtd",,$A$2,"."&amp;S$2&amp;S$1&amp;"P"&amp;$A32))))))))))</f>
        <v>0</v>
      </c>
      <c r="T32" s="12">
        <f ca="1">IF($A$2="PREMIUM_OI",IFERROR(IF($X$1="ABS",(100*RTD("tos.rtd",,"OPEN_INT","."&amp;T$2&amp;T$1&amp;"C"&amp;$A32)*RTD("tos.rtd",,"LAST","."&amp;T$2&amp;T$1&amp;"C"&amp;$A32)+100*RTD("tos.rtd",,"OPEN_INT","."&amp;T$2&amp;T$1&amp;"P"&amp;$A32)*RTD("tos.rtd",,"LAST","."&amp;T$2&amp;T$1&amp;"P"&amp;$A32))/1000000,(100*RTD("tos.rtd",,"OPEN_INT","."&amp;T$2&amp;T$1&amp;"C"&amp;$A32)*RTD("tos.rtd",,"LAST","."&amp;T$2&amp;T$1&amp;"C"&amp;$A32)-100*RTD("tos.rtd",,"OPEN_INT","."&amp;T$2&amp;T$1&amp;"P"&amp;$A32)*RTD("tos.rtd",,"LAST","."&amp;T$2&amp;T$1&amp;"P"&amp;$A32))/1000000),0),IF($A$2="PREMIUM",IFERROR(IF($X$1="ABS",(100*RTD("tos.rtd",,"VOLUME","."&amp;T$2&amp;T$1&amp;"C"&amp;$A32)*RTD("tos.rtd",,"LAST","."&amp;T$2&amp;T$1&amp;"C"&amp;$A32)+100*RTD("tos.rtd",,"VOLUME","."&amp;T$2&amp;T$1&amp;"P"&amp;$A32)*RTD("tos.rtd",,"LAST","."&amp;T$2&amp;T$1&amp;"P"&amp;$A32))/1000000,(100*RTD("tos.rtd",,"VOLUME","."&amp;T$2&amp;T$1&amp;"C"&amp;$A32)*RTD("tos.rtd",,"LAST","."&amp;T$2&amp;T$1&amp;"C"&amp;$A32)-100*RTD("tos.rtd",,"VOLUME","."&amp;T$2&amp;T$1&amp;"P"&amp;$A32)*RTD("tos.rtd",,"LAST","."&amp;T$2&amp;T$1&amp;"P"&amp;$A32))/1000000),0),IF($A$2="DEX",IFERROR(IF($X$1="ABS",(100*RTD("tos.rtd",,"OPEN_INT","."&amp;T$2&amp;T$1&amp;"C"&amp;$A32)*RTD("tos.rtd",,"DELTA","."&amp;T$2&amp;T$1&amp;"C"&amp;$A32)+100*RTD("tos.rtd",,"OPEN_INT","."&amp;T$2&amp;T$1&amp;"P"&amp;$A32)*RTD("tos.rtd",,"DELTA","."&amp;T$2&amp;T$1&amp;"P"&amp;$A32))/1000,(100*RTD("tos.rtd",,"OPEN_INT","."&amp;T$2&amp;T$1&amp;"C"&amp;$A32)*RTD("tos.rtd",,"DELTA","."&amp;T$2&amp;T$1&amp;"C"&amp;$A32)-100*RTD("tos.rtd",,"OPEN_INT","."&amp;T$2&amp;T$1&amp;"P"&amp;$A32)*RTD("tos.rtd",,"DELTA","."&amp;T$2&amp;T$1&amp;"P"&amp;$A32))/1000),0),IF($A$2="VEX",IFERROR(IF($X$1="ABS",($A$4*$A$4*RTD("tos.rtd",,"VOLUME","."&amp;T$2&amp;T$1&amp;"C"&amp;$A32)*RTD("tos.rtd",,"GAMMA","."&amp;T$2&amp;T$1&amp;"C"&amp;$A32)+$A$4*$A$4*RTD("tos.rtd",,"VOLUME","."&amp;T$2&amp;T$1&amp;"P"&amp;$A32)*RTD("tos.rtd",,"GAMMA","."&amp;T$2&amp;T$1&amp;"P"&amp;$A32))/1000000,($A$4*$A$4*RTD("tos.rtd",,"VOLUME","."&amp;T$2&amp;T$1&amp;"C"&amp;$A32)*RTD("tos.rtd",,"GAMMA","."&amp;T$2&amp;T$1&amp;"C"&amp;$A32)-$A$4*$A$4*RTD("tos.rtd",,"VOLUME","."&amp;T$2&amp;T$1&amp;"P"&amp;$A32)*RTD("tos.rtd",,"GAMMA","."&amp;T$2&amp;T$1&amp;"P"&amp;$A32))/1000000),0),IF($A$2="GEX",IFERROR(IF($X$1="ABS",($A$4*$A$4*RTD("tos.rtd",,"OPEN_INT","."&amp;T$2&amp;T$1&amp;"C"&amp;$A32)*RTD("tos.rtd",,"GAMMA","."&amp;T$2&amp;T$1&amp;"C"&amp;$A32)+$A$4*$A$4*RTD("tos.rtd",,"OPEN_INT","."&amp;T$2&amp;T$1&amp;"P"&amp;$A32)*RTD("tos.rtd",,"GAMMA","."&amp;T$2&amp;T$1&amp;"P"&amp;$A32))/1000000,($A$4*$A$4*RTD("tos.rtd",,"OPEN_INT","."&amp;T$2&amp;T$1&amp;"C"&amp;$A32)*RTD("tos.rtd",,"GAMMA","."&amp;T$2&amp;T$1&amp;"C"&amp;$A32)-$A$4*$A$4*RTD("tos.rtd",,"OPEN_INT","."&amp;T$2&amp;T$1&amp;"P"&amp;$A32)*RTD("tos.rtd",,"GAMMA","."&amp;T$2&amp;T$1&amp;"P"&amp;$A32))/1000000),0),IF($A$2="SKEW",IFERROR(VALUE(IF(RTD("tos.rtd",,"IMPL_VOL","."&amp;T$2&amp;T$1&amp;"P"&amp;$A32)="N/A",0,RTD("tos.rtd",,"IMPL_VOL","."&amp;T$2&amp;T$1&amp;"P"&amp;$A32))),0)-IFERROR(VALUE(IF(RTD("tos.rtd",,"IMPL_VOL","."&amp;T$2&amp;T$1&amp;"C"&amp;$A32)="N/A",0,RTD("tos.rtd",,"IMPL_VOL","."&amp;T$2&amp;T$1&amp;"C"&amp;$A32))),0),IF($A$2="MAXPAIN",IF($A$4&gt;$A32,($A$4-$A32)*IF(RTD("tos.rtd",,"OPEN_INT","."&amp;T$2&amp;T$1&amp;"C"&amp;$A32)="N/A",0,RTD("tos.rtd",,"OPEN_INT","."&amp;T$2&amp;T$1&amp;"C"&amp;$A32)),0)+IF($A$4&lt;$A32,($A$5-$A$4)*IF(RTD("tos.rtd",,"OPEN_INT","."&amp;T$2&amp;T$1&amp;"P"&amp;$A32)="N/A",0,RTD("tos.rtd",,"OPEN_INT","."&amp;T$2&amp;T$1&amp;"P"&amp;$A32)),0),IF($X$1="ABS",IF(RTD("tos.rtd",,$A$2,"."&amp;T$2&amp;T$1&amp;"C"&amp;$A32)="N/A",0,RTD("tos.rtd",,$A$2,"."&amp;T$2&amp;T$1&amp;"C"&amp;$A32))+IF(RTD("tos.rtd",,$A$2,"."&amp;T$2&amp;T$1&amp;"P"&amp;$A32)="N/A",0,RTD("tos.rtd",,$A$2,"."&amp;T$2&amp;T$1&amp;"P"&amp;$A32)),IF(RTD("tos.rtd",,$A$2,"."&amp;T$2&amp;T$1&amp;"C"&amp;$A32)="N/A",0,RTD("tos.rtd",,$A$2,"."&amp;T$2&amp;T$1&amp;"C"&amp;$A32))-IF(RTD("tos.rtd",,$A$2,"."&amp;T$2&amp;T$1&amp;"P"&amp;$A32)="N/A",0,RTD("tos.rtd",,$A$2,"."&amp;T$2&amp;T$1&amp;"P"&amp;$A32))))))))))</f>
        <v>0</v>
      </c>
      <c r="U32" s="12">
        <f ca="1">IF($A$2="PREMIUM_OI",IFERROR(IF($X$1="ABS",(100*RTD("tos.rtd",,"OPEN_INT","."&amp;U$2&amp;U$1&amp;"C"&amp;$A32)*RTD("tos.rtd",,"LAST","."&amp;U$2&amp;U$1&amp;"C"&amp;$A32)+100*RTD("tos.rtd",,"OPEN_INT","."&amp;U$2&amp;U$1&amp;"P"&amp;$A32)*RTD("tos.rtd",,"LAST","."&amp;U$2&amp;U$1&amp;"P"&amp;$A32))/1000000,(100*RTD("tos.rtd",,"OPEN_INT","."&amp;U$2&amp;U$1&amp;"C"&amp;$A32)*RTD("tos.rtd",,"LAST","."&amp;U$2&amp;U$1&amp;"C"&amp;$A32)-100*RTD("tos.rtd",,"OPEN_INT","."&amp;U$2&amp;U$1&amp;"P"&amp;$A32)*RTD("tos.rtd",,"LAST","."&amp;U$2&amp;U$1&amp;"P"&amp;$A32))/1000000),0),IF($A$2="PREMIUM",IFERROR(IF($X$1="ABS",(100*RTD("tos.rtd",,"VOLUME","."&amp;U$2&amp;U$1&amp;"C"&amp;$A32)*RTD("tos.rtd",,"LAST","."&amp;U$2&amp;U$1&amp;"C"&amp;$A32)+100*RTD("tos.rtd",,"VOLUME","."&amp;U$2&amp;U$1&amp;"P"&amp;$A32)*RTD("tos.rtd",,"LAST","."&amp;U$2&amp;U$1&amp;"P"&amp;$A32))/1000000,(100*RTD("tos.rtd",,"VOLUME","."&amp;U$2&amp;U$1&amp;"C"&amp;$A32)*RTD("tos.rtd",,"LAST","."&amp;U$2&amp;U$1&amp;"C"&amp;$A32)-100*RTD("tos.rtd",,"VOLUME","."&amp;U$2&amp;U$1&amp;"P"&amp;$A32)*RTD("tos.rtd",,"LAST","."&amp;U$2&amp;U$1&amp;"P"&amp;$A32))/1000000),0),IF($A$2="DEX",IFERROR(IF($X$1="ABS",(100*RTD("tos.rtd",,"OPEN_INT","."&amp;U$2&amp;U$1&amp;"C"&amp;$A32)*RTD("tos.rtd",,"DELTA","."&amp;U$2&amp;U$1&amp;"C"&amp;$A32)+100*RTD("tos.rtd",,"OPEN_INT","."&amp;U$2&amp;U$1&amp;"P"&amp;$A32)*RTD("tos.rtd",,"DELTA","."&amp;U$2&amp;U$1&amp;"P"&amp;$A32))/1000,(100*RTD("tos.rtd",,"OPEN_INT","."&amp;U$2&amp;U$1&amp;"C"&amp;$A32)*RTD("tos.rtd",,"DELTA","."&amp;U$2&amp;U$1&amp;"C"&amp;$A32)-100*RTD("tos.rtd",,"OPEN_INT","."&amp;U$2&amp;U$1&amp;"P"&amp;$A32)*RTD("tos.rtd",,"DELTA","."&amp;U$2&amp;U$1&amp;"P"&amp;$A32))/1000),0),IF($A$2="VEX",IFERROR(IF($X$1="ABS",($A$4*$A$4*RTD("tos.rtd",,"VOLUME","."&amp;U$2&amp;U$1&amp;"C"&amp;$A32)*RTD("tos.rtd",,"GAMMA","."&amp;U$2&amp;U$1&amp;"C"&amp;$A32)+$A$4*$A$4*RTD("tos.rtd",,"VOLUME","."&amp;U$2&amp;U$1&amp;"P"&amp;$A32)*RTD("tos.rtd",,"GAMMA","."&amp;U$2&amp;U$1&amp;"P"&amp;$A32))/1000000,($A$4*$A$4*RTD("tos.rtd",,"VOLUME","."&amp;U$2&amp;U$1&amp;"C"&amp;$A32)*RTD("tos.rtd",,"GAMMA","."&amp;U$2&amp;U$1&amp;"C"&amp;$A32)-$A$4*$A$4*RTD("tos.rtd",,"VOLUME","."&amp;U$2&amp;U$1&amp;"P"&amp;$A32)*RTD("tos.rtd",,"GAMMA","."&amp;U$2&amp;U$1&amp;"P"&amp;$A32))/1000000),0),IF($A$2="GEX",IFERROR(IF($X$1="ABS",($A$4*$A$4*RTD("tos.rtd",,"OPEN_INT","."&amp;U$2&amp;U$1&amp;"C"&amp;$A32)*RTD("tos.rtd",,"GAMMA","."&amp;U$2&amp;U$1&amp;"C"&amp;$A32)+$A$4*$A$4*RTD("tos.rtd",,"OPEN_INT","."&amp;U$2&amp;U$1&amp;"P"&amp;$A32)*RTD("tos.rtd",,"GAMMA","."&amp;U$2&amp;U$1&amp;"P"&amp;$A32))/1000000,($A$4*$A$4*RTD("tos.rtd",,"OPEN_INT","."&amp;U$2&amp;U$1&amp;"C"&amp;$A32)*RTD("tos.rtd",,"GAMMA","."&amp;U$2&amp;U$1&amp;"C"&amp;$A32)-$A$4*$A$4*RTD("tos.rtd",,"OPEN_INT","."&amp;U$2&amp;U$1&amp;"P"&amp;$A32)*RTD("tos.rtd",,"GAMMA","."&amp;U$2&amp;U$1&amp;"P"&amp;$A32))/1000000),0),IF($A$2="SKEW",IFERROR(VALUE(IF(RTD("tos.rtd",,"IMPL_VOL","."&amp;U$2&amp;U$1&amp;"P"&amp;$A32)="N/A",0,RTD("tos.rtd",,"IMPL_VOL","."&amp;U$2&amp;U$1&amp;"P"&amp;$A32))),0)-IFERROR(VALUE(IF(RTD("tos.rtd",,"IMPL_VOL","."&amp;U$2&amp;U$1&amp;"C"&amp;$A32)="N/A",0,RTD("tos.rtd",,"IMPL_VOL","."&amp;U$2&amp;U$1&amp;"C"&amp;$A32))),0),IF($A$2="MAXPAIN",IF($A$4&gt;$A32,($A$4-$A32)*IF(RTD("tos.rtd",,"OPEN_INT","."&amp;U$2&amp;U$1&amp;"C"&amp;$A32)="N/A",0,RTD("tos.rtd",,"OPEN_INT","."&amp;U$2&amp;U$1&amp;"C"&amp;$A32)),0)+IF($A$4&lt;$A32,($A$5-$A$4)*IF(RTD("tos.rtd",,"OPEN_INT","."&amp;U$2&amp;U$1&amp;"P"&amp;$A32)="N/A",0,RTD("tos.rtd",,"OPEN_INT","."&amp;U$2&amp;U$1&amp;"P"&amp;$A32)),0),IF($X$1="ABS",IF(RTD("tos.rtd",,$A$2,"."&amp;U$2&amp;U$1&amp;"C"&amp;$A32)="N/A",0,RTD("tos.rtd",,$A$2,"."&amp;U$2&amp;U$1&amp;"C"&amp;$A32))+IF(RTD("tos.rtd",,$A$2,"."&amp;U$2&amp;U$1&amp;"P"&amp;$A32)="N/A",0,RTD("tos.rtd",,$A$2,"."&amp;U$2&amp;U$1&amp;"P"&amp;$A32)),IF(RTD("tos.rtd",,$A$2,"."&amp;U$2&amp;U$1&amp;"C"&amp;$A32)="N/A",0,RTD("tos.rtd",,$A$2,"."&amp;U$2&amp;U$1&amp;"C"&amp;$A32))-IF(RTD("tos.rtd",,$A$2,"."&amp;U$2&amp;U$1&amp;"P"&amp;$A32)="N/A",0,RTD("tos.rtd",,$A$2,"."&amp;U$2&amp;U$1&amp;"P"&amp;$A32))))))))))</f>
        <v>0</v>
      </c>
      <c r="V32" s="12">
        <f ca="1">IF($A$2="PREMIUM_OI",IFERROR(IF($X$1="ABS",(100*RTD("tos.rtd",,"OPEN_INT","."&amp;V$2&amp;V$1&amp;"C"&amp;$A32)*RTD("tos.rtd",,"LAST","."&amp;V$2&amp;V$1&amp;"C"&amp;$A32)+100*RTD("tos.rtd",,"OPEN_INT","."&amp;V$2&amp;V$1&amp;"P"&amp;$A32)*RTD("tos.rtd",,"LAST","."&amp;V$2&amp;V$1&amp;"P"&amp;$A32))/1000000,(100*RTD("tos.rtd",,"OPEN_INT","."&amp;V$2&amp;V$1&amp;"C"&amp;$A32)*RTD("tos.rtd",,"LAST","."&amp;V$2&amp;V$1&amp;"C"&amp;$A32)-100*RTD("tos.rtd",,"OPEN_INT","."&amp;V$2&amp;V$1&amp;"P"&amp;$A32)*RTD("tos.rtd",,"LAST","."&amp;V$2&amp;V$1&amp;"P"&amp;$A32))/1000000),0),IF($A$2="PREMIUM",IFERROR(IF($X$1="ABS",(100*RTD("tos.rtd",,"VOLUME","."&amp;V$2&amp;V$1&amp;"C"&amp;$A32)*RTD("tos.rtd",,"LAST","."&amp;V$2&amp;V$1&amp;"C"&amp;$A32)+100*RTD("tos.rtd",,"VOLUME","."&amp;V$2&amp;V$1&amp;"P"&amp;$A32)*RTD("tos.rtd",,"LAST","."&amp;V$2&amp;V$1&amp;"P"&amp;$A32))/1000000,(100*RTD("tos.rtd",,"VOLUME","."&amp;V$2&amp;V$1&amp;"C"&amp;$A32)*RTD("tos.rtd",,"LAST","."&amp;V$2&amp;V$1&amp;"C"&amp;$A32)-100*RTD("tos.rtd",,"VOLUME","."&amp;V$2&amp;V$1&amp;"P"&amp;$A32)*RTD("tos.rtd",,"LAST","."&amp;V$2&amp;V$1&amp;"P"&amp;$A32))/1000000),0),IF($A$2="DEX",IFERROR(IF($X$1="ABS",(100*RTD("tos.rtd",,"OPEN_INT","."&amp;V$2&amp;V$1&amp;"C"&amp;$A32)*RTD("tos.rtd",,"DELTA","."&amp;V$2&amp;V$1&amp;"C"&amp;$A32)+100*RTD("tos.rtd",,"OPEN_INT","."&amp;V$2&amp;V$1&amp;"P"&amp;$A32)*RTD("tos.rtd",,"DELTA","."&amp;V$2&amp;V$1&amp;"P"&amp;$A32))/1000,(100*RTD("tos.rtd",,"OPEN_INT","."&amp;V$2&amp;V$1&amp;"C"&amp;$A32)*RTD("tos.rtd",,"DELTA","."&amp;V$2&amp;V$1&amp;"C"&amp;$A32)-100*RTD("tos.rtd",,"OPEN_INT","."&amp;V$2&amp;V$1&amp;"P"&amp;$A32)*RTD("tos.rtd",,"DELTA","."&amp;V$2&amp;V$1&amp;"P"&amp;$A32))/1000),0),IF($A$2="VEX",IFERROR(IF($X$1="ABS",($A$4*$A$4*RTD("tos.rtd",,"VOLUME","."&amp;V$2&amp;V$1&amp;"C"&amp;$A32)*RTD("tos.rtd",,"GAMMA","."&amp;V$2&amp;V$1&amp;"C"&amp;$A32)+$A$4*$A$4*RTD("tos.rtd",,"VOLUME","."&amp;V$2&amp;V$1&amp;"P"&amp;$A32)*RTD("tos.rtd",,"GAMMA","."&amp;V$2&amp;V$1&amp;"P"&amp;$A32))/1000000,($A$4*$A$4*RTD("tos.rtd",,"VOLUME","."&amp;V$2&amp;V$1&amp;"C"&amp;$A32)*RTD("tos.rtd",,"GAMMA","."&amp;V$2&amp;V$1&amp;"C"&amp;$A32)-$A$4*$A$4*RTD("tos.rtd",,"VOLUME","."&amp;V$2&amp;V$1&amp;"P"&amp;$A32)*RTD("tos.rtd",,"GAMMA","."&amp;V$2&amp;V$1&amp;"P"&amp;$A32))/1000000),0),IF($A$2="GEX",IFERROR(IF($X$1="ABS",($A$4*$A$4*RTD("tos.rtd",,"OPEN_INT","."&amp;V$2&amp;V$1&amp;"C"&amp;$A32)*RTD("tos.rtd",,"GAMMA","."&amp;V$2&amp;V$1&amp;"C"&amp;$A32)+$A$4*$A$4*RTD("tos.rtd",,"OPEN_INT","."&amp;V$2&amp;V$1&amp;"P"&amp;$A32)*RTD("tos.rtd",,"GAMMA","."&amp;V$2&amp;V$1&amp;"P"&amp;$A32))/1000000,($A$4*$A$4*RTD("tos.rtd",,"OPEN_INT","."&amp;V$2&amp;V$1&amp;"C"&amp;$A32)*RTD("tos.rtd",,"GAMMA","."&amp;V$2&amp;V$1&amp;"C"&amp;$A32)-$A$4*$A$4*RTD("tos.rtd",,"OPEN_INT","."&amp;V$2&amp;V$1&amp;"P"&amp;$A32)*RTD("tos.rtd",,"GAMMA","."&amp;V$2&amp;V$1&amp;"P"&amp;$A32))/1000000),0),IF($A$2="SKEW",IFERROR(VALUE(IF(RTD("tos.rtd",,"IMPL_VOL","."&amp;V$2&amp;V$1&amp;"P"&amp;$A32)="N/A",0,RTD("tos.rtd",,"IMPL_VOL","."&amp;V$2&amp;V$1&amp;"P"&amp;$A32))),0)-IFERROR(VALUE(IF(RTD("tos.rtd",,"IMPL_VOL","."&amp;V$2&amp;V$1&amp;"C"&amp;$A32)="N/A",0,RTD("tos.rtd",,"IMPL_VOL","."&amp;V$2&amp;V$1&amp;"C"&amp;$A32))),0),IF($A$2="MAXPAIN",IF($A$4&gt;$A32,($A$4-$A32)*IF(RTD("tos.rtd",,"OPEN_INT","."&amp;V$2&amp;V$1&amp;"C"&amp;$A32)="N/A",0,RTD("tos.rtd",,"OPEN_INT","."&amp;V$2&amp;V$1&amp;"C"&amp;$A32)),0)+IF($A$4&lt;$A32,($A$5-$A$4)*IF(RTD("tos.rtd",,"OPEN_INT","."&amp;V$2&amp;V$1&amp;"P"&amp;$A32)="N/A",0,RTD("tos.rtd",,"OPEN_INT","."&amp;V$2&amp;V$1&amp;"P"&amp;$A32)),0),IF($X$1="ABS",IF(RTD("tos.rtd",,$A$2,"."&amp;V$2&amp;V$1&amp;"C"&amp;$A32)="N/A",0,RTD("tos.rtd",,$A$2,"."&amp;V$2&amp;V$1&amp;"C"&amp;$A32))+IF(RTD("tos.rtd",,$A$2,"."&amp;V$2&amp;V$1&amp;"P"&amp;$A32)="N/A",0,RTD("tos.rtd",,$A$2,"."&amp;V$2&amp;V$1&amp;"P"&amp;$A32)),IF(RTD("tos.rtd",,$A$2,"."&amp;V$2&amp;V$1&amp;"C"&amp;$A32)="N/A",0,RTD("tos.rtd",,$A$2,"."&amp;V$2&amp;V$1&amp;"C"&amp;$A32))-IF(RTD("tos.rtd",,$A$2,"."&amp;V$2&amp;V$1&amp;"P"&amp;$A32)="N/A",0,RTD("tos.rtd",,$A$2,"."&amp;V$2&amp;V$1&amp;"P"&amp;$A32))))))))))</f>
        <v>0</v>
      </c>
      <c r="W32" s="12">
        <f ca="1">IF($A$2="PREMIUM_OI",IFERROR(IF($X$1="ABS",(100*RTD("tos.rtd",,"OPEN_INT","."&amp;W$2&amp;W$1&amp;"C"&amp;$A32)*RTD("tos.rtd",,"LAST","."&amp;W$2&amp;W$1&amp;"C"&amp;$A32)+100*RTD("tos.rtd",,"OPEN_INT","."&amp;W$2&amp;W$1&amp;"P"&amp;$A32)*RTD("tos.rtd",,"LAST","."&amp;W$2&amp;W$1&amp;"P"&amp;$A32))/1000000,(100*RTD("tos.rtd",,"OPEN_INT","."&amp;W$2&amp;W$1&amp;"C"&amp;$A32)*RTD("tos.rtd",,"LAST","."&amp;W$2&amp;W$1&amp;"C"&amp;$A32)-100*RTD("tos.rtd",,"OPEN_INT","."&amp;W$2&amp;W$1&amp;"P"&amp;$A32)*RTD("tos.rtd",,"LAST","."&amp;W$2&amp;W$1&amp;"P"&amp;$A32))/1000000),0),IF($A$2="PREMIUM",IFERROR(IF($X$1="ABS",(100*RTD("tos.rtd",,"VOLUME","."&amp;W$2&amp;W$1&amp;"C"&amp;$A32)*RTD("tos.rtd",,"LAST","."&amp;W$2&amp;W$1&amp;"C"&amp;$A32)+100*RTD("tos.rtd",,"VOLUME","."&amp;W$2&amp;W$1&amp;"P"&amp;$A32)*RTD("tos.rtd",,"LAST","."&amp;W$2&amp;W$1&amp;"P"&amp;$A32))/1000000,(100*RTD("tos.rtd",,"VOLUME","."&amp;W$2&amp;W$1&amp;"C"&amp;$A32)*RTD("tos.rtd",,"LAST","."&amp;W$2&amp;W$1&amp;"C"&amp;$A32)-100*RTD("tos.rtd",,"VOLUME","."&amp;W$2&amp;W$1&amp;"P"&amp;$A32)*RTD("tos.rtd",,"LAST","."&amp;W$2&amp;W$1&amp;"P"&amp;$A32))/1000000),0),IF($A$2="DEX",IFERROR(IF($X$1="ABS",(100*RTD("tos.rtd",,"OPEN_INT","."&amp;W$2&amp;W$1&amp;"C"&amp;$A32)*RTD("tos.rtd",,"DELTA","."&amp;W$2&amp;W$1&amp;"C"&amp;$A32)+100*RTD("tos.rtd",,"OPEN_INT","."&amp;W$2&amp;W$1&amp;"P"&amp;$A32)*RTD("tos.rtd",,"DELTA","."&amp;W$2&amp;W$1&amp;"P"&amp;$A32))/1000,(100*RTD("tos.rtd",,"OPEN_INT","."&amp;W$2&amp;W$1&amp;"C"&amp;$A32)*RTD("tos.rtd",,"DELTA","."&amp;W$2&amp;W$1&amp;"C"&amp;$A32)-100*RTD("tos.rtd",,"OPEN_INT","."&amp;W$2&amp;W$1&amp;"P"&amp;$A32)*RTD("tos.rtd",,"DELTA","."&amp;W$2&amp;W$1&amp;"P"&amp;$A32))/1000),0),IF($A$2="VEX",IFERROR(IF($X$1="ABS",($A$4*$A$4*RTD("tos.rtd",,"VOLUME","."&amp;W$2&amp;W$1&amp;"C"&amp;$A32)*RTD("tos.rtd",,"GAMMA","."&amp;W$2&amp;W$1&amp;"C"&amp;$A32)+$A$4*$A$4*RTD("tos.rtd",,"VOLUME","."&amp;W$2&amp;W$1&amp;"P"&amp;$A32)*RTD("tos.rtd",,"GAMMA","."&amp;W$2&amp;W$1&amp;"P"&amp;$A32))/1000000,($A$4*$A$4*RTD("tos.rtd",,"VOLUME","."&amp;W$2&amp;W$1&amp;"C"&amp;$A32)*RTD("tos.rtd",,"GAMMA","."&amp;W$2&amp;W$1&amp;"C"&amp;$A32)-$A$4*$A$4*RTD("tos.rtd",,"VOLUME","."&amp;W$2&amp;W$1&amp;"P"&amp;$A32)*RTD("tos.rtd",,"GAMMA","."&amp;W$2&amp;W$1&amp;"P"&amp;$A32))/1000000),0),IF($A$2="GEX",IFERROR(IF($X$1="ABS",($A$4*$A$4*RTD("tos.rtd",,"OPEN_INT","."&amp;W$2&amp;W$1&amp;"C"&amp;$A32)*RTD("tos.rtd",,"GAMMA","."&amp;W$2&amp;W$1&amp;"C"&amp;$A32)+$A$4*$A$4*RTD("tos.rtd",,"OPEN_INT","."&amp;W$2&amp;W$1&amp;"P"&amp;$A32)*RTD("tos.rtd",,"GAMMA","."&amp;W$2&amp;W$1&amp;"P"&amp;$A32))/1000000,($A$4*$A$4*RTD("tos.rtd",,"OPEN_INT","."&amp;W$2&amp;W$1&amp;"C"&amp;$A32)*RTD("tos.rtd",,"GAMMA","."&amp;W$2&amp;W$1&amp;"C"&amp;$A32)-$A$4*$A$4*RTD("tos.rtd",,"OPEN_INT","."&amp;W$2&amp;W$1&amp;"P"&amp;$A32)*RTD("tos.rtd",,"GAMMA","."&amp;W$2&amp;W$1&amp;"P"&amp;$A32))/1000000),0),IF($A$2="SKEW",IFERROR(VALUE(IF(RTD("tos.rtd",,"IMPL_VOL","."&amp;W$2&amp;W$1&amp;"P"&amp;$A32)="N/A",0,RTD("tos.rtd",,"IMPL_VOL","."&amp;W$2&amp;W$1&amp;"P"&amp;$A32))),0)-IFERROR(VALUE(IF(RTD("tos.rtd",,"IMPL_VOL","."&amp;W$2&amp;W$1&amp;"C"&amp;$A32)="N/A",0,RTD("tos.rtd",,"IMPL_VOL","."&amp;W$2&amp;W$1&amp;"C"&amp;$A32))),0),IF($A$2="MAXPAIN",IF($A$4&gt;$A32,($A$4-$A32)*IF(RTD("tos.rtd",,"OPEN_INT","."&amp;W$2&amp;W$1&amp;"C"&amp;$A32)="N/A",0,RTD("tos.rtd",,"OPEN_INT","."&amp;W$2&amp;W$1&amp;"C"&amp;$A32)),0)+IF($A$4&lt;$A32,($A$5-$A$4)*IF(RTD("tos.rtd",,"OPEN_INT","."&amp;W$2&amp;W$1&amp;"P"&amp;$A32)="N/A",0,RTD("tos.rtd",,"OPEN_INT","."&amp;W$2&amp;W$1&amp;"P"&amp;$A32)),0),IF($X$1="ABS",IF(RTD("tos.rtd",,$A$2,"."&amp;W$2&amp;W$1&amp;"C"&amp;$A32)="N/A",0,RTD("tos.rtd",,$A$2,"."&amp;W$2&amp;W$1&amp;"C"&amp;$A32))+IF(RTD("tos.rtd",,$A$2,"."&amp;W$2&amp;W$1&amp;"P"&amp;$A32)="N/A",0,RTD("tos.rtd",,$A$2,"."&amp;W$2&amp;W$1&amp;"P"&amp;$A32)),IF(RTD("tos.rtd",,$A$2,"."&amp;W$2&amp;W$1&amp;"C"&amp;$A32)="N/A",0,RTD("tos.rtd",,$A$2,"."&amp;W$2&amp;W$1&amp;"C"&amp;$A32))-IF(RTD("tos.rtd",,$A$2,"."&amp;W$2&amp;W$1&amp;"P"&amp;$A32)="N/A",0,RTD("tos.rtd",,$A$2,"."&amp;W$2&amp;W$1&amp;"P"&amp;$A32))))))))))</f>
        <v>0</v>
      </c>
      <c r="X32" s="57">
        <f t="shared" ca="1" si="7"/>
        <v>117464</v>
      </c>
      <c r="Y32" s="27">
        <f t="shared" ca="1" si="8"/>
        <v>117464</v>
      </c>
      <c r="Z32" s="27">
        <f t="shared" ca="1" si="9"/>
        <v>59443.666666666664</v>
      </c>
      <c r="AA32" s="27">
        <f t="shared" si="10"/>
        <v>7245400</v>
      </c>
      <c r="AB32" s="18">
        <f>MAX(0, $A32-AB$4)*IF(RTD("tos.rtd",,"OPEN_INT","."&amp;$AA$3&amp;$AA$4&amp;"C"&amp;AB$4)="N/A",0,RTD("tos.rtd",,"OPEN_INT","."&amp;$AA$3&amp;$AA$4&amp;"C"&amp;AB$4))*100 + MAX(0, AB$4-$A32)*IF(RTD("tos.rtd",,"OPEN_INT","."&amp;$AA$3&amp;$AA$4&amp;"P"&amp;AB$4)="N/A",0,RTD("tos.rtd",,"OPEN_INT","."&amp;$AA$3&amp;$AA$4&amp;"P"&amp;AB$4))*100</f>
        <v>0</v>
      </c>
      <c r="AC32" s="18">
        <f>MAX(0, $A32-AC$4)*IF(RTD("tos.rtd",,"OPEN_INT","."&amp;$AA$3&amp;$AA$4&amp;"C"&amp;AC$4)="N/A",0,RTD("tos.rtd",,"OPEN_INT","."&amp;$AA$3&amp;$AA$4&amp;"C"&amp;AC$4))*100 + MAX(0, AC$4-$A32)*IF(RTD("tos.rtd",,"OPEN_INT","."&amp;$AA$3&amp;$AA$4&amp;"P"&amp;AC$4)="N/A",0,RTD("tos.rtd",,"OPEN_INT","."&amp;$AA$3&amp;$AA$4&amp;"P"&amp;AC$4))*100</f>
        <v>0</v>
      </c>
      <c r="AD32" s="18">
        <f>MAX(0, $A32-AD$4)*IF(RTD("tos.rtd",,"OPEN_INT","."&amp;$AA$3&amp;$AA$4&amp;"C"&amp;AD$4)="N/A",0,RTD("tos.rtd",,"OPEN_INT","."&amp;$AA$3&amp;$AA$4&amp;"C"&amp;AD$4))*100 + MAX(0, AD$4-$A32)*IF(RTD("tos.rtd",,"OPEN_INT","."&amp;$AA$3&amp;$AA$4&amp;"P"&amp;AD$4)="N/A",0,RTD("tos.rtd",,"OPEN_INT","."&amp;$AA$3&amp;$AA$4&amp;"P"&amp;AD$4))*100</f>
        <v>0</v>
      </c>
      <c r="AE32" s="18">
        <f>MAX(0, $A32-AE$4)*IF(RTD("tos.rtd",,"OPEN_INT","."&amp;$AA$3&amp;$AA$4&amp;"C"&amp;AE$4)="N/A",0,RTD("tos.rtd",,"OPEN_INT","."&amp;$AA$3&amp;$AA$4&amp;"C"&amp;AE$4))*100 + MAX(0, AE$4-$A32)*IF(RTD("tos.rtd",,"OPEN_INT","."&amp;$AA$3&amp;$AA$4&amp;"P"&amp;AE$4)="N/A",0,RTD("tos.rtd",,"OPEN_INT","."&amp;$AA$3&amp;$AA$4&amp;"P"&amp;AE$4))*100</f>
        <v>0</v>
      </c>
      <c r="AF32" s="18">
        <f>MAX(0, $A32-AF$4)*IF(RTD("tos.rtd",,"OPEN_INT","."&amp;$AA$3&amp;$AA$4&amp;"C"&amp;AF$4)="N/A",0,RTD("tos.rtd",,"OPEN_INT","."&amp;$AA$3&amp;$AA$4&amp;"C"&amp;AF$4))*100 + MAX(0, AF$4-$A32)*IF(RTD("tos.rtd",,"OPEN_INT","."&amp;$AA$3&amp;$AA$4&amp;"P"&amp;AF$4)="N/A",0,RTD("tos.rtd",,"OPEN_INT","."&amp;$AA$3&amp;$AA$4&amp;"P"&amp;AF$4))*100</f>
        <v>0</v>
      </c>
      <c r="AG32" s="18">
        <f>MAX(0, $A32-AG$4)*IF(RTD("tos.rtd",,"OPEN_INT","."&amp;$AA$3&amp;$AA$4&amp;"C"&amp;AG$4)="N/A",0,RTD("tos.rtd",,"OPEN_INT","."&amp;$AA$3&amp;$AA$4&amp;"C"&amp;AG$4))*100 + MAX(0, AG$4-$A32)*IF(RTD("tos.rtd",,"OPEN_INT","."&amp;$AA$3&amp;$AA$4&amp;"P"&amp;AG$4)="N/A",0,RTD("tos.rtd",,"OPEN_INT","."&amp;$AA$3&amp;$AA$4&amp;"P"&amp;AG$4))*100</f>
        <v>0</v>
      </c>
      <c r="AH32" s="18">
        <f>MAX(0, $A32-AH$4)*IF(RTD("tos.rtd",,"OPEN_INT","."&amp;$AA$3&amp;$AA$4&amp;"C"&amp;AH$4)="N/A",0,RTD("tos.rtd",,"OPEN_INT","."&amp;$AA$3&amp;$AA$4&amp;"C"&amp;AH$4))*100 + MAX(0, AH$4-$A32)*IF(RTD("tos.rtd",,"OPEN_INT","."&amp;$AA$3&amp;$AA$4&amp;"P"&amp;AH$4)="N/A",0,RTD("tos.rtd",,"OPEN_INT","."&amp;$AA$3&amp;$AA$4&amp;"P"&amp;AH$4))*100</f>
        <v>0</v>
      </c>
      <c r="AI32" s="18">
        <f>MAX(0, $A32-AI$4)*IF(RTD("tos.rtd",,"OPEN_INT","."&amp;$AA$3&amp;$AA$4&amp;"C"&amp;AI$4)="N/A",0,RTD("tos.rtd",,"OPEN_INT","."&amp;$AA$3&amp;$AA$4&amp;"C"&amp;AI$4))*100 + MAX(0, AI$4-$A32)*IF(RTD("tos.rtd",,"OPEN_INT","."&amp;$AA$3&amp;$AA$4&amp;"P"&amp;AI$4)="N/A",0,RTD("tos.rtd",,"OPEN_INT","."&amp;$AA$3&amp;$AA$4&amp;"P"&amp;AI$4))*100</f>
        <v>3000</v>
      </c>
      <c r="AJ32" s="18">
        <f>MAX(0, $A32-AJ$4)*IF(RTD("tos.rtd",,"OPEN_INT","."&amp;$AA$3&amp;$AA$4&amp;"C"&amp;AJ$4)="N/A",0,RTD("tos.rtd",,"OPEN_INT","."&amp;$AA$3&amp;$AA$4&amp;"C"&amp;AJ$4))*100 + MAX(0, AJ$4-$A32)*IF(RTD("tos.rtd",,"OPEN_INT","."&amp;$AA$3&amp;$AA$4&amp;"P"&amp;AJ$4)="N/A",0,RTD("tos.rtd",,"OPEN_INT","."&amp;$AA$3&amp;$AA$4&amp;"P"&amp;AJ$4))*100</f>
        <v>7600</v>
      </c>
      <c r="AK32" s="18">
        <f>MAX(0, $A32-AK$4)*IF(RTD("tos.rtd",,"OPEN_INT","."&amp;$AA$3&amp;$AA$4&amp;"C"&amp;AK$4)="N/A",0,RTD("tos.rtd",,"OPEN_INT","."&amp;$AA$3&amp;$AA$4&amp;"C"&amp;AK$4))*100 + MAX(0, AK$4-$A32)*IF(RTD("tos.rtd",,"OPEN_INT","."&amp;$AA$3&amp;$AA$4&amp;"P"&amp;AK$4)="N/A",0,RTD("tos.rtd",,"OPEN_INT","."&amp;$AA$3&amp;$AA$4&amp;"P"&amp;AK$4))*100</f>
        <v>0</v>
      </c>
      <c r="AL32" s="18">
        <f>MAX(0, $A32-AL$4)*IF(RTD("tos.rtd",,"OPEN_INT","."&amp;$AA$3&amp;$AA$4&amp;"C"&amp;AL$4)="N/A",0,RTD("tos.rtd",,"OPEN_INT","."&amp;$AA$3&amp;$AA$4&amp;"C"&amp;AL$4))*100 + MAX(0, AL$4-$A32)*IF(RTD("tos.rtd",,"OPEN_INT","."&amp;$AA$3&amp;$AA$4&amp;"P"&amp;AL$4)="N/A",0,RTD("tos.rtd",,"OPEN_INT","."&amp;$AA$3&amp;$AA$4&amp;"P"&amp;AL$4))*100</f>
        <v>0</v>
      </c>
      <c r="AM32" s="18">
        <f>MAX(0, $A32-AM$4)*IF(RTD("tos.rtd",,"OPEN_INT","."&amp;$AA$3&amp;$AA$4&amp;"C"&amp;AM$4)="N/A",0,RTD("tos.rtd",,"OPEN_INT","."&amp;$AA$3&amp;$AA$4&amp;"C"&amp;AM$4))*100 + MAX(0, AM$4-$A32)*IF(RTD("tos.rtd",,"OPEN_INT","."&amp;$AA$3&amp;$AA$4&amp;"P"&amp;AM$4)="N/A",0,RTD("tos.rtd",,"OPEN_INT","."&amp;$AA$3&amp;$AA$4&amp;"P"&amp;AM$4))*100</f>
        <v>0</v>
      </c>
      <c r="AN32" s="18">
        <f>MAX(0, $A32-AN$4)*IF(RTD("tos.rtd",,"OPEN_INT","."&amp;$AA$3&amp;$AA$4&amp;"C"&amp;AN$4)="N/A",0,RTD("tos.rtd",,"OPEN_INT","."&amp;$AA$3&amp;$AA$4&amp;"C"&amp;AN$4))*100 + MAX(0, AN$4-$A32)*IF(RTD("tos.rtd",,"OPEN_INT","."&amp;$AA$3&amp;$AA$4&amp;"P"&amp;AN$4)="N/A",0,RTD("tos.rtd",,"OPEN_INT","."&amp;$AA$3&amp;$AA$4&amp;"P"&amp;AN$4))*100</f>
        <v>0</v>
      </c>
      <c r="AO32" s="18">
        <f>MAX(0, $A32-AO$4)*IF(RTD("tos.rtd",,"OPEN_INT","."&amp;$AA$3&amp;$AA$4&amp;"C"&amp;AO$4)="N/A",0,RTD("tos.rtd",,"OPEN_INT","."&amp;$AA$3&amp;$AA$4&amp;"C"&amp;AO$4))*100 + MAX(0, AO$4-$A32)*IF(RTD("tos.rtd",,"OPEN_INT","."&amp;$AA$3&amp;$AA$4&amp;"P"&amp;AO$4)="N/A",0,RTD("tos.rtd",,"OPEN_INT","."&amp;$AA$3&amp;$AA$4&amp;"P"&amp;AO$4))*100</f>
        <v>84000</v>
      </c>
      <c r="AP32" s="18">
        <f>MAX(0, $A32-AP$4)*IF(RTD("tos.rtd",,"OPEN_INT","."&amp;$AA$3&amp;$AA$4&amp;"C"&amp;AP$4)="N/A",0,RTD("tos.rtd",,"OPEN_INT","."&amp;$AA$3&amp;$AA$4&amp;"C"&amp;AP$4))*100 + MAX(0, AP$4-$A32)*IF(RTD("tos.rtd",,"OPEN_INT","."&amp;$AA$3&amp;$AA$4&amp;"P"&amp;AP$4)="N/A",0,RTD("tos.rtd",,"OPEN_INT","."&amp;$AA$3&amp;$AA$4&amp;"P"&amp;AP$4))*100</f>
        <v>0</v>
      </c>
      <c r="AQ32" s="18">
        <f>MAX(0, $A32-AQ$4)*IF(RTD("tos.rtd",,"OPEN_INT","."&amp;$AA$3&amp;$AA$4&amp;"C"&amp;AQ$4)="N/A",0,RTD("tos.rtd",,"OPEN_INT","."&amp;$AA$3&amp;$AA$4&amp;"C"&amp;AQ$4))*100 + MAX(0, AQ$4-$A32)*IF(RTD("tos.rtd",,"OPEN_INT","."&amp;$AA$3&amp;$AA$4&amp;"P"&amp;AQ$4)="N/A",0,RTD("tos.rtd",,"OPEN_INT","."&amp;$AA$3&amp;$AA$4&amp;"P"&amp;AQ$4))*100</f>
        <v>31800</v>
      </c>
      <c r="AR32" s="18">
        <f>MAX(0, $A32-AR$4)*IF(RTD("tos.rtd",,"OPEN_INT","."&amp;$AA$3&amp;$AA$4&amp;"C"&amp;AR$4)="N/A",0,RTD("tos.rtd",,"OPEN_INT","."&amp;$AA$3&amp;$AA$4&amp;"C"&amp;AR$4))*100 + MAX(0, AR$4-$A32)*IF(RTD("tos.rtd",,"OPEN_INT","."&amp;$AA$3&amp;$AA$4&amp;"P"&amp;AR$4)="N/A",0,RTD("tos.rtd",,"OPEN_INT","."&amp;$AA$3&amp;$AA$4&amp;"P"&amp;AR$4))*100</f>
        <v>3300</v>
      </c>
      <c r="AS32" s="18">
        <f>MAX(0, $A32-AS$4)*IF(RTD("tos.rtd",,"OPEN_INT","."&amp;$AA$3&amp;$AA$4&amp;"C"&amp;AS$4)="N/A",0,RTD("tos.rtd",,"OPEN_INT","."&amp;$AA$3&amp;$AA$4&amp;"C"&amp;AS$4))*100 + MAX(0, AS$4-$A32)*IF(RTD("tos.rtd",,"OPEN_INT","."&amp;$AA$3&amp;$AA$4&amp;"P"&amp;AS$4)="N/A",0,RTD("tos.rtd",,"OPEN_INT","."&amp;$AA$3&amp;$AA$4&amp;"P"&amp;AS$4))*100</f>
        <v>31000</v>
      </c>
      <c r="AT32" s="18">
        <f>MAX(0, $A32-AT$4)*IF(RTD("tos.rtd",,"OPEN_INT","."&amp;$AA$3&amp;$AA$4&amp;"C"&amp;AT$4)="N/A",0,RTD("tos.rtd",,"OPEN_INT","."&amp;$AA$3&amp;$AA$4&amp;"C"&amp;AT$4))*100 + MAX(0, AT$4-$A32)*IF(RTD("tos.rtd",,"OPEN_INT","."&amp;$AA$3&amp;$AA$4&amp;"P"&amp;AT$4)="N/A",0,RTD("tos.rtd",,"OPEN_INT","."&amp;$AA$3&amp;$AA$4&amp;"P"&amp;AT$4))*100</f>
        <v>31500</v>
      </c>
      <c r="AU32" s="18">
        <f>MAX(0, $A32-AU$4)*IF(RTD("tos.rtd",,"OPEN_INT","."&amp;$AA$3&amp;$AA$4&amp;"C"&amp;AU$4)="N/A",0,RTD("tos.rtd",,"OPEN_INT","."&amp;$AA$3&amp;$AA$4&amp;"C"&amp;AU$4))*100 + MAX(0, AU$4-$A32)*IF(RTD("tos.rtd",,"OPEN_INT","."&amp;$AA$3&amp;$AA$4&amp;"P"&amp;AU$4)="N/A",0,RTD("tos.rtd",,"OPEN_INT","."&amp;$AA$3&amp;$AA$4&amp;"P"&amp;AU$4))*100</f>
        <v>16000</v>
      </c>
      <c r="AV32" s="18">
        <f>MAX(0, $A32-AV$4)*IF(RTD("tos.rtd",,"OPEN_INT","."&amp;$AA$3&amp;$AA$4&amp;"C"&amp;AV$4)="N/A",0,RTD("tos.rtd",,"OPEN_INT","."&amp;$AA$3&amp;$AA$4&amp;"C"&amp;AV$4))*100 + MAX(0, AV$4-$A32)*IF(RTD("tos.rtd",,"OPEN_INT","."&amp;$AA$3&amp;$AA$4&amp;"P"&amp;AV$4)="N/A",0,RTD("tos.rtd",,"OPEN_INT","."&amp;$AA$3&amp;$AA$4&amp;"P"&amp;AV$4))*100</f>
        <v>56350</v>
      </c>
      <c r="AW32" s="18">
        <f>MAX(0, $A32-AW$4)*IF(RTD("tos.rtd",,"OPEN_INT","."&amp;$AA$3&amp;$AA$4&amp;"C"&amp;AW$4)="N/A",0,RTD("tos.rtd",,"OPEN_INT","."&amp;$AA$3&amp;$AA$4&amp;"C"&amp;AW$4))*100 + MAX(0, AW$4-$A32)*IF(RTD("tos.rtd",,"OPEN_INT","."&amp;$AA$3&amp;$AA$4&amp;"P"&amp;AW$4)="N/A",0,RTD("tos.rtd",,"OPEN_INT","."&amp;$AA$3&amp;$AA$4&amp;"P"&amp;AW$4))*100</f>
        <v>60600</v>
      </c>
      <c r="AX32" s="18">
        <f>MAX(0, $A32-AX$4)*IF(RTD("tos.rtd",,"OPEN_INT","."&amp;$AA$3&amp;$AA$4&amp;"C"&amp;AX$4)="N/A",0,RTD("tos.rtd",,"OPEN_INT","."&amp;$AA$3&amp;$AA$4&amp;"C"&amp;AX$4))*100 + MAX(0, AX$4-$A32)*IF(RTD("tos.rtd",,"OPEN_INT","."&amp;$AA$3&amp;$AA$4&amp;"P"&amp;AX$4)="N/A",0,RTD("tos.rtd",,"OPEN_INT","."&amp;$AA$3&amp;$AA$4&amp;"P"&amp;AX$4))*100</f>
        <v>61750</v>
      </c>
      <c r="AY32" s="18">
        <f>MAX(0, $A32-AY$4)*IF(RTD("tos.rtd",,"OPEN_INT","."&amp;$AA$3&amp;$AA$4&amp;"C"&amp;AY$4)="N/A",0,RTD("tos.rtd",,"OPEN_INT","."&amp;$AA$3&amp;$AA$4&amp;"C"&amp;AY$4))*100 + MAX(0, AY$4-$A32)*IF(RTD("tos.rtd",,"OPEN_INT","."&amp;$AA$3&amp;$AA$4&amp;"P"&amp;AY$4)="N/A",0,RTD("tos.rtd",,"OPEN_INT","."&amp;$AA$3&amp;$AA$4&amp;"P"&amp;AY$4))*100</f>
        <v>414800</v>
      </c>
      <c r="AZ32" s="18">
        <f>MAX(0, $A32-AZ$4)*IF(RTD("tos.rtd",,"OPEN_INT","."&amp;$AA$3&amp;$AA$4&amp;"C"&amp;AZ$4)="N/A",0,RTD("tos.rtd",,"OPEN_INT","."&amp;$AA$3&amp;$AA$4&amp;"C"&amp;AZ$4))*100 + MAX(0, AZ$4-$A32)*IF(RTD("tos.rtd",,"OPEN_INT","."&amp;$AA$3&amp;$AA$4&amp;"P"&amp;AZ$4)="N/A",0,RTD("tos.rtd",,"OPEN_INT","."&amp;$AA$3&amp;$AA$4&amp;"P"&amp;AZ$4))*100</f>
        <v>85200</v>
      </c>
      <c r="BA32" s="18">
        <f>MAX(0, $A32-BA$4)*IF(RTD("tos.rtd",,"OPEN_INT","."&amp;$AA$3&amp;$AA$4&amp;"C"&amp;BA$4)="N/A",0,RTD("tos.rtd",,"OPEN_INT","."&amp;$AA$3&amp;$AA$4&amp;"C"&amp;BA$4))*100 + MAX(0, BA$4-$A32)*IF(RTD("tos.rtd",,"OPEN_INT","."&amp;$AA$3&amp;$AA$4&amp;"P"&amp;BA$4)="N/A",0,RTD("tos.rtd",,"OPEN_INT","."&amp;$AA$3&amp;$AA$4&amp;"P"&amp;BA$4))*100</f>
        <v>234000</v>
      </c>
      <c r="BB32" s="18">
        <f>MAX(0, $A32-BB$4)*IF(RTD("tos.rtd",,"OPEN_INT","."&amp;$AA$3&amp;$AA$4&amp;"C"&amp;BB$4)="N/A",0,RTD("tos.rtd",,"OPEN_INT","."&amp;$AA$3&amp;$AA$4&amp;"C"&amp;BB$4))*100 + MAX(0, BB$4-$A32)*IF(RTD("tos.rtd",,"OPEN_INT","."&amp;$AA$3&amp;$AA$4&amp;"P"&amp;BB$4)="N/A",0,RTD("tos.rtd",,"OPEN_INT","."&amp;$AA$3&amp;$AA$4&amp;"P"&amp;BB$4))*100</f>
        <v>114200</v>
      </c>
      <c r="BC32" s="18">
        <f>MAX(0, $A32-BC$4)*IF(RTD("tos.rtd",,"OPEN_INT","."&amp;$AA$3&amp;$AA$4&amp;"C"&amp;BC$4)="N/A",0,RTD("tos.rtd",,"OPEN_INT","."&amp;$AA$3&amp;$AA$4&amp;"C"&amp;BC$4))*100 + MAX(0, BC$4-$A32)*IF(RTD("tos.rtd",,"OPEN_INT","."&amp;$AA$3&amp;$AA$4&amp;"P"&amp;BC$4)="N/A",0,RTD("tos.rtd",,"OPEN_INT","."&amp;$AA$3&amp;$AA$4&amp;"P"&amp;BC$4))*100</f>
        <v>0</v>
      </c>
      <c r="BD32" s="18">
        <f>MAX(0, $A32-BD$4)*IF(RTD("tos.rtd",,"OPEN_INT","."&amp;$AA$3&amp;$AA$4&amp;"C"&amp;BD$4)="N/A",0,RTD("tos.rtd",,"OPEN_INT","."&amp;$AA$3&amp;$AA$4&amp;"C"&amp;BD$4))*100 + MAX(0, BD$4-$A32)*IF(RTD("tos.rtd",,"OPEN_INT","."&amp;$AA$3&amp;$AA$4&amp;"P"&amp;BD$4)="N/A",0,RTD("tos.rtd",,"OPEN_INT","."&amp;$AA$3&amp;$AA$4&amp;"P"&amp;BD$4))*100</f>
        <v>928000</v>
      </c>
      <c r="BE32" s="18">
        <f>MAX(0, $A32-BE$4)*IF(RTD("tos.rtd",,"OPEN_INT","."&amp;$AA$3&amp;$AA$4&amp;"C"&amp;BE$4)="N/A",0,RTD("tos.rtd",,"OPEN_INT","."&amp;$AA$3&amp;$AA$4&amp;"C"&amp;BE$4))*100 + MAX(0, BE$4-$A32)*IF(RTD("tos.rtd",,"OPEN_INT","."&amp;$AA$3&amp;$AA$4&amp;"P"&amp;BE$4)="N/A",0,RTD("tos.rtd",,"OPEN_INT","."&amp;$AA$3&amp;$AA$4&amp;"P"&amp;BE$4))*100</f>
        <v>1727800</v>
      </c>
      <c r="BF32" s="18">
        <f>MAX(0, $A32-BF$4)*IF(RTD("tos.rtd",,"OPEN_INT","."&amp;$AA$3&amp;$AA$4&amp;"C"&amp;BF$4)="N/A",0,RTD("tos.rtd",,"OPEN_INT","."&amp;$AA$3&amp;$AA$4&amp;"C"&amp;BF$4))*100 + MAX(0, BF$4-$A32)*IF(RTD("tos.rtd",,"OPEN_INT","."&amp;$AA$3&amp;$AA$4&amp;"P"&amp;BF$4)="N/A",0,RTD("tos.rtd",,"OPEN_INT","."&amp;$AA$3&amp;$AA$4&amp;"P"&amp;BF$4))*100</f>
        <v>1261050</v>
      </c>
      <c r="BG32" s="18">
        <f>MAX(0, $A32-BG$4)*IF(RTD("tos.rtd",,"OPEN_INT","."&amp;$AA$3&amp;$AA$4&amp;"C"&amp;BG$4)="N/A",0,RTD("tos.rtd",,"OPEN_INT","."&amp;$AA$3&amp;$AA$4&amp;"C"&amp;BG$4))*100 + MAX(0, BG$4-$A32)*IF(RTD("tos.rtd",,"OPEN_INT","."&amp;$AA$3&amp;$AA$4&amp;"P"&amp;BG$4)="N/A",0,RTD("tos.rtd",,"OPEN_INT","."&amp;$AA$3&amp;$AA$4&amp;"P"&amp;BG$4))*100</f>
        <v>1146800</v>
      </c>
      <c r="BH32" s="18">
        <f>MAX(0, $A32-BH$4)*IF(RTD("tos.rtd",,"OPEN_INT","."&amp;$AA$3&amp;$AA$4&amp;"C"&amp;BH$4)="N/A",0,RTD("tos.rtd",,"OPEN_INT","."&amp;$AA$3&amp;$AA$4&amp;"C"&amp;BH$4))*100 + MAX(0, BH$4-$A32)*IF(RTD("tos.rtd",,"OPEN_INT","."&amp;$AA$3&amp;$AA$4&amp;"P"&amp;BH$4)="N/A",0,RTD("tos.rtd",,"OPEN_INT","."&amp;$AA$3&amp;$AA$4&amp;"P"&amp;BH$4))*100</f>
        <v>485750</v>
      </c>
      <c r="BI32" s="18">
        <f>MAX(0, $A32-BI$4)*IF(RTD("tos.rtd",,"OPEN_INT","."&amp;$AA$3&amp;$AA$4&amp;"C"&amp;BI$4)="N/A",0,RTD("tos.rtd",,"OPEN_INT","."&amp;$AA$3&amp;$AA$4&amp;"C"&amp;BI$4))*100 + MAX(0, BI$4-$A32)*IF(RTD("tos.rtd",,"OPEN_INT","."&amp;$AA$3&amp;$AA$4&amp;"P"&amp;BI$4)="N/A",0,RTD("tos.rtd",,"OPEN_INT","."&amp;$AA$3&amp;$AA$4&amp;"P"&amp;BI$4))*100</f>
        <v>252600</v>
      </c>
      <c r="BJ32" s="18">
        <f>MAX(0, $A32-BJ$4)*IF(RTD("tos.rtd",,"OPEN_INT","."&amp;$AA$3&amp;$AA$4&amp;"C"&amp;BJ$4)="N/A",0,RTD("tos.rtd",,"OPEN_INT","."&amp;$AA$3&amp;$AA$4&amp;"C"&amp;BJ$4))*100 + MAX(0, BJ$4-$A32)*IF(RTD("tos.rtd",,"OPEN_INT","."&amp;$AA$3&amp;$AA$4&amp;"P"&amp;BJ$4)="N/A",0,RTD("tos.rtd",,"OPEN_INT","."&amp;$AA$3&amp;$AA$4&amp;"P"&amp;BJ$4))*100</f>
        <v>52850</v>
      </c>
      <c r="BK32" s="18">
        <f>MAX(0, $A32-BK$4)*IF(RTD("tos.rtd",,"OPEN_INT","."&amp;$AA$3&amp;$AA$4&amp;"C"&amp;BK$4)="N/A",0,RTD("tos.rtd",,"OPEN_INT","."&amp;$AA$3&amp;$AA$4&amp;"C"&amp;BK$4))*100 + MAX(0, BK$4-$A32)*IF(RTD("tos.rtd",,"OPEN_INT","."&amp;$AA$3&amp;$AA$4&amp;"P"&amp;BK$4)="N/A",0,RTD("tos.rtd",,"OPEN_INT","."&amp;$AA$3&amp;$AA$4&amp;"P"&amp;BK$4))*100</f>
        <v>104400</v>
      </c>
      <c r="BL32" s="18">
        <f>MAX(0, $A32-BL$4)*IF(RTD("tos.rtd",,"OPEN_INT","."&amp;$AA$3&amp;$AA$4&amp;"C"&amp;BL$4)="N/A",0,RTD("tos.rtd",,"OPEN_INT","."&amp;$AA$3&amp;$AA$4&amp;"C"&amp;BL$4))*100 + MAX(0, BL$4-$A32)*IF(RTD("tos.rtd",,"OPEN_INT","."&amp;$AA$3&amp;$AA$4&amp;"P"&amp;BL$4)="N/A",0,RTD("tos.rtd",,"OPEN_INT","."&amp;$AA$3&amp;$AA$4&amp;"P"&amp;BL$4))*100</f>
        <v>7200</v>
      </c>
      <c r="BM32" s="18">
        <f>MAX(0, $A32-BM$4)*IF(RTD("tos.rtd",,"OPEN_INT","."&amp;$AA$3&amp;$AA$4&amp;"C"&amp;BM$4)="N/A",0,RTD("tos.rtd",,"OPEN_INT","."&amp;$AA$3&amp;$AA$4&amp;"C"&amp;BM$4))*100 + MAX(0, BM$4-$A32)*IF(RTD("tos.rtd",,"OPEN_INT","."&amp;$AA$3&amp;$AA$4&amp;"P"&amp;BM$4)="N/A",0,RTD("tos.rtd",,"OPEN_INT","."&amp;$AA$3&amp;$AA$4&amp;"P"&amp;BM$4))*100</f>
        <v>4000</v>
      </c>
      <c r="BN32" s="18">
        <f>MAX(0, $A32-BN$4)*IF(RTD("tos.rtd",,"OPEN_INT","."&amp;$AA$3&amp;$AA$4&amp;"C"&amp;BN$4)="N/A",0,RTD("tos.rtd",,"OPEN_INT","."&amp;$AA$3&amp;$AA$4&amp;"C"&amp;BN$4))*100 + MAX(0, BN$4-$A32)*IF(RTD("tos.rtd",,"OPEN_INT","."&amp;$AA$3&amp;$AA$4&amp;"P"&amp;BN$4)="N/A",0,RTD("tos.rtd",,"OPEN_INT","."&amp;$AA$3&amp;$AA$4&amp;"P"&amp;BN$4))*100</f>
        <v>17050</v>
      </c>
      <c r="BO32" s="18">
        <f>MAX(0, $A32-BO$4)*IF(RTD("tos.rtd",,"OPEN_INT","."&amp;$AA$3&amp;$AA$4&amp;"C"&amp;BO$4)="N/A",0,RTD("tos.rtd",,"OPEN_INT","."&amp;$AA$3&amp;$AA$4&amp;"C"&amp;BO$4))*100 + MAX(0, BO$4-$A32)*IF(RTD("tos.rtd",,"OPEN_INT","."&amp;$AA$3&amp;$AA$4&amp;"P"&amp;BO$4)="N/A",0,RTD("tos.rtd",,"OPEN_INT","."&amp;$AA$3&amp;$AA$4&amp;"P"&amp;BO$4))*100</f>
        <v>22800</v>
      </c>
      <c r="BP32" s="18">
        <f>MAX(0, $A32-BP$4)*IF(RTD("tos.rtd",,"OPEN_INT","."&amp;$AA$3&amp;$AA$4&amp;"C"&amp;BP$4)="N/A",0,RTD("tos.rtd",,"OPEN_INT","."&amp;$AA$3&amp;$AA$4&amp;"C"&amp;BP$4))*100 + MAX(0, BP$4-$A32)*IF(RTD("tos.rtd",,"OPEN_INT","."&amp;$AA$3&amp;$AA$4&amp;"P"&amp;BP$4)="N/A",0,RTD("tos.rtd",,"OPEN_INT","."&amp;$AA$3&amp;$AA$4&amp;"P"&amp;BP$4))*100</f>
        <v>0</v>
      </c>
      <c r="BQ32" s="18">
        <f>MAX(0, $A32-BQ$4)*IF(RTD("tos.rtd",,"OPEN_INT","."&amp;$AA$3&amp;$AA$4&amp;"C"&amp;BQ$4)="N/A",0,RTD("tos.rtd",,"OPEN_INT","."&amp;$AA$3&amp;$AA$4&amp;"C"&amp;BQ$4))*100 + MAX(0, BQ$4-$A32)*IF(RTD("tos.rtd",,"OPEN_INT","."&amp;$AA$3&amp;$AA$4&amp;"P"&amp;BQ$4)="N/A",0,RTD("tos.rtd",,"OPEN_INT","."&amp;$AA$3&amp;$AA$4&amp;"P"&amp;BQ$4))*100</f>
        <v>0</v>
      </c>
      <c r="BR32" s="18">
        <f>MAX(0, $A32-BR$4)*IF(RTD("tos.rtd",,"OPEN_INT","."&amp;$AA$3&amp;$AA$4&amp;"C"&amp;BR$4)="N/A",0,RTD("tos.rtd",,"OPEN_INT","."&amp;$AA$3&amp;$AA$4&amp;"C"&amp;BR$4))*100 + MAX(0, BR$4-$A32)*IF(RTD("tos.rtd",,"OPEN_INT","."&amp;$AA$3&amp;$AA$4&amp;"P"&amp;BR$4)="N/A",0,RTD("tos.rtd",,"OPEN_INT","."&amp;$AA$3&amp;$AA$4&amp;"P"&amp;BR$4))*100</f>
        <v>0</v>
      </c>
      <c r="BS32" s="18">
        <f>MAX(0, $A32-BS$4)*IF(RTD("tos.rtd",,"OPEN_INT","."&amp;$AA$3&amp;$AA$4&amp;"C"&amp;BS$4)="N/A",0,RTD("tos.rtd",,"OPEN_INT","."&amp;$AA$3&amp;$AA$4&amp;"C"&amp;BS$4))*100 + MAX(0, BS$4-$A32)*IF(RTD("tos.rtd",,"OPEN_INT","."&amp;$AA$3&amp;$AA$4&amp;"P"&amp;BS$4)="N/A",0,RTD("tos.rtd",,"OPEN_INT","."&amp;$AA$3&amp;$AA$4&amp;"P"&amp;BS$4))*100</f>
        <v>0</v>
      </c>
      <c r="BT32" s="18">
        <f>MAX(0, $A32-BT$4)*IF(RTD("tos.rtd",,"OPEN_INT","."&amp;$AA$3&amp;$AA$4&amp;"C"&amp;BT$4)="N/A",0,RTD("tos.rtd",,"OPEN_INT","."&amp;$AA$3&amp;$AA$4&amp;"C"&amp;BT$4))*100 + MAX(0, BT$4-$A32)*IF(RTD("tos.rtd",,"OPEN_INT","."&amp;$AA$3&amp;$AA$4&amp;"P"&amp;BT$4)="N/A",0,RTD("tos.rtd",,"OPEN_INT","."&amp;$AA$3&amp;$AA$4&amp;"P"&amp;BT$4))*100</f>
        <v>0</v>
      </c>
      <c r="BU32" s="18">
        <f>MAX(0, $A32-BU$4)*IF(RTD("tos.rtd",,"OPEN_INT","."&amp;$AA$3&amp;$AA$4&amp;"C"&amp;BU$4)="N/A",0,RTD("tos.rtd",,"OPEN_INT","."&amp;$AA$3&amp;$AA$4&amp;"C"&amp;BU$4))*100 + MAX(0, BU$4-$A32)*IF(RTD("tos.rtd",,"OPEN_INT","."&amp;$AA$3&amp;$AA$4&amp;"P"&amp;BU$4)="N/A",0,RTD("tos.rtd",,"OPEN_INT","."&amp;$AA$3&amp;$AA$4&amp;"P"&amp;BU$4))*100</f>
        <v>0</v>
      </c>
      <c r="BV32" s="18">
        <f>MAX(0, $A32-BV$4)*IF(RTD("tos.rtd",,"OPEN_INT","."&amp;$AA$3&amp;$AA$4&amp;"C"&amp;BV$4)="N/A",0,RTD("tos.rtd",,"OPEN_INT","."&amp;$AA$3&amp;$AA$4&amp;"C"&amp;BV$4))*100 + MAX(0, BV$4-$A32)*IF(RTD("tos.rtd",,"OPEN_INT","."&amp;$AA$3&amp;$AA$4&amp;"P"&amp;BV$4)="N/A",0,RTD("tos.rtd",,"OPEN_INT","."&amp;$AA$3&amp;$AA$4&amp;"P"&amp;BV$4))*100</f>
        <v>0</v>
      </c>
    </row>
    <row r="33" spans="1:74" s="19" customFormat="1" ht="11.1" customHeight="1" thickBot="1" x14ac:dyDescent="0.3">
      <c r="A33" s="23">
        <f t="shared" si="11"/>
        <v>7.5</v>
      </c>
      <c r="B33" s="14">
        <f ca="1">IF($A$2="PREMIUM_OI",IFERROR(IF($X$1="ABS",(100*RTD("tos.rtd",,"OPEN_INT","."&amp;B$2&amp;B$1&amp;"C"&amp;$A33)*RTD("tos.rtd",,"LAST","."&amp;B$2&amp;B$1&amp;"C"&amp;$A33)+100*RTD("tos.rtd",,"OPEN_INT","."&amp;B$2&amp;B$1&amp;"P"&amp;$A33)*RTD("tos.rtd",,"LAST","."&amp;B$2&amp;B$1&amp;"P"&amp;$A33))/1000000,(100*RTD("tos.rtd",,"OPEN_INT","."&amp;B$2&amp;B$1&amp;"C"&amp;$A33)*RTD("tos.rtd",,"LAST","."&amp;B$2&amp;B$1&amp;"C"&amp;$A33)-100*RTD("tos.rtd",,"OPEN_INT","."&amp;B$2&amp;B$1&amp;"P"&amp;$A33)*RTD("tos.rtd",,"LAST","."&amp;B$2&amp;B$1&amp;"P"&amp;$A33))/1000000),0),IF($A$2="PREMIUM",IFERROR(IF($X$1="ABS",(100*RTD("tos.rtd",,"VOLUME","."&amp;B$2&amp;B$1&amp;"C"&amp;$A33)*RTD("tos.rtd",,"LAST","."&amp;B$2&amp;B$1&amp;"C"&amp;$A33)+100*RTD("tos.rtd",,"VOLUME","."&amp;B$2&amp;B$1&amp;"P"&amp;$A33)*RTD("tos.rtd",,"LAST","."&amp;B$2&amp;B$1&amp;"P"&amp;$A33))/1000000,(100*RTD("tos.rtd",,"VOLUME","."&amp;B$2&amp;B$1&amp;"C"&amp;$A33)*RTD("tos.rtd",,"LAST","."&amp;B$2&amp;B$1&amp;"C"&amp;$A33)-100*RTD("tos.rtd",,"VOLUME","."&amp;B$2&amp;B$1&amp;"P"&amp;$A33)*RTD("tos.rtd",,"LAST","."&amp;B$2&amp;B$1&amp;"P"&amp;$A33))/1000000),0),IF($A$2="DEX",IFERROR(IF($X$1="ABS",(100*RTD("tos.rtd",,"OPEN_INT","."&amp;B$2&amp;B$1&amp;"C"&amp;$A33)*RTD("tos.rtd",,"DELTA","."&amp;B$2&amp;B$1&amp;"C"&amp;$A33)+100*RTD("tos.rtd",,"OPEN_INT","."&amp;B$2&amp;B$1&amp;"P"&amp;$A33)*RTD("tos.rtd",,"DELTA","."&amp;B$2&amp;B$1&amp;"P"&amp;$A33))/1000,(100*RTD("tos.rtd",,"OPEN_INT","."&amp;B$2&amp;B$1&amp;"C"&amp;$A33)*RTD("tos.rtd",,"DELTA","."&amp;B$2&amp;B$1&amp;"C"&amp;$A33)-100*RTD("tos.rtd",,"OPEN_INT","."&amp;B$2&amp;B$1&amp;"P"&amp;$A33)*RTD("tos.rtd",,"DELTA","."&amp;B$2&amp;B$1&amp;"P"&amp;$A33))/1000),0),IF($A$2="VEX",IFERROR(IF($X$1="ABS",($A$4*$A$4*RTD("tos.rtd",,"VOLUME","."&amp;B$2&amp;B$1&amp;"C"&amp;$A33)*RTD("tos.rtd",,"GAMMA","."&amp;B$2&amp;B$1&amp;"C"&amp;$A33)+$A$4*$A$4*RTD("tos.rtd",,"VOLUME","."&amp;B$2&amp;B$1&amp;"P"&amp;$A33)*RTD("tos.rtd",,"GAMMA","."&amp;B$2&amp;B$1&amp;"P"&amp;$A33))/1000000,($A$4*$A$4*RTD("tos.rtd",,"VOLUME","."&amp;B$2&amp;B$1&amp;"C"&amp;$A33)*RTD("tos.rtd",,"GAMMA","."&amp;B$2&amp;B$1&amp;"C"&amp;$A33)-$A$4*$A$4*RTD("tos.rtd",,"VOLUME","."&amp;B$2&amp;B$1&amp;"P"&amp;$A33)*RTD("tos.rtd",,"GAMMA","."&amp;B$2&amp;B$1&amp;"P"&amp;$A33))/1000000),0),IF($A$2="GEX",IFERROR(IF($X$1="ABS",($A$4*$A$4*RTD("tos.rtd",,"OPEN_INT","."&amp;B$2&amp;B$1&amp;"C"&amp;$A33)*RTD("tos.rtd",,"GAMMA","."&amp;B$2&amp;B$1&amp;"C"&amp;$A33)+$A$4*$A$4*RTD("tos.rtd",,"OPEN_INT","."&amp;B$2&amp;B$1&amp;"P"&amp;$A33)*RTD("tos.rtd",,"GAMMA","."&amp;B$2&amp;B$1&amp;"P"&amp;$A33))/1000000,($A$4*$A$4*RTD("tos.rtd",,"OPEN_INT","."&amp;B$2&amp;B$1&amp;"C"&amp;$A33)*RTD("tos.rtd",,"GAMMA","."&amp;B$2&amp;B$1&amp;"C"&amp;$A33)-$A$4*$A$4*RTD("tos.rtd",,"OPEN_INT","."&amp;B$2&amp;B$1&amp;"P"&amp;$A33)*RTD("tos.rtd",,"GAMMA","."&amp;B$2&amp;B$1&amp;"P"&amp;$A33))/1000000),0),IF($A$2="SKEW",IFERROR(VALUE(IF(RTD("tos.rtd",,"IMPL_VOL","."&amp;B$2&amp;B$1&amp;"P"&amp;$A33)="N/A",0,RTD("tos.rtd",,"IMPL_VOL","."&amp;B$2&amp;B$1&amp;"P"&amp;$A33))),0)-IFERROR(VALUE(IF(RTD("tos.rtd",,"IMPL_VOL","."&amp;B$2&amp;B$1&amp;"C"&amp;$A33)="N/A",0,RTD("tos.rtd",,"IMPL_VOL","."&amp;B$2&amp;B$1&amp;"C"&amp;$A33))),0),IF($A$2="MAXPAIN",IF($A$4&gt;$A33,($A$4-$A33)*IF(RTD("tos.rtd",,"OPEN_INT","."&amp;B$2&amp;B$1&amp;"C"&amp;$A33)="N/A",0,RTD("tos.rtd",,"OPEN_INT","."&amp;B$2&amp;B$1&amp;"C"&amp;$A33)),0)+IF($A$4&lt;$A33,($A$5-$A$4)*IF(RTD("tos.rtd",,"OPEN_INT","."&amp;B$2&amp;B$1&amp;"P"&amp;$A33)="N/A",0,RTD("tos.rtd",,"OPEN_INT","."&amp;B$2&amp;B$1&amp;"P"&amp;$A33)),0),IF($X$1="ABS",IF(RTD("tos.rtd",,$A$2,"."&amp;B$2&amp;B$1&amp;"C"&amp;$A33)="N/A",0,RTD("tos.rtd",,$A$2,"."&amp;B$2&amp;B$1&amp;"C"&amp;$A33))+IF(RTD("tos.rtd",,$A$2,"."&amp;B$2&amp;B$1&amp;"P"&amp;$A33)="N/A",0,RTD("tos.rtd",,$A$2,"."&amp;B$2&amp;B$1&amp;"P"&amp;$A33)),IF(RTD("tos.rtd",,$A$2,"."&amp;B$2&amp;B$1&amp;"C"&amp;$A33)="N/A",0,RTD("tos.rtd",,$A$2,"."&amp;B$2&amp;B$1&amp;"C"&amp;$A33))-IF(RTD("tos.rtd",,$A$2,"."&amp;B$2&amp;B$1&amp;"P"&amp;$A33)="N/A",0,RTD("tos.rtd",,$A$2,"."&amp;B$2&amp;B$1&amp;"P"&amp;$A33))))))))))</f>
        <v>0</v>
      </c>
      <c r="C33" s="12">
        <f ca="1">IF($A$2="PREMIUM_OI",IFERROR(IF($X$1="ABS",(100*RTD("tos.rtd",,"OPEN_INT","."&amp;C$2&amp;C$1&amp;"C"&amp;$A33)*RTD("tos.rtd",,"LAST","."&amp;C$2&amp;C$1&amp;"C"&amp;$A33)+100*RTD("tos.rtd",,"OPEN_INT","."&amp;C$2&amp;C$1&amp;"P"&amp;$A33)*RTD("tos.rtd",,"LAST","."&amp;C$2&amp;C$1&amp;"P"&amp;$A33))/1000000,(100*RTD("tos.rtd",,"OPEN_INT","."&amp;C$2&amp;C$1&amp;"C"&amp;$A33)*RTD("tos.rtd",,"LAST","."&amp;C$2&amp;C$1&amp;"C"&amp;$A33)-100*RTD("tos.rtd",,"OPEN_INT","."&amp;C$2&amp;C$1&amp;"P"&amp;$A33)*RTD("tos.rtd",,"LAST","."&amp;C$2&amp;C$1&amp;"P"&amp;$A33))/1000000),0),IF($A$2="PREMIUM",IFERROR(IF($X$1="ABS",(100*RTD("tos.rtd",,"VOLUME","."&amp;C$2&amp;C$1&amp;"C"&amp;$A33)*RTD("tos.rtd",,"LAST","."&amp;C$2&amp;C$1&amp;"C"&amp;$A33)+100*RTD("tos.rtd",,"VOLUME","."&amp;C$2&amp;C$1&amp;"P"&amp;$A33)*RTD("tos.rtd",,"LAST","."&amp;C$2&amp;C$1&amp;"P"&amp;$A33))/1000000,(100*RTD("tos.rtd",,"VOLUME","."&amp;C$2&amp;C$1&amp;"C"&amp;$A33)*RTD("tos.rtd",,"LAST","."&amp;C$2&amp;C$1&amp;"C"&amp;$A33)-100*RTD("tos.rtd",,"VOLUME","."&amp;C$2&amp;C$1&amp;"P"&amp;$A33)*RTD("tos.rtd",,"LAST","."&amp;C$2&amp;C$1&amp;"P"&amp;$A33))/1000000),0),IF($A$2="DEX",IFERROR(IF($X$1="ABS",(100*RTD("tos.rtd",,"OPEN_INT","."&amp;C$2&amp;C$1&amp;"C"&amp;$A33)*RTD("tos.rtd",,"DELTA","."&amp;C$2&amp;C$1&amp;"C"&amp;$A33)+100*RTD("tos.rtd",,"OPEN_INT","."&amp;C$2&amp;C$1&amp;"P"&amp;$A33)*RTD("tos.rtd",,"DELTA","."&amp;C$2&amp;C$1&amp;"P"&amp;$A33))/1000,(100*RTD("tos.rtd",,"OPEN_INT","."&amp;C$2&amp;C$1&amp;"C"&amp;$A33)*RTD("tos.rtd",,"DELTA","."&amp;C$2&amp;C$1&amp;"C"&amp;$A33)-100*RTD("tos.rtd",,"OPEN_INT","."&amp;C$2&amp;C$1&amp;"P"&amp;$A33)*RTD("tos.rtd",,"DELTA","."&amp;C$2&amp;C$1&amp;"P"&amp;$A33))/1000),0),IF($A$2="VEX",IFERROR(IF($X$1="ABS",($A$4*$A$4*RTD("tos.rtd",,"VOLUME","."&amp;C$2&amp;C$1&amp;"C"&amp;$A33)*RTD("tos.rtd",,"GAMMA","."&amp;C$2&amp;C$1&amp;"C"&amp;$A33)+$A$4*$A$4*RTD("tos.rtd",,"VOLUME","."&amp;C$2&amp;C$1&amp;"P"&amp;$A33)*RTD("tos.rtd",,"GAMMA","."&amp;C$2&amp;C$1&amp;"P"&amp;$A33))/1000000,($A$4*$A$4*RTD("tos.rtd",,"VOLUME","."&amp;C$2&amp;C$1&amp;"C"&amp;$A33)*RTD("tos.rtd",,"GAMMA","."&amp;C$2&amp;C$1&amp;"C"&amp;$A33)-$A$4*$A$4*RTD("tos.rtd",,"VOLUME","."&amp;C$2&amp;C$1&amp;"P"&amp;$A33)*RTD("tos.rtd",,"GAMMA","."&amp;C$2&amp;C$1&amp;"P"&amp;$A33))/1000000),0),IF($A$2="GEX",IFERROR(IF($X$1="ABS",($A$4*$A$4*RTD("tos.rtd",,"OPEN_INT","."&amp;C$2&amp;C$1&amp;"C"&amp;$A33)*RTD("tos.rtd",,"GAMMA","."&amp;C$2&amp;C$1&amp;"C"&amp;$A33)+$A$4*$A$4*RTD("tos.rtd",,"OPEN_INT","."&amp;C$2&amp;C$1&amp;"P"&amp;$A33)*RTD("tos.rtd",,"GAMMA","."&amp;C$2&amp;C$1&amp;"P"&amp;$A33))/1000000,($A$4*$A$4*RTD("tos.rtd",,"OPEN_INT","."&amp;C$2&amp;C$1&amp;"C"&amp;$A33)*RTD("tos.rtd",,"GAMMA","."&amp;C$2&amp;C$1&amp;"C"&amp;$A33)-$A$4*$A$4*RTD("tos.rtd",,"OPEN_INT","."&amp;C$2&amp;C$1&amp;"P"&amp;$A33)*RTD("tos.rtd",,"GAMMA","."&amp;C$2&amp;C$1&amp;"P"&amp;$A33))/1000000),0),IF($A$2="SKEW",IFERROR(VALUE(IF(RTD("tos.rtd",,"IMPL_VOL","."&amp;C$2&amp;C$1&amp;"P"&amp;$A33)="N/A",0,RTD("tos.rtd",,"IMPL_VOL","."&amp;C$2&amp;C$1&amp;"P"&amp;$A33))),0)-IFERROR(VALUE(IF(RTD("tos.rtd",,"IMPL_VOL","."&amp;C$2&amp;C$1&amp;"C"&amp;$A33)="N/A",0,RTD("tos.rtd",,"IMPL_VOL","."&amp;C$2&amp;C$1&amp;"C"&amp;$A33))),0),IF($A$2="MAXPAIN",IF($A$4&gt;$A33,($A$4-$A33)*IF(RTD("tos.rtd",,"OPEN_INT","."&amp;C$2&amp;C$1&amp;"C"&amp;$A33)="N/A",0,RTD("tos.rtd",,"OPEN_INT","."&amp;C$2&amp;C$1&amp;"C"&amp;$A33)),0)+IF($A$4&lt;$A33,($A$5-$A$4)*IF(RTD("tos.rtd",,"OPEN_INT","."&amp;C$2&amp;C$1&amp;"P"&amp;$A33)="N/A",0,RTD("tos.rtd",,"OPEN_INT","."&amp;C$2&amp;C$1&amp;"P"&amp;$A33)),0),IF($X$1="ABS",IF(RTD("tos.rtd",,$A$2,"."&amp;C$2&amp;C$1&amp;"C"&amp;$A33)="N/A",0,RTD("tos.rtd",,$A$2,"."&amp;C$2&amp;C$1&amp;"C"&amp;$A33))+IF(RTD("tos.rtd",,$A$2,"."&amp;C$2&amp;C$1&amp;"P"&amp;$A33)="N/A",0,RTD("tos.rtd",,$A$2,"."&amp;C$2&amp;C$1&amp;"P"&amp;$A33)),IF(RTD("tos.rtd",,$A$2,"."&amp;C$2&amp;C$1&amp;"C"&amp;$A33)="N/A",0,RTD("tos.rtd",,$A$2,"."&amp;C$2&amp;C$1&amp;"C"&amp;$A33))-IF(RTD("tos.rtd",,$A$2,"."&amp;C$2&amp;C$1&amp;"P"&amp;$A33)="N/A",0,RTD("tos.rtd",,$A$2,"."&amp;C$2&amp;C$1&amp;"P"&amp;$A33))))))))))</f>
        <v>8739</v>
      </c>
      <c r="D33" s="12">
        <f ca="1">IF($A$2="PREMIUM_OI",IFERROR(IF($X$1="ABS",(100*RTD("tos.rtd",,"OPEN_INT","."&amp;D$2&amp;D$1&amp;"C"&amp;$A33)*RTD("tos.rtd",,"LAST","."&amp;D$2&amp;D$1&amp;"C"&amp;$A33)+100*RTD("tos.rtd",,"OPEN_INT","."&amp;D$2&amp;D$1&amp;"P"&amp;$A33)*RTD("tos.rtd",,"LAST","."&amp;D$2&amp;D$1&amp;"P"&amp;$A33))/1000000,(100*RTD("tos.rtd",,"OPEN_INT","."&amp;D$2&amp;D$1&amp;"C"&amp;$A33)*RTD("tos.rtd",,"LAST","."&amp;D$2&amp;D$1&amp;"C"&amp;$A33)-100*RTD("tos.rtd",,"OPEN_INT","."&amp;D$2&amp;D$1&amp;"P"&amp;$A33)*RTD("tos.rtd",,"LAST","."&amp;D$2&amp;D$1&amp;"P"&amp;$A33))/1000000),0),IF($A$2="PREMIUM",IFERROR(IF($X$1="ABS",(100*RTD("tos.rtd",,"VOLUME","."&amp;D$2&amp;D$1&amp;"C"&amp;$A33)*RTD("tos.rtd",,"LAST","."&amp;D$2&amp;D$1&amp;"C"&amp;$A33)+100*RTD("tos.rtd",,"VOLUME","."&amp;D$2&amp;D$1&amp;"P"&amp;$A33)*RTD("tos.rtd",,"LAST","."&amp;D$2&amp;D$1&amp;"P"&amp;$A33))/1000000,(100*RTD("tos.rtd",,"VOLUME","."&amp;D$2&amp;D$1&amp;"C"&amp;$A33)*RTD("tos.rtd",,"LAST","."&amp;D$2&amp;D$1&amp;"C"&amp;$A33)-100*RTD("tos.rtd",,"VOLUME","."&amp;D$2&amp;D$1&amp;"P"&amp;$A33)*RTD("tos.rtd",,"LAST","."&amp;D$2&amp;D$1&amp;"P"&amp;$A33))/1000000),0),IF($A$2="DEX",IFERROR(IF($X$1="ABS",(100*RTD("tos.rtd",,"OPEN_INT","."&amp;D$2&amp;D$1&amp;"C"&amp;$A33)*RTD("tos.rtd",,"DELTA","."&amp;D$2&amp;D$1&amp;"C"&amp;$A33)+100*RTD("tos.rtd",,"OPEN_INT","."&amp;D$2&amp;D$1&amp;"P"&amp;$A33)*RTD("tos.rtd",,"DELTA","."&amp;D$2&amp;D$1&amp;"P"&amp;$A33))/1000,(100*RTD("tos.rtd",,"OPEN_INT","."&amp;D$2&amp;D$1&amp;"C"&amp;$A33)*RTD("tos.rtd",,"DELTA","."&amp;D$2&amp;D$1&amp;"C"&amp;$A33)-100*RTD("tos.rtd",,"OPEN_INT","."&amp;D$2&amp;D$1&amp;"P"&amp;$A33)*RTD("tos.rtd",,"DELTA","."&amp;D$2&amp;D$1&amp;"P"&amp;$A33))/1000),0),IF($A$2="VEX",IFERROR(IF($X$1="ABS",($A$4*$A$4*RTD("tos.rtd",,"VOLUME","."&amp;D$2&amp;D$1&amp;"C"&amp;$A33)*RTD("tos.rtd",,"GAMMA","."&amp;D$2&amp;D$1&amp;"C"&amp;$A33)+$A$4*$A$4*RTD("tos.rtd",,"VOLUME","."&amp;D$2&amp;D$1&amp;"P"&amp;$A33)*RTD("tos.rtd",,"GAMMA","."&amp;D$2&amp;D$1&amp;"P"&amp;$A33))/1000000,($A$4*$A$4*RTD("tos.rtd",,"VOLUME","."&amp;D$2&amp;D$1&amp;"C"&amp;$A33)*RTD("tos.rtd",,"GAMMA","."&amp;D$2&amp;D$1&amp;"C"&amp;$A33)-$A$4*$A$4*RTD("tos.rtd",,"VOLUME","."&amp;D$2&amp;D$1&amp;"P"&amp;$A33)*RTD("tos.rtd",,"GAMMA","."&amp;D$2&amp;D$1&amp;"P"&amp;$A33))/1000000),0),IF($A$2="GEX",IFERROR(IF($X$1="ABS",($A$4*$A$4*RTD("tos.rtd",,"OPEN_INT","."&amp;D$2&amp;D$1&amp;"C"&amp;$A33)*RTD("tos.rtd",,"GAMMA","."&amp;D$2&amp;D$1&amp;"C"&amp;$A33)+$A$4*$A$4*RTD("tos.rtd",,"OPEN_INT","."&amp;D$2&amp;D$1&amp;"P"&amp;$A33)*RTD("tos.rtd",,"GAMMA","."&amp;D$2&amp;D$1&amp;"P"&amp;$A33))/1000000,($A$4*$A$4*RTD("tos.rtd",,"OPEN_INT","."&amp;D$2&amp;D$1&amp;"C"&amp;$A33)*RTD("tos.rtd",,"GAMMA","."&amp;D$2&amp;D$1&amp;"C"&amp;$A33)-$A$4*$A$4*RTD("tos.rtd",,"OPEN_INT","."&amp;D$2&amp;D$1&amp;"P"&amp;$A33)*RTD("tos.rtd",,"GAMMA","."&amp;D$2&amp;D$1&amp;"P"&amp;$A33))/1000000),0),IF($A$2="SKEW",IFERROR(VALUE(IF(RTD("tos.rtd",,"IMPL_VOL","."&amp;D$2&amp;D$1&amp;"P"&amp;$A33)="N/A",0,RTD("tos.rtd",,"IMPL_VOL","."&amp;D$2&amp;D$1&amp;"P"&amp;$A33))),0)-IFERROR(VALUE(IF(RTD("tos.rtd",,"IMPL_VOL","."&amp;D$2&amp;D$1&amp;"C"&amp;$A33)="N/A",0,RTD("tos.rtd",,"IMPL_VOL","."&amp;D$2&amp;D$1&amp;"C"&amp;$A33))),0),IF($A$2="MAXPAIN",IF($A$4&gt;$A33,($A$4-$A33)*IF(RTD("tos.rtd",,"OPEN_INT","."&amp;D$2&amp;D$1&amp;"C"&amp;$A33)="N/A",0,RTD("tos.rtd",,"OPEN_INT","."&amp;D$2&amp;D$1&amp;"C"&amp;$A33)),0)+IF($A$4&lt;$A33,($A$5-$A$4)*IF(RTD("tos.rtd",,"OPEN_INT","."&amp;D$2&amp;D$1&amp;"P"&amp;$A33)="N/A",0,RTD("tos.rtd",,"OPEN_INT","."&amp;D$2&amp;D$1&amp;"P"&amp;$A33)),0),IF($X$1="ABS",IF(RTD("tos.rtd",,$A$2,"."&amp;D$2&amp;D$1&amp;"C"&amp;$A33)="N/A",0,RTD("tos.rtd",,$A$2,"."&amp;D$2&amp;D$1&amp;"C"&amp;$A33))+IF(RTD("tos.rtd",,$A$2,"."&amp;D$2&amp;D$1&amp;"P"&amp;$A33)="N/A",0,RTD("tos.rtd",,$A$2,"."&amp;D$2&amp;D$1&amp;"P"&amp;$A33)),IF(RTD("tos.rtd",,$A$2,"."&amp;D$2&amp;D$1&amp;"C"&amp;$A33)="N/A",0,RTD("tos.rtd",,$A$2,"."&amp;D$2&amp;D$1&amp;"C"&amp;$A33))-IF(RTD("tos.rtd",,$A$2,"."&amp;D$2&amp;D$1&amp;"P"&amp;$A33)="N/A",0,RTD("tos.rtd",,$A$2,"."&amp;D$2&amp;D$1&amp;"P"&amp;$A33))))))))))</f>
        <v>2820</v>
      </c>
      <c r="E33" s="12">
        <f ca="1">IF($A$2="PREMIUM_OI",IFERROR(IF($X$1="ABS",(100*RTD("tos.rtd",,"OPEN_INT","."&amp;E$2&amp;E$1&amp;"C"&amp;$A33)*RTD("tos.rtd",,"LAST","."&amp;E$2&amp;E$1&amp;"C"&amp;$A33)+100*RTD("tos.rtd",,"OPEN_INT","."&amp;E$2&amp;E$1&amp;"P"&amp;$A33)*RTD("tos.rtd",,"LAST","."&amp;E$2&amp;E$1&amp;"P"&amp;$A33))/1000000,(100*RTD("tos.rtd",,"OPEN_INT","."&amp;E$2&amp;E$1&amp;"C"&amp;$A33)*RTD("tos.rtd",,"LAST","."&amp;E$2&amp;E$1&amp;"C"&amp;$A33)-100*RTD("tos.rtd",,"OPEN_INT","."&amp;E$2&amp;E$1&amp;"P"&amp;$A33)*RTD("tos.rtd",,"LAST","."&amp;E$2&amp;E$1&amp;"P"&amp;$A33))/1000000),0),IF($A$2="PREMIUM",IFERROR(IF($X$1="ABS",(100*RTD("tos.rtd",,"VOLUME","."&amp;E$2&amp;E$1&amp;"C"&amp;$A33)*RTD("tos.rtd",,"LAST","."&amp;E$2&amp;E$1&amp;"C"&amp;$A33)+100*RTD("tos.rtd",,"VOLUME","."&amp;E$2&amp;E$1&amp;"P"&amp;$A33)*RTD("tos.rtd",,"LAST","."&amp;E$2&amp;E$1&amp;"P"&amp;$A33))/1000000,(100*RTD("tos.rtd",,"VOLUME","."&amp;E$2&amp;E$1&amp;"C"&amp;$A33)*RTD("tos.rtd",,"LAST","."&amp;E$2&amp;E$1&amp;"C"&amp;$A33)-100*RTD("tos.rtd",,"VOLUME","."&amp;E$2&amp;E$1&amp;"P"&amp;$A33)*RTD("tos.rtd",,"LAST","."&amp;E$2&amp;E$1&amp;"P"&amp;$A33))/1000000),0),IF($A$2="DEX",IFERROR(IF($X$1="ABS",(100*RTD("tos.rtd",,"OPEN_INT","."&amp;E$2&amp;E$1&amp;"C"&amp;$A33)*RTD("tos.rtd",,"DELTA","."&amp;E$2&amp;E$1&amp;"C"&amp;$A33)+100*RTD("tos.rtd",,"OPEN_INT","."&amp;E$2&amp;E$1&amp;"P"&amp;$A33)*RTD("tos.rtd",,"DELTA","."&amp;E$2&amp;E$1&amp;"P"&amp;$A33))/1000,(100*RTD("tos.rtd",,"OPEN_INT","."&amp;E$2&amp;E$1&amp;"C"&amp;$A33)*RTD("tos.rtd",,"DELTA","."&amp;E$2&amp;E$1&amp;"C"&amp;$A33)-100*RTD("tos.rtd",,"OPEN_INT","."&amp;E$2&amp;E$1&amp;"P"&amp;$A33)*RTD("tos.rtd",,"DELTA","."&amp;E$2&amp;E$1&amp;"P"&amp;$A33))/1000),0),IF($A$2="VEX",IFERROR(IF($X$1="ABS",($A$4*$A$4*RTD("tos.rtd",,"VOLUME","."&amp;E$2&amp;E$1&amp;"C"&amp;$A33)*RTD("tos.rtd",,"GAMMA","."&amp;E$2&amp;E$1&amp;"C"&amp;$A33)+$A$4*$A$4*RTD("tos.rtd",,"VOLUME","."&amp;E$2&amp;E$1&amp;"P"&amp;$A33)*RTD("tos.rtd",,"GAMMA","."&amp;E$2&amp;E$1&amp;"P"&amp;$A33))/1000000,($A$4*$A$4*RTD("tos.rtd",,"VOLUME","."&amp;E$2&amp;E$1&amp;"C"&amp;$A33)*RTD("tos.rtd",,"GAMMA","."&amp;E$2&amp;E$1&amp;"C"&amp;$A33)-$A$4*$A$4*RTD("tos.rtd",,"VOLUME","."&amp;E$2&amp;E$1&amp;"P"&amp;$A33)*RTD("tos.rtd",,"GAMMA","."&amp;E$2&amp;E$1&amp;"P"&amp;$A33))/1000000),0),IF($A$2="GEX",IFERROR(IF($X$1="ABS",($A$4*$A$4*RTD("tos.rtd",,"OPEN_INT","."&amp;E$2&amp;E$1&amp;"C"&amp;$A33)*RTD("tos.rtd",,"GAMMA","."&amp;E$2&amp;E$1&amp;"C"&amp;$A33)+$A$4*$A$4*RTD("tos.rtd",,"OPEN_INT","."&amp;E$2&amp;E$1&amp;"P"&amp;$A33)*RTD("tos.rtd",,"GAMMA","."&amp;E$2&amp;E$1&amp;"P"&amp;$A33))/1000000,($A$4*$A$4*RTD("tos.rtd",,"OPEN_INT","."&amp;E$2&amp;E$1&amp;"C"&amp;$A33)*RTD("tos.rtd",,"GAMMA","."&amp;E$2&amp;E$1&amp;"C"&amp;$A33)-$A$4*$A$4*RTD("tos.rtd",,"OPEN_INT","."&amp;E$2&amp;E$1&amp;"P"&amp;$A33)*RTD("tos.rtd",,"GAMMA","."&amp;E$2&amp;E$1&amp;"P"&amp;$A33))/1000000),0),IF($A$2="SKEW",IFERROR(VALUE(IF(RTD("tos.rtd",,"IMPL_VOL","."&amp;E$2&amp;E$1&amp;"P"&amp;$A33)="N/A",0,RTD("tos.rtd",,"IMPL_VOL","."&amp;E$2&amp;E$1&amp;"P"&amp;$A33))),0)-IFERROR(VALUE(IF(RTD("tos.rtd",,"IMPL_VOL","."&amp;E$2&amp;E$1&amp;"C"&amp;$A33)="N/A",0,RTD("tos.rtd",,"IMPL_VOL","."&amp;E$2&amp;E$1&amp;"C"&amp;$A33))),0),IF($A$2="MAXPAIN",IF($A$4&gt;$A33,($A$4-$A33)*IF(RTD("tos.rtd",,"OPEN_INT","."&amp;E$2&amp;E$1&amp;"C"&amp;$A33)="N/A",0,RTD("tos.rtd",,"OPEN_INT","."&amp;E$2&amp;E$1&amp;"C"&amp;$A33)),0)+IF($A$4&lt;$A33,($A$5-$A$4)*IF(RTD("tos.rtd",,"OPEN_INT","."&amp;E$2&amp;E$1&amp;"P"&amp;$A33)="N/A",0,RTD("tos.rtd",,"OPEN_INT","."&amp;E$2&amp;E$1&amp;"P"&amp;$A33)),0),IF($X$1="ABS",IF(RTD("tos.rtd",,$A$2,"."&amp;E$2&amp;E$1&amp;"C"&amp;$A33)="N/A",0,RTD("tos.rtd",,$A$2,"."&amp;E$2&amp;E$1&amp;"C"&amp;$A33))+IF(RTD("tos.rtd",,$A$2,"."&amp;E$2&amp;E$1&amp;"P"&amp;$A33)="N/A",0,RTD("tos.rtd",,$A$2,"."&amp;E$2&amp;E$1&amp;"P"&amp;$A33)),IF(RTD("tos.rtd",,$A$2,"."&amp;E$2&amp;E$1&amp;"C"&amp;$A33)="N/A",0,RTD("tos.rtd",,$A$2,"."&amp;E$2&amp;E$1&amp;"C"&amp;$A33))-IF(RTD("tos.rtd",,$A$2,"."&amp;E$2&amp;E$1&amp;"P"&amp;$A33)="N/A",0,RTD("tos.rtd",,$A$2,"."&amp;E$2&amp;E$1&amp;"P"&amp;$A33))))))))))</f>
        <v>1449</v>
      </c>
      <c r="F33" s="12">
        <f ca="1">IF($A$2="PREMIUM_OI",IFERROR(IF($X$1="ABS",(100*RTD("tos.rtd",,"OPEN_INT","."&amp;F$2&amp;F$1&amp;"C"&amp;$A33)*RTD("tos.rtd",,"LAST","."&amp;F$2&amp;F$1&amp;"C"&amp;$A33)+100*RTD("tos.rtd",,"OPEN_INT","."&amp;F$2&amp;F$1&amp;"P"&amp;$A33)*RTD("tos.rtd",,"LAST","."&amp;F$2&amp;F$1&amp;"P"&amp;$A33))/1000000,(100*RTD("tos.rtd",,"OPEN_INT","."&amp;F$2&amp;F$1&amp;"C"&amp;$A33)*RTD("tos.rtd",,"LAST","."&amp;F$2&amp;F$1&amp;"C"&amp;$A33)-100*RTD("tos.rtd",,"OPEN_INT","."&amp;F$2&amp;F$1&amp;"P"&amp;$A33)*RTD("tos.rtd",,"LAST","."&amp;F$2&amp;F$1&amp;"P"&amp;$A33))/1000000),0),IF($A$2="PREMIUM",IFERROR(IF($X$1="ABS",(100*RTD("tos.rtd",,"VOLUME","."&amp;F$2&amp;F$1&amp;"C"&amp;$A33)*RTD("tos.rtd",,"LAST","."&amp;F$2&amp;F$1&amp;"C"&amp;$A33)+100*RTD("tos.rtd",,"VOLUME","."&amp;F$2&amp;F$1&amp;"P"&amp;$A33)*RTD("tos.rtd",,"LAST","."&amp;F$2&amp;F$1&amp;"P"&amp;$A33))/1000000,(100*RTD("tos.rtd",,"VOLUME","."&amp;F$2&amp;F$1&amp;"C"&amp;$A33)*RTD("tos.rtd",,"LAST","."&amp;F$2&amp;F$1&amp;"C"&amp;$A33)-100*RTD("tos.rtd",,"VOLUME","."&amp;F$2&amp;F$1&amp;"P"&amp;$A33)*RTD("tos.rtd",,"LAST","."&amp;F$2&amp;F$1&amp;"P"&amp;$A33))/1000000),0),IF($A$2="DEX",IFERROR(IF($X$1="ABS",(100*RTD("tos.rtd",,"OPEN_INT","."&amp;F$2&amp;F$1&amp;"C"&amp;$A33)*RTD("tos.rtd",,"DELTA","."&amp;F$2&amp;F$1&amp;"C"&amp;$A33)+100*RTD("tos.rtd",,"OPEN_INT","."&amp;F$2&amp;F$1&amp;"P"&amp;$A33)*RTD("tos.rtd",,"DELTA","."&amp;F$2&amp;F$1&amp;"P"&amp;$A33))/1000,(100*RTD("tos.rtd",,"OPEN_INT","."&amp;F$2&amp;F$1&amp;"C"&amp;$A33)*RTD("tos.rtd",,"DELTA","."&amp;F$2&amp;F$1&amp;"C"&amp;$A33)-100*RTD("tos.rtd",,"OPEN_INT","."&amp;F$2&amp;F$1&amp;"P"&amp;$A33)*RTD("tos.rtd",,"DELTA","."&amp;F$2&amp;F$1&amp;"P"&amp;$A33))/1000),0),IF($A$2="VEX",IFERROR(IF($X$1="ABS",($A$4*$A$4*RTD("tos.rtd",,"VOLUME","."&amp;F$2&amp;F$1&amp;"C"&amp;$A33)*RTD("tos.rtd",,"GAMMA","."&amp;F$2&amp;F$1&amp;"C"&amp;$A33)+$A$4*$A$4*RTD("tos.rtd",,"VOLUME","."&amp;F$2&amp;F$1&amp;"P"&amp;$A33)*RTD("tos.rtd",,"GAMMA","."&amp;F$2&amp;F$1&amp;"P"&amp;$A33))/1000000,($A$4*$A$4*RTD("tos.rtd",,"VOLUME","."&amp;F$2&amp;F$1&amp;"C"&amp;$A33)*RTD("tos.rtd",,"GAMMA","."&amp;F$2&amp;F$1&amp;"C"&amp;$A33)-$A$4*$A$4*RTD("tos.rtd",,"VOLUME","."&amp;F$2&amp;F$1&amp;"P"&amp;$A33)*RTD("tos.rtd",,"GAMMA","."&amp;F$2&amp;F$1&amp;"P"&amp;$A33))/1000000),0),IF($A$2="GEX",IFERROR(IF($X$1="ABS",($A$4*$A$4*RTD("tos.rtd",,"OPEN_INT","."&amp;F$2&amp;F$1&amp;"C"&amp;$A33)*RTD("tos.rtd",,"GAMMA","."&amp;F$2&amp;F$1&amp;"C"&amp;$A33)+$A$4*$A$4*RTD("tos.rtd",,"OPEN_INT","."&amp;F$2&amp;F$1&amp;"P"&amp;$A33)*RTD("tos.rtd",,"GAMMA","."&amp;F$2&amp;F$1&amp;"P"&amp;$A33))/1000000,($A$4*$A$4*RTD("tos.rtd",,"OPEN_INT","."&amp;F$2&amp;F$1&amp;"C"&amp;$A33)*RTD("tos.rtd",,"GAMMA","."&amp;F$2&amp;F$1&amp;"C"&amp;$A33)-$A$4*$A$4*RTD("tos.rtd",,"OPEN_INT","."&amp;F$2&amp;F$1&amp;"P"&amp;$A33)*RTD("tos.rtd",,"GAMMA","."&amp;F$2&amp;F$1&amp;"P"&amp;$A33))/1000000),0),IF($A$2="SKEW",IFERROR(VALUE(IF(RTD("tos.rtd",,"IMPL_VOL","."&amp;F$2&amp;F$1&amp;"P"&amp;$A33)="N/A",0,RTD("tos.rtd",,"IMPL_VOL","."&amp;F$2&amp;F$1&amp;"P"&amp;$A33))),0)-IFERROR(VALUE(IF(RTD("tos.rtd",,"IMPL_VOL","."&amp;F$2&amp;F$1&amp;"C"&amp;$A33)="N/A",0,RTD("tos.rtd",,"IMPL_VOL","."&amp;F$2&amp;F$1&amp;"C"&amp;$A33))),0),IF($A$2="MAXPAIN",IF($A$4&gt;$A33,($A$4-$A33)*IF(RTD("tos.rtd",,"OPEN_INT","."&amp;F$2&amp;F$1&amp;"C"&amp;$A33)="N/A",0,RTD("tos.rtd",,"OPEN_INT","."&amp;F$2&amp;F$1&amp;"C"&amp;$A33)),0)+IF($A$4&lt;$A33,($A$5-$A$4)*IF(RTD("tos.rtd",,"OPEN_INT","."&amp;F$2&amp;F$1&amp;"P"&amp;$A33)="N/A",0,RTD("tos.rtd",,"OPEN_INT","."&amp;F$2&amp;F$1&amp;"P"&amp;$A33)),0),IF($X$1="ABS",IF(RTD("tos.rtd",,$A$2,"."&amp;F$2&amp;F$1&amp;"C"&amp;$A33)="N/A",0,RTD("tos.rtd",,$A$2,"."&amp;F$2&amp;F$1&amp;"C"&amp;$A33))+IF(RTD("tos.rtd",,$A$2,"."&amp;F$2&amp;F$1&amp;"P"&amp;$A33)="N/A",0,RTD("tos.rtd",,$A$2,"."&amp;F$2&amp;F$1&amp;"P"&amp;$A33)),IF(RTD("tos.rtd",,$A$2,"."&amp;F$2&amp;F$1&amp;"C"&amp;$A33)="N/A",0,RTD("tos.rtd",,$A$2,"."&amp;F$2&amp;F$1&amp;"C"&amp;$A33))-IF(RTD("tos.rtd",,$A$2,"."&amp;F$2&amp;F$1&amp;"P"&amp;$A33)="N/A",0,RTD("tos.rtd",,$A$2,"."&amp;F$2&amp;F$1&amp;"P"&amp;$A33))))))))))</f>
        <v>983</v>
      </c>
      <c r="G33" s="57">
        <f ca="1">IF($A$2="PREMIUM_OI",IFERROR(IF($X$1="ABS",(100*RTD("tos.rtd",,"OPEN_INT","."&amp;G$2&amp;G$1&amp;"C"&amp;$A33)*RTD("tos.rtd",,"LAST","."&amp;G$2&amp;G$1&amp;"C"&amp;$A33)+100*RTD("tos.rtd",,"OPEN_INT","."&amp;G$2&amp;G$1&amp;"P"&amp;$A33)*RTD("tos.rtd",,"LAST","."&amp;G$2&amp;G$1&amp;"P"&amp;$A33))/1000000,(100*RTD("tos.rtd",,"OPEN_INT","."&amp;G$2&amp;G$1&amp;"C"&amp;$A33)*RTD("tos.rtd",,"LAST","."&amp;G$2&amp;G$1&amp;"C"&amp;$A33)-100*RTD("tos.rtd",,"OPEN_INT","."&amp;G$2&amp;G$1&amp;"P"&amp;$A33)*RTD("tos.rtd",,"LAST","."&amp;G$2&amp;G$1&amp;"P"&amp;$A33))/1000000),0),IF($A$2="PREMIUM",IFERROR(IF($X$1="ABS",(100*RTD("tos.rtd",,"VOLUME","."&amp;G$2&amp;G$1&amp;"C"&amp;$A33)*RTD("tos.rtd",,"LAST","."&amp;G$2&amp;G$1&amp;"C"&amp;$A33)+100*RTD("tos.rtd",,"VOLUME","."&amp;G$2&amp;G$1&amp;"P"&amp;$A33)*RTD("tos.rtd",,"LAST","."&amp;G$2&amp;G$1&amp;"P"&amp;$A33))/1000000,(100*RTD("tos.rtd",,"VOLUME","."&amp;G$2&amp;G$1&amp;"C"&amp;$A33)*RTD("tos.rtd",,"LAST","."&amp;G$2&amp;G$1&amp;"C"&amp;$A33)-100*RTD("tos.rtd",,"VOLUME","."&amp;G$2&amp;G$1&amp;"P"&amp;$A33)*RTD("tos.rtd",,"LAST","."&amp;G$2&amp;G$1&amp;"P"&amp;$A33))/1000000),0),IF($A$2="DEX",IFERROR(IF($X$1="ABS",(100*RTD("tos.rtd",,"OPEN_INT","."&amp;G$2&amp;G$1&amp;"C"&amp;$A33)*RTD("tos.rtd",,"DELTA","."&amp;G$2&amp;G$1&amp;"C"&amp;$A33)+100*RTD("tos.rtd",,"OPEN_INT","."&amp;G$2&amp;G$1&amp;"P"&amp;$A33)*RTD("tos.rtd",,"DELTA","."&amp;G$2&amp;G$1&amp;"P"&amp;$A33))/1000,(100*RTD("tos.rtd",,"OPEN_INT","."&amp;G$2&amp;G$1&amp;"C"&amp;$A33)*RTD("tos.rtd",,"DELTA","."&amp;G$2&amp;G$1&amp;"C"&amp;$A33)-100*RTD("tos.rtd",,"OPEN_INT","."&amp;G$2&amp;G$1&amp;"P"&amp;$A33)*RTD("tos.rtd",,"DELTA","."&amp;G$2&amp;G$1&amp;"P"&amp;$A33))/1000),0),IF($A$2="VEX",IFERROR(IF($X$1="ABS",($A$4*$A$4*RTD("tos.rtd",,"VOLUME","."&amp;G$2&amp;G$1&amp;"C"&amp;$A33)*RTD("tos.rtd",,"GAMMA","."&amp;G$2&amp;G$1&amp;"C"&amp;$A33)+$A$4*$A$4*RTD("tos.rtd",,"VOLUME","."&amp;G$2&amp;G$1&amp;"P"&amp;$A33)*RTD("tos.rtd",,"GAMMA","."&amp;G$2&amp;G$1&amp;"P"&amp;$A33))/1000000,($A$4*$A$4*RTD("tos.rtd",,"VOLUME","."&amp;G$2&amp;G$1&amp;"C"&amp;$A33)*RTD("tos.rtd",,"GAMMA","."&amp;G$2&amp;G$1&amp;"C"&amp;$A33)-$A$4*$A$4*RTD("tos.rtd",,"VOLUME","."&amp;G$2&amp;G$1&amp;"P"&amp;$A33)*RTD("tos.rtd",,"GAMMA","."&amp;G$2&amp;G$1&amp;"P"&amp;$A33))/1000000),0),IF($A$2="GEX",IFERROR(IF($X$1="ABS",($A$4*$A$4*RTD("tos.rtd",,"OPEN_INT","."&amp;G$2&amp;G$1&amp;"C"&amp;$A33)*RTD("tos.rtd",,"GAMMA","."&amp;G$2&amp;G$1&amp;"C"&amp;$A33)+$A$4*$A$4*RTD("tos.rtd",,"OPEN_INT","."&amp;G$2&amp;G$1&amp;"P"&amp;$A33)*RTD("tos.rtd",,"GAMMA","."&amp;G$2&amp;G$1&amp;"P"&amp;$A33))/1000000,($A$4*$A$4*RTD("tos.rtd",,"OPEN_INT","."&amp;G$2&amp;G$1&amp;"C"&amp;$A33)*RTD("tos.rtd",,"GAMMA","."&amp;G$2&amp;G$1&amp;"C"&amp;$A33)-$A$4*$A$4*RTD("tos.rtd",,"OPEN_INT","."&amp;G$2&amp;G$1&amp;"P"&amp;$A33)*RTD("tos.rtd",,"GAMMA","."&amp;G$2&amp;G$1&amp;"P"&amp;$A33))/1000000),0),IF($A$2="SKEW",IFERROR(VALUE(IF(RTD("tos.rtd",,"IMPL_VOL","."&amp;G$2&amp;G$1&amp;"P"&amp;$A33)="N/A",0,RTD("tos.rtd",,"IMPL_VOL","."&amp;G$2&amp;G$1&amp;"P"&amp;$A33))),0)-IFERROR(VALUE(IF(RTD("tos.rtd",,"IMPL_VOL","."&amp;G$2&amp;G$1&amp;"C"&amp;$A33)="N/A",0,RTD("tos.rtd",,"IMPL_VOL","."&amp;G$2&amp;G$1&amp;"C"&amp;$A33))),0),IF($A$2="MAXPAIN",IF($A$4&gt;$A33,($A$4-$A33)*IF(RTD("tos.rtd",,"OPEN_INT","."&amp;G$2&amp;G$1&amp;"C"&amp;$A33)="N/A",0,RTD("tos.rtd",,"OPEN_INT","."&amp;G$2&amp;G$1&amp;"C"&amp;$A33)),0)+IF($A$4&lt;$A33,($A$5-$A$4)*IF(RTD("tos.rtd",,"OPEN_INT","."&amp;G$2&amp;G$1&amp;"P"&amp;$A33)="N/A",0,RTD("tos.rtd",,"OPEN_INT","."&amp;G$2&amp;G$1&amp;"P"&amp;$A33)),0),IF($X$1="ABS",IF(RTD("tos.rtd",,$A$2,"."&amp;G$2&amp;G$1&amp;"C"&amp;$A33)="N/A",0,RTD("tos.rtd",,$A$2,"."&amp;G$2&amp;G$1&amp;"C"&amp;$A33))+IF(RTD("tos.rtd",,$A$2,"."&amp;G$2&amp;G$1&amp;"P"&amp;$A33)="N/A",0,RTD("tos.rtd",,$A$2,"."&amp;G$2&amp;G$1&amp;"P"&amp;$A33)),IF(RTD("tos.rtd",,$A$2,"."&amp;G$2&amp;G$1&amp;"C"&amp;$A33)="N/A",0,RTD("tos.rtd",,$A$2,"."&amp;G$2&amp;G$1&amp;"C"&amp;$A33))-IF(RTD("tos.rtd",,$A$2,"."&amp;G$2&amp;G$1&amp;"P"&amp;$A33)="N/A",0,RTD("tos.rtd",,$A$2,"."&amp;G$2&amp;G$1&amp;"P"&amp;$A33))))))))))</f>
        <v>8043</v>
      </c>
      <c r="H33" s="14">
        <f ca="1">IF($A$2="PREMIUM_OI",IFERROR(IF($X$1="ABS",(100*RTD("tos.rtd",,"OPEN_INT","."&amp;H$2&amp;H$1&amp;"C"&amp;$A33)*RTD("tos.rtd",,"LAST","."&amp;H$2&amp;H$1&amp;"C"&amp;$A33)+100*RTD("tos.rtd",,"OPEN_INT","."&amp;H$2&amp;H$1&amp;"P"&amp;$A33)*RTD("tos.rtd",,"LAST","."&amp;H$2&amp;H$1&amp;"P"&amp;$A33))/1000000,(100*RTD("tos.rtd",,"OPEN_INT","."&amp;H$2&amp;H$1&amp;"C"&amp;$A33)*RTD("tos.rtd",,"LAST","."&amp;H$2&amp;H$1&amp;"C"&amp;$A33)-100*RTD("tos.rtd",,"OPEN_INT","."&amp;H$2&amp;H$1&amp;"P"&amp;$A33)*RTD("tos.rtd",,"LAST","."&amp;H$2&amp;H$1&amp;"P"&amp;$A33))/1000000),0),IF($A$2="PREMIUM",IFERROR(IF($X$1="ABS",(100*RTD("tos.rtd",,"VOLUME","."&amp;H$2&amp;H$1&amp;"C"&amp;$A33)*RTD("tos.rtd",,"LAST","."&amp;H$2&amp;H$1&amp;"C"&amp;$A33)+100*RTD("tos.rtd",,"VOLUME","."&amp;H$2&amp;H$1&amp;"P"&amp;$A33)*RTD("tos.rtd",,"LAST","."&amp;H$2&amp;H$1&amp;"P"&amp;$A33))/1000000,(100*RTD("tos.rtd",,"VOLUME","."&amp;H$2&amp;H$1&amp;"C"&amp;$A33)*RTD("tos.rtd",,"LAST","."&amp;H$2&amp;H$1&amp;"C"&amp;$A33)-100*RTD("tos.rtd",,"VOLUME","."&amp;H$2&amp;H$1&amp;"P"&amp;$A33)*RTD("tos.rtd",,"LAST","."&amp;H$2&amp;H$1&amp;"P"&amp;$A33))/1000000),0),IF($A$2="DEX",IFERROR(IF($X$1="ABS",(100*RTD("tos.rtd",,"OPEN_INT","."&amp;H$2&amp;H$1&amp;"C"&amp;$A33)*RTD("tos.rtd",,"DELTA","."&amp;H$2&amp;H$1&amp;"C"&amp;$A33)+100*RTD("tos.rtd",,"OPEN_INT","."&amp;H$2&amp;H$1&amp;"P"&amp;$A33)*RTD("tos.rtd",,"DELTA","."&amp;H$2&amp;H$1&amp;"P"&amp;$A33))/1000,(100*RTD("tos.rtd",,"OPEN_INT","."&amp;H$2&amp;H$1&amp;"C"&amp;$A33)*RTD("tos.rtd",,"DELTA","."&amp;H$2&amp;H$1&amp;"C"&amp;$A33)-100*RTD("tos.rtd",,"OPEN_INT","."&amp;H$2&amp;H$1&amp;"P"&amp;$A33)*RTD("tos.rtd",,"DELTA","."&amp;H$2&amp;H$1&amp;"P"&amp;$A33))/1000),0),IF($A$2="VEX",IFERROR(IF($X$1="ABS",($A$4*$A$4*RTD("tos.rtd",,"VOLUME","."&amp;H$2&amp;H$1&amp;"C"&amp;$A33)*RTD("tos.rtd",,"GAMMA","."&amp;H$2&amp;H$1&amp;"C"&amp;$A33)+$A$4*$A$4*RTD("tos.rtd",,"VOLUME","."&amp;H$2&amp;H$1&amp;"P"&amp;$A33)*RTD("tos.rtd",,"GAMMA","."&amp;H$2&amp;H$1&amp;"P"&amp;$A33))/1000000,($A$4*$A$4*RTD("tos.rtd",,"VOLUME","."&amp;H$2&amp;H$1&amp;"C"&amp;$A33)*RTD("tos.rtd",,"GAMMA","."&amp;H$2&amp;H$1&amp;"C"&amp;$A33)-$A$4*$A$4*RTD("tos.rtd",,"VOLUME","."&amp;H$2&amp;H$1&amp;"P"&amp;$A33)*RTD("tos.rtd",,"GAMMA","."&amp;H$2&amp;H$1&amp;"P"&amp;$A33))/1000000),0),IF($A$2="GEX",IFERROR(IF($X$1="ABS",($A$4*$A$4*RTD("tos.rtd",,"OPEN_INT","."&amp;H$2&amp;H$1&amp;"C"&amp;$A33)*RTD("tos.rtd",,"GAMMA","."&amp;H$2&amp;H$1&amp;"C"&amp;$A33)+$A$4*$A$4*RTD("tos.rtd",,"OPEN_INT","."&amp;H$2&amp;H$1&amp;"P"&amp;$A33)*RTD("tos.rtd",,"GAMMA","."&amp;H$2&amp;H$1&amp;"P"&amp;$A33))/1000000,($A$4*$A$4*RTD("tos.rtd",,"OPEN_INT","."&amp;H$2&amp;H$1&amp;"C"&amp;$A33)*RTD("tos.rtd",,"GAMMA","."&amp;H$2&amp;H$1&amp;"C"&amp;$A33)-$A$4*$A$4*RTD("tos.rtd",,"OPEN_INT","."&amp;H$2&amp;H$1&amp;"P"&amp;$A33)*RTD("tos.rtd",,"GAMMA","."&amp;H$2&amp;H$1&amp;"P"&amp;$A33))/1000000),0),IF($A$2="SKEW",IFERROR(VALUE(IF(RTD("tos.rtd",,"IMPL_VOL","."&amp;H$2&amp;H$1&amp;"P"&amp;$A33)="N/A",0,RTD("tos.rtd",,"IMPL_VOL","."&amp;H$2&amp;H$1&amp;"P"&amp;$A33))),0)-IFERROR(VALUE(IF(RTD("tos.rtd",,"IMPL_VOL","."&amp;H$2&amp;H$1&amp;"C"&amp;$A33)="N/A",0,RTD("tos.rtd",,"IMPL_VOL","."&amp;H$2&amp;H$1&amp;"C"&amp;$A33))),0),IF($A$2="MAXPAIN",IF($A$4&gt;$A33,($A$4-$A33)*IF(RTD("tos.rtd",,"OPEN_INT","."&amp;H$2&amp;H$1&amp;"C"&amp;$A33)="N/A",0,RTD("tos.rtd",,"OPEN_INT","."&amp;H$2&amp;H$1&amp;"C"&amp;$A33)),0)+IF($A$4&lt;$A33,($A$5-$A$4)*IF(RTD("tos.rtd",,"OPEN_INT","."&amp;H$2&amp;H$1&amp;"P"&amp;$A33)="N/A",0,RTD("tos.rtd",,"OPEN_INT","."&amp;H$2&amp;H$1&amp;"P"&amp;$A33)),0),IF($X$1="ABS",IF(RTD("tos.rtd",,$A$2,"."&amp;H$2&amp;H$1&amp;"C"&amp;$A33)="N/A",0,RTD("tos.rtd",,$A$2,"."&amp;H$2&amp;H$1&amp;"C"&amp;$A33))+IF(RTD("tos.rtd",,$A$2,"."&amp;H$2&amp;H$1&amp;"P"&amp;$A33)="N/A",0,RTD("tos.rtd",,$A$2,"."&amp;H$2&amp;H$1&amp;"P"&amp;$A33)),IF(RTD("tos.rtd",,$A$2,"."&amp;H$2&amp;H$1&amp;"C"&amp;$A33)="N/A",0,RTD("tos.rtd",,$A$2,"."&amp;H$2&amp;H$1&amp;"C"&amp;$A33))-IF(RTD("tos.rtd",,$A$2,"."&amp;H$2&amp;H$1&amp;"P"&amp;$A33)="N/A",0,RTD("tos.rtd",,$A$2,"."&amp;H$2&amp;H$1&amp;"P"&amp;$A33))))))))))</f>
        <v>0</v>
      </c>
      <c r="I33" s="12">
        <f ca="1">IF($A$2="PREMIUM_OI",IFERROR(IF($X$1="ABS",(100*RTD("tos.rtd",,"OPEN_INT","."&amp;I$2&amp;I$1&amp;"C"&amp;$A33)*RTD("tos.rtd",,"LAST","."&amp;I$2&amp;I$1&amp;"C"&amp;$A33)+100*RTD("tos.rtd",,"OPEN_INT","."&amp;I$2&amp;I$1&amp;"P"&amp;$A33)*RTD("tos.rtd",,"LAST","."&amp;I$2&amp;I$1&amp;"P"&amp;$A33))/1000000,(100*RTD("tos.rtd",,"OPEN_INT","."&amp;I$2&amp;I$1&amp;"C"&amp;$A33)*RTD("tos.rtd",,"LAST","."&amp;I$2&amp;I$1&amp;"C"&amp;$A33)-100*RTD("tos.rtd",,"OPEN_INT","."&amp;I$2&amp;I$1&amp;"P"&amp;$A33)*RTD("tos.rtd",,"LAST","."&amp;I$2&amp;I$1&amp;"P"&amp;$A33))/1000000),0),IF($A$2="PREMIUM",IFERROR(IF($X$1="ABS",(100*RTD("tos.rtd",,"VOLUME","."&amp;I$2&amp;I$1&amp;"C"&amp;$A33)*RTD("tos.rtd",,"LAST","."&amp;I$2&amp;I$1&amp;"C"&amp;$A33)+100*RTD("tos.rtd",,"VOLUME","."&amp;I$2&amp;I$1&amp;"P"&amp;$A33)*RTD("tos.rtd",,"LAST","."&amp;I$2&amp;I$1&amp;"P"&amp;$A33))/1000000,(100*RTD("tos.rtd",,"VOLUME","."&amp;I$2&amp;I$1&amp;"C"&amp;$A33)*RTD("tos.rtd",,"LAST","."&amp;I$2&amp;I$1&amp;"C"&amp;$A33)-100*RTD("tos.rtd",,"VOLUME","."&amp;I$2&amp;I$1&amp;"P"&amp;$A33)*RTD("tos.rtd",,"LAST","."&amp;I$2&amp;I$1&amp;"P"&amp;$A33))/1000000),0),IF($A$2="DEX",IFERROR(IF($X$1="ABS",(100*RTD("tos.rtd",,"OPEN_INT","."&amp;I$2&amp;I$1&amp;"C"&amp;$A33)*RTD("tos.rtd",,"DELTA","."&amp;I$2&amp;I$1&amp;"C"&amp;$A33)+100*RTD("tos.rtd",,"OPEN_INT","."&amp;I$2&amp;I$1&amp;"P"&amp;$A33)*RTD("tos.rtd",,"DELTA","."&amp;I$2&amp;I$1&amp;"P"&amp;$A33))/1000,(100*RTD("tos.rtd",,"OPEN_INT","."&amp;I$2&amp;I$1&amp;"C"&amp;$A33)*RTD("tos.rtd",,"DELTA","."&amp;I$2&amp;I$1&amp;"C"&amp;$A33)-100*RTD("tos.rtd",,"OPEN_INT","."&amp;I$2&amp;I$1&amp;"P"&amp;$A33)*RTD("tos.rtd",,"DELTA","."&amp;I$2&amp;I$1&amp;"P"&amp;$A33))/1000),0),IF($A$2="VEX",IFERROR(IF($X$1="ABS",($A$4*$A$4*RTD("tos.rtd",,"VOLUME","."&amp;I$2&amp;I$1&amp;"C"&amp;$A33)*RTD("tos.rtd",,"GAMMA","."&amp;I$2&amp;I$1&amp;"C"&amp;$A33)+$A$4*$A$4*RTD("tos.rtd",,"VOLUME","."&amp;I$2&amp;I$1&amp;"P"&amp;$A33)*RTD("tos.rtd",,"GAMMA","."&amp;I$2&amp;I$1&amp;"P"&amp;$A33))/1000000,($A$4*$A$4*RTD("tos.rtd",,"VOLUME","."&amp;I$2&amp;I$1&amp;"C"&amp;$A33)*RTD("tos.rtd",,"GAMMA","."&amp;I$2&amp;I$1&amp;"C"&amp;$A33)-$A$4*$A$4*RTD("tos.rtd",,"VOLUME","."&amp;I$2&amp;I$1&amp;"P"&amp;$A33)*RTD("tos.rtd",,"GAMMA","."&amp;I$2&amp;I$1&amp;"P"&amp;$A33))/1000000),0),IF($A$2="GEX",IFERROR(IF($X$1="ABS",($A$4*$A$4*RTD("tos.rtd",,"OPEN_INT","."&amp;I$2&amp;I$1&amp;"C"&amp;$A33)*RTD("tos.rtd",,"GAMMA","."&amp;I$2&amp;I$1&amp;"C"&amp;$A33)+$A$4*$A$4*RTD("tos.rtd",,"OPEN_INT","."&amp;I$2&amp;I$1&amp;"P"&amp;$A33)*RTD("tos.rtd",,"GAMMA","."&amp;I$2&amp;I$1&amp;"P"&amp;$A33))/1000000,($A$4*$A$4*RTD("tos.rtd",,"OPEN_INT","."&amp;I$2&amp;I$1&amp;"C"&amp;$A33)*RTD("tos.rtd",,"GAMMA","."&amp;I$2&amp;I$1&amp;"C"&amp;$A33)-$A$4*$A$4*RTD("tos.rtd",,"OPEN_INT","."&amp;I$2&amp;I$1&amp;"P"&amp;$A33)*RTD("tos.rtd",,"GAMMA","."&amp;I$2&amp;I$1&amp;"P"&amp;$A33))/1000000),0),IF($A$2="SKEW",IFERROR(VALUE(IF(RTD("tos.rtd",,"IMPL_VOL","."&amp;I$2&amp;I$1&amp;"P"&amp;$A33)="N/A",0,RTD("tos.rtd",,"IMPL_VOL","."&amp;I$2&amp;I$1&amp;"P"&amp;$A33))),0)-IFERROR(VALUE(IF(RTD("tos.rtd",,"IMPL_VOL","."&amp;I$2&amp;I$1&amp;"C"&amp;$A33)="N/A",0,RTD("tos.rtd",,"IMPL_VOL","."&amp;I$2&amp;I$1&amp;"C"&amp;$A33))),0),IF($A$2="MAXPAIN",IF($A$4&gt;$A33,($A$4-$A33)*IF(RTD("tos.rtd",,"OPEN_INT","."&amp;I$2&amp;I$1&amp;"C"&amp;$A33)="N/A",0,RTD("tos.rtd",,"OPEN_INT","."&amp;I$2&amp;I$1&amp;"C"&amp;$A33)),0)+IF($A$4&lt;$A33,($A$5-$A$4)*IF(RTD("tos.rtd",,"OPEN_INT","."&amp;I$2&amp;I$1&amp;"P"&amp;$A33)="N/A",0,RTD("tos.rtd",,"OPEN_INT","."&amp;I$2&amp;I$1&amp;"P"&amp;$A33)),0),IF($X$1="ABS",IF(RTD("tos.rtd",,$A$2,"."&amp;I$2&amp;I$1&amp;"C"&amp;$A33)="N/A",0,RTD("tos.rtd",,$A$2,"."&amp;I$2&amp;I$1&amp;"C"&amp;$A33))+IF(RTD("tos.rtd",,$A$2,"."&amp;I$2&amp;I$1&amp;"P"&amp;$A33)="N/A",0,RTD("tos.rtd",,$A$2,"."&amp;I$2&amp;I$1&amp;"P"&amp;$A33)),IF(RTD("tos.rtd",,$A$2,"."&amp;I$2&amp;I$1&amp;"C"&amp;$A33)="N/A",0,RTD("tos.rtd",,$A$2,"."&amp;I$2&amp;I$1&amp;"C"&amp;$A33))-IF(RTD("tos.rtd",,$A$2,"."&amp;I$2&amp;I$1&amp;"P"&amp;$A33)="N/A",0,RTD("tos.rtd",,$A$2,"."&amp;I$2&amp;I$1&amp;"P"&amp;$A33))))))))))</f>
        <v>-247</v>
      </c>
      <c r="J33" s="12">
        <f ca="1">IF($A$2="PREMIUM_OI",IFERROR(IF($X$1="ABS",(100*RTD("tos.rtd",,"OPEN_INT","."&amp;J$2&amp;J$1&amp;"C"&amp;$A33)*RTD("tos.rtd",,"LAST","."&amp;J$2&amp;J$1&amp;"C"&amp;$A33)+100*RTD("tos.rtd",,"OPEN_INT","."&amp;J$2&amp;J$1&amp;"P"&amp;$A33)*RTD("tos.rtd",,"LAST","."&amp;J$2&amp;J$1&amp;"P"&amp;$A33))/1000000,(100*RTD("tos.rtd",,"OPEN_INT","."&amp;J$2&amp;J$1&amp;"C"&amp;$A33)*RTD("tos.rtd",,"LAST","."&amp;J$2&amp;J$1&amp;"C"&amp;$A33)-100*RTD("tos.rtd",,"OPEN_INT","."&amp;J$2&amp;J$1&amp;"P"&amp;$A33)*RTD("tos.rtd",,"LAST","."&amp;J$2&amp;J$1&amp;"P"&amp;$A33))/1000000),0),IF($A$2="PREMIUM",IFERROR(IF($X$1="ABS",(100*RTD("tos.rtd",,"VOLUME","."&amp;J$2&amp;J$1&amp;"C"&amp;$A33)*RTD("tos.rtd",,"LAST","."&amp;J$2&amp;J$1&amp;"C"&amp;$A33)+100*RTD("tos.rtd",,"VOLUME","."&amp;J$2&amp;J$1&amp;"P"&amp;$A33)*RTD("tos.rtd",,"LAST","."&amp;J$2&amp;J$1&amp;"P"&amp;$A33))/1000000,(100*RTD("tos.rtd",,"VOLUME","."&amp;J$2&amp;J$1&amp;"C"&amp;$A33)*RTD("tos.rtd",,"LAST","."&amp;J$2&amp;J$1&amp;"C"&amp;$A33)-100*RTD("tos.rtd",,"VOLUME","."&amp;J$2&amp;J$1&amp;"P"&amp;$A33)*RTD("tos.rtd",,"LAST","."&amp;J$2&amp;J$1&amp;"P"&amp;$A33))/1000000),0),IF($A$2="DEX",IFERROR(IF($X$1="ABS",(100*RTD("tos.rtd",,"OPEN_INT","."&amp;J$2&amp;J$1&amp;"C"&amp;$A33)*RTD("tos.rtd",,"DELTA","."&amp;J$2&amp;J$1&amp;"C"&amp;$A33)+100*RTD("tos.rtd",,"OPEN_INT","."&amp;J$2&amp;J$1&amp;"P"&amp;$A33)*RTD("tos.rtd",,"DELTA","."&amp;J$2&amp;J$1&amp;"P"&amp;$A33))/1000,(100*RTD("tos.rtd",,"OPEN_INT","."&amp;J$2&amp;J$1&amp;"C"&amp;$A33)*RTD("tos.rtd",,"DELTA","."&amp;J$2&amp;J$1&amp;"C"&amp;$A33)-100*RTD("tos.rtd",,"OPEN_INT","."&amp;J$2&amp;J$1&amp;"P"&amp;$A33)*RTD("tos.rtd",,"DELTA","."&amp;J$2&amp;J$1&amp;"P"&amp;$A33))/1000),0),IF($A$2="VEX",IFERROR(IF($X$1="ABS",($A$4*$A$4*RTD("tos.rtd",,"VOLUME","."&amp;J$2&amp;J$1&amp;"C"&amp;$A33)*RTD("tos.rtd",,"GAMMA","."&amp;J$2&amp;J$1&amp;"C"&amp;$A33)+$A$4*$A$4*RTD("tos.rtd",,"VOLUME","."&amp;J$2&amp;J$1&amp;"P"&amp;$A33)*RTD("tos.rtd",,"GAMMA","."&amp;J$2&amp;J$1&amp;"P"&amp;$A33))/1000000,($A$4*$A$4*RTD("tos.rtd",,"VOLUME","."&amp;J$2&amp;J$1&amp;"C"&amp;$A33)*RTD("tos.rtd",,"GAMMA","."&amp;J$2&amp;J$1&amp;"C"&amp;$A33)-$A$4*$A$4*RTD("tos.rtd",,"VOLUME","."&amp;J$2&amp;J$1&amp;"P"&amp;$A33)*RTD("tos.rtd",,"GAMMA","."&amp;J$2&amp;J$1&amp;"P"&amp;$A33))/1000000),0),IF($A$2="GEX",IFERROR(IF($X$1="ABS",($A$4*$A$4*RTD("tos.rtd",,"OPEN_INT","."&amp;J$2&amp;J$1&amp;"C"&amp;$A33)*RTD("tos.rtd",,"GAMMA","."&amp;J$2&amp;J$1&amp;"C"&amp;$A33)+$A$4*$A$4*RTD("tos.rtd",,"OPEN_INT","."&amp;J$2&amp;J$1&amp;"P"&amp;$A33)*RTD("tos.rtd",,"GAMMA","."&amp;J$2&amp;J$1&amp;"P"&amp;$A33))/1000000,($A$4*$A$4*RTD("tos.rtd",,"OPEN_INT","."&amp;J$2&amp;J$1&amp;"C"&amp;$A33)*RTD("tos.rtd",,"GAMMA","."&amp;J$2&amp;J$1&amp;"C"&amp;$A33)-$A$4*$A$4*RTD("tos.rtd",,"OPEN_INT","."&amp;J$2&amp;J$1&amp;"P"&amp;$A33)*RTD("tos.rtd",,"GAMMA","."&amp;J$2&amp;J$1&amp;"P"&amp;$A33))/1000000),0),IF($A$2="SKEW",IFERROR(VALUE(IF(RTD("tos.rtd",,"IMPL_VOL","."&amp;J$2&amp;J$1&amp;"P"&amp;$A33)="N/A",0,RTD("tos.rtd",,"IMPL_VOL","."&amp;J$2&amp;J$1&amp;"P"&amp;$A33))),0)-IFERROR(VALUE(IF(RTD("tos.rtd",,"IMPL_VOL","."&amp;J$2&amp;J$1&amp;"C"&amp;$A33)="N/A",0,RTD("tos.rtd",,"IMPL_VOL","."&amp;J$2&amp;J$1&amp;"C"&amp;$A33))),0),IF($A$2="MAXPAIN",IF($A$4&gt;$A33,($A$4-$A33)*IF(RTD("tos.rtd",,"OPEN_INT","."&amp;J$2&amp;J$1&amp;"C"&amp;$A33)="N/A",0,RTD("tos.rtd",,"OPEN_INT","."&amp;J$2&amp;J$1&amp;"C"&amp;$A33)),0)+IF($A$4&lt;$A33,($A$5-$A$4)*IF(RTD("tos.rtd",,"OPEN_INT","."&amp;J$2&amp;J$1&amp;"P"&amp;$A33)="N/A",0,RTD("tos.rtd",,"OPEN_INT","."&amp;J$2&amp;J$1&amp;"P"&amp;$A33)),0),IF($X$1="ABS",IF(RTD("tos.rtd",,$A$2,"."&amp;J$2&amp;J$1&amp;"C"&amp;$A33)="N/A",0,RTD("tos.rtd",,$A$2,"."&amp;J$2&amp;J$1&amp;"C"&amp;$A33))+IF(RTD("tos.rtd",,$A$2,"."&amp;J$2&amp;J$1&amp;"P"&amp;$A33)="N/A",0,RTD("tos.rtd",,$A$2,"."&amp;J$2&amp;J$1&amp;"P"&amp;$A33)),IF(RTD("tos.rtd",,$A$2,"."&amp;J$2&amp;J$1&amp;"C"&amp;$A33)="N/A",0,RTD("tos.rtd",,$A$2,"."&amp;J$2&amp;J$1&amp;"C"&amp;$A33))-IF(RTD("tos.rtd",,$A$2,"."&amp;J$2&amp;J$1&amp;"P"&amp;$A33)="N/A",0,RTD("tos.rtd",,$A$2,"."&amp;J$2&amp;J$1&amp;"P"&amp;$A33))))))))))</f>
        <v>0</v>
      </c>
      <c r="K33" s="12">
        <f ca="1">IF($A$2="PREMIUM_OI",IFERROR(IF($X$1="ABS",(100*RTD("tos.rtd",,"OPEN_INT","."&amp;K$2&amp;K$1&amp;"C"&amp;$A33)*RTD("tos.rtd",,"LAST","."&amp;K$2&amp;K$1&amp;"C"&amp;$A33)+100*RTD("tos.rtd",,"OPEN_INT","."&amp;K$2&amp;K$1&amp;"P"&amp;$A33)*RTD("tos.rtd",,"LAST","."&amp;K$2&amp;K$1&amp;"P"&amp;$A33))/1000000,(100*RTD("tos.rtd",,"OPEN_INT","."&amp;K$2&amp;K$1&amp;"C"&amp;$A33)*RTD("tos.rtd",,"LAST","."&amp;K$2&amp;K$1&amp;"C"&amp;$A33)-100*RTD("tos.rtd",,"OPEN_INT","."&amp;K$2&amp;K$1&amp;"P"&amp;$A33)*RTD("tos.rtd",,"LAST","."&amp;K$2&amp;K$1&amp;"P"&amp;$A33))/1000000),0),IF($A$2="PREMIUM",IFERROR(IF($X$1="ABS",(100*RTD("tos.rtd",,"VOLUME","."&amp;K$2&amp;K$1&amp;"C"&amp;$A33)*RTD("tos.rtd",,"LAST","."&amp;K$2&amp;K$1&amp;"C"&amp;$A33)+100*RTD("tos.rtd",,"VOLUME","."&amp;K$2&amp;K$1&amp;"P"&amp;$A33)*RTD("tos.rtd",,"LAST","."&amp;K$2&amp;K$1&amp;"P"&amp;$A33))/1000000,(100*RTD("tos.rtd",,"VOLUME","."&amp;K$2&amp;K$1&amp;"C"&amp;$A33)*RTD("tos.rtd",,"LAST","."&amp;K$2&amp;K$1&amp;"C"&amp;$A33)-100*RTD("tos.rtd",,"VOLUME","."&amp;K$2&amp;K$1&amp;"P"&amp;$A33)*RTD("tos.rtd",,"LAST","."&amp;K$2&amp;K$1&amp;"P"&amp;$A33))/1000000),0),IF($A$2="DEX",IFERROR(IF($X$1="ABS",(100*RTD("tos.rtd",,"OPEN_INT","."&amp;K$2&amp;K$1&amp;"C"&amp;$A33)*RTD("tos.rtd",,"DELTA","."&amp;K$2&amp;K$1&amp;"C"&amp;$A33)+100*RTD("tos.rtd",,"OPEN_INT","."&amp;K$2&amp;K$1&amp;"P"&amp;$A33)*RTD("tos.rtd",,"DELTA","."&amp;K$2&amp;K$1&amp;"P"&amp;$A33))/1000,(100*RTD("tos.rtd",,"OPEN_INT","."&amp;K$2&amp;K$1&amp;"C"&amp;$A33)*RTD("tos.rtd",,"DELTA","."&amp;K$2&amp;K$1&amp;"C"&amp;$A33)-100*RTD("tos.rtd",,"OPEN_INT","."&amp;K$2&amp;K$1&amp;"P"&amp;$A33)*RTD("tos.rtd",,"DELTA","."&amp;K$2&amp;K$1&amp;"P"&amp;$A33))/1000),0),IF($A$2="VEX",IFERROR(IF($X$1="ABS",($A$4*$A$4*RTD("tos.rtd",,"VOLUME","."&amp;K$2&amp;K$1&amp;"C"&amp;$A33)*RTD("tos.rtd",,"GAMMA","."&amp;K$2&amp;K$1&amp;"C"&amp;$A33)+$A$4*$A$4*RTD("tos.rtd",,"VOLUME","."&amp;K$2&amp;K$1&amp;"P"&amp;$A33)*RTD("tos.rtd",,"GAMMA","."&amp;K$2&amp;K$1&amp;"P"&amp;$A33))/1000000,($A$4*$A$4*RTD("tos.rtd",,"VOLUME","."&amp;K$2&amp;K$1&amp;"C"&amp;$A33)*RTD("tos.rtd",,"GAMMA","."&amp;K$2&amp;K$1&amp;"C"&amp;$A33)-$A$4*$A$4*RTD("tos.rtd",,"VOLUME","."&amp;K$2&amp;K$1&amp;"P"&amp;$A33)*RTD("tos.rtd",,"GAMMA","."&amp;K$2&amp;K$1&amp;"P"&amp;$A33))/1000000),0),IF($A$2="GEX",IFERROR(IF($X$1="ABS",($A$4*$A$4*RTD("tos.rtd",,"OPEN_INT","."&amp;K$2&amp;K$1&amp;"C"&amp;$A33)*RTD("tos.rtd",,"GAMMA","."&amp;K$2&amp;K$1&amp;"C"&amp;$A33)+$A$4*$A$4*RTD("tos.rtd",,"OPEN_INT","."&amp;K$2&amp;K$1&amp;"P"&amp;$A33)*RTD("tos.rtd",,"GAMMA","."&amp;K$2&amp;K$1&amp;"P"&amp;$A33))/1000000,($A$4*$A$4*RTD("tos.rtd",,"OPEN_INT","."&amp;K$2&amp;K$1&amp;"C"&amp;$A33)*RTD("tos.rtd",,"GAMMA","."&amp;K$2&amp;K$1&amp;"C"&amp;$A33)-$A$4*$A$4*RTD("tos.rtd",,"OPEN_INT","."&amp;K$2&amp;K$1&amp;"P"&amp;$A33)*RTD("tos.rtd",,"GAMMA","."&amp;K$2&amp;K$1&amp;"P"&amp;$A33))/1000000),0),IF($A$2="SKEW",IFERROR(VALUE(IF(RTD("tos.rtd",,"IMPL_VOL","."&amp;K$2&amp;K$1&amp;"P"&amp;$A33)="N/A",0,RTD("tos.rtd",,"IMPL_VOL","."&amp;K$2&amp;K$1&amp;"P"&amp;$A33))),0)-IFERROR(VALUE(IF(RTD("tos.rtd",,"IMPL_VOL","."&amp;K$2&amp;K$1&amp;"C"&amp;$A33)="N/A",0,RTD("tos.rtd",,"IMPL_VOL","."&amp;K$2&amp;K$1&amp;"C"&amp;$A33))),0),IF($A$2="MAXPAIN",IF($A$4&gt;$A33,($A$4-$A33)*IF(RTD("tos.rtd",,"OPEN_INT","."&amp;K$2&amp;K$1&amp;"C"&amp;$A33)="N/A",0,RTD("tos.rtd",,"OPEN_INT","."&amp;K$2&amp;K$1&amp;"C"&amp;$A33)),0)+IF($A$4&lt;$A33,($A$5-$A$4)*IF(RTD("tos.rtd",,"OPEN_INT","."&amp;K$2&amp;K$1&amp;"P"&amp;$A33)="N/A",0,RTD("tos.rtd",,"OPEN_INT","."&amp;K$2&amp;K$1&amp;"P"&amp;$A33)),0),IF($X$1="ABS",IF(RTD("tos.rtd",,$A$2,"."&amp;K$2&amp;K$1&amp;"C"&amp;$A33)="N/A",0,RTD("tos.rtd",,$A$2,"."&amp;K$2&amp;K$1&amp;"C"&amp;$A33))+IF(RTD("tos.rtd",,$A$2,"."&amp;K$2&amp;K$1&amp;"P"&amp;$A33)="N/A",0,RTD("tos.rtd",,$A$2,"."&amp;K$2&amp;K$1&amp;"P"&amp;$A33)),IF(RTD("tos.rtd",,$A$2,"."&amp;K$2&amp;K$1&amp;"C"&amp;$A33)="N/A",0,RTD("tos.rtd",,$A$2,"."&amp;K$2&amp;K$1&amp;"C"&amp;$A33))-IF(RTD("tos.rtd",,$A$2,"."&amp;K$2&amp;K$1&amp;"P"&amp;$A33)="N/A",0,RTD("tos.rtd",,$A$2,"."&amp;K$2&amp;K$1&amp;"P"&amp;$A33))))))))))</f>
        <v>0</v>
      </c>
      <c r="L33" s="54">
        <f ca="1">IF($A$2="PREMIUM_OI",IFERROR(IF($X$1="ABS",(100*RTD("tos.rtd",,"OPEN_INT","."&amp;L$2&amp;L$1&amp;"C"&amp;$A33)*RTD("tos.rtd",,"LAST","."&amp;L$2&amp;L$1&amp;"C"&amp;$A33)+100*RTD("tos.rtd",,"OPEN_INT","."&amp;L$2&amp;L$1&amp;"P"&amp;$A33)*RTD("tos.rtd",,"LAST","."&amp;L$2&amp;L$1&amp;"P"&amp;$A33))/1000000,(100*RTD("tos.rtd",,"OPEN_INT","."&amp;L$2&amp;L$1&amp;"C"&amp;$A33)*RTD("tos.rtd",,"LAST","."&amp;L$2&amp;L$1&amp;"C"&amp;$A33)-100*RTD("tos.rtd",,"OPEN_INT","."&amp;L$2&amp;L$1&amp;"P"&amp;$A33)*RTD("tos.rtd",,"LAST","."&amp;L$2&amp;L$1&amp;"P"&amp;$A33))/1000000),0),IF($A$2="PREMIUM",IFERROR(IF($X$1="ABS",(100*RTD("tos.rtd",,"VOLUME","."&amp;L$2&amp;L$1&amp;"C"&amp;$A33)*RTD("tos.rtd",,"LAST","."&amp;L$2&amp;L$1&amp;"C"&amp;$A33)+100*RTD("tos.rtd",,"VOLUME","."&amp;L$2&amp;L$1&amp;"P"&amp;$A33)*RTD("tos.rtd",,"LAST","."&amp;L$2&amp;L$1&amp;"P"&amp;$A33))/1000000,(100*RTD("tos.rtd",,"VOLUME","."&amp;L$2&amp;L$1&amp;"C"&amp;$A33)*RTD("tos.rtd",,"LAST","."&amp;L$2&amp;L$1&amp;"C"&amp;$A33)-100*RTD("tos.rtd",,"VOLUME","."&amp;L$2&amp;L$1&amp;"P"&amp;$A33)*RTD("tos.rtd",,"LAST","."&amp;L$2&amp;L$1&amp;"P"&amp;$A33))/1000000),0),IF($A$2="DEX",IFERROR(IF($X$1="ABS",(100*RTD("tos.rtd",,"OPEN_INT","."&amp;L$2&amp;L$1&amp;"C"&amp;$A33)*RTD("tos.rtd",,"DELTA","."&amp;L$2&amp;L$1&amp;"C"&amp;$A33)+100*RTD("tos.rtd",,"OPEN_INT","."&amp;L$2&amp;L$1&amp;"P"&amp;$A33)*RTD("tos.rtd",,"DELTA","."&amp;L$2&amp;L$1&amp;"P"&amp;$A33))/1000,(100*RTD("tos.rtd",,"OPEN_INT","."&amp;L$2&amp;L$1&amp;"C"&amp;$A33)*RTD("tos.rtd",,"DELTA","."&amp;L$2&amp;L$1&amp;"C"&amp;$A33)-100*RTD("tos.rtd",,"OPEN_INT","."&amp;L$2&amp;L$1&amp;"P"&amp;$A33)*RTD("tos.rtd",,"DELTA","."&amp;L$2&amp;L$1&amp;"P"&amp;$A33))/1000),0),IF($A$2="VEX",IFERROR(IF($X$1="ABS",($A$4*$A$4*RTD("tos.rtd",,"VOLUME","."&amp;L$2&amp;L$1&amp;"C"&amp;$A33)*RTD("tos.rtd",,"GAMMA","."&amp;L$2&amp;L$1&amp;"C"&amp;$A33)+$A$4*$A$4*RTD("tos.rtd",,"VOLUME","."&amp;L$2&amp;L$1&amp;"P"&amp;$A33)*RTD("tos.rtd",,"GAMMA","."&amp;L$2&amp;L$1&amp;"P"&amp;$A33))/1000000,($A$4*$A$4*RTD("tos.rtd",,"VOLUME","."&amp;L$2&amp;L$1&amp;"C"&amp;$A33)*RTD("tos.rtd",,"GAMMA","."&amp;L$2&amp;L$1&amp;"C"&amp;$A33)-$A$4*$A$4*RTD("tos.rtd",,"VOLUME","."&amp;L$2&amp;L$1&amp;"P"&amp;$A33)*RTD("tos.rtd",,"GAMMA","."&amp;L$2&amp;L$1&amp;"P"&amp;$A33))/1000000),0),IF($A$2="GEX",IFERROR(IF($X$1="ABS",($A$4*$A$4*RTD("tos.rtd",,"OPEN_INT","."&amp;L$2&amp;L$1&amp;"C"&amp;$A33)*RTD("tos.rtd",,"GAMMA","."&amp;L$2&amp;L$1&amp;"C"&amp;$A33)+$A$4*$A$4*RTD("tos.rtd",,"OPEN_INT","."&amp;L$2&amp;L$1&amp;"P"&amp;$A33)*RTD("tos.rtd",,"GAMMA","."&amp;L$2&amp;L$1&amp;"P"&amp;$A33))/1000000,($A$4*$A$4*RTD("tos.rtd",,"OPEN_INT","."&amp;L$2&amp;L$1&amp;"C"&amp;$A33)*RTD("tos.rtd",,"GAMMA","."&amp;L$2&amp;L$1&amp;"C"&amp;$A33)-$A$4*$A$4*RTD("tos.rtd",,"OPEN_INT","."&amp;L$2&amp;L$1&amp;"P"&amp;$A33)*RTD("tos.rtd",,"GAMMA","."&amp;L$2&amp;L$1&amp;"P"&amp;$A33))/1000000),0),IF($A$2="SKEW",IFERROR(VALUE(IF(RTD("tos.rtd",,"IMPL_VOL","."&amp;L$2&amp;L$1&amp;"P"&amp;$A33)="N/A",0,RTD("tos.rtd",,"IMPL_VOL","."&amp;L$2&amp;L$1&amp;"P"&amp;$A33))),0)-IFERROR(VALUE(IF(RTD("tos.rtd",,"IMPL_VOL","."&amp;L$2&amp;L$1&amp;"C"&amp;$A33)="N/A",0,RTD("tos.rtd",,"IMPL_VOL","."&amp;L$2&amp;L$1&amp;"C"&amp;$A33))),0),IF($A$2="MAXPAIN",IF($A$4&gt;$A33,($A$4-$A33)*IF(RTD("tos.rtd",,"OPEN_INT","."&amp;L$2&amp;L$1&amp;"C"&amp;$A33)="N/A",0,RTD("tos.rtd",,"OPEN_INT","."&amp;L$2&amp;L$1&amp;"C"&amp;$A33)),0)+IF($A$4&lt;$A33,($A$5-$A$4)*IF(RTD("tos.rtd",,"OPEN_INT","."&amp;L$2&amp;L$1&amp;"P"&amp;$A33)="N/A",0,RTD("tos.rtd",,"OPEN_INT","."&amp;L$2&amp;L$1&amp;"P"&amp;$A33)),0),IF($X$1="ABS",IF(RTD("tos.rtd",,$A$2,"."&amp;L$2&amp;L$1&amp;"C"&amp;$A33)="N/A",0,RTD("tos.rtd",,$A$2,"."&amp;L$2&amp;L$1&amp;"C"&amp;$A33))+IF(RTD("tos.rtd",,$A$2,"."&amp;L$2&amp;L$1&amp;"P"&amp;$A33)="N/A",0,RTD("tos.rtd",,$A$2,"."&amp;L$2&amp;L$1&amp;"P"&amp;$A33)),IF(RTD("tos.rtd",,$A$2,"."&amp;L$2&amp;L$1&amp;"C"&amp;$A33)="N/A",0,RTD("tos.rtd",,$A$2,"."&amp;L$2&amp;L$1&amp;"C"&amp;$A33))-IF(RTD("tos.rtd",,$A$2,"."&amp;L$2&amp;L$1&amp;"P"&amp;$A33)="N/A",0,RTD("tos.rtd",,$A$2,"."&amp;L$2&amp;L$1&amp;"P"&amp;$A33))))))))))</f>
        <v>0</v>
      </c>
      <c r="M33" s="12">
        <f ca="1">IF($A$2="PREMIUM_OI",IFERROR(IF($X$1="ABS",(100*RTD("tos.rtd",,"OPEN_INT","."&amp;M$2&amp;M$1&amp;"C"&amp;$A33)*RTD("tos.rtd",,"LAST","."&amp;M$2&amp;M$1&amp;"C"&amp;$A33)+100*RTD("tos.rtd",,"OPEN_INT","."&amp;M$2&amp;M$1&amp;"P"&amp;$A33)*RTD("tos.rtd",,"LAST","."&amp;M$2&amp;M$1&amp;"P"&amp;$A33))/1000000,(100*RTD("tos.rtd",,"OPEN_INT","."&amp;M$2&amp;M$1&amp;"C"&amp;$A33)*RTD("tos.rtd",,"LAST","."&amp;M$2&amp;M$1&amp;"C"&amp;$A33)-100*RTD("tos.rtd",,"OPEN_INT","."&amp;M$2&amp;M$1&amp;"P"&amp;$A33)*RTD("tos.rtd",,"LAST","."&amp;M$2&amp;M$1&amp;"P"&amp;$A33))/1000000),0),IF($A$2="PREMIUM",IFERROR(IF($X$1="ABS",(100*RTD("tos.rtd",,"VOLUME","."&amp;M$2&amp;M$1&amp;"C"&amp;$A33)*RTD("tos.rtd",,"LAST","."&amp;M$2&amp;M$1&amp;"C"&amp;$A33)+100*RTD("tos.rtd",,"VOLUME","."&amp;M$2&amp;M$1&amp;"P"&amp;$A33)*RTD("tos.rtd",,"LAST","."&amp;M$2&amp;M$1&amp;"P"&amp;$A33))/1000000,(100*RTD("tos.rtd",,"VOLUME","."&amp;M$2&amp;M$1&amp;"C"&amp;$A33)*RTD("tos.rtd",,"LAST","."&amp;M$2&amp;M$1&amp;"C"&amp;$A33)-100*RTD("tos.rtd",,"VOLUME","."&amp;M$2&amp;M$1&amp;"P"&amp;$A33)*RTD("tos.rtd",,"LAST","."&amp;M$2&amp;M$1&amp;"P"&amp;$A33))/1000000),0),IF($A$2="DEX",IFERROR(IF($X$1="ABS",(100*RTD("tos.rtd",,"OPEN_INT","."&amp;M$2&amp;M$1&amp;"C"&amp;$A33)*RTD("tos.rtd",,"DELTA","."&amp;M$2&amp;M$1&amp;"C"&amp;$A33)+100*RTD("tos.rtd",,"OPEN_INT","."&amp;M$2&amp;M$1&amp;"P"&amp;$A33)*RTD("tos.rtd",,"DELTA","."&amp;M$2&amp;M$1&amp;"P"&amp;$A33))/1000,(100*RTD("tos.rtd",,"OPEN_INT","."&amp;M$2&amp;M$1&amp;"C"&amp;$A33)*RTD("tos.rtd",,"DELTA","."&amp;M$2&amp;M$1&amp;"C"&amp;$A33)-100*RTD("tos.rtd",,"OPEN_INT","."&amp;M$2&amp;M$1&amp;"P"&amp;$A33)*RTD("tos.rtd",,"DELTA","."&amp;M$2&amp;M$1&amp;"P"&amp;$A33))/1000),0),IF($A$2="VEX",IFERROR(IF($X$1="ABS",($A$4*$A$4*RTD("tos.rtd",,"VOLUME","."&amp;M$2&amp;M$1&amp;"C"&amp;$A33)*RTD("tos.rtd",,"GAMMA","."&amp;M$2&amp;M$1&amp;"C"&amp;$A33)+$A$4*$A$4*RTD("tos.rtd",,"VOLUME","."&amp;M$2&amp;M$1&amp;"P"&amp;$A33)*RTD("tos.rtd",,"GAMMA","."&amp;M$2&amp;M$1&amp;"P"&amp;$A33))/1000000,($A$4*$A$4*RTD("tos.rtd",,"VOLUME","."&amp;M$2&amp;M$1&amp;"C"&amp;$A33)*RTD("tos.rtd",,"GAMMA","."&amp;M$2&amp;M$1&amp;"C"&amp;$A33)-$A$4*$A$4*RTD("tos.rtd",,"VOLUME","."&amp;M$2&amp;M$1&amp;"P"&amp;$A33)*RTD("tos.rtd",,"GAMMA","."&amp;M$2&amp;M$1&amp;"P"&amp;$A33))/1000000),0),IF($A$2="GEX",IFERROR(IF($X$1="ABS",($A$4*$A$4*RTD("tos.rtd",,"OPEN_INT","."&amp;M$2&amp;M$1&amp;"C"&amp;$A33)*RTD("tos.rtd",,"GAMMA","."&amp;M$2&amp;M$1&amp;"C"&amp;$A33)+$A$4*$A$4*RTD("tos.rtd",,"OPEN_INT","."&amp;M$2&amp;M$1&amp;"P"&amp;$A33)*RTD("tos.rtd",,"GAMMA","."&amp;M$2&amp;M$1&amp;"P"&amp;$A33))/1000000,($A$4*$A$4*RTD("tos.rtd",,"OPEN_INT","."&amp;M$2&amp;M$1&amp;"C"&amp;$A33)*RTD("tos.rtd",,"GAMMA","."&amp;M$2&amp;M$1&amp;"C"&amp;$A33)-$A$4*$A$4*RTD("tos.rtd",,"OPEN_INT","."&amp;M$2&amp;M$1&amp;"P"&amp;$A33)*RTD("tos.rtd",,"GAMMA","."&amp;M$2&amp;M$1&amp;"P"&amp;$A33))/1000000),0),IF($A$2="SKEW",IFERROR(VALUE(IF(RTD("tos.rtd",,"IMPL_VOL","."&amp;M$2&amp;M$1&amp;"P"&amp;$A33)="N/A",0,RTD("tos.rtd",,"IMPL_VOL","."&amp;M$2&amp;M$1&amp;"P"&amp;$A33))),0)-IFERROR(VALUE(IF(RTD("tos.rtd",,"IMPL_VOL","."&amp;M$2&amp;M$1&amp;"C"&amp;$A33)="N/A",0,RTD("tos.rtd",,"IMPL_VOL","."&amp;M$2&amp;M$1&amp;"C"&amp;$A33))),0),IF($A$2="MAXPAIN",IF($A$4&gt;$A33,($A$4-$A33)*IF(RTD("tos.rtd",,"OPEN_INT","."&amp;M$2&amp;M$1&amp;"C"&amp;$A33)="N/A",0,RTD("tos.rtd",,"OPEN_INT","."&amp;M$2&amp;M$1&amp;"C"&amp;$A33)),0)+IF($A$4&lt;$A33,($A$5-$A$4)*IF(RTD("tos.rtd",,"OPEN_INT","."&amp;M$2&amp;M$1&amp;"P"&amp;$A33)="N/A",0,RTD("tos.rtd",,"OPEN_INT","."&amp;M$2&amp;M$1&amp;"P"&amp;$A33)),0),IF($X$1="ABS",IF(RTD("tos.rtd",,$A$2,"."&amp;M$2&amp;M$1&amp;"C"&amp;$A33)="N/A",0,RTD("tos.rtd",,$A$2,"."&amp;M$2&amp;M$1&amp;"C"&amp;$A33))+IF(RTD("tos.rtd",,$A$2,"."&amp;M$2&amp;M$1&amp;"P"&amp;$A33)="N/A",0,RTD("tos.rtd",,$A$2,"."&amp;M$2&amp;M$1&amp;"P"&amp;$A33)),IF(RTD("tos.rtd",,$A$2,"."&amp;M$2&amp;M$1&amp;"C"&amp;$A33)="N/A",0,RTD("tos.rtd",,$A$2,"."&amp;M$2&amp;M$1&amp;"C"&amp;$A33))-IF(RTD("tos.rtd",,$A$2,"."&amp;M$2&amp;M$1&amp;"P"&amp;$A33)="N/A",0,RTD("tos.rtd",,$A$2,"."&amp;M$2&amp;M$1&amp;"P"&amp;$A33))))))))))</f>
        <v>0</v>
      </c>
      <c r="N33" s="12">
        <f ca="1">IF($A$2="PREMIUM_OI",IFERROR(IF($X$1="ABS",(100*RTD("tos.rtd",,"OPEN_INT","."&amp;N$2&amp;N$1&amp;"C"&amp;$A33)*RTD("tos.rtd",,"LAST","."&amp;N$2&amp;N$1&amp;"C"&amp;$A33)+100*RTD("tos.rtd",,"OPEN_INT","."&amp;N$2&amp;N$1&amp;"P"&amp;$A33)*RTD("tos.rtd",,"LAST","."&amp;N$2&amp;N$1&amp;"P"&amp;$A33))/1000000,(100*RTD("tos.rtd",,"OPEN_INT","."&amp;N$2&amp;N$1&amp;"C"&amp;$A33)*RTD("tos.rtd",,"LAST","."&amp;N$2&amp;N$1&amp;"C"&amp;$A33)-100*RTD("tos.rtd",,"OPEN_INT","."&amp;N$2&amp;N$1&amp;"P"&amp;$A33)*RTD("tos.rtd",,"LAST","."&amp;N$2&amp;N$1&amp;"P"&amp;$A33))/1000000),0),IF($A$2="PREMIUM",IFERROR(IF($X$1="ABS",(100*RTD("tos.rtd",,"VOLUME","."&amp;N$2&amp;N$1&amp;"C"&amp;$A33)*RTD("tos.rtd",,"LAST","."&amp;N$2&amp;N$1&amp;"C"&amp;$A33)+100*RTD("tos.rtd",,"VOLUME","."&amp;N$2&amp;N$1&amp;"P"&amp;$A33)*RTD("tos.rtd",,"LAST","."&amp;N$2&amp;N$1&amp;"P"&amp;$A33))/1000000,(100*RTD("tos.rtd",,"VOLUME","."&amp;N$2&amp;N$1&amp;"C"&amp;$A33)*RTD("tos.rtd",,"LAST","."&amp;N$2&amp;N$1&amp;"C"&amp;$A33)-100*RTD("tos.rtd",,"VOLUME","."&amp;N$2&amp;N$1&amp;"P"&amp;$A33)*RTD("tos.rtd",,"LAST","."&amp;N$2&amp;N$1&amp;"P"&amp;$A33))/1000000),0),IF($A$2="DEX",IFERROR(IF($X$1="ABS",(100*RTD("tos.rtd",,"OPEN_INT","."&amp;N$2&amp;N$1&amp;"C"&amp;$A33)*RTD("tos.rtd",,"DELTA","."&amp;N$2&amp;N$1&amp;"C"&amp;$A33)+100*RTD("tos.rtd",,"OPEN_INT","."&amp;N$2&amp;N$1&amp;"P"&amp;$A33)*RTD("tos.rtd",,"DELTA","."&amp;N$2&amp;N$1&amp;"P"&amp;$A33))/1000,(100*RTD("tos.rtd",,"OPEN_INT","."&amp;N$2&amp;N$1&amp;"C"&amp;$A33)*RTD("tos.rtd",,"DELTA","."&amp;N$2&amp;N$1&amp;"C"&amp;$A33)-100*RTD("tos.rtd",,"OPEN_INT","."&amp;N$2&amp;N$1&amp;"P"&amp;$A33)*RTD("tos.rtd",,"DELTA","."&amp;N$2&amp;N$1&amp;"P"&amp;$A33))/1000),0),IF($A$2="VEX",IFERROR(IF($X$1="ABS",($A$4*$A$4*RTD("tos.rtd",,"VOLUME","."&amp;N$2&amp;N$1&amp;"C"&amp;$A33)*RTD("tos.rtd",,"GAMMA","."&amp;N$2&amp;N$1&amp;"C"&amp;$A33)+$A$4*$A$4*RTD("tos.rtd",,"VOLUME","."&amp;N$2&amp;N$1&amp;"P"&amp;$A33)*RTD("tos.rtd",,"GAMMA","."&amp;N$2&amp;N$1&amp;"P"&amp;$A33))/1000000,($A$4*$A$4*RTD("tos.rtd",,"VOLUME","."&amp;N$2&amp;N$1&amp;"C"&amp;$A33)*RTD("tos.rtd",,"GAMMA","."&amp;N$2&amp;N$1&amp;"C"&amp;$A33)-$A$4*$A$4*RTD("tos.rtd",,"VOLUME","."&amp;N$2&amp;N$1&amp;"P"&amp;$A33)*RTD("tos.rtd",,"GAMMA","."&amp;N$2&amp;N$1&amp;"P"&amp;$A33))/1000000),0),IF($A$2="GEX",IFERROR(IF($X$1="ABS",($A$4*$A$4*RTD("tos.rtd",,"OPEN_INT","."&amp;N$2&amp;N$1&amp;"C"&amp;$A33)*RTD("tos.rtd",,"GAMMA","."&amp;N$2&amp;N$1&amp;"C"&amp;$A33)+$A$4*$A$4*RTD("tos.rtd",,"OPEN_INT","."&amp;N$2&amp;N$1&amp;"P"&amp;$A33)*RTD("tos.rtd",,"GAMMA","."&amp;N$2&amp;N$1&amp;"P"&amp;$A33))/1000000,($A$4*$A$4*RTD("tos.rtd",,"OPEN_INT","."&amp;N$2&amp;N$1&amp;"C"&amp;$A33)*RTD("tos.rtd",,"GAMMA","."&amp;N$2&amp;N$1&amp;"C"&amp;$A33)-$A$4*$A$4*RTD("tos.rtd",,"OPEN_INT","."&amp;N$2&amp;N$1&amp;"P"&amp;$A33)*RTD("tos.rtd",,"GAMMA","."&amp;N$2&amp;N$1&amp;"P"&amp;$A33))/1000000),0),IF($A$2="SKEW",IFERROR(VALUE(IF(RTD("tos.rtd",,"IMPL_VOL","."&amp;N$2&amp;N$1&amp;"P"&amp;$A33)="N/A",0,RTD("tos.rtd",,"IMPL_VOL","."&amp;N$2&amp;N$1&amp;"P"&amp;$A33))),0)-IFERROR(VALUE(IF(RTD("tos.rtd",,"IMPL_VOL","."&amp;N$2&amp;N$1&amp;"C"&amp;$A33)="N/A",0,RTD("tos.rtd",,"IMPL_VOL","."&amp;N$2&amp;N$1&amp;"C"&amp;$A33))),0),IF($A$2="MAXPAIN",IF($A$4&gt;$A33,($A$4-$A33)*IF(RTD("tos.rtd",,"OPEN_INT","."&amp;N$2&amp;N$1&amp;"C"&amp;$A33)="N/A",0,RTD("tos.rtd",,"OPEN_INT","."&amp;N$2&amp;N$1&amp;"C"&amp;$A33)),0)+IF($A$4&lt;$A33,($A$5-$A$4)*IF(RTD("tos.rtd",,"OPEN_INT","."&amp;N$2&amp;N$1&amp;"P"&amp;$A33)="N/A",0,RTD("tos.rtd",,"OPEN_INT","."&amp;N$2&amp;N$1&amp;"P"&amp;$A33)),0),IF($X$1="ABS",IF(RTD("tos.rtd",,$A$2,"."&amp;N$2&amp;N$1&amp;"C"&amp;$A33)="N/A",0,RTD("tos.rtd",,$A$2,"."&amp;N$2&amp;N$1&amp;"C"&amp;$A33))+IF(RTD("tos.rtd",,$A$2,"."&amp;N$2&amp;N$1&amp;"P"&amp;$A33)="N/A",0,RTD("tos.rtd",,$A$2,"."&amp;N$2&amp;N$1&amp;"P"&amp;$A33)),IF(RTD("tos.rtd",,$A$2,"."&amp;N$2&amp;N$1&amp;"C"&amp;$A33)="N/A",0,RTD("tos.rtd",,$A$2,"."&amp;N$2&amp;N$1&amp;"C"&amp;$A33))-IF(RTD("tos.rtd",,$A$2,"."&amp;N$2&amp;N$1&amp;"P"&amp;$A33)="N/A",0,RTD("tos.rtd",,$A$2,"."&amp;N$2&amp;N$1&amp;"P"&amp;$A33))))))))))</f>
        <v>0</v>
      </c>
      <c r="O33" s="12">
        <f ca="1">IF($A$2="PREMIUM_OI",IFERROR(IF($X$1="ABS",(100*RTD("tos.rtd",,"OPEN_INT","."&amp;O$2&amp;O$1&amp;"C"&amp;$A33)*RTD("tos.rtd",,"LAST","."&amp;O$2&amp;O$1&amp;"C"&amp;$A33)+100*RTD("tos.rtd",,"OPEN_INT","."&amp;O$2&amp;O$1&amp;"P"&amp;$A33)*RTD("tos.rtd",,"LAST","."&amp;O$2&amp;O$1&amp;"P"&amp;$A33))/1000000,(100*RTD("tos.rtd",,"OPEN_INT","."&amp;O$2&amp;O$1&amp;"C"&amp;$A33)*RTD("tos.rtd",,"LAST","."&amp;O$2&amp;O$1&amp;"C"&amp;$A33)-100*RTD("tos.rtd",,"OPEN_INT","."&amp;O$2&amp;O$1&amp;"P"&amp;$A33)*RTD("tos.rtd",,"LAST","."&amp;O$2&amp;O$1&amp;"P"&amp;$A33))/1000000),0),IF($A$2="PREMIUM",IFERROR(IF($X$1="ABS",(100*RTD("tos.rtd",,"VOLUME","."&amp;O$2&amp;O$1&amp;"C"&amp;$A33)*RTD("tos.rtd",,"LAST","."&amp;O$2&amp;O$1&amp;"C"&amp;$A33)+100*RTD("tos.rtd",,"VOLUME","."&amp;O$2&amp;O$1&amp;"P"&amp;$A33)*RTD("tos.rtd",,"LAST","."&amp;O$2&amp;O$1&amp;"P"&amp;$A33))/1000000,(100*RTD("tos.rtd",,"VOLUME","."&amp;O$2&amp;O$1&amp;"C"&amp;$A33)*RTD("tos.rtd",,"LAST","."&amp;O$2&amp;O$1&amp;"C"&amp;$A33)-100*RTD("tos.rtd",,"VOLUME","."&amp;O$2&amp;O$1&amp;"P"&amp;$A33)*RTD("tos.rtd",,"LAST","."&amp;O$2&amp;O$1&amp;"P"&amp;$A33))/1000000),0),IF($A$2="DEX",IFERROR(IF($X$1="ABS",(100*RTD("tos.rtd",,"OPEN_INT","."&amp;O$2&amp;O$1&amp;"C"&amp;$A33)*RTD("tos.rtd",,"DELTA","."&amp;O$2&amp;O$1&amp;"C"&amp;$A33)+100*RTD("tos.rtd",,"OPEN_INT","."&amp;O$2&amp;O$1&amp;"P"&amp;$A33)*RTD("tos.rtd",,"DELTA","."&amp;O$2&amp;O$1&amp;"P"&amp;$A33))/1000,(100*RTD("tos.rtd",,"OPEN_INT","."&amp;O$2&amp;O$1&amp;"C"&amp;$A33)*RTD("tos.rtd",,"DELTA","."&amp;O$2&amp;O$1&amp;"C"&amp;$A33)-100*RTD("tos.rtd",,"OPEN_INT","."&amp;O$2&amp;O$1&amp;"P"&amp;$A33)*RTD("tos.rtd",,"DELTA","."&amp;O$2&amp;O$1&amp;"P"&amp;$A33))/1000),0),IF($A$2="VEX",IFERROR(IF($X$1="ABS",($A$4*$A$4*RTD("tos.rtd",,"VOLUME","."&amp;O$2&amp;O$1&amp;"C"&amp;$A33)*RTD("tos.rtd",,"GAMMA","."&amp;O$2&amp;O$1&amp;"C"&amp;$A33)+$A$4*$A$4*RTD("tos.rtd",,"VOLUME","."&amp;O$2&amp;O$1&amp;"P"&amp;$A33)*RTD("tos.rtd",,"GAMMA","."&amp;O$2&amp;O$1&amp;"P"&amp;$A33))/1000000,($A$4*$A$4*RTD("tos.rtd",,"VOLUME","."&amp;O$2&amp;O$1&amp;"C"&amp;$A33)*RTD("tos.rtd",,"GAMMA","."&amp;O$2&amp;O$1&amp;"C"&amp;$A33)-$A$4*$A$4*RTD("tos.rtd",,"VOLUME","."&amp;O$2&amp;O$1&amp;"P"&amp;$A33)*RTD("tos.rtd",,"GAMMA","."&amp;O$2&amp;O$1&amp;"P"&amp;$A33))/1000000),0),IF($A$2="GEX",IFERROR(IF($X$1="ABS",($A$4*$A$4*RTD("tos.rtd",,"OPEN_INT","."&amp;O$2&amp;O$1&amp;"C"&amp;$A33)*RTD("tos.rtd",,"GAMMA","."&amp;O$2&amp;O$1&amp;"C"&amp;$A33)+$A$4*$A$4*RTD("tos.rtd",,"OPEN_INT","."&amp;O$2&amp;O$1&amp;"P"&amp;$A33)*RTD("tos.rtd",,"GAMMA","."&amp;O$2&amp;O$1&amp;"P"&amp;$A33))/1000000,($A$4*$A$4*RTD("tos.rtd",,"OPEN_INT","."&amp;O$2&amp;O$1&amp;"C"&amp;$A33)*RTD("tos.rtd",,"GAMMA","."&amp;O$2&amp;O$1&amp;"C"&amp;$A33)-$A$4*$A$4*RTD("tos.rtd",,"OPEN_INT","."&amp;O$2&amp;O$1&amp;"P"&amp;$A33)*RTD("tos.rtd",,"GAMMA","."&amp;O$2&amp;O$1&amp;"P"&amp;$A33))/1000000),0),IF($A$2="SKEW",IFERROR(VALUE(IF(RTD("tos.rtd",,"IMPL_VOL","."&amp;O$2&amp;O$1&amp;"P"&amp;$A33)="N/A",0,RTD("tos.rtd",,"IMPL_VOL","."&amp;O$2&amp;O$1&amp;"P"&amp;$A33))),0)-IFERROR(VALUE(IF(RTD("tos.rtd",,"IMPL_VOL","."&amp;O$2&amp;O$1&amp;"C"&amp;$A33)="N/A",0,RTD("tos.rtd",,"IMPL_VOL","."&amp;O$2&amp;O$1&amp;"C"&amp;$A33))),0),IF($A$2="MAXPAIN",IF($A$4&gt;$A33,($A$4-$A33)*IF(RTD("tos.rtd",,"OPEN_INT","."&amp;O$2&amp;O$1&amp;"C"&amp;$A33)="N/A",0,RTD("tos.rtd",,"OPEN_INT","."&amp;O$2&amp;O$1&amp;"C"&amp;$A33)),0)+IF($A$4&lt;$A33,($A$5-$A$4)*IF(RTD("tos.rtd",,"OPEN_INT","."&amp;O$2&amp;O$1&amp;"P"&amp;$A33)="N/A",0,RTD("tos.rtd",,"OPEN_INT","."&amp;O$2&amp;O$1&amp;"P"&amp;$A33)),0),IF($X$1="ABS",IF(RTD("tos.rtd",,$A$2,"."&amp;O$2&amp;O$1&amp;"C"&amp;$A33)="N/A",0,RTD("tos.rtd",,$A$2,"."&amp;O$2&amp;O$1&amp;"C"&amp;$A33))+IF(RTD("tos.rtd",,$A$2,"."&amp;O$2&amp;O$1&amp;"P"&amp;$A33)="N/A",0,RTD("tos.rtd",,$A$2,"."&amp;O$2&amp;O$1&amp;"P"&amp;$A33)),IF(RTD("tos.rtd",,$A$2,"."&amp;O$2&amp;O$1&amp;"C"&amp;$A33)="N/A",0,RTD("tos.rtd",,$A$2,"."&amp;O$2&amp;O$1&amp;"C"&amp;$A33))-IF(RTD("tos.rtd",,$A$2,"."&amp;O$2&amp;O$1&amp;"P"&amp;$A33)="N/A",0,RTD("tos.rtd",,$A$2,"."&amp;O$2&amp;O$1&amp;"P"&amp;$A33))))))))))</f>
        <v>0</v>
      </c>
      <c r="P33" s="12">
        <f ca="1">IF($A$2="PREMIUM_OI",IFERROR(IF($X$1="ABS",(100*RTD("tos.rtd",,"OPEN_INT","."&amp;P$2&amp;P$1&amp;"C"&amp;$A33)*RTD("tos.rtd",,"LAST","."&amp;P$2&amp;P$1&amp;"C"&amp;$A33)+100*RTD("tos.rtd",,"OPEN_INT","."&amp;P$2&amp;P$1&amp;"P"&amp;$A33)*RTD("tos.rtd",,"LAST","."&amp;P$2&amp;P$1&amp;"P"&amp;$A33))/1000000,(100*RTD("tos.rtd",,"OPEN_INT","."&amp;P$2&amp;P$1&amp;"C"&amp;$A33)*RTD("tos.rtd",,"LAST","."&amp;P$2&amp;P$1&amp;"C"&amp;$A33)-100*RTD("tos.rtd",,"OPEN_INT","."&amp;P$2&amp;P$1&amp;"P"&amp;$A33)*RTD("tos.rtd",,"LAST","."&amp;P$2&amp;P$1&amp;"P"&amp;$A33))/1000000),0),IF($A$2="PREMIUM",IFERROR(IF($X$1="ABS",(100*RTD("tos.rtd",,"VOLUME","."&amp;P$2&amp;P$1&amp;"C"&amp;$A33)*RTD("tos.rtd",,"LAST","."&amp;P$2&amp;P$1&amp;"C"&amp;$A33)+100*RTD("tos.rtd",,"VOLUME","."&amp;P$2&amp;P$1&amp;"P"&amp;$A33)*RTD("tos.rtd",,"LAST","."&amp;P$2&amp;P$1&amp;"P"&amp;$A33))/1000000,(100*RTD("tos.rtd",,"VOLUME","."&amp;P$2&amp;P$1&amp;"C"&amp;$A33)*RTD("tos.rtd",,"LAST","."&amp;P$2&amp;P$1&amp;"C"&amp;$A33)-100*RTD("tos.rtd",,"VOLUME","."&amp;P$2&amp;P$1&amp;"P"&amp;$A33)*RTD("tos.rtd",,"LAST","."&amp;P$2&amp;P$1&amp;"P"&amp;$A33))/1000000),0),IF($A$2="DEX",IFERROR(IF($X$1="ABS",(100*RTD("tos.rtd",,"OPEN_INT","."&amp;P$2&amp;P$1&amp;"C"&amp;$A33)*RTD("tos.rtd",,"DELTA","."&amp;P$2&amp;P$1&amp;"C"&amp;$A33)+100*RTD("tos.rtd",,"OPEN_INT","."&amp;P$2&amp;P$1&amp;"P"&amp;$A33)*RTD("tos.rtd",,"DELTA","."&amp;P$2&amp;P$1&amp;"P"&amp;$A33))/1000,(100*RTD("tos.rtd",,"OPEN_INT","."&amp;P$2&amp;P$1&amp;"C"&amp;$A33)*RTD("tos.rtd",,"DELTA","."&amp;P$2&amp;P$1&amp;"C"&amp;$A33)-100*RTD("tos.rtd",,"OPEN_INT","."&amp;P$2&amp;P$1&amp;"P"&amp;$A33)*RTD("tos.rtd",,"DELTA","."&amp;P$2&amp;P$1&amp;"P"&amp;$A33))/1000),0),IF($A$2="VEX",IFERROR(IF($X$1="ABS",($A$4*$A$4*RTD("tos.rtd",,"VOLUME","."&amp;P$2&amp;P$1&amp;"C"&amp;$A33)*RTD("tos.rtd",,"GAMMA","."&amp;P$2&amp;P$1&amp;"C"&amp;$A33)+$A$4*$A$4*RTD("tos.rtd",,"VOLUME","."&amp;P$2&amp;P$1&amp;"P"&amp;$A33)*RTD("tos.rtd",,"GAMMA","."&amp;P$2&amp;P$1&amp;"P"&amp;$A33))/1000000,($A$4*$A$4*RTD("tos.rtd",,"VOLUME","."&amp;P$2&amp;P$1&amp;"C"&amp;$A33)*RTD("tos.rtd",,"GAMMA","."&amp;P$2&amp;P$1&amp;"C"&amp;$A33)-$A$4*$A$4*RTD("tos.rtd",,"VOLUME","."&amp;P$2&amp;P$1&amp;"P"&amp;$A33)*RTD("tos.rtd",,"GAMMA","."&amp;P$2&amp;P$1&amp;"P"&amp;$A33))/1000000),0),IF($A$2="GEX",IFERROR(IF($X$1="ABS",($A$4*$A$4*RTD("tos.rtd",,"OPEN_INT","."&amp;P$2&amp;P$1&amp;"C"&amp;$A33)*RTD("tos.rtd",,"GAMMA","."&amp;P$2&amp;P$1&amp;"C"&amp;$A33)+$A$4*$A$4*RTD("tos.rtd",,"OPEN_INT","."&amp;P$2&amp;P$1&amp;"P"&amp;$A33)*RTD("tos.rtd",,"GAMMA","."&amp;P$2&amp;P$1&amp;"P"&amp;$A33))/1000000,($A$4*$A$4*RTD("tos.rtd",,"OPEN_INT","."&amp;P$2&amp;P$1&amp;"C"&amp;$A33)*RTD("tos.rtd",,"GAMMA","."&amp;P$2&amp;P$1&amp;"C"&amp;$A33)-$A$4*$A$4*RTD("tos.rtd",,"OPEN_INT","."&amp;P$2&amp;P$1&amp;"P"&amp;$A33)*RTD("tos.rtd",,"GAMMA","."&amp;P$2&amp;P$1&amp;"P"&amp;$A33))/1000000),0),IF($A$2="SKEW",IFERROR(VALUE(IF(RTD("tos.rtd",,"IMPL_VOL","."&amp;P$2&amp;P$1&amp;"P"&amp;$A33)="N/A",0,RTD("tos.rtd",,"IMPL_VOL","."&amp;P$2&amp;P$1&amp;"P"&amp;$A33))),0)-IFERROR(VALUE(IF(RTD("tos.rtd",,"IMPL_VOL","."&amp;P$2&amp;P$1&amp;"C"&amp;$A33)="N/A",0,RTD("tos.rtd",,"IMPL_VOL","."&amp;P$2&amp;P$1&amp;"C"&amp;$A33))),0),IF($A$2="MAXPAIN",IF($A$4&gt;$A33,($A$4-$A33)*IF(RTD("tos.rtd",,"OPEN_INT","."&amp;P$2&amp;P$1&amp;"C"&amp;$A33)="N/A",0,RTD("tos.rtd",,"OPEN_INT","."&amp;P$2&amp;P$1&amp;"C"&amp;$A33)),0)+IF($A$4&lt;$A33,($A$5-$A$4)*IF(RTD("tos.rtd",,"OPEN_INT","."&amp;P$2&amp;P$1&amp;"P"&amp;$A33)="N/A",0,RTD("tos.rtd",,"OPEN_INT","."&amp;P$2&amp;P$1&amp;"P"&amp;$A33)),0),IF($X$1="ABS",IF(RTD("tos.rtd",,$A$2,"."&amp;P$2&amp;P$1&amp;"C"&amp;$A33)="N/A",0,RTD("tos.rtd",,$A$2,"."&amp;P$2&amp;P$1&amp;"C"&amp;$A33))+IF(RTD("tos.rtd",,$A$2,"."&amp;P$2&amp;P$1&amp;"P"&amp;$A33)="N/A",0,RTD("tos.rtd",,$A$2,"."&amp;P$2&amp;P$1&amp;"P"&amp;$A33)),IF(RTD("tos.rtd",,$A$2,"."&amp;P$2&amp;P$1&amp;"C"&amp;$A33)="N/A",0,RTD("tos.rtd",,$A$2,"."&amp;P$2&amp;P$1&amp;"C"&amp;$A33))-IF(RTD("tos.rtd",,$A$2,"."&amp;P$2&amp;P$1&amp;"P"&amp;$A33)="N/A",0,RTD("tos.rtd",,$A$2,"."&amp;P$2&amp;P$1&amp;"P"&amp;$A33))))))))))</f>
        <v>0</v>
      </c>
      <c r="Q33" s="12">
        <f ca="1">IF($A$2="PREMIUM_OI",IFERROR(IF($X$1="ABS",(100*RTD("tos.rtd",,"OPEN_INT","."&amp;Q$2&amp;Q$1&amp;"C"&amp;$A33)*RTD("tos.rtd",,"LAST","."&amp;Q$2&amp;Q$1&amp;"C"&amp;$A33)+100*RTD("tos.rtd",,"OPEN_INT","."&amp;Q$2&amp;Q$1&amp;"P"&amp;$A33)*RTD("tos.rtd",,"LAST","."&amp;Q$2&amp;Q$1&amp;"P"&amp;$A33))/1000000,(100*RTD("tos.rtd",,"OPEN_INT","."&amp;Q$2&amp;Q$1&amp;"C"&amp;$A33)*RTD("tos.rtd",,"LAST","."&amp;Q$2&amp;Q$1&amp;"C"&amp;$A33)-100*RTD("tos.rtd",,"OPEN_INT","."&amp;Q$2&amp;Q$1&amp;"P"&amp;$A33)*RTD("tos.rtd",,"LAST","."&amp;Q$2&amp;Q$1&amp;"P"&amp;$A33))/1000000),0),IF($A$2="PREMIUM",IFERROR(IF($X$1="ABS",(100*RTD("tos.rtd",,"VOLUME","."&amp;Q$2&amp;Q$1&amp;"C"&amp;$A33)*RTD("tos.rtd",,"LAST","."&amp;Q$2&amp;Q$1&amp;"C"&amp;$A33)+100*RTD("tos.rtd",,"VOLUME","."&amp;Q$2&amp;Q$1&amp;"P"&amp;$A33)*RTD("tos.rtd",,"LAST","."&amp;Q$2&amp;Q$1&amp;"P"&amp;$A33))/1000000,(100*RTD("tos.rtd",,"VOLUME","."&amp;Q$2&amp;Q$1&amp;"C"&amp;$A33)*RTD("tos.rtd",,"LAST","."&amp;Q$2&amp;Q$1&amp;"C"&amp;$A33)-100*RTD("tos.rtd",,"VOLUME","."&amp;Q$2&amp;Q$1&amp;"P"&amp;$A33)*RTD("tos.rtd",,"LAST","."&amp;Q$2&amp;Q$1&amp;"P"&amp;$A33))/1000000),0),IF($A$2="DEX",IFERROR(IF($X$1="ABS",(100*RTD("tos.rtd",,"OPEN_INT","."&amp;Q$2&amp;Q$1&amp;"C"&amp;$A33)*RTD("tos.rtd",,"DELTA","."&amp;Q$2&amp;Q$1&amp;"C"&amp;$A33)+100*RTD("tos.rtd",,"OPEN_INT","."&amp;Q$2&amp;Q$1&amp;"P"&amp;$A33)*RTD("tos.rtd",,"DELTA","."&amp;Q$2&amp;Q$1&amp;"P"&amp;$A33))/1000,(100*RTD("tos.rtd",,"OPEN_INT","."&amp;Q$2&amp;Q$1&amp;"C"&amp;$A33)*RTD("tos.rtd",,"DELTA","."&amp;Q$2&amp;Q$1&amp;"C"&amp;$A33)-100*RTD("tos.rtd",,"OPEN_INT","."&amp;Q$2&amp;Q$1&amp;"P"&amp;$A33)*RTD("tos.rtd",,"DELTA","."&amp;Q$2&amp;Q$1&amp;"P"&amp;$A33))/1000),0),IF($A$2="VEX",IFERROR(IF($X$1="ABS",($A$4*$A$4*RTD("tos.rtd",,"VOLUME","."&amp;Q$2&amp;Q$1&amp;"C"&amp;$A33)*RTD("tos.rtd",,"GAMMA","."&amp;Q$2&amp;Q$1&amp;"C"&amp;$A33)+$A$4*$A$4*RTD("tos.rtd",,"VOLUME","."&amp;Q$2&amp;Q$1&amp;"P"&amp;$A33)*RTD("tos.rtd",,"GAMMA","."&amp;Q$2&amp;Q$1&amp;"P"&amp;$A33))/1000000,($A$4*$A$4*RTD("tos.rtd",,"VOLUME","."&amp;Q$2&amp;Q$1&amp;"C"&amp;$A33)*RTD("tos.rtd",,"GAMMA","."&amp;Q$2&amp;Q$1&amp;"C"&amp;$A33)-$A$4*$A$4*RTD("tos.rtd",,"VOLUME","."&amp;Q$2&amp;Q$1&amp;"P"&amp;$A33)*RTD("tos.rtd",,"GAMMA","."&amp;Q$2&amp;Q$1&amp;"P"&amp;$A33))/1000000),0),IF($A$2="GEX",IFERROR(IF($X$1="ABS",($A$4*$A$4*RTD("tos.rtd",,"OPEN_INT","."&amp;Q$2&amp;Q$1&amp;"C"&amp;$A33)*RTD("tos.rtd",,"GAMMA","."&amp;Q$2&amp;Q$1&amp;"C"&amp;$A33)+$A$4*$A$4*RTD("tos.rtd",,"OPEN_INT","."&amp;Q$2&amp;Q$1&amp;"P"&amp;$A33)*RTD("tos.rtd",,"GAMMA","."&amp;Q$2&amp;Q$1&amp;"P"&amp;$A33))/1000000,($A$4*$A$4*RTD("tos.rtd",,"OPEN_INT","."&amp;Q$2&amp;Q$1&amp;"C"&amp;$A33)*RTD("tos.rtd",,"GAMMA","."&amp;Q$2&amp;Q$1&amp;"C"&amp;$A33)-$A$4*$A$4*RTD("tos.rtd",,"OPEN_INT","."&amp;Q$2&amp;Q$1&amp;"P"&amp;$A33)*RTD("tos.rtd",,"GAMMA","."&amp;Q$2&amp;Q$1&amp;"P"&amp;$A33))/1000000),0),IF($A$2="SKEW",IFERROR(VALUE(IF(RTD("tos.rtd",,"IMPL_VOL","."&amp;Q$2&amp;Q$1&amp;"P"&amp;$A33)="N/A",0,RTD("tos.rtd",,"IMPL_VOL","."&amp;Q$2&amp;Q$1&amp;"P"&amp;$A33))),0)-IFERROR(VALUE(IF(RTD("tos.rtd",,"IMPL_VOL","."&amp;Q$2&amp;Q$1&amp;"C"&amp;$A33)="N/A",0,RTD("tos.rtd",,"IMPL_VOL","."&amp;Q$2&amp;Q$1&amp;"C"&amp;$A33))),0),IF($A$2="MAXPAIN",IF($A$4&gt;$A33,($A$4-$A33)*IF(RTD("tos.rtd",,"OPEN_INT","."&amp;Q$2&amp;Q$1&amp;"C"&amp;$A33)="N/A",0,RTD("tos.rtd",,"OPEN_INT","."&amp;Q$2&amp;Q$1&amp;"C"&amp;$A33)),0)+IF($A$4&lt;$A33,($A$5-$A$4)*IF(RTD("tos.rtd",,"OPEN_INT","."&amp;Q$2&amp;Q$1&amp;"P"&amp;$A33)="N/A",0,RTD("tos.rtd",,"OPEN_INT","."&amp;Q$2&amp;Q$1&amp;"P"&amp;$A33)),0),IF($X$1="ABS",IF(RTD("tos.rtd",,$A$2,"."&amp;Q$2&amp;Q$1&amp;"C"&amp;$A33)="N/A",0,RTD("tos.rtd",,$A$2,"."&amp;Q$2&amp;Q$1&amp;"C"&amp;$A33))+IF(RTD("tos.rtd",,$A$2,"."&amp;Q$2&amp;Q$1&amp;"P"&amp;$A33)="N/A",0,RTD("tos.rtd",,$A$2,"."&amp;Q$2&amp;Q$1&amp;"P"&amp;$A33)),IF(RTD("tos.rtd",,$A$2,"."&amp;Q$2&amp;Q$1&amp;"C"&amp;$A33)="N/A",0,RTD("tos.rtd",,$A$2,"."&amp;Q$2&amp;Q$1&amp;"C"&amp;$A33))-IF(RTD("tos.rtd",,$A$2,"."&amp;Q$2&amp;Q$1&amp;"P"&amp;$A33)="N/A",0,RTD("tos.rtd",,$A$2,"."&amp;Q$2&amp;Q$1&amp;"P"&amp;$A33))))))))))</f>
        <v>0</v>
      </c>
      <c r="R33" s="12">
        <f ca="1">IF($A$2="PREMIUM_OI",IFERROR(IF($X$1="ABS",(100*RTD("tos.rtd",,"OPEN_INT","."&amp;R$2&amp;R$1&amp;"C"&amp;$A33)*RTD("tos.rtd",,"LAST","."&amp;R$2&amp;R$1&amp;"C"&amp;$A33)+100*RTD("tos.rtd",,"OPEN_INT","."&amp;R$2&amp;R$1&amp;"P"&amp;$A33)*RTD("tos.rtd",,"LAST","."&amp;R$2&amp;R$1&amp;"P"&amp;$A33))/1000000,(100*RTD("tos.rtd",,"OPEN_INT","."&amp;R$2&amp;R$1&amp;"C"&amp;$A33)*RTD("tos.rtd",,"LAST","."&amp;R$2&amp;R$1&amp;"C"&amp;$A33)-100*RTD("tos.rtd",,"OPEN_INT","."&amp;R$2&amp;R$1&amp;"P"&amp;$A33)*RTD("tos.rtd",,"LAST","."&amp;R$2&amp;R$1&amp;"P"&amp;$A33))/1000000),0),IF($A$2="PREMIUM",IFERROR(IF($X$1="ABS",(100*RTD("tos.rtd",,"VOLUME","."&amp;R$2&amp;R$1&amp;"C"&amp;$A33)*RTD("tos.rtd",,"LAST","."&amp;R$2&amp;R$1&amp;"C"&amp;$A33)+100*RTD("tos.rtd",,"VOLUME","."&amp;R$2&amp;R$1&amp;"P"&amp;$A33)*RTD("tos.rtd",,"LAST","."&amp;R$2&amp;R$1&amp;"P"&amp;$A33))/1000000,(100*RTD("tos.rtd",,"VOLUME","."&amp;R$2&amp;R$1&amp;"C"&amp;$A33)*RTD("tos.rtd",,"LAST","."&amp;R$2&amp;R$1&amp;"C"&amp;$A33)-100*RTD("tos.rtd",,"VOLUME","."&amp;R$2&amp;R$1&amp;"P"&amp;$A33)*RTD("tos.rtd",,"LAST","."&amp;R$2&amp;R$1&amp;"P"&amp;$A33))/1000000),0),IF($A$2="DEX",IFERROR(IF($X$1="ABS",(100*RTD("tos.rtd",,"OPEN_INT","."&amp;R$2&amp;R$1&amp;"C"&amp;$A33)*RTD("tos.rtd",,"DELTA","."&amp;R$2&amp;R$1&amp;"C"&amp;$A33)+100*RTD("tos.rtd",,"OPEN_INT","."&amp;R$2&amp;R$1&amp;"P"&amp;$A33)*RTD("tos.rtd",,"DELTA","."&amp;R$2&amp;R$1&amp;"P"&amp;$A33))/1000,(100*RTD("tos.rtd",,"OPEN_INT","."&amp;R$2&amp;R$1&amp;"C"&amp;$A33)*RTD("tos.rtd",,"DELTA","."&amp;R$2&amp;R$1&amp;"C"&amp;$A33)-100*RTD("tos.rtd",,"OPEN_INT","."&amp;R$2&amp;R$1&amp;"P"&amp;$A33)*RTD("tos.rtd",,"DELTA","."&amp;R$2&amp;R$1&amp;"P"&amp;$A33))/1000),0),IF($A$2="VEX",IFERROR(IF($X$1="ABS",($A$4*$A$4*RTD("tos.rtd",,"VOLUME","."&amp;R$2&amp;R$1&amp;"C"&amp;$A33)*RTD("tos.rtd",,"GAMMA","."&amp;R$2&amp;R$1&amp;"C"&amp;$A33)+$A$4*$A$4*RTD("tos.rtd",,"VOLUME","."&amp;R$2&amp;R$1&amp;"P"&amp;$A33)*RTD("tos.rtd",,"GAMMA","."&amp;R$2&amp;R$1&amp;"P"&amp;$A33))/1000000,($A$4*$A$4*RTD("tos.rtd",,"VOLUME","."&amp;R$2&amp;R$1&amp;"C"&amp;$A33)*RTD("tos.rtd",,"GAMMA","."&amp;R$2&amp;R$1&amp;"C"&amp;$A33)-$A$4*$A$4*RTD("tos.rtd",,"VOLUME","."&amp;R$2&amp;R$1&amp;"P"&amp;$A33)*RTD("tos.rtd",,"GAMMA","."&amp;R$2&amp;R$1&amp;"P"&amp;$A33))/1000000),0),IF($A$2="GEX",IFERROR(IF($X$1="ABS",($A$4*$A$4*RTD("tos.rtd",,"OPEN_INT","."&amp;R$2&amp;R$1&amp;"C"&amp;$A33)*RTD("tos.rtd",,"GAMMA","."&amp;R$2&amp;R$1&amp;"C"&amp;$A33)+$A$4*$A$4*RTD("tos.rtd",,"OPEN_INT","."&amp;R$2&amp;R$1&amp;"P"&amp;$A33)*RTD("tos.rtd",,"GAMMA","."&amp;R$2&amp;R$1&amp;"P"&amp;$A33))/1000000,($A$4*$A$4*RTD("tos.rtd",,"OPEN_INT","."&amp;R$2&amp;R$1&amp;"C"&amp;$A33)*RTD("tos.rtd",,"GAMMA","."&amp;R$2&amp;R$1&amp;"C"&amp;$A33)-$A$4*$A$4*RTD("tos.rtd",,"OPEN_INT","."&amp;R$2&amp;R$1&amp;"P"&amp;$A33)*RTD("tos.rtd",,"GAMMA","."&amp;R$2&amp;R$1&amp;"P"&amp;$A33))/1000000),0),IF($A$2="SKEW",IFERROR(VALUE(IF(RTD("tos.rtd",,"IMPL_VOL","."&amp;R$2&amp;R$1&amp;"P"&amp;$A33)="N/A",0,RTD("tos.rtd",,"IMPL_VOL","."&amp;R$2&amp;R$1&amp;"P"&amp;$A33))),0)-IFERROR(VALUE(IF(RTD("tos.rtd",,"IMPL_VOL","."&amp;R$2&amp;R$1&amp;"C"&amp;$A33)="N/A",0,RTD("tos.rtd",,"IMPL_VOL","."&amp;R$2&amp;R$1&amp;"C"&amp;$A33))),0),IF($A$2="MAXPAIN",IF($A$4&gt;$A33,($A$4-$A33)*IF(RTD("tos.rtd",,"OPEN_INT","."&amp;R$2&amp;R$1&amp;"C"&amp;$A33)="N/A",0,RTD("tos.rtd",,"OPEN_INT","."&amp;R$2&amp;R$1&amp;"C"&amp;$A33)),0)+IF($A$4&lt;$A33,($A$5-$A$4)*IF(RTD("tos.rtd",,"OPEN_INT","."&amp;R$2&amp;R$1&amp;"P"&amp;$A33)="N/A",0,RTD("tos.rtd",,"OPEN_INT","."&amp;R$2&amp;R$1&amp;"P"&amp;$A33)),0),IF($X$1="ABS",IF(RTD("tos.rtd",,$A$2,"."&amp;R$2&amp;R$1&amp;"C"&amp;$A33)="N/A",0,RTD("tos.rtd",,$A$2,"."&amp;R$2&amp;R$1&amp;"C"&amp;$A33))+IF(RTD("tos.rtd",,$A$2,"."&amp;R$2&amp;R$1&amp;"P"&amp;$A33)="N/A",0,RTD("tos.rtd",,$A$2,"."&amp;R$2&amp;R$1&amp;"P"&amp;$A33)),IF(RTD("tos.rtd",,$A$2,"."&amp;R$2&amp;R$1&amp;"C"&amp;$A33)="N/A",0,RTD("tos.rtd",,$A$2,"."&amp;R$2&amp;R$1&amp;"C"&amp;$A33))-IF(RTD("tos.rtd",,$A$2,"."&amp;R$2&amp;R$1&amp;"P"&amp;$A33)="N/A",0,RTD("tos.rtd",,$A$2,"."&amp;R$2&amp;R$1&amp;"P"&amp;$A33))))))))))</f>
        <v>0</v>
      </c>
      <c r="S33" s="12">
        <f ca="1">IF($A$2="PREMIUM_OI",IFERROR(IF($X$1="ABS",(100*RTD("tos.rtd",,"OPEN_INT","."&amp;S$2&amp;S$1&amp;"C"&amp;$A33)*RTD("tos.rtd",,"LAST","."&amp;S$2&amp;S$1&amp;"C"&amp;$A33)+100*RTD("tos.rtd",,"OPEN_INT","."&amp;S$2&amp;S$1&amp;"P"&amp;$A33)*RTD("tos.rtd",,"LAST","."&amp;S$2&amp;S$1&amp;"P"&amp;$A33))/1000000,(100*RTD("tos.rtd",,"OPEN_INT","."&amp;S$2&amp;S$1&amp;"C"&amp;$A33)*RTD("tos.rtd",,"LAST","."&amp;S$2&amp;S$1&amp;"C"&amp;$A33)-100*RTD("tos.rtd",,"OPEN_INT","."&amp;S$2&amp;S$1&amp;"P"&amp;$A33)*RTD("tos.rtd",,"LAST","."&amp;S$2&amp;S$1&amp;"P"&amp;$A33))/1000000),0),IF($A$2="PREMIUM",IFERROR(IF($X$1="ABS",(100*RTD("tos.rtd",,"VOLUME","."&amp;S$2&amp;S$1&amp;"C"&amp;$A33)*RTD("tos.rtd",,"LAST","."&amp;S$2&amp;S$1&amp;"C"&amp;$A33)+100*RTD("tos.rtd",,"VOLUME","."&amp;S$2&amp;S$1&amp;"P"&amp;$A33)*RTD("tos.rtd",,"LAST","."&amp;S$2&amp;S$1&amp;"P"&amp;$A33))/1000000,(100*RTD("tos.rtd",,"VOLUME","."&amp;S$2&amp;S$1&amp;"C"&amp;$A33)*RTD("tos.rtd",,"LAST","."&amp;S$2&amp;S$1&amp;"C"&amp;$A33)-100*RTD("tos.rtd",,"VOLUME","."&amp;S$2&amp;S$1&amp;"P"&amp;$A33)*RTD("tos.rtd",,"LAST","."&amp;S$2&amp;S$1&amp;"P"&amp;$A33))/1000000),0),IF($A$2="DEX",IFERROR(IF($X$1="ABS",(100*RTD("tos.rtd",,"OPEN_INT","."&amp;S$2&amp;S$1&amp;"C"&amp;$A33)*RTD("tos.rtd",,"DELTA","."&amp;S$2&amp;S$1&amp;"C"&amp;$A33)+100*RTD("tos.rtd",,"OPEN_INT","."&amp;S$2&amp;S$1&amp;"P"&amp;$A33)*RTD("tos.rtd",,"DELTA","."&amp;S$2&amp;S$1&amp;"P"&amp;$A33))/1000,(100*RTD("tos.rtd",,"OPEN_INT","."&amp;S$2&amp;S$1&amp;"C"&amp;$A33)*RTD("tos.rtd",,"DELTA","."&amp;S$2&amp;S$1&amp;"C"&amp;$A33)-100*RTD("tos.rtd",,"OPEN_INT","."&amp;S$2&amp;S$1&amp;"P"&amp;$A33)*RTD("tos.rtd",,"DELTA","."&amp;S$2&amp;S$1&amp;"P"&amp;$A33))/1000),0),IF($A$2="VEX",IFERROR(IF($X$1="ABS",($A$4*$A$4*RTD("tos.rtd",,"VOLUME","."&amp;S$2&amp;S$1&amp;"C"&amp;$A33)*RTD("tos.rtd",,"GAMMA","."&amp;S$2&amp;S$1&amp;"C"&amp;$A33)+$A$4*$A$4*RTD("tos.rtd",,"VOLUME","."&amp;S$2&amp;S$1&amp;"P"&amp;$A33)*RTD("tos.rtd",,"GAMMA","."&amp;S$2&amp;S$1&amp;"P"&amp;$A33))/1000000,($A$4*$A$4*RTD("tos.rtd",,"VOLUME","."&amp;S$2&amp;S$1&amp;"C"&amp;$A33)*RTD("tos.rtd",,"GAMMA","."&amp;S$2&amp;S$1&amp;"C"&amp;$A33)-$A$4*$A$4*RTD("tos.rtd",,"VOLUME","."&amp;S$2&amp;S$1&amp;"P"&amp;$A33)*RTD("tos.rtd",,"GAMMA","."&amp;S$2&amp;S$1&amp;"P"&amp;$A33))/1000000),0),IF($A$2="GEX",IFERROR(IF($X$1="ABS",($A$4*$A$4*RTD("tos.rtd",,"OPEN_INT","."&amp;S$2&amp;S$1&amp;"C"&amp;$A33)*RTD("tos.rtd",,"GAMMA","."&amp;S$2&amp;S$1&amp;"C"&amp;$A33)+$A$4*$A$4*RTD("tos.rtd",,"OPEN_INT","."&amp;S$2&amp;S$1&amp;"P"&amp;$A33)*RTD("tos.rtd",,"GAMMA","."&amp;S$2&amp;S$1&amp;"P"&amp;$A33))/1000000,($A$4*$A$4*RTD("tos.rtd",,"OPEN_INT","."&amp;S$2&amp;S$1&amp;"C"&amp;$A33)*RTD("tos.rtd",,"GAMMA","."&amp;S$2&amp;S$1&amp;"C"&amp;$A33)-$A$4*$A$4*RTD("tos.rtd",,"OPEN_INT","."&amp;S$2&amp;S$1&amp;"P"&amp;$A33)*RTD("tos.rtd",,"GAMMA","."&amp;S$2&amp;S$1&amp;"P"&amp;$A33))/1000000),0),IF($A$2="SKEW",IFERROR(VALUE(IF(RTD("tos.rtd",,"IMPL_VOL","."&amp;S$2&amp;S$1&amp;"P"&amp;$A33)="N/A",0,RTD("tos.rtd",,"IMPL_VOL","."&amp;S$2&amp;S$1&amp;"P"&amp;$A33))),0)-IFERROR(VALUE(IF(RTD("tos.rtd",,"IMPL_VOL","."&amp;S$2&amp;S$1&amp;"C"&amp;$A33)="N/A",0,RTD("tos.rtd",,"IMPL_VOL","."&amp;S$2&amp;S$1&amp;"C"&amp;$A33))),0),IF($A$2="MAXPAIN",IF($A$4&gt;$A33,($A$4-$A33)*IF(RTD("tos.rtd",,"OPEN_INT","."&amp;S$2&amp;S$1&amp;"C"&amp;$A33)="N/A",0,RTD("tos.rtd",,"OPEN_INT","."&amp;S$2&amp;S$1&amp;"C"&amp;$A33)),0)+IF($A$4&lt;$A33,($A$5-$A$4)*IF(RTD("tos.rtd",,"OPEN_INT","."&amp;S$2&amp;S$1&amp;"P"&amp;$A33)="N/A",0,RTD("tos.rtd",,"OPEN_INT","."&amp;S$2&amp;S$1&amp;"P"&amp;$A33)),0),IF($X$1="ABS",IF(RTD("tos.rtd",,$A$2,"."&amp;S$2&amp;S$1&amp;"C"&amp;$A33)="N/A",0,RTD("tos.rtd",,$A$2,"."&amp;S$2&amp;S$1&amp;"C"&amp;$A33))+IF(RTD("tos.rtd",,$A$2,"."&amp;S$2&amp;S$1&amp;"P"&amp;$A33)="N/A",0,RTD("tos.rtd",,$A$2,"."&amp;S$2&amp;S$1&amp;"P"&amp;$A33)),IF(RTD("tos.rtd",,$A$2,"."&amp;S$2&amp;S$1&amp;"C"&amp;$A33)="N/A",0,RTD("tos.rtd",,$A$2,"."&amp;S$2&amp;S$1&amp;"C"&amp;$A33))-IF(RTD("tos.rtd",,$A$2,"."&amp;S$2&amp;S$1&amp;"P"&amp;$A33)="N/A",0,RTD("tos.rtd",,$A$2,"."&amp;S$2&amp;S$1&amp;"P"&amp;$A33))))))))))</f>
        <v>0</v>
      </c>
      <c r="T33" s="12">
        <f ca="1">IF($A$2="PREMIUM_OI",IFERROR(IF($X$1="ABS",(100*RTD("tos.rtd",,"OPEN_INT","."&amp;T$2&amp;T$1&amp;"C"&amp;$A33)*RTD("tos.rtd",,"LAST","."&amp;T$2&amp;T$1&amp;"C"&amp;$A33)+100*RTD("tos.rtd",,"OPEN_INT","."&amp;T$2&amp;T$1&amp;"P"&amp;$A33)*RTD("tos.rtd",,"LAST","."&amp;T$2&amp;T$1&amp;"P"&amp;$A33))/1000000,(100*RTD("tos.rtd",,"OPEN_INT","."&amp;T$2&amp;T$1&amp;"C"&amp;$A33)*RTD("tos.rtd",,"LAST","."&amp;T$2&amp;T$1&amp;"C"&amp;$A33)-100*RTD("tos.rtd",,"OPEN_INT","."&amp;T$2&amp;T$1&amp;"P"&amp;$A33)*RTD("tos.rtd",,"LAST","."&amp;T$2&amp;T$1&amp;"P"&amp;$A33))/1000000),0),IF($A$2="PREMIUM",IFERROR(IF($X$1="ABS",(100*RTD("tos.rtd",,"VOLUME","."&amp;T$2&amp;T$1&amp;"C"&amp;$A33)*RTD("tos.rtd",,"LAST","."&amp;T$2&amp;T$1&amp;"C"&amp;$A33)+100*RTD("tos.rtd",,"VOLUME","."&amp;T$2&amp;T$1&amp;"P"&amp;$A33)*RTD("tos.rtd",,"LAST","."&amp;T$2&amp;T$1&amp;"P"&amp;$A33))/1000000,(100*RTD("tos.rtd",,"VOLUME","."&amp;T$2&amp;T$1&amp;"C"&amp;$A33)*RTD("tos.rtd",,"LAST","."&amp;T$2&amp;T$1&amp;"C"&amp;$A33)-100*RTD("tos.rtd",,"VOLUME","."&amp;T$2&amp;T$1&amp;"P"&amp;$A33)*RTD("tos.rtd",,"LAST","."&amp;T$2&amp;T$1&amp;"P"&amp;$A33))/1000000),0),IF($A$2="DEX",IFERROR(IF($X$1="ABS",(100*RTD("tos.rtd",,"OPEN_INT","."&amp;T$2&amp;T$1&amp;"C"&amp;$A33)*RTD("tos.rtd",,"DELTA","."&amp;T$2&amp;T$1&amp;"C"&amp;$A33)+100*RTD("tos.rtd",,"OPEN_INT","."&amp;T$2&amp;T$1&amp;"P"&amp;$A33)*RTD("tos.rtd",,"DELTA","."&amp;T$2&amp;T$1&amp;"P"&amp;$A33))/1000,(100*RTD("tos.rtd",,"OPEN_INT","."&amp;T$2&amp;T$1&amp;"C"&amp;$A33)*RTD("tos.rtd",,"DELTA","."&amp;T$2&amp;T$1&amp;"C"&amp;$A33)-100*RTD("tos.rtd",,"OPEN_INT","."&amp;T$2&amp;T$1&amp;"P"&amp;$A33)*RTD("tos.rtd",,"DELTA","."&amp;T$2&amp;T$1&amp;"P"&amp;$A33))/1000),0),IF($A$2="VEX",IFERROR(IF($X$1="ABS",($A$4*$A$4*RTD("tos.rtd",,"VOLUME","."&amp;T$2&amp;T$1&amp;"C"&amp;$A33)*RTD("tos.rtd",,"GAMMA","."&amp;T$2&amp;T$1&amp;"C"&amp;$A33)+$A$4*$A$4*RTD("tos.rtd",,"VOLUME","."&amp;T$2&amp;T$1&amp;"P"&amp;$A33)*RTD("tos.rtd",,"GAMMA","."&amp;T$2&amp;T$1&amp;"P"&amp;$A33))/1000000,($A$4*$A$4*RTD("tos.rtd",,"VOLUME","."&amp;T$2&amp;T$1&amp;"C"&amp;$A33)*RTD("tos.rtd",,"GAMMA","."&amp;T$2&amp;T$1&amp;"C"&amp;$A33)-$A$4*$A$4*RTD("tos.rtd",,"VOLUME","."&amp;T$2&amp;T$1&amp;"P"&amp;$A33)*RTD("tos.rtd",,"GAMMA","."&amp;T$2&amp;T$1&amp;"P"&amp;$A33))/1000000),0),IF($A$2="GEX",IFERROR(IF($X$1="ABS",($A$4*$A$4*RTD("tos.rtd",,"OPEN_INT","."&amp;T$2&amp;T$1&amp;"C"&amp;$A33)*RTD("tos.rtd",,"GAMMA","."&amp;T$2&amp;T$1&amp;"C"&amp;$A33)+$A$4*$A$4*RTD("tos.rtd",,"OPEN_INT","."&amp;T$2&amp;T$1&amp;"P"&amp;$A33)*RTD("tos.rtd",,"GAMMA","."&amp;T$2&amp;T$1&amp;"P"&amp;$A33))/1000000,($A$4*$A$4*RTD("tos.rtd",,"OPEN_INT","."&amp;T$2&amp;T$1&amp;"C"&amp;$A33)*RTD("tos.rtd",,"GAMMA","."&amp;T$2&amp;T$1&amp;"C"&amp;$A33)-$A$4*$A$4*RTD("tos.rtd",,"OPEN_INT","."&amp;T$2&amp;T$1&amp;"P"&amp;$A33)*RTD("tos.rtd",,"GAMMA","."&amp;T$2&amp;T$1&amp;"P"&amp;$A33))/1000000),0),IF($A$2="SKEW",IFERROR(VALUE(IF(RTD("tos.rtd",,"IMPL_VOL","."&amp;T$2&amp;T$1&amp;"P"&amp;$A33)="N/A",0,RTD("tos.rtd",,"IMPL_VOL","."&amp;T$2&amp;T$1&amp;"P"&amp;$A33))),0)-IFERROR(VALUE(IF(RTD("tos.rtd",,"IMPL_VOL","."&amp;T$2&amp;T$1&amp;"C"&amp;$A33)="N/A",0,RTD("tos.rtd",,"IMPL_VOL","."&amp;T$2&amp;T$1&amp;"C"&amp;$A33))),0),IF($A$2="MAXPAIN",IF($A$4&gt;$A33,($A$4-$A33)*IF(RTD("tos.rtd",,"OPEN_INT","."&amp;T$2&amp;T$1&amp;"C"&amp;$A33)="N/A",0,RTD("tos.rtd",,"OPEN_INT","."&amp;T$2&amp;T$1&amp;"C"&amp;$A33)),0)+IF($A$4&lt;$A33,($A$5-$A$4)*IF(RTD("tos.rtd",,"OPEN_INT","."&amp;T$2&amp;T$1&amp;"P"&amp;$A33)="N/A",0,RTD("tos.rtd",,"OPEN_INT","."&amp;T$2&amp;T$1&amp;"P"&amp;$A33)),0),IF($X$1="ABS",IF(RTD("tos.rtd",,$A$2,"."&amp;T$2&amp;T$1&amp;"C"&amp;$A33)="N/A",0,RTD("tos.rtd",,$A$2,"."&amp;T$2&amp;T$1&amp;"C"&amp;$A33))+IF(RTD("tos.rtd",,$A$2,"."&amp;T$2&amp;T$1&amp;"P"&amp;$A33)="N/A",0,RTD("tos.rtd",,$A$2,"."&amp;T$2&amp;T$1&amp;"P"&amp;$A33)),IF(RTD("tos.rtd",,$A$2,"."&amp;T$2&amp;T$1&amp;"C"&amp;$A33)="N/A",0,RTD("tos.rtd",,$A$2,"."&amp;T$2&amp;T$1&amp;"C"&amp;$A33))-IF(RTD("tos.rtd",,$A$2,"."&amp;T$2&amp;T$1&amp;"P"&amp;$A33)="N/A",0,RTD("tos.rtd",,$A$2,"."&amp;T$2&amp;T$1&amp;"P"&amp;$A33))))))))))</f>
        <v>0</v>
      </c>
      <c r="U33" s="12">
        <f ca="1">IF($A$2="PREMIUM_OI",IFERROR(IF($X$1="ABS",(100*RTD("tos.rtd",,"OPEN_INT","."&amp;U$2&amp;U$1&amp;"C"&amp;$A33)*RTD("tos.rtd",,"LAST","."&amp;U$2&amp;U$1&amp;"C"&amp;$A33)+100*RTD("tos.rtd",,"OPEN_INT","."&amp;U$2&amp;U$1&amp;"P"&amp;$A33)*RTD("tos.rtd",,"LAST","."&amp;U$2&amp;U$1&amp;"P"&amp;$A33))/1000000,(100*RTD("tos.rtd",,"OPEN_INT","."&amp;U$2&amp;U$1&amp;"C"&amp;$A33)*RTD("tos.rtd",,"LAST","."&amp;U$2&amp;U$1&amp;"C"&amp;$A33)-100*RTD("tos.rtd",,"OPEN_INT","."&amp;U$2&amp;U$1&amp;"P"&amp;$A33)*RTD("tos.rtd",,"LAST","."&amp;U$2&amp;U$1&amp;"P"&amp;$A33))/1000000),0),IF($A$2="PREMIUM",IFERROR(IF($X$1="ABS",(100*RTD("tos.rtd",,"VOLUME","."&amp;U$2&amp;U$1&amp;"C"&amp;$A33)*RTD("tos.rtd",,"LAST","."&amp;U$2&amp;U$1&amp;"C"&amp;$A33)+100*RTD("tos.rtd",,"VOLUME","."&amp;U$2&amp;U$1&amp;"P"&amp;$A33)*RTD("tos.rtd",,"LAST","."&amp;U$2&amp;U$1&amp;"P"&amp;$A33))/1000000,(100*RTD("tos.rtd",,"VOLUME","."&amp;U$2&amp;U$1&amp;"C"&amp;$A33)*RTD("tos.rtd",,"LAST","."&amp;U$2&amp;U$1&amp;"C"&amp;$A33)-100*RTD("tos.rtd",,"VOLUME","."&amp;U$2&amp;U$1&amp;"P"&amp;$A33)*RTD("tos.rtd",,"LAST","."&amp;U$2&amp;U$1&amp;"P"&amp;$A33))/1000000),0),IF($A$2="DEX",IFERROR(IF($X$1="ABS",(100*RTD("tos.rtd",,"OPEN_INT","."&amp;U$2&amp;U$1&amp;"C"&amp;$A33)*RTD("tos.rtd",,"DELTA","."&amp;U$2&amp;U$1&amp;"C"&amp;$A33)+100*RTD("tos.rtd",,"OPEN_INT","."&amp;U$2&amp;U$1&amp;"P"&amp;$A33)*RTD("tos.rtd",,"DELTA","."&amp;U$2&amp;U$1&amp;"P"&amp;$A33))/1000,(100*RTD("tos.rtd",,"OPEN_INT","."&amp;U$2&amp;U$1&amp;"C"&amp;$A33)*RTD("tos.rtd",,"DELTA","."&amp;U$2&amp;U$1&amp;"C"&amp;$A33)-100*RTD("tos.rtd",,"OPEN_INT","."&amp;U$2&amp;U$1&amp;"P"&amp;$A33)*RTD("tos.rtd",,"DELTA","."&amp;U$2&amp;U$1&amp;"P"&amp;$A33))/1000),0),IF($A$2="VEX",IFERROR(IF($X$1="ABS",($A$4*$A$4*RTD("tos.rtd",,"VOLUME","."&amp;U$2&amp;U$1&amp;"C"&amp;$A33)*RTD("tos.rtd",,"GAMMA","."&amp;U$2&amp;U$1&amp;"C"&amp;$A33)+$A$4*$A$4*RTD("tos.rtd",,"VOLUME","."&amp;U$2&amp;U$1&amp;"P"&amp;$A33)*RTD("tos.rtd",,"GAMMA","."&amp;U$2&amp;U$1&amp;"P"&amp;$A33))/1000000,($A$4*$A$4*RTD("tos.rtd",,"VOLUME","."&amp;U$2&amp;U$1&amp;"C"&amp;$A33)*RTD("tos.rtd",,"GAMMA","."&amp;U$2&amp;U$1&amp;"C"&amp;$A33)-$A$4*$A$4*RTD("tos.rtd",,"VOLUME","."&amp;U$2&amp;U$1&amp;"P"&amp;$A33)*RTD("tos.rtd",,"GAMMA","."&amp;U$2&amp;U$1&amp;"P"&amp;$A33))/1000000),0),IF($A$2="GEX",IFERROR(IF($X$1="ABS",($A$4*$A$4*RTD("tos.rtd",,"OPEN_INT","."&amp;U$2&amp;U$1&amp;"C"&amp;$A33)*RTD("tos.rtd",,"GAMMA","."&amp;U$2&amp;U$1&amp;"C"&amp;$A33)+$A$4*$A$4*RTD("tos.rtd",,"OPEN_INT","."&amp;U$2&amp;U$1&amp;"P"&amp;$A33)*RTD("tos.rtd",,"GAMMA","."&amp;U$2&amp;U$1&amp;"P"&amp;$A33))/1000000,($A$4*$A$4*RTD("tos.rtd",,"OPEN_INT","."&amp;U$2&amp;U$1&amp;"C"&amp;$A33)*RTD("tos.rtd",,"GAMMA","."&amp;U$2&amp;U$1&amp;"C"&amp;$A33)-$A$4*$A$4*RTD("tos.rtd",,"OPEN_INT","."&amp;U$2&amp;U$1&amp;"P"&amp;$A33)*RTD("tos.rtd",,"GAMMA","."&amp;U$2&amp;U$1&amp;"P"&amp;$A33))/1000000),0),IF($A$2="SKEW",IFERROR(VALUE(IF(RTD("tos.rtd",,"IMPL_VOL","."&amp;U$2&amp;U$1&amp;"P"&amp;$A33)="N/A",0,RTD("tos.rtd",,"IMPL_VOL","."&amp;U$2&amp;U$1&amp;"P"&amp;$A33))),0)-IFERROR(VALUE(IF(RTD("tos.rtd",,"IMPL_VOL","."&amp;U$2&amp;U$1&amp;"C"&amp;$A33)="N/A",0,RTD("tos.rtd",,"IMPL_VOL","."&amp;U$2&amp;U$1&amp;"C"&amp;$A33))),0),IF($A$2="MAXPAIN",IF($A$4&gt;$A33,($A$4-$A33)*IF(RTD("tos.rtd",,"OPEN_INT","."&amp;U$2&amp;U$1&amp;"C"&amp;$A33)="N/A",0,RTD("tos.rtd",,"OPEN_INT","."&amp;U$2&amp;U$1&amp;"C"&amp;$A33)),0)+IF($A$4&lt;$A33,($A$5-$A$4)*IF(RTD("tos.rtd",,"OPEN_INT","."&amp;U$2&amp;U$1&amp;"P"&amp;$A33)="N/A",0,RTD("tos.rtd",,"OPEN_INT","."&amp;U$2&amp;U$1&amp;"P"&amp;$A33)),0),IF($X$1="ABS",IF(RTD("tos.rtd",,$A$2,"."&amp;U$2&amp;U$1&amp;"C"&amp;$A33)="N/A",0,RTD("tos.rtd",,$A$2,"."&amp;U$2&amp;U$1&amp;"C"&amp;$A33))+IF(RTD("tos.rtd",,$A$2,"."&amp;U$2&amp;U$1&amp;"P"&amp;$A33)="N/A",0,RTD("tos.rtd",,$A$2,"."&amp;U$2&amp;U$1&amp;"P"&amp;$A33)),IF(RTD("tos.rtd",,$A$2,"."&amp;U$2&amp;U$1&amp;"C"&amp;$A33)="N/A",0,RTD("tos.rtd",,$A$2,"."&amp;U$2&amp;U$1&amp;"C"&amp;$A33))-IF(RTD("tos.rtd",,$A$2,"."&amp;U$2&amp;U$1&amp;"P"&amp;$A33)="N/A",0,RTD("tos.rtd",,$A$2,"."&amp;U$2&amp;U$1&amp;"P"&amp;$A33))))))))))</f>
        <v>0</v>
      </c>
      <c r="V33" s="12">
        <f ca="1">IF($A$2="PREMIUM_OI",IFERROR(IF($X$1="ABS",(100*RTD("tos.rtd",,"OPEN_INT","."&amp;V$2&amp;V$1&amp;"C"&amp;$A33)*RTD("tos.rtd",,"LAST","."&amp;V$2&amp;V$1&amp;"C"&amp;$A33)+100*RTD("tos.rtd",,"OPEN_INT","."&amp;V$2&amp;V$1&amp;"P"&amp;$A33)*RTD("tos.rtd",,"LAST","."&amp;V$2&amp;V$1&amp;"P"&amp;$A33))/1000000,(100*RTD("tos.rtd",,"OPEN_INT","."&amp;V$2&amp;V$1&amp;"C"&amp;$A33)*RTD("tos.rtd",,"LAST","."&amp;V$2&amp;V$1&amp;"C"&amp;$A33)-100*RTD("tos.rtd",,"OPEN_INT","."&amp;V$2&amp;V$1&amp;"P"&amp;$A33)*RTD("tos.rtd",,"LAST","."&amp;V$2&amp;V$1&amp;"P"&amp;$A33))/1000000),0),IF($A$2="PREMIUM",IFERROR(IF($X$1="ABS",(100*RTD("tos.rtd",,"VOLUME","."&amp;V$2&amp;V$1&amp;"C"&amp;$A33)*RTD("tos.rtd",,"LAST","."&amp;V$2&amp;V$1&amp;"C"&amp;$A33)+100*RTD("tos.rtd",,"VOLUME","."&amp;V$2&amp;V$1&amp;"P"&amp;$A33)*RTD("tos.rtd",,"LAST","."&amp;V$2&amp;V$1&amp;"P"&amp;$A33))/1000000,(100*RTD("tos.rtd",,"VOLUME","."&amp;V$2&amp;V$1&amp;"C"&amp;$A33)*RTD("tos.rtd",,"LAST","."&amp;V$2&amp;V$1&amp;"C"&amp;$A33)-100*RTD("tos.rtd",,"VOLUME","."&amp;V$2&amp;V$1&amp;"P"&amp;$A33)*RTD("tos.rtd",,"LAST","."&amp;V$2&amp;V$1&amp;"P"&amp;$A33))/1000000),0),IF($A$2="DEX",IFERROR(IF($X$1="ABS",(100*RTD("tos.rtd",,"OPEN_INT","."&amp;V$2&amp;V$1&amp;"C"&amp;$A33)*RTD("tos.rtd",,"DELTA","."&amp;V$2&amp;V$1&amp;"C"&amp;$A33)+100*RTD("tos.rtd",,"OPEN_INT","."&amp;V$2&amp;V$1&amp;"P"&amp;$A33)*RTD("tos.rtd",,"DELTA","."&amp;V$2&amp;V$1&amp;"P"&amp;$A33))/1000,(100*RTD("tos.rtd",,"OPEN_INT","."&amp;V$2&amp;V$1&amp;"C"&amp;$A33)*RTD("tos.rtd",,"DELTA","."&amp;V$2&amp;V$1&amp;"C"&amp;$A33)-100*RTD("tos.rtd",,"OPEN_INT","."&amp;V$2&amp;V$1&amp;"P"&amp;$A33)*RTD("tos.rtd",,"DELTA","."&amp;V$2&amp;V$1&amp;"P"&amp;$A33))/1000),0),IF($A$2="VEX",IFERROR(IF($X$1="ABS",($A$4*$A$4*RTD("tos.rtd",,"VOLUME","."&amp;V$2&amp;V$1&amp;"C"&amp;$A33)*RTD("tos.rtd",,"GAMMA","."&amp;V$2&amp;V$1&amp;"C"&amp;$A33)+$A$4*$A$4*RTD("tos.rtd",,"VOLUME","."&amp;V$2&amp;V$1&amp;"P"&amp;$A33)*RTD("tos.rtd",,"GAMMA","."&amp;V$2&amp;V$1&amp;"P"&amp;$A33))/1000000,($A$4*$A$4*RTD("tos.rtd",,"VOLUME","."&amp;V$2&amp;V$1&amp;"C"&amp;$A33)*RTD("tos.rtd",,"GAMMA","."&amp;V$2&amp;V$1&amp;"C"&amp;$A33)-$A$4*$A$4*RTD("tos.rtd",,"VOLUME","."&amp;V$2&amp;V$1&amp;"P"&amp;$A33)*RTD("tos.rtd",,"GAMMA","."&amp;V$2&amp;V$1&amp;"P"&amp;$A33))/1000000),0),IF($A$2="GEX",IFERROR(IF($X$1="ABS",($A$4*$A$4*RTD("tos.rtd",,"OPEN_INT","."&amp;V$2&amp;V$1&amp;"C"&amp;$A33)*RTD("tos.rtd",,"GAMMA","."&amp;V$2&amp;V$1&amp;"C"&amp;$A33)+$A$4*$A$4*RTD("tos.rtd",,"OPEN_INT","."&amp;V$2&amp;V$1&amp;"P"&amp;$A33)*RTD("tos.rtd",,"GAMMA","."&amp;V$2&amp;V$1&amp;"P"&amp;$A33))/1000000,($A$4*$A$4*RTD("tos.rtd",,"OPEN_INT","."&amp;V$2&amp;V$1&amp;"C"&amp;$A33)*RTD("tos.rtd",,"GAMMA","."&amp;V$2&amp;V$1&amp;"C"&amp;$A33)-$A$4*$A$4*RTD("tos.rtd",,"OPEN_INT","."&amp;V$2&amp;V$1&amp;"P"&amp;$A33)*RTD("tos.rtd",,"GAMMA","."&amp;V$2&amp;V$1&amp;"P"&amp;$A33))/1000000),0),IF($A$2="SKEW",IFERROR(VALUE(IF(RTD("tos.rtd",,"IMPL_VOL","."&amp;V$2&amp;V$1&amp;"P"&amp;$A33)="N/A",0,RTD("tos.rtd",,"IMPL_VOL","."&amp;V$2&amp;V$1&amp;"P"&amp;$A33))),0)-IFERROR(VALUE(IF(RTD("tos.rtd",,"IMPL_VOL","."&amp;V$2&amp;V$1&amp;"C"&amp;$A33)="N/A",0,RTD("tos.rtd",,"IMPL_VOL","."&amp;V$2&amp;V$1&amp;"C"&amp;$A33))),0),IF($A$2="MAXPAIN",IF($A$4&gt;$A33,($A$4-$A33)*IF(RTD("tos.rtd",,"OPEN_INT","."&amp;V$2&amp;V$1&amp;"C"&amp;$A33)="N/A",0,RTD("tos.rtd",,"OPEN_INT","."&amp;V$2&amp;V$1&amp;"C"&amp;$A33)),0)+IF($A$4&lt;$A33,($A$5-$A$4)*IF(RTD("tos.rtd",,"OPEN_INT","."&amp;V$2&amp;V$1&amp;"P"&amp;$A33)="N/A",0,RTD("tos.rtd",,"OPEN_INT","."&amp;V$2&amp;V$1&amp;"P"&amp;$A33)),0),IF($X$1="ABS",IF(RTD("tos.rtd",,$A$2,"."&amp;V$2&amp;V$1&amp;"C"&amp;$A33)="N/A",0,RTD("tos.rtd",,$A$2,"."&amp;V$2&amp;V$1&amp;"C"&amp;$A33))+IF(RTD("tos.rtd",,$A$2,"."&amp;V$2&amp;V$1&amp;"P"&amp;$A33)="N/A",0,RTD("tos.rtd",,$A$2,"."&amp;V$2&amp;V$1&amp;"P"&amp;$A33)),IF(RTD("tos.rtd",,$A$2,"."&amp;V$2&amp;V$1&amp;"C"&amp;$A33)="N/A",0,RTD("tos.rtd",,$A$2,"."&amp;V$2&amp;V$1&amp;"C"&amp;$A33))-IF(RTD("tos.rtd",,$A$2,"."&amp;V$2&amp;V$1&amp;"P"&amp;$A33)="N/A",0,RTD("tos.rtd",,$A$2,"."&amp;V$2&amp;V$1&amp;"P"&amp;$A33))))))))))</f>
        <v>0</v>
      </c>
      <c r="W33" s="12">
        <f ca="1">IF($A$2="PREMIUM_OI",IFERROR(IF($X$1="ABS",(100*RTD("tos.rtd",,"OPEN_INT","."&amp;W$2&amp;W$1&amp;"C"&amp;$A33)*RTD("tos.rtd",,"LAST","."&amp;W$2&amp;W$1&amp;"C"&amp;$A33)+100*RTD("tos.rtd",,"OPEN_INT","."&amp;W$2&amp;W$1&amp;"P"&amp;$A33)*RTD("tos.rtd",,"LAST","."&amp;W$2&amp;W$1&amp;"P"&amp;$A33))/1000000,(100*RTD("tos.rtd",,"OPEN_INT","."&amp;W$2&amp;W$1&amp;"C"&amp;$A33)*RTD("tos.rtd",,"LAST","."&amp;W$2&amp;W$1&amp;"C"&amp;$A33)-100*RTD("tos.rtd",,"OPEN_INT","."&amp;W$2&amp;W$1&amp;"P"&amp;$A33)*RTD("tos.rtd",,"LAST","."&amp;W$2&amp;W$1&amp;"P"&amp;$A33))/1000000),0),IF($A$2="PREMIUM",IFERROR(IF($X$1="ABS",(100*RTD("tos.rtd",,"VOLUME","."&amp;W$2&amp;W$1&amp;"C"&amp;$A33)*RTD("tos.rtd",,"LAST","."&amp;W$2&amp;W$1&amp;"C"&amp;$A33)+100*RTD("tos.rtd",,"VOLUME","."&amp;W$2&amp;W$1&amp;"P"&amp;$A33)*RTD("tos.rtd",,"LAST","."&amp;W$2&amp;W$1&amp;"P"&amp;$A33))/1000000,(100*RTD("tos.rtd",,"VOLUME","."&amp;W$2&amp;W$1&amp;"C"&amp;$A33)*RTD("tos.rtd",,"LAST","."&amp;W$2&amp;W$1&amp;"C"&amp;$A33)-100*RTD("tos.rtd",,"VOLUME","."&amp;W$2&amp;W$1&amp;"P"&amp;$A33)*RTD("tos.rtd",,"LAST","."&amp;W$2&amp;W$1&amp;"P"&amp;$A33))/1000000),0),IF($A$2="DEX",IFERROR(IF($X$1="ABS",(100*RTD("tos.rtd",,"OPEN_INT","."&amp;W$2&amp;W$1&amp;"C"&amp;$A33)*RTD("tos.rtd",,"DELTA","."&amp;W$2&amp;W$1&amp;"C"&amp;$A33)+100*RTD("tos.rtd",,"OPEN_INT","."&amp;W$2&amp;W$1&amp;"P"&amp;$A33)*RTD("tos.rtd",,"DELTA","."&amp;W$2&amp;W$1&amp;"P"&amp;$A33))/1000,(100*RTD("tos.rtd",,"OPEN_INT","."&amp;W$2&amp;W$1&amp;"C"&amp;$A33)*RTD("tos.rtd",,"DELTA","."&amp;W$2&amp;W$1&amp;"C"&amp;$A33)-100*RTD("tos.rtd",,"OPEN_INT","."&amp;W$2&amp;W$1&amp;"P"&amp;$A33)*RTD("tos.rtd",,"DELTA","."&amp;W$2&amp;W$1&amp;"P"&amp;$A33))/1000),0),IF($A$2="VEX",IFERROR(IF($X$1="ABS",($A$4*$A$4*RTD("tos.rtd",,"VOLUME","."&amp;W$2&amp;W$1&amp;"C"&amp;$A33)*RTD("tos.rtd",,"GAMMA","."&amp;W$2&amp;W$1&amp;"C"&amp;$A33)+$A$4*$A$4*RTD("tos.rtd",,"VOLUME","."&amp;W$2&amp;W$1&amp;"P"&amp;$A33)*RTD("tos.rtd",,"GAMMA","."&amp;W$2&amp;W$1&amp;"P"&amp;$A33))/1000000,($A$4*$A$4*RTD("tos.rtd",,"VOLUME","."&amp;W$2&amp;W$1&amp;"C"&amp;$A33)*RTD("tos.rtd",,"GAMMA","."&amp;W$2&amp;W$1&amp;"C"&amp;$A33)-$A$4*$A$4*RTD("tos.rtd",,"VOLUME","."&amp;W$2&amp;W$1&amp;"P"&amp;$A33)*RTD("tos.rtd",,"GAMMA","."&amp;W$2&amp;W$1&amp;"P"&amp;$A33))/1000000),0),IF($A$2="GEX",IFERROR(IF($X$1="ABS",($A$4*$A$4*RTD("tos.rtd",,"OPEN_INT","."&amp;W$2&amp;W$1&amp;"C"&amp;$A33)*RTD("tos.rtd",,"GAMMA","."&amp;W$2&amp;W$1&amp;"C"&amp;$A33)+$A$4*$A$4*RTD("tos.rtd",,"OPEN_INT","."&amp;W$2&amp;W$1&amp;"P"&amp;$A33)*RTD("tos.rtd",,"GAMMA","."&amp;W$2&amp;W$1&amp;"P"&amp;$A33))/1000000,($A$4*$A$4*RTD("tos.rtd",,"OPEN_INT","."&amp;W$2&amp;W$1&amp;"C"&amp;$A33)*RTD("tos.rtd",,"GAMMA","."&amp;W$2&amp;W$1&amp;"C"&amp;$A33)-$A$4*$A$4*RTD("tos.rtd",,"OPEN_INT","."&amp;W$2&amp;W$1&amp;"P"&amp;$A33)*RTD("tos.rtd",,"GAMMA","."&amp;W$2&amp;W$1&amp;"P"&amp;$A33))/1000000),0),IF($A$2="SKEW",IFERROR(VALUE(IF(RTD("tos.rtd",,"IMPL_VOL","."&amp;W$2&amp;W$1&amp;"P"&amp;$A33)="N/A",0,RTD("tos.rtd",,"IMPL_VOL","."&amp;W$2&amp;W$1&amp;"P"&amp;$A33))),0)-IFERROR(VALUE(IF(RTD("tos.rtd",,"IMPL_VOL","."&amp;W$2&amp;W$1&amp;"C"&amp;$A33)="N/A",0,RTD("tos.rtd",,"IMPL_VOL","."&amp;W$2&amp;W$1&amp;"C"&amp;$A33))),0),IF($A$2="MAXPAIN",IF($A$4&gt;$A33,($A$4-$A33)*IF(RTD("tos.rtd",,"OPEN_INT","."&amp;W$2&amp;W$1&amp;"C"&amp;$A33)="N/A",0,RTD("tos.rtd",,"OPEN_INT","."&amp;W$2&amp;W$1&amp;"C"&amp;$A33)),0)+IF($A$4&lt;$A33,($A$5-$A$4)*IF(RTD("tos.rtd",,"OPEN_INT","."&amp;W$2&amp;W$1&amp;"P"&amp;$A33)="N/A",0,RTD("tos.rtd",,"OPEN_INT","."&amp;W$2&amp;W$1&amp;"P"&amp;$A33)),0),IF($X$1="ABS",IF(RTD("tos.rtd",,$A$2,"."&amp;W$2&amp;W$1&amp;"C"&amp;$A33)="N/A",0,RTD("tos.rtd",,$A$2,"."&amp;W$2&amp;W$1&amp;"C"&amp;$A33))+IF(RTD("tos.rtd",,$A$2,"."&amp;W$2&amp;W$1&amp;"P"&amp;$A33)="N/A",0,RTD("tos.rtd",,$A$2,"."&amp;W$2&amp;W$1&amp;"P"&amp;$A33)),IF(RTD("tos.rtd",,$A$2,"."&amp;W$2&amp;W$1&amp;"C"&amp;$A33)="N/A",0,RTD("tos.rtd",,$A$2,"."&amp;W$2&amp;W$1&amp;"C"&amp;$A33))-IF(RTD("tos.rtd",,$A$2,"."&amp;W$2&amp;W$1&amp;"P"&amp;$A33)="N/A",0,RTD("tos.rtd",,$A$2,"."&amp;W$2&amp;W$1&amp;"P"&amp;$A33))))))))))</f>
        <v>0</v>
      </c>
      <c r="X33" s="57">
        <f t="shared" ca="1" si="7"/>
        <v>21787</v>
      </c>
      <c r="Y33" s="27">
        <f t="shared" ca="1" si="8"/>
        <v>21787</v>
      </c>
      <c r="Z33" s="27">
        <f t="shared" ca="1" si="9"/>
        <v>64143.666666666664</v>
      </c>
      <c r="AA33" s="27">
        <f t="shared" si="10"/>
        <v>5376400</v>
      </c>
      <c r="AB33" s="18">
        <f>MAX(0, $A33-AB$4)*IF(RTD("tos.rtd",,"OPEN_INT","."&amp;$AA$3&amp;$AA$4&amp;"C"&amp;AB$4)="N/A",0,RTD("tos.rtd",,"OPEN_INT","."&amp;$AA$3&amp;$AA$4&amp;"C"&amp;AB$4))*100 + MAX(0, AB$4-$A33)*IF(RTD("tos.rtd",,"OPEN_INT","."&amp;$AA$3&amp;$AA$4&amp;"P"&amp;AB$4)="N/A",0,RTD("tos.rtd",,"OPEN_INT","."&amp;$AA$3&amp;$AA$4&amp;"P"&amp;AB$4))*100</f>
        <v>0</v>
      </c>
      <c r="AC33" s="18">
        <f>MAX(0, $A33-AC$4)*IF(RTD("tos.rtd",,"OPEN_INT","."&amp;$AA$3&amp;$AA$4&amp;"C"&amp;AC$4)="N/A",0,RTD("tos.rtd",,"OPEN_INT","."&amp;$AA$3&amp;$AA$4&amp;"C"&amp;AC$4))*100 + MAX(0, AC$4-$A33)*IF(RTD("tos.rtd",,"OPEN_INT","."&amp;$AA$3&amp;$AA$4&amp;"P"&amp;AC$4)="N/A",0,RTD("tos.rtd",,"OPEN_INT","."&amp;$AA$3&amp;$AA$4&amp;"P"&amp;AC$4))*100</f>
        <v>0</v>
      </c>
      <c r="AD33" s="18">
        <f>MAX(0, $A33-AD$4)*IF(RTD("tos.rtd",,"OPEN_INT","."&amp;$AA$3&amp;$AA$4&amp;"C"&amp;AD$4)="N/A",0,RTD("tos.rtd",,"OPEN_INT","."&amp;$AA$3&amp;$AA$4&amp;"C"&amp;AD$4))*100 + MAX(0, AD$4-$A33)*IF(RTD("tos.rtd",,"OPEN_INT","."&amp;$AA$3&amp;$AA$4&amp;"P"&amp;AD$4)="N/A",0,RTD("tos.rtd",,"OPEN_INT","."&amp;$AA$3&amp;$AA$4&amp;"P"&amp;AD$4))*100</f>
        <v>0</v>
      </c>
      <c r="AE33" s="18">
        <f>MAX(0, $A33-AE$4)*IF(RTD("tos.rtd",,"OPEN_INT","."&amp;$AA$3&amp;$AA$4&amp;"C"&amp;AE$4)="N/A",0,RTD("tos.rtd",,"OPEN_INT","."&amp;$AA$3&amp;$AA$4&amp;"C"&amp;AE$4))*100 + MAX(0, AE$4-$A33)*IF(RTD("tos.rtd",,"OPEN_INT","."&amp;$AA$3&amp;$AA$4&amp;"P"&amp;AE$4)="N/A",0,RTD("tos.rtd",,"OPEN_INT","."&amp;$AA$3&amp;$AA$4&amp;"P"&amp;AE$4))*100</f>
        <v>0</v>
      </c>
      <c r="AF33" s="18">
        <f>MAX(0, $A33-AF$4)*IF(RTD("tos.rtd",,"OPEN_INT","."&amp;$AA$3&amp;$AA$4&amp;"C"&amp;AF$4)="N/A",0,RTD("tos.rtd",,"OPEN_INT","."&amp;$AA$3&amp;$AA$4&amp;"C"&amp;AF$4))*100 + MAX(0, AF$4-$A33)*IF(RTD("tos.rtd",,"OPEN_INT","."&amp;$AA$3&amp;$AA$4&amp;"P"&amp;AF$4)="N/A",0,RTD("tos.rtd",,"OPEN_INT","."&amp;$AA$3&amp;$AA$4&amp;"P"&amp;AF$4))*100</f>
        <v>0</v>
      </c>
      <c r="AG33" s="18">
        <f>MAX(0, $A33-AG$4)*IF(RTD("tos.rtd",,"OPEN_INT","."&amp;$AA$3&amp;$AA$4&amp;"C"&amp;AG$4)="N/A",0,RTD("tos.rtd",,"OPEN_INT","."&amp;$AA$3&amp;$AA$4&amp;"C"&amp;AG$4))*100 + MAX(0, AG$4-$A33)*IF(RTD("tos.rtd",,"OPEN_INT","."&amp;$AA$3&amp;$AA$4&amp;"P"&amp;AG$4)="N/A",0,RTD("tos.rtd",,"OPEN_INT","."&amp;$AA$3&amp;$AA$4&amp;"P"&amp;AG$4))*100</f>
        <v>0</v>
      </c>
      <c r="AH33" s="18">
        <f>MAX(0, $A33-AH$4)*IF(RTD("tos.rtd",,"OPEN_INT","."&amp;$AA$3&amp;$AA$4&amp;"C"&amp;AH$4)="N/A",0,RTD("tos.rtd",,"OPEN_INT","."&amp;$AA$3&amp;$AA$4&amp;"C"&amp;AH$4))*100 + MAX(0, AH$4-$A33)*IF(RTD("tos.rtd",,"OPEN_INT","."&amp;$AA$3&amp;$AA$4&amp;"P"&amp;AH$4)="N/A",0,RTD("tos.rtd",,"OPEN_INT","."&amp;$AA$3&amp;$AA$4&amp;"P"&amp;AH$4))*100</f>
        <v>0</v>
      </c>
      <c r="AI33" s="18">
        <f>MAX(0, $A33-AI$4)*IF(RTD("tos.rtd",,"OPEN_INT","."&amp;$AA$3&amp;$AA$4&amp;"C"&amp;AI$4)="N/A",0,RTD("tos.rtd",,"OPEN_INT","."&amp;$AA$3&amp;$AA$4&amp;"C"&amp;AI$4))*100 + MAX(0, AI$4-$A33)*IF(RTD("tos.rtd",,"OPEN_INT","."&amp;$AA$3&amp;$AA$4&amp;"P"&amp;AI$4)="N/A",0,RTD("tos.rtd",,"OPEN_INT","."&amp;$AA$3&amp;$AA$4&amp;"P"&amp;AI$4))*100</f>
        <v>3150</v>
      </c>
      <c r="AJ33" s="18">
        <f>MAX(0, $A33-AJ$4)*IF(RTD("tos.rtd",,"OPEN_INT","."&amp;$AA$3&amp;$AA$4&amp;"C"&amp;AJ$4)="N/A",0,RTD("tos.rtd",,"OPEN_INT","."&amp;$AA$3&amp;$AA$4&amp;"C"&amp;AJ$4))*100 + MAX(0, AJ$4-$A33)*IF(RTD("tos.rtd",,"OPEN_INT","."&amp;$AA$3&amp;$AA$4&amp;"P"&amp;AJ$4)="N/A",0,RTD("tos.rtd",,"OPEN_INT","."&amp;$AA$3&amp;$AA$4&amp;"P"&amp;AJ$4))*100</f>
        <v>8000</v>
      </c>
      <c r="AK33" s="18">
        <f>MAX(0, $A33-AK$4)*IF(RTD("tos.rtd",,"OPEN_INT","."&amp;$AA$3&amp;$AA$4&amp;"C"&amp;AK$4)="N/A",0,RTD("tos.rtd",,"OPEN_INT","."&amp;$AA$3&amp;$AA$4&amp;"C"&amp;AK$4))*100 + MAX(0, AK$4-$A33)*IF(RTD("tos.rtd",,"OPEN_INT","."&amp;$AA$3&amp;$AA$4&amp;"P"&amp;AK$4)="N/A",0,RTD("tos.rtd",,"OPEN_INT","."&amp;$AA$3&amp;$AA$4&amp;"P"&amp;AK$4))*100</f>
        <v>0</v>
      </c>
      <c r="AL33" s="18">
        <f>MAX(0, $A33-AL$4)*IF(RTD("tos.rtd",,"OPEN_INT","."&amp;$AA$3&amp;$AA$4&amp;"C"&amp;AL$4)="N/A",0,RTD("tos.rtd",,"OPEN_INT","."&amp;$AA$3&amp;$AA$4&amp;"C"&amp;AL$4))*100 + MAX(0, AL$4-$A33)*IF(RTD("tos.rtd",,"OPEN_INT","."&amp;$AA$3&amp;$AA$4&amp;"P"&amp;AL$4)="N/A",0,RTD("tos.rtd",,"OPEN_INT","."&amp;$AA$3&amp;$AA$4&amp;"P"&amp;AL$4))*100</f>
        <v>0</v>
      </c>
      <c r="AM33" s="18">
        <f>MAX(0, $A33-AM$4)*IF(RTD("tos.rtd",,"OPEN_INT","."&amp;$AA$3&amp;$AA$4&amp;"C"&amp;AM$4)="N/A",0,RTD("tos.rtd",,"OPEN_INT","."&amp;$AA$3&amp;$AA$4&amp;"C"&amp;AM$4))*100 + MAX(0, AM$4-$A33)*IF(RTD("tos.rtd",,"OPEN_INT","."&amp;$AA$3&amp;$AA$4&amp;"P"&amp;AM$4)="N/A",0,RTD("tos.rtd",,"OPEN_INT","."&amp;$AA$3&amp;$AA$4&amp;"P"&amp;AM$4))*100</f>
        <v>0</v>
      </c>
      <c r="AN33" s="18">
        <f>MAX(0, $A33-AN$4)*IF(RTD("tos.rtd",,"OPEN_INT","."&amp;$AA$3&amp;$AA$4&amp;"C"&amp;AN$4)="N/A",0,RTD("tos.rtd",,"OPEN_INT","."&amp;$AA$3&amp;$AA$4&amp;"C"&amp;AN$4))*100 + MAX(0, AN$4-$A33)*IF(RTD("tos.rtd",,"OPEN_INT","."&amp;$AA$3&amp;$AA$4&amp;"P"&amp;AN$4)="N/A",0,RTD("tos.rtd",,"OPEN_INT","."&amp;$AA$3&amp;$AA$4&amp;"P"&amp;AN$4))*100</f>
        <v>0</v>
      </c>
      <c r="AO33" s="18">
        <f>MAX(0, $A33-AO$4)*IF(RTD("tos.rtd",,"OPEN_INT","."&amp;$AA$3&amp;$AA$4&amp;"C"&amp;AO$4)="N/A",0,RTD("tos.rtd",,"OPEN_INT","."&amp;$AA$3&amp;$AA$4&amp;"C"&amp;AO$4))*100 + MAX(0, AO$4-$A33)*IF(RTD("tos.rtd",,"OPEN_INT","."&amp;$AA$3&amp;$AA$4&amp;"P"&amp;AO$4)="N/A",0,RTD("tos.rtd",,"OPEN_INT","."&amp;$AA$3&amp;$AA$4&amp;"P"&amp;AO$4))*100</f>
        <v>90000</v>
      </c>
      <c r="AP33" s="18">
        <f>MAX(0, $A33-AP$4)*IF(RTD("tos.rtd",,"OPEN_INT","."&amp;$AA$3&amp;$AA$4&amp;"C"&amp;AP$4)="N/A",0,RTD("tos.rtd",,"OPEN_INT","."&amp;$AA$3&amp;$AA$4&amp;"C"&amp;AP$4))*100 + MAX(0, AP$4-$A33)*IF(RTD("tos.rtd",,"OPEN_INT","."&amp;$AA$3&amp;$AA$4&amp;"P"&amp;AP$4)="N/A",0,RTD("tos.rtd",,"OPEN_INT","."&amp;$AA$3&amp;$AA$4&amp;"P"&amp;AP$4))*100</f>
        <v>0</v>
      </c>
      <c r="AQ33" s="18">
        <f>MAX(0, $A33-AQ$4)*IF(RTD("tos.rtd",,"OPEN_INT","."&amp;$AA$3&amp;$AA$4&amp;"C"&amp;AQ$4)="N/A",0,RTD("tos.rtd",,"OPEN_INT","."&amp;$AA$3&amp;$AA$4&amp;"C"&amp;AQ$4))*100 + MAX(0, AQ$4-$A33)*IF(RTD("tos.rtd",,"OPEN_INT","."&amp;$AA$3&amp;$AA$4&amp;"P"&amp;AQ$4)="N/A",0,RTD("tos.rtd",,"OPEN_INT","."&amp;$AA$3&amp;$AA$4&amp;"P"&amp;AQ$4))*100</f>
        <v>34450</v>
      </c>
      <c r="AR33" s="18">
        <f>MAX(0, $A33-AR$4)*IF(RTD("tos.rtd",,"OPEN_INT","."&amp;$AA$3&amp;$AA$4&amp;"C"&amp;AR$4)="N/A",0,RTD("tos.rtd",,"OPEN_INT","."&amp;$AA$3&amp;$AA$4&amp;"C"&amp;AR$4))*100 + MAX(0, AR$4-$A33)*IF(RTD("tos.rtd",,"OPEN_INT","."&amp;$AA$3&amp;$AA$4&amp;"P"&amp;AR$4)="N/A",0,RTD("tos.rtd",,"OPEN_INT","."&amp;$AA$3&amp;$AA$4&amp;"P"&amp;AR$4))*100</f>
        <v>3600</v>
      </c>
      <c r="AS33" s="18">
        <f>MAX(0, $A33-AS$4)*IF(RTD("tos.rtd",,"OPEN_INT","."&amp;$AA$3&amp;$AA$4&amp;"C"&amp;AS$4)="N/A",0,RTD("tos.rtd",,"OPEN_INT","."&amp;$AA$3&amp;$AA$4&amp;"C"&amp;AS$4))*100 + MAX(0, AS$4-$A33)*IF(RTD("tos.rtd",,"OPEN_INT","."&amp;$AA$3&amp;$AA$4&amp;"P"&amp;AS$4)="N/A",0,RTD("tos.rtd",,"OPEN_INT","."&amp;$AA$3&amp;$AA$4&amp;"P"&amp;AS$4))*100</f>
        <v>34100</v>
      </c>
      <c r="AT33" s="18">
        <f>MAX(0, $A33-AT$4)*IF(RTD("tos.rtd",,"OPEN_INT","."&amp;$AA$3&amp;$AA$4&amp;"C"&amp;AT$4)="N/A",0,RTD("tos.rtd",,"OPEN_INT","."&amp;$AA$3&amp;$AA$4&amp;"C"&amp;AT$4))*100 + MAX(0, AT$4-$A33)*IF(RTD("tos.rtd",,"OPEN_INT","."&amp;$AA$3&amp;$AA$4&amp;"P"&amp;AT$4)="N/A",0,RTD("tos.rtd",,"OPEN_INT","."&amp;$AA$3&amp;$AA$4&amp;"P"&amp;AT$4))*100</f>
        <v>35000</v>
      </c>
      <c r="AU33" s="18">
        <f>MAX(0, $A33-AU$4)*IF(RTD("tos.rtd",,"OPEN_INT","."&amp;$AA$3&amp;$AA$4&amp;"C"&amp;AU$4)="N/A",0,RTD("tos.rtd",,"OPEN_INT","."&amp;$AA$3&amp;$AA$4&amp;"C"&amp;AU$4))*100 + MAX(0, AU$4-$A33)*IF(RTD("tos.rtd",,"OPEN_INT","."&amp;$AA$3&amp;$AA$4&amp;"P"&amp;AU$4)="N/A",0,RTD("tos.rtd",,"OPEN_INT","."&amp;$AA$3&amp;$AA$4&amp;"P"&amp;AU$4))*100</f>
        <v>18000</v>
      </c>
      <c r="AV33" s="18">
        <f>MAX(0, $A33-AV$4)*IF(RTD("tos.rtd",,"OPEN_INT","."&amp;$AA$3&amp;$AA$4&amp;"C"&amp;AV$4)="N/A",0,RTD("tos.rtd",,"OPEN_INT","."&amp;$AA$3&amp;$AA$4&amp;"C"&amp;AV$4))*100 + MAX(0, AV$4-$A33)*IF(RTD("tos.rtd",,"OPEN_INT","."&amp;$AA$3&amp;$AA$4&amp;"P"&amp;AV$4)="N/A",0,RTD("tos.rtd",,"OPEN_INT","."&amp;$AA$3&amp;$AA$4&amp;"P"&amp;AV$4))*100</f>
        <v>64400</v>
      </c>
      <c r="AW33" s="18">
        <f>MAX(0, $A33-AW$4)*IF(RTD("tos.rtd",,"OPEN_INT","."&amp;$AA$3&amp;$AA$4&amp;"C"&amp;AW$4)="N/A",0,RTD("tos.rtd",,"OPEN_INT","."&amp;$AA$3&amp;$AA$4&amp;"C"&amp;AW$4))*100 + MAX(0, AW$4-$A33)*IF(RTD("tos.rtd",,"OPEN_INT","."&amp;$AA$3&amp;$AA$4&amp;"P"&amp;AW$4)="N/A",0,RTD("tos.rtd",,"OPEN_INT","."&amp;$AA$3&amp;$AA$4&amp;"P"&amp;AW$4))*100</f>
        <v>70700</v>
      </c>
      <c r="AX33" s="18">
        <f>MAX(0, $A33-AX$4)*IF(RTD("tos.rtd",,"OPEN_INT","."&amp;$AA$3&amp;$AA$4&amp;"C"&amp;AX$4)="N/A",0,RTD("tos.rtd",,"OPEN_INT","."&amp;$AA$3&amp;$AA$4&amp;"C"&amp;AX$4))*100 + MAX(0, AX$4-$A33)*IF(RTD("tos.rtd",,"OPEN_INT","."&amp;$AA$3&amp;$AA$4&amp;"P"&amp;AX$4)="N/A",0,RTD("tos.rtd",,"OPEN_INT","."&amp;$AA$3&amp;$AA$4&amp;"P"&amp;AX$4))*100</f>
        <v>74100</v>
      </c>
      <c r="AY33" s="18">
        <f>MAX(0, $A33-AY$4)*IF(RTD("tos.rtd",,"OPEN_INT","."&amp;$AA$3&amp;$AA$4&amp;"C"&amp;AY$4)="N/A",0,RTD("tos.rtd",,"OPEN_INT","."&amp;$AA$3&amp;$AA$4&amp;"C"&amp;AY$4))*100 + MAX(0, AY$4-$A33)*IF(RTD("tos.rtd",,"OPEN_INT","."&amp;$AA$3&amp;$AA$4&amp;"P"&amp;AY$4)="N/A",0,RTD("tos.rtd",,"OPEN_INT","."&amp;$AA$3&amp;$AA$4&amp;"P"&amp;AY$4))*100</f>
        <v>518500</v>
      </c>
      <c r="AZ33" s="18">
        <f>MAX(0, $A33-AZ$4)*IF(RTD("tos.rtd",,"OPEN_INT","."&amp;$AA$3&amp;$AA$4&amp;"C"&amp;AZ$4)="N/A",0,RTD("tos.rtd",,"OPEN_INT","."&amp;$AA$3&amp;$AA$4&amp;"C"&amp;AZ$4))*100 + MAX(0, AZ$4-$A33)*IF(RTD("tos.rtd",,"OPEN_INT","."&amp;$AA$3&amp;$AA$4&amp;"P"&amp;AZ$4)="N/A",0,RTD("tos.rtd",,"OPEN_INT","."&amp;$AA$3&amp;$AA$4&amp;"P"&amp;AZ$4))*100</f>
        <v>113600</v>
      </c>
      <c r="BA33" s="18">
        <f>MAX(0, $A33-BA$4)*IF(RTD("tos.rtd",,"OPEN_INT","."&amp;$AA$3&amp;$AA$4&amp;"C"&amp;BA$4)="N/A",0,RTD("tos.rtd",,"OPEN_INT","."&amp;$AA$3&amp;$AA$4&amp;"C"&amp;BA$4))*100 + MAX(0, BA$4-$A33)*IF(RTD("tos.rtd",,"OPEN_INT","."&amp;$AA$3&amp;$AA$4&amp;"P"&amp;BA$4)="N/A",0,RTD("tos.rtd",,"OPEN_INT","."&amp;$AA$3&amp;$AA$4&amp;"P"&amp;BA$4))*100</f>
        <v>351000</v>
      </c>
      <c r="BB33" s="18">
        <f>MAX(0, $A33-BB$4)*IF(RTD("tos.rtd",,"OPEN_INT","."&amp;$AA$3&amp;$AA$4&amp;"C"&amp;BB$4)="N/A",0,RTD("tos.rtd",,"OPEN_INT","."&amp;$AA$3&amp;$AA$4&amp;"C"&amp;BB$4))*100 + MAX(0, BB$4-$A33)*IF(RTD("tos.rtd",,"OPEN_INT","."&amp;$AA$3&amp;$AA$4&amp;"P"&amp;BB$4)="N/A",0,RTD("tos.rtd",,"OPEN_INT","."&amp;$AA$3&amp;$AA$4&amp;"P"&amp;BB$4))*100</f>
        <v>228400</v>
      </c>
      <c r="BC33" s="18">
        <f>MAX(0, $A33-BC$4)*IF(RTD("tos.rtd",,"OPEN_INT","."&amp;$AA$3&amp;$AA$4&amp;"C"&amp;BC$4)="N/A",0,RTD("tos.rtd",,"OPEN_INT","."&amp;$AA$3&amp;$AA$4&amp;"C"&amp;BC$4))*100 + MAX(0, BC$4-$A33)*IF(RTD("tos.rtd",,"OPEN_INT","."&amp;$AA$3&amp;$AA$4&amp;"P"&amp;BC$4)="N/A",0,RTD("tos.rtd",,"OPEN_INT","."&amp;$AA$3&amp;$AA$4&amp;"P"&amp;BC$4))*100</f>
        <v>382550</v>
      </c>
      <c r="BD33" s="18">
        <f>MAX(0, $A33-BD$4)*IF(RTD("tos.rtd",,"OPEN_INT","."&amp;$AA$3&amp;$AA$4&amp;"C"&amp;BD$4)="N/A",0,RTD("tos.rtd",,"OPEN_INT","."&amp;$AA$3&amp;$AA$4&amp;"C"&amp;BD$4))*100 + MAX(0, BD$4-$A33)*IF(RTD("tos.rtd",,"OPEN_INT","."&amp;$AA$3&amp;$AA$4&amp;"P"&amp;BD$4)="N/A",0,RTD("tos.rtd",,"OPEN_INT","."&amp;$AA$3&amp;$AA$4&amp;"P"&amp;BD$4))*100</f>
        <v>0</v>
      </c>
      <c r="BE33" s="18">
        <f>MAX(0, $A33-BE$4)*IF(RTD("tos.rtd",,"OPEN_INT","."&amp;$AA$3&amp;$AA$4&amp;"C"&amp;BE$4)="N/A",0,RTD("tos.rtd",,"OPEN_INT","."&amp;$AA$3&amp;$AA$4&amp;"C"&amp;BE$4))*100 + MAX(0, BE$4-$A33)*IF(RTD("tos.rtd",,"OPEN_INT","."&amp;$AA$3&amp;$AA$4&amp;"P"&amp;BE$4)="N/A",0,RTD("tos.rtd",,"OPEN_INT","."&amp;$AA$3&amp;$AA$4&amp;"P"&amp;BE$4))*100</f>
        <v>863900</v>
      </c>
      <c r="BF33" s="18">
        <f>MAX(0, $A33-BF$4)*IF(RTD("tos.rtd",,"OPEN_INT","."&amp;$AA$3&amp;$AA$4&amp;"C"&amp;BF$4)="N/A",0,RTD("tos.rtd",,"OPEN_INT","."&amp;$AA$3&amp;$AA$4&amp;"C"&amp;BF$4))*100 + MAX(0, BF$4-$A33)*IF(RTD("tos.rtd",,"OPEN_INT","."&amp;$AA$3&amp;$AA$4&amp;"P"&amp;BF$4)="N/A",0,RTD("tos.rtd",,"OPEN_INT","."&amp;$AA$3&amp;$AA$4&amp;"P"&amp;BF$4))*100</f>
        <v>840700</v>
      </c>
      <c r="BG33" s="18">
        <f>MAX(0, $A33-BG$4)*IF(RTD("tos.rtd",,"OPEN_INT","."&amp;$AA$3&amp;$AA$4&amp;"C"&amp;BG$4)="N/A",0,RTD("tos.rtd",,"OPEN_INT","."&amp;$AA$3&amp;$AA$4&amp;"C"&amp;BG$4))*100 + MAX(0, BG$4-$A33)*IF(RTD("tos.rtd",,"OPEN_INT","."&amp;$AA$3&amp;$AA$4&amp;"P"&amp;BG$4)="N/A",0,RTD("tos.rtd",,"OPEN_INT","."&amp;$AA$3&amp;$AA$4&amp;"P"&amp;BG$4))*100</f>
        <v>860100</v>
      </c>
      <c r="BH33" s="18">
        <f>MAX(0, $A33-BH$4)*IF(RTD("tos.rtd",,"OPEN_INT","."&amp;$AA$3&amp;$AA$4&amp;"C"&amp;BH$4)="N/A",0,RTD("tos.rtd",,"OPEN_INT","."&amp;$AA$3&amp;$AA$4&amp;"C"&amp;BH$4))*100 + MAX(0, BH$4-$A33)*IF(RTD("tos.rtd",,"OPEN_INT","."&amp;$AA$3&amp;$AA$4&amp;"P"&amp;BH$4)="N/A",0,RTD("tos.rtd",,"OPEN_INT","."&amp;$AA$3&amp;$AA$4&amp;"P"&amp;BH$4))*100</f>
        <v>388600</v>
      </c>
      <c r="BI33" s="18">
        <f>MAX(0, $A33-BI$4)*IF(RTD("tos.rtd",,"OPEN_INT","."&amp;$AA$3&amp;$AA$4&amp;"C"&amp;BI$4)="N/A",0,RTD("tos.rtd",,"OPEN_INT","."&amp;$AA$3&amp;$AA$4&amp;"C"&amp;BI$4))*100 + MAX(0, BI$4-$A33)*IF(RTD("tos.rtd",,"OPEN_INT","."&amp;$AA$3&amp;$AA$4&amp;"P"&amp;BI$4)="N/A",0,RTD("tos.rtd",,"OPEN_INT","."&amp;$AA$3&amp;$AA$4&amp;"P"&amp;BI$4))*100</f>
        <v>210500</v>
      </c>
      <c r="BJ33" s="18">
        <f>MAX(0, $A33-BJ$4)*IF(RTD("tos.rtd",,"OPEN_INT","."&amp;$AA$3&amp;$AA$4&amp;"C"&amp;BJ$4)="N/A",0,RTD("tos.rtd",,"OPEN_INT","."&amp;$AA$3&amp;$AA$4&amp;"C"&amp;BJ$4))*100 + MAX(0, BJ$4-$A33)*IF(RTD("tos.rtd",,"OPEN_INT","."&amp;$AA$3&amp;$AA$4&amp;"P"&amp;BJ$4)="N/A",0,RTD("tos.rtd",,"OPEN_INT","."&amp;$AA$3&amp;$AA$4&amp;"P"&amp;BJ$4))*100</f>
        <v>45300</v>
      </c>
      <c r="BK33" s="18">
        <f>MAX(0, $A33-BK$4)*IF(RTD("tos.rtd",,"OPEN_INT","."&amp;$AA$3&amp;$AA$4&amp;"C"&amp;BK$4)="N/A",0,RTD("tos.rtd",,"OPEN_INT","."&amp;$AA$3&amp;$AA$4&amp;"C"&amp;BK$4))*100 + MAX(0, BK$4-$A33)*IF(RTD("tos.rtd",,"OPEN_INT","."&amp;$AA$3&amp;$AA$4&amp;"P"&amp;BK$4)="N/A",0,RTD("tos.rtd",,"OPEN_INT","."&amp;$AA$3&amp;$AA$4&amp;"P"&amp;BK$4))*100</f>
        <v>91350</v>
      </c>
      <c r="BL33" s="18">
        <f>MAX(0, $A33-BL$4)*IF(RTD("tos.rtd",,"OPEN_INT","."&amp;$AA$3&amp;$AA$4&amp;"C"&amp;BL$4)="N/A",0,RTD("tos.rtd",,"OPEN_INT","."&amp;$AA$3&amp;$AA$4&amp;"C"&amp;BL$4))*100 + MAX(0, BL$4-$A33)*IF(RTD("tos.rtd",,"OPEN_INT","."&amp;$AA$3&amp;$AA$4&amp;"P"&amp;BL$4)="N/A",0,RTD("tos.rtd",,"OPEN_INT","."&amp;$AA$3&amp;$AA$4&amp;"P"&amp;BL$4))*100</f>
        <v>6400</v>
      </c>
      <c r="BM33" s="18">
        <f>MAX(0, $A33-BM$4)*IF(RTD("tos.rtd",,"OPEN_INT","."&amp;$AA$3&amp;$AA$4&amp;"C"&amp;BM$4)="N/A",0,RTD("tos.rtd",,"OPEN_INT","."&amp;$AA$3&amp;$AA$4&amp;"C"&amp;BM$4))*100 + MAX(0, BM$4-$A33)*IF(RTD("tos.rtd",,"OPEN_INT","."&amp;$AA$3&amp;$AA$4&amp;"P"&amp;BM$4)="N/A",0,RTD("tos.rtd",,"OPEN_INT","."&amp;$AA$3&amp;$AA$4&amp;"P"&amp;BM$4))*100</f>
        <v>3600</v>
      </c>
      <c r="BN33" s="18">
        <f>MAX(0, $A33-BN$4)*IF(RTD("tos.rtd",,"OPEN_INT","."&amp;$AA$3&amp;$AA$4&amp;"C"&amp;BN$4)="N/A",0,RTD("tos.rtd",,"OPEN_INT","."&amp;$AA$3&amp;$AA$4&amp;"C"&amp;BN$4))*100 + MAX(0, BN$4-$A33)*IF(RTD("tos.rtd",,"OPEN_INT","."&amp;$AA$3&amp;$AA$4&amp;"P"&amp;BN$4)="N/A",0,RTD("tos.rtd",,"OPEN_INT","."&amp;$AA$3&amp;$AA$4&amp;"P"&amp;BN$4))*100</f>
        <v>15500</v>
      </c>
      <c r="BO33" s="18">
        <f>MAX(0, $A33-BO$4)*IF(RTD("tos.rtd",,"OPEN_INT","."&amp;$AA$3&amp;$AA$4&amp;"C"&amp;BO$4)="N/A",0,RTD("tos.rtd",,"OPEN_INT","."&amp;$AA$3&amp;$AA$4&amp;"C"&amp;BO$4))*100 + MAX(0, BO$4-$A33)*IF(RTD("tos.rtd",,"OPEN_INT","."&amp;$AA$3&amp;$AA$4&amp;"P"&amp;BO$4)="N/A",0,RTD("tos.rtd",,"OPEN_INT","."&amp;$AA$3&amp;$AA$4&amp;"P"&amp;BO$4))*100</f>
        <v>20900</v>
      </c>
      <c r="BP33" s="18">
        <f>MAX(0, $A33-BP$4)*IF(RTD("tos.rtd",,"OPEN_INT","."&amp;$AA$3&amp;$AA$4&amp;"C"&amp;BP$4)="N/A",0,RTD("tos.rtd",,"OPEN_INT","."&amp;$AA$3&amp;$AA$4&amp;"C"&amp;BP$4))*100 + MAX(0, BP$4-$A33)*IF(RTD("tos.rtd",,"OPEN_INT","."&amp;$AA$3&amp;$AA$4&amp;"P"&amp;BP$4)="N/A",0,RTD("tos.rtd",,"OPEN_INT","."&amp;$AA$3&amp;$AA$4&amp;"P"&amp;BP$4))*100</f>
        <v>0</v>
      </c>
      <c r="BQ33" s="18">
        <f>MAX(0, $A33-BQ$4)*IF(RTD("tos.rtd",,"OPEN_INT","."&amp;$AA$3&amp;$AA$4&amp;"C"&amp;BQ$4)="N/A",0,RTD("tos.rtd",,"OPEN_INT","."&amp;$AA$3&amp;$AA$4&amp;"C"&amp;BQ$4))*100 + MAX(0, BQ$4-$A33)*IF(RTD("tos.rtd",,"OPEN_INT","."&amp;$AA$3&amp;$AA$4&amp;"P"&amp;BQ$4)="N/A",0,RTD("tos.rtd",,"OPEN_INT","."&amp;$AA$3&amp;$AA$4&amp;"P"&amp;BQ$4))*100</f>
        <v>0</v>
      </c>
      <c r="BR33" s="18">
        <f>MAX(0, $A33-BR$4)*IF(RTD("tos.rtd",,"OPEN_INT","."&amp;$AA$3&amp;$AA$4&amp;"C"&amp;BR$4)="N/A",0,RTD("tos.rtd",,"OPEN_INT","."&amp;$AA$3&amp;$AA$4&amp;"C"&amp;BR$4))*100 + MAX(0, BR$4-$A33)*IF(RTD("tos.rtd",,"OPEN_INT","."&amp;$AA$3&amp;$AA$4&amp;"P"&amp;BR$4)="N/A",0,RTD("tos.rtd",,"OPEN_INT","."&amp;$AA$3&amp;$AA$4&amp;"P"&amp;BR$4))*100</f>
        <v>0</v>
      </c>
      <c r="BS33" s="18">
        <f>MAX(0, $A33-BS$4)*IF(RTD("tos.rtd",,"OPEN_INT","."&amp;$AA$3&amp;$AA$4&amp;"C"&amp;BS$4)="N/A",0,RTD("tos.rtd",,"OPEN_INT","."&amp;$AA$3&amp;$AA$4&amp;"C"&amp;BS$4))*100 + MAX(0, BS$4-$A33)*IF(RTD("tos.rtd",,"OPEN_INT","."&amp;$AA$3&amp;$AA$4&amp;"P"&amp;BS$4)="N/A",0,RTD("tos.rtd",,"OPEN_INT","."&amp;$AA$3&amp;$AA$4&amp;"P"&amp;BS$4))*100</f>
        <v>0</v>
      </c>
      <c r="BT33" s="18">
        <f>MAX(0, $A33-BT$4)*IF(RTD("tos.rtd",,"OPEN_INT","."&amp;$AA$3&amp;$AA$4&amp;"C"&amp;BT$4)="N/A",0,RTD("tos.rtd",,"OPEN_INT","."&amp;$AA$3&amp;$AA$4&amp;"C"&amp;BT$4))*100 + MAX(0, BT$4-$A33)*IF(RTD("tos.rtd",,"OPEN_INT","."&amp;$AA$3&amp;$AA$4&amp;"P"&amp;BT$4)="N/A",0,RTD("tos.rtd",,"OPEN_INT","."&amp;$AA$3&amp;$AA$4&amp;"P"&amp;BT$4))*100</f>
        <v>0</v>
      </c>
      <c r="BU33" s="18">
        <f>MAX(0, $A33-BU$4)*IF(RTD("tos.rtd",,"OPEN_INT","."&amp;$AA$3&amp;$AA$4&amp;"C"&amp;BU$4)="N/A",0,RTD("tos.rtd",,"OPEN_INT","."&amp;$AA$3&amp;$AA$4&amp;"C"&amp;BU$4))*100 + MAX(0, BU$4-$A33)*IF(RTD("tos.rtd",,"OPEN_INT","."&amp;$AA$3&amp;$AA$4&amp;"P"&amp;BU$4)="N/A",0,RTD("tos.rtd",,"OPEN_INT","."&amp;$AA$3&amp;$AA$4&amp;"P"&amp;BU$4))*100</f>
        <v>0</v>
      </c>
      <c r="BV33" s="18">
        <f>MAX(0, $A33-BV$4)*IF(RTD("tos.rtd",,"OPEN_INT","."&amp;$AA$3&amp;$AA$4&amp;"C"&amp;BV$4)="N/A",0,RTD("tos.rtd",,"OPEN_INT","."&amp;$AA$3&amp;$AA$4&amp;"C"&amp;BV$4))*100 + MAX(0, BV$4-$A33)*IF(RTD("tos.rtd",,"OPEN_INT","."&amp;$AA$3&amp;$AA$4&amp;"P"&amp;BV$4)="N/A",0,RTD("tos.rtd",,"OPEN_INT","."&amp;$AA$3&amp;$AA$4&amp;"P"&amp;BV$4))*100</f>
        <v>0</v>
      </c>
    </row>
    <row r="34" spans="1:74" s="19" customFormat="1" ht="11.1" customHeight="1" thickBot="1" x14ac:dyDescent="0.3">
      <c r="A34" s="23">
        <f t="shared" si="11"/>
        <v>7</v>
      </c>
      <c r="B34" s="14">
        <f ca="1">IF($A$2="PREMIUM_OI",IFERROR(IF($X$1="ABS",(100*RTD("tos.rtd",,"OPEN_INT","."&amp;B$2&amp;B$1&amp;"C"&amp;$A34)*RTD("tos.rtd",,"LAST","."&amp;B$2&amp;B$1&amp;"C"&amp;$A34)+100*RTD("tos.rtd",,"OPEN_INT","."&amp;B$2&amp;B$1&amp;"P"&amp;$A34)*RTD("tos.rtd",,"LAST","."&amp;B$2&amp;B$1&amp;"P"&amp;$A34))/1000000,(100*RTD("tos.rtd",,"OPEN_INT","."&amp;B$2&amp;B$1&amp;"C"&amp;$A34)*RTD("tos.rtd",,"LAST","."&amp;B$2&amp;B$1&amp;"C"&amp;$A34)-100*RTD("tos.rtd",,"OPEN_INT","."&amp;B$2&amp;B$1&amp;"P"&amp;$A34)*RTD("tos.rtd",,"LAST","."&amp;B$2&amp;B$1&amp;"P"&amp;$A34))/1000000),0),IF($A$2="PREMIUM",IFERROR(IF($X$1="ABS",(100*RTD("tos.rtd",,"VOLUME","."&amp;B$2&amp;B$1&amp;"C"&amp;$A34)*RTD("tos.rtd",,"LAST","."&amp;B$2&amp;B$1&amp;"C"&amp;$A34)+100*RTD("tos.rtd",,"VOLUME","."&amp;B$2&amp;B$1&amp;"P"&amp;$A34)*RTD("tos.rtd",,"LAST","."&amp;B$2&amp;B$1&amp;"P"&amp;$A34))/1000000,(100*RTD("tos.rtd",,"VOLUME","."&amp;B$2&amp;B$1&amp;"C"&amp;$A34)*RTD("tos.rtd",,"LAST","."&amp;B$2&amp;B$1&amp;"C"&amp;$A34)-100*RTD("tos.rtd",,"VOLUME","."&amp;B$2&amp;B$1&amp;"P"&amp;$A34)*RTD("tos.rtd",,"LAST","."&amp;B$2&amp;B$1&amp;"P"&amp;$A34))/1000000),0),IF($A$2="DEX",IFERROR(IF($X$1="ABS",(100*RTD("tos.rtd",,"OPEN_INT","."&amp;B$2&amp;B$1&amp;"C"&amp;$A34)*RTD("tos.rtd",,"DELTA","."&amp;B$2&amp;B$1&amp;"C"&amp;$A34)+100*RTD("tos.rtd",,"OPEN_INT","."&amp;B$2&amp;B$1&amp;"P"&amp;$A34)*RTD("tos.rtd",,"DELTA","."&amp;B$2&amp;B$1&amp;"P"&amp;$A34))/1000,(100*RTD("tos.rtd",,"OPEN_INT","."&amp;B$2&amp;B$1&amp;"C"&amp;$A34)*RTD("tos.rtd",,"DELTA","."&amp;B$2&amp;B$1&amp;"C"&amp;$A34)-100*RTD("tos.rtd",,"OPEN_INT","."&amp;B$2&amp;B$1&amp;"P"&amp;$A34)*RTD("tos.rtd",,"DELTA","."&amp;B$2&amp;B$1&amp;"P"&amp;$A34))/1000),0),IF($A$2="VEX",IFERROR(IF($X$1="ABS",($A$4*$A$4*RTD("tos.rtd",,"VOLUME","."&amp;B$2&amp;B$1&amp;"C"&amp;$A34)*RTD("tos.rtd",,"GAMMA","."&amp;B$2&amp;B$1&amp;"C"&amp;$A34)+$A$4*$A$4*RTD("tos.rtd",,"VOLUME","."&amp;B$2&amp;B$1&amp;"P"&amp;$A34)*RTD("tos.rtd",,"GAMMA","."&amp;B$2&amp;B$1&amp;"P"&amp;$A34))/1000000,($A$4*$A$4*RTD("tos.rtd",,"VOLUME","."&amp;B$2&amp;B$1&amp;"C"&amp;$A34)*RTD("tos.rtd",,"GAMMA","."&amp;B$2&amp;B$1&amp;"C"&amp;$A34)-$A$4*$A$4*RTD("tos.rtd",,"VOLUME","."&amp;B$2&amp;B$1&amp;"P"&amp;$A34)*RTD("tos.rtd",,"GAMMA","."&amp;B$2&amp;B$1&amp;"P"&amp;$A34))/1000000),0),IF($A$2="GEX",IFERROR(IF($X$1="ABS",($A$4*$A$4*RTD("tos.rtd",,"OPEN_INT","."&amp;B$2&amp;B$1&amp;"C"&amp;$A34)*RTD("tos.rtd",,"GAMMA","."&amp;B$2&amp;B$1&amp;"C"&amp;$A34)+$A$4*$A$4*RTD("tos.rtd",,"OPEN_INT","."&amp;B$2&amp;B$1&amp;"P"&amp;$A34)*RTD("tos.rtd",,"GAMMA","."&amp;B$2&amp;B$1&amp;"P"&amp;$A34))/1000000,($A$4*$A$4*RTD("tos.rtd",,"OPEN_INT","."&amp;B$2&amp;B$1&amp;"C"&amp;$A34)*RTD("tos.rtd",,"GAMMA","."&amp;B$2&amp;B$1&amp;"C"&amp;$A34)-$A$4*$A$4*RTD("tos.rtd",,"OPEN_INT","."&amp;B$2&amp;B$1&amp;"P"&amp;$A34)*RTD("tos.rtd",,"GAMMA","."&amp;B$2&amp;B$1&amp;"P"&amp;$A34))/1000000),0),IF($A$2="SKEW",IFERROR(VALUE(IF(RTD("tos.rtd",,"IMPL_VOL","."&amp;B$2&amp;B$1&amp;"P"&amp;$A34)="N/A",0,RTD("tos.rtd",,"IMPL_VOL","."&amp;B$2&amp;B$1&amp;"P"&amp;$A34))),0)-IFERROR(VALUE(IF(RTD("tos.rtd",,"IMPL_VOL","."&amp;B$2&amp;B$1&amp;"C"&amp;$A34)="N/A",0,RTD("tos.rtd",,"IMPL_VOL","."&amp;B$2&amp;B$1&amp;"C"&amp;$A34))),0),IF($A$2="MAXPAIN",IF($A$4&gt;$A34,($A$4-$A34)*IF(RTD("tos.rtd",,"OPEN_INT","."&amp;B$2&amp;B$1&amp;"C"&amp;$A34)="N/A",0,RTD("tos.rtd",,"OPEN_INT","."&amp;B$2&amp;B$1&amp;"C"&amp;$A34)),0)+IF($A$4&lt;$A34,($A$5-$A$4)*IF(RTD("tos.rtd",,"OPEN_INT","."&amp;B$2&amp;B$1&amp;"P"&amp;$A34)="N/A",0,RTD("tos.rtd",,"OPEN_INT","."&amp;B$2&amp;B$1&amp;"P"&amp;$A34)),0),IF($X$1="ABS",IF(RTD("tos.rtd",,$A$2,"."&amp;B$2&amp;B$1&amp;"C"&amp;$A34)="N/A",0,RTD("tos.rtd",,$A$2,"."&amp;B$2&amp;B$1&amp;"C"&amp;$A34))+IF(RTD("tos.rtd",,$A$2,"."&amp;B$2&amp;B$1&amp;"P"&amp;$A34)="N/A",0,RTD("tos.rtd",,$A$2,"."&amp;B$2&amp;B$1&amp;"P"&amp;$A34)),IF(RTD("tos.rtd",,$A$2,"."&amp;B$2&amp;B$1&amp;"C"&amp;$A34)="N/A",0,RTD("tos.rtd",,$A$2,"."&amp;B$2&amp;B$1&amp;"C"&amp;$A34))-IF(RTD("tos.rtd",,$A$2,"."&amp;B$2&amp;B$1&amp;"P"&amp;$A34)="N/A",0,RTD("tos.rtd",,$A$2,"."&amp;B$2&amp;B$1&amp;"P"&amp;$A34))))))))))</f>
        <v>0</v>
      </c>
      <c r="C34" s="12">
        <f ca="1">IF($A$2="PREMIUM_OI",IFERROR(IF($X$1="ABS",(100*RTD("tos.rtd",,"OPEN_INT","."&amp;C$2&amp;C$1&amp;"C"&amp;$A34)*RTD("tos.rtd",,"LAST","."&amp;C$2&amp;C$1&amp;"C"&amp;$A34)+100*RTD("tos.rtd",,"OPEN_INT","."&amp;C$2&amp;C$1&amp;"P"&amp;$A34)*RTD("tos.rtd",,"LAST","."&amp;C$2&amp;C$1&amp;"P"&amp;$A34))/1000000,(100*RTD("tos.rtd",,"OPEN_INT","."&amp;C$2&amp;C$1&amp;"C"&amp;$A34)*RTD("tos.rtd",,"LAST","."&amp;C$2&amp;C$1&amp;"C"&amp;$A34)-100*RTD("tos.rtd",,"OPEN_INT","."&amp;C$2&amp;C$1&amp;"P"&amp;$A34)*RTD("tos.rtd",,"LAST","."&amp;C$2&amp;C$1&amp;"P"&amp;$A34))/1000000),0),IF($A$2="PREMIUM",IFERROR(IF($X$1="ABS",(100*RTD("tos.rtd",,"VOLUME","."&amp;C$2&amp;C$1&amp;"C"&amp;$A34)*RTD("tos.rtd",,"LAST","."&amp;C$2&amp;C$1&amp;"C"&amp;$A34)+100*RTD("tos.rtd",,"VOLUME","."&amp;C$2&amp;C$1&amp;"P"&amp;$A34)*RTD("tos.rtd",,"LAST","."&amp;C$2&amp;C$1&amp;"P"&amp;$A34))/1000000,(100*RTD("tos.rtd",,"VOLUME","."&amp;C$2&amp;C$1&amp;"C"&amp;$A34)*RTD("tos.rtd",,"LAST","."&amp;C$2&amp;C$1&amp;"C"&amp;$A34)-100*RTD("tos.rtd",,"VOLUME","."&amp;C$2&amp;C$1&amp;"P"&amp;$A34)*RTD("tos.rtd",,"LAST","."&amp;C$2&amp;C$1&amp;"P"&amp;$A34))/1000000),0),IF($A$2="DEX",IFERROR(IF($X$1="ABS",(100*RTD("tos.rtd",,"OPEN_INT","."&amp;C$2&amp;C$1&amp;"C"&amp;$A34)*RTD("tos.rtd",,"DELTA","."&amp;C$2&amp;C$1&amp;"C"&amp;$A34)+100*RTD("tos.rtd",,"OPEN_INT","."&amp;C$2&amp;C$1&amp;"P"&amp;$A34)*RTD("tos.rtd",,"DELTA","."&amp;C$2&amp;C$1&amp;"P"&amp;$A34))/1000,(100*RTD("tos.rtd",,"OPEN_INT","."&amp;C$2&amp;C$1&amp;"C"&amp;$A34)*RTD("tos.rtd",,"DELTA","."&amp;C$2&amp;C$1&amp;"C"&amp;$A34)-100*RTD("tos.rtd",,"OPEN_INT","."&amp;C$2&amp;C$1&amp;"P"&amp;$A34)*RTD("tos.rtd",,"DELTA","."&amp;C$2&amp;C$1&amp;"P"&amp;$A34))/1000),0),IF($A$2="VEX",IFERROR(IF($X$1="ABS",($A$4*$A$4*RTD("tos.rtd",,"VOLUME","."&amp;C$2&amp;C$1&amp;"C"&amp;$A34)*RTD("tos.rtd",,"GAMMA","."&amp;C$2&amp;C$1&amp;"C"&amp;$A34)+$A$4*$A$4*RTD("tos.rtd",,"VOLUME","."&amp;C$2&amp;C$1&amp;"P"&amp;$A34)*RTD("tos.rtd",,"GAMMA","."&amp;C$2&amp;C$1&amp;"P"&amp;$A34))/1000000,($A$4*$A$4*RTD("tos.rtd",,"VOLUME","."&amp;C$2&amp;C$1&amp;"C"&amp;$A34)*RTD("tos.rtd",,"GAMMA","."&amp;C$2&amp;C$1&amp;"C"&amp;$A34)-$A$4*$A$4*RTD("tos.rtd",,"VOLUME","."&amp;C$2&amp;C$1&amp;"P"&amp;$A34)*RTD("tos.rtd",,"GAMMA","."&amp;C$2&amp;C$1&amp;"P"&amp;$A34))/1000000),0),IF($A$2="GEX",IFERROR(IF($X$1="ABS",($A$4*$A$4*RTD("tos.rtd",,"OPEN_INT","."&amp;C$2&amp;C$1&amp;"C"&amp;$A34)*RTD("tos.rtd",,"GAMMA","."&amp;C$2&amp;C$1&amp;"C"&amp;$A34)+$A$4*$A$4*RTD("tos.rtd",,"OPEN_INT","."&amp;C$2&amp;C$1&amp;"P"&amp;$A34)*RTD("tos.rtd",,"GAMMA","."&amp;C$2&amp;C$1&amp;"P"&amp;$A34))/1000000,($A$4*$A$4*RTD("tos.rtd",,"OPEN_INT","."&amp;C$2&amp;C$1&amp;"C"&amp;$A34)*RTD("tos.rtd",,"GAMMA","."&amp;C$2&amp;C$1&amp;"C"&amp;$A34)-$A$4*$A$4*RTD("tos.rtd",,"OPEN_INT","."&amp;C$2&amp;C$1&amp;"P"&amp;$A34)*RTD("tos.rtd",,"GAMMA","."&amp;C$2&amp;C$1&amp;"P"&amp;$A34))/1000000),0),IF($A$2="SKEW",IFERROR(VALUE(IF(RTD("tos.rtd",,"IMPL_VOL","."&amp;C$2&amp;C$1&amp;"P"&amp;$A34)="N/A",0,RTD("tos.rtd",,"IMPL_VOL","."&amp;C$2&amp;C$1&amp;"P"&amp;$A34))),0)-IFERROR(VALUE(IF(RTD("tos.rtd",,"IMPL_VOL","."&amp;C$2&amp;C$1&amp;"C"&amp;$A34)="N/A",0,RTD("tos.rtd",,"IMPL_VOL","."&amp;C$2&amp;C$1&amp;"C"&amp;$A34))),0),IF($A$2="MAXPAIN",IF($A$4&gt;$A34,($A$4-$A34)*IF(RTD("tos.rtd",,"OPEN_INT","."&amp;C$2&amp;C$1&amp;"C"&amp;$A34)="N/A",0,RTD("tos.rtd",,"OPEN_INT","."&amp;C$2&amp;C$1&amp;"C"&amp;$A34)),0)+IF($A$4&lt;$A34,($A$5-$A$4)*IF(RTD("tos.rtd",,"OPEN_INT","."&amp;C$2&amp;C$1&amp;"P"&amp;$A34)="N/A",0,RTD("tos.rtd",,"OPEN_INT","."&amp;C$2&amp;C$1&amp;"P"&amp;$A34)),0),IF($X$1="ABS",IF(RTD("tos.rtd",,$A$2,"."&amp;C$2&amp;C$1&amp;"C"&amp;$A34)="N/A",0,RTD("tos.rtd",,$A$2,"."&amp;C$2&amp;C$1&amp;"C"&amp;$A34))+IF(RTD("tos.rtd",,$A$2,"."&amp;C$2&amp;C$1&amp;"P"&amp;$A34)="N/A",0,RTD("tos.rtd",,$A$2,"."&amp;C$2&amp;C$1&amp;"P"&amp;$A34)),IF(RTD("tos.rtd",,$A$2,"."&amp;C$2&amp;C$1&amp;"C"&amp;$A34)="N/A",0,RTD("tos.rtd",,$A$2,"."&amp;C$2&amp;C$1&amp;"C"&amp;$A34))-IF(RTD("tos.rtd",,$A$2,"."&amp;C$2&amp;C$1&amp;"P"&amp;$A34)="N/A",0,RTD("tos.rtd",,$A$2,"."&amp;C$2&amp;C$1&amp;"P"&amp;$A34))))))))))</f>
        <v>6162</v>
      </c>
      <c r="D34" s="12">
        <f ca="1">IF($A$2="PREMIUM_OI",IFERROR(IF($X$1="ABS",(100*RTD("tos.rtd",,"OPEN_INT","."&amp;D$2&amp;D$1&amp;"C"&amp;$A34)*RTD("tos.rtd",,"LAST","."&amp;D$2&amp;D$1&amp;"C"&amp;$A34)+100*RTD("tos.rtd",,"OPEN_INT","."&amp;D$2&amp;D$1&amp;"P"&amp;$A34)*RTD("tos.rtd",,"LAST","."&amp;D$2&amp;D$1&amp;"P"&amp;$A34))/1000000,(100*RTD("tos.rtd",,"OPEN_INT","."&amp;D$2&amp;D$1&amp;"C"&amp;$A34)*RTD("tos.rtd",,"LAST","."&amp;D$2&amp;D$1&amp;"C"&amp;$A34)-100*RTD("tos.rtd",,"OPEN_INT","."&amp;D$2&amp;D$1&amp;"P"&amp;$A34)*RTD("tos.rtd",,"LAST","."&amp;D$2&amp;D$1&amp;"P"&amp;$A34))/1000000),0),IF($A$2="PREMIUM",IFERROR(IF($X$1="ABS",(100*RTD("tos.rtd",,"VOLUME","."&amp;D$2&amp;D$1&amp;"C"&amp;$A34)*RTD("tos.rtd",,"LAST","."&amp;D$2&amp;D$1&amp;"C"&amp;$A34)+100*RTD("tos.rtd",,"VOLUME","."&amp;D$2&amp;D$1&amp;"P"&amp;$A34)*RTD("tos.rtd",,"LAST","."&amp;D$2&amp;D$1&amp;"P"&amp;$A34))/1000000,(100*RTD("tos.rtd",,"VOLUME","."&amp;D$2&amp;D$1&amp;"C"&amp;$A34)*RTD("tos.rtd",,"LAST","."&amp;D$2&amp;D$1&amp;"C"&amp;$A34)-100*RTD("tos.rtd",,"VOLUME","."&amp;D$2&amp;D$1&amp;"P"&amp;$A34)*RTD("tos.rtd",,"LAST","."&amp;D$2&amp;D$1&amp;"P"&amp;$A34))/1000000),0),IF($A$2="DEX",IFERROR(IF($X$1="ABS",(100*RTD("tos.rtd",,"OPEN_INT","."&amp;D$2&amp;D$1&amp;"C"&amp;$A34)*RTD("tos.rtd",,"DELTA","."&amp;D$2&amp;D$1&amp;"C"&amp;$A34)+100*RTD("tos.rtd",,"OPEN_INT","."&amp;D$2&amp;D$1&amp;"P"&amp;$A34)*RTD("tos.rtd",,"DELTA","."&amp;D$2&amp;D$1&amp;"P"&amp;$A34))/1000,(100*RTD("tos.rtd",,"OPEN_INT","."&amp;D$2&amp;D$1&amp;"C"&amp;$A34)*RTD("tos.rtd",,"DELTA","."&amp;D$2&amp;D$1&amp;"C"&amp;$A34)-100*RTD("tos.rtd",,"OPEN_INT","."&amp;D$2&amp;D$1&amp;"P"&amp;$A34)*RTD("tos.rtd",,"DELTA","."&amp;D$2&amp;D$1&amp;"P"&amp;$A34))/1000),0),IF($A$2="VEX",IFERROR(IF($X$1="ABS",($A$4*$A$4*RTD("tos.rtd",,"VOLUME","."&amp;D$2&amp;D$1&amp;"C"&amp;$A34)*RTD("tos.rtd",,"GAMMA","."&amp;D$2&amp;D$1&amp;"C"&amp;$A34)+$A$4*$A$4*RTD("tos.rtd",,"VOLUME","."&amp;D$2&amp;D$1&amp;"P"&amp;$A34)*RTD("tos.rtd",,"GAMMA","."&amp;D$2&amp;D$1&amp;"P"&amp;$A34))/1000000,($A$4*$A$4*RTD("tos.rtd",,"VOLUME","."&amp;D$2&amp;D$1&amp;"C"&amp;$A34)*RTD("tos.rtd",,"GAMMA","."&amp;D$2&amp;D$1&amp;"C"&amp;$A34)-$A$4*$A$4*RTD("tos.rtd",,"VOLUME","."&amp;D$2&amp;D$1&amp;"P"&amp;$A34)*RTD("tos.rtd",,"GAMMA","."&amp;D$2&amp;D$1&amp;"P"&amp;$A34))/1000000),0),IF($A$2="GEX",IFERROR(IF($X$1="ABS",($A$4*$A$4*RTD("tos.rtd",,"OPEN_INT","."&amp;D$2&amp;D$1&amp;"C"&amp;$A34)*RTD("tos.rtd",,"GAMMA","."&amp;D$2&amp;D$1&amp;"C"&amp;$A34)+$A$4*$A$4*RTD("tos.rtd",,"OPEN_INT","."&amp;D$2&amp;D$1&amp;"P"&amp;$A34)*RTD("tos.rtd",,"GAMMA","."&amp;D$2&amp;D$1&amp;"P"&amp;$A34))/1000000,($A$4*$A$4*RTD("tos.rtd",,"OPEN_INT","."&amp;D$2&amp;D$1&amp;"C"&amp;$A34)*RTD("tos.rtd",,"GAMMA","."&amp;D$2&amp;D$1&amp;"C"&amp;$A34)-$A$4*$A$4*RTD("tos.rtd",,"OPEN_INT","."&amp;D$2&amp;D$1&amp;"P"&amp;$A34)*RTD("tos.rtd",,"GAMMA","."&amp;D$2&amp;D$1&amp;"P"&amp;$A34))/1000000),0),IF($A$2="SKEW",IFERROR(VALUE(IF(RTD("tos.rtd",,"IMPL_VOL","."&amp;D$2&amp;D$1&amp;"P"&amp;$A34)="N/A",0,RTD("tos.rtd",,"IMPL_VOL","."&amp;D$2&amp;D$1&amp;"P"&amp;$A34))),0)-IFERROR(VALUE(IF(RTD("tos.rtd",,"IMPL_VOL","."&amp;D$2&amp;D$1&amp;"C"&amp;$A34)="N/A",0,RTD("tos.rtd",,"IMPL_VOL","."&amp;D$2&amp;D$1&amp;"C"&amp;$A34))),0),IF($A$2="MAXPAIN",IF($A$4&gt;$A34,($A$4-$A34)*IF(RTD("tos.rtd",,"OPEN_INT","."&amp;D$2&amp;D$1&amp;"C"&amp;$A34)="N/A",0,RTD("tos.rtd",,"OPEN_INT","."&amp;D$2&amp;D$1&amp;"C"&amp;$A34)),0)+IF($A$4&lt;$A34,($A$5-$A$4)*IF(RTD("tos.rtd",,"OPEN_INT","."&amp;D$2&amp;D$1&amp;"P"&amp;$A34)="N/A",0,RTD("tos.rtd",,"OPEN_INT","."&amp;D$2&amp;D$1&amp;"P"&amp;$A34)),0),IF($X$1="ABS",IF(RTD("tos.rtd",,$A$2,"."&amp;D$2&amp;D$1&amp;"C"&amp;$A34)="N/A",0,RTD("tos.rtd",,$A$2,"."&amp;D$2&amp;D$1&amp;"C"&amp;$A34))+IF(RTD("tos.rtd",,$A$2,"."&amp;D$2&amp;D$1&amp;"P"&amp;$A34)="N/A",0,RTD("tos.rtd",,$A$2,"."&amp;D$2&amp;D$1&amp;"P"&amp;$A34)),IF(RTD("tos.rtd",,$A$2,"."&amp;D$2&amp;D$1&amp;"C"&amp;$A34)="N/A",0,RTD("tos.rtd",,$A$2,"."&amp;D$2&amp;D$1&amp;"C"&amp;$A34))-IF(RTD("tos.rtd",,$A$2,"."&amp;D$2&amp;D$1&amp;"P"&amp;$A34)="N/A",0,RTD("tos.rtd",,$A$2,"."&amp;D$2&amp;D$1&amp;"P"&amp;$A34))))))))))</f>
        <v>8373</v>
      </c>
      <c r="E34" s="12">
        <f ca="1">IF($A$2="PREMIUM_OI",IFERROR(IF($X$1="ABS",(100*RTD("tos.rtd",,"OPEN_INT","."&amp;E$2&amp;E$1&amp;"C"&amp;$A34)*RTD("tos.rtd",,"LAST","."&amp;E$2&amp;E$1&amp;"C"&amp;$A34)+100*RTD("tos.rtd",,"OPEN_INT","."&amp;E$2&amp;E$1&amp;"P"&amp;$A34)*RTD("tos.rtd",,"LAST","."&amp;E$2&amp;E$1&amp;"P"&amp;$A34))/1000000,(100*RTD("tos.rtd",,"OPEN_INT","."&amp;E$2&amp;E$1&amp;"C"&amp;$A34)*RTD("tos.rtd",,"LAST","."&amp;E$2&amp;E$1&amp;"C"&amp;$A34)-100*RTD("tos.rtd",,"OPEN_INT","."&amp;E$2&amp;E$1&amp;"P"&amp;$A34)*RTD("tos.rtd",,"LAST","."&amp;E$2&amp;E$1&amp;"P"&amp;$A34))/1000000),0),IF($A$2="PREMIUM",IFERROR(IF($X$1="ABS",(100*RTD("tos.rtd",,"VOLUME","."&amp;E$2&amp;E$1&amp;"C"&amp;$A34)*RTD("tos.rtd",,"LAST","."&amp;E$2&amp;E$1&amp;"C"&amp;$A34)+100*RTD("tos.rtd",,"VOLUME","."&amp;E$2&amp;E$1&amp;"P"&amp;$A34)*RTD("tos.rtd",,"LAST","."&amp;E$2&amp;E$1&amp;"P"&amp;$A34))/1000000,(100*RTD("tos.rtd",,"VOLUME","."&amp;E$2&amp;E$1&amp;"C"&amp;$A34)*RTD("tos.rtd",,"LAST","."&amp;E$2&amp;E$1&amp;"C"&amp;$A34)-100*RTD("tos.rtd",,"VOLUME","."&amp;E$2&amp;E$1&amp;"P"&amp;$A34)*RTD("tos.rtd",,"LAST","."&amp;E$2&amp;E$1&amp;"P"&amp;$A34))/1000000),0),IF($A$2="DEX",IFERROR(IF($X$1="ABS",(100*RTD("tos.rtd",,"OPEN_INT","."&amp;E$2&amp;E$1&amp;"C"&amp;$A34)*RTD("tos.rtd",,"DELTA","."&amp;E$2&amp;E$1&amp;"C"&amp;$A34)+100*RTD("tos.rtd",,"OPEN_INT","."&amp;E$2&amp;E$1&amp;"P"&amp;$A34)*RTD("tos.rtd",,"DELTA","."&amp;E$2&amp;E$1&amp;"P"&amp;$A34))/1000,(100*RTD("tos.rtd",,"OPEN_INT","."&amp;E$2&amp;E$1&amp;"C"&amp;$A34)*RTD("tos.rtd",,"DELTA","."&amp;E$2&amp;E$1&amp;"C"&amp;$A34)-100*RTD("tos.rtd",,"OPEN_INT","."&amp;E$2&amp;E$1&amp;"P"&amp;$A34)*RTD("tos.rtd",,"DELTA","."&amp;E$2&amp;E$1&amp;"P"&amp;$A34))/1000),0),IF($A$2="VEX",IFERROR(IF($X$1="ABS",($A$4*$A$4*RTD("tos.rtd",,"VOLUME","."&amp;E$2&amp;E$1&amp;"C"&amp;$A34)*RTD("tos.rtd",,"GAMMA","."&amp;E$2&amp;E$1&amp;"C"&amp;$A34)+$A$4*$A$4*RTD("tos.rtd",,"VOLUME","."&amp;E$2&amp;E$1&amp;"P"&amp;$A34)*RTD("tos.rtd",,"GAMMA","."&amp;E$2&amp;E$1&amp;"P"&amp;$A34))/1000000,($A$4*$A$4*RTD("tos.rtd",,"VOLUME","."&amp;E$2&amp;E$1&amp;"C"&amp;$A34)*RTD("tos.rtd",,"GAMMA","."&amp;E$2&amp;E$1&amp;"C"&amp;$A34)-$A$4*$A$4*RTD("tos.rtd",,"VOLUME","."&amp;E$2&amp;E$1&amp;"P"&amp;$A34)*RTD("tos.rtd",,"GAMMA","."&amp;E$2&amp;E$1&amp;"P"&amp;$A34))/1000000),0),IF($A$2="GEX",IFERROR(IF($X$1="ABS",($A$4*$A$4*RTD("tos.rtd",,"OPEN_INT","."&amp;E$2&amp;E$1&amp;"C"&amp;$A34)*RTD("tos.rtd",,"GAMMA","."&amp;E$2&amp;E$1&amp;"C"&amp;$A34)+$A$4*$A$4*RTD("tos.rtd",,"OPEN_INT","."&amp;E$2&amp;E$1&amp;"P"&amp;$A34)*RTD("tos.rtd",,"GAMMA","."&amp;E$2&amp;E$1&amp;"P"&amp;$A34))/1000000,($A$4*$A$4*RTD("tos.rtd",,"OPEN_INT","."&amp;E$2&amp;E$1&amp;"C"&amp;$A34)*RTD("tos.rtd",,"GAMMA","."&amp;E$2&amp;E$1&amp;"C"&amp;$A34)-$A$4*$A$4*RTD("tos.rtd",,"OPEN_INT","."&amp;E$2&amp;E$1&amp;"P"&amp;$A34)*RTD("tos.rtd",,"GAMMA","."&amp;E$2&amp;E$1&amp;"P"&amp;$A34))/1000000),0),IF($A$2="SKEW",IFERROR(VALUE(IF(RTD("tos.rtd",,"IMPL_VOL","."&amp;E$2&amp;E$1&amp;"P"&amp;$A34)="N/A",0,RTD("tos.rtd",,"IMPL_VOL","."&amp;E$2&amp;E$1&amp;"P"&amp;$A34))),0)-IFERROR(VALUE(IF(RTD("tos.rtd",,"IMPL_VOL","."&amp;E$2&amp;E$1&amp;"C"&amp;$A34)="N/A",0,RTD("tos.rtd",,"IMPL_VOL","."&amp;E$2&amp;E$1&amp;"C"&amp;$A34))),0),IF($A$2="MAXPAIN",IF($A$4&gt;$A34,($A$4-$A34)*IF(RTD("tos.rtd",,"OPEN_INT","."&amp;E$2&amp;E$1&amp;"C"&amp;$A34)="N/A",0,RTD("tos.rtd",,"OPEN_INT","."&amp;E$2&amp;E$1&amp;"C"&amp;$A34)),0)+IF($A$4&lt;$A34,($A$5-$A$4)*IF(RTD("tos.rtd",,"OPEN_INT","."&amp;E$2&amp;E$1&amp;"P"&amp;$A34)="N/A",0,RTD("tos.rtd",,"OPEN_INT","."&amp;E$2&amp;E$1&amp;"P"&amp;$A34)),0),IF($X$1="ABS",IF(RTD("tos.rtd",,$A$2,"."&amp;E$2&amp;E$1&amp;"C"&amp;$A34)="N/A",0,RTD("tos.rtd",,$A$2,"."&amp;E$2&amp;E$1&amp;"C"&amp;$A34))+IF(RTD("tos.rtd",,$A$2,"."&amp;E$2&amp;E$1&amp;"P"&amp;$A34)="N/A",0,RTD("tos.rtd",,$A$2,"."&amp;E$2&amp;E$1&amp;"P"&amp;$A34)),IF(RTD("tos.rtd",,$A$2,"."&amp;E$2&amp;E$1&amp;"C"&amp;$A34)="N/A",0,RTD("tos.rtd",,$A$2,"."&amp;E$2&amp;E$1&amp;"C"&amp;$A34))-IF(RTD("tos.rtd",,$A$2,"."&amp;E$2&amp;E$1&amp;"P"&amp;$A34)="N/A",0,RTD("tos.rtd",,$A$2,"."&amp;E$2&amp;E$1&amp;"P"&amp;$A34))))))))))</f>
        <v>114</v>
      </c>
      <c r="F34" s="12">
        <f ca="1">IF($A$2="PREMIUM_OI",IFERROR(IF($X$1="ABS",(100*RTD("tos.rtd",,"OPEN_INT","."&amp;F$2&amp;F$1&amp;"C"&amp;$A34)*RTD("tos.rtd",,"LAST","."&amp;F$2&amp;F$1&amp;"C"&amp;$A34)+100*RTD("tos.rtd",,"OPEN_INT","."&amp;F$2&amp;F$1&amp;"P"&amp;$A34)*RTD("tos.rtd",,"LAST","."&amp;F$2&amp;F$1&amp;"P"&amp;$A34))/1000000,(100*RTD("tos.rtd",,"OPEN_INT","."&amp;F$2&amp;F$1&amp;"C"&amp;$A34)*RTD("tos.rtd",,"LAST","."&amp;F$2&amp;F$1&amp;"C"&amp;$A34)-100*RTD("tos.rtd",,"OPEN_INT","."&amp;F$2&amp;F$1&amp;"P"&amp;$A34)*RTD("tos.rtd",,"LAST","."&amp;F$2&amp;F$1&amp;"P"&amp;$A34))/1000000),0),IF($A$2="PREMIUM",IFERROR(IF($X$1="ABS",(100*RTD("tos.rtd",,"VOLUME","."&amp;F$2&amp;F$1&amp;"C"&amp;$A34)*RTD("tos.rtd",,"LAST","."&amp;F$2&amp;F$1&amp;"C"&amp;$A34)+100*RTD("tos.rtd",,"VOLUME","."&amp;F$2&amp;F$1&amp;"P"&amp;$A34)*RTD("tos.rtd",,"LAST","."&amp;F$2&amp;F$1&amp;"P"&amp;$A34))/1000000,(100*RTD("tos.rtd",,"VOLUME","."&amp;F$2&amp;F$1&amp;"C"&amp;$A34)*RTD("tos.rtd",,"LAST","."&amp;F$2&amp;F$1&amp;"C"&amp;$A34)-100*RTD("tos.rtd",,"VOLUME","."&amp;F$2&amp;F$1&amp;"P"&amp;$A34)*RTD("tos.rtd",,"LAST","."&amp;F$2&amp;F$1&amp;"P"&amp;$A34))/1000000),0),IF($A$2="DEX",IFERROR(IF($X$1="ABS",(100*RTD("tos.rtd",,"OPEN_INT","."&amp;F$2&amp;F$1&amp;"C"&amp;$A34)*RTD("tos.rtd",,"DELTA","."&amp;F$2&amp;F$1&amp;"C"&amp;$A34)+100*RTD("tos.rtd",,"OPEN_INT","."&amp;F$2&amp;F$1&amp;"P"&amp;$A34)*RTD("tos.rtd",,"DELTA","."&amp;F$2&amp;F$1&amp;"P"&amp;$A34))/1000,(100*RTD("tos.rtd",,"OPEN_INT","."&amp;F$2&amp;F$1&amp;"C"&amp;$A34)*RTD("tos.rtd",,"DELTA","."&amp;F$2&amp;F$1&amp;"C"&amp;$A34)-100*RTD("tos.rtd",,"OPEN_INT","."&amp;F$2&amp;F$1&amp;"P"&amp;$A34)*RTD("tos.rtd",,"DELTA","."&amp;F$2&amp;F$1&amp;"P"&amp;$A34))/1000),0),IF($A$2="VEX",IFERROR(IF($X$1="ABS",($A$4*$A$4*RTD("tos.rtd",,"VOLUME","."&amp;F$2&amp;F$1&amp;"C"&amp;$A34)*RTD("tos.rtd",,"GAMMA","."&amp;F$2&amp;F$1&amp;"C"&amp;$A34)+$A$4*$A$4*RTD("tos.rtd",,"VOLUME","."&amp;F$2&amp;F$1&amp;"P"&amp;$A34)*RTD("tos.rtd",,"GAMMA","."&amp;F$2&amp;F$1&amp;"P"&amp;$A34))/1000000,($A$4*$A$4*RTD("tos.rtd",,"VOLUME","."&amp;F$2&amp;F$1&amp;"C"&amp;$A34)*RTD("tos.rtd",,"GAMMA","."&amp;F$2&amp;F$1&amp;"C"&amp;$A34)-$A$4*$A$4*RTD("tos.rtd",,"VOLUME","."&amp;F$2&amp;F$1&amp;"P"&amp;$A34)*RTD("tos.rtd",,"GAMMA","."&amp;F$2&amp;F$1&amp;"P"&amp;$A34))/1000000),0),IF($A$2="GEX",IFERROR(IF($X$1="ABS",($A$4*$A$4*RTD("tos.rtd",,"OPEN_INT","."&amp;F$2&amp;F$1&amp;"C"&amp;$A34)*RTD("tos.rtd",,"GAMMA","."&amp;F$2&amp;F$1&amp;"C"&amp;$A34)+$A$4*$A$4*RTD("tos.rtd",,"OPEN_INT","."&amp;F$2&amp;F$1&amp;"P"&amp;$A34)*RTD("tos.rtd",,"GAMMA","."&amp;F$2&amp;F$1&amp;"P"&amp;$A34))/1000000,($A$4*$A$4*RTD("tos.rtd",,"OPEN_INT","."&amp;F$2&amp;F$1&amp;"C"&amp;$A34)*RTD("tos.rtd",,"GAMMA","."&amp;F$2&amp;F$1&amp;"C"&amp;$A34)-$A$4*$A$4*RTD("tos.rtd",,"OPEN_INT","."&amp;F$2&amp;F$1&amp;"P"&amp;$A34)*RTD("tos.rtd",,"GAMMA","."&amp;F$2&amp;F$1&amp;"P"&amp;$A34))/1000000),0),IF($A$2="SKEW",IFERROR(VALUE(IF(RTD("tos.rtd",,"IMPL_VOL","."&amp;F$2&amp;F$1&amp;"P"&amp;$A34)="N/A",0,RTD("tos.rtd",,"IMPL_VOL","."&amp;F$2&amp;F$1&amp;"P"&amp;$A34))),0)-IFERROR(VALUE(IF(RTD("tos.rtd",,"IMPL_VOL","."&amp;F$2&amp;F$1&amp;"C"&amp;$A34)="N/A",0,RTD("tos.rtd",,"IMPL_VOL","."&amp;F$2&amp;F$1&amp;"C"&amp;$A34))),0),IF($A$2="MAXPAIN",IF($A$4&gt;$A34,($A$4-$A34)*IF(RTD("tos.rtd",,"OPEN_INT","."&amp;F$2&amp;F$1&amp;"C"&amp;$A34)="N/A",0,RTD("tos.rtd",,"OPEN_INT","."&amp;F$2&amp;F$1&amp;"C"&amp;$A34)),0)+IF($A$4&lt;$A34,($A$5-$A$4)*IF(RTD("tos.rtd",,"OPEN_INT","."&amp;F$2&amp;F$1&amp;"P"&amp;$A34)="N/A",0,RTD("tos.rtd",,"OPEN_INT","."&amp;F$2&amp;F$1&amp;"P"&amp;$A34)),0),IF($X$1="ABS",IF(RTD("tos.rtd",,$A$2,"."&amp;F$2&amp;F$1&amp;"C"&amp;$A34)="N/A",0,RTD("tos.rtd",,$A$2,"."&amp;F$2&amp;F$1&amp;"C"&amp;$A34))+IF(RTD("tos.rtd",,$A$2,"."&amp;F$2&amp;F$1&amp;"P"&amp;$A34)="N/A",0,RTD("tos.rtd",,$A$2,"."&amp;F$2&amp;F$1&amp;"P"&amp;$A34)),IF(RTD("tos.rtd",,$A$2,"."&amp;F$2&amp;F$1&amp;"C"&amp;$A34)="N/A",0,RTD("tos.rtd",,$A$2,"."&amp;F$2&amp;F$1&amp;"C"&amp;$A34))-IF(RTD("tos.rtd",,$A$2,"."&amp;F$2&amp;F$1&amp;"P"&amp;$A34)="N/A",0,RTD("tos.rtd",,$A$2,"."&amp;F$2&amp;F$1&amp;"P"&amp;$A34))))))))))</f>
        <v>233</v>
      </c>
      <c r="G34" s="57">
        <f ca="1">IF($A$2="PREMIUM_OI",IFERROR(IF($X$1="ABS",(100*RTD("tos.rtd",,"OPEN_INT","."&amp;G$2&amp;G$1&amp;"C"&amp;$A34)*RTD("tos.rtd",,"LAST","."&amp;G$2&amp;G$1&amp;"C"&amp;$A34)+100*RTD("tos.rtd",,"OPEN_INT","."&amp;G$2&amp;G$1&amp;"P"&amp;$A34)*RTD("tos.rtd",,"LAST","."&amp;G$2&amp;G$1&amp;"P"&amp;$A34))/1000000,(100*RTD("tos.rtd",,"OPEN_INT","."&amp;G$2&amp;G$1&amp;"C"&amp;$A34)*RTD("tos.rtd",,"LAST","."&amp;G$2&amp;G$1&amp;"C"&amp;$A34)-100*RTD("tos.rtd",,"OPEN_INT","."&amp;G$2&amp;G$1&amp;"P"&amp;$A34)*RTD("tos.rtd",,"LAST","."&amp;G$2&amp;G$1&amp;"P"&amp;$A34))/1000000),0),IF($A$2="PREMIUM",IFERROR(IF($X$1="ABS",(100*RTD("tos.rtd",,"VOLUME","."&amp;G$2&amp;G$1&amp;"C"&amp;$A34)*RTD("tos.rtd",,"LAST","."&amp;G$2&amp;G$1&amp;"C"&amp;$A34)+100*RTD("tos.rtd",,"VOLUME","."&amp;G$2&amp;G$1&amp;"P"&amp;$A34)*RTD("tos.rtd",,"LAST","."&amp;G$2&amp;G$1&amp;"P"&amp;$A34))/1000000,(100*RTD("tos.rtd",,"VOLUME","."&amp;G$2&amp;G$1&amp;"C"&amp;$A34)*RTD("tos.rtd",,"LAST","."&amp;G$2&amp;G$1&amp;"C"&amp;$A34)-100*RTD("tos.rtd",,"VOLUME","."&amp;G$2&amp;G$1&amp;"P"&amp;$A34)*RTD("tos.rtd",,"LAST","."&amp;G$2&amp;G$1&amp;"P"&amp;$A34))/1000000),0),IF($A$2="DEX",IFERROR(IF($X$1="ABS",(100*RTD("tos.rtd",,"OPEN_INT","."&amp;G$2&amp;G$1&amp;"C"&amp;$A34)*RTD("tos.rtd",,"DELTA","."&amp;G$2&amp;G$1&amp;"C"&amp;$A34)+100*RTD("tos.rtd",,"OPEN_INT","."&amp;G$2&amp;G$1&amp;"P"&amp;$A34)*RTD("tos.rtd",,"DELTA","."&amp;G$2&amp;G$1&amp;"P"&amp;$A34))/1000,(100*RTD("tos.rtd",,"OPEN_INT","."&amp;G$2&amp;G$1&amp;"C"&amp;$A34)*RTD("tos.rtd",,"DELTA","."&amp;G$2&amp;G$1&amp;"C"&amp;$A34)-100*RTD("tos.rtd",,"OPEN_INT","."&amp;G$2&amp;G$1&amp;"P"&amp;$A34)*RTD("tos.rtd",,"DELTA","."&amp;G$2&amp;G$1&amp;"P"&amp;$A34))/1000),0),IF($A$2="VEX",IFERROR(IF($X$1="ABS",($A$4*$A$4*RTD("tos.rtd",,"VOLUME","."&amp;G$2&amp;G$1&amp;"C"&amp;$A34)*RTD("tos.rtd",,"GAMMA","."&amp;G$2&amp;G$1&amp;"C"&amp;$A34)+$A$4*$A$4*RTD("tos.rtd",,"VOLUME","."&amp;G$2&amp;G$1&amp;"P"&amp;$A34)*RTD("tos.rtd",,"GAMMA","."&amp;G$2&amp;G$1&amp;"P"&amp;$A34))/1000000,($A$4*$A$4*RTD("tos.rtd",,"VOLUME","."&amp;G$2&amp;G$1&amp;"C"&amp;$A34)*RTD("tos.rtd",,"GAMMA","."&amp;G$2&amp;G$1&amp;"C"&amp;$A34)-$A$4*$A$4*RTD("tos.rtd",,"VOLUME","."&amp;G$2&amp;G$1&amp;"P"&amp;$A34)*RTD("tos.rtd",,"GAMMA","."&amp;G$2&amp;G$1&amp;"P"&amp;$A34))/1000000),0),IF($A$2="GEX",IFERROR(IF($X$1="ABS",($A$4*$A$4*RTD("tos.rtd",,"OPEN_INT","."&amp;G$2&amp;G$1&amp;"C"&amp;$A34)*RTD("tos.rtd",,"GAMMA","."&amp;G$2&amp;G$1&amp;"C"&amp;$A34)+$A$4*$A$4*RTD("tos.rtd",,"OPEN_INT","."&amp;G$2&amp;G$1&amp;"P"&amp;$A34)*RTD("tos.rtd",,"GAMMA","."&amp;G$2&amp;G$1&amp;"P"&amp;$A34))/1000000,($A$4*$A$4*RTD("tos.rtd",,"OPEN_INT","."&amp;G$2&amp;G$1&amp;"C"&amp;$A34)*RTD("tos.rtd",,"GAMMA","."&amp;G$2&amp;G$1&amp;"C"&amp;$A34)-$A$4*$A$4*RTD("tos.rtd",,"OPEN_INT","."&amp;G$2&amp;G$1&amp;"P"&amp;$A34)*RTD("tos.rtd",,"GAMMA","."&amp;G$2&amp;G$1&amp;"P"&amp;$A34))/1000000),0),IF($A$2="SKEW",IFERROR(VALUE(IF(RTD("tos.rtd",,"IMPL_VOL","."&amp;G$2&amp;G$1&amp;"P"&amp;$A34)="N/A",0,RTD("tos.rtd",,"IMPL_VOL","."&amp;G$2&amp;G$1&amp;"P"&amp;$A34))),0)-IFERROR(VALUE(IF(RTD("tos.rtd",,"IMPL_VOL","."&amp;G$2&amp;G$1&amp;"C"&amp;$A34)="N/A",0,RTD("tos.rtd",,"IMPL_VOL","."&amp;G$2&amp;G$1&amp;"C"&amp;$A34))),0),IF($A$2="MAXPAIN",IF($A$4&gt;$A34,($A$4-$A34)*IF(RTD("tos.rtd",,"OPEN_INT","."&amp;G$2&amp;G$1&amp;"C"&amp;$A34)="N/A",0,RTD("tos.rtd",,"OPEN_INT","."&amp;G$2&amp;G$1&amp;"C"&amp;$A34)),0)+IF($A$4&lt;$A34,($A$5-$A$4)*IF(RTD("tos.rtd",,"OPEN_INT","."&amp;G$2&amp;G$1&amp;"P"&amp;$A34)="N/A",0,RTD("tos.rtd",,"OPEN_INT","."&amp;G$2&amp;G$1&amp;"P"&amp;$A34)),0),IF($X$1="ABS",IF(RTD("tos.rtd",,$A$2,"."&amp;G$2&amp;G$1&amp;"C"&amp;$A34)="N/A",0,RTD("tos.rtd",,$A$2,"."&amp;G$2&amp;G$1&amp;"C"&amp;$A34))+IF(RTD("tos.rtd",,$A$2,"."&amp;G$2&amp;G$1&amp;"P"&amp;$A34)="N/A",0,RTD("tos.rtd",,$A$2,"."&amp;G$2&amp;G$1&amp;"P"&amp;$A34)),IF(RTD("tos.rtd",,$A$2,"."&amp;G$2&amp;G$1&amp;"C"&amp;$A34)="N/A",0,RTD("tos.rtd",,$A$2,"."&amp;G$2&amp;G$1&amp;"C"&amp;$A34))-IF(RTD("tos.rtd",,$A$2,"."&amp;G$2&amp;G$1&amp;"P"&amp;$A34)="N/A",0,RTD("tos.rtd",,$A$2,"."&amp;G$2&amp;G$1&amp;"P"&amp;$A34))))))))))</f>
        <v>-366</v>
      </c>
      <c r="H34" s="14">
        <f ca="1">IF($A$2="PREMIUM_OI",IFERROR(IF($X$1="ABS",(100*RTD("tos.rtd",,"OPEN_INT","."&amp;H$2&amp;H$1&amp;"C"&amp;$A34)*RTD("tos.rtd",,"LAST","."&amp;H$2&amp;H$1&amp;"C"&amp;$A34)+100*RTD("tos.rtd",,"OPEN_INT","."&amp;H$2&amp;H$1&amp;"P"&amp;$A34)*RTD("tos.rtd",,"LAST","."&amp;H$2&amp;H$1&amp;"P"&amp;$A34))/1000000,(100*RTD("tos.rtd",,"OPEN_INT","."&amp;H$2&amp;H$1&amp;"C"&amp;$A34)*RTD("tos.rtd",,"LAST","."&amp;H$2&amp;H$1&amp;"C"&amp;$A34)-100*RTD("tos.rtd",,"OPEN_INT","."&amp;H$2&amp;H$1&amp;"P"&amp;$A34)*RTD("tos.rtd",,"LAST","."&amp;H$2&amp;H$1&amp;"P"&amp;$A34))/1000000),0),IF($A$2="PREMIUM",IFERROR(IF($X$1="ABS",(100*RTD("tos.rtd",,"VOLUME","."&amp;H$2&amp;H$1&amp;"C"&amp;$A34)*RTD("tos.rtd",,"LAST","."&amp;H$2&amp;H$1&amp;"C"&amp;$A34)+100*RTD("tos.rtd",,"VOLUME","."&amp;H$2&amp;H$1&amp;"P"&amp;$A34)*RTD("tos.rtd",,"LAST","."&amp;H$2&amp;H$1&amp;"P"&amp;$A34))/1000000,(100*RTD("tos.rtd",,"VOLUME","."&amp;H$2&amp;H$1&amp;"C"&amp;$A34)*RTD("tos.rtd",,"LAST","."&amp;H$2&amp;H$1&amp;"C"&amp;$A34)-100*RTD("tos.rtd",,"VOLUME","."&amp;H$2&amp;H$1&amp;"P"&amp;$A34)*RTD("tos.rtd",,"LAST","."&amp;H$2&amp;H$1&amp;"P"&amp;$A34))/1000000),0),IF($A$2="DEX",IFERROR(IF($X$1="ABS",(100*RTD("tos.rtd",,"OPEN_INT","."&amp;H$2&amp;H$1&amp;"C"&amp;$A34)*RTD("tos.rtd",,"DELTA","."&amp;H$2&amp;H$1&amp;"C"&amp;$A34)+100*RTD("tos.rtd",,"OPEN_INT","."&amp;H$2&amp;H$1&amp;"P"&amp;$A34)*RTD("tos.rtd",,"DELTA","."&amp;H$2&amp;H$1&amp;"P"&amp;$A34))/1000,(100*RTD("tos.rtd",,"OPEN_INT","."&amp;H$2&amp;H$1&amp;"C"&amp;$A34)*RTD("tos.rtd",,"DELTA","."&amp;H$2&amp;H$1&amp;"C"&amp;$A34)-100*RTD("tos.rtd",,"OPEN_INT","."&amp;H$2&amp;H$1&amp;"P"&amp;$A34)*RTD("tos.rtd",,"DELTA","."&amp;H$2&amp;H$1&amp;"P"&amp;$A34))/1000),0),IF($A$2="VEX",IFERROR(IF($X$1="ABS",($A$4*$A$4*RTD("tos.rtd",,"VOLUME","."&amp;H$2&amp;H$1&amp;"C"&amp;$A34)*RTD("tos.rtd",,"GAMMA","."&amp;H$2&amp;H$1&amp;"C"&amp;$A34)+$A$4*$A$4*RTD("tos.rtd",,"VOLUME","."&amp;H$2&amp;H$1&amp;"P"&amp;$A34)*RTD("tos.rtd",,"GAMMA","."&amp;H$2&amp;H$1&amp;"P"&amp;$A34))/1000000,($A$4*$A$4*RTD("tos.rtd",,"VOLUME","."&amp;H$2&amp;H$1&amp;"C"&amp;$A34)*RTD("tos.rtd",,"GAMMA","."&amp;H$2&amp;H$1&amp;"C"&amp;$A34)-$A$4*$A$4*RTD("tos.rtd",,"VOLUME","."&amp;H$2&amp;H$1&amp;"P"&amp;$A34)*RTD("tos.rtd",,"GAMMA","."&amp;H$2&amp;H$1&amp;"P"&amp;$A34))/1000000),0),IF($A$2="GEX",IFERROR(IF($X$1="ABS",($A$4*$A$4*RTD("tos.rtd",,"OPEN_INT","."&amp;H$2&amp;H$1&amp;"C"&amp;$A34)*RTD("tos.rtd",,"GAMMA","."&amp;H$2&amp;H$1&amp;"C"&amp;$A34)+$A$4*$A$4*RTD("tos.rtd",,"OPEN_INT","."&amp;H$2&amp;H$1&amp;"P"&amp;$A34)*RTD("tos.rtd",,"GAMMA","."&amp;H$2&amp;H$1&amp;"P"&amp;$A34))/1000000,($A$4*$A$4*RTD("tos.rtd",,"OPEN_INT","."&amp;H$2&amp;H$1&amp;"C"&amp;$A34)*RTD("tos.rtd",,"GAMMA","."&amp;H$2&amp;H$1&amp;"C"&amp;$A34)-$A$4*$A$4*RTD("tos.rtd",,"OPEN_INT","."&amp;H$2&amp;H$1&amp;"P"&amp;$A34)*RTD("tos.rtd",,"GAMMA","."&amp;H$2&amp;H$1&amp;"P"&amp;$A34))/1000000),0),IF($A$2="SKEW",IFERROR(VALUE(IF(RTD("tos.rtd",,"IMPL_VOL","."&amp;H$2&amp;H$1&amp;"P"&amp;$A34)="N/A",0,RTD("tos.rtd",,"IMPL_VOL","."&amp;H$2&amp;H$1&amp;"P"&amp;$A34))),0)-IFERROR(VALUE(IF(RTD("tos.rtd",,"IMPL_VOL","."&amp;H$2&amp;H$1&amp;"C"&amp;$A34)="N/A",0,RTD("tos.rtd",,"IMPL_VOL","."&amp;H$2&amp;H$1&amp;"C"&amp;$A34))),0),IF($A$2="MAXPAIN",IF($A$4&gt;$A34,($A$4-$A34)*IF(RTD("tos.rtd",,"OPEN_INT","."&amp;H$2&amp;H$1&amp;"C"&amp;$A34)="N/A",0,RTD("tos.rtd",,"OPEN_INT","."&amp;H$2&amp;H$1&amp;"C"&amp;$A34)),0)+IF($A$4&lt;$A34,($A$5-$A$4)*IF(RTD("tos.rtd",,"OPEN_INT","."&amp;H$2&amp;H$1&amp;"P"&amp;$A34)="N/A",0,RTD("tos.rtd",,"OPEN_INT","."&amp;H$2&amp;H$1&amp;"P"&amp;$A34)),0),IF($X$1="ABS",IF(RTD("tos.rtd",,$A$2,"."&amp;H$2&amp;H$1&amp;"C"&amp;$A34)="N/A",0,RTD("tos.rtd",,$A$2,"."&amp;H$2&amp;H$1&amp;"C"&amp;$A34))+IF(RTD("tos.rtd",,$A$2,"."&amp;H$2&amp;H$1&amp;"P"&amp;$A34)="N/A",0,RTD("tos.rtd",,$A$2,"."&amp;H$2&amp;H$1&amp;"P"&amp;$A34)),IF(RTD("tos.rtd",,$A$2,"."&amp;H$2&amp;H$1&amp;"C"&amp;$A34)="N/A",0,RTD("tos.rtd",,$A$2,"."&amp;H$2&amp;H$1&amp;"C"&amp;$A34))-IF(RTD("tos.rtd",,$A$2,"."&amp;H$2&amp;H$1&amp;"P"&amp;$A34)="N/A",0,RTD("tos.rtd",,$A$2,"."&amp;H$2&amp;H$1&amp;"P"&amp;$A34))))))))))</f>
        <v>-2422</v>
      </c>
      <c r="I34" s="12">
        <f ca="1">IF($A$2="PREMIUM_OI",IFERROR(IF($X$1="ABS",(100*RTD("tos.rtd",,"OPEN_INT","."&amp;I$2&amp;I$1&amp;"C"&amp;$A34)*RTD("tos.rtd",,"LAST","."&amp;I$2&amp;I$1&amp;"C"&amp;$A34)+100*RTD("tos.rtd",,"OPEN_INT","."&amp;I$2&amp;I$1&amp;"P"&amp;$A34)*RTD("tos.rtd",,"LAST","."&amp;I$2&amp;I$1&amp;"P"&amp;$A34))/1000000,(100*RTD("tos.rtd",,"OPEN_INT","."&amp;I$2&amp;I$1&amp;"C"&amp;$A34)*RTD("tos.rtd",,"LAST","."&amp;I$2&amp;I$1&amp;"C"&amp;$A34)-100*RTD("tos.rtd",,"OPEN_INT","."&amp;I$2&amp;I$1&amp;"P"&amp;$A34)*RTD("tos.rtd",,"LAST","."&amp;I$2&amp;I$1&amp;"P"&amp;$A34))/1000000),0),IF($A$2="PREMIUM",IFERROR(IF($X$1="ABS",(100*RTD("tos.rtd",,"VOLUME","."&amp;I$2&amp;I$1&amp;"C"&amp;$A34)*RTD("tos.rtd",,"LAST","."&amp;I$2&amp;I$1&amp;"C"&amp;$A34)+100*RTD("tos.rtd",,"VOLUME","."&amp;I$2&amp;I$1&amp;"P"&amp;$A34)*RTD("tos.rtd",,"LAST","."&amp;I$2&amp;I$1&amp;"P"&amp;$A34))/1000000,(100*RTD("tos.rtd",,"VOLUME","."&amp;I$2&amp;I$1&amp;"C"&amp;$A34)*RTD("tos.rtd",,"LAST","."&amp;I$2&amp;I$1&amp;"C"&amp;$A34)-100*RTD("tos.rtd",,"VOLUME","."&amp;I$2&amp;I$1&amp;"P"&amp;$A34)*RTD("tos.rtd",,"LAST","."&amp;I$2&amp;I$1&amp;"P"&amp;$A34))/1000000),0),IF($A$2="DEX",IFERROR(IF($X$1="ABS",(100*RTD("tos.rtd",,"OPEN_INT","."&amp;I$2&amp;I$1&amp;"C"&amp;$A34)*RTD("tos.rtd",,"DELTA","."&amp;I$2&amp;I$1&amp;"C"&amp;$A34)+100*RTD("tos.rtd",,"OPEN_INT","."&amp;I$2&amp;I$1&amp;"P"&amp;$A34)*RTD("tos.rtd",,"DELTA","."&amp;I$2&amp;I$1&amp;"P"&amp;$A34))/1000,(100*RTD("tos.rtd",,"OPEN_INT","."&amp;I$2&amp;I$1&amp;"C"&amp;$A34)*RTD("tos.rtd",,"DELTA","."&amp;I$2&amp;I$1&amp;"C"&amp;$A34)-100*RTD("tos.rtd",,"OPEN_INT","."&amp;I$2&amp;I$1&amp;"P"&amp;$A34)*RTD("tos.rtd",,"DELTA","."&amp;I$2&amp;I$1&amp;"P"&amp;$A34))/1000),0),IF($A$2="VEX",IFERROR(IF($X$1="ABS",($A$4*$A$4*RTD("tos.rtd",,"VOLUME","."&amp;I$2&amp;I$1&amp;"C"&amp;$A34)*RTD("tos.rtd",,"GAMMA","."&amp;I$2&amp;I$1&amp;"C"&amp;$A34)+$A$4*$A$4*RTD("tos.rtd",,"VOLUME","."&amp;I$2&amp;I$1&amp;"P"&amp;$A34)*RTD("tos.rtd",,"GAMMA","."&amp;I$2&amp;I$1&amp;"P"&amp;$A34))/1000000,($A$4*$A$4*RTD("tos.rtd",,"VOLUME","."&amp;I$2&amp;I$1&amp;"C"&amp;$A34)*RTD("tos.rtd",,"GAMMA","."&amp;I$2&amp;I$1&amp;"C"&amp;$A34)-$A$4*$A$4*RTD("tos.rtd",,"VOLUME","."&amp;I$2&amp;I$1&amp;"P"&amp;$A34)*RTD("tos.rtd",,"GAMMA","."&amp;I$2&amp;I$1&amp;"P"&amp;$A34))/1000000),0),IF($A$2="GEX",IFERROR(IF($X$1="ABS",($A$4*$A$4*RTD("tos.rtd",,"OPEN_INT","."&amp;I$2&amp;I$1&amp;"C"&amp;$A34)*RTD("tos.rtd",,"GAMMA","."&amp;I$2&amp;I$1&amp;"C"&amp;$A34)+$A$4*$A$4*RTD("tos.rtd",,"OPEN_INT","."&amp;I$2&amp;I$1&amp;"P"&amp;$A34)*RTD("tos.rtd",,"GAMMA","."&amp;I$2&amp;I$1&amp;"P"&amp;$A34))/1000000,($A$4*$A$4*RTD("tos.rtd",,"OPEN_INT","."&amp;I$2&amp;I$1&amp;"C"&amp;$A34)*RTD("tos.rtd",,"GAMMA","."&amp;I$2&amp;I$1&amp;"C"&amp;$A34)-$A$4*$A$4*RTD("tos.rtd",,"OPEN_INT","."&amp;I$2&amp;I$1&amp;"P"&amp;$A34)*RTD("tos.rtd",,"GAMMA","."&amp;I$2&amp;I$1&amp;"P"&amp;$A34))/1000000),0),IF($A$2="SKEW",IFERROR(VALUE(IF(RTD("tos.rtd",,"IMPL_VOL","."&amp;I$2&amp;I$1&amp;"P"&amp;$A34)="N/A",0,RTD("tos.rtd",,"IMPL_VOL","."&amp;I$2&amp;I$1&amp;"P"&amp;$A34))),0)-IFERROR(VALUE(IF(RTD("tos.rtd",,"IMPL_VOL","."&amp;I$2&amp;I$1&amp;"C"&amp;$A34)="N/A",0,RTD("tos.rtd",,"IMPL_VOL","."&amp;I$2&amp;I$1&amp;"C"&amp;$A34))),0),IF($A$2="MAXPAIN",IF($A$4&gt;$A34,($A$4-$A34)*IF(RTD("tos.rtd",,"OPEN_INT","."&amp;I$2&amp;I$1&amp;"C"&amp;$A34)="N/A",0,RTD("tos.rtd",,"OPEN_INT","."&amp;I$2&amp;I$1&amp;"C"&amp;$A34)),0)+IF($A$4&lt;$A34,($A$5-$A$4)*IF(RTD("tos.rtd",,"OPEN_INT","."&amp;I$2&amp;I$1&amp;"P"&amp;$A34)="N/A",0,RTD("tos.rtd",,"OPEN_INT","."&amp;I$2&amp;I$1&amp;"P"&amp;$A34)),0),IF($X$1="ABS",IF(RTD("tos.rtd",,$A$2,"."&amp;I$2&amp;I$1&amp;"C"&amp;$A34)="N/A",0,RTD("tos.rtd",,$A$2,"."&amp;I$2&amp;I$1&amp;"C"&amp;$A34))+IF(RTD("tos.rtd",,$A$2,"."&amp;I$2&amp;I$1&amp;"P"&amp;$A34)="N/A",0,RTD("tos.rtd",,$A$2,"."&amp;I$2&amp;I$1&amp;"P"&amp;$A34)),IF(RTD("tos.rtd",,$A$2,"."&amp;I$2&amp;I$1&amp;"C"&amp;$A34)="N/A",0,RTD("tos.rtd",,$A$2,"."&amp;I$2&amp;I$1&amp;"C"&amp;$A34))-IF(RTD("tos.rtd",,$A$2,"."&amp;I$2&amp;I$1&amp;"P"&amp;$A34)="N/A",0,RTD("tos.rtd",,$A$2,"."&amp;I$2&amp;I$1&amp;"P"&amp;$A34))))))))))</f>
        <v>330</v>
      </c>
      <c r="J34" s="12">
        <f ca="1">IF($A$2="PREMIUM_OI",IFERROR(IF($X$1="ABS",(100*RTD("tos.rtd",,"OPEN_INT","."&amp;J$2&amp;J$1&amp;"C"&amp;$A34)*RTD("tos.rtd",,"LAST","."&amp;J$2&amp;J$1&amp;"C"&amp;$A34)+100*RTD("tos.rtd",,"OPEN_INT","."&amp;J$2&amp;J$1&amp;"P"&amp;$A34)*RTD("tos.rtd",,"LAST","."&amp;J$2&amp;J$1&amp;"P"&amp;$A34))/1000000,(100*RTD("tos.rtd",,"OPEN_INT","."&amp;J$2&amp;J$1&amp;"C"&amp;$A34)*RTD("tos.rtd",,"LAST","."&amp;J$2&amp;J$1&amp;"C"&amp;$A34)-100*RTD("tos.rtd",,"OPEN_INT","."&amp;J$2&amp;J$1&amp;"P"&amp;$A34)*RTD("tos.rtd",,"LAST","."&amp;J$2&amp;J$1&amp;"P"&amp;$A34))/1000000),0),IF($A$2="PREMIUM",IFERROR(IF($X$1="ABS",(100*RTD("tos.rtd",,"VOLUME","."&amp;J$2&amp;J$1&amp;"C"&amp;$A34)*RTD("tos.rtd",,"LAST","."&amp;J$2&amp;J$1&amp;"C"&amp;$A34)+100*RTD("tos.rtd",,"VOLUME","."&amp;J$2&amp;J$1&amp;"P"&amp;$A34)*RTD("tos.rtd",,"LAST","."&amp;J$2&amp;J$1&amp;"P"&amp;$A34))/1000000,(100*RTD("tos.rtd",,"VOLUME","."&amp;J$2&amp;J$1&amp;"C"&amp;$A34)*RTD("tos.rtd",,"LAST","."&amp;J$2&amp;J$1&amp;"C"&amp;$A34)-100*RTD("tos.rtd",,"VOLUME","."&amp;J$2&amp;J$1&amp;"P"&amp;$A34)*RTD("tos.rtd",,"LAST","."&amp;J$2&amp;J$1&amp;"P"&amp;$A34))/1000000),0),IF($A$2="DEX",IFERROR(IF($X$1="ABS",(100*RTD("tos.rtd",,"OPEN_INT","."&amp;J$2&amp;J$1&amp;"C"&amp;$A34)*RTD("tos.rtd",,"DELTA","."&amp;J$2&amp;J$1&amp;"C"&amp;$A34)+100*RTD("tos.rtd",,"OPEN_INT","."&amp;J$2&amp;J$1&amp;"P"&amp;$A34)*RTD("tos.rtd",,"DELTA","."&amp;J$2&amp;J$1&amp;"P"&amp;$A34))/1000,(100*RTD("tos.rtd",,"OPEN_INT","."&amp;J$2&amp;J$1&amp;"C"&amp;$A34)*RTD("tos.rtd",,"DELTA","."&amp;J$2&amp;J$1&amp;"C"&amp;$A34)-100*RTD("tos.rtd",,"OPEN_INT","."&amp;J$2&amp;J$1&amp;"P"&amp;$A34)*RTD("tos.rtd",,"DELTA","."&amp;J$2&amp;J$1&amp;"P"&amp;$A34))/1000),0),IF($A$2="VEX",IFERROR(IF($X$1="ABS",($A$4*$A$4*RTD("tos.rtd",,"VOLUME","."&amp;J$2&amp;J$1&amp;"C"&amp;$A34)*RTD("tos.rtd",,"GAMMA","."&amp;J$2&amp;J$1&amp;"C"&amp;$A34)+$A$4*$A$4*RTD("tos.rtd",,"VOLUME","."&amp;J$2&amp;J$1&amp;"P"&amp;$A34)*RTD("tos.rtd",,"GAMMA","."&amp;J$2&amp;J$1&amp;"P"&amp;$A34))/1000000,($A$4*$A$4*RTD("tos.rtd",,"VOLUME","."&amp;J$2&amp;J$1&amp;"C"&amp;$A34)*RTD("tos.rtd",,"GAMMA","."&amp;J$2&amp;J$1&amp;"C"&amp;$A34)-$A$4*$A$4*RTD("tos.rtd",,"VOLUME","."&amp;J$2&amp;J$1&amp;"P"&amp;$A34)*RTD("tos.rtd",,"GAMMA","."&amp;J$2&amp;J$1&amp;"P"&amp;$A34))/1000000),0),IF($A$2="GEX",IFERROR(IF($X$1="ABS",($A$4*$A$4*RTD("tos.rtd",,"OPEN_INT","."&amp;J$2&amp;J$1&amp;"C"&amp;$A34)*RTD("tos.rtd",,"GAMMA","."&amp;J$2&amp;J$1&amp;"C"&amp;$A34)+$A$4*$A$4*RTD("tos.rtd",,"OPEN_INT","."&amp;J$2&amp;J$1&amp;"P"&amp;$A34)*RTD("tos.rtd",,"GAMMA","."&amp;J$2&amp;J$1&amp;"P"&amp;$A34))/1000000,($A$4*$A$4*RTD("tos.rtd",,"OPEN_INT","."&amp;J$2&amp;J$1&amp;"C"&amp;$A34)*RTD("tos.rtd",,"GAMMA","."&amp;J$2&amp;J$1&amp;"C"&amp;$A34)-$A$4*$A$4*RTD("tos.rtd",,"OPEN_INT","."&amp;J$2&amp;J$1&amp;"P"&amp;$A34)*RTD("tos.rtd",,"GAMMA","."&amp;J$2&amp;J$1&amp;"P"&amp;$A34))/1000000),0),IF($A$2="SKEW",IFERROR(VALUE(IF(RTD("tos.rtd",,"IMPL_VOL","."&amp;J$2&amp;J$1&amp;"P"&amp;$A34)="N/A",0,RTD("tos.rtd",,"IMPL_VOL","."&amp;J$2&amp;J$1&amp;"P"&amp;$A34))),0)-IFERROR(VALUE(IF(RTD("tos.rtd",,"IMPL_VOL","."&amp;J$2&amp;J$1&amp;"C"&amp;$A34)="N/A",0,RTD("tos.rtd",,"IMPL_VOL","."&amp;J$2&amp;J$1&amp;"C"&amp;$A34))),0),IF($A$2="MAXPAIN",IF($A$4&gt;$A34,($A$4-$A34)*IF(RTD("tos.rtd",,"OPEN_INT","."&amp;J$2&amp;J$1&amp;"C"&amp;$A34)="N/A",0,RTD("tos.rtd",,"OPEN_INT","."&amp;J$2&amp;J$1&amp;"C"&amp;$A34)),0)+IF($A$4&lt;$A34,($A$5-$A$4)*IF(RTD("tos.rtd",,"OPEN_INT","."&amp;J$2&amp;J$1&amp;"P"&amp;$A34)="N/A",0,RTD("tos.rtd",,"OPEN_INT","."&amp;J$2&amp;J$1&amp;"P"&amp;$A34)),0),IF($X$1="ABS",IF(RTD("tos.rtd",,$A$2,"."&amp;J$2&amp;J$1&amp;"C"&amp;$A34)="N/A",0,RTD("tos.rtd",,$A$2,"."&amp;J$2&amp;J$1&amp;"C"&amp;$A34))+IF(RTD("tos.rtd",,$A$2,"."&amp;J$2&amp;J$1&amp;"P"&amp;$A34)="N/A",0,RTD("tos.rtd",,$A$2,"."&amp;J$2&amp;J$1&amp;"P"&amp;$A34)),IF(RTD("tos.rtd",,$A$2,"."&amp;J$2&amp;J$1&amp;"C"&amp;$A34)="N/A",0,RTD("tos.rtd",,$A$2,"."&amp;J$2&amp;J$1&amp;"C"&amp;$A34))-IF(RTD("tos.rtd",,$A$2,"."&amp;J$2&amp;J$1&amp;"P"&amp;$A34)="N/A",0,RTD("tos.rtd",,$A$2,"."&amp;J$2&amp;J$1&amp;"P"&amp;$A34))))))))))</f>
        <v>0</v>
      </c>
      <c r="K34" s="12">
        <f ca="1">IF($A$2="PREMIUM_OI",IFERROR(IF($X$1="ABS",(100*RTD("tos.rtd",,"OPEN_INT","."&amp;K$2&amp;K$1&amp;"C"&amp;$A34)*RTD("tos.rtd",,"LAST","."&amp;K$2&amp;K$1&amp;"C"&amp;$A34)+100*RTD("tos.rtd",,"OPEN_INT","."&amp;K$2&amp;K$1&amp;"P"&amp;$A34)*RTD("tos.rtd",,"LAST","."&amp;K$2&amp;K$1&amp;"P"&amp;$A34))/1000000,(100*RTD("tos.rtd",,"OPEN_INT","."&amp;K$2&amp;K$1&amp;"C"&amp;$A34)*RTD("tos.rtd",,"LAST","."&amp;K$2&amp;K$1&amp;"C"&amp;$A34)-100*RTD("tos.rtd",,"OPEN_INT","."&amp;K$2&amp;K$1&amp;"P"&amp;$A34)*RTD("tos.rtd",,"LAST","."&amp;K$2&amp;K$1&amp;"P"&amp;$A34))/1000000),0),IF($A$2="PREMIUM",IFERROR(IF($X$1="ABS",(100*RTD("tos.rtd",,"VOLUME","."&amp;K$2&amp;K$1&amp;"C"&amp;$A34)*RTD("tos.rtd",,"LAST","."&amp;K$2&amp;K$1&amp;"C"&amp;$A34)+100*RTD("tos.rtd",,"VOLUME","."&amp;K$2&amp;K$1&amp;"P"&amp;$A34)*RTD("tos.rtd",,"LAST","."&amp;K$2&amp;K$1&amp;"P"&amp;$A34))/1000000,(100*RTD("tos.rtd",,"VOLUME","."&amp;K$2&amp;K$1&amp;"C"&amp;$A34)*RTD("tos.rtd",,"LAST","."&amp;K$2&amp;K$1&amp;"C"&amp;$A34)-100*RTD("tos.rtd",,"VOLUME","."&amp;K$2&amp;K$1&amp;"P"&amp;$A34)*RTD("tos.rtd",,"LAST","."&amp;K$2&amp;K$1&amp;"P"&amp;$A34))/1000000),0),IF($A$2="DEX",IFERROR(IF($X$1="ABS",(100*RTD("tos.rtd",,"OPEN_INT","."&amp;K$2&amp;K$1&amp;"C"&amp;$A34)*RTD("tos.rtd",,"DELTA","."&amp;K$2&amp;K$1&amp;"C"&amp;$A34)+100*RTD("tos.rtd",,"OPEN_INT","."&amp;K$2&amp;K$1&amp;"P"&amp;$A34)*RTD("tos.rtd",,"DELTA","."&amp;K$2&amp;K$1&amp;"P"&amp;$A34))/1000,(100*RTD("tos.rtd",,"OPEN_INT","."&amp;K$2&amp;K$1&amp;"C"&amp;$A34)*RTD("tos.rtd",,"DELTA","."&amp;K$2&amp;K$1&amp;"C"&amp;$A34)-100*RTD("tos.rtd",,"OPEN_INT","."&amp;K$2&amp;K$1&amp;"P"&amp;$A34)*RTD("tos.rtd",,"DELTA","."&amp;K$2&amp;K$1&amp;"P"&amp;$A34))/1000),0),IF($A$2="VEX",IFERROR(IF($X$1="ABS",($A$4*$A$4*RTD("tos.rtd",,"VOLUME","."&amp;K$2&amp;K$1&amp;"C"&amp;$A34)*RTD("tos.rtd",,"GAMMA","."&amp;K$2&amp;K$1&amp;"C"&amp;$A34)+$A$4*$A$4*RTD("tos.rtd",,"VOLUME","."&amp;K$2&amp;K$1&amp;"P"&amp;$A34)*RTD("tos.rtd",,"GAMMA","."&amp;K$2&amp;K$1&amp;"P"&amp;$A34))/1000000,($A$4*$A$4*RTD("tos.rtd",,"VOLUME","."&amp;K$2&amp;K$1&amp;"C"&amp;$A34)*RTD("tos.rtd",,"GAMMA","."&amp;K$2&amp;K$1&amp;"C"&amp;$A34)-$A$4*$A$4*RTD("tos.rtd",,"VOLUME","."&amp;K$2&amp;K$1&amp;"P"&amp;$A34)*RTD("tos.rtd",,"GAMMA","."&amp;K$2&amp;K$1&amp;"P"&amp;$A34))/1000000),0),IF($A$2="GEX",IFERROR(IF($X$1="ABS",($A$4*$A$4*RTD("tos.rtd",,"OPEN_INT","."&amp;K$2&amp;K$1&amp;"C"&amp;$A34)*RTD("tos.rtd",,"GAMMA","."&amp;K$2&amp;K$1&amp;"C"&amp;$A34)+$A$4*$A$4*RTD("tos.rtd",,"OPEN_INT","."&amp;K$2&amp;K$1&amp;"P"&amp;$A34)*RTD("tos.rtd",,"GAMMA","."&amp;K$2&amp;K$1&amp;"P"&amp;$A34))/1000000,($A$4*$A$4*RTD("tos.rtd",,"OPEN_INT","."&amp;K$2&amp;K$1&amp;"C"&amp;$A34)*RTD("tos.rtd",,"GAMMA","."&amp;K$2&amp;K$1&amp;"C"&amp;$A34)-$A$4*$A$4*RTD("tos.rtd",,"OPEN_INT","."&amp;K$2&amp;K$1&amp;"P"&amp;$A34)*RTD("tos.rtd",,"GAMMA","."&amp;K$2&amp;K$1&amp;"P"&amp;$A34))/1000000),0),IF($A$2="SKEW",IFERROR(VALUE(IF(RTD("tos.rtd",,"IMPL_VOL","."&amp;K$2&amp;K$1&amp;"P"&amp;$A34)="N/A",0,RTD("tos.rtd",,"IMPL_VOL","."&amp;K$2&amp;K$1&amp;"P"&amp;$A34))),0)-IFERROR(VALUE(IF(RTD("tos.rtd",,"IMPL_VOL","."&amp;K$2&amp;K$1&amp;"C"&amp;$A34)="N/A",0,RTD("tos.rtd",,"IMPL_VOL","."&amp;K$2&amp;K$1&amp;"C"&amp;$A34))),0),IF($A$2="MAXPAIN",IF($A$4&gt;$A34,($A$4-$A34)*IF(RTD("tos.rtd",,"OPEN_INT","."&amp;K$2&amp;K$1&amp;"C"&amp;$A34)="N/A",0,RTD("tos.rtd",,"OPEN_INT","."&amp;K$2&amp;K$1&amp;"C"&amp;$A34)),0)+IF($A$4&lt;$A34,($A$5-$A$4)*IF(RTD("tos.rtd",,"OPEN_INT","."&amp;K$2&amp;K$1&amp;"P"&amp;$A34)="N/A",0,RTD("tos.rtd",,"OPEN_INT","."&amp;K$2&amp;K$1&amp;"P"&amp;$A34)),0),IF($X$1="ABS",IF(RTD("tos.rtd",,$A$2,"."&amp;K$2&amp;K$1&amp;"C"&amp;$A34)="N/A",0,RTD("tos.rtd",,$A$2,"."&amp;K$2&amp;K$1&amp;"C"&amp;$A34))+IF(RTD("tos.rtd",,$A$2,"."&amp;K$2&amp;K$1&amp;"P"&amp;$A34)="N/A",0,RTD("tos.rtd",,$A$2,"."&amp;K$2&amp;K$1&amp;"P"&amp;$A34)),IF(RTD("tos.rtd",,$A$2,"."&amp;K$2&amp;K$1&amp;"C"&amp;$A34)="N/A",0,RTD("tos.rtd",,$A$2,"."&amp;K$2&amp;K$1&amp;"C"&amp;$A34))-IF(RTD("tos.rtd",,$A$2,"."&amp;K$2&amp;K$1&amp;"P"&amp;$A34)="N/A",0,RTD("tos.rtd",,$A$2,"."&amp;K$2&amp;K$1&amp;"P"&amp;$A34))))))))))</f>
        <v>0</v>
      </c>
      <c r="L34" s="54">
        <f ca="1">IF($A$2="PREMIUM_OI",IFERROR(IF($X$1="ABS",(100*RTD("tos.rtd",,"OPEN_INT","."&amp;L$2&amp;L$1&amp;"C"&amp;$A34)*RTD("tos.rtd",,"LAST","."&amp;L$2&amp;L$1&amp;"C"&amp;$A34)+100*RTD("tos.rtd",,"OPEN_INT","."&amp;L$2&amp;L$1&amp;"P"&amp;$A34)*RTD("tos.rtd",,"LAST","."&amp;L$2&amp;L$1&amp;"P"&amp;$A34))/1000000,(100*RTD("tos.rtd",,"OPEN_INT","."&amp;L$2&amp;L$1&amp;"C"&amp;$A34)*RTD("tos.rtd",,"LAST","."&amp;L$2&amp;L$1&amp;"C"&amp;$A34)-100*RTD("tos.rtd",,"OPEN_INT","."&amp;L$2&amp;L$1&amp;"P"&amp;$A34)*RTD("tos.rtd",,"LAST","."&amp;L$2&amp;L$1&amp;"P"&amp;$A34))/1000000),0),IF($A$2="PREMIUM",IFERROR(IF($X$1="ABS",(100*RTD("tos.rtd",,"VOLUME","."&amp;L$2&amp;L$1&amp;"C"&amp;$A34)*RTD("tos.rtd",,"LAST","."&amp;L$2&amp;L$1&amp;"C"&amp;$A34)+100*RTD("tos.rtd",,"VOLUME","."&amp;L$2&amp;L$1&amp;"P"&amp;$A34)*RTD("tos.rtd",,"LAST","."&amp;L$2&amp;L$1&amp;"P"&amp;$A34))/1000000,(100*RTD("tos.rtd",,"VOLUME","."&amp;L$2&amp;L$1&amp;"C"&amp;$A34)*RTD("tos.rtd",,"LAST","."&amp;L$2&amp;L$1&amp;"C"&amp;$A34)-100*RTD("tos.rtd",,"VOLUME","."&amp;L$2&amp;L$1&amp;"P"&amp;$A34)*RTD("tos.rtd",,"LAST","."&amp;L$2&amp;L$1&amp;"P"&amp;$A34))/1000000),0),IF($A$2="DEX",IFERROR(IF($X$1="ABS",(100*RTD("tos.rtd",,"OPEN_INT","."&amp;L$2&amp;L$1&amp;"C"&amp;$A34)*RTD("tos.rtd",,"DELTA","."&amp;L$2&amp;L$1&amp;"C"&amp;$A34)+100*RTD("tos.rtd",,"OPEN_INT","."&amp;L$2&amp;L$1&amp;"P"&amp;$A34)*RTD("tos.rtd",,"DELTA","."&amp;L$2&amp;L$1&amp;"P"&amp;$A34))/1000,(100*RTD("tos.rtd",,"OPEN_INT","."&amp;L$2&amp;L$1&amp;"C"&amp;$A34)*RTD("tos.rtd",,"DELTA","."&amp;L$2&amp;L$1&amp;"C"&amp;$A34)-100*RTD("tos.rtd",,"OPEN_INT","."&amp;L$2&amp;L$1&amp;"P"&amp;$A34)*RTD("tos.rtd",,"DELTA","."&amp;L$2&amp;L$1&amp;"P"&amp;$A34))/1000),0),IF($A$2="VEX",IFERROR(IF($X$1="ABS",($A$4*$A$4*RTD("tos.rtd",,"VOLUME","."&amp;L$2&amp;L$1&amp;"C"&amp;$A34)*RTD("tos.rtd",,"GAMMA","."&amp;L$2&amp;L$1&amp;"C"&amp;$A34)+$A$4*$A$4*RTD("tos.rtd",,"VOLUME","."&amp;L$2&amp;L$1&amp;"P"&amp;$A34)*RTD("tos.rtd",,"GAMMA","."&amp;L$2&amp;L$1&amp;"P"&amp;$A34))/1000000,($A$4*$A$4*RTD("tos.rtd",,"VOLUME","."&amp;L$2&amp;L$1&amp;"C"&amp;$A34)*RTD("tos.rtd",,"GAMMA","."&amp;L$2&amp;L$1&amp;"C"&amp;$A34)-$A$4*$A$4*RTD("tos.rtd",,"VOLUME","."&amp;L$2&amp;L$1&amp;"P"&amp;$A34)*RTD("tos.rtd",,"GAMMA","."&amp;L$2&amp;L$1&amp;"P"&amp;$A34))/1000000),0),IF($A$2="GEX",IFERROR(IF($X$1="ABS",($A$4*$A$4*RTD("tos.rtd",,"OPEN_INT","."&amp;L$2&amp;L$1&amp;"C"&amp;$A34)*RTD("tos.rtd",,"GAMMA","."&amp;L$2&amp;L$1&amp;"C"&amp;$A34)+$A$4*$A$4*RTD("tos.rtd",,"OPEN_INT","."&amp;L$2&amp;L$1&amp;"P"&amp;$A34)*RTD("tos.rtd",,"GAMMA","."&amp;L$2&amp;L$1&amp;"P"&amp;$A34))/1000000,($A$4*$A$4*RTD("tos.rtd",,"OPEN_INT","."&amp;L$2&amp;L$1&amp;"C"&amp;$A34)*RTD("tos.rtd",,"GAMMA","."&amp;L$2&amp;L$1&amp;"C"&amp;$A34)-$A$4*$A$4*RTD("tos.rtd",,"OPEN_INT","."&amp;L$2&amp;L$1&amp;"P"&amp;$A34)*RTD("tos.rtd",,"GAMMA","."&amp;L$2&amp;L$1&amp;"P"&amp;$A34))/1000000),0),IF($A$2="SKEW",IFERROR(VALUE(IF(RTD("tos.rtd",,"IMPL_VOL","."&amp;L$2&amp;L$1&amp;"P"&amp;$A34)="N/A",0,RTD("tos.rtd",,"IMPL_VOL","."&amp;L$2&amp;L$1&amp;"P"&amp;$A34))),0)-IFERROR(VALUE(IF(RTD("tos.rtd",,"IMPL_VOL","."&amp;L$2&amp;L$1&amp;"C"&amp;$A34)="N/A",0,RTD("tos.rtd",,"IMPL_VOL","."&amp;L$2&amp;L$1&amp;"C"&amp;$A34))),0),IF($A$2="MAXPAIN",IF($A$4&gt;$A34,($A$4-$A34)*IF(RTD("tos.rtd",,"OPEN_INT","."&amp;L$2&amp;L$1&amp;"C"&amp;$A34)="N/A",0,RTD("tos.rtd",,"OPEN_INT","."&amp;L$2&amp;L$1&amp;"C"&amp;$A34)),0)+IF($A$4&lt;$A34,($A$5-$A$4)*IF(RTD("tos.rtd",,"OPEN_INT","."&amp;L$2&amp;L$1&amp;"P"&amp;$A34)="N/A",0,RTD("tos.rtd",,"OPEN_INT","."&amp;L$2&amp;L$1&amp;"P"&amp;$A34)),0),IF($X$1="ABS",IF(RTD("tos.rtd",,$A$2,"."&amp;L$2&amp;L$1&amp;"C"&amp;$A34)="N/A",0,RTD("tos.rtd",,$A$2,"."&amp;L$2&amp;L$1&amp;"C"&amp;$A34))+IF(RTD("tos.rtd",,$A$2,"."&amp;L$2&amp;L$1&amp;"P"&amp;$A34)="N/A",0,RTD("tos.rtd",,$A$2,"."&amp;L$2&amp;L$1&amp;"P"&amp;$A34)),IF(RTD("tos.rtd",,$A$2,"."&amp;L$2&amp;L$1&amp;"C"&amp;$A34)="N/A",0,RTD("tos.rtd",,$A$2,"."&amp;L$2&amp;L$1&amp;"C"&amp;$A34))-IF(RTD("tos.rtd",,$A$2,"."&amp;L$2&amp;L$1&amp;"P"&amp;$A34)="N/A",0,RTD("tos.rtd",,$A$2,"."&amp;L$2&amp;L$1&amp;"P"&amp;$A34))))))))))</f>
        <v>21051</v>
      </c>
      <c r="M34" s="12">
        <f ca="1">IF($A$2="PREMIUM_OI",IFERROR(IF($X$1="ABS",(100*RTD("tos.rtd",,"OPEN_INT","."&amp;M$2&amp;M$1&amp;"C"&amp;$A34)*RTD("tos.rtd",,"LAST","."&amp;M$2&amp;M$1&amp;"C"&amp;$A34)+100*RTD("tos.rtd",,"OPEN_INT","."&amp;M$2&amp;M$1&amp;"P"&amp;$A34)*RTD("tos.rtd",,"LAST","."&amp;M$2&amp;M$1&amp;"P"&amp;$A34))/1000000,(100*RTD("tos.rtd",,"OPEN_INT","."&amp;M$2&amp;M$1&amp;"C"&amp;$A34)*RTD("tos.rtd",,"LAST","."&amp;M$2&amp;M$1&amp;"C"&amp;$A34)-100*RTD("tos.rtd",,"OPEN_INT","."&amp;M$2&amp;M$1&amp;"P"&amp;$A34)*RTD("tos.rtd",,"LAST","."&amp;M$2&amp;M$1&amp;"P"&amp;$A34))/1000000),0),IF($A$2="PREMIUM",IFERROR(IF($X$1="ABS",(100*RTD("tos.rtd",,"VOLUME","."&amp;M$2&amp;M$1&amp;"C"&amp;$A34)*RTD("tos.rtd",,"LAST","."&amp;M$2&amp;M$1&amp;"C"&amp;$A34)+100*RTD("tos.rtd",,"VOLUME","."&amp;M$2&amp;M$1&amp;"P"&amp;$A34)*RTD("tos.rtd",,"LAST","."&amp;M$2&amp;M$1&amp;"P"&amp;$A34))/1000000,(100*RTD("tos.rtd",,"VOLUME","."&amp;M$2&amp;M$1&amp;"C"&amp;$A34)*RTD("tos.rtd",,"LAST","."&amp;M$2&amp;M$1&amp;"C"&amp;$A34)-100*RTD("tos.rtd",,"VOLUME","."&amp;M$2&amp;M$1&amp;"P"&amp;$A34)*RTD("tos.rtd",,"LAST","."&amp;M$2&amp;M$1&amp;"P"&amp;$A34))/1000000),0),IF($A$2="DEX",IFERROR(IF($X$1="ABS",(100*RTD("tos.rtd",,"OPEN_INT","."&amp;M$2&amp;M$1&amp;"C"&amp;$A34)*RTD("tos.rtd",,"DELTA","."&amp;M$2&amp;M$1&amp;"C"&amp;$A34)+100*RTD("tos.rtd",,"OPEN_INT","."&amp;M$2&amp;M$1&amp;"P"&amp;$A34)*RTD("tos.rtd",,"DELTA","."&amp;M$2&amp;M$1&amp;"P"&amp;$A34))/1000,(100*RTD("tos.rtd",,"OPEN_INT","."&amp;M$2&amp;M$1&amp;"C"&amp;$A34)*RTD("tos.rtd",,"DELTA","."&amp;M$2&amp;M$1&amp;"C"&amp;$A34)-100*RTD("tos.rtd",,"OPEN_INT","."&amp;M$2&amp;M$1&amp;"P"&amp;$A34)*RTD("tos.rtd",,"DELTA","."&amp;M$2&amp;M$1&amp;"P"&amp;$A34))/1000),0),IF($A$2="VEX",IFERROR(IF($X$1="ABS",($A$4*$A$4*RTD("tos.rtd",,"VOLUME","."&amp;M$2&amp;M$1&amp;"C"&amp;$A34)*RTD("tos.rtd",,"GAMMA","."&amp;M$2&amp;M$1&amp;"C"&amp;$A34)+$A$4*$A$4*RTD("tos.rtd",,"VOLUME","."&amp;M$2&amp;M$1&amp;"P"&amp;$A34)*RTD("tos.rtd",,"GAMMA","."&amp;M$2&amp;M$1&amp;"P"&amp;$A34))/1000000,($A$4*$A$4*RTD("tos.rtd",,"VOLUME","."&amp;M$2&amp;M$1&amp;"C"&amp;$A34)*RTD("tos.rtd",,"GAMMA","."&amp;M$2&amp;M$1&amp;"C"&amp;$A34)-$A$4*$A$4*RTD("tos.rtd",,"VOLUME","."&amp;M$2&amp;M$1&amp;"P"&amp;$A34)*RTD("tos.rtd",,"GAMMA","."&amp;M$2&amp;M$1&amp;"P"&amp;$A34))/1000000),0),IF($A$2="GEX",IFERROR(IF($X$1="ABS",($A$4*$A$4*RTD("tos.rtd",,"OPEN_INT","."&amp;M$2&amp;M$1&amp;"C"&amp;$A34)*RTD("tos.rtd",,"GAMMA","."&amp;M$2&amp;M$1&amp;"C"&amp;$A34)+$A$4*$A$4*RTD("tos.rtd",,"OPEN_INT","."&amp;M$2&amp;M$1&amp;"P"&amp;$A34)*RTD("tos.rtd",,"GAMMA","."&amp;M$2&amp;M$1&amp;"P"&amp;$A34))/1000000,($A$4*$A$4*RTD("tos.rtd",,"OPEN_INT","."&amp;M$2&amp;M$1&amp;"C"&amp;$A34)*RTD("tos.rtd",,"GAMMA","."&amp;M$2&amp;M$1&amp;"C"&amp;$A34)-$A$4*$A$4*RTD("tos.rtd",,"OPEN_INT","."&amp;M$2&amp;M$1&amp;"P"&amp;$A34)*RTD("tos.rtd",,"GAMMA","."&amp;M$2&amp;M$1&amp;"P"&amp;$A34))/1000000),0),IF($A$2="SKEW",IFERROR(VALUE(IF(RTD("tos.rtd",,"IMPL_VOL","."&amp;M$2&amp;M$1&amp;"P"&amp;$A34)="N/A",0,RTD("tos.rtd",,"IMPL_VOL","."&amp;M$2&amp;M$1&amp;"P"&amp;$A34))),0)-IFERROR(VALUE(IF(RTD("tos.rtd",,"IMPL_VOL","."&amp;M$2&amp;M$1&amp;"C"&amp;$A34)="N/A",0,RTD("tos.rtd",,"IMPL_VOL","."&amp;M$2&amp;M$1&amp;"C"&amp;$A34))),0),IF($A$2="MAXPAIN",IF($A$4&gt;$A34,($A$4-$A34)*IF(RTD("tos.rtd",,"OPEN_INT","."&amp;M$2&amp;M$1&amp;"C"&amp;$A34)="N/A",0,RTD("tos.rtd",,"OPEN_INT","."&amp;M$2&amp;M$1&amp;"C"&amp;$A34)),0)+IF($A$4&lt;$A34,($A$5-$A$4)*IF(RTD("tos.rtd",,"OPEN_INT","."&amp;M$2&amp;M$1&amp;"P"&amp;$A34)="N/A",0,RTD("tos.rtd",,"OPEN_INT","."&amp;M$2&amp;M$1&amp;"P"&amp;$A34)),0),IF($X$1="ABS",IF(RTD("tos.rtd",,$A$2,"."&amp;M$2&amp;M$1&amp;"C"&amp;$A34)="N/A",0,RTD("tos.rtd",,$A$2,"."&amp;M$2&amp;M$1&amp;"C"&amp;$A34))+IF(RTD("tos.rtd",,$A$2,"."&amp;M$2&amp;M$1&amp;"P"&amp;$A34)="N/A",0,RTD("tos.rtd",,$A$2,"."&amp;M$2&amp;M$1&amp;"P"&amp;$A34)),IF(RTD("tos.rtd",,$A$2,"."&amp;M$2&amp;M$1&amp;"C"&amp;$A34)="N/A",0,RTD("tos.rtd",,$A$2,"."&amp;M$2&amp;M$1&amp;"C"&amp;$A34))-IF(RTD("tos.rtd",,$A$2,"."&amp;M$2&amp;M$1&amp;"P"&amp;$A34)="N/A",0,RTD("tos.rtd",,$A$2,"."&amp;M$2&amp;M$1&amp;"P"&amp;$A34))))))))))</f>
        <v>17719</v>
      </c>
      <c r="N34" s="12">
        <f ca="1">IF($A$2="PREMIUM_OI",IFERROR(IF($X$1="ABS",(100*RTD("tos.rtd",,"OPEN_INT","."&amp;N$2&amp;N$1&amp;"C"&amp;$A34)*RTD("tos.rtd",,"LAST","."&amp;N$2&amp;N$1&amp;"C"&amp;$A34)+100*RTD("tos.rtd",,"OPEN_INT","."&amp;N$2&amp;N$1&amp;"P"&amp;$A34)*RTD("tos.rtd",,"LAST","."&amp;N$2&amp;N$1&amp;"P"&amp;$A34))/1000000,(100*RTD("tos.rtd",,"OPEN_INT","."&amp;N$2&amp;N$1&amp;"C"&amp;$A34)*RTD("tos.rtd",,"LAST","."&amp;N$2&amp;N$1&amp;"C"&amp;$A34)-100*RTD("tos.rtd",,"OPEN_INT","."&amp;N$2&amp;N$1&amp;"P"&amp;$A34)*RTD("tos.rtd",,"LAST","."&amp;N$2&amp;N$1&amp;"P"&amp;$A34))/1000000),0),IF($A$2="PREMIUM",IFERROR(IF($X$1="ABS",(100*RTD("tos.rtd",,"VOLUME","."&amp;N$2&amp;N$1&amp;"C"&amp;$A34)*RTD("tos.rtd",,"LAST","."&amp;N$2&amp;N$1&amp;"C"&amp;$A34)+100*RTD("tos.rtd",,"VOLUME","."&amp;N$2&amp;N$1&amp;"P"&amp;$A34)*RTD("tos.rtd",,"LAST","."&amp;N$2&amp;N$1&amp;"P"&amp;$A34))/1000000,(100*RTD("tos.rtd",,"VOLUME","."&amp;N$2&amp;N$1&amp;"C"&amp;$A34)*RTD("tos.rtd",,"LAST","."&amp;N$2&amp;N$1&amp;"C"&amp;$A34)-100*RTD("tos.rtd",,"VOLUME","."&amp;N$2&amp;N$1&amp;"P"&amp;$A34)*RTD("tos.rtd",,"LAST","."&amp;N$2&amp;N$1&amp;"P"&amp;$A34))/1000000),0),IF($A$2="DEX",IFERROR(IF($X$1="ABS",(100*RTD("tos.rtd",,"OPEN_INT","."&amp;N$2&amp;N$1&amp;"C"&amp;$A34)*RTD("tos.rtd",,"DELTA","."&amp;N$2&amp;N$1&amp;"C"&amp;$A34)+100*RTD("tos.rtd",,"OPEN_INT","."&amp;N$2&amp;N$1&amp;"P"&amp;$A34)*RTD("tos.rtd",,"DELTA","."&amp;N$2&amp;N$1&amp;"P"&amp;$A34))/1000,(100*RTD("tos.rtd",,"OPEN_INT","."&amp;N$2&amp;N$1&amp;"C"&amp;$A34)*RTD("tos.rtd",,"DELTA","."&amp;N$2&amp;N$1&amp;"C"&amp;$A34)-100*RTD("tos.rtd",,"OPEN_INT","."&amp;N$2&amp;N$1&amp;"P"&amp;$A34)*RTD("tos.rtd",,"DELTA","."&amp;N$2&amp;N$1&amp;"P"&amp;$A34))/1000),0),IF($A$2="VEX",IFERROR(IF($X$1="ABS",($A$4*$A$4*RTD("tos.rtd",,"VOLUME","."&amp;N$2&amp;N$1&amp;"C"&amp;$A34)*RTD("tos.rtd",,"GAMMA","."&amp;N$2&amp;N$1&amp;"C"&amp;$A34)+$A$4*$A$4*RTD("tos.rtd",,"VOLUME","."&amp;N$2&amp;N$1&amp;"P"&amp;$A34)*RTD("tos.rtd",,"GAMMA","."&amp;N$2&amp;N$1&amp;"P"&amp;$A34))/1000000,($A$4*$A$4*RTD("tos.rtd",,"VOLUME","."&amp;N$2&amp;N$1&amp;"C"&amp;$A34)*RTD("tos.rtd",,"GAMMA","."&amp;N$2&amp;N$1&amp;"C"&amp;$A34)-$A$4*$A$4*RTD("tos.rtd",,"VOLUME","."&amp;N$2&amp;N$1&amp;"P"&amp;$A34)*RTD("tos.rtd",,"GAMMA","."&amp;N$2&amp;N$1&amp;"P"&amp;$A34))/1000000),0),IF($A$2="GEX",IFERROR(IF($X$1="ABS",($A$4*$A$4*RTD("tos.rtd",,"OPEN_INT","."&amp;N$2&amp;N$1&amp;"C"&amp;$A34)*RTD("tos.rtd",,"GAMMA","."&amp;N$2&amp;N$1&amp;"C"&amp;$A34)+$A$4*$A$4*RTD("tos.rtd",,"OPEN_INT","."&amp;N$2&amp;N$1&amp;"P"&amp;$A34)*RTD("tos.rtd",,"GAMMA","."&amp;N$2&amp;N$1&amp;"P"&amp;$A34))/1000000,($A$4*$A$4*RTD("tos.rtd",,"OPEN_INT","."&amp;N$2&amp;N$1&amp;"C"&amp;$A34)*RTD("tos.rtd",,"GAMMA","."&amp;N$2&amp;N$1&amp;"C"&amp;$A34)-$A$4*$A$4*RTD("tos.rtd",,"OPEN_INT","."&amp;N$2&amp;N$1&amp;"P"&amp;$A34)*RTD("tos.rtd",,"GAMMA","."&amp;N$2&amp;N$1&amp;"P"&amp;$A34))/1000000),0),IF($A$2="SKEW",IFERROR(VALUE(IF(RTD("tos.rtd",,"IMPL_VOL","."&amp;N$2&amp;N$1&amp;"P"&amp;$A34)="N/A",0,RTD("tos.rtd",,"IMPL_VOL","."&amp;N$2&amp;N$1&amp;"P"&amp;$A34))),0)-IFERROR(VALUE(IF(RTD("tos.rtd",,"IMPL_VOL","."&amp;N$2&amp;N$1&amp;"C"&amp;$A34)="N/A",0,RTD("tos.rtd",,"IMPL_VOL","."&amp;N$2&amp;N$1&amp;"C"&amp;$A34))),0),IF($A$2="MAXPAIN",IF($A$4&gt;$A34,($A$4-$A34)*IF(RTD("tos.rtd",,"OPEN_INT","."&amp;N$2&amp;N$1&amp;"C"&amp;$A34)="N/A",0,RTD("tos.rtd",,"OPEN_INT","."&amp;N$2&amp;N$1&amp;"C"&amp;$A34)),0)+IF($A$4&lt;$A34,($A$5-$A$4)*IF(RTD("tos.rtd",,"OPEN_INT","."&amp;N$2&amp;N$1&amp;"P"&amp;$A34)="N/A",0,RTD("tos.rtd",,"OPEN_INT","."&amp;N$2&amp;N$1&amp;"P"&amp;$A34)),0),IF($X$1="ABS",IF(RTD("tos.rtd",,$A$2,"."&amp;N$2&amp;N$1&amp;"C"&amp;$A34)="N/A",0,RTD("tos.rtd",,$A$2,"."&amp;N$2&amp;N$1&amp;"C"&amp;$A34))+IF(RTD("tos.rtd",,$A$2,"."&amp;N$2&amp;N$1&amp;"P"&amp;$A34)="N/A",0,RTD("tos.rtd",,$A$2,"."&amp;N$2&amp;N$1&amp;"P"&amp;$A34)),IF(RTD("tos.rtd",,$A$2,"."&amp;N$2&amp;N$1&amp;"C"&amp;$A34)="N/A",0,RTD("tos.rtd",,$A$2,"."&amp;N$2&amp;N$1&amp;"C"&amp;$A34))-IF(RTD("tos.rtd",,$A$2,"."&amp;N$2&amp;N$1&amp;"P"&amp;$A34)="N/A",0,RTD("tos.rtd",,$A$2,"."&amp;N$2&amp;N$1&amp;"P"&amp;$A34))))))))))</f>
        <v>0</v>
      </c>
      <c r="O34" s="12">
        <f ca="1">IF($A$2="PREMIUM_OI",IFERROR(IF($X$1="ABS",(100*RTD("tos.rtd",,"OPEN_INT","."&amp;O$2&amp;O$1&amp;"C"&amp;$A34)*RTD("tos.rtd",,"LAST","."&amp;O$2&amp;O$1&amp;"C"&amp;$A34)+100*RTD("tos.rtd",,"OPEN_INT","."&amp;O$2&amp;O$1&amp;"P"&amp;$A34)*RTD("tos.rtd",,"LAST","."&amp;O$2&amp;O$1&amp;"P"&amp;$A34))/1000000,(100*RTD("tos.rtd",,"OPEN_INT","."&amp;O$2&amp;O$1&amp;"C"&amp;$A34)*RTD("tos.rtd",,"LAST","."&amp;O$2&amp;O$1&amp;"C"&amp;$A34)-100*RTD("tos.rtd",,"OPEN_INT","."&amp;O$2&amp;O$1&amp;"P"&amp;$A34)*RTD("tos.rtd",,"LAST","."&amp;O$2&amp;O$1&amp;"P"&amp;$A34))/1000000),0),IF($A$2="PREMIUM",IFERROR(IF($X$1="ABS",(100*RTD("tos.rtd",,"VOLUME","."&amp;O$2&amp;O$1&amp;"C"&amp;$A34)*RTD("tos.rtd",,"LAST","."&amp;O$2&amp;O$1&amp;"C"&amp;$A34)+100*RTD("tos.rtd",,"VOLUME","."&amp;O$2&amp;O$1&amp;"P"&amp;$A34)*RTD("tos.rtd",,"LAST","."&amp;O$2&amp;O$1&amp;"P"&amp;$A34))/1000000,(100*RTD("tos.rtd",,"VOLUME","."&amp;O$2&amp;O$1&amp;"C"&amp;$A34)*RTD("tos.rtd",,"LAST","."&amp;O$2&amp;O$1&amp;"C"&amp;$A34)-100*RTD("tos.rtd",,"VOLUME","."&amp;O$2&amp;O$1&amp;"P"&amp;$A34)*RTD("tos.rtd",,"LAST","."&amp;O$2&amp;O$1&amp;"P"&amp;$A34))/1000000),0),IF($A$2="DEX",IFERROR(IF($X$1="ABS",(100*RTD("tos.rtd",,"OPEN_INT","."&amp;O$2&amp;O$1&amp;"C"&amp;$A34)*RTD("tos.rtd",,"DELTA","."&amp;O$2&amp;O$1&amp;"C"&amp;$A34)+100*RTD("tos.rtd",,"OPEN_INT","."&amp;O$2&amp;O$1&amp;"P"&amp;$A34)*RTD("tos.rtd",,"DELTA","."&amp;O$2&amp;O$1&amp;"P"&amp;$A34))/1000,(100*RTD("tos.rtd",,"OPEN_INT","."&amp;O$2&amp;O$1&amp;"C"&amp;$A34)*RTD("tos.rtd",,"DELTA","."&amp;O$2&amp;O$1&amp;"C"&amp;$A34)-100*RTD("tos.rtd",,"OPEN_INT","."&amp;O$2&amp;O$1&amp;"P"&amp;$A34)*RTD("tos.rtd",,"DELTA","."&amp;O$2&amp;O$1&amp;"P"&amp;$A34))/1000),0),IF($A$2="VEX",IFERROR(IF($X$1="ABS",($A$4*$A$4*RTD("tos.rtd",,"VOLUME","."&amp;O$2&amp;O$1&amp;"C"&amp;$A34)*RTD("tos.rtd",,"GAMMA","."&amp;O$2&amp;O$1&amp;"C"&amp;$A34)+$A$4*$A$4*RTD("tos.rtd",,"VOLUME","."&amp;O$2&amp;O$1&amp;"P"&amp;$A34)*RTD("tos.rtd",,"GAMMA","."&amp;O$2&amp;O$1&amp;"P"&amp;$A34))/1000000,($A$4*$A$4*RTD("tos.rtd",,"VOLUME","."&amp;O$2&amp;O$1&amp;"C"&amp;$A34)*RTD("tos.rtd",,"GAMMA","."&amp;O$2&amp;O$1&amp;"C"&amp;$A34)-$A$4*$A$4*RTD("tos.rtd",,"VOLUME","."&amp;O$2&amp;O$1&amp;"P"&amp;$A34)*RTD("tos.rtd",,"GAMMA","."&amp;O$2&amp;O$1&amp;"P"&amp;$A34))/1000000),0),IF($A$2="GEX",IFERROR(IF($X$1="ABS",($A$4*$A$4*RTD("tos.rtd",,"OPEN_INT","."&amp;O$2&amp;O$1&amp;"C"&amp;$A34)*RTD("tos.rtd",,"GAMMA","."&amp;O$2&amp;O$1&amp;"C"&amp;$A34)+$A$4*$A$4*RTD("tos.rtd",,"OPEN_INT","."&amp;O$2&amp;O$1&amp;"P"&amp;$A34)*RTD("tos.rtd",,"GAMMA","."&amp;O$2&amp;O$1&amp;"P"&amp;$A34))/1000000,($A$4*$A$4*RTD("tos.rtd",,"OPEN_INT","."&amp;O$2&amp;O$1&amp;"C"&amp;$A34)*RTD("tos.rtd",,"GAMMA","."&amp;O$2&amp;O$1&amp;"C"&amp;$A34)-$A$4*$A$4*RTD("tos.rtd",,"OPEN_INT","."&amp;O$2&amp;O$1&amp;"P"&amp;$A34)*RTD("tos.rtd",,"GAMMA","."&amp;O$2&amp;O$1&amp;"P"&amp;$A34))/1000000),0),IF($A$2="SKEW",IFERROR(VALUE(IF(RTD("tos.rtd",,"IMPL_VOL","."&amp;O$2&amp;O$1&amp;"P"&amp;$A34)="N/A",0,RTD("tos.rtd",,"IMPL_VOL","."&amp;O$2&amp;O$1&amp;"P"&amp;$A34))),0)-IFERROR(VALUE(IF(RTD("tos.rtd",,"IMPL_VOL","."&amp;O$2&amp;O$1&amp;"C"&amp;$A34)="N/A",0,RTD("tos.rtd",,"IMPL_VOL","."&amp;O$2&amp;O$1&amp;"C"&amp;$A34))),0),IF($A$2="MAXPAIN",IF($A$4&gt;$A34,($A$4-$A34)*IF(RTD("tos.rtd",,"OPEN_INT","."&amp;O$2&amp;O$1&amp;"C"&amp;$A34)="N/A",0,RTD("tos.rtd",,"OPEN_INT","."&amp;O$2&amp;O$1&amp;"C"&amp;$A34)),0)+IF($A$4&lt;$A34,($A$5-$A$4)*IF(RTD("tos.rtd",,"OPEN_INT","."&amp;O$2&amp;O$1&amp;"P"&amp;$A34)="N/A",0,RTD("tos.rtd",,"OPEN_INT","."&amp;O$2&amp;O$1&amp;"P"&amp;$A34)),0),IF($X$1="ABS",IF(RTD("tos.rtd",,$A$2,"."&amp;O$2&amp;O$1&amp;"C"&amp;$A34)="N/A",0,RTD("tos.rtd",,$A$2,"."&amp;O$2&amp;O$1&amp;"C"&amp;$A34))+IF(RTD("tos.rtd",,$A$2,"."&amp;O$2&amp;O$1&amp;"P"&amp;$A34)="N/A",0,RTD("tos.rtd",,$A$2,"."&amp;O$2&amp;O$1&amp;"P"&amp;$A34)),IF(RTD("tos.rtd",,$A$2,"."&amp;O$2&amp;O$1&amp;"C"&amp;$A34)="N/A",0,RTD("tos.rtd",,$A$2,"."&amp;O$2&amp;O$1&amp;"C"&amp;$A34))-IF(RTD("tos.rtd",,$A$2,"."&amp;O$2&amp;O$1&amp;"P"&amp;$A34)="N/A",0,RTD("tos.rtd",,$A$2,"."&amp;O$2&amp;O$1&amp;"P"&amp;$A34))))))))))</f>
        <v>0</v>
      </c>
      <c r="P34" s="12">
        <f ca="1">IF($A$2="PREMIUM_OI",IFERROR(IF($X$1="ABS",(100*RTD("tos.rtd",,"OPEN_INT","."&amp;P$2&amp;P$1&amp;"C"&amp;$A34)*RTD("tos.rtd",,"LAST","."&amp;P$2&amp;P$1&amp;"C"&amp;$A34)+100*RTD("tos.rtd",,"OPEN_INT","."&amp;P$2&amp;P$1&amp;"P"&amp;$A34)*RTD("tos.rtd",,"LAST","."&amp;P$2&amp;P$1&amp;"P"&amp;$A34))/1000000,(100*RTD("tos.rtd",,"OPEN_INT","."&amp;P$2&amp;P$1&amp;"C"&amp;$A34)*RTD("tos.rtd",,"LAST","."&amp;P$2&amp;P$1&amp;"C"&amp;$A34)-100*RTD("tos.rtd",,"OPEN_INT","."&amp;P$2&amp;P$1&amp;"P"&amp;$A34)*RTD("tos.rtd",,"LAST","."&amp;P$2&amp;P$1&amp;"P"&amp;$A34))/1000000),0),IF($A$2="PREMIUM",IFERROR(IF($X$1="ABS",(100*RTD("tos.rtd",,"VOLUME","."&amp;P$2&amp;P$1&amp;"C"&amp;$A34)*RTD("tos.rtd",,"LAST","."&amp;P$2&amp;P$1&amp;"C"&amp;$A34)+100*RTD("tos.rtd",,"VOLUME","."&amp;P$2&amp;P$1&amp;"P"&amp;$A34)*RTD("tos.rtd",,"LAST","."&amp;P$2&amp;P$1&amp;"P"&amp;$A34))/1000000,(100*RTD("tos.rtd",,"VOLUME","."&amp;P$2&amp;P$1&amp;"C"&amp;$A34)*RTD("tos.rtd",,"LAST","."&amp;P$2&amp;P$1&amp;"C"&amp;$A34)-100*RTD("tos.rtd",,"VOLUME","."&amp;P$2&amp;P$1&amp;"P"&amp;$A34)*RTD("tos.rtd",,"LAST","."&amp;P$2&amp;P$1&amp;"P"&amp;$A34))/1000000),0),IF($A$2="DEX",IFERROR(IF($X$1="ABS",(100*RTD("tos.rtd",,"OPEN_INT","."&amp;P$2&amp;P$1&amp;"C"&amp;$A34)*RTD("tos.rtd",,"DELTA","."&amp;P$2&amp;P$1&amp;"C"&amp;$A34)+100*RTD("tos.rtd",,"OPEN_INT","."&amp;P$2&amp;P$1&amp;"P"&amp;$A34)*RTD("tos.rtd",,"DELTA","."&amp;P$2&amp;P$1&amp;"P"&amp;$A34))/1000,(100*RTD("tos.rtd",,"OPEN_INT","."&amp;P$2&amp;P$1&amp;"C"&amp;$A34)*RTD("tos.rtd",,"DELTA","."&amp;P$2&amp;P$1&amp;"C"&amp;$A34)-100*RTD("tos.rtd",,"OPEN_INT","."&amp;P$2&amp;P$1&amp;"P"&amp;$A34)*RTD("tos.rtd",,"DELTA","."&amp;P$2&amp;P$1&amp;"P"&amp;$A34))/1000),0),IF($A$2="VEX",IFERROR(IF($X$1="ABS",($A$4*$A$4*RTD("tos.rtd",,"VOLUME","."&amp;P$2&amp;P$1&amp;"C"&amp;$A34)*RTD("tos.rtd",,"GAMMA","."&amp;P$2&amp;P$1&amp;"C"&amp;$A34)+$A$4*$A$4*RTD("tos.rtd",,"VOLUME","."&amp;P$2&amp;P$1&amp;"P"&amp;$A34)*RTD("tos.rtd",,"GAMMA","."&amp;P$2&amp;P$1&amp;"P"&amp;$A34))/1000000,($A$4*$A$4*RTD("tos.rtd",,"VOLUME","."&amp;P$2&amp;P$1&amp;"C"&amp;$A34)*RTD("tos.rtd",,"GAMMA","."&amp;P$2&amp;P$1&amp;"C"&amp;$A34)-$A$4*$A$4*RTD("tos.rtd",,"VOLUME","."&amp;P$2&amp;P$1&amp;"P"&amp;$A34)*RTD("tos.rtd",,"GAMMA","."&amp;P$2&amp;P$1&amp;"P"&amp;$A34))/1000000),0),IF($A$2="GEX",IFERROR(IF($X$1="ABS",($A$4*$A$4*RTD("tos.rtd",,"OPEN_INT","."&amp;P$2&amp;P$1&amp;"C"&amp;$A34)*RTD("tos.rtd",,"GAMMA","."&amp;P$2&amp;P$1&amp;"C"&amp;$A34)+$A$4*$A$4*RTD("tos.rtd",,"OPEN_INT","."&amp;P$2&amp;P$1&amp;"P"&amp;$A34)*RTD("tos.rtd",,"GAMMA","."&amp;P$2&amp;P$1&amp;"P"&amp;$A34))/1000000,($A$4*$A$4*RTD("tos.rtd",,"OPEN_INT","."&amp;P$2&amp;P$1&amp;"C"&amp;$A34)*RTD("tos.rtd",,"GAMMA","."&amp;P$2&amp;P$1&amp;"C"&amp;$A34)-$A$4*$A$4*RTD("tos.rtd",,"OPEN_INT","."&amp;P$2&amp;P$1&amp;"P"&amp;$A34)*RTD("tos.rtd",,"GAMMA","."&amp;P$2&amp;P$1&amp;"P"&amp;$A34))/1000000),0),IF($A$2="SKEW",IFERROR(VALUE(IF(RTD("tos.rtd",,"IMPL_VOL","."&amp;P$2&amp;P$1&amp;"P"&amp;$A34)="N/A",0,RTD("tos.rtd",,"IMPL_VOL","."&amp;P$2&amp;P$1&amp;"P"&amp;$A34))),0)-IFERROR(VALUE(IF(RTD("tos.rtd",,"IMPL_VOL","."&amp;P$2&amp;P$1&amp;"C"&amp;$A34)="N/A",0,RTD("tos.rtd",,"IMPL_VOL","."&amp;P$2&amp;P$1&amp;"C"&amp;$A34))),0),IF($A$2="MAXPAIN",IF($A$4&gt;$A34,($A$4-$A34)*IF(RTD("tos.rtd",,"OPEN_INT","."&amp;P$2&amp;P$1&amp;"C"&amp;$A34)="N/A",0,RTD("tos.rtd",,"OPEN_INT","."&amp;P$2&amp;P$1&amp;"C"&amp;$A34)),0)+IF($A$4&lt;$A34,($A$5-$A$4)*IF(RTD("tos.rtd",,"OPEN_INT","."&amp;P$2&amp;P$1&amp;"P"&amp;$A34)="N/A",0,RTD("tos.rtd",,"OPEN_INT","."&amp;P$2&amp;P$1&amp;"P"&amp;$A34)),0),IF($X$1="ABS",IF(RTD("tos.rtd",,$A$2,"."&amp;P$2&amp;P$1&amp;"C"&amp;$A34)="N/A",0,RTD("tos.rtd",,$A$2,"."&amp;P$2&amp;P$1&amp;"C"&amp;$A34))+IF(RTD("tos.rtd",,$A$2,"."&amp;P$2&amp;P$1&amp;"P"&amp;$A34)="N/A",0,RTD("tos.rtd",,$A$2,"."&amp;P$2&amp;P$1&amp;"P"&amp;$A34)),IF(RTD("tos.rtd",,$A$2,"."&amp;P$2&amp;P$1&amp;"C"&amp;$A34)="N/A",0,RTD("tos.rtd",,$A$2,"."&amp;P$2&amp;P$1&amp;"C"&amp;$A34))-IF(RTD("tos.rtd",,$A$2,"."&amp;P$2&amp;P$1&amp;"P"&amp;$A34)="N/A",0,RTD("tos.rtd",,$A$2,"."&amp;P$2&amp;P$1&amp;"P"&amp;$A34))))))))))</f>
        <v>1986</v>
      </c>
      <c r="Q34" s="12">
        <f ca="1">IF($A$2="PREMIUM_OI",IFERROR(IF($X$1="ABS",(100*RTD("tos.rtd",,"OPEN_INT","."&amp;Q$2&amp;Q$1&amp;"C"&amp;$A34)*RTD("tos.rtd",,"LAST","."&amp;Q$2&amp;Q$1&amp;"C"&amp;$A34)+100*RTD("tos.rtd",,"OPEN_INT","."&amp;Q$2&amp;Q$1&amp;"P"&amp;$A34)*RTD("tos.rtd",,"LAST","."&amp;Q$2&amp;Q$1&amp;"P"&amp;$A34))/1000000,(100*RTD("tos.rtd",,"OPEN_INT","."&amp;Q$2&amp;Q$1&amp;"C"&amp;$A34)*RTD("tos.rtd",,"LAST","."&amp;Q$2&amp;Q$1&amp;"C"&amp;$A34)-100*RTD("tos.rtd",,"OPEN_INT","."&amp;Q$2&amp;Q$1&amp;"P"&amp;$A34)*RTD("tos.rtd",,"LAST","."&amp;Q$2&amp;Q$1&amp;"P"&amp;$A34))/1000000),0),IF($A$2="PREMIUM",IFERROR(IF($X$1="ABS",(100*RTD("tos.rtd",,"VOLUME","."&amp;Q$2&amp;Q$1&amp;"C"&amp;$A34)*RTD("tos.rtd",,"LAST","."&amp;Q$2&amp;Q$1&amp;"C"&amp;$A34)+100*RTD("tos.rtd",,"VOLUME","."&amp;Q$2&amp;Q$1&amp;"P"&amp;$A34)*RTD("tos.rtd",,"LAST","."&amp;Q$2&amp;Q$1&amp;"P"&amp;$A34))/1000000,(100*RTD("tos.rtd",,"VOLUME","."&amp;Q$2&amp;Q$1&amp;"C"&amp;$A34)*RTD("tos.rtd",,"LAST","."&amp;Q$2&amp;Q$1&amp;"C"&amp;$A34)-100*RTD("tos.rtd",,"VOLUME","."&amp;Q$2&amp;Q$1&amp;"P"&amp;$A34)*RTD("tos.rtd",,"LAST","."&amp;Q$2&amp;Q$1&amp;"P"&amp;$A34))/1000000),0),IF($A$2="DEX",IFERROR(IF($X$1="ABS",(100*RTD("tos.rtd",,"OPEN_INT","."&amp;Q$2&amp;Q$1&amp;"C"&amp;$A34)*RTD("tos.rtd",,"DELTA","."&amp;Q$2&amp;Q$1&amp;"C"&amp;$A34)+100*RTD("tos.rtd",,"OPEN_INT","."&amp;Q$2&amp;Q$1&amp;"P"&amp;$A34)*RTD("tos.rtd",,"DELTA","."&amp;Q$2&amp;Q$1&amp;"P"&amp;$A34))/1000,(100*RTD("tos.rtd",,"OPEN_INT","."&amp;Q$2&amp;Q$1&amp;"C"&amp;$A34)*RTD("tos.rtd",,"DELTA","."&amp;Q$2&amp;Q$1&amp;"C"&amp;$A34)-100*RTD("tos.rtd",,"OPEN_INT","."&amp;Q$2&amp;Q$1&amp;"P"&amp;$A34)*RTD("tos.rtd",,"DELTA","."&amp;Q$2&amp;Q$1&amp;"P"&amp;$A34))/1000),0),IF($A$2="VEX",IFERROR(IF($X$1="ABS",($A$4*$A$4*RTD("tos.rtd",,"VOLUME","."&amp;Q$2&amp;Q$1&amp;"C"&amp;$A34)*RTD("tos.rtd",,"GAMMA","."&amp;Q$2&amp;Q$1&amp;"C"&amp;$A34)+$A$4*$A$4*RTD("tos.rtd",,"VOLUME","."&amp;Q$2&amp;Q$1&amp;"P"&amp;$A34)*RTD("tos.rtd",,"GAMMA","."&amp;Q$2&amp;Q$1&amp;"P"&amp;$A34))/1000000,($A$4*$A$4*RTD("tos.rtd",,"VOLUME","."&amp;Q$2&amp;Q$1&amp;"C"&amp;$A34)*RTD("tos.rtd",,"GAMMA","."&amp;Q$2&amp;Q$1&amp;"C"&amp;$A34)-$A$4*$A$4*RTD("tos.rtd",,"VOLUME","."&amp;Q$2&amp;Q$1&amp;"P"&amp;$A34)*RTD("tos.rtd",,"GAMMA","."&amp;Q$2&amp;Q$1&amp;"P"&amp;$A34))/1000000),0),IF($A$2="GEX",IFERROR(IF($X$1="ABS",($A$4*$A$4*RTD("tos.rtd",,"OPEN_INT","."&amp;Q$2&amp;Q$1&amp;"C"&amp;$A34)*RTD("tos.rtd",,"GAMMA","."&amp;Q$2&amp;Q$1&amp;"C"&amp;$A34)+$A$4*$A$4*RTD("tos.rtd",,"OPEN_INT","."&amp;Q$2&amp;Q$1&amp;"P"&amp;$A34)*RTD("tos.rtd",,"GAMMA","."&amp;Q$2&amp;Q$1&amp;"P"&amp;$A34))/1000000,($A$4*$A$4*RTD("tos.rtd",,"OPEN_INT","."&amp;Q$2&amp;Q$1&amp;"C"&amp;$A34)*RTD("tos.rtd",,"GAMMA","."&amp;Q$2&amp;Q$1&amp;"C"&amp;$A34)-$A$4*$A$4*RTD("tos.rtd",,"OPEN_INT","."&amp;Q$2&amp;Q$1&amp;"P"&amp;$A34)*RTD("tos.rtd",,"GAMMA","."&amp;Q$2&amp;Q$1&amp;"P"&amp;$A34))/1000000),0),IF($A$2="SKEW",IFERROR(VALUE(IF(RTD("tos.rtd",,"IMPL_VOL","."&amp;Q$2&amp;Q$1&amp;"P"&amp;$A34)="N/A",0,RTD("tos.rtd",,"IMPL_VOL","."&amp;Q$2&amp;Q$1&amp;"P"&amp;$A34))),0)-IFERROR(VALUE(IF(RTD("tos.rtd",,"IMPL_VOL","."&amp;Q$2&amp;Q$1&amp;"C"&amp;$A34)="N/A",0,RTD("tos.rtd",,"IMPL_VOL","."&amp;Q$2&amp;Q$1&amp;"C"&amp;$A34))),0),IF($A$2="MAXPAIN",IF($A$4&gt;$A34,($A$4-$A34)*IF(RTD("tos.rtd",,"OPEN_INT","."&amp;Q$2&amp;Q$1&amp;"C"&amp;$A34)="N/A",0,RTD("tos.rtd",,"OPEN_INT","."&amp;Q$2&amp;Q$1&amp;"C"&amp;$A34)),0)+IF($A$4&lt;$A34,($A$5-$A$4)*IF(RTD("tos.rtd",,"OPEN_INT","."&amp;Q$2&amp;Q$1&amp;"P"&amp;$A34)="N/A",0,RTD("tos.rtd",,"OPEN_INT","."&amp;Q$2&amp;Q$1&amp;"P"&amp;$A34)),0),IF($X$1="ABS",IF(RTD("tos.rtd",,$A$2,"."&amp;Q$2&amp;Q$1&amp;"C"&amp;$A34)="N/A",0,RTD("tos.rtd",,$A$2,"."&amp;Q$2&amp;Q$1&amp;"C"&amp;$A34))+IF(RTD("tos.rtd",,$A$2,"."&amp;Q$2&amp;Q$1&amp;"P"&amp;$A34)="N/A",0,RTD("tos.rtd",,$A$2,"."&amp;Q$2&amp;Q$1&amp;"P"&amp;$A34)),IF(RTD("tos.rtd",,$A$2,"."&amp;Q$2&amp;Q$1&amp;"C"&amp;$A34)="N/A",0,RTD("tos.rtd",,$A$2,"."&amp;Q$2&amp;Q$1&amp;"C"&amp;$A34))-IF(RTD("tos.rtd",,$A$2,"."&amp;Q$2&amp;Q$1&amp;"P"&amp;$A34)="N/A",0,RTD("tos.rtd",,$A$2,"."&amp;Q$2&amp;Q$1&amp;"P"&amp;$A34))))))))))</f>
        <v>0</v>
      </c>
      <c r="R34" s="12">
        <f ca="1">IF($A$2="PREMIUM_OI",IFERROR(IF($X$1="ABS",(100*RTD("tos.rtd",,"OPEN_INT","."&amp;R$2&amp;R$1&amp;"C"&amp;$A34)*RTD("tos.rtd",,"LAST","."&amp;R$2&amp;R$1&amp;"C"&amp;$A34)+100*RTD("tos.rtd",,"OPEN_INT","."&amp;R$2&amp;R$1&amp;"P"&amp;$A34)*RTD("tos.rtd",,"LAST","."&amp;R$2&amp;R$1&amp;"P"&amp;$A34))/1000000,(100*RTD("tos.rtd",,"OPEN_INT","."&amp;R$2&amp;R$1&amp;"C"&amp;$A34)*RTD("tos.rtd",,"LAST","."&amp;R$2&amp;R$1&amp;"C"&amp;$A34)-100*RTD("tos.rtd",,"OPEN_INT","."&amp;R$2&amp;R$1&amp;"P"&amp;$A34)*RTD("tos.rtd",,"LAST","."&amp;R$2&amp;R$1&amp;"P"&amp;$A34))/1000000),0),IF($A$2="PREMIUM",IFERROR(IF($X$1="ABS",(100*RTD("tos.rtd",,"VOLUME","."&amp;R$2&amp;R$1&amp;"C"&amp;$A34)*RTD("tos.rtd",,"LAST","."&amp;R$2&amp;R$1&amp;"C"&amp;$A34)+100*RTD("tos.rtd",,"VOLUME","."&amp;R$2&amp;R$1&amp;"P"&amp;$A34)*RTD("tos.rtd",,"LAST","."&amp;R$2&amp;R$1&amp;"P"&amp;$A34))/1000000,(100*RTD("tos.rtd",,"VOLUME","."&amp;R$2&amp;R$1&amp;"C"&amp;$A34)*RTD("tos.rtd",,"LAST","."&amp;R$2&amp;R$1&amp;"C"&amp;$A34)-100*RTD("tos.rtd",,"VOLUME","."&amp;R$2&amp;R$1&amp;"P"&amp;$A34)*RTD("tos.rtd",,"LAST","."&amp;R$2&amp;R$1&amp;"P"&amp;$A34))/1000000),0),IF($A$2="DEX",IFERROR(IF($X$1="ABS",(100*RTD("tos.rtd",,"OPEN_INT","."&amp;R$2&amp;R$1&amp;"C"&amp;$A34)*RTD("tos.rtd",,"DELTA","."&amp;R$2&amp;R$1&amp;"C"&amp;$A34)+100*RTD("tos.rtd",,"OPEN_INT","."&amp;R$2&amp;R$1&amp;"P"&amp;$A34)*RTD("tos.rtd",,"DELTA","."&amp;R$2&amp;R$1&amp;"P"&amp;$A34))/1000,(100*RTD("tos.rtd",,"OPEN_INT","."&amp;R$2&amp;R$1&amp;"C"&amp;$A34)*RTD("tos.rtd",,"DELTA","."&amp;R$2&amp;R$1&amp;"C"&amp;$A34)-100*RTD("tos.rtd",,"OPEN_INT","."&amp;R$2&amp;R$1&amp;"P"&amp;$A34)*RTD("tos.rtd",,"DELTA","."&amp;R$2&amp;R$1&amp;"P"&amp;$A34))/1000),0),IF($A$2="VEX",IFERROR(IF($X$1="ABS",($A$4*$A$4*RTD("tos.rtd",,"VOLUME","."&amp;R$2&amp;R$1&amp;"C"&amp;$A34)*RTD("tos.rtd",,"GAMMA","."&amp;R$2&amp;R$1&amp;"C"&amp;$A34)+$A$4*$A$4*RTD("tos.rtd",,"VOLUME","."&amp;R$2&amp;R$1&amp;"P"&amp;$A34)*RTD("tos.rtd",,"GAMMA","."&amp;R$2&amp;R$1&amp;"P"&amp;$A34))/1000000,($A$4*$A$4*RTD("tos.rtd",,"VOLUME","."&amp;R$2&amp;R$1&amp;"C"&amp;$A34)*RTD("tos.rtd",,"GAMMA","."&amp;R$2&amp;R$1&amp;"C"&amp;$A34)-$A$4*$A$4*RTD("tos.rtd",,"VOLUME","."&amp;R$2&amp;R$1&amp;"P"&amp;$A34)*RTD("tos.rtd",,"GAMMA","."&amp;R$2&amp;R$1&amp;"P"&amp;$A34))/1000000),0),IF($A$2="GEX",IFERROR(IF($X$1="ABS",($A$4*$A$4*RTD("tos.rtd",,"OPEN_INT","."&amp;R$2&amp;R$1&amp;"C"&amp;$A34)*RTD("tos.rtd",,"GAMMA","."&amp;R$2&amp;R$1&amp;"C"&amp;$A34)+$A$4*$A$4*RTD("tos.rtd",,"OPEN_INT","."&amp;R$2&amp;R$1&amp;"P"&amp;$A34)*RTD("tos.rtd",,"GAMMA","."&amp;R$2&amp;R$1&amp;"P"&amp;$A34))/1000000,($A$4*$A$4*RTD("tos.rtd",,"OPEN_INT","."&amp;R$2&amp;R$1&amp;"C"&amp;$A34)*RTD("tos.rtd",,"GAMMA","."&amp;R$2&amp;R$1&amp;"C"&amp;$A34)-$A$4*$A$4*RTD("tos.rtd",,"OPEN_INT","."&amp;R$2&amp;R$1&amp;"P"&amp;$A34)*RTD("tos.rtd",,"GAMMA","."&amp;R$2&amp;R$1&amp;"P"&amp;$A34))/1000000),0),IF($A$2="SKEW",IFERROR(VALUE(IF(RTD("tos.rtd",,"IMPL_VOL","."&amp;R$2&amp;R$1&amp;"P"&amp;$A34)="N/A",0,RTD("tos.rtd",,"IMPL_VOL","."&amp;R$2&amp;R$1&amp;"P"&amp;$A34))),0)-IFERROR(VALUE(IF(RTD("tos.rtd",,"IMPL_VOL","."&amp;R$2&amp;R$1&amp;"C"&amp;$A34)="N/A",0,RTD("tos.rtd",,"IMPL_VOL","."&amp;R$2&amp;R$1&amp;"C"&amp;$A34))),0),IF($A$2="MAXPAIN",IF($A$4&gt;$A34,($A$4-$A34)*IF(RTD("tos.rtd",,"OPEN_INT","."&amp;R$2&amp;R$1&amp;"C"&amp;$A34)="N/A",0,RTD("tos.rtd",,"OPEN_INT","."&amp;R$2&amp;R$1&amp;"C"&amp;$A34)),0)+IF($A$4&lt;$A34,($A$5-$A$4)*IF(RTD("tos.rtd",,"OPEN_INT","."&amp;R$2&amp;R$1&amp;"P"&amp;$A34)="N/A",0,RTD("tos.rtd",,"OPEN_INT","."&amp;R$2&amp;R$1&amp;"P"&amp;$A34)),0),IF($X$1="ABS",IF(RTD("tos.rtd",,$A$2,"."&amp;R$2&amp;R$1&amp;"C"&amp;$A34)="N/A",0,RTD("tos.rtd",,$A$2,"."&amp;R$2&amp;R$1&amp;"C"&amp;$A34))+IF(RTD("tos.rtd",,$A$2,"."&amp;R$2&amp;R$1&amp;"P"&amp;$A34)="N/A",0,RTD("tos.rtd",,$A$2,"."&amp;R$2&amp;R$1&amp;"P"&amp;$A34)),IF(RTD("tos.rtd",,$A$2,"."&amp;R$2&amp;R$1&amp;"C"&amp;$A34)="N/A",0,RTD("tos.rtd",,$A$2,"."&amp;R$2&amp;R$1&amp;"C"&amp;$A34))-IF(RTD("tos.rtd",,$A$2,"."&amp;R$2&amp;R$1&amp;"P"&amp;$A34)="N/A",0,RTD("tos.rtd",,$A$2,"."&amp;R$2&amp;R$1&amp;"P"&amp;$A34))))))))))</f>
        <v>0</v>
      </c>
      <c r="S34" s="12">
        <f ca="1">IF($A$2="PREMIUM_OI",IFERROR(IF($X$1="ABS",(100*RTD("tos.rtd",,"OPEN_INT","."&amp;S$2&amp;S$1&amp;"C"&amp;$A34)*RTD("tos.rtd",,"LAST","."&amp;S$2&amp;S$1&amp;"C"&amp;$A34)+100*RTD("tos.rtd",,"OPEN_INT","."&amp;S$2&amp;S$1&amp;"P"&amp;$A34)*RTD("tos.rtd",,"LAST","."&amp;S$2&amp;S$1&amp;"P"&amp;$A34))/1000000,(100*RTD("tos.rtd",,"OPEN_INT","."&amp;S$2&amp;S$1&amp;"C"&amp;$A34)*RTD("tos.rtd",,"LAST","."&amp;S$2&amp;S$1&amp;"C"&amp;$A34)-100*RTD("tos.rtd",,"OPEN_INT","."&amp;S$2&amp;S$1&amp;"P"&amp;$A34)*RTD("tos.rtd",,"LAST","."&amp;S$2&amp;S$1&amp;"P"&amp;$A34))/1000000),0),IF($A$2="PREMIUM",IFERROR(IF($X$1="ABS",(100*RTD("tos.rtd",,"VOLUME","."&amp;S$2&amp;S$1&amp;"C"&amp;$A34)*RTD("tos.rtd",,"LAST","."&amp;S$2&amp;S$1&amp;"C"&amp;$A34)+100*RTD("tos.rtd",,"VOLUME","."&amp;S$2&amp;S$1&amp;"P"&amp;$A34)*RTD("tos.rtd",,"LAST","."&amp;S$2&amp;S$1&amp;"P"&amp;$A34))/1000000,(100*RTD("tos.rtd",,"VOLUME","."&amp;S$2&amp;S$1&amp;"C"&amp;$A34)*RTD("tos.rtd",,"LAST","."&amp;S$2&amp;S$1&amp;"C"&amp;$A34)-100*RTD("tos.rtd",,"VOLUME","."&amp;S$2&amp;S$1&amp;"P"&amp;$A34)*RTD("tos.rtd",,"LAST","."&amp;S$2&amp;S$1&amp;"P"&amp;$A34))/1000000),0),IF($A$2="DEX",IFERROR(IF($X$1="ABS",(100*RTD("tos.rtd",,"OPEN_INT","."&amp;S$2&amp;S$1&amp;"C"&amp;$A34)*RTD("tos.rtd",,"DELTA","."&amp;S$2&amp;S$1&amp;"C"&amp;$A34)+100*RTD("tos.rtd",,"OPEN_INT","."&amp;S$2&amp;S$1&amp;"P"&amp;$A34)*RTD("tos.rtd",,"DELTA","."&amp;S$2&amp;S$1&amp;"P"&amp;$A34))/1000,(100*RTD("tos.rtd",,"OPEN_INT","."&amp;S$2&amp;S$1&amp;"C"&amp;$A34)*RTD("tos.rtd",,"DELTA","."&amp;S$2&amp;S$1&amp;"C"&amp;$A34)-100*RTD("tos.rtd",,"OPEN_INT","."&amp;S$2&amp;S$1&amp;"P"&amp;$A34)*RTD("tos.rtd",,"DELTA","."&amp;S$2&amp;S$1&amp;"P"&amp;$A34))/1000),0),IF($A$2="VEX",IFERROR(IF($X$1="ABS",($A$4*$A$4*RTD("tos.rtd",,"VOLUME","."&amp;S$2&amp;S$1&amp;"C"&amp;$A34)*RTD("tos.rtd",,"GAMMA","."&amp;S$2&amp;S$1&amp;"C"&amp;$A34)+$A$4*$A$4*RTD("tos.rtd",,"VOLUME","."&amp;S$2&amp;S$1&amp;"P"&amp;$A34)*RTD("tos.rtd",,"GAMMA","."&amp;S$2&amp;S$1&amp;"P"&amp;$A34))/1000000,($A$4*$A$4*RTD("tos.rtd",,"VOLUME","."&amp;S$2&amp;S$1&amp;"C"&amp;$A34)*RTD("tos.rtd",,"GAMMA","."&amp;S$2&amp;S$1&amp;"C"&amp;$A34)-$A$4*$A$4*RTD("tos.rtd",,"VOLUME","."&amp;S$2&amp;S$1&amp;"P"&amp;$A34)*RTD("tos.rtd",,"GAMMA","."&amp;S$2&amp;S$1&amp;"P"&amp;$A34))/1000000),0),IF($A$2="GEX",IFERROR(IF($X$1="ABS",($A$4*$A$4*RTD("tos.rtd",,"OPEN_INT","."&amp;S$2&amp;S$1&amp;"C"&amp;$A34)*RTD("tos.rtd",,"GAMMA","."&amp;S$2&amp;S$1&amp;"C"&amp;$A34)+$A$4*$A$4*RTD("tos.rtd",,"OPEN_INT","."&amp;S$2&amp;S$1&amp;"P"&amp;$A34)*RTD("tos.rtd",,"GAMMA","."&amp;S$2&amp;S$1&amp;"P"&amp;$A34))/1000000,($A$4*$A$4*RTD("tos.rtd",,"OPEN_INT","."&amp;S$2&amp;S$1&amp;"C"&amp;$A34)*RTD("tos.rtd",,"GAMMA","."&amp;S$2&amp;S$1&amp;"C"&amp;$A34)-$A$4*$A$4*RTD("tos.rtd",,"OPEN_INT","."&amp;S$2&amp;S$1&amp;"P"&amp;$A34)*RTD("tos.rtd",,"GAMMA","."&amp;S$2&amp;S$1&amp;"P"&amp;$A34))/1000000),0),IF($A$2="SKEW",IFERROR(VALUE(IF(RTD("tos.rtd",,"IMPL_VOL","."&amp;S$2&amp;S$1&amp;"P"&amp;$A34)="N/A",0,RTD("tos.rtd",,"IMPL_VOL","."&amp;S$2&amp;S$1&amp;"P"&amp;$A34))),0)-IFERROR(VALUE(IF(RTD("tos.rtd",,"IMPL_VOL","."&amp;S$2&amp;S$1&amp;"C"&amp;$A34)="N/A",0,RTD("tos.rtd",,"IMPL_VOL","."&amp;S$2&amp;S$1&amp;"C"&amp;$A34))),0),IF($A$2="MAXPAIN",IF($A$4&gt;$A34,($A$4-$A34)*IF(RTD("tos.rtd",,"OPEN_INT","."&amp;S$2&amp;S$1&amp;"C"&amp;$A34)="N/A",0,RTD("tos.rtd",,"OPEN_INT","."&amp;S$2&amp;S$1&amp;"C"&amp;$A34)),0)+IF($A$4&lt;$A34,($A$5-$A$4)*IF(RTD("tos.rtd",,"OPEN_INT","."&amp;S$2&amp;S$1&amp;"P"&amp;$A34)="N/A",0,RTD("tos.rtd",,"OPEN_INT","."&amp;S$2&amp;S$1&amp;"P"&amp;$A34)),0),IF($X$1="ABS",IF(RTD("tos.rtd",,$A$2,"."&amp;S$2&amp;S$1&amp;"C"&amp;$A34)="N/A",0,RTD("tos.rtd",,$A$2,"."&amp;S$2&amp;S$1&amp;"C"&amp;$A34))+IF(RTD("tos.rtd",,$A$2,"."&amp;S$2&amp;S$1&amp;"P"&amp;$A34)="N/A",0,RTD("tos.rtd",,$A$2,"."&amp;S$2&amp;S$1&amp;"P"&amp;$A34)),IF(RTD("tos.rtd",,$A$2,"."&amp;S$2&amp;S$1&amp;"C"&amp;$A34)="N/A",0,RTD("tos.rtd",,$A$2,"."&amp;S$2&amp;S$1&amp;"C"&amp;$A34))-IF(RTD("tos.rtd",,$A$2,"."&amp;S$2&amp;S$1&amp;"P"&amp;$A34)="N/A",0,RTD("tos.rtd",,$A$2,"."&amp;S$2&amp;S$1&amp;"P"&amp;$A34))))))))))</f>
        <v>0</v>
      </c>
      <c r="T34" s="12">
        <f ca="1">IF($A$2="PREMIUM_OI",IFERROR(IF($X$1="ABS",(100*RTD("tos.rtd",,"OPEN_INT","."&amp;T$2&amp;T$1&amp;"C"&amp;$A34)*RTD("tos.rtd",,"LAST","."&amp;T$2&amp;T$1&amp;"C"&amp;$A34)+100*RTD("tos.rtd",,"OPEN_INT","."&amp;T$2&amp;T$1&amp;"P"&amp;$A34)*RTD("tos.rtd",,"LAST","."&amp;T$2&amp;T$1&amp;"P"&amp;$A34))/1000000,(100*RTD("tos.rtd",,"OPEN_INT","."&amp;T$2&amp;T$1&amp;"C"&amp;$A34)*RTD("tos.rtd",,"LAST","."&amp;T$2&amp;T$1&amp;"C"&amp;$A34)-100*RTD("tos.rtd",,"OPEN_INT","."&amp;T$2&amp;T$1&amp;"P"&amp;$A34)*RTD("tos.rtd",,"LAST","."&amp;T$2&amp;T$1&amp;"P"&amp;$A34))/1000000),0),IF($A$2="PREMIUM",IFERROR(IF($X$1="ABS",(100*RTD("tos.rtd",,"VOLUME","."&amp;T$2&amp;T$1&amp;"C"&amp;$A34)*RTD("tos.rtd",,"LAST","."&amp;T$2&amp;T$1&amp;"C"&amp;$A34)+100*RTD("tos.rtd",,"VOLUME","."&amp;T$2&amp;T$1&amp;"P"&amp;$A34)*RTD("tos.rtd",,"LAST","."&amp;T$2&amp;T$1&amp;"P"&amp;$A34))/1000000,(100*RTD("tos.rtd",,"VOLUME","."&amp;T$2&amp;T$1&amp;"C"&amp;$A34)*RTD("tos.rtd",,"LAST","."&amp;T$2&amp;T$1&amp;"C"&amp;$A34)-100*RTD("tos.rtd",,"VOLUME","."&amp;T$2&amp;T$1&amp;"P"&amp;$A34)*RTD("tos.rtd",,"LAST","."&amp;T$2&amp;T$1&amp;"P"&amp;$A34))/1000000),0),IF($A$2="DEX",IFERROR(IF($X$1="ABS",(100*RTD("tos.rtd",,"OPEN_INT","."&amp;T$2&amp;T$1&amp;"C"&amp;$A34)*RTD("tos.rtd",,"DELTA","."&amp;T$2&amp;T$1&amp;"C"&amp;$A34)+100*RTD("tos.rtd",,"OPEN_INT","."&amp;T$2&amp;T$1&amp;"P"&amp;$A34)*RTD("tos.rtd",,"DELTA","."&amp;T$2&amp;T$1&amp;"P"&amp;$A34))/1000,(100*RTD("tos.rtd",,"OPEN_INT","."&amp;T$2&amp;T$1&amp;"C"&amp;$A34)*RTD("tos.rtd",,"DELTA","."&amp;T$2&amp;T$1&amp;"C"&amp;$A34)-100*RTD("tos.rtd",,"OPEN_INT","."&amp;T$2&amp;T$1&amp;"P"&amp;$A34)*RTD("tos.rtd",,"DELTA","."&amp;T$2&amp;T$1&amp;"P"&amp;$A34))/1000),0),IF($A$2="VEX",IFERROR(IF($X$1="ABS",($A$4*$A$4*RTD("tos.rtd",,"VOLUME","."&amp;T$2&amp;T$1&amp;"C"&amp;$A34)*RTD("tos.rtd",,"GAMMA","."&amp;T$2&amp;T$1&amp;"C"&amp;$A34)+$A$4*$A$4*RTD("tos.rtd",,"VOLUME","."&amp;T$2&amp;T$1&amp;"P"&amp;$A34)*RTD("tos.rtd",,"GAMMA","."&amp;T$2&amp;T$1&amp;"P"&amp;$A34))/1000000,($A$4*$A$4*RTD("tos.rtd",,"VOLUME","."&amp;T$2&amp;T$1&amp;"C"&amp;$A34)*RTD("tos.rtd",,"GAMMA","."&amp;T$2&amp;T$1&amp;"C"&amp;$A34)-$A$4*$A$4*RTD("tos.rtd",,"VOLUME","."&amp;T$2&amp;T$1&amp;"P"&amp;$A34)*RTD("tos.rtd",,"GAMMA","."&amp;T$2&amp;T$1&amp;"P"&amp;$A34))/1000000),0),IF($A$2="GEX",IFERROR(IF($X$1="ABS",($A$4*$A$4*RTD("tos.rtd",,"OPEN_INT","."&amp;T$2&amp;T$1&amp;"C"&amp;$A34)*RTD("tos.rtd",,"GAMMA","."&amp;T$2&amp;T$1&amp;"C"&amp;$A34)+$A$4*$A$4*RTD("tos.rtd",,"OPEN_INT","."&amp;T$2&amp;T$1&amp;"P"&amp;$A34)*RTD("tos.rtd",,"GAMMA","."&amp;T$2&amp;T$1&amp;"P"&amp;$A34))/1000000,($A$4*$A$4*RTD("tos.rtd",,"OPEN_INT","."&amp;T$2&amp;T$1&amp;"C"&amp;$A34)*RTD("tos.rtd",,"GAMMA","."&amp;T$2&amp;T$1&amp;"C"&amp;$A34)-$A$4*$A$4*RTD("tos.rtd",,"OPEN_INT","."&amp;T$2&amp;T$1&amp;"P"&amp;$A34)*RTD("tos.rtd",,"GAMMA","."&amp;T$2&amp;T$1&amp;"P"&amp;$A34))/1000000),0),IF($A$2="SKEW",IFERROR(VALUE(IF(RTD("tos.rtd",,"IMPL_VOL","."&amp;T$2&amp;T$1&amp;"P"&amp;$A34)="N/A",0,RTD("tos.rtd",,"IMPL_VOL","."&amp;T$2&amp;T$1&amp;"P"&amp;$A34))),0)-IFERROR(VALUE(IF(RTD("tos.rtd",,"IMPL_VOL","."&amp;T$2&amp;T$1&amp;"C"&amp;$A34)="N/A",0,RTD("tos.rtd",,"IMPL_VOL","."&amp;T$2&amp;T$1&amp;"C"&amp;$A34))),0),IF($A$2="MAXPAIN",IF($A$4&gt;$A34,($A$4-$A34)*IF(RTD("tos.rtd",,"OPEN_INT","."&amp;T$2&amp;T$1&amp;"C"&amp;$A34)="N/A",0,RTD("tos.rtd",,"OPEN_INT","."&amp;T$2&amp;T$1&amp;"C"&amp;$A34)),0)+IF($A$4&lt;$A34,($A$5-$A$4)*IF(RTD("tos.rtd",,"OPEN_INT","."&amp;T$2&amp;T$1&amp;"P"&amp;$A34)="N/A",0,RTD("tos.rtd",,"OPEN_INT","."&amp;T$2&amp;T$1&amp;"P"&amp;$A34)),0),IF($X$1="ABS",IF(RTD("tos.rtd",,$A$2,"."&amp;T$2&amp;T$1&amp;"C"&amp;$A34)="N/A",0,RTD("tos.rtd",,$A$2,"."&amp;T$2&amp;T$1&amp;"C"&amp;$A34))+IF(RTD("tos.rtd",,$A$2,"."&amp;T$2&amp;T$1&amp;"P"&amp;$A34)="N/A",0,RTD("tos.rtd",,$A$2,"."&amp;T$2&amp;T$1&amp;"P"&amp;$A34)),IF(RTD("tos.rtd",,$A$2,"."&amp;T$2&amp;T$1&amp;"C"&amp;$A34)="N/A",0,RTD("tos.rtd",,$A$2,"."&amp;T$2&amp;T$1&amp;"C"&amp;$A34))-IF(RTD("tos.rtd",,$A$2,"."&amp;T$2&amp;T$1&amp;"P"&amp;$A34)="N/A",0,RTD("tos.rtd",,$A$2,"."&amp;T$2&amp;T$1&amp;"P"&amp;$A34))))))))))</f>
        <v>0</v>
      </c>
      <c r="U34" s="12">
        <f ca="1">IF($A$2="PREMIUM_OI",IFERROR(IF($X$1="ABS",(100*RTD("tos.rtd",,"OPEN_INT","."&amp;U$2&amp;U$1&amp;"C"&amp;$A34)*RTD("tos.rtd",,"LAST","."&amp;U$2&amp;U$1&amp;"C"&amp;$A34)+100*RTD("tos.rtd",,"OPEN_INT","."&amp;U$2&amp;U$1&amp;"P"&amp;$A34)*RTD("tos.rtd",,"LAST","."&amp;U$2&amp;U$1&amp;"P"&amp;$A34))/1000000,(100*RTD("tos.rtd",,"OPEN_INT","."&amp;U$2&amp;U$1&amp;"C"&amp;$A34)*RTD("tos.rtd",,"LAST","."&amp;U$2&amp;U$1&amp;"C"&amp;$A34)-100*RTD("tos.rtd",,"OPEN_INT","."&amp;U$2&amp;U$1&amp;"P"&amp;$A34)*RTD("tos.rtd",,"LAST","."&amp;U$2&amp;U$1&amp;"P"&amp;$A34))/1000000),0),IF($A$2="PREMIUM",IFERROR(IF($X$1="ABS",(100*RTD("tos.rtd",,"VOLUME","."&amp;U$2&amp;U$1&amp;"C"&amp;$A34)*RTD("tos.rtd",,"LAST","."&amp;U$2&amp;U$1&amp;"C"&amp;$A34)+100*RTD("tos.rtd",,"VOLUME","."&amp;U$2&amp;U$1&amp;"P"&amp;$A34)*RTD("tos.rtd",,"LAST","."&amp;U$2&amp;U$1&amp;"P"&amp;$A34))/1000000,(100*RTD("tos.rtd",,"VOLUME","."&amp;U$2&amp;U$1&amp;"C"&amp;$A34)*RTD("tos.rtd",,"LAST","."&amp;U$2&amp;U$1&amp;"C"&amp;$A34)-100*RTD("tos.rtd",,"VOLUME","."&amp;U$2&amp;U$1&amp;"P"&amp;$A34)*RTD("tos.rtd",,"LAST","."&amp;U$2&amp;U$1&amp;"P"&amp;$A34))/1000000),0),IF($A$2="DEX",IFERROR(IF($X$1="ABS",(100*RTD("tos.rtd",,"OPEN_INT","."&amp;U$2&amp;U$1&amp;"C"&amp;$A34)*RTD("tos.rtd",,"DELTA","."&amp;U$2&amp;U$1&amp;"C"&amp;$A34)+100*RTD("tos.rtd",,"OPEN_INT","."&amp;U$2&amp;U$1&amp;"P"&amp;$A34)*RTD("tos.rtd",,"DELTA","."&amp;U$2&amp;U$1&amp;"P"&amp;$A34))/1000,(100*RTD("tos.rtd",,"OPEN_INT","."&amp;U$2&amp;U$1&amp;"C"&amp;$A34)*RTD("tos.rtd",,"DELTA","."&amp;U$2&amp;U$1&amp;"C"&amp;$A34)-100*RTD("tos.rtd",,"OPEN_INT","."&amp;U$2&amp;U$1&amp;"P"&amp;$A34)*RTD("tos.rtd",,"DELTA","."&amp;U$2&amp;U$1&amp;"P"&amp;$A34))/1000),0),IF($A$2="VEX",IFERROR(IF($X$1="ABS",($A$4*$A$4*RTD("tos.rtd",,"VOLUME","."&amp;U$2&amp;U$1&amp;"C"&amp;$A34)*RTD("tos.rtd",,"GAMMA","."&amp;U$2&amp;U$1&amp;"C"&amp;$A34)+$A$4*$A$4*RTD("tos.rtd",,"VOLUME","."&amp;U$2&amp;U$1&amp;"P"&amp;$A34)*RTD("tos.rtd",,"GAMMA","."&amp;U$2&amp;U$1&amp;"P"&amp;$A34))/1000000,($A$4*$A$4*RTD("tos.rtd",,"VOLUME","."&amp;U$2&amp;U$1&amp;"C"&amp;$A34)*RTD("tos.rtd",,"GAMMA","."&amp;U$2&amp;U$1&amp;"C"&amp;$A34)-$A$4*$A$4*RTD("tos.rtd",,"VOLUME","."&amp;U$2&amp;U$1&amp;"P"&amp;$A34)*RTD("tos.rtd",,"GAMMA","."&amp;U$2&amp;U$1&amp;"P"&amp;$A34))/1000000),0),IF($A$2="GEX",IFERROR(IF($X$1="ABS",($A$4*$A$4*RTD("tos.rtd",,"OPEN_INT","."&amp;U$2&amp;U$1&amp;"C"&amp;$A34)*RTD("tos.rtd",,"GAMMA","."&amp;U$2&amp;U$1&amp;"C"&amp;$A34)+$A$4*$A$4*RTD("tos.rtd",,"OPEN_INT","."&amp;U$2&amp;U$1&amp;"P"&amp;$A34)*RTD("tos.rtd",,"GAMMA","."&amp;U$2&amp;U$1&amp;"P"&amp;$A34))/1000000,($A$4*$A$4*RTD("tos.rtd",,"OPEN_INT","."&amp;U$2&amp;U$1&amp;"C"&amp;$A34)*RTD("tos.rtd",,"GAMMA","."&amp;U$2&amp;U$1&amp;"C"&amp;$A34)-$A$4*$A$4*RTD("tos.rtd",,"OPEN_INT","."&amp;U$2&amp;U$1&amp;"P"&amp;$A34)*RTD("tos.rtd",,"GAMMA","."&amp;U$2&amp;U$1&amp;"P"&amp;$A34))/1000000),0),IF($A$2="SKEW",IFERROR(VALUE(IF(RTD("tos.rtd",,"IMPL_VOL","."&amp;U$2&amp;U$1&amp;"P"&amp;$A34)="N/A",0,RTD("tos.rtd",,"IMPL_VOL","."&amp;U$2&amp;U$1&amp;"P"&amp;$A34))),0)-IFERROR(VALUE(IF(RTD("tos.rtd",,"IMPL_VOL","."&amp;U$2&amp;U$1&amp;"C"&amp;$A34)="N/A",0,RTD("tos.rtd",,"IMPL_VOL","."&amp;U$2&amp;U$1&amp;"C"&amp;$A34))),0),IF($A$2="MAXPAIN",IF($A$4&gt;$A34,($A$4-$A34)*IF(RTD("tos.rtd",,"OPEN_INT","."&amp;U$2&amp;U$1&amp;"C"&amp;$A34)="N/A",0,RTD("tos.rtd",,"OPEN_INT","."&amp;U$2&amp;U$1&amp;"C"&amp;$A34)),0)+IF($A$4&lt;$A34,($A$5-$A$4)*IF(RTD("tos.rtd",,"OPEN_INT","."&amp;U$2&amp;U$1&amp;"P"&amp;$A34)="N/A",0,RTD("tos.rtd",,"OPEN_INT","."&amp;U$2&amp;U$1&amp;"P"&amp;$A34)),0),IF($X$1="ABS",IF(RTD("tos.rtd",,$A$2,"."&amp;U$2&amp;U$1&amp;"C"&amp;$A34)="N/A",0,RTD("tos.rtd",,$A$2,"."&amp;U$2&amp;U$1&amp;"C"&amp;$A34))+IF(RTD("tos.rtd",,$A$2,"."&amp;U$2&amp;U$1&amp;"P"&amp;$A34)="N/A",0,RTD("tos.rtd",,$A$2,"."&amp;U$2&amp;U$1&amp;"P"&amp;$A34)),IF(RTD("tos.rtd",,$A$2,"."&amp;U$2&amp;U$1&amp;"C"&amp;$A34)="N/A",0,RTD("tos.rtd",,$A$2,"."&amp;U$2&amp;U$1&amp;"C"&amp;$A34))-IF(RTD("tos.rtd",,$A$2,"."&amp;U$2&amp;U$1&amp;"P"&amp;$A34)="N/A",0,RTD("tos.rtd",,$A$2,"."&amp;U$2&amp;U$1&amp;"P"&amp;$A34))))))))))</f>
        <v>0</v>
      </c>
      <c r="V34" s="12">
        <f ca="1">IF($A$2="PREMIUM_OI",IFERROR(IF($X$1="ABS",(100*RTD("tos.rtd",,"OPEN_INT","."&amp;V$2&amp;V$1&amp;"C"&amp;$A34)*RTD("tos.rtd",,"LAST","."&amp;V$2&amp;V$1&amp;"C"&amp;$A34)+100*RTD("tos.rtd",,"OPEN_INT","."&amp;V$2&amp;V$1&amp;"P"&amp;$A34)*RTD("tos.rtd",,"LAST","."&amp;V$2&amp;V$1&amp;"P"&amp;$A34))/1000000,(100*RTD("tos.rtd",,"OPEN_INT","."&amp;V$2&amp;V$1&amp;"C"&amp;$A34)*RTD("tos.rtd",,"LAST","."&amp;V$2&amp;V$1&amp;"C"&amp;$A34)-100*RTD("tos.rtd",,"OPEN_INT","."&amp;V$2&amp;V$1&amp;"P"&amp;$A34)*RTD("tos.rtd",,"LAST","."&amp;V$2&amp;V$1&amp;"P"&amp;$A34))/1000000),0),IF($A$2="PREMIUM",IFERROR(IF($X$1="ABS",(100*RTD("tos.rtd",,"VOLUME","."&amp;V$2&amp;V$1&amp;"C"&amp;$A34)*RTD("tos.rtd",,"LAST","."&amp;V$2&amp;V$1&amp;"C"&amp;$A34)+100*RTD("tos.rtd",,"VOLUME","."&amp;V$2&amp;V$1&amp;"P"&amp;$A34)*RTD("tos.rtd",,"LAST","."&amp;V$2&amp;V$1&amp;"P"&amp;$A34))/1000000,(100*RTD("tos.rtd",,"VOLUME","."&amp;V$2&amp;V$1&amp;"C"&amp;$A34)*RTD("tos.rtd",,"LAST","."&amp;V$2&amp;V$1&amp;"C"&amp;$A34)-100*RTD("tos.rtd",,"VOLUME","."&amp;V$2&amp;V$1&amp;"P"&amp;$A34)*RTD("tos.rtd",,"LAST","."&amp;V$2&amp;V$1&amp;"P"&amp;$A34))/1000000),0),IF($A$2="DEX",IFERROR(IF($X$1="ABS",(100*RTD("tos.rtd",,"OPEN_INT","."&amp;V$2&amp;V$1&amp;"C"&amp;$A34)*RTD("tos.rtd",,"DELTA","."&amp;V$2&amp;V$1&amp;"C"&amp;$A34)+100*RTD("tos.rtd",,"OPEN_INT","."&amp;V$2&amp;V$1&amp;"P"&amp;$A34)*RTD("tos.rtd",,"DELTA","."&amp;V$2&amp;V$1&amp;"P"&amp;$A34))/1000,(100*RTD("tos.rtd",,"OPEN_INT","."&amp;V$2&amp;V$1&amp;"C"&amp;$A34)*RTD("tos.rtd",,"DELTA","."&amp;V$2&amp;V$1&amp;"C"&amp;$A34)-100*RTD("tos.rtd",,"OPEN_INT","."&amp;V$2&amp;V$1&amp;"P"&amp;$A34)*RTD("tos.rtd",,"DELTA","."&amp;V$2&amp;V$1&amp;"P"&amp;$A34))/1000),0),IF($A$2="VEX",IFERROR(IF($X$1="ABS",($A$4*$A$4*RTD("tos.rtd",,"VOLUME","."&amp;V$2&amp;V$1&amp;"C"&amp;$A34)*RTD("tos.rtd",,"GAMMA","."&amp;V$2&amp;V$1&amp;"C"&amp;$A34)+$A$4*$A$4*RTD("tos.rtd",,"VOLUME","."&amp;V$2&amp;V$1&amp;"P"&amp;$A34)*RTD("tos.rtd",,"GAMMA","."&amp;V$2&amp;V$1&amp;"P"&amp;$A34))/1000000,($A$4*$A$4*RTD("tos.rtd",,"VOLUME","."&amp;V$2&amp;V$1&amp;"C"&amp;$A34)*RTD("tos.rtd",,"GAMMA","."&amp;V$2&amp;V$1&amp;"C"&amp;$A34)-$A$4*$A$4*RTD("tos.rtd",,"VOLUME","."&amp;V$2&amp;V$1&amp;"P"&amp;$A34)*RTD("tos.rtd",,"GAMMA","."&amp;V$2&amp;V$1&amp;"P"&amp;$A34))/1000000),0),IF($A$2="GEX",IFERROR(IF($X$1="ABS",($A$4*$A$4*RTD("tos.rtd",,"OPEN_INT","."&amp;V$2&amp;V$1&amp;"C"&amp;$A34)*RTD("tos.rtd",,"GAMMA","."&amp;V$2&amp;V$1&amp;"C"&amp;$A34)+$A$4*$A$4*RTD("tos.rtd",,"OPEN_INT","."&amp;V$2&amp;V$1&amp;"P"&amp;$A34)*RTD("tos.rtd",,"GAMMA","."&amp;V$2&amp;V$1&amp;"P"&amp;$A34))/1000000,($A$4*$A$4*RTD("tos.rtd",,"OPEN_INT","."&amp;V$2&amp;V$1&amp;"C"&amp;$A34)*RTD("tos.rtd",,"GAMMA","."&amp;V$2&amp;V$1&amp;"C"&amp;$A34)-$A$4*$A$4*RTD("tos.rtd",,"OPEN_INT","."&amp;V$2&amp;V$1&amp;"P"&amp;$A34)*RTD("tos.rtd",,"GAMMA","."&amp;V$2&amp;V$1&amp;"P"&amp;$A34))/1000000),0),IF($A$2="SKEW",IFERROR(VALUE(IF(RTD("tos.rtd",,"IMPL_VOL","."&amp;V$2&amp;V$1&amp;"P"&amp;$A34)="N/A",0,RTD("tos.rtd",,"IMPL_VOL","."&amp;V$2&amp;V$1&amp;"P"&amp;$A34))),0)-IFERROR(VALUE(IF(RTD("tos.rtd",,"IMPL_VOL","."&amp;V$2&amp;V$1&amp;"C"&amp;$A34)="N/A",0,RTD("tos.rtd",,"IMPL_VOL","."&amp;V$2&amp;V$1&amp;"C"&amp;$A34))),0),IF($A$2="MAXPAIN",IF($A$4&gt;$A34,($A$4-$A34)*IF(RTD("tos.rtd",,"OPEN_INT","."&amp;V$2&amp;V$1&amp;"C"&amp;$A34)="N/A",0,RTD("tos.rtd",,"OPEN_INT","."&amp;V$2&amp;V$1&amp;"C"&amp;$A34)),0)+IF($A$4&lt;$A34,($A$5-$A$4)*IF(RTD("tos.rtd",,"OPEN_INT","."&amp;V$2&amp;V$1&amp;"P"&amp;$A34)="N/A",0,RTD("tos.rtd",,"OPEN_INT","."&amp;V$2&amp;V$1&amp;"P"&amp;$A34)),0),IF($X$1="ABS",IF(RTD("tos.rtd",,$A$2,"."&amp;V$2&amp;V$1&amp;"C"&amp;$A34)="N/A",0,RTD("tos.rtd",,$A$2,"."&amp;V$2&amp;V$1&amp;"C"&amp;$A34))+IF(RTD("tos.rtd",,$A$2,"."&amp;V$2&amp;V$1&amp;"P"&amp;$A34)="N/A",0,RTD("tos.rtd",,$A$2,"."&amp;V$2&amp;V$1&amp;"P"&amp;$A34)),IF(RTD("tos.rtd",,$A$2,"."&amp;V$2&amp;V$1&amp;"C"&amp;$A34)="N/A",0,RTD("tos.rtd",,$A$2,"."&amp;V$2&amp;V$1&amp;"C"&amp;$A34))-IF(RTD("tos.rtd",,$A$2,"."&amp;V$2&amp;V$1&amp;"P"&amp;$A34)="N/A",0,RTD("tos.rtd",,$A$2,"."&amp;V$2&amp;V$1&amp;"P"&amp;$A34))))))))))</f>
        <v>0</v>
      </c>
      <c r="W34" s="12">
        <f ca="1">IF($A$2="PREMIUM_OI",IFERROR(IF($X$1="ABS",(100*RTD("tos.rtd",,"OPEN_INT","."&amp;W$2&amp;W$1&amp;"C"&amp;$A34)*RTD("tos.rtd",,"LAST","."&amp;W$2&amp;W$1&amp;"C"&amp;$A34)+100*RTD("tos.rtd",,"OPEN_INT","."&amp;W$2&amp;W$1&amp;"P"&amp;$A34)*RTD("tos.rtd",,"LAST","."&amp;W$2&amp;W$1&amp;"P"&amp;$A34))/1000000,(100*RTD("tos.rtd",,"OPEN_INT","."&amp;W$2&amp;W$1&amp;"C"&amp;$A34)*RTD("tos.rtd",,"LAST","."&amp;W$2&amp;W$1&amp;"C"&amp;$A34)-100*RTD("tos.rtd",,"OPEN_INT","."&amp;W$2&amp;W$1&amp;"P"&amp;$A34)*RTD("tos.rtd",,"LAST","."&amp;W$2&amp;W$1&amp;"P"&amp;$A34))/1000000),0),IF($A$2="PREMIUM",IFERROR(IF($X$1="ABS",(100*RTD("tos.rtd",,"VOLUME","."&amp;W$2&amp;W$1&amp;"C"&amp;$A34)*RTD("tos.rtd",,"LAST","."&amp;W$2&amp;W$1&amp;"C"&amp;$A34)+100*RTD("tos.rtd",,"VOLUME","."&amp;W$2&amp;W$1&amp;"P"&amp;$A34)*RTD("tos.rtd",,"LAST","."&amp;W$2&amp;W$1&amp;"P"&amp;$A34))/1000000,(100*RTD("tos.rtd",,"VOLUME","."&amp;W$2&amp;W$1&amp;"C"&amp;$A34)*RTD("tos.rtd",,"LAST","."&amp;W$2&amp;W$1&amp;"C"&amp;$A34)-100*RTD("tos.rtd",,"VOLUME","."&amp;W$2&amp;W$1&amp;"P"&amp;$A34)*RTD("tos.rtd",,"LAST","."&amp;W$2&amp;W$1&amp;"P"&amp;$A34))/1000000),0),IF($A$2="DEX",IFERROR(IF($X$1="ABS",(100*RTD("tos.rtd",,"OPEN_INT","."&amp;W$2&amp;W$1&amp;"C"&amp;$A34)*RTD("tos.rtd",,"DELTA","."&amp;W$2&amp;W$1&amp;"C"&amp;$A34)+100*RTD("tos.rtd",,"OPEN_INT","."&amp;W$2&amp;W$1&amp;"P"&amp;$A34)*RTD("tos.rtd",,"DELTA","."&amp;W$2&amp;W$1&amp;"P"&amp;$A34))/1000,(100*RTD("tos.rtd",,"OPEN_INT","."&amp;W$2&amp;W$1&amp;"C"&amp;$A34)*RTD("tos.rtd",,"DELTA","."&amp;W$2&amp;W$1&amp;"C"&amp;$A34)-100*RTD("tos.rtd",,"OPEN_INT","."&amp;W$2&amp;W$1&amp;"P"&amp;$A34)*RTD("tos.rtd",,"DELTA","."&amp;W$2&amp;W$1&amp;"P"&amp;$A34))/1000),0),IF($A$2="VEX",IFERROR(IF($X$1="ABS",($A$4*$A$4*RTD("tos.rtd",,"VOLUME","."&amp;W$2&amp;W$1&amp;"C"&amp;$A34)*RTD("tos.rtd",,"GAMMA","."&amp;W$2&amp;W$1&amp;"C"&amp;$A34)+$A$4*$A$4*RTD("tos.rtd",,"VOLUME","."&amp;W$2&amp;W$1&amp;"P"&amp;$A34)*RTD("tos.rtd",,"GAMMA","."&amp;W$2&amp;W$1&amp;"P"&amp;$A34))/1000000,($A$4*$A$4*RTD("tos.rtd",,"VOLUME","."&amp;W$2&amp;W$1&amp;"C"&amp;$A34)*RTD("tos.rtd",,"GAMMA","."&amp;W$2&amp;W$1&amp;"C"&amp;$A34)-$A$4*$A$4*RTD("tos.rtd",,"VOLUME","."&amp;W$2&amp;W$1&amp;"P"&amp;$A34)*RTD("tos.rtd",,"GAMMA","."&amp;W$2&amp;W$1&amp;"P"&amp;$A34))/1000000),0),IF($A$2="GEX",IFERROR(IF($X$1="ABS",($A$4*$A$4*RTD("tos.rtd",,"OPEN_INT","."&amp;W$2&amp;W$1&amp;"C"&amp;$A34)*RTD("tos.rtd",,"GAMMA","."&amp;W$2&amp;W$1&amp;"C"&amp;$A34)+$A$4*$A$4*RTD("tos.rtd",,"OPEN_INT","."&amp;W$2&amp;W$1&amp;"P"&amp;$A34)*RTD("tos.rtd",,"GAMMA","."&amp;W$2&amp;W$1&amp;"P"&amp;$A34))/1000000,($A$4*$A$4*RTD("tos.rtd",,"OPEN_INT","."&amp;W$2&amp;W$1&amp;"C"&amp;$A34)*RTD("tos.rtd",,"GAMMA","."&amp;W$2&amp;W$1&amp;"C"&amp;$A34)-$A$4*$A$4*RTD("tos.rtd",,"OPEN_INT","."&amp;W$2&amp;W$1&amp;"P"&amp;$A34)*RTD("tos.rtd",,"GAMMA","."&amp;W$2&amp;W$1&amp;"P"&amp;$A34))/1000000),0),IF($A$2="SKEW",IFERROR(VALUE(IF(RTD("tos.rtd",,"IMPL_VOL","."&amp;W$2&amp;W$1&amp;"P"&amp;$A34)="N/A",0,RTD("tos.rtd",,"IMPL_VOL","."&amp;W$2&amp;W$1&amp;"P"&amp;$A34))),0)-IFERROR(VALUE(IF(RTD("tos.rtd",,"IMPL_VOL","."&amp;W$2&amp;W$1&amp;"C"&amp;$A34)="N/A",0,RTD("tos.rtd",,"IMPL_VOL","."&amp;W$2&amp;W$1&amp;"C"&amp;$A34))),0),IF($A$2="MAXPAIN",IF($A$4&gt;$A34,($A$4-$A34)*IF(RTD("tos.rtd",,"OPEN_INT","."&amp;W$2&amp;W$1&amp;"C"&amp;$A34)="N/A",0,RTD("tos.rtd",,"OPEN_INT","."&amp;W$2&amp;W$1&amp;"C"&amp;$A34)),0)+IF($A$4&lt;$A34,($A$5-$A$4)*IF(RTD("tos.rtd",,"OPEN_INT","."&amp;W$2&amp;W$1&amp;"P"&amp;$A34)="N/A",0,RTD("tos.rtd",,"OPEN_INT","."&amp;W$2&amp;W$1&amp;"P"&amp;$A34)),0),IF($X$1="ABS",IF(RTD("tos.rtd",,$A$2,"."&amp;W$2&amp;W$1&amp;"C"&amp;$A34)="N/A",0,RTD("tos.rtd",,$A$2,"."&amp;W$2&amp;W$1&amp;"C"&amp;$A34))+IF(RTD("tos.rtd",,$A$2,"."&amp;W$2&amp;W$1&amp;"P"&amp;$A34)="N/A",0,RTD("tos.rtd",,$A$2,"."&amp;W$2&amp;W$1&amp;"P"&amp;$A34)),IF(RTD("tos.rtd",,$A$2,"."&amp;W$2&amp;W$1&amp;"C"&amp;$A34)="N/A",0,RTD("tos.rtd",,$A$2,"."&amp;W$2&amp;W$1&amp;"C"&amp;$A34))-IF(RTD("tos.rtd",,$A$2,"."&amp;W$2&amp;W$1&amp;"P"&amp;$A34)="N/A",0,RTD("tos.rtd",,$A$2,"."&amp;W$2&amp;W$1&amp;"P"&amp;$A34))))))))))</f>
        <v>0</v>
      </c>
      <c r="X34" s="57">
        <f t="shared" ca="1" si="7"/>
        <v>53180</v>
      </c>
      <c r="Y34" s="27">
        <f t="shared" ca="1" si="8"/>
        <v>53180</v>
      </c>
      <c r="Z34" s="27">
        <f t="shared" ca="1" si="9"/>
        <v>23269</v>
      </c>
      <c r="AA34" s="27">
        <f t="shared" si="10"/>
        <v>4926450</v>
      </c>
      <c r="AB34" s="18">
        <f>MAX(0, $A34-AB$4)*IF(RTD("tos.rtd",,"OPEN_INT","."&amp;$AA$3&amp;$AA$4&amp;"C"&amp;AB$4)="N/A",0,RTD("tos.rtd",,"OPEN_INT","."&amp;$AA$3&amp;$AA$4&amp;"C"&amp;AB$4))*100 + MAX(0, AB$4-$A34)*IF(RTD("tos.rtd",,"OPEN_INT","."&amp;$AA$3&amp;$AA$4&amp;"P"&amp;AB$4)="N/A",0,RTD("tos.rtd",,"OPEN_INT","."&amp;$AA$3&amp;$AA$4&amp;"P"&amp;AB$4))*100</f>
        <v>0</v>
      </c>
      <c r="AC34" s="18">
        <f>MAX(0, $A34-AC$4)*IF(RTD("tos.rtd",,"OPEN_INT","."&amp;$AA$3&amp;$AA$4&amp;"C"&amp;AC$4)="N/A",0,RTD("tos.rtd",,"OPEN_INT","."&amp;$AA$3&amp;$AA$4&amp;"C"&amp;AC$4))*100 + MAX(0, AC$4-$A34)*IF(RTD("tos.rtd",,"OPEN_INT","."&amp;$AA$3&amp;$AA$4&amp;"P"&amp;AC$4)="N/A",0,RTD("tos.rtd",,"OPEN_INT","."&amp;$AA$3&amp;$AA$4&amp;"P"&amp;AC$4))*100</f>
        <v>0</v>
      </c>
      <c r="AD34" s="18">
        <f>MAX(0, $A34-AD$4)*IF(RTD("tos.rtd",,"OPEN_INT","."&amp;$AA$3&amp;$AA$4&amp;"C"&amp;AD$4)="N/A",0,RTD("tos.rtd",,"OPEN_INT","."&amp;$AA$3&amp;$AA$4&amp;"C"&amp;AD$4))*100 + MAX(0, AD$4-$A34)*IF(RTD("tos.rtd",,"OPEN_INT","."&amp;$AA$3&amp;$AA$4&amp;"P"&amp;AD$4)="N/A",0,RTD("tos.rtd",,"OPEN_INT","."&amp;$AA$3&amp;$AA$4&amp;"P"&amp;AD$4))*100</f>
        <v>0</v>
      </c>
      <c r="AE34" s="18">
        <f>MAX(0, $A34-AE$4)*IF(RTD("tos.rtd",,"OPEN_INT","."&amp;$AA$3&amp;$AA$4&amp;"C"&amp;AE$4)="N/A",0,RTD("tos.rtd",,"OPEN_INT","."&amp;$AA$3&amp;$AA$4&amp;"C"&amp;AE$4))*100 + MAX(0, AE$4-$A34)*IF(RTD("tos.rtd",,"OPEN_INT","."&amp;$AA$3&amp;$AA$4&amp;"P"&amp;AE$4)="N/A",0,RTD("tos.rtd",,"OPEN_INT","."&amp;$AA$3&amp;$AA$4&amp;"P"&amp;AE$4))*100</f>
        <v>0</v>
      </c>
      <c r="AF34" s="18">
        <f>MAX(0, $A34-AF$4)*IF(RTD("tos.rtd",,"OPEN_INT","."&amp;$AA$3&amp;$AA$4&amp;"C"&amp;AF$4)="N/A",0,RTD("tos.rtd",,"OPEN_INT","."&amp;$AA$3&amp;$AA$4&amp;"C"&amp;AF$4))*100 + MAX(0, AF$4-$A34)*IF(RTD("tos.rtd",,"OPEN_INT","."&amp;$AA$3&amp;$AA$4&amp;"P"&amp;AF$4)="N/A",0,RTD("tos.rtd",,"OPEN_INT","."&amp;$AA$3&amp;$AA$4&amp;"P"&amp;AF$4))*100</f>
        <v>0</v>
      </c>
      <c r="AG34" s="18">
        <f>MAX(0, $A34-AG$4)*IF(RTD("tos.rtd",,"OPEN_INT","."&amp;$AA$3&amp;$AA$4&amp;"C"&amp;AG$4)="N/A",0,RTD("tos.rtd",,"OPEN_INT","."&amp;$AA$3&amp;$AA$4&amp;"C"&amp;AG$4))*100 + MAX(0, AG$4-$A34)*IF(RTD("tos.rtd",,"OPEN_INT","."&amp;$AA$3&amp;$AA$4&amp;"P"&amp;AG$4)="N/A",0,RTD("tos.rtd",,"OPEN_INT","."&amp;$AA$3&amp;$AA$4&amp;"P"&amp;AG$4))*100</f>
        <v>0</v>
      </c>
      <c r="AH34" s="18">
        <f>MAX(0, $A34-AH$4)*IF(RTD("tos.rtd",,"OPEN_INT","."&amp;$AA$3&amp;$AA$4&amp;"C"&amp;AH$4)="N/A",0,RTD("tos.rtd",,"OPEN_INT","."&amp;$AA$3&amp;$AA$4&amp;"C"&amp;AH$4))*100 + MAX(0, AH$4-$A34)*IF(RTD("tos.rtd",,"OPEN_INT","."&amp;$AA$3&amp;$AA$4&amp;"P"&amp;AH$4)="N/A",0,RTD("tos.rtd",,"OPEN_INT","."&amp;$AA$3&amp;$AA$4&amp;"P"&amp;AH$4))*100</f>
        <v>0</v>
      </c>
      <c r="AI34" s="18">
        <f>MAX(0, $A34-AI$4)*IF(RTD("tos.rtd",,"OPEN_INT","."&amp;$AA$3&amp;$AA$4&amp;"C"&amp;AI$4)="N/A",0,RTD("tos.rtd",,"OPEN_INT","."&amp;$AA$3&amp;$AA$4&amp;"C"&amp;AI$4))*100 + MAX(0, AI$4-$A34)*IF(RTD("tos.rtd",,"OPEN_INT","."&amp;$AA$3&amp;$AA$4&amp;"P"&amp;AI$4)="N/A",0,RTD("tos.rtd",,"OPEN_INT","."&amp;$AA$3&amp;$AA$4&amp;"P"&amp;AI$4))*100</f>
        <v>3300</v>
      </c>
      <c r="AJ34" s="18">
        <f>MAX(0, $A34-AJ$4)*IF(RTD("tos.rtd",,"OPEN_INT","."&amp;$AA$3&amp;$AA$4&amp;"C"&amp;AJ$4)="N/A",0,RTD("tos.rtd",,"OPEN_INT","."&amp;$AA$3&amp;$AA$4&amp;"C"&amp;AJ$4))*100 + MAX(0, AJ$4-$A34)*IF(RTD("tos.rtd",,"OPEN_INT","."&amp;$AA$3&amp;$AA$4&amp;"P"&amp;AJ$4)="N/A",0,RTD("tos.rtd",,"OPEN_INT","."&amp;$AA$3&amp;$AA$4&amp;"P"&amp;AJ$4))*100</f>
        <v>8400</v>
      </c>
      <c r="AK34" s="18">
        <f>MAX(0, $A34-AK$4)*IF(RTD("tos.rtd",,"OPEN_INT","."&amp;$AA$3&amp;$AA$4&amp;"C"&amp;AK$4)="N/A",0,RTD("tos.rtd",,"OPEN_INT","."&amp;$AA$3&amp;$AA$4&amp;"C"&amp;AK$4))*100 + MAX(0, AK$4-$A34)*IF(RTD("tos.rtd",,"OPEN_INT","."&amp;$AA$3&amp;$AA$4&amp;"P"&amp;AK$4)="N/A",0,RTD("tos.rtd",,"OPEN_INT","."&amp;$AA$3&amp;$AA$4&amp;"P"&amp;AK$4))*100</f>
        <v>0</v>
      </c>
      <c r="AL34" s="18">
        <f>MAX(0, $A34-AL$4)*IF(RTD("tos.rtd",,"OPEN_INT","."&amp;$AA$3&amp;$AA$4&amp;"C"&amp;AL$4)="N/A",0,RTD("tos.rtd",,"OPEN_INT","."&amp;$AA$3&amp;$AA$4&amp;"C"&amp;AL$4))*100 + MAX(0, AL$4-$A34)*IF(RTD("tos.rtd",,"OPEN_INT","."&amp;$AA$3&amp;$AA$4&amp;"P"&amp;AL$4)="N/A",0,RTD("tos.rtd",,"OPEN_INT","."&amp;$AA$3&amp;$AA$4&amp;"P"&amp;AL$4))*100</f>
        <v>0</v>
      </c>
      <c r="AM34" s="18">
        <f>MAX(0, $A34-AM$4)*IF(RTD("tos.rtd",,"OPEN_INT","."&amp;$AA$3&amp;$AA$4&amp;"C"&amp;AM$4)="N/A",0,RTD("tos.rtd",,"OPEN_INT","."&amp;$AA$3&amp;$AA$4&amp;"C"&amp;AM$4))*100 + MAX(0, AM$4-$A34)*IF(RTD("tos.rtd",,"OPEN_INT","."&amp;$AA$3&amp;$AA$4&amp;"P"&amp;AM$4)="N/A",0,RTD("tos.rtd",,"OPEN_INT","."&amp;$AA$3&amp;$AA$4&amp;"P"&amp;AM$4))*100</f>
        <v>0</v>
      </c>
      <c r="AN34" s="18">
        <f>MAX(0, $A34-AN$4)*IF(RTD("tos.rtd",,"OPEN_INT","."&amp;$AA$3&amp;$AA$4&amp;"C"&amp;AN$4)="N/A",0,RTD("tos.rtd",,"OPEN_INT","."&amp;$AA$3&amp;$AA$4&amp;"C"&amp;AN$4))*100 + MAX(0, AN$4-$A34)*IF(RTD("tos.rtd",,"OPEN_INT","."&amp;$AA$3&amp;$AA$4&amp;"P"&amp;AN$4)="N/A",0,RTD("tos.rtd",,"OPEN_INT","."&amp;$AA$3&amp;$AA$4&amp;"P"&amp;AN$4))*100</f>
        <v>0</v>
      </c>
      <c r="AO34" s="18">
        <f>MAX(0, $A34-AO$4)*IF(RTD("tos.rtd",,"OPEN_INT","."&amp;$AA$3&amp;$AA$4&amp;"C"&amp;AO$4)="N/A",0,RTD("tos.rtd",,"OPEN_INT","."&amp;$AA$3&amp;$AA$4&amp;"C"&amp;AO$4))*100 + MAX(0, AO$4-$A34)*IF(RTD("tos.rtd",,"OPEN_INT","."&amp;$AA$3&amp;$AA$4&amp;"P"&amp;AO$4)="N/A",0,RTD("tos.rtd",,"OPEN_INT","."&amp;$AA$3&amp;$AA$4&amp;"P"&amp;AO$4))*100</f>
        <v>96000</v>
      </c>
      <c r="AP34" s="18">
        <f>MAX(0, $A34-AP$4)*IF(RTD("tos.rtd",,"OPEN_INT","."&amp;$AA$3&amp;$AA$4&amp;"C"&amp;AP$4)="N/A",0,RTD("tos.rtd",,"OPEN_INT","."&amp;$AA$3&amp;$AA$4&amp;"C"&amp;AP$4))*100 + MAX(0, AP$4-$A34)*IF(RTD("tos.rtd",,"OPEN_INT","."&amp;$AA$3&amp;$AA$4&amp;"P"&amp;AP$4)="N/A",0,RTD("tos.rtd",,"OPEN_INT","."&amp;$AA$3&amp;$AA$4&amp;"P"&amp;AP$4))*100</f>
        <v>0</v>
      </c>
      <c r="AQ34" s="18">
        <f>MAX(0, $A34-AQ$4)*IF(RTD("tos.rtd",,"OPEN_INT","."&amp;$AA$3&amp;$AA$4&amp;"C"&amp;AQ$4)="N/A",0,RTD("tos.rtd",,"OPEN_INT","."&amp;$AA$3&amp;$AA$4&amp;"C"&amp;AQ$4))*100 + MAX(0, AQ$4-$A34)*IF(RTD("tos.rtd",,"OPEN_INT","."&amp;$AA$3&amp;$AA$4&amp;"P"&amp;AQ$4)="N/A",0,RTD("tos.rtd",,"OPEN_INT","."&amp;$AA$3&amp;$AA$4&amp;"P"&amp;AQ$4))*100</f>
        <v>37100</v>
      </c>
      <c r="AR34" s="18">
        <f>MAX(0, $A34-AR$4)*IF(RTD("tos.rtd",,"OPEN_INT","."&amp;$AA$3&amp;$AA$4&amp;"C"&amp;AR$4)="N/A",0,RTD("tos.rtd",,"OPEN_INT","."&amp;$AA$3&amp;$AA$4&amp;"C"&amp;AR$4))*100 + MAX(0, AR$4-$A34)*IF(RTD("tos.rtd",,"OPEN_INT","."&amp;$AA$3&amp;$AA$4&amp;"P"&amp;AR$4)="N/A",0,RTD("tos.rtd",,"OPEN_INT","."&amp;$AA$3&amp;$AA$4&amp;"P"&amp;AR$4))*100</f>
        <v>3900</v>
      </c>
      <c r="AS34" s="18">
        <f>MAX(0, $A34-AS$4)*IF(RTD("tos.rtd",,"OPEN_INT","."&amp;$AA$3&amp;$AA$4&amp;"C"&amp;AS$4)="N/A",0,RTD("tos.rtd",,"OPEN_INT","."&amp;$AA$3&amp;$AA$4&amp;"C"&amp;AS$4))*100 + MAX(0, AS$4-$A34)*IF(RTD("tos.rtd",,"OPEN_INT","."&amp;$AA$3&amp;$AA$4&amp;"P"&amp;AS$4)="N/A",0,RTD("tos.rtd",,"OPEN_INT","."&amp;$AA$3&amp;$AA$4&amp;"P"&amp;AS$4))*100</f>
        <v>37200</v>
      </c>
      <c r="AT34" s="18">
        <f>MAX(0, $A34-AT$4)*IF(RTD("tos.rtd",,"OPEN_INT","."&amp;$AA$3&amp;$AA$4&amp;"C"&amp;AT$4)="N/A",0,RTD("tos.rtd",,"OPEN_INT","."&amp;$AA$3&amp;$AA$4&amp;"C"&amp;AT$4))*100 + MAX(0, AT$4-$A34)*IF(RTD("tos.rtd",,"OPEN_INT","."&amp;$AA$3&amp;$AA$4&amp;"P"&amp;AT$4)="N/A",0,RTD("tos.rtd",,"OPEN_INT","."&amp;$AA$3&amp;$AA$4&amp;"P"&amp;AT$4))*100</f>
        <v>38500</v>
      </c>
      <c r="AU34" s="18">
        <f>MAX(0, $A34-AU$4)*IF(RTD("tos.rtd",,"OPEN_INT","."&amp;$AA$3&amp;$AA$4&amp;"C"&amp;AU$4)="N/A",0,RTD("tos.rtd",,"OPEN_INT","."&amp;$AA$3&amp;$AA$4&amp;"C"&amp;AU$4))*100 + MAX(0, AU$4-$A34)*IF(RTD("tos.rtd",,"OPEN_INT","."&amp;$AA$3&amp;$AA$4&amp;"P"&amp;AU$4)="N/A",0,RTD("tos.rtd",,"OPEN_INT","."&amp;$AA$3&amp;$AA$4&amp;"P"&amp;AU$4))*100</f>
        <v>20000</v>
      </c>
      <c r="AV34" s="18">
        <f>MAX(0, $A34-AV$4)*IF(RTD("tos.rtd",,"OPEN_INT","."&amp;$AA$3&amp;$AA$4&amp;"C"&amp;AV$4)="N/A",0,RTD("tos.rtd",,"OPEN_INT","."&amp;$AA$3&amp;$AA$4&amp;"C"&amp;AV$4))*100 + MAX(0, AV$4-$A34)*IF(RTD("tos.rtd",,"OPEN_INT","."&amp;$AA$3&amp;$AA$4&amp;"P"&amp;AV$4)="N/A",0,RTD("tos.rtd",,"OPEN_INT","."&amp;$AA$3&amp;$AA$4&amp;"P"&amp;AV$4))*100</f>
        <v>72450</v>
      </c>
      <c r="AW34" s="18">
        <f>MAX(0, $A34-AW$4)*IF(RTD("tos.rtd",,"OPEN_INT","."&amp;$AA$3&amp;$AA$4&amp;"C"&amp;AW$4)="N/A",0,RTD("tos.rtd",,"OPEN_INT","."&amp;$AA$3&amp;$AA$4&amp;"C"&amp;AW$4))*100 + MAX(0, AW$4-$A34)*IF(RTD("tos.rtd",,"OPEN_INT","."&amp;$AA$3&amp;$AA$4&amp;"P"&amp;AW$4)="N/A",0,RTD("tos.rtd",,"OPEN_INT","."&amp;$AA$3&amp;$AA$4&amp;"P"&amp;AW$4))*100</f>
        <v>80800</v>
      </c>
      <c r="AX34" s="18">
        <f>MAX(0, $A34-AX$4)*IF(RTD("tos.rtd",,"OPEN_INT","."&amp;$AA$3&amp;$AA$4&amp;"C"&amp;AX$4)="N/A",0,RTD("tos.rtd",,"OPEN_INT","."&amp;$AA$3&amp;$AA$4&amp;"C"&amp;AX$4))*100 + MAX(0, AX$4-$A34)*IF(RTD("tos.rtd",,"OPEN_INT","."&amp;$AA$3&amp;$AA$4&amp;"P"&amp;AX$4)="N/A",0,RTD("tos.rtd",,"OPEN_INT","."&amp;$AA$3&amp;$AA$4&amp;"P"&amp;AX$4))*100</f>
        <v>86450</v>
      </c>
      <c r="AY34" s="18">
        <f>MAX(0, $A34-AY$4)*IF(RTD("tos.rtd",,"OPEN_INT","."&amp;$AA$3&amp;$AA$4&amp;"C"&amp;AY$4)="N/A",0,RTD("tos.rtd",,"OPEN_INT","."&amp;$AA$3&amp;$AA$4&amp;"C"&amp;AY$4))*100 + MAX(0, AY$4-$A34)*IF(RTD("tos.rtd",,"OPEN_INT","."&amp;$AA$3&amp;$AA$4&amp;"P"&amp;AY$4)="N/A",0,RTD("tos.rtd",,"OPEN_INT","."&amp;$AA$3&amp;$AA$4&amp;"P"&amp;AY$4))*100</f>
        <v>622200</v>
      </c>
      <c r="AZ34" s="18">
        <f>MAX(0, $A34-AZ$4)*IF(RTD("tos.rtd",,"OPEN_INT","."&amp;$AA$3&amp;$AA$4&amp;"C"&amp;AZ$4)="N/A",0,RTD("tos.rtd",,"OPEN_INT","."&amp;$AA$3&amp;$AA$4&amp;"C"&amp;AZ$4))*100 + MAX(0, AZ$4-$A34)*IF(RTD("tos.rtd",,"OPEN_INT","."&amp;$AA$3&amp;$AA$4&amp;"P"&amp;AZ$4)="N/A",0,RTD("tos.rtd",,"OPEN_INT","."&amp;$AA$3&amp;$AA$4&amp;"P"&amp;AZ$4))*100</f>
        <v>142000</v>
      </c>
      <c r="BA34" s="18">
        <f>MAX(0, $A34-BA$4)*IF(RTD("tos.rtd",,"OPEN_INT","."&amp;$AA$3&amp;$AA$4&amp;"C"&amp;BA$4)="N/A",0,RTD("tos.rtd",,"OPEN_INT","."&amp;$AA$3&amp;$AA$4&amp;"C"&amp;BA$4))*100 + MAX(0, BA$4-$A34)*IF(RTD("tos.rtd",,"OPEN_INT","."&amp;$AA$3&amp;$AA$4&amp;"P"&amp;BA$4)="N/A",0,RTD("tos.rtd",,"OPEN_INT","."&amp;$AA$3&amp;$AA$4&amp;"P"&amp;BA$4))*100</f>
        <v>468000</v>
      </c>
      <c r="BB34" s="18">
        <f>MAX(0, $A34-BB$4)*IF(RTD("tos.rtd",,"OPEN_INT","."&amp;$AA$3&amp;$AA$4&amp;"C"&amp;BB$4)="N/A",0,RTD("tos.rtd",,"OPEN_INT","."&amp;$AA$3&amp;$AA$4&amp;"C"&amp;BB$4))*100 + MAX(0, BB$4-$A34)*IF(RTD("tos.rtd",,"OPEN_INT","."&amp;$AA$3&amp;$AA$4&amp;"P"&amp;BB$4)="N/A",0,RTD("tos.rtd",,"OPEN_INT","."&amp;$AA$3&amp;$AA$4&amp;"P"&amp;BB$4))*100</f>
        <v>342600</v>
      </c>
      <c r="BC34" s="18">
        <f>MAX(0, $A34-BC$4)*IF(RTD("tos.rtd",,"OPEN_INT","."&amp;$AA$3&amp;$AA$4&amp;"C"&amp;BC$4)="N/A",0,RTD("tos.rtd",,"OPEN_INT","."&amp;$AA$3&amp;$AA$4&amp;"C"&amp;BC$4))*100 + MAX(0, BC$4-$A34)*IF(RTD("tos.rtd",,"OPEN_INT","."&amp;$AA$3&amp;$AA$4&amp;"P"&amp;BC$4)="N/A",0,RTD("tos.rtd",,"OPEN_INT","."&amp;$AA$3&amp;$AA$4&amp;"P"&amp;BC$4))*100</f>
        <v>765100</v>
      </c>
      <c r="BD34" s="18">
        <f>MAX(0, $A34-BD$4)*IF(RTD("tos.rtd",,"OPEN_INT","."&amp;$AA$3&amp;$AA$4&amp;"C"&amp;BD$4)="N/A",0,RTD("tos.rtd",,"OPEN_INT","."&amp;$AA$3&amp;$AA$4&amp;"C"&amp;BD$4))*100 + MAX(0, BD$4-$A34)*IF(RTD("tos.rtd",,"OPEN_INT","."&amp;$AA$3&amp;$AA$4&amp;"P"&amp;BD$4)="N/A",0,RTD("tos.rtd",,"OPEN_INT","."&amp;$AA$3&amp;$AA$4&amp;"P"&amp;BD$4))*100</f>
        <v>491050</v>
      </c>
      <c r="BE34" s="18">
        <f>MAX(0, $A34-BE$4)*IF(RTD("tos.rtd",,"OPEN_INT","."&amp;$AA$3&amp;$AA$4&amp;"C"&amp;BE$4)="N/A",0,RTD("tos.rtd",,"OPEN_INT","."&amp;$AA$3&amp;$AA$4&amp;"C"&amp;BE$4))*100 + MAX(0, BE$4-$A34)*IF(RTD("tos.rtd",,"OPEN_INT","."&amp;$AA$3&amp;$AA$4&amp;"P"&amp;BE$4)="N/A",0,RTD("tos.rtd",,"OPEN_INT","."&amp;$AA$3&amp;$AA$4&amp;"P"&amp;BE$4))*100</f>
        <v>0</v>
      </c>
      <c r="BF34" s="18">
        <f>MAX(0, $A34-BF$4)*IF(RTD("tos.rtd",,"OPEN_INT","."&amp;$AA$3&amp;$AA$4&amp;"C"&amp;BF$4)="N/A",0,RTD("tos.rtd",,"OPEN_INT","."&amp;$AA$3&amp;$AA$4&amp;"C"&amp;BF$4))*100 + MAX(0, BF$4-$A34)*IF(RTD("tos.rtd",,"OPEN_INT","."&amp;$AA$3&amp;$AA$4&amp;"P"&amp;BF$4)="N/A",0,RTD("tos.rtd",,"OPEN_INT","."&amp;$AA$3&amp;$AA$4&amp;"P"&amp;BF$4))*100</f>
        <v>420350</v>
      </c>
      <c r="BG34" s="18">
        <f>MAX(0, $A34-BG$4)*IF(RTD("tos.rtd",,"OPEN_INT","."&amp;$AA$3&amp;$AA$4&amp;"C"&amp;BG$4)="N/A",0,RTD("tos.rtd",,"OPEN_INT","."&amp;$AA$3&amp;$AA$4&amp;"C"&amp;BG$4))*100 + MAX(0, BG$4-$A34)*IF(RTD("tos.rtd",,"OPEN_INT","."&amp;$AA$3&amp;$AA$4&amp;"P"&amp;BG$4)="N/A",0,RTD("tos.rtd",,"OPEN_INT","."&amp;$AA$3&amp;$AA$4&amp;"P"&amp;BG$4))*100</f>
        <v>573400</v>
      </c>
      <c r="BH34" s="18">
        <f>MAX(0, $A34-BH$4)*IF(RTD("tos.rtd",,"OPEN_INT","."&amp;$AA$3&amp;$AA$4&amp;"C"&amp;BH$4)="N/A",0,RTD("tos.rtd",,"OPEN_INT","."&amp;$AA$3&amp;$AA$4&amp;"C"&amp;BH$4))*100 + MAX(0, BH$4-$A34)*IF(RTD("tos.rtd",,"OPEN_INT","."&amp;$AA$3&amp;$AA$4&amp;"P"&amp;BH$4)="N/A",0,RTD("tos.rtd",,"OPEN_INT","."&amp;$AA$3&amp;$AA$4&amp;"P"&amp;BH$4))*100</f>
        <v>291450</v>
      </c>
      <c r="BI34" s="18">
        <f>MAX(0, $A34-BI$4)*IF(RTD("tos.rtd",,"OPEN_INT","."&amp;$AA$3&amp;$AA$4&amp;"C"&amp;BI$4)="N/A",0,RTD("tos.rtd",,"OPEN_INT","."&amp;$AA$3&amp;$AA$4&amp;"C"&amp;BI$4))*100 + MAX(0, BI$4-$A34)*IF(RTD("tos.rtd",,"OPEN_INT","."&amp;$AA$3&amp;$AA$4&amp;"P"&amp;BI$4)="N/A",0,RTD("tos.rtd",,"OPEN_INT","."&amp;$AA$3&amp;$AA$4&amp;"P"&amp;BI$4))*100</f>
        <v>168400</v>
      </c>
      <c r="BJ34" s="18">
        <f>MAX(0, $A34-BJ$4)*IF(RTD("tos.rtd",,"OPEN_INT","."&amp;$AA$3&amp;$AA$4&amp;"C"&amp;BJ$4)="N/A",0,RTD("tos.rtd",,"OPEN_INT","."&amp;$AA$3&amp;$AA$4&amp;"C"&amp;BJ$4))*100 + MAX(0, BJ$4-$A34)*IF(RTD("tos.rtd",,"OPEN_INT","."&amp;$AA$3&amp;$AA$4&amp;"P"&amp;BJ$4)="N/A",0,RTD("tos.rtd",,"OPEN_INT","."&amp;$AA$3&amp;$AA$4&amp;"P"&amp;BJ$4))*100</f>
        <v>37750</v>
      </c>
      <c r="BK34" s="18">
        <f>MAX(0, $A34-BK$4)*IF(RTD("tos.rtd",,"OPEN_INT","."&amp;$AA$3&amp;$AA$4&amp;"C"&amp;BK$4)="N/A",0,RTD("tos.rtd",,"OPEN_INT","."&amp;$AA$3&amp;$AA$4&amp;"C"&amp;BK$4))*100 + MAX(0, BK$4-$A34)*IF(RTD("tos.rtd",,"OPEN_INT","."&amp;$AA$3&amp;$AA$4&amp;"P"&amp;BK$4)="N/A",0,RTD("tos.rtd",,"OPEN_INT","."&amp;$AA$3&amp;$AA$4&amp;"P"&amp;BK$4))*100</f>
        <v>78300</v>
      </c>
      <c r="BL34" s="18">
        <f>MAX(0, $A34-BL$4)*IF(RTD("tos.rtd",,"OPEN_INT","."&amp;$AA$3&amp;$AA$4&amp;"C"&amp;BL$4)="N/A",0,RTD("tos.rtd",,"OPEN_INT","."&amp;$AA$3&amp;$AA$4&amp;"C"&amp;BL$4))*100 + MAX(0, BL$4-$A34)*IF(RTD("tos.rtd",,"OPEN_INT","."&amp;$AA$3&amp;$AA$4&amp;"P"&amp;BL$4)="N/A",0,RTD("tos.rtd",,"OPEN_INT","."&amp;$AA$3&amp;$AA$4&amp;"P"&amp;BL$4))*100</f>
        <v>5600</v>
      </c>
      <c r="BM34" s="18">
        <f>MAX(0, $A34-BM$4)*IF(RTD("tos.rtd",,"OPEN_INT","."&amp;$AA$3&amp;$AA$4&amp;"C"&amp;BM$4)="N/A",0,RTD("tos.rtd",,"OPEN_INT","."&amp;$AA$3&amp;$AA$4&amp;"C"&amp;BM$4))*100 + MAX(0, BM$4-$A34)*IF(RTD("tos.rtd",,"OPEN_INT","."&amp;$AA$3&amp;$AA$4&amp;"P"&amp;BM$4)="N/A",0,RTD("tos.rtd",,"OPEN_INT","."&amp;$AA$3&amp;$AA$4&amp;"P"&amp;BM$4))*100</f>
        <v>3200</v>
      </c>
      <c r="BN34" s="18">
        <f>MAX(0, $A34-BN$4)*IF(RTD("tos.rtd",,"OPEN_INT","."&amp;$AA$3&amp;$AA$4&amp;"C"&amp;BN$4)="N/A",0,RTD("tos.rtd",,"OPEN_INT","."&amp;$AA$3&amp;$AA$4&amp;"C"&amp;BN$4))*100 + MAX(0, BN$4-$A34)*IF(RTD("tos.rtd",,"OPEN_INT","."&amp;$AA$3&amp;$AA$4&amp;"P"&amp;BN$4)="N/A",0,RTD("tos.rtd",,"OPEN_INT","."&amp;$AA$3&amp;$AA$4&amp;"P"&amp;BN$4))*100</f>
        <v>13950</v>
      </c>
      <c r="BO34" s="18">
        <f>MAX(0, $A34-BO$4)*IF(RTD("tos.rtd",,"OPEN_INT","."&amp;$AA$3&amp;$AA$4&amp;"C"&amp;BO$4)="N/A",0,RTD("tos.rtd",,"OPEN_INT","."&amp;$AA$3&amp;$AA$4&amp;"C"&amp;BO$4))*100 + MAX(0, BO$4-$A34)*IF(RTD("tos.rtd",,"OPEN_INT","."&amp;$AA$3&amp;$AA$4&amp;"P"&amp;BO$4)="N/A",0,RTD("tos.rtd",,"OPEN_INT","."&amp;$AA$3&amp;$AA$4&amp;"P"&amp;BO$4))*100</f>
        <v>19000</v>
      </c>
      <c r="BP34" s="18">
        <f>MAX(0, $A34-BP$4)*IF(RTD("tos.rtd",,"OPEN_INT","."&amp;$AA$3&amp;$AA$4&amp;"C"&amp;BP$4)="N/A",0,RTD("tos.rtd",,"OPEN_INT","."&amp;$AA$3&amp;$AA$4&amp;"C"&amp;BP$4))*100 + MAX(0, BP$4-$A34)*IF(RTD("tos.rtd",,"OPEN_INT","."&amp;$AA$3&amp;$AA$4&amp;"P"&amp;BP$4)="N/A",0,RTD("tos.rtd",,"OPEN_INT","."&amp;$AA$3&amp;$AA$4&amp;"P"&amp;BP$4))*100</f>
        <v>0</v>
      </c>
      <c r="BQ34" s="18">
        <f>MAX(0, $A34-BQ$4)*IF(RTD("tos.rtd",,"OPEN_INT","."&amp;$AA$3&amp;$AA$4&amp;"C"&amp;BQ$4)="N/A",0,RTD("tos.rtd",,"OPEN_INT","."&amp;$AA$3&amp;$AA$4&amp;"C"&amp;BQ$4))*100 + MAX(0, BQ$4-$A34)*IF(RTD("tos.rtd",,"OPEN_INT","."&amp;$AA$3&amp;$AA$4&amp;"P"&amp;BQ$4)="N/A",0,RTD("tos.rtd",,"OPEN_INT","."&amp;$AA$3&amp;$AA$4&amp;"P"&amp;BQ$4))*100</f>
        <v>0</v>
      </c>
      <c r="BR34" s="18">
        <f>MAX(0, $A34-BR$4)*IF(RTD("tos.rtd",,"OPEN_INT","."&amp;$AA$3&amp;$AA$4&amp;"C"&amp;BR$4)="N/A",0,RTD("tos.rtd",,"OPEN_INT","."&amp;$AA$3&amp;$AA$4&amp;"C"&amp;BR$4))*100 + MAX(0, BR$4-$A34)*IF(RTD("tos.rtd",,"OPEN_INT","."&amp;$AA$3&amp;$AA$4&amp;"P"&amp;BR$4)="N/A",0,RTD("tos.rtd",,"OPEN_INT","."&amp;$AA$3&amp;$AA$4&amp;"P"&amp;BR$4))*100</f>
        <v>0</v>
      </c>
      <c r="BS34" s="18">
        <f>MAX(0, $A34-BS$4)*IF(RTD("tos.rtd",,"OPEN_INT","."&amp;$AA$3&amp;$AA$4&amp;"C"&amp;BS$4)="N/A",0,RTD("tos.rtd",,"OPEN_INT","."&amp;$AA$3&amp;$AA$4&amp;"C"&amp;BS$4))*100 + MAX(0, BS$4-$A34)*IF(RTD("tos.rtd",,"OPEN_INT","."&amp;$AA$3&amp;$AA$4&amp;"P"&amp;BS$4)="N/A",0,RTD("tos.rtd",,"OPEN_INT","."&amp;$AA$3&amp;$AA$4&amp;"P"&amp;BS$4))*100</f>
        <v>0</v>
      </c>
      <c r="BT34" s="18">
        <f>MAX(0, $A34-BT$4)*IF(RTD("tos.rtd",,"OPEN_INT","."&amp;$AA$3&amp;$AA$4&amp;"C"&amp;BT$4)="N/A",0,RTD("tos.rtd",,"OPEN_INT","."&amp;$AA$3&amp;$AA$4&amp;"C"&amp;BT$4))*100 + MAX(0, BT$4-$A34)*IF(RTD("tos.rtd",,"OPEN_INT","."&amp;$AA$3&amp;$AA$4&amp;"P"&amp;BT$4)="N/A",0,RTD("tos.rtd",,"OPEN_INT","."&amp;$AA$3&amp;$AA$4&amp;"P"&amp;BT$4))*100</f>
        <v>0</v>
      </c>
      <c r="BU34" s="18">
        <f>MAX(0, $A34-BU$4)*IF(RTD("tos.rtd",,"OPEN_INT","."&amp;$AA$3&amp;$AA$4&amp;"C"&amp;BU$4)="N/A",0,RTD("tos.rtd",,"OPEN_INT","."&amp;$AA$3&amp;$AA$4&amp;"C"&amp;BU$4))*100 + MAX(0, BU$4-$A34)*IF(RTD("tos.rtd",,"OPEN_INT","."&amp;$AA$3&amp;$AA$4&amp;"P"&amp;BU$4)="N/A",0,RTD("tos.rtd",,"OPEN_INT","."&amp;$AA$3&amp;$AA$4&amp;"P"&amp;BU$4))*100</f>
        <v>0</v>
      </c>
      <c r="BV34" s="18">
        <f>MAX(0, $A34-BV$4)*IF(RTD("tos.rtd",,"OPEN_INT","."&amp;$AA$3&amp;$AA$4&amp;"C"&amp;BV$4)="N/A",0,RTD("tos.rtd",,"OPEN_INT","."&amp;$AA$3&amp;$AA$4&amp;"C"&amp;BV$4))*100 + MAX(0, BV$4-$A34)*IF(RTD("tos.rtd",,"OPEN_INT","."&amp;$AA$3&amp;$AA$4&amp;"P"&amp;BV$4)="N/A",0,RTD("tos.rtd",,"OPEN_INT","."&amp;$AA$3&amp;$AA$4&amp;"P"&amp;BV$4))*100</f>
        <v>0</v>
      </c>
    </row>
    <row r="35" spans="1:74" s="19" customFormat="1" ht="11.1" customHeight="1" thickBot="1" x14ac:dyDescent="0.3">
      <c r="A35" s="23">
        <f t="shared" si="11"/>
        <v>6.5</v>
      </c>
      <c r="B35" s="14">
        <f ca="1">IF($A$2="PREMIUM_OI",IFERROR(IF($X$1="ABS",(100*RTD("tos.rtd",,"OPEN_INT","."&amp;B$2&amp;B$1&amp;"C"&amp;$A35)*RTD("tos.rtd",,"LAST","."&amp;B$2&amp;B$1&amp;"C"&amp;$A35)+100*RTD("tos.rtd",,"OPEN_INT","."&amp;B$2&amp;B$1&amp;"P"&amp;$A35)*RTD("tos.rtd",,"LAST","."&amp;B$2&amp;B$1&amp;"P"&amp;$A35))/1000000,(100*RTD("tos.rtd",,"OPEN_INT","."&amp;B$2&amp;B$1&amp;"C"&amp;$A35)*RTD("tos.rtd",,"LAST","."&amp;B$2&amp;B$1&amp;"C"&amp;$A35)-100*RTD("tos.rtd",,"OPEN_INT","."&amp;B$2&amp;B$1&amp;"P"&amp;$A35)*RTD("tos.rtd",,"LAST","."&amp;B$2&amp;B$1&amp;"P"&amp;$A35))/1000000),0),IF($A$2="PREMIUM",IFERROR(IF($X$1="ABS",(100*RTD("tos.rtd",,"VOLUME","."&amp;B$2&amp;B$1&amp;"C"&amp;$A35)*RTD("tos.rtd",,"LAST","."&amp;B$2&amp;B$1&amp;"C"&amp;$A35)+100*RTD("tos.rtd",,"VOLUME","."&amp;B$2&amp;B$1&amp;"P"&amp;$A35)*RTD("tos.rtd",,"LAST","."&amp;B$2&amp;B$1&amp;"P"&amp;$A35))/1000000,(100*RTD("tos.rtd",,"VOLUME","."&amp;B$2&amp;B$1&amp;"C"&amp;$A35)*RTD("tos.rtd",,"LAST","."&amp;B$2&amp;B$1&amp;"C"&amp;$A35)-100*RTD("tos.rtd",,"VOLUME","."&amp;B$2&amp;B$1&amp;"P"&amp;$A35)*RTD("tos.rtd",,"LAST","."&amp;B$2&amp;B$1&amp;"P"&amp;$A35))/1000000),0),IF($A$2="DEX",IFERROR(IF($X$1="ABS",(100*RTD("tos.rtd",,"OPEN_INT","."&amp;B$2&amp;B$1&amp;"C"&amp;$A35)*RTD("tos.rtd",,"DELTA","."&amp;B$2&amp;B$1&amp;"C"&amp;$A35)+100*RTD("tos.rtd",,"OPEN_INT","."&amp;B$2&amp;B$1&amp;"P"&amp;$A35)*RTD("tos.rtd",,"DELTA","."&amp;B$2&amp;B$1&amp;"P"&amp;$A35))/1000,(100*RTD("tos.rtd",,"OPEN_INT","."&amp;B$2&amp;B$1&amp;"C"&amp;$A35)*RTD("tos.rtd",,"DELTA","."&amp;B$2&amp;B$1&amp;"C"&amp;$A35)-100*RTD("tos.rtd",,"OPEN_INT","."&amp;B$2&amp;B$1&amp;"P"&amp;$A35)*RTD("tos.rtd",,"DELTA","."&amp;B$2&amp;B$1&amp;"P"&amp;$A35))/1000),0),IF($A$2="VEX",IFERROR(IF($X$1="ABS",($A$4*$A$4*RTD("tos.rtd",,"VOLUME","."&amp;B$2&amp;B$1&amp;"C"&amp;$A35)*RTD("tos.rtd",,"GAMMA","."&amp;B$2&amp;B$1&amp;"C"&amp;$A35)+$A$4*$A$4*RTD("tos.rtd",,"VOLUME","."&amp;B$2&amp;B$1&amp;"P"&amp;$A35)*RTD("tos.rtd",,"GAMMA","."&amp;B$2&amp;B$1&amp;"P"&amp;$A35))/1000000,($A$4*$A$4*RTD("tos.rtd",,"VOLUME","."&amp;B$2&amp;B$1&amp;"C"&amp;$A35)*RTD("tos.rtd",,"GAMMA","."&amp;B$2&amp;B$1&amp;"C"&amp;$A35)-$A$4*$A$4*RTD("tos.rtd",,"VOLUME","."&amp;B$2&amp;B$1&amp;"P"&amp;$A35)*RTD("tos.rtd",,"GAMMA","."&amp;B$2&amp;B$1&amp;"P"&amp;$A35))/1000000),0),IF($A$2="GEX",IFERROR(IF($X$1="ABS",($A$4*$A$4*RTD("tos.rtd",,"OPEN_INT","."&amp;B$2&amp;B$1&amp;"C"&amp;$A35)*RTD("tos.rtd",,"GAMMA","."&amp;B$2&amp;B$1&amp;"C"&amp;$A35)+$A$4*$A$4*RTD("tos.rtd",,"OPEN_INT","."&amp;B$2&amp;B$1&amp;"P"&amp;$A35)*RTD("tos.rtd",,"GAMMA","."&amp;B$2&amp;B$1&amp;"P"&amp;$A35))/1000000,($A$4*$A$4*RTD("tos.rtd",,"OPEN_INT","."&amp;B$2&amp;B$1&amp;"C"&amp;$A35)*RTD("tos.rtd",,"GAMMA","."&amp;B$2&amp;B$1&amp;"C"&amp;$A35)-$A$4*$A$4*RTD("tos.rtd",,"OPEN_INT","."&amp;B$2&amp;B$1&amp;"P"&amp;$A35)*RTD("tos.rtd",,"GAMMA","."&amp;B$2&amp;B$1&amp;"P"&amp;$A35))/1000000),0),IF($A$2="SKEW",IFERROR(VALUE(IF(RTD("tos.rtd",,"IMPL_VOL","."&amp;B$2&amp;B$1&amp;"P"&amp;$A35)="N/A",0,RTD("tos.rtd",,"IMPL_VOL","."&amp;B$2&amp;B$1&amp;"P"&amp;$A35))),0)-IFERROR(VALUE(IF(RTD("tos.rtd",,"IMPL_VOL","."&amp;B$2&amp;B$1&amp;"C"&amp;$A35)="N/A",0,RTD("tos.rtd",,"IMPL_VOL","."&amp;B$2&amp;B$1&amp;"C"&amp;$A35))),0),IF($A$2="MAXPAIN",IF($A$4&gt;$A35,($A$4-$A35)*IF(RTD("tos.rtd",,"OPEN_INT","."&amp;B$2&amp;B$1&amp;"C"&amp;$A35)="N/A",0,RTD("tos.rtd",,"OPEN_INT","."&amp;B$2&amp;B$1&amp;"C"&amp;$A35)),0)+IF($A$4&lt;$A35,($A$5-$A$4)*IF(RTD("tos.rtd",,"OPEN_INT","."&amp;B$2&amp;B$1&amp;"P"&amp;$A35)="N/A",0,RTD("tos.rtd",,"OPEN_INT","."&amp;B$2&amp;B$1&amp;"P"&amp;$A35)),0),IF($X$1="ABS",IF(RTD("tos.rtd",,$A$2,"."&amp;B$2&amp;B$1&amp;"C"&amp;$A35)="N/A",0,RTD("tos.rtd",,$A$2,"."&amp;B$2&amp;B$1&amp;"C"&amp;$A35))+IF(RTD("tos.rtd",,$A$2,"."&amp;B$2&amp;B$1&amp;"P"&amp;$A35)="N/A",0,RTD("tos.rtd",,$A$2,"."&amp;B$2&amp;B$1&amp;"P"&amp;$A35)),IF(RTD("tos.rtd",,$A$2,"."&amp;B$2&amp;B$1&amp;"C"&amp;$A35)="N/A",0,RTD("tos.rtd",,$A$2,"."&amp;B$2&amp;B$1&amp;"C"&amp;$A35))-IF(RTD("tos.rtd",,$A$2,"."&amp;B$2&amp;B$1&amp;"P"&amp;$A35)="N/A",0,RTD("tos.rtd",,$A$2,"."&amp;B$2&amp;B$1&amp;"P"&amp;$A35))))))))))</f>
        <v>0</v>
      </c>
      <c r="C35" s="12">
        <f ca="1">IF($A$2="PREMIUM_OI",IFERROR(IF($X$1="ABS",(100*RTD("tos.rtd",,"OPEN_INT","."&amp;C$2&amp;C$1&amp;"C"&amp;$A35)*RTD("tos.rtd",,"LAST","."&amp;C$2&amp;C$1&amp;"C"&amp;$A35)+100*RTD("tos.rtd",,"OPEN_INT","."&amp;C$2&amp;C$1&amp;"P"&amp;$A35)*RTD("tos.rtd",,"LAST","."&amp;C$2&amp;C$1&amp;"P"&amp;$A35))/1000000,(100*RTD("tos.rtd",,"OPEN_INT","."&amp;C$2&amp;C$1&amp;"C"&amp;$A35)*RTD("tos.rtd",,"LAST","."&amp;C$2&amp;C$1&amp;"C"&amp;$A35)-100*RTD("tos.rtd",,"OPEN_INT","."&amp;C$2&amp;C$1&amp;"P"&amp;$A35)*RTD("tos.rtd",,"LAST","."&amp;C$2&amp;C$1&amp;"P"&amp;$A35))/1000000),0),IF($A$2="PREMIUM",IFERROR(IF($X$1="ABS",(100*RTD("tos.rtd",,"VOLUME","."&amp;C$2&amp;C$1&amp;"C"&amp;$A35)*RTD("tos.rtd",,"LAST","."&amp;C$2&amp;C$1&amp;"C"&amp;$A35)+100*RTD("tos.rtd",,"VOLUME","."&amp;C$2&amp;C$1&amp;"P"&amp;$A35)*RTD("tos.rtd",,"LAST","."&amp;C$2&amp;C$1&amp;"P"&amp;$A35))/1000000,(100*RTD("tos.rtd",,"VOLUME","."&amp;C$2&amp;C$1&amp;"C"&amp;$A35)*RTD("tos.rtd",,"LAST","."&amp;C$2&amp;C$1&amp;"C"&amp;$A35)-100*RTD("tos.rtd",,"VOLUME","."&amp;C$2&amp;C$1&amp;"P"&amp;$A35)*RTD("tos.rtd",,"LAST","."&amp;C$2&amp;C$1&amp;"P"&amp;$A35))/1000000),0),IF($A$2="DEX",IFERROR(IF($X$1="ABS",(100*RTD("tos.rtd",,"OPEN_INT","."&amp;C$2&amp;C$1&amp;"C"&amp;$A35)*RTD("tos.rtd",,"DELTA","."&amp;C$2&amp;C$1&amp;"C"&amp;$A35)+100*RTD("tos.rtd",,"OPEN_INT","."&amp;C$2&amp;C$1&amp;"P"&amp;$A35)*RTD("tos.rtd",,"DELTA","."&amp;C$2&amp;C$1&amp;"P"&amp;$A35))/1000,(100*RTD("tos.rtd",,"OPEN_INT","."&amp;C$2&amp;C$1&amp;"C"&amp;$A35)*RTD("tos.rtd",,"DELTA","."&amp;C$2&amp;C$1&amp;"C"&amp;$A35)-100*RTD("tos.rtd",,"OPEN_INT","."&amp;C$2&amp;C$1&amp;"P"&amp;$A35)*RTD("tos.rtd",,"DELTA","."&amp;C$2&amp;C$1&amp;"P"&amp;$A35))/1000),0),IF($A$2="VEX",IFERROR(IF($X$1="ABS",($A$4*$A$4*RTD("tos.rtd",,"VOLUME","."&amp;C$2&amp;C$1&amp;"C"&amp;$A35)*RTD("tos.rtd",,"GAMMA","."&amp;C$2&amp;C$1&amp;"C"&amp;$A35)+$A$4*$A$4*RTD("tos.rtd",,"VOLUME","."&amp;C$2&amp;C$1&amp;"P"&amp;$A35)*RTD("tos.rtd",,"GAMMA","."&amp;C$2&amp;C$1&amp;"P"&amp;$A35))/1000000,($A$4*$A$4*RTD("tos.rtd",,"VOLUME","."&amp;C$2&amp;C$1&amp;"C"&amp;$A35)*RTD("tos.rtd",,"GAMMA","."&amp;C$2&amp;C$1&amp;"C"&amp;$A35)-$A$4*$A$4*RTD("tos.rtd",,"VOLUME","."&amp;C$2&amp;C$1&amp;"P"&amp;$A35)*RTD("tos.rtd",,"GAMMA","."&amp;C$2&amp;C$1&amp;"P"&amp;$A35))/1000000),0),IF($A$2="GEX",IFERROR(IF($X$1="ABS",($A$4*$A$4*RTD("tos.rtd",,"OPEN_INT","."&amp;C$2&amp;C$1&amp;"C"&amp;$A35)*RTD("tos.rtd",,"GAMMA","."&amp;C$2&amp;C$1&amp;"C"&amp;$A35)+$A$4*$A$4*RTD("tos.rtd",,"OPEN_INT","."&amp;C$2&amp;C$1&amp;"P"&amp;$A35)*RTD("tos.rtd",,"GAMMA","."&amp;C$2&amp;C$1&amp;"P"&amp;$A35))/1000000,($A$4*$A$4*RTD("tos.rtd",,"OPEN_INT","."&amp;C$2&amp;C$1&amp;"C"&amp;$A35)*RTD("tos.rtd",,"GAMMA","."&amp;C$2&amp;C$1&amp;"C"&amp;$A35)-$A$4*$A$4*RTD("tos.rtd",,"OPEN_INT","."&amp;C$2&amp;C$1&amp;"P"&amp;$A35)*RTD("tos.rtd",,"GAMMA","."&amp;C$2&amp;C$1&amp;"P"&amp;$A35))/1000000),0),IF($A$2="SKEW",IFERROR(VALUE(IF(RTD("tos.rtd",,"IMPL_VOL","."&amp;C$2&amp;C$1&amp;"P"&amp;$A35)="N/A",0,RTD("tos.rtd",,"IMPL_VOL","."&amp;C$2&amp;C$1&amp;"P"&amp;$A35))),0)-IFERROR(VALUE(IF(RTD("tos.rtd",,"IMPL_VOL","."&amp;C$2&amp;C$1&amp;"C"&amp;$A35)="N/A",0,RTD("tos.rtd",,"IMPL_VOL","."&amp;C$2&amp;C$1&amp;"C"&amp;$A35))),0),IF($A$2="MAXPAIN",IF($A$4&gt;$A35,($A$4-$A35)*IF(RTD("tos.rtd",,"OPEN_INT","."&amp;C$2&amp;C$1&amp;"C"&amp;$A35)="N/A",0,RTD("tos.rtd",,"OPEN_INT","."&amp;C$2&amp;C$1&amp;"C"&amp;$A35)),0)+IF($A$4&lt;$A35,($A$5-$A$4)*IF(RTD("tos.rtd",,"OPEN_INT","."&amp;C$2&amp;C$1&amp;"P"&amp;$A35)="N/A",0,RTD("tos.rtd",,"OPEN_INT","."&amp;C$2&amp;C$1&amp;"P"&amp;$A35)),0),IF($X$1="ABS",IF(RTD("tos.rtd",,$A$2,"."&amp;C$2&amp;C$1&amp;"C"&amp;$A35)="N/A",0,RTD("tos.rtd",,$A$2,"."&amp;C$2&amp;C$1&amp;"C"&amp;$A35))+IF(RTD("tos.rtd",,$A$2,"."&amp;C$2&amp;C$1&amp;"P"&amp;$A35)="N/A",0,RTD("tos.rtd",,$A$2,"."&amp;C$2&amp;C$1&amp;"P"&amp;$A35)),IF(RTD("tos.rtd",,$A$2,"."&amp;C$2&amp;C$1&amp;"C"&amp;$A35)="N/A",0,RTD("tos.rtd",,$A$2,"."&amp;C$2&amp;C$1&amp;"C"&amp;$A35))-IF(RTD("tos.rtd",,$A$2,"."&amp;C$2&amp;C$1&amp;"P"&amp;$A35)="N/A",0,RTD("tos.rtd",,$A$2,"."&amp;C$2&amp;C$1&amp;"P"&amp;$A35))))))))))</f>
        <v>-5502</v>
      </c>
      <c r="D35" s="12">
        <f ca="1">IF($A$2="PREMIUM_OI",IFERROR(IF($X$1="ABS",(100*RTD("tos.rtd",,"OPEN_INT","."&amp;D$2&amp;D$1&amp;"C"&amp;$A35)*RTD("tos.rtd",,"LAST","."&amp;D$2&amp;D$1&amp;"C"&amp;$A35)+100*RTD("tos.rtd",,"OPEN_INT","."&amp;D$2&amp;D$1&amp;"P"&amp;$A35)*RTD("tos.rtd",,"LAST","."&amp;D$2&amp;D$1&amp;"P"&amp;$A35))/1000000,(100*RTD("tos.rtd",,"OPEN_INT","."&amp;D$2&amp;D$1&amp;"C"&amp;$A35)*RTD("tos.rtd",,"LAST","."&amp;D$2&amp;D$1&amp;"C"&amp;$A35)-100*RTD("tos.rtd",,"OPEN_INT","."&amp;D$2&amp;D$1&amp;"P"&amp;$A35)*RTD("tos.rtd",,"LAST","."&amp;D$2&amp;D$1&amp;"P"&amp;$A35))/1000000),0),IF($A$2="PREMIUM",IFERROR(IF($X$1="ABS",(100*RTD("tos.rtd",,"VOLUME","."&amp;D$2&amp;D$1&amp;"C"&amp;$A35)*RTD("tos.rtd",,"LAST","."&amp;D$2&amp;D$1&amp;"C"&amp;$A35)+100*RTD("tos.rtd",,"VOLUME","."&amp;D$2&amp;D$1&amp;"P"&amp;$A35)*RTD("tos.rtd",,"LAST","."&amp;D$2&amp;D$1&amp;"P"&amp;$A35))/1000000,(100*RTD("tos.rtd",,"VOLUME","."&amp;D$2&amp;D$1&amp;"C"&amp;$A35)*RTD("tos.rtd",,"LAST","."&amp;D$2&amp;D$1&amp;"C"&amp;$A35)-100*RTD("tos.rtd",,"VOLUME","."&amp;D$2&amp;D$1&amp;"P"&amp;$A35)*RTD("tos.rtd",,"LAST","."&amp;D$2&amp;D$1&amp;"P"&amp;$A35))/1000000),0),IF($A$2="DEX",IFERROR(IF($X$1="ABS",(100*RTD("tos.rtd",,"OPEN_INT","."&amp;D$2&amp;D$1&amp;"C"&amp;$A35)*RTD("tos.rtd",,"DELTA","."&amp;D$2&amp;D$1&amp;"C"&amp;$A35)+100*RTD("tos.rtd",,"OPEN_INT","."&amp;D$2&amp;D$1&amp;"P"&amp;$A35)*RTD("tos.rtd",,"DELTA","."&amp;D$2&amp;D$1&amp;"P"&amp;$A35))/1000,(100*RTD("tos.rtd",,"OPEN_INT","."&amp;D$2&amp;D$1&amp;"C"&amp;$A35)*RTD("tos.rtd",,"DELTA","."&amp;D$2&amp;D$1&amp;"C"&amp;$A35)-100*RTD("tos.rtd",,"OPEN_INT","."&amp;D$2&amp;D$1&amp;"P"&amp;$A35)*RTD("tos.rtd",,"DELTA","."&amp;D$2&amp;D$1&amp;"P"&amp;$A35))/1000),0),IF($A$2="VEX",IFERROR(IF($X$1="ABS",($A$4*$A$4*RTD("tos.rtd",,"VOLUME","."&amp;D$2&amp;D$1&amp;"C"&amp;$A35)*RTD("tos.rtd",,"GAMMA","."&amp;D$2&amp;D$1&amp;"C"&amp;$A35)+$A$4*$A$4*RTD("tos.rtd",,"VOLUME","."&amp;D$2&amp;D$1&amp;"P"&amp;$A35)*RTD("tos.rtd",,"GAMMA","."&amp;D$2&amp;D$1&amp;"P"&amp;$A35))/1000000,($A$4*$A$4*RTD("tos.rtd",,"VOLUME","."&amp;D$2&amp;D$1&amp;"C"&amp;$A35)*RTD("tos.rtd",,"GAMMA","."&amp;D$2&amp;D$1&amp;"C"&amp;$A35)-$A$4*$A$4*RTD("tos.rtd",,"VOLUME","."&amp;D$2&amp;D$1&amp;"P"&amp;$A35)*RTD("tos.rtd",,"GAMMA","."&amp;D$2&amp;D$1&amp;"P"&amp;$A35))/1000000),0),IF($A$2="GEX",IFERROR(IF($X$1="ABS",($A$4*$A$4*RTD("tos.rtd",,"OPEN_INT","."&amp;D$2&amp;D$1&amp;"C"&amp;$A35)*RTD("tos.rtd",,"GAMMA","."&amp;D$2&amp;D$1&amp;"C"&amp;$A35)+$A$4*$A$4*RTD("tos.rtd",,"OPEN_INT","."&amp;D$2&amp;D$1&amp;"P"&amp;$A35)*RTD("tos.rtd",,"GAMMA","."&amp;D$2&amp;D$1&amp;"P"&amp;$A35))/1000000,($A$4*$A$4*RTD("tos.rtd",,"OPEN_INT","."&amp;D$2&amp;D$1&amp;"C"&amp;$A35)*RTD("tos.rtd",,"GAMMA","."&amp;D$2&amp;D$1&amp;"C"&amp;$A35)-$A$4*$A$4*RTD("tos.rtd",,"OPEN_INT","."&amp;D$2&amp;D$1&amp;"P"&amp;$A35)*RTD("tos.rtd",,"GAMMA","."&amp;D$2&amp;D$1&amp;"P"&amp;$A35))/1000000),0),IF($A$2="SKEW",IFERROR(VALUE(IF(RTD("tos.rtd",,"IMPL_VOL","."&amp;D$2&amp;D$1&amp;"P"&amp;$A35)="N/A",0,RTD("tos.rtd",,"IMPL_VOL","."&amp;D$2&amp;D$1&amp;"P"&amp;$A35))),0)-IFERROR(VALUE(IF(RTD("tos.rtd",,"IMPL_VOL","."&amp;D$2&amp;D$1&amp;"C"&amp;$A35)="N/A",0,RTD("tos.rtd",,"IMPL_VOL","."&amp;D$2&amp;D$1&amp;"C"&amp;$A35))),0),IF($A$2="MAXPAIN",IF($A$4&gt;$A35,($A$4-$A35)*IF(RTD("tos.rtd",,"OPEN_INT","."&amp;D$2&amp;D$1&amp;"C"&amp;$A35)="N/A",0,RTD("tos.rtd",,"OPEN_INT","."&amp;D$2&amp;D$1&amp;"C"&amp;$A35)),0)+IF($A$4&lt;$A35,($A$5-$A$4)*IF(RTD("tos.rtd",,"OPEN_INT","."&amp;D$2&amp;D$1&amp;"P"&amp;$A35)="N/A",0,RTD("tos.rtd",,"OPEN_INT","."&amp;D$2&amp;D$1&amp;"P"&amp;$A35)),0),IF($X$1="ABS",IF(RTD("tos.rtd",,$A$2,"."&amp;D$2&amp;D$1&amp;"C"&amp;$A35)="N/A",0,RTD("tos.rtd",,$A$2,"."&amp;D$2&amp;D$1&amp;"C"&amp;$A35))+IF(RTD("tos.rtd",,$A$2,"."&amp;D$2&amp;D$1&amp;"P"&amp;$A35)="N/A",0,RTD("tos.rtd",,$A$2,"."&amp;D$2&amp;D$1&amp;"P"&amp;$A35)),IF(RTD("tos.rtd",,$A$2,"."&amp;D$2&amp;D$1&amp;"C"&amp;$A35)="N/A",0,RTD("tos.rtd",,$A$2,"."&amp;D$2&amp;D$1&amp;"C"&amp;$A35))-IF(RTD("tos.rtd",,$A$2,"."&amp;D$2&amp;D$1&amp;"P"&amp;$A35)="N/A",0,RTD("tos.rtd",,$A$2,"."&amp;D$2&amp;D$1&amp;"P"&amp;$A35))))))))))</f>
        <v>-1811</v>
      </c>
      <c r="E35" s="12">
        <f ca="1">IF($A$2="PREMIUM_OI",IFERROR(IF($X$1="ABS",(100*RTD("tos.rtd",,"OPEN_INT","."&amp;E$2&amp;E$1&amp;"C"&amp;$A35)*RTD("tos.rtd",,"LAST","."&amp;E$2&amp;E$1&amp;"C"&amp;$A35)+100*RTD("tos.rtd",,"OPEN_INT","."&amp;E$2&amp;E$1&amp;"P"&amp;$A35)*RTD("tos.rtd",,"LAST","."&amp;E$2&amp;E$1&amp;"P"&amp;$A35))/1000000,(100*RTD("tos.rtd",,"OPEN_INT","."&amp;E$2&amp;E$1&amp;"C"&amp;$A35)*RTD("tos.rtd",,"LAST","."&amp;E$2&amp;E$1&amp;"C"&amp;$A35)-100*RTD("tos.rtd",,"OPEN_INT","."&amp;E$2&amp;E$1&amp;"P"&amp;$A35)*RTD("tos.rtd",,"LAST","."&amp;E$2&amp;E$1&amp;"P"&amp;$A35))/1000000),0),IF($A$2="PREMIUM",IFERROR(IF($X$1="ABS",(100*RTD("tos.rtd",,"VOLUME","."&amp;E$2&amp;E$1&amp;"C"&amp;$A35)*RTD("tos.rtd",,"LAST","."&amp;E$2&amp;E$1&amp;"C"&amp;$A35)+100*RTD("tos.rtd",,"VOLUME","."&amp;E$2&amp;E$1&amp;"P"&amp;$A35)*RTD("tos.rtd",,"LAST","."&amp;E$2&amp;E$1&amp;"P"&amp;$A35))/1000000,(100*RTD("tos.rtd",,"VOLUME","."&amp;E$2&amp;E$1&amp;"C"&amp;$A35)*RTD("tos.rtd",,"LAST","."&amp;E$2&amp;E$1&amp;"C"&amp;$A35)-100*RTD("tos.rtd",,"VOLUME","."&amp;E$2&amp;E$1&amp;"P"&amp;$A35)*RTD("tos.rtd",,"LAST","."&amp;E$2&amp;E$1&amp;"P"&amp;$A35))/1000000),0),IF($A$2="DEX",IFERROR(IF($X$1="ABS",(100*RTD("tos.rtd",,"OPEN_INT","."&amp;E$2&amp;E$1&amp;"C"&amp;$A35)*RTD("tos.rtd",,"DELTA","."&amp;E$2&amp;E$1&amp;"C"&amp;$A35)+100*RTD("tos.rtd",,"OPEN_INT","."&amp;E$2&amp;E$1&amp;"P"&amp;$A35)*RTD("tos.rtd",,"DELTA","."&amp;E$2&amp;E$1&amp;"P"&amp;$A35))/1000,(100*RTD("tos.rtd",,"OPEN_INT","."&amp;E$2&amp;E$1&amp;"C"&amp;$A35)*RTD("tos.rtd",,"DELTA","."&amp;E$2&amp;E$1&amp;"C"&amp;$A35)-100*RTD("tos.rtd",,"OPEN_INT","."&amp;E$2&amp;E$1&amp;"P"&amp;$A35)*RTD("tos.rtd",,"DELTA","."&amp;E$2&amp;E$1&amp;"P"&amp;$A35))/1000),0),IF($A$2="VEX",IFERROR(IF($X$1="ABS",($A$4*$A$4*RTD("tos.rtd",,"VOLUME","."&amp;E$2&amp;E$1&amp;"C"&amp;$A35)*RTD("tos.rtd",,"GAMMA","."&amp;E$2&amp;E$1&amp;"C"&amp;$A35)+$A$4*$A$4*RTD("tos.rtd",,"VOLUME","."&amp;E$2&amp;E$1&amp;"P"&amp;$A35)*RTD("tos.rtd",,"GAMMA","."&amp;E$2&amp;E$1&amp;"P"&amp;$A35))/1000000,($A$4*$A$4*RTD("tos.rtd",,"VOLUME","."&amp;E$2&amp;E$1&amp;"C"&amp;$A35)*RTD("tos.rtd",,"GAMMA","."&amp;E$2&amp;E$1&amp;"C"&amp;$A35)-$A$4*$A$4*RTD("tos.rtd",,"VOLUME","."&amp;E$2&amp;E$1&amp;"P"&amp;$A35)*RTD("tos.rtd",,"GAMMA","."&amp;E$2&amp;E$1&amp;"P"&amp;$A35))/1000000),0),IF($A$2="GEX",IFERROR(IF($X$1="ABS",($A$4*$A$4*RTD("tos.rtd",,"OPEN_INT","."&amp;E$2&amp;E$1&amp;"C"&amp;$A35)*RTD("tos.rtd",,"GAMMA","."&amp;E$2&amp;E$1&amp;"C"&amp;$A35)+$A$4*$A$4*RTD("tos.rtd",,"OPEN_INT","."&amp;E$2&amp;E$1&amp;"P"&amp;$A35)*RTD("tos.rtd",,"GAMMA","."&amp;E$2&amp;E$1&amp;"P"&amp;$A35))/1000000,($A$4*$A$4*RTD("tos.rtd",,"OPEN_INT","."&amp;E$2&amp;E$1&amp;"C"&amp;$A35)*RTD("tos.rtd",,"GAMMA","."&amp;E$2&amp;E$1&amp;"C"&amp;$A35)-$A$4*$A$4*RTD("tos.rtd",,"OPEN_INT","."&amp;E$2&amp;E$1&amp;"P"&amp;$A35)*RTD("tos.rtd",,"GAMMA","."&amp;E$2&amp;E$1&amp;"P"&amp;$A35))/1000000),0),IF($A$2="SKEW",IFERROR(VALUE(IF(RTD("tos.rtd",,"IMPL_VOL","."&amp;E$2&amp;E$1&amp;"P"&amp;$A35)="N/A",0,RTD("tos.rtd",,"IMPL_VOL","."&amp;E$2&amp;E$1&amp;"P"&amp;$A35))),0)-IFERROR(VALUE(IF(RTD("tos.rtd",,"IMPL_VOL","."&amp;E$2&amp;E$1&amp;"C"&amp;$A35)="N/A",0,RTD("tos.rtd",,"IMPL_VOL","."&amp;E$2&amp;E$1&amp;"C"&amp;$A35))),0),IF($A$2="MAXPAIN",IF($A$4&gt;$A35,($A$4-$A35)*IF(RTD("tos.rtd",,"OPEN_INT","."&amp;E$2&amp;E$1&amp;"C"&amp;$A35)="N/A",0,RTD("tos.rtd",,"OPEN_INT","."&amp;E$2&amp;E$1&amp;"C"&amp;$A35)),0)+IF($A$4&lt;$A35,($A$5-$A$4)*IF(RTD("tos.rtd",,"OPEN_INT","."&amp;E$2&amp;E$1&amp;"P"&amp;$A35)="N/A",0,RTD("tos.rtd",,"OPEN_INT","."&amp;E$2&amp;E$1&amp;"P"&amp;$A35)),0),IF($X$1="ABS",IF(RTD("tos.rtd",,$A$2,"."&amp;E$2&amp;E$1&amp;"C"&amp;$A35)="N/A",0,RTD("tos.rtd",,$A$2,"."&amp;E$2&amp;E$1&amp;"C"&amp;$A35))+IF(RTD("tos.rtd",,$A$2,"."&amp;E$2&amp;E$1&amp;"P"&amp;$A35)="N/A",0,RTD("tos.rtd",,$A$2,"."&amp;E$2&amp;E$1&amp;"P"&amp;$A35)),IF(RTD("tos.rtd",,$A$2,"."&amp;E$2&amp;E$1&amp;"C"&amp;$A35)="N/A",0,RTD("tos.rtd",,$A$2,"."&amp;E$2&amp;E$1&amp;"C"&amp;$A35))-IF(RTD("tos.rtd",,$A$2,"."&amp;E$2&amp;E$1&amp;"P"&amp;$A35)="N/A",0,RTD("tos.rtd",,$A$2,"."&amp;E$2&amp;E$1&amp;"P"&amp;$A35))))))))))</f>
        <v>85</v>
      </c>
      <c r="F35" s="12">
        <f ca="1">IF($A$2="PREMIUM_OI",IFERROR(IF($X$1="ABS",(100*RTD("tos.rtd",,"OPEN_INT","."&amp;F$2&amp;F$1&amp;"C"&amp;$A35)*RTD("tos.rtd",,"LAST","."&amp;F$2&amp;F$1&amp;"C"&amp;$A35)+100*RTD("tos.rtd",,"OPEN_INT","."&amp;F$2&amp;F$1&amp;"P"&amp;$A35)*RTD("tos.rtd",,"LAST","."&amp;F$2&amp;F$1&amp;"P"&amp;$A35))/1000000,(100*RTD("tos.rtd",,"OPEN_INT","."&amp;F$2&amp;F$1&amp;"C"&amp;$A35)*RTD("tos.rtd",,"LAST","."&amp;F$2&amp;F$1&amp;"C"&amp;$A35)-100*RTD("tos.rtd",,"OPEN_INT","."&amp;F$2&amp;F$1&amp;"P"&amp;$A35)*RTD("tos.rtd",,"LAST","."&amp;F$2&amp;F$1&amp;"P"&amp;$A35))/1000000),0),IF($A$2="PREMIUM",IFERROR(IF($X$1="ABS",(100*RTD("tos.rtd",,"VOLUME","."&amp;F$2&amp;F$1&amp;"C"&amp;$A35)*RTD("tos.rtd",,"LAST","."&amp;F$2&amp;F$1&amp;"C"&amp;$A35)+100*RTD("tos.rtd",,"VOLUME","."&amp;F$2&amp;F$1&amp;"P"&amp;$A35)*RTD("tos.rtd",,"LAST","."&amp;F$2&amp;F$1&amp;"P"&amp;$A35))/1000000,(100*RTD("tos.rtd",,"VOLUME","."&amp;F$2&amp;F$1&amp;"C"&amp;$A35)*RTD("tos.rtd",,"LAST","."&amp;F$2&amp;F$1&amp;"C"&amp;$A35)-100*RTD("tos.rtd",,"VOLUME","."&amp;F$2&amp;F$1&amp;"P"&amp;$A35)*RTD("tos.rtd",,"LAST","."&amp;F$2&amp;F$1&amp;"P"&amp;$A35))/1000000),0),IF($A$2="DEX",IFERROR(IF($X$1="ABS",(100*RTD("tos.rtd",,"OPEN_INT","."&amp;F$2&amp;F$1&amp;"C"&amp;$A35)*RTD("tos.rtd",,"DELTA","."&amp;F$2&amp;F$1&amp;"C"&amp;$A35)+100*RTD("tos.rtd",,"OPEN_INT","."&amp;F$2&amp;F$1&amp;"P"&amp;$A35)*RTD("tos.rtd",,"DELTA","."&amp;F$2&amp;F$1&amp;"P"&amp;$A35))/1000,(100*RTD("tos.rtd",,"OPEN_INT","."&amp;F$2&amp;F$1&amp;"C"&amp;$A35)*RTD("tos.rtd",,"DELTA","."&amp;F$2&amp;F$1&amp;"C"&amp;$A35)-100*RTD("tos.rtd",,"OPEN_INT","."&amp;F$2&amp;F$1&amp;"P"&amp;$A35)*RTD("tos.rtd",,"DELTA","."&amp;F$2&amp;F$1&amp;"P"&amp;$A35))/1000),0),IF($A$2="VEX",IFERROR(IF($X$1="ABS",($A$4*$A$4*RTD("tos.rtd",,"VOLUME","."&amp;F$2&amp;F$1&amp;"C"&amp;$A35)*RTD("tos.rtd",,"GAMMA","."&amp;F$2&amp;F$1&amp;"C"&amp;$A35)+$A$4*$A$4*RTD("tos.rtd",,"VOLUME","."&amp;F$2&amp;F$1&amp;"P"&amp;$A35)*RTD("tos.rtd",,"GAMMA","."&amp;F$2&amp;F$1&amp;"P"&amp;$A35))/1000000,($A$4*$A$4*RTD("tos.rtd",,"VOLUME","."&amp;F$2&amp;F$1&amp;"C"&amp;$A35)*RTD("tos.rtd",,"GAMMA","."&amp;F$2&amp;F$1&amp;"C"&amp;$A35)-$A$4*$A$4*RTD("tos.rtd",,"VOLUME","."&amp;F$2&amp;F$1&amp;"P"&amp;$A35)*RTD("tos.rtd",,"GAMMA","."&amp;F$2&amp;F$1&amp;"P"&amp;$A35))/1000000),0),IF($A$2="GEX",IFERROR(IF($X$1="ABS",($A$4*$A$4*RTD("tos.rtd",,"OPEN_INT","."&amp;F$2&amp;F$1&amp;"C"&amp;$A35)*RTD("tos.rtd",,"GAMMA","."&amp;F$2&amp;F$1&amp;"C"&amp;$A35)+$A$4*$A$4*RTD("tos.rtd",,"OPEN_INT","."&amp;F$2&amp;F$1&amp;"P"&amp;$A35)*RTD("tos.rtd",,"GAMMA","."&amp;F$2&amp;F$1&amp;"P"&amp;$A35))/1000000,($A$4*$A$4*RTD("tos.rtd",,"OPEN_INT","."&amp;F$2&amp;F$1&amp;"C"&amp;$A35)*RTD("tos.rtd",,"GAMMA","."&amp;F$2&amp;F$1&amp;"C"&amp;$A35)-$A$4*$A$4*RTD("tos.rtd",,"OPEN_INT","."&amp;F$2&amp;F$1&amp;"P"&amp;$A35)*RTD("tos.rtd",,"GAMMA","."&amp;F$2&amp;F$1&amp;"P"&amp;$A35))/1000000),0),IF($A$2="SKEW",IFERROR(VALUE(IF(RTD("tos.rtd",,"IMPL_VOL","."&amp;F$2&amp;F$1&amp;"P"&amp;$A35)="N/A",0,RTD("tos.rtd",,"IMPL_VOL","."&amp;F$2&amp;F$1&amp;"P"&amp;$A35))),0)-IFERROR(VALUE(IF(RTD("tos.rtd",,"IMPL_VOL","."&amp;F$2&amp;F$1&amp;"C"&amp;$A35)="N/A",0,RTD("tos.rtd",,"IMPL_VOL","."&amp;F$2&amp;F$1&amp;"C"&amp;$A35))),0),IF($A$2="MAXPAIN",IF($A$4&gt;$A35,($A$4-$A35)*IF(RTD("tos.rtd",,"OPEN_INT","."&amp;F$2&amp;F$1&amp;"C"&amp;$A35)="N/A",0,RTD("tos.rtd",,"OPEN_INT","."&amp;F$2&amp;F$1&amp;"C"&amp;$A35)),0)+IF($A$4&lt;$A35,($A$5-$A$4)*IF(RTD("tos.rtd",,"OPEN_INT","."&amp;F$2&amp;F$1&amp;"P"&amp;$A35)="N/A",0,RTD("tos.rtd",,"OPEN_INT","."&amp;F$2&amp;F$1&amp;"P"&amp;$A35)),0),IF($X$1="ABS",IF(RTD("tos.rtd",,$A$2,"."&amp;F$2&amp;F$1&amp;"C"&amp;$A35)="N/A",0,RTD("tos.rtd",,$A$2,"."&amp;F$2&amp;F$1&amp;"C"&amp;$A35))+IF(RTD("tos.rtd",,$A$2,"."&amp;F$2&amp;F$1&amp;"P"&amp;$A35)="N/A",0,RTD("tos.rtd",,$A$2,"."&amp;F$2&amp;F$1&amp;"P"&amp;$A35)),IF(RTD("tos.rtd",,$A$2,"."&amp;F$2&amp;F$1&amp;"C"&amp;$A35)="N/A",0,RTD("tos.rtd",,$A$2,"."&amp;F$2&amp;F$1&amp;"C"&amp;$A35))-IF(RTD("tos.rtd",,$A$2,"."&amp;F$2&amp;F$1&amp;"P"&amp;$A35)="N/A",0,RTD("tos.rtd",,$A$2,"."&amp;F$2&amp;F$1&amp;"P"&amp;$A35))))))))))</f>
        <v>126</v>
      </c>
      <c r="G35" s="57">
        <f ca="1">IF($A$2="PREMIUM_OI",IFERROR(IF($X$1="ABS",(100*RTD("tos.rtd",,"OPEN_INT","."&amp;G$2&amp;G$1&amp;"C"&amp;$A35)*RTD("tos.rtd",,"LAST","."&amp;G$2&amp;G$1&amp;"C"&amp;$A35)+100*RTD("tos.rtd",,"OPEN_INT","."&amp;G$2&amp;G$1&amp;"P"&amp;$A35)*RTD("tos.rtd",,"LAST","."&amp;G$2&amp;G$1&amp;"P"&amp;$A35))/1000000,(100*RTD("tos.rtd",,"OPEN_INT","."&amp;G$2&amp;G$1&amp;"C"&amp;$A35)*RTD("tos.rtd",,"LAST","."&amp;G$2&amp;G$1&amp;"C"&amp;$A35)-100*RTD("tos.rtd",,"OPEN_INT","."&amp;G$2&amp;G$1&amp;"P"&amp;$A35)*RTD("tos.rtd",,"LAST","."&amp;G$2&amp;G$1&amp;"P"&amp;$A35))/1000000),0),IF($A$2="PREMIUM",IFERROR(IF($X$1="ABS",(100*RTD("tos.rtd",,"VOLUME","."&amp;G$2&amp;G$1&amp;"C"&amp;$A35)*RTD("tos.rtd",,"LAST","."&amp;G$2&amp;G$1&amp;"C"&amp;$A35)+100*RTD("tos.rtd",,"VOLUME","."&amp;G$2&amp;G$1&amp;"P"&amp;$A35)*RTD("tos.rtd",,"LAST","."&amp;G$2&amp;G$1&amp;"P"&amp;$A35))/1000000,(100*RTD("tos.rtd",,"VOLUME","."&amp;G$2&amp;G$1&amp;"C"&amp;$A35)*RTD("tos.rtd",,"LAST","."&amp;G$2&amp;G$1&amp;"C"&amp;$A35)-100*RTD("tos.rtd",,"VOLUME","."&amp;G$2&amp;G$1&amp;"P"&amp;$A35)*RTD("tos.rtd",,"LAST","."&amp;G$2&amp;G$1&amp;"P"&amp;$A35))/1000000),0),IF($A$2="DEX",IFERROR(IF($X$1="ABS",(100*RTD("tos.rtd",,"OPEN_INT","."&amp;G$2&amp;G$1&amp;"C"&amp;$A35)*RTD("tos.rtd",,"DELTA","."&amp;G$2&amp;G$1&amp;"C"&amp;$A35)+100*RTD("tos.rtd",,"OPEN_INT","."&amp;G$2&amp;G$1&amp;"P"&amp;$A35)*RTD("tos.rtd",,"DELTA","."&amp;G$2&amp;G$1&amp;"P"&amp;$A35))/1000,(100*RTD("tos.rtd",,"OPEN_INT","."&amp;G$2&amp;G$1&amp;"C"&amp;$A35)*RTD("tos.rtd",,"DELTA","."&amp;G$2&amp;G$1&amp;"C"&amp;$A35)-100*RTD("tos.rtd",,"OPEN_INT","."&amp;G$2&amp;G$1&amp;"P"&amp;$A35)*RTD("tos.rtd",,"DELTA","."&amp;G$2&amp;G$1&amp;"P"&amp;$A35))/1000),0),IF($A$2="VEX",IFERROR(IF($X$1="ABS",($A$4*$A$4*RTD("tos.rtd",,"VOLUME","."&amp;G$2&amp;G$1&amp;"C"&amp;$A35)*RTD("tos.rtd",,"GAMMA","."&amp;G$2&amp;G$1&amp;"C"&amp;$A35)+$A$4*$A$4*RTD("tos.rtd",,"VOLUME","."&amp;G$2&amp;G$1&amp;"P"&amp;$A35)*RTD("tos.rtd",,"GAMMA","."&amp;G$2&amp;G$1&amp;"P"&amp;$A35))/1000000,($A$4*$A$4*RTD("tos.rtd",,"VOLUME","."&amp;G$2&amp;G$1&amp;"C"&amp;$A35)*RTD("tos.rtd",,"GAMMA","."&amp;G$2&amp;G$1&amp;"C"&amp;$A35)-$A$4*$A$4*RTD("tos.rtd",,"VOLUME","."&amp;G$2&amp;G$1&amp;"P"&amp;$A35)*RTD("tos.rtd",,"GAMMA","."&amp;G$2&amp;G$1&amp;"P"&amp;$A35))/1000000),0),IF($A$2="GEX",IFERROR(IF($X$1="ABS",($A$4*$A$4*RTD("tos.rtd",,"OPEN_INT","."&amp;G$2&amp;G$1&amp;"C"&amp;$A35)*RTD("tos.rtd",,"GAMMA","."&amp;G$2&amp;G$1&amp;"C"&amp;$A35)+$A$4*$A$4*RTD("tos.rtd",,"OPEN_INT","."&amp;G$2&amp;G$1&amp;"P"&amp;$A35)*RTD("tos.rtd",,"GAMMA","."&amp;G$2&amp;G$1&amp;"P"&amp;$A35))/1000000,($A$4*$A$4*RTD("tos.rtd",,"OPEN_INT","."&amp;G$2&amp;G$1&amp;"C"&amp;$A35)*RTD("tos.rtd",,"GAMMA","."&amp;G$2&amp;G$1&amp;"C"&amp;$A35)-$A$4*$A$4*RTD("tos.rtd",,"OPEN_INT","."&amp;G$2&amp;G$1&amp;"P"&amp;$A35)*RTD("tos.rtd",,"GAMMA","."&amp;G$2&amp;G$1&amp;"P"&amp;$A35))/1000000),0),IF($A$2="SKEW",IFERROR(VALUE(IF(RTD("tos.rtd",,"IMPL_VOL","."&amp;G$2&amp;G$1&amp;"P"&amp;$A35)="N/A",0,RTD("tos.rtd",,"IMPL_VOL","."&amp;G$2&amp;G$1&amp;"P"&amp;$A35))),0)-IFERROR(VALUE(IF(RTD("tos.rtd",,"IMPL_VOL","."&amp;G$2&amp;G$1&amp;"C"&amp;$A35)="N/A",0,RTD("tos.rtd",,"IMPL_VOL","."&amp;G$2&amp;G$1&amp;"C"&amp;$A35))),0),IF($A$2="MAXPAIN",IF($A$4&gt;$A35,($A$4-$A35)*IF(RTD("tos.rtd",,"OPEN_INT","."&amp;G$2&amp;G$1&amp;"C"&amp;$A35)="N/A",0,RTD("tos.rtd",,"OPEN_INT","."&amp;G$2&amp;G$1&amp;"C"&amp;$A35)),0)+IF($A$4&lt;$A35,($A$5-$A$4)*IF(RTD("tos.rtd",,"OPEN_INT","."&amp;G$2&amp;G$1&amp;"P"&amp;$A35)="N/A",0,RTD("tos.rtd",,"OPEN_INT","."&amp;G$2&amp;G$1&amp;"P"&amp;$A35)),0),IF($X$1="ABS",IF(RTD("tos.rtd",,$A$2,"."&amp;G$2&amp;G$1&amp;"C"&amp;$A35)="N/A",0,RTD("tos.rtd",,$A$2,"."&amp;G$2&amp;G$1&amp;"C"&amp;$A35))+IF(RTD("tos.rtd",,$A$2,"."&amp;G$2&amp;G$1&amp;"P"&amp;$A35)="N/A",0,RTD("tos.rtd",,$A$2,"."&amp;G$2&amp;G$1&amp;"P"&amp;$A35)),IF(RTD("tos.rtd",,$A$2,"."&amp;G$2&amp;G$1&amp;"C"&amp;$A35)="N/A",0,RTD("tos.rtd",,$A$2,"."&amp;G$2&amp;G$1&amp;"C"&amp;$A35))-IF(RTD("tos.rtd",,$A$2,"."&amp;G$2&amp;G$1&amp;"P"&amp;$A35)="N/A",0,RTD("tos.rtd",,$A$2,"."&amp;G$2&amp;G$1&amp;"P"&amp;$A35))))))))))</f>
        <v>-206</v>
      </c>
      <c r="H35" s="14">
        <f ca="1">IF($A$2="PREMIUM_OI",IFERROR(IF($X$1="ABS",(100*RTD("tos.rtd",,"OPEN_INT","."&amp;H$2&amp;H$1&amp;"C"&amp;$A35)*RTD("tos.rtd",,"LAST","."&amp;H$2&amp;H$1&amp;"C"&amp;$A35)+100*RTD("tos.rtd",,"OPEN_INT","."&amp;H$2&amp;H$1&amp;"P"&amp;$A35)*RTD("tos.rtd",,"LAST","."&amp;H$2&amp;H$1&amp;"P"&amp;$A35))/1000000,(100*RTD("tos.rtd",,"OPEN_INT","."&amp;H$2&amp;H$1&amp;"C"&amp;$A35)*RTD("tos.rtd",,"LAST","."&amp;H$2&amp;H$1&amp;"C"&amp;$A35)-100*RTD("tos.rtd",,"OPEN_INT","."&amp;H$2&amp;H$1&amp;"P"&amp;$A35)*RTD("tos.rtd",,"LAST","."&amp;H$2&amp;H$1&amp;"P"&amp;$A35))/1000000),0),IF($A$2="PREMIUM",IFERROR(IF($X$1="ABS",(100*RTD("tos.rtd",,"VOLUME","."&amp;H$2&amp;H$1&amp;"C"&amp;$A35)*RTD("tos.rtd",,"LAST","."&amp;H$2&amp;H$1&amp;"C"&amp;$A35)+100*RTD("tos.rtd",,"VOLUME","."&amp;H$2&amp;H$1&amp;"P"&amp;$A35)*RTD("tos.rtd",,"LAST","."&amp;H$2&amp;H$1&amp;"P"&amp;$A35))/1000000,(100*RTD("tos.rtd",,"VOLUME","."&amp;H$2&amp;H$1&amp;"C"&amp;$A35)*RTD("tos.rtd",,"LAST","."&amp;H$2&amp;H$1&amp;"C"&amp;$A35)-100*RTD("tos.rtd",,"VOLUME","."&amp;H$2&amp;H$1&amp;"P"&amp;$A35)*RTD("tos.rtd",,"LAST","."&amp;H$2&amp;H$1&amp;"P"&amp;$A35))/1000000),0),IF($A$2="DEX",IFERROR(IF($X$1="ABS",(100*RTD("tos.rtd",,"OPEN_INT","."&amp;H$2&amp;H$1&amp;"C"&amp;$A35)*RTD("tos.rtd",,"DELTA","."&amp;H$2&amp;H$1&amp;"C"&amp;$A35)+100*RTD("tos.rtd",,"OPEN_INT","."&amp;H$2&amp;H$1&amp;"P"&amp;$A35)*RTD("tos.rtd",,"DELTA","."&amp;H$2&amp;H$1&amp;"P"&amp;$A35))/1000,(100*RTD("tos.rtd",,"OPEN_INT","."&amp;H$2&amp;H$1&amp;"C"&amp;$A35)*RTD("tos.rtd",,"DELTA","."&amp;H$2&amp;H$1&amp;"C"&amp;$A35)-100*RTD("tos.rtd",,"OPEN_INT","."&amp;H$2&amp;H$1&amp;"P"&amp;$A35)*RTD("tos.rtd",,"DELTA","."&amp;H$2&amp;H$1&amp;"P"&amp;$A35))/1000),0),IF($A$2="VEX",IFERROR(IF($X$1="ABS",($A$4*$A$4*RTD("tos.rtd",,"VOLUME","."&amp;H$2&amp;H$1&amp;"C"&amp;$A35)*RTD("tos.rtd",,"GAMMA","."&amp;H$2&amp;H$1&amp;"C"&amp;$A35)+$A$4*$A$4*RTD("tos.rtd",,"VOLUME","."&amp;H$2&amp;H$1&amp;"P"&amp;$A35)*RTD("tos.rtd",,"GAMMA","."&amp;H$2&amp;H$1&amp;"P"&amp;$A35))/1000000,($A$4*$A$4*RTD("tos.rtd",,"VOLUME","."&amp;H$2&amp;H$1&amp;"C"&amp;$A35)*RTD("tos.rtd",,"GAMMA","."&amp;H$2&amp;H$1&amp;"C"&amp;$A35)-$A$4*$A$4*RTD("tos.rtd",,"VOLUME","."&amp;H$2&amp;H$1&amp;"P"&amp;$A35)*RTD("tos.rtd",,"GAMMA","."&amp;H$2&amp;H$1&amp;"P"&amp;$A35))/1000000),0),IF($A$2="GEX",IFERROR(IF($X$1="ABS",($A$4*$A$4*RTD("tos.rtd",,"OPEN_INT","."&amp;H$2&amp;H$1&amp;"C"&amp;$A35)*RTD("tos.rtd",,"GAMMA","."&amp;H$2&amp;H$1&amp;"C"&amp;$A35)+$A$4*$A$4*RTD("tos.rtd",,"OPEN_INT","."&amp;H$2&amp;H$1&amp;"P"&amp;$A35)*RTD("tos.rtd",,"GAMMA","."&amp;H$2&amp;H$1&amp;"P"&amp;$A35))/1000000,($A$4*$A$4*RTD("tos.rtd",,"OPEN_INT","."&amp;H$2&amp;H$1&amp;"C"&amp;$A35)*RTD("tos.rtd",,"GAMMA","."&amp;H$2&amp;H$1&amp;"C"&amp;$A35)-$A$4*$A$4*RTD("tos.rtd",,"OPEN_INT","."&amp;H$2&amp;H$1&amp;"P"&amp;$A35)*RTD("tos.rtd",,"GAMMA","."&amp;H$2&amp;H$1&amp;"P"&amp;$A35))/1000000),0),IF($A$2="SKEW",IFERROR(VALUE(IF(RTD("tos.rtd",,"IMPL_VOL","."&amp;H$2&amp;H$1&amp;"P"&amp;$A35)="N/A",0,RTD("tos.rtd",,"IMPL_VOL","."&amp;H$2&amp;H$1&amp;"P"&amp;$A35))),0)-IFERROR(VALUE(IF(RTD("tos.rtd",,"IMPL_VOL","."&amp;H$2&amp;H$1&amp;"C"&amp;$A35)="N/A",0,RTD("tos.rtd",,"IMPL_VOL","."&amp;H$2&amp;H$1&amp;"C"&amp;$A35))),0),IF($A$2="MAXPAIN",IF($A$4&gt;$A35,($A$4-$A35)*IF(RTD("tos.rtd",,"OPEN_INT","."&amp;H$2&amp;H$1&amp;"C"&amp;$A35)="N/A",0,RTD("tos.rtd",,"OPEN_INT","."&amp;H$2&amp;H$1&amp;"C"&amp;$A35)),0)+IF($A$4&lt;$A35,($A$5-$A$4)*IF(RTD("tos.rtd",,"OPEN_INT","."&amp;H$2&amp;H$1&amp;"P"&amp;$A35)="N/A",0,RTD("tos.rtd",,"OPEN_INT","."&amp;H$2&amp;H$1&amp;"P"&amp;$A35)),0),IF($X$1="ABS",IF(RTD("tos.rtd",,$A$2,"."&amp;H$2&amp;H$1&amp;"C"&amp;$A35)="N/A",0,RTD("tos.rtd",,$A$2,"."&amp;H$2&amp;H$1&amp;"C"&amp;$A35))+IF(RTD("tos.rtd",,$A$2,"."&amp;H$2&amp;H$1&amp;"P"&amp;$A35)="N/A",0,RTD("tos.rtd",,$A$2,"."&amp;H$2&amp;H$1&amp;"P"&amp;$A35)),IF(RTD("tos.rtd",,$A$2,"."&amp;H$2&amp;H$1&amp;"C"&amp;$A35)="N/A",0,RTD("tos.rtd",,$A$2,"."&amp;H$2&amp;H$1&amp;"C"&amp;$A35))-IF(RTD("tos.rtd",,$A$2,"."&amp;H$2&amp;H$1&amp;"P"&amp;$A35)="N/A",0,RTD("tos.rtd",,$A$2,"."&amp;H$2&amp;H$1&amp;"P"&amp;$A35))))))))))</f>
        <v>0</v>
      </c>
      <c r="I35" s="12">
        <f ca="1">IF($A$2="PREMIUM_OI",IFERROR(IF($X$1="ABS",(100*RTD("tos.rtd",,"OPEN_INT","."&amp;I$2&amp;I$1&amp;"C"&amp;$A35)*RTD("tos.rtd",,"LAST","."&amp;I$2&amp;I$1&amp;"C"&amp;$A35)+100*RTD("tos.rtd",,"OPEN_INT","."&amp;I$2&amp;I$1&amp;"P"&amp;$A35)*RTD("tos.rtd",,"LAST","."&amp;I$2&amp;I$1&amp;"P"&amp;$A35))/1000000,(100*RTD("tos.rtd",,"OPEN_INT","."&amp;I$2&amp;I$1&amp;"C"&amp;$A35)*RTD("tos.rtd",,"LAST","."&amp;I$2&amp;I$1&amp;"C"&amp;$A35)-100*RTD("tos.rtd",,"OPEN_INT","."&amp;I$2&amp;I$1&amp;"P"&amp;$A35)*RTD("tos.rtd",,"LAST","."&amp;I$2&amp;I$1&amp;"P"&amp;$A35))/1000000),0),IF($A$2="PREMIUM",IFERROR(IF($X$1="ABS",(100*RTD("tos.rtd",,"VOLUME","."&amp;I$2&amp;I$1&amp;"C"&amp;$A35)*RTD("tos.rtd",,"LAST","."&amp;I$2&amp;I$1&amp;"C"&amp;$A35)+100*RTD("tos.rtd",,"VOLUME","."&amp;I$2&amp;I$1&amp;"P"&amp;$A35)*RTD("tos.rtd",,"LAST","."&amp;I$2&amp;I$1&amp;"P"&amp;$A35))/1000000,(100*RTD("tos.rtd",,"VOLUME","."&amp;I$2&amp;I$1&amp;"C"&amp;$A35)*RTD("tos.rtd",,"LAST","."&amp;I$2&amp;I$1&amp;"C"&amp;$A35)-100*RTD("tos.rtd",,"VOLUME","."&amp;I$2&amp;I$1&amp;"P"&amp;$A35)*RTD("tos.rtd",,"LAST","."&amp;I$2&amp;I$1&amp;"P"&amp;$A35))/1000000),0),IF($A$2="DEX",IFERROR(IF($X$1="ABS",(100*RTD("tos.rtd",,"OPEN_INT","."&amp;I$2&amp;I$1&amp;"C"&amp;$A35)*RTD("tos.rtd",,"DELTA","."&amp;I$2&amp;I$1&amp;"C"&amp;$A35)+100*RTD("tos.rtd",,"OPEN_INT","."&amp;I$2&amp;I$1&amp;"P"&amp;$A35)*RTD("tos.rtd",,"DELTA","."&amp;I$2&amp;I$1&amp;"P"&amp;$A35))/1000,(100*RTD("tos.rtd",,"OPEN_INT","."&amp;I$2&amp;I$1&amp;"C"&amp;$A35)*RTD("tos.rtd",,"DELTA","."&amp;I$2&amp;I$1&amp;"C"&amp;$A35)-100*RTD("tos.rtd",,"OPEN_INT","."&amp;I$2&amp;I$1&amp;"P"&amp;$A35)*RTD("tos.rtd",,"DELTA","."&amp;I$2&amp;I$1&amp;"P"&amp;$A35))/1000),0),IF($A$2="VEX",IFERROR(IF($X$1="ABS",($A$4*$A$4*RTD("tos.rtd",,"VOLUME","."&amp;I$2&amp;I$1&amp;"C"&amp;$A35)*RTD("tos.rtd",,"GAMMA","."&amp;I$2&amp;I$1&amp;"C"&amp;$A35)+$A$4*$A$4*RTD("tos.rtd",,"VOLUME","."&amp;I$2&amp;I$1&amp;"P"&amp;$A35)*RTD("tos.rtd",,"GAMMA","."&amp;I$2&amp;I$1&amp;"P"&amp;$A35))/1000000,($A$4*$A$4*RTD("tos.rtd",,"VOLUME","."&amp;I$2&amp;I$1&amp;"C"&amp;$A35)*RTD("tos.rtd",,"GAMMA","."&amp;I$2&amp;I$1&amp;"C"&amp;$A35)-$A$4*$A$4*RTD("tos.rtd",,"VOLUME","."&amp;I$2&amp;I$1&amp;"P"&amp;$A35)*RTD("tos.rtd",,"GAMMA","."&amp;I$2&amp;I$1&amp;"P"&amp;$A35))/1000000),0),IF($A$2="GEX",IFERROR(IF($X$1="ABS",($A$4*$A$4*RTD("tos.rtd",,"OPEN_INT","."&amp;I$2&amp;I$1&amp;"C"&amp;$A35)*RTD("tos.rtd",,"GAMMA","."&amp;I$2&amp;I$1&amp;"C"&amp;$A35)+$A$4*$A$4*RTD("tos.rtd",,"OPEN_INT","."&amp;I$2&amp;I$1&amp;"P"&amp;$A35)*RTD("tos.rtd",,"GAMMA","."&amp;I$2&amp;I$1&amp;"P"&amp;$A35))/1000000,($A$4*$A$4*RTD("tos.rtd",,"OPEN_INT","."&amp;I$2&amp;I$1&amp;"C"&amp;$A35)*RTD("tos.rtd",,"GAMMA","."&amp;I$2&amp;I$1&amp;"C"&amp;$A35)-$A$4*$A$4*RTD("tos.rtd",,"OPEN_INT","."&amp;I$2&amp;I$1&amp;"P"&amp;$A35)*RTD("tos.rtd",,"GAMMA","."&amp;I$2&amp;I$1&amp;"P"&amp;$A35))/1000000),0),IF($A$2="SKEW",IFERROR(VALUE(IF(RTD("tos.rtd",,"IMPL_VOL","."&amp;I$2&amp;I$1&amp;"P"&amp;$A35)="N/A",0,RTD("tos.rtd",,"IMPL_VOL","."&amp;I$2&amp;I$1&amp;"P"&amp;$A35))),0)-IFERROR(VALUE(IF(RTD("tos.rtd",,"IMPL_VOL","."&amp;I$2&amp;I$1&amp;"C"&amp;$A35)="N/A",0,RTD("tos.rtd",,"IMPL_VOL","."&amp;I$2&amp;I$1&amp;"C"&amp;$A35))),0),IF($A$2="MAXPAIN",IF($A$4&gt;$A35,($A$4-$A35)*IF(RTD("tos.rtd",,"OPEN_INT","."&amp;I$2&amp;I$1&amp;"C"&amp;$A35)="N/A",0,RTD("tos.rtd",,"OPEN_INT","."&amp;I$2&amp;I$1&amp;"C"&amp;$A35)),0)+IF($A$4&lt;$A35,($A$5-$A$4)*IF(RTD("tos.rtd",,"OPEN_INT","."&amp;I$2&amp;I$1&amp;"P"&amp;$A35)="N/A",0,RTD("tos.rtd",,"OPEN_INT","."&amp;I$2&amp;I$1&amp;"P"&amp;$A35)),0),IF($X$1="ABS",IF(RTD("tos.rtd",,$A$2,"."&amp;I$2&amp;I$1&amp;"C"&amp;$A35)="N/A",0,RTD("tos.rtd",,$A$2,"."&amp;I$2&amp;I$1&amp;"C"&amp;$A35))+IF(RTD("tos.rtd",,$A$2,"."&amp;I$2&amp;I$1&amp;"P"&amp;$A35)="N/A",0,RTD("tos.rtd",,$A$2,"."&amp;I$2&amp;I$1&amp;"P"&amp;$A35)),IF(RTD("tos.rtd",,$A$2,"."&amp;I$2&amp;I$1&amp;"C"&amp;$A35)="N/A",0,RTD("tos.rtd",,$A$2,"."&amp;I$2&amp;I$1&amp;"C"&amp;$A35))-IF(RTD("tos.rtd",,$A$2,"."&amp;I$2&amp;I$1&amp;"P"&amp;$A35)="N/A",0,RTD("tos.rtd",,$A$2,"."&amp;I$2&amp;I$1&amp;"P"&amp;$A35))))))))))</f>
        <v>2148</v>
      </c>
      <c r="J35" s="12">
        <f ca="1">IF($A$2="PREMIUM_OI",IFERROR(IF($X$1="ABS",(100*RTD("tos.rtd",,"OPEN_INT","."&amp;J$2&amp;J$1&amp;"C"&amp;$A35)*RTD("tos.rtd",,"LAST","."&amp;J$2&amp;J$1&amp;"C"&amp;$A35)+100*RTD("tos.rtd",,"OPEN_INT","."&amp;J$2&amp;J$1&amp;"P"&amp;$A35)*RTD("tos.rtd",,"LAST","."&amp;J$2&amp;J$1&amp;"P"&amp;$A35))/1000000,(100*RTD("tos.rtd",,"OPEN_INT","."&amp;J$2&amp;J$1&amp;"C"&amp;$A35)*RTD("tos.rtd",,"LAST","."&amp;J$2&amp;J$1&amp;"C"&amp;$A35)-100*RTD("tos.rtd",,"OPEN_INT","."&amp;J$2&amp;J$1&amp;"P"&amp;$A35)*RTD("tos.rtd",,"LAST","."&amp;J$2&amp;J$1&amp;"P"&amp;$A35))/1000000),0),IF($A$2="PREMIUM",IFERROR(IF($X$1="ABS",(100*RTD("tos.rtd",,"VOLUME","."&amp;J$2&amp;J$1&amp;"C"&amp;$A35)*RTD("tos.rtd",,"LAST","."&amp;J$2&amp;J$1&amp;"C"&amp;$A35)+100*RTD("tos.rtd",,"VOLUME","."&amp;J$2&amp;J$1&amp;"P"&amp;$A35)*RTD("tos.rtd",,"LAST","."&amp;J$2&amp;J$1&amp;"P"&amp;$A35))/1000000,(100*RTD("tos.rtd",,"VOLUME","."&amp;J$2&amp;J$1&amp;"C"&amp;$A35)*RTD("tos.rtd",,"LAST","."&amp;J$2&amp;J$1&amp;"C"&amp;$A35)-100*RTD("tos.rtd",,"VOLUME","."&amp;J$2&amp;J$1&amp;"P"&amp;$A35)*RTD("tos.rtd",,"LAST","."&amp;J$2&amp;J$1&amp;"P"&amp;$A35))/1000000),0),IF($A$2="DEX",IFERROR(IF($X$1="ABS",(100*RTD("tos.rtd",,"OPEN_INT","."&amp;J$2&amp;J$1&amp;"C"&amp;$A35)*RTD("tos.rtd",,"DELTA","."&amp;J$2&amp;J$1&amp;"C"&amp;$A35)+100*RTD("tos.rtd",,"OPEN_INT","."&amp;J$2&amp;J$1&amp;"P"&amp;$A35)*RTD("tos.rtd",,"DELTA","."&amp;J$2&amp;J$1&amp;"P"&amp;$A35))/1000,(100*RTD("tos.rtd",,"OPEN_INT","."&amp;J$2&amp;J$1&amp;"C"&amp;$A35)*RTD("tos.rtd",,"DELTA","."&amp;J$2&amp;J$1&amp;"C"&amp;$A35)-100*RTD("tos.rtd",,"OPEN_INT","."&amp;J$2&amp;J$1&amp;"P"&amp;$A35)*RTD("tos.rtd",,"DELTA","."&amp;J$2&amp;J$1&amp;"P"&amp;$A35))/1000),0),IF($A$2="VEX",IFERROR(IF($X$1="ABS",($A$4*$A$4*RTD("tos.rtd",,"VOLUME","."&amp;J$2&amp;J$1&amp;"C"&amp;$A35)*RTD("tos.rtd",,"GAMMA","."&amp;J$2&amp;J$1&amp;"C"&amp;$A35)+$A$4*$A$4*RTD("tos.rtd",,"VOLUME","."&amp;J$2&amp;J$1&amp;"P"&amp;$A35)*RTD("tos.rtd",,"GAMMA","."&amp;J$2&amp;J$1&amp;"P"&amp;$A35))/1000000,($A$4*$A$4*RTD("tos.rtd",,"VOLUME","."&amp;J$2&amp;J$1&amp;"C"&amp;$A35)*RTD("tos.rtd",,"GAMMA","."&amp;J$2&amp;J$1&amp;"C"&amp;$A35)-$A$4*$A$4*RTD("tos.rtd",,"VOLUME","."&amp;J$2&amp;J$1&amp;"P"&amp;$A35)*RTD("tos.rtd",,"GAMMA","."&amp;J$2&amp;J$1&amp;"P"&amp;$A35))/1000000),0),IF($A$2="GEX",IFERROR(IF($X$1="ABS",($A$4*$A$4*RTD("tos.rtd",,"OPEN_INT","."&amp;J$2&amp;J$1&amp;"C"&amp;$A35)*RTD("tos.rtd",,"GAMMA","."&amp;J$2&amp;J$1&amp;"C"&amp;$A35)+$A$4*$A$4*RTD("tos.rtd",,"OPEN_INT","."&amp;J$2&amp;J$1&amp;"P"&amp;$A35)*RTD("tos.rtd",,"GAMMA","."&amp;J$2&amp;J$1&amp;"P"&amp;$A35))/1000000,($A$4*$A$4*RTD("tos.rtd",,"OPEN_INT","."&amp;J$2&amp;J$1&amp;"C"&amp;$A35)*RTD("tos.rtd",,"GAMMA","."&amp;J$2&amp;J$1&amp;"C"&amp;$A35)-$A$4*$A$4*RTD("tos.rtd",,"OPEN_INT","."&amp;J$2&amp;J$1&amp;"P"&amp;$A35)*RTD("tos.rtd",,"GAMMA","."&amp;J$2&amp;J$1&amp;"P"&amp;$A35))/1000000),0),IF($A$2="SKEW",IFERROR(VALUE(IF(RTD("tos.rtd",,"IMPL_VOL","."&amp;J$2&amp;J$1&amp;"P"&amp;$A35)="N/A",0,RTD("tos.rtd",,"IMPL_VOL","."&amp;J$2&amp;J$1&amp;"P"&amp;$A35))),0)-IFERROR(VALUE(IF(RTD("tos.rtd",,"IMPL_VOL","."&amp;J$2&amp;J$1&amp;"C"&amp;$A35)="N/A",0,RTD("tos.rtd",,"IMPL_VOL","."&amp;J$2&amp;J$1&amp;"C"&amp;$A35))),0),IF($A$2="MAXPAIN",IF($A$4&gt;$A35,($A$4-$A35)*IF(RTD("tos.rtd",,"OPEN_INT","."&amp;J$2&amp;J$1&amp;"C"&amp;$A35)="N/A",0,RTD("tos.rtd",,"OPEN_INT","."&amp;J$2&amp;J$1&amp;"C"&amp;$A35)),0)+IF($A$4&lt;$A35,($A$5-$A$4)*IF(RTD("tos.rtd",,"OPEN_INT","."&amp;J$2&amp;J$1&amp;"P"&amp;$A35)="N/A",0,RTD("tos.rtd",,"OPEN_INT","."&amp;J$2&amp;J$1&amp;"P"&amp;$A35)),0),IF($X$1="ABS",IF(RTD("tos.rtd",,$A$2,"."&amp;J$2&amp;J$1&amp;"C"&amp;$A35)="N/A",0,RTD("tos.rtd",,$A$2,"."&amp;J$2&amp;J$1&amp;"C"&amp;$A35))+IF(RTD("tos.rtd",,$A$2,"."&amp;J$2&amp;J$1&amp;"P"&amp;$A35)="N/A",0,RTD("tos.rtd",,$A$2,"."&amp;J$2&amp;J$1&amp;"P"&amp;$A35)),IF(RTD("tos.rtd",,$A$2,"."&amp;J$2&amp;J$1&amp;"C"&amp;$A35)="N/A",0,RTD("tos.rtd",,$A$2,"."&amp;J$2&amp;J$1&amp;"C"&amp;$A35))-IF(RTD("tos.rtd",,$A$2,"."&amp;J$2&amp;J$1&amp;"P"&amp;$A35)="N/A",0,RTD("tos.rtd",,$A$2,"."&amp;J$2&amp;J$1&amp;"P"&amp;$A35))))))))))</f>
        <v>0</v>
      </c>
      <c r="K35" s="12">
        <f ca="1">IF($A$2="PREMIUM_OI",IFERROR(IF($X$1="ABS",(100*RTD("tos.rtd",,"OPEN_INT","."&amp;K$2&amp;K$1&amp;"C"&amp;$A35)*RTD("tos.rtd",,"LAST","."&amp;K$2&amp;K$1&amp;"C"&amp;$A35)+100*RTD("tos.rtd",,"OPEN_INT","."&amp;K$2&amp;K$1&amp;"P"&amp;$A35)*RTD("tos.rtd",,"LAST","."&amp;K$2&amp;K$1&amp;"P"&amp;$A35))/1000000,(100*RTD("tos.rtd",,"OPEN_INT","."&amp;K$2&amp;K$1&amp;"C"&amp;$A35)*RTD("tos.rtd",,"LAST","."&amp;K$2&amp;K$1&amp;"C"&amp;$A35)-100*RTD("tos.rtd",,"OPEN_INT","."&amp;K$2&amp;K$1&amp;"P"&amp;$A35)*RTD("tos.rtd",,"LAST","."&amp;K$2&amp;K$1&amp;"P"&amp;$A35))/1000000),0),IF($A$2="PREMIUM",IFERROR(IF($X$1="ABS",(100*RTD("tos.rtd",,"VOLUME","."&amp;K$2&amp;K$1&amp;"C"&amp;$A35)*RTD("tos.rtd",,"LAST","."&amp;K$2&amp;K$1&amp;"C"&amp;$A35)+100*RTD("tos.rtd",,"VOLUME","."&amp;K$2&amp;K$1&amp;"P"&amp;$A35)*RTD("tos.rtd",,"LAST","."&amp;K$2&amp;K$1&amp;"P"&amp;$A35))/1000000,(100*RTD("tos.rtd",,"VOLUME","."&amp;K$2&amp;K$1&amp;"C"&amp;$A35)*RTD("tos.rtd",,"LAST","."&amp;K$2&amp;K$1&amp;"C"&amp;$A35)-100*RTD("tos.rtd",,"VOLUME","."&amp;K$2&amp;K$1&amp;"P"&amp;$A35)*RTD("tos.rtd",,"LAST","."&amp;K$2&amp;K$1&amp;"P"&amp;$A35))/1000000),0),IF($A$2="DEX",IFERROR(IF($X$1="ABS",(100*RTD("tos.rtd",,"OPEN_INT","."&amp;K$2&amp;K$1&amp;"C"&amp;$A35)*RTD("tos.rtd",,"DELTA","."&amp;K$2&amp;K$1&amp;"C"&amp;$A35)+100*RTD("tos.rtd",,"OPEN_INT","."&amp;K$2&amp;K$1&amp;"P"&amp;$A35)*RTD("tos.rtd",,"DELTA","."&amp;K$2&amp;K$1&amp;"P"&amp;$A35))/1000,(100*RTD("tos.rtd",,"OPEN_INT","."&amp;K$2&amp;K$1&amp;"C"&amp;$A35)*RTD("tos.rtd",,"DELTA","."&amp;K$2&amp;K$1&amp;"C"&amp;$A35)-100*RTD("tos.rtd",,"OPEN_INT","."&amp;K$2&amp;K$1&amp;"P"&amp;$A35)*RTD("tos.rtd",,"DELTA","."&amp;K$2&amp;K$1&amp;"P"&amp;$A35))/1000),0),IF($A$2="VEX",IFERROR(IF($X$1="ABS",($A$4*$A$4*RTD("tos.rtd",,"VOLUME","."&amp;K$2&amp;K$1&amp;"C"&amp;$A35)*RTD("tos.rtd",,"GAMMA","."&amp;K$2&amp;K$1&amp;"C"&amp;$A35)+$A$4*$A$4*RTD("tos.rtd",,"VOLUME","."&amp;K$2&amp;K$1&amp;"P"&amp;$A35)*RTD("tos.rtd",,"GAMMA","."&amp;K$2&amp;K$1&amp;"P"&amp;$A35))/1000000,($A$4*$A$4*RTD("tos.rtd",,"VOLUME","."&amp;K$2&amp;K$1&amp;"C"&amp;$A35)*RTD("tos.rtd",,"GAMMA","."&amp;K$2&amp;K$1&amp;"C"&amp;$A35)-$A$4*$A$4*RTD("tos.rtd",,"VOLUME","."&amp;K$2&amp;K$1&amp;"P"&amp;$A35)*RTD("tos.rtd",,"GAMMA","."&amp;K$2&amp;K$1&amp;"P"&amp;$A35))/1000000),0),IF($A$2="GEX",IFERROR(IF($X$1="ABS",($A$4*$A$4*RTD("tos.rtd",,"OPEN_INT","."&amp;K$2&amp;K$1&amp;"C"&amp;$A35)*RTD("tos.rtd",,"GAMMA","."&amp;K$2&amp;K$1&amp;"C"&amp;$A35)+$A$4*$A$4*RTD("tos.rtd",,"OPEN_INT","."&amp;K$2&amp;K$1&amp;"P"&amp;$A35)*RTD("tos.rtd",,"GAMMA","."&amp;K$2&amp;K$1&amp;"P"&amp;$A35))/1000000,($A$4*$A$4*RTD("tos.rtd",,"OPEN_INT","."&amp;K$2&amp;K$1&amp;"C"&amp;$A35)*RTD("tos.rtd",,"GAMMA","."&amp;K$2&amp;K$1&amp;"C"&amp;$A35)-$A$4*$A$4*RTD("tos.rtd",,"OPEN_INT","."&amp;K$2&amp;K$1&amp;"P"&amp;$A35)*RTD("tos.rtd",,"GAMMA","."&amp;K$2&amp;K$1&amp;"P"&amp;$A35))/1000000),0),IF($A$2="SKEW",IFERROR(VALUE(IF(RTD("tos.rtd",,"IMPL_VOL","."&amp;K$2&amp;K$1&amp;"P"&amp;$A35)="N/A",0,RTD("tos.rtd",,"IMPL_VOL","."&amp;K$2&amp;K$1&amp;"P"&amp;$A35))),0)-IFERROR(VALUE(IF(RTD("tos.rtd",,"IMPL_VOL","."&amp;K$2&amp;K$1&amp;"C"&amp;$A35)="N/A",0,RTD("tos.rtd",,"IMPL_VOL","."&amp;K$2&amp;K$1&amp;"C"&amp;$A35))),0),IF($A$2="MAXPAIN",IF($A$4&gt;$A35,($A$4-$A35)*IF(RTD("tos.rtd",,"OPEN_INT","."&amp;K$2&amp;K$1&amp;"C"&amp;$A35)="N/A",0,RTD("tos.rtd",,"OPEN_INT","."&amp;K$2&amp;K$1&amp;"C"&amp;$A35)),0)+IF($A$4&lt;$A35,($A$5-$A$4)*IF(RTD("tos.rtd",,"OPEN_INT","."&amp;K$2&amp;K$1&amp;"P"&amp;$A35)="N/A",0,RTD("tos.rtd",,"OPEN_INT","."&amp;K$2&amp;K$1&amp;"P"&amp;$A35)),0),IF($X$1="ABS",IF(RTD("tos.rtd",,$A$2,"."&amp;K$2&amp;K$1&amp;"C"&amp;$A35)="N/A",0,RTD("tos.rtd",,$A$2,"."&amp;K$2&amp;K$1&amp;"C"&amp;$A35))+IF(RTD("tos.rtd",,$A$2,"."&amp;K$2&amp;K$1&amp;"P"&amp;$A35)="N/A",0,RTD("tos.rtd",,$A$2,"."&amp;K$2&amp;K$1&amp;"P"&amp;$A35)),IF(RTD("tos.rtd",,$A$2,"."&amp;K$2&amp;K$1&amp;"C"&amp;$A35)="N/A",0,RTD("tos.rtd",,$A$2,"."&amp;K$2&amp;K$1&amp;"C"&amp;$A35))-IF(RTD("tos.rtd",,$A$2,"."&amp;K$2&amp;K$1&amp;"P"&amp;$A35)="N/A",0,RTD("tos.rtd",,$A$2,"."&amp;K$2&amp;K$1&amp;"P"&amp;$A35))))))))))</f>
        <v>0</v>
      </c>
      <c r="L35" s="54">
        <f ca="1">IF($A$2="PREMIUM_OI",IFERROR(IF($X$1="ABS",(100*RTD("tos.rtd",,"OPEN_INT","."&amp;L$2&amp;L$1&amp;"C"&amp;$A35)*RTD("tos.rtd",,"LAST","."&amp;L$2&amp;L$1&amp;"C"&amp;$A35)+100*RTD("tos.rtd",,"OPEN_INT","."&amp;L$2&amp;L$1&amp;"P"&amp;$A35)*RTD("tos.rtd",,"LAST","."&amp;L$2&amp;L$1&amp;"P"&amp;$A35))/1000000,(100*RTD("tos.rtd",,"OPEN_INT","."&amp;L$2&amp;L$1&amp;"C"&amp;$A35)*RTD("tos.rtd",,"LAST","."&amp;L$2&amp;L$1&amp;"C"&amp;$A35)-100*RTD("tos.rtd",,"OPEN_INT","."&amp;L$2&amp;L$1&amp;"P"&amp;$A35)*RTD("tos.rtd",,"LAST","."&amp;L$2&amp;L$1&amp;"P"&amp;$A35))/1000000),0),IF($A$2="PREMIUM",IFERROR(IF($X$1="ABS",(100*RTD("tos.rtd",,"VOLUME","."&amp;L$2&amp;L$1&amp;"C"&amp;$A35)*RTD("tos.rtd",,"LAST","."&amp;L$2&amp;L$1&amp;"C"&amp;$A35)+100*RTD("tos.rtd",,"VOLUME","."&amp;L$2&amp;L$1&amp;"P"&amp;$A35)*RTD("tos.rtd",,"LAST","."&amp;L$2&amp;L$1&amp;"P"&amp;$A35))/1000000,(100*RTD("tos.rtd",,"VOLUME","."&amp;L$2&amp;L$1&amp;"C"&amp;$A35)*RTD("tos.rtd",,"LAST","."&amp;L$2&amp;L$1&amp;"C"&amp;$A35)-100*RTD("tos.rtd",,"VOLUME","."&amp;L$2&amp;L$1&amp;"P"&amp;$A35)*RTD("tos.rtd",,"LAST","."&amp;L$2&amp;L$1&amp;"P"&amp;$A35))/1000000),0),IF($A$2="DEX",IFERROR(IF($X$1="ABS",(100*RTD("tos.rtd",,"OPEN_INT","."&amp;L$2&amp;L$1&amp;"C"&amp;$A35)*RTD("tos.rtd",,"DELTA","."&amp;L$2&amp;L$1&amp;"C"&amp;$A35)+100*RTD("tos.rtd",,"OPEN_INT","."&amp;L$2&amp;L$1&amp;"P"&amp;$A35)*RTD("tos.rtd",,"DELTA","."&amp;L$2&amp;L$1&amp;"P"&amp;$A35))/1000,(100*RTD("tos.rtd",,"OPEN_INT","."&amp;L$2&amp;L$1&amp;"C"&amp;$A35)*RTD("tos.rtd",,"DELTA","."&amp;L$2&amp;L$1&amp;"C"&amp;$A35)-100*RTD("tos.rtd",,"OPEN_INT","."&amp;L$2&amp;L$1&amp;"P"&amp;$A35)*RTD("tos.rtd",,"DELTA","."&amp;L$2&amp;L$1&amp;"P"&amp;$A35))/1000),0),IF($A$2="VEX",IFERROR(IF($X$1="ABS",($A$4*$A$4*RTD("tos.rtd",,"VOLUME","."&amp;L$2&amp;L$1&amp;"C"&amp;$A35)*RTD("tos.rtd",,"GAMMA","."&amp;L$2&amp;L$1&amp;"C"&amp;$A35)+$A$4*$A$4*RTD("tos.rtd",,"VOLUME","."&amp;L$2&amp;L$1&amp;"P"&amp;$A35)*RTD("tos.rtd",,"GAMMA","."&amp;L$2&amp;L$1&amp;"P"&amp;$A35))/1000000,($A$4*$A$4*RTD("tos.rtd",,"VOLUME","."&amp;L$2&amp;L$1&amp;"C"&amp;$A35)*RTD("tos.rtd",,"GAMMA","."&amp;L$2&amp;L$1&amp;"C"&amp;$A35)-$A$4*$A$4*RTD("tos.rtd",,"VOLUME","."&amp;L$2&amp;L$1&amp;"P"&amp;$A35)*RTD("tos.rtd",,"GAMMA","."&amp;L$2&amp;L$1&amp;"P"&amp;$A35))/1000000),0),IF($A$2="GEX",IFERROR(IF($X$1="ABS",($A$4*$A$4*RTD("tos.rtd",,"OPEN_INT","."&amp;L$2&amp;L$1&amp;"C"&amp;$A35)*RTD("tos.rtd",,"GAMMA","."&amp;L$2&amp;L$1&amp;"C"&amp;$A35)+$A$4*$A$4*RTD("tos.rtd",,"OPEN_INT","."&amp;L$2&amp;L$1&amp;"P"&amp;$A35)*RTD("tos.rtd",,"GAMMA","."&amp;L$2&amp;L$1&amp;"P"&amp;$A35))/1000000,($A$4*$A$4*RTD("tos.rtd",,"OPEN_INT","."&amp;L$2&amp;L$1&amp;"C"&amp;$A35)*RTD("tos.rtd",,"GAMMA","."&amp;L$2&amp;L$1&amp;"C"&amp;$A35)-$A$4*$A$4*RTD("tos.rtd",,"OPEN_INT","."&amp;L$2&amp;L$1&amp;"P"&amp;$A35)*RTD("tos.rtd",,"GAMMA","."&amp;L$2&amp;L$1&amp;"P"&amp;$A35))/1000000),0),IF($A$2="SKEW",IFERROR(VALUE(IF(RTD("tos.rtd",,"IMPL_VOL","."&amp;L$2&amp;L$1&amp;"P"&amp;$A35)="N/A",0,RTD("tos.rtd",,"IMPL_VOL","."&amp;L$2&amp;L$1&amp;"P"&amp;$A35))),0)-IFERROR(VALUE(IF(RTD("tos.rtd",,"IMPL_VOL","."&amp;L$2&amp;L$1&amp;"C"&amp;$A35)="N/A",0,RTD("tos.rtd",,"IMPL_VOL","."&amp;L$2&amp;L$1&amp;"C"&amp;$A35))),0),IF($A$2="MAXPAIN",IF($A$4&gt;$A35,($A$4-$A35)*IF(RTD("tos.rtd",,"OPEN_INT","."&amp;L$2&amp;L$1&amp;"C"&amp;$A35)="N/A",0,RTD("tos.rtd",,"OPEN_INT","."&amp;L$2&amp;L$1&amp;"C"&amp;$A35)),0)+IF($A$4&lt;$A35,($A$5-$A$4)*IF(RTD("tos.rtd",,"OPEN_INT","."&amp;L$2&amp;L$1&amp;"P"&amp;$A35)="N/A",0,RTD("tos.rtd",,"OPEN_INT","."&amp;L$2&amp;L$1&amp;"P"&amp;$A35)),0),IF($X$1="ABS",IF(RTD("tos.rtd",,$A$2,"."&amp;L$2&amp;L$1&amp;"C"&amp;$A35)="N/A",0,RTD("tos.rtd",,$A$2,"."&amp;L$2&amp;L$1&amp;"C"&amp;$A35))+IF(RTD("tos.rtd",,$A$2,"."&amp;L$2&amp;L$1&amp;"P"&amp;$A35)="N/A",0,RTD("tos.rtd",,$A$2,"."&amp;L$2&amp;L$1&amp;"P"&amp;$A35)),IF(RTD("tos.rtd",,$A$2,"."&amp;L$2&amp;L$1&amp;"C"&amp;$A35)="N/A",0,RTD("tos.rtd",,$A$2,"."&amp;L$2&amp;L$1&amp;"C"&amp;$A35))-IF(RTD("tos.rtd",,$A$2,"."&amp;L$2&amp;L$1&amp;"P"&amp;$A35)="N/A",0,RTD("tos.rtd",,$A$2,"."&amp;L$2&amp;L$1&amp;"P"&amp;$A35))))))))))</f>
        <v>0</v>
      </c>
      <c r="M35" s="12">
        <f ca="1">IF($A$2="PREMIUM_OI",IFERROR(IF($X$1="ABS",(100*RTD("tos.rtd",,"OPEN_INT","."&amp;M$2&amp;M$1&amp;"C"&amp;$A35)*RTD("tos.rtd",,"LAST","."&amp;M$2&amp;M$1&amp;"C"&amp;$A35)+100*RTD("tos.rtd",,"OPEN_INT","."&amp;M$2&amp;M$1&amp;"P"&amp;$A35)*RTD("tos.rtd",,"LAST","."&amp;M$2&amp;M$1&amp;"P"&amp;$A35))/1000000,(100*RTD("tos.rtd",,"OPEN_INT","."&amp;M$2&amp;M$1&amp;"C"&amp;$A35)*RTD("tos.rtd",,"LAST","."&amp;M$2&amp;M$1&amp;"C"&amp;$A35)-100*RTD("tos.rtd",,"OPEN_INT","."&amp;M$2&amp;M$1&amp;"P"&amp;$A35)*RTD("tos.rtd",,"LAST","."&amp;M$2&amp;M$1&amp;"P"&amp;$A35))/1000000),0),IF($A$2="PREMIUM",IFERROR(IF($X$1="ABS",(100*RTD("tos.rtd",,"VOLUME","."&amp;M$2&amp;M$1&amp;"C"&amp;$A35)*RTD("tos.rtd",,"LAST","."&amp;M$2&amp;M$1&amp;"C"&amp;$A35)+100*RTD("tos.rtd",,"VOLUME","."&amp;M$2&amp;M$1&amp;"P"&amp;$A35)*RTD("tos.rtd",,"LAST","."&amp;M$2&amp;M$1&amp;"P"&amp;$A35))/1000000,(100*RTD("tos.rtd",,"VOLUME","."&amp;M$2&amp;M$1&amp;"C"&amp;$A35)*RTD("tos.rtd",,"LAST","."&amp;M$2&amp;M$1&amp;"C"&amp;$A35)-100*RTD("tos.rtd",,"VOLUME","."&amp;M$2&amp;M$1&amp;"P"&amp;$A35)*RTD("tos.rtd",,"LAST","."&amp;M$2&amp;M$1&amp;"P"&amp;$A35))/1000000),0),IF($A$2="DEX",IFERROR(IF($X$1="ABS",(100*RTD("tos.rtd",,"OPEN_INT","."&amp;M$2&amp;M$1&amp;"C"&amp;$A35)*RTD("tos.rtd",,"DELTA","."&amp;M$2&amp;M$1&amp;"C"&amp;$A35)+100*RTD("tos.rtd",,"OPEN_INT","."&amp;M$2&amp;M$1&amp;"P"&amp;$A35)*RTD("tos.rtd",,"DELTA","."&amp;M$2&amp;M$1&amp;"P"&amp;$A35))/1000,(100*RTD("tos.rtd",,"OPEN_INT","."&amp;M$2&amp;M$1&amp;"C"&amp;$A35)*RTD("tos.rtd",,"DELTA","."&amp;M$2&amp;M$1&amp;"C"&amp;$A35)-100*RTD("tos.rtd",,"OPEN_INT","."&amp;M$2&amp;M$1&amp;"P"&amp;$A35)*RTD("tos.rtd",,"DELTA","."&amp;M$2&amp;M$1&amp;"P"&amp;$A35))/1000),0),IF($A$2="VEX",IFERROR(IF($X$1="ABS",($A$4*$A$4*RTD("tos.rtd",,"VOLUME","."&amp;M$2&amp;M$1&amp;"C"&amp;$A35)*RTD("tos.rtd",,"GAMMA","."&amp;M$2&amp;M$1&amp;"C"&amp;$A35)+$A$4*$A$4*RTD("tos.rtd",,"VOLUME","."&amp;M$2&amp;M$1&amp;"P"&amp;$A35)*RTD("tos.rtd",,"GAMMA","."&amp;M$2&amp;M$1&amp;"P"&amp;$A35))/1000000,($A$4*$A$4*RTD("tos.rtd",,"VOLUME","."&amp;M$2&amp;M$1&amp;"C"&amp;$A35)*RTD("tos.rtd",,"GAMMA","."&amp;M$2&amp;M$1&amp;"C"&amp;$A35)-$A$4*$A$4*RTD("tos.rtd",,"VOLUME","."&amp;M$2&amp;M$1&amp;"P"&amp;$A35)*RTD("tos.rtd",,"GAMMA","."&amp;M$2&amp;M$1&amp;"P"&amp;$A35))/1000000),0),IF($A$2="GEX",IFERROR(IF($X$1="ABS",($A$4*$A$4*RTD("tos.rtd",,"OPEN_INT","."&amp;M$2&amp;M$1&amp;"C"&amp;$A35)*RTD("tos.rtd",,"GAMMA","."&amp;M$2&amp;M$1&amp;"C"&amp;$A35)+$A$4*$A$4*RTD("tos.rtd",,"OPEN_INT","."&amp;M$2&amp;M$1&amp;"P"&amp;$A35)*RTD("tos.rtd",,"GAMMA","."&amp;M$2&amp;M$1&amp;"P"&amp;$A35))/1000000,($A$4*$A$4*RTD("tos.rtd",,"OPEN_INT","."&amp;M$2&amp;M$1&amp;"C"&amp;$A35)*RTD("tos.rtd",,"GAMMA","."&amp;M$2&amp;M$1&amp;"C"&amp;$A35)-$A$4*$A$4*RTD("tos.rtd",,"OPEN_INT","."&amp;M$2&amp;M$1&amp;"P"&amp;$A35)*RTD("tos.rtd",,"GAMMA","."&amp;M$2&amp;M$1&amp;"P"&amp;$A35))/1000000),0),IF($A$2="SKEW",IFERROR(VALUE(IF(RTD("tos.rtd",,"IMPL_VOL","."&amp;M$2&amp;M$1&amp;"P"&amp;$A35)="N/A",0,RTD("tos.rtd",,"IMPL_VOL","."&amp;M$2&amp;M$1&amp;"P"&amp;$A35))),0)-IFERROR(VALUE(IF(RTD("tos.rtd",,"IMPL_VOL","."&amp;M$2&amp;M$1&amp;"C"&amp;$A35)="N/A",0,RTD("tos.rtd",,"IMPL_VOL","."&amp;M$2&amp;M$1&amp;"C"&amp;$A35))),0),IF($A$2="MAXPAIN",IF($A$4&gt;$A35,($A$4-$A35)*IF(RTD("tos.rtd",,"OPEN_INT","."&amp;M$2&amp;M$1&amp;"C"&amp;$A35)="N/A",0,RTD("tos.rtd",,"OPEN_INT","."&amp;M$2&amp;M$1&amp;"C"&amp;$A35)),0)+IF($A$4&lt;$A35,($A$5-$A$4)*IF(RTD("tos.rtd",,"OPEN_INT","."&amp;M$2&amp;M$1&amp;"P"&amp;$A35)="N/A",0,RTD("tos.rtd",,"OPEN_INT","."&amp;M$2&amp;M$1&amp;"P"&amp;$A35)),0),IF($X$1="ABS",IF(RTD("tos.rtd",,$A$2,"."&amp;M$2&amp;M$1&amp;"C"&amp;$A35)="N/A",0,RTD("tos.rtd",,$A$2,"."&amp;M$2&amp;M$1&amp;"C"&amp;$A35))+IF(RTD("tos.rtd",,$A$2,"."&amp;M$2&amp;M$1&amp;"P"&amp;$A35)="N/A",0,RTD("tos.rtd",,$A$2,"."&amp;M$2&amp;M$1&amp;"P"&amp;$A35)),IF(RTD("tos.rtd",,$A$2,"."&amp;M$2&amp;M$1&amp;"C"&amp;$A35)="N/A",0,RTD("tos.rtd",,$A$2,"."&amp;M$2&amp;M$1&amp;"C"&amp;$A35))-IF(RTD("tos.rtd",,$A$2,"."&amp;M$2&amp;M$1&amp;"P"&amp;$A35)="N/A",0,RTD("tos.rtd",,$A$2,"."&amp;M$2&amp;M$1&amp;"P"&amp;$A35))))))))))</f>
        <v>0</v>
      </c>
      <c r="N35" s="12">
        <f ca="1">IF($A$2="PREMIUM_OI",IFERROR(IF($X$1="ABS",(100*RTD("tos.rtd",,"OPEN_INT","."&amp;N$2&amp;N$1&amp;"C"&amp;$A35)*RTD("tos.rtd",,"LAST","."&amp;N$2&amp;N$1&amp;"C"&amp;$A35)+100*RTD("tos.rtd",,"OPEN_INT","."&amp;N$2&amp;N$1&amp;"P"&amp;$A35)*RTD("tos.rtd",,"LAST","."&amp;N$2&amp;N$1&amp;"P"&amp;$A35))/1000000,(100*RTD("tos.rtd",,"OPEN_INT","."&amp;N$2&amp;N$1&amp;"C"&amp;$A35)*RTD("tos.rtd",,"LAST","."&amp;N$2&amp;N$1&amp;"C"&amp;$A35)-100*RTD("tos.rtd",,"OPEN_INT","."&amp;N$2&amp;N$1&amp;"P"&amp;$A35)*RTD("tos.rtd",,"LAST","."&amp;N$2&amp;N$1&amp;"P"&amp;$A35))/1000000),0),IF($A$2="PREMIUM",IFERROR(IF($X$1="ABS",(100*RTD("tos.rtd",,"VOLUME","."&amp;N$2&amp;N$1&amp;"C"&amp;$A35)*RTD("tos.rtd",,"LAST","."&amp;N$2&amp;N$1&amp;"C"&amp;$A35)+100*RTD("tos.rtd",,"VOLUME","."&amp;N$2&amp;N$1&amp;"P"&amp;$A35)*RTD("tos.rtd",,"LAST","."&amp;N$2&amp;N$1&amp;"P"&amp;$A35))/1000000,(100*RTD("tos.rtd",,"VOLUME","."&amp;N$2&amp;N$1&amp;"C"&amp;$A35)*RTD("tos.rtd",,"LAST","."&amp;N$2&amp;N$1&amp;"C"&amp;$A35)-100*RTD("tos.rtd",,"VOLUME","."&amp;N$2&amp;N$1&amp;"P"&amp;$A35)*RTD("tos.rtd",,"LAST","."&amp;N$2&amp;N$1&amp;"P"&amp;$A35))/1000000),0),IF($A$2="DEX",IFERROR(IF($X$1="ABS",(100*RTD("tos.rtd",,"OPEN_INT","."&amp;N$2&amp;N$1&amp;"C"&amp;$A35)*RTD("tos.rtd",,"DELTA","."&amp;N$2&amp;N$1&amp;"C"&amp;$A35)+100*RTD("tos.rtd",,"OPEN_INT","."&amp;N$2&amp;N$1&amp;"P"&amp;$A35)*RTD("tos.rtd",,"DELTA","."&amp;N$2&amp;N$1&amp;"P"&amp;$A35))/1000,(100*RTD("tos.rtd",,"OPEN_INT","."&amp;N$2&amp;N$1&amp;"C"&amp;$A35)*RTD("tos.rtd",,"DELTA","."&amp;N$2&amp;N$1&amp;"C"&amp;$A35)-100*RTD("tos.rtd",,"OPEN_INT","."&amp;N$2&amp;N$1&amp;"P"&amp;$A35)*RTD("tos.rtd",,"DELTA","."&amp;N$2&amp;N$1&amp;"P"&amp;$A35))/1000),0),IF($A$2="VEX",IFERROR(IF($X$1="ABS",($A$4*$A$4*RTD("tos.rtd",,"VOLUME","."&amp;N$2&amp;N$1&amp;"C"&amp;$A35)*RTD("tos.rtd",,"GAMMA","."&amp;N$2&amp;N$1&amp;"C"&amp;$A35)+$A$4*$A$4*RTD("tos.rtd",,"VOLUME","."&amp;N$2&amp;N$1&amp;"P"&amp;$A35)*RTD("tos.rtd",,"GAMMA","."&amp;N$2&amp;N$1&amp;"P"&amp;$A35))/1000000,($A$4*$A$4*RTD("tos.rtd",,"VOLUME","."&amp;N$2&amp;N$1&amp;"C"&amp;$A35)*RTD("tos.rtd",,"GAMMA","."&amp;N$2&amp;N$1&amp;"C"&amp;$A35)-$A$4*$A$4*RTD("tos.rtd",,"VOLUME","."&amp;N$2&amp;N$1&amp;"P"&amp;$A35)*RTD("tos.rtd",,"GAMMA","."&amp;N$2&amp;N$1&amp;"P"&amp;$A35))/1000000),0),IF($A$2="GEX",IFERROR(IF($X$1="ABS",($A$4*$A$4*RTD("tos.rtd",,"OPEN_INT","."&amp;N$2&amp;N$1&amp;"C"&amp;$A35)*RTD("tos.rtd",,"GAMMA","."&amp;N$2&amp;N$1&amp;"C"&amp;$A35)+$A$4*$A$4*RTD("tos.rtd",,"OPEN_INT","."&amp;N$2&amp;N$1&amp;"P"&amp;$A35)*RTD("tos.rtd",,"GAMMA","."&amp;N$2&amp;N$1&amp;"P"&amp;$A35))/1000000,($A$4*$A$4*RTD("tos.rtd",,"OPEN_INT","."&amp;N$2&amp;N$1&amp;"C"&amp;$A35)*RTD("tos.rtd",,"GAMMA","."&amp;N$2&amp;N$1&amp;"C"&amp;$A35)-$A$4*$A$4*RTD("tos.rtd",,"OPEN_INT","."&amp;N$2&amp;N$1&amp;"P"&amp;$A35)*RTD("tos.rtd",,"GAMMA","."&amp;N$2&amp;N$1&amp;"P"&amp;$A35))/1000000),0),IF($A$2="SKEW",IFERROR(VALUE(IF(RTD("tos.rtd",,"IMPL_VOL","."&amp;N$2&amp;N$1&amp;"P"&amp;$A35)="N/A",0,RTD("tos.rtd",,"IMPL_VOL","."&amp;N$2&amp;N$1&amp;"P"&amp;$A35))),0)-IFERROR(VALUE(IF(RTD("tos.rtd",,"IMPL_VOL","."&amp;N$2&amp;N$1&amp;"C"&amp;$A35)="N/A",0,RTD("tos.rtd",,"IMPL_VOL","."&amp;N$2&amp;N$1&amp;"C"&amp;$A35))),0),IF($A$2="MAXPAIN",IF($A$4&gt;$A35,($A$4-$A35)*IF(RTD("tos.rtd",,"OPEN_INT","."&amp;N$2&amp;N$1&amp;"C"&amp;$A35)="N/A",0,RTD("tos.rtd",,"OPEN_INT","."&amp;N$2&amp;N$1&amp;"C"&amp;$A35)),0)+IF($A$4&lt;$A35,($A$5-$A$4)*IF(RTD("tos.rtd",,"OPEN_INT","."&amp;N$2&amp;N$1&amp;"P"&amp;$A35)="N/A",0,RTD("tos.rtd",,"OPEN_INT","."&amp;N$2&amp;N$1&amp;"P"&amp;$A35)),0),IF($X$1="ABS",IF(RTD("tos.rtd",,$A$2,"."&amp;N$2&amp;N$1&amp;"C"&amp;$A35)="N/A",0,RTD("tos.rtd",,$A$2,"."&amp;N$2&amp;N$1&amp;"C"&amp;$A35))+IF(RTD("tos.rtd",,$A$2,"."&amp;N$2&amp;N$1&amp;"P"&amp;$A35)="N/A",0,RTD("tos.rtd",,$A$2,"."&amp;N$2&amp;N$1&amp;"P"&amp;$A35)),IF(RTD("tos.rtd",,$A$2,"."&amp;N$2&amp;N$1&amp;"C"&amp;$A35)="N/A",0,RTD("tos.rtd",,$A$2,"."&amp;N$2&amp;N$1&amp;"C"&amp;$A35))-IF(RTD("tos.rtd",,$A$2,"."&amp;N$2&amp;N$1&amp;"P"&amp;$A35)="N/A",0,RTD("tos.rtd",,$A$2,"."&amp;N$2&amp;N$1&amp;"P"&amp;$A35))))))))))</f>
        <v>0</v>
      </c>
      <c r="O35" s="12">
        <f ca="1">IF($A$2="PREMIUM_OI",IFERROR(IF($X$1="ABS",(100*RTD("tos.rtd",,"OPEN_INT","."&amp;O$2&amp;O$1&amp;"C"&amp;$A35)*RTD("tos.rtd",,"LAST","."&amp;O$2&amp;O$1&amp;"C"&amp;$A35)+100*RTD("tos.rtd",,"OPEN_INT","."&amp;O$2&amp;O$1&amp;"P"&amp;$A35)*RTD("tos.rtd",,"LAST","."&amp;O$2&amp;O$1&amp;"P"&amp;$A35))/1000000,(100*RTD("tos.rtd",,"OPEN_INT","."&amp;O$2&amp;O$1&amp;"C"&amp;$A35)*RTD("tos.rtd",,"LAST","."&amp;O$2&amp;O$1&amp;"C"&amp;$A35)-100*RTD("tos.rtd",,"OPEN_INT","."&amp;O$2&amp;O$1&amp;"P"&amp;$A35)*RTD("tos.rtd",,"LAST","."&amp;O$2&amp;O$1&amp;"P"&amp;$A35))/1000000),0),IF($A$2="PREMIUM",IFERROR(IF($X$1="ABS",(100*RTD("tos.rtd",,"VOLUME","."&amp;O$2&amp;O$1&amp;"C"&amp;$A35)*RTD("tos.rtd",,"LAST","."&amp;O$2&amp;O$1&amp;"C"&amp;$A35)+100*RTD("tos.rtd",,"VOLUME","."&amp;O$2&amp;O$1&amp;"P"&amp;$A35)*RTD("tos.rtd",,"LAST","."&amp;O$2&amp;O$1&amp;"P"&amp;$A35))/1000000,(100*RTD("tos.rtd",,"VOLUME","."&amp;O$2&amp;O$1&amp;"C"&amp;$A35)*RTD("tos.rtd",,"LAST","."&amp;O$2&amp;O$1&amp;"C"&amp;$A35)-100*RTD("tos.rtd",,"VOLUME","."&amp;O$2&amp;O$1&amp;"P"&amp;$A35)*RTD("tos.rtd",,"LAST","."&amp;O$2&amp;O$1&amp;"P"&amp;$A35))/1000000),0),IF($A$2="DEX",IFERROR(IF($X$1="ABS",(100*RTD("tos.rtd",,"OPEN_INT","."&amp;O$2&amp;O$1&amp;"C"&amp;$A35)*RTD("tos.rtd",,"DELTA","."&amp;O$2&amp;O$1&amp;"C"&amp;$A35)+100*RTD("tos.rtd",,"OPEN_INT","."&amp;O$2&amp;O$1&amp;"P"&amp;$A35)*RTD("tos.rtd",,"DELTA","."&amp;O$2&amp;O$1&amp;"P"&amp;$A35))/1000,(100*RTD("tos.rtd",,"OPEN_INT","."&amp;O$2&amp;O$1&amp;"C"&amp;$A35)*RTD("tos.rtd",,"DELTA","."&amp;O$2&amp;O$1&amp;"C"&amp;$A35)-100*RTD("tos.rtd",,"OPEN_INT","."&amp;O$2&amp;O$1&amp;"P"&amp;$A35)*RTD("tos.rtd",,"DELTA","."&amp;O$2&amp;O$1&amp;"P"&amp;$A35))/1000),0),IF($A$2="VEX",IFERROR(IF($X$1="ABS",($A$4*$A$4*RTD("tos.rtd",,"VOLUME","."&amp;O$2&amp;O$1&amp;"C"&amp;$A35)*RTD("tos.rtd",,"GAMMA","."&amp;O$2&amp;O$1&amp;"C"&amp;$A35)+$A$4*$A$4*RTD("tos.rtd",,"VOLUME","."&amp;O$2&amp;O$1&amp;"P"&amp;$A35)*RTD("tos.rtd",,"GAMMA","."&amp;O$2&amp;O$1&amp;"P"&amp;$A35))/1000000,($A$4*$A$4*RTD("tos.rtd",,"VOLUME","."&amp;O$2&amp;O$1&amp;"C"&amp;$A35)*RTD("tos.rtd",,"GAMMA","."&amp;O$2&amp;O$1&amp;"C"&amp;$A35)-$A$4*$A$4*RTD("tos.rtd",,"VOLUME","."&amp;O$2&amp;O$1&amp;"P"&amp;$A35)*RTD("tos.rtd",,"GAMMA","."&amp;O$2&amp;O$1&amp;"P"&amp;$A35))/1000000),0),IF($A$2="GEX",IFERROR(IF($X$1="ABS",($A$4*$A$4*RTD("tos.rtd",,"OPEN_INT","."&amp;O$2&amp;O$1&amp;"C"&amp;$A35)*RTD("tos.rtd",,"GAMMA","."&amp;O$2&amp;O$1&amp;"C"&amp;$A35)+$A$4*$A$4*RTD("tos.rtd",,"OPEN_INT","."&amp;O$2&amp;O$1&amp;"P"&amp;$A35)*RTD("tos.rtd",,"GAMMA","."&amp;O$2&amp;O$1&amp;"P"&amp;$A35))/1000000,($A$4*$A$4*RTD("tos.rtd",,"OPEN_INT","."&amp;O$2&amp;O$1&amp;"C"&amp;$A35)*RTD("tos.rtd",,"GAMMA","."&amp;O$2&amp;O$1&amp;"C"&amp;$A35)-$A$4*$A$4*RTD("tos.rtd",,"OPEN_INT","."&amp;O$2&amp;O$1&amp;"P"&amp;$A35)*RTD("tos.rtd",,"GAMMA","."&amp;O$2&amp;O$1&amp;"P"&amp;$A35))/1000000),0),IF($A$2="SKEW",IFERROR(VALUE(IF(RTD("tos.rtd",,"IMPL_VOL","."&amp;O$2&amp;O$1&amp;"P"&amp;$A35)="N/A",0,RTD("tos.rtd",,"IMPL_VOL","."&amp;O$2&amp;O$1&amp;"P"&amp;$A35))),0)-IFERROR(VALUE(IF(RTD("tos.rtd",,"IMPL_VOL","."&amp;O$2&amp;O$1&amp;"C"&amp;$A35)="N/A",0,RTD("tos.rtd",,"IMPL_VOL","."&amp;O$2&amp;O$1&amp;"C"&amp;$A35))),0),IF($A$2="MAXPAIN",IF($A$4&gt;$A35,($A$4-$A35)*IF(RTD("tos.rtd",,"OPEN_INT","."&amp;O$2&amp;O$1&amp;"C"&amp;$A35)="N/A",0,RTD("tos.rtd",,"OPEN_INT","."&amp;O$2&amp;O$1&amp;"C"&amp;$A35)),0)+IF($A$4&lt;$A35,($A$5-$A$4)*IF(RTD("tos.rtd",,"OPEN_INT","."&amp;O$2&amp;O$1&amp;"P"&amp;$A35)="N/A",0,RTD("tos.rtd",,"OPEN_INT","."&amp;O$2&amp;O$1&amp;"P"&amp;$A35)),0),IF($X$1="ABS",IF(RTD("tos.rtd",,$A$2,"."&amp;O$2&amp;O$1&amp;"C"&amp;$A35)="N/A",0,RTD("tos.rtd",,$A$2,"."&amp;O$2&amp;O$1&amp;"C"&amp;$A35))+IF(RTD("tos.rtd",,$A$2,"."&amp;O$2&amp;O$1&amp;"P"&amp;$A35)="N/A",0,RTD("tos.rtd",,$A$2,"."&amp;O$2&amp;O$1&amp;"P"&amp;$A35)),IF(RTD("tos.rtd",,$A$2,"."&amp;O$2&amp;O$1&amp;"C"&amp;$A35)="N/A",0,RTD("tos.rtd",,$A$2,"."&amp;O$2&amp;O$1&amp;"C"&amp;$A35))-IF(RTD("tos.rtd",,$A$2,"."&amp;O$2&amp;O$1&amp;"P"&amp;$A35)="N/A",0,RTD("tos.rtd",,$A$2,"."&amp;O$2&amp;O$1&amp;"P"&amp;$A35))))))))))</f>
        <v>0</v>
      </c>
      <c r="P35" s="12">
        <f ca="1">IF($A$2="PREMIUM_OI",IFERROR(IF($X$1="ABS",(100*RTD("tos.rtd",,"OPEN_INT","."&amp;P$2&amp;P$1&amp;"C"&amp;$A35)*RTD("tos.rtd",,"LAST","."&amp;P$2&amp;P$1&amp;"C"&amp;$A35)+100*RTD("tos.rtd",,"OPEN_INT","."&amp;P$2&amp;P$1&amp;"P"&amp;$A35)*RTD("tos.rtd",,"LAST","."&amp;P$2&amp;P$1&amp;"P"&amp;$A35))/1000000,(100*RTD("tos.rtd",,"OPEN_INT","."&amp;P$2&amp;P$1&amp;"C"&amp;$A35)*RTD("tos.rtd",,"LAST","."&amp;P$2&amp;P$1&amp;"C"&amp;$A35)-100*RTD("tos.rtd",,"OPEN_INT","."&amp;P$2&amp;P$1&amp;"P"&amp;$A35)*RTD("tos.rtd",,"LAST","."&amp;P$2&amp;P$1&amp;"P"&amp;$A35))/1000000),0),IF($A$2="PREMIUM",IFERROR(IF($X$1="ABS",(100*RTD("tos.rtd",,"VOLUME","."&amp;P$2&amp;P$1&amp;"C"&amp;$A35)*RTD("tos.rtd",,"LAST","."&amp;P$2&amp;P$1&amp;"C"&amp;$A35)+100*RTD("tos.rtd",,"VOLUME","."&amp;P$2&amp;P$1&amp;"P"&amp;$A35)*RTD("tos.rtd",,"LAST","."&amp;P$2&amp;P$1&amp;"P"&amp;$A35))/1000000,(100*RTD("tos.rtd",,"VOLUME","."&amp;P$2&amp;P$1&amp;"C"&amp;$A35)*RTD("tos.rtd",,"LAST","."&amp;P$2&amp;P$1&amp;"C"&amp;$A35)-100*RTD("tos.rtd",,"VOLUME","."&amp;P$2&amp;P$1&amp;"P"&amp;$A35)*RTD("tos.rtd",,"LAST","."&amp;P$2&amp;P$1&amp;"P"&amp;$A35))/1000000),0),IF($A$2="DEX",IFERROR(IF($X$1="ABS",(100*RTD("tos.rtd",,"OPEN_INT","."&amp;P$2&amp;P$1&amp;"C"&amp;$A35)*RTD("tos.rtd",,"DELTA","."&amp;P$2&amp;P$1&amp;"C"&amp;$A35)+100*RTD("tos.rtd",,"OPEN_INT","."&amp;P$2&amp;P$1&amp;"P"&amp;$A35)*RTD("tos.rtd",,"DELTA","."&amp;P$2&amp;P$1&amp;"P"&amp;$A35))/1000,(100*RTD("tos.rtd",,"OPEN_INT","."&amp;P$2&amp;P$1&amp;"C"&amp;$A35)*RTD("tos.rtd",,"DELTA","."&amp;P$2&amp;P$1&amp;"C"&amp;$A35)-100*RTD("tos.rtd",,"OPEN_INT","."&amp;P$2&amp;P$1&amp;"P"&amp;$A35)*RTD("tos.rtd",,"DELTA","."&amp;P$2&amp;P$1&amp;"P"&amp;$A35))/1000),0),IF($A$2="VEX",IFERROR(IF($X$1="ABS",($A$4*$A$4*RTD("tos.rtd",,"VOLUME","."&amp;P$2&amp;P$1&amp;"C"&amp;$A35)*RTD("tos.rtd",,"GAMMA","."&amp;P$2&amp;P$1&amp;"C"&amp;$A35)+$A$4*$A$4*RTD("tos.rtd",,"VOLUME","."&amp;P$2&amp;P$1&amp;"P"&amp;$A35)*RTD("tos.rtd",,"GAMMA","."&amp;P$2&amp;P$1&amp;"P"&amp;$A35))/1000000,($A$4*$A$4*RTD("tos.rtd",,"VOLUME","."&amp;P$2&amp;P$1&amp;"C"&amp;$A35)*RTD("tos.rtd",,"GAMMA","."&amp;P$2&amp;P$1&amp;"C"&amp;$A35)-$A$4*$A$4*RTD("tos.rtd",,"VOLUME","."&amp;P$2&amp;P$1&amp;"P"&amp;$A35)*RTD("tos.rtd",,"GAMMA","."&amp;P$2&amp;P$1&amp;"P"&amp;$A35))/1000000),0),IF($A$2="GEX",IFERROR(IF($X$1="ABS",($A$4*$A$4*RTD("tos.rtd",,"OPEN_INT","."&amp;P$2&amp;P$1&amp;"C"&amp;$A35)*RTD("tos.rtd",,"GAMMA","."&amp;P$2&amp;P$1&amp;"C"&amp;$A35)+$A$4*$A$4*RTD("tos.rtd",,"OPEN_INT","."&amp;P$2&amp;P$1&amp;"P"&amp;$A35)*RTD("tos.rtd",,"GAMMA","."&amp;P$2&amp;P$1&amp;"P"&amp;$A35))/1000000,($A$4*$A$4*RTD("tos.rtd",,"OPEN_INT","."&amp;P$2&amp;P$1&amp;"C"&amp;$A35)*RTD("tos.rtd",,"GAMMA","."&amp;P$2&amp;P$1&amp;"C"&amp;$A35)-$A$4*$A$4*RTD("tos.rtd",,"OPEN_INT","."&amp;P$2&amp;P$1&amp;"P"&amp;$A35)*RTD("tos.rtd",,"GAMMA","."&amp;P$2&amp;P$1&amp;"P"&amp;$A35))/1000000),0),IF($A$2="SKEW",IFERROR(VALUE(IF(RTD("tos.rtd",,"IMPL_VOL","."&amp;P$2&amp;P$1&amp;"P"&amp;$A35)="N/A",0,RTD("tos.rtd",,"IMPL_VOL","."&amp;P$2&amp;P$1&amp;"P"&amp;$A35))),0)-IFERROR(VALUE(IF(RTD("tos.rtd",,"IMPL_VOL","."&amp;P$2&amp;P$1&amp;"C"&amp;$A35)="N/A",0,RTD("tos.rtd",,"IMPL_VOL","."&amp;P$2&amp;P$1&amp;"C"&amp;$A35))),0),IF($A$2="MAXPAIN",IF($A$4&gt;$A35,($A$4-$A35)*IF(RTD("tos.rtd",,"OPEN_INT","."&amp;P$2&amp;P$1&amp;"C"&amp;$A35)="N/A",0,RTD("tos.rtd",,"OPEN_INT","."&amp;P$2&amp;P$1&amp;"C"&amp;$A35)),0)+IF($A$4&lt;$A35,($A$5-$A$4)*IF(RTD("tos.rtd",,"OPEN_INT","."&amp;P$2&amp;P$1&amp;"P"&amp;$A35)="N/A",0,RTD("tos.rtd",,"OPEN_INT","."&amp;P$2&amp;P$1&amp;"P"&amp;$A35)),0),IF($X$1="ABS",IF(RTD("tos.rtd",,$A$2,"."&amp;P$2&amp;P$1&amp;"C"&amp;$A35)="N/A",0,RTD("tos.rtd",,$A$2,"."&amp;P$2&amp;P$1&amp;"C"&amp;$A35))+IF(RTD("tos.rtd",,$A$2,"."&amp;P$2&amp;P$1&amp;"P"&amp;$A35)="N/A",0,RTD("tos.rtd",,$A$2,"."&amp;P$2&amp;P$1&amp;"P"&amp;$A35)),IF(RTD("tos.rtd",,$A$2,"."&amp;P$2&amp;P$1&amp;"C"&amp;$A35)="N/A",0,RTD("tos.rtd",,$A$2,"."&amp;P$2&amp;P$1&amp;"C"&amp;$A35))-IF(RTD("tos.rtd",,$A$2,"."&amp;P$2&amp;P$1&amp;"P"&amp;$A35)="N/A",0,RTD("tos.rtd",,$A$2,"."&amp;P$2&amp;P$1&amp;"P"&amp;$A35))))))))))</f>
        <v>0</v>
      </c>
      <c r="Q35" s="12">
        <f ca="1">IF($A$2="PREMIUM_OI",IFERROR(IF($X$1="ABS",(100*RTD("tos.rtd",,"OPEN_INT","."&amp;Q$2&amp;Q$1&amp;"C"&amp;$A35)*RTD("tos.rtd",,"LAST","."&amp;Q$2&amp;Q$1&amp;"C"&amp;$A35)+100*RTD("tos.rtd",,"OPEN_INT","."&amp;Q$2&amp;Q$1&amp;"P"&amp;$A35)*RTD("tos.rtd",,"LAST","."&amp;Q$2&amp;Q$1&amp;"P"&amp;$A35))/1000000,(100*RTD("tos.rtd",,"OPEN_INT","."&amp;Q$2&amp;Q$1&amp;"C"&amp;$A35)*RTD("tos.rtd",,"LAST","."&amp;Q$2&amp;Q$1&amp;"C"&amp;$A35)-100*RTD("tos.rtd",,"OPEN_INT","."&amp;Q$2&amp;Q$1&amp;"P"&amp;$A35)*RTD("tos.rtd",,"LAST","."&amp;Q$2&amp;Q$1&amp;"P"&amp;$A35))/1000000),0),IF($A$2="PREMIUM",IFERROR(IF($X$1="ABS",(100*RTD("tos.rtd",,"VOLUME","."&amp;Q$2&amp;Q$1&amp;"C"&amp;$A35)*RTD("tos.rtd",,"LAST","."&amp;Q$2&amp;Q$1&amp;"C"&amp;$A35)+100*RTD("tos.rtd",,"VOLUME","."&amp;Q$2&amp;Q$1&amp;"P"&amp;$A35)*RTD("tos.rtd",,"LAST","."&amp;Q$2&amp;Q$1&amp;"P"&amp;$A35))/1000000,(100*RTD("tos.rtd",,"VOLUME","."&amp;Q$2&amp;Q$1&amp;"C"&amp;$A35)*RTD("tos.rtd",,"LAST","."&amp;Q$2&amp;Q$1&amp;"C"&amp;$A35)-100*RTD("tos.rtd",,"VOLUME","."&amp;Q$2&amp;Q$1&amp;"P"&amp;$A35)*RTD("tos.rtd",,"LAST","."&amp;Q$2&amp;Q$1&amp;"P"&amp;$A35))/1000000),0),IF($A$2="DEX",IFERROR(IF($X$1="ABS",(100*RTD("tos.rtd",,"OPEN_INT","."&amp;Q$2&amp;Q$1&amp;"C"&amp;$A35)*RTD("tos.rtd",,"DELTA","."&amp;Q$2&amp;Q$1&amp;"C"&amp;$A35)+100*RTD("tos.rtd",,"OPEN_INT","."&amp;Q$2&amp;Q$1&amp;"P"&amp;$A35)*RTD("tos.rtd",,"DELTA","."&amp;Q$2&amp;Q$1&amp;"P"&amp;$A35))/1000,(100*RTD("tos.rtd",,"OPEN_INT","."&amp;Q$2&amp;Q$1&amp;"C"&amp;$A35)*RTD("tos.rtd",,"DELTA","."&amp;Q$2&amp;Q$1&amp;"C"&amp;$A35)-100*RTD("tos.rtd",,"OPEN_INT","."&amp;Q$2&amp;Q$1&amp;"P"&amp;$A35)*RTD("tos.rtd",,"DELTA","."&amp;Q$2&amp;Q$1&amp;"P"&amp;$A35))/1000),0),IF($A$2="VEX",IFERROR(IF($X$1="ABS",($A$4*$A$4*RTD("tos.rtd",,"VOLUME","."&amp;Q$2&amp;Q$1&amp;"C"&amp;$A35)*RTD("tos.rtd",,"GAMMA","."&amp;Q$2&amp;Q$1&amp;"C"&amp;$A35)+$A$4*$A$4*RTD("tos.rtd",,"VOLUME","."&amp;Q$2&amp;Q$1&amp;"P"&amp;$A35)*RTD("tos.rtd",,"GAMMA","."&amp;Q$2&amp;Q$1&amp;"P"&amp;$A35))/1000000,($A$4*$A$4*RTD("tos.rtd",,"VOLUME","."&amp;Q$2&amp;Q$1&amp;"C"&amp;$A35)*RTD("tos.rtd",,"GAMMA","."&amp;Q$2&amp;Q$1&amp;"C"&amp;$A35)-$A$4*$A$4*RTD("tos.rtd",,"VOLUME","."&amp;Q$2&amp;Q$1&amp;"P"&amp;$A35)*RTD("tos.rtd",,"GAMMA","."&amp;Q$2&amp;Q$1&amp;"P"&amp;$A35))/1000000),0),IF($A$2="GEX",IFERROR(IF($X$1="ABS",($A$4*$A$4*RTD("tos.rtd",,"OPEN_INT","."&amp;Q$2&amp;Q$1&amp;"C"&amp;$A35)*RTD("tos.rtd",,"GAMMA","."&amp;Q$2&amp;Q$1&amp;"C"&amp;$A35)+$A$4*$A$4*RTD("tos.rtd",,"OPEN_INT","."&amp;Q$2&amp;Q$1&amp;"P"&amp;$A35)*RTD("tos.rtd",,"GAMMA","."&amp;Q$2&amp;Q$1&amp;"P"&amp;$A35))/1000000,($A$4*$A$4*RTD("tos.rtd",,"OPEN_INT","."&amp;Q$2&amp;Q$1&amp;"C"&amp;$A35)*RTD("tos.rtd",,"GAMMA","."&amp;Q$2&amp;Q$1&amp;"C"&amp;$A35)-$A$4*$A$4*RTD("tos.rtd",,"OPEN_INT","."&amp;Q$2&amp;Q$1&amp;"P"&amp;$A35)*RTD("tos.rtd",,"GAMMA","."&amp;Q$2&amp;Q$1&amp;"P"&amp;$A35))/1000000),0),IF($A$2="SKEW",IFERROR(VALUE(IF(RTD("tos.rtd",,"IMPL_VOL","."&amp;Q$2&amp;Q$1&amp;"P"&amp;$A35)="N/A",0,RTD("tos.rtd",,"IMPL_VOL","."&amp;Q$2&amp;Q$1&amp;"P"&amp;$A35))),0)-IFERROR(VALUE(IF(RTD("tos.rtd",,"IMPL_VOL","."&amp;Q$2&amp;Q$1&amp;"C"&amp;$A35)="N/A",0,RTD("tos.rtd",,"IMPL_VOL","."&amp;Q$2&amp;Q$1&amp;"C"&amp;$A35))),0),IF($A$2="MAXPAIN",IF($A$4&gt;$A35,($A$4-$A35)*IF(RTD("tos.rtd",,"OPEN_INT","."&amp;Q$2&amp;Q$1&amp;"C"&amp;$A35)="N/A",0,RTD("tos.rtd",,"OPEN_INT","."&amp;Q$2&amp;Q$1&amp;"C"&amp;$A35)),0)+IF($A$4&lt;$A35,($A$5-$A$4)*IF(RTD("tos.rtd",,"OPEN_INT","."&amp;Q$2&amp;Q$1&amp;"P"&amp;$A35)="N/A",0,RTD("tos.rtd",,"OPEN_INT","."&amp;Q$2&amp;Q$1&amp;"P"&amp;$A35)),0),IF($X$1="ABS",IF(RTD("tos.rtd",,$A$2,"."&amp;Q$2&amp;Q$1&amp;"C"&amp;$A35)="N/A",0,RTD("tos.rtd",,$A$2,"."&amp;Q$2&amp;Q$1&amp;"C"&amp;$A35))+IF(RTD("tos.rtd",,$A$2,"."&amp;Q$2&amp;Q$1&amp;"P"&amp;$A35)="N/A",0,RTD("tos.rtd",,$A$2,"."&amp;Q$2&amp;Q$1&amp;"P"&amp;$A35)),IF(RTD("tos.rtd",,$A$2,"."&amp;Q$2&amp;Q$1&amp;"C"&amp;$A35)="N/A",0,RTD("tos.rtd",,$A$2,"."&amp;Q$2&amp;Q$1&amp;"C"&amp;$A35))-IF(RTD("tos.rtd",,$A$2,"."&amp;Q$2&amp;Q$1&amp;"P"&amp;$A35)="N/A",0,RTD("tos.rtd",,$A$2,"."&amp;Q$2&amp;Q$1&amp;"P"&amp;$A35))))))))))</f>
        <v>0</v>
      </c>
      <c r="R35" s="12">
        <f ca="1">IF($A$2="PREMIUM_OI",IFERROR(IF($X$1="ABS",(100*RTD("tos.rtd",,"OPEN_INT","."&amp;R$2&amp;R$1&amp;"C"&amp;$A35)*RTD("tos.rtd",,"LAST","."&amp;R$2&amp;R$1&amp;"C"&amp;$A35)+100*RTD("tos.rtd",,"OPEN_INT","."&amp;R$2&amp;R$1&amp;"P"&amp;$A35)*RTD("tos.rtd",,"LAST","."&amp;R$2&amp;R$1&amp;"P"&amp;$A35))/1000000,(100*RTD("tos.rtd",,"OPEN_INT","."&amp;R$2&amp;R$1&amp;"C"&amp;$A35)*RTD("tos.rtd",,"LAST","."&amp;R$2&amp;R$1&amp;"C"&amp;$A35)-100*RTD("tos.rtd",,"OPEN_INT","."&amp;R$2&amp;R$1&amp;"P"&amp;$A35)*RTD("tos.rtd",,"LAST","."&amp;R$2&amp;R$1&amp;"P"&amp;$A35))/1000000),0),IF($A$2="PREMIUM",IFERROR(IF($X$1="ABS",(100*RTD("tos.rtd",,"VOLUME","."&amp;R$2&amp;R$1&amp;"C"&amp;$A35)*RTD("tos.rtd",,"LAST","."&amp;R$2&amp;R$1&amp;"C"&amp;$A35)+100*RTD("tos.rtd",,"VOLUME","."&amp;R$2&amp;R$1&amp;"P"&amp;$A35)*RTD("tos.rtd",,"LAST","."&amp;R$2&amp;R$1&amp;"P"&amp;$A35))/1000000,(100*RTD("tos.rtd",,"VOLUME","."&amp;R$2&amp;R$1&amp;"C"&amp;$A35)*RTD("tos.rtd",,"LAST","."&amp;R$2&amp;R$1&amp;"C"&amp;$A35)-100*RTD("tos.rtd",,"VOLUME","."&amp;R$2&amp;R$1&amp;"P"&amp;$A35)*RTD("tos.rtd",,"LAST","."&amp;R$2&amp;R$1&amp;"P"&amp;$A35))/1000000),0),IF($A$2="DEX",IFERROR(IF($X$1="ABS",(100*RTD("tos.rtd",,"OPEN_INT","."&amp;R$2&amp;R$1&amp;"C"&amp;$A35)*RTD("tos.rtd",,"DELTA","."&amp;R$2&amp;R$1&amp;"C"&amp;$A35)+100*RTD("tos.rtd",,"OPEN_INT","."&amp;R$2&amp;R$1&amp;"P"&amp;$A35)*RTD("tos.rtd",,"DELTA","."&amp;R$2&amp;R$1&amp;"P"&amp;$A35))/1000,(100*RTD("tos.rtd",,"OPEN_INT","."&amp;R$2&amp;R$1&amp;"C"&amp;$A35)*RTD("tos.rtd",,"DELTA","."&amp;R$2&amp;R$1&amp;"C"&amp;$A35)-100*RTD("tos.rtd",,"OPEN_INT","."&amp;R$2&amp;R$1&amp;"P"&amp;$A35)*RTD("tos.rtd",,"DELTA","."&amp;R$2&amp;R$1&amp;"P"&amp;$A35))/1000),0),IF($A$2="VEX",IFERROR(IF($X$1="ABS",($A$4*$A$4*RTD("tos.rtd",,"VOLUME","."&amp;R$2&amp;R$1&amp;"C"&amp;$A35)*RTD("tos.rtd",,"GAMMA","."&amp;R$2&amp;R$1&amp;"C"&amp;$A35)+$A$4*$A$4*RTD("tos.rtd",,"VOLUME","."&amp;R$2&amp;R$1&amp;"P"&amp;$A35)*RTD("tos.rtd",,"GAMMA","."&amp;R$2&amp;R$1&amp;"P"&amp;$A35))/1000000,($A$4*$A$4*RTD("tos.rtd",,"VOLUME","."&amp;R$2&amp;R$1&amp;"C"&amp;$A35)*RTD("tos.rtd",,"GAMMA","."&amp;R$2&amp;R$1&amp;"C"&amp;$A35)-$A$4*$A$4*RTD("tos.rtd",,"VOLUME","."&amp;R$2&amp;R$1&amp;"P"&amp;$A35)*RTD("tos.rtd",,"GAMMA","."&amp;R$2&amp;R$1&amp;"P"&amp;$A35))/1000000),0),IF($A$2="GEX",IFERROR(IF($X$1="ABS",($A$4*$A$4*RTD("tos.rtd",,"OPEN_INT","."&amp;R$2&amp;R$1&amp;"C"&amp;$A35)*RTD("tos.rtd",,"GAMMA","."&amp;R$2&amp;R$1&amp;"C"&amp;$A35)+$A$4*$A$4*RTD("tos.rtd",,"OPEN_INT","."&amp;R$2&amp;R$1&amp;"P"&amp;$A35)*RTD("tos.rtd",,"GAMMA","."&amp;R$2&amp;R$1&amp;"P"&amp;$A35))/1000000,($A$4*$A$4*RTD("tos.rtd",,"OPEN_INT","."&amp;R$2&amp;R$1&amp;"C"&amp;$A35)*RTD("tos.rtd",,"GAMMA","."&amp;R$2&amp;R$1&amp;"C"&amp;$A35)-$A$4*$A$4*RTD("tos.rtd",,"OPEN_INT","."&amp;R$2&amp;R$1&amp;"P"&amp;$A35)*RTD("tos.rtd",,"GAMMA","."&amp;R$2&amp;R$1&amp;"P"&amp;$A35))/1000000),0),IF($A$2="SKEW",IFERROR(VALUE(IF(RTD("tos.rtd",,"IMPL_VOL","."&amp;R$2&amp;R$1&amp;"P"&amp;$A35)="N/A",0,RTD("tos.rtd",,"IMPL_VOL","."&amp;R$2&amp;R$1&amp;"P"&amp;$A35))),0)-IFERROR(VALUE(IF(RTD("tos.rtd",,"IMPL_VOL","."&amp;R$2&amp;R$1&amp;"C"&amp;$A35)="N/A",0,RTD("tos.rtd",,"IMPL_VOL","."&amp;R$2&amp;R$1&amp;"C"&amp;$A35))),0),IF($A$2="MAXPAIN",IF($A$4&gt;$A35,($A$4-$A35)*IF(RTD("tos.rtd",,"OPEN_INT","."&amp;R$2&amp;R$1&amp;"C"&amp;$A35)="N/A",0,RTD("tos.rtd",,"OPEN_INT","."&amp;R$2&amp;R$1&amp;"C"&amp;$A35)),0)+IF($A$4&lt;$A35,($A$5-$A$4)*IF(RTD("tos.rtd",,"OPEN_INT","."&amp;R$2&amp;R$1&amp;"P"&amp;$A35)="N/A",0,RTD("tos.rtd",,"OPEN_INT","."&amp;R$2&amp;R$1&amp;"P"&amp;$A35)),0),IF($X$1="ABS",IF(RTD("tos.rtd",,$A$2,"."&amp;R$2&amp;R$1&amp;"C"&amp;$A35)="N/A",0,RTD("tos.rtd",,$A$2,"."&amp;R$2&amp;R$1&amp;"C"&amp;$A35))+IF(RTD("tos.rtd",,$A$2,"."&amp;R$2&amp;R$1&amp;"P"&amp;$A35)="N/A",0,RTD("tos.rtd",,$A$2,"."&amp;R$2&amp;R$1&amp;"P"&amp;$A35)),IF(RTD("tos.rtd",,$A$2,"."&amp;R$2&amp;R$1&amp;"C"&amp;$A35)="N/A",0,RTD("tos.rtd",,$A$2,"."&amp;R$2&amp;R$1&amp;"C"&amp;$A35))-IF(RTD("tos.rtd",,$A$2,"."&amp;R$2&amp;R$1&amp;"P"&amp;$A35)="N/A",0,RTD("tos.rtd",,$A$2,"."&amp;R$2&amp;R$1&amp;"P"&amp;$A35))))))))))</f>
        <v>0</v>
      </c>
      <c r="S35" s="12">
        <f ca="1">IF($A$2="PREMIUM_OI",IFERROR(IF($X$1="ABS",(100*RTD("tos.rtd",,"OPEN_INT","."&amp;S$2&amp;S$1&amp;"C"&amp;$A35)*RTD("tos.rtd",,"LAST","."&amp;S$2&amp;S$1&amp;"C"&amp;$A35)+100*RTD("tos.rtd",,"OPEN_INT","."&amp;S$2&amp;S$1&amp;"P"&amp;$A35)*RTD("tos.rtd",,"LAST","."&amp;S$2&amp;S$1&amp;"P"&amp;$A35))/1000000,(100*RTD("tos.rtd",,"OPEN_INT","."&amp;S$2&amp;S$1&amp;"C"&amp;$A35)*RTD("tos.rtd",,"LAST","."&amp;S$2&amp;S$1&amp;"C"&amp;$A35)-100*RTD("tos.rtd",,"OPEN_INT","."&amp;S$2&amp;S$1&amp;"P"&amp;$A35)*RTD("tos.rtd",,"LAST","."&amp;S$2&amp;S$1&amp;"P"&amp;$A35))/1000000),0),IF($A$2="PREMIUM",IFERROR(IF($X$1="ABS",(100*RTD("tos.rtd",,"VOLUME","."&amp;S$2&amp;S$1&amp;"C"&amp;$A35)*RTD("tos.rtd",,"LAST","."&amp;S$2&amp;S$1&amp;"C"&amp;$A35)+100*RTD("tos.rtd",,"VOLUME","."&amp;S$2&amp;S$1&amp;"P"&amp;$A35)*RTD("tos.rtd",,"LAST","."&amp;S$2&amp;S$1&amp;"P"&amp;$A35))/1000000,(100*RTD("tos.rtd",,"VOLUME","."&amp;S$2&amp;S$1&amp;"C"&amp;$A35)*RTD("tos.rtd",,"LAST","."&amp;S$2&amp;S$1&amp;"C"&amp;$A35)-100*RTD("tos.rtd",,"VOLUME","."&amp;S$2&amp;S$1&amp;"P"&amp;$A35)*RTD("tos.rtd",,"LAST","."&amp;S$2&amp;S$1&amp;"P"&amp;$A35))/1000000),0),IF($A$2="DEX",IFERROR(IF($X$1="ABS",(100*RTD("tos.rtd",,"OPEN_INT","."&amp;S$2&amp;S$1&amp;"C"&amp;$A35)*RTD("tos.rtd",,"DELTA","."&amp;S$2&amp;S$1&amp;"C"&amp;$A35)+100*RTD("tos.rtd",,"OPEN_INT","."&amp;S$2&amp;S$1&amp;"P"&amp;$A35)*RTD("tos.rtd",,"DELTA","."&amp;S$2&amp;S$1&amp;"P"&amp;$A35))/1000,(100*RTD("tos.rtd",,"OPEN_INT","."&amp;S$2&amp;S$1&amp;"C"&amp;$A35)*RTD("tos.rtd",,"DELTA","."&amp;S$2&amp;S$1&amp;"C"&amp;$A35)-100*RTD("tos.rtd",,"OPEN_INT","."&amp;S$2&amp;S$1&amp;"P"&amp;$A35)*RTD("tos.rtd",,"DELTA","."&amp;S$2&amp;S$1&amp;"P"&amp;$A35))/1000),0),IF($A$2="VEX",IFERROR(IF($X$1="ABS",($A$4*$A$4*RTD("tos.rtd",,"VOLUME","."&amp;S$2&amp;S$1&amp;"C"&amp;$A35)*RTD("tos.rtd",,"GAMMA","."&amp;S$2&amp;S$1&amp;"C"&amp;$A35)+$A$4*$A$4*RTD("tos.rtd",,"VOLUME","."&amp;S$2&amp;S$1&amp;"P"&amp;$A35)*RTD("tos.rtd",,"GAMMA","."&amp;S$2&amp;S$1&amp;"P"&amp;$A35))/1000000,($A$4*$A$4*RTD("tos.rtd",,"VOLUME","."&amp;S$2&amp;S$1&amp;"C"&amp;$A35)*RTD("tos.rtd",,"GAMMA","."&amp;S$2&amp;S$1&amp;"C"&amp;$A35)-$A$4*$A$4*RTD("tos.rtd",,"VOLUME","."&amp;S$2&amp;S$1&amp;"P"&amp;$A35)*RTD("tos.rtd",,"GAMMA","."&amp;S$2&amp;S$1&amp;"P"&amp;$A35))/1000000),0),IF($A$2="GEX",IFERROR(IF($X$1="ABS",($A$4*$A$4*RTD("tos.rtd",,"OPEN_INT","."&amp;S$2&amp;S$1&amp;"C"&amp;$A35)*RTD("tos.rtd",,"GAMMA","."&amp;S$2&amp;S$1&amp;"C"&amp;$A35)+$A$4*$A$4*RTD("tos.rtd",,"OPEN_INT","."&amp;S$2&amp;S$1&amp;"P"&amp;$A35)*RTD("tos.rtd",,"GAMMA","."&amp;S$2&amp;S$1&amp;"P"&amp;$A35))/1000000,($A$4*$A$4*RTD("tos.rtd",,"OPEN_INT","."&amp;S$2&amp;S$1&amp;"C"&amp;$A35)*RTD("tos.rtd",,"GAMMA","."&amp;S$2&amp;S$1&amp;"C"&amp;$A35)-$A$4*$A$4*RTD("tos.rtd",,"OPEN_INT","."&amp;S$2&amp;S$1&amp;"P"&amp;$A35)*RTD("tos.rtd",,"GAMMA","."&amp;S$2&amp;S$1&amp;"P"&amp;$A35))/1000000),0),IF($A$2="SKEW",IFERROR(VALUE(IF(RTD("tos.rtd",,"IMPL_VOL","."&amp;S$2&amp;S$1&amp;"P"&amp;$A35)="N/A",0,RTD("tos.rtd",,"IMPL_VOL","."&amp;S$2&amp;S$1&amp;"P"&amp;$A35))),0)-IFERROR(VALUE(IF(RTD("tos.rtd",,"IMPL_VOL","."&amp;S$2&amp;S$1&amp;"C"&amp;$A35)="N/A",0,RTD("tos.rtd",,"IMPL_VOL","."&amp;S$2&amp;S$1&amp;"C"&amp;$A35))),0),IF($A$2="MAXPAIN",IF($A$4&gt;$A35,($A$4-$A35)*IF(RTD("tos.rtd",,"OPEN_INT","."&amp;S$2&amp;S$1&amp;"C"&amp;$A35)="N/A",0,RTD("tos.rtd",,"OPEN_INT","."&amp;S$2&amp;S$1&amp;"C"&amp;$A35)),0)+IF($A$4&lt;$A35,($A$5-$A$4)*IF(RTD("tos.rtd",,"OPEN_INT","."&amp;S$2&amp;S$1&amp;"P"&amp;$A35)="N/A",0,RTD("tos.rtd",,"OPEN_INT","."&amp;S$2&amp;S$1&amp;"P"&amp;$A35)),0),IF($X$1="ABS",IF(RTD("tos.rtd",,$A$2,"."&amp;S$2&amp;S$1&amp;"C"&amp;$A35)="N/A",0,RTD("tos.rtd",,$A$2,"."&amp;S$2&amp;S$1&amp;"C"&amp;$A35))+IF(RTD("tos.rtd",,$A$2,"."&amp;S$2&amp;S$1&amp;"P"&amp;$A35)="N/A",0,RTD("tos.rtd",,$A$2,"."&amp;S$2&amp;S$1&amp;"P"&amp;$A35)),IF(RTD("tos.rtd",,$A$2,"."&amp;S$2&amp;S$1&amp;"C"&amp;$A35)="N/A",0,RTD("tos.rtd",,$A$2,"."&amp;S$2&amp;S$1&amp;"C"&amp;$A35))-IF(RTD("tos.rtd",,$A$2,"."&amp;S$2&amp;S$1&amp;"P"&amp;$A35)="N/A",0,RTD("tos.rtd",,$A$2,"."&amp;S$2&amp;S$1&amp;"P"&amp;$A35))))))))))</f>
        <v>0</v>
      </c>
      <c r="T35" s="12">
        <f ca="1">IF($A$2="PREMIUM_OI",IFERROR(IF($X$1="ABS",(100*RTD("tos.rtd",,"OPEN_INT","."&amp;T$2&amp;T$1&amp;"C"&amp;$A35)*RTD("tos.rtd",,"LAST","."&amp;T$2&amp;T$1&amp;"C"&amp;$A35)+100*RTD("tos.rtd",,"OPEN_INT","."&amp;T$2&amp;T$1&amp;"P"&amp;$A35)*RTD("tos.rtd",,"LAST","."&amp;T$2&amp;T$1&amp;"P"&amp;$A35))/1000000,(100*RTD("tos.rtd",,"OPEN_INT","."&amp;T$2&amp;T$1&amp;"C"&amp;$A35)*RTD("tos.rtd",,"LAST","."&amp;T$2&amp;T$1&amp;"C"&amp;$A35)-100*RTD("tos.rtd",,"OPEN_INT","."&amp;T$2&amp;T$1&amp;"P"&amp;$A35)*RTD("tos.rtd",,"LAST","."&amp;T$2&amp;T$1&amp;"P"&amp;$A35))/1000000),0),IF($A$2="PREMIUM",IFERROR(IF($X$1="ABS",(100*RTD("tos.rtd",,"VOLUME","."&amp;T$2&amp;T$1&amp;"C"&amp;$A35)*RTD("tos.rtd",,"LAST","."&amp;T$2&amp;T$1&amp;"C"&amp;$A35)+100*RTD("tos.rtd",,"VOLUME","."&amp;T$2&amp;T$1&amp;"P"&amp;$A35)*RTD("tos.rtd",,"LAST","."&amp;T$2&amp;T$1&amp;"P"&amp;$A35))/1000000,(100*RTD("tos.rtd",,"VOLUME","."&amp;T$2&amp;T$1&amp;"C"&amp;$A35)*RTD("tos.rtd",,"LAST","."&amp;T$2&amp;T$1&amp;"C"&amp;$A35)-100*RTD("tos.rtd",,"VOLUME","."&amp;T$2&amp;T$1&amp;"P"&amp;$A35)*RTD("tos.rtd",,"LAST","."&amp;T$2&amp;T$1&amp;"P"&amp;$A35))/1000000),0),IF($A$2="DEX",IFERROR(IF($X$1="ABS",(100*RTD("tos.rtd",,"OPEN_INT","."&amp;T$2&amp;T$1&amp;"C"&amp;$A35)*RTD("tos.rtd",,"DELTA","."&amp;T$2&amp;T$1&amp;"C"&amp;$A35)+100*RTD("tos.rtd",,"OPEN_INT","."&amp;T$2&amp;T$1&amp;"P"&amp;$A35)*RTD("tos.rtd",,"DELTA","."&amp;T$2&amp;T$1&amp;"P"&amp;$A35))/1000,(100*RTD("tos.rtd",,"OPEN_INT","."&amp;T$2&amp;T$1&amp;"C"&amp;$A35)*RTD("tos.rtd",,"DELTA","."&amp;T$2&amp;T$1&amp;"C"&amp;$A35)-100*RTD("tos.rtd",,"OPEN_INT","."&amp;T$2&amp;T$1&amp;"P"&amp;$A35)*RTD("tos.rtd",,"DELTA","."&amp;T$2&amp;T$1&amp;"P"&amp;$A35))/1000),0),IF($A$2="VEX",IFERROR(IF($X$1="ABS",($A$4*$A$4*RTD("tos.rtd",,"VOLUME","."&amp;T$2&amp;T$1&amp;"C"&amp;$A35)*RTD("tos.rtd",,"GAMMA","."&amp;T$2&amp;T$1&amp;"C"&amp;$A35)+$A$4*$A$4*RTD("tos.rtd",,"VOLUME","."&amp;T$2&amp;T$1&amp;"P"&amp;$A35)*RTD("tos.rtd",,"GAMMA","."&amp;T$2&amp;T$1&amp;"P"&amp;$A35))/1000000,($A$4*$A$4*RTD("tos.rtd",,"VOLUME","."&amp;T$2&amp;T$1&amp;"C"&amp;$A35)*RTD("tos.rtd",,"GAMMA","."&amp;T$2&amp;T$1&amp;"C"&amp;$A35)-$A$4*$A$4*RTD("tos.rtd",,"VOLUME","."&amp;T$2&amp;T$1&amp;"P"&amp;$A35)*RTD("tos.rtd",,"GAMMA","."&amp;T$2&amp;T$1&amp;"P"&amp;$A35))/1000000),0),IF($A$2="GEX",IFERROR(IF($X$1="ABS",($A$4*$A$4*RTD("tos.rtd",,"OPEN_INT","."&amp;T$2&amp;T$1&amp;"C"&amp;$A35)*RTD("tos.rtd",,"GAMMA","."&amp;T$2&amp;T$1&amp;"C"&amp;$A35)+$A$4*$A$4*RTD("tos.rtd",,"OPEN_INT","."&amp;T$2&amp;T$1&amp;"P"&amp;$A35)*RTD("tos.rtd",,"GAMMA","."&amp;T$2&amp;T$1&amp;"P"&amp;$A35))/1000000,($A$4*$A$4*RTD("tos.rtd",,"OPEN_INT","."&amp;T$2&amp;T$1&amp;"C"&amp;$A35)*RTD("tos.rtd",,"GAMMA","."&amp;T$2&amp;T$1&amp;"C"&amp;$A35)-$A$4*$A$4*RTD("tos.rtd",,"OPEN_INT","."&amp;T$2&amp;T$1&amp;"P"&amp;$A35)*RTD("tos.rtd",,"GAMMA","."&amp;T$2&amp;T$1&amp;"P"&amp;$A35))/1000000),0),IF($A$2="SKEW",IFERROR(VALUE(IF(RTD("tos.rtd",,"IMPL_VOL","."&amp;T$2&amp;T$1&amp;"P"&amp;$A35)="N/A",0,RTD("tos.rtd",,"IMPL_VOL","."&amp;T$2&amp;T$1&amp;"P"&amp;$A35))),0)-IFERROR(VALUE(IF(RTD("tos.rtd",,"IMPL_VOL","."&amp;T$2&amp;T$1&amp;"C"&amp;$A35)="N/A",0,RTD("tos.rtd",,"IMPL_VOL","."&amp;T$2&amp;T$1&amp;"C"&amp;$A35))),0),IF($A$2="MAXPAIN",IF($A$4&gt;$A35,($A$4-$A35)*IF(RTD("tos.rtd",,"OPEN_INT","."&amp;T$2&amp;T$1&amp;"C"&amp;$A35)="N/A",0,RTD("tos.rtd",,"OPEN_INT","."&amp;T$2&amp;T$1&amp;"C"&amp;$A35)),0)+IF($A$4&lt;$A35,($A$5-$A$4)*IF(RTD("tos.rtd",,"OPEN_INT","."&amp;T$2&amp;T$1&amp;"P"&amp;$A35)="N/A",0,RTD("tos.rtd",,"OPEN_INT","."&amp;T$2&amp;T$1&amp;"P"&amp;$A35)),0),IF($X$1="ABS",IF(RTD("tos.rtd",,$A$2,"."&amp;T$2&amp;T$1&amp;"C"&amp;$A35)="N/A",0,RTD("tos.rtd",,$A$2,"."&amp;T$2&amp;T$1&amp;"C"&amp;$A35))+IF(RTD("tos.rtd",,$A$2,"."&amp;T$2&amp;T$1&amp;"P"&amp;$A35)="N/A",0,RTD("tos.rtd",,$A$2,"."&amp;T$2&amp;T$1&amp;"P"&amp;$A35)),IF(RTD("tos.rtd",,$A$2,"."&amp;T$2&amp;T$1&amp;"C"&amp;$A35)="N/A",0,RTD("tos.rtd",,$A$2,"."&amp;T$2&amp;T$1&amp;"C"&amp;$A35))-IF(RTD("tos.rtd",,$A$2,"."&amp;T$2&amp;T$1&amp;"P"&amp;$A35)="N/A",0,RTD("tos.rtd",,$A$2,"."&amp;T$2&amp;T$1&amp;"P"&amp;$A35))))))))))</f>
        <v>0</v>
      </c>
      <c r="U35" s="12">
        <f ca="1">IF($A$2="PREMIUM_OI",IFERROR(IF($X$1="ABS",(100*RTD("tos.rtd",,"OPEN_INT","."&amp;U$2&amp;U$1&amp;"C"&amp;$A35)*RTD("tos.rtd",,"LAST","."&amp;U$2&amp;U$1&amp;"C"&amp;$A35)+100*RTD("tos.rtd",,"OPEN_INT","."&amp;U$2&amp;U$1&amp;"P"&amp;$A35)*RTD("tos.rtd",,"LAST","."&amp;U$2&amp;U$1&amp;"P"&amp;$A35))/1000000,(100*RTD("tos.rtd",,"OPEN_INT","."&amp;U$2&amp;U$1&amp;"C"&amp;$A35)*RTD("tos.rtd",,"LAST","."&amp;U$2&amp;U$1&amp;"C"&amp;$A35)-100*RTD("tos.rtd",,"OPEN_INT","."&amp;U$2&amp;U$1&amp;"P"&amp;$A35)*RTD("tos.rtd",,"LAST","."&amp;U$2&amp;U$1&amp;"P"&amp;$A35))/1000000),0),IF($A$2="PREMIUM",IFERROR(IF($X$1="ABS",(100*RTD("tos.rtd",,"VOLUME","."&amp;U$2&amp;U$1&amp;"C"&amp;$A35)*RTD("tos.rtd",,"LAST","."&amp;U$2&amp;U$1&amp;"C"&amp;$A35)+100*RTD("tos.rtd",,"VOLUME","."&amp;U$2&amp;U$1&amp;"P"&amp;$A35)*RTD("tos.rtd",,"LAST","."&amp;U$2&amp;U$1&amp;"P"&amp;$A35))/1000000,(100*RTD("tos.rtd",,"VOLUME","."&amp;U$2&amp;U$1&amp;"C"&amp;$A35)*RTD("tos.rtd",,"LAST","."&amp;U$2&amp;U$1&amp;"C"&amp;$A35)-100*RTD("tos.rtd",,"VOLUME","."&amp;U$2&amp;U$1&amp;"P"&amp;$A35)*RTD("tos.rtd",,"LAST","."&amp;U$2&amp;U$1&amp;"P"&amp;$A35))/1000000),0),IF($A$2="DEX",IFERROR(IF($X$1="ABS",(100*RTD("tos.rtd",,"OPEN_INT","."&amp;U$2&amp;U$1&amp;"C"&amp;$A35)*RTD("tos.rtd",,"DELTA","."&amp;U$2&amp;U$1&amp;"C"&amp;$A35)+100*RTD("tos.rtd",,"OPEN_INT","."&amp;U$2&amp;U$1&amp;"P"&amp;$A35)*RTD("tos.rtd",,"DELTA","."&amp;U$2&amp;U$1&amp;"P"&amp;$A35))/1000,(100*RTD("tos.rtd",,"OPEN_INT","."&amp;U$2&amp;U$1&amp;"C"&amp;$A35)*RTD("tos.rtd",,"DELTA","."&amp;U$2&amp;U$1&amp;"C"&amp;$A35)-100*RTD("tos.rtd",,"OPEN_INT","."&amp;U$2&amp;U$1&amp;"P"&amp;$A35)*RTD("tos.rtd",,"DELTA","."&amp;U$2&amp;U$1&amp;"P"&amp;$A35))/1000),0),IF($A$2="VEX",IFERROR(IF($X$1="ABS",($A$4*$A$4*RTD("tos.rtd",,"VOLUME","."&amp;U$2&amp;U$1&amp;"C"&amp;$A35)*RTD("tos.rtd",,"GAMMA","."&amp;U$2&amp;U$1&amp;"C"&amp;$A35)+$A$4*$A$4*RTD("tos.rtd",,"VOLUME","."&amp;U$2&amp;U$1&amp;"P"&amp;$A35)*RTD("tos.rtd",,"GAMMA","."&amp;U$2&amp;U$1&amp;"P"&amp;$A35))/1000000,($A$4*$A$4*RTD("tos.rtd",,"VOLUME","."&amp;U$2&amp;U$1&amp;"C"&amp;$A35)*RTD("tos.rtd",,"GAMMA","."&amp;U$2&amp;U$1&amp;"C"&amp;$A35)-$A$4*$A$4*RTD("tos.rtd",,"VOLUME","."&amp;U$2&amp;U$1&amp;"P"&amp;$A35)*RTD("tos.rtd",,"GAMMA","."&amp;U$2&amp;U$1&amp;"P"&amp;$A35))/1000000),0),IF($A$2="GEX",IFERROR(IF($X$1="ABS",($A$4*$A$4*RTD("tos.rtd",,"OPEN_INT","."&amp;U$2&amp;U$1&amp;"C"&amp;$A35)*RTD("tos.rtd",,"GAMMA","."&amp;U$2&amp;U$1&amp;"C"&amp;$A35)+$A$4*$A$4*RTD("tos.rtd",,"OPEN_INT","."&amp;U$2&amp;U$1&amp;"P"&amp;$A35)*RTD("tos.rtd",,"GAMMA","."&amp;U$2&amp;U$1&amp;"P"&amp;$A35))/1000000,($A$4*$A$4*RTD("tos.rtd",,"OPEN_INT","."&amp;U$2&amp;U$1&amp;"C"&amp;$A35)*RTD("tos.rtd",,"GAMMA","."&amp;U$2&amp;U$1&amp;"C"&amp;$A35)-$A$4*$A$4*RTD("tos.rtd",,"OPEN_INT","."&amp;U$2&amp;U$1&amp;"P"&amp;$A35)*RTD("tos.rtd",,"GAMMA","."&amp;U$2&amp;U$1&amp;"P"&amp;$A35))/1000000),0),IF($A$2="SKEW",IFERROR(VALUE(IF(RTD("tos.rtd",,"IMPL_VOL","."&amp;U$2&amp;U$1&amp;"P"&amp;$A35)="N/A",0,RTD("tos.rtd",,"IMPL_VOL","."&amp;U$2&amp;U$1&amp;"P"&amp;$A35))),0)-IFERROR(VALUE(IF(RTD("tos.rtd",,"IMPL_VOL","."&amp;U$2&amp;U$1&amp;"C"&amp;$A35)="N/A",0,RTD("tos.rtd",,"IMPL_VOL","."&amp;U$2&amp;U$1&amp;"C"&amp;$A35))),0),IF($A$2="MAXPAIN",IF($A$4&gt;$A35,($A$4-$A35)*IF(RTD("tos.rtd",,"OPEN_INT","."&amp;U$2&amp;U$1&amp;"C"&amp;$A35)="N/A",0,RTD("tos.rtd",,"OPEN_INT","."&amp;U$2&amp;U$1&amp;"C"&amp;$A35)),0)+IF($A$4&lt;$A35,($A$5-$A$4)*IF(RTD("tos.rtd",,"OPEN_INT","."&amp;U$2&amp;U$1&amp;"P"&amp;$A35)="N/A",0,RTD("tos.rtd",,"OPEN_INT","."&amp;U$2&amp;U$1&amp;"P"&amp;$A35)),0),IF($X$1="ABS",IF(RTD("tos.rtd",,$A$2,"."&amp;U$2&amp;U$1&amp;"C"&amp;$A35)="N/A",0,RTD("tos.rtd",,$A$2,"."&amp;U$2&amp;U$1&amp;"C"&amp;$A35))+IF(RTD("tos.rtd",,$A$2,"."&amp;U$2&amp;U$1&amp;"P"&amp;$A35)="N/A",0,RTD("tos.rtd",,$A$2,"."&amp;U$2&amp;U$1&amp;"P"&amp;$A35)),IF(RTD("tos.rtd",,$A$2,"."&amp;U$2&amp;U$1&amp;"C"&amp;$A35)="N/A",0,RTD("tos.rtd",,$A$2,"."&amp;U$2&amp;U$1&amp;"C"&amp;$A35))-IF(RTD("tos.rtd",,$A$2,"."&amp;U$2&amp;U$1&amp;"P"&amp;$A35)="N/A",0,RTD("tos.rtd",,$A$2,"."&amp;U$2&amp;U$1&amp;"P"&amp;$A35))))))))))</f>
        <v>0</v>
      </c>
      <c r="V35" s="12">
        <f ca="1">IF($A$2="PREMIUM_OI",IFERROR(IF($X$1="ABS",(100*RTD("tos.rtd",,"OPEN_INT","."&amp;V$2&amp;V$1&amp;"C"&amp;$A35)*RTD("tos.rtd",,"LAST","."&amp;V$2&amp;V$1&amp;"C"&amp;$A35)+100*RTD("tos.rtd",,"OPEN_INT","."&amp;V$2&amp;V$1&amp;"P"&amp;$A35)*RTD("tos.rtd",,"LAST","."&amp;V$2&amp;V$1&amp;"P"&amp;$A35))/1000000,(100*RTD("tos.rtd",,"OPEN_INT","."&amp;V$2&amp;V$1&amp;"C"&amp;$A35)*RTD("tos.rtd",,"LAST","."&amp;V$2&amp;V$1&amp;"C"&amp;$A35)-100*RTD("tos.rtd",,"OPEN_INT","."&amp;V$2&amp;V$1&amp;"P"&amp;$A35)*RTD("tos.rtd",,"LAST","."&amp;V$2&amp;V$1&amp;"P"&amp;$A35))/1000000),0),IF($A$2="PREMIUM",IFERROR(IF($X$1="ABS",(100*RTD("tos.rtd",,"VOLUME","."&amp;V$2&amp;V$1&amp;"C"&amp;$A35)*RTD("tos.rtd",,"LAST","."&amp;V$2&amp;V$1&amp;"C"&amp;$A35)+100*RTD("tos.rtd",,"VOLUME","."&amp;V$2&amp;V$1&amp;"P"&amp;$A35)*RTD("tos.rtd",,"LAST","."&amp;V$2&amp;V$1&amp;"P"&amp;$A35))/1000000,(100*RTD("tos.rtd",,"VOLUME","."&amp;V$2&amp;V$1&amp;"C"&amp;$A35)*RTD("tos.rtd",,"LAST","."&amp;V$2&amp;V$1&amp;"C"&amp;$A35)-100*RTD("tos.rtd",,"VOLUME","."&amp;V$2&amp;V$1&amp;"P"&amp;$A35)*RTD("tos.rtd",,"LAST","."&amp;V$2&amp;V$1&amp;"P"&amp;$A35))/1000000),0),IF($A$2="DEX",IFERROR(IF($X$1="ABS",(100*RTD("tos.rtd",,"OPEN_INT","."&amp;V$2&amp;V$1&amp;"C"&amp;$A35)*RTD("tos.rtd",,"DELTA","."&amp;V$2&amp;V$1&amp;"C"&amp;$A35)+100*RTD("tos.rtd",,"OPEN_INT","."&amp;V$2&amp;V$1&amp;"P"&amp;$A35)*RTD("tos.rtd",,"DELTA","."&amp;V$2&amp;V$1&amp;"P"&amp;$A35))/1000,(100*RTD("tos.rtd",,"OPEN_INT","."&amp;V$2&amp;V$1&amp;"C"&amp;$A35)*RTD("tos.rtd",,"DELTA","."&amp;V$2&amp;V$1&amp;"C"&amp;$A35)-100*RTD("tos.rtd",,"OPEN_INT","."&amp;V$2&amp;V$1&amp;"P"&amp;$A35)*RTD("tos.rtd",,"DELTA","."&amp;V$2&amp;V$1&amp;"P"&amp;$A35))/1000),0),IF($A$2="VEX",IFERROR(IF($X$1="ABS",($A$4*$A$4*RTD("tos.rtd",,"VOLUME","."&amp;V$2&amp;V$1&amp;"C"&amp;$A35)*RTD("tos.rtd",,"GAMMA","."&amp;V$2&amp;V$1&amp;"C"&amp;$A35)+$A$4*$A$4*RTD("tos.rtd",,"VOLUME","."&amp;V$2&amp;V$1&amp;"P"&amp;$A35)*RTD("tos.rtd",,"GAMMA","."&amp;V$2&amp;V$1&amp;"P"&amp;$A35))/1000000,($A$4*$A$4*RTD("tos.rtd",,"VOLUME","."&amp;V$2&amp;V$1&amp;"C"&amp;$A35)*RTD("tos.rtd",,"GAMMA","."&amp;V$2&amp;V$1&amp;"C"&amp;$A35)-$A$4*$A$4*RTD("tos.rtd",,"VOLUME","."&amp;V$2&amp;V$1&amp;"P"&amp;$A35)*RTD("tos.rtd",,"GAMMA","."&amp;V$2&amp;V$1&amp;"P"&amp;$A35))/1000000),0),IF($A$2="GEX",IFERROR(IF($X$1="ABS",($A$4*$A$4*RTD("tos.rtd",,"OPEN_INT","."&amp;V$2&amp;V$1&amp;"C"&amp;$A35)*RTD("tos.rtd",,"GAMMA","."&amp;V$2&amp;V$1&amp;"C"&amp;$A35)+$A$4*$A$4*RTD("tos.rtd",,"OPEN_INT","."&amp;V$2&amp;V$1&amp;"P"&amp;$A35)*RTD("tos.rtd",,"GAMMA","."&amp;V$2&amp;V$1&amp;"P"&amp;$A35))/1000000,($A$4*$A$4*RTD("tos.rtd",,"OPEN_INT","."&amp;V$2&amp;V$1&amp;"C"&amp;$A35)*RTD("tos.rtd",,"GAMMA","."&amp;V$2&amp;V$1&amp;"C"&amp;$A35)-$A$4*$A$4*RTD("tos.rtd",,"OPEN_INT","."&amp;V$2&amp;V$1&amp;"P"&amp;$A35)*RTD("tos.rtd",,"GAMMA","."&amp;V$2&amp;V$1&amp;"P"&amp;$A35))/1000000),0),IF($A$2="SKEW",IFERROR(VALUE(IF(RTD("tos.rtd",,"IMPL_VOL","."&amp;V$2&amp;V$1&amp;"P"&amp;$A35)="N/A",0,RTD("tos.rtd",,"IMPL_VOL","."&amp;V$2&amp;V$1&amp;"P"&amp;$A35))),0)-IFERROR(VALUE(IF(RTD("tos.rtd",,"IMPL_VOL","."&amp;V$2&amp;V$1&amp;"C"&amp;$A35)="N/A",0,RTD("tos.rtd",,"IMPL_VOL","."&amp;V$2&amp;V$1&amp;"C"&amp;$A35))),0),IF($A$2="MAXPAIN",IF($A$4&gt;$A35,($A$4-$A35)*IF(RTD("tos.rtd",,"OPEN_INT","."&amp;V$2&amp;V$1&amp;"C"&amp;$A35)="N/A",0,RTD("tos.rtd",,"OPEN_INT","."&amp;V$2&amp;V$1&amp;"C"&amp;$A35)),0)+IF($A$4&lt;$A35,($A$5-$A$4)*IF(RTD("tos.rtd",,"OPEN_INT","."&amp;V$2&amp;V$1&amp;"P"&amp;$A35)="N/A",0,RTD("tos.rtd",,"OPEN_INT","."&amp;V$2&amp;V$1&amp;"P"&amp;$A35)),0),IF($X$1="ABS",IF(RTD("tos.rtd",,$A$2,"."&amp;V$2&amp;V$1&amp;"C"&amp;$A35)="N/A",0,RTD("tos.rtd",,$A$2,"."&amp;V$2&amp;V$1&amp;"C"&amp;$A35))+IF(RTD("tos.rtd",,$A$2,"."&amp;V$2&amp;V$1&amp;"P"&amp;$A35)="N/A",0,RTD("tos.rtd",,$A$2,"."&amp;V$2&amp;V$1&amp;"P"&amp;$A35)),IF(RTD("tos.rtd",,$A$2,"."&amp;V$2&amp;V$1&amp;"C"&amp;$A35)="N/A",0,RTD("tos.rtd",,$A$2,"."&amp;V$2&amp;V$1&amp;"C"&amp;$A35))-IF(RTD("tos.rtd",,$A$2,"."&amp;V$2&amp;V$1&amp;"P"&amp;$A35)="N/A",0,RTD("tos.rtd",,$A$2,"."&amp;V$2&amp;V$1&amp;"P"&amp;$A35))))))))))</f>
        <v>0</v>
      </c>
      <c r="W35" s="12">
        <f ca="1">IF($A$2="PREMIUM_OI",IFERROR(IF($X$1="ABS",(100*RTD("tos.rtd",,"OPEN_INT","."&amp;W$2&amp;W$1&amp;"C"&amp;$A35)*RTD("tos.rtd",,"LAST","."&amp;W$2&amp;W$1&amp;"C"&amp;$A35)+100*RTD("tos.rtd",,"OPEN_INT","."&amp;W$2&amp;W$1&amp;"P"&amp;$A35)*RTD("tos.rtd",,"LAST","."&amp;W$2&amp;W$1&amp;"P"&amp;$A35))/1000000,(100*RTD("tos.rtd",,"OPEN_INT","."&amp;W$2&amp;W$1&amp;"C"&amp;$A35)*RTD("tos.rtd",,"LAST","."&amp;W$2&amp;W$1&amp;"C"&amp;$A35)-100*RTD("tos.rtd",,"OPEN_INT","."&amp;W$2&amp;W$1&amp;"P"&amp;$A35)*RTD("tos.rtd",,"LAST","."&amp;W$2&amp;W$1&amp;"P"&amp;$A35))/1000000),0),IF($A$2="PREMIUM",IFERROR(IF($X$1="ABS",(100*RTD("tos.rtd",,"VOLUME","."&amp;W$2&amp;W$1&amp;"C"&amp;$A35)*RTD("tos.rtd",,"LAST","."&amp;W$2&amp;W$1&amp;"C"&amp;$A35)+100*RTD("tos.rtd",,"VOLUME","."&amp;W$2&amp;W$1&amp;"P"&amp;$A35)*RTD("tos.rtd",,"LAST","."&amp;W$2&amp;W$1&amp;"P"&amp;$A35))/1000000,(100*RTD("tos.rtd",,"VOLUME","."&amp;W$2&amp;W$1&amp;"C"&amp;$A35)*RTD("tos.rtd",,"LAST","."&amp;W$2&amp;W$1&amp;"C"&amp;$A35)-100*RTD("tos.rtd",,"VOLUME","."&amp;W$2&amp;W$1&amp;"P"&amp;$A35)*RTD("tos.rtd",,"LAST","."&amp;W$2&amp;W$1&amp;"P"&amp;$A35))/1000000),0),IF($A$2="DEX",IFERROR(IF($X$1="ABS",(100*RTD("tos.rtd",,"OPEN_INT","."&amp;W$2&amp;W$1&amp;"C"&amp;$A35)*RTD("tos.rtd",,"DELTA","."&amp;W$2&amp;W$1&amp;"C"&amp;$A35)+100*RTD("tos.rtd",,"OPEN_INT","."&amp;W$2&amp;W$1&amp;"P"&amp;$A35)*RTD("tos.rtd",,"DELTA","."&amp;W$2&amp;W$1&amp;"P"&amp;$A35))/1000,(100*RTD("tos.rtd",,"OPEN_INT","."&amp;W$2&amp;W$1&amp;"C"&amp;$A35)*RTD("tos.rtd",,"DELTA","."&amp;W$2&amp;W$1&amp;"C"&amp;$A35)-100*RTD("tos.rtd",,"OPEN_INT","."&amp;W$2&amp;W$1&amp;"P"&amp;$A35)*RTD("tos.rtd",,"DELTA","."&amp;W$2&amp;W$1&amp;"P"&amp;$A35))/1000),0),IF($A$2="VEX",IFERROR(IF($X$1="ABS",($A$4*$A$4*RTD("tos.rtd",,"VOLUME","."&amp;W$2&amp;W$1&amp;"C"&amp;$A35)*RTD("tos.rtd",,"GAMMA","."&amp;W$2&amp;W$1&amp;"C"&amp;$A35)+$A$4*$A$4*RTD("tos.rtd",,"VOLUME","."&amp;W$2&amp;W$1&amp;"P"&amp;$A35)*RTD("tos.rtd",,"GAMMA","."&amp;W$2&amp;W$1&amp;"P"&amp;$A35))/1000000,($A$4*$A$4*RTD("tos.rtd",,"VOLUME","."&amp;W$2&amp;W$1&amp;"C"&amp;$A35)*RTD("tos.rtd",,"GAMMA","."&amp;W$2&amp;W$1&amp;"C"&amp;$A35)-$A$4*$A$4*RTD("tos.rtd",,"VOLUME","."&amp;W$2&amp;W$1&amp;"P"&amp;$A35)*RTD("tos.rtd",,"GAMMA","."&amp;W$2&amp;W$1&amp;"P"&amp;$A35))/1000000),0),IF($A$2="GEX",IFERROR(IF($X$1="ABS",($A$4*$A$4*RTD("tos.rtd",,"OPEN_INT","."&amp;W$2&amp;W$1&amp;"C"&amp;$A35)*RTD("tos.rtd",,"GAMMA","."&amp;W$2&amp;W$1&amp;"C"&amp;$A35)+$A$4*$A$4*RTD("tos.rtd",,"OPEN_INT","."&amp;W$2&amp;W$1&amp;"P"&amp;$A35)*RTD("tos.rtd",,"GAMMA","."&amp;W$2&amp;W$1&amp;"P"&amp;$A35))/1000000,($A$4*$A$4*RTD("tos.rtd",,"OPEN_INT","."&amp;W$2&amp;W$1&amp;"C"&amp;$A35)*RTD("tos.rtd",,"GAMMA","."&amp;W$2&amp;W$1&amp;"C"&amp;$A35)-$A$4*$A$4*RTD("tos.rtd",,"OPEN_INT","."&amp;W$2&amp;W$1&amp;"P"&amp;$A35)*RTD("tos.rtd",,"GAMMA","."&amp;W$2&amp;W$1&amp;"P"&amp;$A35))/1000000),0),IF($A$2="SKEW",IFERROR(VALUE(IF(RTD("tos.rtd",,"IMPL_VOL","."&amp;W$2&amp;W$1&amp;"P"&amp;$A35)="N/A",0,RTD("tos.rtd",,"IMPL_VOL","."&amp;W$2&amp;W$1&amp;"P"&amp;$A35))),0)-IFERROR(VALUE(IF(RTD("tos.rtd",,"IMPL_VOL","."&amp;W$2&amp;W$1&amp;"C"&amp;$A35)="N/A",0,RTD("tos.rtd",,"IMPL_VOL","."&amp;W$2&amp;W$1&amp;"C"&amp;$A35))),0),IF($A$2="MAXPAIN",IF($A$4&gt;$A35,($A$4-$A35)*IF(RTD("tos.rtd",,"OPEN_INT","."&amp;W$2&amp;W$1&amp;"C"&amp;$A35)="N/A",0,RTD("tos.rtd",,"OPEN_INT","."&amp;W$2&amp;W$1&amp;"C"&amp;$A35)),0)+IF($A$4&lt;$A35,($A$5-$A$4)*IF(RTD("tos.rtd",,"OPEN_INT","."&amp;W$2&amp;W$1&amp;"P"&amp;$A35)="N/A",0,RTD("tos.rtd",,"OPEN_INT","."&amp;W$2&amp;W$1&amp;"P"&amp;$A35)),0),IF($X$1="ABS",IF(RTD("tos.rtd",,$A$2,"."&amp;W$2&amp;W$1&amp;"C"&amp;$A35)="N/A",0,RTD("tos.rtd",,$A$2,"."&amp;W$2&amp;W$1&amp;"C"&amp;$A35))+IF(RTD("tos.rtd",,$A$2,"."&amp;W$2&amp;W$1&amp;"P"&amp;$A35)="N/A",0,RTD("tos.rtd",,$A$2,"."&amp;W$2&amp;W$1&amp;"P"&amp;$A35)),IF(RTD("tos.rtd",,$A$2,"."&amp;W$2&amp;W$1&amp;"C"&amp;$A35)="N/A",0,RTD("tos.rtd",,$A$2,"."&amp;W$2&amp;W$1&amp;"C"&amp;$A35))-IF(RTD("tos.rtd",,$A$2,"."&amp;W$2&amp;W$1&amp;"P"&amp;$A35)="N/A",0,RTD("tos.rtd",,$A$2,"."&amp;W$2&amp;W$1&amp;"P"&amp;$A35))))))))))</f>
        <v>0</v>
      </c>
      <c r="X35" s="57">
        <f t="shared" ca="1" si="7"/>
        <v>-5160</v>
      </c>
      <c r="Y35" s="27">
        <f t="shared" ca="1" si="8"/>
        <v>-5160</v>
      </c>
      <c r="Z35" s="27">
        <f t="shared" ca="1" si="9"/>
        <v>18827</v>
      </c>
      <c r="AA35" s="27">
        <f t="shared" si="10"/>
        <v>5896200</v>
      </c>
      <c r="AB35" s="18">
        <f>MAX(0, $A35-AB$4)*IF(RTD("tos.rtd",,"OPEN_INT","."&amp;$AA$3&amp;$AA$4&amp;"C"&amp;AB$4)="N/A",0,RTD("tos.rtd",,"OPEN_INT","."&amp;$AA$3&amp;$AA$4&amp;"C"&amp;AB$4))*100 + MAX(0, AB$4-$A35)*IF(RTD("tos.rtd",,"OPEN_INT","."&amp;$AA$3&amp;$AA$4&amp;"P"&amp;AB$4)="N/A",0,RTD("tos.rtd",,"OPEN_INT","."&amp;$AA$3&amp;$AA$4&amp;"P"&amp;AB$4))*100</f>
        <v>0</v>
      </c>
      <c r="AC35" s="18">
        <f>MAX(0, $A35-AC$4)*IF(RTD("tos.rtd",,"OPEN_INT","."&amp;$AA$3&amp;$AA$4&amp;"C"&amp;AC$4)="N/A",0,RTD("tos.rtd",,"OPEN_INT","."&amp;$AA$3&amp;$AA$4&amp;"C"&amp;AC$4))*100 + MAX(0, AC$4-$A35)*IF(RTD("tos.rtd",,"OPEN_INT","."&amp;$AA$3&amp;$AA$4&amp;"P"&amp;AC$4)="N/A",0,RTD("tos.rtd",,"OPEN_INT","."&amp;$AA$3&amp;$AA$4&amp;"P"&amp;AC$4))*100</f>
        <v>0</v>
      </c>
      <c r="AD35" s="18">
        <f>MAX(0, $A35-AD$4)*IF(RTD("tos.rtd",,"OPEN_INT","."&amp;$AA$3&amp;$AA$4&amp;"C"&amp;AD$4)="N/A",0,RTD("tos.rtd",,"OPEN_INT","."&amp;$AA$3&amp;$AA$4&amp;"C"&amp;AD$4))*100 + MAX(0, AD$4-$A35)*IF(RTD("tos.rtd",,"OPEN_INT","."&amp;$AA$3&amp;$AA$4&amp;"P"&amp;AD$4)="N/A",0,RTD("tos.rtd",,"OPEN_INT","."&amp;$AA$3&amp;$AA$4&amp;"P"&amp;AD$4))*100</f>
        <v>0</v>
      </c>
      <c r="AE35" s="18">
        <f>MAX(0, $A35-AE$4)*IF(RTD("tos.rtd",,"OPEN_INT","."&amp;$AA$3&amp;$AA$4&amp;"C"&amp;AE$4)="N/A",0,RTD("tos.rtd",,"OPEN_INT","."&amp;$AA$3&amp;$AA$4&amp;"C"&amp;AE$4))*100 + MAX(0, AE$4-$A35)*IF(RTD("tos.rtd",,"OPEN_INT","."&amp;$AA$3&amp;$AA$4&amp;"P"&amp;AE$4)="N/A",0,RTD("tos.rtd",,"OPEN_INT","."&amp;$AA$3&amp;$AA$4&amp;"P"&amp;AE$4))*100</f>
        <v>0</v>
      </c>
      <c r="AF35" s="18">
        <f>MAX(0, $A35-AF$4)*IF(RTD("tos.rtd",,"OPEN_INT","."&amp;$AA$3&amp;$AA$4&amp;"C"&amp;AF$4)="N/A",0,RTD("tos.rtd",,"OPEN_INT","."&amp;$AA$3&amp;$AA$4&amp;"C"&amp;AF$4))*100 + MAX(0, AF$4-$A35)*IF(RTD("tos.rtd",,"OPEN_INT","."&amp;$AA$3&amp;$AA$4&amp;"P"&amp;AF$4)="N/A",0,RTD("tos.rtd",,"OPEN_INT","."&amp;$AA$3&amp;$AA$4&amp;"P"&amp;AF$4))*100</f>
        <v>0</v>
      </c>
      <c r="AG35" s="18">
        <f>MAX(0, $A35-AG$4)*IF(RTD("tos.rtd",,"OPEN_INT","."&amp;$AA$3&amp;$AA$4&amp;"C"&amp;AG$4)="N/A",0,RTD("tos.rtd",,"OPEN_INT","."&amp;$AA$3&amp;$AA$4&amp;"C"&amp;AG$4))*100 + MAX(0, AG$4-$A35)*IF(RTD("tos.rtd",,"OPEN_INT","."&amp;$AA$3&amp;$AA$4&amp;"P"&amp;AG$4)="N/A",0,RTD("tos.rtd",,"OPEN_INT","."&amp;$AA$3&amp;$AA$4&amp;"P"&amp;AG$4))*100</f>
        <v>0</v>
      </c>
      <c r="AH35" s="18">
        <f>MAX(0, $A35-AH$4)*IF(RTD("tos.rtd",,"OPEN_INT","."&amp;$AA$3&amp;$AA$4&amp;"C"&amp;AH$4)="N/A",0,RTD("tos.rtd",,"OPEN_INT","."&amp;$AA$3&amp;$AA$4&amp;"C"&amp;AH$4))*100 + MAX(0, AH$4-$A35)*IF(RTD("tos.rtd",,"OPEN_INT","."&amp;$AA$3&amp;$AA$4&amp;"P"&amp;AH$4)="N/A",0,RTD("tos.rtd",,"OPEN_INT","."&amp;$AA$3&amp;$AA$4&amp;"P"&amp;AH$4))*100</f>
        <v>0</v>
      </c>
      <c r="AI35" s="18">
        <f>MAX(0, $A35-AI$4)*IF(RTD("tos.rtd",,"OPEN_INT","."&amp;$AA$3&amp;$AA$4&amp;"C"&amp;AI$4)="N/A",0,RTD("tos.rtd",,"OPEN_INT","."&amp;$AA$3&amp;$AA$4&amp;"C"&amp;AI$4))*100 + MAX(0, AI$4-$A35)*IF(RTD("tos.rtd",,"OPEN_INT","."&amp;$AA$3&amp;$AA$4&amp;"P"&amp;AI$4)="N/A",0,RTD("tos.rtd",,"OPEN_INT","."&amp;$AA$3&amp;$AA$4&amp;"P"&amp;AI$4))*100</f>
        <v>3450</v>
      </c>
      <c r="AJ35" s="18">
        <f>MAX(0, $A35-AJ$4)*IF(RTD("tos.rtd",,"OPEN_INT","."&amp;$AA$3&amp;$AA$4&amp;"C"&amp;AJ$4)="N/A",0,RTD("tos.rtd",,"OPEN_INT","."&amp;$AA$3&amp;$AA$4&amp;"C"&amp;AJ$4))*100 + MAX(0, AJ$4-$A35)*IF(RTD("tos.rtd",,"OPEN_INT","."&amp;$AA$3&amp;$AA$4&amp;"P"&amp;AJ$4)="N/A",0,RTD("tos.rtd",,"OPEN_INT","."&amp;$AA$3&amp;$AA$4&amp;"P"&amp;AJ$4))*100</f>
        <v>8800</v>
      </c>
      <c r="AK35" s="18">
        <f>MAX(0, $A35-AK$4)*IF(RTD("tos.rtd",,"OPEN_INT","."&amp;$AA$3&amp;$AA$4&amp;"C"&amp;AK$4)="N/A",0,RTD("tos.rtd",,"OPEN_INT","."&amp;$AA$3&amp;$AA$4&amp;"C"&amp;AK$4))*100 + MAX(0, AK$4-$A35)*IF(RTD("tos.rtd",,"OPEN_INT","."&amp;$AA$3&amp;$AA$4&amp;"P"&amp;AK$4)="N/A",0,RTD("tos.rtd",,"OPEN_INT","."&amp;$AA$3&amp;$AA$4&amp;"P"&amp;AK$4))*100</f>
        <v>0</v>
      </c>
      <c r="AL35" s="18">
        <f>MAX(0, $A35-AL$4)*IF(RTD("tos.rtd",,"OPEN_INT","."&amp;$AA$3&amp;$AA$4&amp;"C"&amp;AL$4)="N/A",0,RTD("tos.rtd",,"OPEN_INT","."&amp;$AA$3&amp;$AA$4&amp;"C"&amp;AL$4))*100 + MAX(0, AL$4-$A35)*IF(RTD("tos.rtd",,"OPEN_INT","."&amp;$AA$3&amp;$AA$4&amp;"P"&amp;AL$4)="N/A",0,RTD("tos.rtd",,"OPEN_INT","."&amp;$AA$3&amp;$AA$4&amp;"P"&amp;AL$4))*100</f>
        <v>0</v>
      </c>
      <c r="AM35" s="18">
        <f>MAX(0, $A35-AM$4)*IF(RTD("tos.rtd",,"OPEN_INT","."&amp;$AA$3&amp;$AA$4&amp;"C"&amp;AM$4)="N/A",0,RTD("tos.rtd",,"OPEN_INT","."&amp;$AA$3&amp;$AA$4&amp;"C"&amp;AM$4))*100 + MAX(0, AM$4-$A35)*IF(RTD("tos.rtd",,"OPEN_INT","."&amp;$AA$3&amp;$AA$4&amp;"P"&amp;AM$4)="N/A",0,RTD("tos.rtd",,"OPEN_INT","."&amp;$AA$3&amp;$AA$4&amp;"P"&amp;AM$4))*100</f>
        <v>0</v>
      </c>
      <c r="AN35" s="18">
        <f>MAX(0, $A35-AN$4)*IF(RTD("tos.rtd",,"OPEN_INT","."&amp;$AA$3&amp;$AA$4&amp;"C"&amp;AN$4)="N/A",0,RTD("tos.rtd",,"OPEN_INT","."&amp;$AA$3&amp;$AA$4&amp;"C"&amp;AN$4))*100 + MAX(0, AN$4-$A35)*IF(RTD("tos.rtd",,"OPEN_INT","."&amp;$AA$3&amp;$AA$4&amp;"P"&amp;AN$4)="N/A",0,RTD("tos.rtd",,"OPEN_INT","."&amp;$AA$3&amp;$AA$4&amp;"P"&amp;AN$4))*100</f>
        <v>0</v>
      </c>
      <c r="AO35" s="18">
        <f>MAX(0, $A35-AO$4)*IF(RTD("tos.rtd",,"OPEN_INT","."&amp;$AA$3&amp;$AA$4&amp;"C"&amp;AO$4)="N/A",0,RTD("tos.rtd",,"OPEN_INT","."&amp;$AA$3&amp;$AA$4&amp;"C"&amp;AO$4))*100 + MAX(0, AO$4-$A35)*IF(RTD("tos.rtd",,"OPEN_INT","."&amp;$AA$3&amp;$AA$4&amp;"P"&amp;AO$4)="N/A",0,RTD("tos.rtd",,"OPEN_INT","."&amp;$AA$3&amp;$AA$4&amp;"P"&amp;AO$4))*100</f>
        <v>102000</v>
      </c>
      <c r="AP35" s="18">
        <f>MAX(0, $A35-AP$4)*IF(RTD("tos.rtd",,"OPEN_INT","."&amp;$AA$3&amp;$AA$4&amp;"C"&amp;AP$4)="N/A",0,RTD("tos.rtd",,"OPEN_INT","."&amp;$AA$3&amp;$AA$4&amp;"C"&amp;AP$4))*100 + MAX(0, AP$4-$A35)*IF(RTD("tos.rtd",,"OPEN_INT","."&amp;$AA$3&amp;$AA$4&amp;"P"&amp;AP$4)="N/A",0,RTD("tos.rtd",,"OPEN_INT","."&amp;$AA$3&amp;$AA$4&amp;"P"&amp;AP$4))*100</f>
        <v>0</v>
      </c>
      <c r="AQ35" s="18">
        <f>MAX(0, $A35-AQ$4)*IF(RTD("tos.rtd",,"OPEN_INT","."&amp;$AA$3&amp;$AA$4&amp;"C"&amp;AQ$4)="N/A",0,RTD("tos.rtd",,"OPEN_INT","."&amp;$AA$3&amp;$AA$4&amp;"C"&amp;AQ$4))*100 + MAX(0, AQ$4-$A35)*IF(RTD("tos.rtd",,"OPEN_INT","."&amp;$AA$3&amp;$AA$4&amp;"P"&amp;AQ$4)="N/A",0,RTD("tos.rtd",,"OPEN_INT","."&amp;$AA$3&amp;$AA$4&amp;"P"&amp;AQ$4))*100</f>
        <v>39750</v>
      </c>
      <c r="AR35" s="18">
        <f>MAX(0, $A35-AR$4)*IF(RTD("tos.rtd",,"OPEN_INT","."&amp;$AA$3&amp;$AA$4&amp;"C"&amp;AR$4)="N/A",0,RTD("tos.rtd",,"OPEN_INT","."&amp;$AA$3&amp;$AA$4&amp;"C"&amp;AR$4))*100 + MAX(0, AR$4-$A35)*IF(RTD("tos.rtd",,"OPEN_INT","."&amp;$AA$3&amp;$AA$4&amp;"P"&amp;AR$4)="N/A",0,RTD("tos.rtd",,"OPEN_INT","."&amp;$AA$3&amp;$AA$4&amp;"P"&amp;AR$4))*100</f>
        <v>4200</v>
      </c>
      <c r="AS35" s="18">
        <f>MAX(0, $A35-AS$4)*IF(RTD("tos.rtd",,"OPEN_INT","."&amp;$AA$3&amp;$AA$4&amp;"C"&amp;AS$4)="N/A",0,RTD("tos.rtd",,"OPEN_INT","."&amp;$AA$3&amp;$AA$4&amp;"C"&amp;AS$4))*100 + MAX(0, AS$4-$A35)*IF(RTD("tos.rtd",,"OPEN_INT","."&amp;$AA$3&amp;$AA$4&amp;"P"&amp;AS$4)="N/A",0,RTD("tos.rtd",,"OPEN_INT","."&amp;$AA$3&amp;$AA$4&amp;"P"&amp;AS$4))*100</f>
        <v>40300</v>
      </c>
      <c r="AT35" s="18">
        <f>MAX(0, $A35-AT$4)*IF(RTD("tos.rtd",,"OPEN_INT","."&amp;$AA$3&amp;$AA$4&amp;"C"&amp;AT$4)="N/A",0,RTD("tos.rtd",,"OPEN_INT","."&amp;$AA$3&amp;$AA$4&amp;"C"&amp;AT$4))*100 + MAX(0, AT$4-$A35)*IF(RTD("tos.rtd",,"OPEN_INT","."&amp;$AA$3&amp;$AA$4&amp;"P"&amp;AT$4)="N/A",0,RTD("tos.rtd",,"OPEN_INT","."&amp;$AA$3&amp;$AA$4&amp;"P"&amp;AT$4))*100</f>
        <v>42000</v>
      </c>
      <c r="AU35" s="18">
        <f>MAX(0, $A35-AU$4)*IF(RTD("tos.rtd",,"OPEN_INT","."&amp;$AA$3&amp;$AA$4&amp;"C"&amp;AU$4)="N/A",0,RTD("tos.rtd",,"OPEN_INT","."&amp;$AA$3&amp;$AA$4&amp;"C"&amp;AU$4))*100 + MAX(0, AU$4-$A35)*IF(RTD("tos.rtd",,"OPEN_INT","."&amp;$AA$3&amp;$AA$4&amp;"P"&amp;AU$4)="N/A",0,RTD("tos.rtd",,"OPEN_INT","."&amp;$AA$3&amp;$AA$4&amp;"P"&amp;AU$4))*100</f>
        <v>22000</v>
      </c>
      <c r="AV35" s="18">
        <f>MAX(0, $A35-AV$4)*IF(RTD("tos.rtd",,"OPEN_INT","."&amp;$AA$3&amp;$AA$4&amp;"C"&amp;AV$4)="N/A",0,RTD("tos.rtd",,"OPEN_INT","."&amp;$AA$3&amp;$AA$4&amp;"C"&amp;AV$4))*100 + MAX(0, AV$4-$A35)*IF(RTD("tos.rtd",,"OPEN_INT","."&amp;$AA$3&amp;$AA$4&amp;"P"&amp;AV$4)="N/A",0,RTD("tos.rtd",,"OPEN_INT","."&amp;$AA$3&amp;$AA$4&amp;"P"&amp;AV$4))*100</f>
        <v>80500</v>
      </c>
      <c r="AW35" s="18">
        <f>MAX(0, $A35-AW$4)*IF(RTD("tos.rtd",,"OPEN_INT","."&amp;$AA$3&amp;$AA$4&amp;"C"&amp;AW$4)="N/A",0,RTD("tos.rtd",,"OPEN_INT","."&amp;$AA$3&amp;$AA$4&amp;"C"&amp;AW$4))*100 + MAX(0, AW$4-$A35)*IF(RTD("tos.rtd",,"OPEN_INT","."&amp;$AA$3&amp;$AA$4&amp;"P"&amp;AW$4)="N/A",0,RTD("tos.rtd",,"OPEN_INT","."&amp;$AA$3&amp;$AA$4&amp;"P"&amp;AW$4))*100</f>
        <v>90900</v>
      </c>
      <c r="AX35" s="18">
        <f>MAX(0, $A35-AX$4)*IF(RTD("tos.rtd",,"OPEN_INT","."&amp;$AA$3&amp;$AA$4&amp;"C"&amp;AX$4)="N/A",0,RTD("tos.rtd",,"OPEN_INT","."&amp;$AA$3&amp;$AA$4&amp;"C"&amp;AX$4))*100 + MAX(0, AX$4-$A35)*IF(RTD("tos.rtd",,"OPEN_INT","."&amp;$AA$3&amp;$AA$4&amp;"P"&amp;AX$4)="N/A",0,RTD("tos.rtd",,"OPEN_INT","."&amp;$AA$3&amp;$AA$4&amp;"P"&amp;AX$4))*100</f>
        <v>98800</v>
      </c>
      <c r="AY35" s="18">
        <f>MAX(0, $A35-AY$4)*IF(RTD("tos.rtd",,"OPEN_INT","."&amp;$AA$3&amp;$AA$4&amp;"C"&amp;AY$4)="N/A",0,RTD("tos.rtd",,"OPEN_INT","."&amp;$AA$3&amp;$AA$4&amp;"C"&amp;AY$4))*100 + MAX(0, AY$4-$A35)*IF(RTD("tos.rtd",,"OPEN_INT","."&amp;$AA$3&amp;$AA$4&amp;"P"&amp;AY$4)="N/A",0,RTD("tos.rtd",,"OPEN_INT","."&amp;$AA$3&amp;$AA$4&amp;"P"&amp;AY$4))*100</f>
        <v>725900</v>
      </c>
      <c r="AZ35" s="18">
        <f>MAX(0, $A35-AZ$4)*IF(RTD("tos.rtd",,"OPEN_INT","."&amp;$AA$3&amp;$AA$4&amp;"C"&amp;AZ$4)="N/A",0,RTD("tos.rtd",,"OPEN_INT","."&amp;$AA$3&amp;$AA$4&amp;"C"&amp;AZ$4))*100 + MAX(0, AZ$4-$A35)*IF(RTD("tos.rtd",,"OPEN_INT","."&amp;$AA$3&amp;$AA$4&amp;"P"&amp;AZ$4)="N/A",0,RTD("tos.rtd",,"OPEN_INT","."&amp;$AA$3&amp;$AA$4&amp;"P"&amp;AZ$4))*100</f>
        <v>170400</v>
      </c>
      <c r="BA35" s="18">
        <f>MAX(0, $A35-BA$4)*IF(RTD("tos.rtd",,"OPEN_INT","."&amp;$AA$3&amp;$AA$4&amp;"C"&amp;BA$4)="N/A",0,RTD("tos.rtd",,"OPEN_INT","."&amp;$AA$3&amp;$AA$4&amp;"C"&amp;BA$4))*100 + MAX(0, BA$4-$A35)*IF(RTD("tos.rtd",,"OPEN_INT","."&amp;$AA$3&amp;$AA$4&amp;"P"&amp;BA$4)="N/A",0,RTD("tos.rtd",,"OPEN_INT","."&amp;$AA$3&amp;$AA$4&amp;"P"&amp;BA$4))*100</f>
        <v>585000</v>
      </c>
      <c r="BB35" s="18">
        <f>MAX(0, $A35-BB$4)*IF(RTD("tos.rtd",,"OPEN_INT","."&amp;$AA$3&amp;$AA$4&amp;"C"&amp;BB$4)="N/A",0,RTD("tos.rtd",,"OPEN_INT","."&amp;$AA$3&amp;$AA$4&amp;"C"&amp;BB$4))*100 + MAX(0, BB$4-$A35)*IF(RTD("tos.rtd",,"OPEN_INT","."&amp;$AA$3&amp;$AA$4&amp;"P"&amp;BB$4)="N/A",0,RTD("tos.rtd",,"OPEN_INT","."&amp;$AA$3&amp;$AA$4&amp;"P"&amp;BB$4))*100</f>
        <v>456800</v>
      </c>
      <c r="BC35" s="18">
        <f>MAX(0, $A35-BC$4)*IF(RTD("tos.rtd",,"OPEN_INT","."&amp;$AA$3&amp;$AA$4&amp;"C"&amp;BC$4)="N/A",0,RTD("tos.rtd",,"OPEN_INT","."&amp;$AA$3&amp;$AA$4&amp;"C"&amp;BC$4))*100 + MAX(0, BC$4-$A35)*IF(RTD("tos.rtd",,"OPEN_INT","."&amp;$AA$3&amp;$AA$4&amp;"P"&amp;BC$4)="N/A",0,RTD("tos.rtd",,"OPEN_INT","."&amp;$AA$3&amp;$AA$4&amp;"P"&amp;BC$4))*100</f>
        <v>1147650</v>
      </c>
      <c r="BD35" s="18">
        <f>MAX(0, $A35-BD$4)*IF(RTD("tos.rtd",,"OPEN_INT","."&amp;$AA$3&amp;$AA$4&amp;"C"&amp;BD$4)="N/A",0,RTD("tos.rtd",,"OPEN_INT","."&amp;$AA$3&amp;$AA$4&amp;"C"&amp;BD$4))*100 + MAX(0, BD$4-$A35)*IF(RTD("tos.rtd",,"OPEN_INT","."&amp;$AA$3&amp;$AA$4&amp;"P"&amp;BD$4)="N/A",0,RTD("tos.rtd",,"OPEN_INT","."&amp;$AA$3&amp;$AA$4&amp;"P"&amp;BD$4))*100</f>
        <v>982100</v>
      </c>
      <c r="BE35" s="18">
        <f>MAX(0, $A35-BE$4)*IF(RTD("tos.rtd",,"OPEN_INT","."&amp;$AA$3&amp;$AA$4&amp;"C"&amp;BE$4)="N/A",0,RTD("tos.rtd",,"OPEN_INT","."&amp;$AA$3&amp;$AA$4&amp;"C"&amp;BE$4))*100 + MAX(0, BE$4-$A35)*IF(RTD("tos.rtd",,"OPEN_INT","."&amp;$AA$3&amp;$AA$4&amp;"P"&amp;BE$4)="N/A",0,RTD("tos.rtd",,"OPEN_INT","."&amp;$AA$3&amp;$AA$4&amp;"P"&amp;BE$4))*100</f>
        <v>555800</v>
      </c>
      <c r="BF35" s="18">
        <f>MAX(0, $A35-BF$4)*IF(RTD("tos.rtd",,"OPEN_INT","."&amp;$AA$3&amp;$AA$4&amp;"C"&amp;BF$4)="N/A",0,RTD("tos.rtd",,"OPEN_INT","."&amp;$AA$3&amp;$AA$4&amp;"C"&amp;BF$4))*100 + MAX(0, BF$4-$A35)*IF(RTD("tos.rtd",,"OPEN_INT","."&amp;$AA$3&amp;$AA$4&amp;"P"&amp;BF$4)="N/A",0,RTD("tos.rtd",,"OPEN_INT","."&amp;$AA$3&amp;$AA$4&amp;"P"&amp;BF$4))*100</f>
        <v>0</v>
      </c>
      <c r="BG35" s="18">
        <f>MAX(0, $A35-BG$4)*IF(RTD("tos.rtd",,"OPEN_INT","."&amp;$AA$3&amp;$AA$4&amp;"C"&amp;BG$4)="N/A",0,RTD("tos.rtd",,"OPEN_INT","."&amp;$AA$3&amp;$AA$4&amp;"C"&amp;BG$4))*100 + MAX(0, BG$4-$A35)*IF(RTD("tos.rtd",,"OPEN_INT","."&amp;$AA$3&amp;$AA$4&amp;"P"&amp;BG$4)="N/A",0,RTD("tos.rtd",,"OPEN_INT","."&amp;$AA$3&amp;$AA$4&amp;"P"&amp;BG$4))*100</f>
        <v>286700</v>
      </c>
      <c r="BH35" s="18">
        <f>MAX(0, $A35-BH$4)*IF(RTD("tos.rtd",,"OPEN_INT","."&amp;$AA$3&amp;$AA$4&amp;"C"&amp;BH$4)="N/A",0,RTD("tos.rtd",,"OPEN_INT","."&amp;$AA$3&amp;$AA$4&amp;"C"&amp;BH$4))*100 + MAX(0, BH$4-$A35)*IF(RTD("tos.rtd",,"OPEN_INT","."&amp;$AA$3&amp;$AA$4&amp;"P"&amp;BH$4)="N/A",0,RTD("tos.rtd",,"OPEN_INT","."&amp;$AA$3&amp;$AA$4&amp;"P"&amp;BH$4))*100</f>
        <v>194300</v>
      </c>
      <c r="BI35" s="18">
        <f>MAX(0, $A35-BI$4)*IF(RTD("tos.rtd",,"OPEN_INT","."&amp;$AA$3&amp;$AA$4&amp;"C"&amp;BI$4)="N/A",0,RTD("tos.rtd",,"OPEN_INT","."&amp;$AA$3&amp;$AA$4&amp;"C"&amp;BI$4))*100 + MAX(0, BI$4-$A35)*IF(RTD("tos.rtd",,"OPEN_INT","."&amp;$AA$3&amp;$AA$4&amp;"P"&amp;BI$4)="N/A",0,RTD("tos.rtd",,"OPEN_INT","."&amp;$AA$3&amp;$AA$4&amp;"P"&amp;BI$4))*100</f>
        <v>126300</v>
      </c>
      <c r="BJ35" s="18">
        <f>MAX(0, $A35-BJ$4)*IF(RTD("tos.rtd",,"OPEN_INT","."&amp;$AA$3&amp;$AA$4&amp;"C"&amp;BJ$4)="N/A",0,RTD("tos.rtd",,"OPEN_INT","."&amp;$AA$3&amp;$AA$4&amp;"C"&amp;BJ$4))*100 + MAX(0, BJ$4-$A35)*IF(RTD("tos.rtd",,"OPEN_INT","."&amp;$AA$3&amp;$AA$4&amp;"P"&amp;BJ$4)="N/A",0,RTD("tos.rtd",,"OPEN_INT","."&amp;$AA$3&amp;$AA$4&amp;"P"&amp;BJ$4))*100</f>
        <v>30200</v>
      </c>
      <c r="BK35" s="18">
        <f>MAX(0, $A35-BK$4)*IF(RTD("tos.rtd",,"OPEN_INT","."&amp;$AA$3&amp;$AA$4&amp;"C"&amp;BK$4)="N/A",0,RTD("tos.rtd",,"OPEN_INT","."&amp;$AA$3&amp;$AA$4&amp;"C"&amp;BK$4))*100 + MAX(0, BK$4-$A35)*IF(RTD("tos.rtd",,"OPEN_INT","."&amp;$AA$3&amp;$AA$4&amp;"P"&amp;BK$4)="N/A",0,RTD("tos.rtd",,"OPEN_INT","."&amp;$AA$3&amp;$AA$4&amp;"P"&amp;BK$4))*100</f>
        <v>65250</v>
      </c>
      <c r="BL35" s="18">
        <f>MAX(0, $A35-BL$4)*IF(RTD("tos.rtd",,"OPEN_INT","."&amp;$AA$3&amp;$AA$4&amp;"C"&amp;BL$4)="N/A",0,RTD("tos.rtd",,"OPEN_INT","."&amp;$AA$3&amp;$AA$4&amp;"C"&amp;BL$4))*100 + MAX(0, BL$4-$A35)*IF(RTD("tos.rtd",,"OPEN_INT","."&amp;$AA$3&amp;$AA$4&amp;"P"&amp;BL$4)="N/A",0,RTD("tos.rtd",,"OPEN_INT","."&amp;$AA$3&amp;$AA$4&amp;"P"&amp;BL$4))*100</f>
        <v>4800</v>
      </c>
      <c r="BM35" s="18">
        <f>MAX(0, $A35-BM$4)*IF(RTD("tos.rtd",,"OPEN_INT","."&amp;$AA$3&amp;$AA$4&amp;"C"&amp;BM$4)="N/A",0,RTD("tos.rtd",,"OPEN_INT","."&amp;$AA$3&amp;$AA$4&amp;"C"&amp;BM$4))*100 + MAX(0, BM$4-$A35)*IF(RTD("tos.rtd",,"OPEN_INT","."&amp;$AA$3&amp;$AA$4&amp;"P"&amp;BM$4)="N/A",0,RTD("tos.rtd",,"OPEN_INT","."&amp;$AA$3&amp;$AA$4&amp;"P"&amp;BM$4))*100</f>
        <v>2800</v>
      </c>
      <c r="BN35" s="18">
        <f>MAX(0, $A35-BN$4)*IF(RTD("tos.rtd",,"OPEN_INT","."&amp;$AA$3&amp;$AA$4&amp;"C"&amp;BN$4)="N/A",0,RTD("tos.rtd",,"OPEN_INT","."&amp;$AA$3&amp;$AA$4&amp;"C"&amp;BN$4))*100 + MAX(0, BN$4-$A35)*IF(RTD("tos.rtd",,"OPEN_INT","."&amp;$AA$3&amp;$AA$4&amp;"P"&amp;BN$4)="N/A",0,RTD("tos.rtd",,"OPEN_INT","."&amp;$AA$3&amp;$AA$4&amp;"P"&amp;BN$4))*100</f>
        <v>12400</v>
      </c>
      <c r="BO35" s="18">
        <f>MAX(0, $A35-BO$4)*IF(RTD("tos.rtd",,"OPEN_INT","."&amp;$AA$3&amp;$AA$4&amp;"C"&amp;BO$4)="N/A",0,RTD("tos.rtd",,"OPEN_INT","."&amp;$AA$3&amp;$AA$4&amp;"C"&amp;BO$4))*100 + MAX(0, BO$4-$A35)*IF(RTD("tos.rtd",,"OPEN_INT","."&amp;$AA$3&amp;$AA$4&amp;"P"&amp;BO$4)="N/A",0,RTD("tos.rtd",,"OPEN_INT","."&amp;$AA$3&amp;$AA$4&amp;"P"&amp;BO$4))*100</f>
        <v>17100</v>
      </c>
      <c r="BP35" s="18">
        <f>MAX(0, $A35-BP$4)*IF(RTD("tos.rtd",,"OPEN_INT","."&amp;$AA$3&amp;$AA$4&amp;"C"&amp;BP$4)="N/A",0,RTD("tos.rtd",,"OPEN_INT","."&amp;$AA$3&amp;$AA$4&amp;"C"&amp;BP$4))*100 + MAX(0, BP$4-$A35)*IF(RTD("tos.rtd",,"OPEN_INT","."&amp;$AA$3&amp;$AA$4&amp;"P"&amp;BP$4)="N/A",0,RTD("tos.rtd",,"OPEN_INT","."&amp;$AA$3&amp;$AA$4&amp;"P"&amp;BP$4))*100</f>
        <v>0</v>
      </c>
      <c r="BQ35" s="18">
        <f>MAX(0, $A35-BQ$4)*IF(RTD("tos.rtd",,"OPEN_INT","."&amp;$AA$3&amp;$AA$4&amp;"C"&amp;BQ$4)="N/A",0,RTD("tos.rtd",,"OPEN_INT","."&amp;$AA$3&amp;$AA$4&amp;"C"&amp;BQ$4))*100 + MAX(0, BQ$4-$A35)*IF(RTD("tos.rtd",,"OPEN_INT","."&amp;$AA$3&amp;$AA$4&amp;"P"&amp;BQ$4)="N/A",0,RTD("tos.rtd",,"OPEN_INT","."&amp;$AA$3&amp;$AA$4&amp;"P"&amp;BQ$4))*100</f>
        <v>0</v>
      </c>
      <c r="BR35" s="18">
        <f>MAX(0, $A35-BR$4)*IF(RTD("tos.rtd",,"OPEN_INT","."&amp;$AA$3&amp;$AA$4&amp;"C"&amp;BR$4)="N/A",0,RTD("tos.rtd",,"OPEN_INT","."&amp;$AA$3&amp;$AA$4&amp;"C"&amp;BR$4))*100 + MAX(0, BR$4-$A35)*IF(RTD("tos.rtd",,"OPEN_INT","."&amp;$AA$3&amp;$AA$4&amp;"P"&amp;BR$4)="N/A",0,RTD("tos.rtd",,"OPEN_INT","."&amp;$AA$3&amp;$AA$4&amp;"P"&amp;BR$4))*100</f>
        <v>0</v>
      </c>
      <c r="BS35" s="18">
        <f>MAX(0, $A35-BS$4)*IF(RTD("tos.rtd",,"OPEN_INT","."&amp;$AA$3&amp;$AA$4&amp;"C"&amp;BS$4)="N/A",0,RTD("tos.rtd",,"OPEN_INT","."&amp;$AA$3&amp;$AA$4&amp;"C"&amp;BS$4))*100 + MAX(0, BS$4-$A35)*IF(RTD("tos.rtd",,"OPEN_INT","."&amp;$AA$3&amp;$AA$4&amp;"P"&amp;BS$4)="N/A",0,RTD("tos.rtd",,"OPEN_INT","."&amp;$AA$3&amp;$AA$4&amp;"P"&amp;BS$4))*100</f>
        <v>0</v>
      </c>
      <c r="BT35" s="18">
        <f>MAX(0, $A35-BT$4)*IF(RTD("tos.rtd",,"OPEN_INT","."&amp;$AA$3&amp;$AA$4&amp;"C"&amp;BT$4)="N/A",0,RTD("tos.rtd",,"OPEN_INT","."&amp;$AA$3&amp;$AA$4&amp;"C"&amp;BT$4))*100 + MAX(0, BT$4-$A35)*IF(RTD("tos.rtd",,"OPEN_INT","."&amp;$AA$3&amp;$AA$4&amp;"P"&amp;BT$4)="N/A",0,RTD("tos.rtd",,"OPEN_INT","."&amp;$AA$3&amp;$AA$4&amp;"P"&amp;BT$4))*100</f>
        <v>0</v>
      </c>
      <c r="BU35" s="18">
        <f>MAX(0, $A35-BU$4)*IF(RTD("tos.rtd",,"OPEN_INT","."&amp;$AA$3&amp;$AA$4&amp;"C"&amp;BU$4)="N/A",0,RTD("tos.rtd",,"OPEN_INT","."&amp;$AA$3&amp;$AA$4&amp;"C"&amp;BU$4))*100 + MAX(0, BU$4-$A35)*IF(RTD("tos.rtd",,"OPEN_INT","."&amp;$AA$3&amp;$AA$4&amp;"P"&amp;BU$4)="N/A",0,RTD("tos.rtd",,"OPEN_INT","."&amp;$AA$3&amp;$AA$4&amp;"P"&amp;BU$4))*100</f>
        <v>0</v>
      </c>
      <c r="BV35" s="18">
        <f>MAX(0, $A35-BV$4)*IF(RTD("tos.rtd",,"OPEN_INT","."&amp;$AA$3&amp;$AA$4&amp;"C"&amp;BV$4)="N/A",0,RTD("tos.rtd",,"OPEN_INT","."&amp;$AA$3&amp;$AA$4&amp;"C"&amp;BV$4))*100 + MAX(0, BV$4-$A35)*IF(RTD("tos.rtd",,"OPEN_INT","."&amp;$AA$3&amp;$AA$4&amp;"P"&amp;BV$4)="N/A",0,RTD("tos.rtd",,"OPEN_INT","."&amp;$AA$3&amp;$AA$4&amp;"P"&amp;BV$4))*100</f>
        <v>0</v>
      </c>
    </row>
    <row r="36" spans="1:74" s="19" customFormat="1" ht="11.1" customHeight="1" thickBot="1" x14ac:dyDescent="0.3">
      <c r="A36" s="23">
        <f t="shared" si="11"/>
        <v>6</v>
      </c>
      <c r="B36" s="14">
        <f ca="1">IF($A$2="PREMIUM_OI",IFERROR(IF($X$1="ABS",(100*RTD("tos.rtd",,"OPEN_INT","."&amp;B$2&amp;B$1&amp;"C"&amp;$A36)*RTD("tos.rtd",,"LAST","."&amp;B$2&amp;B$1&amp;"C"&amp;$A36)+100*RTD("tos.rtd",,"OPEN_INT","."&amp;B$2&amp;B$1&amp;"P"&amp;$A36)*RTD("tos.rtd",,"LAST","."&amp;B$2&amp;B$1&amp;"P"&amp;$A36))/1000000,(100*RTD("tos.rtd",,"OPEN_INT","."&amp;B$2&amp;B$1&amp;"C"&amp;$A36)*RTD("tos.rtd",,"LAST","."&amp;B$2&amp;B$1&amp;"C"&amp;$A36)-100*RTD("tos.rtd",,"OPEN_INT","."&amp;B$2&amp;B$1&amp;"P"&amp;$A36)*RTD("tos.rtd",,"LAST","."&amp;B$2&amp;B$1&amp;"P"&amp;$A36))/1000000),0),IF($A$2="PREMIUM",IFERROR(IF($X$1="ABS",(100*RTD("tos.rtd",,"VOLUME","."&amp;B$2&amp;B$1&amp;"C"&amp;$A36)*RTD("tos.rtd",,"LAST","."&amp;B$2&amp;B$1&amp;"C"&amp;$A36)+100*RTD("tos.rtd",,"VOLUME","."&amp;B$2&amp;B$1&amp;"P"&amp;$A36)*RTD("tos.rtd",,"LAST","."&amp;B$2&amp;B$1&amp;"P"&amp;$A36))/1000000,(100*RTD("tos.rtd",,"VOLUME","."&amp;B$2&amp;B$1&amp;"C"&amp;$A36)*RTD("tos.rtd",,"LAST","."&amp;B$2&amp;B$1&amp;"C"&amp;$A36)-100*RTD("tos.rtd",,"VOLUME","."&amp;B$2&amp;B$1&amp;"P"&amp;$A36)*RTD("tos.rtd",,"LAST","."&amp;B$2&amp;B$1&amp;"P"&amp;$A36))/1000000),0),IF($A$2="DEX",IFERROR(IF($X$1="ABS",(100*RTD("tos.rtd",,"OPEN_INT","."&amp;B$2&amp;B$1&amp;"C"&amp;$A36)*RTD("tos.rtd",,"DELTA","."&amp;B$2&amp;B$1&amp;"C"&amp;$A36)+100*RTD("tos.rtd",,"OPEN_INT","."&amp;B$2&amp;B$1&amp;"P"&amp;$A36)*RTD("tos.rtd",,"DELTA","."&amp;B$2&amp;B$1&amp;"P"&amp;$A36))/1000,(100*RTD("tos.rtd",,"OPEN_INT","."&amp;B$2&amp;B$1&amp;"C"&amp;$A36)*RTD("tos.rtd",,"DELTA","."&amp;B$2&amp;B$1&amp;"C"&amp;$A36)-100*RTD("tos.rtd",,"OPEN_INT","."&amp;B$2&amp;B$1&amp;"P"&amp;$A36)*RTD("tos.rtd",,"DELTA","."&amp;B$2&amp;B$1&amp;"P"&amp;$A36))/1000),0),IF($A$2="VEX",IFERROR(IF($X$1="ABS",($A$4*$A$4*RTD("tos.rtd",,"VOLUME","."&amp;B$2&amp;B$1&amp;"C"&amp;$A36)*RTD("tos.rtd",,"GAMMA","."&amp;B$2&amp;B$1&amp;"C"&amp;$A36)+$A$4*$A$4*RTD("tos.rtd",,"VOLUME","."&amp;B$2&amp;B$1&amp;"P"&amp;$A36)*RTD("tos.rtd",,"GAMMA","."&amp;B$2&amp;B$1&amp;"P"&amp;$A36))/1000000,($A$4*$A$4*RTD("tos.rtd",,"VOLUME","."&amp;B$2&amp;B$1&amp;"C"&amp;$A36)*RTD("tos.rtd",,"GAMMA","."&amp;B$2&amp;B$1&amp;"C"&amp;$A36)-$A$4*$A$4*RTD("tos.rtd",,"VOLUME","."&amp;B$2&amp;B$1&amp;"P"&amp;$A36)*RTD("tos.rtd",,"GAMMA","."&amp;B$2&amp;B$1&amp;"P"&amp;$A36))/1000000),0),IF($A$2="GEX",IFERROR(IF($X$1="ABS",($A$4*$A$4*RTD("tos.rtd",,"OPEN_INT","."&amp;B$2&amp;B$1&amp;"C"&amp;$A36)*RTD("tos.rtd",,"GAMMA","."&amp;B$2&amp;B$1&amp;"C"&amp;$A36)+$A$4*$A$4*RTD("tos.rtd",,"OPEN_INT","."&amp;B$2&amp;B$1&amp;"P"&amp;$A36)*RTD("tos.rtd",,"GAMMA","."&amp;B$2&amp;B$1&amp;"P"&amp;$A36))/1000000,($A$4*$A$4*RTD("tos.rtd",,"OPEN_INT","."&amp;B$2&amp;B$1&amp;"C"&amp;$A36)*RTD("tos.rtd",,"GAMMA","."&amp;B$2&amp;B$1&amp;"C"&amp;$A36)-$A$4*$A$4*RTD("tos.rtd",,"OPEN_INT","."&amp;B$2&amp;B$1&amp;"P"&amp;$A36)*RTD("tos.rtd",,"GAMMA","."&amp;B$2&amp;B$1&amp;"P"&amp;$A36))/1000000),0),IF($A$2="SKEW",IFERROR(VALUE(IF(RTD("tos.rtd",,"IMPL_VOL","."&amp;B$2&amp;B$1&amp;"P"&amp;$A36)="N/A",0,RTD("tos.rtd",,"IMPL_VOL","."&amp;B$2&amp;B$1&amp;"P"&amp;$A36))),0)-IFERROR(VALUE(IF(RTD("tos.rtd",,"IMPL_VOL","."&amp;B$2&amp;B$1&amp;"C"&amp;$A36)="N/A",0,RTD("tos.rtd",,"IMPL_VOL","."&amp;B$2&amp;B$1&amp;"C"&amp;$A36))),0),IF($A$2="MAXPAIN",IF($A$4&gt;$A36,($A$4-$A36)*IF(RTD("tos.rtd",,"OPEN_INT","."&amp;B$2&amp;B$1&amp;"C"&amp;$A36)="N/A",0,RTD("tos.rtd",,"OPEN_INT","."&amp;B$2&amp;B$1&amp;"C"&amp;$A36)),0)+IF($A$4&lt;$A36,($A$5-$A$4)*IF(RTD("tos.rtd",,"OPEN_INT","."&amp;B$2&amp;B$1&amp;"P"&amp;$A36)="N/A",0,RTD("tos.rtd",,"OPEN_INT","."&amp;B$2&amp;B$1&amp;"P"&amp;$A36)),0),IF($X$1="ABS",IF(RTD("tos.rtd",,$A$2,"."&amp;B$2&amp;B$1&amp;"C"&amp;$A36)="N/A",0,RTD("tos.rtd",,$A$2,"."&amp;B$2&amp;B$1&amp;"C"&amp;$A36))+IF(RTD("tos.rtd",,$A$2,"."&amp;B$2&amp;B$1&amp;"P"&amp;$A36)="N/A",0,RTD("tos.rtd",,$A$2,"."&amp;B$2&amp;B$1&amp;"P"&amp;$A36)),IF(RTD("tos.rtd",,$A$2,"."&amp;B$2&amp;B$1&amp;"C"&amp;$A36)="N/A",0,RTD("tos.rtd",,$A$2,"."&amp;B$2&amp;B$1&amp;"C"&amp;$A36))-IF(RTD("tos.rtd",,$A$2,"."&amp;B$2&amp;B$1&amp;"P"&amp;$A36)="N/A",0,RTD("tos.rtd",,$A$2,"."&amp;B$2&amp;B$1&amp;"P"&amp;$A36))))))))))</f>
        <v>0</v>
      </c>
      <c r="C36" s="12">
        <f ca="1">IF($A$2="PREMIUM_OI",IFERROR(IF($X$1="ABS",(100*RTD("tos.rtd",,"OPEN_INT","."&amp;C$2&amp;C$1&amp;"C"&amp;$A36)*RTD("tos.rtd",,"LAST","."&amp;C$2&amp;C$1&amp;"C"&amp;$A36)+100*RTD("tos.rtd",,"OPEN_INT","."&amp;C$2&amp;C$1&amp;"P"&amp;$A36)*RTD("tos.rtd",,"LAST","."&amp;C$2&amp;C$1&amp;"P"&amp;$A36))/1000000,(100*RTD("tos.rtd",,"OPEN_INT","."&amp;C$2&amp;C$1&amp;"C"&amp;$A36)*RTD("tos.rtd",,"LAST","."&amp;C$2&amp;C$1&amp;"C"&amp;$A36)-100*RTD("tos.rtd",,"OPEN_INT","."&amp;C$2&amp;C$1&amp;"P"&amp;$A36)*RTD("tos.rtd",,"LAST","."&amp;C$2&amp;C$1&amp;"P"&amp;$A36))/1000000),0),IF($A$2="PREMIUM",IFERROR(IF($X$1="ABS",(100*RTD("tos.rtd",,"VOLUME","."&amp;C$2&amp;C$1&amp;"C"&amp;$A36)*RTD("tos.rtd",,"LAST","."&amp;C$2&amp;C$1&amp;"C"&amp;$A36)+100*RTD("tos.rtd",,"VOLUME","."&amp;C$2&amp;C$1&amp;"P"&amp;$A36)*RTD("tos.rtd",,"LAST","."&amp;C$2&amp;C$1&amp;"P"&amp;$A36))/1000000,(100*RTD("tos.rtd",,"VOLUME","."&amp;C$2&amp;C$1&amp;"C"&amp;$A36)*RTD("tos.rtd",,"LAST","."&amp;C$2&amp;C$1&amp;"C"&amp;$A36)-100*RTD("tos.rtd",,"VOLUME","."&amp;C$2&amp;C$1&amp;"P"&amp;$A36)*RTD("tos.rtd",,"LAST","."&amp;C$2&amp;C$1&amp;"P"&amp;$A36))/1000000),0),IF($A$2="DEX",IFERROR(IF($X$1="ABS",(100*RTD("tos.rtd",,"OPEN_INT","."&amp;C$2&amp;C$1&amp;"C"&amp;$A36)*RTD("tos.rtd",,"DELTA","."&amp;C$2&amp;C$1&amp;"C"&amp;$A36)+100*RTD("tos.rtd",,"OPEN_INT","."&amp;C$2&amp;C$1&amp;"P"&amp;$A36)*RTD("tos.rtd",,"DELTA","."&amp;C$2&amp;C$1&amp;"P"&amp;$A36))/1000,(100*RTD("tos.rtd",,"OPEN_INT","."&amp;C$2&amp;C$1&amp;"C"&amp;$A36)*RTD("tos.rtd",,"DELTA","."&amp;C$2&amp;C$1&amp;"C"&amp;$A36)-100*RTD("tos.rtd",,"OPEN_INT","."&amp;C$2&amp;C$1&amp;"P"&amp;$A36)*RTD("tos.rtd",,"DELTA","."&amp;C$2&amp;C$1&amp;"P"&amp;$A36))/1000),0),IF($A$2="VEX",IFERROR(IF($X$1="ABS",($A$4*$A$4*RTD("tos.rtd",,"VOLUME","."&amp;C$2&amp;C$1&amp;"C"&amp;$A36)*RTD("tos.rtd",,"GAMMA","."&amp;C$2&amp;C$1&amp;"C"&amp;$A36)+$A$4*$A$4*RTD("tos.rtd",,"VOLUME","."&amp;C$2&amp;C$1&amp;"P"&amp;$A36)*RTD("tos.rtd",,"GAMMA","."&amp;C$2&amp;C$1&amp;"P"&amp;$A36))/1000000,($A$4*$A$4*RTD("tos.rtd",,"VOLUME","."&amp;C$2&amp;C$1&amp;"C"&amp;$A36)*RTD("tos.rtd",,"GAMMA","."&amp;C$2&amp;C$1&amp;"C"&amp;$A36)-$A$4*$A$4*RTD("tos.rtd",,"VOLUME","."&amp;C$2&amp;C$1&amp;"P"&amp;$A36)*RTD("tos.rtd",,"GAMMA","."&amp;C$2&amp;C$1&amp;"P"&amp;$A36))/1000000),0),IF($A$2="GEX",IFERROR(IF($X$1="ABS",($A$4*$A$4*RTD("tos.rtd",,"OPEN_INT","."&amp;C$2&amp;C$1&amp;"C"&amp;$A36)*RTD("tos.rtd",,"GAMMA","."&amp;C$2&amp;C$1&amp;"C"&amp;$A36)+$A$4*$A$4*RTD("tos.rtd",,"OPEN_INT","."&amp;C$2&amp;C$1&amp;"P"&amp;$A36)*RTD("tos.rtd",,"GAMMA","."&amp;C$2&amp;C$1&amp;"P"&amp;$A36))/1000000,($A$4*$A$4*RTD("tos.rtd",,"OPEN_INT","."&amp;C$2&amp;C$1&amp;"C"&amp;$A36)*RTD("tos.rtd",,"GAMMA","."&amp;C$2&amp;C$1&amp;"C"&amp;$A36)-$A$4*$A$4*RTD("tos.rtd",,"OPEN_INT","."&amp;C$2&amp;C$1&amp;"P"&amp;$A36)*RTD("tos.rtd",,"GAMMA","."&amp;C$2&amp;C$1&amp;"P"&amp;$A36))/1000000),0),IF($A$2="SKEW",IFERROR(VALUE(IF(RTD("tos.rtd",,"IMPL_VOL","."&amp;C$2&amp;C$1&amp;"P"&amp;$A36)="N/A",0,RTD("tos.rtd",,"IMPL_VOL","."&amp;C$2&amp;C$1&amp;"P"&amp;$A36))),0)-IFERROR(VALUE(IF(RTD("tos.rtd",,"IMPL_VOL","."&amp;C$2&amp;C$1&amp;"C"&amp;$A36)="N/A",0,RTD("tos.rtd",,"IMPL_VOL","."&amp;C$2&amp;C$1&amp;"C"&amp;$A36))),0),IF($A$2="MAXPAIN",IF($A$4&gt;$A36,($A$4-$A36)*IF(RTD("tos.rtd",,"OPEN_INT","."&amp;C$2&amp;C$1&amp;"C"&amp;$A36)="N/A",0,RTD("tos.rtd",,"OPEN_INT","."&amp;C$2&amp;C$1&amp;"C"&amp;$A36)),0)+IF($A$4&lt;$A36,($A$5-$A$4)*IF(RTD("tos.rtd",,"OPEN_INT","."&amp;C$2&amp;C$1&amp;"P"&amp;$A36)="N/A",0,RTD("tos.rtd",,"OPEN_INT","."&amp;C$2&amp;C$1&amp;"P"&amp;$A36)),0),IF($X$1="ABS",IF(RTD("tos.rtd",,$A$2,"."&amp;C$2&amp;C$1&amp;"C"&amp;$A36)="N/A",0,RTD("tos.rtd",,$A$2,"."&amp;C$2&amp;C$1&amp;"C"&amp;$A36))+IF(RTD("tos.rtd",,$A$2,"."&amp;C$2&amp;C$1&amp;"P"&amp;$A36)="N/A",0,RTD("tos.rtd",,$A$2,"."&amp;C$2&amp;C$1&amp;"P"&amp;$A36)),IF(RTD("tos.rtd",,$A$2,"."&amp;C$2&amp;C$1&amp;"C"&amp;$A36)="N/A",0,RTD("tos.rtd",,$A$2,"."&amp;C$2&amp;C$1&amp;"C"&amp;$A36))-IF(RTD("tos.rtd",,$A$2,"."&amp;C$2&amp;C$1&amp;"P"&amp;$A36)="N/A",0,RTD("tos.rtd",,$A$2,"."&amp;C$2&amp;C$1&amp;"P"&amp;$A36))))))))))</f>
        <v>-3341</v>
      </c>
      <c r="D36" s="12">
        <f ca="1">IF($A$2="PREMIUM_OI",IFERROR(IF($X$1="ABS",(100*RTD("tos.rtd",,"OPEN_INT","."&amp;D$2&amp;D$1&amp;"C"&amp;$A36)*RTD("tos.rtd",,"LAST","."&amp;D$2&amp;D$1&amp;"C"&amp;$A36)+100*RTD("tos.rtd",,"OPEN_INT","."&amp;D$2&amp;D$1&amp;"P"&amp;$A36)*RTD("tos.rtd",,"LAST","."&amp;D$2&amp;D$1&amp;"P"&amp;$A36))/1000000,(100*RTD("tos.rtd",,"OPEN_INT","."&amp;D$2&amp;D$1&amp;"C"&amp;$A36)*RTD("tos.rtd",,"LAST","."&amp;D$2&amp;D$1&amp;"C"&amp;$A36)-100*RTD("tos.rtd",,"OPEN_INT","."&amp;D$2&amp;D$1&amp;"P"&amp;$A36)*RTD("tos.rtd",,"LAST","."&amp;D$2&amp;D$1&amp;"P"&amp;$A36))/1000000),0),IF($A$2="PREMIUM",IFERROR(IF($X$1="ABS",(100*RTD("tos.rtd",,"VOLUME","."&amp;D$2&amp;D$1&amp;"C"&amp;$A36)*RTD("tos.rtd",,"LAST","."&amp;D$2&amp;D$1&amp;"C"&amp;$A36)+100*RTD("tos.rtd",,"VOLUME","."&amp;D$2&amp;D$1&amp;"P"&amp;$A36)*RTD("tos.rtd",,"LAST","."&amp;D$2&amp;D$1&amp;"P"&amp;$A36))/1000000,(100*RTD("tos.rtd",,"VOLUME","."&amp;D$2&amp;D$1&amp;"C"&amp;$A36)*RTD("tos.rtd",,"LAST","."&amp;D$2&amp;D$1&amp;"C"&amp;$A36)-100*RTD("tos.rtd",,"VOLUME","."&amp;D$2&amp;D$1&amp;"P"&amp;$A36)*RTD("tos.rtd",,"LAST","."&amp;D$2&amp;D$1&amp;"P"&amp;$A36))/1000000),0),IF($A$2="DEX",IFERROR(IF($X$1="ABS",(100*RTD("tos.rtd",,"OPEN_INT","."&amp;D$2&amp;D$1&amp;"C"&amp;$A36)*RTD("tos.rtd",,"DELTA","."&amp;D$2&amp;D$1&amp;"C"&amp;$A36)+100*RTD("tos.rtd",,"OPEN_INT","."&amp;D$2&amp;D$1&amp;"P"&amp;$A36)*RTD("tos.rtd",,"DELTA","."&amp;D$2&amp;D$1&amp;"P"&amp;$A36))/1000,(100*RTD("tos.rtd",,"OPEN_INT","."&amp;D$2&amp;D$1&amp;"C"&amp;$A36)*RTD("tos.rtd",,"DELTA","."&amp;D$2&amp;D$1&amp;"C"&amp;$A36)-100*RTD("tos.rtd",,"OPEN_INT","."&amp;D$2&amp;D$1&amp;"P"&amp;$A36)*RTD("tos.rtd",,"DELTA","."&amp;D$2&amp;D$1&amp;"P"&amp;$A36))/1000),0),IF($A$2="VEX",IFERROR(IF($X$1="ABS",($A$4*$A$4*RTD("tos.rtd",,"VOLUME","."&amp;D$2&amp;D$1&amp;"C"&amp;$A36)*RTD("tos.rtd",,"GAMMA","."&amp;D$2&amp;D$1&amp;"C"&amp;$A36)+$A$4*$A$4*RTD("tos.rtd",,"VOLUME","."&amp;D$2&amp;D$1&amp;"P"&amp;$A36)*RTD("tos.rtd",,"GAMMA","."&amp;D$2&amp;D$1&amp;"P"&amp;$A36))/1000000,($A$4*$A$4*RTD("tos.rtd",,"VOLUME","."&amp;D$2&amp;D$1&amp;"C"&amp;$A36)*RTD("tos.rtd",,"GAMMA","."&amp;D$2&amp;D$1&amp;"C"&amp;$A36)-$A$4*$A$4*RTD("tos.rtd",,"VOLUME","."&amp;D$2&amp;D$1&amp;"P"&amp;$A36)*RTD("tos.rtd",,"GAMMA","."&amp;D$2&amp;D$1&amp;"P"&amp;$A36))/1000000),0),IF($A$2="GEX",IFERROR(IF($X$1="ABS",($A$4*$A$4*RTD("tos.rtd",,"OPEN_INT","."&amp;D$2&amp;D$1&amp;"C"&amp;$A36)*RTD("tos.rtd",,"GAMMA","."&amp;D$2&amp;D$1&amp;"C"&amp;$A36)+$A$4*$A$4*RTD("tos.rtd",,"OPEN_INT","."&amp;D$2&amp;D$1&amp;"P"&amp;$A36)*RTD("tos.rtd",,"GAMMA","."&amp;D$2&amp;D$1&amp;"P"&amp;$A36))/1000000,($A$4*$A$4*RTD("tos.rtd",,"OPEN_INT","."&amp;D$2&amp;D$1&amp;"C"&amp;$A36)*RTD("tos.rtd",,"GAMMA","."&amp;D$2&amp;D$1&amp;"C"&amp;$A36)-$A$4*$A$4*RTD("tos.rtd",,"OPEN_INT","."&amp;D$2&amp;D$1&amp;"P"&amp;$A36)*RTD("tos.rtd",,"GAMMA","."&amp;D$2&amp;D$1&amp;"P"&amp;$A36))/1000000),0),IF($A$2="SKEW",IFERROR(VALUE(IF(RTD("tos.rtd",,"IMPL_VOL","."&amp;D$2&amp;D$1&amp;"P"&amp;$A36)="N/A",0,RTD("tos.rtd",,"IMPL_VOL","."&amp;D$2&amp;D$1&amp;"P"&amp;$A36))),0)-IFERROR(VALUE(IF(RTD("tos.rtd",,"IMPL_VOL","."&amp;D$2&amp;D$1&amp;"C"&amp;$A36)="N/A",0,RTD("tos.rtd",,"IMPL_VOL","."&amp;D$2&amp;D$1&amp;"C"&amp;$A36))),0),IF($A$2="MAXPAIN",IF($A$4&gt;$A36,($A$4-$A36)*IF(RTD("tos.rtd",,"OPEN_INT","."&amp;D$2&amp;D$1&amp;"C"&amp;$A36)="N/A",0,RTD("tos.rtd",,"OPEN_INT","."&amp;D$2&amp;D$1&amp;"C"&amp;$A36)),0)+IF($A$4&lt;$A36,($A$5-$A$4)*IF(RTD("tos.rtd",,"OPEN_INT","."&amp;D$2&amp;D$1&amp;"P"&amp;$A36)="N/A",0,RTD("tos.rtd",,"OPEN_INT","."&amp;D$2&amp;D$1&amp;"P"&amp;$A36)),0),IF($X$1="ABS",IF(RTD("tos.rtd",,$A$2,"."&amp;D$2&amp;D$1&amp;"C"&amp;$A36)="N/A",0,RTD("tos.rtd",,$A$2,"."&amp;D$2&amp;D$1&amp;"C"&amp;$A36))+IF(RTD("tos.rtd",,$A$2,"."&amp;D$2&amp;D$1&amp;"P"&amp;$A36)="N/A",0,RTD("tos.rtd",,$A$2,"."&amp;D$2&amp;D$1&amp;"P"&amp;$A36)),IF(RTD("tos.rtd",,$A$2,"."&amp;D$2&amp;D$1&amp;"C"&amp;$A36)="N/A",0,RTD("tos.rtd",,$A$2,"."&amp;D$2&amp;D$1&amp;"C"&amp;$A36))-IF(RTD("tos.rtd",,$A$2,"."&amp;D$2&amp;D$1&amp;"P"&amp;$A36)="N/A",0,RTD("tos.rtd",,$A$2,"."&amp;D$2&amp;D$1&amp;"P"&amp;$A36))))))))))</f>
        <v>-3186</v>
      </c>
      <c r="E36" s="12">
        <f ca="1">IF($A$2="PREMIUM_OI",IFERROR(IF($X$1="ABS",(100*RTD("tos.rtd",,"OPEN_INT","."&amp;E$2&amp;E$1&amp;"C"&amp;$A36)*RTD("tos.rtd",,"LAST","."&amp;E$2&amp;E$1&amp;"C"&amp;$A36)+100*RTD("tos.rtd",,"OPEN_INT","."&amp;E$2&amp;E$1&amp;"P"&amp;$A36)*RTD("tos.rtd",,"LAST","."&amp;E$2&amp;E$1&amp;"P"&amp;$A36))/1000000,(100*RTD("tos.rtd",,"OPEN_INT","."&amp;E$2&amp;E$1&amp;"C"&amp;$A36)*RTD("tos.rtd",,"LAST","."&amp;E$2&amp;E$1&amp;"C"&amp;$A36)-100*RTD("tos.rtd",,"OPEN_INT","."&amp;E$2&amp;E$1&amp;"P"&amp;$A36)*RTD("tos.rtd",,"LAST","."&amp;E$2&amp;E$1&amp;"P"&amp;$A36))/1000000),0),IF($A$2="PREMIUM",IFERROR(IF($X$1="ABS",(100*RTD("tos.rtd",,"VOLUME","."&amp;E$2&amp;E$1&amp;"C"&amp;$A36)*RTD("tos.rtd",,"LAST","."&amp;E$2&amp;E$1&amp;"C"&amp;$A36)+100*RTD("tos.rtd",,"VOLUME","."&amp;E$2&amp;E$1&amp;"P"&amp;$A36)*RTD("tos.rtd",,"LAST","."&amp;E$2&amp;E$1&amp;"P"&amp;$A36))/1000000,(100*RTD("tos.rtd",,"VOLUME","."&amp;E$2&amp;E$1&amp;"C"&amp;$A36)*RTD("tos.rtd",,"LAST","."&amp;E$2&amp;E$1&amp;"C"&amp;$A36)-100*RTD("tos.rtd",,"VOLUME","."&amp;E$2&amp;E$1&amp;"P"&amp;$A36)*RTD("tos.rtd",,"LAST","."&amp;E$2&amp;E$1&amp;"P"&amp;$A36))/1000000),0),IF($A$2="DEX",IFERROR(IF($X$1="ABS",(100*RTD("tos.rtd",,"OPEN_INT","."&amp;E$2&amp;E$1&amp;"C"&amp;$A36)*RTD("tos.rtd",,"DELTA","."&amp;E$2&amp;E$1&amp;"C"&amp;$A36)+100*RTD("tos.rtd",,"OPEN_INT","."&amp;E$2&amp;E$1&amp;"P"&amp;$A36)*RTD("tos.rtd",,"DELTA","."&amp;E$2&amp;E$1&amp;"P"&amp;$A36))/1000,(100*RTD("tos.rtd",,"OPEN_INT","."&amp;E$2&amp;E$1&amp;"C"&amp;$A36)*RTD("tos.rtd",,"DELTA","."&amp;E$2&amp;E$1&amp;"C"&amp;$A36)-100*RTD("tos.rtd",,"OPEN_INT","."&amp;E$2&amp;E$1&amp;"P"&amp;$A36)*RTD("tos.rtd",,"DELTA","."&amp;E$2&amp;E$1&amp;"P"&amp;$A36))/1000),0),IF($A$2="VEX",IFERROR(IF($X$1="ABS",($A$4*$A$4*RTD("tos.rtd",,"VOLUME","."&amp;E$2&amp;E$1&amp;"C"&amp;$A36)*RTD("tos.rtd",,"GAMMA","."&amp;E$2&amp;E$1&amp;"C"&amp;$A36)+$A$4*$A$4*RTD("tos.rtd",,"VOLUME","."&amp;E$2&amp;E$1&amp;"P"&amp;$A36)*RTD("tos.rtd",,"GAMMA","."&amp;E$2&amp;E$1&amp;"P"&amp;$A36))/1000000,($A$4*$A$4*RTD("tos.rtd",,"VOLUME","."&amp;E$2&amp;E$1&amp;"C"&amp;$A36)*RTD("tos.rtd",,"GAMMA","."&amp;E$2&amp;E$1&amp;"C"&amp;$A36)-$A$4*$A$4*RTD("tos.rtd",,"VOLUME","."&amp;E$2&amp;E$1&amp;"P"&amp;$A36)*RTD("tos.rtd",,"GAMMA","."&amp;E$2&amp;E$1&amp;"P"&amp;$A36))/1000000),0),IF($A$2="GEX",IFERROR(IF($X$1="ABS",($A$4*$A$4*RTD("tos.rtd",,"OPEN_INT","."&amp;E$2&amp;E$1&amp;"C"&amp;$A36)*RTD("tos.rtd",,"GAMMA","."&amp;E$2&amp;E$1&amp;"C"&amp;$A36)+$A$4*$A$4*RTD("tos.rtd",,"OPEN_INT","."&amp;E$2&amp;E$1&amp;"P"&amp;$A36)*RTD("tos.rtd",,"GAMMA","."&amp;E$2&amp;E$1&amp;"P"&amp;$A36))/1000000,($A$4*$A$4*RTD("tos.rtd",,"OPEN_INT","."&amp;E$2&amp;E$1&amp;"C"&amp;$A36)*RTD("tos.rtd",,"GAMMA","."&amp;E$2&amp;E$1&amp;"C"&amp;$A36)-$A$4*$A$4*RTD("tos.rtd",,"OPEN_INT","."&amp;E$2&amp;E$1&amp;"P"&amp;$A36)*RTD("tos.rtd",,"GAMMA","."&amp;E$2&amp;E$1&amp;"P"&amp;$A36))/1000000),0),IF($A$2="SKEW",IFERROR(VALUE(IF(RTD("tos.rtd",,"IMPL_VOL","."&amp;E$2&amp;E$1&amp;"P"&amp;$A36)="N/A",0,RTD("tos.rtd",,"IMPL_VOL","."&amp;E$2&amp;E$1&amp;"P"&amp;$A36))),0)-IFERROR(VALUE(IF(RTD("tos.rtd",,"IMPL_VOL","."&amp;E$2&amp;E$1&amp;"C"&amp;$A36)="N/A",0,RTD("tos.rtd",,"IMPL_VOL","."&amp;E$2&amp;E$1&amp;"C"&amp;$A36))),0),IF($A$2="MAXPAIN",IF($A$4&gt;$A36,($A$4-$A36)*IF(RTD("tos.rtd",,"OPEN_INT","."&amp;E$2&amp;E$1&amp;"C"&amp;$A36)="N/A",0,RTD("tos.rtd",,"OPEN_INT","."&amp;E$2&amp;E$1&amp;"C"&amp;$A36)),0)+IF($A$4&lt;$A36,($A$5-$A$4)*IF(RTD("tos.rtd",,"OPEN_INT","."&amp;E$2&amp;E$1&amp;"P"&amp;$A36)="N/A",0,RTD("tos.rtd",,"OPEN_INT","."&amp;E$2&amp;E$1&amp;"P"&amp;$A36)),0),IF($X$1="ABS",IF(RTD("tos.rtd",,$A$2,"."&amp;E$2&amp;E$1&amp;"C"&amp;$A36)="N/A",0,RTD("tos.rtd",,$A$2,"."&amp;E$2&amp;E$1&amp;"C"&amp;$A36))+IF(RTD("tos.rtd",,$A$2,"."&amp;E$2&amp;E$1&amp;"P"&amp;$A36)="N/A",0,RTD("tos.rtd",,$A$2,"."&amp;E$2&amp;E$1&amp;"P"&amp;$A36)),IF(RTD("tos.rtd",,$A$2,"."&amp;E$2&amp;E$1&amp;"C"&amp;$A36)="N/A",0,RTD("tos.rtd",,$A$2,"."&amp;E$2&amp;E$1&amp;"C"&amp;$A36))-IF(RTD("tos.rtd",,$A$2,"."&amp;E$2&amp;E$1&amp;"P"&amp;$A36)="N/A",0,RTD("tos.rtd",,$A$2,"."&amp;E$2&amp;E$1&amp;"P"&amp;$A36))))))))))</f>
        <v>-299</v>
      </c>
      <c r="F36" s="12">
        <f ca="1">IF($A$2="PREMIUM_OI",IFERROR(IF($X$1="ABS",(100*RTD("tos.rtd",,"OPEN_INT","."&amp;F$2&amp;F$1&amp;"C"&amp;$A36)*RTD("tos.rtd",,"LAST","."&amp;F$2&amp;F$1&amp;"C"&amp;$A36)+100*RTD("tos.rtd",,"OPEN_INT","."&amp;F$2&amp;F$1&amp;"P"&amp;$A36)*RTD("tos.rtd",,"LAST","."&amp;F$2&amp;F$1&amp;"P"&amp;$A36))/1000000,(100*RTD("tos.rtd",,"OPEN_INT","."&amp;F$2&amp;F$1&amp;"C"&amp;$A36)*RTD("tos.rtd",,"LAST","."&amp;F$2&amp;F$1&amp;"C"&amp;$A36)-100*RTD("tos.rtd",,"OPEN_INT","."&amp;F$2&amp;F$1&amp;"P"&amp;$A36)*RTD("tos.rtd",,"LAST","."&amp;F$2&amp;F$1&amp;"P"&amp;$A36))/1000000),0),IF($A$2="PREMIUM",IFERROR(IF($X$1="ABS",(100*RTD("tos.rtd",,"VOLUME","."&amp;F$2&amp;F$1&amp;"C"&amp;$A36)*RTD("tos.rtd",,"LAST","."&amp;F$2&amp;F$1&amp;"C"&amp;$A36)+100*RTD("tos.rtd",,"VOLUME","."&amp;F$2&amp;F$1&amp;"P"&amp;$A36)*RTD("tos.rtd",,"LAST","."&amp;F$2&amp;F$1&amp;"P"&amp;$A36))/1000000,(100*RTD("tos.rtd",,"VOLUME","."&amp;F$2&amp;F$1&amp;"C"&amp;$A36)*RTD("tos.rtd",,"LAST","."&amp;F$2&amp;F$1&amp;"C"&amp;$A36)-100*RTD("tos.rtd",,"VOLUME","."&amp;F$2&amp;F$1&amp;"P"&amp;$A36)*RTD("tos.rtd",,"LAST","."&amp;F$2&amp;F$1&amp;"P"&amp;$A36))/1000000),0),IF($A$2="DEX",IFERROR(IF($X$1="ABS",(100*RTD("tos.rtd",,"OPEN_INT","."&amp;F$2&amp;F$1&amp;"C"&amp;$A36)*RTD("tos.rtd",,"DELTA","."&amp;F$2&amp;F$1&amp;"C"&amp;$A36)+100*RTD("tos.rtd",,"OPEN_INT","."&amp;F$2&amp;F$1&amp;"P"&amp;$A36)*RTD("tos.rtd",,"DELTA","."&amp;F$2&amp;F$1&amp;"P"&amp;$A36))/1000,(100*RTD("tos.rtd",,"OPEN_INT","."&amp;F$2&amp;F$1&amp;"C"&amp;$A36)*RTD("tos.rtd",,"DELTA","."&amp;F$2&amp;F$1&amp;"C"&amp;$A36)-100*RTD("tos.rtd",,"OPEN_INT","."&amp;F$2&amp;F$1&amp;"P"&amp;$A36)*RTD("tos.rtd",,"DELTA","."&amp;F$2&amp;F$1&amp;"P"&amp;$A36))/1000),0),IF($A$2="VEX",IFERROR(IF($X$1="ABS",($A$4*$A$4*RTD("tos.rtd",,"VOLUME","."&amp;F$2&amp;F$1&amp;"C"&amp;$A36)*RTD("tos.rtd",,"GAMMA","."&amp;F$2&amp;F$1&amp;"C"&amp;$A36)+$A$4*$A$4*RTD("tos.rtd",,"VOLUME","."&amp;F$2&amp;F$1&amp;"P"&amp;$A36)*RTD("tos.rtd",,"GAMMA","."&amp;F$2&amp;F$1&amp;"P"&amp;$A36))/1000000,($A$4*$A$4*RTD("tos.rtd",,"VOLUME","."&amp;F$2&amp;F$1&amp;"C"&amp;$A36)*RTD("tos.rtd",,"GAMMA","."&amp;F$2&amp;F$1&amp;"C"&amp;$A36)-$A$4*$A$4*RTD("tos.rtd",,"VOLUME","."&amp;F$2&amp;F$1&amp;"P"&amp;$A36)*RTD("tos.rtd",,"GAMMA","."&amp;F$2&amp;F$1&amp;"P"&amp;$A36))/1000000),0),IF($A$2="GEX",IFERROR(IF($X$1="ABS",($A$4*$A$4*RTD("tos.rtd",,"OPEN_INT","."&amp;F$2&amp;F$1&amp;"C"&amp;$A36)*RTD("tos.rtd",,"GAMMA","."&amp;F$2&amp;F$1&amp;"C"&amp;$A36)+$A$4*$A$4*RTD("tos.rtd",,"OPEN_INT","."&amp;F$2&amp;F$1&amp;"P"&amp;$A36)*RTD("tos.rtd",,"GAMMA","."&amp;F$2&amp;F$1&amp;"P"&amp;$A36))/1000000,($A$4*$A$4*RTD("tos.rtd",,"OPEN_INT","."&amp;F$2&amp;F$1&amp;"C"&amp;$A36)*RTD("tos.rtd",,"GAMMA","."&amp;F$2&amp;F$1&amp;"C"&amp;$A36)-$A$4*$A$4*RTD("tos.rtd",,"OPEN_INT","."&amp;F$2&amp;F$1&amp;"P"&amp;$A36)*RTD("tos.rtd",,"GAMMA","."&amp;F$2&amp;F$1&amp;"P"&amp;$A36))/1000000),0),IF($A$2="SKEW",IFERROR(VALUE(IF(RTD("tos.rtd",,"IMPL_VOL","."&amp;F$2&amp;F$1&amp;"P"&amp;$A36)="N/A",0,RTD("tos.rtd",,"IMPL_VOL","."&amp;F$2&amp;F$1&amp;"P"&amp;$A36))),0)-IFERROR(VALUE(IF(RTD("tos.rtd",,"IMPL_VOL","."&amp;F$2&amp;F$1&amp;"C"&amp;$A36)="N/A",0,RTD("tos.rtd",,"IMPL_VOL","."&amp;F$2&amp;F$1&amp;"C"&amp;$A36))),0),IF($A$2="MAXPAIN",IF($A$4&gt;$A36,($A$4-$A36)*IF(RTD("tos.rtd",,"OPEN_INT","."&amp;F$2&amp;F$1&amp;"C"&amp;$A36)="N/A",0,RTD("tos.rtd",,"OPEN_INT","."&amp;F$2&amp;F$1&amp;"C"&amp;$A36)),0)+IF($A$4&lt;$A36,($A$5-$A$4)*IF(RTD("tos.rtd",,"OPEN_INT","."&amp;F$2&amp;F$1&amp;"P"&amp;$A36)="N/A",0,RTD("tos.rtd",,"OPEN_INT","."&amp;F$2&amp;F$1&amp;"P"&amp;$A36)),0),IF($X$1="ABS",IF(RTD("tos.rtd",,$A$2,"."&amp;F$2&amp;F$1&amp;"C"&amp;$A36)="N/A",0,RTD("tos.rtd",,$A$2,"."&amp;F$2&amp;F$1&amp;"C"&amp;$A36))+IF(RTD("tos.rtd",,$A$2,"."&amp;F$2&amp;F$1&amp;"P"&amp;$A36)="N/A",0,RTD("tos.rtd",,$A$2,"."&amp;F$2&amp;F$1&amp;"P"&amp;$A36)),IF(RTD("tos.rtd",,$A$2,"."&amp;F$2&amp;F$1&amp;"C"&amp;$A36)="N/A",0,RTD("tos.rtd",,$A$2,"."&amp;F$2&amp;F$1&amp;"C"&amp;$A36))-IF(RTD("tos.rtd",,$A$2,"."&amp;F$2&amp;F$1&amp;"P"&amp;$A36)="N/A",0,RTD("tos.rtd",,$A$2,"."&amp;F$2&amp;F$1&amp;"P"&amp;$A36))))))))))</f>
        <v>-612</v>
      </c>
      <c r="G36" s="57">
        <f ca="1">IF($A$2="PREMIUM_OI",IFERROR(IF($X$1="ABS",(100*RTD("tos.rtd",,"OPEN_INT","."&amp;G$2&amp;G$1&amp;"C"&amp;$A36)*RTD("tos.rtd",,"LAST","."&amp;G$2&amp;G$1&amp;"C"&amp;$A36)+100*RTD("tos.rtd",,"OPEN_INT","."&amp;G$2&amp;G$1&amp;"P"&amp;$A36)*RTD("tos.rtd",,"LAST","."&amp;G$2&amp;G$1&amp;"P"&amp;$A36))/1000000,(100*RTD("tos.rtd",,"OPEN_INT","."&amp;G$2&amp;G$1&amp;"C"&amp;$A36)*RTD("tos.rtd",,"LAST","."&amp;G$2&amp;G$1&amp;"C"&amp;$A36)-100*RTD("tos.rtd",,"OPEN_INT","."&amp;G$2&amp;G$1&amp;"P"&amp;$A36)*RTD("tos.rtd",,"LAST","."&amp;G$2&amp;G$1&amp;"P"&amp;$A36))/1000000),0),IF($A$2="PREMIUM",IFERROR(IF($X$1="ABS",(100*RTD("tos.rtd",,"VOLUME","."&amp;G$2&amp;G$1&amp;"C"&amp;$A36)*RTD("tos.rtd",,"LAST","."&amp;G$2&amp;G$1&amp;"C"&amp;$A36)+100*RTD("tos.rtd",,"VOLUME","."&amp;G$2&amp;G$1&amp;"P"&amp;$A36)*RTD("tos.rtd",,"LAST","."&amp;G$2&amp;G$1&amp;"P"&amp;$A36))/1000000,(100*RTD("tos.rtd",,"VOLUME","."&amp;G$2&amp;G$1&amp;"C"&amp;$A36)*RTD("tos.rtd",,"LAST","."&amp;G$2&amp;G$1&amp;"C"&amp;$A36)-100*RTD("tos.rtd",,"VOLUME","."&amp;G$2&amp;G$1&amp;"P"&amp;$A36)*RTD("tos.rtd",,"LAST","."&amp;G$2&amp;G$1&amp;"P"&amp;$A36))/1000000),0),IF($A$2="DEX",IFERROR(IF($X$1="ABS",(100*RTD("tos.rtd",,"OPEN_INT","."&amp;G$2&amp;G$1&amp;"C"&amp;$A36)*RTD("tos.rtd",,"DELTA","."&amp;G$2&amp;G$1&amp;"C"&amp;$A36)+100*RTD("tos.rtd",,"OPEN_INT","."&amp;G$2&amp;G$1&amp;"P"&amp;$A36)*RTD("tos.rtd",,"DELTA","."&amp;G$2&amp;G$1&amp;"P"&amp;$A36))/1000,(100*RTD("tos.rtd",,"OPEN_INT","."&amp;G$2&amp;G$1&amp;"C"&amp;$A36)*RTD("tos.rtd",,"DELTA","."&amp;G$2&amp;G$1&amp;"C"&amp;$A36)-100*RTD("tos.rtd",,"OPEN_INT","."&amp;G$2&amp;G$1&amp;"P"&amp;$A36)*RTD("tos.rtd",,"DELTA","."&amp;G$2&amp;G$1&amp;"P"&amp;$A36))/1000),0),IF($A$2="VEX",IFERROR(IF($X$1="ABS",($A$4*$A$4*RTD("tos.rtd",,"VOLUME","."&amp;G$2&amp;G$1&amp;"C"&amp;$A36)*RTD("tos.rtd",,"GAMMA","."&amp;G$2&amp;G$1&amp;"C"&amp;$A36)+$A$4*$A$4*RTD("tos.rtd",,"VOLUME","."&amp;G$2&amp;G$1&amp;"P"&amp;$A36)*RTD("tos.rtd",,"GAMMA","."&amp;G$2&amp;G$1&amp;"P"&amp;$A36))/1000000,($A$4*$A$4*RTD("tos.rtd",,"VOLUME","."&amp;G$2&amp;G$1&amp;"C"&amp;$A36)*RTD("tos.rtd",,"GAMMA","."&amp;G$2&amp;G$1&amp;"C"&amp;$A36)-$A$4*$A$4*RTD("tos.rtd",,"VOLUME","."&amp;G$2&amp;G$1&amp;"P"&amp;$A36)*RTD("tos.rtd",,"GAMMA","."&amp;G$2&amp;G$1&amp;"P"&amp;$A36))/1000000),0),IF($A$2="GEX",IFERROR(IF($X$1="ABS",($A$4*$A$4*RTD("tos.rtd",,"OPEN_INT","."&amp;G$2&amp;G$1&amp;"C"&amp;$A36)*RTD("tos.rtd",,"GAMMA","."&amp;G$2&amp;G$1&amp;"C"&amp;$A36)+$A$4*$A$4*RTD("tos.rtd",,"OPEN_INT","."&amp;G$2&amp;G$1&amp;"P"&amp;$A36)*RTD("tos.rtd",,"GAMMA","."&amp;G$2&amp;G$1&amp;"P"&amp;$A36))/1000000,($A$4*$A$4*RTD("tos.rtd",,"OPEN_INT","."&amp;G$2&amp;G$1&amp;"C"&amp;$A36)*RTD("tos.rtd",,"GAMMA","."&amp;G$2&amp;G$1&amp;"C"&amp;$A36)-$A$4*$A$4*RTD("tos.rtd",,"OPEN_INT","."&amp;G$2&amp;G$1&amp;"P"&amp;$A36)*RTD("tos.rtd",,"GAMMA","."&amp;G$2&amp;G$1&amp;"P"&amp;$A36))/1000000),0),IF($A$2="SKEW",IFERROR(VALUE(IF(RTD("tos.rtd",,"IMPL_VOL","."&amp;G$2&amp;G$1&amp;"P"&amp;$A36)="N/A",0,RTD("tos.rtd",,"IMPL_VOL","."&amp;G$2&amp;G$1&amp;"P"&amp;$A36))),0)-IFERROR(VALUE(IF(RTD("tos.rtd",,"IMPL_VOL","."&amp;G$2&amp;G$1&amp;"C"&amp;$A36)="N/A",0,RTD("tos.rtd",,"IMPL_VOL","."&amp;G$2&amp;G$1&amp;"C"&amp;$A36))),0),IF($A$2="MAXPAIN",IF($A$4&gt;$A36,($A$4-$A36)*IF(RTD("tos.rtd",,"OPEN_INT","."&amp;G$2&amp;G$1&amp;"C"&amp;$A36)="N/A",0,RTD("tos.rtd",,"OPEN_INT","."&amp;G$2&amp;G$1&amp;"C"&amp;$A36)),0)+IF($A$4&lt;$A36,($A$5-$A$4)*IF(RTD("tos.rtd",,"OPEN_INT","."&amp;G$2&amp;G$1&amp;"P"&amp;$A36)="N/A",0,RTD("tos.rtd",,"OPEN_INT","."&amp;G$2&amp;G$1&amp;"P"&amp;$A36)),0),IF($X$1="ABS",IF(RTD("tos.rtd",,$A$2,"."&amp;G$2&amp;G$1&amp;"C"&amp;$A36)="N/A",0,RTD("tos.rtd",,$A$2,"."&amp;G$2&amp;G$1&amp;"C"&amp;$A36))+IF(RTD("tos.rtd",,$A$2,"."&amp;G$2&amp;G$1&amp;"P"&amp;$A36)="N/A",0,RTD("tos.rtd",,$A$2,"."&amp;G$2&amp;G$1&amp;"P"&amp;$A36)),IF(RTD("tos.rtd",,$A$2,"."&amp;G$2&amp;G$1&amp;"C"&amp;$A36)="N/A",0,RTD("tos.rtd",,$A$2,"."&amp;G$2&amp;G$1&amp;"C"&amp;$A36))-IF(RTD("tos.rtd",,$A$2,"."&amp;G$2&amp;G$1&amp;"P"&amp;$A36)="N/A",0,RTD("tos.rtd",,$A$2,"."&amp;G$2&amp;G$1&amp;"P"&amp;$A36))))))))))</f>
        <v>-210</v>
      </c>
      <c r="H36" s="14">
        <f ca="1">IF($A$2="PREMIUM_OI",IFERROR(IF($X$1="ABS",(100*RTD("tos.rtd",,"OPEN_INT","."&amp;H$2&amp;H$1&amp;"C"&amp;$A36)*RTD("tos.rtd",,"LAST","."&amp;H$2&amp;H$1&amp;"C"&amp;$A36)+100*RTD("tos.rtd",,"OPEN_INT","."&amp;H$2&amp;H$1&amp;"P"&amp;$A36)*RTD("tos.rtd",,"LAST","."&amp;H$2&amp;H$1&amp;"P"&amp;$A36))/1000000,(100*RTD("tos.rtd",,"OPEN_INT","."&amp;H$2&amp;H$1&amp;"C"&amp;$A36)*RTD("tos.rtd",,"LAST","."&amp;H$2&amp;H$1&amp;"C"&amp;$A36)-100*RTD("tos.rtd",,"OPEN_INT","."&amp;H$2&amp;H$1&amp;"P"&amp;$A36)*RTD("tos.rtd",,"LAST","."&amp;H$2&amp;H$1&amp;"P"&amp;$A36))/1000000),0),IF($A$2="PREMIUM",IFERROR(IF($X$1="ABS",(100*RTD("tos.rtd",,"VOLUME","."&amp;H$2&amp;H$1&amp;"C"&amp;$A36)*RTD("tos.rtd",,"LAST","."&amp;H$2&amp;H$1&amp;"C"&amp;$A36)+100*RTD("tos.rtd",,"VOLUME","."&amp;H$2&amp;H$1&amp;"P"&amp;$A36)*RTD("tos.rtd",,"LAST","."&amp;H$2&amp;H$1&amp;"P"&amp;$A36))/1000000,(100*RTD("tos.rtd",,"VOLUME","."&amp;H$2&amp;H$1&amp;"C"&amp;$A36)*RTD("tos.rtd",,"LAST","."&amp;H$2&amp;H$1&amp;"C"&amp;$A36)-100*RTD("tos.rtd",,"VOLUME","."&amp;H$2&amp;H$1&amp;"P"&amp;$A36)*RTD("tos.rtd",,"LAST","."&amp;H$2&amp;H$1&amp;"P"&amp;$A36))/1000000),0),IF($A$2="DEX",IFERROR(IF($X$1="ABS",(100*RTD("tos.rtd",,"OPEN_INT","."&amp;H$2&amp;H$1&amp;"C"&amp;$A36)*RTD("tos.rtd",,"DELTA","."&amp;H$2&amp;H$1&amp;"C"&amp;$A36)+100*RTD("tos.rtd",,"OPEN_INT","."&amp;H$2&amp;H$1&amp;"P"&amp;$A36)*RTD("tos.rtd",,"DELTA","."&amp;H$2&amp;H$1&amp;"P"&amp;$A36))/1000,(100*RTD("tos.rtd",,"OPEN_INT","."&amp;H$2&amp;H$1&amp;"C"&amp;$A36)*RTD("tos.rtd",,"DELTA","."&amp;H$2&amp;H$1&amp;"C"&amp;$A36)-100*RTD("tos.rtd",,"OPEN_INT","."&amp;H$2&amp;H$1&amp;"P"&amp;$A36)*RTD("tos.rtd",,"DELTA","."&amp;H$2&amp;H$1&amp;"P"&amp;$A36))/1000),0),IF($A$2="VEX",IFERROR(IF($X$1="ABS",($A$4*$A$4*RTD("tos.rtd",,"VOLUME","."&amp;H$2&amp;H$1&amp;"C"&amp;$A36)*RTD("tos.rtd",,"GAMMA","."&amp;H$2&amp;H$1&amp;"C"&amp;$A36)+$A$4*$A$4*RTD("tos.rtd",,"VOLUME","."&amp;H$2&amp;H$1&amp;"P"&amp;$A36)*RTD("tos.rtd",,"GAMMA","."&amp;H$2&amp;H$1&amp;"P"&amp;$A36))/1000000,($A$4*$A$4*RTD("tos.rtd",,"VOLUME","."&amp;H$2&amp;H$1&amp;"C"&amp;$A36)*RTD("tos.rtd",,"GAMMA","."&amp;H$2&amp;H$1&amp;"C"&amp;$A36)-$A$4*$A$4*RTD("tos.rtd",,"VOLUME","."&amp;H$2&amp;H$1&amp;"P"&amp;$A36)*RTD("tos.rtd",,"GAMMA","."&amp;H$2&amp;H$1&amp;"P"&amp;$A36))/1000000),0),IF($A$2="GEX",IFERROR(IF($X$1="ABS",($A$4*$A$4*RTD("tos.rtd",,"OPEN_INT","."&amp;H$2&amp;H$1&amp;"C"&amp;$A36)*RTD("tos.rtd",,"GAMMA","."&amp;H$2&amp;H$1&amp;"C"&amp;$A36)+$A$4*$A$4*RTD("tos.rtd",,"OPEN_INT","."&amp;H$2&amp;H$1&amp;"P"&amp;$A36)*RTD("tos.rtd",,"GAMMA","."&amp;H$2&amp;H$1&amp;"P"&amp;$A36))/1000000,($A$4*$A$4*RTD("tos.rtd",,"OPEN_INT","."&amp;H$2&amp;H$1&amp;"C"&amp;$A36)*RTD("tos.rtd",,"GAMMA","."&amp;H$2&amp;H$1&amp;"C"&amp;$A36)-$A$4*$A$4*RTD("tos.rtd",,"OPEN_INT","."&amp;H$2&amp;H$1&amp;"P"&amp;$A36)*RTD("tos.rtd",,"GAMMA","."&amp;H$2&amp;H$1&amp;"P"&amp;$A36))/1000000),0),IF($A$2="SKEW",IFERROR(VALUE(IF(RTD("tos.rtd",,"IMPL_VOL","."&amp;H$2&amp;H$1&amp;"P"&amp;$A36)="N/A",0,RTD("tos.rtd",,"IMPL_VOL","."&amp;H$2&amp;H$1&amp;"P"&amp;$A36))),0)-IFERROR(VALUE(IF(RTD("tos.rtd",,"IMPL_VOL","."&amp;H$2&amp;H$1&amp;"C"&amp;$A36)="N/A",0,RTD("tos.rtd",,"IMPL_VOL","."&amp;H$2&amp;H$1&amp;"C"&amp;$A36))),0),IF($A$2="MAXPAIN",IF($A$4&gt;$A36,($A$4-$A36)*IF(RTD("tos.rtd",,"OPEN_INT","."&amp;H$2&amp;H$1&amp;"C"&amp;$A36)="N/A",0,RTD("tos.rtd",,"OPEN_INT","."&amp;H$2&amp;H$1&amp;"C"&amp;$A36)),0)+IF($A$4&lt;$A36,($A$5-$A$4)*IF(RTD("tos.rtd",,"OPEN_INT","."&amp;H$2&amp;H$1&amp;"P"&amp;$A36)="N/A",0,RTD("tos.rtd",,"OPEN_INT","."&amp;H$2&amp;H$1&amp;"P"&amp;$A36)),0),IF($X$1="ABS",IF(RTD("tos.rtd",,$A$2,"."&amp;H$2&amp;H$1&amp;"C"&amp;$A36)="N/A",0,RTD("tos.rtd",,$A$2,"."&amp;H$2&amp;H$1&amp;"C"&amp;$A36))+IF(RTD("tos.rtd",,$A$2,"."&amp;H$2&amp;H$1&amp;"P"&amp;$A36)="N/A",0,RTD("tos.rtd",,$A$2,"."&amp;H$2&amp;H$1&amp;"P"&amp;$A36)),IF(RTD("tos.rtd",,$A$2,"."&amp;H$2&amp;H$1&amp;"C"&amp;$A36)="N/A",0,RTD("tos.rtd",,$A$2,"."&amp;H$2&amp;H$1&amp;"C"&amp;$A36))-IF(RTD("tos.rtd",,$A$2,"."&amp;H$2&amp;H$1&amp;"P"&amp;$A36)="N/A",0,RTD("tos.rtd",,$A$2,"."&amp;H$2&amp;H$1&amp;"P"&amp;$A36))))))))))</f>
        <v>6091</v>
      </c>
      <c r="I36" s="12">
        <f ca="1">IF($A$2="PREMIUM_OI",IFERROR(IF($X$1="ABS",(100*RTD("tos.rtd",,"OPEN_INT","."&amp;I$2&amp;I$1&amp;"C"&amp;$A36)*RTD("tos.rtd",,"LAST","."&amp;I$2&amp;I$1&amp;"C"&amp;$A36)+100*RTD("tos.rtd",,"OPEN_INT","."&amp;I$2&amp;I$1&amp;"P"&amp;$A36)*RTD("tos.rtd",,"LAST","."&amp;I$2&amp;I$1&amp;"P"&amp;$A36))/1000000,(100*RTD("tos.rtd",,"OPEN_INT","."&amp;I$2&amp;I$1&amp;"C"&amp;$A36)*RTD("tos.rtd",,"LAST","."&amp;I$2&amp;I$1&amp;"C"&amp;$A36)-100*RTD("tos.rtd",,"OPEN_INT","."&amp;I$2&amp;I$1&amp;"P"&amp;$A36)*RTD("tos.rtd",,"LAST","."&amp;I$2&amp;I$1&amp;"P"&amp;$A36))/1000000),0),IF($A$2="PREMIUM",IFERROR(IF($X$1="ABS",(100*RTD("tos.rtd",,"VOLUME","."&amp;I$2&amp;I$1&amp;"C"&amp;$A36)*RTD("tos.rtd",,"LAST","."&amp;I$2&amp;I$1&amp;"C"&amp;$A36)+100*RTD("tos.rtd",,"VOLUME","."&amp;I$2&amp;I$1&amp;"P"&amp;$A36)*RTD("tos.rtd",,"LAST","."&amp;I$2&amp;I$1&amp;"P"&amp;$A36))/1000000,(100*RTD("tos.rtd",,"VOLUME","."&amp;I$2&amp;I$1&amp;"C"&amp;$A36)*RTD("tos.rtd",,"LAST","."&amp;I$2&amp;I$1&amp;"C"&amp;$A36)-100*RTD("tos.rtd",,"VOLUME","."&amp;I$2&amp;I$1&amp;"P"&amp;$A36)*RTD("tos.rtd",,"LAST","."&amp;I$2&amp;I$1&amp;"P"&amp;$A36))/1000000),0),IF($A$2="DEX",IFERROR(IF($X$1="ABS",(100*RTD("tos.rtd",,"OPEN_INT","."&amp;I$2&amp;I$1&amp;"C"&amp;$A36)*RTD("tos.rtd",,"DELTA","."&amp;I$2&amp;I$1&amp;"C"&amp;$A36)+100*RTD("tos.rtd",,"OPEN_INT","."&amp;I$2&amp;I$1&amp;"P"&amp;$A36)*RTD("tos.rtd",,"DELTA","."&amp;I$2&amp;I$1&amp;"P"&amp;$A36))/1000,(100*RTD("tos.rtd",,"OPEN_INT","."&amp;I$2&amp;I$1&amp;"C"&amp;$A36)*RTD("tos.rtd",,"DELTA","."&amp;I$2&amp;I$1&amp;"C"&amp;$A36)-100*RTD("tos.rtd",,"OPEN_INT","."&amp;I$2&amp;I$1&amp;"P"&amp;$A36)*RTD("tos.rtd",,"DELTA","."&amp;I$2&amp;I$1&amp;"P"&amp;$A36))/1000),0),IF($A$2="VEX",IFERROR(IF($X$1="ABS",($A$4*$A$4*RTD("tos.rtd",,"VOLUME","."&amp;I$2&amp;I$1&amp;"C"&amp;$A36)*RTD("tos.rtd",,"GAMMA","."&amp;I$2&amp;I$1&amp;"C"&amp;$A36)+$A$4*$A$4*RTD("tos.rtd",,"VOLUME","."&amp;I$2&amp;I$1&amp;"P"&amp;$A36)*RTD("tos.rtd",,"GAMMA","."&amp;I$2&amp;I$1&amp;"P"&amp;$A36))/1000000,($A$4*$A$4*RTD("tos.rtd",,"VOLUME","."&amp;I$2&amp;I$1&amp;"C"&amp;$A36)*RTD("tos.rtd",,"GAMMA","."&amp;I$2&amp;I$1&amp;"C"&amp;$A36)-$A$4*$A$4*RTD("tos.rtd",,"VOLUME","."&amp;I$2&amp;I$1&amp;"P"&amp;$A36)*RTD("tos.rtd",,"GAMMA","."&amp;I$2&amp;I$1&amp;"P"&amp;$A36))/1000000),0),IF($A$2="GEX",IFERROR(IF($X$1="ABS",($A$4*$A$4*RTD("tos.rtd",,"OPEN_INT","."&amp;I$2&amp;I$1&amp;"C"&amp;$A36)*RTD("tos.rtd",,"GAMMA","."&amp;I$2&amp;I$1&amp;"C"&amp;$A36)+$A$4*$A$4*RTD("tos.rtd",,"OPEN_INT","."&amp;I$2&amp;I$1&amp;"P"&amp;$A36)*RTD("tos.rtd",,"GAMMA","."&amp;I$2&amp;I$1&amp;"P"&amp;$A36))/1000000,($A$4*$A$4*RTD("tos.rtd",,"OPEN_INT","."&amp;I$2&amp;I$1&amp;"C"&amp;$A36)*RTD("tos.rtd",,"GAMMA","."&amp;I$2&amp;I$1&amp;"C"&amp;$A36)-$A$4*$A$4*RTD("tos.rtd",,"OPEN_INT","."&amp;I$2&amp;I$1&amp;"P"&amp;$A36)*RTD("tos.rtd",,"GAMMA","."&amp;I$2&amp;I$1&amp;"P"&amp;$A36))/1000000),0),IF($A$2="SKEW",IFERROR(VALUE(IF(RTD("tos.rtd",,"IMPL_VOL","."&amp;I$2&amp;I$1&amp;"P"&amp;$A36)="N/A",0,RTD("tos.rtd",,"IMPL_VOL","."&amp;I$2&amp;I$1&amp;"P"&amp;$A36))),0)-IFERROR(VALUE(IF(RTD("tos.rtd",,"IMPL_VOL","."&amp;I$2&amp;I$1&amp;"C"&amp;$A36)="N/A",0,RTD("tos.rtd",,"IMPL_VOL","."&amp;I$2&amp;I$1&amp;"C"&amp;$A36))),0),IF($A$2="MAXPAIN",IF($A$4&gt;$A36,($A$4-$A36)*IF(RTD("tos.rtd",,"OPEN_INT","."&amp;I$2&amp;I$1&amp;"C"&amp;$A36)="N/A",0,RTD("tos.rtd",,"OPEN_INT","."&amp;I$2&amp;I$1&amp;"C"&amp;$A36)),0)+IF($A$4&lt;$A36,($A$5-$A$4)*IF(RTD("tos.rtd",,"OPEN_INT","."&amp;I$2&amp;I$1&amp;"P"&amp;$A36)="N/A",0,RTD("tos.rtd",,"OPEN_INT","."&amp;I$2&amp;I$1&amp;"P"&amp;$A36)),0),IF($X$1="ABS",IF(RTD("tos.rtd",,$A$2,"."&amp;I$2&amp;I$1&amp;"C"&amp;$A36)="N/A",0,RTD("tos.rtd",,$A$2,"."&amp;I$2&amp;I$1&amp;"C"&amp;$A36))+IF(RTD("tos.rtd",,$A$2,"."&amp;I$2&amp;I$1&amp;"P"&amp;$A36)="N/A",0,RTD("tos.rtd",,$A$2,"."&amp;I$2&amp;I$1&amp;"P"&amp;$A36)),IF(RTD("tos.rtd",,$A$2,"."&amp;I$2&amp;I$1&amp;"C"&amp;$A36)="N/A",0,RTD("tos.rtd",,$A$2,"."&amp;I$2&amp;I$1&amp;"C"&amp;$A36))-IF(RTD("tos.rtd",,$A$2,"."&amp;I$2&amp;I$1&amp;"P"&amp;$A36)="N/A",0,RTD("tos.rtd",,$A$2,"."&amp;I$2&amp;I$1&amp;"P"&amp;$A36))))))))))</f>
        <v>35</v>
      </c>
      <c r="J36" s="12">
        <f ca="1">IF($A$2="PREMIUM_OI",IFERROR(IF($X$1="ABS",(100*RTD("tos.rtd",,"OPEN_INT","."&amp;J$2&amp;J$1&amp;"C"&amp;$A36)*RTD("tos.rtd",,"LAST","."&amp;J$2&amp;J$1&amp;"C"&amp;$A36)+100*RTD("tos.rtd",,"OPEN_INT","."&amp;J$2&amp;J$1&amp;"P"&amp;$A36)*RTD("tos.rtd",,"LAST","."&amp;J$2&amp;J$1&amp;"P"&amp;$A36))/1000000,(100*RTD("tos.rtd",,"OPEN_INT","."&amp;J$2&amp;J$1&amp;"C"&amp;$A36)*RTD("tos.rtd",,"LAST","."&amp;J$2&amp;J$1&amp;"C"&amp;$A36)-100*RTD("tos.rtd",,"OPEN_INT","."&amp;J$2&amp;J$1&amp;"P"&amp;$A36)*RTD("tos.rtd",,"LAST","."&amp;J$2&amp;J$1&amp;"P"&amp;$A36))/1000000),0),IF($A$2="PREMIUM",IFERROR(IF($X$1="ABS",(100*RTD("tos.rtd",,"VOLUME","."&amp;J$2&amp;J$1&amp;"C"&amp;$A36)*RTD("tos.rtd",,"LAST","."&amp;J$2&amp;J$1&amp;"C"&amp;$A36)+100*RTD("tos.rtd",,"VOLUME","."&amp;J$2&amp;J$1&amp;"P"&amp;$A36)*RTD("tos.rtd",,"LAST","."&amp;J$2&amp;J$1&amp;"P"&amp;$A36))/1000000,(100*RTD("tos.rtd",,"VOLUME","."&amp;J$2&amp;J$1&amp;"C"&amp;$A36)*RTD("tos.rtd",,"LAST","."&amp;J$2&amp;J$1&amp;"C"&amp;$A36)-100*RTD("tos.rtd",,"VOLUME","."&amp;J$2&amp;J$1&amp;"P"&amp;$A36)*RTD("tos.rtd",,"LAST","."&amp;J$2&amp;J$1&amp;"P"&amp;$A36))/1000000),0),IF($A$2="DEX",IFERROR(IF($X$1="ABS",(100*RTD("tos.rtd",,"OPEN_INT","."&amp;J$2&amp;J$1&amp;"C"&amp;$A36)*RTD("tos.rtd",,"DELTA","."&amp;J$2&amp;J$1&amp;"C"&amp;$A36)+100*RTD("tos.rtd",,"OPEN_INT","."&amp;J$2&amp;J$1&amp;"P"&amp;$A36)*RTD("tos.rtd",,"DELTA","."&amp;J$2&amp;J$1&amp;"P"&amp;$A36))/1000,(100*RTD("tos.rtd",,"OPEN_INT","."&amp;J$2&amp;J$1&amp;"C"&amp;$A36)*RTD("tos.rtd",,"DELTA","."&amp;J$2&amp;J$1&amp;"C"&amp;$A36)-100*RTD("tos.rtd",,"OPEN_INT","."&amp;J$2&amp;J$1&amp;"P"&amp;$A36)*RTD("tos.rtd",,"DELTA","."&amp;J$2&amp;J$1&amp;"P"&amp;$A36))/1000),0),IF($A$2="VEX",IFERROR(IF($X$1="ABS",($A$4*$A$4*RTD("tos.rtd",,"VOLUME","."&amp;J$2&amp;J$1&amp;"C"&amp;$A36)*RTD("tos.rtd",,"GAMMA","."&amp;J$2&amp;J$1&amp;"C"&amp;$A36)+$A$4*$A$4*RTD("tos.rtd",,"VOLUME","."&amp;J$2&amp;J$1&amp;"P"&amp;$A36)*RTD("tos.rtd",,"GAMMA","."&amp;J$2&amp;J$1&amp;"P"&amp;$A36))/1000000,($A$4*$A$4*RTD("tos.rtd",,"VOLUME","."&amp;J$2&amp;J$1&amp;"C"&amp;$A36)*RTD("tos.rtd",,"GAMMA","."&amp;J$2&amp;J$1&amp;"C"&amp;$A36)-$A$4*$A$4*RTD("tos.rtd",,"VOLUME","."&amp;J$2&amp;J$1&amp;"P"&amp;$A36)*RTD("tos.rtd",,"GAMMA","."&amp;J$2&amp;J$1&amp;"P"&amp;$A36))/1000000),0),IF($A$2="GEX",IFERROR(IF($X$1="ABS",($A$4*$A$4*RTD("tos.rtd",,"OPEN_INT","."&amp;J$2&amp;J$1&amp;"C"&amp;$A36)*RTD("tos.rtd",,"GAMMA","."&amp;J$2&amp;J$1&amp;"C"&amp;$A36)+$A$4*$A$4*RTD("tos.rtd",,"OPEN_INT","."&amp;J$2&amp;J$1&amp;"P"&amp;$A36)*RTD("tos.rtd",,"GAMMA","."&amp;J$2&amp;J$1&amp;"P"&amp;$A36))/1000000,($A$4*$A$4*RTD("tos.rtd",,"OPEN_INT","."&amp;J$2&amp;J$1&amp;"C"&amp;$A36)*RTD("tos.rtd",,"GAMMA","."&amp;J$2&amp;J$1&amp;"C"&amp;$A36)-$A$4*$A$4*RTD("tos.rtd",,"OPEN_INT","."&amp;J$2&amp;J$1&amp;"P"&amp;$A36)*RTD("tos.rtd",,"GAMMA","."&amp;J$2&amp;J$1&amp;"P"&amp;$A36))/1000000),0),IF($A$2="SKEW",IFERROR(VALUE(IF(RTD("tos.rtd",,"IMPL_VOL","."&amp;J$2&amp;J$1&amp;"P"&amp;$A36)="N/A",0,RTD("tos.rtd",,"IMPL_VOL","."&amp;J$2&amp;J$1&amp;"P"&amp;$A36))),0)-IFERROR(VALUE(IF(RTD("tos.rtd",,"IMPL_VOL","."&amp;J$2&amp;J$1&amp;"C"&amp;$A36)="N/A",0,RTD("tos.rtd",,"IMPL_VOL","."&amp;J$2&amp;J$1&amp;"C"&amp;$A36))),0),IF($A$2="MAXPAIN",IF($A$4&gt;$A36,($A$4-$A36)*IF(RTD("tos.rtd",,"OPEN_INT","."&amp;J$2&amp;J$1&amp;"C"&amp;$A36)="N/A",0,RTD("tos.rtd",,"OPEN_INT","."&amp;J$2&amp;J$1&amp;"C"&amp;$A36)),0)+IF($A$4&lt;$A36,($A$5-$A$4)*IF(RTD("tos.rtd",,"OPEN_INT","."&amp;J$2&amp;J$1&amp;"P"&amp;$A36)="N/A",0,RTD("tos.rtd",,"OPEN_INT","."&amp;J$2&amp;J$1&amp;"P"&amp;$A36)),0),IF($X$1="ABS",IF(RTD("tos.rtd",,$A$2,"."&amp;J$2&amp;J$1&amp;"C"&amp;$A36)="N/A",0,RTD("tos.rtd",,$A$2,"."&amp;J$2&amp;J$1&amp;"C"&amp;$A36))+IF(RTD("tos.rtd",,$A$2,"."&amp;J$2&amp;J$1&amp;"P"&amp;$A36)="N/A",0,RTD("tos.rtd",,$A$2,"."&amp;J$2&amp;J$1&amp;"P"&amp;$A36)),IF(RTD("tos.rtd",,$A$2,"."&amp;J$2&amp;J$1&amp;"C"&amp;$A36)="N/A",0,RTD("tos.rtd",,$A$2,"."&amp;J$2&amp;J$1&amp;"C"&amp;$A36))-IF(RTD("tos.rtd",,$A$2,"."&amp;J$2&amp;J$1&amp;"P"&amp;$A36)="N/A",0,RTD("tos.rtd",,$A$2,"."&amp;J$2&amp;J$1&amp;"P"&amp;$A36))))))))))</f>
        <v>0</v>
      </c>
      <c r="K36" s="12">
        <f ca="1">IF($A$2="PREMIUM_OI",IFERROR(IF($X$1="ABS",(100*RTD("tos.rtd",,"OPEN_INT","."&amp;K$2&amp;K$1&amp;"C"&amp;$A36)*RTD("tos.rtd",,"LAST","."&amp;K$2&amp;K$1&amp;"C"&amp;$A36)+100*RTD("tos.rtd",,"OPEN_INT","."&amp;K$2&amp;K$1&amp;"P"&amp;$A36)*RTD("tos.rtd",,"LAST","."&amp;K$2&amp;K$1&amp;"P"&amp;$A36))/1000000,(100*RTD("tos.rtd",,"OPEN_INT","."&amp;K$2&amp;K$1&amp;"C"&amp;$A36)*RTD("tos.rtd",,"LAST","."&amp;K$2&amp;K$1&amp;"C"&amp;$A36)-100*RTD("tos.rtd",,"OPEN_INT","."&amp;K$2&amp;K$1&amp;"P"&amp;$A36)*RTD("tos.rtd",,"LAST","."&amp;K$2&amp;K$1&amp;"P"&amp;$A36))/1000000),0),IF($A$2="PREMIUM",IFERROR(IF($X$1="ABS",(100*RTD("tos.rtd",,"VOLUME","."&amp;K$2&amp;K$1&amp;"C"&amp;$A36)*RTD("tos.rtd",,"LAST","."&amp;K$2&amp;K$1&amp;"C"&amp;$A36)+100*RTD("tos.rtd",,"VOLUME","."&amp;K$2&amp;K$1&amp;"P"&amp;$A36)*RTD("tos.rtd",,"LAST","."&amp;K$2&amp;K$1&amp;"P"&amp;$A36))/1000000,(100*RTD("tos.rtd",,"VOLUME","."&amp;K$2&amp;K$1&amp;"C"&amp;$A36)*RTD("tos.rtd",,"LAST","."&amp;K$2&amp;K$1&amp;"C"&amp;$A36)-100*RTD("tos.rtd",,"VOLUME","."&amp;K$2&amp;K$1&amp;"P"&amp;$A36)*RTD("tos.rtd",,"LAST","."&amp;K$2&amp;K$1&amp;"P"&amp;$A36))/1000000),0),IF($A$2="DEX",IFERROR(IF($X$1="ABS",(100*RTD("tos.rtd",,"OPEN_INT","."&amp;K$2&amp;K$1&amp;"C"&amp;$A36)*RTD("tos.rtd",,"DELTA","."&amp;K$2&amp;K$1&amp;"C"&amp;$A36)+100*RTD("tos.rtd",,"OPEN_INT","."&amp;K$2&amp;K$1&amp;"P"&amp;$A36)*RTD("tos.rtd",,"DELTA","."&amp;K$2&amp;K$1&amp;"P"&amp;$A36))/1000,(100*RTD("tos.rtd",,"OPEN_INT","."&amp;K$2&amp;K$1&amp;"C"&amp;$A36)*RTD("tos.rtd",,"DELTA","."&amp;K$2&amp;K$1&amp;"C"&amp;$A36)-100*RTD("tos.rtd",,"OPEN_INT","."&amp;K$2&amp;K$1&amp;"P"&amp;$A36)*RTD("tos.rtd",,"DELTA","."&amp;K$2&amp;K$1&amp;"P"&amp;$A36))/1000),0),IF($A$2="VEX",IFERROR(IF($X$1="ABS",($A$4*$A$4*RTD("tos.rtd",,"VOLUME","."&amp;K$2&amp;K$1&amp;"C"&amp;$A36)*RTD("tos.rtd",,"GAMMA","."&amp;K$2&amp;K$1&amp;"C"&amp;$A36)+$A$4*$A$4*RTD("tos.rtd",,"VOLUME","."&amp;K$2&amp;K$1&amp;"P"&amp;$A36)*RTD("tos.rtd",,"GAMMA","."&amp;K$2&amp;K$1&amp;"P"&amp;$A36))/1000000,($A$4*$A$4*RTD("tos.rtd",,"VOLUME","."&amp;K$2&amp;K$1&amp;"C"&amp;$A36)*RTD("tos.rtd",,"GAMMA","."&amp;K$2&amp;K$1&amp;"C"&amp;$A36)-$A$4*$A$4*RTD("tos.rtd",,"VOLUME","."&amp;K$2&amp;K$1&amp;"P"&amp;$A36)*RTD("tos.rtd",,"GAMMA","."&amp;K$2&amp;K$1&amp;"P"&amp;$A36))/1000000),0),IF($A$2="GEX",IFERROR(IF($X$1="ABS",($A$4*$A$4*RTD("tos.rtd",,"OPEN_INT","."&amp;K$2&amp;K$1&amp;"C"&amp;$A36)*RTD("tos.rtd",,"GAMMA","."&amp;K$2&amp;K$1&amp;"C"&amp;$A36)+$A$4*$A$4*RTD("tos.rtd",,"OPEN_INT","."&amp;K$2&amp;K$1&amp;"P"&amp;$A36)*RTD("tos.rtd",,"GAMMA","."&amp;K$2&amp;K$1&amp;"P"&amp;$A36))/1000000,($A$4*$A$4*RTD("tos.rtd",,"OPEN_INT","."&amp;K$2&amp;K$1&amp;"C"&amp;$A36)*RTD("tos.rtd",,"GAMMA","."&amp;K$2&amp;K$1&amp;"C"&amp;$A36)-$A$4*$A$4*RTD("tos.rtd",,"OPEN_INT","."&amp;K$2&amp;K$1&amp;"P"&amp;$A36)*RTD("tos.rtd",,"GAMMA","."&amp;K$2&amp;K$1&amp;"P"&amp;$A36))/1000000),0),IF($A$2="SKEW",IFERROR(VALUE(IF(RTD("tos.rtd",,"IMPL_VOL","."&amp;K$2&amp;K$1&amp;"P"&amp;$A36)="N/A",0,RTD("tos.rtd",,"IMPL_VOL","."&amp;K$2&amp;K$1&amp;"P"&amp;$A36))),0)-IFERROR(VALUE(IF(RTD("tos.rtd",,"IMPL_VOL","."&amp;K$2&amp;K$1&amp;"C"&amp;$A36)="N/A",0,RTD("tos.rtd",,"IMPL_VOL","."&amp;K$2&amp;K$1&amp;"C"&amp;$A36))),0),IF($A$2="MAXPAIN",IF($A$4&gt;$A36,($A$4-$A36)*IF(RTD("tos.rtd",,"OPEN_INT","."&amp;K$2&amp;K$1&amp;"C"&amp;$A36)="N/A",0,RTD("tos.rtd",,"OPEN_INT","."&amp;K$2&amp;K$1&amp;"C"&amp;$A36)),0)+IF($A$4&lt;$A36,($A$5-$A$4)*IF(RTD("tos.rtd",,"OPEN_INT","."&amp;K$2&amp;K$1&amp;"P"&amp;$A36)="N/A",0,RTD("tos.rtd",,"OPEN_INT","."&amp;K$2&amp;K$1&amp;"P"&amp;$A36)),0),IF($X$1="ABS",IF(RTD("tos.rtd",,$A$2,"."&amp;K$2&amp;K$1&amp;"C"&amp;$A36)="N/A",0,RTD("tos.rtd",,$A$2,"."&amp;K$2&amp;K$1&amp;"C"&amp;$A36))+IF(RTD("tos.rtd",,$A$2,"."&amp;K$2&amp;K$1&amp;"P"&amp;$A36)="N/A",0,RTD("tos.rtd",,$A$2,"."&amp;K$2&amp;K$1&amp;"P"&amp;$A36)),IF(RTD("tos.rtd",,$A$2,"."&amp;K$2&amp;K$1&amp;"C"&amp;$A36)="N/A",0,RTD("tos.rtd",,$A$2,"."&amp;K$2&amp;K$1&amp;"C"&amp;$A36))-IF(RTD("tos.rtd",,$A$2,"."&amp;K$2&amp;K$1&amp;"P"&amp;$A36)="N/A",0,RTD("tos.rtd",,$A$2,"."&amp;K$2&amp;K$1&amp;"P"&amp;$A36))))))))))</f>
        <v>0</v>
      </c>
      <c r="L36" s="54">
        <f ca="1">IF($A$2="PREMIUM_OI",IFERROR(IF($X$1="ABS",(100*RTD("tos.rtd",,"OPEN_INT","."&amp;L$2&amp;L$1&amp;"C"&amp;$A36)*RTD("tos.rtd",,"LAST","."&amp;L$2&amp;L$1&amp;"C"&amp;$A36)+100*RTD("tos.rtd",,"OPEN_INT","."&amp;L$2&amp;L$1&amp;"P"&amp;$A36)*RTD("tos.rtd",,"LAST","."&amp;L$2&amp;L$1&amp;"P"&amp;$A36))/1000000,(100*RTD("tos.rtd",,"OPEN_INT","."&amp;L$2&amp;L$1&amp;"C"&amp;$A36)*RTD("tos.rtd",,"LAST","."&amp;L$2&amp;L$1&amp;"C"&amp;$A36)-100*RTD("tos.rtd",,"OPEN_INT","."&amp;L$2&amp;L$1&amp;"P"&amp;$A36)*RTD("tos.rtd",,"LAST","."&amp;L$2&amp;L$1&amp;"P"&amp;$A36))/1000000),0),IF($A$2="PREMIUM",IFERROR(IF($X$1="ABS",(100*RTD("tos.rtd",,"VOLUME","."&amp;L$2&amp;L$1&amp;"C"&amp;$A36)*RTD("tos.rtd",,"LAST","."&amp;L$2&amp;L$1&amp;"C"&amp;$A36)+100*RTD("tos.rtd",,"VOLUME","."&amp;L$2&amp;L$1&amp;"P"&amp;$A36)*RTD("tos.rtd",,"LAST","."&amp;L$2&amp;L$1&amp;"P"&amp;$A36))/1000000,(100*RTD("tos.rtd",,"VOLUME","."&amp;L$2&amp;L$1&amp;"C"&amp;$A36)*RTD("tos.rtd",,"LAST","."&amp;L$2&amp;L$1&amp;"C"&amp;$A36)-100*RTD("tos.rtd",,"VOLUME","."&amp;L$2&amp;L$1&amp;"P"&amp;$A36)*RTD("tos.rtd",,"LAST","."&amp;L$2&amp;L$1&amp;"P"&amp;$A36))/1000000),0),IF($A$2="DEX",IFERROR(IF($X$1="ABS",(100*RTD("tos.rtd",,"OPEN_INT","."&amp;L$2&amp;L$1&amp;"C"&amp;$A36)*RTD("tos.rtd",,"DELTA","."&amp;L$2&amp;L$1&amp;"C"&amp;$A36)+100*RTD("tos.rtd",,"OPEN_INT","."&amp;L$2&amp;L$1&amp;"P"&amp;$A36)*RTD("tos.rtd",,"DELTA","."&amp;L$2&amp;L$1&amp;"P"&amp;$A36))/1000,(100*RTD("tos.rtd",,"OPEN_INT","."&amp;L$2&amp;L$1&amp;"C"&amp;$A36)*RTD("tos.rtd",,"DELTA","."&amp;L$2&amp;L$1&amp;"C"&amp;$A36)-100*RTD("tos.rtd",,"OPEN_INT","."&amp;L$2&amp;L$1&amp;"P"&amp;$A36)*RTD("tos.rtd",,"DELTA","."&amp;L$2&amp;L$1&amp;"P"&amp;$A36))/1000),0),IF($A$2="VEX",IFERROR(IF($X$1="ABS",($A$4*$A$4*RTD("tos.rtd",,"VOLUME","."&amp;L$2&amp;L$1&amp;"C"&amp;$A36)*RTD("tos.rtd",,"GAMMA","."&amp;L$2&amp;L$1&amp;"C"&amp;$A36)+$A$4*$A$4*RTD("tos.rtd",,"VOLUME","."&amp;L$2&amp;L$1&amp;"P"&amp;$A36)*RTD("tos.rtd",,"GAMMA","."&amp;L$2&amp;L$1&amp;"P"&amp;$A36))/1000000,($A$4*$A$4*RTD("tos.rtd",,"VOLUME","."&amp;L$2&amp;L$1&amp;"C"&amp;$A36)*RTD("tos.rtd",,"GAMMA","."&amp;L$2&amp;L$1&amp;"C"&amp;$A36)-$A$4*$A$4*RTD("tos.rtd",,"VOLUME","."&amp;L$2&amp;L$1&amp;"P"&amp;$A36)*RTD("tos.rtd",,"GAMMA","."&amp;L$2&amp;L$1&amp;"P"&amp;$A36))/1000000),0),IF($A$2="GEX",IFERROR(IF($X$1="ABS",($A$4*$A$4*RTD("tos.rtd",,"OPEN_INT","."&amp;L$2&amp;L$1&amp;"C"&amp;$A36)*RTD("tos.rtd",,"GAMMA","."&amp;L$2&amp;L$1&amp;"C"&amp;$A36)+$A$4*$A$4*RTD("tos.rtd",,"OPEN_INT","."&amp;L$2&amp;L$1&amp;"P"&amp;$A36)*RTD("tos.rtd",,"GAMMA","."&amp;L$2&amp;L$1&amp;"P"&amp;$A36))/1000000,($A$4*$A$4*RTD("tos.rtd",,"OPEN_INT","."&amp;L$2&amp;L$1&amp;"C"&amp;$A36)*RTD("tos.rtd",,"GAMMA","."&amp;L$2&amp;L$1&amp;"C"&amp;$A36)-$A$4*$A$4*RTD("tos.rtd",,"OPEN_INT","."&amp;L$2&amp;L$1&amp;"P"&amp;$A36)*RTD("tos.rtd",,"GAMMA","."&amp;L$2&amp;L$1&amp;"P"&amp;$A36))/1000000),0),IF($A$2="SKEW",IFERROR(VALUE(IF(RTD("tos.rtd",,"IMPL_VOL","."&amp;L$2&amp;L$1&amp;"P"&amp;$A36)="N/A",0,RTD("tos.rtd",,"IMPL_VOL","."&amp;L$2&amp;L$1&amp;"P"&amp;$A36))),0)-IFERROR(VALUE(IF(RTD("tos.rtd",,"IMPL_VOL","."&amp;L$2&amp;L$1&amp;"C"&amp;$A36)="N/A",0,RTD("tos.rtd",,"IMPL_VOL","."&amp;L$2&amp;L$1&amp;"C"&amp;$A36))),0),IF($A$2="MAXPAIN",IF($A$4&gt;$A36,($A$4-$A36)*IF(RTD("tos.rtd",,"OPEN_INT","."&amp;L$2&amp;L$1&amp;"C"&amp;$A36)="N/A",0,RTD("tos.rtd",,"OPEN_INT","."&amp;L$2&amp;L$1&amp;"C"&amp;$A36)),0)+IF($A$4&lt;$A36,($A$5-$A$4)*IF(RTD("tos.rtd",,"OPEN_INT","."&amp;L$2&amp;L$1&amp;"P"&amp;$A36)="N/A",0,RTD("tos.rtd",,"OPEN_INT","."&amp;L$2&amp;L$1&amp;"P"&amp;$A36)),0),IF($X$1="ABS",IF(RTD("tos.rtd",,$A$2,"."&amp;L$2&amp;L$1&amp;"C"&amp;$A36)="N/A",0,RTD("tos.rtd",,$A$2,"."&amp;L$2&amp;L$1&amp;"C"&amp;$A36))+IF(RTD("tos.rtd",,$A$2,"."&amp;L$2&amp;L$1&amp;"P"&amp;$A36)="N/A",0,RTD("tos.rtd",,$A$2,"."&amp;L$2&amp;L$1&amp;"P"&amp;$A36)),IF(RTD("tos.rtd",,$A$2,"."&amp;L$2&amp;L$1&amp;"C"&amp;$A36)="N/A",0,RTD("tos.rtd",,$A$2,"."&amp;L$2&amp;L$1&amp;"C"&amp;$A36))-IF(RTD("tos.rtd",,$A$2,"."&amp;L$2&amp;L$1&amp;"P"&amp;$A36)="N/A",0,RTD("tos.rtd",,$A$2,"."&amp;L$2&amp;L$1&amp;"P"&amp;$A36))))))))))</f>
        <v>4669</v>
      </c>
      <c r="M36" s="12">
        <f ca="1">IF($A$2="PREMIUM_OI",IFERROR(IF($X$1="ABS",(100*RTD("tos.rtd",,"OPEN_INT","."&amp;M$2&amp;M$1&amp;"C"&amp;$A36)*RTD("tos.rtd",,"LAST","."&amp;M$2&amp;M$1&amp;"C"&amp;$A36)+100*RTD("tos.rtd",,"OPEN_INT","."&amp;M$2&amp;M$1&amp;"P"&amp;$A36)*RTD("tos.rtd",,"LAST","."&amp;M$2&amp;M$1&amp;"P"&amp;$A36))/1000000,(100*RTD("tos.rtd",,"OPEN_INT","."&amp;M$2&amp;M$1&amp;"C"&amp;$A36)*RTD("tos.rtd",,"LAST","."&amp;M$2&amp;M$1&amp;"C"&amp;$A36)-100*RTD("tos.rtd",,"OPEN_INT","."&amp;M$2&amp;M$1&amp;"P"&amp;$A36)*RTD("tos.rtd",,"LAST","."&amp;M$2&amp;M$1&amp;"P"&amp;$A36))/1000000),0),IF($A$2="PREMIUM",IFERROR(IF($X$1="ABS",(100*RTD("tos.rtd",,"VOLUME","."&amp;M$2&amp;M$1&amp;"C"&amp;$A36)*RTD("tos.rtd",,"LAST","."&amp;M$2&amp;M$1&amp;"C"&amp;$A36)+100*RTD("tos.rtd",,"VOLUME","."&amp;M$2&amp;M$1&amp;"P"&amp;$A36)*RTD("tos.rtd",,"LAST","."&amp;M$2&amp;M$1&amp;"P"&amp;$A36))/1000000,(100*RTD("tos.rtd",,"VOLUME","."&amp;M$2&amp;M$1&amp;"C"&amp;$A36)*RTD("tos.rtd",,"LAST","."&amp;M$2&amp;M$1&amp;"C"&amp;$A36)-100*RTD("tos.rtd",,"VOLUME","."&amp;M$2&amp;M$1&amp;"P"&amp;$A36)*RTD("tos.rtd",,"LAST","."&amp;M$2&amp;M$1&amp;"P"&amp;$A36))/1000000),0),IF($A$2="DEX",IFERROR(IF($X$1="ABS",(100*RTD("tos.rtd",,"OPEN_INT","."&amp;M$2&amp;M$1&amp;"C"&amp;$A36)*RTD("tos.rtd",,"DELTA","."&amp;M$2&amp;M$1&amp;"C"&amp;$A36)+100*RTD("tos.rtd",,"OPEN_INT","."&amp;M$2&amp;M$1&amp;"P"&amp;$A36)*RTD("tos.rtd",,"DELTA","."&amp;M$2&amp;M$1&amp;"P"&amp;$A36))/1000,(100*RTD("tos.rtd",,"OPEN_INT","."&amp;M$2&amp;M$1&amp;"C"&amp;$A36)*RTD("tos.rtd",,"DELTA","."&amp;M$2&amp;M$1&amp;"C"&amp;$A36)-100*RTD("tos.rtd",,"OPEN_INT","."&amp;M$2&amp;M$1&amp;"P"&amp;$A36)*RTD("tos.rtd",,"DELTA","."&amp;M$2&amp;M$1&amp;"P"&amp;$A36))/1000),0),IF($A$2="VEX",IFERROR(IF($X$1="ABS",($A$4*$A$4*RTD("tos.rtd",,"VOLUME","."&amp;M$2&amp;M$1&amp;"C"&amp;$A36)*RTD("tos.rtd",,"GAMMA","."&amp;M$2&amp;M$1&amp;"C"&amp;$A36)+$A$4*$A$4*RTD("tos.rtd",,"VOLUME","."&amp;M$2&amp;M$1&amp;"P"&amp;$A36)*RTD("tos.rtd",,"GAMMA","."&amp;M$2&amp;M$1&amp;"P"&amp;$A36))/1000000,($A$4*$A$4*RTD("tos.rtd",,"VOLUME","."&amp;M$2&amp;M$1&amp;"C"&amp;$A36)*RTD("tos.rtd",,"GAMMA","."&amp;M$2&amp;M$1&amp;"C"&amp;$A36)-$A$4*$A$4*RTD("tos.rtd",,"VOLUME","."&amp;M$2&amp;M$1&amp;"P"&amp;$A36)*RTD("tos.rtd",,"GAMMA","."&amp;M$2&amp;M$1&amp;"P"&amp;$A36))/1000000),0),IF($A$2="GEX",IFERROR(IF($X$1="ABS",($A$4*$A$4*RTD("tos.rtd",,"OPEN_INT","."&amp;M$2&amp;M$1&amp;"C"&amp;$A36)*RTD("tos.rtd",,"GAMMA","."&amp;M$2&amp;M$1&amp;"C"&amp;$A36)+$A$4*$A$4*RTD("tos.rtd",,"OPEN_INT","."&amp;M$2&amp;M$1&amp;"P"&amp;$A36)*RTD("tos.rtd",,"GAMMA","."&amp;M$2&amp;M$1&amp;"P"&amp;$A36))/1000000,($A$4*$A$4*RTD("tos.rtd",,"OPEN_INT","."&amp;M$2&amp;M$1&amp;"C"&amp;$A36)*RTD("tos.rtd",,"GAMMA","."&amp;M$2&amp;M$1&amp;"C"&amp;$A36)-$A$4*$A$4*RTD("tos.rtd",,"OPEN_INT","."&amp;M$2&amp;M$1&amp;"P"&amp;$A36)*RTD("tos.rtd",,"GAMMA","."&amp;M$2&amp;M$1&amp;"P"&amp;$A36))/1000000),0),IF($A$2="SKEW",IFERROR(VALUE(IF(RTD("tos.rtd",,"IMPL_VOL","."&amp;M$2&amp;M$1&amp;"P"&amp;$A36)="N/A",0,RTD("tos.rtd",,"IMPL_VOL","."&amp;M$2&amp;M$1&amp;"P"&amp;$A36))),0)-IFERROR(VALUE(IF(RTD("tos.rtd",,"IMPL_VOL","."&amp;M$2&amp;M$1&amp;"C"&amp;$A36)="N/A",0,RTD("tos.rtd",,"IMPL_VOL","."&amp;M$2&amp;M$1&amp;"C"&amp;$A36))),0),IF($A$2="MAXPAIN",IF($A$4&gt;$A36,($A$4-$A36)*IF(RTD("tos.rtd",,"OPEN_INT","."&amp;M$2&amp;M$1&amp;"C"&amp;$A36)="N/A",0,RTD("tos.rtd",,"OPEN_INT","."&amp;M$2&amp;M$1&amp;"C"&amp;$A36)),0)+IF($A$4&lt;$A36,($A$5-$A$4)*IF(RTD("tos.rtd",,"OPEN_INT","."&amp;M$2&amp;M$1&amp;"P"&amp;$A36)="N/A",0,RTD("tos.rtd",,"OPEN_INT","."&amp;M$2&amp;M$1&amp;"P"&amp;$A36)),0),IF($X$1="ABS",IF(RTD("tos.rtd",,$A$2,"."&amp;M$2&amp;M$1&amp;"C"&amp;$A36)="N/A",0,RTD("tos.rtd",,$A$2,"."&amp;M$2&amp;M$1&amp;"C"&amp;$A36))+IF(RTD("tos.rtd",,$A$2,"."&amp;M$2&amp;M$1&amp;"P"&amp;$A36)="N/A",0,RTD("tos.rtd",,$A$2,"."&amp;M$2&amp;M$1&amp;"P"&amp;$A36)),IF(RTD("tos.rtd",,$A$2,"."&amp;M$2&amp;M$1&amp;"C"&amp;$A36)="N/A",0,RTD("tos.rtd",,$A$2,"."&amp;M$2&amp;M$1&amp;"C"&amp;$A36))-IF(RTD("tos.rtd",,$A$2,"."&amp;M$2&amp;M$1&amp;"P"&amp;$A36)="N/A",0,RTD("tos.rtd",,$A$2,"."&amp;M$2&amp;M$1&amp;"P"&amp;$A36))))))))))</f>
        <v>4997</v>
      </c>
      <c r="N36" s="12">
        <f ca="1">IF($A$2="PREMIUM_OI",IFERROR(IF($X$1="ABS",(100*RTD("tos.rtd",,"OPEN_INT","."&amp;N$2&amp;N$1&amp;"C"&amp;$A36)*RTD("tos.rtd",,"LAST","."&amp;N$2&amp;N$1&amp;"C"&amp;$A36)+100*RTD("tos.rtd",,"OPEN_INT","."&amp;N$2&amp;N$1&amp;"P"&amp;$A36)*RTD("tos.rtd",,"LAST","."&amp;N$2&amp;N$1&amp;"P"&amp;$A36))/1000000,(100*RTD("tos.rtd",,"OPEN_INT","."&amp;N$2&amp;N$1&amp;"C"&amp;$A36)*RTD("tos.rtd",,"LAST","."&amp;N$2&amp;N$1&amp;"C"&amp;$A36)-100*RTD("tos.rtd",,"OPEN_INT","."&amp;N$2&amp;N$1&amp;"P"&amp;$A36)*RTD("tos.rtd",,"LAST","."&amp;N$2&amp;N$1&amp;"P"&amp;$A36))/1000000),0),IF($A$2="PREMIUM",IFERROR(IF($X$1="ABS",(100*RTD("tos.rtd",,"VOLUME","."&amp;N$2&amp;N$1&amp;"C"&amp;$A36)*RTD("tos.rtd",,"LAST","."&amp;N$2&amp;N$1&amp;"C"&amp;$A36)+100*RTD("tos.rtd",,"VOLUME","."&amp;N$2&amp;N$1&amp;"P"&amp;$A36)*RTD("tos.rtd",,"LAST","."&amp;N$2&amp;N$1&amp;"P"&amp;$A36))/1000000,(100*RTD("tos.rtd",,"VOLUME","."&amp;N$2&amp;N$1&amp;"C"&amp;$A36)*RTD("tos.rtd",,"LAST","."&amp;N$2&amp;N$1&amp;"C"&amp;$A36)-100*RTD("tos.rtd",,"VOLUME","."&amp;N$2&amp;N$1&amp;"P"&amp;$A36)*RTD("tos.rtd",,"LAST","."&amp;N$2&amp;N$1&amp;"P"&amp;$A36))/1000000),0),IF($A$2="DEX",IFERROR(IF($X$1="ABS",(100*RTD("tos.rtd",,"OPEN_INT","."&amp;N$2&amp;N$1&amp;"C"&amp;$A36)*RTD("tos.rtd",,"DELTA","."&amp;N$2&amp;N$1&amp;"C"&amp;$A36)+100*RTD("tos.rtd",,"OPEN_INT","."&amp;N$2&amp;N$1&amp;"P"&amp;$A36)*RTD("tos.rtd",,"DELTA","."&amp;N$2&amp;N$1&amp;"P"&amp;$A36))/1000,(100*RTD("tos.rtd",,"OPEN_INT","."&amp;N$2&amp;N$1&amp;"C"&amp;$A36)*RTD("tos.rtd",,"DELTA","."&amp;N$2&amp;N$1&amp;"C"&amp;$A36)-100*RTD("tos.rtd",,"OPEN_INT","."&amp;N$2&amp;N$1&amp;"P"&amp;$A36)*RTD("tos.rtd",,"DELTA","."&amp;N$2&amp;N$1&amp;"P"&amp;$A36))/1000),0),IF($A$2="VEX",IFERROR(IF($X$1="ABS",($A$4*$A$4*RTD("tos.rtd",,"VOLUME","."&amp;N$2&amp;N$1&amp;"C"&amp;$A36)*RTD("tos.rtd",,"GAMMA","."&amp;N$2&amp;N$1&amp;"C"&amp;$A36)+$A$4*$A$4*RTD("tos.rtd",,"VOLUME","."&amp;N$2&amp;N$1&amp;"P"&amp;$A36)*RTD("tos.rtd",,"GAMMA","."&amp;N$2&amp;N$1&amp;"P"&amp;$A36))/1000000,($A$4*$A$4*RTD("tos.rtd",,"VOLUME","."&amp;N$2&amp;N$1&amp;"C"&amp;$A36)*RTD("tos.rtd",,"GAMMA","."&amp;N$2&amp;N$1&amp;"C"&amp;$A36)-$A$4*$A$4*RTD("tos.rtd",,"VOLUME","."&amp;N$2&amp;N$1&amp;"P"&amp;$A36)*RTD("tos.rtd",,"GAMMA","."&amp;N$2&amp;N$1&amp;"P"&amp;$A36))/1000000),0),IF($A$2="GEX",IFERROR(IF($X$1="ABS",($A$4*$A$4*RTD("tos.rtd",,"OPEN_INT","."&amp;N$2&amp;N$1&amp;"C"&amp;$A36)*RTD("tos.rtd",,"GAMMA","."&amp;N$2&amp;N$1&amp;"C"&amp;$A36)+$A$4*$A$4*RTD("tos.rtd",,"OPEN_INT","."&amp;N$2&amp;N$1&amp;"P"&amp;$A36)*RTD("tos.rtd",,"GAMMA","."&amp;N$2&amp;N$1&amp;"P"&amp;$A36))/1000000,($A$4*$A$4*RTD("tos.rtd",,"OPEN_INT","."&amp;N$2&amp;N$1&amp;"C"&amp;$A36)*RTD("tos.rtd",,"GAMMA","."&amp;N$2&amp;N$1&amp;"C"&amp;$A36)-$A$4*$A$4*RTD("tos.rtd",,"OPEN_INT","."&amp;N$2&amp;N$1&amp;"P"&amp;$A36)*RTD("tos.rtd",,"GAMMA","."&amp;N$2&amp;N$1&amp;"P"&amp;$A36))/1000000),0),IF($A$2="SKEW",IFERROR(VALUE(IF(RTD("tos.rtd",,"IMPL_VOL","."&amp;N$2&amp;N$1&amp;"P"&amp;$A36)="N/A",0,RTD("tos.rtd",,"IMPL_VOL","."&amp;N$2&amp;N$1&amp;"P"&amp;$A36))),0)-IFERROR(VALUE(IF(RTD("tos.rtd",,"IMPL_VOL","."&amp;N$2&amp;N$1&amp;"C"&amp;$A36)="N/A",0,RTD("tos.rtd",,"IMPL_VOL","."&amp;N$2&amp;N$1&amp;"C"&amp;$A36))),0),IF($A$2="MAXPAIN",IF($A$4&gt;$A36,($A$4-$A36)*IF(RTD("tos.rtd",,"OPEN_INT","."&amp;N$2&amp;N$1&amp;"C"&amp;$A36)="N/A",0,RTD("tos.rtd",,"OPEN_INT","."&amp;N$2&amp;N$1&amp;"C"&amp;$A36)),0)+IF($A$4&lt;$A36,($A$5-$A$4)*IF(RTD("tos.rtd",,"OPEN_INT","."&amp;N$2&amp;N$1&amp;"P"&amp;$A36)="N/A",0,RTD("tos.rtd",,"OPEN_INT","."&amp;N$2&amp;N$1&amp;"P"&amp;$A36)),0),IF($X$1="ABS",IF(RTD("tos.rtd",,$A$2,"."&amp;N$2&amp;N$1&amp;"C"&amp;$A36)="N/A",0,RTD("tos.rtd",,$A$2,"."&amp;N$2&amp;N$1&amp;"C"&amp;$A36))+IF(RTD("tos.rtd",,$A$2,"."&amp;N$2&amp;N$1&amp;"P"&amp;$A36)="N/A",0,RTD("tos.rtd",,$A$2,"."&amp;N$2&amp;N$1&amp;"P"&amp;$A36)),IF(RTD("tos.rtd",,$A$2,"."&amp;N$2&amp;N$1&amp;"C"&amp;$A36)="N/A",0,RTD("tos.rtd",,$A$2,"."&amp;N$2&amp;N$1&amp;"C"&amp;$A36))-IF(RTD("tos.rtd",,$A$2,"."&amp;N$2&amp;N$1&amp;"P"&amp;$A36)="N/A",0,RTD("tos.rtd",,$A$2,"."&amp;N$2&amp;N$1&amp;"P"&amp;$A36))))))))))</f>
        <v>0</v>
      </c>
      <c r="O36" s="12">
        <f ca="1">IF($A$2="PREMIUM_OI",IFERROR(IF($X$1="ABS",(100*RTD("tos.rtd",,"OPEN_INT","."&amp;O$2&amp;O$1&amp;"C"&amp;$A36)*RTD("tos.rtd",,"LAST","."&amp;O$2&amp;O$1&amp;"C"&amp;$A36)+100*RTD("tos.rtd",,"OPEN_INT","."&amp;O$2&amp;O$1&amp;"P"&amp;$A36)*RTD("tos.rtd",,"LAST","."&amp;O$2&amp;O$1&amp;"P"&amp;$A36))/1000000,(100*RTD("tos.rtd",,"OPEN_INT","."&amp;O$2&amp;O$1&amp;"C"&amp;$A36)*RTD("tos.rtd",,"LAST","."&amp;O$2&amp;O$1&amp;"C"&amp;$A36)-100*RTD("tos.rtd",,"OPEN_INT","."&amp;O$2&amp;O$1&amp;"P"&amp;$A36)*RTD("tos.rtd",,"LAST","."&amp;O$2&amp;O$1&amp;"P"&amp;$A36))/1000000),0),IF($A$2="PREMIUM",IFERROR(IF($X$1="ABS",(100*RTD("tos.rtd",,"VOLUME","."&amp;O$2&amp;O$1&amp;"C"&amp;$A36)*RTD("tos.rtd",,"LAST","."&amp;O$2&amp;O$1&amp;"C"&amp;$A36)+100*RTD("tos.rtd",,"VOLUME","."&amp;O$2&amp;O$1&amp;"P"&amp;$A36)*RTD("tos.rtd",,"LAST","."&amp;O$2&amp;O$1&amp;"P"&amp;$A36))/1000000,(100*RTD("tos.rtd",,"VOLUME","."&amp;O$2&amp;O$1&amp;"C"&amp;$A36)*RTD("tos.rtd",,"LAST","."&amp;O$2&amp;O$1&amp;"C"&amp;$A36)-100*RTD("tos.rtd",,"VOLUME","."&amp;O$2&amp;O$1&amp;"P"&amp;$A36)*RTD("tos.rtd",,"LAST","."&amp;O$2&amp;O$1&amp;"P"&amp;$A36))/1000000),0),IF($A$2="DEX",IFERROR(IF($X$1="ABS",(100*RTD("tos.rtd",,"OPEN_INT","."&amp;O$2&amp;O$1&amp;"C"&amp;$A36)*RTD("tos.rtd",,"DELTA","."&amp;O$2&amp;O$1&amp;"C"&amp;$A36)+100*RTD("tos.rtd",,"OPEN_INT","."&amp;O$2&amp;O$1&amp;"P"&amp;$A36)*RTD("tos.rtd",,"DELTA","."&amp;O$2&amp;O$1&amp;"P"&amp;$A36))/1000,(100*RTD("tos.rtd",,"OPEN_INT","."&amp;O$2&amp;O$1&amp;"C"&amp;$A36)*RTD("tos.rtd",,"DELTA","."&amp;O$2&amp;O$1&amp;"C"&amp;$A36)-100*RTD("tos.rtd",,"OPEN_INT","."&amp;O$2&amp;O$1&amp;"P"&amp;$A36)*RTD("tos.rtd",,"DELTA","."&amp;O$2&amp;O$1&amp;"P"&amp;$A36))/1000),0),IF($A$2="VEX",IFERROR(IF($X$1="ABS",($A$4*$A$4*RTD("tos.rtd",,"VOLUME","."&amp;O$2&amp;O$1&amp;"C"&amp;$A36)*RTD("tos.rtd",,"GAMMA","."&amp;O$2&amp;O$1&amp;"C"&amp;$A36)+$A$4*$A$4*RTD("tos.rtd",,"VOLUME","."&amp;O$2&amp;O$1&amp;"P"&amp;$A36)*RTD("tos.rtd",,"GAMMA","."&amp;O$2&amp;O$1&amp;"P"&amp;$A36))/1000000,($A$4*$A$4*RTD("tos.rtd",,"VOLUME","."&amp;O$2&amp;O$1&amp;"C"&amp;$A36)*RTD("tos.rtd",,"GAMMA","."&amp;O$2&amp;O$1&amp;"C"&amp;$A36)-$A$4*$A$4*RTD("tos.rtd",,"VOLUME","."&amp;O$2&amp;O$1&amp;"P"&amp;$A36)*RTD("tos.rtd",,"GAMMA","."&amp;O$2&amp;O$1&amp;"P"&amp;$A36))/1000000),0),IF($A$2="GEX",IFERROR(IF($X$1="ABS",($A$4*$A$4*RTD("tos.rtd",,"OPEN_INT","."&amp;O$2&amp;O$1&amp;"C"&amp;$A36)*RTD("tos.rtd",,"GAMMA","."&amp;O$2&amp;O$1&amp;"C"&amp;$A36)+$A$4*$A$4*RTD("tos.rtd",,"OPEN_INT","."&amp;O$2&amp;O$1&amp;"P"&amp;$A36)*RTD("tos.rtd",,"GAMMA","."&amp;O$2&amp;O$1&amp;"P"&amp;$A36))/1000000,($A$4*$A$4*RTD("tos.rtd",,"OPEN_INT","."&amp;O$2&amp;O$1&amp;"C"&amp;$A36)*RTD("tos.rtd",,"GAMMA","."&amp;O$2&amp;O$1&amp;"C"&amp;$A36)-$A$4*$A$4*RTD("tos.rtd",,"OPEN_INT","."&amp;O$2&amp;O$1&amp;"P"&amp;$A36)*RTD("tos.rtd",,"GAMMA","."&amp;O$2&amp;O$1&amp;"P"&amp;$A36))/1000000),0),IF($A$2="SKEW",IFERROR(VALUE(IF(RTD("tos.rtd",,"IMPL_VOL","."&amp;O$2&amp;O$1&amp;"P"&amp;$A36)="N/A",0,RTD("tos.rtd",,"IMPL_VOL","."&amp;O$2&amp;O$1&amp;"P"&amp;$A36))),0)-IFERROR(VALUE(IF(RTD("tos.rtd",,"IMPL_VOL","."&amp;O$2&amp;O$1&amp;"C"&amp;$A36)="N/A",0,RTD("tos.rtd",,"IMPL_VOL","."&amp;O$2&amp;O$1&amp;"C"&amp;$A36))),0),IF($A$2="MAXPAIN",IF($A$4&gt;$A36,($A$4-$A36)*IF(RTD("tos.rtd",,"OPEN_INT","."&amp;O$2&amp;O$1&amp;"C"&amp;$A36)="N/A",0,RTD("tos.rtd",,"OPEN_INT","."&amp;O$2&amp;O$1&amp;"C"&amp;$A36)),0)+IF($A$4&lt;$A36,($A$5-$A$4)*IF(RTD("tos.rtd",,"OPEN_INT","."&amp;O$2&amp;O$1&amp;"P"&amp;$A36)="N/A",0,RTD("tos.rtd",,"OPEN_INT","."&amp;O$2&amp;O$1&amp;"P"&amp;$A36)),0),IF($X$1="ABS",IF(RTD("tos.rtd",,$A$2,"."&amp;O$2&amp;O$1&amp;"C"&amp;$A36)="N/A",0,RTD("tos.rtd",,$A$2,"."&amp;O$2&amp;O$1&amp;"C"&amp;$A36))+IF(RTD("tos.rtd",,$A$2,"."&amp;O$2&amp;O$1&amp;"P"&amp;$A36)="N/A",0,RTD("tos.rtd",,$A$2,"."&amp;O$2&amp;O$1&amp;"P"&amp;$A36)),IF(RTD("tos.rtd",,$A$2,"."&amp;O$2&amp;O$1&amp;"C"&amp;$A36)="N/A",0,RTD("tos.rtd",,$A$2,"."&amp;O$2&amp;O$1&amp;"C"&amp;$A36))-IF(RTD("tos.rtd",,$A$2,"."&amp;O$2&amp;O$1&amp;"P"&amp;$A36)="N/A",0,RTD("tos.rtd",,$A$2,"."&amp;O$2&amp;O$1&amp;"P"&amp;$A36))))))))))</f>
        <v>0</v>
      </c>
      <c r="P36" s="12">
        <f ca="1">IF($A$2="PREMIUM_OI",IFERROR(IF($X$1="ABS",(100*RTD("tos.rtd",,"OPEN_INT","."&amp;P$2&amp;P$1&amp;"C"&amp;$A36)*RTD("tos.rtd",,"LAST","."&amp;P$2&amp;P$1&amp;"C"&amp;$A36)+100*RTD("tos.rtd",,"OPEN_INT","."&amp;P$2&amp;P$1&amp;"P"&amp;$A36)*RTD("tos.rtd",,"LAST","."&amp;P$2&amp;P$1&amp;"P"&amp;$A36))/1000000,(100*RTD("tos.rtd",,"OPEN_INT","."&amp;P$2&amp;P$1&amp;"C"&amp;$A36)*RTD("tos.rtd",,"LAST","."&amp;P$2&amp;P$1&amp;"C"&amp;$A36)-100*RTD("tos.rtd",,"OPEN_INT","."&amp;P$2&amp;P$1&amp;"P"&amp;$A36)*RTD("tos.rtd",,"LAST","."&amp;P$2&amp;P$1&amp;"P"&amp;$A36))/1000000),0),IF($A$2="PREMIUM",IFERROR(IF($X$1="ABS",(100*RTD("tos.rtd",,"VOLUME","."&amp;P$2&amp;P$1&amp;"C"&amp;$A36)*RTD("tos.rtd",,"LAST","."&amp;P$2&amp;P$1&amp;"C"&amp;$A36)+100*RTD("tos.rtd",,"VOLUME","."&amp;P$2&amp;P$1&amp;"P"&amp;$A36)*RTD("tos.rtd",,"LAST","."&amp;P$2&amp;P$1&amp;"P"&amp;$A36))/1000000,(100*RTD("tos.rtd",,"VOLUME","."&amp;P$2&amp;P$1&amp;"C"&amp;$A36)*RTD("tos.rtd",,"LAST","."&amp;P$2&amp;P$1&amp;"C"&amp;$A36)-100*RTD("tos.rtd",,"VOLUME","."&amp;P$2&amp;P$1&amp;"P"&amp;$A36)*RTD("tos.rtd",,"LAST","."&amp;P$2&amp;P$1&amp;"P"&amp;$A36))/1000000),0),IF($A$2="DEX",IFERROR(IF($X$1="ABS",(100*RTD("tos.rtd",,"OPEN_INT","."&amp;P$2&amp;P$1&amp;"C"&amp;$A36)*RTD("tos.rtd",,"DELTA","."&amp;P$2&amp;P$1&amp;"C"&amp;$A36)+100*RTD("tos.rtd",,"OPEN_INT","."&amp;P$2&amp;P$1&amp;"P"&amp;$A36)*RTD("tos.rtd",,"DELTA","."&amp;P$2&amp;P$1&amp;"P"&amp;$A36))/1000,(100*RTD("tos.rtd",,"OPEN_INT","."&amp;P$2&amp;P$1&amp;"C"&amp;$A36)*RTD("tos.rtd",,"DELTA","."&amp;P$2&amp;P$1&amp;"C"&amp;$A36)-100*RTD("tos.rtd",,"OPEN_INT","."&amp;P$2&amp;P$1&amp;"P"&amp;$A36)*RTD("tos.rtd",,"DELTA","."&amp;P$2&amp;P$1&amp;"P"&amp;$A36))/1000),0),IF($A$2="VEX",IFERROR(IF($X$1="ABS",($A$4*$A$4*RTD("tos.rtd",,"VOLUME","."&amp;P$2&amp;P$1&amp;"C"&amp;$A36)*RTD("tos.rtd",,"GAMMA","."&amp;P$2&amp;P$1&amp;"C"&amp;$A36)+$A$4*$A$4*RTD("tos.rtd",,"VOLUME","."&amp;P$2&amp;P$1&amp;"P"&amp;$A36)*RTD("tos.rtd",,"GAMMA","."&amp;P$2&amp;P$1&amp;"P"&amp;$A36))/1000000,($A$4*$A$4*RTD("tos.rtd",,"VOLUME","."&amp;P$2&amp;P$1&amp;"C"&amp;$A36)*RTD("tos.rtd",,"GAMMA","."&amp;P$2&amp;P$1&amp;"C"&amp;$A36)-$A$4*$A$4*RTD("tos.rtd",,"VOLUME","."&amp;P$2&amp;P$1&amp;"P"&amp;$A36)*RTD("tos.rtd",,"GAMMA","."&amp;P$2&amp;P$1&amp;"P"&amp;$A36))/1000000),0),IF($A$2="GEX",IFERROR(IF($X$1="ABS",($A$4*$A$4*RTD("tos.rtd",,"OPEN_INT","."&amp;P$2&amp;P$1&amp;"C"&amp;$A36)*RTD("tos.rtd",,"GAMMA","."&amp;P$2&amp;P$1&amp;"C"&amp;$A36)+$A$4*$A$4*RTD("tos.rtd",,"OPEN_INT","."&amp;P$2&amp;P$1&amp;"P"&amp;$A36)*RTD("tos.rtd",,"GAMMA","."&amp;P$2&amp;P$1&amp;"P"&amp;$A36))/1000000,($A$4*$A$4*RTD("tos.rtd",,"OPEN_INT","."&amp;P$2&amp;P$1&amp;"C"&amp;$A36)*RTD("tos.rtd",,"GAMMA","."&amp;P$2&amp;P$1&amp;"C"&amp;$A36)-$A$4*$A$4*RTD("tos.rtd",,"OPEN_INT","."&amp;P$2&amp;P$1&amp;"P"&amp;$A36)*RTD("tos.rtd",,"GAMMA","."&amp;P$2&amp;P$1&amp;"P"&amp;$A36))/1000000),0),IF($A$2="SKEW",IFERROR(VALUE(IF(RTD("tos.rtd",,"IMPL_VOL","."&amp;P$2&amp;P$1&amp;"P"&amp;$A36)="N/A",0,RTD("tos.rtd",,"IMPL_VOL","."&amp;P$2&amp;P$1&amp;"P"&amp;$A36))),0)-IFERROR(VALUE(IF(RTD("tos.rtd",,"IMPL_VOL","."&amp;P$2&amp;P$1&amp;"C"&amp;$A36)="N/A",0,RTD("tos.rtd",,"IMPL_VOL","."&amp;P$2&amp;P$1&amp;"C"&amp;$A36))),0),IF($A$2="MAXPAIN",IF($A$4&gt;$A36,($A$4-$A36)*IF(RTD("tos.rtd",,"OPEN_INT","."&amp;P$2&amp;P$1&amp;"C"&amp;$A36)="N/A",0,RTD("tos.rtd",,"OPEN_INT","."&amp;P$2&amp;P$1&amp;"C"&amp;$A36)),0)+IF($A$4&lt;$A36,($A$5-$A$4)*IF(RTD("tos.rtd",,"OPEN_INT","."&amp;P$2&amp;P$1&amp;"P"&amp;$A36)="N/A",0,RTD("tos.rtd",,"OPEN_INT","."&amp;P$2&amp;P$1&amp;"P"&amp;$A36)),0),IF($X$1="ABS",IF(RTD("tos.rtd",,$A$2,"."&amp;P$2&amp;P$1&amp;"C"&amp;$A36)="N/A",0,RTD("tos.rtd",,$A$2,"."&amp;P$2&amp;P$1&amp;"C"&amp;$A36))+IF(RTD("tos.rtd",,$A$2,"."&amp;P$2&amp;P$1&amp;"P"&amp;$A36)="N/A",0,RTD("tos.rtd",,$A$2,"."&amp;P$2&amp;P$1&amp;"P"&amp;$A36)),IF(RTD("tos.rtd",,$A$2,"."&amp;P$2&amp;P$1&amp;"C"&amp;$A36)="N/A",0,RTD("tos.rtd",,$A$2,"."&amp;P$2&amp;P$1&amp;"C"&amp;$A36))-IF(RTD("tos.rtd",,$A$2,"."&amp;P$2&amp;P$1&amp;"P"&amp;$A36)="N/A",0,RTD("tos.rtd",,$A$2,"."&amp;P$2&amp;P$1&amp;"P"&amp;$A36))))))))))</f>
        <v>317</v>
      </c>
      <c r="Q36" s="12">
        <f ca="1">IF($A$2="PREMIUM_OI",IFERROR(IF($X$1="ABS",(100*RTD("tos.rtd",,"OPEN_INT","."&amp;Q$2&amp;Q$1&amp;"C"&amp;$A36)*RTD("tos.rtd",,"LAST","."&amp;Q$2&amp;Q$1&amp;"C"&amp;$A36)+100*RTD("tos.rtd",,"OPEN_INT","."&amp;Q$2&amp;Q$1&amp;"P"&amp;$A36)*RTD("tos.rtd",,"LAST","."&amp;Q$2&amp;Q$1&amp;"P"&amp;$A36))/1000000,(100*RTD("tos.rtd",,"OPEN_INT","."&amp;Q$2&amp;Q$1&amp;"C"&amp;$A36)*RTD("tos.rtd",,"LAST","."&amp;Q$2&amp;Q$1&amp;"C"&amp;$A36)-100*RTD("tos.rtd",,"OPEN_INT","."&amp;Q$2&amp;Q$1&amp;"P"&amp;$A36)*RTD("tos.rtd",,"LAST","."&amp;Q$2&amp;Q$1&amp;"P"&amp;$A36))/1000000),0),IF($A$2="PREMIUM",IFERROR(IF($X$1="ABS",(100*RTD("tos.rtd",,"VOLUME","."&amp;Q$2&amp;Q$1&amp;"C"&amp;$A36)*RTD("tos.rtd",,"LAST","."&amp;Q$2&amp;Q$1&amp;"C"&amp;$A36)+100*RTD("tos.rtd",,"VOLUME","."&amp;Q$2&amp;Q$1&amp;"P"&amp;$A36)*RTD("tos.rtd",,"LAST","."&amp;Q$2&amp;Q$1&amp;"P"&amp;$A36))/1000000,(100*RTD("tos.rtd",,"VOLUME","."&amp;Q$2&amp;Q$1&amp;"C"&amp;$A36)*RTD("tos.rtd",,"LAST","."&amp;Q$2&amp;Q$1&amp;"C"&amp;$A36)-100*RTD("tos.rtd",,"VOLUME","."&amp;Q$2&amp;Q$1&amp;"P"&amp;$A36)*RTD("tos.rtd",,"LAST","."&amp;Q$2&amp;Q$1&amp;"P"&amp;$A36))/1000000),0),IF($A$2="DEX",IFERROR(IF($X$1="ABS",(100*RTD("tos.rtd",,"OPEN_INT","."&amp;Q$2&amp;Q$1&amp;"C"&amp;$A36)*RTD("tos.rtd",,"DELTA","."&amp;Q$2&amp;Q$1&amp;"C"&amp;$A36)+100*RTD("tos.rtd",,"OPEN_INT","."&amp;Q$2&amp;Q$1&amp;"P"&amp;$A36)*RTD("tos.rtd",,"DELTA","."&amp;Q$2&amp;Q$1&amp;"P"&amp;$A36))/1000,(100*RTD("tos.rtd",,"OPEN_INT","."&amp;Q$2&amp;Q$1&amp;"C"&amp;$A36)*RTD("tos.rtd",,"DELTA","."&amp;Q$2&amp;Q$1&amp;"C"&amp;$A36)-100*RTD("tos.rtd",,"OPEN_INT","."&amp;Q$2&amp;Q$1&amp;"P"&amp;$A36)*RTD("tos.rtd",,"DELTA","."&amp;Q$2&amp;Q$1&amp;"P"&amp;$A36))/1000),0),IF($A$2="VEX",IFERROR(IF($X$1="ABS",($A$4*$A$4*RTD("tos.rtd",,"VOLUME","."&amp;Q$2&amp;Q$1&amp;"C"&amp;$A36)*RTD("tos.rtd",,"GAMMA","."&amp;Q$2&amp;Q$1&amp;"C"&amp;$A36)+$A$4*$A$4*RTD("tos.rtd",,"VOLUME","."&amp;Q$2&amp;Q$1&amp;"P"&amp;$A36)*RTD("tos.rtd",,"GAMMA","."&amp;Q$2&amp;Q$1&amp;"P"&amp;$A36))/1000000,($A$4*$A$4*RTD("tos.rtd",,"VOLUME","."&amp;Q$2&amp;Q$1&amp;"C"&amp;$A36)*RTD("tos.rtd",,"GAMMA","."&amp;Q$2&amp;Q$1&amp;"C"&amp;$A36)-$A$4*$A$4*RTD("tos.rtd",,"VOLUME","."&amp;Q$2&amp;Q$1&amp;"P"&amp;$A36)*RTD("tos.rtd",,"GAMMA","."&amp;Q$2&amp;Q$1&amp;"P"&amp;$A36))/1000000),0),IF($A$2="GEX",IFERROR(IF($X$1="ABS",($A$4*$A$4*RTD("tos.rtd",,"OPEN_INT","."&amp;Q$2&amp;Q$1&amp;"C"&amp;$A36)*RTD("tos.rtd",,"GAMMA","."&amp;Q$2&amp;Q$1&amp;"C"&amp;$A36)+$A$4*$A$4*RTD("tos.rtd",,"OPEN_INT","."&amp;Q$2&amp;Q$1&amp;"P"&amp;$A36)*RTD("tos.rtd",,"GAMMA","."&amp;Q$2&amp;Q$1&amp;"P"&amp;$A36))/1000000,($A$4*$A$4*RTD("tos.rtd",,"OPEN_INT","."&amp;Q$2&amp;Q$1&amp;"C"&amp;$A36)*RTD("tos.rtd",,"GAMMA","."&amp;Q$2&amp;Q$1&amp;"C"&amp;$A36)-$A$4*$A$4*RTD("tos.rtd",,"OPEN_INT","."&amp;Q$2&amp;Q$1&amp;"P"&amp;$A36)*RTD("tos.rtd",,"GAMMA","."&amp;Q$2&amp;Q$1&amp;"P"&amp;$A36))/1000000),0),IF($A$2="SKEW",IFERROR(VALUE(IF(RTD("tos.rtd",,"IMPL_VOL","."&amp;Q$2&amp;Q$1&amp;"P"&amp;$A36)="N/A",0,RTD("tos.rtd",,"IMPL_VOL","."&amp;Q$2&amp;Q$1&amp;"P"&amp;$A36))),0)-IFERROR(VALUE(IF(RTD("tos.rtd",,"IMPL_VOL","."&amp;Q$2&amp;Q$1&amp;"C"&amp;$A36)="N/A",0,RTD("tos.rtd",,"IMPL_VOL","."&amp;Q$2&amp;Q$1&amp;"C"&amp;$A36))),0),IF($A$2="MAXPAIN",IF($A$4&gt;$A36,($A$4-$A36)*IF(RTD("tos.rtd",,"OPEN_INT","."&amp;Q$2&amp;Q$1&amp;"C"&amp;$A36)="N/A",0,RTD("tos.rtd",,"OPEN_INT","."&amp;Q$2&amp;Q$1&amp;"C"&amp;$A36)),0)+IF($A$4&lt;$A36,($A$5-$A$4)*IF(RTD("tos.rtd",,"OPEN_INT","."&amp;Q$2&amp;Q$1&amp;"P"&amp;$A36)="N/A",0,RTD("tos.rtd",,"OPEN_INT","."&amp;Q$2&amp;Q$1&amp;"P"&amp;$A36)),0),IF($X$1="ABS",IF(RTD("tos.rtd",,$A$2,"."&amp;Q$2&amp;Q$1&amp;"C"&amp;$A36)="N/A",0,RTD("tos.rtd",,$A$2,"."&amp;Q$2&amp;Q$1&amp;"C"&amp;$A36))+IF(RTD("tos.rtd",,$A$2,"."&amp;Q$2&amp;Q$1&amp;"P"&amp;$A36)="N/A",0,RTD("tos.rtd",,$A$2,"."&amp;Q$2&amp;Q$1&amp;"P"&amp;$A36)),IF(RTD("tos.rtd",,$A$2,"."&amp;Q$2&amp;Q$1&amp;"C"&amp;$A36)="N/A",0,RTD("tos.rtd",,$A$2,"."&amp;Q$2&amp;Q$1&amp;"C"&amp;$A36))-IF(RTD("tos.rtd",,$A$2,"."&amp;Q$2&amp;Q$1&amp;"P"&amp;$A36)="N/A",0,RTD("tos.rtd",,$A$2,"."&amp;Q$2&amp;Q$1&amp;"P"&amp;$A36))))))))))</f>
        <v>0</v>
      </c>
      <c r="R36" s="12">
        <f ca="1">IF($A$2="PREMIUM_OI",IFERROR(IF($X$1="ABS",(100*RTD("tos.rtd",,"OPEN_INT","."&amp;R$2&amp;R$1&amp;"C"&amp;$A36)*RTD("tos.rtd",,"LAST","."&amp;R$2&amp;R$1&amp;"C"&amp;$A36)+100*RTD("tos.rtd",,"OPEN_INT","."&amp;R$2&amp;R$1&amp;"P"&amp;$A36)*RTD("tos.rtd",,"LAST","."&amp;R$2&amp;R$1&amp;"P"&amp;$A36))/1000000,(100*RTD("tos.rtd",,"OPEN_INT","."&amp;R$2&amp;R$1&amp;"C"&amp;$A36)*RTD("tos.rtd",,"LAST","."&amp;R$2&amp;R$1&amp;"C"&amp;$A36)-100*RTD("tos.rtd",,"OPEN_INT","."&amp;R$2&amp;R$1&amp;"P"&amp;$A36)*RTD("tos.rtd",,"LAST","."&amp;R$2&amp;R$1&amp;"P"&amp;$A36))/1000000),0),IF($A$2="PREMIUM",IFERROR(IF($X$1="ABS",(100*RTD("tos.rtd",,"VOLUME","."&amp;R$2&amp;R$1&amp;"C"&amp;$A36)*RTD("tos.rtd",,"LAST","."&amp;R$2&amp;R$1&amp;"C"&amp;$A36)+100*RTD("tos.rtd",,"VOLUME","."&amp;R$2&amp;R$1&amp;"P"&amp;$A36)*RTD("tos.rtd",,"LAST","."&amp;R$2&amp;R$1&amp;"P"&amp;$A36))/1000000,(100*RTD("tos.rtd",,"VOLUME","."&amp;R$2&amp;R$1&amp;"C"&amp;$A36)*RTD("tos.rtd",,"LAST","."&amp;R$2&amp;R$1&amp;"C"&amp;$A36)-100*RTD("tos.rtd",,"VOLUME","."&amp;R$2&amp;R$1&amp;"P"&amp;$A36)*RTD("tos.rtd",,"LAST","."&amp;R$2&amp;R$1&amp;"P"&amp;$A36))/1000000),0),IF($A$2="DEX",IFERROR(IF($X$1="ABS",(100*RTD("tos.rtd",,"OPEN_INT","."&amp;R$2&amp;R$1&amp;"C"&amp;$A36)*RTD("tos.rtd",,"DELTA","."&amp;R$2&amp;R$1&amp;"C"&amp;$A36)+100*RTD("tos.rtd",,"OPEN_INT","."&amp;R$2&amp;R$1&amp;"P"&amp;$A36)*RTD("tos.rtd",,"DELTA","."&amp;R$2&amp;R$1&amp;"P"&amp;$A36))/1000,(100*RTD("tos.rtd",,"OPEN_INT","."&amp;R$2&amp;R$1&amp;"C"&amp;$A36)*RTD("tos.rtd",,"DELTA","."&amp;R$2&amp;R$1&amp;"C"&amp;$A36)-100*RTD("tos.rtd",,"OPEN_INT","."&amp;R$2&amp;R$1&amp;"P"&amp;$A36)*RTD("tos.rtd",,"DELTA","."&amp;R$2&amp;R$1&amp;"P"&amp;$A36))/1000),0),IF($A$2="VEX",IFERROR(IF($X$1="ABS",($A$4*$A$4*RTD("tos.rtd",,"VOLUME","."&amp;R$2&amp;R$1&amp;"C"&amp;$A36)*RTD("tos.rtd",,"GAMMA","."&amp;R$2&amp;R$1&amp;"C"&amp;$A36)+$A$4*$A$4*RTD("tos.rtd",,"VOLUME","."&amp;R$2&amp;R$1&amp;"P"&amp;$A36)*RTD("tos.rtd",,"GAMMA","."&amp;R$2&amp;R$1&amp;"P"&amp;$A36))/1000000,($A$4*$A$4*RTD("tos.rtd",,"VOLUME","."&amp;R$2&amp;R$1&amp;"C"&amp;$A36)*RTD("tos.rtd",,"GAMMA","."&amp;R$2&amp;R$1&amp;"C"&amp;$A36)-$A$4*$A$4*RTD("tos.rtd",,"VOLUME","."&amp;R$2&amp;R$1&amp;"P"&amp;$A36)*RTD("tos.rtd",,"GAMMA","."&amp;R$2&amp;R$1&amp;"P"&amp;$A36))/1000000),0),IF($A$2="GEX",IFERROR(IF($X$1="ABS",($A$4*$A$4*RTD("tos.rtd",,"OPEN_INT","."&amp;R$2&amp;R$1&amp;"C"&amp;$A36)*RTD("tos.rtd",,"GAMMA","."&amp;R$2&amp;R$1&amp;"C"&amp;$A36)+$A$4*$A$4*RTD("tos.rtd",,"OPEN_INT","."&amp;R$2&amp;R$1&amp;"P"&amp;$A36)*RTD("tos.rtd",,"GAMMA","."&amp;R$2&amp;R$1&amp;"P"&amp;$A36))/1000000,($A$4*$A$4*RTD("tos.rtd",,"OPEN_INT","."&amp;R$2&amp;R$1&amp;"C"&amp;$A36)*RTD("tos.rtd",,"GAMMA","."&amp;R$2&amp;R$1&amp;"C"&amp;$A36)-$A$4*$A$4*RTD("tos.rtd",,"OPEN_INT","."&amp;R$2&amp;R$1&amp;"P"&amp;$A36)*RTD("tos.rtd",,"GAMMA","."&amp;R$2&amp;R$1&amp;"P"&amp;$A36))/1000000),0),IF($A$2="SKEW",IFERROR(VALUE(IF(RTD("tos.rtd",,"IMPL_VOL","."&amp;R$2&amp;R$1&amp;"P"&amp;$A36)="N/A",0,RTD("tos.rtd",,"IMPL_VOL","."&amp;R$2&amp;R$1&amp;"P"&amp;$A36))),0)-IFERROR(VALUE(IF(RTD("tos.rtd",,"IMPL_VOL","."&amp;R$2&amp;R$1&amp;"C"&amp;$A36)="N/A",0,RTD("tos.rtd",,"IMPL_VOL","."&amp;R$2&amp;R$1&amp;"C"&amp;$A36))),0),IF($A$2="MAXPAIN",IF($A$4&gt;$A36,($A$4-$A36)*IF(RTD("tos.rtd",,"OPEN_INT","."&amp;R$2&amp;R$1&amp;"C"&amp;$A36)="N/A",0,RTD("tos.rtd",,"OPEN_INT","."&amp;R$2&amp;R$1&amp;"C"&amp;$A36)),0)+IF($A$4&lt;$A36,($A$5-$A$4)*IF(RTD("tos.rtd",,"OPEN_INT","."&amp;R$2&amp;R$1&amp;"P"&amp;$A36)="N/A",0,RTD("tos.rtd",,"OPEN_INT","."&amp;R$2&amp;R$1&amp;"P"&amp;$A36)),0),IF($X$1="ABS",IF(RTD("tos.rtd",,$A$2,"."&amp;R$2&amp;R$1&amp;"C"&amp;$A36)="N/A",0,RTD("tos.rtd",,$A$2,"."&amp;R$2&amp;R$1&amp;"C"&amp;$A36))+IF(RTD("tos.rtd",,$A$2,"."&amp;R$2&amp;R$1&amp;"P"&amp;$A36)="N/A",0,RTD("tos.rtd",,$A$2,"."&amp;R$2&amp;R$1&amp;"P"&amp;$A36)),IF(RTD("tos.rtd",,$A$2,"."&amp;R$2&amp;R$1&amp;"C"&amp;$A36)="N/A",0,RTD("tos.rtd",,$A$2,"."&amp;R$2&amp;R$1&amp;"C"&amp;$A36))-IF(RTD("tos.rtd",,$A$2,"."&amp;R$2&amp;R$1&amp;"P"&amp;$A36)="N/A",0,RTD("tos.rtd",,$A$2,"."&amp;R$2&amp;R$1&amp;"P"&amp;$A36))))))))))</f>
        <v>0</v>
      </c>
      <c r="S36" s="12">
        <f ca="1">IF($A$2="PREMIUM_OI",IFERROR(IF($X$1="ABS",(100*RTD("tos.rtd",,"OPEN_INT","."&amp;S$2&amp;S$1&amp;"C"&amp;$A36)*RTD("tos.rtd",,"LAST","."&amp;S$2&amp;S$1&amp;"C"&amp;$A36)+100*RTD("tos.rtd",,"OPEN_INT","."&amp;S$2&amp;S$1&amp;"P"&amp;$A36)*RTD("tos.rtd",,"LAST","."&amp;S$2&amp;S$1&amp;"P"&amp;$A36))/1000000,(100*RTD("tos.rtd",,"OPEN_INT","."&amp;S$2&amp;S$1&amp;"C"&amp;$A36)*RTD("tos.rtd",,"LAST","."&amp;S$2&amp;S$1&amp;"C"&amp;$A36)-100*RTD("tos.rtd",,"OPEN_INT","."&amp;S$2&amp;S$1&amp;"P"&amp;$A36)*RTD("tos.rtd",,"LAST","."&amp;S$2&amp;S$1&amp;"P"&amp;$A36))/1000000),0),IF($A$2="PREMIUM",IFERROR(IF($X$1="ABS",(100*RTD("tos.rtd",,"VOLUME","."&amp;S$2&amp;S$1&amp;"C"&amp;$A36)*RTD("tos.rtd",,"LAST","."&amp;S$2&amp;S$1&amp;"C"&amp;$A36)+100*RTD("tos.rtd",,"VOLUME","."&amp;S$2&amp;S$1&amp;"P"&amp;$A36)*RTD("tos.rtd",,"LAST","."&amp;S$2&amp;S$1&amp;"P"&amp;$A36))/1000000,(100*RTD("tos.rtd",,"VOLUME","."&amp;S$2&amp;S$1&amp;"C"&amp;$A36)*RTD("tos.rtd",,"LAST","."&amp;S$2&amp;S$1&amp;"C"&amp;$A36)-100*RTD("tos.rtd",,"VOLUME","."&amp;S$2&amp;S$1&amp;"P"&amp;$A36)*RTD("tos.rtd",,"LAST","."&amp;S$2&amp;S$1&amp;"P"&amp;$A36))/1000000),0),IF($A$2="DEX",IFERROR(IF($X$1="ABS",(100*RTD("tos.rtd",,"OPEN_INT","."&amp;S$2&amp;S$1&amp;"C"&amp;$A36)*RTD("tos.rtd",,"DELTA","."&amp;S$2&amp;S$1&amp;"C"&amp;$A36)+100*RTD("tos.rtd",,"OPEN_INT","."&amp;S$2&amp;S$1&amp;"P"&amp;$A36)*RTD("tos.rtd",,"DELTA","."&amp;S$2&amp;S$1&amp;"P"&amp;$A36))/1000,(100*RTD("tos.rtd",,"OPEN_INT","."&amp;S$2&amp;S$1&amp;"C"&amp;$A36)*RTD("tos.rtd",,"DELTA","."&amp;S$2&amp;S$1&amp;"C"&amp;$A36)-100*RTD("tos.rtd",,"OPEN_INT","."&amp;S$2&amp;S$1&amp;"P"&amp;$A36)*RTD("tos.rtd",,"DELTA","."&amp;S$2&amp;S$1&amp;"P"&amp;$A36))/1000),0),IF($A$2="VEX",IFERROR(IF($X$1="ABS",($A$4*$A$4*RTD("tos.rtd",,"VOLUME","."&amp;S$2&amp;S$1&amp;"C"&amp;$A36)*RTD("tos.rtd",,"GAMMA","."&amp;S$2&amp;S$1&amp;"C"&amp;$A36)+$A$4*$A$4*RTD("tos.rtd",,"VOLUME","."&amp;S$2&amp;S$1&amp;"P"&amp;$A36)*RTD("tos.rtd",,"GAMMA","."&amp;S$2&amp;S$1&amp;"P"&amp;$A36))/1000000,($A$4*$A$4*RTD("tos.rtd",,"VOLUME","."&amp;S$2&amp;S$1&amp;"C"&amp;$A36)*RTD("tos.rtd",,"GAMMA","."&amp;S$2&amp;S$1&amp;"C"&amp;$A36)-$A$4*$A$4*RTD("tos.rtd",,"VOLUME","."&amp;S$2&amp;S$1&amp;"P"&amp;$A36)*RTD("tos.rtd",,"GAMMA","."&amp;S$2&amp;S$1&amp;"P"&amp;$A36))/1000000),0),IF($A$2="GEX",IFERROR(IF($X$1="ABS",($A$4*$A$4*RTD("tos.rtd",,"OPEN_INT","."&amp;S$2&amp;S$1&amp;"C"&amp;$A36)*RTD("tos.rtd",,"GAMMA","."&amp;S$2&amp;S$1&amp;"C"&amp;$A36)+$A$4*$A$4*RTD("tos.rtd",,"OPEN_INT","."&amp;S$2&amp;S$1&amp;"P"&amp;$A36)*RTD("tos.rtd",,"GAMMA","."&amp;S$2&amp;S$1&amp;"P"&amp;$A36))/1000000,($A$4*$A$4*RTD("tos.rtd",,"OPEN_INT","."&amp;S$2&amp;S$1&amp;"C"&amp;$A36)*RTD("tos.rtd",,"GAMMA","."&amp;S$2&amp;S$1&amp;"C"&amp;$A36)-$A$4*$A$4*RTD("tos.rtd",,"OPEN_INT","."&amp;S$2&amp;S$1&amp;"P"&amp;$A36)*RTD("tos.rtd",,"GAMMA","."&amp;S$2&amp;S$1&amp;"P"&amp;$A36))/1000000),0),IF($A$2="SKEW",IFERROR(VALUE(IF(RTD("tos.rtd",,"IMPL_VOL","."&amp;S$2&amp;S$1&amp;"P"&amp;$A36)="N/A",0,RTD("tos.rtd",,"IMPL_VOL","."&amp;S$2&amp;S$1&amp;"P"&amp;$A36))),0)-IFERROR(VALUE(IF(RTD("tos.rtd",,"IMPL_VOL","."&amp;S$2&amp;S$1&amp;"C"&amp;$A36)="N/A",0,RTD("tos.rtd",,"IMPL_VOL","."&amp;S$2&amp;S$1&amp;"C"&amp;$A36))),0),IF($A$2="MAXPAIN",IF($A$4&gt;$A36,($A$4-$A36)*IF(RTD("tos.rtd",,"OPEN_INT","."&amp;S$2&amp;S$1&amp;"C"&amp;$A36)="N/A",0,RTD("tos.rtd",,"OPEN_INT","."&amp;S$2&amp;S$1&amp;"C"&amp;$A36)),0)+IF($A$4&lt;$A36,($A$5-$A$4)*IF(RTD("tos.rtd",,"OPEN_INT","."&amp;S$2&amp;S$1&amp;"P"&amp;$A36)="N/A",0,RTD("tos.rtd",,"OPEN_INT","."&amp;S$2&amp;S$1&amp;"P"&amp;$A36)),0),IF($X$1="ABS",IF(RTD("tos.rtd",,$A$2,"."&amp;S$2&amp;S$1&amp;"C"&amp;$A36)="N/A",0,RTD("tos.rtd",,$A$2,"."&amp;S$2&amp;S$1&amp;"C"&amp;$A36))+IF(RTD("tos.rtd",,$A$2,"."&amp;S$2&amp;S$1&amp;"P"&amp;$A36)="N/A",0,RTD("tos.rtd",,$A$2,"."&amp;S$2&amp;S$1&amp;"P"&amp;$A36)),IF(RTD("tos.rtd",,$A$2,"."&amp;S$2&amp;S$1&amp;"C"&amp;$A36)="N/A",0,RTD("tos.rtd",,$A$2,"."&amp;S$2&amp;S$1&amp;"C"&amp;$A36))-IF(RTD("tos.rtd",,$A$2,"."&amp;S$2&amp;S$1&amp;"P"&amp;$A36)="N/A",0,RTD("tos.rtd",,$A$2,"."&amp;S$2&amp;S$1&amp;"P"&amp;$A36))))))))))</f>
        <v>0</v>
      </c>
      <c r="T36" s="12">
        <f ca="1">IF($A$2="PREMIUM_OI",IFERROR(IF($X$1="ABS",(100*RTD("tos.rtd",,"OPEN_INT","."&amp;T$2&amp;T$1&amp;"C"&amp;$A36)*RTD("tos.rtd",,"LAST","."&amp;T$2&amp;T$1&amp;"C"&amp;$A36)+100*RTD("tos.rtd",,"OPEN_INT","."&amp;T$2&amp;T$1&amp;"P"&amp;$A36)*RTD("tos.rtd",,"LAST","."&amp;T$2&amp;T$1&amp;"P"&amp;$A36))/1000000,(100*RTD("tos.rtd",,"OPEN_INT","."&amp;T$2&amp;T$1&amp;"C"&amp;$A36)*RTD("tos.rtd",,"LAST","."&amp;T$2&amp;T$1&amp;"C"&amp;$A36)-100*RTD("tos.rtd",,"OPEN_INT","."&amp;T$2&amp;T$1&amp;"P"&amp;$A36)*RTD("tos.rtd",,"LAST","."&amp;T$2&amp;T$1&amp;"P"&amp;$A36))/1000000),0),IF($A$2="PREMIUM",IFERROR(IF($X$1="ABS",(100*RTD("tos.rtd",,"VOLUME","."&amp;T$2&amp;T$1&amp;"C"&amp;$A36)*RTD("tos.rtd",,"LAST","."&amp;T$2&amp;T$1&amp;"C"&amp;$A36)+100*RTD("tos.rtd",,"VOLUME","."&amp;T$2&amp;T$1&amp;"P"&amp;$A36)*RTD("tos.rtd",,"LAST","."&amp;T$2&amp;T$1&amp;"P"&amp;$A36))/1000000,(100*RTD("tos.rtd",,"VOLUME","."&amp;T$2&amp;T$1&amp;"C"&amp;$A36)*RTD("tos.rtd",,"LAST","."&amp;T$2&amp;T$1&amp;"C"&amp;$A36)-100*RTD("tos.rtd",,"VOLUME","."&amp;T$2&amp;T$1&amp;"P"&amp;$A36)*RTD("tos.rtd",,"LAST","."&amp;T$2&amp;T$1&amp;"P"&amp;$A36))/1000000),0),IF($A$2="DEX",IFERROR(IF($X$1="ABS",(100*RTD("tos.rtd",,"OPEN_INT","."&amp;T$2&amp;T$1&amp;"C"&amp;$A36)*RTD("tos.rtd",,"DELTA","."&amp;T$2&amp;T$1&amp;"C"&amp;$A36)+100*RTD("tos.rtd",,"OPEN_INT","."&amp;T$2&amp;T$1&amp;"P"&amp;$A36)*RTD("tos.rtd",,"DELTA","."&amp;T$2&amp;T$1&amp;"P"&amp;$A36))/1000,(100*RTD("tos.rtd",,"OPEN_INT","."&amp;T$2&amp;T$1&amp;"C"&amp;$A36)*RTD("tos.rtd",,"DELTA","."&amp;T$2&amp;T$1&amp;"C"&amp;$A36)-100*RTD("tos.rtd",,"OPEN_INT","."&amp;T$2&amp;T$1&amp;"P"&amp;$A36)*RTD("tos.rtd",,"DELTA","."&amp;T$2&amp;T$1&amp;"P"&amp;$A36))/1000),0),IF($A$2="VEX",IFERROR(IF($X$1="ABS",($A$4*$A$4*RTD("tos.rtd",,"VOLUME","."&amp;T$2&amp;T$1&amp;"C"&amp;$A36)*RTD("tos.rtd",,"GAMMA","."&amp;T$2&amp;T$1&amp;"C"&amp;$A36)+$A$4*$A$4*RTD("tos.rtd",,"VOLUME","."&amp;T$2&amp;T$1&amp;"P"&amp;$A36)*RTD("tos.rtd",,"GAMMA","."&amp;T$2&amp;T$1&amp;"P"&amp;$A36))/1000000,($A$4*$A$4*RTD("tos.rtd",,"VOLUME","."&amp;T$2&amp;T$1&amp;"C"&amp;$A36)*RTD("tos.rtd",,"GAMMA","."&amp;T$2&amp;T$1&amp;"C"&amp;$A36)-$A$4*$A$4*RTD("tos.rtd",,"VOLUME","."&amp;T$2&amp;T$1&amp;"P"&amp;$A36)*RTD("tos.rtd",,"GAMMA","."&amp;T$2&amp;T$1&amp;"P"&amp;$A36))/1000000),0),IF($A$2="GEX",IFERROR(IF($X$1="ABS",($A$4*$A$4*RTD("tos.rtd",,"OPEN_INT","."&amp;T$2&amp;T$1&amp;"C"&amp;$A36)*RTD("tos.rtd",,"GAMMA","."&amp;T$2&amp;T$1&amp;"C"&amp;$A36)+$A$4*$A$4*RTD("tos.rtd",,"OPEN_INT","."&amp;T$2&amp;T$1&amp;"P"&amp;$A36)*RTD("tos.rtd",,"GAMMA","."&amp;T$2&amp;T$1&amp;"P"&amp;$A36))/1000000,($A$4*$A$4*RTD("tos.rtd",,"OPEN_INT","."&amp;T$2&amp;T$1&amp;"C"&amp;$A36)*RTD("tos.rtd",,"GAMMA","."&amp;T$2&amp;T$1&amp;"C"&amp;$A36)-$A$4*$A$4*RTD("tos.rtd",,"OPEN_INT","."&amp;T$2&amp;T$1&amp;"P"&amp;$A36)*RTD("tos.rtd",,"GAMMA","."&amp;T$2&amp;T$1&amp;"P"&amp;$A36))/1000000),0),IF($A$2="SKEW",IFERROR(VALUE(IF(RTD("tos.rtd",,"IMPL_VOL","."&amp;T$2&amp;T$1&amp;"P"&amp;$A36)="N/A",0,RTD("tos.rtd",,"IMPL_VOL","."&amp;T$2&amp;T$1&amp;"P"&amp;$A36))),0)-IFERROR(VALUE(IF(RTD("tos.rtd",,"IMPL_VOL","."&amp;T$2&amp;T$1&amp;"C"&amp;$A36)="N/A",0,RTD("tos.rtd",,"IMPL_VOL","."&amp;T$2&amp;T$1&amp;"C"&amp;$A36))),0),IF($A$2="MAXPAIN",IF($A$4&gt;$A36,($A$4-$A36)*IF(RTD("tos.rtd",,"OPEN_INT","."&amp;T$2&amp;T$1&amp;"C"&amp;$A36)="N/A",0,RTD("tos.rtd",,"OPEN_INT","."&amp;T$2&amp;T$1&amp;"C"&amp;$A36)),0)+IF($A$4&lt;$A36,($A$5-$A$4)*IF(RTD("tos.rtd",,"OPEN_INT","."&amp;T$2&amp;T$1&amp;"P"&amp;$A36)="N/A",0,RTD("tos.rtd",,"OPEN_INT","."&amp;T$2&amp;T$1&amp;"P"&amp;$A36)),0),IF($X$1="ABS",IF(RTD("tos.rtd",,$A$2,"."&amp;T$2&amp;T$1&amp;"C"&amp;$A36)="N/A",0,RTD("tos.rtd",,$A$2,"."&amp;T$2&amp;T$1&amp;"C"&amp;$A36))+IF(RTD("tos.rtd",,$A$2,"."&amp;T$2&amp;T$1&amp;"P"&amp;$A36)="N/A",0,RTD("tos.rtd",,$A$2,"."&amp;T$2&amp;T$1&amp;"P"&amp;$A36)),IF(RTD("tos.rtd",,$A$2,"."&amp;T$2&amp;T$1&amp;"C"&amp;$A36)="N/A",0,RTD("tos.rtd",,$A$2,"."&amp;T$2&amp;T$1&amp;"C"&amp;$A36))-IF(RTD("tos.rtd",,$A$2,"."&amp;T$2&amp;T$1&amp;"P"&amp;$A36)="N/A",0,RTD("tos.rtd",,$A$2,"."&amp;T$2&amp;T$1&amp;"P"&amp;$A36))))))))))</f>
        <v>0</v>
      </c>
      <c r="U36" s="12">
        <f ca="1">IF($A$2="PREMIUM_OI",IFERROR(IF($X$1="ABS",(100*RTD("tos.rtd",,"OPEN_INT","."&amp;U$2&amp;U$1&amp;"C"&amp;$A36)*RTD("tos.rtd",,"LAST","."&amp;U$2&amp;U$1&amp;"C"&amp;$A36)+100*RTD("tos.rtd",,"OPEN_INT","."&amp;U$2&amp;U$1&amp;"P"&amp;$A36)*RTD("tos.rtd",,"LAST","."&amp;U$2&amp;U$1&amp;"P"&amp;$A36))/1000000,(100*RTD("tos.rtd",,"OPEN_INT","."&amp;U$2&amp;U$1&amp;"C"&amp;$A36)*RTD("tos.rtd",,"LAST","."&amp;U$2&amp;U$1&amp;"C"&amp;$A36)-100*RTD("tos.rtd",,"OPEN_INT","."&amp;U$2&amp;U$1&amp;"P"&amp;$A36)*RTD("tos.rtd",,"LAST","."&amp;U$2&amp;U$1&amp;"P"&amp;$A36))/1000000),0),IF($A$2="PREMIUM",IFERROR(IF($X$1="ABS",(100*RTD("tos.rtd",,"VOLUME","."&amp;U$2&amp;U$1&amp;"C"&amp;$A36)*RTD("tos.rtd",,"LAST","."&amp;U$2&amp;U$1&amp;"C"&amp;$A36)+100*RTD("tos.rtd",,"VOLUME","."&amp;U$2&amp;U$1&amp;"P"&amp;$A36)*RTD("tos.rtd",,"LAST","."&amp;U$2&amp;U$1&amp;"P"&amp;$A36))/1000000,(100*RTD("tos.rtd",,"VOLUME","."&amp;U$2&amp;U$1&amp;"C"&amp;$A36)*RTD("tos.rtd",,"LAST","."&amp;U$2&amp;U$1&amp;"C"&amp;$A36)-100*RTD("tos.rtd",,"VOLUME","."&amp;U$2&amp;U$1&amp;"P"&amp;$A36)*RTD("tos.rtd",,"LAST","."&amp;U$2&amp;U$1&amp;"P"&amp;$A36))/1000000),0),IF($A$2="DEX",IFERROR(IF($X$1="ABS",(100*RTD("tos.rtd",,"OPEN_INT","."&amp;U$2&amp;U$1&amp;"C"&amp;$A36)*RTD("tos.rtd",,"DELTA","."&amp;U$2&amp;U$1&amp;"C"&amp;$A36)+100*RTD("tos.rtd",,"OPEN_INT","."&amp;U$2&amp;U$1&amp;"P"&amp;$A36)*RTD("tos.rtd",,"DELTA","."&amp;U$2&amp;U$1&amp;"P"&amp;$A36))/1000,(100*RTD("tos.rtd",,"OPEN_INT","."&amp;U$2&amp;U$1&amp;"C"&amp;$A36)*RTD("tos.rtd",,"DELTA","."&amp;U$2&amp;U$1&amp;"C"&amp;$A36)-100*RTD("tos.rtd",,"OPEN_INT","."&amp;U$2&amp;U$1&amp;"P"&amp;$A36)*RTD("tos.rtd",,"DELTA","."&amp;U$2&amp;U$1&amp;"P"&amp;$A36))/1000),0),IF($A$2="VEX",IFERROR(IF($X$1="ABS",($A$4*$A$4*RTD("tos.rtd",,"VOLUME","."&amp;U$2&amp;U$1&amp;"C"&amp;$A36)*RTD("tos.rtd",,"GAMMA","."&amp;U$2&amp;U$1&amp;"C"&amp;$A36)+$A$4*$A$4*RTD("tos.rtd",,"VOLUME","."&amp;U$2&amp;U$1&amp;"P"&amp;$A36)*RTD("tos.rtd",,"GAMMA","."&amp;U$2&amp;U$1&amp;"P"&amp;$A36))/1000000,($A$4*$A$4*RTD("tos.rtd",,"VOLUME","."&amp;U$2&amp;U$1&amp;"C"&amp;$A36)*RTD("tos.rtd",,"GAMMA","."&amp;U$2&amp;U$1&amp;"C"&amp;$A36)-$A$4*$A$4*RTD("tos.rtd",,"VOLUME","."&amp;U$2&amp;U$1&amp;"P"&amp;$A36)*RTD("tos.rtd",,"GAMMA","."&amp;U$2&amp;U$1&amp;"P"&amp;$A36))/1000000),0),IF($A$2="GEX",IFERROR(IF($X$1="ABS",($A$4*$A$4*RTD("tos.rtd",,"OPEN_INT","."&amp;U$2&amp;U$1&amp;"C"&amp;$A36)*RTD("tos.rtd",,"GAMMA","."&amp;U$2&amp;U$1&amp;"C"&amp;$A36)+$A$4*$A$4*RTD("tos.rtd",,"OPEN_INT","."&amp;U$2&amp;U$1&amp;"P"&amp;$A36)*RTD("tos.rtd",,"GAMMA","."&amp;U$2&amp;U$1&amp;"P"&amp;$A36))/1000000,($A$4*$A$4*RTD("tos.rtd",,"OPEN_INT","."&amp;U$2&amp;U$1&amp;"C"&amp;$A36)*RTD("tos.rtd",,"GAMMA","."&amp;U$2&amp;U$1&amp;"C"&amp;$A36)-$A$4*$A$4*RTD("tos.rtd",,"OPEN_INT","."&amp;U$2&amp;U$1&amp;"P"&amp;$A36)*RTD("tos.rtd",,"GAMMA","."&amp;U$2&amp;U$1&amp;"P"&amp;$A36))/1000000),0),IF($A$2="SKEW",IFERROR(VALUE(IF(RTD("tos.rtd",,"IMPL_VOL","."&amp;U$2&amp;U$1&amp;"P"&amp;$A36)="N/A",0,RTD("tos.rtd",,"IMPL_VOL","."&amp;U$2&amp;U$1&amp;"P"&amp;$A36))),0)-IFERROR(VALUE(IF(RTD("tos.rtd",,"IMPL_VOL","."&amp;U$2&amp;U$1&amp;"C"&amp;$A36)="N/A",0,RTD("tos.rtd",,"IMPL_VOL","."&amp;U$2&amp;U$1&amp;"C"&amp;$A36))),0),IF($A$2="MAXPAIN",IF($A$4&gt;$A36,($A$4-$A36)*IF(RTD("tos.rtd",,"OPEN_INT","."&amp;U$2&amp;U$1&amp;"C"&amp;$A36)="N/A",0,RTD("tos.rtd",,"OPEN_INT","."&amp;U$2&amp;U$1&amp;"C"&amp;$A36)),0)+IF($A$4&lt;$A36,($A$5-$A$4)*IF(RTD("tos.rtd",,"OPEN_INT","."&amp;U$2&amp;U$1&amp;"P"&amp;$A36)="N/A",0,RTD("tos.rtd",,"OPEN_INT","."&amp;U$2&amp;U$1&amp;"P"&amp;$A36)),0),IF($X$1="ABS",IF(RTD("tos.rtd",,$A$2,"."&amp;U$2&amp;U$1&amp;"C"&amp;$A36)="N/A",0,RTD("tos.rtd",,$A$2,"."&amp;U$2&amp;U$1&amp;"C"&amp;$A36))+IF(RTD("tos.rtd",,$A$2,"."&amp;U$2&amp;U$1&amp;"P"&amp;$A36)="N/A",0,RTD("tos.rtd",,$A$2,"."&amp;U$2&amp;U$1&amp;"P"&amp;$A36)),IF(RTD("tos.rtd",,$A$2,"."&amp;U$2&amp;U$1&amp;"C"&amp;$A36)="N/A",0,RTD("tos.rtd",,$A$2,"."&amp;U$2&amp;U$1&amp;"C"&amp;$A36))-IF(RTD("tos.rtd",,$A$2,"."&amp;U$2&amp;U$1&amp;"P"&amp;$A36)="N/A",0,RTD("tos.rtd",,$A$2,"."&amp;U$2&amp;U$1&amp;"P"&amp;$A36))))))))))</f>
        <v>0</v>
      </c>
      <c r="V36" s="12">
        <f ca="1">IF($A$2="PREMIUM_OI",IFERROR(IF($X$1="ABS",(100*RTD("tos.rtd",,"OPEN_INT","."&amp;V$2&amp;V$1&amp;"C"&amp;$A36)*RTD("tos.rtd",,"LAST","."&amp;V$2&amp;V$1&amp;"C"&amp;$A36)+100*RTD("tos.rtd",,"OPEN_INT","."&amp;V$2&amp;V$1&amp;"P"&amp;$A36)*RTD("tos.rtd",,"LAST","."&amp;V$2&amp;V$1&amp;"P"&amp;$A36))/1000000,(100*RTD("tos.rtd",,"OPEN_INT","."&amp;V$2&amp;V$1&amp;"C"&amp;$A36)*RTD("tos.rtd",,"LAST","."&amp;V$2&amp;V$1&amp;"C"&amp;$A36)-100*RTD("tos.rtd",,"OPEN_INT","."&amp;V$2&amp;V$1&amp;"P"&amp;$A36)*RTD("tos.rtd",,"LAST","."&amp;V$2&amp;V$1&amp;"P"&amp;$A36))/1000000),0),IF($A$2="PREMIUM",IFERROR(IF($X$1="ABS",(100*RTD("tos.rtd",,"VOLUME","."&amp;V$2&amp;V$1&amp;"C"&amp;$A36)*RTD("tos.rtd",,"LAST","."&amp;V$2&amp;V$1&amp;"C"&amp;$A36)+100*RTD("tos.rtd",,"VOLUME","."&amp;V$2&amp;V$1&amp;"P"&amp;$A36)*RTD("tos.rtd",,"LAST","."&amp;V$2&amp;V$1&amp;"P"&amp;$A36))/1000000,(100*RTD("tos.rtd",,"VOLUME","."&amp;V$2&amp;V$1&amp;"C"&amp;$A36)*RTD("tos.rtd",,"LAST","."&amp;V$2&amp;V$1&amp;"C"&amp;$A36)-100*RTD("tos.rtd",,"VOLUME","."&amp;V$2&amp;V$1&amp;"P"&amp;$A36)*RTD("tos.rtd",,"LAST","."&amp;V$2&amp;V$1&amp;"P"&amp;$A36))/1000000),0),IF($A$2="DEX",IFERROR(IF($X$1="ABS",(100*RTD("tos.rtd",,"OPEN_INT","."&amp;V$2&amp;V$1&amp;"C"&amp;$A36)*RTD("tos.rtd",,"DELTA","."&amp;V$2&amp;V$1&amp;"C"&amp;$A36)+100*RTD("tos.rtd",,"OPEN_INT","."&amp;V$2&amp;V$1&amp;"P"&amp;$A36)*RTD("tos.rtd",,"DELTA","."&amp;V$2&amp;V$1&amp;"P"&amp;$A36))/1000,(100*RTD("tos.rtd",,"OPEN_INT","."&amp;V$2&amp;V$1&amp;"C"&amp;$A36)*RTD("tos.rtd",,"DELTA","."&amp;V$2&amp;V$1&amp;"C"&amp;$A36)-100*RTD("tos.rtd",,"OPEN_INT","."&amp;V$2&amp;V$1&amp;"P"&amp;$A36)*RTD("tos.rtd",,"DELTA","."&amp;V$2&amp;V$1&amp;"P"&amp;$A36))/1000),0),IF($A$2="VEX",IFERROR(IF($X$1="ABS",($A$4*$A$4*RTD("tos.rtd",,"VOLUME","."&amp;V$2&amp;V$1&amp;"C"&amp;$A36)*RTD("tos.rtd",,"GAMMA","."&amp;V$2&amp;V$1&amp;"C"&amp;$A36)+$A$4*$A$4*RTD("tos.rtd",,"VOLUME","."&amp;V$2&amp;V$1&amp;"P"&amp;$A36)*RTD("tos.rtd",,"GAMMA","."&amp;V$2&amp;V$1&amp;"P"&amp;$A36))/1000000,($A$4*$A$4*RTD("tos.rtd",,"VOLUME","."&amp;V$2&amp;V$1&amp;"C"&amp;$A36)*RTD("tos.rtd",,"GAMMA","."&amp;V$2&amp;V$1&amp;"C"&amp;$A36)-$A$4*$A$4*RTD("tos.rtd",,"VOLUME","."&amp;V$2&amp;V$1&amp;"P"&amp;$A36)*RTD("tos.rtd",,"GAMMA","."&amp;V$2&amp;V$1&amp;"P"&amp;$A36))/1000000),0),IF($A$2="GEX",IFERROR(IF($X$1="ABS",($A$4*$A$4*RTD("tos.rtd",,"OPEN_INT","."&amp;V$2&amp;V$1&amp;"C"&amp;$A36)*RTD("tos.rtd",,"GAMMA","."&amp;V$2&amp;V$1&amp;"C"&amp;$A36)+$A$4*$A$4*RTD("tos.rtd",,"OPEN_INT","."&amp;V$2&amp;V$1&amp;"P"&amp;$A36)*RTD("tos.rtd",,"GAMMA","."&amp;V$2&amp;V$1&amp;"P"&amp;$A36))/1000000,($A$4*$A$4*RTD("tos.rtd",,"OPEN_INT","."&amp;V$2&amp;V$1&amp;"C"&amp;$A36)*RTD("tos.rtd",,"GAMMA","."&amp;V$2&amp;V$1&amp;"C"&amp;$A36)-$A$4*$A$4*RTD("tos.rtd",,"OPEN_INT","."&amp;V$2&amp;V$1&amp;"P"&amp;$A36)*RTD("tos.rtd",,"GAMMA","."&amp;V$2&amp;V$1&amp;"P"&amp;$A36))/1000000),0),IF($A$2="SKEW",IFERROR(VALUE(IF(RTD("tos.rtd",,"IMPL_VOL","."&amp;V$2&amp;V$1&amp;"P"&amp;$A36)="N/A",0,RTD("tos.rtd",,"IMPL_VOL","."&amp;V$2&amp;V$1&amp;"P"&amp;$A36))),0)-IFERROR(VALUE(IF(RTD("tos.rtd",,"IMPL_VOL","."&amp;V$2&amp;V$1&amp;"C"&amp;$A36)="N/A",0,RTD("tos.rtd",,"IMPL_VOL","."&amp;V$2&amp;V$1&amp;"C"&amp;$A36))),0),IF($A$2="MAXPAIN",IF($A$4&gt;$A36,($A$4-$A36)*IF(RTD("tos.rtd",,"OPEN_INT","."&amp;V$2&amp;V$1&amp;"C"&amp;$A36)="N/A",0,RTD("tos.rtd",,"OPEN_INT","."&amp;V$2&amp;V$1&amp;"C"&amp;$A36)),0)+IF($A$4&lt;$A36,($A$5-$A$4)*IF(RTD("tos.rtd",,"OPEN_INT","."&amp;V$2&amp;V$1&amp;"P"&amp;$A36)="N/A",0,RTD("tos.rtd",,"OPEN_INT","."&amp;V$2&amp;V$1&amp;"P"&amp;$A36)),0),IF($X$1="ABS",IF(RTD("tos.rtd",,$A$2,"."&amp;V$2&amp;V$1&amp;"C"&amp;$A36)="N/A",0,RTD("tos.rtd",,$A$2,"."&amp;V$2&amp;V$1&amp;"C"&amp;$A36))+IF(RTD("tos.rtd",,$A$2,"."&amp;V$2&amp;V$1&amp;"P"&amp;$A36)="N/A",0,RTD("tos.rtd",,$A$2,"."&amp;V$2&amp;V$1&amp;"P"&amp;$A36)),IF(RTD("tos.rtd",,$A$2,"."&amp;V$2&amp;V$1&amp;"C"&amp;$A36)="N/A",0,RTD("tos.rtd",,$A$2,"."&amp;V$2&amp;V$1&amp;"C"&amp;$A36))-IF(RTD("tos.rtd",,$A$2,"."&amp;V$2&amp;V$1&amp;"P"&amp;$A36)="N/A",0,RTD("tos.rtd",,$A$2,"."&amp;V$2&amp;V$1&amp;"P"&amp;$A36))))))))))</f>
        <v>0</v>
      </c>
      <c r="W36" s="12">
        <f ca="1">IF($A$2="PREMIUM_OI",IFERROR(IF($X$1="ABS",(100*RTD("tos.rtd",,"OPEN_INT","."&amp;W$2&amp;W$1&amp;"C"&amp;$A36)*RTD("tos.rtd",,"LAST","."&amp;W$2&amp;W$1&amp;"C"&amp;$A36)+100*RTD("tos.rtd",,"OPEN_INT","."&amp;W$2&amp;W$1&amp;"P"&amp;$A36)*RTD("tos.rtd",,"LAST","."&amp;W$2&amp;W$1&amp;"P"&amp;$A36))/1000000,(100*RTD("tos.rtd",,"OPEN_INT","."&amp;W$2&amp;W$1&amp;"C"&amp;$A36)*RTD("tos.rtd",,"LAST","."&amp;W$2&amp;W$1&amp;"C"&amp;$A36)-100*RTD("tos.rtd",,"OPEN_INT","."&amp;W$2&amp;W$1&amp;"P"&amp;$A36)*RTD("tos.rtd",,"LAST","."&amp;W$2&amp;W$1&amp;"P"&amp;$A36))/1000000),0),IF($A$2="PREMIUM",IFERROR(IF($X$1="ABS",(100*RTD("tos.rtd",,"VOLUME","."&amp;W$2&amp;W$1&amp;"C"&amp;$A36)*RTD("tos.rtd",,"LAST","."&amp;W$2&amp;W$1&amp;"C"&amp;$A36)+100*RTD("tos.rtd",,"VOLUME","."&amp;W$2&amp;W$1&amp;"P"&amp;$A36)*RTD("tos.rtd",,"LAST","."&amp;W$2&amp;W$1&amp;"P"&amp;$A36))/1000000,(100*RTD("tos.rtd",,"VOLUME","."&amp;W$2&amp;W$1&amp;"C"&amp;$A36)*RTD("tos.rtd",,"LAST","."&amp;W$2&amp;W$1&amp;"C"&amp;$A36)-100*RTD("tos.rtd",,"VOLUME","."&amp;W$2&amp;W$1&amp;"P"&amp;$A36)*RTD("tos.rtd",,"LAST","."&amp;W$2&amp;W$1&amp;"P"&amp;$A36))/1000000),0),IF($A$2="DEX",IFERROR(IF($X$1="ABS",(100*RTD("tos.rtd",,"OPEN_INT","."&amp;W$2&amp;W$1&amp;"C"&amp;$A36)*RTD("tos.rtd",,"DELTA","."&amp;W$2&amp;W$1&amp;"C"&amp;$A36)+100*RTD("tos.rtd",,"OPEN_INT","."&amp;W$2&amp;W$1&amp;"P"&amp;$A36)*RTD("tos.rtd",,"DELTA","."&amp;W$2&amp;W$1&amp;"P"&amp;$A36))/1000,(100*RTD("tos.rtd",,"OPEN_INT","."&amp;W$2&amp;W$1&amp;"C"&amp;$A36)*RTD("tos.rtd",,"DELTA","."&amp;W$2&amp;W$1&amp;"C"&amp;$A36)-100*RTD("tos.rtd",,"OPEN_INT","."&amp;W$2&amp;W$1&amp;"P"&amp;$A36)*RTD("tos.rtd",,"DELTA","."&amp;W$2&amp;W$1&amp;"P"&amp;$A36))/1000),0),IF($A$2="VEX",IFERROR(IF($X$1="ABS",($A$4*$A$4*RTD("tos.rtd",,"VOLUME","."&amp;W$2&amp;W$1&amp;"C"&amp;$A36)*RTD("tos.rtd",,"GAMMA","."&amp;W$2&amp;W$1&amp;"C"&amp;$A36)+$A$4*$A$4*RTD("tos.rtd",,"VOLUME","."&amp;W$2&amp;W$1&amp;"P"&amp;$A36)*RTD("tos.rtd",,"GAMMA","."&amp;W$2&amp;W$1&amp;"P"&amp;$A36))/1000000,($A$4*$A$4*RTD("tos.rtd",,"VOLUME","."&amp;W$2&amp;W$1&amp;"C"&amp;$A36)*RTD("tos.rtd",,"GAMMA","."&amp;W$2&amp;W$1&amp;"C"&amp;$A36)-$A$4*$A$4*RTD("tos.rtd",,"VOLUME","."&amp;W$2&amp;W$1&amp;"P"&amp;$A36)*RTD("tos.rtd",,"GAMMA","."&amp;W$2&amp;W$1&amp;"P"&amp;$A36))/1000000),0),IF($A$2="GEX",IFERROR(IF($X$1="ABS",($A$4*$A$4*RTD("tos.rtd",,"OPEN_INT","."&amp;W$2&amp;W$1&amp;"C"&amp;$A36)*RTD("tos.rtd",,"GAMMA","."&amp;W$2&amp;W$1&amp;"C"&amp;$A36)+$A$4*$A$4*RTD("tos.rtd",,"OPEN_INT","."&amp;W$2&amp;W$1&amp;"P"&amp;$A36)*RTD("tos.rtd",,"GAMMA","."&amp;W$2&amp;W$1&amp;"P"&amp;$A36))/1000000,($A$4*$A$4*RTD("tos.rtd",,"OPEN_INT","."&amp;W$2&amp;W$1&amp;"C"&amp;$A36)*RTD("tos.rtd",,"GAMMA","."&amp;W$2&amp;W$1&amp;"C"&amp;$A36)-$A$4*$A$4*RTD("tos.rtd",,"OPEN_INT","."&amp;W$2&amp;W$1&amp;"P"&amp;$A36)*RTD("tos.rtd",,"GAMMA","."&amp;W$2&amp;W$1&amp;"P"&amp;$A36))/1000000),0),IF($A$2="SKEW",IFERROR(VALUE(IF(RTD("tos.rtd",,"IMPL_VOL","."&amp;W$2&amp;W$1&amp;"P"&amp;$A36)="N/A",0,RTD("tos.rtd",,"IMPL_VOL","."&amp;W$2&amp;W$1&amp;"P"&amp;$A36))),0)-IFERROR(VALUE(IF(RTD("tos.rtd",,"IMPL_VOL","."&amp;W$2&amp;W$1&amp;"C"&amp;$A36)="N/A",0,RTD("tos.rtd",,"IMPL_VOL","."&amp;W$2&amp;W$1&amp;"C"&amp;$A36))),0),IF($A$2="MAXPAIN",IF($A$4&gt;$A36,($A$4-$A36)*IF(RTD("tos.rtd",,"OPEN_INT","."&amp;W$2&amp;W$1&amp;"C"&amp;$A36)="N/A",0,RTD("tos.rtd",,"OPEN_INT","."&amp;W$2&amp;W$1&amp;"C"&amp;$A36)),0)+IF($A$4&lt;$A36,($A$5-$A$4)*IF(RTD("tos.rtd",,"OPEN_INT","."&amp;W$2&amp;W$1&amp;"P"&amp;$A36)="N/A",0,RTD("tos.rtd",,"OPEN_INT","."&amp;W$2&amp;W$1&amp;"P"&amp;$A36)),0),IF($X$1="ABS",IF(RTD("tos.rtd",,$A$2,"."&amp;W$2&amp;W$1&amp;"C"&amp;$A36)="N/A",0,RTD("tos.rtd",,$A$2,"."&amp;W$2&amp;W$1&amp;"C"&amp;$A36))+IF(RTD("tos.rtd",,$A$2,"."&amp;W$2&amp;W$1&amp;"P"&amp;$A36)="N/A",0,RTD("tos.rtd",,$A$2,"."&amp;W$2&amp;W$1&amp;"P"&amp;$A36)),IF(RTD("tos.rtd",,$A$2,"."&amp;W$2&amp;W$1&amp;"C"&amp;$A36)="N/A",0,RTD("tos.rtd",,$A$2,"."&amp;W$2&amp;W$1&amp;"C"&amp;$A36))-IF(RTD("tos.rtd",,$A$2,"."&amp;W$2&amp;W$1&amp;"P"&amp;$A36)="N/A",0,RTD("tos.rtd",,$A$2,"."&amp;W$2&amp;W$1&amp;"P"&amp;$A36))))))))))</f>
        <v>0</v>
      </c>
      <c r="X36" s="57">
        <f t="shared" ca="1" si="7"/>
        <v>8461</v>
      </c>
      <c r="Y36" s="27">
        <f t="shared" ca="1" si="8"/>
        <v>8461</v>
      </c>
      <c r="Z36" s="27">
        <f t="shared" ca="1" si="9"/>
        <v>318.33333333333331</v>
      </c>
      <c r="AA36" s="27">
        <f t="shared" si="10"/>
        <v>7981750</v>
      </c>
      <c r="AB36" s="18">
        <f>MAX(0, $A36-AB$4)*IF(RTD("tos.rtd",,"OPEN_INT","."&amp;$AA$3&amp;$AA$4&amp;"C"&amp;AB$4)="N/A",0,RTD("tos.rtd",,"OPEN_INT","."&amp;$AA$3&amp;$AA$4&amp;"C"&amp;AB$4))*100 + MAX(0, AB$4-$A36)*IF(RTD("tos.rtd",,"OPEN_INT","."&amp;$AA$3&amp;$AA$4&amp;"P"&amp;AB$4)="N/A",0,RTD("tos.rtd",,"OPEN_INT","."&amp;$AA$3&amp;$AA$4&amp;"P"&amp;AB$4))*100</f>
        <v>0</v>
      </c>
      <c r="AC36" s="18">
        <f>MAX(0, $A36-AC$4)*IF(RTD("tos.rtd",,"OPEN_INT","."&amp;$AA$3&amp;$AA$4&amp;"C"&amp;AC$4)="N/A",0,RTD("tos.rtd",,"OPEN_INT","."&amp;$AA$3&amp;$AA$4&amp;"C"&amp;AC$4))*100 + MAX(0, AC$4-$A36)*IF(RTD("tos.rtd",,"OPEN_INT","."&amp;$AA$3&amp;$AA$4&amp;"P"&amp;AC$4)="N/A",0,RTD("tos.rtd",,"OPEN_INT","."&amp;$AA$3&amp;$AA$4&amp;"P"&amp;AC$4))*100</f>
        <v>0</v>
      </c>
      <c r="AD36" s="18">
        <f>MAX(0, $A36-AD$4)*IF(RTD("tos.rtd",,"OPEN_INT","."&amp;$AA$3&amp;$AA$4&amp;"C"&amp;AD$4)="N/A",0,RTD("tos.rtd",,"OPEN_INT","."&amp;$AA$3&amp;$AA$4&amp;"C"&amp;AD$4))*100 + MAX(0, AD$4-$A36)*IF(RTD("tos.rtd",,"OPEN_INT","."&amp;$AA$3&amp;$AA$4&amp;"P"&amp;AD$4)="N/A",0,RTD("tos.rtd",,"OPEN_INT","."&amp;$AA$3&amp;$AA$4&amp;"P"&amp;AD$4))*100</f>
        <v>0</v>
      </c>
      <c r="AE36" s="18">
        <f>MAX(0, $A36-AE$4)*IF(RTD("tos.rtd",,"OPEN_INT","."&amp;$AA$3&amp;$AA$4&amp;"C"&amp;AE$4)="N/A",0,RTD("tos.rtd",,"OPEN_INT","."&amp;$AA$3&amp;$AA$4&amp;"C"&amp;AE$4))*100 + MAX(0, AE$4-$A36)*IF(RTD("tos.rtd",,"OPEN_INT","."&amp;$AA$3&amp;$AA$4&amp;"P"&amp;AE$4)="N/A",0,RTD("tos.rtd",,"OPEN_INT","."&amp;$AA$3&amp;$AA$4&amp;"P"&amp;AE$4))*100</f>
        <v>0</v>
      </c>
      <c r="AF36" s="18">
        <f>MAX(0, $A36-AF$4)*IF(RTD("tos.rtd",,"OPEN_INT","."&amp;$AA$3&amp;$AA$4&amp;"C"&amp;AF$4)="N/A",0,RTD("tos.rtd",,"OPEN_INT","."&amp;$AA$3&amp;$AA$4&amp;"C"&amp;AF$4))*100 + MAX(0, AF$4-$A36)*IF(RTD("tos.rtd",,"OPEN_INT","."&amp;$AA$3&amp;$AA$4&amp;"P"&amp;AF$4)="N/A",0,RTD("tos.rtd",,"OPEN_INT","."&amp;$AA$3&amp;$AA$4&amp;"P"&amp;AF$4))*100</f>
        <v>0</v>
      </c>
      <c r="AG36" s="18">
        <f>MAX(0, $A36-AG$4)*IF(RTD("tos.rtd",,"OPEN_INT","."&amp;$AA$3&amp;$AA$4&amp;"C"&amp;AG$4)="N/A",0,RTD("tos.rtd",,"OPEN_INT","."&amp;$AA$3&amp;$AA$4&amp;"C"&amp;AG$4))*100 + MAX(0, AG$4-$A36)*IF(RTD("tos.rtd",,"OPEN_INT","."&amp;$AA$3&amp;$AA$4&amp;"P"&amp;AG$4)="N/A",0,RTD("tos.rtd",,"OPEN_INT","."&amp;$AA$3&amp;$AA$4&amp;"P"&amp;AG$4))*100</f>
        <v>0</v>
      </c>
      <c r="AH36" s="18">
        <f>MAX(0, $A36-AH$4)*IF(RTD("tos.rtd",,"OPEN_INT","."&amp;$AA$3&amp;$AA$4&amp;"C"&amp;AH$4)="N/A",0,RTD("tos.rtd",,"OPEN_INT","."&amp;$AA$3&amp;$AA$4&amp;"C"&amp;AH$4))*100 + MAX(0, AH$4-$A36)*IF(RTD("tos.rtd",,"OPEN_INT","."&amp;$AA$3&amp;$AA$4&amp;"P"&amp;AH$4)="N/A",0,RTD("tos.rtd",,"OPEN_INT","."&amp;$AA$3&amp;$AA$4&amp;"P"&amp;AH$4))*100</f>
        <v>0</v>
      </c>
      <c r="AI36" s="18">
        <f>MAX(0, $A36-AI$4)*IF(RTD("tos.rtd",,"OPEN_INT","."&amp;$AA$3&amp;$AA$4&amp;"C"&amp;AI$4)="N/A",0,RTD("tos.rtd",,"OPEN_INT","."&amp;$AA$3&amp;$AA$4&amp;"C"&amp;AI$4))*100 + MAX(0, AI$4-$A36)*IF(RTD("tos.rtd",,"OPEN_INT","."&amp;$AA$3&amp;$AA$4&amp;"P"&amp;AI$4)="N/A",0,RTD("tos.rtd",,"OPEN_INT","."&amp;$AA$3&amp;$AA$4&amp;"P"&amp;AI$4))*100</f>
        <v>3600</v>
      </c>
      <c r="AJ36" s="18">
        <f>MAX(0, $A36-AJ$4)*IF(RTD("tos.rtd",,"OPEN_INT","."&amp;$AA$3&amp;$AA$4&amp;"C"&amp;AJ$4)="N/A",0,RTD("tos.rtd",,"OPEN_INT","."&amp;$AA$3&amp;$AA$4&amp;"C"&amp;AJ$4))*100 + MAX(0, AJ$4-$A36)*IF(RTD("tos.rtd",,"OPEN_INT","."&amp;$AA$3&amp;$AA$4&amp;"P"&amp;AJ$4)="N/A",0,RTD("tos.rtd",,"OPEN_INT","."&amp;$AA$3&amp;$AA$4&amp;"P"&amp;AJ$4))*100</f>
        <v>9200</v>
      </c>
      <c r="AK36" s="18">
        <f>MAX(0, $A36-AK$4)*IF(RTD("tos.rtd",,"OPEN_INT","."&amp;$AA$3&amp;$AA$4&amp;"C"&amp;AK$4)="N/A",0,RTD("tos.rtd",,"OPEN_INT","."&amp;$AA$3&amp;$AA$4&amp;"C"&amp;AK$4))*100 + MAX(0, AK$4-$A36)*IF(RTD("tos.rtd",,"OPEN_INT","."&amp;$AA$3&amp;$AA$4&amp;"P"&amp;AK$4)="N/A",0,RTD("tos.rtd",,"OPEN_INT","."&amp;$AA$3&amp;$AA$4&amp;"P"&amp;AK$4))*100</f>
        <v>0</v>
      </c>
      <c r="AL36" s="18">
        <f>MAX(0, $A36-AL$4)*IF(RTD("tos.rtd",,"OPEN_INT","."&amp;$AA$3&amp;$AA$4&amp;"C"&amp;AL$4)="N/A",0,RTD("tos.rtd",,"OPEN_INT","."&amp;$AA$3&amp;$AA$4&amp;"C"&amp;AL$4))*100 + MAX(0, AL$4-$A36)*IF(RTD("tos.rtd",,"OPEN_INT","."&amp;$AA$3&amp;$AA$4&amp;"P"&amp;AL$4)="N/A",0,RTD("tos.rtd",,"OPEN_INT","."&amp;$AA$3&amp;$AA$4&amp;"P"&amp;AL$4))*100</f>
        <v>0</v>
      </c>
      <c r="AM36" s="18">
        <f>MAX(0, $A36-AM$4)*IF(RTD("tos.rtd",,"OPEN_INT","."&amp;$AA$3&amp;$AA$4&amp;"C"&amp;AM$4)="N/A",0,RTD("tos.rtd",,"OPEN_INT","."&amp;$AA$3&amp;$AA$4&amp;"C"&amp;AM$4))*100 + MAX(0, AM$4-$A36)*IF(RTD("tos.rtd",,"OPEN_INT","."&amp;$AA$3&amp;$AA$4&amp;"P"&amp;AM$4)="N/A",0,RTD("tos.rtd",,"OPEN_INT","."&amp;$AA$3&amp;$AA$4&amp;"P"&amp;AM$4))*100</f>
        <v>0</v>
      </c>
      <c r="AN36" s="18">
        <f>MAX(0, $A36-AN$4)*IF(RTD("tos.rtd",,"OPEN_INT","."&amp;$AA$3&amp;$AA$4&amp;"C"&amp;AN$4)="N/A",0,RTD("tos.rtd",,"OPEN_INT","."&amp;$AA$3&amp;$AA$4&amp;"C"&amp;AN$4))*100 + MAX(0, AN$4-$A36)*IF(RTD("tos.rtd",,"OPEN_INT","."&amp;$AA$3&amp;$AA$4&amp;"P"&amp;AN$4)="N/A",0,RTD("tos.rtd",,"OPEN_INT","."&amp;$AA$3&amp;$AA$4&amp;"P"&amp;AN$4))*100</f>
        <v>0</v>
      </c>
      <c r="AO36" s="18">
        <f>MAX(0, $A36-AO$4)*IF(RTD("tos.rtd",,"OPEN_INT","."&amp;$AA$3&amp;$AA$4&amp;"C"&amp;AO$4)="N/A",0,RTD("tos.rtd",,"OPEN_INT","."&amp;$AA$3&amp;$AA$4&amp;"C"&amp;AO$4))*100 + MAX(0, AO$4-$A36)*IF(RTD("tos.rtd",,"OPEN_INT","."&amp;$AA$3&amp;$AA$4&amp;"P"&amp;AO$4)="N/A",0,RTD("tos.rtd",,"OPEN_INT","."&amp;$AA$3&amp;$AA$4&amp;"P"&amp;AO$4))*100</f>
        <v>108000</v>
      </c>
      <c r="AP36" s="18">
        <f>MAX(0, $A36-AP$4)*IF(RTD("tos.rtd",,"OPEN_INT","."&amp;$AA$3&amp;$AA$4&amp;"C"&amp;AP$4)="N/A",0,RTD("tos.rtd",,"OPEN_INT","."&amp;$AA$3&amp;$AA$4&amp;"C"&amp;AP$4))*100 + MAX(0, AP$4-$A36)*IF(RTD("tos.rtd",,"OPEN_INT","."&amp;$AA$3&amp;$AA$4&amp;"P"&amp;AP$4)="N/A",0,RTD("tos.rtd",,"OPEN_INT","."&amp;$AA$3&amp;$AA$4&amp;"P"&amp;AP$4))*100</f>
        <v>0</v>
      </c>
      <c r="AQ36" s="18">
        <f>MAX(0, $A36-AQ$4)*IF(RTD("tos.rtd",,"OPEN_INT","."&amp;$AA$3&amp;$AA$4&amp;"C"&amp;AQ$4)="N/A",0,RTD("tos.rtd",,"OPEN_INT","."&amp;$AA$3&amp;$AA$4&amp;"C"&amp;AQ$4))*100 + MAX(0, AQ$4-$A36)*IF(RTD("tos.rtd",,"OPEN_INT","."&amp;$AA$3&amp;$AA$4&amp;"P"&amp;AQ$4)="N/A",0,RTD("tos.rtd",,"OPEN_INT","."&amp;$AA$3&amp;$AA$4&amp;"P"&amp;AQ$4))*100</f>
        <v>42400</v>
      </c>
      <c r="AR36" s="18">
        <f>MAX(0, $A36-AR$4)*IF(RTD("tos.rtd",,"OPEN_INT","."&amp;$AA$3&amp;$AA$4&amp;"C"&amp;AR$4)="N/A",0,RTD("tos.rtd",,"OPEN_INT","."&amp;$AA$3&amp;$AA$4&amp;"C"&amp;AR$4))*100 + MAX(0, AR$4-$A36)*IF(RTD("tos.rtd",,"OPEN_INT","."&amp;$AA$3&amp;$AA$4&amp;"P"&amp;AR$4)="N/A",0,RTD("tos.rtd",,"OPEN_INT","."&amp;$AA$3&amp;$AA$4&amp;"P"&amp;AR$4))*100</f>
        <v>4500</v>
      </c>
      <c r="AS36" s="18">
        <f>MAX(0, $A36-AS$4)*IF(RTD("tos.rtd",,"OPEN_INT","."&amp;$AA$3&amp;$AA$4&amp;"C"&amp;AS$4)="N/A",0,RTD("tos.rtd",,"OPEN_INT","."&amp;$AA$3&amp;$AA$4&amp;"C"&amp;AS$4))*100 + MAX(0, AS$4-$A36)*IF(RTD("tos.rtd",,"OPEN_INT","."&amp;$AA$3&amp;$AA$4&amp;"P"&amp;AS$4)="N/A",0,RTD("tos.rtd",,"OPEN_INT","."&amp;$AA$3&amp;$AA$4&amp;"P"&amp;AS$4))*100</f>
        <v>43400</v>
      </c>
      <c r="AT36" s="18">
        <f>MAX(0, $A36-AT$4)*IF(RTD("tos.rtd",,"OPEN_INT","."&amp;$AA$3&amp;$AA$4&amp;"C"&amp;AT$4)="N/A",0,RTD("tos.rtd",,"OPEN_INT","."&amp;$AA$3&amp;$AA$4&amp;"C"&amp;AT$4))*100 + MAX(0, AT$4-$A36)*IF(RTD("tos.rtd",,"OPEN_INT","."&amp;$AA$3&amp;$AA$4&amp;"P"&amp;AT$4)="N/A",0,RTD("tos.rtd",,"OPEN_INT","."&amp;$AA$3&amp;$AA$4&amp;"P"&amp;AT$4))*100</f>
        <v>45500</v>
      </c>
      <c r="AU36" s="18">
        <f>MAX(0, $A36-AU$4)*IF(RTD("tos.rtd",,"OPEN_INT","."&amp;$AA$3&amp;$AA$4&amp;"C"&amp;AU$4)="N/A",0,RTD("tos.rtd",,"OPEN_INT","."&amp;$AA$3&amp;$AA$4&amp;"C"&amp;AU$4))*100 + MAX(0, AU$4-$A36)*IF(RTD("tos.rtd",,"OPEN_INT","."&amp;$AA$3&amp;$AA$4&amp;"P"&amp;AU$4)="N/A",0,RTD("tos.rtd",,"OPEN_INT","."&amp;$AA$3&amp;$AA$4&amp;"P"&amp;AU$4))*100</f>
        <v>24000</v>
      </c>
      <c r="AV36" s="18">
        <f>MAX(0, $A36-AV$4)*IF(RTD("tos.rtd",,"OPEN_INT","."&amp;$AA$3&amp;$AA$4&amp;"C"&amp;AV$4)="N/A",0,RTD("tos.rtd",,"OPEN_INT","."&amp;$AA$3&amp;$AA$4&amp;"C"&amp;AV$4))*100 + MAX(0, AV$4-$A36)*IF(RTD("tos.rtd",,"OPEN_INT","."&amp;$AA$3&amp;$AA$4&amp;"P"&amp;AV$4)="N/A",0,RTD("tos.rtd",,"OPEN_INT","."&amp;$AA$3&amp;$AA$4&amp;"P"&amp;AV$4))*100</f>
        <v>88550</v>
      </c>
      <c r="AW36" s="18">
        <f>MAX(0, $A36-AW$4)*IF(RTD("tos.rtd",,"OPEN_INT","."&amp;$AA$3&amp;$AA$4&amp;"C"&amp;AW$4)="N/A",0,RTD("tos.rtd",,"OPEN_INT","."&amp;$AA$3&amp;$AA$4&amp;"C"&amp;AW$4))*100 + MAX(0, AW$4-$A36)*IF(RTD("tos.rtd",,"OPEN_INT","."&amp;$AA$3&amp;$AA$4&amp;"P"&amp;AW$4)="N/A",0,RTD("tos.rtd",,"OPEN_INT","."&amp;$AA$3&amp;$AA$4&amp;"P"&amp;AW$4))*100</f>
        <v>101000</v>
      </c>
      <c r="AX36" s="18">
        <f>MAX(0, $A36-AX$4)*IF(RTD("tos.rtd",,"OPEN_INT","."&amp;$AA$3&amp;$AA$4&amp;"C"&amp;AX$4)="N/A",0,RTD("tos.rtd",,"OPEN_INT","."&amp;$AA$3&amp;$AA$4&amp;"C"&amp;AX$4))*100 + MAX(0, AX$4-$A36)*IF(RTD("tos.rtd",,"OPEN_INT","."&amp;$AA$3&amp;$AA$4&amp;"P"&amp;AX$4)="N/A",0,RTD("tos.rtd",,"OPEN_INT","."&amp;$AA$3&amp;$AA$4&amp;"P"&amp;AX$4))*100</f>
        <v>111150</v>
      </c>
      <c r="AY36" s="18">
        <f>MAX(0, $A36-AY$4)*IF(RTD("tos.rtd",,"OPEN_INT","."&amp;$AA$3&amp;$AA$4&amp;"C"&amp;AY$4)="N/A",0,RTD("tos.rtd",,"OPEN_INT","."&amp;$AA$3&amp;$AA$4&amp;"C"&amp;AY$4))*100 + MAX(0, AY$4-$A36)*IF(RTD("tos.rtd",,"OPEN_INT","."&amp;$AA$3&amp;$AA$4&amp;"P"&amp;AY$4)="N/A",0,RTD("tos.rtd",,"OPEN_INT","."&amp;$AA$3&amp;$AA$4&amp;"P"&amp;AY$4))*100</f>
        <v>829600</v>
      </c>
      <c r="AZ36" s="18">
        <f>MAX(0, $A36-AZ$4)*IF(RTD("tos.rtd",,"OPEN_INT","."&amp;$AA$3&amp;$AA$4&amp;"C"&amp;AZ$4)="N/A",0,RTD("tos.rtd",,"OPEN_INT","."&amp;$AA$3&amp;$AA$4&amp;"C"&amp;AZ$4))*100 + MAX(0, AZ$4-$A36)*IF(RTD("tos.rtd",,"OPEN_INT","."&amp;$AA$3&amp;$AA$4&amp;"P"&amp;AZ$4)="N/A",0,RTD("tos.rtd",,"OPEN_INT","."&amp;$AA$3&amp;$AA$4&amp;"P"&amp;AZ$4))*100</f>
        <v>198800</v>
      </c>
      <c r="BA36" s="18">
        <f>MAX(0, $A36-BA$4)*IF(RTD("tos.rtd",,"OPEN_INT","."&amp;$AA$3&amp;$AA$4&amp;"C"&amp;BA$4)="N/A",0,RTD("tos.rtd",,"OPEN_INT","."&amp;$AA$3&amp;$AA$4&amp;"C"&amp;BA$4))*100 + MAX(0, BA$4-$A36)*IF(RTD("tos.rtd",,"OPEN_INT","."&amp;$AA$3&amp;$AA$4&amp;"P"&amp;BA$4)="N/A",0,RTD("tos.rtd",,"OPEN_INT","."&amp;$AA$3&amp;$AA$4&amp;"P"&amp;BA$4))*100</f>
        <v>702000</v>
      </c>
      <c r="BB36" s="18">
        <f>MAX(0, $A36-BB$4)*IF(RTD("tos.rtd",,"OPEN_INT","."&amp;$AA$3&amp;$AA$4&amp;"C"&amp;BB$4)="N/A",0,RTD("tos.rtd",,"OPEN_INT","."&amp;$AA$3&amp;$AA$4&amp;"C"&amp;BB$4))*100 + MAX(0, BB$4-$A36)*IF(RTD("tos.rtd",,"OPEN_INT","."&amp;$AA$3&amp;$AA$4&amp;"P"&amp;BB$4)="N/A",0,RTD("tos.rtd",,"OPEN_INT","."&amp;$AA$3&amp;$AA$4&amp;"P"&amp;BB$4))*100</f>
        <v>571000</v>
      </c>
      <c r="BC36" s="18">
        <f>MAX(0, $A36-BC$4)*IF(RTD("tos.rtd",,"OPEN_INT","."&amp;$AA$3&amp;$AA$4&amp;"C"&amp;BC$4)="N/A",0,RTD("tos.rtd",,"OPEN_INT","."&amp;$AA$3&amp;$AA$4&amp;"C"&amp;BC$4))*100 + MAX(0, BC$4-$A36)*IF(RTD("tos.rtd",,"OPEN_INT","."&amp;$AA$3&amp;$AA$4&amp;"P"&amp;BC$4)="N/A",0,RTD("tos.rtd",,"OPEN_INT","."&amp;$AA$3&amp;$AA$4&amp;"P"&amp;BC$4))*100</f>
        <v>1530200</v>
      </c>
      <c r="BD36" s="18">
        <f>MAX(0, $A36-BD$4)*IF(RTD("tos.rtd",,"OPEN_INT","."&amp;$AA$3&amp;$AA$4&amp;"C"&amp;BD$4)="N/A",0,RTD("tos.rtd",,"OPEN_INT","."&amp;$AA$3&amp;$AA$4&amp;"C"&amp;BD$4))*100 + MAX(0, BD$4-$A36)*IF(RTD("tos.rtd",,"OPEN_INT","."&amp;$AA$3&amp;$AA$4&amp;"P"&amp;BD$4)="N/A",0,RTD("tos.rtd",,"OPEN_INT","."&amp;$AA$3&amp;$AA$4&amp;"P"&amp;BD$4))*100</f>
        <v>1473150</v>
      </c>
      <c r="BE36" s="18">
        <f>MAX(0, $A36-BE$4)*IF(RTD("tos.rtd",,"OPEN_INT","."&amp;$AA$3&amp;$AA$4&amp;"C"&amp;BE$4)="N/A",0,RTD("tos.rtd",,"OPEN_INT","."&amp;$AA$3&amp;$AA$4&amp;"C"&amp;BE$4))*100 + MAX(0, BE$4-$A36)*IF(RTD("tos.rtd",,"OPEN_INT","."&amp;$AA$3&amp;$AA$4&amp;"P"&amp;BE$4)="N/A",0,RTD("tos.rtd",,"OPEN_INT","."&amp;$AA$3&amp;$AA$4&amp;"P"&amp;BE$4))*100</f>
        <v>1111600</v>
      </c>
      <c r="BF36" s="18">
        <f>MAX(0, $A36-BF$4)*IF(RTD("tos.rtd",,"OPEN_INT","."&amp;$AA$3&amp;$AA$4&amp;"C"&amp;BF$4)="N/A",0,RTD("tos.rtd",,"OPEN_INT","."&amp;$AA$3&amp;$AA$4&amp;"C"&amp;BF$4))*100 + MAX(0, BF$4-$A36)*IF(RTD("tos.rtd",,"OPEN_INT","."&amp;$AA$3&amp;$AA$4&amp;"P"&amp;BF$4)="N/A",0,RTD("tos.rtd",,"OPEN_INT","."&amp;$AA$3&amp;$AA$4&amp;"P"&amp;BF$4))*100</f>
        <v>695450</v>
      </c>
      <c r="BG36" s="18">
        <f>MAX(0, $A36-BG$4)*IF(RTD("tos.rtd",,"OPEN_INT","."&amp;$AA$3&amp;$AA$4&amp;"C"&amp;BG$4)="N/A",0,RTD("tos.rtd",,"OPEN_INT","."&amp;$AA$3&amp;$AA$4&amp;"C"&amp;BG$4))*100 + MAX(0, BG$4-$A36)*IF(RTD("tos.rtd",,"OPEN_INT","."&amp;$AA$3&amp;$AA$4&amp;"P"&amp;BG$4)="N/A",0,RTD("tos.rtd",,"OPEN_INT","."&amp;$AA$3&amp;$AA$4&amp;"P"&amp;BG$4))*100</f>
        <v>0</v>
      </c>
      <c r="BH36" s="18">
        <f>MAX(0, $A36-BH$4)*IF(RTD("tos.rtd",,"OPEN_INT","."&amp;$AA$3&amp;$AA$4&amp;"C"&amp;BH$4)="N/A",0,RTD("tos.rtd",,"OPEN_INT","."&amp;$AA$3&amp;$AA$4&amp;"C"&amp;BH$4))*100 + MAX(0, BH$4-$A36)*IF(RTD("tos.rtd",,"OPEN_INT","."&amp;$AA$3&amp;$AA$4&amp;"P"&amp;BH$4)="N/A",0,RTD("tos.rtd",,"OPEN_INT","."&amp;$AA$3&amp;$AA$4&amp;"P"&amp;BH$4))*100</f>
        <v>97150</v>
      </c>
      <c r="BI36" s="18">
        <f>MAX(0, $A36-BI$4)*IF(RTD("tos.rtd",,"OPEN_INT","."&amp;$AA$3&amp;$AA$4&amp;"C"&amp;BI$4)="N/A",0,RTD("tos.rtd",,"OPEN_INT","."&amp;$AA$3&amp;$AA$4&amp;"C"&amp;BI$4))*100 + MAX(0, BI$4-$A36)*IF(RTD("tos.rtd",,"OPEN_INT","."&amp;$AA$3&amp;$AA$4&amp;"P"&amp;BI$4)="N/A",0,RTD("tos.rtd",,"OPEN_INT","."&amp;$AA$3&amp;$AA$4&amp;"P"&amp;BI$4))*100</f>
        <v>84200</v>
      </c>
      <c r="BJ36" s="18">
        <f>MAX(0, $A36-BJ$4)*IF(RTD("tos.rtd",,"OPEN_INT","."&amp;$AA$3&amp;$AA$4&amp;"C"&amp;BJ$4)="N/A",0,RTD("tos.rtd",,"OPEN_INT","."&amp;$AA$3&amp;$AA$4&amp;"C"&amp;BJ$4))*100 + MAX(0, BJ$4-$A36)*IF(RTD("tos.rtd",,"OPEN_INT","."&amp;$AA$3&amp;$AA$4&amp;"P"&amp;BJ$4)="N/A",0,RTD("tos.rtd",,"OPEN_INT","."&amp;$AA$3&amp;$AA$4&amp;"P"&amp;BJ$4))*100</f>
        <v>22650</v>
      </c>
      <c r="BK36" s="18">
        <f>MAX(0, $A36-BK$4)*IF(RTD("tos.rtd",,"OPEN_INT","."&amp;$AA$3&amp;$AA$4&amp;"C"&amp;BK$4)="N/A",0,RTD("tos.rtd",,"OPEN_INT","."&amp;$AA$3&amp;$AA$4&amp;"C"&amp;BK$4))*100 + MAX(0, BK$4-$A36)*IF(RTD("tos.rtd",,"OPEN_INT","."&amp;$AA$3&amp;$AA$4&amp;"P"&amp;BK$4)="N/A",0,RTD("tos.rtd",,"OPEN_INT","."&amp;$AA$3&amp;$AA$4&amp;"P"&amp;BK$4))*100</f>
        <v>52200</v>
      </c>
      <c r="BL36" s="18">
        <f>MAX(0, $A36-BL$4)*IF(RTD("tos.rtd",,"OPEN_INT","."&amp;$AA$3&amp;$AA$4&amp;"C"&amp;BL$4)="N/A",0,RTD("tos.rtd",,"OPEN_INT","."&amp;$AA$3&amp;$AA$4&amp;"C"&amp;BL$4))*100 + MAX(0, BL$4-$A36)*IF(RTD("tos.rtd",,"OPEN_INT","."&amp;$AA$3&amp;$AA$4&amp;"P"&amp;BL$4)="N/A",0,RTD("tos.rtd",,"OPEN_INT","."&amp;$AA$3&amp;$AA$4&amp;"P"&amp;BL$4))*100</f>
        <v>4000</v>
      </c>
      <c r="BM36" s="18">
        <f>MAX(0, $A36-BM$4)*IF(RTD("tos.rtd",,"OPEN_INT","."&amp;$AA$3&amp;$AA$4&amp;"C"&amp;BM$4)="N/A",0,RTD("tos.rtd",,"OPEN_INT","."&amp;$AA$3&amp;$AA$4&amp;"C"&amp;BM$4))*100 + MAX(0, BM$4-$A36)*IF(RTD("tos.rtd",,"OPEN_INT","."&amp;$AA$3&amp;$AA$4&amp;"P"&amp;BM$4)="N/A",0,RTD("tos.rtd",,"OPEN_INT","."&amp;$AA$3&amp;$AA$4&amp;"P"&amp;BM$4))*100</f>
        <v>2400</v>
      </c>
      <c r="BN36" s="18">
        <f>MAX(0, $A36-BN$4)*IF(RTD("tos.rtd",,"OPEN_INT","."&amp;$AA$3&amp;$AA$4&amp;"C"&amp;BN$4)="N/A",0,RTD("tos.rtd",,"OPEN_INT","."&amp;$AA$3&amp;$AA$4&amp;"C"&amp;BN$4))*100 + MAX(0, BN$4-$A36)*IF(RTD("tos.rtd",,"OPEN_INT","."&amp;$AA$3&amp;$AA$4&amp;"P"&amp;BN$4)="N/A",0,RTD("tos.rtd",,"OPEN_INT","."&amp;$AA$3&amp;$AA$4&amp;"P"&amp;BN$4))*100</f>
        <v>10850</v>
      </c>
      <c r="BO36" s="18">
        <f>MAX(0, $A36-BO$4)*IF(RTD("tos.rtd",,"OPEN_INT","."&amp;$AA$3&amp;$AA$4&amp;"C"&amp;BO$4)="N/A",0,RTD("tos.rtd",,"OPEN_INT","."&amp;$AA$3&amp;$AA$4&amp;"C"&amp;BO$4))*100 + MAX(0, BO$4-$A36)*IF(RTD("tos.rtd",,"OPEN_INT","."&amp;$AA$3&amp;$AA$4&amp;"P"&amp;BO$4)="N/A",0,RTD("tos.rtd",,"OPEN_INT","."&amp;$AA$3&amp;$AA$4&amp;"P"&amp;BO$4))*100</f>
        <v>15200</v>
      </c>
      <c r="BP36" s="18">
        <f>MAX(0, $A36-BP$4)*IF(RTD("tos.rtd",,"OPEN_INT","."&amp;$AA$3&amp;$AA$4&amp;"C"&amp;BP$4)="N/A",0,RTD("tos.rtd",,"OPEN_INT","."&amp;$AA$3&amp;$AA$4&amp;"C"&amp;BP$4))*100 + MAX(0, BP$4-$A36)*IF(RTD("tos.rtd",,"OPEN_INT","."&amp;$AA$3&amp;$AA$4&amp;"P"&amp;BP$4)="N/A",0,RTD("tos.rtd",,"OPEN_INT","."&amp;$AA$3&amp;$AA$4&amp;"P"&amp;BP$4))*100</f>
        <v>0</v>
      </c>
      <c r="BQ36" s="18">
        <f>MAX(0, $A36-BQ$4)*IF(RTD("tos.rtd",,"OPEN_INT","."&amp;$AA$3&amp;$AA$4&amp;"C"&amp;BQ$4)="N/A",0,RTD("tos.rtd",,"OPEN_INT","."&amp;$AA$3&amp;$AA$4&amp;"C"&amp;BQ$4))*100 + MAX(0, BQ$4-$A36)*IF(RTD("tos.rtd",,"OPEN_INT","."&amp;$AA$3&amp;$AA$4&amp;"P"&amp;BQ$4)="N/A",0,RTD("tos.rtd",,"OPEN_INT","."&amp;$AA$3&amp;$AA$4&amp;"P"&amp;BQ$4))*100</f>
        <v>0</v>
      </c>
      <c r="BR36" s="18">
        <f>MAX(0, $A36-BR$4)*IF(RTD("tos.rtd",,"OPEN_INT","."&amp;$AA$3&amp;$AA$4&amp;"C"&amp;BR$4)="N/A",0,RTD("tos.rtd",,"OPEN_INT","."&amp;$AA$3&amp;$AA$4&amp;"C"&amp;BR$4))*100 + MAX(0, BR$4-$A36)*IF(RTD("tos.rtd",,"OPEN_INT","."&amp;$AA$3&amp;$AA$4&amp;"P"&amp;BR$4)="N/A",0,RTD("tos.rtd",,"OPEN_INT","."&amp;$AA$3&amp;$AA$4&amp;"P"&amp;BR$4))*100</f>
        <v>0</v>
      </c>
      <c r="BS36" s="18">
        <f>MAX(0, $A36-BS$4)*IF(RTD("tos.rtd",,"OPEN_INT","."&amp;$AA$3&amp;$AA$4&amp;"C"&amp;BS$4)="N/A",0,RTD("tos.rtd",,"OPEN_INT","."&amp;$AA$3&amp;$AA$4&amp;"C"&amp;BS$4))*100 + MAX(0, BS$4-$A36)*IF(RTD("tos.rtd",,"OPEN_INT","."&amp;$AA$3&amp;$AA$4&amp;"P"&amp;BS$4)="N/A",0,RTD("tos.rtd",,"OPEN_INT","."&amp;$AA$3&amp;$AA$4&amp;"P"&amp;BS$4))*100</f>
        <v>0</v>
      </c>
      <c r="BT36" s="18">
        <f>MAX(0, $A36-BT$4)*IF(RTD("tos.rtd",,"OPEN_INT","."&amp;$AA$3&amp;$AA$4&amp;"C"&amp;BT$4)="N/A",0,RTD("tos.rtd",,"OPEN_INT","."&amp;$AA$3&amp;$AA$4&amp;"C"&amp;BT$4))*100 + MAX(0, BT$4-$A36)*IF(RTD("tos.rtd",,"OPEN_INT","."&amp;$AA$3&amp;$AA$4&amp;"P"&amp;BT$4)="N/A",0,RTD("tos.rtd",,"OPEN_INT","."&amp;$AA$3&amp;$AA$4&amp;"P"&amp;BT$4))*100</f>
        <v>0</v>
      </c>
      <c r="BU36" s="18">
        <f>MAX(0, $A36-BU$4)*IF(RTD("tos.rtd",,"OPEN_INT","."&amp;$AA$3&amp;$AA$4&amp;"C"&amp;BU$4)="N/A",0,RTD("tos.rtd",,"OPEN_INT","."&amp;$AA$3&amp;$AA$4&amp;"C"&amp;BU$4))*100 + MAX(0, BU$4-$A36)*IF(RTD("tos.rtd",,"OPEN_INT","."&amp;$AA$3&amp;$AA$4&amp;"P"&amp;BU$4)="N/A",0,RTD("tos.rtd",,"OPEN_INT","."&amp;$AA$3&amp;$AA$4&amp;"P"&amp;BU$4))*100</f>
        <v>0</v>
      </c>
      <c r="BV36" s="18">
        <f>MAX(0, $A36-BV$4)*IF(RTD("tos.rtd",,"OPEN_INT","."&amp;$AA$3&amp;$AA$4&amp;"C"&amp;BV$4)="N/A",0,RTD("tos.rtd",,"OPEN_INT","."&amp;$AA$3&amp;$AA$4&amp;"C"&amp;BV$4))*100 + MAX(0, BV$4-$A36)*IF(RTD("tos.rtd",,"OPEN_INT","."&amp;$AA$3&amp;$AA$4&amp;"P"&amp;BV$4)="N/A",0,RTD("tos.rtd",,"OPEN_INT","."&amp;$AA$3&amp;$AA$4&amp;"P"&amp;BV$4))*100</f>
        <v>0</v>
      </c>
    </row>
    <row r="37" spans="1:74" s="19" customFormat="1" ht="11.1" customHeight="1" thickBot="1" x14ac:dyDescent="0.3">
      <c r="A37" s="23">
        <f t="shared" si="11"/>
        <v>5.5</v>
      </c>
      <c r="B37" s="14">
        <f ca="1">IF($A$2="PREMIUM_OI",IFERROR(IF($X$1="ABS",(100*RTD("tos.rtd",,"OPEN_INT","."&amp;B$2&amp;B$1&amp;"C"&amp;$A37)*RTD("tos.rtd",,"LAST","."&amp;B$2&amp;B$1&amp;"C"&amp;$A37)+100*RTD("tos.rtd",,"OPEN_INT","."&amp;B$2&amp;B$1&amp;"P"&amp;$A37)*RTD("tos.rtd",,"LAST","."&amp;B$2&amp;B$1&amp;"P"&amp;$A37))/1000000,(100*RTD("tos.rtd",,"OPEN_INT","."&amp;B$2&amp;B$1&amp;"C"&amp;$A37)*RTD("tos.rtd",,"LAST","."&amp;B$2&amp;B$1&amp;"C"&amp;$A37)-100*RTD("tos.rtd",,"OPEN_INT","."&amp;B$2&amp;B$1&amp;"P"&amp;$A37)*RTD("tos.rtd",,"LAST","."&amp;B$2&amp;B$1&amp;"P"&amp;$A37))/1000000),0),IF($A$2="PREMIUM",IFERROR(IF($X$1="ABS",(100*RTD("tos.rtd",,"VOLUME","."&amp;B$2&amp;B$1&amp;"C"&amp;$A37)*RTD("tos.rtd",,"LAST","."&amp;B$2&amp;B$1&amp;"C"&amp;$A37)+100*RTD("tos.rtd",,"VOLUME","."&amp;B$2&amp;B$1&amp;"P"&amp;$A37)*RTD("tos.rtd",,"LAST","."&amp;B$2&amp;B$1&amp;"P"&amp;$A37))/1000000,(100*RTD("tos.rtd",,"VOLUME","."&amp;B$2&amp;B$1&amp;"C"&amp;$A37)*RTD("tos.rtd",,"LAST","."&amp;B$2&amp;B$1&amp;"C"&amp;$A37)-100*RTD("tos.rtd",,"VOLUME","."&amp;B$2&amp;B$1&amp;"P"&amp;$A37)*RTD("tos.rtd",,"LAST","."&amp;B$2&amp;B$1&amp;"P"&amp;$A37))/1000000),0),IF($A$2="DEX",IFERROR(IF($X$1="ABS",(100*RTD("tos.rtd",,"OPEN_INT","."&amp;B$2&amp;B$1&amp;"C"&amp;$A37)*RTD("tos.rtd",,"DELTA","."&amp;B$2&amp;B$1&amp;"C"&amp;$A37)+100*RTD("tos.rtd",,"OPEN_INT","."&amp;B$2&amp;B$1&amp;"P"&amp;$A37)*RTD("tos.rtd",,"DELTA","."&amp;B$2&amp;B$1&amp;"P"&amp;$A37))/1000,(100*RTD("tos.rtd",,"OPEN_INT","."&amp;B$2&amp;B$1&amp;"C"&amp;$A37)*RTD("tos.rtd",,"DELTA","."&amp;B$2&amp;B$1&amp;"C"&amp;$A37)-100*RTD("tos.rtd",,"OPEN_INT","."&amp;B$2&amp;B$1&amp;"P"&amp;$A37)*RTD("tos.rtd",,"DELTA","."&amp;B$2&amp;B$1&amp;"P"&amp;$A37))/1000),0),IF($A$2="VEX",IFERROR(IF($X$1="ABS",($A$4*$A$4*RTD("tos.rtd",,"VOLUME","."&amp;B$2&amp;B$1&amp;"C"&amp;$A37)*RTD("tos.rtd",,"GAMMA","."&amp;B$2&amp;B$1&amp;"C"&amp;$A37)+$A$4*$A$4*RTD("tos.rtd",,"VOLUME","."&amp;B$2&amp;B$1&amp;"P"&amp;$A37)*RTD("tos.rtd",,"GAMMA","."&amp;B$2&amp;B$1&amp;"P"&amp;$A37))/1000000,($A$4*$A$4*RTD("tos.rtd",,"VOLUME","."&amp;B$2&amp;B$1&amp;"C"&amp;$A37)*RTD("tos.rtd",,"GAMMA","."&amp;B$2&amp;B$1&amp;"C"&amp;$A37)-$A$4*$A$4*RTD("tos.rtd",,"VOLUME","."&amp;B$2&amp;B$1&amp;"P"&amp;$A37)*RTD("tos.rtd",,"GAMMA","."&amp;B$2&amp;B$1&amp;"P"&amp;$A37))/1000000),0),IF($A$2="GEX",IFERROR(IF($X$1="ABS",($A$4*$A$4*RTD("tos.rtd",,"OPEN_INT","."&amp;B$2&amp;B$1&amp;"C"&amp;$A37)*RTD("tos.rtd",,"GAMMA","."&amp;B$2&amp;B$1&amp;"C"&amp;$A37)+$A$4*$A$4*RTD("tos.rtd",,"OPEN_INT","."&amp;B$2&amp;B$1&amp;"P"&amp;$A37)*RTD("tos.rtd",,"GAMMA","."&amp;B$2&amp;B$1&amp;"P"&amp;$A37))/1000000,($A$4*$A$4*RTD("tos.rtd",,"OPEN_INT","."&amp;B$2&amp;B$1&amp;"C"&amp;$A37)*RTD("tos.rtd",,"GAMMA","."&amp;B$2&amp;B$1&amp;"C"&amp;$A37)-$A$4*$A$4*RTD("tos.rtd",,"OPEN_INT","."&amp;B$2&amp;B$1&amp;"P"&amp;$A37)*RTD("tos.rtd",,"GAMMA","."&amp;B$2&amp;B$1&amp;"P"&amp;$A37))/1000000),0),IF($A$2="SKEW",IFERROR(VALUE(IF(RTD("tos.rtd",,"IMPL_VOL","."&amp;B$2&amp;B$1&amp;"P"&amp;$A37)="N/A",0,RTD("tos.rtd",,"IMPL_VOL","."&amp;B$2&amp;B$1&amp;"P"&amp;$A37))),0)-IFERROR(VALUE(IF(RTD("tos.rtd",,"IMPL_VOL","."&amp;B$2&amp;B$1&amp;"C"&amp;$A37)="N/A",0,RTD("tos.rtd",,"IMPL_VOL","."&amp;B$2&amp;B$1&amp;"C"&amp;$A37))),0),IF($A$2="MAXPAIN",IF($A$4&gt;$A37,($A$4-$A37)*IF(RTD("tos.rtd",,"OPEN_INT","."&amp;B$2&amp;B$1&amp;"C"&amp;$A37)="N/A",0,RTD("tos.rtd",,"OPEN_INT","."&amp;B$2&amp;B$1&amp;"C"&amp;$A37)),0)+IF($A$4&lt;$A37,($A$5-$A$4)*IF(RTD("tos.rtd",,"OPEN_INT","."&amp;B$2&amp;B$1&amp;"P"&amp;$A37)="N/A",0,RTD("tos.rtd",,"OPEN_INT","."&amp;B$2&amp;B$1&amp;"P"&amp;$A37)),0),IF($X$1="ABS",IF(RTD("tos.rtd",,$A$2,"."&amp;B$2&amp;B$1&amp;"C"&amp;$A37)="N/A",0,RTD("tos.rtd",,$A$2,"."&amp;B$2&amp;B$1&amp;"C"&amp;$A37))+IF(RTD("tos.rtd",,$A$2,"."&amp;B$2&amp;B$1&amp;"P"&amp;$A37)="N/A",0,RTD("tos.rtd",,$A$2,"."&amp;B$2&amp;B$1&amp;"P"&amp;$A37)),IF(RTD("tos.rtd",,$A$2,"."&amp;B$2&amp;B$1&amp;"C"&amp;$A37)="N/A",0,RTD("tos.rtd",,$A$2,"."&amp;B$2&amp;B$1&amp;"C"&amp;$A37))-IF(RTD("tos.rtd",,$A$2,"."&amp;B$2&amp;B$1&amp;"P"&amp;$A37)="N/A",0,RTD("tos.rtd",,$A$2,"."&amp;B$2&amp;B$1&amp;"P"&amp;$A37))))))))))</f>
        <v>0</v>
      </c>
      <c r="C37" s="12">
        <f ca="1">IF($A$2="PREMIUM_OI",IFERROR(IF($X$1="ABS",(100*RTD("tos.rtd",,"OPEN_INT","."&amp;C$2&amp;C$1&amp;"C"&amp;$A37)*RTD("tos.rtd",,"LAST","."&amp;C$2&amp;C$1&amp;"C"&amp;$A37)+100*RTD("tos.rtd",,"OPEN_INT","."&amp;C$2&amp;C$1&amp;"P"&amp;$A37)*RTD("tos.rtd",,"LAST","."&amp;C$2&amp;C$1&amp;"P"&amp;$A37))/1000000,(100*RTD("tos.rtd",,"OPEN_INT","."&amp;C$2&amp;C$1&amp;"C"&amp;$A37)*RTD("tos.rtd",,"LAST","."&amp;C$2&amp;C$1&amp;"C"&amp;$A37)-100*RTD("tos.rtd",,"OPEN_INT","."&amp;C$2&amp;C$1&amp;"P"&amp;$A37)*RTD("tos.rtd",,"LAST","."&amp;C$2&amp;C$1&amp;"P"&amp;$A37))/1000000),0),IF($A$2="PREMIUM",IFERROR(IF($X$1="ABS",(100*RTD("tos.rtd",,"VOLUME","."&amp;C$2&amp;C$1&amp;"C"&amp;$A37)*RTD("tos.rtd",,"LAST","."&amp;C$2&amp;C$1&amp;"C"&amp;$A37)+100*RTD("tos.rtd",,"VOLUME","."&amp;C$2&amp;C$1&amp;"P"&amp;$A37)*RTD("tos.rtd",,"LAST","."&amp;C$2&amp;C$1&amp;"P"&amp;$A37))/1000000,(100*RTD("tos.rtd",,"VOLUME","."&amp;C$2&amp;C$1&amp;"C"&amp;$A37)*RTD("tos.rtd",,"LAST","."&amp;C$2&amp;C$1&amp;"C"&amp;$A37)-100*RTD("tos.rtd",,"VOLUME","."&amp;C$2&amp;C$1&amp;"P"&amp;$A37)*RTD("tos.rtd",,"LAST","."&amp;C$2&amp;C$1&amp;"P"&amp;$A37))/1000000),0),IF($A$2="DEX",IFERROR(IF($X$1="ABS",(100*RTD("tos.rtd",,"OPEN_INT","."&amp;C$2&amp;C$1&amp;"C"&amp;$A37)*RTD("tos.rtd",,"DELTA","."&amp;C$2&amp;C$1&amp;"C"&amp;$A37)+100*RTD("tos.rtd",,"OPEN_INT","."&amp;C$2&amp;C$1&amp;"P"&amp;$A37)*RTD("tos.rtd",,"DELTA","."&amp;C$2&amp;C$1&amp;"P"&amp;$A37))/1000,(100*RTD("tos.rtd",,"OPEN_INT","."&amp;C$2&amp;C$1&amp;"C"&amp;$A37)*RTD("tos.rtd",,"DELTA","."&amp;C$2&amp;C$1&amp;"C"&amp;$A37)-100*RTD("tos.rtd",,"OPEN_INT","."&amp;C$2&amp;C$1&amp;"P"&amp;$A37)*RTD("tos.rtd",,"DELTA","."&amp;C$2&amp;C$1&amp;"P"&amp;$A37))/1000),0),IF($A$2="VEX",IFERROR(IF($X$1="ABS",($A$4*$A$4*RTD("tos.rtd",,"VOLUME","."&amp;C$2&amp;C$1&amp;"C"&amp;$A37)*RTD("tos.rtd",,"GAMMA","."&amp;C$2&amp;C$1&amp;"C"&amp;$A37)+$A$4*$A$4*RTD("tos.rtd",,"VOLUME","."&amp;C$2&amp;C$1&amp;"P"&amp;$A37)*RTD("tos.rtd",,"GAMMA","."&amp;C$2&amp;C$1&amp;"P"&amp;$A37))/1000000,($A$4*$A$4*RTD("tos.rtd",,"VOLUME","."&amp;C$2&amp;C$1&amp;"C"&amp;$A37)*RTD("tos.rtd",,"GAMMA","."&amp;C$2&amp;C$1&amp;"C"&amp;$A37)-$A$4*$A$4*RTD("tos.rtd",,"VOLUME","."&amp;C$2&amp;C$1&amp;"P"&amp;$A37)*RTD("tos.rtd",,"GAMMA","."&amp;C$2&amp;C$1&amp;"P"&amp;$A37))/1000000),0),IF($A$2="GEX",IFERROR(IF($X$1="ABS",($A$4*$A$4*RTD("tos.rtd",,"OPEN_INT","."&amp;C$2&amp;C$1&amp;"C"&amp;$A37)*RTD("tos.rtd",,"GAMMA","."&amp;C$2&amp;C$1&amp;"C"&amp;$A37)+$A$4*$A$4*RTD("tos.rtd",,"OPEN_INT","."&amp;C$2&amp;C$1&amp;"P"&amp;$A37)*RTD("tos.rtd",,"GAMMA","."&amp;C$2&amp;C$1&amp;"P"&amp;$A37))/1000000,($A$4*$A$4*RTD("tos.rtd",,"OPEN_INT","."&amp;C$2&amp;C$1&amp;"C"&amp;$A37)*RTD("tos.rtd",,"GAMMA","."&amp;C$2&amp;C$1&amp;"C"&amp;$A37)-$A$4*$A$4*RTD("tos.rtd",,"OPEN_INT","."&amp;C$2&amp;C$1&amp;"P"&amp;$A37)*RTD("tos.rtd",,"GAMMA","."&amp;C$2&amp;C$1&amp;"P"&amp;$A37))/1000000),0),IF($A$2="SKEW",IFERROR(VALUE(IF(RTD("tos.rtd",,"IMPL_VOL","."&amp;C$2&amp;C$1&amp;"P"&amp;$A37)="N/A",0,RTD("tos.rtd",,"IMPL_VOL","."&amp;C$2&amp;C$1&amp;"P"&amp;$A37))),0)-IFERROR(VALUE(IF(RTD("tos.rtd",,"IMPL_VOL","."&amp;C$2&amp;C$1&amp;"C"&amp;$A37)="N/A",0,RTD("tos.rtd",,"IMPL_VOL","."&amp;C$2&amp;C$1&amp;"C"&amp;$A37))),0),IF($A$2="MAXPAIN",IF($A$4&gt;$A37,($A$4-$A37)*IF(RTD("tos.rtd",,"OPEN_INT","."&amp;C$2&amp;C$1&amp;"C"&amp;$A37)="N/A",0,RTD("tos.rtd",,"OPEN_INT","."&amp;C$2&amp;C$1&amp;"C"&amp;$A37)),0)+IF($A$4&lt;$A37,($A$5-$A$4)*IF(RTD("tos.rtd",,"OPEN_INT","."&amp;C$2&amp;C$1&amp;"P"&amp;$A37)="N/A",0,RTD("tos.rtd",,"OPEN_INT","."&amp;C$2&amp;C$1&amp;"P"&amp;$A37)),0),IF($X$1="ABS",IF(RTD("tos.rtd",,$A$2,"."&amp;C$2&amp;C$1&amp;"C"&amp;$A37)="N/A",0,RTD("tos.rtd",,$A$2,"."&amp;C$2&amp;C$1&amp;"C"&amp;$A37))+IF(RTD("tos.rtd",,$A$2,"."&amp;C$2&amp;C$1&amp;"P"&amp;$A37)="N/A",0,RTD("tos.rtd",,$A$2,"."&amp;C$2&amp;C$1&amp;"P"&amp;$A37)),IF(RTD("tos.rtd",,$A$2,"."&amp;C$2&amp;C$1&amp;"C"&amp;$A37)="N/A",0,RTD("tos.rtd",,$A$2,"."&amp;C$2&amp;C$1&amp;"C"&amp;$A37))-IF(RTD("tos.rtd",,$A$2,"."&amp;C$2&amp;C$1&amp;"P"&amp;$A37)="N/A",0,RTD("tos.rtd",,$A$2,"."&amp;C$2&amp;C$1&amp;"P"&amp;$A37))))))))))</f>
        <v>-4480</v>
      </c>
      <c r="D37" s="12">
        <f ca="1">IF($A$2="PREMIUM_OI",IFERROR(IF($X$1="ABS",(100*RTD("tos.rtd",,"OPEN_INT","."&amp;D$2&amp;D$1&amp;"C"&amp;$A37)*RTD("tos.rtd",,"LAST","."&amp;D$2&amp;D$1&amp;"C"&amp;$A37)+100*RTD("tos.rtd",,"OPEN_INT","."&amp;D$2&amp;D$1&amp;"P"&amp;$A37)*RTD("tos.rtd",,"LAST","."&amp;D$2&amp;D$1&amp;"P"&amp;$A37))/1000000,(100*RTD("tos.rtd",,"OPEN_INT","."&amp;D$2&amp;D$1&amp;"C"&amp;$A37)*RTD("tos.rtd",,"LAST","."&amp;D$2&amp;D$1&amp;"C"&amp;$A37)-100*RTD("tos.rtd",,"OPEN_INT","."&amp;D$2&amp;D$1&amp;"P"&amp;$A37)*RTD("tos.rtd",,"LAST","."&amp;D$2&amp;D$1&amp;"P"&amp;$A37))/1000000),0),IF($A$2="PREMIUM",IFERROR(IF($X$1="ABS",(100*RTD("tos.rtd",,"VOLUME","."&amp;D$2&amp;D$1&amp;"C"&amp;$A37)*RTD("tos.rtd",,"LAST","."&amp;D$2&amp;D$1&amp;"C"&amp;$A37)+100*RTD("tos.rtd",,"VOLUME","."&amp;D$2&amp;D$1&amp;"P"&amp;$A37)*RTD("tos.rtd",,"LAST","."&amp;D$2&amp;D$1&amp;"P"&amp;$A37))/1000000,(100*RTD("tos.rtd",,"VOLUME","."&amp;D$2&amp;D$1&amp;"C"&amp;$A37)*RTD("tos.rtd",,"LAST","."&amp;D$2&amp;D$1&amp;"C"&amp;$A37)-100*RTD("tos.rtd",,"VOLUME","."&amp;D$2&amp;D$1&amp;"P"&amp;$A37)*RTD("tos.rtd",,"LAST","."&amp;D$2&amp;D$1&amp;"P"&amp;$A37))/1000000),0),IF($A$2="DEX",IFERROR(IF($X$1="ABS",(100*RTD("tos.rtd",,"OPEN_INT","."&amp;D$2&amp;D$1&amp;"C"&amp;$A37)*RTD("tos.rtd",,"DELTA","."&amp;D$2&amp;D$1&amp;"C"&amp;$A37)+100*RTD("tos.rtd",,"OPEN_INT","."&amp;D$2&amp;D$1&amp;"P"&amp;$A37)*RTD("tos.rtd",,"DELTA","."&amp;D$2&amp;D$1&amp;"P"&amp;$A37))/1000,(100*RTD("tos.rtd",,"OPEN_INT","."&amp;D$2&amp;D$1&amp;"C"&amp;$A37)*RTD("tos.rtd",,"DELTA","."&amp;D$2&amp;D$1&amp;"C"&amp;$A37)-100*RTD("tos.rtd",,"OPEN_INT","."&amp;D$2&amp;D$1&amp;"P"&amp;$A37)*RTD("tos.rtd",,"DELTA","."&amp;D$2&amp;D$1&amp;"P"&amp;$A37))/1000),0),IF($A$2="VEX",IFERROR(IF($X$1="ABS",($A$4*$A$4*RTD("tos.rtd",,"VOLUME","."&amp;D$2&amp;D$1&amp;"C"&amp;$A37)*RTD("tos.rtd",,"GAMMA","."&amp;D$2&amp;D$1&amp;"C"&amp;$A37)+$A$4*$A$4*RTD("tos.rtd",,"VOLUME","."&amp;D$2&amp;D$1&amp;"P"&amp;$A37)*RTD("tos.rtd",,"GAMMA","."&amp;D$2&amp;D$1&amp;"P"&amp;$A37))/1000000,($A$4*$A$4*RTD("tos.rtd",,"VOLUME","."&amp;D$2&amp;D$1&amp;"C"&amp;$A37)*RTD("tos.rtd",,"GAMMA","."&amp;D$2&amp;D$1&amp;"C"&amp;$A37)-$A$4*$A$4*RTD("tos.rtd",,"VOLUME","."&amp;D$2&amp;D$1&amp;"P"&amp;$A37)*RTD("tos.rtd",,"GAMMA","."&amp;D$2&amp;D$1&amp;"P"&amp;$A37))/1000000),0),IF($A$2="GEX",IFERROR(IF($X$1="ABS",($A$4*$A$4*RTD("tos.rtd",,"OPEN_INT","."&amp;D$2&amp;D$1&amp;"C"&amp;$A37)*RTD("tos.rtd",,"GAMMA","."&amp;D$2&amp;D$1&amp;"C"&amp;$A37)+$A$4*$A$4*RTD("tos.rtd",,"OPEN_INT","."&amp;D$2&amp;D$1&amp;"P"&amp;$A37)*RTD("tos.rtd",,"GAMMA","."&amp;D$2&amp;D$1&amp;"P"&amp;$A37))/1000000,($A$4*$A$4*RTD("tos.rtd",,"OPEN_INT","."&amp;D$2&amp;D$1&amp;"C"&amp;$A37)*RTD("tos.rtd",,"GAMMA","."&amp;D$2&amp;D$1&amp;"C"&amp;$A37)-$A$4*$A$4*RTD("tos.rtd",,"OPEN_INT","."&amp;D$2&amp;D$1&amp;"P"&amp;$A37)*RTD("tos.rtd",,"GAMMA","."&amp;D$2&amp;D$1&amp;"P"&amp;$A37))/1000000),0),IF($A$2="SKEW",IFERROR(VALUE(IF(RTD("tos.rtd",,"IMPL_VOL","."&amp;D$2&amp;D$1&amp;"P"&amp;$A37)="N/A",0,RTD("tos.rtd",,"IMPL_VOL","."&amp;D$2&amp;D$1&amp;"P"&amp;$A37))),0)-IFERROR(VALUE(IF(RTD("tos.rtd",,"IMPL_VOL","."&amp;D$2&amp;D$1&amp;"C"&amp;$A37)="N/A",0,RTD("tos.rtd",,"IMPL_VOL","."&amp;D$2&amp;D$1&amp;"C"&amp;$A37))),0),IF($A$2="MAXPAIN",IF($A$4&gt;$A37,($A$4-$A37)*IF(RTD("tos.rtd",,"OPEN_INT","."&amp;D$2&amp;D$1&amp;"C"&amp;$A37)="N/A",0,RTD("tos.rtd",,"OPEN_INT","."&amp;D$2&amp;D$1&amp;"C"&amp;$A37)),0)+IF($A$4&lt;$A37,($A$5-$A$4)*IF(RTD("tos.rtd",,"OPEN_INT","."&amp;D$2&amp;D$1&amp;"P"&amp;$A37)="N/A",0,RTD("tos.rtd",,"OPEN_INT","."&amp;D$2&amp;D$1&amp;"P"&amp;$A37)),0),IF($X$1="ABS",IF(RTD("tos.rtd",,$A$2,"."&amp;D$2&amp;D$1&amp;"C"&amp;$A37)="N/A",0,RTD("tos.rtd",,$A$2,"."&amp;D$2&amp;D$1&amp;"C"&amp;$A37))+IF(RTD("tos.rtd",,$A$2,"."&amp;D$2&amp;D$1&amp;"P"&amp;$A37)="N/A",0,RTD("tos.rtd",,$A$2,"."&amp;D$2&amp;D$1&amp;"P"&amp;$A37)),IF(RTD("tos.rtd",,$A$2,"."&amp;D$2&amp;D$1&amp;"C"&amp;$A37)="N/A",0,RTD("tos.rtd",,$A$2,"."&amp;D$2&amp;D$1&amp;"C"&amp;$A37))-IF(RTD("tos.rtd",,$A$2,"."&amp;D$2&amp;D$1&amp;"P"&amp;$A37)="N/A",0,RTD("tos.rtd",,$A$2,"."&amp;D$2&amp;D$1&amp;"P"&amp;$A37))))))))))</f>
        <v>-2770</v>
      </c>
      <c r="E37" s="12">
        <f ca="1">IF($A$2="PREMIUM_OI",IFERROR(IF($X$1="ABS",(100*RTD("tos.rtd",,"OPEN_INT","."&amp;E$2&amp;E$1&amp;"C"&amp;$A37)*RTD("tos.rtd",,"LAST","."&amp;E$2&amp;E$1&amp;"C"&amp;$A37)+100*RTD("tos.rtd",,"OPEN_INT","."&amp;E$2&amp;E$1&amp;"P"&amp;$A37)*RTD("tos.rtd",,"LAST","."&amp;E$2&amp;E$1&amp;"P"&amp;$A37))/1000000,(100*RTD("tos.rtd",,"OPEN_INT","."&amp;E$2&amp;E$1&amp;"C"&amp;$A37)*RTD("tos.rtd",,"LAST","."&amp;E$2&amp;E$1&amp;"C"&amp;$A37)-100*RTD("tos.rtd",,"OPEN_INT","."&amp;E$2&amp;E$1&amp;"P"&amp;$A37)*RTD("tos.rtd",,"LAST","."&amp;E$2&amp;E$1&amp;"P"&amp;$A37))/1000000),0),IF($A$2="PREMIUM",IFERROR(IF($X$1="ABS",(100*RTD("tos.rtd",,"VOLUME","."&amp;E$2&amp;E$1&amp;"C"&amp;$A37)*RTD("tos.rtd",,"LAST","."&amp;E$2&amp;E$1&amp;"C"&amp;$A37)+100*RTD("tos.rtd",,"VOLUME","."&amp;E$2&amp;E$1&amp;"P"&amp;$A37)*RTD("tos.rtd",,"LAST","."&amp;E$2&amp;E$1&amp;"P"&amp;$A37))/1000000,(100*RTD("tos.rtd",,"VOLUME","."&amp;E$2&amp;E$1&amp;"C"&amp;$A37)*RTD("tos.rtd",,"LAST","."&amp;E$2&amp;E$1&amp;"C"&amp;$A37)-100*RTD("tos.rtd",,"VOLUME","."&amp;E$2&amp;E$1&amp;"P"&amp;$A37)*RTD("tos.rtd",,"LAST","."&amp;E$2&amp;E$1&amp;"P"&amp;$A37))/1000000),0),IF($A$2="DEX",IFERROR(IF($X$1="ABS",(100*RTD("tos.rtd",,"OPEN_INT","."&amp;E$2&amp;E$1&amp;"C"&amp;$A37)*RTD("tos.rtd",,"DELTA","."&amp;E$2&amp;E$1&amp;"C"&amp;$A37)+100*RTD("tos.rtd",,"OPEN_INT","."&amp;E$2&amp;E$1&amp;"P"&amp;$A37)*RTD("tos.rtd",,"DELTA","."&amp;E$2&amp;E$1&amp;"P"&amp;$A37))/1000,(100*RTD("tos.rtd",,"OPEN_INT","."&amp;E$2&amp;E$1&amp;"C"&amp;$A37)*RTD("tos.rtd",,"DELTA","."&amp;E$2&amp;E$1&amp;"C"&amp;$A37)-100*RTD("tos.rtd",,"OPEN_INT","."&amp;E$2&amp;E$1&amp;"P"&amp;$A37)*RTD("tos.rtd",,"DELTA","."&amp;E$2&amp;E$1&amp;"P"&amp;$A37))/1000),0),IF($A$2="VEX",IFERROR(IF($X$1="ABS",($A$4*$A$4*RTD("tos.rtd",,"VOLUME","."&amp;E$2&amp;E$1&amp;"C"&amp;$A37)*RTD("tos.rtd",,"GAMMA","."&amp;E$2&amp;E$1&amp;"C"&amp;$A37)+$A$4*$A$4*RTD("tos.rtd",,"VOLUME","."&amp;E$2&amp;E$1&amp;"P"&amp;$A37)*RTD("tos.rtd",,"GAMMA","."&amp;E$2&amp;E$1&amp;"P"&amp;$A37))/1000000,($A$4*$A$4*RTD("tos.rtd",,"VOLUME","."&amp;E$2&amp;E$1&amp;"C"&amp;$A37)*RTD("tos.rtd",,"GAMMA","."&amp;E$2&amp;E$1&amp;"C"&amp;$A37)-$A$4*$A$4*RTD("tos.rtd",,"VOLUME","."&amp;E$2&amp;E$1&amp;"P"&amp;$A37)*RTD("tos.rtd",,"GAMMA","."&amp;E$2&amp;E$1&amp;"P"&amp;$A37))/1000000),0),IF($A$2="GEX",IFERROR(IF($X$1="ABS",($A$4*$A$4*RTD("tos.rtd",,"OPEN_INT","."&amp;E$2&amp;E$1&amp;"C"&amp;$A37)*RTD("tos.rtd",,"GAMMA","."&amp;E$2&amp;E$1&amp;"C"&amp;$A37)+$A$4*$A$4*RTD("tos.rtd",,"OPEN_INT","."&amp;E$2&amp;E$1&amp;"P"&amp;$A37)*RTD("tos.rtd",,"GAMMA","."&amp;E$2&amp;E$1&amp;"P"&amp;$A37))/1000000,($A$4*$A$4*RTD("tos.rtd",,"OPEN_INT","."&amp;E$2&amp;E$1&amp;"C"&amp;$A37)*RTD("tos.rtd",,"GAMMA","."&amp;E$2&amp;E$1&amp;"C"&amp;$A37)-$A$4*$A$4*RTD("tos.rtd",,"OPEN_INT","."&amp;E$2&amp;E$1&amp;"P"&amp;$A37)*RTD("tos.rtd",,"GAMMA","."&amp;E$2&amp;E$1&amp;"P"&amp;$A37))/1000000),0),IF($A$2="SKEW",IFERROR(VALUE(IF(RTD("tos.rtd",,"IMPL_VOL","."&amp;E$2&amp;E$1&amp;"P"&amp;$A37)="N/A",0,RTD("tos.rtd",,"IMPL_VOL","."&amp;E$2&amp;E$1&amp;"P"&amp;$A37))),0)-IFERROR(VALUE(IF(RTD("tos.rtd",,"IMPL_VOL","."&amp;E$2&amp;E$1&amp;"C"&amp;$A37)="N/A",0,RTD("tos.rtd",,"IMPL_VOL","."&amp;E$2&amp;E$1&amp;"C"&amp;$A37))),0),IF($A$2="MAXPAIN",IF($A$4&gt;$A37,($A$4-$A37)*IF(RTD("tos.rtd",,"OPEN_INT","."&amp;E$2&amp;E$1&amp;"C"&amp;$A37)="N/A",0,RTD("tos.rtd",,"OPEN_INT","."&amp;E$2&amp;E$1&amp;"C"&amp;$A37)),0)+IF($A$4&lt;$A37,($A$5-$A$4)*IF(RTD("tos.rtd",,"OPEN_INT","."&amp;E$2&amp;E$1&amp;"P"&amp;$A37)="N/A",0,RTD("tos.rtd",,"OPEN_INT","."&amp;E$2&amp;E$1&amp;"P"&amp;$A37)),0),IF($X$1="ABS",IF(RTD("tos.rtd",,$A$2,"."&amp;E$2&amp;E$1&amp;"C"&amp;$A37)="N/A",0,RTD("tos.rtd",,$A$2,"."&amp;E$2&amp;E$1&amp;"C"&amp;$A37))+IF(RTD("tos.rtd",,$A$2,"."&amp;E$2&amp;E$1&amp;"P"&amp;$A37)="N/A",0,RTD("tos.rtd",,$A$2,"."&amp;E$2&amp;E$1&amp;"P"&amp;$A37)),IF(RTD("tos.rtd",,$A$2,"."&amp;E$2&amp;E$1&amp;"C"&amp;$A37)="N/A",0,RTD("tos.rtd",,$A$2,"."&amp;E$2&amp;E$1&amp;"C"&amp;$A37))-IF(RTD("tos.rtd",,$A$2,"."&amp;E$2&amp;E$1&amp;"P"&amp;$A37)="N/A",0,RTD("tos.rtd",,$A$2,"."&amp;E$2&amp;E$1&amp;"P"&amp;$A37))))))))))</f>
        <v>-533</v>
      </c>
      <c r="F37" s="12">
        <f ca="1">IF($A$2="PREMIUM_OI",IFERROR(IF($X$1="ABS",(100*RTD("tos.rtd",,"OPEN_INT","."&amp;F$2&amp;F$1&amp;"C"&amp;$A37)*RTD("tos.rtd",,"LAST","."&amp;F$2&amp;F$1&amp;"C"&amp;$A37)+100*RTD("tos.rtd",,"OPEN_INT","."&amp;F$2&amp;F$1&amp;"P"&amp;$A37)*RTD("tos.rtd",,"LAST","."&amp;F$2&amp;F$1&amp;"P"&amp;$A37))/1000000,(100*RTD("tos.rtd",,"OPEN_INT","."&amp;F$2&amp;F$1&amp;"C"&amp;$A37)*RTD("tos.rtd",,"LAST","."&amp;F$2&amp;F$1&amp;"C"&amp;$A37)-100*RTD("tos.rtd",,"OPEN_INT","."&amp;F$2&amp;F$1&amp;"P"&amp;$A37)*RTD("tos.rtd",,"LAST","."&amp;F$2&amp;F$1&amp;"P"&amp;$A37))/1000000),0),IF($A$2="PREMIUM",IFERROR(IF($X$1="ABS",(100*RTD("tos.rtd",,"VOLUME","."&amp;F$2&amp;F$1&amp;"C"&amp;$A37)*RTD("tos.rtd",,"LAST","."&amp;F$2&amp;F$1&amp;"C"&amp;$A37)+100*RTD("tos.rtd",,"VOLUME","."&amp;F$2&amp;F$1&amp;"P"&amp;$A37)*RTD("tos.rtd",,"LAST","."&amp;F$2&amp;F$1&amp;"P"&amp;$A37))/1000000,(100*RTD("tos.rtd",,"VOLUME","."&amp;F$2&amp;F$1&amp;"C"&amp;$A37)*RTD("tos.rtd",,"LAST","."&amp;F$2&amp;F$1&amp;"C"&amp;$A37)-100*RTD("tos.rtd",,"VOLUME","."&amp;F$2&amp;F$1&amp;"P"&amp;$A37)*RTD("tos.rtd",,"LAST","."&amp;F$2&amp;F$1&amp;"P"&amp;$A37))/1000000),0),IF($A$2="DEX",IFERROR(IF($X$1="ABS",(100*RTD("tos.rtd",,"OPEN_INT","."&amp;F$2&amp;F$1&amp;"C"&amp;$A37)*RTD("tos.rtd",,"DELTA","."&amp;F$2&amp;F$1&amp;"C"&amp;$A37)+100*RTD("tos.rtd",,"OPEN_INT","."&amp;F$2&amp;F$1&amp;"P"&amp;$A37)*RTD("tos.rtd",,"DELTA","."&amp;F$2&amp;F$1&amp;"P"&amp;$A37))/1000,(100*RTD("tos.rtd",,"OPEN_INT","."&amp;F$2&amp;F$1&amp;"C"&amp;$A37)*RTD("tos.rtd",,"DELTA","."&amp;F$2&amp;F$1&amp;"C"&amp;$A37)-100*RTD("tos.rtd",,"OPEN_INT","."&amp;F$2&amp;F$1&amp;"P"&amp;$A37)*RTD("tos.rtd",,"DELTA","."&amp;F$2&amp;F$1&amp;"P"&amp;$A37))/1000),0),IF($A$2="VEX",IFERROR(IF($X$1="ABS",($A$4*$A$4*RTD("tos.rtd",,"VOLUME","."&amp;F$2&amp;F$1&amp;"C"&amp;$A37)*RTD("tos.rtd",,"GAMMA","."&amp;F$2&amp;F$1&amp;"C"&amp;$A37)+$A$4*$A$4*RTD("tos.rtd",,"VOLUME","."&amp;F$2&amp;F$1&amp;"P"&amp;$A37)*RTD("tos.rtd",,"GAMMA","."&amp;F$2&amp;F$1&amp;"P"&amp;$A37))/1000000,($A$4*$A$4*RTD("tos.rtd",,"VOLUME","."&amp;F$2&amp;F$1&amp;"C"&amp;$A37)*RTD("tos.rtd",,"GAMMA","."&amp;F$2&amp;F$1&amp;"C"&amp;$A37)-$A$4*$A$4*RTD("tos.rtd",,"VOLUME","."&amp;F$2&amp;F$1&amp;"P"&amp;$A37)*RTD("tos.rtd",,"GAMMA","."&amp;F$2&amp;F$1&amp;"P"&amp;$A37))/1000000),0),IF($A$2="GEX",IFERROR(IF($X$1="ABS",($A$4*$A$4*RTD("tos.rtd",,"OPEN_INT","."&amp;F$2&amp;F$1&amp;"C"&amp;$A37)*RTD("tos.rtd",,"GAMMA","."&amp;F$2&amp;F$1&amp;"C"&amp;$A37)+$A$4*$A$4*RTD("tos.rtd",,"OPEN_INT","."&amp;F$2&amp;F$1&amp;"P"&amp;$A37)*RTD("tos.rtd",,"GAMMA","."&amp;F$2&amp;F$1&amp;"P"&amp;$A37))/1000000,($A$4*$A$4*RTD("tos.rtd",,"OPEN_INT","."&amp;F$2&amp;F$1&amp;"C"&amp;$A37)*RTD("tos.rtd",,"GAMMA","."&amp;F$2&amp;F$1&amp;"C"&amp;$A37)-$A$4*$A$4*RTD("tos.rtd",,"OPEN_INT","."&amp;F$2&amp;F$1&amp;"P"&amp;$A37)*RTD("tos.rtd",,"GAMMA","."&amp;F$2&amp;F$1&amp;"P"&amp;$A37))/1000000),0),IF($A$2="SKEW",IFERROR(VALUE(IF(RTD("tos.rtd",,"IMPL_VOL","."&amp;F$2&amp;F$1&amp;"P"&amp;$A37)="N/A",0,RTD("tos.rtd",,"IMPL_VOL","."&amp;F$2&amp;F$1&amp;"P"&amp;$A37))),0)-IFERROR(VALUE(IF(RTD("tos.rtd",,"IMPL_VOL","."&amp;F$2&amp;F$1&amp;"C"&amp;$A37)="N/A",0,RTD("tos.rtd",,"IMPL_VOL","."&amp;F$2&amp;F$1&amp;"C"&amp;$A37))),0),IF($A$2="MAXPAIN",IF($A$4&gt;$A37,($A$4-$A37)*IF(RTD("tos.rtd",,"OPEN_INT","."&amp;F$2&amp;F$1&amp;"C"&amp;$A37)="N/A",0,RTD("tos.rtd",,"OPEN_INT","."&amp;F$2&amp;F$1&amp;"C"&amp;$A37)),0)+IF($A$4&lt;$A37,($A$5-$A$4)*IF(RTD("tos.rtd",,"OPEN_INT","."&amp;F$2&amp;F$1&amp;"P"&amp;$A37)="N/A",0,RTD("tos.rtd",,"OPEN_INT","."&amp;F$2&amp;F$1&amp;"P"&amp;$A37)),0),IF($X$1="ABS",IF(RTD("tos.rtd",,$A$2,"."&amp;F$2&amp;F$1&amp;"C"&amp;$A37)="N/A",0,RTD("tos.rtd",,$A$2,"."&amp;F$2&amp;F$1&amp;"C"&amp;$A37))+IF(RTD("tos.rtd",,$A$2,"."&amp;F$2&amp;F$1&amp;"P"&amp;$A37)="N/A",0,RTD("tos.rtd",,$A$2,"."&amp;F$2&amp;F$1&amp;"P"&amp;$A37)),IF(RTD("tos.rtd",,$A$2,"."&amp;F$2&amp;F$1&amp;"C"&amp;$A37)="N/A",0,RTD("tos.rtd",,$A$2,"."&amp;F$2&amp;F$1&amp;"C"&amp;$A37))-IF(RTD("tos.rtd",,$A$2,"."&amp;F$2&amp;F$1&amp;"P"&amp;$A37)="N/A",0,RTD("tos.rtd",,$A$2,"."&amp;F$2&amp;F$1&amp;"P"&amp;$A37))))))))))</f>
        <v>-467</v>
      </c>
      <c r="G37" s="57">
        <f ca="1">IF($A$2="PREMIUM_OI",IFERROR(IF($X$1="ABS",(100*RTD("tos.rtd",,"OPEN_INT","."&amp;G$2&amp;G$1&amp;"C"&amp;$A37)*RTD("tos.rtd",,"LAST","."&amp;G$2&amp;G$1&amp;"C"&amp;$A37)+100*RTD("tos.rtd",,"OPEN_INT","."&amp;G$2&amp;G$1&amp;"P"&amp;$A37)*RTD("tos.rtd",,"LAST","."&amp;G$2&amp;G$1&amp;"P"&amp;$A37))/1000000,(100*RTD("tos.rtd",,"OPEN_INT","."&amp;G$2&amp;G$1&amp;"C"&amp;$A37)*RTD("tos.rtd",,"LAST","."&amp;G$2&amp;G$1&amp;"C"&amp;$A37)-100*RTD("tos.rtd",,"OPEN_INT","."&amp;G$2&amp;G$1&amp;"P"&amp;$A37)*RTD("tos.rtd",,"LAST","."&amp;G$2&amp;G$1&amp;"P"&amp;$A37))/1000000),0),IF($A$2="PREMIUM",IFERROR(IF($X$1="ABS",(100*RTD("tos.rtd",,"VOLUME","."&amp;G$2&amp;G$1&amp;"C"&amp;$A37)*RTD("tos.rtd",,"LAST","."&amp;G$2&amp;G$1&amp;"C"&amp;$A37)+100*RTD("tos.rtd",,"VOLUME","."&amp;G$2&amp;G$1&amp;"P"&amp;$A37)*RTD("tos.rtd",,"LAST","."&amp;G$2&amp;G$1&amp;"P"&amp;$A37))/1000000,(100*RTD("tos.rtd",,"VOLUME","."&amp;G$2&amp;G$1&amp;"C"&amp;$A37)*RTD("tos.rtd",,"LAST","."&amp;G$2&amp;G$1&amp;"C"&amp;$A37)-100*RTD("tos.rtd",,"VOLUME","."&amp;G$2&amp;G$1&amp;"P"&amp;$A37)*RTD("tos.rtd",,"LAST","."&amp;G$2&amp;G$1&amp;"P"&amp;$A37))/1000000),0),IF($A$2="DEX",IFERROR(IF($X$1="ABS",(100*RTD("tos.rtd",,"OPEN_INT","."&amp;G$2&amp;G$1&amp;"C"&amp;$A37)*RTD("tos.rtd",,"DELTA","."&amp;G$2&amp;G$1&amp;"C"&amp;$A37)+100*RTD("tos.rtd",,"OPEN_INT","."&amp;G$2&amp;G$1&amp;"P"&amp;$A37)*RTD("tos.rtd",,"DELTA","."&amp;G$2&amp;G$1&amp;"P"&amp;$A37))/1000,(100*RTD("tos.rtd",,"OPEN_INT","."&amp;G$2&amp;G$1&amp;"C"&amp;$A37)*RTD("tos.rtd",,"DELTA","."&amp;G$2&amp;G$1&amp;"C"&amp;$A37)-100*RTD("tos.rtd",,"OPEN_INT","."&amp;G$2&amp;G$1&amp;"P"&amp;$A37)*RTD("tos.rtd",,"DELTA","."&amp;G$2&amp;G$1&amp;"P"&amp;$A37))/1000),0),IF($A$2="VEX",IFERROR(IF($X$1="ABS",($A$4*$A$4*RTD("tos.rtd",,"VOLUME","."&amp;G$2&amp;G$1&amp;"C"&amp;$A37)*RTD("tos.rtd",,"GAMMA","."&amp;G$2&amp;G$1&amp;"C"&amp;$A37)+$A$4*$A$4*RTD("tos.rtd",,"VOLUME","."&amp;G$2&amp;G$1&amp;"P"&amp;$A37)*RTD("tos.rtd",,"GAMMA","."&amp;G$2&amp;G$1&amp;"P"&amp;$A37))/1000000,($A$4*$A$4*RTD("tos.rtd",,"VOLUME","."&amp;G$2&amp;G$1&amp;"C"&amp;$A37)*RTD("tos.rtd",,"GAMMA","."&amp;G$2&amp;G$1&amp;"C"&amp;$A37)-$A$4*$A$4*RTD("tos.rtd",,"VOLUME","."&amp;G$2&amp;G$1&amp;"P"&amp;$A37)*RTD("tos.rtd",,"GAMMA","."&amp;G$2&amp;G$1&amp;"P"&amp;$A37))/1000000),0),IF($A$2="GEX",IFERROR(IF($X$1="ABS",($A$4*$A$4*RTD("tos.rtd",,"OPEN_INT","."&amp;G$2&amp;G$1&amp;"C"&amp;$A37)*RTD("tos.rtd",,"GAMMA","."&amp;G$2&amp;G$1&amp;"C"&amp;$A37)+$A$4*$A$4*RTD("tos.rtd",,"OPEN_INT","."&amp;G$2&amp;G$1&amp;"P"&amp;$A37)*RTD("tos.rtd",,"GAMMA","."&amp;G$2&amp;G$1&amp;"P"&amp;$A37))/1000000,($A$4*$A$4*RTD("tos.rtd",,"OPEN_INT","."&amp;G$2&amp;G$1&amp;"C"&amp;$A37)*RTD("tos.rtd",,"GAMMA","."&amp;G$2&amp;G$1&amp;"C"&amp;$A37)-$A$4*$A$4*RTD("tos.rtd",,"OPEN_INT","."&amp;G$2&amp;G$1&amp;"P"&amp;$A37)*RTD("tos.rtd",,"GAMMA","."&amp;G$2&amp;G$1&amp;"P"&amp;$A37))/1000000),0),IF($A$2="SKEW",IFERROR(VALUE(IF(RTD("tos.rtd",,"IMPL_VOL","."&amp;G$2&amp;G$1&amp;"P"&amp;$A37)="N/A",0,RTD("tos.rtd",,"IMPL_VOL","."&amp;G$2&amp;G$1&amp;"P"&amp;$A37))),0)-IFERROR(VALUE(IF(RTD("tos.rtd",,"IMPL_VOL","."&amp;G$2&amp;G$1&amp;"C"&amp;$A37)="N/A",0,RTD("tos.rtd",,"IMPL_VOL","."&amp;G$2&amp;G$1&amp;"C"&amp;$A37))),0),IF($A$2="MAXPAIN",IF($A$4&gt;$A37,($A$4-$A37)*IF(RTD("tos.rtd",,"OPEN_INT","."&amp;G$2&amp;G$1&amp;"C"&amp;$A37)="N/A",0,RTD("tos.rtd",,"OPEN_INT","."&amp;G$2&amp;G$1&amp;"C"&amp;$A37)),0)+IF($A$4&lt;$A37,($A$5-$A$4)*IF(RTD("tos.rtd",,"OPEN_INT","."&amp;G$2&amp;G$1&amp;"P"&amp;$A37)="N/A",0,RTD("tos.rtd",,"OPEN_INT","."&amp;G$2&amp;G$1&amp;"P"&amp;$A37)),0),IF($X$1="ABS",IF(RTD("tos.rtd",,$A$2,"."&amp;G$2&amp;G$1&amp;"C"&amp;$A37)="N/A",0,RTD("tos.rtd",,$A$2,"."&amp;G$2&amp;G$1&amp;"C"&amp;$A37))+IF(RTD("tos.rtd",,$A$2,"."&amp;G$2&amp;G$1&amp;"P"&amp;$A37)="N/A",0,RTD("tos.rtd",,$A$2,"."&amp;G$2&amp;G$1&amp;"P"&amp;$A37)),IF(RTD("tos.rtd",,$A$2,"."&amp;G$2&amp;G$1&amp;"C"&amp;$A37)="N/A",0,RTD("tos.rtd",,$A$2,"."&amp;G$2&amp;G$1&amp;"C"&amp;$A37))-IF(RTD("tos.rtd",,$A$2,"."&amp;G$2&amp;G$1&amp;"P"&amp;$A37)="N/A",0,RTD("tos.rtd",,$A$2,"."&amp;G$2&amp;G$1&amp;"P"&amp;$A37))))))))))</f>
        <v>-183</v>
      </c>
      <c r="H37" s="14">
        <f ca="1">IF($A$2="PREMIUM_OI",IFERROR(IF($X$1="ABS",(100*RTD("tos.rtd",,"OPEN_INT","."&amp;H$2&amp;H$1&amp;"C"&amp;$A37)*RTD("tos.rtd",,"LAST","."&amp;H$2&amp;H$1&amp;"C"&amp;$A37)+100*RTD("tos.rtd",,"OPEN_INT","."&amp;H$2&amp;H$1&amp;"P"&amp;$A37)*RTD("tos.rtd",,"LAST","."&amp;H$2&amp;H$1&amp;"P"&amp;$A37))/1000000,(100*RTD("tos.rtd",,"OPEN_INT","."&amp;H$2&amp;H$1&amp;"C"&amp;$A37)*RTD("tos.rtd",,"LAST","."&amp;H$2&amp;H$1&amp;"C"&amp;$A37)-100*RTD("tos.rtd",,"OPEN_INT","."&amp;H$2&amp;H$1&amp;"P"&amp;$A37)*RTD("tos.rtd",,"LAST","."&amp;H$2&amp;H$1&amp;"P"&amp;$A37))/1000000),0),IF($A$2="PREMIUM",IFERROR(IF($X$1="ABS",(100*RTD("tos.rtd",,"VOLUME","."&amp;H$2&amp;H$1&amp;"C"&amp;$A37)*RTD("tos.rtd",,"LAST","."&amp;H$2&amp;H$1&amp;"C"&amp;$A37)+100*RTD("tos.rtd",,"VOLUME","."&amp;H$2&amp;H$1&amp;"P"&amp;$A37)*RTD("tos.rtd",,"LAST","."&amp;H$2&amp;H$1&amp;"P"&amp;$A37))/1000000,(100*RTD("tos.rtd",,"VOLUME","."&amp;H$2&amp;H$1&amp;"C"&amp;$A37)*RTD("tos.rtd",,"LAST","."&amp;H$2&amp;H$1&amp;"C"&amp;$A37)-100*RTD("tos.rtd",,"VOLUME","."&amp;H$2&amp;H$1&amp;"P"&amp;$A37)*RTD("tos.rtd",,"LAST","."&amp;H$2&amp;H$1&amp;"P"&amp;$A37))/1000000),0),IF($A$2="DEX",IFERROR(IF($X$1="ABS",(100*RTD("tos.rtd",,"OPEN_INT","."&amp;H$2&amp;H$1&amp;"C"&amp;$A37)*RTD("tos.rtd",,"DELTA","."&amp;H$2&amp;H$1&amp;"C"&amp;$A37)+100*RTD("tos.rtd",,"OPEN_INT","."&amp;H$2&amp;H$1&amp;"P"&amp;$A37)*RTD("tos.rtd",,"DELTA","."&amp;H$2&amp;H$1&amp;"P"&amp;$A37))/1000,(100*RTD("tos.rtd",,"OPEN_INT","."&amp;H$2&amp;H$1&amp;"C"&amp;$A37)*RTD("tos.rtd",,"DELTA","."&amp;H$2&amp;H$1&amp;"C"&amp;$A37)-100*RTD("tos.rtd",,"OPEN_INT","."&amp;H$2&amp;H$1&amp;"P"&amp;$A37)*RTD("tos.rtd",,"DELTA","."&amp;H$2&amp;H$1&amp;"P"&amp;$A37))/1000),0),IF($A$2="VEX",IFERROR(IF($X$1="ABS",($A$4*$A$4*RTD("tos.rtd",,"VOLUME","."&amp;H$2&amp;H$1&amp;"C"&amp;$A37)*RTD("tos.rtd",,"GAMMA","."&amp;H$2&amp;H$1&amp;"C"&amp;$A37)+$A$4*$A$4*RTD("tos.rtd",,"VOLUME","."&amp;H$2&amp;H$1&amp;"P"&amp;$A37)*RTD("tos.rtd",,"GAMMA","."&amp;H$2&amp;H$1&amp;"P"&amp;$A37))/1000000,($A$4*$A$4*RTD("tos.rtd",,"VOLUME","."&amp;H$2&amp;H$1&amp;"C"&amp;$A37)*RTD("tos.rtd",,"GAMMA","."&amp;H$2&amp;H$1&amp;"C"&amp;$A37)-$A$4*$A$4*RTD("tos.rtd",,"VOLUME","."&amp;H$2&amp;H$1&amp;"P"&amp;$A37)*RTD("tos.rtd",,"GAMMA","."&amp;H$2&amp;H$1&amp;"P"&amp;$A37))/1000000),0),IF($A$2="GEX",IFERROR(IF($X$1="ABS",($A$4*$A$4*RTD("tos.rtd",,"OPEN_INT","."&amp;H$2&amp;H$1&amp;"C"&amp;$A37)*RTD("tos.rtd",,"GAMMA","."&amp;H$2&amp;H$1&amp;"C"&amp;$A37)+$A$4*$A$4*RTD("tos.rtd",,"OPEN_INT","."&amp;H$2&amp;H$1&amp;"P"&amp;$A37)*RTD("tos.rtd",,"GAMMA","."&amp;H$2&amp;H$1&amp;"P"&amp;$A37))/1000000,($A$4*$A$4*RTD("tos.rtd",,"OPEN_INT","."&amp;H$2&amp;H$1&amp;"C"&amp;$A37)*RTD("tos.rtd",,"GAMMA","."&amp;H$2&amp;H$1&amp;"C"&amp;$A37)-$A$4*$A$4*RTD("tos.rtd",,"OPEN_INT","."&amp;H$2&amp;H$1&amp;"P"&amp;$A37)*RTD("tos.rtd",,"GAMMA","."&amp;H$2&amp;H$1&amp;"P"&amp;$A37))/1000000),0),IF($A$2="SKEW",IFERROR(VALUE(IF(RTD("tos.rtd",,"IMPL_VOL","."&amp;H$2&amp;H$1&amp;"P"&amp;$A37)="N/A",0,RTD("tos.rtd",,"IMPL_VOL","."&amp;H$2&amp;H$1&amp;"P"&amp;$A37))),0)-IFERROR(VALUE(IF(RTD("tos.rtd",,"IMPL_VOL","."&amp;H$2&amp;H$1&amp;"C"&amp;$A37)="N/A",0,RTD("tos.rtd",,"IMPL_VOL","."&amp;H$2&amp;H$1&amp;"C"&amp;$A37))),0),IF($A$2="MAXPAIN",IF($A$4&gt;$A37,($A$4-$A37)*IF(RTD("tos.rtd",,"OPEN_INT","."&amp;H$2&amp;H$1&amp;"C"&amp;$A37)="N/A",0,RTD("tos.rtd",,"OPEN_INT","."&amp;H$2&amp;H$1&amp;"C"&amp;$A37)),0)+IF($A$4&lt;$A37,($A$5-$A$4)*IF(RTD("tos.rtd",,"OPEN_INT","."&amp;H$2&amp;H$1&amp;"P"&amp;$A37)="N/A",0,RTD("tos.rtd",,"OPEN_INT","."&amp;H$2&amp;H$1&amp;"P"&amp;$A37)),0),IF($X$1="ABS",IF(RTD("tos.rtd",,$A$2,"."&amp;H$2&amp;H$1&amp;"C"&amp;$A37)="N/A",0,RTD("tos.rtd",,$A$2,"."&amp;H$2&amp;H$1&amp;"C"&amp;$A37))+IF(RTD("tos.rtd",,$A$2,"."&amp;H$2&amp;H$1&amp;"P"&amp;$A37)="N/A",0,RTD("tos.rtd",,$A$2,"."&amp;H$2&amp;H$1&amp;"P"&amp;$A37)),IF(RTD("tos.rtd",,$A$2,"."&amp;H$2&amp;H$1&amp;"C"&amp;$A37)="N/A",0,RTD("tos.rtd",,$A$2,"."&amp;H$2&amp;H$1&amp;"C"&amp;$A37))-IF(RTD("tos.rtd",,$A$2,"."&amp;H$2&amp;H$1&amp;"P"&amp;$A37)="N/A",0,RTD("tos.rtd",,$A$2,"."&amp;H$2&amp;H$1&amp;"P"&amp;$A37))))))))))</f>
        <v>0</v>
      </c>
      <c r="I37" s="12">
        <f ca="1">IF($A$2="PREMIUM_OI",IFERROR(IF($X$1="ABS",(100*RTD("tos.rtd",,"OPEN_INT","."&amp;I$2&amp;I$1&amp;"C"&amp;$A37)*RTD("tos.rtd",,"LAST","."&amp;I$2&amp;I$1&amp;"C"&amp;$A37)+100*RTD("tos.rtd",,"OPEN_INT","."&amp;I$2&amp;I$1&amp;"P"&amp;$A37)*RTD("tos.rtd",,"LAST","."&amp;I$2&amp;I$1&amp;"P"&amp;$A37))/1000000,(100*RTD("tos.rtd",,"OPEN_INT","."&amp;I$2&amp;I$1&amp;"C"&amp;$A37)*RTD("tos.rtd",,"LAST","."&amp;I$2&amp;I$1&amp;"C"&amp;$A37)-100*RTD("tos.rtd",,"OPEN_INT","."&amp;I$2&amp;I$1&amp;"P"&amp;$A37)*RTD("tos.rtd",,"LAST","."&amp;I$2&amp;I$1&amp;"P"&amp;$A37))/1000000),0),IF($A$2="PREMIUM",IFERROR(IF($X$1="ABS",(100*RTD("tos.rtd",,"VOLUME","."&amp;I$2&amp;I$1&amp;"C"&amp;$A37)*RTD("tos.rtd",,"LAST","."&amp;I$2&amp;I$1&amp;"C"&amp;$A37)+100*RTD("tos.rtd",,"VOLUME","."&amp;I$2&amp;I$1&amp;"P"&amp;$A37)*RTD("tos.rtd",,"LAST","."&amp;I$2&amp;I$1&amp;"P"&amp;$A37))/1000000,(100*RTD("tos.rtd",,"VOLUME","."&amp;I$2&amp;I$1&amp;"C"&amp;$A37)*RTD("tos.rtd",,"LAST","."&amp;I$2&amp;I$1&amp;"C"&amp;$A37)-100*RTD("tos.rtd",,"VOLUME","."&amp;I$2&amp;I$1&amp;"P"&amp;$A37)*RTD("tos.rtd",,"LAST","."&amp;I$2&amp;I$1&amp;"P"&amp;$A37))/1000000),0),IF($A$2="DEX",IFERROR(IF($X$1="ABS",(100*RTD("tos.rtd",,"OPEN_INT","."&amp;I$2&amp;I$1&amp;"C"&amp;$A37)*RTD("tos.rtd",,"DELTA","."&amp;I$2&amp;I$1&amp;"C"&amp;$A37)+100*RTD("tos.rtd",,"OPEN_INT","."&amp;I$2&amp;I$1&amp;"P"&amp;$A37)*RTD("tos.rtd",,"DELTA","."&amp;I$2&amp;I$1&amp;"P"&amp;$A37))/1000,(100*RTD("tos.rtd",,"OPEN_INT","."&amp;I$2&amp;I$1&amp;"C"&amp;$A37)*RTD("tos.rtd",,"DELTA","."&amp;I$2&amp;I$1&amp;"C"&amp;$A37)-100*RTD("tos.rtd",,"OPEN_INT","."&amp;I$2&amp;I$1&amp;"P"&amp;$A37)*RTD("tos.rtd",,"DELTA","."&amp;I$2&amp;I$1&amp;"P"&amp;$A37))/1000),0),IF($A$2="VEX",IFERROR(IF($X$1="ABS",($A$4*$A$4*RTD("tos.rtd",,"VOLUME","."&amp;I$2&amp;I$1&amp;"C"&amp;$A37)*RTD("tos.rtd",,"GAMMA","."&amp;I$2&amp;I$1&amp;"C"&amp;$A37)+$A$4*$A$4*RTD("tos.rtd",,"VOLUME","."&amp;I$2&amp;I$1&amp;"P"&amp;$A37)*RTD("tos.rtd",,"GAMMA","."&amp;I$2&amp;I$1&amp;"P"&amp;$A37))/1000000,($A$4*$A$4*RTD("tos.rtd",,"VOLUME","."&amp;I$2&amp;I$1&amp;"C"&amp;$A37)*RTD("tos.rtd",,"GAMMA","."&amp;I$2&amp;I$1&amp;"C"&amp;$A37)-$A$4*$A$4*RTD("tos.rtd",,"VOLUME","."&amp;I$2&amp;I$1&amp;"P"&amp;$A37)*RTD("tos.rtd",,"GAMMA","."&amp;I$2&amp;I$1&amp;"P"&amp;$A37))/1000000),0),IF($A$2="GEX",IFERROR(IF($X$1="ABS",($A$4*$A$4*RTD("tos.rtd",,"OPEN_INT","."&amp;I$2&amp;I$1&amp;"C"&amp;$A37)*RTD("tos.rtd",,"GAMMA","."&amp;I$2&amp;I$1&amp;"C"&amp;$A37)+$A$4*$A$4*RTD("tos.rtd",,"OPEN_INT","."&amp;I$2&amp;I$1&amp;"P"&amp;$A37)*RTD("tos.rtd",,"GAMMA","."&amp;I$2&amp;I$1&amp;"P"&amp;$A37))/1000000,($A$4*$A$4*RTD("tos.rtd",,"OPEN_INT","."&amp;I$2&amp;I$1&amp;"C"&amp;$A37)*RTD("tos.rtd",,"GAMMA","."&amp;I$2&amp;I$1&amp;"C"&amp;$A37)-$A$4*$A$4*RTD("tos.rtd",,"OPEN_INT","."&amp;I$2&amp;I$1&amp;"P"&amp;$A37)*RTD("tos.rtd",,"GAMMA","."&amp;I$2&amp;I$1&amp;"P"&amp;$A37))/1000000),0),IF($A$2="SKEW",IFERROR(VALUE(IF(RTD("tos.rtd",,"IMPL_VOL","."&amp;I$2&amp;I$1&amp;"P"&amp;$A37)="N/A",0,RTD("tos.rtd",,"IMPL_VOL","."&amp;I$2&amp;I$1&amp;"P"&amp;$A37))),0)-IFERROR(VALUE(IF(RTD("tos.rtd",,"IMPL_VOL","."&amp;I$2&amp;I$1&amp;"C"&amp;$A37)="N/A",0,RTD("tos.rtd",,"IMPL_VOL","."&amp;I$2&amp;I$1&amp;"C"&amp;$A37))),0),IF($A$2="MAXPAIN",IF($A$4&gt;$A37,($A$4-$A37)*IF(RTD("tos.rtd",,"OPEN_INT","."&amp;I$2&amp;I$1&amp;"C"&amp;$A37)="N/A",0,RTD("tos.rtd",,"OPEN_INT","."&amp;I$2&amp;I$1&amp;"C"&amp;$A37)),0)+IF($A$4&lt;$A37,($A$5-$A$4)*IF(RTD("tos.rtd",,"OPEN_INT","."&amp;I$2&amp;I$1&amp;"P"&amp;$A37)="N/A",0,RTD("tos.rtd",,"OPEN_INT","."&amp;I$2&amp;I$1&amp;"P"&amp;$A37)),0),IF($X$1="ABS",IF(RTD("tos.rtd",,$A$2,"."&amp;I$2&amp;I$1&amp;"C"&amp;$A37)="N/A",0,RTD("tos.rtd",,$A$2,"."&amp;I$2&amp;I$1&amp;"C"&amp;$A37))+IF(RTD("tos.rtd",,$A$2,"."&amp;I$2&amp;I$1&amp;"P"&amp;$A37)="N/A",0,RTD("tos.rtd",,$A$2,"."&amp;I$2&amp;I$1&amp;"P"&amp;$A37)),IF(RTD("tos.rtd",,$A$2,"."&amp;I$2&amp;I$1&amp;"C"&amp;$A37)="N/A",0,RTD("tos.rtd",,$A$2,"."&amp;I$2&amp;I$1&amp;"C"&amp;$A37))-IF(RTD("tos.rtd",,$A$2,"."&amp;I$2&amp;I$1&amp;"P"&amp;$A37)="N/A",0,RTD("tos.rtd",,$A$2,"."&amp;I$2&amp;I$1&amp;"P"&amp;$A37))))))))))</f>
        <v>71</v>
      </c>
      <c r="J37" s="12">
        <f ca="1">IF($A$2="PREMIUM_OI",IFERROR(IF($X$1="ABS",(100*RTD("tos.rtd",,"OPEN_INT","."&amp;J$2&amp;J$1&amp;"C"&amp;$A37)*RTD("tos.rtd",,"LAST","."&amp;J$2&amp;J$1&amp;"C"&amp;$A37)+100*RTD("tos.rtd",,"OPEN_INT","."&amp;J$2&amp;J$1&amp;"P"&amp;$A37)*RTD("tos.rtd",,"LAST","."&amp;J$2&amp;J$1&amp;"P"&amp;$A37))/1000000,(100*RTD("tos.rtd",,"OPEN_INT","."&amp;J$2&amp;J$1&amp;"C"&amp;$A37)*RTD("tos.rtd",,"LAST","."&amp;J$2&amp;J$1&amp;"C"&amp;$A37)-100*RTD("tos.rtd",,"OPEN_INT","."&amp;J$2&amp;J$1&amp;"P"&amp;$A37)*RTD("tos.rtd",,"LAST","."&amp;J$2&amp;J$1&amp;"P"&amp;$A37))/1000000),0),IF($A$2="PREMIUM",IFERROR(IF($X$1="ABS",(100*RTD("tos.rtd",,"VOLUME","."&amp;J$2&amp;J$1&amp;"C"&amp;$A37)*RTD("tos.rtd",,"LAST","."&amp;J$2&amp;J$1&amp;"C"&amp;$A37)+100*RTD("tos.rtd",,"VOLUME","."&amp;J$2&amp;J$1&amp;"P"&amp;$A37)*RTD("tos.rtd",,"LAST","."&amp;J$2&amp;J$1&amp;"P"&amp;$A37))/1000000,(100*RTD("tos.rtd",,"VOLUME","."&amp;J$2&amp;J$1&amp;"C"&amp;$A37)*RTD("tos.rtd",,"LAST","."&amp;J$2&amp;J$1&amp;"C"&amp;$A37)-100*RTD("tos.rtd",,"VOLUME","."&amp;J$2&amp;J$1&amp;"P"&amp;$A37)*RTD("tos.rtd",,"LAST","."&amp;J$2&amp;J$1&amp;"P"&amp;$A37))/1000000),0),IF($A$2="DEX",IFERROR(IF($X$1="ABS",(100*RTD("tos.rtd",,"OPEN_INT","."&amp;J$2&amp;J$1&amp;"C"&amp;$A37)*RTD("tos.rtd",,"DELTA","."&amp;J$2&amp;J$1&amp;"C"&amp;$A37)+100*RTD("tos.rtd",,"OPEN_INT","."&amp;J$2&amp;J$1&amp;"P"&amp;$A37)*RTD("tos.rtd",,"DELTA","."&amp;J$2&amp;J$1&amp;"P"&amp;$A37))/1000,(100*RTD("tos.rtd",,"OPEN_INT","."&amp;J$2&amp;J$1&amp;"C"&amp;$A37)*RTD("tos.rtd",,"DELTA","."&amp;J$2&amp;J$1&amp;"C"&amp;$A37)-100*RTD("tos.rtd",,"OPEN_INT","."&amp;J$2&amp;J$1&amp;"P"&amp;$A37)*RTD("tos.rtd",,"DELTA","."&amp;J$2&amp;J$1&amp;"P"&amp;$A37))/1000),0),IF($A$2="VEX",IFERROR(IF($X$1="ABS",($A$4*$A$4*RTD("tos.rtd",,"VOLUME","."&amp;J$2&amp;J$1&amp;"C"&amp;$A37)*RTD("tos.rtd",,"GAMMA","."&amp;J$2&amp;J$1&amp;"C"&amp;$A37)+$A$4*$A$4*RTD("tos.rtd",,"VOLUME","."&amp;J$2&amp;J$1&amp;"P"&amp;$A37)*RTD("tos.rtd",,"GAMMA","."&amp;J$2&amp;J$1&amp;"P"&amp;$A37))/1000000,($A$4*$A$4*RTD("tos.rtd",,"VOLUME","."&amp;J$2&amp;J$1&amp;"C"&amp;$A37)*RTD("tos.rtd",,"GAMMA","."&amp;J$2&amp;J$1&amp;"C"&amp;$A37)-$A$4*$A$4*RTD("tos.rtd",,"VOLUME","."&amp;J$2&amp;J$1&amp;"P"&amp;$A37)*RTD("tos.rtd",,"GAMMA","."&amp;J$2&amp;J$1&amp;"P"&amp;$A37))/1000000),0),IF($A$2="GEX",IFERROR(IF($X$1="ABS",($A$4*$A$4*RTD("tos.rtd",,"OPEN_INT","."&amp;J$2&amp;J$1&amp;"C"&amp;$A37)*RTD("tos.rtd",,"GAMMA","."&amp;J$2&amp;J$1&amp;"C"&amp;$A37)+$A$4*$A$4*RTD("tos.rtd",,"OPEN_INT","."&amp;J$2&amp;J$1&amp;"P"&amp;$A37)*RTD("tos.rtd",,"GAMMA","."&amp;J$2&amp;J$1&amp;"P"&amp;$A37))/1000000,($A$4*$A$4*RTD("tos.rtd",,"OPEN_INT","."&amp;J$2&amp;J$1&amp;"C"&amp;$A37)*RTD("tos.rtd",,"GAMMA","."&amp;J$2&amp;J$1&amp;"C"&amp;$A37)-$A$4*$A$4*RTD("tos.rtd",,"OPEN_INT","."&amp;J$2&amp;J$1&amp;"P"&amp;$A37)*RTD("tos.rtd",,"GAMMA","."&amp;J$2&amp;J$1&amp;"P"&amp;$A37))/1000000),0),IF($A$2="SKEW",IFERROR(VALUE(IF(RTD("tos.rtd",,"IMPL_VOL","."&amp;J$2&amp;J$1&amp;"P"&amp;$A37)="N/A",0,RTD("tos.rtd",,"IMPL_VOL","."&amp;J$2&amp;J$1&amp;"P"&amp;$A37))),0)-IFERROR(VALUE(IF(RTD("tos.rtd",,"IMPL_VOL","."&amp;J$2&amp;J$1&amp;"C"&amp;$A37)="N/A",0,RTD("tos.rtd",,"IMPL_VOL","."&amp;J$2&amp;J$1&amp;"C"&amp;$A37))),0),IF($A$2="MAXPAIN",IF($A$4&gt;$A37,($A$4-$A37)*IF(RTD("tos.rtd",,"OPEN_INT","."&amp;J$2&amp;J$1&amp;"C"&amp;$A37)="N/A",0,RTD("tos.rtd",,"OPEN_INT","."&amp;J$2&amp;J$1&amp;"C"&amp;$A37)),0)+IF($A$4&lt;$A37,($A$5-$A$4)*IF(RTD("tos.rtd",,"OPEN_INT","."&amp;J$2&amp;J$1&amp;"P"&amp;$A37)="N/A",0,RTD("tos.rtd",,"OPEN_INT","."&amp;J$2&amp;J$1&amp;"P"&amp;$A37)),0),IF($X$1="ABS",IF(RTD("tos.rtd",,$A$2,"."&amp;J$2&amp;J$1&amp;"C"&amp;$A37)="N/A",0,RTD("tos.rtd",,$A$2,"."&amp;J$2&amp;J$1&amp;"C"&amp;$A37))+IF(RTD("tos.rtd",,$A$2,"."&amp;J$2&amp;J$1&amp;"P"&amp;$A37)="N/A",0,RTD("tos.rtd",,$A$2,"."&amp;J$2&amp;J$1&amp;"P"&amp;$A37)),IF(RTD("tos.rtd",,$A$2,"."&amp;J$2&amp;J$1&amp;"C"&amp;$A37)="N/A",0,RTD("tos.rtd",,$A$2,"."&amp;J$2&amp;J$1&amp;"C"&amp;$A37))-IF(RTD("tos.rtd",,$A$2,"."&amp;J$2&amp;J$1&amp;"P"&amp;$A37)="N/A",0,RTD("tos.rtd",,$A$2,"."&amp;J$2&amp;J$1&amp;"P"&amp;$A37))))))))))</f>
        <v>0</v>
      </c>
      <c r="K37" s="12">
        <f ca="1">IF($A$2="PREMIUM_OI",IFERROR(IF($X$1="ABS",(100*RTD("tos.rtd",,"OPEN_INT","."&amp;K$2&amp;K$1&amp;"C"&amp;$A37)*RTD("tos.rtd",,"LAST","."&amp;K$2&amp;K$1&amp;"C"&amp;$A37)+100*RTD("tos.rtd",,"OPEN_INT","."&amp;K$2&amp;K$1&amp;"P"&amp;$A37)*RTD("tos.rtd",,"LAST","."&amp;K$2&amp;K$1&amp;"P"&amp;$A37))/1000000,(100*RTD("tos.rtd",,"OPEN_INT","."&amp;K$2&amp;K$1&amp;"C"&amp;$A37)*RTD("tos.rtd",,"LAST","."&amp;K$2&amp;K$1&amp;"C"&amp;$A37)-100*RTD("tos.rtd",,"OPEN_INT","."&amp;K$2&amp;K$1&amp;"P"&amp;$A37)*RTD("tos.rtd",,"LAST","."&amp;K$2&amp;K$1&amp;"P"&amp;$A37))/1000000),0),IF($A$2="PREMIUM",IFERROR(IF($X$1="ABS",(100*RTD("tos.rtd",,"VOLUME","."&amp;K$2&amp;K$1&amp;"C"&amp;$A37)*RTD("tos.rtd",,"LAST","."&amp;K$2&amp;K$1&amp;"C"&amp;$A37)+100*RTD("tos.rtd",,"VOLUME","."&amp;K$2&amp;K$1&amp;"P"&amp;$A37)*RTD("tos.rtd",,"LAST","."&amp;K$2&amp;K$1&amp;"P"&amp;$A37))/1000000,(100*RTD("tos.rtd",,"VOLUME","."&amp;K$2&amp;K$1&amp;"C"&amp;$A37)*RTD("tos.rtd",,"LAST","."&amp;K$2&amp;K$1&amp;"C"&amp;$A37)-100*RTD("tos.rtd",,"VOLUME","."&amp;K$2&amp;K$1&amp;"P"&amp;$A37)*RTD("tos.rtd",,"LAST","."&amp;K$2&amp;K$1&amp;"P"&amp;$A37))/1000000),0),IF($A$2="DEX",IFERROR(IF($X$1="ABS",(100*RTD("tos.rtd",,"OPEN_INT","."&amp;K$2&amp;K$1&amp;"C"&amp;$A37)*RTD("tos.rtd",,"DELTA","."&amp;K$2&amp;K$1&amp;"C"&amp;$A37)+100*RTD("tos.rtd",,"OPEN_INT","."&amp;K$2&amp;K$1&amp;"P"&amp;$A37)*RTD("tos.rtd",,"DELTA","."&amp;K$2&amp;K$1&amp;"P"&amp;$A37))/1000,(100*RTD("tos.rtd",,"OPEN_INT","."&amp;K$2&amp;K$1&amp;"C"&amp;$A37)*RTD("tos.rtd",,"DELTA","."&amp;K$2&amp;K$1&amp;"C"&amp;$A37)-100*RTD("tos.rtd",,"OPEN_INT","."&amp;K$2&amp;K$1&amp;"P"&amp;$A37)*RTD("tos.rtd",,"DELTA","."&amp;K$2&amp;K$1&amp;"P"&amp;$A37))/1000),0),IF($A$2="VEX",IFERROR(IF($X$1="ABS",($A$4*$A$4*RTD("tos.rtd",,"VOLUME","."&amp;K$2&amp;K$1&amp;"C"&amp;$A37)*RTD("tos.rtd",,"GAMMA","."&amp;K$2&amp;K$1&amp;"C"&amp;$A37)+$A$4*$A$4*RTD("tos.rtd",,"VOLUME","."&amp;K$2&amp;K$1&amp;"P"&amp;$A37)*RTD("tos.rtd",,"GAMMA","."&amp;K$2&amp;K$1&amp;"P"&amp;$A37))/1000000,($A$4*$A$4*RTD("tos.rtd",,"VOLUME","."&amp;K$2&amp;K$1&amp;"C"&amp;$A37)*RTD("tos.rtd",,"GAMMA","."&amp;K$2&amp;K$1&amp;"C"&amp;$A37)-$A$4*$A$4*RTD("tos.rtd",,"VOLUME","."&amp;K$2&amp;K$1&amp;"P"&amp;$A37)*RTD("tos.rtd",,"GAMMA","."&amp;K$2&amp;K$1&amp;"P"&amp;$A37))/1000000),0),IF($A$2="GEX",IFERROR(IF($X$1="ABS",($A$4*$A$4*RTD("tos.rtd",,"OPEN_INT","."&amp;K$2&amp;K$1&amp;"C"&amp;$A37)*RTD("tos.rtd",,"GAMMA","."&amp;K$2&amp;K$1&amp;"C"&amp;$A37)+$A$4*$A$4*RTD("tos.rtd",,"OPEN_INT","."&amp;K$2&amp;K$1&amp;"P"&amp;$A37)*RTD("tos.rtd",,"GAMMA","."&amp;K$2&amp;K$1&amp;"P"&amp;$A37))/1000000,($A$4*$A$4*RTD("tos.rtd",,"OPEN_INT","."&amp;K$2&amp;K$1&amp;"C"&amp;$A37)*RTD("tos.rtd",,"GAMMA","."&amp;K$2&amp;K$1&amp;"C"&amp;$A37)-$A$4*$A$4*RTD("tos.rtd",,"OPEN_INT","."&amp;K$2&amp;K$1&amp;"P"&amp;$A37)*RTD("tos.rtd",,"GAMMA","."&amp;K$2&amp;K$1&amp;"P"&amp;$A37))/1000000),0),IF($A$2="SKEW",IFERROR(VALUE(IF(RTD("tos.rtd",,"IMPL_VOL","."&amp;K$2&amp;K$1&amp;"P"&amp;$A37)="N/A",0,RTD("tos.rtd",,"IMPL_VOL","."&amp;K$2&amp;K$1&amp;"P"&amp;$A37))),0)-IFERROR(VALUE(IF(RTD("tos.rtd",,"IMPL_VOL","."&amp;K$2&amp;K$1&amp;"C"&amp;$A37)="N/A",0,RTD("tos.rtd",,"IMPL_VOL","."&amp;K$2&amp;K$1&amp;"C"&amp;$A37))),0),IF($A$2="MAXPAIN",IF($A$4&gt;$A37,($A$4-$A37)*IF(RTD("tos.rtd",,"OPEN_INT","."&amp;K$2&amp;K$1&amp;"C"&amp;$A37)="N/A",0,RTD("tos.rtd",,"OPEN_INT","."&amp;K$2&amp;K$1&amp;"C"&amp;$A37)),0)+IF($A$4&lt;$A37,($A$5-$A$4)*IF(RTD("tos.rtd",,"OPEN_INT","."&amp;K$2&amp;K$1&amp;"P"&amp;$A37)="N/A",0,RTD("tos.rtd",,"OPEN_INT","."&amp;K$2&amp;K$1&amp;"P"&amp;$A37)),0),IF($X$1="ABS",IF(RTD("tos.rtd",,$A$2,"."&amp;K$2&amp;K$1&amp;"C"&amp;$A37)="N/A",0,RTD("tos.rtd",,$A$2,"."&amp;K$2&amp;K$1&amp;"C"&amp;$A37))+IF(RTD("tos.rtd",,$A$2,"."&amp;K$2&amp;K$1&amp;"P"&amp;$A37)="N/A",0,RTD("tos.rtd",,$A$2,"."&amp;K$2&amp;K$1&amp;"P"&amp;$A37)),IF(RTD("tos.rtd",,$A$2,"."&amp;K$2&amp;K$1&amp;"C"&amp;$A37)="N/A",0,RTD("tos.rtd",,$A$2,"."&amp;K$2&amp;K$1&amp;"C"&amp;$A37))-IF(RTD("tos.rtd",,$A$2,"."&amp;K$2&amp;K$1&amp;"P"&amp;$A37)="N/A",0,RTD("tos.rtd",,$A$2,"."&amp;K$2&amp;K$1&amp;"P"&amp;$A37))))))))))</f>
        <v>0</v>
      </c>
      <c r="L37" s="54">
        <f ca="1">IF($A$2="PREMIUM_OI",IFERROR(IF($X$1="ABS",(100*RTD("tos.rtd",,"OPEN_INT","."&amp;L$2&amp;L$1&amp;"C"&amp;$A37)*RTD("tos.rtd",,"LAST","."&amp;L$2&amp;L$1&amp;"C"&amp;$A37)+100*RTD("tos.rtd",,"OPEN_INT","."&amp;L$2&amp;L$1&amp;"P"&amp;$A37)*RTD("tos.rtd",,"LAST","."&amp;L$2&amp;L$1&amp;"P"&amp;$A37))/1000000,(100*RTD("tos.rtd",,"OPEN_INT","."&amp;L$2&amp;L$1&amp;"C"&amp;$A37)*RTD("tos.rtd",,"LAST","."&amp;L$2&amp;L$1&amp;"C"&amp;$A37)-100*RTD("tos.rtd",,"OPEN_INT","."&amp;L$2&amp;L$1&amp;"P"&amp;$A37)*RTD("tos.rtd",,"LAST","."&amp;L$2&amp;L$1&amp;"P"&amp;$A37))/1000000),0),IF($A$2="PREMIUM",IFERROR(IF($X$1="ABS",(100*RTD("tos.rtd",,"VOLUME","."&amp;L$2&amp;L$1&amp;"C"&amp;$A37)*RTD("tos.rtd",,"LAST","."&amp;L$2&amp;L$1&amp;"C"&amp;$A37)+100*RTD("tos.rtd",,"VOLUME","."&amp;L$2&amp;L$1&amp;"P"&amp;$A37)*RTD("tos.rtd",,"LAST","."&amp;L$2&amp;L$1&amp;"P"&amp;$A37))/1000000,(100*RTD("tos.rtd",,"VOLUME","."&amp;L$2&amp;L$1&amp;"C"&amp;$A37)*RTD("tos.rtd",,"LAST","."&amp;L$2&amp;L$1&amp;"C"&amp;$A37)-100*RTD("tos.rtd",,"VOLUME","."&amp;L$2&amp;L$1&amp;"P"&amp;$A37)*RTD("tos.rtd",,"LAST","."&amp;L$2&amp;L$1&amp;"P"&amp;$A37))/1000000),0),IF($A$2="DEX",IFERROR(IF($X$1="ABS",(100*RTD("tos.rtd",,"OPEN_INT","."&amp;L$2&amp;L$1&amp;"C"&amp;$A37)*RTD("tos.rtd",,"DELTA","."&amp;L$2&amp;L$1&amp;"C"&amp;$A37)+100*RTD("tos.rtd",,"OPEN_INT","."&amp;L$2&amp;L$1&amp;"P"&amp;$A37)*RTD("tos.rtd",,"DELTA","."&amp;L$2&amp;L$1&amp;"P"&amp;$A37))/1000,(100*RTD("tos.rtd",,"OPEN_INT","."&amp;L$2&amp;L$1&amp;"C"&amp;$A37)*RTD("tos.rtd",,"DELTA","."&amp;L$2&amp;L$1&amp;"C"&amp;$A37)-100*RTD("tos.rtd",,"OPEN_INT","."&amp;L$2&amp;L$1&amp;"P"&amp;$A37)*RTD("tos.rtd",,"DELTA","."&amp;L$2&amp;L$1&amp;"P"&amp;$A37))/1000),0),IF($A$2="VEX",IFERROR(IF($X$1="ABS",($A$4*$A$4*RTD("tos.rtd",,"VOLUME","."&amp;L$2&amp;L$1&amp;"C"&amp;$A37)*RTD("tos.rtd",,"GAMMA","."&amp;L$2&amp;L$1&amp;"C"&amp;$A37)+$A$4*$A$4*RTD("tos.rtd",,"VOLUME","."&amp;L$2&amp;L$1&amp;"P"&amp;$A37)*RTD("tos.rtd",,"GAMMA","."&amp;L$2&amp;L$1&amp;"P"&amp;$A37))/1000000,($A$4*$A$4*RTD("tos.rtd",,"VOLUME","."&amp;L$2&amp;L$1&amp;"C"&amp;$A37)*RTD("tos.rtd",,"GAMMA","."&amp;L$2&amp;L$1&amp;"C"&amp;$A37)-$A$4*$A$4*RTD("tos.rtd",,"VOLUME","."&amp;L$2&amp;L$1&amp;"P"&amp;$A37)*RTD("tos.rtd",,"GAMMA","."&amp;L$2&amp;L$1&amp;"P"&amp;$A37))/1000000),0),IF($A$2="GEX",IFERROR(IF($X$1="ABS",($A$4*$A$4*RTD("tos.rtd",,"OPEN_INT","."&amp;L$2&amp;L$1&amp;"C"&amp;$A37)*RTD("tos.rtd",,"GAMMA","."&amp;L$2&amp;L$1&amp;"C"&amp;$A37)+$A$4*$A$4*RTD("tos.rtd",,"OPEN_INT","."&amp;L$2&amp;L$1&amp;"P"&amp;$A37)*RTD("tos.rtd",,"GAMMA","."&amp;L$2&amp;L$1&amp;"P"&amp;$A37))/1000000,($A$4*$A$4*RTD("tos.rtd",,"OPEN_INT","."&amp;L$2&amp;L$1&amp;"C"&amp;$A37)*RTD("tos.rtd",,"GAMMA","."&amp;L$2&amp;L$1&amp;"C"&amp;$A37)-$A$4*$A$4*RTD("tos.rtd",,"OPEN_INT","."&amp;L$2&amp;L$1&amp;"P"&amp;$A37)*RTD("tos.rtd",,"GAMMA","."&amp;L$2&amp;L$1&amp;"P"&amp;$A37))/1000000),0),IF($A$2="SKEW",IFERROR(VALUE(IF(RTD("tos.rtd",,"IMPL_VOL","."&amp;L$2&amp;L$1&amp;"P"&amp;$A37)="N/A",0,RTD("tos.rtd",,"IMPL_VOL","."&amp;L$2&amp;L$1&amp;"P"&amp;$A37))),0)-IFERROR(VALUE(IF(RTD("tos.rtd",,"IMPL_VOL","."&amp;L$2&amp;L$1&amp;"C"&amp;$A37)="N/A",0,RTD("tos.rtd",,"IMPL_VOL","."&amp;L$2&amp;L$1&amp;"C"&amp;$A37))),0),IF($A$2="MAXPAIN",IF($A$4&gt;$A37,($A$4-$A37)*IF(RTD("tos.rtd",,"OPEN_INT","."&amp;L$2&amp;L$1&amp;"C"&amp;$A37)="N/A",0,RTD("tos.rtd",,"OPEN_INT","."&amp;L$2&amp;L$1&amp;"C"&amp;$A37)),0)+IF($A$4&lt;$A37,($A$5-$A$4)*IF(RTD("tos.rtd",,"OPEN_INT","."&amp;L$2&amp;L$1&amp;"P"&amp;$A37)="N/A",0,RTD("tos.rtd",,"OPEN_INT","."&amp;L$2&amp;L$1&amp;"P"&amp;$A37)),0),IF($X$1="ABS",IF(RTD("tos.rtd",,$A$2,"."&amp;L$2&amp;L$1&amp;"C"&amp;$A37)="N/A",0,RTD("tos.rtd",,$A$2,"."&amp;L$2&amp;L$1&amp;"C"&amp;$A37))+IF(RTD("tos.rtd",,$A$2,"."&amp;L$2&amp;L$1&amp;"P"&amp;$A37)="N/A",0,RTD("tos.rtd",,$A$2,"."&amp;L$2&amp;L$1&amp;"P"&amp;$A37)),IF(RTD("tos.rtd",,$A$2,"."&amp;L$2&amp;L$1&amp;"C"&amp;$A37)="N/A",0,RTD("tos.rtd",,$A$2,"."&amp;L$2&amp;L$1&amp;"C"&amp;$A37))-IF(RTD("tos.rtd",,$A$2,"."&amp;L$2&amp;L$1&amp;"P"&amp;$A37)="N/A",0,RTD("tos.rtd",,$A$2,"."&amp;L$2&amp;L$1&amp;"P"&amp;$A37))))))))))</f>
        <v>5822</v>
      </c>
      <c r="M37" s="12">
        <f ca="1">IF($A$2="PREMIUM_OI",IFERROR(IF($X$1="ABS",(100*RTD("tos.rtd",,"OPEN_INT","."&amp;M$2&amp;M$1&amp;"C"&amp;$A37)*RTD("tos.rtd",,"LAST","."&amp;M$2&amp;M$1&amp;"C"&amp;$A37)+100*RTD("tos.rtd",,"OPEN_INT","."&amp;M$2&amp;M$1&amp;"P"&amp;$A37)*RTD("tos.rtd",,"LAST","."&amp;M$2&amp;M$1&amp;"P"&amp;$A37))/1000000,(100*RTD("tos.rtd",,"OPEN_INT","."&amp;M$2&amp;M$1&amp;"C"&amp;$A37)*RTD("tos.rtd",,"LAST","."&amp;M$2&amp;M$1&amp;"C"&amp;$A37)-100*RTD("tos.rtd",,"OPEN_INT","."&amp;M$2&amp;M$1&amp;"P"&amp;$A37)*RTD("tos.rtd",,"LAST","."&amp;M$2&amp;M$1&amp;"P"&amp;$A37))/1000000),0),IF($A$2="PREMIUM",IFERROR(IF($X$1="ABS",(100*RTD("tos.rtd",,"VOLUME","."&amp;M$2&amp;M$1&amp;"C"&amp;$A37)*RTD("tos.rtd",,"LAST","."&amp;M$2&amp;M$1&amp;"C"&amp;$A37)+100*RTD("tos.rtd",,"VOLUME","."&amp;M$2&amp;M$1&amp;"P"&amp;$A37)*RTD("tos.rtd",,"LAST","."&amp;M$2&amp;M$1&amp;"P"&amp;$A37))/1000000,(100*RTD("tos.rtd",,"VOLUME","."&amp;M$2&amp;M$1&amp;"C"&amp;$A37)*RTD("tos.rtd",,"LAST","."&amp;M$2&amp;M$1&amp;"C"&amp;$A37)-100*RTD("tos.rtd",,"VOLUME","."&amp;M$2&amp;M$1&amp;"P"&amp;$A37)*RTD("tos.rtd",,"LAST","."&amp;M$2&amp;M$1&amp;"P"&amp;$A37))/1000000),0),IF($A$2="DEX",IFERROR(IF($X$1="ABS",(100*RTD("tos.rtd",,"OPEN_INT","."&amp;M$2&amp;M$1&amp;"C"&amp;$A37)*RTD("tos.rtd",,"DELTA","."&amp;M$2&amp;M$1&amp;"C"&amp;$A37)+100*RTD("tos.rtd",,"OPEN_INT","."&amp;M$2&amp;M$1&amp;"P"&amp;$A37)*RTD("tos.rtd",,"DELTA","."&amp;M$2&amp;M$1&amp;"P"&amp;$A37))/1000,(100*RTD("tos.rtd",,"OPEN_INT","."&amp;M$2&amp;M$1&amp;"C"&amp;$A37)*RTD("tos.rtd",,"DELTA","."&amp;M$2&amp;M$1&amp;"C"&amp;$A37)-100*RTD("tos.rtd",,"OPEN_INT","."&amp;M$2&amp;M$1&amp;"P"&amp;$A37)*RTD("tos.rtd",,"DELTA","."&amp;M$2&amp;M$1&amp;"P"&amp;$A37))/1000),0),IF($A$2="VEX",IFERROR(IF($X$1="ABS",($A$4*$A$4*RTD("tos.rtd",,"VOLUME","."&amp;M$2&amp;M$1&amp;"C"&amp;$A37)*RTD("tos.rtd",,"GAMMA","."&amp;M$2&amp;M$1&amp;"C"&amp;$A37)+$A$4*$A$4*RTD("tos.rtd",,"VOLUME","."&amp;M$2&amp;M$1&amp;"P"&amp;$A37)*RTD("tos.rtd",,"GAMMA","."&amp;M$2&amp;M$1&amp;"P"&amp;$A37))/1000000,($A$4*$A$4*RTD("tos.rtd",,"VOLUME","."&amp;M$2&amp;M$1&amp;"C"&amp;$A37)*RTD("tos.rtd",,"GAMMA","."&amp;M$2&amp;M$1&amp;"C"&amp;$A37)-$A$4*$A$4*RTD("tos.rtd",,"VOLUME","."&amp;M$2&amp;M$1&amp;"P"&amp;$A37)*RTD("tos.rtd",,"GAMMA","."&amp;M$2&amp;M$1&amp;"P"&amp;$A37))/1000000),0),IF($A$2="GEX",IFERROR(IF($X$1="ABS",($A$4*$A$4*RTD("tos.rtd",,"OPEN_INT","."&amp;M$2&amp;M$1&amp;"C"&amp;$A37)*RTD("tos.rtd",,"GAMMA","."&amp;M$2&amp;M$1&amp;"C"&amp;$A37)+$A$4*$A$4*RTD("tos.rtd",,"OPEN_INT","."&amp;M$2&amp;M$1&amp;"P"&amp;$A37)*RTD("tos.rtd",,"GAMMA","."&amp;M$2&amp;M$1&amp;"P"&amp;$A37))/1000000,($A$4*$A$4*RTD("tos.rtd",,"OPEN_INT","."&amp;M$2&amp;M$1&amp;"C"&amp;$A37)*RTD("tos.rtd",,"GAMMA","."&amp;M$2&amp;M$1&amp;"C"&amp;$A37)-$A$4*$A$4*RTD("tos.rtd",,"OPEN_INT","."&amp;M$2&amp;M$1&amp;"P"&amp;$A37)*RTD("tos.rtd",,"GAMMA","."&amp;M$2&amp;M$1&amp;"P"&amp;$A37))/1000000),0),IF($A$2="SKEW",IFERROR(VALUE(IF(RTD("tos.rtd",,"IMPL_VOL","."&amp;M$2&amp;M$1&amp;"P"&amp;$A37)="N/A",0,RTD("tos.rtd",,"IMPL_VOL","."&amp;M$2&amp;M$1&amp;"P"&amp;$A37))),0)-IFERROR(VALUE(IF(RTD("tos.rtd",,"IMPL_VOL","."&amp;M$2&amp;M$1&amp;"C"&amp;$A37)="N/A",0,RTD("tos.rtd",,"IMPL_VOL","."&amp;M$2&amp;M$1&amp;"C"&amp;$A37))),0),IF($A$2="MAXPAIN",IF($A$4&gt;$A37,($A$4-$A37)*IF(RTD("tos.rtd",,"OPEN_INT","."&amp;M$2&amp;M$1&amp;"C"&amp;$A37)="N/A",0,RTD("tos.rtd",,"OPEN_INT","."&amp;M$2&amp;M$1&amp;"C"&amp;$A37)),0)+IF($A$4&lt;$A37,($A$5-$A$4)*IF(RTD("tos.rtd",,"OPEN_INT","."&amp;M$2&amp;M$1&amp;"P"&amp;$A37)="N/A",0,RTD("tos.rtd",,"OPEN_INT","."&amp;M$2&amp;M$1&amp;"P"&amp;$A37)),0),IF($X$1="ABS",IF(RTD("tos.rtd",,$A$2,"."&amp;M$2&amp;M$1&amp;"C"&amp;$A37)="N/A",0,RTD("tos.rtd",,$A$2,"."&amp;M$2&amp;M$1&amp;"C"&amp;$A37))+IF(RTD("tos.rtd",,$A$2,"."&amp;M$2&amp;M$1&amp;"P"&amp;$A37)="N/A",0,RTD("tos.rtd",,$A$2,"."&amp;M$2&amp;M$1&amp;"P"&amp;$A37)),IF(RTD("tos.rtd",,$A$2,"."&amp;M$2&amp;M$1&amp;"C"&amp;$A37)="N/A",0,RTD("tos.rtd",,$A$2,"."&amp;M$2&amp;M$1&amp;"C"&amp;$A37))-IF(RTD("tos.rtd",,$A$2,"."&amp;M$2&amp;M$1&amp;"P"&amp;$A37)="N/A",0,RTD("tos.rtd",,$A$2,"."&amp;M$2&amp;M$1&amp;"P"&amp;$A37))))))))))</f>
        <v>194</v>
      </c>
      <c r="N37" s="12">
        <f ca="1">IF($A$2="PREMIUM_OI",IFERROR(IF($X$1="ABS",(100*RTD("tos.rtd",,"OPEN_INT","."&amp;N$2&amp;N$1&amp;"C"&amp;$A37)*RTD("tos.rtd",,"LAST","."&amp;N$2&amp;N$1&amp;"C"&amp;$A37)+100*RTD("tos.rtd",,"OPEN_INT","."&amp;N$2&amp;N$1&amp;"P"&amp;$A37)*RTD("tos.rtd",,"LAST","."&amp;N$2&amp;N$1&amp;"P"&amp;$A37))/1000000,(100*RTD("tos.rtd",,"OPEN_INT","."&amp;N$2&amp;N$1&amp;"C"&amp;$A37)*RTD("tos.rtd",,"LAST","."&amp;N$2&amp;N$1&amp;"C"&amp;$A37)-100*RTD("tos.rtd",,"OPEN_INT","."&amp;N$2&amp;N$1&amp;"P"&amp;$A37)*RTD("tos.rtd",,"LAST","."&amp;N$2&amp;N$1&amp;"P"&amp;$A37))/1000000),0),IF($A$2="PREMIUM",IFERROR(IF($X$1="ABS",(100*RTD("tos.rtd",,"VOLUME","."&amp;N$2&amp;N$1&amp;"C"&amp;$A37)*RTD("tos.rtd",,"LAST","."&amp;N$2&amp;N$1&amp;"C"&amp;$A37)+100*RTD("tos.rtd",,"VOLUME","."&amp;N$2&amp;N$1&amp;"P"&amp;$A37)*RTD("tos.rtd",,"LAST","."&amp;N$2&amp;N$1&amp;"P"&amp;$A37))/1000000,(100*RTD("tos.rtd",,"VOLUME","."&amp;N$2&amp;N$1&amp;"C"&amp;$A37)*RTD("tos.rtd",,"LAST","."&amp;N$2&amp;N$1&amp;"C"&amp;$A37)-100*RTD("tos.rtd",,"VOLUME","."&amp;N$2&amp;N$1&amp;"P"&amp;$A37)*RTD("tos.rtd",,"LAST","."&amp;N$2&amp;N$1&amp;"P"&amp;$A37))/1000000),0),IF($A$2="DEX",IFERROR(IF($X$1="ABS",(100*RTD("tos.rtd",,"OPEN_INT","."&amp;N$2&amp;N$1&amp;"C"&amp;$A37)*RTD("tos.rtd",,"DELTA","."&amp;N$2&amp;N$1&amp;"C"&amp;$A37)+100*RTD("tos.rtd",,"OPEN_INT","."&amp;N$2&amp;N$1&amp;"P"&amp;$A37)*RTD("tos.rtd",,"DELTA","."&amp;N$2&amp;N$1&amp;"P"&amp;$A37))/1000,(100*RTD("tos.rtd",,"OPEN_INT","."&amp;N$2&amp;N$1&amp;"C"&amp;$A37)*RTD("tos.rtd",,"DELTA","."&amp;N$2&amp;N$1&amp;"C"&amp;$A37)-100*RTD("tos.rtd",,"OPEN_INT","."&amp;N$2&amp;N$1&amp;"P"&amp;$A37)*RTD("tos.rtd",,"DELTA","."&amp;N$2&amp;N$1&amp;"P"&amp;$A37))/1000),0),IF($A$2="VEX",IFERROR(IF($X$1="ABS",($A$4*$A$4*RTD("tos.rtd",,"VOLUME","."&amp;N$2&amp;N$1&amp;"C"&amp;$A37)*RTD("tos.rtd",,"GAMMA","."&amp;N$2&amp;N$1&amp;"C"&amp;$A37)+$A$4*$A$4*RTD("tos.rtd",,"VOLUME","."&amp;N$2&amp;N$1&amp;"P"&amp;$A37)*RTD("tos.rtd",,"GAMMA","."&amp;N$2&amp;N$1&amp;"P"&amp;$A37))/1000000,($A$4*$A$4*RTD("tos.rtd",,"VOLUME","."&amp;N$2&amp;N$1&amp;"C"&amp;$A37)*RTD("tos.rtd",,"GAMMA","."&amp;N$2&amp;N$1&amp;"C"&amp;$A37)-$A$4*$A$4*RTD("tos.rtd",,"VOLUME","."&amp;N$2&amp;N$1&amp;"P"&amp;$A37)*RTD("tos.rtd",,"GAMMA","."&amp;N$2&amp;N$1&amp;"P"&amp;$A37))/1000000),0),IF($A$2="GEX",IFERROR(IF($X$1="ABS",($A$4*$A$4*RTD("tos.rtd",,"OPEN_INT","."&amp;N$2&amp;N$1&amp;"C"&amp;$A37)*RTD("tos.rtd",,"GAMMA","."&amp;N$2&amp;N$1&amp;"C"&amp;$A37)+$A$4*$A$4*RTD("tos.rtd",,"OPEN_INT","."&amp;N$2&amp;N$1&amp;"P"&amp;$A37)*RTD("tos.rtd",,"GAMMA","."&amp;N$2&amp;N$1&amp;"P"&amp;$A37))/1000000,($A$4*$A$4*RTD("tos.rtd",,"OPEN_INT","."&amp;N$2&amp;N$1&amp;"C"&amp;$A37)*RTD("tos.rtd",,"GAMMA","."&amp;N$2&amp;N$1&amp;"C"&amp;$A37)-$A$4*$A$4*RTD("tos.rtd",,"OPEN_INT","."&amp;N$2&amp;N$1&amp;"P"&amp;$A37)*RTD("tos.rtd",,"GAMMA","."&amp;N$2&amp;N$1&amp;"P"&amp;$A37))/1000000),0),IF($A$2="SKEW",IFERROR(VALUE(IF(RTD("tos.rtd",,"IMPL_VOL","."&amp;N$2&amp;N$1&amp;"P"&amp;$A37)="N/A",0,RTD("tos.rtd",,"IMPL_VOL","."&amp;N$2&amp;N$1&amp;"P"&amp;$A37))),0)-IFERROR(VALUE(IF(RTD("tos.rtd",,"IMPL_VOL","."&amp;N$2&amp;N$1&amp;"C"&amp;$A37)="N/A",0,RTD("tos.rtd",,"IMPL_VOL","."&amp;N$2&amp;N$1&amp;"C"&amp;$A37))),0),IF($A$2="MAXPAIN",IF($A$4&gt;$A37,($A$4-$A37)*IF(RTD("tos.rtd",,"OPEN_INT","."&amp;N$2&amp;N$1&amp;"C"&amp;$A37)="N/A",0,RTD("tos.rtd",,"OPEN_INT","."&amp;N$2&amp;N$1&amp;"C"&amp;$A37)),0)+IF($A$4&lt;$A37,($A$5-$A$4)*IF(RTD("tos.rtd",,"OPEN_INT","."&amp;N$2&amp;N$1&amp;"P"&amp;$A37)="N/A",0,RTD("tos.rtd",,"OPEN_INT","."&amp;N$2&amp;N$1&amp;"P"&amp;$A37)),0),IF($X$1="ABS",IF(RTD("tos.rtd",,$A$2,"."&amp;N$2&amp;N$1&amp;"C"&amp;$A37)="N/A",0,RTD("tos.rtd",,$A$2,"."&amp;N$2&amp;N$1&amp;"C"&amp;$A37))+IF(RTD("tos.rtd",,$A$2,"."&amp;N$2&amp;N$1&amp;"P"&amp;$A37)="N/A",0,RTD("tos.rtd",,$A$2,"."&amp;N$2&amp;N$1&amp;"P"&amp;$A37)),IF(RTD("tos.rtd",,$A$2,"."&amp;N$2&amp;N$1&amp;"C"&amp;$A37)="N/A",0,RTD("tos.rtd",,$A$2,"."&amp;N$2&amp;N$1&amp;"C"&amp;$A37))-IF(RTD("tos.rtd",,$A$2,"."&amp;N$2&amp;N$1&amp;"P"&amp;$A37)="N/A",0,RTD("tos.rtd",,$A$2,"."&amp;N$2&amp;N$1&amp;"P"&amp;$A37))))))))))</f>
        <v>0</v>
      </c>
      <c r="O37" s="12">
        <f ca="1">IF($A$2="PREMIUM_OI",IFERROR(IF($X$1="ABS",(100*RTD("tos.rtd",,"OPEN_INT","."&amp;O$2&amp;O$1&amp;"C"&amp;$A37)*RTD("tos.rtd",,"LAST","."&amp;O$2&amp;O$1&amp;"C"&amp;$A37)+100*RTD("tos.rtd",,"OPEN_INT","."&amp;O$2&amp;O$1&amp;"P"&amp;$A37)*RTD("tos.rtd",,"LAST","."&amp;O$2&amp;O$1&amp;"P"&amp;$A37))/1000000,(100*RTD("tos.rtd",,"OPEN_INT","."&amp;O$2&amp;O$1&amp;"C"&amp;$A37)*RTD("tos.rtd",,"LAST","."&amp;O$2&amp;O$1&amp;"C"&amp;$A37)-100*RTD("tos.rtd",,"OPEN_INT","."&amp;O$2&amp;O$1&amp;"P"&amp;$A37)*RTD("tos.rtd",,"LAST","."&amp;O$2&amp;O$1&amp;"P"&amp;$A37))/1000000),0),IF($A$2="PREMIUM",IFERROR(IF($X$1="ABS",(100*RTD("tos.rtd",,"VOLUME","."&amp;O$2&amp;O$1&amp;"C"&amp;$A37)*RTD("tos.rtd",,"LAST","."&amp;O$2&amp;O$1&amp;"C"&amp;$A37)+100*RTD("tos.rtd",,"VOLUME","."&amp;O$2&amp;O$1&amp;"P"&amp;$A37)*RTD("tos.rtd",,"LAST","."&amp;O$2&amp;O$1&amp;"P"&amp;$A37))/1000000,(100*RTD("tos.rtd",,"VOLUME","."&amp;O$2&amp;O$1&amp;"C"&amp;$A37)*RTD("tos.rtd",,"LAST","."&amp;O$2&amp;O$1&amp;"C"&amp;$A37)-100*RTD("tos.rtd",,"VOLUME","."&amp;O$2&amp;O$1&amp;"P"&amp;$A37)*RTD("tos.rtd",,"LAST","."&amp;O$2&amp;O$1&amp;"P"&amp;$A37))/1000000),0),IF($A$2="DEX",IFERROR(IF($X$1="ABS",(100*RTD("tos.rtd",,"OPEN_INT","."&amp;O$2&amp;O$1&amp;"C"&amp;$A37)*RTD("tos.rtd",,"DELTA","."&amp;O$2&amp;O$1&amp;"C"&amp;$A37)+100*RTD("tos.rtd",,"OPEN_INT","."&amp;O$2&amp;O$1&amp;"P"&amp;$A37)*RTD("tos.rtd",,"DELTA","."&amp;O$2&amp;O$1&amp;"P"&amp;$A37))/1000,(100*RTD("tos.rtd",,"OPEN_INT","."&amp;O$2&amp;O$1&amp;"C"&amp;$A37)*RTD("tos.rtd",,"DELTA","."&amp;O$2&amp;O$1&amp;"C"&amp;$A37)-100*RTD("tos.rtd",,"OPEN_INT","."&amp;O$2&amp;O$1&amp;"P"&amp;$A37)*RTD("tos.rtd",,"DELTA","."&amp;O$2&amp;O$1&amp;"P"&amp;$A37))/1000),0),IF($A$2="VEX",IFERROR(IF($X$1="ABS",($A$4*$A$4*RTD("tos.rtd",,"VOLUME","."&amp;O$2&amp;O$1&amp;"C"&amp;$A37)*RTD("tos.rtd",,"GAMMA","."&amp;O$2&amp;O$1&amp;"C"&amp;$A37)+$A$4*$A$4*RTD("tos.rtd",,"VOLUME","."&amp;O$2&amp;O$1&amp;"P"&amp;$A37)*RTD("tos.rtd",,"GAMMA","."&amp;O$2&amp;O$1&amp;"P"&amp;$A37))/1000000,($A$4*$A$4*RTD("tos.rtd",,"VOLUME","."&amp;O$2&amp;O$1&amp;"C"&amp;$A37)*RTD("tos.rtd",,"GAMMA","."&amp;O$2&amp;O$1&amp;"C"&amp;$A37)-$A$4*$A$4*RTD("tos.rtd",,"VOLUME","."&amp;O$2&amp;O$1&amp;"P"&amp;$A37)*RTD("tos.rtd",,"GAMMA","."&amp;O$2&amp;O$1&amp;"P"&amp;$A37))/1000000),0),IF($A$2="GEX",IFERROR(IF($X$1="ABS",($A$4*$A$4*RTD("tos.rtd",,"OPEN_INT","."&amp;O$2&amp;O$1&amp;"C"&amp;$A37)*RTD("tos.rtd",,"GAMMA","."&amp;O$2&amp;O$1&amp;"C"&amp;$A37)+$A$4*$A$4*RTD("tos.rtd",,"OPEN_INT","."&amp;O$2&amp;O$1&amp;"P"&amp;$A37)*RTD("tos.rtd",,"GAMMA","."&amp;O$2&amp;O$1&amp;"P"&amp;$A37))/1000000,($A$4*$A$4*RTD("tos.rtd",,"OPEN_INT","."&amp;O$2&amp;O$1&amp;"C"&amp;$A37)*RTD("tos.rtd",,"GAMMA","."&amp;O$2&amp;O$1&amp;"C"&amp;$A37)-$A$4*$A$4*RTD("tos.rtd",,"OPEN_INT","."&amp;O$2&amp;O$1&amp;"P"&amp;$A37)*RTD("tos.rtd",,"GAMMA","."&amp;O$2&amp;O$1&amp;"P"&amp;$A37))/1000000),0),IF($A$2="SKEW",IFERROR(VALUE(IF(RTD("tos.rtd",,"IMPL_VOL","."&amp;O$2&amp;O$1&amp;"P"&amp;$A37)="N/A",0,RTD("tos.rtd",,"IMPL_VOL","."&amp;O$2&amp;O$1&amp;"P"&amp;$A37))),0)-IFERROR(VALUE(IF(RTD("tos.rtd",,"IMPL_VOL","."&amp;O$2&amp;O$1&amp;"C"&amp;$A37)="N/A",0,RTD("tos.rtd",,"IMPL_VOL","."&amp;O$2&amp;O$1&amp;"C"&amp;$A37))),0),IF($A$2="MAXPAIN",IF($A$4&gt;$A37,($A$4-$A37)*IF(RTD("tos.rtd",,"OPEN_INT","."&amp;O$2&amp;O$1&amp;"C"&amp;$A37)="N/A",0,RTD("tos.rtd",,"OPEN_INT","."&amp;O$2&amp;O$1&amp;"C"&amp;$A37)),0)+IF($A$4&lt;$A37,($A$5-$A$4)*IF(RTD("tos.rtd",,"OPEN_INT","."&amp;O$2&amp;O$1&amp;"P"&amp;$A37)="N/A",0,RTD("tos.rtd",,"OPEN_INT","."&amp;O$2&amp;O$1&amp;"P"&amp;$A37)),0),IF($X$1="ABS",IF(RTD("tos.rtd",,$A$2,"."&amp;O$2&amp;O$1&amp;"C"&amp;$A37)="N/A",0,RTD("tos.rtd",,$A$2,"."&amp;O$2&amp;O$1&amp;"C"&amp;$A37))+IF(RTD("tos.rtd",,$A$2,"."&amp;O$2&amp;O$1&amp;"P"&amp;$A37)="N/A",0,RTD("tos.rtd",,$A$2,"."&amp;O$2&amp;O$1&amp;"P"&amp;$A37)),IF(RTD("tos.rtd",,$A$2,"."&amp;O$2&amp;O$1&amp;"C"&amp;$A37)="N/A",0,RTD("tos.rtd",,$A$2,"."&amp;O$2&amp;O$1&amp;"C"&amp;$A37))-IF(RTD("tos.rtd",,$A$2,"."&amp;O$2&amp;O$1&amp;"P"&amp;$A37)="N/A",0,RTD("tos.rtd",,$A$2,"."&amp;O$2&amp;O$1&amp;"P"&amp;$A37))))))))))</f>
        <v>0</v>
      </c>
      <c r="P37" s="12">
        <f ca="1">IF($A$2="PREMIUM_OI",IFERROR(IF($X$1="ABS",(100*RTD("tos.rtd",,"OPEN_INT","."&amp;P$2&amp;P$1&amp;"C"&amp;$A37)*RTD("tos.rtd",,"LAST","."&amp;P$2&amp;P$1&amp;"C"&amp;$A37)+100*RTD("tos.rtd",,"OPEN_INT","."&amp;P$2&amp;P$1&amp;"P"&amp;$A37)*RTD("tos.rtd",,"LAST","."&amp;P$2&amp;P$1&amp;"P"&amp;$A37))/1000000,(100*RTD("tos.rtd",,"OPEN_INT","."&amp;P$2&amp;P$1&amp;"C"&amp;$A37)*RTD("tos.rtd",,"LAST","."&amp;P$2&amp;P$1&amp;"C"&amp;$A37)-100*RTD("tos.rtd",,"OPEN_INT","."&amp;P$2&amp;P$1&amp;"P"&amp;$A37)*RTD("tos.rtd",,"LAST","."&amp;P$2&amp;P$1&amp;"P"&amp;$A37))/1000000),0),IF($A$2="PREMIUM",IFERROR(IF($X$1="ABS",(100*RTD("tos.rtd",,"VOLUME","."&amp;P$2&amp;P$1&amp;"C"&amp;$A37)*RTD("tos.rtd",,"LAST","."&amp;P$2&amp;P$1&amp;"C"&amp;$A37)+100*RTD("tos.rtd",,"VOLUME","."&amp;P$2&amp;P$1&amp;"P"&amp;$A37)*RTD("tos.rtd",,"LAST","."&amp;P$2&amp;P$1&amp;"P"&amp;$A37))/1000000,(100*RTD("tos.rtd",,"VOLUME","."&amp;P$2&amp;P$1&amp;"C"&amp;$A37)*RTD("tos.rtd",,"LAST","."&amp;P$2&amp;P$1&amp;"C"&amp;$A37)-100*RTD("tos.rtd",,"VOLUME","."&amp;P$2&amp;P$1&amp;"P"&amp;$A37)*RTD("tos.rtd",,"LAST","."&amp;P$2&amp;P$1&amp;"P"&amp;$A37))/1000000),0),IF($A$2="DEX",IFERROR(IF($X$1="ABS",(100*RTD("tos.rtd",,"OPEN_INT","."&amp;P$2&amp;P$1&amp;"C"&amp;$A37)*RTD("tos.rtd",,"DELTA","."&amp;P$2&amp;P$1&amp;"C"&amp;$A37)+100*RTD("tos.rtd",,"OPEN_INT","."&amp;P$2&amp;P$1&amp;"P"&amp;$A37)*RTD("tos.rtd",,"DELTA","."&amp;P$2&amp;P$1&amp;"P"&amp;$A37))/1000,(100*RTD("tos.rtd",,"OPEN_INT","."&amp;P$2&amp;P$1&amp;"C"&amp;$A37)*RTD("tos.rtd",,"DELTA","."&amp;P$2&amp;P$1&amp;"C"&amp;$A37)-100*RTD("tos.rtd",,"OPEN_INT","."&amp;P$2&amp;P$1&amp;"P"&amp;$A37)*RTD("tos.rtd",,"DELTA","."&amp;P$2&amp;P$1&amp;"P"&amp;$A37))/1000),0),IF($A$2="VEX",IFERROR(IF($X$1="ABS",($A$4*$A$4*RTD("tos.rtd",,"VOLUME","."&amp;P$2&amp;P$1&amp;"C"&amp;$A37)*RTD("tos.rtd",,"GAMMA","."&amp;P$2&amp;P$1&amp;"C"&amp;$A37)+$A$4*$A$4*RTD("tos.rtd",,"VOLUME","."&amp;P$2&amp;P$1&amp;"P"&amp;$A37)*RTD("tos.rtd",,"GAMMA","."&amp;P$2&amp;P$1&amp;"P"&amp;$A37))/1000000,($A$4*$A$4*RTD("tos.rtd",,"VOLUME","."&amp;P$2&amp;P$1&amp;"C"&amp;$A37)*RTD("tos.rtd",,"GAMMA","."&amp;P$2&amp;P$1&amp;"C"&amp;$A37)-$A$4*$A$4*RTD("tos.rtd",,"VOLUME","."&amp;P$2&amp;P$1&amp;"P"&amp;$A37)*RTD("tos.rtd",,"GAMMA","."&amp;P$2&amp;P$1&amp;"P"&amp;$A37))/1000000),0),IF($A$2="GEX",IFERROR(IF($X$1="ABS",($A$4*$A$4*RTD("tos.rtd",,"OPEN_INT","."&amp;P$2&amp;P$1&amp;"C"&amp;$A37)*RTD("tos.rtd",,"GAMMA","."&amp;P$2&amp;P$1&amp;"C"&amp;$A37)+$A$4*$A$4*RTD("tos.rtd",,"OPEN_INT","."&amp;P$2&amp;P$1&amp;"P"&amp;$A37)*RTD("tos.rtd",,"GAMMA","."&amp;P$2&amp;P$1&amp;"P"&amp;$A37))/1000000,($A$4*$A$4*RTD("tos.rtd",,"OPEN_INT","."&amp;P$2&amp;P$1&amp;"C"&amp;$A37)*RTD("tos.rtd",,"GAMMA","."&amp;P$2&amp;P$1&amp;"C"&amp;$A37)-$A$4*$A$4*RTD("tos.rtd",,"OPEN_INT","."&amp;P$2&amp;P$1&amp;"P"&amp;$A37)*RTD("tos.rtd",,"GAMMA","."&amp;P$2&amp;P$1&amp;"P"&amp;$A37))/1000000),0),IF($A$2="SKEW",IFERROR(VALUE(IF(RTD("tos.rtd",,"IMPL_VOL","."&amp;P$2&amp;P$1&amp;"P"&amp;$A37)="N/A",0,RTD("tos.rtd",,"IMPL_VOL","."&amp;P$2&amp;P$1&amp;"P"&amp;$A37))),0)-IFERROR(VALUE(IF(RTD("tos.rtd",,"IMPL_VOL","."&amp;P$2&amp;P$1&amp;"C"&amp;$A37)="N/A",0,RTD("tos.rtd",,"IMPL_VOL","."&amp;P$2&amp;P$1&amp;"C"&amp;$A37))),0),IF($A$2="MAXPAIN",IF($A$4&gt;$A37,($A$4-$A37)*IF(RTD("tos.rtd",,"OPEN_INT","."&amp;P$2&amp;P$1&amp;"C"&amp;$A37)="N/A",0,RTD("tos.rtd",,"OPEN_INT","."&amp;P$2&amp;P$1&amp;"C"&amp;$A37)),0)+IF($A$4&lt;$A37,($A$5-$A$4)*IF(RTD("tos.rtd",,"OPEN_INT","."&amp;P$2&amp;P$1&amp;"P"&amp;$A37)="N/A",0,RTD("tos.rtd",,"OPEN_INT","."&amp;P$2&amp;P$1&amp;"P"&amp;$A37)),0),IF($X$1="ABS",IF(RTD("tos.rtd",,$A$2,"."&amp;P$2&amp;P$1&amp;"C"&amp;$A37)="N/A",0,RTD("tos.rtd",,$A$2,"."&amp;P$2&amp;P$1&amp;"C"&amp;$A37))+IF(RTD("tos.rtd",,$A$2,"."&amp;P$2&amp;P$1&amp;"P"&amp;$A37)="N/A",0,RTD("tos.rtd",,$A$2,"."&amp;P$2&amp;P$1&amp;"P"&amp;$A37)),IF(RTD("tos.rtd",,$A$2,"."&amp;P$2&amp;P$1&amp;"C"&amp;$A37)="N/A",0,RTD("tos.rtd",,$A$2,"."&amp;P$2&amp;P$1&amp;"C"&amp;$A37))-IF(RTD("tos.rtd",,$A$2,"."&amp;P$2&amp;P$1&amp;"P"&amp;$A37)="N/A",0,RTD("tos.rtd",,$A$2,"."&amp;P$2&amp;P$1&amp;"P"&amp;$A37))))))))))</f>
        <v>0</v>
      </c>
      <c r="Q37" s="12">
        <f ca="1">IF($A$2="PREMIUM_OI",IFERROR(IF($X$1="ABS",(100*RTD("tos.rtd",,"OPEN_INT","."&amp;Q$2&amp;Q$1&amp;"C"&amp;$A37)*RTD("tos.rtd",,"LAST","."&amp;Q$2&amp;Q$1&amp;"C"&amp;$A37)+100*RTD("tos.rtd",,"OPEN_INT","."&amp;Q$2&amp;Q$1&amp;"P"&amp;$A37)*RTD("tos.rtd",,"LAST","."&amp;Q$2&amp;Q$1&amp;"P"&amp;$A37))/1000000,(100*RTD("tos.rtd",,"OPEN_INT","."&amp;Q$2&amp;Q$1&amp;"C"&amp;$A37)*RTD("tos.rtd",,"LAST","."&amp;Q$2&amp;Q$1&amp;"C"&amp;$A37)-100*RTD("tos.rtd",,"OPEN_INT","."&amp;Q$2&amp;Q$1&amp;"P"&amp;$A37)*RTD("tos.rtd",,"LAST","."&amp;Q$2&amp;Q$1&amp;"P"&amp;$A37))/1000000),0),IF($A$2="PREMIUM",IFERROR(IF($X$1="ABS",(100*RTD("tos.rtd",,"VOLUME","."&amp;Q$2&amp;Q$1&amp;"C"&amp;$A37)*RTD("tos.rtd",,"LAST","."&amp;Q$2&amp;Q$1&amp;"C"&amp;$A37)+100*RTD("tos.rtd",,"VOLUME","."&amp;Q$2&amp;Q$1&amp;"P"&amp;$A37)*RTD("tos.rtd",,"LAST","."&amp;Q$2&amp;Q$1&amp;"P"&amp;$A37))/1000000,(100*RTD("tos.rtd",,"VOLUME","."&amp;Q$2&amp;Q$1&amp;"C"&amp;$A37)*RTD("tos.rtd",,"LAST","."&amp;Q$2&amp;Q$1&amp;"C"&amp;$A37)-100*RTD("tos.rtd",,"VOLUME","."&amp;Q$2&amp;Q$1&amp;"P"&amp;$A37)*RTD("tos.rtd",,"LAST","."&amp;Q$2&amp;Q$1&amp;"P"&amp;$A37))/1000000),0),IF($A$2="DEX",IFERROR(IF($X$1="ABS",(100*RTD("tos.rtd",,"OPEN_INT","."&amp;Q$2&amp;Q$1&amp;"C"&amp;$A37)*RTD("tos.rtd",,"DELTA","."&amp;Q$2&amp;Q$1&amp;"C"&amp;$A37)+100*RTD("tos.rtd",,"OPEN_INT","."&amp;Q$2&amp;Q$1&amp;"P"&amp;$A37)*RTD("tos.rtd",,"DELTA","."&amp;Q$2&amp;Q$1&amp;"P"&amp;$A37))/1000,(100*RTD("tos.rtd",,"OPEN_INT","."&amp;Q$2&amp;Q$1&amp;"C"&amp;$A37)*RTD("tos.rtd",,"DELTA","."&amp;Q$2&amp;Q$1&amp;"C"&amp;$A37)-100*RTD("tos.rtd",,"OPEN_INT","."&amp;Q$2&amp;Q$1&amp;"P"&amp;$A37)*RTD("tos.rtd",,"DELTA","."&amp;Q$2&amp;Q$1&amp;"P"&amp;$A37))/1000),0),IF($A$2="VEX",IFERROR(IF($X$1="ABS",($A$4*$A$4*RTD("tos.rtd",,"VOLUME","."&amp;Q$2&amp;Q$1&amp;"C"&amp;$A37)*RTD("tos.rtd",,"GAMMA","."&amp;Q$2&amp;Q$1&amp;"C"&amp;$A37)+$A$4*$A$4*RTD("tos.rtd",,"VOLUME","."&amp;Q$2&amp;Q$1&amp;"P"&amp;$A37)*RTD("tos.rtd",,"GAMMA","."&amp;Q$2&amp;Q$1&amp;"P"&amp;$A37))/1000000,($A$4*$A$4*RTD("tos.rtd",,"VOLUME","."&amp;Q$2&amp;Q$1&amp;"C"&amp;$A37)*RTD("tos.rtd",,"GAMMA","."&amp;Q$2&amp;Q$1&amp;"C"&amp;$A37)-$A$4*$A$4*RTD("tos.rtd",,"VOLUME","."&amp;Q$2&amp;Q$1&amp;"P"&amp;$A37)*RTD("tos.rtd",,"GAMMA","."&amp;Q$2&amp;Q$1&amp;"P"&amp;$A37))/1000000),0),IF($A$2="GEX",IFERROR(IF($X$1="ABS",($A$4*$A$4*RTD("tos.rtd",,"OPEN_INT","."&amp;Q$2&amp;Q$1&amp;"C"&amp;$A37)*RTD("tos.rtd",,"GAMMA","."&amp;Q$2&amp;Q$1&amp;"C"&amp;$A37)+$A$4*$A$4*RTD("tos.rtd",,"OPEN_INT","."&amp;Q$2&amp;Q$1&amp;"P"&amp;$A37)*RTD("tos.rtd",,"GAMMA","."&amp;Q$2&amp;Q$1&amp;"P"&amp;$A37))/1000000,($A$4*$A$4*RTD("tos.rtd",,"OPEN_INT","."&amp;Q$2&amp;Q$1&amp;"C"&amp;$A37)*RTD("tos.rtd",,"GAMMA","."&amp;Q$2&amp;Q$1&amp;"C"&amp;$A37)-$A$4*$A$4*RTD("tos.rtd",,"OPEN_INT","."&amp;Q$2&amp;Q$1&amp;"P"&amp;$A37)*RTD("tos.rtd",,"GAMMA","."&amp;Q$2&amp;Q$1&amp;"P"&amp;$A37))/1000000),0),IF($A$2="SKEW",IFERROR(VALUE(IF(RTD("tos.rtd",,"IMPL_VOL","."&amp;Q$2&amp;Q$1&amp;"P"&amp;$A37)="N/A",0,RTD("tos.rtd",,"IMPL_VOL","."&amp;Q$2&amp;Q$1&amp;"P"&amp;$A37))),0)-IFERROR(VALUE(IF(RTD("tos.rtd",,"IMPL_VOL","."&amp;Q$2&amp;Q$1&amp;"C"&amp;$A37)="N/A",0,RTD("tos.rtd",,"IMPL_VOL","."&amp;Q$2&amp;Q$1&amp;"C"&amp;$A37))),0),IF($A$2="MAXPAIN",IF($A$4&gt;$A37,($A$4-$A37)*IF(RTD("tos.rtd",,"OPEN_INT","."&amp;Q$2&amp;Q$1&amp;"C"&amp;$A37)="N/A",0,RTD("tos.rtd",,"OPEN_INT","."&amp;Q$2&amp;Q$1&amp;"C"&amp;$A37)),0)+IF($A$4&lt;$A37,($A$5-$A$4)*IF(RTD("tos.rtd",,"OPEN_INT","."&amp;Q$2&amp;Q$1&amp;"P"&amp;$A37)="N/A",0,RTD("tos.rtd",,"OPEN_INT","."&amp;Q$2&amp;Q$1&amp;"P"&amp;$A37)),0),IF($X$1="ABS",IF(RTD("tos.rtd",,$A$2,"."&amp;Q$2&amp;Q$1&amp;"C"&amp;$A37)="N/A",0,RTD("tos.rtd",,$A$2,"."&amp;Q$2&amp;Q$1&amp;"C"&amp;$A37))+IF(RTD("tos.rtd",,$A$2,"."&amp;Q$2&amp;Q$1&amp;"P"&amp;$A37)="N/A",0,RTD("tos.rtd",,$A$2,"."&amp;Q$2&amp;Q$1&amp;"P"&amp;$A37)),IF(RTD("tos.rtd",,$A$2,"."&amp;Q$2&amp;Q$1&amp;"C"&amp;$A37)="N/A",0,RTD("tos.rtd",,$A$2,"."&amp;Q$2&amp;Q$1&amp;"C"&amp;$A37))-IF(RTD("tos.rtd",,$A$2,"."&amp;Q$2&amp;Q$1&amp;"P"&amp;$A37)="N/A",0,RTD("tos.rtd",,$A$2,"."&amp;Q$2&amp;Q$1&amp;"P"&amp;$A37))))))))))</f>
        <v>0</v>
      </c>
      <c r="R37" s="12">
        <f ca="1">IF($A$2="PREMIUM_OI",IFERROR(IF($X$1="ABS",(100*RTD("tos.rtd",,"OPEN_INT","."&amp;R$2&amp;R$1&amp;"C"&amp;$A37)*RTD("tos.rtd",,"LAST","."&amp;R$2&amp;R$1&amp;"C"&amp;$A37)+100*RTD("tos.rtd",,"OPEN_INT","."&amp;R$2&amp;R$1&amp;"P"&amp;$A37)*RTD("tos.rtd",,"LAST","."&amp;R$2&amp;R$1&amp;"P"&amp;$A37))/1000000,(100*RTD("tos.rtd",,"OPEN_INT","."&amp;R$2&amp;R$1&amp;"C"&amp;$A37)*RTD("tos.rtd",,"LAST","."&amp;R$2&amp;R$1&amp;"C"&amp;$A37)-100*RTD("tos.rtd",,"OPEN_INT","."&amp;R$2&amp;R$1&amp;"P"&amp;$A37)*RTD("tos.rtd",,"LAST","."&amp;R$2&amp;R$1&amp;"P"&amp;$A37))/1000000),0),IF($A$2="PREMIUM",IFERROR(IF($X$1="ABS",(100*RTD("tos.rtd",,"VOLUME","."&amp;R$2&amp;R$1&amp;"C"&amp;$A37)*RTD("tos.rtd",,"LAST","."&amp;R$2&amp;R$1&amp;"C"&amp;$A37)+100*RTD("tos.rtd",,"VOLUME","."&amp;R$2&amp;R$1&amp;"P"&amp;$A37)*RTD("tos.rtd",,"LAST","."&amp;R$2&amp;R$1&amp;"P"&amp;$A37))/1000000,(100*RTD("tos.rtd",,"VOLUME","."&amp;R$2&amp;R$1&amp;"C"&amp;$A37)*RTD("tos.rtd",,"LAST","."&amp;R$2&amp;R$1&amp;"C"&amp;$A37)-100*RTD("tos.rtd",,"VOLUME","."&amp;R$2&amp;R$1&amp;"P"&amp;$A37)*RTD("tos.rtd",,"LAST","."&amp;R$2&amp;R$1&amp;"P"&amp;$A37))/1000000),0),IF($A$2="DEX",IFERROR(IF($X$1="ABS",(100*RTD("tos.rtd",,"OPEN_INT","."&amp;R$2&amp;R$1&amp;"C"&amp;$A37)*RTD("tos.rtd",,"DELTA","."&amp;R$2&amp;R$1&amp;"C"&amp;$A37)+100*RTD("tos.rtd",,"OPEN_INT","."&amp;R$2&amp;R$1&amp;"P"&amp;$A37)*RTD("tos.rtd",,"DELTA","."&amp;R$2&amp;R$1&amp;"P"&amp;$A37))/1000,(100*RTD("tos.rtd",,"OPEN_INT","."&amp;R$2&amp;R$1&amp;"C"&amp;$A37)*RTD("tos.rtd",,"DELTA","."&amp;R$2&amp;R$1&amp;"C"&amp;$A37)-100*RTD("tos.rtd",,"OPEN_INT","."&amp;R$2&amp;R$1&amp;"P"&amp;$A37)*RTD("tos.rtd",,"DELTA","."&amp;R$2&amp;R$1&amp;"P"&amp;$A37))/1000),0),IF($A$2="VEX",IFERROR(IF($X$1="ABS",($A$4*$A$4*RTD("tos.rtd",,"VOLUME","."&amp;R$2&amp;R$1&amp;"C"&amp;$A37)*RTD("tos.rtd",,"GAMMA","."&amp;R$2&amp;R$1&amp;"C"&amp;$A37)+$A$4*$A$4*RTD("tos.rtd",,"VOLUME","."&amp;R$2&amp;R$1&amp;"P"&amp;$A37)*RTD("tos.rtd",,"GAMMA","."&amp;R$2&amp;R$1&amp;"P"&amp;$A37))/1000000,($A$4*$A$4*RTD("tos.rtd",,"VOLUME","."&amp;R$2&amp;R$1&amp;"C"&amp;$A37)*RTD("tos.rtd",,"GAMMA","."&amp;R$2&amp;R$1&amp;"C"&amp;$A37)-$A$4*$A$4*RTD("tos.rtd",,"VOLUME","."&amp;R$2&amp;R$1&amp;"P"&amp;$A37)*RTD("tos.rtd",,"GAMMA","."&amp;R$2&amp;R$1&amp;"P"&amp;$A37))/1000000),0),IF($A$2="GEX",IFERROR(IF($X$1="ABS",($A$4*$A$4*RTD("tos.rtd",,"OPEN_INT","."&amp;R$2&amp;R$1&amp;"C"&amp;$A37)*RTD("tos.rtd",,"GAMMA","."&amp;R$2&amp;R$1&amp;"C"&amp;$A37)+$A$4*$A$4*RTD("tos.rtd",,"OPEN_INT","."&amp;R$2&amp;R$1&amp;"P"&amp;$A37)*RTD("tos.rtd",,"GAMMA","."&amp;R$2&amp;R$1&amp;"P"&amp;$A37))/1000000,($A$4*$A$4*RTD("tos.rtd",,"OPEN_INT","."&amp;R$2&amp;R$1&amp;"C"&amp;$A37)*RTD("tos.rtd",,"GAMMA","."&amp;R$2&amp;R$1&amp;"C"&amp;$A37)-$A$4*$A$4*RTD("tos.rtd",,"OPEN_INT","."&amp;R$2&amp;R$1&amp;"P"&amp;$A37)*RTD("tos.rtd",,"GAMMA","."&amp;R$2&amp;R$1&amp;"P"&amp;$A37))/1000000),0),IF($A$2="SKEW",IFERROR(VALUE(IF(RTD("tos.rtd",,"IMPL_VOL","."&amp;R$2&amp;R$1&amp;"P"&amp;$A37)="N/A",0,RTD("tos.rtd",,"IMPL_VOL","."&amp;R$2&amp;R$1&amp;"P"&amp;$A37))),0)-IFERROR(VALUE(IF(RTD("tos.rtd",,"IMPL_VOL","."&amp;R$2&amp;R$1&amp;"C"&amp;$A37)="N/A",0,RTD("tos.rtd",,"IMPL_VOL","."&amp;R$2&amp;R$1&amp;"C"&amp;$A37))),0),IF($A$2="MAXPAIN",IF($A$4&gt;$A37,($A$4-$A37)*IF(RTD("tos.rtd",,"OPEN_INT","."&amp;R$2&amp;R$1&amp;"C"&amp;$A37)="N/A",0,RTD("tos.rtd",,"OPEN_INT","."&amp;R$2&amp;R$1&amp;"C"&amp;$A37)),0)+IF($A$4&lt;$A37,($A$5-$A$4)*IF(RTD("tos.rtd",,"OPEN_INT","."&amp;R$2&amp;R$1&amp;"P"&amp;$A37)="N/A",0,RTD("tos.rtd",,"OPEN_INT","."&amp;R$2&amp;R$1&amp;"P"&amp;$A37)),0),IF($X$1="ABS",IF(RTD("tos.rtd",,$A$2,"."&amp;R$2&amp;R$1&amp;"C"&amp;$A37)="N/A",0,RTD("tos.rtd",,$A$2,"."&amp;R$2&amp;R$1&amp;"C"&amp;$A37))+IF(RTD("tos.rtd",,$A$2,"."&amp;R$2&amp;R$1&amp;"P"&amp;$A37)="N/A",0,RTD("tos.rtd",,$A$2,"."&amp;R$2&amp;R$1&amp;"P"&amp;$A37)),IF(RTD("tos.rtd",,$A$2,"."&amp;R$2&amp;R$1&amp;"C"&amp;$A37)="N/A",0,RTD("tos.rtd",,$A$2,"."&amp;R$2&amp;R$1&amp;"C"&amp;$A37))-IF(RTD("tos.rtd",,$A$2,"."&amp;R$2&amp;R$1&amp;"P"&amp;$A37)="N/A",0,RTD("tos.rtd",,$A$2,"."&amp;R$2&amp;R$1&amp;"P"&amp;$A37))))))))))</f>
        <v>0</v>
      </c>
      <c r="S37" s="12">
        <f ca="1">IF($A$2="PREMIUM_OI",IFERROR(IF($X$1="ABS",(100*RTD("tos.rtd",,"OPEN_INT","."&amp;S$2&amp;S$1&amp;"C"&amp;$A37)*RTD("tos.rtd",,"LAST","."&amp;S$2&amp;S$1&amp;"C"&amp;$A37)+100*RTD("tos.rtd",,"OPEN_INT","."&amp;S$2&amp;S$1&amp;"P"&amp;$A37)*RTD("tos.rtd",,"LAST","."&amp;S$2&amp;S$1&amp;"P"&amp;$A37))/1000000,(100*RTD("tos.rtd",,"OPEN_INT","."&amp;S$2&amp;S$1&amp;"C"&amp;$A37)*RTD("tos.rtd",,"LAST","."&amp;S$2&amp;S$1&amp;"C"&amp;$A37)-100*RTD("tos.rtd",,"OPEN_INT","."&amp;S$2&amp;S$1&amp;"P"&amp;$A37)*RTD("tos.rtd",,"LAST","."&amp;S$2&amp;S$1&amp;"P"&amp;$A37))/1000000),0),IF($A$2="PREMIUM",IFERROR(IF($X$1="ABS",(100*RTD("tos.rtd",,"VOLUME","."&amp;S$2&amp;S$1&amp;"C"&amp;$A37)*RTD("tos.rtd",,"LAST","."&amp;S$2&amp;S$1&amp;"C"&amp;$A37)+100*RTD("tos.rtd",,"VOLUME","."&amp;S$2&amp;S$1&amp;"P"&amp;$A37)*RTD("tos.rtd",,"LAST","."&amp;S$2&amp;S$1&amp;"P"&amp;$A37))/1000000,(100*RTD("tos.rtd",,"VOLUME","."&amp;S$2&amp;S$1&amp;"C"&amp;$A37)*RTD("tos.rtd",,"LAST","."&amp;S$2&amp;S$1&amp;"C"&amp;$A37)-100*RTD("tos.rtd",,"VOLUME","."&amp;S$2&amp;S$1&amp;"P"&amp;$A37)*RTD("tos.rtd",,"LAST","."&amp;S$2&amp;S$1&amp;"P"&amp;$A37))/1000000),0),IF($A$2="DEX",IFERROR(IF($X$1="ABS",(100*RTD("tos.rtd",,"OPEN_INT","."&amp;S$2&amp;S$1&amp;"C"&amp;$A37)*RTD("tos.rtd",,"DELTA","."&amp;S$2&amp;S$1&amp;"C"&amp;$A37)+100*RTD("tos.rtd",,"OPEN_INT","."&amp;S$2&amp;S$1&amp;"P"&amp;$A37)*RTD("tos.rtd",,"DELTA","."&amp;S$2&amp;S$1&amp;"P"&amp;$A37))/1000,(100*RTD("tos.rtd",,"OPEN_INT","."&amp;S$2&amp;S$1&amp;"C"&amp;$A37)*RTD("tos.rtd",,"DELTA","."&amp;S$2&amp;S$1&amp;"C"&amp;$A37)-100*RTD("tos.rtd",,"OPEN_INT","."&amp;S$2&amp;S$1&amp;"P"&amp;$A37)*RTD("tos.rtd",,"DELTA","."&amp;S$2&amp;S$1&amp;"P"&amp;$A37))/1000),0),IF($A$2="VEX",IFERROR(IF($X$1="ABS",($A$4*$A$4*RTD("tos.rtd",,"VOLUME","."&amp;S$2&amp;S$1&amp;"C"&amp;$A37)*RTD("tos.rtd",,"GAMMA","."&amp;S$2&amp;S$1&amp;"C"&amp;$A37)+$A$4*$A$4*RTD("tos.rtd",,"VOLUME","."&amp;S$2&amp;S$1&amp;"P"&amp;$A37)*RTD("tos.rtd",,"GAMMA","."&amp;S$2&amp;S$1&amp;"P"&amp;$A37))/1000000,($A$4*$A$4*RTD("tos.rtd",,"VOLUME","."&amp;S$2&amp;S$1&amp;"C"&amp;$A37)*RTD("tos.rtd",,"GAMMA","."&amp;S$2&amp;S$1&amp;"C"&amp;$A37)-$A$4*$A$4*RTD("tos.rtd",,"VOLUME","."&amp;S$2&amp;S$1&amp;"P"&amp;$A37)*RTD("tos.rtd",,"GAMMA","."&amp;S$2&amp;S$1&amp;"P"&amp;$A37))/1000000),0),IF($A$2="GEX",IFERROR(IF($X$1="ABS",($A$4*$A$4*RTD("tos.rtd",,"OPEN_INT","."&amp;S$2&amp;S$1&amp;"C"&amp;$A37)*RTD("tos.rtd",,"GAMMA","."&amp;S$2&amp;S$1&amp;"C"&amp;$A37)+$A$4*$A$4*RTD("tos.rtd",,"OPEN_INT","."&amp;S$2&amp;S$1&amp;"P"&amp;$A37)*RTD("tos.rtd",,"GAMMA","."&amp;S$2&amp;S$1&amp;"P"&amp;$A37))/1000000,($A$4*$A$4*RTD("tos.rtd",,"OPEN_INT","."&amp;S$2&amp;S$1&amp;"C"&amp;$A37)*RTD("tos.rtd",,"GAMMA","."&amp;S$2&amp;S$1&amp;"C"&amp;$A37)-$A$4*$A$4*RTD("tos.rtd",,"OPEN_INT","."&amp;S$2&amp;S$1&amp;"P"&amp;$A37)*RTD("tos.rtd",,"GAMMA","."&amp;S$2&amp;S$1&amp;"P"&amp;$A37))/1000000),0),IF($A$2="SKEW",IFERROR(VALUE(IF(RTD("tos.rtd",,"IMPL_VOL","."&amp;S$2&amp;S$1&amp;"P"&amp;$A37)="N/A",0,RTD("tos.rtd",,"IMPL_VOL","."&amp;S$2&amp;S$1&amp;"P"&amp;$A37))),0)-IFERROR(VALUE(IF(RTD("tos.rtd",,"IMPL_VOL","."&amp;S$2&amp;S$1&amp;"C"&amp;$A37)="N/A",0,RTD("tos.rtd",,"IMPL_VOL","."&amp;S$2&amp;S$1&amp;"C"&amp;$A37))),0),IF($A$2="MAXPAIN",IF($A$4&gt;$A37,($A$4-$A37)*IF(RTD("tos.rtd",,"OPEN_INT","."&amp;S$2&amp;S$1&amp;"C"&amp;$A37)="N/A",0,RTD("tos.rtd",,"OPEN_INT","."&amp;S$2&amp;S$1&amp;"C"&amp;$A37)),0)+IF($A$4&lt;$A37,($A$5-$A$4)*IF(RTD("tos.rtd",,"OPEN_INT","."&amp;S$2&amp;S$1&amp;"P"&amp;$A37)="N/A",0,RTD("tos.rtd",,"OPEN_INT","."&amp;S$2&amp;S$1&amp;"P"&amp;$A37)),0),IF($X$1="ABS",IF(RTD("tos.rtd",,$A$2,"."&amp;S$2&amp;S$1&amp;"C"&amp;$A37)="N/A",0,RTD("tos.rtd",,$A$2,"."&amp;S$2&amp;S$1&amp;"C"&amp;$A37))+IF(RTD("tos.rtd",,$A$2,"."&amp;S$2&amp;S$1&amp;"P"&amp;$A37)="N/A",0,RTD("tos.rtd",,$A$2,"."&amp;S$2&amp;S$1&amp;"P"&amp;$A37)),IF(RTD("tos.rtd",,$A$2,"."&amp;S$2&amp;S$1&amp;"C"&amp;$A37)="N/A",0,RTD("tos.rtd",,$A$2,"."&amp;S$2&amp;S$1&amp;"C"&amp;$A37))-IF(RTD("tos.rtd",,$A$2,"."&amp;S$2&amp;S$1&amp;"P"&amp;$A37)="N/A",0,RTD("tos.rtd",,$A$2,"."&amp;S$2&amp;S$1&amp;"P"&amp;$A37))))))))))</f>
        <v>0</v>
      </c>
      <c r="T37" s="12">
        <f ca="1">IF($A$2="PREMIUM_OI",IFERROR(IF($X$1="ABS",(100*RTD("tos.rtd",,"OPEN_INT","."&amp;T$2&amp;T$1&amp;"C"&amp;$A37)*RTD("tos.rtd",,"LAST","."&amp;T$2&amp;T$1&amp;"C"&amp;$A37)+100*RTD("tos.rtd",,"OPEN_INT","."&amp;T$2&amp;T$1&amp;"P"&amp;$A37)*RTD("tos.rtd",,"LAST","."&amp;T$2&amp;T$1&amp;"P"&amp;$A37))/1000000,(100*RTD("tos.rtd",,"OPEN_INT","."&amp;T$2&amp;T$1&amp;"C"&amp;$A37)*RTD("tos.rtd",,"LAST","."&amp;T$2&amp;T$1&amp;"C"&amp;$A37)-100*RTD("tos.rtd",,"OPEN_INT","."&amp;T$2&amp;T$1&amp;"P"&amp;$A37)*RTD("tos.rtd",,"LAST","."&amp;T$2&amp;T$1&amp;"P"&amp;$A37))/1000000),0),IF($A$2="PREMIUM",IFERROR(IF($X$1="ABS",(100*RTD("tos.rtd",,"VOLUME","."&amp;T$2&amp;T$1&amp;"C"&amp;$A37)*RTD("tos.rtd",,"LAST","."&amp;T$2&amp;T$1&amp;"C"&amp;$A37)+100*RTD("tos.rtd",,"VOLUME","."&amp;T$2&amp;T$1&amp;"P"&amp;$A37)*RTD("tos.rtd",,"LAST","."&amp;T$2&amp;T$1&amp;"P"&amp;$A37))/1000000,(100*RTD("tos.rtd",,"VOLUME","."&amp;T$2&amp;T$1&amp;"C"&amp;$A37)*RTD("tos.rtd",,"LAST","."&amp;T$2&amp;T$1&amp;"C"&amp;$A37)-100*RTD("tos.rtd",,"VOLUME","."&amp;T$2&amp;T$1&amp;"P"&amp;$A37)*RTD("tos.rtd",,"LAST","."&amp;T$2&amp;T$1&amp;"P"&amp;$A37))/1000000),0),IF($A$2="DEX",IFERROR(IF($X$1="ABS",(100*RTD("tos.rtd",,"OPEN_INT","."&amp;T$2&amp;T$1&amp;"C"&amp;$A37)*RTD("tos.rtd",,"DELTA","."&amp;T$2&amp;T$1&amp;"C"&amp;$A37)+100*RTD("tos.rtd",,"OPEN_INT","."&amp;T$2&amp;T$1&amp;"P"&amp;$A37)*RTD("tos.rtd",,"DELTA","."&amp;T$2&amp;T$1&amp;"P"&amp;$A37))/1000,(100*RTD("tos.rtd",,"OPEN_INT","."&amp;T$2&amp;T$1&amp;"C"&amp;$A37)*RTD("tos.rtd",,"DELTA","."&amp;T$2&amp;T$1&amp;"C"&amp;$A37)-100*RTD("tos.rtd",,"OPEN_INT","."&amp;T$2&amp;T$1&amp;"P"&amp;$A37)*RTD("tos.rtd",,"DELTA","."&amp;T$2&amp;T$1&amp;"P"&amp;$A37))/1000),0),IF($A$2="VEX",IFERROR(IF($X$1="ABS",($A$4*$A$4*RTD("tos.rtd",,"VOLUME","."&amp;T$2&amp;T$1&amp;"C"&amp;$A37)*RTD("tos.rtd",,"GAMMA","."&amp;T$2&amp;T$1&amp;"C"&amp;$A37)+$A$4*$A$4*RTD("tos.rtd",,"VOLUME","."&amp;T$2&amp;T$1&amp;"P"&amp;$A37)*RTD("tos.rtd",,"GAMMA","."&amp;T$2&amp;T$1&amp;"P"&amp;$A37))/1000000,($A$4*$A$4*RTD("tos.rtd",,"VOLUME","."&amp;T$2&amp;T$1&amp;"C"&amp;$A37)*RTD("tos.rtd",,"GAMMA","."&amp;T$2&amp;T$1&amp;"C"&amp;$A37)-$A$4*$A$4*RTD("tos.rtd",,"VOLUME","."&amp;T$2&amp;T$1&amp;"P"&amp;$A37)*RTD("tos.rtd",,"GAMMA","."&amp;T$2&amp;T$1&amp;"P"&amp;$A37))/1000000),0),IF($A$2="GEX",IFERROR(IF($X$1="ABS",($A$4*$A$4*RTD("tos.rtd",,"OPEN_INT","."&amp;T$2&amp;T$1&amp;"C"&amp;$A37)*RTD("tos.rtd",,"GAMMA","."&amp;T$2&amp;T$1&amp;"C"&amp;$A37)+$A$4*$A$4*RTD("tos.rtd",,"OPEN_INT","."&amp;T$2&amp;T$1&amp;"P"&amp;$A37)*RTD("tos.rtd",,"GAMMA","."&amp;T$2&amp;T$1&amp;"P"&amp;$A37))/1000000,($A$4*$A$4*RTD("tos.rtd",,"OPEN_INT","."&amp;T$2&amp;T$1&amp;"C"&amp;$A37)*RTD("tos.rtd",,"GAMMA","."&amp;T$2&amp;T$1&amp;"C"&amp;$A37)-$A$4*$A$4*RTD("tos.rtd",,"OPEN_INT","."&amp;T$2&amp;T$1&amp;"P"&amp;$A37)*RTD("tos.rtd",,"GAMMA","."&amp;T$2&amp;T$1&amp;"P"&amp;$A37))/1000000),0),IF($A$2="SKEW",IFERROR(VALUE(IF(RTD("tos.rtd",,"IMPL_VOL","."&amp;T$2&amp;T$1&amp;"P"&amp;$A37)="N/A",0,RTD("tos.rtd",,"IMPL_VOL","."&amp;T$2&amp;T$1&amp;"P"&amp;$A37))),0)-IFERROR(VALUE(IF(RTD("tos.rtd",,"IMPL_VOL","."&amp;T$2&amp;T$1&amp;"C"&amp;$A37)="N/A",0,RTD("tos.rtd",,"IMPL_VOL","."&amp;T$2&amp;T$1&amp;"C"&amp;$A37))),0),IF($A$2="MAXPAIN",IF($A$4&gt;$A37,($A$4-$A37)*IF(RTD("tos.rtd",,"OPEN_INT","."&amp;T$2&amp;T$1&amp;"C"&amp;$A37)="N/A",0,RTD("tos.rtd",,"OPEN_INT","."&amp;T$2&amp;T$1&amp;"C"&amp;$A37)),0)+IF($A$4&lt;$A37,($A$5-$A$4)*IF(RTD("tos.rtd",,"OPEN_INT","."&amp;T$2&amp;T$1&amp;"P"&amp;$A37)="N/A",0,RTD("tos.rtd",,"OPEN_INT","."&amp;T$2&amp;T$1&amp;"P"&amp;$A37)),0),IF($X$1="ABS",IF(RTD("tos.rtd",,$A$2,"."&amp;T$2&amp;T$1&amp;"C"&amp;$A37)="N/A",0,RTD("tos.rtd",,$A$2,"."&amp;T$2&amp;T$1&amp;"C"&amp;$A37))+IF(RTD("tos.rtd",,$A$2,"."&amp;T$2&amp;T$1&amp;"P"&amp;$A37)="N/A",0,RTD("tos.rtd",,$A$2,"."&amp;T$2&amp;T$1&amp;"P"&amp;$A37)),IF(RTD("tos.rtd",,$A$2,"."&amp;T$2&amp;T$1&amp;"C"&amp;$A37)="N/A",0,RTD("tos.rtd",,$A$2,"."&amp;T$2&amp;T$1&amp;"C"&amp;$A37))-IF(RTD("tos.rtd",,$A$2,"."&amp;T$2&amp;T$1&amp;"P"&amp;$A37)="N/A",0,RTD("tos.rtd",,$A$2,"."&amp;T$2&amp;T$1&amp;"P"&amp;$A37))))))))))</f>
        <v>0</v>
      </c>
      <c r="U37" s="12">
        <f ca="1">IF($A$2="PREMIUM_OI",IFERROR(IF($X$1="ABS",(100*RTD("tos.rtd",,"OPEN_INT","."&amp;U$2&amp;U$1&amp;"C"&amp;$A37)*RTD("tos.rtd",,"LAST","."&amp;U$2&amp;U$1&amp;"C"&amp;$A37)+100*RTD("tos.rtd",,"OPEN_INT","."&amp;U$2&amp;U$1&amp;"P"&amp;$A37)*RTD("tos.rtd",,"LAST","."&amp;U$2&amp;U$1&amp;"P"&amp;$A37))/1000000,(100*RTD("tos.rtd",,"OPEN_INT","."&amp;U$2&amp;U$1&amp;"C"&amp;$A37)*RTD("tos.rtd",,"LAST","."&amp;U$2&amp;U$1&amp;"C"&amp;$A37)-100*RTD("tos.rtd",,"OPEN_INT","."&amp;U$2&amp;U$1&amp;"P"&amp;$A37)*RTD("tos.rtd",,"LAST","."&amp;U$2&amp;U$1&amp;"P"&amp;$A37))/1000000),0),IF($A$2="PREMIUM",IFERROR(IF($X$1="ABS",(100*RTD("tos.rtd",,"VOLUME","."&amp;U$2&amp;U$1&amp;"C"&amp;$A37)*RTD("tos.rtd",,"LAST","."&amp;U$2&amp;U$1&amp;"C"&amp;$A37)+100*RTD("tos.rtd",,"VOLUME","."&amp;U$2&amp;U$1&amp;"P"&amp;$A37)*RTD("tos.rtd",,"LAST","."&amp;U$2&amp;U$1&amp;"P"&amp;$A37))/1000000,(100*RTD("tos.rtd",,"VOLUME","."&amp;U$2&amp;U$1&amp;"C"&amp;$A37)*RTD("tos.rtd",,"LAST","."&amp;U$2&amp;U$1&amp;"C"&amp;$A37)-100*RTD("tos.rtd",,"VOLUME","."&amp;U$2&amp;U$1&amp;"P"&amp;$A37)*RTD("tos.rtd",,"LAST","."&amp;U$2&amp;U$1&amp;"P"&amp;$A37))/1000000),0),IF($A$2="DEX",IFERROR(IF($X$1="ABS",(100*RTD("tos.rtd",,"OPEN_INT","."&amp;U$2&amp;U$1&amp;"C"&amp;$A37)*RTD("tos.rtd",,"DELTA","."&amp;U$2&amp;U$1&amp;"C"&amp;$A37)+100*RTD("tos.rtd",,"OPEN_INT","."&amp;U$2&amp;U$1&amp;"P"&amp;$A37)*RTD("tos.rtd",,"DELTA","."&amp;U$2&amp;U$1&amp;"P"&amp;$A37))/1000,(100*RTD("tos.rtd",,"OPEN_INT","."&amp;U$2&amp;U$1&amp;"C"&amp;$A37)*RTD("tos.rtd",,"DELTA","."&amp;U$2&amp;U$1&amp;"C"&amp;$A37)-100*RTD("tos.rtd",,"OPEN_INT","."&amp;U$2&amp;U$1&amp;"P"&amp;$A37)*RTD("tos.rtd",,"DELTA","."&amp;U$2&amp;U$1&amp;"P"&amp;$A37))/1000),0),IF($A$2="VEX",IFERROR(IF($X$1="ABS",($A$4*$A$4*RTD("tos.rtd",,"VOLUME","."&amp;U$2&amp;U$1&amp;"C"&amp;$A37)*RTD("tos.rtd",,"GAMMA","."&amp;U$2&amp;U$1&amp;"C"&amp;$A37)+$A$4*$A$4*RTD("tos.rtd",,"VOLUME","."&amp;U$2&amp;U$1&amp;"P"&amp;$A37)*RTD("tos.rtd",,"GAMMA","."&amp;U$2&amp;U$1&amp;"P"&amp;$A37))/1000000,($A$4*$A$4*RTD("tos.rtd",,"VOLUME","."&amp;U$2&amp;U$1&amp;"C"&amp;$A37)*RTD("tos.rtd",,"GAMMA","."&amp;U$2&amp;U$1&amp;"C"&amp;$A37)-$A$4*$A$4*RTD("tos.rtd",,"VOLUME","."&amp;U$2&amp;U$1&amp;"P"&amp;$A37)*RTD("tos.rtd",,"GAMMA","."&amp;U$2&amp;U$1&amp;"P"&amp;$A37))/1000000),0),IF($A$2="GEX",IFERROR(IF($X$1="ABS",($A$4*$A$4*RTD("tos.rtd",,"OPEN_INT","."&amp;U$2&amp;U$1&amp;"C"&amp;$A37)*RTD("tos.rtd",,"GAMMA","."&amp;U$2&amp;U$1&amp;"C"&amp;$A37)+$A$4*$A$4*RTD("tos.rtd",,"OPEN_INT","."&amp;U$2&amp;U$1&amp;"P"&amp;$A37)*RTD("tos.rtd",,"GAMMA","."&amp;U$2&amp;U$1&amp;"P"&amp;$A37))/1000000,($A$4*$A$4*RTD("tos.rtd",,"OPEN_INT","."&amp;U$2&amp;U$1&amp;"C"&amp;$A37)*RTD("tos.rtd",,"GAMMA","."&amp;U$2&amp;U$1&amp;"C"&amp;$A37)-$A$4*$A$4*RTD("tos.rtd",,"OPEN_INT","."&amp;U$2&amp;U$1&amp;"P"&amp;$A37)*RTD("tos.rtd",,"GAMMA","."&amp;U$2&amp;U$1&amp;"P"&amp;$A37))/1000000),0),IF($A$2="SKEW",IFERROR(VALUE(IF(RTD("tos.rtd",,"IMPL_VOL","."&amp;U$2&amp;U$1&amp;"P"&amp;$A37)="N/A",0,RTD("tos.rtd",,"IMPL_VOL","."&amp;U$2&amp;U$1&amp;"P"&amp;$A37))),0)-IFERROR(VALUE(IF(RTD("tos.rtd",,"IMPL_VOL","."&amp;U$2&amp;U$1&amp;"C"&amp;$A37)="N/A",0,RTD("tos.rtd",,"IMPL_VOL","."&amp;U$2&amp;U$1&amp;"C"&amp;$A37))),0),IF($A$2="MAXPAIN",IF($A$4&gt;$A37,($A$4-$A37)*IF(RTD("tos.rtd",,"OPEN_INT","."&amp;U$2&amp;U$1&amp;"C"&amp;$A37)="N/A",0,RTD("tos.rtd",,"OPEN_INT","."&amp;U$2&amp;U$1&amp;"C"&amp;$A37)),0)+IF($A$4&lt;$A37,($A$5-$A$4)*IF(RTD("tos.rtd",,"OPEN_INT","."&amp;U$2&amp;U$1&amp;"P"&amp;$A37)="N/A",0,RTD("tos.rtd",,"OPEN_INT","."&amp;U$2&amp;U$1&amp;"P"&amp;$A37)),0),IF($X$1="ABS",IF(RTD("tos.rtd",,$A$2,"."&amp;U$2&amp;U$1&amp;"C"&amp;$A37)="N/A",0,RTD("tos.rtd",,$A$2,"."&amp;U$2&amp;U$1&amp;"C"&amp;$A37))+IF(RTD("tos.rtd",,$A$2,"."&amp;U$2&amp;U$1&amp;"P"&amp;$A37)="N/A",0,RTD("tos.rtd",,$A$2,"."&amp;U$2&amp;U$1&amp;"P"&amp;$A37)),IF(RTD("tos.rtd",,$A$2,"."&amp;U$2&amp;U$1&amp;"C"&amp;$A37)="N/A",0,RTD("tos.rtd",,$A$2,"."&amp;U$2&amp;U$1&amp;"C"&amp;$A37))-IF(RTD("tos.rtd",,$A$2,"."&amp;U$2&amp;U$1&amp;"P"&amp;$A37)="N/A",0,RTD("tos.rtd",,$A$2,"."&amp;U$2&amp;U$1&amp;"P"&amp;$A37))))))))))</f>
        <v>0</v>
      </c>
      <c r="V37" s="12">
        <f ca="1">IF($A$2="PREMIUM_OI",IFERROR(IF($X$1="ABS",(100*RTD("tos.rtd",,"OPEN_INT","."&amp;V$2&amp;V$1&amp;"C"&amp;$A37)*RTD("tos.rtd",,"LAST","."&amp;V$2&amp;V$1&amp;"C"&amp;$A37)+100*RTD("tos.rtd",,"OPEN_INT","."&amp;V$2&amp;V$1&amp;"P"&amp;$A37)*RTD("tos.rtd",,"LAST","."&amp;V$2&amp;V$1&amp;"P"&amp;$A37))/1000000,(100*RTD("tos.rtd",,"OPEN_INT","."&amp;V$2&amp;V$1&amp;"C"&amp;$A37)*RTD("tos.rtd",,"LAST","."&amp;V$2&amp;V$1&amp;"C"&amp;$A37)-100*RTD("tos.rtd",,"OPEN_INT","."&amp;V$2&amp;V$1&amp;"P"&amp;$A37)*RTD("tos.rtd",,"LAST","."&amp;V$2&amp;V$1&amp;"P"&amp;$A37))/1000000),0),IF($A$2="PREMIUM",IFERROR(IF($X$1="ABS",(100*RTD("tos.rtd",,"VOLUME","."&amp;V$2&amp;V$1&amp;"C"&amp;$A37)*RTD("tos.rtd",,"LAST","."&amp;V$2&amp;V$1&amp;"C"&amp;$A37)+100*RTD("tos.rtd",,"VOLUME","."&amp;V$2&amp;V$1&amp;"P"&amp;$A37)*RTD("tos.rtd",,"LAST","."&amp;V$2&amp;V$1&amp;"P"&amp;$A37))/1000000,(100*RTD("tos.rtd",,"VOLUME","."&amp;V$2&amp;V$1&amp;"C"&amp;$A37)*RTD("tos.rtd",,"LAST","."&amp;V$2&amp;V$1&amp;"C"&amp;$A37)-100*RTD("tos.rtd",,"VOLUME","."&amp;V$2&amp;V$1&amp;"P"&amp;$A37)*RTD("tos.rtd",,"LAST","."&amp;V$2&amp;V$1&amp;"P"&amp;$A37))/1000000),0),IF($A$2="DEX",IFERROR(IF($X$1="ABS",(100*RTD("tos.rtd",,"OPEN_INT","."&amp;V$2&amp;V$1&amp;"C"&amp;$A37)*RTD("tos.rtd",,"DELTA","."&amp;V$2&amp;V$1&amp;"C"&amp;$A37)+100*RTD("tos.rtd",,"OPEN_INT","."&amp;V$2&amp;V$1&amp;"P"&amp;$A37)*RTD("tos.rtd",,"DELTA","."&amp;V$2&amp;V$1&amp;"P"&amp;$A37))/1000,(100*RTD("tos.rtd",,"OPEN_INT","."&amp;V$2&amp;V$1&amp;"C"&amp;$A37)*RTD("tos.rtd",,"DELTA","."&amp;V$2&amp;V$1&amp;"C"&amp;$A37)-100*RTD("tos.rtd",,"OPEN_INT","."&amp;V$2&amp;V$1&amp;"P"&amp;$A37)*RTD("tos.rtd",,"DELTA","."&amp;V$2&amp;V$1&amp;"P"&amp;$A37))/1000),0),IF($A$2="VEX",IFERROR(IF($X$1="ABS",($A$4*$A$4*RTD("tos.rtd",,"VOLUME","."&amp;V$2&amp;V$1&amp;"C"&amp;$A37)*RTD("tos.rtd",,"GAMMA","."&amp;V$2&amp;V$1&amp;"C"&amp;$A37)+$A$4*$A$4*RTD("tos.rtd",,"VOLUME","."&amp;V$2&amp;V$1&amp;"P"&amp;$A37)*RTD("tos.rtd",,"GAMMA","."&amp;V$2&amp;V$1&amp;"P"&amp;$A37))/1000000,($A$4*$A$4*RTD("tos.rtd",,"VOLUME","."&amp;V$2&amp;V$1&amp;"C"&amp;$A37)*RTD("tos.rtd",,"GAMMA","."&amp;V$2&amp;V$1&amp;"C"&amp;$A37)-$A$4*$A$4*RTD("tos.rtd",,"VOLUME","."&amp;V$2&amp;V$1&amp;"P"&amp;$A37)*RTD("tos.rtd",,"GAMMA","."&amp;V$2&amp;V$1&amp;"P"&amp;$A37))/1000000),0),IF($A$2="GEX",IFERROR(IF($X$1="ABS",($A$4*$A$4*RTD("tos.rtd",,"OPEN_INT","."&amp;V$2&amp;V$1&amp;"C"&amp;$A37)*RTD("tos.rtd",,"GAMMA","."&amp;V$2&amp;V$1&amp;"C"&amp;$A37)+$A$4*$A$4*RTD("tos.rtd",,"OPEN_INT","."&amp;V$2&amp;V$1&amp;"P"&amp;$A37)*RTD("tos.rtd",,"GAMMA","."&amp;V$2&amp;V$1&amp;"P"&amp;$A37))/1000000,($A$4*$A$4*RTD("tos.rtd",,"OPEN_INT","."&amp;V$2&amp;V$1&amp;"C"&amp;$A37)*RTD("tos.rtd",,"GAMMA","."&amp;V$2&amp;V$1&amp;"C"&amp;$A37)-$A$4*$A$4*RTD("tos.rtd",,"OPEN_INT","."&amp;V$2&amp;V$1&amp;"P"&amp;$A37)*RTD("tos.rtd",,"GAMMA","."&amp;V$2&amp;V$1&amp;"P"&amp;$A37))/1000000),0),IF($A$2="SKEW",IFERROR(VALUE(IF(RTD("tos.rtd",,"IMPL_VOL","."&amp;V$2&amp;V$1&amp;"P"&amp;$A37)="N/A",0,RTD("tos.rtd",,"IMPL_VOL","."&amp;V$2&amp;V$1&amp;"P"&amp;$A37))),0)-IFERROR(VALUE(IF(RTD("tos.rtd",,"IMPL_VOL","."&amp;V$2&amp;V$1&amp;"C"&amp;$A37)="N/A",0,RTD("tos.rtd",,"IMPL_VOL","."&amp;V$2&amp;V$1&amp;"C"&amp;$A37))),0),IF($A$2="MAXPAIN",IF($A$4&gt;$A37,($A$4-$A37)*IF(RTD("tos.rtd",,"OPEN_INT","."&amp;V$2&amp;V$1&amp;"C"&amp;$A37)="N/A",0,RTD("tos.rtd",,"OPEN_INT","."&amp;V$2&amp;V$1&amp;"C"&amp;$A37)),0)+IF($A$4&lt;$A37,($A$5-$A$4)*IF(RTD("tos.rtd",,"OPEN_INT","."&amp;V$2&amp;V$1&amp;"P"&amp;$A37)="N/A",0,RTD("tos.rtd",,"OPEN_INT","."&amp;V$2&amp;V$1&amp;"P"&amp;$A37)),0),IF($X$1="ABS",IF(RTD("tos.rtd",,$A$2,"."&amp;V$2&amp;V$1&amp;"C"&amp;$A37)="N/A",0,RTD("tos.rtd",,$A$2,"."&amp;V$2&amp;V$1&amp;"C"&amp;$A37))+IF(RTD("tos.rtd",,$A$2,"."&amp;V$2&amp;V$1&amp;"P"&amp;$A37)="N/A",0,RTD("tos.rtd",,$A$2,"."&amp;V$2&amp;V$1&amp;"P"&amp;$A37)),IF(RTD("tos.rtd",,$A$2,"."&amp;V$2&amp;V$1&amp;"C"&amp;$A37)="N/A",0,RTD("tos.rtd",,$A$2,"."&amp;V$2&amp;V$1&amp;"C"&amp;$A37))-IF(RTD("tos.rtd",,$A$2,"."&amp;V$2&amp;V$1&amp;"P"&amp;$A37)="N/A",0,RTD("tos.rtd",,$A$2,"."&amp;V$2&amp;V$1&amp;"P"&amp;$A37))))))))))</f>
        <v>0</v>
      </c>
      <c r="W37" s="12">
        <f ca="1">IF($A$2="PREMIUM_OI",IFERROR(IF($X$1="ABS",(100*RTD("tos.rtd",,"OPEN_INT","."&amp;W$2&amp;W$1&amp;"C"&amp;$A37)*RTD("tos.rtd",,"LAST","."&amp;W$2&amp;W$1&amp;"C"&amp;$A37)+100*RTD("tos.rtd",,"OPEN_INT","."&amp;W$2&amp;W$1&amp;"P"&amp;$A37)*RTD("tos.rtd",,"LAST","."&amp;W$2&amp;W$1&amp;"P"&amp;$A37))/1000000,(100*RTD("tos.rtd",,"OPEN_INT","."&amp;W$2&amp;W$1&amp;"C"&amp;$A37)*RTD("tos.rtd",,"LAST","."&amp;W$2&amp;W$1&amp;"C"&amp;$A37)-100*RTD("tos.rtd",,"OPEN_INT","."&amp;W$2&amp;W$1&amp;"P"&amp;$A37)*RTD("tos.rtd",,"LAST","."&amp;W$2&amp;W$1&amp;"P"&amp;$A37))/1000000),0),IF($A$2="PREMIUM",IFERROR(IF($X$1="ABS",(100*RTD("tos.rtd",,"VOLUME","."&amp;W$2&amp;W$1&amp;"C"&amp;$A37)*RTD("tos.rtd",,"LAST","."&amp;W$2&amp;W$1&amp;"C"&amp;$A37)+100*RTD("tos.rtd",,"VOLUME","."&amp;W$2&amp;W$1&amp;"P"&amp;$A37)*RTD("tos.rtd",,"LAST","."&amp;W$2&amp;W$1&amp;"P"&amp;$A37))/1000000,(100*RTD("tos.rtd",,"VOLUME","."&amp;W$2&amp;W$1&amp;"C"&amp;$A37)*RTD("tos.rtd",,"LAST","."&amp;W$2&amp;W$1&amp;"C"&amp;$A37)-100*RTD("tos.rtd",,"VOLUME","."&amp;W$2&amp;W$1&amp;"P"&amp;$A37)*RTD("tos.rtd",,"LAST","."&amp;W$2&amp;W$1&amp;"P"&amp;$A37))/1000000),0),IF($A$2="DEX",IFERROR(IF($X$1="ABS",(100*RTD("tos.rtd",,"OPEN_INT","."&amp;W$2&amp;W$1&amp;"C"&amp;$A37)*RTD("tos.rtd",,"DELTA","."&amp;W$2&amp;W$1&amp;"C"&amp;$A37)+100*RTD("tos.rtd",,"OPEN_INT","."&amp;W$2&amp;W$1&amp;"P"&amp;$A37)*RTD("tos.rtd",,"DELTA","."&amp;W$2&amp;W$1&amp;"P"&amp;$A37))/1000,(100*RTD("tos.rtd",,"OPEN_INT","."&amp;W$2&amp;W$1&amp;"C"&amp;$A37)*RTD("tos.rtd",,"DELTA","."&amp;W$2&amp;W$1&amp;"C"&amp;$A37)-100*RTD("tos.rtd",,"OPEN_INT","."&amp;W$2&amp;W$1&amp;"P"&amp;$A37)*RTD("tos.rtd",,"DELTA","."&amp;W$2&amp;W$1&amp;"P"&amp;$A37))/1000),0),IF($A$2="VEX",IFERROR(IF($X$1="ABS",($A$4*$A$4*RTD("tos.rtd",,"VOLUME","."&amp;W$2&amp;W$1&amp;"C"&amp;$A37)*RTD("tos.rtd",,"GAMMA","."&amp;W$2&amp;W$1&amp;"C"&amp;$A37)+$A$4*$A$4*RTD("tos.rtd",,"VOLUME","."&amp;W$2&amp;W$1&amp;"P"&amp;$A37)*RTD("tos.rtd",,"GAMMA","."&amp;W$2&amp;W$1&amp;"P"&amp;$A37))/1000000,($A$4*$A$4*RTD("tos.rtd",,"VOLUME","."&amp;W$2&amp;W$1&amp;"C"&amp;$A37)*RTD("tos.rtd",,"GAMMA","."&amp;W$2&amp;W$1&amp;"C"&amp;$A37)-$A$4*$A$4*RTD("tos.rtd",,"VOLUME","."&amp;W$2&amp;W$1&amp;"P"&amp;$A37)*RTD("tos.rtd",,"GAMMA","."&amp;W$2&amp;W$1&amp;"P"&amp;$A37))/1000000),0),IF($A$2="GEX",IFERROR(IF($X$1="ABS",($A$4*$A$4*RTD("tos.rtd",,"OPEN_INT","."&amp;W$2&amp;W$1&amp;"C"&amp;$A37)*RTD("tos.rtd",,"GAMMA","."&amp;W$2&amp;W$1&amp;"C"&amp;$A37)+$A$4*$A$4*RTD("tos.rtd",,"OPEN_INT","."&amp;W$2&amp;W$1&amp;"P"&amp;$A37)*RTD("tos.rtd",,"GAMMA","."&amp;W$2&amp;W$1&amp;"P"&amp;$A37))/1000000,($A$4*$A$4*RTD("tos.rtd",,"OPEN_INT","."&amp;W$2&amp;W$1&amp;"C"&amp;$A37)*RTD("tos.rtd",,"GAMMA","."&amp;W$2&amp;W$1&amp;"C"&amp;$A37)-$A$4*$A$4*RTD("tos.rtd",,"OPEN_INT","."&amp;W$2&amp;W$1&amp;"P"&amp;$A37)*RTD("tos.rtd",,"GAMMA","."&amp;W$2&amp;W$1&amp;"P"&amp;$A37))/1000000),0),IF($A$2="SKEW",IFERROR(VALUE(IF(RTD("tos.rtd",,"IMPL_VOL","."&amp;W$2&amp;W$1&amp;"P"&amp;$A37)="N/A",0,RTD("tos.rtd",,"IMPL_VOL","."&amp;W$2&amp;W$1&amp;"P"&amp;$A37))),0)-IFERROR(VALUE(IF(RTD("tos.rtd",,"IMPL_VOL","."&amp;W$2&amp;W$1&amp;"C"&amp;$A37)="N/A",0,RTD("tos.rtd",,"IMPL_VOL","."&amp;W$2&amp;W$1&amp;"C"&amp;$A37))),0),IF($A$2="MAXPAIN",IF($A$4&gt;$A37,($A$4-$A37)*IF(RTD("tos.rtd",,"OPEN_INT","."&amp;W$2&amp;W$1&amp;"C"&amp;$A37)="N/A",0,RTD("tos.rtd",,"OPEN_INT","."&amp;W$2&amp;W$1&amp;"C"&amp;$A37)),0)+IF($A$4&lt;$A37,($A$5-$A$4)*IF(RTD("tos.rtd",,"OPEN_INT","."&amp;W$2&amp;W$1&amp;"P"&amp;$A37)="N/A",0,RTD("tos.rtd",,"OPEN_INT","."&amp;W$2&amp;W$1&amp;"P"&amp;$A37)),0),IF($X$1="ABS",IF(RTD("tos.rtd",,$A$2,"."&amp;W$2&amp;W$1&amp;"C"&amp;$A37)="N/A",0,RTD("tos.rtd",,$A$2,"."&amp;W$2&amp;W$1&amp;"C"&amp;$A37))+IF(RTD("tos.rtd",,$A$2,"."&amp;W$2&amp;W$1&amp;"P"&amp;$A37)="N/A",0,RTD("tos.rtd",,$A$2,"."&amp;W$2&amp;W$1&amp;"P"&amp;$A37)),IF(RTD("tos.rtd",,$A$2,"."&amp;W$2&amp;W$1&amp;"C"&amp;$A37)="N/A",0,RTD("tos.rtd",,$A$2,"."&amp;W$2&amp;W$1&amp;"C"&amp;$A37))-IF(RTD("tos.rtd",,$A$2,"."&amp;W$2&amp;W$1&amp;"P"&amp;$A37)="N/A",0,RTD("tos.rtd",,$A$2,"."&amp;W$2&amp;W$1&amp;"P"&amp;$A37))))))))))</f>
        <v>0</v>
      </c>
      <c r="X37" s="57">
        <f t="shared" ca="1" si="7"/>
        <v>-2346</v>
      </c>
      <c r="Y37" s="27">
        <f t="shared" ca="1" si="8"/>
        <v>-2346</v>
      </c>
      <c r="Z37" s="27">
        <f t="shared" ca="1" si="9"/>
        <v>6271.666666666667</v>
      </c>
      <c r="AA37" s="27">
        <f t="shared" si="10"/>
        <v>10807750</v>
      </c>
      <c r="AB37" s="18">
        <f>MAX(0, $A37-AB$4)*IF(RTD("tos.rtd",,"OPEN_INT","."&amp;$AA$3&amp;$AA$4&amp;"C"&amp;AB$4)="N/A",0,RTD("tos.rtd",,"OPEN_INT","."&amp;$AA$3&amp;$AA$4&amp;"C"&amp;AB$4))*100 + MAX(0, AB$4-$A37)*IF(RTD("tos.rtd",,"OPEN_INT","."&amp;$AA$3&amp;$AA$4&amp;"P"&amp;AB$4)="N/A",0,RTD("tos.rtd",,"OPEN_INT","."&amp;$AA$3&amp;$AA$4&amp;"P"&amp;AB$4))*100</f>
        <v>0</v>
      </c>
      <c r="AC37" s="18">
        <f>MAX(0, $A37-AC$4)*IF(RTD("tos.rtd",,"OPEN_INT","."&amp;$AA$3&amp;$AA$4&amp;"C"&amp;AC$4)="N/A",0,RTD("tos.rtd",,"OPEN_INT","."&amp;$AA$3&amp;$AA$4&amp;"C"&amp;AC$4))*100 + MAX(0, AC$4-$A37)*IF(RTD("tos.rtd",,"OPEN_INT","."&amp;$AA$3&amp;$AA$4&amp;"P"&amp;AC$4)="N/A",0,RTD("tos.rtd",,"OPEN_INT","."&amp;$AA$3&amp;$AA$4&amp;"P"&amp;AC$4))*100</f>
        <v>0</v>
      </c>
      <c r="AD37" s="18">
        <f>MAX(0, $A37-AD$4)*IF(RTD("tos.rtd",,"OPEN_INT","."&amp;$AA$3&amp;$AA$4&amp;"C"&amp;AD$4)="N/A",0,RTD("tos.rtd",,"OPEN_INT","."&amp;$AA$3&amp;$AA$4&amp;"C"&amp;AD$4))*100 + MAX(0, AD$4-$A37)*IF(RTD("tos.rtd",,"OPEN_INT","."&amp;$AA$3&amp;$AA$4&amp;"P"&amp;AD$4)="N/A",0,RTD("tos.rtd",,"OPEN_INT","."&amp;$AA$3&amp;$AA$4&amp;"P"&amp;AD$4))*100</f>
        <v>0</v>
      </c>
      <c r="AE37" s="18">
        <f>MAX(0, $A37-AE$4)*IF(RTD("tos.rtd",,"OPEN_INT","."&amp;$AA$3&amp;$AA$4&amp;"C"&amp;AE$4)="N/A",0,RTD("tos.rtd",,"OPEN_INT","."&amp;$AA$3&amp;$AA$4&amp;"C"&amp;AE$4))*100 + MAX(0, AE$4-$A37)*IF(RTD("tos.rtd",,"OPEN_INT","."&amp;$AA$3&amp;$AA$4&amp;"P"&amp;AE$4)="N/A",0,RTD("tos.rtd",,"OPEN_INT","."&amp;$AA$3&amp;$AA$4&amp;"P"&amp;AE$4))*100</f>
        <v>0</v>
      </c>
      <c r="AF37" s="18">
        <f>MAX(0, $A37-AF$4)*IF(RTD("tos.rtd",,"OPEN_INT","."&amp;$AA$3&amp;$AA$4&amp;"C"&amp;AF$4)="N/A",0,RTD("tos.rtd",,"OPEN_INT","."&amp;$AA$3&amp;$AA$4&amp;"C"&amp;AF$4))*100 + MAX(0, AF$4-$A37)*IF(RTD("tos.rtd",,"OPEN_INT","."&amp;$AA$3&amp;$AA$4&amp;"P"&amp;AF$4)="N/A",0,RTD("tos.rtd",,"OPEN_INT","."&amp;$AA$3&amp;$AA$4&amp;"P"&amp;AF$4))*100</f>
        <v>0</v>
      </c>
      <c r="AG37" s="18">
        <f>MAX(0, $A37-AG$4)*IF(RTD("tos.rtd",,"OPEN_INT","."&amp;$AA$3&amp;$AA$4&amp;"C"&amp;AG$4)="N/A",0,RTD("tos.rtd",,"OPEN_INT","."&amp;$AA$3&amp;$AA$4&amp;"C"&amp;AG$4))*100 + MAX(0, AG$4-$A37)*IF(RTD("tos.rtd",,"OPEN_INT","."&amp;$AA$3&amp;$AA$4&amp;"P"&amp;AG$4)="N/A",0,RTD("tos.rtd",,"OPEN_INT","."&amp;$AA$3&amp;$AA$4&amp;"P"&amp;AG$4))*100</f>
        <v>0</v>
      </c>
      <c r="AH37" s="18">
        <f>MAX(0, $A37-AH$4)*IF(RTD("tos.rtd",,"OPEN_INT","."&amp;$AA$3&amp;$AA$4&amp;"C"&amp;AH$4)="N/A",0,RTD("tos.rtd",,"OPEN_INT","."&amp;$AA$3&amp;$AA$4&amp;"C"&amp;AH$4))*100 + MAX(0, AH$4-$A37)*IF(RTD("tos.rtd",,"OPEN_INT","."&amp;$AA$3&amp;$AA$4&amp;"P"&amp;AH$4)="N/A",0,RTD("tos.rtd",,"OPEN_INT","."&amp;$AA$3&amp;$AA$4&amp;"P"&amp;AH$4))*100</f>
        <v>0</v>
      </c>
      <c r="AI37" s="18">
        <f>MAX(0, $A37-AI$4)*IF(RTD("tos.rtd",,"OPEN_INT","."&amp;$AA$3&amp;$AA$4&amp;"C"&amp;AI$4)="N/A",0,RTD("tos.rtd",,"OPEN_INT","."&amp;$AA$3&amp;$AA$4&amp;"C"&amp;AI$4))*100 + MAX(0, AI$4-$A37)*IF(RTD("tos.rtd",,"OPEN_INT","."&amp;$AA$3&amp;$AA$4&amp;"P"&amp;AI$4)="N/A",0,RTD("tos.rtd",,"OPEN_INT","."&amp;$AA$3&amp;$AA$4&amp;"P"&amp;AI$4))*100</f>
        <v>3750</v>
      </c>
      <c r="AJ37" s="18">
        <f>MAX(0, $A37-AJ$4)*IF(RTD("tos.rtd",,"OPEN_INT","."&amp;$AA$3&amp;$AA$4&amp;"C"&amp;AJ$4)="N/A",0,RTD("tos.rtd",,"OPEN_INT","."&amp;$AA$3&amp;$AA$4&amp;"C"&amp;AJ$4))*100 + MAX(0, AJ$4-$A37)*IF(RTD("tos.rtd",,"OPEN_INT","."&amp;$AA$3&amp;$AA$4&amp;"P"&amp;AJ$4)="N/A",0,RTD("tos.rtd",,"OPEN_INT","."&amp;$AA$3&amp;$AA$4&amp;"P"&amp;AJ$4))*100</f>
        <v>9600</v>
      </c>
      <c r="AK37" s="18">
        <f>MAX(0, $A37-AK$4)*IF(RTD("tos.rtd",,"OPEN_INT","."&amp;$AA$3&amp;$AA$4&amp;"C"&amp;AK$4)="N/A",0,RTD("tos.rtd",,"OPEN_INT","."&amp;$AA$3&amp;$AA$4&amp;"C"&amp;AK$4))*100 + MAX(0, AK$4-$A37)*IF(RTD("tos.rtd",,"OPEN_INT","."&amp;$AA$3&amp;$AA$4&amp;"P"&amp;AK$4)="N/A",0,RTD("tos.rtd",,"OPEN_INT","."&amp;$AA$3&amp;$AA$4&amp;"P"&amp;AK$4))*100</f>
        <v>0</v>
      </c>
      <c r="AL37" s="18">
        <f>MAX(0, $A37-AL$4)*IF(RTD("tos.rtd",,"OPEN_INT","."&amp;$AA$3&amp;$AA$4&amp;"C"&amp;AL$4)="N/A",0,RTD("tos.rtd",,"OPEN_INT","."&amp;$AA$3&amp;$AA$4&amp;"C"&amp;AL$4))*100 + MAX(0, AL$4-$A37)*IF(RTD("tos.rtd",,"OPEN_INT","."&amp;$AA$3&amp;$AA$4&amp;"P"&amp;AL$4)="N/A",0,RTD("tos.rtd",,"OPEN_INT","."&amp;$AA$3&amp;$AA$4&amp;"P"&amp;AL$4))*100</f>
        <v>0</v>
      </c>
      <c r="AM37" s="18">
        <f>MAX(0, $A37-AM$4)*IF(RTD("tos.rtd",,"OPEN_INT","."&amp;$AA$3&amp;$AA$4&amp;"C"&amp;AM$4)="N/A",0,RTD("tos.rtd",,"OPEN_INT","."&amp;$AA$3&amp;$AA$4&amp;"C"&amp;AM$4))*100 + MAX(0, AM$4-$A37)*IF(RTD("tos.rtd",,"OPEN_INT","."&amp;$AA$3&amp;$AA$4&amp;"P"&amp;AM$4)="N/A",0,RTD("tos.rtd",,"OPEN_INT","."&amp;$AA$3&amp;$AA$4&amp;"P"&amp;AM$4))*100</f>
        <v>0</v>
      </c>
      <c r="AN37" s="18">
        <f>MAX(0, $A37-AN$4)*IF(RTD("tos.rtd",,"OPEN_INT","."&amp;$AA$3&amp;$AA$4&amp;"C"&amp;AN$4)="N/A",0,RTD("tos.rtd",,"OPEN_INT","."&amp;$AA$3&amp;$AA$4&amp;"C"&amp;AN$4))*100 + MAX(0, AN$4-$A37)*IF(RTD("tos.rtd",,"OPEN_INT","."&amp;$AA$3&amp;$AA$4&amp;"P"&amp;AN$4)="N/A",0,RTD("tos.rtd",,"OPEN_INT","."&amp;$AA$3&amp;$AA$4&amp;"P"&amp;AN$4))*100</f>
        <v>0</v>
      </c>
      <c r="AO37" s="18">
        <f>MAX(0, $A37-AO$4)*IF(RTD("tos.rtd",,"OPEN_INT","."&amp;$AA$3&amp;$AA$4&amp;"C"&amp;AO$4)="N/A",0,RTD("tos.rtd",,"OPEN_INT","."&amp;$AA$3&amp;$AA$4&amp;"C"&amp;AO$4))*100 + MAX(0, AO$4-$A37)*IF(RTD("tos.rtd",,"OPEN_INT","."&amp;$AA$3&amp;$AA$4&amp;"P"&amp;AO$4)="N/A",0,RTD("tos.rtd",,"OPEN_INT","."&amp;$AA$3&amp;$AA$4&amp;"P"&amp;AO$4))*100</f>
        <v>114000</v>
      </c>
      <c r="AP37" s="18">
        <f>MAX(0, $A37-AP$4)*IF(RTD("tos.rtd",,"OPEN_INT","."&amp;$AA$3&amp;$AA$4&amp;"C"&amp;AP$4)="N/A",0,RTD("tos.rtd",,"OPEN_INT","."&amp;$AA$3&amp;$AA$4&amp;"C"&amp;AP$4))*100 + MAX(0, AP$4-$A37)*IF(RTD("tos.rtd",,"OPEN_INT","."&amp;$AA$3&amp;$AA$4&amp;"P"&amp;AP$4)="N/A",0,RTD("tos.rtd",,"OPEN_INT","."&amp;$AA$3&amp;$AA$4&amp;"P"&amp;AP$4))*100</f>
        <v>0</v>
      </c>
      <c r="AQ37" s="18">
        <f>MAX(0, $A37-AQ$4)*IF(RTD("tos.rtd",,"OPEN_INT","."&amp;$AA$3&amp;$AA$4&amp;"C"&amp;AQ$4)="N/A",0,RTD("tos.rtd",,"OPEN_INT","."&amp;$AA$3&amp;$AA$4&amp;"C"&amp;AQ$4))*100 + MAX(0, AQ$4-$A37)*IF(RTD("tos.rtd",,"OPEN_INT","."&amp;$AA$3&amp;$AA$4&amp;"P"&amp;AQ$4)="N/A",0,RTD("tos.rtd",,"OPEN_INT","."&amp;$AA$3&amp;$AA$4&amp;"P"&amp;AQ$4))*100</f>
        <v>45050</v>
      </c>
      <c r="AR37" s="18">
        <f>MAX(0, $A37-AR$4)*IF(RTD("tos.rtd",,"OPEN_INT","."&amp;$AA$3&amp;$AA$4&amp;"C"&amp;AR$4)="N/A",0,RTD("tos.rtd",,"OPEN_INT","."&amp;$AA$3&amp;$AA$4&amp;"C"&amp;AR$4))*100 + MAX(0, AR$4-$A37)*IF(RTD("tos.rtd",,"OPEN_INT","."&amp;$AA$3&amp;$AA$4&amp;"P"&amp;AR$4)="N/A",0,RTD("tos.rtd",,"OPEN_INT","."&amp;$AA$3&amp;$AA$4&amp;"P"&amp;AR$4))*100</f>
        <v>4800</v>
      </c>
      <c r="AS37" s="18">
        <f>MAX(0, $A37-AS$4)*IF(RTD("tos.rtd",,"OPEN_INT","."&amp;$AA$3&amp;$AA$4&amp;"C"&amp;AS$4)="N/A",0,RTD("tos.rtd",,"OPEN_INT","."&amp;$AA$3&amp;$AA$4&amp;"C"&amp;AS$4))*100 + MAX(0, AS$4-$A37)*IF(RTD("tos.rtd",,"OPEN_INT","."&amp;$AA$3&amp;$AA$4&amp;"P"&amp;AS$4)="N/A",0,RTD("tos.rtd",,"OPEN_INT","."&amp;$AA$3&amp;$AA$4&amp;"P"&amp;AS$4))*100</f>
        <v>46500</v>
      </c>
      <c r="AT37" s="18">
        <f>MAX(0, $A37-AT$4)*IF(RTD("tos.rtd",,"OPEN_INT","."&amp;$AA$3&amp;$AA$4&amp;"C"&amp;AT$4)="N/A",0,RTD("tos.rtd",,"OPEN_INT","."&amp;$AA$3&amp;$AA$4&amp;"C"&amp;AT$4))*100 + MAX(0, AT$4-$A37)*IF(RTD("tos.rtd",,"OPEN_INT","."&amp;$AA$3&amp;$AA$4&amp;"P"&amp;AT$4)="N/A",0,RTD("tos.rtd",,"OPEN_INT","."&amp;$AA$3&amp;$AA$4&amp;"P"&amp;AT$4))*100</f>
        <v>49000</v>
      </c>
      <c r="AU37" s="18">
        <f>MAX(0, $A37-AU$4)*IF(RTD("tos.rtd",,"OPEN_INT","."&amp;$AA$3&amp;$AA$4&amp;"C"&amp;AU$4)="N/A",0,RTD("tos.rtd",,"OPEN_INT","."&amp;$AA$3&amp;$AA$4&amp;"C"&amp;AU$4))*100 + MAX(0, AU$4-$A37)*IF(RTD("tos.rtd",,"OPEN_INT","."&amp;$AA$3&amp;$AA$4&amp;"P"&amp;AU$4)="N/A",0,RTD("tos.rtd",,"OPEN_INT","."&amp;$AA$3&amp;$AA$4&amp;"P"&amp;AU$4))*100</f>
        <v>26000</v>
      </c>
      <c r="AV37" s="18">
        <f>MAX(0, $A37-AV$4)*IF(RTD("tos.rtd",,"OPEN_INT","."&amp;$AA$3&amp;$AA$4&amp;"C"&amp;AV$4)="N/A",0,RTD("tos.rtd",,"OPEN_INT","."&amp;$AA$3&amp;$AA$4&amp;"C"&amp;AV$4))*100 + MAX(0, AV$4-$A37)*IF(RTD("tos.rtd",,"OPEN_INT","."&amp;$AA$3&amp;$AA$4&amp;"P"&amp;AV$4)="N/A",0,RTD("tos.rtd",,"OPEN_INT","."&amp;$AA$3&amp;$AA$4&amp;"P"&amp;AV$4))*100</f>
        <v>96600</v>
      </c>
      <c r="AW37" s="18">
        <f>MAX(0, $A37-AW$4)*IF(RTD("tos.rtd",,"OPEN_INT","."&amp;$AA$3&amp;$AA$4&amp;"C"&amp;AW$4)="N/A",0,RTD("tos.rtd",,"OPEN_INT","."&amp;$AA$3&amp;$AA$4&amp;"C"&amp;AW$4))*100 + MAX(0, AW$4-$A37)*IF(RTD("tos.rtd",,"OPEN_INT","."&amp;$AA$3&amp;$AA$4&amp;"P"&amp;AW$4)="N/A",0,RTD("tos.rtd",,"OPEN_INT","."&amp;$AA$3&amp;$AA$4&amp;"P"&amp;AW$4))*100</f>
        <v>111100</v>
      </c>
      <c r="AX37" s="18">
        <f>MAX(0, $A37-AX$4)*IF(RTD("tos.rtd",,"OPEN_INT","."&amp;$AA$3&amp;$AA$4&amp;"C"&amp;AX$4)="N/A",0,RTD("tos.rtd",,"OPEN_INT","."&amp;$AA$3&amp;$AA$4&amp;"C"&amp;AX$4))*100 + MAX(0, AX$4-$A37)*IF(RTD("tos.rtd",,"OPEN_INT","."&amp;$AA$3&amp;$AA$4&amp;"P"&amp;AX$4)="N/A",0,RTD("tos.rtd",,"OPEN_INT","."&amp;$AA$3&amp;$AA$4&amp;"P"&amp;AX$4))*100</f>
        <v>123500</v>
      </c>
      <c r="AY37" s="18">
        <f>MAX(0, $A37-AY$4)*IF(RTD("tos.rtd",,"OPEN_INT","."&amp;$AA$3&amp;$AA$4&amp;"C"&amp;AY$4)="N/A",0,RTD("tos.rtd",,"OPEN_INT","."&amp;$AA$3&amp;$AA$4&amp;"C"&amp;AY$4))*100 + MAX(0, AY$4-$A37)*IF(RTD("tos.rtd",,"OPEN_INT","."&amp;$AA$3&amp;$AA$4&amp;"P"&amp;AY$4)="N/A",0,RTD("tos.rtd",,"OPEN_INT","."&amp;$AA$3&amp;$AA$4&amp;"P"&amp;AY$4))*100</f>
        <v>933300</v>
      </c>
      <c r="AZ37" s="18">
        <f>MAX(0, $A37-AZ$4)*IF(RTD("tos.rtd",,"OPEN_INT","."&amp;$AA$3&amp;$AA$4&amp;"C"&amp;AZ$4)="N/A",0,RTD("tos.rtd",,"OPEN_INT","."&amp;$AA$3&amp;$AA$4&amp;"C"&amp;AZ$4))*100 + MAX(0, AZ$4-$A37)*IF(RTD("tos.rtd",,"OPEN_INT","."&amp;$AA$3&amp;$AA$4&amp;"P"&amp;AZ$4)="N/A",0,RTD("tos.rtd",,"OPEN_INT","."&amp;$AA$3&amp;$AA$4&amp;"P"&amp;AZ$4))*100</f>
        <v>227200</v>
      </c>
      <c r="BA37" s="18">
        <f>MAX(0, $A37-BA$4)*IF(RTD("tos.rtd",,"OPEN_INT","."&amp;$AA$3&amp;$AA$4&amp;"C"&amp;BA$4)="N/A",0,RTD("tos.rtd",,"OPEN_INT","."&amp;$AA$3&amp;$AA$4&amp;"C"&amp;BA$4))*100 + MAX(0, BA$4-$A37)*IF(RTD("tos.rtd",,"OPEN_INT","."&amp;$AA$3&amp;$AA$4&amp;"P"&amp;BA$4)="N/A",0,RTD("tos.rtd",,"OPEN_INT","."&amp;$AA$3&amp;$AA$4&amp;"P"&amp;BA$4))*100</f>
        <v>819000</v>
      </c>
      <c r="BB37" s="18">
        <f>MAX(0, $A37-BB$4)*IF(RTD("tos.rtd",,"OPEN_INT","."&amp;$AA$3&amp;$AA$4&amp;"C"&amp;BB$4)="N/A",0,RTD("tos.rtd",,"OPEN_INT","."&amp;$AA$3&amp;$AA$4&amp;"C"&amp;BB$4))*100 + MAX(0, BB$4-$A37)*IF(RTD("tos.rtd",,"OPEN_INT","."&amp;$AA$3&amp;$AA$4&amp;"P"&amp;BB$4)="N/A",0,RTD("tos.rtd",,"OPEN_INT","."&amp;$AA$3&amp;$AA$4&amp;"P"&amp;BB$4))*100</f>
        <v>685200</v>
      </c>
      <c r="BC37" s="18">
        <f>MAX(0, $A37-BC$4)*IF(RTD("tos.rtd",,"OPEN_INT","."&amp;$AA$3&amp;$AA$4&amp;"C"&amp;BC$4)="N/A",0,RTD("tos.rtd",,"OPEN_INT","."&amp;$AA$3&amp;$AA$4&amp;"C"&amp;BC$4))*100 + MAX(0, BC$4-$A37)*IF(RTD("tos.rtd",,"OPEN_INT","."&amp;$AA$3&amp;$AA$4&amp;"P"&amp;BC$4)="N/A",0,RTD("tos.rtd",,"OPEN_INT","."&amp;$AA$3&amp;$AA$4&amp;"P"&amp;BC$4))*100</f>
        <v>1912750</v>
      </c>
      <c r="BD37" s="18">
        <f>MAX(0, $A37-BD$4)*IF(RTD("tos.rtd",,"OPEN_INT","."&amp;$AA$3&amp;$AA$4&amp;"C"&amp;BD$4)="N/A",0,RTD("tos.rtd",,"OPEN_INT","."&amp;$AA$3&amp;$AA$4&amp;"C"&amp;BD$4))*100 + MAX(0, BD$4-$A37)*IF(RTD("tos.rtd",,"OPEN_INT","."&amp;$AA$3&amp;$AA$4&amp;"P"&amp;BD$4)="N/A",0,RTD("tos.rtd",,"OPEN_INT","."&amp;$AA$3&amp;$AA$4&amp;"P"&amp;BD$4))*100</f>
        <v>1964200</v>
      </c>
      <c r="BE37" s="18">
        <f>MAX(0, $A37-BE$4)*IF(RTD("tos.rtd",,"OPEN_INT","."&amp;$AA$3&amp;$AA$4&amp;"C"&amp;BE$4)="N/A",0,RTD("tos.rtd",,"OPEN_INT","."&amp;$AA$3&amp;$AA$4&amp;"C"&amp;BE$4))*100 + MAX(0, BE$4-$A37)*IF(RTD("tos.rtd",,"OPEN_INT","."&amp;$AA$3&amp;$AA$4&amp;"P"&amp;BE$4)="N/A",0,RTD("tos.rtd",,"OPEN_INT","."&amp;$AA$3&amp;$AA$4&amp;"P"&amp;BE$4))*100</f>
        <v>1667400</v>
      </c>
      <c r="BF37" s="18">
        <f>MAX(0, $A37-BF$4)*IF(RTD("tos.rtd",,"OPEN_INT","."&amp;$AA$3&amp;$AA$4&amp;"C"&amp;BF$4)="N/A",0,RTD("tos.rtd",,"OPEN_INT","."&amp;$AA$3&amp;$AA$4&amp;"C"&amp;BF$4))*100 + MAX(0, BF$4-$A37)*IF(RTD("tos.rtd",,"OPEN_INT","."&amp;$AA$3&amp;$AA$4&amp;"P"&amp;BF$4)="N/A",0,RTD("tos.rtd",,"OPEN_INT","."&amp;$AA$3&amp;$AA$4&amp;"P"&amp;BF$4))*100</f>
        <v>1390900</v>
      </c>
      <c r="BG37" s="18">
        <f>MAX(0, $A37-BG$4)*IF(RTD("tos.rtd",,"OPEN_INT","."&amp;$AA$3&amp;$AA$4&amp;"C"&amp;BG$4)="N/A",0,RTD("tos.rtd",,"OPEN_INT","."&amp;$AA$3&amp;$AA$4&amp;"C"&amp;BG$4))*100 + MAX(0, BG$4-$A37)*IF(RTD("tos.rtd",,"OPEN_INT","."&amp;$AA$3&amp;$AA$4&amp;"P"&amp;BG$4)="N/A",0,RTD("tos.rtd",,"OPEN_INT","."&amp;$AA$3&amp;$AA$4&amp;"P"&amp;BG$4))*100</f>
        <v>453750</v>
      </c>
      <c r="BH37" s="18">
        <f>MAX(0, $A37-BH$4)*IF(RTD("tos.rtd",,"OPEN_INT","."&amp;$AA$3&amp;$AA$4&amp;"C"&amp;BH$4)="N/A",0,RTD("tos.rtd",,"OPEN_INT","."&amp;$AA$3&amp;$AA$4&amp;"C"&amp;BH$4))*100 + MAX(0, BH$4-$A37)*IF(RTD("tos.rtd",,"OPEN_INT","."&amp;$AA$3&amp;$AA$4&amp;"P"&amp;BH$4)="N/A",0,RTD("tos.rtd",,"OPEN_INT","."&amp;$AA$3&amp;$AA$4&amp;"P"&amp;BH$4))*100</f>
        <v>0</v>
      </c>
      <c r="BI37" s="18">
        <f>MAX(0, $A37-BI$4)*IF(RTD("tos.rtd",,"OPEN_INT","."&amp;$AA$3&amp;$AA$4&amp;"C"&amp;BI$4)="N/A",0,RTD("tos.rtd",,"OPEN_INT","."&amp;$AA$3&amp;$AA$4&amp;"C"&amp;BI$4))*100 + MAX(0, BI$4-$A37)*IF(RTD("tos.rtd",,"OPEN_INT","."&amp;$AA$3&amp;$AA$4&amp;"P"&amp;BI$4)="N/A",0,RTD("tos.rtd",,"OPEN_INT","."&amp;$AA$3&amp;$AA$4&amp;"P"&amp;BI$4))*100</f>
        <v>42100</v>
      </c>
      <c r="BJ37" s="18">
        <f>MAX(0, $A37-BJ$4)*IF(RTD("tos.rtd",,"OPEN_INT","."&amp;$AA$3&amp;$AA$4&amp;"C"&amp;BJ$4)="N/A",0,RTD("tos.rtd",,"OPEN_INT","."&amp;$AA$3&amp;$AA$4&amp;"C"&amp;BJ$4))*100 + MAX(0, BJ$4-$A37)*IF(RTD("tos.rtd",,"OPEN_INT","."&amp;$AA$3&amp;$AA$4&amp;"P"&amp;BJ$4)="N/A",0,RTD("tos.rtd",,"OPEN_INT","."&amp;$AA$3&amp;$AA$4&amp;"P"&amp;BJ$4))*100</f>
        <v>15100</v>
      </c>
      <c r="BK37" s="18">
        <f>MAX(0, $A37-BK$4)*IF(RTD("tos.rtd",,"OPEN_INT","."&amp;$AA$3&amp;$AA$4&amp;"C"&amp;BK$4)="N/A",0,RTD("tos.rtd",,"OPEN_INT","."&amp;$AA$3&amp;$AA$4&amp;"C"&amp;BK$4))*100 + MAX(0, BK$4-$A37)*IF(RTD("tos.rtd",,"OPEN_INT","."&amp;$AA$3&amp;$AA$4&amp;"P"&amp;BK$4)="N/A",0,RTD("tos.rtd",,"OPEN_INT","."&amp;$AA$3&amp;$AA$4&amp;"P"&amp;BK$4))*100</f>
        <v>39150</v>
      </c>
      <c r="BL37" s="18">
        <f>MAX(0, $A37-BL$4)*IF(RTD("tos.rtd",,"OPEN_INT","."&amp;$AA$3&amp;$AA$4&amp;"C"&amp;BL$4)="N/A",0,RTD("tos.rtd",,"OPEN_INT","."&amp;$AA$3&amp;$AA$4&amp;"C"&amp;BL$4))*100 + MAX(0, BL$4-$A37)*IF(RTD("tos.rtd",,"OPEN_INT","."&amp;$AA$3&amp;$AA$4&amp;"P"&amp;BL$4)="N/A",0,RTD("tos.rtd",,"OPEN_INT","."&amp;$AA$3&amp;$AA$4&amp;"P"&amp;BL$4))*100</f>
        <v>3200</v>
      </c>
      <c r="BM37" s="18">
        <f>MAX(0, $A37-BM$4)*IF(RTD("tos.rtd",,"OPEN_INT","."&amp;$AA$3&amp;$AA$4&amp;"C"&amp;BM$4)="N/A",0,RTD("tos.rtd",,"OPEN_INT","."&amp;$AA$3&amp;$AA$4&amp;"C"&amp;BM$4))*100 + MAX(0, BM$4-$A37)*IF(RTD("tos.rtd",,"OPEN_INT","."&amp;$AA$3&amp;$AA$4&amp;"P"&amp;BM$4)="N/A",0,RTD("tos.rtd",,"OPEN_INT","."&amp;$AA$3&amp;$AA$4&amp;"P"&amp;BM$4))*100</f>
        <v>2000</v>
      </c>
      <c r="BN37" s="18">
        <f>MAX(0, $A37-BN$4)*IF(RTD("tos.rtd",,"OPEN_INT","."&amp;$AA$3&amp;$AA$4&amp;"C"&amp;BN$4)="N/A",0,RTD("tos.rtd",,"OPEN_INT","."&amp;$AA$3&amp;$AA$4&amp;"C"&amp;BN$4))*100 + MAX(0, BN$4-$A37)*IF(RTD("tos.rtd",,"OPEN_INT","."&amp;$AA$3&amp;$AA$4&amp;"P"&amp;BN$4)="N/A",0,RTD("tos.rtd",,"OPEN_INT","."&amp;$AA$3&amp;$AA$4&amp;"P"&amp;BN$4))*100</f>
        <v>9300</v>
      </c>
      <c r="BO37" s="18">
        <f>MAX(0, $A37-BO$4)*IF(RTD("tos.rtd",,"OPEN_INT","."&amp;$AA$3&amp;$AA$4&amp;"C"&amp;BO$4)="N/A",0,RTD("tos.rtd",,"OPEN_INT","."&amp;$AA$3&amp;$AA$4&amp;"C"&amp;BO$4))*100 + MAX(0, BO$4-$A37)*IF(RTD("tos.rtd",,"OPEN_INT","."&amp;$AA$3&amp;$AA$4&amp;"P"&amp;BO$4)="N/A",0,RTD("tos.rtd",,"OPEN_INT","."&amp;$AA$3&amp;$AA$4&amp;"P"&amp;BO$4))*100</f>
        <v>13300</v>
      </c>
      <c r="BP37" s="18">
        <f>MAX(0, $A37-BP$4)*IF(RTD("tos.rtd",,"OPEN_INT","."&amp;$AA$3&amp;$AA$4&amp;"C"&amp;BP$4)="N/A",0,RTD("tos.rtd",,"OPEN_INT","."&amp;$AA$3&amp;$AA$4&amp;"C"&amp;BP$4))*100 + MAX(0, BP$4-$A37)*IF(RTD("tos.rtd",,"OPEN_INT","."&amp;$AA$3&amp;$AA$4&amp;"P"&amp;BP$4)="N/A",0,RTD("tos.rtd",,"OPEN_INT","."&amp;$AA$3&amp;$AA$4&amp;"P"&amp;BP$4))*100</f>
        <v>0</v>
      </c>
      <c r="BQ37" s="18">
        <f>MAX(0, $A37-BQ$4)*IF(RTD("tos.rtd",,"OPEN_INT","."&amp;$AA$3&amp;$AA$4&amp;"C"&amp;BQ$4)="N/A",0,RTD("tos.rtd",,"OPEN_INT","."&amp;$AA$3&amp;$AA$4&amp;"C"&amp;BQ$4))*100 + MAX(0, BQ$4-$A37)*IF(RTD("tos.rtd",,"OPEN_INT","."&amp;$AA$3&amp;$AA$4&amp;"P"&amp;BQ$4)="N/A",0,RTD("tos.rtd",,"OPEN_INT","."&amp;$AA$3&amp;$AA$4&amp;"P"&amp;BQ$4))*100</f>
        <v>0</v>
      </c>
      <c r="BR37" s="18">
        <f>MAX(0, $A37-BR$4)*IF(RTD("tos.rtd",,"OPEN_INT","."&amp;$AA$3&amp;$AA$4&amp;"C"&amp;BR$4)="N/A",0,RTD("tos.rtd",,"OPEN_INT","."&amp;$AA$3&amp;$AA$4&amp;"C"&amp;BR$4))*100 + MAX(0, BR$4-$A37)*IF(RTD("tos.rtd",,"OPEN_INT","."&amp;$AA$3&amp;$AA$4&amp;"P"&amp;BR$4)="N/A",0,RTD("tos.rtd",,"OPEN_INT","."&amp;$AA$3&amp;$AA$4&amp;"P"&amp;BR$4))*100</f>
        <v>0</v>
      </c>
      <c r="BS37" s="18">
        <f>MAX(0, $A37-BS$4)*IF(RTD("tos.rtd",,"OPEN_INT","."&amp;$AA$3&amp;$AA$4&amp;"C"&amp;BS$4)="N/A",0,RTD("tos.rtd",,"OPEN_INT","."&amp;$AA$3&amp;$AA$4&amp;"C"&amp;BS$4))*100 + MAX(0, BS$4-$A37)*IF(RTD("tos.rtd",,"OPEN_INT","."&amp;$AA$3&amp;$AA$4&amp;"P"&amp;BS$4)="N/A",0,RTD("tos.rtd",,"OPEN_INT","."&amp;$AA$3&amp;$AA$4&amp;"P"&amp;BS$4))*100</f>
        <v>0</v>
      </c>
      <c r="BT37" s="18">
        <f>MAX(0, $A37-BT$4)*IF(RTD("tos.rtd",,"OPEN_INT","."&amp;$AA$3&amp;$AA$4&amp;"C"&amp;BT$4)="N/A",0,RTD("tos.rtd",,"OPEN_INT","."&amp;$AA$3&amp;$AA$4&amp;"C"&amp;BT$4))*100 + MAX(0, BT$4-$A37)*IF(RTD("tos.rtd",,"OPEN_INT","."&amp;$AA$3&amp;$AA$4&amp;"P"&amp;BT$4)="N/A",0,RTD("tos.rtd",,"OPEN_INT","."&amp;$AA$3&amp;$AA$4&amp;"P"&amp;BT$4))*100</f>
        <v>0</v>
      </c>
      <c r="BU37" s="18">
        <f>MAX(0, $A37-BU$4)*IF(RTD("tos.rtd",,"OPEN_INT","."&amp;$AA$3&amp;$AA$4&amp;"C"&amp;BU$4)="N/A",0,RTD("tos.rtd",,"OPEN_INT","."&amp;$AA$3&amp;$AA$4&amp;"C"&amp;BU$4))*100 + MAX(0, BU$4-$A37)*IF(RTD("tos.rtd",,"OPEN_INT","."&amp;$AA$3&amp;$AA$4&amp;"P"&amp;BU$4)="N/A",0,RTD("tos.rtd",,"OPEN_INT","."&amp;$AA$3&amp;$AA$4&amp;"P"&amp;BU$4))*100</f>
        <v>0</v>
      </c>
      <c r="BV37" s="18">
        <f>MAX(0, $A37-BV$4)*IF(RTD("tos.rtd",,"OPEN_INT","."&amp;$AA$3&amp;$AA$4&amp;"C"&amp;BV$4)="N/A",0,RTD("tos.rtd",,"OPEN_INT","."&amp;$AA$3&amp;$AA$4&amp;"C"&amp;BV$4))*100 + MAX(0, BV$4-$A37)*IF(RTD("tos.rtd",,"OPEN_INT","."&amp;$AA$3&amp;$AA$4&amp;"P"&amp;BV$4)="N/A",0,RTD("tos.rtd",,"OPEN_INT","."&amp;$AA$3&amp;$AA$4&amp;"P"&amp;BV$4))*100</f>
        <v>0</v>
      </c>
    </row>
    <row r="38" spans="1:74" s="19" customFormat="1" ht="11.1" customHeight="1" thickBot="1" x14ac:dyDescent="0.3">
      <c r="A38" s="23">
        <f t="shared" si="11"/>
        <v>5</v>
      </c>
      <c r="B38" s="14">
        <f ca="1">IF($A$2="PREMIUM_OI",IFERROR(IF($X$1="ABS",(100*RTD("tos.rtd",,"OPEN_INT","."&amp;B$2&amp;B$1&amp;"C"&amp;$A38)*RTD("tos.rtd",,"LAST","."&amp;B$2&amp;B$1&amp;"C"&amp;$A38)+100*RTD("tos.rtd",,"OPEN_INT","."&amp;B$2&amp;B$1&amp;"P"&amp;$A38)*RTD("tos.rtd",,"LAST","."&amp;B$2&amp;B$1&amp;"P"&amp;$A38))/1000000,(100*RTD("tos.rtd",,"OPEN_INT","."&amp;B$2&amp;B$1&amp;"C"&amp;$A38)*RTD("tos.rtd",,"LAST","."&amp;B$2&amp;B$1&amp;"C"&amp;$A38)-100*RTD("tos.rtd",,"OPEN_INT","."&amp;B$2&amp;B$1&amp;"P"&amp;$A38)*RTD("tos.rtd",,"LAST","."&amp;B$2&amp;B$1&amp;"P"&amp;$A38))/1000000),0),IF($A$2="PREMIUM",IFERROR(IF($X$1="ABS",(100*RTD("tos.rtd",,"VOLUME","."&amp;B$2&amp;B$1&amp;"C"&amp;$A38)*RTD("tos.rtd",,"LAST","."&amp;B$2&amp;B$1&amp;"C"&amp;$A38)+100*RTD("tos.rtd",,"VOLUME","."&amp;B$2&amp;B$1&amp;"P"&amp;$A38)*RTD("tos.rtd",,"LAST","."&amp;B$2&amp;B$1&amp;"P"&amp;$A38))/1000000,(100*RTD("tos.rtd",,"VOLUME","."&amp;B$2&amp;B$1&amp;"C"&amp;$A38)*RTD("tos.rtd",,"LAST","."&amp;B$2&amp;B$1&amp;"C"&amp;$A38)-100*RTD("tos.rtd",,"VOLUME","."&amp;B$2&amp;B$1&amp;"P"&amp;$A38)*RTD("tos.rtd",,"LAST","."&amp;B$2&amp;B$1&amp;"P"&amp;$A38))/1000000),0),IF($A$2="DEX",IFERROR(IF($X$1="ABS",(100*RTD("tos.rtd",,"OPEN_INT","."&amp;B$2&amp;B$1&amp;"C"&amp;$A38)*RTD("tos.rtd",,"DELTA","."&amp;B$2&amp;B$1&amp;"C"&amp;$A38)+100*RTD("tos.rtd",,"OPEN_INT","."&amp;B$2&amp;B$1&amp;"P"&amp;$A38)*RTD("tos.rtd",,"DELTA","."&amp;B$2&amp;B$1&amp;"P"&amp;$A38))/1000,(100*RTD("tos.rtd",,"OPEN_INT","."&amp;B$2&amp;B$1&amp;"C"&amp;$A38)*RTD("tos.rtd",,"DELTA","."&amp;B$2&amp;B$1&amp;"C"&amp;$A38)-100*RTD("tos.rtd",,"OPEN_INT","."&amp;B$2&amp;B$1&amp;"P"&amp;$A38)*RTD("tos.rtd",,"DELTA","."&amp;B$2&amp;B$1&amp;"P"&amp;$A38))/1000),0),IF($A$2="VEX",IFERROR(IF($X$1="ABS",($A$4*$A$4*RTD("tos.rtd",,"VOLUME","."&amp;B$2&amp;B$1&amp;"C"&amp;$A38)*RTD("tos.rtd",,"GAMMA","."&amp;B$2&amp;B$1&amp;"C"&amp;$A38)+$A$4*$A$4*RTD("tos.rtd",,"VOLUME","."&amp;B$2&amp;B$1&amp;"P"&amp;$A38)*RTD("tos.rtd",,"GAMMA","."&amp;B$2&amp;B$1&amp;"P"&amp;$A38))/1000000,($A$4*$A$4*RTD("tos.rtd",,"VOLUME","."&amp;B$2&amp;B$1&amp;"C"&amp;$A38)*RTD("tos.rtd",,"GAMMA","."&amp;B$2&amp;B$1&amp;"C"&amp;$A38)-$A$4*$A$4*RTD("tos.rtd",,"VOLUME","."&amp;B$2&amp;B$1&amp;"P"&amp;$A38)*RTD("tos.rtd",,"GAMMA","."&amp;B$2&amp;B$1&amp;"P"&amp;$A38))/1000000),0),IF($A$2="GEX",IFERROR(IF($X$1="ABS",($A$4*$A$4*RTD("tos.rtd",,"OPEN_INT","."&amp;B$2&amp;B$1&amp;"C"&amp;$A38)*RTD("tos.rtd",,"GAMMA","."&amp;B$2&amp;B$1&amp;"C"&amp;$A38)+$A$4*$A$4*RTD("tos.rtd",,"OPEN_INT","."&amp;B$2&amp;B$1&amp;"P"&amp;$A38)*RTD("tos.rtd",,"GAMMA","."&amp;B$2&amp;B$1&amp;"P"&amp;$A38))/1000000,($A$4*$A$4*RTD("tos.rtd",,"OPEN_INT","."&amp;B$2&amp;B$1&amp;"C"&amp;$A38)*RTD("tos.rtd",,"GAMMA","."&amp;B$2&amp;B$1&amp;"C"&amp;$A38)-$A$4*$A$4*RTD("tos.rtd",,"OPEN_INT","."&amp;B$2&amp;B$1&amp;"P"&amp;$A38)*RTD("tos.rtd",,"GAMMA","."&amp;B$2&amp;B$1&amp;"P"&amp;$A38))/1000000),0),IF($A$2="SKEW",IFERROR(VALUE(IF(RTD("tos.rtd",,"IMPL_VOL","."&amp;B$2&amp;B$1&amp;"P"&amp;$A38)="N/A",0,RTD("tos.rtd",,"IMPL_VOL","."&amp;B$2&amp;B$1&amp;"P"&amp;$A38))),0)-IFERROR(VALUE(IF(RTD("tos.rtd",,"IMPL_VOL","."&amp;B$2&amp;B$1&amp;"C"&amp;$A38)="N/A",0,RTD("tos.rtd",,"IMPL_VOL","."&amp;B$2&amp;B$1&amp;"C"&amp;$A38))),0),IF($A$2="MAXPAIN",IF($A$4&gt;$A38,($A$4-$A38)*IF(RTD("tos.rtd",,"OPEN_INT","."&amp;B$2&amp;B$1&amp;"C"&amp;$A38)="N/A",0,RTD("tos.rtd",,"OPEN_INT","."&amp;B$2&amp;B$1&amp;"C"&amp;$A38)),0)+IF($A$4&lt;$A38,($A$5-$A$4)*IF(RTD("tos.rtd",,"OPEN_INT","."&amp;B$2&amp;B$1&amp;"P"&amp;$A38)="N/A",0,RTD("tos.rtd",,"OPEN_INT","."&amp;B$2&amp;B$1&amp;"P"&amp;$A38)),0),IF($X$1="ABS",IF(RTD("tos.rtd",,$A$2,"."&amp;B$2&amp;B$1&amp;"C"&amp;$A38)="N/A",0,RTD("tos.rtd",,$A$2,"."&amp;B$2&amp;B$1&amp;"C"&amp;$A38))+IF(RTD("tos.rtd",,$A$2,"."&amp;B$2&amp;B$1&amp;"P"&amp;$A38)="N/A",0,RTD("tos.rtd",,$A$2,"."&amp;B$2&amp;B$1&amp;"P"&amp;$A38)),IF(RTD("tos.rtd",,$A$2,"."&amp;B$2&amp;B$1&amp;"C"&amp;$A38)="N/A",0,RTD("tos.rtd",,$A$2,"."&amp;B$2&amp;B$1&amp;"C"&amp;$A38))-IF(RTD("tos.rtd",,$A$2,"."&amp;B$2&amp;B$1&amp;"P"&amp;$A38)="N/A",0,RTD("tos.rtd",,$A$2,"."&amp;B$2&amp;B$1&amp;"P"&amp;$A38))))))))))</f>
        <v>0</v>
      </c>
      <c r="C38" s="12">
        <f ca="1">IF($A$2="PREMIUM_OI",IFERROR(IF($X$1="ABS",(100*RTD("tos.rtd",,"OPEN_INT","."&amp;C$2&amp;C$1&amp;"C"&amp;$A38)*RTD("tos.rtd",,"LAST","."&amp;C$2&amp;C$1&amp;"C"&amp;$A38)+100*RTD("tos.rtd",,"OPEN_INT","."&amp;C$2&amp;C$1&amp;"P"&amp;$A38)*RTD("tos.rtd",,"LAST","."&amp;C$2&amp;C$1&amp;"P"&amp;$A38))/1000000,(100*RTD("tos.rtd",,"OPEN_INT","."&amp;C$2&amp;C$1&amp;"C"&amp;$A38)*RTD("tos.rtd",,"LAST","."&amp;C$2&amp;C$1&amp;"C"&amp;$A38)-100*RTD("tos.rtd",,"OPEN_INT","."&amp;C$2&amp;C$1&amp;"P"&amp;$A38)*RTD("tos.rtd",,"LAST","."&amp;C$2&amp;C$1&amp;"P"&amp;$A38))/1000000),0),IF($A$2="PREMIUM",IFERROR(IF($X$1="ABS",(100*RTD("tos.rtd",,"VOLUME","."&amp;C$2&amp;C$1&amp;"C"&amp;$A38)*RTD("tos.rtd",,"LAST","."&amp;C$2&amp;C$1&amp;"C"&amp;$A38)+100*RTD("tos.rtd",,"VOLUME","."&amp;C$2&amp;C$1&amp;"P"&amp;$A38)*RTD("tos.rtd",,"LAST","."&amp;C$2&amp;C$1&amp;"P"&amp;$A38))/1000000,(100*RTD("tos.rtd",,"VOLUME","."&amp;C$2&amp;C$1&amp;"C"&amp;$A38)*RTD("tos.rtd",,"LAST","."&amp;C$2&amp;C$1&amp;"C"&amp;$A38)-100*RTD("tos.rtd",,"VOLUME","."&amp;C$2&amp;C$1&amp;"P"&amp;$A38)*RTD("tos.rtd",,"LAST","."&amp;C$2&amp;C$1&amp;"P"&amp;$A38))/1000000),0),IF($A$2="DEX",IFERROR(IF($X$1="ABS",(100*RTD("tos.rtd",,"OPEN_INT","."&amp;C$2&amp;C$1&amp;"C"&amp;$A38)*RTD("tos.rtd",,"DELTA","."&amp;C$2&amp;C$1&amp;"C"&amp;$A38)+100*RTD("tos.rtd",,"OPEN_INT","."&amp;C$2&amp;C$1&amp;"P"&amp;$A38)*RTD("tos.rtd",,"DELTA","."&amp;C$2&amp;C$1&amp;"P"&amp;$A38))/1000,(100*RTD("tos.rtd",,"OPEN_INT","."&amp;C$2&amp;C$1&amp;"C"&amp;$A38)*RTD("tos.rtd",,"DELTA","."&amp;C$2&amp;C$1&amp;"C"&amp;$A38)-100*RTD("tos.rtd",,"OPEN_INT","."&amp;C$2&amp;C$1&amp;"P"&amp;$A38)*RTD("tos.rtd",,"DELTA","."&amp;C$2&amp;C$1&amp;"P"&amp;$A38))/1000),0),IF($A$2="VEX",IFERROR(IF($X$1="ABS",($A$4*$A$4*RTD("tos.rtd",,"VOLUME","."&amp;C$2&amp;C$1&amp;"C"&amp;$A38)*RTD("tos.rtd",,"GAMMA","."&amp;C$2&amp;C$1&amp;"C"&amp;$A38)+$A$4*$A$4*RTD("tos.rtd",,"VOLUME","."&amp;C$2&amp;C$1&amp;"P"&amp;$A38)*RTD("tos.rtd",,"GAMMA","."&amp;C$2&amp;C$1&amp;"P"&amp;$A38))/1000000,($A$4*$A$4*RTD("tos.rtd",,"VOLUME","."&amp;C$2&amp;C$1&amp;"C"&amp;$A38)*RTD("tos.rtd",,"GAMMA","."&amp;C$2&amp;C$1&amp;"C"&amp;$A38)-$A$4*$A$4*RTD("tos.rtd",,"VOLUME","."&amp;C$2&amp;C$1&amp;"P"&amp;$A38)*RTD("tos.rtd",,"GAMMA","."&amp;C$2&amp;C$1&amp;"P"&amp;$A38))/1000000),0),IF($A$2="GEX",IFERROR(IF($X$1="ABS",($A$4*$A$4*RTD("tos.rtd",,"OPEN_INT","."&amp;C$2&amp;C$1&amp;"C"&amp;$A38)*RTD("tos.rtd",,"GAMMA","."&amp;C$2&amp;C$1&amp;"C"&amp;$A38)+$A$4*$A$4*RTD("tos.rtd",,"OPEN_INT","."&amp;C$2&amp;C$1&amp;"P"&amp;$A38)*RTD("tos.rtd",,"GAMMA","."&amp;C$2&amp;C$1&amp;"P"&amp;$A38))/1000000,($A$4*$A$4*RTD("tos.rtd",,"OPEN_INT","."&amp;C$2&amp;C$1&amp;"C"&amp;$A38)*RTD("tos.rtd",,"GAMMA","."&amp;C$2&amp;C$1&amp;"C"&amp;$A38)-$A$4*$A$4*RTD("tos.rtd",,"OPEN_INT","."&amp;C$2&amp;C$1&amp;"P"&amp;$A38)*RTD("tos.rtd",,"GAMMA","."&amp;C$2&amp;C$1&amp;"P"&amp;$A38))/1000000),0),IF($A$2="SKEW",IFERROR(VALUE(IF(RTD("tos.rtd",,"IMPL_VOL","."&amp;C$2&amp;C$1&amp;"P"&amp;$A38)="N/A",0,RTD("tos.rtd",,"IMPL_VOL","."&amp;C$2&amp;C$1&amp;"P"&amp;$A38))),0)-IFERROR(VALUE(IF(RTD("tos.rtd",,"IMPL_VOL","."&amp;C$2&amp;C$1&amp;"C"&amp;$A38)="N/A",0,RTD("tos.rtd",,"IMPL_VOL","."&amp;C$2&amp;C$1&amp;"C"&amp;$A38))),0),IF($A$2="MAXPAIN",IF($A$4&gt;$A38,($A$4-$A38)*IF(RTD("tos.rtd",,"OPEN_INT","."&amp;C$2&amp;C$1&amp;"C"&amp;$A38)="N/A",0,RTD("tos.rtd",,"OPEN_INT","."&amp;C$2&amp;C$1&amp;"C"&amp;$A38)),0)+IF($A$4&lt;$A38,($A$5-$A$4)*IF(RTD("tos.rtd",,"OPEN_INT","."&amp;C$2&amp;C$1&amp;"P"&amp;$A38)="N/A",0,RTD("tos.rtd",,"OPEN_INT","."&amp;C$2&amp;C$1&amp;"P"&amp;$A38)),0),IF($X$1="ABS",IF(RTD("tos.rtd",,$A$2,"."&amp;C$2&amp;C$1&amp;"C"&amp;$A38)="N/A",0,RTD("tos.rtd",,$A$2,"."&amp;C$2&amp;C$1&amp;"C"&amp;$A38))+IF(RTD("tos.rtd",,$A$2,"."&amp;C$2&amp;C$1&amp;"P"&amp;$A38)="N/A",0,RTD("tos.rtd",,$A$2,"."&amp;C$2&amp;C$1&amp;"P"&amp;$A38)),IF(RTD("tos.rtd",,$A$2,"."&amp;C$2&amp;C$1&amp;"C"&amp;$A38)="N/A",0,RTD("tos.rtd",,$A$2,"."&amp;C$2&amp;C$1&amp;"C"&amp;$A38))-IF(RTD("tos.rtd",,$A$2,"."&amp;C$2&amp;C$1&amp;"P"&amp;$A38)="N/A",0,RTD("tos.rtd",,$A$2,"."&amp;C$2&amp;C$1&amp;"P"&amp;$A38))))))))))</f>
        <v>-7183</v>
      </c>
      <c r="D38" s="12">
        <f ca="1">IF($A$2="PREMIUM_OI",IFERROR(IF($X$1="ABS",(100*RTD("tos.rtd",,"OPEN_INT","."&amp;D$2&amp;D$1&amp;"C"&amp;$A38)*RTD("tos.rtd",,"LAST","."&amp;D$2&amp;D$1&amp;"C"&amp;$A38)+100*RTD("tos.rtd",,"OPEN_INT","."&amp;D$2&amp;D$1&amp;"P"&amp;$A38)*RTD("tos.rtd",,"LAST","."&amp;D$2&amp;D$1&amp;"P"&amp;$A38))/1000000,(100*RTD("tos.rtd",,"OPEN_INT","."&amp;D$2&amp;D$1&amp;"C"&amp;$A38)*RTD("tos.rtd",,"LAST","."&amp;D$2&amp;D$1&amp;"C"&amp;$A38)-100*RTD("tos.rtd",,"OPEN_INT","."&amp;D$2&amp;D$1&amp;"P"&amp;$A38)*RTD("tos.rtd",,"LAST","."&amp;D$2&amp;D$1&amp;"P"&amp;$A38))/1000000),0),IF($A$2="PREMIUM",IFERROR(IF($X$1="ABS",(100*RTD("tos.rtd",,"VOLUME","."&amp;D$2&amp;D$1&amp;"C"&amp;$A38)*RTD("tos.rtd",,"LAST","."&amp;D$2&amp;D$1&amp;"C"&amp;$A38)+100*RTD("tos.rtd",,"VOLUME","."&amp;D$2&amp;D$1&amp;"P"&amp;$A38)*RTD("tos.rtd",,"LAST","."&amp;D$2&amp;D$1&amp;"P"&amp;$A38))/1000000,(100*RTD("tos.rtd",,"VOLUME","."&amp;D$2&amp;D$1&amp;"C"&amp;$A38)*RTD("tos.rtd",,"LAST","."&amp;D$2&amp;D$1&amp;"C"&amp;$A38)-100*RTD("tos.rtd",,"VOLUME","."&amp;D$2&amp;D$1&amp;"P"&amp;$A38)*RTD("tos.rtd",,"LAST","."&amp;D$2&amp;D$1&amp;"P"&amp;$A38))/1000000),0),IF($A$2="DEX",IFERROR(IF($X$1="ABS",(100*RTD("tos.rtd",,"OPEN_INT","."&amp;D$2&amp;D$1&amp;"C"&amp;$A38)*RTD("tos.rtd",,"DELTA","."&amp;D$2&amp;D$1&amp;"C"&amp;$A38)+100*RTD("tos.rtd",,"OPEN_INT","."&amp;D$2&amp;D$1&amp;"P"&amp;$A38)*RTD("tos.rtd",,"DELTA","."&amp;D$2&amp;D$1&amp;"P"&amp;$A38))/1000,(100*RTD("tos.rtd",,"OPEN_INT","."&amp;D$2&amp;D$1&amp;"C"&amp;$A38)*RTD("tos.rtd",,"DELTA","."&amp;D$2&amp;D$1&amp;"C"&amp;$A38)-100*RTD("tos.rtd",,"OPEN_INT","."&amp;D$2&amp;D$1&amp;"P"&amp;$A38)*RTD("tos.rtd",,"DELTA","."&amp;D$2&amp;D$1&amp;"P"&amp;$A38))/1000),0),IF($A$2="VEX",IFERROR(IF($X$1="ABS",($A$4*$A$4*RTD("tos.rtd",,"VOLUME","."&amp;D$2&amp;D$1&amp;"C"&amp;$A38)*RTD("tos.rtd",,"GAMMA","."&amp;D$2&amp;D$1&amp;"C"&amp;$A38)+$A$4*$A$4*RTD("tos.rtd",,"VOLUME","."&amp;D$2&amp;D$1&amp;"P"&amp;$A38)*RTD("tos.rtd",,"GAMMA","."&amp;D$2&amp;D$1&amp;"P"&amp;$A38))/1000000,($A$4*$A$4*RTD("tos.rtd",,"VOLUME","."&amp;D$2&amp;D$1&amp;"C"&amp;$A38)*RTD("tos.rtd",,"GAMMA","."&amp;D$2&amp;D$1&amp;"C"&amp;$A38)-$A$4*$A$4*RTD("tos.rtd",,"VOLUME","."&amp;D$2&amp;D$1&amp;"P"&amp;$A38)*RTD("tos.rtd",,"GAMMA","."&amp;D$2&amp;D$1&amp;"P"&amp;$A38))/1000000),0),IF($A$2="GEX",IFERROR(IF($X$1="ABS",($A$4*$A$4*RTD("tos.rtd",,"OPEN_INT","."&amp;D$2&amp;D$1&amp;"C"&amp;$A38)*RTD("tos.rtd",,"GAMMA","."&amp;D$2&amp;D$1&amp;"C"&amp;$A38)+$A$4*$A$4*RTD("tos.rtd",,"OPEN_INT","."&amp;D$2&amp;D$1&amp;"P"&amp;$A38)*RTD("tos.rtd",,"GAMMA","."&amp;D$2&amp;D$1&amp;"P"&amp;$A38))/1000000,($A$4*$A$4*RTD("tos.rtd",,"OPEN_INT","."&amp;D$2&amp;D$1&amp;"C"&amp;$A38)*RTD("tos.rtd",,"GAMMA","."&amp;D$2&amp;D$1&amp;"C"&amp;$A38)-$A$4*$A$4*RTD("tos.rtd",,"OPEN_INT","."&amp;D$2&amp;D$1&amp;"P"&amp;$A38)*RTD("tos.rtd",,"GAMMA","."&amp;D$2&amp;D$1&amp;"P"&amp;$A38))/1000000),0),IF($A$2="SKEW",IFERROR(VALUE(IF(RTD("tos.rtd",,"IMPL_VOL","."&amp;D$2&amp;D$1&amp;"P"&amp;$A38)="N/A",0,RTD("tos.rtd",,"IMPL_VOL","."&amp;D$2&amp;D$1&amp;"P"&amp;$A38))),0)-IFERROR(VALUE(IF(RTD("tos.rtd",,"IMPL_VOL","."&amp;D$2&amp;D$1&amp;"C"&amp;$A38)="N/A",0,RTD("tos.rtd",,"IMPL_VOL","."&amp;D$2&amp;D$1&amp;"C"&amp;$A38))),0),IF($A$2="MAXPAIN",IF($A$4&gt;$A38,($A$4-$A38)*IF(RTD("tos.rtd",,"OPEN_INT","."&amp;D$2&amp;D$1&amp;"C"&amp;$A38)="N/A",0,RTD("tos.rtd",,"OPEN_INT","."&amp;D$2&amp;D$1&amp;"C"&amp;$A38)),0)+IF($A$4&lt;$A38,($A$5-$A$4)*IF(RTD("tos.rtd",,"OPEN_INT","."&amp;D$2&amp;D$1&amp;"P"&amp;$A38)="N/A",0,RTD("tos.rtd",,"OPEN_INT","."&amp;D$2&amp;D$1&amp;"P"&amp;$A38)),0),IF($X$1="ABS",IF(RTD("tos.rtd",,$A$2,"."&amp;D$2&amp;D$1&amp;"C"&amp;$A38)="N/A",0,RTD("tos.rtd",,$A$2,"."&amp;D$2&amp;D$1&amp;"C"&amp;$A38))+IF(RTD("tos.rtd",,$A$2,"."&amp;D$2&amp;D$1&amp;"P"&amp;$A38)="N/A",0,RTD("tos.rtd",,$A$2,"."&amp;D$2&amp;D$1&amp;"P"&amp;$A38)),IF(RTD("tos.rtd",,$A$2,"."&amp;D$2&amp;D$1&amp;"C"&amp;$A38)="N/A",0,RTD("tos.rtd",,$A$2,"."&amp;D$2&amp;D$1&amp;"C"&amp;$A38))-IF(RTD("tos.rtd",,$A$2,"."&amp;D$2&amp;D$1&amp;"P"&amp;$A38)="N/A",0,RTD("tos.rtd",,$A$2,"."&amp;D$2&amp;D$1&amp;"P"&amp;$A38))))))))))</f>
        <v>-11276</v>
      </c>
      <c r="E38" s="12">
        <f ca="1">IF($A$2="PREMIUM_OI",IFERROR(IF($X$1="ABS",(100*RTD("tos.rtd",,"OPEN_INT","."&amp;E$2&amp;E$1&amp;"C"&amp;$A38)*RTD("tos.rtd",,"LAST","."&amp;E$2&amp;E$1&amp;"C"&amp;$A38)+100*RTD("tos.rtd",,"OPEN_INT","."&amp;E$2&amp;E$1&amp;"P"&amp;$A38)*RTD("tos.rtd",,"LAST","."&amp;E$2&amp;E$1&amp;"P"&amp;$A38))/1000000,(100*RTD("tos.rtd",,"OPEN_INT","."&amp;E$2&amp;E$1&amp;"C"&amp;$A38)*RTD("tos.rtd",,"LAST","."&amp;E$2&amp;E$1&amp;"C"&amp;$A38)-100*RTD("tos.rtd",,"OPEN_INT","."&amp;E$2&amp;E$1&amp;"P"&amp;$A38)*RTD("tos.rtd",,"LAST","."&amp;E$2&amp;E$1&amp;"P"&amp;$A38))/1000000),0),IF($A$2="PREMIUM",IFERROR(IF($X$1="ABS",(100*RTD("tos.rtd",,"VOLUME","."&amp;E$2&amp;E$1&amp;"C"&amp;$A38)*RTD("tos.rtd",,"LAST","."&amp;E$2&amp;E$1&amp;"C"&amp;$A38)+100*RTD("tos.rtd",,"VOLUME","."&amp;E$2&amp;E$1&amp;"P"&amp;$A38)*RTD("tos.rtd",,"LAST","."&amp;E$2&amp;E$1&amp;"P"&amp;$A38))/1000000,(100*RTD("tos.rtd",,"VOLUME","."&amp;E$2&amp;E$1&amp;"C"&amp;$A38)*RTD("tos.rtd",,"LAST","."&amp;E$2&amp;E$1&amp;"C"&amp;$A38)-100*RTD("tos.rtd",,"VOLUME","."&amp;E$2&amp;E$1&amp;"P"&amp;$A38)*RTD("tos.rtd",,"LAST","."&amp;E$2&amp;E$1&amp;"P"&amp;$A38))/1000000),0),IF($A$2="DEX",IFERROR(IF($X$1="ABS",(100*RTD("tos.rtd",,"OPEN_INT","."&amp;E$2&amp;E$1&amp;"C"&amp;$A38)*RTD("tos.rtd",,"DELTA","."&amp;E$2&amp;E$1&amp;"C"&amp;$A38)+100*RTD("tos.rtd",,"OPEN_INT","."&amp;E$2&amp;E$1&amp;"P"&amp;$A38)*RTD("tos.rtd",,"DELTA","."&amp;E$2&amp;E$1&amp;"P"&amp;$A38))/1000,(100*RTD("tos.rtd",,"OPEN_INT","."&amp;E$2&amp;E$1&amp;"C"&amp;$A38)*RTD("tos.rtd",,"DELTA","."&amp;E$2&amp;E$1&amp;"C"&amp;$A38)-100*RTD("tos.rtd",,"OPEN_INT","."&amp;E$2&amp;E$1&amp;"P"&amp;$A38)*RTD("tos.rtd",,"DELTA","."&amp;E$2&amp;E$1&amp;"P"&amp;$A38))/1000),0),IF($A$2="VEX",IFERROR(IF($X$1="ABS",($A$4*$A$4*RTD("tos.rtd",,"VOLUME","."&amp;E$2&amp;E$1&amp;"C"&amp;$A38)*RTD("tos.rtd",,"GAMMA","."&amp;E$2&amp;E$1&amp;"C"&amp;$A38)+$A$4*$A$4*RTD("tos.rtd",,"VOLUME","."&amp;E$2&amp;E$1&amp;"P"&amp;$A38)*RTD("tos.rtd",,"GAMMA","."&amp;E$2&amp;E$1&amp;"P"&amp;$A38))/1000000,($A$4*$A$4*RTD("tos.rtd",,"VOLUME","."&amp;E$2&amp;E$1&amp;"C"&amp;$A38)*RTD("tos.rtd",,"GAMMA","."&amp;E$2&amp;E$1&amp;"C"&amp;$A38)-$A$4*$A$4*RTD("tos.rtd",,"VOLUME","."&amp;E$2&amp;E$1&amp;"P"&amp;$A38)*RTD("tos.rtd",,"GAMMA","."&amp;E$2&amp;E$1&amp;"P"&amp;$A38))/1000000),0),IF($A$2="GEX",IFERROR(IF($X$1="ABS",($A$4*$A$4*RTD("tos.rtd",,"OPEN_INT","."&amp;E$2&amp;E$1&amp;"C"&amp;$A38)*RTD("tos.rtd",,"GAMMA","."&amp;E$2&amp;E$1&amp;"C"&amp;$A38)+$A$4*$A$4*RTD("tos.rtd",,"OPEN_INT","."&amp;E$2&amp;E$1&amp;"P"&amp;$A38)*RTD("tos.rtd",,"GAMMA","."&amp;E$2&amp;E$1&amp;"P"&amp;$A38))/1000000,($A$4*$A$4*RTD("tos.rtd",,"OPEN_INT","."&amp;E$2&amp;E$1&amp;"C"&amp;$A38)*RTD("tos.rtd",,"GAMMA","."&amp;E$2&amp;E$1&amp;"C"&amp;$A38)-$A$4*$A$4*RTD("tos.rtd",,"OPEN_INT","."&amp;E$2&amp;E$1&amp;"P"&amp;$A38)*RTD("tos.rtd",,"GAMMA","."&amp;E$2&amp;E$1&amp;"P"&amp;$A38))/1000000),0),IF($A$2="SKEW",IFERROR(VALUE(IF(RTD("tos.rtd",,"IMPL_VOL","."&amp;E$2&amp;E$1&amp;"P"&amp;$A38)="N/A",0,RTD("tos.rtd",,"IMPL_VOL","."&amp;E$2&amp;E$1&amp;"P"&amp;$A38))),0)-IFERROR(VALUE(IF(RTD("tos.rtd",,"IMPL_VOL","."&amp;E$2&amp;E$1&amp;"C"&amp;$A38)="N/A",0,RTD("tos.rtd",,"IMPL_VOL","."&amp;E$2&amp;E$1&amp;"C"&amp;$A38))),0),IF($A$2="MAXPAIN",IF($A$4&gt;$A38,($A$4-$A38)*IF(RTD("tos.rtd",,"OPEN_INT","."&amp;E$2&amp;E$1&amp;"C"&amp;$A38)="N/A",0,RTD("tos.rtd",,"OPEN_INT","."&amp;E$2&amp;E$1&amp;"C"&amp;$A38)),0)+IF($A$4&lt;$A38,($A$5-$A$4)*IF(RTD("tos.rtd",,"OPEN_INT","."&amp;E$2&amp;E$1&amp;"P"&amp;$A38)="N/A",0,RTD("tos.rtd",,"OPEN_INT","."&amp;E$2&amp;E$1&amp;"P"&amp;$A38)),0),IF($X$1="ABS",IF(RTD("tos.rtd",,$A$2,"."&amp;E$2&amp;E$1&amp;"C"&amp;$A38)="N/A",0,RTD("tos.rtd",,$A$2,"."&amp;E$2&amp;E$1&amp;"C"&amp;$A38))+IF(RTD("tos.rtd",,$A$2,"."&amp;E$2&amp;E$1&amp;"P"&amp;$A38)="N/A",0,RTD("tos.rtd",,$A$2,"."&amp;E$2&amp;E$1&amp;"P"&amp;$A38)),IF(RTD("tos.rtd",,$A$2,"."&amp;E$2&amp;E$1&amp;"C"&amp;$A38)="N/A",0,RTD("tos.rtd",,$A$2,"."&amp;E$2&amp;E$1&amp;"C"&amp;$A38))-IF(RTD("tos.rtd",,$A$2,"."&amp;E$2&amp;E$1&amp;"P"&amp;$A38)="N/A",0,RTD("tos.rtd",,$A$2,"."&amp;E$2&amp;E$1&amp;"P"&amp;$A38))))))))))</f>
        <v>-1010</v>
      </c>
      <c r="F38" s="12">
        <f ca="1">IF($A$2="PREMIUM_OI",IFERROR(IF($X$1="ABS",(100*RTD("tos.rtd",,"OPEN_INT","."&amp;F$2&amp;F$1&amp;"C"&amp;$A38)*RTD("tos.rtd",,"LAST","."&amp;F$2&amp;F$1&amp;"C"&amp;$A38)+100*RTD("tos.rtd",,"OPEN_INT","."&amp;F$2&amp;F$1&amp;"P"&amp;$A38)*RTD("tos.rtd",,"LAST","."&amp;F$2&amp;F$1&amp;"P"&amp;$A38))/1000000,(100*RTD("tos.rtd",,"OPEN_INT","."&amp;F$2&amp;F$1&amp;"C"&amp;$A38)*RTD("tos.rtd",,"LAST","."&amp;F$2&amp;F$1&amp;"C"&amp;$A38)-100*RTD("tos.rtd",,"OPEN_INT","."&amp;F$2&amp;F$1&amp;"P"&amp;$A38)*RTD("tos.rtd",,"LAST","."&amp;F$2&amp;F$1&amp;"P"&amp;$A38))/1000000),0),IF($A$2="PREMIUM",IFERROR(IF($X$1="ABS",(100*RTD("tos.rtd",,"VOLUME","."&amp;F$2&amp;F$1&amp;"C"&amp;$A38)*RTD("tos.rtd",,"LAST","."&amp;F$2&amp;F$1&amp;"C"&amp;$A38)+100*RTD("tos.rtd",,"VOLUME","."&amp;F$2&amp;F$1&amp;"P"&amp;$A38)*RTD("tos.rtd",,"LAST","."&amp;F$2&amp;F$1&amp;"P"&amp;$A38))/1000000,(100*RTD("tos.rtd",,"VOLUME","."&amp;F$2&amp;F$1&amp;"C"&amp;$A38)*RTD("tos.rtd",,"LAST","."&amp;F$2&amp;F$1&amp;"C"&amp;$A38)-100*RTD("tos.rtd",,"VOLUME","."&amp;F$2&amp;F$1&amp;"P"&amp;$A38)*RTD("tos.rtd",,"LAST","."&amp;F$2&amp;F$1&amp;"P"&amp;$A38))/1000000),0),IF($A$2="DEX",IFERROR(IF($X$1="ABS",(100*RTD("tos.rtd",,"OPEN_INT","."&amp;F$2&amp;F$1&amp;"C"&amp;$A38)*RTD("tos.rtd",,"DELTA","."&amp;F$2&amp;F$1&amp;"C"&amp;$A38)+100*RTD("tos.rtd",,"OPEN_INT","."&amp;F$2&amp;F$1&amp;"P"&amp;$A38)*RTD("tos.rtd",,"DELTA","."&amp;F$2&amp;F$1&amp;"P"&amp;$A38))/1000,(100*RTD("tos.rtd",,"OPEN_INT","."&amp;F$2&amp;F$1&amp;"C"&amp;$A38)*RTD("tos.rtd",,"DELTA","."&amp;F$2&amp;F$1&amp;"C"&amp;$A38)-100*RTD("tos.rtd",,"OPEN_INT","."&amp;F$2&amp;F$1&amp;"P"&amp;$A38)*RTD("tos.rtd",,"DELTA","."&amp;F$2&amp;F$1&amp;"P"&amp;$A38))/1000),0),IF($A$2="VEX",IFERROR(IF($X$1="ABS",($A$4*$A$4*RTD("tos.rtd",,"VOLUME","."&amp;F$2&amp;F$1&amp;"C"&amp;$A38)*RTD("tos.rtd",,"GAMMA","."&amp;F$2&amp;F$1&amp;"C"&amp;$A38)+$A$4*$A$4*RTD("tos.rtd",,"VOLUME","."&amp;F$2&amp;F$1&amp;"P"&amp;$A38)*RTD("tos.rtd",,"GAMMA","."&amp;F$2&amp;F$1&amp;"P"&amp;$A38))/1000000,($A$4*$A$4*RTD("tos.rtd",,"VOLUME","."&amp;F$2&amp;F$1&amp;"C"&amp;$A38)*RTD("tos.rtd",,"GAMMA","."&amp;F$2&amp;F$1&amp;"C"&amp;$A38)-$A$4*$A$4*RTD("tos.rtd",,"VOLUME","."&amp;F$2&amp;F$1&amp;"P"&amp;$A38)*RTD("tos.rtd",,"GAMMA","."&amp;F$2&amp;F$1&amp;"P"&amp;$A38))/1000000),0),IF($A$2="GEX",IFERROR(IF($X$1="ABS",($A$4*$A$4*RTD("tos.rtd",,"OPEN_INT","."&amp;F$2&amp;F$1&amp;"C"&amp;$A38)*RTD("tos.rtd",,"GAMMA","."&amp;F$2&amp;F$1&amp;"C"&amp;$A38)+$A$4*$A$4*RTD("tos.rtd",,"OPEN_INT","."&amp;F$2&amp;F$1&amp;"P"&amp;$A38)*RTD("tos.rtd",,"GAMMA","."&amp;F$2&amp;F$1&amp;"P"&amp;$A38))/1000000,($A$4*$A$4*RTD("tos.rtd",,"OPEN_INT","."&amp;F$2&amp;F$1&amp;"C"&amp;$A38)*RTD("tos.rtd",,"GAMMA","."&amp;F$2&amp;F$1&amp;"C"&amp;$A38)-$A$4*$A$4*RTD("tos.rtd",,"OPEN_INT","."&amp;F$2&amp;F$1&amp;"P"&amp;$A38)*RTD("tos.rtd",,"GAMMA","."&amp;F$2&amp;F$1&amp;"P"&amp;$A38))/1000000),0),IF($A$2="SKEW",IFERROR(VALUE(IF(RTD("tos.rtd",,"IMPL_VOL","."&amp;F$2&amp;F$1&amp;"P"&amp;$A38)="N/A",0,RTD("tos.rtd",,"IMPL_VOL","."&amp;F$2&amp;F$1&amp;"P"&amp;$A38))),0)-IFERROR(VALUE(IF(RTD("tos.rtd",,"IMPL_VOL","."&amp;F$2&amp;F$1&amp;"C"&amp;$A38)="N/A",0,RTD("tos.rtd",,"IMPL_VOL","."&amp;F$2&amp;F$1&amp;"C"&amp;$A38))),0),IF($A$2="MAXPAIN",IF($A$4&gt;$A38,($A$4-$A38)*IF(RTD("tos.rtd",,"OPEN_INT","."&amp;F$2&amp;F$1&amp;"C"&amp;$A38)="N/A",0,RTD("tos.rtd",,"OPEN_INT","."&amp;F$2&amp;F$1&amp;"C"&amp;$A38)),0)+IF($A$4&lt;$A38,($A$5-$A$4)*IF(RTD("tos.rtd",,"OPEN_INT","."&amp;F$2&amp;F$1&amp;"P"&amp;$A38)="N/A",0,RTD("tos.rtd",,"OPEN_INT","."&amp;F$2&amp;F$1&amp;"P"&amp;$A38)),0),IF($X$1="ABS",IF(RTD("tos.rtd",,$A$2,"."&amp;F$2&amp;F$1&amp;"C"&amp;$A38)="N/A",0,RTD("tos.rtd",,$A$2,"."&amp;F$2&amp;F$1&amp;"C"&amp;$A38))+IF(RTD("tos.rtd",,$A$2,"."&amp;F$2&amp;F$1&amp;"P"&amp;$A38)="N/A",0,RTD("tos.rtd",,$A$2,"."&amp;F$2&amp;F$1&amp;"P"&amp;$A38)),IF(RTD("tos.rtd",,$A$2,"."&amp;F$2&amp;F$1&amp;"C"&amp;$A38)="N/A",0,RTD("tos.rtd",,$A$2,"."&amp;F$2&amp;F$1&amp;"C"&amp;$A38))-IF(RTD("tos.rtd",,$A$2,"."&amp;F$2&amp;F$1&amp;"P"&amp;$A38)="N/A",0,RTD("tos.rtd",,$A$2,"."&amp;F$2&amp;F$1&amp;"P"&amp;$A38))))))))))</f>
        <v>-1080</v>
      </c>
      <c r="G38" s="57">
        <f ca="1">IF($A$2="PREMIUM_OI",IFERROR(IF($X$1="ABS",(100*RTD("tos.rtd",,"OPEN_INT","."&amp;G$2&amp;G$1&amp;"C"&amp;$A38)*RTD("tos.rtd",,"LAST","."&amp;G$2&amp;G$1&amp;"C"&amp;$A38)+100*RTD("tos.rtd",,"OPEN_INT","."&amp;G$2&amp;G$1&amp;"P"&amp;$A38)*RTD("tos.rtd",,"LAST","."&amp;G$2&amp;G$1&amp;"P"&amp;$A38))/1000000,(100*RTD("tos.rtd",,"OPEN_INT","."&amp;G$2&amp;G$1&amp;"C"&amp;$A38)*RTD("tos.rtd",,"LAST","."&amp;G$2&amp;G$1&amp;"C"&amp;$A38)-100*RTD("tos.rtd",,"OPEN_INT","."&amp;G$2&amp;G$1&amp;"P"&amp;$A38)*RTD("tos.rtd",,"LAST","."&amp;G$2&amp;G$1&amp;"P"&amp;$A38))/1000000),0),IF($A$2="PREMIUM",IFERROR(IF($X$1="ABS",(100*RTD("tos.rtd",,"VOLUME","."&amp;G$2&amp;G$1&amp;"C"&amp;$A38)*RTD("tos.rtd",,"LAST","."&amp;G$2&amp;G$1&amp;"C"&amp;$A38)+100*RTD("tos.rtd",,"VOLUME","."&amp;G$2&amp;G$1&amp;"P"&amp;$A38)*RTD("tos.rtd",,"LAST","."&amp;G$2&amp;G$1&amp;"P"&amp;$A38))/1000000,(100*RTD("tos.rtd",,"VOLUME","."&amp;G$2&amp;G$1&amp;"C"&amp;$A38)*RTD("tos.rtd",,"LAST","."&amp;G$2&amp;G$1&amp;"C"&amp;$A38)-100*RTD("tos.rtd",,"VOLUME","."&amp;G$2&amp;G$1&amp;"P"&amp;$A38)*RTD("tos.rtd",,"LAST","."&amp;G$2&amp;G$1&amp;"P"&amp;$A38))/1000000),0),IF($A$2="DEX",IFERROR(IF($X$1="ABS",(100*RTD("tos.rtd",,"OPEN_INT","."&amp;G$2&amp;G$1&amp;"C"&amp;$A38)*RTD("tos.rtd",,"DELTA","."&amp;G$2&amp;G$1&amp;"C"&amp;$A38)+100*RTD("tos.rtd",,"OPEN_INT","."&amp;G$2&amp;G$1&amp;"P"&amp;$A38)*RTD("tos.rtd",,"DELTA","."&amp;G$2&amp;G$1&amp;"P"&amp;$A38))/1000,(100*RTD("tos.rtd",,"OPEN_INT","."&amp;G$2&amp;G$1&amp;"C"&amp;$A38)*RTD("tos.rtd",,"DELTA","."&amp;G$2&amp;G$1&amp;"C"&amp;$A38)-100*RTD("tos.rtd",,"OPEN_INT","."&amp;G$2&amp;G$1&amp;"P"&amp;$A38)*RTD("tos.rtd",,"DELTA","."&amp;G$2&amp;G$1&amp;"P"&amp;$A38))/1000),0),IF($A$2="VEX",IFERROR(IF($X$1="ABS",($A$4*$A$4*RTD("tos.rtd",,"VOLUME","."&amp;G$2&amp;G$1&amp;"C"&amp;$A38)*RTD("tos.rtd",,"GAMMA","."&amp;G$2&amp;G$1&amp;"C"&amp;$A38)+$A$4*$A$4*RTD("tos.rtd",,"VOLUME","."&amp;G$2&amp;G$1&amp;"P"&amp;$A38)*RTD("tos.rtd",,"GAMMA","."&amp;G$2&amp;G$1&amp;"P"&amp;$A38))/1000000,($A$4*$A$4*RTD("tos.rtd",,"VOLUME","."&amp;G$2&amp;G$1&amp;"C"&amp;$A38)*RTD("tos.rtd",,"GAMMA","."&amp;G$2&amp;G$1&amp;"C"&amp;$A38)-$A$4*$A$4*RTD("tos.rtd",,"VOLUME","."&amp;G$2&amp;G$1&amp;"P"&amp;$A38)*RTD("tos.rtd",,"GAMMA","."&amp;G$2&amp;G$1&amp;"P"&amp;$A38))/1000000),0),IF($A$2="GEX",IFERROR(IF($X$1="ABS",($A$4*$A$4*RTD("tos.rtd",,"OPEN_INT","."&amp;G$2&amp;G$1&amp;"C"&amp;$A38)*RTD("tos.rtd",,"GAMMA","."&amp;G$2&amp;G$1&amp;"C"&amp;$A38)+$A$4*$A$4*RTD("tos.rtd",,"OPEN_INT","."&amp;G$2&amp;G$1&amp;"P"&amp;$A38)*RTD("tos.rtd",,"GAMMA","."&amp;G$2&amp;G$1&amp;"P"&amp;$A38))/1000000,($A$4*$A$4*RTD("tos.rtd",,"OPEN_INT","."&amp;G$2&amp;G$1&amp;"C"&amp;$A38)*RTD("tos.rtd",,"GAMMA","."&amp;G$2&amp;G$1&amp;"C"&amp;$A38)-$A$4*$A$4*RTD("tos.rtd",,"OPEN_INT","."&amp;G$2&amp;G$1&amp;"P"&amp;$A38)*RTD("tos.rtd",,"GAMMA","."&amp;G$2&amp;G$1&amp;"P"&amp;$A38))/1000000),0),IF($A$2="SKEW",IFERROR(VALUE(IF(RTD("tos.rtd",,"IMPL_VOL","."&amp;G$2&amp;G$1&amp;"P"&amp;$A38)="N/A",0,RTD("tos.rtd",,"IMPL_VOL","."&amp;G$2&amp;G$1&amp;"P"&amp;$A38))),0)-IFERROR(VALUE(IF(RTD("tos.rtd",,"IMPL_VOL","."&amp;G$2&amp;G$1&amp;"C"&amp;$A38)="N/A",0,RTD("tos.rtd",,"IMPL_VOL","."&amp;G$2&amp;G$1&amp;"C"&amp;$A38))),0),IF($A$2="MAXPAIN",IF($A$4&gt;$A38,($A$4-$A38)*IF(RTD("tos.rtd",,"OPEN_INT","."&amp;G$2&amp;G$1&amp;"C"&amp;$A38)="N/A",0,RTD("tos.rtd",,"OPEN_INT","."&amp;G$2&amp;G$1&amp;"C"&amp;$A38)),0)+IF($A$4&lt;$A38,($A$5-$A$4)*IF(RTD("tos.rtd",,"OPEN_INT","."&amp;G$2&amp;G$1&amp;"P"&amp;$A38)="N/A",0,RTD("tos.rtd",,"OPEN_INT","."&amp;G$2&amp;G$1&amp;"P"&amp;$A38)),0),IF($X$1="ABS",IF(RTD("tos.rtd",,$A$2,"."&amp;G$2&amp;G$1&amp;"C"&amp;$A38)="N/A",0,RTD("tos.rtd",,$A$2,"."&amp;G$2&amp;G$1&amp;"C"&amp;$A38))+IF(RTD("tos.rtd",,$A$2,"."&amp;G$2&amp;G$1&amp;"P"&amp;$A38)="N/A",0,RTD("tos.rtd",,$A$2,"."&amp;G$2&amp;G$1&amp;"P"&amp;$A38)),IF(RTD("tos.rtd",,$A$2,"."&amp;G$2&amp;G$1&amp;"C"&amp;$A38)="N/A",0,RTD("tos.rtd",,$A$2,"."&amp;G$2&amp;G$1&amp;"C"&amp;$A38))-IF(RTD("tos.rtd",,$A$2,"."&amp;G$2&amp;G$1&amp;"P"&amp;$A38)="N/A",0,RTD("tos.rtd",,$A$2,"."&amp;G$2&amp;G$1&amp;"P"&amp;$A38))))))))))</f>
        <v>-128</v>
      </c>
      <c r="H38" s="14">
        <f ca="1">IF($A$2="PREMIUM_OI",IFERROR(IF($X$1="ABS",(100*RTD("tos.rtd",,"OPEN_INT","."&amp;H$2&amp;H$1&amp;"C"&amp;$A38)*RTD("tos.rtd",,"LAST","."&amp;H$2&amp;H$1&amp;"C"&amp;$A38)+100*RTD("tos.rtd",,"OPEN_INT","."&amp;H$2&amp;H$1&amp;"P"&amp;$A38)*RTD("tos.rtd",,"LAST","."&amp;H$2&amp;H$1&amp;"P"&amp;$A38))/1000000,(100*RTD("tos.rtd",,"OPEN_INT","."&amp;H$2&amp;H$1&amp;"C"&amp;$A38)*RTD("tos.rtd",,"LAST","."&amp;H$2&amp;H$1&amp;"C"&amp;$A38)-100*RTD("tos.rtd",,"OPEN_INT","."&amp;H$2&amp;H$1&amp;"P"&amp;$A38)*RTD("tos.rtd",,"LAST","."&amp;H$2&amp;H$1&amp;"P"&amp;$A38))/1000000),0),IF($A$2="PREMIUM",IFERROR(IF($X$1="ABS",(100*RTD("tos.rtd",,"VOLUME","."&amp;H$2&amp;H$1&amp;"C"&amp;$A38)*RTD("tos.rtd",,"LAST","."&amp;H$2&amp;H$1&amp;"C"&amp;$A38)+100*RTD("tos.rtd",,"VOLUME","."&amp;H$2&amp;H$1&amp;"P"&amp;$A38)*RTD("tos.rtd",,"LAST","."&amp;H$2&amp;H$1&amp;"P"&amp;$A38))/1000000,(100*RTD("tos.rtd",,"VOLUME","."&amp;H$2&amp;H$1&amp;"C"&amp;$A38)*RTD("tos.rtd",,"LAST","."&amp;H$2&amp;H$1&amp;"C"&amp;$A38)-100*RTD("tos.rtd",,"VOLUME","."&amp;H$2&amp;H$1&amp;"P"&amp;$A38)*RTD("tos.rtd",,"LAST","."&amp;H$2&amp;H$1&amp;"P"&amp;$A38))/1000000),0),IF($A$2="DEX",IFERROR(IF($X$1="ABS",(100*RTD("tos.rtd",,"OPEN_INT","."&amp;H$2&amp;H$1&amp;"C"&amp;$A38)*RTD("tos.rtd",,"DELTA","."&amp;H$2&amp;H$1&amp;"C"&amp;$A38)+100*RTD("tos.rtd",,"OPEN_INT","."&amp;H$2&amp;H$1&amp;"P"&amp;$A38)*RTD("tos.rtd",,"DELTA","."&amp;H$2&amp;H$1&amp;"P"&amp;$A38))/1000,(100*RTD("tos.rtd",,"OPEN_INT","."&amp;H$2&amp;H$1&amp;"C"&amp;$A38)*RTD("tos.rtd",,"DELTA","."&amp;H$2&amp;H$1&amp;"C"&amp;$A38)-100*RTD("tos.rtd",,"OPEN_INT","."&amp;H$2&amp;H$1&amp;"P"&amp;$A38)*RTD("tos.rtd",,"DELTA","."&amp;H$2&amp;H$1&amp;"P"&amp;$A38))/1000),0),IF($A$2="VEX",IFERROR(IF($X$1="ABS",($A$4*$A$4*RTD("tos.rtd",,"VOLUME","."&amp;H$2&amp;H$1&amp;"C"&amp;$A38)*RTD("tos.rtd",,"GAMMA","."&amp;H$2&amp;H$1&amp;"C"&amp;$A38)+$A$4*$A$4*RTD("tos.rtd",,"VOLUME","."&amp;H$2&amp;H$1&amp;"P"&amp;$A38)*RTD("tos.rtd",,"GAMMA","."&amp;H$2&amp;H$1&amp;"P"&amp;$A38))/1000000,($A$4*$A$4*RTD("tos.rtd",,"VOLUME","."&amp;H$2&amp;H$1&amp;"C"&amp;$A38)*RTD("tos.rtd",,"GAMMA","."&amp;H$2&amp;H$1&amp;"C"&amp;$A38)-$A$4*$A$4*RTD("tos.rtd",,"VOLUME","."&amp;H$2&amp;H$1&amp;"P"&amp;$A38)*RTD("tos.rtd",,"GAMMA","."&amp;H$2&amp;H$1&amp;"P"&amp;$A38))/1000000),0),IF($A$2="GEX",IFERROR(IF($X$1="ABS",($A$4*$A$4*RTD("tos.rtd",,"OPEN_INT","."&amp;H$2&amp;H$1&amp;"C"&amp;$A38)*RTD("tos.rtd",,"GAMMA","."&amp;H$2&amp;H$1&amp;"C"&amp;$A38)+$A$4*$A$4*RTD("tos.rtd",,"OPEN_INT","."&amp;H$2&amp;H$1&amp;"P"&amp;$A38)*RTD("tos.rtd",,"GAMMA","."&amp;H$2&amp;H$1&amp;"P"&amp;$A38))/1000000,($A$4*$A$4*RTD("tos.rtd",,"OPEN_INT","."&amp;H$2&amp;H$1&amp;"C"&amp;$A38)*RTD("tos.rtd",,"GAMMA","."&amp;H$2&amp;H$1&amp;"C"&amp;$A38)-$A$4*$A$4*RTD("tos.rtd",,"OPEN_INT","."&amp;H$2&amp;H$1&amp;"P"&amp;$A38)*RTD("tos.rtd",,"GAMMA","."&amp;H$2&amp;H$1&amp;"P"&amp;$A38))/1000000),0),IF($A$2="SKEW",IFERROR(VALUE(IF(RTD("tos.rtd",,"IMPL_VOL","."&amp;H$2&amp;H$1&amp;"P"&amp;$A38)="N/A",0,RTD("tos.rtd",,"IMPL_VOL","."&amp;H$2&amp;H$1&amp;"P"&amp;$A38))),0)-IFERROR(VALUE(IF(RTD("tos.rtd",,"IMPL_VOL","."&amp;H$2&amp;H$1&amp;"C"&amp;$A38)="N/A",0,RTD("tos.rtd",,"IMPL_VOL","."&amp;H$2&amp;H$1&amp;"C"&amp;$A38))),0),IF($A$2="MAXPAIN",IF($A$4&gt;$A38,($A$4-$A38)*IF(RTD("tos.rtd",,"OPEN_INT","."&amp;H$2&amp;H$1&amp;"C"&amp;$A38)="N/A",0,RTD("tos.rtd",,"OPEN_INT","."&amp;H$2&amp;H$1&amp;"C"&amp;$A38)),0)+IF($A$4&lt;$A38,($A$5-$A$4)*IF(RTD("tos.rtd",,"OPEN_INT","."&amp;H$2&amp;H$1&amp;"P"&amp;$A38)="N/A",0,RTD("tos.rtd",,"OPEN_INT","."&amp;H$2&amp;H$1&amp;"P"&amp;$A38)),0),IF($X$1="ABS",IF(RTD("tos.rtd",,$A$2,"."&amp;H$2&amp;H$1&amp;"C"&amp;$A38)="N/A",0,RTD("tos.rtd",,$A$2,"."&amp;H$2&amp;H$1&amp;"C"&amp;$A38))+IF(RTD("tos.rtd",,$A$2,"."&amp;H$2&amp;H$1&amp;"P"&amp;$A38)="N/A",0,RTD("tos.rtd",,$A$2,"."&amp;H$2&amp;H$1&amp;"P"&amp;$A38)),IF(RTD("tos.rtd",,$A$2,"."&amp;H$2&amp;H$1&amp;"C"&amp;$A38)="N/A",0,RTD("tos.rtd",,$A$2,"."&amp;H$2&amp;H$1&amp;"C"&amp;$A38))-IF(RTD("tos.rtd",,$A$2,"."&amp;H$2&amp;H$1&amp;"P"&amp;$A38)="N/A",0,RTD("tos.rtd",,$A$2,"."&amp;H$2&amp;H$1&amp;"P"&amp;$A38))))))))))</f>
        <v>-2082</v>
      </c>
      <c r="I38" s="12">
        <f ca="1">IF($A$2="PREMIUM_OI",IFERROR(IF($X$1="ABS",(100*RTD("tos.rtd",,"OPEN_INT","."&amp;I$2&amp;I$1&amp;"C"&amp;$A38)*RTD("tos.rtd",,"LAST","."&amp;I$2&amp;I$1&amp;"C"&amp;$A38)+100*RTD("tos.rtd",,"OPEN_INT","."&amp;I$2&amp;I$1&amp;"P"&amp;$A38)*RTD("tos.rtd",,"LAST","."&amp;I$2&amp;I$1&amp;"P"&amp;$A38))/1000000,(100*RTD("tos.rtd",,"OPEN_INT","."&amp;I$2&amp;I$1&amp;"C"&amp;$A38)*RTD("tos.rtd",,"LAST","."&amp;I$2&amp;I$1&amp;"C"&amp;$A38)-100*RTD("tos.rtd",,"OPEN_INT","."&amp;I$2&amp;I$1&amp;"P"&amp;$A38)*RTD("tos.rtd",,"LAST","."&amp;I$2&amp;I$1&amp;"P"&amp;$A38))/1000000),0),IF($A$2="PREMIUM",IFERROR(IF($X$1="ABS",(100*RTD("tos.rtd",,"VOLUME","."&amp;I$2&amp;I$1&amp;"C"&amp;$A38)*RTD("tos.rtd",,"LAST","."&amp;I$2&amp;I$1&amp;"C"&amp;$A38)+100*RTD("tos.rtd",,"VOLUME","."&amp;I$2&amp;I$1&amp;"P"&amp;$A38)*RTD("tos.rtd",,"LAST","."&amp;I$2&amp;I$1&amp;"P"&amp;$A38))/1000000,(100*RTD("tos.rtd",,"VOLUME","."&amp;I$2&amp;I$1&amp;"C"&amp;$A38)*RTD("tos.rtd",,"LAST","."&amp;I$2&amp;I$1&amp;"C"&amp;$A38)-100*RTD("tos.rtd",,"VOLUME","."&amp;I$2&amp;I$1&amp;"P"&amp;$A38)*RTD("tos.rtd",,"LAST","."&amp;I$2&amp;I$1&amp;"P"&amp;$A38))/1000000),0),IF($A$2="DEX",IFERROR(IF($X$1="ABS",(100*RTD("tos.rtd",,"OPEN_INT","."&amp;I$2&amp;I$1&amp;"C"&amp;$A38)*RTD("tos.rtd",,"DELTA","."&amp;I$2&amp;I$1&amp;"C"&amp;$A38)+100*RTD("tos.rtd",,"OPEN_INT","."&amp;I$2&amp;I$1&amp;"P"&amp;$A38)*RTD("tos.rtd",,"DELTA","."&amp;I$2&amp;I$1&amp;"P"&amp;$A38))/1000,(100*RTD("tos.rtd",,"OPEN_INT","."&amp;I$2&amp;I$1&amp;"C"&amp;$A38)*RTD("tos.rtd",,"DELTA","."&amp;I$2&amp;I$1&amp;"C"&amp;$A38)-100*RTD("tos.rtd",,"OPEN_INT","."&amp;I$2&amp;I$1&amp;"P"&amp;$A38)*RTD("tos.rtd",,"DELTA","."&amp;I$2&amp;I$1&amp;"P"&amp;$A38))/1000),0),IF($A$2="VEX",IFERROR(IF($X$1="ABS",($A$4*$A$4*RTD("tos.rtd",,"VOLUME","."&amp;I$2&amp;I$1&amp;"C"&amp;$A38)*RTD("tos.rtd",,"GAMMA","."&amp;I$2&amp;I$1&amp;"C"&amp;$A38)+$A$4*$A$4*RTD("tos.rtd",,"VOLUME","."&amp;I$2&amp;I$1&amp;"P"&amp;$A38)*RTD("tos.rtd",,"GAMMA","."&amp;I$2&amp;I$1&amp;"P"&amp;$A38))/1000000,($A$4*$A$4*RTD("tos.rtd",,"VOLUME","."&amp;I$2&amp;I$1&amp;"C"&amp;$A38)*RTD("tos.rtd",,"GAMMA","."&amp;I$2&amp;I$1&amp;"C"&amp;$A38)-$A$4*$A$4*RTD("tos.rtd",,"VOLUME","."&amp;I$2&amp;I$1&amp;"P"&amp;$A38)*RTD("tos.rtd",,"GAMMA","."&amp;I$2&amp;I$1&amp;"P"&amp;$A38))/1000000),0),IF($A$2="GEX",IFERROR(IF($X$1="ABS",($A$4*$A$4*RTD("tos.rtd",,"OPEN_INT","."&amp;I$2&amp;I$1&amp;"C"&amp;$A38)*RTD("tos.rtd",,"GAMMA","."&amp;I$2&amp;I$1&amp;"C"&amp;$A38)+$A$4*$A$4*RTD("tos.rtd",,"OPEN_INT","."&amp;I$2&amp;I$1&amp;"P"&amp;$A38)*RTD("tos.rtd",,"GAMMA","."&amp;I$2&amp;I$1&amp;"P"&amp;$A38))/1000000,($A$4*$A$4*RTD("tos.rtd",,"OPEN_INT","."&amp;I$2&amp;I$1&amp;"C"&amp;$A38)*RTD("tos.rtd",,"GAMMA","."&amp;I$2&amp;I$1&amp;"C"&amp;$A38)-$A$4*$A$4*RTD("tos.rtd",,"OPEN_INT","."&amp;I$2&amp;I$1&amp;"P"&amp;$A38)*RTD("tos.rtd",,"GAMMA","."&amp;I$2&amp;I$1&amp;"P"&amp;$A38))/1000000),0),IF($A$2="SKEW",IFERROR(VALUE(IF(RTD("tos.rtd",,"IMPL_VOL","."&amp;I$2&amp;I$1&amp;"P"&amp;$A38)="N/A",0,RTD("tos.rtd",,"IMPL_VOL","."&amp;I$2&amp;I$1&amp;"P"&amp;$A38))),0)-IFERROR(VALUE(IF(RTD("tos.rtd",,"IMPL_VOL","."&amp;I$2&amp;I$1&amp;"C"&amp;$A38)="N/A",0,RTD("tos.rtd",,"IMPL_VOL","."&amp;I$2&amp;I$1&amp;"C"&amp;$A38))),0),IF($A$2="MAXPAIN",IF($A$4&gt;$A38,($A$4-$A38)*IF(RTD("tos.rtd",,"OPEN_INT","."&amp;I$2&amp;I$1&amp;"C"&amp;$A38)="N/A",0,RTD("tos.rtd",,"OPEN_INT","."&amp;I$2&amp;I$1&amp;"C"&amp;$A38)),0)+IF($A$4&lt;$A38,($A$5-$A$4)*IF(RTD("tos.rtd",,"OPEN_INT","."&amp;I$2&amp;I$1&amp;"P"&amp;$A38)="N/A",0,RTD("tos.rtd",,"OPEN_INT","."&amp;I$2&amp;I$1&amp;"P"&amp;$A38)),0),IF($X$1="ABS",IF(RTD("tos.rtd",,$A$2,"."&amp;I$2&amp;I$1&amp;"C"&amp;$A38)="N/A",0,RTD("tos.rtd",,$A$2,"."&amp;I$2&amp;I$1&amp;"C"&amp;$A38))+IF(RTD("tos.rtd",,$A$2,"."&amp;I$2&amp;I$1&amp;"P"&amp;$A38)="N/A",0,RTD("tos.rtd",,$A$2,"."&amp;I$2&amp;I$1&amp;"P"&amp;$A38)),IF(RTD("tos.rtd",,$A$2,"."&amp;I$2&amp;I$1&amp;"C"&amp;$A38)="N/A",0,RTD("tos.rtd",,$A$2,"."&amp;I$2&amp;I$1&amp;"C"&amp;$A38))-IF(RTD("tos.rtd",,$A$2,"."&amp;I$2&amp;I$1&amp;"P"&amp;$A38)="N/A",0,RTD("tos.rtd",,$A$2,"."&amp;I$2&amp;I$1&amp;"P"&amp;$A38))))))))))</f>
        <v>-74</v>
      </c>
      <c r="J38" s="12">
        <f ca="1">IF($A$2="PREMIUM_OI",IFERROR(IF($X$1="ABS",(100*RTD("tos.rtd",,"OPEN_INT","."&amp;J$2&amp;J$1&amp;"C"&amp;$A38)*RTD("tos.rtd",,"LAST","."&amp;J$2&amp;J$1&amp;"C"&amp;$A38)+100*RTD("tos.rtd",,"OPEN_INT","."&amp;J$2&amp;J$1&amp;"P"&amp;$A38)*RTD("tos.rtd",,"LAST","."&amp;J$2&amp;J$1&amp;"P"&amp;$A38))/1000000,(100*RTD("tos.rtd",,"OPEN_INT","."&amp;J$2&amp;J$1&amp;"C"&amp;$A38)*RTD("tos.rtd",,"LAST","."&amp;J$2&amp;J$1&amp;"C"&amp;$A38)-100*RTD("tos.rtd",,"OPEN_INT","."&amp;J$2&amp;J$1&amp;"P"&amp;$A38)*RTD("tos.rtd",,"LAST","."&amp;J$2&amp;J$1&amp;"P"&amp;$A38))/1000000),0),IF($A$2="PREMIUM",IFERROR(IF($X$1="ABS",(100*RTD("tos.rtd",,"VOLUME","."&amp;J$2&amp;J$1&amp;"C"&amp;$A38)*RTD("tos.rtd",,"LAST","."&amp;J$2&amp;J$1&amp;"C"&amp;$A38)+100*RTD("tos.rtd",,"VOLUME","."&amp;J$2&amp;J$1&amp;"P"&amp;$A38)*RTD("tos.rtd",,"LAST","."&amp;J$2&amp;J$1&amp;"P"&amp;$A38))/1000000,(100*RTD("tos.rtd",,"VOLUME","."&amp;J$2&amp;J$1&amp;"C"&amp;$A38)*RTD("tos.rtd",,"LAST","."&amp;J$2&amp;J$1&amp;"C"&amp;$A38)-100*RTD("tos.rtd",,"VOLUME","."&amp;J$2&amp;J$1&amp;"P"&amp;$A38)*RTD("tos.rtd",,"LAST","."&amp;J$2&amp;J$1&amp;"P"&amp;$A38))/1000000),0),IF($A$2="DEX",IFERROR(IF($X$1="ABS",(100*RTD("tos.rtd",,"OPEN_INT","."&amp;J$2&amp;J$1&amp;"C"&amp;$A38)*RTD("tos.rtd",,"DELTA","."&amp;J$2&amp;J$1&amp;"C"&amp;$A38)+100*RTD("tos.rtd",,"OPEN_INT","."&amp;J$2&amp;J$1&amp;"P"&amp;$A38)*RTD("tos.rtd",,"DELTA","."&amp;J$2&amp;J$1&amp;"P"&amp;$A38))/1000,(100*RTD("tos.rtd",,"OPEN_INT","."&amp;J$2&amp;J$1&amp;"C"&amp;$A38)*RTD("tos.rtd",,"DELTA","."&amp;J$2&amp;J$1&amp;"C"&amp;$A38)-100*RTD("tos.rtd",,"OPEN_INT","."&amp;J$2&amp;J$1&amp;"P"&amp;$A38)*RTD("tos.rtd",,"DELTA","."&amp;J$2&amp;J$1&amp;"P"&amp;$A38))/1000),0),IF($A$2="VEX",IFERROR(IF($X$1="ABS",($A$4*$A$4*RTD("tos.rtd",,"VOLUME","."&amp;J$2&amp;J$1&amp;"C"&amp;$A38)*RTD("tos.rtd",,"GAMMA","."&amp;J$2&amp;J$1&amp;"C"&amp;$A38)+$A$4*$A$4*RTD("tos.rtd",,"VOLUME","."&amp;J$2&amp;J$1&amp;"P"&amp;$A38)*RTD("tos.rtd",,"GAMMA","."&amp;J$2&amp;J$1&amp;"P"&amp;$A38))/1000000,($A$4*$A$4*RTD("tos.rtd",,"VOLUME","."&amp;J$2&amp;J$1&amp;"C"&amp;$A38)*RTD("tos.rtd",,"GAMMA","."&amp;J$2&amp;J$1&amp;"C"&amp;$A38)-$A$4*$A$4*RTD("tos.rtd",,"VOLUME","."&amp;J$2&amp;J$1&amp;"P"&amp;$A38)*RTD("tos.rtd",,"GAMMA","."&amp;J$2&amp;J$1&amp;"P"&amp;$A38))/1000000),0),IF($A$2="GEX",IFERROR(IF($X$1="ABS",($A$4*$A$4*RTD("tos.rtd",,"OPEN_INT","."&amp;J$2&amp;J$1&amp;"C"&amp;$A38)*RTD("tos.rtd",,"GAMMA","."&amp;J$2&amp;J$1&amp;"C"&amp;$A38)+$A$4*$A$4*RTD("tos.rtd",,"OPEN_INT","."&amp;J$2&amp;J$1&amp;"P"&amp;$A38)*RTD("tos.rtd",,"GAMMA","."&amp;J$2&amp;J$1&amp;"P"&amp;$A38))/1000000,($A$4*$A$4*RTD("tos.rtd",,"OPEN_INT","."&amp;J$2&amp;J$1&amp;"C"&amp;$A38)*RTD("tos.rtd",,"GAMMA","."&amp;J$2&amp;J$1&amp;"C"&amp;$A38)-$A$4*$A$4*RTD("tos.rtd",,"OPEN_INT","."&amp;J$2&amp;J$1&amp;"P"&amp;$A38)*RTD("tos.rtd",,"GAMMA","."&amp;J$2&amp;J$1&amp;"P"&amp;$A38))/1000000),0),IF($A$2="SKEW",IFERROR(VALUE(IF(RTD("tos.rtd",,"IMPL_VOL","."&amp;J$2&amp;J$1&amp;"P"&amp;$A38)="N/A",0,RTD("tos.rtd",,"IMPL_VOL","."&amp;J$2&amp;J$1&amp;"P"&amp;$A38))),0)-IFERROR(VALUE(IF(RTD("tos.rtd",,"IMPL_VOL","."&amp;J$2&amp;J$1&amp;"C"&amp;$A38)="N/A",0,RTD("tos.rtd",,"IMPL_VOL","."&amp;J$2&amp;J$1&amp;"C"&amp;$A38))),0),IF($A$2="MAXPAIN",IF($A$4&gt;$A38,($A$4-$A38)*IF(RTD("tos.rtd",,"OPEN_INT","."&amp;J$2&amp;J$1&amp;"C"&amp;$A38)="N/A",0,RTD("tos.rtd",,"OPEN_INT","."&amp;J$2&amp;J$1&amp;"C"&amp;$A38)),0)+IF($A$4&lt;$A38,($A$5-$A$4)*IF(RTD("tos.rtd",,"OPEN_INT","."&amp;J$2&amp;J$1&amp;"P"&amp;$A38)="N/A",0,RTD("tos.rtd",,"OPEN_INT","."&amp;J$2&amp;J$1&amp;"P"&amp;$A38)),0),IF($X$1="ABS",IF(RTD("tos.rtd",,$A$2,"."&amp;J$2&amp;J$1&amp;"C"&amp;$A38)="N/A",0,RTD("tos.rtd",,$A$2,"."&amp;J$2&amp;J$1&amp;"C"&amp;$A38))+IF(RTD("tos.rtd",,$A$2,"."&amp;J$2&amp;J$1&amp;"P"&amp;$A38)="N/A",0,RTD("tos.rtd",,$A$2,"."&amp;J$2&amp;J$1&amp;"P"&amp;$A38)),IF(RTD("tos.rtd",,$A$2,"."&amp;J$2&amp;J$1&amp;"C"&amp;$A38)="N/A",0,RTD("tos.rtd",,$A$2,"."&amp;J$2&amp;J$1&amp;"C"&amp;$A38))-IF(RTD("tos.rtd",,$A$2,"."&amp;J$2&amp;J$1&amp;"P"&amp;$A38)="N/A",0,RTD("tos.rtd",,$A$2,"."&amp;J$2&amp;J$1&amp;"P"&amp;$A38))))))))))</f>
        <v>0</v>
      </c>
      <c r="K38" s="12">
        <f ca="1">IF($A$2="PREMIUM_OI",IFERROR(IF($X$1="ABS",(100*RTD("tos.rtd",,"OPEN_INT","."&amp;K$2&amp;K$1&amp;"C"&amp;$A38)*RTD("tos.rtd",,"LAST","."&amp;K$2&amp;K$1&amp;"C"&amp;$A38)+100*RTD("tos.rtd",,"OPEN_INT","."&amp;K$2&amp;K$1&amp;"P"&amp;$A38)*RTD("tos.rtd",,"LAST","."&amp;K$2&amp;K$1&amp;"P"&amp;$A38))/1000000,(100*RTD("tos.rtd",,"OPEN_INT","."&amp;K$2&amp;K$1&amp;"C"&amp;$A38)*RTD("tos.rtd",,"LAST","."&amp;K$2&amp;K$1&amp;"C"&amp;$A38)-100*RTD("tos.rtd",,"OPEN_INT","."&amp;K$2&amp;K$1&amp;"P"&amp;$A38)*RTD("tos.rtd",,"LAST","."&amp;K$2&amp;K$1&amp;"P"&amp;$A38))/1000000),0),IF($A$2="PREMIUM",IFERROR(IF($X$1="ABS",(100*RTD("tos.rtd",,"VOLUME","."&amp;K$2&amp;K$1&amp;"C"&amp;$A38)*RTD("tos.rtd",,"LAST","."&amp;K$2&amp;K$1&amp;"C"&amp;$A38)+100*RTD("tos.rtd",,"VOLUME","."&amp;K$2&amp;K$1&amp;"P"&amp;$A38)*RTD("tos.rtd",,"LAST","."&amp;K$2&amp;K$1&amp;"P"&amp;$A38))/1000000,(100*RTD("tos.rtd",,"VOLUME","."&amp;K$2&amp;K$1&amp;"C"&amp;$A38)*RTD("tos.rtd",,"LAST","."&amp;K$2&amp;K$1&amp;"C"&amp;$A38)-100*RTD("tos.rtd",,"VOLUME","."&amp;K$2&amp;K$1&amp;"P"&amp;$A38)*RTD("tos.rtd",,"LAST","."&amp;K$2&amp;K$1&amp;"P"&amp;$A38))/1000000),0),IF($A$2="DEX",IFERROR(IF($X$1="ABS",(100*RTD("tos.rtd",,"OPEN_INT","."&amp;K$2&amp;K$1&amp;"C"&amp;$A38)*RTD("tos.rtd",,"DELTA","."&amp;K$2&amp;K$1&amp;"C"&amp;$A38)+100*RTD("tos.rtd",,"OPEN_INT","."&amp;K$2&amp;K$1&amp;"P"&amp;$A38)*RTD("tos.rtd",,"DELTA","."&amp;K$2&amp;K$1&amp;"P"&amp;$A38))/1000,(100*RTD("tos.rtd",,"OPEN_INT","."&amp;K$2&amp;K$1&amp;"C"&amp;$A38)*RTD("tos.rtd",,"DELTA","."&amp;K$2&amp;K$1&amp;"C"&amp;$A38)-100*RTD("tos.rtd",,"OPEN_INT","."&amp;K$2&amp;K$1&amp;"P"&amp;$A38)*RTD("tos.rtd",,"DELTA","."&amp;K$2&amp;K$1&amp;"P"&amp;$A38))/1000),0),IF($A$2="VEX",IFERROR(IF($X$1="ABS",($A$4*$A$4*RTD("tos.rtd",,"VOLUME","."&amp;K$2&amp;K$1&amp;"C"&amp;$A38)*RTD("tos.rtd",,"GAMMA","."&amp;K$2&amp;K$1&amp;"C"&amp;$A38)+$A$4*$A$4*RTD("tos.rtd",,"VOLUME","."&amp;K$2&amp;K$1&amp;"P"&amp;$A38)*RTD("tos.rtd",,"GAMMA","."&amp;K$2&amp;K$1&amp;"P"&amp;$A38))/1000000,($A$4*$A$4*RTD("tos.rtd",,"VOLUME","."&amp;K$2&amp;K$1&amp;"C"&amp;$A38)*RTD("tos.rtd",,"GAMMA","."&amp;K$2&amp;K$1&amp;"C"&amp;$A38)-$A$4*$A$4*RTD("tos.rtd",,"VOLUME","."&amp;K$2&amp;K$1&amp;"P"&amp;$A38)*RTD("tos.rtd",,"GAMMA","."&amp;K$2&amp;K$1&amp;"P"&amp;$A38))/1000000),0),IF($A$2="GEX",IFERROR(IF($X$1="ABS",($A$4*$A$4*RTD("tos.rtd",,"OPEN_INT","."&amp;K$2&amp;K$1&amp;"C"&amp;$A38)*RTD("tos.rtd",,"GAMMA","."&amp;K$2&amp;K$1&amp;"C"&amp;$A38)+$A$4*$A$4*RTD("tos.rtd",,"OPEN_INT","."&amp;K$2&amp;K$1&amp;"P"&amp;$A38)*RTD("tos.rtd",,"GAMMA","."&amp;K$2&amp;K$1&amp;"P"&amp;$A38))/1000000,($A$4*$A$4*RTD("tos.rtd",,"OPEN_INT","."&amp;K$2&amp;K$1&amp;"C"&amp;$A38)*RTD("tos.rtd",,"GAMMA","."&amp;K$2&amp;K$1&amp;"C"&amp;$A38)-$A$4*$A$4*RTD("tos.rtd",,"OPEN_INT","."&amp;K$2&amp;K$1&amp;"P"&amp;$A38)*RTD("tos.rtd",,"GAMMA","."&amp;K$2&amp;K$1&amp;"P"&amp;$A38))/1000000),0),IF($A$2="SKEW",IFERROR(VALUE(IF(RTD("tos.rtd",,"IMPL_VOL","."&amp;K$2&amp;K$1&amp;"P"&amp;$A38)="N/A",0,RTD("tos.rtd",,"IMPL_VOL","."&amp;K$2&amp;K$1&amp;"P"&amp;$A38))),0)-IFERROR(VALUE(IF(RTD("tos.rtd",,"IMPL_VOL","."&amp;K$2&amp;K$1&amp;"C"&amp;$A38)="N/A",0,RTD("tos.rtd",,"IMPL_VOL","."&amp;K$2&amp;K$1&amp;"C"&amp;$A38))),0),IF($A$2="MAXPAIN",IF($A$4&gt;$A38,($A$4-$A38)*IF(RTD("tos.rtd",,"OPEN_INT","."&amp;K$2&amp;K$1&amp;"C"&amp;$A38)="N/A",0,RTD("tos.rtd",,"OPEN_INT","."&amp;K$2&amp;K$1&amp;"C"&amp;$A38)),0)+IF($A$4&lt;$A38,($A$5-$A$4)*IF(RTD("tos.rtd",,"OPEN_INT","."&amp;K$2&amp;K$1&amp;"P"&amp;$A38)="N/A",0,RTD("tos.rtd",,"OPEN_INT","."&amp;K$2&amp;K$1&amp;"P"&amp;$A38)),0),IF($X$1="ABS",IF(RTD("tos.rtd",,$A$2,"."&amp;K$2&amp;K$1&amp;"C"&amp;$A38)="N/A",0,RTD("tos.rtd",,$A$2,"."&amp;K$2&amp;K$1&amp;"C"&amp;$A38))+IF(RTD("tos.rtd",,$A$2,"."&amp;K$2&amp;K$1&amp;"P"&amp;$A38)="N/A",0,RTD("tos.rtd",,$A$2,"."&amp;K$2&amp;K$1&amp;"P"&amp;$A38)),IF(RTD("tos.rtd",,$A$2,"."&amp;K$2&amp;K$1&amp;"C"&amp;$A38)="N/A",0,RTD("tos.rtd",,$A$2,"."&amp;K$2&amp;K$1&amp;"C"&amp;$A38))-IF(RTD("tos.rtd",,$A$2,"."&amp;K$2&amp;K$1&amp;"P"&amp;$A38)="N/A",0,RTD("tos.rtd",,$A$2,"."&amp;K$2&amp;K$1&amp;"P"&amp;$A38))))))))))</f>
        <v>0</v>
      </c>
      <c r="L38" s="54">
        <f ca="1">IF($A$2="PREMIUM_OI",IFERROR(IF($X$1="ABS",(100*RTD("tos.rtd",,"OPEN_INT","."&amp;L$2&amp;L$1&amp;"C"&amp;$A38)*RTD("tos.rtd",,"LAST","."&amp;L$2&amp;L$1&amp;"C"&amp;$A38)+100*RTD("tos.rtd",,"OPEN_INT","."&amp;L$2&amp;L$1&amp;"P"&amp;$A38)*RTD("tos.rtd",,"LAST","."&amp;L$2&amp;L$1&amp;"P"&amp;$A38))/1000000,(100*RTD("tos.rtd",,"OPEN_INT","."&amp;L$2&amp;L$1&amp;"C"&amp;$A38)*RTD("tos.rtd",,"LAST","."&amp;L$2&amp;L$1&amp;"C"&amp;$A38)-100*RTD("tos.rtd",,"OPEN_INT","."&amp;L$2&amp;L$1&amp;"P"&amp;$A38)*RTD("tos.rtd",,"LAST","."&amp;L$2&amp;L$1&amp;"P"&amp;$A38))/1000000),0),IF($A$2="PREMIUM",IFERROR(IF($X$1="ABS",(100*RTD("tos.rtd",,"VOLUME","."&amp;L$2&amp;L$1&amp;"C"&amp;$A38)*RTD("tos.rtd",,"LAST","."&amp;L$2&amp;L$1&amp;"C"&amp;$A38)+100*RTD("tos.rtd",,"VOLUME","."&amp;L$2&amp;L$1&amp;"P"&amp;$A38)*RTD("tos.rtd",,"LAST","."&amp;L$2&amp;L$1&amp;"P"&amp;$A38))/1000000,(100*RTD("tos.rtd",,"VOLUME","."&amp;L$2&amp;L$1&amp;"C"&amp;$A38)*RTD("tos.rtd",,"LAST","."&amp;L$2&amp;L$1&amp;"C"&amp;$A38)-100*RTD("tos.rtd",,"VOLUME","."&amp;L$2&amp;L$1&amp;"P"&amp;$A38)*RTD("tos.rtd",,"LAST","."&amp;L$2&amp;L$1&amp;"P"&amp;$A38))/1000000),0),IF($A$2="DEX",IFERROR(IF($X$1="ABS",(100*RTD("tos.rtd",,"OPEN_INT","."&amp;L$2&amp;L$1&amp;"C"&amp;$A38)*RTD("tos.rtd",,"DELTA","."&amp;L$2&amp;L$1&amp;"C"&amp;$A38)+100*RTD("tos.rtd",,"OPEN_INT","."&amp;L$2&amp;L$1&amp;"P"&amp;$A38)*RTD("tos.rtd",,"DELTA","."&amp;L$2&amp;L$1&amp;"P"&amp;$A38))/1000,(100*RTD("tos.rtd",,"OPEN_INT","."&amp;L$2&amp;L$1&amp;"C"&amp;$A38)*RTD("tos.rtd",,"DELTA","."&amp;L$2&amp;L$1&amp;"C"&amp;$A38)-100*RTD("tos.rtd",,"OPEN_INT","."&amp;L$2&amp;L$1&amp;"P"&amp;$A38)*RTD("tos.rtd",,"DELTA","."&amp;L$2&amp;L$1&amp;"P"&amp;$A38))/1000),0),IF($A$2="VEX",IFERROR(IF($X$1="ABS",($A$4*$A$4*RTD("tos.rtd",,"VOLUME","."&amp;L$2&amp;L$1&amp;"C"&amp;$A38)*RTD("tos.rtd",,"GAMMA","."&amp;L$2&amp;L$1&amp;"C"&amp;$A38)+$A$4*$A$4*RTD("tos.rtd",,"VOLUME","."&amp;L$2&amp;L$1&amp;"P"&amp;$A38)*RTD("tos.rtd",,"GAMMA","."&amp;L$2&amp;L$1&amp;"P"&amp;$A38))/1000000,($A$4*$A$4*RTD("tos.rtd",,"VOLUME","."&amp;L$2&amp;L$1&amp;"C"&amp;$A38)*RTD("tos.rtd",,"GAMMA","."&amp;L$2&amp;L$1&amp;"C"&amp;$A38)-$A$4*$A$4*RTD("tos.rtd",,"VOLUME","."&amp;L$2&amp;L$1&amp;"P"&amp;$A38)*RTD("tos.rtd",,"GAMMA","."&amp;L$2&amp;L$1&amp;"P"&amp;$A38))/1000000),0),IF($A$2="GEX",IFERROR(IF($X$1="ABS",($A$4*$A$4*RTD("tos.rtd",,"OPEN_INT","."&amp;L$2&amp;L$1&amp;"C"&amp;$A38)*RTD("tos.rtd",,"GAMMA","."&amp;L$2&amp;L$1&amp;"C"&amp;$A38)+$A$4*$A$4*RTD("tos.rtd",,"OPEN_INT","."&amp;L$2&amp;L$1&amp;"P"&amp;$A38)*RTD("tos.rtd",,"GAMMA","."&amp;L$2&amp;L$1&amp;"P"&amp;$A38))/1000000,($A$4*$A$4*RTD("tos.rtd",,"OPEN_INT","."&amp;L$2&amp;L$1&amp;"C"&amp;$A38)*RTD("tos.rtd",,"GAMMA","."&amp;L$2&amp;L$1&amp;"C"&amp;$A38)-$A$4*$A$4*RTD("tos.rtd",,"OPEN_INT","."&amp;L$2&amp;L$1&amp;"P"&amp;$A38)*RTD("tos.rtd",,"GAMMA","."&amp;L$2&amp;L$1&amp;"P"&amp;$A38))/1000000),0),IF($A$2="SKEW",IFERROR(VALUE(IF(RTD("tos.rtd",,"IMPL_VOL","."&amp;L$2&amp;L$1&amp;"P"&amp;$A38)="N/A",0,RTD("tos.rtd",,"IMPL_VOL","."&amp;L$2&amp;L$1&amp;"P"&amp;$A38))),0)-IFERROR(VALUE(IF(RTD("tos.rtd",,"IMPL_VOL","."&amp;L$2&amp;L$1&amp;"C"&amp;$A38)="N/A",0,RTD("tos.rtd",,"IMPL_VOL","."&amp;L$2&amp;L$1&amp;"C"&amp;$A38))),0),IF($A$2="MAXPAIN",IF($A$4&gt;$A38,($A$4-$A38)*IF(RTD("tos.rtd",,"OPEN_INT","."&amp;L$2&amp;L$1&amp;"C"&amp;$A38)="N/A",0,RTD("tos.rtd",,"OPEN_INT","."&amp;L$2&amp;L$1&amp;"C"&amp;$A38)),0)+IF($A$4&lt;$A38,($A$5-$A$4)*IF(RTD("tos.rtd",,"OPEN_INT","."&amp;L$2&amp;L$1&amp;"P"&amp;$A38)="N/A",0,RTD("tos.rtd",,"OPEN_INT","."&amp;L$2&amp;L$1&amp;"P"&amp;$A38)),0),IF($X$1="ABS",IF(RTD("tos.rtd",,$A$2,"."&amp;L$2&amp;L$1&amp;"C"&amp;$A38)="N/A",0,RTD("tos.rtd",,$A$2,"."&amp;L$2&amp;L$1&amp;"C"&amp;$A38))+IF(RTD("tos.rtd",,$A$2,"."&amp;L$2&amp;L$1&amp;"P"&amp;$A38)="N/A",0,RTD("tos.rtd",,$A$2,"."&amp;L$2&amp;L$1&amp;"P"&amp;$A38)),IF(RTD("tos.rtd",,$A$2,"."&amp;L$2&amp;L$1&amp;"C"&amp;$A38)="N/A",0,RTD("tos.rtd",,$A$2,"."&amp;L$2&amp;L$1&amp;"C"&amp;$A38))-IF(RTD("tos.rtd",,$A$2,"."&amp;L$2&amp;L$1&amp;"P"&amp;$A38)="N/A",0,RTD("tos.rtd",,$A$2,"."&amp;L$2&amp;L$1&amp;"P"&amp;$A38))))))))))</f>
        <v>29388</v>
      </c>
      <c r="M38" s="12">
        <f ca="1">IF($A$2="PREMIUM_OI",IFERROR(IF($X$1="ABS",(100*RTD("tos.rtd",,"OPEN_INT","."&amp;M$2&amp;M$1&amp;"C"&amp;$A38)*RTD("tos.rtd",,"LAST","."&amp;M$2&amp;M$1&amp;"C"&amp;$A38)+100*RTD("tos.rtd",,"OPEN_INT","."&amp;M$2&amp;M$1&amp;"P"&amp;$A38)*RTD("tos.rtd",,"LAST","."&amp;M$2&amp;M$1&amp;"P"&amp;$A38))/1000000,(100*RTD("tos.rtd",,"OPEN_INT","."&amp;M$2&amp;M$1&amp;"C"&amp;$A38)*RTD("tos.rtd",,"LAST","."&amp;M$2&amp;M$1&amp;"C"&amp;$A38)-100*RTD("tos.rtd",,"OPEN_INT","."&amp;M$2&amp;M$1&amp;"P"&amp;$A38)*RTD("tos.rtd",,"LAST","."&amp;M$2&amp;M$1&amp;"P"&amp;$A38))/1000000),0),IF($A$2="PREMIUM",IFERROR(IF($X$1="ABS",(100*RTD("tos.rtd",,"VOLUME","."&amp;M$2&amp;M$1&amp;"C"&amp;$A38)*RTD("tos.rtd",,"LAST","."&amp;M$2&amp;M$1&amp;"C"&amp;$A38)+100*RTD("tos.rtd",,"VOLUME","."&amp;M$2&amp;M$1&amp;"P"&amp;$A38)*RTD("tos.rtd",,"LAST","."&amp;M$2&amp;M$1&amp;"P"&amp;$A38))/1000000,(100*RTD("tos.rtd",,"VOLUME","."&amp;M$2&amp;M$1&amp;"C"&amp;$A38)*RTD("tos.rtd",,"LAST","."&amp;M$2&amp;M$1&amp;"C"&amp;$A38)-100*RTD("tos.rtd",,"VOLUME","."&amp;M$2&amp;M$1&amp;"P"&amp;$A38)*RTD("tos.rtd",,"LAST","."&amp;M$2&amp;M$1&amp;"P"&amp;$A38))/1000000),0),IF($A$2="DEX",IFERROR(IF($X$1="ABS",(100*RTD("tos.rtd",,"OPEN_INT","."&amp;M$2&amp;M$1&amp;"C"&amp;$A38)*RTD("tos.rtd",,"DELTA","."&amp;M$2&amp;M$1&amp;"C"&amp;$A38)+100*RTD("tos.rtd",,"OPEN_INT","."&amp;M$2&amp;M$1&amp;"P"&amp;$A38)*RTD("tos.rtd",,"DELTA","."&amp;M$2&amp;M$1&amp;"P"&amp;$A38))/1000,(100*RTD("tos.rtd",,"OPEN_INT","."&amp;M$2&amp;M$1&amp;"C"&amp;$A38)*RTD("tos.rtd",,"DELTA","."&amp;M$2&amp;M$1&amp;"C"&amp;$A38)-100*RTD("tos.rtd",,"OPEN_INT","."&amp;M$2&amp;M$1&amp;"P"&amp;$A38)*RTD("tos.rtd",,"DELTA","."&amp;M$2&amp;M$1&amp;"P"&amp;$A38))/1000),0),IF($A$2="VEX",IFERROR(IF($X$1="ABS",($A$4*$A$4*RTD("tos.rtd",,"VOLUME","."&amp;M$2&amp;M$1&amp;"C"&amp;$A38)*RTD("tos.rtd",,"GAMMA","."&amp;M$2&amp;M$1&amp;"C"&amp;$A38)+$A$4*$A$4*RTD("tos.rtd",,"VOLUME","."&amp;M$2&amp;M$1&amp;"P"&amp;$A38)*RTD("tos.rtd",,"GAMMA","."&amp;M$2&amp;M$1&amp;"P"&amp;$A38))/1000000,($A$4*$A$4*RTD("tos.rtd",,"VOLUME","."&amp;M$2&amp;M$1&amp;"C"&amp;$A38)*RTD("tos.rtd",,"GAMMA","."&amp;M$2&amp;M$1&amp;"C"&amp;$A38)-$A$4*$A$4*RTD("tos.rtd",,"VOLUME","."&amp;M$2&amp;M$1&amp;"P"&amp;$A38)*RTD("tos.rtd",,"GAMMA","."&amp;M$2&amp;M$1&amp;"P"&amp;$A38))/1000000),0),IF($A$2="GEX",IFERROR(IF($X$1="ABS",($A$4*$A$4*RTD("tos.rtd",,"OPEN_INT","."&amp;M$2&amp;M$1&amp;"C"&amp;$A38)*RTD("tos.rtd",,"GAMMA","."&amp;M$2&amp;M$1&amp;"C"&amp;$A38)+$A$4*$A$4*RTD("tos.rtd",,"OPEN_INT","."&amp;M$2&amp;M$1&amp;"P"&amp;$A38)*RTD("tos.rtd",,"GAMMA","."&amp;M$2&amp;M$1&amp;"P"&amp;$A38))/1000000,($A$4*$A$4*RTD("tos.rtd",,"OPEN_INT","."&amp;M$2&amp;M$1&amp;"C"&amp;$A38)*RTD("tos.rtd",,"GAMMA","."&amp;M$2&amp;M$1&amp;"C"&amp;$A38)-$A$4*$A$4*RTD("tos.rtd",,"OPEN_INT","."&amp;M$2&amp;M$1&amp;"P"&amp;$A38)*RTD("tos.rtd",,"GAMMA","."&amp;M$2&amp;M$1&amp;"P"&amp;$A38))/1000000),0),IF($A$2="SKEW",IFERROR(VALUE(IF(RTD("tos.rtd",,"IMPL_VOL","."&amp;M$2&amp;M$1&amp;"P"&amp;$A38)="N/A",0,RTD("tos.rtd",,"IMPL_VOL","."&amp;M$2&amp;M$1&amp;"P"&amp;$A38))),0)-IFERROR(VALUE(IF(RTD("tos.rtd",,"IMPL_VOL","."&amp;M$2&amp;M$1&amp;"C"&amp;$A38)="N/A",0,RTD("tos.rtd",,"IMPL_VOL","."&amp;M$2&amp;M$1&amp;"C"&amp;$A38))),0),IF($A$2="MAXPAIN",IF($A$4&gt;$A38,($A$4-$A38)*IF(RTD("tos.rtd",,"OPEN_INT","."&amp;M$2&amp;M$1&amp;"C"&amp;$A38)="N/A",0,RTD("tos.rtd",,"OPEN_INT","."&amp;M$2&amp;M$1&amp;"C"&amp;$A38)),0)+IF($A$4&lt;$A38,($A$5-$A$4)*IF(RTD("tos.rtd",,"OPEN_INT","."&amp;M$2&amp;M$1&amp;"P"&amp;$A38)="N/A",0,RTD("tos.rtd",,"OPEN_INT","."&amp;M$2&amp;M$1&amp;"P"&amp;$A38)),0),IF($X$1="ABS",IF(RTD("tos.rtd",,$A$2,"."&amp;M$2&amp;M$1&amp;"C"&amp;$A38)="N/A",0,RTD("tos.rtd",,$A$2,"."&amp;M$2&amp;M$1&amp;"C"&amp;$A38))+IF(RTD("tos.rtd",,$A$2,"."&amp;M$2&amp;M$1&amp;"P"&amp;$A38)="N/A",0,RTD("tos.rtd",,$A$2,"."&amp;M$2&amp;M$1&amp;"P"&amp;$A38)),IF(RTD("tos.rtd",,$A$2,"."&amp;M$2&amp;M$1&amp;"C"&amp;$A38)="N/A",0,RTD("tos.rtd",,$A$2,"."&amp;M$2&amp;M$1&amp;"C"&amp;$A38))-IF(RTD("tos.rtd",,$A$2,"."&amp;M$2&amp;M$1&amp;"P"&amp;$A38)="N/A",0,RTD("tos.rtd",,$A$2,"."&amp;M$2&amp;M$1&amp;"P"&amp;$A38))))))))))</f>
        <v>6911</v>
      </c>
      <c r="N38" s="12">
        <f ca="1">IF($A$2="PREMIUM_OI",IFERROR(IF($X$1="ABS",(100*RTD("tos.rtd",,"OPEN_INT","."&amp;N$2&amp;N$1&amp;"C"&amp;$A38)*RTD("tos.rtd",,"LAST","."&amp;N$2&amp;N$1&amp;"C"&amp;$A38)+100*RTD("tos.rtd",,"OPEN_INT","."&amp;N$2&amp;N$1&amp;"P"&amp;$A38)*RTD("tos.rtd",,"LAST","."&amp;N$2&amp;N$1&amp;"P"&amp;$A38))/1000000,(100*RTD("tos.rtd",,"OPEN_INT","."&amp;N$2&amp;N$1&amp;"C"&amp;$A38)*RTD("tos.rtd",,"LAST","."&amp;N$2&amp;N$1&amp;"C"&amp;$A38)-100*RTD("tos.rtd",,"OPEN_INT","."&amp;N$2&amp;N$1&amp;"P"&amp;$A38)*RTD("tos.rtd",,"LAST","."&amp;N$2&amp;N$1&amp;"P"&amp;$A38))/1000000),0),IF($A$2="PREMIUM",IFERROR(IF($X$1="ABS",(100*RTD("tos.rtd",,"VOLUME","."&amp;N$2&amp;N$1&amp;"C"&amp;$A38)*RTD("tos.rtd",,"LAST","."&amp;N$2&amp;N$1&amp;"C"&amp;$A38)+100*RTD("tos.rtd",,"VOLUME","."&amp;N$2&amp;N$1&amp;"P"&amp;$A38)*RTD("tos.rtd",,"LAST","."&amp;N$2&amp;N$1&amp;"P"&amp;$A38))/1000000,(100*RTD("tos.rtd",,"VOLUME","."&amp;N$2&amp;N$1&amp;"C"&amp;$A38)*RTD("tos.rtd",,"LAST","."&amp;N$2&amp;N$1&amp;"C"&amp;$A38)-100*RTD("tos.rtd",,"VOLUME","."&amp;N$2&amp;N$1&amp;"P"&amp;$A38)*RTD("tos.rtd",,"LAST","."&amp;N$2&amp;N$1&amp;"P"&amp;$A38))/1000000),0),IF($A$2="DEX",IFERROR(IF($X$1="ABS",(100*RTD("tos.rtd",,"OPEN_INT","."&amp;N$2&amp;N$1&amp;"C"&amp;$A38)*RTD("tos.rtd",,"DELTA","."&amp;N$2&amp;N$1&amp;"C"&amp;$A38)+100*RTD("tos.rtd",,"OPEN_INT","."&amp;N$2&amp;N$1&amp;"P"&amp;$A38)*RTD("tos.rtd",,"DELTA","."&amp;N$2&amp;N$1&amp;"P"&amp;$A38))/1000,(100*RTD("tos.rtd",,"OPEN_INT","."&amp;N$2&amp;N$1&amp;"C"&amp;$A38)*RTD("tos.rtd",,"DELTA","."&amp;N$2&amp;N$1&amp;"C"&amp;$A38)-100*RTD("tos.rtd",,"OPEN_INT","."&amp;N$2&amp;N$1&amp;"P"&amp;$A38)*RTD("tos.rtd",,"DELTA","."&amp;N$2&amp;N$1&amp;"P"&amp;$A38))/1000),0),IF($A$2="VEX",IFERROR(IF($X$1="ABS",($A$4*$A$4*RTD("tos.rtd",,"VOLUME","."&amp;N$2&amp;N$1&amp;"C"&amp;$A38)*RTD("tos.rtd",,"GAMMA","."&amp;N$2&amp;N$1&amp;"C"&amp;$A38)+$A$4*$A$4*RTD("tos.rtd",,"VOLUME","."&amp;N$2&amp;N$1&amp;"P"&amp;$A38)*RTD("tos.rtd",,"GAMMA","."&amp;N$2&amp;N$1&amp;"P"&amp;$A38))/1000000,($A$4*$A$4*RTD("tos.rtd",,"VOLUME","."&amp;N$2&amp;N$1&amp;"C"&amp;$A38)*RTD("tos.rtd",,"GAMMA","."&amp;N$2&amp;N$1&amp;"C"&amp;$A38)-$A$4*$A$4*RTD("tos.rtd",,"VOLUME","."&amp;N$2&amp;N$1&amp;"P"&amp;$A38)*RTD("tos.rtd",,"GAMMA","."&amp;N$2&amp;N$1&amp;"P"&amp;$A38))/1000000),0),IF($A$2="GEX",IFERROR(IF($X$1="ABS",($A$4*$A$4*RTD("tos.rtd",,"OPEN_INT","."&amp;N$2&amp;N$1&amp;"C"&amp;$A38)*RTD("tos.rtd",,"GAMMA","."&amp;N$2&amp;N$1&amp;"C"&amp;$A38)+$A$4*$A$4*RTD("tos.rtd",,"OPEN_INT","."&amp;N$2&amp;N$1&amp;"P"&amp;$A38)*RTD("tos.rtd",,"GAMMA","."&amp;N$2&amp;N$1&amp;"P"&amp;$A38))/1000000,($A$4*$A$4*RTD("tos.rtd",,"OPEN_INT","."&amp;N$2&amp;N$1&amp;"C"&amp;$A38)*RTD("tos.rtd",,"GAMMA","."&amp;N$2&amp;N$1&amp;"C"&amp;$A38)-$A$4*$A$4*RTD("tos.rtd",,"OPEN_INT","."&amp;N$2&amp;N$1&amp;"P"&amp;$A38)*RTD("tos.rtd",,"GAMMA","."&amp;N$2&amp;N$1&amp;"P"&amp;$A38))/1000000),0),IF($A$2="SKEW",IFERROR(VALUE(IF(RTD("tos.rtd",,"IMPL_VOL","."&amp;N$2&amp;N$1&amp;"P"&amp;$A38)="N/A",0,RTD("tos.rtd",,"IMPL_VOL","."&amp;N$2&amp;N$1&amp;"P"&amp;$A38))),0)-IFERROR(VALUE(IF(RTD("tos.rtd",,"IMPL_VOL","."&amp;N$2&amp;N$1&amp;"C"&amp;$A38)="N/A",0,RTD("tos.rtd",,"IMPL_VOL","."&amp;N$2&amp;N$1&amp;"C"&amp;$A38))),0),IF($A$2="MAXPAIN",IF($A$4&gt;$A38,($A$4-$A38)*IF(RTD("tos.rtd",,"OPEN_INT","."&amp;N$2&amp;N$1&amp;"C"&amp;$A38)="N/A",0,RTD("tos.rtd",,"OPEN_INT","."&amp;N$2&amp;N$1&amp;"C"&amp;$A38)),0)+IF($A$4&lt;$A38,($A$5-$A$4)*IF(RTD("tos.rtd",,"OPEN_INT","."&amp;N$2&amp;N$1&amp;"P"&amp;$A38)="N/A",0,RTD("tos.rtd",,"OPEN_INT","."&amp;N$2&amp;N$1&amp;"P"&amp;$A38)),0),IF($X$1="ABS",IF(RTD("tos.rtd",,$A$2,"."&amp;N$2&amp;N$1&amp;"C"&amp;$A38)="N/A",0,RTD("tos.rtd",,$A$2,"."&amp;N$2&amp;N$1&amp;"C"&amp;$A38))+IF(RTD("tos.rtd",,$A$2,"."&amp;N$2&amp;N$1&amp;"P"&amp;$A38)="N/A",0,RTD("tos.rtd",,$A$2,"."&amp;N$2&amp;N$1&amp;"P"&amp;$A38)),IF(RTD("tos.rtd",,$A$2,"."&amp;N$2&amp;N$1&amp;"C"&amp;$A38)="N/A",0,RTD("tos.rtd",,$A$2,"."&amp;N$2&amp;N$1&amp;"C"&amp;$A38))-IF(RTD("tos.rtd",,$A$2,"."&amp;N$2&amp;N$1&amp;"P"&amp;$A38)="N/A",0,RTD("tos.rtd",,$A$2,"."&amp;N$2&amp;N$1&amp;"P"&amp;$A38))))))))))</f>
        <v>0</v>
      </c>
      <c r="O38" s="12">
        <f ca="1">IF($A$2="PREMIUM_OI",IFERROR(IF($X$1="ABS",(100*RTD("tos.rtd",,"OPEN_INT","."&amp;O$2&amp;O$1&amp;"C"&amp;$A38)*RTD("tos.rtd",,"LAST","."&amp;O$2&amp;O$1&amp;"C"&amp;$A38)+100*RTD("tos.rtd",,"OPEN_INT","."&amp;O$2&amp;O$1&amp;"P"&amp;$A38)*RTD("tos.rtd",,"LAST","."&amp;O$2&amp;O$1&amp;"P"&amp;$A38))/1000000,(100*RTD("tos.rtd",,"OPEN_INT","."&amp;O$2&amp;O$1&amp;"C"&amp;$A38)*RTD("tos.rtd",,"LAST","."&amp;O$2&amp;O$1&amp;"C"&amp;$A38)-100*RTD("tos.rtd",,"OPEN_INT","."&amp;O$2&amp;O$1&amp;"P"&amp;$A38)*RTD("tos.rtd",,"LAST","."&amp;O$2&amp;O$1&amp;"P"&amp;$A38))/1000000),0),IF($A$2="PREMIUM",IFERROR(IF($X$1="ABS",(100*RTD("tos.rtd",,"VOLUME","."&amp;O$2&amp;O$1&amp;"C"&amp;$A38)*RTD("tos.rtd",,"LAST","."&amp;O$2&amp;O$1&amp;"C"&amp;$A38)+100*RTD("tos.rtd",,"VOLUME","."&amp;O$2&amp;O$1&amp;"P"&amp;$A38)*RTD("tos.rtd",,"LAST","."&amp;O$2&amp;O$1&amp;"P"&amp;$A38))/1000000,(100*RTD("tos.rtd",,"VOLUME","."&amp;O$2&amp;O$1&amp;"C"&amp;$A38)*RTD("tos.rtd",,"LAST","."&amp;O$2&amp;O$1&amp;"C"&amp;$A38)-100*RTD("tos.rtd",,"VOLUME","."&amp;O$2&amp;O$1&amp;"P"&amp;$A38)*RTD("tos.rtd",,"LAST","."&amp;O$2&amp;O$1&amp;"P"&amp;$A38))/1000000),0),IF($A$2="DEX",IFERROR(IF($X$1="ABS",(100*RTD("tos.rtd",,"OPEN_INT","."&amp;O$2&amp;O$1&amp;"C"&amp;$A38)*RTD("tos.rtd",,"DELTA","."&amp;O$2&amp;O$1&amp;"C"&amp;$A38)+100*RTD("tos.rtd",,"OPEN_INT","."&amp;O$2&amp;O$1&amp;"P"&amp;$A38)*RTD("tos.rtd",,"DELTA","."&amp;O$2&amp;O$1&amp;"P"&amp;$A38))/1000,(100*RTD("tos.rtd",,"OPEN_INT","."&amp;O$2&amp;O$1&amp;"C"&amp;$A38)*RTD("tos.rtd",,"DELTA","."&amp;O$2&amp;O$1&amp;"C"&amp;$A38)-100*RTD("tos.rtd",,"OPEN_INT","."&amp;O$2&amp;O$1&amp;"P"&amp;$A38)*RTD("tos.rtd",,"DELTA","."&amp;O$2&amp;O$1&amp;"P"&amp;$A38))/1000),0),IF($A$2="VEX",IFERROR(IF($X$1="ABS",($A$4*$A$4*RTD("tos.rtd",,"VOLUME","."&amp;O$2&amp;O$1&amp;"C"&amp;$A38)*RTD("tos.rtd",,"GAMMA","."&amp;O$2&amp;O$1&amp;"C"&amp;$A38)+$A$4*$A$4*RTD("tos.rtd",,"VOLUME","."&amp;O$2&amp;O$1&amp;"P"&amp;$A38)*RTD("tos.rtd",,"GAMMA","."&amp;O$2&amp;O$1&amp;"P"&amp;$A38))/1000000,($A$4*$A$4*RTD("tos.rtd",,"VOLUME","."&amp;O$2&amp;O$1&amp;"C"&amp;$A38)*RTD("tos.rtd",,"GAMMA","."&amp;O$2&amp;O$1&amp;"C"&amp;$A38)-$A$4*$A$4*RTD("tos.rtd",,"VOLUME","."&amp;O$2&amp;O$1&amp;"P"&amp;$A38)*RTD("tos.rtd",,"GAMMA","."&amp;O$2&amp;O$1&amp;"P"&amp;$A38))/1000000),0),IF($A$2="GEX",IFERROR(IF($X$1="ABS",($A$4*$A$4*RTD("tos.rtd",,"OPEN_INT","."&amp;O$2&amp;O$1&amp;"C"&amp;$A38)*RTD("tos.rtd",,"GAMMA","."&amp;O$2&amp;O$1&amp;"C"&amp;$A38)+$A$4*$A$4*RTD("tos.rtd",,"OPEN_INT","."&amp;O$2&amp;O$1&amp;"P"&amp;$A38)*RTD("tos.rtd",,"GAMMA","."&amp;O$2&amp;O$1&amp;"P"&amp;$A38))/1000000,($A$4*$A$4*RTD("tos.rtd",,"OPEN_INT","."&amp;O$2&amp;O$1&amp;"C"&amp;$A38)*RTD("tos.rtd",,"GAMMA","."&amp;O$2&amp;O$1&amp;"C"&amp;$A38)-$A$4*$A$4*RTD("tos.rtd",,"OPEN_INT","."&amp;O$2&amp;O$1&amp;"P"&amp;$A38)*RTD("tos.rtd",,"GAMMA","."&amp;O$2&amp;O$1&amp;"P"&amp;$A38))/1000000),0),IF($A$2="SKEW",IFERROR(VALUE(IF(RTD("tos.rtd",,"IMPL_VOL","."&amp;O$2&amp;O$1&amp;"P"&amp;$A38)="N/A",0,RTD("tos.rtd",,"IMPL_VOL","."&amp;O$2&amp;O$1&amp;"P"&amp;$A38))),0)-IFERROR(VALUE(IF(RTD("tos.rtd",,"IMPL_VOL","."&amp;O$2&amp;O$1&amp;"C"&amp;$A38)="N/A",0,RTD("tos.rtd",,"IMPL_VOL","."&amp;O$2&amp;O$1&amp;"C"&amp;$A38))),0),IF($A$2="MAXPAIN",IF($A$4&gt;$A38,($A$4-$A38)*IF(RTD("tos.rtd",,"OPEN_INT","."&amp;O$2&amp;O$1&amp;"C"&amp;$A38)="N/A",0,RTD("tos.rtd",,"OPEN_INT","."&amp;O$2&amp;O$1&amp;"C"&amp;$A38)),0)+IF($A$4&lt;$A38,($A$5-$A$4)*IF(RTD("tos.rtd",,"OPEN_INT","."&amp;O$2&amp;O$1&amp;"P"&amp;$A38)="N/A",0,RTD("tos.rtd",,"OPEN_INT","."&amp;O$2&amp;O$1&amp;"P"&amp;$A38)),0),IF($X$1="ABS",IF(RTD("tos.rtd",,$A$2,"."&amp;O$2&amp;O$1&amp;"C"&amp;$A38)="N/A",0,RTD("tos.rtd",,$A$2,"."&amp;O$2&amp;O$1&amp;"C"&amp;$A38))+IF(RTD("tos.rtd",,$A$2,"."&amp;O$2&amp;O$1&amp;"P"&amp;$A38)="N/A",0,RTD("tos.rtd",,$A$2,"."&amp;O$2&amp;O$1&amp;"P"&amp;$A38)),IF(RTD("tos.rtd",,$A$2,"."&amp;O$2&amp;O$1&amp;"C"&amp;$A38)="N/A",0,RTD("tos.rtd",,$A$2,"."&amp;O$2&amp;O$1&amp;"C"&amp;$A38))-IF(RTD("tos.rtd",,$A$2,"."&amp;O$2&amp;O$1&amp;"P"&amp;$A38)="N/A",0,RTD("tos.rtd",,$A$2,"."&amp;O$2&amp;O$1&amp;"P"&amp;$A38))))))))))</f>
        <v>0</v>
      </c>
      <c r="P38" s="12">
        <f ca="1">IF($A$2="PREMIUM_OI",IFERROR(IF($X$1="ABS",(100*RTD("tos.rtd",,"OPEN_INT","."&amp;P$2&amp;P$1&amp;"C"&amp;$A38)*RTD("tos.rtd",,"LAST","."&amp;P$2&amp;P$1&amp;"C"&amp;$A38)+100*RTD("tos.rtd",,"OPEN_INT","."&amp;P$2&amp;P$1&amp;"P"&amp;$A38)*RTD("tos.rtd",,"LAST","."&amp;P$2&amp;P$1&amp;"P"&amp;$A38))/1000000,(100*RTD("tos.rtd",,"OPEN_INT","."&amp;P$2&amp;P$1&amp;"C"&amp;$A38)*RTD("tos.rtd",,"LAST","."&amp;P$2&amp;P$1&amp;"C"&amp;$A38)-100*RTD("tos.rtd",,"OPEN_INT","."&amp;P$2&amp;P$1&amp;"P"&amp;$A38)*RTD("tos.rtd",,"LAST","."&amp;P$2&amp;P$1&amp;"P"&amp;$A38))/1000000),0),IF($A$2="PREMIUM",IFERROR(IF($X$1="ABS",(100*RTD("tos.rtd",,"VOLUME","."&amp;P$2&amp;P$1&amp;"C"&amp;$A38)*RTD("tos.rtd",,"LAST","."&amp;P$2&amp;P$1&amp;"C"&amp;$A38)+100*RTD("tos.rtd",,"VOLUME","."&amp;P$2&amp;P$1&amp;"P"&amp;$A38)*RTD("tos.rtd",,"LAST","."&amp;P$2&amp;P$1&amp;"P"&amp;$A38))/1000000,(100*RTD("tos.rtd",,"VOLUME","."&amp;P$2&amp;P$1&amp;"C"&amp;$A38)*RTD("tos.rtd",,"LAST","."&amp;P$2&amp;P$1&amp;"C"&amp;$A38)-100*RTD("tos.rtd",,"VOLUME","."&amp;P$2&amp;P$1&amp;"P"&amp;$A38)*RTD("tos.rtd",,"LAST","."&amp;P$2&amp;P$1&amp;"P"&amp;$A38))/1000000),0),IF($A$2="DEX",IFERROR(IF($X$1="ABS",(100*RTD("tos.rtd",,"OPEN_INT","."&amp;P$2&amp;P$1&amp;"C"&amp;$A38)*RTD("tos.rtd",,"DELTA","."&amp;P$2&amp;P$1&amp;"C"&amp;$A38)+100*RTD("tos.rtd",,"OPEN_INT","."&amp;P$2&amp;P$1&amp;"P"&amp;$A38)*RTD("tos.rtd",,"DELTA","."&amp;P$2&amp;P$1&amp;"P"&amp;$A38))/1000,(100*RTD("tos.rtd",,"OPEN_INT","."&amp;P$2&amp;P$1&amp;"C"&amp;$A38)*RTD("tos.rtd",,"DELTA","."&amp;P$2&amp;P$1&amp;"C"&amp;$A38)-100*RTD("tos.rtd",,"OPEN_INT","."&amp;P$2&amp;P$1&amp;"P"&amp;$A38)*RTD("tos.rtd",,"DELTA","."&amp;P$2&amp;P$1&amp;"P"&amp;$A38))/1000),0),IF($A$2="VEX",IFERROR(IF($X$1="ABS",($A$4*$A$4*RTD("tos.rtd",,"VOLUME","."&amp;P$2&amp;P$1&amp;"C"&amp;$A38)*RTD("tos.rtd",,"GAMMA","."&amp;P$2&amp;P$1&amp;"C"&amp;$A38)+$A$4*$A$4*RTD("tos.rtd",,"VOLUME","."&amp;P$2&amp;P$1&amp;"P"&amp;$A38)*RTD("tos.rtd",,"GAMMA","."&amp;P$2&amp;P$1&amp;"P"&amp;$A38))/1000000,($A$4*$A$4*RTD("tos.rtd",,"VOLUME","."&amp;P$2&amp;P$1&amp;"C"&amp;$A38)*RTD("tos.rtd",,"GAMMA","."&amp;P$2&amp;P$1&amp;"C"&amp;$A38)-$A$4*$A$4*RTD("tos.rtd",,"VOLUME","."&amp;P$2&amp;P$1&amp;"P"&amp;$A38)*RTD("tos.rtd",,"GAMMA","."&amp;P$2&amp;P$1&amp;"P"&amp;$A38))/1000000),0),IF($A$2="GEX",IFERROR(IF($X$1="ABS",($A$4*$A$4*RTD("tos.rtd",,"OPEN_INT","."&amp;P$2&amp;P$1&amp;"C"&amp;$A38)*RTD("tos.rtd",,"GAMMA","."&amp;P$2&amp;P$1&amp;"C"&amp;$A38)+$A$4*$A$4*RTD("tos.rtd",,"OPEN_INT","."&amp;P$2&amp;P$1&amp;"P"&amp;$A38)*RTD("tos.rtd",,"GAMMA","."&amp;P$2&amp;P$1&amp;"P"&amp;$A38))/1000000,($A$4*$A$4*RTD("tos.rtd",,"OPEN_INT","."&amp;P$2&amp;P$1&amp;"C"&amp;$A38)*RTD("tos.rtd",,"GAMMA","."&amp;P$2&amp;P$1&amp;"C"&amp;$A38)-$A$4*$A$4*RTD("tos.rtd",,"OPEN_INT","."&amp;P$2&amp;P$1&amp;"P"&amp;$A38)*RTD("tos.rtd",,"GAMMA","."&amp;P$2&amp;P$1&amp;"P"&amp;$A38))/1000000),0),IF($A$2="SKEW",IFERROR(VALUE(IF(RTD("tos.rtd",,"IMPL_VOL","."&amp;P$2&amp;P$1&amp;"P"&amp;$A38)="N/A",0,RTD("tos.rtd",,"IMPL_VOL","."&amp;P$2&amp;P$1&amp;"P"&amp;$A38))),0)-IFERROR(VALUE(IF(RTD("tos.rtd",,"IMPL_VOL","."&amp;P$2&amp;P$1&amp;"C"&amp;$A38)="N/A",0,RTD("tos.rtd",,"IMPL_VOL","."&amp;P$2&amp;P$1&amp;"C"&amp;$A38))),0),IF($A$2="MAXPAIN",IF($A$4&gt;$A38,($A$4-$A38)*IF(RTD("tos.rtd",,"OPEN_INT","."&amp;P$2&amp;P$1&amp;"C"&amp;$A38)="N/A",0,RTD("tos.rtd",,"OPEN_INT","."&amp;P$2&amp;P$1&amp;"C"&amp;$A38)),0)+IF($A$4&lt;$A38,($A$5-$A$4)*IF(RTD("tos.rtd",,"OPEN_INT","."&amp;P$2&amp;P$1&amp;"P"&amp;$A38)="N/A",0,RTD("tos.rtd",,"OPEN_INT","."&amp;P$2&amp;P$1&amp;"P"&amp;$A38)),0),IF($X$1="ABS",IF(RTD("tos.rtd",,$A$2,"."&amp;P$2&amp;P$1&amp;"C"&amp;$A38)="N/A",0,RTD("tos.rtd",,$A$2,"."&amp;P$2&amp;P$1&amp;"C"&amp;$A38))+IF(RTD("tos.rtd",,$A$2,"."&amp;P$2&amp;P$1&amp;"P"&amp;$A38)="N/A",0,RTD("tos.rtd",,$A$2,"."&amp;P$2&amp;P$1&amp;"P"&amp;$A38)),IF(RTD("tos.rtd",,$A$2,"."&amp;P$2&amp;P$1&amp;"C"&amp;$A38)="N/A",0,RTD("tos.rtd",,$A$2,"."&amp;P$2&amp;P$1&amp;"C"&amp;$A38))-IF(RTD("tos.rtd",,$A$2,"."&amp;P$2&amp;P$1&amp;"P"&amp;$A38)="N/A",0,RTD("tos.rtd",,$A$2,"."&amp;P$2&amp;P$1&amp;"P"&amp;$A38))))))))))</f>
        <v>-766</v>
      </c>
      <c r="Q38" s="12">
        <f ca="1">IF($A$2="PREMIUM_OI",IFERROR(IF($X$1="ABS",(100*RTD("tos.rtd",,"OPEN_INT","."&amp;Q$2&amp;Q$1&amp;"C"&amp;$A38)*RTD("tos.rtd",,"LAST","."&amp;Q$2&amp;Q$1&amp;"C"&amp;$A38)+100*RTD("tos.rtd",,"OPEN_INT","."&amp;Q$2&amp;Q$1&amp;"P"&amp;$A38)*RTD("tos.rtd",,"LAST","."&amp;Q$2&amp;Q$1&amp;"P"&amp;$A38))/1000000,(100*RTD("tos.rtd",,"OPEN_INT","."&amp;Q$2&amp;Q$1&amp;"C"&amp;$A38)*RTD("tos.rtd",,"LAST","."&amp;Q$2&amp;Q$1&amp;"C"&amp;$A38)-100*RTD("tos.rtd",,"OPEN_INT","."&amp;Q$2&amp;Q$1&amp;"P"&amp;$A38)*RTD("tos.rtd",,"LAST","."&amp;Q$2&amp;Q$1&amp;"P"&amp;$A38))/1000000),0),IF($A$2="PREMIUM",IFERROR(IF($X$1="ABS",(100*RTD("tos.rtd",,"VOLUME","."&amp;Q$2&amp;Q$1&amp;"C"&amp;$A38)*RTD("tos.rtd",,"LAST","."&amp;Q$2&amp;Q$1&amp;"C"&amp;$A38)+100*RTD("tos.rtd",,"VOLUME","."&amp;Q$2&amp;Q$1&amp;"P"&amp;$A38)*RTD("tos.rtd",,"LAST","."&amp;Q$2&amp;Q$1&amp;"P"&amp;$A38))/1000000,(100*RTD("tos.rtd",,"VOLUME","."&amp;Q$2&amp;Q$1&amp;"C"&amp;$A38)*RTD("tos.rtd",,"LAST","."&amp;Q$2&amp;Q$1&amp;"C"&amp;$A38)-100*RTD("tos.rtd",,"VOLUME","."&amp;Q$2&amp;Q$1&amp;"P"&amp;$A38)*RTD("tos.rtd",,"LAST","."&amp;Q$2&amp;Q$1&amp;"P"&amp;$A38))/1000000),0),IF($A$2="DEX",IFERROR(IF($X$1="ABS",(100*RTD("tos.rtd",,"OPEN_INT","."&amp;Q$2&amp;Q$1&amp;"C"&amp;$A38)*RTD("tos.rtd",,"DELTA","."&amp;Q$2&amp;Q$1&amp;"C"&amp;$A38)+100*RTD("tos.rtd",,"OPEN_INT","."&amp;Q$2&amp;Q$1&amp;"P"&amp;$A38)*RTD("tos.rtd",,"DELTA","."&amp;Q$2&amp;Q$1&amp;"P"&amp;$A38))/1000,(100*RTD("tos.rtd",,"OPEN_INT","."&amp;Q$2&amp;Q$1&amp;"C"&amp;$A38)*RTD("tos.rtd",,"DELTA","."&amp;Q$2&amp;Q$1&amp;"C"&amp;$A38)-100*RTD("tos.rtd",,"OPEN_INT","."&amp;Q$2&amp;Q$1&amp;"P"&amp;$A38)*RTD("tos.rtd",,"DELTA","."&amp;Q$2&amp;Q$1&amp;"P"&amp;$A38))/1000),0),IF($A$2="VEX",IFERROR(IF($X$1="ABS",($A$4*$A$4*RTD("tos.rtd",,"VOLUME","."&amp;Q$2&amp;Q$1&amp;"C"&amp;$A38)*RTD("tos.rtd",,"GAMMA","."&amp;Q$2&amp;Q$1&amp;"C"&amp;$A38)+$A$4*$A$4*RTD("tos.rtd",,"VOLUME","."&amp;Q$2&amp;Q$1&amp;"P"&amp;$A38)*RTD("tos.rtd",,"GAMMA","."&amp;Q$2&amp;Q$1&amp;"P"&amp;$A38))/1000000,($A$4*$A$4*RTD("tos.rtd",,"VOLUME","."&amp;Q$2&amp;Q$1&amp;"C"&amp;$A38)*RTD("tos.rtd",,"GAMMA","."&amp;Q$2&amp;Q$1&amp;"C"&amp;$A38)-$A$4*$A$4*RTD("tos.rtd",,"VOLUME","."&amp;Q$2&amp;Q$1&amp;"P"&amp;$A38)*RTD("tos.rtd",,"GAMMA","."&amp;Q$2&amp;Q$1&amp;"P"&amp;$A38))/1000000),0),IF($A$2="GEX",IFERROR(IF($X$1="ABS",($A$4*$A$4*RTD("tos.rtd",,"OPEN_INT","."&amp;Q$2&amp;Q$1&amp;"C"&amp;$A38)*RTD("tos.rtd",,"GAMMA","."&amp;Q$2&amp;Q$1&amp;"C"&amp;$A38)+$A$4*$A$4*RTD("tos.rtd",,"OPEN_INT","."&amp;Q$2&amp;Q$1&amp;"P"&amp;$A38)*RTD("tos.rtd",,"GAMMA","."&amp;Q$2&amp;Q$1&amp;"P"&amp;$A38))/1000000,($A$4*$A$4*RTD("tos.rtd",,"OPEN_INT","."&amp;Q$2&amp;Q$1&amp;"C"&amp;$A38)*RTD("tos.rtd",,"GAMMA","."&amp;Q$2&amp;Q$1&amp;"C"&amp;$A38)-$A$4*$A$4*RTD("tos.rtd",,"OPEN_INT","."&amp;Q$2&amp;Q$1&amp;"P"&amp;$A38)*RTD("tos.rtd",,"GAMMA","."&amp;Q$2&amp;Q$1&amp;"P"&amp;$A38))/1000000),0),IF($A$2="SKEW",IFERROR(VALUE(IF(RTD("tos.rtd",,"IMPL_VOL","."&amp;Q$2&amp;Q$1&amp;"P"&amp;$A38)="N/A",0,RTD("tos.rtd",,"IMPL_VOL","."&amp;Q$2&amp;Q$1&amp;"P"&amp;$A38))),0)-IFERROR(VALUE(IF(RTD("tos.rtd",,"IMPL_VOL","."&amp;Q$2&amp;Q$1&amp;"C"&amp;$A38)="N/A",0,RTD("tos.rtd",,"IMPL_VOL","."&amp;Q$2&amp;Q$1&amp;"C"&amp;$A38))),0),IF($A$2="MAXPAIN",IF($A$4&gt;$A38,($A$4-$A38)*IF(RTD("tos.rtd",,"OPEN_INT","."&amp;Q$2&amp;Q$1&amp;"C"&amp;$A38)="N/A",0,RTD("tos.rtd",,"OPEN_INT","."&amp;Q$2&amp;Q$1&amp;"C"&amp;$A38)),0)+IF($A$4&lt;$A38,($A$5-$A$4)*IF(RTD("tos.rtd",,"OPEN_INT","."&amp;Q$2&amp;Q$1&amp;"P"&amp;$A38)="N/A",0,RTD("tos.rtd",,"OPEN_INT","."&amp;Q$2&amp;Q$1&amp;"P"&amp;$A38)),0),IF($X$1="ABS",IF(RTD("tos.rtd",,$A$2,"."&amp;Q$2&amp;Q$1&amp;"C"&amp;$A38)="N/A",0,RTD("tos.rtd",,$A$2,"."&amp;Q$2&amp;Q$1&amp;"C"&amp;$A38))+IF(RTD("tos.rtd",,$A$2,"."&amp;Q$2&amp;Q$1&amp;"P"&amp;$A38)="N/A",0,RTD("tos.rtd",,$A$2,"."&amp;Q$2&amp;Q$1&amp;"P"&amp;$A38)),IF(RTD("tos.rtd",,$A$2,"."&amp;Q$2&amp;Q$1&amp;"C"&amp;$A38)="N/A",0,RTD("tos.rtd",,$A$2,"."&amp;Q$2&amp;Q$1&amp;"C"&amp;$A38))-IF(RTD("tos.rtd",,$A$2,"."&amp;Q$2&amp;Q$1&amp;"P"&amp;$A38)="N/A",0,RTD("tos.rtd",,$A$2,"."&amp;Q$2&amp;Q$1&amp;"P"&amp;$A38))))))))))</f>
        <v>0</v>
      </c>
      <c r="R38" s="12">
        <f ca="1">IF($A$2="PREMIUM_OI",IFERROR(IF($X$1="ABS",(100*RTD("tos.rtd",,"OPEN_INT","."&amp;R$2&amp;R$1&amp;"C"&amp;$A38)*RTD("tos.rtd",,"LAST","."&amp;R$2&amp;R$1&amp;"C"&amp;$A38)+100*RTD("tos.rtd",,"OPEN_INT","."&amp;R$2&amp;R$1&amp;"P"&amp;$A38)*RTD("tos.rtd",,"LAST","."&amp;R$2&amp;R$1&amp;"P"&amp;$A38))/1000000,(100*RTD("tos.rtd",,"OPEN_INT","."&amp;R$2&amp;R$1&amp;"C"&amp;$A38)*RTD("tos.rtd",,"LAST","."&amp;R$2&amp;R$1&amp;"C"&amp;$A38)-100*RTD("tos.rtd",,"OPEN_INT","."&amp;R$2&amp;R$1&amp;"P"&amp;$A38)*RTD("tos.rtd",,"LAST","."&amp;R$2&amp;R$1&amp;"P"&amp;$A38))/1000000),0),IF($A$2="PREMIUM",IFERROR(IF($X$1="ABS",(100*RTD("tos.rtd",,"VOLUME","."&amp;R$2&amp;R$1&amp;"C"&amp;$A38)*RTD("tos.rtd",,"LAST","."&amp;R$2&amp;R$1&amp;"C"&amp;$A38)+100*RTD("tos.rtd",,"VOLUME","."&amp;R$2&amp;R$1&amp;"P"&amp;$A38)*RTD("tos.rtd",,"LAST","."&amp;R$2&amp;R$1&amp;"P"&amp;$A38))/1000000,(100*RTD("tos.rtd",,"VOLUME","."&amp;R$2&amp;R$1&amp;"C"&amp;$A38)*RTD("tos.rtd",,"LAST","."&amp;R$2&amp;R$1&amp;"C"&amp;$A38)-100*RTD("tos.rtd",,"VOLUME","."&amp;R$2&amp;R$1&amp;"P"&amp;$A38)*RTD("tos.rtd",,"LAST","."&amp;R$2&amp;R$1&amp;"P"&amp;$A38))/1000000),0),IF($A$2="DEX",IFERROR(IF($X$1="ABS",(100*RTD("tos.rtd",,"OPEN_INT","."&amp;R$2&amp;R$1&amp;"C"&amp;$A38)*RTD("tos.rtd",,"DELTA","."&amp;R$2&amp;R$1&amp;"C"&amp;$A38)+100*RTD("tos.rtd",,"OPEN_INT","."&amp;R$2&amp;R$1&amp;"P"&amp;$A38)*RTD("tos.rtd",,"DELTA","."&amp;R$2&amp;R$1&amp;"P"&amp;$A38))/1000,(100*RTD("tos.rtd",,"OPEN_INT","."&amp;R$2&amp;R$1&amp;"C"&amp;$A38)*RTD("tos.rtd",,"DELTA","."&amp;R$2&amp;R$1&amp;"C"&amp;$A38)-100*RTD("tos.rtd",,"OPEN_INT","."&amp;R$2&amp;R$1&amp;"P"&amp;$A38)*RTD("tos.rtd",,"DELTA","."&amp;R$2&amp;R$1&amp;"P"&amp;$A38))/1000),0),IF($A$2="VEX",IFERROR(IF($X$1="ABS",($A$4*$A$4*RTD("tos.rtd",,"VOLUME","."&amp;R$2&amp;R$1&amp;"C"&amp;$A38)*RTD("tos.rtd",,"GAMMA","."&amp;R$2&amp;R$1&amp;"C"&amp;$A38)+$A$4*$A$4*RTD("tos.rtd",,"VOLUME","."&amp;R$2&amp;R$1&amp;"P"&amp;$A38)*RTD("tos.rtd",,"GAMMA","."&amp;R$2&amp;R$1&amp;"P"&amp;$A38))/1000000,($A$4*$A$4*RTD("tos.rtd",,"VOLUME","."&amp;R$2&amp;R$1&amp;"C"&amp;$A38)*RTD("tos.rtd",,"GAMMA","."&amp;R$2&amp;R$1&amp;"C"&amp;$A38)-$A$4*$A$4*RTD("tos.rtd",,"VOLUME","."&amp;R$2&amp;R$1&amp;"P"&amp;$A38)*RTD("tos.rtd",,"GAMMA","."&amp;R$2&amp;R$1&amp;"P"&amp;$A38))/1000000),0),IF($A$2="GEX",IFERROR(IF($X$1="ABS",($A$4*$A$4*RTD("tos.rtd",,"OPEN_INT","."&amp;R$2&amp;R$1&amp;"C"&amp;$A38)*RTD("tos.rtd",,"GAMMA","."&amp;R$2&amp;R$1&amp;"C"&amp;$A38)+$A$4*$A$4*RTD("tos.rtd",,"OPEN_INT","."&amp;R$2&amp;R$1&amp;"P"&amp;$A38)*RTD("tos.rtd",,"GAMMA","."&amp;R$2&amp;R$1&amp;"P"&amp;$A38))/1000000,($A$4*$A$4*RTD("tos.rtd",,"OPEN_INT","."&amp;R$2&amp;R$1&amp;"C"&amp;$A38)*RTD("tos.rtd",,"GAMMA","."&amp;R$2&amp;R$1&amp;"C"&amp;$A38)-$A$4*$A$4*RTD("tos.rtd",,"OPEN_INT","."&amp;R$2&amp;R$1&amp;"P"&amp;$A38)*RTD("tos.rtd",,"GAMMA","."&amp;R$2&amp;R$1&amp;"P"&amp;$A38))/1000000),0),IF($A$2="SKEW",IFERROR(VALUE(IF(RTD("tos.rtd",,"IMPL_VOL","."&amp;R$2&amp;R$1&amp;"P"&amp;$A38)="N/A",0,RTD("tos.rtd",,"IMPL_VOL","."&amp;R$2&amp;R$1&amp;"P"&amp;$A38))),0)-IFERROR(VALUE(IF(RTD("tos.rtd",,"IMPL_VOL","."&amp;R$2&amp;R$1&amp;"C"&amp;$A38)="N/A",0,RTD("tos.rtd",,"IMPL_VOL","."&amp;R$2&amp;R$1&amp;"C"&amp;$A38))),0),IF($A$2="MAXPAIN",IF($A$4&gt;$A38,($A$4-$A38)*IF(RTD("tos.rtd",,"OPEN_INT","."&amp;R$2&amp;R$1&amp;"C"&amp;$A38)="N/A",0,RTD("tos.rtd",,"OPEN_INT","."&amp;R$2&amp;R$1&amp;"C"&amp;$A38)),0)+IF($A$4&lt;$A38,($A$5-$A$4)*IF(RTD("tos.rtd",,"OPEN_INT","."&amp;R$2&amp;R$1&amp;"P"&amp;$A38)="N/A",0,RTD("tos.rtd",,"OPEN_INT","."&amp;R$2&amp;R$1&amp;"P"&amp;$A38)),0),IF($X$1="ABS",IF(RTD("tos.rtd",,$A$2,"."&amp;R$2&amp;R$1&amp;"C"&amp;$A38)="N/A",0,RTD("tos.rtd",,$A$2,"."&amp;R$2&amp;R$1&amp;"C"&amp;$A38))+IF(RTD("tos.rtd",,$A$2,"."&amp;R$2&amp;R$1&amp;"P"&amp;$A38)="N/A",0,RTD("tos.rtd",,$A$2,"."&amp;R$2&amp;R$1&amp;"P"&amp;$A38)),IF(RTD("tos.rtd",,$A$2,"."&amp;R$2&amp;R$1&amp;"C"&amp;$A38)="N/A",0,RTD("tos.rtd",,$A$2,"."&amp;R$2&amp;R$1&amp;"C"&amp;$A38))-IF(RTD("tos.rtd",,$A$2,"."&amp;R$2&amp;R$1&amp;"P"&amp;$A38)="N/A",0,RTD("tos.rtd",,$A$2,"."&amp;R$2&amp;R$1&amp;"P"&amp;$A38))))))))))</f>
        <v>0</v>
      </c>
      <c r="S38" s="12">
        <f ca="1">IF($A$2="PREMIUM_OI",IFERROR(IF($X$1="ABS",(100*RTD("tos.rtd",,"OPEN_INT","."&amp;S$2&amp;S$1&amp;"C"&amp;$A38)*RTD("tos.rtd",,"LAST","."&amp;S$2&amp;S$1&amp;"C"&amp;$A38)+100*RTD("tos.rtd",,"OPEN_INT","."&amp;S$2&amp;S$1&amp;"P"&amp;$A38)*RTD("tos.rtd",,"LAST","."&amp;S$2&amp;S$1&amp;"P"&amp;$A38))/1000000,(100*RTD("tos.rtd",,"OPEN_INT","."&amp;S$2&amp;S$1&amp;"C"&amp;$A38)*RTD("tos.rtd",,"LAST","."&amp;S$2&amp;S$1&amp;"C"&amp;$A38)-100*RTD("tos.rtd",,"OPEN_INT","."&amp;S$2&amp;S$1&amp;"P"&amp;$A38)*RTD("tos.rtd",,"LAST","."&amp;S$2&amp;S$1&amp;"P"&amp;$A38))/1000000),0),IF($A$2="PREMIUM",IFERROR(IF($X$1="ABS",(100*RTD("tos.rtd",,"VOLUME","."&amp;S$2&amp;S$1&amp;"C"&amp;$A38)*RTD("tos.rtd",,"LAST","."&amp;S$2&amp;S$1&amp;"C"&amp;$A38)+100*RTD("tos.rtd",,"VOLUME","."&amp;S$2&amp;S$1&amp;"P"&amp;$A38)*RTD("tos.rtd",,"LAST","."&amp;S$2&amp;S$1&amp;"P"&amp;$A38))/1000000,(100*RTD("tos.rtd",,"VOLUME","."&amp;S$2&amp;S$1&amp;"C"&amp;$A38)*RTD("tos.rtd",,"LAST","."&amp;S$2&amp;S$1&amp;"C"&amp;$A38)-100*RTD("tos.rtd",,"VOLUME","."&amp;S$2&amp;S$1&amp;"P"&amp;$A38)*RTD("tos.rtd",,"LAST","."&amp;S$2&amp;S$1&amp;"P"&amp;$A38))/1000000),0),IF($A$2="DEX",IFERROR(IF($X$1="ABS",(100*RTD("tos.rtd",,"OPEN_INT","."&amp;S$2&amp;S$1&amp;"C"&amp;$A38)*RTD("tos.rtd",,"DELTA","."&amp;S$2&amp;S$1&amp;"C"&amp;$A38)+100*RTD("tos.rtd",,"OPEN_INT","."&amp;S$2&amp;S$1&amp;"P"&amp;$A38)*RTD("tos.rtd",,"DELTA","."&amp;S$2&amp;S$1&amp;"P"&amp;$A38))/1000,(100*RTD("tos.rtd",,"OPEN_INT","."&amp;S$2&amp;S$1&amp;"C"&amp;$A38)*RTD("tos.rtd",,"DELTA","."&amp;S$2&amp;S$1&amp;"C"&amp;$A38)-100*RTD("tos.rtd",,"OPEN_INT","."&amp;S$2&amp;S$1&amp;"P"&amp;$A38)*RTD("tos.rtd",,"DELTA","."&amp;S$2&amp;S$1&amp;"P"&amp;$A38))/1000),0),IF($A$2="VEX",IFERROR(IF($X$1="ABS",($A$4*$A$4*RTD("tos.rtd",,"VOLUME","."&amp;S$2&amp;S$1&amp;"C"&amp;$A38)*RTD("tos.rtd",,"GAMMA","."&amp;S$2&amp;S$1&amp;"C"&amp;$A38)+$A$4*$A$4*RTD("tos.rtd",,"VOLUME","."&amp;S$2&amp;S$1&amp;"P"&amp;$A38)*RTD("tos.rtd",,"GAMMA","."&amp;S$2&amp;S$1&amp;"P"&amp;$A38))/1000000,($A$4*$A$4*RTD("tos.rtd",,"VOLUME","."&amp;S$2&amp;S$1&amp;"C"&amp;$A38)*RTD("tos.rtd",,"GAMMA","."&amp;S$2&amp;S$1&amp;"C"&amp;$A38)-$A$4*$A$4*RTD("tos.rtd",,"VOLUME","."&amp;S$2&amp;S$1&amp;"P"&amp;$A38)*RTD("tos.rtd",,"GAMMA","."&amp;S$2&amp;S$1&amp;"P"&amp;$A38))/1000000),0),IF($A$2="GEX",IFERROR(IF($X$1="ABS",($A$4*$A$4*RTD("tos.rtd",,"OPEN_INT","."&amp;S$2&amp;S$1&amp;"C"&amp;$A38)*RTD("tos.rtd",,"GAMMA","."&amp;S$2&amp;S$1&amp;"C"&amp;$A38)+$A$4*$A$4*RTD("tos.rtd",,"OPEN_INT","."&amp;S$2&amp;S$1&amp;"P"&amp;$A38)*RTD("tos.rtd",,"GAMMA","."&amp;S$2&amp;S$1&amp;"P"&amp;$A38))/1000000,($A$4*$A$4*RTD("tos.rtd",,"OPEN_INT","."&amp;S$2&amp;S$1&amp;"C"&amp;$A38)*RTD("tos.rtd",,"GAMMA","."&amp;S$2&amp;S$1&amp;"C"&amp;$A38)-$A$4*$A$4*RTD("tos.rtd",,"OPEN_INT","."&amp;S$2&amp;S$1&amp;"P"&amp;$A38)*RTD("tos.rtd",,"GAMMA","."&amp;S$2&amp;S$1&amp;"P"&amp;$A38))/1000000),0),IF($A$2="SKEW",IFERROR(VALUE(IF(RTD("tos.rtd",,"IMPL_VOL","."&amp;S$2&amp;S$1&amp;"P"&amp;$A38)="N/A",0,RTD("tos.rtd",,"IMPL_VOL","."&amp;S$2&amp;S$1&amp;"P"&amp;$A38))),0)-IFERROR(VALUE(IF(RTD("tos.rtd",,"IMPL_VOL","."&amp;S$2&amp;S$1&amp;"C"&amp;$A38)="N/A",0,RTD("tos.rtd",,"IMPL_VOL","."&amp;S$2&amp;S$1&amp;"C"&amp;$A38))),0),IF($A$2="MAXPAIN",IF($A$4&gt;$A38,($A$4-$A38)*IF(RTD("tos.rtd",,"OPEN_INT","."&amp;S$2&amp;S$1&amp;"C"&amp;$A38)="N/A",0,RTD("tos.rtd",,"OPEN_INT","."&amp;S$2&amp;S$1&amp;"C"&amp;$A38)),0)+IF($A$4&lt;$A38,($A$5-$A$4)*IF(RTD("tos.rtd",,"OPEN_INT","."&amp;S$2&amp;S$1&amp;"P"&amp;$A38)="N/A",0,RTD("tos.rtd",,"OPEN_INT","."&amp;S$2&amp;S$1&amp;"P"&amp;$A38)),0),IF($X$1="ABS",IF(RTD("tos.rtd",,$A$2,"."&amp;S$2&amp;S$1&amp;"C"&amp;$A38)="N/A",0,RTD("tos.rtd",,$A$2,"."&amp;S$2&amp;S$1&amp;"C"&amp;$A38))+IF(RTD("tos.rtd",,$A$2,"."&amp;S$2&amp;S$1&amp;"P"&amp;$A38)="N/A",0,RTD("tos.rtd",,$A$2,"."&amp;S$2&amp;S$1&amp;"P"&amp;$A38)),IF(RTD("tos.rtd",,$A$2,"."&amp;S$2&amp;S$1&amp;"C"&amp;$A38)="N/A",0,RTD("tos.rtd",,$A$2,"."&amp;S$2&amp;S$1&amp;"C"&amp;$A38))-IF(RTD("tos.rtd",,$A$2,"."&amp;S$2&amp;S$1&amp;"P"&amp;$A38)="N/A",0,RTD("tos.rtd",,$A$2,"."&amp;S$2&amp;S$1&amp;"P"&amp;$A38))))))))))</f>
        <v>0</v>
      </c>
      <c r="T38" s="12">
        <f ca="1">IF($A$2="PREMIUM_OI",IFERROR(IF($X$1="ABS",(100*RTD("tos.rtd",,"OPEN_INT","."&amp;T$2&amp;T$1&amp;"C"&amp;$A38)*RTD("tos.rtd",,"LAST","."&amp;T$2&amp;T$1&amp;"C"&amp;$A38)+100*RTD("tos.rtd",,"OPEN_INT","."&amp;T$2&amp;T$1&amp;"P"&amp;$A38)*RTD("tos.rtd",,"LAST","."&amp;T$2&amp;T$1&amp;"P"&amp;$A38))/1000000,(100*RTD("tos.rtd",,"OPEN_INT","."&amp;T$2&amp;T$1&amp;"C"&amp;$A38)*RTD("tos.rtd",,"LAST","."&amp;T$2&amp;T$1&amp;"C"&amp;$A38)-100*RTD("tos.rtd",,"OPEN_INT","."&amp;T$2&amp;T$1&amp;"P"&amp;$A38)*RTD("tos.rtd",,"LAST","."&amp;T$2&amp;T$1&amp;"P"&amp;$A38))/1000000),0),IF($A$2="PREMIUM",IFERROR(IF($X$1="ABS",(100*RTD("tos.rtd",,"VOLUME","."&amp;T$2&amp;T$1&amp;"C"&amp;$A38)*RTD("tos.rtd",,"LAST","."&amp;T$2&amp;T$1&amp;"C"&amp;$A38)+100*RTD("tos.rtd",,"VOLUME","."&amp;T$2&amp;T$1&amp;"P"&amp;$A38)*RTD("tos.rtd",,"LAST","."&amp;T$2&amp;T$1&amp;"P"&amp;$A38))/1000000,(100*RTD("tos.rtd",,"VOLUME","."&amp;T$2&amp;T$1&amp;"C"&amp;$A38)*RTD("tos.rtd",,"LAST","."&amp;T$2&amp;T$1&amp;"C"&amp;$A38)-100*RTD("tos.rtd",,"VOLUME","."&amp;T$2&amp;T$1&amp;"P"&amp;$A38)*RTD("tos.rtd",,"LAST","."&amp;T$2&amp;T$1&amp;"P"&amp;$A38))/1000000),0),IF($A$2="DEX",IFERROR(IF($X$1="ABS",(100*RTD("tos.rtd",,"OPEN_INT","."&amp;T$2&amp;T$1&amp;"C"&amp;$A38)*RTD("tos.rtd",,"DELTA","."&amp;T$2&amp;T$1&amp;"C"&amp;$A38)+100*RTD("tos.rtd",,"OPEN_INT","."&amp;T$2&amp;T$1&amp;"P"&amp;$A38)*RTD("tos.rtd",,"DELTA","."&amp;T$2&amp;T$1&amp;"P"&amp;$A38))/1000,(100*RTD("tos.rtd",,"OPEN_INT","."&amp;T$2&amp;T$1&amp;"C"&amp;$A38)*RTD("tos.rtd",,"DELTA","."&amp;T$2&amp;T$1&amp;"C"&amp;$A38)-100*RTD("tos.rtd",,"OPEN_INT","."&amp;T$2&amp;T$1&amp;"P"&amp;$A38)*RTD("tos.rtd",,"DELTA","."&amp;T$2&amp;T$1&amp;"P"&amp;$A38))/1000),0),IF($A$2="VEX",IFERROR(IF($X$1="ABS",($A$4*$A$4*RTD("tos.rtd",,"VOLUME","."&amp;T$2&amp;T$1&amp;"C"&amp;$A38)*RTD("tos.rtd",,"GAMMA","."&amp;T$2&amp;T$1&amp;"C"&amp;$A38)+$A$4*$A$4*RTD("tos.rtd",,"VOLUME","."&amp;T$2&amp;T$1&amp;"P"&amp;$A38)*RTD("tos.rtd",,"GAMMA","."&amp;T$2&amp;T$1&amp;"P"&amp;$A38))/1000000,($A$4*$A$4*RTD("tos.rtd",,"VOLUME","."&amp;T$2&amp;T$1&amp;"C"&amp;$A38)*RTD("tos.rtd",,"GAMMA","."&amp;T$2&amp;T$1&amp;"C"&amp;$A38)-$A$4*$A$4*RTD("tos.rtd",,"VOLUME","."&amp;T$2&amp;T$1&amp;"P"&amp;$A38)*RTD("tos.rtd",,"GAMMA","."&amp;T$2&amp;T$1&amp;"P"&amp;$A38))/1000000),0),IF($A$2="GEX",IFERROR(IF($X$1="ABS",($A$4*$A$4*RTD("tos.rtd",,"OPEN_INT","."&amp;T$2&amp;T$1&amp;"C"&amp;$A38)*RTD("tos.rtd",,"GAMMA","."&amp;T$2&amp;T$1&amp;"C"&amp;$A38)+$A$4*$A$4*RTD("tos.rtd",,"OPEN_INT","."&amp;T$2&amp;T$1&amp;"P"&amp;$A38)*RTD("tos.rtd",,"GAMMA","."&amp;T$2&amp;T$1&amp;"P"&amp;$A38))/1000000,($A$4*$A$4*RTD("tos.rtd",,"OPEN_INT","."&amp;T$2&amp;T$1&amp;"C"&amp;$A38)*RTD("tos.rtd",,"GAMMA","."&amp;T$2&amp;T$1&amp;"C"&amp;$A38)-$A$4*$A$4*RTD("tos.rtd",,"OPEN_INT","."&amp;T$2&amp;T$1&amp;"P"&amp;$A38)*RTD("tos.rtd",,"GAMMA","."&amp;T$2&amp;T$1&amp;"P"&amp;$A38))/1000000),0),IF($A$2="SKEW",IFERROR(VALUE(IF(RTD("tos.rtd",,"IMPL_VOL","."&amp;T$2&amp;T$1&amp;"P"&amp;$A38)="N/A",0,RTD("tos.rtd",,"IMPL_VOL","."&amp;T$2&amp;T$1&amp;"P"&amp;$A38))),0)-IFERROR(VALUE(IF(RTD("tos.rtd",,"IMPL_VOL","."&amp;T$2&amp;T$1&amp;"C"&amp;$A38)="N/A",0,RTD("tos.rtd",,"IMPL_VOL","."&amp;T$2&amp;T$1&amp;"C"&amp;$A38))),0),IF($A$2="MAXPAIN",IF($A$4&gt;$A38,($A$4-$A38)*IF(RTD("tos.rtd",,"OPEN_INT","."&amp;T$2&amp;T$1&amp;"C"&amp;$A38)="N/A",0,RTD("tos.rtd",,"OPEN_INT","."&amp;T$2&amp;T$1&amp;"C"&amp;$A38)),0)+IF($A$4&lt;$A38,($A$5-$A$4)*IF(RTD("tos.rtd",,"OPEN_INT","."&amp;T$2&amp;T$1&amp;"P"&amp;$A38)="N/A",0,RTD("tos.rtd",,"OPEN_INT","."&amp;T$2&amp;T$1&amp;"P"&amp;$A38)),0),IF($X$1="ABS",IF(RTD("tos.rtd",,$A$2,"."&amp;T$2&amp;T$1&amp;"C"&amp;$A38)="N/A",0,RTD("tos.rtd",,$A$2,"."&amp;T$2&amp;T$1&amp;"C"&amp;$A38))+IF(RTD("tos.rtd",,$A$2,"."&amp;T$2&amp;T$1&amp;"P"&amp;$A38)="N/A",0,RTD("tos.rtd",,$A$2,"."&amp;T$2&amp;T$1&amp;"P"&amp;$A38)),IF(RTD("tos.rtd",,$A$2,"."&amp;T$2&amp;T$1&amp;"C"&amp;$A38)="N/A",0,RTD("tos.rtd",,$A$2,"."&amp;T$2&amp;T$1&amp;"C"&amp;$A38))-IF(RTD("tos.rtd",,$A$2,"."&amp;T$2&amp;T$1&amp;"P"&amp;$A38)="N/A",0,RTD("tos.rtd",,$A$2,"."&amp;T$2&amp;T$1&amp;"P"&amp;$A38))))))))))</f>
        <v>0</v>
      </c>
      <c r="U38" s="12">
        <f ca="1">IF($A$2="PREMIUM_OI",IFERROR(IF($X$1="ABS",(100*RTD("tos.rtd",,"OPEN_INT","."&amp;U$2&amp;U$1&amp;"C"&amp;$A38)*RTD("tos.rtd",,"LAST","."&amp;U$2&amp;U$1&amp;"C"&amp;$A38)+100*RTD("tos.rtd",,"OPEN_INT","."&amp;U$2&amp;U$1&amp;"P"&amp;$A38)*RTD("tos.rtd",,"LAST","."&amp;U$2&amp;U$1&amp;"P"&amp;$A38))/1000000,(100*RTD("tos.rtd",,"OPEN_INT","."&amp;U$2&amp;U$1&amp;"C"&amp;$A38)*RTD("tos.rtd",,"LAST","."&amp;U$2&amp;U$1&amp;"C"&amp;$A38)-100*RTD("tos.rtd",,"OPEN_INT","."&amp;U$2&amp;U$1&amp;"P"&amp;$A38)*RTD("tos.rtd",,"LAST","."&amp;U$2&amp;U$1&amp;"P"&amp;$A38))/1000000),0),IF($A$2="PREMIUM",IFERROR(IF($X$1="ABS",(100*RTD("tos.rtd",,"VOLUME","."&amp;U$2&amp;U$1&amp;"C"&amp;$A38)*RTD("tos.rtd",,"LAST","."&amp;U$2&amp;U$1&amp;"C"&amp;$A38)+100*RTD("tos.rtd",,"VOLUME","."&amp;U$2&amp;U$1&amp;"P"&amp;$A38)*RTD("tos.rtd",,"LAST","."&amp;U$2&amp;U$1&amp;"P"&amp;$A38))/1000000,(100*RTD("tos.rtd",,"VOLUME","."&amp;U$2&amp;U$1&amp;"C"&amp;$A38)*RTD("tos.rtd",,"LAST","."&amp;U$2&amp;U$1&amp;"C"&amp;$A38)-100*RTD("tos.rtd",,"VOLUME","."&amp;U$2&amp;U$1&amp;"P"&amp;$A38)*RTD("tos.rtd",,"LAST","."&amp;U$2&amp;U$1&amp;"P"&amp;$A38))/1000000),0),IF($A$2="DEX",IFERROR(IF($X$1="ABS",(100*RTD("tos.rtd",,"OPEN_INT","."&amp;U$2&amp;U$1&amp;"C"&amp;$A38)*RTD("tos.rtd",,"DELTA","."&amp;U$2&amp;U$1&amp;"C"&amp;$A38)+100*RTD("tos.rtd",,"OPEN_INT","."&amp;U$2&amp;U$1&amp;"P"&amp;$A38)*RTD("tos.rtd",,"DELTA","."&amp;U$2&amp;U$1&amp;"P"&amp;$A38))/1000,(100*RTD("tos.rtd",,"OPEN_INT","."&amp;U$2&amp;U$1&amp;"C"&amp;$A38)*RTD("tos.rtd",,"DELTA","."&amp;U$2&amp;U$1&amp;"C"&amp;$A38)-100*RTD("tos.rtd",,"OPEN_INT","."&amp;U$2&amp;U$1&amp;"P"&amp;$A38)*RTD("tos.rtd",,"DELTA","."&amp;U$2&amp;U$1&amp;"P"&amp;$A38))/1000),0),IF($A$2="VEX",IFERROR(IF($X$1="ABS",($A$4*$A$4*RTD("tos.rtd",,"VOLUME","."&amp;U$2&amp;U$1&amp;"C"&amp;$A38)*RTD("tos.rtd",,"GAMMA","."&amp;U$2&amp;U$1&amp;"C"&amp;$A38)+$A$4*$A$4*RTD("tos.rtd",,"VOLUME","."&amp;U$2&amp;U$1&amp;"P"&amp;$A38)*RTD("tos.rtd",,"GAMMA","."&amp;U$2&amp;U$1&amp;"P"&amp;$A38))/1000000,($A$4*$A$4*RTD("tos.rtd",,"VOLUME","."&amp;U$2&amp;U$1&amp;"C"&amp;$A38)*RTD("tos.rtd",,"GAMMA","."&amp;U$2&amp;U$1&amp;"C"&amp;$A38)-$A$4*$A$4*RTD("tos.rtd",,"VOLUME","."&amp;U$2&amp;U$1&amp;"P"&amp;$A38)*RTD("tos.rtd",,"GAMMA","."&amp;U$2&amp;U$1&amp;"P"&amp;$A38))/1000000),0),IF($A$2="GEX",IFERROR(IF($X$1="ABS",($A$4*$A$4*RTD("tos.rtd",,"OPEN_INT","."&amp;U$2&amp;U$1&amp;"C"&amp;$A38)*RTD("tos.rtd",,"GAMMA","."&amp;U$2&amp;U$1&amp;"C"&amp;$A38)+$A$4*$A$4*RTD("tos.rtd",,"OPEN_INT","."&amp;U$2&amp;U$1&amp;"P"&amp;$A38)*RTD("tos.rtd",,"GAMMA","."&amp;U$2&amp;U$1&amp;"P"&amp;$A38))/1000000,($A$4*$A$4*RTD("tos.rtd",,"OPEN_INT","."&amp;U$2&amp;U$1&amp;"C"&amp;$A38)*RTD("tos.rtd",,"GAMMA","."&amp;U$2&amp;U$1&amp;"C"&amp;$A38)-$A$4*$A$4*RTD("tos.rtd",,"OPEN_INT","."&amp;U$2&amp;U$1&amp;"P"&amp;$A38)*RTD("tos.rtd",,"GAMMA","."&amp;U$2&amp;U$1&amp;"P"&amp;$A38))/1000000),0),IF($A$2="SKEW",IFERROR(VALUE(IF(RTD("tos.rtd",,"IMPL_VOL","."&amp;U$2&amp;U$1&amp;"P"&amp;$A38)="N/A",0,RTD("tos.rtd",,"IMPL_VOL","."&amp;U$2&amp;U$1&amp;"P"&amp;$A38))),0)-IFERROR(VALUE(IF(RTD("tos.rtd",,"IMPL_VOL","."&amp;U$2&amp;U$1&amp;"C"&amp;$A38)="N/A",0,RTD("tos.rtd",,"IMPL_VOL","."&amp;U$2&amp;U$1&amp;"C"&amp;$A38))),0),IF($A$2="MAXPAIN",IF($A$4&gt;$A38,($A$4-$A38)*IF(RTD("tos.rtd",,"OPEN_INT","."&amp;U$2&amp;U$1&amp;"C"&amp;$A38)="N/A",0,RTD("tos.rtd",,"OPEN_INT","."&amp;U$2&amp;U$1&amp;"C"&amp;$A38)),0)+IF($A$4&lt;$A38,($A$5-$A$4)*IF(RTD("tos.rtd",,"OPEN_INT","."&amp;U$2&amp;U$1&amp;"P"&amp;$A38)="N/A",0,RTD("tos.rtd",,"OPEN_INT","."&amp;U$2&amp;U$1&amp;"P"&amp;$A38)),0),IF($X$1="ABS",IF(RTD("tos.rtd",,$A$2,"."&amp;U$2&amp;U$1&amp;"C"&amp;$A38)="N/A",0,RTD("tos.rtd",,$A$2,"."&amp;U$2&amp;U$1&amp;"C"&amp;$A38))+IF(RTD("tos.rtd",,$A$2,"."&amp;U$2&amp;U$1&amp;"P"&amp;$A38)="N/A",0,RTD("tos.rtd",,$A$2,"."&amp;U$2&amp;U$1&amp;"P"&amp;$A38)),IF(RTD("tos.rtd",,$A$2,"."&amp;U$2&amp;U$1&amp;"C"&amp;$A38)="N/A",0,RTD("tos.rtd",,$A$2,"."&amp;U$2&amp;U$1&amp;"C"&amp;$A38))-IF(RTD("tos.rtd",,$A$2,"."&amp;U$2&amp;U$1&amp;"P"&amp;$A38)="N/A",0,RTD("tos.rtd",,$A$2,"."&amp;U$2&amp;U$1&amp;"P"&amp;$A38))))))))))</f>
        <v>0</v>
      </c>
      <c r="V38" s="12">
        <f ca="1">IF($A$2="PREMIUM_OI",IFERROR(IF($X$1="ABS",(100*RTD("tos.rtd",,"OPEN_INT","."&amp;V$2&amp;V$1&amp;"C"&amp;$A38)*RTD("tos.rtd",,"LAST","."&amp;V$2&amp;V$1&amp;"C"&amp;$A38)+100*RTD("tos.rtd",,"OPEN_INT","."&amp;V$2&amp;V$1&amp;"P"&amp;$A38)*RTD("tos.rtd",,"LAST","."&amp;V$2&amp;V$1&amp;"P"&amp;$A38))/1000000,(100*RTD("tos.rtd",,"OPEN_INT","."&amp;V$2&amp;V$1&amp;"C"&amp;$A38)*RTD("tos.rtd",,"LAST","."&amp;V$2&amp;V$1&amp;"C"&amp;$A38)-100*RTD("tos.rtd",,"OPEN_INT","."&amp;V$2&amp;V$1&amp;"P"&amp;$A38)*RTD("tos.rtd",,"LAST","."&amp;V$2&amp;V$1&amp;"P"&amp;$A38))/1000000),0),IF($A$2="PREMIUM",IFERROR(IF($X$1="ABS",(100*RTD("tos.rtd",,"VOLUME","."&amp;V$2&amp;V$1&amp;"C"&amp;$A38)*RTD("tos.rtd",,"LAST","."&amp;V$2&amp;V$1&amp;"C"&amp;$A38)+100*RTD("tos.rtd",,"VOLUME","."&amp;V$2&amp;V$1&amp;"P"&amp;$A38)*RTD("tos.rtd",,"LAST","."&amp;V$2&amp;V$1&amp;"P"&amp;$A38))/1000000,(100*RTD("tos.rtd",,"VOLUME","."&amp;V$2&amp;V$1&amp;"C"&amp;$A38)*RTD("tos.rtd",,"LAST","."&amp;V$2&amp;V$1&amp;"C"&amp;$A38)-100*RTD("tos.rtd",,"VOLUME","."&amp;V$2&amp;V$1&amp;"P"&amp;$A38)*RTD("tos.rtd",,"LAST","."&amp;V$2&amp;V$1&amp;"P"&amp;$A38))/1000000),0),IF($A$2="DEX",IFERROR(IF($X$1="ABS",(100*RTD("tos.rtd",,"OPEN_INT","."&amp;V$2&amp;V$1&amp;"C"&amp;$A38)*RTD("tos.rtd",,"DELTA","."&amp;V$2&amp;V$1&amp;"C"&amp;$A38)+100*RTD("tos.rtd",,"OPEN_INT","."&amp;V$2&amp;V$1&amp;"P"&amp;$A38)*RTD("tos.rtd",,"DELTA","."&amp;V$2&amp;V$1&amp;"P"&amp;$A38))/1000,(100*RTD("tos.rtd",,"OPEN_INT","."&amp;V$2&amp;V$1&amp;"C"&amp;$A38)*RTD("tos.rtd",,"DELTA","."&amp;V$2&amp;V$1&amp;"C"&amp;$A38)-100*RTD("tos.rtd",,"OPEN_INT","."&amp;V$2&amp;V$1&amp;"P"&amp;$A38)*RTD("tos.rtd",,"DELTA","."&amp;V$2&amp;V$1&amp;"P"&amp;$A38))/1000),0),IF($A$2="VEX",IFERROR(IF($X$1="ABS",($A$4*$A$4*RTD("tos.rtd",,"VOLUME","."&amp;V$2&amp;V$1&amp;"C"&amp;$A38)*RTD("tos.rtd",,"GAMMA","."&amp;V$2&amp;V$1&amp;"C"&amp;$A38)+$A$4*$A$4*RTD("tos.rtd",,"VOLUME","."&amp;V$2&amp;V$1&amp;"P"&amp;$A38)*RTD("tos.rtd",,"GAMMA","."&amp;V$2&amp;V$1&amp;"P"&amp;$A38))/1000000,($A$4*$A$4*RTD("tos.rtd",,"VOLUME","."&amp;V$2&amp;V$1&amp;"C"&amp;$A38)*RTD("tos.rtd",,"GAMMA","."&amp;V$2&amp;V$1&amp;"C"&amp;$A38)-$A$4*$A$4*RTD("tos.rtd",,"VOLUME","."&amp;V$2&amp;V$1&amp;"P"&amp;$A38)*RTD("tos.rtd",,"GAMMA","."&amp;V$2&amp;V$1&amp;"P"&amp;$A38))/1000000),0),IF($A$2="GEX",IFERROR(IF($X$1="ABS",($A$4*$A$4*RTD("tos.rtd",,"OPEN_INT","."&amp;V$2&amp;V$1&amp;"C"&amp;$A38)*RTD("tos.rtd",,"GAMMA","."&amp;V$2&amp;V$1&amp;"C"&amp;$A38)+$A$4*$A$4*RTD("tos.rtd",,"OPEN_INT","."&amp;V$2&amp;V$1&amp;"P"&amp;$A38)*RTD("tos.rtd",,"GAMMA","."&amp;V$2&amp;V$1&amp;"P"&amp;$A38))/1000000,($A$4*$A$4*RTD("tos.rtd",,"OPEN_INT","."&amp;V$2&amp;V$1&amp;"C"&amp;$A38)*RTD("tos.rtd",,"GAMMA","."&amp;V$2&amp;V$1&amp;"C"&amp;$A38)-$A$4*$A$4*RTD("tos.rtd",,"OPEN_INT","."&amp;V$2&amp;V$1&amp;"P"&amp;$A38)*RTD("tos.rtd",,"GAMMA","."&amp;V$2&amp;V$1&amp;"P"&amp;$A38))/1000000),0),IF($A$2="SKEW",IFERROR(VALUE(IF(RTD("tos.rtd",,"IMPL_VOL","."&amp;V$2&amp;V$1&amp;"P"&amp;$A38)="N/A",0,RTD("tos.rtd",,"IMPL_VOL","."&amp;V$2&amp;V$1&amp;"P"&amp;$A38))),0)-IFERROR(VALUE(IF(RTD("tos.rtd",,"IMPL_VOL","."&amp;V$2&amp;V$1&amp;"C"&amp;$A38)="N/A",0,RTD("tos.rtd",,"IMPL_VOL","."&amp;V$2&amp;V$1&amp;"C"&amp;$A38))),0),IF($A$2="MAXPAIN",IF($A$4&gt;$A38,($A$4-$A38)*IF(RTD("tos.rtd",,"OPEN_INT","."&amp;V$2&amp;V$1&amp;"C"&amp;$A38)="N/A",0,RTD("tos.rtd",,"OPEN_INT","."&amp;V$2&amp;V$1&amp;"C"&amp;$A38)),0)+IF($A$4&lt;$A38,($A$5-$A$4)*IF(RTD("tos.rtd",,"OPEN_INT","."&amp;V$2&amp;V$1&amp;"P"&amp;$A38)="N/A",0,RTD("tos.rtd",,"OPEN_INT","."&amp;V$2&amp;V$1&amp;"P"&amp;$A38)),0),IF($X$1="ABS",IF(RTD("tos.rtd",,$A$2,"."&amp;V$2&amp;V$1&amp;"C"&amp;$A38)="N/A",0,RTD("tos.rtd",,$A$2,"."&amp;V$2&amp;V$1&amp;"C"&amp;$A38))+IF(RTD("tos.rtd",,$A$2,"."&amp;V$2&amp;V$1&amp;"P"&amp;$A38)="N/A",0,RTD("tos.rtd",,$A$2,"."&amp;V$2&amp;V$1&amp;"P"&amp;$A38)),IF(RTD("tos.rtd",,$A$2,"."&amp;V$2&amp;V$1&amp;"C"&amp;$A38)="N/A",0,RTD("tos.rtd",,$A$2,"."&amp;V$2&amp;V$1&amp;"C"&amp;$A38))-IF(RTD("tos.rtd",,$A$2,"."&amp;V$2&amp;V$1&amp;"P"&amp;$A38)="N/A",0,RTD("tos.rtd",,$A$2,"."&amp;V$2&amp;V$1&amp;"P"&amp;$A38))))))))))</f>
        <v>0</v>
      </c>
      <c r="W38" s="12">
        <f ca="1">IF($A$2="PREMIUM_OI",IFERROR(IF($X$1="ABS",(100*RTD("tos.rtd",,"OPEN_INT","."&amp;W$2&amp;W$1&amp;"C"&amp;$A38)*RTD("tos.rtd",,"LAST","."&amp;W$2&amp;W$1&amp;"C"&amp;$A38)+100*RTD("tos.rtd",,"OPEN_INT","."&amp;W$2&amp;W$1&amp;"P"&amp;$A38)*RTD("tos.rtd",,"LAST","."&amp;W$2&amp;W$1&amp;"P"&amp;$A38))/1000000,(100*RTD("tos.rtd",,"OPEN_INT","."&amp;W$2&amp;W$1&amp;"C"&amp;$A38)*RTD("tos.rtd",,"LAST","."&amp;W$2&amp;W$1&amp;"C"&amp;$A38)-100*RTD("tos.rtd",,"OPEN_INT","."&amp;W$2&amp;W$1&amp;"P"&amp;$A38)*RTD("tos.rtd",,"LAST","."&amp;W$2&amp;W$1&amp;"P"&amp;$A38))/1000000),0),IF($A$2="PREMIUM",IFERROR(IF($X$1="ABS",(100*RTD("tos.rtd",,"VOLUME","."&amp;W$2&amp;W$1&amp;"C"&amp;$A38)*RTD("tos.rtd",,"LAST","."&amp;W$2&amp;W$1&amp;"C"&amp;$A38)+100*RTD("tos.rtd",,"VOLUME","."&amp;W$2&amp;W$1&amp;"P"&amp;$A38)*RTD("tos.rtd",,"LAST","."&amp;W$2&amp;W$1&amp;"P"&amp;$A38))/1000000,(100*RTD("tos.rtd",,"VOLUME","."&amp;W$2&amp;W$1&amp;"C"&amp;$A38)*RTD("tos.rtd",,"LAST","."&amp;W$2&amp;W$1&amp;"C"&amp;$A38)-100*RTD("tos.rtd",,"VOLUME","."&amp;W$2&amp;W$1&amp;"P"&amp;$A38)*RTD("tos.rtd",,"LAST","."&amp;W$2&amp;W$1&amp;"P"&amp;$A38))/1000000),0),IF($A$2="DEX",IFERROR(IF($X$1="ABS",(100*RTD("tos.rtd",,"OPEN_INT","."&amp;W$2&amp;W$1&amp;"C"&amp;$A38)*RTD("tos.rtd",,"DELTA","."&amp;W$2&amp;W$1&amp;"C"&amp;$A38)+100*RTD("tos.rtd",,"OPEN_INT","."&amp;W$2&amp;W$1&amp;"P"&amp;$A38)*RTD("tos.rtd",,"DELTA","."&amp;W$2&amp;W$1&amp;"P"&amp;$A38))/1000,(100*RTD("tos.rtd",,"OPEN_INT","."&amp;W$2&amp;W$1&amp;"C"&amp;$A38)*RTD("tos.rtd",,"DELTA","."&amp;W$2&amp;W$1&amp;"C"&amp;$A38)-100*RTD("tos.rtd",,"OPEN_INT","."&amp;W$2&amp;W$1&amp;"P"&amp;$A38)*RTD("tos.rtd",,"DELTA","."&amp;W$2&amp;W$1&amp;"P"&amp;$A38))/1000),0),IF($A$2="VEX",IFERROR(IF($X$1="ABS",($A$4*$A$4*RTD("tos.rtd",,"VOLUME","."&amp;W$2&amp;W$1&amp;"C"&amp;$A38)*RTD("tos.rtd",,"GAMMA","."&amp;W$2&amp;W$1&amp;"C"&amp;$A38)+$A$4*$A$4*RTD("tos.rtd",,"VOLUME","."&amp;W$2&amp;W$1&amp;"P"&amp;$A38)*RTD("tos.rtd",,"GAMMA","."&amp;W$2&amp;W$1&amp;"P"&amp;$A38))/1000000,($A$4*$A$4*RTD("tos.rtd",,"VOLUME","."&amp;W$2&amp;W$1&amp;"C"&amp;$A38)*RTD("tos.rtd",,"GAMMA","."&amp;W$2&amp;W$1&amp;"C"&amp;$A38)-$A$4*$A$4*RTD("tos.rtd",,"VOLUME","."&amp;W$2&amp;W$1&amp;"P"&amp;$A38)*RTD("tos.rtd",,"GAMMA","."&amp;W$2&amp;W$1&amp;"P"&amp;$A38))/1000000),0),IF($A$2="GEX",IFERROR(IF($X$1="ABS",($A$4*$A$4*RTD("tos.rtd",,"OPEN_INT","."&amp;W$2&amp;W$1&amp;"C"&amp;$A38)*RTD("tos.rtd",,"GAMMA","."&amp;W$2&amp;W$1&amp;"C"&amp;$A38)+$A$4*$A$4*RTD("tos.rtd",,"OPEN_INT","."&amp;W$2&amp;W$1&amp;"P"&amp;$A38)*RTD("tos.rtd",,"GAMMA","."&amp;W$2&amp;W$1&amp;"P"&amp;$A38))/1000000,($A$4*$A$4*RTD("tos.rtd",,"OPEN_INT","."&amp;W$2&amp;W$1&amp;"C"&amp;$A38)*RTD("tos.rtd",,"GAMMA","."&amp;W$2&amp;W$1&amp;"C"&amp;$A38)-$A$4*$A$4*RTD("tos.rtd",,"OPEN_INT","."&amp;W$2&amp;W$1&amp;"P"&amp;$A38)*RTD("tos.rtd",,"GAMMA","."&amp;W$2&amp;W$1&amp;"P"&amp;$A38))/1000000),0),IF($A$2="SKEW",IFERROR(VALUE(IF(RTD("tos.rtd",,"IMPL_VOL","."&amp;W$2&amp;W$1&amp;"P"&amp;$A38)="N/A",0,RTD("tos.rtd",,"IMPL_VOL","."&amp;W$2&amp;W$1&amp;"P"&amp;$A38))),0)-IFERROR(VALUE(IF(RTD("tos.rtd",,"IMPL_VOL","."&amp;W$2&amp;W$1&amp;"C"&amp;$A38)="N/A",0,RTD("tos.rtd",,"IMPL_VOL","."&amp;W$2&amp;W$1&amp;"C"&amp;$A38))),0),IF($A$2="MAXPAIN",IF($A$4&gt;$A38,($A$4-$A38)*IF(RTD("tos.rtd",,"OPEN_INT","."&amp;W$2&amp;W$1&amp;"C"&amp;$A38)="N/A",0,RTD("tos.rtd",,"OPEN_INT","."&amp;W$2&amp;W$1&amp;"C"&amp;$A38)),0)+IF($A$4&lt;$A38,($A$5-$A$4)*IF(RTD("tos.rtd",,"OPEN_INT","."&amp;W$2&amp;W$1&amp;"P"&amp;$A38)="N/A",0,RTD("tos.rtd",,"OPEN_INT","."&amp;W$2&amp;W$1&amp;"P"&amp;$A38)),0),IF($X$1="ABS",IF(RTD("tos.rtd",,$A$2,"."&amp;W$2&amp;W$1&amp;"C"&amp;$A38)="N/A",0,RTD("tos.rtd",,$A$2,"."&amp;W$2&amp;W$1&amp;"C"&amp;$A38))+IF(RTD("tos.rtd",,$A$2,"."&amp;W$2&amp;W$1&amp;"P"&amp;$A38)="N/A",0,RTD("tos.rtd",,$A$2,"."&amp;W$2&amp;W$1&amp;"P"&amp;$A38)),IF(RTD("tos.rtd",,$A$2,"."&amp;W$2&amp;W$1&amp;"C"&amp;$A38)="N/A",0,RTD("tos.rtd",,$A$2,"."&amp;W$2&amp;W$1&amp;"C"&amp;$A38))-IF(RTD("tos.rtd",,$A$2,"."&amp;W$2&amp;W$1&amp;"P"&amp;$A38)="N/A",0,RTD("tos.rtd",,$A$2,"."&amp;W$2&amp;W$1&amp;"P"&amp;$A38))))))))))</f>
        <v>0</v>
      </c>
      <c r="X38" s="57">
        <f t="shared" ca="1" si="7"/>
        <v>12700</v>
      </c>
      <c r="Y38" s="27">
        <f t="shared" ca="1" si="8"/>
        <v>12700</v>
      </c>
      <c r="Z38" s="27">
        <f t="shared" ca="1" si="9"/>
        <v>2570.6666666666665</v>
      </c>
      <c r="AA38" s="27">
        <f t="shared" si="10"/>
        <v>14052050</v>
      </c>
      <c r="AB38" s="18">
        <f>MAX(0, $A38-AB$4)*IF(RTD("tos.rtd",,"OPEN_INT","."&amp;$AA$3&amp;$AA$4&amp;"C"&amp;AB$4)="N/A",0,RTD("tos.rtd",,"OPEN_INT","."&amp;$AA$3&amp;$AA$4&amp;"C"&amp;AB$4))*100 + MAX(0, AB$4-$A38)*IF(RTD("tos.rtd",,"OPEN_INT","."&amp;$AA$3&amp;$AA$4&amp;"P"&amp;AB$4)="N/A",0,RTD("tos.rtd",,"OPEN_INT","."&amp;$AA$3&amp;$AA$4&amp;"P"&amp;AB$4))*100</f>
        <v>0</v>
      </c>
      <c r="AC38" s="18">
        <f>MAX(0, $A38-AC$4)*IF(RTD("tos.rtd",,"OPEN_INT","."&amp;$AA$3&amp;$AA$4&amp;"C"&amp;AC$4)="N/A",0,RTD("tos.rtd",,"OPEN_INT","."&amp;$AA$3&amp;$AA$4&amp;"C"&amp;AC$4))*100 + MAX(0, AC$4-$A38)*IF(RTD("tos.rtd",,"OPEN_INT","."&amp;$AA$3&amp;$AA$4&amp;"P"&amp;AC$4)="N/A",0,RTD("tos.rtd",,"OPEN_INT","."&amp;$AA$3&amp;$AA$4&amp;"P"&amp;AC$4))*100</f>
        <v>0</v>
      </c>
      <c r="AD38" s="18">
        <f>MAX(0, $A38-AD$4)*IF(RTD("tos.rtd",,"OPEN_INT","."&amp;$AA$3&amp;$AA$4&amp;"C"&amp;AD$4)="N/A",0,RTD("tos.rtd",,"OPEN_INT","."&amp;$AA$3&amp;$AA$4&amp;"C"&amp;AD$4))*100 + MAX(0, AD$4-$A38)*IF(RTD("tos.rtd",,"OPEN_INT","."&amp;$AA$3&amp;$AA$4&amp;"P"&amp;AD$4)="N/A",0,RTD("tos.rtd",,"OPEN_INT","."&amp;$AA$3&amp;$AA$4&amp;"P"&amp;AD$4))*100</f>
        <v>0</v>
      </c>
      <c r="AE38" s="18">
        <f>MAX(0, $A38-AE$4)*IF(RTD("tos.rtd",,"OPEN_INT","."&amp;$AA$3&amp;$AA$4&amp;"C"&amp;AE$4)="N/A",0,RTD("tos.rtd",,"OPEN_INT","."&amp;$AA$3&amp;$AA$4&amp;"C"&amp;AE$4))*100 + MAX(0, AE$4-$A38)*IF(RTD("tos.rtd",,"OPEN_INT","."&amp;$AA$3&amp;$AA$4&amp;"P"&amp;AE$4)="N/A",0,RTD("tos.rtd",,"OPEN_INT","."&amp;$AA$3&amp;$AA$4&amp;"P"&amp;AE$4))*100</f>
        <v>0</v>
      </c>
      <c r="AF38" s="18">
        <f>MAX(0, $A38-AF$4)*IF(RTD("tos.rtd",,"OPEN_INT","."&amp;$AA$3&amp;$AA$4&amp;"C"&amp;AF$4)="N/A",0,RTD("tos.rtd",,"OPEN_INT","."&amp;$AA$3&amp;$AA$4&amp;"C"&amp;AF$4))*100 + MAX(0, AF$4-$A38)*IF(RTD("tos.rtd",,"OPEN_INT","."&amp;$AA$3&amp;$AA$4&amp;"P"&amp;AF$4)="N/A",0,RTD("tos.rtd",,"OPEN_INT","."&amp;$AA$3&amp;$AA$4&amp;"P"&amp;AF$4))*100</f>
        <v>0</v>
      </c>
      <c r="AG38" s="18">
        <f>MAX(0, $A38-AG$4)*IF(RTD("tos.rtd",,"OPEN_INT","."&amp;$AA$3&amp;$AA$4&amp;"C"&amp;AG$4)="N/A",0,RTD("tos.rtd",,"OPEN_INT","."&amp;$AA$3&amp;$AA$4&amp;"C"&amp;AG$4))*100 + MAX(0, AG$4-$A38)*IF(RTD("tos.rtd",,"OPEN_INT","."&amp;$AA$3&amp;$AA$4&amp;"P"&amp;AG$4)="N/A",0,RTD("tos.rtd",,"OPEN_INT","."&amp;$AA$3&amp;$AA$4&amp;"P"&amp;AG$4))*100</f>
        <v>0</v>
      </c>
      <c r="AH38" s="18">
        <f>MAX(0, $A38-AH$4)*IF(RTD("tos.rtd",,"OPEN_INT","."&amp;$AA$3&amp;$AA$4&amp;"C"&amp;AH$4)="N/A",0,RTD("tos.rtd",,"OPEN_INT","."&amp;$AA$3&amp;$AA$4&amp;"C"&amp;AH$4))*100 + MAX(0, AH$4-$A38)*IF(RTD("tos.rtd",,"OPEN_INT","."&amp;$AA$3&amp;$AA$4&amp;"P"&amp;AH$4)="N/A",0,RTD("tos.rtd",,"OPEN_INT","."&amp;$AA$3&amp;$AA$4&amp;"P"&amp;AH$4))*100</f>
        <v>0</v>
      </c>
      <c r="AI38" s="18">
        <f>MAX(0, $A38-AI$4)*IF(RTD("tos.rtd",,"OPEN_INT","."&amp;$AA$3&amp;$AA$4&amp;"C"&amp;AI$4)="N/A",0,RTD("tos.rtd",,"OPEN_INT","."&amp;$AA$3&amp;$AA$4&amp;"C"&amp;AI$4))*100 + MAX(0, AI$4-$A38)*IF(RTD("tos.rtd",,"OPEN_INT","."&amp;$AA$3&amp;$AA$4&amp;"P"&amp;AI$4)="N/A",0,RTD("tos.rtd",,"OPEN_INT","."&amp;$AA$3&amp;$AA$4&amp;"P"&amp;AI$4))*100</f>
        <v>3900</v>
      </c>
      <c r="AJ38" s="18">
        <f>MAX(0, $A38-AJ$4)*IF(RTD("tos.rtd",,"OPEN_INT","."&amp;$AA$3&amp;$AA$4&amp;"C"&amp;AJ$4)="N/A",0,RTD("tos.rtd",,"OPEN_INT","."&amp;$AA$3&amp;$AA$4&amp;"C"&amp;AJ$4))*100 + MAX(0, AJ$4-$A38)*IF(RTD("tos.rtd",,"OPEN_INT","."&amp;$AA$3&amp;$AA$4&amp;"P"&amp;AJ$4)="N/A",0,RTD("tos.rtd",,"OPEN_INT","."&amp;$AA$3&amp;$AA$4&amp;"P"&amp;AJ$4))*100</f>
        <v>10000</v>
      </c>
      <c r="AK38" s="18">
        <f>MAX(0, $A38-AK$4)*IF(RTD("tos.rtd",,"OPEN_INT","."&amp;$AA$3&amp;$AA$4&amp;"C"&amp;AK$4)="N/A",0,RTD("tos.rtd",,"OPEN_INT","."&amp;$AA$3&amp;$AA$4&amp;"C"&amp;AK$4))*100 + MAX(0, AK$4-$A38)*IF(RTD("tos.rtd",,"OPEN_INT","."&amp;$AA$3&amp;$AA$4&amp;"P"&amp;AK$4)="N/A",0,RTD("tos.rtd",,"OPEN_INT","."&amp;$AA$3&amp;$AA$4&amp;"P"&amp;AK$4))*100</f>
        <v>0</v>
      </c>
      <c r="AL38" s="18">
        <f>MAX(0, $A38-AL$4)*IF(RTD("tos.rtd",,"OPEN_INT","."&amp;$AA$3&amp;$AA$4&amp;"C"&amp;AL$4)="N/A",0,RTD("tos.rtd",,"OPEN_INT","."&amp;$AA$3&amp;$AA$4&amp;"C"&amp;AL$4))*100 + MAX(0, AL$4-$A38)*IF(RTD("tos.rtd",,"OPEN_INT","."&amp;$AA$3&amp;$AA$4&amp;"P"&amp;AL$4)="N/A",0,RTD("tos.rtd",,"OPEN_INT","."&amp;$AA$3&amp;$AA$4&amp;"P"&amp;AL$4))*100</f>
        <v>0</v>
      </c>
      <c r="AM38" s="18">
        <f>MAX(0, $A38-AM$4)*IF(RTD("tos.rtd",,"OPEN_INT","."&amp;$AA$3&amp;$AA$4&amp;"C"&amp;AM$4)="N/A",0,RTD("tos.rtd",,"OPEN_INT","."&amp;$AA$3&amp;$AA$4&amp;"C"&amp;AM$4))*100 + MAX(0, AM$4-$A38)*IF(RTD("tos.rtd",,"OPEN_INT","."&amp;$AA$3&amp;$AA$4&amp;"P"&amp;AM$4)="N/A",0,RTD("tos.rtd",,"OPEN_INT","."&amp;$AA$3&amp;$AA$4&amp;"P"&amp;AM$4))*100</f>
        <v>0</v>
      </c>
      <c r="AN38" s="18">
        <f>MAX(0, $A38-AN$4)*IF(RTD("tos.rtd",,"OPEN_INT","."&amp;$AA$3&amp;$AA$4&amp;"C"&amp;AN$4)="N/A",0,RTD("tos.rtd",,"OPEN_INT","."&amp;$AA$3&amp;$AA$4&amp;"C"&amp;AN$4))*100 + MAX(0, AN$4-$A38)*IF(RTD("tos.rtd",,"OPEN_INT","."&amp;$AA$3&amp;$AA$4&amp;"P"&amp;AN$4)="N/A",0,RTD("tos.rtd",,"OPEN_INT","."&amp;$AA$3&amp;$AA$4&amp;"P"&amp;AN$4))*100</f>
        <v>0</v>
      </c>
      <c r="AO38" s="18">
        <f>MAX(0, $A38-AO$4)*IF(RTD("tos.rtd",,"OPEN_INT","."&amp;$AA$3&amp;$AA$4&amp;"C"&amp;AO$4)="N/A",0,RTD("tos.rtd",,"OPEN_INT","."&amp;$AA$3&amp;$AA$4&amp;"C"&amp;AO$4))*100 + MAX(0, AO$4-$A38)*IF(RTD("tos.rtd",,"OPEN_INT","."&amp;$AA$3&amp;$AA$4&amp;"P"&amp;AO$4)="N/A",0,RTD("tos.rtd",,"OPEN_INT","."&amp;$AA$3&amp;$AA$4&amp;"P"&amp;AO$4))*100</f>
        <v>120000</v>
      </c>
      <c r="AP38" s="18">
        <f>MAX(0, $A38-AP$4)*IF(RTD("tos.rtd",,"OPEN_INT","."&amp;$AA$3&amp;$AA$4&amp;"C"&amp;AP$4)="N/A",0,RTD("tos.rtd",,"OPEN_INT","."&amp;$AA$3&amp;$AA$4&amp;"C"&amp;AP$4))*100 + MAX(0, AP$4-$A38)*IF(RTD("tos.rtd",,"OPEN_INT","."&amp;$AA$3&amp;$AA$4&amp;"P"&amp;AP$4)="N/A",0,RTD("tos.rtd",,"OPEN_INT","."&amp;$AA$3&amp;$AA$4&amp;"P"&amp;AP$4))*100</f>
        <v>0</v>
      </c>
      <c r="AQ38" s="18">
        <f>MAX(0, $A38-AQ$4)*IF(RTD("tos.rtd",,"OPEN_INT","."&amp;$AA$3&amp;$AA$4&amp;"C"&amp;AQ$4)="N/A",0,RTD("tos.rtd",,"OPEN_INT","."&amp;$AA$3&amp;$AA$4&amp;"C"&amp;AQ$4))*100 + MAX(0, AQ$4-$A38)*IF(RTD("tos.rtd",,"OPEN_INT","."&amp;$AA$3&amp;$AA$4&amp;"P"&amp;AQ$4)="N/A",0,RTD("tos.rtd",,"OPEN_INT","."&amp;$AA$3&amp;$AA$4&amp;"P"&amp;AQ$4))*100</f>
        <v>47700</v>
      </c>
      <c r="AR38" s="18">
        <f>MAX(0, $A38-AR$4)*IF(RTD("tos.rtd",,"OPEN_INT","."&amp;$AA$3&amp;$AA$4&amp;"C"&amp;AR$4)="N/A",0,RTD("tos.rtd",,"OPEN_INT","."&amp;$AA$3&amp;$AA$4&amp;"C"&amp;AR$4))*100 + MAX(0, AR$4-$A38)*IF(RTD("tos.rtd",,"OPEN_INT","."&amp;$AA$3&amp;$AA$4&amp;"P"&amp;AR$4)="N/A",0,RTD("tos.rtd",,"OPEN_INT","."&amp;$AA$3&amp;$AA$4&amp;"P"&amp;AR$4))*100</f>
        <v>5100</v>
      </c>
      <c r="AS38" s="18">
        <f>MAX(0, $A38-AS$4)*IF(RTD("tos.rtd",,"OPEN_INT","."&amp;$AA$3&amp;$AA$4&amp;"C"&amp;AS$4)="N/A",0,RTD("tos.rtd",,"OPEN_INT","."&amp;$AA$3&amp;$AA$4&amp;"C"&amp;AS$4))*100 + MAX(0, AS$4-$A38)*IF(RTD("tos.rtd",,"OPEN_INT","."&amp;$AA$3&amp;$AA$4&amp;"P"&amp;AS$4)="N/A",0,RTD("tos.rtd",,"OPEN_INT","."&amp;$AA$3&amp;$AA$4&amp;"P"&amp;AS$4))*100</f>
        <v>49600</v>
      </c>
      <c r="AT38" s="18">
        <f>MAX(0, $A38-AT$4)*IF(RTD("tos.rtd",,"OPEN_INT","."&amp;$AA$3&amp;$AA$4&amp;"C"&amp;AT$4)="N/A",0,RTD("tos.rtd",,"OPEN_INT","."&amp;$AA$3&amp;$AA$4&amp;"C"&amp;AT$4))*100 + MAX(0, AT$4-$A38)*IF(RTD("tos.rtd",,"OPEN_INT","."&amp;$AA$3&amp;$AA$4&amp;"P"&amp;AT$4)="N/A",0,RTD("tos.rtd",,"OPEN_INT","."&amp;$AA$3&amp;$AA$4&amp;"P"&amp;AT$4))*100</f>
        <v>52500</v>
      </c>
      <c r="AU38" s="18">
        <f>MAX(0, $A38-AU$4)*IF(RTD("tos.rtd",,"OPEN_INT","."&amp;$AA$3&amp;$AA$4&amp;"C"&amp;AU$4)="N/A",0,RTD("tos.rtd",,"OPEN_INT","."&amp;$AA$3&amp;$AA$4&amp;"C"&amp;AU$4))*100 + MAX(0, AU$4-$A38)*IF(RTD("tos.rtd",,"OPEN_INT","."&amp;$AA$3&amp;$AA$4&amp;"P"&amp;AU$4)="N/A",0,RTD("tos.rtd",,"OPEN_INT","."&amp;$AA$3&amp;$AA$4&amp;"P"&amp;AU$4))*100</f>
        <v>28000</v>
      </c>
      <c r="AV38" s="18">
        <f>MAX(0, $A38-AV$4)*IF(RTD("tos.rtd",,"OPEN_INT","."&amp;$AA$3&amp;$AA$4&amp;"C"&amp;AV$4)="N/A",0,RTD("tos.rtd",,"OPEN_INT","."&amp;$AA$3&amp;$AA$4&amp;"C"&amp;AV$4))*100 + MAX(0, AV$4-$A38)*IF(RTD("tos.rtd",,"OPEN_INT","."&amp;$AA$3&amp;$AA$4&amp;"P"&amp;AV$4)="N/A",0,RTD("tos.rtd",,"OPEN_INT","."&amp;$AA$3&amp;$AA$4&amp;"P"&amp;AV$4))*100</f>
        <v>104650</v>
      </c>
      <c r="AW38" s="18">
        <f>MAX(0, $A38-AW$4)*IF(RTD("tos.rtd",,"OPEN_INT","."&amp;$AA$3&amp;$AA$4&amp;"C"&amp;AW$4)="N/A",0,RTD("tos.rtd",,"OPEN_INT","."&amp;$AA$3&amp;$AA$4&amp;"C"&amp;AW$4))*100 + MAX(0, AW$4-$A38)*IF(RTD("tos.rtd",,"OPEN_INT","."&amp;$AA$3&amp;$AA$4&amp;"P"&amp;AW$4)="N/A",0,RTD("tos.rtd",,"OPEN_INT","."&amp;$AA$3&amp;$AA$4&amp;"P"&amp;AW$4))*100</f>
        <v>121200</v>
      </c>
      <c r="AX38" s="18">
        <f>MAX(0, $A38-AX$4)*IF(RTD("tos.rtd",,"OPEN_INT","."&amp;$AA$3&amp;$AA$4&amp;"C"&amp;AX$4)="N/A",0,RTD("tos.rtd",,"OPEN_INT","."&amp;$AA$3&amp;$AA$4&amp;"C"&amp;AX$4))*100 + MAX(0, AX$4-$A38)*IF(RTD("tos.rtd",,"OPEN_INT","."&amp;$AA$3&amp;$AA$4&amp;"P"&amp;AX$4)="N/A",0,RTD("tos.rtd",,"OPEN_INT","."&amp;$AA$3&amp;$AA$4&amp;"P"&amp;AX$4))*100</f>
        <v>135850</v>
      </c>
      <c r="AY38" s="18">
        <f>MAX(0, $A38-AY$4)*IF(RTD("tos.rtd",,"OPEN_INT","."&amp;$AA$3&amp;$AA$4&amp;"C"&amp;AY$4)="N/A",0,RTD("tos.rtd",,"OPEN_INT","."&amp;$AA$3&amp;$AA$4&amp;"C"&amp;AY$4))*100 + MAX(0, AY$4-$A38)*IF(RTD("tos.rtd",,"OPEN_INT","."&amp;$AA$3&amp;$AA$4&amp;"P"&amp;AY$4)="N/A",0,RTD("tos.rtd",,"OPEN_INT","."&amp;$AA$3&amp;$AA$4&amp;"P"&amp;AY$4))*100</f>
        <v>1037000</v>
      </c>
      <c r="AZ38" s="18">
        <f>MAX(0, $A38-AZ$4)*IF(RTD("tos.rtd",,"OPEN_INT","."&amp;$AA$3&amp;$AA$4&amp;"C"&amp;AZ$4)="N/A",0,RTD("tos.rtd",,"OPEN_INT","."&amp;$AA$3&amp;$AA$4&amp;"C"&amp;AZ$4))*100 + MAX(0, AZ$4-$A38)*IF(RTD("tos.rtd",,"OPEN_INT","."&amp;$AA$3&amp;$AA$4&amp;"P"&amp;AZ$4)="N/A",0,RTD("tos.rtd",,"OPEN_INT","."&amp;$AA$3&amp;$AA$4&amp;"P"&amp;AZ$4))*100</f>
        <v>255600</v>
      </c>
      <c r="BA38" s="18">
        <f>MAX(0, $A38-BA$4)*IF(RTD("tos.rtd",,"OPEN_INT","."&amp;$AA$3&amp;$AA$4&amp;"C"&amp;BA$4)="N/A",0,RTD("tos.rtd",,"OPEN_INT","."&amp;$AA$3&amp;$AA$4&amp;"C"&amp;BA$4))*100 + MAX(0, BA$4-$A38)*IF(RTD("tos.rtd",,"OPEN_INT","."&amp;$AA$3&amp;$AA$4&amp;"P"&amp;BA$4)="N/A",0,RTD("tos.rtd",,"OPEN_INT","."&amp;$AA$3&amp;$AA$4&amp;"P"&amp;BA$4))*100</f>
        <v>936000</v>
      </c>
      <c r="BB38" s="18">
        <f>MAX(0, $A38-BB$4)*IF(RTD("tos.rtd",,"OPEN_INT","."&amp;$AA$3&amp;$AA$4&amp;"C"&amp;BB$4)="N/A",0,RTD("tos.rtd",,"OPEN_INT","."&amp;$AA$3&amp;$AA$4&amp;"C"&amp;BB$4))*100 + MAX(0, BB$4-$A38)*IF(RTD("tos.rtd",,"OPEN_INT","."&amp;$AA$3&amp;$AA$4&amp;"P"&amp;BB$4)="N/A",0,RTD("tos.rtd",,"OPEN_INT","."&amp;$AA$3&amp;$AA$4&amp;"P"&amp;BB$4))*100</f>
        <v>799400</v>
      </c>
      <c r="BC38" s="18">
        <f>MAX(0, $A38-BC$4)*IF(RTD("tos.rtd",,"OPEN_INT","."&amp;$AA$3&amp;$AA$4&amp;"C"&amp;BC$4)="N/A",0,RTD("tos.rtd",,"OPEN_INT","."&amp;$AA$3&amp;$AA$4&amp;"C"&amp;BC$4))*100 + MAX(0, BC$4-$A38)*IF(RTD("tos.rtd",,"OPEN_INT","."&amp;$AA$3&amp;$AA$4&amp;"P"&amp;BC$4)="N/A",0,RTD("tos.rtd",,"OPEN_INT","."&amp;$AA$3&amp;$AA$4&amp;"P"&amp;BC$4))*100</f>
        <v>2295300</v>
      </c>
      <c r="BD38" s="18">
        <f>MAX(0, $A38-BD$4)*IF(RTD("tos.rtd",,"OPEN_INT","."&amp;$AA$3&amp;$AA$4&amp;"C"&amp;BD$4)="N/A",0,RTD("tos.rtd",,"OPEN_INT","."&amp;$AA$3&amp;$AA$4&amp;"C"&amp;BD$4))*100 + MAX(0, BD$4-$A38)*IF(RTD("tos.rtd",,"OPEN_INT","."&amp;$AA$3&amp;$AA$4&amp;"P"&amp;BD$4)="N/A",0,RTD("tos.rtd",,"OPEN_INT","."&amp;$AA$3&amp;$AA$4&amp;"P"&amp;BD$4))*100</f>
        <v>2455250</v>
      </c>
      <c r="BE38" s="18">
        <f>MAX(0, $A38-BE$4)*IF(RTD("tos.rtd",,"OPEN_INT","."&amp;$AA$3&amp;$AA$4&amp;"C"&amp;BE$4)="N/A",0,RTD("tos.rtd",,"OPEN_INT","."&amp;$AA$3&amp;$AA$4&amp;"C"&amp;BE$4))*100 + MAX(0, BE$4-$A38)*IF(RTD("tos.rtd",,"OPEN_INT","."&amp;$AA$3&amp;$AA$4&amp;"P"&amp;BE$4)="N/A",0,RTD("tos.rtd",,"OPEN_INT","."&amp;$AA$3&amp;$AA$4&amp;"P"&amp;BE$4))*100</f>
        <v>2223200</v>
      </c>
      <c r="BF38" s="18">
        <f>MAX(0, $A38-BF$4)*IF(RTD("tos.rtd",,"OPEN_INT","."&amp;$AA$3&amp;$AA$4&amp;"C"&amp;BF$4)="N/A",0,RTD("tos.rtd",,"OPEN_INT","."&amp;$AA$3&amp;$AA$4&amp;"C"&amp;BF$4))*100 + MAX(0, BF$4-$A38)*IF(RTD("tos.rtd",,"OPEN_INT","."&amp;$AA$3&amp;$AA$4&amp;"P"&amp;BF$4)="N/A",0,RTD("tos.rtd",,"OPEN_INT","."&amp;$AA$3&amp;$AA$4&amp;"P"&amp;BF$4))*100</f>
        <v>2086350</v>
      </c>
      <c r="BG38" s="18">
        <f>MAX(0, $A38-BG$4)*IF(RTD("tos.rtd",,"OPEN_INT","."&amp;$AA$3&amp;$AA$4&amp;"C"&amp;BG$4)="N/A",0,RTD("tos.rtd",,"OPEN_INT","."&amp;$AA$3&amp;$AA$4&amp;"C"&amp;BG$4))*100 + MAX(0, BG$4-$A38)*IF(RTD("tos.rtd",,"OPEN_INT","."&amp;$AA$3&amp;$AA$4&amp;"P"&amp;BG$4)="N/A",0,RTD("tos.rtd",,"OPEN_INT","."&amp;$AA$3&amp;$AA$4&amp;"P"&amp;BG$4))*100</f>
        <v>907500</v>
      </c>
      <c r="BH38" s="18">
        <f>MAX(0, $A38-BH$4)*IF(RTD("tos.rtd",,"OPEN_INT","."&amp;$AA$3&amp;$AA$4&amp;"C"&amp;BH$4)="N/A",0,RTD("tos.rtd",,"OPEN_INT","."&amp;$AA$3&amp;$AA$4&amp;"C"&amp;BH$4))*100 + MAX(0, BH$4-$A38)*IF(RTD("tos.rtd",,"OPEN_INT","."&amp;$AA$3&amp;$AA$4&amp;"P"&amp;BH$4)="N/A",0,RTD("tos.rtd",,"OPEN_INT","."&amp;$AA$3&amp;$AA$4&amp;"P"&amp;BH$4))*100</f>
        <v>321150</v>
      </c>
      <c r="BI38" s="18">
        <f>MAX(0, $A38-BI$4)*IF(RTD("tos.rtd",,"OPEN_INT","."&amp;$AA$3&amp;$AA$4&amp;"C"&amp;BI$4)="N/A",0,RTD("tos.rtd",,"OPEN_INT","."&amp;$AA$3&amp;$AA$4&amp;"C"&amp;BI$4))*100 + MAX(0, BI$4-$A38)*IF(RTD("tos.rtd",,"OPEN_INT","."&amp;$AA$3&amp;$AA$4&amp;"P"&amp;BI$4)="N/A",0,RTD("tos.rtd",,"OPEN_INT","."&amp;$AA$3&amp;$AA$4&amp;"P"&amp;BI$4))*100</f>
        <v>0</v>
      </c>
      <c r="BJ38" s="18">
        <f>MAX(0, $A38-BJ$4)*IF(RTD("tos.rtd",,"OPEN_INT","."&amp;$AA$3&amp;$AA$4&amp;"C"&amp;BJ$4)="N/A",0,RTD("tos.rtd",,"OPEN_INT","."&amp;$AA$3&amp;$AA$4&amp;"C"&amp;BJ$4))*100 + MAX(0, BJ$4-$A38)*IF(RTD("tos.rtd",,"OPEN_INT","."&amp;$AA$3&amp;$AA$4&amp;"P"&amp;BJ$4)="N/A",0,RTD("tos.rtd",,"OPEN_INT","."&amp;$AA$3&amp;$AA$4&amp;"P"&amp;BJ$4))*100</f>
        <v>7550</v>
      </c>
      <c r="BK38" s="18">
        <f>MAX(0, $A38-BK$4)*IF(RTD("tos.rtd",,"OPEN_INT","."&amp;$AA$3&amp;$AA$4&amp;"C"&amp;BK$4)="N/A",0,RTD("tos.rtd",,"OPEN_INT","."&amp;$AA$3&amp;$AA$4&amp;"C"&amp;BK$4))*100 + MAX(0, BK$4-$A38)*IF(RTD("tos.rtd",,"OPEN_INT","."&amp;$AA$3&amp;$AA$4&amp;"P"&amp;BK$4)="N/A",0,RTD("tos.rtd",,"OPEN_INT","."&amp;$AA$3&amp;$AA$4&amp;"P"&amp;BK$4))*100</f>
        <v>26100</v>
      </c>
      <c r="BL38" s="18">
        <f>MAX(0, $A38-BL$4)*IF(RTD("tos.rtd",,"OPEN_INT","."&amp;$AA$3&amp;$AA$4&amp;"C"&amp;BL$4)="N/A",0,RTD("tos.rtd",,"OPEN_INT","."&amp;$AA$3&amp;$AA$4&amp;"C"&amp;BL$4))*100 + MAX(0, BL$4-$A38)*IF(RTD("tos.rtd",,"OPEN_INT","."&amp;$AA$3&amp;$AA$4&amp;"P"&amp;BL$4)="N/A",0,RTD("tos.rtd",,"OPEN_INT","."&amp;$AA$3&amp;$AA$4&amp;"P"&amp;BL$4))*100</f>
        <v>2400</v>
      </c>
      <c r="BM38" s="18">
        <f>MAX(0, $A38-BM$4)*IF(RTD("tos.rtd",,"OPEN_INT","."&amp;$AA$3&amp;$AA$4&amp;"C"&amp;BM$4)="N/A",0,RTD("tos.rtd",,"OPEN_INT","."&amp;$AA$3&amp;$AA$4&amp;"C"&amp;BM$4))*100 + MAX(0, BM$4-$A38)*IF(RTD("tos.rtd",,"OPEN_INT","."&amp;$AA$3&amp;$AA$4&amp;"P"&amp;BM$4)="N/A",0,RTD("tos.rtd",,"OPEN_INT","."&amp;$AA$3&amp;$AA$4&amp;"P"&amp;BM$4))*100</f>
        <v>1600</v>
      </c>
      <c r="BN38" s="18">
        <f>MAX(0, $A38-BN$4)*IF(RTD("tos.rtd",,"OPEN_INT","."&amp;$AA$3&amp;$AA$4&amp;"C"&amp;BN$4)="N/A",0,RTD("tos.rtd",,"OPEN_INT","."&amp;$AA$3&amp;$AA$4&amp;"C"&amp;BN$4))*100 + MAX(0, BN$4-$A38)*IF(RTD("tos.rtd",,"OPEN_INT","."&amp;$AA$3&amp;$AA$4&amp;"P"&amp;BN$4)="N/A",0,RTD("tos.rtd",,"OPEN_INT","."&amp;$AA$3&amp;$AA$4&amp;"P"&amp;BN$4))*100</f>
        <v>7750</v>
      </c>
      <c r="BO38" s="18">
        <f>MAX(0, $A38-BO$4)*IF(RTD("tos.rtd",,"OPEN_INT","."&amp;$AA$3&amp;$AA$4&amp;"C"&amp;BO$4)="N/A",0,RTD("tos.rtd",,"OPEN_INT","."&amp;$AA$3&amp;$AA$4&amp;"C"&amp;BO$4))*100 + MAX(0, BO$4-$A38)*IF(RTD("tos.rtd",,"OPEN_INT","."&amp;$AA$3&amp;$AA$4&amp;"P"&amp;BO$4)="N/A",0,RTD("tos.rtd",,"OPEN_INT","."&amp;$AA$3&amp;$AA$4&amp;"P"&amp;BO$4))*100</f>
        <v>11400</v>
      </c>
      <c r="BP38" s="18">
        <f>MAX(0, $A38-BP$4)*IF(RTD("tos.rtd",,"OPEN_INT","."&amp;$AA$3&amp;$AA$4&amp;"C"&amp;BP$4)="N/A",0,RTD("tos.rtd",,"OPEN_INT","."&amp;$AA$3&amp;$AA$4&amp;"C"&amp;BP$4))*100 + MAX(0, BP$4-$A38)*IF(RTD("tos.rtd",,"OPEN_INT","."&amp;$AA$3&amp;$AA$4&amp;"P"&amp;BP$4)="N/A",0,RTD("tos.rtd",,"OPEN_INT","."&amp;$AA$3&amp;$AA$4&amp;"P"&amp;BP$4))*100</f>
        <v>0</v>
      </c>
      <c r="BQ38" s="18">
        <f>MAX(0, $A38-BQ$4)*IF(RTD("tos.rtd",,"OPEN_INT","."&amp;$AA$3&amp;$AA$4&amp;"C"&amp;BQ$4)="N/A",0,RTD("tos.rtd",,"OPEN_INT","."&amp;$AA$3&amp;$AA$4&amp;"C"&amp;BQ$4))*100 + MAX(0, BQ$4-$A38)*IF(RTD("tos.rtd",,"OPEN_INT","."&amp;$AA$3&amp;$AA$4&amp;"P"&amp;BQ$4)="N/A",0,RTD("tos.rtd",,"OPEN_INT","."&amp;$AA$3&amp;$AA$4&amp;"P"&amp;BQ$4))*100</f>
        <v>0</v>
      </c>
      <c r="BR38" s="18">
        <f>MAX(0, $A38-BR$4)*IF(RTD("tos.rtd",,"OPEN_INT","."&amp;$AA$3&amp;$AA$4&amp;"C"&amp;BR$4)="N/A",0,RTD("tos.rtd",,"OPEN_INT","."&amp;$AA$3&amp;$AA$4&amp;"C"&amp;BR$4))*100 + MAX(0, BR$4-$A38)*IF(RTD("tos.rtd",,"OPEN_INT","."&amp;$AA$3&amp;$AA$4&amp;"P"&amp;BR$4)="N/A",0,RTD("tos.rtd",,"OPEN_INT","."&amp;$AA$3&amp;$AA$4&amp;"P"&amp;BR$4))*100</f>
        <v>0</v>
      </c>
      <c r="BS38" s="18">
        <f>MAX(0, $A38-BS$4)*IF(RTD("tos.rtd",,"OPEN_INT","."&amp;$AA$3&amp;$AA$4&amp;"C"&amp;BS$4)="N/A",0,RTD("tos.rtd",,"OPEN_INT","."&amp;$AA$3&amp;$AA$4&amp;"C"&amp;BS$4))*100 + MAX(0, BS$4-$A38)*IF(RTD("tos.rtd",,"OPEN_INT","."&amp;$AA$3&amp;$AA$4&amp;"P"&amp;BS$4)="N/A",0,RTD("tos.rtd",,"OPEN_INT","."&amp;$AA$3&amp;$AA$4&amp;"P"&amp;BS$4))*100</f>
        <v>0</v>
      </c>
      <c r="BT38" s="18">
        <f>MAX(0, $A38-BT$4)*IF(RTD("tos.rtd",,"OPEN_INT","."&amp;$AA$3&amp;$AA$4&amp;"C"&amp;BT$4)="N/A",0,RTD("tos.rtd",,"OPEN_INT","."&amp;$AA$3&amp;$AA$4&amp;"C"&amp;BT$4))*100 + MAX(0, BT$4-$A38)*IF(RTD("tos.rtd",,"OPEN_INT","."&amp;$AA$3&amp;$AA$4&amp;"P"&amp;BT$4)="N/A",0,RTD("tos.rtd",,"OPEN_INT","."&amp;$AA$3&amp;$AA$4&amp;"P"&amp;BT$4))*100</f>
        <v>0</v>
      </c>
      <c r="BU38" s="18">
        <f>MAX(0, $A38-BU$4)*IF(RTD("tos.rtd",,"OPEN_INT","."&amp;$AA$3&amp;$AA$4&amp;"C"&amp;BU$4)="N/A",0,RTD("tos.rtd",,"OPEN_INT","."&amp;$AA$3&amp;$AA$4&amp;"C"&amp;BU$4))*100 + MAX(0, BU$4-$A38)*IF(RTD("tos.rtd",,"OPEN_INT","."&amp;$AA$3&amp;$AA$4&amp;"P"&amp;BU$4)="N/A",0,RTD("tos.rtd",,"OPEN_INT","."&amp;$AA$3&amp;$AA$4&amp;"P"&amp;BU$4))*100</f>
        <v>0</v>
      </c>
      <c r="BV38" s="18">
        <f>MAX(0, $A38-BV$4)*IF(RTD("tos.rtd",,"OPEN_INT","."&amp;$AA$3&amp;$AA$4&amp;"C"&amp;BV$4)="N/A",0,RTD("tos.rtd",,"OPEN_INT","."&amp;$AA$3&amp;$AA$4&amp;"C"&amp;BV$4))*100 + MAX(0, BV$4-$A38)*IF(RTD("tos.rtd",,"OPEN_INT","."&amp;$AA$3&amp;$AA$4&amp;"P"&amp;BV$4)="N/A",0,RTD("tos.rtd",,"OPEN_INT","."&amp;$AA$3&amp;$AA$4&amp;"P"&amp;BV$4))*100</f>
        <v>0</v>
      </c>
    </row>
    <row r="39" spans="1:74" s="19" customFormat="1" ht="11.1" customHeight="1" thickBot="1" x14ac:dyDescent="0.3">
      <c r="A39" s="23">
        <f t="shared" si="11"/>
        <v>4.5</v>
      </c>
      <c r="B39" s="14">
        <f ca="1">IF($A$2="PREMIUM_OI",IFERROR(IF($X$1="ABS",(100*RTD("tos.rtd",,"OPEN_INT","."&amp;B$2&amp;B$1&amp;"C"&amp;$A39)*RTD("tos.rtd",,"LAST","."&amp;B$2&amp;B$1&amp;"C"&amp;$A39)+100*RTD("tos.rtd",,"OPEN_INT","."&amp;B$2&amp;B$1&amp;"P"&amp;$A39)*RTD("tos.rtd",,"LAST","."&amp;B$2&amp;B$1&amp;"P"&amp;$A39))/1000000,(100*RTD("tos.rtd",,"OPEN_INT","."&amp;B$2&amp;B$1&amp;"C"&amp;$A39)*RTD("tos.rtd",,"LAST","."&amp;B$2&amp;B$1&amp;"C"&amp;$A39)-100*RTD("tos.rtd",,"OPEN_INT","."&amp;B$2&amp;B$1&amp;"P"&amp;$A39)*RTD("tos.rtd",,"LAST","."&amp;B$2&amp;B$1&amp;"P"&amp;$A39))/1000000),0),IF($A$2="PREMIUM",IFERROR(IF($X$1="ABS",(100*RTD("tos.rtd",,"VOLUME","."&amp;B$2&amp;B$1&amp;"C"&amp;$A39)*RTD("tos.rtd",,"LAST","."&amp;B$2&amp;B$1&amp;"C"&amp;$A39)+100*RTD("tos.rtd",,"VOLUME","."&amp;B$2&amp;B$1&amp;"P"&amp;$A39)*RTD("tos.rtd",,"LAST","."&amp;B$2&amp;B$1&amp;"P"&amp;$A39))/1000000,(100*RTD("tos.rtd",,"VOLUME","."&amp;B$2&amp;B$1&amp;"C"&amp;$A39)*RTD("tos.rtd",,"LAST","."&amp;B$2&amp;B$1&amp;"C"&amp;$A39)-100*RTD("tos.rtd",,"VOLUME","."&amp;B$2&amp;B$1&amp;"P"&amp;$A39)*RTD("tos.rtd",,"LAST","."&amp;B$2&amp;B$1&amp;"P"&amp;$A39))/1000000),0),IF($A$2="DEX",IFERROR(IF($X$1="ABS",(100*RTD("tos.rtd",,"OPEN_INT","."&amp;B$2&amp;B$1&amp;"C"&amp;$A39)*RTD("tos.rtd",,"DELTA","."&amp;B$2&amp;B$1&amp;"C"&amp;$A39)+100*RTD("tos.rtd",,"OPEN_INT","."&amp;B$2&amp;B$1&amp;"P"&amp;$A39)*RTD("tos.rtd",,"DELTA","."&amp;B$2&amp;B$1&amp;"P"&amp;$A39))/1000,(100*RTD("tos.rtd",,"OPEN_INT","."&amp;B$2&amp;B$1&amp;"C"&amp;$A39)*RTD("tos.rtd",,"DELTA","."&amp;B$2&amp;B$1&amp;"C"&amp;$A39)-100*RTD("tos.rtd",,"OPEN_INT","."&amp;B$2&amp;B$1&amp;"P"&amp;$A39)*RTD("tos.rtd",,"DELTA","."&amp;B$2&amp;B$1&amp;"P"&amp;$A39))/1000),0),IF($A$2="VEX",IFERROR(IF($X$1="ABS",($A$4*$A$4*RTD("tos.rtd",,"VOLUME","."&amp;B$2&amp;B$1&amp;"C"&amp;$A39)*RTD("tos.rtd",,"GAMMA","."&amp;B$2&amp;B$1&amp;"C"&amp;$A39)+$A$4*$A$4*RTD("tos.rtd",,"VOLUME","."&amp;B$2&amp;B$1&amp;"P"&amp;$A39)*RTD("tos.rtd",,"GAMMA","."&amp;B$2&amp;B$1&amp;"P"&amp;$A39))/1000000,($A$4*$A$4*RTD("tos.rtd",,"VOLUME","."&amp;B$2&amp;B$1&amp;"C"&amp;$A39)*RTD("tos.rtd",,"GAMMA","."&amp;B$2&amp;B$1&amp;"C"&amp;$A39)-$A$4*$A$4*RTD("tos.rtd",,"VOLUME","."&amp;B$2&amp;B$1&amp;"P"&amp;$A39)*RTD("tos.rtd",,"GAMMA","."&amp;B$2&amp;B$1&amp;"P"&amp;$A39))/1000000),0),IF($A$2="GEX",IFERROR(IF($X$1="ABS",($A$4*$A$4*RTD("tos.rtd",,"OPEN_INT","."&amp;B$2&amp;B$1&amp;"C"&amp;$A39)*RTD("tos.rtd",,"GAMMA","."&amp;B$2&amp;B$1&amp;"C"&amp;$A39)+$A$4*$A$4*RTD("tos.rtd",,"OPEN_INT","."&amp;B$2&amp;B$1&amp;"P"&amp;$A39)*RTD("tos.rtd",,"GAMMA","."&amp;B$2&amp;B$1&amp;"P"&amp;$A39))/1000000,($A$4*$A$4*RTD("tos.rtd",,"OPEN_INT","."&amp;B$2&amp;B$1&amp;"C"&amp;$A39)*RTD("tos.rtd",,"GAMMA","."&amp;B$2&amp;B$1&amp;"C"&amp;$A39)-$A$4*$A$4*RTD("tos.rtd",,"OPEN_INT","."&amp;B$2&amp;B$1&amp;"P"&amp;$A39)*RTD("tos.rtd",,"GAMMA","."&amp;B$2&amp;B$1&amp;"P"&amp;$A39))/1000000),0),IF($A$2="SKEW",IFERROR(VALUE(IF(RTD("tos.rtd",,"IMPL_VOL","."&amp;B$2&amp;B$1&amp;"P"&amp;$A39)="N/A",0,RTD("tos.rtd",,"IMPL_VOL","."&amp;B$2&amp;B$1&amp;"P"&amp;$A39))),0)-IFERROR(VALUE(IF(RTD("tos.rtd",,"IMPL_VOL","."&amp;B$2&amp;B$1&amp;"C"&amp;$A39)="N/A",0,RTD("tos.rtd",,"IMPL_VOL","."&amp;B$2&amp;B$1&amp;"C"&amp;$A39))),0),IF($A$2="MAXPAIN",IF($A$4&gt;$A39,($A$4-$A39)*IF(RTD("tos.rtd",,"OPEN_INT","."&amp;B$2&amp;B$1&amp;"C"&amp;$A39)="N/A",0,RTD("tos.rtd",,"OPEN_INT","."&amp;B$2&amp;B$1&amp;"C"&amp;$A39)),0)+IF($A$4&lt;$A39,($A$5-$A$4)*IF(RTD("tos.rtd",,"OPEN_INT","."&amp;B$2&amp;B$1&amp;"P"&amp;$A39)="N/A",0,RTD("tos.rtd",,"OPEN_INT","."&amp;B$2&amp;B$1&amp;"P"&amp;$A39)),0),IF($X$1="ABS",IF(RTD("tos.rtd",,$A$2,"."&amp;B$2&amp;B$1&amp;"C"&amp;$A39)="N/A",0,RTD("tos.rtd",,$A$2,"."&amp;B$2&amp;B$1&amp;"C"&amp;$A39))+IF(RTD("tos.rtd",,$A$2,"."&amp;B$2&amp;B$1&amp;"P"&amp;$A39)="N/A",0,RTD("tos.rtd",,$A$2,"."&amp;B$2&amp;B$1&amp;"P"&amp;$A39)),IF(RTD("tos.rtd",,$A$2,"."&amp;B$2&amp;B$1&amp;"C"&amp;$A39)="N/A",0,RTD("tos.rtd",,$A$2,"."&amp;B$2&amp;B$1&amp;"C"&amp;$A39))-IF(RTD("tos.rtd",,$A$2,"."&amp;B$2&amp;B$1&amp;"P"&amp;$A39)="N/A",0,RTD("tos.rtd",,$A$2,"."&amp;B$2&amp;B$1&amp;"P"&amp;$A39))))))))))</f>
        <v>0</v>
      </c>
      <c r="C39" s="12">
        <f ca="1">IF($A$2="PREMIUM_OI",IFERROR(IF($X$1="ABS",(100*RTD("tos.rtd",,"OPEN_INT","."&amp;C$2&amp;C$1&amp;"C"&amp;$A39)*RTD("tos.rtd",,"LAST","."&amp;C$2&amp;C$1&amp;"C"&amp;$A39)+100*RTD("tos.rtd",,"OPEN_INT","."&amp;C$2&amp;C$1&amp;"P"&amp;$A39)*RTD("tos.rtd",,"LAST","."&amp;C$2&amp;C$1&amp;"P"&amp;$A39))/1000000,(100*RTD("tos.rtd",,"OPEN_INT","."&amp;C$2&amp;C$1&amp;"C"&amp;$A39)*RTD("tos.rtd",,"LAST","."&amp;C$2&amp;C$1&amp;"C"&amp;$A39)-100*RTD("tos.rtd",,"OPEN_INT","."&amp;C$2&amp;C$1&amp;"P"&amp;$A39)*RTD("tos.rtd",,"LAST","."&amp;C$2&amp;C$1&amp;"P"&amp;$A39))/1000000),0),IF($A$2="PREMIUM",IFERROR(IF($X$1="ABS",(100*RTD("tos.rtd",,"VOLUME","."&amp;C$2&amp;C$1&amp;"C"&amp;$A39)*RTD("tos.rtd",,"LAST","."&amp;C$2&amp;C$1&amp;"C"&amp;$A39)+100*RTD("tos.rtd",,"VOLUME","."&amp;C$2&amp;C$1&amp;"P"&amp;$A39)*RTD("tos.rtd",,"LAST","."&amp;C$2&amp;C$1&amp;"P"&amp;$A39))/1000000,(100*RTD("tos.rtd",,"VOLUME","."&amp;C$2&amp;C$1&amp;"C"&amp;$A39)*RTD("tos.rtd",,"LAST","."&amp;C$2&amp;C$1&amp;"C"&amp;$A39)-100*RTD("tos.rtd",,"VOLUME","."&amp;C$2&amp;C$1&amp;"P"&amp;$A39)*RTD("tos.rtd",,"LAST","."&amp;C$2&amp;C$1&amp;"P"&amp;$A39))/1000000),0),IF($A$2="DEX",IFERROR(IF($X$1="ABS",(100*RTD("tos.rtd",,"OPEN_INT","."&amp;C$2&amp;C$1&amp;"C"&amp;$A39)*RTD("tos.rtd",,"DELTA","."&amp;C$2&amp;C$1&amp;"C"&amp;$A39)+100*RTD("tos.rtd",,"OPEN_INT","."&amp;C$2&amp;C$1&amp;"P"&amp;$A39)*RTD("tos.rtd",,"DELTA","."&amp;C$2&amp;C$1&amp;"P"&amp;$A39))/1000,(100*RTD("tos.rtd",,"OPEN_INT","."&amp;C$2&amp;C$1&amp;"C"&amp;$A39)*RTD("tos.rtd",,"DELTA","."&amp;C$2&amp;C$1&amp;"C"&amp;$A39)-100*RTD("tos.rtd",,"OPEN_INT","."&amp;C$2&amp;C$1&amp;"P"&amp;$A39)*RTD("tos.rtd",,"DELTA","."&amp;C$2&amp;C$1&amp;"P"&amp;$A39))/1000),0),IF($A$2="VEX",IFERROR(IF($X$1="ABS",($A$4*$A$4*RTD("tos.rtd",,"VOLUME","."&amp;C$2&amp;C$1&amp;"C"&amp;$A39)*RTD("tos.rtd",,"GAMMA","."&amp;C$2&amp;C$1&amp;"C"&amp;$A39)+$A$4*$A$4*RTD("tos.rtd",,"VOLUME","."&amp;C$2&amp;C$1&amp;"P"&amp;$A39)*RTD("tos.rtd",,"GAMMA","."&amp;C$2&amp;C$1&amp;"P"&amp;$A39))/1000000,($A$4*$A$4*RTD("tos.rtd",,"VOLUME","."&amp;C$2&amp;C$1&amp;"C"&amp;$A39)*RTD("tos.rtd",,"GAMMA","."&amp;C$2&amp;C$1&amp;"C"&amp;$A39)-$A$4*$A$4*RTD("tos.rtd",,"VOLUME","."&amp;C$2&amp;C$1&amp;"P"&amp;$A39)*RTD("tos.rtd",,"GAMMA","."&amp;C$2&amp;C$1&amp;"P"&amp;$A39))/1000000),0),IF($A$2="GEX",IFERROR(IF($X$1="ABS",($A$4*$A$4*RTD("tos.rtd",,"OPEN_INT","."&amp;C$2&amp;C$1&amp;"C"&amp;$A39)*RTD("tos.rtd",,"GAMMA","."&amp;C$2&amp;C$1&amp;"C"&amp;$A39)+$A$4*$A$4*RTD("tos.rtd",,"OPEN_INT","."&amp;C$2&amp;C$1&amp;"P"&amp;$A39)*RTD("tos.rtd",,"GAMMA","."&amp;C$2&amp;C$1&amp;"P"&amp;$A39))/1000000,($A$4*$A$4*RTD("tos.rtd",,"OPEN_INT","."&amp;C$2&amp;C$1&amp;"C"&amp;$A39)*RTD("tos.rtd",,"GAMMA","."&amp;C$2&amp;C$1&amp;"C"&amp;$A39)-$A$4*$A$4*RTD("tos.rtd",,"OPEN_INT","."&amp;C$2&amp;C$1&amp;"P"&amp;$A39)*RTD("tos.rtd",,"GAMMA","."&amp;C$2&amp;C$1&amp;"P"&amp;$A39))/1000000),0),IF($A$2="SKEW",IFERROR(VALUE(IF(RTD("tos.rtd",,"IMPL_VOL","."&amp;C$2&amp;C$1&amp;"P"&amp;$A39)="N/A",0,RTD("tos.rtd",,"IMPL_VOL","."&amp;C$2&amp;C$1&amp;"P"&amp;$A39))),0)-IFERROR(VALUE(IF(RTD("tos.rtd",,"IMPL_VOL","."&amp;C$2&amp;C$1&amp;"C"&amp;$A39)="N/A",0,RTD("tos.rtd",,"IMPL_VOL","."&amp;C$2&amp;C$1&amp;"C"&amp;$A39))),0),IF($A$2="MAXPAIN",IF($A$4&gt;$A39,($A$4-$A39)*IF(RTD("tos.rtd",,"OPEN_INT","."&amp;C$2&amp;C$1&amp;"C"&amp;$A39)="N/A",0,RTD("tos.rtd",,"OPEN_INT","."&amp;C$2&amp;C$1&amp;"C"&amp;$A39)),0)+IF($A$4&lt;$A39,($A$5-$A$4)*IF(RTD("tos.rtd",,"OPEN_INT","."&amp;C$2&amp;C$1&amp;"P"&amp;$A39)="N/A",0,RTD("tos.rtd",,"OPEN_INT","."&amp;C$2&amp;C$1&amp;"P"&amp;$A39)),0),IF($X$1="ABS",IF(RTD("tos.rtd",,$A$2,"."&amp;C$2&amp;C$1&amp;"C"&amp;$A39)="N/A",0,RTD("tos.rtd",,$A$2,"."&amp;C$2&amp;C$1&amp;"C"&amp;$A39))+IF(RTD("tos.rtd",,$A$2,"."&amp;C$2&amp;C$1&amp;"P"&amp;$A39)="N/A",0,RTD("tos.rtd",,$A$2,"."&amp;C$2&amp;C$1&amp;"P"&amp;$A39)),IF(RTD("tos.rtd",,$A$2,"."&amp;C$2&amp;C$1&amp;"C"&amp;$A39)="N/A",0,RTD("tos.rtd",,$A$2,"."&amp;C$2&amp;C$1&amp;"C"&amp;$A39))-IF(RTD("tos.rtd",,$A$2,"."&amp;C$2&amp;C$1&amp;"P"&amp;$A39)="N/A",0,RTD("tos.rtd",,$A$2,"."&amp;C$2&amp;C$1&amp;"P"&amp;$A39))))))))))</f>
        <v>-2032</v>
      </c>
      <c r="D39" s="12">
        <f ca="1">IF($A$2="PREMIUM_OI",IFERROR(IF($X$1="ABS",(100*RTD("tos.rtd",,"OPEN_INT","."&amp;D$2&amp;D$1&amp;"C"&amp;$A39)*RTD("tos.rtd",,"LAST","."&amp;D$2&amp;D$1&amp;"C"&amp;$A39)+100*RTD("tos.rtd",,"OPEN_INT","."&amp;D$2&amp;D$1&amp;"P"&amp;$A39)*RTD("tos.rtd",,"LAST","."&amp;D$2&amp;D$1&amp;"P"&amp;$A39))/1000000,(100*RTD("tos.rtd",,"OPEN_INT","."&amp;D$2&amp;D$1&amp;"C"&amp;$A39)*RTD("tos.rtd",,"LAST","."&amp;D$2&amp;D$1&amp;"C"&amp;$A39)-100*RTD("tos.rtd",,"OPEN_INT","."&amp;D$2&amp;D$1&amp;"P"&amp;$A39)*RTD("tos.rtd",,"LAST","."&amp;D$2&amp;D$1&amp;"P"&amp;$A39))/1000000),0),IF($A$2="PREMIUM",IFERROR(IF($X$1="ABS",(100*RTD("tos.rtd",,"VOLUME","."&amp;D$2&amp;D$1&amp;"C"&amp;$A39)*RTD("tos.rtd",,"LAST","."&amp;D$2&amp;D$1&amp;"C"&amp;$A39)+100*RTD("tos.rtd",,"VOLUME","."&amp;D$2&amp;D$1&amp;"P"&amp;$A39)*RTD("tos.rtd",,"LAST","."&amp;D$2&amp;D$1&amp;"P"&amp;$A39))/1000000,(100*RTD("tos.rtd",,"VOLUME","."&amp;D$2&amp;D$1&amp;"C"&amp;$A39)*RTD("tos.rtd",,"LAST","."&amp;D$2&amp;D$1&amp;"C"&amp;$A39)-100*RTD("tos.rtd",,"VOLUME","."&amp;D$2&amp;D$1&amp;"P"&amp;$A39)*RTD("tos.rtd",,"LAST","."&amp;D$2&amp;D$1&amp;"P"&amp;$A39))/1000000),0),IF($A$2="DEX",IFERROR(IF($X$1="ABS",(100*RTD("tos.rtd",,"OPEN_INT","."&amp;D$2&amp;D$1&amp;"C"&amp;$A39)*RTD("tos.rtd",,"DELTA","."&amp;D$2&amp;D$1&amp;"C"&amp;$A39)+100*RTD("tos.rtd",,"OPEN_INT","."&amp;D$2&amp;D$1&amp;"P"&amp;$A39)*RTD("tos.rtd",,"DELTA","."&amp;D$2&amp;D$1&amp;"P"&amp;$A39))/1000,(100*RTD("tos.rtd",,"OPEN_INT","."&amp;D$2&amp;D$1&amp;"C"&amp;$A39)*RTD("tos.rtd",,"DELTA","."&amp;D$2&amp;D$1&amp;"C"&amp;$A39)-100*RTD("tos.rtd",,"OPEN_INT","."&amp;D$2&amp;D$1&amp;"P"&amp;$A39)*RTD("tos.rtd",,"DELTA","."&amp;D$2&amp;D$1&amp;"P"&amp;$A39))/1000),0),IF($A$2="VEX",IFERROR(IF($X$1="ABS",($A$4*$A$4*RTD("tos.rtd",,"VOLUME","."&amp;D$2&amp;D$1&amp;"C"&amp;$A39)*RTD("tos.rtd",,"GAMMA","."&amp;D$2&amp;D$1&amp;"C"&amp;$A39)+$A$4*$A$4*RTD("tos.rtd",,"VOLUME","."&amp;D$2&amp;D$1&amp;"P"&amp;$A39)*RTD("tos.rtd",,"GAMMA","."&amp;D$2&amp;D$1&amp;"P"&amp;$A39))/1000000,($A$4*$A$4*RTD("tos.rtd",,"VOLUME","."&amp;D$2&amp;D$1&amp;"C"&amp;$A39)*RTD("tos.rtd",,"GAMMA","."&amp;D$2&amp;D$1&amp;"C"&amp;$A39)-$A$4*$A$4*RTD("tos.rtd",,"VOLUME","."&amp;D$2&amp;D$1&amp;"P"&amp;$A39)*RTD("tos.rtd",,"GAMMA","."&amp;D$2&amp;D$1&amp;"P"&amp;$A39))/1000000),0),IF($A$2="GEX",IFERROR(IF($X$1="ABS",($A$4*$A$4*RTD("tos.rtd",,"OPEN_INT","."&amp;D$2&amp;D$1&amp;"C"&amp;$A39)*RTD("tos.rtd",,"GAMMA","."&amp;D$2&amp;D$1&amp;"C"&amp;$A39)+$A$4*$A$4*RTD("tos.rtd",,"OPEN_INT","."&amp;D$2&amp;D$1&amp;"P"&amp;$A39)*RTD("tos.rtd",,"GAMMA","."&amp;D$2&amp;D$1&amp;"P"&amp;$A39))/1000000,($A$4*$A$4*RTD("tos.rtd",,"OPEN_INT","."&amp;D$2&amp;D$1&amp;"C"&amp;$A39)*RTD("tos.rtd",,"GAMMA","."&amp;D$2&amp;D$1&amp;"C"&amp;$A39)-$A$4*$A$4*RTD("tos.rtd",,"OPEN_INT","."&amp;D$2&amp;D$1&amp;"P"&amp;$A39)*RTD("tos.rtd",,"GAMMA","."&amp;D$2&amp;D$1&amp;"P"&amp;$A39))/1000000),0),IF($A$2="SKEW",IFERROR(VALUE(IF(RTD("tos.rtd",,"IMPL_VOL","."&amp;D$2&amp;D$1&amp;"P"&amp;$A39)="N/A",0,RTD("tos.rtd",,"IMPL_VOL","."&amp;D$2&amp;D$1&amp;"P"&amp;$A39))),0)-IFERROR(VALUE(IF(RTD("tos.rtd",,"IMPL_VOL","."&amp;D$2&amp;D$1&amp;"C"&amp;$A39)="N/A",0,RTD("tos.rtd",,"IMPL_VOL","."&amp;D$2&amp;D$1&amp;"C"&amp;$A39))),0),IF($A$2="MAXPAIN",IF($A$4&gt;$A39,($A$4-$A39)*IF(RTD("tos.rtd",,"OPEN_INT","."&amp;D$2&amp;D$1&amp;"C"&amp;$A39)="N/A",0,RTD("tos.rtd",,"OPEN_INT","."&amp;D$2&amp;D$1&amp;"C"&amp;$A39)),0)+IF($A$4&lt;$A39,($A$5-$A$4)*IF(RTD("tos.rtd",,"OPEN_INT","."&amp;D$2&amp;D$1&amp;"P"&amp;$A39)="N/A",0,RTD("tos.rtd",,"OPEN_INT","."&amp;D$2&amp;D$1&amp;"P"&amp;$A39)),0),IF($X$1="ABS",IF(RTD("tos.rtd",,$A$2,"."&amp;D$2&amp;D$1&amp;"C"&amp;$A39)="N/A",0,RTD("tos.rtd",,$A$2,"."&amp;D$2&amp;D$1&amp;"C"&amp;$A39))+IF(RTD("tos.rtd",,$A$2,"."&amp;D$2&amp;D$1&amp;"P"&amp;$A39)="N/A",0,RTD("tos.rtd",,$A$2,"."&amp;D$2&amp;D$1&amp;"P"&amp;$A39)),IF(RTD("tos.rtd",,$A$2,"."&amp;D$2&amp;D$1&amp;"C"&amp;$A39)="N/A",0,RTD("tos.rtd",,$A$2,"."&amp;D$2&amp;D$1&amp;"C"&amp;$A39))-IF(RTD("tos.rtd",,$A$2,"."&amp;D$2&amp;D$1&amp;"P"&amp;$A39)="N/A",0,RTD("tos.rtd",,$A$2,"."&amp;D$2&amp;D$1&amp;"P"&amp;$A39))))))))))</f>
        <v>-9151</v>
      </c>
      <c r="E39" s="12">
        <f ca="1">IF($A$2="PREMIUM_OI",IFERROR(IF($X$1="ABS",(100*RTD("tos.rtd",,"OPEN_INT","."&amp;E$2&amp;E$1&amp;"C"&amp;$A39)*RTD("tos.rtd",,"LAST","."&amp;E$2&amp;E$1&amp;"C"&amp;$A39)+100*RTD("tos.rtd",,"OPEN_INT","."&amp;E$2&amp;E$1&amp;"P"&amp;$A39)*RTD("tos.rtd",,"LAST","."&amp;E$2&amp;E$1&amp;"P"&amp;$A39))/1000000,(100*RTD("tos.rtd",,"OPEN_INT","."&amp;E$2&amp;E$1&amp;"C"&amp;$A39)*RTD("tos.rtd",,"LAST","."&amp;E$2&amp;E$1&amp;"C"&amp;$A39)-100*RTD("tos.rtd",,"OPEN_INT","."&amp;E$2&amp;E$1&amp;"P"&amp;$A39)*RTD("tos.rtd",,"LAST","."&amp;E$2&amp;E$1&amp;"P"&amp;$A39))/1000000),0),IF($A$2="PREMIUM",IFERROR(IF($X$1="ABS",(100*RTD("tos.rtd",,"VOLUME","."&amp;E$2&amp;E$1&amp;"C"&amp;$A39)*RTD("tos.rtd",,"LAST","."&amp;E$2&amp;E$1&amp;"C"&amp;$A39)+100*RTD("tos.rtd",,"VOLUME","."&amp;E$2&amp;E$1&amp;"P"&amp;$A39)*RTD("tos.rtd",,"LAST","."&amp;E$2&amp;E$1&amp;"P"&amp;$A39))/1000000,(100*RTD("tos.rtd",,"VOLUME","."&amp;E$2&amp;E$1&amp;"C"&amp;$A39)*RTD("tos.rtd",,"LAST","."&amp;E$2&amp;E$1&amp;"C"&amp;$A39)-100*RTD("tos.rtd",,"VOLUME","."&amp;E$2&amp;E$1&amp;"P"&amp;$A39)*RTD("tos.rtd",,"LAST","."&amp;E$2&amp;E$1&amp;"P"&amp;$A39))/1000000),0),IF($A$2="DEX",IFERROR(IF($X$1="ABS",(100*RTD("tos.rtd",,"OPEN_INT","."&amp;E$2&amp;E$1&amp;"C"&amp;$A39)*RTD("tos.rtd",,"DELTA","."&amp;E$2&amp;E$1&amp;"C"&amp;$A39)+100*RTD("tos.rtd",,"OPEN_INT","."&amp;E$2&amp;E$1&amp;"P"&amp;$A39)*RTD("tos.rtd",,"DELTA","."&amp;E$2&amp;E$1&amp;"P"&amp;$A39))/1000,(100*RTD("tos.rtd",,"OPEN_INT","."&amp;E$2&amp;E$1&amp;"C"&amp;$A39)*RTD("tos.rtd",,"DELTA","."&amp;E$2&amp;E$1&amp;"C"&amp;$A39)-100*RTD("tos.rtd",,"OPEN_INT","."&amp;E$2&amp;E$1&amp;"P"&amp;$A39)*RTD("tos.rtd",,"DELTA","."&amp;E$2&amp;E$1&amp;"P"&amp;$A39))/1000),0),IF($A$2="VEX",IFERROR(IF($X$1="ABS",($A$4*$A$4*RTD("tos.rtd",,"VOLUME","."&amp;E$2&amp;E$1&amp;"C"&amp;$A39)*RTD("tos.rtd",,"GAMMA","."&amp;E$2&amp;E$1&amp;"C"&amp;$A39)+$A$4*$A$4*RTD("tos.rtd",,"VOLUME","."&amp;E$2&amp;E$1&amp;"P"&amp;$A39)*RTD("tos.rtd",,"GAMMA","."&amp;E$2&amp;E$1&amp;"P"&amp;$A39))/1000000,($A$4*$A$4*RTD("tos.rtd",,"VOLUME","."&amp;E$2&amp;E$1&amp;"C"&amp;$A39)*RTD("tos.rtd",,"GAMMA","."&amp;E$2&amp;E$1&amp;"C"&amp;$A39)-$A$4*$A$4*RTD("tos.rtd",,"VOLUME","."&amp;E$2&amp;E$1&amp;"P"&amp;$A39)*RTD("tos.rtd",,"GAMMA","."&amp;E$2&amp;E$1&amp;"P"&amp;$A39))/1000000),0),IF($A$2="GEX",IFERROR(IF($X$1="ABS",($A$4*$A$4*RTD("tos.rtd",,"OPEN_INT","."&amp;E$2&amp;E$1&amp;"C"&amp;$A39)*RTD("tos.rtd",,"GAMMA","."&amp;E$2&amp;E$1&amp;"C"&amp;$A39)+$A$4*$A$4*RTD("tos.rtd",,"OPEN_INT","."&amp;E$2&amp;E$1&amp;"P"&amp;$A39)*RTD("tos.rtd",,"GAMMA","."&amp;E$2&amp;E$1&amp;"P"&amp;$A39))/1000000,($A$4*$A$4*RTD("tos.rtd",,"OPEN_INT","."&amp;E$2&amp;E$1&amp;"C"&amp;$A39)*RTD("tos.rtd",,"GAMMA","."&amp;E$2&amp;E$1&amp;"C"&amp;$A39)-$A$4*$A$4*RTD("tos.rtd",,"OPEN_INT","."&amp;E$2&amp;E$1&amp;"P"&amp;$A39)*RTD("tos.rtd",,"GAMMA","."&amp;E$2&amp;E$1&amp;"P"&amp;$A39))/1000000),0),IF($A$2="SKEW",IFERROR(VALUE(IF(RTD("tos.rtd",,"IMPL_VOL","."&amp;E$2&amp;E$1&amp;"P"&amp;$A39)="N/A",0,RTD("tos.rtd",,"IMPL_VOL","."&amp;E$2&amp;E$1&amp;"P"&amp;$A39))),0)-IFERROR(VALUE(IF(RTD("tos.rtd",,"IMPL_VOL","."&amp;E$2&amp;E$1&amp;"C"&amp;$A39)="N/A",0,RTD("tos.rtd",,"IMPL_VOL","."&amp;E$2&amp;E$1&amp;"C"&amp;$A39))),0),IF($A$2="MAXPAIN",IF($A$4&gt;$A39,($A$4-$A39)*IF(RTD("tos.rtd",,"OPEN_INT","."&amp;E$2&amp;E$1&amp;"C"&amp;$A39)="N/A",0,RTD("tos.rtd",,"OPEN_INT","."&amp;E$2&amp;E$1&amp;"C"&amp;$A39)),0)+IF($A$4&lt;$A39,($A$5-$A$4)*IF(RTD("tos.rtd",,"OPEN_INT","."&amp;E$2&amp;E$1&amp;"P"&amp;$A39)="N/A",0,RTD("tos.rtd",,"OPEN_INT","."&amp;E$2&amp;E$1&amp;"P"&amp;$A39)),0),IF($X$1="ABS",IF(RTD("tos.rtd",,$A$2,"."&amp;E$2&amp;E$1&amp;"C"&amp;$A39)="N/A",0,RTD("tos.rtd",,$A$2,"."&amp;E$2&amp;E$1&amp;"C"&amp;$A39))+IF(RTD("tos.rtd",,$A$2,"."&amp;E$2&amp;E$1&amp;"P"&amp;$A39)="N/A",0,RTD("tos.rtd",,$A$2,"."&amp;E$2&amp;E$1&amp;"P"&amp;$A39)),IF(RTD("tos.rtd",,$A$2,"."&amp;E$2&amp;E$1&amp;"C"&amp;$A39)="N/A",0,RTD("tos.rtd",,$A$2,"."&amp;E$2&amp;E$1&amp;"C"&amp;$A39))-IF(RTD("tos.rtd",,$A$2,"."&amp;E$2&amp;E$1&amp;"P"&amp;$A39)="N/A",0,RTD("tos.rtd",,$A$2,"."&amp;E$2&amp;E$1&amp;"P"&amp;$A39))))))))))</f>
        <v>-200</v>
      </c>
      <c r="F39" s="12">
        <f ca="1">IF($A$2="PREMIUM_OI",IFERROR(IF($X$1="ABS",(100*RTD("tos.rtd",,"OPEN_INT","."&amp;F$2&amp;F$1&amp;"C"&amp;$A39)*RTD("tos.rtd",,"LAST","."&amp;F$2&amp;F$1&amp;"C"&amp;$A39)+100*RTD("tos.rtd",,"OPEN_INT","."&amp;F$2&amp;F$1&amp;"P"&amp;$A39)*RTD("tos.rtd",,"LAST","."&amp;F$2&amp;F$1&amp;"P"&amp;$A39))/1000000,(100*RTD("tos.rtd",,"OPEN_INT","."&amp;F$2&amp;F$1&amp;"C"&amp;$A39)*RTD("tos.rtd",,"LAST","."&amp;F$2&amp;F$1&amp;"C"&amp;$A39)-100*RTD("tos.rtd",,"OPEN_INT","."&amp;F$2&amp;F$1&amp;"P"&amp;$A39)*RTD("tos.rtd",,"LAST","."&amp;F$2&amp;F$1&amp;"P"&amp;$A39))/1000000),0),IF($A$2="PREMIUM",IFERROR(IF($X$1="ABS",(100*RTD("tos.rtd",,"VOLUME","."&amp;F$2&amp;F$1&amp;"C"&amp;$A39)*RTD("tos.rtd",,"LAST","."&amp;F$2&amp;F$1&amp;"C"&amp;$A39)+100*RTD("tos.rtd",,"VOLUME","."&amp;F$2&amp;F$1&amp;"P"&amp;$A39)*RTD("tos.rtd",,"LAST","."&amp;F$2&amp;F$1&amp;"P"&amp;$A39))/1000000,(100*RTD("tos.rtd",,"VOLUME","."&amp;F$2&amp;F$1&amp;"C"&amp;$A39)*RTD("tos.rtd",,"LAST","."&amp;F$2&amp;F$1&amp;"C"&amp;$A39)-100*RTD("tos.rtd",,"VOLUME","."&amp;F$2&amp;F$1&amp;"P"&amp;$A39)*RTD("tos.rtd",,"LAST","."&amp;F$2&amp;F$1&amp;"P"&amp;$A39))/1000000),0),IF($A$2="DEX",IFERROR(IF($X$1="ABS",(100*RTD("tos.rtd",,"OPEN_INT","."&amp;F$2&amp;F$1&amp;"C"&amp;$A39)*RTD("tos.rtd",,"DELTA","."&amp;F$2&amp;F$1&amp;"C"&amp;$A39)+100*RTD("tos.rtd",,"OPEN_INT","."&amp;F$2&amp;F$1&amp;"P"&amp;$A39)*RTD("tos.rtd",,"DELTA","."&amp;F$2&amp;F$1&amp;"P"&amp;$A39))/1000,(100*RTD("tos.rtd",,"OPEN_INT","."&amp;F$2&amp;F$1&amp;"C"&amp;$A39)*RTD("tos.rtd",,"DELTA","."&amp;F$2&amp;F$1&amp;"C"&amp;$A39)-100*RTD("tos.rtd",,"OPEN_INT","."&amp;F$2&amp;F$1&amp;"P"&amp;$A39)*RTD("tos.rtd",,"DELTA","."&amp;F$2&amp;F$1&amp;"P"&amp;$A39))/1000),0),IF($A$2="VEX",IFERROR(IF($X$1="ABS",($A$4*$A$4*RTD("tos.rtd",,"VOLUME","."&amp;F$2&amp;F$1&amp;"C"&amp;$A39)*RTD("tos.rtd",,"GAMMA","."&amp;F$2&amp;F$1&amp;"C"&amp;$A39)+$A$4*$A$4*RTD("tos.rtd",,"VOLUME","."&amp;F$2&amp;F$1&amp;"P"&amp;$A39)*RTD("tos.rtd",,"GAMMA","."&amp;F$2&amp;F$1&amp;"P"&amp;$A39))/1000000,($A$4*$A$4*RTD("tos.rtd",,"VOLUME","."&amp;F$2&amp;F$1&amp;"C"&amp;$A39)*RTD("tos.rtd",,"GAMMA","."&amp;F$2&amp;F$1&amp;"C"&amp;$A39)-$A$4*$A$4*RTD("tos.rtd",,"VOLUME","."&amp;F$2&amp;F$1&amp;"P"&amp;$A39)*RTD("tos.rtd",,"GAMMA","."&amp;F$2&amp;F$1&amp;"P"&amp;$A39))/1000000),0),IF($A$2="GEX",IFERROR(IF($X$1="ABS",($A$4*$A$4*RTD("tos.rtd",,"OPEN_INT","."&amp;F$2&amp;F$1&amp;"C"&amp;$A39)*RTD("tos.rtd",,"GAMMA","."&amp;F$2&amp;F$1&amp;"C"&amp;$A39)+$A$4*$A$4*RTD("tos.rtd",,"OPEN_INT","."&amp;F$2&amp;F$1&amp;"P"&amp;$A39)*RTD("tos.rtd",,"GAMMA","."&amp;F$2&amp;F$1&amp;"P"&amp;$A39))/1000000,($A$4*$A$4*RTD("tos.rtd",,"OPEN_INT","."&amp;F$2&amp;F$1&amp;"C"&amp;$A39)*RTD("tos.rtd",,"GAMMA","."&amp;F$2&amp;F$1&amp;"C"&amp;$A39)-$A$4*$A$4*RTD("tos.rtd",,"OPEN_INT","."&amp;F$2&amp;F$1&amp;"P"&amp;$A39)*RTD("tos.rtd",,"GAMMA","."&amp;F$2&amp;F$1&amp;"P"&amp;$A39))/1000000),0),IF($A$2="SKEW",IFERROR(VALUE(IF(RTD("tos.rtd",,"IMPL_VOL","."&amp;F$2&amp;F$1&amp;"P"&amp;$A39)="N/A",0,RTD("tos.rtd",,"IMPL_VOL","."&amp;F$2&amp;F$1&amp;"P"&amp;$A39))),0)-IFERROR(VALUE(IF(RTD("tos.rtd",,"IMPL_VOL","."&amp;F$2&amp;F$1&amp;"C"&amp;$A39)="N/A",0,RTD("tos.rtd",,"IMPL_VOL","."&amp;F$2&amp;F$1&amp;"C"&amp;$A39))),0),IF($A$2="MAXPAIN",IF($A$4&gt;$A39,($A$4-$A39)*IF(RTD("tos.rtd",,"OPEN_INT","."&amp;F$2&amp;F$1&amp;"C"&amp;$A39)="N/A",0,RTD("tos.rtd",,"OPEN_INT","."&amp;F$2&amp;F$1&amp;"C"&amp;$A39)),0)+IF($A$4&lt;$A39,($A$5-$A$4)*IF(RTD("tos.rtd",,"OPEN_INT","."&amp;F$2&amp;F$1&amp;"P"&amp;$A39)="N/A",0,RTD("tos.rtd",,"OPEN_INT","."&amp;F$2&amp;F$1&amp;"P"&amp;$A39)),0),IF($X$1="ABS",IF(RTD("tos.rtd",,$A$2,"."&amp;F$2&amp;F$1&amp;"C"&amp;$A39)="N/A",0,RTD("tos.rtd",,$A$2,"."&amp;F$2&amp;F$1&amp;"C"&amp;$A39))+IF(RTD("tos.rtd",,$A$2,"."&amp;F$2&amp;F$1&amp;"P"&amp;$A39)="N/A",0,RTD("tos.rtd",,$A$2,"."&amp;F$2&amp;F$1&amp;"P"&amp;$A39)),IF(RTD("tos.rtd",,$A$2,"."&amp;F$2&amp;F$1&amp;"C"&amp;$A39)="N/A",0,RTD("tos.rtd",,$A$2,"."&amp;F$2&amp;F$1&amp;"C"&amp;$A39))-IF(RTD("tos.rtd",,$A$2,"."&amp;F$2&amp;F$1&amp;"P"&amp;$A39)="N/A",0,RTD("tos.rtd",,$A$2,"."&amp;F$2&amp;F$1&amp;"P"&amp;$A39))))))))))</f>
        <v>-812</v>
      </c>
      <c r="G39" s="57">
        <f ca="1">IF($A$2="PREMIUM_OI",IFERROR(IF($X$1="ABS",(100*RTD("tos.rtd",,"OPEN_INT","."&amp;G$2&amp;G$1&amp;"C"&amp;$A39)*RTD("tos.rtd",,"LAST","."&amp;G$2&amp;G$1&amp;"C"&amp;$A39)+100*RTD("tos.rtd",,"OPEN_INT","."&amp;G$2&amp;G$1&amp;"P"&amp;$A39)*RTD("tos.rtd",,"LAST","."&amp;G$2&amp;G$1&amp;"P"&amp;$A39))/1000000,(100*RTD("tos.rtd",,"OPEN_INT","."&amp;G$2&amp;G$1&amp;"C"&amp;$A39)*RTD("tos.rtd",,"LAST","."&amp;G$2&amp;G$1&amp;"C"&amp;$A39)-100*RTD("tos.rtd",,"OPEN_INT","."&amp;G$2&amp;G$1&amp;"P"&amp;$A39)*RTD("tos.rtd",,"LAST","."&amp;G$2&amp;G$1&amp;"P"&amp;$A39))/1000000),0),IF($A$2="PREMIUM",IFERROR(IF($X$1="ABS",(100*RTD("tos.rtd",,"VOLUME","."&amp;G$2&amp;G$1&amp;"C"&amp;$A39)*RTD("tos.rtd",,"LAST","."&amp;G$2&amp;G$1&amp;"C"&amp;$A39)+100*RTD("tos.rtd",,"VOLUME","."&amp;G$2&amp;G$1&amp;"P"&amp;$A39)*RTD("tos.rtd",,"LAST","."&amp;G$2&amp;G$1&amp;"P"&amp;$A39))/1000000,(100*RTD("tos.rtd",,"VOLUME","."&amp;G$2&amp;G$1&amp;"C"&amp;$A39)*RTD("tos.rtd",,"LAST","."&amp;G$2&amp;G$1&amp;"C"&amp;$A39)-100*RTD("tos.rtd",,"VOLUME","."&amp;G$2&amp;G$1&amp;"P"&amp;$A39)*RTD("tos.rtd",,"LAST","."&amp;G$2&amp;G$1&amp;"P"&amp;$A39))/1000000),0),IF($A$2="DEX",IFERROR(IF($X$1="ABS",(100*RTD("tos.rtd",,"OPEN_INT","."&amp;G$2&amp;G$1&amp;"C"&amp;$A39)*RTD("tos.rtd",,"DELTA","."&amp;G$2&amp;G$1&amp;"C"&amp;$A39)+100*RTD("tos.rtd",,"OPEN_INT","."&amp;G$2&amp;G$1&amp;"P"&amp;$A39)*RTD("tos.rtd",,"DELTA","."&amp;G$2&amp;G$1&amp;"P"&amp;$A39))/1000,(100*RTD("tos.rtd",,"OPEN_INT","."&amp;G$2&amp;G$1&amp;"C"&amp;$A39)*RTD("tos.rtd",,"DELTA","."&amp;G$2&amp;G$1&amp;"C"&amp;$A39)-100*RTD("tos.rtd",,"OPEN_INT","."&amp;G$2&amp;G$1&amp;"P"&amp;$A39)*RTD("tos.rtd",,"DELTA","."&amp;G$2&amp;G$1&amp;"P"&amp;$A39))/1000),0),IF($A$2="VEX",IFERROR(IF($X$1="ABS",($A$4*$A$4*RTD("tos.rtd",,"VOLUME","."&amp;G$2&amp;G$1&amp;"C"&amp;$A39)*RTD("tos.rtd",,"GAMMA","."&amp;G$2&amp;G$1&amp;"C"&amp;$A39)+$A$4*$A$4*RTD("tos.rtd",,"VOLUME","."&amp;G$2&amp;G$1&amp;"P"&amp;$A39)*RTD("tos.rtd",,"GAMMA","."&amp;G$2&amp;G$1&amp;"P"&amp;$A39))/1000000,($A$4*$A$4*RTD("tos.rtd",,"VOLUME","."&amp;G$2&amp;G$1&amp;"C"&amp;$A39)*RTD("tos.rtd",,"GAMMA","."&amp;G$2&amp;G$1&amp;"C"&amp;$A39)-$A$4*$A$4*RTD("tos.rtd",,"VOLUME","."&amp;G$2&amp;G$1&amp;"P"&amp;$A39)*RTD("tos.rtd",,"GAMMA","."&amp;G$2&amp;G$1&amp;"P"&amp;$A39))/1000000),0),IF($A$2="GEX",IFERROR(IF($X$1="ABS",($A$4*$A$4*RTD("tos.rtd",,"OPEN_INT","."&amp;G$2&amp;G$1&amp;"C"&amp;$A39)*RTD("tos.rtd",,"GAMMA","."&amp;G$2&amp;G$1&amp;"C"&amp;$A39)+$A$4*$A$4*RTD("tos.rtd",,"OPEN_INT","."&amp;G$2&amp;G$1&amp;"P"&amp;$A39)*RTD("tos.rtd",,"GAMMA","."&amp;G$2&amp;G$1&amp;"P"&amp;$A39))/1000000,($A$4*$A$4*RTD("tos.rtd",,"OPEN_INT","."&amp;G$2&amp;G$1&amp;"C"&amp;$A39)*RTD("tos.rtd",,"GAMMA","."&amp;G$2&amp;G$1&amp;"C"&amp;$A39)-$A$4*$A$4*RTD("tos.rtd",,"OPEN_INT","."&amp;G$2&amp;G$1&amp;"P"&amp;$A39)*RTD("tos.rtd",,"GAMMA","."&amp;G$2&amp;G$1&amp;"P"&amp;$A39))/1000000),0),IF($A$2="SKEW",IFERROR(VALUE(IF(RTD("tos.rtd",,"IMPL_VOL","."&amp;G$2&amp;G$1&amp;"P"&amp;$A39)="N/A",0,RTD("tos.rtd",,"IMPL_VOL","."&amp;G$2&amp;G$1&amp;"P"&amp;$A39))),0)-IFERROR(VALUE(IF(RTD("tos.rtd",,"IMPL_VOL","."&amp;G$2&amp;G$1&amp;"C"&amp;$A39)="N/A",0,RTD("tos.rtd",,"IMPL_VOL","."&amp;G$2&amp;G$1&amp;"C"&amp;$A39))),0),IF($A$2="MAXPAIN",IF($A$4&gt;$A39,($A$4-$A39)*IF(RTD("tos.rtd",,"OPEN_INT","."&amp;G$2&amp;G$1&amp;"C"&amp;$A39)="N/A",0,RTD("tos.rtd",,"OPEN_INT","."&amp;G$2&amp;G$1&amp;"C"&amp;$A39)),0)+IF($A$4&lt;$A39,($A$5-$A$4)*IF(RTD("tos.rtd",,"OPEN_INT","."&amp;G$2&amp;G$1&amp;"P"&amp;$A39)="N/A",0,RTD("tos.rtd",,"OPEN_INT","."&amp;G$2&amp;G$1&amp;"P"&amp;$A39)),0),IF($X$1="ABS",IF(RTD("tos.rtd",,$A$2,"."&amp;G$2&amp;G$1&amp;"C"&amp;$A39)="N/A",0,RTD("tos.rtd",,$A$2,"."&amp;G$2&amp;G$1&amp;"C"&amp;$A39))+IF(RTD("tos.rtd",,$A$2,"."&amp;G$2&amp;G$1&amp;"P"&amp;$A39)="N/A",0,RTD("tos.rtd",,$A$2,"."&amp;G$2&amp;G$1&amp;"P"&amp;$A39)),IF(RTD("tos.rtd",,$A$2,"."&amp;G$2&amp;G$1&amp;"C"&amp;$A39)="N/A",0,RTD("tos.rtd",,$A$2,"."&amp;G$2&amp;G$1&amp;"C"&amp;$A39))-IF(RTD("tos.rtd",,$A$2,"."&amp;G$2&amp;G$1&amp;"P"&amp;$A39)="N/A",0,RTD("tos.rtd",,$A$2,"."&amp;G$2&amp;G$1&amp;"P"&amp;$A39))))))))))</f>
        <v>19</v>
      </c>
      <c r="H39" s="14">
        <f ca="1">IF($A$2="PREMIUM_OI",IFERROR(IF($X$1="ABS",(100*RTD("tos.rtd",,"OPEN_INT","."&amp;H$2&amp;H$1&amp;"C"&amp;$A39)*RTD("tos.rtd",,"LAST","."&amp;H$2&amp;H$1&amp;"C"&amp;$A39)+100*RTD("tos.rtd",,"OPEN_INT","."&amp;H$2&amp;H$1&amp;"P"&amp;$A39)*RTD("tos.rtd",,"LAST","."&amp;H$2&amp;H$1&amp;"P"&amp;$A39))/1000000,(100*RTD("tos.rtd",,"OPEN_INT","."&amp;H$2&amp;H$1&amp;"C"&amp;$A39)*RTD("tos.rtd",,"LAST","."&amp;H$2&amp;H$1&amp;"C"&amp;$A39)-100*RTD("tos.rtd",,"OPEN_INT","."&amp;H$2&amp;H$1&amp;"P"&amp;$A39)*RTD("tos.rtd",,"LAST","."&amp;H$2&amp;H$1&amp;"P"&amp;$A39))/1000000),0),IF($A$2="PREMIUM",IFERROR(IF($X$1="ABS",(100*RTD("tos.rtd",,"VOLUME","."&amp;H$2&amp;H$1&amp;"C"&amp;$A39)*RTD("tos.rtd",,"LAST","."&amp;H$2&amp;H$1&amp;"C"&amp;$A39)+100*RTD("tos.rtd",,"VOLUME","."&amp;H$2&amp;H$1&amp;"P"&amp;$A39)*RTD("tos.rtd",,"LAST","."&amp;H$2&amp;H$1&amp;"P"&amp;$A39))/1000000,(100*RTD("tos.rtd",,"VOLUME","."&amp;H$2&amp;H$1&amp;"C"&amp;$A39)*RTD("tos.rtd",,"LAST","."&amp;H$2&amp;H$1&amp;"C"&amp;$A39)-100*RTD("tos.rtd",,"VOLUME","."&amp;H$2&amp;H$1&amp;"P"&amp;$A39)*RTD("tos.rtd",,"LAST","."&amp;H$2&amp;H$1&amp;"P"&amp;$A39))/1000000),0),IF($A$2="DEX",IFERROR(IF($X$1="ABS",(100*RTD("tos.rtd",,"OPEN_INT","."&amp;H$2&amp;H$1&amp;"C"&amp;$A39)*RTD("tos.rtd",,"DELTA","."&amp;H$2&amp;H$1&amp;"C"&amp;$A39)+100*RTD("tos.rtd",,"OPEN_INT","."&amp;H$2&amp;H$1&amp;"P"&amp;$A39)*RTD("tos.rtd",,"DELTA","."&amp;H$2&amp;H$1&amp;"P"&amp;$A39))/1000,(100*RTD("tos.rtd",,"OPEN_INT","."&amp;H$2&amp;H$1&amp;"C"&amp;$A39)*RTD("tos.rtd",,"DELTA","."&amp;H$2&amp;H$1&amp;"C"&amp;$A39)-100*RTD("tos.rtd",,"OPEN_INT","."&amp;H$2&amp;H$1&amp;"P"&amp;$A39)*RTD("tos.rtd",,"DELTA","."&amp;H$2&amp;H$1&amp;"P"&amp;$A39))/1000),0),IF($A$2="VEX",IFERROR(IF($X$1="ABS",($A$4*$A$4*RTD("tos.rtd",,"VOLUME","."&amp;H$2&amp;H$1&amp;"C"&amp;$A39)*RTD("tos.rtd",,"GAMMA","."&amp;H$2&amp;H$1&amp;"C"&amp;$A39)+$A$4*$A$4*RTD("tos.rtd",,"VOLUME","."&amp;H$2&amp;H$1&amp;"P"&amp;$A39)*RTD("tos.rtd",,"GAMMA","."&amp;H$2&amp;H$1&amp;"P"&amp;$A39))/1000000,($A$4*$A$4*RTD("tos.rtd",,"VOLUME","."&amp;H$2&amp;H$1&amp;"C"&amp;$A39)*RTD("tos.rtd",,"GAMMA","."&amp;H$2&amp;H$1&amp;"C"&amp;$A39)-$A$4*$A$4*RTD("tos.rtd",,"VOLUME","."&amp;H$2&amp;H$1&amp;"P"&amp;$A39)*RTD("tos.rtd",,"GAMMA","."&amp;H$2&amp;H$1&amp;"P"&amp;$A39))/1000000),0),IF($A$2="GEX",IFERROR(IF($X$1="ABS",($A$4*$A$4*RTD("tos.rtd",,"OPEN_INT","."&amp;H$2&amp;H$1&amp;"C"&amp;$A39)*RTD("tos.rtd",,"GAMMA","."&amp;H$2&amp;H$1&amp;"C"&amp;$A39)+$A$4*$A$4*RTD("tos.rtd",,"OPEN_INT","."&amp;H$2&amp;H$1&amp;"P"&amp;$A39)*RTD("tos.rtd",,"GAMMA","."&amp;H$2&amp;H$1&amp;"P"&amp;$A39))/1000000,($A$4*$A$4*RTD("tos.rtd",,"OPEN_INT","."&amp;H$2&amp;H$1&amp;"C"&amp;$A39)*RTD("tos.rtd",,"GAMMA","."&amp;H$2&amp;H$1&amp;"C"&amp;$A39)-$A$4*$A$4*RTD("tos.rtd",,"OPEN_INT","."&amp;H$2&amp;H$1&amp;"P"&amp;$A39)*RTD("tos.rtd",,"GAMMA","."&amp;H$2&amp;H$1&amp;"P"&amp;$A39))/1000000),0),IF($A$2="SKEW",IFERROR(VALUE(IF(RTD("tos.rtd",,"IMPL_VOL","."&amp;H$2&amp;H$1&amp;"P"&amp;$A39)="N/A",0,RTD("tos.rtd",,"IMPL_VOL","."&amp;H$2&amp;H$1&amp;"P"&amp;$A39))),0)-IFERROR(VALUE(IF(RTD("tos.rtd",,"IMPL_VOL","."&amp;H$2&amp;H$1&amp;"C"&amp;$A39)="N/A",0,RTD("tos.rtd",,"IMPL_VOL","."&amp;H$2&amp;H$1&amp;"C"&amp;$A39))),0),IF($A$2="MAXPAIN",IF($A$4&gt;$A39,($A$4-$A39)*IF(RTD("tos.rtd",,"OPEN_INT","."&amp;H$2&amp;H$1&amp;"C"&amp;$A39)="N/A",0,RTD("tos.rtd",,"OPEN_INT","."&amp;H$2&amp;H$1&amp;"C"&amp;$A39)),0)+IF($A$4&lt;$A39,($A$5-$A$4)*IF(RTD("tos.rtd",,"OPEN_INT","."&amp;H$2&amp;H$1&amp;"P"&amp;$A39)="N/A",0,RTD("tos.rtd",,"OPEN_INT","."&amp;H$2&amp;H$1&amp;"P"&amp;$A39)),0),IF($X$1="ABS",IF(RTD("tos.rtd",,$A$2,"."&amp;H$2&amp;H$1&amp;"C"&amp;$A39)="N/A",0,RTD("tos.rtd",,$A$2,"."&amp;H$2&amp;H$1&amp;"C"&amp;$A39))+IF(RTD("tos.rtd",,$A$2,"."&amp;H$2&amp;H$1&amp;"P"&amp;$A39)="N/A",0,RTD("tos.rtd",,$A$2,"."&amp;H$2&amp;H$1&amp;"P"&amp;$A39)),IF(RTD("tos.rtd",,$A$2,"."&amp;H$2&amp;H$1&amp;"C"&amp;$A39)="N/A",0,RTD("tos.rtd",,$A$2,"."&amp;H$2&amp;H$1&amp;"C"&amp;$A39))-IF(RTD("tos.rtd",,$A$2,"."&amp;H$2&amp;H$1&amp;"P"&amp;$A39)="N/A",0,RTD("tos.rtd",,$A$2,"."&amp;H$2&amp;H$1&amp;"P"&amp;$A39))))))))))</f>
        <v>0</v>
      </c>
      <c r="I39" s="12">
        <f ca="1">IF($A$2="PREMIUM_OI",IFERROR(IF($X$1="ABS",(100*RTD("tos.rtd",,"OPEN_INT","."&amp;I$2&amp;I$1&amp;"C"&amp;$A39)*RTD("tos.rtd",,"LAST","."&amp;I$2&amp;I$1&amp;"C"&amp;$A39)+100*RTD("tos.rtd",,"OPEN_INT","."&amp;I$2&amp;I$1&amp;"P"&amp;$A39)*RTD("tos.rtd",,"LAST","."&amp;I$2&amp;I$1&amp;"P"&amp;$A39))/1000000,(100*RTD("tos.rtd",,"OPEN_INT","."&amp;I$2&amp;I$1&amp;"C"&amp;$A39)*RTD("tos.rtd",,"LAST","."&amp;I$2&amp;I$1&amp;"C"&amp;$A39)-100*RTD("tos.rtd",,"OPEN_INT","."&amp;I$2&amp;I$1&amp;"P"&amp;$A39)*RTD("tos.rtd",,"LAST","."&amp;I$2&amp;I$1&amp;"P"&amp;$A39))/1000000),0),IF($A$2="PREMIUM",IFERROR(IF($X$1="ABS",(100*RTD("tos.rtd",,"VOLUME","."&amp;I$2&amp;I$1&amp;"C"&amp;$A39)*RTD("tos.rtd",,"LAST","."&amp;I$2&amp;I$1&amp;"C"&amp;$A39)+100*RTD("tos.rtd",,"VOLUME","."&amp;I$2&amp;I$1&amp;"P"&amp;$A39)*RTD("tos.rtd",,"LAST","."&amp;I$2&amp;I$1&amp;"P"&amp;$A39))/1000000,(100*RTD("tos.rtd",,"VOLUME","."&amp;I$2&amp;I$1&amp;"C"&amp;$A39)*RTD("tos.rtd",,"LAST","."&amp;I$2&amp;I$1&amp;"C"&amp;$A39)-100*RTD("tos.rtd",,"VOLUME","."&amp;I$2&amp;I$1&amp;"P"&amp;$A39)*RTD("tos.rtd",,"LAST","."&amp;I$2&amp;I$1&amp;"P"&amp;$A39))/1000000),0),IF($A$2="DEX",IFERROR(IF($X$1="ABS",(100*RTD("tos.rtd",,"OPEN_INT","."&amp;I$2&amp;I$1&amp;"C"&amp;$A39)*RTD("tos.rtd",,"DELTA","."&amp;I$2&amp;I$1&amp;"C"&amp;$A39)+100*RTD("tos.rtd",,"OPEN_INT","."&amp;I$2&amp;I$1&amp;"P"&amp;$A39)*RTD("tos.rtd",,"DELTA","."&amp;I$2&amp;I$1&amp;"P"&amp;$A39))/1000,(100*RTD("tos.rtd",,"OPEN_INT","."&amp;I$2&amp;I$1&amp;"C"&amp;$A39)*RTD("tos.rtd",,"DELTA","."&amp;I$2&amp;I$1&amp;"C"&amp;$A39)-100*RTD("tos.rtd",,"OPEN_INT","."&amp;I$2&amp;I$1&amp;"P"&amp;$A39)*RTD("tos.rtd",,"DELTA","."&amp;I$2&amp;I$1&amp;"P"&amp;$A39))/1000),0),IF($A$2="VEX",IFERROR(IF($X$1="ABS",($A$4*$A$4*RTD("tos.rtd",,"VOLUME","."&amp;I$2&amp;I$1&amp;"C"&amp;$A39)*RTD("tos.rtd",,"GAMMA","."&amp;I$2&amp;I$1&amp;"C"&amp;$A39)+$A$4*$A$4*RTD("tos.rtd",,"VOLUME","."&amp;I$2&amp;I$1&amp;"P"&amp;$A39)*RTD("tos.rtd",,"GAMMA","."&amp;I$2&amp;I$1&amp;"P"&amp;$A39))/1000000,($A$4*$A$4*RTD("tos.rtd",,"VOLUME","."&amp;I$2&amp;I$1&amp;"C"&amp;$A39)*RTD("tos.rtd",,"GAMMA","."&amp;I$2&amp;I$1&amp;"C"&amp;$A39)-$A$4*$A$4*RTD("tos.rtd",,"VOLUME","."&amp;I$2&amp;I$1&amp;"P"&amp;$A39)*RTD("tos.rtd",,"GAMMA","."&amp;I$2&amp;I$1&amp;"P"&amp;$A39))/1000000),0),IF($A$2="GEX",IFERROR(IF($X$1="ABS",($A$4*$A$4*RTD("tos.rtd",,"OPEN_INT","."&amp;I$2&amp;I$1&amp;"C"&amp;$A39)*RTD("tos.rtd",,"GAMMA","."&amp;I$2&amp;I$1&amp;"C"&amp;$A39)+$A$4*$A$4*RTD("tos.rtd",,"OPEN_INT","."&amp;I$2&amp;I$1&amp;"P"&amp;$A39)*RTD("tos.rtd",,"GAMMA","."&amp;I$2&amp;I$1&amp;"P"&amp;$A39))/1000000,($A$4*$A$4*RTD("tos.rtd",,"OPEN_INT","."&amp;I$2&amp;I$1&amp;"C"&amp;$A39)*RTD("tos.rtd",,"GAMMA","."&amp;I$2&amp;I$1&amp;"C"&amp;$A39)-$A$4*$A$4*RTD("tos.rtd",,"OPEN_INT","."&amp;I$2&amp;I$1&amp;"P"&amp;$A39)*RTD("tos.rtd",,"GAMMA","."&amp;I$2&amp;I$1&amp;"P"&amp;$A39))/1000000),0),IF($A$2="SKEW",IFERROR(VALUE(IF(RTD("tos.rtd",,"IMPL_VOL","."&amp;I$2&amp;I$1&amp;"P"&amp;$A39)="N/A",0,RTD("tos.rtd",,"IMPL_VOL","."&amp;I$2&amp;I$1&amp;"P"&amp;$A39))),0)-IFERROR(VALUE(IF(RTD("tos.rtd",,"IMPL_VOL","."&amp;I$2&amp;I$1&amp;"C"&amp;$A39)="N/A",0,RTD("tos.rtd",,"IMPL_VOL","."&amp;I$2&amp;I$1&amp;"C"&amp;$A39))),0),IF($A$2="MAXPAIN",IF($A$4&gt;$A39,($A$4-$A39)*IF(RTD("tos.rtd",,"OPEN_INT","."&amp;I$2&amp;I$1&amp;"C"&amp;$A39)="N/A",0,RTD("tos.rtd",,"OPEN_INT","."&amp;I$2&amp;I$1&amp;"C"&amp;$A39)),0)+IF($A$4&lt;$A39,($A$5-$A$4)*IF(RTD("tos.rtd",,"OPEN_INT","."&amp;I$2&amp;I$1&amp;"P"&amp;$A39)="N/A",0,RTD("tos.rtd",,"OPEN_INT","."&amp;I$2&amp;I$1&amp;"P"&amp;$A39)),0),IF($X$1="ABS",IF(RTD("tos.rtd",,$A$2,"."&amp;I$2&amp;I$1&amp;"C"&amp;$A39)="N/A",0,RTD("tos.rtd",,$A$2,"."&amp;I$2&amp;I$1&amp;"C"&amp;$A39))+IF(RTD("tos.rtd",,$A$2,"."&amp;I$2&amp;I$1&amp;"P"&amp;$A39)="N/A",0,RTD("tos.rtd",,$A$2,"."&amp;I$2&amp;I$1&amp;"P"&amp;$A39)),IF(RTD("tos.rtd",,$A$2,"."&amp;I$2&amp;I$1&amp;"C"&amp;$A39)="N/A",0,RTD("tos.rtd",,$A$2,"."&amp;I$2&amp;I$1&amp;"C"&amp;$A39))-IF(RTD("tos.rtd",,$A$2,"."&amp;I$2&amp;I$1&amp;"P"&amp;$A39)="N/A",0,RTD("tos.rtd",,$A$2,"."&amp;I$2&amp;I$1&amp;"P"&amp;$A39))))))))))</f>
        <v>-558</v>
      </c>
      <c r="J39" s="12">
        <f ca="1">IF($A$2="PREMIUM_OI",IFERROR(IF($X$1="ABS",(100*RTD("tos.rtd",,"OPEN_INT","."&amp;J$2&amp;J$1&amp;"C"&amp;$A39)*RTD("tos.rtd",,"LAST","."&amp;J$2&amp;J$1&amp;"C"&amp;$A39)+100*RTD("tos.rtd",,"OPEN_INT","."&amp;J$2&amp;J$1&amp;"P"&amp;$A39)*RTD("tos.rtd",,"LAST","."&amp;J$2&amp;J$1&amp;"P"&amp;$A39))/1000000,(100*RTD("tos.rtd",,"OPEN_INT","."&amp;J$2&amp;J$1&amp;"C"&amp;$A39)*RTD("tos.rtd",,"LAST","."&amp;J$2&amp;J$1&amp;"C"&amp;$A39)-100*RTD("tos.rtd",,"OPEN_INT","."&amp;J$2&amp;J$1&amp;"P"&amp;$A39)*RTD("tos.rtd",,"LAST","."&amp;J$2&amp;J$1&amp;"P"&amp;$A39))/1000000),0),IF($A$2="PREMIUM",IFERROR(IF($X$1="ABS",(100*RTD("tos.rtd",,"VOLUME","."&amp;J$2&amp;J$1&amp;"C"&amp;$A39)*RTD("tos.rtd",,"LAST","."&amp;J$2&amp;J$1&amp;"C"&amp;$A39)+100*RTD("tos.rtd",,"VOLUME","."&amp;J$2&amp;J$1&amp;"P"&amp;$A39)*RTD("tos.rtd",,"LAST","."&amp;J$2&amp;J$1&amp;"P"&amp;$A39))/1000000,(100*RTD("tos.rtd",,"VOLUME","."&amp;J$2&amp;J$1&amp;"C"&amp;$A39)*RTD("tos.rtd",,"LAST","."&amp;J$2&amp;J$1&amp;"C"&amp;$A39)-100*RTD("tos.rtd",,"VOLUME","."&amp;J$2&amp;J$1&amp;"P"&amp;$A39)*RTD("tos.rtd",,"LAST","."&amp;J$2&amp;J$1&amp;"P"&amp;$A39))/1000000),0),IF($A$2="DEX",IFERROR(IF($X$1="ABS",(100*RTD("tos.rtd",,"OPEN_INT","."&amp;J$2&amp;J$1&amp;"C"&amp;$A39)*RTD("tos.rtd",,"DELTA","."&amp;J$2&amp;J$1&amp;"C"&amp;$A39)+100*RTD("tos.rtd",,"OPEN_INT","."&amp;J$2&amp;J$1&amp;"P"&amp;$A39)*RTD("tos.rtd",,"DELTA","."&amp;J$2&amp;J$1&amp;"P"&amp;$A39))/1000,(100*RTD("tos.rtd",,"OPEN_INT","."&amp;J$2&amp;J$1&amp;"C"&amp;$A39)*RTD("tos.rtd",,"DELTA","."&amp;J$2&amp;J$1&amp;"C"&amp;$A39)-100*RTD("tos.rtd",,"OPEN_INT","."&amp;J$2&amp;J$1&amp;"P"&amp;$A39)*RTD("tos.rtd",,"DELTA","."&amp;J$2&amp;J$1&amp;"P"&amp;$A39))/1000),0),IF($A$2="VEX",IFERROR(IF($X$1="ABS",($A$4*$A$4*RTD("tos.rtd",,"VOLUME","."&amp;J$2&amp;J$1&amp;"C"&amp;$A39)*RTD("tos.rtd",,"GAMMA","."&amp;J$2&amp;J$1&amp;"C"&amp;$A39)+$A$4*$A$4*RTD("tos.rtd",,"VOLUME","."&amp;J$2&amp;J$1&amp;"P"&amp;$A39)*RTD("tos.rtd",,"GAMMA","."&amp;J$2&amp;J$1&amp;"P"&amp;$A39))/1000000,($A$4*$A$4*RTD("tos.rtd",,"VOLUME","."&amp;J$2&amp;J$1&amp;"C"&amp;$A39)*RTD("tos.rtd",,"GAMMA","."&amp;J$2&amp;J$1&amp;"C"&amp;$A39)-$A$4*$A$4*RTD("tos.rtd",,"VOLUME","."&amp;J$2&amp;J$1&amp;"P"&amp;$A39)*RTD("tos.rtd",,"GAMMA","."&amp;J$2&amp;J$1&amp;"P"&amp;$A39))/1000000),0),IF($A$2="GEX",IFERROR(IF($X$1="ABS",($A$4*$A$4*RTD("tos.rtd",,"OPEN_INT","."&amp;J$2&amp;J$1&amp;"C"&amp;$A39)*RTD("tos.rtd",,"GAMMA","."&amp;J$2&amp;J$1&amp;"C"&amp;$A39)+$A$4*$A$4*RTD("tos.rtd",,"OPEN_INT","."&amp;J$2&amp;J$1&amp;"P"&amp;$A39)*RTD("tos.rtd",,"GAMMA","."&amp;J$2&amp;J$1&amp;"P"&amp;$A39))/1000000,($A$4*$A$4*RTD("tos.rtd",,"OPEN_INT","."&amp;J$2&amp;J$1&amp;"C"&amp;$A39)*RTD("tos.rtd",,"GAMMA","."&amp;J$2&amp;J$1&amp;"C"&amp;$A39)-$A$4*$A$4*RTD("tos.rtd",,"OPEN_INT","."&amp;J$2&amp;J$1&amp;"P"&amp;$A39)*RTD("tos.rtd",,"GAMMA","."&amp;J$2&amp;J$1&amp;"P"&amp;$A39))/1000000),0),IF($A$2="SKEW",IFERROR(VALUE(IF(RTD("tos.rtd",,"IMPL_VOL","."&amp;J$2&amp;J$1&amp;"P"&amp;$A39)="N/A",0,RTD("tos.rtd",,"IMPL_VOL","."&amp;J$2&amp;J$1&amp;"P"&amp;$A39))),0)-IFERROR(VALUE(IF(RTD("tos.rtd",,"IMPL_VOL","."&amp;J$2&amp;J$1&amp;"C"&amp;$A39)="N/A",0,RTD("tos.rtd",,"IMPL_VOL","."&amp;J$2&amp;J$1&amp;"C"&amp;$A39))),0),IF($A$2="MAXPAIN",IF($A$4&gt;$A39,($A$4-$A39)*IF(RTD("tos.rtd",,"OPEN_INT","."&amp;J$2&amp;J$1&amp;"C"&amp;$A39)="N/A",0,RTD("tos.rtd",,"OPEN_INT","."&amp;J$2&amp;J$1&amp;"C"&amp;$A39)),0)+IF($A$4&lt;$A39,($A$5-$A$4)*IF(RTD("tos.rtd",,"OPEN_INT","."&amp;J$2&amp;J$1&amp;"P"&amp;$A39)="N/A",0,RTD("tos.rtd",,"OPEN_INT","."&amp;J$2&amp;J$1&amp;"P"&amp;$A39)),0),IF($X$1="ABS",IF(RTD("tos.rtd",,$A$2,"."&amp;J$2&amp;J$1&amp;"C"&amp;$A39)="N/A",0,RTD("tos.rtd",,$A$2,"."&amp;J$2&amp;J$1&amp;"C"&amp;$A39))+IF(RTD("tos.rtd",,$A$2,"."&amp;J$2&amp;J$1&amp;"P"&amp;$A39)="N/A",0,RTD("tos.rtd",,$A$2,"."&amp;J$2&amp;J$1&amp;"P"&amp;$A39)),IF(RTD("tos.rtd",,$A$2,"."&amp;J$2&amp;J$1&amp;"C"&amp;$A39)="N/A",0,RTD("tos.rtd",,$A$2,"."&amp;J$2&amp;J$1&amp;"C"&amp;$A39))-IF(RTD("tos.rtd",,$A$2,"."&amp;J$2&amp;J$1&amp;"P"&amp;$A39)="N/A",0,RTD("tos.rtd",,$A$2,"."&amp;J$2&amp;J$1&amp;"P"&amp;$A39))))))))))</f>
        <v>0</v>
      </c>
      <c r="K39" s="12">
        <f ca="1">IF($A$2="PREMIUM_OI",IFERROR(IF($X$1="ABS",(100*RTD("tos.rtd",,"OPEN_INT","."&amp;K$2&amp;K$1&amp;"C"&amp;$A39)*RTD("tos.rtd",,"LAST","."&amp;K$2&amp;K$1&amp;"C"&amp;$A39)+100*RTD("tos.rtd",,"OPEN_INT","."&amp;K$2&amp;K$1&amp;"P"&amp;$A39)*RTD("tos.rtd",,"LAST","."&amp;K$2&amp;K$1&amp;"P"&amp;$A39))/1000000,(100*RTD("tos.rtd",,"OPEN_INT","."&amp;K$2&amp;K$1&amp;"C"&amp;$A39)*RTD("tos.rtd",,"LAST","."&amp;K$2&amp;K$1&amp;"C"&amp;$A39)-100*RTD("tos.rtd",,"OPEN_INT","."&amp;K$2&amp;K$1&amp;"P"&amp;$A39)*RTD("tos.rtd",,"LAST","."&amp;K$2&amp;K$1&amp;"P"&amp;$A39))/1000000),0),IF($A$2="PREMIUM",IFERROR(IF($X$1="ABS",(100*RTD("tos.rtd",,"VOLUME","."&amp;K$2&amp;K$1&amp;"C"&amp;$A39)*RTD("tos.rtd",,"LAST","."&amp;K$2&amp;K$1&amp;"C"&amp;$A39)+100*RTD("tos.rtd",,"VOLUME","."&amp;K$2&amp;K$1&amp;"P"&amp;$A39)*RTD("tos.rtd",,"LAST","."&amp;K$2&amp;K$1&amp;"P"&amp;$A39))/1000000,(100*RTD("tos.rtd",,"VOLUME","."&amp;K$2&amp;K$1&amp;"C"&amp;$A39)*RTD("tos.rtd",,"LAST","."&amp;K$2&amp;K$1&amp;"C"&amp;$A39)-100*RTD("tos.rtd",,"VOLUME","."&amp;K$2&amp;K$1&amp;"P"&amp;$A39)*RTD("tos.rtd",,"LAST","."&amp;K$2&amp;K$1&amp;"P"&amp;$A39))/1000000),0),IF($A$2="DEX",IFERROR(IF($X$1="ABS",(100*RTD("tos.rtd",,"OPEN_INT","."&amp;K$2&amp;K$1&amp;"C"&amp;$A39)*RTD("tos.rtd",,"DELTA","."&amp;K$2&amp;K$1&amp;"C"&amp;$A39)+100*RTD("tos.rtd",,"OPEN_INT","."&amp;K$2&amp;K$1&amp;"P"&amp;$A39)*RTD("tos.rtd",,"DELTA","."&amp;K$2&amp;K$1&amp;"P"&amp;$A39))/1000,(100*RTD("tos.rtd",,"OPEN_INT","."&amp;K$2&amp;K$1&amp;"C"&amp;$A39)*RTD("tos.rtd",,"DELTA","."&amp;K$2&amp;K$1&amp;"C"&amp;$A39)-100*RTD("tos.rtd",,"OPEN_INT","."&amp;K$2&amp;K$1&amp;"P"&amp;$A39)*RTD("tos.rtd",,"DELTA","."&amp;K$2&amp;K$1&amp;"P"&amp;$A39))/1000),0),IF($A$2="VEX",IFERROR(IF($X$1="ABS",($A$4*$A$4*RTD("tos.rtd",,"VOLUME","."&amp;K$2&amp;K$1&amp;"C"&amp;$A39)*RTD("tos.rtd",,"GAMMA","."&amp;K$2&amp;K$1&amp;"C"&amp;$A39)+$A$4*$A$4*RTD("tos.rtd",,"VOLUME","."&amp;K$2&amp;K$1&amp;"P"&amp;$A39)*RTD("tos.rtd",,"GAMMA","."&amp;K$2&amp;K$1&amp;"P"&amp;$A39))/1000000,($A$4*$A$4*RTD("tos.rtd",,"VOLUME","."&amp;K$2&amp;K$1&amp;"C"&amp;$A39)*RTD("tos.rtd",,"GAMMA","."&amp;K$2&amp;K$1&amp;"C"&amp;$A39)-$A$4*$A$4*RTD("tos.rtd",,"VOLUME","."&amp;K$2&amp;K$1&amp;"P"&amp;$A39)*RTD("tos.rtd",,"GAMMA","."&amp;K$2&amp;K$1&amp;"P"&amp;$A39))/1000000),0),IF($A$2="GEX",IFERROR(IF($X$1="ABS",($A$4*$A$4*RTD("tos.rtd",,"OPEN_INT","."&amp;K$2&amp;K$1&amp;"C"&amp;$A39)*RTD("tos.rtd",,"GAMMA","."&amp;K$2&amp;K$1&amp;"C"&amp;$A39)+$A$4*$A$4*RTD("tos.rtd",,"OPEN_INT","."&amp;K$2&amp;K$1&amp;"P"&amp;$A39)*RTD("tos.rtd",,"GAMMA","."&amp;K$2&amp;K$1&amp;"P"&amp;$A39))/1000000,($A$4*$A$4*RTD("tos.rtd",,"OPEN_INT","."&amp;K$2&amp;K$1&amp;"C"&amp;$A39)*RTD("tos.rtd",,"GAMMA","."&amp;K$2&amp;K$1&amp;"C"&amp;$A39)-$A$4*$A$4*RTD("tos.rtd",,"OPEN_INT","."&amp;K$2&amp;K$1&amp;"P"&amp;$A39)*RTD("tos.rtd",,"GAMMA","."&amp;K$2&amp;K$1&amp;"P"&amp;$A39))/1000000),0),IF($A$2="SKEW",IFERROR(VALUE(IF(RTD("tos.rtd",,"IMPL_VOL","."&amp;K$2&amp;K$1&amp;"P"&amp;$A39)="N/A",0,RTD("tos.rtd",,"IMPL_VOL","."&amp;K$2&amp;K$1&amp;"P"&amp;$A39))),0)-IFERROR(VALUE(IF(RTD("tos.rtd",,"IMPL_VOL","."&amp;K$2&amp;K$1&amp;"C"&amp;$A39)="N/A",0,RTD("tos.rtd",,"IMPL_VOL","."&amp;K$2&amp;K$1&amp;"C"&amp;$A39))),0),IF($A$2="MAXPAIN",IF($A$4&gt;$A39,($A$4-$A39)*IF(RTD("tos.rtd",,"OPEN_INT","."&amp;K$2&amp;K$1&amp;"C"&amp;$A39)="N/A",0,RTD("tos.rtd",,"OPEN_INT","."&amp;K$2&amp;K$1&amp;"C"&amp;$A39)),0)+IF($A$4&lt;$A39,($A$5-$A$4)*IF(RTD("tos.rtd",,"OPEN_INT","."&amp;K$2&amp;K$1&amp;"P"&amp;$A39)="N/A",0,RTD("tos.rtd",,"OPEN_INT","."&amp;K$2&amp;K$1&amp;"P"&amp;$A39)),0),IF($X$1="ABS",IF(RTD("tos.rtd",,$A$2,"."&amp;K$2&amp;K$1&amp;"C"&amp;$A39)="N/A",0,RTD("tos.rtd",,$A$2,"."&amp;K$2&amp;K$1&amp;"C"&amp;$A39))+IF(RTD("tos.rtd",,$A$2,"."&amp;K$2&amp;K$1&amp;"P"&amp;$A39)="N/A",0,RTD("tos.rtd",,$A$2,"."&amp;K$2&amp;K$1&amp;"P"&amp;$A39)),IF(RTD("tos.rtd",,$A$2,"."&amp;K$2&amp;K$1&amp;"C"&amp;$A39)="N/A",0,RTD("tos.rtd",,$A$2,"."&amp;K$2&amp;K$1&amp;"C"&amp;$A39))-IF(RTD("tos.rtd",,$A$2,"."&amp;K$2&amp;K$1&amp;"P"&amp;$A39)="N/A",0,RTD("tos.rtd",,$A$2,"."&amp;K$2&amp;K$1&amp;"P"&amp;$A39))))))))))</f>
        <v>0</v>
      </c>
      <c r="L39" s="54">
        <f ca="1">IF($A$2="PREMIUM_OI",IFERROR(IF($X$1="ABS",(100*RTD("tos.rtd",,"OPEN_INT","."&amp;L$2&amp;L$1&amp;"C"&amp;$A39)*RTD("tos.rtd",,"LAST","."&amp;L$2&amp;L$1&amp;"C"&amp;$A39)+100*RTD("tos.rtd",,"OPEN_INT","."&amp;L$2&amp;L$1&amp;"P"&amp;$A39)*RTD("tos.rtd",,"LAST","."&amp;L$2&amp;L$1&amp;"P"&amp;$A39))/1000000,(100*RTD("tos.rtd",,"OPEN_INT","."&amp;L$2&amp;L$1&amp;"C"&amp;$A39)*RTD("tos.rtd",,"LAST","."&amp;L$2&amp;L$1&amp;"C"&amp;$A39)-100*RTD("tos.rtd",,"OPEN_INT","."&amp;L$2&amp;L$1&amp;"P"&amp;$A39)*RTD("tos.rtd",,"LAST","."&amp;L$2&amp;L$1&amp;"P"&amp;$A39))/1000000),0),IF($A$2="PREMIUM",IFERROR(IF($X$1="ABS",(100*RTD("tos.rtd",,"VOLUME","."&amp;L$2&amp;L$1&amp;"C"&amp;$A39)*RTD("tos.rtd",,"LAST","."&amp;L$2&amp;L$1&amp;"C"&amp;$A39)+100*RTD("tos.rtd",,"VOLUME","."&amp;L$2&amp;L$1&amp;"P"&amp;$A39)*RTD("tos.rtd",,"LAST","."&amp;L$2&amp;L$1&amp;"P"&amp;$A39))/1000000,(100*RTD("tos.rtd",,"VOLUME","."&amp;L$2&amp;L$1&amp;"C"&amp;$A39)*RTD("tos.rtd",,"LAST","."&amp;L$2&amp;L$1&amp;"C"&amp;$A39)-100*RTD("tos.rtd",,"VOLUME","."&amp;L$2&amp;L$1&amp;"P"&amp;$A39)*RTD("tos.rtd",,"LAST","."&amp;L$2&amp;L$1&amp;"P"&amp;$A39))/1000000),0),IF($A$2="DEX",IFERROR(IF($X$1="ABS",(100*RTD("tos.rtd",,"OPEN_INT","."&amp;L$2&amp;L$1&amp;"C"&amp;$A39)*RTD("tos.rtd",,"DELTA","."&amp;L$2&amp;L$1&amp;"C"&amp;$A39)+100*RTD("tos.rtd",,"OPEN_INT","."&amp;L$2&amp;L$1&amp;"P"&amp;$A39)*RTD("tos.rtd",,"DELTA","."&amp;L$2&amp;L$1&amp;"P"&amp;$A39))/1000,(100*RTD("tos.rtd",,"OPEN_INT","."&amp;L$2&amp;L$1&amp;"C"&amp;$A39)*RTD("tos.rtd",,"DELTA","."&amp;L$2&amp;L$1&amp;"C"&amp;$A39)-100*RTD("tos.rtd",,"OPEN_INT","."&amp;L$2&amp;L$1&amp;"P"&amp;$A39)*RTD("tos.rtd",,"DELTA","."&amp;L$2&amp;L$1&amp;"P"&amp;$A39))/1000),0),IF($A$2="VEX",IFERROR(IF($X$1="ABS",($A$4*$A$4*RTD("tos.rtd",,"VOLUME","."&amp;L$2&amp;L$1&amp;"C"&amp;$A39)*RTD("tos.rtd",,"GAMMA","."&amp;L$2&amp;L$1&amp;"C"&amp;$A39)+$A$4*$A$4*RTD("tos.rtd",,"VOLUME","."&amp;L$2&amp;L$1&amp;"P"&amp;$A39)*RTD("tos.rtd",,"GAMMA","."&amp;L$2&amp;L$1&amp;"P"&amp;$A39))/1000000,($A$4*$A$4*RTD("tos.rtd",,"VOLUME","."&amp;L$2&amp;L$1&amp;"C"&amp;$A39)*RTD("tos.rtd",,"GAMMA","."&amp;L$2&amp;L$1&amp;"C"&amp;$A39)-$A$4*$A$4*RTD("tos.rtd",,"VOLUME","."&amp;L$2&amp;L$1&amp;"P"&amp;$A39)*RTD("tos.rtd",,"GAMMA","."&amp;L$2&amp;L$1&amp;"P"&amp;$A39))/1000000),0),IF($A$2="GEX",IFERROR(IF($X$1="ABS",($A$4*$A$4*RTD("tos.rtd",,"OPEN_INT","."&amp;L$2&amp;L$1&amp;"C"&amp;$A39)*RTD("tos.rtd",,"GAMMA","."&amp;L$2&amp;L$1&amp;"C"&amp;$A39)+$A$4*$A$4*RTD("tos.rtd",,"OPEN_INT","."&amp;L$2&amp;L$1&amp;"P"&amp;$A39)*RTD("tos.rtd",,"GAMMA","."&amp;L$2&amp;L$1&amp;"P"&amp;$A39))/1000000,($A$4*$A$4*RTD("tos.rtd",,"OPEN_INT","."&amp;L$2&amp;L$1&amp;"C"&amp;$A39)*RTD("tos.rtd",,"GAMMA","."&amp;L$2&amp;L$1&amp;"C"&amp;$A39)-$A$4*$A$4*RTD("tos.rtd",,"OPEN_INT","."&amp;L$2&amp;L$1&amp;"P"&amp;$A39)*RTD("tos.rtd",,"GAMMA","."&amp;L$2&amp;L$1&amp;"P"&amp;$A39))/1000000),0),IF($A$2="SKEW",IFERROR(VALUE(IF(RTD("tos.rtd",,"IMPL_VOL","."&amp;L$2&amp;L$1&amp;"P"&amp;$A39)="N/A",0,RTD("tos.rtd",,"IMPL_VOL","."&amp;L$2&amp;L$1&amp;"P"&amp;$A39))),0)-IFERROR(VALUE(IF(RTD("tos.rtd",,"IMPL_VOL","."&amp;L$2&amp;L$1&amp;"C"&amp;$A39)="N/A",0,RTD("tos.rtd",,"IMPL_VOL","."&amp;L$2&amp;L$1&amp;"C"&amp;$A39))),0),IF($A$2="MAXPAIN",IF($A$4&gt;$A39,($A$4-$A39)*IF(RTD("tos.rtd",,"OPEN_INT","."&amp;L$2&amp;L$1&amp;"C"&amp;$A39)="N/A",0,RTD("tos.rtd",,"OPEN_INT","."&amp;L$2&amp;L$1&amp;"C"&amp;$A39)),0)+IF($A$4&lt;$A39,($A$5-$A$4)*IF(RTD("tos.rtd",,"OPEN_INT","."&amp;L$2&amp;L$1&amp;"P"&amp;$A39)="N/A",0,RTD("tos.rtd",,"OPEN_INT","."&amp;L$2&amp;L$1&amp;"P"&amp;$A39)),0),IF($X$1="ABS",IF(RTD("tos.rtd",,$A$2,"."&amp;L$2&amp;L$1&amp;"C"&amp;$A39)="N/A",0,RTD("tos.rtd",,$A$2,"."&amp;L$2&amp;L$1&amp;"C"&amp;$A39))+IF(RTD("tos.rtd",,$A$2,"."&amp;L$2&amp;L$1&amp;"P"&amp;$A39)="N/A",0,RTD("tos.rtd",,$A$2,"."&amp;L$2&amp;L$1&amp;"P"&amp;$A39)),IF(RTD("tos.rtd",,$A$2,"."&amp;L$2&amp;L$1&amp;"C"&amp;$A39)="N/A",0,RTD("tos.rtd",,$A$2,"."&amp;L$2&amp;L$1&amp;"C"&amp;$A39))-IF(RTD("tos.rtd",,$A$2,"."&amp;L$2&amp;L$1&amp;"P"&amp;$A39)="N/A",0,RTD("tos.rtd",,$A$2,"."&amp;L$2&amp;L$1&amp;"P"&amp;$A39))))))))))</f>
        <v>-5512</v>
      </c>
      <c r="M39" s="12">
        <f ca="1">IF($A$2="PREMIUM_OI",IFERROR(IF($X$1="ABS",(100*RTD("tos.rtd",,"OPEN_INT","."&amp;M$2&amp;M$1&amp;"C"&amp;$A39)*RTD("tos.rtd",,"LAST","."&amp;M$2&amp;M$1&amp;"C"&amp;$A39)+100*RTD("tos.rtd",,"OPEN_INT","."&amp;M$2&amp;M$1&amp;"P"&amp;$A39)*RTD("tos.rtd",,"LAST","."&amp;M$2&amp;M$1&amp;"P"&amp;$A39))/1000000,(100*RTD("tos.rtd",,"OPEN_INT","."&amp;M$2&amp;M$1&amp;"C"&amp;$A39)*RTD("tos.rtd",,"LAST","."&amp;M$2&amp;M$1&amp;"C"&amp;$A39)-100*RTD("tos.rtd",,"OPEN_INT","."&amp;M$2&amp;M$1&amp;"P"&amp;$A39)*RTD("tos.rtd",,"LAST","."&amp;M$2&amp;M$1&amp;"P"&amp;$A39))/1000000),0),IF($A$2="PREMIUM",IFERROR(IF($X$1="ABS",(100*RTD("tos.rtd",,"VOLUME","."&amp;M$2&amp;M$1&amp;"C"&amp;$A39)*RTD("tos.rtd",,"LAST","."&amp;M$2&amp;M$1&amp;"C"&amp;$A39)+100*RTD("tos.rtd",,"VOLUME","."&amp;M$2&amp;M$1&amp;"P"&amp;$A39)*RTD("tos.rtd",,"LAST","."&amp;M$2&amp;M$1&amp;"P"&amp;$A39))/1000000,(100*RTD("tos.rtd",,"VOLUME","."&amp;M$2&amp;M$1&amp;"C"&amp;$A39)*RTD("tos.rtd",,"LAST","."&amp;M$2&amp;M$1&amp;"C"&amp;$A39)-100*RTD("tos.rtd",,"VOLUME","."&amp;M$2&amp;M$1&amp;"P"&amp;$A39)*RTD("tos.rtd",,"LAST","."&amp;M$2&amp;M$1&amp;"P"&amp;$A39))/1000000),0),IF($A$2="DEX",IFERROR(IF($X$1="ABS",(100*RTD("tos.rtd",,"OPEN_INT","."&amp;M$2&amp;M$1&amp;"C"&amp;$A39)*RTD("tos.rtd",,"DELTA","."&amp;M$2&amp;M$1&amp;"C"&amp;$A39)+100*RTD("tos.rtd",,"OPEN_INT","."&amp;M$2&amp;M$1&amp;"P"&amp;$A39)*RTD("tos.rtd",,"DELTA","."&amp;M$2&amp;M$1&amp;"P"&amp;$A39))/1000,(100*RTD("tos.rtd",,"OPEN_INT","."&amp;M$2&amp;M$1&amp;"C"&amp;$A39)*RTD("tos.rtd",,"DELTA","."&amp;M$2&amp;M$1&amp;"C"&amp;$A39)-100*RTD("tos.rtd",,"OPEN_INT","."&amp;M$2&amp;M$1&amp;"P"&amp;$A39)*RTD("tos.rtd",,"DELTA","."&amp;M$2&amp;M$1&amp;"P"&amp;$A39))/1000),0),IF($A$2="VEX",IFERROR(IF($X$1="ABS",($A$4*$A$4*RTD("tos.rtd",,"VOLUME","."&amp;M$2&amp;M$1&amp;"C"&amp;$A39)*RTD("tos.rtd",,"GAMMA","."&amp;M$2&amp;M$1&amp;"C"&amp;$A39)+$A$4*$A$4*RTD("tos.rtd",,"VOLUME","."&amp;M$2&amp;M$1&amp;"P"&amp;$A39)*RTD("tos.rtd",,"GAMMA","."&amp;M$2&amp;M$1&amp;"P"&amp;$A39))/1000000,($A$4*$A$4*RTD("tos.rtd",,"VOLUME","."&amp;M$2&amp;M$1&amp;"C"&amp;$A39)*RTD("tos.rtd",,"GAMMA","."&amp;M$2&amp;M$1&amp;"C"&amp;$A39)-$A$4*$A$4*RTD("tos.rtd",,"VOLUME","."&amp;M$2&amp;M$1&amp;"P"&amp;$A39)*RTD("tos.rtd",,"GAMMA","."&amp;M$2&amp;M$1&amp;"P"&amp;$A39))/1000000),0),IF($A$2="GEX",IFERROR(IF($X$1="ABS",($A$4*$A$4*RTD("tos.rtd",,"OPEN_INT","."&amp;M$2&amp;M$1&amp;"C"&amp;$A39)*RTD("tos.rtd",,"GAMMA","."&amp;M$2&amp;M$1&amp;"C"&amp;$A39)+$A$4*$A$4*RTD("tos.rtd",,"OPEN_INT","."&amp;M$2&amp;M$1&amp;"P"&amp;$A39)*RTD("tos.rtd",,"GAMMA","."&amp;M$2&amp;M$1&amp;"P"&amp;$A39))/1000000,($A$4*$A$4*RTD("tos.rtd",,"OPEN_INT","."&amp;M$2&amp;M$1&amp;"C"&amp;$A39)*RTD("tos.rtd",,"GAMMA","."&amp;M$2&amp;M$1&amp;"C"&amp;$A39)-$A$4*$A$4*RTD("tos.rtd",,"OPEN_INT","."&amp;M$2&amp;M$1&amp;"P"&amp;$A39)*RTD("tos.rtd",,"GAMMA","."&amp;M$2&amp;M$1&amp;"P"&amp;$A39))/1000000),0),IF($A$2="SKEW",IFERROR(VALUE(IF(RTD("tos.rtd",,"IMPL_VOL","."&amp;M$2&amp;M$1&amp;"P"&amp;$A39)="N/A",0,RTD("tos.rtd",,"IMPL_VOL","."&amp;M$2&amp;M$1&amp;"P"&amp;$A39))),0)-IFERROR(VALUE(IF(RTD("tos.rtd",,"IMPL_VOL","."&amp;M$2&amp;M$1&amp;"C"&amp;$A39)="N/A",0,RTD("tos.rtd",,"IMPL_VOL","."&amp;M$2&amp;M$1&amp;"C"&amp;$A39))),0),IF($A$2="MAXPAIN",IF($A$4&gt;$A39,($A$4-$A39)*IF(RTD("tos.rtd",,"OPEN_INT","."&amp;M$2&amp;M$1&amp;"C"&amp;$A39)="N/A",0,RTD("tos.rtd",,"OPEN_INT","."&amp;M$2&amp;M$1&amp;"C"&amp;$A39)),0)+IF($A$4&lt;$A39,($A$5-$A$4)*IF(RTD("tos.rtd",,"OPEN_INT","."&amp;M$2&amp;M$1&amp;"P"&amp;$A39)="N/A",0,RTD("tos.rtd",,"OPEN_INT","."&amp;M$2&amp;M$1&amp;"P"&amp;$A39)),0),IF($X$1="ABS",IF(RTD("tos.rtd",,$A$2,"."&amp;M$2&amp;M$1&amp;"C"&amp;$A39)="N/A",0,RTD("tos.rtd",,$A$2,"."&amp;M$2&amp;M$1&amp;"C"&amp;$A39))+IF(RTD("tos.rtd",,$A$2,"."&amp;M$2&amp;M$1&amp;"P"&amp;$A39)="N/A",0,RTD("tos.rtd",,$A$2,"."&amp;M$2&amp;M$1&amp;"P"&amp;$A39)),IF(RTD("tos.rtd",,$A$2,"."&amp;M$2&amp;M$1&amp;"C"&amp;$A39)="N/A",0,RTD("tos.rtd",,$A$2,"."&amp;M$2&amp;M$1&amp;"C"&amp;$A39))-IF(RTD("tos.rtd",,$A$2,"."&amp;M$2&amp;M$1&amp;"P"&amp;$A39)="N/A",0,RTD("tos.rtd",,$A$2,"."&amp;M$2&amp;M$1&amp;"P"&amp;$A39))))))))))</f>
        <v>180</v>
      </c>
      <c r="N39" s="12">
        <f ca="1">IF($A$2="PREMIUM_OI",IFERROR(IF($X$1="ABS",(100*RTD("tos.rtd",,"OPEN_INT","."&amp;N$2&amp;N$1&amp;"C"&amp;$A39)*RTD("tos.rtd",,"LAST","."&amp;N$2&amp;N$1&amp;"C"&amp;$A39)+100*RTD("tos.rtd",,"OPEN_INT","."&amp;N$2&amp;N$1&amp;"P"&amp;$A39)*RTD("tos.rtd",,"LAST","."&amp;N$2&amp;N$1&amp;"P"&amp;$A39))/1000000,(100*RTD("tos.rtd",,"OPEN_INT","."&amp;N$2&amp;N$1&amp;"C"&amp;$A39)*RTD("tos.rtd",,"LAST","."&amp;N$2&amp;N$1&amp;"C"&amp;$A39)-100*RTD("tos.rtd",,"OPEN_INT","."&amp;N$2&amp;N$1&amp;"P"&amp;$A39)*RTD("tos.rtd",,"LAST","."&amp;N$2&amp;N$1&amp;"P"&amp;$A39))/1000000),0),IF($A$2="PREMIUM",IFERROR(IF($X$1="ABS",(100*RTD("tos.rtd",,"VOLUME","."&amp;N$2&amp;N$1&amp;"C"&amp;$A39)*RTD("tos.rtd",,"LAST","."&amp;N$2&amp;N$1&amp;"C"&amp;$A39)+100*RTD("tos.rtd",,"VOLUME","."&amp;N$2&amp;N$1&amp;"P"&amp;$A39)*RTD("tos.rtd",,"LAST","."&amp;N$2&amp;N$1&amp;"P"&amp;$A39))/1000000,(100*RTD("tos.rtd",,"VOLUME","."&amp;N$2&amp;N$1&amp;"C"&amp;$A39)*RTD("tos.rtd",,"LAST","."&amp;N$2&amp;N$1&amp;"C"&amp;$A39)-100*RTD("tos.rtd",,"VOLUME","."&amp;N$2&amp;N$1&amp;"P"&amp;$A39)*RTD("tos.rtd",,"LAST","."&amp;N$2&amp;N$1&amp;"P"&amp;$A39))/1000000),0),IF($A$2="DEX",IFERROR(IF($X$1="ABS",(100*RTD("tos.rtd",,"OPEN_INT","."&amp;N$2&amp;N$1&amp;"C"&amp;$A39)*RTD("tos.rtd",,"DELTA","."&amp;N$2&amp;N$1&amp;"C"&amp;$A39)+100*RTD("tos.rtd",,"OPEN_INT","."&amp;N$2&amp;N$1&amp;"P"&amp;$A39)*RTD("tos.rtd",,"DELTA","."&amp;N$2&amp;N$1&amp;"P"&amp;$A39))/1000,(100*RTD("tos.rtd",,"OPEN_INT","."&amp;N$2&amp;N$1&amp;"C"&amp;$A39)*RTD("tos.rtd",,"DELTA","."&amp;N$2&amp;N$1&amp;"C"&amp;$A39)-100*RTD("tos.rtd",,"OPEN_INT","."&amp;N$2&amp;N$1&amp;"P"&amp;$A39)*RTD("tos.rtd",,"DELTA","."&amp;N$2&amp;N$1&amp;"P"&amp;$A39))/1000),0),IF($A$2="VEX",IFERROR(IF($X$1="ABS",($A$4*$A$4*RTD("tos.rtd",,"VOLUME","."&amp;N$2&amp;N$1&amp;"C"&amp;$A39)*RTD("tos.rtd",,"GAMMA","."&amp;N$2&amp;N$1&amp;"C"&amp;$A39)+$A$4*$A$4*RTD("tos.rtd",,"VOLUME","."&amp;N$2&amp;N$1&amp;"P"&amp;$A39)*RTD("tos.rtd",,"GAMMA","."&amp;N$2&amp;N$1&amp;"P"&amp;$A39))/1000000,($A$4*$A$4*RTD("tos.rtd",,"VOLUME","."&amp;N$2&amp;N$1&amp;"C"&amp;$A39)*RTD("tos.rtd",,"GAMMA","."&amp;N$2&amp;N$1&amp;"C"&amp;$A39)-$A$4*$A$4*RTD("tos.rtd",,"VOLUME","."&amp;N$2&amp;N$1&amp;"P"&amp;$A39)*RTD("tos.rtd",,"GAMMA","."&amp;N$2&amp;N$1&amp;"P"&amp;$A39))/1000000),0),IF($A$2="GEX",IFERROR(IF($X$1="ABS",($A$4*$A$4*RTD("tos.rtd",,"OPEN_INT","."&amp;N$2&amp;N$1&amp;"C"&amp;$A39)*RTD("tos.rtd",,"GAMMA","."&amp;N$2&amp;N$1&amp;"C"&amp;$A39)+$A$4*$A$4*RTD("tos.rtd",,"OPEN_INT","."&amp;N$2&amp;N$1&amp;"P"&amp;$A39)*RTD("tos.rtd",,"GAMMA","."&amp;N$2&amp;N$1&amp;"P"&amp;$A39))/1000000,($A$4*$A$4*RTD("tos.rtd",,"OPEN_INT","."&amp;N$2&amp;N$1&amp;"C"&amp;$A39)*RTD("tos.rtd",,"GAMMA","."&amp;N$2&amp;N$1&amp;"C"&amp;$A39)-$A$4*$A$4*RTD("tos.rtd",,"OPEN_INT","."&amp;N$2&amp;N$1&amp;"P"&amp;$A39)*RTD("tos.rtd",,"GAMMA","."&amp;N$2&amp;N$1&amp;"P"&amp;$A39))/1000000),0),IF($A$2="SKEW",IFERROR(VALUE(IF(RTD("tos.rtd",,"IMPL_VOL","."&amp;N$2&amp;N$1&amp;"P"&amp;$A39)="N/A",0,RTD("tos.rtd",,"IMPL_VOL","."&amp;N$2&amp;N$1&amp;"P"&amp;$A39))),0)-IFERROR(VALUE(IF(RTD("tos.rtd",,"IMPL_VOL","."&amp;N$2&amp;N$1&amp;"C"&amp;$A39)="N/A",0,RTD("tos.rtd",,"IMPL_VOL","."&amp;N$2&amp;N$1&amp;"C"&amp;$A39))),0),IF($A$2="MAXPAIN",IF($A$4&gt;$A39,($A$4-$A39)*IF(RTD("tos.rtd",,"OPEN_INT","."&amp;N$2&amp;N$1&amp;"C"&amp;$A39)="N/A",0,RTD("tos.rtd",,"OPEN_INT","."&amp;N$2&amp;N$1&amp;"C"&amp;$A39)),0)+IF($A$4&lt;$A39,($A$5-$A$4)*IF(RTD("tos.rtd",,"OPEN_INT","."&amp;N$2&amp;N$1&amp;"P"&amp;$A39)="N/A",0,RTD("tos.rtd",,"OPEN_INT","."&amp;N$2&amp;N$1&amp;"P"&amp;$A39)),0),IF($X$1="ABS",IF(RTD("tos.rtd",,$A$2,"."&amp;N$2&amp;N$1&amp;"C"&amp;$A39)="N/A",0,RTD("tos.rtd",,$A$2,"."&amp;N$2&amp;N$1&amp;"C"&amp;$A39))+IF(RTD("tos.rtd",,$A$2,"."&amp;N$2&amp;N$1&amp;"P"&amp;$A39)="N/A",0,RTD("tos.rtd",,$A$2,"."&amp;N$2&amp;N$1&amp;"P"&amp;$A39)),IF(RTD("tos.rtd",,$A$2,"."&amp;N$2&amp;N$1&amp;"C"&amp;$A39)="N/A",0,RTD("tos.rtd",,$A$2,"."&amp;N$2&amp;N$1&amp;"C"&amp;$A39))-IF(RTD("tos.rtd",,$A$2,"."&amp;N$2&amp;N$1&amp;"P"&amp;$A39)="N/A",0,RTD("tos.rtd",,$A$2,"."&amp;N$2&amp;N$1&amp;"P"&amp;$A39))))))))))</f>
        <v>0</v>
      </c>
      <c r="O39" s="12">
        <f ca="1">IF($A$2="PREMIUM_OI",IFERROR(IF($X$1="ABS",(100*RTD("tos.rtd",,"OPEN_INT","."&amp;O$2&amp;O$1&amp;"C"&amp;$A39)*RTD("tos.rtd",,"LAST","."&amp;O$2&amp;O$1&amp;"C"&amp;$A39)+100*RTD("tos.rtd",,"OPEN_INT","."&amp;O$2&amp;O$1&amp;"P"&amp;$A39)*RTD("tos.rtd",,"LAST","."&amp;O$2&amp;O$1&amp;"P"&amp;$A39))/1000000,(100*RTD("tos.rtd",,"OPEN_INT","."&amp;O$2&amp;O$1&amp;"C"&amp;$A39)*RTD("tos.rtd",,"LAST","."&amp;O$2&amp;O$1&amp;"C"&amp;$A39)-100*RTD("tos.rtd",,"OPEN_INT","."&amp;O$2&amp;O$1&amp;"P"&amp;$A39)*RTD("tos.rtd",,"LAST","."&amp;O$2&amp;O$1&amp;"P"&amp;$A39))/1000000),0),IF($A$2="PREMIUM",IFERROR(IF($X$1="ABS",(100*RTD("tos.rtd",,"VOLUME","."&amp;O$2&amp;O$1&amp;"C"&amp;$A39)*RTD("tos.rtd",,"LAST","."&amp;O$2&amp;O$1&amp;"C"&amp;$A39)+100*RTD("tos.rtd",,"VOLUME","."&amp;O$2&amp;O$1&amp;"P"&amp;$A39)*RTD("tos.rtd",,"LAST","."&amp;O$2&amp;O$1&amp;"P"&amp;$A39))/1000000,(100*RTD("tos.rtd",,"VOLUME","."&amp;O$2&amp;O$1&amp;"C"&amp;$A39)*RTD("tos.rtd",,"LAST","."&amp;O$2&amp;O$1&amp;"C"&amp;$A39)-100*RTD("tos.rtd",,"VOLUME","."&amp;O$2&amp;O$1&amp;"P"&amp;$A39)*RTD("tos.rtd",,"LAST","."&amp;O$2&amp;O$1&amp;"P"&amp;$A39))/1000000),0),IF($A$2="DEX",IFERROR(IF($X$1="ABS",(100*RTD("tos.rtd",,"OPEN_INT","."&amp;O$2&amp;O$1&amp;"C"&amp;$A39)*RTD("tos.rtd",,"DELTA","."&amp;O$2&amp;O$1&amp;"C"&amp;$A39)+100*RTD("tos.rtd",,"OPEN_INT","."&amp;O$2&amp;O$1&amp;"P"&amp;$A39)*RTD("tos.rtd",,"DELTA","."&amp;O$2&amp;O$1&amp;"P"&amp;$A39))/1000,(100*RTD("tos.rtd",,"OPEN_INT","."&amp;O$2&amp;O$1&amp;"C"&amp;$A39)*RTD("tos.rtd",,"DELTA","."&amp;O$2&amp;O$1&amp;"C"&amp;$A39)-100*RTD("tos.rtd",,"OPEN_INT","."&amp;O$2&amp;O$1&amp;"P"&amp;$A39)*RTD("tos.rtd",,"DELTA","."&amp;O$2&amp;O$1&amp;"P"&amp;$A39))/1000),0),IF($A$2="VEX",IFERROR(IF($X$1="ABS",($A$4*$A$4*RTD("tos.rtd",,"VOLUME","."&amp;O$2&amp;O$1&amp;"C"&amp;$A39)*RTD("tos.rtd",,"GAMMA","."&amp;O$2&amp;O$1&amp;"C"&amp;$A39)+$A$4*$A$4*RTD("tos.rtd",,"VOLUME","."&amp;O$2&amp;O$1&amp;"P"&amp;$A39)*RTD("tos.rtd",,"GAMMA","."&amp;O$2&amp;O$1&amp;"P"&amp;$A39))/1000000,($A$4*$A$4*RTD("tos.rtd",,"VOLUME","."&amp;O$2&amp;O$1&amp;"C"&amp;$A39)*RTD("tos.rtd",,"GAMMA","."&amp;O$2&amp;O$1&amp;"C"&amp;$A39)-$A$4*$A$4*RTD("tos.rtd",,"VOLUME","."&amp;O$2&amp;O$1&amp;"P"&amp;$A39)*RTD("tos.rtd",,"GAMMA","."&amp;O$2&amp;O$1&amp;"P"&amp;$A39))/1000000),0),IF($A$2="GEX",IFERROR(IF($X$1="ABS",($A$4*$A$4*RTD("tos.rtd",,"OPEN_INT","."&amp;O$2&amp;O$1&amp;"C"&amp;$A39)*RTD("tos.rtd",,"GAMMA","."&amp;O$2&amp;O$1&amp;"C"&amp;$A39)+$A$4*$A$4*RTD("tos.rtd",,"OPEN_INT","."&amp;O$2&amp;O$1&amp;"P"&amp;$A39)*RTD("tos.rtd",,"GAMMA","."&amp;O$2&amp;O$1&amp;"P"&amp;$A39))/1000000,($A$4*$A$4*RTD("tos.rtd",,"OPEN_INT","."&amp;O$2&amp;O$1&amp;"C"&amp;$A39)*RTD("tos.rtd",,"GAMMA","."&amp;O$2&amp;O$1&amp;"C"&amp;$A39)-$A$4*$A$4*RTD("tos.rtd",,"OPEN_INT","."&amp;O$2&amp;O$1&amp;"P"&amp;$A39)*RTD("tos.rtd",,"GAMMA","."&amp;O$2&amp;O$1&amp;"P"&amp;$A39))/1000000),0),IF($A$2="SKEW",IFERROR(VALUE(IF(RTD("tos.rtd",,"IMPL_VOL","."&amp;O$2&amp;O$1&amp;"P"&amp;$A39)="N/A",0,RTD("tos.rtd",,"IMPL_VOL","."&amp;O$2&amp;O$1&amp;"P"&amp;$A39))),0)-IFERROR(VALUE(IF(RTD("tos.rtd",,"IMPL_VOL","."&amp;O$2&amp;O$1&amp;"C"&amp;$A39)="N/A",0,RTD("tos.rtd",,"IMPL_VOL","."&amp;O$2&amp;O$1&amp;"C"&amp;$A39))),0),IF($A$2="MAXPAIN",IF($A$4&gt;$A39,($A$4-$A39)*IF(RTD("tos.rtd",,"OPEN_INT","."&amp;O$2&amp;O$1&amp;"C"&amp;$A39)="N/A",0,RTD("tos.rtd",,"OPEN_INT","."&amp;O$2&amp;O$1&amp;"C"&amp;$A39)),0)+IF($A$4&lt;$A39,($A$5-$A$4)*IF(RTD("tos.rtd",,"OPEN_INT","."&amp;O$2&amp;O$1&amp;"P"&amp;$A39)="N/A",0,RTD("tos.rtd",,"OPEN_INT","."&amp;O$2&amp;O$1&amp;"P"&amp;$A39)),0),IF($X$1="ABS",IF(RTD("tos.rtd",,$A$2,"."&amp;O$2&amp;O$1&amp;"C"&amp;$A39)="N/A",0,RTD("tos.rtd",,$A$2,"."&amp;O$2&amp;O$1&amp;"C"&amp;$A39))+IF(RTD("tos.rtd",,$A$2,"."&amp;O$2&amp;O$1&amp;"P"&amp;$A39)="N/A",0,RTD("tos.rtd",,$A$2,"."&amp;O$2&amp;O$1&amp;"P"&amp;$A39)),IF(RTD("tos.rtd",,$A$2,"."&amp;O$2&amp;O$1&amp;"C"&amp;$A39)="N/A",0,RTD("tos.rtd",,$A$2,"."&amp;O$2&amp;O$1&amp;"C"&amp;$A39))-IF(RTD("tos.rtd",,$A$2,"."&amp;O$2&amp;O$1&amp;"P"&amp;$A39)="N/A",0,RTD("tos.rtd",,$A$2,"."&amp;O$2&amp;O$1&amp;"P"&amp;$A39))))))))))</f>
        <v>0</v>
      </c>
      <c r="P39" s="12">
        <f ca="1">IF($A$2="PREMIUM_OI",IFERROR(IF($X$1="ABS",(100*RTD("tos.rtd",,"OPEN_INT","."&amp;P$2&amp;P$1&amp;"C"&amp;$A39)*RTD("tos.rtd",,"LAST","."&amp;P$2&amp;P$1&amp;"C"&amp;$A39)+100*RTD("tos.rtd",,"OPEN_INT","."&amp;P$2&amp;P$1&amp;"P"&amp;$A39)*RTD("tos.rtd",,"LAST","."&amp;P$2&amp;P$1&amp;"P"&amp;$A39))/1000000,(100*RTD("tos.rtd",,"OPEN_INT","."&amp;P$2&amp;P$1&amp;"C"&amp;$A39)*RTD("tos.rtd",,"LAST","."&amp;P$2&amp;P$1&amp;"C"&amp;$A39)-100*RTD("tos.rtd",,"OPEN_INT","."&amp;P$2&amp;P$1&amp;"P"&amp;$A39)*RTD("tos.rtd",,"LAST","."&amp;P$2&amp;P$1&amp;"P"&amp;$A39))/1000000),0),IF($A$2="PREMIUM",IFERROR(IF($X$1="ABS",(100*RTD("tos.rtd",,"VOLUME","."&amp;P$2&amp;P$1&amp;"C"&amp;$A39)*RTD("tos.rtd",,"LAST","."&amp;P$2&amp;P$1&amp;"C"&amp;$A39)+100*RTD("tos.rtd",,"VOLUME","."&amp;P$2&amp;P$1&amp;"P"&amp;$A39)*RTD("tos.rtd",,"LAST","."&amp;P$2&amp;P$1&amp;"P"&amp;$A39))/1000000,(100*RTD("tos.rtd",,"VOLUME","."&amp;P$2&amp;P$1&amp;"C"&amp;$A39)*RTD("tos.rtd",,"LAST","."&amp;P$2&amp;P$1&amp;"C"&amp;$A39)-100*RTD("tos.rtd",,"VOLUME","."&amp;P$2&amp;P$1&amp;"P"&amp;$A39)*RTD("tos.rtd",,"LAST","."&amp;P$2&amp;P$1&amp;"P"&amp;$A39))/1000000),0),IF($A$2="DEX",IFERROR(IF($X$1="ABS",(100*RTD("tos.rtd",,"OPEN_INT","."&amp;P$2&amp;P$1&amp;"C"&amp;$A39)*RTD("tos.rtd",,"DELTA","."&amp;P$2&amp;P$1&amp;"C"&amp;$A39)+100*RTD("tos.rtd",,"OPEN_INT","."&amp;P$2&amp;P$1&amp;"P"&amp;$A39)*RTD("tos.rtd",,"DELTA","."&amp;P$2&amp;P$1&amp;"P"&amp;$A39))/1000,(100*RTD("tos.rtd",,"OPEN_INT","."&amp;P$2&amp;P$1&amp;"C"&amp;$A39)*RTD("tos.rtd",,"DELTA","."&amp;P$2&amp;P$1&amp;"C"&amp;$A39)-100*RTD("tos.rtd",,"OPEN_INT","."&amp;P$2&amp;P$1&amp;"P"&amp;$A39)*RTD("tos.rtd",,"DELTA","."&amp;P$2&amp;P$1&amp;"P"&amp;$A39))/1000),0),IF($A$2="VEX",IFERROR(IF($X$1="ABS",($A$4*$A$4*RTD("tos.rtd",,"VOLUME","."&amp;P$2&amp;P$1&amp;"C"&amp;$A39)*RTD("tos.rtd",,"GAMMA","."&amp;P$2&amp;P$1&amp;"C"&amp;$A39)+$A$4*$A$4*RTD("tos.rtd",,"VOLUME","."&amp;P$2&amp;P$1&amp;"P"&amp;$A39)*RTD("tos.rtd",,"GAMMA","."&amp;P$2&amp;P$1&amp;"P"&amp;$A39))/1000000,($A$4*$A$4*RTD("tos.rtd",,"VOLUME","."&amp;P$2&amp;P$1&amp;"C"&amp;$A39)*RTD("tos.rtd",,"GAMMA","."&amp;P$2&amp;P$1&amp;"C"&amp;$A39)-$A$4*$A$4*RTD("tos.rtd",,"VOLUME","."&amp;P$2&amp;P$1&amp;"P"&amp;$A39)*RTD("tos.rtd",,"GAMMA","."&amp;P$2&amp;P$1&amp;"P"&amp;$A39))/1000000),0),IF($A$2="GEX",IFERROR(IF($X$1="ABS",($A$4*$A$4*RTD("tos.rtd",,"OPEN_INT","."&amp;P$2&amp;P$1&amp;"C"&amp;$A39)*RTD("tos.rtd",,"GAMMA","."&amp;P$2&amp;P$1&amp;"C"&amp;$A39)+$A$4*$A$4*RTD("tos.rtd",,"OPEN_INT","."&amp;P$2&amp;P$1&amp;"P"&amp;$A39)*RTD("tos.rtd",,"GAMMA","."&amp;P$2&amp;P$1&amp;"P"&amp;$A39))/1000000,($A$4*$A$4*RTD("tos.rtd",,"OPEN_INT","."&amp;P$2&amp;P$1&amp;"C"&amp;$A39)*RTD("tos.rtd",,"GAMMA","."&amp;P$2&amp;P$1&amp;"C"&amp;$A39)-$A$4*$A$4*RTD("tos.rtd",,"OPEN_INT","."&amp;P$2&amp;P$1&amp;"P"&amp;$A39)*RTD("tos.rtd",,"GAMMA","."&amp;P$2&amp;P$1&amp;"P"&amp;$A39))/1000000),0),IF($A$2="SKEW",IFERROR(VALUE(IF(RTD("tos.rtd",,"IMPL_VOL","."&amp;P$2&amp;P$1&amp;"P"&amp;$A39)="N/A",0,RTD("tos.rtd",,"IMPL_VOL","."&amp;P$2&amp;P$1&amp;"P"&amp;$A39))),0)-IFERROR(VALUE(IF(RTD("tos.rtd",,"IMPL_VOL","."&amp;P$2&amp;P$1&amp;"C"&amp;$A39)="N/A",0,RTD("tos.rtd",,"IMPL_VOL","."&amp;P$2&amp;P$1&amp;"C"&amp;$A39))),0),IF($A$2="MAXPAIN",IF($A$4&gt;$A39,($A$4-$A39)*IF(RTD("tos.rtd",,"OPEN_INT","."&amp;P$2&amp;P$1&amp;"C"&amp;$A39)="N/A",0,RTD("tos.rtd",,"OPEN_INT","."&amp;P$2&amp;P$1&amp;"C"&amp;$A39)),0)+IF($A$4&lt;$A39,($A$5-$A$4)*IF(RTD("tos.rtd",,"OPEN_INT","."&amp;P$2&amp;P$1&amp;"P"&amp;$A39)="N/A",0,RTD("tos.rtd",,"OPEN_INT","."&amp;P$2&amp;P$1&amp;"P"&amp;$A39)),0),IF($X$1="ABS",IF(RTD("tos.rtd",,$A$2,"."&amp;P$2&amp;P$1&amp;"C"&amp;$A39)="N/A",0,RTD("tos.rtd",,$A$2,"."&amp;P$2&amp;P$1&amp;"C"&amp;$A39))+IF(RTD("tos.rtd",,$A$2,"."&amp;P$2&amp;P$1&amp;"P"&amp;$A39)="N/A",0,RTD("tos.rtd",,$A$2,"."&amp;P$2&amp;P$1&amp;"P"&amp;$A39)),IF(RTD("tos.rtd",,$A$2,"."&amp;P$2&amp;P$1&amp;"C"&amp;$A39)="N/A",0,RTD("tos.rtd",,$A$2,"."&amp;P$2&amp;P$1&amp;"C"&amp;$A39))-IF(RTD("tos.rtd",,$A$2,"."&amp;P$2&amp;P$1&amp;"P"&amp;$A39)="N/A",0,RTD("tos.rtd",,$A$2,"."&amp;P$2&amp;P$1&amp;"P"&amp;$A39))))))))))</f>
        <v>0</v>
      </c>
      <c r="Q39" s="12">
        <f ca="1">IF($A$2="PREMIUM_OI",IFERROR(IF($X$1="ABS",(100*RTD("tos.rtd",,"OPEN_INT","."&amp;Q$2&amp;Q$1&amp;"C"&amp;$A39)*RTD("tos.rtd",,"LAST","."&amp;Q$2&amp;Q$1&amp;"C"&amp;$A39)+100*RTD("tos.rtd",,"OPEN_INT","."&amp;Q$2&amp;Q$1&amp;"P"&amp;$A39)*RTD("tos.rtd",,"LAST","."&amp;Q$2&amp;Q$1&amp;"P"&amp;$A39))/1000000,(100*RTD("tos.rtd",,"OPEN_INT","."&amp;Q$2&amp;Q$1&amp;"C"&amp;$A39)*RTD("tos.rtd",,"LAST","."&amp;Q$2&amp;Q$1&amp;"C"&amp;$A39)-100*RTD("tos.rtd",,"OPEN_INT","."&amp;Q$2&amp;Q$1&amp;"P"&amp;$A39)*RTD("tos.rtd",,"LAST","."&amp;Q$2&amp;Q$1&amp;"P"&amp;$A39))/1000000),0),IF($A$2="PREMIUM",IFERROR(IF($X$1="ABS",(100*RTD("tos.rtd",,"VOLUME","."&amp;Q$2&amp;Q$1&amp;"C"&amp;$A39)*RTD("tos.rtd",,"LAST","."&amp;Q$2&amp;Q$1&amp;"C"&amp;$A39)+100*RTD("tos.rtd",,"VOLUME","."&amp;Q$2&amp;Q$1&amp;"P"&amp;$A39)*RTD("tos.rtd",,"LAST","."&amp;Q$2&amp;Q$1&amp;"P"&amp;$A39))/1000000,(100*RTD("tos.rtd",,"VOLUME","."&amp;Q$2&amp;Q$1&amp;"C"&amp;$A39)*RTD("tos.rtd",,"LAST","."&amp;Q$2&amp;Q$1&amp;"C"&amp;$A39)-100*RTD("tos.rtd",,"VOLUME","."&amp;Q$2&amp;Q$1&amp;"P"&amp;$A39)*RTD("tos.rtd",,"LAST","."&amp;Q$2&amp;Q$1&amp;"P"&amp;$A39))/1000000),0),IF($A$2="DEX",IFERROR(IF($X$1="ABS",(100*RTD("tos.rtd",,"OPEN_INT","."&amp;Q$2&amp;Q$1&amp;"C"&amp;$A39)*RTD("tos.rtd",,"DELTA","."&amp;Q$2&amp;Q$1&amp;"C"&amp;$A39)+100*RTD("tos.rtd",,"OPEN_INT","."&amp;Q$2&amp;Q$1&amp;"P"&amp;$A39)*RTD("tos.rtd",,"DELTA","."&amp;Q$2&amp;Q$1&amp;"P"&amp;$A39))/1000,(100*RTD("tos.rtd",,"OPEN_INT","."&amp;Q$2&amp;Q$1&amp;"C"&amp;$A39)*RTD("tos.rtd",,"DELTA","."&amp;Q$2&amp;Q$1&amp;"C"&amp;$A39)-100*RTD("tos.rtd",,"OPEN_INT","."&amp;Q$2&amp;Q$1&amp;"P"&amp;$A39)*RTD("tos.rtd",,"DELTA","."&amp;Q$2&amp;Q$1&amp;"P"&amp;$A39))/1000),0),IF($A$2="VEX",IFERROR(IF($X$1="ABS",($A$4*$A$4*RTD("tos.rtd",,"VOLUME","."&amp;Q$2&amp;Q$1&amp;"C"&amp;$A39)*RTD("tos.rtd",,"GAMMA","."&amp;Q$2&amp;Q$1&amp;"C"&amp;$A39)+$A$4*$A$4*RTD("tos.rtd",,"VOLUME","."&amp;Q$2&amp;Q$1&amp;"P"&amp;$A39)*RTD("tos.rtd",,"GAMMA","."&amp;Q$2&amp;Q$1&amp;"P"&amp;$A39))/1000000,($A$4*$A$4*RTD("tos.rtd",,"VOLUME","."&amp;Q$2&amp;Q$1&amp;"C"&amp;$A39)*RTD("tos.rtd",,"GAMMA","."&amp;Q$2&amp;Q$1&amp;"C"&amp;$A39)-$A$4*$A$4*RTD("tos.rtd",,"VOLUME","."&amp;Q$2&amp;Q$1&amp;"P"&amp;$A39)*RTD("tos.rtd",,"GAMMA","."&amp;Q$2&amp;Q$1&amp;"P"&amp;$A39))/1000000),0),IF($A$2="GEX",IFERROR(IF($X$1="ABS",($A$4*$A$4*RTD("tos.rtd",,"OPEN_INT","."&amp;Q$2&amp;Q$1&amp;"C"&amp;$A39)*RTD("tos.rtd",,"GAMMA","."&amp;Q$2&amp;Q$1&amp;"C"&amp;$A39)+$A$4*$A$4*RTD("tos.rtd",,"OPEN_INT","."&amp;Q$2&amp;Q$1&amp;"P"&amp;$A39)*RTD("tos.rtd",,"GAMMA","."&amp;Q$2&amp;Q$1&amp;"P"&amp;$A39))/1000000,($A$4*$A$4*RTD("tos.rtd",,"OPEN_INT","."&amp;Q$2&amp;Q$1&amp;"C"&amp;$A39)*RTD("tos.rtd",,"GAMMA","."&amp;Q$2&amp;Q$1&amp;"C"&amp;$A39)-$A$4*$A$4*RTD("tos.rtd",,"OPEN_INT","."&amp;Q$2&amp;Q$1&amp;"P"&amp;$A39)*RTD("tos.rtd",,"GAMMA","."&amp;Q$2&amp;Q$1&amp;"P"&amp;$A39))/1000000),0),IF($A$2="SKEW",IFERROR(VALUE(IF(RTD("tos.rtd",,"IMPL_VOL","."&amp;Q$2&amp;Q$1&amp;"P"&amp;$A39)="N/A",0,RTD("tos.rtd",,"IMPL_VOL","."&amp;Q$2&amp;Q$1&amp;"P"&amp;$A39))),0)-IFERROR(VALUE(IF(RTD("tos.rtd",,"IMPL_VOL","."&amp;Q$2&amp;Q$1&amp;"C"&amp;$A39)="N/A",0,RTD("tos.rtd",,"IMPL_VOL","."&amp;Q$2&amp;Q$1&amp;"C"&amp;$A39))),0),IF($A$2="MAXPAIN",IF($A$4&gt;$A39,($A$4-$A39)*IF(RTD("tos.rtd",,"OPEN_INT","."&amp;Q$2&amp;Q$1&amp;"C"&amp;$A39)="N/A",0,RTD("tos.rtd",,"OPEN_INT","."&amp;Q$2&amp;Q$1&amp;"C"&amp;$A39)),0)+IF($A$4&lt;$A39,($A$5-$A$4)*IF(RTD("tos.rtd",,"OPEN_INT","."&amp;Q$2&amp;Q$1&amp;"P"&amp;$A39)="N/A",0,RTD("tos.rtd",,"OPEN_INT","."&amp;Q$2&amp;Q$1&amp;"P"&amp;$A39)),0),IF($X$1="ABS",IF(RTD("tos.rtd",,$A$2,"."&amp;Q$2&amp;Q$1&amp;"C"&amp;$A39)="N/A",0,RTD("tos.rtd",,$A$2,"."&amp;Q$2&amp;Q$1&amp;"C"&amp;$A39))+IF(RTD("tos.rtd",,$A$2,"."&amp;Q$2&amp;Q$1&amp;"P"&amp;$A39)="N/A",0,RTD("tos.rtd",,$A$2,"."&amp;Q$2&amp;Q$1&amp;"P"&amp;$A39)),IF(RTD("tos.rtd",,$A$2,"."&amp;Q$2&amp;Q$1&amp;"C"&amp;$A39)="N/A",0,RTD("tos.rtd",,$A$2,"."&amp;Q$2&amp;Q$1&amp;"C"&amp;$A39))-IF(RTD("tos.rtd",,$A$2,"."&amp;Q$2&amp;Q$1&amp;"P"&amp;$A39)="N/A",0,RTD("tos.rtd",,$A$2,"."&amp;Q$2&amp;Q$1&amp;"P"&amp;$A39))))))))))</f>
        <v>0</v>
      </c>
      <c r="R39" s="12">
        <f ca="1">IF($A$2="PREMIUM_OI",IFERROR(IF($X$1="ABS",(100*RTD("tos.rtd",,"OPEN_INT","."&amp;R$2&amp;R$1&amp;"C"&amp;$A39)*RTD("tos.rtd",,"LAST","."&amp;R$2&amp;R$1&amp;"C"&amp;$A39)+100*RTD("tos.rtd",,"OPEN_INT","."&amp;R$2&amp;R$1&amp;"P"&amp;$A39)*RTD("tos.rtd",,"LAST","."&amp;R$2&amp;R$1&amp;"P"&amp;$A39))/1000000,(100*RTD("tos.rtd",,"OPEN_INT","."&amp;R$2&amp;R$1&amp;"C"&amp;$A39)*RTD("tos.rtd",,"LAST","."&amp;R$2&amp;R$1&amp;"C"&amp;$A39)-100*RTD("tos.rtd",,"OPEN_INT","."&amp;R$2&amp;R$1&amp;"P"&amp;$A39)*RTD("tos.rtd",,"LAST","."&amp;R$2&amp;R$1&amp;"P"&amp;$A39))/1000000),0),IF($A$2="PREMIUM",IFERROR(IF($X$1="ABS",(100*RTD("tos.rtd",,"VOLUME","."&amp;R$2&amp;R$1&amp;"C"&amp;$A39)*RTD("tos.rtd",,"LAST","."&amp;R$2&amp;R$1&amp;"C"&amp;$A39)+100*RTD("tos.rtd",,"VOLUME","."&amp;R$2&amp;R$1&amp;"P"&amp;$A39)*RTD("tos.rtd",,"LAST","."&amp;R$2&amp;R$1&amp;"P"&amp;$A39))/1000000,(100*RTD("tos.rtd",,"VOLUME","."&amp;R$2&amp;R$1&amp;"C"&amp;$A39)*RTD("tos.rtd",,"LAST","."&amp;R$2&amp;R$1&amp;"C"&amp;$A39)-100*RTD("tos.rtd",,"VOLUME","."&amp;R$2&amp;R$1&amp;"P"&amp;$A39)*RTD("tos.rtd",,"LAST","."&amp;R$2&amp;R$1&amp;"P"&amp;$A39))/1000000),0),IF($A$2="DEX",IFERROR(IF($X$1="ABS",(100*RTD("tos.rtd",,"OPEN_INT","."&amp;R$2&amp;R$1&amp;"C"&amp;$A39)*RTD("tos.rtd",,"DELTA","."&amp;R$2&amp;R$1&amp;"C"&amp;$A39)+100*RTD("tos.rtd",,"OPEN_INT","."&amp;R$2&amp;R$1&amp;"P"&amp;$A39)*RTD("tos.rtd",,"DELTA","."&amp;R$2&amp;R$1&amp;"P"&amp;$A39))/1000,(100*RTD("tos.rtd",,"OPEN_INT","."&amp;R$2&amp;R$1&amp;"C"&amp;$A39)*RTD("tos.rtd",,"DELTA","."&amp;R$2&amp;R$1&amp;"C"&amp;$A39)-100*RTD("tos.rtd",,"OPEN_INT","."&amp;R$2&amp;R$1&amp;"P"&amp;$A39)*RTD("tos.rtd",,"DELTA","."&amp;R$2&amp;R$1&amp;"P"&amp;$A39))/1000),0),IF($A$2="VEX",IFERROR(IF($X$1="ABS",($A$4*$A$4*RTD("tos.rtd",,"VOLUME","."&amp;R$2&amp;R$1&amp;"C"&amp;$A39)*RTD("tos.rtd",,"GAMMA","."&amp;R$2&amp;R$1&amp;"C"&amp;$A39)+$A$4*$A$4*RTD("tos.rtd",,"VOLUME","."&amp;R$2&amp;R$1&amp;"P"&amp;$A39)*RTD("tos.rtd",,"GAMMA","."&amp;R$2&amp;R$1&amp;"P"&amp;$A39))/1000000,($A$4*$A$4*RTD("tos.rtd",,"VOLUME","."&amp;R$2&amp;R$1&amp;"C"&amp;$A39)*RTD("tos.rtd",,"GAMMA","."&amp;R$2&amp;R$1&amp;"C"&amp;$A39)-$A$4*$A$4*RTD("tos.rtd",,"VOLUME","."&amp;R$2&amp;R$1&amp;"P"&amp;$A39)*RTD("tos.rtd",,"GAMMA","."&amp;R$2&amp;R$1&amp;"P"&amp;$A39))/1000000),0),IF($A$2="GEX",IFERROR(IF($X$1="ABS",($A$4*$A$4*RTD("tos.rtd",,"OPEN_INT","."&amp;R$2&amp;R$1&amp;"C"&amp;$A39)*RTD("tos.rtd",,"GAMMA","."&amp;R$2&amp;R$1&amp;"C"&amp;$A39)+$A$4*$A$4*RTD("tos.rtd",,"OPEN_INT","."&amp;R$2&amp;R$1&amp;"P"&amp;$A39)*RTD("tos.rtd",,"GAMMA","."&amp;R$2&amp;R$1&amp;"P"&amp;$A39))/1000000,($A$4*$A$4*RTD("tos.rtd",,"OPEN_INT","."&amp;R$2&amp;R$1&amp;"C"&amp;$A39)*RTD("tos.rtd",,"GAMMA","."&amp;R$2&amp;R$1&amp;"C"&amp;$A39)-$A$4*$A$4*RTD("tos.rtd",,"OPEN_INT","."&amp;R$2&amp;R$1&amp;"P"&amp;$A39)*RTD("tos.rtd",,"GAMMA","."&amp;R$2&amp;R$1&amp;"P"&amp;$A39))/1000000),0),IF($A$2="SKEW",IFERROR(VALUE(IF(RTD("tos.rtd",,"IMPL_VOL","."&amp;R$2&amp;R$1&amp;"P"&amp;$A39)="N/A",0,RTD("tos.rtd",,"IMPL_VOL","."&amp;R$2&amp;R$1&amp;"P"&amp;$A39))),0)-IFERROR(VALUE(IF(RTD("tos.rtd",,"IMPL_VOL","."&amp;R$2&amp;R$1&amp;"C"&amp;$A39)="N/A",0,RTD("tos.rtd",,"IMPL_VOL","."&amp;R$2&amp;R$1&amp;"C"&amp;$A39))),0),IF($A$2="MAXPAIN",IF($A$4&gt;$A39,($A$4-$A39)*IF(RTD("tos.rtd",,"OPEN_INT","."&amp;R$2&amp;R$1&amp;"C"&amp;$A39)="N/A",0,RTD("tos.rtd",,"OPEN_INT","."&amp;R$2&amp;R$1&amp;"C"&amp;$A39)),0)+IF($A$4&lt;$A39,($A$5-$A$4)*IF(RTD("tos.rtd",,"OPEN_INT","."&amp;R$2&amp;R$1&amp;"P"&amp;$A39)="N/A",0,RTD("tos.rtd",,"OPEN_INT","."&amp;R$2&amp;R$1&amp;"P"&amp;$A39)),0),IF($X$1="ABS",IF(RTD("tos.rtd",,$A$2,"."&amp;R$2&amp;R$1&amp;"C"&amp;$A39)="N/A",0,RTD("tos.rtd",,$A$2,"."&amp;R$2&amp;R$1&amp;"C"&amp;$A39))+IF(RTD("tos.rtd",,$A$2,"."&amp;R$2&amp;R$1&amp;"P"&amp;$A39)="N/A",0,RTD("tos.rtd",,$A$2,"."&amp;R$2&amp;R$1&amp;"P"&amp;$A39)),IF(RTD("tos.rtd",,$A$2,"."&amp;R$2&amp;R$1&amp;"C"&amp;$A39)="N/A",0,RTD("tos.rtd",,$A$2,"."&amp;R$2&amp;R$1&amp;"C"&amp;$A39))-IF(RTD("tos.rtd",,$A$2,"."&amp;R$2&amp;R$1&amp;"P"&amp;$A39)="N/A",0,RTD("tos.rtd",,$A$2,"."&amp;R$2&amp;R$1&amp;"P"&amp;$A39))))))))))</f>
        <v>0</v>
      </c>
      <c r="S39" s="12">
        <f ca="1">IF($A$2="PREMIUM_OI",IFERROR(IF($X$1="ABS",(100*RTD("tos.rtd",,"OPEN_INT","."&amp;S$2&amp;S$1&amp;"C"&amp;$A39)*RTD("tos.rtd",,"LAST","."&amp;S$2&amp;S$1&amp;"C"&amp;$A39)+100*RTD("tos.rtd",,"OPEN_INT","."&amp;S$2&amp;S$1&amp;"P"&amp;$A39)*RTD("tos.rtd",,"LAST","."&amp;S$2&amp;S$1&amp;"P"&amp;$A39))/1000000,(100*RTD("tos.rtd",,"OPEN_INT","."&amp;S$2&amp;S$1&amp;"C"&amp;$A39)*RTD("tos.rtd",,"LAST","."&amp;S$2&amp;S$1&amp;"C"&amp;$A39)-100*RTD("tos.rtd",,"OPEN_INT","."&amp;S$2&amp;S$1&amp;"P"&amp;$A39)*RTD("tos.rtd",,"LAST","."&amp;S$2&amp;S$1&amp;"P"&amp;$A39))/1000000),0),IF($A$2="PREMIUM",IFERROR(IF($X$1="ABS",(100*RTD("tos.rtd",,"VOLUME","."&amp;S$2&amp;S$1&amp;"C"&amp;$A39)*RTD("tos.rtd",,"LAST","."&amp;S$2&amp;S$1&amp;"C"&amp;$A39)+100*RTD("tos.rtd",,"VOLUME","."&amp;S$2&amp;S$1&amp;"P"&amp;$A39)*RTD("tos.rtd",,"LAST","."&amp;S$2&amp;S$1&amp;"P"&amp;$A39))/1000000,(100*RTD("tos.rtd",,"VOLUME","."&amp;S$2&amp;S$1&amp;"C"&amp;$A39)*RTD("tos.rtd",,"LAST","."&amp;S$2&amp;S$1&amp;"C"&amp;$A39)-100*RTD("tos.rtd",,"VOLUME","."&amp;S$2&amp;S$1&amp;"P"&amp;$A39)*RTD("tos.rtd",,"LAST","."&amp;S$2&amp;S$1&amp;"P"&amp;$A39))/1000000),0),IF($A$2="DEX",IFERROR(IF($X$1="ABS",(100*RTD("tos.rtd",,"OPEN_INT","."&amp;S$2&amp;S$1&amp;"C"&amp;$A39)*RTD("tos.rtd",,"DELTA","."&amp;S$2&amp;S$1&amp;"C"&amp;$A39)+100*RTD("tos.rtd",,"OPEN_INT","."&amp;S$2&amp;S$1&amp;"P"&amp;$A39)*RTD("tos.rtd",,"DELTA","."&amp;S$2&amp;S$1&amp;"P"&amp;$A39))/1000,(100*RTD("tos.rtd",,"OPEN_INT","."&amp;S$2&amp;S$1&amp;"C"&amp;$A39)*RTD("tos.rtd",,"DELTA","."&amp;S$2&amp;S$1&amp;"C"&amp;$A39)-100*RTD("tos.rtd",,"OPEN_INT","."&amp;S$2&amp;S$1&amp;"P"&amp;$A39)*RTD("tos.rtd",,"DELTA","."&amp;S$2&amp;S$1&amp;"P"&amp;$A39))/1000),0),IF($A$2="VEX",IFERROR(IF($X$1="ABS",($A$4*$A$4*RTD("tos.rtd",,"VOLUME","."&amp;S$2&amp;S$1&amp;"C"&amp;$A39)*RTD("tos.rtd",,"GAMMA","."&amp;S$2&amp;S$1&amp;"C"&amp;$A39)+$A$4*$A$4*RTD("tos.rtd",,"VOLUME","."&amp;S$2&amp;S$1&amp;"P"&amp;$A39)*RTD("tos.rtd",,"GAMMA","."&amp;S$2&amp;S$1&amp;"P"&amp;$A39))/1000000,($A$4*$A$4*RTD("tos.rtd",,"VOLUME","."&amp;S$2&amp;S$1&amp;"C"&amp;$A39)*RTD("tos.rtd",,"GAMMA","."&amp;S$2&amp;S$1&amp;"C"&amp;$A39)-$A$4*$A$4*RTD("tos.rtd",,"VOLUME","."&amp;S$2&amp;S$1&amp;"P"&amp;$A39)*RTD("tos.rtd",,"GAMMA","."&amp;S$2&amp;S$1&amp;"P"&amp;$A39))/1000000),0),IF($A$2="GEX",IFERROR(IF($X$1="ABS",($A$4*$A$4*RTD("tos.rtd",,"OPEN_INT","."&amp;S$2&amp;S$1&amp;"C"&amp;$A39)*RTD("tos.rtd",,"GAMMA","."&amp;S$2&amp;S$1&amp;"C"&amp;$A39)+$A$4*$A$4*RTD("tos.rtd",,"OPEN_INT","."&amp;S$2&amp;S$1&amp;"P"&amp;$A39)*RTD("tos.rtd",,"GAMMA","."&amp;S$2&amp;S$1&amp;"P"&amp;$A39))/1000000,($A$4*$A$4*RTD("tos.rtd",,"OPEN_INT","."&amp;S$2&amp;S$1&amp;"C"&amp;$A39)*RTD("tos.rtd",,"GAMMA","."&amp;S$2&amp;S$1&amp;"C"&amp;$A39)-$A$4*$A$4*RTD("tos.rtd",,"OPEN_INT","."&amp;S$2&amp;S$1&amp;"P"&amp;$A39)*RTD("tos.rtd",,"GAMMA","."&amp;S$2&amp;S$1&amp;"P"&amp;$A39))/1000000),0),IF($A$2="SKEW",IFERROR(VALUE(IF(RTD("tos.rtd",,"IMPL_VOL","."&amp;S$2&amp;S$1&amp;"P"&amp;$A39)="N/A",0,RTD("tos.rtd",,"IMPL_VOL","."&amp;S$2&amp;S$1&amp;"P"&amp;$A39))),0)-IFERROR(VALUE(IF(RTD("tos.rtd",,"IMPL_VOL","."&amp;S$2&amp;S$1&amp;"C"&amp;$A39)="N/A",0,RTD("tos.rtd",,"IMPL_VOL","."&amp;S$2&amp;S$1&amp;"C"&amp;$A39))),0),IF($A$2="MAXPAIN",IF($A$4&gt;$A39,($A$4-$A39)*IF(RTD("tos.rtd",,"OPEN_INT","."&amp;S$2&amp;S$1&amp;"C"&amp;$A39)="N/A",0,RTD("tos.rtd",,"OPEN_INT","."&amp;S$2&amp;S$1&amp;"C"&amp;$A39)),0)+IF($A$4&lt;$A39,($A$5-$A$4)*IF(RTD("tos.rtd",,"OPEN_INT","."&amp;S$2&amp;S$1&amp;"P"&amp;$A39)="N/A",0,RTD("tos.rtd",,"OPEN_INT","."&amp;S$2&amp;S$1&amp;"P"&amp;$A39)),0),IF($X$1="ABS",IF(RTD("tos.rtd",,$A$2,"."&amp;S$2&amp;S$1&amp;"C"&amp;$A39)="N/A",0,RTD("tos.rtd",,$A$2,"."&amp;S$2&amp;S$1&amp;"C"&amp;$A39))+IF(RTD("tos.rtd",,$A$2,"."&amp;S$2&amp;S$1&amp;"P"&amp;$A39)="N/A",0,RTD("tos.rtd",,$A$2,"."&amp;S$2&amp;S$1&amp;"P"&amp;$A39)),IF(RTD("tos.rtd",,$A$2,"."&amp;S$2&amp;S$1&amp;"C"&amp;$A39)="N/A",0,RTD("tos.rtd",,$A$2,"."&amp;S$2&amp;S$1&amp;"C"&amp;$A39))-IF(RTD("tos.rtd",,$A$2,"."&amp;S$2&amp;S$1&amp;"P"&amp;$A39)="N/A",0,RTD("tos.rtd",,$A$2,"."&amp;S$2&amp;S$1&amp;"P"&amp;$A39))))))))))</f>
        <v>0</v>
      </c>
      <c r="T39" s="12">
        <f ca="1">IF($A$2="PREMIUM_OI",IFERROR(IF($X$1="ABS",(100*RTD("tos.rtd",,"OPEN_INT","."&amp;T$2&amp;T$1&amp;"C"&amp;$A39)*RTD("tos.rtd",,"LAST","."&amp;T$2&amp;T$1&amp;"C"&amp;$A39)+100*RTD("tos.rtd",,"OPEN_INT","."&amp;T$2&amp;T$1&amp;"P"&amp;$A39)*RTD("tos.rtd",,"LAST","."&amp;T$2&amp;T$1&amp;"P"&amp;$A39))/1000000,(100*RTD("tos.rtd",,"OPEN_INT","."&amp;T$2&amp;T$1&amp;"C"&amp;$A39)*RTD("tos.rtd",,"LAST","."&amp;T$2&amp;T$1&amp;"C"&amp;$A39)-100*RTD("tos.rtd",,"OPEN_INT","."&amp;T$2&amp;T$1&amp;"P"&amp;$A39)*RTD("tos.rtd",,"LAST","."&amp;T$2&amp;T$1&amp;"P"&amp;$A39))/1000000),0),IF($A$2="PREMIUM",IFERROR(IF($X$1="ABS",(100*RTD("tos.rtd",,"VOLUME","."&amp;T$2&amp;T$1&amp;"C"&amp;$A39)*RTD("tos.rtd",,"LAST","."&amp;T$2&amp;T$1&amp;"C"&amp;$A39)+100*RTD("tos.rtd",,"VOLUME","."&amp;T$2&amp;T$1&amp;"P"&amp;$A39)*RTD("tos.rtd",,"LAST","."&amp;T$2&amp;T$1&amp;"P"&amp;$A39))/1000000,(100*RTD("tos.rtd",,"VOLUME","."&amp;T$2&amp;T$1&amp;"C"&amp;$A39)*RTD("tos.rtd",,"LAST","."&amp;T$2&amp;T$1&amp;"C"&amp;$A39)-100*RTD("tos.rtd",,"VOLUME","."&amp;T$2&amp;T$1&amp;"P"&amp;$A39)*RTD("tos.rtd",,"LAST","."&amp;T$2&amp;T$1&amp;"P"&amp;$A39))/1000000),0),IF($A$2="DEX",IFERROR(IF($X$1="ABS",(100*RTD("tos.rtd",,"OPEN_INT","."&amp;T$2&amp;T$1&amp;"C"&amp;$A39)*RTD("tos.rtd",,"DELTA","."&amp;T$2&amp;T$1&amp;"C"&amp;$A39)+100*RTD("tos.rtd",,"OPEN_INT","."&amp;T$2&amp;T$1&amp;"P"&amp;$A39)*RTD("tos.rtd",,"DELTA","."&amp;T$2&amp;T$1&amp;"P"&amp;$A39))/1000,(100*RTD("tos.rtd",,"OPEN_INT","."&amp;T$2&amp;T$1&amp;"C"&amp;$A39)*RTD("tos.rtd",,"DELTA","."&amp;T$2&amp;T$1&amp;"C"&amp;$A39)-100*RTD("tos.rtd",,"OPEN_INT","."&amp;T$2&amp;T$1&amp;"P"&amp;$A39)*RTD("tos.rtd",,"DELTA","."&amp;T$2&amp;T$1&amp;"P"&amp;$A39))/1000),0),IF($A$2="VEX",IFERROR(IF($X$1="ABS",($A$4*$A$4*RTD("tos.rtd",,"VOLUME","."&amp;T$2&amp;T$1&amp;"C"&amp;$A39)*RTD("tos.rtd",,"GAMMA","."&amp;T$2&amp;T$1&amp;"C"&amp;$A39)+$A$4*$A$4*RTD("tos.rtd",,"VOLUME","."&amp;T$2&amp;T$1&amp;"P"&amp;$A39)*RTD("tos.rtd",,"GAMMA","."&amp;T$2&amp;T$1&amp;"P"&amp;$A39))/1000000,($A$4*$A$4*RTD("tos.rtd",,"VOLUME","."&amp;T$2&amp;T$1&amp;"C"&amp;$A39)*RTD("tos.rtd",,"GAMMA","."&amp;T$2&amp;T$1&amp;"C"&amp;$A39)-$A$4*$A$4*RTD("tos.rtd",,"VOLUME","."&amp;T$2&amp;T$1&amp;"P"&amp;$A39)*RTD("tos.rtd",,"GAMMA","."&amp;T$2&amp;T$1&amp;"P"&amp;$A39))/1000000),0),IF($A$2="GEX",IFERROR(IF($X$1="ABS",($A$4*$A$4*RTD("tos.rtd",,"OPEN_INT","."&amp;T$2&amp;T$1&amp;"C"&amp;$A39)*RTD("tos.rtd",,"GAMMA","."&amp;T$2&amp;T$1&amp;"C"&amp;$A39)+$A$4*$A$4*RTD("tos.rtd",,"OPEN_INT","."&amp;T$2&amp;T$1&amp;"P"&amp;$A39)*RTD("tos.rtd",,"GAMMA","."&amp;T$2&amp;T$1&amp;"P"&amp;$A39))/1000000,($A$4*$A$4*RTD("tos.rtd",,"OPEN_INT","."&amp;T$2&amp;T$1&amp;"C"&amp;$A39)*RTD("tos.rtd",,"GAMMA","."&amp;T$2&amp;T$1&amp;"C"&amp;$A39)-$A$4*$A$4*RTD("tos.rtd",,"OPEN_INT","."&amp;T$2&amp;T$1&amp;"P"&amp;$A39)*RTD("tos.rtd",,"GAMMA","."&amp;T$2&amp;T$1&amp;"P"&amp;$A39))/1000000),0),IF($A$2="SKEW",IFERROR(VALUE(IF(RTD("tos.rtd",,"IMPL_VOL","."&amp;T$2&amp;T$1&amp;"P"&amp;$A39)="N/A",0,RTD("tos.rtd",,"IMPL_VOL","."&amp;T$2&amp;T$1&amp;"P"&amp;$A39))),0)-IFERROR(VALUE(IF(RTD("tos.rtd",,"IMPL_VOL","."&amp;T$2&amp;T$1&amp;"C"&amp;$A39)="N/A",0,RTD("tos.rtd",,"IMPL_VOL","."&amp;T$2&amp;T$1&amp;"C"&amp;$A39))),0),IF($A$2="MAXPAIN",IF($A$4&gt;$A39,($A$4-$A39)*IF(RTD("tos.rtd",,"OPEN_INT","."&amp;T$2&amp;T$1&amp;"C"&amp;$A39)="N/A",0,RTD("tos.rtd",,"OPEN_INT","."&amp;T$2&amp;T$1&amp;"C"&amp;$A39)),0)+IF($A$4&lt;$A39,($A$5-$A$4)*IF(RTD("tos.rtd",,"OPEN_INT","."&amp;T$2&amp;T$1&amp;"P"&amp;$A39)="N/A",0,RTD("tos.rtd",,"OPEN_INT","."&amp;T$2&amp;T$1&amp;"P"&amp;$A39)),0),IF($X$1="ABS",IF(RTD("tos.rtd",,$A$2,"."&amp;T$2&amp;T$1&amp;"C"&amp;$A39)="N/A",0,RTD("tos.rtd",,$A$2,"."&amp;T$2&amp;T$1&amp;"C"&amp;$A39))+IF(RTD("tos.rtd",,$A$2,"."&amp;T$2&amp;T$1&amp;"P"&amp;$A39)="N/A",0,RTD("tos.rtd",,$A$2,"."&amp;T$2&amp;T$1&amp;"P"&amp;$A39)),IF(RTD("tos.rtd",,$A$2,"."&amp;T$2&amp;T$1&amp;"C"&amp;$A39)="N/A",0,RTD("tos.rtd",,$A$2,"."&amp;T$2&amp;T$1&amp;"C"&amp;$A39))-IF(RTD("tos.rtd",,$A$2,"."&amp;T$2&amp;T$1&amp;"P"&amp;$A39)="N/A",0,RTD("tos.rtd",,$A$2,"."&amp;T$2&amp;T$1&amp;"P"&amp;$A39))))))))))</f>
        <v>0</v>
      </c>
      <c r="U39" s="12">
        <f ca="1">IF($A$2="PREMIUM_OI",IFERROR(IF($X$1="ABS",(100*RTD("tos.rtd",,"OPEN_INT","."&amp;U$2&amp;U$1&amp;"C"&amp;$A39)*RTD("tos.rtd",,"LAST","."&amp;U$2&amp;U$1&amp;"C"&amp;$A39)+100*RTD("tos.rtd",,"OPEN_INT","."&amp;U$2&amp;U$1&amp;"P"&amp;$A39)*RTD("tos.rtd",,"LAST","."&amp;U$2&amp;U$1&amp;"P"&amp;$A39))/1000000,(100*RTD("tos.rtd",,"OPEN_INT","."&amp;U$2&amp;U$1&amp;"C"&amp;$A39)*RTD("tos.rtd",,"LAST","."&amp;U$2&amp;U$1&amp;"C"&amp;$A39)-100*RTD("tos.rtd",,"OPEN_INT","."&amp;U$2&amp;U$1&amp;"P"&amp;$A39)*RTD("tos.rtd",,"LAST","."&amp;U$2&amp;U$1&amp;"P"&amp;$A39))/1000000),0),IF($A$2="PREMIUM",IFERROR(IF($X$1="ABS",(100*RTD("tos.rtd",,"VOLUME","."&amp;U$2&amp;U$1&amp;"C"&amp;$A39)*RTD("tos.rtd",,"LAST","."&amp;U$2&amp;U$1&amp;"C"&amp;$A39)+100*RTD("tos.rtd",,"VOLUME","."&amp;U$2&amp;U$1&amp;"P"&amp;$A39)*RTD("tos.rtd",,"LAST","."&amp;U$2&amp;U$1&amp;"P"&amp;$A39))/1000000,(100*RTD("tos.rtd",,"VOLUME","."&amp;U$2&amp;U$1&amp;"C"&amp;$A39)*RTD("tos.rtd",,"LAST","."&amp;U$2&amp;U$1&amp;"C"&amp;$A39)-100*RTD("tos.rtd",,"VOLUME","."&amp;U$2&amp;U$1&amp;"P"&amp;$A39)*RTD("tos.rtd",,"LAST","."&amp;U$2&amp;U$1&amp;"P"&amp;$A39))/1000000),0),IF($A$2="DEX",IFERROR(IF($X$1="ABS",(100*RTD("tos.rtd",,"OPEN_INT","."&amp;U$2&amp;U$1&amp;"C"&amp;$A39)*RTD("tos.rtd",,"DELTA","."&amp;U$2&amp;U$1&amp;"C"&amp;$A39)+100*RTD("tos.rtd",,"OPEN_INT","."&amp;U$2&amp;U$1&amp;"P"&amp;$A39)*RTD("tos.rtd",,"DELTA","."&amp;U$2&amp;U$1&amp;"P"&amp;$A39))/1000,(100*RTD("tos.rtd",,"OPEN_INT","."&amp;U$2&amp;U$1&amp;"C"&amp;$A39)*RTD("tos.rtd",,"DELTA","."&amp;U$2&amp;U$1&amp;"C"&amp;$A39)-100*RTD("tos.rtd",,"OPEN_INT","."&amp;U$2&amp;U$1&amp;"P"&amp;$A39)*RTD("tos.rtd",,"DELTA","."&amp;U$2&amp;U$1&amp;"P"&amp;$A39))/1000),0),IF($A$2="VEX",IFERROR(IF($X$1="ABS",($A$4*$A$4*RTD("tos.rtd",,"VOLUME","."&amp;U$2&amp;U$1&amp;"C"&amp;$A39)*RTD("tos.rtd",,"GAMMA","."&amp;U$2&amp;U$1&amp;"C"&amp;$A39)+$A$4*$A$4*RTD("tos.rtd",,"VOLUME","."&amp;U$2&amp;U$1&amp;"P"&amp;$A39)*RTD("tos.rtd",,"GAMMA","."&amp;U$2&amp;U$1&amp;"P"&amp;$A39))/1000000,($A$4*$A$4*RTD("tos.rtd",,"VOLUME","."&amp;U$2&amp;U$1&amp;"C"&amp;$A39)*RTD("tos.rtd",,"GAMMA","."&amp;U$2&amp;U$1&amp;"C"&amp;$A39)-$A$4*$A$4*RTD("tos.rtd",,"VOLUME","."&amp;U$2&amp;U$1&amp;"P"&amp;$A39)*RTD("tos.rtd",,"GAMMA","."&amp;U$2&amp;U$1&amp;"P"&amp;$A39))/1000000),0),IF($A$2="GEX",IFERROR(IF($X$1="ABS",($A$4*$A$4*RTD("tos.rtd",,"OPEN_INT","."&amp;U$2&amp;U$1&amp;"C"&amp;$A39)*RTD("tos.rtd",,"GAMMA","."&amp;U$2&amp;U$1&amp;"C"&amp;$A39)+$A$4*$A$4*RTD("tos.rtd",,"OPEN_INT","."&amp;U$2&amp;U$1&amp;"P"&amp;$A39)*RTD("tos.rtd",,"GAMMA","."&amp;U$2&amp;U$1&amp;"P"&amp;$A39))/1000000,($A$4*$A$4*RTD("tos.rtd",,"OPEN_INT","."&amp;U$2&amp;U$1&amp;"C"&amp;$A39)*RTD("tos.rtd",,"GAMMA","."&amp;U$2&amp;U$1&amp;"C"&amp;$A39)-$A$4*$A$4*RTD("tos.rtd",,"OPEN_INT","."&amp;U$2&amp;U$1&amp;"P"&amp;$A39)*RTD("tos.rtd",,"GAMMA","."&amp;U$2&amp;U$1&amp;"P"&amp;$A39))/1000000),0),IF($A$2="SKEW",IFERROR(VALUE(IF(RTD("tos.rtd",,"IMPL_VOL","."&amp;U$2&amp;U$1&amp;"P"&amp;$A39)="N/A",0,RTD("tos.rtd",,"IMPL_VOL","."&amp;U$2&amp;U$1&amp;"P"&amp;$A39))),0)-IFERROR(VALUE(IF(RTD("tos.rtd",,"IMPL_VOL","."&amp;U$2&amp;U$1&amp;"C"&amp;$A39)="N/A",0,RTD("tos.rtd",,"IMPL_VOL","."&amp;U$2&amp;U$1&amp;"C"&amp;$A39))),0),IF($A$2="MAXPAIN",IF($A$4&gt;$A39,($A$4-$A39)*IF(RTD("tos.rtd",,"OPEN_INT","."&amp;U$2&amp;U$1&amp;"C"&amp;$A39)="N/A",0,RTD("tos.rtd",,"OPEN_INT","."&amp;U$2&amp;U$1&amp;"C"&amp;$A39)),0)+IF($A$4&lt;$A39,($A$5-$A$4)*IF(RTD("tos.rtd",,"OPEN_INT","."&amp;U$2&amp;U$1&amp;"P"&amp;$A39)="N/A",0,RTD("tos.rtd",,"OPEN_INT","."&amp;U$2&amp;U$1&amp;"P"&amp;$A39)),0),IF($X$1="ABS",IF(RTD("tos.rtd",,$A$2,"."&amp;U$2&amp;U$1&amp;"C"&amp;$A39)="N/A",0,RTD("tos.rtd",,$A$2,"."&amp;U$2&amp;U$1&amp;"C"&amp;$A39))+IF(RTD("tos.rtd",,$A$2,"."&amp;U$2&amp;U$1&amp;"P"&amp;$A39)="N/A",0,RTD("tos.rtd",,$A$2,"."&amp;U$2&amp;U$1&amp;"P"&amp;$A39)),IF(RTD("tos.rtd",,$A$2,"."&amp;U$2&amp;U$1&amp;"C"&amp;$A39)="N/A",0,RTD("tos.rtd",,$A$2,"."&amp;U$2&amp;U$1&amp;"C"&amp;$A39))-IF(RTD("tos.rtd",,$A$2,"."&amp;U$2&amp;U$1&amp;"P"&amp;$A39)="N/A",0,RTD("tos.rtd",,$A$2,"."&amp;U$2&amp;U$1&amp;"P"&amp;$A39))))))))))</f>
        <v>0</v>
      </c>
      <c r="V39" s="12">
        <f ca="1">IF($A$2="PREMIUM_OI",IFERROR(IF($X$1="ABS",(100*RTD("tos.rtd",,"OPEN_INT","."&amp;V$2&amp;V$1&amp;"C"&amp;$A39)*RTD("tos.rtd",,"LAST","."&amp;V$2&amp;V$1&amp;"C"&amp;$A39)+100*RTD("tos.rtd",,"OPEN_INT","."&amp;V$2&amp;V$1&amp;"P"&amp;$A39)*RTD("tos.rtd",,"LAST","."&amp;V$2&amp;V$1&amp;"P"&amp;$A39))/1000000,(100*RTD("tos.rtd",,"OPEN_INT","."&amp;V$2&amp;V$1&amp;"C"&amp;$A39)*RTD("tos.rtd",,"LAST","."&amp;V$2&amp;V$1&amp;"C"&amp;$A39)-100*RTD("tos.rtd",,"OPEN_INT","."&amp;V$2&amp;V$1&amp;"P"&amp;$A39)*RTD("tos.rtd",,"LAST","."&amp;V$2&amp;V$1&amp;"P"&amp;$A39))/1000000),0),IF($A$2="PREMIUM",IFERROR(IF($X$1="ABS",(100*RTD("tos.rtd",,"VOLUME","."&amp;V$2&amp;V$1&amp;"C"&amp;$A39)*RTD("tos.rtd",,"LAST","."&amp;V$2&amp;V$1&amp;"C"&amp;$A39)+100*RTD("tos.rtd",,"VOLUME","."&amp;V$2&amp;V$1&amp;"P"&amp;$A39)*RTD("tos.rtd",,"LAST","."&amp;V$2&amp;V$1&amp;"P"&amp;$A39))/1000000,(100*RTD("tos.rtd",,"VOLUME","."&amp;V$2&amp;V$1&amp;"C"&amp;$A39)*RTD("tos.rtd",,"LAST","."&amp;V$2&amp;V$1&amp;"C"&amp;$A39)-100*RTD("tos.rtd",,"VOLUME","."&amp;V$2&amp;V$1&amp;"P"&amp;$A39)*RTD("tos.rtd",,"LAST","."&amp;V$2&amp;V$1&amp;"P"&amp;$A39))/1000000),0),IF($A$2="DEX",IFERROR(IF($X$1="ABS",(100*RTD("tos.rtd",,"OPEN_INT","."&amp;V$2&amp;V$1&amp;"C"&amp;$A39)*RTD("tos.rtd",,"DELTA","."&amp;V$2&amp;V$1&amp;"C"&amp;$A39)+100*RTD("tos.rtd",,"OPEN_INT","."&amp;V$2&amp;V$1&amp;"P"&amp;$A39)*RTD("tos.rtd",,"DELTA","."&amp;V$2&amp;V$1&amp;"P"&amp;$A39))/1000,(100*RTD("tos.rtd",,"OPEN_INT","."&amp;V$2&amp;V$1&amp;"C"&amp;$A39)*RTD("tos.rtd",,"DELTA","."&amp;V$2&amp;V$1&amp;"C"&amp;$A39)-100*RTD("tos.rtd",,"OPEN_INT","."&amp;V$2&amp;V$1&amp;"P"&amp;$A39)*RTD("tos.rtd",,"DELTA","."&amp;V$2&amp;V$1&amp;"P"&amp;$A39))/1000),0),IF($A$2="VEX",IFERROR(IF($X$1="ABS",($A$4*$A$4*RTD("tos.rtd",,"VOLUME","."&amp;V$2&amp;V$1&amp;"C"&amp;$A39)*RTD("tos.rtd",,"GAMMA","."&amp;V$2&amp;V$1&amp;"C"&amp;$A39)+$A$4*$A$4*RTD("tos.rtd",,"VOLUME","."&amp;V$2&amp;V$1&amp;"P"&amp;$A39)*RTD("tos.rtd",,"GAMMA","."&amp;V$2&amp;V$1&amp;"P"&amp;$A39))/1000000,($A$4*$A$4*RTD("tos.rtd",,"VOLUME","."&amp;V$2&amp;V$1&amp;"C"&amp;$A39)*RTD("tos.rtd",,"GAMMA","."&amp;V$2&amp;V$1&amp;"C"&amp;$A39)-$A$4*$A$4*RTD("tos.rtd",,"VOLUME","."&amp;V$2&amp;V$1&amp;"P"&amp;$A39)*RTD("tos.rtd",,"GAMMA","."&amp;V$2&amp;V$1&amp;"P"&amp;$A39))/1000000),0),IF($A$2="GEX",IFERROR(IF($X$1="ABS",($A$4*$A$4*RTD("tos.rtd",,"OPEN_INT","."&amp;V$2&amp;V$1&amp;"C"&amp;$A39)*RTD("tos.rtd",,"GAMMA","."&amp;V$2&amp;V$1&amp;"C"&amp;$A39)+$A$4*$A$4*RTD("tos.rtd",,"OPEN_INT","."&amp;V$2&amp;V$1&amp;"P"&amp;$A39)*RTD("tos.rtd",,"GAMMA","."&amp;V$2&amp;V$1&amp;"P"&amp;$A39))/1000000,($A$4*$A$4*RTD("tos.rtd",,"OPEN_INT","."&amp;V$2&amp;V$1&amp;"C"&amp;$A39)*RTD("tos.rtd",,"GAMMA","."&amp;V$2&amp;V$1&amp;"C"&amp;$A39)-$A$4*$A$4*RTD("tos.rtd",,"OPEN_INT","."&amp;V$2&amp;V$1&amp;"P"&amp;$A39)*RTD("tos.rtd",,"GAMMA","."&amp;V$2&amp;V$1&amp;"P"&amp;$A39))/1000000),0),IF($A$2="SKEW",IFERROR(VALUE(IF(RTD("tos.rtd",,"IMPL_VOL","."&amp;V$2&amp;V$1&amp;"P"&amp;$A39)="N/A",0,RTD("tos.rtd",,"IMPL_VOL","."&amp;V$2&amp;V$1&amp;"P"&amp;$A39))),0)-IFERROR(VALUE(IF(RTD("tos.rtd",,"IMPL_VOL","."&amp;V$2&amp;V$1&amp;"C"&amp;$A39)="N/A",0,RTD("tos.rtd",,"IMPL_VOL","."&amp;V$2&amp;V$1&amp;"C"&amp;$A39))),0),IF($A$2="MAXPAIN",IF($A$4&gt;$A39,($A$4-$A39)*IF(RTD("tos.rtd",,"OPEN_INT","."&amp;V$2&amp;V$1&amp;"C"&amp;$A39)="N/A",0,RTD("tos.rtd",,"OPEN_INT","."&amp;V$2&amp;V$1&amp;"C"&amp;$A39)),0)+IF($A$4&lt;$A39,($A$5-$A$4)*IF(RTD("tos.rtd",,"OPEN_INT","."&amp;V$2&amp;V$1&amp;"P"&amp;$A39)="N/A",0,RTD("tos.rtd",,"OPEN_INT","."&amp;V$2&amp;V$1&amp;"P"&amp;$A39)),0),IF($X$1="ABS",IF(RTD("tos.rtd",,$A$2,"."&amp;V$2&amp;V$1&amp;"C"&amp;$A39)="N/A",0,RTD("tos.rtd",,$A$2,"."&amp;V$2&amp;V$1&amp;"C"&amp;$A39))+IF(RTD("tos.rtd",,$A$2,"."&amp;V$2&amp;V$1&amp;"P"&amp;$A39)="N/A",0,RTD("tos.rtd",,$A$2,"."&amp;V$2&amp;V$1&amp;"P"&amp;$A39)),IF(RTD("tos.rtd",,$A$2,"."&amp;V$2&amp;V$1&amp;"C"&amp;$A39)="N/A",0,RTD("tos.rtd",,$A$2,"."&amp;V$2&amp;V$1&amp;"C"&amp;$A39))-IF(RTD("tos.rtd",,$A$2,"."&amp;V$2&amp;V$1&amp;"P"&amp;$A39)="N/A",0,RTD("tos.rtd",,$A$2,"."&amp;V$2&amp;V$1&amp;"P"&amp;$A39))))))))))</f>
        <v>0</v>
      </c>
      <c r="W39" s="12">
        <f ca="1">IF($A$2="PREMIUM_OI",IFERROR(IF($X$1="ABS",(100*RTD("tos.rtd",,"OPEN_INT","."&amp;W$2&amp;W$1&amp;"C"&amp;$A39)*RTD("tos.rtd",,"LAST","."&amp;W$2&amp;W$1&amp;"C"&amp;$A39)+100*RTD("tos.rtd",,"OPEN_INT","."&amp;W$2&amp;W$1&amp;"P"&amp;$A39)*RTD("tos.rtd",,"LAST","."&amp;W$2&amp;W$1&amp;"P"&amp;$A39))/1000000,(100*RTD("tos.rtd",,"OPEN_INT","."&amp;W$2&amp;W$1&amp;"C"&amp;$A39)*RTD("tos.rtd",,"LAST","."&amp;W$2&amp;W$1&amp;"C"&amp;$A39)-100*RTD("tos.rtd",,"OPEN_INT","."&amp;W$2&amp;W$1&amp;"P"&amp;$A39)*RTD("tos.rtd",,"LAST","."&amp;W$2&amp;W$1&amp;"P"&amp;$A39))/1000000),0),IF($A$2="PREMIUM",IFERROR(IF($X$1="ABS",(100*RTD("tos.rtd",,"VOLUME","."&amp;W$2&amp;W$1&amp;"C"&amp;$A39)*RTD("tos.rtd",,"LAST","."&amp;W$2&amp;W$1&amp;"C"&amp;$A39)+100*RTD("tos.rtd",,"VOLUME","."&amp;W$2&amp;W$1&amp;"P"&amp;$A39)*RTD("tos.rtd",,"LAST","."&amp;W$2&amp;W$1&amp;"P"&amp;$A39))/1000000,(100*RTD("tos.rtd",,"VOLUME","."&amp;W$2&amp;W$1&amp;"C"&amp;$A39)*RTD("tos.rtd",,"LAST","."&amp;W$2&amp;W$1&amp;"C"&amp;$A39)-100*RTD("tos.rtd",,"VOLUME","."&amp;W$2&amp;W$1&amp;"P"&amp;$A39)*RTD("tos.rtd",,"LAST","."&amp;W$2&amp;W$1&amp;"P"&amp;$A39))/1000000),0),IF($A$2="DEX",IFERROR(IF($X$1="ABS",(100*RTD("tos.rtd",,"OPEN_INT","."&amp;W$2&amp;W$1&amp;"C"&amp;$A39)*RTD("tos.rtd",,"DELTA","."&amp;W$2&amp;W$1&amp;"C"&amp;$A39)+100*RTD("tos.rtd",,"OPEN_INT","."&amp;W$2&amp;W$1&amp;"P"&amp;$A39)*RTD("tos.rtd",,"DELTA","."&amp;W$2&amp;W$1&amp;"P"&amp;$A39))/1000,(100*RTD("tos.rtd",,"OPEN_INT","."&amp;W$2&amp;W$1&amp;"C"&amp;$A39)*RTD("tos.rtd",,"DELTA","."&amp;W$2&amp;W$1&amp;"C"&amp;$A39)-100*RTD("tos.rtd",,"OPEN_INT","."&amp;W$2&amp;W$1&amp;"P"&amp;$A39)*RTD("tos.rtd",,"DELTA","."&amp;W$2&amp;W$1&amp;"P"&amp;$A39))/1000),0),IF($A$2="VEX",IFERROR(IF($X$1="ABS",($A$4*$A$4*RTD("tos.rtd",,"VOLUME","."&amp;W$2&amp;W$1&amp;"C"&amp;$A39)*RTD("tos.rtd",,"GAMMA","."&amp;W$2&amp;W$1&amp;"C"&amp;$A39)+$A$4*$A$4*RTD("tos.rtd",,"VOLUME","."&amp;W$2&amp;W$1&amp;"P"&amp;$A39)*RTD("tos.rtd",,"GAMMA","."&amp;W$2&amp;W$1&amp;"P"&amp;$A39))/1000000,($A$4*$A$4*RTD("tos.rtd",,"VOLUME","."&amp;W$2&amp;W$1&amp;"C"&amp;$A39)*RTD("tos.rtd",,"GAMMA","."&amp;W$2&amp;W$1&amp;"C"&amp;$A39)-$A$4*$A$4*RTD("tos.rtd",,"VOLUME","."&amp;W$2&amp;W$1&amp;"P"&amp;$A39)*RTD("tos.rtd",,"GAMMA","."&amp;W$2&amp;W$1&amp;"P"&amp;$A39))/1000000),0),IF($A$2="GEX",IFERROR(IF($X$1="ABS",($A$4*$A$4*RTD("tos.rtd",,"OPEN_INT","."&amp;W$2&amp;W$1&amp;"C"&amp;$A39)*RTD("tos.rtd",,"GAMMA","."&amp;W$2&amp;W$1&amp;"C"&amp;$A39)+$A$4*$A$4*RTD("tos.rtd",,"OPEN_INT","."&amp;W$2&amp;W$1&amp;"P"&amp;$A39)*RTD("tos.rtd",,"GAMMA","."&amp;W$2&amp;W$1&amp;"P"&amp;$A39))/1000000,($A$4*$A$4*RTD("tos.rtd",,"OPEN_INT","."&amp;W$2&amp;W$1&amp;"C"&amp;$A39)*RTD("tos.rtd",,"GAMMA","."&amp;W$2&amp;W$1&amp;"C"&amp;$A39)-$A$4*$A$4*RTD("tos.rtd",,"OPEN_INT","."&amp;W$2&amp;W$1&amp;"P"&amp;$A39)*RTD("tos.rtd",,"GAMMA","."&amp;W$2&amp;W$1&amp;"P"&amp;$A39))/1000000),0),IF($A$2="SKEW",IFERROR(VALUE(IF(RTD("tos.rtd",,"IMPL_VOL","."&amp;W$2&amp;W$1&amp;"P"&amp;$A39)="N/A",0,RTD("tos.rtd",,"IMPL_VOL","."&amp;W$2&amp;W$1&amp;"P"&amp;$A39))),0)-IFERROR(VALUE(IF(RTD("tos.rtd",,"IMPL_VOL","."&amp;W$2&amp;W$1&amp;"C"&amp;$A39)="N/A",0,RTD("tos.rtd",,"IMPL_VOL","."&amp;W$2&amp;W$1&amp;"C"&amp;$A39))),0),IF($A$2="MAXPAIN",IF($A$4&gt;$A39,($A$4-$A39)*IF(RTD("tos.rtd",,"OPEN_INT","."&amp;W$2&amp;W$1&amp;"C"&amp;$A39)="N/A",0,RTD("tos.rtd",,"OPEN_INT","."&amp;W$2&amp;W$1&amp;"C"&amp;$A39)),0)+IF($A$4&lt;$A39,($A$5-$A$4)*IF(RTD("tos.rtd",,"OPEN_INT","."&amp;W$2&amp;W$1&amp;"P"&amp;$A39)="N/A",0,RTD("tos.rtd",,"OPEN_INT","."&amp;W$2&amp;W$1&amp;"P"&amp;$A39)),0),IF($X$1="ABS",IF(RTD("tos.rtd",,$A$2,"."&amp;W$2&amp;W$1&amp;"C"&amp;$A39)="N/A",0,RTD("tos.rtd",,$A$2,"."&amp;W$2&amp;W$1&amp;"C"&amp;$A39))+IF(RTD("tos.rtd",,$A$2,"."&amp;W$2&amp;W$1&amp;"P"&amp;$A39)="N/A",0,RTD("tos.rtd",,$A$2,"."&amp;W$2&amp;W$1&amp;"P"&amp;$A39)),IF(RTD("tos.rtd",,$A$2,"."&amp;W$2&amp;W$1&amp;"C"&amp;$A39)="N/A",0,RTD("tos.rtd",,$A$2,"."&amp;W$2&amp;W$1&amp;"C"&amp;$A39))-IF(RTD("tos.rtd",,$A$2,"."&amp;W$2&amp;W$1&amp;"P"&amp;$A39)="N/A",0,RTD("tos.rtd",,$A$2,"."&amp;W$2&amp;W$1&amp;"P"&amp;$A39))))))))))</f>
        <v>0</v>
      </c>
      <c r="X39" s="57">
        <f t="shared" ca="1" si="7"/>
        <v>-18066</v>
      </c>
      <c r="Y39" s="27">
        <f t="shared" ca="1" si="8"/>
        <v>-18066</v>
      </c>
      <c r="Z39" s="27">
        <f t="shared" ca="1" si="9"/>
        <v>1650.6666666666667</v>
      </c>
      <c r="AA39" s="27">
        <f t="shared" si="10"/>
        <v>17739700</v>
      </c>
      <c r="AB39" s="18">
        <f>MAX(0, $A39-AB$4)*IF(RTD("tos.rtd",,"OPEN_INT","."&amp;$AA$3&amp;$AA$4&amp;"C"&amp;AB$4)="N/A",0,RTD("tos.rtd",,"OPEN_INT","."&amp;$AA$3&amp;$AA$4&amp;"C"&amp;AB$4))*100 + MAX(0, AB$4-$A39)*IF(RTD("tos.rtd",,"OPEN_INT","."&amp;$AA$3&amp;$AA$4&amp;"P"&amp;AB$4)="N/A",0,RTD("tos.rtd",,"OPEN_INT","."&amp;$AA$3&amp;$AA$4&amp;"P"&amp;AB$4))*100</f>
        <v>0</v>
      </c>
      <c r="AC39" s="18">
        <f>MAX(0, $A39-AC$4)*IF(RTD("tos.rtd",,"OPEN_INT","."&amp;$AA$3&amp;$AA$4&amp;"C"&amp;AC$4)="N/A",0,RTD("tos.rtd",,"OPEN_INT","."&amp;$AA$3&amp;$AA$4&amp;"C"&amp;AC$4))*100 + MAX(0, AC$4-$A39)*IF(RTD("tos.rtd",,"OPEN_INT","."&amp;$AA$3&amp;$AA$4&amp;"P"&amp;AC$4)="N/A",0,RTD("tos.rtd",,"OPEN_INT","."&amp;$AA$3&amp;$AA$4&amp;"P"&amp;AC$4))*100</f>
        <v>0</v>
      </c>
      <c r="AD39" s="18">
        <f>MAX(0, $A39-AD$4)*IF(RTD("tos.rtd",,"OPEN_INT","."&amp;$AA$3&amp;$AA$4&amp;"C"&amp;AD$4)="N/A",0,RTD("tos.rtd",,"OPEN_INT","."&amp;$AA$3&amp;$AA$4&amp;"C"&amp;AD$4))*100 + MAX(0, AD$4-$A39)*IF(RTD("tos.rtd",,"OPEN_INT","."&amp;$AA$3&amp;$AA$4&amp;"P"&amp;AD$4)="N/A",0,RTD("tos.rtd",,"OPEN_INT","."&amp;$AA$3&amp;$AA$4&amp;"P"&amp;AD$4))*100</f>
        <v>0</v>
      </c>
      <c r="AE39" s="18">
        <f>MAX(0, $A39-AE$4)*IF(RTD("tos.rtd",,"OPEN_INT","."&amp;$AA$3&amp;$AA$4&amp;"C"&amp;AE$4)="N/A",0,RTD("tos.rtd",,"OPEN_INT","."&amp;$AA$3&amp;$AA$4&amp;"C"&amp;AE$4))*100 + MAX(0, AE$4-$A39)*IF(RTD("tos.rtd",,"OPEN_INT","."&amp;$AA$3&amp;$AA$4&amp;"P"&amp;AE$4)="N/A",0,RTD("tos.rtd",,"OPEN_INT","."&amp;$AA$3&amp;$AA$4&amp;"P"&amp;AE$4))*100</f>
        <v>0</v>
      </c>
      <c r="AF39" s="18">
        <f>MAX(0, $A39-AF$4)*IF(RTD("tos.rtd",,"OPEN_INT","."&amp;$AA$3&amp;$AA$4&amp;"C"&amp;AF$4)="N/A",0,RTD("tos.rtd",,"OPEN_INT","."&amp;$AA$3&amp;$AA$4&amp;"C"&amp;AF$4))*100 + MAX(0, AF$4-$A39)*IF(RTD("tos.rtd",,"OPEN_INT","."&amp;$AA$3&amp;$AA$4&amp;"P"&amp;AF$4)="N/A",0,RTD("tos.rtd",,"OPEN_INT","."&amp;$AA$3&amp;$AA$4&amp;"P"&amp;AF$4))*100</f>
        <v>0</v>
      </c>
      <c r="AG39" s="18">
        <f>MAX(0, $A39-AG$4)*IF(RTD("tos.rtd",,"OPEN_INT","."&amp;$AA$3&amp;$AA$4&amp;"C"&amp;AG$4)="N/A",0,RTD("tos.rtd",,"OPEN_INT","."&amp;$AA$3&amp;$AA$4&amp;"C"&amp;AG$4))*100 + MAX(0, AG$4-$A39)*IF(RTD("tos.rtd",,"OPEN_INT","."&amp;$AA$3&amp;$AA$4&amp;"P"&amp;AG$4)="N/A",0,RTD("tos.rtd",,"OPEN_INT","."&amp;$AA$3&amp;$AA$4&amp;"P"&amp;AG$4))*100</f>
        <v>0</v>
      </c>
      <c r="AH39" s="18">
        <f>MAX(0, $A39-AH$4)*IF(RTD("tos.rtd",,"OPEN_INT","."&amp;$AA$3&amp;$AA$4&amp;"C"&amp;AH$4)="N/A",0,RTD("tos.rtd",,"OPEN_INT","."&amp;$AA$3&amp;$AA$4&amp;"C"&amp;AH$4))*100 + MAX(0, AH$4-$A39)*IF(RTD("tos.rtd",,"OPEN_INT","."&amp;$AA$3&amp;$AA$4&amp;"P"&amp;AH$4)="N/A",0,RTD("tos.rtd",,"OPEN_INT","."&amp;$AA$3&amp;$AA$4&amp;"P"&amp;AH$4))*100</f>
        <v>0</v>
      </c>
      <c r="AI39" s="18">
        <f>MAX(0, $A39-AI$4)*IF(RTD("tos.rtd",,"OPEN_INT","."&amp;$AA$3&amp;$AA$4&amp;"C"&amp;AI$4)="N/A",0,RTD("tos.rtd",,"OPEN_INT","."&amp;$AA$3&amp;$AA$4&amp;"C"&amp;AI$4))*100 + MAX(0, AI$4-$A39)*IF(RTD("tos.rtd",,"OPEN_INT","."&amp;$AA$3&amp;$AA$4&amp;"P"&amp;AI$4)="N/A",0,RTD("tos.rtd",,"OPEN_INT","."&amp;$AA$3&amp;$AA$4&amp;"P"&amp;AI$4))*100</f>
        <v>4050</v>
      </c>
      <c r="AJ39" s="18">
        <f>MAX(0, $A39-AJ$4)*IF(RTD("tos.rtd",,"OPEN_INT","."&amp;$AA$3&amp;$AA$4&amp;"C"&amp;AJ$4)="N/A",0,RTD("tos.rtd",,"OPEN_INT","."&amp;$AA$3&amp;$AA$4&amp;"C"&amp;AJ$4))*100 + MAX(0, AJ$4-$A39)*IF(RTD("tos.rtd",,"OPEN_INT","."&amp;$AA$3&amp;$AA$4&amp;"P"&amp;AJ$4)="N/A",0,RTD("tos.rtd",,"OPEN_INT","."&amp;$AA$3&amp;$AA$4&amp;"P"&amp;AJ$4))*100</f>
        <v>10400</v>
      </c>
      <c r="AK39" s="18">
        <f>MAX(0, $A39-AK$4)*IF(RTD("tos.rtd",,"OPEN_INT","."&amp;$AA$3&amp;$AA$4&amp;"C"&amp;AK$4)="N/A",0,RTD("tos.rtd",,"OPEN_INT","."&amp;$AA$3&amp;$AA$4&amp;"C"&amp;AK$4))*100 + MAX(0, AK$4-$A39)*IF(RTD("tos.rtd",,"OPEN_INT","."&amp;$AA$3&amp;$AA$4&amp;"P"&amp;AK$4)="N/A",0,RTD("tos.rtd",,"OPEN_INT","."&amp;$AA$3&amp;$AA$4&amp;"P"&amp;AK$4))*100</f>
        <v>0</v>
      </c>
      <c r="AL39" s="18">
        <f>MAX(0, $A39-AL$4)*IF(RTD("tos.rtd",,"OPEN_INT","."&amp;$AA$3&amp;$AA$4&amp;"C"&amp;AL$4)="N/A",0,RTD("tos.rtd",,"OPEN_INT","."&amp;$AA$3&amp;$AA$4&amp;"C"&amp;AL$4))*100 + MAX(0, AL$4-$A39)*IF(RTD("tos.rtd",,"OPEN_INT","."&amp;$AA$3&amp;$AA$4&amp;"P"&amp;AL$4)="N/A",0,RTD("tos.rtd",,"OPEN_INT","."&amp;$AA$3&amp;$AA$4&amp;"P"&amp;AL$4))*100</f>
        <v>0</v>
      </c>
      <c r="AM39" s="18">
        <f>MAX(0, $A39-AM$4)*IF(RTD("tos.rtd",,"OPEN_INT","."&amp;$AA$3&amp;$AA$4&amp;"C"&amp;AM$4)="N/A",0,RTD("tos.rtd",,"OPEN_INT","."&amp;$AA$3&amp;$AA$4&amp;"C"&amp;AM$4))*100 + MAX(0, AM$4-$A39)*IF(RTD("tos.rtd",,"OPEN_INT","."&amp;$AA$3&amp;$AA$4&amp;"P"&amp;AM$4)="N/A",0,RTD("tos.rtd",,"OPEN_INT","."&amp;$AA$3&amp;$AA$4&amp;"P"&amp;AM$4))*100</f>
        <v>0</v>
      </c>
      <c r="AN39" s="18">
        <f>MAX(0, $A39-AN$4)*IF(RTD("tos.rtd",,"OPEN_INT","."&amp;$AA$3&amp;$AA$4&amp;"C"&amp;AN$4)="N/A",0,RTD("tos.rtd",,"OPEN_INT","."&amp;$AA$3&amp;$AA$4&amp;"C"&amp;AN$4))*100 + MAX(0, AN$4-$A39)*IF(RTD("tos.rtd",,"OPEN_INT","."&amp;$AA$3&amp;$AA$4&amp;"P"&amp;AN$4)="N/A",0,RTD("tos.rtd",,"OPEN_INT","."&amp;$AA$3&amp;$AA$4&amp;"P"&amp;AN$4))*100</f>
        <v>0</v>
      </c>
      <c r="AO39" s="18">
        <f>MAX(0, $A39-AO$4)*IF(RTD("tos.rtd",,"OPEN_INT","."&amp;$AA$3&amp;$AA$4&amp;"C"&amp;AO$4)="N/A",0,RTD("tos.rtd",,"OPEN_INT","."&amp;$AA$3&amp;$AA$4&amp;"C"&amp;AO$4))*100 + MAX(0, AO$4-$A39)*IF(RTD("tos.rtd",,"OPEN_INT","."&amp;$AA$3&amp;$AA$4&amp;"P"&amp;AO$4)="N/A",0,RTD("tos.rtd",,"OPEN_INT","."&amp;$AA$3&amp;$AA$4&amp;"P"&amp;AO$4))*100</f>
        <v>126000</v>
      </c>
      <c r="AP39" s="18">
        <f>MAX(0, $A39-AP$4)*IF(RTD("tos.rtd",,"OPEN_INT","."&amp;$AA$3&amp;$AA$4&amp;"C"&amp;AP$4)="N/A",0,RTD("tos.rtd",,"OPEN_INT","."&amp;$AA$3&amp;$AA$4&amp;"C"&amp;AP$4))*100 + MAX(0, AP$4-$A39)*IF(RTD("tos.rtd",,"OPEN_INT","."&amp;$AA$3&amp;$AA$4&amp;"P"&amp;AP$4)="N/A",0,RTD("tos.rtd",,"OPEN_INT","."&amp;$AA$3&amp;$AA$4&amp;"P"&amp;AP$4))*100</f>
        <v>0</v>
      </c>
      <c r="AQ39" s="18">
        <f>MAX(0, $A39-AQ$4)*IF(RTD("tos.rtd",,"OPEN_INT","."&amp;$AA$3&amp;$AA$4&amp;"C"&amp;AQ$4)="N/A",0,RTD("tos.rtd",,"OPEN_INT","."&amp;$AA$3&amp;$AA$4&amp;"C"&amp;AQ$4))*100 + MAX(0, AQ$4-$A39)*IF(RTD("tos.rtd",,"OPEN_INT","."&amp;$AA$3&amp;$AA$4&amp;"P"&amp;AQ$4)="N/A",0,RTD("tos.rtd",,"OPEN_INT","."&amp;$AA$3&amp;$AA$4&amp;"P"&amp;AQ$4))*100</f>
        <v>50350</v>
      </c>
      <c r="AR39" s="18">
        <f>MAX(0, $A39-AR$4)*IF(RTD("tos.rtd",,"OPEN_INT","."&amp;$AA$3&amp;$AA$4&amp;"C"&amp;AR$4)="N/A",0,RTD("tos.rtd",,"OPEN_INT","."&amp;$AA$3&amp;$AA$4&amp;"C"&amp;AR$4))*100 + MAX(0, AR$4-$A39)*IF(RTD("tos.rtd",,"OPEN_INT","."&amp;$AA$3&amp;$AA$4&amp;"P"&amp;AR$4)="N/A",0,RTD("tos.rtd",,"OPEN_INT","."&amp;$AA$3&amp;$AA$4&amp;"P"&amp;AR$4))*100</f>
        <v>5400</v>
      </c>
      <c r="AS39" s="18">
        <f>MAX(0, $A39-AS$4)*IF(RTD("tos.rtd",,"OPEN_INT","."&amp;$AA$3&amp;$AA$4&amp;"C"&amp;AS$4)="N/A",0,RTD("tos.rtd",,"OPEN_INT","."&amp;$AA$3&amp;$AA$4&amp;"C"&amp;AS$4))*100 + MAX(0, AS$4-$A39)*IF(RTD("tos.rtd",,"OPEN_INT","."&amp;$AA$3&amp;$AA$4&amp;"P"&amp;AS$4)="N/A",0,RTD("tos.rtd",,"OPEN_INT","."&amp;$AA$3&amp;$AA$4&amp;"P"&amp;AS$4))*100</f>
        <v>52700</v>
      </c>
      <c r="AT39" s="18">
        <f>MAX(0, $A39-AT$4)*IF(RTD("tos.rtd",,"OPEN_INT","."&amp;$AA$3&amp;$AA$4&amp;"C"&amp;AT$4)="N/A",0,RTD("tos.rtd",,"OPEN_INT","."&amp;$AA$3&amp;$AA$4&amp;"C"&amp;AT$4))*100 + MAX(0, AT$4-$A39)*IF(RTD("tos.rtd",,"OPEN_INT","."&amp;$AA$3&amp;$AA$4&amp;"P"&amp;AT$4)="N/A",0,RTD("tos.rtd",,"OPEN_INT","."&amp;$AA$3&amp;$AA$4&amp;"P"&amp;AT$4))*100</f>
        <v>56000</v>
      </c>
      <c r="AU39" s="18">
        <f>MAX(0, $A39-AU$4)*IF(RTD("tos.rtd",,"OPEN_INT","."&amp;$AA$3&amp;$AA$4&amp;"C"&amp;AU$4)="N/A",0,RTD("tos.rtd",,"OPEN_INT","."&amp;$AA$3&amp;$AA$4&amp;"C"&amp;AU$4))*100 + MAX(0, AU$4-$A39)*IF(RTD("tos.rtd",,"OPEN_INT","."&amp;$AA$3&amp;$AA$4&amp;"P"&amp;AU$4)="N/A",0,RTD("tos.rtd",,"OPEN_INT","."&amp;$AA$3&amp;$AA$4&amp;"P"&amp;AU$4))*100</f>
        <v>30000</v>
      </c>
      <c r="AV39" s="18">
        <f>MAX(0, $A39-AV$4)*IF(RTD("tos.rtd",,"OPEN_INT","."&amp;$AA$3&amp;$AA$4&amp;"C"&amp;AV$4)="N/A",0,RTD("tos.rtd",,"OPEN_INT","."&amp;$AA$3&amp;$AA$4&amp;"C"&amp;AV$4))*100 + MAX(0, AV$4-$A39)*IF(RTD("tos.rtd",,"OPEN_INT","."&amp;$AA$3&amp;$AA$4&amp;"P"&amp;AV$4)="N/A",0,RTD("tos.rtd",,"OPEN_INT","."&amp;$AA$3&amp;$AA$4&amp;"P"&amp;AV$4))*100</f>
        <v>112700</v>
      </c>
      <c r="AW39" s="18">
        <f>MAX(0, $A39-AW$4)*IF(RTD("tos.rtd",,"OPEN_INT","."&amp;$AA$3&amp;$AA$4&amp;"C"&amp;AW$4)="N/A",0,RTD("tos.rtd",,"OPEN_INT","."&amp;$AA$3&amp;$AA$4&amp;"C"&amp;AW$4))*100 + MAX(0, AW$4-$A39)*IF(RTD("tos.rtd",,"OPEN_INT","."&amp;$AA$3&amp;$AA$4&amp;"P"&amp;AW$4)="N/A",0,RTD("tos.rtd",,"OPEN_INT","."&amp;$AA$3&amp;$AA$4&amp;"P"&amp;AW$4))*100</f>
        <v>131300</v>
      </c>
      <c r="AX39" s="18">
        <f>MAX(0, $A39-AX$4)*IF(RTD("tos.rtd",,"OPEN_INT","."&amp;$AA$3&amp;$AA$4&amp;"C"&amp;AX$4)="N/A",0,RTD("tos.rtd",,"OPEN_INT","."&amp;$AA$3&amp;$AA$4&amp;"C"&amp;AX$4))*100 + MAX(0, AX$4-$A39)*IF(RTD("tos.rtd",,"OPEN_INT","."&amp;$AA$3&amp;$AA$4&amp;"P"&amp;AX$4)="N/A",0,RTD("tos.rtd",,"OPEN_INT","."&amp;$AA$3&amp;$AA$4&amp;"P"&amp;AX$4))*100</f>
        <v>148200</v>
      </c>
      <c r="AY39" s="18">
        <f>MAX(0, $A39-AY$4)*IF(RTD("tos.rtd",,"OPEN_INT","."&amp;$AA$3&amp;$AA$4&amp;"C"&amp;AY$4)="N/A",0,RTD("tos.rtd",,"OPEN_INT","."&amp;$AA$3&amp;$AA$4&amp;"C"&amp;AY$4))*100 + MAX(0, AY$4-$A39)*IF(RTD("tos.rtd",,"OPEN_INT","."&amp;$AA$3&amp;$AA$4&amp;"P"&amp;AY$4)="N/A",0,RTD("tos.rtd",,"OPEN_INT","."&amp;$AA$3&amp;$AA$4&amp;"P"&amp;AY$4))*100</f>
        <v>1140700</v>
      </c>
      <c r="AZ39" s="18">
        <f>MAX(0, $A39-AZ$4)*IF(RTD("tos.rtd",,"OPEN_INT","."&amp;$AA$3&amp;$AA$4&amp;"C"&amp;AZ$4)="N/A",0,RTD("tos.rtd",,"OPEN_INT","."&amp;$AA$3&amp;$AA$4&amp;"C"&amp;AZ$4))*100 + MAX(0, AZ$4-$A39)*IF(RTD("tos.rtd",,"OPEN_INT","."&amp;$AA$3&amp;$AA$4&amp;"P"&amp;AZ$4)="N/A",0,RTD("tos.rtd",,"OPEN_INT","."&amp;$AA$3&amp;$AA$4&amp;"P"&amp;AZ$4))*100</f>
        <v>284000</v>
      </c>
      <c r="BA39" s="18">
        <f>MAX(0, $A39-BA$4)*IF(RTD("tos.rtd",,"OPEN_INT","."&amp;$AA$3&amp;$AA$4&amp;"C"&amp;BA$4)="N/A",0,RTD("tos.rtd",,"OPEN_INT","."&amp;$AA$3&amp;$AA$4&amp;"C"&amp;BA$4))*100 + MAX(0, BA$4-$A39)*IF(RTD("tos.rtd",,"OPEN_INT","."&amp;$AA$3&amp;$AA$4&amp;"P"&amp;BA$4)="N/A",0,RTD("tos.rtd",,"OPEN_INT","."&amp;$AA$3&amp;$AA$4&amp;"P"&amp;BA$4))*100</f>
        <v>1053000</v>
      </c>
      <c r="BB39" s="18">
        <f>MAX(0, $A39-BB$4)*IF(RTD("tos.rtd",,"OPEN_INT","."&amp;$AA$3&amp;$AA$4&amp;"C"&amp;BB$4)="N/A",0,RTD("tos.rtd",,"OPEN_INT","."&amp;$AA$3&amp;$AA$4&amp;"C"&amp;BB$4))*100 + MAX(0, BB$4-$A39)*IF(RTD("tos.rtd",,"OPEN_INT","."&amp;$AA$3&amp;$AA$4&amp;"P"&amp;BB$4)="N/A",0,RTD("tos.rtd",,"OPEN_INT","."&amp;$AA$3&amp;$AA$4&amp;"P"&amp;BB$4))*100</f>
        <v>913600</v>
      </c>
      <c r="BC39" s="18">
        <f>MAX(0, $A39-BC$4)*IF(RTD("tos.rtd",,"OPEN_INT","."&amp;$AA$3&amp;$AA$4&amp;"C"&amp;BC$4)="N/A",0,RTD("tos.rtd",,"OPEN_INT","."&amp;$AA$3&amp;$AA$4&amp;"C"&amp;BC$4))*100 + MAX(0, BC$4-$A39)*IF(RTD("tos.rtd",,"OPEN_INT","."&amp;$AA$3&amp;$AA$4&amp;"P"&amp;BC$4)="N/A",0,RTD("tos.rtd",,"OPEN_INT","."&amp;$AA$3&amp;$AA$4&amp;"P"&amp;BC$4))*100</f>
        <v>2677850</v>
      </c>
      <c r="BD39" s="18">
        <f>MAX(0, $A39-BD$4)*IF(RTD("tos.rtd",,"OPEN_INT","."&amp;$AA$3&amp;$AA$4&amp;"C"&amp;BD$4)="N/A",0,RTD("tos.rtd",,"OPEN_INT","."&amp;$AA$3&amp;$AA$4&amp;"C"&amp;BD$4))*100 + MAX(0, BD$4-$A39)*IF(RTD("tos.rtd",,"OPEN_INT","."&amp;$AA$3&amp;$AA$4&amp;"P"&amp;BD$4)="N/A",0,RTD("tos.rtd",,"OPEN_INT","."&amp;$AA$3&amp;$AA$4&amp;"P"&amp;BD$4))*100</f>
        <v>2946300</v>
      </c>
      <c r="BE39" s="18">
        <f>MAX(0, $A39-BE$4)*IF(RTD("tos.rtd",,"OPEN_INT","."&amp;$AA$3&amp;$AA$4&amp;"C"&amp;BE$4)="N/A",0,RTD("tos.rtd",,"OPEN_INT","."&amp;$AA$3&amp;$AA$4&amp;"C"&amp;BE$4))*100 + MAX(0, BE$4-$A39)*IF(RTD("tos.rtd",,"OPEN_INT","."&amp;$AA$3&amp;$AA$4&amp;"P"&amp;BE$4)="N/A",0,RTD("tos.rtd",,"OPEN_INT","."&amp;$AA$3&amp;$AA$4&amp;"P"&amp;BE$4))*100</f>
        <v>2779000</v>
      </c>
      <c r="BF39" s="18">
        <f>MAX(0, $A39-BF$4)*IF(RTD("tos.rtd",,"OPEN_INT","."&amp;$AA$3&amp;$AA$4&amp;"C"&amp;BF$4)="N/A",0,RTD("tos.rtd",,"OPEN_INT","."&amp;$AA$3&amp;$AA$4&amp;"C"&amp;BF$4))*100 + MAX(0, BF$4-$A39)*IF(RTD("tos.rtd",,"OPEN_INT","."&amp;$AA$3&amp;$AA$4&amp;"P"&amp;BF$4)="N/A",0,RTD("tos.rtd",,"OPEN_INT","."&amp;$AA$3&amp;$AA$4&amp;"P"&amp;BF$4))*100</f>
        <v>2781800</v>
      </c>
      <c r="BG39" s="18">
        <f>MAX(0, $A39-BG$4)*IF(RTD("tos.rtd",,"OPEN_INT","."&amp;$AA$3&amp;$AA$4&amp;"C"&amp;BG$4)="N/A",0,RTD("tos.rtd",,"OPEN_INT","."&amp;$AA$3&amp;$AA$4&amp;"C"&amp;BG$4))*100 + MAX(0, BG$4-$A39)*IF(RTD("tos.rtd",,"OPEN_INT","."&amp;$AA$3&amp;$AA$4&amp;"P"&amp;BG$4)="N/A",0,RTD("tos.rtd",,"OPEN_INT","."&amp;$AA$3&amp;$AA$4&amp;"P"&amp;BG$4))*100</f>
        <v>1361250</v>
      </c>
      <c r="BH39" s="18">
        <f>MAX(0, $A39-BH$4)*IF(RTD("tos.rtd",,"OPEN_INT","."&amp;$AA$3&amp;$AA$4&amp;"C"&amp;BH$4)="N/A",0,RTD("tos.rtd",,"OPEN_INT","."&amp;$AA$3&amp;$AA$4&amp;"C"&amp;BH$4))*100 + MAX(0, BH$4-$A39)*IF(RTD("tos.rtd",,"OPEN_INT","."&amp;$AA$3&amp;$AA$4&amp;"P"&amp;BH$4)="N/A",0,RTD("tos.rtd",,"OPEN_INT","."&amp;$AA$3&amp;$AA$4&amp;"P"&amp;BH$4))*100</f>
        <v>642300</v>
      </c>
      <c r="BI39" s="18">
        <f>MAX(0, $A39-BI$4)*IF(RTD("tos.rtd",,"OPEN_INT","."&amp;$AA$3&amp;$AA$4&amp;"C"&amp;BI$4)="N/A",0,RTD("tos.rtd",,"OPEN_INT","."&amp;$AA$3&amp;$AA$4&amp;"C"&amp;BI$4))*100 + MAX(0, BI$4-$A39)*IF(RTD("tos.rtd",,"OPEN_INT","."&amp;$AA$3&amp;$AA$4&amp;"P"&amp;BI$4)="N/A",0,RTD("tos.rtd",,"OPEN_INT","."&amp;$AA$3&amp;$AA$4&amp;"P"&amp;BI$4))*100</f>
        <v>401250</v>
      </c>
      <c r="BJ39" s="18">
        <f>MAX(0, $A39-BJ$4)*IF(RTD("tos.rtd",,"OPEN_INT","."&amp;$AA$3&amp;$AA$4&amp;"C"&amp;BJ$4)="N/A",0,RTD("tos.rtd",,"OPEN_INT","."&amp;$AA$3&amp;$AA$4&amp;"C"&amp;BJ$4))*100 + MAX(0, BJ$4-$A39)*IF(RTD("tos.rtd",,"OPEN_INT","."&amp;$AA$3&amp;$AA$4&amp;"P"&amp;BJ$4)="N/A",0,RTD("tos.rtd",,"OPEN_INT","."&amp;$AA$3&amp;$AA$4&amp;"P"&amp;BJ$4))*100</f>
        <v>0</v>
      </c>
      <c r="BK39" s="18">
        <f>MAX(0, $A39-BK$4)*IF(RTD("tos.rtd",,"OPEN_INT","."&amp;$AA$3&amp;$AA$4&amp;"C"&amp;BK$4)="N/A",0,RTD("tos.rtd",,"OPEN_INT","."&amp;$AA$3&amp;$AA$4&amp;"C"&amp;BK$4))*100 + MAX(0, BK$4-$A39)*IF(RTD("tos.rtd",,"OPEN_INT","."&amp;$AA$3&amp;$AA$4&amp;"P"&amp;BK$4)="N/A",0,RTD("tos.rtd",,"OPEN_INT","."&amp;$AA$3&amp;$AA$4&amp;"P"&amp;BK$4))*100</f>
        <v>13050</v>
      </c>
      <c r="BL39" s="18">
        <f>MAX(0, $A39-BL$4)*IF(RTD("tos.rtd",,"OPEN_INT","."&amp;$AA$3&amp;$AA$4&amp;"C"&amp;BL$4)="N/A",0,RTD("tos.rtd",,"OPEN_INT","."&amp;$AA$3&amp;$AA$4&amp;"C"&amp;BL$4))*100 + MAX(0, BL$4-$A39)*IF(RTD("tos.rtd",,"OPEN_INT","."&amp;$AA$3&amp;$AA$4&amp;"P"&amp;BL$4)="N/A",0,RTD("tos.rtd",,"OPEN_INT","."&amp;$AA$3&amp;$AA$4&amp;"P"&amp;BL$4))*100</f>
        <v>1600</v>
      </c>
      <c r="BM39" s="18">
        <f>MAX(0, $A39-BM$4)*IF(RTD("tos.rtd",,"OPEN_INT","."&amp;$AA$3&amp;$AA$4&amp;"C"&amp;BM$4)="N/A",0,RTD("tos.rtd",,"OPEN_INT","."&amp;$AA$3&amp;$AA$4&amp;"C"&amp;BM$4))*100 + MAX(0, BM$4-$A39)*IF(RTD("tos.rtd",,"OPEN_INT","."&amp;$AA$3&amp;$AA$4&amp;"P"&amp;BM$4)="N/A",0,RTD("tos.rtd",,"OPEN_INT","."&amp;$AA$3&amp;$AA$4&amp;"P"&amp;BM$4))*100</f>
        <v>1200</v>
      </c>
      <c r="BN39" s="18">
        <f>MAX(0, $A39-BN$4)*IF(RTD("tos.rtd",,"OPEN_INT","."&amp;$AA$3&amp;$AA$4&amp;"C"&amp;BN$4)="N/A",0,RTD("tos.rtd",,"OPEN_INT","."&amp;$AA$3&amp;$AA$4&amp;"C"&amp;BN$4))*100 + MAX(0, BN$4-$A39)*IF(RTD("tos.rtd",,"OPEN_INT","."&amp;$AA$3&amp;$AA$4&amp;"P"&amp;BN$4)="N/A",0,RTD("tos.rtd",,"OPEN_INT","."&amp;$AA$3&amp;$AA$4&amp;"P"&amp;BN$4))*100</f>
        <v>6200</v>
      </c>
      <c r="BO39" s="18">
        <f>MAX(0, $A39-BO$4)*IF(RTD("tos.rtd",,"OPEN_INT","."&amp;$AA$3&amp;$AA$4&amp;"C"&amp;BO$4)="N/A",0,RTD("tos.rtd",,"OPEN_INT","."&amp;$AA$3&amp;$AA$4&amp;"C"&amp;BO$4))*100 + MAX(0, BO$4-$A39)*IF(RTD("tos.rtd",,"OPEN_INT","."&amp;$AA$3&amp;$AA$4&amp;"P"&amp;BO$4)="N/A",0,RTD("tos.rtd",,"OPEN_INT","."&amp;$AA$3&amp;$AA$4&amp;"P"&amp;BO$4))*100</f>
        <v>9500</v>
      </c>
      <c r="BP39" s="18">
        <f>MAX(0, $A39-BP$4)*IF(RTD("tos.rtd",,"OPEN_INT","."&amp;$AA$3&amp;$AA$4&amp;"C"&amp;BP$4)="N/A",0,RTD("tos.rtd",,"OPEN_INT","."&amp;$AA$3&amp;$AA$4&amp;"C"&amp;BP$4))*100 + MAX(0, BP$4-$A39)*IF(RTD("tos.rtd",,"OPEN_INT","."&amp;$AA$3&amp;$AA$4&amp;"P"&amp;BP$4)="N/A",0,RTD("tos.rtd",,"OPEN_INT","."&amp;$AA$3&amp;$AA$4&amp;"P"&amp;BP$4))*100</f>
        <v>0</v>
      </c>
      <c r="BQ39" s="18">
        <f>MAX(0, $A39-BQ$4)*IF(RTD("tos.rtd",,"OPEN_INT","."&amp;$AA$3&amp;$AA$4&amp;"C"&amp;BQ$4)="N/A",0,RTD("tos.rtd",,"OPEN_INT","."&amp;$AA$3&amp;$AA$4&amp;"C"&amp;BQ$4))*100 + MAX(0, BQ$4-$A39)*IF(RTD("tos.rtd",,"OPEN_INT","."&amp;$AA$3&amp;$AA$4&amp;"P"&amp;BQ$4)="N/A",0,RTD("tos.rtd",,"OPEN_INT","."&amp;$AA$3&amp;$AA$4&amp;"P"&amp;BQ$4))*100</f>
        <v>0</v>
      </c>
      <c r="BR39" s="18">
        <f>MAX(0, $A39-BR$4)*IF(RTD("tos.rtd",,"OPEN_INT","."&amp;$AA$3&amp;$AA$4&amp;"C"&amp;BR$4)="N/A",0,RTD("tos.rtd",,"OPEN_INT","."&amp;$AA$3&amp;$AA$4&amp;"C"&amp;BR$4))*100 + MAX(0, BR$4-$A39)*IF(RTD("tos.rtd",,"OPEN_INT","."&amp;$AA$3&amp;$AA$4&amp;"P"&amp;BR$4)="N/A",0,RTD("tos.rtd",,"OPEN_INT","."&amp;$AA$3&amp;$AA$4&amp;"P"&amp;BR$4))*100</f>
        <v>0</v>
      </c>
      <c r="BS39" s="18">
        <f>MAX(0, $A39-BS$4)*IF(RTD("tos.rtd",,"OPEN_INT","."&amp;$AA$3&amp;$AA$4&amp;"C"&amp;BS$4)="N/A",0,RTD("tos.rtd",,"OPEN_INT","."&amp;$AA$3&amp;$AA$4&amp;"C"&amp;BS$4))*100 + MAX(0, BS$4-$A39)*IF(RTD("tos.rtd",,"OPEN_INT","."&amp;$AA$3&amp;$AA$4&amp;"P"&amp;BS$4)="N/A",0,RTD("tos.rtd",,"OPEN_INT","."&amp;$AA$3&amp;$AA$4&amp;"P"&amp;BS$4))*100</f>
        <v>0</v>
      </c>
      <c r="BT39" s="18">
        <f>MAX(0, $A39-BT$4)*IF(RTD("tos.rtd",,"OPEN_INT","."&amp;$AA$3&amp;$AA$4&amp;"C"&amp;BT$4)="N/A",0,RTD("tos.rtd",,"OPEN_INT","."&amp;$AA$3&amp;$AA$4&amp;"C"&amp;BT$4))*100 + MAX(0, BT$4-$A39)*IF(RTD("tos.rtd",,"OPEN_INT","."&amp;$AA$3&amp;$AA$4&amp;"P"&amp;BT$4)="N/A",0,RTD("tos.rtd",,"OPEN_INT","."&amp;$AA$3&amp;$AA$4&amp;"P"&amp;BT$4))*100</f>
        <v>0</v>
      </c>
      <c r="BU39" s="18">
        <f>MAX(0, $A39-BU$4)*IF(RTD("tos.rtd",,"OPEN_INT","."&amp;$AA$3&amp;$AA$4&amp;"C"&amp;BU$4)="N/A",0,RTD("tos.rtd",,"OPEN_INT","."&amp;$AA$3&amp;$AA$4&amp;"C"&amp;BU$4))*100 + MAX(0, BU$4-$A39)*IF(RTD("tos.rtd",,"OPEN_INT","."&amp;$AA$3&amp;$AA$4&amp;"P"&amp;BU$4)="N/A",0,RTD("tos.rtd",,"OPEN_INT","."&amp;$AA$3&amp;$AA$4&amp;"P"&amp;BU$4))*100</f>
        <v>0</v>
      </c>
      <c r="BV39" s="18">
        <f>MAX(0, $A39-BV$4)*IF(RTD("tos.rtd",,"OPEN_INT","."&amp;$AA$3&amp;$AA$4&amp;"C"&amp;BV$4)="N/A",0,RTD("tos.rtd",,"OPEN_INT","."&amp;$AA$3&amp;$AA$4&amp;"C"&amp;BV$4))*100 + MAX(0, BV$4-$A39)*IF(RTD("tos.rtd",,"OPEN_INT","."&amp;$AA$3&amp;$AA$4&amp;"P"&amp;BV$4)="N/A",0,RTD("tos.rtd",,"OPEN_INT","."&amp;$AA$3&amp;$AA$4&amp;"P"&amp;BV$4))*100</f>
        <v>0</v>
      </c>
    </row>
    <row r="40" spans="1:74" s="19" customFormat="1" ht="11.1" customHeight="1" thickBot="1" x14ac:dyDescent="0.3">
      <c r="A40" s="23">
        <f t="shared" si="11"/>
        <v>4</v>
      </c>
      <c r="B40" s="14">
        <f ca="1">IF($A$2="PREMIUM_OI",IFERROR(IF($X$1="ABS",(100*RTD("tos.rtd",,"OPEN_INT","."&amp;B$2&amp;B$1&amp;"C"&amp;$A40)*RTD("tos.rtd",,"LAST","."&amp;B$2&amp;B$1&amp;"C"&amp;$A40)+100*RTD("tos.rtd",,"OPEN_INT","."&amp;B$2&amp;B$1&amp;"P"&amp;$A40)*RTD("tos.rtd",,"LAST","."&amp;B$2&amp;B$1&amp;"P"&amp;$A40))/1000000,(100*RTD("tos.rtd",,"OPEN_INT","."&amp;B$2&amp;B$1&amp;"C"&amp;$A40)*RTD("tos.rtd",,"LAST","."&amp;B$2&amp;B$1&amp;"C"&amp;$A40)-100*RTD("tos.rtd",,"OPEN_INT","."&amp;B$2&amp;B$1&amp;"P"&amp;$A40)*RTD("tos.rtd",,"LAST","."&amp;B$2&amp;B$1&amp;"P"&amp;$A40))/1000000),0),IF($A$2="PREMIUM",IFERROR(IF($X$1="ABS",(100*RTD("tos.rtd",,"VOLUME","."&amp;B$2&amp;B$1&amp;"C"&amp;$A40)*RTD("tos.rtd",,"LAST","."&amp;B$2&amp;B$1&amp;"C"&amp;$A40)+100*RTD("tos.rtd",,"VOLUME","."&amp;B$2&amp;B$1&amp;"P"&amp;$A40)*RTD("tos.rtd",,"LAST","."&amp;B$2&amp;B$1&amp;"P"&amp;$A40))/1000000,(100*RTD("tos.rtd",,"VOLUME","."&amp;B$2&amp;B$1&amp;"C"&amp;$A40)*RTD("tos.rtd",,"LAST","."&amp;B$2&amp;B$1&amp;"C"&amp;$A40)-100*RTD("tos.rtd",,"VOLUME","."&amp;B$2&amp;B$1&amp;"P"&amp;$A40)*RTD("tos.rtd",,"LAST","."&amp;B$2&amp;B$1&amp;"P"&amp;$A40))/1000000),0),IF($A$2="DEX",IFERROR(IF($X$1="ABS",(100*RTD("tos.rtd",,"OPEN_INT","."&amp;B$2&amp;B$1&amp;"C"&amp;$A40)*RTD("tos.rtd",,"DELTA","."&amp;B$2&amp;B$1&amp;"C"&amp;$A40)+100*RTD("tos.rtd",,"OPEN_INT","."&amp;B$2&amp;B$1&amp;"P"&amp;$A40)*RTD("tos.rtd",,"DELTA","."&amp;B$2&amp;B$1&amp;"P"&amp;$A40))/1000,(100*RTD("tos.rtd",,"OPEN_INT","."&amp;B$2&amp;B$1&amp;"C"&amp;$A40)*RTD("tos.rtd",,"DELTA","."&amp;B$2&amp;B$1&amp;"C"&amp;$A40)-100*RTD("tos.rtd",,"OPEN_INT","."&amp;B$2&amp;B$1&amp;"P"&amp;$A40)*RTD("tos.rtd",,"DELTA","."&amp;B$2&amp;B$1&amp;"P"&amp;$A40))/1000),0),IF($A$2="VEX",IFERROR(IF($X$1="ABS",($A$4*$A$4*RTD("tos.rtd",,"VOLUME","."&amp;B$2&amp;B$1&amp;"C"&amp;$A40)*RTD("tos.rtd",,"GAMMA","."&amp;B$2&amp;B$1&amp;"C"&amp;$A40)+$A$4*$A$4*RTD("tos.rtd",,"VOLUME","."&amp;B$2&amp;B$1&amp;"P"&amp;$A40)*RTD("tos.rtd",,"GAMMA","."&amp;B$2&amp;B$1&amp;"P"&amp;$A40))/1000000,($A$4*$A$4*RTD("tos.rtd",,"VOLUME","."&amp;B$2&amp;B$1&amp;"C"&amp;$A40)*RTD("tos.rtd",,"GAMMA","."&amp;B$2&amp;B$1&amp;"C"&amp;$A40)-$A$4*$A$4*RTD("tos.rtd",,"VOLUME","."&amp;B$2&amp;B$1&amp;"P"&amp;$A40)*RTD("tos.rtd",,"GAMMA","."&amp;B$2&amp;B$1&amp;"P"&amp;$A40))/1000000),0),IF($A$2="GEX",IFERROR(IF($X$1="ABS",($A$4*$A$4*RTD("tos.rtd",,"OPEN_INT","."&amp;B$2&amp;B$1&amp;"C"&amp;$A40)*RTD("tos.rtd",,"GAMMA","."&amp;B$2&amp;B$1&amp;"C"&amp;$A40)+$A$4*$A$4*RTD("tos.rtd",,"OPEN_INT","."&amp;B$2&amp;B$1&amp;"P"&amp;$A40)*RTD("tos.rtd",,"GAMMA","."&amp;B$2&amp;B$1&amp;"P"&amp;$A40))/1000000,($A$4*$A$4*RTD("tos.rtd",,"OPEN_INT","."&amp;B$2&amp;B$1&amp;"C"&amp;$A40)*RTD("tos.rtd",,"GAMMA","."&amp;B$2&amp;B$1&amp;"C"&amp;$A40)-$A$4*$A$4*RTD("tos.rtd",,"OPEN_INT","."&amp;B$2&amp;B$1&amp;"P"&amp;$A40)*RTD("tos.rtd",,"GAMMA","."&amp;B$2&amp;B$1&amp;"P"&amp;$A40))/1000000),0),IF($A$2="SKEW",IFERROR(VALUE(IF(RTD("tos.rtd",,"IMPL_VOL","."&amp;B$2&amp;B$1&amp;"P"&amp;$A40)="N/A",0,RTD("tos.rtd",,"IMPL_VOL","."&amp;B$2&amp;B$1&amp;"P"&amp;$A40))),0)-IFERROR(VALUE(IF(RTD("tos.rtd",,"IMPL_VOL","."&amp;B$2&amp;B$1&amp;"C"&amp;$A40)="N/A",0,RTD("tos.rtd",,"IMPL_VOL","."&amp;B$2&amp;B$1&amp;"C"&amp;$A40))),0),IF($A$2="MAXPAIN",IF($A$4&gt;$A40,($A$4-$A40)*IF(RTD("tos.rtd",,"OPEN_INT","."&amp;B$2&amp;B$1&amp;"C"&amp;$A40)="N/A",0,RTD("tos.rtd",,"OPEN_INT","."&amp;B$2&amp;B$1&amp;"C"&amp;$A40)),0)+IF($A$4&lt;$A40,($A$5-$A$4)*IF(RTD("tos.rtd",,"OPEN_INT","."&amp;B$2&amp;B$1&amp;"P"&amp;$A40)="N/A",0,RTD("tos.rtd",,"OPEN_INT","."&amp;B$2&amp;B$1&amp;"P"&amp;$A40)),0),IF($X$1="ABS",IF(RTD("tos.rtd",,$A$2,"."&amp;B$2&amp;B$1&amp;"C"&amp;$A40)="N/A",0,RTD("tos.rtd",,$A$2,"."&amp;B$2&amp;B$1&amp;"C"&amp;$A40))+IF(RTD("tos.rtd",,$A$2,"."&amp;B$2&amp;B$1&amp;"P"&amp;$A40)="N/A",0,RTD("tos.rtd",,$A$2,"."&amp;B$2&amp;B$1&amp;"P"&amp;$A40)),IF(RTD("tos.rtd",,$A$2,"."&amp;B$2&amp;B$1&amp;"C"&amp;$A40)="N/A",0,RTD("tos.rtd",,$A$2,"."&amp;B$2&amp;B$1&amp;"C"&amp;$A40))-IF(RTD("tos.rtd",,$A$2,"."&amp;B$2&amp;B$1&amp;"P"&amp;$A40)="N/A",0,RTD("tos.rtd",,$A$2,"."&amp;B$2&amp;B$1&amp;"P"&amp;$A40))))))))))</f>
        <v>0</v>
      </c>
      <c r="C40" s="12">
        <f ca="1">IF($A$2="PREMIUM_OI",IFERROR(IF($X$1="ABS",(100*RTD("tos.rtd",,"OPEN_INT","."&amp;C$2&amp;C$1&amp;"C"&amp;$A40)*RTD("tos.rtd",,"LAST","."&amp;C$2&amp;C$1&amp;"C"&amp;$A40)+100*RTD("tos.rtd",,"OPEN_INT","."&amp;C$2&amp;C$1&amp;"P"&amp;$A40)*RTD("tos.rtd",,"LAST","."&amp;C$2&amp;C$1&amp;"P"&amp;$A40))/1000000,(100*RTD("tos.rtd",,"OPEN_INT","."&amp;C$2&amp;C$1&amp;"C"&amp;$A40)*RTD("tos.rtd",,"LAST","."&amp;C$2&amp;C$1&amp;"C"&amp;$A40)-100*RTD("tos.rtd",,"OPEN_INT","."&amp;C$2&amp;C$1&amp;"P"&amp;$A40)*RTD("tos.rtd",,"LAST","."&amp;C$2&amp;C$1&amp;"P"&amp;$A40))/1000000),0),IF($A$2="PREMIUM",IFERROR(IF($X$1="ABS",(100*RTD("tos.rtd",,"VOLUME","."&amp;C$2&amp;C$1&amp;"C"&amp;$A40)*RTD("tos.rtd",,"LAST","."&amp;C$2&amp;C$1&amp;"C"&amp;$A40)+100*RTD("tos.rtd",,"VOLUME","."&amp;C$2&amp;C$1&amp;"P"&amp;$A40)*RTD("tos.rtd",,"LAST","."&amp;C$2&amp;C$1&amp;"P"&amp;$A40))/1000000,(100*RTD("tos.rtd",,"VOLUME","."&amp;C$2&amp;C$1&amp;"C"&amp;$A40)*RTD("tos.rtd",,"LAST","."&amp;C$2&amp;C$1&amp;"C"&amp;$A40)-100*RTD("tos.rtd",,"VOLUME","."&amp;C$2&amp;C$1&amp;"P"&amp;$A40)*RTD("tos.rtd",,"LAST","."&amp;C$2&amp;C$1&amp;"P"&amp;$A40))/1000000),0),IF($A$2="DEX",IFERROR(IF($X$1="ABS",(100*RTD("tos.rtd",,"OPEN_INT","."&amp;C$2&amp;C$1&amp;"C"&amp;$A40)*RTD("tos.rtd",,"DELTA","."&amp;C$2&amp;C$1&amp;"C"&amp;$A40)+100*RTD("tos.rtd",,"OPEN_INT","."&amp;C$2&amp;C$1&amp;"P"&amp;$A40)*RTD("tos.rtd",,"DELTA","."&amp;C$2&amp;C$1&amp;"P"&amp;$A40))/1000,(100*RTD("tos.rtd",,"OPEN_INT","."&amp;C$2&amp;C$1&amp;"C"&amp;$A40)*RTD("tos.rtd",,"DELTA","."&amp;C$2&amp;C$1&amp;"C"&amp;$A40)-100*RTD("tos.rtd",,"OPEN_INT","."&amp;C$2&amp;C$1&amp;"P"&amp;$A40)*RTD("tos.rtd",,"DELTA","."&amp;C$2&amp;C$1&amp;"P"&amp;$A40))/1000),0),IF($A$2="VEX",IFERROR(IF($X$1="ABS",($A$4*$A$4*RTD("tos.rtd",,"VOLUME","."&amp;C$2&amp;C$1&amp;"C"&amp;$A40)*RTD("tos.rtd",,"GAMMA","."&amp;C$2&amp;C$1&amp;"C"&amp;$A40)+$A$4*$A$4*RTD("tos.rtd",,"VOLUME","."&amp;C$2&amp;C$1&amp;"P"&amp;$A40)*RTD("tos.rtd",,"GAMMA","."&amp;C$2&amp;C$1&amp;"P"&amp;$A40))/1000000,($A$4*$A$4*RTD("tos.rtd",,"VOLUME","."&amp;C$2&amp;C$1&amp;"C"&amp;$A40)*RTD("tos.rtd",,"GAMMA","."&amp;C$2&amp;C$1&amp;"C"&amp;$A40)-$A$4*$A$4*RTD("tos.rtd",,"VOLUME","."&amp;C$2&amp;C$1&amp;"P"&amp;$A40)*RTD("tos.rtd",,"GAMMA","."&amp;C$2&amp;C$1&amp;"P"&amp;$A40))/1000000),0),IF($A$2="GEX",IFERROR(IF($X$1="ABS",($A$4*$A$4*RTD("tos.rtd",,"OPEN_INT","."&amp;C$2&amp;C$1&amp;"C"&amp;$A40)*RTD("tos.rtd",,"GAMMA","."&amp;C$2&amp;C$1&amp;"C"&amp;$A40)+$A$4*$A$4*RTD("tos.rtd",,"OPEN_INT","."&amp;C$2&amp;C$1&amp;"P"&amp;$A40)*RTD("tos.rtd",,"GAMMA","."&amp;C$2&amp;C$1&amp;"P"&amp;$A40))/1000000,($A$4*$A$4*RTD("tos.rtd",,"OPEN_INT","."&amp;C$2&amp;C$1&amp;"C"&amp;$A40)*RTD("tos.rtd",,"GAMMA","."&amp;C$2&amp;C$1&amp;"C"&amp;$A40)-$A$4*$A$4*RTD("tos.rtd",,"OPEN_INT","."&amp;C$2&amp;C$1&amp;"P"&amp;$A40)*RTD("tos.rtd",,"GAMMA","."&amp;C$2&amp;C$1&amp;"P"&amp;$A40))/1000000),0),IF($A$2="SKEW",IFERROR(VALUE(IF(RTD("tos.rtd",,"IMPL_VOL","."&amp;C$2&amp;C$1&amp;"P"&amp;$A40)="N/A",0,RTD("tos.rtd",,"IMPL_VOL","."&amp;C$2&amp;C$1&amp;"P"&amp;$A40))),0)-IFERROR(VALUE(IF(RTD("tos.rtd",,"IMPL_VOL","."&amp;C$2&amp;C$1&amp;"C"&amp;$A40)="N/A",0,RTD("tos.rtd",,"IMPL_VOL","."&amp;C$2&amp;C$1&amp;"C"&amp;$A40))),0),IF($A$2="MAXPAIN",IF($A$4&gt;$A40,($A$4-$A40)*IF(RTD("tos.rtd",,"OPEN_INT","."&amp;C$2&amp;C$1&amp;"C"&amp;$A40)="N/A",0,RTD("tos.rtd",,"OPEN_INT","."&amp;C$2&amp;C$1&amp;"C"&amp;$A40)),0)+IF($A$4&lt;$A40,($A$5-$A$4)*IF(RTD("tos.rtd",,"OPEN_INT","."&amp;C$2&amp;C$1&amp;"P"&amp;$A40)="N/A",0,RTD("tos.rtd",,"OPEN_INT","."&amp;C$2&amp;C$1&amp;"P"&amp;$A40)),0),IF($X$1="ABS",IF(RTD("tos.rtd",,$A$2,"."&amp;C$2&amp;C$1&amp;"C"&amp;$A40)="N/A",0,RTD("tos.rtd",,$A$2,"."&amp;C$2&amp;C$1&amp;"C"&amp;$A40))+IF(RTD("tos.rtd",,$A$2,"."&amp;C$2&amp;C$1&amp;"P"&amp;$A40)="N/A",0,RTD("tos.rtd",,$A$2,"."&amp;C$2&amp;C$1&amp;"P"&amp;$A40)),IF(RTD("tos.rtd",,$A$2,"."&amp;C$2&amp;C$1&amp;"C"&amp;$A40)="N/A",0,RTD("tos.rtd",,$A$2,"."&amp;C$2&amp;C$1&amp;"C"&amp;$A40))-IF(RTD("tos.rtd",,$A$2,"."&amp;C$2&amp;C$1&amp;"P"&amp;$A40)="N/A",0,RTD("tos.rtd",,$A$2,"."&amp;C$2&amp;C$1&amp;"P"&amp;$A40))))))))))</f>
        <v>-2079</v>
      </c>
      <c r="D40" s="12">
        <f ca="1">IF($A$2="PREMIUM_OI",IFERROR(IF($X$1="ABS",(100*RTD("tos.rtd",,"OPEN_INT","."&amp;D$2&amp;D$1&amp;"C"&amp;$A40)*RTD("tos.rtd",,"LAST","."&amp;D$2&amp;D$1&amp;"C"&amp;$A40)+100*RTD("tos.rtd",,"OPEN_INT","."&amp;D$2&amp;D$1&amp;"P"&amp;$A40)*RTD("tos.rtd",,"LAST","."&amp;D$2&amp;D$1&amp;"P"&amp;$A40))/1000000,(100*RTD("tos.rtd",,"OPEN_INT","."&amp;D$2&amp;D$1&amp;"C"&amp;$A40)*RTD("tos.rtd",,"LAST","."&amp;D$2&amp;D$1&amp;"C"&amp;$A40)-100*RTD("tos.rtd",,"OPEN_INT","."&amp;D$2&amp;D$1&amp;"P"&amp;$A40)*RTD("tos.rtd",,"LAST","."&amp;D$2&amp;D$1&amp;"P"&amp;$A40))/1000000),0),IF($A$2="PREMIUM",IFERROR(IF($X$1="ABS",(100*RTD("tos.rtd",,"VOLUME","."&amp;D$2&amp;D$1&amp;"C"&amp;$A40)*RTD("tos.rtd",,"LAST","."&amp;D$2&amp;D$1&amp;"C"&amp;$A40)+100*RTD("tos.rtd",,"VOLUME","."&amp;D$2&amp;D$1&amp;"P"&amp;$A40)*RTD("tos.rtd",,"LAST","."&amp;D$2&amp;D$1&amp;"P"&amp;$A40))/1000000,(100*RTD("tos.rtd",,"VOLUME","."&amp;D$2&amp;D$1&amp;"C"&amp;$A40)*RTD("tos.rtd",,"LAST","."&amp;D$2&amp;D$1&amp;"C"&amp;$A40)-100*RTD("tos.rtd",,"VOLUME","."&amp;D$2&amp;D$1&amp;"P"&amp;$A40)*RTD("tos.rtd",,"LAST","."&amp;D$2&amp;D$1&amp;"P"&amp;$A40))/1000000),0),IF($A$2="DEX",IFERROR(IF($X$1="ABS",(100*RTD("tos.rtd",,"OPEN_INT","."&amp;D$2&amp;D$1&amp;"C"&amp;$A40)*RTD("tos.rtd",,"DELTA","."&amp;D$2&amp;D$1&amp;"C"&amp;$A40)+100*RTD("tos.rtd",,"OPEN_INT","."&amp;D$2&amp;D$1&amp;"P"&amp;$A40)*RTD("tos.rtd",,"DELTA","."&amp;D$2&amp;D$1&amp;"P"&amp;$A40))/1000,(100*RTD("tos.rtd",,"OPEN_INT","."&amp;D$2&amp;D$1&amp;"C"&amp;$A40)*RTD("tos.rtd",,"DELTA","."&amp;D$2&amp;D$1&amp;"C"&amp;$A40)-100*RTD("tos.rtd",,"OPEN_INT","."&amp;D$2&amp;D$1&amp;"P"&amp;$A40)*RTD("tos.rtd",,"DELTA","."&amp;D$2&amp;D$1&amp;"P"&amp;$A40))/1000),0),IF($A$2="VEX",IFERROR(IF($X$1="ABS",($A$4*$A$4*RTD("tos.rtd",,"VOLUME","."&amp;D$2&amp;D$1&amp;"C"&amp;$A40)*RTD("tos.rtd",,"GAMMA","."&amp;D$2&amp;D$1&amp;"C"&amp;$A40)+$A$4*$A$4*RTD("tos.rtd",,"VOLUME","."&amp;D$2&amp;D$1&amp;"P"&amp;$A40)*RTD("tos.rtd",,"GAMMA","."&amp;D$2&amp;D$1&amp;"P"&amp;$A40))/1000000,($A$4*$A$4*RTD("tos.rtd",,"VOLUME","."&amp;D$2&amp;D$1&amp;"C"&amp;$A40)*RTD("tos.rtd",,"GAMMA","."&amp;D$2&amp;D$1&amp;"C"&amp;$A40)-$A$4*$A$4*RTD("tos.rtd",,"VOLUME","."&amp;D$2&amp;D$1&amp;"P"&amp;$A40)*RTD("tos.rtd",,"GAMMA","."&amp;D$2&amp;D$1&amp;"P"&amp;$A40))/1000000),0),IF($A$2="GEX",IFERROR(IF($X$1="ABS",($A$4*$A$4*RTD("tos.rtd",,"OPEN_INT","."&amp;D$2&amp;D$1&amp;"C"&amp;$A40)*RTD("tos.rtd",,"GAMMA","."&amp;D$2&amp;D$1&amp;"C"&amp;$A40)+$A$4*$A$4*RTD("tos.rtd",,"OPEN_INT","."&amp;D$2&amp;D$1&amp;"P"&amp;$A40)*RTD("tos.rtd",,"GAMMA","."&amp;D$2&amp;D$1&amp;"P"&amp;$A40))/1000000,($A$4*$A$4*RTD("tos.rtd",,"OPEN_INT","."&amp;D$2&amp;D$1&amp;"C"&amp;$A40)*RTD("tos.rtd",,"GAMMA","."&amp;D$2&amp;D$1&amp;"C"&amp;$A40)-$A$4*$A$4*RTD("tos.rtd",,"OPEN_INT","."&amp;D$2&amp;D$1&amp;"P"&amp;$A40)*RTD("tos.rtd",,"GAMMA","."&amp;D$2&amp;D$1&amp;"P"&amp;$A40))/1000000),0),IF($A$2="SKEW",IFERROR(VALUE(IF(RTD("tos.rtd",,"IMPL_VOL","."&amp;D$2&amp;D$1&amp;"P"&amp;$A40)="N/A",0,RTD("tos.rtd",,"IMPL_VOL","."&amp;D$2&amp;D$1&amp;"P"&amp;$A40))),0)-IFERROR(VALUE(IF(RTD("tos.rtd",,"IMPL_VOL","."&amp;D$2&amp;D$1&amp;"C"&amp;$A40)="N/A",0,RTD("tos.rtd",,"IMPL_VOL","."&amp;D$2&amp;D$1&amp;"C"&amp;$A40))),0),IF($A$2="MAXPAIN",IF($A$4&gt;$A40,($A$4-$A40)*IF(RTD("tos.rtd",,"OPEN_INT","."&amp;D$2&amp;D$1&amp;"C"&amp;$A40)="N/A",0,RTD("tos.rtd",,"OPEN_INT","."&amp;D$2&amp;D$1&amp;"C"&amp;$A40)),0)+IF($A$4&lt;$A40,($A$5-$A$4)*IF(RTD("tos.rtd",,"OPEN_INT","."&amp;D$2&amp;D$1&amp;"P"&amp;$A40)="N/A",0,RTD("tos.rtd",,"OPEN_INT","."&amp;D$2&amp;D$1&amp;"P"&amp;$A40)),0),IF($X$1="ABS",IF(RTD("tos.rtd",,$A$2,"."&amp;D$2&amp;D$1&amp;"C"&amp;$A40)="N/A",0,RTD("tos.rtd",,$A$2,"."&amp;D$2&amp;D$1&amp;"C"&amp;$A40))+IF(RTD("tos.rtd",,$A$2,"."&amp;D$2&amp;D$1&amp;"P"&amp;$A40)="N/A",0,RTD("tos.rtd",,$A$2,"."&amp;D$2&amp;D$1&amp;"P"&amp;$A40)),IF(RTD("tos.rtd",,$A$2,"."&amp;D$2&amp;D$1&amp;"C"&amp;$A40)="N/A",0,RTD("tos.rtd",,$A$2,"."&amp;D$2&amp;D$1&amp;"C"&amp;$A40))-IF(RTD("tos.rtd",,$A$2,"."&amp;D$2&amp;D$1&amp;"P"&amp;$A40)="N/A",0,RTD("tos.rtd",,$A$2,"."&amp;D$2&amp;D$1&amp;"P"&amp;$A40))))))))))</f>
        <v>-5997</v>
      </c>
      <c r="E40" s="12">
        <f ca="1">IF($A$2="PREMIUM_OI",IFERROR(IF($X$1="ABS",(100*RTD("tos.rtd",,"OPEN_INT","."&amp;E$2&amp;E$1&amp;"C"&amp;$A40)*RTD("tos.rtd",,"LAST","."&amp;E$2&amp;E$1&amp;"C"&amp;$A40)+100*RTD("tos.rtd",,"OPEN_INT","."&amp;E$2&amp;E$1&amp;"P"&amp;$A40)*RTD("tos.rtd",,"LAST","."&amp;E$2&amp;E$1&amp;"P"&amp;$A40))/1000000,(100*RTD("tos.rtd",,"OPEN_INT","."&amp;E$2&amp;E$1&amp;"C"&amp;$A40)*RTD("tos.rtd",,"LAST","."&amp;E$2&amp;E$1&amp;"C"&amp;$A40)-100*RTD("tos.rtd",,"OPEN_INT","."&amp;E$2&amp;E$1&amp;"P"&amp;$A40)*RTD("tos.rtd",,"LAST","."&amp;E$2&amp;E$1&amp;"P"&amp;$A40))/1000000),0),IF($A$2="PREMIUM",IFERROR(IF($X$1="ABS",(100*RTD("tos.rtd",,"VOLUME","."&amp;E$2&amp;E$1&amp;"C"&amp;$A40)*RTD("tos.rtd",,"LAST","."&amp;E$2&amp;E$1&amp;"C"&amp;$A40)+100*RTD("tos.rtd",,"VOLUME","."&amp;E$2&amp;E$1&amp;"P"&amp;$A40)*RTD("tos.rtd",,"LAST","."&amp;E$2&amp;E$1&amp;"P"&amp;$A40))/1000000,(100*RTD("tos.rtd",,"VOLUME","."&amp;E$2&amp;E$1&amp;"C"&amp;$A40)*RTD("tos.rtd",,"LAST","."&amp;E$2&amp;E$1&amp;"C"&amp;$A40)-100*RTD("tos.rtd",,"VOLUME","."&amp;E$2&amp;E$1&amp;"P"&amp;$A40)*RTD("tos.rtd",,"LAST","."&amp;E$2&amp;E$1&amp;"P"&amp;$A40))/1000000),0),IF($A$2="DEX",IFERROR(IF($X$1="ABS",(100*RTD("tos.rtd",,"OPEN_INT","."&amp;E$2&amp;E$1&amp;"C"&amp;$A40)*RTD("tos.rtd",,"DELTA","."&amp;E$2&amp;E$1&amp;"C"&amp;$A40)+100*RTD("tos.rtd",,"OPEN_INT","."&amp;E$2&amp;E$1&amp;"P"&amp;$A40)*RTD("tos.rtd",,"DELTA","."&amp;E$2&amp;E$1&amp;"P"&amp;$A40))/1000,(100*RTD("tos.rtd",,"OPEN_INT","."&amp;E$2&amp;E$1&amp;"C"&amp;$A40)*RTD("tos.rtd",,"DELTA","."&amp;E$2&amp;E$1&amp;"C"&amp;$A40)-100*RTD("tos.rtd",,"OPEN_INT","."&amp;E$2&amp;E$1&amp;"P"&amp;$A40)*RTD("tos.rtd",,"DELTA","."&amp;E$2&amp;E$1&amp;"P"&amp;$A40))/1000),0),IF($A$2="VEX",IFERROR(IF($X$1="ABS",($A$4*$A$4*RTD("tos.rtd",,"VOLUME","."&amp;E$2&amp;E$1&amp;"C"&amp;$A40)*RTD("tos.rtd",,"GAMMA","."&amp;E$2&amp;E$1&amp;"C"&amp;$A40)+$A$4*$A$4*RTD("tos.rtd",,"VOLUME","."&amp;E$2&amp;E$1&amp;"P"&amp;$A40)*RTD("tos.rtd",,"GAMMA","."&amp;E$2&amp;E$1&amp;"P"&amp;$A40))/1000000,($A$4*$A$4*RTD("tos.rtd",,"VOLUME","."&amp;E$2&amp;E$1&amp;"C"&amp;$A40)*RTD("tos.rtd",,"GAMMA","."&amp;E$2&amp;E$1&amp;"C"&amp;$A40)-$A$4*$A$4*RTD("tos.rtd",,"VOLUME","."&amp;E$2&amp;E$1&amp;"P"&amp;$A40)*RTD("tos.rtd",,"GAMMA","."&amp;E$2&amp;E$1&amp;"P"&amp;$A40))/1000000),0),IF($A$2="GEX",IFERROR(IF($X$1="ABS",($A$4*$A$4*RTD("tos.rtd",,"OPEN_INT","."&amp;E$2&amp;E$1&amp;"C"&amp;$A40)*RTD("tos.rtd",,"GAMMA","."&amp;E$2&amp;E$1&amp;"C"&amp;$A40)+$A$4*$A$4*RTD("tos.rtd",,"OPEN_INT","."&amp;E$2&amp;E$1&amp;"P"&amp;$A40)*RTD("tos.rtd",,"GAMMA","."&amp;E$2&amp;E$1&amp;"P"&amp;$A40))/1000000,($A$4*$A$4*RTD("tos.rtd",,"OPEN_INT","."&amp;E$2&amp;E$1&amp;"C"&amp;$A40)*RTD("tos.rtd",,"GAMMA","."&amp;E$2&amp;E$1&amp;"C"&amp;$A40)-$A$4*$A$4*RTD("tos.rtd",,"OPEN_INT","."&amp;E$2&amp;E$1&amp;"P"&amp;$A40)*RTD("tos.rtd",,"GAMMA","."&amp;E$2&amp;E$1&amp;"P"&amp;$A40))/1000000),0),IF($A$2="SKEW",IFERROR(VALUE(IF(RTD("tos.rtd",,"IMPL_VOL","."&amp;E$2&amp;E$1&amp;"P"&amp;$A40)="N/A",0,RTD("tos.rtd",,"IMPL_VOL","."&amp;E$2&amp;E$1&amp;"P"&amp;$A40))),0)-IFERROR(VALUE(IF(RTD("tos.rtd",,"IMPL_VOL","."&amp;E$2&amp;E$1&amp;"C"&amp;$A40)="N/A",0,RTD("tos.rtd",,"IMPL_VOL","."&amp;E$2&amp;E$1&amp;"C"&amp;$A40))),0),IF($A$2="MAXPAIN",IF($A$4&gt;$A40,($A$4-$A40)*IF(RTD("tos.rtd",,"OPEN_INT","."&amp;E$2&amp;E$1&amp;"C"&amp;$A40)="N/A",0,RTD("tos.rtd",,"OPEN_INT","."&amp;E$2&amp;E$1&amp;"C"&amp;$A40)),0)+IF($A$4&lt;$A40,($A$5-$A$4)*IF(RTD("tos.rtd",,"OPEN_INT","."&amp;E$2&amp;E$1&amp;"P"&amp;$A40)="N/A",0,RTD("tos.rtd",,"OPEN_INT","."&amp;E$2&amp;E$1&amp;"P"&amp;$A40)),0),IF($X$1="ABS",IF(RTD("tos.rtd",,$A$2,"."&amp;E$2&amp;E$1&amp;"C"&amp;$A40)="N/A",0,RTD("tos.rtd",,$A$2,"."&amp;E$2&amp;E$1&amp;"C"&amp;$A40))+IF(RTD("tos.rtd",,$A$2,"."&amp;E$2&amp;E$1&amp;"P"&amp;$A40)="N/A",0,RTD("tos.rtd",,$A$2,"."&amp;E$2&amp;E$1&amp;"P"&amp;$A40)),IF(RTD("tos.rtd",,$A$2,"."&amp;E$2&amp;E$1&amp;"C"&amp;$A40)="N/A",0,RTD("tos.rtd",,$A$2,"."&amp;E$2&amp;E$1&amp;"C"&amp;$A40))-IF(RTD("tos.rtd",,$A$2,"."&amp;E$2&amp;E$1&amp;"P"&amp;$A40)="N/A",0,RTD("tos.rtd",,$A$2,"."&amp;E$2&amp;E$1&amp;"P"&amp;$A40))))))))))</f>
        <v>-520</v>
      </c>
      <c r="F40" s="12">
        <f ca="1">IF($A$2="PREMIUM_OI",IFERROR(IF($X$1="ABS",(100*RTD("tos.rtd",,"OPEN_INT","."&amp;F$2&amp;F$1&amp;"C"&amp;$A40)*RTD("tos.rtd",,"LAST","."&amp;F$2&amp;F$1&amp;"C"&amp;$A40)+100*RTD("tos.rtd",,"OPEN_INT","."&amp;F$2&amp;F$1&amp;"P"&amp;$A40)*RTD("tos.rtd",,"LAST","."&amp;F$2&amp;F$1&amp;"P"&amp;$A40))/1000000,(100*RTD("tos.rtd",,"OPEN_INT","."&amp;F$2&amp;F$1&amp;"C"&amp;$A40)*RTD("tos.rtd",,"LAST","."&amp;F$2&amp;F$1&amp;"C"&amp;$A40)-100*RTD("tos.rtd",,"OPEN_INT","."&amp;F$2&amp;F$1&amp;"P"&amp;$A40)*RTD("tos.rtd",,"LAST","."&amp;F$2&amp;F$1&amp;"P"&amp;$A40))/1000000),0),IF($A$2="PREMIUM",IFERROR(IF($X$1="ABS",(100*RTD("tos.rtd",,"VOLUME","."&amp;F$2&amp;F$1&amp;"C"&amp;$A40)*RTD("tos.rtd",,"LAST","."&amp;F$2&amp;F$1&amp;"C"&amp;$A40)+100*RTD("tos.rtd",,"VOLUME","."&amp;F$2&amp;F$1&amp;"P"&amp;$A40)*RTD("tos.rtd",,"LAST","."&amp;F$2&amp;F$1&amp;"P"&amp;$A40))/1000000,(100*RTD("tos.rtd",,"VOLUME","."&amp;F$2&amp;F$1&amp;"C"&amp;$A40)*RTD("tos.rtd",,"LAST","."&amp;F$2&amp;F$1&amp;"C"&amp;$A40)-100*RTD("tos.rtd",,"VOLUME","."&amp;F$2&amp;F$1&amp;"P"&amp;$A40)*RTD("tos.rtd",,"LAST","."&amp;F$2&amp;F$1&amp;"P"&amp;$A40))/1000000),0),IF($A$2="DEX",IFERROR(IF($X$1="ABS",(100*RTD("tos.rtd",,"OPEN_INT","."&amp;F$2&amp;F$1&amp;"C"&amp;$A40)*RTD("tos.rtd",,"DELTA","."&amp;F$2&amp;F$1&amp;"C"&amp;$A40)+100*RTD("tos.rtd",,"OPEN_INT","."&amp;F$2&amp;F$1&amp;"P"&amp;$A40)*RTD("tos.rtd",,"DELTA","."&amp;F$2&amp;F$1&amp;"P"&amp;$A40))/1000,(100*RTD("tos.rtd",,"OPEN_INT","."&amp;F$2&amp;F$1&amp;"C"&amp;$A40)*RTD("tos.rtd",,"DELTA","."&amp;F$2&amp;F$1&amp;"C"&amp;$A40)-100*RTD("tos.rtd",,"OPEN_INT","."&amp;F$2&amp;F$1&amp;"P"&amp;$A40)*RTD("tos.rtd",,"DELTA","."&amp;F$2&amp;F$1&amp;"P"&amp;$A40))/1000),0),IF($A$2="VEX",IFERROR(IF($X$1="ABS",($A$4*$A$4*RTD("tos.rtd",,"VOLUME","."&amp;F$2&amp;F$1&amp;"C"&amp;$A40)*RTD("tos.rtd",,"GAMMA","."&amp;F$2&amp;F$1&amp;"C"&amp;$A40)+$A$4*$A$4*RTD("tos.rtd",,"VOLUME","."&amp;F$2&amp;F$1&amp;"P"&amp;$A40)*RTD("tos.rtd",,"GAMMA","."&amp;F$2&amp;F$1&amp;"P"&amp;$A40))/1000000,($A$4*$A$4*RTD("tos.rtd",,"VOLUME","."&amp;F$2&amp;F$1&amp;"C"&amp;$A40)*RTD("tos.rtd",,"GAMMA","."&amp;F$2&amp;F$1&amp;"C"&amp;$A40)-$A$4*$A$4*RTD("tos.rtd",,"VOLUME","."&amp;F$2&amp;F$1&amp;"P"&amp;$A40)*RTD("tos.rtd",,"GAMMA","."&amp;F$2&amp;F$1&amp;"P"&amp;$A40))/1000000),0),IF($A$2="GEX",IFERROR(IF($X$1="ABS",($A$4*$A$4*RTD("tos.rtd",,"OPEN_INT","."&amp;F$2&amp;F$1&amp;"C"&amp;$A40)*RTD("tos.rtd",,"GAMMA","."&amp;F$2&amp;F$1&amp;"C"&amp;$A40)+$A$4*$A$4*RTD("tos.rtd",,"OPEN_INT","."&amp;F$2&amp;F$1&amp;"P"&amp;$A40)*RTD("tos.rtd",,"GAMMA","."&amp;F$2&amp;F$1&amp;"P"&amp;$A40))/1000000,($A$4*$A$4*RTD("tos.rtd",,"OPEN_INT","."&amp;F$2&amp;F$1&amp;"C"&amp;$A40)*RTD("tos.rtd",,"GAMMA","."&amp;F$2&amp;F$1&amp;"C"&amp;$A40)-$A$4*$A$4*RTD("tos.rtd",,"OPEN_INT","."&amp;F$2&amp;F$1&amp;"P"&amp;$A40)*RTD("tos.rtd",,"GAMMA","."&amp;F$2&amp;F$1&amp;"P"&amp;$A40))/1000000),0),IF($A$2="SKEW",IFERROR(VALUE(IF(RTD("tos.rtd",,"IMPL_VOL","."&amp;F$2&amp;F$1&amp;"P"&amp;$A40)="N/A",0,RTD("tos.rtd",,"IMPL_VOL","."&amp;F$2&amp;F$1&amp;"P"&amp;$A40))),0)-IFERROR(VALUE(IF(RTD("tos.rtd",,"IMPL_VOL","."&amp;F$2&amp;F$1&amp;"C"&amp;$A40)="N/A",0,RTD("tos.rtd",,"IMPL_VOL","."&amp;F$2&amp;F$1&amp;"C"&amp;$A40))),0),IF($A$2="MAXPAIN",IF($A$4&gt;$A40,($A$4-$A40)*IF(RTD("tos.rtd",,"OPEN_INT","."&amp;F$2&amp;F$1&amp;"C"&amp;$A40)="N/A",0,RTD("tos.rtd",,"OPEN_INT","."&amp;F$2&amp;F$1&amp;"C"&amp;$A40)),0)+IF($A$4&lt;$A40,($A$5-$A$4)*IF(RTD("tos.rtd",,"OPEN_INT","."&amp;F$2&amp;F$1&amp;"P"&amp;$A40)="N/A",0,RTD("tos.rtd",,"OPEN_INT","."&amp;F$2&amp;F$1&amp;"P"&amp;$A40)),0),IF($X$1="ABS",IF(RTD("tos.rtd",,$A$2,"."&amp;F$2&amp;F$1&amp;"C"&amp;$A40)="N/A",0,RTD("tos.rtd",,$A$2,"."&amp;F$2&amp;F$1&amp;"C"&amp;$A40))+IF(RTD("tos.rtd",,$A$2,"."&amp;F$2&amp;F$1&amp;"P"&amp;$A40)="N/A",0,RTD("tos.rtd",,$A$2,"."&amp;F$2&amp;F$1&amp;"P"&amp;$A40)),IF(RTD("tos.rtd",,$A$2,"."&amp;F$2&amp;F$1&amp;"C"&amp;$A40)="N/A",0,RTD("tos.rtd",,$A$2,"."&amp;F$2&amp;F$1&amp;"C"&amp;$A40))-IF(RTD("tos.rtd",,$A$2,"."&amp;F$2&amp;F$1&amp;"P"&amp;$A40)="N/A",0,RTD("tos.rtd",,$A$2,"."&amp;F$2&amp;F$1&amp;"P"&amp;$A40))))))))))</f>
        <v>-501</v>
      </c>
      <c r="G40" s="57">
        <f ca="1">IF($A$2="PREMIUM_OI",IFERROR(IF($X$1="ABS",(100*RTD("tos.rtd",,"OPEN_INT","."&amp;G$2&amp;G$1&amp;"C"&amp;$A40)*RTD("tos.rtd",,"LAST","."&amp;G$2&amp;G$1&amp;"C"&amp;$A40)+100*RTD("tos.rtd",,"OPEN_INT","."&amp;G$2&amp;G$1&amp;"P"&amp;$A40)*RTD("tos.rtd",,"LAST","."&amp;G$2&amp;G$1&amp;"P"&amp;$A40))/1000000,(100*RTD("tos.rtd",,"OPEN_INT","."&amp;G$2&amp;G$1&amp;"C"&amp;$A40)*RTD("tos.rtd",,"LAST","."&amp;G$2&amp;G$1&amp;"C"&amp;$A40)-100*RTD("tos.rtd",,"OPEN_INT","."&amp;G$2&amp;G$1&amp;"P"&amp;$A40)*RTD("tos.rtd",,"LAST","."&amp;G$2&amp;G$1&amp;"P"&amp;$A40))/1000000),0),IF($A$2="PREMIUM",IFERROR(IF($X$1="ABS",(100*RTD("tos.rtd",,"VOLUME","."&amp;G$2&amp;G$1&amp;"C"&amp;$A40)*RTD("tos.rtd",,"LAST","."&amp;G$2&amp;G$1&amp;"C"&amp;$A40)+100*RTD("tos.rtd",,"VOLUME","."&amp;G$2&amp;G$1&amp;"P"&amp;$A40)*RTD("tos.rtd",,"LAST","."&amp;G$2&amp;G$1&amp;"P"&amp;$A40))/1000000,(100*RTD("tos.rtd",,"VOLUME","."&amp;G$2&amp;G$1&amp;"C"&amp;$A40)*RTD("tos.rtd",,"LAST","."&amp;G$2&amp;G$1&amp;"C"&amp;$A40)-100*RTD("tos.rtd",,"VOLUME","."&amp;G$2&amp;G$1&amp;"P"&amp;$A40)*RTD("tos.rtd",,"LAST","."&amp;G$2&amp;G$1&amp;"P"&amp;$A40))/1000000),0),IF($A$2="DEX",IFERROR(IF($X$1="ABS",(100*RTD("tos.rtd",,"OPEN_INT","."&amp;G$2&amp;G$1&amp;"C"&amp;$A40)*RTD("tos.rtd",,"DELTA","."&amp;G$2&amp;G$1&amp;"C"&amp;$A40)+100*RTD("tos.rtd",,"OPEN_INT","."&amp;G$2&amp;G$1&amp;"P"&amp;$A40)*RTD("tos.rtd",,"DELTA","."&amp;G$2&amp;G$1&amp;"P"&amp;$A40))/1000,(100*RTD("tos.rtd",,"OPEN_INT","."&amp;G$2&amp;G$1&amp;"C"&amp;$A40)*RTD("tos.rtd",,"DELTA","."&amp;G$2&amp;G$1&amp;"C"&amp;$A40)-100*RTD("tos.rtd",,"OPEN_INT","."&amp;G$2&amp;G$1&amp;"P"&amp;$A40)*RTD("tos.rtd",,"DELTA","."&amp;G$2&amp;G$1&amp;"P"&amp;$A40))/1000),0),IF($A$2="VEX",IFERROR(IF($X$1="ABS",($A$4*$A$4*RTD("tos.rtd",,"VOLUME","."&amp;G$2&amp;G$1&amp;"C"&amp;$A40)*RTD("tos.rtd",,"GAMMA","."&amp;G$2&amp;G$1&amp;"C"&amp;$A40)+$A$4*$A$4*RTD("tos.rtd",,"VOLUME","."&amp;G$2&amp;G$1&amp;"P"&amp;$A40)*RTD("tos.rtd",,"GAMMA","."&amp;G$2&amp;G$1&amp;"P"&amp;$A40))/1000000,($A$4*$A$4*RTD("tos.rtd",,"VOLUME","."&amp;G$2&amp;G$1&amp;"C"&amp;$A40)*RTD("tos.rtd",,"GAMMA","."&amp;G$2&amp;G$1&amp;"C"&amp;$A40)-$A$4*$A$4*RTD("tos.rtd",,"VOLUME","."&amp;G$2&amp;G$1&amp;"P"&amp;$A40)*RTD("tos.rtd",,"GAMMA","."&amp;G$2&amp;G$1&amp;"P"&amp;$A40))/1000000),0),IF($A$2="GEX",IFERROR(IF($X$1="ABS",($A$4*$A$4*RTD("tos.rtd",,"OPEN_INT","."&amp;G$2&amp;G$1&amp;"C"&amp;$A40)*RTD("tos.rtd",,"GAMMA","."&amp;G$2&amp;G$1&amp;"C"&amp;$A40)+$A$4*$A$4*RTD("tos.rtd",,"OPEN_INT","."&amp;G$2&amp;G$1&amp;"P"&amp;$A40)*RTD("tos.rtd",,"GAMMA","."&amp;G$2&amp;G$1&amp;"P"&amp;$A40))/1000000,($A$4*$A$4*RTD("tos.rtd",,"OPEN_INT","."&amp;G$2&amp;G$1&amp;"C"&amp;$A40)*RTD("tos.rtd",,"GAMMA","."&amp;G$2&amp;G$1&amp;"C"&amp;$A40)-$A$4*$A$4*RTD("tos.rtd",,"OPEN_INT","."&amp;G$2&amp;G$1&amp;"P"&amp;$A40)*RTD("tos.rtd",,"GAMMA","."&amp;G$2&amp;G$1&amp;"P"&amp;$A40))/1000000),0),IF($A$2="SKEW",IFERROR(VALUE(IF(RTD("tos.rtd",,"IMPL_VOL","."&amp;G$2&amp;G$1&amp;"P"&amp;$A40)="N/A",0,RTD("tos.rtd",,"IMPL_VOL","."&amp;G$2&amp;G$1&amp;"P"&amp;$A40))),0)-IFERROR(VALUE(IF(RTD("tos.rtd",,"IMPL_VOL","."&amp;G$2&amp;G$1&amp;"C"&amp;$A40)="N/A",0,RTD("tos.rtd",,"IMPL_VOL","."&amp;G$2&amp;G$1&amp;"C"&amp;$A40))),0),IF($A$2="MAXPAIN",IF($A$4&gt;$A40,($A$4-$A40)*IF(RTD("tos.rtd",,"OPEN_INT","."&amp;G$2&amp;G$1&amp;"C"&amp;$A40)="N/A",0,RTD("tos.rtd",,"OPEN_INT","."&amp;G$2&amp;G$1&amp;"C"&amp;$A40)),0)+IF($A$4&lt;$A40,($A$5-$A$4)*IF(RTD("tos.rtd",,"OPEN_INT","."&amp;G$2&amp;G$1&amp;"P"&amp;$A40)="N/A",0,RTD("tos.rtd",,"OPEN_INT","."&amp;G$2&amp;G$1&amp;"P"&amp;$A40)),0),IF($X$1="ABS",IF(RTD("tos.rtd",,$A$2,"."&amp;G$2&amp;G$1&amp;"C"&amp;$A40)="N/A",0,RTD("tos.rtd",,$A$2,"."&amp;G$2&amp;G$1&amp;"C"&amp;$A40))+IF(RTD("tos.rtd",,$A$2,"."&amp;G$2&amp;G$1&amp;"P"&amp;$A40)="N/A",0,RTD("tos.rtd",,$A$2,"."&amp;G$2&amp;G$1&amp;"P"&amp;$A40)),IF(RTD("tos.rtd",,$A$2,"."&amp;G$2&amp;G$1&amp;"C"&amp;$A40)="N/A",0,RTD("tos.rtd",,$A$2,"."&amp;G$2&amp;G$1&amp;"C"&amp;$A40))-IF(RTD("tos.rtd",,$A$2,"."&amp;G$2&amp;G$1&amp;"P"&amp;$A40)="N/A",0,RTD("tos.rtd",,$A$2,"."&amp;G$2&amp;G$1&amp;"P"&amp;$A40))))))))))</f>
        <v>1</v>
      </c>
      <c r="H40" s="14">
        <f ca="1">IF($A$2="PREMIUM_OI",IFERROR(IF($X$1="ABS",(100*RTD("tos.rtd",,"OPEN_INT","."&amp;H$2&amp;H$1&amp;"C"&amp;$A40)*RTD("tos.rtd",,"LAST","."&amp;H$2&amp;H$1&amp;"C"&amp;$A40)+100*RTD("tos.rtd",,"OPEN_INT","."&amp;H$2&amp;H$1&amp;"P"&amp;$A40)*RTD("tos.rtd",,"LAST","."&amp;H$2&amp;H$1&amp;"P"&amp;$A40))/1000000,(100*RTD("tos.rtd",,"OPEN_INT","."&amp;H$2&amp;H$1&amp;"C"&amp;$A40)*RTD("tos.rtd",,"LAST","."&amp;H$2&amp;H$1&amp;"C"&amp;$A40)-100*RTD("tos.rtd",,"OPEN_INT","."&amp;H$2&amp;H$1&amp;"P"&amp;$A40)*RTD("tos.rtd",,"LAST","."&amp;H$2&amp;H$1&amp;"P"&amp;$A40))/1000000),0),IF($A$2="PREMIUM",IFERROR(IF($X$1="ABS",(100*RTD("tos.rtd",,"VOLUME","."&amp;H$2&amp;H$1&amp;"C"&amp;$A40)*RTD("tos.rtd",,"LAST","."&amp;H$2&amp;H$1&amp;"C"&amp;$A40)+100*RTD("tos.rtd",,"VOLUME","."&amp;H$2&amp;H$1&amp;"P"&amp;$A40)*RTD("tos.rtd",,"LAST","."&amp;H$2&amp;H$1&amp;"P"&amp;$A40))/1000000,(100*RTD("tos.rtd",,"VOLUME","."&amp;H$2&amp;H$1&amp;"C"&amp;$A40)*RTD("tos.rtd",,"LAST","."&amp;H$2&amp;H$1&amp;"C"&amp;$A40)-100*RTD("tos.rtd",,"VOLUME","."&amp;H$2&amp;H$1&amp;"P"&amp;$A40)*RTD("tos.rtd",,"LAST","."&amp;H$2&amp;H$1&amp;"P"&amp;$A40))/1000000),0),IF($A$2="DEX",IFERROR(IF($X$1="ABS",(100*RTD("tos.rtd",,"OPEN_INT","."&amp;H$2&amp;H$1&amp;"C"&amp;$A40)*RTD("tos.rtd",,"DELTA","."&amp;H$2&amp;H$1&amp;"C"&amp;$A40)+100*RTD("tos.rtd",,"OPEN_INT","."&amp;H$2&amp;H$1&amp;"P"&amp;$A40)*RTD("tos.rtd",,"DELTA","."&amp;H$2&amp;H$1&amp;"P"&amp;$A40))/1000,(100*RTD("tos.rtd",,"OPEN_INT","."&amp;H$2&amp;H$1&amp;"C"&amp;$A40)*RTD("tos.rtd",,"DELTA","."&amp;H$2&amp;H$1&amp;"C"&amp;$A40)-100*RTD("tos.rtd",,"OPEN_INT","."&amp;H$2&amp;H$1&amp;"P"&amp;$A40)*RTD("tos.rtd",,"DELTA","."&amp;H$2&amp;H$1&amp;"P"&amp;$A40))/1000),0),IF($A$2="VEX",IFERROR(IF($X$1="ABS",($A$4*$A$4*RTD("tos.rtd",,"VOLUME","."&amp;H$2&amp;H$1&amp;"C"&amp;$A40)*RTD("tos.rtd",,"GAMMA","."&amp;H$2&amp;H$1&amp;"C"&amp;$A40)+$A$4*$A$4*RTD("tos.rtd",,"VOLUME","."&amp;H$2&amp;H$1&amp;"P"&amp;$A40)*RTD("tos.rtd",,"GAMMA","."&amp;H$2&amp;H$1&amp;"P"&amp;$A40))/1000000,($A$4*$A$4*RTD("tos.rtd",,"VOLUME","."&amp;H$2&amp;H$1&amp;"C"&amp;$A40)*RTD("tos.rtd",,"GAMMA","."&amp;H$2&amp;H$1&amp;"C"&amp;$A40)-$A$4*$A$4*RTD("tos.rtd",,"VOLUME","."&amp;H$2&amp;H$1&amp;"P"&amp;$A40)*RTD("tos.rtd",,"GAMMA","."&amp;H$2&amp;H$1&amp;"P"&amp;$A40))/1000000),0),IF($A$2="GEX",IFERROR(IF($X$1="ABS",($A$4*$A$4*RTD("tos.rtd",,"OPEN_INT","."&amp;H$2&amp;H$1&amp;"C"&amp;$A40)*RTD("tos.rtd",,"GAMMA","."&amp;H$2&amp;H$1&amp;"C"&amp;$A40)+$A$4*$A$4*RTD("tos.rtd",,"OPEN_INT","."&amp;H$2&amp;H$1&amp;"P"&amp;$A40)*RTD("tos.rtd",,"GAMMA","."&amp;H$2&amp;H$1&amp;"P"&amp;$A40))/1000000,($A$4*$A$4*RTD("tos.rtd",,"OPEN_INT","."&amp;H$2&amp;H$1&amp;"C"&amp;$A40)*RTD("tos.rtd",,"GAMMA","."&amp;H$2&amp;H$1&amp;"C"&amp;$A40)-$A$4*$A$4*RTD("tos.rtd",,"OPEN_INT","."&amp;H$2&amp;H$1&amp;"P"&amp;$A40)*RTD("tos.rtd",,"GAMMA","."&amp;H$2&amp;H$1&amp;"P"&amp;$A40))/1000000),0),IF($A$2="SKEW",IFERROR(VALUE(IF(RTD("tos.rtd",,"IMPL_VOL","."&amp;H$2&amp;H$1&amp;"P"&amp;$A40)="N/A",0,RTD("tos.rtd",,"IMPL_VOL","."&amp;H$2&amp;H$1&amp;"P"&amp;$A40))),0)-IFERROR(VALUE(IF(RTD("tos.rtd",,"IMPL_VOL","."&amp;H$2&amp;H$1&amp;"C"&amp;$A40)="N/A",0,RTD("tos.rtd",,"IMPL_VOL","."&amp;H$2&amp;H$1&amp;"C"&amp;$A40))),0),IF($A$2="MAXPAIN",IF($A$4&gt;$A40,($A$4-$A40)*IF(RTD("tos.rtd",,"OPEN_INT","."&amp;H$2&amp;H$1&amp;"C"&amp;$A40)="N/A",0,RTD("tos.rtd",,"OPEN_INT","."&amp;H$2&amp;H$1&amp;"C"&amp;$A40)),0)+IF($A$4&lt;$A40,($A$5-$A$4)*IF(RTD("tos.rtd",,"OPEN_INT","."&amp;H$2&amp;H$1&amp;"P"&amp;$A40)="N/A",0,RTD("tos.rtd",,"OPEN_INT","."&amp;H$2&amp;H$1&amp;"P"&amp;$A40)),0),IF($X$1="ABS",IF(RTD("tos.rtd",,$A$2,"."&amp;H$2&amp;H$1&amp;"C"&amp;$A40)="N/A",0,RTD("tos.rtd",,$A$2,"."&amp;H$2&amp;H$1&amp;"C"&amp;$A40))+IF(RTD("tos.rtd",,$A$2,"."&amp;H$2&amp;H$1&amp;"P"&amp;$A40)="N/A",0,RTD("tos.rtd",,$A$2,"."&amp;H$2&amp;H$1&amp;"P"&amp;$A40)),IF(RTD("tos.rtd",,$A$2,"."&amp;H$2&amp;H$1&amp;"C"&amp;$A40)="N/A",0,RTD("tos.rtd",,$A$2,"."&amp;H$2&amp;H$1&amp;"C"&amp;$A40))-IF(RTD("tos.rtd",,$A$2,"."&amp;H$2&amp;H$1&amp;"P"&amp;$A40)="N/A",0,RTD("tos.rtd",,$A$2,"."&amp;H$2&amp;H$1&amp;"P"&amp;$A40))))))))))</f>
        <v>354</v>
      </c>
      <c r="I40" s="12">
        <f ca="1">IF($A$2="PREMIUM_OI",IFERROR(IF($X$1="ABS",(100*RTD("tos.rtd",,"OPEN_INT","."&amp;I$2&amp;I$1&amp;"C"&amp;$A40)*RTD("tos.rtd",,"LAST","."&amp;I$2&amp;I$1&amp;"C"&amp;$A40)+100*RTD("tos.rtd",,"OPEN_INT","."&amp;I$2&amp;I$1&amp;"P"&amp;$A40)*RTD("tos.rtd",,"LAST","."&amp;I$2&amp;I$1&amp;"P"&amp;$A40))/1000000,(100*RTD("tos.rtd",,"OPEN_INT","."&amp;I$2&amp;I$1&amp;"C"&amp;$A40)*RTD("tos.rtd",,"LAST","."&amp;I$2&amp;I$1&amp;"C"&amp;$A40)-100*RTD("tos.rtd",,"OPEN_INT","."&amp;I$2&amp;I$1&amp;"P"&amp;$A40)*RTD("tos.rtd",,"LAST","."&amp;I$2&amp;I$1&amp;"P"&amp;$A40))/1000000),0),IF($A$2="PREMIUM",IFERROR(IF($X$1="ABS",(100*RTD("tos.rtd",,"VOLUME","."&amp;I$2&amp;I$1&amp;"C"&amp;$A40)*RTD("tos.rtd",,"LAST","."&amp;I$2&amp;I$1&amp;"C"&amp;$A40)+100*RTD("tos.rtd",,"VOLUME","."&amp;I$2&amp;I$1&amp;"P"&amp;$A40)*RTD("tos.rtd",,"LAST","."&amp;I$2&amp;I$1&amp;"P"&amp;$A40))/1000000,(100*RTD("tos.rtd",,"VOLUME","."&amp;I$2&amp;I$1&amp;"C"&amp;$A40)*RTD("tos.rtd",,"LAST","."&amp;I$2&amp;I$1&amp;"C"&amp;$A40)-100*RTD("tos.rtd",,"VOLUME","."&amp;I$2&amp;I$1&amp;"P"&amp;$A40)*RTD("tos.rtd",,"LAST","."&amp;I$2&amp;I$1&amp;"P"&amp;$A40))/1000000),0),IF($A$2="DEX",IFERROR(IF($X$1="ABS",(100*RTD("tos.rtd",,"OPEN_INT","."&amp;I$2&amp;I$1&amp;"C"&amp;$A40)*RTD("tos.rtd",,"DELTA","."&amp;I$2&amp;I$1&amp;"C"&amp;$A40)+100*RTD("tos.rtd",,"OPEN_INT","."&amp;I$2&amp;I$1&amp;"P"&amp;$A40)*RTD("tos.rtd",,"DELTA","."&amp;I$2&amp;I$1&amp;"P"&amp;$A40))/1000,(100*RTD("tos.rtd",,"OPEN_INT","."&amp;I$2&amp;I$1&amp;"C"&amp;$A40)*RTD("tos.rtd",,"DELTA","."&amp;I$2&amp;I$1&amp;"C"&amp;$A40)-100*RTD("tos.rtd",,"OPEN_INT","."&amp;I$2&amp;I$1&amp;"P"&amp;$A40)*RTD("tos.rtd",,"DELTA","."&amp;I$2&amp;I$1&amp;"P"&amp;$A40))/1000),0),IF($A$2="VEX",IFERROR(IF($X$1="ABS",($A$4*$A$4*RTD("tos.rtd",,"VOLUME","."&amp;I$2&amp;I$1&amp;"C"&amp;$A40)*RTD("tos.rtd",,"GAMMA","."&amp;I$2&amp;I$1&amp;"C"&amp;$A40)+$A$4*$A$4*RTD("tos.rtd",,"VOLUME","."&amp;I$2&amp;I$1&amp;"P"&amp;$A40)*RTD("tos.rtd",,"GAMMA","."&amp;I$2&amp;I$1&amp;"P"&amp;$A40))/1000000,($A$4*$A$4*RTD("tos.rtd",,"VOLUME","."&amp;I$2&amp;I$1&amp;"C"&amp;$A40)*RTD("tos.rtd",,"GAMMA","."&amp;I$2&amp;I$1&amp;"C"&amp;$A40)-$A$4*$A$4*RTD("tos.rtd",,"VOLUME","."&amp;I$2&amp;I$1&amp;"P"&amp;$A40)*RTD("tos.rtd",,"GAMMA","."&amp;I$2&amp;I$1&amp;"P"&amp;$A40))/1000000),0),IF($A$2="GEX",IFERROR(IF($X$1="ABS",($A$4*$A$4*RTD("tos.rtd",,"OPEN_INT","."&amp;I$2&amp;I$1&amp;"C"&amp;$A40)*RTD("tos.rtd",,"GAMMA","."&amp;I$2&amp;I$1&amp;"C"&amp;$A40)+$A$4*$A$4*RTD("tos.rtd",,"OPEN_INT","."&amp;I$2&amp;I$1&amp;"P"&amp;$A40)*RTD("tos.rtd",,"GAMMA","."&amp;I$2&amp;I$1&amp;"P"&amp;$A40))/1000000,($A$4*$A$4*RTD("tos.rtd",,"OPEN_INT","."&amp;I$2&amp;I$1&amp;"C"&amp;$A40)*RTD("tos.rtd",,"GAMMA","."&amp;I$2&amp;I$1&amp;"C"&amp;$A40)-$A$4*$A$4*RTD("tos.rtd",,"OPEN_INT","."&amp;I$2&amp;I$1&amp;"P"&amp;$A40)*RTD("tos.rtd",,"GAMMA","."&amp;I$2&amp;I$1&amp;"P"&amp;$A40))/1000000),0),IF($A$2="SKEW",IFERROR(VALUE(IF(RTD("tos.rtd",,"IMPL_VOL","."&amp;I$2&amp;I$1&amp;"P"&amp;$A40)="N/A",0,RTD("tos.rtd",,"IMPL_VOL","."&amp;I$2&amp;I$1&amp;"P"&amp;$A40))),0)-IFERROR(VALUE(IF(RTD("tos.rtd",,"IMPL_VOL","."&amp;I$2&amp;I$1&amp;"C"&amp;$A40)="N/A",0,RTD("tos.rtd",,"IMPL_VOL","."&amp;I$2&amp;I$1&amp;"C"&amp;$A40))),0),IF($A$2="MAXPAIN",IF($A$4&gt;$A40,($A$4-$A40)*IF(RTD("tos.rtd",,"OPEN_INT","."&amp;I$2&amp;I$1&amp;"C"&amp;$A40)="N/A",0,RTD("tos.rtd",,"OPEN_INT","."&amp;I$2&amp;I$1&amp;"C"&amp;$A40)),0)+IF($A$4&lt;$A40,($A$5-$A$4)*IF(RTD("tos.rtd",,"OPEN_INT","."&amp;I$2&amp;I$1&amp;"P"&amp;$A40)="N/A",0,RTD("tos.rtd",,"OPEN_INT","."&amp;I$2&amp;I$1&amp;"P"&amp;$A40)),0),IF($X$1="ABS",IF(RTD("tos.rtd",,$A$2,"."&amp;I$2&amp;I$1&amp;"C"&amp;$A40)="N/A",0,RTD("tos.rtd",,$A$2,"."&amp;I$2&amp;I$1&amp;"C"&amp;$A40))+IF(RTD("tos.rtd",,$A$2,"."&amp;I$2&amp;I$1&amp;"P"&amp;$A40)="N/A",0,RTD("tos.rtd",,$A$2,"."&amp;I$2&amp;I$1&amp;"P"&amp;$A40)),IF(RTD("tos.rtd",,$A$2,"."&amp;I$2&amp;I$1&amp;"C"&amp;$A40)="N/A",0,RTD("tos.rtd",,$A$2,"."&amp;I$2&amp;I$1&amp;"C"&amp;$A40))-IF(RTD("tos.rtd",,$A$2,"."&amp;I$2&amp;I$1&amp;"P"&amp;$A40)="N/A",0,RTD("tos.rtd",,$A$2,"."&amp;I$2&amp;I$1&amp;"P"&amp;$A40))))))))))</f>
        <v>0</v>
      </c>
      <c r="J40" s="12">
        <f ca="1">IF($A$2="PREMIUM_OI",IFERROR(IF($X$1="ABS",(100*RTD("tos.rtd",,"OPEN_INT","."&amp;J$2&amp;J$1&amp;"C"&amp;$A40)*RTD("tos.rtd",,"LAST","."&amp;J$2&amp;J$1&amp;"C"&amp;$A40)+100*RTD("tos.rtd",,"OPEN_INT","."&amp;J$2&amp;J$1&amp;"P"&amp;$A40)*RTD("tos.rtd",,"LAST","."&amp;J$2&amp;J$1&amp;"P"&amp;$A40))/1000000,(100*RTD("tos.rtd",,"OPEN_INT","."&amp;J$2&amp;J$1&amp;"C"&amp;$A40)*RTD("tos.rtd",,"LAST","."&amp;J$2&amp;J$1&amp;"C"&amp;$A40)-100*RTD("tos.rtd",,"OPEN_INT","."&amp;J$2&amp;J$1&amp;"P"&amp;$A40)*RTD("tos.rtd",,"LAST","."&amp;J$2&amp;J$1&amp;"P"&amp;$A40))/1000000),0),IF($A$2="PREMIUM",IFERROR(IF($X$1="ABS",(100*RTD("tos.rtd",,"VOLUME","."&amp;J$2&amp;J$1&amp;"C"&amp;$A40)*RTD("tos.rtd",,"LAST","."&amp;J$2&amp;J$1&amp;"C"&amp;$A40)+100*RTD("tos.rtd",,"VOLUME","."&amp;J$2&amp;J$1&amp;"P"&amp;$A40)*RTD("tos.rtd",,"LAST","."&amp;J$2&amp;J$1&amp;"P"&amp;$A40))/1000000,(100*RTD("tos.rtd",,"VOLUME","."&amp;J$2&amp;J$1&amp;"C"&amp;$A40)*RTD("tos.rtd",,"LAST","."&amp;J$2&amp;J$1&amp;"C"&amp;$A40)-100*RTD("tos.rtd",,"VOLUME","."&amp;J$2&amp;J$1&amp;"P"&amp;$A40)*RTD("tos.rtd",,"LAST","."&amp;J$2&amp;J$1&amp;"P"&amp;$A40))/1000000),0),IF($A$2="DEX",IFERROR(IF($X$1="ABS",(100*RTD("tos.rtd",,"OPEN_INT","."&amp;J$2&amp;J$1&amp;"C"&amp;$A40)*RTD("tos.rtd",,"DELTA","."&amp;J$2&amp;J$1&amp;"C"&amp;$A40)+100*RTD("tos.rtd",,"OPEN_INT","."&amp;J$2&amp;J$1&amp;"P"&amp;$A40)*RTD("tos.rtd",,"DELTA","."&amp;J$2&amp;J$1&amp;"P"&amp;$A40))/1000,(100*RTD("tos.rtd",,"OPEN_INT","."&amp;J$2&amp;J$1&amp;"C"&amp;$A40)*RTD("tos.rtd",,"DELTA","."&amp;J$2&amp;J$1&amp;"C"&amp;$A40)-100*RTD("tos.rtd",,"OPEN_INT","."&amp;J$2&amp;J$1&amp;"P"&amp;$A40)*RTD("tos.rtd",,"DELTA","."&amp;J$2&amp;J$1&amp;"P"&amp;$A40))/1000),0),IF($A$2="VEX",IFERROR(IF($X$1="ABS",($A$4*$A$4*RTD("tos.rtd",,"VOLUME","."&amp;J$2&amp;J$1&amp;"C"&amp;$A40)*RTD("tos.rtd",,"GAMMA","."&amp;J$2&amp;J$1&amp;"C"&amp;$A40)+$A$4*$A$4*RTD("tos.rtd",,"VOLUME","."&amp;J$2&amp;J$1&amp;"P"&amp;$A40)*RTD("tos.rtd",,"GAMMA","."&amp;J$2&amp;J$1&amp;"P"&amp;$A40))/1000000,($A$4*$A$4*RTD("tos.rtd",,"VOLUME","."&amp;J$2&amp;J$1&amp;"C"&amp;$A40)*RTD("tos.rtd",,"GAMMA","."&amp;J$2&amp;J$1&amp;"C"&amp;$A40)-$A$4*$A$4*RTD("tos.rtd",,"VOLUME","."&amp;J$2&amp;J$1&amp;"P"&amp;$A40)*RTD("tos.rtd",,"GAMMA","."&amp;J$2&amp;J$1&amp;"P"&amp;$A40))/1000000),0),IF($A$2="GEX",IFERROR(IF($X$1="ABS",($A$4*$A$4*RTD("tos.rtd",,"OPEN_INT","."&amp;J$2&amp;J$1&amp;"C"&amp;$A40)*RTD("tos.rtd",,"GAMMA","."&amp;J$2&amp;J$1&amp;"C"&amp;$A40)+$A$4*$A$4*RTD("tos.rtd",,"OPEN_INT","."&amp;J$2&amp;J$1&amp;"P"&amp;$A40)*RTD("tos.rtd",,"GAMMA","."&amp;J$2&amp;J$1&amp;"P"&amp;$A40))/1000000,($A$4*$A$4*RTD("tos.rtd",,"OPEN_INT","."&amp;J$2&amp;J$1&amp;"C"&amp;$A40)*RTD("tos.rtd",,"GAMMA","."&amp;J$2&amp;J$1&amp;"C"&amp;$A40)-$A$4*$A$4*RTD("tos.rtd",,"OPEN_INT","."&amp;J$2&amp;J$1&amp;"P"&amp;$A40)*RTD("tos.rtd",,"GAMMA","."&amp;J$2&amp;J$1&amp;"P"&amp;$A40))/1000000),0),IF($A$2="SKEW",IFERROR(VALUE(IF(RTD("tos.rtd",,"IMPL_VOL","."&amp;J$2&amp;J$1&amp;"P"&amp;$A40)="N/A",0,RTD("tos.rtd",,"IMPL_VOL","."&amp;J$2&amp;J$1&amp;"P"&amp;$A40))),0)-IFERROR(VALUE(IF(RTD("tos.rtd",,"IMPL_VOL","."&amp;J$2&amp;J$1&amp;"C"&amp;$A40)="N/A",0,RTD("tos.rtd",,"IMPL_VOL","."&amp;J$2&amp;J$1&amp;"C"&amp;$A40))),0),IF($A$2="MAXPAIN",IF($A$4&gt;$A40,($A$4-$A40)*IF(RTD("tos.rtd",,"OPEN_INT","."&amp;J$2&amp;J$1&amp;"C"&amp;$A40)="N/A",0,RTD("tos.rtd",,"OPEN_INT","."&amp;J$2&amp;J$1&amp;"C"&amp;$A40)),0)+IF($A$4&lt;$A40,($A$5-$A$4)*IF(RTD("tos.rtd",,"OPEN_INT","."&amp;J$2&amp;J$1&amp;"P"&amp;$A40)="N/A",0,RTD("tos.rtd",,"OPEN_INT","."&amp;J$2&amp;J$1&amp;"P"&amp;$A40)),0),IF($X$1="ABS",IF(RTD("tos.rtd",,$A$2,"."&amp;J$2&amp;J$1&amp;"C"&amp;$A40)="N/A",0,RTD("tos.rtd",,$A$2,"."&amp;J$2&amp;J$1&amp;"C"&amp;$A40))+IF(RTD("tos.rtd",,$A$2,"."&amp;J$2&amp;J$1&amp;"P"&amp;$A40)="N/A",0,RTD("tos.rtd",,$A$2,"."&amp;J$2&amp;J$1&amp;"P"&amp;$A40)),IF(RTD("tos.rtd",,$A$2,"."&amp;J$2&amp;J$1&amp;"C"&amp;$A40)="N/A",0,RTD("tos.rtd",,$A$2,"."&amp;J$2&amp;J$1&amp;"C"&amp;$A40))-IF(RTD("tos.rtd",,$A$2,"."&amp;J$2&amp;J$1&amp;"P"&amp;$A40)="N/A",0,RTD("tos.rtd",,$A$2,"."&amp;J$2&amp;J$1&amp;"P"&amp;$A40))))))))))</f>
        <v>0</v>
      </c>
      <c r="K40" s="12">
        <f ca="1">IF($A$2="PREMIUM_OI",IFERROR(IF($X$1="ABS",(100*RTD("tos.rtd",,"OPEN_INT","."&amp;K$2&amp;K$1&amp;"C"&amp;$A40)*RTD("tos.rtd",,"LAST","."&amp;K$2&amp;K$1&amp;"C"&amp;$A40)+100*RTD("tos.rtd",,"OPEN_INT","."&amp;K$2&amp;K$1&amp;"P"&amp;$A40)*RTD("tos.rtd",,"LAST","."&amp;K$2&amp;K$1&amp;"P"&amp;$A40))/1000000,(100*RTD("tos.rtd",,"OPEN_INT","."&amp;K$2&amp;K$1&amp;"C"&amp;$A40)*RTD("tos.rtd",,"LAST","."&amp;K$2&amp;K$1&amp;"C"&amp;$A40)-100*RTD("tos.rtd",,"OPEN_INT","."&amp;K$2&amp;K$1&amp;"P"&amp;$A40)*RTD("tos.rtd",,"LAST","."&amp;K$2&amp;K$1&amp;"P"&amp;$A40))/1000000),0),IF($A$2="PREMIUM",IFERROR(IF($X$1="ABS",(100*RTD("tos.rtd",,"VOLUME","."&amp;K$2&amp;K$1&amp;"C"&amp;$A40)*RTD("tos.rtd",,"LAST","."&amp;K$2&amp;K$1&amp;"C"&amp;$A40)+100*RTD("tos.rtd",,"VOLUME","."&amp;K$2&amp;K$1&amp;"P"&amp;$A40)*RTD("tos.rtd",,"LAST","."&amp;K$2&amp;K$1&amp;"P"&amp;$A40))/1000000,(100*RTD("tos.rtd",,"VOLUME","."&amp;K$2&amp;K$1&amp;"C"&amp;$A40)*RTD("tos.rtd",,"LAST","."&amp;K$2&amp;K$1&amp;"C"&amp;$A40)-100*RTD("tos.rtd",,"VOLUME","."&amp;K$2&amp;K$1&amp;"P"&amp;$A40)*RTD("tos.rtd",,"LAST","."&amp;K$2&amp;K$1&amp;"P"&amp;$A40))/1000000),0),IF($A$2="DEX",IFERROR(IF($X$1="ABS",(100*RTD("tos.rtd",,"OPEN_INT","."&amp;K$2&amp;K$1&amp;"C"&amp;$A40)*RTD("tos.rtd",,"DELTA","."&amp;K$2&amp;K$1&amp;"C"&amp;$A40)+100*RTD("tos.rtd",,"OPEN_INT","."&amp;K$2&amp;K$1&amp;"P"&amp;$A40)*RTD("tos.rtd",,"DELTA","."&amp;K$2&amp;K$1&amp;"P"&amp;$A40))/1000,(100*RTD("tos.rtd",,"OPEN_INT","."&amp;K$2&amp;K$1&amp;"C"&amp;$A40)*RTD("tos.rtd",,"DELTA","."&amp;K$2&amp;K$1&amp;"C"&amp;$A40)-100*RTD("tos.rtd",,"OPEN_INT","."&amp;K$2&amp;K$1&amp;"P"&amp;$A40)*RTD("tos.rtd",,"DELTA","."&amp;K$2&amp;K$1&amp;"P"&amp;$A40))/1000),0),IF($A$2="VEX",IFERROR(IF($X$1="ABS",($A$4*$A$4*RTD("tos.rtd",,"VOLUME","."&amp;K$2&amp;K$1&amp;"C"&amp;$A40)*RTD("tos.rtd",,"GAMMA","."&amp;K$2&amp;K$1&amp;"C"&amp;$A40)+$A$4*$A$4*RTD("tos.rtd",,"VOLUME","."&amp;K$2&amp;K$1&amp;"P"&amp;$A40)*RTD("tos.rtd",,"GAMMA","."&amp;K$2&amp;K$1&amp;"P"&amp;$A40))/1000000,($A$4*$A$4*RTD("tos.rtd",,"VOLUME","."&amp;K$2&amp;K$1&amp;"C"&amp;$A40)*RTD("tos.rtd",,"GAMMA","."&amp;K$2&amp;K$1&amp;"C"&amp;$A40)-$A$4*$A$4*RTD("tos.rtd",,"VOLUME","."&amp;K$2&amp;K$1&amp;"P"&amp;$A40)*RTD("tos.rtd",,"GAMMA","."&amp;K$2&amp;K$1&amp;"P"&amp;$A40))/1000000),0),IF($A$2="GEX",IFERROR(IF($X$1="ABS",($A$4*$A$4*RTD("tos.rtd",,"OPEN_INT","."&amp;K$2&amp;K$1&amp;"C"&amp;$A40)*RTD("tos.rtd",,"GAMMA","."&amp;K$2&amp;K$1&amp;"C"&amp;$A40)+$A$4*$A$4*RTD("tos.rtd",,"OPEN_INT","."&amp;K$2&amp;K$1&amp;"P"&amp;$A40)*RTD("tos.rtd",,"GAMMA","."&amp;K$2&amp;K$1&amp;"P"&amp;$A40))/1000000,($A$4*$A$4*RTD("tos.rtd",,"OPEN_INT","."&amp;K$2&amp;K$1&amp;"C"&amp;$A40)*RTD("tos.rtd",,"GAMMA","."&amp;K$2&amp;K$1&amp;"C"&amp;$A40)-$A$4*$A$4*RTD("tos.rtd",,"OPEN_INT","."&amp;K$2&amp;K$1&amp;"P"&amp;$A40)*RTD("tos.rtd",,"GAMMA","."&amp;K$2&amp;K$1&amp;"P"&amp;$A40))/1000000),0),IF($A$2="SKEW",IFERROR(VALUE(IF(RTD("tos.rtd",,"IMPL_VOL","."&amp;K$2&amp;K$1&amp;"P"&amp;$A40)="N/A",0,RTD("tos.rtd",,"IMPL_VOL","."&amp;K$2&amp;K$1&amp;"P"&amp;$A40))),0)-IFERROR(VALUE(IF(RTD("tos.rtd",,"IMPL_VOL","."&amp;K$2&amp;K$1&amp;"C"&amp;$A40)="N/A",0,RTD("tos.rtd",,"IMPL_VOL","."&amp;K$2&amp;K$1&amp;"C"&amp;$A40))),0),IF($A$2="MAXPAIN",IF($A$4&gt;$A40,($A$4-$A40)*IF(RTD("tos.rtd",,"OPEN_INT","."&amp;K$2&amp;K$1&amp;"C"&amp;$A40)="N/A",0,RTD("tos.rtd",,"OPEN_INT","."&amp;K$2&amp;K$1&amp;"C"&amp;$A40)),0)+IF($A$4&lt;$A40,($A$5-$A$4)*IF(RTD("tos.rtd",,"OPEN_INT","."&amp;K$2&amp;K$1&amp;"P"&amp;$A40)="N/A",0,RTD("tos.rtd",,"OPEN_INT","."&amp;K$2&amp;K$1&amp;"P"&amp;$A40)),0),IF($X$1="ABS",IF(RTD("tos.rtd",,$A$2,"."&amp;K$2&amp;K$1&amp;"C"&amp;$A40)="N/A",0,RTD("tos.rtd",,$A$2,"."&amp;K$2&amp;K$1&amp;"C"&amp;$A40))+IF(RTD("tos.rtd",,$A$2,"."&amp;K$2&amp;K$1&amp;"P"&amp;$A40)="N/A",0,RTD("tos.rtd",,$A$2,"."&amp;K$2&amp;K$1&amp;"P"&amp;$A40)),IF(RTD("tos.rtd",,$A$2,"."&amp;K$2&amp;K$1&amp;"C"&amp;$A40)="N/A",0,RTD("tos.rtd",,$A$2,"."&amp;K$2&amp;K$1&amp;"C"&amp;$A40))-IF(RTD("tos.rtd",,$A$2,"."&amp;K$2&amp;K$1&amp;"P"&amp;$A40)="N/A",0,RTD("tos.rtd",,$A$2,"."&amp;K$2&amp;K$1&amp;"P"&amp;$A40))))))))))</f>
        <v>0</v>
      </c>
      <c r="L40" s="54">
        <f ca="1">IF($A$2="PREMIUM_OI",IFERROR(IF($X$1="ABS",(100*RTD("tos.rtd",,"OPEN_INT","."&amp;L$2&amp;L$1&amp;"C"&amp;$A40)*RTD("tos.rtd",,"LAST","."&amp;L$2&amp;L$1&amp;"C"&amp;$A40)+100*RTD("tos.rtd",,"OPEN_INT","."&amp;L$2&amp;L$1&amp;"P"&amp;$A40)*RTD("tos.rtd",,"LAST","."&amp;L$2&amp;L$1&amp;"P"&amp;$A40))/1000000,(100*RTD("tos.rtd",,"OPEN_INT","."&amp;L$2&amp;L$1&amp;"C"&amp;$A40)*RTD("tos.rtd",,"LAST","."&amp;L$2&amp;L$1&amp;"C"&amp;$A40)-100*RTD("tos.rtd",,"OPEN_INT","."&amp;L$2&amp;L$1&amp;"P"&amp;$A40)*RTD("tos.rtd",,"LAST","."&amp;L$2&amp;L$1&amp;"P"&amp;$A40))/1000000),0),IF($A$2="PREMIUM",IFERROR(IF($X$1="ABS",(100*RTD("tos.rtd",,"VOLUME","."&amp;L$2&amp;L$1&amp;"C"&amp;$A40)*RTD("tos.rtd",,"LAST","."&amp;L$2&amp;L$1&amp;"C"&amp;$A40)+100*RTD("tos.rtd",,"VOLUME","."&amp;L$2&amp;L$1&amp;"P"&amp;$A40)*RTD("tos.rtd",,"LAST","."&amp;L$2&amp;L$1&amp;"P"&amp;$A40))/1000000,(100*RTD("tos.rtd",,"VOLUME","."&amp;L$2&amp;L$1&amp;"C"&amp;$A40)*RTD("tos.rtd",,"LAST","."&amp;L$2&amp;L$1&amp;"C"&amp;$A40)-100*RTD("tos.rtd",,"VOLUME","."&amp;L$2&amp;L$1&amp;"P"&amp;$A40)*RTD("tos.rtd",,"LAST","."&amp;L$2&amp;L$1&amp;"P"&amp;$A40))/1000000),0),IF($A$2="DEX",IFERROR(IF($X$1="ABS",(100*RTD("tos.rtd",,"OPEN_INT","."&amp;L$2&amp;L$1&amp;"C"&amp;$A40)*RTD("tos.rtd",,"DELTA","."&amp;L$2&amp;L$1&amp;"C"&amp;$A40)+100*RTD("tos.rtd",,"OPEN_INT","."&amp;L$2&amp;L$1&amp;"P"&amp;$A40)*RTD("tos.rtd",,"DELTA","."&amp;L$2&amp;L$1&amp;"P"&amp;$A40))/1000,(100*RTD("tos.rtd",,"OPEN_INT","."&amp;L$2&amp;L$1&amp;"C"&amp;$A40)*RTD("tos.rtd",,"DELTA","."&amp;L$2&amp;L$1&amp;"C"&amp;$A40)-100*RTD("tos.rtd",,"OPEN_INT","."&amp;L$2&amp;L$1&amp;"P"&amp;$A40)*RTD("tos.rtd",,"DELTA","."&amp;L$2&amp;L$1&amp;"P"&amp;$A40))/1000),0),IF($A$2="VEX",IFERROR(IF($X$1="ABS",($A$4*$A$4*RTD("tos.rtd",,"VOLUME","."&amp;L$2&amp;L$1&amp;"C"&amp;$A40)*RTD("tos.rtd",,"GAMMA","."&amp;L$2&amp;L$1&amp;"C"&amp;$A40)+$A$4*$A$4*RTD("tos.rtd",,"VOLUME","."&amp;L$2&amp;L$1&amp;"P"&amp;$A40)*RTD("tos.rtd",,"GAMMA","."&amp;L$2&amp;L$1&amp;"P"&amp;$A40))/1000000,($A$4*$A$4*RTD("tos.rtd",,"VOLUME","."&amp;L$2&amp;L$1&amp;"C"&amp;$A40)*RTD("tos.rtd",,"GAMMA","."&amp;L$2&amp;L$1&amp;"C"&amp;$A40)-$A$4*$A$4*RTD("tos.rtd",,"VOLUME","."&amp;L$2&amp;L$1&amp;"P"&amp;$A40)*RTD("tos.rtd",,"GAMMA","."&amp;L$2&amp;L$1&amp;"P"&amp;$A40))/1000000),0),IF($A$2="GEX",IFERROR(IF($X$1="ABS",($A$4*$A$4*RTD("tos.rtd",,"OPEN_INT","."&amp;L$2&amp;L$1&amp;"C"&amp;$A40)*RTD("tos.rtd",,"GAMMA","."&amp;L$2&amp;L$1&amp;"C"&amp;$A40)+$A$4*$A$4*RTD("tos.rtd",,"OPEN_INT","."&amp;L$2&amp;L$1&amp;"P"&amp;$A40)*RTD("tos.rtd",,"GAMMA","."&amp;L$2&amp;L$1&amp;"P"&amp;$A40))/1000000,($A$4*$A$4*RTD("tos.rtd",,"OPEN_INT","."&amp;L$2&amp;L$1&amp;"C"&amp;$A40)*RTD("tos.rtd",,"GAMMA","."&amp;L$2&amp;L$1&amp;"C"&amp;$A40)-$A$4*$A$4*RTD("tos.rtd",,"OPEN_INT","."&amp;L$2&amp;L$1&amp;"P"&amp;$A40)*RTD("tos.rtd",,"GAMMA","."&amp;L$2&amp;L$1&amp;"P"&amp;$A40))/1000000),0),IF($A$2="SKEW",IFERROR(VALUE(IF(RTD("tos.rtd",,"IMPL_VOL","."&amp;L$2&amp;L$1&amp;"P"&amp;$A40)="N/A",0,RTD("tos.rtd",,"IMPL_VOL","."&amp;L$2&amp;L$1&amp;"P"&amp;$A40))),0)-IFERROR(VALUE(IF(RTD("tos.rtd",,"IMPL_VOL","."&amp;L$2&amp;L$1&amp;"C"&amp;$A40)="N/A",0,RTD("tos.rtd",,"IMPL_VOL","."&amp;L$2&amp;L$1&amp;"C"&amp;$A40))),0),IF($A$2="MAXPAIN",IF($A$4&gt;$A40,($A$4-$A40)*IF(RTD("tos.rtd",,"OPEN_INT","."&amp;L$2&amp;L$1&amp;"C"&amp;$A40)="N/A",0,RTD("tos.rtd",,"OPEN_INT","."&amp;L$2&amp;L$1&amp;"C"&amp;$A40)),0)+IF($A$4&lt;$A40,($A$5-$A$4)*IF(RTD("tos.rtd",,"OPEN_INT","."&amp;L$2&amp;L$1&amp;"P"&amp;$A40)="N/A",0,RTD("tos.rtd",,"OPEN_INT","."&amp;L$2&amp;L$1&amp;"P"&amp;$A40)),0),IF($X$1="ABS",IF(RTD("tos.rtd",,$A$2,"."&amp;L$2&amp;L$1&amp;"C"&amp;$A40)="N/A",0,RTD("tos.rtd",,$A$2,"."&amp;L$2&amp;L$1&amp;"C"&amp;$A40))+IF(RTD("tos.rtd",,$A$2,"."&amp;L$2&amp;L$1&amp;"P"&amp;$A40)="N/A",0,RTD("tos.rtd",,$A$2,"."&amp;L$2&amp;L$1&amp;"P"&amp;$A40)),IF(RTD("tos.rtd",,$A$2,"."&amp;L$2&amp;L$1&amp;"C"&amp;$A40)="N/A",0,RTD("tos.rtd",,$A$2,"."&amp;L$2&amp;L$1&amp;"C"&amp;$A40))-IF(RTD("tos.rtd",,$A$2,"."&amp;L$2&amp;L$1&amp;"P"&amp;$A40)="N/A",0,RTD("tos.rtd",,$A$2,"."&amp;L$2&amp;L$1&amp;"P"&amp;$A40))))))))))</f>
        <v>7761</v>
      </c>
      <c r="M40" s="12">
        <f ca="1">IF($A$2="PREMIUM_OI",IFERROR(IF($X$1="ABS",(100*RTD("tos.rtd",,"OPEN_INT","."&amp;M$2&amp;M$1&amp;"C"&amp;$A40)*RTD("tos.rtd",,"LAST","."&amp;M$2&amp;M$1&amp;"C"&amp;$A40)+100*RTD("tos.rtd",,"OPEN_INT","."&amp;M$2&amp;M$1&amp;"P"&amp;$A40)*RTD("tos.rtd",,"LAST","."&amp;M$2&amp;M$1&amp;"P"&amp;$A40))/1000000,(100*RTD("tos.rtd",,"OPEN_INT","."&amp;M$2&amp;M$1&amp;"C"&amp;$A40)*RTD("tos.rtd",,"LAST","."&amp;M$2&amp;M$1&amp;"C"&amp;$A40)-100*RTD("tos.rtd",,"OPEN_INT","."&amp;M$2&amp;M$1&amp;"P"&amp;$A40)*RTD("tos.rtd",,"LAST","."&amp;M$2&amp;M$1&amp;"P"&amp;$A40))/1000000),0),IF($A$2="PREMIUM",IFERROR(IF($X$1="ABS",(100*RTD("tos.rtd",,"VOLUME","."&amp;M$2&amp;M$1&amp;"C"&amp;$A40)*RTD("tos.rtd",,"LAST","."&amp;M$2&amp;M$1&amp;"C"&amp;$A40)+100*RTD("tos.rtd",,"VOLUME","."&amp;M$2&amp;M$1&amp;"P"&amp;$A40)*RTD("tos.rtd",,"LAST","."&amp;M$2&amp;M$1&amp;"P"&amp;$A40))/1000000,(100*RTD("tos.rtd",,"VOLUME","."&amp;M$2&amp;M$1&amp;"C"&amp;$A40)*RTD("tos.rtd",,"LAST","."&amp;M$2&amp;M$1&amp;"C"&amp;$A40)-100*RTD("tos.rtd",,"VOLUME","."&amp;M$2&amp;M$1&amp;"P"&amp;$A40)*RTD("tos.rtd",,"LAST","."&amp;M$2&amp;M$1&amp;"P"&amp;$A40))/1000000),0),IF($A$2="DEX",IFERROR(IF($X$1="ABS",(100*RTD("tos.rtd",,"OPEN_INT","."&amp;M$2&amp;M$1&amp;"C"&amp;$A40)*RTD("tos.rtd",,"DELTA","."&amp;M$2&amp;M$1&amp;"C"&amp;$A40)+100*RTD("tos.rtd",,"OPEN_INT","."&amp;M$2&amp;M$1&amp;"P"&amp;$A40)*RTD("tos.rtd",,"DELTA","."&amp;M$2&amp;M$1&amp;"P"&amp;$A40))/1000,(100*RTD("tos.rtd",,"OPEN_INT","."&amp;M$2&amp;M$1&amp;"C"&amp;$A40)*RTD("tos.rtd",,"DELTA","."&amp;M$2&amp;M$1&amp;"C"&amp;$A40)-100*RTD("tos.rtd",,"OPEN_INT","."&amp;M$2&amp;M$1&amp;"P"&amp;$A40)*RTD("tos.rtd",,"DELTA","."&amp;M$2&amp;M$1&amp;"P"&amp;$A40))/1000),0),IF($A$2="VEX",IFERROR(IF($X$1="ABS",($A$4*$A$4*RTD("tos.rtd",,"VOLUME","."&amp;M$2&amp;M$1&amp;"C"&amp;$A40)*RTD("tos.rtd",,"GAMMA","."&amp;M$2&amp;M$1&amp;"C"&amp;$A40)+$A$4*$A$4*RTD("tos.rtd",,"VOLUME","."&amp;M$2&amp;M$1&amp;"P"&amp;$A40)*RTD("tos.rtd",,"GAMMA","."&amp;M$2&amp;M$1&amp;"P"&amp;$A40))/1000000,($A$4*$A$4*RTD("tos.rtd",,"VOLUME","."&amp;M$2&amp;M$1&amp;"C"&amp;$A40)*RTD("tos.rtd",,"GAMMA","."&amp;M$2&amp;M$1&amp;"C"&amp;$A40)-$A$4*$A$4*RTD("tos.rtd",,"VOLUME","."&amp;M$2&amp;M$1&amp;"P"&amp;$A40)*RTD("tos.rtd",,"GAMMA","."&amp;M$2&amp;M$1&amp;"P"&amp;$A40))/1000000),0),IF($A$2="GEX",IFERROR(IF($X$1="ABS",($A$4*$A$4*RTD("tos.rtd",,"OPEN_INT","."&amp;M$2&amp;M$1&amp;"C"&amp;$A40)*RTD("tos.rtd",,"GAMMA","."&amp;M$2&amp;M$1&amp;"C"&amp;$A40)+$A$4*$A$4*RTD("tos.rtd",,"OPEN_INT","."&amp;M$2&amp;M$1&amp;"P"&amp;$A40)*RTD("tos.rtd",,"GAMMA","."&amp;M$2&amp;M$1&amp;"P"&amp;$A40))/1000000,($A$4*$A$4*RTD("tos.rtd",,"OPEN_INT","."&amp;M$2&amp;M$1&amp;"C"&amp;$A40)*RTD("tos.rtd",,"GAMMA","."&amp;M$2&amp;M$1&amp;"C"&amp;$A40)-$A$4*$A$4*RTD("tos.rtd",,"OPEN_INT","."&amp;M$2&amp;M$1&amp;"P"&amp;$A40)*RTD("tos.rtd",,"GAMMA","."&amp;M$2&amp;M$1&amp;"P"&amp;$A40))/1000000),0),IF($A$2="SKEW",IFERROR(VALUE(IF(RTD("tos.rtd",,"IMPL_VOL","."&amp;M$2&amp;M$1&amp;"P"&amp;$A40)="N/A",0,RTD("tos.rtd",,"IMPL_VOL","."&amp;M$2&amp;M$1&amp;"P"&amp;$A40))),0)-IFERROR(VALUE(IF(RTD("tos.rtd",,"IMPL_VOL","."&amp;M$2&amp;M$1&amp;"C"&amp;$A40)="N/A",0,RTD("tos.rtd",,"IMPL_VOL","."&amp;M$2&amp;M$1&amp;"C"&amp;$A40))),0),IF($A$2="MAXPAIN",IF($A$4&gt;$A40,($A$4-$A40)*IF(RTD("tos.rtd",,"OPEN_INT","."&amp;M$2&amp;M$1&amp;"C"&amp;$A40)="N/A",0,RTD("tos.rtd",,"OPEN_INT","."&amp;M$2&amp;M$1&amp;"C"&amp;$A40)),0)+IF($A$4&lt;$A40,($A$5-$A$4)*IF(RTD("tos.rtd",,"OPEN_INT","."&amp;M$2&amp;M$1&amp;"P"&amp;$A40)="N/A",0,RTD("tos.rtd",,"OPEN_INT","."&amp;M$2&amp;M$1&amp;"P"&amp;$A40)),0),IF($X$1="ABS",IF(RTD("tos.rtd",,$A$2,"."&amp;M$2&amp;M$1&amp;"C"&amp;$A40)="N/A",0,RTD("tos.rtd",,$A$2,"."&amp;M$2&amp;M$1&amp;"C"&amp;$A40))+IF(RTD("tos.rtd",,$A$2,"."&amp;M$2&amp;M$1&amp;"P"&amp;$A40)="N/A",0,RTD("tos.rtd",,$A$2,"."&amp;M$2&amp;M$1&amp;"P"&amp;$A40)),IF(RTD("tos.rtd",,$A$2,"."&amp;M$2&amp;M$1&amp;"C"&amp;$A40)="N/A",0,RTD("tos.rtd",,$A$2,"."&amp;M$2&amp;M$1&amp;"C"&amp;$A40))-IF(RTD("tos.rtd",,$A$2,"."&amp;M$2&amp;M$1&amp;"P"&amp;$A40)="N/A",0,RTD("tos.rtd",,$A$2,"."&amp;M$2&amp;M$1&amp;"P"&amp;$A40))))))))))</f>
        <v>902</v>
      </c>
      <c r="N40" s="12">
        <f ca="1">IF($A$2="PREMIUM_OI",IFERROR(IF($X$1="ABS",(100*RTD("tos.rtd",,"OPEN_INT","."&amp;N$2&amp;N$1&amp;"C"&amp;$A40)*RTD("tos.rtd",,"LAST","."&amp;N$2&amp;N$1&amp;"C"&amp;$A40)+100*RTD("tos.rtd",,"OPEN_INT","."&amp;N$2&amp;N$1&amp;"P"&amp;$A40)*RTD("tos.rtd",,"LAST","."&amp;N$2&amp;N$1&amp;"P"&amp;$A40))/1000000,(100*RTD("tos.rtd",,"OPEN_INT","."&amp;N$2&amp;N$1&amp;"C"&amp;$A40)*RTD("tos.rtd",,"LAST","."&amp;N$2&amp;N$1&amp;"C"&amp;$A40)-100*RTD("tos.rtd",,"OPEN_INT","."&amp;N$2&amp;N$1&amp;"P"&amp;$A40)*RTD("tos.rtd",,"LAST","."&amp;N$2&amp;N$1&amp;"P"&amp;$A40))/1000000),0),IF($A$2="PREMIUM",IFERROR(IF($X$1="ABS",(100*RTD("tos.rtd",,"VOLUME","."&amp;N$2&amp;N$1&amp;"C"&amp;$A40)*RTD("tos.rtd",,"LAST","."&amp;N$2&amp;N$1&amp;"C"&amp;$A40)+100*RTD("tos.rtd",,"VOLUME","."&amp;N$2&amp;N$1&amp;"P"&amp;$A40)*RTD("tos.rtd",,"LAST","."&amp;N$2&amp;N$1&amp;"P"&amp;$A40))/1000000,(100*RTD("tos.rtd",,"VOLUME","."&amp;N$2&amp;N$1&amp;"C"&amp;$A40)*RTD("tos.rtd",,"LAST","."&amp;N$2&amp;N$1&amp;"C"&amp;$A40)-100*RTD("tos.rtd",,"VOLUME","."&amp;N$2&amp;N$1&amp;"P"&amp;$A40)*RTD("tos.rtd",,"LAST","."&amp;N$2&amp;N$1&amp;"P"&amp;$A40))/1000000),0),IF($A$2="DEX",IFERROR(IF($X$1="ABS",(100*RTD("tos.rtd",,"OPEN_INT","."&amp;N$2&amp;N$1&amp;"C"&amp;$A40)*RTD("tos.rtd",,"DELTA","."&amp;N$2&amp;N$1&amp;"C"&amp;$A40)+100*RTD("tos.rtd",,"OPEN_INT","."&amp;N$2&amp;N$1&amp;"P"&amp;$A40)*RTD("tos.rtd",,"DELTA","."&amp;N$2&amp;N$1&amp;"P"&amp;$A40))/1000,(100*RTD("tos.rtd",,"OPEN_INT","."&amp;N$2&amp;N$1&amp;"C"&amp;$A40)*RTD("tos.rtd",,"DELTA","."&amp;N$2&amp;N$1&amp;"C"&amp;$A40)-100*RTD("tos.rtd",,"OPEN_INT","."&amp;N$2&amp;N$1&amp;"P"&amp;$A40)*RTD("tos.rtd",,"DELTA","."&amp;N$2&amp;N$1&amp;"P"&amp;$A40))/1000),0),IF($A$2="VEX",IFERROR(IF($X$1="ABS",($A$4*$A$4*RTD("tos.rtd",,"VOLUME","."&amp;N$2&amp;N$1&amp;"C"&amp;$A40)*RTD("tos.rtd",,"GAMMA","."&amp;N$2&amp;N$1&amp;"C"&amp;$A40)+$A$4*$A$4*RTD("tos.rtd",,"VOLUME","."&amp;N$2&amp;N$1&amp;"P"&amp;$A40)*RTD("tos.rtd",,"GAMMA","."&amp;N$2&amp;N$1&amp;"P"&amp;$A40))/1000000,($A$4*$A$4*RTD("tos.rtd",,"VOLUME","."&amp;N$2&amp;N$1&amp;"C"&amp;$A40)*RTD("tos.rtd",,"GAMMA","."&amp;N$2&amp;N$1&amp;"C"&amp;$A40)-$A$4*$A$4*RTD("tos.rtd",,"VOLUME","."&amp;N$2&amp;N$1&amp;"P"&amp;$A40)*RTD("tos.rtd",,"GAMMA","."&amp;N$2&amp;N$1&amp;"P"&amp;$A40))/1000000),0),IF($A$2="GEX",IFERROR(IF($X$1="ABS",($A$4*$A$4*RTD("tos.rtd",,"OPEN_INT","."&amp;N$2&amp;N$1&amp;"C"&amp;$A40)*RTD("tos.rtd",,"GAMMA","."&amp;N$2&amp;N$1&amp;"C"&amp;$A40)+$A$4*$A$4*RTD("tos.rtd",,"OPEN_INT","."&amp;N$2&amp;N$1&amp;"P"&amp;$A40)*RTD("tos.rtd",,"GAMMA","."&amp;N$2&amp;N$1&amp;"P"&amp;$A40))/1000000,($A$4*$A$4*RTD("tos.rtd",,"OPEN_INT","."&amp;N$2&amp;N$1&amp;"C"&amp;$A40)*RTD("tos.rtd",,"GAMMA","."&amp;N$2&amp;N$1&amp;"C"&amp;$A40)-$A$4*$A$4*RTD("tos.rtd",,"OPEN_INT","."&amp;N$2&amp;N$1&amp;"P"&amp;$A40)*RTD("tos.rtd",,"GAMMA","."&amp;N$2&amp;N$1&amp;"P"&amp;$A40))/1000000),0),IF($A$2="SKEW",IFERROR(VALUE(IF(RTD("tos.rtd",,"IMPL_VOL","."&amp;N$2&amp;N$1&amp;"P"&amp;$A40)="N/A",0,RTD("tos.rtd",,"IMPL_VOL","."&amp;N$2&amp;N$1&amp;"P"&amp;$A40))),0)-IFERROR(VALUE(IF(RTD("tos.rtd",,"IMPL_VOL","."&amp;N$2&amp;N$1&amp;"C"&amp;$A40)="N/A",0,RTD("tos.rtd",,"IMPL_VOL","."&amp;N$2&amp;N$1&amp;"C"&amp;$A40))),0),IF($A$2="MAXPAIN",IF($A$4&gt;$A40,($A$4-$A40)*IF(RTD("tos.rtd",,"OPEN_INT","."&amp;N$2&amp;N$1&amp;"C"&amp;$A40)="N/A",0,RTD("tos.rtd",,"OPEN_INT","."&amp;N$2&amp;N$1&amp;"C"&amp;$A40)),0)+IF($A$4&lt;$A40,($A$5-$A$4)*IF(RTD("tos.rtd",,"OPEN_INT","."&amp;N$2&amp;N$1&amp;"P"&amp;$A40)="N/A",0,RTD("tos.rtd",,"OPEN_INT","."&amp;N$2&amp;N$1&amp;"P"&amp;$A40)),0),IF($X$1="ABS",IF(RTD("tos.rtd",,$A$2,"."&amp;N$2&amp;N$1&amp;"C"&amp;$A40)="N/A",0,RTD("tos.rtd",,$A$2,"."&amp;N$2&amp;N$1&amp;"C"&amp;$A40))+IF(RTD("tos.rtd",,$A$2,"."&amp;N$2&amp;N$1&amp;"P"&amp;$A40)="N/A",0,RTD("tos.rtd",,$A$2,"."&amp;N$2&amp;N$1&amp;"P"&amp;$A40)),IF(RTD("tos.rtd",,$A$2,"."&amp;N$2&amp;N$1&amp;"C"&amp;$A40)="N/A",0,RTD("tos.rtd",,$A$2,"."&amp;N$2&amp;N$1&amp;"C"&amp;$A40))-IF(RTD("tos.rtd",,$A$2,"."&amp;N$2&amp;N$1&amp;"P"&amp;$A40)="N/A",0,RTD("tos.rtd",,$A$2,"."&amp;N$2&amp;N$1&amp;"P"&amp;$A40))))))))))</f>
        <v>0</v>
      </c>
      <c r="O40" s="12">
        <f ca="1">IF($A$2="PREMIUM_OI",IFERROR(IF($X$1="ABS",(100*RTD("tos.rtd",,"OPEN_INT","."&amp;O$2&amp;O$1&amp;"C"&amp;$A40)*RTD("tos.rtd",,"LAST","."&amp;O$2&amp;O$1&amp;"C"&amp;$A40)+100*RTD("tos.rtd",,"OPEN_INT","."&amp;O$2&amp;O$1&amp;"P"&amp;$A40)*RTD("tos.rtd",,"LAST","."&amp;O$2&amp;O$1&amp;"P"&amp;$A40))/1000000,(100*RTD("tos.rtd",,"OPEN_INT","."&amp;O$2&amp;O$1&amp;"C"&amp;$A40)*RTD("tos.rtd",,"LAST","."&amp;O$2&amp;O$1&amp;"C"&amp;$A40)-100*RTD("tos.rtd",,"OPEN_INT","."&amp;O$2&amp;O$1&amp;"P"&amp;$A40)*RTD("tos.rtd",,"LAST","."&amp;O$2&amp;O$1&amp;"P"&amp;$A40))/1000000),0),IF($A$2="PREMIUM",IFERROR(IF($X$1="ABS",(100*RTD("tos.rtd",,"VOLUME","."&amp;O$2&amp;O$1&amp;"C"&amp;$A40)*RTD("tos.rtd",,"LAST","."&amp;O$2&amp;O$1&amp;"C"&amp;$A40)+100*RTD("tos.rtd",,"VOLUME","."&amp;O$2&amp;O$1&amp;"P"&amp;$A40)*RTD("tos.rtd",,"LAST","."&amp;O$2&amp;O$1&amp;"P"&amp;$A40))/1000000,(100*RTD("tos.rtd",,"VOLUME","."&amp;O$2&amp;O$1&amp;"C"&amp;$A40)*RTD("tos.rtd",,"LAST","."&amp;O$2&amp;O$1&amp;"C"&amp;$A40)-100*RTD("tos.rtd",,"VOLUME","."&amp;O$2&amp;O$1&amp;"P"&amp;$A40)*RTD("tos.rtd",,"LAST","."&amp;O$2&amp;O$1&amp;"P"&amp;$A40))/1000000),0),IF($A$2="DEX",IFERROR(IF($X$1="ABS",(100*RTD("tos.rtd",,"OPEN_INT","."&amp;O$2&amp;O$1&amp;"C"&amp;$A40)*RTD("tos.rtd",,"DELTA","."&amp;O$2&amp;O$1&amp;"C"&amp;$A40)+100*RTD("tos.rtd",,"OPEN_INT","."&amp;O$2&amp;O$1&amp;"P"&amp;$A40)*RTD("tos.rtd",,"DELTA","."&amp;O$2&amp;O$1&amp;"P"&amp;$A40))/1000,(100*RTD("tos.rtd",,"OPEN_INT","."&amp;O$2&amp;O$1&amp;"C"&amp;$A40)*RTD("tos.rtd",,"DELTA","."&amp;O$2&amp;O$1&amp;"C"&amp;$A40)-100*RTD("tos.rtd",,"OPEN_INT","."&amp;O$2&amp;O$1&amp;"P"&amp;$A40)*RTD("tos.rtd",,"DELTA","."&amp;O$2&amp;O$1&amp;"P"&amp;$A40))/1000),0),IF($A$2="VEX",IFERROR(IF($X$1="ABS",($A$4*$A$4*RTD("tos.rtd",,"VOLUME","."&amp;O$2&amp;O$1&amp;"C"&amp;$A40)*RTD("tos.rtd",,"GAMMA","."&amp;O$2&amp;O$1&amp;"C"&amp;$A40)+$A$4*$A$4*RTD("tos.rtd",,"VOLUME","."&amp;O$2&amp;O$1&amp;"P"&amp;$A40)*RTD("tos.rtd",,"GAMMA","."&amp;O$2&amp;O$1&amp;"P"&amp;$A40))/1000000,($A$4*$A$4*RTD("tos.rtd",,"VOLUME","."&amp;O$2&amp;O$1&amp;"C"&amp;$A40)*RTD("tos.rtd",,"GAMMA","."&amp;O$2&amp;O$1&amp;"C"&amp;$A40)-$A$4*$A$4*RTD("tos.rtd",,"VOLUME","."&amp;O$2&amp;O$1&amp;"P"&amp;$A40)*RTD("tos.rtd",,"GAMMA","."&amp;O$2&amp;O$1&amp;"P"&amp;$A40))/1000000),0),IF($A$2="GEX",IFERROR(IF($X$1="ABS",($A$4*$A$4*RTD("tos.rtd",,"OPEN_INT","."&amp;O$2&amp;O$1&amp;"C"&amp;$A40)*RTD("tos.rtd",,"GAMMA","."&amp;O$2&amp;O$1&amp;"C"&amp;$A40)+$A$4*$A$4*RTD("tos.rtd",,"OPEN_INT","."&amp;O$2&amp;O$1&amp;"P"&amp;$A40)*RTD("tos.rtd",,"GAMMA","."&amp;O$2&amp;O$1&amp;"P"&amp;$A40))/1000000,($A$4*$A$4*RTD("tos.rtd",,"OPEN_INT","."&amp;O$2&amp;O$1&amp;"C"&amp;$A40)*RTD("tos.rtd",,"GAMMA","."&amp;O$2&amp;O$1&amp;"C"&amp;$A40)-$A$4*$A$4*RTD("tos.rtd",,"OPEN_INT","."&amp;O$2&amp;O$1&amp;"P"&amp;$A40)*RTD("tos.rtd",,"GAMMA","."&amp;O$2&amp;O$1&amp;"P"&amp;$A40))/1000000),0),IF($A$2="SKEW",IFERROR(VALUE(IF(RTD("tos.rtd",,"IMPL_VOL","."&amp;O$2&amp;O$1&amp;"P"&amp;$A40)="N/A",0,RTD("tos.rtd",,"IMPL_VOL","."&amp;O$2&amp;O$1&amp;"P"&amp;$A40))),0)-IFERROR(VALUE(IF(RTD("tos.rtd",,"IMPL_VOL","."&amp;O$2&amp;O$1&amp;"C"&amp;$A40)="N/A",0,RTD("tos.rtd",,"IMPL_VOL","."&amp;O$2&amp;O$1&amp;"C"&amp;$A40))),0),IF($A$2="MAXPAIN",IF($A$4&gt;$A40,($A$4-$A40)*IF(RTD("tos.rtd",,"OPEN_INT","."&amp;O$2&amp;O$1&amp;"C"&amp;$A40)="N/A",0,RTD("tos.rtd",,"OPEN_INT","."&amp;O$2&amp;O$1&amp;"C"&amp;$A40)),0)+IF($A$4&lt;$A40,($A$5-$A$4)*IF(RTD("tos.rtd",,"OPEN_INT","."&amp;O$2&amp;O$1&amp;"P"&amp;$A40)="N/A",0,RTD("tos.rtd",,"OPEN_INT","."&amp;O$2&amp;O$1&amp;"P"&amp;$A40)),0),IF($X$1="ABS",IF(RTD("tos.rtd",,$A$2,"."&amp;O$2&amp;O$1&amp;"C"&amp;$A40)="N/A",0,RTD("tos.rtd",,$A$2,"."&amp;O$2&amp;O$1&amp;"C"&amp;$A40))+IF(RTD("tos.rtd",,$A$2,"."&amp;O$2&amp;O$1&amp;"P"&amp;$A40)="N/A",0,RTD("tos.rtd",,$A$2,"."&amp;O$2&amp;O$1&amp;"P"&amp;$A40)),IF(RTD("tos.rtd",,$A$2,"."&amp;O$2&amp;O$1&amp;"C"&amp;$A40)="N/A",0,RTD("tos.rtd",,$A$2,"."&amp;O$2&amp;O$1&amp;"C"&amp;$A40))-IF(RTD("tos.rtd",,$A$2,"."&amp;O$2&amp;O$1&amp;"P"&amp;$A40)="N/A",0,RTD("tos.rtd",,$A$2,"."&amp;O$2&amp;O$1&amp;"P"&amp;$A40))))))))))</f>
        <v>0</v>
      </c>
      <c r="P40" s="12">
        <f ca="1">IF($A$2="PREMIUM_OI",IFERROR(IF($X$1="ABS",(100*RTD("tos.rtd",,"OPEN_INT","."&amp;P$2&amp;P$1&amp;"C"&amp;$A40)*RTD("tos.rtd",,"LAST","."&amp;P$2&amp;P$1&amp;"C"&amp;$A40)+100*RTD("tos.rtd",,"OPEN_INT","."&amp;P$2&amp;P$1&amp;"P"&amp;$A40)*RTD("tos.rtd",,"LAST","."&amp;P$2&amp;P$1&amp;"P"&amp;$A40))/1000000,(100*RTD("tos.rtd",,"OPEN_INT","."&amp;P$2&amp;P$1&amp;"C"&amp;$A40)*RTD("tos.rtd",,"LAST","."&amp;P$2&amp;P$1&amp;"C"&amp;$A40)-100*RTD("tos.rtd",,"OPEN_INT","."&amp;P$2&amp;P$1&amp;"P"&amp;$A40)*RTD("tos.rtd",,"LAST","."&amp;P$2&amp;P$1&amp;"P"&amp;$A40))/1000000),0),IF($A$2="PREMIUM",IFERROR(IF($X$1="ABS",(100*RTD("tos.rtd",,"VOLUME","."&amp;P$2&amp;P$1&amp;"C"&amp;$A40)*RTD("tos.rtd",,"LAST","."&amp;P$2&amp;P$1&amp;"C"&amp;$A40)+100*RTD("tos.rtd",,"VOLUME","."&amp;P$2&amp;P$1&amp;"P"&amp;$A40)*RTD("tos.rtd",,"LAST","."&amp;P$2&amp;P$1&amp;"P"&amp;$A40))/1000000,(100*RTD("tos.rtd",,"VOLUME","."&amp;P$2&amp;P$1&amp;"C"&amp;$A40)*RTD("tos.rtd",,"LAST","."&amp;P$2&amp;P$1&amp;"C"&amp;$A40)-100*RTD("tos.rtd",,"VOLUME","."&amp;P$2&amp;P$1&amp;"P"&amp;$A40)*RTD("tos.rtd",,"LAST","."&amp;P$2&amp;P$1&amp;"P"&amp;$A40))/1000000),0),IF($A$2="DEX",IFERROR(IF($X$1="ABS",(100*RTD("tos.rtd",,"OPEN_INT","."&amp;P$2&amp;P$1&amp;"C"&amp;$A40)*RTD("tos.rtd",,"DELTA","."&amp;P$2&amp;P$1&amp;"C"&amp;$A40)+100*RTD("tos.rtd",,"OPEN_INT","."&amp;P$2&amp;P$1&amp;"P"&amp;$A40)*RTD("tos.rtd",,"DELTA","."&amp;P$2&amp;P$1&amp;"P"&amp;$A40))/1000,(100*RTD("tos.rtd",,"OPEN_INT","."&amp;P$2&amp;P$1&amp;"C"&amp;$A40)*RTD("tos.rtd",,"DELTA","."&amp;P$2&amp;P$1&amp;"C"&amp;$A40)-100*RTD("tos.rtd",,"OPEN_INT","."&amp;P$2&amp;P$1&amp;"P"&amp;$A40)*RTD("tos.rtd",,"DELTA","."&amp;P$2&amp;P$1&amp;"P"&amp;$A40))/1000),0),IF($A$2="VEX",IFERROR(IF($X$1="ABS",($A$4*$A$4*RTD("tos.rtd",,"VOLUME","."&amp;P$2&amp;P$1&amp;"C"&amp;$A40)*RTD("tos.rtd",,"GAMMA","."&amp;P$2&amp;P$1&amp;"C"&amp;$A40)+$A$4*$A$4*RTD("tos.rtd",,"VOLUME","."&amp;P$2&amp;P$1&amp;"P"&amp;$A40)*RTD("tos.rtd",,"GAMMA","."&amp;P$2&amp;P$1&amp;"P"&amp;$A40))/1000000,($A$4*$A$4*RTD("tos.rtd",,"VOLUME","."&amp;P$2&amp;P$1&amp;"C"&amp;$A40)*RTD("tos.rtd",,"GAMMA","."&amp;P$2&amp;P$1&amp;"C"&amp;$A40)-$A$4*$A$4*RTD("tos.rtd",,"VOLUME","."&amp;P$2&amp;P$1&amp;"P"&amp;$A40)*RTD("tos.rtd",,"GAMMA","."&amp;P$2&amp;P$1&amp;"P"&amp;$A40))/1000000),0),IF($A$2="GEX",IFERROR(IF($X$1="ABS",($A$4*$A$4*RTD("tos.rtd",,"OPEN_INT","."&amp;P$2&amp;P$1&amp;"C"&amp;$A40)*RTD("tos.rtd",,"GAMMA","."&amp;P$2&amp;P$1&amp;"C"&amp;$A40)+$A$4*$A$4*RTD("tos.rtd",,"OPEN_INT","."&amp;P$2&amp;P$1&amp;"P"&amp;$A40)*RTD("tos.rtd",,"GAMMA","."&amp;P$2&amp;P$1&amp;"P"&amp;$A40))/1000000,($A$4*$A$4*RTD("tos.rtd",,"OPEN_INT","."&amp;P$2&amp;P$1&amp;"C"&amp;$A40)*RTD("tos.rtd",,"GAMMA","."&amp;P$2&amp;P$1&amp;"C"&amp;$A40)-$A$4*$A$4*RTD("tos.rtd",,"OPEN_INT","."&amp;P$2&amp;P$1&amp;"P"&amp;$A40)*RTD("tos.rtd",,"GAMMA","."&amp;P$2&amp;P$1&amp;"P"&amp;$A40))/1000000),0),IF($A$2="SKEW",IFERROR(VALUE(IF(RTD("tos.rtd",,"IMPL_VOL","."&amp;P$2&amp;P$1&amp;"P"&amp;$A40)="N/A",0,RTD("tos.rtd",,"IMPL_VOL","."&amp;P$2&amp;P$1&amp;"P"&amp;$A40))),0)-IFERROR(VALUE(IF(RTD("tos.rtd",,"IMPL_VOL","."&amp;P$2&amp;P$1&amp;"C"&amp;$A40)="N/A",0,RTD("tos.rtd",,"IMPL_VOL","."&amp;P$2&amp;P$1&amp;"C"&amp;$A40))),0),IF($A$2="MAXPAIN",IF($A$4&gt;$A40,($A$4-$A40)*IF(RTD("tos.rtd",,"OPEN_INT","."&amp;P$2&amp;P$1&amp;"C"&amp;$A40)="N/A",0,RTD("tos.rtd",,"OPEN_INT","."&amp;P$2&amp;P$1&amp;"C"&amp;$A40)),0)+IF($A$4&lt;$A40,($A$5-$A$4)*IF(RTD("tos.rtd",,"OPEN_INT","."&amp;P$2&amp;P$1&amp;"P"&amp;$A40)="N/A",0,RTD("tos.rtd",,"OPEN_INT","."&amp;P$2&amp;P$1&amp;"P"&amp;$A40)),0),IF($X$1="ABS",IF(RTD("tos.rtd",,$A$2,"."&amp;P$2&amp;P$1&amp;"C"&amp;$A40)="N/A",0,RTD("tos.rtd",,$A$2,"."&amp;P$2&amp;P$1&amp;"C"&amp;$A40))+IF(RTD("tos.rtd",,$A$2,"."&amp;P$2&amp;P$1&amp;"P"&amp;$A40)="N/A",0,RTD("tos.rtd",,$A$2,"."&amp;P$2&amp;P$1&amp;"P"&amp;$A40)),IF(RTD("tos.rtd",,$A$2,"."&amp;P$2&amp;P$1&amp;"C"&amp;$A40)="N/A",0,RTD("tos.rtd",,$A$2,"."&amp;P$2&amp;P$1&amp;"C"&amp;$A40))-IF(RTD("tos.rtd",,$A$2,"."&amp;P$2&amp;P$1&amp;"P"&amp;$A40)="N/A",0,RTD("tos.rtd",,$A$2,"."&amp;P$2&amp;P$1&amp;"P"&amp;$A40))))))))))</f>
        <v>493</v>
      </c>
      <c r="Q40" s="12">
        <f ca="1">IF($A$2="PREMIUM_OI",IFERROR(IF($X$1="ABS",(100*RTD("tos.rtd",,"OPEN_INT","."&amp;Q$2&amp;Q$1&amp;"C"&amp;$A40)*RTD("tos.rtd",,"LAST","."&amp;Q$2&amp;Q$1&amp;"C"&amp;$A40)+100*RTD("tos.rtd",,"OPEN_INT","."&amp;Q$2&amp;Q$1&amp;"P"&amp;$A40)*RTD("tos.rtd",,"LAST","."&amp;Q$2&amp;Q$1&amp;"P"&amp;$A40))/1000000,(100*RTD("tos.rtd",,"OPEN_INT","."&amp;Q$2&amp;Q$1&amp;"C"&amp;$A40)*RTD("tos.rtd",,"LAST","."&amp;Q$2&amp;Q$1&amp;"C"&amp;$A40)-100*RTD("tos.rtd",,"OPEN_INT","."&amp;Q$2&amp;Q$1&amp;"P"&amp;$A40)*RTD("tos.rtd",,"LAST","."&amp;Q$2&amp;Q$1&amp;"P"&amp;$A40))/1000000),0),IF($A$2="PREMIUM",IFERROR(IF($X$1="ABS",(100*RTD("tos.rtd",,"VOLUME","."&amp;Q$2&amp;Q$1&amp;"C"&amp;$A40)*RTD("tos.rtd",,"LAST","."&amp;Q$2&amp;Q$1&amp;"C"&amp;$A40)+100*RTD("tos.rtd",,"VOLUME","."&amp;Q$2&amp;Q$1&amp;"P"&amp;$A40)*RTD("tos.rtd",,"LAST","."&amp;Q$2&amp;Q$1&amp;"P"&amp;$A40))/1000000,(100*RTD("tos.rtd",,"VOLUME","."&amp;Q$2&amp;Q$1&amp;"C"&amp;$A40)*RTD("tos.rtd",,"LAST","."&amp;Q$2&amp;Q$1&amp;"C"&amp;$A40)-100*RTD("tos.rtd",,"VOLUME","."&amp;Q$2&amp;Q$1&amp;"P"&amp;$A40)*RTD("tos.rtd",,"LAST","."&amp;Q$2&amp;Q$1&amp;"P"&amp;$A40))/1000000),0),IF($A$2="DEX",IFERROR(IF($X$1="ABS",(100*RTD("tos.rtd",,"OPEN_INT","."&amp;Q$2&amp;Q$1&amp;"C"&amp;$A40)*RTD("tos.rtd",,"DELTA","."&amp;Q$2&amp;Q$1&amp;"C"&amp;$A40)+100*RTD("tos.rtd",,"OPEN_INT","."&amp;Q$2&amp;Q$1&amp;"P"&amp;$A40)*RTD("tos.rtd",,"DELTA","."&amp;Q$2&amp;Q$1&amp;"P"&amp;$A40))/1000,(100*RTD("tos.rtd",,"OPEN_INT","."&amp;Q$2&amp;Q$1&amp;"C"&amp;$A40)*RTD("tos.rtd",,"DELTA","."&amp;Q$2&amp;Q$1&amp;"C"&amp;$A40)-100*RTD("tos.rtd",,"OPEN_INT","."&amp;Q$2&amp;Q$1&amp;"P"&amp;$A40)*RTD("tos.rtd",,"DELTA","."&amp;Q$2&amp;Q$1&amp;"P"&amp;$A40))/1000),0),IF($A$2="VEX",IFERROR(IF($X$1="ABS",($A$4*$A$4*RTD("tos.rtd",,"VOLUME","."&amp;Q$2&amp;Q$1&amp;"C"&amp;$A40)*RTD("tos.rtd",,"GAMMA","."&amp;Q$2&amp;Q$1&amp;"C"&amp;$A40)+$A$4*$A$4*RTD("tos.rtd",,"VOLUME","."&amp;Q$2&amp;Q$1&amp;"P"&amp;$A40)*RTD("tos.rtd",,"GAMMA","."&amp;Q$2&amp;Q$1&amp;"P"&amp;$A40))/1000000,($A$4*$A$4*RTD("tos.rtd",,"VOLUME","."&amp;Q$2&amp;Q$1&amp;"C"&amp;$A40)*RTD("tos.rtd",,"GAMMA","."&amp;Q$2&amp;Q$1&amp;"C"&amp;$A40)-$A$4*$A$4*RTD("tos.rtd",,"VOLUME","."&amp;Q$2&amp;Q$1&amp;"P"&amp;$A40)*RTD("tos.rtd",,"GAMMA","."&amp;Q$2&amp;Q$1&amp;"P"&amp;$A40))/1000000),0),IF($A$2="GEX",IFERROR(IF($X$1="ABS",($A$4*$A$4*RTD("tos.rtd",,"OPEN_INT","."&amp;Q$2&amp;Q$1&amp;"C"&amp;$A40)*RTD("tos.rtd",,"GAMMA","."&amp;Q$2&amp;Q$1&amp;"C"&amp;$A40)+$A$4*$A$4*RTD("tos.rtd",,"OPEN_INT","."&amp;Q$2&amp;Q$1&amp;"P"&amp;$A40)*RTD("tos.rtd",,"GAMMA","."&amp;Q$2&amp;Q$1&amp;"P"&amp;$A40))/1000000,($A$4*$A$4*RTD("tos.rtd",,"OPEN_INT","."&amp;Q$2&amp;Q$1&amp;"C"&amp;$A40)*RTD("tos.rtd",,"GAMMA","."&amp;Q$2&amp;Q$1&amp;"C"&amp;$A40)-$A$4*$A$4*RTD("tos.rtd",,"OPEN_INT","."&amp;Q$2&amp;Q$1&amp;"P"&amp;$A40)*RTD("tos.rtd",,"GAMMA","."&amp;Q$2&amp;Q$1&amp;"P"&amp;$A40))/1000000),0),IF($A$2="SKEW",IFERROR(VALUE(IF(RTD("tos.rtd",,"IMPL_VOL","."&amp;Q$2&amp;Q$1&amp;"P"&amp;$A40)="N/A",0,RTD("tos.rtd",,"IMPL_VOL","."&amp;Q$2&amp;Q$1&amp;"P"&amp;$A40))),0)-IFERROR(VALUE(IF(RTD("tos.rtd",,"IMPL_VOL","."&amp;Q$2&amp;Q$1&amp;"C"&amp;$A40)="N/A",0,RTD("tos.rtd",,"IMPL_VOL","."&amp;Q$2&amp;Q$1&amp;"C"&amp;$A40))),0),IF($A$2="MAXPAIN",IF($A$4&gt;$A40,($A$4-$A40)*IF(RTD("tos.rtd",,"OPEN_INT","."&amp;Q$2&amp;Q$1&amp;"C"&amp;$A40)="N/A",0,RTD("tos.rtd",,"OPEN_INT","."&amp;Q$2&amp;Q$1&amp;"C"&amp;$A40)),0)+IF($A$4&lt;$A40,($A$5-$A$4)*IF(RTD("tos.rtd",,"OPEN_INT","."&amp;Q$2&amp;Q$1&amp;"P"&amp;$A40)="N/A",0,RTD("tos.rtd",,"OPEN_INT","."&amp;Q$2&amp;Q$1&amp;"P"&amp;$A40)),0),IF($X$1="ABS",IF(RTD("tos.rtd",,$A$2,"."&amp;Q$2&amp;Q$1&amp;"C"&amp;$A40)="N/A",0,RTD("tos.rtd",,$A$2,"."&amp;Q$2&amp;Q$1&amp;"C"&amp;$A40))+IF(RTD("tos.rtd",,$A$2,"."&amp;Q$2&amp;Q$1&amp;"P"&amp;$A40)="N/A",0,RTD("tos.rtd",,$A$2,"."&amp;Q$2&amp;Q$1&amp;"P"&amp;$A40)),IF(RTD("tos.rtd",,$A$2,"."&amp;Q$2&amp;Q$1&amp;"C"&amp;$A40)="N/A",0,RTD("tos.rtd",,$A$2,"."&amp;Q$2&amp;Q$1&amp;"C"&amp;$A40))-IF(RTD("tos.rtd",,$A$2,"."&amp;Q$2&amp;Q$1&amp;"P"&amp;$A40)="N/A",0,RTD("tos.rtd",,$A$2,"."&amp;Q$2&amp;Q$1&amp;"P"&amp;$A40))))))))))</f>
        <v>0</v>
      </c>
      <c r="R40" s="12">
        <f ca="1">IF($A$2="PREMIUM_OI",IFERROR(IF($X$1="ABS",(100*RTD("tos.rtd",,"OPEN_INT","."&amp;R$2&amp;R$1&amp;"C"&amp;$A40)*RTD("tos.rtd",,"LAST","."&amp;R$2&amp;R$1&amp;"C"&amp;$A40)+100*RTD("tos.rtd",,"OPEN_INT","."&amp;R$2&amp;R$1&amp;"P"&amp;$A40)*RTD("tos.rtd",,"LAST","."&amp;R$2&amp;R$1&amp;"P"&amp;$A40))/1000000,(100*RTD("tos.rtd",,"OPEN_INT","."&amp;R$2&amp;R$1&amp;"C"&amp;$A40)*RTD("tos.rtd",,"LAST","."&amp;R$2&amp;R$1&amp;"C"&amp;$A40)-100*RTD("tos.rtd",,"OPEN_INT","."&amp;R$2&amp;R$1&amp;"P"&amp;$A40)*RTD("tos.rtd",,"LAST","."&amp;R$2&amp;R$1&amp;"P"&amp;$A40))/1000000),0),IF($A$2="PREMIUM",IFERROR(IF($X$1="ABS",(100*RTD("tos.rtd",,"VOLUME","."&amp;R$2&amp;R$1&amp;"C"&amp;$A40)*RTD("tos.rtd",,"LAST","."&amp;R$2&amp;R$1&amp;"C"&amp;$A40)+100*RTD("tos.rtd",,"VOLUME","."&amp;R$2&amp;R$1&amp;"P"&amp;$A40)*RTD("tos.rtd",,"LAST","."&amp;R$2&amp;R$1&amp;"P"&amp;$A40))/1000000,(100*RTD("tos.rtd",,"VOLUME","."&amp;R$2&amp;R$1&amp;"C"&amp;$A40)*RTD("tos.rtd",,"LAST","."&amp;R$2&amp;R$1&amp;"C"&amp;$A40)-100*RTD("tos.rtd",,"VOLUME","."&amp;R$2&amp;R$1&amp;"P"&amp;$A40)*RTD("tos.rtd",,"LAST","."&amp;R$2&amp;R$1&amp;"P"&amp;$A40))/1000000),0),IF($A$2="DEX",IFERROR(IF($X$1="ABS",(100*RTD("tos.rtd",,"OPEN_INT","."&amp;R$2&amp;R$1&amp;"C"&amp;$A40)*RTD("tos.rtd",,"DELTA","."&amp;R$2&amp;R$1&amp;"C"&amp;$A40)+100*RTD("tos.rtd",,"OPEN_INT","."&amp;R$2&amp;R$1&amp;"P"&amp;$A40)*RTD("tos.rtd",,"DELTA","."&amp;R$2&amp;R$1&amp;"P"&amp;$A40))/1000,(100*RTD("tos.rtd",,"OPEN_INT","."&amp;R$2&amp;R$1&amp;"C"&amp;$A40)*RTD("tos.rtd",,"DELTA","."&amp;R$2&amp;R$1&amp;"C"&amp;$A40)-100*RTD("tos.rtd",,"OPEN_INT","."&amp;R$2&amp;R$1&amp;"P"&amp;$A40)*RTD("tos.rtd",,"DELTA","."&amp;R$2&amp;R$1&amp;"P"&amp;$A40))/1000),0),IF($A$2="VEX",IFERROR(IF($X$1="ABS",($A$4*$A$4*RTD("tos.rtd",,"VOLUME","."&amp;R$2&amp;R$1&amp;"C"&amp;$A40)*RTD("tos.rtd",,"GAMMA","."&amp;R$2&amp;R$1&amp;"C"&amp;$A40)+$A$4*$A$4*RTD("tos.rtd",,"VOLUME","."&amp;R$2&amp;R$1&amp;"P"&amp;$A40)*RTD("tos.rtd",,"GAMMA","."&amp;R$2&amp;R$1&amp;"P"&amp;$A40))/1000000,($A$4*$A$4*RTD("tos.rtd",,"VOLUME","."&amp;R$2&amp;R$1&amp;"C"&amp;$A40)*RTD("tos.rtd",,"GAMMA","."&amp;R$2&amp;R$1&amp;"C"&amp;$A40)-$A$4*$A$4*RTD("tos.rtd",,"VOLUME","."&amp;R$2&amp;R$1&amp;"P"&amp;$A40)*RTD("tos.rtd",,"GAMMA","."&amp;R$2&amp;R$1&amp;"P"&amp;$A40))/1000000),0),IF($A$2="GEX",IFERROR(IF($X$1="ABS",($A$4*$A$4*RTD("tos.rtd",,"OPEN_INT","."&amp;R$2&amp;R$1&amp;"C"&amp;$A40)*RTD("tos.rtd",,"GAMMA","."&amp;R$2&amp;R$1&amp;"C"&amp;$A40)+$A$4*$A$4*RTD("tos.rtd",,"OPEN_INT","."&amp;R$2&amp;R$1&amp;"P"&amp;$A40)*RTD("tos.rtd",,"GAMMA","."&amp;R$2&amp;R$1&amp;"P"&amp;$A40))/1000000,($A$4*$A$4*RTD("tos.rtd",,"OPEN_INT","."&amp;R$2&amp;R$1&amp;"C"&amp;$A40)*RTD("tos.rtd",,"GAMMA","."&amp;R$2&amp;R$1&amp;"C"&amp;$A40)-$A$4*$A$4*RTD("tos.rtd",,"OPEN_INT","."&amp;R$2&amp;R$1&amp;"P"&amp;$A40)*RTD("tos.rtd",,"GAMMA","."&amp;R$2&amp;R$1&amp;"P"&amp;$A40))/1000000),0),IF($A$2="SKEW",IFERROR(VALUE(IF(RTD("tos.rtd",,"IMPL_VOL","."&amp;R$2&amp;R$1&amp;"P"&amp;$A40)="N/A",0,RTD("tos.rtd",,"IMPL_VOL","."&amp;R$2&amp;R$1&amp;"P"&amp;$A40))),0)-IFERROR(VALUE(IF(RTD("tos.rtd",,"IMPL_VOL","."&amp;R$2&amp;R$1&amp;"C"&amp;$A40)="N/A",0,RTD("tos.rtd",,"IMPL_VOL","."&amp;R$2&amp;R$1&amp;"C"&amp;$A40))),0),IF($A$2="MAXPAIN",IF($A$4&gt;$A40,($A$4-$A40)*IF(RTD("tos.rtd",,"OPEN_INT","."&amp;R$2&amp;R$1&amp;"C"&amp;$A40)="N/A",0,RTD("tos.rtd",,"OPEN_INT","."&amp;R$2&amp;R$1&amp;"C"&amp;$A40)),0)+IF($A$4&lt;$A40,($A$5-$A$4)*IF(RTD("tos.rtd",,"OPEN_INT","."&amp;R$2&amp;R$1&amp;"P"&amp;$A40)="N/A",0,RTD("tos.rtd",,"OPEN_INT","."&amp;R$2&amp;R$1&amp;"P"&amp;$A40)),0),IF($X$1="ABS",IF(RTD("tos.rtd",,$A$2,"."&amp;R$2&amp;R$1&amp;"C"&amp;$A40)="N/A",0,RTD("tos.rtd",,$A$2,"."&amp;R$2&amp;R$1&amp;"C"&amp;$A40))+IF(RTD("tos.rtd",,$A$2,"."&amp;R$2&amp;R$1&amp;"P"&amp;$A40)="N/A",0,RTD("tos.rtd",,$A$2,"."&amp;R$2&amp;R$1&amp;"P"&amp;$A40)),IF(RTD("tos.rtd",,$A$2,"."&amp;R$2&amp;R$1&amp;"C"&amp;$A40)="N/A",0,RTD("tos.rtd",,$A$2,"."&amp;R$2&amp;R$1&amp;"C"&amp;$A40))-IF(RTD("tos.rtd",,$A$2,"."&amp;R$2&amp;R$1&amp;"P"&amp;$A40)="N/A",0,RTD("tos.rtd",,$A$2,"."&amp;R$2&amp;R$1&amp;"P"&amp;$A40))))))))))</f>
        <v>0</v>
      </c>
      <c r="S40" s="12">
        <f ca="1">IF($A$2="PREMIUM_OI",IFERROR(IF($X$1="ABS",(100*RTD("tos.rtd",,"OPEN_INT","."&amp;S$2&amp;S$1&amp;"C"&amp;$A40)*RTD("tos.rtd",,"LAST","."&amp;S$2&amp;S$1&amp;"C"&amp;$A40)+100*RTD("tos.rtd",,"OPEN_INT","."&amp;S$2&amp;S$1&amp;"P"&amp;$A40)*RTD("tos.rtd",,"LAST","."&amp;S$2&amp;S$1&amp;"P"&amp;$A40))/1000000,(100*RTD("tos.rtd",,"OPEN_INT","."&amp;S$2&amp;S$1&amp;"C"&amp;$A40)*RTD("tos.rtd",,"LAST","."&amp;S$2&amp;S$1&amp;"C"&amp;$A40)-100*RTD("tos.rtd",,"OPEN_INT","."&amp;S$2&amp;S$1&amp;"P"&amp;$A40)*RTD("tos.rtd",,"LAST","."&amp;S$2&amp;S$1&amp;"P"&amp;$A40))/1000000),0),IF($A$2="PREMIUM",IFERROR(IF($X$1="ABS",(100*RTD("tos.rtd",,"VOLUME","."&amp;S$2&amp;S$1&amp;"C"&amp;$A40)*RTD("tos.rtd",,"LAST","."&amp;S$2&amp;S$1&amp;"C"&amp;$A40)+100*RTD("tos.rtd",,"VOLUME","."&amp;S$2&amp;S$1&amp;"P"&amp;$A40)*RTD("tos.rtd",,"LAST","."&amp;S$2&amp;S$1&amp;"P"&amp;$A40))/1000000,(100*RTD("tos.rtd",,"VOLUME","."&amp;S$2&amp;S$1&amp;"C"&amp;$A40)*RTD("tos.rtd",,"LAST","."&amp;S$2&amp;S$1&amp;"C"&amp;$A40)-100*RTD("tos.rtd",,"VOLUME","."&amp;S$2&amp;S$1&amp;"P"&amp;$A40)*RTD("tos.rtd",,"LAST","."&amp;S$2&amp;S$1&amp;"P"&amp;$A40))/1000000),0),IF($A$2="DEX",IFERROR(IF($X$1="ABS",(100*RTD("tos.rtd",,"OPEN_INT","."&amp;S$2&amp;S$1&amp;"C"&amp;$A40)*RTD("tos.rtd",,"DELTA","."&amp;S$2&amp;S$1&amp;"C"&amp;$A40)+100*RTD("tos.rtd",,"OPEN_INT","."&amp;S$2&amp;S$1&amp;"P"&amp;$A40)*RTD("tos.rtd",,"DELTA","."&amp;S$2&amp;S$1&amp;"P"&amp;$A40))/1000,(100*RTD("tos.rtd",,"OPEN_INT","."&amp;S$2&amp;S$1&amp;"C"&amp;$A40)*RTD("tos.rtd",,"DELTA","."&amp;S$2&amp;S$1&amp;"C"&amp;$A40)-100*RTD("tos.rtd",,"OPEN_INT","."&amp;S$2&amp;S$1&amp;"P"&amp;$A40)*RTD("tos.rtd",,"DELTA","."&amp;S$2&amp;S$1&amp;"P"&amp;$A40))/1000),0),IF($A$2="VEX",IFERROR(IF($X$1="ABS",($A$4*$A$4*RTD("tos.rtd",,"VOLUME","."&amp;S$2&amp;S$1&amp;"C"&amp;$A40)*RTD("tos.rtd",,"GAMMA","."&amp;S$2&amp;S$1&amp;"C"&amp;$A40)+$A$4*$A$4*RTD("tos.rtd",,"VOLUME","."&amp;S$2&amp;S$1&amp;"P"&amp;$A40)*RTD("tos.rtd",,"GAMMA","."&amp;S$2&amp;S$1&amp;"P"&amp;$A40))/1000000,($A$4*$A$4*RTD("tos.rtd",,"VOLUME","."&amp;S$2&amp;S$1&amp;"C"&amp;$A40)*RTD("tos.rtd",,"GAMMA","."&amp;S$2&amp;S$1&amp;"C"&amp;$A40)-$A$4*$A$4*RTD("tos.rtd",,"VOLUME","."&amp;S$2&amp;S$1&amp;"P"&amp;$A40)*RTD("tos.rtd",,"GAMMA","."&amp;S$2&amp;S$1&amp;"P"&amp;$A40))/1000000),0),IF($A$2="GEX",IFERROR(IF($X$1="ABS",($A$4*$A$4*RTD("tos.rtd",,"OPEN_INT","."&amp;S$2&amp;S$1&amp;"C"&amp;$A40)*RTD("tos.rtd",,"GAMMA","."&amp;S$2&amp;S$1&amp;"C"&amp;$A40)+$A$4*$A$4*RTD("tos.rtd",,"OPEN_INT","."&amp;S$2&amp;S$1&amp;"P"&amp;$A40)*RTD("tos.rtd",,"GAMMA","."&amp;S$2&amp;S$1&amp;"P"&amp;$A40))/1000000,($A$4*$A$4*RTD("tos.rtd",,"OPEN_INT","."&amp;S$2&amp;S$1&amp;"C"&amp;$A40)*RTD("tos.rtd",,"GAMMA","."&amp;S$2&amp;S$1&amp;"C"&amp;$A40)-$A$4*$A$4*RTD("tos.rtd",,"OPEN_INT","."&amp;S$2&amp;S$1&amp;"P"&amp;$A40)*RTD("tos.rtd",,"GAMMA","."&amp;S$2&amp;S$1&amp;"P"&amp;$A40))/1000000),0),IF($A$2="SKEW",IFERROR(VALUE(IF(RTD("tos.rtd",,"IMPL_VOL","."&amp;S$2&amp;S$1&amp;"P"&amp;$A40)="N/A",0,RTD("tos.rtd",,"IMPL_VOL","."&amp;S$2&amp;S$1&amp;"P"&amp;$A40))),0)-IFERROR(VALUE(IF(RTD("tos.rtd",,"IMPL_VOL","."&amp;S$2&amp;S$1&amp;"C"&amp;$A40)="N/A",0,RTD("tos.rtd",,"IMPL_VOL","."&amp;S$2&amp;S$1&amp;"C"&amp;$A40))),0),IF($A$2="MAXPAIN",IF($A$4&gt;$A40,($A$4-$A40)*IF(RTD("tos.rtd",,"OPEN_INT","."&amp;S$2&amp;S$1&amp;"C"&amp;$A40)="N/A",0,RTD("tos.rtd",,"OPEN_INT","."&amp;S$2&amp;S$1&amp;"C"&amp;$A40)),0)+IF($A$4&lt;$A40,($A$5-$A$4)*IF(RTD("tos.rtd",,"OPEN_INT","."&amp;S$2&amp;S$1&amp;"P"&amp;$A40)="N/A",0,RTD("tos.rtd",,"OPEN_INT","."&amp;S$2&amp;S$1&amp;"P"&amp;$A40)),0),IF($X$1="ABS",IF(RTD("tos.rtd",,$A$2,"."&amp;S$2&amp;S$1&amp;"C"&amp;$A40)="N/A",0,RTD("tos.rtd",,$A$2,"."&amp;S$2&amp;S$1&amp;"C"&amp;$A40))+IF(RTD("tos.rtd",,$A$2,"."&amp;S$2&amp;S$1&amp;"P"&amp;$A40)="N/A",0,RTD("tos.rtd",,$A$2,"."&amp;S$2&amp;S$1&amp;"P"&amp;$A40)),IF(RTD("tos.rtd",,$A$2,"."&amp;S$2&amp;S$1&amp;"C"&amp;$A40)="N/A",0,RTD("tos.rtd",,$A$2,"."&amp;S$2&amp;S$1&amp;"C"&amp;$A40))-IF(RTD("tos.rtd",,$A$2,"."&amp;S$2&amp;S$1&amp;"P"&amp;$A40)="N/A",0,RTD("tos.rtd",,$A$2,"."&amp;S$2&amp;S$1&amp;"P"&amp;$A40))))))))))</f>
        <v>0</v>
      </c>
      <c r="T40" s="12">
        <f ca="1">IF($A$2="PREMIUM_OI",IFERROR(IF($X$1="ABS",(100*RTD("tos.rtd",,"OPEN_INT","."&amp;T$2&amp;T$1&amp;"C"&amp;$A40)*RTD("tos.rtd",,"LAST","."&amp;T$2&amp;T$1&amp;"C"&amp;$A40)+100*RTD("tos.rtd",,"OPEN_INT","."&amp;T$2&amp;T$1&amp;"P"&amp;$A40)*RTD("tos.rtd",,"LAST","."&amp;T$2&amp;T$1&amp;"P"&amp;$A40))/1000000,(100*RTD("tos.rtd",,"OPEN_INT","."&amp;T$2&amp;T$1&amp;"C"&amp;$A40)*RTD("tos.rtd",,"LAST","."&amp;T$2&amp;T$1&amp;"C"&amp;$A40)-100*RTD("tos.rtd",,"OPEN_INT","."&amp;T$2&amp;T$1&amp;"P"&amp;$A40)*RTD("tos.rtd",,"LAST","."&amp;T$2&amp;T$1&amp;"P"&amp;$A40))/1000000),0),IF($A$2="PREMIUM",IFERROR(IF($X$1="ABS",(100*RTD("tos.rtd",,"VOLUME","."&amp;T$2&amp;T$1&amp;"C"&amp;$A40)*RTD("tos.rtd",,"LAST","."&amp;T$2&amp;T$1&amp;"C"&amp;$A40)+100*RTD("tos.rtd",,"VOLUME","."&amp;T$2&amp;T$1&amp;"P"&amp;$A40)*RTD("tos.rtd",,"LAST","."&amp;T$2&amp;T$1&amp;"P"&amp;$A40))/1000000,(100*RTD("tos.rtd",,"VOLUME","."&amp;T$2&amp;T$1&amp;"C"&amp;$A40)*RTD("tos.rtd",,"LAST","."&amp;T$2&amp;T$1&amp;"C"&amp;$A40)-100*RTD("tos.rtd",,"VOLUME","."&amp;T$2&amp;T$1&amp;"P"&amp;$A40)*RTD("tos.rtd",,"LAST","."&amp;T$2&amp;T$1&amp;"P"&amp;$A40))/1000000),0),IF($A$2="DEX",IFERROR(IF($X$1="ABS",(100*RTD("tos.rtd",,"OPEN_INT","."&amp;T$2&amp;T$1&amp;"C"&amp;$A40)*RTD("tos.rtd",,"DELTA","."&amp;T$2&amp;T$1&amp;"C"&amp;$A40)+100*RTD("tos.rtd",,"OPEN_INT","."&amp;T$2&amp;T$1&amp;"P"&amp;$A40)*RTD("tos.rtd",,"DELTA","."&amp;T$2&amp;T$1&amp;"P"&amp;$A40))/1000,(100*RTD("tos.rtd",,"OPEN_INT","."&amp;T$2&amp;T$1&amp;"C"&amp;$A40)*RTD("tos.rtd",,"DELTA","."&amp;T$2&amp;T$1&amp;"C"&amp;$A40)-100*RTD("tos.rtd",,"OPEN_INT","."&amp;T$2&amp;T$1&amp;"P"&amp;$A40)*RTD("tos.rtd",,"DELTA","."&amp;T$2&amp;T$1&amp;"P"&amp;$A40))/1000),0),IF($A$2="VEX",IFERROR(IF($X$1="ABS",($A$4*$A$4*RTD("tos.rtd",,"VOLUME","."&amp;T$2&amp;T$1&amp;"C"&amp;$A40)*RTD("tos.rtd",,"GAMMA","."&amp;T$2&amp;T$1&amp;"C"&amp;$A40)+$A$4*$A$4*RTD("tos.rtd",,"VOLUME","."&amp;T$2&amp;T$1&amp;"P"&amp;$A40)*RTD("tos.rtd",,"GAMMA","."&amp;T$2&amp;T$1&amp;"P"&amp;$A40))/1000000,($A$4*$A$4*RTD("tos.rtd",,"VOLUME","."&amp;T$2&amp;T$1&amp;"C"&amp;$A40)*RTD("tos.rtd",,"GAMMA","."&amp;T$2&amp;T$1&amp;"C"&amp;$A40)-$A$4*$A$4*RTD("tos.rtd",,"VOLUME","."&amp;T$2&amp;T$1&amp;"P"&amp;$A40)*RTD("tos.rtd",,"GAMMA","."&amp;T$2&amp;T$1&amp;"P"&amp;$A40))/1000000),0),IF($A$2="GEX",IFERROR(IF($X$1="ABS",($A$4*$A$4*RTD("tos.rtd",,"OPEN_INT","."&amp;T$2&amp;T$1&amp;"C"&amp;$A40)*RTD("tos.rtd",,"GAMMA","."&amp;T$2&amp;T$1&amp;"C"&amp;$A40)+$A$4*$A$4*RTD("tos.rtd",,"OPEN_INT","."&amp;T$2&amp;T$1&amp;"P"&amp;$A40)*RTD("tos.rtd",,"GAMMA","."&amp;T$2&amp;T$1&amp;"P"&amp;$A40))/1000000,($A$4*$A$4*RTD("tos.rtd",,"OPEN_INT","."&amp;T$2&amp;T$1&amp;"C"&amp;$A40)*RTD("tos.rtd",,"GAMMA","."&amp;T$2&amp;T$1&amp;"C"&amp;$A40)-$A$4*$A$4*RTD("tos.rtd",,"OPEN_INT","."&amp;T$2&amp;T$1&amp;"P"&amp;$A40)*RTD("tos.rtd",,"GAMMA","."&amp;T$2&amp;T$1&amp;"P"&amp;$A40))/1000000),0),IF($A$2="SKEW",IFERROR(VALUE(IF(RTD("tos.rtd",,"IMPL_VOL","."&amp;T$2&amp;T$1&amp;"P"&amp;$A40)="N/A",0,RTD("tos.rtd",,"IMPL_VOL","."&amp;T$2&amp;T$1&amp;"P"&amp;$A40))),0)-IFERROR(VALUE(IF(RTD("tos.rtd",,"IMPL_VOL","."&amp;T$2&amp;T$1&amp;"C"&amp;$A40)="N/A",0,RTD("tos.rtd",,"IMPL_VOL","."&amp;T$2&amp;T$1&amp;"C"&amp;$A40))),0),IF($A$2="MAXPAIN",IF($A$4&gt;$A40,($A$4-$A40)*IF(RTD("tos.rtd",,"OPEN_INT","."&amp;T$2&amp;T$1&amp;"C"&amp;$A40)="N/A",0,RTD("tos.rtd",,"OPEN_INT","."&amp;T$2&amp;T$1&amp;"C"&amp;$A40)),0)+IF($A$4&lt;$A40,($A$5-$A$4)*IF(RTD("tos.rtd",,"OPEN_INT","."&amp;T$2&amp;T$1&amp;"P"&amp;$A40)="N/A",0,RTD("tos.rtd",,"OPEN_INT","."&amp;T$2&amp;T$1&amp;"P"&amp;$A40)),0),IF($X$1="ABS",IF(RTD("tos.rtd",,$A$2,"."&amp;T$2&amp;T$1&amp;"C"&amp;$A40)="N/A",0,RTD("tos.rtd",,$A$2,"."&amp;T$2&amp;T$1&amp;"C"&amp;$A40))+IF(RTD("tos.rtd",,$A$2,"."&amp;T$2&amp;T$1&amp;"P"&amp;$A40)="N/A",0,RTD("tos.rtd",,$A$2,"."&amp;T$2&amp;T$1&amp;"P"&amp;$A40)),IF(RTD("tos.rtd",,$A$2,"."&amp;T$2&amp;T$1&amp;"C"&amp;$A40)="N/A",0,RTD("tos.rtd",,$A$2,"."&amp;T$2&amp;T$1&amp;"C"&amp;$A40))-IF(RTD("tos.rtd",,$A$2,"."&amp;T$2&amp;T$1&amp;"P"&amp;$A40)="N/A",0,RTD("tos.rtd",,$A$2,"."&amp;T$2&amp;T$1&amp;"P"&amp;$A40))))))))))</f>
        <v>0</v>
      </c>
      <c r="U40" s="12">
        <f ca="1">IF($A$2="PREMIUM_OI",IFERROR(IF($X$1="ABS",(100*RTD("tos.rtd",,"OPEN_INT","."&amp;U$2&amp;U$1&amp;"C"&amp;$A40)*RTD("tos.rtd",,"LAST","."&amp;U$2&amp;U$1&amp;"C"&amp;$A40)+100*RTD("tos.rtd",,"OPEN_INT","."&amp;U$2&amp;U$1&amp;"P"&amp;$A40)*RTD("tos.rtd",,"LAST","."&amp;U$2&amp;U$1&amp;"P"&amp;$A40))/1000000,(100*RTD("tos.rtd",,"OPEN_INT","."&amp;U$2&amp;U$1&amp;"C"&amp;$A40)*RTD("tos.rtd",,"LAST","."&amp;U$2&amp;U$1&amp;"C"&amp;$A40)-100*RTD("tos.rtd",,"OPEN_INT","."&amp;U$2&amp;U$1&amp;"P"&amp;$A40)*RTD("tos.rtd",,"LAST","."&amp;U$2&amp;U$1&amp;"P"&amp;$A40))/1000000),0),IF($A$2="PREMIUM",IFERROR(IF($X$1="ABS",(100*RTD("tos.rtd",,"VOLUME","."&amp;U$2&amp;U$1&amp;"C"&amp;$A40)*RTD("tos.rtd",,"LAST","."&amp;U$2&amp;U$1&amp;"C"&amp;$A40)+100*RTD("tos.rtd",,"VOLUME","."&amp;U$2&amp;U$1&amp;"P"&amp;$A40)*RTD("tos.rtd",,"LAST","."&amp;U$2&amp;U$1&amp;"P"&amp;$A40))/1000000,(100*RTD("tos.rtd",,"VOLUME","."&amp;U$2&amp;U$1&amp;"C"&amp;$A40)*RTD("tos.rtd",,"LAST","."&amp;U$2&amp;U$1&amp;"C"&amp;$A40)-100*RTD("tos.rtd",,"VOLUME","."&amp;U$2&amp;U$1&amp;"P"&amp;$A40)*RTD("tos.rtd",,"LAST","."&amp;U$2&amp;U$1&amp;"P"&amp;$A40))/1000000),0),IF($A$2="DEX",IFERROR(IF($X$1="ABS",(100*RTD("tos.rtd",,"OPEN_INT","."&amp;U$2&amp;U$1&amp;"C"&amp;$A40)*RTD("tos.rtd",,"DELTA","."&amp;U$2&amp;U$1&amp;"C"&amp;$A40)+100*RTD("tos.rtd",,"OPEN_INT","."&amp;U$2&amp;U$1&amp;"P"&amp;$A40)*RTD("tos.rtd",,"DELTA","."&amp;U$2&amp;U$1&amp;"P"&amp;$A40))/1000,(100*RTD("tos.rtd",,"OPEN_INT","."&amp;U$2&amp;U$1&amp;"C"&amp;$A40)*RTD("tos.rtd",,"DELTA","."&amp;U$2&amp;U$1&amp;"C"&amp;$A40)-100*RTD("tos.rtd",,"OPEN_INT","."&amp;U$2&amp;U$1&amp;"P"&amp;$A40)*RTD("tos.rtd",,"DELTA","."&amp;U$2&amp;U$1&amp;"P"&amp;$A40))/1000),0),IF($A$2="VEX",IFERROR(IF($X$1="ABS",($A$4*$A$4*RTD("tos.rtd",,"VOLUME","."&amp;U$2&amp;U$1&amp;"C"&amp;$A40)*RTD("tos.rtd",,"GAMMA","."&amp;U$2&amp;U$1&amp;"C"&amp;$A40)+$A$4*$A$4*RTD("tos.rtd",,"VOLUME","."&amp;U$2&amp;U$1&amp;"P"&amp;$A40)*RTD("tos.rtd",,"GAMMA","."&amp;U$2&amp;U$1&amp;"P"&amp;$A40))/1000000,($A$4*$A$4*RTD("tos.rtd",,"VOLUME","."&amp;U$2&amp;U$1&amp;"C"&amp;$A40)*RTD("tos.rtd",,"GAMMA","."&amp;U$2&amp;U$1&amp;"C"&amp;$A40)-$A$4*$A$4*RTD("tos.rtd",,"VOLUME","."&amp;U$2&amp;U$1&amp;"P"&amp;$A40)*RTD("tos.rtd",,"GAMMA","."&amp;U$2&amp;U$1&amp;"P"&amp;$A40))/1000000),0),IF($A$2="GEX",IFERROR(IF($X$1="ABS",($A$4*$A$4*RTD("tos.rtd",,"OPEN_INT","."&amp;U$2&amp;U$1&amp;"C"&amp;$A40)*RTD("tos.rtd",,"GAMMA","."&amp;U$2&amp;U$1&amp;"C"&amp;$A40)+$A$4*$A$4*RTD("tos.rtd",,"OPEN_INT","."&amp;U$2&amp;U$1&amp;"P"&amp;$A40)*RTD("tos.rtd",,"GAMMA","."&amp;U$2&amp;U$1&amp;"P"&amp;$A40))/1000000,($A$4*$A$4*RTD("tos.rtd",,"OPEN_INT","."&amp;U$2&amp;U$1&amp;"C"&amp;$A40)*RTD("tos.rtd",,"GAMMA","."&amp;U$2&amp;U$1&amp;"C"&amp;$A40)-$A$4*$A$4*RTD("tos.rtd",,"OPEN_INT","."&amp;U$2&amp;U$1&amp;"P"&amp;$A40)*RTD("tos.rtd",,"GAMMA","."&amp;U$2&amp;U$1&amp;"P"&amp;$A40))/1000000),0),IF($A$2="SKEW",IFERROR(VALUE(IF(RTD("tos.rtd",,"IMPL_VOL","."&amp;U$2&amp;U$1&amp;"P"&amp;$A40)="N/A",0,RTD("tos.rtd",,"IMPL_VOL","."&amp;U$2&amp;U$1&amp;"P"&amp;$A40))),0)-IFERROR(VALUE(IF(RTD("tos.rtd",,"IMPL_VOL","."&amp;U$2&amp;U$1&amp;"C"&amp;$A40)="N/A",0,RTD("tos.rtd",,"IMPL_VOL","."&amp;U$2&amp;U$1&amp;"C"&amp;$A40))),0),IF($A$2="MAXPAIN",IF($A$4&gt;$A40,($A$4-$A40)*IF(RTD("tos.rtd",,"OPEN_INT","."&amp;U$2&amp;U$1&amp;"C"&amp;$A40)="N/A",0,RTD("tos.rtd",,"OPEN_INT","."&amp;U$2&amp;U$1&amp;"C"&amp;$A40)),0)+IF($A$4&lt;$A40,($A$5-$A$4)*IF(RTD("tos.rtd",,"OPEN_INT","."&amp;U$2&amp;U$1&amp;"P"&amp;$A40)="N/A",0,RTD("tos.rtd",,"OPEN_INT","."&amp;U$2&amp;U$1&amp;"P"&amp;$A40)),0),IF($X$1="ABS",IF(RTD("tos.rtd",,$A$2,"."&amp;U$2&amp;U$1&amp;"C"&amp;$A40)="N/A",0,RTD("tos.rtd",,$A$2,"."&amp;U$2&amp;U$1&amp;"C"&amp;$A40))+IF(RTD("tos.rtd",,$A$2,"."&amp;U$2&amp;U$1&amp;"P"&amp;$A40)="N/A",0,RTD("tos.rtd",,$A$2,"."&amp;U$2&amp;U$1&amp;"P"&amp;$A40)),IF(RTD("tos.rtd",,$A$2,"."&amp;U$2&amp;U$1&amp;"C"&amp;$A40)="N/A",0,RTD("tos.rtd",,$A$2,"."&amp;U$2&amp;U$1&amp;"C"&amp;$A40))-IF(RTD("tos.rtd",,$A$2,"."&amp;U$2&amp;U$1&amp;"P"&amp;$A40)="N/A",0,RTD("tos.rtd",,$A$2,"."&amp;U$2&amp;U$1&amp;"P"&amp;$A40))))))))))</f>
        <v>0</v>
      </c>
      <c r="V40" s="12">
        <f ca="1">IF($A$2="PREMIUM_OI",IFERROR(IF($X$1="ABS",(100*RTD("tos.rtd",,"OPEN_INT","."&amp;V$2&amp;V$1&amp;"C"&amp;$A40)*RTD("tos.rtd",,"LAST","."&amp;V$2&amp;V$1&amp;"C"&amp;$A40)+100*RTD("tos.rtd",,"OPEN_INT","."&amp;V$2&amp;V$1&amp;"P"&amp;$A40)*RTD("tos.rtd",,"LAST","."&amp;V$2&amp;V$1&amp;"P"&amp;$A40))/1000000,(100*RTD("tos.rtd",,"OPEN_INT","."&amp;V$2&amp;V$1&amp;"C"&amp;$A40)*RTD("tos.rtd",,"LAST","."&amp;V$2&amp;V$1&amp;"C"&amp;$A40)-100*RTD("tos.rtd",,"OPEN_INT","."&amp;V$2&amp;V$1&amp;"P"&amp;$A40)*RTD("tos.rtd",,"LAST","."&amp;V$2&amp;V$1&amp;"P"&amp;$A40))/1000000),0),IF($A$2="PREMIUM",IFERROR(IF($X$1="ABS",(100*RTD("tos.rtd",,"VOLUME","."&amp;V$2&amp;V$1&amp;"C"&amp;$A40)*RTD("tos.rtd",,"LAST","."&amp;V$2&amp;V$1&amp;"C"&amp;$A40)+100*RTD("tos.rtd",,"VOLUME","."&amp;V$2&amp;V$1&amp;"P"&amp;$A40)*RTD("tos.rtd",,"LAST","."&amp;V$2&amp;V$1&amp;"P"&amp;$A40))/1000000,(100*RTD("tos.rtd",,"VOLUME","."&amp;V$2&amp;V$1&amp;"C"&amp;$A40)*RTD("tos.rtd",,"LAST","."&amp;V$2&amp;V$1&amp;"C"&amp;$A40)-100*RTD("tos.rtd",,"VOLUME","."&amp;V$2&amp;V$1&amp;"P"&amp;$A40)*RTD("tos.rtd",,"LAST","."&amp;V$2&amp;V$1&amp;"P"&amp;$A40))/1000000),0),IF($A$2="DEX",IFERROR(IF($X$1="ABS",(100*RTD("tos.rtd",,"OPEN_INT","."&amp;V$2&amp;V$1&amp;"C"&amp;$A40)*RTD("tos.rtd",,"DELTA","."&amp;V$2&amp;V$1&amp;"C"&amp;$A40)+100*RTD("tos.rtd",,"OPEN_INT","."&amp;V$2&amp;V$1&amp;"P"&amp;$A40)*RTD("tos.rtd",,"DELTA","."&amp;V$2&amp;V$1&amp;"P"&amp;$A40))/1000,(100*RTD("tos.rtd",,"OPEN_INT","."&amp;V$2&amp;V$1&amp;"C"&amp;$A40)*RTD("tos.rtd",,"DELTA","."&amp;V$2&amp;V$1&amp;"C"&amp;$A40)-100*RTD("tos.rtd",,"OPEN_INT","."&amp;V$2&amp;V$1&amp;"P"&amp;$A40)*RTD("tos.rtd",,"DELTA","."&amp;V$2&amp;V$1&amp;"P"&amp;$A40))/1000),0),IF($A$2="VEX",IFERROR(IF($X$1="ABS",($A$4*$A$4*RTD("tos.rtd",,"VOLUME","."&amp;V$2&amp;V$1&amp;"C"&amp;$A40)*RTD("tos.rtd",,"GAMMA","."&amp;V$2&amp;V$1&amp;"C"&amp;$A40)+$A$4*$A$4*RTD("tos.rtd",,"VOLUME","."&amp;V$2&amp;V$1&amp;"P"&amp;$A40)*RTD("tos.rtd",,"GAMMA","."&amp;V$2&amp;V$1&amp;"P"&amp;$A40))/1000000,($A$4*$A$4*RTD("tos.rtd",,"VOLUME","."&amp;V$2&amp;V$1&amp;"C"&amp;$A40)*RTD("tos.rtd",,"GAMMA","."&amp;V$2&amp;V$1&amp;"C"&amp;$A40)-$A$4*$A$4*RTD("tos.rtd",,"VOLUME","."&amp;V$2&amp;V$1&amp;"P"&amp;$A40)*RTD("tos.rtd",,"GAMMA","."&amp;V$2&amp;V$1&amp;"P"&amp;$A40))/1000000),0),IF($A$2="GEX",IFERROR(IF($X$1="ABS",($A$4*$A$4*RTD("tos.rtd",,"OPEN_INT","."&amp;V$2&amp;V$1&amp;"C"&amp;$A40)*RTD("tos.rtd",,"GAMMA","."&amp;V$2&amp;V$1&amp;"C"&amp;$A40)+$A$4*$A$4*RTD("tos.rtd",,"OPEN_INT","."&amp;V$2&amp;V$1&amp;"P"&amp;$A40)*RTD("tos.rtd",,"GAMMA","."&amp;V$2&amp;V$1&amp;"P"&amp;$A40))/1000000,($A$4*$A$4*RTD("tos.rtd",,"OPEN_INT","."&amp;V$2&amp;V$1&amp;"C"&amp;$A40)*RTD("tos.rtd",,"GAMMA","."&amp;V$2&amp;V$1&amp;"C"&amp;$A40)-$A$4*$A$4*RTD("tos.rtd",,"OPEN_INT","."&amp;V$2&amp;V$1&amp;"P"&amp;$A40)*RTD("tos.rtd",,"GAMMA","."&amp;V$2&amp;V$1&amp;"P"&amp;$A40))/1000000),0),IF($A$2="SKEW",IFERROR(VALUE(IF(RTD("tos.rtd",,"IMPL_VOL","."&amp;V$2&amp;V$1&amp;"P"&amp;$A40)="N/A",0,RTD("tos.rtd",,"IMPL_VOL","."&amp;V$2&amp;V$1&amp;"P"&amp;$A40))),0)-IFERROR(VALUE(IF(RTD("tos.rtd",,"IMPL_VOL","."&amp;V$2&amp;V$1&amp;"C"&amp;$A40)="N/A",0,RTD("tos.rtd",,"IMPL_VOL","."&amp;V$2&amp;V$1&amp;"C"&amp;$A40))),0),IF($A$2="MAXPAIN",IF($A$4&gt;$A40,($A$4-$A40)*IF(RTD("tos.rtd",,"OPEN_INT","."&amp;V$2&amp;V$1&amp;"C"&amp;$A40)="N/A",0,RTD("tos.rtd",,"OPEN_INT","."&amp;V$2&amp;V$1&amp;"C"&amp;$A40)),0)+IF($A$4&lt;$A40,($A$5-$A$4)*IF(RTD("tos.rtd",,"OPEN_INT","."&amp;V$2&amp;V$1&amp;"P"&amp;$A40)="N/A",0,RTD("tos.rtd",,"OPEN_INT","."&amp;V$2&amp;V$1&amp;"P"&amp;$A40)),0),IF($X$1="ABS",IF(RTD("tos.rtd",,$A$2,"."&amp;V$2&amp;V$1&amp;"C"&amp;$A40)="N/A",0,RTD("tos.rtd",,$A$2,"."&amp;V$2&amp;V$1&amp;"C"&amp;$A40))+IF(RTD("tos.rtd",,$A$2,"."&amp;V$2&amp;V$1&amp;"P"&amp;$A40)="N/A",0,RTD("tos.rtd",,$A$2,"."&amp;V$2&amp;V$1&amp;"P"&amp;$A40)),IF(RTD("tos.rtd",,$A$2,"."&amp;V$2&amp;V$1&amp;"C"&amp;$A40)="N/A",0,RTD("tos.rtd",,$A$2,"."&amp;V$2&amp;V$1&amp;"C"&amp;$A40))-IF(RTD("tos.rtd",,$A$2,"."&amp;V$2&amp;V$1&amp;"P"&amp;$A40)="N/A",0,RTD("tos.rtd",,$A$2,"."&amp;V$2&amp;V$1&amp;"P"&amp;$A40))))))))))</f>
        <v>0</v>
      </c>
      <c r="W40" s="12">
        <f ca="1">IF($A$2="PREMIUM_OI",IFERROR(IF($X$1="ABS",(100*RTD("tos.rtd",,"OPEN_INT","."&amp;W$2&amp;W$1&amp;"C"&amp;$A40)*RTD("tos.rtd",,"LAST","."&amp;W$2&amp;W$1&amp;"C"&amp;$A40)+100*RTD("tos.rtd",,"OPEN_INT","."&amp;W$2&amp;W$1&amp;"P"&amp;$A40)*RTD("tos.rtd",,"LAST","."&amp;W$2&amp;W$1&amp;"P"&amp;$A40))/1000000,(100*RTD("tos.rtd",,"OPEN_INT","."&amp;W$2&amp;W$1&amp;"C"&amp;$A40)*RTD("tos.rtd",,"LAST","."&amp;W$2&amp;W$1&amp;"C"&amp;$A40)-100*RTD("tos.rtd",,"OPEN_INT","."&amp;W$2&amp;W$1&amp;"P"&amp;$A40)*RTD("tos.rtd",,"LAST","."&amp;W$2&amp;W$1&amp;"P"&amp;$A40))/1000000),0),IF($A$2="PREMIUM",IFERROR(IF($X$1="ABS",(100*RTD("tos.rtd",,"VOLUME","."&amp;W$2&amp;W$1&amp;"C"&amp;$A40)*RTD("tos.rtd",,"LAST","."&amp;W$2&amp;W$1&amp;"C"&amp;$A40)+100*RTD("tos.rtd",,"VOLUME","."&amp;W$2&amp;W$1&amp;"P"&amp;$A40)*RTD("tos.rtd",,"LAST","."&amp;W$2&amp;W$1&amp;"P"&amp;$A40))/1000000,(100*RTD("tos.rtd",,"VOLUME","."&amp;W$2&amp;W$1&amp;"C"&amp;$A40)*RTD("tos.rtd",,"LAST","."&amp;W$2&amp;W$1&amp;"C"&amp;$A40)-100*RTD("tos.rtd",,"VOLUME","."&amp;W$2&amp;W$1&amp;"P"&amp;$A40)*RTD("tos.rtd",,"LAST","."&amp;W$2&amp;W$1&amp;"P"&amp;$A40))/1000000),0),IF($A$2="DEX",IFERROR(IF($X$1="ABS",(100*RTD("tos.rtd",,"OPEN_INT","."&amp;W$2&amp;W$1&amp;"C"&amp;$A40)*RTD("tos.rtd",,"DELTA","."&amp;W$2&amp;W$1&amp;"C"&amp;$A40)+100*RTD("tos.rtd",,"OPEN_INT","."&amp;W$2&amp;W$1&amp;"P"&amp;$A40)*RTD("tos.rtd",,"DELTA","."&amp;W$2&amp;W$1&amp;"P"&amp;$A40))/1000,(100*RTD("tos.rtd",,"OPEN_INT","."&amp;W$2&amp;W$1&amp;"C"&amp;$A40)*RTD("tos.rtd",,"DELTA","."&amp;W$2&amp;W$1&amp;"C"&amp;$A40)-100*RTD("tos.rtd",,"OPEN_INT","."&amp;W$2&amp;W$1&amp;"P"&amp;$A40)*RTD("tos.rtd",,"DELTA","."&amp;W$2&amp;W$1&amp;"P"&amp;$A40))/1000),0),IF($A$2="VEX",IFERROR(IF($X$1="ABS",($A$4*$A$4*RTD("tos.rtd",,"VOLUME","."&amp;W$2&amp;W$1&amp;"C"&amp;$A40)*RTD("tos.rtd",,"GAMMA","."&amp;W$2&amp;W$1&amp;"C"&amp;$A40)+$A$4*$A$4*RTD("tos.rtd",,"VOLUME","."&amp;W$2&amp;W$1&amp;"P"&amp;$A40)*RTD("tos.rtd",,"GAMMA","."&amp;W$2&amp;W$1&amp;"P"&amp;$A40))/1000000,($A$4*$A$4*RTD("tos.rtd",,"VOLUME","."&amp;W$2&amp;W$1&amp;"C"&amp;$A40)*RTD("tos.rtd",,"GAMMA","."&amp;W$2&amp;W$1&amp;"C"&amp;$A40)-$A$4*$A$4*RTD("tos.rtd",,"VOLUME","."&amp;W$2&amp;W$1&amp;"P"&amp;$A40)*RTD("tos.rtd",,"GAMMA","."&amp;W$2&amp;W$1&amp;"P"&amp;$A40))/1000000),0),IF($A$2="GEX",IFERROR(IF($X$1="ABS",($A$4*$A$4*RTD("tos.rtd",,"OPEN_INT","."&amp;W$2&amp;W$1&amp;"C"&amp;$A40)*RTD("tos.rtd",,"GAMMA","."&amp;W$2&amp;W$1&amp;"C"&amp;$A40)+$A$4*$A$4*RTD("tos.rtd",,"OPEN_INT","."&amp;W$2&amp;W$1&amp;"P"&amp;$A40)*RTD("tos.rtd",,"GAMMA","."&amp;W$2&amp;W$1&amp;"P"&amp;$A40))/1000000,($A$4*$A$4*RTD("tos.rtd",,"OPEN_INT","."&amp;W$2&amp;W$1&amp;"C"&amp;$A40)*RTD("tos.rtd",,"GAMMA","."&amp;W$2&amp;W$1&amp;"C"&amp;$A40)-$A$4*$A$4*RTD("tos.rtd",,"OPEN_INT","."&amp;W$2&amp;W$1&amp;"P"&amp;$A40)*RTD("tos.rtd",,"GAMMA","."&amp;W$2&amp;W$1&amp;"P"&amp;$A40))/1000000),0),IF($A$2="SKEW",IFERROR(VALUE(IF(RTD("tos.rtd",,"IMPL_VOL","."&amp;W$2&amp;W$1&amp;"P"&amp;$A40)="N/A",0,RTD("tos.rtd",,"IMPL_VOL","."&amp;W$2&amp;W$1&amp;"P"&amp;$A40))),0)-IFERROR(VALUE(IF(RTD("tos.rtd",,"IMPL_VOL","."&amp;W$2&amp;W$1&amp;"C"&amp;$A40)="N/A",0,RTD("tos.rtd",,"IMPL_VOL","."&amp;W$2&amp;W$1&amp;"C"&amp;$A40))),0),IF($A$2="MAXPAIN",IF($A$4&gt;$A40,($A$4-$A40)*IF(RTD("tos.rtd",,"OPEN_INT","."&amp;W$2&amp;W$1&amp;"C"&amp;$A40)="N/A",0,RTD("tos.rtd",,"OPEN_INT","."&amp;W$2&amp;W$1&amp;"C"&amp;$A40)),0)+IF($A$4&lt;$A40,($A$5-$A$4)*IF(RTD("tos.rtd",,"OPEN_INT","."&amp;W$2&amp;W$1&amp;"P"&amp;$A40)="N/A",0,RTD("tos.rtd",,"OPEN_INT","."&amp;W$2&amp;W$1&amp;"P"&amp;$A40)),0),IF($X$1="ABS",IF(RTD("tos.rtd",,$A$2,"."&amp;W$2&amp;W$1&amp;"C"&amp;$A40)="N/A",0,RTD("tos.rtd",,$A$2,"."&amp;W$2&amp;W$1&amp;"C"&amp;$A40))+IF(RTD("tos.rtd",,$A$2,"."&amp;W$2&amp;W$1&amp;"P"&amp;$A40)="N/A",0,RTD("tos.rtd",,$A$2,"."&amp;W$2&amp;W$1&amp;"P"&amp;$A40)),IF(RTD("tos.rtd",,$A$2,"."&amp;W$2&amp;W$1&amp;"C"&amp;$A40)="N/A",0,RTD("tos.rtd",,$A$2,"."&amp;W$2&amp;W$1&amp;"C"&amp;$A40))-IF(RTD("tos.rtd",,$A$2,"."&amp;W$2&amp;W$1&amp;"P"&amp;$A40)="N/A",0,RTD("tos.rtd",,$A$2,"."&amp;W$2&amp;W$1&amp;"P"&amp;$A40))))))))))</f>
        <v>0</v>
      </c>
      <c r="X40" s="57">
        <f t="shared" ca="1" si="7"/>
        <v>414</v>
      </c>
      <c r="Y40" s="27">
        <f t="shared" ca="1" si="8"/>
        <v>414</v>
      </c>
      <c r="Z40" s="27">
        <f t="shared" ca="1" si="9"/>
        <v>4733</v>
      </c>
      <c r="AA40" s="27">
        <f t="shared" si="10"/>
        <v>21544050</v>
      </c>
      <c r="AB40" s="18">
        <f>MAX(0, $A40-AB$4)*IF(RTD("tos.rtd",,"OPEN_INT","."&amp;$AA$3&amp;$AA$4&amp;"C"&amp;AB$4)="N/A",0,RTD("tos.rtd",,"OPEN_INT","."&amp;$AA$3&amp;$AA$4&amp;"C"&amp;AB$4))*100 + MAX(0, AB$4-$A40)*IF(RTD("tos.rtd",,"OPEN_INT","."&amp;$AA$3&amp;$AA$4&amp;"P"&amp;AB$4)="N/A",0,RTD("tos.rtd",,"OPEN_INT","."&amp;$AA$3&amp;$AA$4&amp;"P"&amp;AB$4))*100</f>
        <v>0</v>
      </c>
      <c r="AC40" s="18">
        <f>MAX(0, $A40-AC$4)*IF(RTD("tos.rtd",,"OPEN_INT","."&amp;$AA$3&amp;$AA$4&amp;"C"&amp;AC$4)="N/A",0,RTD("tos.rtd",,"OPEN_INT","."&amp;$AA$3&amp;$AA$4&amp;"C"&amp;AC$4))*100 + MAX(0, AC$4-$A40)*IF(RTD("tos.rtd",,"OPEN_INT","."&amp;$AA$3&amp;$AA$4&amp;"P"&amp;AC$4)="N/A",0,RTD("tos.rtd",,"OPEN_INT","."&amp;$AA$3&amp;$AA$4&amp;"P"&amp;AC$4))*100</f>
        <v>0</v>
      </c>
      <c r="AD40" s="18">
        <f>MAX(0, $A40-AD$4)*IF(RTD("tos.rtd",,"OPEN_INT","."&amp;$AA$3&amp;$AA$4&amp;"C"&amp;AD$4)="N/A",0,RTD("tos.rtd",,"OPEN_INT","."&amp;$AA$3&amp;$AA$4&amp;"C"&amp;AD$4))*100 + MAX(0, AD$4-$A40)*IF(RTD("tos.rtd",,"OPEN_INT","."&amp;$AA$3&amp;$AA$4&amp;"P"&amp;AD$4)="N/A",0,RTD("tos.rtd",,"OPEN_INT","."&amp;$AA$3&amp;$AA$4&amp;"P"&amp;AD$4))*100</f>
        <v>0</v>
      </c>
      <c r="AE40" s="18">
        <f>MAX(0, $A40-AE$4)*IF(RTD("tos.rtd",,"OPEN_INT","."&amp;$AA$3&amp;$AA$4&amp;"C"&amp;AE$4)="N/A",0,RTD("tos.rtd",,"OPEN_INT","."&amp;$AA$3&amp;$AA$4&amp;"C"&amp;AE$4))*100 + MAX(0, AE$4-$A40)*IF(RTD("tos.rtd",,"OPEN_INT","."&amp;$AA$3&amp;$AA$4&amp;"P"&amp;AE$4)="N/A",0,RTD("tos.rtd",,"OPEN_INT","."&amp;$AA$3&amp;$AA$4&amp;"P"&amp;AE$4))*100</f>
        <v>0</v>
      </c>
      <c r="AF40" s="18">
        <f>MAX(0, $A40-AF$4)*IF(RTD("tos.rtd",,"OPEN_INT","."&amp;$AA$3&amp;$AA$4&amp;"C"&amp;AF$4)="N/A",0,RTD("tos.rtd",,"OPEN_INT","."&amp;$AA$3&amp;$AA$4&amp;"C"&amp;AF$4))*100 + MAX(0, AF$4-$A40)*IF(RTD("tos.rtd",,"OPEN_INT","."&amp;$AA$3&amp;$AA$4&amp;"P"&amp;AF$4)="N/A",0,RTD("tos.rtd",,"OPEN_INT","."&amp;$AA$3&amp;$AA$4&amp;"P"&amp;AF$4))*100</f>
        <v>0</v>
      </c>
      <c r="AG40" s="18">
        <f>MAX(0, $A40-AG$4)*IF(RTD("tos.rtd",,"OPEN_INT","."&amp;$AA$3&amp;$AA$4&amp;"C"&amp;AG$4)="N/A",0,RTD("tos.rtd",,"OPEN_INT","."&amp;$AA$3&amp;$AA$4&amp;"C"&amp;AG$4))*100 + MAX(0, AG$4-$A40)*IF(RTD("tos.rtd",,"OPEN_INT","."&amp;$AA$3&amp;$AA$4&amp;"P"&amp;AG$4)="N/A",0,RTD("tos.rtd",,"OPEN_INT","."&amp;$AA$3&amp;$AA$4&amp;"P"&amp;AG$4))*100</f>
        <v>0</v>
      </c>
      <c r="AH40" s="18">
        <f>MAX(0, $A40-AH$4)*IF(RTD("tos.rtd",,"OPEN_INT","."&amp;$AA$3&amp;$AA$4&amp;"C"&amp;AH$4)="N/A",0,RTD("tos.rtd",,"OPEN_INT","."&amp;$AA$3&amp;$AA$4&amp;"C"&amp;AH$4))*100 + MAX(0, AH$4-$A40)*IF(RTD("tos.rtd",,"OPEN_INT","."&amp;$AA$3&amp;$AA$4&amp;"P"&amp;AH$4)="N/A",0,RTD("tos.rtd",,"OPEN_INT","."&amp;$AA$3&amp;$AA$4&amp;"P"&amp;AH$4))*100</f>
        <v>0</v>
      </c>
      <c r="AI40" s="18">
        <f>MAX(0, $A40-AI$4)*IF(RTD("tos.rtd",,"OPEN_INT","."&amp;$AA$3&amp;$AA$4&amp;"C"&amp;AI$4)="N/A",0,RTD("tos.rtd",,"OPEN_INT","."&amp;$AA$3&amp;$AA$4&amp;"C"&amp;AI$4))*100 + MAX(0, AI$4-$A40)*IF(RTD("tos.rtd",,"OPEN_INT","."&amp;$AA$3&amp;$AA$4&amp;"P"&amp;AI$4)="N/A",0,RTD("tos.rtd",,"OPEN_INT","."&amp;$AA$3&amp;$AA$4&amp;"P"&amp;AI$4))*100</f>
        <v>4200</v>
      </c>
      <c r="AJ40" s="18">
        <f>MAX(0, $A40-AJ$4)*IF(RTD("tos.rtd",,"OPEN_INT","."&amp;$AA$3&amp;$AA$4&amp;"C"&amp;AJ$4)="N/A",0,RTD("tos.rtd",,"OPEN_INT","."&amp;$AA$3&amp;$AA$4&amp;"C"&amp;AJ$4))*100 + MAX(0, AJ$4-$A40)*IF(RTD("tos.rtd",,"OPEN_INT","."&amp;$AA$3&amp;$AA$4&amp;"P"&amp;AJ$4)="N/A",0,RTD("tos.rtd",,"OPEN_INT","."&amp;$AA$3&amp;$AA$4&amp;"P"&amp;AJ$4))*100</f>
        <v>10800</v>
      </c>
      <c r="AK40" s="18">
        <f>MAX(0, $A40-AK$4)*IF(RTD("tos.rtd",,"OPEN_INT","."&amp;$AA$3&amp;$AA$4&amp;"C"&amp;AK$4)="N/A",0,RTD("tos.rtd",,"OPEN_INT","."&amp;$AA$3&amp;$AA$4&amp;"C"&amp;AK$4))*100 + MAX(0, AK$4-$A40)*IF(RTD("tos.rtd",,"OPEN_INT","."&amp;$AA$3&amp;$AA$4&amp;"P"&amp;AK$4)="N/A",0,RTD("tos.rtd",,"OPEN_INT","."&amp;$AA$3&amp;$AA$4&amp;"P"&amp;AK$4))*100</f>
        <v>0</v>
      </c>
      <c r="AL40" s="18">
        <f>MAX(0, $A40-AL$4)*IF(RTD("tos.rtd",,"OPEN_INT","."&amp;$AA$3&amp;$AA$4&amp;"C"&amp;AL$4)="N/A",0,RTD("tos.rtd",,"OPEN_INT","."&amp;$AA$3&amp;$AA$4&amp;"C"&amp;AL$4))*100 + MAX(0, AL$4-$A40)*IF(RTD("tos.rtd",,"OPEN_INT","."&amp;$AA$3&amp;$AA$4&amp;"P"&amp;AL$4)="N/A",0,RTD("tos.rtd",,"OPEN_INT","."&amp;$AA$3&amp;$AA$4&amp;"P"&amp;AL$4))*100</f>
        <v>0</v>
      </c>
      <c r="AM40" s="18">
        <f>MAX(0, $A40-AM$4)*IF(RTD("tos.rtd",,"OPEN_INT","."&amp;$AA$3&amp;$AA$4&amp;"C"&amp;AM$4)="N/A",0,RTD("tos.rtd",,"OPEN_INT","."&amp;$AA$3&amp;$AA$4&amp;"C"&amp;AM$4))*100 + MAX(0, AM$4-$A40)*IF(RTD("tos.rtd",,"OPEN_INT","."&amp;$AA$3&amp;$AA$4&amp;"P"&amp;AM$4)="N/A",0,RTD("tos.rtd",,"OPEN_INT","."&amp;$AA$3&amp;$AA$4&amp;"P"&amp;AM$4))*100</f>
        <v>0</v>
      </c>
      <c r="AN40" s="18">
        <f>MAX(0, $A40-AN$4)*IF(RTD("tos.rtd",,"OPEN_INT","."&amp;$AA$3&amp;$AA$4&amp;"C"&amp;AN$4)="N/A",0,RTD("tos.rtd",,"OPEN_INT","."&amp;$AA$3&amp;$AA$4&amp;"C"&amp;AN$4))*100 + MAX(0, AN$4-$A40)*IF(RTD("tos.rtd",,"OPEN_INT","."&amp;$AA$3&amp;$AA$4&amp;"P"&amp;AN$4)="N/A",0,RTD("tos.rtd",,"OPEN_INT","."&amp;$AA$3&amp;$AA$4&amp;"P"&amp;AN$4))*100</f>
        <v>0</v>
      </c>
      <c r="AO40" s="18">
        <f>MAX(0, $A40-AO$4)*IF(RTD("tos.rtd",,"OPEN_INT","."&amp;$AA$3&amp;$AA$4&amp;"C"&amp;AO$4)="N/A",0,RTD("tos.rtd",,"OPEN_INT","."&amp;$AA$3&amp;$AA$4&amp;"C"&amp;AO$4))*100 + MAX(0, AO$4-$A40)*IF(RTD("tos.rtd",,"OPEN_INT","."&amp;$AA$3&amp;$AA$4&amp;"P"&amp;AO$4)="N/A",0,RTD("tos.rtd",,"OPEN_INT","."&amp;$AA$3&amp;$AA$4&amp;"P"&amp;AO$4))*100</f>
        <v>132000</v>
      </c>
      <c r="AP40" s="18">
        <f>MAX(0, $A40-AP$4)*IF(RTD("tos.rtd",,"OPEN_INT","."&amp;$AA$3&amp;$AA$4&amp;"C"&amp;AP$4)="N/A",0,RTD("tos.rtd",,"OPEN_INT","."&amp;$AA$3&amp;$AA$4&amp;"C"&amp;AP$4))*100 + MAX(0, AP$4-$A40)*IF(RTD("tos.rtd",,"OPEN_INT","."&amp;$AA$3&amp;$AA$4&amp;"P"&amp;AP$4)="N/A",0,RTD("tos.rtd",,"OPEN_INT","."&amp;$AA$3&amp;$AA$4&amp;"P"&amp;AP$4))*100</f>
        <v>0</v>
      </c>
      <c r="AQ40" s="18">
        <f>MAX(0, $A40-AQ$4)*IF(RTD("tos.rtd",,"OPEN_INT","."&amp;$AA$3&amp;$AA$4&amp;"C"&amp;AQ$4)="N/A",0,RTD("tos.rtd",,"OPEN_INT","."&amp;$AA$3&amp;$AA$4&amp;"C"&amp;AQ$4))*100 + MAX(0, AQ$4-$A40)*IF(RTD("tos.rtd",,"OPEN_INT","."&amp;$AA$3&amp;$AA$4&amp;"P"&amp;AQ$4)="N/A",0,RTD("tos.rtd",,"OPEN_INT","."&amp;$AA$3&amp;$AA$4&amp;"P"&amp;AQ$4))*100</f>
        <v>53000</v>
      </c>
      <c r="AR40" s="18">
        <f>MAX(0, $A40-AR$4)*IF(RTD("tos.rtd",,"OPEN_INT","."&amp;$AA$3&amp;$AA$4&amp;"C"&amp;AR$4)="N/A",0,RTD("tos.rtd",,"OPEN_INT","."&amp;$AA$3&amp;$AA$4&amp;"C"&amp;AR$4))*100 + MAX(0, AR$4-$A40)*IF(RTD("tos.rtd",,"OPEN_INT","."&amp;$AA$3&amp;$AA$4&amp;"P"&amp;AR$4)="N/A",0,RTD("tos.rtd",,"OPEN_INT","."&amp;$AA$3&amp;$AA$4&amp;"P"&amp;AR$4))*100</f>
        <v>5700</v>
      </c>
      <c r="AS40" s="18">
        <f>MAX(0, $A40-AS$4)*IF(RTD("tos.rtd",,"OPEN_INT","."&amp;$AA$3&amp;$AA$4&amp;"C"&amp;AS$4)="N/A",0,RTD("tos.rtd",,"OPEN_INT","."&amp;$AA$3&amp;$AA$4&amp;"C"&amp;AS$4))*100 + MAX(0, AS$4-$A40)*IF(RTD("tos.rtd",,"OPEN_INT","."&amp;$AA$3&amp;$AA$4&amp;"P"&amp;AS$4)="N/A",0,RTD("tos.rtd",,"OPEN_INT","."&amp;$AA$3&amp;$AA$4&amp;"P"&amp;AS$4))*100</f>
        <v>55800</v>
      </c>
      <c r="AT40" s="18">
        <f>MAX(0, $A40-AT$4)*IF(RTD("tos.rtd",,"OPEN_INT","."&amp;$AA$3&amp;$AA$4&amp;"C"&amp;AT$4)="N/A",0,RTD("tos.rtd",,"OPEN_INT","."&amp;$AA$3&amp;$AA$4&amp;"C"&amp;AT$4))*100 + MAX(0, AT$4-$A40)*IF(RTD("tos.rtd",,"OPEN_INT","."&amp;$AA$3&amp;$AA$4&amp;"P"&amp;AT$4)="N/A",0,RTD("tos.rtd",,"OPEN_INT","."&amp;$AA$3&amp;$AA$4&amp;"P"&amp;AT$4))*100</f>
        <v>59500</v>
      </c>
      <c r="AU40" s="18">
        <f>MAX(0, $A40-AU$4)*IF(RTD("tos.rtd",,"OPEN_INT","."&amp;$AA$3&amp;$AA$4&amp;"C"&amp;AU$4)="N/A",0,RTD("tos.rtd",,"OPEN_INT","."&amp;$AA$3&amp;$AA$4&amp;"C"&amp;AU$4))*100 + MAX(0, AU$4-$A40)*IF(RTD("tos.rtd",,"OPEN_INT","."&amp;$AA$3&amp;$AA$4&amp;"P"&amp;AU$4)="N/A",0,RTD("tos.rtd",,"OPEN_INT","."&amp;$AA$3&amp;$AA$4&amp;"P"&amp;AU$4))*100</f>
        <v>32000</v>
      </c>
      <c r="AV40" s="18">
        <f>MAX(0, $A40-AV$4)*IF(RTD("tos.rtd",,"OPEN_INT","."&amp;$AA$3&amp;$AA$4&amp;"C"&amp;AV$4)="N/A",0,RTD("tos.rtd",,"OPEN_INT","."&amp;$AA$3&amp;$AA$4&amp;"C"&amp;AV$4))*100 + MAX(0, AV$4-$A40)*IF(RTD("tos.rtd",,"OPEN_INT","."&amp;$AA$3&amp;$AA$4&amp;"P"&amp;AV$4)="N/A",0,RTD("tos.rtd",,"OPEN_INT","."&amp;$AA$3&amp;$AA$4&amp;"P"&amp;AV$4))*100</f>
        <v>120750</v>
      </c>
      <c r="AW40" s="18">
        <f>MAX(0, $A40-AW$4)*IF(RTD("tos.rtd",,"OPEN_INT","."&amp;$AA$3&amp;$AA$4&amp;"C"&amp;AW$4)="N/A",0,RTD("tos.rtd",,"OPEN_INT","."&amp;$AA$3&amp;$AA$4&amp;"C"&amp;AW$4))*100 + MAX(0, AW$4-$A40)*IF(RTD("tos.rtd",,"OPEN_INT","."&amp;$AA$3&amp;$AA$4&amp;"P"&amp;AW$4)="N/A",0,RTD("tos.rtd",,"OPEN_INT","."&amp;$AA$3&amp;$AA$4&amp;"P"&amp;AW$4))*100</f>
        <v>141400</v>
      </c>
      <c r="AX40" s="18">
        <f>MAX(0, $A40-AX$4)*IF(RTD("tos.rtd",,"OPEN_INT","."&amp;$AA$3&amp;$AA$4&amp;"C"&amp;AX$4)="N/A",0,RTD("tos.rtd",,"OPEN_INT","."&amp;$AA$3&amp;$AA$4&amp;"C"&amp;AX$4))*100 + MAX(0, AX$4-$A40)*IF(RTD("tos.rtd",,"OPEN_INT","."&amp;$AA$3&amp;$AA$4&amp;"P"&amp;AX$4)="N/A",0,RTD("tos.rtd",,"OPEN_INT","."&amp;$AA$3&amp;$AA$4&amp;"P"&amp;AX$4))*100</f>
        <v>160550</v>
      </c>
      <c r="AY40" s="18">
        <f>MAX(0, $A40-AY$4)*IF(RTD("tos.rtd",,"OPEN_INT","."&amp;$AA$3&amp;$AA$4&amp;"C"&amp;AY$4)="N/A",0,RTD("tos.rtd",,"OPEN_INT","."&amp;$AA$3&amp;$AA$4&amp;"C"&amp;AY$4))*100 + MAX(0, AY$4-$A40)*IF(RTD("tos.rtd",,"OPEN_INT","."&amp;$AA$3&amp;$AA$4&amp;"P"&amp;AY$4)="N/A",0,RTD("tos.rtd",,"OPEN_INT","."&amp;$AA$3&amp;$AA$4&amp;"P"&amp;AY$4))*100</f>
        <v>1244400</v>
      </c>
      <c r="AZ40" s="18">
        <f>MAX(0, $A40-AZ$4)*IF(RTD("tos.rtd",,"OPEN_INT","."&amp;$AA$3&amp;$AA$4&amp;"C"&amp;AZ$4)="N/A",0,RTD("tos.rtd",,"OPEN_INT","."&amp;$AA$3&amp;$AA$4&amp;"C"&amp;AZ$4))*100 + MAX(0, AZ$4-$A40)*IF(RTD("tos.rtd",,"OPEN_INT","."&amp;$AA$3&amp;$AA$4&amp;"P"&amp;AZ$4)="N/A",0,RTD("tos.rtd",,"OPEN_INT","."&amp;$AA$3&amp;$AA$4&amp;"P"&amp;AZ$4))*100</f>
        <v>312400</v>
      </c>
      <c r="BA40" s="18">
        <f>MAX(0, $A40-BA$4)*IF(RTD("tos.rtd",,"OPEN_INT","."&amp;$AA$3&amp;$AA$4&amp;"C"&amp;BA$4)="N/A",0,RTD("tos.rtd",,"OPEN_INT","."&amp;$AA$3&amp;$AA$4&amp;"C"&amp;BA$4))*100 + MAX(0, BA$4-$A40)*IF(RTD("tos.rtd",,"OPEN_INT","."&amp;$AA$3&amp;$AA$4&amp;"P"&amp;BA$4)="N/A",0,RTD("tos.rtd",,"OPEN_INT","."&amp;$AA$3&amp;$AA$4&amp;"P"&amp;BA$4))*100</f>
        <v>1170000</v>
      </c>
      <c r="BB40" s="18">
        <f>MAX(0, $A40-BB$4)*IF(RTD("tos.rtd",,"OPEN_INT","."&amp;$AA$3&amp;$AA$4&amp;"C"&amp;BB$4)="N/A",0,RTD("tos.rtd",,"OPEN_INT","."&amp;$AA$3&amp;$AA$4&amp;"C"&amp;BB$4))*100 + MAX(0, BB$4-$A40)*IF(RTD("tos.rtd",,"OPEN_INT","."&amp;$AA$3&amp;$AA$4&amp;"P"&amp;BB$4)="N/A",0,RTD("tos.rtd",,"OPEN_INT","."&amp;$AA$3&amp;$AA$4&amp;"P"&amp;BB$4))*100</f>
        <v>1027800</v>
      </c>
      <c r="BC40" s="18">
        <f>MAX(0, $A40-BC$4)*IF(RTD("tos.rtd",,"OPEN_INT","."&amp;$AA$3&amp;$AA$4&amp;"C"&amp;BC$4)="N/A",0,RTD("tos.rtd",,"OPEN_INT","."&amp;$AA$3&amp;$AA$4&amp;"C"&amp;BC$4))*100 + MAX(0, BC$4-$A40)*IF(RTD("tos.rtd",,"OPEN_INT","."&amp;$AA$3&amp;$AA$4&amp;"P"&amp;BC$4)="N/A",0,RTD("tos.rtd",,"OPEN_INT","."&amp;$AA$3&amp;$AA$4&amp;"P"&amp;BC$4))*100</f>
        <v>3060400</v>
      </c>
      <c r="BD40" s="18">
        <f>MAX(0, $A40-BD$4)*IF(RTD("tos.rtd",,"OPEN_INT","."&amp;$AA$3&amp;$AA$4&amp;"C"&amp;BD$4)="N/A",0,RTD("tos.rtd",,"OPEN_INT","."&amp;$AA$3&amp;$AA$4&amp;"C"&amp;BD$4))*100 + MAX(0, BD$4-$A40)*IF(RTD("tos.rtd",,"OPEN_INT","."&amp;$AA$3&amp;$AA$4&amp;"P"&amp;BD$4)="N/A",0,RTD("tos.rtd",,"OPEN_INT","."&amp;$AA$3&amp;$AA$4&amp;"P"&amp;BD$4))*100</f>
        <v>3437350</v>
      </c>
      <c r="BE40" s="18">
        <f>MAX(0, $A40-BE$4)*IF(RTD("tos.rtd",,"OPEN_INT","."&amp;$AA$3&amp;$AA$4&amp;"C"&amp;BE$4)="N/A",0,RTD("tos.rtd",,"OPEN_INT","."&amp;$AA$3&amp;$AA$4&amp;"C"&amp;BE$4))*100 + MAX(0, BE$4-$A40)*IF(RTD("tos.rtd",,"OPEN_INT","."&amp;$AA$3&amp;$AA$4&amp;"P"&amp;BE$4)="N/A",0,RTD("tos.rtd",,"OPEN_INT","."&amp;$AA$3&amp;$AA$4&amp;"P"&amp;BE$4))*100</f>
        <v>3334800</v>
      </c>
      <c r="BF40" s="18">
        <f>MAX(0, $A40-BF$4)*IF(RTD("tos.rtd",,"OPEN_INT","."&amp;$AA$3&amp;$AA$4&amp;"C"&amp;BF$4)="N/A",0,RTD("tos.rtd",,"OPEN_INT","."&amp;$AA$3&amp;$AA$4&amp;"C"&amp;BF$4))*100 + MAX(0, BF$4-$A40)*IF(RTD("tos.rtd",,"OPEN_INT","."&amp;$AA$3&amp;$AA$4&amp;"P"&amp;BF$4)="N/A",0,RTD("tos.rtd",,"OPEN_INT","."&amp;$AA$3&amp;$AA$4&amp;"P"&amp;BF$4))*100</f>
        <v>3477250</v>
      </c>
      <c r="BG40" s="18">
        <f>MAX(0, $A40-BG$4)*IF(RTD("tos.rtd",,"OPEN_INT","."&amp;$AA$3&amp;$AA$4&amp;"C"&amp;BG$4)="N/A",0,RTD("tos.rtd",,"OPEN_INT","."&amp;$AA$3&amp;$AA$4&amp;"C"&amp;BG$4))*100 + MAX(0, BG$4-$A40)*IF(RTD("tos.rtd",,"OPEN_INT","."&amp;$AA$3&amp;$AA$4&amp;"P"&amp;BG$4)="N/A",0,RTD("tos.rtd",,"OPEN_INT","."&amp;$AA$3&amp;$AA$4&amp;"P"&amp;BG$4))*100</f>
        <v>1815000</v>
      </c>
      <c r="BH40" s="18">
        <f>MAX(0, $A40-BH$4)*IF(RTD("tos.rtd",,"OPEN_INT","."&amp;$AA$3&amp;$AA$4&amp;"C"&amp;BH$4)="N/A",0,RTD("tos.rtd",,"OPEN_INT","."&amp;$AA$3&amp;$AA$4&amp;"C"&amp;BH$4))*100 + MAX(0, BH$4-$A40)*IF(RTD("tos.rtd",,"OPEN_INT","."&amp;$AA$3&amp;$AA$4&amp;"P"&amp;BH$4)="N/A",0,RTD("tos.rtd",,"OPEN_INT","."&amp;$AA$3&amp;$AA$4&amp;"P"&amp;BH$4))*100</f>
        <v>963450</v>
      </c>
      <c r="BI40" s="18">
        <f>MAX(0, $A40-BI$4)*IF(RTD("tos.rtd",,"OPEN_INT","."&amp;$AA$3&amp;$AA$4&amp;"C"&amp;BI$4)="N/A",0,RTD("tos.rtd",,"OPEN_INT","."&amp;$AA$3&amp;$AA$4&amp;"C"&amp;BI$4))*100 + MAX(0, BI$4-$A40)*IF(RTD("tos.rtd",,"OPEN_INT","."&amp;$AA$3&amp;$AA$4&amp;"P"&amp;BI$4)="N/A",0,RTD("tos.rtd",,"OPEN_INT","."&amp;$AA$3&amp;$AA$4&amp;"P"&amp;BI$4))*100</f>
        <v>802500</v>
      </c>
      <c r="BJ40" s="18">
        <f>MAX(0, $A40-BJ$4)*IF(RTD("tos.rtd",,"OPEN_INT","."&amp;$AA$3&amp;$AA$4&amp;"C"&amp;BJ$4)="N/A",0,RTD("tos.rtd",,"OPEN_INT","."&amp;$AA$3&amp;$AA$4&amp;"C"&amp;BJ$4))*100 + MAX(0, BJ$4-$A40)*IF(RTD("tos.rtd",,"OPEN_INT","."&amp;$AA$3&amp;$AA$4&amp;"P"&amp;BJ$4)="N/A",0,RTD("tos.rtd",,"OPEN_INT","."&amp;$AA$3&amp;$AA$4&amp;"P"&amp;BJ$4))*100</f>
        <v>109150</v>
      </c>
      <c r="BK40" s="18">
        <f>MAX(0, $A40-BK$4)*IF(RTD("tos.rtd",,"OPEN_INT","."&amp;$AA$3&amp;$AA$4&amp;"C"&amp;BK$4)="N/A",0,RTD("tos.rtd",,"OPEN_INT","."&amp;$AA$3&amp;$AA$4&amp;"C"&amp;BK$4))*100 + MAX(0, BK$4-$A40)*IF(RTD("tos.rtd",,"OPEN_INT","."&amp;$AA$3&amp;$AA$4&amp;"P"&amp;BK$4)="N/A",0,RTD("tos.rtd",,"OPEN_INT","."&amp;$AA$3&amp;$AA$4&amp;"P"&amp;BK$4))*100</f>
        <v>0</v>
      </c>
      <c r="BL40" s="18">
        <f>MAX(0, $A40-BL$4)*IF(RTD("tos.rtd",,"OPEN_INT","."&amp;$AA$3&amp;$AA$4&amp;"C"&amp;BL$4)="N/A",0,RTD("tos.rtd",,"OPEN_INT","."&amp;$AA$3&amp;$AA$4&amp;"C"&amp;BL$4))*100 + MAX(0, BL$4-$A40)*IF(RTD("tos.rtd",,"OPEN_INT","."&amp;$AA$3&amp;$AA$4&amp;"P"&amp;BL$4)="N/A",0,RTD("tos.rtd",,"OPEN_INT","."&amp;$AA$3&amp;$AA$4&amp;"P"&amp;BL$4))*100</f>
        <v>800</v>
      </c>
      <c r="BM40" s="18">
        <f>MAX(0, $A40-BM$4)*IF(RTD("tos.rtd",,"OPEN_INT","."&amp;$AA$3&amp;$AA$4&amp;"C"&amp;BM$4)="N/A",0,RTD("tos.rtd",,"OPEN_INT","."&amp;$AA$3&amp;$AA$4&amp;"C"&amp;BM$4))*100 + MAX(0, BM$4-$A40)*IF(RTD("tos.rtd",,"OPEN_INT","."&amp;$AA$3&amp;$AA$4&amp;"P"&amp;BM$4)="N/A",0,RTD("tos.rtd",,"OPEN_INT","."&amp;$AA$3&amp;$AA$4&amp;"P"&amp;BM$4))*100</f>
        <v>800</v>
      </c>
      <c r="BN40" s="18">
        <f>MAX(0, $A40-BN$4)*IF(RTD("tos.rtd",,"OPEN_INT","."&amp;$AA$3&amp;$AA$4&amp;"C"&amp;BN$4)="N/A",0,RTD("tos.rtd",,"OPEN_INT","."&amp;$AA$3&amp;$AA$4&amp;"C"&amp;BN$4))*100 + MAX(0, BN$4-$A40)*IF(RTD("tos.rtd",,"OPEN_INT","."&amp;$AA$3&amp;$AA$4&amp;"P"&amp;BN$4)="N/A",0,RTD("tos.rtd",,"OPEN_INT","."&amp;$AA$3&amp;$AA$4&amp;"P"&amp;BN$4))*100</f>
        <v>4650</v>
      </c>
      <c r="BO40" s="18">
        <f>MAX(0, $A40-BO$4)*IF(RTD("tos.rtd",,"OPEN_INT","."&amp;$AA$3&amp;$AA$4&amp;"C"&amp;BO$4)="N/A",0,RTD("tos.rtd",,"OPEN_INT","."&amp;$AA$3&amp;$AA$4&amp;"C"&amp;BO$4))*100 + MAX(0, BO$4-$A40)*IF(RTD("tos.rtd",,"OPEN_INT","."&amp;$AA$3&amp;$AA$4&amp;"P"&amp;BO$4)="N/A",0,RTD("tos.rtd",,"OPEN_INT","."&amp;$AA$3&amp;$AA$4&amp;"P"&amp;BO$4))*100</f>
        <v>7600</v>
      </c>
      <c r="BP40" s="18">
        <f>MAX(0, $A40-BP$4)*IF(RTD("tos.rtd",,"OPEN_INT","."&amp;$AA$3&amp;$AA$4&amp;"C"&amp;BP$4)="N/A",0,RTD("tos.rtd",,"OPEN_INT","."&amp;$AA$3&amp;$AA$4&amp;"C"&amp;BP$4))*100 + MAX(0, BP$4-$A40)*IF(RTD("tos.rtd",,"OPEN_INT","."&amp;$AA$3&amp;$AA$4&amp;"P"&amp;BP$4)="N/A",0,RTD("tos.rtd",,"OPEN_INT","."&amp;$AA$3&amp;$AA$4&amp;"P"&amp;BP$4))*100</f>
        <v>0</v>
      </c>
      <c r="BQ40" s="18">
        <f>MAX(0, $A40-BQ$4)*IF(RTD("tos.rtd",,"OPEN_INT","."&amp;$AA$3&amp;$AA$4&amp;"C"&amp;BQ$4)="N/A",0,RTD("tos.rtd",,"OPEN_INT","."&amp;$AA$3&amp;$AA$4&amp;"C"&amp;BQ$4))*100 + MAX(0, BQ$4-$A40)*IF(RTD("tos.rtd",,"OPEN_INT","."&amp;$AA$3&amp;$AA$4&amp;"P"&amp;BQ$4)="N/A",0,RTD("tos.rtd",,"OPEN_INT","."&amp;$AA$3&amp;$AA$4&amp;"P"&amp;BQ$4))*100</f>
        <v>0</v>
      </c>
      <c r="BR40" s="18">
        <f>MAX(0, $A40-BR$4)*IF(RTD("tos.rtd",,"OPEN_INT","."&amp;$AA$3&amp;$AA$4&amp;"C"&amp;BR$4)="N/A",0,RTD("tos.rtd",,"OPEN_INT","."&amp;$AA$3&amp;$AA$4&amp;"C"&amp;BR$4))*100 + MAX(0, BR$4-$A40)*IF(RTD("tos.rtd",,"OPEN_INT","."&amp;$AA$3&amp;$AA$4&amp;"P"&amp;BR$4)="N/A",0,RTD("tos.rtd",,"OPEN_INT","."&amp;$AA$3&amp;$AA$4&amp;"P"&amp;BR$4))*100</f>
        <v>0</v>
      </c>
      <c r="BS40" s="18">
        <f>MAX(0, $A40-BS$4)*IF(RTD("tos.rtd",,"OPEN_INT","."&amp;$AA$3&amp;$AA$4&amp;"C"&amp;BS$4)="N/A",0,RTD("tos.rtd",,"OPEN_INT","."&amp;$AA$3&amp;$AA$4&amp;"C"&amp;BS$4))*100 + MAX(0, BS$4-$A40)*IF(RTD("tos.rtd",,"OPEN_INT","."&amp;$AA$3&amp;$AA$4&amp;"P"&amp;BS$4)="N/A",0,RTD("tos.rtd",,"OPEN_INT","."&amp;$AA$3&amp;$AA$4&amp;"P"&amp;BS$4))*100</f>
        <v>0</v>
      </c>
      <c r="BT40" s="18">
        <f>MAX(0, $A40-BT$4)*IF(RTD("tos.rtd",,"OPEN_INT","."&amp;$AA$3&amp;$AA$4&amp;"C"&amp;BT$4)="N/A",0,RTD("tos.rtd",,"OPEN_INT","."&amp;$AA$3&amp;$AA$4&amp;"C"&amp;BT$4))*100 + MAX(0, BT$4-$A40)*IF(RTD("tos.rtd",,"OPEN_INT","."&amp;$AA$3&amp;$AA$4&amp;"P"&amp;BT$4)="N/A",0,RTD("tos.rtd",,"OPEN_INT","."&amp;$AA$3&amp;$AA$4&amp;"P"&amp;BT$4))*100</f>
        <v>0</v>
      </c>
      <c r="BU40" s="18">
        <f>MAX(0, $A40-BU$4)*IF(RTD("tos.rtd",,"OPEN_INT","."&amp;$AA$3&amp;$AA$4&amp;"C"&amp;BU$4)="N/A",0,RTD("tos.rtd",,"OPEN_INT","."&amp;$AA$3&amp;$AA$4&amp;"C"&amp;BU$4))*100 + MAX(0, BU$4-$A40)*IF(RTD("tos.rtd",,"OPEN_INT","."&amp;$AA$3&amp;$AA$4&amp;"P"&amp;BU$4)="N/A",0,RTD("tos.rtd",,"OPEN_INT","."&amp;$AA$3&amp;$AA$4&amp;"P"&amp;BU$4))*100</f>
        <v>0</v>
      </c>
      <c r="BV40" s="18">
        <f>MAX(0, $A40-BV$4)*IF(RTD("tos.rtd",,"OPEN_INT","."&amp;$AA$3&amp;$AA$4&amp;"C"&amp;BV$4)="N/A",0,RTD("tos.rtd",,"OPEN_INT","."&amp;$AA$3&amp;$AA$4&amp;"C"&amp;BV$4))*100 + MAX(0, BV$4-$A40)*IF(RTD("tos.rtd",,"OPEN_INT","."&amp;$AA$3&amp;$AA$4&amp;"P"&amp;BV$4)="N/A",0,RTD("tos.rtd",,"OPEN_INT","."&amp;$AA$3&amp;$AA$4&amp;"P"&amp;BV$4))*100</f>
        <v>0</v>
      </c>
    </row>
    <row r="41" spans="1:74" s="19" customFormat="1" ht="11.1" customHeight="1" thickBot="1" x14ac:dyDescent="0.3">
      <c r="A41" s="23">
        <f t="shared" si="11"/>
        <v>3.5</v>
      </c>
      <c r="B41" s="14">
        <f ca="1">IF($A$2="PREMIUM_OI",IFERROR(IF($X$1="ABS",(100*RTD("tos.rtd",,"OPEN_INT","."&amp;B$2&amp;B$1&amp;"C"&amp;$A41)*RTD("tos.rtd",,"LAST","."&amp;B$2&amp;B$1&amp;"C"&amp;$A41)+100*RTD("tos.rtd",,"OPEN_INT","."&amp;B$2&amp;B$1&amp;"P"&amp;$A41)*RTD("tos.rtd",,"LAST","."&amp;B$2&amp;B$1&amp;"P"&amp;$A41))/1000000,(100*RTD("tos.rtd",,"OPEN_INT","."&amp;B$2&amp;B$1&amp;"C"&amp;$A41)*RTD("tos.rtd",,"LAST","."&amp;B$2&amp;B$1&amp;"C"&amp;$A41)-100*RTD("tos.rtd",,"OPEN_INT","."&amp;B$2&amp;B$1&amp;"P"&amp;$A41)*RTD("tos.rtd",,"LAST","."&amp;B$2&amp;B$1&amp;"P"&amp;$A41))/1000000),0),IF($A$2="PREMIUM",IFERROR(IF($X$1="ABS",(100*RTD("tos.rtd",,"VOLUME","."&amp;B$2&amp;B$1&amp;"C"&amp;$A41)*RTD("tos.rtd",,"LAST","."&amp;B$2&amp;B$1&amp;"C"&amp;$A41)+100*RTD("tos.rtd",,"VOLUME","."&amp;B$2&amp;B$1&amp;"P"&amp;$A41)*RTD("tos.rtd",,"LAST","."&amp;B$2&amp;B$1&amp;"P"&amp;$A41))/1000000,(100*RTD("tos.rtd",,"VOLUME","."&amp;B$2&amp;B$1&amp;"C"&amp;$A41)*RTD("tos.rtd",,"LAST","."&amp;B$2&amp;B$1&amp;"C"&amp;$A41)-100*RTD("tos.rtd",,"VOLUME","."&amp;B$2&amp;B$1&amp;"P"&amp;$A41)*RTD("tos.rtd",,"LAST","."&amp;B$2&amp;B$1&amp;"P"&amp;$A41))/1000000),0),IF($A$2="DEX",IFERROR(IF($X$1="ABS",(100*RTD("tos.rtd",,"OPEN_INT","."&amp;B$2&amp;B$1&amp;"C"&amp;$A41)*RTD("tos.rtd",,"DELTA","."&amp;B$2&amp;B$1&amp;"C"&amp;$A41)+100*RTD("tos.rtd",,"OPEN_INT","."&amp;B$2&amp;B$1&amp;"P"&amp;$A41)*RTD("tos.rtd",,"DELTA","."&amp;B$2&amp;B$1&amp;"P"&amp;$A41))/1000,(100*RTD("tos.rtd",,"OPEN_INT","."&amp;B$2&amp;B$1&amp;"C"&amp;$A41)*RTD("tos.rtd",,"DELTA","."&amp;B$2&amp;B$1&amp;"C"&amp;$A41)-100*RTD("tos.rtd",,"OPEN_INT","."&amp;B$2&amp;B$1&amp;"P"&amp;$A41)*RTD("tos.rtd",,"DELTA","."&amp;B$2&amp;B$1&amp;"P"&amp;$A41))/1000),0),IF($A$2="VEX",IFERROR(IF($X$1="ABS",($A$4*$A$4*RTD("tos.rtd",,"VOLUME","."&amp;B$2&amp;B$1&amp;"C"&amp;$A41)*RTD("tos.rtd",,"GAMMA","."&amp;B$2&amp;B$1&amp;"C"&amp;$A41)+$A$4*$A$4*RTD("tos.rtd",,"VOLUME","."&amp;B$2&amp;B$1&amp;"P"&amp;$A41)*RTD("tos.rtd",,"GAMMA","."&amp;B$2&amp;B$1&amp;"P"&amp;$A41))/1000000,($A$4*$A$4*RTD("tos.rtd",,"VOLUME","."&amp;B$2&amp;B$1&amp;"C"&amp;$A41)*RTD("tos.rtd",,"GAMMA","."&amp;B$2&amp;B$1&amp;"C"&amp;$A41)-$A$4*$A$4*RTD("tos.rtd",,"VOLUME","."&amp;B$2&amp;B$1&amp;"P"&amp;$A41)*RTD("tos.rtd",,"GAMMA","."&amp;B$2&amp;B$1&amp;"P"&amp;$A41))/1000000),0),IF($A$2="GEX",IFERROR(IF($X$1="ABS",($A$4*$A$4*RTD("tos.rtd",,"OPEN_INT","."&amp;B$2&amp;B$1&amp;"C"&amp;$A41)*RTD("tos.rtd",,"GAMMA","."&amp;B$2&amp;B$1&amp;"C"&amp;$A41)+$A$4*$A$4*RTD("tos.rtd",,"OPEN_INT","."&amp;B$2&amp;B$1&amp;"P"&amp;$A41)*RTD("tos.rtd",,"GAMMA","."&amp;B$2&amp;B$1&amp;"P"&amp;$A41))/1000000,($A$4*$A$4*RTD("tos.rtd",,"OPEN_INT","."&amp;B$2&amp;B$1&amp;"C"&amp;$A41)*RTD("tos.rtd",,"GAMMA","."&amp;B$2&amp;B$1&amp;"C"&amp;$A41)-$A$4*$A$4*RTD("tos.rtd",,"OPEN_INT","."&amp;B$2&amp;B$1&amp;"P"&amp;$A41)*RTD("tos.rtd",,"GAMMA","."&amp;B$2&amp;B$1&amp;"P"&amp;$A41))/1000000),0),IF($A$2="SKEW",IFERROR(VALUE(IF(RTD("tos.rtd",,"IMPL_VOL","."&amp;B$2&amp;B$1&amp;"P"&amp;$A41)="N/A",0,RTD("tos.rtd",,"IMPL_VOL","."&amp;B$2&amp;B$1&amp;"P"&amp;$A41))),0)-IFERROR(VALUE(IF(RTD("tos.rtd",,"IMPL_VOL","."&amp;B$2&amp;B$1&amp;"C"&amp;$A41)="N/A",0,RTD("tos.rtd",,"IMPL_VOL","."&amp;B$2&amp;B$1&amp;"C"&amp;$A41))),0),IF($A$2="MAXPAIN",IF($A$4&gt;$A41,($A$4-$A41)*IF(RTD("tos.rtd",,"OPEN_INT","."&amp;B$2&amp;B$1&amp;"C"&amp;$A41)="N/A",0,RTD("tos.rtd",,"OPEN_INT","."&amp;B$2&amp;B$1&amp;"C"&amp;$A41)),0)+IF($A$4&lt;$A41,($A$5-$A$4)*IF(RTD("tos.rtd",,"OPEN_INT","."&amp;B$2&amp;B$1&amp;"P"&amp;$A41)="N/A",0,RTD("tos.rtd",,"OPEN_INT","."&amp;B$2&amp;B$1&amp;"P"&amp;$A41)),0),IF($X$1="ABS",IF(RTD("tos.rtd",,$A$2,"."&amp;B$2&amp;B$1&amp;"C"&amp;$A41)="N/A",0,RTD("tos.rtd",,$A$2,"."&amp;B$2&amp;B$1&amp;"C"&amp;$A41))+IF(RTD("tos.rtd",,$A$2,"."&amp;B$2&amp;B$1&amp;"P"&amp;$A41)="N/A",0,RTD("tos.rtd",,$A$2,"."&amp;B$2&amp;B$1&amp;"P"&amp;$A41)),IF(RTD("tos.rtd",,$A$2,"."&amp;B$2&amp;B$1&amp;"C"&amp;$A41)="N/A",0,RTD("tos.rtd",,$A$2,"."&amp;B$2&amp;B$1&amp;"C"&amp;$A41))-IF(RTD("tos.rtd",,$A$2,"."&amp;B$2&amp;B$1&amp;"P"&amp;$A41)="N/A",0,RTD("tos.rtd",,$A$2,"."&amp;B$2&amp;B$1&amp;"P"&amp;$A41))))))))))</f>
        <v>0</v>
      </c>
      <c r="C41" s="12">
        <f ca="1">IF($A$2="PREMIUM_OI",IFERROR(IF($X$1="ABS",(100*RTD("tos.rtd",,"OPEN_INT","."&amp;C$2&amp;C$1&amp;"C"&amp;$A41)*RTD("tos.rtd",,"LAST","."&amp;C$2&amp;C$1&amp;"C"&amp;$A41)+100*RTD("tos.rtd",,"OPEN_INT","."&amp;C$2&amp;C$1&amp;"P"&amp;$A41)*RTD("tos.rtd",,"LAST","."&amp;C$2&amp;C$1&amp;"P"&amp;$A41))/1000000,(100*RTD("tos.rtd",,"OPEN_INT","."&amp;C$2&amp;C$1&amp;"C"&amp;$A41)*RTD("tos.rtd",,"LAST","."&amp;C$2&amp;C$1&amp;"C"&amp;$A41)-100*RTD("tos.rtd",,"OPEN_INT","."&amp;C$2&amp;C$1&amp;"P"&amp;$A41)*RTD("tos.rtd",,"LAST","."&amp;C$2&amp;C$1&amp;"P"&amp;$A41))/1000000),0),IF($A$2="PREMIUM",IFERROR(IF($X$1="ABS",(100*RTD("tos.rtd",,"VOLUME","."&amp;C$2&amp;C$1&amp;"C"&amp;$A41)*RTD("tos.rtd",,"LAST","."&amp;C$2&amp;C$1&amp;"C"&amp;$A41)+100*RTD("tos.rtd",,"VOLUME","."&amp;C$2&amp;C$1&amp;"P"&amp;$A41)*RTD("tos.rtd",,"LAST","."&amp;C$2&amp;C$1&amp;"P"&amp;$A41))/1000000,(100*RTD("tos.rtd",,"VOLUME","."&amp;C$2&amp;C$1&amp;"C"&amp;$A41)*RTD("tos.rtd",,"LAST","."&amp;C$2&amp;C$1&amp;"C"&amp;$A41)-100*RTD("tos.rtd",,"VOLUME","."&amp;C$2&amp;C$1&amp;"P"&amp;$A41)*RTD("tos.rtd",,"LAST","."&amp;C$2&amp;C$1&amp;"P"&amp;$A41))/1000000),0),IF($A$2="DEX",IFERROR(IF($X$1="ABS",(100*RTD("tos.rtd",,"OPEN_INT","."&amp;C$2&amp;C$1&amp;"C"&amp;$A41)*RTD("tos.rtd",,"DELTA","."&amp;C$2&amp;C$1&amp;"C"&amp;$A41)+100*RTD("tos.rtd",,"OPEN_INT","."&amp;C$2&amp;C$1&amp;"P"&amp;$A41)*RTD("tos.rtd",,"DELTA","."&amp;C$2&amp;C$1&amp;"P"&amp;$A41))/1000,(100*RTD("tos.rtd",,"OPEN_INT","."&amp;C$2&amp;C$1&amp;"C"&amp;$A41)*RTD("tos.rtd",,"DELTA","."&amp;C$2&amp;C$1&amp;"C"&amp;$A41)-100*RTD("tos.rtd",,"OPEN_INT","."&amp;C$2&amp;C$1&amp;"P"&amp;$A41)*RTD("tos.rtd",,"DELTA","."&amp;C$2&amp;C$1&amp;"P"&amp;$A41))/1000),0),IF($A$2="VEX",IFERROR(IF($X$1="ABS",($A$4*$A$4*RTD("tos.rtd",,"VOLUME","."&amp;C$2&amp;C$1&amp;"C"&amp;$A41)*RTD("tos.rtd",,"GAMMA","."&amp;C$2&amp;C$1&amp;"C"&amp;$A41)+$A$4*$A$4*RTD("tos.rtd",,"VOLUME","."&amp;C$2&amp;C$1&amp;"P"&amp;$A41)*RTD("tos.rtd",,"GAMMA","."&amp;C$2&amp;C$1&amp;"P"&amp;$A41))/1000000,($A$4*$A$4*RTD("tos.rtd",,"VOLUME","."&amp;C$2&amp;C$1&amp;"C"&amp;$A41)*RTD("tos.rtd",,"GAMMA","."&amp;C$2&amp;C$1&amp;"C"&amp;$A41)-$A$4*$A$4*RTD("tos.rtd",,"VOLUME","."&amp;C$2&amp;C$1&amp;"P"&amp;$A41)*RTD("tos.rtd",,"GAMMA","."&amp;C$2&amp;C$1&amp;"P"&amp;$A41))/1000000),0),IF($A$2="GEX",IFERROR(IF($X$1="ABS",($A$4*$A$4*RTD("tos.rtd",,"OPEN_INT","."&amp;C$2&amp;C$1&amp;"C"&amp;$A41)*RTD("tos.rtd",,"GAMMA","."&amp;C$2&amp;C$1&amp;"C"&amp;$A41)+$A$4*$A$4*RTD("tos.rtd",,"OPEN_INT","."&amp;C$2&amp;C$1&amp;"P"&amp;$A41)*RTD("tos.rtd",,"GAMMA","."&amp;C$2&amp;C$1&amp;"P"&amp;$A41))/1000000,($A$4*$A$4*RTD("tos.rtd",,"OPEN_INT","."&amp;C$2&amp;C$1&amp;"C"&amp;$A41)*RTD("tos.rtd",,"GAMMA","."&amp;C$2&amp;C$1&amp;"C"&amp;$A41)-$A$4*$A$4*RTD("tos.rtd",,"OPEN_INT","."&amp;C$2&amp;C$1&amp;"P"&amp;$A41)*RTD("tos.rtd",,"GAMMA","."&amp;C$2&amp;C$1&amp;"P"&amp;$A41))/1000000),0),IF($A$2="SKEW",IFERROR(VALUE(IF(RTD("tos.rtd",,"IMPL_VOL","."&amp;C$2&amp;C$1&amp;"P"&amp;$A41)="N/A",0,RTD("tos.rtd",,"IMPL_VOL","."&amp;C$2&amp;C$1&amp;"P"&amp;$A41))),0)-IFERROR(VALUE(IF(RTD("tos.rtd",,"IMPL_VOL","."&amp;C$2&amp;C$1&amp;"C"&amp;$A41)="N/A",0,RTD("tos.rtd",,"IMPL_VOL","."&amp;C$2&amp;C$1&amp;"C"&amp;$A41))),0),IF($A$2="MAXPAIN",IF($A$4&gt;$A41,($A$4-$A41)*IF(RTD("tos.rtd",,"OPEN_INT","."&amp;C$2&amp;C$1&amp;"C"&amp;$A41)="N/A",0,RTD("tos.rtd",,"OPEN_INT","."&amp;C$2&amp;C$1&amp;"C"&amp;$A41)),0)+IF($A$4&lt;$A41,($A$5-$A$4)*IF(RTD("tos.rtd",,"OPEN_INT","."&amp;C$2&amp;C$1&amp;"P"&amp;$A41)="N/A",0,RTD("tos.rtd",,"OPEN_INT","."&amp;C$2&amp;C$1&amp;"P"&amp;$A41)),0),IF($X$1="ABS",IF(RTD("tos.rtd",,$A$2,"."&amp;C$2&amp;C$1&amp;"C"&amp;$A41)="N/A",0,RTD("tos.rtd",,$A$2,"."&amp;C$2&amp;C$1&amp;"C"&amp;$A41))+IF(RTD("tos.rtd",,$A$2,"."&amp;C$2&amp;C$1&amp;"P"&amp;$A41)="N/A",0,RTD("tos.rtd",,$A$2,"."&amp;C$2&amp;C$1&amp;"P"&amp;$A41)),IF(RTD("tos.rtd",,$A$2,"."&amp;C$2&amp;C$1&amp;"C"&amp;$A41)="N/A",0,RTD("tos.rtd",,$A$2,"."&amp;C$2&amp;C$1&amp;"C"&amp;$A41))-IF(RTD("tos.rtd",,$A$2,"."&amp;C$2&amp;C$1&amp;"P"&amp;$A41)="N/A",0,RTD("tos.rtd",,$A$2,"."&amp;C$2&amp;C$1&amp;"P"&amp;$A41))))))))))</f>
        <v>-376</v>
      </c>
      <c r="D41" s="12">
        <f ca="1">IF($A$2="PREMIUM_OI",IFERROR(IF($X$1="ABS",(100*RTD("tos.rtd",,"OPEN_INT","."&amp;D$2&amp;D$1&amp;"C"&amp;$A41)*RTD("tos.rtd",,"LAST","."&amp;D$2&amp;D$1&amp;"C"&amp;$A41)+100*RTD("tos.rtd",,"OPEN_INT","."&amp;D$2&amp;D$1&amp;"P"&amp;$A41)*RTD("tos.rtd",,"LAST","."&amp;D$2&amp;D$1&amp;"P"&amp;$A41))/1000000,(100*RTD("tos.rtd",,"OPEN_INT","."&amp;D$2&amp;D$1&amp;"C"&amp;$A41)*RTD("tos.rtd",,"LAST","."&amp;D$2&amp;D$1&amp;"C"&amp;$A41)-100*RTD("tos.rtd",,"OPEN_INT","."&amp;D$2&amp;D$1&amp;"P"&amp;$A41)*RTD("tos.rtd",,"LAST","."&amp;D$2&amp;D$1&amp;"P"&amp;$A41))/1000000),0),IF($A$2="PREMIUM",IFERROR(IF($X$1="ABS",(100*RTD("tos.rtd",,"VOLUME","."&amp;D$2&amp;D$1&amp;"C"&amp;$A41)*RTD("tos.rtd",,"LAST","."&amp;D$2&amp;D$1&amp;"C"&amp;$A41)+100*RTD("tos.rtd",,"VOLUME","."&amp;D$2&amp;D$1&amp;"P"&amp;$A41)*RTD("tos.rtd",,"LAST","."&amp;D$2&amp;D$1&amp;"P"&amp;$A41))/1000000,(100*RTD("tos.rtd",,"VOLUME","."&amp;D$2&amp;D$1&amp;"C"&amp;$A41)*RTD("tos.rtd",,"LAST","."&amp;D$2&amp;D$1&amp;"C"&amp;$A41)-100*RTD("tos.rtd",,"VOLUME","."&amp;D$2&amp;D$1&amp;"P"&amp;$A41)*RTD("tos.rtd",,"LAST","."&amp;D$2&amp;D$1&amp;"P"&amp;$A41))/1000000),0),IF($A$2="DEX",IFERROR(IF($X$1="ABS",(100*RTD("tos.rtd",,"OPEN_INT","."&amp;D$2&amp;D$1&amp;"C"&amp;$A41)*RTD("tos.rtd",,"DELTA","."&amp;D$2&amp;D$1&amp;"C"&amp;$A41)+100*RTD("tos.rtd",,"OPEN_INT","."&amp;D$2&amp;D$1&amp;"P"&amp;$A41)*RTD("tos.rtd",,"DELTA","."&amp;D$2&amp;D$1&amp;"P"&amp;$A41))/1000,(100*RTD("tos.rtd",,"OPEN_INT","."&amp;D$2&amp;D$1&amp;"C"&amp;$A41)*RTD("tos.rtd",,"DELTA","."&amp;D$2&amp;D$1&amp;"C"&amp;$A41)-100*RTD("tos.rtd",,"OPEN_INT","."&amp;D$2&amp;D$1&amp;"P"&amp;$A41)*RTD("tos.rtd",,"DELTA","."&amp;D$2&amp;D$1&amp;"P"&amp;$A41))/1000),0),IF($A$2="VEX",IFERROR(IF($X$1="ABS",($A$4*$A$4*RTD("tos.rtd",,"VOLUME","."&amp;D$2&amp;D$1&amp;"C"&amp;$A41)*RTD("tos.rtd",,"GAMMA","."&amp;D$2&amp;D$1&amp;"C"&amp;$A41)+$A$4*$A$4*RTD("tos.rtd",,"VOLUME","."&amp;D$2&amp;D$1&amp;"P"&amp;$A41)*RTD("tos.rtd",,"GAMMA","."&amp;D$2&amp;D$1&amp;"P"&amp;$A41))/1000000,($A$4*$A$4*RTD("tos.rtd",,"VOLUME","."&amp;D$2&amp;D$1&amp;"C"&amp;$A41)*RTD("tos.rtd",,"GAMMA","."&amp;D$2&amp;D$1&amp;"C"&amp;$A41)-$A$4*$A$4*RTD("tos.rtd",,"VOLUME","."&amp;D$2&amp;D$1&amp;"P"&amp;$A41)*RTD("tos.rtd",,"GAMMA","."&amp;D$2&amp;D$1&amp;"P"&amp;$A41))/1000000),0),IF($A$2="GEX",IFERROR(IF($X$1="ABS",($A$4*$A$4*RTD("tos.rtd",,"OPEN_INT","."&amp;D$2&amp;D$1&amp;"C"&amp;$A41)*RTD("tos.rtd",,"GAMMA","."&amp;D$2&amp;D$1&amp;"C"&amp;$A41)+$A$4*$A$4*RTD("tos.rtd",,"OPEN_INT","."&amp;D$2&amp;D$1&amp;"P"&amp;$A41)*RTD("tos.rtd",,"GAMMA","."&amp;D$2&amp;D$1&amp;"P"&amp;$A41))/1000000,($A$4*$A$4*RTD("tos.rtd",,"OPEN_INT","."&amp;D$2&amp;D$1&amp;"C"&amp;$A41)*RTD("tos.rtd",,"GAMMA","."&amp;D$2&amp;D$1&amp;"C"&amp;$A41)-$A$4*$A$4*RTD("tos.rtd",,"OPEN_INT","."&amp;D$2&amp;D$1&amp;"P"&amp;$A41)*RTD("tos.rtd",,"GAMMA","."&amp;D$2&amp;D$1&amp;"P"&amp;$A41))/1000000),0),IF($A$2="SKEW",IFERROR(VALUE(IF(RTD("tos.rtd",,"IMPL_VOL","."&amp;D$2&amp;D$1&amp;"P"&amp;$A41)="N/A",0,RTD("tos.rtd",,"IMPL_VOL","."&amp;D$2&amp;D$1&amp;"P"&amp;$A41))),0)-IFERROR(VALUE(IF(RTD("tos.rtd",,"IMPL_VOL","."&amp;D$2&amp;D$1&amp;"C"&amp;$A41)="N/A",0,RTD("tos.rtd",,"IMPL_VOL","."&amp;D$2&amp;D$1&amp;"C"&amp;$A41))),0),IF($A$2="MAXPAIN",IF($A$4&gt;$A41,($A$4-$A41)*IF(RTD("tos.rtd",,"OPEN_INT","."&amp;D$2&amp;D$1&amp;"C"&amp;$A41)="N/A",0,RTD("tos.rtd",,"OPEN_INT","."&amp;D$2&amp;D$1&amp;"C"&amp;$A41)),0)+IF($A$4&lt;$A41,($A$5-$A$4)*IF(RTD("tos.rtd",,"OPEN_INT","."&amp;D$2&amp;D$1&amp;"P"&amp;$A41)="N/A",0,RTD("tos.rtd",,"OPEN_INT","."&amp;D$2&amp;D$1&amp;"P"&amp;$A41)),0),IF($X$1="ABS",IF(RTD("tos.rtd",,$A$2,"."&amp;D$2&amp;D$1&amp;"C"&amp;$A41)="N/A",0,RTD("tos.rtd",,$A$2,"."&amp;D$2&amp;D$1&amp;"C"&amp;$A41))+IF(RTD("tos.rtd",,$A$2,"."&amp;D$2&amp;D$1&amp;"P"&amp;$A41)="N/A",0,RTD("tos.rtd",,$A$2,"."&amp;D$2&amp;D$1&amp;"P"&amp;$A41)),IF(RTD("tos.rtd",,$A$2,"."&amp;D$2&amp;D$1&amp;"C"&amp;$A41)="N/A",0,RTD("tos.rtd",,$A$2,"."&amp;D$2&amp;D$1&amp;"C"&amp;$A41))-IF(RTD("tos.rtd",,$A$2,"."&amp;D$2&amp;D$1&amp;"P"&amp;$A41)="N/A",0,RTD("tos.rtd",,$A$2,"."&amp;D$2&amp;D$1&amp;"P"&amp;$A41))))))))))</f>
        <v>-1136</v>
      </c>
      <c r="E41" s="12">
        <f ca="1">IF($A$2="PREMIUM_OI",IFERROR(IF($X$1="ABS",(100*RTD("tos.rtd",,"OPEN_INT","."&amp;E$2&amp;E$1&amp;"C"&amp;$A41)*RTD("tos.rtd",,"LAST","."&amp;E$2&amp;E$1&amp;"C"&amp;$A41)+100*RTD("tos.rtd",,"OPEN_INT","."&amp;E$2&amp;E$1&amp;"P"&amp;$A41)*RTD("tos.rtd",,"LAST","."&amp;E$2&amp;E$1&amp;"P"&amp;$A41))/1000000,(100*RTD("tos.rtd",,"OPEN_INT","."&amp;E$2&amp;E$1&amp;"C"&amp;$A41)*RTD("tos.rtd",,"LAST","."&amp;E$2&amp;E$1&amp;"C"&amp;$A41)-100*RTD("tos.rtd",,"OPEN_INT","."&amp;E$2&amp;E$1&amp;"P"&amp;$A41)*RTD("tos.rtd",,"LAST","."&amp;E$2&amp;E$1&amp;"P"&amp;$A41))/1000000),0),IF($A$2="PREMIUM",IFERROR(IF($X$1="ABS",(100*RTD("tos.rtd",,"VOLUME","."&amp;E$2&amp;E$1&amp;"C"&amp;$A41)*RTD("tos.rtd",,"LAST","."&amp;E$2&amp;E$1&amp;"C"&amp;$A41)+100*RTD("tos.rtd",,"VOLUME","."&amp;E$2&amp;E$1&amp;"P"&amp;$A41)*RTD("tos.rtd",,"LAST","."&amp;E$2&amp;E$1&amp;"P"&amp;$A41))/1000000,(100*RTD("tos.rtd",,"VOLUME","."&amp;E$2&amp;E$1&amp;"C"&amp;$A41)*RTD("tos.rtd",,"LAST","."&amp;E$2&amp;E$1&amp;"C"&amp;$A41)-100*RTD("tos.rtd",,"VOLUME","."&amp;E$2&amp;E$1&amp;"P"&amp;$A41)*RTD("tos.rtd",,"LAST","."&amp;E$2&amp;E$1&amp;"P"&amp;$A41))/1000000),0),IF($A$2="DEX",IFERROR(IF($X$1="ABS",(100*RTD("tos.rtd",,"OPEN_INT","."&amp;E$2&amp;E$1&amp;"C"&amp;$A41)*RTD("tos.rtd",,"DELTA","."&amp;E$2&amp;E$1&amp;"C"&amp;$A41)+100*RTD("tos.rtd",,"OPEN_INT","."&amp;E$2&amp;E$1&amp;"P"&amp;$A41)*RTD("tos.rtd",,"DELTA","."&amp;E$2&amp;E$1&amp;"P"&amp;$A41))/1000,(100*RTD("tos.rtd",,"OPEN_INT","."&amp;E$2&amp;E$1&amp;"C"&amp;$A41)*RTD("tos.rtd",,"DELTA","."&amp;E$2&amp;E$1&amp;"C"&amp;$A41)-100*RTD("tos.rtd",,"OPEN_INT","."&amp;E$2&amp;E$1&amp;"P"&amp;$A41)*RTD("tos.rtd",,"DELTA","."&amp;E$2&amp;E$1&amp;"P"&amp;$A41))/1000),0),IF($A$2="VEX",IFERROR(IF($X$1="ABS",($A$4*$A$4*RTD("tos.rtd",,"VOLUME","."&amp;E$2&amp;E$1&amp;"C"&amp;$A41)*RTD("tos.rtd",,"GAMMA","."&amp;E$2&amp;E$1&amp;"C"&amp;$A41)+$A$4*$A$4*RTD("tos.rtd",,"VOLUME","."&amp;E$2&amp;E$1&amp;"P"&amp;$A41)*RTD("tos.rtd",,"GAMMA","."&amp;E$2&amp;E$1&amp;"P"&amp;$A41))/1000000,($A$4*$A$4*RTD("tos.rtd",,"VOLUME","."&amp;E$2&amp;E$1&amp;"C"&amp;$A41)*RTD("tos.rtd",,"GAMMA","."&amp;E$2&amp;E$1&amp;"C"&amp;$A41)-$A$4*$A$4*RTD("tos.rtd",,"VOLUME","."&amp;E$2&amp;E$1&amp;"P"&amp;$A41)*RTD("tos.rtd",,"GAMMA","."&amp;E$2&amp;E$1&amp;"P"&amp;$A41))/1000000),0),IF($A$2="GEX",IFERROR(IF($X$1="ABS",($A$4*$A$4*RTD("tos.rtd",,"OPEN_INT","."&amp;E$2&amp;E$1&amp;"C"&amp;$A41)*RTD("tos.rtd",,"GAMMA","."&amp;E$2&amp;E$1&amp;"C"&amp;$A41)+$A$4*$A$4*RTD("tos.rtd",,"OPEN_INT","."&amp;E$2&amp;E$1&amp;"P"&amp;$A41)*RTD("tos.rtd",,"GAMMA","."&amp;E$2&amp;E$1&amp;"P"&amp;$A41))/1000000,($A$4*$A$4*RTD("tos.rtd",,"OPEN_INT","."&amp;E$2&amp;E$1&amp;"C"&amp;$A41)*RTD("tos.rtd",,"GAMMA","."&amp;E$2&amp;E$1&amp;"C"&amp;$A41)-$A$4*$A$4*RTD("tos.rtd",,"OPEN_INT","."&amp;E$2&amp;E$1&amp;"P"&amp;$A41)*RTD("tos.rtd",,"GAMMA","."&amp;E$2&amp;E$1&amp;"P"&amp;$A41))/1000000),0),IF($A$2="SKEW",IFERROR(VALUE(IF(RTD("tos.rtd",,"IMPL_VOL","."&amp;E$2&amp;E$1&amp;"P"&amp;$A41)="N/A",0,RTD("tos.rtd",,"IMPL_VOL","."&amp;E$2&amp;E$1&amp;"P"&amp;$A41))),0)-IFERROR(VALUE(IF(RTD("tos.rtd",,"IMPL_VOL","."&amp;E$2&amp;E$1&amp;"C"&amp;$A41)="N/A",0,RTD("tos.rtd",,"IMPL_VOL","."&amp;E$2&amp;E$1&amp;"C"&amp;$A41))),0),IF($A$2="MAXPAIN",IF($A$4&gt;$A41,($A$4-$A41)*IF(RTD("tos.rtd",,"OPEN_INT","."&amp;E$2&amp;E$1&amp;"C"&amp;$A41)="N/A",0,RTD("tos.rtd",,"OPEN_INT","."&amp;E$2&amp;E$1&amp;"C"&amp;$A41)),0)+IF($A$4&lt;$A41,($A$5-$A$4)*IF(RTD("tos.rtd",,"OPEN_INT","."&amp;E$2&amp;E$1&amp;"P"&amp;$A41)="N/A",0,RTD("tos.rtd",,"OPEN_INT","."&amp;E$2&amp;E$1&amp;"P"&amp;$A41)),0),IF($X$1="ABS",IF(RTD("tos.rtd",,$A$2,"."&amp;E$2&amp;E$1&amp;"C"&amp;$A41)="N/A",0,RTD("tos.rtd",,$A$2,"."&amp;E$2&amp;E$1&amp;"C"&amp;$A41))+IF(RTD("tos.rtd",,$A$2,"."&amp;E$2&amp;E$1&amp;"P"&amp;$A41)="N/A",0,RTD("tos.rtd",,$A$2,"."&amp;E$2&amp;E$1&amp;"P"&amp;$A41)),IF(RTD("tos.rtd",,$A$2,"."&amp;E$2&amp;E$1&amp;"C"&amp;$A41)="N/A",0,RTD("tos.rtd",,$A$2,"."&amp;E$2&amp;E$1&amp;"C"&amp;$A41))-IF(RTD("tos.rtd",,$A$2,"."&amp;E$2&amp;E$1&amp;"P"&amp;$A41)="N/A",0,RTD("tos.rtd",,$A$2,"."&amp;E$2&amp;E$1&amp;"P"&amp;$A41))))))))))</f>
        <v>-47</v>
      </c>
      <c r="F41" s="12">
        <f ca="1">IF($A$2="PREMIUM_OI",IFERROR(IF($X$1="ABS",(100*RTD("tos.rtd",,"OPEN_INT","."&amp;F$2&amp;F$1&amp;"C"&amp;$A41)*RTD("tos.rtd",,"LAST","."&amp;F$2&amp;F$1&amp;"C"&amp;$A41)+100*RTD("tos.rtd",,"OPEN_INT","."&amp;F$2&amp;F$1&amp;"P"&amp;$A41)*RTD("tos.rtd",,"LAST","."&amp;F$2&amp;F$1&amp;"P"&amp;$A41))/1000000,(100*RTD("tos.rtd",,"OPEN_INT","."&amp;F$2&amp;F$1&amp;"C"&amp;$A41)*RTD("tos.rtd",,"LAST","."&amp;F$2&amp;F$1&amp;"C"&amp;$A41)-100*RTD("tos.rtd",,"OPEN_INT","."&amp;F$2&amp;F$1&amp;"P"&amp;$A41)*RTD("tos.rtd",,"LAST","."&amp;F$2&amp;F$1&amp;"P"&amp;$A41))/1000000),0),IF($A$2="PREMIUM",IFERROR(IF($X$1="ABS",(100*RTD("tos.rtd",,"VOLUME","."&amp;F$2&amp;F$1&amp;"C"&amp;$A41)*RTD("tos.rtd",,"LAST","."&amp;F$2&amp;F$1&amp;"C"&amp;$A41)+100*RTD("tos.rtd",,"VOLUME","."&amp;F$2&amp;F$1&amp;"P"&amp;$A41)*RTD("tos.rtd",,"LAST","."&amp;F$2&amp;F$1&amp;"P"&amp;$A41))/1000000,(100*RTD("tos.rtd",,"VOLUME","."&amp;F$2&amp;F$1&amp;"C"&amp;$A41)*RTD("tos.rtd",,"LAST","."&amp;F$2&amp;F$1&amp;"C"&amp;$A41)-100*RTD("tos.rtd",,"VOLUME","."&amp;F$2&amp;F$1&amp;"P"&amp;$A41)*RTD("tos.rtd",,"LAST","."&amp;F$2&amp;F$1&amp;"P"&amp;$A41))/1000000),0),IF($A$2="DEX",IFERROR(IF($X$1="ABS",(100*RTD("tos.rtd",,"OPEN_INT","."&amp;F$2&amp;F$1&amp;"C"&amp;$A41)*RTD("tos.rtd",,"DELTA","."&amp;F$2&amp;F$1&amp;"C"&amp;$A41)+100*RTD("tos.rtd",,"OPEN_INT","."&amp;F$2&amp;F$1&amp;"P"&amp;$A41)*RTD("tos.rtd",,"DELTA","."&amp;F$2&amp;F$1&amp;"P"&amp;$A41))/1000,(100*RTD("tos.rtd",,"OPEN_INT","."&amp;F$2&amp;F$1&amp;"C"&amp;$A41)*RTD("tos.rtd",,"DELTA","."&amp;F$2&amp;F$1&amp;"C"&amp;$A41)-100*RTD("tos.rtd",,"OPEN_INT","."&amp;F$2&amp;F$1&amp;"P"&amp;$A41)*RTD("tos.rtd",,"DELTA","."&amp;F$2&amp;F$1&amp;"P"&amp;$A41))/1000),0),IF($A$2="VEX",IFERROR(IF($X$1="ABS",($A$4*$A$4*RTD("tos.rtd",,"VOLUME","."&amp;F$2&amp;F$1&amp;"C"&amp;$A41)*RTD("tos.rtd",,"GAMMA","."&amp;F$2&amp;F$1&amp;"C"&amp;$A41)+$A$4*$A$4*RTD("tos.rtd",,"VOLUME","."&amp;F$2&amp;F$1&amp;"P"&amp;$A41)*RTD("tos.rtd",,"GAMMA","."&amp;F$2&amp;F$1&amp;"P"&amp;$A41))/1000000,($A$4*$A$4*RTD("tos.rtd",,"VOLUME","."&amp;F$2&amp;F$1&amp;"C"&amp;$A41)*RTD("tos.rtd",,"GAMMA","."&amp;F$2&amp;F$1&amp;"C"&amp;$A41)-$A$4*$A$4*RTD("tos.rtd",,"VOLUME","."&amp;F$2&amp;F$1&amp;"P"&amp;$A41)*RTD("tos.rtd",,"GAMMA","."&amp;F$2&amp;F$1&amp;"P"&amp;$A41))/1000000),0),IF($A$2="GEX",IFERROR(IF($X$1="ABS",($A$4*$A$4*RTD("tos.rtd",,"OPEN_INT","."&amp;F$2&amp;F$1&amp;"C"&amp;$A41)*RTD("tos.rtd",,"GAMMA","."&amp;F$2&amp;F$1&amp;"C"&amp;$A41)+$A$4*$A$4*RTD("tos.rtd",,"OPEN_INT","."&amp;F$2&amp;F$1&amp;"P"&amp;$A41)*RTD("tos.rtd",,"GAMMA","."&amp;F$2&amp;F$1&amp;"P"&amp;$A41))/1000000,($A$4*$A$4*RTD("tos.rtd",,"OPEN_INT","."&amp;F$2&amp;F$1&amp;"C"&amp;$A41)*RTD("tos.rtd",,"GAMMA","."&amp;F$2&amp;F$1&amp;"C"&amp;$A41)-$A$4*$A$4*RTD("tos.rtd",,"OPEN_INT","."&amp;F$2&amp;F$1&amp;"P"&amp;$A41)*RTD("tos.rtd",,"GAMMA","."&amp;F$2&amp;F$1&amp;"P"&amp;$A41))/1000000),0),IF($A$2="SKEW",IFERROR(VALUE(IF(RTD("tos.rtd",,"IMPL_VOL","."&amp;F$2&amp;F$1&amp;"P"&amp;$A41)="N/A",0,RTD("tos.rtd",,"IMPL_VOL","."&amp;F$2&amp;F$1&amp;"P"&amp;$A41))),0)-IFERROR(VALUE(IF(RTD("tos.rtd",,"IMPL_VOL","."&amp;F$2&amp;F$1&amp;"C"&amp;$A41)="N/A",0,RTD("tos.rtd",,"IMPL_VOL","."&amp;F$2&amp;F$1&amp;"C"&amp;$A41))),0),IF($A$2="MAXPAIN",IF($A$4&gt;$A41,($A$4-$A41)*IF(RTD("tos.rtd",,"OPEN_INT","."&amp;F$2&amp;F$1&amp;"C"&amp;$A41)="N/A",0,RTD("tos.rtd",,"OPEN_INT","."&amp;F$2&amp;F$1&amp;"C"&amp;$A41)),0)+IF($A$4&lt;$A41,($A$5-$A$4)*IF(RTD("tos.rtd",,"OPEN_INT","."&amp;F$2&amp;F$1&amp;"P"&amp;$A41)="N/A",0,RTD("tos.rtd",,"OPEN_INT","."&amp;F$2&amp;F$1&amp;"P"&amp;$A41)),0),IF($X$1="ABS",IF(RTD("tos.rtd",,$A$2,"."&amp;F$2&amp;F$1&amp;"C"&amp;$A41)="N/A",0,RTD("tos.rtd",,$A$2,"."&amp;F$2&amp;F$1&amp;"C"&amp;$A41))+IF(RTD("tos.rtd",,$A$2,"."&amp;F$2&amp;F$1&amp;"P"&amp;$A41)="N/A",0,RTD("tos.rtd",,$A$2,"."&amp;F$2&amp;F$1&amp;"P"&amp;$A41)),IF(RTD("tos.rtd",,$A$2,"."&amp;F$2&amp;F$1&amp;"C"&amp;$A41)="N/A",0,RTD("tos.rtd",,$A$2,"."&amp;F$2&amp;F$1&amp;"C"&amp;$A41))-IF(RTD("tos.rtd",,$A$2,"."&amp;F$2&amp;F$1&amp;"P"&amp;$A41)="N/A",0,RTD("tos.rtd",,$A$2,"."&amp;F$2&amp;F$1&amp;"P"&amp;$A41))))))))))</f>
        <v>-160</v>
      </c>
      <c r="G41" s="57">
        <f ca="1">IF($A$2="PREMIUM_OI",IFERROR(IF($X$1="ABS",(100*RTD("tos.rtd",,"OPEN_INT","."&amp;G$2&amp;G$1&amp;"C"&amp;$A41)*RTD("tos.rtd",,"LAST","."&amp;G$2&amp;G$1&amp;"C"&amp;$A41)+100*RTD("tos.rtd",,"OPEN_INT","."&amp;G$2&amp;G$1&amp;"P"&amp;$A41)*RTD("tos.rtd",,"LAST","."&amp;G$2&amp;G$1&amp;"P"&amp;$A41))/1000000,(100*RTD("tos.rtd",,"OPEN_INT","."&amp;G$2&amp;G$1&amp;"C"&amp;$A41)*RTD("tos.rtd",,"LAST","."&amp;G$2&amp;G$1&amp;"C"&amp;$A41)-100*RTD("tos.rtd",,"OPEN_INT","."&amp;G$2&amp;G$1&amp;"P"&amp;$A41)*RTD("tos.rtd",,"LAST","."&amp;G$2&amp;G$1&amp;"P"&amp;$A41))/1000000),0),IF($A$2="PREMIUM",IFERROR(IF($X$1="ABS",(100*RTD("tos.rtd",,"VOLUME","."&amp;G$2&amp;G$1&amp;"C"&amp;$A41)*RTD("tos.rtd",,"LAST","."&amp;G$2&amp;G$1&amp;"C"&amp;$A41)+100*RTD("tos.rtd",,"VOLUME","."&amp;G$2&amp;G$1&amp;"P"&amp;$A41)*RTD("tos.rtd",,"LAST","."&amp;G$2&amp;G$1&amp;"P"&amp;$A41))/1000000,(100*RTD("tos.rtd",,"VOLUME","."&amp;G$2&amp;G$1&amp;"C"&amp;$A41)*RTD("tos.rtd",,"LAST","."&amp;G$2&amp;G$1&amp;"C"&amp;$A41)-100*RTD("tos.rtd",,"VOLUME","."&amp;G$2&amp;G$1&amp;"P"&amp;$A41)*RTD("tos.rtd",,"LAST","."&amp;G$2&amp;G$1&amp;"P"&amp;$A41))/1000000),0),IF($A$2="DEX",IFERROR(IF($X$1="ABS",(100*RTD("tos.rtd",,"OPEN_INT","."&amp;G$2&amp;G$1&amp;"C"&amp;$A41)*RTD("tos.rtd",,"DELTA","."&amp;G$2&amp;G$1&amp;"C"&amp;$A41)+100*RTD("tos.rtd",,"OPEN_INT","."&amp;G$2&amp;G$1&amp;"P"&amp;$A41)*RTD("tos.rtd",,"DELTA","."&amp;G$2&amp;G$1&amp;"P"&amp;$A41))/1000,(100*RTD("tos.rtd",,"OPEN_INT","."&amp;G$2&amp;G$1&amp;"C"&amp;$A41)*RTD("tos.rtd",,"DELTA","."&amp;G$2&amp;G$1&amp;"C"&amp;$A41)-100*RTD("tos.rtd",,"OPEN_INT","."&amp;G$2&amp;G$1&amp;"P"&amp;$A41)*RTD("tos.rtd",,"DELTA","."&amp;G$2&amp;G$1&amp;"P"&amp;$A41))/1000),0),IF($A$2="VEX",IFERROR(IF($X$1="ABS",($A$4*$A$4*RTD("tos.rtd",,"VOLUME","."&amp;G$2&amp;G$1&amp;"C"&amp;$A41)*RTD("tos.rtd",,"GAMMA","."&amp;G$2&amp;G$1&amp;"C"&amp;$A41)+$A$4*$A$4*RTD("tos.rtd",,"VOLUME","."&amp;G$2&amp;G$1&amp;"P"&amp;$A41)*RTD("tos.rtd",,"GAMMA","."&amp;G$2&amp;G$1&amp;"P"&amp;$A41))/1000000,($A$4*$A$4*RTD("tos.rtd",,"VOLUME","."&amp;G$2&amp;G$1&amp;"C"&amp;$A41)*RTD("tos.rtd",,"GAMMA","."&amp;G$2&amp;G$1&amp;"C"&amp;$A41)-$A$4*$A$4*RTD("tos.rtd",,"VOLUME","."&amp;G$2&amp;G$1&amp;"P"&amp;$A41)*RTD("tos.rtd",,"GAMMA","."&amp;G$2&amp;G$1&amp;"P"&amp;$A41))/1000000),0),IF($A$2="GEX",IFERROR(IF($X$1="ABS",($A$4*$A$4*RTD("tos.rtd",,"OPEN_INT","."&amp;G$2&amp;G$1&amp;"C"&amp;$A41)*RTD("tos.rtd",,"GAMMA","."&amp;G$2&amp;G$1&amp;"C"&amp;$A41)+$A$4*$A$4*RTD("tos.rtd",,"OPEN_INT","."&amp;G$2&amp;G$1&amp;"P"&amp;$A41)*RTD("tos.rtd",,"GAMMA","."&amp;G$2&amp;G$1&amp;"P"&amp;$A41))/1000000,($A$4*$A$4*RTD("tos.rtd",,"OPEN_INT","."&amp;G$2&amp;G$1&amp;"C"&amp;$A41)*RTD("tos.rtd",,"GAMMA","."&amp;G$2&amp;G$1&amp;"C"&amp;$A41)-$A$4*$A$4*RTD("tos.rtd",,"OPEN_INT","."&amp;G$2&amp;G$1&amp;"P"&amp;$A41)*RTD("tos.rtd",,"GAMMA","."&amp;G$2&amp;G$1&amp;"P"&amp;$A41))/1000000),0),IF($A$2="SKEW",IFERROR(VALUE(IF(RTD("tos.rtd",,"IMPL_VOL","."&amp;G$2&amp;G$1&amp;"P"&amp;$A41)="N/A",0,RTD("tos.rtd",,"IMPL_VOL","."&amp;G$2&amp;G$1&amp;"P"&amp;$A41))),0)-IFERROR(VALUE(IF(RTD("tos.rtd",,"IMPL_VOL","."&amp;G$2&amp;G$1&amp;"C"&amp;$A41)="N/A",0,RTD("tos.rtd",,"IMPL_VOL","."&amp;G$2&amp;G$1&amp;"C"&amp;$A41))),0),IF($A$2="MAXPAIN",IF($A$4&gt;$A41,($A$4-$A41)*IF(RTD("tos.rtd",,"OPEN_INT","."&amp;G$2&amp;G$1&amp;"C"&amp;$A41)="N/A",0,RTD("tos.rtd",,"OPEN_INT","."&amp;G$2&amp;G$1&amp;"C"&amp;$A41)),0)+IF($A$4&lt;$A41,($A$5-$A$4)*IF(RTD("tos.rtd",,"OPEN_INT","."&amp;G$2&amp;G$1&amp;"P"&amp;$A41)="N/A",0,RTD("tos.rtd",,"OPEN_INT","."&amp;G$2&amp;G$1&amp;"P"&amp;$A41)),0),IF($X$1="ABS",IF(RTD("tos.rtd",,$A$2,"."&amp;G$2&amp;G$1&amp;"C"&amp;$A41)="N/A",0,RTD("tos.rtd",,$A$2,"."&amp;G$2&amp;G$1&amp;"C"&amp;$A41))+IF(RTD("tos.rtd",,$A$2,"."&amp;G$2&amp;G$1&amp;"P"&amp;$A41)="N/A",0,RTD("tos.rtd",,$A$2,"."&amp;G$2&amp;G$1&amp;"P"&amp;$A41)),IF(RTD("tos.rtd",,$A$2,"."&amp;G$2&amp;G$1&amp;"C"&amp;$A41)="N/A",0,RTD("tos.rtd",,$A$2,"."&amp;G$2&amp;G$1&amp;"C"&amp;$A41))-IF(RTD("tos.rtd",,$A$2,"."&amp;G$2&amp;G$1&amp;"P"&amp;$A41)="N/A",0,RTD("tos.rtd",,$A$2,"."&amp;G$2&amp;G$1&amp;"P"&amp;$A41))))))))))</f>
        <v>-640</v>
      </c>
      <c r="H41" s="14">
        <f ca="1">IF($A$2="PREMIUM_OI",IFERROR(IF($X$1="ABS",(100*RTD("tos.rtd",,"OPEN_INT","."&amp;H$2&amp;H$1&amp;"C"&amp;$A41)*RTD("tos.rtd",,"LAST","."&amp;H$2&amp;H$1&amp;"C"&amp;$A41)+100*RTD("tos.rtd",,"OPEN_INT","."&amp;H$2&amp;H$1&amp;"P"&amp;$A41)*RTD("tos.rtd",,"LAST","."&amp;H$2&amp;H$1&amp;"P"&amp;$A41))/1000000,(100*RTD("tos.rtd",,"OPEN_INT","."&amp;H$2&amp;H$1&amp;"C"&amp;$A41)*RTD("tos.rtd",,"LAST","."&amp;H$2&amp;H$1&amp;"C"&amp;$A41)-100*RTD("tos.rtd",,"OPEN_INT","."&amp;H$2&amp;H$1&amp;"P"&amp;$A41)*RTD("tos.rtd",,"LAST","."&amp;H$2&amp;H$1&amp;"P"&amp;$A41))/1000000),0),IF($A$2="PREMIUM",IFERROR(IF($X$1="ABS",(100*RTD("tos.rtd",,"VOLUME","."&amp;H$2&amp;H$1&amp;"C"&amp;$A41)*RTD("tos.rtd",,"LAST","."&amp;H$2&amp;H$1&amp;"C"&amp;$A41)+100*RTD("tos.rtd",,"VOLUME","."&amp;H$2&amp;H$1&amp;"P"&amp;$A41)*RTD("tos.rtd",,"LAST","."&amp;H$2&amp;H$1&amp;"P"&amp;$A41))/1000000,(100*RTD("tos.rtd",,"VOLUME","."&amp;H$2&amp;H$1&amp;"C"&amp;$A41)*RTD("tos.rtd",,"LAST","."&amp;H$2&amp;H$1&amp;"C"&amp;$A41)-100*RTD("tos.rtd",,"VOLUME","."&amp;H$2&amp;H$1&amp;"P"&amp;$A41)*RTD("tos.rtd",,"LAST","."&amp;H$2&amp;H$1&amp;"P"&amp;$A41))/1000000),0),IF($A$2="DEX",IFERROR(IF($X$1="ABS",(100*RTD("tos.rtd",,"OPEN_INT","."&amp;H$2&amp;H$1&amp;"C"&amp;$A41)*RTD("tos.rtd",,"DELTA","."&amp;H$2&amp;H$1&amp;"C"&amp;$A41)+100*RTD("tos.rtd",,"OPEN_INT","."&amp;H$2&amp;H$1&amp;"P"&amp;$A41)*RTD("tos.rtd",,"DELTA","."&amp;H$2&amp;H$1&amp;"P"&amp;$A41))/1000,(100*RTD("tos.rtd",,"OPEN_INT","."&amp;H$2&amp;H$1&amp;"C"&amp;$A41)*RTD("tos.rtd",,"DELTA","."&amp;H$2&amp;H$1&amp;"C"&amp;$A41)-100*RTD("tos.rtd",,"OPEN_INT","."&amp;H$2&amp;H$1&amp;"P"&amp;$A41)*RTD("tos.rtd",,"DELTA","."&amp;H$2&amp;H$1&amp;"P"&amp;$A41))/1000),0),IF($A$2="VEX",IFERROR(IF($X$1="ABS",($A$4*$A$4*RTD("tos.rtd",,"VOLUME","."&amp;H$2&amp;H$1&amp;"C"&amp;$A41)*RTD("tos.rtd",,"GAMMA","."&amp;H$2&amp;H$1&amp;"C"&amp;$A41)+$A$4*$A$4*RTD("tos.rtd",,"VOLUME","."&amp;H$2&amp;H$1&amp;"P"&amp;$A41)*RTD("tos.rtd",,"GAMMA","."&amp;H$2&amp;H$1&amp;"P"&amp;$A41))/1000000,($A$4*$A$4*RTD("tos.rtd",,"VOLUME","."&amp;H$2&amp;H$1&amp;"C"&amp;$A41)*RTD("tos.rtd",,"GAMMA","."&amp;H$2&amp;H$1&amp;"C"&amp;$A41)-$A$4*$A$4*RTD("tos.rtd",,"VOLUME","."&amp;H$2&amp;H$1&amp;"P"&amp;$A41)*RTD("tos.rtd",,"GAMMA","."&amp;H$2&amp;H$1&amp;"P"&amp;$A41))/1000000),0),IF($A$2="GEX",IFERROR(IF($X$1="ABS",($A$4*$A$4*RTD("tos.rtd",,"OPEN_INT","."&amp;H$2&amp;H$1&amp;"C"&amp;$A41)*RTD("tos.rtd",,"GAMMA","."&amp;H$2&amp;H$1&amp;"C"&amp;$A41)+$A$4*$A$4*RTD("tos.rtd",,"OPEN_INT","."&amp;H$2&amp;H$1&amp;"P"&amp;$A41)*RTD("tos.rtd",,"GAMMA","."&amp;H$2&amp;H$1&amp;"P"&amp;$A41))/1000000,($A$4*$A$4*RTD("tos.rtd",,"OPEN_INT","."&amp;H$2&amp;H$1&amp;"C"&amp;$A41)*RTD("tos.rtd",,"GAMMA","."&amp;H$2&amp;H$1&amp;"C"&amp;$A41)-$A$4*$A$4*RTD("tos.rtd",,"OPEN_INT","."&amp;H$2&amp;H$1&amp;"P"&amp;$A41)*RTD("tos.rtd",,"GAMMA","."&amp;H$2&amp;H$1&amp;"P"&amp;$A41))/1000000),0),IF($A$2="SKEW",IFERROR(VALUE(IF(RTD("tos.rtd",,"IMPL_VOL","."&amp;H$2&amp;H$1&amp;"P"&amp;$A41)="N/A",0,RTD("tos.rtd",,"IMPL_VOL","."&amp;H$2&amp;H$1&amp;"P"&amp;$A41))),0)-IFERROR(VALUE(IF(RTD("tos.rtd",,"IMPL_VOL","."&amp;H$2&amp;H$1&amp;"C"&amp;$A41)="N/A",0,RTD("tos.rtd",,"IMPL_VOL","."&amp;H$2&amp;H$1&amp;"C"&amp;$A41))),0),IF($A$2="MAXPAIN",IF($A$4&gt;$A41,($A$4-$A41)*IF(RTD("tos.rtd",,"OPEN_INT","."&amp;H$2&amp;H$1&amp;"C"&amp;$A41)="N/A",0,RTD("tos.rtd",,"OPEN_INT","."&amp;H$2&amp;H$1&amp;"C"&amp;$A41)),0)+IF($A$4&lt;$A41,($A$5-$A$4)*IF(RTD("tos.rtd",,"OPEN_INT","."&amp;H$2&amp;H$1&amp;"P"&amp;$A41)="N/A",0,RTD("tos.rtd",,"OPEN_INT","."&amp;H$2&amp;H$1&amp;"P"&amp;$A41)),0),IF($X$1="ABS",IF(RTD("tos.rtd",,$A$2,"."&amp;H$2&amp;H$1&amp;"C"&amp;$A41)="N/A",0,RTD("tos.rtd",,$A$2,"."&amp;H$2&amp;H$1&amp;"C"&amp;$A41))+IF(RTD("tos.rtd",,$A$2,"."&amp;H$2&amp;H$1&amp;"P"&amp;$A41)="N/A",0,RTD("tos.rtd",,$A$2,"."&amp;H$2&amp;H$1&amp;"P"&amp;$A41)),IF(RTD("tos.rtd",,$A$2,"."&amp;H$2&amp;H$1&amp;"C"&amp;$A41)="N/A",0,RTD("tos.rtd",,$A$2,"."&amp;H$2&amp;H$1&amp;"C"&amp;$A41))-IF(RTD("tos.rtd",,$A$2,"."&amp;H$2&amp;H$1&amp;"P"&amp;$A41)="N/A",0,RTD("tos.rtd",,$A$2,"."&amp;H$2&amp;H$1&amp;"P"&amp;$A41))))))))))</f>
        <v>0</v>
      </c>
      <c r="I41" s="12">
        <f ca="1">IF($A$2="PREMIUM_OI",IFERROR(IF($X$1="ABS",(100*RTD("tos.rtd",,"OPEN_INT","."&amp;I$2&amp;I$1&amp;"C"&amp;$A41)*RTD("tos.rtd",,"LAST","."&amp;I$2&amp;I$1&amp;"C"&amp;$A41)+100*RTD("tos.rtd",,"OPEN_INT","."&amp;I$2&amp;I$1&amp;"P"&amp;$A41)*RTD("tos.rtd",,"LAST","."&amp;I$2&amp;I$1&amp;"P"&amp;$A41))/1000000,(100*RTD("tos.rtd",,"OPEN_INT","."&amp;I$2&amp;I$1&amp;"C"&amp;$A41)*RTD("tos.rtd",,"LAST","."&amp;I$2&amp;I$1&amp;"C"&amp;$A41)-100*RTD("tos.rtd",,"OPEN_INT","."&amp;I$2&amp;I$1&amp;"P"&amp;$A41)*RTD("tos.rtd",,"LAST","."&amp;I$2&amp;I$1&amp;"P"&amp;$A41))/1000000),0),IF($A$2="PREMIUM",IFERROR(IF($X$1="ABS",(100*RTD("tos.rtd",,"VOLUME","."&amp;I$2&amp;I$1&amp;"C"&amp;$A41)*RTD("tos.rtd",,"LAST","."&amp;I$2&amp;I$1&amp;"C"&amp;$A41)+100*RTD("tos.rtd",,"VOLUME","."&amp;I$2&amp;I$1&amp;"P"&amp;$A41)*RTD("tos.rtd",,"LAST","."&amp;I$2&amp;I$1&amp;"P"&amp;$A41))/1000000,(100*RTD("tos.rtd",,"VOLUME","."&amp;I$2&amp;I$1&amp;"C"&amp;$A41)*RTD("tos.rtd",,"LAST","."&amp;I$2&amp;I$1&amp;"C"&amp;$A41)-100*RTD("tos.rtd",,"VOLUME","."&amp;I$2&amp;I$1&amp;"P"&amp;$A41)*RTD("tos.rtd",,"LAST","."&amp;I$2&amp;I$1&amp;"P"&amp;$A41))/1000000),0),IF($A$2="DEX",IFERROR(IF($X$1="ABS",(100*RTD("tos.rtd",,"OPEN_INT","."&amp;I$2&amp;I$1&amp;"C"&amp;$A41)*RTD("tos.rtd",,"DELTA","."&amp;I$2&amp;I$1&amp;"C"&amp;$A41)+100*RTD("tos.rtd",,"OPEN_INT","."&amp;I$2&amp;I$1&amp;"P"&amp;$A41)*RTD("tos.rtd",,"DELTA","."&amp;I$2&amp;I$1&amp;"P"&amp;$A41))/1000,(100*RTD("tos.rtd",,"OPEN_INT","."&amp;I$2&amp;I$1&amp;"C"&amp;$A41)*RTD("tos.rtd",,"DELTA","."&amp;I$2&amp;I$1&amp;"C"&amp;$A41)-100*RTD("tos.rtd",,"OPEN_INT","."&amp;I$2&amp;I$1&amp;"P"&amp;$A41)*RTD("tos.rtd",,"DELTA","."&amp;I$2&amp;I$1&amp;"P"&amp;$A41))/1000),0),IF($A$2="VEX",IFERROR(IF($X$1="ABS",($A$4*$A$4*RTD("tos.rtd",,"VOLUME","."&amp;I$2&amp;I$1&amp;"C"&amp;$A41)*RTD("tos.rtd",,"GAMMA","."&amp;I$2&amp;I$1&amp;"C"&amp;$A41)+$A$4*$A$4*RTD("tos.rtd",,"VOLUME","."&amp;I$2&amp;I$1&amp;"P"&amp;$A41)*RTD("tos.rtd",,"GAMMA","."&amp;I$2&amp;I$1&amp;"P"&amp;$A41))/1000000,($A$4*$A$4*RTD("tos.rtd",,"VOLUME","."&amp;I$2&amp;I$1&amp;"C"&amp;$A41)*RTD("tos.rtd",,"GAMMA","."&amp;I$2&amp;I$1&amp;"C"&amp;$A41)-$A$4*$A$4*RTD("tos.rtd",,"VOLUME","."&amp;I$2&amp;I$1&amp;"P"&amp;$A41)*RTD("tos.rtd",,"GAMMA","."&amp;I$2&amp;I$1&amp;"P"&amp;$A41))/1000000),0),IF($A$2="GEX",IFERROR(IF($X$1="ABS",($A$4*$A$4*RTD("tos.rtd",,"OPEN_INT","."&amp;I$2&amp;I$1&amp;"C"&amp;$A41)*RTD("tos.rtd",,"GAMMA","."&amp;I$2&amp;I$1&amp;"C"&amp;$A41)+$A$4*$A$4*RTD("tos.rtd",,"OPEN_INT","."&amp;I$2&amp;I$1&amp;"P"&amp;$A41)*RTD("tos.rtd",,"GAMMA","."&amp;I$2&amp;I$1&amp;"P"&amp;$A41))/1000000,($A$4*$A$4*RTD("tos.rtd",,"OPEN_INT","."&amp;I$2&amp;I$1&amp;"C"&amp;$A41)*RTD("tos.rtd",,"GAMMA","."&amp;I$2&amp;I$1&amp;"C"&amp;$A41)-$A$4*$A$4*RTD("tos.rtd",,"OPEN_INT","."&amp;I$2&amp;I$1&amp;"P"&amp;$A41)*RTD("tos.rtd",,"GAMMA","."&amp;I$2&amp;I$1&amp;"P"&amp;$A41))/1000000),0),IF($A$2="SKEW",IFERROR(VALUE(IF(RTD("tos.rtd",,"IMPL_VOL","."&amp;I$2&amp;I$1&amp;"P"&amp;$A41)="N/A",0,RTD("tos.rtd",,"IMPL_VOL","."&amp;I$2&amp;I$1&amp;"P"&amp;$A41))),0)-IFERROR(VALUE(IF(RTD("tos.rtd",,"IMPL_VOL","."&amp;I$2&amp;I$1&amp;"C"&amp;$A41)="N/A",0,RTD("tos.rtd",,"IMPL_VOL","."&amp;I$2&amp;I$1&amp;"C"&amp;$A41))),0),IF($A$2="MAXPAIN",IF($A$4&gt;$A41,($A$4-$A41)*IF(RTD("tos.rtd",,"OPEN_INT","."&amp;I$2&amp;I$1&amp;"C"&amp;$A41)="N/A",0,RTD("tos.rtd",,"OPEN_INT","."&amp;I$2&amp;I$1&amp;"C"&amp;$A41)),0)+IF($A$4&lt;$A41,($A$5-$A$4)*IF(RTD("tos.rtd",,"OPEN_INT","."&amp;I$2&amp;I$1&amp;"P"&amp;$A41)="N/A",0,RTD("tos.rtd",,"OPEN_INT","."&amp;I$2&amp;I$1&amp;"P"&amp;$A41)),0),IF($X$1="ABS",IF(RTD("tos.rtd",,$A$2,"."&amp;I$2&amp;I$1&amp;"C"&amp;$A41)="N/A",0,RTD("tos.rtd",,$A$2,"."&amp;I$2&amp;I$1&amp;"C"&amp;$A41))+IF(RTD("tos.rtd",,$A$2,"."&amp;I$2&amp;I$1&amp;"P"&amp;$A41)="N/A",0,RTD("tos.rtd",,$A$2,"."&amp;I$2&amp;I$1&amp;"P"&amp;$A41)),IF(RTD("tos.rtd",,$A$2,"."&amp;I$2&amp;I$1&amp;"C"&amp;$A41)="N/A",0,RTD("tos.rtd",,$A$2,"."&amp;I$2&amp;I$1&amp;"C"&amp;$A41))-IF(RTD("tos.rtd",,$A$2,"."&amp;I$2&amp;I$1&amp;"P"&amp;$A41)="N/A",0,RTD("tos.rtd",,$A$2,"."&amp;I$2&amp;I$1&amp;"P"&amp;$A41))))))))))</f>
        <v>2</v>
      </c>
      <c r="J41" s="12">
        <f ca="1">IF($A$2="PREMIUM_OI",IFERROR(IF($X$1="ABS",(100*RTD("tos.rtd",,"OPEN_INT","."&amp;J$2&amp;J$1&amp;"C"&amp;$A41)*RTD("tos.rtd",,"LAST","."&amp;J$2&amp;J$1&amp;"C"&amp;$A41)+100*RTD("tos.rtd",,"OPEN_INT","."&amp;J$2&amp;J$1&amp;"P"&amp;$A41)*RTD("tos.rtd",,"LAST","."&amp;J$2&amp;J$1&amp;"P"&amp;$A41))/1000000,(100*RTD("tos.rtd",,"OPEN_INT","."&amp;J$2&amp;J$1&amp;"C"&amp;$A41)*RTD("tos.rtd",,"LAST","."&amp;J$2&amp;J$1&amp;"C"&amp;$A41)-100*RTD("tos.rtd",,"OPEN_INT","."&amp;J$2&amp;J$1&amp;"P"&amp;$A41)*RTD("tos.rtd",,"LAST","."&amp;J$2&amp;J$1&amp;"P"&amp;$A41))/1000000),0),IF($A$2="PREMIUM",IFERROR(IF($X$1="ABS",(100*RTD("tos.rtd",,"VOLUME","."&amp;J$2&amp;J$1&amp;"C"&amp;$A41)*RTD("tos.rtd",,"LAST","."&amp;J$2&amp;J$1&amp;"C"&amp;$A41)+100*RTD("tos.rtd",,"VOLUME","."&amp;J$2&amp;J$1&amp;"P"&amp;$A41)*RTD("tos.rtd",,"LAST","."&amp;J$2&amp;J$1&amp;"P"&amp;$A41))/1000000,(100*RTD("tos.rtd",,"VOLUME","."&amp;J$2&amp;J$1&amp;"C"&amp;$A41)*RTD("tos.rtd",,"LAST","."&amp;J$2&amp;J$1&amp;"C"&amp;$A41)-100*RTD("tos.rtd",,"VOLUME","."&amp;J$2&amp;J$1&amp;"P"&amp;$A41)*RTD("tos.rtd",,"LAST","."&amp;J$2&amp;J$1&amp;"P"&amp;$A41))/1000000),0),IF($A$2="DEX",IFERROR(IF($X$1="ABS",(100*RTD("tos.rtd",,"OPEN_INT","."&amp;J$2&amp;J$1&amp;"C"&amp;$A41)*RTD("tos.rtd",,"DELTA","."&amp;J$2&amp;J$1&amp;"C"&amp;$A41)+100*RTD("tos.rtd",,"OPEN_INT","."&amp;J$2&amp;J$1&amp;"P"&amp;$A41)*RTD("tos.rtd",,"DELTA","."&amp;J$2&amp;J$1&amp;"P"&amp;$A41))/1000,(100*RTD("tos.rtd",,"OPEN_INT","."&amp;J$2&amp;J$1&amp;"C"&amp;$A41)*RTD("tos.rtd",,"DELTA","."&amp;J$2&amp;J$1&amp;"C"&amp;$A41)-100*RTD("tos.rtd",,"OPEN_INT","."&amp;J$2&amp;J$1&amp;"P"&amp;$A41)*RTD("tos.rtd",,"DELTA","."&amp;J$2&amp;J$1&amp;"P"&amp;$A41))/1000),0),IF($A$2="VEX",IFERROR(IF($X$1="ABS",($A$4*$A$4*RTD("tos.rtd",,"VOLUME","."&amp;J$2&amp;J$1&amp;"C"&amp;$A41)*RTD("tos.rtd",,"GAMMA","."&amp;J$2&amp;J$1&amp;"C"&amp;$A41)+$A$4*$A$4*RTD("tos.rtd",,"VOLUME","."&amp;J$2&amp;J$1&amp;"P"&amp;$A41)*RTD("tos.rtd",,"GAMMA","."&amp;J$2&amp;J$1&amp;"P"&amp;$A41))/1000000,($A$4*$A$4*RTD("tos.rtd",,"VOLUME","."&amp;J$2&amp;J$1&amp;"C"&amp;$A41)*RTD("tos.rtd",,"GAMMA","."&amp;J$2&amp;J$1&amp;"C"&amp;$A41)-$A$4*$A$4*RTD("tos.rtd",,"VOLUME","."&amp;J$2&amp;J$1&amp;"P"&amp;$A41)*RTD("tos.rtd",,"GAMMA","."&amp;J$2&amp;J$1&amp;"P"&amp;$A41))/1000000),0),IF($A$2="GEX",IFERROR(IF($X$1="ABS",($A$4*$A$4*RTD("tos.rtd",,"OPEN_INT","."&amp;J$2&amp;J$1&amp;"C"&amp;$A41)*RTD("tos.rtd",,"GAMMA","."&amp;J$2&amp;J$1&amp;"C"&amp;$A41)+$A$4*$A$4*RTD("tos.rtd",,"OPEN_INT","."&amp;J$2&amp;J$1&amp;"P"&amp;$A41)*RTD("tos.rtd",,"GAMMA","."&amp;J$2&amp;J$1&amp;"P"&amp;$A41))/1000000,($A$4*$A$4*RTD("tos.rtd",,"OPEN_INT","."&amp;J$2&amp;J$1&amp;"C"&amp;$A41)*RTD("tos.rtd",,"GAMMA","."&amp;J$2&amp;J$1&amp;"C"&amp;$A41)-$A$4*$A$4*RTD("tos.rtd",,"OPEN_INT","."&amp;J$2&amp;J$1&amp;"P"&amp;$A41)*RTD("tos.rtd",,"GAMMA","."&amp;J$2&amp;J$1&amp;"P"&amp;$A41))/1000000),0),IF($A$2="SKEW",IFERROR(VALUE(IF(RTD("tos.rtd",,"IMPL_VOL","."&amp;J$2&amp;J$1&amp;"P"&amp;$A41)="N/A",0,RTD("tos.rtd",,"IMPL_VOL","."&amp;J$2&amp;J$1&amp;"P"&amp;$A41))),0)-IFERROR(VALUE(IF(RTD("tos.rtd",,"IMPL_VOL","."&amp;J$2&amp;J$1&amp;"C"&amp;$A41)="N/A",0,RTD("tos.rtd",,"IMPL_VOL","."&amp;J$2&amp;J$1&amp;"C"&amp;$A41))),0),IF($A$2="MAXPAIN",IF($A$4&gt;$A41,($A$4-$A41)*IF(RTD("tos.rtd",,"OPEN_INT","."&amp;J$2&amp;J$1&amp;"C"&amp;$A41)="N/A",0,RTD("tos.rtd",,"OPEN_INT","."&amp;J$2&amp;J$1&amp;"C"&amp;$A41)),0)+IF($A$4&lt;$A41,($A$5-$A$4)*IF(RTD("tos.rtd",,"OPEN_INT","."&amp;J$2&amp;J$1&amp;"P"&amp;$A41)="N/A",0,RTD("tos.rtd",,"OPEN_INT","."&amp;J$2&amp;J$1&amp;"P"&amp;$A41)),0),IF($X$1="ABS",IF(RTD("tos.rtd",,$A$2,"."&amp;J$2&amp;J$1&amp;"C"&amp;$A41)="N/A",0,RTD("tos.rtd",,$A$2,"."&amp;J$2&amp;J$1&amp;"C"&amp;$A41))+IF(RTD("tos.rtd",,$A$2,"."&amp;J$2&amp;J$1&amp;"P"&amp;$A41)="N/A",0,RTD("tos.rtd",,$A$2,"."&amp;J$2&amp;J$1&amp;"P"&amp;$A41)),IF(RTD("tos.rtd",,$A$2,"."&amp;J$2&amp;J$1&amp;"C"&amp;$A41)="N/A",0,RTD("tos.rtd",,$A$2,"."&amp;J$2&amp;J$1&amp;"C"&amp;$A41))-IF(RTD("tos.rtd",,$A$2,"."&amp;J$2&amp;J$1&amp;"P"&amp;$A41)="N/A",0,RTD("tos.rtd",,$A$2,"."&amp;J$2&amp;J$1&amp;"P"&amp;$A41))))))))))</f>
        <v>0</v>
      </c>
      <c r="K41" s="12">
        <f ca="1">IF($A$2="PREMIUM_OI",IFERROR(IF($X$1="ABS",(100*RTD("tos.rtd",,"OPEN_INT","."&amp;K$2&amp;K$1&amp;"C"&amp;$A41)*RTD("tos.rtd",,"LAST","."&amp;K$2&amp;K$1&amp;"C"&amp;$A41)+100*RTD("tos.rtd",,"OPEN_INT","."&amp;K$2&amp;K$1&amp;"P"&amp;$A41)*RTD("tos.rtd",,"LAST","."&amp;K$2&amp;K$1&amp;"P"&amp;$A41))/1000000,(100*RTD("tos.rtd",,"OPEN_INT","."&amp;K$2&amp;K$1&amp;"C"&amp;$A41)*RTD("tos.rtd",,"LAST","."&amp;K$2&amp;K$1&amp;"C"&amp;$A41)-100*RTD("tos.rtd",,"OPEN_INT","."&amp;K$2&amp;K$1&amp;"P"&amp;$A41)*RTD("tos.rtd",,"LAST","."&amp;K$2&amp;K$1&amp;"P"&amp;$A41))/1000000),0),IF($A$2="PREMIUM",IFERROR(IF($X$1="ABS",(100*RTD("tos.rtd",,"VOLUME","."&amp;K$2&amp;K$1&amp;"C"&amp;$A41)*RTD("tos.rtd",,"LAST","."&amp;K$2&amp;K$1&amp;"C"&amp;$A41)+100*RTD("tos.rtd",,"VOLUME","."&amp;K$2&amp;K$1&amp;"P"&amp;$A41)*RTD("tos.rtd",,"LAST","."&amp;K$2&amp;K$1&amp;"P"&amp;$A41))/1000000,(100*RTD("tos.rtd",,"VOLUME","."&amp;K$2&amp;K$1&amp;"C"&amp;$A41)*RTD("tos.rtd",,"LAST","."&amp;K$2&amp;K$1&amp;"C"&amp;$A41)-100*RTD("tos.rtd",,"VOLUME","."&amp;K$2&amp;K$1&amp;"P"&amp;$A41)*RTD("tos.rtd",,"LAST","."&amp;K$2&amp;K$1&amp;"P"&amp;$A41))/1000000),0),IF($A$2="DEX",IFERROR(IF($X$1="ABS",(100*RTD("tos.rtd",,"OPEN_INT","."&amp;K$2&amp;K$1&amp;"C"&amp;$A41)*RTD("tos.rtd",,"DELTA","."&amp;K$2&amp;K$1&amp;"C"&amp;$A41)+100*RTD("tos.rtd",,"OPEN_INT","."&amp;K$2&amp;K$1&amp;"P"&amp;$A41)*RTD("tos.rtd",,"DELTA","."&amp;K$2&amp;K$1&amp;"P"&amp;$A41))/1000,(100*RTD("tos.rtd",,"OPEN_INT","."&amp;K$2&amp;K$1&amp;"C"&amp;$A41)*RTD("tos.rtd",,"DELTA","."&amp;K$2&amp;K$1&amp;"C"&amp;$A41)-100*RTD("tos.rtd",,"OPEN_INT","."&amp;K$2&amp;K$1&amp;"P"&amp;$A41)*RTD("tos.rtd",,"DELTA","."&amp;K$2&amp;K$1&amp;"P"&amp;$A41))/1000),0),IF($A$2="VEX",IFERROR(IF($X$1="ABS",($A$4*$A$4*RTD("tos.rtd",,"VOLUME","."&amp;K$2&amp;K$1&amp;"C"&amp;$A41)*RTD("tos.rtd",,"GAMMA","."&amp;K$2&amp;K$1&amp;"C"&amp;$A41)+$A$4*$A$4*RTD("tos.rtd",,"VOLUME","."&amp;K$2&amp;K$1&amp;"P"&amp;$A41)*RTD("tos.rtd",,"GAMMA","."&amp;K$2&amp;K$1&amp;"P"&amp;$A41))/1000000,($A$4*$A$4*RTD("tos.rtd",,"VOLUME","."&amp;K$2&amp;K$1&amp;"C"&amp;$A41)*RTD("tos.rtd",,"GAMMA","."&amp;K$2&amp;K$1&amp;"C"&amp;$A41)-$A$4*$A$4*RTD("tos.rtd",,"VOLUME","."&amp;K$2&amp;K$1&amp;"P"&amp;$A41)*RTD("tos.rtd",,"GAMMA","."&amp;K$2&amp;K$1&amp;"P"&amp;$A41))/1000000),0),IF($A$2="GEX",IFERROR(IF($X$1="ABS",($A$4*$A$4*RTD("tos.rtd",,"OPEN_INT","."&amp;K$2&amp;K$1&amp;"C"&amp;$A41)*RTD("tos.rtd",,"GAMMA","."&amp;K$2&amp;K$1&amp;"C"&amp;$A41)+$A$4*$A$4*RTD("tos.rtd",,"OPEN_INT","."&amp;K$2&amp;K$1&amp;"P"&amp;$A41)*RTD("tos.rtd",,"GAMMA","."&amp;K$2&amp;K$1&amp;"P"&amp;$A41))/1000000,($A$4*$A$4*RTD("tos.rtd",,"OPEN_INT","."&amp;K$2&amp;K$1&amp;"C"&amp;$A41)*RTD("tos.rtd",,"GAMMA","."&amp;K$2&amp;K$1&amp;"C"&amp;$A41)-$A$4*$A$4*RTD("tos.rtd",,"OPEN_INT","."&amp;K$2&amp;K$1&amp;"P"&amp;$A41)*RTD("tos.rtd",,"GAMMA","."&amp;K$2&amp;K$1&amp;"P"&amp;$A41))/1000000),0),IF($A$2="SKEW",IFERROR(VALUE(IF(RTD("tos.rtd",,"IMPL_VOL","."&amp;K$2&amp;K$1&amp;"P"&amp;$A41)="N/A",0,RTD("tos.rtd",,"IMPL_VOL","."&amp;K$2&amp;K$1&amp;"P"&amp;$A41))),0)-IFERROR(VALUE(IF(RTD("tos.rtd",,"IMPL_VOL","."&amp;K$2&amp;K$1&amp;"C"&amp;$A41)="N/A",0,RTD("tos.rtd",,"IMPL_VOL","."&amp;K$2&amp;K$1&amp;"C"&amp;$A41))),0),IF($A$2="MAXPAIN",IF($A$4&gt;$A41,($A$4-$A41)*IF(RTD("tos.rtd",,"OPEN_INT","."&amp;K$2&amp;K$1&amp;"C"&amp;$A41)="N/A",0,RTD("tos.rtd",,"OPEN_INT","."&amp;K$2&amp;K$1&amp;"C"&amp;$A41)),0)+IF($A$4&lt;$A41,($A$5-$A$4)*IF(RTD("tos.rtd",,"OPEN_INT","."&amp;K$2&amp;K$1&amp;"P"&amp;$A41)="N/A",0,RTD("tos.rtd",,"OPEN_INT","."&amp;K$2&amp;K$1&amp;"P"&amp;$A41)),0),IF($X$1="ABS",IF(RTD("tos.rtd",,$A$2,"."&amp;K$2&amp;K$1&amp;"C"&amp;$A41)="N/A",0,RTD("tos.rtd",,$A$2,"."&amp;K$2&amp;K$1&amp;"C"&amp;$A41))+IF(RTD("tos.rtd",,$A$2,"."&amp;K$2&amp;K$1&amp;"P"&amp;$A41)="N/A",0,RTD("tos.rtd",,$A$2,"."&amp;K$2&amp;K$1&amp;"P"&amp;$A41)),IF(RTD("tos.rtd",,$A$2,"."&amp;K$2&amp;K$1&amp;"C"&amp;$A41)="N/A",0,RTD("tos.rtd",,$A$2,"."&amp;K$2&amp;K$1&amp;"C"&amp;$A41))-IF(RTD("tos.rtd",,$A$2,"."&amp;K$2&amp;K$1&amp;"P"&amp;$A41)="N/A",0,RTD("tos.rtd",,$A$2,"."&amp;K$2&amp;K$1&amp;"P"&amp;$A41))))))))))</f>
        <v>0</v>
      </c>
      <c r="L41" s="54">
        <f ca="1">IF($A$2="PREMIUM_OI",IFERROR(IF($X$1="ABS",(100*RTD("tos.rtd",,"OPEN_INT","."&amp;L$2&amp;L$1&amp;"C"&amp;$A41)*RTD("tos.rtd",,"LAST","."&amp;L$2&amp;L$1&amp;"C"&amp;$A41)+100*RTD("tos.rtd",,"OPEN_INT","."&amp;L$2&amp;L$1&amp;"P"&amp;$A41)*RTD("tos.rtd",,"LAST","."&amp;L$2&amp;L$1&amp;"P"&amp;$A41))/1000000,(100*RTD("tos.rtd",,"OPEN_INT","."&amp;L$2&amp;L$1&amp;"C"&amp;$A41)*RTD("tos.rtd",,"LAST","."&amp;L$2&amp;L$1&amp;"C"&amp;$A41)-100*RTD("tos.rtd",,"OPEN_INT","."&amp;L$2&amp;L$1&amp;"P"&amp;$A41)*RTD("tos.rtd",,"LAST","."&amp;L$2&amp;L$1&amp;"P"&amp;$A41))/1000000),0),IF($A$2="PREMIUM",IFERROR(IF($X$1="ABS",(100*RTD("tos.rtd",,"VOLUME","."&amp;L$2&amp;L$1&amp;"C"&amp;$A41)*RTD("tos.rtd",,"LAST","."&amp;L$2&amp;L$1&amp;"C"&amp;$A41)+100*RTD("tos.rtd",,"VOLUME","."&amp;L$2&amp;L$1&amp;"P"&amp;$A41)*RTD("tos.rtd",,"LAST","."&amp;L$2&amp;L$1&amp;"P"&amp;$A41))/1000000,(100*RTD("tos.rtd",,"VOLUME","."&amp;L$2&amp;L$1&amp;"C"&amp;$A41)*RTD("tos.rtd",,"LAST","."&amp;L$2&amp;L$1&amp;"C"&amp;$A41)-100*RTD("tos.rtd",,"VOLUME","."&amp;L$2&amp;L$1&amp;"P"&amp;$A41)*RTD("tos.rtd",,"LAST","."&amp;L$2&amp;L$1&amp;"P"&amp;$A41))/1000000),0),IF($A$2="DEX",IFERROR(IF($X$1="ABS",(100*RTD("tos.rtd",,"OPEN_INT","."&amp;L$2&amp;L$1&amp;"C"&amp;$A41)*RTD("tos.rtd",,"DELTA","."&amp;L$2&amp;L$1&amp;"C"&amp;$A41)+100*RTD("tos.rtd",,"OPEN_INT","."&amp;L$2&amp;L$1&amp;"P"&amp;$A41)*RTD("tos.rtd",,"DELTA","."&amp;L$2&amp;L$1&amp;"P"&amp;$A41))/1000,(100*RTD("tos.rtd",,"OPEN_INT","."&amp;L$2&amp;L$1&amp;"C"&amp;$A41)*RTD("tos.rtd",,"DELTA","."&amp;L$2&amp;L$1&amp;"C"&amp;$A41)-100*RTD("tos.rtd",,"OPEN_INT","."&amp;L$2&amp;L$1&amp;"P"&amp;$A41)*RTD("tos.rtd",,"DELTA","."&amp;L$2&amp;L$1&amp;"P"&amp;$A41))/1000),0),IF($A$2="VEX",IFERROR(IF($X$1="ABS",($A$4*$A$4*RTD("tos.rtd",,"VOLUME","."&amp;L$2&amp;L$1&amp;"C"&amp;$A41)*RTD("tos.rtd",,"GAMMA","."&amp;L$2&amp;L$1&amp;"C"&amp;$A41)+$A$4*$A$4*RTD("tos.rtd",,"VOLUME","."&amp;L$2&amp;L$1&amp;"P"&amp;$A41)*RTD("tos.rtd",,"GAMMA","."&amp;L$2&amp;L$1&amp;"P"&amp;$A41))/1000000,($A$4*$A$4*RTD("tos.rtd",,"VOLUME","."&amp;L$2&amp;L$1&amp;"C"&amp;$A41)*RTD("tos.rtd",,"GAMMA","."&amp;L$2&amp;L$1&amp;"C"&amp;$A41)-$A$4*$A$4*RTD("tos.rtd",,"VOLUME","."&amp;L$2&amp;L$1&amp;"P"&amp;$A41)*RTD("tos.rtd",,"GAMMA","."&amp;L$2&amp;L$1&amp;"P"&amp;$A41))/1000000),0),IF($A$2="GEX",IFERROR(IF($X$1="ABS",($A$4*$A$4*RTD("tos.rtd",,"OPEN_INT","."&amp;L$2&amp;L$1&amp;"C"&amp;$A41)*RTD("tos.rtd",,"GAMMA","."&amp;L$2&amp;L$1&amp;"C"&amp;$A41)+$A$4*$A$4*RTD("tos.rtd",,"OPEN_INT","."&amp;L$2&amp;L$1&amp;"P"&amp;$A41)*RTD("tos.rtd",,"GAMMA","."&amp;L$2&amp;L$1&amp;"P"&amp;$A41))/1000000,($A$4*$A$4*RTD("tos.rtd",,"OPEN_INT","."&amp;L$2&amp;L$1&amp;"C"&amp;$A41)*RTD("tos.rtd",,"GAMMA","."&amp;L$2&amp;L$1&amp;"C"&amp;$A41)-$A$4*$A$4*RTD("tos.rtd",,"OPEN_INT","."&amp;L$2&amp;L$1&amp;"P"&amp;$A41)*RTD("tos.rtd",,"GAMMA","."&amp;L$2&amp;L$1&amp;"P"&amp;$A41))/1000000),0),IF($A$2="SKEW",IFERROR(VALUE(IF(RTD("tos.rtd",,"IMPL_VOL","."&amp;L$2&amp;L$1&amp;"P"&amp;$A41)="N/A",0,RTD("tos.rtd",,"IMPL_VOL","."&amp;L$2&amp;L$1&amp;"P"&amp;$A41))),0)-IFERROR(VALUE(IF(RTD("tos.rtd",,"IMPL_VOL","."&amp;L$2&amp;L$1&amp;"C"&amp;$A41)="N/A",0,RTD("tos.rtd",,"IMPL_VOL","."&amp;L$2&amp;L$1&amp;"C"&amp;$A41))),0),IF($A$2="MAXPAIN",IF($A$4&gt;$A41,($A$4-$A41)*IF(RTD("tos.rtd",,"OPEN_INT","."&amp;L$2&amp;L$1&amp;"C"&amp;$A41)="N/A",0,RTD("tos.rtd",,"OPEN_INT","."&amp;L$2&amp;L$1&amp;"C"&amp;$A41)),0)+IF($A$4&lt;$A41,($A$5-$A$4)*IF(RTD("tos.rtd",,"OPEN_INT","."&amp;L$2&amp;L$1&amp;"P"&amp;$A41)="N/A",0,RTD("tos.rtd",,"OPEN_INT","."&amp;L$2&amp;L$1&amp;"P"&amp;$A41)),0),IF($X$1="ABS",IF(RTD("tos.rtd",,$A$2,"."&amp;L$2&amp;L$1&amp;"C"&amp;$A41)="N/A",0,RTD("tos.rtd",,$A$2,"."&amp;L$2&amp;L$1&amp;"C"&amp;$A41))+IF(RTD("tos.rtd",,$A$2,"."&amp;L$2&amp;L$1&amp;"P"&amp;$A41)="N/A",0,RTD("tos.rtd",,$A$2,"."&amp;L$2&amp;L$1&amp;"P"&amp;$A41)),IF(RTD("tos.rtd",,$A$2,"."&amp;L$2&amp;L$1&amp;"C"&amp;$A41)="N/A",0,RTD("tos.rtd",,$A$2,"."&amp;L$2&amp;L$1&amp;"C"&amp;$A41))-IF(RTD("tos.rtd",,$A$2,"."&amp;L$2&amp;L$1&amp;"P"&amp;$A41)="N/A",0,RTD("tos.rtd",,$A$2,"."&amp;L$2&amp;L$1&amp;"P"&amp;$A41))))))))))</f>
        <v>3440</v>
      </c>
      <c r="M41" s="12">
        <f ca="1">IF($A$2="PREMIUM_OI",IFERROR(IF($X$1="ABS",(100*RTD("tos.rtd",,"OPEN_INT","."&amp;M$2&amp;M$1&amp;"C"&amp;$A41)*RTD("tos.rtd",,"LAST","."&amp;M$2&amp;M$1&amp;"C"&amp;$A41)+100*RTD("tos.rtd",,"OPEN_INT","."&amp;M$2&amp;M$1&amp;"P"&amp;$A41)*RTD("tos.rtd",,"LAST","."&amp;M$2&amp;M$1&amp;"P"&amp;$A41))/1000000,(100*RTD("tos.rtd",,"OPEN_INT","."&amp;M$2&amp;M$1&amp;"C"&amp;$A41)*RTD("tos.rtd",,"LAST","."&amp;M$2&amp;M$1&amp;"C"&amp;$A41)-100*RTD("tos.rtd",,"OPEN_INT","."&amp;M$2&amp;M$1&amp;"P"&amp;$A41)*RTD("tos.rtd",,"LAST","."&amp;M$2&amp;M$1&amp;"P"&amp;$A41))/1000000),0),IF($A$2="PREMIUM",IFERROR(IF($X$1="ABS",(100*RTD("tos.rtd",,"VOLUME","."&amp;M$2&amp;M$1&amp;"C"&amp;$A41)*RTD("tos.rtd",,"LAST","."&amp;M$2&amp;M$1&amp;"C"&amp;$A41)+100*RTD("tos.rtd",,"VOLUME","."&amp;M$2&amp;M$1&amp;"P"&amp;$A41)*RTD("tos.rtd",,"LAST","."&amp;M$2&amp;M$1&amp;"P"&amp;$A41))/1000000,(100*RTD("tos.rtd",,"VOLUME","."&amp;M$2&amp;M$1&amp;"C"&amp;$A41)*RTD("tos.rtd",,"LAST","."&amp;M$2&amp;M$1&amp;"C"&amp;$A41)-100*RTD("tos.rtd",,"VOLUME","."&amp;M$2&amp;M$1&amp;"P"&amp;$A41)*RTD("tos.rtd",,"LAST","."&amp;M$2&amp;M$1&amp;"P"&amp;$A41))/1000000),0),IF($A$2="DEX",IFERROR(IF($X$1="ABS",(100*RTD("tos.rtd",,"OPEN_INT","."&amp;M$2&amp;M$1&amp;"C"&amp;$A41)*RTD("tos.rtd",,"DELTA","."&amp;M$2&amp;M$1&amp;"C"&amp;$A41)+100*RTD("tos.rtd",,"OPEN_INT","."&amp;M$2&amp;M$1&amp;"P"&amp;$A41)*RTD("tos.rtd",,"DELTA","."&amp;M$2&amp;M$1&amp;"P"&amp;$A41))/1000,(100*RTD("tos.rtd",,"OPEN_INT","."&amp;M$2&amp;M$1&amp;"C"&amp;$A41)*RTD("tos.rtd",,"DELTA","."&amp;M$2&amp;M$1&amp;"C"&amp;$A41)-100*RTD("tos.rtd",,"OPEN_INT","."&amp;M$2&amp;M$1&amp;"P"&amp;$A41)*RTD("tos.rtd",,"DELTA","."&amp;M$2&amp;M$1&amp;"P"&amp;$A41))/1000),0),IF($A$2="VEX",IFERROR(IF($X$1="ABS",($A$4*$A$4*RTD("tos.rtd",,"VOLUME","."&amp;M$2&amp;M$1&amp;"C"&amp;$A41)*RTD("tos.rtd",,"GAMMA","."&amp;M$2&amp;M$1&amp;"C"&amp;$A41)+$A$4*$A$4*RTD("tos.rtd",,"VOLUME","."&amp;M$2&amp;M$1&amp;"P"&amp;$A41)*RTD("tos.rtd",,"GAMMA","."&amp;M$2&amp;M$1&amp;"P"&amp;$A41))/1000000,($A$4*$A$4*RTD("tos.rtd",,"VOLUME","."&amp;M$2&amp;M$1&amp;"C"&amp;$A41)*RTD("tos.rtd",,"GAMMA","."&amp;M$2&amp;M$1&amp;"C"&amp;$A41)-$A$4*$A$4*RTD("tos.rtd",,"VOLUME","."&amp;M$2&amp;M$1&amp;"P"&amp;$A41)*RTD("tos.rtd",,"GAMMA","."&amp;M$2&amp;M$1&amp;"P"&amp;$A41))/1000000),0),IF($A$2="GEX",IFERROR(IF($X$1="ABS",($A$4*$A$4*RTD("tos.rtd",,"OPEN_INT","."&amp;M$2&amp;M$1&amp;"C"&amp;$A41)*RTD("tos.rtd",,"GAMMA","."&amp;M$2&amp;M$1&amp;"C"&amp;$A41)+$A$4*$A$4*RTD("tos.rtd",,"OPEN_INT","."&amp;M$2&amp;M$1&amp;"P"&amp;$A41)*RTD("tos.rtd",,"GAMMA","."&amp;M$2&amp;M$1&amp;"P"&amp;$A41))/1000000,($A$4*$A$4*RTD("tos.rtd",,"OPEN_INT","."&amp;M$2&amp;M$1&amp;"C"&amp;$A41)*RTD("tos.rtd",,"GAMMA","."&amp;M$2&amp;M$1&amp;"C"&amp;$A41)-$A$4*$A$4*RTD("tos.rtd",,"OPEN_INT","."&amp;M$2&amp;M$1&amp;"P"&amp;$A41)*RTD("tos.rtd",,"GAMMA","."&amp;M$2&amp;M$1&amp;"P"&amp;$A41))/1000000),0),IF($A$2="SKEW",IFERROR(VALUE(IF(RTD("tos.rtd",,"IMPL_VOL","."&amp;M$2&amp;M$1&amp;"P"&amp;$A41)="N/A",0,RTD("tos.rtd",,"IMPL_VOL","."&amp;M$2&amp;M$1&amp;"P"&amp;$A41))),0)-IFERROR(VALUE(IF(RTD("tos.rtd",,"IMPL_VOL","."&amp;M$2&amp;M$1&amp;"C"&amp;$A41)="N/A",0,RTD("tos.rtd",,"IMPL_VOL","."&amp;M$2&amp;M$1&amp;"C"&amp;$A41))),0),IF($A$2="MAXPAIN",IF($A$4&gt;$A41,($A$4-$A41)*IF(RTD("tos.rtd",,"OPEN_INT","."&amp;M$2&amp;M$1&amp;"C"&amp;$A41)="N/A",0,RTD("tos.rtd",,"OPEN_INT","."&amp;M$2&amp;M$1&amp;"C"&amp;$A41)),0)+IF($A$4&lt;$A41,($A$5-$A$4)*IF(RTD("tos.rtd",,"OPEN_INT","."&amp;M$2&amp;M$1&amp;"P"&amp;$A41)="N/A",0,RTD("tos.rtd",,"OPEN_INT","."&amp;M$2&amp;M$1&amp;"P"&amp;$A41)),0),IF($X$1="ABS",IF(RTD("tos.rtd",,$A$2,"."&amp;M$2&amp;M$1&amp;"C"&amp;$A41)="N/A",0,RTD("tos.rtd",,$A$2,"."&amp;M$2&amp;M$1&amp;"C"&amp;$A41))+IF(RTD("tos.rtd",,$A$2,"."&amp;M$2&amp;M$1&amp;"P"&amp;$A41)="N/A",0,RTD("tos.rtd",,$A$2,"."&amp;M$2&amp;M$1&amp;"P"&amp;$A41)),IF(RTD("tos.rtd",,$A$2,"."&amp;M$2&amp;M$1&amp;"C"&amp;$A41)="N/A",0,RTD("tos.rtd",,$A$2,"."&amp;M$2&amp;M$1&amp;"C"&amp;$A41))-IF(RTD("tos.rtd",,$A$2,"."&amp;M$2&amp;M$1&amp;"P"&amp;$A41)="N/A",0,RTD("tos.rtd",,$A$2,"."&amp;M$2&amp;M$1&amp;"P"&amp;$A41))))))))))</f>
        <v>2370</v>
      </c>
      <c r="N41" s="12">
        <f ca="1">IF($A$2="PREMIUM_OI",IFERROR(IF($X$1="ABS",(100*RTD("tos.rtd",,"OPEN_INT","."&amp;N$2&amp;N$1&amp;"C"&amp;$A41)*RTD("tos.rtd",,"LAST","."&amp;N$2&amp;N$1&amp;"C"&amp;$A41)+100*RTD("tos.rtd",,"OPEN_INT","."&amp;N$2&amp;N$1&amp;"P"&amp;$A41)*RTD("tos.rtd",,"LAST","."&amp;N$2&amp;N$1&amp;"P"&amp;$A41))/1000000,(100*RTD("tos.rtd",,"OPEN_INT","."&amp;N$2&amp;N$1&amp;"C"&amp;$A41)*RTD("tos.rtd",,"LAST","."&amp;N$2&amp;N$1&amp;"C"&amp;$A41)-100*RTD("tos.rtd",,"OPEN_INT","."&amp;N$2&amp;N$1&amp;"P"&amp;$A41)*RTD("tos.rtd",,"LAST","."&amp;N$2&amp;N$1&amp;"P"&amp;$A41))/1000000),0),IF($A$2="PREMIUM",IFERROR(IF($X$1="ABS",(100*RTD("tos.rtd",,"VOLUME","."&amp;N$2&amp;N$1&amp;"C"&amp;$A41)*RTD("tos.rtd",,"LAST","."&amp;N$2&amp;N$1&amp;"C"&amp;$A41)+100*RTD("tos.rtd",,"VOLUME","."&amp;N$2&amp;N$1&amp;"P"&amp;$A41)*RTD("tos.rtd",,"LAST","."&amp;N$2&amp;N$1&amp;"P"&amp;$A41))/1000000,(100*RTD("tos.rtd",,"VOLUME","."&amp;N$2&amp;N$1&amp;"C"&amp;$A41)*RTD("tos.rtd",,"LAST","."&amp;N$2&amp;N$1&amp;"C"&amp;$A41)-100*RTD("tos.rtd",,"VOLUME","."&amp;N$2&amp;N$1&amp;"P"&amp;$A41)*RTD("tos.rtd",,"LAST","."&amp;N$2&amp;N$1&amp;"P"&amp;$A41))/1000000),0),IF($A$2="DEX",IFERROR(IF($X$1="ABS",(100*RTD("tos.rtd",,"OPEN_INT","."&amp;N$2&amp;N$1&amp;"C"&amp;$A41)*RTD("tos.rtd",,"DELTA","."&amp;N$2&amp;N$1&amp;"C"&amp;$A41)+100*RTD("tos.rtd",,"OPEN_INT","."&amp;N$2&amp;N$1&amp;"P"&amp;$A41)*RTD("tos.rtd",,"DELTA","."&amp;N$2&amp;N$1&amp;"P"&amp;$A41))/1000,(100*RTD("tos.rtd",,"OPEN_INT","."&amp;N$2&amp;N$1&amp;"C"&amp;$A41)*RTD("tos.rtd",,"DELTA","."&amp;N$2&amp;N$1&amp;"C"&amp;$A41)-100*RTD("tos.rtd",,"OPEN_INT","."&amp;N$2&amp;N$1&amp;"P"&amp;$A41)*RTD("tos.rtd",,"DELTA","."&amp;N$2&amp;N$1&amp;"P"&amp;$A41))/1000),0),IF($A$2="VEX",IFERROR(IF($X$1="ABS",($A$4*$A$4*RTD("tos.rtd",,"VOLUME","."&amp;N$2&amp;N$1&amp;"C"&amp;$A41)*RTD("tos.rtd",,"GAMMA","."&amp;N$2&amp;N$1&amp;"C"&amp;$A41)+$A$4*$A$4*RTD("tos.rtd",,"VOLUME","."&amp;N$2&amp;N$1&amp;"P"&amp;$A41)*RTD("tos.rtd",,"GAMMA","."&amp;N$2&amp;N$1&amp;"P"&amp;$A41))/1000000,($A$4*$A$4*RTD("tos.rtd",,"VOLUME","."&amp;N$2&amp;N$1&amp;"C"&amp;$A41)*RTD("tos.rtd",,"GAMMA","."&amp;N$2&amp;N$1&amp;"C"&amp;$A41)-$A$4*$A$4*RTD("tos.rtd",,"VOLUME","."&amp;N$2&amp;N$1&amp;"P"&amp;$A41)*RTD("tos.rtd",,"GAMMA","."&amp;N$2&amp;N$1&amp;"P"&amp;$A41))/1000000),0),IF($A$2="GEX",IFERROR(IF($X$1="ABS",($A$4*$A$4*RTD("tos.rtd",,"OPEN_INT","."&amp;N$2&amp;N$1&amp;"C"&amp;$A41)*RTD("tos.rtd",,"GAMMA","."&amp;N$2&amp;N$1&amp;"C"&amp;$A41)+$A$4*$A$4*RTD("tos.rtd",,"OPEN_INT","."&amp;N$2&amp;N$1&amp;"P"&amp;$A41)*RTD("tos.rtd",,"GAMMA","."&amp;N$2&amp;N$1&amp;"P"&amp;$A41))/1000000,($A$4*$A$4*RTD("tos.rtd",,"OPEN_INT","."&amp;N$2&amp;N$1&amp;"C"&amp;$A41)*RTD("tos.rtd",,"GAMMA","."&amp;N$2&amp;N$1&amp;"C"&amp;$A41)-$A$4*$A$4*RTD("tos.rtd",,"OPEN_INT","."&amp;N$2&amp;N$1&amp;"P"&amp;$A41)*RTD("tos.rtd",,"GAMMA","."&amp;N$2&amp;N$1&amp;"P"&amp;$A41))/1000000),0),IF($A$2="SKEW",IFERROR(VALUE(IF(RTD("tos.rtd",,"IMPL_VOL","."&amp;N$2&amp;N$1&amp;"P"&amp;$A41)="N/A",0,RTD("tos.rtd",,"IMPL_VOL","."&amp;N$2&amp;N$1&amp;"P"&amp;$A41))),0)-IFERROR(VALUE(IF(RTD("tos.rtd",,"IMPL_VOL","."&amp;N$2&amp;N$1&amp;"C"&amp;$A41)="N/A",0,RTD("tos.rtd",,"IMPL_VOL","."&amp;N$2&amp;N$1&amp;"C"&amp;$A41))),0),IF($A$2="MAXPAIN",IF($A$4&gt;$A41,($A$4-$A41)*IF(RTD("tos.rtd",,"OPEN_INT","."&amp;N$2&amp;N$1&amp;"C"&amp;$A41)="N/A",0,RTD("tos.rtd",,"OPEN_INT","."&amp;N$2&amp;N$1&amp;"C"&amp;$A41)),0)+IF($A$4&lt;$A41,($A$5-$A$4)*IF(RTD("tos.rtd",,"OPEN_INT","."&amp;N$2&amp;N$1&amp;"P"&amp;$A41)="N/A",0,RTD("tos.rtd",,"OPEN_INT","."&amp;N$2&amp;N$1&amp;"P"&amp;$A41)),0),IF($X$1="ABS",IF(RTD("tos.rtd",,$A$2,"."&amp;N$2&amp;N$1&amp;"C"&amp;$A41)="N/A",0,RTD("tos.rtd",,$A$2,"."&amp;N$2&amp;N$1&amp;"C"&amp;$A41))+IF(RTD("tos.rtd",,$A$2,"."&amp;N$2&amp;N$1&amp;"P"&amp;$A41)="N/A",0,RTD("tos.rtd",,$A$2,"."&amp;N$2&amp;N$1&amp;"P"&amp;$A41)),IF(RTD("tos.rtd",,$A$2,"."&amp;N$2&amp;N$1&amp;"C"&amp;$A41)="N/A",0,RTD("tos.rtd",,$A$2,"."&amp;N$2&amp;N$1&amp;"C"&amp;$A41))-IF(RTD("tos.rtd",,$A$2,"."&amp;N$2&amp;N$1&amp;"P"&amp;$A41)="N/A",0,RTD("tos.rtd",,$A$2,"."&amp;N$2&amp;N$1&amp;"P"&amp;$A41))))))))))</f>
        <v>0</v>
      </c>
      <c r="O41" s="12">
        <f ca="1">IF($A$2="PREMIUM_OI",IFERROR(IF($X$1="ABS",(100*RTD("tos.rtd",,"OPEN_INT","."&amp;O$2&amp;O$1&amp;"C"&amp;$A41)*RTD("tos.rtd",,"LAST","."&amp;O$2&amp;O$1&amp;"C"&amp;$A41)+100*RTD("tos.rtd",,"OPEN_INT","."&amp;O$2&amp;O$1&amp;"P"&amp;$A41)*RTD("tos.rtd",,"LAST","."&amp;O$2&amp;O$1&amp;"P"&amp;$A41))/1000000,(100*RTD("tos.rtd",,"OPEN_INT","."&amp;O$2&amp;O$1&amp;"C"&amp;$A41)*RTD("tos.rtd",,"LAST","."&amp;O$2&amp;O$1&amp;"C"&amp;$A41)-100*RTD("tos.rtd",,"OPEN_INT","."&amp;O$2&amp;O$1&amp;"P"&amp;$A41)*RTD("tos.rtd",,"LAST","."&amp;O$2&amp;O$1&amp;"P"&amp;$A41))/1000000),0),IF($A$2="PREMIUM",IFERROR(IF($X$1="ABS",(100*RTD("tos.rtd",,"VOLUME","."&amp;O$2&amp;O$1&amp;"C"&amp;$A41)*RTD("tos.rtd",,"LAST","."&amp;O$2&amp;O$1&amp;"C"&amp;$A41)+100*RTD("tos.rtd",,"VOLUME","."&amp;O$2&amp;O$1&amp;"P"&amp;$A41)*RTD("tos.rtd",,"LAST","."&amp;O$2&amp;O$1&amp;"P"&amp;$A41))/1000000,(100*RTD("tos.rtd",,"VOLUME","."&amp;O$2&amp;O$1&amp;"C"&amp;$A41)*RTD("tos.rtd",,"LAST","."&amp;O$2&amp;O$1&amp;"C"&amp;$A41)-100*RTD("tos.rtd",,"VOLUME","."&amp;O$2&amp;O$1&amp;"P"&amp;$A41)*RTD("tos.rtd",,"LAST","."&amp;O$2&amp;O$1&amp;"P"&amp;$A41))/1000000),0),IF($A$2="DEX",IFERROR(IF($X$1="ABS",(100*RTD("tos.rtd",,"OPEN_INT","."&amp;O$2&amp;O$1&amp;"C"&amp;$A41)*RTD("tos.rtd",,"DELTA","."&amp;O$2&amp;O$1&amp;"C"&amp;$A41)+100*RTD("tos.rtd",,"OPEN_INT","."&amp;O$2&amp;O$1&amp;"P"&amp;$A41)*RTD("tos.rtd",,"DELTA","."&amp;O$2&amp;O$1&amp;"P"&amp;$A41))/1000,(100*RTD("tos.rtd",,"OPEN_INT","."&amp;O$2&amp;O$1&amp;"C"&amp;$A41)*RTD("tos.rtd",,"DELTA","."&amp;O$2&amp;O$1&amp;"C"&amp;$A41)-100*RTD("tos.rtd",,"OPEN_INT","."&amp;O$2&amp;O$1&amp;"P"&amp;$A41)*RTD("tos.rtd",,"DELTA","."&amp;O$2&amp;O$1&amp;"P"&amp;$A41))/1000),0),IF($A$2="VEX",IFERROR(IF($X$1="ABS",($A$4*$A$4*RTD("tos.rtd",,"VOLUME","."&amp;O$2&amp;O$1&amp;"C"&amp;$A41)*RTD("tos.rtd",,"GAMMA","."&amp;O$2&amp;O$1&amp;"C"&amp;$A41)+$A$4*$A$4*RTD("tos.rtd",,"VOLUME","."&amp;O$2&amp;O$1&amp;"P"&amp;$A41)*RTD("tos.rtd",,"GAMMA","."&amp;O$2&amp;O$1&amp;"P"&amp;$A41))/1000000,($A$4*$A$4*RTD("tos.rtd",,"VOLUME","."&amp;O$2&amp;O$1&amp;"C"&amp;$A41)*RTD("tos.rtd",,"GAMMA","."&amp;O$2&amp;O$1&amp;"C"&amp;$A41)-$A$4*$A$4*RTD("tos.rtd",,"VOLUME","."&amp;O$2&amp;O$1&amp;"P"&amp;$A41)*RTD("tos.rtd",,"GAMMA","."&amp;O$2&amp;O$1&amp;"P"&amp;$A41))/1000000),0),IF($A$2="GEX",IFERROR(IF($X$1="ABS",($A$4*$A$4*RTD("tos.rtd",,"OPEN_INT","."&amp;O$2&amp;O$1&amp;"C"&amp;$A41)*RTD("tos.rtd",,"GAMMA","."&amp;O$2&amp;O$1&amp;"C"&amp;$A41)+$A$4*$A$4*RTD("tos.rtd",,"OPEN_INT","."&amp;O$2&amp;O$1&amp;"P"&amp;$A41)*RTD("tos.rtd",,"GAMMA","."&amp;O$2&amp;O$1&amp;"P"&amp;$A41))/1000000,($A$4*$A$4*RTD("tos.rtd",,"OPEN_INT","."&amp;O$2&amp;O$1&amp;"C"&amp;$A41)*RTD("tos.rtd",,"GAMMA","."&amp;O$2&amp;O$1&amp;"C"&amp;$A41)-$A$4*$A$4*RTD("tos.rtd",,"OPEN_INT","."&amp;O$2&amp;O$1&amp;"P"&amp;$A41)*RTD("tos.rtd",,"GAMMA","."&amp;O$2&amp;O$1&amp;"P"&amp;$A41))/1000000),0),IF($A$2="SKEW",IFERROR(VALUE(IF(RTD("tos.rtd",,"IMPL_VOL","."&amp;O$2&amp;O$1&amp;"P"&amp;$A41)="N/A",0,RTD("tos.rtd",,"IMPL_VOL","."&amp;O$2&amp;O$1&amp;"P"&amp;$A41))),0)-IFERROR(VALUE(IF(RTD("tos.rtd",,"IMPL_VOL","."&amp;O$2&amp;O$1&amp;"C"&amp;$A41)="N/A",0,RTD("tos.rtd",,"IMPL_VOL","."&amp;O$2&amp;O$1&amp;"C"&amp;$A41))),0),IF($A$2="MAXPAIN",IF($A$4&gt;$A41,($A$4-$A41)*IF(RTD("tos.rtd",,"OPEN_INT","."&amp;O$2&amp;O$1&amp;"C"&amp;$A41)="N/A",0,RTD("tos.rtd",,"OPEN_INT","."&amp;O$2&amp;O$1&amp;"C"&amp;$A41)),0)+IF($A$4&lt;$A41,($A$5-$A$4)*IF(RTD("tos.rtd",,"OPEN_INT","."&amp;O$2&amp;O$1&amp;"P"&amp;$A41)="N/A",0,RTD("tos.rtd",,"OPEN_INT","."&amp;O$2&amp;O$1&amp;"P"&amp;$A41)),0),IF($X$1="ABS",IF(RTD("tos.rtd",,$A$2,"."&amp;O$2&amp;O$1&amp;"C"&amp;$A41)="N/A",0,RTD("tos.rtd",,$A$2,"."&amp;O$2&amp;O$1&amp;"C"&amp;$A41))+IF(RTD("tos.rtd",,$A$2,"."&amp;O$2&amp;O$1&amp;"P"&amp;$A41)="N/A",0,RTD("tos.rtd",,$A$2,"."&amp;O$2&amp;O$1&amp;"P"&amp;$A41)),IF(RTD("tos.rtd",,$A$2,"."&amp;O$2&amp;O$1&amp;"C"&amp;$A41)="N/A",0,RTD("tos.rtd",,$A$2,"."&amp;O$2&amp;O$1&amp;"C"&amp;$A41))-IF(RTD("tos.rtd",,$A$2,"."&amp;O$2&amp;O$1&amp;"P"&amp;$A41)="N/A",0,RTD("tos.rtd",,$A$2,"."&amp;O$2&amp;O$1&amp;"P"&amp;$A41))))))))))</f>
        <v>0</v>
      </c>
      <c r="P41" s="12">
        <f ca="1">IF($A$2="PREMIUM_OI",IFERROR(IF($X$1="ABS",(100*RTD("tos.rtd",,"OPEN_INT","."&amp;P$2&amp;P$1&amp;"C"&amp;$A41)*RTD("tos.rtd",,"LAST","."&amp;P$2&amp;P$1&amp;"C"&amp;$A41)+100*RTD("tos.rtd",,"OPEN_INT","."&amp;P$2&amp;P$1&amp;"P"&amp;$A41)*RTD("tos.rtd",,"LAST","."&amp;P$2&amp;P$1&amp;"P"&amp;$A41))/1000000,(100*RTD("tos.rtd",,"OPEN_INT","."&amp;P$2&amp;P$1&amp;"C"&amp;$A41)*RTD("tos.rtd",,"LAST","."&amp;P$2&amp;P$1&amp;"C"&amp;$A41)-100*RTD("tos.rtd",,"OPEN_INT","."&amp;P$2&amp;P$1&amp;"P"&amp;$A41)*RTD("tos.rtd",,"LAST","."&amp;P$2&amp;P$1&amp;"P"&amp;$A41))/1000000),0),IF($A$2="PREMIUM",IFERROR(IF($X$1="ABS",(100*RTD("tos.rtd",,"VOLUME","."&amp;P$2&amp;P$1&amp;"C"&amp;$A41)*RTD("tos.rtd",,"LAST","."&amp;P$2&amp;P$1&amp;"C"&amp;$A41)+100*RTD("tos.rtd",,"VOLUME","."&amp;P$2&amp;P$1&amp;"P"&amp;$A41)*RTD("tos.rtd",,"LAST","."&amp;P$2&amp;P$1&amp;"P"&amp;$A41))/1000000,(100*RTD("tos.rtd",,"VOLUME","."&amp;P$2&amp;P$1&amp;"C"&amp;$A41)*RTD("tos.rtd",,"LAST","."&amp;P$2&amp;P$1&amp;"C"&amp;$A41)-100*RTD("tos.rtd",,"VOLUME","."&amp;P$2&amp;P$1&amp;"P"&amp;$A41)*RTD("tos.rtd",,"LAST","."&amp;P$2&amp;P$1&amp;"P"&amp;$A41))/1000000),0),IF($A$2="DEX",IFERROR(IF($X$1="ABS",(100*RTD("tos.rtd",,"OPEN_INT","."&amp;P$2&amp;P$1&amp;"C"&amp;$A41)*RTD("tos.rtd",,"DELTA","."&amp;P$2&amp;P$1&amp;"C"&amp;$A41)+100*RTD("tos.rtd",,"OPEN_INT","."&amp;P$2&amp;P$1&amp;"P"&amp;$A41)*RTD("tos.rtd",,"DELTA","."&amp;P$2&amp;P$1&amp;"P"&amp;$A41))/1000,(100*RTD("tos.rtd",,"OPEN_INT","."&amp;P$2&amp;P$1&amp;"C"&amp;$A41)*RTD("tos.rtd",,"DELTA","."&amp;P$2&amp;P$1&amp;"C"&amp;$A41)-100*RTD("tos.rtd",,"OPEN_INT","."&amp;P$2&amp;P$1&amp;"P"&amp;$A41)*RTD("tos.rtd",,"DELTA","."&amp;P$2&amp;P$1&amp;"P"&amp;$A41))/1000),0),IF($A$2="VEX",IFERROR(IF($X$1="ABS",($A$4*$A$4*RTD("tos.rtd",,"VOLUME","."&amp;P$2&amp;P$1&amp;"C"&amp;$A41)*RTD("tos.rtd",,"GAMMA","."&amp;P$2&amp;P$1&amp;"C"&amp;$A41)+$A$4*$A$4*RTD("tos.rtd",,"VOLUME","."&amp;P$2&amp;P$1&amp;"P"&amp;$A41)*RTD("tos.rtd",,"GAMMA","."&amp;P$2&amp;P$1&amp;"P"&amp;$A41))/1000000,($A$4*$A$4*RTD("tos.rtd",,"VOLUME","."&amp;P$2&amp;P$1&amp;"C"&amp;$A41)*RTD("tos.rtd",,"GAMMA","."&amp;P$2&amp;P$1&amp;"C"&amp;$A41)-$A$4*$A$4*RTD("tos.rtd",,"VOLUME","."&amp;P$2&amp;P$1&amp;"P"&amp;$A41)*RTD("tos.rtd",,"GAMMA","."&amp;P$2&amp;P$1&amp;"P"&amp;$A41))/1000000),0),IF($A$2="GEX",IFERROR(IF($X$1="ABS",($A$4*$A$4*RTD("tos.rtd",,"OPEN_INT","."&amp;P$2&amp;P$1&amp;"C"&amp;$A41)*RTD("tos.rtd",,"GAMMA","."&amp;P$2&amp;P$1&amp;"C"&amp;$A41)+$A$4*$A$4*RTD("tos.rtd",,"OPEN_INT","."&amp;P$2&amp;P$1&amp;"P"&amp;$A41)*RTD("tos.rtd",,"GAMMA","."&amp;P$2&amp;P$1&amp;"P"&amp;$A41))/1000000,($A$4*$A$4*RTD("tos.rtd",,"OPEN_INT","."&amp;P$2&amp;P$1&amp;"C"&amp;$A41)*RTD("tos.rtd",,"GAMMA","."&amp;P$2&amp;P$1&amp;"C"&amp;$A41)-$A$4*$A$4*RTD("tos.rtd",,"OPEN_INT","."&amp;P$2&amp;P$1&amp;"P"&amp;$A41)*RTD("tos.rtd",,"GAMMA","."&amp;P$2&amp;P$1&amp;"P"&amp;$A41))/1000000),0),IF($A$2="SKEW",IFERROR(VALUE(IF(RTD("tos.rtd",,"IMPL_VOL","."&amp;P$2&amp;P$1&amp;"P"&amp;$A41)="N/A",0,RTD("tos.rtd",,"IMPL_VOL","."&amp;P$2&amp;P$1&amp;"P"&amp;$A41))),0)-IFERROR(VALUE(IF(RTD("tos.rtd",,"IMPL_VOL","."&amp;P$2&amp;P$1&amp;"C"&amp;$A41)="N/A",0,RTD("tos.rtd",,"IMPL_VOL","."&amp;P$2&amp;P$1&amp;"C"&amp;$A41))),0),IF($A$2="MAXPAIN",IF($A$4&gt;$A41,($A$4-$A41)*IF(RTD("tos.rtd",,"OPEN_INT","."&amp;P$2&amp;P$1&amp;"C"&amp;$A41)="N/A",0,RTD("tos.rtd",,"OPEN_INT","."&amp;P$2&amp;P$1&amp;"C"&amp;$A41)),0)+IF($A$4&lt;$A41,($A$5-$A$4)*IF(RTD("tos.rtd",,"OPEN_INT","."&amp;P$2&amp;P$1&amp;"P"&amp;$A41)="N/A",0,RTD("tos.rtd",,"OPEN_INT","."&amp;P$2&amp;P$1&amp;"P"&amp;$A41)),0),IF($X$1="ABS",IF(RTD("tos.rtd",,$A$2,"."&amp;P$2&amp;P$1&amp;"C"&amp;$A41)="N/A",0,RTD("tos.rtd",,$A$2,"."&amp;P$2&amp;P$1&amp;"C"&amp;$A41))+IF(RTD("tos.rtd",,$A$2,"."&amp;P$2&amp;P$1&amp;"P"&amp;$A41)="N/A",0,RTD("tos.rtd",,$A$2,"."&amp;P$2&amp;P$1&amp;"P"&amp;$A41)),IF(RTD("tos.rtd",,$A$2,"."&amp;P$2&amp;P$1&amp;"C"&amp;$A41)="N/A",0,RTD("tos.rtd",,$A$2,"."&amp;P$2&amp;P$1&amp;"C"&amp;$A41))-IF(RTD("tos.rtd",,$A$2,"."&amp;P$2&amp;P$1&amp;"P"&amp;$A41)="N/A",0,RTD("tos.rtd",,$A$2,"."&amp;P$2&amp;P$1&amp;"P"&amp;$A41))))))))))</f>
        <v>0</v>
      </c>
      <c r="Q41" s="12">
        <f ca="1">IF($A$2="PREMIUM_OI",IFERROR(IF($X$1="ABS",(100*RTD("tos.rtd",,"OPEN_INT","."&amp;Q$2&amp;Q$1&amp;"C"&amp;$A41)*RTD("tos.rtd",,"LAST","."&amp;Q$2&amp;Q$1&amp;"C"&amp;$A41)+100*RTD("tos.rtd",,"OPEN_INT","."&amp;Q$2&amp;Q$1&amp;"P"&amp;$A41)*RTD("tos.rtd",,"LAST","."&amp;Q$2&amp;Q$1&amp;"P"&amp;$A41))/1000000,(100*RTD("tos.rtd",,"OPEN_INT","."&amp;Q$2&amp;Q$1&amp;"C"&amp;$A41)*RTD("tos.rtd",,"LAST","."&amp;Q$2&amp;Q$1&amp;"C"&amp;$A41)-100*RTD("tos.rtd",,"OPEN_INT","."&amp;Q$2&amp;Q$1&amp;"P"&amp;$A41)*RTD("tos.rtd",,"LAST","."&amp;Q$2&amp;Q$1&amp;"P"&amp;$A41))/1000000),0),IF($A$2="PREMIUM",IFERROR(IF($X$1="ABS",(100*RTD("tos.rtd",,"VOLUME","."&amp;Q$2&amp;Q$1&amp;"C"&amp;$A41)*RTD("tos.rtd",,"LAST","."&amp;Q$2&amp;Q$1&amp;"C"&amp;$A41)+100*RTD("tos.rtd",,"VOLUME","."&amp;Q$2&amp;Q$1&amp;"P"&amp;$A41)*RTD("tos.rtd",,"LAST","."&amp;Q$2&amp;Q$1&amp;"P"&amp;$A41))/1000000,(100*RTD("tos.rtd",,"VOLUME","."&amp;Q$2&amp;Q$1&amp;"C"&amp;$A41)*RTD("tos.rtd",,"LAST","."&amp;Q$2&amp;Q$1&amp;"C"&amp;$A41)-100*RTD("tos.rtd",,"VOLUME","."&amp;Q$2&amp;Q$1&amp;"P"&amp;$A41)*RTD("tos.rtd",,"LAST","."&amp;Q$2&amp;Q$1&amp;"P"&amp;$A41))/1000000),0),IF($A$2="DEX",IFERROR(IF($X$1="ABS",(100*RTD("tos.rtd",,"OPEN_INT","."&amp;Q$2&amp;Q$1&amp;"C"&amp;$A41)*RTD("tos.rtd",,"DELTA","."&amp;Q$2&amp;Q$1&amp;"C"&amp;$A41)+100*RTD("tos.rtd",,"OPEN_INT","."&amp;Q$2&amp;Q$1&amp;"P"&amp;$A41)*RTD("tos.rtd",,"DELTA","."&amp;Q$2&amp;Q$1&amp;"P"&amp;$A41))/1000,(100*RTD("tos.rtd",,"OPEN_INT","."&amp;Q$2&amp;Q$1&amp;"C"&amp;$A41)*RTD("tos.rtd",,"DELTA","."&amp;Q$2&amp;Q$1&amp;"C"&amp;$A41)-100*RTD("tos.rtd",,"OPEN_INT","."&amp;Q$2&amp;Q$1&amp;"P"&amp;$A41)*RTD("tos.rtd",,"DELTA","."&amp;Q$2&amp;Q$1&amp;"P"&amp;$A41))/1000),0),IF($A$2="VEX",IFERROR(IF($X$1="ABS",($A$4*$A$4*RTD("tos.rtd",,"VOLUME","."&amp;Q$2&amp;Q$1&amp;"C"&amp;$A41)*RTD("tos.rtd",,"GAMMA","."&amp;Q$2&amp;Q$1&amp;"C"&amp;$A41)+$A$4*$A$4*RTD("tos.rtd",,"VOLUME","."&amp;Q$2&amp;Q$1&amp;"P"&amp;$A41)*RTD("tos.rtd",,"GAMMA","."&amp;Q$2&amp;Q$1&amp;"P"&amp;$A41))/1000000,($A$4*$A$4*RTD("tos.rtd",,"VOLUME","."&amp;Q$2&amp;Q$1&amp;"C"&amp;$A41)*RTD("tos.rtd",,"GAMMA","."&amp;Q$2&amp;Q$1&amp;"C"&amp;$A41)-$A$4*$A$4*RTD("tos.rtd",,"VOLUME","."&amp;Q$2&amp;Q$1&amp;"P"&amp;$A41)*RTD("tos.rtd",,"GAMMA","."&amp;Q$2&amp;Q$1&amp;"P"&amp;$A41))/1000000),0),IF($A$2="GEX",IFERROR(IF($X$1="ABS",($A$4*$A$4*RTD("tos.rtd",,"OPEN_INT","."&amp;Q$2&amp;Q$1&amp;"C"&amp;$A41)*RTD("tos.rtd",,"GAMMA","."&amp;Q$2&amp;Q$1&amp;"C"&amp;$A41)+$A$4*$A$4*RTD("tos.rtd",,"OPEN_INT","."&amp;Q$2&amp;Q$1&amp;"P"&amp;$A41)*RTD("tos.rtd",,"GAMMA","."&amp;Q$2&amp;Q$1&amp;"P"&amp;$A41))/1000000,($A$4*$A$4*RTD("tos.rtd",,"OPEN_INT","."&amp;Q$2&amp;Q$1&amp;"C"&amp;$A41)*RTD("tos.rtd",,"GAMMA","."&amp;Q$2&amp;Q$1&amp;"C"&amp;$A41)-$A$4*$A$4*RTD("tos.rtd",,"OPEN_INT","."&amp;Q$2&amp;Q$1&amp;"P"&amp;$A41)*RTD("tos.rtd",,"GAMMA","."&amp;Q$2&amp;Q$1&amp;"P"&amp;$A41))/1000000),0),IF($A$2="SKEW",IFERROR(VALUE(IF(RTD("tos.rtd",,"IMPL_VOL","."&amp;Q$2&amp;Q$1&amp;"P"&amp;$A41)="N/A",0,RTD("tos.rtd",,"IMPL_VOL","."&amp;Q$2&amp;Q$1&amp;"P"&amp;$A41))),0)-IFERROR(VALUE(IF(RTD("tos.rtd",,"IMPL_VOL","."&amp;Q$2&amp;Q$1&amp;"C"&amp;$A41)="N/A",0,RTD("tos.rtd",,"IMPL_VOL","."&amp;Q$2&amp;Q$1&amp;"C"&amp;$A41))),0),IF($A$2="MAXPAIN",IF($A$4&gt;$A41,($A$4-$A41)*IF(RTD("tos.rtd",,"OPEN_INT","."&amp;Q$2&amp;Q$1&amp;"C"&amp;$A41)="N/A",0,RTD("tos.rtd",,"OPEN_INT","."&amp;Q$2&amp;Q$1&amp;"C"&amp;$A41)),0)+IF($A$4&lt;$A41,($A$5-$A$4)*IF(RTD("tos.rtd",,"OPEN_INT","."&amp;Q$2&amp;Q$1&amp;"P"&amp;$A41)="N/A",0,RTD("tos.rtd",,"OPEN_INT","."&amp;Q$2&amp;Q$1&amp;"P"&amp;$A41)),0),IF($X$1="ABS",IF(RTD("tos.rtd",,$A$2,"."&amp;Q$2&amp;Q$1&amp;"C"&amp;$A41)="N/A",0,RTD("tos.rtd",,$A$2,"."&amp;Q$2&amp;Q$1&amp;"C"&amp;$A41))+IF(RTD("tos.rtd",,$A$2,"."&amp;Q$2&amp;Q$1&amp;"P"&amp;$A41)="N/A",0,RTD("tos.rtd",,$A$2,"."&amp;Q$2&amp;Q$1&amp;"P"&amp;$A41)),IF(RTD("tos.rtd",,$A$2,"."&amp;Q$2&amp;Q$1&amp;"C"&amp;$A41)="N/A",0,RTD("tos.rtd",,$A$2,"."&amp;Q$2&amp;Q$1&amp;"C"&amp;$A41))-IF(RTD("tos.rtd",,$A$2,"."&amp;Q$2&amp;Q$1&amp;"P"&amp;$A41)="N/A",0,RTD("tos.rtd",,$A$2,"."&amp;Q$2&amp;Q$1&amp;"P"&amp;$A41))))))))))</f>
        <v>0</v>
      </c>
      <c r="R41" s="12">
        <f ca="1">IF($A$2="PREMIUM_OI",IFERROR(IF($X$1="ABS",(100*RTD("tos.rtd",,"OPEN_INT","."&amp;R$2&amp;R$1&amp;"C"&amp;$A41)*RTD("tos.rtd",,"LAST","."&amp;R$2&amp;R$1&amp;"C"&amp;$A41)+100*RTD("tos.rtd",,"OPEN_INT","."&amp;R$2&amp;R$1&amp;"P"&amp;$A41)*RTD("tos.rtd",,"LAST","."&amp;R$2&amp;R$1&amp;"P"&amp;$A41))/1000000,(100*RTD("tos.rtd",,"OPEN_INT","."&amp;R$2&amp;R$1&amp;"C"&amp;$A41)*RTD("tos.rtd",,"LAST","."&amp;R$2&amp;R$1&amp;"C"&amp;$A41)-100*RTD("tos.rtd",,"OPEN_INT","."&amp;R$2&amp;R$1&amp;"P"&amp;$A41)*RTD("tos.rtd",,"LAST","."&amp;R$2&amp;R$1&amp;"P"&amp;$A41))/1000000),0),IF($A$2="PREMIUM",IFERROR(IF($X$1="ABS",(100*RTD("tos.rtd",,"VOLUME","."&amp;R$2&amp;R$1&amp;"C"&amp;$A41)*RTD("tos.rtd",,"LAST","."&amp;R$2&amp;R$1&amp;"C"&amp;$A41)+100*RTD("tos.rtd",,"VOLUME","."&amp;R$2&amp;R$1&amp;"P"&amp;$A41)*RTD("tos.rtd",,"LAST","."&amp;R$2&amp;R$1&amp;"P"&amp;$A41))/1000000,(100*RTD("tos.rtd",,"VOLUME","."&amp;R$2&amp;R$1&amp;"C"&amp;$A41)*RTD("tos.rtd",,"LAST","."&amp;R$2&amp;R$1&amp;"C"&amp;$A41)-100*RTD("tos.rtd",,"VOLUME","."&amp;R$2&amp;R$1&amp;"P"&amp;$A41)*RTD("tos.rtd",,"LAST","."&amp;R$2&amp;R$1&amp;"P"&amp;$A41))/1000000),0),IF($A$2="DEX",IFERROR(IF($X$1="ABS",(100*RTD("tos.rtd",,"OPEN_INT","."&amp;R$2&amp;R$1&amp;"C"&amp;$A41)*RTD("tos.rtd",,"DELTA","."&amp;R$2&amp;R$1&amp;"C"&amp;$A41)+100*RTD("tos.rtd",,"OPEN_INT","."&amp;R$2&amp;R$1&amp;"P"&amp;$A41)*RTD("tos.rtd",,"DELTA","."&amp;R$2&amp;R$1&amp;"P"&amp;$A41))/1000,(100*RTD("tos.rtd",,"OPEN_INT","."&amp;R$2&amp;R$1&amp;"C"&amp;$A41)*RTD("tos.rtd",,"DELTA","."&amp;R$2&amp;R$1&amp;"C"&amp;$A41)-100*RTD("tos.rtd",,"OPEN_INT","."&amp;R$2&amp;R$1&amp;"P"&amp;$A41)*RTD("tos.rtd",,"DELTA","."&amp;R$2&amp;R$1&amp;"P"&amp;$A41))/1000),0),IF($A$2="VEX",IFERROR(IF($X$1="ABS",($A$4*$A$4*RTD("tos.rtd",,"VOLUME","."&amp;R$2&amp;R$1&amp;"C"&amp;$A41)*RTD("tos.rtd",,"GAMMA","."&amp;R$2&amp;R$1&amp;"C"&amp;$A41)+$A$4*$A$4*RTD("tos.rtd",,"VOLUME","."&amp;R$2&amp;R$1&amp;"P"&amp;$A41)*RTD("tos.rtd",,"GAMMA","."&amp;R$2&amp;R$1&amp;"P"&amp;$A41))/1000000,($A$4*$A$4*RTD("tos.rtd",,"VOLUME","."&amp;R$2&amp;R$1&amp;"C"&amp;$A41)*RTD("tos.rtd",,"GAMMA","."&amp;R$2&amp;R$1&amp;"C"&amp;$A41)-$A$4*$A$4*RTD("tos.rtd",,"VOLUME","."&amp;R$2&amp;R$1&amp;"P"&amp;$A41)*RTD("tos.rtd",,"GAMMA","."&amp;R$2&amp;R$1&amp;"P"&amp;$A41))/1000000),0),IF($A$2="GEX",IFERROR(IF($X$1="ABS",($A$4*$A$4*RTD("tos.rtd",,"OPEN_INT","."&amp;R$2&amp;R$1&amp;"C"&amp;$A41)*RTD("tos.rtd",,"GAMMA","."&amp;R$2&amp;R$1&amp;"C"&amp;$A41)+$A$4*$A$4*RTD("tos.rtd",,"OPEN_INT","."&amp;R$2&amp;R$1&amp;"P"&amp;$A41)*RTD("tos.rtd",,"GAMMA","."&amp;R$2&amp;R$1&amp;"P"&amp;$A41))/1000000,($A$4*$A$4*RTD("tos.rtd",,"OPEN_INT","."&amp;R$2&amp;R$1&amp;"C"&amp;$A41)*RTD("tos.rtd",,"GAMMA","."&amp;R$2&amp;R$1&amp;"C"&amp;$A41)-$A$4*$A$4*RTD("tos.rtd",,"OPEN_INT","."&amp;R$2&amp;R$1&amp;"P"&amp;$A41)*RTD("tos.rtd",,"GAMMA","."&amp;R$2&amp;R$1&amp;"P"&amp;$A41))/1000000),0),IF($A$2="SKEW",IFERROR(VALUE(IF(RTD("tos.rtd",,"IMPL_VOL","."&amp;R$2&amp;R$1&amp;"P"&amp;$A41)="N/A",0,RTD("tos.rtd",,"IMPL_VOL","."&amp;R$2&amp;R$1&amp;"P"&amp;$A41))),0)-IFERROR(VALUE(IF(RTD("tos.rtd",,"IMPL_VOL","."&amp;R$2&amp;R$1&amp;"C"&amp;$A41)="N/A",0,RTD("tos.rtd",,"IMPL_VOL","."&amp;R$2&amp;R$1&amp;"C"&amp;$A41))),0),IF($A$2="MAXPAIN",IF($A$4&gt;$A41,($A$4-$A41)*IF(RTD("tos.rtd",,"OPEN_INT","."&amp;R$2&amp;R$1&amp;"C"&amp;$A41)="N/A",0,RTD("tos.rtd",,"OPEN_INT","."&amp;R$2&amp;R$1&amp;"C"&amp;$A41)),0)+IF($A$4&lt;$A41,($A$5-$A$4)*IF(RTD("tos.rtd",,"OPEN_INT","."&amp;R$2&amp;R$1&amp;"P"&amp;$A41)="N/A",0,RTD("tos.rtd",,"OPEN_INT","."&amp;R$2&amp;R$1&amp;"P"&amp;$A41)),0),IF($X$1="ABS",IF(RTD("tos.rtd",,$A$2,"."&amp;R$2&amp;R$1&amp;"C"&amp;$A41)="N/A",0,RTD("tos.rtd",,$A$2,"."&amp;R$2&amp;R$1&amp;"C"&amp;$A41))+IF(RTD("tos.rtd",,$A$2,"."&amp;R$2&amp;R$1&amp;"P"&amp;$A41)="N/A",0,RTD("tos.rtd",,$A$2,"."&amp;R$2&amp;R$1&amp;"P"&amp;$A41)),IF(RTD("tos.rtd",,$A$2,"."&amp;R$2&amp;R$1&amp;"C"&amp;$A41)="N/A",0,RTD("tos.rtd",,$A$2,"."&amp;R$2&amp;R$1&amp;"C"&amp;$A41))-IF(RTD("tos.rtd",,$A$2,"."&amp;R$2&amp;R$1&amp;"P"&amp;$A41)="N/A",0,RTD("tos.rtd",,$A$2,"."&amp;R$2&amp;R$1&amp;"P"&amp;$A41))))))))))</f>
        <v>0</v>
      </c>
      <c r="S41" s="12">
        <f ca="1">IF($A$2="PREMIUM_OI",IFERROR(IF($X$1="ABS",(100*RTD("tos.rtd",,"OPEN_INT","."&amp;S$2&amp;S$1&amp;"C"&amp;$A41)*RTD("tos.rtd",,"LAST","."&amp;S$2&amp;S$1&amp;"C"&amp;$A41)+100*RTD("tos.rtd",,"OPEN_INT","."&amp;S$2&amp;S$1&amp;"P"&amp;$A41)*RTD("tos.rtd",,"LAST","."&amp;S$2&amp;S$1&amp;"P"&amp;$A41))/1000000,(100*RTD("tos.rtd",,"OPEN_INT","."&amp;S$2&amp;S$1&amp;"C"&amp;$A41)*RTD("tos.rtd",,"LAST","."&amp;S$2&amp;S$1&amp;"C"&amp;$A41)-100*RTD("tos.rtd",,"OPEN_INT","."&amp;S$2&amp;S$1&amp;"P"&amp;$A41)*RTD("tos.rtd",,"LAST","."&amp;S$2&amp;S$1&amp;"P"&amp;$A41))/1000000),0),IF($A$2="PREMIUM",IFERROR(IF($X$1="ABS",(100*RTD("tos.rtd",,"VOLUME","."&amp;S$2&amp;S$1&amp;"C"&amp;$A41)*RTD("tos.rtd",,"LAST","."&amp;S$2&amp;S$1&amp;"C"&amp;$A41)+100*RTD("tos.rtd",,"VOLUME","."&amp;S$2&amp;S$1&amp;"P"&amp;$A41)*RTD("tos.rtd",,"LAST","."&amp;S$2&amp;S$1&amp;"P"&amp;$A41))/1000000,(100*RTD("tos.rtd",,"VOLUME","."&amp;S$2&amp;S$1&amp;"C"&amp;$A41)*RTD("tos.rtd",,"LAST","."&amp;S$2&amp;S$1&amp;"C"&amp;$A41)-100*RTD("tos.rtd",,"VOLUME","."&amp;S$2&amp;S$1&amp;"P"&amp;$A41)*RTD("tos.rtd",,"LAST","."&amp;S$2&amp;S$1&amp;"P"&amp;$A41))/1000000),0),IF($A$2="DEX",IFERROR(IF($X$1="ABS",(100*RTD("tos.rtd",,"OPEN_INT","."&amp;S$2&amp;S$1&amp;"C"&amp;$A41)*RTD("tos.rtd",,"DELTA","."&amp;S$2&amp;S$1&amp;"C"&amp;$A41)+100*RTD("tos.rtd",,"OPEN_INT","."&amp;S$2&amp;S$1&amp;"P"&amp;$A41)*RTD("tos.rtd",,"DELTA","."&amp;S$2&amp;S$1&amp;"P"&amp;$A41))/1000,(100*RTD("tos.rtd",,"OPEN_INT","."&amp;S$2&amp;S$1&amp;"C"&amp;$A41)*RTD("tos.rtd",,"DELTA","."&amp;S$2&amp;S$1&amp;"C"&amp;$A41)-100*RTD("tos.rtd",,"OPEN_INT","."&amp;S$2&amp;S$1&amp;"P"&amp;$A41)*RTD("tos.rtd",,"DELTA","."&amp;S$2&amp;S$1&amp;"P"&amp;$A41))/1000),0),IF($A$2="VEX",IFERROR(IF($X$1="ABS",($A$4*$A$4*RTD("tos.rtd",,"VOLUME","."&amp;S$2&amp;S$1&amp;"C"&amp;$A41)*RTD("tos.rtd",,"GAMMA","."&amp;S$2&amp;S$1&amp;"C"&amp;$A41)+$A$4*$A$4*RTD("tos.rtd",,"VOLUME","."&amp;S$2&amp;S$1&amp;"P"&amp;$A41)*RTD("tos.rtd",,"GAMMA","."&amp;S$2&amp;S$1&amp;"P"&amp;$A41))/1000000,($A$4*$A$4*RTD("tos.rtd",,"VOLUME","."&amp;S$2&amp;S$1&amp;"C"&amp;$A41)*RTD("tos.rtd",,"GAMMA","."&amp;S$2&amp;S$1&amp;"C"&amp;$A41)-$A$4*$A$4*RTD("tos.rtd",,"VOLUME","."&amp;S$2&amp;S$1&amp;"P"&amp;$A41)*RTD("tos.rtd",,"GAMMA","."&amp;S$2&amp;S$1&amp;"P"&amp;$A41))/1000000),0),IF($A$2="GEX",IFERROR(IF($X$1="ABS",($A$4*$A$4*RTD("tos.rtd",,"OPEN_INT","."&amp;S$2&amp;S$1&amp;"C"&amp;$A41)*RTD("tos.rtd",,"GAMMA","."&amp;S$2&amp;S$1&amp;"C"&amp;$A41)+$A$4*$A$4*RTD("tos.rtd",,"OPEN_INT","."&amp;S$2&amp;S$1&amp;"P"&amp;$A41)*RTD("tos.rtd",,"GAMMA","."&amp;S$2&amp;S$1&amp;"P"&amp;$A41))/1000000,($A$4*$A$4*RTD("tos.rtd",,"OPEN_INT","."&amp;S$2&amp;S$1&amp;"C"&amp;$A41)*RTD("tos.rtd",,"GAMMA","."&amp;S$2&amp;S$1&amp;"C"&amp;$A41)-$A$4*$A$4*RTD("tos.rtd",,"OPEN_INT","."&amp;S$2&amp;S$1&amp;"P"&amp;$A41)*RTD("tos.rtd",,"GAMMA","."&amp;S$2&amp;S$1&amp;"P"&amp;$A41))/1000000),0),IF($A$2="SKEW",IFERROR(VALUE(IF(RTD("tos.rtd",,"IMPL_VOL","."&amp;S$2&amp;S$1&amp;"P"&amp;$A41)="N/A",0,RTD("tos.rtd",,"IMPL_VOL","."&amp;S$2&amp;S$1&amp;"P"&amp;$A41))),0)-IFERROR(VALUE(IF(RTD("tos.rtd",,"IMPL_VOL","."&amp;S$2&amp;S$1&amp;"C"&amp;$A41)="N/A",0,RTD("tos.rtd",,"IMPL_VOL","."&amp;S$2&amp;S$1&amp;"C"&amp;$A41))),0),IF($A$2="MAXPAIN",IF($A$4&gt;$A41,($A$4-$A41)*IF(RTD("tos.rtd",,"OPEN_INT","."&amp;S$2&amp;S$1&amp;"C"&amp;$A41)="N/A",0,RTD("tos.rtd",,"OPEN_INT","."&amp;S$2&amp;S$1&amp;"C"&amp;$A41)),0)+IF($A$4&lt;$A41,($A$5-$A$4)*IF(RTD("tos.rtd",,"OPEN_INT","."&amp;S$2&amp;S$1&amp;"P"&amp;$A41)="N/A",0,RTD("tos.rtd",,"OPEN_INT","."&amp;S$2&amp;S$1&amp;"P"&amp;$A41)),0),IF($X$1="ABS",IF(RTD("tos.rtd",,$A$2,"."&amp;S$2&amp;S$1&amp;"C"&amp;$A41)="N/A",0,RTD("tos.rtd",,$A$2,"."&amp;S$2&amp;S$1&amp;"C"&amp;$A41))+IF(RTD("tos.rtd",,$A$2,"."&amp;S$2&amp;S$1&amp;"P"&amp;$A41)="N/A",0,RTD("tos.rtd",,$A$2,"."&amp;S$2&amp;S$1&amp;"P"&amp;$A41)),IF(RTD("tos.rtd",,$A$2,"."&amp;S$2&amp;S$1&amp;"C"&amp;$A41)="N/A",0,RTD("tos.rtd",,$A$2,"."&amp;S$2&amp;S$1&amp;"C"&amp;$A41))-IF(RTD("tos.rtd",,$A$2,"."&amp;S$2&amp;S$1&amp;"P"&amp;$A41)="N/A",0,RTD("tos.rtd",,$A$2,"."&amp;S$2&amp;S$1&amp;"P"&amp;$A41))))))))))</f>
        <v>0</v>
      </c>
      <c r="T41" s="12">
        <f ca="1">IF($A$2="PREMIUM_OI",IFERROR(IF($X$1="ABS",(100*RTD("tos.rtd",,"OPEN_INT","."&amp;T$2&amp;T$1&amp;"C"&amp;$A41)*RTD("tos.rtd",,"LAST","."&amp;T$2&amp;T$1&amp;"C"&amp;$A41)+100*RTD("tos.rtd",,"OPEN_INT","."&amp;T$2&amp;T$1&amp;"P"&amp;$A41)*RTD("tos.rtd",,"LAST","."&amp;T$2&amp;T$1&amp;"P"&amp;$A41))/1000000,(100*RTD("tos.rtd",,"OPEN_INT","."&amp;T$2&amp;T$1&amp;"C"&amp;$A41)*RTD("tos.rtd",,"LAST","."&amp;T$2&amp;T$1&amp;"C"&amp;$A41)-100*RTD("tos.rtd",,"OPEN_INT","."&amp;T$2&amp;T$1&amp;"P"&amp;$A41)*RTD("tos.rtd",,"LAST","."&amp;T$2&amp;T$1&amp;"P"&amp;$A41))/1000000),0),IF($A$2="PREMIUM",IFERROR(IF($X$1="ABS",(100*RTD("tos.rtd",,"VOLUME","."&amp;T$2&amp;T$1&amp;"C"&amp;$A41)*RTD("tos.rtd",,"LAST","."&amp;T$2&amp;T$1&amp;"C"&amp;$A41)+100*RTD("tos.rtd",,"VOLUME","."&amp;T$2&amp;T$1&amp;"P"&amp;$A41)*RTD("tos.rtd",,"LAST","."&amp;T$2&amp;T$1&amp;"P"&amp;$A41))/1000000,(100*RTD("tos.rtd",,"VOLUME","."&amp;T$2&amp;T$1&amp;"C"&amp;$A41)*RTD("tos.rtd",,"LAST","."&amp;T$2&amp;T$1&amp;"C"&amp;$A41)-100*RTD("tos.rtd",,"VOLUME","."&amp;T$2&amp;T$1&amp;"P"&amp;$A41)*RTD("tos.rtd",,"LAST","."&amp;T$2&amp;T$1&amp;"P"&amp;$A41))/1000000),0),IF($A$2="DEX",IFERROR(IF($X$1="ABS",(100*RTD("tos.rtd",,"OPEN_INT","."&amp;T$2&amp;T$1&amp;"C"&amp;$A41)*RTD("tos.rtd",,"DELTA","."&amp;T$2&amp;T$1&amp;"C"&amp;$A41)+100*RTD("tos.rtd",,"OPEN_INT","."&amp;T$2&amp;T$1&amp;"P"&amp;$A41)*RTD("tos.rtd",,"DELTA","."&amp;T$2&amp;T$1&amp;"P"&amp;$A41))/1000,(100*RTD("tos.rtd",,"OPEN_INT","."&amp;T$2&amp;T$1&amp;"C"&amp;$A41)*RTD("tos.rtd",,"DELTA","."&amp;T$2&amp;T$1&amp;"C"&amp;$A41)-100*RTD("tos.rtd",,"OPEN_INT","."&amp;T$2&amp;T$1&amp;"P"&amp;$A41)*RTD("tos.rtd",,"DELTA","."&amp;T$2&amp;T$1&amp;"P"&amp;$A41))/1000),0),IF($A$2="VEX",IFERROR(IF($X$1="ABS",($A$4*$A$4*RTD("tos.rtd",,"VOLUME","."&amp;T$2&amp;T$1&amp;"C"&amp;$A41)*RTD("tos.rtd",,"GAMMA","."&amp;T$2&amp;T$1&amp;"C"&amp;$A41)+$A$4*$A$4*RTD("tos.rtd",,"VOLUME","."&amp;T$2&amp;T$1&amp;"P"&amp;$A41)*RTD("tos.rtd",,"GAMMA","."&amp;T$2&amp;T$1&amp;"P"&amp;$A41))/1000000,($A$4*$A$4*RTD("tos.rtd",,"VOLUME","."&amp;T$2&amp;T$1&amp;"C"&amp;$A41)*RTD("tos.rtd",,"GAMMA","."&amp;T$2&amp;T$1&amp;"C"&amp;$A41)-$A$4*$A$4*RTD("tos.rtd",,"VOLUME","."&amp;T$2&amp;T$1&amp;"P"&amp;$A41)*RTD("tos.rtd",,"GAMMA","."&amp;T$2&amp;T$1&amp;"P"&amp;$A41))/1000000),0),IF($A$2="GEX",IFERROR(IF($X$1="ABS",($A$4*$A$4*RTD("tos.rtd",,"OPEN_INT","."&amp;T$2&amp;T$1&amp;"C"&amp;$A41)*RTD("tos.rtd",,"GAMMA","."&amp;T$2&amp;T$1&amp;"C"&amp;$A41)+$A$4*$A$4*RTD("tos.rtd",,"OPEN_INT","."&amp;T$2&amp;T$1&amp;"P"&amp;$A41)*RTD("tos.rtd",,"GAMMA","."&amp;T$2&amp;T$1&amp;"P"&amp;$A41))/1000000,($A$4*$A$4*RTD("tos.rtd",,"OPEN_INT","."&amp;T$2&amp;T$1&amp;"C"&amp;$A41)*RTD("tos.rtd",,"GAMMA","."&amp;T$2&amp;T$1&amp;"C"&amp;$A41)-$A$4*$A$4*RTD("tos.rtd",,"OPEN_INT","."&amp;T$2&amp;T$1&amp;"P"&amp;$A41)*RTD("tos.rtd",,"GAMMA","."&amp;T$2&amp;T$1&amp;"P"&amp;$A41))/1000000),0),IF($A$2="SKEW",IFERROR(VALUE(IF(RTD("tos.rtd",,"IMPL_VOL","."&amp;T$2&amp;T$1&amp;"P"&amp;$A41)="N/A",0,RTD("tos.rtd",,"IMPL_VOL","."&amp;T$2&amp;T$1&amp;"P"&amp;$A41))),0)-IFERROR(VALUE(IF(RTD("tos.rtd",,"IMPL_VOL","."&amp;T$2&amp;T$1&amp;"C"&amp;$A41)="N/A",0,RTD("tos.rtd",,"IMPL_VOL","."&amp;T$2&amp;T$1&amp;"C"&amp;$A41))),0),IF($A$2="MAXPAIN",IF($A$4&gt;$A41,($A$4-$A41)*IF(RTD("tos.rtd",,"OPEN_INT","."&amp;T$2&amp;T$1&amp;"C"&amp;$A41)="N/A",0,RTD("tos.rtd",,"OPEN_INT","."&amp;T$2&amp;T$1&amp;"C"&amp;$A41)),0)+IF($A$4&lt;$A41,($A$5-$A$4)*IF(RTD("tos.rtd",,"OPEN_INT","."&amp;T$2&amp;T$1&amp;"P"&amp;$A41)="N/A",0,RTD("tos.rtd",,"OPEN_INT","."&amp;T$2&amp;T$1&amp;"P"&amp;$A41)),0),IF($X$1="ABS",IF(RTD("tos.rtd",,$A$2,"."&amp;T$2&amp;T$1&amp;"C"&amp;$A41)="N/A",0,RTD("tos.rtd",,$A$2,"."&amp;T$2&amp;T$1&amp;"C"&amp;$A41))+IF(RTD("tos.rtd",,$A$2,"."&amp;T$2&amp;T$1&amp;"P"&amp;$A41)="N/A",0,RTD("tos.rtd",,$A$2,"."&amp;T$2&amp;T$1&amp;"P"&amp;$A41)),IF(RTD("tos.rtd",,$A$2,"."&amp;T$2&amp;T$1&amp;"C"&amp;$A41)="N/A",0,RTD("tos.rtd",,$A$2,"."&amp;T$2&amp;T$1&amp;"C"&amp;$A41))-IF(RTD("tos.rtd",,$A$2,"."&amp;T$2&amp;T$1&amp;"P"&amp;$A41)="N/A",0,RTD("tos.rtd",,$A$2,"."&amp;T$2&amp;T$1&amp;"P"&amp;$A41))))))))))</f>
        <v>0</v>
      </c>
      <c r="U41" s="12">
        <f ca="1">IF($A$2="PREMIUM_OI",IFERROR(IF($X$1="ABS",(100*RTD("tos.rtd",,"OPEN_INT","."&amp;U$2&amp;U$1&amp;"C"&amp;$A41)*RTD("tos.rtd",,"LAST","."&amp;U$2&amp;U$1&amp;"C"&amp;$A41)+100*RTD("tos.rtd",,"OPEN_INT","."&amp;U$2&amp;U$1&amp;"P"&amp;$A41)*RTD("tos.rtd",,"LAST","."&amp;U$2&amp;U$1&amp;"P"&amp;$A41))/1000000,(100*RTD("tos.rtd",,"OPEN_INT","."&amp;U$2&amp;U$1&amp;"C"&amp;$A41)*RTD("tos.rtd",,"LAST","."&amp;U$2&amp;U$1&amp;"C"&amp;$A41)-100*RTD("tos.rtd",,"OPEN_INT","."&amp;U$2&amp;U$1&amp;"P"&amp;$A41)*RTD("tos.rtd",,"LAST","."&amp;U$2&amp;U$1&amp;"P"&amp;$A41))/1000000),0),IF($A$2="PREMIUM",IFERROR(IF($X$1="ABS",(100*RTD("tos.rtd",,"VOLUME","."&amp;U$2&amp;U$1&amp;"C"&amp;$A41)*RTD("tos.rtd",,"LAST","."&amp;U$2&amp;U$1&amp;"C"&amp;$A41)+100*RTD("tos.rtd",,"VOLUME","."&amp;U$2&amp;U$1&amp;"P"&amp;$A41)*RTD("tos.rtd",,"LAST","."&amp;U$2&amp;U$1&amp;"P"&amp;$A41))/1000000,(100*RTD("tos.rtd",,"VOLUME","."&amp;U$2&amp;U$1&amp;"C"&amp;$A41)*RTD("tos.rtd",,"LAST","."&amp;U$2&amp;U$1&amp;"C"&amp;$A41)-100*RTD("tos.rtd",,"VOLUME","."&amp;U$2&amp;U$1&amp;"P"&amp;$A41)*RTD("tos.rtd",,"LAST","."&amp;U$2&amp;U$1&amp;"P"&amp;$A41))/1000000),0),IF($A$2="DEX",IFERROR(IF($X$1="ABS",(100*RTD("tos.rtd",,"OPEN_INT","."&amp;U$2&amp;U$1&amp;"C"&amp;$A41)*RTD("tos.rtd",,"DELTA","."&amp;U$2&amp;U$1&amp;"C"&amp;$A41)+100*RTD("tos.rtd",,"OPEN_INT","."&amp;U$2&amp;U$1&amp;"P"&amp;$A41)*RTD("tos.rtd",,"DELTA","."&amp;U$2&amp;U$1&amp;"P"&amp;$A41))/1000,(100*RTD("tos.rtd",,"OPEN_INT","."&amp;U$2&amp;U$1&amp;"C"&amp;$A41)*RTD("tos.rtd",,"DELTA","."&amp;U$2&amp;U$1&amp;"C"&amp;$A41)-100*RTD("tos.rtd",,"OPEN_INT","."&amp;U$2&amp;U$1&amp;"P"&amp;$A41)*RTD("tos.rtd",,"DELTA","."&amp;U$2&amp;U$1&amp;"P"&amp;$A41))/1000),0),IF($A$2="VEX",IFERROR(IF($X$1="ABS",($A$4*$A$4*RTD("tos.rtd",,"VOLUME","."&amp;U$2&amp;U$1&amp;"C"&amp;$A41)*RTD("tos.rtd",,"GAMMA","."&amp;U$2&amp;U$1&amp;"C"&amp;$A41)+$A$4*$A$4*RTD("tos.rtd",,"VOLUME","."&amp;U$2&amp;U$1&amp;"P"&amp;$A41)*RTD("tos.rtd",,"GAMMA","."&amp;U$2&amp;U$1&amp;"P"&amp;$A41))/1000000,($A$4*$A$4*RTD("tos.rtd",,"VOLUME","."&amp;U$2&amp;U$1&amp;"C"&amp;$A41)*RTD("tos.rtd",,"GAMMA","."&amp;U$2&amp;U$1&amp;"C"&amp;$A41)-$A$4*$A$4*RTD("tos.rtd",,"VOLUME","."&amp;U$2&amp;U$1&amp;"P"&amp;$A41)*RTD("tos.rtd",,"GAMMA","."&amp;U$2&amp;U$1&amp;"P"&amp;$A41))/1000000),0),IF($A$2="GEX",IFERROR(IF($X$1="ABS",($A$4*$A$4*RTD("tos.rtd",,"OPEN_INT","."&amp;U$2&amp;U$1&amp;"C"&amp;$A41)*RTD("tos.rtd",,"GAMMA","."&amp;U$2&amp;U$1&amp;"C"&amp;$A41)+$A$4*$A$4*RTD("tos.rtd",,"OPEN_INT","."&amp;U$2&amp;U$1&amp;"P"&amp;$A41)*RTD("tos.rtd",,"GAMMA","."&amp;U$2&amp;U$1&amp;"P"&amp;$A41))/1000000,($A$4*$A$4*RTD("tos.rtd",,"OPEN_INT","."&amp;U$2&amp;U$1&amp;"C"&amp;$A41)*RTD("tos.rtd",,"GAMMA","."&amp;U$2&amp;U$1&amp;"C"&amp;$A41)-$A$4*$A$4*RTD("tos.rtd",,"OPEN_INT","."&amp;U$2&amp;U$1&amp;"P"&amp;$A41)*RTD("tos.rtd",,"GAMMA","."&amp;U$2&amp;U$1&amp;"P"&amp;$A41))/1000000),0),IF($A$2="SKEW",IFERROR(VALUE(IF(RTD("tos.rtd",,"IMPL_VOL","."&amp;U$2&amp;U$1&amp;"P"&amp;$A41)="N/A",0,RTD("tos.rtd",,"IMPL_VOL","."&amp;U$2&amp;U$1&amp;"P"&amp;$A41))),0)-IFERROR(VALUE(IF(RTD("tos.rtd",,"IMPL_VOL","."&amp;U$2&amp;U$1&amp;"C"&amp;$A41)="N/A",0,RTD("tos.rtd",,"IMPL_VOL","."&amp;U$2&amp;U$1&amp;"C"&amp;$A41))),0),IF($A$2="MAXPAIN",IF($A$4&gt;$A41,($A$4-$A41)*IF(RTD("tos.rtd",,"OPEN_INT","."&amp;U$2&amp;U$1&amp;"C"&amp;$A41)="N/A",0,RTD("tos.rtd",,"OPEN_INT","."&amp;U$2&amp;U$1&amp;"C"&amp;$A41)),0)+IF($A$4&lt;$A41,($A$5-$A$4)*IF(RTD("tos.rtd",,"OPEN_INT","."&amp;U$2&amp;U$1&amp;"P"&amp;$A41)="N/A",0,RTD("tos.rtd",,"OPEN_INT","."&amp;U$2&amp;U$1&amp;"P"&amp;$A41)),0),IF($X$1="ABS",IF(RTD("tos.rtd",,$A$2,"."&amp;U$2&amp;U$1&amp;"C"&amp;$A41)="N/A",0,RTD("tos.rtd",,$A$2,"."&amp;U$2&amp;U$1&amp;"C"&amp;$A41))+IF(RTD("tos.rtd",,$A$2,"."&amp;U$2&amp;U$1&amp;"P"&amp;$A41)="N/A",0,RTD("tos.rtd",,$A$2,"."&amp;U$2&amp;U$1&amp;"P"&amp;$A41)),IF(RTD("tos.rtd",,$A$2,"."&amp;U$2&amp;U$1&amp;"C"&amp;$A41)="N/A",0,RTD("tos.rtd",,$A$2,"."&amp;U$2&amp;U$1&amp;"C"&amp;$A41))-IF(RTD("tos.rtd",,$A$2,"."&amp;U$2&amp;U$1&amp;"P"&amp;$A41)="N/A",0,RTD("tos.rtd",,$A$2,"."&amp;U$2&amp;U$1&amp;"P"&amp;$A41))))))))))</f>
        <v>0</v>
      </c>
      <c r="V41" s="12">
        <f ca="1">IF($A$2="PREMIUM_OI",IFERROR(IF($X$1="ABS",(100*RTD("tos.rtd",,"OPEN_INT","."&amp;V$2&amp;V$1&amp;"C"&amp;$A41)*RTD("tos.rtd",,"LAST","."&amp;V$2&amp;V$1&amp;"C"&amp;$A41)+100*RTD("tos.rtd",,"OPEN_INT","."&amp;V$2&amp;V$1&amp;"P"&amp;$A41)*RTD("tos.rtd",,"LAST","."&amp;V$2&amp;V$1&amp;"P"&amp;$A41))/1000000,(100*RTD("tos.rtd",,"OPEN_INT","."&amp;V$2&amp;V$1&amp;"C"&amp;$A41)*RTD("tos.rtd",,"LAST","."&amp;V$2&amp;V$1&amp;"C"&amp;$A41)-100*RTD("tos.rtd",,"OPEN_INT","."&amp;V$2&amp;V$1&amp;"P"&amp;$A41)*RTD("tos.rtd",,"LAST","."&amp;V$2&amp;V$1&amp;"P"&amp;$A41))/1000000),0),IF($A$2="PREMIUM",IFERROR(IF($X$1="ABS",(100*RTD("tos.rtd",,"VOLUME","."&amp;V$2&amp;V$1&amp;"C"&amp;$A41)*RTD("tos.rtd",,"LAST","."&amp;V$2&amp;V$1&amp;"C"&amp;$A41)+100*RTD("tos.rtd",,"VOLUME","."&amp;V$2&amp;V$1&amp;"P"&amp;$A41)*RTD("tos.rtd",,"LAST","."&amp;V$2&amp;V$1&amp;"P"&amp;$A41))/1000000,(100*RTD("tos.rtd",,"VOLUME","."&amp;V$2&amp;V$1&amp;"C"&amp;$A41)*RTD("tos.rtd",,"LAST","."&amp;V$2&amp;V$1&amp;"C"&amp;$A41)-100*RTD("tos.rtd",,"VOLUME","."&amp;V$2&amp;V$1&amp;"P"&amp;$A41)*RTD("tos.rtd",,"LAST","."&amp;V$2&amp;V$1&amp;"P"&amp;$A41))/1000000),0),IF($A$2="DEX",IFERROR(IF($X$1="ABS",(100*RTD("tos.rtd",,"OPEN_INT","."&amp;V$2&amp;V$1&amp;"C"&amp;$A41)*RTD("tos.rtd",,"DELTA","."&amp;V$2&amp;V$1&amp;"C"&amp;$A41)+100*RTD("tos.rtd",,"OPEN_INT","."&amp;V$2&amp;V$1&amp;"P"&amp;$A41)*RTD("tos.rtd",,"DELTA","."&amp;V$2&amp;V$1&amp;"P"&amp;$A41))/1000,(100*RTD("tos.rtd",,"OPEN_INT","."&amp;V$2&amp;V$1&amp;"C"&amp;$A41)*RTD("tos.rtd",,"DELTA","."&amp;V$2&amp;V$1&amp;"C"&amp;$A41)-100*RTD("tos.rtd",,"OPEN_INT","."&amp;V$2&amp;V$1&amp;"P"&amp;$A41)*RTD("tos.rtd",,"DELTA","."&amp;V$2&amp;V$1&amp;"P"&amp;$A41))/1000),0),IF($A$2="VEX",IFERROR(IF($X$1="ABS",($A$4*$A$4*RTD("tos.rtd",,"VOLUME","."&amp;V$2&amp;V$1&amp;"C"&amp;$A41)*RTD("tos.rtd",,"GAMMA","."&amp;V$2&amp;V$1&amp;"C"&amp;$A41)+$A$4*$A$4*RTD("tos.rtd",,"VOLUME","."&amp;V$2&amp;V$1&amp;"P"&amp;$A41)*RTD("tos.rtd",,"GAMMA","."&amp;V$2&amp;V$1&amp;"P"&amp;$A41))/1000000,($A$4*$A$4*RTD("tos.rtd",,"VOLUME","."&amp;V$2&amp;V$1&amp;"C"&amp;$A41)*RTD("tos.rtd",,"GAMMA","."&amp;V$2&amp;V$1&amp;"C"&amp;$A41)-$A$4*$A$4*RTD("tos.rtd",,"VOLUME","."&amp;V$2&amp;V$1&amp;"P"&amp;$A41)*RTD("tos.rtd",,"GAMMA","."&amp;V$2&amp;V$1&amp;"P"&amp;$A41))/1000000),0),IF($A$2="GEX",IFERROR(IF($X$1="ABS",($A$4*$A$4*RTD("tos.rtd",,"OPEN_INT","."&amp;V$2&amp;V$1&amp;"C"&amp;$A41)*RTD("tos.rtd",,"GAMMA","."&amp;V$2&amp;V$1&amp;"C"&amp;$A41)+$A$4*$A$4*RTD("tos.rtd",,"OPEN_INT","."&amp;V$2&amp;V$1&amp;"P"&amp;$A41)*RTD("tos.rtd",,"GAMMA","."&amp;V$2&amp;V$1&amp;"P"&amp;$A41))/1000000,($A$4*$A$4*RTD("tos.rtd",,"OPEN_INT","."&amp;V$2&amp;V$1&amp;"C"&amp;$A41)*RTD("tos.rtd",,"GAMMA","."&amp;V$2&amp;V$1&amp;"C"&amp;$A41)-$A$4*$A$4*RTD("tos.rtd",,"OPEN_INT","."&amp;V$2&amp;V$1&amp;"P"&amp;$A41)*RTD("tos.rtd",,"GAMMA","."&amp;V$2&amp;V$1&amp;"P"&amp;$A41))/1000000),0),IF($A$2="SKEW",IFERROR(VALUE(IF(RTD("tos.rtd",,"IMPL_VOL","."&amp;V$2&amp;V$1&amp;"P"&amp;$A41)="N/A",0,RTD("tos.rtd",,"IMPL_VOL","."&amp;V$2&amp;V$1&amp;"P"&amp;$A41))),0)-IFERROR(VALUE(IF(RTD("tos.rtd",,"IMPL_VOL","."&amp;V$2&amp;V$1&amp;"C"&amp;$A41)="N/A",0,RTD("tos.rtd",,"IMPL_VOL","."&amp;V$2&amp;V$1&amp;"C"&amp;$A41))),0),IF($A$2="MAXPAIN",IF($A$4&gt;$A41,($A$4-$A41)*IF(RTD("tos.rtd",,"OPEN_INT","."&amp;V$2&amp;V$1&amp;"C"&amp;$A41)="N/A",0,RTD("tos.rtd",,"OPEN_INT","."&amp;V$2&amp;V$1&amp;"C"&amp;$A41)),0)+IF($A$4&lt;$A41,($A$5-$A$4)*IF(RTD("tos.rtd",,"OPEN_INT","."&amp;V$2&amp;V$1&amp;"P"&amp;$A41)="N/A",0,RTD("tos.rtd",,"OPEN_INT","."&amp;V$2&amp;V$1&amp;"P"&amp;$A41)),0),IF($X$1="ABS",IF(RTD("tos.rtd",,$A$2,"."&amp;V$2&amp;V$1&amp;"C"&amp;$A41)="N/A",0,RTD("tos.rtd",,$A$2,"."&amp;V$2&amp;V$1&amp;"C"&amp;$A41))+IF(RTD("tos.rtd",,$A$2,"."&amp;V$2&amp;V$1&amp;"P"&amp;$A41)="N/A",0,RTD("tos.rtd",,$A$2,"."&amp;V$2&amp;V$1&amp;"P"&amp;$A41)),IF(RTD("tos.rtd",,$A$2,"."&amp;V$2&amp;V$1&amp;"C"&amp;$A41)="N/A",0,RTD("tos.rtd",,$A$2,"."&amp;V$2&amp;V$1&amp;"C"&amp;$A41))-IF(RTD("tos.rtd",,$A$2,"."&amp;V$2&amp;V$1&amp;"P"&amp;$A41)="N/A",0,RTD("tos.rtd",,$A$2,"."&amp;V$2&amp;V$1&amp;"P"&amp;$A41))))))))))</f>
        <v>0</v>
      </c>
      <c r="W41" s="12">
        <f ca="1">IF($A$2="PREMIUM_OI",IFERROR(IF($X$1="ABS",(100*RTD("tos.rtd",,"OPEN_INT","."&amp;W$2&amp;W$1&amp;"C"&amp;$A41)*RTD("tos.rtd",,"LAST","."&amp;W$2&amp;W$1&amp;"C"&amp;$A41)+100*RTD("tos.rtd",,"OPEN_INT","."&amp;W$2&amp;W$1&amp;"P"&amp;$A41)*RTD("tos.rtd",,"LAST","."&amp;W$2&amp;W$1&amp;"P"&amp;$A41))/1000000,(100*RTD("tos.rtd",,"OPEN_INT","."&amp;W$2&amp;W$1&amp;"C"&amp;$A41)*RTD("tos.rtd",,"LAST","."&amp;W$2&amp;W$1&amp;"C"&amp;$A41)-100*RTD("tos.rtd",,"OPEN_INT","."&amp;W$2&amp;W$1&amp;"P"&amp;$A41)*RTD("tos.rtd",,"LAST","."&amp;W$2&amp;W$1&amp;"P"&amp;$A41))/1000000),0),IF($A$2="PREMIUM",IFERROR(IF($X$1="ABS",(100*RTD("tos.rtd",,"VOLUME","."&amp;W$2&amp;W$1&amp;"C"&amp;$A41)*RTD("tos.rtd",,"LAST","."&amp;W$2&amp;W$1&amp;"C"&amp;$A41)+100*RTD("tos.rtd",,"VOLUME","."&amp;W$2&amp;W$1&amp;"P"&amp;$A41)*RTD("tos.rtd",,"LAST","."&amp;W$2&amp;W$1&amp;"P"&amp;$A41))/1000000,(100*RTD("tos.rtd",,"VOLUME","."&amp;W$2&amp;W$1&amp;"C"&amp;$A41)*RTD("tos.rtd",,"LAST","."&amp;W$2&amp;W$1&amp;"C"&amp;$A41)-100*RTD("tos.rtd",,"VOLUME","."&amp;W$2&amp;W$1&amp;"P"&amp;$A41)*RTD("tos.rtd",,"LAST","."&amp;W$2&amp;W$1&amp;"P"&amp;$A41))/1000000),0),IF($A$2="DEX",IFERROR(IF($X$1="ABS",(100*RTD("tos.rtd",,"OPEN_INT","."&amp;W$2&amp;W$1&amp;"C"&amp;$A41)*RTD("tos.rtd",,"DELTA","."&amp;W$2&amp;W$1&amp;"C"&amp;$A41)+100*RTD("tos.rtd",,"OPEN_INT","."&amp;W$2&amp;W$1&amp;"P"&amp;$A41)*RTD("tos.rtd",,"DELTA","."&amp;W$2&amp;W$1&amp;"P"&amp;$A41))/1000,(100*RTD("tos.rtd",,"OPEN_INT","."&amp;W$2&amp;W$1&amp;"C"&amp;$A41)*RTD("tos.rtd",,"DELTA","."&amp;W$2&amp;W$1&amp;"C"&amp;$A41)-100*RTD("tos.rtd",,"OPEN_INT","."&amp;W$2&amp;W$1&amp;"P"&amp;$A41)*RTD("tos.rtd",,"DELTA","."&amp;W$2&amp;W$1&amp;"P"&amp;$A41))/1000),0),IF($A$2="VEX",IFERROR(IF($X$1="ABS",($A$4*$A$4*RTD("tos.rtd",,"VOLUME","."&amp;W$2&amp;W$1&amp;"C"&amp;$A41)*RTD("tos.rtd",,"GAMMA","."&amp;W$2&amp;W$1&amp;"C"&amp;$A41)+$A$4*$A$4*RTD("tos.rtd",,"VOLUME","."&amp;W$2&amp;W$1&amp;"P"&amp;$A41)*RTD("tos.rtd",,"GAMMA","."&amp;W$2&amp;W$1&amp;"P"&amp;$A41))/1000000,($A$4*$A$4*RTD("tos.rtd",,"VOLUME","."&amp;W$2&amp;W$1&amp;"C"&amp;$A41)*RTD("tos.rtd",,"GAMMA","."&amp;W$2&amp;W$1&amp;"C"&amp;$A41)-$A$4*$A$4*RTD("tos.rtd",,"VOLUME","."&amp;W$2&amp;W$1&amp;"P"&amp;$A41)*RTD("tos.rtd",,"GAMMA","."&amp;W$2&amp;W$1&amp;"P"&amp;$A41))/1000000),0),IF($A$2="GEX",IFERROR(IF($X$1="ABS",($A$4*$A$4*RTD("tos.rtd",,"OPEN_INT","."&amp;W$2&amp;W$1&amp;"C"&amp;$A41)*RTD("tos.rtd",,"GAMMA","."&amp;W$2&amp;W$1&amp;"C"&amp;$A41)+$A$4*$A$4*RTD("tos.rtd",,"OPEN_INT","."&amp;W$2&amp;W$1&amp;"P"&amp;$A41)*RTD("tos.rtd",,"GAMMA","."&amp;W$2&amp;W$1&amp;"P"&amp;$A41))/1000000,($A$4*$A$4*RTD("tos.rtd",,"OPEN_INT","."&amp;W$2&amp;W$1&amp;"C"&amp;$A41)*RTD("tos.rtd",,"GAMMA","."&amp;W$2&amp;W$1&amp;"C"&amp;$A41)-$A$4*$A$4*RTD("tos.rtd",,"OPEN_INT","."&amp;W$2&amp;W$1&amp;"P"&amp;$A41)*RTD("tos.rtd",,"GAMMA","."&amp;W$2&amp;W$1&amp;"P"&amp;$A41))/1000000),0),IF($A$2="SKEW",IFERROR(VALUE(IF(RTD("tos.rtd",,"IMPL_VOL","."&amp;W$2&amp;W$1&amp;"P"&amp;$A41)="N/A",0,RTD("tos.rtd",,"IMPL_VOL","."&amp;W$2&amp;W$1&amp;"P"&amp;$A41))),0)-IFERROR(VALUE(IF(RTD("tos.rtd",,"IMPL_VOL","."&amp;W$2&amp;W$1&amp;"C"&amp;$A41)="N/A",0,RTD("tos.rtd",,"IMPL_VOL","."&amp;W$2&amp;W$1&amp;"C"&amp;$A41))),0),IF($A$2="MAXPAIN",IF($A$4&gt;$A41,($A$4-$A41)*IF(RTD("tos.rtd",,"OPEN_INT","."&amp;W$2&amp;W$1&amp;"C"&amp;$A41)="N/A",0,RTD("tos.rtd",,"OPEN_INT","."&amp;W$2&amp;W$1&amp;"C"&amp;$A41)),0)+IF($A$4&lt;$A41,($A$5-$A$4)*IF(RTD("tos.rtd",,"OPEN_INT","."&amp;W$2&amp;W$1&amp;"P"&amp;$A41)="N/A",0,RTD("tos.rtd",,"OPEN_INT","."&amp;W$2&amp;W$1&amp;"P"&amp;$A41)),0),IF($X$1="ABS",IF(RTD("tos.rtd",,$A$2,"."&amp;W$2&amp;W$1&amp;"C"&amp;$A41)="N/A",0,RTD("tos.rtd",,$A$2,"."&amp;W$2&amp;W$1&amp;"C"&amp;$A41))+IF(RTD("tos.rtd",,$A$2,"."&amp;W$2&amp;W$1&amp;"P"&amp;$A41)="N/A",0,RTD("tos.rtd",,$A$2,"."&amp;W$2&amp;W$1&amp;"P"&amp;$A41)),IF(RTD("tos.rtd",,$A$2,"."&amp;W$2&amp;W$1&amp;"C"&amp;$A41)="N/A",0,RTD("tos.rtd",,$A$2,"."&amp;W$2&amp;W$1&amp;"C"&amp;$A41))-IF(RTD("tos.rtd",,$A$2,"."&amp;W$2&amp;W$1&amp;"P"&amp;$A41)="N/A",0,RTD("tos.rtd",,$A$2,"."&amp;W$2&amp;W$1&amp;"P"&amp;$A41))))))))))</f>
        <v>0</v>
      </c>
      <c r="X41" s="57">
        <f t="shared" ca="1" si="7"/>
        <v>3453</v>
      </c>
      <c r="Y41" s="27">
        <f t="shared" ca="1" si="8"/>
        <v>3453</v>
      </c>
      <c r="Z41" s="27">
        <f t="shared" ca="1" si="9"/>
        <v>3391.6666666666665</v>
      </c>
      <c r="AA41" s="27">
        <f t="shared" si="10"/>
        <v>25478450</v>
      </c>
      <c r="AB41" s="18">
        <f>MAX(0, $A41-AB$4)*IF(RTD("tos.rtd",,"OPEN_INT","."&amp;$AA$3&amp;$AA$4&amp;"C"&amp;AB$4)="N/A",0,RTD("tos.rtd",,"OPEN_INT","."&amp;$AA$3&amp;$AA$4&amp;"C"&amp;AB$4))*100 + MAX(0, AB$4-$A41)*IF(RTD("tos.rtd",,"OPEN_INT","."&amp;$AA$3&amp;$AA$4&amp;"P"&amp;AB$4)="N/A",0,RTD("tos.rtd",,"OPEN_INT","."&amp;$AA$3&amp;$AA$4&amp;"P"&amp;AB$4))*100</f>
        <v>0</v>
      </c>
      <c r="AC41" s="18">
        <f>MAX(0, $A41-AC$4)*IF(RTD("tos.rtd",,"OPEN_INT","."&amp;$AA$3&amp;$AA$4&amp;"C"&amp;AC$4)="N/A",0,RTD("tos.rtd",,"OPEN_INT","."&amp;$AA$3&amp;$AA$4&amp;"C"&amp;AC$4))*100 + MAX(0, AC$4-$A41)*IF(RTD("tos.rtd",,"OPEN_INT","."&amp;$AA$3&amp;$AA$4&amp;"P"&amp;AC$4)="N/A",0,RTD("tos.rtd",,"OPEN_INT","."&amp;$AA$3&amp;$AA$4&amp;"P"&amp;AC$4))*100</f>
        <v>0</v>
      </c>
      <c r="AD41" s="18">
        <f>MAX(0, $A41-AD$4)*IF(RTD("tos.rtd",,"OPEN_INT","."&amp;$AA$3&amp;$AA$4&amp;"C"&amp;AD$4)="N/A",0,RTD("tos.rtd",,"OPEN_INT","."&amp;$AA$3&amp;$AA$4&amp;"C"&amp;AD$4))*100 + MAX(0, AD$4-$A41)*IF(RTD("tos.rtd",,"OPEN_INT","."&amp;$AA$3&amp;$AA$4&amp;"P"&amp;AD$4)="N/A",0,RTD("tos.rtd",,"OPEN_INT","."&amp;$AA$3&amp;$AA$4&amp;"P"&amp;AD$4))*100</f>
        <v>0</v>
      </c>
      <c r="AE41" s="18">
        <f>MAX(0, $A41-AE$4)*IF(RTD("tos.rtd",,"OPEN_INT","."&amp;$AA$3&amp;$AA$4&amp;"C"&amp;AE$4)="N/A",0,RTD("tos.rtd",,"OPEN_INT","."&amp;$AA$3&amp;$AA$4&amp;"C"&amp;AE$4))*100 + MAX(0, AE$4-$A41)*IF(RTD("tos.rtd",,"OPEN_INT","."&amp;$AA$3&amp;$AA$4&amp;"P"&amp;AE$4)="N/A",0,RTD("tos.rtd",,"OPEN_INT","."&amp;$AA$3&amp;$AA$4&amp;"P"&amp;AE$4))*100</f>
        <v>0</v>
      </c>
      <c r="AF41" s="18">
        <f>MAX(0, $A41-AF$4)*IF(RTD("tos.rtd",,"OPEN_INT","."&amp;$AA$3&amp;$AA$4&amp;"C"&amp;AF$4)="N/A",0,RTD("tos.rtd",,"OPEN_INT","."&amp;$AA$3&amp;$AA$4&amp;"C"&amp;AF$4))*100 + MAX(0, AF$4-$A41)*IF(RTD("tos.rtd",,"OPEN_INT","."&amp;$AA$3&amp;$AA$4&amp;"P"&amp;AF$4)="N/A",0,RTD("tos.rtd",,"OPEN_INT","."&amp;$AA$3&amp;$AA$4&amp;"P"&amp;AF$4))*100</f>
        <v>0</v>
      </c>
      <c r="AG41" s="18">
        <f>MAX(0, $A41-AG$4)*IF(RTD("tos.rtd",,"OPEN_INT","."&amp;$AA$3&amp;$AA$4&amp;"C"&amp;AG$4)="N/A",0,RTD("tos.rtd",,"OPEN_INT","."&amp;$AA$3&amp;$AA$4&amp;"C"&amp;AG$4))*100 + MAX(0, AG$4-$A41)*IF(RTD("tos.rtd",,"OPEN_INT","."&amp;$AA$3&amp;$AA$4&amp;"P"&amp;AG$4)="N/A",0,RTD("tos.rtd",,"OPEN_INT","."&amp;$AA$3&amp;$AA$4&amp;"P"&amp;AG$4))*100</f>
        <v>0</v>
      </c>
      <c r="AH41" s="18">
        <f>MAX(0, $A41-AH$4)*IF(RTD("tos.rtd",,"OPEN_INT","."&amp;$AA$3&amp;$AA$4&amp;"C"&amp;AH$4)="N/A",0,RTD("tos.rtd",,"OPEN_INT","."&amp;$AA$3&amp;$AA$4&amp;"C"&amp;AH$4))*100 + MAX(0, AH$4-$A41)*IF(RTD("tos.rtd",,"OPEN_INT","."&amp;$AA$3&amp;$AA$4&amp;"P"&amp;AH$4)="N/A",0,RTD("tos.rtd",,"OPEN_INT","."&amp;$AA$3&amp;$AA$4&amp;"P"&amp;AH$4))*100</f>
        <v>0</v>
      </c>
      <c r="AI41" s="18">
        <f>MAX(0, $A41-AI$4)*IF(RTD("tos.rtd",,"OPEN_INT","."&amp;$AA$3&amp;$AA$4&amp;"C"&amp;AI$4)="N/A",0,RTD("tos.rtd",,"OPEN_INT","."&amp;$AA$3&amp;$AA$4&amp;"C"&amp;AI$4))*100 + MAX(0, AI$4-$A41)*IF(RTD("tos.rtd",,"OPEN_INT","."&amp;$AA$3&amp;$AA$4&amp;"P"&amp;AI$4)="N/A",0,RTD("tos.rtd",,"OPEN_INT","."&amp;$AA$3&amp;$AA$4&amp;"P"&amp;AI$4))*100</f>
        <v>4350</v>
      </c>
      <c r="AJ41" s="18">
        <f>MAX(0, $A41-AJ$4)*IF(RTD("tos.rtd",,"OPEN_INT","."&amp;$AA$3&amp;$AA$4&amp;"C"&amp;AJ$4)="N/A",0,RTD("tos.rtd",,"OPEN_INT","."&amp;$AA$3&amp;$AA$4&amp;"C"&amp;AJ$4))*100 + MAX(0, AJ$4-$A41)*IF(RTD("tos.rtd",,"OPEN_INT","."&amp;$AA$3&amp;$AA$4&amp;"P"&amp;AJ$4)="N/A",0,RTD("tos.rtd",,"OPEN_INT","."&amp;$AA$3&amp;$AA$4&amp;"P"&amp;AJ$4))*100</f>
        <v>11200</v>
      </c>
      <c r="AK41" s="18">
        <f>MAX(0, $A41-AK$4)*IF(RTD("tos.rtd",,"OPEN_INT","."&amp;$AA$3&amp;$AA$4&amp;"C"&amp;AK$4)="N/A",0,RTD("tos.rtd",,"OPEN_INT","."&amp;$AA$3&amp;$AA$4&amp;"C"&amp;AK$4))*100 + MAX(0, AK$4-$A41)*IF(RTD("tos.rtd",,"OPEN_INT","."&amp;$AA$3&amp;$AA$4&amp;"P"&amp;AK$4)="N/A",0,RTD("tos.rtd",,"OPEN_INT","."&amp;$AA$3&amp;$AA$4&amp;"P"&amp;AK$4))*100</f>
        <v>0</v>
      </c>
      <c r="AL41" s="18">
        <f>MAX(0, $A41-AL$4)*IF(RTD("tos.rtd",,"OPEN_INT","."&amp;$AA$3&amp;$AA$4&amp;"C"&amp;AL$4)="N/A",0,RTD("tos.rtd",,"OPEN_INT","."&amp;$AA$3&amp;$AA$4&amp;"C"&amp;AL$4))*100 + MAX(0, AL$4-$A41)*IF(RTD("tos.rtd",,"OPEN_INT","."&amp;$AA$3&amp;$AA$4&amp;"P"&amp;AL$4)="N/A",0,RTD("tos.rtd",,"OPEN_INT","."&amp;$AA$3&amp;$AA$4&amp;"P"&amp;AL$4))*100</f>
        <v>0</v>
      </c>
      <c r="AM41" s="18">
        <f>MAX(0, $A41-AM$4)*IF(RTD("tos.rtd",,"OPEN_INT","."&amp;$AA$3&amp;$AA$4&amp;"C"&amp;AM$4)="N/A",0,RTD("tos.rtd",,"OPEN_INT","."&amp;$AA$3&amp;$AA$4&amp;"C"&amp;AM$4))*100 + MAX(0, AM$4-$A41)*IF(RTD("tos.rtd",,"OPEN_INT","."&amp;$AA$3&amp;$AA$4&amp;"P"&amp;AM$4)="N/A",0,RTD("tos.rtd",,"OPEN_INT","."&amp;$AA$3&amp;$AA$4&amp;"P"&amp;AM$4))*100</f>
        <v>0</v>
      </c>
      <c r="AN41" s="18">
        <f>MAX(0, $A41-AN$4)*IF(RTD("tos.rtd",,"OPEN_INT","."&amp;$AA$3&amp;$AA$4&amp;"C"&amp;AN$4)="N/A",0,RTD("tos.rtd",,"OPEN_INT","."&amp;$AA$3&amp;$AA$4&amp;"C"&amp;AN$4))*100 + MAX(0, AN$4-$A41)*IF(RTD("tos.rtd",,"OPEN_INT","."&amp;$AA$3&amp;$AA$4&amp;"P"&amp;AN$4)="N/A",0,RTD("tos.rtd",,"OPEN_INT","."&amp;$AA$3&amp;$AA$4&amp;"P"&amp;AN$4))*100</f>
        <v>0</v>
      </c>
      <c r="AO41" s="18">
        <f>MAX(0, $A41-AO$4)*IF(RTD("tos.rtd",,"OPEN_INT","."&amp;$AA$3&amp;$AA$4&amp;"C"&amp;AO$4)="N/A",0,RTD("tos.rtd",,"OPEN_INT","."&amp;$AA$3&amp;$AA$4&amp;"C"&amp;AO$4))*100 + MAX(0, AO$4-$A41)*IF(RTD("tos.rtd",,"OPEN_INT","."&amp;$AA$3&amp;$AA$4&amp;"P"&amp;AO$4)="N/A",0,RTD("tos.rtd",,"OPEN_INT","."&amp;$AA$3&amp;$AA$4&amp;"P"&amp;AO$4))*100</f>
        <v>138000</v>
      </c>
      <c r="AP41" s="18">
        <f>MAX(0, $A41-AP$4)*IF(RTD("tos.rtd",,"OPEN_INT","."&amp;$AA$3&amp;$AA$4&amp;"C"&amp;AP$4)="N/A",0,RTD("tos.rtd",,"OPEN_INT","."&amp;$AA$3&amp;$AA$4&amp;"C"&amp;AP$4))*100 + MAX(0, AP$4-$A41)*IF(RTD("tos.rtd",,"OPEN_INT","."&amp;$AA$3&amp;$AA$4&amp;"P"&amp;AP$4)="N/A",0,RTD("tos.rtd",,"OPEN_INT","."&amp;$AA$3&amp;$AA$4&amp;"P"&amp;AP$4))*100</f>
        <v>0</v>
      </c>
      <c r="AQ41" s="18">
        <f>MAX(0, $A41-AQ$4)*IF(RTD("tos.rtd",,"OPEN_INT","."&amp;$AA$3&amp;$AA$4&amp;"C"&amp;AQ$4)="N/A",0,RTD("tos.rtd",,"OPEN_INT","."&amp;$AA$3&amp;$AA$4&amp;"C"&amp;AQ$4))*100 + MAX(0, AQ$4-$A41)*IF(RTD("tos.rtd",,"OPEN_INT","."&amp;$AA$3&amp;$AA$4&amp;"P"&amp;AQ$4)="N/A",0,RTD("tos.rtd",,"OPEN_INT","."&amp;$AA$3&amp;$AA$4&amp;"P"&amp;AQ$4))*100</f>
        <v>55650</v>
      </c>
      <c r="AR41" s="18">
        <f>MAX(0, $A41-AR$4)*IF(RTD("tos.rtd",,"OPEN_INT","."&amp;$AA$3&amp;$AA$4&amp;"C"&amp;AR$4)="N/A",0,RTD("tos.rtd",,"OPEN_INT","."&amp;$AA$3&amp;$AA$4&amp;"C"&amp;AR$4))*100 + MAX(0, AR$4-$A41)*IF(RTD("tos.rtd",,"OPEN_INT","."&amp;$AA$3&amp;$AA$4&amp;"P"&amp;AR$4)="N/A",0,RTD("tos.rtd",,"OPEN_INT","."&amp;$AA$3&amp;$AA$4&amp;"P"&amp;AR$4))*100</f>
        <v>6000</v>
      </c>
      <c r="AS41" s="18">
        <f>MAX(0, $A41-AS$4)*IF(RTD("tos.rtd",,"OPEN_INT","."&amp;$AA$3&amp;$AA$4&amp;"C"&amp;AS$4)="N/A",0,RTD("tos.rtd",,"OPEN_INT","."&amp;$AA$3&amp;$AA$4&amp;"C"&amp;AS$4))*100 + MAX(0, AS$4-$A41)*IF(RTD("tos.rtd",,"OPEN_INT","."&amp;$AA$3&amp;$AA$4&amp;"P"&amp;AS$4)="N/A",0,RTD("tos.rtd",,"OPEN_INT","."&amp;$AA$3&amp;$AA$4&amp;"P"&amp;AS$4))*100</f>
        <v>58900</v>
      </c>
      <c r="AT41" s="18">
        <f>MAX(0, $A41-AT$4)*IF(RTD("tos.rtd",,"OPEN_INT","."&amp;$AA$3&amp;$AA$4&amp;"C"&amp;AT$4)="N/A",0,RTD("tos.rtd",,"OPEN_INT","."&amp;$AA$3&amp;$AA$4&amp;"C"&amp;AT$4))*100 + MAX(0, AT$4-$A41)*IF(RTD("tos.rtd",,"OPEN_INT","."&amp;$AA$3&amp;$AA$4&amp;"P"&amp;AT$4)="N/A",0,RTD("tos.rtd",,"OPEN_INT","."&amp;$AA$3&amp;$AA$4&amp;"P"&amp;AT$4))*100</f>
        <v>63000</v>
      </c>
      <c r="AU41" s="18">
        <f>MAX(0, $A41-AU$4)*IF(RTD("tos.rtd",,"OPEN_INT","."&amp;$AA$3&amp;$AA$4&amp;"C"&amp;AU$4)="N/A",0,RTD("tos.rtd",,"OPEN_INT","."&amp;$AA$3&amp;$AA$4&amp;"C"&amp;AU$4))*100 + MAX(0, AU$4-$A41)*IF(RTD("tos.rtd",,"OPEN_INT","."&amp;$AA$3&amp;$AA$4&amp;"P"&amp;AU$4)="N/A",0,RTD("tos.rtd",,"OPEN_INT","."&amp;$AA$3&amp;$AA$4&amp;"P"&amp;AU$4))*100</f>
        <v>34000</v>
      </c>
      <c r="AV41" s="18">
        <f>MAX(0, $A41-AV$4)*IF(RTD("tos.rtd",,"OPEN_INT","."&amp;$AA$3&amp;$AA$4&amp;"C"&amp;AV$4)="N/A",0,RTD("tos.rtd",,"OPEN_INT","."&amp;$AA$3&amp;$AA$4&amp;"C"&amp;AV$4))*100 + MAX(0, AV$4-$A41)*IF(RTD("tos.rtd",,"OPEN_INT","."&amp;$AA$3&amp;$AA$4&amp;"P"&amp;AV$4)="N/A",0,RTD("tos.rtd",,"OPEN_INT","."&amp;$AA$3&amp;$AA$4&amp;"P"&amp;AV$4))*100</f>
        <v>128800</v>
      </c>
      <c r="AW41" s="18">
        <f>MAX(0, $A41-AW$4)*IF(RTD("tos.rtd",,"OPEN_INT","."&amp;$AA$3&amp;$AA$4&amp;"C"&amp;AW$4)="N/A",0,RTD("tos.rtd",,"OPEN_INT","."&amp;$AA$3&amp;$AA$4&amp;"C"&amp;AW$4))*100 + MAX(0, AW$4-$A41)*IF(RTD("tos.rtd",,"OPEN_INT","."&amp;$AA$3&amp;$AA$4&amp;"P"&amp;AW$4)="N/A",0,RTD("tos.rtd",,"OPEN_INT","."&amp;$AA$3&amp;$AA$4&amp;"P"&amp;AW$4))*100</f>
        <v>151500</v>
      </c>
      <c r="AX41" s="18">
        <f>MAX(0, $A41-AX$4)*IF(RTD("tos.rtd",,"OPEN_INT","."&amp;$AA$3&amp;$AA$4&amp;"C"&amp;AX$4)="N/A",0,RTD("tos.rtd",,"OPEN_INT","."&amp;$AA$3&amp;$AA$4&amp;"C"&amp;AX$4))*100 + MAX(0, AX$4-$A41)*IF(RTD("tos.rtd",,"OPEN_INT","."&amp;$AA$3&amp;$AA$4&amp;"P"&amp;AX$4)="N/A",0,RTD("tos.rtd",,"OPEN_INT","."&amp;$AA$3&amp;$AA$4&amp;"P"&amp;AX$4))*100</f>
        <v>172900</v>
      </c>
      <c r="AY41" s="18">
        <f>MAX(0, $A41-AY$4)*IF(RTD("tos.rtd",,"OPEN_INT","."&amp;$AA$3&amp;$AA$4&amp;"C"&amp;AY$4)="N/A",0,RTD("tos.rtd",,"OPEN_INT","."&amp;$AA$3&amp;$AA$4&amp;"C"&amp;AY$4))*100 + MAX(0, AY$4-$A41)*IF(RTD("tos.rtd",,"OPEN_INT","."&amp;$AA$3&amp;$AA$4&amp;"P"&amp;AY$4)="N/A",0,RTD("tos.rtd",,"OPEN_INT","."&amp;$AA$3&amp;$AA$4&amp;"P"&amp;AY$4))*100</f>
        <v>1348100</v>
      </c>
      <c r="AZ41" s="18">
        <f>MAX(0, $A41-AZ$4)*IF(RTD("tos.rtd",,"OPEN_INT","."&amp;$AA$3&amp;$AA$4&amp;"C"&amp;AZ$4)="N/A",0,RTD("tos.rtd",,"OPEN_INT","."&amp;$AA$3&amp;$AA$4&amp;"C"&amp;AZ$4))*100 + MAX(0, AZ$4-$A41)*IF(RTD("tos.rtd",,"OPEN_INT","."&amp;$AA$3&amp;$AA$4&amp;"P"&amp;AZ$4)="N/A",0,RTD("tos.rtd",,"OPEN_INT","."&amp;$AA$3&amp;$AA$4&amp;"P"&amp;AZ$4))*100</f>
        <v>340800</v>
      </c>
      <c r="BA41" s="18">
        <f>MAX(0, $A41-BA$4)*IF(RTD("tos.rtd",,"OPEN_INT","."&amp;$AA$3&amp;$AA$4&amp;"C"&amp;BA$4)="N/A",0,RTD("tos.rtd",,"OPEN_INT","."&amp;$AA$3&amp;$AA$4&amp;"C"&amp;BA$4))*100 + MAX(0, BA$4-$A41)*IF(RTD("tos.rtd",,"OPEN_INT","."&amp;$AA$3&amp;$AA$4&amp;"P"&amp;BA$4)="N/A",0,RTD("tos.rtd",,"OPEN_INT","."&amp;$AA$3&amp;$AA$4&amp;"P"&amp;BA$4))*100</f>
        <v>1287000</v>
      </c>
      <c r="BB41" s="18">
        <f>MAX(0, $A41-BB$4)*IF(RTD("tos.rtd",,"OPEN_INT","."&amp;$AA$3&amp;$AA$4&amp;"C"&amp;BB$4)="N/A",0,RTD("tos.rtd",,"OPEN_INT","."&amp;$AA$3&amp;$AA$4&amp;"C"&amp;BB$4))*100 + MAX(0, BB$4-$A41)*IF(RTD("tos.rtd",,"OPEN_INT","."&amp;$AA$3&amp;$AA$4&amp;"P"&amp;BB$4)="N/A",0,RTD("tos.rtd",,"OPEN_INT","."&amp;$AA$3&amp;$AA$4&amp;"P"&amp;BB$4))*100</f>
        <v>1142000</v>
      </c>
      <c r="BC41" s="18">
        <f>MAX(0, $A41-BC$4)*IF(RTD("tos.rtd",,"OPEN_INT","."&amp;$AA$3&amp;$AA$4&amp;"C"&amp;BC$4)="N/A",0,RTD("tos.rtd",,"OPEN_INT","."&amp;$AA$3&amp;$AA$4&amp;"C"&amp;BC$4))*100 + MAX(0, BC$4-$A41)*IF(RTD("tos.rtd",,"OPEN_INT","."&amp;$AA$3&amp;$AA$4&amp;"P"&amp;BC$4)="N/A",0,RTD("tos.rtd",,"OPEN_INT","."&amp;$AA$3&amp;$AA$4&amp;"P"&amp;BC$4))*100</f>
        <v>3442950</v>
      </c>
      <c r="BD41" s="18">
        <f>MAX(0, $A41-BD$4)*IF(RTD("tos.rtd",,"OPEN_INT","."&amp;$AA$3&amp;$AA$4&amp;"C"&amp;BD$4)="N/A",0,RTD("tos.rtd",,"OPEN_INT","."&amp;$AA$3&amp;$AA$4&amp;"C"&amp;BD$4))*100 + MAX(0, BD$4-$A41)*IF(RTD("tos.rtd",,"OPEN_INT","."&amp;$AA$3&amp;$AA$4&amp;"P"&amp;BD$4)="N/A",0,RTD("tos.rtd",,"OPEN_INT","."&amp;$AA$3&amp;$AA$4&amp;"P"&amp;BD$4))*100</f>
        <v>3928400</v>
      </c>
      <c r="BE41" s="18">
        <f>MAX(0, $A41-BE$4)*IF(RTD("tos.rtd",,"OPEN_INT","."&amp;$AA$3&amp;$AA$4&amp;"C"&amp;BE$4)="N/A",0,RTD("tos.rtd",,"OPEN_INT","."&amp;$AA$3&amp;$AA$4&amp;"C"&amp;BE$4))*100 + MAX(0, BE$4-$A41)*IF(RTD("tos.rtd",,"OPEN_INT","."&amp;$AA$3&amp;$AA$4&amp;"P"&amp;BE$4)="N/A",0,RTD("tos.rtd",,"OPEN_INT","."&amp;$AA$3&amp;$AA$4&amp;"P"&amp;BE$4))*100</f>
        <v>3890600</v>
      </c>
      <c r="BF41" s="18">
        <f>MAX(0, $A41-BF$4)*IF(RTD("tos.rtd",,"OPEN_INT","."&amp;$AA$3&amp;$AA$4&amp;"C"&amp;BF$4)="N/A",0,RTD("tos.rtd",,"OPEN_INT","."&amp;$AA$3&amp;$AA$4&amp;"C"&amp;BF$4))*100 + MAX(0, BF$4-$A41)*IF(RTD("tos.rtd",,"OPEN_INT","."&amp;$AA$3&amp;$AA$4&amp;"P"&amp;BF$4)="N/A",0,RTD("tos.rtd",,"OPEN_INT","."&amp;$AA$3&amp;$AA$4&amp;"P"&amp;BF$4))*100</f>
        <v>4172700</v>
      </c>
      <c r="BG41" s="18">
        <f>MAX(0, $A41-BG$4)*IF(RTD("tos.rtd",,"OPEN_INT","."&amp;$AA$3&amp;$AA$4&amp;"C"&amp;BG$4)="N/A",0,RTD("tos.rtd",,"OPEN_INT","."&amp;$AA$3&amp;$AA$4&amp;"C"&amp;BG$4))*100 + MAX(0, BG$4-$A41)*IF(RTD("tos.rtd",,"OPEN_INT","."&amp;$AA$3&amp;$AA$4&amp;"P"&amp;BG$4)="N/A",0,RTD("tos.rtd",,"OPEN_INT","."&amp;$AA$3&amp;$AA$4&amp;"P"&amp;BG$4))*100</f>
        <v>2268750</v>
      </c>
      <c r="BH41" s="18">
        <f>MAX(0, $A41-BH$4)*IF(RTD("tos.rtd",,"OPEN_INT","."&amp;$AA$3&amp;$AA$4&amp;"C"&amp;BH$4)="N/A",0,RTD("tos.rtd",,"OPEN_INT","."&amp;$AA$3&amp;$AA$4&amp;"C"&amp;BH$4))*100 + MAX(0, BH$4-$A41)*IF(RTD("tos.rtd",,"OPEN_INT","."&amp;$AA$3&amp;$AA$4&amp;"P"&amp;BH$4)="N/A",0,RTD("tos.rtd",,"OPEN_INT","."&amp;$AA$3&amp;$AA$4&amp;"P"&amp;BH$4))*100</f>
        <v>1284600</v>
      </c>
      <c r="BI41" s="18">
        <f>MAX(0, $A41-BI$4)*IF(RTD("tos.rtd",,"OPEN_INT","."&amp;$AA$3&amp;$AA$4&amp;"C"&amp;BI$4)="N/A",0,RTD("tos.rtd",,"OPEN_INT","."&amp;$AA$3&amp;$AA$4&amp;"C"&amp;BI$4))*100 + MAX(0, BI$4-$A41)*IF(RTD("tos.rtd",,"OPEN_INT","."&amp;$AA$3&amp;$AA$4&amp;"P"&amp;BI$4)="N/A",0,RTD("tos.rtd",,"OPEN_INT","."&amp;$AA$3&amp;$AA$4&amp;"P"&amp;BI$4))*100</f>
        <v>1203750</v>
      </c>
      <c r="BJ41" s="18">
        <f>MAX(0, $A41-BJ$4)*IF(RTD("tos.rtd",,"OPEN_INT","."&amp;$AA$3&amp;$AA$4&amp;"C"&amp;BJ$4)="N/A",0,RTD("tos.rtd",,"OPEN_INT","."&amp;$AA$3&amp;$AA$4&amp;"C"&amp;BJ$4))*100 + MAX(0, BJ$4-$A41)*IF(RTD("tos.rtd",,"OPEN_INT","."&amp;$AA$3&amp;$AA$4&amp;"P"&amp;BJ$4)="N/A",0,RTD("tos.rtd",,"OPEN_INT","."&amp;$AA$3&amp;$AA$4&amp;"P"&amp;BJ$4))*100</f>
        <v>218300</v>
      </c>
      <c r="BK41" s="18">
        <f>MAX(0, $A41-BK$4)*IF(RTD("tos.rtd",,"OPEN_INT","."&amp;$AA$3&amp;$AA$4&amp;"C"&amp;BK$4)="N/A",0,RTD("tos.rtd",,"OPEN_INT","."&amp;$AA$3&amp;$AA$4&amp;"C"&amp;BK$4))*100 + MAX(0, BK$4-$A41)*IF(RTD("tos.rtd",,"OPEN_INT","."&amp;$AA$3&amp;$AA$4&amp;"P"&amp;BK$4)="N/A",0,RTD("tos.rtd",,"OPEN_INT","."&amp;$AA$3&amp;$AA$4&amp;"P"&amp;BK$4))*100</f>
        <v>117000</v>
      </c>
      <c r="BL41" s="18">
        <f>MAX(0, $A41-BL$4)*IF(RTD("tos.rtd",,"OPEN_INT","."&amp;$AA$3&amp;$AA$4&amp;"C"&amp;BL$4)="N/A",0,RTD("tos.rtd",,"OPEN_INT","."&amp;$AA$3&amp;$AA$4&amp;"C"&amp;BL$4))*100 + MAX(0, BL$4-$A41)*IF(RTD("tos.rtd",,"OPEN_INT","."&amp;$AA$3&amp;$AA$4&amp;"P"&amp;BL$4)="N/A",0,RTD("tos.rtd",,"OPEN_INT","."&amp;$AA$3&amp;$AA$4&amp;"P"&amp;BL$4))*100</f>
        <v>0</v>
      </c>
      <c r="BM41" s="18">
        <f>MAX(0, $A41-BM$4)*IF(RTD("tos.rtd",,"OPEN_INT","."&amp;$AA$3&amp;$AA$4&amp;"C"&amp;BM$4)="N/A",0,RTD("tos.rtd",,"OPEN_INT","."&amp;$AA$3&amp;$AA$4&amp;"C"&amp;BM$4))*100 + MAX(0, BM$4-$A41)*IF(RTD("tos.rtd",,"OPEN_INT","."&amp;$AA$3&amp;$AA$4&amp;"P"&amp;BM$4)="N/A",0,RTD("tos.rtd",,"OPEN_INT","."&amp;$AA$3&amp;$AA$4&amp;"P"&amp;BM$4))*100</f>
        <v>400</v>
      </c>
      <c r="BN41" s="18">
        <f>MAX(0, $A41-BN$4)*IF(RTD("tos.rtd",,"OPEN_INT","."&amp;$AA$3&amp;$AA$4&amp;"C"&amp;BN$4)="N/A",0,RTD("tos.rtd",,"OPEN_INT","."&amp;$AA$3&amp;$AA$4&amp;"C"&amp;BN$4))*100 + MAX(0, BN$4-$A41)*IF(RTD("tos.rtd",,"OPEN_INT","."&amp;$AA$3&amp;$AA$4&amp;"P"&amp;BN$4)="N/A",0,RTD("tos.rtd",,"OPEN_INT","."&amp;$AA$3&amp;$AA$4&amp;"P"&amp;BN$4))*100</f>
        <v>3100</v>
      </c>
      <c r="BO41" s="18">
        <f>MAX(0, $A41-BO$4)*IF(RTD("tos.rtd",,"OPEN_INT","."&amp;$AA$3&amp;$AA$4&amp;"C"&amp;BO$4)="N/A",0,RTD("tos.rtd",,"OPEN_INT","."&amp;$AA$3&amp;$AA$4&amp;"C"&amp;BO$4))*100 + MAX(0, BO$4-$A41)*IF(RTD("tos.rtd",,"OPEN_INT","."&amp;$AA$3&amp;$AA$4&amp;"P"&amp;BO$4)="N/A",0,RTD("tos.rtd",,"OPEN_INT","."&amp;$AA$3&amp;$AA$4&amp;"P"&amp;BO$4))*100</f>
        <v>5700</v>
      </c>
      <c r="BP41" s="18">
        <f>MAX(0, $A41-BP$4)*IF(RTD("tos.rtd",,"OPEN_INT","."&amp;$AA$3&amp;$AA$4&amp;"C"&amp;BP$4)="N/A",0,RTD("tos.rtd",,"OPEN_INT","."&amp;$AA$3&amp;$AA$4&amp;"C"&amp;BP$4))*100 + MAX(0, BP$4-$A41)*IF(RTD("tos.rtd",,"OPEN_INT","."&amp;$AA$3&amp;$AA$4&amp;"P"&amp;BP$4)="N/A",0,RTD("tos.rtd",,"OPEN_INT","."&amp;$AA$3&amp;$AA$4&amp;"P"&amp;BP$4))*100</f>
        <v>0</v>
      </c>
      <c r="BQ41" s="18">
        <f>MAX(0, $A41-BQ$4)*IF(RTD("tos.rtd",,"OPEN_INT","."&amp;$AA$3&amp;$AA$4&amp;"C"&amp;BQ$4)="N/A",0,RTD("tos.rtd",,"OPEN_INT","."&amp;$AA$3&amp;$AA$4&amp;"C"&amp;BQ$4))*100 + MAX(0, BQ$4-$A41)*IF(RTD("tos.rtd",,"OPEN_INT","."&amp;$AA$3&amp;$AA$4&amp;"P"&amp;BQ$4)="N/A",0,RTD("tos.rtd",,"OPEN_INT","."&amp;$AA$3&amp;$AA$4&amp;"P"&amp;BQ$4))*100</f>
        <v>0</v>
      </c>
      <c r="BR41" s="18">
        <f>MAX(0, $A41-BR$4)*IF(RTD("tos.rtd",,"OPEN_INT","."&amp;$AA$3&amp;$AA$4&amp;"C"&amp;BR$4)="N/A",0,RTD("tos.rtd",,"OPEN_INT","."&amp;$AA$3&amp;$AA$4&amp;"C"&amp;BR$4))*100 + MAX(0, BR$4-$A41)*IF(RTD("tos.rtd",,"OPEN_INT","."&amp;$AA$3&amp;$AA$4&amp;"P"&amp;BR$4)="N/A",0,RTD("tos.rtd",,"OPEN_INT","."&amp;$AA$3&amp;$AA$4&amp;"P"&amp;BR$4))*100</f>
        <v>0</v>
      </c>
      <c r="BS41" s="18">
        <f>MAX(0, $A41-BS$4)*IF(RTD("tos.rtd",,"OPEN_INT","."&amp;$AA$3&amp;$AA$4&amp;"C"&amp;BS$4)="N/A",0,RTD("tos.rtd",,"OPEN_INT","."&amp;$AA$3&amp;$AA$4&amp;"C"&amp;BS$4))*100 + MAX(0, BS$4-$A41)*IF(RTD("tos.rtd",,"OPEN_INT","."&amp;$AA$3&amp;$AA$4&amp;"P"&amp;BS$4)="N/A",0,RTD("tos.rtd",,"OPEN_INT","."&amp;$AA$3&amp;$AA$4&amp;"P"&amp;BS$4))*100</f>
        <v>0</v>
      </c>
      <c r="BT41" s="18">
        <f>MAX(0, $A41-BT$4)*IF(RTD("tos.rtd",,"OPEN_INT","."&amp;$AA$3&amp;$AA$4&amp;"C"&amp;BT$4)="N/A",0,RTD("tos.rtd",,"OPEN_INT","."&amp;$AA$3&amp;$AA$4&amp;"C"&amp;BT$4))*100 + MAX(0, BT$4-$A41)*IF(RTD("tos.rtd",,"OPEN_INT","."&amp;$AA$3&amp;$AA$4&amp;"P"&amp;BT$4)="N/A",0,RTD("tos.rtd",,"OPEN_INT","."&amp;$AA$3&amp;$AA$4&amp;"P"&amp;BT$4))*100</f>
        <v>0</v>
      </c>
      <c r="BU41" s="18">
        <f>MAX(0, $A41-BU$4)*IF(RTD("tos.rtd",,"OPEN_INT","."&amp;$AA$3&amp;$AA$4&amp;"C"&amp;BU$4)="N/A",0,RTD("tos.rtd",,"OPEN_INT","."&amp;$AA$3&amp;$AA$4&amp;"C"&amp;BU$4))*100 + MAX(0, BU$4-$A41)*IF(RTD("tos.rtd",,"OPEN_INT","."&amp;$AA$3&amp;$AA$4&amp;"P"&amp;BU$4)="N/A",0,RTD("tos.rtd",,"OPEN_INT","."&amp;$AA$3&amp;$AA$4&amp;"P"&amp;BU$4))*100</f>
        <v>0</v>
      </c>
      <c r="BV41" s="18">
        <f>MAX(0, $A41-BV$4)*IF(RTD("tos.rtd",,"OPEN_INT","."&amp;$AA$3&amp;$AA$4&amp;"C"&amp;BV$4)="N/A",0,RTD("tos.rtd",,"OPEN_INT","."&amp;$AA$3&amp;$AA$4&amp;"C"&amp;BV$4))*100 + MAX(0, BV$4-$A41)*IF(RTD("tos.rtd",,"OPEN_INT","."&amp;$AA$3&amp;$AA$4&amp;"P"&amp;BV$4)="N/A",0,RTD("tos.rtd",,"OPEN_INT","."&amp;$AA$3&amp;$AA$4&amp;"P"&amp;BV$4))*100</f>
        <v>0</v>
      </c>
    </row>
    <row r="42" spans="1:74" s="19" customFormat="1" ht="11.1" customHeight="1" thickBot="1" x14ac:dyDescent="0.3">
      <c r="A42" s="23">
        <f t="shared" si="11"/>
        <v>3</v>
      </c>
      <c r="B42" s="14">
        <f ca="1">IF($A$2="PREMIUM_OI",IFERROR(IF($X$1="ABS",(100*RTD("tos.rtd",,"OPEN_INT","."&amp;B$2&amp;B$1&amp;"C"&amp;$A42)*RTD("tos.rtd",,"LAST","."&amp;B$2&amp;B$1&amp;"C"&amp;$A42)+100*RTD("tos.rtd",,"OPEN_INT","."&amp;B$2&amp;B$1&amp;"P"&amp;$A42)*RTD("tos.rtd",,"LAST","."&amp;B$2&amp;B$1&amp;"P"&amp;$A42))/1000000,(100*RTD("tos.rtd",,"OPEN_INT","."&amp;B$2&amp;B$1&amp;"C"&amp;$A42)*RTD("tos.rtd",,"LAST","."&amp;B$2&amp;B$1&amp;"C"&amp;$A42)-100*RTD("tos.rtd",,"OPEN_INT","."&amp;B$2&amp;B$1&amp;"P"&amp;$A42)*RTD("tos.rtd",,"LAST","."&amp;B$2&amp;B$1&amp;"P"&amp;$A42))/1000000),0),IF($A$2="PREMIUM",IFERROR(IF($X$1="ABS",(100*RTD("tos.rtd",,"VOLUME","."&amp;B$2&amp;B$1&amp;"C"&amp;$A42)*RTD("tos.rtd",,"LAST","."&amp;B$2&amp;B$1&amp;"C"&amp;$A42)+100*RTD("tos.rtd",,"VOLUME","."&amp;B$2&amp;B$1&amp;"P"&amp;$A42)*RTD("tos.rtd",,"LAST","."&amp;B$2&amp;B$1&amp;"P"&amp;$A42))/1000000,(100*RTD("tos.rtd",,"VOLUME","."&amp;B$2&amp;B$1&amp;"C"&amp;$A42)*RTD("tos.rtd",,"LAST","."&amp;B$2&amp;B$1&amp;"C"&amp;$A42)-100*RTD("tos.rtd",,"VOLUME","."&amp;B$2&amp;B$1&amp;"P"&amp;$A42)*RTD("tos.rtd",,"LAST","."&amp;B$2&amp;B$1&amp;"P"&amp;$A42))/1000000),0),IF($A$2="DEX",IFERROR(IF($X$1="ABS",(100*RTD("tos.rtd",,"OPEN_INT","."&amp;B$2&amp;B$1&amp;"C"&amp;$A42)*RTD("tos.rtd",,"DELTA","."&amp;B$2&amp;B$1&amp;"C"&amp;$A42)+100*RTD("tos.rtd",,"OPEN_INT","."&amp;B$2&amp;B$1&amp;"P"&amp;$A42)*RTD("tos.rtd",,"DELTA","."&amp;B$2&amp;B$1&amp;"P"&amp;$A42))/1000,(100*RTD("tos.rtd",,"OPEN_INT","."&amp;B$2&amp;B$1&amp;"C"&amp;$A42)*RTD("tos.rtd",,"DELTA","."&amp;B$2&amp;B$1&amp;"C"&amp;$A42)-100*RTD("tos.rtd",,"OPEN_INT","."&amp;B$2&amp;B$1&amp;"P"&amp;$A42)*RTD("tos.rtd",,"DELTA","."&amp;B$2&amp;B$1&amp;"P"&amp;$A42))/1000),0),IF($A$2="VEX",IFERROR(IF($X$1="ABS",($A$4*$A$4*RTD("tos.rtd",,"VOLUME","."&amp;B$2&amp;B$1&amp;"C"&amp;$A42)*RTD("tos.rtd",,"GAMMA","."&amp;B$2&amp;B$1&amp;"C"&amp;$A42)+$A$4*$A$4*RTD("tos.rtd",,"VOLUME","."&amp;B$2&amp;B$1&amp;"P"&amp;$A42)*RTD("tos.rtd",,"GAMMA","."&amp;B$2&amp;B$1&amp;"P"&amp;$A42))/1000000,($A$4*$A$4*RTD("tos.rtd",,"VOLUME","."&amp;B$2&amp;B$1&amp;"C"&amp;$A42)*RTD("tos.rtd",,"GAMMA","."&amp;B$2&amp;B$1&amp;"C"&amp;$A42)-$A$4*$A$4*RTD("tos.rtd",,"VOLUME","."&amp;B$2&amp;B$1&amp;"P"&amp;$A42)*RTD("tos.rtd",,"GAMMA","."&amp;B$2&amp;B$1&amp;"P"&amp;$A42))/1000000),0),IF($A$2="GEX",IFERROR(IF($X$1="ABS",($A$4*$A$4*RTD("tos.rtd",,"OPEN_INT","."&amp;B$2&amp;B$1&amp;"C"&amp;$A42)*RTD("tos.rtd",,"GAMMA","."&amp;B$2&amp;B$1&amp;"C"&amp;$A42)+$A$4*$A$4*RTD("tos.rtd",,"OPEN_INT","."&amp;B$2&amp;B$1&amp;"P"&amp;$A42)*RTD("tos.rtd",,"GAMMA","."&amp;B$2&amp;B$1&amp;"P"&amp;$A42))/1000000,($A$4*$A$4*RTD("tos.rtd",,"OPEN_INT","."&amp;B$2&amp;B$1&amp;"C"&amp;$A42)*RTD("tos.rtd",,"GAMMA","."&amp;B$2&amp;B$1&amp;"C"&amp;$A42)-$A$4*$A$4*RTD("tos.rtd",,"OPEN_INT","."&amp;B$2&amp;B$1&amp;"P"&amp;$A42)*RTD("tos.rtd",,"GAMMA","."&amp;B$2&amp;B$1&amp;"P"&amp;$A42))/1000000),0),IF($A$2="SKEW",IFERROR(VALUE(IF(RTD("tos.rtd",,"IMPL_VOL","."&amp;B$2&amp;B$1&amp;"P"&amp;$A42)="N/A",0,RTD("tos.rtd",,"IMPL_VOL","."&amp;B$2&amp;B$1&amp;"P"&amp;$A42))),0)-IFERROR(VALUE(IF(RTD("tos.rtd",,"IMPL_VOL","."&amp;B$2&amp;B$1&amp;"C"&amp;$A42)="N/A",0,RTD("tos.rtd",,"IMPL_VOL","."&amp;B$2&amp;B$1&amp;"C"&amp;$A42))),0),IF($A$2="MAXPAIN",IF($A$4&gt;$A42,($A$4-$A42)*IF(RTD("tos.rtd",,"OPEN_INT","."&amp;B$2&amp;B$1&amp;"C"&amp;$A42)="N/A",0,RTD("tos.rtd",,"OPEN_INT","."&amp;B$2&amp;B$1&amp;"C"&amp;$A42)),0)+IF($A$4&lt;$A42,($A$5-$A$4)*IF(RTD("tos.rtd",,"OPEN_INT","."&amp;B$2&amp;B$1&amp;"P"&amp;$A42)="N/A",0,RTD("tos.rtd",,"OPEN_INT","."&amp;B$2&amp;B$1&amp;"P"&amp;$A42)),0),IF($X$1="ABS",IF(RTD("tos.rtd",,$A$2,"."&amp;B$2&amp;B$1&amp;"C"&amp;$A42)="N/A",0,RTD("tos.rtd",,$A$2,"."&amp;B$2&amp;B$1&amp;"C"&amp;$A42))+IF(RTD("tos.rtd",,$A$2,"."&amp;B$2&amp;B$1&amp;"P"&amp;$A42)="N/A",0,RTD("tos.rtd",,$A$2,"."&amp;B$2&amp;B$1&amp;"P"&amp;$A42)),IF(RTD("tos.rtd",,$A$2,"."&amp;B$2&amp;B$1&amp;"C"&amp;$A42)="N/A",0,RTD("tos.rtd",,$A$2,"."&amp;B$2&amp;B$1&amp;"C"&amp;$A42))-IF(RTD("tos.rtd",,$A$2,"."&amp;B$2&amp;B$1&amp;"P"&amp;$A42)="N/A",0,RTD("tos.rtd",,$A$2,"."&amp;B$2&amp;B$1&amp;"P"&amp;$A42))))))))))</f>
        <v>0</v>
      </c>
      <c r="C42" s="12">
        <f ca="1">IF($A$2="PREMIUM_OI",IFERROR(IF($X$1="ABS",(100*RTD("tos.rtd",,"OPEN_INT","."&amp;C$2&amp;C$1&amp;"C"&amp;$A42)*RTD("tos.rtd",,"LAST","."&amp;C$2&amp;C$1&amp;"C"&amp;$A42)+100*RTD("tos.rtd",,"OPEN_INT","."&amp;C$2&amp;C$1&amp;"P"&amp;$A42)*RTD("tos.rtd",,"LAST","."&amp;C$2&amp;C$1&amp;"P"&amp;$A42))/1000000,(100*RTD("tos.rtd",,"OPEN_INT","."&amp;C$2&amp;C$1&amp;"C"&amp;$A42)*RTD("tos.rtd",,"LAST","."&amp;C$2&amp;C$1&amp;"C"&amp;$A42)-100*RTD("tos.rtd",,"OPEN_INT","."&amp;C$2&amp;C$1&amp;"P"&amp;$A42)*RTD("tos.rtd",,"LAST","."&amp;C$2&amp;C$1&amp;"P"&amp;$A42))/1000000),0),IF($A$2="PREMIUM",IFERROR(IF($X$1="ABS",(100*RTD("tos.rtd",,"VOLUME","."&amp;C$2&amp;C$1&amp;"C"&amp;$A42)*RTD("tos.rtd",,"LAST","."&amp;C$2&amp;C$1&amp;"C"&amp;$A42)+100*RTD("tos.rtd",,"VOLUME","."&amp;C$2&amp;C$1&amp;"P"&amp;$A42)*RTD("tos.rtd",,"LAST","."&amp;C$2&amp;C$1&amp;"P"&amp;$A42))/1000000,(100*RTD("tos.rtd",,"VOLUME","."&amp;C$2&amp;C$1&amp;"C"&amp;$A42)*RTD("tos.rtd",,"LAST","."&amp;C$2&amp;C$1&amp;"C"&amp;$A42)-100*RTD("tos.rtd",,"VOLUME","."&amp;C$2&amp;C$1&amp;"P"&amp;$A42)*RTD("tos.rtd",,"LAST","."&amp;C$2&amp;C$1&amp;"P"&amp;$A42))/1000000),0),IF($A$2="DEX",IFERROR(IF($X$1="ABS",(100*RTD("tos.rtd",,"OPEN_INT","."&amp;C$2&amp;C$1&amp;"C"&amp;$A42)*RTD("tos.rtd",,"DELTA","."&amp;C$2&amp;C$1&amp;"C"&amp;$A42)+100*RTD("tos.rtd",,"OPEN_INT","."&amp;C$2&amp;C$1&amp;"P"&amp;$A42)*RTD("tos.rtd",,"DELTA","."&amp;C$2&amp;C$1&amp;"P"&amp;$A42))/1000,(100*RTD("tos.rtd",,"OPEN_INT","."&amp;C$2&amp;C$1&amp;"C"&amp;$A42)*RTD("tos.rtd",,"DELTA","."&amp;C$2&amp;C$1&amp;"C"&amp;$A42)-100*RTD("tos.rtd",,"OPEN_INT","."&amp;C$2&amp;C$1&amp;"P"&amp;$A42)*RTD("tos.rtd",,"DELTA","."&amp;C$2&amp;C$1&amp;"P"&amp;$A42))/1000),0),IF($A$2="VEX",IFERROR(IF($X$1="ABS",($A$4*$A$4*RTD("tos.rtd",,"VOLUME","."&amp;C$2&amp;C$1&amp;"C"&amp;$A42)*RTD("tos.rtd",,"GAMMA","."&amp;C$2&amp;C$1&amp;"C"&amp;$A42)+$A$4*$A$4*RTD("tos.rtd",,"VOLUME","."&amp;C$2&amp;C$1&amp;"P"&amp;$A42)*RTD("tos.rtd",,"GAMMA","."&amp;C$2&amp;C$1&amp;"P"&amp;$A42))/1000000,($A$4*$A$4*RTD("tos.rtd",,"VOLUME","."&amp;C$2&amp;C$1&amp;"C"&amp;$A42)*RTD("tos.rtd",,"GAMMA","."&amp;C$2&amp;C$1&amp;"C"&amp;$A42)-$A$4*$A$4*RTD("tos.rtd",,"VOLUME","."&amp;C$2&amp;C$1&amp;"P"&amp;$A42)*RTD("tos.rtd",,"GAMMA","."&amp;C$2&amp;C$1&amp;"P"&amp;$A42))/1000000),0),IF($A$2="GEX",IFERROR(IF($X$1="ABS",($A$4*$A$4*RTD("tos.rtd",,"OPEN_INT","."&amp;C$2&amp;C$1&amp;"C"&amp;$A42)*RTD("tos.rtd",,"GAMMA","."&amp;C$2&amp;C$1&amp;"C"&amp;$A42)+$A$4*$A$4*RTD("tos.rtd",,"OPEN_INT","."&amp;C$2&amp;C$1&amp;"P"&amp;$A42)*RTD("tos.rtd",,"GAMMA","."&amp;C$2&amp;C$1&amp;"P"&amp;$A42))/1000000,($A$4*$A$4*RTD("tos.rtd",,"OPEN_INT","."&amp;C$2&amp;C$1&amp;"C"&amp;$A42)*RTD("tos.rtd",,"GAMMA","."&amp;C$2&amp;C$1&amp;"C"&amp;$A42)-$A$4*$A$4*RTD("tos.rtd",,"OPEN_INT","."&amp;C$2&amp;C$1&amp;"P"&amp;$A42)*RTD("tos.rtd",,"GAMMA","."&amp;C$2&amp;C$1&amp;"P"&amp;$A42))/1000000),0),IF($A$2="SKEW",IFERROR(VALUE(IF(RTD("tos.rtd",,"IMPL_VOL","."&amp;C$2&amp;C$1&amp;"P"&amp;$A42)="N/A",0,RTD("tos.rtd",,"IMPL_VOL","."&amp;C$2&amp;C$1&amp;"P"&amp;$A42))),0)-IFERROR(VALUE(IF(RTD("tos.rtd",,"IMPL_VOL","."&amp;C$2&amp;C$1&amp;"C"&amp;$A42)="N/A",0,RTD("tos.rtd",,"IMPL_VOL","."&amp;C$2&amp;C$1&amp;"C"&amp;$A42))),0),IF($A$2="MAXPAIN",IF($A$4&gt;$A42,($A$4-$A42)*IF(RTD("tos.rtd",,"OPEN_INT","."&amp;C$2&amp;C$1&amp;"C"&amp;$A42)="N/A",0,RTD("tos.rtd",,"OPEN_INT","."&amp;C$2&amp;C$1&amp;"C"&amp;$A42)),0)+IF($A$4&lt;$A42,($A$5-$A$4)*IF(RTD("tos.rtd",,"OPEN_INT","."&amp;C$2&amp;C$1&amp;"P"&amp;$A42)="N/A",0,RTD("tos.rtd",,"OPEN_INT","."&amp;C$2&amp;C$1&amp;"P"&amp;$A42)),0),IF($X$1="ABS",IF(RTD("tos.rtd",,$A$2,"."&amp;C$2&amp;C$1&amp;"C"&amp;$A42)="N/A",0,RTD("tos.rtd",,$A$2,"."&amp;C$2&amp;C$1&amp;"C"&amp;$A42))+IF(RTD("tos.rtd",,$A$2,"."&amp;C$2&amp;C$1&amp;"P"&amp;$A42)="N/A",0,RTD("tos.rtd",,$A$2,"."&amp;C$2&amp;C$1&amp;"P"&amp;$A42)),IF(RTD("tos.rtd",,$A$2,"."&amp;C$2&amp;C$1&amp;"C"&amp;$A42)="N/A",0,RTD("tos.rtd",,$A$2,"."&amp;C$2&amp;C$1&amp;"C"&amp;$A42))-IF(RTD("tos.rtd",,$A$2,"."&amp;C$2&amp;C$1&amp;"P"&amp;$A42)="N/A",0,RTD("tos.rtd",,$A$2,"."&amp;C$2&amp;C$1&amp;"P"&amp;$A42))))))))))</f>
        <v>-427</v>
      </c>
      <c r="D42" s="12">
        <f ca="1">IF($A$2="PREMIUM_OI",IFERROR(IF($X$1="ABS",(100*RTD("tos.rtd",,"OPEN_INT","."&amp;D$2&amp;D$1&amp;"C"&amp;$A42)*RTD("tos.rtd",,"LAST","."&amp;D$2&amp;D$1&amp;"C"&amp;$A42)+100*RTD("tos.rtd",,"OPEN_INT","."&amp;D$2&amp;D$1&amp;"P"&amp;$A42)*RTD("tos.rtd",,"LAST","."&amp;D$2&amp;D$1&amp;"P"&amp;$A42))/1000000,(100*RTD("tos.rtd",,"OPEN_INT","."&amp;D$2&amp;D$1&amp;"C"&amp;$A42)*RTD("tos.rtd",,"LAST","."&amp;D$2&amp;D$1&amp;"C"&amp;$A42)-100*RTD("tos.rtd",,"OPEN_INT","."&amp;D$2&amp;D$1&amp;"P"&amp;$A42)*RTD("tos.rtd",,"LAST","."&amp;D$2&amp;D$1&amp;"P"&amp;$A42))/1000000),0),IF($A$2="PREMIUM",IFERROR(IF($X$1="ABS",(100*RTD("tos.rtd",,"VOLUME","."&amp;D$2&amp;D$1&amp;"C"&amp;$A42)*RTD("tos.rtd",,"LAST","."&amp;D$2&amp;D$1&amp;"C"&amp;$A42)+100*RTD("tos.rtd",,"VOLUME","."&amp;D$2&amp;D$1&amp;"P"&amp;$A42)*RTD("tos.rtd",,"LAST","."&amp;D$2&amp;D$1&amp;"P"&amp;$A42))/1000000,(100*RTD("tos.rtd",,"VOLUME","."&amp;D$2&amp;D$1&amp;"C"&amp;$A42)*RTD("tos.rtd",,"LAST","."&amp;D$2&amp;D$1&amp;"C"&amp;$A42)-100*RTD("tos.rtd",,"VOLUME","."&amp;D$2&amp;D$1&amp;"P"&amp;$A42)*RTD("tos.rtd",,"LAST","."&amp;D$2&amp;D$1&amp;"P"&amp;$A42))/1000000),0),IF($A$2="DEX",IFERROR(IF($X$1="ABS",(100*RTD("tos.rtd",,"OPEN_INT","."&amp;D$2&amp;D$1&amp;"C"&amp;$A42)*RTD("tos.rtd",,"DELTA","."&amp;D$2&amp;D$1&amp;"C"&amp;$A42)+100*RTD("tos.rtd",,"OPEN_INT","."&amp;D$2&amp;D$1&amp;"P"&amp;$A42)*RTD("tos.rtd",,"DELTA","."&amp;D$2&amp;D$1&amp;"P"&amp;$A42))/1000,(100*RTD("tos.rtd",,"OPEN_INT","."&amp;D$2&amp;D$1&amp;"C"&amp;$A42)*RTD("tos.rtd",,"DELTA","."&amp;D$2&amp;D$1&amp;"C"&amp;$A42)-100*RTD("tos.rtd",,"OPEN_INT","."&amp;D$2&amp;D$1&amp;"P"&amp;$A42)*RTD("tos.rtd",,"DELTA","."&amp;D$2&amp;D$1&amp;"P"&amp;$A42))/1000),0),IF($A$2="VEX",IFERROR(IF($X$1="ABS",($A$4*$A$4*RTD("tos.rtd",,"VOLUME","."&amp;D$2&amp;D$1&amp;"C"&amp;$A42)*RTD("tos.rtd",,"GAMMA","."&amp;D$2&amp;D$1&amp;"C"&amp;$A42)+$A$4*$A$4*RTD("tos.rtd",,"VOLUME","."&amp;D$2&amp;D$1&amp;"P"&amp;$A42)*RTD("tos.rtd",,"GAMMA","."&amp;D$2&amp;D$1&amp;"P"&amp;$A42))/1000000,($A$4*$A$4*RTD("tos.rtd",,"VOLUME","."&amp;D$2&amp;D$1&amp;"C"&amp;$A42)*RTD("tos.rtd",,"GAMMA","."&amp;D$2&amp;D$1&amp;"C"&amp;$A42)-$A$4*$A$4*RTD("tos.rtd",,"VOLUME","."&amp;D$2&amp;D$1&amp;"P"&amp;$A42)*RTD("tos.rtd",,"GAMMA","."&amp;D$2&amp;D$1&amp;"P"&amp;$A42))/1000000),0),IF($A$2="GEX",IFERROR(IF($X$1="ABS",($A$4*$A$4*RTD("tos.rtd",,"OPEN_INT","."&amp;D$2&amp;D$1&amp;"C"&amp;$A42)*RTD("tos.rtd",,"GAMMA","."&amp;D$2&amp;D$1&amp;"C"&amp;$A42)+$A$4*$A$4*RTD("tos.rtd",,"OPEN_INT","."&amp;D$2&amp;D$1&amp;"P"&amp;$A42)*RTD("tos.rtd",,"GAMMA","."&amp;D$2&amp;D$1&amp;"P"&amp;$A42))/1000000,($A$4*$A$4*RTD("tos.rtd",,"OPEN_INT","."&amp;D$2&amp;D$1&amp;"C"&amp;$A42)*RTD("tos.rtd",,"GAMMA","."&amp;D$2&amp;D$1&amp;"C"&amp;$A42)-$A$4*$A$4*RTD("tos.rtd",,"OPEN_INT","."&amp;D$2&amp;D$1&amp;"P"&amp;$A42)*RTD("tos.rtd",,"GAMMA","."&amp;D$2&amp;D$1&amp;"P"&amp;$A42))/1000000),0),IF($A$2="SKEW",IFERROR(VALUE(IF(RTD("tos.rtd",,"IMPL_VOL","."&amp;D$2&amp;D$1&amp;"P"&amp;$A42)="N/A",0,RTD("tos.rtd",,"IMPL_VOL","."&amp;D$2&amp;D$1&amp;"P"&amp;$A42))),0)-IFERROR(VALUE(IF(RTD("tos.rtd",,"IMPL_VOL","."&amp;D$2&amp;D$1&amp;"C"&amp;$A42)="N/A",0,RTD("tos.rtd",,"IMPL_VOL","."&amp;D$2&amp;D$1&amp;"C"&amp;$A42))),0),IF($A$2="MAXPAIN",IF($A$4&gt;$A42,($A$4-$A42)*IF(RTD("tos.rtd",,"OPEN_INT","."&amp;D$2&amp;D$1&amp;"C"&amp;$A42)="N/A",0,RTD("tos.rtd",,"OPEN_INT","."&amp;D$2&amp;D$1&amp;"C"&amp;$A42)),0)+IF($A$4&lt;$A42,($A$5-$A$4)*IF(RTD("tos.rtd",,"OPEN_INT","."&amp;D$2&amp;D$1&amp;"P"&amp;$A42)="N/A",0,RTD("tos.rtd",,"OPEN_INT","."&amp;D$2&amp;D$1&amp;"P"&amp;$A42)),0),IF($X$1="ABS",IF(RTD("tos.rtd",,$A$2,"."&amp;D$2&amp;D$1&amp;"C"&amp;$A42)="N/A",0,RTD("tos.rtd",,$A$2,"."&amp;D$2&amp;D$1&amp;"C"&amp;$A42))+IF(RTD("tos.rtd",,$A$2,"."&amp;D$2&amp;D$1&amp;"P"&amp;$A42)="N/A",0,RTD("tos.rtd",,$A$2,"."&amp;D$2&amp;D$1&amp;"P"&amp;$A42)),IF(RTD("tos.rtd",,$A$2,"."&amp;D$2&amp;D$1&amp;"C"&amp;$A42)="N/A",0,RTD("tos.rtd",,$A$2,"."&amp;D$2&amp;D$1&amp;"C"&amp;$A42))-IF(RTD("tos.rtd",,$A$2,"."&amp;D$2&amp;D$1&amp;"P"&amp;$A42)="N/A",0,RTD("tos.rtd",,$A$2,"."&amp;D$2&amp;D$1&amp;"P"&amp;$A42))))))))))</f>
        <v>-5369</v>
      </c>
      <c r="E42" s="12">
        <f ca="1">IF($A$2="PREMIUM_OI",IFERROR(IF($X$1="ABS",(100*RTD("tos.rtd",,"OPEN_INT","."&amp;E$2&amp;E$1&amp;"C"&amp;$A42)*RTD("tos.rtd",,"LAST","."&amp;E$2&amp;E$1&amp;"C"&amp;$A42)+100*RTD("tos.rtd",,"OPEN_INT","."&amp;E$2&amp;E$1&amp;"P"&amp;$A42)*RTD("tos.rtd",,"LAST","."&amp;E$2&amp;E$1&amp;"P"&amp;$A42))/1000000,(100*RTD("tos.rtd",,"OPEN_INT","."&amp;E$2&amp;E$1&amp;"C"&amp;$A42)*RTD("tos.rtd",,"LAST","."&amp;E$2&amp;E$1&amp;"C"&amp;$A42)-100*RTD("tos.rtd",,"OPEN_INT","."&amp;E$2&amp;E$1&amp;"P"&amp;$A42)*RTD("tos.rtd",,"LAST","."&amp;E$2&amp;E$1&amp;"P"&amp;$A42))/1000000),0),IF($A$2="PREMIUM",IFERROR(IF($X$1="ABS",(100*RTD("tos.rtd",,"VOLUME","."&amp;E$2&amp;E$1&amp;"C"&amp;$A42)*RTD("tos.rtd",,"LAST","."&amp;E$2&amp;E$1&amp;"C"&amp;$A42)+100*RTD("tos.rtd",,"VOLUME","."&amp;E$2&amp;E$1&amp;"P"&amp;$A42)*RTD("tos.rtd",,"LAST","."&amp;E$2&amp;E$1&amp;"P"&amp;$A42))/1000000,(100*RTD("tos.rtd",,"VOLUME","."&amp;E$2&amp;E$1&amp;"C"&amp;$A42)*RTD("tos.rtd",,"LAST","."&amp;E$2&amp;E$1&amp;"C"&amp;$A42)-100*RTD("tos.rtd",,"VOLUME","."&amp;E$2&amp;E$1&amp;"P"&amp;$A42)*RTD("tos.rtd",,"LAST","."&amp;E$2&amp;E$1&amp;"P"&amp;$A42))/1000000),0),IF($A$2="DEX",IFERROR(IF($X$1="ABS",(100*RTD("tos.rtd",,"OPEN_INT","."&amp;E$2&amp;E$1&amp;"C"&amp;$A42)*RTD("tos.rtd",,"DELTA","."&amp;E$2&amp;E$1&amp;"C"&amp;$A42)+100*RTD("tos.rtd",,"OPEN_INT","."&amp;E$2&amp;E$1&amp;"P"&amp;$A42)*RTD("tos.rtd",,"DELTA","."&amp;E$2&amp;E$1&amp;"P"&amp;$A42))/1000,(100*RTD("tos.rtd",,"OPEN_INT","."&amp;E$2&amp;E$1&amp;"C"&amp;$A42)*RTD("tos.rtd",,"DELTA","."&amp;E$2&amp;E$1&amp;"C"&amp;$A42)-100*RTD("tos.rtd",,"OPEN_INT","."&amp;E$2&amp;E$1&amp;"P"&amp;$A42)*RTD("tos.rtd",,"DELTA","."&amp;E$2&amp;E$1&amp;"P"&amp;$A42))/1000),0),IF($A$2="VEX",IFERROR(IF($X$1="ABS",($A$4*$A$4*RTD("tos.rtd",,"VOLUME","."&amp;E$2&amp;E$1&amp;"C"&amp;$A42)*RTD("tos.rtd",,"GAMMA","."&amp;E$2&amp;E$1&amp;"C"&amp;$A42)+$A$4*$A$4*RTD("tos.rtd",,"VOLUME","."&amp;E$2&amp;E$1&amp;"P"&amp;$A42)*RTD("tos.rtd",,"GAMMA","."&amp;E$2&amp;E$1&amp;"P"&amp;$A42))/1000000,($A$4*$A$4*RTD("tos.rtd",,"VOLUME","."&amp;E$2&amp;E$1&amp;"C"&amp;$A42)*RTD("tos.rtd",,"GAMMA","."&amp;E$2&amp;E$1&amp;"C"&amp;$A42)-$A$4*$A$4*RTD("tos.rtd",,"VOLUME","."&amp;E$2&amp;E$1&amp;"P"&amp;$A42)*RTD("tos.rtd",,"GAMMA","."&amp;E$2&amp;E$1&amp;"P"&amp;$A42))/1000000),0),IF($A$2="GEX",IFERROR(IF($X$1="ABS",($A$4*$A$4*RTD("tos.rtd",,"OPEN_INT","."&amp;E$2&amp;E$1&amp;"C"&amp;$A42)*RTD("tos.rtd",,"GAMMA","."&amp;E$2&amp;E$1&amp;"C"&amp;$A42)+$A$4*$A$4*RTD("tos.rtd",,"OPEN_INT","."&amp;E$2&amp;E$1&amp;"P"&amp;$A42)*RTD("tos.rtd",,"GAMMA","."&amp;E$2&amp;E$1&amp;"P"&amp;$A42))/1000000,($A$4*$A$4*RTD("tos.rtd",,"OPEN_INT","."&amp;E$2&amp;E$1&amp;"C"&amp;$A42)*RTD("tos.rtd",,"GAMMA","."&amp;E$2&amp;E$1&amp;"C"&amp;$A42)-$A$4*$A$4*RTD("tos.rtd",,"OPEN_INT","."&amp;E$2&amp;E$1&amp;"P"&amp;$A42)*RTD("tos.rtd",,"GAMMA","."&amp;E$2&amp;E$1&amp;"P"&amp;$A42))/1000000),0),IF($A$2="SKEW",IFERROR(VALUE(IF(RTD("tos.rtd",,"IMPL_VOL","."&amp;E$2&amp;E$1&amp;"P"&amp;$A42)="N/A",0,RTD("tos.rtd",,"IMPL_VOL","."&amp;E$2&amp;E$1&amp;"P"&amp;$A42))),0)-IFERROR(VALUE(IF(RTD("tos.rtd",,"IMPL_VOL","."&amp;E$2&amp;E$1&amp;"C"&amp;$A42)="N/A",0,RTD("tos.rtd",,"IMPL_VOL","."&amp;E$2&amp;E$1&amp;"C"&amp;$A42))),0),IF($A$2="MAXPAIN",IF($A$4&gt;$A42,($A$4-$A42)*IF(RTD("tos.rtd",,"OPEN_INT","."&amp;E$2&amp;E$1&amp;"C"&amp;$A42)="N/A",0,RTD("tos.rtd",,"OPEN_INT","."&amp;E$2&amp;E$1&amp;"C"&amp;$A42)),0)+IF($A$4&lt;$A42,($A$5-$A$4)*IF(RTD("tos.rtd",,"OPEN_INT","."&amp;E$2&amp;E$1&amp;"P"&amp;$A42)="N/A",0,RTD("tos.rtd",,"OPEN_INT","."&amp;E$2&amp;E$1&amp;"P"&amp;$A42)),0),IF($X$1="ABS",IF(RTD("tos.rtd",,$A$2,"."&amp;E$2&amp;E$1&amp;"C"&amp;$A42)="N/A",0,RTD("tos.rtd",,$A$2,"."&amp;E$2&amp;E$1&amp;"C"&amp;$A42))+IF(RTD("tos.rtd",,$A$2,"."&amp;E$2&amp;E$1&amp;"P"&amp;$A42)="N/A",0,RTD("tos.rtd",,$A$2,"."&amp;E$2&amp;E$1&amp;"P"&amp;$A42)),IF(RTD("tos.rtd",,$A$2,"."&amp;E$2&amp;E$1&amp;"C"&amp;$A42)="N/A",0,RTD("tos.rtd",,$A$2,"."&amp;E$2&amp;E$1&amp;"C"&amp;$A42))-IF(RTD("tos.rtd",,$A$2,"."&amp;E$2&amp;E$1&amp;"P"&amp;$A42)="N/A",0,RTD("tos.rtd",,$A$2,"."&amp;E$2&amp;E$1&amp;"P"&amp;$A42))))))))))</f>
        <v>38</v>
      </c>
      <c r="F42" s="12">
        <f ca="1">IF($A$2="PREMIUM_OI",IFERROR(IF($X$1="ABS",(100*RTD("tos.rtd",,"OPEN_INT","."&amp;F$2&amp;F$1&amp;"C"&amp;$A42)*RTD("tos.rtd",,"LAST","."&amp;F$2&amp;F$1&amp;"C"&amp;$A42)+100*RTD("tos.rtd",,"OPEN_INT","."&amp;F$2&amp;F$1&amp;"P"&amp;$A42)*RTD("tos.rtd",,"LAST","."&amp;F$2&amp;F$1&amp;"P"&amp;$A42))/1000000,(100*RTD("tos.rtd",,"OPEN_INT","."&amp;F$2&amp;F$1&amp;"C"&amp;$A42)*RTD("tos.rtd",,"LAST","."&amp;F$2&amp;F$1&amp;"C"&amp;$A42)-100*RTD("tos.rtd",,"OPEN_INT","."&amp;F$2&amp;F$1&amp;"P"&amp;$A42)*RTD("tos.rtd",,"LAST","."&amp;F$2&amp;F$1&amp;"P"&amp;$A42))/1000000),0),IF($A$2="PREMIUM",IFERROR(IF($X$1="ABS",(100*RTD("tos.rtd",,"VOLUME","."&amp;F$2&amp;F$1&amp;"C"&amp;$A42)*RTD("tos.rtd",,"LAST","."&amp;F$2&amp;F$1&amp;"C"&amp;$A42)+100*RTD("tos.rtd",,"VOLUME","."&amp;F$2&amp;F$1&amp;"P"&amp;$A42)*RTD("tos.rtd",,"LAST","."&amp;F$2&amp;F$1&amp;"P"&amp;$A42))/1000000,(100*RTD("tos.rtd",,"VOLUME","."&amp;F$2&amp;F$1&amp;"C"&amp;$A42)*RTD("tos.rtd",,"LAST","."&amp;F$2&amp;F$1&amp;"C"&amp;$A42)-100*RTD("tos.rtd",,"VOLUME","."&amp;F$2&amp;F$1&amp;"P"&amp;$A42)*RTD("tos.rtd",,"LAST","."&amp;F$2&amp;F$1&amp;"P"&amp;$A42))/1000000),0),IF($A$2="DEX",IFERROR(IF($X$1="ABS",(100*RTD("tos.rtd",,"OPEN_INT","."&amp;F$2&amp;F$1&amp;"C"&amp;$A42)*RTD("tos.rtd",,"DELTA","."&amp;F$2&amp;F$1&amp;"C"&amp;$A42)+100*RTD("tos.rtd",,"OPEN_INT","."&amp;F$2&amp;F$1&amp;"P"&amp;$A42)*RTD("tos.rtd",,"DELTA","."&amp;F$2&amp;F$1&amp;"P"&amp;$A42))/1000,(100*RTD("tos.rtd",,"OPEN_INT","."&amp;F$2&amp;F$1&amp;"C"&amp;$A42)*RTD("tos.rtd",,"DELTA","."&amp;F$2&amp;F$1&amp;"C"&amp;$A42)-100*RTD("tos.rtd",,"OPEN_INT","."&amp;F$2&amp;F$1&amp;"P"&amp;$A42)*RTD("tos.rtd",,"DELTA","."&amp;F$2&amp;F$1&amp;"P"&amp;$A42))/1000),0),IF($A$2="VEX",IFERROR(IF($X$1="ABS",($A$4*$A$4*RTD("tos.rtd",,"VOLUME","."&amp;F$2&amp;F$1&amp;"C"&amp;$A42)*RTD("tos.rtd",,"GAMMA","."&amp;F$2&amp;F$1&amp;"C"&amp;$A42)+$A$4*$A$4*RTD("tos.rtd",,"VOLUME","."&amp;F$2&amp;F$1&amp;"P"&amp;$A42)*RTD("tos.rtd",,"GAMMA","."&amp;F$2&amp;F$1&amp;"P"&amp;$A42))/1000000,($A$4*$A$4*RTD("tos.rtd",,"VOLUME","."&amp;F$2&amp;F$1&amp;"C"&amp;$A42)*RTD("tos.rtd",,"GAMMA","."&amp;F$2&amp;F$1&amp;"C"&amp;$A42)-$A$4*$A$4*RTD("tos.rtd",,"VOLUME","."&amp;F$2&amp;F$1&amp;"P"&amp;$A42)*RTD("tos.rtd",,"GAMMA","."&amp;F$2&amp;F$1&amp;"P"&amp;$A42))/1000000),0),IF($A$2="GEX",IFERROR(IF($X$1="ABS",($A$4*$A$4*RTD("tos.rtd",,"OPEN_INT","."&amp;F$2&amp;F$1&amp;"C"&amp;$A42)*RTD("tos.rtd",,"GAMMA","."&amp;F$2&amp;F$1&amp;"C"&amp;$A42)+$A$4*$A$4*RTD("tos.rtd",,"OPEN_INT","."&amp;F$2&amp;F$1&amp;"P"&amp;$A42)*RTD("tos.rtd",,"GAMMA","."&amp;F$2&amp;F$1&amp;"P"&amp;$A42))/1000000,($A$4*$A$4*RTD("tos.rtd",,"OPEN_INT","."&amp;F$2&amp;F$1&amp;"C"&amp;$A42)*RTD("tos.rtd",,"GAMMA","."&amp;F$2&amp;F$1&amp;"C"&amp;$A42)-$A$4*$A$4*RTD("tos.rtd",,"OPEN_INT","."&amp;F$2&amp;F$1&amp;"P"&amp;$A42)*RTD("tos.rtd",,"GAMMA","."&amp;F$2&amp;F$1&amp;"P"&amp;$A42))/1000000),0),IF($A$2="SKEW",IFERROR(VALUE(IF(RTD("tos.rtd",,"IMPL_VOL","."&amp;F$2&amp;F$1&amp;"P"&amp;$A42)="N/A",0,RTD("tos.rtd",,"IMPL_VOL","."&amp;F$2&amp;F$1&amp;"P"&amp;$A42))),0)-IFERROR(VALUE(IF(RTD("tos.rtd",,"IMPL_VOL","."&amp;F$2&amp;F$1&amp;"C"&amp;$A42)="N/A",0,RTD("tos.rtd",,"IMPL_VOL","."&amp;F$2&amp;F$1&amp;"C"&amp;$A42))),0),IF($A$2="MAXPAIN",IF($A$4&gt;$A42,($A$4-$A42)*IF(RTD("tos.rtd",,"OPEN_INT","."&amp;F$2&amp;F$1&amp;"C"&amp;$A42)="N/A",0,RTD("tos.rtd",,"OPEN_INT","."&amp;F$2&amp;F$1&amp;"C"&amp;$A42)),0)+IF($A$4&lt;$A42,($A$5-$A$4)*IF(RTD("tos.rtd",,"OPEN_INT","."&amp;F$2&amp;F$1&amp;"P"&amp;$A42)="N/A",0,RTD("tos.rtd",,"OPEN_INT","."&amp;F$2&amp;F$1&amp;"P"&amp;$A42)),0),IF($X$1="ABS",IF(RTD("tos.rtd",,$A$2,"."&amp;F$2&amp;F$1&amp;"C"&amp;$A42)="N/A",0,RTD("tos.rtd",,$A$2,"."&amp;F$2&amp;F$1&amp;"C"&amp;$A42))+IF(RTD("tos.rtd",,$A$2,"."&amp;F$2&amp;F$1&amp;"P"&amp;$A42)="N/A",0,RTD("tos.rtd",,$A$2,"."&amp;F$2&amp;F$1&amp;"P"&amp;$A42)),IF(RTD("tos.rtd",,$A$2,"."&amp;F$2&amp;F$1&amp;"C"&amp;$A42)="N/A",0,RTD("tos.rtd",,$A$2,"."&amp;F$2&amp;F$1&amp;"C"&amp;$A42))-IF(RTD("tos.rtd",,$A$2,"."&amp;F$2&amp;F$1&amp;"P"&amp;$A42)="N/A",0,RTD("tos.rtd",,$A$2,"."&amp;F$2&amp;F$1&amp;"P"&amp;$A42))))))))))</f>
        <v>-7</v>
      </c>
      <c r="G42" s="57">
        <f ca="1">IF($A$2="PREMIUM_OI",IFERROR(IF($X$1="ABS",(100*RTD("tos.rtd",,"OPEN_INT","."&amp;G$2&amp;G$1&amp;"C"&amp;$A42)*RTD("tos.rtd",,"LAST","."&amp;G$2&amp;G$1&amp;"C"&amp;$A42)+100*RTD("tos.rtd",,"OPEN_INT","."&amp;G$2&amp;G$1&amp;"P"&amp;$A42)*RTD("tos.rtd",,"LAST","."&amp;G$2&amp;G$1&amp;"P"&amp;$A42))/1000000,(100*RTD("tos.rtd",,"OPEN_INT","."&amp;G$2&amp;G$1&amp;"C"&amp;$A42)*RTD("tos.rtd",,"LAST","."&amp;G$2&amp;G$1&amp;"C"&amp;$A42)-100*RTD("tos.rtd",,"OPEN_INT","."&amp;G$2&amp;G$1&amp;"P"&amp;$A42)*RTD("tos.rtd",,"LAST","."&amp;G$2&amp;G$1&amp;"P"&amp;$A42))/1000000),0),IF($A$2="PREMIUM",IFERROR(IF($X$1="ABS",(100*RTD("tos.rtd",,"VOLUME","."&amp;G$2&amp;G$1&amp;"C"&amp;$A42)*RTD("tos.rtd",,"LAST","."&amp;G$2&amp;G$1&amp;"C"&amp;$A42)+100*RTD("tos.rtd",,"VOLUME","."&amp;G$2&amp;G$1&amp;"P"&amp;$A42)*RTD("tos.rtd",,"LAST","."&amp;G$2&amp;G$1&amp;"P"&amp;$A42))/1000000,(100*RTD("tos.rtd",,"VOLUME","."&amp;G$2&amp;G$1&amp;"C"&amp;$A42)*RTD("tos.rtd",,"LAST","."&amp;G$2&amp;G$1&amp;"C"&amp;$A42)-100*RTD("tos.rtd",,"VOLUME","."&amp;G$2&amp;G$1&amp;"P"&amp;$A42)*RTD("tos.rtd",,"LAST","."&amp;G$2&amp;G$1&amp;"P"&amp;$A42))/1000000),0),IF($A$2="DEX",IFERROR(IF($X$1="ABS",(100*RTD("tos.rtd",,"OPEN_INT","."&amp;G$2&amp;G$1&amp;"C"&amp;$A42)*RTD("tos.rtd",,"DELTA","."&amp;G$2&amp;G$1&amp;"C"&amp;$A42)+100*RTD("tos.rtd",,"OPEN_INT","."&amp;G$2&amp;G$1&amp;"P"&amp;$A42)*RTD("tos.rtd",,"DELTA","."&amp;G$2&amp;G$1&amp;"P"&amp;$A42))/1000,(100*RTD("tos.rtd",,"OPEN_INT","."&amp;G$2&amp;G$1&amp;"C"&amp;$A42)*RTD("tos.rtd",,"DELTA","."&amp;G$2&amp;G$1&amp;"C"&amp;$A42)-100*RTD("tos.rtd",,"OPEN_INT","."&amp;G$2&amp;G$1&amp;"P"&amp;$A42)*RTD("tos.rtd",,"DELTA","."&amp;G$2&amp;G$1&amp;"P"&amp;$A42))/1000),0),IF($A$2="VEX",IFERROR(IF($X$1="ABS",($A$4*$A$4*RTD("tos.rtd",,"VOLUME","."&amp;G$2&amp;G$1&amp;"C"&amp;$A42)*RTD("tos.rtd",,"GAMMA","."&amp;G$2&amp;G$1&amp;"C"&amp;$A42)+$A$4*$A$4*RTD("tos.rtd",,"VOLUME","."&amp;G$2&amp;G$1&amp;"P"&amp;$A42)*RTD("tos.rtd",,"GAMMA","."&amp;G$2&amp;G$1&amp;"P"&amp;$A42))/1000000,($A$4*$A$4*RTD("tos.rtd",,"VOLUME","."&amp;G$2&amp;G$1&amp;"C"&amp;$A42)*RTD("tos.rtd",,"GAMMA","."&amp;G$2&amp;G$1&amp;"C"&amp;$A42)-$A$4*$A$4*RTD("tos.rtd",,"VOLUME","."&amp;G$2&amp;G$1&amp;"P"&amp;$A42)*RTD("tos.rtd",,"GAMMA","."&amp;G$2&amp;G$1&amp;"P"&amp;$A42))/1000000),0),IF($A$2="GEX",IFERROR(IF($X$1="ABS",($A$4*$A$4*RTD("tos.rtd",,"OPEN_INT","."&amp;G$2&amp;G$1&amp;"C"&amp;$A42)*RTD("tos.rtd",,"GAMMA","."&amp;G$2&amp;G$1&amp;"C"&amp;$A42)+$A$4*$A$4*RTD("tos.rtd",,"OPEN_INT","."&amp;G$2&amp;G$1&amp;"P"&amp;$A42)*RTD("tos.rtd",,"GAMMA","."&amp;G$2&amp;G$1&amp;"P"&amp;$A42))/1000000,($A$4*$A$4*RTD("tos.rtd",,"OPEN_INT","."&amp;G$2&amp;G$1&amp;"C"&amp;$A42)*RTD("tos.rtd",,"GAMMA","."&amp;G$2&amp;G$1&amp;"C"&amp;$A42)-$A$4*$A$4*RTD("tos.rtd",,"OPEN_INT","."&amp;G$2&amp;G$1&amp;"P"&amp;$A42)*RTD("tos.rtd",,"GAMMA","."&amp;G$2&amp;G$1&amp;"P"&amp;$A42))/1000000),0),IF($A$2="SKEW",IFERROR(VALUE(IF(RTD("tos.rtd",,"IMPL_VOL","."&amp;G$2&amp;G$1&amp;"P"&amp;$A42)="N/A",0,RTD("tos.rtd",,"IMPL_VOL","."&amp;G$2&amp;G$1&amp;"P"&amp;$A42))),0)-IFERROR(VALUE(IF(RTD("tos.rtd",,"IMPL_VOL","."&amp;G$2&amp;G$1&amp;"C"&amp;$A42)="N/A",0,RTD("tos.rtd",,"IMPL_VOL","."&amp;G$2&amp;G$1&amp;"C"&amp;$A42))),0),IF($A$2="MAXPAIN",IF($A$4&gt;$A42,($A$4-$A42)*IF(RTD("tos.rtd",,"OPEN_INT","."&amp;G$2&amp;G$1&amp;"C"&amp;$A42)="N/A",0,RTD("tos.rtd",,"OPEN_INT","."&amp;G$2&amp;G$1&amp;"C"&amp;$A42)),0)+IF($A$4&lt;$A42,($A$5-$A$4)*IF(RTD("tos.rtd",,"OPEN_INT","."&amp;G$2&amp;G$1&amp;"P"&amp;$A42)="N/A",0,RTD("tos.rtd",,"OPEN_INT","."&amp;G$2&amp;G$1&amp;"P"&amp;$A42)),0),IF($X$1="ABS",IF(RTD("tos.rtd",,$A$2,"."&amp;G$2&amp;G$1&amp;"C"&amp;$A42)="N/A",0,RTD("tos.rtd",,$A$2,"."&amp;G$2&amp;G$1&amp;"C"&amp;$A42))+IF(RTD("tos.rtd",,$A$2,"."&amp;G$2&amp;G$1&amp;"P"&amp;$A42)="N/A",0,RTD("tos.rtd",,$A$2,"."&amp;G$2&amp;G$1&amp;"P"&amp;$A42)),IF(RTD("tos.rtd",,$A$2,"."&amp;G$2&amp;G$1&amp;"C"&amp;$A42)="N/A",0,RTD("tos.rtd",,$A$2,"."&amp;G$2&amp;G$1&amp;"C"&amp;$A42))-IF(RTD("tos.rtd",,$A$2,"."&amp;G$2&amp;G$1&amp;"P"&amp;$A42)="N/A",0,RTD("tos.rtd",,$A$2,"."&amp;G$2&amp;G$1&amp;"P"&amp;$A42))))))))))</f>
        <v>2</v>
      </c>
      <c r="H42" s="14">
        <f ca="1">IF($A$2="PREMIUM_OI",IFERROR(IF($X$1="ABS",(100*RTD("tos.rtd",,"OPEN_INT","."&amp;H$2&amp;H$1&amp;"C"&amp;$A42)*RTD("tos.rtd",,"LAST","."&amp;H$2&amp;H$1&amp;"C"&amp;$A42)+100*RTD("tos.rtd",,"OPEN_INT","."&amp;H$2&amp;H$1&amp;"P"&amp;$A42)*RTD("tos.rtd",,"LAST","."&amp;H$2&amp;H$1&amp;"P"&amp;$A42))/1000000,(100*RTD("tos.rtd",,"OPEN_INT","."&amp;H$2&amp;H$1&amp;"C"&amp;$A42)*RTD("tos.rtd",,"LAST","."&amp;H$2&amp;H$1&amp;"C"&amp;$A42)-100*RTD("tos.rtd",,"OPEN_INT","."&amp;H$2&amp;H$1&amp;"P"&amp;$A42)*RTD("tos.rtd",,"LAST","."&amp;H$2&amp;H$1&amp;"P"&amp;$A42))/1000000),0),IF($A$2="PREMIUM",IFERROR(IF($X$1="ABS",(100*RTD("tos.rtd",,"VOLUME","."&amp;H$2&amp;H$1&amp;"C"&amp;$A42)*RTD("tos.rtd",,"LAST","."&amp;H$2&amp;H$1&amp;"C"&amp;$A42)+100*RTD("tos.rtd",,"VOLUME","."&amp;H$2&amp;H$1&amp;"P"&amp;$A42)*RTD("tos.rtd",,"LAST","."&amp;H$2&amp;H$1&amp;"P"&amp;$A42))/1000000,(100*RTD("tos.rtd",,"VOLUME","."&amp;H$2&amp;H$1&amp;"C"&amp;$A42)*RTD("tos.rtd",,"LAST","."&amp;H$2&amp;H$1&amp;"C"&amp;$A42)-100*RTD("tos.rtd",,"VOLUME","."&amp;H$2&amp;H$1&amp;"P"&amp;$A42)*RTD("tos.rtd",,"LAST","."&amp;H$2&amp;H$1&amp;"P"&amp;$A42))/1000000),0),IF($A$2="DEX",IFERROR(IF($X$1="ABS",(100*RTD("tos.rtd",,"OPEN_INT","."&amp;H$2&amp;H$1&amp;"C"&amp;$A42)*RTD("tos.rtd",,"DELTA","."&amp;H$2&amp;H$1&amp;"C"&amp;$A42)+100*RTD("tos.rtd",,"OPEN_INT","."&amp;H$2&amp;H$1&amp;"P"&amp;$A42)*RTD("tos.rtd",,"DELTA","."&amp;H$2&amp;H$1&amp;"P"&amp;$A42))/1000,(100*RTD("tos.rtd",,"OPEN_INT","."&amp;H$2&amp;H$1&amp;"C"&amp;$A42)*RTD("tos.rtd",,"DELTA","."&amp;H$2&amp;H$1&amp;"C"&amp;$A42)-100*RTD("tos.rtd",,"OPEN_INT","."&amp;H$2&amp;H$1&amp;"P"&amp;$A42)*RTD("tos.rtd",,"DELTA","."&amp;H$2&amp;H$1&amp;"P"&amp;$A42))/1000),0),IF($A$2="VEX",IFERROR(IF($X$1="ABS",($A$4*$A$4*RTD("tos.rtd",,"VOLUME","."&amp;H$2&amp;H$1&amp;"C"&amp;$A42)*RTD("tos.rtd",,"GAMMA","."&amp;H$2&amp;H$1&amp;"C"&amp;$A42)+$A$4*$A$4*RTD("tos.rtd",,"VOLUME","."&amp;H$2&amp;H$1&amp;"P"&amp;$A42)*RTD("tos.rtd",,"GAMMA","."&amp;H$2&amp;H$1&amp;"P"&amp;$A42))/1000000,($A$4*$A$4*RTD("tos.rtd",,"VOLUME","."&amp;H$2&amp;H$1&amp;"C"&amp;$A42)*RTD("tos.rtd",,"GAMMA","."&amp;H$2&amp;H$1&amp;"C"&amp;$A42)-$A$4*$A$4*RTD("tos.rtd",,"VOLUME","."&amp;H$2&amp;H$1&amp;"P"&amp;$A42)*RTD("tos.rtd",,"GAMMA","."&amp;H$2&amp;H$1&amp;"P"&amp;$A42))/1000000),0),IF($A$2="GEX",IFERROR(IF($X$1="ABS",($A$4*$A$4*RTD("tos.rtd",,"OPEN_INT","."&amp;H$2&amp;H$1&amp;"C"&amp;$A42)*RTD("tos.rtd",,"GAMMA","."&amp;H$2&amp;H$1&amp;"C"&amp;$A42)+$A$4*$A$4*RTD("tos.rtd",,"OPEN_INT","."&amp;H$2&amp;H$1&amp;"P"&amp;$A42)*RTD("tos.rtd",,"GAMMA","."&amp;H$2&amp;H$1&amp;"P"&amp;$A42))/1000000,($A$4*$A$4*RTD("tos.rtd",,"OPEN_INT","."&amp;H$2&amp;H$1&amp;"C"&amp;$A42)*RTD("tos.rtd",,"GAMMA","."&amp;H$2&amp;H$1&amp;"C"&amp;$A42)-$A$4*$A$4*RTD("tos.rtd",,"OPEN_INT","."&amp;H$2&amp;H$1&amp;"P"&amp;$A42)*RTD("tos.rtd",,"GAMMA","."&amp;H$2&amp;H$1&amp;"P"&amp;$A42))/1000000),0),IF($A$2="SKEW",IFERROR(VALUE(IF(RTD("tos.rtd",,"IMPL_VOL","."&amp;H$2&amp;H$1&amp;"P"&amp;$A42)="N/A",0,RTD("tos.rtd",,"IMPL_VOL","."&amp;H$2&amp;H$1&amp;"P"&amp;$A42))),0)-IFERROR(VALUE(IF(RTD("tos.rtd",,"IMPL_VOL","."&amp;H$2&amp;H$1&amp;"C"&amp;$A42)="N/A",0,RTD("tos.rtd",,"IMPL_VOL","."&amp;H$2&amp;H$1&amp;"C"&amp;$A42))),0),IF($A$2="MAXPAIN",IF($A$4&gt;$A42,($A$4-$A42)*IF(RTD("tos.rtd",,"OPEN_INT","."&amp;H$2&amp;H$1&amp;"C"&amp;$A42)="N/A",0,RTD("tos.rtd",,"OPEN_INT","."&amp;H$2&amp;H$1&amp;"C"&amp;$A42)),0)+IF($A$4&lt;$A42,($A$5-$A$4)*IF(RTD("tos.rtd",,"OPEN_INT","."&amp;H$2&amp;H$1&amp;"P"&amp;$A42)="N/A",0,RTD("tos.rtd",,"OPEN_INT","."&amp;H$2&amp;H$1&amp;"P"&amp;$A42)),0),IF($X$1="ABS",IF(RTD("tos.rtd",,$A$2,"."&amp;H$2&amp;H$1&amp;"C"&amp;$A42)="N/A",0,RTD("tos.rtd",,$A$2,"."&amp;H$2&amp;H$1&amp;"C"&amp;$A42))+IF(RTD("tos.rtd",,$A$2,"."&amp;H$2&amp;H$1&amp;"P"&amp;$A42)="N/A",0,RTD("tos.rtd",,$A$2,"."&amp;H$2&amp;H$1&amp;"P"&amp;$A42)),IF(RTD("tos.rtd",,$A$2,"."&amp;H$2&amp;H$1&amp;"C"&amp;$A42)="N/A",0,RTD("tos.rtd",,$A$2,"."&amp;H$2&amp;H$1&amp;"C"&amp;$A42))-IF(RTD("tos.rtd",,$A$2,"."&amp;H$2&amp;H$1&amp;"P"&amp;$A42)="N/A",0,RTD("tos.rtd",,$A$2,"."&amp;H$2&amp;H$1&amp;"P"&amp;$A42))))))))))</f>
        <v>-979</v>
      </c>
      <c r="I42" s="12">
        <f ca="1">IF($A$2="PREMIUM_OI",IFERROR(IF($X$1="ABS",(100*RTD("tos.rtd",,"OPEN_INT","."&amp;I$2&amp;I$1&amp;"C"&amp;$A42)*RTD("tos.rtd",,"LAST","."&amp;I$2&amp;I$1&amp;"C"&amp;$A42)+100*RTD("tos.rtd",,"OPEN_INT","."&amp;I$2&amp;I$1&amp;"P"&amp;$A42)*RTD("tos.rtd",,"LAST","."&amp;I$2&amp;I$1&amp;"P"&amp;$A42))/1000000,(100*RTD("tos.rtd",,"OPEN_INT","."&amp;I$2&amp;I$1&amp;"C"&amp;$A42)*RTD("tos.rtd",,"LAST","."&amp;I$2&amp;I$1&amp;"C"&amp;$A42)-100*RTD("tos.rtd",,"OPEN_INT","."&amp;I$2&amp;I$1&amp;"P"&amp;$A42)*RTD("tos.rtd",,"LAST","."&amp;I$2&amp;I$1&amp;"P"&amp;$A42))/1000000),0),IF($A$2="PREMIUM",IFERROR(IF($X$1="ABS",(100*RTD("tos.rtd",,"VOLUME","."&amp;I$2&amp;I$1&amp;"C"&amp;$A42)*RTD("tos.rtd",,"LAST","."&amp;I$2&amp;I$1&amp;"C"&amp;$A42)+100*RTD("tos.rtd",,"VOLUME","."&amp;I$2&amp;I$1&amp;"P"&amp;$A42)*RTD("tos.rtd",,"LAST","."&amp;I$2&amp;I$1&amp;"P"&amp;$A42))/1000000,(100*RTD("tos.rtd",,"VOLUME","."&amp;I$2&amp;I$1&amp;"C"&amp;$A42)*RTD("tos.rtd",,"LAST","."&amp;I$2&amp;I$1&amp;"C"&amp;$A42)-100*RTD("tos.rtd",,"VOLUME","."&amp;I$2&amp;I$1&amp;"P"&amp;$A42)*RTD("tos.rtd",,"LAST","."&amp;I$2&amp;I$1&amp;"P"&amp;$A42))/1000000),0),IF($A$2="DEX",IFERROR(IF($X$1="ABS",(100*RTD("tos.rtd",,"OPEN_INT","."&amp;I$2&amp;I$1&amp;"C"&amp;$A42)*RTD("tos.rtd",,"DELTA","."&amp;I$2&amp;I$1&amp;"C"&amp;$A42)+100*RTD("tos.rtd",,"OPEN_INT","."&amp;I$2&amp;I$1&amp;"P"&amp;$A42)*RTD("tos.rtd",,"DELTA","."&amp;I$2&amp;I$1&amp;"P"&amp;$A42))/1000,(100*RTD("tos.rtd",,"OPEN_INT","."&amp;I$2&amp;I$1&amp;"C"&amp;$A42)*RTD("tos.rtd",,"DELTA","."&amp;I$2&amp;I$1&amp;"C"&amp;$A42)-100*RTD("tos.rtd",,"OPEN_INT","."&amp;I$2&amp;I$1&amp;"P"&amp;$A42)*RTD("tos.rtd",,"DELTA","."&amp;I$2&amp;I$1&amp;"P"&amp;$A42))/1000),0),IF($A$2="VEX",IFERROR(IF($X$1="ABS",($A$4*$A$4*RTD("tos.rtd",,"VOLUME","."&amp;I$2&amp;I$1&amp;"C"&amp;$A42)*RTD("tos.rtd",,"GAMMA","."&amp;I$2&amp;I$1&amp;"C"&amp;$A42)+$A$4*$A$4*RTD("tos.rtd",,"VOLUME","."&amp;I$2&amp;I$1&amp;"P"&amp;$A42)*RTD("tos.rtd",,"GAMMA","."&amp;I$2&amp;I$1&amp;"P"&amp;$A42))/1000000,($A$4*$A$4*RTD("tos.rtd",,"VOLUME","."&amp;I$2&amp;I$1&amp;"C"&amp;$A42)*RTD("tos.rtd",,"GAMMA","."&amp;I$2&amp;I$1&amp;"C"&amp;$A42)-$A$4*$A$4*RTD("tos.rtd",,"VOLUME","."&amp;I$2&amp;I$1&amp;"P"&amp;$A42)*RTD("tos.rtd",,"GAMMA","."&amp;I$2&amp;I$1&amp;"P"&amp;$A42))/1000000),0),IF($A$2="GEX",IFERROR(IF($X$1="ABS",($A$4*$A$4*RTD("tos.rtd",,"OPEN_INT","."&amp;I$2&amp;I$1&amp;"C"&amp;$A42)*RTD("tos.rtd",,"GAMMA","."&amp;I$2&amp;I$1&amp;"C"&amp;$A42)+$A$4*$A$4*RTD("tos.rtd",,"OPEN_INT","."&amp;I$2&amp;I$1&amp;"P"&amp;$A42)*RTD("tos.rtd",,"GAMMA","."&amp;I$2&amp;I$1&amp;"P"&amp;$A42))/1000000,($A$4*$A$4*RTD("tos.rtd",,"OPEN_INT","."&amp;I$2&amp;I$1&amp;"C"&amp;$A42)*RTD("tos.rtd",,"GAMMA","."&amp;I$2&amp;I$1&amp;"C"&amp;$A42)-$A$4*$A$4*RTD("tos.rtd",,"OPEN_INT","."&amp;I$2&amp;I$1&amp;"P"&amp;$A42)*RTD("tos.rtd",,"GAMMA","."&amp;I$2&amp;I$1&amp;"P"&amp;$A42))/1000000),0),IF($A$2="SKEW",IFERROR(VALUE(IF(RTD("tos.rtd",,"IMPL_VOL","."&amp;I$2&amp;I$1&amp;"P"&amp;$A42)="N/A",0,RTD("tos.rtd",,"IMPL_VOL","."&amp;I$2&amp;I$1&amp;"P"&amp;$A42))),0)-IFERROR(VALUE(IF(RTD("tos.rtd",,"IMPL_VOL","."&amp;I$2&amp;I$1&amp;"C"&amp;$A42)="N/A",0,RTD("tos.rtd",,"IMPL_VOL","."&amp;I$2&amp;I$1&amp;"C"&amp;$A42))),0),IF($A$2="MAXPAIN",IF($A$4&gt;$A42,($A$4-$A42)*IF(RTD("tos.rtd",,"OPEN_INT","."&amp;I$2&amp;I$1&amp;"C"&amp;$A42)="N/A",0,RTD("tos.rtd",,"OPEN_INT","."&amp;I$2&amp;I$1&amp;"C"&amp;$A42)),0)+IF($A$4&lt;$A42,($A$5-$A$4)*IF(RTD("tos.rtd",,"OPEN_INT","."&amp;I$2&amp;I$1&amp;"P"&amp;$A42)="N/A",0,RTD("tos.rtd",,"OPEN_INT","."&amp;I$2&amp;I$1&amp;"P"&amp;$A42)),0),IF($X$1="ABS",IF(RTD("tos.rtd",,$A$2,"."&amp;I$2&amp;I$1&amp;"C"&amp;$A42)="N/A",0,RTD("tos.rtd",,$A$2,"."&amp;I$2&amp;I$1&amp;"C"&amp;$A42))+IF(RTD("tos.rtd",,$A$2,"."&amp;I$2&amp;I$1&amp;"P"&amp;$A42)="N/A",0,RTD("tos.rtd",,$A$2,"."&amp;I$2&amp;I$1&amp;"P"&amp;$A42)),IF(RTD("tos.rtd",,$A$2,"."&amp;I$2&amp;I$1&amp;"C"&amp;$A42)="N/A",0,RTD("tos.rtd",,$A$2,"."&amp;I$2&amp;I$1&amp;"C"&amp;$A42))-IF(RTD("tos.rtd",,$A$2,"."&amp;I$2&amp;I$1&amp;"P"&amp;$A42)="N/A",0,RTD("tos.rtd",,$A$2,"."&amp;I$2&amp;I$1&amp;"P"&amp;$A42))))))))))</f>
        <v>51</v>
      </c>
      <c r="J42" s="12">
        <f ca="1">IF($A$2="PREMIUM_OI",IFERROR(IF($X$1="ABS",(100*RTD("tos.rtd",,"OPEN_INT","."&amp;J$2&amp;J$1&amp;"C"&amp;$A42)*RTD("tos.rtd",,"LAST","."&amp;J$2&amp;J$1&amp;"C"&amp;$A42)+100*RTD("tos.rtd",,"OPEN_INT","."&amp;J$2&amp;J$1&amp;"P"&amp;$A42)*RTD("tos.rtd",,"LAST","."&amp;J$2&amp;J$1&amp;"P"&amp;$A42))/1000000,(100*RTD("tos.rtd",,"OPEN_INT","."&amp;J$2&amp;J$1&amp;"C"&amp;$A42)*RTD("tos.rtd",,"LAST","."&amp;J$2&amp;J$1&amp;"C"&amp;$A42)-100*RTD("tos.rtd",,"OPEN_INT","."&amp;J$2&amp;J$1&amp;"P"&amp;$A42)*RTD("tos.rtd",,"LAST","."&amp;J$2&amp;J$1&amp;"P"&amp;$A42))/1000000),0),IF($A$2="PREMIUM",IFERROR(IF($X$1="ABS",(100*RTD("tos.rtd",,"VOLUME","."&amp;J$2&amp;J$1&amp;"C"&amp;$A42)*RTD("tos.rtd",,"LAST","."&amp;J$2&amp;J$1&amp;"C"&amp;$A42)+100*RTD("tos.rtd",,"VOLUME","."&amp;J$2&amp;J$1&amp;"P"&amp;$A42)*RTD("tos.rtd",,"LAST","."&amp;J$2&amp;J$1&amp;"P"&amp;$A42))/1000000,(100*RTD("tos.rtd",,"VOLUME","."&amp;J$2&amp;J$1&amp;"C"&amp;$A42)*RTD("tos.rtd",,"LAST","."&amp;J$2&amp;J$1&amp;"C"&amp;$A42)-100*RTD("tos.rtd",,"VOLUME","."&amp;J$2&amp;J$1&amp;"P"&amp;$A42)*RTD("tos.rtd",,"LAST","."&amp;J$2&amp;J$1&amp;"P"&amp;$A42))/1000000),0),IF($A$2="DEX",IFERROR(IF($X$1="ABS",(100*RTD("tos.rtd",,"OPEN_INT","."&amp;J$2&amp;J$1&amp;"C"&amp;$A42)*RTD("tos.rtd",,"DELTA","."&amp;J$2&amp;J$1&amp;"C"&amp;$A42)+100*RTD("tos.rtd",,"OPEN_INT","."&amp;J$2&amp;J$1&amp;"P"&amp;$A42)*RTD("tos.rtd",,"DELTA","."&amp;J$2&amp;J$1&amp;"P"&amp;$A42))/1000,(100*RTD("tos.rtd",,"OPEN_INT","."&amp;J$2&amp;J$1&amp;"C"&amp;$A42)*RTD("tos.rtd",,"DELTA","."&amp;J$2&amp;J$1&amp;"C"&amp;$A42)-100*RTD("tos.rtd",,"OPEN_INT","."&amp;J$2&amp;J$1&amp;"P"&amp;$A42)*RTD("tos.rtd",,"DELTA","."&amp;J$2&amp;J$1&amp;"P"&amp;$A42))/1000),0),IF($A$2="VEX",IFERROR(IF($X$1="ABS",($A$4*$A$4*RTD("tos.rtd",,"VOLUME","."&amp;J$2&amp;J$1&amp;"C"&amp;$A42)*RTD("tos.rtd",,"GAMMA","."&amp;J$2&amp;J$1&amp;"C"&amp;$A42)+$A$4*$A$4*RTD("tos.rtd",,"VOLUME","."&amp;J$2&amp;J$1&amp;"P"&amp;$A42)*RTD("tos.rtd",,"GAMMA","."&amp;J$2&amp;J$1&amp;"P"&amp;$A42))/1000000,($A$4*$A$4*RTD("tos.rtd",,"VOLUME","."&amp;J$2&amp;J$1&amp;"C"&amp;$A42)*RTD("tos.rtd",,"GAMMA","."&amp;J$2&amp;J$1&amp;"C"&amp;$A42)-$A$4*$A$4*RTD("tos.rtd",,"VOLUME","."&amp;J$2&amp;J$1&amp;"P"&amp;$A42)*RTD("tos.rtd",,"GAMMA","."&amp;J$2&amp;J$1&amp;"P"&amp;$A42))/1000000),0),IF($A$2="GEX",IFERROR(IF($X$1="ABS",($A$4*$A$4*RTD("tos.rtd",,"OPEN_INT","."&amp;J$2&amp;J$1&amp;"C"&amp;$A42)*RTD("tos.rtd",,"GAMMA","."&amp;J$2&amp;J$1&amp;"C"&amp;$A42)+$A$4*$A$4*RTD("tos.rtd",,"OPEN_INT","."&amp;J$2&amp;J$1&amp;"P"&amp;$A42)*RTD("tos.rtd",,"GAMMA","."&amp;J$2&amp;J$1&amp;"P"&amp;$A42))/1000000,($A$4*$A$4*RTD("tos.rtd",,"OPEN_INT","."&amp;J$2&amp;J$1&amp;"C"&amp;$A42)*RTD("tos.rtd",,"GAMMA","."&amp;J$2&amp;J$1&amp;"C"&amp;$A42)-$A$4*$A$4*RTD("tos.rtd",,"OPEN_INT","."&amp;J$2&amp;J$1&amp;"P"&amp;$A42)*RTD("tos.rtd",,"GAMMA","."&amp;J$2&amp;J$1&amp;"P"&amp;$A42))/1000000),0),IF($A$2="SKEW",IFERROR(VALUE(IF(RTD("tos.rtd",,"IMPL_VOL","."&amp;J$2&amp;J$1&amp;"P"&amp;$A42)="N/A",0,RTD("tos.rtd",,"IMPL_VOL","."&amp;J$2&amp;J$1&amp;"P"&amp;$A42))),0)-IFERROR(VALUE(IF(RTD("tos.rtd",,"IMPL_VOL","."&amp;J$2&amp;J$1&amp;"C"&amp;$A42)="N/A",0,RTD("tos.rtd",,"IMPL_VOL","."&amp;J$2&amp;J$1&amp;"C"&amp;$A42))),0),IF($A$2="MAXPAIN",IF($A$4&gt;$A42,($A$4-$A42)*IF(RTD("tos.rtd",,"OPEN_INT","."&amp;J$2&amp;J$1&amp;"C"&amp;$A42)="N/A",0,RTD("tos.rtd",,"OPEN_INT","."&amp;J$2&amp;J$1&amp;"C"&amp;$A42)),0)+IF($A$4&lt;$A42,($A$5-$A$4)*IF(RTD("tos.rtd",,"OPEN_INT","."&amp;J$2&amp;J$1&amp;"P"&amp;$A42)="N/A",0,RTD("tos.rtd",,"OPEN_INT","."&amp;J$2&amp;J$1&amp;"P"&amp;$A42)),0),IF($X$1="ABS",IF(RTD("tos.rtd",,$A$2,"."&amp;J$2&amp;J$1&amp;"C"&amp;$A42)="N/A",0,RTD("tos.rtd",,$A$2,"."&amp;J$2&amp;J$1&amp;"C"&amp;$A42))+IF(RTD("tos.rtd",,$A$2,"."&amp;J$2&amp;J$1&amp;"P"&amp;$A42)="N/A",0,RTD("tos.rtd",,$A$2,"."&amp;J$2&amp;J$1&amp;"P"&amp;$A42)),IF(RTD("tos.rtd",,$A$2,"."&amp;J$2&amp;J$1&amp;"C"&amp;$A42)="N/A",0,RTD("tos.rtd",,$A$2,"."&amp;J$2&amp;J$1&amp;"C"&amp;$A42))-IF(RTD("tos.rtd",,$A$2,"."&amp;J$2&amp;J$1&amp;"P"&amp;$A42)="N/A",0,RTD("tos.rtd",,$A$2,"."&amp;J$2&amp;J$1&amp;"P"&amp;$A42))))))))))</f>
        <v>0</v>
      </c>
      <c r="K42" s="12">
        <f ca="1">IF($A$2="PREMIUM_OI",IFERROR(IF($X$1="ABS",(100*RTD("tos.rtd",,"OPEN_INT","."&amp;K$2&amp;K$1&amp;"C"&amp;$A42)*RTD("tos.rtd",,"LAST","."&amp;K$2&amp;K$1&amp;"C"&amp;$A42)+100*RTD("tos.rtd",,"OPEN_INT","."&amp;K$2&amp;K$1&amp;"P"&amp;$A42)*RTD("tos.rtd",,"LAST","."&amp;K$2&amp;K$1&amp;"P"&amp;$A42))/1000000,(100*RTD("tos.rtd",,"OPEN_INT","."&amp;K$2&amp;K$1&amp;"C"&amp;$A42)*RTD("tos.rtd",,"LAST","."&amp;K$2&amp;K$1&amp;"C"&amp;$A42)-100*RTD("tos.rtd",,"OPEN_INT","."&amp;K$2&amp;K$1&amp;"P"&amp;$A42)*RTD("tos.rtd",,"LAST","."&amp;K$2&amp;K$1&amp;"P"&amp;$A42))/1000000),0),IF($A$2="PREMIUM",IFERROR(IF($X$1="ABS",(100*RTD("tos.rtd",,"VOLUME","."&amp;K$2&amp;K$1&amp;"C"&amp;$A42)*RTD("tos.rtd",,"LAST","."&amp;K$2&amp;K$1&amp;"C"&amp;$A42)+100*RTD("tos.rtd",,"VOLUME","."&amp;K$2&amp;K$1&amp;"P"&amp;$A42)*RTD("tos.rtd",,"LAST","."&amp;K$2&amp;K$1&amp;"P"&amp;$A42))/1000000,(100*RTD("tos.rtd",,"VOLUME","."&amp;K$2&amp;K$1&amp;"C"&amp;$A42)*RTD("tos.rtd",,"LAST","."&amp;K$2&amp;K$1&amp;"C"&amp;$A42)-100*RTD("tos.rtd",,"VOLUME","."&amp;K$2&amp;K$1&amp;"P"&amp;$A42)*RTD("tos.rtd",,"LAST","."&amp;K$2&amp;K$1&amp;"P"&amp;$A42))/1000000),0),IF($A$2="DEX",IFERROR(IF($X$1="ABS",(100*RTD("tos.rtd",,"OPEN_INT","."&amp;K$2&amp;K$1&amp;"C"&amp;$A42)*RTD("tos.rtd",,"DELTA","."&amp;K$2&amp;K$1&amp;"C"&amp;$A42)+100*RTD("tos.rtd",,"OPEN_INT","."&amp;K$2&amp;K$1&amp;"P"&amp;$A42)*RTD("tos.rtd",,"DELTA","."&amp;K$2&amp;K$1&amp;"P"&amp;$A42))/1000,(100*RTD("tos.rtd",,"OPEN_INT","."&amp;K$2&amp;K$1&amp;"C"&amp;$A42)*RTD("tos.rtd",,"DELTA","."&amp;K$2&amp;K$1&amp;"C"&amp;$A42)-100*RTD("tos.rtd",,"OPEN_INT","."&amp;K$2&amp;K$1&amp;"P"&amp;$A42)*RTD("tos.rtd",,"DELTA","."&amp;K$2&amp;K$1&amp;"P"&amp;$A42))/1000),0),IF($A$2="VEX",IFERROR(IF($X$1="ABS",($A$4*$A$4*RTD("tos.rtd",,"VOLUME","."&amp;K$2&amp;K$1&amp;"C"&amp;$A42)*RTD("tos.rtd",,"GAMMA","."&amp;K$2&amp;K$1&amp;"C"&amp;$A42)+$A$4*$A$4*RTD("tos.rtd",,"VOLUME","."&amp;K$2&amp;K$1&amp;"P"&amp;$A42)*RTD("tos.rtd",,"GAMMA","."&amp;K$2&amp;K$1&amp;"P"&amp;$A42))/1000000,($A$4*$A$4*RTD("tos.rtd",,"VOLUME","."&amp;K$2&amp;K$1&amp;"C"&amp;$A42)*RTD("tos.rtd",,"GAMMA","."&amp;K$2&amp;K$1&amp;"C"&amp;$A42)-$A$4*$A$4*RTD("tos.rtd",,"VOLUME","."&amp;K$2&amp;K$1&amp;"P"&amp;$A42)*RTD("tos.rtd",,"GAMMA","."&amp;K$2&amp;K$1&amp;"P"&amp;$A42))/1000000),0),IF($A$2="GEX",IFERROR(IF($X$1="ABS",($A$4*$A$4*RTD("tos.rtd",,"OPEN_INT","."&amp;K$2&amp;K$1&amp;"C"&amp;$A42)*RTD("tos.rtd",,"GAMMA","."&amp;K$2&amp;K$1&amp;"C"&amp;$A42)+$A$4*$A$4*RTD("tos.rtd",,"OPEN_INT","."&amp;K$2&amp;K$1&amp;"P"&amp;$A42)*RTD("tos.rtd",,"GAMMA","."&amp;K$2&amp;K$1&amp;"P"&amp;$A42))/1000000,($A$4*$A$4*RTD("tos.rtd",,"OPEN_INT","."&amp;K$2&amp;K$1&amp;"C"&amp;$A42)*RTD("tos.rtd",,"GAMMA","."&amp;K$2&amp;K$1&amp;"C"&amp;$A42)-$A$4*$A$4*RTD("tos.rtd",,"OPEN_INT","."&amp;K$2&amp;K$1&amp;"P"&amp;$A42)*RTD("tos.rtd",,"GAMMA","."&amp;K$2&amp;K$1&amp;"P"&amp;$A42))/1000000),0),IF($A$2="SKEW",IFERROR(VALUE(IF(RTD("tos.rtd",,"IMPL_VOL","."&amp;K$2&amp;K$1&amp;"P"&amp;$A42)="N/A",0,RTD("tos.rtd",,"IMPL_VOL","."&amp;K$2&amp;K$1&amp;"P"&amp;$A42))),0)-IFERROR(VALUE(IF(RTD("tos.rtd",,"IMPL_VOL","."&amp;K$2&amp;K$1&amp;"C"&amp;$A42)="N/A",0,RTD("tos.rtd",,"IMPL_VOL","."&amp;K$2&amp;K$1&amp;"C"&amp;$A42))),0),IF($A$2="MAXPAIN",IF($A$4&gt;$A42,($A$4-$A42)*IF(RTD("tos.rtd",,"OPEN_INT","."&amp;K$2&amp;K$1&amp;"C"&amp;$A42)="N/A",0,RTD("tos.rtd",,"OPEN_INT","."&amp;K$2&amp;K$1&amp;"C"&amp;$A42)),0)+IF($A$4&lt;$A42,($A$5-$A$4)*IF(RTD("tos.rtd",,"OPEN_INT","."&amp;K$2&amp;K$1&amp;"P"&amp;$A42)="N/A",0,RTD("tos.rtd",,"OPEN_INT","."&amp;K$2&amp;K$1&amp;"P"&amp;$A42)),0),IF($X$1="ABS",IF(RTD("tos.rtd",,$A$2,"."&amp;K$2&amp;K$1&amp;"C"&amp;$A42)="N/A",0,RTD("tos.rtd",,$A$2,"."&amp;K$2&amp;K$1&amp;"C"&amp;$A42))+IF(RTD("tos.rtd",,$A$2,"."&amp;K$2&amp;K$1&amp;"P"&amp;$A42)="N/A",0,RTD("tos.rtd",,$A$2,"."&amp;K$2&amp;K$1&amp;"P"&amp;$A42)),IF(RTD("tos.rtd",,$A$2,"."&amp;K$2&amp;K$1&amp;"C"&amp;$A42)="N/A",0,RTD("tos.rtd",,$A$2,"."&amp;K$2&amp;K$1&amp;"C"&amp;$A42))-IF(RTD("tos.rtd",,$A$2,"."&amp;K$2&amp;K$1&amp;"P"&amp;$A42)="N/A",0,RTD("tos.rtd",,$A$2,"."&amp;K$2&amp;K$1&amp;"P"&amp;$A42))))))))))</f>
        <v>0</v>
      </c>
      <c r="L42" s="54">
        <f ca="1">IF($A$2="PREMIUM_OI",IFERROR(IF($X$1="ABS",(100*RTD("tos.rtd",,"OPEN_INT","."&amp;L$2&amp;L$1&amp;"C"&amp;$A42)*RTD("tos.rtd",,"LAST","."&amp;L$2&amp;L$1&amp;"C"&amp;$A42)+100*RTD("tos.rtd",,"OPEN_INT","."&amp;L$2&amp;L$1&amp;"P"&amp;$A42)*RTD("tos.rtd",,"LAST","."&amp;L$2&amp;L$1&amp;"P"&amp;$A42))/1000000,(100*RTD("tos.rtd",,"OPEN_INT","."&amp;L$2&amp;L$1&amp;"C"&amp;$A42)*RTD("tos.rtd",,"LAST","."&amp;L$2&amp;L$1&amp;"C"&amp;$A42)-100*RTD("tos.rtd",,"OPEN_INT","."&amp;L$2&amp;L$1&amp;"P"&amp;$A42)*RTD("tos.rtd",,"LAST","."&amp;L$2&amp;L$1&amp;"P"&amp;$A42))/1000000),0),IF($A$2="PREMIUM",IFERROR(IF($X$1="ABS",(100*RTD("tos.rtd",,"VOLUME","."&amp;L$2&amp;L$1&amp;"C"&amp;$A42)*RTD("tos.rtd",,"LAST","."&amp;L$2&amp;L$1&amp;"C"&amp;$A42)+100*RTD("tos.rtd",,"VOLUME","."&amp;L$2&amp;L$1&amp;"P"&amp;$A42)*RTD("tos.rtd",,"LAST","."&amp;L$2&amp;L$1&amp;"P"&amp;$A42))/1000000,(100*RTD("tos.rtd",,"VOLUME","."&amp;L$2&amp;L$1&amp;"C"&amp;$A42)*RTD("tos.rtd",,"LAST","."&amp;L$2&amp;L$1&amp;"C"&amp;$A42)-100*RTD("tos.rtd",,"VOLUME","."&amp;L$2&amp;L$1&amp;"P"&amp;$A42)*RTD("tos.rtd",,"LAST","."&amp;L$2&amp;L$1&amp;"P"&amp;$A42))/1000000),0),IF($A$2="DEX",IFERROR(IF($X$1="ABS",(100*RTD("tos.rtd",,"OPEN_INT","."&amp;L$2&amp;L$1&amp;"C"&amp;$A42)*RTD("tos.rtd",,"DELTA","."&amp;L$2&amp;L$1&amp;"C"&amp;$A42)+100*RTD("tos.rtd",,"OPEN_INT","."&amp;L$2&amp;L$1&amp;"P"&amp;$A42)*RTD("tos.rtd",,"DELTA","."&amp;L$2&amp;L$1&amp;"P"&amp;$A42))/1000,(100*RTD("tos.rtd",,"OPEN_INT","."&amp;L$2&amp;L$1&amp;"C"&amp;$A42)*RTD("tos.rtd",,"DELTA","."&amp;L$2&amp;L$1&amp;"C"&amp;$A42)-100*RTD("tos.rtd",,"OPEN_INT","."&amp;L$2&amp;L$1&amp;"P"&amp;$A42)*RTD("tos.rtd",,"DELTA","."&amp;L$2&amp;L$1&amp;"P"&amp;$A42))/1000),0),IF($A$2="VEX",IFERROR(IF($X$1="ABS",($A$4*$A$4*RTD("tos.rtd",,"VOLUME","."&amp;L$2&amp;L$1&amp;"C"&amp;$A42)*RTD("tos.rtd",,"GAMMA","."&amp;L$2&amp;L$1&amp;"C"&amp;$A42)+$A$4*$A$4*RTD("tos.rtd",,"VOLUME","."&amp;L$2&amp;L$1&amp;"P"&amp;$A42)*RTD("tos.rtd",,"GAMMA","."&amp;L$2&amp;L$1&amp;"P"&amp;$A42))/1000000,($A$4*$A$4*RTD("tos.rtd",,"VOLUME","."&amp;L$2&amp;L$1&amp;"C"&amp;$A42)*RTD("tos.rtd",,"GAMMA","."&amp;L$2&amp;L$1&amp;"C"&amp;$A42)-$A$4*$A$4*RTD("tos.rtd",,"VOLUME","."&amp;L$2&amp;L$1&amp;"P"&amp;$A42)*RTD("tos.rtd",,"GAMMA","."&amp;L$2&amp;L$1&amp;"P"&amp;$A42))/1000000),0),IF($A$2="GEX",IFERROR(IF($X$1="ABS",($A$4*$A$4*RTD("tos.rtd",,"OPEN_INT","."&amp;L$2&amp;L$1&amp;"C"&amp;$A42)*RTD("tos.rtd",,"GAMMA","."&amp;L$2&amp;L$1&amp;"C"&amp;$A42)+$A$4*$A$4*RTD("tos.rtd",,"OPEN_INT","."&amp;L$2&amp;L$1&amp;"P"&amp;$A42)*RTD("tos.rtd",,"GAMMA","."&amp;L$2&amp;L$1&amp;"P"&amp;$A42))/1000000,($A$4*$A$4*RTD("tos.rtd",,"OPEN_INT","."&amp;L$2&amp;L$1&amp;"C"&amp;$A42)*RTD("tos.rtd",,"GAMMA","."&amp;L$2&amp;L$1&amp;"C"&amp;$A42)-$A$4*$A$4*RTD("tos.rtd",,"OPEN_INT","."&amp;L$2&amp;L$1&amp;"P"&amp;$A42)*RTD("tos.rtd",,"GAMMA","."&amp;L$2&amp;L$1&amp;"P"&amp;$A42))/1000000),0),IF($A$2="SKEW",IFERROR(VALUE(IF(RTD("tos.rtd",,"IMPL_VOL","."&amp;L$2&amp;L$1&amp;"P"&amp;$A42)="N/A",0,RTD("tos.rtd",,"IMPL_VOL","."&amp;L$2&amp;L$1&amp;"P"&amp;$A42))),0)-IFERROR(VALUE(IF(RTD("tos.rtd",,"IMPL_VOL","."&amp;L$2&amp;L$1&amp;"C"&amp;$A42)="N/A",0,RTD("tos.rtd",,"IMPL_VOL","."&amp;L$2&amp;L$1&amp;"C"&amp;$A42))),0),IF($A$2="MAXPAIN",IF($A$4&gt;$A42,($A$4-$A42)*IF(RTD("tos.rtd",,"OPEN_INT","."&amp;L$2&amp;L$1&amp;"C"&amp;$A42)="N/A",0,RTD("tos.rtd",,"OPEN_INT","."&amp;L$2&amp;L$1&amp;"C"&amp;$A42)),0)+IF($A$4&lt;$A42,($A$5-$A$4)*IF(RTD("tos.rtd",,"OPEN_INT","."&amp;L$2&amp;L$1&amp;"P"&amp;$A42)="N/A",0,RTD("tos.rtd",,"OPEN_INT","."&amp;L$2&amp;L$1&amp;"P"&amp;$A42)),0),IF($X$1="ABS",IF(RTD("tos.rtd",,$A$2,"."&amp;L$2&amp;L$1&amp;"C"&amp;$A42)="N/A",0,RTD("tos.rtd",,$A$2,"."&amp;L$2&amp;L$1&amp;"C"&amp;$A42))+IF(RTD("tos.rtd",,$A$2,"."&amp;L$2&amp;L$1&amp;"P"&amp;$A42)="N/A",0,RTD("tos.rtd",,$A$2,"."&amp;L$2&amp;L$1&amp;"P"&amp;$A42)),IF(RTD("tos.rtd",,$A$2,"."&amp;L$2&amp;L$1&amp;"C"&amp;$A42)="N/A",0,RTD("tos.rtd",,$A$2,"."&amp;L$2&amp;L$1&amp;"C"&amp;$A42))-IF(RTD("tos.rtd",,$A$2,"."&amp;L$2&amp;L$1&amp;"P"&amp;$A42)="N/A",0,RTD("tos.rtd",,$A$2,"."&amp;L$2&amp;L$1&amp;"P"&amp;$A42))))))))))</f>
        <v>11513</v>
      </c>
      <c r="M42" s="12">
        <f ca="1">IF($A$2="PREMIUM_OI",IFERROR(IF($X$1="ABS",(100*RTD("tos.rtd",,"OPEN_INT","."&amp;M$2&amp;M$1&amp;"C"&amp;$A42)*RTD("tos.rtd",,"LAST","."&amp;M$2&amp;M$1&amp;"C"&amp;$A42)+100*RTD("tos.rtd",,"OPEN_INT","."&amp;M$2&amp;M$1&amp;"P"&amp;$A42)*RTD("tos.rtd",,"LAST","."&amp;M$2&amp;M$1&amp;"P"&amp;$A42))/1000000,(100*RTD("tos.rtd",,"OPEN_INT","."&amp;M$2&amp;M$1&amp;"C"&amp;$A42)*RTD("tos.rtd",,"LAST","."&amp;M$2&amp;M$1&amp;"C"&amp;$A42)-100*RTD("tos.rtd",,"OPEN_INT","."&amp;M$2&amp;M$1&amp;"P"&amp;$A42)*RTD("tos.rtd",,"LAST","."&amp;M$2&amp;M$1&amp;"P"&amp;$A42))/1000000),0),IF($A$2="PREMIUM",IFERROR(IF($X$1="ABS",(100*RTD("tos.rtd",,"VOLUME","."&amp;M$2&amp;M$1&amp;"C"&amp;$A42)*RTD("tos.rtd",,"LAST","."&amp;M$2&amp;M$1&amp;"C"&amp;$A42)+100*RTD("tos.rtd",,"VOLUME","."&amp;M$2&amp;M$1&amp;"P"&amp;$A42)*RTD("tos.rtd",,"LAST","."&amp;M$2&amp;M$1&amp;"P"&amp;$A42))/1000000,(100*RTD("tos.rtd",,"VOLUME","."&amp;M$2&amp;M$1&amp;"C"&amp;$A42)*RTD("tos.rtd",,"LAST","."&amp;M$2&amp;M$1&amp;"C"&amp;$A42)-100*RTD("tos.rtd",,"VOLUME","."&amp;M$2&amp;M$1&amp;"P"&amp;$A42)*RTD("tos.rtd",,"LAST","."&amp;M$2&amp;M$1&amp;"P"&amp;$A42))/1000000),0),IF($A$2="DEX",IFERROR(IF($X$1="ABS",(100*RTD("tos.rtd",,"OPEN_INT","."&amp;M$2&amp;M$1&amp;"C"&amp;$A42)*RTD("tos.rtd",,"DELTA","."&amp;M$2&amp;M$1&amp;"C"&amp;$A42)+100*RTD("tos.rtd",,"OPEN_INT","."&amp;M$2&amp;M$1&amp;"P"&amp;$A42)*RTD("tos.rtd",,"DELTA","."&amp;M$2&amp;M$1&amp;"P"&amp;$A42))/1000,(100*RTD("tos.rtd",,"OPEN_INT","."&amp;M$2&amp;M$1&amp;"C"&amp;$A42)*RTD("tos.rtd",,"DELTA","."&amp;M$2&amp;M$1&amp;"C"&amp;$A42)-100*RTD("tos.rtd",,"OPEN_INT","."&amp;M$2&amp;M$1&amp;"P"&amp;$A42)*RTD("tos.rtd",,"DELTA","."&amp;M$2&amp;M$1&amp;"P"&amp;$A42))/1000),0),IF($A$2="VEX",IFERROR(IF($X$1="ABS",($A$4*$A$4*RTD("tos.rtd",,"VOLUME","."&amp;M$2&amp;M$1&amp;"C"&amp;$A42)*RTD("tos.rtd",,"GAMMA","."&amp;M$2&amp;M$1&amp;"C"&amp;$A42)+$A$4*$A$4*RTD("tos.rtd",,"VOLUME","."&amp;M$2&amp;M$1&amp;"P"&amp;$A42)*RTD("tos.rtd",,"GAMMA","."&amp;M$2&amp;M$1&amp;"P"&amp;$A42))/1000000,($A$4*$A$4*RTD("tos.rtd",,"VOLUME","."&amp;M$2&amp;M$1&amp;"C"&amp;$A42)*RTD("tos.rtd",,"GAMMA","."&amp;M$2&amp;M$1&amp;"C"&amp;$A42)-$A$4*$A$4*RTD("tos.rtd",,"VOLUME","."&amp;M$2&amp;M$1&amp;"P"&amp;$A42)*RTD("tos.rtd",,"GAMMA","."&amp;M$2&amp;M$1&amp;"P"&amp;$A42))/1000000),0),IF($A$2="GEX",IFERROR(IF($X$1="ABS",($A$4*$A$4*RTD("tos.rtd",,"OPEN_INT","."&amp;M$2&amp;M$1&amp;"C"&amp;$A42)*RTD("tos.rtd",,"GAMMA","."&amp;M$2&amp;M$1&amp;"C"&amp;$A42)+$A$4*$A$4*RTD("tos.rtd",,"OPEN_INT","."&amp;M$2&amp;M$1&amp;"P"&amp;$A42)*RTD("tos.rtd",,"GAMMA","."&amp;M$2&amp;M$1&amp;"P"&amp;$A42))/1000000,($A$4*$A$4*RTD("tos.rtd",,"OPEN_INT","."&amp;M$2&amp;M$1&amp;"C"&amp;$A42)*RTD("tos.rtd",,"GAMMA","."&amp;M$2&amp;M$1&amp;"C"&amp;$A42)-$A$4*$A$4*RTD("tos.rtd",,"OPEN_INT","."&amp;M$2&amp;M$1&amp;"P"&amp;$A42)*RTD("tos.rtd",,"GAMMA","."&amp;M$2&amp;M$1&amp;"P"&amp;$A42))/1000000),0),IF($A$2="SKEW",IFERROR(VALUE(IF(RTD("tos.rtd",,"IMPL_VOL","."&amp;M$2&amp;M$1&amp;"P"&amp;$A42)="N/A",0,RTD("tos.rtd",,"IMPL_VOL","."&amp;M$2&amp;M$1&amp;"P"&amp;$A42))),0)-IFERROR(VALUE(IF(RTD("tos.rtd",,"IMPL_VOL","."&amp;M$2&amp;M$1&amp;"C"&amp;$A42)="N/A",0,RTD("tos.rtd",,"IMPL_VOL","."&amp;M$2&amp;M$1&amp;"C"&amp;$A42))),0),IF($A$2="MAXPAIN",IF($A$4&gt;$A42,($A$4-$A42)*IF(RTD("tos.rtd",,"OPEN_INT","."&amp;M$2&amp;M$1&amp;"C"&amp;$A42)="N/A",0,RTD("tos.rtd",,"OPEN_INT","."&amp;M$2&amp;M$1&amp;"C"&amp;$A42)),0)+IF($A$4&lt;$A42,($A$5-$A$4)*IF(RTD("tos.rtd",,"OPEN_INT","."&amp;M$2&amp;M$1&amp;"P"&amp;$A42)="N/A",0,RTD("tos.rtd",,"OPEN_INT","."&amp;M$2&amp;M$1&amp;"P"&amp;$A42)),0),IF($X$1="ABS",IF(RTD("tos.rtd",,$A$2,"."&amp;M$2&amp;M$1&amp;"C"&amp;$A42)="N/A",0,RTD("tos.rtd",,$A$2,"."&amp;M$2&amp;M$1&amp;"C"&amp;$A42))+IF(RTD("tos.rtd",,$A$2,"."&amp;M$2&amp;M$1&amp;"P"&amp;$A42)="N/A",0,RTD("tos.rtd",,$A$2,"."&amp;M$2&amp;M$1&amp;"P"&amp;$A42)),IF(RTD("tos.rtd",,$A$2,"."&amp;M$2&amp;M$1&amp;"C"&amp;$A42)="N/A",0,RTD("tos.rtd",,$A$2,"."&amp;M$2&amp;M$1&amp;"C"&amp;$A42))-IF(RTD("tos.rtd",,$A$2,"."&amp;M$2&amp;M$1&amp;"P"&amp;$A42)="N/A",0,RTD("tos.rtd",,$A$2,"."&amp;M$2&amp;M$1&amp;"P"&amp;$A42))))))))))</f>
        <v>1972</v>
      </c>
      <c r="N42" s="12">
        <f ca="1">IF($A$2="PREMIUM_OI",IFERROR(IF($X$1="ABS",(100*RTD("tos.rtd",,"OPEN_INT","."&amp;N$2&amp;N$1&amp;"C"&amp;$A42)*RTD("tos.rtd",,"LAST","."&amp;N$2&amp;N$1&amp;"C"&amp;$A42)+100*RTD("tos.rtd",,"OPEN_INT","."&amp;N$2&amp;N$1&amp;"P"&amp;$A42)*RTD("tos.rtd",,"LAST","."&amp;N$2&amp;N$1&amp;"P"&amp;$A42))/1000000,(100*RTD("tos.rtd",,"OPEN_INT","."&amp;N$2&amp;N$1&amp;"C"&amp;$A42)*RTD("tos.rtd",,"LAST","."&amp;N$2&amp;N$1&amp;"C"&amp;$A42)-100*RTD("tos.rtd",,"OPEN_INT","."&amp;N$2&amp;N$1&amp;"P"&amp;$A42)*RTD("tos.rtd",,"LAST","."&amp;N$2&amp;N$1&amp;"P"&amp;$A42))/1000000),0),IF($A$2="PREMIUM",IFERROR(IF($X$1="ABS",(100*RTD("tos.rtd",,"VOLUME","."&amp;N$2&amp;N$1&amp;"C"&amp;$A42)*RTD("tos.rtd",,"LAST","."&amp;N$2&amp;N$1&amp;"C"&amp;$A42)+100*RTD("tos.rtd",,"VOLUME","."&amp;N$2&amp;N$1&amp;"P"&amp;$A42)*RTD("tos.rtd",,"LAST","."&amp;N$2&amp;N$1&amp;"P"&amp;$A42))/1000000,(100*RTD("tos.rtd",,"VOLUME","."&amp;N$2&amp;N$1&amp;"C"&amp;$A42)*RTD("tos.rtd",,"LAST","."&amp;N$2&amp;N$1&amp;"C"&amp;$A42)-100*RTD("tos.rtd",,"VOLUME","."&amp;N$2&amp;N$1&amp;"P"&amp;$A42)*RTD("tos.rtd",,"LAST","."&amp;N$2&amp;N$1&amp;"P"&amp;$A42))/1000000),0),IF($A$2="DEX",IFERROR(IF($X$1="ABS",(100*RTD("tos.rtd",,"OPEN_INT","."&amp;N$2&amp;N$1&amp;"C"&amp;$A42)*RTD("tos.rtd",,"DELTA","."&amp;N$2&amp;N$1&amp;"C"&amp;$A42)+100*RTD("tos.rtd",,"OPEN_INT","."&amp;N$2&amp;N$1&amp;"P"&amp;$A42)*RTD("tos.rtd",,"DELTA","."&amp;N$2&amp;N$1&amp;"P"&amp;$A42))/1000,(100*RTD("tos.rtd",,"OPEN_INT","."&amp;N$2&amp;N$1&amp;"C"&amp;$A42)*RTD("tos.rtd",,"DELTA","."&amp;N$2&amp;N$1&amp;"C"&amp;$A42)-100*RTD("tos.rtd",,"OPEN_INT","."&amp;N$2&amp;N$1&amp;"P"&amp;$A42)*RTD("tos.rtd",,"DELTA","."&amp;N$2&amp;N$1&amp;"P"&amp;$A42))/1000),0),IF($A$2="VEX",IFERROR(IF($X$1="ABS",($A$4*$A$4*RTD("tos.rtd",,"VOLUME","."&amp;N$2&amp;N$1&amp;"C"&amp;$A42)*RTD("tos.rtd",,"GAMMA","."&amp;N$2&amp;N$1&amp;"C"&amp;$A42)+$A$4*$A$4*RTD("tos.rtd",,"VOLUME","."&amp;N$2&amp;N$1&amp;"P"&amp;$A42)*RTD("tos.rtd",,"GAMMA","."&amp;N$2&amp;N$1&amp;"P"&amp;$A42))/1000000,($A$4*$A$4*RTD("tos.rtd",,"VOLUME","."&amp;N$2&amp;N$1&amp;"C"&amp;$A42)*RTD("tos.rtd",,"GAMMA","."&amp;N$2&amp;N$1&amp;"C"&amp;$A42)-$A$4*$A$4*RTD("tos.rtd",,"VOLUME","."&amp;N$2&amp;N$1&amp;"P"&amp;$A42)*RTD("tos.rtd",,"GAMMA","."&amp;N$2&amp;N$1&amp;"P"&amp;$A42))/1000000),0),IF($A$2="GEX",IFERROR(IF($X$1="ABS",($A$4*$A$4*RTD("tos.rtd",,"OPEN_INT","."&amp;N$2&amp;N$1&amp;"C"&amp;$A42)*RTD("tos.rtd",,"GAMMA","."&amp;N$2&amp;N$1&amp;"C"&amp;$A42)+$A$4*$A$4*RTD("tos.rtd",,"OPEN_INT","."&amp;N$2&amp;N$1&amp;"P"&amp;$A42)*RTD("tos.rtd",,"GAMMA","."&amp;N$2&amp;N$1&amp;"P"&amp;$A42))/1000000,($A$4*$A$4*RTD("tos.rtd",,"OPEN_INT","."&amp;N$2&amp;N$1&amp;"C"&amp;$A42)*RTD("tos.rtd",,"GAMMA","."&amp;N$2&amp;N$1&amp;"C"&amp;$A42)-$A$4*$A$4*RTD("tos.rtd",,"OPEN_INT","."&amp;N$2&amp;N$1&amp;"P"&amp;$A42)*RTD("tos.rtd",,"GAMMA","."&amp;N$2&amp;N$1&amp;"P"&amp;$A42))/1000000),0),IF($A$2="SKEW",IFERROR(VALUE(IF(RTD("tos.rtd",,"IMPL_VOL","."&amp;N$2&amp;N$1&amp;"P"&amp;$A42)="N/A",0,RTD("tos.rtd",,"IMPL_VOL","."&amp;N$2&amp;N$1&amp;"P"&amp;$A42))),0)-IFERROR(VALUE(IF(RTD("tos.rtd",,"IMPL_VOL","."&amp;N$2&amp;N$1&amp;"C"&amp;$A42)="N/A",0,RTD("tos.rtd",,"IMPL_VOL","."&amp;N$2&amp;N$1&amp;"C"&amp;$A42))),0),IF($A$2="MAXPAIN",IF($A$4&gt;$A42,($A$4-$A42)*IF(RTD("tos.rtd",,"OPEN_INT","."&amp;N$2&amp;N$1&amp;"C"&amp;$A42)="N/A",0,RTD("tos.rtd",,"OPEN_INT","."&amp;N$2&amp;N$1&amp;"C"&amp;$A42)),0)+IF($A$4&lt;$A42,($A$5-$A$4)*IF(RTD("tos.rtd",,"OPEN_INT","."&amp;N$2&amp;N$1&amp;"P"&amp;$A42)="N/A",0,RTD("tos.rtd",,"OPEN_INT","."&amp;N$2&amp;N$1&amp;"P"&amp;$A42)),0),IF($X$1="ABS",IF(RTD("tos.rtd",,$A$2,"."&amp;N$2&amp;N$1&amp;"C"&amp;$A42)="N/A",0,RTD("tos.rtd",,$A$2,"."&amp;N$2&amp;N$1&amp;"C"&amp;$A42))+IF(RTD("tos.rtd",,$A$2,"."&amp;N$2&amp;N$1&amp;"P"&amp;$A42)="N/A",0,RTD("tos.rtd",,$A$2,"."&amp;N$2&amp;N$1&amp;"P"&amp;$A42)),IF(RTD("tos.rtd",,$A$2,"."&amp;N$2&amp;N$1&amp;"C"&amp;$A42)="N/A",0,RTD("tos.rtd",,$A$2,"."&amp;N$2&amp;N$1&amp;"C"&amp;$A42))-IF(RTD("tos.rtd",,$A$2,"."&amp;N$2&amp;N$1&amp;"P"&amp;$A42)="N/A",0,RTD("tos.rtd",,$A$2,"."&amp;N$2&amp;N$1&amp;"P"&amp;$A42))))))))))</f>
        <v>0</v>
      </c>
      <c r="O42" s="12">
        <f ca="1">IF($A$2="PREMIUM_OI",IFERROR(IF($X$1="ABS",(100*RTD("tos.rtd",,"OPEN_INT","."&amp;O$2&amp;O$1&amp;"C"&amp;$A42)*RTD("tos.rtd",,"LAST","."&amp;O$2&amp;O$1&amp;"C"&amp;$A42)+100*RTD("tos.rtd",,"OPEN_INT","."&amp;O$2&amp;O$1&amp;"P"&amp;$A42)*RTD("tos.rtd",,"LAST","."&amp;O$2&amp;O$1&amp;"P"&amp;$A42))/1000000,(100*RTD("tos.rtd",,"OPEN_INT","."&amp;O$2&amp;O$1&amp;"C"&amp;$A42)*RTD("tos.rtd",,"LAST","."&amp;O$2&amp;O$1&amp;"C"&amp;$A42)-100*RTD("tos.rtd",,"OPEN_INT","."&amp;O$2&amp;O$1&amp;"P"&amp;$A42)*RTD("tos.rtd",,"LAST","."&amp;O$2&amp;O$1&amp;"P"&amp;$A42))/1000000),0),IF($A$2="PREMIUM",IFERROR(IF($X$1="ABS",(100*RTD("tos.rtd",,"VOLUME","."&amp;O$2&amp;O$1&amp;"C"&amp;$A42)*RTD("tos.rtd",,"LAST","."&amp;O$2&amp;O$1&amp;"C"&amp;$A42)+100*RTD("tos.rtd",,"VOLUME","."&amp;O$2&amp;O$1&amp;"P"&amp;$A42)*RTD("tos.rtd",,"LAST","."&amp;O$2&amp;O$1&amp;"P"&amp;$A42))/1000000,(100*RTD("tos.rtd",,"VOLUME","."&amp;O$2&amp;O$1&amp;"C"&amp;$A42)*RTD("tos.rtd",,"LAST","."&amp;O$2&amp;O$1&amp;"C"&amp;$A42)-100*RTD("tos.rtd",,"VOLUME","."&amp;O$2&amp;O$1&amp;"P"&amp;$A42)*RTD("tos.rtd",,"LAST","."&amp;O$2&amp;O$1&amp;"P"&amp;$A42))/1000000),0),IF($A$2="DEX",IFERROR(IF($X$1="ABS",(100*RTD("tos.rtd",,"OPEN_INT","."&amp;O$2&amp;O$1&amp;"C"&amp;$A42)*RTD("tos.rtd",,"DELTA","."&amp;O$2&amp;O$1&amp;"C"&amp;$A42)+100*RTD("tos.rtd",,"OPEN_INT","."&amp;O$2&amp;O$1&amp;"P"&amp;$A42)*RTD("tos.rtd",,"DELTA","."&amp;O$2&amp;O$1&amp;"P"&amp;$A42))/1000,(100*RTD("tos.rtd",,"OPEN_INT","."&amp;O$2&amp;O$1&amp;"C"&amp;$A42)*RTD("tos.rtd",,"DELTA","."&amp;O$2&amp;O$1&amp;"C"&amp;$A42)-100*RTD("tos.rtd",,"OPEN_INT","."&amp;O$2&amp;O$1&amp;"P"&amp;$A42)*RTD("tos.rtd",,"DELTA","."&amp;O$2&amp;O$1&amp;"P"&amp;$A42))/1000),0),IF($A$2="VEX",IFERROR(IF($X$1="ABS",($A$4*$A$4*RTD("tos.rtd",,"VOLUME","."&amp;O$2&amp;O$1&amp;"C"&amp;$A42)*RTD("tos.rtd",,"GAMMA","."&amp;O$2&amp;O$1&amp;"C"&amp;$A42)+$A$4*$A$4*RTD("tos.rtd",,"VOLUME","."&amp;O$2&amp;O$1&amp;"P"&amp;$A42)*RTD("tos.rtd",,"GAMMA","."&amp;O$2&amp;O$1&amp;"P"&amp;$A42))/1000000,($A$4*$A$4*RTD("tos.rtd",,"VOLUME","."&amp;O$2&amp;O$1&amp;"C"&amp;$A42)*RTD("tos.rtd",,"GAMMA","."&amp;O$2&amp;O$1&amp;"C"&amp;$A42)-$A$4*$A$4*RTD("tos.rtd",,"VOLUME","."&amp;O$2&amp;O$1&amp;"P"&amp;$A42)*RTD("tos.rtd",,"GAMMA","."&amp;O$2&amp;O$1&amp;"P"&amp;$A42))/1000000),0),IF($A$2="GEX",IFERROR(IF($X$1="ABS",($A$4*$A$4*RTD("tos.rtd",,"OPEN_INT","."&amp;O$2&amp;O$1&amp;"C"&amp;$A42)*RTD("tos.rtd",,"GAMMA","."&amp;O$2&amp;O$1&amp;"C"&amp;$A42)+$A$4*$A$4*RTD("tos.rtd",,"OPEN_INT","."&amp;O$2&amp;O$1&amp;"P"&amp;$A42)*RTD("tos.rtd",,"GAMMA","."&amp;O$2&amp;O$1&amp;"P"&amp;$A42))/1000000,($A$4*$A$4*RTD("tos.rtd",,"OPEN_INT","."&amp;O$2&amp;O$1&amp;"C"&amp;$A42)*RTD("tos.rtd",,"GAMMA","."&amp;O$2&amp;O$1&amp;"C"&amp;$A42)-$A$4*$A$4*RTD("tos.rtd",,"OPEN_INT","."&amp;O$2&amp;O$1&amp;"P"&amp;$A42)*RTD("tos.rtd",,"GAMMA","."&amp;O$2&amp;O$1&amp;"P"&amp;$A42))/1000000),0),IF($A$2="SKEW",IFERROR(VALUE(IF(RTD("tos.rtd",,"IMPL_VOL","."&amp;O$2&amp;O$1&amp;"P"&amp;$A42)="N/A",0,RTD("tos.rtd",,"IMPL_VOL","."&amp;O$2&amp;O$1&amp;"P"&amp;$A42))),0)-IFERROR(VALUE(IF(RTD("tos.rtd",,"IMPL_VOL","."&amp;O$2&amp;O$1&amp;"C"&amp;$A42)="N/A",0,RTD("tos.rtd",,"IMPL_VOL","."&amp;O$2&amp;O$1&amp;"C"&amp;$A42))),0),IF($A$2="MAXPAIN",IF($A$4&gt;$A42,($A$4-$A42)*IF(RTD("tos.rtd",,"OPEN_INT","."&amp;O$2&amp;O$1&amp;"C"&amp;$A42)="N/A",0,RTD("tos.rtd",,"OPEN_INT","."&amp;O$2&amp;O$1&amp;"C"&amp;$A42)),0)+IF($A$4&lt;$A42,($A$5-$A$4)*IF(RTD("tos.rtd",,"OPEN_INT","."&amp;O$2&amp;O$1&amp;"P"&amp;$A42)="N/A",0,RTD("tos.rtd",,"OPEN_INT","."&amp;O$2&amp;O$1&amp;"P"&amp;$A42)),0),IF($X$1="ABS",IF(RTD("tos.rtd",,$A$2,"."&amp;O$2&amp;O$1&amp;"C"&amp;$A42)="N/A",0,RTD("tos.rtd",,$A$2,"."&amp;O$2&amp;O$1&amp;"C"&amp;$A42))+IF(RTD("tos.rtd",,$A$2,"."&amp;O$2&amp;O$1&amp;"P"&amp;$A42)="N/A",0,RTD("tos.rtd",,$A$2,"."&amp;O$2&amp;O$1&amp;"P"&amp;$A42)),IF(RTD("tos.rtd",,$A$2,"."&amp;O$2&amp;O$1&amp;"C"&amp;$A42)="N/A",0,RTD("tos.rtd",,$A$2,"."&amp;O$2&amp;O$1&amp;"C"&amp;$A42))-IF(RTD("tos.rtd",,$A$2,"."&amp;O$2&amp;O$1&amp;"P"&amp;$A42)="N/A",0,RTD("tos.rtd",,$A$2,"."&amp;O$2&amp;O$1&amp;"P"&amp;$A42))))))))))</f>
        <v>0</v>
      </c>
      <c r="P42" s="12">
        <f ca="1">IF($A$2="PREMIUM_OI",IFERROR(IF($X$1="ABS",(100*RTD("tos.rtd",,"OPEN_INT","."&amp;P$2&amp;P$1&amp;"C"&amp;$A42)*RTD("tos.rtd",,"LAST","."&amp;P$2&amp;P$1&amp;"C"&amp;$A42)+100*RTD("tos.rtd",,"OPEN_INT","."&amp;P$2&amp;P$1&amp;"P"&amp;$A42)*RTD("tos.rtd",,"LAST","."&amp;P$2&amp;P$1&amp;"P"&amp;$A42))/1000000,(100*RTD("tos.rtd",,"OPEN_INT","."&amp;P$2&amp;P$1&amp;"C"&amp;$A42)*RTD("tos.rtd",,"LAST","."&amp;P$2&amp;P$1&amp;"C"&amp;$A42)-100*RTD("tos.rtd",,"OPEN_INT","."&amp;P$2&amp;P$1&amp;"P"&amp;$A42)*RTD("tos.rtd",,"LAST","."&amp;P$2&amp;P$1&amp;"P"&amp;$A42))/1000000),0),IF($A$2="PREMIUM",IFERROR(IF($X$1="ABS",(100*RTD("tos.rtd",,"VOLUME","."&amp;P$2&amp;P$1&amp;"C"&amp;$A42)*RTD("tos.rtd",,"LAST","."&amp;P$2&amp;P$1&amp;"C"&amp;$A42)+100*RTD("tos.rtd",,"VOLUME","."&amp;P$2&amp;P$1&amp;"P"&amp;$A42)*RTD("tos.rtd",,"LAST","."&amp;P$2&amp;P$1&amp;"P"&amp;$A42))/1000000,(100*RTD("tos.rtd",,"VOLUME","."&amp;P$2&amp;P$1&amp;"C"&amp;$A42)*RTD("tos.rtd",,"LAST","."&amp;P$2&amp;P$1&amp;"C"&amp;$A42)-100*RTD("tos.rtd",,"VOLUME","."&amp;P$2&amp;P$1&amp;"P"&amp;$A42)*RTD("tos.rtd",,"LAST","."&amp;P$2&amp;P$1&amp;"P"&amp;$A42))/1000000),0),IF($A$2="DEX",IFERROR(IF($X$1="ABS",(100*RTD("tos.rtd",,"OPEN_INT","."&amp;P$2&amp;P$1&amp;"C"&amp;$A42)*RTD("tos.rtd",,"DELTA","."&amp;P$2&amp;P$1&amp;"C"&amp;$A42)+100*RTD("tos.rtd",,"OPEN_INT","."&amp;P$2&amp;P$1&amp;"P"&amp;$A42)*RTD("tos.rtd",,"DELTA","."&amp;P$2&amp;P$1&amp;"P"&amp;$A42))/1000,(100*RTD("tos.rtd",,"OPEN_INT","."&amp;P$2&amp;P$1&amp;"C"&amp;$A42)*RTD("tos.rtd",,"DELTA","."&amp;P$2&amp;P$1&amp;"C"&amp;$A42)-100*RTD("tos.rtd",,"OPEN_INT","."&amp;P$2&amp;P$1&amp;"P"&amp;$A42)*RTD("tos.rtd",,"DELTA","."&amp;P$2&amp;P$1&amp;"P"&amp;$A42))/1000),0),IF($A$2="VEX",IFERROR(IF($X$1="ABS",($A$4*$A$4*RTD("tos.rtd",,"VOLUME","."&amp;P$2&amp;P$1&amp;"C"&amp;$A42)*RTD("tos.rtd",,"GAMMA","."&amp;P$2&amp;P$1&amp;"C"&amp;$A42)+$A$4*$A$4*RTD("tos.rtd",,"VOLUME","."&amp;P$2&amp;P$1&amp;"P"&amp;$A42)*RTD("tos.rtd",,"GAMMA","."&amp;P$2&amp;P$1&amp;"P"&amp;$A42))/1000000,($A$4*$A$4*RTD("tos.rtd",,"VOLUME","."&amp;P$2&amp;P$1&amp;"C"&amp;$A42)*RTD("tos.rtd",,"GAMMA","."&amp;P$2&amp;P$1&amp;"C"&amp;$A42)-$A$4*$A$4*RTD("tos.rtd",,"VOLUME","."&amp;P$2&amp;P$1&amp;"P"&amp;$A42)*RTD("tos.rtd",,"GAMMA","."&amp;P$2&amp;P$1&amp;"P"&amp;$A42))/1000000),0),IF($A$2="GEX",IFERROR(IF($X$1="ABS",($A$4*$A$4*RTD("tos.rtd",,"OPEN_INT","."&amp;P$2&amp;P$1&amp;"C"&amp;$A42)*RTD("tos.rtd",,"GAMMA","."&amp;P$2&amp;P$1&amp;"C"&amp;$A42)+$A$4*$A$4*RTD("tos.rtd",,"OPEN_INT","."&amp;P$2&amp;P$1&amp;"P"&amp;$A42)*RTD("tos.rtd",,"GAMMA","."&amp;P$2&amp;P$1&amp;"P"&amp;$A42))/1000000,($A$4*$A$4*RTD("tos.rtd",,"OPEN_INT","."&amp;P$2&amp;P$1&amp;"C"&amp;$A42)*RTD("tos.rtd",,"GAMMA","."&amp;P$2&amp;P$1&amp;"C"&amp;$A42)-$A$4*$A$4*RTD("tos.rtd",,"OPEN_INT","."&amp;P$2&amp;P$1&amp;"P"&amp;$A42)*RTD("tos.rtd",,"GAMMA","."&amp;P$2&amp;P$1&amp;"P"&amp;$A42))/1000000),0),IF($A$2="SKEW",IFERROR(VALUE(IF(RTD("tos.rtd",,"IMPL_VOL","."&amp;P$2&amp;P$1&amp;"P"&amp;$A42)="N/A",0,RTD("tos.rtd",,"IMPL_VOL","."&amp;P$2&amp;P$1&amp;"P"&amp;$A42))),0)-IFERROR(VALUE(IF(RTD("tos.rtd",,"IMPL_VOL","."&amp;P$2&amp;P$1&amp;"C"&amp;$A42)="N/A",0,RTD("tos.rtd",,"IMPL_VOL","."&amp;P$2&amp;P$1&amp;"C"&amp;$A42))),0),IF($A$2="MAXPAIN",IF($A$4&gt;$A42,($A$4-$A42)*IF(RTD("tos.rtd",,"OPEN_INT","."&amp;P$2&amp;P$1&amp;"C"&amp;$A42)="N/A",0,RTD("tos.rtd",,"OPEN_INT","."&amp;P$2&amp;P$1&amp;"C"&amp;$A42)),0)+IF($A$4&lt;$A42,($A$5-$A$4)*IF(RTD("tos.rtd",,"OPEN_INT","."&amp;P$2&amp;P$1&amp;"P"&amp;$A42)="N/A",0,RTD("tos.rtd",,"OPEN_INT","."&amp;P$2&amp;P$1&amp;"P"&amp;$A42)),0),IF($X$1="ABS",IF(RTD("tos.rtd",,$A$2,"."&amp;P$2&amp;P$1&amp;"C"&amp;$A42)="N/A",0,RTD("tos.rtd",,$A$2,"."&amp;P$2&amp;P$1&amp;"C"&amp;$A42))+IF(RTD("tos.rtd",,$A$2,"."&amp;P$2&amp;P$1&amp;"P"&amp;$A42)="N/A",0,RTD("tos.rtd",,$A$2,"."&amp;P$2&amp;P$1&amp;"P"&amp;$A42)),IF(RTD("tos.rtd",,$A$2,"."&amp;P$2&amp;P$1&amp;"C"&amp;$A42)="N/A",0,RTD("tos.rtd",,$A$2,"."&amp;P$2&amp;P$1&amp;"C"&amp;$A42))-IF(RTD("tos.rtd",,$A$2,"."&amp;P$2&amp;P$1&amp;"P"&amp;$A42)="N/A",0,RTD("tos.rtd",,$A$2,"."&amp;P$2&amp;P$1&amp;"P"&amp;$A42))))))))))</f>
        <v>-486</v>
      </c>
      <c r="Q42" s="12">
        <f ca="1">IF($A$2="PREMIUM_OI",IFERROR(IF($X$1="ABS",(100*RTD("tos.rtd",,"OPEN_INT","."&amp;Q$2&amp;Q$1&amp;"C"&amp;$A42)*RTD("tos.rtd",,"LAST","."&amp;Q$2&amp;Q$1&amp;"C"&amp;$A42)+100*RTD("tos.rtd",,"OPEN_INT","."&amp;Q$2&amp;Q$1&amp;"P"&amp;$A42)*RTD("tos.rtd",,"LAST","."&amp;Q$2&amp;Q$1&amp;"P"&amp;$A42))/1000000,(100*RTD("tos.rtd",,"OPEN_INT","."&amp;Q$2&amp;Q$1&amp;"C"&amp;$A42)*RTD("tos.rtd",,"LAST","."&amp;Q$2&amp;Q$1&amp;"C"&amp;$A42)-100*RTD("tos.rtd",,"OPEN_INT","."&amp;Q$2&amp;Q$1&amp;"P"&amp;$A42)*RTD("tos.rtd",,"LAST","."&amp;Q$2&amp;Q$1&amp;"P"&amp;$A42))/1000000),0),IF($A$2="PREMIUM",IFERROR(IF($X$1="ABS",(100*RTD("tos.rtd",,"VOLUME","."&amp;Q$2&amp;Q$1&amp;"C"&amp;$A42)*RTD("tos.rtd",,"LAST","."&amp;Q$2&amp;Q$1&amp;"C"&amp;$A42)+100*RTD("tos.rtd",,"VOLUME","."&amp;Q$2&amp;Q$1&amp;"P"&amp;$A42)*RTD("tos.rtd",,"LAST","."&amp;Q$2&amp;Q$1&amp;"P"&amp;$A42))/1000000,(100*RTD("tos.rtd",,"VOLUME","."&amp;Q$2&amp;Q$1&amp;"C"&amp;$A42)*RTD("tos.rtd",,"LAST","."&amp;Q$2&amp;Q$1&amp;"C"&amp;$A42)-100*RTD("tos.rtd",,"VOLUME","."&amp;Q$2&amp;Q$1&amp;"P"&amp;$A42)*RTD("tos.rtd",,"LAST","."&amp;Q$2&amp;Q$1&amp;"P"&amp;$A42))/1000000),0),IF($A$2="DEX",IFERROR(IF($X$1="ABS",(100*RTD("tos.rtd",,"OPEN_INT","."&amp;Q$2&amp;Q$1&amp;"C"&amp;$A42)*RTD("tos.rtd",,"DELTA","."&amp;Q$2&amp;Q$1&amp;"C"&amp;$A42)+100*RTD("tos.rtd",,"OPEN_INT","."&amp;Q$2&amp;Q$1&amp;"P"&amp;$A42)*RTD("tos.rtd",,"DELTA","."&amp;Q$2&amp;Q$1&amp;"P"&amp;$A42))/1000,(100*RTD("tos.rtd",,"OPEN_INT","."&amp;Q$2&amp;Q$1&amp;"C"&amp;$A42)*RTD("tos.rtd",,"DELTA","."&amp;Q$2&amp;Q$1&amp;"C"&amp;$A42)-100*RTD("tos.rtd",,"OPEN_INT","."&amp;Q$2&amp;Q$1&amp;"P"&amp;$A42)*RTD("tos.rtd",,"DELTA","."&amp;Q$2&amp;Q$1&amp;"P"&amp;$A42))/1000),0),IF($A$2="VEX",IFERROR(IF($X$1="ABS",($A$4*$A$4*RTD("tos.rtd",,"VOLUME","."&amp;Q$2&amp;Q$1&amp;"C"&amp;$A42)*RTD("tos.rtd",,"GAMMA","."&amp;Q$2&amp;Q$1&amp;"C"&amp;$A42)+$A$4*$A$4*RTD("tos.rtd",,"VOLUME","."&amp;Q$2&amp;Q$1&amp;"P"&amp;$A42)*RTD("tos.rtd",,"GAMMA","."&amp;Q$2&amp;Q$1&amp;"P"&amp;$A42))/1000000,($A$4*$A$4*RTD("tos.rtd",,"VOLUME","."&amp;Q$2&amp;Q$1&amp;"C"&amp;$A42)*RTD("tos.rtd",,"GAMMA","."&amp;Q$2&amp;Q$1&amp;"C"&amp;$A42)-$A$4*$A$4*RTD("tos.rtd",,"VOLUME","."&amp;Q$2&amp;Q$1&amp;"P"&amp;$A42)*RTD("tos.rtd",,"GAMMA","."&amp;Q$2&amp;Q$1&amp;"P"&amp;$A42))/1000000),0),IF($A$2="GEX",IFERROR(IF($X$1="ABS",($A$4*$A$4*RTD("tos.rtd",,"OPEN_INT","."&amp;Q$2&amp;Q$1&amp;"C"&amp;$A42)*RTD("tos.rtd",,"GAMMA","."&amp;Q$2&amp;Q$1&amp;"C"&amp;$A42)+$A$4*$A$4*RTD("tos.rtd",,"OPEN_INT","."&amp;Q$2&amp;Q$1&amp;"P"&amp;$A42)*RTD("tos.rtd",,"GAMMA","."&amp;Q$2&amp;Q$1&amp;"P"&amp;$A42))/1000000,($A$4*$A$4*RTD("tos.rtd",,"OPEN_INT","."&amp;Q$2&amp;Q$1&amp;"C"&amp;$A42)*RTD("tos.rtd",,"GAMMA","."&amp;Q$2&amp;Q$1&amp;"C"&amp;$A42)-$A$4*$A$4*RTD("tos.rtd",,"OPEN_INT","."&amp;Q$2&amp;Q$1&amp;"P"&amp;$A42)*RTD("tos.rtd",,"GAMMA","."&amp;Q$2&amp;Q$1&amp;"P"&amp;$A42))/1000000),0),IF($A$2="SKEW",IFERROR(VALUE(IF(RTD("tos.rtd",,"IMPL_VOL","."&amp;Q$2&amp;Q$1&amp;"P"&amp;$A42)="N/A",0,RTD("tos.rtd",,"IMPL_VOL","."&amp;Q$2&amp;Q$1&amp;"P"&amp;$A42))),0)-IFERROR(VALUE(IF(RTD("tos.rtd",,"IMPL_VOL","."&amp;Q$2&amp;Q$1&amp;"C"&amp;$A42)="N/A",0,RTD("tos.rtd",,"IMPL_VOL","."&amp;Q$2&amp;Q$1&amp;"C"&amp;$A42))),0),IF($A$2="MAXPAIN",IF($A$4&gt;$A42,($A$4-$A42)*IF(RTD("tos.rtd",,"OPEN_INT","."&amp;Q$2&amp;Q$1&amp;"C"&amp;$A42)="N/A",0,RTD("tos.rtd",,"OPEN_INT","."&amp;Q$2&amp;Q$1&amp;"C"&amp;$A42)),0)+IF($A$4&lt;$A42,($A$5-$A$4)*IF(RTD("tos.rtd",,"OPEN_INT","."&amp;Q$2&amp;Q$1&amp;"P"&amp;$A42)="N/A",0,RTD("tos.rtd",,"OPEN_INT","."&amp;Q$2&amp;Q$1&amp;"P"&amp;$A42)),0),IF($X$1="ABS",IF(RTD("tos.rtd",,$A$2,"."&amp;Q$2&amp;Q$1&amp;"C"&amp;$A42)="N/A",0,RTD("tos.rtd",,$A$2,"."&amp;Q$2&amp;Q$1&amp;"C"&amp;$A42))+IF(RTD("tos.rtd",,$A$2,"."&amp;Q$2&amp;Q$1&amp;"P"&amp;$A42)="N/A",0,RTD("tos.rtd",,$A$2,"."&amp;Q$2&amp;Q$1&amp;"P"&amp;$A42)),IF(RTD("tos.rtd",,$A$2,"."&amp;Q$2&amp;Q$1&amp;"C"&amp;$A42)="N/A",0,RTD("tos.rtd",,$A$2,"."&amp;Q$2&amp;Q$1&amp;"C"&amp;$A42))-IF(RTD("tos.rtd",,$A$2,"."&amp;Q$2&amp;Q$1&amp;"P"&amp;$A42)="N/A",0,RTD("tos.rtd",,$A$2,"."&amp;Q$2&amp;Q$1&amp;"P"&amp;$A42))))))))))</f>
        <v>0</v>
      </c>
      <c r="R42" s="12">
        <f ca="1">IF($A$2="PREMIUM_OI",IFERROR(IF($X$1="ABS",(100*RTD("tos.rtd",,"OPEN_INT","."&amp;R$2&amp;R$1&amp;"C"&amp;$A42)*RTD("tos.rtd",,"LAST","."&amp;R$2&amp;R$1&amp;"C"&amp;$A42)+100*RTD("tos.rtd",,"OPEN_INT","."&amp;R$2&amp;R$1&amp;"P"&amp;$A42)*RTD("tos.rtd",,"LAST","."&amp;R$2&amp;R$1&amp;"P"&amp;$A42))/1000000,(100*RTD("tos.rtd",,"OPEN_INT","."&amp;R$2&amp;R$1&amp;"C"&amp;$A42)*RTD("tos.rtd",,"LAST","."&amp;R$2&amp;R$1&amp;"C"&amp;$A42)-100*RTD("tos.rtd",,"OPEN_INT","."&amp;R$2&amp;R$1&amp;"P"&amp;$A42)*RTD("tos.rtd",,"LAST","."&amp;R$2&amp;R$1&amp;"P"&amp;$A42))/1000000),0),IF($A$2="PREMIUM",IFERROR(IF($X$1="ABS",(100*RTD("tos.rtd",,"VOLUME","."&amp;R$2&amp;R$1&amp;"C"&amp;$A42)*RTD("tos.rtd",,"LAST","."&amp;R$2&amp;R$1&amp;"C"&amp;$A42)+100*RTD("tos.rtd",,"VOLUME","."&amp;R$2&amp;R$1&amp;"P"&amp;$A42)*RTD("tos.rtd",,"LAST","."&amp;R$2&amp;R$1&amp;"P"&amp;$A42))/1000000,(100*RTD("tos.rtd",,"VOLUME","."&amp;R$2&amp;R$1&amp;"C"&amp;$A42)*RTD("tos.rtd",,"LAST","."&amp;R$2&amp;R$1&amp;"C"&amp;$A42)-100*RTD("tos.rtd",,"VOLUME","."&amp;R$2&amp;R$1&amp;"P"&amp;$A42)*RTD("tos.rtd",,"LAST","."&amp;R$2&amp;R$1&amp;"P"&amp;$A42))/1000000),0),IF($A$2="DEX",IFERROR(IF($X$1="ABS",(100*RTD("tos.rtd",,"OPEN_INT","."&amp;R$2&amp;R$1&amp;"C"&amp;$A42)*RTD("tos.rtd",,"DELTA","."&amp;R$2&amp;R$1&amp;"C"&amp;$A42)+100*RTD("tos.rtd",,"OPEN_INT","."&amp;R$2&amp;R$1&amp;"P"&amp;$A42)*RTD("tos.rtd",,"DELTA","."&amp;R$2&amp;R$1&amp;"P"&amp;$A42))/1000,(100*RTD("tos.rtd",,"OPEN_INT","."&amp;R$2&amp;R$1&amp;"C"&amp;$A42)*RTD("tos.rtd",,"DELTA","."&amp;R$2&amp;R$1&amp;"C"&amp;$A42)-100*RTD("tos.rtd",,"OPEN_INT","."&amp;R$2&amp;R$1&amp;"P"&amp;$A42)*RTD("tos.rtd",,"DELTA","."&amp;R$2&amp;R$1&amp;"P"&amp;$A42))/1000),0),IF($A$2="VEX",IFERROR(IF($X$1="ABS",($A$4*$A$4*RTD("tos.rtd",,"VOLUME","."&amp;R$2&amp;R$1&amp;"C"&amp;$A42)*RTD("tos.rtd",,"GAMMA","."&amp;R$2&amp;R$1&amp;"C"&amp;$A42)+$A$4*$A$4*RTD("tos.rtd",,"VOLUME","."&amp;R$2&amp;R$1&amp;"P"&amp;$A42)*RTD("tos.rtd",,"GAMMA","."&amp;R$2&amp;R$1&amp;"P"&amp;$A42))/1000000,($A$4*$A$4*RTD("tos.rtd",,"VOLUME","."&amp;R$2&amp;R$1&amp;"C"&amp;$A42)*RTD("tos.rtd",,"GAMMA","."&amp;R$2&amp;R$1&amp;"C"&amp;$A42)-$A$4*$A$4*RTD("tos.rtd",,"VOLUME","."&amp;R$2&amp;R$1&amp;"P"&amp;$A42)*RTD("tos.rtd",,"GAMMA","."&amp;R$2&amp;R$1&amp;"P"&amp;$A42))/1000000),0),IF($A$2="GEX",IFERROR(IF($X$1="ABS",($A$4*$A$4*RTD("tos.rtd",,"OPEN_INT","."&amp;R$2&amp;R$1&amp;"C"&amp;$A42)*RTD("tos.rtd",,"GAMMA","."&amp;R$2&amp;R$1&amp;"C"&amp;$A42)+$A$4*$A$4*RTD("tos.rtd",,"OPEN_INT","."&amp;R$2&amp;R$1&amp;"P"&amp;$A42)*RTD("tos.rtd",,"GAMMA","."&amp;R$2&amp;R$1&amp;"P"&amp;$A42))/1000000,($A$4*$A$4*RTD("tos.rtd",,"OPEN_INT","."&amp;R$2&amp;R$1&amp;"C"&amp;$A42)*RTD("tos.rtd",,"GAMMA","."&amp;R$2&amp;R$1&amp;"C"&amp;$A42)-$A$4*$A$4*RTD("tos.rtd",,"OPEN_INT","."&amp;R$2&amp;R$1&amp;"P"&amp;$A42)*RTD("tos.rtd",,"GAMMA","."&amp;R$2&amp;R$1&amp;"P"&amp;$A42))/1000000),0),IF($A$2="SKEW",IFERROR(VALUE(IF(RTD("tos.rtd",,"IMPL_VOL","."&amp;R$2&amp;R$1&amp;"P"&amp;$A42)="N/A",0,RTD("tos.rtd",,"IMPL_VOL","."&amp;R$2&amp;R$1&amp;"P"&amp;$A42))),0)-IFERROR(VALUE(IF(RTD("tos.rtd",,"IMPL_VOL","."&amp;R$2&amp;R$1&amp;"C"&amp;$A42)="N/A",0,RTD("tos.rtd",,"IMPL_VOL","."&amp;R$2&amp;R$1&amp;"C"&amp;$A42))),0),IF($A$2="MAXPAIN",IF($A$4&gt;$A42,($A$4-$A42)*IF(RTD("tos.rtd",,"OPEN_INT","."&amp;R$2&amp;R$1&amp;"C"&amp;$A42)="N/A",0,RTD("tos.rtd",,"OPEN_INT","."&amp;R$2&amp;R$1&amp;"C"&amp;$A42)),0)+IF($A$4&lt;$A42,($A$5-$A$4)*IF(RTD("tos.rtd",,"OPEN_INT","."&amp;R$2&amp;R$1&amp;"P"&amp;$A42)="N/A",0,RTD("tos.rtd",,"OPEN_INT","."&amp;R$2&amp;R$1&amp;"P"&amp;$A42)),0),IF($X$1="ABS",IF(RTD("tos.rtd",,$A$2,"."&amp;R$2&amp;R$1&amp;"C"&amp;$A42)="N/A",0,RTD("tos.rtd",,$A$2,"."&amp;R$2&amp;R$1&amp;"C"&amp;$A42))+IF(RTD("tos.rtd",,$A$2,"."&amp;R$2&amp;R$1&amp;"P"&amp;$A42)="N/A",0,RTD("tos.rtd",,$A$2,"."&amp;R$2&amp;R$1&amp;"P"&amp;$A42)),IF(RTD("tos.rtd",,$A$2,"."&amp;R$2&amp;R$1&amp;"C"&amp;$A42)="N/A",0,RTD("tos.rtd",,$A$2,"."&amp;R$2&amp;R$1&amp;"C"&amp;$A42))-IF(RTD("tos.rtd",,$A$2,"."&amp;R$2&amp;R$1&amp;"P"&amp;$A42)="N/A",0,RTD("tos.rtd",,$A$2,"."&amp;R$2&amp;R$1&amp;"P"&amp;$A42))))))))))</f>
        <v>0</v>
      </c>
      <c r="S42" s="12">
        <f ca="1">IF($A$2="PREMIUM_OI",IFERROR(IF($X$1="ABS",(100*RTD("tos.rtd",,"OPEN_INT","."&amp;S$2&amp;S$1&amp;"C"&amp;$A42)*RTD("tos.rtd",,"LAST","."&amp;S$2&amp;S$1&amp;"C"&amp;$A42)+100*RTD("tos.rtd",,"OPEN_INT","."&amp;S$2&amp;S$1&amp;"P"&amp;$A42)*RTD("tos.rtd",,"LAST","."&amp;S$2&amp;S$1&amp;"P"&amp;$A42))/1000000,(100*RTD("tos.rtd",,"OPEN_INT","."&amp;S$2&amp;S$1&amp;"C"&amp;$A42)*RTD("tos.rtd",,"LAST","."&amp;S$2&amp;S$1&amp;"C"&amp;$A42)-100*RTD("tos.rtd",,"OPEN_INT","."&amp;S$2&amp;S$1&amp;"P"&amp;$A42)*RTD("tos.rtd",,"LAST","."&amp;S$2&amp;S$1&amp;"P"&amp;$A42))/1000000),0),IF($A$2="PREMIUM",IFERROR(IF($X$1="ABS",(100*RTD("tos.rtd",,"VOLUME","."&amp;S$2&amp;S$1&amp;"C"&amp;$A42)*RTD("tos.rtd",,"LAST","."&amp;S$2&amp;S$1&amp;"C"&amp;$A42)+100*RTD("tos.rtd",,"VOLUME","."&amp;S$2&amp;S$1&amp;"P"&amp;$A42)*RTD("tos.rtd",,"LAST","."&amp;S$2&amp;S$1&amp;"P"&amp;$A42))/1000000,(100*RTD("tos.rtd",,"VOLUME","."&amp;S$2&amp;S$1&amp;"C"&amp;$A42)*RTD("tos.rtd",,"LAST","."&amp;S$2&amp;S$1&amp;"C"&amp;$A42)-100*RTD("tos.rtd",,"VOLUME","."&amp;S$2&amp;S$1&amp;"P"&amp;$A42)*RTD("tos.rtd",,"LAST","."&amp;S$2&amp;S$1&amp;"P"&amp;$A42))/1000000),0),IF($A$2="DEX",IFERROR(IF($X$1="ABS",(100*RTD("tos.rtd",,"OPEN_INT","."&amp;S$2&amp;S$1&amp;"C"&amp;$A42)*RTD("tos.rtd",,"DELTA","."&amp;S$2&amp;S$1&amp;"C"&amp;$A42)+100*RTD("tos.rtd",,"OPEN_INT","."&amp;S$2&amp;S$1&amp;"P"&amp;$A42)*RTD("tos.rtd",,"DELTA","."&amp;S$2&amp;S$1&amp;"P"&amp;$A42))/1000,(100*RTD("tos.rtd",,"OPEN_INT","."&amp;S$2&amp;S$1&amp;"C"&amp;$A42)*RTD("tos.rtd",,"DELTA","."&amp;S$2&amp;S$1&amp;"C"&amp;$A42)-100*RTD("tos.rtd",,"OPEN_INT","."&amp;S$2&amp;S$1&amp;"P"&amp;$A42)*RTD("tos.rtd",,"DELTA","."&amp;S$2&amp;S$1&amp;"P"&amp;$A42))/1000),0),IF($A$2="VEX",IFERROR(IF($X$1="ABS",($A$4*$A$4*RTD("tos.rtd",,"VOLUME","."&amp;S$2&amp;S$1&amp;"C"&amp;$A42)*RTD("tos.rtd",,"GAMMA","."&amp;S$2&amp;S$1&amp;"C"&amp;$A42)+$A$4*$A$4*RTD("tos.rtd",,"VOLUME","."&amp;S$2&amp;S$1&amp;"P"&amp;$A42)*RTD("tos.rtd",,"GAMMA","."&amp;S$2&amp;S$1&amp;"P"&amp;$A42))/1000000,($A$4*$A$4*RTD("tos.rtd",,"VOLUME","."&amp;S$2&amp;S$1&amp;"C"&amp;$A42)*RTD("tos.rtd",,"GAMMA","."&amp;S$2&amp;S$1&amp;"C"&amp;$A42)-$A$4*$A$4*RTD("tos.rtd",,"VOLUME","."&amp;S$2&amp;S$1&amp;"P"&amp;$A42)*RTD("tos.rtd",,"GAMMA","."&amp;S$2&amp;S$1&amp;"P"&amp;$A42))/1000000),0),IF($A$2="GEX",IFERROR(IF($X$1="ABS",($A$4*$A$4*RTD("tos.rtd",,"OPEN_INT","."&amp;S$2&amp;S$1&amp;"C"&amp;$A42)*RTD("tos.rtd",,"GAMMA","."&amp;S$2&amp;S$1&amp;"C"&amp;$A42)+$A$4*$A$4*RTD("tos.rtd",,"OPEN_INT","."&amp;S$2&amp;S$1&amp;"P"&amp;$A42)*RTD("tos.rtd",,"GAMMA","."&amp;S$2&amp;S$1&amp;"P"&amp;$A42))/1000000,($A$4*$A$4*RTD("tos.rtd",,"OPEN_INT","."&amp;S$2&amp;S$1&amp;"C"&amp;$A42)*RTD("tos.rtd",,"GAMMA","."&amp;S$2&amp;S$1&amp;"C"&amp;$A42)-$A$4*$A$4*RTD("tos.rtd",,"OPEN_INT","."&amp;S$2&amp;S$1&amp;"P"&amp;$A42)*RTD("tos.rtd",,"GAMMA","."&amp;S$2&amp;S$1&amp;"P"&amp;$A42))/1000000),0),IF($A$2="SKEW",IFERROR(VALUE(IF(RTD("tos.rtd",,"IMPL_VOL","."&amp;S$2&amp;S$1&amp;"P"&amp;$A42)="N/A",0,RTD("tos.rtd",,"IMPL_VOL","."&amp;S$2&amp;S$1&amp;"P"&amp;$A42))),0)-IFERROR(VALUE(IF(RTD("tos.rtd",,"IMPL_VOL","."&amp;S$2&amp;S$1&amp;"C"&amp;$A42)="N/A",0,RTD("tos.rtd",,"IMPL_VOL","."&amp;S$2&amp;S$1&amp;"C"&amp;$A42))),0),IF($A$2="MAXPAIN",IF($A$4&gt;$A42,($A$4-$A42)*IF(RTD("tos.rtd",,"OPEN_INT","."&amp;S$2&amp;S$1&amp;"C"&amp;$A42)="N/A",0,RTD("tos.rtd",,"OPEN_INT","."&amp;S$2&amp;S$1&amp;"C"&amp;$A42)),0)+IF($A$4&lt;$A42,($A$5-$A$4)*IF(RTD("tos.rtd",,"OPEN_INT","."&amp;S$2&amp;S$1&amp;"P"&amp;$A42)="N/A",0,RTD("tos.rtd",,"OPEN_INT","."&amp;S$2&amp;S$1&amp;"P"&amp;$A42)),0),IF($X$1="ABS",IF(RTD("tos.rtd",,$A$2,"."&amp;S$2&amp;S$1&amp;"C"&amp;$A42)="N/A",0,RTD("tos.rtd",,$A$2,"."&amp;S$2&amp;S$1&amp;"C"&amp;$A42))+IF(RTD("tos.rtd",,$A$2,"."&amp;S$2&amp;S$1&amp;"P"&amp;$A42)="N/A",0,RTD("tos.rtd",,$A$2,"."&amp;S$2&amp;S$1&amp;"P"&amp;$A42)),IF(RTD("tos.rtd",,$A$2,"."&amp;S$2&amp;S$1&amp;"C"&amp;$A42)="N/A",0,RTD("tos.rtd",,$A$2,"."&amp;S$2&amp;S$1&amp;"C"&amp;$A42))-IF(RTD("tos.rtd",,$A$2,"."&amp;S$2&amp;S$1&amp;"P"&amp;$A42)="N/A",0,RTD("tos.rtd",,$A$2,"."&amp;S$2&amp;S$1&amp;"P"&amp;$A42))))))))))</f>
        <v>0</v>
      </c>
      <c r="T42" s="12">
        <f ca="1">IF($A$2="PREMIUM_OI",IFERROR(IF($X$1="ABS",(100*RTD("tos.rtd",,"OPEN_INT","."&amp;T$2&amp;T$1&amp;"C"&amp;$A42)*RTD("tos.rtd",,"LAST","."&amp;T$2&amp;T$1&amp;"C"&amp;$A42)+100*RTD("tos.rtd",,"OPEN_INT","."&amp;T$2&amp;T$1&amp;"P"&amp;$A42)*RTD("tos.rtd",,"LAST","."&amp;T$2&amp;T$1&amp;"P"&amp;$A42))/1000000,(100*RTD("tos.rtd",,"OPEN_INT","."&amp;T$2&amp;T$1&amp;"C"&amp;$A42)*RTD("tos.rtd",,"LAST","."&amp;T$2&amp;T$1&amp;"C"&amp;$A42)-100*RTD("tos.rtd",,"OPEN_INT","."&amp;T$2&amp;T$1&amp;"P"&amp;$A42)*RTD("tos.rtd",,"LAST","."&amp;T$2&amp;T$1&amp;"P"&amp;$A42))/1000000),0),IF($A$2="PREMIUM",IFERROR(IF($X$1="ABS",(100*RTD("tos.rtd",,"VOLUME","."&amp;T$2&amp;T$1&amp;"C"&amp;$A42)*RTD("tos.rtd",,"LAST","."&amp;T$2&amp;T$1&amp;"C"&amp;$A42)+100*RTD("tos.rtd",,"VOLUME","."&amp;T$2&amp;T$1&amp;"P"&amp;$A42)*RTD("tos.rtd",,"LAST","."&amp;T$2&amp;T$1&amp;"P"&amp;$A42))/1000000,(100*RTD("tos.rtd",,"VOLUME","."&amp;T$2&amp;T$1&amp;"C"&amp;$A42)*RTD("tos.rtd",,"LAST","."&amp;T$2&amp;T$1&amp;"C"&amp;$A42)-100*RTD("tos.rtd",,"VOLUME","."&amp;T$2&amp;T$1&amp;"P"&amp;$A42)*RTD("tos.rtd",,"LAST","."&amp;T$2&amp;T$1&amp;"P"&amp;$A42))/1000000),0),IF($A$2="DEX",IFERROR(IF($X$1="ABS",(100*RTD("tos.rtd",,"OPEN_INT","."&amp;T$2&amp;T$1&amp;"C"&amp;$A42)*RTD("tos.rtd",,"DELTA","."&amp;T$2&amp;T$1&amp;"C"&amp;$A42)+100*RTD("tos.rtd",,"OPEN_INT","."&amp;T$2&amp;T$1&amp;"P"&amp;$A42)*RTD("tos.rtd",,"DELTA","."&amp;T$2&amp;T$1&amp;"P"&amp;$A42))/1000,(100*RTD("tos.rtd",,"OPEN_INT","."&amp;T$2&amp;T$1&amp;"C"&amp;$A42)*RTD("tos.rtd",,"DELTA","."&amp;T$2&amp;T$1&amp;"C"&amp;$A42)-100*RTD("tos.rtd",,"OPEN_INT","."&amp;T$2&amp;T$1&amp;"P"&amp;$A42)*RTD("tos.rtd",,"DELTA","."&amp;T$2&amp;T$1&amp;"P"&amp;$A42))/1000),0),IF($A$2="VEX",IFERROR(IF($X$1="ABS",($A$4*$A$4*RTD("tos.rtd",,"VOLUME","."&amp;T$2&amp;T$1&amp;"C"&amp;$A42)*RTD("tos.rtd",,"GAMMA","."&amp;T$2&amp;T$1&amp;"C"&amp;$A42)+$A$4*$A$4*RTD("tos.rtd",,"VOLUME","."&amp;T$2&amp;T$1&amp;"P"&amp;$A42)*RTD("tos.rtd",,"GAMMA","."&amp;T$2&amp;T$1&amp;"P"&amp;$A42))/1000000,($A$4*$A$4*RTD("tos.rtd",,"VOLUME","."&amp;T$2&amp;T$1&amp;"C"&amp;$A42)*RTD("tos.rtd",,"GAMMA","."&amp;T$2&amp;T$1&amp;"C"&amp;$A42)-$A$4*$A$4*RTD("tos.rtd",,"VOLUME","."&amp;T$2&amp;T$1&amp;"P"&amp;$A42)*RTD("tos.rtd",,"GAMMA","."&amp;T$2&amp;T$1&amp;"P"&amp;$A42))/1000000),0),IF($A$2="GEX",IFERROR(IF($X$1="ABS",($A$4*$A$4*RTD("tos.rtd",,"OPEN_INT","."&amp;T$2&amp;T$1&amp;"C"&amp;$A42)*RTD("tos.rtd",,"GAMMA","."&amp;T$2&amp;T$1&amp;"C"&amp;$A42)+$A$4*$A$4*RTD("tos.rtd",,"OPEN_INT","."&amp;T$2&amp;T$1&amp;"P"&amp;$A42)*RTD("tos.rtd",,"GAMMA","."&amp;T$2&amp;T$1&amp;"P"&amp;$A42))/1000000,($A$4*$A$4*RTD("tos.rtd",,"OPEN_INT","."&amp;T$2&amp;T$1&amp;"C"&amp;$A42)*RTD("tos.rtd",,"GAMMA","."&amp;T$2&amp;T$1&amp;"C"&amp;$A42)-$A$4*$A$4*RTD("tos.rtd",,"OPEN_INT","."&amp;T$2&amp;T$1&amp;"P"&amp;$A42)*RTD("tos.rtd",,"GAMMA","."&amp;T$2&amp;T$1&amp;"P"&amp;$A42))/1000000),0),IF($A$2="SKEW",IFERROR(VALUE(IF(RTD("tos.rtd",,"IMPL_VOL","."&amp;T$2&amp;T$1&amp;"P"&amp;$A42)="N/A",0,RTD("tos.rtd",,"IMPL_VOL","."&amp;T$2&amp;T$1&amp;"P"&amp;$A42))),0)-IFERROR(VALUE(IF(RTD("tos.rtd",,"IMPL_VOL","."&amp;T$2&amp;T$1&amp;"C"&amp;$A42)="N/A",0,RTD("tos.rtd",,"IMPL_VOL","."&amp;T$2&amp;T$1&amp;"C"&amp;$A42))),0),IF($A$2="MAXPAIN",IF($A$4&gt;$A42,($A$4-$A42)*IF(RTD("tos.rtd",,"OPEN_INT","."&amp;T$2&amp;T$1&amp;"C"&amp;$A42)="N/A",0,RTD("tos.rtd",,"OPEN_INT","."&amp;T$2&amp;T$1&amp;"C"&amp;$A42)),0)+IF($A$4&lt;$A42,($A$5-$A$4)*IF(RTD("tos.rtd",,"OPEN_INT","."&amp;T$2&amp;T$1&amp;"P"&amp;$A42)="N/A",0,RTD("tos.rtd",,"OPEN_INT","."&amp;T$2&amp;T$1&amp;"P"&amp;$A42)),0),IF($X$1="ABS",IF(RTD("tos.rtd",,$A$2,"."&amp;T$2&amp;T$1&amp;"C"&amp;$A42)="N/A",0,RTD("tos.rtd",,$A$2,"."&amp;T$2&amp;T$1&amp;"C"&amp;$A42))+IF(RTD("tos.rtd",,$A$2,"."&amp;T$2&amp;T$1&amp;"P"&amp;$A42)="N/A",0,RTD("tos.rtd",,$A$2,"."&amp;T$2&amp;T$1&amp;"P"&amp;$A42)),IF(RTD("tos.rtd",,$A$2,"."&amp;T$2&amp;T$1&amp;"C"&amp;$A42)="N/A",0,RTD("tos.rtd",,$A$2,"."&amp;T$2&amp;T$1&amp;"C"&amp;$A42))-IF(RTD("tos.rtd",,$A$2,"."&amp;T$2&amp;T$1&amp;"P"&amp;$A42)="N/A",0,RTD("tos.rtd",,$A$2,"."&amp;T$2&amp;T$1&amp;"P"&amp;$A42))))))))))</f>
        <v>0</v>
      </c>
      <c r="U42" s="12">
        <f ca="1">IF($A$2="PREMIUM_OI",IFERROR(IF($X$1="ABS",(100*RTD("tos.rtd",,"OPEN_INT","."&amp;U$2&amp;U$1&amp;"C"&amp;$A42)*RTD("tos.rtd",,"LAST","."&amp;U$2&amp;U$1&amp;"C"&amp;$A42)+100*RTD("tos.rtd",,"OPEN_INT","."&amp;U$2&amp;U$1&amp;"P"&amp;$A42)*RTD("tos.rtd",,"LAST","."&amp;U$2&amp;U$1&amp;"P"&amp;$A42))/1000000,(100*RTD("tos.rtd",,"OPEN_INT","."&amp;U$2&amp;U$1&amp;"C"&amp;$A42)*RTD("tos.rtd",,"LAST","."&amp;U$2&amp;U$1&amp;"C"&amp;$A42)-100*RTD("tos.rtd",,"OPEN_INT","."&amp;U$2&amp;U$1&amp;"P"&amp;$A42)*RTD("tos.rtd",,"LAST","."&amp;U$2&amp;U$1&amp;"P"&amp;$A42))/1000000),0),IF($A$2="PREMIUM",IFERROR(IF($X$1="ABS",(100*RTD("tos.rtd",,"VOLUME","."&amp;U$2&amp;U$1&amp;"C"&amp;$A42)*RTD("tos.rtd",,"LAST","."&amp;U$2&amp;U$1&amp;"C"&amp;$A42)+100*RTD("tos.rtd",,"VOLUME","."&amp;U$2&amp;U$1&amp;"P"&amp;$A42)*RTD("tos.rtd",,"LAST","."&amp;U$2&amp;U$1&amp;"P"&amp;$A42))/1000000,(100*RTD("tos.rtd",,"VOLUME","."&amp;U$2&amp;U$1&amp;"C"&amp;$A42)*RTD("tos.rtd",,"LAST","."&amp;U$2&amp;U$1&amp;"C"&amp;$A42)-100*RTD("tos.rtd",,"VOLUME","."&amp;U$2&amp;U$1&amp;"P"&amp;$A42)*RTD("tos.rtd",,"LAST","."&amp;U$2&amp;U$1&amp;"P"&amp;$A42))/1000000),0),IF($A$2="DEX",IFERROR(IF($X$1="ABS",(100*RTD("tos.rtd",,"OPEN_INT","."&amp;U$2&amp;U$1&amp;"C"&amp;$A42)*RTD("tos.rtd",,"DELTA","."&amp;U$2&amp;U$1&amp;"C"&amp;$A42)+100*RTD("tos.rtd",,"OPEN_INT","."&amp;U$2&amp;U$1&amp;"P"&amp;$A42)*RTD("tos.rtd",,"DELTA","."&amp;U$2&amp;U$1&amp;"P"&amp;$A42))/1000,(100*RTD("tos.rtd",,"OPEN_INT","."&amp;U$2&amp;U$1&amp;"C"&amp;$A42)*RTD("tos.rtd",,"DELTA","."&amp;U$2&amp;U$1&amp;"C"&amp;$A42)-100*RTD("tos.rtd",,"OPEN_INT","."&amp;U$2&amp;U$1&amp;"P"&amp;$A42)*RTD("tos.rtd",,"DELTA","."&amp;U$2&amp;U$1&amp;"P"&amp;$A42))/1000),0),IF($A$2="VEX",IFERROR(IF($X$1="ABS",($A$4*$A$4*RTD("tos.rtd",,"VOLUME","."&amp;U$2&amp;U$1&amp;"C"&amp;$A42)*RTD("tos.rtd",,"GAMMA","."&amp;U$2&amp;U$1&amp;"C"&amp;$A42)+$A$4*$A$4*RTD("tos.rtd",,"VOLUME","."&amp;U$2&amp;U$1&amp;"P"&amp;$A42)*RTD("tos.rtd",,"GAMMA","."&amp;U$2&amp;U$1&amp;"P"&amp;$A42))/1000000,($A$4*$A$4*RTD("tos.rtd",,"VOLUME","."&amp;U$2&amp;U$1&amp;"C"&amp;$A42)*RTD("tos.rtd",,"GAMMA","."&amp;U$2&amp;U$1&amp;"C"&amp;$A42)-$A$4*$A$4*RTD("tos.rtd",,"VOLUME","."&amp;U$2&amp;U$1&amp;"P"&amp;$A42)*RTD("tos.rtd",,"GAMMA","."&amp;U$2&amp;U$1&amp;"P"&amp;$A42))/1000000),0),IF($A$2="GEX",IFERROR(IF($X$1="ABS",($A$4*$A$4*RTD("tos.rtd",,"OPEN_INT","."&amp;U$2&amp;U$1&amp;"C"&amp;$A42)*RTD("tos.rtd",,"GAMMA","."&amp;U$2&amp;U$1&amp;"C"&amp;$A42)+$A$4*$A$4*RTD("tos.rtd",,"OPEN_INT","."&amp;U$2&amp;U$1&amp;"P"&amp;$A42)*RTD("tos.rtd",,"GAMMA","."&amp;U$2&amp;U$1&amp;"P"&amp;$A42))/1000000,($A$4*$A$4*RTD("tos.rtd",,"OPEN_INT","."&amp;U$2&amp;U$1&amp;"C"&amp;$A42)*RTD("tos.rtd",,"GAMMA","."&amp;U$2&amp;U$1&amp;"C"&amp;$A42)-$A$4*$A$4*RTD("tos.rtd",,"OPEN_INT","."&amp;U$2&amp;U$1&amp;"P"&amp;$A42)*RTD("tos.rtd",,"GAMMA","."&amp;U$2&amp;U$1&amp;"P"&amp;$A42))/1000000),0),IF($A$2="SKEW",IFERROR(VALUE(IF(RTD("tos.rtd",,"IMPL_VOL","."&amp;U$2&amp;U$1&amp;"P"&amp;$A42)="N/A",0,RTD("tos.rtd",,"IMPL_VOL","."&amp;U$2&amp;U$1&amp;"P"&amp;$A42))),0)-IFERROR(VALUE(IF(RTD("tos.rtd",,"IMPL_VOL","."&amp;U$2&amp;U$1&amp;"C"&amp;$A42)="N/A",0,RTD("tos.rtd",,"IMPL_VOL","."&amp;U$2&amp;U$1&amp;"C"&amp;$A42))),0),IF($A$2="MAXPAIN",IF($A$4&gt;$A42,($A$4-$A42)*IF(RTD("tos.rtd",,"OPEN_INT","."&amp;U$2&amp;U$1&amp;"C"&amp;$A42)="N/A",0,RTD("tos.rtd",,"OPEN_INT","."&amp;U$2&amp;U$1&amp;"C"&amp;$A42)),0)+IF($A$4&lt;$A42,($A$5-$A$4)*IF(RTD("tos.rtd",,"OPEN_INT","."&amp;U$2&amp;U$1&amp;"P"&amp;$A42)="N/A",0,RTD("tos.rtd",,"OPEN_INT","."&amp;U$2&amp;U$1&amp;"P"&amp;$A42)),0),IF($X$1="ABS",IF(RTD("tos.rtd",,$A$2,"."&amp;U$2&amp;U$1&amp;"C"&amp;$A42)="N/A",0,RTD("tos.rtd",,$A$2,"."&amp;U$2&amp;U$1&amp;"C"&amp;$A42))+IF(RTD("tos.rtd",,$A$2,"."&amp;U$2&amp;U$1&amp;"P"&amp;$A42)="N/A",0,RTD("tos.rtd",,$A$2,"."&amp;U$2&amp;U$1&amp;"P"&amp;$A42)),IF(RTD("tos.rtd",,$A$2,"."&amp;U$2&amp;U$1&amp;"C"&amp;$A42)="N/A",0,RTD("tos.rtd",,$A$2,"."&amp;U$2&amp;U$1&amp;"C"&amp;$A42))-IF(RTD("tos.rtd",,$A$2,"."&amp;U$2&amp;U$1&amp;"P"&amp;$A42)="N/A",0,RTD("tos.rtd",,$A$2,"."&amp;U$2&amp;U$1&amp;"P"&amp;$A42))))))))))</f>
        <v>0</v>
      </c>
      <c r="V42" s="12">
        <f ca="1">IF($A$2="PREMIUM_OI",IFERROR(IF($X$1="ABS",(100*RTD("tos.rtd",,"OPEN_INT","."&amp;V$2&amp;V$1&amp;"C"&amp;$A42)*RTD("tos.rtd",,"LAST","."&amp;V$2&amp;V$1&amp;"C"&amp;$A42)+100*RTD("tos.rtd",,"OPEN_INT","."&amp;V$2&amp;V$1&amp;"P"&amp;$A42)*RTD("tos.rtd",,"LAST","."&amp;V$2&amp;V$1&amp;"P"&amp;$A42))/1000000,(100*RTD("tos.rtd",,"OPEN_INT","."&amp;V$2&amp;V$1&amp;"C"&amp;$A42)*RTD("tos.rtd",,"LAST","."&amp;V$2&amp;V$1&amp;"C"&amp;$A42)-100*RTD("tos.rtd",,"OPEN_INT","."&amp;V$2&amp;V$1&amp;"P"&amp;$A42)*RTD("tos.rtd",,"LAST","."&amp;V$2&amp;V$1&amp;"P"&amp;$A42))/1000000),0),IF($A$2="PREMIUM",IFERROR(IF($X$1="ABS",(100*RTD("tos.rtd",,"VOLUME","."&amp;V$2&amp;V$1&amp;"C"&amp;$A42)*RTD("tos.rtd",,"LAST","."&amp;V$2&amp;V$1&amp;"C"&amp;$A42)+100*RTD("tos.rtd",,"VOLUME","."&amp;V$2&amp;V$1&amp;"P"&amp;$A42)*RTD("tos.rtd",,"LAST","."&amp;V$2&amp;V$1&amp;"P"&amp;$A42))/1000000,(100*RTD("tos.rtd",,"VOLUME","."&amp;V$2&amp;V$1&amp;"C"&amp;$A42)*RTD("tos.rtd",,"LAST","."&amp;V$2&amp;V$1&amp;"C"&amp;$A42)-100*RTD("tos.rtd",,"VOLUME","."&amp;V$2&amp;V$1&amp;"P"&amp;$A42)*RTD("tos.rtd",,"LAST","."&amp;V$2&amp;V$1&amp;"P"&amp;$A42))/1000000),0),IF($A$2="DEX",IFERROR(IF($X$1="ABS",(100*RTD("tos.rtd",,"OPEN_INT","."&amp;V$2&amp;V$1&amp;"C"&amp;$A42)*RTD("tos.rtd",,"DELTA","."&amp;V$2&amp;V$1&amp;"C"&amp;$A42)+100*RTD("tos.rtd",,"OPEN_INT","."&amp;V$2&amp;V$1&amp;"P"&amp;$A42)*RTD("tos.rtd",,"DELTA","."&amp;V$2&amp;V$1&amp;"P"&amp;$A42))/1000,(100*RTD("tos.rtd",,"OPEN_INT","."&amp;V$2&amp;V$1&amp;"C"&amp;$A42)*RTD("tos.rtd",,"DELTA","."&amp;V$2&amp;V$1&amp;"C"&amp;$A42)-100*RTD("tos.rtd",,"OPEN_INT","."&amp;V$2&amp;V$1&amp;"P"&amp;$A42)*RTD("tos.rtd",,"DELTA","."&amp;V$2&amp;V$1&amp;"P"&amp;$A42))/1000),0),IF($A$2="VEX",IFERROR(IF($X$1="ABS",($A$4*$A$4*RTD("tos.rtd",,"VOLUME","."&amp;V$2&amp;V$1&amp;"C"&amp;$A42)*RTD("tos.rtd",,"GAMMA","."&amp;V$2&amp;V$1&amp;"C"&amp;$A42)+$A$4*$A$4*RTD("tos.rtd",,"VOLUME","."&amp;V$2&amp;V$1&amp;"P"&amp;$A42)*RTD("tos.rtd",,"GAMMA","."&amp;V$2&amp;V$1&amp;"P"&amp;$A42))/1000000,($A$4*$A$4*RTD("tos.rtd",,"VOLUME","."&amp;V$2&amp;V$1&amp;"C"&amp;$A42)*RTD("tos.rtd",,"GAMMA","."&amp;V$2&amp;V$1&amp;"C"&amp;$A42)-$A$4*$A$4*RTD("tos.rtd",,"VOLUME","."&amp;V$2&amp;V$1&amp;"P"&amp;$A42)*RTD("tos.rtd",,"GAMMA","."&amp;V$2&amp;V$1&amp;"P"&amp;$A42))/1000000),0),IF($A$2="GEX",IFERROR(IF($X$1="ABS",($A$4*$A$4*RTD("tos.rtd",,"OPEN_INT","."&amp;V$2&amp;V$1&amp;"C"&amp;$A42)*RTD("tos.rtd",,"GAMMA","."&amp;V$2&amp;V$1&amp;"C"&amp;$A42)+$A$4*$A$4*RTD("tos.rtd",,"OPEN_INT","."&amp;V$2&amp;V$1&amp;"P"&amp;$A42)*RTD("tos.rtd",,"GAMMA","."&amp;V$2&amp;V$1&amp;"P"&amp;$A42))/1000000,($A$4*$A$4*RTD("tos.rtd",,"OPEN_INT","."&amp;V$2&amp;V$1&amp;"C"&amp;$A42)*RTD("tos.rtd",,"GAMMA","."&amp;V$2&amp;V$1&amp;"C"&amp;$A42)-$A$4*$A$4*RTD("tos.rtd",,"OPEN_INT","."&amp;V$2&amp;V$1&amp;"P"&amp;$A42)*RTD("tos.rtd",,"GAMMA","."&amp;V$2&amp;V$1&amp;"P"&amp;$A42))/1000000),0),IF($A$2="SKEW",IFERROR(VALUE(IF(RTD("tos.rtd",,"IMPL_VOL","."&amp;V$2&amp;V$1&amp;"P"&amp;$A42)="N/A",0,RTD("tos.rtd",,"IMPL_VOL","."&amp;V$2&amp;V$1&amp;"P"&amp;$A42))),0)-IFERROR(VALUE(IF(RTD("tos.rtd",,"IMPL_VOL","."&amp;V$2&amp;V$1&amp;"C"&amp;$A42)="N/A",0,RTD("tos.rtd",,"IMPL_VOL","."&amp;V$2&amp;V$1&amp;"C"&amp;$A42))),0),IF($A$2="MAXPAIN",IF($A$4&gt;$A42,($A$4-$A42)*IF(RTD("tos.rtd",,"OPEN_INT","."&amp;V$2&amp;V$1&amp;"C"&amp;$A42)="N/A",0,RTD("tos.rtd",,"OPEN_INT","."&amp;V$2&amp;V$1&amp;"C"&amp;$A42)),0)+IF($A$4&lt;$A42,($A$5-$A$4)*IF(RTD("tos.rtd",,"OPEN_INT","."&amp;V$2&amp;V$1&amp;"P"&amp;$A42)="N/A",0,RTD("tos.rtd",,"OPEN_INT","."&amp;V$2&amp;V$1&amp;"P"&amp;$A42)),0),IF($X$1="ABS",IF(RTD("tos.rtd",,$A$2,"."&amp;V$2&amp;V$1&amp;"C"&amp;$A42)="N/A",0,RTD("tos.rtd",,$A$2,"."&amp;V$2&amp;V$1&amp;"C"&amp;$A42))+IF(RTD("tos.rtd",,$A$2,"."&amp;V$2&amp;V$1&amp;"P"&amp;$A42)="N/A",0,RTD("tos.rtd",,$A$2,"."&amp;V$2&amp;V$1&amp;"P"&amp;$A42)),IF(RTD("tos.rtd",,$A$2,"."&amp;V$2&amp;V$1&amp;"C"&amp;$A42)="N/A",0,RTD("tos.rtd",,$A$2,"."&amp;V$2&amp;V$1&amp;"C"&amp;$A42))-IF(RTD("tos.rtd",,$A$2,"."&amp;V$2&amp;V$1&amp;"P"&amp;$A42)="N/A",0,RTD("tos.rtd",,$A$2,"."&amp;V$2&amp;V$1&amp;"P"&amp;$A42))))))))))</f>
        <v>0</v>
      </c>
      <c r="W42" s="12">
        <f ca="1">IF($A$2="PREMIUM_OI",IFERROR(IF($X$1="ABS",(100*RTD("tos.rtd",,"OPEN_INT","."&amp;W$2&amp;W$1&amp;"C"&amp;$A42)*RTD("tos.rtd",,"LAST","."&amp;W$2&amp;W$1&amp;"C"&amp;$A42)+100*RTD("tos.rtd",,"OPEN_INT","."&amp;W$2&amp;W$1&amp;"P"&amp;$A42)*RTD("tos.rtd",,"LAST","."&amp;W$2&amp;W$1&amp;"P"&amp;$A42))/1000000,(100*RTD("tos.rtd",,"OPEN_INT","."&amp;W$2&amp;W$1&amp;"C"&amp;$A42)*RTD("tos.rtd",,"LAST","."&amp;W$2&amp;W$1&amp;"C"&amp;$A42)-100*RTD("tos.rtd",,"OPEN_INT","."&amp;W$2&amp;W$1&amp;"P"&amp;$A42)*RTD("tos.rtd",,"LAST","."&amp;W$2&amp;W$1&amp;"P"&amp;$A42))/1000000),0),IF($A$2="PREMIUM",IFERROR(IF($X$1="ABS",(100*RTD("tos.rtd",,"VOLUME","."&amp;W$2&amp;W$1&amp;"C"&amp;$A42)*RTD("tos.rtd",,"LAST","."&amp;W$2&amp;W$1&amp;"C"&amp;$A42)+100*RTD("tos.rtd",,"VOLUME","."&amp;W$2&amp;W$1&amp;"P"&amp;$A42)*RTD("tos.rtd",,"LAST","."&amp;W$2&amp;W$1&amp;"P"&amp;$A42))/1000000,(100*RTD("tos.rtd",,"VOLUME","."&amp;W$2&amp;W$1&amp;"C"&amp;$A42)*RTD("tos.rtd",,"LAST","."&amp;W$2&amp;W$1&amp;"C"&amp;$A42)-100*RTD("tos.rtd",,"VOLUME","."&amp;W$2&amp;W$1&amp;"P"&amp;$A42)*RTD("tos.rtd",,"LAST","."&amp;W$2&amp;W$1&amp;"P"&amp;$A42))/1000000),0),IF($A$2="DEX",IFERROR(IF($X$1="ABS",(100*RTD("tos.rtd",,"OPEN_INT","."&amp;W$2&amp;W$1&amp;"C"&amp;$A42)*RTD("tos.rtd",,"DELTA","."&amp;W$2&amp;W$1&amp;"C"&amp;$A42)+100*RTD("tos.rtd",,"OPEN_INT","."&amp;W$2&amp;W$1&amp;"P"&amp;$A42)*RTD("tos.rtd",,"DELTA","."&amp;W$2&amp;W$1&amp;"P"&amp;$A42))/1000,(100*RTD("tos.rtd",,"OPEN_INT","."&amp;W$2&amp;W$1&amp;"C"&amp;$A42)*RTD("tos.rtd",,"DELTA","."&amp;W$2&amp;W$1&amp;"C"&amp;$A42)-100*RTD("tos.rtd",,"OPEN_INT","."&amp;W$2&amp;W$1&amp;"P"&amp;$A42)*RTD("tos.rtd",,"DELTA","."&amp;W$2&amp;W$1&amp;"P"&amp;$A42))/1000),0),IF($A$2="VEX",IFERROR(IF($X$1="ABS",($A$4*$A$4*RTD("tos.rtd",,"VOLUME","."&amp;W$2&amp;W$1&amp;"C"&amp;$A42)*RTD("tos.rtd",,"GAMMA","."&amp;W$2&amp;W$1&amp;"C"&amp;$A42)+$A$4*$A$4*RTD("tos.rtd",,"VOLUME","."&amp;W$2&amp;W$1&amp;"P"&amp;$A42)*RTD("tos.rtd",,"GAMMA","."&amp;W$2&amp;W$1&amp;"P"&amp;$A42))/1000000,($A$4*$A$4*RTD("tos.rtd",,"VOLUME","."&amp;W$2&amp;W$1&amp;"C"&amp;$A42)*RTD("tos.rtd",,"GAMMA","."&amp;W$2&amp;W$1&amp;"C"&amp;$A42)-$A$4*$A$4*RTD("tos.rtd",,"VOLUME","."&amp;W$2&amp;W$1&amp;"P"&amp;$A42)*RTD("tos.rtd",,"GAMMA","."&amp;W$2&amp;W$1&amp;"P"&amp;$A42))/1000000),0),IF($A$2="GEX",IFERROR(IF($X$1="ABS",($A$4*$A$4*RTD("tos.rtd",,"OPEN_INT","."&amp;W$2&amp;W$1&amp;"C"&amp;$A42)*RTD("tos.rtd",,"GAMMA","."&amp;W$2&amp;W$1&amp;"C"&amp;$A42)+$A$4*$A$4*RTD("tos.rtd",,"OPEN_INT","."&amp;W$2&amp;W$1&amp;"P"&amp;$A42)*RTD("tos.rtd",,"GAMMA","."&amp;W$2&amp;W$1&amp;"P"&amp;$A42))/1000000,($A$4*$A$4*RTD("tos.rtd",,"OPEN_INT","."&amp;W$2&amp;W$1&amp;"C"&amp;$A42)*RTD("tos.rtd",,"GAMMA","."&amp;W$2&amp;W$1&amp;"C"&amp;$A42)-$A$4*$A$4*RTD("tos.rtd",,"OPEN_INT","."&amp;W$2&amp;W$1&amp;"P"&amp;$A42)*RTD("tos.rtd",,"GAMMA","."&amp;W$2&amp;W$1&amp;"P"&amp;$A42))/1000000),0),IF($A$2="SKEW",IFERROR(VALUE(IF(RTD("tos.rtd",,"IMPL_VOL","."&amp;W$2&amp;W$1&amp;"P"&amp;$A42)="N/A",0,RTD("tos.rtd",,"IMPL_VOL","."&amp;W$2&amp;W$1&amp;"P"&amp;$A42))),0)-IFERROR(VALUE(IF(RTD("tos.rtd",,"IMPL_VOL","."&amp;W$2&amp;W$1&amp;"C"&amp;$A42)="N/A",0,RTD("tos.rtd",,"IMPL_VOL","."&amp;W$2&amp;W$1&amp;"C"&amp;$A42))),0),IF($A$2="MAXPAIN",IF($A$4&gt;$A42,($A$4-$A42)*IF(RTD("tos.rtd",,"OPEN_INT","."&amp;W$2&amp;W$1&amp;"C"&amp;$A42)="N/A",0,RTD("tos.rtd",,"OPEN_INT","."&amp;W$2&amp;W$1&amp;"C"&amp;$A42)),0)+IF($A$4&lt;$A42,($A$5-$A$4)*IF(RTD("tos.rtd",,"OPEN_INT","."&amp;W$2&amp;W$1&amp;"P"&amp;$A42)="N/A",0,RTD("tos.rtd",,"OPEN_INT","."&amp;W$2&amp;W$1&amp;"P"&amp;$A42)),0),IF($X$1="ABS",IF(RTD("tos.rtd",,$A$2,"."&amp;W$2&amp;W$1&amp;"C"&amp;$A42)="N/A",0,RTD("tos.rtd",,$A$2,"."&amp;W$2&amp;W$1&amp;"C"&amp;$A42))+IF(RTD("tos.rtd",,$A$2,"."&amp;W$2&amp;W$1&amp;"P"&amp;$A42)="N/A",0,RTD("tos.rtd",,$A$2,"."&amp;W$2&amp;W$1&amp;"P"&amp;$A42)),IF(RTD("tos.rtd",,$A$2,"."&amp;W$2&amp;W$1&amp;"C"&amp;$A42)="N/A",0,RTD("tos.rtd",,$A$2,"."&amp;W$2&amp;W$1&amp;"C"&amp;$A42))-IF(RTD("tos.rtd",,$A$2,"."&amp;W$2&amp;W$1&amp;"P"&amp;$A42)="N/A",0,RTD("tos.rtd",,$A$2,"."&amp;W$2&amp;W$1&amp;"P"&amp;$A42))))))))))</f>
        <v>0</v>
      </c>
      <c r="X42" s="57">
        <f t="shared" ca="1" si="7"/>
        <v>6308</v>
      </c>
      <c r="Y42" s="27">
        <f t="shared" ca="1" si="8"/>
        <v>6308</v>
      </c>
      <c r="Z42" s="27">
        <f t="shared" ca="1" si="9"/>
        <v>3186.6666666666665</v>
      </c>
      <c r="AA42" s="27">
        <f t="shared" si="10"/>
        <v>29433250</v>
      </c>
      <c r="AB42" s="18">
        <f>MAX(0, $A42-AB$4)*IF(RTD("tos.rtd",,"OPEN_INT","."&amp;$AA$3&amp;$AA$4&amp;"C"&amp;AB$4)="N/A",0,RTD("tos.rtd",,"OPEN_INT","."&amp;$AA$3&amp;$AA$4&amp;"C"&amp;AB$4))*100 + MAX(0, AB$4-$A42)*IF(RTD("tos.rtd",,"OPEN_INT","."&amp;$AA$3&amp;$AA$4&amp;"P"&amp;AB$4)="N/A",0,RTD("tos.rtd",,"OPEN_INT","."&amp;$AA$3&amp;$AA$4&amp;"P"&amp;AB$4))*100</f>
        <v>0</v>
      </c>
      <c r="AC42" s="18">
        <f>MAX(0, $A42-AC$4)*IF(RTD("tos.rtd",,"OPEN_INT","."&amp;$AA$3&amp;$AA$4&amp;"C"&amp;AC$4)="N/A",0,RTD("tos.rtd",,"OPEN_INT","."&amp;$AA$3&amp;$AA$4&amp;"C"&amp;AC$4))*100 + MAX(0, AC$4-$A42)*IF(RTD("tos.rtd",,"OPEN_INT","."&amp;$AA$3&amp;$AA$4&amp;"P"&amp;AC$4)="N/A",0,RTD("tos.rtd",,"OPEN_INT","."&amp;$AA$3&amp;$AA$4&amp;"P"&amp;AC$4))*100</f>
        <v>0</v>
      </c>
      <c r="AD42" s="18">
        <f>MAX(0, $A42-AD$4)*IF(RTD("tos.rtd",,"OPEN_INT","."&amp;$AA$3&amp;$AA$4&amp;"C"&amp;AD$4)="N/A",0,RTD("tos.rtd",,"OPEN_INT","."&amp;$AA$3&amp;$AA$4&amp;"C"&amp;AD$4))*100 + MAX(0, AD$4-$A42)*IF(RTD("tos.rtd",,"OPEN_INT","."&amp;$AA$3&amp;$AA$4&amp;"P"&amp;AD$4)="N/A",0,RTD("tos.rtd",,"OPEN_INT","."&amp;$AA$3&amp;$AA$4&amp;"P"&amp;AD$4))*100</f>
        <v>0</v>
      </c>
      <c r="AE42" s="18">
        <f>MAX(0, $A42-AE$4)*IF(RTD("tos.rtd",,"OPEN_INT","."&amp;$AA$3&amp;$AA$4&amp;"C"&amp;AE$4)="N/A",0,RTD("tos.rtd",,"OPEN_INT","."&amp;$AA$3&amp;$AA$4&amp;"C"&amp;AE$4))*100 + MAX(0, AE$4-$A42)*IF(RTD("tos.rtd",,"OPEN_INT","."&amp;$AA$3&amp;$AA$4&amp;"P"&amp;AE$4)="N/A",0,RTD("tos.rtd",,"OPEN_INT","."&amp;$AA$3&amp;$AA$4&amp;"P"&amp;AE$4))*100</f>
        <v>0</v>
      </c>
      <c r="AF42" s="18">
        <f>MAX(0, $A42-AF$4)*IF(RTD("tos.rtd",,"OPEN_INT","."&amp;$AA$3&amp;$AA$4&amp;"C"&amp;AF$4)="N/A",0,RTD("tos.rtd",,"OPEN_INT","."&amp;$AA$3&amp;$AA$4&amp;"C"&amp;AF$4))*100 + MAX(0, AF$4-$A42)*IF(RTD("tos.rtd",,"OPEN_INT","."&amp;$AA$3&amp;$AA$4&amp;"P"&amp;AF$4)="N/A",0,RTD("tos.rtd",,"OPEN_INT","."&amp;$AA$3&amp;$AA$4&amp;"P"&amp;AF$4))*100</f>
        <v>0</v>
      </c>
      <c r="AG42" s="18">
        <f>MAX(0, $A42-AG$4)*IF(RTD("tos.rtd",,"OPEN_INT","."&amp;$AA$3&amp;$AA$4&amp;"C"&amp;AG$4)="N/A",0,RTD("tos.rtd",,"OPEN_INT","."&amp;$AA$3&amp;$AA$4&amp;"C"&amp;AG$4))*100 + MAX(0, AG$4-$A42)*IF(RTD("tos.rtd",,"OPEN_INT","."&amp;$AA$3&amp;$AA$4&amp;"P"&amp;AG$4)="N/A",0,RTD("tos.rtd",,"OPEN_INT","."&amp;$AA$3&amp;$AA$4&amp;"P"&amp;AG$4))*100</f>
        <v>0</v>
      </c>
      <c r="AH42" s="18">
        <f>MAX(0, $A42-AH$4)*IF(RTD("tos.rtd",,"OPEN_INT","."&amp;$AA$3&amp;$AA$4&amp;"C"&amp;AH$4)="N/A",0,RTD("tos.rtd",,"OPEN_INT","."&amp;$AA$3&amp;$AA$4&amp;"C"&amp;AH$4))*100 + MAX(0, AH$4-$A42)*IF(RTD("tos.rtd",,"OPEN_INT","."&amp;$AA$3&amp;$AA$4&amp;"P"&amp;AH$4)="N/A",0,RTD("tos.rtd",,"OPEN_INT","."&amp;$AA$3&amp;$AA$4&amp;"P"&amp;AH$4))*100</f>
        <v>0</v>
      </c>
      <c r="AI42" s="18">
        <f>MAX(0, $A42-AI$4)*IF(RTD("tos.rtd",,"OPEN_INT","."&amp;$AA$3&amp;$AA$4&amp;"C"&amp;AI$4)="N/A",0,RTD("tos.rtd",,"OPEN_INT","."&amp;$AA$3&amp;$AA$4&amp;"C"&amp;AI$4))*100 + MAX(0, AI$4-$A42)*IF(RTD("tos.rtd",,"OPEN_INT","."&amp;$AA$3&amp;$AA$4&amp;"P"&amp;AI$4)="N/A",0,RTD("tos.rtd",,"OPEN_INT","."&amp;$AA$3&amp;$AA$4&amp;"P"&amp;AI$4))*100</f>
        <v>4500</v>
      </c>
      <c r="AJ42" s="18">
        <f>MAX(0, $A42-AJ$4)*IF(RTD("tos.rtd",,"OPEN_INT","."&amp;$AA$3&amp;$AA$4&amp;"C"&amp;AJ$4)="N/A",0,RTD("tos.rtd",,"OPEN_INT","."&amp;$AA$3&amp;$AA$4&amp;"C"&amp;AJ$4))*100 + MAX(0, AJ$4-$A42)*IF(RTD("tos.rtd",,"OPEN_INT","."&amp;$AA$3&amp;$AA$4&amp;"P"&amp;AJ$4)="N/A",0,RTD("tos.rtd",,"OPEN_INT","."&amp;$AA$3&amp;$AA$4&amp;"P"&amp;AJ$4))*100</f>
        <v>11600</v>
      </c>
      <c r="AK42" s="18">
        <f>MAX(0, $A42-AK$4)*IF(RTD("tos.rtd",,"OPEN_INT","."&amp;$AA$3&amp;$AA$4&amp;"C"&amp;AK$4)="N/A",0,RTD("tos.rtd",,"OPEN_INT","."&amp;$AA$3&amp;$AA$4&amp;"C"&amp;AK$4))*100 + MAX(0, AK$4-$A42)*IF(RTD("tos.rtd",,"OPEN_INT","."&amp;$AA$3&amp;$AA$4&amp;"P"&amp;AK$4)="N/A",0,RTD("tos.rtd",,"OPEN_INT","."&amp;$AA$3&amp;$AA$4&amp;"P"&amp;AK$4))*100</f>
        <v>0</v>
      </c>
      <c r="AL42" s="18">
        <f>MAX(0, $A42-AL$4)*IF(RTD("tos.rtd",,"OPEN_INT","."&amp;$AA$3&amp;$AA$4&amp;"C"&amp;AL$4)="N/A",0,RTD("tos.rtd",,"OPEN_INT","."&amp;$AA$3&amp;$AA$4&amp;"C"&amp;AL$4))*100 + MAX(0, AL$4-$A42)*IF(RTD("tos.rtd",,"OPEN_INT","."&amp;$AA$3&amp;$AA$4&amp;"P"&amp;AL$4)="N/A",0,RTD("tos.rtd",,"OPEN_INT","."&amp;$AA$3&amp;$AA$4&amp;"P"&amp;AL$4))*100</f>
        <v>0</v>
      </c>
      <c r="AM42" s="18">
        <f>MAX(0, $A42-AM$4)*IF(RTD("tos.rtd",,"OPEN_INT","."&amp;$AA$3&amp;$AA$4&amp;"C"&amp;AM$4)="N/A",0,RTD("tos.rtd",,"OPEN_INT","."&amp;$AA$3&amp;$AA$4&amp;"C"&amp;AM$4))*100 + MAX(0, AM$4-$A42)*IF(RTD("tos.rtd",,"OPEN_INT","."&amp;$AA$3&amp;$AA$4&amp;"P"&amp;AM$4)="N/A",0,RTD("tos.rtd",,"OPEN_INT","."&amp;$AA$3&amp;$AA$4&amp;"P"&amp;AM$4))*100</f>
        <v>0</v>
      </c>
      <c r="AN42" s="18">
        <f>MAX(0, $A42-AN$4)*IF(RTD("tos.rtd",,"OPEN_INT","."&amp;$AA$3&amp;$AA$4&amp;"C"&amp;AN$4)="N/A",0,RTD("tos.rtd",,"OPEN_INT","."&amp;$AA$3&amp;$AA$4&amp;"C"&amp;AN$4))*100 + MAX(0, AN$4-$A42)*IF(RTD("tos.rtd",,"OPEN_INT","."&amp;$AA$3&amp;$AA$4&amp;"P"&amp;AN$4)="N/A",0,RTD("tos.rtd",,"OPEN_INT","."&amp;$AA$3&amp;$AA$4&amp;"P"&amp;AN$4))*100</f>
        <v>0</v>
      </c>
      <c r="AO42" s="18">
        <f>MAX(0, $A42-AO$4)*IF(RTD("tos.rtd",,"OPEN_INT","."&amp;$AA$3&amp;$AA$4&amp;"C"&amp;AO$4)="N/A",0,RTD("tos.rtd",,"OPEN_INT","."&amp;$AA$3&amp;$AA$4&amp;"C"&amp;AO$4))*100 + MAX(0, AO$4-$A42)*IF(RTD("tos.rtd",,"OPEN_INT","."&amp;$AA$3&amp;$AA$4&amp;"P"&amp;AO$4)="N/A",0,RTD("tos.rtd",,"OPEN_INT","."&amp;$AA$3&amp;$AA$4&amp;"P"&amp;AO$4))*100</f>
        <v>144000</v>
      </c>
      <c r="AP42" s="18">
        <f>MAX(0, $A42-AP$4)*IF(RTD("tos.rtd",,"OPEN_INT","."&amp;$AA$3&amp;$AA$4&amp;"C"&amp;AP$4)="N/A",0,RTD("tos.rtd",,"OPEN_INT","."&amp;$AA$3&amp;$AA$4&amp;"C"&amp;AP$4))*100 + MAX(0, AP$4-$A42)*IF(RTD("tos.rtd",,"OPEN_INT","."&amp;$AA$3&amp;$AA$4&amp;"P"&amp;AP$4)="N/A",0,RTD("tos.rtd",,"OPEN_INT","."&amp;$AA$3&amp;$AA$4&amp;"P"&amp;AP$4))*100</f>
        <v>0</v>
      </c>
      <c r="AQ42" s="18">
        <f>MAX(0, $A42-AQ$4)*IF(RTD("tos.rtd",,"OPEN_INT","."&amp;$AA$3&amp;$AA$4&amp;"C"&amp;AQ$4)="N/A",0,RTD("tos.rtd",,"OPEN_INT","."&amp;$AA$3&amp;$AA$4&amp;"C"&amp;AQ$4))*100 + MAX(0, AQ$4-$A42)*IF(RTD("tos.rtd",,"OPEN_INT","."&amp;$AA$3&amp;$AA$4&amp;"P"&amp;AQ$4)="N/A",0,RTD("tos.rtd",,"OPEN_INT","."&amp;$AA$3&amp;$AA$4&amp;"P"&amp;AQ$4))*100</f>
        <v>58300</v>
      </c>
      <c r="AR42" s="18">
        <f>MAX(0, $A42-AR$4)*IF(RTD("tos.rtd",,"OPEN_INT","."&amp;$AA$3&amp;$AA$4&amp;"C"&amp;AR$4)="N/A",0,RTD("tos.rtd",,"OPEN_INT","."&amp;$AA$3&amp;$AA$4&amp;"C"&amp;AR$4))*100 + MAX(0, AR$4-$A42)*IF(RTD("tos.rtd",,"OPEN_INT","."&amp;$AA$3&amp;$AA$4&amp;"P"&amp;AR$4)="N/A",0,RTD("tos.rtd",,"OPEN_INT","."&amp;$AA$3&amp;$AA$4&amp;"P"&amp;AR$4))*100</f>
        <v>6300</v>
      </c>
      <c r="AS42" s="18">
        <f>MAX(0, $A42-AS$4)*IF(RTD("tos.rtd",,"OPEN_INT","."&amp;$AA$3&amp;$AA$4&amp;"C"&amp;AS$4)="N/A",0,RTD("tos.rtd",,"OPEN_INT","."&amp;$AA$3&amp;$AA$4&amp;"C"&amp;AS$4))*100 + MAX(0, AS$4-$A42)*IF(RTD("tos.rtd",,"OPEN_INT","."&amp;$AA$3&amp;$AA$4&amp;"P"&amp;AS$4)="N/A",0,RTD("tos.rtd",,"OPEN_INT","."&amp;$AA$3&amp;$AA$4&amp;"P"&amp;AS$4))*100</f>
        <v>62000</v>
      </c>
      <c r="AT42" s="18">
        <f>MAX(0, $A42-AT$4)*IF(RTD("tos.rtd",,"OPEN_INT","."&amp;$AA$3&amp;$AA$4&amp;"C"&amp;AT$4)="N/A",0,RTD("tos.rtd",,"OPEN_INT","."&amp;$AA$3&amp;$AA$4&amp;"C"&amp;AT$4))*100 + MAX(0, AT$4-$A42)*IF(RTD("tos.rtd",,"OPEN_INT","."&amp;$AA$3&amp;$AA$4&amp;"P"&amp;AT$4)="N/A",0,RTD("tos.rtd",,"OPEN_INT","."&amp;$AA$3&amp;$AA$4&amp;"P"&amp;AT$4))*100</f>
        <v>66500</v>
      </c>
      <c r="AU42" s="18">
        <f>MAX(0, $A42-AU$4)*IF(RTD("tos.rtd",,"OPEN_INT","."&amp;$AA$3&amp;$AA$4&amp;"C"&amp;AU$4)="N/A",0,RTD("tos.rtd",,"OPEN_INT","."&amp;$AA$3&amp;$AA$4&amp;"C"&amp;AU$4))*100 + MAX(0, AU$4-$A42)*IF(RTD("tos.rtd",,"OPEN_INT","."&amp;$AA$3&amp;$AA$4&amp;"P"&amp;AU$4)="N/A",0,RTD("tos.rtd",,"OPEN_INT","."&amp;$AA$3&amp;$AA$4&amp;"P"&amp;AU$4))*100</f>
        <v>36000</v>
      </c>
      <c r="AV42" s="18">
        <f>MAX(0, $A42-AV$4)*IF(RTD("tos.rtd",,"OPEN_INT","."&amp;$AA$3&amp;$AA$4&amp;"C"&amp;AV$4)="N/A",0,RTD("tos.rtd",,"OPEN_INT","."&amp;$AA$3&amp;$AA$4&amp;"C"&amp;AV$4))*100 + MAX(0, AV$4-$A42)*IF(RTD("tos.rtd",,"OPEN_INT","."&amp;$AA$3&amp;$AA$4&amp;"P"&amp;AV$4)="N/A",0,RTD("tos.rtd",,"OPEN_INT","."&amp;$AA$3&amp;$AA$4&amp;"P"&amp;AV$4))*100</f>
        <v>136850</v>
      </c>
      <c r="AW42" s="18">
        <f>MAX(0, $A42-AW$4)*IF(RTD("tos.rtd",,"OPEN_INT","."&amp;$AA$3&amp;$AA$4&amp;"C"&amp;AW$4)="N/A",0,RTD("tos.rtd",,"OPEN_INT","."&amp;$AA$3&amp;$AA$4&amp;"C"&amp;AW$4))*100 + MAX(0, AW$4-$A42)*IF(RTD("tos.rtd",,"OPEN_INT","."&amp;$AA$3&amp;$AA$4&amp;"P"&amp;AW$4)="N/A",0,RTD("tos.rtd",,"OPEN_INT","."&amp;$AA$3&amp;$AA$4&amp;"P"&amp;AW$4))*100</f>
        <v>161600</v>
      </c>
      <c r="AX42" s="18">
        <f>MAX(0, $A42-AX$4)*IF(RTD("tos.rtd",,"OPEN_INT","."&amp;$AA$3&amp;$AA$4&amp;"C"&amp;AX$4)="N/A",0,RTD("tos.rtd",,"OPEN_INT","."&amp;$AA$3&amp;$AA$4&amp;"C"&amp;AX$4))*100 + MAX(0, AX$4-$A42)*IF(RTD("tos.rtd",,"OPEN_INT","."&amp;$AA$3&amp;$AA$4&amp;"P"&amp;AX$4)="N/A",0,RTD("tos.rtd",,"OPEN_INT","."&amp;$AA$3&amp;$AA$4&amp;"P"&amp;AX$4))*100</f>
        <v>185250</v>
      </c>
      <c r="AY42" s="18">
        <f>MAX(0, $A42-AY$4)*IF(RTD("tos.rtd",,"OPEN_INT","."&amp;$AA$3&amp;$AA$4&amp;"C"&amp;AY$4)="N/A",0,RTD("tos.rtd",,"OPEN_INT","."&amp;$AA$3&amp;$AA$4&amp;"C"&amp;AY$4))*100 + MAX(0, AY$4-$A42)*IF(RTD("tos.rtd",,"OPEN_INT","."&amp;$AA$3&amp;$AA$4&amp;"P"&amp;AY$4)="N/A",0,RTD("tos.rtd",,"OPEN_INT","."&amp;$AA$3&amp;$AA$4&amp;"P"&amp;AY$4))*100</f>
        <v>1451800</v>
      </c>
      <c r="AZ42" s="18">
        <f>MAX(0, $A42-AZ$4)*IF(RTD("tos.rtd",,"OPEN_INT","."&amp;$AA$3&amp;$AA$4&amp;"C"&amp;AZ$4)="N/A",0,RTD("tos.rtd",,"OPEN_INT","."&amp;$AA$3&amp;$AA$4&amp;"C"&amp;AZ$4))*100 + MAX(0, AZ$4-$A42)*IF(RTD("tos.rtd",,"OPEN_INT","."&amp;$AA$3&amp;$AA$4&amp;"P"&amp;AZ$4)="N/A",0,RTD("tos.rtd",,"OPEN_INT","."&amp;$AA$3&amp;$AA$4&amp;"P"&amp;AZ$4))*100</f>
        <v>369200</v>
      </c>
      <c r="BA42" s="18">
        <f>MAX(0, $A42-BA$4)*IF(RTD("tos.rtd",,"OPEN_INT","."&amp;$AA$3&amp;$AA$4&amp;"C"&amp;BA$4)="N/A",0,RTD("tos.rtd",,"OPEN_INT","."&amp;$AA$3&amp;$AA$4&amp;"C"&amp;BA$4))*100 + MAX(0, BA$4-$A42)*IF(RTD("tos.rtd",,"OPEN_INT","."&amp;$AA$3&amp;$AA$4&amp;"P"&amp;BA$4)="N/A",0,RTD("tos.rtd",,"OPEN_INT","."&amp;$AA$3&amp;$AA$4&amp;"P"&amp;BA$4))*100</f>
        <v>1404000</v>
      </c>
      <c r="BB42" s="18">
        <f>MAX(0, $A42-BB$4)*IF(RTD("tos.rtd",,"OPEN_INT","."&amp;$AA$3&amp;$AA$4&amp;"C"&amp;BB$4)="N/A",0,RTD("tos.rtd",,"OPEN_INT","."&amp;$AA$3&amp;$AA$4&amp;"C"&amp;BB$4))*100 + MAX(0, BB$4-$A42)*IF(RTD("tos.rtd",,"OPEN_INT","."&amp;$AA$3&amp;$AA$4&amp;"P"&amp;BB$4)="N/A",0,RTD("tos.rtd",,"OPEN_INT","."&amp;$AA$3&amp;$AA$4&amp;"P"&amp;BB$4))*100</f>
        <v>1256200</v>
      </c>
      <c r="BC42" s="18">
        <f>MAX(0, $A42-BC$4)*IF(RTD("tos.rtd",,"OPEN_INT","."&amp;$AA$3&amp;$AA$4&amp;"C"&amp;BC$4)="N/A",0,RTD("tos.rtd",,"OPEN_INT","."&amp;$AA$3&amp;$AA$4&amp;"C"&amp;BC$4))*100 + MAX(0, BC$4-$A42)*IF(RTD("tos.rtd",,"OPEN_INT","."&amp;$AA$3&amp;$AA$4&amp;"P"&amp;BC$4)="N/A",0,RTD("tos.rtd",,"OPEN_INT","."&amp;$AA$3&amp;$AA$4&amp;"P"&amp;BC$4))*100</f>
        <v>3825500</v>
      </c>
      <c r="BD42" s="18">
        <f>MAX(0, $A42-BD$4)*IF(RTD("tos.rtd",,"OPEN_INT","."&amp;$AA$3&amp;$AA$4&amp;"C"&amp;BD$4)="N/A",0,RTD("tos.rtd",,"OPEN_INT","."&amp;$AA$3&amp;$AA$4&amp;"C"&amp;BD$4))*100 + MAX(0, BD$4-$A42)*IF(RTD("tos.rtd",,"OPEN_INT","."&amp;$AA$3&amp;$AA$4&amp;"P"&amp;BD$4)="N/A",0,RTD("tos.rtd",,"OPEN_INT","."&amp;$AA$3&amp;$AA$4&amp;"P"&amp;BD$4))*100</f>
        <v>4419450</v>
      </c>
      <c r="BE42" s="18">
        <f>MAX(0, $A42-BE$4)*IF(RTD("tos.rtd",,"OPEN_INT","."&amp;$AA$3&amp;$AA$4&amp;"C"&amp;BE$4)="N/A",0,RTD("tos.rtd",,"OPEN_INT","."&amp;$AA$3&amp;$AA$4&amp;"C"&amp;BE$4))*100 + MAX(0, BE$4-$A42)*IF(RTD("tos.rtd",,"OPEN_INT","."&amp;$AA$3&amp;$AA$4&amp;"P"&amp;BE$4)="N/A",0,RTD("tos.rtd",,"OPEN_INT","."&amp;$AA$3&amp;$AA$4&amp;"P"&amp;BE$4))*100</f>
        <v>4446400</v>
      </c>
      <c r="BF42" s="18">
        <f>MAX(0, $A42-BF$4)*IF(RTD("tos.rtd",,"OPEN_INT","."&amp;$AA$3&amp;$AA$4&amp;"C"&amp;BF$4)="N/A",0,RTD("tos.rtd",,"OPEN_INT","."&amp;$AA$3&amp;$AA$4&amp;"C"&amp;BF$4))*100 + MAX(0, BF$4-$A42)*IF(RTD("tos.rtd",,"OPEN_INT","."&amp;$AA$3&amp;$AA$4&amp;"P"&amp;BF$4)="N/A",0,RTD("tos.rtd",,"OPEN_INT","."&amp;$AA$3&amp;$AA$4&amp;"P"&amp;BF$4))*100</f>
        <v>4868150</v>
      </c>
      <c r="BG42" s="18">
        <f>MAX(0, $A42-BG$4)*IF(RTD("tos.rtd",,"OPEN_INT","."&amp;$AA$3&amp;$AA$4&amp;"C"&amp;BG$4)="N/A",0,RTD("tos.rtd",,"OPEN_INT","."&amp;$AA$3&amp;$AA$4&amp;"C"&amp;BG$4))*100 + MAX(0, BG$4-$A42)*IF(RTD("tos.rtd",,"OPEN_INT","."&amp;$AA$3&amp;$AA$4&amp;"P"&amp;BG$4)="N/A",0,RTD("tos.rtd",,"OPEN_INT","."&amp;$AA$3&amp;$AA$4&amp;"P"&amp;BG$4))*100</f>
        <v>2722500</v>
      </c>
      <c r="BH42" s="18">
        <f>MAX(0, $A42-BH$4)*IF(RTD("tos.rtd",,"OPEN_INT","."&amp;$AA$3&amp;$AA$4&amp;"C"&amp;BH$4)="N/A",0,RTD("tos.rtd",,"OPEN_INT","."&amp;$AA$3&amp;$AA$4&amp;"C"&amp;BH$4))*100 + MAX(0, BH$4-$A42)*IF(RTD("tos.rtd",,"OPEN_INT","."&amp;$AA$3&amp;$AA$4&amp;"P"&amp;BH$4)="N/A",0,RTD("tos.rtd",,"OPEN_INT","."&amp;$AA$3&amp;$AA$4&amp;"P"&amp;BH$4))*100</f>
        <v>1605750</v>
      </c>
      <c r="BI42" s="18">
        <f>MAX(0, $A42-BI$4)*IF(RTD("tos.rtd",,"OPEN_INT","."&amp;$AA$3&amp;$AA$4&amp;"C"&amp;BI$4)="N/A",0,RTD("tos.rtd",,"OPEN_INT","."&amp;$AA$3&amp;$AA$4&amp;"C"&amp;BI$4))*100 + MAX(0, BI$4-$A42)*IF(RTD("tos.rtd",,"OPEN_INT","."&amp;$AA$3&amp;$AA$4&amp;"P"&amp;BI$4)="N/A",0,RTD("tos.rtd",,"OPEN_INT","."&amp;$AA$3&amp;$AA$4&amp;"P"&amp;BI$4))*100</f>
        <v>1605000</v>
      </c>
      <c r="BJ42" s="18">
        <f>MAX(0, $A42-BJ$4)*IF(RTD("tos.rtd",,"OPEN_INT","."&amp;$AA$3&amp;$AA$4&amp;"C"&amp;BJ$4)="N/A",0,RTD("tos.rtd",,"OPEN_INT","."&amp;$AA$3&amp;$AA$4&amp;"C"&amp;BJ$4))*100 + MAX(0, BJ$4-$A42)*IF(RTD("tos.rtd",,"OPEN_INT","."&amp;$AA$3&amp;$AA$4&amp;"P"&amp;BJ$4)="N/A",0,RTD("tos.rtd",,"OPEN_INT","."&amp;$AA$3&amp;$AA$4&amp;"P"&amp;BJ$4))*100</f>
        <v>327450</v>
      </c>
      <c r="BK42" s="18">
        <f>MAX(0, $A42-BK$4)*IF(RTD("tos.rtd",,"OPEN_INT","."&amp;$AA$3&amp;$AA$4&amp;"C"&amp;BK$4)="N/A",0,RTD("tos.rtd",,"OPEN_INT","."&amp;$AA$3&amp;$AA$4&amp;"C"&amp;BK$4))*100 + MAX(0, BK$4-$A42)*IF(RTD("tos.rtd",,"OPEN_INT","."&amp;$AA$3&amp;$AA$4&amp;"P"&amp;BK$4)="N/A",0,RTD("tos.rtd",,"OPEN_INT","."&amp;$AA$3&amp;$AA$4&amp;"P"&amp;BK$4))*100</f>
        <v>234000</v>
      </c>
      <c r="BL42" s="18">
        <f>MAX(0, $A42-BL$4)*IF(RTD("tos.rtd",,"OPEN_INT","."&amp;$AA$3&amp;$AA$4&amp;"C"&amp;BL$4)="N/A",0,RTD("tos.rtd",,"OPEN_INT","."&amp;$AA$3&amp;$AA$4&amp;"C"&amp;BL$4))*100 + MAX(0, BL$4-$A42)*IF(RTD("tos.rtd",,"OPEN_INT","."&amp;$AA$3&amp;$AA$4&amp;"P"&amp;BL$4)="N/A",0,RTD("tos.rtd",,"OPEN_INT","."&amp;$AA$3&amp;$AA$4&amp;"P"&amp;BL$4))*100</f>
        <v>19600</v>
      </c>
      <c r="BM42" s="18">
        <f>MAX(0, $A42-BM$4)*IF(RTD("tos.rtd",,"OPEN_INT","."&amp;$AA$3&amp;$AA$4&amp;"C"&amp;BM$4)="N/A",0,RTD("tos.rtd",,"OPEN_INT","."&amp;$AA$3&amp;$AA$4&amp;"C"&amp;BM$4))*100 + MAX(0, BM$4-$A42)*IF(RTD("tos.rtd",,"OPEN_INT","."&amp;$AA$3&amp;$AA$4&amp;"P"&amp;BM$4)="N/A",0,RTD("tos.rtd",,"OPEN_INT","."&amp;$AA$3&amp;$AA$4&amp;"P"&amp;BM$4))*100</f>
        <v>0</v>
      </c>
      <c r="BN42" s="18">
        <f>MAX(0, $A42-BN$4)*IF(RTD("tos.rtd",,"OPEN_INT","."&amp;$AA$3&amp;$AA$4&amp;"C"&amp;BN$4)="N/A",0,RTD("tos.rtd",,"OPEN_INT","."&amp;$AA$3&amp;$AA$4&amp;"C"&amp;BN$4))*100 + MAX(0, BN$4-$A42)*IF(RTD("tos.rtd",,"OPEN_INT","."&amp;$AA$3&amp;$AA$4&amp;"P"&amp;BN$4)="N/A",0,RTD("tos.rtd",,"OPEN_INT","."&amp;$AA$3&amp;$AA$4&amp;"P"&amp;BN$4))*100</f>
        <v>1550</v>
      </c>
      <c r="BO42" s="18">
        <f>MAX(0, $A42-BO$4)*IF(RTD("tos.rtd",,"OPEN_INT","."&amp;$AA$3&amp;$AA$4&amp;"C"&amp;BO$4)="N/A",0,RTD("tos.rtd",,"OPEN_INT","."&amp;$AA$3&amp;$AA$4&amp;"C"&amp;BO$4))*100 + MAX(0, BO$4-$A42)*IF(RTD("tos.rtd",,"OPEN_INT","."&amp;$AA$3&amp;$AA$4&amp;"P"&amp;BO$4)="N/A",0,RTD("tos.rtd",,"OPEN_INT","."&amp;$AA$3&amp;$AA$4&amp;"P"&amp;BO$4))*100</f>
        <v>3800</v>
      </c>
      <c r="BP42" s="18">
        <f>MAX(0, $A42-BP$4)*IF(RTD("tos.rtd",,"OPEN_INT","."&amp;$AA$3&amp;$AA$4&amp;"C"&amp;BP$4)="N/A",0,RTD("tos.rtd",,"OPEN_INT","."&amp;$AA$3&amp;$AA$4&amp;"C"&amp;BP$4))*100 + MAX(0, BP$4-$A42)*IF(RTD("tos.rtd",,"OPEN_INT","."&amp;$AA$3&amp;$AA$4&amp;"P"&amp;BP$4)="N/A",0,RTD("tos.rtd",,"OPEN_INT","."&amp;$AA$3&amp;$AA$4&amp;"P"&amp;BP$4))*100</f>
        <v>0</v>
      </c>
      <c r="BQ42" s="18">
        <f>MAX(0, $A42-BQ$4)*IF(RTD("tos.rtd",,"OPEN_INT","."&amp;$AA$3&amp;$AA$4&amp;"C"&amp;BQ$4)="N/A",0,RTD("tos.rtd",,"OPEN_INT","."&amp;$AA$3&amp;$AA$4&amp;"C"&amp;BQ$4))*100 + MAX(0, BQ$4-$A42)*IF(RTD("tos.rtd",,"OPEN_INT","."&amp;$AA$3&amp;$AA$4&amp;"P"&amp;BQ$4)="N/A",0,RTD("tos.rtd",,"OPEN_INT","."&amp;$AA$3&amp;$AA$4&amp;"P"&amp;BQ$4))*100</f>
        <v>0</v>
      </c>
      <c r="BR42" s="18">
        <f>MAX(0, $A42-BR$4)*IF(RTD("tos.rtd",,"OPEN_INT","."&amp;$AA$3&amp;$AA$4&amp;"C"&amp;BR$4)="N/A",0,RTD("tos.rtd",,"OPEN_INT","."&amp;$AA$3&amp;$AA$4&amp;"C"&amp;BR$4))*100 + MAX(0, BR$4-$A42)*IF(RTD("tos.rtd",,"OPEN_INT","."&amp;$AA$3&amp;$AA$4&amp;"P"&amp;BR$4)="N/A",0,RTD("tos.rtd",,"OPEN_INT","."&amp;$AA$3&amp;$AA$4&amp;"P"&amp;BR$4))*100</f>
        <v>0</v>
      </c>
      <c r="BS42" s="18">
        <f>MAX(0, $A42-BS$4)*IF(RTD("tos.rtd",,"OPEN_INT","."&amp;$AA$3&amp;$AA$4&amp;"C"&amp;BS$4)="N/A",0,RTD("tos.rtd",,"OPEN_INT","."&amp;$AA$3&amp;$AA$4&amp;"C"&amp;BS$4))*100 + MAX(0, BS$4-$A42)*IF(RTD("tos.rtd",,"OPEN_INT","."&amp;$AA$3&amp;$AA$4&amp;"P"&amp;BS$4)="N/A",0,RTD("tos.rtd",,"OPEN_INT","."&amp;$AA$3&amp;$AA$4&amp;"P"&amp;BS$4))*100</f>
        <v>0</v>
      </c>
      <c r="BT42" s="18">
        <f>MAX(0, $A42-BT$4)*IF(RTD("tos.rtd",,"OPEN_INT","."&amp;$AA$3&amp;$AA$4&amp;"C"&amp;BT$4)="N/A",0,RTD("tos.rtd",,"OPEN_INT","."&amp;$AA$3&amp;$AA$4&amp;"C"&amp;BT$4))*100 + MAX(0, BT$4-$A42)*IF(RTD("tos.rtd",,"OPEN_INT","."&amp;$AA$3&amp;$AA$4&amp;"P"&amp;BT$4)="N/A",0,RTD("tos.rtd",,"OPEN_INT","."&amp;$AA$3&amp;$AA$4&amp;"P"&amp;BT$4))*100</f>
        <v>0</v>
      </c>
      <c r="BU42" s="18">
        <f>MAX(0, $A42-BU$4)*IF(RTD("tos.rtd",,"OPEN_INT","."&amp;$AA$3&amp;$AA$4&amp;"C"&amp;BU$4)="N/A",0,RTD("tos.rtd",,"OPEN_INT","."&amp;$AA$3&amp;$AA$4&amp;"C"&amp;BU$4))*100 + MAX(0, BU$4-$A42)*IF(RTD("tos.rtd",,"OPEN_INT","."&amp;$AA$3&amp;$AA$4&amp;"P"&amp;BU$4)="N/A",0,RTD("tos.rtd",,"OPEN_INT","."&amp;$AA$3&amp;$AA$4&amp;"P"&amp;BU$4))*100</f>
        <v>0</v>
      </c>
      <c r="BV42" s="18">
        <f>MAX(0, $A42-BV$4)*IF(RTD("tos.rtd",,"OPEN_INT","."&amp;$AA$3&amp;$AA$4&amp;"C"&amp;BV$4)="N/A",0,RTD("tos.rtd",,"OPEN_INT","."&amp;$AA$3&amp;$AA$4&amp;"C"&amp;BV$4))*100 + MAX(0, BV$4-$A42)*IF(RTD("tos.rtd",,"OPEN_INT","."&amp;$AA$3&amp;$AA$4&amp;"P"&amp;BV$4)="N/A",0,RTD("tos.rtd",,"OPEN_INT","."&amp;$AA$3&amp;$AA$4&amp;"P"&amp;BV$4))*100</f>
        <v>0</v>
      </c>
    </row>
    <row r="43" spans="1:74" s="19" customFormat="1" ht="11.1" customHeight="1" thickBot="1" x14ac:dyDescent="0.3">
      <c r="A43" s="23">
        <f t="shared" si="11"/>
        <v>2.5</v>
      </c>
      <c r="B43" s="14">
        <f ca="1">IF($A$2="PREMIUM_OI",IFERROR(IF($X$1="ABS",(100*RTD("tos.rtd",,"OPEN_INT","."&amp;B$2&amp;B$1&amp;"C"&amp;$A43)*RTD("tos.rtd",,"LAST","."&amp;B$2&amp;B$1&amp;"C"&amp;$A43)+100*RTD("tos.rtd",,"OPEN_INT","."&amp;B$2&amp;B$1&amp;"P"&amp;$A43)*RTD("tos.rtd",,"LAST","."&amp;B$2&amp;B$1&amp;"P"&amp;$A43))/1000000,(100*RTD("tos.rtd",,"OPEN_INT","."&amp;B$2&amp;B$1&amp;"C"&amp;$A43)*RTD("tos.rtd",,"LAST","."&amp;B$2&amp;B$1&amp;"C"&amp;$A43)-100*RTD("tos.rtd",,"OPEN_INT","."&amp;B$2&amp;B$1&amp;"P"&amp;$A43)*RTD("tos.rtd",,"LAST","."&amp;B$2&amp;B$1&amp;"P"&amp;$A43))/1000000),0),IF($A$2="PREMIUM",IFERROR(IF($X$1="ABS",(100*RTD("tos.rtd",,"VOLUME","."&amp;B$2&amp;B$1&amp;"C"&amp;$A43)*RTD("tos.rtd",,"LAST","."&amp;B$2&amp;B$1&amp;"C"&amp;$A43)+100*RTD("tos.rtd",,"VOLUME","."&amp;B$2&amp;B$1&amp;"P"&amp;$A43)*RTD("tos.rtd",,"LAST","."&amp;B$2&amp;B$1&amp;"P"&amp;$A43))/1000000,(100*RTD("tos.rtd",,"VOLUME","."&amp;B$2&amp;B$1&amp;"C"&amp;$A43)*RTD("tos.rtd",,"LAST","."&amp;B$2&amp;B$1&amp;"C"&amp;$A43)-100*RTD("tos.rtd",,"VOLUME","."&amp;B$2&amp;B$1&amp;"P"&amp;$A43)*RTD("tos.rtd",,"LAST","."&amp;B$2&amp;B$1&amp;"P"&amp;$A43))/1000000),0),IF($A$2="DEX",IFERROR(IF($X$1="ABS",(100*RTD("tos.rtd",,"OPEN_INT","."&amp;B$2&amp;B$1&amp;"C"&amp;$A43)*RTD("tos.rtd",,"DELTA","."&amp;B$2&amp;B$1&amp;"C"&amp;$A43)+100*RTD("tos.rtd",,"OPEN_INT","."&amp;B$2&amp;B$1&amp;"P"&amp;$A43)*RTD("tos.rtd",,"DELTA","."&amp;B$2&amp;B$1&amp;"P"&amp;$A43))/1000,(100*RTD("tos.rtd",,"OPEN_INT","."&amp;B$2&amp;B$1&amp;"C"&amp;$A43)*RTD("tos.rtd",,"DELTA","."&amp;B$2&amp;B$1&amp;"C"&amp;$A43)-100*RTD("tos.rtd",,"OPEN_INT","."&amp;B$2&amp;B$1&amp;"P"&amp;$A43)*RTD("tos.rtd",,"DELTA","."&amp;B$2&amp;B$1&amp;"P"&amp;$A43))/1000),0),IF($A$2="VEX",IFERROR(IF($X$1="ABS",($A$4*$A$4*RTD("tos.rtd",,"VOLUME","."&amp;B$2&amp;B$1&amp;"C"&amp;$A43)*RTD("tos.rtd",,"GAMMA","."&amp;B$2&amp;B$1&amp;"C"&amp;$A43)+$A$4*$A$4*RTD("tos.rtd",,"VOLUME","."&amp;B$2&amp;B$1&amp;"P"&amp;$A43)*RTD("tos.rtd",,"GAMMA","."&amp;B$2&amp;B$1&amp;"P"&amp;$A43))/1000000,($A$4*$A$4*RTD("tos.rtd",,"VOLUME","."&amp;B$2&amp;B$1&amp;"C"&amp;$A43)*RTD("tos.rtd",,"GAMMA","."&amp;B$2&amp;B$1&amp;"C"&amp;$A43)-$A$4*$A$4*RTD("tos.rtd",,"VOLUME","."&amp;B$2&amp;B$1&amp;"P"&amp;$A43)*RTD("tos.rtd",,"GAMMA","."&amp;B$2&amp;B$1&amp;"P"&amp;$A43))/1000000),0),IF($A$2="GEX",IFERROR(IF($X$1="ABS",($A$4*$A$4*RTD("tos.rtd",,"OPEN_INT","."&amp;B$2&amp;B$1&amp;"C"&amp;$A43)*RTD("tos.rtd",,"GAMMA","."&amp;B$2&amp;B$1&amp;"C"&amp;$A43)+$A$4*$A$4*RTD("tos.rtd",,"OPEN_INT","."&amp;B$2&amp;B$1&amp;"P"&amp;$A43)*RTD("tos.rtd",,"GAMMA","."&amp;B$2&amp;B$1&amp;"P"&amp;$A43))/1000000,($A$4*$A$4*RTD("tos.rtd",,"OPEN_INT","."&amp;B$2&amp;B$1&amp;"C"&amp;$A43)*RTD("tos.rtd",,"GAMMA","."&amp;B$2&amp;B$1&amp;"C"&amp;$A43)-$A$4*$A$4*RTD("tos.rtd",,"OPEN_INT","."&amp;B$2&amp;B$1&amp;"P"&amp;$A43)*RTD("tos.rtd",,"GAMMA","."&amp;B$2&amp;B$1&amp;"P"&amp;$A43))/1000000),0),IF($A$2="SKEW",IFERROR(VALUE(IF(RTD("tos.rtd",,"IMPL_VOL","."&amp;B$2&amp;B$1&amp;"P"&amp;$A43)="N/A",0,RTD("tos.rtd",,"IMPL_VOL","."&amp;B$2&amp;B$1&amp;"P"&amp;$A43))),0)-IFERROR(VALUE(IF(RTD("tos.rtd",,"IMPL_VOL","."&amp;B$2&amp;B$1&amp;"C"&amp;$A43)="N/A",0,RTD("tos.rtd",,"IMPL_VOL","."&amp;B$2&amp;B$1&amp;"C"&amp;$A43))),0),IF($A$2="MAXPAIN",IF($A$4&gt;$A43,($A$4-$A43)*IF(RTD("tos.rtd",,"OPEN_INT","."&amp;B$2&amp;B$1&amp;"C"&amp;$A43)="N/A",0,RTD("tos.rtd",,"OPEN_INT","."&amp;B$2&amp;B$1&amp;"C"&amp;$A43)),0)+IF($A$4&lt;$A43,($A$5-$A$4)*IF(RTD("tos.rtd",,"OPEN_INT","."&amp;B$2&amp;B$1&amp;"P"&amp;$A43)="N/A",0,RTD("tos.rtd",,"OPEN_INT","."&amp;B$2&amp;B$1&amp;"P"&amp;$A43)),0),IF($X$1="ABS",IF(RTD("tos.rtd",,$A$2,"."&amp;B$2&amp;B$1&amp;"C"&amp;$A43)="N/A",0,RTD("tos.rtd",,$A$2,"."&amp;B$2&amp;B$1&amp;"C"&amp;$A43))+IF(RTD("tos.rtd",,$A$2,"."&amp;B$2&amp;B$1&amp;"P"&amp;$A43)="N/A",0,RTD("tos.rtd",,$A$2,"."&amp;B$2&amp;B$1&amp;"P"&amp;$A43)),IF(RTD("tos.rtd",,$A$2,"."&amp;B$2&amp;B$1&amp;"C"&amp;$A43)="N/A",0,RTD("tos.rtd",,$A$2,"."&amp;B$2&amp;B$1&amp;"C"&amp;$A43))-IF(RTD("tos.rtd",,$A$2,"."&amp;B$2&amp;B$1&amp;"P"&amp;$A43)="N/A",0,RTD("tos.rtd",,$A$2,"."&amp;B$2&amp;B$1&amp;"P"&amp;$A43))))))))))</f>
        <v>0</v>
      </c>
      <c r="C43" s="12">
        <f ca="1">IF($A$2="PREMIUM_OI",IFERROR(IF($X$1="ABS",(100*RTD("tos.rtd",,"OPEN_INT","."&amp;C$2&amp;C$1&amp;"C"&amp;$A43)*RTD("tos.rtd",,"LAST","."&amp;C$2&amp;C$1&amp;"C"&amp;$A43)+100*RTD("tos.rtd",,"OPEN_INT","."&amp;C$2&amp;C$1&amp;"P"&amp;$A43)*RTD("tos.rtd",,"LAST","."&amp;C$2&amp;C$1&amp;"P"&amp;$A43))/1000000,(100*RTD("tos.rtd",,"OPEN_INT","."&amp;C$2&amp;C$1&amp;"C"&amp;$A43)*RTD("tos.rtd",,"LAST","."&amp;C$2&amp;C$1&amp;"C"&amp;$A43)-100*RTD("tos.rtd",,"OPEN_INT","."&amp;C$2&amp;C$1&amp;"P"&amp;$A43)*RTD("tos.rtd",,"LAST","."&amp;C$2&amp;C$1&amp;"P"&amp;$A43))/1000000),0),IF($A$2="PREMIUM",IFERROR(IF($X$1="ABS",(100*RTD("tos.rtd",,"VOLUME","."&amp;C$2&amp;C$1&amp;"C"&amp;$A43)*RTD("tos.rtd",,"LAST","."&amp;C$2&amp;C$1&amp;"C"&amp;$A43)+100*RTD("tos.rtd",,"VOLUME","."&amp;C$2&amp;C$1&amp;"P"&amp;$A43)*RTD("tos.rtd",,"LAST","."&amp;C$2&amp;C$1&amp;"P"&amp;$A43))/1000000,(100*RTD("tos.rtd",,"VOLUME","."&amp;C$2&amp;C$1&amp;"C"&amp;$A43)*RTD("tos.rtd",,"LAST","."&amp;C$2&amp;C$1&amp;"C"&amp;$A43)-100*RTD("tos.rtd",,"VOLUME","."&amp;C$2&amp;C$1&amp;"P"&amp;$A43)*RTD("tos.rtd",,"LAST","."&amp;C$2&amp;C$1&amp;"P"&amp;$A43))/1000000),0),IF($A$2="DEX",IFERROR(IF($X$1="ABS",(100*RTD("tos.rtd",,"OPEN_INT","."&amp;C$2&amp;C$1&amp;"C"&amp;$A43)*RTD("tos.rtd",,"DELTA","."&amp;C$2&amp;C$1&amp;"C"&amp;$A43)+100*RTD("tos.rtd",,"OPEN_INT","."&amp;C$2&amp;C$1&amp;"P"&amp;$A43)*RTD("tos.rtd",,"DELTA","."&amp;C$2&amp;C$1&amp;"P"&amp;$A43))/1000,(100*RTD("tos.rtd",,"OPEN_INT","."&amp;C$2&amp;C$1&amp;"C"&amp;$A43)*RTD("tos.rtd",,"DELTA","."&amp;C$2&amp;C$1&amp;"C"&amp;$A43)-100*RTD("tos.rtd",,"OPEN_INT","."&amp;C$2&amp;C$1&amp;"P"&amp;$A43)*RTD("tos.rtd",,"DELTA","."&amp;C$2&amp;C$1&amp;"P"&amp;$A43))/1000),0),IF($A$2="VEX",IFERROR(IF($X$1="ABS",($A$4*$A$4*RTD("tos.rtd",,"VOLUME","."&amp;C$2&amp;C$1&amp;"C"&amp;$A43)*RTD("tos.rtd",,"GAMMA","."&amp;C$2&amp;C$1&amp;"C"&amp;$A43)+$A$4*$A$4*RTD("tos.rtd",,"VOLUME","."&amp;C$2&amp;C$1&amp;"P"&amp;$A43)*RTD("tos.rtd",,"GAMMA","."&amp;C$2&amp;C$1&amp;"P"&amp;$A43))/1000000,($A$4*$A$4*RTD("tos.rtd",,"VOLUME","."&amp;C$2&amp;C$1&amp;"C"&amp;$A43)*RTD("tos.rtd",,"GAMMA","."&amp;C$2&amp;C$1&amp;"C"&amp;$A43)-$A$4*$A$4*RTD("tos.rtd",,"VOLUME","."&amp;C$2&amp;C$1&amp;"P"&amp;$A43)*RTD("tos.rtd",,"GAMMA","."&amp;C$2&amp;C$1&amp;"P"&amp;$A43))/1000000),0),IF($A$2="GEX",IFERROR(IF($X$1="ABS",($A$4*$A$4*RTD("tos.rtd",,"OPEN_INT","."&amp;C$2&amp;C$1&amp;"C"&amp;$A43)*RTD("tos.rtd",,"GAMMA","."&amp;C$2&amp;C$1&amp;"C"&amp;$A43)+$A$4*$A$4*RTD("tos.rtd",,"OPEN_INT","."&amp;C$2&amp;C$1&amp;"P"&amp;$A43)*RTD("tos.rtd",,"GAMMA","."&amp;C$2&amp;C$1&amp;"P"&amp;$A43))/1000000,($A$4*$A$4*RTD("tos.rtd",,"OPEN_INT","."&amp;C$2&amp;C$1&amp;"C"&amp;$A43)*RTD("tos.rtd",,"GAMMA","."&amp;C$2&amp;C$1&amp;"C"&amp;$A43)-$A$4*$A$4*RTD("tos.rtd",,"OPEN_INT","."&amp;C$2&amp;C$1&amp;"P"&amp;$A43)*RTD("tos.rtd",,"GAMMA","."&amp;C$2&amp;C$1&amp;"P"&amp;$A43))/1000000),0),IF($A$2="SKEW",IFERROR(VALUE(IF(RTD("tos.rtd",,"IMPL_VOL","."&amp;C$2&amp;C$1&amp;"P"&amp;$A43)="N/A",0,RTD("tos.rtd",,"IMPL_VOL","."&amp;C$2&amp;C$1&amp;"P"&amp;$A43))),0)-IFERROR(VALUE(IF(RTD("tos.rtd",,"IMPL_VOL","."&amp;C$2&amp;C$1&amp;"C"&amp;$A43)="N/A",0,RTD("tos.rtd",,"IMPL_VOL","."&amp;C$2&amp;C$1&amp;"C"&amp;$A43))),0),IF($A$2="MAXPAIN",IF($A$4&gt;$A43,($A$4-$A43)*IF(RTD("tos.rtd",,"OPEN_INT","."&amp;C$2&amp;C$1&amp;"C"&amp;$A43)="N/A",0,RTD("tos.rtd",,"OPEN_INT","."&amp;C$2&amp;C$1&amp;"C"&amp;$A43)),0)+IF($A$4&lt;$A43,($A$5-$A$4)*IF(RTD("tos.rtd",,"OPEN_INT","."&amp;C$2&amp;C$1&amp;"P"&amp;$A43)="N/A",0,RTD("tos.rtd",,"OPEN_INT","."&amp;C$2&amp;C$1&amp;"P"&amp;$A43)),0),IF($X$1="ABS",IF(RTD("tos.rtd",,$A$2,"."&amp;C$2&amp;C$1&amp;"C"&amp;$A43)="N/A",0,RTD("tos.rtd",,$A$2,"."&amp;C$2&amp;C$1&amp;"C"&amp;$A43))+IF(RTD("tos.rtd",,$A$2,"."&amp;C$2&amp;C$1&amp;"P"&amp;$A43)="N/A",0,RTD("tos.rtd",,$A$2,"."&amp;C$2&amp;C$1&amp;"P"&amp;$A43)),IF(RTD("tos.rtd",,$A$2,"."&amp;C$2&amp;C$1&amp;"C"&amp;$A43)="N/A",0,RTD("tos.rtd",,$A$2,"."&amp;C$2&amp;C$1&amp;"C"&amp;$A43))-IF(RTD("tos.rtd",,$A$2,"."&amp;C$2&amp;C$1&amp;"P"&amp;$A43)="N/A",0,RTD("tos.rtd",,$A$2,"."&amp;C$2&amp;C$1&amp;"P"&amp;$A43))))))))))</f>
        <v>-32</v>
      </c>
      <c r="D43" s="12">
        <f ca="1">IF($A$2="PREMIUM_OI",IFERROR(IF($X$1="ABS",(100*RTD("tos.rtd",,"OPEN_INT","."&amp;D$2&amp;D$1&amp;"C"&amp;$A43)*RTD("tos.rtd",,"LAST","."&amp;D$2&amp;D$1&amp;"C"&amp;$A43)+100*RTD("tos.rtd",,"OPEN_INT","."&amp;D$2&amp;D$1&amp;"P"&amp;$A43)*RTD("tos.rtd",,"LAST","."&amp;D$2&amp;D$1&amp;"P"&amp;$A43))/1000000,(100*RTD("tos.rtd",,"OPEN_INT","."&amp;D$2&amp;D$1&amp;"C"&amp;$A43)*RTD("tos.rtd",,"LAST","."&amp;D$2&amp;D$1&amp;"C"&amp;$A43)-100*RTD("tos.rtd",,"OPEN_INT","."&amp;D$2&amp;D$1&amp;"P"&amp;$A43)*RTD("tos.rtd",,"LAST","."&amp;D$2&amp;D$1&amp;"P"&amp;$A43))/1000000),0),IF($A$2="PREMIUM",IFERROR(IF($X$1="ABS",(100*RTD("tos.rtd",,"VOLUME","."&amp;D$2&amp;D$1&amp;"C"&amp;$A43)*RTD("tos.rtd",,"LAST","."&amp;D$2&amp;D$1&amp;"C"&amp;$A43)+100*RTD("tos.rtd",,"VOLUME","."&amp;D$2&amp;D$1&amp;"P"&amp;$A43)*RTD("tos.rtd",,"LAST","."&amp;D$2&amp;D$1&amp;"P"&amp;$A43))/1000000,(100*RTD("tos.rtd",,"VOLUME","."&amp;D$2&amp;D$1&amp;"C"&amp;$A43)*RTD("tos.rtd",,"LAST","."&amp;D$2&amp;D$1&amp;"C"&amp;$A43)-100*RTD("tos.rtd",,"VOLUME","."&amp;D$2&amp;D$1&amp;"P"&amp;$A43)*RTD("tos.rtd",,"LAST","."&amp;D$2&amp;D$1&amp;"P"&amp;$A43))/1000000),0),IF($A$2="DEX",IFERROR(IF($X$1="ABS",(100*RTD("tos.rtd",,"OPEN_INT","."&amp;D$2&amp;D$1&amp;"C"&amp;$A43)*RTD("tos.rtd",,"DELTA","."&amp;D$2&amp;D$1&amp;"C"&amp;$A43)+100*RTD("tos.rtd",,"OPEN_INT","."&amp;D$2&amp;D$1&amp;"P"&amp;$A43)*RTD("tos.rtd",,"DELTA","."&amp;D$2&amp;D$1&amp;"P"&amp;$A43))/1000,(100*RTD("tos.rtd",,"OPEN_INT","."&amp;D$2&amp;D$1&amp;"C"&amp;$A43)*RTD("tos.rtd",,"DELTA","."&amp;D$2&amp;D$1&amp;"C"&amp;$A43)-100*RTD("tos.rtd",,"OPEN_INT","."&amp;D$2&amp;D$1&amp;"P"&amp;$A43)*RTD("tos.rtd",,"DELTA","."&amp;D$2&amp;D$1&amp;"P"&amp;$A43))/1000),0),IF($A$2="VEX",IFERROR(IF($X$1="ABS",($A$4*$A$4*RTD("tos.rtd",,"VOLUME","."&amp;D$2&amp;D$1&amp;"C"&amp;$A43)*RTD("tos.rtd",,"GAMMA","."&amp;D$2&amp;D$1&amp;"C"&amp;$A43)+$A$4*$A$4*RTD("tos.rtd",,"VOLUME","."&amp;D$2&amp;D$1&amp;"P"&amp;$A43)*RTD("tos.rtd",,"GAMMA","."&amp;D$2&amp;D$1&amp;"P"&amp;$A43))/1000000,($A$4*$A$4*RTD("tos.rtd",,"VOLUME","."&amp;D$2&amp;D$1&amp;"C"&amp;$A43)*RTD("tos.rtd",,"GAMMA","."&amp;D$2&amp;D$1&amp;"C"&amp;$A43)-$A$4*$A$4*RTD("tos.rtd",,"VOLUME","."&amp;D$2&amp;D$1&amp;"P"&amp;$A43)*RTD("tos.rtd",,"GAMMA","."&amp;D$2&amp;D$1&amp;"P"&amp;$A43))/1000000),0),IF($A$2="GEX",IFERROR(IF($X$1="ABS",($A$4*$A$4*RTD("tos.rtd",,"OPEN_INT","."&amp;D$2&amp;D$1&amp;"C"&amp;$A43)*RTD("tos.rtd",,"GAMMA","."&amp;D$2&amp;D$1&amp;"C"&amp;$A43)+$A$4*$A$4*RTD("tos.rtd",,"OPEN_INT","."&amp;D$2&amp;D$1&amp;"P"&amp;$A43)*RTD("tos.rtd",,"GAMMA","."&amp;D$2&amp;D$1&amp;"P"&amp;$A43))/1000000,($A$4*$A$4*RTD("tos.rtd",,"OPEN_INT","."&amp;D$2&amp;D$1&amp;"C"&amp;$A43)*RTD("tos.rtd",,"GAMMA","."&amp;D$2&amp;D$1&amp;"C"&amp;$A43)-$A$4*$A$4*RTD("tos.rtd",,"OPEN_INT","."&amp;D$2&amp;D$1&amp;"P"&amp;$A43)*RTD("tos.rtd",,"GAMMA","."&amp;D$2&amp;D$1&amp;"P"&amp;$A43))/1000000),0),IF($A$2="SKEW",IFERROR(VALUE(IF(RTD("tos.rtd",,"IMPL_VOL","."&amp;D$2&amp;D$1&amp;"P"&amp;$A43)="N/A",0,RTD("tos.rtd",,"IMPL_VOL","."&amp;D$2&amp;D$1&amp;"P"&amp;$A43))),0)-IFERROR(VALUE(IF(RTD("tos.rtd",,"IMPL_VOL","."&amp;D$2&amp;D$1&amp;"C"&amp;$A43)="N/A",0,RTD("tos.rtd",,"IMPL_VOL","."&amp;D$2&amp;D$1&amp;"C"&amp;$A43))),0),IF($A$2="MAXPAIN",IF($A$4&gt;$A43,($A$4-$A43)*IF(RTD("tos.rtd",,"OPEN_INT","."&amp;D$2&amp;D$1&amp;"C"&amp;$A43)="N/A",0,RTD("tos.rtd",,"OPEN_INT","."&amp;D$2&amp;D$1&amp;"C"&amp;$A43)),0)+IF($A$4&lt;$A43,($A$5-$A$4)*IF(RTD("tos.rtd",,"OPEN_INT","."&amp;D$2&amp;D$1&amp;"P"&amp;$A43)="N/A",0,RTD("tos.rtd",,"OPEN_INT","."&amp;D$2&amp;D$1&amp;"P"&amp;$A43)),0),IF($X$1="ABS",IF(RTD("tos.rtd",,$A$2,"."&amp;D$2&amp;D$1&amp;"C"&amp;$A43)="N/A",0,RTD("tos.rtd",,$A$2,"."&amp;D$2&amp;D$1&amp;"C"&amp;$A43))+IF(RTD("tos.rtd",,$A$2,"."&amp;D$2&amp;D$1&amp;"P"&amp;$A43)="N/A",0,RTD("tos.rtd",,$A$2,"."&amp;D$2&amp;D$1&amp;"P"&amp;$A43)),IF(RTD("tos.rtd",,$A$2,"."&amp;D$2&amp;D$1&amp;"C"&amp;$A43)="N/A",0,RTD("tos.rtd",,$A$2,"."&amp;D$2&amp;D$1&amp;"C"&amp;$A43))-IF(RTD("tos.rtd",,$A$2,"."&amp;D$2&amp;D$1&amp;"P"&amp;$A43)="N/A",0,RTD("tos.rtd",,$A$2,"."&amp;D$2&amp;D$1&amp;"P"&amp;$A43))))))))))</f>
        <v>-8331</v>
      </c>
      <c r="E43" s="12">
        <f ca="1">IF($A$2="PREMIUM_OI",IFERROR(IF($X$1="ABS",(100*RTD("tos.rtd",,"OPEN_INT","."&amp;E$2&amp;E$1&amp;"C"&amp;$A43)*RTD("tos.rtd",,"LAST","."&amp;E$2&amp;E$1&amp;"C"&amp;$A43)+100*RTD("tos.rtd",,"OPEN_INT","."&amp;E$2&amp;E$1&amp;"P"&amp;$A43)*RTD("tos.rtd",,"LAST","."&amp;E$2&amp;E$1&amp;"P"&amp;$A43))/1000000,(100*RTD("tos.rtd",,"OPEN_INT","."&amp;E$2&amp;E$1&amp;"C"&amp;$A43)*RTD("tos.rtd",,"LAST","."&amp;E$2&amp;E$1&amp;"C"&amp;$A43)-100*RTD("tos.rtd",,"OPEN_INT","."&amp;E$2&amp;E$1&amp;"P"&amp;$A43)*RTD("tos.rtd",,"LAST","."&amp;E$2&amp;E$1&amp;"P"&amp;$A43))/1000000),0),IF($A$2="PREMIUM",IFERROR(IF($X$1="ABS",(100*RTD("tos.rtd",,"VOLUME","."&amp;E$2&amp;E$1&amp;"C"&amp;$A43)*RTD("tos.rtd",,"LAST","."&amp;E$2&amp;E$1&amp;"C"&amp;$A43)+100*RTD("tos.rtd",,"VOLUME","."&amp;E$2&amp;E$1&amp;"P"&amp;$A43)*RTD("tos.rtd",,"LAST","."&amp;E$2&amp;E$1&amp;"P"&amp;$A43))/1000000,(100*RTD("tos.rtd",,"VOLUME","."&amp;E$2&amp;E$1&amp;"C"&amp;$A43)*RTD("tos.rtd",,"LAST","."&amp;E$2&amp;E$1&amp;"C"&amp;$A43)-100*RTD("tos.rtd",,"VOLUME","."&amp;E$2&amp;E$1&amp;"P"&amp;$A43)*RTD("tos.rtd",,"LAST","."&amp;E$2&amp;E$1&amp;"P"&amp;$A43))/1000000),0),IF($A$2="DEX",IFERROR(IF($X$1="ABS",(100*RTD("tos.rtd",,"OPEN_INT","."&amp;E$2&amp;E$1&amp;"C"&amp;$A43)*RTD("tos.rtd",,"DELTA","."&amp;E$2&amp;E$1&amp;"C"&amp;$A43)+100*RTD("tos.rtd",,"OPEN_INT","."&amp;E$2&amp;E$1&amp;"P"&amp;$A43)*RTD("tos.rtd",,"DELTA","."&amp;E$2&amp;E$1&amp;"P"&amp;$A43))/1000,(100*RTD("tos.rtd",,"OPEN_INT","."&amp;E$2&amp;E$1&amp;"C"&amp;$A43)*RTD("tos.rtd",,"DELTA","."&amp;E$2&amp;E$1&amp;"C"&amp;$A43)-100*RTD("tos.rtd",,"OPEN_INT","."&amp;E$2&amp;E$1&amp;"P"&amp;$A43)*RTD("tos.rtd",,"DELTA","."&amp;E$2&amp;E$1&amp;"P"&amp;$A43))/1000),0),IF($A$2="VEX",IFERROR(IF($X$1="ABS",($A$4*$A$4*RTD("tos.rtd",,"VOLUME","."&amp;E$2&amp;E$1&amp;"C"&amp;$A43)*RTD("tos.rtd",,"GAMMA","."&amp;E$2&amp;E$1&amp;"C"&amp;$A43)+$A$4*$A$4*RTD("tos.rtd",,"VOLUME","."&amp;E$2&amp;E$1&amp;"P"&amp;$A43)*RTD("tos.rtd",,"GAMMA","."&amp;E$2&amp;E$1&amp;"P"&amp;$A43))/1000000,($A$4*$A$4*RTD("tos.rtd",,"VOLUME","."&amp;E$2&amp;E$1&amp;"C"&amp;$A43)*RTD("tos.rtd",,"GAMMA","."&amp;E$2&amp;E$1&amp;"C"&amp;$A43)-$A$4*$A$4*RTD("tos.rtd",,"VOLUME","."&amp;E$2&amp;E$1&amp;"P"&amp;$A43)*RTD("tos.rtd",,"GAMMA","."&amp;E$2&amp;E$1&amp;"P"&amp;$A43))/1000000),0),IF($A$2="GEX",IFERROR(IF($X$1="ABS",($A$4*$A$4*RTD("tos.rtd",,"OPEN_INT","."&amp;E$2&amp;E$1&amp;"C"&amp;$A43)*RTD("tos.rtd",,"GAMMA","."&amp;E$2&amp;E$1&amp;"C"&amp;$A43)+$A$4*$A$4*RTD("tos.rtd",,"OPEN_INT","."&amp;E$2&amp;E$1&amp;"P"&amp;$A43)*RTD("tos.rtd",,"GAMMA","."&amp;E$2&amp;E$1&amp;"P"&amp;$A43))/1000000,($A$4*$A$4*RTD("tos.rtd",,"OPEN_INT","."&amp;E$2&amp;E$1&amp;"C"&amp;$A43)*RTD("tos.rtd",,"GAMMA","."&amp;E$2&amp;E$1&amp;"C"&amp;$A43)-$A$4*$A$4*RTD("tos.rtd",,"OPEN_INT","."&amp;E$2&amp;E$1&amp;"P"&amp;$A43)*RTD("tos.rtd",,"GAMMA","."&amp;E$2&amp;E$1&amp;"P"&amp;$A43))/1000000),0),IF($A$2="SKEW",IFERROR(VALUE(IF(RTD("tos.rtd",,"IMPL_VOL","."&amp;E$2&amp;E$1&amp;"P"&amp;$A43)="N/A",0,RTD("tos.rtd",,"IMPL_VOL","."&amp;E$2&amp;E$1&amp;"P"&amp;$A43))),0)-IFERROR(VALUE(IF(RTD("tos.rtd",,"IMPL_VOL","."&amp;E$2&amp;E$1&amp;"C"&amp;$A43)="N/A",0,RTD("tos.rtd",,"IMPL_VOL","."&amp;E$2&amp;E$1&amp;"C"&amp;$A43))),0),IF($A$2="MAXPAIN",IF($A$4&gt;$A43,($A$4-$A43)*IF(RTD("tos.rtd",,"OPEN_INT","."&amp;E$2&amp;E$1&amp;"C"&amp;$A43)="N/A",0,RTD("tos.rtd",,"OPEN_INT","."&amp;E$2&amp;E$1&amp;"C"&amp;$A43)),0)+IF($A$4&lt;$A43,($A$5-$A$4)*IF(RTD("tos.rtd",,"OPEN_INT","."&amp;E$2&amp;E$1&amp;"P"&amp;$A43)="N/A",0,RTD("tos.rtd",,"OPEN_INT","."&amp;E$2&amp;E$1&amp;"P"&amp;$A43)),0),IF($X$1="ABS",IF(RTD("tos.rtd",,$A$2,"."&amp;E$2&amp;E$1&amp;"C"&amp;$A43)="N/A",0,RTD("tos.rtd",,$A$2,"."&amp;E$2&amp;E$1&amp;"C"&amp;$A43))+IF(RTD("tos.rtd",,$A$2,"."&amp;E$2&amp;E$1&amp;"P"&amp;$A43)="N/A",0,RTD("tos.rtd",,$A$2,"."&amp;E$2&amp;E$1&amp;"P"&amp;$A43)),IF(RTD("tos.rtd",,$A$2,"."&amp;E$2&amp;E$1&amp;"C"&amp;$A43)="N/A",0,RTD("tos.rtd",,$A$2,"."&amp;E$2&amp;E$1&amp;"C"&amp;$A43))-IF(RTD("tos.rtd",,$A$2,"."&amp;E$2&amp;E$1&amp;"P"&amp;$A43)="N/A",0,RTD("tos.rtd",,$A$2,"."&amp;E$2&amp;E$1&amp;"P"&amp;$A43))))))))))</f>
        <v>-8</v>
      </c>
      <c r="F43" s="12">
        <f ca="1">IF($A$2="PREMIUM_OI",IFERROR(IF($X$1="ABS",(100*RTD("tos.rtd",,"OPEN_INT","."&amp;F$2&amp;F$1&amp;"C"&amp;$A43)*RTD("tos.rtd",,"LAST","."&amp;F$2&amp;F$1&amp;"C"&amp;$A43)+100*RTD("tos.rtd",,"OPEN_INT","."&amp;F$2&amp;F$1&amp;"P"&amp;$A43)*RTD("tos.rtd",,"LAST","."&amp;F$2&amp;F$1&amp;"P"&amp;$A43))/1000000,(100*RTD("tos.rtd",,"OPEN_INT","."&amp;F$2&amp;F$1&amp;"C"&amp;$A43)*RTD("tos.rtd",,"LAST","."&amp;F$2&amp;F$1&amp;"C"&amp;$A43)-100*RTD("tos.rtd",,"OPEN_INT","."&amp;F$2&amp;F$1&amp;"P"&amp;$A43)*RTD("tos.rtd",,"LAST","."&amp;F$2&amp;F$1&amp;"P"&amp;$A43))/1000000),0),IF($A$2="PREMIUM",IFERROR(IF($X$1="ABS",(100*RTD("tos.rtd",,"VOLUME","."&amp;F$2&amp;F$1&amp;"C"&amp;$A43)*RTD("tos.rtd",,"LAST","."&amp;F$2&amp;F$1&amp;"C"&amp;$A43)+100*RTD("tos.rtd",,"VOLUME","."&amp;F$2&amp;F$1&amp;"P"&amp;$A43)*RTD("tos.rtd",,"LAST","."&amp;F$2&amp;F$1&amp;"P"&amp;$A43))/1000000,(100*RTD("tos.rtd",,"VOLUME","."&amp;F$2&amp;F$1&amp;"C"&amp;$A43)*RTD("tos.rtd",,"LAST","."&amp;F$2&amp;F$1&amp;"C"&amp;$A43)-100*RTD("tos.rtd",,"VOLUME","."&amp;F$2&amp;F$1&amp;"P"&amp;$A43)*RTD("tos.rtd",,"LAST","."&amp;F$2&amp;F$1&amp;"P"&amp;$A43))/1000000),0),IF($A$2="DEX",IFERROR(IF($X$1="ABS",(100*RTD("tos.rtd",,"OPEN_INT","."&amp;F$2&amp;F$1&amp;"C"&amp;$A43)*RTD("tos.rtd",,"DELTA","."&amp;F$2&amp;F$1&amp;"C"&amp;$A43)+100*RTD("tos.rtd",,"OPEN_INT","."&amp;F$2&amp;F$1&amp;"P"&amp;$A43)*RTD("tos.rtd",,"DELTA","."&amp;F$2&amp;F$1&amp;"P"&amp;$A43))/1000,(100*RTD("tos.rtd",,"OPEN_INT","."&amp;F$2&amp;F$1&amp;"C"&amp;$A43)*RTD("tos.rtd",,"DELTA","."&amp;F$2&amp;F$1&amp;"C"&amp;$A43)-100*RTD("tos.rtd",,"OPEN_INT","."&amp;F$2&amp;F$1&amp;"P"&amp;$A43)*RTD("tos.rtd",,"DELTA","."&amp;F$2&amp;F$1&amp;"P"&amp;$A43))/1000),0),IF($A$2="VEX",IFERROR(IF($X$1="ABS",($A$4*$A$4*RTD("tos.rtd",,"VOLUME","."&amp;F$2&amp;F$1&amp;"C"&amp;$A43)*RTD("tos.rtd",,"GAMMA","."&amp;F$2&amp;F$1&amp;"C"&amp;$A43)+$A$4*$A$4*RTD("tos.rtd",,"VOLUME","."&amp;F$2&amp;F$1&amp;"P"&amp;$A43)*RTD("tos.rtd",,"GAMMA","."&amp;F$2&amp;F$1&amp;"P"&amp;$A43))/1000000,($A$4*$A$4*RTD("tos.rtd",,"VOLUME","."&amp;F$2&amp;F$1&amp;"C"&amp;$A43)*RTD("tos.rtd",,"GAMMA","."&amp;F$2&amp;F$1&amp;"C"&amp;$A43)-$A$4*$A$4*RTD("tos.rtd",,"VOLUME","."&amp;F$2&amp;F$1&amp;"P"&amp;$A43)*RTD("tos.rtd",,"GAMMA","."&amp;F$2&amp;F$1&amp;"P"&amp;$A43))/1000000),0),IF($A$2="GEX",IFERROR(IF($X$1="ABS",($A$4*$A$4*RTD("tos.rtd",,"OPEN_INT","."&amp;F$2&amp;F$1&amp;"C"&amp;$A43)*RTD("tos.rtd",,"GAMMA","."&amp;F$2&amp;F$1&amp;"C"&amp;$A43)+$A$4*$A$4*RTD("tos.rtd",,"OPEN_INT","."&amp;F$2&amp;F$1&amp;"P"&amp;$A43)*RTD("tos.rtd",,"GAMMA","."&amp;F$2&amp;F$1&amp;"P"&amp;$A43))/1000000,($A$4*$A$4*RTD("tos.rtd",,"OPEN_INT","."&amp;F$2&amp;F$1&amp;"C"&amp;$A43)*RTD("tos.rtd",,"GAMMA","."&amp;F$2&amp;F$1&amp;"C"&amp;$A43)-$A$4*$A$4*RTD("tos.rtd",,"OPEN_INT","."&amp;F$2&amp;F$1&amp;"P"&amp;$A43)*RTD("tos.rtd",,"GAMMA","."&amp;F$2&amp;F$1&amp;"P"&amp;$A43))/1000000),0),IF($A$2="SKEW",IFERROR(VALUE(IF(RTD("tos.rtd",,"IMPL_VOL","."&amp;F$2&amp;F$1&amp;"P"&amp;$A43)="N/A",0,RTD("tos.rtd",,"IMPL_VOL","."&amp;F$2&amp;F$1&amp;"P"&amp;$A43))),0)-IFERROR(VALUE(IF(RTD("tos.rtd",,"IMPL_VOL","."&amp;F$2&amp;F$1&amp;"C"&amp;$A43)="N/A",0,RTD("tos.rtd",,"IMPL_VOL","."&amp;F$2&amp;F$1&amp;"C"&amp;$A43))),0),IF($A$2="MAXPAIN",IF($A$4&gt;$A43,($A$4-$A43)*IF(RTD("tos.rtd",,"OPEN_INT","."&amp;F$2&amp;F$1&amp;"C"&amp;$A43)="N/A",0,RTD("tos.rtd",,"OPEN_INT","."&amp;F$2&amp;F$1&amp;"C"&amp;$A43)),0)+IF($A$4&lt;$A43,($A$5-$A$4)*IF(RTD("tos.rtd",,"OPEN_INT","."&amp;F$2&amp;F$1&amp;"P"&amp;$A43)="N/A",0,RTD("tos.rtd",,"OPEN_INT","."&amp;F$2&amp;F$1&amp;"P"&amp;$A43)),0),IF($X$1="ABS",IF(RTD("tos.rtd",,$A$2,"."&amp;F$2&amp;F$1&amp;"C"&amp;$A43)="N/A",0,RTD("tos.rtd",,$A$2,"."&amp;F$2&amp;F$1&amp;"C"&amp;$A43))+IF(RTD("tos.rtd",,$A$2,"."&amp;F$2&amp;F$1&amp;"P"&amp;$A43)="N/A",0,RTD("tos.rtd",,$A$2,"."&amp;F$2&amp;F$1&amp;"P"&amp;$A43)),IF(RTD("tos.rtd",,$A$2,"."&amp;F$2&amp;F$1&amp;"C"&amp;$A43)="N/A",0,RTD("tos.rtd",,$A$2,"."&amp;F$2&amp;F$1&amp;"C"&amp;$A43))-IF(RTD("tos.rtd",,$A$2,"."&amp;F$2&amp;F$1&amp;"P"&amp;$A43)="N/A",0,RTD("tos.rtd",,$A$2,"."&amp;F$2&amp;F$1&amp;"P"&amp;$A43))))))))))</f>
        <v>12</v>
      </c>
      <c r="G43" s="57">
        <f ca="1">IF($A$2="PREMIUM_OI",IFERROR(IF($X$1="ABS",(100*RTD("tos.rtd",,"OPEN_INT","."&amp;G$2&amp;G$1&amp;"C"&amp;$A43)*RTD("tos.rtd",,"LAST","."&amp;G$2&amp;G$1&amp;"C"&amp;$A43)+100*RTD("tos.rtd",,"OPEN_INT","."&amp;G$2&amp;G$1&amp;"P"&amp;$A43)*RTD("tos.rtd",,"LAST","."&amp;G$2&amp;G$1&amp;"P"&amp;$A43))/1000000,(100*RTD("tos.rtd",,"OPEN_INT","."&amp;G$2&amp;G$1&amp;"C"&amp;$A43)*RTD("tos.rtd",,"LAST","."&amp;G$2&amp;G$1&amp;"C"&amp;$A43)-100*RTD("tos.rtd",,"OPEN_INT","."&amp;G$2&amp;G$1&amp;"P"&amp;$A43)*RTD("tos.rtd",,"LAST","."&amp;G$2&amp;G$1&amp;"P"&amp;$A43))/1000000),0),IF($A$2="PREMIUM",IFERROR(IF($X$1="ABS",(100*RTD("tos.rtd",,"VOLUME","."&amp;G$2&amp;G$1&amp;"C"&amp;$A43)*RTD("tos.rtd",,"LAST","."&amp;G$2&amp;G$1&amp;"C"&amp;$A43)+100*RTD("tos.rtd",,"VOLUME","."&amp;G$2&amp;G$1&amp;"P"&amp;$A43)*RTD("tos.rtd",,"LAST","."&amp;G$2&amp;G$1&amp;"P"&amp;$A43))/1000000,(100*RTD("tos.rtd",,"VOLUME","."&amp;G$2&amp;G$1&amp;"C"&amp;$A43)*RTD("tos.rtd",,"LAST","."&amp;G$2&amp;G$1&amp;"C"&amp;$A43)-100*RTD("tos.rtd",,"VOLUME","."&amp;G$2&amp;G$1&amp;"P"&amp;$A43)*RTD("tos.rtd",,"LAST","."&amp;G$2&amp;G$1&amp;"P"&amp;$A43))/1000000),0),IF($A$2="DEX",IFERROR(IF($X$1="ABS",(100*RTD("tos.rtd",,"OPEN_INT","."&amp;G$2&amp;G$1&amp;"C"&amp;$A43)*RTD("tos.rtd",,"DELTA","."&amp;G$2&amp;G$1&amp;"C"&amp;$A43)+100*RTD("tos.rtd",,"OPEN_INT","."&amp;G$2&amp;G$1&amp;"P"&amp;$A43)*RTD("tos.rtd",,"DELTA","."&amp;G$2&amp;G$1&amp;"P"&amp;$A43))/1000,(100*RTD("tos.rtd",,"OPEN_INT","."&amp;G$2&amp;G$1&amp;"C"&amp;$A43)*RTD("tos.rtd",,"DELTA","."&amp;G$2&amp;G$1&amp;"C"&amp;$A43)-100*RTD("tos.rtd",,"OPEN_INT","."&amp;G$2&amp;G$1&amp;"P"&amp;$A43)*RTD("tos.rtd",,"DELTA","."&amp;G$2&amp;G$1&amp;"P"&amp;$A43))/1000),0),IF($A$2="VEX",IFERROR(IF($X$1="ABS",($A$4*$A$4*RTD("tos.rtd",,"VOLUME","."&amp;G$2&amp;G$1&amp;"C"&amp;$A43)*RTD("tos.rtd",,"GAMMA","."&amp;G$2&amp;G$1&amp;"C"&amp;$A43)+$A$4*$A$4*RTD("tos.rtd",,"VOLUME","."&amp;G$2&amp;G$1&amp;"P"&amp;$A43)*RTD("tos.rtd",,"GAMMA","."&amp;G$2&amp;G$1&amp;"P"&amp;$A43))/1000000,($A$4*$A$4*RTD("tos.rtd",,"VOLUME","."&amp;G$2&amp;G$1&amp;"C"&amp;$A43)*RTD("tos.rtd",,"GAMMA","."&amp;G$2&amp;G$1&amp;"C"&amp;$A43)-$A$4*$A$4*RTD("tos.rtd",,"VOLUME","."&amp;G$2&amp;G$1&amp;"P"&amp;$A43)*RTD("tos.rtd",,"GAMMA","."&amp;G$2&amp;G$1&amp;"P"&amp;$A43))/1000000),0),IF($A$2="GEX",IFERROR(IF($X$1="ABS",($A$4*$A$4*RTD("tos.rtd",,"OPEN_INT","."&amp;G$2&amp;G$1&amp;"C"&amp;$A43)*RTD("tos.rtd",,"GAMMA","."&amp;G$2&amp;G$1&amp;"C"&amp;$A43)+$A$4*$A$4*RTD("tos.rtd",,"OPEN_INT","."&amp;G$2&amp;G$1&amp;"P"&amp;$A43)*RTD("tos.rtd",,"GAMMA","."&amp;G$2&amp;G$1&amp;"P"&amp;$A43))/1000000,($A$4*$A$4*RTD("tos.rtd",,"OPEN_INT","."&amp;G$2&amp;G$1&amp;"C"&amp;$A43)*RTD("tos.rtd",,"GAMMA","."&amp;G$2&amp;G$1&amp;"C"&amp;$A43)-$A$4*$A$4*RTD("tos.rtd",,"OPEN_INT","."&amp;G$2&amp;G$1&amp;"P"&amp;$A43)*RTD("tos.rtd",,"GAMMA","."&amp;G$2&amp;G$1&amp;"P"&amp;$A43))/1000000),0),IF($A$2="SKEW",IFERROR(VALUE(IF(RTD("tos.rtd",,"IMPL_VOL","."&amp;G$2&amp;G$1&amp;"P"&amp;$A43)="N/A",0,RTD("tos.rtd",,"IMPL_VOL","."&amp;G$2&amp;G$1&amp;"P"&amp;$A43))),0)-IFERROR(VALUE(IF(RTD("tos.rtd",,"IMPL_VOL","."&amp;G$2&amp;G$1&amp;"C"&amp;$A43)="N/A",0,RTD("tos.rtd",,"IMPL_VOL","."&amp;G$2&amp;G$1&amp;"C"&amp;$A43))),0),IF($A$2="MAXPAIN",IF($A$4&gt;$A43,($A$4-$A43)*IF(RTD("tos.rtd",,"OPEN_INT","."&amp;G$2&amp;G$1&amp;"C"&amp;$A43)="N/A",0,RTD("tos.rtd",,"OPEN_INT","."&amp;G$2&amp;G$1&amp;"C"&amp;$A43)),0)+IF($A$4&lt;$A43,($A$5-$A$4)*IF(RTD("tos.rtd",,"OPEN_INT","."&amp;G$2&amp;G$1&amp;"P"&amp;$A43)="N/A",0,RTD("tos.rtd",,"OPEN_INT","."&amp;G$2&amp;G$1&amp;"P"&amp;$A43)),0),IF($X$1="ABS",IF(RTD("tos.rtd",,$A$2,"."&amp;G$2&amp;G$1&amp;"C"&amp;$A43)="N/A",0,RTD("tos.rtd",,$A$2,"."&amp;G$2&amp;G$1&amp;"C"&amp;$A43))+IF(RTD("tos.rtd",,$A$2,"."&amp;G$2&amp;G$1&amp;"P"&amp;$A43)="N/A",0,RTD("tos.rtd",,$A$2,"."&amp;G$2&amp;G$1&amp;"P"&amp;$A43)),IF(RTD("tos.rtd",,$A$2,"."&amp;G$2&amp;G$1&amp;"C"&amp;$A43)="N/A",0,RTD("tos.rtd",,$A$2,"."&amp;G$2&amp;G$1&amp;"C"&amp;$A43))-IF(RTD("tos.rtd",,$A$2,"."&amp;G$2&amp;G$1&amp;"P"&amp;$A43)="N/A",0,RTD("tos.rtd",,$A$2,"."&amp;G$2&amp;G$1&amp;"P"&amp;$A43))))))))))</f>
        <v>-22</v>
      </c>
      <c r="H43" s="14">
        <f ca="1">IF($A$2="PREMIUM_OI",IFERROR(IF($X$1="ABS",(100*RTD("tos.rtd",,"OPEN_INT","."&amp;H$2&amp;H$1&amp;"C"&amp;$A43)*RTD("tos.rtd",,"LAST","."&amp;H$2&amp;H$1&amp;"C"&amp;$A43)+100*RTD("tos.rtd",,"OPEN_INT","."&amp;H$2&amp;H$1&amp;"P"&amp;$A43)*RTD("tos.rtd",,"LAST","."&amp;H$2&amp;H$1&amp;"P"&amp;$A43))/1000000,(100*RTD("tos.rtd",,"OPEN_INT","."&amp;H$2&amp;H$1&amp;"C"&amp;$A43)*RTD("tos.rtd",,"LAST","."&amp;H$2&amp;H$1&amp;"C"&amp;$A43)-100*RTD("tos.rtd",,"OPEN_INT","."&amp;H$2&amp;H$1&amp;"P"&amp;$A43)*RTD("tos.rtd",,"LAST","."&amp;H$2&amp;H$1&amp;"P"&amp;$A43))/1000000),0),IF($A$2="PREMIUM",IFERROR(IF($X$1="ABS",(100*RTD("tos.rtd",,"VOLUME","."&amp;H$2&amp;H$1&amp;"C"&amp;$A43)*RTD("tos.rtd",,"LAST","."&amp;H$2&amp;H$1&amp;"C"&amp;$A43)+100*RTD("tos.rtd",,"VOLUME","."&amp;H$2&amp;H$1&amp;"P"&amp;$A43)*RTD("tos.rtd",,"LAST","."&amp;H$2&amp;H$1&amp;"P"&amp;$A43))/1000000,(100*RTD("tos.rtd",,"VOLUME","."&amp;H$2&amp;H$1&amp;"C"&amp;$A43)*RTD("tos.rtd",,"LAST","."&amp;H$2&amp;H$1&amp;"C"&amp;$A43)-100*RTD("tos.rtd",,"VOLUME","."&amp;H$2&amp;H$1&amp;"P"&amp;$A43)*RTD("tos.rtd",,"LAST","."&amp;H$2&amp;H$1&amp;"P"&amp;$A43))/1000000),0),IF($A$2="DEX",IFERROR(IF($X$1="ABS",(100*RTD("tos.rtd",,"OPEN_INT","."&amp;H$2&amp;H$1&amp;"C"&amp;$A43)*RTD("tos.rtd",,"DELTA","."&amp;H$2&amp;H$1&amp;"C"&amp;$A43)+100*RTD("tos.rtd",,"OPEN_INT","."&amp;H$2&amp;H$1&amp;"P"&amp;$A43)*RTD("tos.rtd",,"DELTA","."&amp;H$2&amp;H$1&amp;"P"&amp;$A43))/1000,(100*RTD("tos.rtd",,"OPEN_INT","."&amp;H$2&amp;H$1&amp;"C"&amp;$A43)*RTD("tos.rtd",,"DELTA","."&amp;H$2&amp;H$1&amp;"C"&amp;$A43)-100*RTD("tos.rtd",,"OPEN_INT","."&amp;H$2&amp;H$1&amp;"P"&amp;$A43)*RTD("tos.rtd",,"DELTA","."&amp;H$2&amp;H$1&amp;"P"&amp;$A43))/1000),0),IF($A$2="VEX",IFERROR(IF($X$1="ABS",($A$4*$A$4*RTD("tos.rtd",,"VOLUME","."&amp;H$2&amp;H$1&amp;"C"&amp;$A43)*RTD("tos.rtd",,"GAMMA","."&amp;H$2&amp;H$1&amp;"C"&amp;$A43)+$A$4*$A$4*RTD("tos.rtd",,"VOLUME","."&amp;H$2&amp;H$1&amp;"P"&amp;$A43)*RTD("tos.rtd",,"GAMMA","."&amp;H$2&amp;H$1&amp;"P"&amp;$A43))/1000000,($A$4*$A$4*RTD("tos.rtd",,"VOLUME","."&amp;H$2&amp;H$1&amp;"C"&amp;$A43)*RTD("tos.rtd",,"GAMMA","."&amp;H$2&amp;H$1&amp;"C"&amp;$A43)-$A$4*$A$4*RTD("tos.rtd",,"VOLUME","."&amp;H$2&amp;H$1&amp;"P"&amp;$A43)*RTD("tos.rtd",,"GAMMA","."&amp;H$2&amp;H$1&amp;"P"&amp;$A43))/1000000),0),IF($A$2="GEX",IFERROR(IF($X$1="ABS",($A$4*$A$4*RTD("tos.rtd",,"OPEN_INT","."&amp;H$2&amp;H$1&amp;"C"&amp;$A43)*RTD("tos.rtd",,"GAMMA","."&amp;H$2&amp;H$1&amp;"C"&amp;$A43)+$A$4*$A$4*RTD("tos.rtd",,"OPEN_INT","."&amp;H$2&amp;H$1&amp;"P"&amp;$A43)*RTD("tos.rtd",,"GAMMA","."&amp;H$2&amp;H$1&amp;"P"&amp;$A43))/1000000,($A$4*$A$4*RTD("tos.rtd",,"OPEN_INT","."&amp;H$2&amp;H$1&amp;"C"&amp;$A43)*RTD("tos.rtd",,"GAMMA","."&amp;H$2&amp;H$1&amp;"C"&amp;$A43)-$A$4*$A$4*RTD("tos.rtd",,"OPEN_INT","."&amp;H$2&amp;H$1&amp;"P"&amp;$A43)*RTD("tos.rtd",,"GAMMA","."&amp;H$2&amp;H$1&amp;"P"&amp;$A43))/1000000),0),IF($A$2="SKEW",IFERROR(VALUE(IF(RTD("tos.rtd",,"IMPL_VOL","."&amp;H$2&amp;H$1&amp;"P"&amp;$A43)="N/A",0,RTD("tos.rtd",,"IMPL_VOL","."&amp;H$2&amp;H$1&amp;"P"&amp;$A43))),0)-IFERROR(VALUE(IF(RTD("tos.rtd",,"IMPL_VOL","."&amp;H$2&amp;H$1&amp;"C"&amp;$A43)="N/A",0,RTD("tos.rtd",,"IMPL_VOL","."&amp;H$2&amp;H$1&amp;"C"&amp;$A43))),0),IF($A$2="MAXPAIN",IF($A$4&gt;$A43,($A$4-$A43)*IF(RTD("tos.rtd",,"OPEN_INT","."&amp;H$2&amp;H$1&amp;"C"&amp;$A43)="N/A",0,RTD("tos.rtd",,"OPEN_INT","."&amp;H$2&amp;H$1&amp;"C"&amp;$A43)),0)+IF($A$4&lt;$A43,($A$5-$A$4)*IF(RTD("tos.rtd",,"OPEN_INT","."&amp;H$2&amp;H$1&amp;"P"&amp;$A43)="N/A",0,RTD("tos.rtd",,"OPEN_INT","."&amp;H$2&amp;H$1&amp;"P"&amp;$A43)),0),IF($X$1="ABS",IF(RTD("tos.rtd",,$A$2,"."&amp;H$2&amp;H$1&amp;"C"&amp;$A43)="N/A",0,RTD("tos.rtd",,$A$2,"."&amp;H$2&amp;H$1&amp;"C"&amp;$A43))+IF(RTD("tos.rtd",,$A$2,"."&amp;H$2&amp;H$1&amp;"P"&amp;$A43)="N/A",0,RTD("tos.rtd",,$A$2,"."&amp;H$2&amp;H$1&amp;"P"&amp;$A43)),IF(RTD("tos.rtd",,$A$2,"."&amp;H$2&amp;H$1&amp;"C"&amp;$A43)="N/A",0,RTD("tos.rtd",,$A$2,"."&amp;H$2&amp;H$1&amp;"C"&amp;$A43))-IF(RTD("tos.rtd",,$A$2,"."&amp;H$2&amp;H$1&amp;"P"&amp;$A43)="N/A",0,RTD("tos.rtd",,$A$2,"."&amp;H$2&amp;H$1&amp;"P"&amp;$A43))))))))))</f>
        <v>0</v>
      </c>
      <c r="I43" s="12">
        <f ca="1">IF($A$2="PREMIUM_OI",IFERROR(IF($X$1="ABS",(100*RTD("tos.rtd",,"OPEN_INT","."&amp;I$2&amp;I$1&amp;"C"&amp;$A43)*RTD("tos.rtd",,"LAST","."&amp;I$2&amp;I$1&amp;"C"&amp;$A43)+100*RTD("tos.rtd",,"OPEN_INT","."&amp;I$2&amp;I$1&amp;"P"&amp;$A43)*RTD("tos.rtd",,"LAST","."&amp;I$2&amp;I$1&amp;"P"&amp;$A43))/1000000,(100*RTD("tos.rtd",,"OPEN_INT","."&amp;I$2&amp;I$1&amp;"C"&amp;$A43)*RTD("tos.rtd",,"LAST","."&amp;I$2&amp;I$1&amp;"C"&amp;$A43)-100*RTD("tos.rtd",,"OPEN_INT","."&amp;I$2&amp;I$1&amp;"P"&amp;$A43)*RTD("tos.rtd",,"LAST","."&amp;I$2&amp;I$1&amp;"P"&amp;$A43))/1000000),0),IF($A$2="PREMIUM",IFERROR(IF($X$1="ABS",(100*RTD("tos.rtd",,"VOLUME","."&amp;I$2&amp;I$1&amp;"C"&amp;$A43)*RTD("tos.rtd",,"LAST","."&amp;I$2&amp;I$1&amp;"C"&amp;$A43)+100*RTD("tos.rtd",,"VOLUME","."&amp;I$2&amp;I$1&amp;"P"&amp;$A43)*RTD("tos.rtd",,"LAST","."&amp;I$2&amp;I$1&amp;"P"&amp;$A43))/1000000,(100*RTD("tos.rtd",,"VOLUME","."&amp;I$2&amp;I$1&amp;"C"&amp;$A43)*RTD("tos.rtd",,"LAST","."&amp;I$2&amp;I$1&amp;"C"&amp;$A43)-100*RTD("tos.rtd",,"VOLUME","."&amp;I$2&amp;I$1&amp;"P"&amp;$A43)*RTD("tos.rtd",,"LAST","."&amp;I$2&amp;I$1&amp;"P"&amp;$A43))/1000000),0),IF($A$2="DEX",IFERROR(IF($X$1="ABS",(100*RTD("tos.rtd",,"OPEN_INT","."&amp;I$2&amp;I$1&amp;"C"&amp;$A43)*RTD("tos.rtd",,"DELTA","."&amp;I$2&amp;I$1&amp;"C"&amp;$A43)+100*RTD("tos.rtd",,"OPEN_INT","."&amp;I$2&amp;I$1&amp;"P"&amp;$A43)*RTD("tos.rtd",,"DELTA","."&amp;I$2&amp;I$1&amp;"P"&amp;$A43))/1000,(100*RTD("tos.rtd",,"OPEN_INT","."&amp;I$2&amp;I$1&amp;"C"&amp;$A43)*RTD("tos.rtd",,"DELTA","."&amp;I$2&amp;I$1&amp;"C"&amp;$A43)-100*RTD("tos.rtd",,"OPEN_INT","."&amp;I$2&amp;I$1&amp;"P"&amp;$A43)*RTD("tos.rtd",,"DELTA","."&amp;I$2&amp;I$1&amp;"P"&amp;$A43))/1000),0),IF($A$2="VEX",IFERROR(IF($X$1="ABS",($A$4*$A$4*RTD("tos.rtd",,"VOLUME","."&amp;I$2&amp;I$1&amp;"C"&amp;$A43)*RTD("tos.rtd",,"GAMMA","."&amp;I$2&amp;I$1&amp;"C"&amp;$A43)+$A$4*$A$4*RTD("tos.rtd",,"VOLUME","."&amp;I$2&amp;I$1&amp;"P"&amp;$A43)*RTD("tos.rtd",,"GAMMA","."&amp;I$2&amp;I$1&amp;"P"&amp;$A43))/1000000,($A$4*$A$4*RTD("tos.rtd",,"VOLUME","."&amp;I$2&amp;I$1&amp;"C"&amp;$A43)*RTD("tos.rtd",,"GAMMA","."&amp;I$2&amp;I$1&amp;"C"&amp;$A43)-$A$4*$A$4*RTD("tos.rtd",,"VOLUME","."&amp;I$2&amp;I$1&amp;"P"&amp;$A43)*RTD("tos.rtd",,"GAMMA","."&amp;I$2&amp;I$1&amp;"P"&amp;$A43))/1000000),0),IF($A$2="GEX",IFERROR(IF($X$1="ABS",($A$4*$A$4*RTD("tos.rtd",,"OPEN_INT","."&amp;I$2&amp;I$1&amp;"C"&amp;$A43)*RTD("tos.rtd",,"GAMMA","."&amp;I$2&amp;I$1&amp;"C"&amp;$A43)+$A$4*$A$4*RTD("tos.rtd",,"OPEN_INT","."&amp;I$2&amp;I$1&amp;"P"&amp;$A43)*RTD("tos.rtd",,"GAMMA","."&amp;I$2&amp;I$1&amp;"P"&amp;$A43))/1000000,($A$4*$A$4*RTD("tos.rtd",,"OPEN_INT","."&amp;I$2&amp;I$1&amp;"C"&amp;$A43)*RTD("tos.rtd",,"GAMMA","."&amp;I$2&amp;I$1&amp;"C"&amp;$A43)-$A$4*$A$4*RTD("tos.rtd",,"OPEN_INT","."&amp;I$2&amp;I$1&amp;"P"&amp;$A43)*RTD("tos.rtd",,"GAMMA","."&amp;I$2&amp;I$1&amp;"P"&amp;$A43))/1000000),0),IF($A$2="SKEW",IFERROR(VALUE(IF(RTD("tos.rtd",,"IMPL_VOL","."&amp;I$2&amp;I$1&amp;"P"&amp;$A43)="N/A",0,RTD("tos.rtd",,"IMPL_VOL","."&amp;I$2&amp;I$1&amp;"P"&amp;$A43))),0)-IFERROR(VALUE(IF(RTD("tos.rtd",,"IMPL_VOL","."&amp;I$2&amp;I$1&amp;"C"&amp;$A43)="N/A",0,RTD("tos.rtd",,"IMPL_VOL","."&amp;I$2&amp;I$1&amp;"C"&amp;$A43))),0),IF($A$2="MAXPAIN",IF($A$4&gt;$A43,($A$4-$A43)*IF(RTD("tos.rtd",,"OPEN_INT","."&amp;I$2&amp;I$1&amp;"C"&amp;$A43)="N/A",0,RTD("tos.rtd",,"OPEN_INT","."&amp;I$2&amp;I$1&amp;"C"&amp;$A43)),0)+IF($A$4&lt;$A43,($A$5-$A$4)*IF(RTD("tos.rtd",,"OPEN_INT","."&amp;I$2&amp;I$1&amp;"P"&amp;$A43)="N/A",0,RTD("tos.rtd",,"OPEN_INT","."&amp;I$2&amp;I$1&amp;"P"&amp;$A43)),0),IF($X$1="ABS",IF(RTD("tos.rtd",,$A$2,"."&amp;I$2&amp;I$1&amp;"C"&amp;$A43)="N/A",0,RTD("tos.rtd",,$A$2,"."&amp;I$2&amp;I$1&amp;"C"&amp;$A43))+IF(RTD("tos.rtd",,$A$2,"."&amp;I$2&amp;I$1&amp;"P"&amp;$A43)="N/A",0,RTD("tos.rtd",,$A$2,"."&amp;I$2&amp;I$1&amp;"P"&amp;$A43)),IF(RTD("tos.rtd",,$A$2,"."&amp;I$2&amp;I$1&amp;"C"&amp;$A43)="N/A",0,RTD("tos.rtd",,$A$2,"."&amp;I$2&amp;I$1&amp;"C"&amp;$A43))-IF(RTD("tos.rtd",,$A$2,"."&amp;I$2&amp;I$1&amp;"P"&amp;$A43)="N/A",0,RTD("tos.rtd",,$A$2,"."&amp;I$2&amp;I$1&amp;"P"&amp;$A43))))))))))</f>
        <v>1</v>
      </c>
      <c r="J43" s="12">
        <f ca="1">IF($A$2="PREMIUM_OI",IFERROR(IF($X$1="ABS",(100*RTD("tos.rtd",,"OPEN_INT","."&amp;J$2&amp;J$1&amp;"C"&amp;$A43)*RTD("tos.rtd",,"LAST","."&amp;J$2&amp;J$1&amp;"C"&amp;$A43)+100*RTD("tos.rtd",,"OPEN_INT","."&amp;J$2&amp;J$1&amp;"P"&amp;$A43)*RTD("tos.rtd",,"LAST","."&amp;J$2&amp;J$1&amp;"P"&amp;$A43))/1000000,(100*RTD("tos.rtd",,"OPEN_INT","."&amp;J$2&amp;J$1&amp;"C"&amp;$A43)*RTD("tos.rtd",,"LAST","."&amp;J$2&amp;J$1&amp;"C"&amp;$A43)-100*RTD("tos.rtd",,"OPEN_INT","."&amp;J$2&amp;J$1&amp;"P"&amp;$A43)*RTD("tos.rtd",,"LAST","."&amp;J$2&amp;J$1&amp;"P"&amp;$A43))/1000000),0),IF($A$2="PREMIUM",IFERROR(IF($X$1="ABS",(100*RTD("tos.rtd",,"VOLUME","."&amp;J$2&amp;J$1&amp;"C"&amp;$A43)*RTD("tos.rtd",,"LAST","."&amp;J$2&amp;J$1&amp;"C"&amp;$A43)+100*RTD("tos.rtd",,"VOLUME","."&amp;J$2&amp;J$1&amp;"P"&amp;$A43)*RTD("tos.rtd",,"LAST","."&amp;J$2&amp;J$1&amp;"P"&amp;$A43))/1000000,(100*RTD("tos.rtd",,"VOLUME","."&amp;J$2&amp;J$1&amp;"C"&amp;$A43)*RTD("tos.rtd",,"LAST","."&amp;J$2&amp;J$1&amp;"C"&amp;$A43)-100*RTD("tos.rtd",,"VOLUME","."&amp;J$2&amp;J$1&amp;"P"&amp;$A43)*RTD("tos.rtd",,"LAST","."&amp;J$2&amp;J$1&amp;"P"&amp;$A43))/1000000),0),IF($A$2="DEX",IFERROR(IF($X$1="ABS",(100*RTD("tos.rtd",,"OPEN_INT","."&amp;J$2&amp;J$1&amp;"C"&amp;$A43)*RTD("tos.rtd",,"DELTA","."&amp;J$2&amp;J$1&amp;"C"&amp;$A43)+100*RTD("tos.rtd",,"OPEN_INT","."&amp;J$2&amp;J$1&amp;"P"&amp;$A43)*RTD("tos.rtd",,"DELTA","."&amp;J$2&amp;J$1&amp;"P"&amp;$A43))/1000,(100*RTD("tos.rtd",,"OPEN_INT","."&amp;J$2&amp;J$1&amp;"C"&amp;$A43)*RTD("tos.rtd",,"DELTA","."&amp;J$2&amp;J$1&amp;"C"&amp;$A43)-100*RTD("tos.rtd",,"OPEN_INT","."&amp;J$2&amp;J$1&amp;"P"&amp;$A43)*RTD("tos.rtd",,"DELTA","."&amp;J$2&amp;J$1&amp;"P"&amp;$A43))/1000),0),IF($A$2="VEX",IFERROR(IF($X$1="ABS",($A$4*$A$4*RTD("tos.rtd",,"VOLUME","."&amp;J$2&amp;J$1&amp;"C"&amp;$A43)*RTD("tos.rtd",,"GAMMA","."&amp;J$2&amp;J$1&amp;"C"&amp;$A43)+$A$4*$A$4*RTD("tos.rtd",,"VOLUME","."&amp;J$2&amp;J$1&amp;"P"&amp;$A43)*RTD("tos.rtd",,"GAMMA","."&amp;J$2&amp;J$1&amp;"P"&amp;$A43))/1000000,($A$4*$A$4*RTD("tos.rtd",,"VOLUME","."&amp;J$2&amp;J$1&amp;"C"&amp;$A43)*RTD("tos.rtd",,"GAMMA","."&amp;J$2&amp;J$1&amp;"C"&amp;$A43)-$A$4*$A$4*RTD("tos.rtd",,"VOLUME","."&amp;J$2&amp;J$1&amp;"P"&amp;$A43)*RTD("tos.rtd",,"GAMMA","."&amp;J$2&amp;J$1&amp;"P"&amp;$A43))/1000000),0),IF($A$2="GEX",IFERROR(IF($X$1="ABS",($A$4*$A$4*RTD("tos.rtd",,"OPEN_INT","."&amp;J$2&amp;J$1&amp;"C"&amp;$A43)*RTD("tos.rtd",,"GAMMA","."&amp;J$2&amp;J$1&amp;"C"&amp;$A43)+$A$4*$A$4*RTD("tos.rtd",,"OPEN_INT","."&amp;J$2&amp;J$1&amp;"P"&amp;$A43)*RTD("tos.rtd",,"GAMMA","."&amp;J$2&amp;J$1&amp;"P"&amp;$A43))/1000000,($A$4*$A$4*RTD("tos.rtd",,"OPEN_INT","."&amp;J$2&amp;J$1&amp;"C"&amp;$A43)*RTD("tos.rtd",,"GAMMA","."&amp;J$2&amp;J$1&amp;"C"&amp;$A43)-$A$4*$A$4*RTD("tos.rtd",,"OPEN_INT","."&amp;J$2&amp;J$1&amp;"P"&amp;$A43)*RTD("tos.rtd",,"GAMMA","."&amp;J$2&amp;J$1&amp;"P"&amp;$A43))/1000000),0),IF($A$2="SKEW",IFERROR(VALUE(IF(RTD("tos.rtd",,"IMPL_VOL","."&amp;J$2&amp;J$1&amp;"P"&amp;$A43)="N/A",0,RTD("tos.rtd",,"IMPL_VOL","."&amp;J$2&amp;J$1&amp;"P"&amp;$A43))),0)-IFERROR(VALUE(IF(RTD("tos.rtd",,"IMPL_VOL","."&amp;J$2&amp;J$1&amp;"C"&amp;$A43)="N/A",0,RTD("tos.rtd",,"IMPL_VOL","."&amp;J$2&amp;J$1&amp;"C"&amp;$A43))),0),IF($A$2="MAXPAIN",IF($A$4&gt;$A43,($A$4-$A43)*IF(RTD("tos.rtd",,"OPEN_INT","."&amp;J$2&amp;J$1&amp;"C"&amp;$A43)="N/A",0,RTD("tos.rtd",,"OPEN_INT","."&amp;J$2&amp;J$1&amp;"C"&amp;$A43)),0)+IF($A$4&lt;$A43,($A$5-$A$4)*IF(RTD("tos.rtd",,"OPEN_INT","."&amp;J$2&amp;J$1&amp;"P"&amp;$A43)="N/A",0,RTD("tos.rtd",,"OPEN_INT","."&amp;J$2&amp;J$1&amp;"P"&amp;$A43)),0),IF($X$1="ABS",IF(RTD("tos.rtd",,$A$2,"."&amp;J$2&amp;J$1&amp;"C"&amp;$A43)="N/A",0,RTD("tos.rtd",,$A$2,"."&amp;J$2&amp;J$1&amp;"C"&amp;$A43))+IF(RTD("tos.rtd",,$A$2,"."&amp;J$2&amp;J$1&amp;"P"&amp;$A43)="N/A",0,RTD("tos.rtd",,$A$2,"."&amp;J$2&amp;J$1&amp;"P"&amp;$A43)),IF(RTD("tos.rtd",,$A$2,"."&amp;J$2&amp;J$1&amp;"C"&amp;$A43)="N/A",0,RTD("tos.rtd",,$A$2,"."&amp;J$2&amp;J$1&amp;"C"&amp;$A43))-IF(RTD("tos.rtd",,$A$2,"."&amp;J$2&amp;J$1&amp;"P"&amp;$A43)="N/A",0,RTD("tos.rtd",,$A$2,"."&amp;J$2&amp;J$1&amp;"P"&amp;$A43))))))))))</f>
        <v>0</v>
      </c>
      <c r="K43" s="12">
        <f ca="1">IF($A$2="PREMIUM_OI",IFERROR(IF($X$1="ABS",(100*RTD("tos.rtd",,"OPEN_INT","."&amp;K$2&amp;K$1&amp;"C"&amp;$A43)*RTD("tos.rtd",,"LAST","."&amp;K$2&amp;K$1&amp;"C"&amp;$A43)+100*RTD("tos.rtd",,"OPEN_INT","."&amp;K$2&amp;K$1&amp;"P"&amp;$A43)*RTD("tos.rtd",,"LAST","."&amp;K$2&amp;K$1&amp;"P"&amp;$A43))/1000000,(100*RTD("tos.rtd",,"OPEN_INT","."&amp;K$2&amp;K$1&amp;"C"&amp;$A43)*RTD("tos.rtd",,"LAST","."&amp;K$2&amp;K$1&amp;"C"&amp;$A43)-100*RTD("tos.rtd",,"OPEN_INT","."&amp;K$2&amp;K$1&amp;"P"&amp;$A43)*RTD("tos.rtd",,"LAST","."&amp;K$2&amp;K$1&amp;"P"&amp;$A43))/1000000),0),IF($A$2="PREMIUM",IFERROR(IF($X$1="ABS",(100*RTD("tos.rtd",,"VOLUME","."&amp;K$2&amp;K$1&amp;"C"&amp;$A43)*RTD("tos.rtd",,"LAST","."&amp;K$2&amp;K$1&amp;"C"&amp;$A43)+100*RTD("tos.rtd",,"VOLUME","."&amp;K$2&amp;K$1&amp;"P"&amp;$A43)*RTD("tos.rtd",,"LAST","."&amp;K$2&amp;K$1&amp;"P"&amp;$A43))/1000000,(100*RTD("tos.rtd",,"VOLUME","."&amp;K$2&amp;K$1&amp;"C"&amp;$A43)*RTD("tos.rtd",,"LAST","."&amp;K$2&amp;K$1&amp;"C"&amp;$A43)-100*RTD("tos.rtd",,"VOLUME","."&amp;K$2&amp;K$1&amp;"P"&amp;$A43)*RTD("tos.rtd",,"LAST","."&amp;K$2&amp;K$1&amp;"P"&amp;$A43))/1000000),0),IF($A$2="DEX",IFERROR(IF($X$1="ABS",(100*RTD("tos.rtd",,"OPEN_INT","."&amp;K$2&amp;K$1&amp;"C"&amp;$A43)*RTD("tos.rtd",,"DELTA","."&amp;K$2&amp;K$1&amp;"C"&amp;$A43)+100*RTD("tos.rtd",,"OPEN_INT","."&amp;K$2&amp;K$1&amp;"P"&amp;$A43)*RTD("tos.rtd",,"DELTA","."&amp;K$2&amp;K$1&amp;"P"&amp;$A43))/1000,(100*RTD("tos.rtd",,"OPEN_INT","."&amp;K$2&amp;K$1&amp;"C"&amp;$A43)*RTD("tos.rtd",,"DELTA","."&amp;K$2&amp;K$1&amp;"C"&amp;$A43)-100*RTD("tos.rtd",,"OPEN_INT","."&amp;K$2&amp;K$1&amp;"P"&amp;$A43)*RTD("tos.rtd",,"DELTA","."&amp;K$2&amp;K$1&amp;"P"&amp;$A43))/1000),0),IF($A$2="VEX",IFERROR(IF($X$1="ABS",($A$4*$A$4*RTD("tos.rtd",,"VOLUME","."&amp;K$2&amp;K$1&amp;"C"&amp;$A43)*RTD("tos.rtd",,"GAMMA","."&amp;K$2&amp;K$1&amp;"C"&amp;$A43)+$A$4*$A$4*RTD("tos.rtd",,"VOLUME","."&amp;K$2&amp;K$1&amp;"P"&amp;$A43)*RTD("tos.rtd",,"GAMMA","."&amp;K$2&amp;K$1&amp;"P"&amp;$A43))/1000000,($A$4*$A$4*RTD("tos.rtd",,"VOLUME","."&amp;K$2&amp;K$1&amp;"C"&amp;$A43)*RTD("tos.rtd",,"GAMMA","."&amp;K$2&amp;K$1&amp;"C"&amp;$A43)-$A$4*$A$4*RTD("tos.rtd",,"VOLUME","."&amp;K$2&amp;K$1&amp;"P"&amp;$A43)*RTD("tos.rtd",,"GAMMA","."&amp;K$2&amp;K$1&amp;"P"&amp;$A43))/1000000),0),IF($A$2="GEX",IFERROR(IF($X$1="ABS",($A$4*$A$4*RTD("tos.rtd",,"OPEN_INT","."&amp;K$2&amp;K$1&amp;"C"&amp;$A43)*RTD("tos.rtd",,"GAMMA","."&amp;K$2&amp;K$1&amp;"C"&amp;$A43)+$A$4*$A$4*RTD("tos.rtd",,"OPEN_INT","."&amp;K$2&amp;K$1&amp;"P"&amp;$A43)*RTD("tos.rtd",,"GAMMA","."&amp;K$2&amp;K$1&amp;"P"&amp;$A43))/1000000,($A$4*$A$4*RTD("tos.rtd",,"OPEN_INT","."&amp;K$2&amp;K$1&amp;"C"&amp;$A43)*RTD("tos.rtd",,"GAMMA","."&amp;K$2&amp;K$1&amp;"C"&amp;$A43)-$A$4*$A$4*RTD("tos.rtd",,"OPEN_INT","."&amp;K$2&amp;K$1&amp;"P"&amp;$A43)*RTD("tos.rtd",,"GAMMA","."&amp;K$2&amp;K$1&amp;"P"&amp;$A43))/1000000),0),IF($A$2="SKEW",IFERROR(VALUE(IF(RTD("tos.rtd",,"IMPL_VOL","."&amp;K$2&amp;K$1&amp;"P"&amp;$A43)="N/A",0,RTD("tos.rtd",,"IMPL_VOL","."&amp;K$2&amp;K$1&amp;"P"&amp;$A43))),0)-IFERROR(VALUE(IF(RTD("tos.rtd",,"IMPL_VOL","."&amp;K$2&amp;K$1&amp;"C"&amp;$A43)="N/A",0,RTD("tos.rtd",,"IMPL_VOL","."&amp;K$2&amp;K$1&amp;"C"&amp;$A43))),0),IF($A$2="MAXPAIN",IF($A$4&gt;$A43,($A$4-$A43)*IF(RTD("tos.rtd",,"OPEN_INT","."&amp;K$2&amp;K$1&amp;"C"&amp;$A43)="N/A",0,RTD("tos.rtd",,"OPEN_INT","."&amp;K$2&amp;K$1&amp;"C"&amp;$A43)),0)+IF($A$4&lt;$A43,($A$5-$A$4)*IF(RTD("tos.rtd",,"OPEN_INT","."&amp;K$2&amp;K$1&amp;"P"&amp;$A43)="N/A",0,RTD("tos.rtd",,"OPEN_INT","."&amp;K$2&amp;K$1&amp;"P"&amp;$A43)),0),IF($X$1="ABS",IF(RTD("tos.rtd",,$A$2,"."&amp;K$2&amp;K$1&amp;"C"&amp;$A43)="N/A",0,RTD("tos.rtd",,$A$2,"."&amp;K$2&amp;K$1&amp;"C"&amp;$A43))+IF(RTD("tos.rtd",,$A$2,"."&amp;K$2&amp;K$1&amp;"P"&amp;$A43)="N/A",0,RTD("tos.rtd",,$A$2,"."&amp;K$2&amp;K$1&amp;"P"&amp;$A43)),IF(RTD("tos.rtd",,$A$2,"."&amp;K$2&amp;K$1&amp;"C"&amp;$A43)="N/A",0,RTD("tos.rtd",,$A$2,"."&amp;K$2&amp;K$1&amp;"C"&amp;$A43))-IF(RTD("tos.rtd",,$A$2,"."&amp;K$2&amp;K$1&amp;"P"&amp;$A43)="N/A",0,RTD("tos.rtd",,$A$2,"."&amp;K$2&amp;K$1&amp;"P"&amp;$A43))))))))))</f>
        <v>0</v>
      </c>
      <c r="L43" s="54">
        <f ca="1">IF($A$2="PREMIUM_OI",IFERROR(IF($X$1="ABS",(100*RTD("tos.rtd",,"OPEN_INT","."&amp;L$2&amp;L$1&amp;"C"&amp;$A43)*RTD("tos.rtd",,"LAST","."&amp;L$2&amp;L$1&amp;"C"&amp;$A43)+100*RTD("tos.rtd",,"OPEN_INT","."&amp;L$2&amp;L$1&amp;"P"&amp;$A43)*RTD("tos.rtd",,"LAST","."&amp;L$2&amp;L$1&amp;"P"&amp;$A43))/1000000,(100*RTD("tos.rtd",,"OPEN_INT","."&amp;L$2&amp;L$1&amp;"C"&amp;$A43)*RTD("tos.rtd",,"LAST","."&amp;L$2&amp;L$1&amp;"C"&amp;$A43)-100*RTD("tos.rtd",,"OPEN_INT","."&amp;L$2&amp;L$1&amp;"P"&amp;$A43)*RTD("tos.rtd",,"LAST","."&amp;L$2&amp;L$1&amp;"P"&amp;$A43))/1000000),0),IF($A$2="PREMIUM",IFERROR(IF($X$1="ABS",(100*RTD("tos.rtd",,"VOLUME","."&amp;L$2&amp;L$1&amp;"C"&amp;$A43)*RTD("tos.rtd",,"LAST","."&amp;L$2&amp;L$1&amp;"C"&amp;$A43)+100*RTD("tos.rtd",,"VOLUME","."&amp;L$2&amp;L$1&amp;"P"&amp;$A43)*RTD("tos.rtd",,"LAST","."&amp;L$2&amp;L$1&amp;"P"&amp;$A43))/1000000,(100*RTD("tos.rtd",,"VOLUME","."&amp;L$2&amp;L$1&amp;"C"&amp;$A43)*RTD("tos.rtd",,"LAST","."&amp;L$2&amp;L$1&amp;"C"&amp;$A43)-100*RTD("tos.rtd",,"VOLUME","."&amp;L$2&amp;L$1&amp;"P"&amp;$A43)*RTD("tos.rtd",,"LAST","."&amp;L$2&amp;L$1&amp;"P"&amp;$A43))/1000000),0),IF($A$2="DEX",IFERROR(IF($X$1="ABS",(100*RTD("tos.rtd",,"OPEN_INT","."&amp;L$2&amp;L$1&amp;"C"&amp;$A43)*RTD("tos.rtd",,"DELTA","."&amp;L$2&amp;L$1&amp;"C"&amp;$A43)+100*RTD("tos.rtd",,"OPEN_INT","."&amp;L$2&amp;L$1&amp;"P"&amp;$A43)*RTD("tos.rtd",,"DELTA","."&amp;L$2&amp;L$1&amp;"P"&amp;$A43))/1000,(100*RTD("tos.rtd",,"OPEN_INT","."&amp;L$2&amp;L$1&amp;"C"&amp;$A43)*RTD("tos.rtd",,"DELTA","."&amp;L$2&amp;L$1&amp;"C"&amp;$A43)-100*RTD("tos.rtd",,"OPEN_INT","."&amp;L$2&amp;L$1&amp;"P"&amp;$A43)*RTD("tos.rtd",,"DELTA","."&amp;L$2&amp;L$1&amp;"P"&amp;$A43))/1000),0),IF($A$2="VEX",IFERROR(IF($X$1="ABS",($A$4*$A$4*RTD("tos.rtd",,"VOLUME","."&amp;L$2&amp;L$1&amp;"C"&amp;$A43)*RTD("tos.rtd",,"GAMMA","."&amp;L$2&amp;L$1&amp;"C"&amp;$A43)+$A$4*$A$4*RTD("tos.rtd",,"VOLUME","."&amp;L$2&amp;L$1&amp;"P"&amp;$A43)*RTD("tos.rtd",,"GAMMA","."&amp;L$2&amp;L$1&amp;"P"&amp;$A43))/1000000,($A$4*$A$4*RTD("tos.rtd",,"VOLUME","."&amp;L$2&amp;L$1&amp;"C"&amp;$A43)*RTD("tos.rtd",,"GAMMA","."&amp;L$2&amp;L$1&amp;"C"&amp;$A43)-$A$4*$A$4*RTD("tos.rtd",,"VOLUME","."&amp;L$2&amp;L$1&amp;"P"&amp;$A43)*RTD("tos.rtd",,"GAMMA","."&amp;L$2&amp;L$1&amp;"P"&amp;$A43))/1000000),0),IF($A$2="GEX",IFERROR(IF($X$1="ABS",($A$4*$A$4*RTD("tos.rtd",,"OPEN_INT","."&amp;L$2&amp;L$1&amp;"C"&amp;$A43)*RTD("tos.rtd",,"GAMMA","."&amp;L$2&amp;L$1&amp;"C"&amp;$A43)+$A$4*$A$4*RTD("tos.rtd",,"OPEN_INT","."&amp;L$2&amp;L$1&amp;"P"&amp;$A43)*RTD("tos.rtd",,"GAMMA","."&amp;L$2&amp;L$1&amp;"P"&amp;$A43))/1000000,($A$4*$A$4*RTD("tos.rtd",,"OPEN_INT","."&amp;L$2&amp;L$1&amp;"C"&amp;$A43)*RTD("tos.rtd",,"GAMMA","."&amp;L$2&amp;L$1&amp;"C"&amp;$A43)-$A$4*$A$4*RTD("tos.rtd",,"OPEN_INT","."&amp;L$2&amp;L$1&amp;"P"&amp;$A43)*RTD("tos.rtd",,"GAMMA","."&amp;L$2&amp;L$1&amp;"P"&amp;$A43))/1000000),0),IF($A$2="SKEW",IFERROR(VALUE(IF(RTD("tos.rtd",,"IMPL_VOL","."&amp;L$2&amp;L$1&amp;"P"&amp;$A43)="N/A",0,RTD("tos.rtd",,"IMPL_VOL","."&amp;L$2&amp;L$1&amp;"P"&amp;$A43))),0)-IFERROR(VALUE(IF(RTD("tos.rtd",,"IMPL_VOL","."&amp;L$2&amp;L$1&amp;"C"&amp;$A43)="N/A",0,RTD("tos.rtd",,"IMPL_VOL","."&amp;L$2&amp;L$1&amp;"C"&amp;$A43))),0),IF($A$2="MAXPAIN",IF($A$4&gt;$A43,($A$4-$A43)*IF(RTD("tos.rtd",,"OPEN_INT","."&amp;L$2&amp;L$1&amp;"C"&amp;$A43)="N/A",0,RTD("tos.rtd",,"OPEN_INT","."&amp;L$2&amp;L$1&amp;"C"&amp;$A43)),0)+IF($A$4&lt;$A43,($A$5-$A$4)*IF(RTD("tos.rtd",,"OPEN_INT","."&amp;L$2&amp;L$1&amp;"P"&amp;$A43)="N/A",0,RTD("tos.rtd",,"OPEN_INT","."&amp;L$2&amp;L$1&amp;"P"&amp;$A43)),0),IF($X$1="ABS",IF(RTD("tos.rtd",,$A$2,"."&amp;L$2&amp;L$1&amp;"C"&amp;$A43)="N/A",0,RTD("tos.rtd",,$A$2,"."&amp;L$2&amp;L$1&amp;"C"&amp;$A43))+IF(RTD("tos.rtd",,$A$2,"."&amp;L$2&amp;L$1&amp;"P"&amp;$A43)="N/A",0,RTD("tos.rtd",,$A$2,"."&amp;L$2&amp;L$1&amp;"P"&amp;$A43)),IF(RTD("tos.rtd",,$A$2,"."&amp;L$2&amp;L$1&amp;"C"&amp;$A43)="N/A",0,RTD("tos.rtd",,$A$2,"."&amp;L$2&amp;L$1&amp;"C"&amp;$A43))-IF(RTD("tos.rtd",,$A$2,"."&amp;L$2&amp;L$1&amp;"P"&amp;$A43)="N/A",0,RTD("tos.rtd",,$A$2,"."&amp;L$2&amp;L$1&amp;"P"&amp;$A43))))))))))</f>
        <v>10123</v>
      </c>
      <c r="M43" s="12">
        <f ca="1">IF($A$2="PREMIUM_OI",IFERROR(IF($X$1="ABS",(100*RTD("tos.rtd",,"OPEN_INT","."&amp;M$2&amp;M$1&amp;"C"&amp;$A43)*RTD("tos.rtd",,"LAST","."&amp;M$2&amp;M$1&amp;"C"&amp;$A43)+100*RTD("tos.rtd",,"OPEN_INT","."&amp;M$2&amp;M$1&amp;"P"&amp;$A43)*RTD("tos.rtd",,"LAST","."&amp;M$2&amp;M$1&amp;"P"&amp;$A43))/1000000,(100*RTD("tos.rtd",,"OPEN_INT","."&amp;M$2&amp;M$1&amp;"C"&amp;$A43)*RTD("tos.rtd",,"LAST","."&amp;M$2&amp;M$1&amp;"C"&amp;$A43)-100*RTD("tos.rtd",,"OPEN_INT","."&amp;M$2&amp;M$1&amp;"P"&amp;$A43)*RTD("tos.rtd",,"LAST","."&amp;M$2&amp;M$1&amp;"P"&amp;$A43))/1000000),0),IF($A$2="PREMIUM",IFERROR(IF($X$1="ABS",(100*RTD("tos.rtd",,"VOLUME","."&amp;M$2&amp;M$1&amp;"C"&amp;$A43)*RTD("tos.rtd",,"LAST","."&amp;M$2&amp;M$1&amp;"C"&amp;$A43)+100*RTD("tos.rtd",,"VOLUME","."&amp;M$2&amp;M$1&amp;"P"&amp;$A43)*RTD("tos.rtd",,"LAST","."&amp;M$2&amp;M$1&amp;"P"&amp;$A43))/1000000,(100*RTD("tos.rtd",,"VOLUME","."&amp;M$2&amp;M$1&amp;"C"&amp;$A43)*RTD("tos.rtd",,"LAST","."&amp;M$2&amp;M$1&amp;"C"&amp;$A43)-100*RTD("tos.rtd",,"VOLUME","."&amp;M$2&amp;M$1&amp;"P"&amp;$A43)*RTD("tos.rtd",,"LAST","."&amp;M$2&amp;M$1&amp;"P"&amp;$A43))/1000000),0),IF($A$2="DEX",IFERROR(IF($X$1="ABS",(100*RTD("tos.rtd",,"OPEN_INT","."&amp;M$2&amp;M$1&amp;"C"&amp;$A43)*RTD("tos.rtd",,"DELTA","."&amp;M$2&amp;M$1&amp;"C"&amp;$A43)+100*RTD("tos.rtd",,"OPEN_INT","."&amp;M$2&amp;M$1&amp;"P"&amp;$A43)*RTD("tos.rtd",,"DELTA","."&amp;M$2&amp;M$1&amp;"P"&amp;$A43))/1000,(100*RTD("tos.rtd",,"OPEN_INT","."&amp;M$2&amp;M$1&amp;"C"&amp;$A43)*RTD("tos.rtd",,"DELTA","."&amp;M$2&amp;M$1&amp;"C"&amp;$A43)-100*RTD("tos.rtd",,"OPEN_INT","."&amp;M$2&amp;M$1&amp;"P"&amp;$A43)*RTD("tos.rtd",,"DELTA","."&amp;M$2&amp;M$1&amp;"P"&amp;$A43))/1000),0),IF($A$2="VEX",IFERROR(IF($X$1="ABS",($A$4*$A$4*RTD("tos.rtd",,"VOLUME","."&amp;M$2&amp;M$1&amp;"C"&amp;$A43)*RTD("tos.rtd",,"GAMMA","."&amp;M$2&amp;M$1&amp;"C"&amp;$A43)+$A$4*$A$4*RTD("tos.rtd",,"VOLUME","."&amp;M$2&amp;M$1&amp;"P"&amp;$A43)*RTD("tos.rtd",,"GAMMA","."&amp;M$2&amp;M$1&amp;"P"&amp;$A43))/1000000,($A$4*$A$4*RTD("tos.rtd",,"VOLUME","."&amp;M$2&amp;M$1&amp;"C"&amp;$A43)*RTD("tos.rtd",,"GAMMA","."&amp;M$2&amp;M$1&amp;"C"&amp;$A43)-$A$4*$A$4*RTD("tos.rtd",,"VOLUME","."&amp;M$2&amp;M$1&amp;"P"&amp;$A43)*RTD("tos.rtd",,"GAMMA","."&amp;M$2&amp;M$1&amp;"P"&amp;$A43))/1000000),0),IF($A$2="GEX",IFERROR(IF($X$1="ABS",($A$4*$A$4*RTD("tos.rtd",,"OPEN_INT","."&amp;M$2&amp;M$1&amp;"C"&amp;$A43)*RTD("tos.rtd",,"GAMMA","."&amp;M$2&amp;M$1&amp;"C"&amp;$A43)+$A$4*$A$4*RTD("tos.rtd",,"OPEN_INT","."&amp;M$2&amp;M$1&amp;"P"&amp;$A43)*RTD("tos.rtd",,"GAMMA","."&amp;M$2&amp;M$1&amp;"P"&amp;$A43))/1000000,($A$4*$A$4*RTD("tos.rtd",,"OPEN_INT","."&amp;M$2&amp;M$1&amp;"C"&amp;$A43)*RTD("tos.rtd",,"GAMMA","."&amp;M$2&amp;M$1&amp;"C"&amp;$A43)-$A$4*$A$4*RTD("tos.rtd",,"OPEN_INT","."&amp;M$2&amp;M$1&amp;"P"&amp;$A43)*RTD("tos.rtd",,"GAMMA","."&amp;M$2&amp;M$1&amp;"P"&amp;$A43))/1000000),0),IF($A$2="SKEW",IFERROR(VALUE(IF(RTD("tos.rtd",,"IMPL_VOL","."&amp;M$2&amp;M$1&amp;"P"&amp;$A43)="N/A",0,RTD("tos.rtd",,"IMPL_VOL","."&amp;M$2&amp;M$1&amp;"P"&amp;$A43))),0)-IFERROR(VALUE(IF(RTD("tos.rtd",,"IMPL_VOL","."&amp;M$2&amp;M$1&amp;"C"&amp;$A43)="N/A",0,RTD("tos.rtd",,"IMPL_VOL","."&amp;M$2&amp;M$1&amp;"C"&amp;$A43))),0),IF($A$2="MAXPAIN",IF($A$4&gt;$A43,($A$4-$A43)*IF(RTD("tos.rtd",,"OPEN_INT","."&amp;M$2&amp;M$1&amp;"C"&amp;$A43)="N/A",0,RTD("tos.rtd",,"OPEN_INT","."&amp;M$2&amp;M$1&amp;"C"&amp;$A43)),0)+IF($A$4&lt;$A43,($A$5-$A$4)*IF(RTD("tos.rtd",,"OPEN_INT","."&amp;M$2&amp;M$1&amp;"P"&amp;$A43)="N/A",0,RTD("tos.rtd",,"OPEN_INT","."&amp;M$2&amp;M$1&amp;"P"&amp;$A43)),0),IF($X$1="ABS",IF(RTD("tos.rtd",,$A$2,"."&amp;M$2&amp;M$1&amp;"C"&amp;$A43)="N/A",0,RTD("tos.rtd",,$A$2,"."&amp;M$2&amp;M$1&amp;"C"&amp;$A43))+IF(RTD("tos.rtd",,$A$2,"."&amp;M$2&amp;M$1&amp;"P"&amp;$A43)="N/A",0,RTD("tos.rtd",,$A$2,"."&amp;M$2&amp;M$1&amp;"P"&amp;$A43)),IF(RTD("tos.rtd",,$A$2,"."&amp;M$2&amp;M$1&amp;"C"&amp;$A43)="N/A",0,RTD("tos.rtd",,$A$2,"."&amp;M$2&amp;M$1&amp;"C"&amp;$A43))-IF(RTD("tos.rtd",,$A$2,"."&amp;M$2&amp;M$1&amp;"P"&amp;$A43)="N/A",0,RTD("tos.rtd",,$A$2,"."&amp;M$2&amp;M$1&amp;"P"&amp;$A43))))))))))</f>
        <v>-1944</v>
      </c>
      <c r="N43" s="12">
        <f ca="1">IF($A$2="PREMIUM_OI",IFERROR(IF($X$1="ABS",(100*RTD("tos.rtd",,"OPEN_INT","."&amp;N$2&amp;N$1&amp;"C"&amp;$A43)*RTD("tos.rtd",,"LAST","."&amp;N$2&amp;N$1&amp;"C"&amp;$A43)+100*RTD("tos.rtd",,"OPEN_INT","."&amp;N$2&amp;N$1&amp;"P"&amp;$A43)*RTD("tos.rtd",,"LAST","."&amp;N$2&amp;N$1&amp;"P"&amp;$A43))/1000000,(100*RTD("tos.rtd",,"OPEN_INT","."&amp;N$2&amp;N$1&amp;"C"&amp;$A43)*RTD("tos.rtd",,"LAST","."&amp;N$2&amp;N$1&amp;"C"&amp;$A43)-100*RTD("tos.rtd",,"OPEN_INT","."&amp;N$2&amp;N$1&amp;"P"&amp;$A43)*RTD("tos.rtd",,"LAST","."&amp;N$2&amp;N$1&amp;"P"&amp;$A43))/1000000),0),IF($A$2="PREMIUM",IFERROR(IF($X$1="ABS",(100*RTD("tos.rtd",,"VOLUME","."&amp;N$2&amp;N$1&amp;"C"&amp;$A43)*RTD("tos.rtd",,"LAST","."&amp;N$2&amp;N$1&amp;"C"&amp;$A43)+100*RTD("tos.rtd",,"VOLUME","."&amp;N$2&amp;N$1&amp;"P"&amp;$A43)*RTD("tos.rtd",,"LAST","."&amp;N$2&amp;N$1&amp;"P"&amp;$A43))/1000000,(100*RTD("tos.rtd",,"VOLUME","."&amp;N$2&amp;N$1&amp;"C"&amp;$A43)*RTD("tos.rtd",,"LAST","."&amp;N$2&amp;N$1&amp;"C"&amp;$A43)-100*RTD("tos.rtd",,"VOLUME","."&amp;N$2&amp;N$1&amp;"P"&amp;$A43)*RTD("tos.rtd",,"LAST","."&amp;N$2&amp;N$1&amp;"P"&amp;$A43))/1000000),0),IF($A$2="DEX",IFERROR(IF($X$1="ABS",(100*RTD("tos.rtd",,"OPEN_INT","."&amp;N$2&amp;N$1&amp;"C"&amp;$A43)*RTD("tos.rtd",,"DELTA","."&amp;N$2&amp;N$1&amp;"C"&amp;$A43)+100*RTD("tos.rtd",,"OPEN_INT","."&amp;N$2&amp;N$1&amp;"P"&amp;$A43)*RTD("tos.rtd",,"DELTA","."&amp;N$2&amp;N$1&amp;"P"&amp;$A43))/1000,(100*RTD("tos.rtd",,"OPEN_INT","."&amp;N$2&amp;N$1&amp;"C"&amp;$A43)*RTD("tos.rtd",,"DELTA","."&amp;N$2&amp;N$1&amp;"C"&amp;$A43)-100*RTD("tos.rtd",,"OPEN_INT","."&amp;N$2&amp;N$1&amp;"P"&amp;$A43)*RTD("tos.rtd",,"DELTA","."&amp;N$2&amp;N$1&amp;"P"&amp;$A43))/1000),0),IF($A$2="VEX",IFERROR(IF($X$1="ABS",($A$4*$A$4*RTD("tos.rtd",,"VOLUME","."&amp;N$2&amp;N$1&amp;"C"&amp;$A43)*RTD("tos.rtd",,"GAMMA","."&amp;N$2&amp;N$1&amp;"C"&amp;$A43)+$A$4*$A$4*RTD("tos.rtd",,"VOLUME","."&amp;N$2&amp;N$1&amp;"P"&amp;$A43)*RTD("tos.rtd",,"GAMMA","."&amp;N$2&amp;N$1&amp;"P"&amp;$A43))/1000000,($A$4*$A$4*RTD("tos.rtd",,"VOLUME","."&amp;N$2&amp;N$1&amp;"C"&amp;$A43)*RTD("tos.rtd",,"GAMMA","."&amp;N$2&amp;N$1&amp;"C"&amp;$A43)-$A$4*$A$4*RTD("tos.rtd",,"VOLUME","."&amp;N$2&amp;N$1&amp;"P"&amp;$A43)*RTD("tos.rtd",,"GAMMA","."&amp;N$2&amp;N$1&amp;"P"&amp;$A43))/1000000),0),IF($A$2="GEX",IFERROR(IF($X$1="ABS",($A$4*$A$4*RTD("tos.rtd",,"OPEN_INT","."&amp;N$2&amp;N$1&amp;"C"&amp;$A43)*RTD("tos.rtd",,"GAMMA","."&amp;N$2&amp;N$1&amp;"C"&amp;$A43)+$A$4*$A$4*RTD("tos.rtd",,"OPEN_INT","."&amp;N$2&amp;N$1&amp;"P"&amp;$A43)*RTD("tos.rtd",,"GAMMA","."&amp;N$2&amp;N$1&amp;"P"&amp;$A43))/1000000,($A$4*$A$4*RTD("tos.rtd",,"OPEN_INT","."&amp;N$2&amp;N$1&amp;"C"&amp;$A43)*RTD("tos.rtd",,"GAMMA","."&amp;N$2&amp;N$1&amp;"C"&amp;$A43)-$A$4*$A$4*RTD("tos.rtd",,"OPEN_INT","."&amp;N$2&amp;N$1&amp;"P"&amp;$A43)*RTD("tos.rtd",,"GAMMA","."&amp;N$2&amp;N$1&amp;"P"&amp;$A43))/1000000),0),IF($A$2="SKEW",IFERROR(VALUE(IF(RTD("tos.rtd",,"IMPL_VOL","."&amp;N$2&amp;N$1&amp;"P"&amp;$A43)="N/A",0,RTD("tos.rtd",,"IMPL_VOL","."&amp;N$2&amp;N$1&amp;"P"&amp;$A43))),0)-IFERROR(VALUE(IF(RTD("tos.rtd",,"IMPL_VOL","."&amp;N$2&amp;N$1&amp;"C"&amp;$A43)="N/A",0,RTD("tos.rtd",,"IMPL_VOL","."&amp;N$2&amp;N$1&amp;"C"&amp;$A43))),0),IF($A$2="MAXPAIN",IF($A$4&gt;$A43,($A$4-$A43)*IF(RTD("tos.rtd",,"OPEN_INT","."&amp;N$2&amp;N$1&amp;"C"&amp;$A43)="N/A",0,RTD("tos.rtd",,"OPEN_INT","."&amp;N$2&amp;N$1&amp;"C"&amp;$A43)),0)+IF($A$4&lt;$A43,($A$5-$A$4)*IF(RTD("tos.rtd",,"OPEN_INT","."&amp;N$2&amp;N$1&amp;"P"&amp;$A43)="N/A",0,RTD("tos.rtd",,"OPEN_INT","."&amp;N$2&amp;N$1&amp;"P"&amp;$A43)),0),IF($X$1="ABS",IF(RTD("tos.rtd",,$A$2,"."&amp;N$2&amp;N$1&amp;"C"&amp;$A43)="N/A",0,RTD("tos.rtd",,$A$2,"."&amp;N$2&amp;N$1&amp;"C"&amp;$A43))+IF(RTD("tos.rtd",,$A$2,"."&amp;N$2&amp;N$1&amp;"P"&amp;$A43)="N/A",0,RTD("tos.rtd",,$A$2,"."&amp;N$2&amp;N$1&amp;"P"&amp;$A43)),IF(RTD("tos.rtd",,$A$2,"."&amp;N$2&amp;N$1&amp;"C"&amp;$A43)="N/A",0,RTD("tos.rtd",,$A$2,"."&amp;N$2&amp;N$1&amp;"C"&amp;$A43))-IF(RTD("tos.rtd",,$A$2,"."&amp;N$2&amp;N$1&amp;"P"&amp;$A43)="N/A",0,RTD("tos.rtd",,$A$2,"."&amp;N$2&amp;N$1&amp;"P"&amp;$A43))))))))))</f>
        <v>0</v>
      </c>
      <c r="O43" s="12">
        <f ca="1">IF($A$2="PREMIUM_OI",IFERROR(IF($X$1="ABS",(100*RTD("tos.rtd",,"OPEN_INT","."&amp;O$2&amp;O$1&amp;"C"&amp;$A43)*RTD("tos.rtd",,"LAST","."&amp;O$2&amp;O$1&amp;"C"&amp;$A43)+100*RTD("tos.rtd",,"OPEN_INT","."&amp;O$2&amp;O$1&amp;"P"&amp;$A43)*RTD("tos.rtd",,"LAST","."&amp;O$2&amp;O$1&amp;"P"&amp;$A43))/1000000,(100*RTD("tos.rtd",,"OPEN_INT","."&amp;O$2&amp;O$1&amp;"C"&amp;$A43)*RTD("tos.rtd",,"LAST","."&amp;O$2&amp;O$1&amp;"C"&amp;$A43)-100*RTD("tos.rtd",,"OPEN_INT","."&amp;O$2&amp;O$1&amp;"P"&amp;$A43)*RTD("tos.rtd",,"LAST","."&amp;O$2&amp;O$1&amp;"P"&amp;$A43))/1000000),0),IF($A$2="PREMIUM",IFERROR(IF($X$1="ABS",(100*RTD("tos.rtd",,"VOLUME","."&amp;O$2&amp;O$1&amp;"C"&amp;$A43)*RTD("tos.rtd",,"LAST","."&amp;O$2&amp;O$1&amp;"C"&amp;$A43)+100*RTD("tos.rtd",,"VOLUME","."&amp;O$2&amp;O$1&amp;"P"&amp;$A43)*RTD("tos.rtd",,"LAST","."&amp;O$2&amp;O$1&amp;"P"&amp;$A43))/1000000,(100*RTD("tos.rtd",,"VOLUME","."&amp;O$2&amp;O$1&amp;"C"&amp;$A43)*RTD("tos.rtd",,"LAST","."&amp;O$2&amp;O$1&amp;"C"&amp;$A43)-100*RTD("tos.rtd",,"VOLUME","."&amp;O$2&amp;O$1&amp;"P"&amp;$A43)*RTD("tos.rtd",,"LAST","."&amp;O$2&amp;O$1&amp;"P"&amp;$A43))/1000000),0),IF($A$2="DEX",IFERROR(IF($X$1="ABS",(100*RTD("tos.rtd",,"OPEN_INT","."&amp;O$2&amp;O$1&amp;"C"&amp;$A43)*RTD("tos.rtd",,"DELTA","."&amp;O$2&amp;O$1&amp;"C"&amp;$A43)+100*RTD("tos.rtd",,"OPEN_INT","."&amp;O$2&amp;O$1&amp;"P"&amp;$A43)*RTD("tos.rtd",,"DELTA","."&amp;O$2&amp;O$1&amp;"P"&amp;$A43))/1000,(100*RTD("tos.rtd",,"OPEN_INT","."&amp;O$2&amp;O$1&amp;"C"&amp;$A43)*RTD("tos.rtd",,"DELTA","."&amp;O$2&amp;O$1&amp;"C"&amp;$A43)-100*RTD("tos.rtd",,"OPEN_INT","."&amp;O$2&amp;O$1&amp;"P"&amp;$A43)*RTD("tos.rtd",,"DELTA","."&amp;O$2&amp;O$1&amp;"P"&amp;$A43))/1000),0),IF($A$2="VEX",IFERROR(IF($X$1="ABS",($A$4*$A$4*RTD("tos.rtd",,"VOLUME","."&amp;O$2&amp;O$1&amp;"C"&amp;$A43)*RTD("tos.rtd",,"GAMMA","."&amp;O$2&amp;O$1&amp;"C"&amp;$A43)+$A$4*$A$4*RTD("tos.rtd",,"VOLUME","."&amp;O$2&amp;O$1&amp;"P"&amp;$A43)*RTD("tos.rtd",,"GAMMA","."&amp;O$2&amp;O$1&amp;"P"&amp;$A43))/1000000,($A$4*$A$4*RTD("tos.rtd",,"VOLUME","."&amp;O$2&amp;O$1&amp;"C"&amp;$A43)*RTD("tos.rtd",,"GAMMA","."&amp;O$2&amp;O$1&amp;"C"&amp;$A43)-$A$4*$A$4*RTD("tos.rtd",,"VOLUME","."&amp;O$2&amp;O$1&amp;"P"&amp;$A43)*RTD("tos.rtd",,"GAMMA","."&amp;O$2&amp;O$1&amp;"P"&amp;$A43))/1000000),0),IF($A$2="GEX",IFERROR(IF($X$1="ABS",($A$4*$A$4*RTD("tos.rtd",,"OPEN_INT","."&amp;O$2&amp;O$1&amp;"C"&amp;$A43)*RTD("tos.rtd",,"GAMMA","."&amp;O$2&amp;O$1&amp;"C"&amp;$A43)+$A$4*$A$4*RTD("tos.rtd",,"OPEN_INT","."&amp;O$2&amp;O$1&amp;"P"&amp;$A43)*RTD("tos.rtd",,"GAMMA","."&amp;O$2&amp;O$1&amp;"P"&amp;$A43))/1000000,($A$4*$A$4*RTD("tos.rtd",,"OPEN_INT","."&amp;O$2&amp;O$1&amp;"C"&amp;$A43)*RTD("tos.rtd",,"GAMMA","."&amp;O$2&amp;O$1&amp;"C"&amp;$A43)-$A$4*$A$4*RTD("tos.rtd",,"OPEN_INT","."&amp;O$2&amp;O$1&amp;"P"&amp;$A43)*RTD("tos.rtd",,"GAMMA","."&amp;O$2&amp;O$1&amp;"P"&amp;$A43))/1000000),0),IF($A$2="SKEW",IFERROR(VALUE(IF(RTD("tos.rtd",,"IMPL_VOL","."&amp;O$2&amp;O$1&amp;"P"&amp;$A43)="N/A",0,RTD("tos.rtd",,"IMPL_VOL","."&amp;O$2&amp;O$1&amp;"P"&amp;$A43))),0)-IFERROR(VALUE(IF(RTD("tos.rtd",,"IMPL_VOL","."&amp;O$2&amp;O$1&amp;"C"&amp;$A43)="N/A",0,RTD("tos.rtd",,"IMPL_VOL","."&amp;O$2&amp;O$1&amp;"C"&amp;$A43))),0),IF($A$2="MAXPAIN",IF($A$4&gt;$A43,($A$4-$A43)*IF(RTD("tos.rtd",,"OPEN_INT","."&amp;O$2&amp;O$1&amp;"C"&amp;$A43)="N/A",0,RTD("tos.rtd",,"OPEN_INT","."&amp;O$2&amp;O$1&amp;"C"&amp;$A43)),0)+IF($A$4&lt;$A43,($A$5-$A$4)*IF(RTD("tos.rtd",,"OPEN_INT","."&amp;O$2&amp;O$1&amp;"P"&amp;$A43)="N/A",0,RTD("tos.rtd",,"OPEN_INT","."&amp;O$2&amp;O$1&amp;"P"&amp;$A43)),0),IF($X$1="ABS",IF(RTD("tos.rtd",,$A$2,"."&amp;O$2&amp;O$1&amp;"C"&amp;$A43)="N/A",0,RTD("tos.rtd",,$A$2,"."&amp;O$2&amp;O$1&amp;"C"&amp;$A43))+IF(RTD("tos.rtd",,$A$2,"."&amp;O$2&amp;O$1&amp;"P"&amp;$A43)="N/A",0,RTD("tos.rtd",,$A$2,"."&amp;O$2&amp;O$1&amp;"P"&amp;$A43)),IF(RTD("tos.rtd",,$A$2,"."&amp;O$2&amp;O$1&amp;"C"&amp;$A43)="N/A",0,RTD("tos.rtd",,$A$2,"."&amp;O$2&amp;O$1&amp;"C"&amp;$A43))-IF(RTD("tos.rtd",,$A$2,"."&amp;O$2&amp;O$1&amp;"P"&amp;$A43)="N/A",0,RTD("tos.rtd",,$A$2,"."&amp;O$2&amp;O$1&amp;"P"&amp;$A43))))))))))</f>
        <v>0</v>
      </c>
      <c r="P43" s="12">
        <f ca="1">IF($A$2="PREMIUM_OI",IFERROR(IF($X$1="ABS",(100*RTD("tos.rtd",,"OPEN_INT","."&amp;P$2&amp;P$1&amp;"C"&amp;$A43)*RTD("tos.rtd",,"LAST","."&amp;P$2&amp;P$1&amp;"C"&amp;$A43)+100*RTD("tos.rtd",,"OPEN_INT","."&amp;P$2&amp;P$1&amp;"P"&amp;$A43)*RTD("tos.rtd",,"LAST","."&amp;P$2&amp;P$1&amp;"P"&amp;$A43))/1000000,(100*RTD("tos.rtd",,"OPEN_INT","."&amp;P$2&amp;P$1&amp;"C"&amp;$A43)*RTD("tos.rtd",,"LAST","."&amp;P$2&amp;P$1&amp;"C"&amp;$A43)-100*RTD("tos.rtd",,"OPEN_INT","."&amp;P$2&amp;P$1&amp;"P"&amp;$A43)*RTD("tos.rtd",,"LAST","."&amp;P$2&amp;P$1&amp;"P"&amp;$A43))/1000000),0),IF($A$2="PREMIUM",IFERROR(IF($X$1="ABS",(100*RTD("tos.rtd",,"VOLUME","."&amp;P$2&amp;P$1&amp;"C"&amp;$A43)*RTD("tos.rtd",,"LAST","."&amp;P$2&amp;P$1&amp;"C"&amp;$A43)+100*RTD("tos.rtd",,"VOLUME","."&amp;P$2&amp;P$1&amp;"P"&amp;$A43)*RTD("tos.rtd",,"LAST","."&amp;P$2&amp;P$1&amp;"P"&amp;$A43))/1000000,(100*RTD("tos.rtd",,"VOLUME","."&amp;P$2&amp;P$1&amp;"C"&amp;$A43)*RTD("tos.rtd",,"LAST","."&amp;P$2&amp;P$1&amp;"C"&amp;$A43)-100*RTD("tos.rtd",,"VOLUME","."&amp;P$2&amp;P$1&amp;"P"&amp;$A43)*RTD("tos.rtd",,"LAST","."&amp;P$2&amp;P$1&amp;"P"&amp;$A43))/1000000),0),IF($A$2="DEX",IFERROR(IF($X$1="ABS",(100*RTD("tos.rtd",,"OPEN_INT","."&amp;P$2&amp;P$1&amp;"C"&amp;$A43)*RTD("tos.rtd",,"DELTA","."&amp;P$2&amp;P$1&amp;"C"&amp;$A43)+100*RTD("tos.rtd",,"OPEN_INT","."&amp;P$2&amp;P$1&amp;"P"&amp;$A43)*RTD("tos.rtd",,"DELTA","."&amp;P$2&amp;P$1&amp;"P"&amp;$A43))/1000,(100*RTD("tos.rtd",,"OPEN_INT","."&amp;P$2&amp;P$1&amp;"C"&amp;$A43)*RTD("tos.rtd",,"DELTA","."&amp;P$2&amp;P$1&amp;"C"&amp;$A43)-100*RTD("tos.rtd",,"OPEN_INT","."&amp;P$2&amp;P$1&amp;"P"&amp;$A43)*RTD("tos.rtd",,"DELTA","."&amp;P$2&amp;P$1&amp;"P"&amp;$A43))/1000),0),IF($A$2="VEX",IFERROR(IF($X$1="ABS",($A$4*$A$4*RTD("tos.rtd",,"VOLUME","."&amp;P$2&amp;P$1&amp;"C"&amp;$A43)*RTD("tos.rtd",,"GAMMA","."&amp;P$2&amp;P$1&amp;"C"&amp;$A43)+$A$4*$A$4*RTD("tos.rtd",,"VOLUME","."&amp;P$2&amp;P$1&amp;"P"&amp;$A43)*RTD("tos.rtd",,"GAMMA","."&amp;P$2&amp;P$1&amp;"P"&amp;$A43))/1000000,($A$4*$A$4*RTD("tos.rtd",,"VOLUME","."&amp;P$2&amp;P$1&amp;"C"&amp;$A43)*RTD("tos.rtd",,"GAMMA","."&amp;P$2&amp;P$1&amp;"C"&amp;$A43)-$A$4*$A$4*RTD("tos.rtd",,"VOLUME","."&amp;P$2&amp;P$1&amp;"P"&amp;$A43)*RTD("tos.rtd",,"GAMMA","."&amp;P$2&amp;P$1&amp;"P"&amp;$A43))/1000000),0),IF($A$2="GEX",IFERROR(IF($X$1="ABS",($A$4*$A$4*RTD("tos.rtd",,"OPEN_INT","."&amp;P$2&amp;P$1&amp;"C"&amp;$A43)*RTD("tos.rtd",,"GAMMA","."&amp;P$2&amp;P$1&amp;"C"&amp;$A43)+$A$4*$A$4*RTD("tos.rtd",,"OPEN_INT","."&amp;P$2&amp;P$1&amp;"P"&amp;$A43)*RTD("tos.rtd",,"GAMMA","."&amp;P$2&amp;P$1&amp;"P"&amp;$A43))/1000000,($A$4*$A$4*RTD("tos.rtd",,"OPEN_INT","."&amp;P$2&amp;P$1&amp;"C"&amp;$A43)*RTD("tos.rtd",,"GAMMA","."&amp;P$2&amp;P$1&amp;"C"&amp;$A43)-$A$4*$A$4*RTD("tos.rtd",,"OPEN_INT","."&amp;P$2&amp;P$1&amp;"P"&amp;$A43)*RTD("tos.rtd",,"GAMMA","."&amp;P$2&amp;P$1&amp;"P"&amp;$A43))/1000000),0),IF($A$2="SKEW",IFERROR(VALUE(IF(RTD("tos.rtd",,"IMPL_VOL","."&amp;P$2&amp;P$1&amp;"P"&amp;$A43)="N/A",0,RTD("tos.rtd",,"IMPL_VOL","."&amp;P$2&amp;P$1&amp;"P"&amp;$A43))),0)-IFERROR(VALUE(IF(RTD("tos.rtd",,"IMPL_VOL","."&amp;P$2&amp;P$1&amp;"C"&amp;$A43)="N/A",0,RTD("tos.rtd",,"IMPL_VOL","."&amp;P$2&amp;P$1&amp;"C"&amp;$A43))),0),IF($A$2="MAXPAIN",IF($A$4&gt;$A43,($A$4-$A43)*IF(RTD("tos.rtd",,"OPEN_INT","."&amp;P$2&amp;P$1&amp;"C"&amp;$A43)="N/A",0,RTD("tos.rtd",,"OPEN_INT","."&amp;P$2&amp;P$1&amp;"C"&amp;$A43)),0)+IF($A$4&lt;$A43,($A$5-$A$4)*IF(RTD("tos.rtd",,"OPEN_INT","."&amp;P$2&amp;P$1&amp;"P"&amp;$A43)="N/A",0,RTD("tos.rtd",,"OPEN_INT","."&amp;P$2&amp;P$1&amp;"P"&amp;$A43)),0),IF($X$1="ABS",IF(RTD("tos.rtd",,$A$2,"."&amp;P$2&amp;P$1&amp;"C"&amp;$A43)="N/A",0,RTD("tos.rtd",,$A$2,"."&amp;P$2&amp;P$1&amp;"C"&amp;$A43))+IF(RTD("tos.rtd",,$A$2,"."&amp;P$2&amp;P$1&amp;"P"&amp;$A43)="N/A",0,RTD("tos.rtd",,$A$2,"."&amp;P$2&amp;P$1&amp;"P"&amp;$A43)),IF(RTD("tos.rtd",,$A$2,"."&amp;P$2&amp;P$1&amp;"C"&amp;$A43)="N/A",0,RTD("tos.rtd",,$A$2,"."&amp;P$2&amp;P$1&amp;"C"&amp;$A43))-IF(RTD("tos.rtd",,$A$2,"."&amp;P$2&amp;P$1&amp;"P"&amp;$A43)="N/A",0,RTD("tos.rtd",,$A$2,"."&amp;P$2&amp;P$1&amp;"P"&amp;$A43))))))))))</f>
        <v>0</v>
      </c>
      <c r="Q43" s="12">
        <f ca="1">IF($A$2="PREMIUM_OI",IFERROR(IF($X$1="ABS",(100*RTD("tos.rtd",,"OPEN_INT","."&amp;Q$2&amp;Q$1&amp;"C"&amp;$A43)*RTD("tos.rtd",,"LAST","."&amp;Q$2&amp;Q$1&amp;"C"&amp;$A43)+100*RTD("tos.rtd",,"OPEN_INT","."&amp;Q$2&amp;Q$1&amp;"P"&amp;$A43)*RTD("tos.rtd",,"LAST","."&amp;Q$2&amp;Q$1&amp;"P"&amp;$A43))/1000000,(100*RTD("tos.rtd",,"OPEN_INT","."&amp;Q$2&amp;Q$1&amp;"C"&amp;$A43)*RTD("tos.rtd",,"LAST","."&amp;Q$2&amp;Q$1&amp;"C"&amp;$A43)-100*RTD("tos.rtd",,"OPEN_INT","."&amp;Q$2&amp;Q$1&amp;"P"&amp;$A43)*RTD("tos.rtd",,"LAST","."&amp;Q$2&amp;Q$1&amp;"P"&amp;$A43))/1000000),0),IF($A$2="PREMIUM",IFERROR(IF($X$1="ABS",(100*RTD("tos.rtd",,"VOLUME","."&amp;Q$2&amp;Q$1&amp;"C"&amp;$A43)*RTD("tos.rtd",,"LAST","."&amp;Q$2&amp;Q$1&amp;"C"&amp;$A43)+100*RTD("tos.rtd",,"VOLUME","."&amp;Q$2&amp;Q$1&amp;"P"&amp;$A43)*RTD("tos.rtd",,"LAST","."&amp;Q$2&amp;Q$1&amp;"P"&amp;$A43))/1000000,(100*RTD("tos.rtd",,"VOLUME","."&amp;Q$2&amp;Q$1&amp;"C"&amp;$A43)*RTD("tos.rtd",,"LAST","."&amp;Q$2&amp;Q$1&amp;"C"&amp;$A43)-100*RTD("tos.rtd",,"VOLUME","."&amp;Q$2&amp;Q$1&amp;"P"&amp;$A43)*RTD("tos.rtd",,"LAST","."&amp;Q$2&amp;Q$1&amp;"P"&amp;$A43))/1000000),0),IF($A$2="DEX",IFERROR(IF($X$1="ABS",(100*RTD("tos.rtd",,"OPEN_INT","."&amp;Q$2&amp;Q$1&amp;"C"&amp;$A43)*RTD("tos.rtd",,"DELTA","."&amp;Q$2&amp;Q$1&amp;"C"&amp;$A43)+100*RTD("tos.rtd",,"OPEN_INT","."&amp;Q$2&amp;Q$1&amp;"P"&amp;$A43)*RTD("tos.rtd",,"DELTA","."&amp;Q$2&amp;Q$1&amp;"P"&amp;$A43))/1000,(100*RTD("tos.rtd",,"OPEN_INT","."&amp;Q$2&amp;Q$1&amp;"C"&amp;$A43)*RTD("tos.rtd",,"DELTA","."&amp;Q$2&amp;Q$1&amp;"C"&amp;$A43)-100*RTD("tos.rtd",,"OPEN_INT","."&amp;Q$2&amp;Q$1&amp;"P"&amp;$A43)*RTD("tos.rtd",,"DELTA","."&amp;Q$2&amp;Q$1&amp;"P"&amp;$A43))/1000),0),IF($A$2="VEX",IFERROR(IF($X$1="ABS",($A$4*$A$4*RTD("tos.rtd",,"VOLUME","."&amp;Q$2&amp;Q$1&amp;"C"&amp;$A43)*RTD("tos.rtd",,"GAMMA","."&amp;Q$2&amp;Q$1&amp;"C"&amp;$A43)+$A$4*$A$4*RTD("tos.rtd",,"VOLUME","."&amp;Q$2&amp;Q$1&amp;"P"&amp;$A43)*RTD("tos.rtd",,"GAMMA","."&amp;Q$2&amp;Q$1&amp;"P"&amp;$A43))/1000000,($A$4*$A$4*RTD("tos.rtd",,"VOLUME","."&amp;Q$2&amp;Q$1&amp;"C"&amp;$A43)*RTD("tos.rtd",,"GAMMA","."&amp;Q$2&amp;Q$1&amp;"C"&amp;$A43)-$A$4*$A$4*RTD("tos.rtd",,"VOLUME","."&amp;Q$2&amp;Q$1&amp;"P"&amp;$A43)*RTD("tos.rtd",,"GAMMA","."&amp;Q$2&amp;Q$1&amp;"P"&amp;$A43))/1000000),0),IF($A$2="GEX",IFERROR(IF($X$1="ABS",($A$4*$A$4*RTD("tos.rtd",,"OPEN_INT","."&amp;Q$2&amp;Q$1&amp;"C"&amp;$A43)*RTD("tos.rtd",,"GAMMA","."&amp;Q$2&amp;Q$1&amp;"C"&amp;$A43)+$A$4*$A$4*RTD("tos.rtd",,"OPEN_INT","."&amp;Q$2&amp;Q$1&amp;"P"&amp;$A43)*RTD("tos.rtd",,"GAMMA","."&amp;Q$2&amp;Q$1&amp;"P"&amp;$A43))/1000000,($A$4*$A$4*RTD("tos.rtd",,"OPEN_INT","."&amp;Q$2&amp;Q$1&amp;"C"&amp;$A43)*RTD("tos.rtd",,"GAMMA","."&amp;Q$2&amp;Q$1&amp;"C"&amp;$A43)-$A$4*$A$4*RTD("tos.rtd",,"OPEN_INT","."&amp;Q$2&amp;Q$1&amp;"P"&amp;$A43)*RTD("tos.rtd",,"GAMMA","."&amp;Q$2&amp;Q$1&amp;"P"&amp;$A43))/1000000),0),IF($A$2="SKEW",IFERROR(VALUE(IF(RTD("tos.rtd",,"IMPL_VOL","."&amp;Q$2&amp;Q$1&amp;"P"&amp;$A43)="N/A",0,RTD("tos.rtd",,"IMPL_VOL","."&amp;Q$2&amp;Q$1&amp;"P"&amp;$A43))),0)-IFERROR(VALUE(IF(RTD("tos.rtd",,"IMPL_VOL","."&amp;Q$2&amp;Q$1&amp;"C"&amp;$A43)="N/A",0,RTD("tos.rtd",,"IMPL_VOL","."&amp;Q$2&amp;Q$1&amp;"C"&amp;$A43))),0),IF($A$2="MAXPAIN",IF($A$4&gt;$A43,($A$4-$A43)*IF(RTD("tos.rtd",,"OPEN_INT","."&amp;Q$2&amp;Q$1&amp;"C"&amp;$A43)="N/A",0,RTD("tos.rtd",,"OPEN_INT","."&amp;Q$2&amp;Q$1&amp;"C"&amp;$A43)),0)+IF($A$4&lt;$A43,($A$5-$A$4)*IF(RTD("tos.rtd",,"OPEN_INT","."&amp;Q$2&amp;Q$1&amp;"P"&amp;$A43)="N/A",0,RTD("tos.rtd",,"OPEN_INT","."&amp;Q$2&amp;Q$1&amp;"P"&amp;$A43)),0),IF($X$1="ABS",IF(RTD("tos.rtd",,$A$2,"."&amp;Q$2&amp;Q$1&amp;"C"&amp;$A43)="N/A",0,RTD("tos.rtd",,$A$2,"."&amp;Q$2&amp;Q$1&amp;"C"&amp;$A43))+IF(RTD("tos.rtd",,$A$2,"."&amp;Q$2&amp;Q$1&amp;"P"&amp;$A43)="N/A",0,RTD("tos.rtd",,$A$2,"."&amp;Q$2&amp;Q$1&amp;"P"&amp;$A43)),IF(RTD("tos.rtd",,$A$2,"."&amp;Q$2&amp;Q$1&amp;"C"&amp;$A43)="N/A",0,RTD("tos.rtd",,$A$2,"."&amp;Q$2&amp;Q$1&amp;"C"&amp;$A43))-IF(RTD("tos.rtd",,$A$2,"."&amp;Q$2&amp;Q$1&amp;"P"&amp;$A43)="N/A",0,RTD("tos.rtd",,$A$2,"."&amp;Q$2&amp;Q$1&amp;"P"&amp;$A43))))))))))</f>
        <v>0</v>
      </c>
      <c r="R43" s="12">
        <f ca="1">IF($A$2="PREMIUM_OI",IFERROR(IF($X$1="ABS",(100*RTD("tos.rtd",,"OPEN_INT","."&amp;R$2&amp;R$1&amp;"C"&amp;$A43)*RTD("tos.rtd",,"LAST","."&amp;R$2&amp;R$1&amp;"C"&amp;$A43)+100*RTD("tos.rtd",,"OPEN_INT","."&amp;R$2&amp;R$1&amp;"P"&amp;$A43)*RTD("tos.rtd",,"LAST","."&amp;R$2&amp;R$1&amp;"P"&amp;$A43))/1000000,(100*RTD("tos.rtd",,"OPEN_INT","."&amp;R$2&amp;R$1&amp;"C"&amp;$A43)*RTD("tos.rtd",,"LAST","."&amp;R$2&amp;R$1&amp;"C"&amp;$A43)-100*RTD("tos.rtd",,"OPEN_INT","."&amp;R$2&amp;R$1&amp;"P"&amp;$A43)*RTD("tos.rtd",,"LAST","."&amp;R$2&amp;R$1&amp;"P"&amp;$A43))/1000000),0),IF($A$2="PREMIUM",IFERROR(IF($X$1="ABS",(100*RTD("tos.rtd",,"VOLUME","."&amp;R$2&amp;R$1&amp;"C"&amp;$A43)*RTD("tos.rtd",,"LAST","."&amp;R$2&amp;R$1&amp;"C"&amp;$A43)+100*RTD("tos.rtd",,"VOLUME","."&amp;R$2&amp;R$1&amp;"P"&amp;$A43)*RTD("tos.rtd",,"LAST","."&amp;R$2&amp;R$1&amp;"P"&amp;$A43))/1000000,(100*RTD("tos.rtd",,"VOLUME","."&amp;R$2&amp;R$1&amp;"C"&amp;$A43)*RTD("tos.rtd",,"LAST","."&amp;R$2&amp;R$1&amp;"C"&amp;$A43)-100*RTD("tos.rtd",,"VOLUME","."&amp;R$2&amp;R$1&amp;"P"&amp;$A43)*RTD("tos.rtd",,"LAST","."&amp;R$2&amp;R$1&amp;"P"&amp;$A43))/1000000),0),IF($A$2="DEX",IFERROR(IF($X$1="ABS",(100*RTD("tos.rtd",,"OPEN_INT","."&amp;R$2&amp;R$1&amp;"C"&amp;$A43)*RTD("tos.rtd",,"DELTA","."&amp;R$2&amp;R$1&amp;"C"&amp;$A43)+100*RTD("tos.rtd",,"OPEN_INT","."&amp;R$2&amp;R$1&amp;"P"&amp;$A43)*RTD("tos.rtd",,"DELTA","."&amp;R$2&amp;R$1&amp;"P"&amp;$A43))/1000,(100*RTD("tos.rtd",,"OPEN_INT","."&amp;R$2&amp;R$1&amp;"C"&amp;$A43)*RTD("tos.rtd",,"DELTA","."&amp;R$2&amp;R$1&amp;"C"&amp;$A43)-100*RTD("tos.rtd",,"OPEN_INT","."&amp;R$2&amp;R$1&amp;"P"&amp;$A43)*RTD("tos.rtd",,"DELTA","."&amp;R$2&amp;R$1&amp;"P"&amp;$A43))/1000),0),IF($A$2="VEX",IFERROR(IF($X$1="ABS",($A$4*$A$4*RTD("tos.rtd",,"VOLUME","."&amp;R$2&amp;R$1&amp;"C"&amp;$A43)*RTD("tos.rtd",,"GAMMA","."&amp;R$2&amp;R$1&amp;"C"&amp;$A43)+$A$4*$A$4*RTD("tos.rtd",,"VOLUME","."&amp;R$2&amp;R$1&amp;"P"&amp;$A43)*RTD("tos.rtd",,"GAMMA","."&amp;R$2&amp;R$1&amp;"P"&amp;$A43))/1000000,($A$4*$A$4*RTD("tos.rtd",,"VOLUME","."&amp;R$2&amp;R$1&amp;"C"&amp;$A43)*RTD("tos.rtd",,"GAMMA","."&amp;R$2&amp;R$1&amp;"C"&amp;$A43)-$A$4*$A$4*RTD("tos.rtd",,"VOLUME","."&amp;R$2&amp;R$1&amp;"P"&amp;$A43)*RTD("tos.rtd",,"GAMMA","."&amp;R$2&amp;R$1&amp;"P"&amp;$A43))/1000000),0),IF($A$2="GEX",IFERROR(IF($X$1="ABS",($A$4*$A$4*RTD("tos.rtd",,"OPEN_INT","."&amp;R$2&amp;R$1&amp;"C"&amp;$A43)*RTD("tos.rtd",,"GAMMA","."&amp;R$2&amp;R$1&amp;"C"&amp;$A43)+$A$4*$A$4*RTD("tos.rtd",,"OPEN_INT","."&amp;R$2&amp;R$1&amp;"P"&amp;$A43)*RTD("tos.rtd",,"GAMMA","."&amp;R$2&amp;R$1&amp;"P"&amp;$A43))/1000000,($A$4*$A$4*RTD("tos.rtd",,"OPEN_INT","."&amp;R$2&amp;R$1&amp;"C"&amp;$A43)*RTD("tos.rtd",,"GAMMA","."&amp;R$2&amp;R$1&amp;"C"&amp;$A43)-$A$4*$A$4*RTD("tos.rtd",,"OPEN_INT","."&amp;R$2&amp;R$1&amp;"P"&amp;$A43)*RTD("tos.rtd",,"GAMMA","."&amp;R$2&amp;R$1&amp;"P"&amp;$A43))/1000000),0),IF($A$2="SKEW",IFERROR(VALUE(IF(RTD("tos.rtd",,"IMPL_VOL","."&amp;R$2&amp;R$1&amp;"P"&amp;$A43)="N/A",0,RTD("tos.rtd",,"IMPL_VOL","."&amp;R$2&amp;R$1&amp;"P"&amp;$A43))),0)-IFERROR(VALUE(IF(RTD("tos.rtd",,"IMPL_VOL","."&amp;R$2&amp;R$1&amp;"C"&amp;$A43)="N/A",0,RTD("tos.rtd",,"IMPL_VOL","."&amp;R$2&amp;R$1&amp;"C"&amp;$A43))),0),IF($A$2="MAXPAIN",IF($A$4&gt;$A43,($A$4-$A43)*IF(RTD("tos.rtd",,"OPEN_INT","."&amp;R$2&amp;R$1&amp;"C"&amp;$A43)="N/A",0,RTD("tos.rtd",,"OPEN_INT","."&amp;R$2&amp;R$1&amp;"C"&amp;$A43)),0)+IF($A$4&lt;$A43,($A$5-$A$4)*IF(RTD("tos.rtd",,"OPEN_INT","."&amp;R$2&amp;R$1&amp;"P"&amp;$A43)="N/A",0,RTD("tos.rtd",,"OPEN_INT","."&amp;R$2&amp;R$1&amp;"P"&amp;$A43)),0),IF($X$1="ABS",IF(RTD("tos.rtd",,$A$2,"."&amp;R$2&amp;R$1&amp;"C"&amp;$A43)="N/A",0,RTD("tos.rtd",,$A$2,"."&amp;R$2&amp;R$1&amp;"C"&amp;$A43))+IF(RTD("tos.rtd",,$A$2,"."&amp;R$2&amp;R$1&amp;"P"&amp;$A43)="N/A",0,RTD("tos.rtd",,$A$2,"."&amp;R$2&amp;R$1&amp;"P"&amp;$A43)),IF(RTD("tos.rtd",,$A$2,"."&amp;R$2&amp;R$1&amp;"C"&amp;$A43)="N/A",0,RTD("tos.rtd",,$A$2,"."&amp;R$2&amp;R$1&amp;"C"&amp;$A43))-IF(RTD("tos.rtd",,$A$2,"."&amp;R$2&amp;R$1&amp;"P"&amp;$A43)="N/A",0,RTD("tos.rtd",,$A$2,"."&amp;R$2&amp;R$1&amp;"P"&amp;$A43))))))))))</f>
        <v>0</v>
      </c>
      <c r="S43" s="12">
        <f ca="1">IF($A$2="PREMIUM_OI",IFERROR(IF($X$1="ABS",(100*RTD("tos.rtd",,"OPEN_INT","."&amp;S$2&amp;S$1&amp;"C"&amp;$A43)*RTD("tos.rtd",,"LAST","."&amp;S$2&amp;S$1&amp;"C"&amp;$A43)+100*RTD("tos.rtd",,"OPEN_INT","."&amp;S$2&amp;S$1&amp;"P"&amp;$A43)*RTD("tos.rtd",,"LAST","."&amp;S$2&amp;S$1&amp;"P"&amp;$A43))/1000000,(100*RTD("tos.rtd",,"OPEN_INT","."&amp;S$2&amp;S$1&amp;"C"&amp;$A43)*RTD("tos.rtd",,"LAST","."&amp;S$2&amp;S$1&amp;"C"&amp;$A43)-100*RTD("tos.rtd",,"OPEN_INT","."&amp;S$2&amp;S$1&amp;"P"&amp;$A43)*RTD("tos.rtd",,"LAST","."&amp;S$2&amp;S$1&amp;"P"&amp;$A43))/1000000),0),IF($A$2="PREMIUM",IFERROR(IF($X$1="ABS",(100*RTD("tos.rtd",,"VOLUME","."&amp;S$2&amp;S$1&amp;"C"&amp;$A43)*RTD("tos.rtd",,"LAST","."&amp;S$2&amp;S$1&amp;"C"&amp;$A43)+100*RTD("tos.rtd",,"VOLUME","."&amp;S$2&amp;S$1&amp;"P"&amp;$A43)*RTD("tos.rtd",,"LAST","."&amp;S$2&amp;S$1&amp;"P"&amp;$A43))/1000000,(100*RTD("tos.rtd",,"VOLUME","."&amp;S$2&amp;S$1&amp;"C"&amp;$A43)*RTD("tos.rtd",,"LAST","."&amp;S$2&amp;S$1&amp;"C"&amp;$A43)-100*RTD("tos.rtd",,"VOLUME","."&amp;S$2&amp;S$1&amp;"P"&amp;$A43)*RTD("tos.rtd",,"LAST","."&amp;S$2&amp;S$1&amp;"P"&amp;$A43))/1000000),0),IF($A$2="DEX",IFERROR(IF($X$1="ABS",(100*RTD("tos.rtd",,"OPEN_INT","."&amp;S$2&amp;S$1&amp;"C"&amp;$A43)*RTD("tos.rtd",,"DELTA","."&amp;S$2&amp;S$1&amp;"C"&amp;$A43)+100*RTD("tos.rtd",,"OPEN_INT","."&amp;S$2&amp;S$1&amp;"P"&amp;$A43)*RTD("tos.rtd",,"DELTA","."&amp;S$2&amp;S$1&amp;"P"&amp;$A43))/1000,(100*RTD("tos.rtd",,"OPEN_INT","."&amp;S$2&amp;S$1&amp;"C"&amp;$A43)*RTD("tos.rtd",,"DELTA","."&amp;S$2&amp;S$1&amp;"C"&amp;$A43)-100*RTD("tos.rtd",,"OPEN_INT","."&amp;S$2&amp;S$1&amp;"P"&amp;$A43)*RTD("tos.rtd",,"DELTA","."&amp;S$2&amp;S$1&amp;"P"&amp;$A43))/1000),0),IF($A$2="VEX",IFERROR(IF($X$1="ABS",($A$4*$A$4*RTD("tos.rtd",,"VOLUME","."&amp;S$2&amp;S$1&amp;"C"&amp;$A43)*RTD("tos.rtd",,"GAMMA","."&amp;S$2&amp;S$1&amp;"C"&amp;$A43)+$A$4*$A$4*RTD("tos.rtd",,"VOLUME","."&amp;S$2&amp;S$1&amp;"P"&amp;$A43)*RTD("tos.rtd",,"GAMMA","."&amp;S$2&amp;S$1&amp;"P"&amp;$A43))/1000000,($A$4*$A$4*RTD("tos.rtd",,"VOLUME","."&amp;S$2&amp;S$1&amp;"C"&amp;$A43)*RTD("tos.rtd",,"GAMMA","."&amp;S$2&amp;S$1&amp;"C"&amp;$A43)-$A$4*$A$4*RTD("tos.rtd",,"VOLUME","."&amp;S$2&amp;S$1&amp;"P"&amp;$A43)*RTD("tos.rtd",,"GAMMA","."&amp;S$2&amp;S$1&amp;"P"&amp;$A43))/1000000),0),IF($A$2="GEX",IFERROR(IF($X$1="ABS",($A$4*$A$4*RTD("tos.rtd",,"OPEN_INT","."&amp;S$2&amp;S$1&amp;"C"&amp;$A43)*RTD("tos.rtd",,"GAMMA","."&amp;S$2&amp;S$1&amp;"C"&amp;$A43)+$A$4*$A$4*RTD("tos.rtd",,"OPEN_INT","."&amp;S$2&amp;S$1&amp;"P"&amp;$A43)*RTD("tos.rtd",,"GAMMA","."&amp;S$2&amp;S$1&amp;"P"&amp;$A43))/1000000,($A$4*$A$4*RTD("tos.rtd",,"OPEN_INT","."&amp;S$2&amp;S$1&amp;"C"&amp;$A43)*RTD("tos.rtd",,"GAMMA","."&amp;S$2&amp;S$1&amp;"C"&amp;$A43)-$A$4*$A$4*RTD("tos.rtd",,"OPEN_INT","."&amp;S$2&amp;S$1&amp;"P"&amp;$A43)*RTD("tos.rtd",,"GAMMA","."&amp;S$2&amp;S$1&amp;"P"&amp;$A43))/1000000),0),IF($A$2="SKEW",IFERROR(VALUE(IF(RTD("tos.rtd",,"IMPL_VOL","."&amp;S$2&amp;S$1&amp;"P"&amp;$A43)="N/A",0,RTD("tos.rtd",,"IMPL_VOL","."&amp;S$2&amp;S$1&amp;"P"&amp;$A43))),0)-IFERROR(VALUE(IF(RTD("tos.rtd",,"IMPL_VOL","."&amp;S$2&amp;S$1&amp;"C"&amp;$A43)="N/A",0,RTD("tos.rtd",,"IMPL_VOL","."&amp;S$2&amp;S$1&amp;"C"&amp;$A43))),0),IF($A$2="MAXPAIN",IF($A$4&gt;$A43,($A$4-$A43)*IF(RTD("tos.rtd",,"OPEN_INT","."&amp;S$2&amp;S$1&amp;"C"&amp;$A43)="N/A",0,RTD("tos.rtd",,"OPEN_INT","."&amp;S$2&amp;S$1&amp;"C"&amp;$A43)),0)+IF($A$4&lt;$A43,($A$5-$A$4)*IF(RTD("tos.rtd",,"OPEN_INT","."&amp;S$2&amp;S$1&amp;"P"&amp;$A43)="N/A",0,RTD("tos.rtd",,"OPEN_INT","."&amp;S$2&amp;S$1&amp;"P"&amp;$A43)),0),IF($X$1="ABS",IF(RTD("tos.rtd",,$A$2,"."&amp;S$2&amp;S$1&amp;"C"&amp;$A43)="N/A",0,RTD("tos.rtd",,$A$2,"."&amp;S$2&amp;S$1&amp;"C"&amp;$A43))+IF(RTD("tos.rtd",,$A$2,"."&amp;S$2&amp;S$1&amp;"P"&amp;$A43)="N/A",0,RTD("tos.rtd",,$A$2,"."&amp;S$2&amp;S$1&amp;"P"&amp;$A43)),IF(RTD("tos.rtd",,$A$2,"."&amp;S$2&amp;S$1&amp;"C"&amp;$A43)="N/A",0,RTD("tos.rtd",,$A$2,"."&amp;S$2&amp;S$1&amp;"C"&amp;$A43))-IF(RTD("tos.rtd",,$A$2,"."&amp;S$2&amp;S$1&amp;"P"&amp;$A43)="N/A",0,RTD("tos.rtd",,$A$2,"."&amp;S$2&amp;S$1&amp;"P"&amp;$A43))))))))))</f>
        <v>0</v>
      </c>
      <c r="T43" s="12">
        <f ca="1">IF($A$2="PREMIUM_OI",IFERROR(IF($X$1="ABS",(100*RTD("tos.rtd",,"OPEN_INT","."&amp;T$2&amp;T$1&amp;"C"&amp;$A43)*RTD("tos.rtd",,"LAST","."&amp;T$2&amp;T$1&amp;"C"&amp;$A43)+100*RTD("tos.rtd",,"OPEN_INT","."&amp;T$2&amp;T$1&amp;"P"&amp;$A43)*RTD("tos.rtd",,"LAST","."&amp;T$2&amp;T$1&amp;"P"&amp;$A43))/1000000,(100*RTD("tos.rtd",,"OPEN_INT","."&amp;T$2&amp;T$1&amp;"C"&amp;$A43)*RTD("tos.rtd",,"LAST","."&amp;T$2&amp;T$1&amp;"C"&amp;$A43)-100*RTD("tos.rtd",,"OPEN_INT","."&amp;T$2&amp;T$1&amp;"P"&amp;$A43)*RTD("tos.rtd",,"LAST","."&amp;T$2&amp;T$1&amp;"P"&amp;$A43))/1000000),0),IF($A$2="PREMIUM",IFERROR(IF($X$1="ABS",(100*RTD("tos.rtd",,"VOLUME","."&amp;T$2&amp;T$1&amp;"C"&amp;$A43)*RTD("tos.rtd",,"LAST","."&amp;T$2&amp;T$1&amp;"C"&amp;$A43)+100*RTD("tos.rtd",,"VOLUME","."&amp;T$2&amp;T$1&amp;"P"&amp;$A43)*RTD("tos.rtd",,"LAST","."&amp;T$2&amp;T$1&amp;"P"&amp;$A43))/1000000,(100*RTD("tos.rtd",,"VOLUME","."&amp;T$2&amp;T$1&amp;"C"&amp;$A43)*RTD("tos.rtd",,"LAST","."&amp;T$2&amp;T$1&amp;"C"&amp;$A43)-100*RTD("tos.rtd",,"VOLUME","."&amp;T$2&amp;T$1&amp;"P"&amp;$A43)*RTD("tos.rtd",,"LAST","."&amp;T$2&amp;T$1&amp;"P"&amp;$A43))/1000000),0),IF($A$2="DEX",IFERROR(IF($X$1="ABS",(100*RTD("tos.rtd",,"OPEN_INT","."&amp;T$2&amp;T$1&amp;"C"&amp;$A43)*RTD("tos.rtd",,"DELTA","."&amp;T$2&amp;T$1&amp;"C"&amp;$A43)+100*RTD("tos.rtd",,"OPEN_INT","."&amp;T$2&amp;T$1&amp;"P"&amp;$A43)*RTD("tos.rtd",,"DELTA","."&amp;T$2&amp;T$1&amp;"P"&amp;$A43))/1000,(100*RTD("tos.rtd",,"OPEN_INT","."&amp;T$2&amp;T$1&amp;"C"&amp;$A43)*RTD("tos.rtd",,"DELTA","."&amp;T$2&amp;T$1&amp;"C"&amp;$A43)-100*RTD("tos.rtd",,"OPEN_INT","."&amp;T$2&amp;T$1&amp;"P"&amp;$A43)*RTD("tos.rtd",,"DELTA","."&amp;T$2&amp;T$1&amp;"P"&amp;$A43))/1000),0),IF($A$2="VEX",IFERROR(IF($X$1="ABS",($A$4*$A$4*RTD("tos.rtd",,"VOLUME","."&amp;T$2&amp;T$1&amp;"C"&amp;$A43)*RTD("tos.rtd",,"GAMMA","."&amp;T$2&amp;T$1&amp;"C"&amp;$A43)+$A$4*$A$4*RTD("tos.rtd",,"VOLUME","."&amp;T$2&amp;T$1&amp;"P"&amp;$A43)*RTD("tos.rtd",,"GAMMA","."&amp;T$2&amp;T$1&amp;"P"&amp;$A43))/1000000,($A$4*$A$4*RTD("tos.rtd",,"VOLUME","."&amp;T$2&amp;T$1&amp;"C"&amp;$A43)*RTD("tos.rtd",,"GAMMA","."&amp;T$2&amp;T$1&amp;"C"&amp;$A43)-$A$4*$A$4*RTD("tos.rtd",,"VOLUME","."&amp;T$2&amp;T$1&amp;"P"&amp;$A43)*RTD("tos.rtd",,"GAMMA","."&amp;T$2&amp;T$1&amp;"P"&amp;$A43))/1000000),0),IF($A$2="GEX",IFERROR(IF($X$1="ABS",($A$4*$A$4*RTD("tos.rtd",,"OPEN_INT","."&amp;T$2&amp;T$1&amp;"C"&amp;$A43)*RTD("tos.rtd",,"GAMMA","."&amp;T$2&amp;T$1&amp;"C"&amp;$A43)+$A$4*$A$4*RTD("tos.rtd",,"OPEN_INT","."&amp;T$2&amp;T$1&amp;"P"&amp;$A43)*RTD("tos.rtd",,"GAMMA","."&amp;T$2&amp;T$1&amp;"P"&amp;$A43))/1000000,($A$4*$A$4*RTD("tos.rtd",,"OPEN_INT","."&amp;T$2&amp;T$1&amp;"C"&amp;$A43)*RTD("tos.rtd",,"GAMMA","."&amp;T$2&amp;T$1&amp;"C"&amp;$A43)-$A$4*$A$4*RTD("tos.rtd",,"OPEN_INT","."&amp;T$2&amp;T$1&amp;"P"&amp;$A43)*RTD("tos.rtd",,"GAMMA","."&amp;T$2&amp;T$1&amp;"P"&amp;$A43))/1000000),0),IF($A$2="SKEW",IFERROR(VALUE(IF(RTD("tos.rtd",,"IMPL_VOL","."&amp;T$2&amp;T$1&amp;"P"&amp;$A43)="N/A",0,RTD("tos.rtd",,"IMPL_VOL","."&amp;T$2&amp;T$1&amp;"P"&amp;$A43))),0)-IFERROR(VALUE(IF(RTD("tos.rtd",,"IMPL_VOL","."&amp;T$2&amp;T$1&amp;"C"&amp;$A43)="N/A",0,RTD("tos.rtd",,"IMPL_VOL","."&amp;T$2&amp;T$1&amp;"C"&amp;$A43))),0),IF($A$2="MAXPAIN",IF($A$4&gt;$A43,($A$4-$A43)*IF(RTD("tos.rtd",,"OPEN_INT","."&amp;T$2&amp;T$1&amp;"C"&amp;$A43)="N/A",0,RTD("tos.rtd",,"OPEN_INT","."&amp;T$2&amp;T$1&amp;"C"&amp;$A43)),0)+IF($A$4&lt;$A43,($A$5-$A$4)*IF(RTD("tos.rtd",,"OPEN_INT","."&amp;T$2&amp;T$1&amp;"P"&amp;$A43)="N/A",0,RTD("tos.rtd",,"OPEN_INT","."&amp;T$2&amp;T$1&amp;"P"&amp;$A43)),0),IF($X$1="ABS",IF(RTD("tos.rtd",,$A$2,"."&amp;T$2&amp;T$1&amp;"C"&amp;$A43)="N/A",0,RTD("tos.rtd",,$A$2,"."&amp;T$2&amp;T$1&amp;"C"&amp;$A43))+IF(RTD("tos.rtd",,$A$2,"."&amp;T$2&amp;T$1&amp;"P"&amp;$A43)="N/A",0,RTD("tos.rtd",,$A$2,"."&amp;T$2&amp;T$1&amp;"P"&amp;$A43)),IF(RTD("tos.rtd",,$A$2,"."&amp;T$2&amp;T$1&amp;"C"&amp;$A43)="N/A",0,RTD("tos.rtd",,$A$2,"."&amp;T$2&amp;T$1&amp;"C"&amp;$A43))-IF(RTD("tos.rtd",,$A$2,"."&amp;T$2&amp;T$1&amp;"P"&amp;$A43)="N/A",0,RTD("tos.rtd",,$A$2,"."&amp;T$2&amp;T$1&amp;"P"&amp;$A43))))))))))</f>
        <v>0</v>
      </c>
      <c r="U43" s="12">
        <f ca="1">IF($A$2="PREMIUM_OI",IFERROR(IF($X$1="ABS",(100*RTD("tos.rtd",,"OPEN_INT","."&amp;U$2&amp;U$1&amp;"C"&amp;$A43)*RTD("tos.rtd",,"LAST","."&amp;U$2&amp;U$1&amp;"C"&amp;$A43)+100*RTD("tos.rtd",,"OPEN_INT","."&amp;U$2&amp;U$1&amp;"P"&amp;$A43)*RTD("tos.rtd",,"LAST","."&amp;U$2&amp;U$1&amp;"P"&amp;$A43))/1000000,(100*RTD("tos.rtd",,"OPEN_INT","."&amp;U$2&amp;U$1&amp;"C"&amp;$A43)*RTD("tos.rtd",,"LAST","."&amp;U$2&amp;U$1&amp;"C"&amp;$A43)-100*RTD("tos.rtd",,"OPEN_INT","."&amp;U$2&amp;U$1&amp;"P"&amp;$A43)*RTD("tos.rtd",,"LAST","."&amp;U$2&amp;U$1&amp;"P"&amp;$A43))/1000000),0),IF($A$2="PREMIUM",IFERROR(IF($X$1="ABS",(100*RTD("tos.rtd",,"VOLUME","."&amp;U$2&amp;U$1&amp;"C"&amp;$A43)*RTD("tos.rtd",,"LAST","."&amp;U$2&amp;U$1&amp;"C"&amp;$A43)+100*RTD("tos.rtd",,"VOLUME","."&amp;U$2&amp;U$1&amp;"P"&amp;$A43)*RTD("tos.rtd",,"LAST","."&amp;U$2&amp;U$1&amp;"P"&amp;$A43))/1000000,(100*RTD("tos.rtd",,"VOLUME","."&amp;U$2&amp;U$1&amp;"C"&amp;$A43)*RTD("tos.rtd",,"LAST","."&amp;U$2&amp;U$1&amp;"C"&amp;$A43)-100*RTD("tos.rtd",,"VOLUME","."&amp;U$2&amp;U$1&amp;"P"&amp;$A43)*RTD("tos.rtd",,"LAST","."&amp;U$2&amp;U$1&amp;"P"&amp;$A43))/1000000),0),IF($A$2="DEX",IFERROR(IF($X$1="ABS",(100*RTD("tos.rtd",,"OPEN_INT","."&amp;U$2&amp;U$1&amp;"C"&amp;$A43)*RTD("tos.rtd",,"DELTA","."&amp;U$2&amp;U$1&amp;"C"&amp;$A43)+100*RTD("tos.rtd",,"OPEN_INT","."&amp;U$2&amp;U$1&amp;"P"&amp;$A43)*RTD("tos.rtd",,"DELTA","."&amp;U$2&amp;U$1&amp;"P"&amp;$A43))/1000,(100*RTD("tos.rtd",,"OPEN_INT","."&amp;U$2&amp;U$1&amp;"C"&amp;$A43)*RTD("tos.rtd",,"DELTA","."&amp;U$2&amp;U$1&amp;"C"&amp;$A43)-100*RTD("tos.rtd",,"OPEN_INT","."&amp;U$2&amp;U$1&amp;"P"&amp;$A43)*RTD("tos.rtd",,"DELTA","."&amp;U$2&amp;U$1&amp;"P"&amp;$A43))/1000),0),IF($A$2="VEX",IFERROR(IF($X$1="ABS",($A$4*$A$4*RTD("tos.rtd",,"VOLUME","."&amp;U$2&amp;U$1&amp;"C"&amp;$A43)*RTD("tos.rtd",,"GAMMA","."&amp;U$2&amp;U$1&amp;"C"&amp;$A43)+$A$4*$A$4*RTD("tos.rtd",,"VOLUME","."&amp;U$2&amp;U$1&amp;"P"&amp;$A43)*RTD("tos.rtd",,"GAMMA","."&amp;U$2&amp;U$1&amp;"P"&amp;$A43))/1000000,($A$4*$A$4*RTD("tos.rtd",,"VOLUME","."&amp;U$2&amp;U$1&amp;"C"&amp;$A43)*RTD("tos.rtd",,"GAMMA","."&amp;U$2&amp;U$1&amp;"C"&amp;$A43)-$A$4*$A$4*RTD("tos.rtd",,"VOLUME","."&amp;U$2&amp;U$1&amp;"P"&amp;$A43)*RTD("tos.rtd",,"GAMMA","."&amp;U$2&amp;U$1&amp;"P"&amp;$A43))/1000000),0),IF($A$2="GEX",IFERROR(IF($X$1="ABS",($A$4*$A$4*RTD("tos.rtd",,"OPEN_INT","."&amp;U$2&amp;U$1&amp;"C"&amp;$A43)*RTD("tos.rtd",,"GAMMA","."&amp;U$2&amp;U$1&amp;"C"&amp;$A43)+$A$4*$A$4*RTD("tos.rtd",,"OPEN_INT","."&amp;U$2&amp;U$1&amp;"P"&amp;$A43)*RTD("tos.rtd",,"GAMMA","."&amp;U$2&amp;U$1&amp;"P"&amp;$A43))/1000000,($A$4*$A$4*RTD("tos.rtd",,"OPEN_INT","."&amp;U$2&amp;U$1&amp;"C"&amp;$A43)*RTD("tos.rtd",,"GAMMA","."&amp;U$2&amp;U$1&amp;"C"&amp;$A43)-$A$4*$A$4*RTD("tos.rtd",,"OPEN_INT","."&amp;U$2&amp;U$1&amp;"P"&amp;$A43)*RTD("tos.rtd",,"GAMMA","."&amp;U$2&amp;U$1&amp;"P"&amp;$A43))/1000000),0),IF($A$2="SKEW",IFERROR(VALUE(IF(RTD("tos.rtd",,"IMPL_VOL","."&amp;U$2&amp;U$1&amp;"P"&amp;$A43)="N/A",0,RTD("tos.rtd",,"IMPL_VOL","."&amp;U$2&amp;U$1&amp;"P"&amp;$A43))),0)-IFERROR(VALUE(IF(RTD("tos.rtd",,"IMPL_VOL","."&amp;U$2&amp;U$1&amp;"C"&amp;$A43)="N/A",0,RTD("tos.rtd",,"IMPL_VOL","."&amp;U$2&amp;U$1&amp;"C"&amp;$A43))),0),IF($A$2="MAXPAIN",IF($A$4&gt;$A43,($A$4-$A43)*IF(RTD("tos.rtd",,"OPEN_INT","."&amp;U$2&amp;U$1&amp;"C"&amp;$A43)="N/A",0,RTD("tos.rtd",,"OPEN_INT","."&amp;U$2&amp;U$1&amp;"C"&amp;$A43)),0)+IF($A$4&lt;$A43,($A$5-$A$4)*IF(RTD("tos.rtd",,"OPEN_INT","."&amp;U$2&amp;U$1&amp;"P"&amp;$A43)="N/A",0,RTD("tos.rtd",,"OPEN_INT","."&amp;U$2&amp;U$1&amp;"P"&amp;$A43)),0),IF($X$1="ABS",IF(RTD("tos.rtd",,$A$2,"."&amp;U$2&amp;U$1&amp;"C"&amp;$A43)="N/A",0,RTD("tos.rtd",,$A$2,"."&amp;U$2&amp;U$1&amp;"C"&amp;$A43))+IF(RTD("tos.rtd",,$A$2,"."&amp;U$2&amp;U$1&amp;"P"&amp;$A43)="N/A",0,RTD("tos.rtd",,$A$2,"."&amp;U$2&amp;U$1&amp;"P"&amp;$A43)),IF(RTD("tos.rtd",,$A$2,"."&amp;U$2&amp;U$1&amp;"C"&amp;$A43)="N/A",0,RTD("tos.rtd",,$A$2,"."&amp;U$2&amp;U$1&amp;"C"&amp;$A43))-IF(RTD("tos.rtd",,$A$2,"."&amp;U$2&amp;U$1&amp;"P"&amp;$A43)="N/A",0,RTD("tos.rtd",,$A$2,"."&amp;U$2&amp;U$1&amp;"P"&amp;$A43))))))))))</f>
        <v>0</v>
      </c>
      <c r="V43" s="12">
        <f ca="1">IF($A$2="PREMIUM_OI",IFERROR(IF($X$1="ABS",(100*RTD("tos.rtd",,"OPEN_INT","."&amp;V$2&amp;V$1&amp;"C"&amp;$A43)*RTD("tos.rtd",,"LAST","."&amp;V$2&amp;V$1&amp;"C"&amp;$A43)+100*RTD("tos.rtd",,"OPEN_INT","."&amp;V$2&amp;V$1&amp;"P"&amp;$A43)*RTD("tos.rtd",,"LAST","."&amp;V$2&amp;V$1&amp;"P"&amp;$A43))/1000000,(100*RTD("tos.rtd",,"OPEN_INT","."&amp;V$2&amp;V$1&amp;"C"&amp;$A43)*RTD("tos.rtd",,"LAST","."&amp;V$2&amp;V$1&amp;"C"&amp;$A43)-100*RTD("tos.rtd",,"OPEN_INT","."&amp;V$2&amp;V$1&amp;"P"&amp;$A43)*RTD("tos.rtd",,"LAST","."&amp;V$2&amp;V$1&amp;"P"&amp;$A43))/1000000),0),IF($A$2="PREMIUM",IFERROR(IF($X$1="ABS",(100*RTD("tos.rtd",,"VOLUME","."&amp;V$2&amp;V$1&amp;"C"&amp;$A43)*RTD("tos.rtd",,"LAST","."&amp;V$2&amp;V$1&amp;"C"&amp;$A43)+100*RTD("tos.rtd",,"VOLUME","."&amp;V$2&amp;V$1&amp;"P"&amp;$A43)*RTD("tos.rtd",,"LAST","."&amp;V$2&amp;V$1&amp;"P"&amp;$A43))/1000000,(100*RTD("tos.rtd",,"VOLUME","."&amp;V$2&amp;V$1&amp;"C"&amp;$A43)*RTD("tos.rtd",,"LAST","."&amp;V$2&amp;V$1&amp;"C"&amp;$A43)-100*RTD("tos.rtd",,"VOLUME","."&amp;V$2&amp;V$1&amp;"P"&amp;$A43)*RTD("tos.rtd",,"LAST","."&amp;V$2&amp;V$1&amp;"P"&amp;$A43))/1000000),0),IF($A$2="DEX",IFERROR(IF($X$1="ABS",(100*RTD("tos.rtd",,"OPEN_INT","."&amp;V$2&amp;V$1&amp;"C"&amp;$A43)*RTD("tos.rtd",,"DELTA","."&amp;V$2&amp;V$1&amp;"C"&amp;$A43)+100*RTD("tos.rtd",,"OPEN_INT","."&amp;V$2&amp;V$1&amp;"P"&amp;$A43)*RTD("tos.rtd",,"DELTA","."&amp;V$2&amp;V$1&amp;"P"&amp;$A43))/1000,(100*RTD("tos.rtd",,"OPEN_INT","."&amp;V$2&amp;V$1&amp;"C"&amp;$A43)*RTD("tos.rtd",,"DELTA","."&amp;V$2&amp;V$1&amp;"C"&amp;$A43)-100*RTD("tos.rtd",,"OPEN_INT","."&amp;V$2&amp;V$1&amp;"P"&amp;$A43)*RTD("tos.rtd",,"DELTA","."&amp;V$2&amp;V$1&amp;"P"&amp;$A43))/1000),0),IF($A$2="VEX",IFERROR(IF($X$1="ABS",($A$4*$A$4*RTD("tos.rtd",,"VOLUME","."&amp;V$2&amp;V$1&amp;"C"&amp;$A43)*RTD("tos.rtd",,"GAMMA","."&amp;V$2&amp;V$1&amp;"C"&amp;$A43)+$A$4*$A$4*RTD("tos.rtd",,"VOLUME","."&amp;V$2&amp;V$1&amp;"P"&amp;$A43)*RTD("tos.rtd",,"GAMMA","."&amp;V$2&amp;V$1&amp;"P"&amp;$A43))/1000000,($A$4*$A$4*RTD("tos.rtd",,"VOLUME","."&amp;V$2&amp;V$1&amp;"C"&amp;$A43)*RTD("tos.rtd",,"GAMMA","."&amp;V$2&amp;V$1&amp;"C"&amp;$A43)-$A$4*$A$4*RTD("tos.rtd",,"VOLUME","."&amp;V$2&amp;V$1&amp;"P"&amp;$A43)*RTD("tos.rtd",,"GAMMA","."&amp;V$2&amp;V$1&amp;"P"&amp;$A43))/1000000),0),IF($A$2="GEX",IFERROR(IF($X$1="ABS",($A$4*$A$4*RTD("tos.rtd",,"OPEN_INT","."&amp;V$2&amp;V$1&amp;"C"&amp;$A43)*RTD("tos.rtd",,"GAMMA","."&amp;V$2&amp;V$1&amp;"C"&amp;$A43)+$A$4*$A$4*RTD("tos.rtd",,"OPEN_INT","."&amp;V$2&amp;V$1&amp;"P"&amp;$A43)*RTD("tos.rtd",,"GAMMA","."&amp;V$2&amp;V$1&amp;"P"&amp;$A43))/1000000,($A$4*$A$4*RTD("tos.rtd",,"OPEN_INT","."&amp;V$2&amp;V$1&amp;"C"&amp;$A43)*RTD("tos.rtd",,"GAMMA","."&amp;V$2&amp;V$1&amp;"C"&amp;$A43)-$A$4*$A$4*RTD("tos.rtd",,"OPEN_INT","."&amp;V$2&amp;V$1&amp;"P"&amp;$A43)*RTD("tos.rtd",,"GAMMA","."&amp;V$2&amp;V$1&amp;"P"&amp;$A43))/1000000),0),IF($A$2="SKEW",IFERROR(VALUE(IF(RTD("tos.rtd",,"IMPL_VOL","."&amp;V$2&amp;V$1&amp;"P"&amp;$A43)="N/A",0,RTD("tos.rtd",,"IMPL_VOL","."&amp;V$2&amp;V$1&amp;"P"&amp;$A43))),0)-IFERROR(VALUE(IF(RTD("tos.rtd",,"IMPL_VOL","."&amp;V$2&amp;V$1&amp;"C"&amp;$A43)="N/A",0,RTD("tos.rtd",,"IMPL_VOL","."&amp;V$2&amp;V$1&amp;"C"&amp;$A43))),0),IF($A$2="MAXPAIN",IF($A$4&gt;$A43,($A$4-$A43)*IF(RTD("tos.rtd",,"OPEN_INT","."&amp;V$2&amp;V$1&amp;"C"&amp;$A43)="N/A",0,RTD("tos.rtd",,"OPEN_INT","."&amp;V$2&amp;V$1&amp;"C"&amp;$A43)),0)+IF($A$4&lt;$A43,($A$5-$A$4)*IF(RTD("tos.rtd",,"OPEN_INT","."&amp;V$2&amp;V$1&amp;"P"&amp;$A43)="N/A",0,RTD("tos.rtd",,"OPEN_INT","."&amp;V$2&amp;V$1&amp;"P"&amp;$A43)),0),IF($X$1="ABS",IF(RTD("tos.rtd",,$A$2,"."&amp;V$2&amp;V$1&amp;"C"&amp;$A43)="N/A",0,RTD("tos.rtd",,$A$2,"."&amp;V$2&amp;V$1&amp;"C"&amp;$A43))+IF(RTD("tos.rtd",,$A$2,"."&amp;V$2&amp;V$1&amp;"P"&amp;$A43)="N/A",0,RTD("tos.rtd",,$A$2,"."&amp;V$2&amp;V$1&amp;"P"&amp;$A43)),IF(RTD("tos.rtd",,$A$2,"."&amp;V$2&amp;V$1&amp;"C"&amp;$A43)="N/A",0,RTD("tos.rtd",,$A$2,"."&amp;V$2&amp;V$1&amp;"C"&amp;$A43))-IF(RTD("tos.rtd",,$A$2,"."&amp;V$2&amp;V$1&amp;"P"&amp;$A43)="N/A",0,RTD("tos.rtd",,$A$2,"."&amp;V$2&amp;V$1&amp;"P"&amp;$A43))))))))))</f>
        <v>0</v>
      </c>
      <c r="W43" s="12">
        <f ca="1">IF($A$2="PREMIUM_OI",IFERROR(IF($X$1="ABS",(100*RTD("tos.rtd",,"OPEN_INT","."&amp;W$2&amp;W$1&amp;"C"&amp;$A43)*RTD("tos.rtd",,"LAST","."&amp;W$2&amp;W$1&amp;"C"&amp;$A43)+100*RTD("tos.rtd",,"OPEN_INT","."&amp;W$2&amp;W$1&amp;"P"&amp;$A43)*RTD("tos.rtd",,"LAST","."&amp;W$2&amp;W$1&amp;"P"&amp;$A43))/1000000,(100*RTD("tos.rtd",,"OPEN_INT","."&amp;W$2&amp;W$1&amp;"C"&amp;$A43)*RTD("tos.rtd",,"LAST","."&amp;W$2&amp;W$1&amp;"C"&amp;$A43)-100*RTD("tos.rtd",,"OPEN_INT","."&amp;W$2&amp;W$1&amp;"P"&amp;$A43)*RTD("tos.rtd",,"LAST","."&amp;W$2&amp;W$1&amp;"P"&amp;$A43))/1000000),0),IF($A$2="PREMIUM",IFERROR(IF($X$1="ABS",(100*RTD("tos.rtd",,"VOLUME","."&amp;W$2&amp;W$1&amp;"C"&amp;$A43)*RTD("tos.rtd",,"LAST","."&amp;W$2&amp;W$1&amp;"C"&amp;$A43)+100*RTD("tos.rtd",,"VOLUME","."&amp;W$2&amp;W$1&amp;"P"&amp;$A43)*RTD("tos.rtd",,"LAST","."&amp;W$2&amp;W$1&amp;"P"&amp;$A43))/1000000,(100*RTD("tos.rtd",,"VOLUME","."&amp;W$2&amp;W$1&amp;"C"&amp;$A43)*RTD("tos.rtd",,"LAST","."&amp;W$2&amp;W$1&amp;"C"&amp;$A43)-100*RTD("tos.rtd",,"VOLUME","."&amp;W$2&amp;W$1&amp;"P"&amp;$A43)*RTD("tos.rtd",,"LAST","."&amp;W$2&amp;W$1&amp;"P"&amp;$A43))/1000000),0),IF($A$2="DEX",IFERROR(IF($X$1="ABS",(100*RTD("tos.rtd",,"OPEN_INT","."&amp;W$2&amp;W$1&amp;"C"&amp;$A43)*RTD("tos.rtd",,"DELTA","."&amp;W$2&amp;W$1&amp;"C"&amp;$A43)+100*RTD("tos.rtd",,"OPEN_INT","."&amp;W$2&amp;W$1&amp;"P"&amp;$A43)*RTD("tos.rtd",,"DELTA","."&amp;W$2&amp;W$1&amp;"P"&amp;$A43))/1000,(100*RTD("tos.rtd",,"OPEN_INT","."&amp;W$2&amp;W$1&amp;"C"&amp;$A43)*RTD("tos.rtd",,"DELTA","."&amp;W$2&amp;W$1&amp;"C"&amp;$A43)-100*RTD("tos.rtd",,"OPEN_INT","."&amp;W$2&amp;W$1&amp;"P"&amp;$A43)*RTD("tos.rtd",,"DELTA","."&amp;W$2&amp;W$1&amp;"P"&amp;$A43))/1000),0),IF($A$2="VEX",IFERROR(IF($X$1="ABS",($A$4*$A$4*RTD("tos.rtd",,"VOLUME","."&amp;W$2&amp;W$1&amp;"C"&amp;$A43)*RTD("tos.rtd",,"GAMMA","."&amp;W$2&amp;W$1&amp;"C"&amp;$A43)+$A$4*$A$4*RTD("tos.rtd",,"VOLUME","."&amp;W$2&amp;W$1&amp;"P"&amp;$A43)*RTD("tos.rtd",,"GAMMA","."&amp;W$2&amp;W$1&amp;"P"&amp;$A43))/1000000,($A$4*$A$4*RTD("tos.rtd",,"VOLUME","."&amp;W$2&amp;W$1&amp;"C"&amp;$A43)*RTD("tos.rtd",,"GAMMA","."&amp;W$2&amp;W$1&amp;"C"&amp;$A43)-$A$4*$A$4*RTD("tos.rtd",,"VOLUME","."&amp;W$2&amp;W$1&amp;"P"&amp;$A43)*RTD("tos.rtd",,"GAMMA","."&amp;W$2&amp;W$1&amp;"P"&amp;$A43))/1000000),0),IF($A$2="GEX",IFERROR(IF($X$1="ABS",($A$4*$A$4*RTD("tos.rtd",,"OPEN_INT","."&amp;W$2&amp;W$1&amp;"C"&amp;$A43)*RTD("tos.rtd",,"GAMMA","."&amp;W$2&amp;W$1&amp;"C"&amp;$A43)+$A$4*$A$4*RTD("tos.rtd",,"OPEN_INT","."&amp;W$2&amp;W$1&amp;"P"&amp;$A43)*RTD("tos.rtd",,"GAMMA","."&amp;W$2&amp;W$1&amp;"P"&amp;$A43))/1000000,($A$4*$A$4*RTD("tos.rtd",,"OPEN_INT","."&amp;W$2&amp;W$1&amp;"C"&amp;$A43)*RTD("tos.rtd",,"GAMMA","."&amp;W$2&amp;W$1&amp;"C"&amp;$A43)-$A$4*$A$4*RTD("tos.rtd",,"OPEN_INT","."&amp;W$2&amp;W$1&amp;"P"&amp;$A43)*RTD("tos.rtd",,"GAMMA","."&amp;W$2&amp;W$1&amp;"P"&amp;$A43))/1000000),0),IF($A$2="SKEW",IFERROR(VALUE(IF(RTD("tos.rtd",,"IMPL_VOL","."&amp;W$2&amp;W$1&amp;"P"&amp;$A43)="N/A",0,RTD("tos.rtd",,"IMPL_VOL","."&amp;W$2&amp;W$1&amp;"P"&amp;$A43))),0)-IFERROR(VALUE(IF(RTD("tos.rtd",,"IMPL_VOL","."&amp;W$2&amp;W$1&amp;"C"&amp;$A43)="N/A",0,RTD("tos.rtd",,"IMPL_VOL","."&amp;W$2&amp;W$1&amp;"C"&amp;$A43))),0),IF($A$2="MAXPAIN",IF($A$4&gt;$A43,($A$4-$A43)*IF(RTD("tos.rtd",,"OPEN_INT","."&amp;W$2&amp;W$1&amp;"C"&amp;$A43)="N/A",0,RTD("tos.rtd",,"OPEN_INT","."&amp;W$2&amp;W$1&amp;"C"&amp;$A43)),0)+IF($A$4&lt;$A43,($A$5-$A$4)*IF(RTD("tos.rtd",,"OPEN_INT","."&amp;W$2&amp;W$1&amp;"P"&amp;$A43)="N/A",0,RTD("tos.rtd",,"OPEN_INT","."&amp;W$2&amp;W$1&amp;"P"&amp;$A43)),0),IF($X$1="ABS",IF(RTD("tos.rtd",,$A$2,"."&amp;W$2&amp;W$1&amp;"C"&amp;$A43)="N/A",0,RTD("tos.rtd",,$A$2,"."&amp;W$2&amp;W$1&amp;"C"&amp;$A43))+IF(RTD("tos.rtd",,$A$2,"."&amp;W$2&amp;W$1&amp;"P"&amp;$A43)="N/A",0,RTD("tos.rtd",,$A$2,"."&amp;W$2&amp;W$1&amp;"P"&amp;$A43)),IF(RTD("tos.rtd",,$A$2,"."&amp;W$2&amp;W$1&amp;"C"&amp;$A43)="N/A",0,RTD("tos.rtd",,$A$2,"."&amp;W$2&amp;W$1&amp;"C"&amp;$A43))-IF(RTD("tos.rtd",,$A$2,"."&amp;W$2&amp;W$1&amp;"P"&amp;$A43)="N/A",0,RTD("tos.rtd",,$A$2,"."&amp;W$2&amp;W$1&amp;"P"&amp;$A43))))))))))</f>
        <v>0</v>
      </c>
      <c r="X43" s="57">
        <f t="shared" ca="1" si="7"/>
        <v>-201</v>
      </c>
      <c r="Y43" s="27">
        <f t="shared" ca="1" si="8"/>
        <v>-201</v>
      </c>
      <c r="Z43" s="27">
        <f t="shared" ca="1" si="9"/>
        <v>2512</v>
      </c>
      <c r="AA43" s="27">
        <f t="shared" si="10"/>
        <v>33410200</v>
      </c>
      <c r="AB43" s="18">
        <f>MAX(0, $A43-AB$4)*IF(RTD("tos.rtd",,"OPEN_INT","."&amp;$AA$3&amp;$AA$4&amp;"C"&amp;AB$4)="N/A",0,RTD("tos.rtd",,"OPEN_INT","."&amp;$AA$3&amp;$AA$4&amp;"C"&amp;AB$4))*100 + MAX(0, AB$4-$A43)*IF(RTD("tos.rtd",,"OPEN_INT","."&amp;$AA$3&amp;$AA$4&amp;"P"&amp;AB$4)="N/A",0,RTD("tos.rtd",,"OPEN_INT","."&amp;$AA$3&amp;$AA$4&amp;"P"&amp;AB$4))*100</f>
        <v>0</v>
      </c>
      <c r="AC43" s="18">
        <f>MAX(0, $A43-AC$4)*IF(RTD("tos.rtd",,"OPEN_INT","."&amp;$AA$3&amp;$AA$4&amp;"C"&amp;AC$4)="N/A",0,RTD("tos.rtd",,"OPEN_INT","."&amp;$AA$3&amp;$AA$4&amp;"C"&amp;AC$4))*100 + MAX(0, AC$4-$A43)*IF(RTD("tos.rtd",,"OPEN_INT","."&amp;$AA$3&amp;$AA$4&amp;"P"&amp;AC$4)="N/A",0,RTD("tos.rtd",,"OPEN_INT","."&amp;$AA$3&amp;$AA$4&amp;"P"&amp;AC$4))*100</f>
        <v>0</v>
      </c>
      <c r="AD43" s="18">
        <f>MAX(0, $A43-AD$4)*IF(RTD("tos.rtd",,"OPEN_INT","."&amp;$AA$3&amp;$AA$4&amp;"C"&amp;AD$4)="N/A",0,RTD("tos.rtd",,"OPEN_INT","."&amp;$AA$3&amp;$AA$4&amp;"C"&amp;AD$4))*100 + MAX(0, AD$4-$A43)*IF(RTD("tos.rtd",,"OPEN_INT","."&amp;$AA$3&amp;$AA$4&amp;"P"&amp;AD$4)="N/A",0,RTD("tos.rtd",,"OPEN_INT","."&amp;$AA$3&amp;$AA$4&amp;"P"&amp;AD$4))*100</f>
        <v>0</v>
      </c>
      <c r="AE43" s="18">
        <f>MAX(0, $A43-AE$4)*IF(RTD("tos.rtd",,"OPEN_INT","."&amp;$AA$3&amp;$AA$4&amp;"C"&amp;AE$4)="N/A",0,RTD("tos.rtd",,"OPEN_INT","."&amp;$AA$3&amp;$AA$4&amp;"C"&amp;AE$4))*100 + MAX(0, AE$4-$A43)*IF(RTD("tos.rtd",,"OPEN_INT","."&amp;$AA$3&amp;$AA$4&amp;"P"&amp;AE$4)="N/A",0,RTD("tos.rtd",,"OPEN_INT","."&amp;$AA$3&amp;$AA$4&amp;"P"&amp;AE$4))*100</f>
        <v>0</v>
      </c>
      <c r="AF43" s="18">
        <f>MAX(0, $A43-AF$4)*IF(RTD("tos.rtd",,"OPEN_INT","."&amp;$AA$3&amp;$AA$4&amp;"C"&amp;AF$4)="N/A",0,RTD("tos.rtd",,"OPEN_INT","."&amp;$AA$3&amp;$AA$4&amp;"C"&amp;AF$4))*100 + MAX(0, AF$4-$A43)*IF(RTD("tos.rtd",,"OPEN_INT","."&amp;$AA$3&amp;$AA$4&amp;"P"&amp;AF$4)="N/A",0,RTD("tos.rtd",,"OPEN_INT","."&amp;$AA$3&amp;$AA$4&amp;"P"&amp;AF$4))*100</f>
        <v>0</v>
      </c>
      <c r="AG43" s="18">
        <f>MAX(0, $A43-AG$4)*IF(RTD("tos.rtd",,"OPEN_INT","."&amp;$AA$3&amp;$AA$4&amp;"C"&amp;AG$4)="N/A",0,RTD("tos.rtd",,"OPEN_INT","."&amp;$AA$3&amp;$AA$4&amp;"C"&amp;AG$4))*100 + MAX(0, AG$4-$A43)*IF(RTD("tos.rtd",,"OPEN_INT","."&amp;$AA$3&amp;$AA$4&amp;"P"&amp;AG$4)="N/A",0,RTD("tos.rtd",,"OPEN_INT","."&amp;$AA$3&amp;$AA$4&amp;"P"&amp;AG$4))*100</f>
        <v>0</v>
      </c>
      <c r="AH43" s="18">
        <f>MAX(0, $A43-AH$4)*IF(RTD("tos.rtd",,"OPEN_INT","."&amp;$AA$3&amp;$AA$4&amp;"C"&amp;AH$4)="N/A",0,RTD("tos.rtd",,"OPEN_INT","."&amp;$AA$3&amp;$AA$4&amp;"C"&amp;AH$4))*100 + MAX(0, AH$4-$A43)*IF(RTD("tos.rtd",,"OPEN_INT","."&amp;$AA$3&amp;$AA$4&amp;"P"&amp;AH$4)="N/A",0,RTD("tos.rtd",,"OPEN_INT","."&amp;$AA$3&amp;$AA$4&amp;"P"&amp;AH$4))*100</f>
        <v>0</v>
      </c>
      <c r="AI43" s="18">
        <f>MAX(0, $A43-AI$4)*IF(RTD("tos.rtd",,"OPEN_INT","."&amp;$AA$3&amp;$AA$4&amp;"C"&amp;AI$4)="N/A",0,RTD("tos.rtd",,"OPEN_INT","."&amp;$AA$3&amp;$AA$4&amp;"C"&amp;AI$4))*100 + MAX(0, AI$4-$A43)*IF(RTD("tos.rtd",,"OPEN_INT","."&amp;$AA$3&amp;$AA$4&amp;"P"&amp;AI$4)="N/A",0,RTD("tos.rtd",,"OPEN_INT","."&amp;$AA$3&amp;$AA$4&amp;"P"&amp;AI$4))*100</f>
        <v>4650</v>
      </c>
      <c r="AJ43" s="18">
        <f>MAX(0, $A43-AJ$4)*IF(RTD("tos.rtd",,"OPEN_INT","."&amp;$AA$3&amp;$AA$4&amp;"C"&amp;AJ$4)="N/A",0,RTD("tos.rtd",,"OPEN_INT","."&amp;$AA$3&amp;$AA$4&amp;"C"&amp;AJ$4))*100 + MAX(0, AJ$4-$A43)*IF(RTD("tos.rtd",,"OPEN_INT","."&amp;$AA$3&amp;$AA$4&amp;"P"&amp;AJ$4)="N/A",0,RTD("tos.rtd",,"OPEN_INT","."&amp;$AA$3&amp;$AA$4&amp;"P"&amp;AJ$4))*100</f>
        <v>12000</v>
      </c>
      <c r="AK43" s="18">
        <f>MAX(0, $A43-AK$4)*IF(RTD("tos.rtd",,"OPEN_INT","."&amp;$AA$3&amp;$AA$4&amp;"C"&amp;AK$4)="N/A",0,RTD("tos.rtd",,"OPEN_INT","."&amp;$AA$3&amp;$AA$4&amp;"C"&amp;AK$4))*100 + MAX(0, AK$4-$A43)*IF(RTD("tos.rtd",,"OPEN_INT","."&amp;$AA$3&amp;$AA$4&amp;"P"&amp;AK$4)="N/A",0,RTD("tos.rtd",,"OPEN_INT","."&amp;$AA$3&amp;$AA$4&amp;"P"&amp;AK$4))*100</f>
        <v>0</v>
      </c>
      <c r="AL43" s="18">
        <f>MAX(0, $A43-AL$4)*IF(RTD("tos.rtd",,"OPEN_INT","."&amp;$AA$3&amp;$AA$4&amp;"C"&amp;AL$4)="N/A",0,RTD("tos.rtd",,"OPEN_INT","."&amp;$AA$3&amp;$AA$4&amp;"C"&amp;AL$4))*100 + MAX(0, AL$4-$A43)*IF(RTD("tos.rtd",,"OPEN_INT","."&amp;$AA$3&amp;$AA$4&amp;"P"&amp;AL$4)="N/A",0,RTD("tos.rtd",,"OPEN_INT","."&amp;$AA$3&amp;$AA$4&amp;"P"&amp;AL$4))*100</f>
        <v>0</v>
      </c>
      <c r="AM43" s="18">
        <f>MAX(0, $A43-AM$4)*IF(RTD("tos.rtd",,"OPEN_INT","."&amp;$AA$3&amp;$AA$4&amp;"C"&amp;AM$4)="N/A",0,RTD("tos.rtd",,"OPEN_INT","."&amp;$AA$3&amp;$AA$4&amp;"C"&amp;AM$4))*100 + MAX(0, AM$4-$A43)*IF(RTD("tos.rtd",,"OPEN_INT","."&amp;$AA$3&amp;$AA$4&amp;"P"&amp;AM$4)="N/A",0,RTD("tos.rtd",,"OPEN_INT","."&amp;$AA$3&amp;$AA$4&amp;"P"&amp;AM$4))*100</f>
        <v>0</v>
      </c>
      <c r="AN43" s="18">
        <f>MAX(0, $A43-AN$4)*IF(RTD("tos.rtd",,"OPEN_INT","."&amp;$AA$3&amp;$AA$4&amp;"C"&amp;AN$4)="N/A",0,RTD("tos.rtd",,"OPEN_INT","."&amp;$AA$3&amp;$AA$4&amp;"C"&amp;AN$4))*100 + MAX(0, AN$4-$A43)*IF(RTD("tos.rtd",,"OPEN_INT","."&amp;$AA$3&amp;$AA$4&amp;"P"&amp;AN$4)="N/A",0,RTD("tos.rtd",,"OPEN_INT","."&amp;$AA$3&amp;$AA$4&amp;"P"&amp;AN$4))*100</f>
        <v>0</v>
      </c>
      <c r="AO43" s="18">
        <f>MAX(0, $A43-AO$4)*IF(RTD("tos.rtd",,"OPEN_INT","."&amp;$AA$3&amp;$AA$4&amp;"C"&amp;AO$4)="N/A",0,RTD("tos.rtd",,"OPEN_INT","."&amp;$AA$3&amp;$AA$4&amp;"C"&amp;AO$4))*100 + MAX(0, AO$4-$A43)*IF(RTD("tos.rtd",,"OPEN_INT","."&amp;$AA$3&amp;$AA$4&amp;"P"&amp;AO$4)="N/A",0,RTD("tos.rtd",,"OPEN_INT","."&amp;$AA$3&amp;$AA$4&amp;"P"&amp;AO$4))*100</f>
        <v>150000</v>
      </c>
      <c r="AP43" s="18">
        <f>MAX(0, $A43-AP$4)*IF(RTD("tos.rtd",,"OPEN_INT","."&amp;$AA$3&amp;$AA$4&amp;"C"&amp;AP$4)="N/A",0,RTD("tos.rtd",,"OPEN_INT","."&amp;$AA$3&amp;$AA$4&amp;"C"&amp;AP$4))*100 + MAX(0, AP$4-$A43)*IF(RTD("tos.rtd",,"OPEN_INT","."&amp;$AA$3&amp;$AA$4&amp;"P"&amp;AP$4)="N/A",0,RTD("tos.rtd",,"OPEN_INT","."&amp;$AA$3&amp;$AA$4&amp;"P"&amp;AP$4))*100</f>
        <v>0</v>
      </c>
      <c r="AQ43" s="18">
        <f>MAX(0, $A43-AQ$4)*IF(RTD("tos.rtd",,"OPEN_INT","."&amp;$AA$3&amp;$AA$4&amp;"C"&amp;AQ$4)="N/A",0,RTD("tos.rtd",,"OPEN_INT","."&amp;$AA$3&amp;$AA$4&amp;"C"&amp;AQ$4))*100 + MAX(0, AQ$4-$A43)*IF(RTD("tos.rtd",,"OPEN_INT","."&amp;$AA$3&amp;$AA$4&amp;"P"&amp;AQ$4)="N/A",0,RTD("tos.rtd",,"OPEN_INT","."&amp;$AA$3&amp;$AA$4&amp;"P"&amp;AQ$4))*100</f>
        <v>60950</v>
      </c>
      <c r="AR43" s="18">
        <f>MAX(0, $A43-AR$4)*IF(RTD("tos.rtd",,"OPEN_INT","."&amp;$AA$3&amp;$AA$4&amp;"C"&amp;AR$4)="N/A",0,RTD("tos.rtd",,"OPEN_INT","."&amp;$AA$3&amp;$AA$4&amp;"C"&amp;AR$4))*100 + MAX(0, AR$4-$A43)*IF(RTD("tos.rtd",,"OPEN_INT","."&amp;$AA$3&amp;$AA$4&amp;"P"&amp;AR$4)="N/A",0,RTD("tos.rtd",,"OPEN_INT","."&amp;$AA$3&amp;$AA$4&amp;"P"&amp;AR$4))*100</f>
        <v>6600</v>
      </c>
      <c r="AS43" s="18">
        <f>MAX(0, $A43-AS$4)*IF(RTD("tos.rtd",,"OPEN_INT","."&amp;$AA$3&amp;$AA$4&amp;"C"&amp;AS$4)="N/A",0,RTD("tos.rtd",,"OPEN_INT","."&amp;$AA$3&amp;$AA$4&amp;"C"&amp;AS$4))*100 + MAX(0, AS$4-$A43)*IF(RTD("tos.rtd",,"OPEN_INT","."&amp;$AA$3&amp;$AA$4&amp;"P"&amp;AS$4)="N/A",0,RTD("tos.rtd",,"OPEN_INT","."&amp;$AA$3&amp;$AA$4&amp;"P"&amp;AS$4))*100</f>
        <v>65100</v>
      </c>
      <c r="AT43" s="18">
        <f>MAX(0, $A43-AT$4)*IF(RTD("tos.rtd",,"OPEN_INT","."&amp;$AA$3&amp;$AA$4&amp;"C"&amp;AT$4)="N/A",0,RTD("tos.rtd",,"OPEN_INT","."&amp;$AA$3&amp;$AA$4&amp;"C"&amp;AT$4))*100 + MAX(0, AT$4-$A43)*IF(RTD("tos.rtd",,"OPEN_INT","."&amp;$AA$3&amp;$AA$4&amp;"P"&amp;AT$4)="N/A",0,RTD("tos.rtd",,"OPEN_INT","."&amp;$AA$3&amp;$AA$4&amp;"P"&amp;AT$4))*100</f>
        <v>70000</v>
      </c>
      <c r="AU43" s="18">
        <f>MAX(0, $A43-AU$4)*IF(RTD("tos.rtd",,"OPEN_INT","."&amp;$AA$3&amp;$AA$4&amp;"C"&amp;AU$4)="N/A",0,RTD("tos.rtd",,"OPEN_INT","."&amp;$AA$3&amp;$AA$4&amp;"C"&amp;AU$4))*100 + MAX(0, AU$4-$A43)*IF(RTD("tos.rtd",,"OPEN_INT","."&amp;$AA$3&amp;$AA$4&amp;"P"&amp;AU$4)="N/A",0,RTD("tos.rtd",,"OPEN_INT","."&amp;$AA$3&amp;$AA$4&amp;"P"&amp;AU$4))*100</f>
        <v>38000</v>
      </c>
      <c r="AV43" s="18">
        <f>MAX(0, $A43-AV$4)*IF(RTD("tos.rtd",,"OPEN_INT","."&amp;$AA$3&amp;$AA$4&amp;"C"&amp;AV$4)="N/A",0,RTD("tos.rtd",,"OPEN_INT","."&amp;$AA$3&amp;$AA$4&amp;"C"&amp;AV$4))*100 + MAX(0, AV$4-$A43)*IF(RTD("tos.rtd",,"OPEN_INT","."&amp;$AA$3&amp;$AA$4&amp;"P"&amp;AV$4)="N/A",0,RTD("tos.rtd",,"OPEN_INT","."&amp;$AA$3&amp;$AA$4&amp;"P"&amp;AV$4))*100</f>
        <v>144900</v>
      </c>
      <c r="AW43" s="18">
        <f>MAX(0, $A43-AW$4)*IF(RTD("tos.rtd",,"OPEN_INT","."&amp;$AA$3&amp;$AA$4&amp;"C"&amp;AW$4)="N/A",0,RTD("tos.rtd",,"OPEN_INT","."&amp;$AA$3&amp;$AA$4&amp;"C"&amp;AW$4))*100 + MAX(0, AW$4-$A43)*IF(RTD("tos.rtd",,"OPEN_INT","."&amp;$AA$3&amp;$AA$4&amp;"P"&amp;AW$4)="N/A",0,RTD("tos.rtd",,"OPEN_INT","."&amp;$AA$3&amp;$AA$4&amp;"P"&amp;AW$4))*100</f>
        <v>171700</v>
      </c>
      <c r="AX43" s="18">
        <f>MAX(0, $A43-AX$4)*IF(RTD("tos.rtd",,"OPEN_INT","."&amp;$AA$3&amp;$AA$4&amp;"C"&amp;AX$4)="N/A",0,RTD("tos.rtd",,"OPEN_INT","."&amp;$AA$3&amp;$AA$4&amp;"C"&amp;AX$4))*100 + MAX(0, AX$4-$A43)*IF(RTD("tos.rtd",,"OPEN_INT","."&amp;$AA$3&amp;$AA$4&amp;"P"&amp;AX$4)="N/A",0,RTD("tos.rtd",,"OPEN_INT","."&amp;$AA$3&amp;$AA$4&amp;"P"&amp;AX$4))*100</f>
        <v>197600</v>
      </c>
      <c r="AY43" s="18">
        <f>MAX(0, $A43-AY$4)*IF(RTD("tos.rtd",,"OPEN_INT","."&amp;$AA$3&amp;$AA$4&amp;"C"&amp;AY$4)="N/A",0,RTD("tos.rtd",,"OPEN_INT","."&amp;$AA$3&amp;$AA$4&amp;"C"&amp;AY$4))*100 + MAX(0, AY$4-$A43)*IF(RTD("tos.rtd",,"OPEN_INT","."&amp;$AA$3&amp;$AA$4&amp;"P"&amp;AY$4)="N/A",0,RTD("tos.rtd",,"OPEN_INT","."&amp;$AA$3&amp;$AA$4&amp;"P"&amp;AY$4))*100</f>
        <v>1555500</v>
      </c>
      <c r="AZ43" s="18">
        <f>MAX(0, $A43-AZ$4)*IF(RTD("tos.rtd",,"OPEN_INT","."&amp;$AA$3&amp;$AA$4&amp;"C"&amp;AZ$4)="N/A",0,RTD("tos.rtd",,"OPEN_INT","."&amp;$AA$3&amp;$AA$4&amp;"C"&amp;AZ$4))*100 + MAX(0, AZ$4-$A43)*IF(RTD("tos.rtd",,"OPEN_INT","."&amp;$AA$3&amp;$AA$4&amp;"P"&amp;AZ$4)="N/A",0,RTD("tos.rtd",,"OPEN_INT","."&amp;$AA$3&amp;$AA$4&amp;"P"&amp;AZ$4))*100</f>
        <v>397600</v>
      </c>
      <c r="BA43" s="18">
        <f>MAX(0, $A43-BA$4)*IF(RTD("tos.rtd",,"OPEN_INT","."&amp;$AA$3&amp;$AA$4&amp;"C"&amp;BA$4)="N/A",0,RTD("tos.rtd",,"OPEN_INT","."&amp;$AA$3&amp;$AA$4&amp;"C"&amp;BA$4))*100 + MAX(0, BA$4-$A43)*IF(RTD("tos.rtd",,"OPEN_INT","."&amp;$AA$3&amp;$AA$4&amp;"P"&amp;BA$4)="N/A",0,RTD("tos.rtd",,"OPEN_INT","."&amp;$AA$3&amp;$AA$4&amp;"P"&amp;BA$4))*100</f>
        <v>1521000</v>
      </c>
      <c r="BB43" s="18">
        <f>MAX(0, $A43-BB$4)*IF(RTD("tos.rtd",,"OPEN_INT","."&amp;$AA$3&amp;$AA$4&amp;"C"&amp;BB$4)="N/A",0,RTD("tos.rtd",,"OPEN_INT","."&amp;$AA$3&amp;$AA$4&amp;"C"&amp;BB$4))*100 + MAX(0, BB$4-$A43)*IF(RTD("tos.rtd",,"OPEN_INT","."&amp;$AA$3&amp;$AA$4&amp;"P"&amp;BB$4)="N/A",0,RTD("tos.rtd",,"OPEN_INT","."&amp;$AA$3&amp;$AA$4&amp;"P"&amp;BB$4))*100</f>
        <v>1370400</v>
      </c>
      <c r="BC43" s="18">
        <f>MAX(0, $A43-BC$4)*IF(RTD("tos.rtd",,"OPEN_INT","."&amp;$AA$3&amp;$AA$4&amp;"C"&amp;BC$4)="N/A",0,RTD("tos.rtd",,"OPEN_INT","."&amp;$AA$3&amp;$AA$4&amp;"C"&amp;BC$4))*100 + MAX(0, BC$4-$A43)*IF(RTD("tos.rtd",,"OPEN_INT","."&amp;$AA$3&amp;$AA$4&amp;"P"&amp;BC$4)="N/A",0,RTD("tos.rtd",,"OPEN_INT","."&amp;$AA$3&amp;$AA$4&amp;"P"&amp;BC$4))*100</f>
        <v>4208050</v>
      </c>
      <c r="BD43" s="18">
        <f>MAX(0, $A43-BD$4)*IF(RTD("tos.rtd",,"OPEN_INT","."&amp;$AA$3&amp;$AA$4&amp;"C"&amp;BD$4)="N/A",0,RTD("tos.rtd",,"OPEN_INT","."&amp;$AA$3&amp;$AA$4&amp;"C"&amp;BD$4))*100 + MAX(0, BD$4-$A43)*IF(RTD("tos.rtd",,"OPEN_INT","."&amp;$AA$3&amp;$AA$4&amp;"P"&amp;BD$4)="N/A",0,RTD("tos.rtd",,"OPEN_INT","."&amp;$AA$3&amp;$AA$4&amp;"P"&amp;BD$4))*100</f>
        <v>4910500</v>
      </c>
      <c r="BE43" s="18">
        <f>MAX(0, $A43-BE$4)*IF(RTD("tos.rtd",,"OPEN_INT","."&amp;$AA$3&amp;$AA$4&amp;"C"&amp;BE$4)="N/A",0,RTD("tos.rtd",,"OPEN_INT","."&amp;$AA$3&amp;$AA$4&amp;"C"&amp;BE$4))*100 + MAX(0, BE$4-$A43)*IF(RTD("tos.rtd",,"OPEN_INT","."&amp;$AA$3&amp;$AA$4&amp;"P"&amp;BE$4)="N/A",0,RTD("tos.rtd",,"OPEN_INT","."&amp;$AA$3&amp;$AA$4&amp;"P"&amp;BE$4))*100</f>
        <v>5002200</v>
      </c>
      <c r="BF43" s="18">
        <f>MAX(0, $A43-BF$4)*IF(RTD("tos.rtd",,"OPEN_INT","."&amp;$AA$3&amp;$AA$4&amp;"C"&amp;BF$4)="N/A",0,RTD("tos.rtd",,"OPEN_INT","."&amp;$AA$3&amp;$AA$4&amp;"C"&amp;BF$4))*100 + MAX(0, BF$4-$A43)*IF(RTD("tos.rtd",,"OPEN_INT","."&amp;$AA$3&amp;$AA$4&amp;"P"&amp;BF$4)="N/A",0,RTD("tos.rtd",,"OPEN_INT","."&amp;$AA$3&amp;$AA$4&amp;"P"&amp;BF$4))*100</f>
        <v>5563600</v>
      </c>
      <c r="BG43" s="18">
        <f>MAX(0, $A43-BG$4)*IF(RTD("tos.rtd",,"OPEN_INT","."&amp;$AA$3&amp;$AA$4&amp;"C"&amp;BG$4)="N/A",0,RTD("tos.rtd",,"OPEN_INT","."&amp;$AA$3&amp;$AA$4&amp;"C"&amp;BG$4))*100 + MAX(0, BG$4-$A43)*IF(RTD("tos.rtd",,"OPEN_INT","."&amp;$AA$3&amp;$AA$4&amp;"P"&amp;BG$4)="N/A",0,RTD("tos.rtd",,"OPEN_INT","."&amp;$AA$3&amp;$AA$4&amp;"P"&amp;BG$4))*100</f>
        <v>3176250</v>
      </c>
      <c r="BH43" s="18">
        <f>MAX(0, $A43-BH$4)*IF(RTD("tos.rtd",,"OPEN_INT","."&amp;$AA$3&amp;$AA$4&amp;"C"&amp;BH$4)="N/A",0,RTD("tos.rtd",,"OPEN_INT","."&amp;$AA$3&amp;$AA$4&amp;"C"&amp;BH$4))*100 + MAX(0, BH$4-$A43)*IF(RTD("tos.rtd",,"OPEN_INT","."&amp;$AA$3&amp;$AA$4&amp;"P"&amp;BH$4)="N/A",0,RTD("tos.rtd",,"OPEN_INT","."&amp;$AA$3&amp;$AA$4&amp;"P"&amp;BH$4))*100</f>
        <v>1926900</v>
      </c>
      <c r="BI43" s="18">
        <f>MAX(0, $A43-BI$4)*IF(RTD("tos.rtd",,"OPEN_INT","."&amp;$AA$3&amp;$AA$4&amp;"C"&amp;BI$4)="N/A",0,RTD("tos.rtd",,"OPEN_INT","."&amp;$AA$3&amp;$AA$4&amp;"C"&amp;BI$4))*100 + MAX(0, BI$4-$A43)*IF(RTD("tos.rtd",,"OPEN_INT","."&amp;$AA$3&amp;$AA$4&amp;"P"&amp;BI$4)="N/A",0,RTD("tos.rtd",,"OPEN_INT","."&amp;$AA$3&amp;$AA$4&amp;"P"&amp;BI$4))*100</f>
        <v>2006250</v>
      </c>
      <c r="BJ43" s="18">
        <f>MAX(0, $A43-BJ$4)*IF(RTD("tos.rtd",,"OPEN_INT","."&amp;$AA$3&amp;$AA$4&amp;"C"&amp;BJ$4)="N/A",0,RTD("tos.rtd",,"OPEN_INT","."&amp;$AA$3&amp;$AA$4&amp;"C"&amp;BJ$4))*100 + MAX(0, BJ$4-$A43)*IF(RTD("tos.rtd",,"OPEN_INT","."&amp;$AA$3&amp;$AA$4&amp;"P"&amp;BJ$4)="N/A",0,RTD("tos.rtd",,"OPEN_INT","."&amp;$AA$3&amp;$AA$4&amp;"P"&amp;BJ$4))*100</f>
        <v>436600</v>
      </c>
      <c r="BK43" s="18">
        <f>MAX(0, $A43-BK$4)*IF(RTD("tos.rtd",,"OPEN_INT","."&amp;$AA$3&amp;$AA$4&amp;"C"&amp;BK$4)="N/A",0,RTD("tos.rtd",,"OPEN_INT","."&amp;$AA$3&amp;$AA$4&amp;"C"&amp;BK$4))*100 + MAX(0, BK$4-$A43)*IF(RTD("tos.rtd",,"OPEN_INT","."&amp;$AA$3&amp;$AA$4&amp;"P"&amp;BK$4)="N/A",0,RTD("tos.rtd",,"OPEN_INT","."&amp;$AA$3&amp;$AA$4&amp;"P"&amp;BK$4))*100</f>
        <v>351000</v>
      </c>
      <c r="BL43" s="18">
        <f>MAX(0, $A43-BL$4)*IF(RTD("tos.rtd",,"OPEN_INT","."&amp;$AA$3&amp;$AA$4&amp;"C"&amp;BL$4)="N/A",0,RTD("tos.rtd",,"OPEN_INT","."&amp;$AA$3&amp;$AA$4&amp;"C"&amp;BL$4))*100 + MAX(0, BL$4-$A43)*IF(RTD("tos.rtd",,"OPEN_INT","."&amp;$AA$3&amp;$AA$4&amp;"P"&amp;BL$4)="N/A",0,RTD("tos.rtd",,"OPEN_INT","."&amp;$AA$3&amp;$AA$4&amp;"P"&amp;BL$4))*100</f>
        <v>39200</v>
      </c>
      <c r="BM43" s="18">
        <f>MAX(0, $A43-BM$4)*IF(RTD("tos.rtd",,"OPEN_INT","."&amp;$AA$3&amp;$AA$4&amp;"C"&amp;BM$4)="N/A",0,RTD("tos.rtd",,"OPEN_INT","."&amp;$AA$3&amp;$AA$4&amp;"C"&amp;BM$4))*100 + MAX(0, BM$4-$A43)*IF(RTD("tos.rtd",,"OPEN_INT","."&amp;$AA$3&amp;$AA$4&amp;"P"&amp;BM$4)="N/A",0,RTD("tos.rtd",,"OPEN_INT","."&amp;$AA$3&amp;$AA$4&amp;"P"&amp;BM$4))*100</f>
        <v>21750</v>
      </c>
      <c r="BN43" s="18">
        <f>MAX(0, $A43-BN$4)*IF(RTD("tos.rtd",,"OPEN_INT","."&amp;$AA$3&amp;$AA$4&amp;"C"&amp;BN$4)="N/A",0,RTD("tos.rtd",,"OPEN_INT","."&amp;$AA$3&amp;$AA$4&amp;"C"&amp;BN$4))*100 + MAX(0, BN$4-$A43)*IF(RTD("tos.rtd",,"OPEN_INT","."&amp;$AA$3&amp;$AA$4&amp;"P"&amp;BN$4)="N/A",0,RTD("tos.rtd",,"OPEN_INT","."&amp;$AA$3&amp;$AA$4&amp;"P"&amp;BN$4))*100</f>
        <v>0</v>
      </c>
      <c r="BO43" s="18">
        <f>MAX(0, $A43-BO$4)*IF(RTD("tos.rtd",,"OPEN_INT","."&amp;$AA$3&amp;$AA$4&amp;"C"&amp;BO$4)="N/A",0,RTD("tos.rtd",,"OPEN_INT","."&amp;$AA$3&amp;$AA$4&amp;"C"&amp;BO$4))*100 + MAX(0, BO$4-$A43)*IF(RTD("tos.rtd",,"OPEN_INT","."&amp;$AA$3&amp;$AA$4&amp;"P"&amp;BO$4)="N/A",0,RTD("tos.rtd",,"OPEN_INT","."&amp;$AA$3&amp;$AA$4&amp;"P"&amp;BO$4))*100</f>
        <v>1900</v>
      </c>
      <c r="BP43" s="18">
        <f>MAX(0, $A43-BP$4)*IF(RTD("tos.rtd",,"OPEN_INT","."&amp;$AA$3&amp;$AA$4&amp;"C"&amp;BP$4)="N/A",0,RTD("tos.rtd",,"OPEN_INT","."&amp;$AA$3&amp;$AA$4&amp;"C"&amp;BP$4))*100 + MAX(0, BP$4-$A43)*IF(RTD("tos.rtd",,"OPEN_INT","."&amp;$AA$3&amp;$AA$4&amp;"P"&amp;BP$4)="N/A",0,RTD("tos.rtd",,"OPEN_INT","."&amp;$AA$3&amp;$AA$4&amp;"P"&amp;BP$4))*100</f>
        <v>0</v>
      </c>
      <c r="BQ43" s="18">
        <f>MAX(0, $A43-BQ$4)*IF(RTD("tos.rtd",,"OPEN_INT","."&amp;$AA$3&amp;$AA$4&amp;"C"&amp;BQ$4)="N/A",0,RTD("tos.rtd",,"OPEN_INT","."&amp;$AA$3&amp;$AA$4&amp;"C"&amp;BQ$4))*100 + MAX(0, BQ$4-$A43)*IF(RTD("tos.rtd",,"OPEN_INT","."&amp;$AA$3&amp;$AA$4&amp;"P"&amp;BQ$4)="N/A",0,RTD("tos.rtd",,"OPEN_INT","."&amp;$AA$3&amp;$AA$4&amp;"P"&amp;BQ$4))*100</f>
        <v>0</v>
      </c>
      <c r="BR43" s="18">
        <f>MAX(0, $A43-BR$4)*IF(RTD("tos.rtd",,"OPEN_INT","."&amp;$AA$3&amp;$AA$4&amp;"C"&amp;BR$4)="N/A",0,RTD("tos.rtd",,"OPEN_INT","."&amp;$AA$3&amp;$AA$4&amp;"C"&amp;BR$4))*100 + MAX(0, BR$4-$A43)*IF(RTD("tos.rtd",,"OPEN_INT","."&amp;$AA$3&amp;$AA$4&amp;"P"&amp;BR$4)="N/A",0,RTD("tos.rtd",,"OPEN_INT","."&amp;$AA$3&amp;$AA$4&amp;"P"&amp;BR$4))*100</f>
        <v>0</v>
      </c>
      <c r="BS43" s="18">
        <f>MAX(0, $A43-BS$4)*IF(RTD("tos.rtd",,"OPEN_INT","."&amp;$AA$3&amp;$AA$4&amp;"C"&amp;BS$4)="N/A",0,RTD("tos.rtd",,"OPEN_INT","."&amp;$AA$3&amp;$AA$4&amp;"C"&amp;BS$4))*100 + MAX(0, BS$4-$A43)*IF(RTD("tos.rtd",,"OPEN_INT","."&amp;$AA$3&amp;$AA$4&amp;"P"&amp;BS$4)="N/A",0,RTD("tos.rtd",,"OPEN_INT","."&amp;$AA$3&amp;$AA$4&amp;"P"&amp;BS$4))*100</f>
        <v>0</v>
      </c>
      <c r="BT43" s="18">
        <f>MAX(0, $A43-BT$4)*IF(RTD("tos.rtd",,"OPEN_INT","."&amp;$AA$3&amp;$AA$4&amp;"C"&amp;BT$4)="N/A",0,RTD("tos.rtd",,"OPEN_INT","."&amp;$AA$3&amp;$AA$4&amp;"C"&amp;BT$4))*100 + MAX(0, BT$4-$A43)*IF(RTD("tos.rtd",,"OPEN_INT","."&amp;$AA$3&amp;$AA$4&amp;"P"&amp;BT$4)="N/A",0,RTD("tos.rtd",,"OPEN_INT","."&amp;$AA$3&amp;$AA$4&amp;"P"&amp;BT$4))*100</f>
        <v>0</v>
      </c>
      <c r="BU43" s="18">
        <f>MAX(0, $A43-BU$4)*IF(RTD("tos.rtd",,"OPEN_INT","."&amp;$AA$3&amp;$AA$4&amp;"C"&amp;BU$4)="N/A",0,RTD("tos.rtd",,"OPEN_INT","."&amp;$AA$3&amp;$AA$4&amp;"C"&amp;BU$4))*100 + MAX(0, BU$4-$A43)*IF(RTD("tos.rtd",,"OPEN_INT","."&amp;$AA$3&amp;$AA$4&amp;"P"&amp;BU$4)="N/A",0,RTD("tos.rtd",,"OPEN_INT","."&amp;$AA$3&amp;$AA$4&amp;"P"&amp;BU$4))*100</f>
        <v>0</v>
      </c>
      <c r="BV43" s="18">
        <f>MAX(0, $A43-BV$4)*IF(RTD("tos.rtd",,"OPEN_INT","."&amp;$AA$3&amp;$AA$4&amp;"C"&amp;BV$4)="N/A",0,RTD("tos.rtd",,"OPEN_INT","."&amp;$AA$3&amp;$AA$4&amp;"C"&amp;BV$4))*100 + MAX(0, BV$4-$A43)*IF(RTD("tos.rtd",,"OPEN_INT","."&amp;$AA$3&amp;$AA$4&amp;"P"&amp;BV$4)="N/A",0,RTD("tos.rtd",,"OPEN_INT","."&amp;$AA$3&amp;$AA$4&amp;"P"&amp;BV$4))*100</f>
        <v>0</v>
      </c>
    </row>
    <row r="44" spans="1:74" s="19" customFormat="1" ht="11.1" customHeight="1" thickBot="1" x14ac:dyDescent="0.3">
      <c r="A44" s="23">
        <f t="shared" si="11"/>
        <v>2</v>
      </c>
      <c r="B44" s="14">
        <f ca="1">IF($A$2="PREMIUM_OI",IFERROR(IF($X$1="ABS",(100*RTD("tos.rtd",,"OPEN_INT","."&amp;B$2&amp;B$1&amp;"C"&amp;$A44)*RTD("tos.rtd",,"LAST","."&amp;B$2&amp;B$1&amp;"C"&amp;$A44)+100*RTD("tos.rtd",,"OPEN_INT","."&amp;B$2&amp;B$1&amp;"P"&amp;$A44)*RTD("tos.rtd",,"LAST","."&amp;B$2&amp;B$1&amp;"P"&amp;$A44))/1000000,(100*RTD("tos.rtd",,"OPEN_INT","."&amp;B$2&amp;B$1&amp;"C"&amp;$A44)*RTD("tos.rtd",,"LAST","."&amp;B$2&amp;B$1&amp;"C"&amp;$A44)-100*RTD("tos.rtd",,"OPEN_INT","."&amp;B$2&amp;B$1&amp;"P"&amp;$A44)*RTD("tos.rtd",,"LAST","."&amp;B$2&amp;B$1&amp;"P"&amp;$A44))/1000000),0),IF($A$2="PREMIUM",IFERROR(IF($X$1="ABS",(100*RTD("tos.rtd",,"VOLUME","."&amp;B$2&amp;B$1&amp;"C"&amp;$A44)*RTD("tos.rtd",,"LAST","."&amp;B$2&amp;B$1&amp;"C"&amp;$A44)+100*RTD("tos.rtd",,"VOLUME","."&amp;B$2&amp;B$1&amp;"P"&amp;$A44)*RTD("tos.rtd",,"LAST","."&amp;B$2&amp;B$1&amp;"P"&amp;$A44))/1000000,(100*RTD("tos.rtd",,"VOLUME","."&amp;B$2&amp;B$1&amp;"C"&amp;$A44)*RTD("tos.rtd",,"LAST","."&amp;B$2&amp;B$1&amp;"C"&amp;$A44)-100*RTD("tos.rtd",,"VOLUME","."&amp;B$2&amp;B$1&amp;"P"&amp;$A44)*RTD("tos.rtd",,"LAST","."&amp;B$2&amp;B$1&amp;"P"&amp;$A44))/1000000),0),IF($A$2="DEX",IFERROR(IF($X$1="ABS",(100*RTD("tos.rtd",,"OPEN_INT","."&amp;B$2&amp;B$1&amp;"C"&amp;$A44)*RTD("tos.rtd",,"DELTA","."&amp;B$2&amp;B$1&amp;"C"&amp;$A44)+100*RTD("tos.rtd",,"OPEN_INT","."&amp;B$2&amp;B$1&amp;"P"&amp;$A44)*RTD("tos.rtd",,"DELTA","."&amp;B$2&amp;B$1&amp;"P"&amp;$A44))/1000,(100*RTD("tos.rtd",,"OPEN_INT","."&amp;B$2&amp;B$1&amp;"C"&amp;$A44)*RTD("tos.rtd",,"DELTA","."&amp;B$2&amp;B$1&amp;"C"&amp;$A44)-100*RTD("tos.rtd",,"OPEN_INT","."&amp;B$2&amp;B$1&amp;"P"&amp;$A44)*RTD("tos.rtd",,"DELTA","."&amp;B$2&amp;B$1&amp;"P"&amp;$A44))/1000),0),IF($A$2="VEX",IFERROR(IF($X$1="ABS",($A$4*$A$4*RTD("tos.rtd",,"VOLUME","."&amp;B$2&amp;B$1&amp;"C"&amp;$A44)*RTD("tos.rtd",,"GAMMA","."&amp;B$2&amp;B$1&amp;"C"&amp;$A44)+$A$4*$A$4*RTD("tos.rtd",,"VOLUME","."&amp;B$2&amp;B$1&amp;"P"&amp;$A44)*RTD("tos.rtd",,"GAMMA","."&amp;B$2&amp;B$1&amp;"P"&amp;$A44))/1000000,($A$4*$A$4*RTD("tos.rtd",,"VOLUME","."&amp;B$2&amp;B$1&amp;"C"&amp;$A44)*RTD("tos.rtd",,"GAMMA","."&amp;B$2&amp;B$1&amp;"C"&amp;$A44)-$A$4*$A$4*RTD("tos.rtd",,"VOLUME","."&amp;B$2&amp;B$1&amp;"P"&amp;$A44)*RTD("tos.rtd",,"GAMMA","."&amp;B$2&amp;B$1&amp;"P"&amp;$A44))/1000000),0),IF($A$2="GEX",IFERROR(IF($X$1="ABS",($A$4*$A$4*RTD("tos.rtd",,"OPEN_INT","."&amp;B$2&amp;B$1&amp;"C"&amp;$A44)*RTD("tos.rtd",,"GAMMA","."&amp;B$2&amp;B$1&amp;"C"&amp;$A44)+$A$4*$A$4*RTD("tos.rtd",,"OPEN_INT","."&amp;B$2&amp;B$1&amp;"P"&amp;$A44)*RTD("tos.rtd",,"GAMMA","."&amp;B$2&amp;B$1&amp;"P"&amp;$A44))/1000000,($A$4*$A$4*RTD("tos.rtd",,"OPEN_INT","."&amp;B$2&amp;B$1&amp;"C"&amp;$A44)*RTD("tos.rtd",,"GAMMA","."&amp;B$2&amp;B$1&amp;"C"&amp;$A44)-$A$4*$A$4*RTD("tos.rtd",,"OPEN_INT","."&amp;B$2&amp;B$1&amp;"P"&amp;$A44)*RTD("tos.rtd",,"GAMMA","."&amp;B$2&amp;B$1&amp;"P"&amp;$A44))/1000000),0),IF($A$2="SKEW",IFERROR(VALUE(IF(RTD("tos.rtd",,"IMPL_VOL","."&amp;B$2&amp;B$1&amp;"P"&amp;$A44)="N/A",0,RTD("tos.rtd",,"IMPL_VOL","."&amp;B$2&amp;B$1&amp;"P"&amp;$A44))),0)-IFERROR(VALUE(IF(RTD("tos.rtd",,"IMPL_VOL","."&amp;B$2&amp;B$1&amp;"C"&amp;$A44)="N/A",0,RTD("tos.rtd",,"IMPL_VOL","."&amp;B$2&amp;B$1&amp;"C"&amp;$A44))),0),IF($A$2="MAXPAIN",IF($A$4&gt;$A44,($A$4-$A44)*IF(RTD("tos.rtd",,"OPEN_INT","."&amp;B$2&amp;B$1&amp;"C"&amp;$A44)="N/A",0,RTD("tos.rtd",,"OPEN_INT","."&amp;B$2&amp;B$1&amp;"C"&amp;$A44)),0)+IF($A$4&lt;$A44,($A$5-$A$4)*IF(RTD("tos.rtd",,"OPEN_INT","."&amp;B$2&amp;B$1&amp;"P"&amp;$A44)="N/A",0,RTD("tos.rtd",,"OPEN_INT","."&amp;B$2&amp;B$1&amp;"P"&amp;$A44)),0),IF($X$1="ABS",IF(RTD("tos.rtd",,$A$2,"."&amp;B$2&amp;B$1&amp;"C"&amp;$A44)="N/A",0,RTD("tos.rtd",,$A$2,"."&amp;B$2&amp;B$1&amp;"C"&amp;$A44))+IF(RTD("tos.rtd",,$A$2,"."&amp;B$2&amp;B$1&amp;"P"&amp;$A44)="N/A",0,RTD("tos.rtd",,$A$2,"."&amp;B$2&amp;B$1&amp;"P"&amp;$A44)),IF(RTD("tos.rtd",,$A$2,"."&amp;B$2&amp;B$1&amp;"C"&amp;$A44)="N/A",0,RTD("tos.rtd",,$A$2,"."&amp;B$2&amp;B$1&amp;"C"&amp;$A44))-IF(RTD("tos.rtd",,$A$2,"."&amp;B$2&amp;B$1&amp;"P"&amp;$A44)="N/A",0,RTD("tos.rtd",,$A$2,"."&amp;B$2&amp;B$1&amp;"P"&amp;$A44))))))))))</f>
        <v>0</v>
      </c>
      <c r="C44" s="12">
        <f ca="1">IF($A$2="PREMIUM_OI",IFERROR(IF($X$1="ABS",(100*RTD("tos.rtd",,"OPEN_INT","."&amp;C$2&amp;C$1&amp;"C"&amp;$A44)*RTD("tos.rtd",,"LAST","."&amp;C$2&amp;C$1&amp;"C"&amp;$A44)+100*RTD("tos.rtd",,"OPEN_INT","."&amp;C$2&amp;C$1&amp;"P"&amp;$A44)*RTD("tos.rtd",,"LAST","."&amp;C$2&amp;C$1&amp;"P"&amp;$A44))/1000000,(100*RTD("tos.rtd",,"OPEN_INT","."&amp;C$2&amp;C$1&amp;"C"&amp;$A44)*RTD("tos.rtd",,"LAST","."&amp;C$2&amp;C$1&amp;"C"&amp;$A44)-100*RTD("tos.rtd",,"OPEN_INT","."&amp;C$2&amp;C$1&amp;"P"&amp;$A44)*RTD("tos.rtd",,"LAST","."&amp;C$2&amp;C$1&amp;"P"&amp;$A44))/1000000),0),IF($A$2="PREMIUM",IFERROR(IF($X$1="ABS",(100*RTD("tos.rtd",,"VOLUME","."&amp;C$2&amp;C$1&amp;"C"&amp;$A44)*RTD("tos.rtd",,"LAST","."&amp;C$2&amp;C$1&amp;"C"&amp;$A44)+100*RTD("tos.rtd",,"VOLUME","."&amp;C$2&amp;C$1&amp;"P"&amp;$A44)*RTD("tos.rtd",,"LAST","."&amp;C$2&amp;C$1&amp;"P"&amp;$A44))/1000000,(100*RTD("tos.rtd",,"VOLUME","."&amp;C$2&amp;C$1&amp;"C"&amp;$A44)*RTD("tos.rtd",,"LAST","."&amp;C$2&amp;C$1&amp;"C"&amp;$A44)-100*RTD("tos.rtd",,"VOLUME","."&amp;C$2&amp;C$1&amp;"P"&amp;$A44)*RTD("tos.rtd",,"LAST","."&amp;C$2&amp;C$1&amp;"P"&amp;$A44))/1000000),0),IF($A$2="DEX",IFERROR(IF($X$1="ABS",(100*RTD("tos.rtd",,"OPEN_INT","."&amp;C$2&amp;C$1&amp;"C"&amp;$A44)*RTD("tos.rtd",,"DELTA","."&amp;C$2&amp;C$1&amp;"C"&amp;$A44)+100*RTD("tos.rtd",,"OPEN_INT","."&amp;C$2&amp;C$1&amp;"P"&amp;$A44)*RTD("tos.rtd",,"DELTA","."&amp;C$2&amp;C$1&amp;"P"&amp;$A44))/1000,(100*RTD("tos.rtd",,"OPEN_INT","."&amp;C$2&amp;C$1&amp;"C"&amp;$A44)*RTD("tos.rtd",,"DELTA","."&amp;C$2&amp;C$1&amp;"C"&amp;$A44)-100*RTD("tos.rtd",,"OPEN_INT","."&amp;C$2&amp;C$1&amp;"P"&amp;$A44)*RTD("tos.rtd",,"DELTA","."&amp;C$2&amp;C$1&amp;"P"&amp;$A44))/1000),0),IF($A$2="VEX",IFERROR(IF($X$1="ABS",($A$4*$A$4*RTD("tos.rtd",,"VOLUME","."&amp;C$2&amp;C$1&amp;"C"&amp;$A44)*RTD("tos.rtd",,"GAMMA","."&amp;C$2&amp;C$1&amp;"C"&amp;$A44)+$A$4*$A$4*RTD("tos.rtd",,"VOLUME","."&amp;C$2&amp;C$1&amp;"P"&amp;$A44)*RTD("tos.rtd",,"GAMMA","."&amp;C$2&amp;C$1&amp;"P"&amp;$A44))/1000000,($A$4*$A$4*RTD("tos.rtd",,"VOLUME","."&amp;C$2&amp;C$1&amp;"C"&amp;$A44)*RTD("tos.rtd",,"GAMMA","."&amp;C$2&amp;C$1&amp;"C"&amp;$A44)-$A$4*$A$4*RTD("tos.rtd",,"VOLUME","."&amp;C$2&amp;C$1&amp;"P"&amp;$A44)*RTD("tos.rtd",,"GAMMA","."&amp;C$2&amp;C$1&amp;"P"&amp;$A44))/1000000),0),IF($A$2="GEX",IFERROR(IF($X$1="ABS",($A$4*$A$4*RTD("tos.rtd",,"OPEN_INT","."&amp;C$2&amp;C$1&amp;"C"&amp;$A44)*RTD("tos.rtd",,"GAMMA","."&amp;C$2&amp;C$1&amp;"C"&amp;$A44)+$A$4*$A$4*RTD("tos.rtd",,"OPEN_INT","."&amp;C$2&amp;C$1&amp;"P"&amp;$A44)*RTD("tos.rtd",,"GAMMA","."&amp;C$2&amp;C$1&amp;"P"&amp;$A44))/1000000,($A$4*$A$4*RTD("tos.rtd",,"OPEN_INT","."&amp;C$2&amp;C$1&amp;"C"&amp;$A44)*RTD("tos.rtd",,"GAMMA","."&amp;C$2&amp;C$1&amp;"C"&amp;$A44)-$A$4*$A$4*RTD("tos.rtd",,"OPEN_INT","."&amp;C$2&amp;C$1&amp;"P"&amp;$A44)*RTD("tos.rtd",,"GAMMA","."&amp;C$2&amp;C$1&amp;"P"&amp;$A44))/1000000),0),IF($A$2="SKEW",IFERROR(VALUE(IF(RTD("tos.rtd",,"IMPL_VOL","."&amp;C$2&amp;C$1&amp;"P"&amp;$A44)="N/A",0,RTD("tos.rtd",,"IMPL_VOL","."&amp;C$2&amp;C$1&amp;"P"&amp;$A44))),0)-IFERROR(VALUE(IF(RTD("tos.rtd",,"IMPL_VOL","."&amp;C$2&amp;C$1&amp;"C"&amp;$A44)="N/A",0,RTD("tos.rtd",,"IMPL_VOL","."&amp;C$2&amp;C$1&amp;"C"&amp;$A44))),0),IF($A$2="MAXPAIN",IF($A$4&gt;$A44,($A$4-$A44)*IF(RTD("tos.rtd",,"OPEN_INT","."&amp;C$2&amp;C$1&amp;"C"&amp;$A44)="N/A",0,RTD("tos.rtd",,"OPEN_INT","."&amp;C$2&amp;C$1&amp;"C"&amp;$A44)),0)+IF($A$4&lt;$A44,($A$5-$A$4)*IF(RTD("tos.rtd",,"OPEN_INT","."&amp;C$2&amp;C$1&amp;"P"&amp;$A44)="N/A",0,RTD("tos.rtd",,"OPEN_INT","."&amp;C$2&amp;C$1&amp;"P"&amp;$A44)),0),IF($X$1="ABS",IF(RTD("tos.rtd",,$A$2,"."&amp;C$2&amp;C$1&amp;"C"&amp;$A44)="N/A",0,RTD("tos.rtd",,$A$2,"."&amp;C$2&amp;C$1&amp;"C"&amp;$A44))+IF(RTD("tos.rtd",,$A$2,"."&amp;C$2&amp;C$1&amp;"P"&amp;$A44)="N/A",0,RTD("tos.rtd",,$A$2,"."&amp;C$2&amp;C$1&amp;"P"&amp;$A44)),IF(RTD("tos.rtd",,$A$2,"."&amp;C$2&amp;C$1&amp;"C"&amp;$A44)="N/A",0,RTD("tos.rtd",,$A$2,"."&amp;C$2&amp;C$1&amp;"C"&amp;$A44))-IF(RTD("tos.rtd",,$A$2,"."&amp;C$2&amp;C$1&amp;"P"&amp;$A44)="N/A",0,RTD("tos.rtd",,$A$2,"."&amp;C$2&amp;C$1&amp;"P"&amp;$A44))))))))))</f>
        <v>-408</v>
      </c>
      <c r="D44" s="12">
        <f ca="1">IF($A$2="PREMIUM_OI",IFERROR(IF($X$1="ABS",(100*RTD("tos.rtd",,"OPEN_INT","."&amp;D$2&amp;D$1&amp;"C"&amp;$A44)*RTD("tos.rtd",,"LAST","."&amp;D$2&amp;D$1&amp;"C"&amp;$A44)+100*RTD("tos.rtd",,"OPEN_INT","."&amp;D$2&amp;D$1&amp;"P"&amp;$A44)*RTD("tos.rtd",,"LAST","."&amp;D$2&amp;D$1&amp;"P"&amp;$A44))/1000000,(100*RTD("tos.rtd",,"OPEN_INT","."&amp;D$2&amp;D$1&amp;"C"&amp;$A44)*RTD("tos.rtd",,"LAST","."&amp;D$2&amp;D$1&amp;"C"&amp;$A44)-100*RTD("tos.rtd",,"OPEN_INT","."&amp;D$2&amp;D$1&amp;"P"&amp;$A44)*RTD("tos.rtd",,"LAST","."&amp;D$2&amp;D$1&amp;"P"&amp;$A44))/1000000),0),IF($A$2="PREMIUM",IFERROR(IF($X$1="ABS",(100*RTD("tos.rtd",,"VOLUME","."&amp;D$2&amp;D$1&amp;"C"&amp;$A44)*RTD("tos.rtd",,"LAST","."&amp;D$2&amp;D$1&amp;"C"&amp;$A44)+100*RTD("tos.rtd",,"VOLUME","."&amp;D$2&amp;D$1&amp;"P"&amp;$A44)*RTD("tos.rtd",,"LAST","."&amp;D$2&amp;D$1&amp;"P"&amp;$A44))/1000000,(100*RTD("tos.rtd",,"VOLUME","."&amp;D$2&amp;D$1&amp;"C"&amp;$A44)*RTD("tos.rtd",,"LAST","."&amp;D$2&amp;D$1&amp;"C"&amp;$A44)-100*RTD("tos.rtd",,"VOLUME","."&amp;D$2&amp;D$1&amp;"P"&amp;$A44)*RTD("tos.rtd",,"LAST","."&amp;D$2&amp;D$1&amp;"P"&amp;$A44))/1000000),0),IF($A$2="DEX",IFERROR(IF($X$1="ABS",(100*RTD("tos.rtd",,"OPEN_INT","."&amp;D$2&amp;D$1&amp;"C"&amp;$A44)*RTD("tos.rtd",,"DELTA","."&amp;D$2&amp;D$1&amp;"C"&amp;$A44)+100*RTD("tos.rtd",,"OPEN_INT","."&amp;D$2&amp;D$1&amp;"P"&amp;$A44)*RTD("tos.rtd",,"DELTA","."&amp;D$2&amp;D$1&amp;"P"&amp;$A44))/1000,(100*RTD("tos.rtd",,"OPEN_INT","."&amp;D$2&amp;D$1&amp;"C"&amp;$A44)*RTD("tos.rtd",,"DELTA","."&amp;D$2&amp;D$1&amp;"C"&amp;$A44)-100*RTD("tos.rtd",,"OPEN_INT","."&amp;D$2&amp;D$1&amp;"P"&amp;$A44)*RTD("tos.rtd",,"DELTA","."&amp;D$2&amp;D$1&amp;"P"&amp;$A44))/1000),0),IF($A$2="VEX",IFERROR(IF($X$1="ABS",($A$4*$A$4*RTD("tos.rtd",,"VOLUME","."&amp;D$2&amp;D$1&amp;"C"&amp;$A44)*RTD("tos.rtd",,"GAMMA","."&amp;D$2&amp;D$1&amp;"C"&amp;$A44)+$A$4*$A$4*RTD("tos.rtd",,"VOLUME","."&amp;D$2&amp;D$1&amp;"P"&amp;$A44)*RTD("tos.rtd",,"GAMMA","."&amp;D$2&amp;D$1&amp;"P"&amp;$A44))/1000000,($A$4*$A$4*RTD("tos.rtd",,"VOLUME","."&amp;D$2&amp;D$1&amp;"C"&amp;$A44)*RTD("tos.rtd",,"GAMMA","."&amp;D$2&amp;D$1&amp;"C"&amp;$A44)-$A$4*$A$4*RTD("tos.rtd",,"VOLUME","."&amp;D$2&amp;D$1&amp;"P"&amp;$A44)*RTD("tos.rtd",,"GAMMA","."&amp;D$2&amp;D$1&amp;"P"&amp;$A44))/1000000),0),IF($A$2="GEX",IFERROR(IF($X$1="ABS",($A$4*$A$4*RTD("tos.rtd",,"OPEN_INT","."&amp;D$2&amp;D$1&amp;"C"&amp;$A44)*RTD("tos.rtd",,"GAMMA","."&amp;D$2&amp;D$1&amp;"C"&amp;$A44)+$A$4*$A$4*RTD("tos.rtd",,"OPEN_INT","."&amp;D$2&amp;D$1&amp;"P"&amp;$A44)*RTD("tos.rtd",,"GAMMA","."&amp;D$2&amp;D$1&amp;"P"&amp;$A44))/1000000,($A$4*$A$4*RTD("tos.rtd",,"OPEN_INT","."&amp;D$2&amp;D$1&amp;"C"&amp;$A44)*RTD("tos.rtd",,"GAMMA","."&amp;D$2&amp;D$1&amp;"C"&amp;$A44)-$A$4*$A$4*RTD("tos.rtd",,"OPEN_INT","."&amp;D$2&amp;D$1&amp;"P"&amp;$A44)*RTD("tos.rtd",,"GAMMA","."&amp;D$2&amp;D$1&amp;"P"&amp;$A44))/1000000),0),IF($A$2="SKEW",IFERROR(VALUE(IF(RTD("tos.rtd",,"IMPL_VOL","."&amp;D$2&amp;D$1&amp;"P"&amp;$A44)="N/A",0,RTD("tos.rtd",,"IMPL_VOL","."&amp;D$2&amp;D$1&amp;"P"&amp;$A44))),0)-IFERROR(VALUE(IF(RTD("tos.rtd",,"IMPL_VOL","."&amp;D$2&amp;D$1&amp;"C"&amp;$A44)="N/A",0,RTD("tos.rtd",,"IMPL_VOL","."&amp;D$2&amp;D$1&amp;"C"&amp;$A44))),0),IF($A$2="MAXPAIN",IF($A$4&gt;$A44,($A$4-$A44)*IF(RTD("tos.rtd",,"OPEN_INT","."&amp;D$2&amp;D$1&amp;"C"&amp;$A44)="N/A",0,RTD("tos.rtd",,"OPEN_INT","."&amp;D$2&amp;D$1&amp;"C"&amp;$A44)),0)+IF($A$4&lt;$A44,($A$5-$A$4)*IF(RTD("tos.rtd",,"OPEN_INT","."&amp;D$2&amp;D$1&amp;"P"&amp;$A44)="N/A",0,RTD("tos.rtd",,"OPEN_INT","."&amp;D$2&amp;D$1&amp;"P"&amp;$A44)),0),IF($X$1="ABS",IF(RTD("tos.rtd",,$A$2,"."&amp;D$2&amp;D$1&amp;"C"&amp;$A44)="N/A",0,RTD("tos.rtd",,$A$2,"."&amp;D$2&amp;D$1&amp;"C"&amp;$A44))+IF(RTD("tos.rtd",,$A$2,"."&amp;D$2&amp;D$1&amp;"P"&amp;$A44)="N/A",0,RTD("tos.rtd",,$A$2,"."&amp;D$2&amp;D$1&amp;"P"&amp;$A44)),IF(RTD("tos.rtd",,$A$2,"."&amp;D$2&amp;D$1&amp;"C"&amp;$A44)="N/A",0,RTD("tos.rtd",,$A$2,"."&amp;D$2&amp;D$1&amp;"C"&amp;$A44))-IF(RTD("tos.rtd",,$A$2,"."&amp;D$2&amp;D$1&amp;"P"&amp;$A44)="N/A",0,RTD("tos.rtd",,$A$2,"."&amp;D$2&amp;D$1&amp;"P"&amp;$A44))))))))))</f>
        <v>6287</v>
      </c>
      <c r="E44" s="12">
        <f ca="1">IF($A$2="PREMIUM_OI",IFERROR(IF($X$1="ABS",(100*RTD("tos.rtd",,"OPEN_INT","."&amp;E$2&amp;E$1&amp;"C"&amp;$A44)*RTD("tos.rtd",,"LAST","."&amp;E$2&amp;E$1&amp;"C"&amp;$A44)+100*RTD("tos.rtd",,"OPEN_INT","."&amp;E$2&amp;E$1&amp;"P"&amp;$A44)*RTD("tos.rtd",,"LAST","."&amp;E$2&amp;E$1&amp;"P"&amp;$A44))/1000000,(100*RTD("tos.rtd",,"OPEN_INT","."&amp;E$2&amp;E$1&amp;"C"&amp;$A44)*RTD("tos.rtd",,"LAST","."&amp;E$2&amp;E$1&amp;"C"&amp;$A44)-100*RTD("tos.rtd",,"OPEN_INT","."&amp;E$2&amp;E$1&amp;"P"&amp;$A44)*RTD("tos.rtd",,"LAST","."&amp;E$2&amp;E$1&amp;"P"&amp;$A44))/1000000),0),IF($A$2="PREMIUM",IFERROR(IF($X$1="ABS",(100*RTD("tos.rtd",,"VOLUME","."&amp;E$2&amp;E$1&amp;"C"&amp;$A44)*RTD("tos.rtd",,"LAST","."&amp;E$2&amp;E$1&amp;"C"&amp;$A44)+100*RTD("tos.rtd",,"VOLUME","."&amp;E$2&amp;E$1&amp;"P"&amp;$A44)*RTD("tos.rtd",,"LAST","."&amp;E$2&amp;E$1&amp;"P"&amp;$A44))/1000000,(100*RTD("tos.rtd",,"VOLUME","."&amp;E$2&amp;E$1&amp;"C"&amp;$A44)*RTD("tos.rtd",,"LAST","."&amp;E$2&amp;E$1&amp;"C"&amp;$A44)-100*RTD("tos.rtd",,"VOLUME","."&amp;E$2&amp;E$1&amp;"P"&amp;$A44)*RTD("tos.rtd",,"LAST","."&amp;E$2&amp;E$1&amp;"P"&amp;$A44))/1000000),0),IF($A$2="DEX",IFERROR(IF($X$1="ABS",(100*RTD("tos.rtd",,"OPEN_INT","."&amp;E$2&amp;E$1&amp;"C"&amp;$A44)*RTD("tos.rtd",,"DELTA","."&amp;E$2&amp;E$1&amp;"C"&amp;$A44)+100*RTD("tos.rtd",,"OPEN_INT","."&amp;E$2&amp;E$1&amp;"P"&amp;$A44)*RTD("tos.rtd",,"DELTA","."&amp;E$2&amp;E$1&amp;"P"&amp;$A44))/1000,(100*RTD("tos.rtd",,"OPEN_INT","."&amp;E$2&amp;E$1&amp;"C"&amp;$A44)*RTD("tos.rtd",,"DELTA","."&amp;E$2&amp;E$1&amp;"C"&amp;$A44)-100*RTD("tos.rtd",,"OPEN_INT","."&amp;E$2&amp;E$1&amp;"P"&amp;$A44)*RTD("tos.rtd",,"DELTA","."&amp;E$2&amp;E$1&amp;"P"&amp;$A44))/1000),0),IF($A$2="VEX",IFERROR(IF($X$1="ABS",($A$4*$A$4*RTD("tos.rtd",,"VOLUME","."&amp;E$2&amp;E$1&amp;"C"&amp;$A44)*RTD("tos.rtd",,"GAMMA","."&amp;E$2&amp;E$1&amp;"C"&amp;$A44)+$A$4*$A$4*RTD("tos.rtd",,"VOLUME","."&amp;E$2&amp;E$1&amp;"P"&amp;$A44)*RTD("tos.rtd",,"GAMMA","."&amp;E$2&amp;E$1&amp;"P"&amp;$A44))/1000000,($A$4*$A$4*RTD("tos.rtd",,"VOLUME","."&amp;E$2&amp;E$1&amp;"C"&amp;$A44)*RTD("tos.rtd",,"GAMMA","."&amp;E$2&amp;E$1&amp;"C"&amp;$A44)-$A$4*$A$4*RTD("tos.rtd",,"VOLUME","."&amp;E$2&amp;E$1&amp;"P"&amp;$A44)*RTD("tos.rtd",,"GAMMA","."&amp;E$2&amp;E$1&amp;"P"&amp;$A44))/1000000),0),IF($A$2="GEX",IFERROR(IF($X$1="ABS",($A$4*$A$4*RTD("tos.rtd",,"OPEN_INT","."&amp;E$2&amp;E$1&amp;"C"&amp;$A44)*RTD("tos.rtd",,"GAMMA","."&amp;E$2&amp;E$1&amp;"C"&amp;$A44)+$A$4*$A$4*RTD("tos.rtd",,"OPEN_INT","."&amp;E$2&amp;E$1&amp;"P"&amp;$A44)*RTD("tos.rtd",,"GAMMA","."&amp;E$2&amp;E$1&amp;"P"&amp;$A44))/1000000,($A$4*$A$4*RTD("tos.rtd",,"OPEN_INT","."&amp;E$2&amp;E$1&amp;"C"&amp;$A44)*RTD("tos.rtd",,"GAMMA","."&amp;E$2&amp;E$1&amp;"C"&amp;$A44)-$A$4*$A$4*RTD("tos.rtd",,"OPEN_INT","."&amp;E$2&amp;E$1&amp;"P"&amp;$A44)*RTD("tos.rtd",,"GAMMA","."&amp;E$2&amp;E$1&amp;"P"&amp;$A44))/1000000),0),IF($A$2="SKEW",IFERROR(VALUE(IF(RTD("tos.rtd",,"IMPL_VOL","."&amp;E$2&amp;E$1&amp;"P"&amp;$A44)="N/A",0,RTD("tos.rtd",,"IMPL_VOL","."&amp;E$2&amp;E$1&amp;"P"&amp;$A44))),0)-IFERROR(VALUE(IF(RTD("tos.rtd",,"IMPL_VOL","."&amp;E$2&amp;E$1&amp;"C"&amp;$A44)="N/A",0,RTD("tos.rtd",,"IMPL_VOL","."&amp;E$2&amp;E$1&amp;"C"&amp;$A44))),0),IF($A$2="MAXPAIN",IF($A$4&gt;$A44,($A$4-$A44)*IF(RTD("tos.rtd",,"OPEN_INT","."&amp;E$2&amp;E$1&amp;"C"&amp;$A44)="N/A",0,RTD("tos.rtd",,"OPEN_INT","."&amp;E$2&amp;E$1&amp;"C"&amp;$A44)),0)+IF($A$4&lt;$A44,($A$5-$A$4)*IF(RTD("tos.rtd",,"OPEN_INT","."&amp;E$2&amp;E$1&amp;"P"&amp;$A44)="N/A",0,RTD("tos.rtd",,"OPEN_INT","."&amp;E$2&amp;E$1&amp;"P"&amp;$A44)),0),IF($X$1="ABS",IF(RTD("tos.rtd",,$A$2,"."&amp;E$2&amp;E$1&amp;"C"&amp;$A44)="N/A",0,RTD("tos.rtd",,$A$2,"."&amp;E$2&amp;E$1&amp;"C"&amp;$A44))+IF(RTD("tos.rtd",,$A$2,"."&amp;E$2&amp;E$1&amp;"P"&amp;$A44)="N/A",0,RTD("tos.rtd",,$A$2,"."&amp;E$2&amp;E$1&amp;"P"&amp;$A44)),IF(RTD("tos.rtd",,$A$2,"."&amp;E$2&amp;E$1&amp;"C"&amp;$A44)="N/A",0,RTD("tos.rtd",,$A$2,"."&amp;E$2&amp;E$1&amp;"C"&amp;$A44))-IF(RTD("tos.rtd",,$A$2,"."&amp;E$2&amp;E$1&amp;"P"&amp;$A44)="N/A",0,RTD("tos.rtd",,$A$2,"."&amp;E$2&amp;E$1&amp;"P"&amp;$A44))))))))))</f>
        <v>5</v>
      </c>
      <c r="F44" s="12">
        <f ca="1">IF($A$2="PREMIUM_OI",IFERROR(IF($X$1="ABS",(100*RTD("tos.rtd",,"OPEN_INT","."&amp;F$2&amp;F$1&amp;"C"&amp;$A44)*RTD("tos.rtd",,"LAST","."&amp;F$2&amp;F$1&amp;"C"&amp;$A44)+100*RTD("tos.rtd",,"OPEN_INT","."&amp;F$2&amp;F$1&amp;"P"&amp;$A44)*RTD("tos.rtd",,"LAST","."&amp;F$2&amp;F$1&amp;"P"&amp;$A44))/1000000,(100*RTD("tos.rtd",,"OPEN_INT","."&amp;F$2&amp;F$1&amp;"C"&amp;$A44)*RTD("tos.rtd",,"LAST","."&amp;F$2&amp;F$1&amp;"C"&amp;$A44)-100*RTD("tos.rtd",,"OPEN_INT","."&amp;F$2&amp;F$1&amp;"P"&amp;$A44)*RTD("tos.rtd",,"LAST","."&amp;F$2&amp;F$1&amp;"P"&amp;$A44))/1000000),0),IF($A$2="PREMIUM",IFERROR(IF($X$1="ABS",(100*RTD("tos.rtd",,"VOLUME","."&amp;F$2&amp;F$1&amp;"C"&amp;$A44)*RTD("tos.rtd",,"LAST","."&amp;F$2&amp;F$1&amp;"C"&amp;$A44)+100*RTD("tos.rtd",,"VOLUME","."&amp;F$2&amp;F$1&amp;"P"&amp;$A44)*RTD("tos.rtd",,"LAST","."&amp;F$2&amp;F$1&amp;"P"&amp;$A44))/1000000,(100*RTD("tos.rtd",,"VOLUME","."&amp;F$2&amp;F$1&amp;"C"&amp;$A44)*RTD("tos.rtd",,"LAST","."&amp;F$2&amp;F$1&amp;"C"&amp;$A44)-100*RTD("tos.rtd",,"VOLUME","."&amp;F$2&amp;F$1&amp;"P"&amp;$A44)*RTD("tos.rtd",,"LAST","."&amp;F$2&amp;F$1&amp;"P"&amp;$A44))/1000000),0),IF($A$2="DEX",IFERROR(IF($X$1="ABS",(100*RTD("tos.rtd",,"OPEN_INT","."&amp;F$2&amp;F$1&amp;"C"&amp;$A44)*RTD("tos.rtd",,"DELTA","."&amp;F$2&amp;F$1&amp;"C"&amp;$A44)+100*RTD("tos.rtd",,"OPEN_INT","."&amp;F$2&amp;F$1&amp;"P"&amp;$A44)*RTD("tos.rtd",,"DELTA","."&amp;F$2&amp;F$1&amp;"P"&amp;$A44))/1000,(100*RTD("tos.rtd",,"OPEN_INT","."&amp;F$2&amp;F$1&amp;"C"&amp;$A44)*RTD("tos.rtd",,"DELTA","."&amp;F$2&amp;F$1&amp;"C"&amp;$A44)-100*RTD("tos.rtd",,"OPEN_INT","."&amp;F$2&amp;F$1&amp;"P"&amp;$A44)*RTD("tos.rtd",,"DELTA","."&amp;F$2&amp;F$1&amp;"P"&amp;$A44))/1000),0),IF($A$2="VEX",IFERROR(IF($X$1="ABS",($A$4*$A$4*RTD("tos.rtd",,"VOLUME","."&amp;F$2&amp;F$1&amp;"C"&amp;$A44)*RTD("tos.rtd",,"GAMMA","."&amp;F$2&amp;F$1&amp;"C"&amp;$A44)+$A$4*$A$4*RTD("tos.rtd",,"VOLUME","."&amp;F$2&amp;F$1&amp;"P"&amp;$A44)*RTD("tos.rtd",,"GAMMA","."&amp;F$2&amp;F$1&amp;"P"&amp;$A44))/1000000,($A$4*$A$4*RTD("tos.rtd",,"VOLUME","."&amp;F$2&amp;F$1&amp;"C"&amp;$A44)*RTD("tos.rtd",,"GAMMA","."&amp;F$2&amp;F$1&amp;"C"&amp;$A44)-$A$4*$A$4*RTD("tos.rtd",,"VOLUME","."&amp;F$2&amp;F$1&amp;"P"&amp;$A44)*RTD("tos.rtd",,"GAMMA","."&amp;F$2&amp;F$1&amp;"P"&amp;$A44))/1000000),0),IF($A$2="GEX",IFERROR(IF($X$1="ABS",($A$4*$A$4*RTD("tos.rtd",,"OPEN_INT","."&amp;F$2&amp;F$1&amp;"C"&amp;$A44)*RTD("tos.rtd",,"GAMMA","."&amp;F$2&amp;F$1&amp;"C"&amp;$A44)+$A$4*$A$4*RTD("tos.rtd",,"OPEN_INT","."&amp;F$2&amp;F$1&amp;"P"&amp;$A44)*RTD("tos.rtd",,"GAMMA","."&amp;F$2&amp;F$1&amp;"P"&amp;$A44))/1000000,($A$4*$A$4*RTD("tos.rtd",,"OPEN_INT","."&amp;F$2&amp;F$1&amp;"C"&amp;$A44)*RTD("tos.rtd",,"GAMMA","."&amp;F$2&amp;F$1&amp;"C"&amp;$A44)-$A$4*$A$4*RTD("tos.rtd",,"OPEN_INT","."&amp;F$2&amp;F$1&amp;"P"&amp;$A44)*RTD("tos.rtd",,"GAMMA","."&amp;F$2&amp;F$1&amp;"P"&amp;$A44))/1000000),0),IF($A$2="SKEW",IFERROR(VALUE(IF(RTD("tos.rtd",,"IMPL_VOL","."&amp;F$2&amp;F$1&amp;"P"&amp;$A44)="N/A",0,RTD("tos.rtd",,"IMPL_VOL","."&amp;F$2&amp;F$1&amp;"P"&amp;$A44))),0)-IFERROR(VALUE(IF(RTD("tos.rtd",,"IMPL_VOL","."&amp;F$2&amp;F$1&amp;"C"&amp;$A44)="N/A",0,RTD("tos.rtd",,"IMPL_VOL","."&amp;F$2&amp;F$1&amp;"C"&amp;$A44))),0),IF($A$2="MAXPAIN",IF($A$4&gt;$A44,($A$4-$A44)*IF(RTD("tos.rtd",,"OPEN_INT","."&amp;F$2&amp;F$1&amp;"C"&amp;$A44)="N/A",0,RTD("tos.rtd",,"OPEN_INT","."&amp;F$2&amp;F$1&amp;"C"&amp;$A44)),0)+IF($A$4&lt;$A44,($A$5-$A$4)*IF(RTD("tos.rtd",,"OPEN_INT","."&amp;F$2&amp;F$1&amp;"P"&amp;$A44)="N/A",0,RTD("tos.rtd",,"OPEN_INT","."&amp;F$2&amp;F$1&amp;"P"&amp;$A44)),0),IF($X$1="ABS",IF(RTD("tos.rtd",,$A$2,"."&amp;F$2&amp;F$1&amp;"C"&amp;$A44)="N/A",0,RTD("tos.rtd",,$A$2,"."&amp;F$2&amp;F$1&amp;"C"&amp;$A44))+IF(RTD("tos.rtd",,$A$2,"."&amp;F$2&amp;F$1&amp;"P"&amp;$A44)="N/A",0,RTD("tos.rtd",,$A$2,"."&amp;F$2&amp;F$1&amp;"P"&amp;$A44)),IF(RTD("tos.rtd",,$A$2,"."&amp;F$2&amp;F$1&amp;"C"&amp;$A44)="N/A",0,RTD("tos.rtd",,$A$2,"."&amp;F$2&amp;F$1&amp;"C"&amp;$A44))-IF(RTD("tos.rtd",,$A$2,"."&amp;F$2&amp;F$1&amp;"P"&amp;$A44)="N/A",0,RTD("tos.rtd",,$A$2,"."&amp;F$2&amp;F$1&amp;"P"&amp;$A44))))))))))</f>
        <v>0</v>
      </c>
      <c r="G44" s="57">
        <f ca="1">IF($A$2="PREMIUM_OI",IFERROR(IF($X$1="ABS",(100*RTD("tos.rtd",,"OPEN_INT","."&amp;G$2&amp;G$1&amp;"C"&amp;$A44)*RTD("tos.rtd",,"LAST","."&amp;G$2&amp;G$1&amp;"C"&amp;$A44)+100*RTD("tos.rtd",,"OPEN_INT","."&amp;G$2&amp;G$1&amp;"P"&amp;$A44)*RTD("tos.rtd",,"LAST","."&amp;G$2&amp;G$1&amp;"P"&amp;$A44))/1000000,(100*RTD("tos.rtd",,"OPEN_INT","."&amp;G$2&amp;G$1&amp;"C"&amp;$A44)*RTD("tos.rtd",,"LAST","."&amp;G$2&amp;G$1&amp;"C"&amp;$A44)-100*RTD("tos.rtd",,"OPEN_INT","."&amp;G$2&amp;G$1&amp;"P"&amp;$A44)*RTD("tos.rtd",,"LAST","."&amp;G$2&amp;G$1&amp;"P"&amp;$A44))/1000000),0),IF($A$2="PREMIUM",IFERROR(IF($X$1="ABS",(100*RTD("tos.rtd",,"VOLUME","."&amp;G$2&amp;G$1&amp;"C"&amp;$A44)*RTD("tos.rtd",,"LAST","."&amp;G$2&amp;G$1&amp;"C"&amp;$A44)+100*RTD("tos.rtd",,"VOLUME","."&amp;G$2&amp;G$1&amp;"P"&amp;$A44)*RTD("tos.rtd",,"LAST","."&amp;G$2&amp;G$1&amp;"P"&amp;$A44))/1000000,(100*RTD("tos.rtd",,"VOLUME","."&amp;G$2&amp;G$1&amp;"C"&amp;$A44)*RTD("tos.rtd",,"LAST","."&amp;G$2&amp;G$1&amp;"C"&amp;$A44)-100*RTD("tos.rtd",,"VOLUME","."&amp;G$2&amp;G$1&amp;"P"&amp;$A44)*RTD("tos.rtd",,"LAST","."&amp;G$2&amp;G$1&amp;"P"&amp;$A44))/1000000),0),IF($A$2="DEX",IFERROR(IF($X$1="ABS",(100*RTD("tos.rtd",,"OPEN_INT","."&amp;G$2&amp;G$1&amp;"C"&amp;$A44)*RTD("tos.rtd",,"DELTA","."&amp;G$2&amp;G$1&amp;"C"&amp;$A44)+100*RTD("tos.rtd",,"OPEN_INT","."&amp;G$2&amp;G$1&amp;"P"&amp;$A44)*RTD("tos.rtd",,"DELTA","."&amp;G$2&amp;G$1&amp;"P"&amp;$A44))/1000,(100*RTD("tos.rtd",,"OPEN_INT","."&amp;G$2&amp;G$1&amp;"C"&amp;$A44)*RTD("tos.rtd",,"DELTA","."&amp;G$2&amp;G$1&amp;"C"&amp;$A44)-100*RTD("tos.rtd",,"OPEN_INT","."&amp;G$2&amp;G$1&amp;"P"&amp;$A44)*RTD("tos.rtd",,"DELTA","."&amp;G$2&amp;G$1&amp;"P"&amp;$A44))/1000),0),IF($A$2="VEX",IFERROR(IF($X$1="ABS",($A$4*$A$4*RTD("tos.rtd",,"VOLUME","."&amp;G$2&amp;G$1&amp;"C"&amp;$A44)*RTD("tos.rtd",,"GAMMA","."&amp;G$2&amp;G$1&amp;"C"&amp;$A44)+$A$4*$A$4*RTD("tos.rtd",,"VOLUME","."&amp;G$2&amp;G$1&amp;"P"&amp;$A44)*RTD("tos.rtd",,"GAMMA","."&amp;G$2&amp;G$1&amp;"P"&amp;$A44))/1000000,($A$4*$A$4*RTD("tos.rtd",,"VOLUME","."&amp;G$2&amp;G$1&amp;"C"&amp;$A44)*RTD("tos.rtd",,"GAMMA","."&amp;G$2&amp;G$1&amp;"C"&amp;$A44)-$A$4*$A$4*RTD("tos.rtd",,"VOLUME","."&amp;G$2&amp;G$1&amp;"P"&amp;$A44)*RTD("tos.rtd",,"GAMMA","."&amp;G$2&amp;G$1&amp;"P"&amp;$A44))/1000000),0),IF($A$2="GEX",IFERROR(IF($X$1="ABS",($A$4*$A$4*RTD("tos.rtd",,"OPEN_INT","."&amp;G$2&amp;G$1&amp;"C"&amp;$A44)*RTD("tos.rtd",,"GAMMA","."&amp;G$2&amp;G$1&amp;"C"&amp;$A44)+$A$4*$A$4*RTD("tos.rtd",,"OPEN_INT","."&amp;G$2&amp;G$1&amp;"P"&amp;$A44)*RTD("tos.rtd",,"GAMMA","."&amp;G$2&amp;G$1&amp;"P"&amp;$A44))/1000000,($A$4*$A$4*RTD("tos.rtd",,"OPEN_INT","."&amp;G$2&amp;G$1&amp;"C"&amp;$A44)*RTD("tos.rtd",,"GAMMA","."&amp;G$2&amp;G$1&amp;"C"&amp;$A44)-$A$4*$A$4*RTD("tos.rtd",,"OPEN_INT","."&amp;G$2&amp;G$1&amp;"P"&amp;$A44)*RTD("tos.rtd",,"GAMMA","."&amp;G$2&amp;G$1&amp;"P"&amp;$A44))/1000000),0),IF($A$2="SKEW",IFERROR(VALUE(IF(RTD("tos.rtd",,"IMPL_VOL","."&amp;G$2&amp;G$1&amp;"P"&amp;$A44)="N/A",0,RTD("tos.rtd",,"IMPL_VOL","."&amp;G$2&amp;G$1&amp;"P"&amp;$A44))),0)-IFERROR(VALUE(IF(RTD("tos.rtd",,"IMPL_VOL","."&amp;G$2&amp;G$1&amp;"C"&amp;$A44)="N/A",0,RTD("tos.rtd",,"IMPL_VOL","."&amp;G$2&amp;G$1&amp;"C"&amp;$A44))),0),IF($A$2="MAXPAIN",IF($A$4&gt;$A44,($A$4-$A44)*IF(RTD("tos.rtd",,"OPEN_INT","."&amp;G$2&amp;G$1&amp;"C"&amp;$A44)="N/A",0,RTD("tos.rtd",,"OPEN_INT","."&amp;G$2&amp;G$1&amp;"C"&amp;$A44)),0)+IF($A$4&lt;$A44,($A$5-$A$4)*IF(RTD("tos.rtd",,"OPEN_INT","."&amp;G$2&amp;G$1&amp;"P"&amp;$A44)="N/A",0,RTD("tos.rtd",,"OPEN_INT","."&amp;G$2&amp;G$1&amp;"P"&amp;$A44)),0),IF($X$1="ABS",IF(RTD("tos.rtd",,$A$2,"."&amp;G$2&amp;G$1&amp;"C"&amp;$A44)="N/A",0,RTD("tos.rtd",,$A$2,"."&amp;G$2&amp;G$1&amp;"C"&amp;$A44))+IF(RTD("tos.rtd",,$A$2,"."&amp;G$2&amp;G$1&amp;"P"&amp;$A44)="N/A",0,RTD("tos.rtd",,$A$2,"."&amp;G$2&amp;G$1&amp;"P"&amp;$A44)),IF(RTD("tos.rtd",,$A$2,"."&amp;G$2&amp;G$1&amp;"C"&amp;$A44)="N/A",0,RTD("tos.rtd",,$A$2,"."&amp;G$2&amp;G$1&amp;"C"&amp;$A44))-IF(RTD("tos.rtd",,$A$2,"."&amp;G$2&amp;G$1&amp;"P"&amp;$A44)="N/A",0,RTD("tos.rtd",,$A$2,"."&amp;G$2&amp;G$1&amp;"P"&amp;$A44))))))))))</f>
        <v>0</v>
      </c>
      <c r="H44" s="14">
        <f ca="1">IF($A$2="PREMIUM_OI",IFERROR(IF($X$1="ABS",(100*RTD("tos.rtd",,"OPEN_INT","."&amp;H$2&amp;H$1&amp;"C"&amp;$A44)*RTD("tos.rtd",,"LAST","."&amp;H$2&amp;H$1&amp;"C"&amp;$A44)+100*RTD("tos.rtd",,"OPEN_INT","."&amp;H$2&amp;H$1&amp;"P"&amp;$A44)*RTD("tos.rtd",,"LAST","."&amp;H$2&amp;H$1&amp;"P"&amp;$A44))/1000000,(100*RTD("tos.rtd",,"OPEN_INT","."&amp;H$2&amp;H$1&amp;"C"&amp;$A44)*RTD("tos.rtd",,"LAST","."&amp;H$2&amp;H$1&amp;"C"&amp;$A44)-100*RTD("tos.rtd",,"OPEN_INT","."&amp;H$2&amp;H$1&amp;"P"&amp;$A44)*RTD("tos.rtd",,"LAST","."&amp;H$2&amp;H$1&amp;"P"&amp;$A44))/1000000),0),IF($A$2="PREMIUM",IFERROR(IF($X$1="ABS",(100*RTD("tos.rtd",,"VOLUME","."&amp;H$2&amp;H$1&amp;"C"&amp;$A44)*RTD("tos.rtd",,"LAST","."&amp;H$2&amp;H$1&amp;"C"&amp;$A44)+100*RTD("tos.rtd",,"VOLUME","."&amp;H$2&amp;H$1&amp;"P"&amp;$A44)*RTD("tos.rtd",,"LAST","."&amp;H$2&amp;H$1&amp;"P"&amp;$A44))/1000000,(100*RTD("tos.rtd",,"VOLUME","."&amp;H$2&amp;H$1&amp;"C"&amp;$A44)*RTD("tos.rtd",,"LAST","."&amp;H$2&amp;H$1&amp;"C"&amp;$A44)-100*RTD("tos.rtd",,"VOLUME","."&amp;H$2&amp;H$1&amp;"P"&amp;$A44)*RTD("tos.rtd",,"LAST","."&amp;H$2&amp;H$1&amp;"P"&amp;$A44))/1000000),0),IF($A$2="DEX",IFERROR(IF($X$1="ABS",(100*RTD("tos.rtd",,"OPEN_INT","."&amp;H$2&amp;H$1&amp;"C"&amp;$A44)*RTD("tos.rtd",,"DELTA","."&amp;H$2&amp;H$1&amp;"C"&amp;$A44)+100*RTD("tos.rtd",,"OPEN_INT","."&amp;H$2&amp;H$1&amp;"P"&amp;$A44)*RTD("tos.rtd",,"DELTA","."&amp;H$2&amp;H$1&amp;"P"&amp;$A44))/1000,(100*RTD("tos.rtd",,"OPEN_INT","."&amp;H$2&amp;H$1&amp;"C"&amp;$A44)*RTD("tos.rtd",,"DELTA","."&amp;H$2&amp;H$1&amp;"C"&amp;$A44)-100*RTD("tos.rtd",,"OPEN_INT","."&amp;H$2&amp;H$1&amp;"P"&amp;$A44)*RTD("tos.rtd",,"DELTA","."&amp;H$2&amp;H$1&amp;"P"&amp;$A44))/1000),0),IF($A$2="VEX",IFERROR(IF($X$1="ABS",($A$4*$A$4*RTD("tos.rtd",,"VOLUME","."&amp;H$2&amp;H$1&amp;"C"&amp;$A44)*RTD("tos.rtd",,"GAMMA","."&amp;H$2&amp;H$1&amp;"C"&amp;$A44)+$A$4*$A$4*RTD("tos.rtd",,"VOLUME","."&amp;H$2&amp;H$1&amp;"P"&amp;$A44)*RTD("tos.rtd",,"GAMMA","."&amp;H$2&amp;H$1&amp;"P"&amp;$A44))/1000000,($A$4*$A$4*RTD("tos.rtd",,"VOLUME","."&amp;H$2&amp;H$1&amp;"C"&amp;$A44)*RTD("tos.rtd",,"GAMMA","."&amp;H$2&amp;H$1&amp;"C"&amp;$A44)-$A$4*$A$4*RTD("tos.rtd",,"VOLUME","."&amp;H$2&amp;H$1&amp;"P"&amp;$A44)*RTD("tos.rtd",,"GAMMA","."&amp;H$2&amp;H$1&amp;"P"&amp;$A44))/1000000),0),IF($A$2="GEX",IFERROR(IF($X$1="ABS",($A$4*$A$4*RTD("tos.rtd",,"OPEN_INT","."&amp;H$2&amp;H$1&amp;"C"&amp;$A44)*RTD("tos.rtd",,"GAMMA","."&amp;H$2&amp;H$1&amp;"C"&amp;$A44)+$A$4*$A$4*RTD("tos.rtd",,"OPEN_INT","."&amp;H$2&amp;H$1&amp;"P"&amp;$A44)*RTD("tos.rtd",,"GAMMA","."&amp;H$2&amp;H$1&amp;"P"&amp;$A44))/1000000,($A$4*$A$4*RTD("tos.rtd",,"OPEN_INT","."&amp;H$2&amp;H$1&amp;"C"&amp;$A44)*RTD("tos.rtd",,"GAMMA","."&amp;H$2&amp;H$1&amp;"C"&amp;$A44)-$A$4*$A$4*RTD("tos.rtd",,"OPEN_INT","."&amp;H$2&amp;H$1&amp;"P"&amp;$A44)*RTD("tos.rtd",,"GAMMA","."&amp;H$2&amp;H$1&amp;"P"&amp;$A44))/1000000),0),IF($A$2="SKEW",IFERROR(VALUE(IF(RTD("tos.rtd",,"IMPL_VOL","."&amp;H$2&amp;H$1&amp;"P"&amp;$A44)="N/A",0,RTD("tos.rtd",,"IMPL_VOL","."&amp;H$2&amp;H$1&amp;"P"&amp;$A44))),0)-IFERROR(VALUE(IF(RTD("tos.rtd",,"IMPL_VOL","."&amp;H$2&amp;H$1&amp;"C"&amp;$A44)="N/A",0,RTD("tos.rtd",,"IMPL_VOL","."&amp;H$2&amp;H$1&amp;"C"&amp;$A44))),0),IF($A$2="MAXPAIN",IF($A$4&gt;$A44,($A$4-$A44)*IF(RTD("tos.rtd",,"OPEN_INT","."&amp;H$2&amp;H$1&amp;"C"&amp;$A44)="N/A",0,RTD("tos.rtd",,"OPEN_INT","."&amp;H$2&amp;H$1&amp;"C"&amp;$A44)),0)+IF($A$4&lt;$A44,($A$5-$A$4)*IF(RTD("tos.rtd",,"OPEN_INT","."&amp;H$2&amp;H$1&amp;"P"&amp;$A44)="N/A",0,RTD("tos.rtd",,"OPEN_INT","."&amp;H$2&amp;H$1&amp;"P"&amp;$A44)),0),IF($X$1="ABS",IF(RTD("tos.rtd",,$A$2,"."&amp;H$2&amp;H$1&amp;"C"&amp;$A44)="N/A",0,RTD("tos.rtd",,$A$2,"."&amp;H$2&amp;H$1&amp;"C"&amp;$A44))+IF(RTD("tos.rtd",,$A$2,"."&amp;H$2&amp;H$1&amp;"P"&amp;$A44)="N/A",0,RTD("tos.rtd",,$A$2,"."&amp;H$2&amp;H$1&amp;"P"&amp;$A44)),IF(RTD("tos.rtd",,$A$2,"."&amp;H$2&amp;H$1&amp;"C"&amp;$A44)="N/A",0,RTD("tos.rtd",,$A$2,"."&amp;H$2&amp;H$1&amp;"C"&amp;$A44))-IF(RTD("tos.rtd",,$A$2,"."&amp;H$2&amp;H$1&amp;"P"&amp;$A44)="N/A",0,RTD("tos.rtd",,$A$2,"."&amp;H$2&amp;H$1&amp;"P"&amp;$A44))))))))))</f>
        <v>31</v>
      </c>
      <c r="I44" s="12">
        <f ca="1">IF($A$2="PREMIUM_OI",IFERROR(IF($X$1="ABS",(100*RTD("tos.rtd",,"OPEN_INT","."&amp;I$2&amp;I$1&amp;"C"&amp;$A44)*RTD("tos.rtd",,"LAST","."&amp;I$2&amp;I$1&amp;"C"&amp;$A44)+100*RTD("tos.rtd",,"OPEN_INT","."&amp;I$2&amp;I$1&amp;"P"&amp;$A44)*RTD("tos.rtd",,"LAST","."&amp;I$2&amp;I$1&amp;"P"&amp;$A44))/1000000,(100*RTD("tos.rtd",,"OPEN_INT","."&amp;I$2&amp;I$1&amp;"C"&amp;$A44)*RTD("tos.rtd",,"LAST","."&amp;I$2&amp;I$1&amp;"C"&amp;$A44)-100*RTD("tos.rtd",,"OPEN_INT","."&amp;I$2&amp;I$1&amp;"P"&amp;$A44)*RTD("tos.rtd",,"LAST","."&amp;I$2&amp;I$1&amp;"P"&amp;$A44))/1000000),0),IF($A$2="PREMIUM",IFERROR(IF($X$1="ABS",(100*RTD("tos.rtd",,"VOLUME","."&amp;I$2&amp;I$1&amp;"C"&amp;$A44)*RTD("tos.rtd",,"LAST","."&amp;I$2&amp;I$1&amp;"C"&amp;$A44)+100*RTD("tos.rtd",,"VOLUME","."&amp;I$2&amp;I$1&amp;"P"&amp;$A44)*RTD("tos.rtd",,"LAST","."&amp;I$2&amp;I$1&amp;"P"&amp;$A44))/1000000,(100*RTD("tos.rtd",,"VOLUME","."&amp;I$2&amp;I$1&amp;"C"&amp;$A44)*RTD("tos.rtd",,"LAST","."&amp;I$2&amp;I$1&amp;"C"&amp;$A44)-100*RTD("tos.rtd",,"VOLUME","."&amp;I$2&amp;I$1&amp;"P"&amp;$A44)*RTD("tos.rtd",,"LAST","."&amp;I$2&amp;I$1&amp;"P"&amp;$A44))/1000000),0),IF($A$2="DEX",IFERROR(IF($X$1="ABS",(100*RTD("tos.rtd",,"OPEN_INT","."&amp;I$2&amp;I$1&amp;"C"&amp;$A44)*RTD("tos.rtd",,"DELTA","."&amp;I$2&amp;I$1&amp;"C"&amp;$A44)+100*RTD("tos.rtd",,"OPEN_INT","."&amp;I$2&amp;I$1&amp;"P"&amp;$A44)*RTD("tos.rtd",,"DELTA","."&amp;I$2&amp;I$1&amp;"P"&amp;$A44))/1000,(100*RTD("tos.rtd",,"OPEN_INT","."&amp;I$2&amp;I$1&amp;"C"&amp;$A44)*RTD("tos.rtd",,"DELTA","."&amp;I$2&amp;I$1&amp;"C"&amp;$A44)-100*RTD("tos.rtd",,"OPEN_INT","."&amp;I$2&amp;I$1&amp;"P"&amp;$A44)*RTD("tos.rtd",,"DELTA","."&amp;I$2&amp;I$1&amp;"P"&amp;$A44))/1000),0),IF($A$2="VEX",IFERROR(IF($X$1="ABS",($A$4*$A$4*RTD("tos.rtd",,"VOLUME","."&amp;I$2&amp;I$1&amp;"C"&amp;$A44)*RTD("tos.rtd",,"GAMMA","."&amp;I$2&amp;I$1&amp;"C"&amp;$A44)+$A$4*$A$4*RTD("tos.rtd",,"VOLUME","."&amp;I$2&amp;I$1&amp;"P"&amp;$A44)*RTD("tos.rtd",,"GAMMA","."&amp;I$2&amp;I$1&amp;"P"&amp;$A44))/1000000,($A$4*$A$4*RTD("tos.rtd",,"VOLUME","."&amp;I$2&amp;I$1&amp;"C"&amp;$A44)*RTD("tos.rtd",,"GAMMA","."&amp;I$2&amp;I$1&amp;"C"&amp;$A44)-$A$4*$A$4*RTD("tos.rtd",,"VOLUME","."&amp;I$2&amp;I$1&amp;"P"&amp;$A44)*RTD("tos.rtd",,"GAMMA","."&amp;I$2&amp;I$1&amp;"P"&amp;$A44))/1000000),0),IF($A$2="GEX",IFERROR(IF($X$1="ABS",($A$4*$A$4*RTD("tos.rtd",,"OPEN_INT","."&amp;I$2&amp;I$1&amp;"C"&amp;$A44)*RTD("tos.rtd",,"GAMMA","."&amp;I$2&amp;I$1&amp;"C"&amp;$A44)+$A$4*$A$4*RTD("tos.rtd",,"OPEN_INT","."&amp;I$2&amp;I$1&amp;"P"&amp;$A44)*RTD("tos.rtd",,"GAMMA","."&amp;I$2&amp;I$1&amp;"P"&amp;$A44))/1000000,($A$4*$A$4*RTD("tos.rtd",,"OPEN_INT","."&amp;I$2&amp;I$1&amp;"C"&amp;$A44)*RTD("tos.rtd",,"GAMMA","."&amp;I$2&amp;I$1&amp;"C"&amp;$A44)-$A$4*$A$4*RTD("tos.rtd",,"OPEN_INT","."&amp;I$2&amp;I$1&amp;"P"&amp;$A44)*RTD("tos.rtd",,"GAMMA","."&amp;I$2&amp;I$1&amp;"P"&amp;$A44))/1000000),0),IF($A$2="SKEW",IFERROR(VALUE(IF(RTD("tos.rtd",,"IMPL_VOL","."&amp;I$2&amp;I$1&amp;"P"&amp;$A44)="N/A",0,RTD("tos.rtd",,"IMPL_VOL","."&amp;I$2&amp;I$1&amp;"P"&amp;$A44))),0)-IFERROR(VALUE(IF(RTD("tos.rtd",,"IMPL_VOL","."&amp;I$2&amp;I$1&amp;"C"&amp;$A44)="N/A",0,RTD("tos.rtd",,"IMPL_VOL","."&amp;I$2&amp;I$1&amp;"C"&amp;$A44))),0),IF($A$2="MAXPAIN",IF($A$4&gt;$A44,($A$4-$A44)*IF(RTD("tos.rtd",,"OPEN_INT","."&amp;I$2&amp;I$1&amp;"C"&amp;$A44)="N/A",0,RTD("tos.rtd",,"OPEN_INT","."&amp;I$2&amp;I$1&amp;"C"&amp;$A44)),0)+IF($A$4&lt;$A44,($A$5-$A$4)*IF(RTD("tos.rtd",,"OPEN_INT","."&amp;I$2&amp;I$1&amp;"P"&amp;$A44)="N/A",0,RTD("tos.rtd",,"OPEN_INT","."&amp;I$2&amp;I$1&amp;"P"&amp;$A44)),0),IF($X$1="ABS",IF(RTD("tos.rtd",,$A$2,"."&amp;I$2&amp;I$1&amp;"C"&amp;$A44)="N/A",0,RTD("tos.rtd",,$A$2,"."&amp;I$2&amp;I$1&amp;"C"&amp;$A44))+IF(RTD("tos.rtd",,$A$2,"."&amp;I$2&amp;I$1&amp;"P"&amp;$A44)="N/A",0,RTD("tos.rtd",,$A$2,"."&amp;I$2&amp;I$1&amp;"P"&amp;$A44)),IF(RTD("tos.rtd",,$A$2,"."&amp;I$2&amp;I$1&amp;"C"&amp;$A44)="N/A",0,RTD("tos.rtd",,$A$2,"."&amp;I$2&amp;I$1&amp;"C"&amp;$A44))-IF(RTD("tos.rtd",,$A$2,"."&amp;I$2&amp;I$1&amp;"P"&amp;$A44)="N/A",0,RTD("tos.rtd",,$A$2,"."&amp;I$2&amp;I$1&amp;"P"&amp;$A44))))))))))</f>
        <v>0</v>
      </c>
      <c r="J44" s="12">
        <f ca="1">IF($A$2="PREMIUM_OI",IFERROR(IF($X$1="ABS",(100*RTD("tos.rtd",,"OPEN_INT","."&amp;J$2&amp;J$1&amp;"C"&amp;$A44)*RTD("tos.rtd",,"LAST","."&amp;J$2&amp;J$1&amp;"C"&amp;$A44)+100*RTD("tos.rtd",,"OPEN_INT","."&amp;J$2&amp;J$1&amp;"P"&amp;$A44)*RTD("tos.rtd",,"LAST","."&amp;J$2&amp;J$1&amp;"P"&amp;$A44))/1000000,(100*RTD("tos.rtd",,"OPEN_INT","."&amp;J$2&amp;J$1&amp;"C"&amp;$A44)*RTD("tos.rtd",,"LAST","."&amp;J$2&amp;J$1&amp;"C"&amp;$A44)-100*RTD("tos.rtd",,"OPEN_INT","."&amp;J$2&amp;J$1&amp;"P"&amp;$A44)*RTD("tos.rtd",,"LAST","."&amp;J$2&amp;J$1&amp;"P"&amp;$A44))/1000000),0),IF($A$2="PREMIUM",IFERROR(IF($X$1="ABS",(100*RTD("tos.rtd",,"VOLUME","."&amp;J$2&amp;J$1&amp;"C"&amp;$A44)*RTD("tos.rtd",,"LAST","."&amp;J$2&amp;J$1&amp;"C"&amp;$A44)+100*RTD("tos.rtd",,"VOLUME","."&amp;J$2&amp;J$1&amp;"P"&amp;$A44)*RTD("tos.rtd",,"LAST","."&amp;J$2&amp;J$1&amp;"P"&amp;$A44))/1000000,(100*RTD("tos.rtd",,"VOLUME","."&amp;J$2&amp;J$1&amp;"C"&amp;$A44)*RTD("tos.rtd",,"LAST","."&amp;J$2&amp;J$1&amp;"C"&amp;$A44)-100*RTD("tos.rtd",,"VOLUME","."&amp;J$2&amp;J$1&amp;"P"&amp;$A44)*RTD("tos.rtd",,"LAST","."&amp;J$2&amp;J$1&amp;"P"&amp;$A44))/1000000),0),IF($A$2="DEX",IFERROR(IF($X$1="ABS",(100*RTD("tos.rtd",,"OPEN_INT","."&amp;J$2&amp;J$1&amp;"C"&amp;$A44)*RTD("tos.rtd",,"DELTA","."&amp;J$2&amp;J$1&amp;"C"&amp;$A44)+100*RTD("tos.rtd",,"OPEN_INT","."&amp;J$2&amp;J$1&amp;"P"&amp;$A44)*RTD("tos.rtd",,"DELTA","."&amp;J$2&amp;J$1&amp;"P"&amp;$A44))/1000,(100*RTD("tos.rtd",,"OPEN_INT","."&amp;J$2&amp;J$1&amp;"C"&amp;$A44)*RTD("tos.rtd",,"DELTA","."&amp;J$2&amp;J$1&amp;"C"&amp;$A44)-100*RTD("tos.rtd",,"OPEN_INT","."&amp;J$2&amp;J$1&amp;"P"&amp;$A44)*RTD("tos.rtd",,"DELTA","."&amp;J$2&amp;J$1&amp;"P"&amp;$A44))/1000),0),IF($A$2="VEX",IFERROR(IF($X$1="ABS",($A$4*$A$4*RTD("tos.rtd",,"VOLUME","."&amp;J$2&amp;J$1&amp;"C"&amp;$A44)*RTD("tos.rtd",,"GAMMA","."&amp;J$2&amp;J$1&amp;"C"&amp;$A44)+$A$4*$A$4*RTD("tos.rtd",,"VOLUME","."&amp;J$2&amp;J$1&amp;"P"&amp;$A44)*RTD("tos.rtd",,"GAMMA","."&amp;J$2&amp;J$1&amp;"P"&amp;$A44))/1000000,($A$4*$A$4*RTD("tos.rtd",,"VOLUME","."&amp;J$2&amp;J$1&amp;"C"&amp;$A44)*RTD("tos.rtd",,"GAMMA","."&amp;J$2&amp;J$1&amp;"C"&amp;$A44)-$A$4*$A$4*RTD("tos.rtd",,"VOLUME","."&amp;J$2&amp;J$1&amp;"P"&amp;$A44)*RTD("tos.rtd",,"GAMMA","."&amp;J$2&amp;J$1&amp;"P"&amp;$A44))/1000000),0),IF($A$2="GEX",IFERROR(IF($X$1="ABS",($A$4*$A$4*RTD("tos.rtd",,"OPEN_INT","."&amp;J$2&amp;J$1&amp;"C"&amp;$A44)*RTD("tos.rtd",,"GAMMA","."&amp;J$2&amp;J$1&amp;"C"&amp;$A44)+$A$4*$A$4*RTD("tos.rtd",,"OPEN_INT","."&amp;J$2&amp;J$1&amp;"P"&amp;$A44)*RTD("tos.rtd",,"GAMMA","."&amp;J$2&amp;J$1&amp;"P"&amp;$A44))/1000000,($A$4*$A$4*RTD("tos.rtd",,"OPEN_INT","."&amp;J$2&amp;J$1&amp;"C"&amp;$A44)*RTD("tos.rtd",,"GAMMA","."&amp;J$2&amp;J$1&amp;"C"&amp;$A44)-$A$4*$A$4*RTD("tos.rtd",,"OPEN_INT","."&amp;J$2&amp;J$1&amp;"P"&amp;$A44)*RTD("tos.rtd",,"GAMMA","."&amp;J$2&amp;J$1&amp;"P"&amp;$A44))/1000000),0),IF($A$2="SKEW",IFERROR(VALUE(IF(RTD("tos.rtd",,"IMPL_VOL","."&amp;J$2&amp;J$1&amp;"P"&amp;$A44)="N/A",0,RTD("tos.rtd",,"IMPL_VOL","."&amp;J$2&amp;J$1&amp;"P"&amp;$A44))),0)-IFERROR(VALUE(IF(RTD("tos.rtd",,"IMPL_VOL","."&amp;J$2&amp;J$1&amp;"C"&amp;$A44)="N/A",0,RTD("tos.rtd",,"IMPL_VOL","."&amp;J$2&amp;J$1&amp;"C"&amp;$A44))),0),IF($A$2="MAXPAIN",IF($A$4&gt;$A44,($A$4-$A44)*IF(RTD("tos.rtd",,"OPEN_INT","."&amp;J$2&amp;J$1&amp;"C"&amp;$A44)="N/A",0,RTD("tos.rtd",,"OPEN_INT","."&amp;J$2&amp;J$1&amp;"C"&amp;$A44)),0)+IF($A$4&lt;$A44,($A$5-$A$4)*IF(RTD("tos.rtd",,"OPEN_INT","."&amp;J$2&amp;J$1&amp;"P"&amp;$A44)="N/A",0,RTD("tos.rtd",,"OPEN_INT","."&amp;J$2&amp;J$1&amp;"P"&amp;$A44)),0),IF($X$1="ABS",IF(RTD("tos.rtd",,$A$2,"."&amp;J$2&amp;J$1&amp;"C"&amp;$A44)="N/A",0,RTD("tos.rtd",,$A$2,"."&amp;J$2&amp;J$1&amp;"C"&amp;$A44))+IF(RTD("tos.rtd",,$A$2,"."&amp;J$2&amp;J$1&amp;"P"&amp;$A44)="N/A",0,RTD("tos.rtd",,$A$2,"."&amp;J$2&amp;J$1&amp;"P"&amp;$A44)),IF(RTD("tos.rtd",,$A$2,"."&amp;J$2&amp;J$1&amp;"C"&amp;$A44)="N/A",0,RTD("tos.rtd",,$A$2,"."&amp;J$2&amp;J$1&amp;"C"&amp;$A44))-IF(RTD("tos.rtd",,$A$2,"."&amp;J$2&amp;J$1&amp;"P"&amp;$A44)="N/A",0,RTD("tos.rtd",,$A$2,"."&amp;J$2&amp;J$1&amp;"P"&amp;$A44))))))))))</f>
        <v>0</v>
      </c>
      <c r="K44" s="12">
        <f ca="1">IF($A$2="PREMIUM_OI",IFERROR(IF($X$1="ABS",(100*RTD("tos.rtd",,"OPEN_INT","."&amp;K$2&amp;K$1&amp;"C"&amp;$A44)*RTD("tos.rtd",,"LAST","."&amp;K$2&amp;K$1&amp;"C"&amp;$A44)+100*RTD("tos.rtd",,"OPEN_INT","."&amp;K$2&amp;K$1&amp;"P"&amp;$A44)*RTD("tos.rtd",,"LAST","."&amp;K$2&amp;K$1&amp;"P"&amp;$A44))/1000000,(100*RTD("tos.rtd",,"OPEN_INT","."&amp;K$2&amp;K$1&amp;"C"&amp;$A44)*RTD("tos.rtd",,"LAST","."&amp;K$2&amp;K$1&amp;"C"&amp;$A44)-100*RTD("tos.rtd",,"OPEN_INT","."&amp;K$2&amp;K$1&amp;"P"&amp;$A44)*RTD("tos.rtd",,"LAST","."&amp;K$2&amp;K$1&amp;"P"&amp;$A44))/1000000),0),IF($A$2="PREMIUM",IFERROR(IF($X$1="ABS",(100*RTD("tos.rtd",,"VOLUME","."&amp;K$2&amp;K$1&amp;"C"&amp;$A44)*RTD("tos.rtd",,"LAST","."&amp;K$2&amp;K$1&amp;"C"&amp;$A44)+100*RTD("tos.rtd",,"VOLUME","."&amp;K$2&amp;K$1&amp;"P"&amp;$A44)*RTD("tos.rtd",,"LAST","."&amp;K$2&amp;K$1&amp;"P"&amp;$A44))/1000000,(100*RTD("tos.rtd",,"VOLUME","."&amp;K$2&amp;K$1&amp;"C"&amp;$A44)*RTD("tos.rtd",,"LAST","."&amp;K$2&amp;K$1&amp;"C"&amp;$A44)-100*RTD("tos.rtd",,"VOLUME","."&amp;K$2&amp;K$1&amp;"P"&amp;$A44)*RTD("tos.rtd",,"LAST","."&amp;K$2&amp;K$1&amp;"P"&amp;$A44))/1000000),0),IF($A$2="DEX",IFERROR(IF($X$1="ABS",(100*RTD("tos.rtd",,"OPEN_INT","."&amp;K$2&amp;K$1&amp;"C"&amp;$A44)*RTD("tos.rtd",,"DELTA","."&amp;K$2&amp;K$1&amp;"C"&amp;$A44)+100*RTD("tos.rtd",,"OPEN_INT","."&amp;K$2&amp;K$1&amp;"P"&amp;$A44)*RTD("tos.rtd",,"DELTA","."&amp;K$2&amp;K$1&amp;"P"&amp;$A44))/1000,(100*RTD("tos.rtd",,"OPEN_INT","."&amp;K$2&amp;K$1&amp;"C"&amp;$A44)*RTD("tos.rtd",,"DELTA","."&amp;K$2&amp;K$1&amp;"C"&amp;$A44)-100*RTD("tos.rtd",,"OPEN_INT","."&amp;K$2&amp;K$1&amp;"P"&amp;$A44)*RTD("tos.rtd",,"DELTA","."&amp;K$2&amp;K$1&amp;"P"&amp;$A44))/1000),0),IF($A$2="VEX",IFERROR(IF($X$1="ABS",($A$4*$A$4*RTD("tos.rtd",,"VOLUME","."&amp;K$2&amp;K$1&amp;"C"&amp;$A44)*RTD("tos.rtd",,"GAMMA","."&amp;K$2&amp;K$1&amp;"C"&amp;$A44)+$A$4*$A$4*RTD("tos.rtd",,"VOLUME","."&amp;K$2&amp;K$1&amp;"P"&amp;$A44)*RTD("tos.rtd",,"GAMMA","."&amp;K$2&amp;K$1&amp;"P"&amp;$A44))/1000000,($A$4*$A$4*RTD("tos.rtd",,"VOLUME","."&amp;K$2&amp;K$1&amp;"C"&amp;$A44)*RTD("tos.rtd",,"GAMMA","."&amp;K$2&amp;K$1&amp;"C"&amp;$A44)-$A$4*$A$4*RTD("tos.rtd",,"VOLUME","."&amp;K$2&amp;K$1&amp;"P"&amp;$A44)*RTD("tos.rtd",,"GAMMA","."&amp;K$2&amp;K$1&amp;"P"&amp;$A44))/1000000),0),IF($A$2="GEX",IFERROR(IF($X$1="ABS",($A$4*$A$4*RTD("tos.rtd",,"OPEN_INT","."&amp;K$2&amp;K$1&amp;"C"&amp;$A44)*RTD("tos.rtd",,"GAMMA","."&amp;K$2&amp;K$1&amp;"C"&amp;$A44)+$A$4*$A$4*RTD("tos.rtd",,"OPEN_INT","."&amp;K$2&amp;K$1&amp;"P"&amp;$A44)*RTD("tos.rtd",,"GAMMA","."&amp;K$2&amp;K$1&amp;"P"&amp;$A44))/1000000,($A$4*$A$4*RTD("tos.rtd",,"OPEN_INT","."&amp;K$2&amp;K$1&amp;"C"&amp;$A44)*RTD("tos.rtd",,"GAMMA","."&amp;K$2&amp;K$1&amp;"C"&amp;$A44)-$A$4*$A$4*RTD("tos.rtd",,"OPEN_INT","."&amp;K$2&amp;K$1&amp;"P"&amp;$A44)*RTD("tos.rtd",,"GAMMA","."&amp;K$2&amp;K$1&amp;"P"&amp;$A44))/1000000),0),IF($A$2="SKEW",IFERROR(VALUE(IF(RTD("tos.rtd",,"IMPL_VOL","."&amp;K$2&amp;K$1&amp;"P"&amp;$A44)="N/A",0,RTD("tos.rtd",,"IMPL_VOL","."&amp;K$2&amp;K$1&amp;"P"&amp;$A44))),0)-IFERROR(VALUE(IF(RTD("tos.rtd",,"IMPL_VOL","."&amp;K$2&amp;K$1&amp;"C"&amp;$A44)="N/A",0,RTD("tos.rtd",,"IMPL_VOL","."&amp;K$2&amp;K$1&amp;"C"&amp;$A44))),0),IF($A$2="MAXPAIN",IF($A$4&gt;$A44,($A$4-$A44)*IF(RTD("tos.rtd",,"OPEN_INT","."&amp;K$2&amp;K$1&amp;"C"&amp;$A44)="N/A",0,RTD("tos.rtd",,"OPEN_INT","."&amp;K$2&amp;K$1&amp;"C"&amp;$A44)),0)+IF($A$4&lt;$A44,($A$5-$A$4)*IF(RTD("tos.rtd",,"OPEN_INT","."&amp;K$2&amp;K$1&amp;"P"&amp;$A44)="N/A",0,RTD("tos.rtd",,"OPEN_INT","."&amp;K$2&amp;K$1&amp;"P"&amp;$A44)),0),IF($X$1="ABS",IF(RTD("tos.rtd",,$A$2,"."&amp;K$2&amp;K$1&amp;"C"&amp;$A44)="N/A",0,RTD("tos.rtd",,$A$2,"."&amp;K$2&amp;K$1&amp;"C"&amp;$A44))+IF(RTD("tos.rtd",,$A$2,"."&amp;K$2&amp;K$1&amp;"P"&amp;$A44)="N/A",0,RTD("tos.rtd",,$A$2,"."&amp;K$2&amp;K$1&amp;"P"&amp;$A44)),IF(RTD("tos.rtd",,$A$2,"."&amp;K$2&amp;K$1&amp;"C"&amp;$A44)="N/A",0,RTD("tos.rtd",,$A$2,"."&amp;K$2&amp;K$1&amp;"C"&amp;$A44))-IF(RTD("tos.rtd",,$A$2,"."&amp;K$2&amp;K$1&amp;"P"&amp;$A44)="N/A",0,RTD("tos.rtd",,$A$2,"."&amp;K$2&amp;K$1&amp;"P"&amp;$A44))))))))))</f>
        <v>0</v>
      </c>
      <c r="L44" s="54">
        <f ca="1">IF($A$2="PREMIUM_OI",IFERROR(IF($X$1="ABS",(100*RTD("tos.rtd",,"OPEN_INT","."&amp;L$2&amp;L$1&amp;"C"&amp;$A44)*RTD("tos.rtd",,"LAST","."&amp;L$2&amp;L$1&amp;"C"&amp;$A44)+100*RTD("tos.rtd",,"OPEN_INT","."&amp;L$2&amp;L$1&amp;"P"&amp;$A44)*RTD("tos.rtd",,"LAST","."&amp;L$2&amp;L$1&amp;"P"&amp;$A44))/1000000,(100*RTD("tos.rtd",,"OPEN_INT","."&amp;L$2&amp;L$1&amp;"C"&amp;$A44)*RTD("tos.rtd",,"LAST","."&amp;L$2&amp;L$1&amp;"C"&amp;$A44)-100*RTD("tos.rtd",,"OPEN_INT","."&amp;L$2&amp;L$1&amp;"P"&amp;$A44)*RTD("tos.rtd",,"LAST","."&amp;L$2&amp;L$1&amp;"P"&amp;$A44))/1000000),0),IF($A$2="PREMIUM",IFERROR(IF($X$1="ABS",(100*RTD("tos.rtd",,"VOLUME","."&amp;L$2&amp;L$1&amp;"C"&amp;$A44)*RTD("tos.rtd",,"LAST","."&amp;L$2&amp;L$1&amp;"C"&amp;$A44)+100*RTD("tos.rtd",,"VOLUME","."&amp;L$2&amp;L$1&amp;"P"&amp;$A44)*RTD("tos.rtd",,"LAST","."&amp;L$2&amp;L$1&amp;"P"&amp;$A44))/1000000,(100*RTD("tos.rtd",,"VOLUME","."&amp;L$2&amp;L$1&amp;"C"&amp;$A44)*RTD("tos.rtd",,"LAST","."&amp;L$2&amp;L$1&amp;"C"&amp;$A44)-100*RTD("tos.rtd",,"VOLUME","."&amp;L$2&amp;L$1&amp;"P"&amp;$A44)*RTD("tos.rtd",,"LAST","."&amp;L$2&amp;L$1&amp;"P"&amp;$A44))/1000000),0),IF($A$2="DEX",IFERROR(IF($X$1="ABS",(100*RTD("tos.rtd",,"OPEN_INT","."&amp;L$2&amp;L$1&amp;"C"&amp;$A44)*RTD("tos.rtd",,"DELTA","."&amp;L$2&amp;L$1&amp;"C"&amp;$A44)+100*RTD("tos.rtd",,"OPEN_INT","."&amp;L$2&amp;L$1&amp;"P"&amp;$A44)*RTD("tos.rtd",,"DELTA","."&amp;L$2&amp;L$1&amp;"P"&amp;$A44))/1000,(100*RTD("tos.rtd",,"OPEN_INT","."&amp;L$2&amp;L$1&amp;"C"&amp;$A44)*RTD("tos.rtd",,"DELTA","."&amp;L$2&amp;L$1&amp;"C"&amp;$A44)-100*RTD("tos.rtd",,"OPEN_INT","."&amp;L$2&amp;L$1&amp;"P"&amp;$A44)*RTD("tos.rtd",,"DELTA","."&amp;L$2&amp;L$1&amp;"P"&amp;$A44))/1000),0),IF($A$2="VEX",IFERROR(IF($X$1="ABS",($A$4*$A$4*RTD("tos.rtd",,"VOLUME","."&amp;L$2&amp;L$1&amp;"C"&amp;$A44)*RTD("tos.rtd",,"GAMMA","."&amp;L$2&amp;L$1&amp;"C"&amp;$A44)+$A$4*$A$4*RTD("tos.rtd",,"VOLUME","."&amp;L$2&amp;L$1&amp;"P"&amp;$A44)*RTD("tos.rtd",,"GAMMA","."&amp;L$2&amp;L$1&amp;"P"&amp;$A44))/1000000,($A$4*$A$4*RTD("tos.rtd",,"VOLUME","."&amp;L$2&amp;L$1&amp;"C"&amp;$A44)*RTD("tos.rtd",,"GAMMA","."&amp;L$2&amp;L$1&amp;"C"&amp;$A44)-$A$4*$A$4*RTD("tos.rtd",,"VOLUME","."&amp;L$2&amp;L$1&amp;"P"&amp;$A44)*RTD("tos.rtd",,"GAMMA","."&amp;L$2&amp;L$1&amp;"P"&amp;$A44))/1000000),0),IF($A$2="GEX",IFERROR(IF($X$1="ABS",($A$4*$A$4*RTD("tos.rtd",,"OPEN_INT","."&amp;L$2&amp;L$1&amp;"C"&amp;$A44)*RTD("tos.rtd",,"GAMMA","."&amp;L$2&amp;L$1&amp;"C"&amp;$A44)+$A$4*$A$4*RTD("tos.rtd",,"OPEN_INT","."&amp;L$2&amp;L$1&amp;"P"&amp;$A44)*RTD("tos.rtd",,"GAMMA","."&amp;L$2&amp;L$1&amp;"P"&amp;$A44))/1000000,($A$4*$A$4*RTD("tos.rtd",,"OPEN_INT","."&amp;L$2&amp;L$1&amp;"C"&amp;$A44)*RTD("tos.rtd",,"GAMMA","."&amp;L$2&amp;L$1&amp;"C"&amp;$A44)-$A$4*$A$4*RTD("tos.rtd",,"OPEN_INT","."&amp;L$2&amp;L$1&amp;"P"&amp;$A44)*RTD("tos.rtd",,"GAMMA","."&amp;L$2&amp;L$1&amp;"P"&amp;$A44))/1000000),0),IF($A$2="SKEW",IFERROR(VALUE(IF(RTD("tos.rtd",,"IMPL_VOL","."&amp;L$2&amp;L$1&amp;"P"&amp;$A44)="N/A",0,RTD("tos.rtd",,"IMPL_VOL","."&amp;L$2&amp;L$1&amp;"P"&amp;$A44))),0)-IFERROR(VALUE(IF(RTD("tos.rtd",,"IMPL_VOL","."&amp;L$2&amp;L$1&amp;"C"&amp;$A44)="N/A",0,RTD("tos.rtd",,"IMPL_VOL","."&amp;L$2&amp;L$1&amp;"C"&amp;$A44))),0),IF($A$2="MAXPAIN",IF($A$4&gt;$A44,($A$4-$A44)*IF(RTD("tos.rtd",,"OPEN_INT","."&amp;L$2&amp;L$1&amp;"C"&amp;$A44)="N/A",0,RTD("tos.rtd",,"OPEN_INT","."&amp;L$2&amp;L$1&amp;"C"&amp;$A44)),0)+IF($A$4&lt;$A44,($A$5-$A$4)*IF(RTD("tos.rtd",,"OPEN_INT","."&amp;L$2&amp;L$1&amp;"P"&amp;$A44)="N/A",0,RTD("tos.rtd",,"OPEN_INT","."&amp;L$2&amp;L$1&amp;"P"&amp;$A44)),0),IF($X$1="ABS",IF(RTD("tos.rtd",,$A$2,"."&amp;L$2&amp;L$1&amp;"C"&amp;$A44)="N/A",0,RTD("tos.rtd",,$A$2,"."&amp;L$2&amp;L$1&amp;"C"&amp;$A44))+IF(RTD("tos.rtd",,$A$2,"."&amp;L$2&amp;L$1&amp;"P"&amp;$A44)="N/A",0,RTD("tos.rtd",,$A$2,"."&amp;L$2&amp;L$1&amp;"P"&amp;$A44)),IF(RTD("tos.rtd",,$A$2,"."&amp;L$2&amp;L$1&amp;"C"&amp;$A44)="N/A",0,RTD("tos.rtd",,$A$2,"."&amp;L$2&amp;L$1&amp;"C"&amp;$A44))-IF(RTD("tos.rtd",,$A$2,"."&amp;L$2&amp;L$1&amp;"P"&amp;$A44)="N/A",0,RTD("tos.rtd",,$A$2,"."&amp;L$2&amp;L$1&amp;"P"&amp;$A44))))))))))</f>
        <v>1513</v>
      </c>
      <c r="M44" s="12">
        <f ca="1">IF($A$2="PREMIUM_OI",IFERROR(IF($X$1="ABS",(100*RTD("tos.rtd",,"OPEN_INT","."&amp;M$2&amp;M$1&amp;"C"&amp;$A44)*RTD("tos.rtd",,"LAST","."&amp;M$2&amp;M$1&amp;"C"&amp;$A44)+100*RTD("tos.rtd",,"OPEN_INT","."&amp;M$2&amp;M$1&amp;"P"&amp;$A44)*RTD("tos.rtd",,"LAST","."&amp;M$2&amp;M$1&amp;"P"&amp;$A44))/1000000,(100*RTD("tos.rtd",,"OPEN_INT","."&amp;M$2&amp;M$1&amp;"C"&amp;$A44)*RTD("tos.rtd",,"LAST","."&amp;M$2&amp;M$1&amp;"C"&amp;$A44)-100*RTD("tos.rtd",,"OPEN_INT","."&amp;M$2&amp;M$1&amp;"P"&amp;$A44)*RTD("tos.rtd",,"LAST","."&amp;M$2&amp;M$1&amp;"P"&amp;$A44))/1000000),0),IF($A$2="PREMIUM",IFERROR(IF($X$1="ABS",(100*RTD("tos.rtd",,"VOLUME","."&amp;M$2&amp;M$1&amp;"C"&amp;$A44)*RTD("tos.rtd",,"LAST","."&amp;M$2&amp;M$1&amp;"C"&amp;$A44)+100*RTD("tos.rtd",,"VOLUME","."&amp;M$2&amp;M$1&amp;"P"&amp;$A44)*RTD("tos.rtd",,"LAST","."&amp;M$2&amp;M$1&amp;"P"&amp;$A44))/1000000,(100*RTD("tos.rtd",,"VOLUME","."&amp;M$2&amp;M$1&amp;"C"&amp;$A44)*RTD("tos.rtd",,"LAST","."&amp;M$2&amp;M$1&amp;"C"&amp;$A44)-100*RTD("tos.rtd",,"VOLUME","."&amp;M$2&amp;M$1&amp;"P"&amp;$A44)*RTD("tos.rtd",,"LAST","."&amp;M$2&amp;M$1&amp;"P"&amp;$A44))/1000000),0),IF($A$2="DEX",IFERROR(IF($X$1="ABS",(100*RTD("tos.rtd",,"OPEN_INT","."&amp;M$2&amp;M$1&amp;"C"&amp;$A44)*RTD("tos.rtd",,"DELTA","."&amp;M$2&amp;M$1&amp;"C"&amp;$A44)+100*RTD("tos.rtd",,"OPEN_INT","."&amp;M$2&amp;M$1&amp;"P"&amp;$A44)*RTD("tos.rtd",,"DELTA","."&amp;M$2&amp;M$1&amp;"P"&amp;$A44))/1000,(100*RTD("tos.rtd",,"OPEN_INT","."&amp;M$2&amp;M$1&amp;"C"&amp;$A44)*RTD("tos.rtd",,"DELTA","."&amp;M$2&amp;M$1&amp;"C"&amp;$A44)-100*RTD("tos.rtd",,"OPEN_INT","."&amp;M$2&amp;M$1&amp;"P"&amp;$A44)*RTD("tos.rtd",,"DELTA","."&amp;M$2&amp;M$1&amp;"P"&amp;$A44))/1000),0),IF($A$2="VEX",IFERROR(IF($X$1="ABS",($A$4*$A$4*RTD("tos.rtd",,"VOLUME","."&amp;M$2&amp;M$1&amp;"C"&amp;$A44)*RTD("tos.rtd",,"GAMMA","."&amp;M$2&amp;M$1&amp;"C"&amp;$A44)+$A$4*$A$4*RTD("tos.rtd",,"VOLUME","."&amp;M$2&amp;M$1&amp;"P"&amp;$A44)*RTD("tos.rtd",,"GAMMA","."&amp;M$2&amp;M$1&amp;"P"&amp;$A44))/1000000,($A$4*$A$4*RTD("tos.rtd",,"VOLUME","."&amp;M$2&amp;M$1&amp;"C"&amp;$A44)*RTD("tos.rtd",,"GAMMA","."&amp;M$2&amp;M$1&amp;"C"&amp;$A44)-$A$4*$A$4*RTD("tos.rtd",,"VOLUME","."&amp;M$2&amp;M$1&amp;"P"&amp;$A44)*RTD("tos.rtd",,"GAMMA","."&amp;M$2&amp;M$1&amp;"P"&amp;$A44))/1000000),0),IF($A$2="GEX",IFERROR(IF($X$1="ABS",($A$4*$A$4*RTD("tos.rtd",,"OPEN_INT","."&amp;M$2&amp;M$1&amp;"C"&amp;$A44)*RTD("tos.rtd",,"GAMMA","."&amp;M$2&amp;M$1&amp;"C"&amp;$A44)+$A$4*$A$4*RTD("tos.rtd",,"OPEN_INT","."&amp;M$2&amp;M$1&amp;"P"&amp;$A44)*RTD("tos.rtd",,"GAMMA","."&amp;M$2&amp;M$1&amp;"P"&amp;$A44))/1000000,($A$4*$A$4*RTD("tos.rtd",,"OPEN_INT","."&amp;M$2&amp;M$1&amp;"C"&amp;$A44)*RTD("tos.rtd",,"GAMMA","."&amp;M$2&amp;M$1&amp;"C"&amp;$A44)-$A$4*$A$4*RTD("tos.rtd",,"OPEN_INT","."&amp;M$2&amp;M$1&amp;"P"&amp;$A44)*RTD("tos.rtd",,"GAMMA","."&amp;M$2&amp;M$1&amp;"P"&amp;$A44))/1000000),0),IF($A$2="SKEW",IFERROR(VALUE(IF(RTD("tos.rtd",,"IMPL_VOL","."&amp;M$2&amp;M$1&amp;"P"&amp;$A44)="N/A",0,RTD("tos.rtd",,"IMPL_VOL","."&amp;M$2&amp;M$1&amp;"P"&amp;$A44))),0)-IFERROR(VALUE(IF(RTD("tos.rtd",,"IMPL_VOL","."&amp;M$2&amp;M$1&amp;"C"&amp;$A44)="N/A",0,RTD("tos.rtd",,"IMPL_VOL","."&amp;M$2&amp;M$1&amp;"C"&amp;$A44))),0),IF($A$2="MAXPAIN",IF($A$4&gt;$A44,($A$4-$A44)*IF(RTD("tos.rtd",,"OPEN_INT","."&amp;M$2&amp;M$1&amp;"C"&amp;$A44)="N/A",0,RTD("tos.rtd",,"OPEN_INT","."&amp;M$2&amp;M$1&amp;"C"&amp;$A44)),0)+IF($A$4&lt;$A44,($A$5-$A$4)*IF(RTD("tos.rtd",,"OPEN_INT","."&amp;M$2&amp;M$1&amp;"P"&amp;$A44)="N/A",0,RTD("tos.rtd",,"OPEN_INT","."&amp;M$2&amp;M$1&amp;"P"&amp;$A44)),0),IF($X$1="ABS",IF(RTD("tos.rtd",,$A$2,"."&amp;M$2&amp;M$1&amp;"C"&amp;$A44)="N/A",0,RTD("tos.rtd",,$A$2,"."&amp;M$2&amp;M$1&amp;"C"&amp;$A44))+IF(RTD("tos.rtd",,$A$2,"."&amp;M$2&amp;M$1&amp;"P"&amp;$A44)="N/A",0,RTD("tos.rtd",,$A$2,"."&amp;M$2&amp;M$1&amp;"P"&amp;$A44)),IF(RTD("tos.rtd",,$A$2,"."&amp;M$2&amp;M$1&amp;"C"&amp;$A44)="N/A",0,RTD("tos.rtd",,$A$2,"."&amp;M$2&amp;M$1&amp;"C"&amp;$A44))-IF(RTD("tos.rtd",,$A$2,"."&amp;M$2&amp;M$1&amp;"P"&amp;$A44)="N/A",0,RTD("tos.rtd",,$A$2,"."&amp;M$2&amp;M$1&amp;"P"&amp;$A44))))))))))</f>
        <v>-5957</v>
      </c>
      <c r="N44" s="12">
        <f ca="1">IF($A$2="PREMIUM_OI",IFERROR(IF($X$1="ABS",(100*RTD("tos.rtd",,"OPEN_INT","."&amp;N$2&amp;N$1&amp;"C"&amp;$A44)*RTD("tos.rtd",,"LAST","."&amp;N$2&amp;N$1&amp;"C"&amp;$A44)+100*RTD("tos.rtd",,"OPEN_INT","."&amp;N$2&amp;N$1&amp;"P"&amp;$A44)*RTD("tos.rtd",,"LAST","."&amp;N$2&amp;N$1&amp;"P"&amp;$A44))/1000000,(100*RTD("tos.rtd",,"OPEN_INT","."&amp;N$2&amp;N$1&amp;"C"&amp;$A44)*RTD("tos.rtd",,"LAST","."&amp;N$2&amp;N$1&amp;"C"&amp;$A44)-100*RTD("tos.rtd",,"OPEN_INT","."&amp;N$2&amp;N$1&amp;"P"&amp;$A44)*RTD("tos.rtd",,"LAST","."&amp;N$2&amp;N$1&amp;"P"&amp;$A44))/1000000),0),IF($A$2="PREMIUM",IFERROR(IF($X$1="ABS",(100*RTD("tos.rtd",,"VOLUME","."&amp;N$2&amp;N$1&amp;"C"&amp;$A44)*RTD("tos.rtd",,"LAST","."&amp;N$2&amp;N$1&amp;"C"&amp;$A44)+100*RTD("tos.rtd",,"VOLUME","."&amp;N$2&amp;N$1&amp;"P"&amp;$A44)*RTD("tos.rtd",,"LAST","."&amp;N$2&amp;N$1&amp;"P"&amp;$A44))/1000000,(100*RTD("tos.rtd",,"VOLUME","."&amp;N$2&amp;N$1&amp;"C"&amp;$A44)*RTD("tos.rtd",,"LAST","."&amp;N$2&amp;N$1&amp;"C"&amp;$A44)-100*RTD("tos.rtd",,"VOLUME","."&amp;N$2&amp;N$1&amp;"P"&amp;$A44)*RTD("tos.rtd",,"LAST","."&amp;N$2&amp;N$1&amp;"P"&amp;$A44))/1000000),0),IF($A$2="DEX",IFERROR(IF($X$1="ABS",(100*RTD("tos.rtd",,"OPEN_INT","."&amp;N$2&amp;N$1&amp;"C"&amp;$A44)*RTD("tos.rtd",,"DELTA","."&amp;N$2&amp;N$1&amp;"C"&amp;$A44)+100*RTD("tos.rtd",,"OPEN_INT","."&amp;N$2&amp;N$1&amp;"P"&amp;$A44)*RTD("tos.rtd",,"DELTA","."&amp;N$2&amp;N$1&amp;"P"&amp;$A44))/1000,(100*RTD("tos.rtd",,"OPEN_INT","."&amp;N$2&amp;N$1&amp;"C"&amp;$A44)*RTD("tos.rtd",,"DELTA","."&amp;N$2&amp;N$1&amp;"C"&amp;$A44)-100*RTD("tos.rtd",,"OPEN_INT","."&amp;N$2&amp;N$1&amp;"P"&amp;$A44)*RTD("tos.rtd",,"DELTA","."&amp;N$2&amp;N$1&amp;"P"&amp;$A44))/1000),0),IF($A$2="VEX",IFERROR(IF($X$1="ABS",($A$4*$A$4*RTD("tos.rtd",,"VOLUME","."&amp;N$2&amp;N$1&amp;"C"&amp;$A44)*RTD("tos.rtd",,"GAMMA","."&amp;N$2&amp;N$1&amp;"C"&amp;$A44)+$A$4*$A$4*RTD("tos.rtd",,"VOLUME","."&amp;N$2&amp;N$1&amp;"P"&amp;$A44)*RTD("tos.rtd",,"GAMMA","."&amp;N$2&amp;N$1&amp;"P"&amp;$A44))/1000000,($A$4*$A$4*RTD("tos.rtd",,"VOLUME","."&amp;N$2&amp;N$1&amp;"C"&amp;$A44)*RTD("tos.rtd",,"GAMMA","."&amp;N$2&amp;N$1&amp;"C"&amp;$A44)-$A$4*$A$4*RTD("tos.rtd",,"VOLUME","."&amp;N$2&amp;N$1&amp;"P"&amp;$A44)*RTD("tos.rtd",,"GAMMA","."&amp;N$2&amp;N$1&amp;"P"&amp;$A44))/1000000),0),IF($A$2="GEX",IFERROR(IF($X$1="ABS",($A$4*$A$4*RTD("tos.rtd",,"OPEN_INT","."&amp;N$2&amp;N$1&amp;"C"&amp;$A44)*RTD("tos.rtd",,"GAMMA","."&amp;N$2&amp;N$1&amp;"C"&amp;$A44)+$A$4*$A$4*RTD("tos.rtd",,"OPEN_INT","."&amp;N$2&amp;N$1&amp;"P"&amp;$A44)*RTD("tos.rtd",,"GAMMA","."&amp;N$2&amp;N$1&amp;"P"&amp;$A44))/1000000,($A$4*$A$4*RTD("tos.rtd",,"OPEN_INT","."&amp;N$2&amp;N$1&amp;"C"&amp;$A44)*RTD("tos.rtd",,"GAMMA","."&amp;N$2&amp;N$1&amp;"C"&amp;$A44)-$A$4*$A$4*RTD("tos.rtd",,"OPEN_INT","."&amp;N$2&amp;N$1&amp;"P"&amp;$A44)*RTD("tos.rtd",,"GAMMA","."&amp;N$2&amp;N$1&amp;"P"&amp;$A44))/1000000),0),IF($A$2="SKEW",IFERROR(VALUE(IF(RTD("tos.rtd",,"IMPL_VOL","."&amp;N$2&amp;N$1&amp;"P"&amp;$A44)="N/A",0,RTD("tos.rtd",,"IMPL_VOL","."&amp;N$2&amp;N$1&amp;"P"&amp;$A44))),0)-IFERROR(VALUE(IF(RTD("tos.rtd",,"IMPL_VOL","."&amp;N$2&amp;N$1&amp;"C"&amp;$A44)="N/A",0,RTD("tos.rtd",,"IMPL_VOL","."&amp;N$2&amp;N$1&amp;"C"&amp;$A44))),0),IF($A$2="MAXPAIN",IF($A$4&gt;$A44,($A$4-$A44)*IF(RTD("tos.rtd",,"OPEN_INT","."&amp;N$2&amp;N$1&amp;"C"&amp;$A44)="N/A",0,RTD("tos.rtd",,"OPEN_INT","."&amp;N$2&amp;N$1&amp;"C"&amp;$A44)),0)+IF($A$4&lt;$A44,($A$5-$A$4)*IF(RTD("tos.rtd",,"OPEN_INT","."&amp;N$2&amp;N$1&amp;"P"&amp;$A44)="N/A",0,RTD("tos.rtd",,"OPEN_INT","."&amp;N$2&amp;N$1&amp;"P"&amp;$A44)),0),IF($X$1="ABS",IF(RTD("tos.rtd",,$A$2,"."&amp;N$2&amp;N$1&amp;"C"&amp;$A44)="N/A",0,RTD("tos.rtd",,$A$2,"."&amp;N$2&amp;N$1&amp;"C"&amp;$A44))+IF(RTD("tos.rtd",,$A$2,"."&amp;N$2&amp;N$1&amp;"P"&amp;$A44)="N/A",0,RTD("tos.rtd",,$A$2,"."&amp;N$2&amp;N$1&amp;"P"&amp;$A44)),IF(RTD("tos.rtd",,$A$2,"."&amp;N$2&amp;N$1&amp;"C"&amp;$A44)="N/A",0,RTD("tos.rtd",,$A$2,"."&amp;N$2&amp;N$1&amp;"C"&amp;$A44))-IF(RTD("tos.rtd",,$A$2,"."&amp;N$2&amp;N$1&amp;"P"&amp;$A44)="N/A",0,RTD("tos.rtd",,$A$2,"."&amp;N$2&amp;N$1&amp;"P"&amp;$A44))))))))))</f>
        <v>0</v>
      </c>
      <c r="O44" s="12">
        <f ca="1">IF($A$2="PREMIUM_OI",IFERROR(IF($X$1="ABS",(100*RTD("tos.rtd",,"OPEN_INT","."&amp;O$2&amp;O$1&amp;"C"&amp;$A44)*RTD("tos.rtd",,"LAST","."&amp;O$2&amp;O$1&amp;"C"&amp;$A44)+100*RTD("tos.rtd",,"OPEN_INT","."&amp;O$2&amp;O$1&amp;"P"&amp;$A44)*RTD("tos.rtd",,"LAST","."&amp;O$2&amp;O$1&amp;"P"&amp;$A44))/1000000,(100*RTD("tos.rtd",,"OPEN_INT","."&amp;O$2&amp;O$1&amp;"C"&amp;$A44)*RTD("tos.rtd",,"LAST","."&amp;O$2&amp;O$1&amp;"C"&amp;$A44)-100*RTD("tos.rtd",,"OPEN_INT","."&amp;O$2&amp;O$1&amp;"P"&amp;$A44)*RTD("tos.rtd",,"LAST","."&amp;O$2&amp;O$1&amp;"P"&amp;$A44))/1000000),0),IF($A$2="PREMIUM",IFERROR(IF($X$1="ABS",(100*RTD("tos.rtd",,"VOLUME","."&amp;O$2&amp;O$1&amp;"C"&amp;$A44)*RTD("tos.rtd",,"LAST","."&amp;O$2&amp;O$1&amp;"C"&amp;$A44)+100*RTD("tos.rtd",,"VOLUME","."&amp;O$2&amp;O$1&amp;"P"&amp;$A44)*RTD("tos.rtd",,"LAST","."&amp;O$2&amp;O$1&amp;"P"&amp;$A44))/1000000,(100*RTD("tos.rtd",,"VOLUME","."&amp;O$2&amp;O$1&amp;"C"&amp;$A44)*RTD("tos.rtd",,"LAST","."&amp;O$2&amp;O$1&amp;"C"&amp;$A44)-100*RTD("tos.rtd",,"VOLUME","."&amp;O$2&amp;O$1&amp;"P"&amp;$A44)*RTD("tos.rtd",,"LAST","."&amp;O$2&amp;O$1&amp;"P"&amp;$A44))/1000000),0),IF($A$2="DEX",IFERROR(IF($X$1="ABS",(100*RTD("tos.rtd",,"OPEN_INT","."&amp;O$2&amp;O$1&amp;"C"&amp;$A44)*RTD("tos.rtd",,"DELTA","."&amp;O$2&amp;O$1&amp;"C"&amp;$A44)+100*RTD("tos.rtd",,"OPEN_INT","."&amp;O$2&amp;O$1&amp;"P"&amp;$A44)*RTD("tos.rtd",,"DELTA","."&amp;O$2&amp;O$1&amp;"P"&amp;$A44))/1000,(100*RTD("tos.rtd",,"OPEN_INT","."&amp;O$2&amp;O$1&amp;"C"&amp;$A44)*RTD("tos.rtd",,"DELTA","."&amp;O$2&amp;O$1&amp;"C"&amp;$A44)-100*RTD("tos.rtd",,"OPEN_INT","."&amp;O$2&amp;O$1&amp;"P"&amp;$A44)*RTD("tos.rtd",,"DELTA","."&amp;O$2&amp;O$1&amp;"P"&amp;$A44))/1000),0),IF($A$2="VEX",IFERROR(IF($X$1="ABS",($A$4*$A$4*RTD("tos.rtd",,"VOLUME","."&amp;O$2&amp;O$1&amp;"C"&amp;$A44)*RTD("tos.rtd",,"GAMMA","."&amp;O$2&amp;O$1&amp;"C"&amp;$A44)+$A$4*$A$4*RTD("tos.rtd",,"VOLUME","."&amp;O$2&amp;O$1&amp;"P"&amp;$A44)*RTD("tos.rtd",,"GAMMA","."&amp;O$2&amp;O$1&amp;"P"&amp;$A44))/1000000,($A$4*$A$4*RTD("tos.rtd",,"VOLUME","."&amp;O$2&amp;O$1&amp;"C"&amp;$A44)*RTD("tos.rtd",,"GAMMA","."&amp;O$2&amp;O$1&amp;"C"&amp;$A44)-$A$4*$A$4*RTD("tos.rtd",,"VOLUME","."&amp;O$2&amp;O$1&amp;"P"&amp;$A44)*RTD("tos.rtd",,"GAMMA","."&amp;O$2&amp;O$1&amp;"P"&amp;$A44))/1000000),0),IF($A$2="GEX",IFERROR(IF($X$1="ABS",($A$4*$A$4*RTD("tos.rtd",,"OPEN_INT","."&amp;O$2&amp;O$1&amp;"C"&amp;$A44)*RTD("tos.rtd",,"GAMMA","."&amp;O$2&amp;O$1&amp;"C"&amp;$A44)+$A$4*$A$4*RTD("tos.rtd",,"OPEN_INT","."&amp;O$2&amp;O$1&amp;"P"&amp;$A44)*RTD("tos.rtd",,"GAMMA","."&amp;O$2&amp;O$1&amp;"P"&amp;$A44))/1000000,($A$4*$A$4*RTD("tos.rtd",,"OPEN_INT","."&amp;O$2&amp;O$1&amp;"C"&amp;$A44)*RTD("tos.rtd",,"GAMMA","."&amp;O$2&amp;O$1&amp;"C"&amp;$A44)-$A$4*$A$4*RTD("tos.rtd",,"OPEN_INT","."&amp;O$2&amp;O$1&amp;"P"&amp;$A44)*RTD("tos.rtd",,"GAMMA","."&amp;O$2&amp;O$1&amp;"P"&amp;$A44))/1000000),0),IF($A$2="SKEW",IFERROR(VALUE(IF(RTD("tos.rtd",,"IMPL_VOL","."&amp;O$2&amp;O$1&amp;"P"&amp;$A44)="N/A",0,RTD("tos.rtd",,"IMPL_VOL","."&amp;O$2&amp;O$1&amp;"P"&amp;$A44))),0)-IFERROR(VALUE(IF(RTD("tos.rtd",,"IMPL_VOL","."&amp;O$2&amp;O$1&amp;"C"&amp;$A44)="N/A",0,RTD("tos.rtd",,"IMPL_VOL","."&amp;O$2&amp;O$1&amp;"C"&amp;$A44))),0),IF($A$2="MAXPAIN",IF($A$4&gt;$A44,($A$4-$A44)*IF(RTD("tos.rtd",,"OPEN_INT","."&amp;O$2&amp;O$1&amp;"C"&amp;$A44)="N/A",0,RTD("tos.rtd",,"OPEN_INT","."&amp;O$2&amp;O$1&amp;"C"&amp;$A44)),0)+IF($A$4&lt;$A44,($A$5-$A$4)*IF(RTD("tos.rtd",,"OPEN_INT","."&amp;O$2&amp;O$1&amp;"P"&amp;$A44)="N/A",0,RTD("tos.rtd",,"OPEN_INT","."&amp;O$2&amp;O$1&amp;"P"&amp;$A44)),0),IF($X$1="ABS",IF(RTD("tos.rtd",,$A$2,"."&amp;O$2&amp;O$1&amp;"C"&amp;$A44)="N/A",0,RTD("tos.rtd",,$A$2,"."&amp;O$2&amp;O$1&amp;"C"&amp;$A44))+IF(RTD("tos.rtd",,$A$2,"."&amp;O$2&amp;O$1&amp;"P"&amp;$A44)="N/A",0,RTD("tos.rtd",,$A$2,"."&amp;O$2&amp;O$1&amp;"P"&amp;$A44)),IF(RTD("tos.rtd",,$A$2,"."&amp;O$2&amp;O$1&amp;"C"&amp;$A44)="N/A",0,RTD("tos.rtd",,$A$2,"."&amp;O$2&amp;O$1&amp;"C"&amp;$A44))-IF(RTD("tos.rtd",,$A$2,"."&amp;O$2&amp;O$1&amp;"P"&amp;$A44)="N/A",0,RTD("tos.rtd",,$A$2,"."&amp;O$2&amp;O$1&amp;"P"&amp;$A44))))))))))</f>
        <v>0</v>
      </c>
      <c r="P44" s="12">
        <f ca="1">IF($A$2="PREMIUM_OI",IFERROR(IF($X$1="ABS",(100*RTD("tos.rtd",,"OPEN_INT","."&amp;P$2&amp;P$1&amp;"C"&amp;$A44)*RTD("tos.rtd",,"LAST","."&amp;P$2&amp;P$1&amp;"C"&amp;$A44)+100*RTD("tos.rtd",,"OPEN_INT","."&amp;P$2&amp;P$1&amp;"P"&amp;$A44)*RTD("tos.rtd",,"LAST","."&amp;P$2&amp;P$1&amp;"P"&amp;$A44))/1000000,(100*RTD("tos.rtd",,"OPEN_INT","."&amp;P$2&amp;P$1&amp;"C"&amp;$A44)*RTD("tos.rtd",,"LAST","."&amp;P$2&amp;P$1&amp;"C"&amp;$A44)-100*RTD("tos.rtd",,"OPEN_INT","."&amp;P$2&amp;P$1&amp;"P"&amp;$A44)*RTD("tos.rtd",,"LAST","."&amp;P$2&amp;P$1&amp;"P"&amp;$A44))/1000000),0),IF($A$2="PREMIUM",IFERROR(IF($X$1="ABS",(100*RTD("tos.rtd",,"VOLUME","."&amp;P$2&amp;P$1&amp;"C"&amp;$A44)*RTD("tos.rtd",,"LAST","."&amp;P$2&amp;P$1&amp;"C"&amp;$A44)+100*RTD("tos.rtd",,"VOLUME","."&amp;P$2&amp;P$1&amp;"P"&amp;$A44)*RTD("tos.rtd",,"LAST","."&amp;P$2&amp;P$1&amp;"P"&amp;$A44))/1000000,(100*RTD("tos.rtd",,"VOLUME","."&amp;P$2&amp;P$1&amp;"C"&amp;$A44)*RTD("tos.rtd",,"LAST","."&amp;P$2&amp;P$1&amp;"C"&amp;$A44)-100*RTD("tos.rtd",,"VOLUME","."&amp;P$2&amp;P$1&amp;"P"&amp;$A44)*RTD("tos.rtd",,"LAST","."&amp;P$2&amp;P$1&amp;"P"&amp;$A44))/1000000),0),IF($A$2="DEX",IFERROR(IF($X$1="ABS",(100*RTD("tos.rtd",,"OPEN_INT","."&amp;P$2&amp;P$1&amp;"C"&amp;$A44)*RTD("tos.rtd",,"DELTA","."&amp;P$2&amp;P$1&amp;"C"&amp;$A44)+100*RTD("tos.rtd",,"OPEN_INT","."&amp;P$2&amp;P$1&amp;"P"&amp;$A44)*RTD("tos.rtd",,"DELTA","."&amp;P$2&amp;P$1&amp;"P"&amp;$A44))/1000,(100*RTD("tos.rtd",,"OPEN_INT","."&amp;P$2&amp;P$1&amp;"C"&amp;$A44)*RTD("tos.rtd",,"DELTA","."&amp;P$2&amp;P$1&amp;"C"&amp;$A44)-100*RTD("tos.rtd",,"OPEN_INT","."&amp;P$2&amp;P$1&amp;"P"&amp;$A44)*RTD("tos.rtd",,"DELTA","."&amp;P$2&amp;P$1&amp;"P"&amp;$A44))/1000),0),IF($A$2="VEX",IFERROR(IF($X$1="ABS",($A$4*$A$4*RTD("tos.rtd",,"VOLUME","."&amp;P$2&amp;P$1&amp;"C"&amp;$A44)*RTD("tos.rtd",,"GAMMA","."&amp;P$2&amp;P$1&amp;"C"&amp;$A44)+$A$4*$A$4*RTD("tos.rtd",,"VOLUME","."&amp;P$2&amp;P$1&amp;"P"&amp;$A44)*RTD("tos.rtd",,"GAMMA","."&amp;P$2&amp;P$1&amp;"P"&amp;$A44))/1000000,($A$4*$A$4*RTD("tos.rtd",,"VOLUME","."&amp;P$2&amp;P$1&amp;"C"&amp;$A44)*RTD("tos.rtd",,"GAMMA","."&amp;P$2&amp;P$1&amp;"C"&amp;$A44)-$A$4*$A$4*RTD("tos.rtd",,"VOLUME","."&amp;P$2&amp;P$1&amp;"P"&amp;$A44)*RTD("tos.rtd",,"GAMMA","."&amp;P$2&amp;P$1&amp;"P"&amp;$A44))/1000000),0),IF($A$2="GEX",IFERROR(IF($X$1="ABS",($A$4*$A$4*RTD("tos.rtd",,"OPEN_INT","."&amp;P$2&amp;P$1&amp;"C"&amp;$A44)*RTD("tos.rtd",,"GAMMA","."&amp;P$2&amp;P$1&amp;"C"&amp;$A44)+$A$4*$A$4*RTD("tos.rtd",,"OPEN_INT","."&amp;P$2&amp;P$1&amp;"P"&amp;$A44)*RTD("tos.rtd",,"GAMMA","."&amp;P$2&amp;P$1&amp;"P"&amp;$A44))/1000000,($A$4*$A$4*RTD("tos.rtd",,"OPEN_INT","."&amp;P$2&amp;P$1&amp;"C"&amp;$A44)*RTD("tos.rtd",,"GAMMA","."&amp;P$2&amp;P$1&amp;"C"&amp;$A44)-$A$4*$A$4*RTD("tos.rtd",,"OPEN_INT","."&amp;P$2&amp;P$1&amp;"P"&amp;$A44)*RTD("tos.rtd",,"GAMMA","."&amp;P$2&amp;P$1&amp;"P"&amp;$A44))/1000000),0),IF($A$2="SKEW",IFERROR(VALUE(IF(RTD("tos.rtd",,"IMPL_VOL","."&amp;P$2&amp;P$1&amp;"P"&amp;$A44)="N/A",0,RTD("tos.rtd",,"IMPL_VOL","."&amp;P$2&amp;P$1&amp;"P"&amp;$A44))),0)-IFERROR(VALUE(IF(RTD("tos.rtd",,"IMPL_VOL","."&amp;P$2&amp;P$1&amp;"C"&amp;$A44)="N/A",0,RTD("tos.rtd",,"IMPL_VOL","."&amp;P$2&amp;P$1&amp;"C"&amp;$A44))),0),IF($A$2="MAXPAIN",IF($A$4&gt;$A44,($A$4-$A44)*IF(RTD("tos.rtd",,"OPEN_INT","."&amp;P$2&amp;P$1&amp;"C"&amp;$A44)="N/A",0,RTD("tos.rtd",,"OPEN_INT","."&amp;P$2&amp;P$1&amp;"C"&amp;$A44)),0)+IF($A$4&lt;$A44,($A$5-$A$4)*IF(RTD("tos.rtd",,"OPEN_INT","."&amp;P$2&amp;P$1&amp;"P"&amp;$A44)="N/A",0,RTD("tos.rtd",,"OPEN_INT","."&amp;P$2&amp;P$1&amp;"P"&amp;$A44)),0),IF($X$1="ABS",IF(RTD("tos.rtd",,$A$2,"."&amp;P$2&amp;P$1&amp;"C"&amp;$A44)="N/A",0,RTD("tos.rtd",,$A$2,"."&amp;P$2&amp;P$1&amp;"C"&amp;$A44))+IF(RTD("tos.rtd",,$A$2,"."&amp;P$2&amp;P$1&amp;"P"&amp;$A44)="N/A",0,RTD("tos.rtd",,$A$2,"."&amp;P$2&amp;P$1&amp;"P"&amp;$A44)),IF(RTD("tos.rtd",,$A$2,"."&amp;P$2&amp;P$1&amp;"C"&amp;$A44)="N/A",0,RTD("tos.rtd",,$A$2,"."&amp;P$2&amp;P$1&amp;"C"&amp;$A44))-IF(RTD("tos.rtd",,$A$2,"."&amp;P$2&amp;P$1&amp;"P"&amp;$A44)="N/A",0,RTD("tos.rtd",,$A$2,"."&amp;P$2&amp;P$1&amp;"P"&amp;$A44))))))))))</f>
        <v>-42</v>
      </c>
      <c r="Q44" s="12">
        <f ca="1">IF($A$2="PREMIUM_OI",IFERROR(IF($X$1="ABS",(100*RTD("tos.rtd",,"OPEN_INT","."&amp;Q$2&amp;Q$1&amp;"C"&amp;$A44)*RTD("tos.rtd",,"LAST","."&amp;Q$2&amp;Q$1&amp;"C"&amp;$A44)+100*RTD("tos.rtd",,"OPEN_INT","."&amp;Q$2&amp;Q$1&amp;"P"&amp;$A44)*RTD("tos.rtd",,"LAST","."&amp;Q$2&amp;Q$1&amp;"P"&amp;$A44))/1000000,(100*RTD("tos.rtd",,"OPEN_INT","."&amp;Q$2&amp;Q$1&amp;"C"&amp;$A44)*RTD("tos.rtd",,"LAST","."&amp;Q$2&amp;Q$1&amp;"C"&amp;$A44)-100*RTD("tos.rtd",,"OPEN_INT","."&amp;Q$2&amp;Q$1&amp;"P"&amp;$A44)*RTD("tos.rtd",,"LAST","."&amp;Q$2&amp;Q$1&amp;"P"&amp;$A44))/1000000),0),IF($A$2="PREMIUM",IFERROR(IF($X$1="ABS",(100*RTD("tos.rtd",,"VOLUME","."&amp;Q$2&amp;Q$1&amp;"C"&amp;$A44)*RTD("tos.rtd",,"LAST","."&amp;Q$2&amp;Q$1&amp;"C"&amp;$A44)+100*RTD("tos.rtd",,"VOLUME","."&amp;Q$2&amp;Q$1&amp;"P"&amp;$A44)*RTD("tos.rtd",,"LAST","."&amp;Q$2&amp;Q$1&amp;"P"&amp;$A44))/1000000,(100*RTD("tos.rtd",,"VOLUME","."&amp;Q$2&amp;Q$1&amp;"C"&amp;$A44)*RTD("tos.rtd",,"LAST","."&amp;Q$2&amp;Q$1&amp;"C"&amp;$A44)-100*RTD("tos.rtd",,"VOLUME","."&amp;Q$2&amp;Q$1&amp;"P"&amp;$A44)*RTD("tos.rtd",,"LAST","."&amp;Q$2&amp;Q$1&amp;"P"&amp;$A44))/1000000),0),IF($A$2="DEX",IFERROR(IF($X$1="ABS",(100*RTD("tos.rtd",,"OPEN_INT","."&amp;Q$2&amp;Q$1&amp;"C"&amp;$A44)*RTD("tos.rtd",,"DELTA","."&amp;Q$2&amp;Q$1&amp;"C"&amp;$A44)+100*RTD("tos.rtd",,"OPEN_INT","."&amp;Q$2&amp;Q$1&amp;"P"&amp;$A44)*RTD("tos.rtd",,"DELTA","."&amp;Q$2&amp;Q$1&amp;"P"&amp;$A44))/1000,(100*RTD("tos.rtd",,"OPEN_INT","."&amp;Q$2&amp;Q$1&amp;"C"&amp;$A44)*RTD("tos.rtd",,"DELTA","."&amp;Q$2&amp;Q$1&amp;"C"&amp;$A44)-100*RTD("tos.rtd",,"OPEN_INT","."&amp;Q$2&amp;Q$1&amp;"P"&amp;$A44)*RTD("tos.rtd",,"DELTA","."&amp;Q$2&amp;Q$1&amp;"P"&amp;$A44))/1000),0),IF($A$2="VEX",IFERROR(IF($X$1="ABS",($A$4*$A$4*RTD("tos.rtd",,"VOLUME","."&amp;Q$2&amp;Q$1&amp;"C"&amp;$A44)*RTD("tos.rtd",,"GAMMA","."&amp;Q$2&amp;Q$1&amp;"C"&amp;$A44)+$A$4*$A$4*RTD("tos.rtd",,"VOLUME","."&amp;Q$2&amp;Q$1&amp;"P"&amp;$A44)*RTD("tos.rtd",,"GAMMA","."&amp;Q$2&amp;Q$1&amp;"P"&amp;$A44))/1000000,($A$4*$A$4*RTD("tos.rtd",,"VOLUME","."&amp;Q$2&amp;Q$1&amp;"C"&amp;$A44)*RTD("tos.rtd",,"GAMMA","."&amp;Q$2&amp;Q$1&amp;"C"&amp;$A44)-$A$4*$A$4*RTD("tos.rtd",,"VOLUME","."&amp;Q$2&amp;Q$1&amp;"P"&amp;$A44)*RTD("tos.rtd",,"GAMMA","."&amp;Q$2&amp;Q$1&amp;"P"&amp;$A44))/1000000),0),IF($A$2="GEX",IFERROR(IF($X$1="ABS",($A$4*$A$4*RTD("tos.rtd",,"OPEN_INT","."&amp;Q$2&amp;Q$1&amp;"C"&amp;$A44)*RTD("tos.rtd",,"GAMMA","."&amp;Q$2&amp;Q$1&amp;"C"&amp;$A44)+$A$4*$A$4*RTD("tos.rtd",,"OPEN_INT","."&amp;Q$2&amp;Q$1&amp;"P"&amp;$A44)*RTD("tos.rtd",,"GAMMA","."&amp;Q$2&amp;Q$1&amp;"P"&amp;$A44))/1000000,($A$4*$A$4*RTD("tos.rtd",,"OPEN_INT","."&amp;Q$2&amp;Q$1&amp;"C"&amp;$A44)*RTD("tos.rtd",,"GAMMA","."&amp;Q$2&amp;Q$1&amp;"C"&amp;$A44)-$A$4*$A$4*RTD("tos.rtd",,"OPEN_INT","."&amp;Q$2&amp;Q$1&amp;"P"&amp;$A44)*RTD("tos.rtd",,"GAMMA","."&amp;Q$2&amp;Q$1&amp;"P"&amp;$A44))/1000000),0),IF($A$2="SKEW",IFERROR(VALUE(IF(RTD("tos.rtd",,"IMPL_VOL","."&amp;Q$2&amp;Q$1&amp;"P"&amp;$A44)="N/A",0,RTD("tos.rtd",,"IMPL_VOL","."&amp;Q$2&amp;Q$1&amp;"P"&amp;$A44))),0)-IFERROR(VALUE(IF(RTD("tos.rtd",,"IMPL_VOL","."&amp;Q$2&amp;Q$1&amp;"C"&amp;$A44)="N/A",0,RTD("tos.rtd",,"IMPL_VOL","."&amp;Q$2&amp;Q$1&amp;"C"&amp;$A44))),0),IF($A$2="MAXPAIN",IF($A$4&gt;$A44,($A$4-$A44)*IF(RTD("tos.rtd",,"OPEN_INT","."&amp;Q$2&amp;Q$1&amp;"C"&amp;$A44)="N/A",0,RTD("tos.rtd",,"OPEN_INT","."&amp;Q$2&amp;Q$1&amp;"C"&amp;$A44)),0)+IF($A$4&lt;$A44,($A$5-$A$4)*IF(RTD("tos.rtd",,"OPEN_INT","."&amp;Q$2&amp;Q$1&amp;"P"&amp;$A44)="N/A",0,RTD("tos.rtd",,"OPEN_INT","."&amp;Q$2&amp;Q$1&amp;"P"&amp;$A44)),0),IF($X$1="ABS",IF(RTD("tos.rtd",,$A$2,"."&amp;Q$2&amp;Q$1&amp;"C"&amp;$A44)="N/A",0,RTD("tos.rtd",,$A$2,"."&amp;Q$2&amp;Q$1&amp;"C"&amp;$A44))+IF(RTD("tos.rtd",,$A$2,"."&amp;Q$2&amp;Q$1&amp;"P"&amp;$A44)="N/A",0,RTD("tos.rtd",,$A$2,"."&amp;Q$2&amp;Q$1&amp;"P"&amp;$A44)),IF(RTD("tos.rtd",,$A$2,"."&amp;Q$2&amp;Q$1&amp;"C"&amp;$A44)="N/A",0,RTD("tos.rtd",,$A$2,"."&amp;Q$2&amp;Q$1&amp;"C"&amp;$A44))-IF(RTD("tos.rtd",,$A$2,"."&amp;Q$2&amp;Q$1&amp;"P"&amp;$A44)="N/A",0,RTD("tos.rtd",,$A$2,"."&amp;Q$2&amp;Q$1&amp;"P"&amp;$A44))))))))))</f>
        <v>0</v>
      </c>
      <c r="R44" s="12">
        <f ca="1">IF($A$2="PREMIUM_OI",IFERROR(IF($X$1="ABS",(100*RTD("tos.rtd",,"OPEN_INT","."&amp;R$2&amp;R$1&amp;"C"&amp;$A44)*RTD("tos.rtd",,"LAST","."&amp;R$2&amp;R$1&amp;"C"&amp;$A44)+100*RTD("tos.rtd",,"OPEN_INT","."&amp;R$2&amp;R$1&amp;"P"&amp;$A44)*RTD("tos.rtd",,"LAST","."&amp;R$2&amp;R$1&amp;"P"&amp;$A44))/1000000,(100*RTD("tos.rtd",,"OPEN_INT","."&amp;R$2&amp;R$1&amp;"C"&amp;$A44)*RTD("tos.rtd",,"LAST","."&amp;R$2&amp;R$1&amp;"C"&amp;$A44)-100*RTD("tos.rtd",,"OPEN_INT","."&amp;R$2&amp;R$1&amp;"P"&amp;$A44)*RTD("tos.rtd",,"LAST","."&amp;R$2&amp;R$1&amp;"P"&amp;$A44))/1000000),0),IF($A$2="PREMIUM",IFERROR(IF($X$1="ABS",(100*RTD("tos.rtd",,"VOLUME","."&amp;R$2&amp;R$1&amp;"C"&amp;$A44)*RTD("tos.rtd",,"LAST","."&amp;R$2&amp;R$1&amp;"C"&amp;$A44)+100*RTD("tos.rtd",,"VOLUME","."&amp;R$2&amp;R$1&amp;"P"&amp;$A44)*RTD("tos.rtd",,"LAST","."&amp;R$2&amp;R$1&amp;"P"&amp;$A44))/1000000,(100*RTD("tos.rtd",,"VOLUME","."&amp;R$2&amp;R$1&amp;"C"&amp;$A44)*RTD("tos.rtd",,"LAST","."&amp;R$2&amp;R$1&amp;"C"&amp;$A44)-100*RTD("tos.rtd",,"VOLUME","."&amp;R$2&amp;R$1&amp;"P"&amp;$A44)*RTD("tos.rtd",,"LAST","."&amp;R$2&amp;R$1&amp;"P"&amp;$A44))/1000000),0),IF($A$2="DEX",IFERROR(IF($X$1="ABS",(100*RTD("tos.rtd",,"OPEN_INT","."&amp;R$2&amp;R$1&amp;"C"&amp;$A44)*RTD("tos.rtd",,"DELTA","."&amp;R$2&amp;R$1&amp;"C"&amp;$A44)+100*RTD("tos.rtd",,"OPEN_INT","."&amp;R$2&amp;R$1&amp;"P"&amp;$A44)*RTD("tos.rtd",,"DELTA","."&amp;R$2&amp;R$1&amp;"P"&amp;$A44))/1000,(100*RTD("tos.rtd",,"OPEN_INT","."&amp;R$2&amp;R$1&amp;"C"&amp;$A44)*RTD("tos.rtd",,"DELTA","."&amp;R$2&amp;R$1&amp;"C"&amp;$A44)-100*RTD("tos.rtd",,"OPEN_INT","."&amp;R$2&amp;R$1&amp;"P"&amp;$A44)*RTD("tos.rtd",,"DELTA","."&amp;R$2&amp;R$1&amp;"P"&amp;$A44))/1000),0),IF($A$2="VEX",IFERROR(IF($X$1="ABS",($A$4*$A$4*RTD("tos.rtd",,"VOLUME","."&amp;R$2&amp;R$1&amp;"C"&amp;$A44)*RTD("tos.rtd",,"GAMMA","."&amp;R$2&amp;R$1&amp;"C"&amp;$A44)+$A$4*$A$4*RTD("tos.rtd",,"VOLUME","."&amp;R$2&amp;R$1&amp;"P"&amp;$A44)*RTD("tos.rtd",,"GAMMA","."&amp;R$2&amp;R$1&amp;"P"&amp;$A44))/1000000,($A$4*$A$4*RTD("tos.rtd",,"VOLUME","."&amp;R$2&amp;R$1&amp;"C"&amp;$A44)*RTD("tos.rtd",,"GAMMA","."&amp;R$2&amp;R$1&amp;"C"&amp;$A44)-$A$4*$A$4*RTD("tos.rtd",,"VOLUME","."&amp;R$2&amp;R$1&amp;"P"&amp;$A44)*RTD("tos.rtd",,"GAMMA","."&amp;R$2&amp;R$1&amp;"P"&amp;$A44))/1000000),0),IF($A$2="GEX",IFERROR(IF($X$1="ABS",($A$4*$A$4*RTD("tos.rtd",,"OPEN_INT","."&amp;R$2&amp;R$1&amp;"C"&amp;$A44)*RTD("tos.rtd",,"GAMMA","."&amp;R$2&amp;R$1&amp;"C"&amp;$A44)+$A$4*$A$4*RTD("tos.rtd",,"OPEN_INT","."&amp;R$2&amp;R$1&amp;"P"&amp;$A44)*RTD("tos.rtd",,"GAMMA","."&amp;R$2&amp;R$1&amp;"P"&amp;$A44))/1000000,($A$4*$A$4*RTD("tos.rtd",,"OPEN_INT","."&amp;R$2&amp;R$1&amp;"C"&amp;$A44)*RTD("tos.rtd",,"GAMMA","."&amp;R$2&amp;R$1&amp;"C"&amp;$A44)-$A$4*$A$4*RTD("tos.rtd",,"OPEN_INT","."&amp;R$2&amp;R$1&amp;"P"&amp;$A44)*RTD("tos.rtd",,"GAMMA","."&amp;R$2&amp;R$1&amp;"P"&amp;$A44))/1000000),0),IF($A$2="SKEW",IFERROR(VALUE(IF(RTD("tos.rtd",,"IMPL_VOL","."&amp;R$2&amp;R$1&amp;"P"&amp;$A44)="N/A",0,RTD("tos.rtd",,"IMPL_VOL","."&amp;R$2&amp;R$1&amp;"P"&amp;$A44))),0)-IFERROR(VALUE(IF(RTD("tos.rtd",,"IMPL_VOL","."&amp;R$2&amp;R$1&amp;"C"&amp;$A44)="N/A",0,RTD("tos.rtd",,"IMPL_VOL","."&amp;R$2&amp;R$1&amp;"C"&amp;$A44))),0),IF($A$2="MAXPAIN",IF($A$4&gt;$A44,($A$4-$A44)*IF(RTD("tos.rtd",,"OPEN_INT","."&amp;R$2&amp;R$1&amp;"C"&amp;$A44)="N/A",0,RTD("tos.rtd",,"OPEN_INT","."&amp;R$2&amp;R$1&amp;"C"&amp;$A44)),0)+IF($A$4&lt;$A44,($A$5-$A$4)*IF(RTD("tos.rtd",,"OPEN_INT","."&amp;R$2&amp;R$1&amp;"P"&amp;$A44)="N/A",0,RTD("tos.rtd",,"OPEN_INT","."&amp;R$2&amp;R$1&amp;"P"&amp;$A44)),0),IF($X$1="ABS",IF(RTD("tos.rtd",,$A$2,"."&amp;R$2&amp;R$1&amp;"C"&amp;$A44)="N/A",0,RTD("tos.rtd",,$A$2,"."&amp;R$2&amp;R$1&amp;"C"&amp;$A44))+IF(RTD("tos.rtd",,$A$2,"."&amp;R$2&amp;R$1&amp;"P"&amp;$A44)="N/A",0,RTD("tos.rtd",,$A$2,"."&amp;R$2&amp;R$1&amp;"P"&amp;$A44)),IF(RTD("tos.rtd",,$A$2,"."&amp;R$2&amp;R$1&amp;"C"&amp;$A44)="N/A",0,RTD("tos.rtd",,$A$2,"."&amp;R$2&amp;R$1&amp;"C"&amp;$A44))-IF(RTD("tos.rtd",,$A$2,"."&amp;R$2&amp;R$1&amp;"P"&amp;$A44)="N/A",0,RTD("tos.rtd",,$A$2,"."&amp;R$2&amp;R$1&amp;"P"&amp;$A44))))))))))</f>
        <v>0</v>
      </c>
      <c r="S44" s="12">
        <f ca="1">IF($A$2="PREMIUM_OI",IFERROR(IF($X$1="ABS",(100*RTD("tos.rtd",,"OPEN_INT","."&amp;S$2&amp;S$1&amp;"C"&amp;$A44)*RTD("tos.rtd",,"LAST","."&amp;S$2&amp;S$1&amp;"C"&amp;$A44)+100*RTD("tos.rtd",,"OPEN_INT","."&amp;S$2&amp;S$1&amp;"P"&amp;$A44)*RTD("tos.rtd",,"LAST","."&amp;S$2&amp;S$1&amp;"P"&amp;$A44))/1000000,(100*RTD("tos.rtd",,"OPEN_INT","."&amp;S$2&amp;S$1&amp;"C"&amp;$A44)*RTD("tos.rtd",,"LAST","."&amp;S$2&amp;S$1&amp;"C"&amp;$A44)-100*RTD("tos.rtd",,"OPEN_INT","."&amp;S$2&amp;S$1&amp;"P"&amp;$A44)*RTD("tos.rtd",,"LAST","."&amp;S$2&amp;S$1&amp;"P"&amp;$A44))/1000000),0),IF($A$2="PREMIUM",IFERROR(IF($X$1="ABS",(100*RTD("tos.rtd",,"VOLUME","."&amp;S$2&amp;S$1&amp;"C"&amp;$A44)*RTD("tos.rtd",,"LAST","."&amp;S$2&amp;S$1&amp;"C"&amp;$A44)+100*RTD("tos.rtd",,"VOLUME","."&amp;S$2&amp;S$1&amp;"P"&amp;$A44)*RTD("tos.rtd",,"LAST","."&amp;S$2&amp;S$1&amp;"P"&amp;$A44))/1000000,(100*RTD("tos.rtd",,"VOLUME","."&amp;S$2&amp;S$1&amp;"C"&amp;$A44)*RTD("tos.rtd",,"LAST","."&amp;S$2&amp;S$1&amp;"C"&amp;$A44)-100*RTD("tos.rtd",,"VOLUME","."&amp;S$2&amp;S$1&amp;"P"&amp;$A44)*RTD("tos.rtd",,"LAST","."&amp;S$2&amp;S$1&amp;"P"&amp;$A44))/1000000),0),IF($A$2="DEX",IFERROR(IF($X$1="ABS",(100*RTD("tos.rtd",,"OPEN_INT","."&amp;S$2&amp;S$1&amp;"C"&amp;$A44)*RTD("tos.rtd",,"DELTA","."&amp;S$2&amp;S$1&amp;"C"&amp;$A44)+100*RTD("tos.rtd",,"OPEN_INT","."&amp;S$2&amp;S$1&amp;"P"&amp;$A44)*RTD("tos.rtd",,"DELTA","."&amp;S$2&amp;S$1&amp;"P"&amp;$A44))/1000,(100*RTD("tos.rtd",,"OPEN_INT","."&amp;S$2&amp;S$1&amp;"C"&amp;$A44)*RTD("tos.rtd",,"DELTA","."&amp;S$2&amp;S$1&amp;"C"&amp;$A44)-100*RTD("tos.rtd",,"OPEN_INT","."&amp;S$2&amp;S$1&amp;"P"&amp;$A44)*RTD("tos.rtd",,"DELTA","."&amp;S$2&amp;S$1&amp;"P"&amp;$A44))/1000),0),IF($A$2="VEX",IFERROR(IF($X$1="ABS",($A$4*$A$4*RTD("tos.rtd",,"VOLUME","."&amp;S$2&amp;S$1&amp;"C"&amp;$A44)*RTD("tos.rtd",,"GAMMA","."&amp;S$2&amp;S$1&amp;"C"&amp;$A44)+$A$4*$A$4*RTD("tos.rtd",,"VOLUME","."&amp;S$2&amp;S$1&amp;"P"&amp;$A44)*RTD("tos.rtd",,"GAMMA","."&amp;S$2&amp;S$1&amp;"P"&amp;$A44))/1000000,($A$4*$A$4*RTD("tos.rtd",,"VOLUME","."&amp;S$2&amp;S$1&amp;"C"&amp;$A44)*RTD("tos.rtd",,"GAMMA","."&amp;S$2&amp;S$1&amp;"C"&amp;$A44)-$A$4*$A$4*RTD("tos.rtd",,"VOLUME","."&amp;S$2&amp;S$1&amp;"P"&amp;$A44)*RTD("tos.rtd",,"GAMMA","."&amp;S$2&amp;S$1&amp;"P"&amp;$A44))/1000000),0),IF($A$2="GEX",IFERROR(IF($X$1="ABS",($A$4*$A$4*RTD("tos.rtd",,"OPEN_INT","."&amp;S$2&amp;S$1&amp;"C"&amp;$A44)*RTD("tos.rtd",,"GAMMA","."&amp;S$2&amp;S$1&amp;"C"&amp;$A44)+$A$4*$A$4*RTD("tos.rtd",,"OPEN_INT","."&amp;S$2&amp;S$1&amp;"P"&amp;$A44)*RTD("tos.rtd",,"GAMMA","."&amp;S$2&amp;S$1&amp;"P"&amp;$A44))/1000000,($A$4*$A$4*RTD("tos.rtd",,"OPEN_INT","."&amp;S$2&amp;S$1&amp;"C"&amp;$A44)*RTD("tos.rtd",,"GAMMA","."&amp;S$2&amp;S$1&amp;"C"&amp;$A44)-$A$4*$A$4*RTD("tos.rtd",,"OPEN_INT","."&amp;S$2&amp;S$1&amp;"P"&amp;$A44)*RTD("tos.rtd",,"GAMMA","."&amp;S$2&amp;S$1&amp;"P"&amp;$A44))/1000000),0),IF($A$2="SKEW",IFERROR(VALUE(IF(RTD("tos.rtd",,"IMPL_VOL","."&amp;S$2&amp;S$1&amp;"P"&amp;$A44)="N/A",0,RTD("tos.rtd",,"IMPL_VOL","."&amp;S$2&amp;S$1&amp;"P"&amp;$A44))),0)-IFERROR(VALUE(IF(RTD("tos.rtd",,"IMPL_VOL","."&amp;S$2&amp;S$1&amp;"C"&amp;$A44)="N/A",0,RTD("tos.rtd",,"IMPL_VOL","."&amp;S$2&amp;S$1&amp;"C"&amp;$A44))),0),IF($A$2="MAXPAIN",IF($A$4&gt;$A44,($A$4-$A44)*IF(RTD("tos.rtd",,"OPEN_INT","."&amp;S$2&amp;S$1&amp;"C"&amp;$A44)="N/A",0,RTD("tos.rtd",,"OPEN_INT","."&amp;S$2&amp;S$1&amp;"C"&amp;$A44)),0)+IF($A$4&lt;$A44,($A$5-$A$4)*IF(RTD("tos.rtd",,"OPEN_INT","."&amp;S$2&amp;S$1&amp;"P"&amp;$A44)="N/A",0,RTD("tos.rtd",,"OPEN_INT","."&amp;S$2&amp;S$1&amp;"P"&amp;$A44)),0),IF($X$1="ABS",IF(RTD("tos.rtd",,$A$2,"."&amp;S$2&amp;S$1&amp;"C"&amp;$A44)="N/A",0,RTD("tos.rtd",,$A$2,"."&amp;S$2&amp;S$1&amp;"C"&amp;$A44))+IF(RTD("tos.rtd",,$A$2,"."&amp;S$2&amp;S$1&amp;"P"&amp;$A44)="N/A",0,RTD("tos.rtd",,$A$2,"."&amp;S$2&amp;S$1&amp;"P"&amp;$A44)),IF(RTD("tos.rtd",,$A$2,"."&amp;S$2&amp;S$1&amp;"C"&amp;$A44)="N/A",0,RTD("tos.rtd",,$A$2,"."&amp;S$2&amp;S$1&amp;"C"&amp;$A44))-IF(RTD("tos.rtd",,$A$2,"."&amp;S$2&amp;S$1&amp;"P"&amp;$A44)="N/A",0,RTD("tos.rtd",,$A$2,"."&amp;S$2&amp;S$1&amp;"P"&amp;$A44))))))))))</f>
        <v>0</v>
      </c>
      <c r="T44" s="12">
        <f ca="1">IF($A$2="PREMIUM_OI",IFERROR(IF($X$1="ABS",(100*RTD("tos.rtd",,"OPEN_INT","."&amp;T$2&amp;T$1&amp;"C"&amp;$A44)*RTD("tos.rtd",,"LAST","."&amp;T$2&amp;T$1&amp;"C"&amp;$A44)+100*RTD("tos.rtd",,"OPEN_INT","."&amp;T$2&amp;T$1&amp;"P"&amp;$A44)*RTD("tos.rtd",,"LAST","."&amp;T$2&amp;T$1&amp;"P"&amp;$A44))/1000000,(100*RTD("tos.rtd",,"OPEN_INT","."&amp;T$2&amp;T$1&amp;"C"&amp;$A44)*RTD("tos.rtd",,"LAST","."&amp;T$2&amp;T$1&amp;"C"&amp;$A44)-100*RTD("tos.rtd",,"OPEN_INT","."&amp;T$2&amp;T$1&amp;"P"&amp;$A44)*RTD("tos.rtd",,"LAST","."&amp;T$2&amp;T$1&amp;"P"&amp;$A44))/1000000),0),IF($A$2="PREMIUM",IFERROR(IF($X$1="ABS",(100*RTD("tos.rtd",,"VOLUME","."&amp;T$2&amp;T$1&amp;"C"&amp;$A44)*RTD("tos.rtd",,"LAST","."&amp;T$2&amp;T$1&amp;"C"&amp;$A44)+100*RTD("tos.rtd",,"VOLUME","."&amp;T$2&amp;T$1&amp;"P"&amp;$A44)*RTD("tos.rtd",,"LAST","."&amp;T$2&amp;T$1&amp;"P"&amp;$A44))/1000000,(100*RTD("tos.rtd",,"VOLUME","."&amp;T$2&amp;T$1&amp;"C"&amp;$A44)*RTD("tos.rtd",,"LAST","."&amp;T$2&amp;T$1&amp;"C"&amp;$A44)-100*RTD("tos.rtd",,"VOLUME","."&amp;T$2&amp;T$1&amp;"P"&amp;$A44)*RTD("tos.rtd",,"LAST","."&amp;T$2&amp;T$1&amp;"P"&amp;$A44))/1000000),0),IF($A$2="DEX",IFERROR(IF($X$1="ABS",(100*RTD("tos.rtd",,"OPEN_INT","."&amp;T$2&amp;T$1&amp;"C"&amp;$A44)*RTD("tos.rtd",,"DELTA","."&amp;T$2&amp;T$1&amp;"C"&amp;$A44)+100*RTD("tos.rtd",,"OPEN_INT","."&amp;T$2&amp;T$1&amp;"P"&amp;$A44)*RTD("tos.rtd",,"DELTA","."&amp;T$2&amp;T$1&amp;"P"&amp;$A44))/1000,(100*RTD("tos.rtd",,"OPEN_INT","."&amp;T$2&amp;T$1&amp;"C"&amp;$A44)*RTD("tos.rtd",,"DELTA","."&amp;T$2&amp;T$1&amp;"C"&amp;$A44)-100*RTD("tos.rtd",,"OPEN_INT","."&amp;T$2&amp;T$1&amp;"P"&amp;$A44)*RTD("tos.rtd",,"DELTA","."&amp;T$2&amp;T$1&amp;"P"&amp;$A44))/1000),0),IF($A$2="VEX",IFERROR(IF($X$1="ABS",($A$4*$A$4*RTD("tos.rtd",,"VOLUME","."&amp;T$2&amp;T$1&amp;"C"&amp;$A44)*RTD("tos.rtd",,"GAMMA","."&amp;T$2&amp;T$1&amp;"C"&amp;$A44)+$A$4*$A$4*RTD("tos.rtd",,"VOLUME","."&amp;T$2&amp;T$1&amp;"P"&amp;$A44)*RTD("tos.rtd",,"GAMMA","."&amp;T$2&amp;T$1&amp;"P"&amp;$A44))/1000000,($A$4*$A$4*RTD("tos.rtd",,"VOLUME","."&amp;T$2&amp;T$1&amp;"C"&amp;$A44)*RTD("tos.rtd",,"GAMMA","."&amp;T$2&amp;T$1&amp;"C"&amp;$A44)-$A$4*$A$4*RTD("tos.rtd",,"VOLUME","."&amp;T$2&amp;T$1&amp;"P"&amp;$A44)*RTD("tos.rtd",,"GAMMA","."&amp;T$2&amp;T$1&amp;"P"&amp;$A44))/1000000),0),IF($A$2="GEX",IFERROR(IF($X$1="ABS",($A$4*$A$4*RTD("tos.rtd",,"OPEN_INT","."&amp;T$2&amp;T$1&amp;"C"&amp;$A44)*RTD("tos.rtd",,"GAMMA","."&amp;T$2&amp;T$1&amp;"C"&amp;$A44)+$A$4*$A$4*RTD("tos.rtd",,"OPEN_INT","."&amp;T$2&amp;T$1&amp;"P"&amp;$A44)*RTD("tos.rtd",,"GAMMA","."&amp;T$2&amp;T$1&amp;"P"&amp;$A44))/1000000,($A$4*$A$4*RTD("tos.rtd",,"OPEN_INT","."&amp;T$2&amp;T$1&amp;"C"&amp;$A44)*RTD("tos.rtd",,"GAMMA","."&amp;T$2&amp;T$1&amp;"C"&amp;$A44)-$A$4*$A$4*RTD("tos.rtd",,"OPEN_INT","."&amp;T$2&amp;T$1&amp;"P"&amp;$A44)*RTD("tos.rtd",,"GAMMA","."&amp;T$2&amp;T$1&amp;"P"&amp;$A44))/1000000),0),IF($A$2="SKEW",IFERROR(VALUE(IF(RTD("tos.rtd",,"IMPL_VOL","."&amp;T$2&amp;T$1&amp;"P"&amp;$A44)="N/A",0,RTD("tos.rtd",,"IMPL_VOL","."&amp;T$2&amp;T$1&amp;"P"&amp;$A44))),0)-IFERROR(VALUE(IF(RTD("tos.rtd",,"IMPL_VOL","."&amp;T$2&amp;T$1&amp;"C"&amp;$A44)="N/A",0,RTD("tos.rtd",,"IMPL_VOL","."&amp;T$2&amp;T$1&amp;"C"&amp;$A44))),0),IF($A$2="MAXPAIN",IF($A$4&gt;$A44,($A$4-$A44)*IF(RTD("tos.rtd",,"OPEN_INT","."&amp;T$2&amp;T$1&amp;"C"&amp;$A44)="N/A",0,RTD("tos.rtd",,"OPEN_INT","."&amp;T$2&amp;T$1&amp;"C"&amp;$A44)),0)+IF($A$4&lt;$A44,($A$5-$A$4)*IF(RTD("tos.rtd",,"OPEN_INT","."&amp;T$2&amp;T$1&amp;"P"&amp;$A44)="N/A",0,RTD("tos.rtd",,"OPEN_INT","."&amp;T$2&amp;T$1&amp;"P"&amp;$A44)),0),IF($X$1="ABS",IF(RTD("tos.rtd",,$A$2,"."&amp;T$2&amp;T$1&amp;"C"&amp;$A44)="N/A",0,RTD("tos.rtd",,$A$2,"."&amp;T$2&amp;T$1&amp;"C"&amp;$A44))+IF(RTD("tos.rtd",,$A$2,"."&amp;T$2&amp;T$1&amp;"P"&amp;$A44)="N/A",0,RTD("tos.rtd",,$A$2,"."&amp;T$2&amp;T$1&amp;"P"&amp;$A44)),IF(RTD("tos.rtd",,$A$2,"."&amp;T$2&amp;T$1&amp;"C"&amp;$A44)="N/A",0,RTD("tos.rtd",,$A$2,"."&amp;T$2&amp;T$1&amp;"C"&amp;$A44))-IF(RTD("tos.rtd",,$A$2,"."&amp;T$2&amp;T$1&amp;"P"&amp;$A44)="N/A",0,RTD("tos.rtd",,$A$2,"."&amp;T$2&amp;T$1&amp;"P"&amp;$A44))))))))))</f>
        <v>0</v>
      </c>
      <c r="U44" s="12">
        <f ca="1">IF($A$2="PREMIUM_OI",IFERROR(IF($X$1="ABS",(100*RTD("tos.rtd",,"OPEN_INT","."&amp;U$2&amp;U$1&amp;"C"&amp;$A44)*RTD("tos.rtd",,"LAST","."&amp;U$2&amp;U$1&amp;"C"&amp;$A44)+100*RTD("tos.rtd",,"OPEN_INT","."&amp;U$2&amp;U$1&amp;"P"&amp;$A44)*RTD("tos.rtd",,"LAST","."&amp;U$2&amp;U$1&amp;"P"&amp;$A44))/1000000,(100*RTD("tos.rtd",,"OPEN_INT","."&amp;U$2&amp;U$1&amp;"C"&amp;$A44)*RTD("tos.rtd",,"LAST","."&amp;U$2&amp;U$1&amp;"C"&amp;$A44)-100*RTD("tos.rtd",,"OPEN_INT","."&amp;U$2&amp;U$1&amp;"P"&amp;$A44)*RTD("tos.rtd",,"LAST","."&amp;U$2&amp;U$1&amp;"P"&amp;$A44))/1000000),0),IF($A$2="PREMIUM",IFERROR(IF($X$1="ABS",(100*RTD("tos.rtd",,"VOLUME","."&amp;U$2&amp;U$1&amp;"C"&amp;$A44)*RTD("tos.rtd",,"LAST","."&amp;U$2&amp;U$1&amp;"C"&amp;$A44)+100*RTD("tos.rtd",,"VOLUME","."&amp;U$2&amp;U$1&amp;"P"&amp;$A44)*RTD("tos.rtd",,"LAST","."&amp;U$2&amp;U$1&amp;"P"&amp;$A44))/1000000,(100*RTD("tos.rtd",,"VOLUME","."&amp;U$2&amp;U$1&amp;"C"&amp;$A44)*RTD("tos.rtd",,"LAST","."&amp;U$2&amp;U$1&amp;"C"&amp;$A44)-100*RTD("tos.rtd",,"VOLUME","."&amp;U$2&amp;U$1&amp;"P"&amp;$A44)*RTD("tos.rtd",,"LAST","."&amp;U$2&amp;U$1&amp;"P"&amp;$A44))/1000000),0),IF($A$2="DEX",IFERROR(IF($X$1="ABS",(100*RTD("tos.rtd",,"OPEN_INT","."&amp;U$2&amp;U$1&amp;"C"&amp;$A44)*RTD("tos.rtd",,"DELTA","."&amp;U$2&amp;U$1&amp;"C"&amp;$A44)+100*RTD("tos.rtd",,"OPEN_INT","."&amp;U$2&amp;U$1&amp;"P"&amp;$A44)*RTD("tos.rtd",,"DELTA","."&amp;U$2&amp;U$1&amp;"P"&amp;$A44))/1000,(100*RTD("tos.rtd",,"OPEN_INT","."&amp;U$2&amp;U$1&amp;"C"&amp;$A44)*RTD("tos.rtd",,"DELTA","."&amp;U$2&amp;U$1&amp;"C"&amp;$A44)-100*RTD("tos.rtd",,"OPEN_INT","."&amp;U$2&amp;U$1&amp;"P"&amp;$A44)*RTD("tos.rtd",,"DELTA","."&amp;U$2&amp;U$1&amp;"P"&amp;$A44))/1000),0),IF($A$2="VEX",IFERROR(IF($X$1="ABS",($A$4*$A$4*RTD("tos.rtd",,"VOLUME","."&amp;U$2&amp;U$1&amp;"C"&amp;$A44)*RTD("tos.rtd",,"GAMMA","."&amp;U$2&amp;U$1&amp;"C"&amp;$A44)+$A$4*$A$4*RTD("tos.rtd",,"VOLUME","."&amp;U$2&amp;U$1&amp;"P"&amp;$A44)*RTD("tos.rtd",,"GAMMA","."&amp;U$2&amp;U$1&amp;"P"&amp;$A44))/1000000,($A$4*$A$4*RTD("tos.rtd",,"VOLUME","."&amp;U$2&amp;U$1&amp;"C"&amp;$A44)*RTD("tos.rtd",,"GAMMA","."&amp;U$2&amp;U$1&amp;"C"&amp;$A44)-$A$4*$A$4*RTD("tos.rtd",,"VOLUME","."&amp;U$2&amp;U$1&amp;"P"&amp;$A44)*RTD("tos.rtd",,"GAMMA","."&amp;U$2&amp;U$1&amp;"P"&amp;$A44))/1000000),0),IF($A$2="GEX",IFERROR(IF($X$1="ABS",($A$4*$A$4*RTD("tos.rtd",,"OPEN_INT","."&amp;U$2&amp;U$1&amp;"C"&amp;$A44)*RTD("tos.rtd",,"GAMMA","."&amp;U$2&amp;U$1&amp;"C"&amp;$A44)+$A$4*$A$4*RTD("tos.rtd",,"OPEN_INT","."&amp;U$2&amp;U$1&amp;"P"&amp;$A44)*RTD("tos.rtd",,"GAMMA","."&amp;U$2&amp;U$1&amp;"P"&amp;$A44))/1000000,($A$4*$A$4*RTD("tos.rtd",,"OPEN_INT","."&amp;U$2&amp;U$1&amp;"C"&amp;$A44)*RTD("tos.rtd",,"GAMMA","."&amp;U$2&amp;U$1&amp;"C"&amp;$A44)-$A$4*$A$4*RTD("tos.rtd",,"OPEN_INT","."&amp;U$2&amp;U$1&amp;"P"&amp;$A44)*RTD("tos.rtd",,"GAMMA","."&amp;U$2&amp;U$1&amp;"P"&amp;$A44))/1000000),0),IF($A$2="SKEW",IFERROR(VALUE(IF(RTD("tos.rtd",,"IMPL_VOL","."&amp;U$2&amp;U$1&amp;"P"&amp;$A44)="N/A",0,RTD("tos.rtd",,"IMPL_VOL","."&amp;U$2&amp;U$1&amp;"P"&amp;$A44))),0)-IFERROR(VALUE(IF(RTD("tos.rtd",,"IMPL_VOL","."&amp;U$2&amp;U$1&amp;"C"&amp;$A44)="N/A",0,RTD("tos.rtd",,"IMPL_VOL","."&amp;U$2&amp;U$1&amp;"C"&amp;$A44))),0),IF($A$2="MAXPAIN",IF($A$4&gt;$A44,($A$4-$A44)*IF(RTD("tos.rtd",,"OPEN_INT","."&amp;U$2&amp;U$1&amp;"C"&amp;$A44)="N/A",0,RTD("tos.rtd",,"OPEN_INT","."&amp;U$2&amp;U$1&amp;"C"&amp;$A44)),0)+IF($A$4&lt;$A44,($A$5-$A$4)*IF(RTD("tos.rtd",,"OPEN_INT","."&amp;U$2&amp;U$1&amp;"P"&amp;$A44)="N/A",0,RTD("tos.rtd",,"OPEN_INT","."&amp;U$2&amp;U$1&amp;"P"&amp;$A44)),0),IF($X$1="ABS",IF(RTD("tos.rtd",,$A$2,"."&amp;U$2&amp;U$1&amp;"C"&amp;$A44)="N/A",0,RTD("tos.rtd",,$A$2,"."&amp;U$2&amp;U$1&amp;"C"&amp;$A44))+IF(RTD("tos.rtd",,$A$2,"."&amp;U$2&amp;U$1&amp;"P"&amp;$A44)="N/A",0,RTD("tos.rtd",,$A$2,"."&amp;U$2&amp;U$1&amp;"P"&amp;$A44)),IF(RTD("tos.rtd",,$A$2,"."&amp;U$2&amp;U$1&amp;"C"&amp;$A44)="N/A",0,RTD("tos.rtd",,$A$2,"."&amp;U$2&amp;U$1&amp;"C"&amp;$A44))-IF(RTD("tos.rtd",,$A$2,"."&amp;U$2&amp;U$1&amp;"P"&amp;$A44)="N/A",0,RTD("tos.rtd",,$A$2,"."&amp;U$2&amp;U$1&amp;"P"&amp;$A44))))))))))</f>
        <v>0</v>
      </c>
      <c r="V44" s="12">
        <f ca="1">IF($A$2="PREMIUM_OI",IFERROR(IF($X$1="ABS",(100*RTD("tos.rtd",,"OPEN_INT","."&amp;V$2&amp;V$1&amp;"C"&amp;$A44)*RTD("tos.rtd",,"LAST","."&amp;V$2&amp;V$1&amp;"C"&amp;$A44)+100*RTD("tos.rtd",,"OPEN_INT","."&amp;V$2&amp;V$1&amp;"P"&amp;$A44)*RTD("tos.rtd",,"LAST","."&amp;V$2&amp;V$1&amp;"P"&amp;$A44))/1000000,(100*RTD("tos.rtd",,"OPEN_INT","."&amp;V$2&amp;V$1&amp;"C"&amp;$A44)*RTD("tos.rtd",,"LAST","."&amp;V$2&amp;V$1&amp;"C"&amp;$A44)-100*RTD("tos.rtd",,"OPEN_INT","."&amp;V$2&amp;V$1&amp;"P"&amp;$A44)*RTD("tos.rtd",,"LAST","."&amp;V$2&amp;V$1&amp;"P"&amp;$A44))/1000000),0),IF($A$2="PREMIUM",IFERROR(IF($X$1="ABS",(100*RTD("tos.rtd",,"VOLUME","."&amp;V$2&amp;V$1&amp;"C"&amp;$A44)*RTD("tos.rtd",,"LAST","."&amp;V$2&amp;V$1&amp;"C"&amp;$A44)+100*RTD("tos.rtd",,"VOLUME","."&amp;V$2&amp;V$1&amp;"P"&amp;$A44)*RTD("tos.rtd",,"LAST","."&amp;V$2&amp;V$1&amp;"P"&amp;$A44))/1000000,(100*RTD("tos.rtd",,"VOLUME","."&amp;V$2&amp;V$1&amp;"C"&amp;$A44)*RTD("tos.rtd",,"LAST","."&amp;V$2&amp;V$1&amp;"C"&amp;$A44)-100*RTD("tos.rtd",,"VOLUME","."&amp;V$2&amp;V$1&amp;"P"&amp;$A44)*RTD("tos.rtd",,"LAST","."&amp;V$2&amp;V$1&amp;"P"&amp;$A44))/1000000),0),IF($A$2="DEX",IFERROR(IF($X$1="ABS",(100*RTD("tos.rtd",,"OPEN_INT","."&amp;V$2&amp;V$1&amp;"C"&amp;$A44)*RTD("tos.rtd",,"DELTA","."&amp;V$2&amp;V$1&amp;"C"&amp;$A44)+100*RTD("tos.rtd",,"OPEN_INT","."&amp;V$2&amp;V$1&amp;"P"&amp;$A44)*RTD("tos.rtd",,"DELTA","."&amp;V$2&amp;V$1&amp;"P"&amp;$A44))/1000,(100*RTD("tos.rtd",,"OPEN_INT","."&amp;V$2&amp;V$1&amp;"C"&amp;$A44)*RTD("tos.rtd",,"DELTA","."&amp;V$2&amp;V$1&amp;"C"&amp;$A44)-100*RTD("tos.rtd",,"OPEN_INT","."&amp;V$2&amp;V$1&amp;"P"&amp;$A44)*RTD("tos.rtd",,"DELTA","."&amp;V$2&amp;V$1&amp;"P"&amp;$A44))/1000),0),IF($A$2="VEX",IFERROR(IF($X$1="ABS",($A$4*$A$4*RTD("tos.rtd",,"VOLUME","."&amp;V$2&amp;V$1&amp;"C"&amp;$A44)*RTD("tos.rtd",,"GAMMA","."&amp;V$2&amp;V$1&amp;"C"&amp;$A44)+$A$4*$A$4*RTD("tos.rtd",,"VOLUME","."&amp;V$2&amp;V$1&amp;"P"&amp;$A44)*RTD("tos.rtd",,"GAMMA","."&amp;V$2&amp;V$1&amp;"P"&amp;$A44))/1000000,($A$4*$A$4*RTD("tos.rtd",,"VOLUME","."&amp;V$2&amp;V$1&amp;"C"&amp;$A44)*RTD("tos.rtd",,"GAMMA","."&amp;V$2&amp;V$1&amp;"C"&amp;$A44)-$A$4*$A$4*RTD("tos.rtd",,"VOLUME","."&amp;V$2&amp;V$1&amp;"P"&amp;$A44)*RTD("tos.rtd",,"GAMMA","."&amp;V$2&amp;V$1&amp;"P"&amp;$A44))/1000000),0),IF($A$2="GEX",IFERROR(IF($X$1="ABS",($A$4*$A$4*RTD("tos.rtd",,"OPEN_INT","."&amp;V$2&amp;V$1&amp;"C"&amp;$A44)*RTD("tos.rtd",,"GAMMA","."&amp;V$2&amp;V$1&amp;"C"&amp;$A44)+$A$4*$A$4*RTD("tos.rtd",,"OPEN_INT","."&amp;V$2&amp;V$1&amp;"P"&amp;$A44)*RTD("tos.rtd",,"GAMMA","."&amp;V$2&amp;V$1&amp;"P"&amp;$A44))/1000000,($A$4*$A$4*RTD("tos.rtd",,"OPEN_INT","."&amp;V$2&amp;V$1&amp;"C"&amp;$A44)*RTD("tos.rtd",,"GAMMA","."&amp;V$2&amp;V$1&amp;"C"&amp;$A44)-$A$4*$A$4*RTD("tos.rtd",,"OPEN_INT","."&amp;V$2&amp;V$1&amp;"P"&amp;$A44)*RTD("tos.rtd",,"GAMMA","."&amp;V$2&amp;V$1&amp;"P"&amp;$A44))/1000000),0),IF($A$2="SKEW",IFERROR(VALUE(IF(RTD("tos.rtd",,"IMPL_VOL","."&amp;V$2&amp;V$1&amp;"P"&amp;$A44)="N/A",0,RTD("tos.rtd",,"IMPL_VOL","."&amp;V$2&amp;V$1&amp;"P"&amp;$A44))),0)-IFERROR(VALUE(IF(RTD("tos.rtd",,"IMPL_VOL","."&amp;V$2&amp;V$1&amp;"C"&amp;$A44)="N/A",0,RTD("tos.rtd",,"IMPL_VOL","."&amp;V$2&amp;V$1&amp;"C"&amp;$A44))),0),IF($A$2="MAXPAIN",IF($A$4&gt;$A44,($A$4-$A44)*IF(RTD("tos.rtd",,"OPEN_INT","."&amp;V$2&amp;V$1&amp;"C"&amp;$A44)="N/A",0,RTD("tos.rtd",,"OPEN_INT","."&amp;V$2&amp;V$1&amp;"C"&amp;$A44)),0)+IF($A$4&lt;$A44,($A$5-$A$4)*IF(RTD("tos.rtd",,"OPEN_INT","."&amp;V$2&amp;V$1&amp;"P"&amp;$A44)="N/A",0,RTD("tos.rtd",,"OPEN_INT","."&amp;V$2&amp;V$1&amp;"P"&amp;$A44)),0),IF($X$1="ABS",IF(RTD("tos.rtd",,$A$2,"."&amp;V$2&amp;V$1&amp;"C"&amp;$A44)="N/A",0,RTD("tos.rtd",,$A$2,"."&amp;V$2&amp;V$1&amp;"C"&amp;$A44))+IF(RTD("tos.rtd",,$A$2,"."&amp;V$2&amp;V$1&amp;"P"&amp;$A44)="N/A",0,RTD("tos.rtd",,$A$2,"."&amp;V$2&amp;V$1&amp;"P"&amp;$A44)),IF(RTD("tos.rtd",,$A$2,"."&amp;V$2&amp;V$1&amp;"C"&amp;$A44)="N/A",0,RTD("tos.rtd",,$A$2,"."&amp;V$2&amp;V$1&amp;"C"&amp;$A44))-IF(RTD("tos.rtd",,$A$2,"."&amp;V$2&amp;V$1&amp;"P"&amp;$A44)="N/A",0,RTD("tos.rtd",,$A$2,"."&amp;V$2&amp;V$1&amp;"P"&amp;$A44))))))))))</f>
        <v>0</v>
      </c>
      <c r="W44" s="12">
        <f ca="1">IF($A$2="PREMIUM_OI",IFERROR(IF($X$1="ABS",(100*RTD("tos.rtd",,"OPEN_INT","."&amp;W$2&amp;W$1&amp;"C"&amp;$A44)*RTD("tos.rtd",,"LAST","."&amp;W$2&amp;W$1&amp;"C"&amp;$A44)+100*RTD("tos.rtd",,"OPEN_INT","."&amp;W$2&amp;W$1&amp;"P"&amp;$A44)*RTD("tos.rtd",,"LAST","."&amp;W$2&amp;W$1&amp;"P"&amp;$A44))/1000000,(100*RTD("tos.rtd",,"OPEN_INT","."&amp;W$2&amp;W$1&amp;"C"&amp;$A44)*RTD("tos.rtd",,"LAST","."&amp;W$2&amp;W$1&amp;"C"&amp;$A44)-100*RTD("tos.rtd",,"OPEN_INT","."&amp;W$2&amp;W$1&amp;"P"&amp;$A44)*RTD("tos.rtd",,"LAST","."&amp;W$2&amp;W$1&amp;"P"&amp;$A44))/1000000),0),IF($A$2="PREMIUM",IFERROR(IF($X$1="ABS",(100*RTD("tos.rtd",,"VOLUME","."&amp;W$2&amp;W$1&amp;"C"&amp;$A44)*RTD("tos.rtd",,"LAST","."&amp;W$2&amp;W$1&amp;"C"&amp;$A44)+100*RTD("tos.rtd",,"VOLUME","."&amp;W$2&amp;W$1&amp;"P"&amp;$A44)*RTD("tos.rtd",,"LAST","."&amp;W$2&amp;W$1&amp;"P"&amp;$A44))/1000000,(100*RTD("tos.rtd",,"VOLUME","."&amp;W$2&amp;W$1&amp;"C"&amp;$A44)*RTD("tos.rtd",,"LAST","."&amp;W$2&amp;W$1&amp;"C"&amp;$A44)-100*RTD("tos.rtd",,"VOLUME","."&amp;W$2&amp;W$1&amp;"P"&amp;$A44)*RTD("tos.rtd",,"LAST","."&amp;W$2&amp;W$1&amp;"P"&amp;$A44))/1000000),0),IF($A$2="DEX",IFERROR(IF($X$1="ABS",(100*RTD("tos.rtd",,"OPEN_INT","."&amp;W$2&amp;W$1&amp;"C"&amp;$A44)*RTD("tos.rtd",,"DELTA","."&amp;W$2&amp;W$1&amp;"C"&amp;$A44)+100*RTD("tos.rtd",,"OPEN_INT","."&amp;W$2&amp;W$1&amp;"P"&amp;$A44)*RTD("tos.rtd",,"DELTA","."&amp;W$2&amp;W$1&amp;"P"&amp;$A44))/1000,(100*RTD("tos.rtd",,"OPEN_INT","."&amp;W$2&amp;W$1&amp;"C"&amp;$A44)*RTD("tos.rtd",,"DELTA","."&amp;W$2&amp;W$1&amp;"C"&amp;$A44)-100*RTD("tos.rtd",,"OPEN_INT","."&amp;W$2&amp;W$1&amp;"P"&amp;$A44)*RTD("tos.rtd",,"DELTA","."&amp;W$2&amp;W$1&amp;"P"&amp;$A44))/1000),0),IF($A$2="VEX",IFERROR(IF($X$1="ABS",($A$4*$A$4*RTD("tos.rtd",,"VOLUME","."&amp;W$2&amp;W$1&amp;"C"&amp;$A44)*RTD("tos.rtd",,"GAMMA","."&amp;W$2&amp;W$1&amp;"C"&amp;$A44)+$A$4*$A$4*RTD("tos.rtd",,"VOLUME","."&amp;W$2&amp;W$1&amp;"P"&amp;$A44)*RTD("tos.rtd",,"GAMMA","."&amp;W$2&amp;W$1&amp;"P"&amp;$A44))/1000000,($A$4*$A$4*RTD("tos.rtd",,"VOLUME","."&amp;W$2&amp;W$1&amp;"C"&amp;$A44)*RTD("tos.rtd",,"GAMMA","."&amp;W$2&amp;W$1&amp;"C"&amp;$A44)-$A$4*$A$4*RTD("tos.rtd",,"VOLUME","."&amp;W$2&amp;W$1&amp;"P"&amp;$A44)*RTD("tos.rtd",,"GAMMA","."&amp;W$2&amp;W$1&amp;"P"&amp;$A44))/1000000),0),IF($A$2="GEX",IFERROR(IF($X$1="ABS",($A$4*$A$4*RTD("tos.rtd",,"OPEN_INT","."&amp;W$2&amp;W$1&amp;"C"&amp;$A44)*RTD("tos.rtd",,"GAMMA","."&amp;W$2&amp;W$1&amp;"C"&amp;$A44)+$A$4*$A$4*RTD("tos.rtd",,"OPEN_INT","."&amp;W$2&amp;W$1&amp;"P"&amp;$A44)*RTD("tos.rtd",,"GAMMA","."&amp;W$2&amp;W$1&amp;"P"&amp;$A44))/1000000,($A$4*$A$4*RTD("tos.rtd",,"OPEN_INT","."&amp;W$2&amp;W$1&amp;"C"&amp;$A44)*RTD("tos.rtd",,"GAMMA","."&amp;W$2&amp;W$1&amp;"C"&amp;$A44)-$A$4*$A$4*RTD("tos.rtd",,"OPEN_INT","."&amp;W$2&amp;W$1&amp;"P"&amp;$A44)*RTD("tos.rtd",,"GAMMA","."&amp;W$2&amp;W$1&amp;"P"&amp;$A44))/1000000),0),IF($A$2="SKEW",IFERROR(VALUE(IF(RTD("tos.rtd",,"IMPL_VOL","."&amp;W$2&amp;W$1&amp;"P"&amp;$A44)="N/A",0,RTD("tos.rtd",,"IMPL_VOL","."&amp;W$2&amp;W$1&amp;"P"&amp;$A44))),0)-IFERROR(VALUE(IF(RTD("tos.rtd",,"IMPL_VOL","."&amp;W$2&amp;W$1&amp;"C"&amp;$A44)="N/A",0,RTD("tos.rtd",,"IMPL_VOL","."&amp;W$2&amp;W$1&amp;"C"&amp;$A44))),0),IF($A$2="MAXPAIN",IF($A$4&gt;$A44,($A$4-$A44)*IF(RTD("tos.rtd",,"OPEN_INT","."&amp;W$2&amp;W$1&amp;"C"&amp;$A44)="N/A",0,RTD("tos.rtd",,"OPEN_INT","."&amp;W$2&amp;W$1&amp;"C"&amp;$A44)),0)+IF($A$4&lt;$A44,($A$5-$A$4)*IF(RTD("tos.rtd",,"OPEN_INT","."&amp;W$2&amp;W$1&amp;"P"&amp;$A44)="N/A",0,RTD("tos.rtd",,"OPEN_INT","."&amp;W$2&amp;W$1&amp;"P"&amp;$A44)),0),IF($X$1="ABS",IF(RTD("tos.rtd",,$A$2,"."&amp;W$2&amp;W$1&amp;"C"&amp;$A44)="N/A",0,RTD("tos.rtd",,$A$2,"."&amp;W$2&amp;W$1&amp;"C"&amp;$A44))+IF(RTD("tos.rtd",,$A$2,"."&amp;W$2&amp;W$1&amp;"P"&amp;$A44)="N/A",0,RTD("tos.rtd",,$A$2,"."&amp;W$2&amp;W$1&amp;"P"&amp;$A44)),IF(RTD("tos.rtd",,$A$2,"."&amp;W$2&amp;W$1&amp;"C"&amp;$A44)="N/A",0,RTD("tos.rtd",,$A$2,"."&amp;W$2&amp;W$1&amp;"C"&amp;$A44))-IF(RTD("tos.rtd",,$A$2,"."&amp;W$2&amp;W$1&amp;"P"&amp;$A44)="N/A",0,RTD("tos.rtd",,$A$2,"."&amp;W$2&amp;W$1&amp;"P"&amp;$A44))))))))))</f>
        <v>0</v>
      </c>
      <c r="X44" s="57">
        <f t="shared" ca="1" si="7"/>
        <v>1429</v>
      </c>
      <c r="Y44" s="27">
        <f t="shared" ca="1" si="8"/>
        <v>1429</v>
      </c>
      <c r="Z44" s="27">
        <f t="shared" ca="1" si="9"/>
        <v>4625.333333333333</v>
      </c>
      <c r="AA44" s="27">
        <f t="shared" si="10"/>
        <v>37391850</v>
      </c>
      <c r="AB44" s="18">
        <f>MAX(0, $A44-AB$4)*IF(RTD("tos.rtd",,"OPEN_INT","."&amp;$AA$3&amp;$AA$4&amp;"C"&amp;AB$4)="N/A",0,RTD("tos.rtd",,"OPEN_INT","."&amp;$AA$3&amp;$AA$4&amp;"C"&amp;AB$4))*100 + MAX(0, AB$4-$A44)*IF(RTD("tos.rtd",,"OPEN_INT","."&amp;$AA$3&amp;$AA$4&amp;"P"&amp;AB$4)="N/A",0,RTD("tos.rtd",,"OPEN_INT","."&amp;$AA$3&amp;$AA$4&amp;"P"&amp;AB$4))*100</f>
        <v>0</v>
      </c>
      <c r="AC44" s="18">
        <f>MAX(0, $A44-AC$4)*IF(RTD("tos.rtd",,"OPEN_INT","."&amp;$AA$3&amp;$AA$4&amp;"C"&amp;AC$4)="N/A",0,RTD("tos.rtd",,"OPEN_INT","."&amp;$AA$3&amp;$AA$4&amp;"C"&amp;AC$4))*100 + MAX(0, AC$4-$A44)*IF(RTD("tos.rtd",,"OPEN_INT","."&amp;$AA$3&amp;$AA$4&amp;"P"&amp;AC$4)="N/A",0,RTD("tos.rtd",,"OPEN_INT","."&amp;$AA$3&amp;$AA$4&amp;"P"&amp;AC$4))*100</f>
        <v>0</v>
      </c>
      <c r="AD44" s="18">
        <f>MAX(0, $A44-AD$4)*IF(RTD("tos.rtd",,"OPEN_INT","."&amp;$AA$3&amp;$AA$4&amp;"C"&amp;AD$4)="N/A",0,RTD("tos.rtd",,"OPEN_INT","."&amp;$AA$3&amp;$AA$4&amp;"C"&amp;AD$4))*100 + MAX(0, AD$4-$A44)*IF(RTD("tos.rtd",,"OPEN_INT","."&amp;$AA$3&amp;$AA$4&amp;"P"&amp;AD$4)="N/A",0,RTD("tos.rtd",,"OPEN_INT","."&amp;$AA$3&amp;$AA$4&amp;"P"&amp;AD$4))*100</f>
        <v>0</v>
      </c>
      <c r="AE44" s="18">
        <f>MAX(0, $A44-AE$4)*IF(RTD("tos.rtd",,"OPEN_INT","."&amp;$AA$3&amp;$AA$4&amp;"C"&amp;AE$4)="N/A",0,RTD("tos.rtd",,"OPEN_INT","."&amp;$AA$3&amp;$AA$4&amp;"C"&amp;AE$4))*100 + MAX(0, AE$4-$A44)*IF(RTD("tos.rtd",,"OPEN_INT","."&amp;$AA$3&amp;$AA$4&amp;"P"&amp;AE$4)="N/A",0,RTD("tos.rtd",,"OPEN_INT","."&amp;$AA$3&amp;$AA$4&amp;"P"&amp;AE$4))*100</f>
        <v>0</v>
      </c>
      <c r="AF44" s="18">
        <f>MAX(0, $A44-AF$4)*IF(RTD("tos.rtd",,"OPEN_INT","."&amp;$AA$3&amp;$AA$4&amp;"C"&amp;AF$4)="N/A",0,RTD("tos.rtd",,"OPEN_INT","."&amp;$AA$3&amp;$AA$4&amp;"C"&amp;AF$4))*100 + MAX(0, AF$4-$A44)*IF(RTD("tos.rtd",,"OPEN_INT","."&amp;$AA$3&amp;$AA$4&amp;"P"&amp;AF$4)="N/A",0,RTD("tos.rtd",,"OPEN_INT","."&amp;$AA$3&amp;$AA$4&amp;"P"&amp;AF$4))*100</f>
        <v>0</v>
      </c>
      <c r="AG44" s="18">
        <f>MAX(0, $A44-AG$4)*IF(RTD("tos.rtd",,"OPEN_INT","."&amp;$AA$3&amp;$AA$4&amp;"C"&amp;AG$4)="N/A",0,RTD("tos.rtd",,"OPEN_INT","."&amp;$AA$3&amp;$AA$4&amp;"C"&amp;AG$4))*100 + MAX(0, AG$4-$A44)*IF(RTD("tos.rtd",,"OPEN_INT","."&amp;$AA$3&amp;$AA$4&amp;"P"&amp;AG$4)="N/A",0,RTD("tos.rtd",,"OPEN_INT","."&amp;$AA$3&amp;$AA$4&amp;"P"&amp;AG$4))*100</f>
        <v>0</v>
      </c>
      <c r="AH44" s="18">
        <f>MAX(0, $A44-AH$4)*IF(RTD("tos.rtd",,"OPEN_INT","."&amp;$AA$3&amp;$AA$4&amp;"C"&amp;AH$4)="N/A",0,RTD("tos.rtd",,"OPEN_INT","."&amp;$AA$3&amp;$AA$4&amp;"C"&amp;AH$4))*100 + MAX(0, AH$4-$A44)*IF(RTD("tos.rtd",,"OPEN_INT","."&amp;$AA$3&amp;$AA$4&amp;"P"&amp;AH$4)="N/A",0,RTD("tos.rtd",,"OPEN_INT","."&amp;$AA$3&amp;$AA$4&amp;"P"&amp;AH$4))*100</f>
        <v>0</v>
      </c>
      <c r="AI44" s="18">
        <f>MAX(0, $A44-AI$4)*IF(RTD("tos.rtd",,"OPEN_INT","."&amp;$AA$3&amp;$AA$4&amp;"C"&amp;AI$4)="N/A",0,RTD("tos.rtd",,"OPEN_INT","."&amp;$AA$3&amp;$AA$4&amp;"C"&amp;AI$4))*100 + MAX(0, AI$4-$A44)*IF(RTD("tos.rtd",,"OPEN_INT","."&amp;$AA$3&amp;$AA$4&amp;"P"&amp;AI$4)="N/A",0,RTD("tos.rtd",,"OPEN_INT","."&amp;$AA$3&amp;$AA$4&amp;"P"&amp;AI$4))*100</f>
        <v>4800</v>
      </c>
      <c r="AJ44" s="18">
        <f>MAX(0, $A44-AJ$4)*IF(RTD("tos.rtd",,"OPEN_INT","."&amp;$AA$3&amp;$AA$4&amp;"C"&amp;AJ$4)="N/A",0,RTD("tos.rtd",,"OPEN_INT","."&amp;$AA$3&amp;$AA$4&amp;"C"&amp;AJ$4))*100 + MAX(0, AJ$4-$A44)*IF(RTD("tos.rtd",,"OPEN_INT","."&amp;$AA$3&amp;$AA$4&amp;"P"&amp;AJ$4)="N/A",0,RTD("tos.rtd",,"OPEN_INT","."&amp;$AA$3&amp;$AA$4&amp;"P"&amp;AJ$4))*100</f>
        <v>12400</v>
      </c>
      <c r="AK44" s="18">
        <f>MAX(0, $A44-AK$4)*IF(RTD("tos.rtd",,"OPEN_INT","."&amp;$AA$3&amp;$AA$4&amp;"C"&amp;AK$4)="N/A",0,RTD("tos.rtd",,"OPEN_INT","."&amp;$AA$3&amp;$AA$4&amp;"C"&amp;AK$4))*100 + MAX(0, AK$4-$A44)*IF(RTD("tos.rtd",,"OPEN_INT","."&amp;$AA$3&amp;$AA$4&amp;"P"&amp;AK$4)="N/A",0,RTD("tos.rtd",,"OPEN_INT","."&amp;$AA$3&amp;$AA$4&amp;"P"&amp;AK$4))*100</f>
        <v>0</v>
      </c>
      <c r="AL44" s="18">
        <f>MAX(0, $A44-AL$4)*IF(RTD("tos.rtd",,"OPEN_INT","."&amp;$AA$3&amp;$AA$4&amp;"C"&amp;AL$4)="N/A",0,RTD("tos.rtd",,"OPEN_INT","."&amp;$AA$3&amp;$AA$4&amp;"C"&amp;AL$4))*100 + MAX(0, AL$4-$A44)*IF(RTD("tos.rtd",,"OPEN_INT","."&amp;$AA$3&amp;$AA$4&amp;"P"&amp;AL$4)="N/A",0,RTD("tos.rtd",,"OPEN_INT","."&amp;$AA$3&amp;$AA$4&amp;"P"&amp;AL$4))*100</f>
        <v>0</v>
      </c>
      <c r="AM44" s="18">
        <f>MAX(0, $A44-AM$4)*IF(RTD("tos.rtd",,"OPEN_INT","."&amp;$AA$3&amp;$AA$4&amp;"C"&amp;AM$4)="N/A",0,RTD("tos.rtd",,"OPEN_INT","."&amp;$AA$3&amp;$AA$4&amp;"C"&amp;AM$4))*100 + MAX(0, AM$4-$A44)*IF(RTD("tos.rtd",,"OPEN_INT","."&amp;$AA$3&amp;$AA$4&amp;"P"&amp;AM$4)="N/A",0,RTD("tos.rtd",,"OPEN_INT","."&amp;$AA$3&amp;$AA$4&amp;"P"&amp;AM$4))*100</f>
        <v>0</v>
      </c>
      <c r="AN44" s="18">
        <f>MAX(0, $A44-AN$4)*IF(RTD("tos.rtd",,"OPEN_INT","."&amp;$AA$3&amp;$AA$4&amp;"C"&amp;AN$4)="N/A",0,RTD("tos.rtd",,"OPEN_INT","."&amp;$AA$3&amp;$AA$4&amp;"C"&amp;AN$4))*100 + MAX(0, AN$4-$A44)*IF(RTD("tos.rtd",,"OPEN_INT","."&amp;$AA$3&amp;$AA$4&amp;"P"&amp;AN$4)="N/A",0,RTD("tos.rtd",,"OPEN_INT","."&amp;$AA$3&amp;$AA$4&amp;"P"&amp;AN$4))*100</f>
        <v>0</v>
      </c>
      <c r="AO44" s="18">
        <f>MAX(0, $A44-AO$4)*IF(RTD("tos.rtd",,"OPEN_INT","."&amp;$AA$3&amp;$AA$4&amp;"C"&amp;AO$4)="N/A",0,RTD("tos.rtd",,"OPEN_INT","."&amp;$AA$3&amp;$AA$4&amp;"C"&amp;AO$4))*100 + MAX(0, AO$4-$A44)*IF(RTD("tos.rtd",,"OPEN_INT","."&amp;$AA$3&amp;$AA$4&amp;"P"&amp;AO$4)="N/A",0,RTD("tos.rtd",,"OPEN_INT","."&amp;$AA$3&amp;$AA$4&amp;"P"&amp;AO$4))*100</f>
        <v>156000</v>
      </c>
      <c r="AP44" s="18">
        <f>MAX(0, $A44-AP$4)*IF(RTD("tos.rtd",,"OPEN_INT","."&amp;$AA$3&amp;$AA$4&amp;"C"&amp;AP$4)="N/A",0,RTD("tos.rtd",,"OPEN_INT","."&amp;$AA$3&amp;$AA$4&amp;"C"&amp;AP$4))*100 + MAX(0, AP$4-$A44)*IF(RTD("tos.rtd",,"OPEN_INT","."&amp;$AA$3&amp;$AA$4&amp;"P"&amp;AP$4)="N/A",0,RTD("tos.rtd",,"OPEN_INT","."&amp;$AA$3&amp;$AA$4&amp;"P"&amp;AP$4))*100</f>
        <v>0</v>
      </c>
      <c r="AQ44" s="18">
        <f>MAX(0, $A44-AQ$4)*IF(RTD("tos.rtd",,"OPEN_INT","."&amp;$AA$3&amp;$AA$4&amp;"C"&amp;AQ$4)="N/A",0,RTD("tos.rtd",,"OPEN_INT","."&amp;$AA$3&amp;$AA$4&amp;"C"&amp;AQ$4))*100 + MAX(0, AQ$4-$A44)*IF(RTD("tos.rtd",,"OPEN_INT","."&amp;$AA$3&amp;$AA$4&amp;"P"&amp;AQ$4)="N/A",0,RTD("tos.rtd",,"OPEN_INT","."&amp;$AA$3&amp;$AA$4&amp;"P"&amp;AQ$4))*100</f>
        <v>63600</v>
      </c>
      <c r="AR44" s="18">
        <f>MAX(0, $A44-AR$4)*IF(RTD("tos.rtd",,"OPEN_INT","."&amp;$AA$3&amp;$AA$4&amp;"C"&amp;AR$4)="N/A",0,RTD("tos.rtd",,"OPEN_INT","."&amp;$AA$3&amp;$AA$4&amp;"C"&amp;AR$4))*100 + MAX(0, AR$4-$A44)*IF(RTD("tos.rtd",,"OPEN_INT","."&amp;$AA$3&amp;$AA$4&amp;"P"&amp;AR$4)="N/A",0,RTD("tos.rtd",,"OPEN_INT","."&amp;$AA$3&amp;$AA$4&amp;"P"&amp;AR$4))*100</f>
        <v>6900</v>
      </c>
      <c r="AS44" s="18">
        <f>MAX(0, $A44-AS$4)*IF(RTD("tos.rtd",,"OPEN_INT","."&amp;$AA$3&amp;$AA$4&amp;"C"&amp;AS$4)="N/A",0,RTD("tos.rtd",,"OPEN_INT","."&amp;$AA$3&amp;$AA$4&amp;"C"&amp;AS$4))*100 + MAX(0, AS$4-$A44)*IF(RTD("tos.rtd",,"OPEN_INT","."&amp;$AA$3&amp;$AA$4&amp;"P"&amp;AS$4)="N/A",0,RTD("tos.rtd",,"OPEN_INT","."&amp;$AA$3&amp;$AA$4&amp;"P"&amp;AS$4))*100</f>
        <v>68200</v>
      </c>
      <c r="AT44" s="18">
        <f>MAX(0, $A44-AT$4)*IF(RTD("tos.rtd",,"OPEN_INT","."&amp;$AA$3&amp;$AA$4&amp;"C"&amp;AT$4)="N/A",0,RTD("tos.rtd",,"OPEN_INT","."&amp;$AA$3&amp;$AA$4&amp;"C"&amp;AT$4))*100 + MAX(0, AT$4-$A44)*IF(RTD("tos.rtd",,"OPEN_INT","."&amp;$AA$3&amp;$AA$4&amp;"P"&amp;AT$4)="N/A",0,RTD("tos.rtd",,"OPEN_INT","."&amp;$AA$3&amp;$AA$4&amp;"P"&amp;AT$4))*100</f>
        <v>73500</v>
      </c>
      <c r="AU44" s="18">
        <f>MAX(0, $A44-AU$4)*IF(RTD("tos.rtd",,"OPEN_INT","."&amp;$AA$3&amp;$AA$4&amp;"C"&amp;AU$4)="N/A",0,RTD("tos.rtd",,"OPEN_INT","."&amp;$AA$3&amp;$AA$4&amp;"C"&amp;AU$4))*100 + MAX(0, AU$4-$A44)*IF(RTD("tos.rtd",,"OPEN_INT","."&amp;$AA$3&amp;$AA$4&amp;"P"&amp;AU$4)="N/A",0,RTD("tos.rtd",,"OPEN_INT","."&amp;$AA$3&amp;$AA$4&amp;"P"&amp;AU$4))*100</f>
        <v>40000</v>
      </c>
      <c r="AV44" s="18">
        <f>MAX(0, $A44-AV$4)*IF(RTD("tos.rtd",,"OPEN_INT","."&amp;$AA$3&amp;$AA$4&amp;"C"&amp;AV$4)="N/A",0,RTD("tos.rtd",,"OPEN_INT","."&amp;$AA$3&amp;$AA$4&amp;"C"&amp;AV$4))*100 + MAX(0, AV$4-$A44)*IF(RTD("tos.rtd",,"OPEN_INT","."&amp;$AA$3&amp;$AA$4&amp;"P"&amp;AV$4)="N/A",0,RTD("tos.rtd",,"OPEN_INT","."&amp;$AA$3&amp;$AA$4&amp;"P"&amp;AV$4))*100</f>
        <v>152950</v>
      </c>
      <c r="AW44" s="18">
        <f>MAX(0, $A44-AW$4)*IF(RTD("tos.rtd",,"OPEN_INT","."&amp;$AA$3&amp;$AA$4&amp;"C"&amp;AW$4)="N/A",0,RTD("tos.rtd",,"OPEN_INT","."&amp;$AA$3&amp;$AA$4&amp;"C"&amp;AW$4))*100 + MAX(0, AW$4-$A44)*IF(RTD("tos.rtd",,"OPEN_INT","."&amp;$AA$3&amp;$AA$4&amp;"P"&amp;AW$4)="N/A",0,RTD("tos.rtd",,"OPEN_INT","."&amp;$AA$3&amp;$AA$4&amp;"P"&amp;AW$4))*100</f>
        <v>181800</v>
      </c>
      <c r="AX44" s="18">
        <f>MAX(0, $A44-AX$4)*IF(RTD("tos.rtd",,"OPEN_INT","."&amp;$AA$3&amp;$AA$4&amp;"C"&amp;AX$4)="N/A",0,RTD("tos.rtd",,"OPEN_INT","."&amp;$AA$3&amp;$AA$4&amp;"C"&amp;AX$4))*100 + MAX(0, AX$4-$A44)*IF(RTD("tos.rtd",,"OPEN_INT","."&amp;$AA$3&amp;$AA$4&amp;"P"&amp;AX$4)="N/A",0,RTD("tos.rtd",,"OPEN_INT","."&amp;$AA$3&amp;$AA$4&amp;"P"&amp;AX$4))*100</f>
        <v>209950</v>
      </c>
      <c r="AY44" s="18">
        <f>MAX(0, $A44-AY$4)*IF(RTD("tos.rtd",,"OPEN_INT","."&amp;$AA$3&amp;$AA$4&amp;"C"&amp;AY$4)="N/A",0,RTD("tos.rtd",,"OPEN_INT","."&amp;$AA$3&amp;$AA$4&amp;"C"&amp;AY$4))*100 + MAX(0, AY$4-$A44)*IF(RTD("tos.rtd",,"OPEN_INT","."&amp;$AA$3&amp;$AA$4&amp;"P"&amp;AY$4)="N/A",0,RTD("tos.rtd",,"OPEN_INT","."&amp;$AA$3&amp;$AA$4&amp;"P"&amp;AY$4))*100</f>
        <v>1659200</v>
      </c>
      <c r="AZ44" s="18">
        <f>MAX(0, $A44-AZ$4)*IF(RTD("tos.rtd",,"OPEN_INT","."&amp;$AA$3&amp;$AA$4&amp;"C"&amp;AZ$4)="N/A",0,RTD("tos.rtd",,"OPEN_INT","."&amp;$AA$3&amp;$AA$4&amp;"C"&amp;AZ$4))*100 + MAX(0, AZ$4-$A44)*IF(RTD("tos.rtd",,"OPEN_INT","."&amp;$AA$3&amp;$AA$4&amp;"P"&amp;AZ$4)="N/A",0,RTD("tos.rtd",,"OPEN_INT","."&amp;$AA$3&amp;$AA$4&amp;"P"&amp;AZ$4))*100</f>
        <v>426000</v>
      </c>
      <c r="BA44" s="18">
        <f>MAX(0, $A44-BA$4)*IF(RTD("tos.rtd",,"OPEN_INT","."&amp;$AA$3&amp;$AA$4&amp;"C"&amp;BA$4)="N/A",0,RTD("tos.rtd",,"OPEN_INT","."&amp;$AA$3&amp;$AA$4&amp;"C"&amp;BA$4))*100 + MAX(0, BA$4-$A44)*IF(RTD("tos.rtd",,"OPEN_INT","."&amp;$AA$3&amp;$AA$4&amp;"P"&amp;BA$4)="N/A",0,RTD("tos.rtd",,"OPEN_INT","."&amp;$AA$3&amp;$AA$4&amp;"P"&amp;BA$4))*100</f>
        <v>1638000</v>
      </c>
      <c r="BB44" s="18">
        <f>MAX(0, $A44-BB$4)*IF(RTD("tos.rtd",,"OPEN_INT","."&amp;$AA$3&amp;$AA$4&amp;"C"&amp;BB$4)="N/A",0,RTD("tos.rtd",,"OPEN_INT","."&amp;$AA$3&amp;$AA$4&amp;"C"&amp;BB$4))*100 + MAX(0, BB$4-$A44)*IF(RTD("tos.rtd",,"OPEN_INT","."&amp;$AA$3&amp;$AA$4&amp;"P"&amp;BB$4)="N/A",0,RTD("tos.rtd",,"OPEN_INT","."&amp;$AA$3&amp;$AA$4&amp;"P"&amp;BB$4))*100</f>
        <v>1484600</v>
      </c>
      <c r="BC44" s="18">
        <f>MAX(0, $A44-BC$4)*IF(RTD("tos.rtd",,"OPEN_INT","."&amp;$AA$3&amp;$AA$4&amp;"C"&amp;BC$4)="N/A",0,RTD("tos.rtd",,"OPEN_INT","."&amp;$AA$3&amp;$AA$4&amp;"C"&amp;BC$4))*100 + MAX(0, BC$4-$A44)*IF(RTD("tos.rtd",,"OPEN_INT","."&amp;$AA$3&amp;$AA$4&amp;"P"&amp;BC$4)="N/A",0,RTD("tos.rtd",,"OPEN_INT","."&amp;$AA$3&amp;$AA$4&amp;"P"&amp;BC$4))*100</f>
        <v>4590600</v>
      </c>
      <c r="BD44" s="18">
        <f>MAX(0, $A44-BD$4)*IF(RTD("tos.rtd",,"OPEN_INT","."&amp;$AA$3&amp;$AA$4&amp;"C"&amp;BD$4)="N/A",0,RTD("tos.rtd",,"OPEN_INT","."&amp;$AA$3&amp;$AA$4&amp;"C"&amp;BD$4))*100 + MAX(0, BD$4-$A44)*IF(RTD("tos.rtd",,"OPEN_INT","."&amp;$AA$3&amp;$AA$4&amp;"P"&amp;BD$4)="N/A",0,RTD("tos.rtd",,"OPEN_INT","."&amp;$AA$3&amp;$AA$4&amp;"P"&amp;BD$4))*100</f>
        <v>5401550</v>
      </c>
      <c r="BE44" s="18">
        <f>MAX(0, $A44-BE$4)*IF(RTD("tos.rtd",,"OPEN_INT","."&amp;$AA$3&amp;$AA$4&amp;"C"&amp;BE$4)="N/A",0,RTD("tos.rtd",,"OPEN_INT","."&amp;$AA$3&amp;$AA$4&amp;"C"&amp;BE$4))*100 + MAX(0, BE$4-$A44)*IF(RTD("tos.rtd",,"OPEN_INT","."&amp;$AA$3&amp;$AA$4&amp;"P"&amp;BE$4)="N/A",0,RTD("tos.rtd",,"OPEN_INT","."&amp;$AA$3&amp;$AA$4&amp;"P"&amp;BE$4))*100</f>
        <v>5558000</v>
      </c>
      <c r="BF44" s="18">
        <f>MAX(0, $A44-BF$4)*IF(RTD("tos.rtd",,"OPEN_INT","."&amp;$AA$3&amp;$AA$4&amp;"C"&amp;BF$4)="N/A",0,RTD("tos.rtd",,"OPEN_INT","."&amp;$AA$3&amp;$AA$4&amp;"C"&amp;BF$4))*100 + MAX(0, BF$4-$A44)*IF(RTD("tos.rtd",,"OPEN_INT","."&amp;$AA$3&amp;$AA$4&amp;"P"&amp;BF$4)="N/A",0,RTD("tos.rtd",,"OPEN_INT","."&amp;$AA$3&amp;$AA$4&amp;"P"&amp;BF$4))*100</f>
        <v>6259050</v>
      </c>
      <c r="BG44" s="18">
        <f>MAX(0, $A44-BG$4)*IF(RTD("tos.rtd",,"OPEN_INT","."&amp;$AA$3&amp;$AA$4&amp;"C"&amp;BG$4)="N/A",0,RTD("tos.rtd",,"OPEN_INT","."&amp;$AA$3&amp;$AA$4&amp;"C"&amp;BG$4))*100 + MAX(0, BG$4-$A44)*IF(RTD("tos.rtd",,"OPEN_INT","."&amp;$AA$3&amp;$AA$4&amp;"P"&amp;BG$4)="N/A",0,RTD("tos.rtd",,"OPEN_INT","."&amp;$AA$3&amp;$AA$4&amp;"P"&amp;BG$4))*100</f>
        <v>3630000</v>
      </c>
      <c r="BH44" s="18">
        <f>MAX(0, $A44-BH$4)*IF(RTD("tos.rtd",,"OPEN_INT","."&amp;$AA$3&amp;$AA$4&amp;"C"&amp;BH$4)="N/A",0,RTD("tos.rtd",,"OPEN_INT","."&amp;$AA$3&amp;$AA$4&amp;"C"&amp;BH$4))*100 + MAX(0, BH$4-$A44)*IF(RTD("tos.rtd",,"OPEN_INT","."&amp;$AA$3&amp;$AA$4&amp;"P"&amp;BH$4)="N/A",0,RTD("tos.rtd",,"OPEN_INT","."&amp;$AA$3&amp;$AA$4&amp;"P"&amp;BH$4))*100</f>
        <v>2248050</v>
      </c>
      <c r="BI44" s="18">
        <f>MAX(0, $A44-BI$4)*IF(RTD("tos.rtd",,"OPEN_INT","."&amp;$AA$3&amp;$AA$4&amp;"C"&amp;BI$4)="N/A",0,RTD("tos.rtd",,"OPEN_INT","."&amp;$AA$3&amp;$AA$4&amp;"C"&amp;BI$4))*100 + MAX(0, BI$4-$A44)*IF(RTD("tos.rtd",,"OPEN_INT","."&amp;$AA$3&amp;$AA$4&amp;"P"&amp;BI$4)="N/A",0,RTD("tos.rtd",,"OPEN_INT","."&amp;$AA$3&amp;$AA$4&amp;"P"&amp;BI$4))*100</f>
        <v>2407500</v>
      </c>
      <c r="BJ44" s="18">
        <f>MAX(0, $A44-BJ$4)*IF(RTD("tos.rtd",,"OPEN_INT","."&amp;$AA$3&amp;$AA$4&amp;"C"&amp;BJ$4)="N/A",0,RTD("tos.rtd",,"OPEN_INT","."&amp;$AA$3&amp;$AA$4&amp;"C"&amp;BJ$4))*100 + MAX(0, BJ$4-$A44)*IF(RTD("tos.rtd",,"OPEN_INT","."&amp;$AA$3&amp;$AA$4&amp;"P"&amp;BJ$4)="N/A",0,RTD("tos.rtd",,"OPEN_INT","."&amp;$AA$3&amp;$AA$4&amp;"P"&amp;BJ$4))*100</f>
        <v>545750</v>
      </c>
      <c r="BK44" s="18">
        <f>MAX(0, $A44-BK$4)*IF(RTD("tos.rtd",,"OPEN_INT","."&amp;$AA$3&amp;$AA$4&amp;"C"&amp;BK$4)="N/A",0,RTD("tos.rtd",,"OPEN_INT","."&amp;$AA$3&amp;$AA$4&amp;"C"&amp;BK$4))*100 + MAX(0, BK$4-$A44)*IF(RTD("tos.rtd",,"OPEN_INT","."&amp;$AA$3&amp;$AA$4&amp;"P"&amp;BK$4)="N/A",0,RTD("tos.rtd",,"OPEN_INT","."&amp;$AA$3&amp;$AA$4&amp;"P"&amp;BK$4))*100</f>
        <v>468000</v>
      </c>
      <c r="BL44" s="18">
        <f>MAX(0, $A44-BL$4)*IF(RTD("tos.rtd",,"OPEN_INT","."&amp;$AA$3&amp;$AA$4&amp;"C"&amp;BL$4)="N/A",0,RTD("tos.rtd",,"OPEN_INT","."&amp;$AA$3&amp;$AA$4&amp;"C"&amp;BL$4))*100 + MAX(0, BL$4-$A44)*IF(RTD("tos.rtd",,"OPEN_INT","."&amp;$AA$3&amp;$AA$4&amp;"P"&amp;BL$4)="N/A",0,RTD("tos.rtd",,"OPEN_INT","."&amp;$AA$3&amp;$AA$4&amp;"P"&amp;BL$4))*100</f>
        <v>58800</v>
      </c>
      <c r="BM44" s="18">
        <f>MAX(0, $A44-BM$4)*IF(RTD("tos.rtd",,"OPEN_INT","."&amp;$AA$3&amp;$AA$4&amp;"C"&amp;BM$4)="N/A",0,RTD("tos.rtd",,"OPEN_INT","."&amp;$AA$3&amp;$AA$4&amp;"C"&amp;BM$4))*100 + MAX(0, BM$4-$A44)*IF(RTD("tos.rtd",,"OPEN_INT","."&amp;$AA$3&amp;$AA$4&amp;"P"&amp;BM$4)="N/A",0,RTD("tos.rtd",,"OPEN_INT","."&amp;$AA$3&amp;$AA$4&amp;"P"&amp;BM$4))*100</f>
        <v>43500</v>
      </c>
      <c r="BN44" s="18">
        <f>MAX(0, $A44-BN$4)*IF(RTD("tos.rtd",,"OPEN_INT","."&amp;$AA$3&amp;$AA$4&amp;"C"&amp;BN$4)="N/A",0,RTD("tos.rtd",,"OPEN_INT","."&amp;$AA$3&amp;$AA$4&amp;"C"&amp;BN$4))*100 + MAX(0, BN$4-$A44)*IF(RTD("tos.rtd",,"OPEN_INT","."&amp;$AA$3&amp;$AA$4&amp;"P"&amp;BN$4)="N/A",0,RTD("tos.rtd",,"OPEN_INT","."&amp;$AA$3&amp;$AA$4&amp;"P"&amp;BN$4))*100</f>
        <v>3150</v>
      </c>
      <c r="BO44" s="18">
        <f>MAX(0, $A44-BO$4)*IF(RTD("tos.rtd",,"OPEN_INT","."&amp;$AA$3&amp;$AA$4&amp;"C"&amp;BO$4)="N/A",0,RTD("tos.rtd",,"OPEN_INT","."&amp;$AA$3&amp;$AA$4&amp;"C"&amp;BO$4))*100 + MAX(0, BO$4-$A44)*IF(RTD("tos.rtd",,"OPEN_INT","."&amp;$AA$3&amp;$AA$4&amp;"P"&amp;BO$4)="N/A",0,RTD("tos.rtd",,"OPEN_INT","."&amp;$AA$3&amp;$AA$4&amp;"P"&amp;BO$4))*100</f>
        <v>0</v>
      </c>
      <c r="BP44" s="18">
        <f>MAX(0, $A44-BP$4)*IF(RTD("tos.rtd",,"OPEN_INT","."&amp;$AA$3&amp;$AA$4&amp;"C"&amp;BP$4)="N/A",0,RTD("tos.rtd",,"OPEN_INT","."&amp;$AA$3&amp;$AA$4&amp;"C"&amp;BP$4))*100 + MAX(0, BP$4-$A44)*IF(RTD("tos.rtd",,"OPEN_INT","."&amp;$AA$3&amp;$AA$4&amp;"P"&amp;BP$4)="N/A",0,RTD("tos.rtd",,"OPEN_INT","."&amp;$AA$3&amp;$AA$4&amp;"P"&amp;BP$4))*100</f>
        <v>0</v>
      </c>
      <c r="BQ44" s="18">
        <f>MAX(0, $A44-BQ$4)*IF(RTD("tos.rtd",,"OPEN_INT","."&amp;$AA$3&amp;$AA$4&amp;"C"&amp;BQ$4)="N/A",0,RTD("tos.rtd",,"OPEN_INT","."&amp;$AA$3&amp;$AA$4&amp;"C"&amp;BQ$4))*100 + MAX(0, BQ$4-$A44)*IF(RTD("tos.rtd",,"OPEN_INT","."&amp;$AA$3&amp;$AA$4&amp;"P"&amp;BQ$4)="N/A",0,RTD("tos.rtd",,"OPEN_INT","."&amp;$AA$3&amp;$AA$4&amp;"P"&amp;BQ$4))*100</f>
        <v>0</v>
      </c>
      <c r="BR44" s="18">
        <f>MAX(0, $A44-BR$4)*IF(RTD("tos.rtd",,"OPEN_INT","."&amp;$AA$3&amp;$AA$4&amp;"C"&amp;BR$4)="N/A",0,RTD("tos.rtd",,"OPEN_INT","."&amp;$AA$3&amp;$AA$4&amp;"C"&amp;BR$4))*100 + MAX(0, BR$4-$A44)*IF(RTD("tos.rtd",,"OPEN_INT","."&amp;$AA$3&amp;$AA$4&amp;"P"&amp;BR$4)="N/A",0,RTD("tos.rtd",,"OPEN_INT","."&amp;$AA$3&amp;$AA$4&amp;"P"&amp;BR$4))*100</f>
        <v>0</v>
      </c>
      <c r="BS44" s="18">
        <f>MAX(0, $A44-BS$4)*IF(RTD("tos.rtd",,"OPEN_INT","."&amp;$AA$3&amp;$AA$4&amp;"C"&amp;BS$4)="N/A",0,RTD("tos.rtd",,"OPEN_INT","."&amp;$AA$3&amp;$AA$4&amp;"C"&amp;BS$4))*100 + MAX(0, BS$4-$A44)*IF(RTD("tos.rtd",,"OPEN_INT","."&amp;$AA$3&amp;$AA$4&amp;"P"&amp;BS$4)="N/A",0,RTD("tos.rtd",,"OPEN_INT","."&amp;$AA$3&amp;$AA$4&amp;"P"&amp;BS$4))*100</f>
        <v>0</v>
      </c>
      <c r="BT44" s="18">
        <f>MAX(0, $A44-BT$4)*IF(RTD("tos.rtd",,"OPEN_INT","."&amp;$AA$3&amp;$AA$4&amp;"C"&amp;BT$4)="N/A",0,RTD("tos.rtd",,"OPEN_INT","."&amp;$AA$3&amp;$AA$4&amp;"C"&amp;BT$4))*100 + MAX(0, BT$4-$A44)*IF(RTD("tos.rtd",,"OPEN_INT","."&amp;$AA$3&amp;$AA$4&amp;"P"&amp;BT$4)="N/A",0,RTD("tos.rtd",,"OPEN_INT","."&amp;$AA$3&amp;$AA$4&amp;"P"&amp;BT$4))*100</f>
        <v>0</v>
      </c>
      <c r="BU44" s="18">
        <f>MAX(0, $A44-BU$4)*IF(RTD("tos.rtd",,"OPEN_INT","."&amp;$AA$3&amp;$AA$4&amp;"C"&amp;BU$4)="N/A",0,RTD("tos.rtd",,"OPEN_INT","."&amp;$AA$3&amp;$AA$4&amp;"C"&amp;BU$4))*100 + MAX(0, BU$4-$A44)*IF(RTD("tos.rtd",,"OPEN_INT","."&amp;$AA$3&amp;$AA$4&amp;"P"&amp;BU$4)="N/A",0,RTD("tos.rtd",,"OPEN_INT","."&amp;$AA$3&amp;$AA$4&amp;"P"&amp;BU$4))*100</f>
        <v>0</v>
      </c>
      <c r="BV44" s="18">
        <f>MAX(0, $A44-BV$4)*IF(RTD("tos.rtd",,"OPEN_INT","."&amp;$AA$3&amp;$AA$4&amp;"C"&amp;BV$4)="N/A",0,RTD("tos.rtd",,"OPEN_INT","."&amp;$AA$3&amp;$AA$4&amp;"C"&amp;BV$4))*100 + MAX(0, BV$4-$A44)*IF(RTD("tos.rtd",,"OPEN_INT","."&amp;$AA$3&amp;$AA$4&amp;"P"&amp;BV$4)="N/A",0,RTD("tos.rtd",,"OPEN_INT","."&amp;$AA$3&amp;$AA$4&amp;"P"&amp;BV$4))*100</f>
        <v>0</v>
      </c>
    </row>
    <row r="45" spans="1:74" s="19" customFormat="1" ht="11.1" customHeight="1" thickBot="1" x14ac:dyDescent="0.3">
      <c r="A45" s="23">
        <f t="shared" si="11"/>
        <v>1.5</v>
      </c>
      <c r="B45" s="14">
        <f ca="1">IF($A$2="PREMIUM_OI",IFERROR(IF($X$1="ABS",(100*RTD("tos.rtd",,"OPEN_INT","."&amp;B$2&amp;B$1&amp;"C"&amp;$A45)*RTD("tos.rtd",,"LAST","."&amp;B$2&amp;B$1&amp;"C"&amp;$A45)+100*RTD("tos.rtd",,"OPEN_INT","."&amp;B$2&amp;B$1&amp;"P"&amp;$A45)*RTD("tos.rtd",,"LAST","."&amp;B$2&amp;B$1&amp;"P"&amp;$A45))/1000000,(100*RTD("tos.rtd",,"OPEN_INT","."&amp;B$2&amp;B$1&amp;"C"&amp;$A45)*RTD("tos.rtd",,"LAST","."&amp;B$2&amp;B$1&amp;"C"&amp;$A45)-100*RTD("tos.rtd",,"OPEN_INT","."&amp;B$2&amp;B$1&amp;"P"&amp;$A45)*RTD("tos.rtd",,"LAST","."&amp;B$2&amp;B$1&amp;"P"&amp;$A45))/1000000),0),IF($A$2="PREMIUM",IFERROR(IF($X$1="ABS",(100*RTD("tos.rtd",,"VOLUME","."&amp;B$2&amp;B$1&amp;"C"&amp;$A45)*RTD("tos.rtd",,"LAST","."&amp;B$2&amp;B$1&amp;"C"&amp;$A45)+100*RTD("tos.rtd",,"VOLUME","."&amp;B$2&amp;B$1&amp;"P"&amp;$A45)*RTD("tos.rtd",,"LAST","."&amp;B$2&amp;B$1&amp;"P"&amp;$A45))/1000000,(100*RTD("tos.rtd",,"VOLUME","."&amp;B$2&amp;B$1&amp;"C"&amp;$A45)*RTD("tos.rtd",,"LAST","."&amp;B$2&amp;B$1&amp;"C"&amp;$A45)-100*RTD("tos.rtd",,"VOLUME","."&amp;B$2&amp;B$1&amp;"P"&amp;$A45)*RTD("tos.rtd",,"LAST","."&amp;B$2&amp;B$1&amp;"P"&amp;$A45))/1000000),0),IF($A$2="DEX",IFERROR(IF($X$1="ABS",(100*RTD("tos.rtd",,"OPEN_INT","."&amp;B$2&amp;B$1&amp;"C"&amp;$A45)*RTD("tos.rtd",,"DELTA","."&amp;B$2&amp;B$1&amp;"C"&amp;$A45)+100*RTD("tos.rtd",,"OPEN_INT","."&amp;B$2&amp;B$1&amp;"P"&amp;$A45)*RTD("tos.rtd",,"DELTA","."&amp;B$2&amp;B$1&amp;"P"&amp;$A45))/1000,(100*RTD("tos.rtd",,"OPEN_INT","."&amp;B$2&amp;B$1&amp;"C"&amp;$A45)*RTD("tos.rtd",,"DELTA","."&amp;B$2&amp;B$1&amp;"C"&amp;$A45)-100*RTD("tos.rtd",,"OPEN_INT","."&amp;B$2&amp;B$1&amp;"P"&amp;$A45)*RTD("tos.rtd",,"DELTA","."&amp;B$2&amp;B$1&amp;"P"&amp;$A45))/1000),0),IF($A$2="VEX",IFERROR(IF($X$1="ABS",($A$4*$A$4*RTD("tos.rtd",,"VOLUME","."&amp;B$2&amp;B$1&amp;"C"&amp;$A45)*RTD("tos.rtd",,"GAMMA","."&amp;B$2&amp;B$1&amp;"C"&amp;$A45)+$A$4*$A$4*RTD("tos.rtd",,"VOLUME","."&amp;B$2&amp;B$1&amp;"P"&amp;$A45)*RTD("tos.rtd",,"GAMMA","."&amp;B$2&amp;B$1&amp;"P"&amp;$A45))/1000000,($A$4*$A$4*RTD("tos.rtd",,"VOLUME","."&amp;B$2&amp;B$1&amp;"C"&amp;$A45)*RTD("tos.rtd",,"GAMMA","."&amp;B$2&amp;B$1&amp;"C"&amp;$A45)-$A$4*$A$4*RTD("tos.rtd",,"VOLUME","."&amp;B$2&amp;B$1&amp;"P"&amp;$A45)*RTD("tos.rtd",,"GAMMA","."&amp;B$2&amp;B$1&amp;"P"&amp;$A45))/1000000),0),IF($A$2="GEX",IFERROR(IF($X$1="ABS",($A$4*$A$4*RTD("tos.rtd",,"OPEN_INT","."&amp;B$2&amp;B$1&amp;"C"&amp;$A45)*RTD("tos.rtd",,"GAMMA","."&amp;B$2&amp;B$1&amp;"C"&amp;$A45)+$A$4*$A$4*RTD("tos.rtd",,"OPEN_INT","."&amp;B$2&amp;B$1&amp;"P"&amp;$A45)*RTD("tos.rtd",,"GAMMA","."&amp;B$2&amp;B$1&amp;"P"&amp;$A45))/1000000,($A$4*$A$4*RTD("tos.rtd",,"OPEN_INT","."&amp;B$2&amp;B$1&amp;"C"&amp;$A45)*RTD("tos.rtd",,"GAMMA","."&amp;B$2&amp;B$1&amp;"C"&amp;$A45)-$A$4*$A$4*RTD("tos.rtd",,"OPEN_INT","."&amp;B$2&amp;B$1&amp;"P"&amp;$A45)*RTD("tos.rtd",,"GAMMA","."&amp;B$2&amp;B$1&amp;"P"&amp;$A45))/1000000),0),IF($A$2="SKEW",IFERROR(VALUE(IF(RTD("tos.rtd",,"IMPL_VOL","."&amp;B$2&amp;B$1&amp;"P"&amp;$A45)="N/A",0,RTD("tos.rtd",,"IMPL_VOL","."&amp;B$2&amp;B$1&amp;"P"&amp;$A45))),0)-IFERROR(VALUE(IF(RTD("tos.rtd",,"IMPL_VOL","."&amp;B$2&amp;B$1&amp;"C"&amp;$A45)="N/A",0,RTD("tos.rtd",,"IMPL_VOL","."&amp;B$2&amp;B$1&amp;"C"&amp;$A45))),0),IF($A$2="MAXPAIN",IF($A$4&gt;$A45,($A$4-$A45)*IF(RTD("tos.rtd",,"OPEN_INT","."&amp;B$2&amp;B$1&amp;"C"&amp;$A45)="N/A",0,RTD("tos.rtd",,"OPEN_INT","."&amp;B$2&amp;B$1&amp;"C"&amp;$A45)),0)+IF($A$4&lt;$A45,($A$5-$A$4)*IF(RTD("tos.rtd",,"OPEN_INT","."&amp;B$2&amp;B$1&amp;"P"&amp;$A45)="N/A",0,RTD("tos.rtd",,"OPEN_INT","."&amp;B$2&amp;B$1&amp;"P"&amp;$A45)),0),IF($X$1="ABS",IF(RTD("tos.rtd",,$A$2,"."&amp;B$2&amp;B$1&amp;"C"&amp;$A45)="N/A",0,RTD("tos.rtd",,$A$2,"."&amp;B$2&amp;B$1&amp;"C"&amp;$A45))+IF(RTD("tos.rtd",,$A$2,"."&amp;B$2&amp;B$1&amp;"P"&amp;$A45)="N/A",0,RTD("tos.rtd",,$A$2,"."&amp;B$2&amp;B$1&amp;"P"&amp;$A45)),IF(RTD("tos.rtd",,$A$2,"."&amp;B$2&amp;B$1&amp;"C"&amp;$A45)="N/A",0,RTD("tos.rtd",,$A$2,"."&amp;B$2&amp;B$1&amp;"C"&amp;$A45))-IF(RTD("tos.rtd",,$A$2,"."&amp;B$2&amp;B$1&amp;"P"&amp;$A45)="N/A",0,RTD("tos.rtd",,$A$2,"."&amp;B$2&amp;B$1&amp;"P"&amp;$A45))))))))))</f>
        <v>0</v>
      </c>
      <c r="C45" s="12">
        <f ca="1">IF($A$2="PREMIUM_OI",IFERROR(IF($X$1="ABS",(100*RTD("tos.rtd",,"OPEN_INT","."&amp;C$2&amp;C$1&amp;"C"&amp;$A45)*RTD("tos.rtd",,"LAST","."&amp;C$2&amp;C$1&amp;"C"&amp;$A45)+100*RTD("tos.rtd",,"OPEN_INT","."&amp;C$2&amp;C$1&amp;"P"&amp;$A45)*RTD("tos.rtd",,"LAST","."&amp;C$2&amp;C$1&amp;"P"&amp;$A45))/1000000,(100*RTD("tos.rtd",,"OPEN_INT","."&amp;C$2&amp;C$1&amp;"C"&amp;$A45)*RTD("tos.rtd",,"LAST","."&amp;C$2&amp;C$1&amp;"C"&amp;$A45)-100*RTD("tos.rtd",,"OPEN_INT","."&amp;C$2&amp;C$1&amp;"P"&amp;$A45)*RTD("tos.rtd",,"LAST","."&amp;C$2&amp;C$1&amp;"P"&amp;$A45))/1000000),0),IF($A$2="PREMIUM",IFERROR(IF($X$1="ABS",(100*RTD("tos.rtd",,"VOLUME","."&amp;C$2&amp;C$1&amp;"C"&amp;$A45)*RTD("tos.rtd",,"LAST","."&amp;C$2&amp;C$1&amp;"C"&amp;$A45)+100*RTD("tos.rtd",,"VOLUME","."&amp;C$2&amp;C$1&amp;"P"&amp;$A45)*RTD("tos.rtd",,"LAST","."&amp;C$2&amp;C$1&amp;"P"&amp;$A45))/1000000,(100*RTD("tos.rtd",,"VOLUME","."&amp;C$2&amp;C$1&amp;"C"&amp;$A45)*RTD("tos.rtd",,"LAST","."&amp;C$2&amp;C$1&amp;"C"&amp;$A45)-100*RTD("tos.rtd",,"VOLUME","."&amp;C$2&amp;C$1&amp;"P"&amp;$A45)*RTD("tos.rtd",,"LAST","."&amp;C$2&amp;C$1&amp;"P"&amp;$A45))/1000000),0),IF($A$2="DEX",IFERROR(IF($X$1="ABS",(100*RTD("tos.rtd",,"OPEN_INT","."&amp;C$2&amp;C$1&amp;"C"&amp;$A45)*RTD("tos.rtd",,"DELTA","."&amp;C$2&amp;C$1&amp;"C"&amp;$A45)+100*RTD("tos.rtd",,"OPEN_INT","."&amp;C$2&amp;C$1&amp;"P"&amp;$A45)*RTD("tos.rtd",,"DELTA","."&amp;C$2&amp;C$1&amp;"P"&amp;$A45))/1000,(100*RTD("tos.rtd",,"OPEN_INT","."&amp;C$2&amp;C$1&amp;"C"&amp;$A45)*RTD("tos.rtd",,"DELTA","."&amp;C$2&amp;C$1&amp;"C"&amp;$A45)-100*RTD("tos.rtd",,"OPEN_INT","."&amp;C$2&amp;C$1&amp;"P"&amp;$A45)*RTD("tos.rtd",,"DELTA","."&amp;C$2&amp;C$1&amp;"P"&amp;$A45))/1000),0),IF($A$2="VEX",IFERROR(IF($X$1="ABS",($A$4*$A$4*RTD("tos.rtd",,"VOLUME","."&amp;C$2&amp;C$1&amp;"C"&amp;$A45)*RTD("tos.rtd",,"GAMMA","."&amp;C$2&amp;C$1&amp;"C"&amp;$A45)+$A$4*$A$4*RTD("tos.rtd",,"VOLUME","."&amp;C$2&amp;C$1&amp;"P"&amp;$A45)*RTD("tos.rtd",,"GAMMA","."&amp;C$2&amp;C$1&amp;"P"&amp;$A45))/1000000,($A$4*$A$4*RTD("tos.rtd",,"VOLUME","."&amp;C$2&amp;C$1&amp;"C"&amp;$A45)*RTD("tos.rtd",,"GAMMA","."&amp;C$2&amp;C$1&amp;"C"&amp;$A45)-$A$4*$A$4*RTD("tos.rtd",,"VOLUME","."&amp;C$2&amp;C$1&amp;"P"&amp;$A45)*RTD("tos.rtd",,"GAMMA","."&amp;C$2&amp;C$1&amp;"P"&amp;$A45))/1000000),0),IF($A$2="GEX",IFERROR(IF($X$1="ABS",($A$4*$A$4*RTD("tos.rtd",,"OPEN_INT","."&amp;C$2&amp;C$1&amp;"C"&amp;$A45)*RTD("tos.rtd",,"GAMMA","."&amp;C$2&amp;C$1&amp;"C"&amp;$A45)+$A$4*$A$4*RTD("tos.rtd",,"OPEN_INT","."&amp;C$2&amp;C$1&amp;"P"&amp;$A45)*RTD("tos.rtd",,"GAMMA","."&amp;C$2&amp;C$1&amp;"P"&amp;$A45))/1000000,($A$4*$A$4*RTD("tos.rtd",,"OPEN_INT","."&amp;C$2&amp;C$1&amp;"C"&amp;$A45)*RTD("tos.rtd",,"GAMMA","."&amp;C$2&amp;C$1&amp;"C"&amp;$A45)-$A$4*$A$4*RTD("tos.rtd",,"OPEN_INT","."&amp;C$2&amp;C$1&amp;"P"&amp;$A45)*RTD("tos.rtd",,"GAMMA","."&amp;C$2&amp;C$1&amp;"P"&amp;$A45))/1000000),0),IF($A$2="SKEW",IFERROR(VALUE(IF(RTD("tos.rtd",,"IMPL_VOL","."&amp;C$2&amp;C$1&amp;"P"&amp;$A45)="N/A",0,RTD("tos.rtd",,"IMPL_VOL","."&amp;C$2&amp;C$1&amp;"P"&amp;$A45))),0)-IFERROR(VALUE(IF(RTD("tos.rtd",,"IMPL_VOL","."&amp;C$2&amp;C$1&amp;"C"&amp;$A45)="N/A",0,RTD("tos.rtd",,"IMPL_VOL","."&amp;C$2&amp;C$1&amp;"C"&amp;$A45))),0),IF($A$2="MAXPAIN",IF($A$4&gt;$A45,($A$4-$A45)*IF(RTD("tos.rtd",,"OPEN_INT","."&amp;C$2&amp;C$1&amp;"C"&amp;$A45)="N/A",0,RTD("tos.rtd",,"OPEN_INT","."&amp;C$2&amp;C$1&amp;"C"&amp;$A45)),0)+IF($A$4&lt;$A45,($A$5-$A$4)*IF(RTD("tos.rtd",,"OPEN_INT","."&amp;C$2&amp;C$1&amp;"P"&amp;$A45)="N/A",0,RTD("tos.rtd",,"OPEN_INT","."&amp;C$2&amp;C$1&amp;"P"&amp;$A45)),0),IF($X$1="ABS",IF(RTD("tos.rtd",,$A$2,"."&amp;C$2&amp;C$1&amp;"C"&amp;$A45)="N/A",0,RTD("tos.rtd",,$A$2,"."&amp;C$2&amp;C$1&amp;"C"&amp;$A45))+IF(RTD("tos.rtd",,$A$2,"."&amp;C$2&amp;C$1&amp;"P"&amp;$A45)="N/A",0,RTD("tos.rtd",,$A$2,"."&amp;C$2&amp;C$1&amp;"P"&amp;$A45)),IF(RTD("tos.rtd",,$A$2,"."&amp;C$2&amp;C$1&amp;"C"&amp;$A45)="N/A",0,RTD("tos.rtd",,$A$2,"."&amp;C$2&amp;C$1&amp;"C"&amp;$A45))-IF(RTD("tos.rtd",,$A$2,"."&amp;C$2&amp;C$1&amp;"P"&amp;$A45)="N/A",0,RTD("tos.rtd",,$A$2,"."&amp;C$2&amp;C$1&amp;"P"&amp;$A45))))))))))</f>
        <v>0</v>
      </c>
      <c r="D45" s="12">
        <f ca="1">IF($A$2="PREMIUM_OI",IFERROR(IF($X$1="ABS",(100*RTD("tos.rtd",,"OPEN_INT","."&amp;D$2&amp;D$1&amp;"C"&amp;$A45)*RTD("tos.rtd",,"LAST","."&amp;D$2&amp;D$1&amp;"C"&amp;$A45)+100*RTD("tos.rtd",,"OPEN_INT","."&amp;D$2&amp;D$1&amp;"P"&amp;$A45)*RTD("tos.rtd",,"LAST","."&amp;D$2&amp;D$1&amp;"P"&amp;$A45))/1000000,(100*RTD("tos.rtd",,"OPEN_INT","."&amp;D$2&amp;D$1&amp;"C"&amp;$A45)*RTD("tos.rtd",,"LAST","."&amp;D$2&amp;D$1&amp;"C"&amp;$A45)-100*RTD("tos.rtd",,"OPEN_INT","."&amp;D$2&amp;D$1&amp;"P"&amp;$A45)*RTD("tos.rtd",,"LAST","."&amp;D$2&amp;D$1&amp;"P"&amp;$A45))/1000000),0),IF($A$2="PREMIUM",IFERROR(IF($X$1="ABS",(100*RTD("tos.rtd",,"VOLUME","."&amp;D$2&amp;D$1&amp;"C"&amp;$A45)*RTD("tos.rtd",,"LAST","."&amp;D$2&amp;D$1&amp;"C"&amp;$A45)+100*RTD("tos.rtd",,"VOLUME","."&amp;D$2&amp;D$1&amp;"P"&amp;$A45)*RTD("tos.rtd",,"LAST","."&amp;D$2&amp;D$1&amp;"P"&amp;$A45))/1000000,(100*RTD("tos.rtd",,"VOLUME","."&amp;D$2&amp;D$1&amp;"C"&amp;$A45)*RTD("tos.rtd",,"LAST","."&amp;D$2&amp;D$1&amp;"C"&amp;$A45)-100*RTD("tos.rtd",,"VOLUME","."&amp;D$2&amp;D$1&amp;"P"&amp;$A45)*RTD("tos.rtd",,"LAST","."&amp;D$2&amp;D$1&amp;"P"&amp;$A45))/1000000),0),IF($A$2="DEX",IFERROR(IF($X$1="ABS",(100*RTD("tos.rtd",,"OPEN_INT","."&amp;D$2&amp;D$1&amp;"C"&amp;$A45)*RTD("tos.rtd",,"DELTA","."&amp;D$2&amp;D$1&amp;"C"&amp;$A45)+100*RTD("tos.rtd",,"OPEN_INT","."&amp;D$2&amp;D$1&amp;"P"&amp;$A45)*RTD("tos.rtd",,"DELTA","."&amp;D$2&amp;D$1&amp;"P"&amp;$A45))/1000,(100*RTD("tos.rtd",,"OPEN_INT","."&amp;D$2&amp;D$1&amp;"C"&amp;$A45)*RTD("tos.rtd",,"DELTA","."&amp;D$2&amp;D$1&amp;"C"&amp;$A45)-100*RTD("tos.rtd",,"OPEN_INT","."&amp;D$2&amp;D$1&amp;"P"&amp;$A45)*RTD("tos.rtd",,"DELTA","."&amp;D$2&amp;D$1&amp;"P"&amp;$A45))/1000),0),IF($A$2="VEX",IFERROR(IF($X$1="ABS",($A$4*$A$4*RTD("tos.rtd",,"VOLUME","."&amp;D$2&amp;D$1&amp;"C"&amp;$A45)*RTD("tos.rtd",,"GAMMA","."&amp;D$2&amp;D$1&amp;"C"&amp;$A45)+$A$4*$A$4*RTD("tos.rtd",,"VOLUME","."&amp;D$2&amp;D$1&amp;"P"&amp;$A45)*RTD("tos.rtd",,"GAMMA","."&amp;D$2&amp;D$1&amp;"P"&amp;$A45))/1000000,($A$4*$A$4*RTD("tos.rtd",,"VOLUME","."&amp;D$2&amp;D$1&amp;"C"&amp;$A45)*RTD("tos.rtd",,"GAMMA","."&amp;D$2&amp;D$1&amp;"C"&amp;$A45)-$A$4*$A$4*RTD("tos.rtd",,"VOLUME","."&amp;D$2&amp;D$1&amp;"P"&amp;$A45)*RTD("tos.rtd",,"GAMMA","."&amp;D$2&amp;D$1&amp;"P"&amp;$A45))/1000000),0),IF($A$2="GEX",IFERROR(IF($X$1="ABS",($A$4*$A$4*RTD("tos.rtd",,"OPEN_INT","."&amp;D$2&amp;D$1&amp;"C"&amp;$A45)*RTD("tos.rtd",,"GAMMA","."&amp;D$2&amp;D$1&amp;"C"&amp;$A45)+$A$4*$A$4*RTD("tos.rtd",,"OPEN_INT","."&amp;D$2&amp;D$1&amp;"P"&amp;$A45)*RTD("tos.rtd",,"GAMMA","."&amp;D$2&amp;D$1&amp;"P"&amp;$A45))/1000000,($A$4*$A$4*RTD("tos.rtd",,"OPEN_INT","."&amp;D$2&amp;D$1&amp;"C"&amp;$A45)*RTD("tos.rtd",,"GAMMA","."&amp;D$2&amp;D$1&amp;"C"&amp;$A45)-$A$4*$A$4*RTD("tos.rtd",,"OPEN_INT","."&amp;D$2&amp;D$1&amp;"P"&amp;$A45)*RTD("tos.rtd",,"GAMMA","."&amp;D$2&amp;D$1&amp;"P"&amp;$A45))/1000000),0),IF($A$2="SKEW",IFERROR(VALUE(IF(RTD("tos.rtd",,"IMPL_VOL","."&amp;D$2&amp;D$1&amp;"P"&amp;$A45)="N/A",0,RTD("tos.rtd",,"IMPL_VOL","."&amp;D$2&amp;D$1&amp;"P"&amp;$A45))),0)-IFERROR(VALUE(IF(RTD("tos.rtd",,"IMPL_VOL","."&amp;D$2&amp;D$1&amp;"C"&amp;$A45)="N/A",0,RTD("tos.rtd",,"IMPL_VOL","."&amp;D$2&amp;D$1&amp;"C"&amp;$A45))),0),IF($A$2="MAXPAIN",IF($A$4&gt;$A45,($A$4-$A45)*IF(RTD("tos.rtd",,"OPEN_INT","."&amp;D$2&amp;D$1&amp;"C"&amp;$A45)="N/A",0,RTD("tos.rtd",,"OPEN_INT","."&amp;D$2&amp;D$1&amp;"C"&amp;$A45)),0)+IF($A$4&lt;$A45,($A$5-$A$4)*IF(RTD("tos.rtd",,"OPEN_INT","."&amp;D$2&amp;D$1&amp;"P"&amp;$A45)="N/A",0,RTD("tos.rtd",,"OPEN_INT","."&amp;D$2&amp;D$1&amp;"P"&amp;$A45)),0),IF($X$1="ABS",IF(RTD("tos.rtd",,$A$2,"."&amp;D$2&amp;D$1&amp;"C"&amp;$A45)="N/A",0,RTD("tos.rtd",,$A$2,"."&amp;D$2&amp;D$1&amp;"C"&amp;$A45))+IF(RTD("tos.rtd",,$A$2,"."&amp;D$2&amp;D$1&amp;"P"&amp;$A45)="N/A",0,RTD("tos.rtd",,$A$2,"."&amp;D$2&amp;D$1&amp;"P"&amp;$A45)),IF(RTD("tos.rtd",,$A$2,"."&amp;D$2&amp;D$1&amp;"C"&amp;$A45)="N/A",0,RTD("tos.rtd",,$A$2,"."&amp;D$2&amp;D$1&amp;"C"&amp;$A45))-IF(RTD("tos.rtd",,$A$2,"."&amp;D$2&amp;D$1&amp;"P"&amp;$A45)="N/A",0,RTD("tos.rtd",,$A$2,"."&amp;D$2&amp;D$1&amp;"P"&amp;$A45))))))))))</f>
        <v>-7135</v>
      </c>
      <c r="E45" s="12">
        <f ca="1">IF($A$2="PREMIUM_OI",IFERROR(IF($X$1="ABS",(100*RTD("tos.rtd",,"OPEN_INT","."&amp;E$2&amp;E$1&amp;"C"&amp;$A45)*RTD("tos.rtd",,"LAST","."&amp;E$2&amp;E$1&amp;"C"&amp;$A45)+100*RTD("tos.rtd",,"OPEN_INT","."&amp;E$2&amp;E$1&amp;"P"&amp;$A45)*RTD("tos.rtd",,"LAST","."&amp;E$2&amp;E$1&amp;"P"&amp;$A45))/1000000,(100*RTD("tos.rtd",,"OPEN_INT","."&amp;E$2&amp;E$1&amp;"C"&amp;$A45)*RTD("tos.rtd",,"LAST","."&amp;E$2&amp;E$1&amp;"C"&amp;$A45)-100*RTD("tos.rtd",,"OPEN_INT","."&amp;E$2&amp;E$1&amp;"P"&amp;$A45)*RTD("tos.rtd",,"LAST","."&amp;E$2&amp;E$1&amp;"P"&amp;$A45))/1000000),0),IF($A$2="PREMIUM",IFERROR(IF($X$1="ABS",(100*RTD("tos.rtd",,"VOLUME","."&amp;E$2&amp;E$1&amp;"C"&amp;$A45)*RTD("tos.rtd",,"LAST","."&amp;E$2&amp;E$1&amp;"C"&amp;$A45)+100*RTD("tos.rtd",,"VOLUME","."&amp;E$2&amp;E$1&amp;"P"&amp;$A45)*RTD("tos.rtd",,"LAST","."&amp;E$2&amp;E$1&amp;"P"&amp;$A45))/1000000,(100*RTD("tos.rtd",,"VOLUME","."&amp;E$2&amp;E$1&amp;"C"&amp;$A45)*RTD("tos.rtd",,"LAST","."&amp;E$2&amp;E$1&amp;"C"&amp;$A45)-100*RTD("tos.rtd",,"VOLUME","."&amp;E$2&amp;E$1&amp;"P"&amp;$A45)*RTD("tos.rtd",,"LAST","."&amp;E$2&amp;E$1&amp;"P"&amp;$A45))/1000000),0),IF($A$2="DEX",IFERROR(IF($X$1="ABS",(100*RTD("tos.rtd",,"OPEN_INT","."&amp;E$2&amp;E$1&amp;"C"&amp;$A45)*RTD("tos.rtd",,"DELTA","."&amp;E$2&amp;E$1&amp;"C"&amp;$A45)+100*RTD("tos.rtd",,"OPEN_INT","."&amp;E$2&amp;E$1&amp;"P"&amp;$A45)*RTD("tos.rtd",,"DELTA","."&amp;E$2&amp;E$1&amp;"P"&amp;$A45))/1000,(100*RTD("tos.rtd",,"OPEN_INT","."&amp;E$2&amp;E$1&amp;"C"&amp;$A45)*RTD("tos.rtd",,"DELTA","."&amp;E$2&amp;E$1&amp;"C"&amp;$A45)-100*RTD("tos.rtd",,"OPEN_INT","."&amp;E$2&amp;E$1&amp;"P"&amp;$A45)*RTD("tos.rtd",,"DELTA","."&amp;E$2&amp;E$1&amp;"P"&amp;$A45))/1000),0),IF($A$2="VEX",IFERROR(IF($X$1="ABS",($A$4*$A$4*RTD("tos.rtd",,"VOLUME","."&amp;E$2&amp;E$1&amp;"C"&amp;$A45)*RTD("tos.rtd",,"GAMMA","."&amp;E$2&amp;E$1&amp;"C"&amp;$A45)+$A$4*$A$4*RTD("tos.rtd",,"VOLUME","."&amp;E$2&amp;E$1&amp;"P"&amp;$A45)*RTD("tos.rtd",,"GAMMA","."&amp;E$2&amp;E$1&amp;"P"&amp;$A45))/1000000,($A$4*$A$4*RTD("tos.rtd",,"VOLUME","."&amp;E$2&amp;E$1&amp;"C"&amp;$A45)*RTD("tos.rtd",,"GAMMA","."&amp;E$2&amp;E$1&amp;"C"&amp;$A45)-$A$4*$A$4*RTD("tos.rtd",,"VOLUME","."&amp;E$2&amp;E$1&amp;"P"&amp;$A45)*RTD("tos.rtd",,"GAMMA","."&amp;E$2&amp;E$1&amp;"P"&amp;$A45))/1000000),0),IF($A$2="GEX",IFERROR(IF($X$1="ABS",($A$4*$A$4*RTD("tos.rtd",,"OPEN_INT","."&amp;E$2&amp;E$1&amp;"C"&amp;$A45)*RTD("tos.rtd",,"GAMMA","."&amp;E$2&amp;E$1&amp;"C"&amp;$A45)+$A$4*$A$4*RTD("tos.rtd",,"OPEN_INT","."&amp;E$2&amp;E$1&amp;"P"&amp;$A45)*RTD("tos.rtd",,"GAMMA","."&amp;E$2&amp;E$1&amp;"P"&amp;$A45))/1000000,($A$4*$A$4*RTD("tos.rtd",,"OPEN_INT","."&amp;E$2&amp;E$1&amp;"C"&amp;$A45)*RTD("tos.rtd",,"GAMMA","."&amp;E$2&amp;E$1&amp;"C"&amp;$A45)-$A$4*$A$4*RTD("tos.rtd",,"OPEN_INT","."&amp;E$2&amp;E$1&amp;"P"&amp;$A45)*RTD("tos.rtd",,"GAMMA","."&amp;E$2&amp;E$1&amp;"P"&amp;$A45))/1000000),0),IF($A$2="SKEW",IFERROR(VALUE(IF(RTD("tos.rtd",,"IMPL_VOL","."&amp;E$2&amp;E$1&amp;"P"&amp;$A45)="N/A",0,RTD("tos.rtd",,"IMPL_VOL","."&amp;E$2&amp;E$1&amp;"P"&amp;$A45))),0)-IFERROR(VALUE(IF(RTD("tos.rtd",,"IMPL_VOL","."&amp;E$2&amp;E$1&amp;"C"&amp;$A45)="N/A",0,RTD("tos.rtd",,"IMPL_VOL","."&amp;E$2&amp;E$1&amp;"C"&amp;$A45))),0),IF($A$2="MAXPAIN",IF($A$4&gt;$A45,($A$4-$A45)*IF(RTD("tos.rtd",,"OPEN_INT","."&amp;E$2&amp;E$1&amp;"C"&amp;$A45)="N/A",0,RTD("tos.rtd",,"OPEN_INT","."&amp;E$2&amp;E$1&amp;"C"&amp;$A45)),0)+IF($A$4&lt;$A45,($A$5-$A$4)*IF(RTD("tos.rtd",,"OPEN_INT","."&amp;E$2&amp;E$1&amp;"P"&amp;$A45)="N/A",0,RTD("tos.rtd",,"OPEN_INT","."&amp;E$2&amp;E$1&amp;"P"&amp;$A45)),0),IF($X$1="ABS",IF(RTD("tos.rtd",,$A$2,"."&amp;E$2&amp;E$1&amp;"C"&amp;$A45)="N/A",0,RTD("tos.rtd",,$A$2,"."&amp;E$2&amp;E$1&amp;"C"&amp;$A45))+IF(RTD("tos.rtd",,$A$2,"."&amp;E$2&amp;E$1&amp;"P"&amp;$A45)="N/A",0,RTD("tos.rtd",,$A$2,"."&amp;E$2&amp;E$1&amp;"P"&amp;$A45)),IF(RTD("tos.rtd",,$A$2,"."&amp;E$2&amp;E$1&amp;"C"&amp;$A45)="N/A",0,RTD("tos.rtd",,$A$2,"."&amp;E$2&amp;E$1&amp;"C"&amp;$A45))-IF(RTD("tos.rtd",,$A$2,"."&amp;E$2&amp;E$1&amp;"P"&amp;$A45)="N/A",0,RTD("tos.rtd",,$A$2,"."&amp;E$2&amp;E$1&amp;"P"&amp;$A45))))))))))</f>
        <v>0</v>
      </c>
      <c r="F45" s="12">
        <f ca="1">IF($A$2="PREMIUM_OI",IFERROR(IF($X$1="ABS",(100*RTD("tos.rtd",,"OPEN_INT","."&amp;F$2&amp;F$1&amp;"C"&amp;$A45)*RTD("tos.rtd",,"LAST","."&amp;F$2&amp;F$1&amp;"C"&amp;$A45)+100*RTD("tos.rtd",,"OPEN_INT","."&amp;F$2&amp;F$1&amp;"P"&amp;$A45)*RTD("tos.rtd",,"LAST","."&amp;F$2&amp;F$1&amp;"P"&amp;$A45))/1000000,(100*RTD("tos.rtd",,"OPEN_INT","."&amp;F$2&amp;F$1&amp;"C"&amp;$A45)*RTD("tos.rtd",,"LAST","."&amp;F$2&amp;F$1&amp;"C"&amp;$A45)-100*RTD("tos.rtd",,"OPEN_INT","."&amp;F$2&amp;F$1&amp;"P"&amp;$A45)*RTD("tos.rtd",,"LAST","."&amp;F$2&amp;F$1&amp;"P"&amp;$A45))/1000000),0),IF($A$2="PREMIUM",IFERROR(IF($X$1="ABS",(100*RTD("tos.rtd",,"VOLUME","."&amp;F$2&amp;F$1&amp;"C"&amp;$A45)*RTD("tos.rtd",,"LAST","."&amp;F$2&amp;F$1&amp;"C"&amp;$A45)+100*RTD("tos.rtd",,"VOLUME","."&amp;F$2&amp;F$1&amp;"P"&amp;$A45)*RTD("tos.rtd",,"LAST","."&amp;F$2&amp;F$1&amp;"P"&amp;$A45))/1000000,(100*RTD("tos.rtd",,"VOLUME","."&amp;F$2&amp;F$1&amp;"C"&amp;$A45)*RTD("tos.rtd",,"LAST","."&amp;F$2&amp;F$1&amp;"C"&amp;$A45)-100*RTD("tos.rtd",,"VOLUME","."&amp;F$2&amp;F$1&amp;"P"&amp;$A45)*RTD("tos.rtd",,"LAST","."&amp;F$2&amp;F$1&amp;"P"&amp;$A45))/1000000),0),IF($A$2="DEX",IFERROR(IF($X$1="ABS",(100*RTD("tos.rtd",,"OPEN_INT","."&amp;F$2&amp;F$1&amp;"C"&amp;$A45)*RTD("tos.rtd",,"DELTA","."&amp;F$2&amp;F$1&amp;"C"&amp;$A45)+100*RTD("tos.rtd",,"OPEN_INT","."&amp;F$2&amp;F$1&amp;"P"&amp;$A45)*RTD("tos.rtd",,"DELTA","."&amp;F$2&amp;F$1&amp;"P"&amp;$A45))/1000,(100*RTD("tos.rtd",,"OPEN_INT","."&amp;F$2&amp;F$1&amp;"C"&amp;$A45)*RTD("tos.rtd",,"DELTA","."&amp;F$2&amp;F$1&amp;"C"&amp;$A45)-100*RTD("tos.rtd",,"OPEN_INT","."&amp;F$2&amp;F$1&amp;"P"&amp;$A45)*RTD("tos.rtd",,"DELTA","."&amp;F$2&amp;F$1&amp;"P"&amp;$A45))/1000),0),IF($A$2="VEX",IFERROR(IF($X$1="ABS",($A$4*$A$4*RTD("tos.rtd",,"VOLUME","."&amp;F$2&amp;F$1&amp;"C"&amp;$A45)*RTD("tos.rtd",,"GAMMA","."&amp;F$2&amp;F$1&amp;"C"&amp;$A45)+$A$4*$A$4*RTD("tos.rtd",,"VOLUME","."&amp;F$2&amp;F$1&amp;"P"&amp;$A45)*RTD("tos.rtd",,"GAMMA","."&amp;F$2&amp;F$1&amp;"P"&amp;$A45))/1000000,($A$4*$A$4*RTD("tos.rtd",,"VOLUME","."&amp;F$2&amp;F$1&amp;"C"&amp;$A45)*RTD("tos.rtd",,"GAMMA","."&amp;F$2&amp;F$1&amp;"C"&amp;$A45)-$A$4*$A$4*RTD("tos.rtd",,"VOLUME","."&amp;F$2&amp;F$1&amp;"P"&amp;$A45)*RTD("tos.rtd",,"GAMMA","."&amp;F$2&amp;F$1&amp;"P"&amp;$A45))/1000000),0),IF($A$2="GEX",IFERROR(IF($X$1="ABS",($A$4*$A$4*RTD("tos.rtd",,"OPEN_INT","."&amp;F$2&amp;F$1&amp;"C"&amp;$A45)*RTD("tos.rtd",,"GAMMA","."&amp;F$2&amp;F$1&amp;"C"&amp;$A45)+$A$4*$A$4*RTD("tos.rtd",,"OPEN_INT","."&amp;F$2&amp;F$1&amp;"P"&amp;$A45)*RTD("tos.rtd",,"GAMMA","."&amp;F$2&amp;F$1&amp;"P"&amp;$A45))/1000000,($A$4*$A$4*RTD("tos.rtd",,"OPEN_INT","."&amp;F$2&amp;F$1&amp;"C"&amp;$A45)*RTD("tos.rtd",,"GAMMA","."&amp;F$2&amp;F$1&amp;"C"&amp;$A45)-$A$4*$A$4*RTD("tos.rtd",,"OPEN_INT","."&amp;F$2&amp;F$1&amp;"P"&amp;$A45)*RTD("tos.rtd",,"GAMMA","."&amp;F$2&amp;F$1&amp;"P"&amp;$A45))/1000000),0),IF($A$2="SKEW",IFERROR(VALUE(IF(RTD("tos.rtd",,"IMPL_VOL","."&amp;F$2&amp;F$1&amp;"P"&amp;$A45)="N/A",0,RTD("tos.rtd",,"IMPL_VOL","."&amp;F$2&amp;F$1&amp;"P"&amp;$A45))),0)-IFERROR(VALUE(IF(RTD("tos.rtd",,"IMPL_VOL","."&amp;F$2&amp;F$1&amp;"C"&amp;$A45)="N/A",0,RTD("tos.rtd",,"IMPL_VOL","."&amp;F$2&amp;F$1&amp;"C"&amp;$A45))),0),IF($A$2="MAXPAIN",IF($A$4&gt;$A45,($A$4-$A45)*IF(RTD("tos.rtd",,"OPEN_INT","."&amp;F$2&amp;F$1&amp;"C"&amp;$A45)="N/A",0,RTD("tos.rtd",,"OPEN_INT","."&amp;F$2&amp;F$1&amp;"C"&amp;$A45)),0)+IF($A$4&lt;$A45,($A$5-$A$4)*IF(RTD("tos.rtd",,"OPEN_INT","."&amp;F$2&amp;F$1&amp;"P"&amp;$A45)="N/A",0,RTD("tos.rtd",,"OPEN_INT","."&amp;F$2&amp;F$1&amp;"P"&amp;$A45)),0),IF($X$1="ABS",IF(RTD("tos.rtd",,$A$2,"."&amp;F$2&amp;F$1&amp;"C"&amp;$A45)="N/A",0,RTD("tos.rtd",,$A$2,"."&amp;F$2&amp;F$1&amp;"C"&amp;$A45))+IF(RTD("tos.rtd",,$A$2,"."&amp;F$2&amp;F$1&amp;"P"&amp;$A45)="N/A",0,RTD("tos.rtd",,$A$2,"."&amp;F$2&amp;F$1&amp;"P"&amp;$A45)),IF(RTD("tos.rtd",,$A$2,"."&amp;F$2&amp;F$1&amp;"C"&amp;$A45)="N/A",0,RTD("tos.rtd",,$A$2,"."&amp;F$2&amp;F$1&amp;"C"&amp;$A45))-IF(RTD("tos.rtd",,$A$2,"."&amp;F$2&amp;F$1&amp;"P"&amp;$A45)="N/A",0,RTD("tos.rtd",,$A$2,"."&amp;F$2&amp;F$1&amp;"P"&amp;$A45))))))))))</f>
        <v>0</v>
      </c>
      <c r="G45" s="57">
        <f ca="1">IF($A$2="PREMIUM_OI",IFERROR(IF($X$1="ABS",(100*RTD("tos.rtd",,"OPEN_INT","."&amp;G$2&amp;G$1&amp;"C"&amp;$A45)*RTD("tos.rtd",,"LAST","."&amp;G$2&amp;G$1&amp;"C"&amp;$A45)+100*RTD("tos.rtd",,"OPEN_INT","."&amp;G$2&amp;G$1&amp;"P"&amp;$A45)*RTD("tos.rtd",,"LAST","."&amp;G$2&amp;G$1&amp;"P"&amp;$A45))/1000000,(100*RTD("tos.rtd",,"OPEN_INT","."&amp;G$2&amp;G$1&amp;"C"&amp;$A45)*RTD("tos.rtd",,"LAST","."&amp;G$2&amp;G$1&amp;"C"&amp;$A45)-100*RTD("tos.rtd",,"OPEN_INT","."&amp;G$2&amp;G$1&amp;"P"&amp;$A45)*RTD("tos.rtd",,"LAST","."&amp;G$2&amp;G$1&amp;"P"&amp;$A45))/1000000),0),IF($A$2="PREMIUM",IFERROR(IF($X$1="ABS",(100*RTD("tos.rtd",,"VOLUME","."&amp;G$2&amp;G$1&amp;"C"&amp;$A45)*RTD("tos.rtd",,"LAST","."&amp;G$2&amp;G$1&amp;"C"&amp;$A45)+100*RTD("tos.rtd",,"VOLUME","."&amp;G$2&amp;G$1&amp;"P"&amp;$A45)*RTD("tos.rtd",,"LAST","."&amp;G$2&amp;G$1&amp;"P"&amp;$A45))/1000000,(100*RTD("tos.rtd",,"VOLUME","."&amp;G$2&amp;G$1&amp;"C"&amp;$A45)*RTD("tos.rtd",,"LAST","."&amp;G$2&amp;G$1&amp;"C"&amp;$A45)-100*RTD("tos.rtd",,"VOLUME","."&amp;G$2&amp;G$1&amp;"P"&amp;$A45)*RTD("tos.rtd",,"LAST","."&amp;G$2&amp;G$1&amp;"P"&amp;$A45))/1000000),0),IF($A$2="DEX",IFERROR(IF($X$1="ABS",(100*RTD("tos.rtd",,"OPEN_INT","."&amp;G$2&amp;G$1&amp;"C"&amp;$A45)*RTD("tos.rtd",,"DELTA","."&amp;G$2&amp;G$1&amp;"C"&amp;$A45)+100*RTD("tos.rtd",,"OPEN_INT","."&amp;G$2&amp;G$1&amp;"P"&amp;$A45)*RTD("tos.rtd",,"DELTA","."&amp;G$2&amp;G$1&amp;"P"&amp;$A45))/1000,(100*RTD("tos.rtd",,"OPEN_INT","."&amp;G$2&amp;G$1&amp;"C"&amp;$A45)*RTD("tos.rtd",,"DELTA","."&amp;G$2&amp;G$1&amp;"C"&amp;$A45)-100*RTD("tos.rtd",,"OPEN_INT","."&amp;G$2&amp;G$1&amp;"P"&amp;$A45)*RTD("tos.rtd",,"DELTA","."&amp;G$2&amp;G$1&amp;"P"&amp;$A45))/1000),0),IF($A$2="VEX",IFERROR(IF($X$1="ABS",($A$4*$A$4*RTD("tos.rtd",,"VOLUME","."&amp;G$2&amp;G$1&amp;"C"&amp;$A45)*RTD("tos.rtd",,"GAMMA","."&amp;G$2&amp;G$1&amp;"C"&amp;$A45)+$A$4*$A$4*RTD("tos.rtd",,"VOLUME","."&amp;G$2&amp;G$1&amp;"P"&amp;$A45)*RTD("tos.rtd",,"GAMMA","."&amp;G$2&amp;G$1&amp;"P"&amp;$A45))/1000000,($A$4*$A$4*RTD("tos.rtd",,"VOLUME","."&amp;G$2&amp;G$1&amp;"C"&amp;$A45)*RTD("tos.rtd",,"GAMMA","."&amp;G$2&amp;G$1&amp;"C"&amp;$A45)-$A$4*$A$4*RTD("tos.rtd",,"VOLUME","."&amp;G$2&amp;G$1&amp;"P"&amp;$A45)*RTD("tos.rtd",,"GAMMA","."&amp;G$2&amp;G$1&amp;"P"&amp;$A45))/1000000),0),IF($A$2="GEX",IFERROR(IF($X$1="ABS",($A$4*$A$4*RTD("tos.rtd",,"OPEN_INT","."&amp;G$2&amp;G$1&amp;"C"&amp;$A45)*RTD("tos.rtd",,"GAMMA","."&amp;G$2&amp;G$1&amp;"C"&amp;$A45)+$A$4*$A$4*RTD("tos.rtd",,"OPEN_INT","."&amp;G$2&amp;G$1&amp;"P"&amp;$A45)*RTD("tos.rtd",,"GAMMA","."&amp;G$2&amp;G$1&amp;"P"&amp;$A45))/1000000,($A$4*$A$4*RTD("tos.rtd",,"OPEN_INT","."&amp;G$2&amp;G$1&amp;"C"&amp;$A45)*RTD("tos.rtd",,"GAMMA","."&amp;G$2&amp;G$1&amp;"C"&amp;$A45)-$A$4*$A$4*RTD("tos.rtd",,"OPEN_INT","."&amp;G$2&amp;G$1&amp;"P"&amp;$A45)*RTD("tos.rtd",,"GAMMA","."&amp;G$2&amp;G$1&amp;"P"&amp;$A45))/1000000),0),IF($A$2="SKEW",IFERROR(VALUE(IF(RTD("tos.rtd",,"IMPL_VOL","."&amp;G$2&amp;G$1&amp;"P"&amp;$A45)="N/A",0,RTD("tos.rtd",,"IMPL_VOL","."&amp;G$2&amp;G$1&amp;"P"&amp;$A45))),0)-IFERROR(VALUE(IF(RTD("tos.rtd",,"IMPL_VOL","."&amp;G$2&amp;G$1&amp;"C"&amp;$A45)="N/A",0,RTD("tos.rtd",,"IMPL_VOL","."&amp;G$2&amp;G$1&amp;"C"&amp;$A45))),0),IF($A$2="MAXPAIN",IF($A$4&gt;$A45,($A$4-$A45)*IF(RTD("tos.rtd",,"OPEN_INT","."&amp;G$2&amp;G$1&amp;"C"&amp;$A45)="N/A",0,RTD("tos.rtd",,"OPEN_INT","."&amp;G$2&amp;G$1&amp;"C"&amp;$A45)),0)+IF($A$4&lt;$A45,($A$5-$A$4)*IF(RTD("tos.rtd",,"OPEN_INT","."&amp;G$2&amp;G$1&amp;"P"&amp;$A45)="N/A",0,RTD("tos.rtd",,"OPEN_INT","."&amp;G$2&amp;G$1&amp;"P"&amp;$A45)),0),IF($X$1="ABS",IF(RTD("tos.rtd",,$A$2,"."&amp;G$2&amp;G$1&amp;"C"&amp;$A45)="N/A",0,RTD("tos.rtd",,$A$2,"."&amp;G$2&amp;G$1&amp;"C"&amp;$A45))+IF(RTD("tos.rtd",,$A$2,"."&amp;G$2&amp;G$1&amp;"P"&amp;$A45)="N/A",0,RTD("tos.rtd",,$A$2,"."&amp;G$2&amp;G$1&amp;"P"&amp;$A45)),IF(RTD("tos.rtd",,$A$2,"."&amp;G$2&amp;G$1&amp;"C"&amp;$A45)="N/A",0,RTD("tos.rtd",,$A$2,"."&amp;G$2&amp;G$1&amp;"C"&amp;$A45))-IF(RTD("tos.rtd",,$A$2,"."&amp;G$2&amp;G$1&amp;"P"&amp;$A45)="N/A",0,RTD("tos.rtd",,$A$2,"."&amp;G$2&amp;G$1&amp;"P"&amp;$A45))))))))))</f>
        <v>0</v>
      </c>
      <c r="H45" s="14">
        <f ca="1">IF($A$2="PREMIUM_OI",IFERROR(IF($X$1="ABS",(100*RTD("tos.rtd",,"OPEN_INT","."&amp;H$2&amp;H$1&amp;"C"&amp;$A45)*RTD("tos.rtd",,"LAST","."&amp;H$2&amp;H$1&amp;"C"&amp;$A45)+100*RTD("tos.rtd",,"OPEN_INT","."&amp;H$2&amp;H$1&amp;"P"&amp;$A45)*RTD("tos.rtd",,"LAST","."&amp;H$2&amp;H$1&amp;"P"&amp;$A45))/1000000,(100*RTD("tos.rtd",,"OPEN_INT","."&amp;H$2&amp;H$1&amp;"C"&amp;$A45)*RTD("tos.rtd",,"LAST","."&amp;H$2&amp;H$1&amp;"C"&amp;$A45)-100*RTD("tos.rtd",,"OPEN_INT","."&amp;H$2&amp;H$1&amp;"P"&amp;$A45)*RTD("tos.rtd",,"LAST","."&amp;H$2&amp;H$1&amp;"P"&amp;$A45))/1000000),0),IF($A$2="PREMIUM",IFERROR(IF($X$1="ABS",(100*RTD("tos.rtd",,"VOLUME","."&amp;H$2&amp;H$1&amp;"C"&amp;$A45)*RTD("tos.rtd",,"LAST","."&amp;H$2&amp;H$1&amp;"C"&amp;$A45)+100*RTD("tos.rtd",,"VOLUME","."&amp;H$2&amp;H$1&amp;"P"&amp;$A45)*RTD("tos.rtd",,"LAST","."&amp;H$2&amp;H$1&amp;"P"&amp;$A45))/1000000,(100*RTD("tos.rtd",,"VOLUME","."&amp;H$2&amp;H$1&amp;"C"&amp;$A45)*RTD("tos.rtd",,"LAST","."&amp;H$2&amp;H$1&amp;"C"&amp;$A45)-100*RTD("tos.rtd",,"VOLUME","."&amp;H$2&amp;H$1&amp;"P"&amp;$A45)*RTD("tos.rtd",,"LAST","."&amp;H$2&amp;H$1&amp;"P"&amp;$A45))/1000000),0),IF($A$2="DEX",IFERROR(IF($X$1="ABS",(100*RTD("tos.rtd",,"OPEN_INT","."&amp;H$2&amp;H$1&amp;"C"&amp;$A45)*RTD("tos.rtd",,"DELTA","."&amp;H$2&amp;H$1&amp;"C"&amp;$A45)+100*RTD("tos.rtd",,"OPEN_INT","."&amp;H$2&amp;H$1&amp;"P"&amp;$A45)*RTD("tos.rtd",,"DELTA","."&amp;H$2&amp;H$1&amp;"P"&amp;$A45))/1000,(100*RTD("tos.rtd",,"OPEN_INT","."&amp;H$2&amp;H$1&amp;"C"&amp;$A45)*RTD("tos.rtd",,"DELTA","."&amp;H$2&amp;H$1&amp;"C"&amp;$A45)-100*RTD("tos.rtd",,"OPEN_INT","."&amp;H$2&amp;H$1&amp;"P"&amp;$A45)*RTD("tos.rtd",,"DELTA","."&amp;H$2&amp;H$1&amp;"P"&amp;$A45))/1000),0),IF($A$2="VEX",IFERROR(IF($X$1="ABS",($A$4*$A$4*RTD("tos.rtd",,"VOLUME","."&amp;H$2&amp;H$1&amp;"C"&amp;$A45)*RTD("tos.rtd",,"GAMMA","."&amp;H$2&amp;H$1&amp;"C"&amp;$A45)+$A$4*$A$4*RTD("tos.rtd",,"VOLUME","."&amp;H$2&amp;H$1&amp;"P"&amp;$A45)*RTD("tos.rtd",,"GAMMA","."&amp;H$2&amp;H$1&amp;"P"&amp;$A45))/1000000,($A$4*$A$4*RTD("tos.rtd",,"VOLUME","."&amp;H$2&amp;H$1&amp;"C"&amp;$A45)*RTD("tos.rtd",,"GAMMA","."&amp;H$2&amp;H$1&amp;"C"&amp;$A45)-$A$4*$A$4*RTD("tos.rtd",,"VOLUME","."&amp;H$2&amp;H$1&amp;"P"&amp;$A45)*RTD("tos.rtd",,"GAMMA","."&amp;H$2&amp;H$1&amp;"P"&amp;$A45))/1000000),0),IF($A$2="GEX",IFERROR(IF($X$1="ABS",($A$4*$A$4*RTD("tos.rtd",,"OPEN_INT","."&amp;H$2&amp;H$1&amp;"C"&amp;$A45)*RTD("tos.rtd",,"GAMMA","."&amp;H$2&amp;H$1&amp;"C"&amp;$A45)+$A$4*$A$4*RTD("tos.rtd",,"OPEN_INT","."&amp;H$2&amp;H$1&amp;"P"&amp;$A45)*RTD("tos.rtd",,"GAMMA","."&amp;H$2&amp;H$1&amp;"P"&amp;$A45))/1000000,($A$4*$A$4*RTD("tos.rtd",,"OPEN_INT","."&amp;H$2&amp;H$1&amp;"C"&amp;$A45)*RTD("tos.rtd",,"GAMMA","."&amp;H$2&amp;H$1&amp;"C"&amp;$A45)-$A$4*$A$4*RTD("tos.rtd",,"OPEN_INT","."&amp;H$2&amp;H$1&amp;"P"&amp;$A45)*RTD("tos.rtd",,"GAMMA","."&amp;H$2&amp;H$1&amp;"P"&amp;$A45))/1000000),0),IF($A$2="SKEW",IFERROR(VALUE(IF(RTD("tos.rtd",,"IMPL_VOL","."&amp;H$2&amp;H$1&amp;"P"&amp;$A45)="N/A",0,RTD("tos.rtd",,"IMPL_VOL","."&amp;H$2&amp;H$1&amp;"P"&amp;$A45))),0)-IFERROR(VALUE(IF(RTD("tos.rtd",,"IMPL_VOL","."&amp;H$2&amp;H$1&amp;"C"&amp;$A45)="N/A",0,RTD("tos.rtd",,"IMPL_VOL","."&amp;H$2&amp;H$1&amp;"C"&amp;$A45))),0),IF($A$2="MAXPAIN",IF($A$4&gt;$A45,($A$4-$A45)*IF(RTD("tos.rtd",,"OPEN_INT","."&amp;H$2&amp;H$1&amp;"C"&amp;$A45)="N/A",0,RTD("tos.rtd",,"OPEN_INT","."&amp;H$2&amp;H$1&amp;"C"&amp;$A45)),0)+IF($A$4&lt;$A45,($A$5-$A$4)*IF(RTD("tos.rtd",,"OPEN_INT","."&amp;H$2&amp;H$1&amp;"P"&amp;$A45)="N/A",0,RTD("tos.rtd",,"OPEN_INT","."&amp;H$2&amp;H$1&amp;"P"&amp;$A45)),0),IF($X$1="ABS",IF(RTD("tos.rtd",,$A$2,"."&amp;H$2&amp;H$1&amp;"C"&amp;$A45)="N/A",0,RTD("tos.rtd",,$A$2,"."&amp;H$2&amp;H$1&amp;"C"&amp;$A45))+IF(RTD("tos.rtd",,$A$2,"."&amp;H$2&amp;H$1&amp;"P"&amp;$A45)="N/A",0,RTD("tos.rtd",,$A$2,"."&amp;H$2&amp;H$1&amp;"P"&amp;$A45)),IF(RTD("tos.rtd",,$A$2,"."&amp;H$2&amp;H$1&amp;"C"&amp;$A45)="N/A",0,RTD("tos.rtd",,$A$2,"."&amp;H$2&amp;H$1&amp;"C"&amp;$A45))-IF(RTD("tos.rtd",,$A$2,"."&amp;H$2&amp;H$1&amp;"P"&amp;$A45)="N/A",0,RTD("tos.rtd",,$A$2,"."&amp;H$2&amp;H$1&amp;"P"&amp;$A45))))))))))</f>
        <v>0</v>
      </c>
      <c r="I45" s="12">
        <f ca="1">IF($A$2="PREMIUM_OI",IFERROR(IF($X$1="ABS",(100*RTD("tos.rtd",,"OPEN_INT","."&amp;I$2&amp;I$1&amp;"C"&amp;$A45)*RTD("tos.rtd",,"LAST","."&amp;I$2&amp;I$1&amp;"C"&amp;$A45)+100*RTD("tos.rtd",,"OPEN_INT","."&amp;I$2&amp;I$1&amp;"P"&amp;$A45)*RTD("tos.rtd",,"LAST","."&amp;I$2&amp;I$1&amp;"P"&amp;$A45))/1000000,(100*RTD("tos.rtd",,"OPEN_INT","."&amp;I$2&amp;I$1&amp;"C"&amp;$A45)*RTD("tos.rtd",,"LAST","."&amp;I$2&amp;I$1&amp;"C"&amp;$A45)-100*RTD("tos.rtd",,"OPEN_INT","."&amp;I$2&amp;I$1&amp;"P"&amp;$A45)*RTD("tos.rtd",,"LAST","."&amp;I$2&amp;I$1&amp;"P"&amp;$A45))/1000000),0),IF($A$2="PREMIUM",IFERROR(IF($X$1="ABS",(100*RTD("tos.rtd",,"VOLUME","."&amp;I$2&amp;I$1&amp;"C"&amp;$A45)*RTD("tos.rtd",,"LAST","."&amp;I$2&amp;I$1&amp;"C"&amp;$A45)+100*RTD("tos.rtd",,"VOLUME","."&amp;I$2&amp;I$1&amp;"P"&amp;$A45)*RTD("tos.rtd",,"LAST","."&amp;I$2&amp;I$1&amp;"P"&amp;$A45))/1000000,(100*RTD("tos.rtd",,"VOLUME","."&amp;I$2&amp;I$1&amp;"C"&amp;$A45)*RTD("tos.rtd",,"LAST","."&amp;I$2&amp;I$1&amp;"C"&amp;$A45)-100*RTD("tos.rtd",,"VOLUME","."&amp;I$2&amp;I$1&amp;"P"&amp;$A45)*RTD("tos.rtd",,"LAST","."&amp;I$2&amp;I$1&amp;"P"&amp;$A45))/1000000),0),IF($A$2="DEX",IFERROR(IF($X$1="ABS",(100*RTD("tos.rtd",,"OPEN_INT","."&amp;I$2&amp;I$1&amp;"C"&amp;$A45)*RTD("tos.rtd",,"DELTA","."&amp;I$2&amp;I$1&amp;"C"&amp;$A45)+100*RTD("tos.rtd",,"OPEN_INT","."&amp;I$2&amp;I$1&amp;"P"&amp;$A45)*RTD("tos.rtd",,"DELTA","."&amp;I$2&amp;I$1&amp;"P"&amp;$A45))/1000,(100*RTD("tos.rtd",,"OPEN_INT","."&amp;I$2&amp;I$1&amp;"C"&amp;$A45)*RTD("tos.rtd",,"DELTA","."&amp;I$2&amp;I$1&amp;"C"&amp;$A45)-100*RTD("tos.rtd",,"OPEN_INT","."&amp;I$2&amp;I$1&amp;"P"&amp;$A45)*RTD("tos.rtd",,"DELTA","."&amp;I$2&amp;I$1&amp;"P"&amp;$A45))/1000),0),IF($A$2="VEX",IFERROR(IF($X$1="ABS",($A$4*$A$4*RTD("tos.rtd",,"VOLUME","."&amp;I$2&amp;I$1&amp;"C"&amp;$A45)*RTD("tos.rtd",,"GAMMA","."&amp;I$2&amp;I$1&amp;"C"&amp;$A45)+$A$4*$A$4*RTD("tos.rtd",,"VOLUME","."&amp;I$2&amp;I$1&amp;"P"&amp;$A45)*RTD("tos.rtd",,"GAMMA","."&amp;I$2&amp;I$1&amp;"P"&amp;$A45))/1000000,($A$4*$A$4*RTD("tos.rtd",,"VOLUME","."&amp;I$2&amp;I$1&amp;"C"&amp;$A45)*RTD("tos.rtd",,"GAMMA","."&amp;I$2&amp;I$1&amp;"C"&amp;$A45)-$A$4*$A$4*RTD("tos.rtd",,"VOLUME","."&amp;I$2&amp;I$1&amp;"P"&amp;$A45)*RTD("tos.rtd",,"GAMMA","."&amp;I$2&amp;I$1&amp;"P"&amp;$A45))/1000000),0),IF($A$2="GEX",IFERROR(IF($X$1="ABS",($A$4*$A$4*RTD("tos.rtd",,"OPEN_INT","."&amp;I$2&amp;I$1&amp;"C"&amp;$A45)*RTD("tos.rtd",,"GAMMA","."&amp;I$2&amp;I$1&amp;"C"&amp;$A45)+$A$4*$A$4*RTD("tos.rtd",,"OPEN_INT","."&amp;I$2&amp;I$1&amp;"P"&amp;$A45)*RTD("tos.rtd",,"GAMMA","."&amp;I$2&amp;I$1&amp;"P"&amp;$A45))/1000000,($A$4*$A$4*RTD("tos.rtd",,"OPEN_INT","."&amp;I$2&amp;I$1&amp;"C"&amp;$A45)*RTD("tos.rtd",,"GAMMA","."&amp;I$2&amp;I$1&amp;"C"&amp;$A45)-$A$4*$A$4*RTD("tos.rtd",,"OPEN_INT","."&amp;I$2&amp;I$1&amp;"P"&amp;$A45)*RTD("tos.rtd",,"GAMMA","."&amp;I$2&amp;I$1&amp;"P"&amp;$A45))/1000000),0),IF($A$2="SKEW",IFERROR(VALUE(IF(RTD("tos.rtd",,"IMPL_VOL","."&amp;I$2&amp;I$1&amp;"P"&amp;$A45)="N/A",0,RTD("tos.rtd",,"IMPL_VOL","."&amp;I$2&amp;I$1&amp;"P"&amp;$A45))),0)-IFERROR(VALUE(IF(RTD("tos.rtd",,"IMPL_VOL","."&amp;I$2&amp;I$1&amp;"C"&amp;$A45)="N/A",0,RTD("tos.rtd",,"IMPL_VOL","."&amp;I$2&amp;I$1&amp;"C"&amp;$A45))),0),IF($A$2="MAXPAIN",IF($A$4&gt;$A45,($A$4-$A45)*IF(RTD("tos.rtd",,"OPEN_INT","."&amp;I$2&amp;I$1&amp;"C"&amp;$A45)="N/A",0,RTD("tos.rtd",,"OPEN_INT","."&amp;I$2&amp;I$1&amp;"C"&amp;$A45)),0)+IF($A$4&lt;$A45,($A$5-$A$4)*IF(RTD("tos.rtd",,"OPEN_INT","."&amp;I$2&amp;I$1&amp;"P"&amp;$A45)="N/A",0,RTD("tos.rtd",,"OPEN_INT","."&amp;I$2&amp;I$1&amp;"P"&amp;$A45)),0),IF($X$1="ABS",IF(RTD("tos.rtd",,$A$2,"."&amp;I$2&amp;I$1&amp;"C"&amp;$A45)="N/A",0,RTD("tos.rtd",,$A$2,"."&amp;I$2&amp;I$1&amp;"C"&amp;$A45))+IF(RTD("tos.rtd",,$A$2,"."&amp;I$2&amp;I$1&amp;"P"&amp;$A45)="N/A",0,RTD("tos.rtd",,$A$2,"."&amp;I$2&amp;I$1&amp;"P"&amp;$A45)),IF(RTD("tos.rtd",,$A$2,"."&amp;I$2&amp;I$1&amp;"C"&amp;$A45)="N/A",0,RTD("tos.rtd",,$A$2,"."&amp;I$2&amp;I$1&amp;"C"&amp;$A45))-IF(RTD("tos.rtd",,$A$2,"."&amp;I$2&amp;I$1&amp;"P"&amp;$A45)="N/A",0,RTD("tos.rtd",,$A$2,"."&amp;I$2&amp;I$1&amp;"P"&amp;$A45))))))))))</f>
        <v>0</v>
      </c>
      <c r="J45" s="12">
        <f ca="1">IF($A$2="PREMIUM_OI",IFERROR(IF($X$1="ABS",(100*RTD("tos.rtd",,"OPEN_INT","."&amp;J$2&amp;J$1&amp;"C"&amp;$A45)*RTD("tos.rtd",,"LAST","."&amp;J$2&amp;J$1&amp;"C"&amp;$A45)+100*RTD("tos.rtd",,"OPEN_INT","."&amp;J$2&amp;J$1&amp;"P"&amp;$A45)*RTD("tos.rtd",,"LAST","."&amp;J$2&amp;J$1&amp;"P"&amp;$A45))/1000000,(100*RTD("tos.rtd",,"OPEN_INT","."&amp;J$2&amp;J$1&amp;"C"&amp;$A45)*RTD("tos.rtd",,"LAST","."&amp;J$2&amp;J$1&amp;"C"&amp;$A45)-100*RTD("tos.rtd",,"OPEN_INT","."&amp;J$2&amp;J$1&amp;"P"&amp;$A45)*RTD("tos.rtd",,"LAST","."&amp;J$2&amp;J$1&amp;"P"&amp;$A45))/1000000),0),IF($A$2="PREMIUM",IFERROR(IF($X$1="ABS",(100*RTD("tos.rtd",,"VOLUME","."&amp;J$2&amp;J$1&amp;"C"&amp;$A45)*RTD("tos.rtd",,"LAST","."&amp;J$2&amp;J$1&amp;"C"&amp;$A45)+100*RTD("tos.rtd",,"VOLUME","."&amp;J$2&amp;J$1&amp;"P"&amp;$A45)*RTD("tos.rtd",,"LAST","."&amp;J$2&amp;J$1&amp;"P"&amp;$A45))/1000000,(100*RTD("tos.rtd",,"VOLUME","."&amp;J$2&amp;J$1&amp;"C"&amp;$A45)*RTD("tos.rtd",,"LAST","."&amp;J$2&amp;J$1&amp;"C"&amp;$A45)-100*RTD("tos.rtd",,"VOLUME","."&amp;J$2&amp;J$1&amp;"P"&amp;$A45)*RTD("tos.rtd",,"LAST","."&amp;J$2&amp;J$1&amp;"P"&amp;$A45))/1000000),0),IF($A$2="DEX",IFERROR(IF($X$1="ABS",(100*RTD("tos.rtd",,"OPEN_INT","."&amp;J$2&amp;J$1&amp;"C"&amp;$A45)*RTD("tos.rtd",,"DELTA","."&amp;J$2&amp;J$1&amp;"C"&amp;$A45)+100*RTD("tos.rtd",,"OPEN_INT","."&amp;J$2&amp;J$1&amp;"P"&amp;$A45)*RTD("tos.rtd",,"DELTA","."&amp;J$2&amp;J$1&amp;"P"&amp;$A45))/1000,(100*RTD("tos.rtd",,"OPEN_INT","."&amp;J$2&amp;J$1&amp;"C"&amp;$A45)*RTD("tos.rtd",,"DELTA","."&amp;J$2&amp;J$1&amp;"C"&amp;$A45)-100*RTD("tos.rtd",,"OPEN_INT","."&amp;J$2&amp;J$1&amp;"P"&amp;$A45)*RTD("tos.rtd",,"DELTA","."&amp;J$2&amp;J$1&amp;"P"&amp;$A45))/1000),0),IF($A$2="VEX",IFERROR(IF($X$1="ABS",($A$4*$A$4*RTD("tos.rtd",,"VOLUME","."&amp;J$2&amp;J$1&amp;"C"&amp;$A45)*RTD("tos.rtd",,"GAMMA","."&amp;J$2&amp;J$1&amp;"C"&amp;$A45)+$A$4*$A$4*RTD("tos.rtd",,"VOLUME","."&amp;J$2&amp;J$1&amp;"P"&amp;$A45)*RTD("tos.rtd",,"GAMMA","."&amp;J$2&amp;J$1&amp;"P"&amp;$A45))/1000000,($A$4*$A$4*RTD("tos.rtd",,"VOLUME","."&amp;J$2&amp;J$1&amp;"C"&amp;$A45)*RTD("tos.rtd",,"GAMMA","."&amp;J$2&amp;J$1&amp;"C"&amp;$A45)-$A$4*$A$4*RTD("tos.rtd",,"VOLUME","."&amp;J$2&amp;J$1&amp;"P"&amp;$A45)*RTD("tos.rtd",,"GAMMA","."&amp;J$2&amp;J$1&amp;"P"&amp;$A45))/1000000),0),IF($A$2="GEX",IFERROR(IF($X$1="ABS",($A$4*$A$4*RTD("tos.rtd",,"OPEN_INT","."&amp;J$2&amp;J$1&amp;"C"&amp;$A45)*RTD("tos.rtd",,"GAMMA","."&amp;J$2&amp;J$1&amp;"C"&amp;$A45)+$A$4*$A$4*RTD("tos.rtd",,"OPEN_INT","."&amp;J$2&amp;J$1&amp;"P"&amp;$A45)*RTD("tos.rtd",,"GAMMA","."&amp;J$2&amp;J$1&amp;"P"&amp;$A45))/1000000,($A$4*$A$4*RTD("tos.rtd",,"OPEN_INT","."&amp;J$2&amp;J$1&amp;"C"&amp;$A45)*RTD("tos.rtd",,"GAMMA","."&amp;J$2&amp;J$1&amp;"C"&amp;$A45)-$A$4*$A$4*RTD("tos.rtd",,"OPEN_INT","."&amp;J$2&amp;J$1&amp;"P"&amp;$A45)*RTD("tos.rtd",,"GAMMA","."&amp;J$2&amp;J$1&amp;"P"&amp;$A45))/1000000),0),IF($A$2="SKEW",IFERROR(VALUE(IF(RTD("tos.rtd",,"IMPL_VOL","."&amp;J$2&amp;J$1&amp;"P"&amp;$A45)="N/A",0,RTD("tos.rtd",,"IMPL_VOL","."&amp;J$2&amp;J$1&amp;"P"&amp;$A45))),0)-IFERROR(VALUE(IF(RTD("tos.rtd",,"IMPL_VOL","."&amp;J$2&amp;J$1&amp;"C"&amp;$A45)="N/A",0,RTD("tos.rtd",,"IMPL_VOL","."&amp;J$2&amp;J$1&amp;"C"&amp;$A45))),0),IF($A$2="MAXPAIN",IF($A$4&gt;$A45,($A$4-$A45)*IF(RTD("tos.rtd",,"OPEN_INT","."&amp;J$2&amp;J$1&amp;"C"&amp;$A45)="N/A",0,RTD("tos.rtd",,"OPEN_INT","."&amp;J$2&amp;J$1&amp;"C"&amp;$A45)),0)+IF($A$4&lt;$A45,($A$5-$A$4)*IF(RTD("tos.rtd",,"OPEN_INT","."&amp;J$2&amp;J$1&amp;"P"&amp;$A45)="N/A",0,RTD("tos.rtd",,"OPEN_INT","."&amp;J$2&amp;J$1&amp;"P"&amp;$A45)),0),IF($X$1="ABS",IF(RTD("tos.rtd",,$A$2,"."&amp;J$2&amp;J$1&amp;"C"&amp;$A45)="N/A",0,RTD("tos.rtd",,$A$2,"."&amp;J$2&amp;J$1&amp;"C"&amp;$A45))+IF(RTD("tos.rtd",,$A$2,"."&amp;J$2&amp;J$1&amp;"P"&amp;$A45)="N/A",0,RTD("tos.rtd",,$A$2,"."&amp;J$2&amp;J$1&amp;"P"&amp;$A45)),IF(RTD("tos.rtd",,$A$2,"."&amp;J$2&amp;J$1&amp;"C"&amp;$A45)="N/A",0,RTD("tos.rtd",,$A$2,"."&amp;J$2&amp;J$1&amp;"C"&amp;$A45))-IF(RTD("tos.rtd",,$A$2,"."&amp;J$2&amp;J$1&amp;"P"&amp;$A45)="N/A",0,RTD("tos.rtd",,$A$2,"."&amp;J$2&amp;J$1&amp;"P"&amp;$A45))))))))))</f>
        <v>0</v>
      </c>
      <c r="K45" s="12">
        <f ca="1">IF($A$2="PREMIUM_OI",IFERROR(IF($X$1="ABS",(100*RTD("tos.rtd",,"OPEN_INT","."&amp;K$2&amp;K$1&amp;"C"&amp;$A45)*RTD("tos.rtd",,"LAST","."&amp;K$2&amp;K$1&amp;"C"&amp;$A45)+100*RTD("tos.rtd",,"OPEN_INT","."&amp;K$2&amp;K$1&amp;"P"&amp;$A45)*RTD("tos.rtd",,"LAST","."&amp;K$2&amp;K$1&amp;"P"&amp;$A45))/1000000,(100*RTD("tos.rtd",,"OPEN_INT","."&amp;K$2&amp;K$1&amp;"C"&amp;$A45)*RTD("tos.rtd",,"LAST","."&amp;K$2&amp;K$1&amp;"C"&amp;$A45)-100*RTD("tos.rtd",,"OPEN_INT","."&amp;K$2&amp;K$1&amp;"P"&amp;$A45)*RTD("tos.rtd",,"LAST","."&amp;K$2&amp;K$1&amp;"P"&amp;$A45))/1000000),0),IF($A$2="PREMIUM",IFERROR(IF($X$1="ABS",(100*RTD("tos.rtd",,"VOLUME","."&amp;K$2&amp;K$1&amp;"C"&amp;$A45)*RTD("tos.rtd",,"LAST","."&amp;K$2&amp;K$1&amp;"C"&amp;$A45)+100*RTD("tos.rtd",,"VOLUME","."&amp;K$2&amp;K$1&amp;"P"&amp;$A45)*RTD("tos.rtd",,"LAST","."&amp;K$2&amp;K$1&amp;"P"&amp;$A45))/1000000,(100*RTD("tos.rtd",,"VOLUME","."&amp;K$2&amp;K$1&amp;"C"&amp;$A45)*RTD("tos.rtd",,"LAST","."&amp;K$2&amp;K$1&amp;"C"&amp;$A45)-100*RTD("tos.rtd",,"VOLUME","."&amp;K$2&amp;K$1&amp;"P"&amp;$A45)*RTD("tos.rtd",,"LAST","."&amp;K$2&amp;K$1&amp;"P"&amp;$A45))/1000000),0),IF($A$2="DEX",IFERROR(IF($X$1="ABS",(100*RTD("tos.rtd",,"OPEN_INT","."&amp;K$2&amp;K$1&amp;"C"&amp;$A45)*RTD("tos.rtd",,"DELTA","."&amp;K$2&amp;K$1&amp;"C"&amp;$A45)+100*RTD("tos.rtd",,"OPEN_INT","."&amp;K$2&amp;K$1&amp;"P"&amp;$A45)*RTD("tos.rtd",,"DELTA","."&amp;K$2&amp;K$1&amp;"P"&amp;$A45))/1000,(100*RTD("tos.rtd",,"OPEN_INT","."&amp;K$2&amp;K$1&amp;"C"&amp;$A45)*RTD("tos.rtd",,"DELTA","."&amp;K$2&amp;K$1&amp;"C"&amp;$A45)-100*RTD("tos.rtd",,"OPEN_INT","."&amp;K$2&amp;K$1&amp;"P"&amp;$A45)*RTD("tos.rtd",,"DELTA","."&amp;K$2&amp;K$1&amp;"P"&amp;$A45))/1000),0),IF($A$2="VEX",IFERROR(IF($X$1="ABS",($A$4*$A$4*RTD("tos.rtd",,"VOLUME","."&amp;K$2&amp;K$1&amp;"C"&amp;$A45)*RTD("tos.rtd",,"GAMMA","."&amp;K$2&amp;K$1&amp;"C"&amp;$A45)+$A$4*$A$4*RTD("tos.rtd",,"VOLUME","."&amp;K$2&amp;K$1&amp;"P"&amp;$A45)*RTD("tos.rtd",,"GAMMA","."&amp;K$2&amp;K$1&amp;"P"&amp;$A45))/1000000,($A$4*$A$4*RTD("tos.rtd",,"VOLUME","."&amp;K$2&amp;K$1&amp;"C"&amp;$A45)*RTD("tos.rtd",,"GAMMA","."&amp;K$2&amp;K$1&amp;"C"&amp;$A45)-$A$4*$A$4*RTD("tos.rtd",,"VOLUME","."&amp;K$2&amp;K$1&amp;"P"&amp;$A45)*RTD("tos.rtd",,"GAMMA","."&amp;K$2&amp;K$1&amp;"P"&amp;$A45))/1000000),0),IF($A$2="GEX",IFERROR(IF($X$1="ABS",($A$4*$A$4*RTD("tos.rtd",,"OPEN_INT","."&amp;K$2&amp;K$1&amp;"C"&amp;$A45)*RTD("tos.rtd",,"GAMMA","."&amp;K$2&amp;K$1&amp;"C"&amp;$A45)+$A$4*$A$4*RTD("tos.rtd",,"OPEN_INT","."&amp;K$2&amp;K$1&amp;"P"&amp;$A45)*RTD("tos.rtd",,"GAMMA","."&amp;K$2&amp;K$1&amp;"P"&amp;$A45))/1000000,($A$4*$A$4*RTD("tos.rtd",,"OPEN_INT","."&amp;K$2&amp;K$1&amp;"C"&amp;$A45)*RTD("tos.rtd",,"GAMMA","."&amp;K$2&amp;K$1&amp;"C"&amp;$A45)-$A$4*$A$4*RTD("tos.rtd",,"OPEN_INT","."&amp;K$2&amp;K$1&amp;"P"&amp;$A45)*RTD("tos.rtd",,"GAMMA","."&amp;K$2&amp;K$1&amp;"P"&amp;$A45))/1000000),0),IF($A$2="SKEW",IFERROR(VALUE(IF(RTD("tos.rtd",,"IMPL_VOL","."&amp;K$2&amp;K$1&amp;"P"&amp;$A45)="N/A",0,RTD("tos.rtd",,"IMPL_VOL","."&amp;K$2&amp;K$1&amp;"P"&amp;$A45))),0)-IFERROR(VALUE(IF(RTD("tos.rtd",,"IMPL_VOL","."&amp;K$2&amp;K$1&amp;"C"&amp;$A45)="N/A",0,RTD("tos.rtd",,"IMPL_VOL","."&amp;K$2&amp;K$1&amp;"C"&amp;$A45))),0),IF($A$2="MAXPAIN",IF($A$4&gt;$A45,($A$4-$A45)*IF(RTD("tos.rtd",,"OPEN_INT","."&amp;K$2&amp;K$1&amp;"C"&amp;$A45)="N/A",0,RTD("tos.rtd",,"OPEN_INT","."&amp;K$2&amp;K$1&amp;"C"&amp;$A45)),0)+IF($A$4&lt;$A45,($A$5-$A$4)*IF(RTD("tos.rtd",,"OPEN_INT","."&amp;K$2&amp;K$1&amp;"P"&amp;$A45)="N/A",0,RTD("tos.rtd",,"OPEN_INT","."&amp;K$2&amp;K$1&amp;"P"&amp;$A45)),0),IF($X$1="ABS",IF(RTD("tos.rtd",,$A$2,"."&amp;K$2&amp;K$1&amp;"C"&amp;$A45)="N/A",0,RTD("tos.rtd",,$A$2,"."&amp;K$2&amp;K$1&amp;"C"&amp;$A45))+IF(RTD("tos.rtd",,$A$2,"."&amp;K$2&amp;K$1&amp;"P"&amp;$A45)="N/A",0,RTD("tos.rtd",,$A$2,"."&amp;K$2&amp;K$1&amp;"P"&amp;$A45)),IF(RTD("tos.rtd",,$A$2,"."&amp;K$2&amp;K$1&amp;"C"&amp;$A45)="N/A",0,RTD("tos.rtd",,$A$2,"."&amp;K$2&amp;K$1&amp;"C"&amp;$A45))-IF(RTD("tos.rtd",,$A$2,"."&amp;K$2&amp;K$1&amp;"P"&amp;$A45)="N/A",0,RTD("tos.rtd",,$A$2,"."&amp;K$2&amp;K$1&amp;"P"&amp;$A45))))))))))</f>
        <v>0</v>
      </c>
      <c r="L45" s="54">
        <f ca="1">IF($A$2="PREMIUM_OI",IFERROR(IF($X$1="ABS",(100*RTD("tos.rtd",,"OPEN_INT","."&amp;L$2&amp;L$1&amp;"C"&amp;$A45)*RTD("tos.rtd",,"LAST","."&amp;L$2&amp;L$1&amp;"C"&amp;$A45)+100*RTD("tos.rtd",,"OPEN_INT","."&amp;L$2&amp;L$1&amp;"P"&amp;$A45)*RTD("tos.rtd",,"LAST","."&amp;L$2&amp;L$1&amp;"P"&amp;$A45))/1000000,(100*RTD("tos.rtd",,"OPEN_INT","."&amp;L$2&amp;L$1&amp;"C"&amp;$A45)*RTD("tos.rtd",,"LAST","."&amp;L$2&amp;L$1&amp;"C"&amp;$A45)-100*RTD("tos.rtd",,"OPEN_INT","."&amp;L$2&amp;L$1&amp;"P"&amp;$A45)*RTD("tos.rtd",,"LAST","."&amp;L$2&amp;L$1&amp;"P"&amp;$A45))/1000000),0),IF($A$2="PREMIUM",IFERROR(IF($X$1="ABS",(100*RTD("tos.rtd",,"VOLUME","."&amp;L$2&amp;L$1&amp;"C"&amp;$A45)*RTD("tos.rtd",,"LAST","."&amp;L$2&amp;L$1&amp;"C"&amp;$A45)+100*RTD("tos.rtd",,"VOLUME","."&amp;L$2&amp;L$1&amp;"P"&amp;$A45)*RTD("tos.rtd",,"LAST","."&amp;L$2&amp;L$1&amp;"P"&amp;$A45))/1000000,(100*RTD("tos.rtd",,"VOLUME","."&amp;L$2&amp;L$1&amp;"C"&amp;$A45)*RTD("tos.rtd",,"LAST","."&amp;L$2&amp;L$1&amp;"C"&amp;$A45)-100*RTD("tos.rtd",,"VOLUME","."&amp;L$2&amp;L$1&amp;"P"&amp;$A45)*RTD("tos.rtd",,"LAST","."&amp;L$2&amp;L$1&amp;"P"&amp;$A45))/1000000),0),IF($A$2="DEX",IFERROR(IF($X$1="ABS",(100*RTD("tos.rtd",,"OPEN_INT","."&amp;L$2&amp;L$1&amp;"C"&amp;$A45)*RTD("tos.rtd",,"DELTA","."&amp;L$2&amp;L$1&amp;"C"&amp;$A45)+100*RTD("tos.rtd",,"OPEN_INT","."&amp;L$2&amp;L$1&amp;"P"&amp;$A45)*RTD("tos.rtd",,"DELTA","."&amp;L$2&amp;L$1&amp;"P"&amp;$A45))/1000,(100*RTD("tos.rtd",,"OPEN_INT","."&amp;L$2&amp;L$1&amp;"C"&amp;$A45)*RTD("tos.rtd",,"DELTA","."&amp;L$2&amp;L$1&amp;"C"&amp;$A45)-100*RTD("tos.rtd",,"OPEN_INT","."&amp;L$2&amp;L$1&amp;"P"&amp;$A45)*RTD("tos.rtd",,"DELTA","."&amp;L$2&amp;L$1&amp;"P"&amp;$A45))/1000),0),IF($A$2="VEX",IFERROR(IF($X$1="ABS",($A$4*$A$4*RTD("tos.rtd",,"VOLUME","."&amp;L$2&amp;L$1&amp;"C"&amp;$A45)*RTD("tos.rtd",,"GAMMA","."&amp;L$2&amp;L$1&amp;"C"&amp;$A45)+$A$4*$A$4*RTD("tos.rtd",,"VOLUME","."&amp;L$2&amp;L$1&amp;"P"&amp;$A45)*RTD("tos.rtd",,"GAMMA","."&amp;L$2&amp;L$1&amp;"P"&amp;$A45))/1000000,($A$4*$A$4*RTD("tos.rtd",,"VOLUME","."&amp;L$2&amp;L$1&amp;"C"&amp;$A45)*RTD("tos.rtd",,"GAMMA","."&amp;L$2&amp;L$1&amp;"C"&amp;$A45)-$A$4*$A$4*RTD("tos.rtd",,"VOLUME","."&amp;L$2&amp;L$1&amp;"P"&amp;$A45)*RTD("tos.rtd",,"GAMMA","."&amp;L$2&amp;L$1&amp;"P"&amp;$A45))/1000000),0),IF($A$2="GEX",IFERROR(IF($X$1="ABS",($A$4*$A$4*RTD("tos.rtd",,"OPEN_INT","."&amp;L$2&amp;L$1&amp;"C"&amp;$A45)*RTD("tos.rtd",,"GAMMA","."&amp;L$2&amp;L$1&amp;"C"&amp;$A45)+$A$4*$A$4*RTD("tos.rtd",,"OPEN_INT","."&amp;L$2&amp;L$1&amp;"P"&amp;$A45)*RTD("tos.rtd",,"GAMMA","."&amp;L$2&amp;L$1&amp;"P"&amp;$A45))/1000000,($A$4*$A$4*RTD("tos.rtd",,"OPEN_INT","."&amp;L$2&amp;L$1&amp;"C"&amp;$A45)*RTD("tos.rtd",,"GAMMA","."&amp;L$2&amp;L$1&amp;"C"&amp;$A45)-$A$4*$A$4*RTD("tos.rtd",,"OPEN_INT","."&amp;L$2&amp;L$1&amp;"P"&amp;$A45)*RTD("tos.rtd",,"GAMMA","."&amp;L$2&amp;L$1&amp;"P"&amp;$A45))/1000000),0),IF($A$2="SKEW",IFERROR(VALUE(IF(RTD("tos.rtd",,"IMPL_VOL","."&amp;L$2&amp;L$1&amp;"P"&amp;$A45)="N/A",0,RTD("tos.rtd",,"IMPL_VOL","."&amp;L$2&amp;L$1&amp;"P"&amp;$A45))),0)-IFERROR(VALUE(IF(RTD("tos.rtd",,"IMPL_VOL","."&amp;L$2&amp;L$1&amp;"C"&amp;$A45)="N/A",0,RTD("tos.rtd",,"IMPL_VOL","."&amp;L$2&amp;L$1&amp;"C"&amp;$A45))),0),IF($A$2="MAXPAIN",IF($A$4&gt;$A45,($A$4-$A45)*IF(RTD("tos.rtd",,"OPEN_INT","."&amp;L$2&amp;L$1&amp;"C"&amp;$A45)="N/A",0,RTD("tos.rtd",,"OPEN_INT","."&amp;L$2&amp;L$1&amp;"C"&amp;$A45)),0)+IF($A$4&lt;$A45,($A$5-$A$4)*IF(RTD("tos.rtd",,"OPEN_INT","."&amp;L$2&amp;L$1&amp;"P"&amp;$A45)="N/A",0,RTD("tos.rtd",,"OPEN_INT","."&amp;L$2&amp;L$1&amp;"P"&amp;$A45)),0),IF($X$1="ABS",IF(RTD("tos.rtd",,$A$2,"."&amp;L$2&amp;L$1&amp;"C"&amp;$A45)="N/A",0,RTD("tos.rtd",,$A$2,"."&amp;L$2&amp;L$1&amp;"C"&amp;$A45))+IF(RTD("tos.rtd",,$A$2,"."&amp;L$2&amp;L$1&amp;"P"&amp;$A45)="N/A",0,RTD("tos.rtd",,$A$2,"."&amp;L$2&amp;L$1&amp;"P"&amp;$A45)),IF(RTD("tos.rtd",,$A$2,"."&amp;L$2&amp;L$1&amp;"C"&amp;$A45)="N/A",0,RTD("tos.rtd",,$A$2,"."&amp;L$2&amp;L$1&amp;"C"&amp;$A45))-IF(RTD("tos.rtd",,$A$2,"."&amp;L$2&amp;L$1&amp;"P"&amp;$A45)="N/A",0,RTD("tos.rtd",,$A$2,"."&amp;L$2&amp;L$1&amp;"P"&amp;$A45))))))))))</f>
        <v>1729</v>
      </c>
      <c r="M45" s="12">
        <f ca="1">IF($A$2="PREMIUM_OI",IFERROR(IF($X$1="ABS",(100*RTD("tos.rtd",,"OPEN_INT","."&amp;M$2&amp;M$1&amp;"C"&amp;$A45)*RTD("tos.rtd",,"LAST","."&amp;M$2&amp;M$1&amp;"C"&amp;$A45)+100*RTD("tos.rtd",,"OPEN_INT","."&amp;M$2&amp;M$1&amp;"P"&amp;$A45)*RTD("tos.rtd",,"LAST","."&amp;M$2&amp;M$1&amp;"P"&amp;$A45))/1000000,(100*RTD("tos.rtd",,"OPEN_INT","."&amp;M$2&amp;M$1&amp;"C"&amp;$A45)*RTD("tos.rtd",,"LAST","."&amp;M$2&amp;M$1&amp;"C"&amp;$A45)-100*RTD("tos.rtd",,"OPEN_INT","."&amp;M$2&amp;M$1&amp;"P"&amp;$A45)*RTD("tos.rtd",,"LAST","."&amp;M$2&amp;M$1&amp;"P"&amp;$A45))/1000000),0),IF($A$2="PREMIUM",IFERROR(IF($X$1="ABS",(100*RTD("tos.rtd",,"VOLUME","."&amp;M$2&amp;M$1&amp;"C"&amp;$A45)*RTD("tos.rtd",,"LAST","."&amp;M$2&amp;M$1&amp;"C"&amp;$A45)+100*RTD("tos.rtd",,"VOLUME","."&amp;M$2&amp;M$1&amp;"P"&amp;$A45)*RTD("tos.rtd",,"LAST","."&amp;M$2&amp;M$1&amp;"P"&amp;$A45))/1000000,(100*RTD("tos.rtd",,"VOLUME","."&amp;M$2&amp;M$1&amp;"C"&amp;$A45)*RTD("tos.rtd",,"LAST","."&amp;M$2&amp;M$1&amp;"C"&amp;$A45)-100*RTD("tos.rtd",,"VOLUME","."&amp;M$2&amp;M$1&amp;"P"&amp;$A45)*RTD("tos.rtd",,"LAST","."&amp;M$2&amp;M$1&amp;"P"&amp;$A45))/1000000),0),IF($A$2="DEX",IFERROR(IF($X$1="ABS",(100*RTD("tos.rtd",,"OPEN_INT","."&amp;M$2&amp;M$1&amp;"C"&amp;$A45)*RTD("tos.rtd",,"DELTA","."&amp;M$2&amp;M$1&amp;"C"&amp;$A45)+100*RTD("tos.rtd",,"OPEN_INT","."&amp;M$2&amp;M$1&amp;"P"&amp;$A45)*RTD("tos.rtd",,"DELTA","."&amp;M$2&amp;M$1&amp;"P"&amp;$A45))/1000,(100*RTD("tos.rtd",,"OPEN_INT","."&amp;M$2&amp;M$1&amp;"C"&amp;$A45)*RTD("tos.rtd",,"DELTA","."&amp;M$2&amp;M$1&amp;"C"&amp;$A45)-100*RTD("tos.rtd",,"OPEN_INT","."&amp;M$2&amp;M$1&amp;"P"&amp;$A45)*RTD("tos.rtd",,"DELTA","."&amp;M$2&amp;M$1&amp;"P"&amp;$A45))/1000),0),IF($A$2="VEX",IFERROR(IF($X$1="ABS",($A$4*$A$4*RTD("tos.rtd",,"VOLUME","."&amp;M$2&amp;M$1&amp;"C"&amp;$A45)*RTD("tos.rtd",,"GAMMA","."&amp;M$2&amp;M$1&amp;"C"&amp;$A45)+$A$4*$A$4*RTD("tos.rtd",,"VOLUME","."&amp;M$2&amp;M$1&amp;"P"&amp;$A45)*RTD("tos.rtd",,"GAMMA","."&amp;M$2&amp;M$1&amp;"P"&amp;$A45))/1000000,($A$4*$A$4*RTD("tos.rtd",,"VOLUME","."&amp;M$2&amp;M$1&amp;"C"&amp;$A45)*RTD("tos.rtd",,"GAMMA","."&amp;M$2&amp;M$1&amp;"C"&amp;$A45)-$A$4*$A$4*RTD("tos.rtd",,"VOLUME","."&amp;M$2&amp;M$1&amp;"P"&amp;$A45)*RTD("tos.rtd",,"GAMMA","."&amp;M$2&amp;M$1&amp;"P"&amp;$A45))/1000000),0),IF($A$2="GEX",IFERROR(IF($X$1="ABS",($A$4*$A$4*RTD("tos.rtd",,"OPEN_INT","."&amp;M$2&amp;M$1&amp;"C"&amp;$A45)*RTD("tos.rtd",,"GAMMA","."&amp;M$2&amp;M$1&amp;"C"&amp;$A45)+$A$4*$A$4*RTD("tos.rtd",,"OPEN_INT","."&amp;M$2&amp;M$1&amp;"P"&amp;$A45)*RTD("tos.rtd",,"GAMMA","."&amp;M$2&amp;M$1&amp;"P"&amp;$A45))/1000000,($A$4*$A$4*RTD("tos.rtd",,"OPEN_INT","."&amp;M$2&amp;M$1&amp;"C"&amp;$A45)*RTD("tos.rtd",,"GAMMA","."&amp;M$2&amp;M$1&amp;"C"&amp;$A45)-$A$4*$A$4*RTD("tos.rtd",,"OPEN_INT","."&amp;M$2&amp;M$1&amp;"P"&amp;$A45)*RTD("tos.rtd",,"GAMMA","."&amp;M$2&amp;M$1&amp;"P"&amp;$A45))/1000000),0),IF($A$2="SKEW",IFERROR(VALUE(IF(RTD("tos.rtd",,"IMPL_VOL","."&amp;M$2&amp;M$1&amp;"P"&amp;$A45)="N/A",0,RTD("tos.rtd",,"IMPL_VOL","."&amp;M$2&amp;M$1&amp;"P"&amp;$A45))),0)-IFERROR(VALUE(IF(RTD("tos.rtd",,"IMPL_VOL","."&amp;M$2&amp;M$1&amp;"C"&amp;$A45)="N/A",0,RTD("tos.rtd",,"IMPL_VOL","."&amp;M$2&amp;M$1&amp;"C"&amp;$A45))),0),IF($A$2="MAXPAIN",IF($A$4&gt;$A45,($A$4-$A45)*IF(RTD("tos.rtd",,"OPEN_INT","."&amp;M$2&amp;M$1&amp;"C"&amp;$A45)="N/A",0,RTD("tos.rtd",,"OPEN_INT","."&amp;M$2&amp;M$1&amp;"C"&amp;$A45)),0)+IF($A$4&lt;$A45,($A$5-$A$4)*IF(RTD("tos.rtd",,"OPEN_INT","."&amp;M$2&amp;M$1&amp;"P"&amp;$A45)="N/A",0,RTD("tos.rtd",,"OPEN_INT","."&amp;M$2&amp;M$1&amp;"P"&amp;$A45)),0),IF($X$1="ABS",IF(RTD("tos.rtd",,$A$2,"."&amp;M$2&amp;M$1&amp;"C"&amp;$A45)="N/A",0,RTD("tos.rtd",,$A$2,"."&amp;M$2&amp;M$1&amp;"C"&amp;$A45))+IF(RTD("tos.rtd",,$A$2,"."&amp;M$2&amp;M$1&amp;"P"&amp;$A45)="N/A",0,RTD("tos.rtd",,$A$2,"."&amp;M$2&amp;M$1&amp;"P"&amp;$A45)),IF(RTD("tos.rtd",,$A$2,"."&amp;M$2&amp;M$1&amp;"C"&amp;$A45)="N/A",0,RTD("tos.rtd",,$A$2,"."&amp;M$2&amp;M$1&amp;"C"&amp;$A45))-IF(RTD("tos.rtd",,$A$2,"."&amp;M$2&amp;M$1&amp;"P"&amp;$A45)="N/A",0,RTD("tos.rtd",,$A$2,"."&amp;M$2&amp;M$1&amp;"P"&amp;$A45))))))))))</f>
        <v>-9698</v>
      </c>
      <c r="N45" s="12">
        <f ca="1">IF($A$2="PREMIUM_OI",IFERROR(IF($X$1="ABS",(100*RTD("tos.rtd",,"OPEN_INT","."&amp;N$2&amp;N$1&amp;"C"&amp;$A45)*RTD("tos.rtd",,"LAST","."&amp;N$2&amp;N$1&amp;"C"&amp;$A45)+100*RTD("tos.rtd",,"OPEN_INT","."&amp;N$2&amp;N$1&amp;"P"&amp;$A45)*RTD("tos.rtd",,"LAST","."&amp;N$2&amp;N$1&amp;"P"&amp;$A45))/1000000,(100*RTD("tos.rtd",,"OPEN_INT","."&amp;N$2&amp;N$1&amp;"C"&amp;$A45)*RTD("tos.rtd",,"LAST","."&amp;N$2&amp;N$1&amp;"C"&amp;$A45)-100*RTD("tos.rtd",,"OPEN_INT","."&amp;N$2&amp;N$1&amp;"P"&amp;$A45)*RTD("tos.rtd",,"LAST","."&amp;N$2&amp;N$1&amp;"P"&amp;$A45))/1000000),0),IF($A$2="PREMIUM",IFERROR(IF($X$1="ABS",(100*RTD("tos.rtd",,"VOLUME","."&amp;N$2&amp;N$1&amp;"C"&amp;$A45)*RTD("tos.rtd",,"LAST","."&amp;N$2&amp;N$1&amp;"C"&amp;$A45)+100*RTD("tos.rtd",,"VOLUME","."&amp;N$2&amp;N$1&amp;"P"&amp;$A45)*RTD("tos.rtd",,"LAST","."&amp;N$2&amp;N$1&amp;"P"&amp;$A45))/1000000,(100*RTD("tos.rtd",,"VOLUME","."&amp;N$2&amp;N$1&amp;"C"&amp;$A45)*RTD("tos.rtd",,"LAST","."&amp;N$2&amp;N$1&amp;"C"&amp;$A45)-100*RTD("tos.rtd",,"VOLUME","."&amp;N$2&amp;N$1&amp;"P"&amp;$A45)*RTD("tos.rtd",,"LAST","."&amp;N$2&amp;N$1&amp;"P"&amp;$A45))/1000000),0),IF($A$2="DEX",IFERROR(IF($X$1="ABS",(100*RTD("tos.rtd",,"OPEN_INT","."&amp;N$2&amp;N$1&amp;"C"&amp;$A45)*RTD("tos.rtd",,"DELTA","."&amp;N$2&amp;N$1&amp;"C"&amp;$A45)+100*RTD("tos.rtd",,"OPEN_INT","."&amp;N$2&amp;N$1&amp;"P"&amp;$A45)*RTD("tos.rtd",,"DELTA","."&amp;N$2&amp;N$1&amp;"P"&amp;$A45))/1000,(100*RTD("tos.rtd",,"OPEN_INT","."&amp;N$2&amp;N$1&amp;"C"&amp;$A45)*RTD("tos.rtd",,"DELTA","."&amp;N$2&amp;N$1&amp;"C"&amp;$A45)-100*RTD("tos.rtd",,"OPEN_INT","."&amp;N$2&amp;N$1&amp;"P"&amp;$A45)*RTD("tos.rtd",,"DELTA","."&amp;N$2&amp;N$1&amp;"P"&amp;$A45))/1000),0),IF($A$2="VEX",IFERROR(IF($X$1="ABS",($A$4*$A$4*RTD("tos.rtd",,"VOLUME","."&amp;N$2&amp;N$1&amp;"C"&amp;$A45)*RTD("tos.rtd",,"GAMMA","."&amp;N$2&amp;N$1&amp;"C"&amp;$A45)+$A$4*$A$4*RTD("tos.rtd",,"VOLUME","."&amp;N$2&amp;N$1&amp;"P"&amp;$A45)*RTD("tos.rtd",,"GAMMA","."&amp;N$2&amp;N$1&amp;"P"&amp;$A45))/1000000,($A$4*$A$4*RTD("tos.rtd",,"VOLUME","."&amp;N$2&amp;N$1&amp;"C"&amp;$A45)*RTD("tos.rtd",,"GAMMA","."&amp;N$2&amp;N$1&amp;"C"&amp;$A45)-$A$4*$A$4*RTD("tos.rtd",,"VOLUME","."&amp;N$2&amp;N$1&amp;"P"&amp;$A45)*RTD("tos.rtd",,"GAMMA","."&amp;N$2&amp;N$1&amp;"P"&amp;$A45))/1000000),0),IF($A$2="GEX",IFERROR(IF($X$1="ABS",($A$4*$A$4*RTD("tos.rtd",,"OPEN_INT","."&amp;N$2&amp;N$1&amp;"C"&amp;$A45)*RTD("tos.rtd",,"GAMMA","."&amp;N$2&amp;N$1&amp;"C"&amp;$A45)+$A$4*$A$4*RTD("tos.rtd",,"OPEN_INT","."&amp;N$2&amp;N$1&amp;"P"&amp;$A45)*RTD("tos.rtd",,"GAMMA","."&amp;N$2&amp;N$1&amp;"P"&amp;$A45))/1000000,($A$4*$A$4*RTD("tos.rtd",,"OPEN_INT","."&amp;N$2&amp;N$1&amp;"C"&amp;$A45)*RTD("tos.rtd",,"GAMMA","."&amp;N$2&amp;N$1&amp;"C"&amp;$A45)-$A$4*$A$4*RTD("tos.rtd",,"OPEN_INT","."&amp;N$2&amp;N$1&amp;"P"&amp;$A45)*RTD("tos.rtd",,"GAMMA","."&amp;N$2&amp;N$1&amp;"P"&amp;$A45))/1000000),0),IF($A$2="SKEW",IFERROR(VALUE(IF(RTD("tos.rtd",,"IMPL_VOL","."&amp;N$2&amp;N$1&amp;"P"&amp;$A45)="N/A",0,RTD("tos.rtd",,"IMPL_VOL","."&amp;N$2&amp;N$1&amp;"P"&amp;$A45))),0)-IFERROR(VALUE(IF(RTD("tos.rtd",,"IMPL_VOL","."&amp;N$2&amp;N$1&amp;"C"&amp;$A45)="N/A",0,RTD("tos.rtd",,"IMPL_VOL","."&amp;N$2&amp;N$1&amp;"C"&amp;$A45))),0),IF($A$2="MAXPAIN",IF($A$4&gt;$A45,($A$4-$A45)*IF(RTD("tos.rtd",,"OPEN_INT","."&amp;N$2&amp;N$1&amp;"C"&amp;$A45)="N/A",0,RTD("tos.rtd",,"OPEN_INT","."&amp;N$2&amp;N$1&amp;"C"&amp;$A45)),0)+IF($A$4&lt;$A45,($A$5-$A$4)*IF(RTD("tos.rtd",,"OPEN_INT","."&amp;N$2&amp;N$1&amp;"P"&amp;$A45)="N/A",0,RTD("tos.rtd",,"OPEN_INT","."&amp;N$2&amp;N$1&amp;"P"&amp;$A45)),0),IF($X$1="ABS",IF(RTD("tos.rtd",,$A$2,"."&amp;N$2&amp;N$1&amp;"C"&amp;$A45)="N/A",0,RTD("tos.rtd",,$A$2,"."&amp;N$2&amp;N$1&amp;"C"&amp;$A45))+IF(RTD("tos.rtd",,$A$2,"."&amp;N$2&amp;N$1&amp;"P"&amp;$A45)="N/A",0,RTD("tos.rtd",,$A$2,"."&amp;N$2&amp;N$1&amp;"P"&amp;$A45)),IF(RTD("tos.rtd",,$A$2,"."&amp;N$2&amp;N$1&amp;"C"&amp;$A45)="N/A",0,RTD("tos.rtd",,$A$2,"."&amp;N$2&amp;N$1&amp;"C"&amp;$A45))-IF(RTD("tos.rtd",,$A$2,"."&amp;N$2&amp;N$1&amp;"P"&amp;$A45)="N/A",0,RTD("tos.rtd",,$A$2,"."&amp;N$2&amp;N$1&amp;"P"&amp;$A45))))))))))</f>
        <v>0</v>
      </c>
      <c r="O45" s="12">
        <f ca="1">IF($A$2="PREMIUM_OI",IFERROR(IF($X$1="ABS",(100*RTD("tos.rtd",,"OPEN_INT","."&amp;O$2&amp;O$1&amp;"C"&amp;$A45)*RTD("tos.rtd",,"LAST","."&amp;O$2&amp;O$1&amp;"C"&amp;$A45)+100*RTD("tos.rtd",,"OPEN_INT","."&amp;O$2&amp;O$1&amp;"P"&amp;$A45)*RTD("tos.rtd",,"LAST","."&amp;O$2&amp;O$1&amp;"P"&amp;$A45))/1000000,(100*RTD("tos.rtd",,"OPEN_INT","."&amp;O$2&amp;O$1&amp;"C"&amp;$A45)*RTD("tos.rtd",,"LAST","."&amp;O$2&amp;O$1&amp;"C"&amp;$A45)-100*RTD("tos.rtd",,"OPEN_INT","."&amp;O$2&amp;O$1&amp;"P"&amp;$A45)*RTD("tos.rtd",,"LAST","."&amp;O$2&amp;O$1&amp;"P"&amp;$A45))/1000000),0),IF($A$2="PREMIUM",IFERROR(IF($X$1="ABS",(100*RTD("tos.rtd",,"VOLUME","."&amp;O$2&amp;O$1&amp;"C"&amp;$A45)*RTD("tos.rtd",,"LAST","."&amp;O$2&amp;O$1&amp;"C"&amp;$A45)+100*RTD("tos.rtd",,"VOLUME","."&amp;O$2&amp;O$1&amp;"P"&amp;$A45)*RTD("tos.rtd",,"LAST","."&amp;O$2&amp;O$1&amp;"P"&amp;$A45))/1000000,(100*RTD("tos.rtd",,"VOLUME","."&amp;O$2&amp;O$1&amp;"C"&amp;$A45)*RTD("tos.rtd",,"LAST","."&amp;O$2&amp;O$1&amp;"C"&amp;$A45)-100*RTD("tos.rtd",,"VOLUME","."&amp;O$2&amp;O$1&amp;"P"&amp;$A45)*RTD("tos.rtd",,"LAST","."&amp;O$2&amp;O$1&amp;"P"&amp;$A45))/1000000),0),IF($A$2="DEX",IFERROR(IF($X$1="ABS",(100*RTD("tos.rtd",,"OPEN_INT","."&amp;O$2&amp;O$1&amp;"C"&amp;$A45)*RTD("tos.rtd",,"DELTA","."&amp;O$2&amp;O$1&amp;"C"&amp;$A45)+100*RTD("tos.rtd",,"OPEN_INT","."&amp;O$2&amp;O$1&amp;"P"&amp;$A45)*RTD("tos.rtd",,"DELTA","."&amp;O$2&amp;O$1&amp;"P"&amp;$A45))/1000,(100*RTD("tos.rtd",,"OPEN_INT","."&amp;O$2&amp;O$1&amp;"C"&amp;$A45)*RTD("tos.rtd",,"DELTA","."&amp;O$2&amp;O$1&amp;"C"&amp;$A45)-100*RTD("tos.rtd",,"OPEN_INT","."&amp;O$2&amp;O$1&amp;"P"&amp;$A45)*RTD("tos.rtd",,"DELTA","."&amp;O$2&amp;O$1&amp;"P"&amp;$A45))/1000),0),IF($A$2="VEX",IFERROR(IF($X$1="ABS",($A$4*$A$4*RTD("tos.rtd",,"VOLUME","."&amp;O$2&amp;O$1&amp;"C"&amp;$A45)*RTD("tos.rtd",,"GAMMA","."&amp;O$2&amp;O$1&amp;"C"&amp;$A45)+$A$4*$A$4*RTD("tos.rtd",,"VOLUME","."&amp;O$2&amp;O$1&amp;"P"&amp;$A45)*RTD("tos.rtd",,"GAMMA","."&amp;O$2&amp;O$1&amp;"P"&amp;$A45))/1000000,($A$4*$A$4*RTD("tos.rtd",,"VOLUME","."&amp;O$2&amp;O$1&amp;"C"&amp;$A45)*RTD("tos.rtd",,"GAMMA","."&amp;O$2&amp;O$1&amp;"C"&amp;$A45)-$A$4*$A$4*RTD("tos.rtd",,"VOLUME","."&amp;O$2&amp;O$1&amp;"P"&amp;$A45)*RTD("tos.rtd",,"GAMMA","."&amp;O$2&amp;O$1&amp;"P"&amp;$A45))/1000000),0),IF($A$2="GEX",IFERROR(IF($X$1="ABS",($A$4*$A$4*RTD("tos.rtd",,"OPEN_INT","."&amp;O$2&amp;O$1&amp;"C"&amp;$A45)*RTD("tos.rtd",,"GAMMA","."&amp;O$2&amp;O$1&amp;"C"&amp;$A45)+$A$4*$A$4*RTD("tos.rtd",,"OPEN_INT","."&amp;O$2&amp;O$1&amp;"P"&amp;$A45)*RTD("tos.rtd",,"GAMMA","."&amp;O$2&amp;O$1&amp;"P"&amp;$A45))/1000000,($A$4*$A$4*RTD("tos.rtd",,"OPEN_INT","."&amp;O$2&amp;O$1&amp;"C"&amp;$A45)*RTD("tos.rtd",,"GAMMA","."&amp;O$2&amp;O$1&amp;"C"&amp;$A45)-$A$4*$A$4*RTD("tos.rtd",,"OPEN_INT","."&amp;O$2&amp;O$1&amp;"P"&amp;$A45)*RTD("tos.rtd",,"GAMMA","."&amp;O$2&amp;O$1&amp;"P"&amp;$A45))/1000000),0),IF($A$2="SKEW",IFERROR(VALUE(IF(RTD("tos.rtd",,"IMPL_VOL","."&amp;O$2&amp;O$1&amp;"P"&amp;$A45)="N/A",0,RTD("tos.rtd",,"IMPL_VOL","."&amp;O$2&amp;O$1&amp;"P"&amp;$A45))),0)-IFERROR(VALUE(IF(RTD("tos.rtd",,"IMPL_VOL","."&amp;O$2&amp;O$1&amp;"C"&amp;$A45)="N/A",0,RTD("tos.rtd",,"IMPL_VOL","."&amp;O$2&amp;O$1&amp;"C"&amp;$A45))),0),IF($A$2="MAXPAIN",IF($A$4&gt;$A45,($A$4-$A45)*IF(RTD("tos.rtd",,"OPEN_INT","."&amp;O$2&amp;O$1&amp;"C"&amp;$A45)="N/A",0,RTD("tos.rtd",,"OPEN_INT","."&amp;O$2&amp;O$1&amp;"C"&amp;$A45)),0)+IF($A$4&lt;$A45,($A$5-$A$4)*IF(RTD("tos.rtd",,"OPEN_INT","."&amp;O$2&amp;O$1&amp;"P"&amp;$A45)="N/A",0,RTD("tos.rtd",,"OPEN_INT","."&amp;O$2&amp;O$1&amp;"P"&amp;$A45)),0),IF($X$1="ABS",IF(RTD("tos.rtd",,$A$2,"."&amp;O$2&amp;O$1&amp;"C"&amp;$A45)="N/A",0,RTD("tos.rtd",,$A$2,"."&amp;O$2&amp;O$1&amp;"C"&amp;$A45))+IF(RTD("tos.rtd",,$A$2,"."&amp;O$2&amp;O$1&amp;"P"&amp;$A45)="N/A",0,RTD("tos.rtd",,$A$2,"."&amp;O$2&amp;O$1&amp;"P"&amp;$A45)),IF(RTD("tos.rtd",,$A$2,"."&amp;O$2&amp;O$1&amp;"C"&amp;$A45)="N/A",0,RTD("tos.rtd",,$A$2,"."&amp;O$2&amp;O$1&amp;"C"&amp;$A45))-IF(RTD("tos.rtd",,$A$2,"."&amp;O$2&amp;O$1&amp;"P"&amp;$A45)="N/A",0,RTD("tos.rtd",,$A$2,"."&amp;O$2&amp;O$1&amp;"P"&amp;$A45))))))))))</f>
        <v>0</v>
      </c>
      <c r="P45" s="12">
        <f ca="1">IF($A$2="PREMIUM_OI",IFERROR(IF($X$1="ABS",(100*RTD("tos.rtd",,"OPEN_INT","."&amp;P$2&amp;P$1&amp;"C"&amp;$A45)*RTD("tos.rtd",,"LAST","."&amp;P$2&amp;P$1&amp;"C"&amp;$A45)+100*RTD("tos.rtd",,"OPEN_INT","."&amp;P$2&amp;P$1&amp;"P"&amp;$A45)*RTD("tos.rtd",,"LAST","."&amp;P$2&amp;P$1&amp;"P"&amp;$A45))/1000000,(100*RTD("tos.rtd",,"OPEN_INT","."&amp;P$2&amp;P$1&amp;"C"&amp;$A45)*RTD("tos.rtd",,"LAST","."&amp;P$2&amp;P$1&amp;"C"&amp;$A45)-100*RTD("tos.rtd",,"OPEN_INT","."&amp;P$2&amp;P$1&amp;"P"&amp;$A45)*RTD("tos.rtd",,"LAST","."&amp;P$2&amp;P$1&amp;"P"&amp;$A45))/1000000),0),IF($A$2="PREMIUM",IFERROR(IF($X$1="ABS",(100*RTD("tos.rtd",,"VOLUME","."&amp;P$2&amp;P$1&amp;"C"&amp;$A45)*RTD("tos.rtd",,"LAST","."&amp;P$2&amp;P$1&amp;"C"&amp;$A45)+100*RTD("tos.rtd",,"VOLUME","."&amp;P$2&amp;P$1&amp;"P"&amp;$A45)*RTD("tos.rtd",,"LAST","."&amp;P$2&amp;P$1&amp;"P"&amp;$A45))/1000000,(100*RTD("tos.rtd",,"VOLUME","."&amp;P$2&amp;P$1&amp;"C"&amp;$A45)*RTD("tos.rtd",,"LAST","."&amp;P$2&amp;P$1&amp;"C"&amp;$A45)-100*RTD("tos.rtd",,"VOLUME","."&amp;P$2&amp;P$1&amp;"P"&amp;$A45)*RTD("tos.rtd",,"LAST","."&amp;P$2&amp;P$1&amp;"P"&amp;$A45))/1000000),0),IF($A$2="DEX",IFERROR(IF($X$1="ABS",(100*RTD("tos.rtd",,"OPEN_INT","."&amp;P$2&amp;P$1&amp;"C"&amp;$A45)*RTD("tos.rtd",,"DELTA","."&amp;P$2&amp;P$1&amp;"C"&amp;$A45)+100*RTD("tos.rtd",,"OPEN_INT","."&amp;P$2&amp;P$1&amp;"P"&amp;$A45)*RTD("tos.rtd",,"DELTA","."&amp;P$2&amp;P$1&amp;"P"&amp;$A45))/1000,(100*RTD("tos.rtd",,"OPEN_INT","."&amp;P$2&amp;P$1&amp;"C"&amp;$A45)*RTD("tos.rtd",,"DELTA","."&amp;P$2&amp;P$1&amp;"C"&amp;$A45)-100*RTD("tos.rtd",,"OPEN_INT","."&amp;P$2&amp;P$1&amp;"P"&amp;$A45)*RTD("tos.rtd",,"DELTA","."&amp;P$2&amp;P$1&amp;"P"&amp;$A45))/1000),0),IF($A$2="VEX",IFERROR(IF($X$1="ABS",($A$4*$A$4*RTD("tos.rtd",,"VOLUME","."&amp;P$2&amp;P$1&amp;"C"&amp;$A45)*RTD("tos.rtd",,"GAMMA","."&amp;P$2&amp;P$1&amp;"C"&amp;$A45)+$A$4*$A$4*RTD("tos.rtd",,"VOLUME","."&amp;P$2&amp;P$1&amp;"P"&amp;$A45)*RTD("tos.rtd",,"GAMMA","."&amp;P$2&amp;P$1&amp;"P"&amp;$A45))/1000000,($A$4*$A$4*RTD("tos.rtd",,"VOLUME","."&amp;P$2&amp;P$1&amp;"C"&amp;$A45)*RTD("tos.rtd",,"GAMMA","."&amp;P$2&amp;P$1&amp;"C"&amp;$A45)-$A$4*$A$4*RTD("tos.rtd",,"VOLUME","."&amp;P$2&amp;P$1&amp;"P"&amp;$A45)*RTD("tos.rtd",,"GAMMA","."&amp;P$2&amp;P$1&amp;"P"&amp;$A45))/1000000),0),IF($A$2="GEX",IFERROR(IF($X$1="ABS",($A$4*$A$4*RTD("tos.rtd",,"OPEN_INT","."&amp;P$2&amp;P$1&amp;"C"&amp;$A45)*RTD("tos.rtd",,"GAMMA","."&amp;P$2&amp;P$1&amp;"C"&amp;$A45)+$A$4*$A$4*RTD("tos.rtd",,"OPEN_INT","."&amp;P$2&amp;P$1&amp;"P"&amp;$A45)*RTD("tos.rtd",,"GAMMA","."&amp;P$2&amp;P$1&amp;"P"&amp;$A45))/1000000,($A$4*$A$4*RTD("tos.rtd",,"OPEN_INT","."&amp;P$2&amp;P$1&amp;"C"&amp;$A45)*RTD("tos.rtd",,"GAMMA","."&amp;P$2&amp;P$1&amp;"C"&amp;$A45)-$A$4*$A$4*RTD("tos.rtd",,"OPEN_INT","."&amp;P$2&amp;P$1&amp;"P"&amp;$A45)*RTD("tos.rtd",,"GAMMA","."&amp;P$2&amp;P$1&amp;"P"&amp;$A45))/1000000),0),IF($A$2="SKEW",IFERROR(VALUE(IF(RTD("tos.rtd",,"IMPL_VOL","."&amp;P$2&amp;P$1&amp;"P"&amp;$A45)="N/A",0,RTD("tos.rtd",,"IMPL_VOL","."&amp;P$2&amp;P$1&amp;"P"&amp;$A45))),0)-IFERROR(VALUE(IF(RTD("tos.rtd",,"IMPL_VOL","."&amp;P$2&amp;P$1&amp;"C"&amp;$A45)="N/A",0,RTD("tos.rtd",,"IMPL_VOL","."&amp;P$2&amp;P$1&amp;"C"&amp;$A45))),0),IF($A$2="MAXPAIN",IF($A$4&gt;$A45,($A$4-$A45)*IF(RTD("tos.rtd",,"OPEN_INT","."&amp;P$2&amp;P$1&amp;"C"&amp;$A45)="N/A",0,RTD("tos.rtd",,"OPEN_INT","."&amp;P$2&amp;P$1&amp;"C"&amp;$A45)),0)+IF($A$4&lt;$A45,($A$5-$A$4)*IF(RTD("tos.rtd",,"OPEN_INT","."&amp;P$2&amp;P$1&amp;"P"&amp;$A45)="N/A",0,RTD("tos.rtd",,"OPEN_INT","."&amp;P$2&amp;P$1&amp;"P"&amp;$A45)),0),IF($X$1="ABS",IF(RTD("tos.rtd",,$A$2,"."&amp;P$2&amp;P$1&amp;"C"&amp;$A45)="N/A",0,RTD("tos.rtd",,$A$2,"."&amp;P$2&amp;P$1&amp;"C"&amp;$A45))+IF(RTD("tos.rtd",,$A$2,"."&amp;P$2&amp;P$1&amp;"P"&amp;$A45)="N/A",0,RTD("tos.rtd",,$A$2,"."&amp;P$2&amp;P$1&amp;"P"&amp;$A45)),IF(RTD("tos.rtd",,$A$2,"."&amp;P$2&amp;P$1&amp;"C"&amp;$A45)="N/A",0,RTD("tos.rtd",,$A$2,"."&amp;P$2&amp;P$1&amp;"C"&amp;$A45))-IF(RTD("tos.rtd",,$A$2,"."&amp;P$2&amp;P$1&amp;"P"&amp;$A45)="N/A",0,RTD("tos.rtd",,$A$2,"."&amp;P$2&amp;P$1&amp;"P"&amp;$A45))))))))))</f>
        <v>0</v>
      </c>
      <c r="Q45" s="12">
        <f ca="1">IF($A$2="PREMIUM_OI",IFERROR(IF($X$1="ABS",(100*RTD("tos.rtd",,"OPEN_INT","."&amp;Q$2&amp;Q$1&amp;"C"&amp;$A45)*RTD("tos.rtd",,"LAST","."&amp;Q$2&amp;Q$1&amp;"C"&amp;$A45)+100*RTD("tos.rtd",,"OPEN_INT","."&amp;Q$2&amp;Q$1&amp;"P"&amp;$A45)*RTD("tos.rtd",,"LAST","."&amp;Q$2&amp;Q$1&amp;"P"&amp;$A45))/1000000,(100*RTD("tos.rtd",,"OPEN_INT","."&amp;Q$2&amp;Q$1&amp;"C"&amp;$A45)*RTD("tos.rtd",,"LAST","."&amp;Q$2&amp;Q$1&amp;"C"&amp;$A45)-100*RTD("tos.rtd",,"OPEN_INT","."&amp;Q$2&amp;Q$1&amp;"P"&amp;$A45)*RTD("tos.rtd",,"LAST","."&amp;Q$2&amp;Q$1&amp;"P"&amp;$A45))/1000000),0),IF($A$2="PREMIUM",IFERROR(IF($X$1="ABS",(100*RTD("tos.rtd",,"VOLUME","."&amp;Q$2&amp;Q$1&amp;"C"&amp;$A45)*RTD("tos.rtd",,"LAST","."&amp;Q$2&amp;Q$1&amp;"C"&amp;$A45)+100*RTD("tos.rtd",,"VOLUME","."&amp;Q$2&amp;Q$1&amp;"P"&amp;$A45)*RTD("tos.rtd",,"LAST","."&amp;Q$2&amp;Q$1&amp;"P"&amp;$A45))/1000000,(100*RTD("tos.rtd",,"VOLUME","."&amp;Q$2&amp;Q$1&amp;"C"&amp;$A45)*RTD("tos.rtd",,"LAST","."&amp;Q$2&amp;Q$1&amp;"C"&amp;$A45)-100*RTD("tos.rtd",,"VOLUME","."&amp;Q$2&amp;Q$1&amp;"P"&amp;$A45)*RTD("tos.rtd",,"LAST","."&amp;Q$2&amp;Q$1&amp;"P"&amp;$A45))/1000000),0),IF($A$2="DEX",IFERROR(IF($X$1="ABS",(100*RTD("tos.rtd",,"OPEN_INT","."&amp;Q$2&amp;Q$1&amp;"C"&amp;$A45)*RTD("tos.rtd",,"DELTA","."&amp;Q$2&amp;Q$1&amp;"C"&amp;$A45)+100*RTD("tos.rtd",,"OPEN_INT","."&amp;Q$2&amp;Q$1&amp;"P"&amp;$A45)*RTD("tos.rtd",,"DELTA","."&amp;Q$2&amp;Q$1&amp;"P"&amp;$A45))/1000,(100*RTD("tos.rtd",,"OPEN_INT","."&amp;Q$2&amp;Q$1&amp;"C"&amp;$A45)*RTD("tos.rtd",,"DELTA","."&amp;Q$2&amp;Q$1&amp;"C"&amp;$A45)-100*RTD("tos.rtd",,"OPEN_INT","."&amp;Q$2&amp;Q$1&amp;"P"&amp;$A45)*RTD("tos.rtd",,"DELTA","."&amp;Q$2&amp;Q$1&amp;"P"&amp;$A45))/1000),0),IF($A$2="VEX",IFERROR(IF($X$1="ABS",($A$4*$A$4*RTD("tos.rtd",,"VOLUME","."&amp;Q$2&amp;Q$1&amp;"C"&amp;$A45)*RTD("tos.rtd",,"GAMMA","."&amp;Q$2&amp;Q$1&amp;"C"&amp;$A45)+$A$4*$A$4*RTD("tos.rtd",,"VOLUME","."&amp;Q$2&amp;Q$1&amp;"P"&amp;$A45)*RTD("tos.rtd",,"GAMMA","."&amp;Q$2&amp;Q$1&amp;"P"&amp;$A45))/1000000,($A$4*$A$4*RTD("tos.rtd",,"VOLUME","."&amp;Q$2&amp;Q$1&amp;"C"&amp;$A45)*RTD("tos.rtd",,"GAMMA","."&amp;Q$2&amp;Q$1&amp;"C"&amp;$A45)-$A$4*$A$4*RTD("tos.rtd",,"VOLUME","."&amp;Q$2&amp;Q$1&amp;"P"&amp;$A45)*RTD("tos.rtd",,"GAMMA","."&amp;Q$2&amp;Q$1&amp;"P"&amp;$A45))/1000000),0),IF($A$2="GEX",IFERROR(IF($X$1="ABS",($A$4*$A$4*RTD("tos.rtd",,"OPEN_INT","."&amp;Q$2&amp;Q$1&amp;"C"&amp;$A45)*RTD("tos.rtd",,"GAMMA","."&amp;Q$2&amp;Q$1&amp;"C"&amp;$A45)+$A$4*$A$4*RTD("tos.rtd",,"OPEN_INT","."&amp;Q$2&amp;Q$1&amp;"P"&amp;$A45)*RTD("tos.rtd",,"GAMMA","."&amp;Q$2&amp;Q$1&amp;"P"&amp;$A45))/1000000,($A$4*$A$4*RTD("tos.rtd",,"OPEN_INT","."&amp;Q$2&amp;Q$1&amp;"C"&amp;$A45)*RTD("tos.rtd",,"GAMMA","."&amp;Q$2&amp;Q$1&amp;"C"&amp;$A45)-$A$4*$A$4*RTD("tos.rtd",,"OPEN_INT","."&amp;Q$2&amp;Q$1&amp;"P"&amp;$A45)*RTD("tos.rtd",,"GAMMA","."&amp;Q$2&amp;Q$1&amp;"P"&amp;$A45))/1000000),0),IF($A$2="SKEW",IFERROR(VALUE(IF(RTD("tos.rtd",,"IMPL_VOL","."&amp;Q$2&amp;Q$1&amp;"P"&amp;$A45)="N/A",0,RTD("tos.rtd",,"IMPL_VOL","."&amp;Q$2&amp;Q$1&amp;"P"&amp;$A45))),0)-IFERROR(VALUE(IF(RTD("tos.rtd",,"IMPL_VOL","."&amp;Q$2&amp;Q$1&amp;"C"&amp;$A45)="N/A",0,RTD("tos.rtd",,"IMPL_VOL","."&amp;Q$2&amp;Q$1&amp;"C"&amp;$A45))),0),IF($A$2="MAXPAIN",IF($A$4&gt;$A45,($A$4-$A45)*IF(RTD("tos.rtd",,"OPEN_INT","."&amp;Q$2&amp;Q$1&amp;"C"&amp;$A45)="N/A",0,RTD("tos.rtd",,"OPEN_INT","."&amp;Q$2&amp;Q$1&amp;"C"&amp;$A45)),0)+IF($A$4&lt;$A45,($A$5-$A$4)*IF(RTD("tos.rtd",,"OPEN_INT","."&amp;Q$2&amp;Q$1&amp;"P"&amp;$A45)="N/A",0,RTD("tos.rtd",,"OPEN_INT","."&amp;Q$2&amp;Q$1&amp;"P"&amp;$A45)),0),IF($X$1="ABS",IF(RTD("tos.rtd",,$A$2,"."&amp;Q$2&amp;Q$1&amp;"C"&amp;$A45)="N/A",0,RTD("tos.rtd",,$A$2,"."&amp;Q$2&amp;Q$1&amp;"C"&amp;$A45))+IF(RTD("tos.rtd",,$A$2,"."&amp;Q$2&amp;Q$1&amp;"P"&amp;$A45)="N/A",0,RTD("tos.rtd",,$A$2,"."&amp;Q$2&amp;Q$1&amp;"P"&amp;$A45)),IF(RTD("tos.rtd",,$A$2,"."&amp;Q$2&amp;Q$1&amp;"C"&amp;$A45)="N/A",0,RTD("tos.rtd",,$A$2,"."&amp;Q$2&amp;Q$1&amp;"C"&amp;$A45))-IF(RTD("tos.rtd",,$A$2,"."&amp;Q$2&amp;Q$1&amp;"P"&amp;$A45)="N/A",0,RTD("tos.rtd",,$A$2,"."&amp;Q$2&amp;Q$1&amp;"P"&amp;$A45))))))))))</f>
        <v>0</v>
      </c>
      <c r="R45" s="12">
        <f ca="1">IF($A$2="PREMIUM_OI",IFERROR(IF($X$1="ABS",(100*RTD("tos.rtd",,"OPEN_INT","."&amp;R$2&amp;R$1&amp;"C"&amp;$A45)*RTD("tos.rtd",,"LAST","."&amp;R$2&amp;R$1&amp;"C"&amp;$A45)+100*RTD("tos.rtd",,"OPEN_INT","."&amp;R$2&amp;R$1&amp;"P"&amp;$A45)*RTD("tos.rtd",,"LAST","."&amp;R$2&amp;R$1&amp;"P"&amp;$A45))/1000000,(100*RTD("tos.rtd",,"OPEN_INT","."&amp;R$2&amp;R$1&amp;"C"&amp;$A45)*RTD("tos.rtd",,"LAST","."&amp;R$2&amp;R$1&amp;"C"&amp;$A45)-100*RTD("tos.rtd",,"OPEN_INT","."&amp;R$2&amp;R$1&amp;"P"&amp;$A45)*RTD("tos.rtd",,"LAST","."&amp;R$2&amp;R$1&amp;"P"&amp;$A45))/1000000),0),IF($A$2="PREMIUM",IFERROR(IF($X$1="ABS",(100*RTD("tos.rtd",,"VOLUME","."&amp;R$2&amp;R$1&amp;"C"&amp;$A45)*RTD("tos.rtd",,"LAST","."&amp;R$2&amp;R$1&amp;"C"&amp;$A45)+100*RTD("tos.rtd",,"VOLUME","."&amp;R$2&amp;R$1&amp;"P"&amp;$A45)*RTD("tos.rtd",,"LAST","."&amp;R$2&amp;R$1&amp;"P"&amp;$A45))/1000000,(100*RTD("tos.rtd",,"VOLUME","."&amp;R$2&amp;R$1&amp;"C"&amp;$A45)*RTD("tos.rtd",,"LAST","."&amp;R$2&amp;R$1&amp;"C"&amp;$A45)-100*RTD("tos.rtd",,"VOLUME","."&amp;R$2&amp;R$1&amp;"P"&amp;$A45)*RTD("tos.rtd",,"LAST","."&amp;R$2&amp;R$1&amp;"P"&amp;$A45))/1000000),0),IF($A$2="DEX",IFERROR(IF($X$1="ABS",(100*RTD("tos.rtd",,"OPEN_INT","."&amp;R$2&amp;R$1&amp;"C"&amp;$A45)*RTD("tos.rtd",,"DELTA","."&amp;R$2&amp;R$1&amp;"C"&amp;$A45)+100*RTD("tos.rtd",,"OPEN_INT","."&amp;R$2&amp;R$1&amp;"P"&amp;$A45)*RTD("tos.rtd",,"DELTA","."&amp;R$2&amp;R$1&amp;"P"&amp;$A45))/1000,(100*RTD("tos.rtd",,"OPEN_INT","."&amp;R$2&amp;R$1&amp;"C"&amp;$A45)*RTD("tos.rtd",,"DELTA","."&amp;R$2&amp;R$1&amp;"C"&amp;$A45)-100*RTD("tos.rtd",,"OPEN_INT","."&amp;R$2&amp;R$1&amp;"P"&amp;$A45)*RTD("tos.rtd",,"DELTA","."&amp;R$2&amp;R$1&amp;"P"&amp;$A45))/1000),0),IF($A$2="VEX",IFERROR(IF($X$1="ABS",($A$4*$A$4*RTD("tos.rtd",,"VOLUME","."&amp;R$2&amp;R$1&amp;"C"&amp;$A45)*RTD("tos.rtd",,"GAMMA","."&amp;R$2&amp;R$1&amp;"C"&amp;$A45)+$A$4*$A$4*RTD("tos.rtd",,"VOLUME","."&amp;R$2&amp;R$1&amp;"P"&amp;$A45)*RTD("tos.rtd",,"GAMMA","."&amp;R$2&amp;R$1&amp;"P"&amp;$A45))/1000000,($A$4*$A$4*RTD("tos.rtd",,"VOLUME","."&amp;R$2&amp;R$1&amp;"C"&amp;$A45)*RTD("tos.rtd",,"GAMMA","."&amp;R$2&amp;R$1&amp;"C"&amp;$A45)-$A$4*$A$4*RTD("tos.rtd",,"VOLUME","."&amp;R$2&amp;R$1&amp;"P"&amp;$A45)*RTD("tos.rtd",,"GAMMA","."&amp;R$2&amp;R$1&amp;"P"&amp;$A45))/1000000),0),IF($A$2="GEX",IFERROR(IF($X$1="ABS",($A$4*$A$4*RTD("tos.rtd",,"OPEN_INT","."&amp;R$2&amp;R$1&amp;"C"&amp;$A45)*RTD("tos.rtd",,"GAMMA","."&amp;R$2&amp;R$1&amp;"C"&amp;$A45)+$A$4*$A$4*RTD("tos.rtd",,"OPEN_INT","."&amp;R$2&amp;R$1&amp;"P"&amp;$A45)*RTD("tos.rtd",,"GAMMA","."&amp;R$2&amp;R$1&amp;"P"&amp;$A45))/1000000,($A$4*$A$4*RTD("tos.rtd",,"OPEN_INT","."&amp;R$2&amp;R$1&amp;"C"&amp;$A45)*RTD("tos.rtd",,"GAMMA","."&amp;R$2&amp;R$1&amp;"C"&amp;$A45)-$A$4*$A$4*RTD("tos.rtd",,"OPEN_INT","."&amp;R$2&amp;R$1&amp;"P"&amp;$A45)*RTD("tos.rtd",,"GAMMA","."&amp;R$2&amp;R$1&amp;"P"&amp;$A45))/1000000),0),IF($A$2="SKEW",IFERROR(VALUE(IF(RTD("tos.rtd",,"IMPL_VOL","."&amp;R$2&amp;R$1&amp;"P"&amp;$A45)="N/A",0,RTD("tos.rtd",,"IMPL_VOL","."&amp;R$2&amp;R$1&amp;"P"&amp;$A45))),0)-IFERROR(VALUE(IF(RTD("tos.rtd",,"IMPL_VOL","."&amp;R$2&amp;R$1&amp;"C"&amp;$A45)="N/A",0,RTD("tos.rtd",,"IMPL_VOL","."&amp;R$2&amp;R$1&amp;"C"&amp;$A45))),0),IF($A$2="MAXPAIN",IF($A$4&gt;$A45,($A$4-$A45)*IF(RTD("tos.rtd",,"OPEN_INT","."&amp;R$2&amp;R$1&amp;"C"&amp;$A45)="N/A",0,RTD("tos.rtd",,"OPEN_INT","."&amp;R$2&amp;R$1&amp;"C"&amp;$A45)),0)+IF($A$4&lt;$A45,($A$5-$A$4)*IF(RTD("tos.rtd",,"OPEN_INT","."&amp;R$2&amp;R$1&amp;"P"&amp;$A45)="N/A",0,RTD("tos.rtd",,"OPEN_INT","."&amp;R$2&amp;R$1&amp;"P"&amp;$A45)),0),IF($X$1="ABS",IF(RTD("tos.rtd",,$A$2,"."&amp;R$2&amp;R$1&amp;"C"&amp;$A45)="N/A",0,RTD("tos.rtd",,$A$2,"."&amp;R$2&amp;R$1&amp;"C"&amp;$A45))+IF(RTD("tos.rtd",,$A$2,"."&amp;R$2&amp;R$1&amp;"P"&amp;$A45)="N/A",0,RTD("tos.rtd",,$A$2,"."&amp;R$2&amp;R$1&amp;"P"&amp;$A45)),IF(RTD("tos.rtd",,$A$2,"."&amp;R$2&amp;R$1&amp;"C"&amp;$A45)="N/A",0,RTD("tos.rtd",,$A$2,"."&amp;R$2&amp;R$1&amp;"C"&amp;$A45))-IF(RTD("tos.rtd",,$A$2,"."&amp;R$2&amp;R$1&amp;"P"&amp;$A45)="N/A",0,RTD("tos.rtd",,$A$2,"."&amp;R$2&amp;R$1&amp;"P"&amp;$A45))))))))))</f>
        <v>0</v>
      </c>
      <c r="S45" s="12">
        <f ca="1">IF($A$2="PREMIUM_OI",IFERROR(IF($X$1="ABS",(100*RTD("tos.rtd",,"OPEN_INT","."&amp;S$2&amp;S$1&amp;"C"&amp;$A45)*RTD("tos.rtd",,"LAST","."&amp;S$2&amp;S$1&amp;"C"&amp;$A45)+100*RTD("tos.rtd",,"OPEN_INT","."&amp;S$2&amp;S$1&amp;"P"&amp;$A45)*RTD("tos.rtd",,"LAST","."&amp;S$2&amp;S$1&amp;"P"&amp;$A45))/1000000,(100*RTD("tos.rtd",,"OPEN_INT","."&amp;S$2&amp;S$1&amp;"C"&amp;$A45)*RTD("tos.rtd",,"LAST","."&amp;S$2&amp;S$1&amp;"C"&amp;$A45)-100*RTD("tos.rtd",,"OPEN_INT","."&amp;S$2&amp;S$1&amp;"P"&amp;$A45)*RTD("tos.rtd",,"LAST","."&amp;S$2&amp;S$1&amp;"P"&amp;$A45))/1000000),0),IF($A$2="PREMIUM",IFERROR(IF($X$1="ABS",(100*RTD("tos.rtd",,"VOLUME","."&amp;S$2&amp;S$1&amp;"C"&amp;$A45)*RTD("tos.rtd",,"LAST","."&amp;S$2&amp;S$1&amp;"C"&amp;$A45)+100*RTD("tos.rtd",,"VOLUME","."&amp;S$2&amp;S$1&amp;"P"&amp;$A45)*RTD("tos.rtd",,"LAST","."&amp;S$2&amp;S$1&amp;"P"&amp;$A45))/1000000,(100*RTD("tos.rtd",,"VOLUME","."&amp;S$2&amp;S$1&amp;"C"&amp;$A45)*RTD("tos.rtd",,"LAST","."&amp;S$2&amp;S$1&amp;"C"&amp;$A45)-100*RTD("tos.rtd",,"VOLUME","."&amp;S$2&amp;S$1&amp;"P"&amp;$A45)*RTD("tos.rtd",,"LAST","."&amp;S$2&amp;S$1&amp;"P"&amp;$A45))/1000000),0),IF($A$2="DEX",IFERROR(IF($X$1="ABS",(100*RTD("tos.rtd",,"OPEN_INT","."&amp;S$2&amp;S$1&amp;"C"&amp;$A45)*RTD("tos.rtd",,"DELTA","."&amp;S$2&amp;S$1&amp;"C"&amp;$A45)+100*RTD("tos.rtd",,"OPEN_INT","."&amp;S$2&amp;S$1&amp;"P"&amp;$A45)*RTD("tos.rtd",,"DELTA","."&amp;S$2&amp;S$1&amp;"P"&amp;$A45))/1000,(100*RTD("tos.rtd",,"OPEN_INT","."&amp;S$2&amp;S$1&amp;"C"&amp;$A45)*RTD("tos.rtd",,"DELTA","."&amp;S$2&amp;S$1&amp;"C"&amp;$A45)-100*RTD("tos.rtd",,"OPEN_INT","."&amp;S$2&amp;S$1&amp;"P"&amp;$A45)*RTD("tos.rtd",,"DELTA","."&amp;S$2&amp;S$1&amp;"P"&amp;$A45))/1000),0),IF($A$2="VEX",IFERROR(IF($X$1="ABS",($A$4*$A$4*RTD("tos.rtd",,"VOLUME","."&amp;S$2&amp;S$1&amp;"C"&amp;$A45)*RTD("tos.rtd",,"GAMMA","."&amp;S$2&amp;S$1&amp;"C"&amp;$A45)+$A$4*$A$4*RTD("tos.rtd",,"VOLUME","."&amp;S$2&amp;S$1&amp;"P"&amp;$A45)*RTD("tos.rtd",,"GAMMA","."&amp;S$2&amp;S$1&amp;"P"&amp;$A45))/1000000,($A$4*$A$4*RTD("tos.rtd",,"VOLUME","."&amp;S$2&amp;S$1&amp;"C"&amp;$A45)*RTD("tos.rtd",,"GAMMA","."&amp;S$2&amp;S$1&amp;"C"&amp;$A45)-$A$4*$A$4*RTD("tos.rtd",,"VOLUME","."&amp;S$2&amp;S$1&amp;"P"&amp;$A45)*RTD("tos.rtd",,"GAMMA","."&amp;S$2&amp;S$1&amp;"P"&amp;$A45))/1000000),0),IF($A$2="GEX",IFERROR(IF($X$1="ABS",($A$4*$A$4*RTD("tos.rtd",,"OPEN_INT","."&amp;S$2&amp;S$1&amp;"C"&amp;$A45)*RTD("tos.rtd",,"GAMMA","."&amp;S$2&amp;S$1&amp;"C"&amp;$A45)+$A$4*$A$4*RTD("tos.rtd",,"OPEN_INT","."&amp;S$2&amp;S$1&amp;"P"&amp;$A45)*RTD("tos.rtd",,"GAMMA","."&amp;S$2&amp;S$1&amp;"P"&amp;$A45))/1000000,($A$4*$A$4*RTD("tos.rtd",,"OPEN_INT","."&amp;S$2&amp;S$1&amp;"C"&amp;$A45)*RTD("tos.rtd",,"GAMMA","."&amp;S$2&amp;S$1&amp;"C"&amp;$A45)-$A$4*$A$4*RTD("tos.rtd",,"OPEN_INT","."&amp;S$2&amp;S$1&amp;"P"&amp;$A45)*RTD("tos.rtd",,"GAMMA","."&amp;S$2&amp;S$1&amp;"P"&amp;$A45))/1000000),0),IF($A$2="SKEW",IFERROR(VALUE(IF(RTD("tos.rtd",,"IMPL_VOL","."&amp;S$2&amp;S$1&amp;"P"&amp;$A45)="N/A",0,RTD("tos.rtd",,"IMPL_VOL","."&amp;S$2&amp;S$1&amp;"P"&amp;$A45))),0)-IFERROR(VALUE(IF(RTD("tos.rtd",,"IMPL_VOL","."&amp;S$2&amp;S$1&amp;"C"&amp;$A45)="N/A",0,RTD("tos.rtd",,"IMPL_VOL","."&amp;S$2&amp;S$1&amp;"C"&amp;$A45))),0),IF($A$2="MAXPAIN",IF($A$4&gt;$A45,($A$4-$A45)*IF(RTD("tos.rtd",,"OPEN_INT","."&amp;S$2&amp;S$1&amp;"C"&amp;$A45)="N/A",0,RTD("tos.rtd",,"OPEN_INT","."&amp;S$2&amp;S$1&amp;"C"&amp;$A45)),0)+IF($A$4&lt;$A45,($A$5-$A$4)*IF(RTD("tos.rtd",,"OPEN_INT","."&amp;S$2&amp;S$1&amp;"P"&amp;$A45)="N/A",0,RTD("tos.rtd",,"OPEN_INT","."&amp;S$2&amp;S$1&amp;"P"&amp;$A45)),0),IF($X$1="ABS",IF(RTD("tos.rtd",,$A$2,"."&amp;S$2&amp;S$1&amp;"C"&amp;$A45)="N/A",0,RTD("tos.rtd",,$A$2,"."&amp;S$2&amp;S$1&amp;"C"&amp;$A45))+IF(RTD("tos.rtd",,$A$2,"."&amp;S$2&amp;S$1&amp;"P"&amp;$A45)="N/A",0,RTD("tos.rtd",,$A$2,"."&amp;S$2&amp;S$1&amp;"P"&amp;$A45)),IF(RTD("tos.rtd",,$A$2,"."&amp;S$2&amp;S$1&amp;"C"&amp;$A45)="N/A",0,RTD("tos.rtd",,$A$2,"."&amp;S$2&amp;S$1&amp;"C"&amp;$A45))-IF(RTD("tos.rtd",,$A$2,"."&amp;S$2&amp;S$1&amp;"P"&amp;$A45)="N/A",0,RTD("tos.rtd",,$A$2,"."&amp;S$2&amp;S$1&amp;"P"&amp;$A45))))))))))</f>
        <v>0</v>
      </c>
      <c r="T45" s="12">
        <f ca="1">IF($A$2="PREMIUM_OI",IFERROR(IF($X$1="ABS",(100*RTD("tos.rtd",,"OPEN_INT","."&amp;T$2&amp;T$1&amp;"C"&amp;$A45)*RTD("tos.rtd",,"LAST","."&amp;T$2&amp;T$1&amp;"C"&amp;$A45)+100*RTD("tos.rtd",,"OPEN_INT","."&amp;T$2&amp;T$1&amp;"P"&amp;$A45)*RTD("tos.rtd",,"LAST","."&amp;T$2&amp;T$1&amp;"P"&amp;$A45))/1000000,(100*RTD("tos.rtd",,"OPEN_INT","."&amp;T$2&amp;T$1&amp;"C"&amp;$A45)*RTD("tos.rtd",,"LAST","."&amp;T$2&amp;T$1&amp;"C"&amp;$A45)-100*RTD("tos.rtd",,"OPEN_INT","."&amp;T$2&amp;T$1&amp;"P"&amp;$A45)*RTD("tos.rtd",,"LAST","."&amp;T$2&amp;T$1&amp;"P"&amp;$A45))/1000000),0),IF($A$2="PREMIUM",IFERROR(IF($X$1="ABS",(100*RTD("tos.rtd",,"VOLUME","."&amp;T$2&amp;T$1&amp;"C"&amp;$A45)*RTD("tos.rtd",,"LAST","."&amp;T$2&amp;T$1&amp;"C"&amp;$A45)+100*RTD("tos.rtd",,"VOLUME","."&amp;T$2&amp;T$1&amp;"P"&amp;$A45)*RTD("tos.rtd",,"LAST","."&amp;T$2&amp;T$1&amp;"P"&amp;$A45))/1000000,(100*RTD("tos.rtd",,"VOLUME","."&amp;T$2&amp;T$1&amp;"C"&amp;$A45)*RTD("tos.rtd",,"LAST","."&amp;T$2&amp;T$1&amp;"C"&amp;$A45)-100*RTD("tos.rtd",,"VOLUME","."&amp;T$2&amp;T$1&amp;"P"&amp;$A45)*RTD("tos.rtd",,"LAST","."&amp;T$2&amp;T$1&amp;"P"&amp;$A45))/1000000),0),IF($A$2="DEX",IFERROR(IF($X$1="ABS",(100*RTD("tos.rtd",,"OPEN_INT","."&amp;T$2&amp;T$1&amp;"C"&amp;$A45)*RTD("tos.rtd",,"DELTA","."&amp;T$2&amp;T$1&amp;"C"&amp;$A45)+100*RTD("tos.rtd",,"OPEN_INT","."&amp;T$2&amp;T$1&amp;"P"&amp;$A45)*RTD("tos.rtd",,"DELTA","."&amp;T$2&amp;T$1&amp;"P"&amp;$A45))/1000,(100*RTD("tos.rtd",,"OPEN_INT","."&amp;T$2&amp;T$1&amp;"C"&amp;$A45)*RTD("tos.rtd",,"DELTA","."&amp;T$2&amp;T$1&amp;"C"&amp;$A45)-100*RTD("tos.rtd",,"OPEN_INT","."&amp;T$2&amp;T$1&amp;"P"&amp;$A45)*RTD("tos.rtd",,"DELTA","."&amp;T$2&amp;T$1&amp;"P"&amp;$A45))/1000),0),IF($A$2="VEX",IFERROR(IF($X$1="ABS",($A$4*$A$4*RTD("tos.rtd",,"VOLUME","."&amp;T$2&amp;T$1&amp;"C"&amp;$A45)*RTD("tos.rtd",,"GAMMA","."&amp;T$2&amp;T$1&amp;"C"&amp;$A45)+$A$4*$A$4*RTD("tos.rtd",,"VOLUME","."&amp;T$2&amp;T$1&amp;"P"&amp;$A45)*RTD("tos.rtd",,"GAMMA","."&amp;T$2&amp;T$1&amp;"P"&amp;$A45))/1000000,($A$4*$A$4*RTD("tos.rtd",,"VOLUME","."&amp;T$2&amp;T$1&amp;"C"&amp;$A45)*RTD("tos.rtd",,"GAMMA","."&amp;T$2&amp;T$1&amp;"C"&amp;$A45)-$A$4*$A$4*RTD("tos.rtd",,"VOLUME","."&amp;T$2&amp;T$1&amp;"P"&amp;$A45)*RTD("tos.rtd",,"GAMMA","."&amp;T$2&amp;T$1&amp;"P"&amp;$A45))/1000000),0),IF($A$2="GEX",IFERROR(IF($X$1="ABS",($A$4*$A$4*RTD("tos.rtd",,"OPEN_INT","."&amp;T$2&amp;T$1&amp;"C"&amp;$A45)*RTD("tos.rtd",,"GAMMA","."&amp;T$2&amp;T$1&amp;"C"&amp;$A45)+$A$4*$A$4*RTD("tos.rtd",,"OPEN_INT","."&amp;T$2&amp;T$1&amp;"P"&amp;$A45)*RTD("tos.rtd",,"GAMMA","."&amp;T$2&amp;T$1&amp;"P"&amp;$A45))/1000000,($A$4*$A$4*RTD("tos.rtd",,"OPEN_INT","."&amp;T$2&amp;T$1&amp;"C"&amp;$A45)*RTD("tos.rtd",,"GAMMA","."&amp;T$2&amp;T$1&amp;"C"&amp;$A45)-$A$4*$A$4*RTD("tos.rtd",,"OPEN_INT","."&amp;T$2&amp;T$1&amp;"P"&amp;$A45)*RTD("tos.rtd",,"GAMMA","."&amp;T$2&amp;T$1&amp;"P"&amp;$A45))/1000000),0),IF($A$2="SKEW",IFERROR(VALUE(IF(RTD("tos.rtd",,"IMPL_VOL","."&amp;T$2&amp;T$1&amp;"P"&amp;$A45)="N/A",0,RTD("tos.rtd",,"IMPL_VOL","."&amp;T$2&amp;T$1&amp;"P"&amp;$A45))),0)-IFERROR(VALUE(IF(RTD("tos.rtd",,"IMPL_VOL","."&amp;T$2&amp;T$1&amp;"C"&amp;$A45)="N/A",0,RTD("tos.rtd",,"IMPL_VOL","."&amp;T$2&amp;T$1&amp;"C"&amp;$A45))),0),IF($A$2="MAXPAIN",IF($A$4&gt;$A45,($A$4-$A45)*IF(RTD("tos.rtd",,"OPEN_INT","."&amp;T$2&amp;T$1&amp;"C"&amp;$A45)="N/A",0,RTD("tos.rtd",,"OPEN_INT","."&amp;T$2&amp;T$1&amp;"C"&amp;$A45)),0)+IF($A$4&lt;$A45,($A$5-$A$4)*IF(RTD("tos.rtd",,"OPEN_INT","."&amp;T$2&amp;T$1&amp;"P"&amp;$A45)="N/A",0,RTD("tos.rtd",,"OPEN_INT","."&amp;T$2&amp;T$1&amp;"P"&amp;$A45)),0),IF($X$1="ABS",IF(RTD("tos.rtd",,$A$2,"."&amp;T$2&amp;T$1&amp;"C"&amp;$A45)="N/A",0,RTD("tos.rtd",,$A$2,"."&amp;T$2&amp;T$1&amp;"C"&amp;$A45))+IF(RTD("tos.rtd",,$A$2,"."&amp;T$2&amp;T$1&amp;"P"&amp;$A45)="N/A",0,RTD("tos.rtd",,$A$2,"."&amp;T$2&amp;T$1&amp;"P"&amp;$A45)),IF(RTD("tos.rtd",,$A$2,"."&amp;T$2&amp;T$1&amp;"C"&amp;$A45)="N/A",0,RTD("tos.rtd",,$A$2,"."&amp;T$2&amp;T$1&amp;"C"&amp;$A45))-IF(RTD("tos.rtd",,$A$2,"."&amp;T$2&amp;T$1&amp;"P"&amp;$A45)="N/A",0,RTD("tos.rtd",,$A$2,"."&amp;T$2&amp;T$1&amp;"P"&amp;$A45))))))))))</f>
        <v>0</v>
      </c>
      <c r="U45" s="12">
        <f ca="1">IF($A$2="PREMIUM_OI",IFERROR(IF($X$1="ABS",(100*RTD("tos.rtd",,"OPEN_INT","."&amp;U$2&amp;U$1&amp;"C"&amp;$A45)*RTD("tos.rtd",,"LAST","."&amp;U$2&amp;U$1&amp;"C"&amp;$A45)+100*RTD("tos.rtd",,"OPEN_INT","."&amp;U$2&amp;U$1&amp;"P"&amp;$A45)*RTD("tos.rtd",,"LAST","."&amp;U$2&amp;U$1&amp;"P"&amp;$A45))/1000000,(100*RTD("tos.rtd",,"OPEN_INT","."&amp;U$2&amp;U$1&amp;"C"&amp;$A45)*RTD("tos.rtd",,"LAST","."&amp;U$2&amp;U$1&amp;"C"&amp;$A45)-100*RTD("tos.rtd",,"OPEN_INT","."&amp;U$2&amp;U$1&amp;"P"&amp;$A45)*RTD("tos.rtd",,"LAST","."&amp;U$2&amp;U$1&amp;"P"&amp;$A45))/1000000),0),IF($A$2="PREMIUM",IFERROR(IF($X$1="ABS",(100*RTD("tos.rtd",,"VOLUME","."&amp;U$2&amp;U$1&amp;"C"&amp;$A45)*RTD("tos.rtd",,"LAST","."&amp;U$2&amp;U$1&amp;"C"&amp;$A45)+100*RTD("tos.rtd",,"VOLUME","."&amp;U$2&amp;U$1&amp;"P"&amp;$A45)*RTD("tos.rtd",,"LAST","."&amp;U$2&amp;U$1&amp;"P"&amp;$A45))/1000000,(100*RTD("tos.rtd",,"VOLUME","."&amp;U$2&amp;U$1&amp;"C"&amp;$A45)*RTD("tos.rtd",,"LAST","."&amp;U$2&amp;U$1&amp;"C"&amp;$A45)-100*RTD("tos.rtd",,"VOLUME","."&amp;U$2&amp;U$1&amp;"P"&amp;$A45)*RTD("tos.rtd",,"LAST","."&amp;U$2&amp;U$1&amp;"P"&amp;$A45))/1000000),0),IF($A$2="DEX",IFERROR(IF($X$1="ABS",(100*RTD("tos.rtd",,"OPEN_INT","."&amp;U$2&amp;U$1&amp;"C"&amp;$A45)*RTD("tos.rtd",,"DELTA","."&amp;U$2&amp;U$1&amp;"C"&amp;$A45)+100*RTD("tos.rtd",,"OPEN_INT","."&amp;U$2&amp;U$1&amp;"P"&amp;$A45)*RTD("tos.rtd",,"DELTA","."&amp;U$2&amp;U$1&amp;"P"&amp;$A45))/1000,(100*RTD("tos.rtd",,"OPEN_INT","."&amp;U$2&amp;U$1&amp;"C"&amp;$A45)*RTD("tos.rtd",,"DELTA","."&amp;U$2&amp;U$1&amp;"C"&amp;$A45)-100*RTD("tos.rtd",,"OPEN_INT","."&amp;U$2&amp;U$1&amp;"P"&amp;$A45)*RTD("tos.rtd",,"DELTA","."&amp;U$2&amp;U$1&amp;"P"&amp;$A45))/1000),0),IF($A$2="VEX",IFERROR(IF($X$1="ABS",($A$4*$A$4*RTD("tos.rtd",,"VOLUME","."&amp;U$2&amp;U$1&amp;"C"&amp;$A45)*RTD("tos.rtd",,"GAMMA","."&amp;U$2&amp;U$1&amp;"C"&amp;$A45)+$A$4*$A$4*RTD("tos.rtd",,"VOLUME","."&amp;U$2&amp;U$1&amp;"P"&amp;$A45)*RTD("tos.rtd",,"GAMMA","."&amp;U$2&amp;U$1&amp;"P"&amp;$A45))/1000000,($A$4*$A$4*RTD("tos.rtd",,"VOLUME","."&amp;U$2&amp;U$1&amp;"C"&amp;$A45)*RTD("tos.rtd",,"GAMMA","."&amp;U$2&amp;U$1&amp;"C"&amp;$A45)-$A$4*$A$4*RTD("tos.rtd",,"VOLUME","."&amp;U$2&amp;U$1&amp;"P"&amp;$A45)*RTD("tos.rtd",,"GAMMA","."&amp;U$2&amp;U$1&amp;"P"&amp;$A45))/1000000),0),IF($A$2="GEX",IFERROR(IF($X$1="ABS",($A$4*$A$4*RTD("tos.rtd",,"OPEN_INT","."&amp;U$2&amp;U$1&amp;"C"&amp;$A45)*RTD("tos.rtd",,"GAMMA","."&amp;U$2&amp;U$1&amp;"C"&amp;$A45)+$A$4*$A$4*RTD("tos.rtd",,"OPEN_INT","."&amp;U$2&amp;U$1&amp;"P"&amp;$A45)*RTD("tos.rtd",,"GAMMA","."&amp;U$2&amp;U$1&amp;"P"&amp;$A45))/1000000,($A$4*$A$4*RTD("tos.rtd",,"OPEN_INT","."&amp;U$2&amp;U$1&amp;"C"&amp;$A45)*RTD("tos.rtd",,"GAMMA","."&amp;U$2&amp;U$1&amp;"C"&amp;$A45)-$A$4*$A$4*RTD("tos.rtd",,"OPEN_INT","."&amp;U$2&amp;U$1&amp;"P"&amp;$A45)*RTD("tos.rtd",,"GAMMA","."&amp;U$2&amp;U$1&amp;"P"&amp;$A45))/1000000),0),IF($A$2="SKEW",IFERROR(VALUE(IF(RTD("tos.rtd",,"IMPL_VOL","."&amp;U$2&amp;U$1&amp;"P"&amp;$A45)="N/A",0,RTD("tos.rtd",,"IMPL_VOL","."&amp;U$2&amp;U$1&amp;"P"&amp;$A45))),0)-IFERROR(VALUE(IF(RTD("tos.rtd",,"IMPL_VOL","."&amp;U$2&amp;U$1&amp;"C"&amp;$A45)="N/A",0,RTD("tos.rtd",,"IMPL_VOL","."&amp;U$2&amp;U$1&amp;"C"&amp;$A45))),0),IF($A$2="MAXPAIN",IF($A$4&gt;$A45,($A$4-$A45)*IF(RTD("tos.rtd",,"OPEN_INT","."&amp;U$2&amp;U$1&amp;"C"&amp;$A45)="N/A",0,RTD("tos.rtd",,"OPEN_INT","."&amp;U$2&amp;U$1&amp;"C"&amp;$A45)),0)+IF($A$4&lt;$A45,($A$5-$A$4)*IF(RTD("tos.rtd",,"OPEN_INT","."&amp;U$2&amp;U$1&amp;"P"&amp;$A45)="N/A",0,RTD("tos.rtd",,"OPEN_INT","."&amp;U$2&amp;U$1&amp;"P"&amp;$A45)),0),IF($X$1="ABS",IF(RTD("tos.rtd",,$A$2,"."&amp;U$2&amp;U$1&amp;"C"&amp;$A45)="N/A",0,RTD("tos.rtd",,$A$2,"."&amp;U$2&amp;U$1&amp;"C"&amp;$A45))+IF(RTD("tos.rtd",,$A$2,"."&amp;U$2&amp;U$1&amp;"P"&amp;$A45)="N/A",0,RTD("tos.rtd",,$A$2,"."&amp;U$2&amp;U$1&amp;"P"&amp;$A45)),IF(RTD("tos.rtd",,$A$2,"."&amp;U$2&amp;U$1&amp;"C"&amp;$A45)="N/A",0,RTD("tos.rtd",,$A$2,"."&amp;U$2&amp;U$1&amp;"C"&amp;$A45))-IF(RTD("tos.rtd",,$A$2,"."&amp;U$2&amp;U$1&amp;"P"&amp;$A45)="N/A",0,RTD("tos.rtd",,$A$2,"."&amp;U$2&amp;U$1&amp;"P"&amp;$A45))))))))))</f>
        <v>0</v>
      </c>
      <c r="V45" s="12">
        <f ca="1">IF($A$2="PREMIUM_OI",IFERROR(IF($X$1="ABS",(100*RTD("tos.rtd",,"OPEN_INT","."&amp;V$2&amp;V$1&amp;"C"&amp;$A45)*RTD("tos.rtd",,"LAST","."&amp;V$2&amp;V$1&amp;"C"&amp;$A45)+100*RTD("tos.rtd",,"OPEN_INT","."&amp;V$2&amp;V$1&amp;"P"&amp;$A45)*RTD("tos.rtd",,"LAST","."&amp;V$2&amp;V$1&amp;"P"&amp;$A45))/1000000,(100*RTD("tos.rtd",,"OPEN_INT","."&amp;V$2&amp;V$1&amp;"C"&amp;$A45)*RTD("tos.rtd",,"LAST","."&amp;V$2&amp;V$1&amp;"C"&amp;$A45)-100*RTD("tos.rtd",,"OPEN_INT","."&amp;V$2&amp;V$1&amp;"P"&amp;$A45)*RTD("tos.rtd",,"LAST","."&amp;V$2&amp;V$1&amp;"P"&amp;$A45))/1000000),0),IF($A$2="PREMIUM",IFERROR(IF($X$1="ABS",(100*RTD("tos.rtd",,"VOLUME","."&amp;V$2&amp;V$1&amp;"C"&amp;$A45)*RTD("tos.rtd",,"LAST","."&amp;V$2&amp;V$1&amp;"C"&amp;$A45)+100*RTD("tos.rtd",,"VOLUME","."&amp;V$2&amp;V$1&amp;"P"&amp;$A45)*RTD("tos.rtd",,"LAST","."&amp;V$2&amp;V$1&amp;"P"&amp;$A45))/1000000,(100*RTD("tos.rtd",,"VOLUME","."&amp;V$2&amp;V$1&amp;"C"&amp;$A45)*RTD("tos.rtd",,"LAST","."&amp;V$2&amp;V$1&amp;"C"&amp;$A45)-100*RTD("tos.rtd",,"VOLUME","."&amp;V$2&amp;V$1&amp;"P"&amp;$A45)*RTD("tos.rtd",,"LAST","."&amp;V$2&amp;V$1&amp;"P"&amp;$A45))/1000000),0),IF($A$2="DEX",IFERROR(IF($X$1="ABS",(100*RTD("tos.rtd",,"OPEN_INT","."&amp;V$2&amp;V$1&amp;"C"&amp;$A45)*RTD("tos.rtd",,"DELTA","."&amp;V$2&amp;V$1&amp;"C"&amp;$A45)+100*RTD("tos.rtd",,"OPEN_INT","."&amp;V$2&amp;V$1&amp;"P"&amp;$A45)*RTD("tos.rtd",,"DELTA","."&amp;V$2&amp;V$1&amp;"P"&amp;$A45))/1000,(100*RTD("tos.rtd",,"OPEN_INT","."&amp;V$2&amp;V$1&amp;"C"&amp;$A45)*RTD("tos.rtd",,"DELTA","."&amp;V$2&amp;V$1&amp;"C"&amp;$A45)-100*RTD("tos.rtd",,"OPEN_INT","."&amp;V$2&amp;V$1&amp;"P"&amp;$A45)*RTD("tos.rtd",,"DELTA","."&amp;V$2&amp;V$1&amp;"P"&amp;$A45))/1000),0),IF($A$2="VEX",IFERROR(IF($X$1="ABS",($A$4*$A$4*RTD("tos.rtd",,"VOLUME","."&amp;V$2&amp;V$1&amp;"C"&amp;$A45)*RTD("tos.rtd",,"GAMMA","."&amp;V$2&amp;V$1&amp;"C"&amp;$A45)+$A$4*$A$4*RTD("tos.rtd",,"VOLUME","."&amp;V$2&amp;V$1&amp;"P"&amp;$A45)*RTD("tos.rtd",,"GAMMA","."&amp;V$2&amp;V$1&amp;"P"&amp;$A45))/1000000,($A$4*$A$4*RTD("tos.rtd",,"VOLUME","."&amp;V$2&amp;V$1&amp;"C"&amp;$A45)*RTD("tos.rtd",,"GAMMA","."&amp;V$2&amp;V$1&amp;"C"&amp;$A45)-$A$4*$A$4*RTD("tos.rtd",,"VOLUME","."&amp;V$2&amp;V$1&amp;"P"&amp;$A45)*RTD("tos.rtd",,"GAMMA","."&amp;V$2&amp;V$1&amp;"P"&amp;$A45))/1000000),0),IF($A$2="GEX",IFERROR(IF($X$1="ABS",($A$4*$A$4*RTD("tos.rtd",,"OPEN_INT","."&amp;V$2&amp;V$1&amp;"C"&amp;$A45)*RTD("tos.rtd",,"GAMMA","."&amp;V$2&amp;V$1&amp;"C"&amp;$A45)+$A$4*$A$4*RTD("tos.rtd",,"OPEN_INT","."&amp;V$2&amp;V$1&amp;"P"&amp;$A45)*RTD("tos.rtd",,"GAMMA","."&amp;V$2&amp;V$1&amp;"P"&amp;$A45))/1000000,($A$4*$A$4*RTD("tos.rtd",,"OPEN_INT","."&amp;V$2&amp;V$1&amp;"C"&amp;$A45)*RTD("tos.rtd",,"GAMMA","."&amp;V$2&amp;V$1&amp;"C"&amp;$A45)-$A$4*$A$4*RTD("tos.rtd",,"OPEN_INT","."&amp;V$2&amp;V$1&amp;"P"&amp;$A45)*RTD("tos.rtd",,"GAMMA","."&amp;V$2&amp;V$1&amp;"P"&amp;$A45))/1000000),0),IF($A$2="SKEW",IFERROR(VALUE(IF(RTD("tos.rtd",,"IMPL_VOL","."&amp;V$2&amp;V$1&amp;"P"&amp;$A45)="N/A",0,RTD("tos.rtd",,"IMPL_VOL","."&amp;V$2&amp;V$1&amp;"P"&amp;$A45))),0)-IFERROR(VALUE(IF(RTD("tos.rtd",,"IMPL_VOL","."&amp;V$2&amp;V$1&amp;"C"&amp;$A45)="N/A",0,RTD("tos.rtd",,"IMPL_VOL","."&amp;V$2&amp;V$1&amp;"C"&amp;$A45))),0),IF($A$2="MAXPAIN",IF($A$4&gt;$A45,($A$4-$A45)*IF(RTD("tos.rtd",,"OPEN_INT","."&amp;V$2&amp;V$1&amp;"C"&amp;$A45)="N/A",0,RTD("tos.rtd",,"OPEN_INT","."&amp;V$2&amp;V$1&amp;"C"&amp;$A45)),0)+IF($A$4&lt;$A45,($A$5-$A$4)*IF(RTD("tos.rtd",,"OPEN_INT","."&amp;V$2&amp;V$1&amp;"P"&amp;$A45)="N/A",0,RTD("tos.rtd",,"OPEN_INT","."&amp;V$2&amp;V$1&amp;"P"&amp;$A45)),0),IF($X$1="ABS",IF(RTD("tos.rtd",,$A$2,"."&amp;V$2&amp;V$1&amp;"C"&amp;$A45)="N/A",0,RTD("tos.rtd",,$A$2,"."&amp;V$2&amp;V$1&amp;"C"&amp;$A45))+IF(RTD("tos.rtd",,$A$2,"."&amp;V$2&amp;V$1&amp;"P"&amp;$A45)="N/A",0,RTD("tos.rtd",,$A$2,"."&amp;V$2&amp;V$1&amp;"P"&amp;$A45)),IF(RTD("tos.rtd",,$A$2,"."&amp;V$2&amp;V$1&amp;"C"&amp;$A45)="N/A",0,RTD("tos.rtd",,$A$2,"."&amp;V$2&amp;V$1&amp;"C"&amp;$A45))-IF(RTD("tos.rtd",,$A$2,"."&amp;V$2&amp;V$1&amp;"P"&amp;$A45)="N/A",0,RTD("tos.rtd",,$A$2,"."&amp;V$2&amp;V$1&amp;"P"&amp;$A45))))))))))</f>
        <v>0</v>
      </c>
      <c r="W45" s="12">
        <f ca="1">IF($A$2="PREMIUM_OI",IFERROR(IF($X$1="ABS",(100*RTD("tos.rtd",,"OPEN_INT","."&amp;W$2&amp;W$1&amp;"C"&amp;$A45)*RTD("tos.rtd",,"LAST","."&amp;W$2&amp;W$1&amp;"C"&amp;$A45)+100*RTD("tos.rtd",,"OPEN_INT","."&amp;W$2&amp;W$1&amp;"P"&amp;$A45)*RTD("tos.rtd",,"LAST","."&amp;W$2&amp;W$1&amp;"P"&amp;$A45))/1000000,(100*RTD("tos.rtd",,"OPEN_INT","."&amp;W$2&amp;W$1&amp;"C"&amp;$A45)*RTD("tos.rtd",,"LAST","."&amp;W$2&amp;W$1&amp;"C"&amp;$A45)-100*RTD("tos.rtd",,"OPEN_INT","."&amp;W$2&amp;W$1&amp;"P"&amp;$A45)*RTD("tos.rtd",,"LAST","."&amp;W$2&amp;W$1&amp;"P"&amp;$A45))/1000000),0),IF($A$2="PREMIUM",IFERROR(IF($X$1="ABS",(100*RTD("tos.rtd",,"VOLUME","."&amp;W$2&amp;W$1&amp;"C"&amp;$A45)*RTD("tos.rtd",,"LAST","."&amp;W$2&amp;W$1&amp;"C"&amp;$A45)+100*RTD("tos.rtd",,"VOLUME","."&amp;W$2&amp;W$1&amp;"P"&amp;$A45)*RTD("tos.rtd",,"LAST","."&amp;W$2&amp;W$1&amp;"P"&amp;$A45))/1000000,(100*RTD("tos.rtd",,"VOLUME","."&amp;W$2&amp;W$1&amp;"C"&amp;$A45)*RTD("tos.rtd",,"LAST","."&amp;W$2&amp;W$1&amp;"C"&amp;$A45)-100*RTD("tos.rtd",,"VOLUME","."&amp;W$2&amp;W$1&amp;"P"&amp;$A45)*RTD("tos.rtd",,"LAST","."&amp;W$2&amp;W$1&amp;"P"&amp;$A45))/1000000),0),IF($A$2="DEX",IFERROR(IF($X$1="ABS",(100*RTD("tos.rtd",,"OPEN_INT","."&amp;W$2&amp;W$1&amp;"C"&amp;$A45)*RTD("tos.rtd",,"DELTA","."&amp;W$2&amp;W$1&amp;"C"&amp;$A45)+100*RTD("tos.rtd",,"OPEN_INT","."&amp;W$2&amp;W$1&amp;"P"&amp;$A45)*RTD("tos.rtd",,"DELTA","."&amp;W$2&amp;W$1&amp;"P"&amp;$A45))/1000,(100*RTD("tos.rtd",,"OPEN_INT","."&amp;W$2&amp;W$1&amp;"C"&amp;$A45)*RTD("tos.rtd",,"DELTA","."&amp;W$2&amp;W$1&amp;"C"&amp;$A45)-100*RTD("tos.rtd",,"OPEN_INT","."&amp;W$2&amp;W$1&amp;"P"&amp;$A45)*RTD("tos.rtd",,"DELTA","."&amp;W$2&amp;W$1&amp;"P"&amp;$A45))/1000),0),IF($A$2="VEX",IFERROR(IF($X$1="ABS",($A$4*$A$4*RTD("tos.rtd",,"VOLUME","."&amp;W$2&amp;W$1&amp;"C"&amp;$A45)*RTD("tos.rtd",,"GAMMA","."&amp;W$2&amp;W$1&amp;"C"&amp;$A45)+$A$4*$A$4*RTD("tos.rtd",,"VOLUME","."&amp;W$2&amp;W$1&amp;"P"&amp;$A45)*RTD("tos.rtd",,"GAMMA","."&amp;W$2&amp;W$1&amp;"P"&amp;$A45))/1000000,($A$4*$A$4*RTD("tos.rtd",,"VOLUME","."&amp;W$2&amp;W$1&amp;"C"&amp;$A45)*RTD("tos.rtd",,"GAMMA","."&amp;W$2&amp;W$1&amp;"C"&amp;$A45)-$A$4*$A$4*RTD("tos.rtd",,"VOLUME","."&amp;W$2&amp;W$1&amp;"P"&amp;$A45)*RTD("tos.rtd",,"GAMMA","."&amp;W$2&amp;W$1&amp;"P"&amp;$A45))/1000000),0),IF($A$2="GEX",IFERROR(IF($X$1="ABS",($A$4*$A$4*RTD("tos.rtd",,"OPEN_INT","."&amp;W$2&amp;W$1&amp;"C"&amp;$A45)*RTD("tos.rtd",,"GAMMA","."&amp;W$2&amp;W$1&amp;"C"&amp;$A45)+$A$4*$A$4*RTD("tos.rtd",,"OPEN_INT","."&amp;W$2&amp;W$1&amp;"P"&amp;$A45)*RTD("tos.rtd",,"GAMMA","."&amp;W$2&amp;W$1&amp;"P"&amp;$A45))/1000000,($A$4*$A$4*RTD("tos.rtd",,"OPEN_INT","."&amp;W$2&amp;W$1&amp;"C"&amp;$A45)*RTD("tos.rtd",,"GAMMA","."&amp;W$2&amp;W$1&amp;"C"&amp;$A45)-$A$4*$A$4*RTD("tos.rtd",,"OPEN_INT","."&amp;W$2&amp;W$1&amp;"P"&amp;$A45)*RTD("tos.rtd",,"GAMMA","."&amp;W$2&amp;W$1&amp;"P"&amp;$A45))/1000000),0),IF($A$2="SKEW",IFERROR(VALUE(IF(RTD("tos.rtd",,"IMPL_VOL","."&amp;W$2&amp;W$1&amp;"P"&amp;$A45)="N/A",0,RTD("tos.rtd",,"IMPL_VOL","."&amp;W$2&amp;W$1&amp;"P"&amp;$A45))),0)-IFERROR(VALUE(IF(RTD("tos.rtd",,"IMPL_VOL","."&amp;W$2&amp;W$1&amp;"C"&amp;$A45)="N/A",0,RTD("tos.rtd",,"IMPL_VOL","."&amp;W$2&amp;W$1&amp;"C"&amp;$A45))),0),IF($A$2="MAXPAIN",IF($A$4&gt;$A45,($A$4-$A45)*IF(RTD("tos.rtd",,"OPEN_INT","."&amp;W$2&amp;W$1&amp;"C"&amp;$A45)="N/A",0,RTD("tos.rtd",,"OPEN_INT","."&amp;W$2&amp;W$1&amp;"C"&amp;$A45)),0)+IF($A$4&lt;$A45,($A$5-$A$4)*IF(RTD("tos.rtd",,"OPEN_INT","."&amp;W$2&amp;W$1&amp;"P"&amp;$A45)="N/A",0,RTD("tos.rtd",,"OPEN_INT","."&amp;W$2&amp;W$1&amp;"P"&amp;$A45)),0),IF($X$1="ABS",IF(RTD("tos.rtd",,$A$2,"."&amp;W$2&amp;W$1&amp;"C"&amp;$A45)="N/A",0,RTD("tos.rtd",,$A$2,"."&amp;W$2&amp;W$1&amp;"C"&amp;$A45))+IF(RTD("tos.rtd",,$A$2,"."&amp;W$2&amp;W$1&amp;"P"&amp;$A45)="N/A",0,RTD("tos.rtd",,$A$2,"."&amp;W$2&amp;W$1&amp;"P"&amp;$A45)),IF(RTD("tos.rtd",,$A$2,"."&amp;W$2&amp;W$1&amp;"C"&amp;$A45)="N/A",0,RTD("tos.rtd",,$A$2,"."&amp;W$2&amp;W$1&amp;"C"&amp;$A45))-IF(RTD("tos.rtd",,$A$2,"."&amp;W$2&amp;W$1&amp;"P"&amp;$A45)="N/A",0,RTD("tos.rtd",,$A$2,"."&amp;W$2&amp;W$1&amp;"P"&amp;$A45))))))))))</f>
        <v>0</v>
      </c>
      <c r="X45" s="57">
        <f t="shared" ca="1" si="7"/>
        <v>-15104</v>
      </c>
      <c r="Y45" s="27">
        <f t="shared" ca="1" si="8"/>
        <v>-15104</v>
      </c>
      <c r="Z45" s="27">
        <f t="shared" ca="1" si="9"/>
        <v>15427</v>
      </c>
      <c r="AA45" s="27">
        <f t="shared" si="10"/>
        <v>41397700</v>
      </c>
      <c r="AB45" s="18">
        <f>MAX(0, $A45-AB$4)*IF(RTD("tos.rtd",,"OPEN_INT","."&amp;$AA$3&amp;$AA$4&amp;"C"&amp;AB$4)="N/A",0,RTD("tos.rtd",,"OPEN_INT","."&amp;$AA$3&amp;$AA$4&amp;"C"&amp;AB$4))*100 + MAX(0, AB$4-$A45)*IF(RTD("tos.rtd",,"OPEN_INT","."&amp;$AA$3&amp;$AA$4&amp;"P"&amp;AB$4)="N/A",0,RTD("tos.rtd",,"OPEN_INT","."&amp;$AA$3&amp;$AA$4&amp;"P"&amp;AB$4))*100</f>
        <v>0</v>
      </c>
      <c r="AC45" s="18">
        <f>MAX(0, $A45-AC$4)*IF(RTD("tos.rtd",,"OPEN_INT","."&amp;$AA$3&amp;$AA$4&amp;"C"&amp;AC$4)="N/A",0,RTD("tos.rtd",,"OPEN_INT","."&amp;$AA$3&amp;$AA$4&amp;"C"&amp;AC$4))*100 + MAX(0, AC$4-$A45)*IF(RTD("tos.rtd",,"OPEN_INT","."&amp;$AA$3&amp;$AA$4&amp;"P"&amp;AC$4)="N/A",0,RTD("tos.rtd",,"OPEN_INT","."&amp;$AA$3&amp;$AA$4&amp;"P"&amp;AC$4))*100</f>
        <v>0</v>
      </c>
      <c r="AD45" s="18">
        <f>MAX(0, $A45-AD$4)*IF(RTD("tos.rtd",,"OPEN_INT","."&amp;$AA$3&amp;$AA$4&amp;"C"&amp;AD$4)="N/A",0,RTD("tos.rtd",,"OPEN_INT","."&amp;$AA$3&amp;$AA$4&amp;"C"&amp;AD$4))*100 + MAX(0, AD$4-$A45)*IF(RTD("tos.rtd",,"OPEN_INT","."&amp;$AA$3&amp;$AA$4&amp;"P"&amp;AD$4)="N/A",0,RTD("tos.rtd",,"OPEN_INT","."&amp;$AA$3&amp;$AA$4&amp;"P"&amp;AD$4))*100</f>
        <v>0</v>
      </c>
      <c r="AE45" s="18">
        <f>MAX(0, $A45-AE$4)*IF(RTD("tos.rtd",,"OPEN_INT","."&amp;$AA$3&amp;$AA$4&amp;"C"&amp;AE$4)="N/A",0,RTD("tos.rtd",,"OPEN_INT","."&amp;$AA$3&amp;$AA$4&amp;"C"&amp;AE$4))*100 + MAX(0, AE$4-$A45)*IF(RTD("tos.rtd",,"OPEN_INT","."&amp;$AA$3&amp;$AA$4&amp;"P"&amp;AE$4)="N/A",0,RTD("tos.rtd",,"OPEN_INT","."&amp;$AA$3&amp;$AA$4&amp;"P"&amp;AE$4))*100</f>
        <v>0</v>
      </c>
      <c r="AF45" s="18">
        <f>MAX(0, $A45-AF$4)*IF(RTD("tos.rtd",,"OPEN_INT","."&amp;$AA$3&amp;$AA$4&amp;"C"&amp;AF$4)="N/A",0,RTD("tos.rtd",,"OPEN_INT","."&amp;$AA$3&amp;$AA$4&amp;"C"&amp;AF$4))*100 + MAX(0, AF$4-$A45)*IF(RTD("tos.rtd",,"OPEN_INT","."&amp;$AA$3&amp;$AA$4&amp;"P"&amp;AF$4)="N/A",0,RTD("tos.rtd",,"OPEN_INT","."&amp;$AA$3&amp;$AA$4&amp;"P"&amp;AF$4))*100</f>
        <v>0</v>
      </c>
      <c r="AG45" s="18">
        <f>MAX(0, $A45-AG$4)*IF(RTD("tos.rtd",,"OPEN_INT","."&amp;$AA$3&amp;$AA$4&amp;"C"&amp;AG$4)="N/A",0,RTD("tos.rtd",,"OPEN_INT","."&amp;$AA$3&amp;$AA$4&amp;"C"&amp;AG$4))*100 + MAX(0, AG$4-$A45)*IF(RTD("tos.rtd",,"OPEN_INT","."&amp;$AA$3&amp;$AA$4&amp;"P"&amp;AG$4)="N/A",0,RTD("tos.rtd",,"OPEN_INT","."&amp;$AA$3&amp;$AA$4&amp;"P"&amp;AG$4))*100</f>
        <v>0</v>
      </c>
      <c r="AH45" s="18">
        <f>MAX(0, $A45-AH$4)*IF(RTD("tos.rtd",,"OPEN_INT","."&amp;$AA$3&amp;$AA$4&amp;"C"&amp;AH$4)="N/A",0,RTD("tos.rtd",,"OPEN_INT","."&amp;$AA$3&amp;$AA$4&amp;"C"&amp;AH$4))*100 + MAX(0, AH$4-$A45)*IF(RTD("tos.rtd",,"OPEN_INT","."&amp;$AA$3&amp;$AA$4&amp;"P"&amp;AH$4)="N/A",0,RTD("tos.rtd",,"OPEN_INT","."&amp;$AA$3&amp;$AA$4&amp;"P"&amp;AH$4))*100</f>
        <v>0</v>
      </c>
      <c r="AI45" s="18">
        <f>MAX(0, $A45-AI$4)*IF(RTD("tos.rtd",,"OPEN_INT","."&amp;$AA$3&amp;$AA$4&amp;"C"&amp;AI$4)="N/A",0,RTD("tos.rtd",,"OPEN_INT","."&amp;$AA$3&amp;$AA$4&amp;"C"&amp;AI$4))*100 + MAX(0, AI$4-$A45)*IF(RTD("tos.rtd",,"OPEN_INT","."&amp;$AA$3&amp;$AA$4&amp;"P"&amp;AI$4)="N/A",0,RTD("tos.rtd",,"OPEN_INT","."&amp;$AA$3&amp;$AA$4&amp;"P"&amp;AI$4))*100</f>
        <v>4950</v>
      </c>
      <c r="AJ45" s="18">
        <f>MAX(0, $A45-AJ$4)*IF(RTD("tos.rtd",,"OPEN_INT","."&amp;$AA$3&amp;$AA$4&amp;"C"&amp;AJ$4)="N/A",0,RTD("tos.rtd",,"OPEN_INT","."&amp;$AA$3&amp;$AA$4&amp;"C"&amp;AJ$4))*100 + MAX(0, AJ$4-$A45)*IF(RTD("tos.rtd",,"OPEN_INT","."&amp;$AA$3&amp;$AA$4&amp;"P"&amp;AJ$4)="N/A",0,RTD("tos.rtd",,"OPEN_INT","."&amp;$AA$3&amp;$AA$4&amp;"P"&amp;AJ$4))*100</f>
        <v>12800</v>
      </c>
      <c r="AK45" s="18">
        <f>MAX(0, $A45-AK$4)*IF(RTD("tos.rtd",,"OPEN_INT","."&amp;$AA$3&amp;$AA$4&amp;"C"&amp;AK$4)="N/A",0,RTD("tos.rtd",,"OPEN_INT","."&amp;$AA$3&amp;$AA$4&amp;"C"&amp;AK$4))*100 + MAX(0, AK$4-$A45)*IF(RTD("tos.rtd",,"OPEN_INT","."&amp;$AA$3&amp;$AA$4&amp;"P"&amp;AK$4)="N/A",0,RTD("tos.rtd",,"OPEN_INT","."&amp;$AA$3&amp;$AA$4&amp;"P"&amp;AK$4))*100</f>
        <v>0</v>
      </c>
      <c r="AL45" s="18">
        <f>MAX(0, $A45-AL$4)*IF(RTD("tos.rtd",,"OPEN_INT","."&amp;$AA$3&amp;$AA$4&amp;"C"&amp;AL$4)="N/A",0,RTD("tos.rtd",,"OPEN_INT","."&amp;$AA$3&amp;$AA$4&amp;"C"&amp;AL$4))*100 + MAX(0, AL$4-$A45)*IF(RTD("tos.rtd",,"OPEN_INT","."&amp;$AA$3&amp;$AA$4&amp;"P"&amp;AL$4)="N/A",0,RTD("tos.rtd",,"OPEN_INT","."&amp;$AA$3&amp;$AA$4&amp;"P"&amp;AL$4))*100</f>
        <v>0</v>
      </c>
      <c r="AM45" s="18">
        <f>MAX(0, $A45-AM$4)*IF(RTD("tos.rtd",,"OPEN_INT","."&amp;$AA$3&amp;$AA$4&amp;"C"&amp;AM$4)="N/A",0,RTD("tos.rtd",,"OPEN_INT","."&amp;$AA$3&amp;$AA$4&amp;"C"&amp;AM$4))*100 + MAX(0, AM$4-$A45)*IF(RTD("tos.rtd",,"OPEN_INT","."&amp;$AA$3&amp;$AA$4&amp;"P"&amp;AM$4)="N/A",0,RTD("tos.rtd",,"OPEN_INT","."&amp;$AA$3&amp;$AA$4&amp;"P"&amp;AM$4))*100</f>
        <v>0</v>
      </c>
      <c r="AN45" s="18">
        <f>MAX(0, $A45-AN$4)*IF(RTD("tos.rtd",,"OPEN_INT","."&amp;$AA$3&amp;$AA$4&amp;"C"&amp;AN$4)="N/A",0,RTD("tos.rtd",,"OPEN_INT","."&amp;$AA$3&amp;$AA$4&amp;"C"&amp;AN$4))*100 + MAX(0, AN$4-$A45)*IF(RTD("tos.rtd",,"OPEN_INT","."&amp;$AA$3&amp;$AA$4&amp;"P"&amp;AN$4)="N/A",0,RTD("tos.rtd",,"OPEN_INT","."&amp;$AA$3&amp;$AA$4&amp;"P"&amp;AN$4))*100</f>
        <v>0</v>
      </c>
      <c r="AO45" s="18">
        <f>MAX(0, $A45-AO$4)*IF(RTD("tos.rtd",,"OPEN_INT","."&amp;$AA$3&amp;$AA$4&amp;"C"&amp;AO$4)="N/A",0,RTD("tos.rtd",,"OPEN_INT","."&amp;$AA$3&amp;$AA$4&amp;"C"&amp;AO$4))*100 + MAX(0, AO$4-$A45)*IF(RTD("tos.rtd",,"OPEN_INT","."&amp;$AA$3&amp;$AA$4&amp;"P"&amp;AO$4)="N/A",0,RTD("tos.rtd",,"OPEN_INT","."&amp;$AA$3&amp;$AA$4&amp;"P"&amp;AO$4))*100</f>
        <v>162000</v>
      </c>
      <c r="AP45" s="18">
        <f>MAX(0, $A45-AP$4)*IF(RTD("tos.rtd",,"OPEN_INT","."&amp;$AA$3&amp;$AA$4&amp;"C"&amp;AP$4)="N/A",0,RTD("tos.rtd",,"OPEN_INT","."&amp;$AA$3&amp;$AA$4&amp;"C"&amp;AP$4))*100 + MAX(0, AP$4-$A45)*IF(RTD("tos.rtd",,"OPEN_INT","."&amp;$AA$3&amp;$AA$4&amp;"P"&amp;AP$4)="N/A",0,RTD("tos.rtd",,"OPEN_INT","."&amp;$AA$3&amp;$AA$4&amp;"P"&amp;AP$4))*100</f>
        <v>0</v>
      </c>
      <c r="AQ45" s="18">
        <f>MAX(0, $A45-AQ$4)*IF(RTD("tos.rtd",,"OPEN_INT","."&amp;$AA$3&amp;$AA$4&amp;"C"&amp;AQ$4)="N/A",0,RTD("tos.rtd",,"OPEN_INT","."&amp;$AA$3&amp;$AA$4&amp;"C"&amp;AQ$4))*100 + MAX(0, AQ$4-$A45)*IF(RTD("tos.rtd",,"OPEN_INT","."&amp;$AA$3&amp;$AA$4&amp;"P"&amp;AQ$4)="N/A",0,RTD("tos.rtd",,"OPEN_INT","."&amp;$AA$3&amp;$AA$4&amp;"P"&amp;AQ$4))*100</f>
        <v>66250</v>
      </c>
      <c r="AR45" s="18">
        <f>MAX(0, $A45-AR$4)*IF(RTD("tos.rtd",,"OPEN_INT","."&amp;$AA$3&amp;$AA$4&amp;"C"&amp;AR$4)="N/A",0,RTD("tos.rtd",,"OPEN_INT","."&amp;$AA$3&amp;$AA$4&amp;"C"&amp;AR$4))*100 + MAX(0, AR$4-$A45)*IF(RTD("tos.rtd",,"OPEN_INT","."&amp;$AA$3&amp;$AA$4&amp;"P"&amp;AR$4)="N/A",0,RTD("tos.rtd",,"OPEN_INT","."&amp;$AA$3&amp;$AA$4&amp;"P"&amp;AR$4))*100</f>
        <v>7200</v>
      </c>
      <c r="AS45" s="18">
        <f>MAX(0, $A45-AS$4)*IF(RTD("tos.rtd",,"OPEN_INT","."&amp;$AA$3&amp;$AA$4&amp;"C"&amp;AS$4)="N/A",0,RTD("tos.rtd",,"OPEN_INT","."&amp;$AA$3&amp;$AA$4&amp;"C"&amp;AS$4))*100 + MAX(0, AS$4-$A45)*IF(RTD("tos.rtd",,"OPEN_INT","."&amp;$AA$3&amp;$AA$4&amp;"P"&amp;AS$4)="N/A",0,RTD("tos.rtd",,"OPEN_INT","."&amp;$AA$3&amp;$AA$4&amp;"P"&amp;AS$4))*100</f>
        <v>71300</v>
      </c>
      <c r="AT45" s="18">
        <f>MAX(0, $A45-AT$4)*IF(RTD("tos.rtd",,"OPEN_INT","."&amp;$AA$3&amp;$AA$4&amp;"C"&amp;AT$4)="N/A",0,RTD("tos.rtd",,"OPEN_INT","."&amp;$AA$3&amp;$AA$4&amp;"C"&amp;AT$4))*100 + MAX(0, AT$4-$A45)*IF(RTD("tos.rtd",,"OPEN_INT","."&amp;$AA$3&amp;$AA$4&amp;"P"&amp;AT$4)="N/A",0,RTD("tos.rtd",,"OPEN_INT","."&amp;$AA$3&amp;$AA$4&amp;"P"&amp;AT$4))*100</f>
        <v>77000</v>
      </c>
      <c r="AU45" s="18">
        <f>MAX(0, $A45-AU$4)*IF(RTD("tos.rtd",,"OPEN_INT","."&amp;$AA$3&amp;$AA$4&amp;"C"&amp;AU$4)="N/A",0,RTD("tos.rtd",,"OPEN_INT","."&amp;$AA$3&amp;$AA$4&amp;"C"&amp;AU$4))*100 + MAX(0, AU$4-$A45)*IF(RTD("tos.rtd",,"OPEN_INT","."&amp;$AA$3&amp;$AA$4&amp;"P"&amp;AU$4)="N/A",0,RTD("tos.rtd",,"OPEN_INT","."&amp;$AA$3&amp;$AA$4&amp;"P"&amp;AU$4))*100</f>
        <v>42000</v>
      </c>
      <c r="AV45" s="18">
        <f>MAX(0, $A45-AV$4)*IF(RTD("tos.rtd",,"OPEN_INT","."&amp;$AA$3&amp;$AA$4&amp;"C"&amp;AV$4)="N/A",0,RTD("tos.rtd",,"OPEN_INT","."&amp;$AA$3&amp;$AA$4&amp;"C"&amp;AV$4))*100 + MAX(0, AV$4-$A45)*IF(RTD("tos.rtd",,"OPEN_INT","."&amp;$AA$3&amp;$AA$4&amp;"P"&amp;AV$4)="N/A",0,RTD("tos.rtd",,"OPEN_INT","."&amp;$AA$3&amp;$AA$4&amp;"P"&amp;AV$4))*100</f>
        <v>161000</v>
      </c>
      <c r="AW45" s="18">
        <f>MAX(0, $A45-AW$4)*IF(RTD("tos.rtd",,"OPEN_INT","."&amp;$AA$3&amp;$AA$4&amp;"C"&amp;AW$4)="N/A",0,RTD("tos.rtd",,"OPEN_INT","."&amp;$AA$3&amp;$AA$4&amp;"C"&amp;AW$4))*100 + MAX(0, AW$4-$A45)*IF(RTD("tos.rtd",,"OPEN_INT","."&amp;$AA$3&amp;$AA$4&amp;"P"&amp;AW$4)="N/A",0,RTD("tos.rtd",,"OPEN_INT","."&amp;$AA$3&amp;$AA$4&amp;"P"&amp;AW$4))*100</f>
        <v>191900</v>
      </c>
      <c r="AX45" s="18">
        <f>MAX(0, $A45-AX$4)*IF(RTD("tos.rtd",,"OPEN_INT","."&amp;$AA$3&amp;$AA$4&amp;"C"&amp;AX$4)="N/A",0,RTD("tos.rtd",,"OPEN_INT","."&amp;$AA$3&amp;$AA$4&amp;"C"&amp;AX$4))*100 + MAX(0, AX$4-$A45)*IF(RTD("tos.rtd",,"OPEN_INT","."&amp;$AA$3&amp;$AA$4&amp;"P"&amp;AX$4)="N/A",0,RTD("tos.rtd",,"OPEN_INT","."&amp;$AA$3&amp;$AA$4&amp;"P"&amp;AX$4))*100</f>
        <v>222300</v>
      </c>
      <c r="AY45" s="18">
        <f>MAX(0, $A45-AY$4)*IF(RTD("tos.rtd",,"OPEN_INT","."&amp;$AA$3&amp;$AA$4&amp;"C"&amp;AY$4)="N/A",0,RTD("tos.rtd",,"OPEN_INT","."&amp;$AA$3&amp;$AA$4&amp;"C"&amp;AY$4))*100 + MAX(0, AY$4-$A45)*IF(RTD("tos.rtd",,"OPEN_INT","."&amp;$AA$3&amp;$AA$4&amp;"P"&amp;AY$4)="N/A",0,RTD("tos.rtd",,"OPEN_INT","."&amp;$AA$3&amp;$AA$4&amp;"P"&amp;AY$4))*100</f>
        <v>1762900</v>
      </c>
      <c r="AZ45" s="18">
        <f>MAX(0, $A45-AZ$4)*IF(RTD("tos.rtd",,"OPEN_INT","."&amp;$AA$3&amp;$AA$4&amp;"C"&amp;AZ$4)="N/A",0,RTD("tos.rtd",,"OPEN_INT","."&amp;$AA$3&amp;$AA$4&amp;"C"&amp;AZ$4))*100 + MAX(0, AZ$4-$A45)*IF(RTD("tos.rtd",,"OPEN_INT","."&amp;$AA$3&amp;$AA$4&amp;"P"&amp;AZ$4)="N/A",0,RTD("tos.rtd",,"OPEN_INT","."&amp;$AA$3&amp;$AA$4&amp;"P"&amp;AZ$4))*100</f>
        <v>454400</v>
      </c>
      <c r="BA45" s="18">
        <f>MAX(0, $A45-BA$4)*IF(RTD("tos.rtd",,"OPEN_INT","."&amp;$AA$3&amp;$AA$4&amp;"C"&amp;BA$4)="N/A",0,RTD("tos.rtd",,"OPEN_INT","."&amp;$AA$3&amp;$AA$4&amp;"C"&amp;BA$4))*100 + MAX(0, BA$4-$A45)*IF(RTD("tos.rtd",,"OPEN_INT","."&amp;$AA$3&amp;$AA$4&amp;"P"&amp;BA$4)="N/A",0,RTD("tos.rtd",,"OPEN_INT","."&amp;$AA$3&amp;$AA$4&amp;"P"&amp;BA$4))*100</f>
        <v>1755000</v>
      </c>
      <c r="BB45" s="18">
        <f>MAX(0, $A45-BB$4)*IF(RTD("tos.rtd",,"OPEN_INT","."&amp;$AA$3&amp;$AA$4&amp;"C"&amp;BB$4)="N/A",0,RTD("tos.rtd",,"OPEN_INT","."&amp;$AA$3&amp;$AA$4&amp;"C"&amp;BB$4))*100 + MAX(0, BB$4-$A45)*IF(RTD("tos.rtd",,"OPEN_INT","."&amp;$AA$3&amp;$AA$4&amp;"P"&amp;BB$4)="N/A",0,RTD("tos.rtd",,"OPEN_INT","."&amp;$AA$3&amp;$AA$4&amp;"P"&amp;BB$4))*100</f>
        <v>1598800</v>
      </c>
      <c r="BC45" s="18">
        <f>MAX(0, $A45-BC$4)*IF(RTD("tos.rtd",,"OPEN_INT","."&amp;$AA$3&amp;$AA$4&amp;"C"&amp;BC$4)="N/A",0,RTD("tos.rtd",,"OPEN_INT","."&amp;$AA$3&amp;$AA$4&amp;"C"&amp;BC$4))*100 + MAX(0, BC$4-$A45)*IF(RTD("tos.rtd",,"OPEN_INT","."&amp;$AA$3&amp;$AA$4&amp;"P"&amp;BC$4)="N/A",0,RTD("tos.rtd",,"OPEN_INT","."&amp;$AA$3&amp;$AA$4&amp;"P"&amp;BC$4))*100</f>
        <v>4973150</v>
      </c>
      <c r="BD45" s="18">
        <f>MAX(0, $A45-BD$4)*IF(RTD("tos.rtd",,"OPEN_INT","."&amp;$AA$3&amp;$AA$4&amp;"C"&amp;BD$4)="N/A",0,RTD("tos.rtd",,"OPEN_INT","."&amp;$AA$3&amp;$AA$4&amp;"C"&amp;BD$4))*100 + MAX(0, BD$4-$A45)*IF(RTD("tos.rtd",,"OPEN_INT","."&amp;$AA$3&amp;$AA$4&amp;"P"&amp;BD$4)="N/A",0,RTD("tos.rtd",,"OPEN_INT","."&amp;$AA$3&amp;$AA$4&amp;"P"&amp;BD$4))*100</f>
        <v>5892600</v>
      </c>
      <c r="BE45" s="18">
        <f>MAX(0, $A45-BE$4)*IF(RTD("tos.rtd",,"OPEN_INT","."&amp;$AA$3&amp;$AA$4&amp;"C"&amp;BE$4)="N/A",0,RTD("tos.rtd",,"OPEN_INT","."&amp;$AA$3&amp;$AA$4&amp;"C"&amp;BE$4))*100 + MAX(0, BE$4-$A45)*IF(RTD("tos.rtd",,"OPEN_INT","."&amp;$AA$3&amp;$AA$4&amp;"P"&amp;BE$4)="N/A",0,RTD("tos.rtd",,"OPEN_INT","."&amp;$AA$3&amp;$AA$4&amp;"P"&amp;BE$4))*100</f>
        <v>6113800</v>
      </c>
      <c r="BF45" s="18">
        <f>MAX(0, $A45-BF$4)*IF(RTD("tos.rtd",,"OPEN_INT","."&amp;$AA$3&amp;$AA$4&amp;"C"&amp;BF$4)="N/A",0,RTD("tos.rtd",,"OPEN_INT","."&amp;$AA$3&amp;$AA$4&amp;"C"&amp;BF$4))*100 + MAX(0, BF$4-$A45)*IF(RTD("tos.rtd",,"OPEN_INT","."&amp;$AA$3&amp;$AA$4&amp;"P"&amp;BF$4)="N/A",0,RTD("tos.rtd",,"OPEN_INT","."&amp;$AA$3&amp;$AA$4&amp;"P"&amp;BF$4))*100</f>
        <v>6954500</v>
      </c>
      <c r="BG45" s="18">
        <f>MAX(0, $A45-BG$4)*IF(RTD("tos.rtd",,"OPEN_INT","."&amp;$AA$3&amp;$AA$4&amp;"C"&amp;BG$4)="N/A",0,RTD("tos.rtd",,"OPEN_INT","."&amp;$AA$3&amp;$AA$4&amp;"C"&amp;BG$4))*100 + MAX(0, BG$4-$A45)*IF(RTD("tos.rtd",,"OPEN_INT","."&amp;$AA$3&amp;$AA$4&amp;"P"&amp;BG$4)="N/A",0,RTD("tos.rtd",,"OPEN_INT","."&amp;$AA$3&amp;$AA$4&amp;"P"&amp;BG$4))*100</f>
        <v>4083750</v>
      </c>
      <c r="BH45" s="18">
        <f>MAX(0, $A45-BH$4)*IF(RTD("tos.rtd",,"OPEN_INT","."&amp;$AA$3&amp;$AA$4&amp;"C"&amp;BH$4)="N/A",0,RTD("tos.rtd",,"OPEN_INT","."&amp;$AA$3&amp;$AA$4&amp;"C"&amp;BH$4))*100 + MAX(0, BH$4-$A45)*IF(RTD("tos.rtd",,"OPEN_INT","."&amp;$AA$3&amp;$AA$4&amp;"P"&amp;BH$4)="N/A",0,RTD("tos.rtd",,"OPEN_INT","."&amp;$AA$3&amp;$AA$4&amp;"P"&amp;BH$4))*100</f>
        <v>2569200</v>
      </c>
      <c r="BI45" s="18">
        <f>MAX(0, $A45-BI$4)*IF(RTD("tos.rtd",,"OPEN_INT","."&amp;$AA$3&amp;$AA$4&amp;"C"&amp;BI$4)="N/A",0,RTD("tos.rtd",,"OPEN_INT","."&amp;$AA$3&amp;$AA$4&amp;"C"&amp;BI$4))*100 + MAX(0, BI$4-$A45)*IF(RTD("tos.rtd",,"OPEN_INT","."&amp;$AA$3&amp;$AA$4&amp;"P"&amp;BI$4)="N/A",0,RTD("tos.rtd",,"OPEN_INT","."&amp;$AA$3&amp;$AA$4&amp;"P"&amp;BI$4))*100</f>
        <v>2808750</v>
      </c>
      <c r="BJ45" s="18">
        <f>MAX(0, $A45-BJ$4)*IF(RTD("tos.rtd",,"OPEN_INT","."&amp;$AA$3&amp;$AA$4&amp;"C"&amp;BJ$4)="N/A",0,RTD("tos.rtd",,"OPEN_INT","."&amp;$AA$3&amp;$AA$4&amp;"C"&amp;BJ$4))*100 + MAX(0, BJ$4-$A45)*IF(RTD("tos.rtd",,"OPEN_INT","."&amp;$AA$3&amp;$AA$4&amp;"P"&amp;BJ$4)="N/A",0,RTD("tos.rtd",,"OPEN_INT","."&amp;$AA$3&amp;$AA$4&amp;"P"&amp;BJ$4))*100</f>
        <v>654900</v>
      </c>
      <c r="BK45" s="18">
        <f>MAX(0, $A45-BK$4)*IF(RTD("tos.rtd",,"OPEN_INT","."&amp;$AA$3&amp;$AA$4&amp;"C"&amp;BK$4)="N/A",0,RTD("tos.rtd",,"OPEN_INT","."&amp;$AA$3&amp;$AA$4&amp;"C"&amp;BK$4))*100 + MAX(0, BK$4-$A45)*IF(RTD("tos.rtd",,"OPEN_INT","."&amp;$AA$3&amp;$AA$4&amp;"P"&amp;BK$4)="N/A",0,RTD("tos.rtd",,"OPEN_INT","."&amp;$AA$3&amp;$AA$4&amp;"P"&amp;BK$4))*100</f>
        <v>585000</v>
      </c>
      <c r="BL45" s="18">
        <f>MAX(0, $A45-BL$4)*IF(RTD("tos.rtd",,"OPEN_INT","."&amp;$AA$3&amp;$AA$4&amp;"C"&amp;BL$4)="N/A",0,RTD("tos.rtd",,"OPEN_INT","."&amp;$AA$3&amp;$AA$4&amp;"C"&amp;BL$4))*100 + MAX(0, BL$4-$A45)*IF(RTD("tos.rtd",,"OPEN_INT","."&amp;$AA$3&amp;$AA$4&amp;"P"&amp;BL$4)="N/A",0,RTD("tos.rtd",,"OPEN_INT","."&amp;$AA$3&amp;$AA$4&amp;"P"&amp;BL$4))*100</f>
        <v>78400</v>
      </c>
      <c r="BM45" s="18">
        <f>MAX(0, $A45-BM$4)*IF(RTD("tos.rtd",,"OPEN_INT","."&amp;$AA$3&amp;$AA$4&amp;"C"&amp;BM$4)="N/A",0,RTD("tos.rtd",,"OPEN_INT","."&amp;$AA$3&amp;$AA$4&amp;"C"&amp;BM$4))*100 + MAX(0, BM$4-$A45)*IF(RTD("tos.rtd",,"OPEN_INT","."&amp;$AA$3&amp;$AA$4&amp;"P"&amp;BM$4)="N/A",0,RTD("tos.rtd",,"OPEN_INT","."&amp;$AA$3&amp;$AA$4&amp;"P"&amp;BM$4))*100</f>
        <v>65250</v>
      </c>
      <c r="BN45" s="18">
        <f>MAX(0, $A45-BN$4)*IF(RTD("tos.rtd",,"OPEN_INT","."&amp;$AA$3&amp;$AA$4&amp;"C"&amp;BN$4)="N/A",0,RTD("tos.rtd",,"OPEN_INT","."&amp;$AA$3&amp;$AA$4&amp;"C"&amp;BN$4))*100 + MAX(0, BN$4-$A45)*IF(RTD("tos.rtd",,"OPEN_INT","."&amp;$AA$3&amp;$AA$4&amp;"P"&amp;BN$4)="N/A",0,RTD("tos.rtd",,"OPEN_INT","."&amp;$AA$3&amp;$AA$4&amp;"P"&amp;BN$4))*100</f>
        <v>6300</v>
      </c>
      <c r="BO45" s="18">
        <f>MAX(0, $A45-BO$4)*IF(RTD("tos.rtd",,"OPEN_INT","."&amp;$AA$3&amp;$AA$4&amp;"C"&amp;BO$4)="N/A",0,RTD("tos.rtd",,"OPEN_INT","."&amp;$AA$3&amp;$AA$4&amp;"C"&amp;BO$4))*100 + MAX(0, BO$4-$A45)*IF(RTD("tos.rtd",,"OPEN_INT","."&amp;$AA$3&amp;$AA$4&amp;"P"&amp;BO$4)="N/A",0,RTD("tos.rtd",,"OPEN_INT","."&amp;$AA$3&amp;$AA$4&amp;"P"&amp;BO$4))*100</f>
        <v>22300</v>
      </c>
      <c r="BP45" s="18">
        <f>MAX(0, $A45-BP$4)*IF(RTD("tos.rtd",,"OPEN_INT","."&amp;$AA$3&amp;$AA$4&amp;"C"&amp;BP$4)="N/A",0,RTD("tos.rtd",,"OPEN_INT","."&amp;$AA$3&amp;$AA$4&amp;"C"&amp;BP$4))*100 + MAX(0, BP$4-$A45)*IF(RTD("tos.rtd",,"OPEN_INT","."&amp;$AA$3&amp;$AA$4&amp;"P"&amp;BP$4)="N/A",0,RTD("tos.rtd",,"OPEN_INT","."&amp;$AA$3&amp;$AA$4&amp;"P"&amp;BP$4))*100</f>
        <v>0</v>
      </c>
      <c r="BQ45" s="18">
        <f>MAX(0, $A45-BQ$4)*IF(RTD("tos.rtd",,"OPEN_INT","."&amp;$AA$3&amp;$AA$4&amp;"C"&amp;BQ$4)="N/A",0,RTD("tos.rtd",,"OPEN_INT","."&amp;$AA$3&amp;$AA$4&amp;"C"&amp;BQ$4))*100 + MAX(0, BQ$4-$A45)*IF(RTD("tos.rtd",,"OPEN_INT","."&amp;$AA$3&amp;$AA$4&amp;"P"&amp;BQ$4)="N/A",0,RTD("tos.rtd",,"OPEN_INT","."&amp;$AA$3&amp;$AA$4&amp;"P"&amp;BQ$4))*100</f>
        <v>0</v>
      </c>
      <c r="BR45" s="18">
        <f>MAX(0, $A45-BR$4)*IF(RTD("tos.rtd",,"OPEN_INT","."&amp;$AA$3&amp;$AA$4&amp;"C"&amp;BR$4)="N/A",0,RTD("tos.rtd",,"OPEN_INT","."&amp;$AA$3&amp;$AA$4&amp;"C"&amp;BR$4))*100 + MAX(0, BR$4-$A45)*IF(RTD("tos.rtd",,"OPEN_INT","."&amp;$AA$3&amp;$AA$4&amp;"P"&amp;BR$4)="N/A",0,RTD("tos.rtd",,"OPEN_INT","."&amp;$AA$3&amp;$AA$4&amp;"P"&amp;BR$4))*100</f>
        <v>0</v>
      </c>
      <c r="BS45" s="18">
        <f>MAX(0, $A45-BS$4)*IF(RTD("tos.rtd",,"OPEN_INT","."&amp;$AA$3&amp;$AA$4&amp;"C"&amp;BS$4)="N/A",0,RTD("tos.rtd",,"OPEN_INT","."&amp;$AA$3&amp;$AA$4&amp;"C"&amp;BS$4))*100 + MAX(0, BS$4-$A45)*IF(RTD("tos.rtd",,"OPEN_INT","."&amp;$AA$3&amp;$AA$4&amp;"P"&amp;BS$4)="N/A",0,RTD("tos.rtd",,"OPEN_INT","."&amp;$AA$3&amp;$AA$4&amp;"P"&amp;BS$4))*100</f>
        <v>0</v>
      </c>
      <c r="BT45" s="18">
        <f>MAX(0, $A45-BT$4)*IF(RTD("tos.rtd",,"OPEN_INT","."&amp;$AA$3&amp;$AA$4&amp;"C"&amp;BT$4)="N/A",0,RTD("tos.rtd",,"OPEN_INT","."&amp;$AA$3&amp;$AA$4&amp;"C"&amp;BT$4))*100 + MAX(0, BT$4-$A45)*IF(RTD("tos.rtd",,"OPEN_INT","."&amp;$AA$3&amp;$AA$4&amp;"P"&amp;BT$4)="N/A",0,RTD("tos.rtd",,"OPEN_INT","."&amp;$AA$3&amp;$AA$4&amp;"P"&amp;BT$4))*100</f>
        <v>0</v>
      </c>
      <c r="BU45" s="18">
        <f>MAX(0, $A45-BU$4)*IF(RTD("tos.rtd",,"OPEN_INT","."&amp;$AA$3&amp;$AA$4&amp;"C"&amp;BU$4)="N/A",0,RTD("tos.rtd",,"OPEN_INT","."&amp;$AA$3&amp;$AA$4&amp;"C"&amp;BU$4))*100 + MAX(0, BU$4-$A45)*IF(RTD("tos.rtd",,"OPEN_INT","."&amp;$AA$3&amp;$AA$4&amp;"P"&amp;BU$4)="N/A",0,RTD("tos.rtd",,"OPEN_INT","."&amp;$AA$3&amp;$AA$4&amp;"P"&amp;BU$4))*100</f>
        <v>0</v>
      </c>
      <c r="BV45" s="18">
        <f>MAX(0, $A45-BV$4)*IF(RTD("tos.rtd",,"OPEN_INT","."&amp;$AA$3&amp;$AA$4&amp;"C"&amp;BV$4)="N/A",0,RTD("tos.rtd",,"OPEN_INT","."&amp;$AA$3&amp;$AA$4&amp;"C"&amp;BV$4))*100 + MAX(0, BV$4-$A45)*IF(RTD("tos.rtd",,"OPEN_INT","."&amp;$AA$3&amp;$AA$4&amp;"P"&amp;BV$4)="N/A",0,RTD("tos.rtd",,"OPEN_INT","."&amp;$AA$3&amp;$AA$4&amp;"P"&amp;BV$4))*100</f>
        <v>0</v>
      </c>
    </row>
    <row r="46" spans="1:74" s="19" customFormat="1" ht="11.1" customHeight="1" thickBot="1" x14ac:dyDescent="0.3">
      <c r="A46" s="23">
        <f t="shared" si="11"/>
        <v>1</v>
      </c>
      <c r="B46" s="14">
        <f ca="1">IF($A$2="PREMIUM_OI",IFERROR(IF($X$1="ABS",(100*RTD("tos.rtd",,"OPEN_INT","."&amp;B$2&amp;B$1&amp;"C"&amp;$A46)*RTD("tos.rtd",,"LAST","."&amp;B$2&amp;B$1&amp;"C"&amp;$A46)+100*RTD("tos.rtd",,"OPEN_INT","."&amp;B$2&amp;B$1&amp;"P"&amp;$A46)*RTD("tos.rtd",,"LAST","."&amp;B$2&amp;B$1&amp;"P"&amp;$A46))/1000000,(100*RTD("tos.rtd",,"OPEN_INT","."&amp;B$2&amp;B$1&amp;"C"&amp;$A46)*RTD("tos.rtd",,"LAST","."&amp;B$2&amp;B$1&amp;"C"&amp;$A46)-100*RTD("tos.rtd",,"OPEN_INT","."&amp;B$2&amp;B$1&amp;"P"&amp;$A46)*RTD("tos.rtd",,"LAST","."&amp;B$2&amp;B$1&amp;"P"&amp;$A46))/1000000),0),IF($A$2="PREMIUM",IFERROR(IF($X$1="ABS",(100*RTD("tos.rtd",,"VOLUME","."&amp;B$2&amp;B$1&amp;"C"&amp;$A46)*RTD("tos.rtd",,"LAST","."&amp;B$2&amp;B$1&amp;"C"&amp;$A46)+100*RTD("tos.rtd",,"VOLUME","."&amp;B$2&amp;B$1&amp;"P"&amp;$A46)*RTD("tos.rtd",,"LAST","."&amp;B$2&amp;B$1&amp;"P"&amp;$A46))/1000000,(100*RTD("tos.rtd",,"VOLUME","."&amp;B$2&amp;B$1&amp;"C"&amp;$A46)*RTD("tos.rtd",,"LAST","."&amp;B$2&amp;B$1&amp;"C"&amp;$A46)-100*RTD("tos.rtd",,"VOLUME","."&amp;B$2&amp;B$1&amp;"P"&amp;$A46)*RTD("tos.rtd",,"LAST","."&amp;B$2&amp;B$1&amp;"P"&amp;$A46))/1000000),0),IF($A$2="DEX",IFERROR(IF($X$1="ABS",(100*RTD("tos.rtd",,"OPEN_INT","."&amp;B$2&amp;B$1&amp;"C"&amp;$A46)*RTD("tos.rtd",,"DELTA","."&amp;B$2&amp;B$1&amp;"C"&amp;$A46)+100*RTD("tos.rtd",,"OPEN_INT","."&amp;B$2&amp;B$1&amp;"P"&amp;$A46)*RTD("tos.rtd",,"DELTA","."&amp;B$2&amp;B$1&amp;"P"&amp;$A46))/1000,(100*RTD("tos.rtd",,"OPEN_INT","."&amp;B$2&amp;B$1&amp;"C"&amp;$A46)*RTD("tos.rtd",,"DELTA","."&amp;B$2&amp;B$1&amp;"C"&amp;$A46)-100*RTD("tos.rtd",,"OPEN_INT","."&amp;B$2&amp;B$1&amp;"P"&amp;$A46)*RTD("tos.rtd",,"DELTA","."&amp;B$2&amp;B$1&amp;"P"&amp;$A46))/1000),0),IF($A$2="VEX",IFERROR(IF($X$1="ABS",($A$4*$A$4*RTD("tos.rtd",,"VOLUME","."&amp;B$2&amp;B$1&amp;"C"&amp;$A46)*RTD("tos.rtd",,"GAMMA","."&amp;B$2&amp;B$1&amp;"C"&amp;$A46)+$A$4*$A$4*RTD("tos.rtd",,"VOLUME","."&amp;B$2&amp;B$1&amp;"P"&amp;$A46)*RTD("tos.rtd",,"GAMMA","."&amp;B$2&amp;B$1&amp;"P"&amp;$A46))/1000000,($A$4*$A$4*RTD("tos.rtd",,"VOLUME","."&amp;B$2&amp;B$1&amp;"C"&amp;$A46)*RTD("tos.rtd",,"GAMMA","."&amp;B$2&amp;B$1&amp;"C"&amp;$A46)-$A$4*$A$4*RTD("tos.rtd",,"VOLUME","."&amp;B$2&amp;B$1&amp;"P"&amp;$A46)*RTD("tos.rtd",,"GAMMA","."&amp;B$2&amp;B$1&amp;"P"&amp;$A46))/1000000),0),IF($A$2="GEX",IFERROR(IF($X$1="ABS",($A$4*$A$4*RTD("tos.rtd",,"OPEN_INT","."&amp;B$2&amp;B$1&amp;"C"&amp;$A46)*RTD("tos.rtd",,"GAMMA","."&amp;B$2&amp;B$1&amp;"C"&amp;$A46)+$A$4*$A$4*RTD("tos.rtd",,"OPEN_INT","."&amp;B$2&amp;B$1&amp;"P"&amp;$A46)*RTD("tos.rtd",,"GAMMA","."&amp;B$2&amp;B$1&amp;"P"&amp;$A46))/1000000,($A$4*$A$4*RTD("tos.rtd",,"OPEN_INT","."&amp;B$2&amp;B$1&amp;"C"&amp;$A46)*RTD("tos.rtd",,"GAMMA","."&amp;B$2&amp;B$1&amp;"C"&amp;$A46)-$A$4*$A$4*RTD("tos.rtd",,"OPEN_INT","."&amp;B$2&amp;B$1&amp;"P"&amp;$A46)*RTD("tos.rtd",,"GAMMA","."&amp;B$2&amp;B$1&amp;"P"&amp;$A46))/1000000),0),IF($A$2="SKEW",IFERROR(VALUE(IF(RTD("tos.rtd",,"IMPL_VOL","."&amp;B$2&amp;B$1&amp;"P"&amp;$A46)="N/A",0,RTD("tos.rtd",,"IMPL_VOL","."&amp;B$2&amp;B$1&amp;"P"&amp;$A46))),0)-IFERROR(VALUE(IF(RTD("tos.rtd",,"IMPL_VOL","."&amp;B$2&amp;B$1&amp;"C"&amp;$A46)="N/A",0,RTD("tos.rtd",,"IMPL_VOL","."&amp;B$2&amp;B$1&amp;"C"&amp;$A46))),0),IF($A$2="MAXPAIN",IF($A$4&gt;$A46,($A$4-$A46)*IF(RTD("tos.rtd",,"OPEN_INT","."&amp;B$2&amp;B$1&amp;"C"&amp;$A46)="N/A",0,RTD("tos.rtd",,"OPEN_INT","."&amp;B$2&amp;B$1&amp;"C"&amp;$A46)),0)+IF($A$4&lt;$A46,($A$5-$A$4)*IF(RTD("tos.rtd",,"OPEN_INT","."&amp;B$2&amp;B$1&amp;"P"&amp;$A46)="N/A",0,RTD("tos.rtd",,"OPEN_INT","."&amp;B$2&amp;B$1&amp;"P"&amp;$A46)),0),IF($X$1="ABS",IF(RTD("tos.rtd",,$A$2,"."&amp;B$2&amp;B$1&amp;"C"&amp;$A46)="N/A",0,RTD("tos.rtd",,$A$2,"."&amp;B$2&amp;B$1&amp;"C"&amp;$A46))+IF(RTD("tos.rtd",,$A$2,"."&amp;B$2&amp;B$1&amp;"P"&amp;$A46)="N/A",0,RTD("tos.rtd",,$A$2,"."&amp;B$2&amp;B$1&amp;"P"&amp;$A46)),IF(RTD("tos.rtd",,$A$2,"."&amp;B$2&amp;B$1&amp;"C"&amp;$A46)="N/A",0,RTD("tos.rtd",,$A$2,"."&amp;B$2&amp;B$1&amp;"C"&amp;$A46))-IF(RTD("tos.rtd",,$A$2,"."&amp;B$2&amp;B$1&amp;"P"&amp;$A46)="N/A",0,RTD("tos.rtd",,$A$2,"."&amp;B$2&amp;B$1&amp;"P"&amp;$A46))))))))))</f>
        <v>0</v>
      </c>
      <c r="C46" s="12">
        <f ca="1">IF($A$2="PREMIUM_OI",IFERROR(IF($X$1="ABS",(100*RTD("tos.rtd",,"OPEN_INT","."&amp;C$2&amp;C$1&amp;"C"&amp;$A46)*RTD("tos.rtd",,"LAST","."&amp;C$2&amp;C$1&amp;"C"&amp;$A46)+100*RTD("tos.rtd",,"OPEN_INT","."&amp;C$2&amp;C$1&amp;"P"&amp;$A46)*RTD("tos.rtd",,"LAST","."&amp;C$2&amp;C$1&amp;"P"&amp;$A46))/1000000,(100*RTD("tos.rtd",,"OPEN_INT","."&amp;C$2&amp;C$1&amp;"C"&amp;$A46)*RTD("tos.rtd",,"LAST","."&amp;C$2&amp;C$1&amp;"C"&amp;$A46)-100*RTD("tos.rtd",,"OPEN_INT","."&amp;C$2&amp;C$1&amp;"P"&amp;$A46)*RTD("tos.rtd",,"LAST","."&amp;C$2&amp;C$1&amp;"P"&amp;$A46))/1000000),0),IF($A$2="PREMIUM",IFERROR(IF($X$1="ABS",(100*RTD("tos.rtd",,"VOLUME","."&amp;C$2&amp;C$1&amp;"C"&amp;$A46)*RTD("tos.rtd",,"LAST","."&amp;C$2&amp;C$1&amp;"C"&amp;$A46)+100*RTD("tos.rtd",,"VOLUME","."&amp;C$2&amp;C$1&amp;"P"&amp;$A46)*RTD("tos.rtd",,"LAST","."&amp;C$2&amp;C$1&amp;"P"&amp;$A46))/1000000,(100*RTD("tos.rtd",,"VOLUME","."&amp;C$2&amp;C$1&amp;"C"&amp;$A46)*RTD("tos.rtd",,"LAST","."&amp;C$2&amp;C$1&amp;"C"&amp;$A46)-100*RTD("tos.rtd",,"VOLUME","."&amp;C$2&amp;C$1&amp;"P"&amp;$A46)*RTD("tos.rtd",,"LAST","."&amp;C$2&amp;C$1&amp;"P"&amp;$A46))/1000000),0),IF($A$2="DEX",IFERROR(IF($X$1="ABS",(100*RTD("tos.rtd",,"OPEN_INT","."&amp;C$2&amp;C$1&amp;"C"&amp;$A46)*RTD("tos.rtd",,"DELTA","."&amp;C$2&amp;C$1&amp;"C"&amp;$A46)+100*RTD("tos.rtd",,"OPEN_INT","."&amp;C$2&amp;C$1&amp;"P"&amp;$A46)*RTD("tos.rtd",,"DELTA","."&amp;C$2&amp;C$1&amp;"P"&amp;$A46))/1000,(100*RTD("tos.rtd",,"OPEN_INT","."&amp;C$2&amp;C$1&amp;"C"&amp;$A46)*RTD("tos.rtd",,"DELTA","."&amp;C$2&amp;C$1&amp;"C"&amp;$A46)-100*RTD("tos.rtd",,"OPEN_INT","."&amp;C$2&amp;C$1&amp;"P"&amp;$A46)*RTD("tos.rtd",,"DELTA","."&amp;C$2&amp;C$1&amp;"P"&amp;$A46))/1000),0),IF($A$2="VEX",IFERROR(IF($X$1="ABS",($A$4*$A$4*RTD("tos.rtd",,"VOLUME","."&amp;C$2&amp;C$1&amp;"C"&amp;$A46)*RTD("tos.rtd",,"GAMMA","."&amp;C$2&amp;C$1&amp;"C"&amp;$A46)+$A$4*$A$4*RTD("tos.rtd",,"VOLUME","."&amp;C$2&amp;C$1&amp;"P"&amp;$A46)*RTD("tos.rtd",,"GAMMA","."&amp;C$2&amp;C$1&amp;"P"&amp;$A46))/1000000,($A$4*$A$4*RTD("tos.rtd",,"VOLUME","."&amp;C$2&amp;C$1&amp;"C"&amp;$A46)*RTD("tos.rtd",,"GAMMA","."&amp;C$2&amp;C$1&amp;"C"&amp;$A46)-$A$4*$A$4*RTD("tos.rtd",,"VOLUME","."&amp;C$2&amp;C$1&amp;"P"&amp;$A46)*RTD("tos.rtd",,"GAMMA","."&amp;C$2&amp;C$1&amp;"P"&amp;$A46))/1000000),0),IF($A$2="GEX",IFERROR(IF($X$1="ABS",($A$4*$A$4*RTD("tos.rtd",,"OPEN_INT","."&amp;C$2&amp;C$1&amp;"C"&amp;$A46)*RTD("tos.rtd",,"GAMMA","."&amp;C$2&amp;C$1&amp;"C"&amp;$A46)+$A$4*$A$4*RTD("tos.rtd",,"OPEN_INT","."&amp;C$2&amp;C$1&amp;"P"&amp;$A46)*RTD("tos.rtd",,"GAMMA","."&amp;C$2&amp;C$1&amp;"P"&amp;$A46))/1000000,($A$4*$A$4*RTD("tos.rtd",,"OPEN_INT","."&amp;C$2&amp;C$1&amp;"C"&amp;$A46)*RTD("tos.rtd",,"GAMMA","."&amp;C$2&amp;C$1&amp;"C"&amp;$A46)-$A$4*$A$4*RTD("tos.rtd",,"OPEN_INT","."&amp;C$2&amp;C$1&amp;"P"&amp;$A46)*RTD("tos.rtd",,"GAMMA","."&amp;C$2&amp;C$1&amp;"P"&amp;$A46))/1000000),0),IF($A$2="SKEW",IFERROR(VALUE(IF(RTD("tos.rtd",,"IMPL_VOL","."&amp;C$2&amp;C$1&amp;"P"&amp;$A46)="N/A",0,RTD("tos.rtd",,"IMPL_VOL","."&amp;C$2&amp;C$1&amp;"P"&amp;$A46))),0)-IFERROR(VALUE(IF(RTD("tos.rtd",,"IMPL_VOL","."&amp;C$2&amp;C$1&amp;"C"&amp;$A46)="N/A",0,RTD("tos.rtd",,"IMPL_VOL","."&amp;C$2&amp;C$1&amp;"C"&amp;$A46))),0),IF($A$2="MAXPAIN",IF($A$4&gt;$A46,($A$4-$A46)*IF(RTD("tos.rtd",,"OPEN_INT","."&amp;C$2&amp;C$1&amp;"C"&amp;$A46)="N/A",0,RTD("tos.rtd",,"OPEN_INT","."&amp;C$2&amp;C$1&amp;"C"&amp;$A46)),0)+IF($A$4&lt;$A46,($A$5-$A$4)*IF(RTD("tos.rtd",,"OPEN_INT","."&amp;C$2&amp;C$1&amp;"P"&amp;$A46)="N/A",0,RTD("tos.rtd",,"OPEN_INT","."&amp;C$2&amp;C$1&amp;"P"&amp;$A46)),0),IF($X$1="ABS",IF(RTD("tos.rtd",,$A$2,"."&amp;C$2&amp;C$1&amp;"C"&amp;$A46)="N/A",0,RTD("tos.rtd",,$A$2,"."&amp;C$2&amp;C$1&amp;"C"&amp;$A46))+IF(RTD("tos.rtd",,$A$2,"."&amp;C$2&amp;C$1&amp;"P"&amp;$A46)="N/A",0,RTD("tos.rtd",,$A$2,"."&amp;C$2&amp;C$1&amp;"P"&amp;$A46)),IF(RTD("tos.rtd",,$A$2,"."&amp;C$2&amp;C$1&amp;"C"&amp;$A46)="N/A",0,RTD("tos.rtd",,$A$2,"."&amp;C$2&amp;C$1&amp;"C"&amp;$A46))-IF(RTD("tos.rtd",,$A$2,"."&amp;C$2&amp;C$1&amp;"P"&amp;$A46)="N/A",0,RTD("tos.rtd",,$A$2,"."&amp;C$2&amp;C$1&amp;"P"&amp;$A46))))))))))</f>
        <v>0</v>
      </c>
      <c r="D46" s="12">
        <f ca="1">IF($A$2="PREMIUM_OI",IFERROR(IF($X$1="ABS",(100*RTD("tos.rtd",,"OPEN_INT","."&amp;D$2&amp;D$1&amp;"C"&amp;$A46)*RTD("tos.rtd",,"LAST","."&amp;D$2&amp;D$1&amp;"C"&amp;$A46)+100*RTD("tos.rtd",,"OPEN_INT","."&amp;D$2&amp;D$1&amp;"P"&amp;$A46)*RTD("tos.rtd",,"LAST","."&amp;D$2&amp;D$1&amp;"P"&amp;$A46))/1000000,(100*RTD("tos.rtd",,"OPEN_INT","."&amp;D$2&amp;D$1&amp;"C"&amp;$A46)*RTD("tos.rtd",,"LAST","."&amp;D$2&amp;D$1&amp;"C"&amp;$A46)-100*RTD("tos.rtd",,"OPEN_INT","."&amp;D$2&amp;D$1&amp;"P"&amp;$A46)*RTD("tos.rtd",,"LAST","."&amp;D$2&amp;D$1&amp;"P"&amp;$A46))/1000000),0),IF($A$2="PREMIUM",IFERROR(IF($X$1="ABS",(100*RTD("tos.rtd",,"VOLUME","."&amp;D$2&amp;D$1&amp;"C"&amp;$A46)*RTD("tos.rtd",,"LAST","."&amp;D$2&amp;D$1&amp;"C"&amp;$A46)+100*RTD("tos.rtd",,"VOLUME","."&amp;D$2&amp;D$1&amp;"P"&amp;$A46)*RTD("tos.rtd",,"LAST","."&amp;D$2&amp;D$1&amp;"P"&amp;$A46))/1000000,(100*RTD("tos.rtd",,"VOLUME","."&amp;D$2&amp;D$1&amp;"C"&amp;$A46)*RTD("tos.rtd",,"LAST","."&amp;D$2&amp;D$1&amp;"C"&amp;$A46)-100*RTD("tos.rtd",,"VOLUME","."&amp;D$2&amp;D$1&amp;"P"&amp;$A46)*RTD("tos.rtd",,"LAST","."&amp;D$2&amp;D$1&amp;"P"&amp;$A46))/1000000),0),IF($A$2="DEX",IFERROR(IF($X$1="ABS",(100*RTD("tos.rtd",,"OPEN_INT","."&amp;D$2&amp;D$1&amp;"C"&amp;$A46)*RTD("tos.rtd",,"DELTA","."&amp;D$2&amp;D$1&amp;"C"&amp;$A46)+100*RTD("tos.rtd",,"OPEN_INT","."&amp;D$2&amp;D$1&amp;"P"&amp;$A46)*RTD("tos.rtd",,"DELTA","."&amp;D$2&amp;D$1&amp;"P"&amp;$A46))/1000,(100*RTD("tos.rtd",,"OPEN_INT","."&amp;D$2&amp;D$1&amp;"C"&amp;$A46)*RTD("tos.rtd",,"DELTA","."&amp;D$2&amp;D$1&amp;"C"&amp;$A46)-100*RTD("tos.rtd",,"OPEN_INT","."&amp;D$2&amp;D$1&amp;"P"&amp;$A46)*RTD("tos.rtd",,"DELTA","."&amp;D$2&amp;D$1&amp;"P"&amp;$A46))/1000),0),IF($A$2="VEX",IFERROR(IF($X$1="ABS",($A$4*$A$4*RTD("tos.rtd",,"VOLUME","."&amp;D$2&amp;D$1&amp;"C"&amp;$A46)*RTD("tos.rtd",,"GAMMA","."&amp;D$2&amp;D$1&amp;"C"&amp;$A46)+$A$4*$A$4*RTD("tos.rtd",,"VOLUME","."&amp;D$2&amp;D$1&amp;"P"&amp;$A46)*RTD("tos.rtd",,"GAMMA","."&amp;D$2&amp;D$1&amp;"P"&amp;$A46))/1000000,($A$4*$A$4*RTD("tos.rtd",,"VOLUME","."&amp;D$2&amp;D$1&amp;"C"&amp;$A46)*RTD("tos.rtd",,"GAMMA","."&amp;D$2&amp;D$1&amp;"C"&amp;$A46)-$A$4*$A$4*RTD("tos.rtd",,"VOLUME","."&amp;D$2&amp;D$1&amp;"P"&amp;$A46)*RTD("tos.rtd",,"GAMMA","."&amp;D$2&amp;D$1&amp;"P"&amp;$A46))/1000000),0),IF($A$2="GEX",IFERROR(IF($X$1="ABS",($A$4*$A$4*RTD("tos.rtd",,"OPEN_INT","."&amp;D$2&amp;D$1&amp;"C"&amp;$A46)*RTD("tos.rtd",,"GAMMA","."&amp;D$2&amp;D$1&amp;"C"&amp;$A46)+$A$4*$A$4*RTD("tos.rtd",,"OPEN_INT","."&amp;D$2&amp;D$1&amp;"P"&amp;$A46)*RTD("tos.rtd",,"GAMMA","."&amp;D$2&amp;D$1&amp;"P"&amp;$A46))/1000000,($A$4*$A$4*RTD("tos.rtd",,"OPEN_INT","."&amp;D$2&amp;D$1&amp;"C"&amp;$A46)*RTD("tos.rtd",,"GAMMA","."&amp;D$2&amp;D$1&amp;"C"&amp;$A46)-$A$4*$A$4*RTD("tos.rtd",,"OPEN_INT","."&amp;D$2&amp;D$1&amp;"P"&amp;$A46)*RTD("tos.rtd",,"GAMMA","."&amp;D$2&amp;D$1&amp;"P"&amp;$A46))/1000000),0),IF($A$2="SKEW",IFERROR(VALUE(IF(RTD("tos.rtd",,"IMPL_VOL","."&amp;D$2&amp;D$1&amp;"P"&amp;$A46)="N/A",0,RTD("tos.rtd",,"IMPL_VOL","."&amp;D$2&amp;D$1&amp;"P"&amp;$A46))),0)-IFERROR(VALUE(IF(RTD("tos.rtd",,"IMPL_VOL","."&amp;D$2&amp;D$1&amp;"C"&amp;$A46)="N/A",0,RTD("tos.rtd",,"IMPL_VOL","."&amp;D$2&amp;D$1&amp;"C"&amp;$A46))),0),IF($A$2="MAXPAIN",IF($A$4&gt;$A46,($A$4-$A46)*IF(RTD("tos.rtd",,"OPEN_INT","."&amp;D$2&amp;D$1&amp;"C"&amp;$A46)="N/A",0,RTD("tos.rtd",,"OPEN_INT","."&amp;D$2&amp;D$1&amp;"C"&amp;$A46)),0)+IF($A$4&lt;$A46,($A$5-$A$4)*IF(RTD("tos.rtd",,"OPEN_INT","."&amp;D$2&amp;D$1&amp;"P"&amp;$A46)="N/A",0,RTD("tos.rtd",,"OPEN_INT","."&amp;D$2&amp;D$1&amp;"P"&amp;$A46)),0),IF($X$1="ABS",IF(RTD("tos.rtd",,$A$2,"."&amp;D$2&amp;D$1&amp;"C"&amp;$A46)="N/A",0,RTD("tos.rtd",,$A$2,"."&amp;D$2&amp;D$1&amp;"C"&amp;$A46))+IF(RTD("tos.rtd",,$A$2,"."&amp;D$2&amp;D$1&amp;"P"&amp;$A46)="N/A",0,RTD("tos.rtd",,$A$2,"."&amp;D$2&amp;D$1&amp;"P"&amp;$A46)),IF(RTD("tos.rtd",,$A$2,"."&amp;D$2&amp;D$1&amp;"C"&amp;$A46)="N/A",0,RTD("tos.rtd",,$A$2,"."&amp;D$2&amp;D$1&amp;"C"&amp;$A46))-IF(RTD("tos.rtd",,$A$2,"."&amp;D$2&amp;D$1&amp;"P"&amp;$A46)="N/A",0,RTD("tos.rtd",,$A$2,"."&amp;D$2&amp;D$1&amp;"P"&amp;$A46))))))))))</f>
        <v>-3709</v>
      </c>
      <c r="E46" s="12">
        <f ca="1">IF($A$2="PREMIUM_OI",IFERROR(IF($X$1="ABS",(100*RTD("tos.rtd",,"OPEN_INT","."&amp;E$2&amp;E$1&amp;"C"&amp;$A46)*RTD("tos.rtd",,"LAST","."&amp;E$2&amp;E$1&amp;"C"&amp;$A46)+100*RTD("tos.rtd",,"OPEN_INT","."&amp;E$2&amp;E$1&amp;"P"&amp;$A46)*RTD("tos.rtd",,"LAST","."&amp;E$2&amp;E$1&amp;"P"&amp;$A46))/1000000,(100*RTD("tos.rtd",,"OPEN_INT","."&amp;E$2&amp;E$1&amp;"C"&amp;$A46)*RTD("tos.rtd",,"LAST","."&amp;E$2&amp;E$1&amp;"C"&amp;$A46)-100*RTD("tos.rtd",,"OPEN_INT","."&amp;E$2&amp;E$1&amp;"P"&amp;$A46)*RTD("tos.rtd",,"LAST","."&amp;E$2&amp;E$1&amp;"P"&amp;$A46))/1000000),0),IF($A$2="PREMIUM",IFERROR(IF($X$1="ABS",(100*RTD("tos.rtd",,"VOLUME","."&amp;E$2&amp;E$1&amp;"C"&amp;$A46)*RTD("tos.rtd",,"LAST","."&amp;E$2&amp;E$1&amp;"C"&amp;$A46)+100*RTD("tos.rtd",,"VOLUME","."&amp;E$2&amp;E$1&amp;"P"&amp;$A46)*RTD("tos.rtd",,"LAST","."&amp;E$2&amp;E$1&amp;"P"&amp;$A46))/1000000,(100*RTD("tos.rtd",,"VOLUME","."&amp;E$2&amp;E$1&amp;"C"&amp;$A46)*RTD("tos.rtd",,"LAST","."&amp;E$2&amp;E$1&amp;"C"&amp;$A46)-100*RTD("tos.rtd",,"VOLUME","."&amp;E$2&amp;E$1&amp;"P"&amp;$A46)*RTD("tos.rtd",,"LAST","."&amp;E$2&amp;E$1&amp;"P"&amp;$A46))/1000000),0),IF($A$2="DEX",IFERROR(IF($X$1="ABS",(100*RTD("tos.rtd",,"OPEN_INT","."&amp;E$2&amp;E$1&amp;"C"&amp;$A46)*RTD("tos.rtd",,"DELTA","."&amp;E$2&amp;E$1&amp;"C"&amp;$A46)+100*RTD("tos.rtd",,"OPEN_INT","."&amp;E$2&amp;E$1&amp;"P"&amp;$A46)*RTD("tos.rtd",,"DELTA","."&amp;E$2&amp;E$1&amp;"P"&amp;$A46))/1000,(100*RTD("tos.rtd",,"OPEN_INT","."&amp;E$2&amp;E$1&amp;"C"&amp;$A46)*RTD("tos.rtd",,"DELTA","."&amp;E$2&amp;E$1&amp;"C"&amp;$A46)-100*RTD("tos.rtd",,"OPEN_INT","."&amp;E$2&amp;E$1&amp;"P"&amp;$A46)*RTD("tos.rtd",,"DELTA","."&amp;E$2&amp;E$1&amp;"P"&amp;$A46))/1000),0),IF($A$2="VEX",IFERROR(IF($X$1="ABS",($A$4*$A$4*RTD("tos.rtd",,"VOLUME","."&amp;E$2&amp;E$1&amp;"C"&amp;$A46)*RTD("tos.rtd",,"GAMMA","."&amp;E$2&amp;E$1&amp;"C"&amp;$A46)+$A$4*$A$4*RTD("tos.rtd",,"VOLUME","."&amp;E$2&amp;E$1&amp;"P"&amp;$A46)*RTD("tos.rtd",,"GAMMA","."&amp;E$2&amp;E$1&amp;"P"&amp;$A46))/1000000,($A$4*$A$4*RTD("tos.rtd",,"VOLUME","."&amp;E$2&amp;E$1&amp;"C"&amp;$A46)*RTD("tos.rtd",,"GAMMA","."&amp;E$2&amp;E$1&amp;"C"&amp;$A46)-$A$4*$A$4*RTD("tos.rtd",,"VOLUME","."&amp;E$2&amp;E$1&amp;"P"&amp;$A46)*RTD("tos.rtd",,"GAMMA","."&amp;E$2&amp;E$1&amp;"P"&amp;$A46))/1000000),0),IF($A$2="GEX",IFERROR(IF($X$1="ABS",($A$4*$A$4*RTD("tos.rtd",,"OPEN_INT","."&amp;E$2&amp;E$1&amp;"C"&amp;$A46)*RTD("tos.rtd",,"GAMMA","."&amp;E$2&amp;E$1&amp;"C"&amp;$A46)+$A$4*$A$4*RTD("tos.rtd",,"OPEN_INT","."&amp;E$2&amp;E$1&amp;"P"&amp;$A46)*RTD("tos.rtd",,"GAMMA","."&amp;E$2&amp;E$1&amp;"P"&amp;$A46))/1000000,($A$4*$A$4*RTD("tos.rtd",,"OPEN_INT","."&amp;E$2&amp;E$1&amp;"C"&amp;$A46)*RTD("tos.rtd",,"GAMMA","."&amp;E$2&amp;E$1&amp;"C"&amp;$A46)-$A$4*$A$4*RTD("tos.rtd",,"OPEN_INT","."&amp;E$2&amp;E$1&amp;"P"&amp;$A46)*RTD("tos.rtd",,"GAMMA","."&amp;E$2&amp;E$1&amp;"P"&amp;$A46))/1000000),0),IF($A$2="SKEW",IFERROR(VALUE(IF(RTD("tos.rtd",,"IMPL_VOL","."&amp;E$2&amp;E$1&amp;"P"&amp;$A46)="N/A",0,RTD("tos.rtd",,"IMPL_VOL","."&amp;E$2&amp;E$1&amp;"P"&amp;$A46))),0)-IFERROR(VALUE(IF(RTD("tos.rtd",,"IMPL_VOL","."&amp;E$2&amp;E$1&amp;"C"&amp;$A46)="N/A",0,RTD("tos.rtd",,"IMPL_VOL","."&amp;E$2&amp;E$1&amp;"C"&amp;$A46))),0),IF($A$2="MAXPAIN",IF($A$4&gt;$A46,($A$4-$A46)*IF(RTD("tos.rtd",,"OPEN_INT","."&amp;E$2&amp;E$1&amp;"C"&amp;$A46)="N/A",0,RTD("tos.rtd",,"OPEN_INT","."&amp;E$2&amp;E$1&amp;"C"&amp;$A46)),0)+IF($A$4&lt;$A46,($A$5-$A$4)*IF(RTD("tos.rtd",,"OPEN_INT","."&amp;E$2&amp;E$1&amp;"P"&amp;$A46)="N/A",0,RTD("tos.rtd",,"OPEN_INT","."&amp;E$2&amp;E$1&amp;"P"&amp;$A46)),0),IF($X$1="ABS",IF(RTD("tos.rtd",,$A$2,"."&amp;E$2&amp;E$1&amp;"C"&amp;$A46)="N/A",0,RTD("tos.rtd",,$A$2,"."&amp;E$2&amp;E$1&amp;"C"&amp;$A46))+IF(RTD("tos.rtd",,$A$2,"."&amp;E$2&amp;E$1&amp;"P"&amp;$A46)="N/A",0,RTD("tos.rtd",,$A$2,"."&amp;E$2&amp;E$1&amp;"P"&amp;$A46)),IF(RTD("tos.rtd",,$A$2,"."&amp;E$2&amp;E$1&amp;"C"&amp;$A46)="N/A",0,RTD("tos.rtd",,$A$2,"."&amp;E$2&amp;E$1&amp;"C"&amp;$A46))-IF(RTD("tos.rtd",,$A$2,"."&amp;E$2&amp;E$1&amp;"P"&amp;$A46)="N/A",0,RTD("tos.rtd",,$A$2,"."&amp;E$2&amp;E$1&amp;"P"&amp;$A46))))))))))</f>
        <v>0</v>
      </c>
      <c r="F46" s="12">
        <f ca="1">IF($A$2="PREMIUM_OI",IFERROR(IF($X$1="ABS",(100*RTD("tos.rtd",,"OPEN_INT","."&amp;F$2&amp;F$1&amp;"C"&amp;$A46)*RTD("tos.rtd",,"LAST","."&amp;F$2&amp;F$1&amp;"C"&amp;$A46)+100*RTD("tos.rtd",,"OPEN_INT","."&amp;F$2&amp;F$1&amp;"P"&amp;$A46)*RTD("tos.rtd",,"LAST","."&amp;F$2&amp;F$1&amp;"P"&amp;$A46))/1000000,(100*RTD("tos.rtd",,"OPEN_INT","."&amp;F$2&amp;F$1&amp;"C"&amp;$A46)*RTD("tos.rtd",,"LAST","."&amp;F$2&amp;F$1&amp;"C"&amp;$A46)-100*RTD("tos.rtd",,"OPEN_INT","."&amp;F$2&amp;F$1&amp;"P"&amp;$A46)*RTD("tos.rtd",,"LAST","."&amp;F$2&amp;F$1&amp;"P"&amp;$A46))/1000000),0),IF($A$2="PREMIUM",IFERROR(IF($X$1="ABS",(100*RTD("tos.rtd",,"VOLUME","."&amp;F$2&amp;F$1&amp;"C"&amp;$A46)*RTD("tos.rtd",,"LAST","."&amp;F$2&amp;F$1&amp;"C"&amp;$A46)+100*RTD("tos.rtd",,"VOLUME","."&amp;F$2&amp;F$1&amp;"P"&amp;$A46)*RTD("tos.rtd",,"LAST","."&amp;F$2&amp;F$1&amp;"P"&amp;$A46))/1000000,(100*RTD("tos.rtd",,"VOLUME","."&amp;F$2&amp;F$1&amp;"C"&amp;$A46)*RTD("tos.rtd",,"LAST","."&amp;F$2&amp;F$1&amp;"C"&amp;$A46)-100*RTD("tos.rtd",,"VOLUME","."&amp;F$2&amp;F$1&amp;"P"&amp;$A46)*RTD("tos.rtd",,"LAST","."&amp;F$2&amp;F$1&amp;"P"&amp;$A46))/1000000),0),IF($A$2="DEX",IFERROR(IF($X$1="ABS",(100*RTD("tos.rtd",,"OPEN_INT","."&amp;F$2&amp;F$1&amp;"C"&amp;$A46)*RTD("tos.rtd",,"DELTA","."&amp;F$2&amp;F$1&amp;"C"&amp;$A46)+100*RTD("tos.rtd",,"OPEN_INT","."&amp;F$2&amp;F$1&amp;"P"&amp;$A46)*RTD("tos.rtd",,"DELTA","."&amp;F$2&amp;F$1&amp;"P"&amp;$A46))/1000,(100*RTD("tos.rtd",,"OPEN_INT","."&amp;F$2&amp;F$1&amp;"C"&amp;$A46)*RTD("tos.rtd",,"DELTA","."&amp;F$2&amp;F$1&amp;"C"&amp;$A46)-100*RTD("tos.rtd",,"OPEN_INT","."&amp;F$2&amp;F$1&amp;"P"&amp;$A46)*RTD("tos.rtd",,"DELTA","."&amp;F$2&amp;F$1&amp;"P"&amp;$A46))/1000),0),IF($A$2="VEX",IFERROR(IF($X$1="ABS",($A$4*$A$4*RTD("tos.rtd",,"VOLUME","."&amp;F$2&amp;F$1&amp;"C"&amp;$A46)*RTD("tos.rtd",,"GAMMA","."&amp;F$2&amp;F$1&amp;"C"&amp;$A46)+$A$4*$A$4*RTD("tos.rtd",,"VOLUME","."&amp;F$2&amp;F$1&amp;"P"&amp;$A46)*RTD("tos.rtd",,"GAMMA","."&amp;F$2&amp;F$1&amp;"P"&amp;$A46))/1000000,($A$4*$A$4*RTD("tos.rtd",,"VOLUME","."&amp;F$2&amp;F$1&amp;"C"&amp;$A46)*RTD("tos.rtd",,"GAMMA","."&amp;F$2&amp;F$1&amp;"C"&amp;$A46)-$A$4*$A$4*RTD("tos.rtd",,"VOLUME","."&amp;F$2&amp;F$1&amp;"P"&amp;$A46)*RTD("tos.rtd",,"GAMMA","."&amp;F$2&amp;F$1&amp;"P"&amp;$A46))/1000000),0),IF($A$2="GEX",IFERROR(IF($X$1="ABS",($A$4*$A$4*RTD("tos.rtd",,"OPEN_INT","."&amp;F$2&amp;F$1&amp;"C"&amp;$A46)*RTD("tos.rtd",,"GAMMA","."&amp;F$2&amp;F$1&amp;"C"&amp;$A46)+$A$4*$A$4*RTD("tos.rtd",,"OPEN_INT","."&amp;F$2&amp;F$1&amp;"P"&amp;$A46)*RTD("tos.rtd",,"GAMMA","."&amp;F$2&amp;F$1&amp;"P"&amp;$A46))/1000000,($A$4*$A$4*RTD("tos.rtd",,"OPEN_INT","."&amp;F$2&amp;F$1&amp;"C"&amp;$A46)*RTD("tos.rtd",,"GAMMA","."&amp;F$2&amp;F$1&amp;"C"&amp;$A46)-$A$4*$A$4*RTD("tos.rtd",,"OPEN_INT","."&amp;F$2&amp;F$1&amp;"P"&amp;$A46)*RTD("tos.rtd",,"GAMMA","."&amp;F$2&amp;F$1&amp;"P"&amp;$A46))/1000000),0),IF($A$2="SKEW",IFERROR(VALUE(IF(RTD("tos.rtd",,"IMPL_VOL","."&amp;F$2&amp;F$1&amp;"P"&amp;$A46)="N/A",0,RTD("tos.rtd",,"IMPL_VOL","."&amp;F$2&amp;F$1&amp;"P"&amp;$A46))),0)-IFERROR(VALUE(IF(RTD("tos.rtd",,"IMPL_VOL","."&amp;F$2&amp;F$1&amp;"C"&amp;$A46)="N/A",0,RTD("tos.rtd",,"IMPL_VOL","."&amp;F$2&amp;F$1&amp;"C"&amp;$A46))),0),IF($A$2="MAXPAIN",IF($A$4&gt;$A46,($A$4-$A46)*IF(RTD("tos.rtd",,"OPEN_INT","."&amp;F$2&amp;F$1&amp;"C"&amp;$A46)="N/A",0,RTD("tos.rtd",,"OPEN_INT","."&amp;F$2&amp;F$1&amp;"C"&amp;$A46)),0)+IF($A$4&lt;$A46,($A$5-$A$4)*IF(RTD("tos.rtd",,"OPEN_INT","."&amp;F$2&amp;F$1&amp;"P"&amp;$A46)="N/A",0,RTD("tos.rtd",,"OPEN_INT","."&amp;F$2&amp;F$1&amp;"P"&amp;$A46)),0),IF($X$1="ABS",IF(RTD("tos.rtd",,$A$2,"."&amp;F$2&amp;F$1&amp;"C"&amp;$A46)="N/A",0,RTD("tos.rtd",,$A$2,"."&amp;F$2&amp;F$1&amp;"C"&amp;$A46))+IF(RTD("tos.rtd",,$A$2,"."&amp;F$2&amp;F$1&amp;"P"&amp;$A46)="N/A",0,RTD("tos.rtd",,$A$2,"."&amp;F$2&amp;F$1&amp;"P"&amp;$A46)),IF(RTD("tos.rtd",,$A$2,"."&amp;F$2&amp;F$1&amp;"C"&amp;$A46)="N/A",0,RTD("tos.rtd",,$A$2,"."&amp;F$2&amp;F$1&amp;"C"&amp;$A46))-IF(RTD("tos.rtd",,$A$2,"."&amp;F$2&amp;F$1&amp;"P"&amp;$A46)="N/A",0,RTD("tos.rtd",,$A$2,"."&amp;F$2&amp;F$1&amp;"P"&amp;$A46))))))))))</f>
        <v>0</v>
      </c>
      <c r="G46" s="57">
        <f ca="1">IF($A$2="PREMIUM_OI",IFERROR(IF($X$1="ABS",(100*RTD("tos.rtd",,"OPEN_INT","."&amp;G$2&amp;G$1&amp;"C"&amp;$A46)*RTD("tos.rtd",,"LAST","."&amp;G$2&amp;G$1&amp;"C"&amp;$A46)+100*RTD("tos.rtd",,"OPEN_INT","."&amp;G$2&amp;G$1&amp;"P"&amp;$A46)*RTD("tos.rtd",,"LAST","."&amp;G$2&amp;G$1&amp;"P"&amp;$A46))/1000000,(100*RTD("tos.rtd",,"OPEN_INT","."&amp;G$2&amp;G$1&amp;"C"&amp;$A46)*RTD("tos.rtd",,"LAST","."&amp;G$2&amp;G$1&amp;"C"&amp;$A46)-100*RTD("tos.rtd",,"OPEN_INT","."&amp;G$2&amp;G$1&amp;"P"&amp;$A46)*RTD("tos.rtd",,"LAST","."&amp;G$2&amp;G$1&amp;"P"&amp;$A46))/1000000),0),IF($A$2="PREMIUM",IFERROR(IF($X$1="ABS",(100*RTD("tos.rtd",,"VOLUME","."&amp;G$2&amp;G$1&amp;"C"&amp;$A46)*RTD("tos.rtd",,"LAST","."&amp;G$2&amp;G$1&amp;"C"&amp;$A46)+100*RTD("tos.rtd",,"VOLUME","."&amp;G$2&amp;G$1&amp;"P"&amp;$A46)*RTD("tos.rtd",,"LAST","."&amp;G$2&amp;G$1&amp;"P"&amp;$A46))/1000000,(100*RTD("tos.rtd",,"VOLUME","."&amp;G$2&amp;G$1&amp;"C"&amp;$A46)*RTD("tos.rtd",,"LAST","."&amp;G$2&amp;G$1&amp;"C"&amp;$A46)-100*RTD("tos.rtd",,"VOLUME","."&amp;G$2&amp;G$1&amp;"P"&amp;$A46)*RTD("tos.rtd",,"LAST","."&amp;G$2&amp;G$1&amp;"P"&amp;$A46))/1000000),0),IF($A$2="DEX",IFERROR(IF($X$1="ABS",(100*RTD("tos.rtd",,"OPEN_INT","."&amp;G$2&amp;G$1&amp;"C"&amp;$A46)*RTD("tos.rtd",,"DELTA","."&amp;G$2&amp;G$1&amp;"C"&amp;$A46)+100*RTD("tos.rtd",,"OPEN_INT","."&amp;G$2&amp;G$1&amp;"P"&amp;$A46)*RTD("tos.rtd",,"DELTA","."&amp;G$2&amp;G$1&amp;"P"&amp;$A46))/1000,(100*RTD("tos.rtd",,"OPEN_INT","."&amp;G$2&amp;G$1&amp;"C"&amp;$A46)*RTD("tos.rtd",,"DELTA","."&amp;G$2&amp;G$1&amp;"C"&amp;$A46)-100*RTD("tos.rtd",,"OPEN_INT","."&amp;G$2&amp;G$1&amp;"P"&amp;$A46)*RTD("tos.rtd",,"DELTA","."&amp;G$2&amp;G$1&amp;"P"&amp;$A46))/1000),0),IF($A$2="VEX",IFERROR(IF($X$1="ABS",($A$4*$A$4*RTD("tos.rtd",,"VOLUME","."&amp;G$2&amp;G$1&amp;"C"&amp;$A46)*RTD("tos.rtd",,"GAMMA","."&amp;G$2&amp;G$1&amp;"C"&amp;$A46)+$A$4*$A$4*RTD("tos.rtd",,"VOLUME","."&amp;G$2&amp;G$1&amp;"P"&amp;$A46)*RTD("tos.rtd",,"GAMMA","."&amp;G$2&amp;G$1&amp;"P"&amp;$A46))/1000000,($A$4*$A$4*RTD("tos.rtd",,"VOLUME","."&amp;G$2&amp;G$1&amp;"C"&amp;$A46)*RTD("tos.rtd",,"GAMMA","."&amp;G$2&amp;G$1&amp;"C"&amp;$A46)-$A$4*$A$4*RTD("tos.rtd",,"VOLUME","."&amp;G$2&amp;G$1&amp;"P"&amp;$A46)*RTD("tos.rtd",,"GAMMA","."&amp;G$2&amp;G$1&amp;"P"&amp;$A46))/1000000),0),IF($A$2="GEX",IFERROR(IF($X$1="ABS",($A$4*$A$4*RTD("tos.rtd",,"OPEN_INT","."&amp;G$2&amp;G$1&amp;"C"&amp;$A46)*RTD("tos.rtd",,"GAMMA","."&amp;G$2&amp;G$1&amp;"C"&amp;$A46)+$A$4*$A$4*RTD("tos.rtd",,"OPEN_INT","."&amp;G$2&amp;G$1&amp;"P"&amp;$A46)*RTD("tos.rtd",,"GAMMA","."&amp;G$2&amp;G$1&amp;"P"&amp;$A46))/1000000,($A$4*$A$4*RTD("tos.rtd",,"OPEN_INT","."&amp;G$2&amp;G$1&amp;"C"&amp;$A46)*RTD("tos.rtd",,"GAMMA","."&amp;G$2&amp;G$1&amp;"C"&amp;$A46)-$A$4*$A$4*RTD("tos.rtd",,"OPEN_INT","."&amp;G$2&amp;G$1&amp;"P"&amp;$A46)*RTD("tos.rtd",,"GAMMA","."&amp;G$2&amp;G$1&amp;"P"&amp;$A46))/1000000),0),IF($A$2="SKEW",IFERROR(VALUE(IF(RTD("tos.rtd",,"IMPL_VOL","."&amp;G$2&amp;G$1&amp;"P"&amp;$A46)="N/A",0,RTD("tos.rtd",,"IMPL_VOL","."&amp;G$2&amp;G$1&amp;"P"&amp;$A46))),0)-IFERROR(VALUE(IF(RTD("tos.rtd",,"IMPL_VOL","."&amp;G$2&amp;G$1&amp;"C"&amp;$A46)="N/A",0,RTD("tos.rtd",,"IMPL_VOL","."&amp;G$2&amp;G$1&amp;"C"&amp;$A46))),0),IF($A$2="MAXPAIN",IF($A$4&gt;$A46,($A$4-$A46)*IF(RTD("tos.rtd",,"OPEN_INT","."&amp;G$2&amp;G$1&amp;"C"&amp;$A46)="N/A",0,RTD("tos.rtd",,"OPEN_INT","."&amp;G$2&amp;G$1&amp;"C"&amp;$A46)),0)+IF($A$4&lt;$A46,($A$5-$A$4)*IF(RTD("tos.rtd",,"OPEN_INT","."&amp;G$2&amp;G$1&amp;"P"&amp;$A46)="N/A",0,RTD("tos.rtd",,"OPEN_INT","."&amp;G$2&amp;G$1&amp;"P"&amp;$A46)),0),IF($X$1="ABS",IF(RTD("tos.rtd",,$A$2,"."&amp;G$2&amp;G$1&amp;"C"&amp;$A46)="N/A",0,RTD("tos.rtd",,$A$2,"."&amp;G$2&amp;G$1&amp;"C"&amp;$A46))+IF(RTD("tos.rtd",,$A$2,"."&amp;G$2&amp;G$1&amp;"P"&amp;$A46)="N/A",0,RTD("tos.rtd",,$A$2,"."&amp;G$2&amp;G$1&amp;"P"&amp;$A46)),IF(RTD("tos.rtd",,$A$2,"."&amp;G$2&amp;G$1&amp;"C"&amp;$A46)="N/A",0,RTD("tos.rtd",,$A$2,"."&amp;G$2&amp;G$1&amp;"C"&amp;$A46))-IF(RTD("tos.rtd",,$A$2,"."&amp;G$2&amp;G$1&amp;"P"&amp;$A46)="N/A",0,RTD("tos.rtd",,$A$2,"."&amp;G$2&amp;G$1&amp;"P"&amp;$A46))))))))))</f>
        <v>0</v>
      </c>
      <c r="H46" s="14">
        <f ca="1">IF($A$2="PREMIUM_OI",IFERROR(IF($X$1="ABS",(100*RTD("tos.rtd",,"OPEN_INT","."&amp;H$2&amp;H$1&amp;"C"&amp;$A46)*RTD("tos.rtd",,"LAST","."&amp;H$2&amp;H$1&amp;"C"&amp;$A46)+100*RTD("tos.rtd",,"OPEN_INT","."&amp;H$2&amp;H$1&amp;"P"&amp;$A46)*RTD("tos.rtd",,"LAST","."&amp;H$2&amp;H$1&amp;"P"&amp;$A46))/1000000,(100*RTD("tos.rtd",,"OPEN_INT","."&amp;H$2&amp;H$1&amp;"C"&amp;$A46)*RTD("tos.rtd",,"LAST","."&amp;H$2&amp;H$1&amp;"C"&amp;$A46)-100*RTD("tos.rtd",,"OPEN_INT","."&amp;H$2&amp;H$1&amp;"P"&amp;$A46)*RTD("tos.rtd",,"LAST","."&amp;H$2&amp;H$1&amp;"P"&amp;$A46))/1000000),0),IF($A$2="PREMIUM",IFERROR(IF($X$1="ABS",(100*RTD("tos.rtd",,"VOLUME","."&amp;H$2&amp;H$1&amp;"C"&amp;$A46)*RTD("tos.rtd",,"LAST","."&amp;H$2&amp;H$1&amp;"C"&amp;$A46)+100*RTD("tos.rtd",,"VOLUME","."&amp;H$2&amp;H$1&amp;"P"&amp;$A46)*RTD("tos.rtd",,"LAST","."&amp;H$2&amp;H$1&amp;"P"&amp;$A46))/1000000,(100*RTD("tos.rtd",,"VOLUME","."&amp;H$2&amp;H$1&amp;"C"&amp;$A46)*RTD("tos.rtd",,"LAST","."&amp;H$2&amp;H$1&amp;"C"&amp;$A46)-100*RTD("tos.rtd",,"VOLUME","."&amp;H$2&amp;H$1&amp;"P"&amp;$A46)*RTD("tos.rtd",,"LAST","."&amp;H$2&amp;H$1&amp;"P"&amp;$A46))/1000000),0),IF($A$2="DEX",IFERROR(IF($X$1="ABS",(100*RTD("tos.rtd",,"OPEN_INT","."&amp;H$2&amp;H$1&amp;"C"&amp;$A46)*RTD("tos.rtd",,"DELTA","."&amp;H$2&amp;H$1&amp;"C"&amp;$A46)+100*RTD("tos.rtd",,"OPEN_INT","."&amp;H$2&amp;H$1&amp;"P"&amp;$A46)*RTD("tos.rtd",,"DELTA","."&amp;H$2&amp;H$1&amp;"P"&amp;$A46))/1000,(100*RTD("tos.rtd",,"OPEN_INT","."&amp;H$2&amp;H$1&amp;"C"&amp;$A46)*RTD("tos.rtd",,"DELTA","."&amp;H$2&amp;H$1&amp;"C"&amp;$A46)-100*RTD("tos.rtd",,"OPEN_INT","."&amp;H$2&amp;H$1&amp;"P"&amp;$A46)*RTD("tos.rtd",,"DELTA","."&amp;H$2&amp;H$1&amp;"P"&amp;$A46))/1000),0),IF($A$2="VEX",IFERROR(IF($X$1="ABS",($A$4*$A$4*RTD("tos.rtd",,"VOLUME","."&amp;H$2&amp;H$1&amp;"C"&amp;$A46)*RTD("tos.rtd",,"GAMMA","."&amp;H$2&amp;H$1&amp;"C"&amp;$A46)+$A$4*$A$4*RTD("tos.rtd",,"VOLUME","."&amp;H$2&amp;H$1&amp;"P"&amp;$A46)*RTD("tos.rtd",,"GAMMA","."&amp;H$2&amp;H$1&amp;"P"&amp;$A46))/1000000,($A$4*$A$4*RTD("tos.rtd",,"VOLUME","."&amp;H$2&amp;H$1&amp;"C"&amp;$A46)*RTD("tos.rtd",,"GAMMA","."&amp;H$2&amp;H$1&amp;"C"&amp;$A46)-$A$4*$A$4*RTD("tos.rtd",,"VOLUME","."&amp;H$2&amp;H$1&amp;"P"&amp;$A46)*RTD("tos.rtd",,"GAMMA","."&amp;H$2&amp;H$1&amp;"P"&amp;$A46))/1000000),0),IF($A$2="GEX",IFERROR(IF($X$1="ABS",($A$4*$A$4*RTD("tos.rtd",,"OPEN_INT","."&amp;H$2&amp;H$1&amp;"C"&amp;$A46)*RTD("tos.rtd",,"GAMMA","."&amp;H$2&amp;H$1&amp;"C"&amp;$A46)+$A$4*$A$4*RTD("tos.rtd",,"OPEN_INT","."&amp;H$2&amp;H$1&amp;"P"&amp;$A46)*RTD("tos.rtd",,"GAMMA","."&amp;H$2&amp;H$1&amp;"P"&amp;$A46))/1000000,($A$4*$A$4*RTD("tos.rtd",,"OPEN_INT","."&amp;H$2&amp;H$1&amp;"C"&amp;$A46)*RTD("tos.rtd",,"GAMMA","."&amp;H$2&amp;H$1&amp;"C"&amp;$A46)-$A$4*$A$4*RTD("tos.rtd",,"OPEN_INT","."&amp;H$2&amp;H$1&amp;"P"&amp;$A46)*RTD("tos.rtd",,"GAMMA","."&amp;H$2&amp;H$1&amp;"P"&amp;$A46))/1000000),0),IF($A$2="SKEW",IFERROR(VALUE(IF(RTD("tos.rtd",,"IMPL_VOL","."&amp;H$2&amp;H$1&amp;"P"&amp;$A46)="N/A",0,RTD("tos.rtd",,"IMPL_VOL","."&amp;H$2&amp;H$1&amp;"P"&amp;$A46))),0)-IFERROR(VALUE(IF(RTD("tos.rtd",,"IMPL_VOL","."&amp;H$2&amp;H$1&amp;"C"&amp;$A46)="N/A",0,RTD("tos.rtd",,"IMPL_VOL","."&amp;H$2&amp;H$1&amp;"C"&amp;$A46))),0),IF($A$2="MAXPAIN",IF($A$4&gt;$A46,($A$4-$A46)*IF(RTD("tos.rtd",,"OPEN_INT","."&amp;H$2&amp;H$1&amp;"C"&amp;$A46)="N/A",0,RTD("tos.rtd",,"OPEN_INT","."&amp;H$2&amp;H$1&amp;"C"&amp;$A46)),0)+IF($A$4&lt;$A46,($A$5-$A$4)*IF(RTD("tos.rtd",,"OPEN_INT","."&amp;H$2&amp;H$1&amp;"P"&amp;$A46)="N/A",0,RTD("tos.rtd",,"OPEN_INT","."&amp;H$2&amp;H$1&amp;"P"&amp;$A46)),0),IF($X$1="ABS",IF(RTD("tos.rtd",,$A$2,"."&amp;H$2&amp;H$1&amp;"C"&amp;$A46)="N/A",0,RTD("tos.rtd",,$A$2,"."&amp;H$2&amp;H$1&amp;"C"&amp;$A46))+IF(RTD("tos.rtd",,$A$2,"."&amp;H$2&amp;H$1&amp;"P"&amp;$A46)="N/A",0,RTD("tos.rtd",,$A$2,"."&amp;H$2&amp;H$1&amp;"P"&amp;$A46)),IF(RTD("tos.rtd",,$A$2,"."&amp;H$2&amp;H$1&amp;"C"&amp;$A46)="N/A",0,RTD("tos.rtd",,$A$2,"."&amp;H$2&amp;H$1&amp;"C"&amp;$A46))-IF(RTD("tos.rtd",,$A$2,"."&amp;H$2&amp;H$1&amp;"P"&amp;$A46)="N/A",0,RTD("tos.rtd",,$A$2,"."&amp;H$2&amp;H$1&amp;"P"&amp;$A46))))))))))</f>
        <v>-42</v>
      </c>
      <c r="I46" s="12">
        <f ca="1">IF($A$2="PREMIUM_OI",IFERROR(IF($X$1="ABS",(100*RTD("tos.rtd",,"OPEN_INT","."&amp;I$2&amp;I$1&amp;"C"&amp;$A46)*RTD("tos.rtd",,"LAST","."&amp;I$2&amp;I$1&amp;"C"&amp;$A46)+100*RTD("tos.rtd",,"OPEN_INT","."&amp;I$2&amp;I$1&amp;"P"&amp;$A46)*RTD("tos.rtd",,"LAST","."&amp;I$2&amp;I$1&amp;"P"&amp;$A46))/1000000,(100*RTD("tos.rtd",,"OPEN_INT","."&amp;I$2&amp;I$1&amp;"C"&amp;$A46)*RTD("tos.rtd",,"LAST","."&amp;I$2&amp;I$1&amp;"C"&amp;$A46)-100*RTD("tos.rtd",,"OPEN_INT","."&amp;I$2&amp;I$1&amp;"P"&amp;$A46)*RTD("tos.rtd",,"LAST","."&amp;I$2&amp;I$1&amp;"P"&amp;$A46))/1000000),0),IF($A$2="PREMIUM",IFERROR(IF($X$1="ABS",(100*RTD("tos.rtd",,"VOLUME","."&amp;I$2&amp;I$1&amp;"C"&amp;$A46)*RTD("tos.rtd",,"LAST","."&amp;I$2&amp;I$1&amp;"C"&amp;$A46)+100*RTD("tos.rtd",,"VOLUME","."&amp;I$2&amp;I$1&amp;"P"&amp;$A46)*RTD("tos.rtd",,"LAST","."&amp;I$2&amp;I$1&amp;"P"&amp;$A46))/1000000,(100*RTD("tos.rtd",,"VOLUME","."&amp;I$2&amp;I$1&amp;"C"&amp;$A46)*RTD("tos.rtd",,"LAST","."&amp;I$2&amp;I$1&amp;"C"&amp;$A46)-100*RTD("tos.rtd",,"VOLUME","."&amp;I$2&amp;I$1&amp;"P"&amp;$A46)*RTD("tos.rtd",,"LAST","."&amp;I$2&amp;I$1&amp;"P"&amp;$A46))/1000000),0),IF($A$2="DEX",IFERROR(IF($X$1="ABS",(100*RTD("tos.rtd",,"OPEN_INT","."&amp;I$2&amp;I$1&amp;"C"&amp;$A46)*RTD("tos.rtd",,"DELTA","."&amp;I$2&amp;I$1&amp;"C"&amp;$A46)+100*RTD("tos.rtd",,"OPEN_INT","."&amp;I$2&amp;I$1&amp;"P"&amp;$A46)*RTD("tos.rtd",,"DELTA","."&amp;I$2&amp;I$1&amp;"P"&amp;$A46))/1000,(100*RTD("tos.rtd",,"OPEN_INT","."&amp;I$2&amp;I$1&amp;"C"&amp;$A46)*RTD("tos.rtd",,"DELTA","."&amp;I$2&amp;I$1&amp;"C"&amp;$A46)-100*RTD("tos.rtd",,"OPEN_INT","."&amp;I$2&amp;I$1&amp;"P"&amp;$A46)*RTD("tos.rtd",,"DELTA","."&amp;I$2&amp;I$1&amp;"P"&amp;$A46))/1000),0),IF($A$2="VEX",IFERROR(IF($X$1="ABS",($A$4*$A$4*RTD("tos.rtd",,"VOLUME","."&amp;I$2&amp;I$1&amp;"C"&amp;$A46)*RTD("tos.rtd",,"GAMMA","."&amp;I$2&amp;I$1&amp;"C"&amp;$A46)+$A$4*$A$4*RTD("tos.rtd",,"VOLUME","."&amp;I$2&amp;I$1&amp;"P"&amp;$A46)*RTD("tos.rtd",,"GAMMA","."&amp;I$2&amp;I$1&amp;"P"&amp;$A46))/1000000,($A$4*$A$4*RTD("tos.rtd",,"VOLUME","."&amp;I$2&amp;I$1&amp;"C"&amp;$A46)*RTD("tos.rtd",,"GAMMA","."&amp;I$2&amp;I$1&amp;"C"&amp;$A46)-$A$4*$A$4*RTD("tos.rtd",,"VOLUME","."&amp;I$2&amp;I$1&amp;"P"&amp;$A46)*RTD("tos.rtd",,"GAMMA","."&amp;I$2&amp;I$1&amp;"P"&amp;$A46))/1000000),0),IF($A$2="GEX",IFERROR(IF($X$1="ABS",($A$4*$A$4*RTD("tos.rtd",,"OPEN_INT","."&amp;I$2&amp;I$1&amp;"C"&amp;$A46)*RTD("tos.rtd",,"GAMMA","."&amp;I$2&amp;I$1&amp;"C"&amp;$A46)+$A$4*$A$4*RTD("tos.rtd",,"OPEN_INT","."&amp;I$2&amp;I$1&amp;"P"&amp;$A46)*RTD("tos.rtd",,"GAMMA","."&amp;I$2&amp;I$1&amp;"P"&amp;$A46))/1000000,($A$4*$A$4*RTD("tos.rtd",,"OPEN_INT","."&amp;I$2&amp;I$1&amp;"C"&amp;$A46)*RTD("tos.rtd",,"GAMMA","."&amp;I$2&amp;I$1&amp;"C"&amp;$A46)-$A$4*$A$4*RTD("tos.rtd",,"OPEN_INT","."&amp;I$2&amp;I$1&amp;"P"&amp;$A46)*RTD("tos.rtd",,"GAMMA","."&amp;I$2&amp;I$1&amp;"P"&amp;$A46))/1000000),0),IF($A$2="SKEW",IFERROR(VALUE(IF(RTD("tos.rtd",,"IMPL_VOL","."&amp;I$2&amp;I$1&amp;"P"&amp;$A46)="N/A",0,RTD("tos.rtd",,"IMPL_VOL","."&amp;I$2&amp;I$1&amp;"P"&amp;$A46))),0)-IFERROR(VALUE(IF(RTD("tos.rtd",,"IMPL_VOL","."&amp;I$2&amp;I$1&amp;"C"&amp;$A46)="N/A",0,RTD("tos.rtd",,"IMPL_VOL","."&amp;I$2&amp;I$1&amp;"C"&amp;$A46))),0),IF($A$2="MAXPAIN",IF($A$4&gt;$A46,($A$4-$A46)*IF(RTD("tos.rtd",,"OPEN_INT","."&amp;I$2&amp;I$1&amp;"C"&amp;$A46)="N/A",0,RTD("tos.rtd",,"OPEN_INT","."&amp;I$2&amp;I$1&amp;"C"&amp;$A46)),0)+IF($A$4&lt;$A46,($A$5-$A$4)*IF(RTD("tos.rtd",,"OPEN_INT","."&amp;I$2&amp;I$1&amp;"P"&amp;$A46)="N/A",0,RTD("tos.rtd",,"OPEN_INT","."&amp;I$2&amp;I$1&amp;"P"&amp;$A46)),0),IF($X$1="ABS",IF(RTD("tos.rtd",,$A$2,"."&amp;I$2&amp;I$1&amp;"C"&amp;$A46)="N/A",0,RTD("tos.rtd",,$A$2,"."&amp;I$2&amp;I$1&amp;"C"&amp;$A46))+IF(RTD("tos.rtd",,$A$2,"."&amp;I$2&amp;I$1&amp;"P"&amp;$A46)="N/A",0,RTD("tos.rtd",,$A$2,"."&amp;I$2&amp;I$1&amp;"P"&amp;$A46)),IF(RTD("tos.rtd",,$A$2,"."&amp;I$2&amp;I$1&amp;"C"&amp;$A46)="N/A",0,RTD("tos.rtd",,$A$2,"."&amp;I$2&amp;I$1&amp;"C"&amp;$A46))-IF(RTD("tos.rtd",,$A$2,"."&amp;I$2&amp;I$1&amp;"P"&amp;$A46)="N/A",0,RTD("tos.rtd",,$A$2,"."&amp;I$2&amp;I$1&amp;"P"&amp;$A46))))))))))</f>
        <v>0</v>
      </c>
      <c r="J46" s="12">
        <f ca="1">IF($A$2="PREMIUM_OI",IFERROR(IF($X$1="ABS",(100*RTD("tos.rtd",,"OPEN_INT","."&amp;J$2&amp;J$1&amp;"C"&amp;$A46)*RTD("tos.rtd",,"LAST","."&amp;J$2&amp;J$1&amp;"C"&amp;$A46)+100*RTD("tos.rtd",,"OPEN_INT","."&amp;J$2&amp;J$1&amp;"P"&amp;$A46)*RTD("tos.rtd",,"LAST","."&amp;J$2&amp;J$1&amp;"P"&amp;$A46))/1000000,(100*RTD("tos.rtd",,"OPEN_INT","."&amp;J$2&amp;J$1&amp;"C"&amp;$A46)*RTD("tos.rtd",,"LAST","."&amp;J$2&amp;J$1&amp;"C"&amp;$A46)-100*RTD("tos.rtd",,"OPEN_INT","."&amp;J$2&amp;J$1&amp;"P"&amp;$A46)*RTD("tos.rtd",,"LAST","."&amp;J$2&amp;J$1&amp;"P"&amp;$A46))/1000000),0),IF($A$2="PREMIUM",IFERROR(IF($X$1="ABS",(100*RTD("tos.rtd",,"VOLUME","."&amp;J$2&amp;J$1&amp;"C"&amp;$A46)*RTD("tos.rtd",,"LAST","."&amp;J$2&amp;J$1&amp;"C"&amp;$A46)+100*RTD("tos.rtd",,"VOLUME","."&amp;J$2&amp;J$1&amp;"P"&amp;$A46)*RTD("tos.rtd",,"LAST","."&amp;J$2&amp;J$1&amp;"P"&amp;$A46))/1000000,(100*RTD("tos.rtd",,"VOLUME","."&amp;J$2&amp;J$1&amp;"C"&amp;$A46)*RTD("tos.rtd",,"LAST","."&amp;J$2&amp;J$1&amp;"C"&amp;$A46)-100*RTD("tos.rtd",,"VOLUME","."&amp;J$2&amp;J$1&amp;"P"&amp;$A46)*RTD("tos.rtd",,"LAST","."&amp;J$2&amp;J$1&amp;"P"&amp;$A46))/1000000),0),IF($A$2="DEX",IFERROR(IF($X$1="ABS",(100*RTD("tos.rtd",,"OPEN_INT","."&amp;J$2&amp;J$1&amp;"C"&amp;$A46)*RTD("tos.rtd",,"DELTA","."&amp;J$2&amp;J$1&amp;"C"&amp;$A46)+100*RTD("tos.rtd",,"OPEN_INT","."&amp;J$2&amp;J$1&amp;"P"&amp;$A46)*RTD("tos.rtd",,"DELTA","."&amp;J$2&amp;J$1&amp;"P"&amp;$A46))/1000,(100*RTD("tos.rtd",,"OPEN_INT","."&amp;J$2&amp;J$1&amp;"C"&amp;$A46)*RTD("tos.rtd",,"DELTA","."&amp;J$2&amp;J$1&amp;"C"&amp;$A46)-100*RTD("tos.rtd",,"OPEN_INT","."&amp;J$2&amp;J$1&amp;"P"&amp;$A46)*RTD("tos.rtd",,"DELTA","."&amp;J$2&amp;J$1&amp;"P"&amp;$A46))/1000),0),IF($A$2="VEX",IFERROR(IF($X$1="ABS",($A$4*$A$4*RTD("tos.rtd",,"VOLUME","."&amp;J$2&amp;J$1&amp;"C"&amp;$A46)*RTD("tos.rtd",,"GAMMA","."&amp;J$2&amp;J$1&amp;"C"&amp;$A46)+$A$4*$A$4*RTD("tos.rtd",,"VOLUME","."&amp;J$2&amp;J$1&amp;"P"&amp;$A46)*RTD("tos.rtd",,"GAMMA","."&amp;J$2&amp;J$1&amp;"P"&amp;$A46))/1000000,($A$4*$A$4*RTD("tos.rtd",,"VOLUME","."&amp;J$2&amp;J$1&amp;"C"&amp;$A46)*RTD("tos.rtd",,"GAMMA","."&amp;J$2&amp;J$1&amp;"C"&amp;$A46)-$A$4*$A$4*RTD("tos.rtd",,"VOLUME","."&amp;J$2&amp;J$1&amp;"P"&amp;$A46)*RTD("tos.rtd",,"GAMMA","."&amp;J$2&amp;J$1&amp;"P"&amp;$A46))/1000000),0),IF($A$2="GEX",IFERROR(IF($X$1="ABS",($A$4*$A$4*RTD("tos.rtd",,"OPEN_INT","."&amp;J$2&amp;J$1&amp;"C"&amp;$A46)*RTD("tos.rtd",,"GAMMA","."&amp;J$2&amp;J$1&amp;"C"&amp;$A46)+$A$4*$A$4*RTD("tos.rtd",,"OPEN_INT","."&amp;J$2&amp;J$1&amp;"P"&amp;$A46)*RTD("tos.rtd",,"GAMMA","."&amp;J$2&amp;J$1&amp;"P"&amp;$A46))/1000000,($A$4*$A$4*RTD("tos.rtd",,"OPEN_INT","."&amp;J$2&amp;J$1&amp;"C"&amp;$A46)*RTD("tos.rtd",,"GAMMA","."&amp;J$2&amp;J$1&amp;"C"&amp;$A46)-$A$4*$A$4*RTD("tos.rtd",,"OPEN_INT","."&amp;J$2&amp;J$1&amp;"P"&amp;$A46)*RTD("tos.rtd",,"GAMMA","."&amp;J$2&amp;J$1&amp;"P"&amp;$A46))/1000000),0),IF($A$2="SKEW",IFERROR(VALUE(IF(RTD("tos.rtd",,"IMPL_VOL","."&amp;J$2&amp;J$1&amp;"P"&amp;$A46)="N/A",0,RTD("tos.rtd",,"IMPL_VOL","."&amp;J$2&amp;J$1&amp;"P"&amp;$A46))),0)-IFERROR(VALUE(IF(RTD("tos.rtd",,"IMPL_VOL","."&amp;J$2&amp;J$1&amp;"C"&amp;$A46)="N/A",0,RTD("tos.rtd",,"IMPL_VOL","."&amp;J$2&amp;J$1&amp;"C"&amp;$A46))),0),IF($A$2="MAXPAIN",IF($A$4&gt;$A46,($A$4-$A46)*IF(RTD("tos.rtd",,"OPEN_INT","."&amp;J$2&amp;J$1&amp;"C"&amp;$A46)="N/A",0,RTD("tos.rtd",,"OPEN_INT","."&amp;J$2&amp;J$1&amp;"C"&amp;$A46)),0)+IF($A$4&lt;$A46,($A$5-$A$4)*IF(RTD("tos.rtd",,"OPEN_INT","."&amp;J$2&amp;J$1&amp;"P"&amp;$A46)="N/A",0,RTD("tos.rtd",,"OPEN_INT","."&amp;J$2&amp;J$1&amp;"P"&amp;$A46)),0),IF($X$1="ABS",IF(RTD("tos.rtd",,$A$2,"."&amp;J$2&amp;J$1&amp;"C"&amp;$A46)="N/A",0,RTD("tos.rtd",,$A$2,"."&amp;J$2&amp;J$1&amp;"C"&amp;$A46))+IF(RTD("tos.rtd",,$A$2,"."&amp;J$2&amp;J$1&amp;"P"&amp;$A46)="N/A",0,RTD("tos.rtd",,$A$2,"."&amp;J$2&amp;J$1&amp;"P"&amp;$A46)),IF(RTD("tos.rtd",,$A$2,"."&amp;J$2&amp;J$1&amp;"C"&amp;$A46)="N/A",0,RTD("tos.rtd",,$A$2,"."&amp;J$2&amp;J$1&amp;"C"&amp;$A46))-IF(RTD("tos.rtd",,$A$2,"."&amp;J$2&amp;J$1&amp;"P"&amp;$A46)="N/A",0,RTD("tos.rtd",,$A$2,"."&amp;J$2&amp;J$1&amp;"P"&amp;$A46))))))))))</f>
        <v>0</v>
      </c>
      <c r="K46" s="12">
        <f ca="1">IF($A$2="PREMIUM_OI",IFERROR(IF($X$1="ABS",(100*RTD("tos.rtd",,"OPEN_INT","."&amp;K$2&amp;K$1&amp;"C"&amp;$A46)*RTD("tos.rtd",,"LAST","."&amp;K$2&amp;K$1&amp;"C"&amp;$A46)+100*RTD("tos.rtd",,"OPEN_INT","."&amp;K$2&amp;K$1&amp;"P"&amp;$A46)*RTD("tos.rtd",,"LAST","."&amp;K$2&amp;K$1&amp;"P"&amp;$A46))/1000000,(100*RTD("tos.rtd",,"OPEN_INT","."&amp;K$2&amp;K$1&amp;"C"&amp;$A46)*RTD("tos.rtd",,"LAST","."&amp;K$2&amp;K$1&amp;"C"&amp;$A46)-100*RTD("tos.rtd",,"OPEN_INT","."&amp;K$2&amp;K$1&amp;"P"&amp;$A46)*RTD("tos.rtd",,"LAST","."&amp;K$2&amp;K$1&amp;"P"&amp;$A46))/1000000),0),IF($A$2="PREMIUM",IFERROR(IF($X$1="ABS",(100*RTD("tos.rtd",,"VOLUME","."&amp;K$2&amp;K$1&amp;"C"&amp;$A46)*RTD("tos.rtd",,"LAST","."&amp;K$2&amp;K$1&amp;"C"&amp;$A46)+100*RTD("tos.rtd",,"VOLUME","."&amp;K$2&amp;K$1&amp;"P"&amp;$A46)*RTD("tos.rtd",,"LAST","."&amp;K$2&amp;K$1&amp;"P"&amp;$A46))/1000000,(100*RTD("tos.rtd",,"VOLUME","."&amp;K$2&amp;K$1&amp;"C"&amp;$A46)*RTD("tos.rtd",,"LAST","."&amp;K$2&amp;K$1&amp;"C"&amp;$A46)-100*RTD("tos.rtd",,"VOLUME","."&amp;K$2&amp;K$1&amp;"P"&amp;$A46)*RTD("tos.rtd",,"LAST","."&amp;K$2&amp;K$1&amp;"P"&amp;$A46))/1000000),0),IF($A$2="DEX",IFERROR(IF($X$1="ABS",(100*RTD("tos.rtd",,"OPEN_INT","."&amp;K$2&amp;K$1&amp;"C"&amp;$A46)*RTD("tos.rtd",,"DELTA","."&amp;K$2&amp;K$1&amp;"C"&amp;$A46)+100*RTD("tos.rtd",,"OPEN_INT","."&amp;K$2&amp;K$1&amp;"P"&amp;$A46)*RTD("tos.rtd",,"DELTA","."&amp;K$2&amp;K$1&amp;"P"&amp;$A46))/1000,(100*RTD("tos.rtd",,"OPEN_INT","."&amp;K$2&amp;K$1&amp;"C"&amp;$A46)*RTD("tos.rtd",,"DELTA","."&amp;K$2&amp;K$1&amp;"C"&amp;$A46)-100*RTD("tos.rtd",,"OPEN_INT","."&amp;K$2&amp;K$1&amp;"P"&amp;$A46)*RTD("tos.rtd",,"DELTA","."&amp;K$2&amp;K$1&amp;"P"&amp;$A46))/1000),0),IF($A$2="VEX",IFERROR(IF($X$1="ABS",($A$4*$A$4*RTD("tos.rtd",,"VOLUME","."&amp;K$2&amp;K$1&amp;"C"&amp;$A46)*RTD("tos.rtd",,"GAMMA","."&amp;K$2&amp;K$1&amp;"C"&amp;$A46)+$A$4*$A$4*RTD("tos.rtd",,"VOLUME","."&amp;K$2&amp;K$1&amp;"P"&amp;$A46)*RTD("tos.rtd",,"GAMMA","."&amp;K$2&amp;K$1&amp;"P"&amp;$A46))/1000000,($A$4*$A$4*RTD("tos.rtd",,"VOLUME","."&amp;K$2&amp;K$1&amp;"C"&amp;$A46)*RTD("tos.rtd",,"GAMMA","."&amp;K$2&amp;K$1&amp;"C"&amp;$A46)-$A$4*$A$4*RTD("tos.rtd",,"VOLUME","."&amp;K$2&amp;K$1&amp;"P"&amp;$A46)*RTD("tos.rtd",,"GAMMA","."&amp;K$2&amp;K$1&amp;"P"&amp;$A46))/1000000),0),IF($A$2="GEX",IFERROR(IF($X$1="ABS",($A$4*$A$4*RTD("tos.rtd",,"OPEN_INT","."&amp;K$2&amp;K$1&amp;"C"&amp;$A46)*RTD("tos.rtd",,"GAMMA","."&amp;K$2&amp;K$1&amp;"C"&amp;$A46)+$A$4*$A$4*RTD("tos.rtd",,"OPEN_INT","."&amp;K$2&amp;K$1&amp;"P"&amp;$A46)*RTD("tos.rtd",,"GAMMA","."&amp;K$2&amp;K$1&amp;"P"&amp;$A46))/1000000,($A$4*$A$4*RTD("tos.rtd",,"OPEN_INT","."&amp;K$2&amp;K$1&amp;"C"&amp;$A46)*RTD("tos.rtd",,"GAMMA","."&amp;K$2&amp;K$1&amp;"C"&amp;$A46)-$A$4*$A$4*RTD("tos.rtd",,"OPEN_INT","."&amp;K$2&amp;K$1&amp;"P"&amp;$A46)*RTD("tos.rtd",,"GAMMA","."&amp;K$2&amp;K$1&amp;"P"&amp;$A46))/1000000),0),IF($A$2="SKEW",IFERROR(VALUE(IF(RTD("tos.rtd",,"IMPL_VOL","."&amp;K$2&amp;K$1&amp;"P"&amp;$A46)="N/A",0,RTD("tos.rtd",,"IMPL_VOL","."&amp;K$2&amp;K$1&amp;"P"&amp;$A46))),0)-IFERROR(VALUE(IF(RTD("tos.rtd",,"IMPL_VOL","."&amp;K$2&amp;K$1&amp;"C"&amp;$A46)="N/A",0,RTD("tos.rtd",,"IMPL_VOL","."&amp;K$2&amp;K$1&amp;"C"&amp;$A46))),0),IF($A$2="MAXPAIN",IF($A$4&gt;$A46,($A$4-$A46)*IF(RTD("tos.rtd",,"OPEN_INT","."&amp;K$2&amp;K$1&amp;"C"&amp;$A46)="N/A",0,RTD("tos.rtd",,"OPEN_INT","."&amp;K$2&amp;K$1&amp;"C"&amp;$A46)),0)+IF($A$4&lt;$A46,($A$5-$A$4)*IF(RTD("tos.rtd",,"OPEN_INT","."&amp;K$2&amp;K$1&amp;"P"&amp;$A46)="N/A",0,RTD("tos.rtd",,"OPEN_INT","."&amp;K$2&amp;K$1&amp;"P"&amp;$A46)),0),IF($X$1="ABS",IF(RTD("tos.rtd",,$A$2,"."&amp;K$2&amp;K$1&amp;"C"&amp;$A46)="N/A",0,RTD("tos.rtd",,$A$2,"."&amp;K$2&amp;K$1&amp;"C"&amp;$A46))+IF(RTD("tos.rtd",,$A$2,"."&amp;K$2&amp;K$1&amp;"P"&amp;$A46)="N/A",0,RTD("tos.rtd",,$A$2,"."&amp;K$2&amp;K$1&amp;"P"&amp;$A46)),IF(RTD("tos.rtd",,$A$2,"."&amp;K$2&amp;K$1&amp;"C"&amp;$A46)="N/A",0,RTD("tos.rtd",,$A$2,"."&amp;K$2&amp;K$1&amp;"C"&amp;$A46))-IF(RTD("tos.rtd",,$A$2,"."&amp;K$2&amp;K$1&amp;"P"&amp;$A46)="N/A",0,RTD("tos.rtd",,$A$2,"."&amp;K$2&amp;K$1&amp;"P"&amp;$A46))))))))))</f>
        <v>0</v>
      </c>
      <c r="L46" s="54">
        <f ca="1">IF($A$2="PREMIUM_OI",IFERROR(IF($X$1="ABS",(100*RTD("tos.rtd",,"OPEN_INT","."&amp;L$2&amp;L$1&amp;"C"&amp;$A46)*RTD("tos.rtd",,"LAST","."&amp;L$2&amp;L$1&amp;"C"&amp;$A46)+100*RTD("tos.rtd",,"OPEN_INT","."&amp;L$2&amp;L$1&amp;"P"&amp;$A46)*RTD("tos.rtd",,"LAST","."&amp;L$2&amp;L$1&amp;"P"&amp;$A46))/1000000,(100*RTD("tos.rtd",,"OPEN_INT","."&amp;L$2&amp;L$1&amp;"C"&amp;$A46)*RTD("tos.rtd",,"LAST","."&amp;L$2&amp;L$1&amp;"C"&amp;$A46)-100*RTD("tos.rtd",,"OPEN_INT","."&amp;L$2&amp;L$1&amp;"P"&amp;$A46)*RTD("tos.rtd",,"LAST","."&amp;L$2&amp;L$1&amp;"P"&amp;$A46))/1000000),0),IF($A$2="PREMIUM",IFERROR(IF($X$1="ABS",(100*RTD("tos.rtd",,"VOLUME","."&amp;L$2&amp;L$1&amp;"C"&amp;$A46)*RTD("tos.rtd",,"LAST","."&amp;L$2&amp;L$1&amp;"C"&amp;$A46)+100*RTD("tos.rtd",,"VOLUME","."&amp;L$2&amp;L$1&amp;"P"&amp;$A46)*RTD("tos.rtd",,"LAST","."&amp;L$2&amp;L$1&amp;"P"&amp;$A46))/1000000,(100*RTD("tos.rtd",,"VOLUME","."&amp;L$2&amp;L$1&amp;"C"&amp;$A46)*RTD("tos.rtd",,"LAST","."&amp;L$2&amp;L$1&amp;"C"&amp;$A46)-100*RTD("tos.rtd",,"VOLUME","."&amp;L$2&amp;L$1&amp;"P"&amp;$A46)*RTD("tos.rtd",,"LAST","."&amp;L$2&amp;L$1&amp;"P"&amp;$A46))/1000000),0),IF($A$2="DEX",IFERROR(IF($X$1="ABS",(100*RTD("tos.rtd",,"OPEN_INT","."&amp;L$2&amp;L$1&amp;"C"&amp;$A46)*RTD("tos.rtd",,"DELTA","."&amp;L$2&amp;L$1&amp;"C"&amp;$A46)+100*RTD("tos.rtd",,"OPEN_INT","."&amp;L$2&amp;L$1&amp;"P"&amp;$A46)*RTD("tos.rtd",,"DELTA","."&amp;L$2&amp;L$1&amp;"P"&amp;$A46))/1000,(100*RTD("tos.rtd",,"OPEN_INT","."&amp;L$2&amp;L$1&amp;"C"&amp;$A46)*RTD("tos.rtd",,"DELTA","."&amp;L$2&amp;L$1&amp;"C"&amp;$A46)-100*RTD("tos.rtd",,"OPEN_INT","."&amp;L$2&amp;L$1&amp;"P"&amp;$A46)*RTD("tos.rtd",,"DELTA","."&amp;L$2&amp;L$1&amp;"P"&amp;$A46))/1000),0),IF($A$2="VEX",IFERROR(IF($X$1="ABS",($A$4*$A$4*RTD("tos.rtd",,"VOLUME","."&amp;L$2&amp;L$1&amp;"C"&amp;$A46)*RTD("tos.rtd",,"GAMMA","."&amp;L$2&amp;L$1&amp;"C"&amp;$A46)+$A$4*$A$4*RTD("tos.rtd",,"VOLUME","."&amp;L$2&amp;L$1&amp;"P"&amp;$A46)*RTD("tos.rtd",,"GAMMA","."&amp;L$2&amp;L$1&amp;"P"&amp;$A46))/1000000,($A$4*$A$4*RTD("tos.rtd",,"VOLUME","."&amp;L$2&amp;L$1&amp;"C"&amp;$A46)*RTD("tos.rtd",,"GAMMA","."&amp;L$2&amp;L$1&amp;"C"&amp;$A46)-$A$4*$A$4*RTD("tos.rtd",,"VOLUME","."&amp;L$2&amp;L$1&amp;"P"&amp;$A46)*RTD("tos.rtd",,"GAMMA","."&amp;L$2&amp;L$1&amp;"P"&amp;$A46))/1000000),0),IF($A$2="GEX",IFERROR(IF($X$1="ABS",($A$4*$A$4*RTD("tos.rtd",,"OPEN_INT","."&amp;L$2&amp;L$1&amp;"C"&amp;$A46)*RTD("tos.rtd",,"GAMMA","."&amp;L$2&amp;L$1&amp;"C"&amp;$A46)+$A$4*$A$4*RTD("tos.rtd",,"OPEN_INT","."&amp;L$2&amp;L$1&amp;"P"&amp;$A46)*RTD("tos.rtd",,"GAMMA","."&amp;L$2&amp;L$1&amp;"P"&amp;$A46))/1000000,($A$4*$A$4*RTD("tos.rtd",,"OPEN_INT","."&amp;L$2&amp;L$1&amp;"C"&amp;$A46)*RTD("tos.rtd",,"GAMMA","."&amp;L$2&amp;L$1&amp;"C"&amp;$A46)-$A$4*$A$4*RTD("tos.rtd",,"OPEN_INT","."&amp;L$2&amp;L$1&amp;"P"&amp;$A46)*RTD("tos.rtd",,"GAMMA","."&amp;L$2&amp;L$1&amp;"P"&amp;$A46))/1000000),0),IF($A$2="SKEW",IFERROR(VALUE(IF(RTD("tos.rtd",,"IMPL_VOL","."&amp;L$2&amp;L$1&amp;"P"&amp;$A46)="N/A",0,RTD("tos.rtd",,"IMPL_VOL","."&amp;L$2&amp;L$1&amp;"P"&amp;$A46))),0)-IFERROR(VALUE(IF(RTD("tos.rtd",,"IMPL_VOL","."&amp;L$2&amp;L$1&amp;"C"&amp;$A46)="N/A",0,RTD("tos.rtd",,"IMPL_VOL","."&amp;L$2&amp;L$1&amp;"C"&amp;$A46))),0),IF($A$2="MAXPAIN",IF($A$4&gt;$A46,($A$4-$A46)*IF(RTD("tos.rtd",,"OPEN_INT","."&amp;L$2&amp;L$1&amp;"C"&amp;$A46)="N/A",0,RTD("tos.rtd",,"OPEN_INT","."&amp;L$2&amp;L$1&amp;"C"&amp;$A46)),0)+IF($A$4&lt;$A46,($A$5-$A$4)*IF(RTD("tos.rtd",,"OPEN_INT","."&amp;L$2&amp;L$1&amp;"P"&amp;$A46)="N/A",0,RTD("tos.rtd",,"OPEN_INT","."&amp;L$2&amp;L$1&amp;"P"&amp;$A46)),0),IF($X$1="ABS",IF(RTD("tos.rtd",,$A$2,"."&amp;L$2&amp;L$1&amp;"C"&amp;$A46)="N/A",0,RTD("tos.rtd",,$A$2,"."&amp;L$2&amp;L$1&amp;"C"&amp;$A46))+IF(RTD("tos.rtd",,$A$2,"."&amp;L$2&amp;L$1&amp;"P"&amp;$A46)="N/A",0,RTD("tos.rtd",,$A$2,"."&amp;L$2&amp;L$1&amp;"P"&amp;$A46)),IF(RTD("tos.rtd",,$A$2,"."&amp;L$2&amp;L$1&amp;"C"&amp;$A46)="N/A",0,RTD("tos.rtd",,$A$2,"."&amp;L$2&amp;L$1&amp;"C"&amp;$A46))-IF(RTD("tos.rtd",,$A$2,"."&amp;L$2&amp;L$1&amp;"P"&amp;$A46)="N/A",0,RTD("tos.rtd",,$A$2,"."&amp;L$2&amp;L$1&amp;"P"&amp;$A46))))))))))</f>
        <v>-15629</v>
      </c>
      <c r="M46" s="12">
        <f ca="1">IF($A$2="PREMIUM_OI",IFERROR(IF($X$1="ABS",(100*RTD("tos.rtd",,"OPEN_INT","."&amp;M$2&amp;M$1&amp;"C"&amp;$A46)*RTD("tos.rtd",,"LAST","."&amp;M$2&amp;M$1&amp;"C"&amp;$A46)+100*RTD("tos.rtd",,"OPEN_INT","."&amp;M$2&amp;M$1&amp;"P"&amp;$A46)*RTD("tos.rtd",,"LAST","."&amp;M$2&amp;M$1&amp;"P"&amp;$A46))/1000000,(100*RTD("tos.rtd",,"OPEN_INT","."&amp;M$2&amp;M$1&amp;"C"&amp;$A46)*RTD("tos.rtd",,"LAST","."&amp;M$2&amp;M$1&amp;"C"&amp;$A46)-100*RTD("tos.rtd",,"OPEN_INT","."&amp;M$2&amp;M$1&amp;"P"&amp;$A46)*RTD("tos.rtd",,"LAST","."&amp;M$2&amp;M$1&amp;"P"&amp;$A46))/1000000),0),IF($A$2="PREMIUM",IFERROR(IF($X$1="ABS",(100*RTD("tos.rtd",,"VOLUME","."&amp;M$2&amp;M$1&amp;"C"&amp;$A46)*RTD("tos.rtd",,"LAST","."&amp;M$2&amp;M$1&amp;"C"&amp;$A46)+100*RTD("tos.rtd",,"VOLUME","."&amp;M$2&amp;M$1&amp;"P"&amp;$A46)*RTD("tos.rtd",,"LAST","."&amp;M$2&amp;M$1&amp;"P"&amp;$A46))/1000000,(100*RTD("tos.rtd",,"VOLUME","."&amp;M$2&amp;M$1&amp;"C"&amp;$A46)*RTD("tos.rtd",,"LAST","."&amp;M$2&amp;M$1&amp;"C"&amp;$A46)-100*RTD("tos.rtd",,"VOLUME","."&amp;M$2&amp;M$1&amp;"P"&amp;$A46)*RTD("tos.rtd",,"LAST","."&amp;M$2&amp;M$1&amp;"P"&amp;$A46))/1000000),0),IF($A$2="DEX",IFERROR(IF($X$1="ABS",(100*RTD("tos.rtd",,"OPEN_INT","."&amp;M$2&amp;M$1&amp;"C"&amp;$A46)*RTD("tos.rtd",,"DELTA","."&amp;M$2&amp;M$1&amp;"C"&amp;$A46)+100*RTD("tos.rtd",,"OPEN_INT","."&amp;M$2&amp;M$1&amp;"P"&amp;$A46)*RTD("tos.rtd",,"DELTA","."&amp;M$2&amp;M$1&amp;"P"&amp;$A46))/1000,(100*RTD("tos.rtd",,"OPEN_INT","."&amp;M$2&amp;M$1&amp;"C"&amp;$A46)*RTD("tos.rtd",,"DELTA","."&amp;M$2&amp;M$1&amp;"C"&amp;$A46)-100*RTD("tos.rtd",,"OPEN_INT","."&amp;M$2&amp;M$1&amp;"P"&amp;$A46)*RTD("tos.rtd",,"DELTA","."&amp;M$2&amp;M$1&amp;"P"&amp;$A46))/1000),0),IF($A$2="VEX",IFERROR(IF($X$1="ABS",($A$4*$A$4*RTD("tos.rtd",,"VOLUME","."&amp;M$2&amp;M$1&amp;"C"&amp;$A46)*RTD("tos.rtd",,"GAMMA","."&amp;M$2&amp;M$1&amp;"C"&amp;$A46)+$A$4*$A$4*RTD("tos.rtd",,"VOLUME","."&amp;M$2&amp;M$1&amp;"P"&amp;$A46)*RTD("tos.rtd",,"GAMMA","."&amp;M$2&amp;M$1&amp;"P"&amp;$A46))/1000000,($A$4*$A$4*RTD("tos.rtd",,"VOLUME","."&amp;M$2&amp;M$1&amp;"C"&amp;$A46)*RTD("tos.rtd",,"GAMMA","."&amp;M$2&amp;M$1&amp;"C"&amp;$A46)-$A$4*$A$4*RTD("tos.rtd",,"VOLUME","."&amp;M$2&amp;M$1&amp;"P"&amp;$A46)*RTD("tos.rtd",,"GAMMA","."&amp;M$2&amp;M$1&amp;"P"&amp;$A46))/1000000),0),IF($A$2="GEX",IFERROR(IF($X$1="ABS",($A$4*$A$4*RTD("tos.rtd",,"OPEN_INT","."&amp;M$2&amp;M$1&amp;"C"&amp;$A46)*RTD("tos.rtd",,"GAMMA","."&amp;M$2&amp;M$1&amp;"C"&amp;$A46)+$A$4*$A$4*RTD("tos.rtd",,"OPEN_INT","."&amp;M$2&amp;M$1&amp;"P"&amp;$A46)*RTD("tos.rtd",,"GAMMA","."&amp;M$2&amp;M$1&amp;"P"&amp;$A46))/1000000,($A$4*$A$4*RTD("tos.rtd",,"OPEN_INT","."&amp;M$2&amp;M$1&amp;"C"&amp;$A46)*RTD("tos.rtd",,"GAMMA","."&amp;M$2&amp;M$1&amp;"C"&amp;$A46)-$A$4*$A$4*RTD("tos.rtd",,"OPEN_INT","."&amp;M$2&amp;M$1&amp;"P"&amp;$A46)*RTD("tos.rtd",,"GAMMA","."&amp;M$2&amp;M$1&amp;"P"&amp;$A46))/1000000),0),IF($A$2="SKEW",IFERROR(VALUE(IF(RTD("tos.rtd",,"IMPL_VOL","."&amp;M$2&amp;M$1&amp;"P"&amp;$A46)="N/A",0,RTD("tos.rtd",,"IMPL_VOL","."&amp;M$2&amp;M$1&amp;"P"&amp;$A46))),0)-IFERROR(VALUE(IF(RTD("tos.rtd",,"IMPL_VOL","."&amp;M$2&amp;M$1&amp;"C"&amp;$A46)="N/A",0,RTD("tos.rtd",,"IMPL_VOL","."&amp;M$2&amp;M$1&amp;"C"&amp;$A46))),0),IF($A$2="MAXPAIN",IF($A$4&gt;$A46,($A$4-$A46)*IF(RTD("tos.rtd",,"OPEN_INT","."&amp;M$2&amp;M$1&amp;"C"&amp;$A46)="N/A",0,RTD("tos.rtd",,"OPEN_INT","."&amp;M$2&amp;M$1&amp;"C"&amp;$A46)),0)+IF($A$4&lt;$A46,($A$5-$A$4)*IF(RTD("tos.rtd",,"OPEN_INT","."&amp;M$2&amp;M$1&amp;"P"&amp;$A46)="N/A",0,RTD("tos.rtd",,"OPEN_INT","."&amp;M$2&amp;M$1&amp;"P"&amp;$A46)),0),IF($X$1="ABS",IF(RTD("tos.rtd",,$A$2,"."&amp;M$2&amp;M$1&amp;"C"&amp;$A46)="N/A",0,RTD("tos.rtd",,$A$2,"."&amp;M$2&amp;M$1&amp;"C"&amp;$A46))+IF(RTD("tos.rtd",,$A$2,"."&amp;M$2&amp;M$1&amp;"P"&amp;$A46)="N/A",0,RTD("tos.rtd",,$A$2,"."&amp;M$2&amp;M$1&amp;"P"&amp;$A46)),IF(RTD("tos.rtd",,$A$2,"."&amp;M$2&amp;M$1&amp;"C"&amp;$A46)="N/A",0,RTD("tos.rtd",,$A$2,"."&amp;M$2&amp;M$1&amp;"C"&amp;$A46))-IF(RTD("tos.rtd",,$A$2,"."&amp;M$2&amp;M$1&amp;"P"&amp;$A46)="N/A",0,RTD("tos.rtd",,$A$2,"."&amp;M$2&amp;M$1&amp;"P"&amp;$A46))))))))))</f>
        <v>-12956</v>
      </c>
      <c r="N46" s="12">
        <f ca="1">IF($A$2="PREMIUM_OI",IFERROR(IF($X$1="ABS",(100*RTD("tos.rtd",,"OPEN_INT","."&amp;N$2&amp;N$1&amp;"C"&amp;$A46)*RTD("tos.rtd",,"LAST","."&amp;N$2&amp;N$1&amp;"C"&amp;$A46)+100*RTD("tos.rtd",,"OPEN_INT","."&amp;N$2&amp;N$1&amp;"P"&amp;$A46)*RTD("tos.rtd",,"LAST","."&amp;N$2&amp;N$1&amp;"P"&amp;$A46))/1000000,(100*RTD("tos.rtd",,"OPEN_INT","."&amp;N$2&amp;N$1&amp;"C"&amp;$A46)*RTD("tos.rtd",,"LAST","."&amp;N$2&amp;N$1&amp;"C"&amp;$A46)-100*RTD("tos.rtd",,"OPEN_INT","."&amp;N$2&amp;N$1&amp;"P"&amp;$A46)*RTD("tos.rtd",,"LAST","."&amp;N$2&amp;N$1&amp;"P"&amp;$A46))/1000000),0),IF($A$2="PREMIUM",IFERROR(IF($X$1="ABS",(100*RTD("tos.rtd",,"VOLUME","."&amp;N$2&amp;N$1&amp;"C"&amp;$A46)*RTD("tos.rtd",,"LAST","."&amp;N$2&amp;N$1&amp;"C"&amp;$A46)+100*RTD("tos.rtd",,"VOLUME","."&amp;N$2&amp;N$1&amp;"P"&amp;$A46)*RTD("tos.rtd",,"LAST","."&amp;N$2&amp;N$1&amp;"P"&amp;$A46))/1000000,(100*RTD("tos.rtd",,"VOLUME","."&amp;N$2&amp;N$1&amp;"C"&amp;$A46)*RTD("tos.rtd",,"LAST","."&amp;N$2&amp;N$1&amp;"C"&amp;$A46)-100*RTD("tos.rtd",,"VOLUME","."&amp;N$2&amp;N$1&amp;"P"&amp;$A46)*RTD("tos.rtd",,"LAST","."&amp;N$2&amp;N$1&amp;"P"&amp;$A46))/1000000),0),IF($A$2="DEX",IFERROR(IF($X$1="ABS",(100*RTD("tos.rtd",,"OPEN_INT","."&amp;N$2&amp;N$1&amp;"C"&amp;$A46)*RTD("tos.rtd",,"DELTA","."&amp;N$2&amp;N$1&amp;"C"&amp;$A46)+100*RTD("tos.rtd",,"OPEN_INT","."&amp;N$2&amp;N$1&amp;"P"&amp;$A46)*RTD("tos.rtd",,"DELTA","."&amp;N$2&amp;N$1&amp;"P"&amp;$A46))/1000,(100*RTD("tos.rtd",,"OPEN_INT","."&amp;N$2&amp;N$1&amp;"C"&amp;$A46)*RTD("tos.rtd",,"DELTA","."&amp;N$2&amp;N$1&amp;"C"&amp;$A46)-100*RTD("tos.rtd",,"OPEN_INT","."&amp;N$2&amp;N$1&amp;"P"&amp;$A46)*RTD("tos.rtd",,"DELTA","."&amp;N$2&amp;N$1&amp;"P"&amp;$A46))/1000),0),IF($A$2="VEX",IFERROR(IF($X$1="ABS",($A$4*$A$4*RTD("tos.rtd",,"VOLUME","."&amp;N$2&amp;N$1&amp;"C"&amp;$A46)*RTD("tos.rtd",,"GAMMA","."&amp;N$2&amp;N$1&amp;"C"&amp;$A46)+$A$4*$A$4*RTD("tos.rtd",,"VOLUME","."&amp;N$2&amp;N$1&amp;"P"&amp;$A46)*RTD("tos.rtd",,"GAMMA","."&amp;N$2&amp;N$1&amp;"P"&amp;$A46))/1000000,($A$4*$A$4*RTD("tos.rtd",,"VOLUME","."&amp;N$2&amp;N$1&amp;"C"&amp;$A46)*RTD("tos.rtd",,"GAMMA","."&amp;N$2&amp;N$1&amp;"C"&amp;$A46)-$A$4*$A$4*RTD("tos.rtd",,"VOLUME","."&amp;N$2&amp;N$1&amp;"P"&amp;$A46)*RTD("tos.rtd",,"GAMMA","."&amp;N$2&amp;N$1&amp;"P"&amp;$A46))/1000000),0),IF($A$2="GEX",IFERROR(IF($X$1="ABS",($A$4*$A$4*RTD("tos.rtd",,"OPEN_INT","."&amp;N$2&amp;N$1&amp;"C"&amp;$A46)*RTD("tos.rtd",,"GAMMA","."&amp;N$2&amp;N$1&amp;"C"&amp;$A46)+$A$4*$A$4*RTD("tos.rtd",,"OPEN_INT","."&amp;N$2&amp;N$1&amp;"P"&amp;$A46)*RTD("tos.rtd",,"GAMMA","."&amp;N$2&amp;N$1&amp;"P"&amp;$A46))/1000000,($A$4*$A$4*RTD("tos.rtd",,"OPEN_INT","."&amp;N$2&amp;N$1&amp;"C"&amp;$A46)*RTD("tos.rtd",,"GAMMA","."&amp;N$2&amp;N$1&amp;"C"&amp;$A46)-$A$4*$A$4*RTD("tos.rtd",,"OPEN_INT","."&amp;N$2&amp;N$1&amp;"P"&amp;$A46)*RTD("tos.rtd",,"GAMMA","."&amp;N$2&amp;N$1&amp;"P"&amp;$A46))/1000000),0),IF($A$2="SKEW",IFERROR(VALUE(IF(RTD("tos.rtd",,"IMPL_VOL","."&amp;N$2&amp;N$1&amp;"P"&amp;$A46)="N/A",0,RTD("tos.rtd",,"IMPL_VOL","."&amp;N$2&amp;N$1&amp;"P"&amp;$A46))),0)-IFERROR(VALUE(IF(RTD("tos.rtd",,"IMPL_VOL","."&amp;N$2&amp;N$1&amp;"C"&amp;$A46)="N/A",0,RTD("tos.rtd",,"IMPL_VOL","."&amp;N$2&amp;N$1&amp;"C"&amp;$A46))),0),IF($A$2="MAXPAIN",IF($A$4&gt;$A46,($A$4-$A46)*IF(RTD("tos.rtd",,"OPEN_INT","."&amp;N$2&amp;N$1&amp;"C"&amp;$A46)="N/A",0,RTD("tos.rtd",,"OPEN_INT","."&amp;N$2&amp;N$1&amp;"C"&amp;$A46)),0)+IF($A$4&lt;$A46,($A$5-$A$4)*IF(RTD("tos.rtd",,"OPEN_INT","."&amp;N$2&amp;N$1&amp;"P"&amp;$A46)="N/A",0,RTD("tos.rtd",,"OPEN_INT","."&amp;N$2&amp;N$1&amp;"P"&amp;$A46)),0),IF($X$1="ABS",IF(RTD("tos.rtd",,$A$2,"."&amp;N$2&amp;N$1&amp;"C"&amp;$A46)="N/A",0,RTD("tos.rtd",,$A$2,"."&amp;N$2&amp;N$1&amp;"C"&amp;$A46))+IF(RTD("tos.rtd",,$A$2,"."&amp;N$2&amp;N$1&amp;"P"&amp;$A46)="N/A",0,RTD("tos.rtd",,$A$2,"."&amp;N$2&amp;N$1&amp;"P"&amp;$A46)),IF(RTD("tos.rtd",,$A$2,"."&amp;N$2&amp;N$1&amp;"C"&amp;$A46)="N/A",0,RTD("tos.rtd",,$A$2,"."&amp;N$2&amp;N$1&amp;"C"&amp;$A46))-IF(RTD("tos.rtd",,$A$2,"."&amp;N$2&amp;N$1&amp;"P"&amp;$A46)="N/A",0,RTD("tos.rtd",,$A$2,"."&amp;N$2&amp;N$1&amp;"P"&amp;$A46))))))))))</f>
        <v>0</v>
      </c>
      <c r="O46" s="12">
        <f ca="1">IF($A$2="PREMIUM_OI",IFERROR(IF($X$1="ABS",(100*RTD("tos.rtd",,"OPEN_INT","."&amp;O$2&amp;O$1&amp;"C"&amp;$A46)*RTD("tos.rtd",,"LAST","."&amp;O$2&amp;O$1&amp;"C"&amp;$A46)+100*RTD("tos.rtd",,"OPEN_INT","."&amp;O$2&amp;O$1&amp;"P"&amp;$A46)*RTD("tos.rtd",,"LAST","."&amp;O$2&amp;O$1&amp;"P"&amp;$A46))/1000000,(100*RTD("tos.rtd",,"OPEN_INT","."&amp;O$2&amp;O$1&amp;"C"&amp;$A46)*RTD("tos.rtd",,"LAST","."&amp;O$2&amp;O$1&amp;"C"&amp;$A46)-100*RTD("tos.rtd",,"OPEN_INT","."&amp;O$2&amp;O$1&amp;"P"&amp;$A46)*RTD("tos.rtd",,"LAST","."&amp;O$2&amp;O$1&amp;"P"&amp;$A46))/1000000),0),IF($A$2="PREMIUM",IFERROR(IF($X$1="ABS",(100*RTD("tos.rtd",,"VOLUME","."&amp;O$2&amp;O$1&amp;"C"&amp;$A46)*RTD("tos.rtd",,"LAST","."&amp;O$2&amp;O$1&amp;"C"&amp;$A46)+100*RTD("tos.rtd",,"VOLUME","."&amp;O$2&amp;O$1&amp;"P"&amp;$A46)*RTD("tos.rtd",,"LAST","."&amp;O$2&amp;O$1&amp;"P"&amp;$A46))/1000000,(100*RTD("tos.rtd",,"VOLUME","."&amp;O$2&amp;O$1&amp;"C"&amp;$A46)*RTD("tos.rtd",,"LAST","."&amp;O$2&amp;O$1&amp;"C"&amp;$A46)-100*RTD("tos.rtd",,"VOLUME","."&amp;O$2&amp;O$1&amp;"P"&amp;$A46)*RTD("tos.rtd",,"LAST","."&amp;O$2&amp;O$1&amp;"P"&amp;$A46))/1000000),0),IF($A$2="DEX",IFERROR(IF($X$1="ABS",(100*RTD("tos.rtd",,"OPEN_INT","."&amp;O$2&amp;O$1&amp;"C"&amp;$A46)*RTD("tos.rtd",,"DELTA","."&amp;O$2&amp;O$1&amp;"C"&amp;$A46)+100*RTD("tos.rtd",,"OPEN_INT","."&amp;O$2&amp;O$1&amp;"P"&amp;$A46)*RTD("tos.rtd",,"DELTA","."&amp;O$2&amp;O$1&amp;"P"&amp;$A46))/1000,(100*RTD("tos.rtd",,"OPEN_INT","."&amp;O$2&amp;O$1&amp;"C"&amp;$A46)*RTD("tos.rtd",,"DELTA","."&amp;O$2&amp;O$1&amp;"C"&amp;$A46)-100*RTD("tos.rtd",,"OPEN_INT","."&amp;O$2&amp;O$1&amp;"P"&amp;$A46)*RTD("tos.rtd",,"DELTA","."&amp;O$2&amp;O$1&amp;"P"&amp;$A46))/1000),0),IF($A$2="VEX",IFERROR(IF($X$1="ABS",($A$4*$A$4*RTD("tos.rtd",,"VOLUME","."&amp;O$2&amp;O$1&amp;"C"&amp;$A46)*RTD("tos.rtd",,"GAMMA","."&amp;O$2&amp;O$1&amp;"C"&amp;$A46)+$A$4*$A$4*RTD("tos.rtd",,"VOLUME","."&amp;O$2&amp;O$1&amp;"P"&amp;$A46)*RTD("tos.rtd",,"GAMMA","."&amp;O$2&amp;O$1&amp;"P"&amp;$A46))/1000000,($A$4*$A$4*RTD("tos.rtd",,"VOLUME","."&amp;O$2&amp;O$1&amp;"C"&amp;$A46)*RTD("tos.rtd",,"GAMMA","."&amp;O$2&amp;O$1&amp;"C"&amp;$A46)-$A$4*$A$4*RTD("tos.rtd",,"VOLUME","."&amp;O$2&amp;O$1&amp;"P"&amp;$A46)*RTD("tos.rtd",,"GAMMA","."&amp;O$2&amp;O$1&amp;"P"&amp;$A46))/1000000),0),IF($A$2="GEX",IFERROR(IF($X$1="ABS",($A$4*$A$4*RTD("tos.rtd",,"OPEN_INT","."&amp;O$2&amp;O$1&amp;"C"&amp;$A46)*RTD("tos.rtd",,"GAMMA","."&amp;O$2&amp;O$1&amp;"C"&amp;$A46)+$A$4*$A$4*RTD("tos.rtd",,"OPEN_INT","."&amp;O$2&amp;O$1&amp;"P"&amp;$A46)*RTD("tos.rtd",,"GAMMA","."&amp;O$2&amp;O$1&amp;"P"&amp;$A46))/1000000,($A$4*$A$4*RTD("tos.rtd",,"OPEN_INT","."&amp;O$2&amp;O$1&amp;"C"&amp;$A46)*RTD("tos.rtd",,"GAMMA","."&amp;O$2&amp;O$1&amp;"C"&amp;$A46)-$A$4*$A$4*RTD("tos.rtd",,"OPEN_INT","."&amp;O$2&amp;O$1&amp;"P"&amp;$A46)*RTD("tos.rtd",,"GAMMA","."&amp;O$2&amp;O$1&amp;"P"&amp;$A46))/1000000),0),IF($A$2="SKEW",IFERROR(VALUE(IF(RTD("tos.rtd",,"IMPL_VOL","."&amp;O$2&amp;O$1&amp;"P"&amp;$A46)="N/A",0,RTD("tos.rtd",,"IMPL_VOL","."&amp;O$2&amp;O$1&amp;"P"&amp;$A46))),0)-IFERROR(VALUE(IF(RTD("tos.rtd",,"IMPL_VOL","."&amp;O$2&amp;O$1&amp;"C"&amp;$A46)="N/A",0,RTD("tos.rtd",,"IMPL_VOL","."&amp;O$2&amp;O$1&amp;"C"&amp;$A46))),0),IF($A$2="MAXPAIN",IF($A$4&gt;$A46,($A$4-$A46)*IF(RTD("tos.rtd",,"OPEN_INT","."&amp;O$2&amp;O$1&amp;"C"&amp;$A46)="N/A",0,RTD("tos.rtd",,"OPEN_INT","."&amp;O$2&amp;O$1&amp;"C"&amp;$A46)),0)+IF($A$4&lt;$A46,($A$5-$A$4)*IF(RTD("tos.rtd",,"OPEN_INT","."&amp;O$2&amp;O$1&amp;"P"&amp;$A46)="N/A",0,RTD("tos.rtd",,"OPEN_INT","."&amp;O$2&amp;O$1&amp;"P"&amp;$A46)),0),IF($X$1="ABS",IF(RTD("tos.rtd",,$A$2,"."&amp;O$2&amp;O$1&amp;"C"&amp;$A46)="N/A",0,RTD("tos.rtd",,$A$2,"."&amp;O$2&amp;O$1&amp;"C"&amp;$A46))+IF(RTD("tos.rtd",,$A$2,"."&amp;O$2&amp;O$1&amp;"P"&amp;$A46)="N/A",0,RTD("tos.rtd",,$A$2,"."&amp;O$2&amp;O$1&amp;"P"&amp;$A46)),IF(RTD("tos.rtd",,$A$2,"."&amp;O$2&amp;O$1&amp;"C"&amp;$A46)="N/A",0,RTD("tos.rtd",,$A$2,"."&amp;O$2&amp;O$1&amp;"C"&amp;$A46))-IF(RTD("tos.rtd",,$A$2,"."&amp;O$2&amp;O$1&amp;"P"&amp;$A46)="N/A",0,RTD("tos.rtd",,$A$2,"."&amp;O$2&amp;O$1&amp;"P"&amp;$A46))))))))))</f>
        <v>0</v>
      </c>
      <c r="P46" s="12">
        <f ca="1">IF($A$2="PREMIUM_OI",IFERROR(IF($X$1="ABS",(100*RTD("tos.rtd",,"OPEN_INT","."&amp;P$2&amp;P$1&amp;"C"&amp;$A46)*RTD("tos.rtd",,"LAST","."&amp;P$2&amp;P$1&amp;"C"&amp;$A46)+100*RTD("tos.rtd",,"OPEN_INT","."&amp;P$2&amp;P$1&amp;"P"&amp;$A46)*RTD("tos.rtd",,"LAST","."&amp;P$2&amp;P$1&amp;"P"&amp;$A46))/1000000,(100*RTD("tos.rtd",,"OPEN_INT","."&amp;P$2&amp;P$1&amp;"C"&amp;$A46)*RTD("tos.rtd",,"LAST","."&amp;P$2&amp;P$1&amp;"C"&amp;$A46)-100*RTD("tos.rtd",,"OPEN_INT","."&amp;P$2&amp;P$1&amp;"P"&amp;$A46)*RTD("tos.rtd",,"LAST","."&amp;P$2&amp;P$1&amp;"P"&amp;$A46))/1000000),0),IF($A$2="PREMIUM",IFERROR(IF($X$1="ABS",(100*RTD("tos.rtd",,"VOLUME","."&amp;P$2&amp;P$1&amp;"C"&amp;$A46)*RTD("tos.rtd",,"LAST","."&amp;P$2&amp;P$1&amp;"C"&amp;$A46)+100*RTD("tos.rtd",,"VOLUME","."&amp;P$2&amp;P$1&amp;"P"&amp;$A46)*RTD("tos.rtd",,"LAST","."&amp;P$2&amp;P$1&amp;"P"&amp;$A46))/1000000,(100*RTD("tos.rtd",,"VOLUME","."&amp;P$2&amp;P$1&amp;"C"&amp;$A46)*RTD("tos.rtd",,"LAST","."&amp;P$2&amp;P$1&amp;"C"&amp;$A46)-100*RTD("tos.rtd",,"VOLUME","."&amp;P$2&amp;P$1&amp;"P"&amp;$A46)*RTD("tos.rtd",,"LAST","."&amp;P$2&amp;P$1&amp;"P"&amp;$A46))/1000000),0),IF($A$2="DEX",IFERROR(IF($X$1="ABS",(100*RTD("tos.rtd",,"OPEN_INT","."&amp;P$2&amp;P$1&amp;"C"&amp;$A46)*RTD("tos.rtd",,"DELTA","."&amp;P$2&amp;P$1&amp;"C"&amp;$A46)+100*RTD("tos.rtd",,"OPEN_INT","."&amp;P$2&amp;P$1&amp;"P"&amp;$A46)*RTD("tos.rtd",,"DELTA","."&amp;P$2&amp;P$1&amp;"P"&amp;$A46))/1000,(100*RTD("tos.rtd",,"OPEN_INT","."&amp;P$2&amp;P$1&amp;"C"&amp;$A46)*RTD("tos.rtd",,"DELTA","."&amp;P$2&amp;P$1&amp;"C"&amp;$A46)-100*RTD("tos.rtd",,"OPEN_INT","."&amp;P$2&amp;P$1&amp;"P"&amp;$A46)*RTD("tos.rtd",,"DELTA","."&amp;P$2&amp;P$1&amp;"P"&amp;$A46))/1000),0),IF($A$2="VEX",IFERROR(IF($X$1="ABS",($A$4*$A$4*RTD("tos.rtd",,"VOLUME","."&amp;P$2&amp;P$1&amp;"C"&amp;$A46)*RTD("tos.rtd",,"GAMMA","."&amp;P$2&amp;P$1&amp;"C"&amp;$A46)+$A$4*$A$4*RTD("tos.rtd",,"VOLUME","."&amp;P$2&amp;P$1&amp;"P"&amp;$A46)*RTD("tos.rtd",,"GAMMA","."&amp;P$2&amp;P$1&amp;"P"&amp;$A46))/1000000,($A$4*$A$4*RTD("tos.rtd",,"VOLUME","."&amp;P$2&amp;P$1&amp;"C"&amp;$A46)*RTD("tos.rtd",,"GAMMA","."&amp;P$2&amp;P$1&amp;"C"&amp;$A46)-$A$4*$A$4*RTD("tos.rtd",,"VOLUME","."&amp;P$2&amp;P$1&amp;"P"&amp;$A46)*RTD("tos.rtd",,"GAMMA","."&amp;P$2&amp;P$1&amp;"P"&amp;$A46))/1000000),0),IF($A$2="GEX",IFERROR(IF($X$1="ABS",($A$4*$A$4*RTD("tos.rtd",,"OPEN_INT","."&amp;P$2&amp;P$1&amp;"C"&amp;$A46)*RTD("tos.rtd",,"GAMMA","."&amp;P$2&amp;P$1&amp;"C"&amp;$A46)+$A$4*$A$4*RTD("tos.rtd",,"OPEN_INT","."&amp;P$2&amp;P$1&amp;"P"&amp;$A46)*RTD("tos.rtd",,"GAMMA","."&amp;P$2&amp;P$1&amp;"P"&amp;$A46))/1000000,($A$4*$A$4*RTD("tos.rtd",,"OPEN_INT","."&amp;P$2&amp;P$1&amp;"C"&amp;$A46)*RTD("tos.rtd",,"GAMMA","."&amp;P$2&amp;P$1&amp;"C"&amp;$A46)-$A$4*$A$4*RTD("tos.rtd",,"OPEN_INT","."&amp;P$2&amp;P$1&amp;"P"&amp;$A46)*RTD("tos.rtd",,"GAMMA","."&amp;P$2&amp;P$1&amp;"P"&amp;$A46))/1000000),0),IF($A$2="SKEW",IFERROR(VALUE(IF(RTD("tos.rtd",,"IMPL_VOL","."&amp;P$2&amp;P$1&amp;"P"&amp;$A46)="N/A",0,RTD("tos.rtd",,"IMPL_VOL","."&amp;P$2&amp;P$1&amp;"P"&amp;$A46))),0)-IFERROR(VALUE(IF(RTD("tos.rtd",,"IMPL_VOL","."&amp;P$2&amp;P$1&amp;"C"&amp;$A46)="N/A",0,RTD("tos.rtd",,"IMPL_VOL","."&amp;P$2&amp;P$1&amp;"C"&amp;$A46))),0),IF($A$2="MAXPAIN",IF($A$4&gt;$A46,($A$4-$A46)*IF(RTD("tos.rtd",,"OPEN_INT","."&amp;P$2&amp;P$1&amp;"C"&amp;$A46)="N/A",0,RTD("tos.rtd",,"OPEN_INT","."&amp;P$2&amp;P$1&amp;"C"&amp;$A46)),0)+IF($A$4&lt;$A46,($A$5-$A$4)*IF(RTD("tos.rtd",,"OPEN_INT","."&amp;P$2&amp;P$1&amp;"P"&amp;$A46)="N/A",0,RTD("tos.rtd",,"OPEN_INT","."&amp;P$2&amp;P$1&amp;"P"&amp;$A46)),0),IF($X$1="ABS",IF(RTD("tos.rtd",,$A$2,"."&amp;P$2&amp;P$1&amp;"C"&amp;$A46)="N/A",0,RTD("tos.rtd",,$A$2,"."&amp;P$2&amp;P$1&amp;"C"&amp;$A46))+IF(RTD("tos.rtd",,$A$2,"."&amp;P$2&amp;P$1&amp;"P"&amp;$A46)="N/A",0,RTD("tos.rtd",,$A$2,"."&amp;P$2&amp;P$1&amp;"P"&amp;$A46)),IF(RTD("tos.rtd",,$A$2,"."&amp;P$2&amp;P$1&amp;"C"&amp;$A46)="N/A",0,RTD("tos.rtd",,$A$2,"."&amp;P$2&amp;P$1&amp;"C"&amp;$A46))-IF(RTD("tos.rtd",,$A$2,"."&amp;P$2&amp;P$1&amp;"P"&amp;$A46)="N/A",0,RTD("tos.rtd",,$A$2,"."&amp;P$2&amp;P$1&amp;"P"&amp;$A46))))))))))</f>
        <v>-270</v>
      </c>
      <c r="Q46" s="12">
        <f ca="1">IF($A$2="PREMIUM_OI",IFERROR(IF($X$1="ABS",(100*RTD("tos.rtd",,"OPEN_INT","."&amp;Q$2&amp;Q$1&amp;"C"&amp;$A46)*RTD("tos.rtd",,"LAST","."&amp;Q$2&amp;Q$1&amp;"C"&amp;$A46)+100*RTD("tos.rtd",,"OPEN_INT","."&amp;Q$2&amp;Q$1&amp;"P"&amp;$A46)*RTD("tos.rtd",,"LAST","."&amp;Q$2&amp;Q$1&amp;"P"&amp;$A46))/1000000,(100*RTD("tos.rtd",,"OPEN_INT","."&amp;Q$2&amp;Q$1&amp;"C"&amp;$A46)*RTD("tos.rtd",,"LAST","."&amp;Q$2&amp;Q$1&amp;"C"&amp;$A46)-100*RTD("tos.rtd",,"OPEN_INT","."&amp;Q$2&amp;Q$1&amp;"P"&amp;$A46)*RTD("tos.rtd",,"LAST","."&amp;Q$2&amp;Q$1&amp;"P"&amp;$A46))/1000000),0),IF($A$2="PREMIUM",IFERROR(IF($X$1="ABS",(100*RTD("tos.rtd",,"VOLUME","."&amp;Q$2&amp;Q$1&amp;"C"&amp;$A46)*RTD("tos.rtd",,"LAST","."&amp;Q$2&amp;Q$1&amp;"C"&amp;$A46)+100*RTD("tos.rtd",,"VOLUME","."&amp;Q$2&amp;Q$1&amp;"P"&amp;$A46)*RTD("tos.rtd",,"LAST","."&amp;Q$2&amp;Q$1&amp;"P"&amp;$A46))/1000000,(100*RTD("tos.rtd",,"VOLUME","."&amp;Q$2&amp;Q$1&amp;"C"&amp;$A46)*RTD("tos.rtd",,"LAST","."&amp;Q$2&amp;Q$1&amp;"C"&amp;$A46)-100*RTD("tos.rtd",,"VOLUME","."&amp;Q$2&amp;Q$1&amp;"P"&amp;$A46)*RTD("tos.rtd",,"LAST","."&amp;Q$2&amp;Q$1&amp;"P"&amp;$A46))/1000000),0),IF($A$2="DEX",IFERROR(IF($X$1="ABS",(100*RTD("tos.rtd",,"OPEN_INT","."&amp;Q$2&amp;Q$1&amp;"C"&amp;$A46)*RTD("tos.rtd",,"DELTA","."&amp;Q$2&amp;Q$1&amp;"C"&amp;$A46)+100*RTD("tos.rtd",,"OPEN_INT","."&amp;Q$2&amp;Q$1&amp;"P"&amp;$A46)*RTD("tos.rtd",,"DELTA","."&amp;Q$2&amp;Q$1&amp;"P"&amp;$A46))/1000,(100*RTD("tos.rtd",,"OPEN_INT","."&amp;Q$2&amp;Q$1&amp;"C"&amp;$A46)*RTD("tos.rtd",,"DELTA","."&amp;Q$2&amp;Q$1&amp;"C"&amp;$A46)-100*RTD("tos.rtd",,"OPEN_INT","."&amp;Q$2&amp;Q$1&amp;"P"&amp;$A46)*RTD("tos.rtd",,"DELTA","."&amp;Q$2&amp;Q$1&amp;"P"&amp;$A46))/1000),0),IF($A$2="VEX",IFERROR(IF($X$1="ABS",($A$4*$A$4*RTD("tos.rtd",,"VOLUME","."&amp;Q$2&amp;Q$1&amp;"C"&amp;$A46)*RTD("tos.rtd",,"GAMMA","."&amp;Q$2&amp;Q$1&amp;"C"&amp;$A46)+$A$4*$A$4*RTD("tos.rtd",,"VOLUME","."&amp;Q$2&amp;Q$1&amp;"P"&amp;$A46)*RTD("tos.rtd",,"GAMMA","."&amp;Q$2&amp;Q$1&amp;"P"&amp;$A46))/1000000,($A$4*$A$4*RTD("tos.rtd",,"VOLUME","."&amp;Q$2&amp;Q$1&amp;"C"&amp;$A46)*RTD("tos.rtd",,"GAMMA","."&amp;Q$2&amp;Q$1&amp;"C"&amp;$A46)-$A$4*$A$4*RTD("tos.rtd",,"VOLUME","."&amp;Q$2&amp;Q$1&amp;"P"&amp;$A46)*RTD("tos.rtd",,"GAMMA","."&amp;Q$2&amp;Q$1&amp;"P"&amp;$A46))/1000000),0),IF($A$2="GEX",IFERROR(IF($X$1="ABS",($A$4*$A$4*RTD("tos.rtd",,"OPEN_INT","."&amp;Q$2&amp;Q$1&amp;"C"&amp;$A46)*RTD("tos.rtd",,"GAMMA","."&amp;Q$2&amp;Q$1&amp;"C"&amp;$A46)+$A$4*$A$4*RTD("tos.rtd",,"OPEN_INT","."&amp;Q$2&amp;Q$1&amp;"P"&amp;$A46)*RTD("tos.rtd",,"GAMMA","."&amp;Q$2&amp;Q$1&amp;"P"&amp;$A46))/1000000,($A$4*$A$4*RTD("tos.rtd",,"OPEN_INT","."&amp;Q$2&amp;Q$1&amp;"C"&amp;$A46)*RTD("tos.rtd",,"GAMMA","."&amp;Q$2&amp;Q$1&amp;"C"&amp;$A46)-$A$4*$A$4*RTD("tos.rtd",,"OPEN_INT","."&amp;Q$2&amp;Q$1&amp;"P"&amp;$A46)*RTD("tos.rtd",,"GAMMA","."&amp;Q$2&amp;Q$1&amp;"P"&amp;$A46))/1000000),0),IF($A$2="SKEW",IFERROR(VALUE(IF(RTD("tos.rtd",,"IMPL_VOL","."&amp;Q$2&amp;Q$1&amp;"P"&amp;$A46)="N/A",0,RTD("tos.rtd",,"IMPL_VOL","."&amp;Q$2&amp;Q$1&amp;"P"&amp;$A46))),0)-IFERROR(VALUE(IF(RTD("tos.rtd",,"IMPL_VOL","."&amp;Q$2&amp;Q$1&amp;"C"&amp;$A46)="N/A",0,RTD("tos.rtd",,"IMPL_VOL","."&amp;Q$2&amp;Q$1&amp;"C"&amp;$A46))),0),IF($A$2="MAXPAIN",IF($A$4&gt;$A46,($A$4-$A46)*IF(RTD("tos.rtd",,"OPEN_INT","."&amp;Q$2&amp;Q$1&amp;"C"&amp;$A46)="N/A",0,RTD("tos.rtd",,"OPEN_INT","."&amp;Q$2&amp;Q$1&amp;"C"&amp;$A46)),0)+IF($A$4&lt;$A46,($A$5-$A$4)*IF(RTD("tos.rtd",,"OPEN_INT","."&amp;Q$2&amp;Q$1&amp;"P"&amp;$A46)="N/A",0,RTD("tos.rtd",,"OPEN_INT","."&amp;Q$2&amp;Q$1&amp;"P"&amp;$A46)),0),IF($X$1="ABS",IF(RTD("tos.rtd",,$A$2,"."&amp;Q$2&amp;Q$1&amp;"C"&amp;$A46)="N/A",0,RTD("tos.rtd",,$A$2,"."&amp;Q$2&amp;Q$1&amp;"C"&amp;$A46))+IF(RTD("tos.rtd",,$A$2,"."&amp;Q$2&amp;Q$1&amp;"P"&amp;$A46)="N/A",0,RTD("tos.rtd",,$A$2,"."&amp;Q$2&amp;Q$1&amp;"P"&amp;$A46)),IF(RTD("tos.rtd",,$A$2,"."&amp;Q$2&amp;Q$1&amp;"C"&amp;$A46)="N/A",0,RTD("tos.rtd",,$A$2,"."&amp;Q$2&amp;Q$1&amp;"C"&amp;$A46))-IF(RTD("tos.rtd",,$A$2,"."&amp;Q$2&amp;Q$1&amp;"P"&amp;$A46)="N/A",0,RTD("tos.rtd",,$A$2,"."&amp;Q$2&amp;Q$1&amp;"P"&amp;$A46))))))))))</f>
        <v>0</v>
      </c>
      <c r="R46" s="12">
        <f ca="1">IF($A$2="PREMIUM_OI",IFERROR(IF($X$1="ABS",(100*RTD("tos.rtd",,"OPEN_INT","."&amp;R$2&amp;R$1&amp;"C"&amp;$A46)*RTD("tos.rtd",,"LAST","."&amp;R$2&amp;R$1&amp;"C"&amp;$A46)+100*RTD("tos.rtd",,"OPEN_INT","."&amp;R$2&amp;R$1&amp;"P"&amp;$A46)*RTD("tos.rtd",,"LAST","."&amp;R$2&amp;R$1&amp;"P"&amp;$A46))/1000000,(100*RTD("tos.rtd",,"OPEN_INT","."&amp;R$2&amp;R$1&amp;"C"&amp;$A46)*RTD("tos.rtd",,"LAST","."&amp;R$2&amp;R$1&amp;"C"&amp;$A46)-100*RTD("tos.rtd",,"OPEN_INT","."&amp;R$2&amp;R$1&amp;"P"&amp;$A46)*RTD("tos.rtd",,"LAST","."&amp;R$2&amp;R$1&amp;"P"&amp;$A46))/1000000),0),IF($A$2="PREMIUM",IFERROR(IF($X$1="ABS",(100*RTD("tos.rtd",,"VOLUME","."&amp;R$2&amp;R$1&amp;"C"&amp;$A46)*RTD("tos.rtd",,"LAST","."&amp;R$2&amp;R$1&amp;"C"&amp;$A46)+100*RTD("tos.rtd",,"VOLUME","."&amp;R$2&amp;R$1&amp;"P"&amp;$A46)*RTD("tos.rtd",,"LAST","."&amp;R$2&amp;R$1&amp;"P"&amp;$A46))/1000000,(100*RTD("tos.rtd",,"VOLUME","."&amp;R$2&amp;R$1&amp;"C"&amp;$A46)*RTD("tos.rtd",,"LAST","."&amp;R$2&amp;R$1&amp;"C"&amp;$A46)-100*RTD("tos.rtd",,"VOLUME","."&amp;R$2&amp;R$1&amp;"P"&amp;$A46)*RTD("tos.rtd",,"LAST","."&amp;R$2&amp;R$1&amp;"P"&amp;$A46))/1000000),0),IF($A$2="DEX",IFERROR(IF($X$1="ABS",(100*RTD("tos.rtd",,"OPEN_INT","."&amp;R$2&amp;R$1&amp;"C"&amp;$A46)*RTD("tos.rtd",,"DELTA","."&amp;R$2&amp;R$1&amp;"C"&amp;$A46)+100*RTD("tos.rtd",,"OPEN_INT","."&amp;R$2&amp;R$1&amp;"P"&amp;$A46)*RTD("tos.rtd",,"DELTA","."&amp;R$2&amp;R$1&amp;"P"&amp;$A46))/1000,(100*RTD("tos.rtd",,"OPEN_INT","."&amp;R$2&amp;R$1&amp;"C"&amp;$A46)*RTD("tos.rtd",,"DELTA","."&amp;R$2&amp;R$1&amp;"C"&amp;$A46)-100*RTD("tos.rtd",,"OPEN_INT","."&amp;R$2&amp;R$1&amp;"P"&amp;$A46)*RTD("tos.rtd",,"DELTA","."&amp;R$2&amp;R$1&amp;"P"&amp;$A46))/1000),0),IF($A$2="VEX",IFERROR(IF($X$1="ABS",($A$4*$A$4*RTD("tos.rtd",,"VOLUME","."&amp;R$2&amp;R$1&amp;"C"&amp;$A46)*RTD("tos.rtd",,"GAMMA","."&amp;R$2&amp;R$1&amp;"C"&amp;$A46)+$A$4*$A$4*RTD("tos.rtd",,"VOLUME","."&amp;R$2&amp;R$1&amp;"P"&amp;$A46)*RTD("tos.rtd",,"GAMMA","."&amp;R$2&amp;R$1&amp;"P"&amp;$A46))/1000000,($A$4*$A$4*RTD("tos.rtd",,"VOLUME","."&amp;R$2&amp;R$1&amp;"C"&amp;$A46)*RTD("tos.rtd",,"GAMMA","."&amp;R$2&amp;R$1&amp;"C"&amp;$A46)-$A$4*$A$4*RTD("tos.rtd",,"VOLUME","."&amp;R$2&amp;R$1&amp;"P"&amp;$A46)*RTD("tos.rtd",,"GAMMA","."&amp;R$2&amp;R$1&amp;"P"&amp;$A46))/1000000),0),IF($A$2="GEX",IFERROR(IF($X$1="ABS",($A$4*$A$4*RTD("tos.rtd",,"OPEN_INT","."&amp;R$2&amp;R$1&amp;"C"&amp;$A46)*RTD("tos.rtd",,"GAMMA","."&amp;R$2&amp;R$1&amp;"C"&amp;$A46)+$A$4*$A$4*RTD("tos.rtd",,"OPEN_INT","."&amp;R$2&amp;R$1&amp;"P"&amp;$A46)*RTD("tos.rtd",,"GAMMA","."&amp;R$2&amp;R$1&amp;"P"&amp;$A46))/1000000,($A$4*$A$4*RTD("tos.rtd",,"OPEN_INT","."&amp;R$2&amp;R$1&amp;"C"&amp;$A46)*RTD("tos.rtd",,"GAMMA","."&amp;R$2&amp;R$1&amp;"C"&amp;$A46)-$A$4*$A$4*RTD("tos.rtd",,"OPEN_INT","."&amp;R$2&amp;R$1&amp;"P"&amp;$A46)*RTD("tos.rtd",,"GAMMA","."&amp;R$2&amp;R$1&amp;"P"&amp;$A46))/1000000),0),IF($A$2="SKEW",IFERROR(VALUE(IF(RTD("tos.rtd",,"IMPL_VOL","."&amp;R$2&amp;R$1&amp;"P"&amp;$A46)="N/A",0,RTD("tos.rtd",,"IMPL_VOL","."&amp;R$2&amp;R$1&amp;"P"&amp;$A46))),0)-IFERROR(VALUE(IF(RTD("tos.rtd",,"IMPL_VOL","."&amp;R$2&amp;R$1&amp;"C"&amp;$A46)="N/A",0,RTD("tos.rtd",,"IMPL_VOL","."&amp;R$2&amp;R$1&amp;"C"&amp;$A46))),0),IF($A$2="MAXPAIN",IF($A$4&gt;$A46,($A$4-$A46)*IF(RTD("tos.rtd",,"OPEN_INT","."&amp;R$2&amp;R$1&amp;"C"&amp;$A46)="N/A",0,RTD("tos.rtd",,"OPEN_INT","."&amp;R$2&amp;R$1&amp;"C"&amp;$A46)),0)+IF($A$4&lt;$A46,($A$5-$A$4)*IF(RTD("tos.rtd",,"OPEN_INT","."&amp;R$2&amp;R$1&amp;"P"&amp;$A46)="N/A",0,RTD("tos.rtd",,"OPEN_INT","."&amp;R$2&amp;R$1&amp;"P"&amp;$A46)),0),IF($X$1="ABS",IF(RTD("tos.rtd",,$A$2,"."&amp;R$2&amp;R$1&amp;"C"&amp;$A46)="N/A",0,RTD("tos.rtd",,$A$2,"."&amp;R$2&amp;R$1&amp;"C"&amp;$A46))+IF(RTD("tos.rtd",,$A$2,"."&amp;R$2&amp;R$1&amp;"P"&amp;$A46)="N/A",0,RTD("tos.rtd",,$A$2,"."&amp;R$2&amp;R$1&amp;"P"&amp;$A46)),IF(RTD("tos.rtd",,$A$2,"."&amp;R$2&amp;R$1&amp;"C"&amp;$A46)="N/A",0,RTD("tos.rtd",,$A$2,"."&amp;R$2&amp;R$1&amp;"C"&amp;$A46))-IF(RTD("tos.rtd",,$A$2,"."&amp;R$2&amp;R$1&amp;"P"&amp;$A46)="N/A",0,RTD("tos.rtd",,$A$2,"."&amp;R$2&amp;R$1&amp;"P"&amp;$A46))))))))))</f>
        <v>0</v>
      </c>
      <c r="S46" s="12">
        <f ca="1">IF($A$2="PREMIUM_OI",IFERROR(IF($X$1="ABS",(100*RTD("tos.rtd",,"OPEN_INT","."&amp;S$2&amp;S$1&amp;"C"&amp;$A46)*RTD("tos.rtd",,"LAST","."&amp;S$2&amp;S$1&amp;"C"&amp;$A46)+100*RTD("tos.rtd",,"OPEN_INT","."&amp;S$2&amp;S$1&amp;"P"&amp;$A46)*RTD("tos.rtd",,"LAST","."&amp;S$2&amp;S$1&amp;"P"&amp;$A46))/1000000,(100*RTD("tos.rtd",,"OPEN_INT","."&amp;S$2&amp;S$1&amp;"C"&amp;$A46)*RTD("tos.rtd",,"LAST","."&amp;S$2&amp;S$1&amp;"C"&amp;$A46)-100*RTD("tos.rtd",,"OPEN_INT","."&amp;S$2&amp;S$1&amp;"P"&amp;$A46)*RTD("tos.rtd",,"LAST","."&amp;S$2&amp;S$1&amp;"P"&amp;$A46))/1000000),0),IF($A$2="PREMIUM",IFERROR(IF($X$1="ABS",(100*RTD("tos.rtd",,"VOLUME","."&amp;S$2&amp;S$1&amp;"C"&amp;$A46)*RTD("tos.rtd",,"LAST","."&amp;S$2&amp;S$1&amp;"C"&amp;$A46)+100*RTD("tos.rtd",,"VOLUME","."&amp;S$2&amp;S$1&amp;"P"&amp;$A46)*RTD("tos.rtd",,"LAST","."&amp;S$2&amp;S$1&amp;"P"&amp;$A46))/1000000,(100*RTD("tos.rtd",,"VOLUME","."&amp;S$2&amp;S$1&amp;"C"&amp;$A46)*RTD("tos.rtd",,"LAST","."&amp;S$2&amp;S$1&amp;"C"&amp;$A46)-100*RTD("tos.rtd",,"VOLUME","."&amp;S$2&amp;S$1&amp;"P"&amp;$A46)*RTD("tos.rtd",,"LAST","."&amp;S$2&amp;S$1&amp;"P"&amp;$A46))/1000000),0),IF($A$2="DEX",IFERROR(IF($X$1="ABS",(100*RTD("tos.rtd",,"OPEN_INT","."&amp;S$2&amp;S$1&amp;"C"&amp;$A46)*RTD("tos.rtd",,"DELTA","."&amp;S$2&amp;S$1&amp;"C"&amp;$A46)+100*RTD("tos.rtd",,"OPEN_INT","."&amp;S$2&amp;S$1&amp;"P"&amp;$A46)*RTD("tos.rtd",,"DELTA","."&amp;S$2&amp;S$1&amp;"P"&amp;$A46))/1000,(100*RTD("tos.rtd",,"OPEN_INT","."&amp;S$2&amp;S$1&amp;"C"&amp;$A46)*RTD("tos.rtd",,"DELTA","."&amp;S$2&amp;S$1&amp;"C"&amp;$A46)-100*RTD("tos.rtd",,"OPEN_INT","."&amp;S$2&amp;S$1&amp;"P"&amp;$A46)*RTD("tos.rtd",,"DELTA","."&amp;S$2&amp;S$1&amp;"P"&amp;$A46))/1000),0),IF($A$2="VEX",IFERROR(IF($X$1="ABS",($A$4*$A$4*RTD("tos.rtd",,"VOLUME","."&amp;S$2&amp;S$1&amp;"C"&amp;$A46)*RTD("tos.rtd",,"GAMMA","."&amp;S$2&amp;S$1&amp;"C"&amp;$A46)+$A$4*$A$4*RTD("tos.rtd",,"VOLUME","."&amp;S$2&amp;S$1&amp;"P"&amp;$A46)*RTD("tos.rtd",,"GAMMA","."&amp;S$2&amp;S$1&amp;"P"&amp;$A46))/1000000,($A$4*$A$4*RTD("tos.rtd",,"VOLUME","."&amp;S$2&amp;S$1&amp;"C"&amp;$A46)*RTD("tos.rtd",,"GAMMA","."&amp;S$2&amp;S$1&amp;"C"&amp;$A46)-$A$4*$A$4*RTD("tos.rtd",,"VOLUME","."&amp;S$2&amp;S$1&amp;"P"&amp;$A46)*RTD("tos.rtd",,"GAMMA","."&amp;S$2&amp;S$1&amp;"P"&amp;$A46))/1000000),0),IF($A$2="GEX",IFERROR(IF($X$1="ABS",($A$4*$A$4*RTD("tos.rtd",,"OPEN_INT","."&amp;S$2&amp;S$1&amp;"C"&amp;$A46)*RTD("tos.rtd",,"GAMMA","."&amp;S$2&amp;S$1&amp;"C"&amp;$A46)+$A$4*$A$4*RTD("tos.rtd",,"OPEN_INT","."&amp;S$2&amp;S$1&amp;"P"&amp;$A46)*RTD("tos.rtd",,"GAMMA","."&amp;S$2&amp;S$1&amp;"P"&amp;$A46))/1000000,($A$4*$A$4*RTD("tos.rtd",,"OPEN_INT","."&amp;S$2&amp;S$1&amp;"C"&amp;$A46)*RTD("tos.rtd",,"GAMMA","."&amp;S$2&amp;S$1&amp;"C"&amp;$A46)-$A$4*$A$4*RTD("tos.rtd",,"OPEN_INT","."&amp;S$2&amp;S$1&amp;"P"&amp;$A46)*RTD("tos.rtd",,"GAMMA","."&amp;S$2&amp;S$1&amp;"P"&amp;$A46))/1000000),0),IF($A$2="SKEW",IFERROR(VALUE(IF(RTD("tos.rtd",,"IMPL_VOL","."&amp;S$2&amp;S$1&amp;"P"&amp;$A46)="N/A",0,RTD("tos.rtd",,"IMPL_VOL","."&amp;S$2&amp;S$1&amp;"P"&amp;$A46))),0)-IFERROR(VALUE(IF(RTD("tos.rtd",,"IMPL_VOL","."&amp;S$2&amp;S$1&amp;"C"&amp;$A46)="N/A",0,RTD("tos.rtd",,"IMPL_VOL","."&amp;S$2&amp;S$1&amp;"C"&amp;$A46))),0),IF($A$2="MAXPAIN",IF($A$4&gt;$A46,($A$4-$A46)*IF(RTD("tos.rtd",,"OPEN_INT","."&amp;S$2&amp;S$1&amp;"C"&amp;$A46)="N/A",0,RTD("tos.rtd",,"OPEN_INT","."&amp;S$2&amp;S$1&amp;"C"&amp;$A46)),0)+IF($A$4&lt;$A46,($A$5-$A$4)*IF(RTD("tos.rtd",,"OPEN_INT","."&amp;S$2&amp;S$1&amp;"P"&amp;$A46)="N/A",0,RTD("tos.rtd",,"OPEN_INT","."&amp;S$2&amp;S$1&amp;"P"&amp;$A46)),0),IF($X$1="ABS",IF(RTD("tos.rtd",,$A$2,"."&amp;S$2&amp;S$1&amp;"C"&amp;$A46)="N/A",0,RTD("tos.rtd",,$A$2,"."&amp;S$2&amp;S$1&amp;"C"&amp;$A46))+IF(RTD("tos.rtd",,$A$2,"."&amp;S$2&amp;S$1&amp;"P"&amp;$A46)="N/A",0,RTD("tos.rtd",,$A$2,"."&amp;S$2&amp;S$1&amp;"P"&amp;$A46)),IF(RTD("tos.rtd",,$A$2,"."&amp;S$2&amp;S$1&amp;"C"&amp;$A46)="N/A",0,RTD("tos.rtd",,$A$2,"."&amp;S$2&amp;S$1&amp;"C"&amp;$A46))-IF(RTD("tos.rtd",,$A$2,"."&amp;S$2&amp;S$1&amp;"P"&amp;$A46)="N/A",0,RTD("tos.rtd",,$A$2,"."&amp;S$2&amp;S$1&amp;"P"&amp;$A46))))))))))</f>
        <v>0</v>
      </c>
      <c r="T46" s="12">
        <f ca="1">IF($A$2="PREMIUM_OI",IFERROR(IF($X$1="ABS",(100*RTD("tos.rtd",,"OPEN_INT","."&amp;T$2&amp;T$1&amp;"C"&amp;$A46)*RTD("tos.rtd",,"LAST","."&amp;T$2&amp;T$1&amp;"C"&amp;$A46)+100*RTD("tos.rtd",,"OPEN_INT","."&amp;T$2&amp;T$1&amp;"P"&amp;$A46)*RTD("tos.rtd",,"LAST","."&amp;T$2&amp;T$1&amp;"P"&amp;$A46))/1000000,(100*RTD("tos.rtd",,"OPEN_INT","."&amp;T$2&amp;T$1&amp;"C"&amp;$A46)*RTD("tos.rtd",,"LAST","."&amp;T$2&amp;T$1&amp;"C"&amp;$A46)-100*RTD("tos.rtd",,"OPEN_INT","."&amp;T$2&amp;T$1&amp;"P"&amp;$A46)*RTD("tos.rtd",,"LAST","."&amp;T$2&amp;T$1&amp;"P"&amp;$A46))/1000000),0),IF($A$2="PREMIUM",IFERROR(IF($X$1="ABS",(100*RTD("tos.rtd",,"VOLUME","."&amp;T$2&amp;T$1&amp;"C"&amp;$A46)*RTD("tos.rtd",,"LAST","."&amp;T$2&amp;T$1&amp;"C"&amp;$A46)+100*RTD("tos.rtd",,"VOLUME","."&amp;T$2&amp;T$1&amp;"P"&amp;$A46)*RTD("tos.rtd",,"LAST","."&amp;T$2&amp;T$1&amp;"P"&amp;$A46))/1000000,(100*RTD("tos.rtd",,"VOLUME","."&amp;T$2&amp;T$1&amp;"C"&amp;$A46)*RTD("tos.rtd",,"LAST","."&amp;T$2&amp;T$1&amp;"C"&amp;$A46)-100*RTD("tos.rtd",,"VOLUME","."&amp;T$2&amp;T$1&amp;"P"&amp;$A46)*RTD("tos.rtd",,"LAST","."&amp;T$2&amp;T$1&amp;"P"&amp;$A46))/1000000),0),IF($A$2="DEX",IFERROR(IF($X$1="ABS",(100*RTD("tos.rtd",,"OPEN_INT","."&amp;T$2&amp;T$1&amp;"C"&amp;$A46)*RTD("tos.rtd",,"DELTA","."&amp;T$2&amp;T$1&amp;"C"&amp;$A46)+100*RTD("tos.rtd",,"OPEN_INT","."&amp;T$2&amp;T$1&amp;"P"&amp;$A46)*RTD("tos.rtd",,"DELTA","."&amp;T$2&amp;T$1&amp;"P"&amp;$A46))/1000,(100*RTD("tos.rtd",,"OPEN_INT","."&amp;T$2&amp;T$1&amp;"C"&amp;$A46)*RTD("tos.rtd",,"DELTA","."&amp;T$2&amp;T$1&amp;"C"&amp;$A46)-100*RTD("tos.rtd",,"OPEN_INT","."&amp;T$2&amp;T$1&amp;"P"&amp;$A46)*RTD("tos.rtd",,"DELTA","."&amp;T$2&amp;T$1&amp;"P"&amp;$A46))/1000),0),IF($A$2="VEX",IFERROR(IF($X$1="ABS",($A$4*$A$4*RTD("tos.rtd",,"VOLUME","."&amp;T$2&amp;T$1&amp;"C"&amp;$A46)*RTD("tos.rtd",,"GAMMA","."&amp;T$2&amp;T$1&amp;"C"&amp;$A46)+$A$4*$A$4*RTD("tos.rtd",,"VOLUME","."&amp;T$2&amp;T$1&amp;"P"&amp;$A46)*RTD("tos.rtd",,"GAMMA","."&amp;T$2&amp;T$1&amp;"P"&amp;$A46))/1000000,($A$4*$A$4*RTD("tos.rtd",,"VOLUME","."&amp;T$2&amp;T$1&amp;"C"&amp;$A46)*RTD("tos.rtd",,"GAMMA","."&amp;T$2&amp;T$1&amp;"C"&amp;$A46)-$A$4*$A$4*RTD("tos.rtd",,"VOLUME","."&amp;T$2&amp;T$1&amp;"P"&amp;$A46)*RTD("tos.rtd",,"GAMMA","."&amp;T$2&amp;T$1&amp;"P"&amp;$A46))/1000000),0),IF($A$2="GEX",IFERROR(IF($X$1="ABS",($A$4*$A$4*RTD("tos.rtd",,"OPEN_INT","."&amp;T$2&amp;T$1&amp;"C"&amp;$A46)*RTD("tos.rtd",,"GAMMA","."&amp;T$2&amp;T$1&amp;"C"&amp;$A46)+$A$4*$A$4*RTD("tos.rtd",,"OPEN_INT","."&amp;T$2&amp;T$1&amp;"P"&amp;$A46)*RTD("tos.rtd",,"GAMMA","."&amp;T$2&amp;T$1&amp;"P"&amp;$A46))/1000000,($A$4*$A$4*RTD("tos.rtd",,"OPEN_INT","."&amp;T$2&amp;T$1&amp;"C"&amp;$A46)*RTD("tos.rtd",,"GAMMA","."&amp;T$2&amp;T$1&amp;"C"&amp;$A46)-$A$4*$A$4*RTD("tos.rtd",,"OPEN_INT","."&amp;T$2&amp;T$1&amp;"P"&amp;$A46)*RTD("tos.rtd",,"GAMMA","."&amp;T$2&amp;T$1&amp;"P"&amp;$A46))/1000000),0),IF($A$2="SKEW",IFERROR(VALUE(IF(RTD("tos.rtd",,"IMPL_VOL","."&amp;T$2&amp;T$1&amp;"P"&amp;$A46)="N/A",0,RTD("tos.rtd",,"IMPL_VOL","."&amp;T$2&amp;T$1&amp;"P"&amp;$A46))),0)-IFERROR(VALUE(IF(RTD("tos.rtd",,"IMPL_VOL","."&amp;T$2&amp;T$1&amp;"C"&amp;$A46)="N/A",0,RTD("tos.rtd",,"IMPL_VOL","."&amp;T$2&amp;T$1&amp;"C"&amp;$A46))),0),IF($A$2="MAXPAIN",IF($A$4&gt;$A46,($A$4-$A46)*IF(RTD("tos.rtd",,"OPEN_INT","."&amp;T$2&amp;T$1&amp;"C"&amp;$A46)="N/A",0,RTD("tos.rtd",,"OPEN_INT","."&amp;T$2&amp;T$1&amp;"C"&amp;$A46)),0)+IF($A$4&lt;$A46,($A$5-$A$4)*IF(RTD("tos.rtd",,"OPEN_INT","."&amp;T$2&amp;T$1&amp;"P"&amp;$A46)="N/A",0,RTD("tos.rtd",,"OPEN_INT","."&amp;T$2&amp;T$1&amp;"P"&amp;$A46)),0),IF($X$1="ABS",IF(RTD("tos.rtd",,$A$2,"."&amp;T$2&amp;T$1&amp;"C"&amp;$A46)="N/A",0,RTD("tos.rtd",,$A$2,"."&amp;T$2&amp;T$1&amp;"C"&amp;$A46))+IF(RTD("tos.rtd",,$A$2,"."&amp;T$2&amp;T$1&amp;"P"&amp;$A46)="N/A",0,RTD("tos.rtd",,$A$2,"."&amp;T$2&amp;T$1&amp;"P"&amp;$A46)),IF(RTD("tos.rtd",,$A$2,"."&amp;T$2&amp;T$1&amp;"C"&amp;$A46)="N/A",0,RTD("tos.rtd",,$A$2,"."&amp;T$2&amp;T$1&amp;"C"&amp;$A46))-IF(RTD("tos.rtd",,$A$2,"."&amp;T$2&amp;T$1&amp;"P"&amp;$A46)="N/A",0,RTD("tos.rtd",,$A$2,"."&amp;T$2&amp;T$1&amp;"P"&amp;$A46))))))))))</f>
        <v>0</v>
      </c>
      <c r="U46" s="12">
        <f ca="1">IF($A$2="PREMIUM_OI",IFERROR(IF($X$1="ABS",(100*RTD("tos.rtd",,"OPEN_INT","."&amp;U$2&amp;U$1&amp;"C"&amp;$A46)*RTD("tos.rtd",,"LAST","."&amp;U$2&amp;U$1&amp;"C"&amp;$A46)+100*RTD("tos.rtd",,"OPEN_INT","."&amp;U$2&amp;U$1&amp;"P"&amp;$A46)*RTD("tos.rtd",,"LAST","."&amp;U$2&amp;U$1&amp;"P"&amp;$A46))/1000000,(100*RTD("tos.rtd",,"OPEN_INT","."&amp;U$2&amp;U$1&amp;"C"&amp;$A46)*RTD("tos.rtd",,"LAST","."&amp;U$2&amp;U$1&amp;"C"&amp;$A46)-100*RTD("tos.rtd",,"OPEN_INT","."&amp;U$2&amp;U$1&amp;"P"&amp;$A46)*RTD("tos.rtd",,"LAST","."&amp;U$2&amp;U$1&amp;"P"&amp;$A46))/1000000),0),IF($A$2="PREMIUM",IFERROR(IF($X$1="ABS",(100*RTD("tos.rtd",,"VOLUME","."&amp;U$2&amp;U$1&amp;"C"&amp;$A46)*RTD("tos.rtd",,"LAST","."&amp;U$2&amp;U$1&amp;"C"&amp;$A46)+100*RTD("tos.rtd",,"VOLUME","."&amp;U$2&amp;U$1&amp;"P"&amp;$A46)*RTD("tos.rtd",,"LAST","."&amp;U$2&amp;U$1&amp;"P"&amp;$A46))/1000000,(100*RTD("tos.rtd",,"VOLUME","."&amp;U$2&amp;U$1&amp;"C"&amp;$A46)*RTD("tos.rtd",,"LAST","."&amp;U$2&amp;U$1&amp;"C"&amp;$A46)-100*RTD("tos.rtd",,"VOLUME","."&amp;U$2&amp;U$1&amp;"P"&amp;$A46)*RTD("tos.rtd",,"LAST","."&amp;U$2&amp;U$1&amp;"P"&amp;$A46))/1000000),0),IF($A$2="DEX",IFERROR(IF($X$1="ABS",(100*RTD("tos.rtd",,"OPEN_INT","."&amp;U$2&amp;U$1&amp;"C"&amp;$A46)*RTD("tos.rtd",,"DELTA","."&amp;U$2&amp;U$1&amp;"C"&amp;$A46)+100*RTD("tos.rtd",,"OPEN_INT","."&amp;U$2&amp;U$1&amp;"P"&amp;$A46)*RTD("tos.rtd",,"DELTA","."&amp;U$2&amp;U$1&amp;"P"&amp;$A46))/1000,(100*RTD("tos.rtd",,"OPEN_INT","."&amp;U$2&amp;U$1&amp;"C"&amp;$A46)*RTD("tos.rtd",,"DELTA","."&amp;U$2&amp;U$1&amp;"C"&amp;$A46)-100*RTD("tos.rtd",,"OPEN_INT","."&amp;U$2&amp;U$1&amp;"P"&amp;$A46)*RTD("tos.rtd",,"DELTA","."&amp;U$2&amp;U$1&amp;"P"&amp;$A46))/1000),0),IF($A$2="VEX",IFERROR(IF($X$1="ABS",($A$4*$A$4*RTD("tos.rtd",,"VOLUME","."&amp;U$2&amp;U$1&amp;"C"&amp;$A46)*RTD("tos.rtd",,"GAMMA","."&amp;U$2&amp;U$1&amp;"C"&amp;$A46)+$A$4*$A$4*RTD("tos.rtd",,"VOLUME","."&amp;U$2&amp;U$1&amp;"P"&amp;$A46)*RTD("tos.rtd",,"GAMMA","."&amp;U$2&amp;U$1&amp;"P"&amp;$A46))/1000000,($A$4*$A$4*RTD("tos.rtd",,"VOLUME","."&amp;U$2&amp;U$1&amp;"C"&amp;$A46)*RTD("tos.rtd",,"GAMMA","."&amp;U$2&amp;U$1&amp;"C"&amp;$A46)-$A$4*$A$4*RTD("tos.rtd",,"VOLUME","."&amp;U$2&amp;U$1&amp;"P"&amp;$A46)*RTD("tos.rtd",,"GAMMA","."&amp;U$2&amp;U$1&amp;"P"&amp;$A46))/1000000),0),IF($A$2="GEX",IFERROR(IF($X$1="ABS",($A$4*$A$4*RTD("tos.rtd",,"OPEN_INT","."&amp;U$2&amp;U$1&amp;"C"&amp;$A46)*RTD("tos.rtd",,"GAMMA","."&amp;U$2&amp;U$1&amp;"C"&amp;$A46)+$A$4*$A$4*RTD("tos.rtd",,"OPEN_INT","."&amp;U$2&amp;U$1&amp;"P"&amp;$A46)*RTD("tos.rtd",,"GAMMA","."&amp;U$2&amp;U$1&amp;"P"&amp;$A46))/1000000,($A$4*$A$4*RTD("tos.rtd",,"OPEN_INT","."&amp;U$2&amp;U$1&amp;"C"&amp;$A46)*RTD("tos.rtd",,"GAMMA","."&amp;U$2&amp;U$1&amp;"C"&amp;$A46)-$A$4*$A$4*RTD("tos.rtd",,"OPEN_INT","."&amp;U$2&amp;U$1&amp;"P"&amp;$A46)*RTD("tos.rtd",,"GAMMA","."&amp;U$2&amp;U$1&amp;"P"&amp;$A46))/1000000),0),IF($A$2="SKEW",IFERROR(VALUE(IF(RTD("tos.rtd",,"IMPL_VOL","."&amp;U$2&amp;U$1&amp;"P"&amp;$A46)="N/A",0,RTD("tos.rtd",,"IMPL_VOL","."&amp;U$2&amp;U$1&amp;"P"&amp;$A46))),0)-IFERROR(VALUE(IF(RTD("tos.rtd",,"IMPL_VOL","."&amp;U$2&amp;U$1&amp;"C"&amp;$A46)="N/A",0,RTD("tos.rtd",,"IMPL_VOL","."&amp;U$2&amp;U$1&amp;"C"&amp;$A46))),0),IF($A$2="MAXPAIN",IF($A$4&gt;$A46,($A$4-$A46)*IF(RTD("tos.rtd",,"OPEN_INT","."&amp;U$2&amp;U$1&amp;"C"&amp;$A46)="N/A",0,RTD("tos.rtd",,"OPEN_INT","."&amp;U$2&amp;U$1&amp;"C"&amp;$A46)),0)+IF($A$4&lt;$A46,($A$5-$A$4)*IF(RTD("tos.rtd",,"OPEN_INT","."&amp;U$2&amp;U$1&amp;"P"&amp;$A46)="N/A",0,RTD("tos.rtd",,"OPEN_INT","."&amp;U$2&amp;U$1&amp;"P"&amp;$A46)),0),IF($X$1="ABS",IF(RTD("tos.rtd",,$A$2,"."&amp;U$2&amp;U$1&amp;"C"&amp;$A46)="N/A",0,RTD("tos.rtd",,$A$2,"."&amp;U$2&amp;U$1&amp;"C"&amp;$A46))+IF(RTD("tos.rtd",,$A$2,"."&amp;U$2&amp;U$1&amp;"P"&amp;$A46)="N/A",0,RTD("tos.rtd",,$A$2,"."&amp;U$2&amp;U$1&amp;"P"&amp;$A46)),IF(RTD("tos.rtd",,$A$2,"."&amp;U$2&amp;U$1&amp;"C"&amp;$A46)="N/A",0,RTD("tos.rtd",,$A$2,"."&amp;U$2&amp;U$1&amp;"C"&amp;$A46))-IF(RTD("tos.rtd",,$A$2,"."&amp;U$2&amp;U$1&amp;"P"&amp;$A46)="N/A",0,RTD("tos.rtd",,$A$2,"."&amp;U$2&amp;U$1&amp;"P"&amp;$A46))))))))))</f>
        <v>0</v>
      </c>
      <c r="V46" s="12">
        <f ca="1">IF($A$2="PREMIUM_OI",IFERROR(IF($X$1="ABS",(100*RTD("tos.rtd",,"OPEN_INT","."&amp;V$2&amp;V$1&amp;"C"&amp;$A46)*RTD("tos.rtd",,"LAST","."&amp;V$2&amp;V$1&amp;"C"&amp;$A46)+100*RTD("tos.rtd",,"OPEN_INT","."&amp;V$2&amp;V$1&amp;"P"&amp;$A46)*RTD("tos.rtd",,"LAST","."&amp;V$2&amp;V$1&amp;"P"&amp;$A46))/1000000,(100*RTD("tos.rtd",,"OPEN_INT","."&amp;V$2&amp;V$1&amp;"C"&amp;$A46)*RTD("tos.rtd",,"LAST","."&amp;V$2&amp;V$1&amp;"C"&amp;$A46)-100*RTD("tos.rtd",,"OPEN_INT","."&amp;V$2&amp;V$1&amp;"P"&amp;$A46)*RTD("tos.rtd",,"LAST","."&amp;V$2&amp;V$1&amp;"P"&amp;$A46))/1000000),0),IF($A$2="PREMIUM",IFERROR(IF($X$1="ABS",(100*RTD("tos.rtd",,"VOLUME","."&amp;V$2&amp;V$1&amp;"C"&amp;$A46)*RTD("tos.rtd",,"LAST","."&amp;V$2&amp;V$1&amp;"C"&amp;$A46)+100*RTD("tos.rtd",,"VOLUME","."&amp;V$2&amp;V$1&amp;"P"&amp;$A46)*RTD("tos.rtd",,"LAST","."&amp;V$2&amp;V$1&amp;"P"&amp;$A46))/1000000,(100*RTD("tos.rtd",,"VOLUME","."&amp;V$2&amp;V$1&amp;"C"&amp;$A46)*RTD("tos.rtd",,"LAST","."&amp;V$2&amp;V$1&amp;"C"&amp;$A46)-100*RTD("tos.rtd",,"VOLUME","."&amp;V$2&amp;V$1&amp;"P"&amp;$A46)*RTD("tos.rtd",,"LAST","."&amp;V$2&amp;V$1&amp;"P"&amp;$A46))/1000000),0),IF($A$2="DEX",IFERROR(IF($X$1="ABS",(100*RTD("tos.rtd",,"OPEN_INT","."&amp;V$2&amp;V$1&amp;"C"&amp;$A46)*RTD("tos.rtd",,"DELTA","."&amp;V$2&amp;V$1&amp;"C"&amp;$A46)+100*RTD("tos.rtd",,"OPEN_INT","."&amp;V$2&amp;V$1&amp;"P"&amp;$A46)*RTD("tos.rtd",,"DELTA","."&amp;V$2&amp;V$1&amp;"P"&amp;$A46))/1000,(100*RTD("tos.rtd",,"OPEN_INT","."&amp;V$2&amp;V$1&amp;"C"&amp;$A46)*RTD("tos.rtd",,"DELTA","."&amp;V$2&amp;V$1&amp;"C"&amp;$A46)-100*RTD("tos.rtd",,"OPEN_INT","."&amp;V$2&amp;V$1&amp;"P"&amp;$A46)*RTD("tos.rtd",,"DELTA","."&amp;V$2&amp;V$1&amp;"P"&amp;$A46))/1000),0),IF($A$2="VEX",IFERROR(IF($X$1="ABS",($A$4*$A$4*RTD("tos.rtd",,"VOLUME","."&amp;V$2&amp;V$1&amp;"C"&amp;$A46)*RTD("tos.rtd",,"GAMMA","."&amp;V$2&amp;V$1&amp;"C"&amp;$A46)+$A$4*$A$4*RTD("tos.rtd",,"VOLUME","."&amp;V$2&amp;V$1&amp;"P"&amp;$A46)*RTD("tos.rtd",,"GAMMA","."&amp;V$2&amp;V$1&amp;"P"&amp;$A46))/1000000,($A$4*$A$4*RTD("tos.rtd",,"VOLUME","."&amp;V$2&amp;V$1&amp;"C"&amp;$A46)*RTD("tos.rtd",,"GAMMA","."&amp;V$2&amp;V$1&amp;"C"&amp;$A46)-$A$4*$A$4*RTD("tos.rtd",,"VOLUME","."&amp;V$2&amp;V$1&amp;"P"&amp;$A46)*RTD("tos.rtd",,"GAMMA","."&amp;V$2&amp;V$1&amp;"P"&amp;$A46))/1000000),0),IF($A$2="GEX",IFERROR(IF($X$1="ABS",($A$4*$A$4*RTD("tos.rtd",,"OPEN_INT","."&amp;V$2&amp;V$1&amp;"C"&amp;$A46)*RTD("tos.rtd",,"GAMMA","."&amp;V$2&amp;V$1&amp;"C"&amp;$A46)+$A$4*$A$4*RTD("tos.rtd",,"OPEN_INT","."&amp;V$2&amp;V$1&amp;"P"&amp;$A46)*RTD("tos.rtd",,"GAMMA","."&amp;V$2&amp;V$1&amp;"P"&amp;$A46))/1000000,($A$4*$A$4*RTD("tos.rtd",,"OPEN_INT","."&amp;V$2&amp;V$1&amp;"C"&amp;$A46)*RTD("tos.rtd",,"GAMMA","."&amp;V$2&amp;V$1&amp;"C"&amp;$A46)-$A$4*$A$4*RTD("tos.rtd",,"OPEN_INT","."&amp;V$2&amp;V$1&amp;"P"&amp;$A46)*RTD("tos.rtd",,"GAMMA","."&amp;V$2&amp;V$1&amp;"P"&amp;$A46))/1000000),0),IF($A$2="SKEW",IFERROR(VALUE(IF(RTD("tos.rtd",,"IMPL_VOL","."&amp;V$2&amp;V$1&amp;"P"&amp;$A46)="N/A",0,RTD("tos.rtd",,"IMPL_VOL","."&amp;V$2&amp;V$1&amp;"P"&amp;$A46))),0)-IFERROR(VALUE(IF(RTD("tos.rtd",,"IMPL_VOL","."&amp;V$2&amp;V$1&amp;"C"&amp;$A46)="N/A",0,RTD("tos.rtd",,"IMPL_VOL","."&amp;V$2&amp;V$1&amp;"C"&amp;$A46))),0),IF($A$2="MAXPAIN",IF($A$4&gt;$A46,($A$4-$A46)*IF(RTD("tos.rtd",,"OPEN_INT","."&amp;V$2&amp;V$1&amp;"C"&amp;$A46)="N/A",0,RTD("tos.rtd",,"OPEN_INT","."&amp;V$2&amp;V$1&amp;"C"&amp;$A46)),0)+IF($A$4&lt;$A46,($A$5-$A$4)*IF(RTD("tos.rtd",,"OPEN_INT","."&amp;V$2&amp;V$1&amp;"P"&amp;$A46)="N/A",0,RTD("tos.rtd",,"OPEN_INT","."&amp;V$2&amp;V$1&amp;"P"&amp;$A46)),0),IF($X$1="ABS",IF(RTD("tos.rtd",,$A$2,"."&amp;V$2&amp;V$1&amp;"C"&amp;$A46)="N/A",0,RTD("tos.rtd",,$A$2,"."&amp;V$2&amp;V$1&amp;"C"&amp;$A46))+IF(RTD("tos.rtd",,$A$2,"."&amp;V$2&amp;V$1&amp;"P"&amp;$A46)="N/A",0,RTD("tos.rtd",,$A$2,"."&amp;V$2&amp;V$1&amp;"P"&amp;$A46)),IF(RTD("tos.rtd",,$A$2,"."&amp;V$2&amp;V$1&amp;"C"&amp;$A46)="N/A",0,RTD("tos.rtd",,$A$2,"."&amp;V$2&amp;V$1&amp;"C"&amp;$A46))-IF(RTD("tos.rtd",,$A$2,"."&amp;V$2&amp;V$1&amp;"P"&amp;$A46)="N/A",0,RTD("tos.rtd",,$A$2,"."&amp;V$2&amp;V$1&amp;"P"&amp;$A46))))))))))</f>
        <v>0</v>
      </c>
      <c r="W46" s="12">
        <f ca="1">IF($A$2="PREMIUM_OI",IFERROR(IF($X$1="ABS",(100*RTD("tos.rtd",,"OPEN_INT","."&amp;W$2&amp;W$1&amp;"C"&amp;$A46)*RTD("tos.rtd",,"LAST","."&amp;W$2&amp;W$1&amp;"C"&amp;$A46)+100*RTD("tos.rtd",,"OPEN_INT","."&amp;W$2&amp;W$1&amp;"P"&amp;$A46)*RTD("tos.rtd",,"LAST","."&amp;W$2&amp;W$1&amp;"P"&amp;$A46))/1000000,(100*RTD("tos.rtd",,"OPEN_INT","."&amp;W$2&amp;W$1&amp;"C"&amp;$A46)*RTD("tos.rtd",,"LAST","."&amp;W$2&amp;W$1&amp;"C"&amp;$A46)-100*RTD("tos.rtd",,"OPEN_INT","."&amp;W$2&amp;W$1&amp;"P"&amp;$A46)*RTD("tos.rtd",,"LAST","."&amp;W$2&amp;W$1&amp;"P"&amp;$A46))/1000000),0),IF($A$2="PREMIUM",IFERROR(IF($X$1="ABS",(100*RTD("tos.rtd",,"VOLUME","."&amp;W$2&amp;W$1&amp;"C"&amp;$A46)*RTD("tos.rtd",,"LAST","."&amp;W$2&amp;W$1&amp;"C"&amp;$A46)+100*RTD("tos.rtd",,"VOLUME","."&amp;W$2&amp;W$1&amp;"P"&amp;$A46)*RTD("tos.rtd",,"LAST","."&amp;W$2&amp;W$1&amp;"P"&amp;$A46))/1000000,(100*RTD("tos.rtd",,"VOLUME","."&amp;W$2&amp;W$1&amp;"C"&amp;$A46)*RTD("tos.rtd",,"LAST","."&amp;W$2&amp;W$1&amp;"C"&amp;$A46)-100*RTD("tos.rtd",,"VOLUME","."&amp;W$2&amp;W$1&amp;"P"&amp;$A46)*RTD("tos.rtd",,"LAST","."&amp;W$2&amp;W$1&amp;"P"&amp;$A46))/1000000),0),IF($A$2="DEX",IFERROR(IF($X$1="ABS",(100*RTD("tos.rtd",,"OPEN_INT","."&amp;W$2&amp;W$1&amp;"C"&amp;$A46)*RTD("tos.rtd",,"DELTA","."&amp;W$2&amp;W$1&amp;"C"&amp;$A46)+100*RTD("tos.rtd",,"OPEN_INT","."&amp;W$2&amp;W$1&amp;"P"&amp;$A46)*RTD("tos.rtd",,"DELTA","."&amp;W$2&amp;W$1&amp;"P"&amp;$A46))/1000,(100*RTD("tos.rtd",,"OPEN_INT","."&amp;W$2&amp;W$1&amp;"C"&amp;$A46)*RTD("tos.rtd",,"DELTA","."&amp;W$2&amp;W$1&amp;"C"&amp;$A46)-100*RTD("tos.rtd",,"OPEN_INT","."&amp;W$2&amp;W$1&amp;"P"&amp;$A46)*RTD("tos.rtd",,"DELTA","."&amp;W$2&amp;W$1&amp;"P"&amp;$A46))/1000),0),IF($A$2="VEX",IFERROR(IF($X$1="ABS",($A$4*$A$4*RTD("tos.rtd",,"VOLUME","."&amp;W$2&amp;W$1&amp;"C"&amp;$A46)*RTD("tos.rtd",,"GAMMA","."&amp;W$2&amp;W$1&amp;"C"&amp;$A46)+$A$4*$A$4*RTD("tos.rtd",,"VOLUME","."&amp;W$2&amp;W$1&amp;"P"&amp;$A46)*RTD("tos.rtd",,"GAMMA","."&amp;W$2&amp;W$1&amp;"P"&amp;$A46))/1000000,($A$4*$A$4*RTD("tos.rtd",,"VOLUME","."&amp;W$2&amp;W$1&amp;"C"&amp;$A46)*RTD("tos.rtd",,"GAMMA","."&amp;W$2&amp;W$1&amp;"C"&amp;$A46)-$A$4*$A$4*RTD("tos.rtd",,"VOLUME","."&amp;W$2&amp;W$1&amp;"P"&amp;$A46)*RTD("tos.rtd",,"GAMMA","."&amp;W$2&amp;W$1&amp;"P"&amp;$A46))/1000000),0),IF($A$2="GEX",IFERROR(IF($X$1="ABS",($A$4*$A$4*RTD("tos.rtd",,"OPEN_INT","."&amp;W$2&amp;W$1&amp;"C"&amp;$A46)*RTD("tos.rtd",,"GAMMA","."&amp;W$2&amp;W$1&amp;"C"&amp;$A46)+$A$4*$A$4*RTD("tos.rtd",,"OPEN_INT","."&amp;W$2&amp;W$1&amp;"P"&amp;$A46)*RTD("tos.rtd",,"GAMMA","."&amp;W$2&amp;W$1&amp;"P"&amp;$A46))/1000000,($A$4*$A$4*RTD("tos.rtd",,"OPEN_INT","."&amp;W$2&amp;W$1&amp;"C"&amp;$A46)*RTD("tos.rtd",,"GAMMA","."&amp;W$2&amp;W$1&amp;"C"&amp;$A46)-$A$4*$A$4*RTD("tos.rtd",,"OPEN_INT","."&amp;W$2&amp;W$1&amp;"P"&amp;$A46)*RTD("tos.rtd",,"GAMMA","."&amp;W$2&amp;W$1&amp;"P"&amp;$A46))/1000000),0),IF($A$2="SKEW",IFERROR(VALUE(IF(RTD("tos.rtd",,"IMPL_VOL","."&amp;W$2&amp;W$1&amp;"P"&amp;$A46)="N/A",0,RTD("tos.rtd",,"IMPL_VOL","."&amp;W$2&amp;W$1&amp;"P"&amp;$A46))),0)-IFERROR(VALUE(IF(RTD("tos.rtd",,"IMPL_VOL","."&amp;W$2&amp;W$1&amp;"C"&amp;$A46)="N/A",0,RTD("tos.rtd",,"IMPL_VOL","."&amp;W$2&amp;W$1&amp;"C"&amp;$A46))),0),IF($A$2="MAXPAIN",IF($A$4&gt;$A46,($A$4-$A46)*IF(RTD("tos.rtd",,"OPEN_INT","."&amp;W$2&amp;W$1&amp;"C"&amp;$A46)="N/A",0,RTD("tos.rtd",,"OPEN_INT","."&amp;W$2&amp;W$1&amp;"C"&amp;$A46)),0)+IF($A$4&lt;$A46,($A$5-$A$4)*IF(RTD("tos.rtd",,"OPEN_INT","."&amp;W$2&amp;W$1&amp;"P"&amp;$A46)="N/A",0,RTD("tos.rtd",,"OPEN_INT","."&amp;W$2&amp;W$1&amp;"P"&amp;$A46)),0),IF($X$1="ABS",IF(RTD("tos.rtd",,$A$2,"."&amp;W$2&amp;W$1&amp;"C"&amp;$A46)="N/A",0,RTD("tos.rtd",,$A$2,"."&amp;W$2&amp;W$1&amp;"C"&amp;$A46))+IF(RTD("tos.rtd",,$A$2,"."&amp;W$2&amp;W$1&amp;"P"&amp;$A46)="N/A",0,RTD("tos.rtd",,$A$2,"."&amp;W$2&amp;W$1&amp;"P"&amp;$A46)),IF(RTD("tos.rtd",,$A$2,"."&amp;W$2&amp;W$1&amp;"C"&amp;$A46)="N/A",0,RTD("tos.rtd",,$A$2,"."&amp;W$2&amp;W$1&amp;"C"&amp;$A46))-IF(RTD("tos.rtd",,$A$2,"."&amp;W$2&amp;W$1&amp;"P"&amp;$A46)="N/A",0,RTD("tos.rtd",,$A$2,"."&amp;W$2&amp;W$1&amp;"P"&amp;$A46))))))))))</f>
        <v>0</v>
      </c>
      <c r="X46" s="57">
        <f t="shared" ca="1" si="7"/>
        <v>-32606</v>
      </c>
      <c r="Y46" s="27">
        <f t="shared" ca="1" si="8"/>
        <v>-32606</v>
      </c>
      <c r="Z46" s="27" t="b">
        <f t="shared" ca="1" si="9"/>
        <v>0</v>
      </c>
      <c r="AA46" s="27">
        <f t="shared" si="10"/>
        <v>45403550</v>
      </c>
      <c r="AB46" s="18">
        <f>MAX(0, $A46-AB$4)*IF(RTD("tos.rtd",,"OPEN_INT","."&amp;$AA$3&amp;$AA$4&amp;"C"&amp;AB$4)="N/A",0,RTD("tos.rtd",,"OPEN_INT","."&amp;$AA$3&amp;$AA$4&amp;"C"&amp;AB$4))*100 + MAX(0, AB$4-$A46)*IF(RTD("tos.rtd",,"OPEN_INT","."&amp;$AA$3&amp;$AA$4&amp;"P"&amp;AB$4)="N/A",0,RTD("tos.rtd",,"OPEN_INT","."&amp;$AA$3&amp;$AA$4&amp;"P"&amp;AB$4))*100</f>
        <v>0</v>
      </c>
      <c r="AC46" s="18">
        <f>MAX(0, $A46-AC$4)*IF(RTD("tos.rtd",,"OPEN_INT","."&amp;$AA$3&amp;$AA$4&amp;"C"&amp;AC$4)="N/A",0,RTD("tos.rtd",,"OPEN_INT","."&amp;$AA$3&amp;$AA$4&amp;"C"&amp;AC$4))*100 + MAX(0, AC$4-$A46)*IF(RTD("tos.rtd",,"OPEN_INT","."&amp;$AA$3&amp;$AA$4&amp;"P"&amp;AC$4)="N/A",0,RTD("tos.rtd",,"OPEN_INT","."&amp;$AA$3&amp;$AA$4&amp;"P"&amp;AC$4))*100</f>
        <v>0</v>
      </c>
      <c r="AD46" s="18">
        <f>MAX(0, $A46-AD$4)*IF(RTD("tos.rtd",,"OPEN_INT","."&amp;$AA$3&amp;$AA$4&amp;"C"&amp;AD$4)="N/A",0,RTD("tos.rtd",,"OPEN_INT","."&amp;$AA$3&amp;$AA$4&amp;"C"&amp;AD$4))*100 + MAX(0, AD$4-$A46)*IF(RTD("tos.rtd",,"OPEN_INT","."&amp;$AA$3&amp;$AA$4&amp;"P"&amp;AD$4)="N/A",0,RTD("tos.rtd",,"OPEN_INT","."&amp;$AA$3&amp;$AA$4&amp;"P"&amp;AD$4))*100</f>
        <v>0</v>
      </c>
      <c r="AE46" s="18">
        <f>MAX(0, $A46-AE$4)*IF(RTD("tos.rtd",,"OPEN_INT","."&amp;$AA$3&amp;$AA$4&amp;"C"&amp;AE$4)="N/A",0,RTD("tos.rtd",,"OPEN_INT","."&amp;$AA$3&amp;$AA$4&amp;"C"&amp;AE$4))*100 + MAX(0, AE$4-$A46)*IF(RTD("tos.rtd",,"OPEN_INT","."&amp;$AA$3&amp;$AA$4&amp;"P"&amp;AE$4)="N/A",0,RTD("tos.rtd",,"OPEN_INT","."&amp;$AA$3&amp;$AA$4&amp;"P"&amp;AE$4))*100</f>
        <v>0</v>
      </c>
      <c r="AF46" s="18">
        <f>MAX(0, $A46-AF$4)*IF(RTD("tos.rtd",,"OPEN_INT","."&amp;$AA$3&amp;$AA$4&amp;"C"&amp;AF$4)="N/A",0,RTD("tos.rtd",,"OPEN_INT","."&amp;$AA$3&amp;$AA$4&amp;"C"&amp;AF$4))*100 + MAX(0, AF$4-$A46)*IF(RTD("tos.rtd",,"OPEN_INT","."&amp;$AA$3&amp;$AA$4&amp;"P"&amp;AF$4)="N/A",0,RTD("tos.rtd",,"OPEN_INT","."&amp;$AA$3&amp;$AA$4&amp;"P"&amp;AF$4))*100</f>
        <v>0</v>
      </c>
      <c r="AG46" s="18">
        <f>MAX(0, $A46-AG$4)*IF(RTD("tos.rtd",,"OPEN_INT","."&amp;$AA$3&amp;$AA$4&amp;"C"&amp;AG$4)="N/A",0,RTD("tos.rtd",,"OPEN_INT","."&amp;$AA$3&amp;$AA$4&amp;"C"&amp;AG$4))*100 + MAX(0, AG$4-$A46)*IF(RTD("tos.rtd",,"OPEN_INT","."&amp;$AA$3&amp;$AA$4&amp;"P"&amp;AG$4)="N/A",0,RTD("tos.rtd",,"OPEN_INT","."&amp;$AA$3&amp;$AA$4&amp;"P"&amp;AG$4))*100</f>
        <v>0</v>
      </c>
      <c r="AH46" s="18">
        <f>MAX(0, $A46-AH$4)*IF(RTD("tos.rtd",,"OPEN_INT","."&amp;$AA$3&amp;$AA$4&amp;"C"&amp;AH$4)="N/A",0,RTD("tos.rtd",,"OPEN_INT","."&amp;$AA$3&amp;$AA$4&amp;"C"&amp;AH$4))*100 + MAX(0, AH$4-$A46)*IF(RTD("tos.rtd",,"OPEN_INT","."&amp;$AA$3&amp;$AA$4&amp;"P"&amp;AH$4)="N/A",0,RTD("tos.rtd",,"OPEN_INT","."&amp;$AA$3&amp;$AA$4&amp;"P"&amp;AH$4))*100</f>
        <v>0</v>
      </c>
      <c r="AI46" s="18">
        <f>MAX(0, $A46-AI$4)*IF(RTD("tos.rtd",,"OPEN_INT","."&amp;$AA$3&amp;$AA$4&amp;"C"&amp;AI$4)="N/A",0,RTD("tos.rtd",,"OPEN_INT","."&amp;$AA$3&amp;$AA$4&amp;"C"&amp;AI$4))*100 + MAX(0, AI$4-$A46)*IF(RTD("tos.rtd",,"OPEN_INT","."&amp;$AA$3&amp;$AA$4&amp;"P"&amp;AI$4)="N/A",0,RTD("tos.rtd",,"OPEN_INT","."&amp;$AA$3&amp;$AA$4&amp;"P"&amp;AI$4))*100</f>
        <v>5100</v>
      </c>
      <c r="AJ46" s="18">
        <f>MAX(0, $A46-AJ$4)*IF(RTD("tos.rtd",,"OPEN_INT","."&amp;$AA$3&amp;$AA$4&amp;"C"&amp;AJ$4)="N/A",0,RTD("tos.rtd",,"OPEN_INT","."&amp;$AA$3&amp;$AA$4&amp;"C"&amp;AJ$4))*100 + MAX(0, AJ$4-$A46)*IF(RTD("tos.rtd",,"OPEN_INT","."&amp;$AA$3&amp;$AA$4&amp;"P"&amp;AJ$4)="N/A",0,RTD("tos.rtd",,"OPEN_INT","."&amp;$AA$3&amp;$AA$4&amp;"P"&amp;AJ$4))*100</f>
        <v>13200</v>
      </c>
      <c r="AK46" s="18">
        <f>MAX(0, $A46-AK$4)*IF(RTD("tos.rtd",,"OPEN_INT","."&amp;$AA$3&amp;$AA$4&amp;"C"&amp;AK$4)="N/A",0,RTD("tos.rtd",,"OPEN_INT","."&amp;$AA$3&amp;$AA$4&amp;"C"&amp;AK$4))*100 + MAX(0, AK$4-$A46)*IF(RTD("tos.rtd",,"OPEN_INT","."&amp;$AA$3&amp;$AA$4&amp;"P"&amp;AK$4)="N/A",0,RTD("tos.rtd",,"OPEN_INT","."&amp;$AA$3&amp;$AA$4&amp;"P"&amp;AK$4))*100</f>
        <v>0</v>
      </c>
      <c r="AL46" s="18">
        <f>MAX(0, $A46-AL$4)*IF(RTD("tos.rtd",,"OPEN_INT","."&amp;$AA$3&amp;$AA$4&amp;"C"&amp;AL$4)="N/A",0,RTD("tos.rtd",,"OPEN_INT","."&amp;$AA$3&amp;$AA$4&amp;"C"&amp;AL$4))*100 + MAX(0, AL$4-$A46)*IF(RTD("tos.rtd",,"OPEN_INT","."&amp;$AA$3&amp;$AA$4&amp;"P"&amp;AL$4)="N/A",0,RTD("tos.rtd",,"OPEN_INT","."&amp;$AA$3&amp;$AA$4&amp;"P"&amp;AL$4))*100</f>
        <v>0</v>
      </c>
      <c r="AM46" s="18">
        <f>MAX(0, $A46-AM$4)*IF(RTD("tos.rtd",,"OPEN_INT","."&amp;$AA$3&amp;$AA$4&amp;"C"&amp;AM$4)="N/A",0,RTD("tos.rtd",,"OPEN_INT","."&amp;$AA$3&amp;$AA$4&amp;"C"&amp;AM$4))*100 + MAX(0, AM$4-$A46)*IF(RTD("tos.rtd",,"OPEN_INT","."&amp;$AA$3&amp;$AA$4&amp;"P"&amp;AM$4)="N/A",0,RTD("tos.rtd",,"OPEN_INT","."&amp;$AA$3&amp;$AA$4&amp;"P"&amp;AM$4))*100</f>
        <v>0</v>
      </c>
      <c r="AN46" s="18">
        <f>MAX(0, $A46-AN$4)*IF(RTD("tos.rtd",,"OPEN_INT","."&amp;$AA$3&amp;$AA$4&amp;"C"&amp;AN$4)="N/A",0,RTD("tos.rtd",,"OPEN_INT","."&amp;$AA$3&amp;$AA$4&amp;"C"&amp;AN$4))*100 + MAX(0, AN$4-$A46)*IF(RTD("tos.rtd",,"OPEN_INT","."&amp;$AA$3&amp;$AA$4&amp;"P"&amp;AN$4)="N/A",0,RTD("tos.rtd",,"OPEN_INT","."&amp;$AA$3&amp;$AA$4&amp;"P"&amp;AN$4))*100</f>
        <v>0</v>
      </c>
      <c r="AO46" s="18">
        <f>MAX(0, $A46-AO$4)*IF(RTD("tos.rtd",,"OPEN_INT","."&amp;$AA$3&amp;$AA$4&amp;"C"&amp;AO$4)="N/A",0,RTD("tos.rtd",,"OPEN_INT","."&amp;$AA$3&amp;$AA$4&amp;"C"&amp;AO$4))*100 + MAX(0, AO$4-$A46)*IF(RTD("tos.rtd",,"OPEN_INT","."&amp;$AA$3&amp;$AA$4&amp;"P"&amp;AO$4)="N/A",0,RTD("tos.rtd",,"OPEN_INT","."&amp;$AA$3&amp;$AA$4&amp;"P"&amp;AO$4))*100</f>
        <v>168000</v>
      </c>
      <c r="AP46" s="18">
        <f>MAX(0, $A46-AP$4)*IF(RTD("tos.rtd",,"OPEN_INT","."&amp;$AA$3&amp;$AA$4&amp;"C"&amp;AP$4)="N/A",0,RTD("tos.rtd",,"OPEN_INT","."&amp;$AA$3&amp;$AA$4&amp;"C"&amp;AP$4))*100 + MAX(0, AP$4-$A46)*IF(RTD("tos.rtd",,"OPEN_INT","."&amp;$AA$3&amp;$AA$4&amp;"P"&amp;AP$4)="N/A",0,RTD("tos.rtd",,"OPEN_INT","."&amp;$AA$3&amp;$AA$4&amp;"P"&amp;AP$4))*100</f>
        <v>0</v>
      </c>
      <c r="AQ46" s="18">
        <f>MAX(0, $A46-AQ$4)*IF(RTD("tos.rtd",,"OPEN_INT","."&amp;$AA$3&amp;$AA$4&amp;"C"&amp;AQ$4)="N/A",0,RTD("tos.rtd",,"OPEN_INT","."&amp;$AA$3&amp;$AA$4&amp;"C"&amp;AQ$4))*100 + MAX(0, AQ$4-$A46)*IF(RTD("tos.rtd",,"OPEN_INT","."&amp;$AA$3&amp;$AA$4&amp;"P"&amp;AQ$4)="N/A",0,RTD("tos.rtd",,"OPEN_INT","."&amp;$AA$3&amp;$AA$4&amp;"P"&amp;AQ$4))*100</f>
        <v>68900</v>
      </c>
      <c r="AR46" s="18">
        <f>MAX(0, $A46-AR$4)*IF(RTD("tos.rtd",,"OPEN_INT","."&amp;$AA$3&amp;$AA$4&amp;"C"&amp;AR$4)="N/A",0,RTD("tos.rtd",,"OPEN_INT","."&amp;$AA$3&amp;$AA$4&amp;"C"&amp;AR$4))*100 + MAX(0, AR$4-$A46)*IF(RTD("tos.rtd",,"OPEN_INT","."&amp;$AA$3&amp;$AA$4&amp;"P"&amp;AR$4)="N/A",0,RTD("tos.rtd",,"OPEN_INT","."&amp;$AA$3&amp;$AA$4&amp;"P"&amp;AR$4))*100</f>
        <v>7500</v>
      </c>
      <c r="AS46" s="18">
        <f>MAX(0, $A46-AS$4)*IF(RTD("tos.rtd",,"OPEN_INT","."&amp;$AA$3&amp;$AA$4&amp;"C"&amp;AS$4)="N/A",0,RTD("tos.rtd",,"OPEN_INT","."&amp;$AA$3&amp;$AA$4&amp;"C"&amp;AS$4))*100 + MAX(0, AS$4-$A46)*IF(RTD("tos.rtd",,"OPEN_INT","."&amp;$AA$3&amp;$AA$4&amp;"P"&amp;AS$4)="N/A",0,RTD("tos.rtd",,"OPEN_INT","."&amp;$AA$3&amp;$AA$4&amp;"P"&amp;AS$4))*100</f>
        <v>74400</v>
      </c>
      <c r="AT46" s="18">
        <f>MAX(0, $A46-AT$4)*IF(RTD("tos.rtd",,"OPEN_INT","."&amp;$AA$3&amp;$AA$4&amp;"C"&amp;AT$4)="N/A",0,RTD("tos.rtd",,"OPEN_INT","."&amp;$AA$3&amp;$AA$4&amp;"C"&amp;AT$4))*100 + MAX(0, AT$4-$A46)*IF(RTD("tos.rtd",,"OPEN_INT","."&amp;$AA$3&amp;$AA$4&amp;"P"&amp;AT$4)="N/A",0,RTD("tos.rtd",,"OPEN_INT","."&amp;$AA$3&amp;$AA$4&amp;"P"&amp;AT$4))*100</f>
        <v>80500</v>
      </c>
      <c r="AU46" s="18">
        <f>MAX(0, $A46-AU$4)*IF(RTD("tos.rtd",,"OPEN_INT","."&amp;$AA$3&amp;$AA$4&amp;"C"&amp;AU$4)="N/A",0,RTD("tos.rtd",,"OPEN_INT","."&amp;$AA$3&amp;$AA$4&amp;"C"&amp;AU$4))*100 + MAX(0, AU$4-$A46)*IF(RTD("tos.rtd",,"OPEN_INT","."&amp;$AA$3&amp;$AA$4&amp;"P"&amp;AU$4)="N/A",0,RTD("tos.rtd",,"OPEN_INT","."&amp;$AA$3&amp;$AA$4&amp;"P"&amp;AU$4))*100</f>
        <v>44000</v>
      </c>
      <c r="AV46" s="18">
        <f>MAX(0, $A46-AV$4)*IF(RTD("tos.rtd",,"OPEN_INT","."&amp;$AA$3&amp;$AA$4&amp;"C"&amp;AV$4)="N/A",0,RTD("tos.rtd",,"OPEN_INT","."&amp;$AA$3&amp;$AA$4&amp;"C"&amp;AV$4))*100 + MAX(0, AV$4-$A46)*IF(RTD("tos.rtd",,"OPEN_INT","."&amp;$AA$3&amp;$AA$4&amp;"P"&amp;AV$4)="N/A",0,RTD("tos.rtd",,"OPEN_INT","."&amp;$AA$3&amp;$AA$4&amp;"P"&amp;AV$4))*100</f>
        <v>169050</v>
      </c>
      <c r="AW46" s="18">
        <f>MAX(0, $A46-AW$4)*IF(RTD("tos.rtd",,"OPEN_INT","."&amp;$AA$3&amp;$AA$4&amp;"C"&amp;AW$4)="N/A",0,RTD("tos.rtd",,"OPEN_INT","."&amp;$AA$3&amp;$AA$4&amp;"C"&amp;AW$4))*100 + MAX(0, AW$4-$A46)*IF(RTD("tos.rtd",,"OPEN_INT","."&amp;$AA$3&amp;$AA$4&amp;"P"&amp;AW$4)="N/A",0,RTD("tos.rtd",,"OPEN_INT","."&amp;$AA$3&amp;$AA$4&amp;"P"&amp;AW$4))*100</f>
        <v>202000</v>
      </c>
      <c r="AX46" s="18">
        <f>MAX(0, $A46-AX$4)*IF(RTD("tos.rtd",,"OPEN_INT","."&amp;$AA$3&amp;$AA$4&amp;"C"&amp;AX$4)="N/A",0,RTD("tos.rtd",,"OPEN_INT","."&amp;$AA$3&amp;$AA$4&amp;"C"&amp;AX$4))*100 + MAX(0, AX$4-$A46)*IF(RTD("tos.rtd",,"OPEN_INT","."&amp;$AA$3&amp;$AA$4&amp;"P"&amp;AX$4)="N/A",0,RTD("tos.rtd",,"OPEN_INT","."&amp;$AA$3&amp;$AA$4&amp;"P"&amp;AX$4))*100</f>
        <v>234650</v>
      </c>
      <c r="AY46" s="18">
        <f>MAX(0, $A46-AY$4)*IF(RTD("tos.rtd",,"OPEN_INT","."&amp;$AA$3&amp;$AA$4&amp;"C"&amp;AY$4)="N/A",0,RTD("tos.rtd",,"OPEN_INT","."&amp;$AA$3&amp;$AA$4&amp;"C"&amp;AY$4))*100 + MAX(0, AY$4-$A46)*IF(RTD("tos.rtd",,"OPEN_INT","."&amp;$AA$3&amp;$AA$4&amp;"P"&amp;AY$4)="N/A",0,RTD("tos.rtd",,"OPEN_INT","."&amp;$AA$3&amp;$AA$4&amp;"P"&amp;AY$4))*100</f>
        <v>1866600</v>
      </c>
      <c r="AZ46" s="18">
        <f>MAX(0, $A46-AZ$4)*IF(RTD("tos.rtd",,"OPEN_INT","."&amp;$AA$3&amp;$AA$4&amp;"C"&amp;AZ$4)="N/A",0,RTD("tos.rtd",,"OPEN_INT","."&amp;$AA$3&amp;$AA$4&amp;"C"&amp;AZ$4))*100 + MAX(0, AZ$4-$A46)*IF(RTD("tos.rtd",,"OPEN_INT","."&amp;$AA$3&amp;$AA$4&amp;"P"&amp;AZ$4)="N/A",0,RTD("tos.rtd",,"OPEN_INT","."&amp;$AA$3&amp;$AA$4&amp;"P"&amp;AZ$4))*100</f>
        <v>482800</v>
      </c>
      <c r="BA46" s="18">
        <f>MAX(0, $A46-BA$4)*IF(RTD("tos.rtd",,"OPEN_INT","."&amp;$AA$3&amp;$AA$4&amp;"C"&amp;BA$4)="N/A",0,RTD("tos.rtd",,"OPEN_INT","."&amp;$AA$3&amp;$AA$4&amp;"C"&amp;BA$4))*100 + MAX(0, BA$4-$A46)*IF(RTD("tos.rtd",,"OPEN_INT","."&amp;$AA$3&amp;$AA$4&amp;"P"&amp;BA$4)="N/A",0,RTD("tos.rtd",,"OPEN_INT","."&amp;$AA$3&amp;$AA$4&amp;"P"&amp;BA$4))*100</f>
        <v>1872000</v>
      </c>
      <c r="BB46" s="18">
        <f>MAX(0, $A46-BB$4)*IF(RTD("tos.rtd",,"OPEN_INT","."&amp;$AA$3&amp;$AA$4&amp;"C"&amp;BB$4)="N/A",0,RTD("tos.rtd",,"OPEN_INT","."&amp;$AA$3&amp;$AA$4&amp;"C"&amp;BB$4))*100 + MAX(0, BB$4-$A46)*IF(RTD("tos.rtd",,"OPEN_INT","."&amp;$AA$3&amp;$AA$4&amp;"P"&amp;BB$4)="N/A",0,RTD("tos.rtd",,"OPEN_INT","."&amp;$AA$3&amp;$AA$4&amp;"P"&amp;BB$4))*100</f>
        <v>1713000</v>
      </c>
      <c r="BC46" s="18">
        <f>MAX(0, $A46-BC$4)*IF(RTD("tos.rtd",,"OPEN_INT","."&amp;$AA$3&amp;$AA$4&amp;"C"&amp;BC$4)="N/A",0,RTD("tos.rtd",,"OPEN_INT","."&amp;$AA$3&amp;$AA$4&amp;"C"&amp;BC$4))*100 + MAX(0, BC$4-$A46)*IF(RTD("tos.rtd",,"OPEN_INT","."&amp;$AA$3&amp;$AA$4&amp;"P"&amp;BC$4)="N/A",0,RTD("tos.rtd",,"OPEN_INT","."&amp;$AA$3&amp;$AA$4&amp;"P"&amp;BC$4))*100</f>
        <v>5355700</v>
      </c>
      <c r="BD46" s="18">
        <f>MAX(0, $A46-BD$4)*IF(RTD("tos.rtd",,"OPEN_INT","."&amp;$AA$3&amp;$AA$4&amp;"C"&amp;BD$4)="N/A",0,RTD("tos.rtd",,"OPEN_INT","."&amp;$AA$3&amp;$AA$4&amp;"C"&amp;BD$4))*100 + MAX(0, BD$4-$A46)*IF(RTD("tos.rtd",,"OPEN_INT","."&amp;$AA$3&amp;$AA$4&amp;"P"&amp;BD$4)="N/A",0,RTD("tos.rtd",,"OPEN_INT","."&amp;$AA$3&amp;$AA$4&amp;"P"&amp;BD$4))*100</f>
        <v>6383650</v>
      </c>
      <c r="BE46" s="18">
        <f>MAX(0, $A46-BE$4)*IF(RTD("tos.rtd",,"OPEN_INT","."&amp;$AA$3&amp;$AA$4&amp;"C"&amp;BE$4)="N/A",0,RTD("tos.rtd",,"OPEN_INT","."&amp;$AA$3&amp;$AA$4&amp;"C"&amp;BE$4))*100 + MAX(0, BE$4-$A46)*IF(RTD("tos.rtd",,"OPEN_INT","."&amp;$AA$3&amp;$AA$4&amp;"P"&amp;BE$4)="N/A",0,RTD("tos.rtd",,"OPEN_INT","."&amp;$AA$3&amp;$AA$4&amp;"P"&amp;BE$4))*100</f>
        <v>6669600</v>
      </c>
      <c r="BF46" s="18">
        <f>MAX(0, $A46-BF$4)*IF(RTD("tos.rtd",,"OPEN_INT","."&amp;$AA$3&amp;$AA$4&amp;"C"&amp;BF$4)="N/A",0,RTD("tos.rtd",,"OPEN_INT","."&amp;$AA$3&amp;$AA$4&amp;"C"&amp;BF$4))*100 + MAX(0, BF$4-$A46)*IF(RTD("tos.rtd",,"OPEN_INT","."&amp;$AA$3&amp;$AA$4&amp;"P"&amp;BF$4)="N/A",0,RTD("tos.rtd",,"OPEN_INT","."&amp;$AA$3&amp;$AA$4&amp;"P"&amp;BF$4))*100</f>
        <v>7649950</v>
      </c>
      <c r="BG46" s="18">
        <f>MAX(0, $A46-BG$4)*IF(RTD("tos.rtd",,"OPEN_INT","."&amp;$AA$3&amp;$AA$4&amp;"C"&amp;BG$4)="N/A",0,RTD("tos.rtd",,"OPEN_INT","."&amp;$AA$3&amp;$AA$4&amp;"C"&amp;BG$4))*100 + MAX(0, BG$4-$A46)*IF(RTD("tos.rtd",,"OPEN_INT","."&amp;$AA$3&amp;$AA$4&amp;"P"&amp;BG$4)="N/A",0,RTD("tos.rtd",,"OPEN_INT","."&amp;$AA$3&amp;$AA$4&amp;"P"&amp;BG$4))*100</f>
        <v>4537500</v>
      </c>
      <c r="BH46" s="18">
        <f>MAX(0, $A46-BH$4)*IF(RTD("tos.rtd",,"OPEN_INT","."&amp;$AA$3&amp;$AA$4&amp;"C"&amp;BH$4)="N/A",0,RTD("tos.rtd",,"OPEN_INT","."&amp;$AA$3&amp;$AA$4&amp;"C"&amp;BH$4))*100 + MAX(0, BH$4-$A46)*IF(RTD("tos.rtd",,"OPEN_INT","."&amp;$AA$3&amp;$AA$4&amp;"P"&amp;BH$4)="N/A",0,RTD("tos.rtd",,"OPEN_INT","."&amp;$AA$3&amp;$AA$4&amp;"P"&amp;BH$4))*100</f>
        <v>2890350</v>
      </c>
      <c r="BI46" s="18">
        <f>MAX(0, $A46-BI$4)*IF(RTD("tos.rtd",,"OPEN_INT","."&amp;$AA$3&amp;$AA$4&amp;"C"&amp;BI$4)="N/A",0,RTD("tos.rtd",,"OPEN_INT","."&amp;$AA$3&amp;$AA$4&amp;"C"&amp;BI$4))*100 + MAX(0, BI$4-$A46)*IF(RTD("tos.rtd",,"OPEN_INT","."&amp;$AA$3&amp;$AA$4&amp;"P"&amp;BI$4)="N/A",0,RTD("tos.rtd",,"OPEN_INT","."&amp;$AA$3&amp;$AA$4&amp;"P"&amp;BI$4))*100</f>
        <v>3210000</v>
      </c>
      <c r="BJ46" s="18">
        <f>MAX(0, $A46-BJ$4)*IF(RTD("tos.rtd",,"OPEN_INT","."&amp;$AA$3&amp;$AA$4&amp;"C"&amp;BJ$4)="N/A",0,RTD("tos.rtd",,"OPEN_INT","."&amp;$AA$3&amp;$AA$4&amp;"C"&amp;BJ$4))*100 + MAX(0, BJ$4-$A46)*IF(RTD("tos.rtd",,"OPEN_INT","."&amp;$AA$3&amp;$AA$4&amp;"P"&amp;BJ$4)="N/A",0,RTD("tos.rtd",,"OPEN_INT","."&amp;$AA$3&amp;$AA$4&amp;"P"&amp;BJ$4))*100</f>
        <v>764050</v>
      </c>
      <c r="BK46" s="18">
        <f>MAX(0, $A46-BK$4)*IF(RTD("tos.rtd",,"OPEN_INT","."&amp;$AA$3&amp;$AA$4&amp;"C"&amp;BK$4)="N/A",0,RTD("tos.rtd",,"OPEN_INT","."&amp;$AA$3&amp;$AA$4&amp;"C"&amp;BK$4))*100 + MAX(0, BK$4-$A46)*IF(RTD("tos.rtd",,"OPEN_INT","."&amp;$AA$3&amp;$AA$4&amp;"P"&amp;BK$4)="N/A",0,RTD("tos.rtd",,"OPEN_INT","."&amp;$AA$3&amp;$AA$4&amp;"P"&amp;BK$4))*100</f>
        <v>702000</v>
      </c>
      <c r="BL46" s="18">
        <f>MAX(0, $A46-BL$4)*IF(RTD("tos.rtd",,"OPEN_INT","."&amp;$AA$3&amp;$AA$4&amp;"C"&amp;BL$4)="N/A",0,RTD("tos.rtd",,"OPEN_INT","."&amp;$AA$3&amp;$AA$4&amp;"C"&amp;BL$4))*100 + MAX(0, BL$4-$A46)*IF(RTD("tos.rtd",,"OPEN_INT","."&amp;$AA$3&amp;$AA$4&amp;"P"&amp;BL$4)="N/A",0,RTD("tos.rtd",,"OPEN_INT","."&amp;$AA$3&amp;$AA$4&amp;"P"&amp;BL$4))*100</f>
        <v>98000</v>
      </c>
      <c r="BM46" s="18">
        <f>MAX(0, $A46-BM$4)*IF(RTD("tos.rtd",,"OPEN_INT","."&amp;$AA$3&amp;$AA$4&amp;"C"&amp;BM$4)="N/A",0,RTD("tos.rtd",,"OPEN_INT","."&amp;$AA$3&amp;$AA$4&amp;"C"&amp;BM$4))*100 + MAX(0, BM$4-$A46)*IF(RTD("tos.rtd",,"OPEN_INT","."&amp;$AA$3&amp;$AA$4&amp;"P"&amp;BM$4)="N/A",0,RTD("tos.rtd",,"OPEN_INT","."&amp;$AA$3&amp;$AA$4&amp;"P"&amp;BM$4))*100</f>
        <v>87000</v>
      </c>
      <c r="BN46" s="18">
        <f>MAX(0, $A46-BN$4)*IF(RTD("tos.rtd",,"OPEN_INT","."&amp;$AA$3&amp;$AA$4&amp;"C"&amp;BN$4)="N/A",0,RTD("tos.rtd",,"OPEN_INT","."&amp;$AA$3&amp;$AA$4&amp;"C"&amp;BN$4))*100 + MAX(0, BN$4-$A46)*IF(RTD("tos.rtd",,"OPEN_INT","."&amp;$AA$3&amp;$AA$4&amp;"P"&amp;BN$4)="N/A",0,RTD("tos.rtd",,"OPEN_INT","."&amp;$AA$3&amp;$AA$4&amp;"P"&amp;BN$4))*100</f>
        <v>9450</v>
      </c>
      <c r="BO46" s="18">
        <f>MAX(0, $A46-BO$4)*IF(RTD("tos.rtd",,"OPEN_INT","."&amp;$AA$3&amp;$AA$4&amp;"C"&amp;BO$4)="N/A",0,RTD("tos.rtd",,"OPEN_INT","."&amp;$AA$3&amp;$AA$4&amp;"C"&amp;BO$4))*100 + MAX(0, BO$4-$A46)*IF(RTD("tos.rtd",,"OPEN_INT","."&amp;$AA$3&amp;$AA$4&amp;"P"&amp;BO$4)="N/A",0,RTD("tos.rtd",,"OPEN_INT","."&amp;$AA$3&amp;$AA$4&amp;"P"&amp;BO$4))*100</f>
        <v>44600</v>
      </c>
      <c r="BP46" s="18">
        <f>MAX(0, $A46-BP$4)*IF(RTD("tos.rtd",,"OPEN_INT","."&amp;$AA$3&amp;$AA$4&amp;"C"&amp;BP$4)="N/A",0,RTD("tos.rtd",,"OPEN_INT","."&amp;$AA$3&amp;$AA$4&amp;"C"&amp;BP$4))*100 + MAX(0, BP$4-$A46)*IF(RTD("tos.rtd",,"OPEN_INT","."&amp;$AA$3&amp;$AA$4&amp;"P"&amp;BP$4)="N/A",0,RTD("tos.rtd",,"OPEN_INT","."&amp;$AA$3&amp;$AA$4&amp;"P"&amp;BP$4))*100</f>
        <v>0</v>
      </c>
      <c r="BQ46" s="18">
        <f>MAX(0, $A46-BQ$4)*IF(RTD("tos.rtd",,"OPEN_INT","."&amp;$AA$3&amp;$AA$4&amp;"C"&amp;BQ$4)="N/A",0,RTD("tos.rtd",,"OPEN_INT","."&amp;$AA$3&amp;$AA$4&amp;"C"&amp;BQ$4))*100 + MAX(0, BQ$4-$A46)*IF(RTD("tos.rtd",,"OPEN_INT","."&amp;$AA$3&amp;$AA$4&amp;"P"&amp;BQ$4)="N/A",0,RTD("tos.rtd",,"OPEN_INT","."&amp;$AA$3&amp;$AA$4&amp;"P"&amp;BQ$4))*100</f>
        <v>0</v>
      </c>
      <c r="BR46" s="18">
        <f>MAX(0, $A46-BR$4)*IF(RTD("tos.rtd",,"OPEN_INT","."&amp;$AA$3&amp;$AA$4&amp;"C"&amp;BR$4)="N/A",0,RTD("tos.rtd",,"OPEN_INT","."&amp;$AA$3&amp;$AA$4&amp;"C"&amp;BR$4))*100 + MAX(0, BR$4-$A46)*IF(RTD("tos.rtd",,"OPEN_INT","."&amp;$AA$3&amp;$AA$4&amp;"P"&amp;BR$4)="N/A",0,RTD("tos.rtd",,"OPEN_INT","."&amp;$AA$3&amp;$AA$4&amp;"P"&amp;BR$4))*100</f>
        <v>0</v>
      </c>
      <c r="BS46" s="18">
        <f>MAX(0, $A46-BS$4)*IF(RTD("tos.rtd",,"OPEN_INT","."&amp;$AA$3&amp;$AA$4&amp;"C"&amp;BS$4)="N/A",0,RTD("tos.rtd",,"OPEN_INT","."&amp;$AA$3&amp;$AA$4&amp;"C"&amp;BS$4))*100 + MAX(0, BS$4-$A46)*IF(RTD("tos.rtd",,"OPEN_INT","."&amp;$AA$3&amp;$AA$4&amp;"P"&amp;BS$4)="N/A",0,RTD("tos.rtd",,"OPEN_INT","."&amp;$AA$3&amp;$AA$4&amp;"P"&amp;BS$4))*100</f>
        <v>0</v>
      </c>
      <c r="BT46" s="18">
        <f>MAX(0, $A46-BT$4)*IF(RTD("tos.rtd",,"OPEN_INT","."&amp;$AA$3&amp;$AA$4&amp;"C"&amp;BT$4)="N/A",0,RTD("tos.rtd",,"OPEN_INT","."&amp;$AA$3&amp;$AA$4&amp;"C"&amp;BT$4))*100 + MAX(0, BT$4-$A46)*IF(RTD("tos.rtd",,"OPEN_INT","."&amp;$AA$3&amp;$AA$4&amp;"P"&amp;BT$4)="N/A",0,RTD("tos.rtd",,"OPEN_INT","."&amp;$AA$3&amp;$AA$4&amp;"P"&amp;BT$4))*100</f>
        <v>0</v>
      </c>
      <c r="BU46" s="18">
        <f>MAX(0, $A46-BU$4)*IF(RTD("tos.rtd",,"OPEN_INT","."&amp;$AA$3&amp;$AA$4&amp;"C"&amp;BU$4)="N/A",0,RTD("tos.rtd",,"OPEN_INT","."&amp;$AA$3&amp;$AA$4&amp;"C"&amp;BU$4))*100 + MAX(0, BU$4-$A46)*IF(RTD("tos.rtd",,"OPEN_INT","."&amp;$AA$3&amp;$AA$4&amp;"P"&amp;BU$4)="N/A",0,RTD("tos.rtd",,"OPEN_INT","."&amp;$AA$3&amp;$AA$4&amp;"P"&amp;BU$4))*100</f>
        <v>0</v>
      </c>
      <c r="BV46" s="18">
        <f>MAX(0, $A46-BV$4)*IF(RTD("tos.rtd",,"OPEN_INT","."&amp;$AA$3&amp;$AA$4&amp;"C"&amp;BV$4)="N/A",0,RTD("tos.rtd",,"OPEN_INT","."&amp;$AA$3&amp;$AA$4&amp;"C"&amp;BV$4))*100 + MAX(0, BV$4-$A46)*IF(RTD("tos.rtd",,"OPEN_INT","."&amp;$AA$3&amp;$AA$4&amp;"P"&amp;BV$4)="N/A",0,RTD("tos.rtd",,"OPEN_INT","."&amp;$AA$3&amp;$AA$4&amp;"P"&amp;BV$4))*100</f>
        <v>0</v>
      </c>
    </row>
    <row r="47" spans="1:74" s="19" customFormat="1" ht="11.1" customHeight="1" thickBot="1" x14ac:dyDescent="0.3">
      <c r="A47" s="23">
        <f t="shared" si="11"/>
        <v>0.5</v>
      </c>
      <c r="B47" s="14">
        <f ca="1">IF($A$2="PREMIUM_OI",IFERROR(IF($X$1="ABS",(100*RTD("tos.rtd",,"OPEN_INT","."&amp;B$2&amp;B$1&amp;"C"&amp;$A47)*RTD("tos.rtd",,"LAST","."&amp;B$2&amp;B$1&amp;"C"&amp;$A47)+100*RTD("tos.rtd",,"OPEN_INT","."&amp;B$2&amp;B$1&amp;"P"&amp;$A47)*RTD("tos.rtd",,"LAST","."&amp;B$2&amp;B$1&amp;"P"&amp;$A47))/1000000,(100*RTD("tos.rtd",,"OPEN_INT","."&amp;B$2&amp;B$1&amp;"C"&amp;$A47)*RTD("tos.rtd",,"LAST","."&amp;B$2&amp;B$1&amp;"C"&amp;$A47)-100*RTD("tos.rtd",,"OPEN_INT","."&amp;B$2&amp;B$1&amp;"P"&amp;$A47)*RTD("tos.rtd",,"LAST","."&amp;B$2&amp;B$1&amp;"P"&amp;$A47))/1000000),0),IF($A$2="PREMIUM",IFERROR(IF($X$1="ABS",(100*RTD("tos.rtd",,"VOLUME","."&amp;B$2&amp;B$1&amp;"C"&amp;$A47)*RTD("tos.rtd",,"LAST","."&amp;B$2&amp;B$1&amp;"C"&amp;$A47)+100*RTD("tos.rtd",,"VOLUME","."&amp;B$2&amp;B$1&amp;"P"&amp;$A47)*RTD("tos.rtd",,"LAST","."&amp;B$2&amp;B$1&amp;"P"&amp;$A47))/1000000,(100*RTD("tos.rtd",,"VOLUME","."&amp;B$2&amp;B$1&amp;"C"&amp;$A47)*RTD("tos.rtd",,"LAST","."&amp;B$2&amp;B$1&amp;"C"&amp;$A47)-100*RTD("tos.rtd",,"VOLUME","."&amp;B$2&amp;B$1&amp;"P"&amp;$A47)*RTD("tos.rtd",,"LAST","."&amp;B$2&amp;B$1&amp;"P"&amp;$A47))/1000000),0),IF($A$2="DEX",IFERROR(IF($X$1="ABS",(100*RTD("tos.rtd",,"OPEN_INT","."&amp;B$2&amp;B$1&amp;"C"&amp;$A47)*RTD("tos.rtd",,"DELTA","."&amp;B$2&amp;B$1&amp;"C"&amp;$A47)+100*RTD("tos.rtd",,"OPEN_INT","."&amp;B$2&amp;B$1&amp;"P"&amp;$A47)*RTD("tos.rtd",,"DELTA","."&amp;B$2&amp;B$1&amp;"P"&amp;$A47))/1000,(100*RTD("tos.rtd",,"OPEN_INT","."&amp;B$2&amp;B$1&amp;"C"&amp;$A47)*RTD("tos.rtd",,"DELTA","."&amp;B$2&amp;B$1&amp;"C"&amp;$A47)-100*RTD("tos.rtd",,"OPEN_INT","."&amp;B$2&amp;B$1&amp;"P"&amp;$A47)*RTD("tos.rtd",,"DELTA","."&amp;B$2&amp;B$1&amp;"P"&amp;$A47))/1000),0),IF($A$2="VEX",IFERROR(IF($X$1="ABS",($A$4*$A$4*RTD("tos.rtd",,"VOLUME","."&amp;B$2&amp;B$1&amp;"C"&amp;$A47)*RTD("tos.rtd",,"GAMMA","."&amp;B$2&amp;B$1&amp;"C"&amp;$A47)+$A$4*$A$4*RTD("tos.rtd",,"VOLUME","."&amp;B$2&amp;B$1&amp;"P"&amp;$A47)*RTD("tos.rtd",,"GAMMA","."&amp;B$2&amp;B$1&amp;"P"&amp;$A47))/1000000,($A$4*$A$4*RTD("tos.rtd",,"VOLUME","."&amp;B$2&amp;B$1&amp;"C"&amp;$A47)*RTD("tos.rtd",,"GAMMA","."&amp;B$2&amp;B$1&amp;"C"&amp;$A47)-$A$4*$A$4*RTD("tos.rtd",,"VOLUME","."&amp;B$2&amp;B$1&amp;"P"&amp;$A47)*RTD("tos.rtd",,"GAMMA","."&amp;B$2&amp;B$1&amp;"P"&amp;$A47))/1000000),0),IF($A$2="GEX",IFERROR(IF($X$1="ABS",($A$4*$A$4*RTD("tos.rtd",,"OPEN_INT","."&amp;B$2&amp;B$1&amp;"C"&amp;$A47)*RTD("tos.rtd",,"GAMMA","."&amp;B$2&amp;B$1&amp;"C"&amp;$A47)+$A$4*$A$4*RTD("tos.rtd",,"OPEN_INT","."&amp;B$2&amp;B$1&amp;"P"&amp;$A47)*RTD("tos.rtd",,"GAMMA","."&amp;B$2&amp;B$1&amp;"P"&amp;$A47))/1000000,($A$4*$A$4*RTD("tos.rtd",,"OPEN_INT","."&amp;B$2&amp;B$1&amp;"C"&amp;$A47)*RTD("tos.rtd",,"GAMMA","."&amp;B$2&amp;B$1&amp;"C"&amp;$A47)-$A$4*$A$4*RTD("tos.rtd",,"OPEN_INT","."&amp;B$2&amp;B$1&amp;"P"&amp;$A47)*RTD("tos.rtd",,"GAMMA","."&amp;B$2&amp;B$1&amp;"P"&amp;$A47))/1000000),0),IF($A$2="SKEW",IFERROR(VALUE(IF(RTD("tos.rtd",,"IMPL_VOL","."&amp;B$2&amp;B$1&amp;"P"&amp;$A47)="N/A",0,RTD("tos.rtd",,"IMPL_VOL","."&amp;B$2&amp;B$1&amp;"P"&amp;$A47))),0)-IFERROR(VALUE(IF(RTD("tos.rtd",,"IMPL_VOL","."&amp;B$2&amp;B$1&amp;"C"&amp;$A47)="N/A",0,RTD("tos.rtd",,"IMPL_VOL","."&amp;B$2&amp;B$1&amp;"C"&amp;$A47))),0),IF($A$2="MAXPAIN",IF($A$4&gt;$A47,($A$4-$A47)*IF(RTD("tos.rtd",,"OPEN_INT","."&amp;B$2&amp;B$1&amp;"C"&amp;$A47)="N/A",0,RTD("tos.rtd",,"OPEN_INT","."&amp;B$2&amp;B$1&amp;"C"&amp;$A47)),0)+IF($A$4&lt;$A47,($A$5-$A$4)*IF(RTD("tos.rtd",,"OPEN_INT","."&amp;B$2&amp;B$1&amp;"P"&amp;$A47)="N/A",0,RTD("tos.rtd",,"OPEN_INT","."&amp;B$2&amp;B$1&amp;"P"&amp;$A47)),0),IF($X$1="ABS",IF(RTD("tos.rtd",,$A$2,"."&amp;B$2&amp;B$1&amp;"C"&amp;$A47)="N/A",0,RTD("tos.rtd",,$A$2,"."&amp;B$2&amp;B$1&amp;"C"&amp;$A47))+IF(RTD("tos.rtd",,$A$2,"."&amp;B$2&amp;B$1&amp;"P"&amp;$A47)="N/A",0,RTD("tos.rtd",,$A$2,"."&amp;B$2&amp;B$1&amp;"P"&amp;$A47)),IF(RTD("tos.rtd",,$A$2,"."&amp;B$2&amp;B$1&amp;"C"&amp;$A47)="N/A",0,RTD("tos.rtd",,$A$2,"."&amp;B$2&amp;B$1&amp;"C"&amp;$A47))-IF(RTD("tos.rtd",,$A$2,"."&amp;B$2&amp;B$1&amp;"P"&amp;$A47)="N/A",0,RTD("tos.rtd",,$A$2,"."&amp;B$2&amp;B$1&amp;"P"&amp;$A47))))))))))</f>
        <v>0</v>
      </c>
      <c r="C47" s="12">
        <f ca="1">IF($A$2="PREMIUM_OI",IFERROR(IF($X$1="ABS",(100*RTD("tos.rtd",,"OPEN_INT","."&amp;C$2&amp;C$1&amp;"C"&amp;$A47)*RTD("tos.rtd",,"LAST","."&amp;C$2&amp;C$1&amp;"C"&amp;$A47)+100*RTD("tos.rtd",,"OPEN_INT","."&amp;C$2&amp;C$1&amp;"P"&amp;$A47)*RTD("tos.rtd",,"LAST","."&amp;C$2&amp;C$1&amp;"P"&amp;$A47))/1000000,(100*RTD("tos.rtd",,"OPEN_INT","."&amp;C$2&amp;C$1&amp;"C"&amp;$A47)*RTD("tos.rtd",,"LAST","."&amp;C$2&amp;C$1&amp;"C"&amp;$A47)-100*RTD("tos.rtd",,"OPEN_INT","."&amp;C$2&amp;C$1&amp;"P"&amp;$A47)*RTD("tos.rtd",,"LAST","."&amp;C$2&amp;C$1&amp;"P"&amp;$A47))/1000000),0),IF($A$2="PREMIUM",IFERROR(IF($X$1="ABS",(100*RTD("tos.rtd",,"VOLUME","."&amp;C$2&amp;C$1&amp;"C"&amp;$A47)*RTD("tos.rtd",,"LAST","."&amp;C$2&amp;C$1&amp;"C"&amp;$A47)+100*RTD("tos.rtd",,"VOLUME","."&amp;C$2&amp;C$1&amp;"P"&amp;$A47)*RTD("tos.rtd",,"LAST","."&amp;C$2&amp;C$1&amp;"P"&amp;$A47))/1000000,(100*RTD("tos.rtd",,"VOLUME","."&amp;C$2&amp;C$1&amp;"C"&amp;$A47)*RTD("tos.rtd",,"LAST","."&amp;C$2&amp;C$1&amp;"C"&amp;$A47)-100*RTD("tos.rtd",,"VOLUME","."&amp;C$2&amp;C$1&amp;"P"&amp;$A47)*RTD("tos.rtd",,"LAST","."&amp;C$2&amp;C$1&amp;"P"&amp;$A47))/1000000),0),IF($A$2="DEX",IFERROR(IF($X$1="ABS",(100*RTD("tos.rtd",,"OPEN_INT","."&amp;C$2&amp;C$1&amp;"C"&amp;$A47)*RTD("tos.rtd",,"DELTA","."&amp;C$2&amp;C$1&amp;"C"&amp;$A47)+100*RTD("tos.rtd",,"OPEN_INT","."&amp;C$2&amp;C$1&amp;"P"&amp;$A47)*RTD("tos.rtd",,"DELTA","."&amp;C$2&amp;C$1&amp;"P"&amp;$A47))/1000,(100*RTD("tos.rtd",,"OPEN_INT","."&amp;C$2&amp;C$1&amp;"C"&amp;$A47)*RTD("tos.rtd",,"DELTA","."&amp;C$2&amp;C$1&amp;"C"&amp;$A47)-100*RTD("tos.rtd",,"OPEN_INT","."&amp;C$2&amp;C$1&amp;"P"&amp;$A47)*RTD("tos.rtd",,"DELTA","."&amp;C$2&amp;C$1&amp;"P"&amp;$A47))/1000),0),IF($A$2="VEX",IFERROR(IF($X$1="ABS",($A$4*$A$4*RTD("tos.rtd",,"VOLUME","."&amp;C$2&amp;C$1&amp;"C"&amp;$A47)*RTD("tos.rtd",,"GAMMA","."&amp;C$2&amp;C$1&amp;"C"&amp;$A47)+$A$4*$A$4*RTD("tos.rtd",,"VOLUME","."&amp;C$2&amp;C$1&amp;"P"&amp;$A47)*RTD("tos.rtd",,"GAMMA","."&amp;C$2&amp;C$1&amp;"P"&amp;$A47))/1000000,($A$4*$A$4*RTD("tos.rtd",,"VOLUME","."&amp;C$2&amp;C$1&amp;"C"&amp;$A47)*RTD("tos.rtd",,"GAMMA","."&amp;C$2&amp;C$1&amp;"C"&amp;$A47)-$A$4*$A$4*RTD("tos.rtd",,"VOLUME","."&amp;C$2&amp;C$1&amp;"P"&amp;$A47)*RTD("tos.rtd",,"GAMMA","."&amp;C$2&amp;C$1&amp;"P"&amp;$A47))/1000000),0),IF($A$2="GEX",IFERROR(IF($X$1="ABS",($A$4*$A$4*RTD("tos.rtd",,"OPEN_INT","."&amp;C$2&amp;C$1&amp;"C"&amp;$A47)*RTD("tos.rtd",,"GAMMA","."&amp;C$2&amp;C$1&amp;"C"&amp;$A47)+$A$4*$A$4*RTD("tos.rtd",,"OPEN_INT","."&amp;C$2&amp;C$1&amp;"P"&amp;$A47)*RTD("tos.rtd",,"GAMMA","."&amp;C$2&amp;C$1&amp;"P"&amp;$A47))/1000000,($A$4*$A$4*RTD("tos.rtd",,"OPEN_INT","."&amp;C$2&amp;C$1&amp;"C"&amp;$A47)*RTD("tos.rtd",,"GAMMA","."&amp;C$2&amp;C$1&amp;"C"&amp;$A47)-$A$4*$A$4*RTD("tos.rtd",,"OPEN_INT","."&amp;C$2&amp;C$1&amp;"P"&amp;$A47)*RTD("tos.rtd",,"GAMMA","."&amp;C$2&amp;C$1&amp;"P"&amp;$A47))/1000000),0),IF($A$2="SKEW",IFERROR(VALUE(IF(RTD("tos.rtd",,"IMPL_VOL","."&amp;C$2&amp;C$1&amp;"P"&amp;$A47)="N/A",0,RTD("tos.rtd",,"IMPL_VOL","."&amp;C$2&amp;C$1&amp;"P"&amp;$A47))),0)-IFERROR(VALUE(IF(RTD("tos.rtd",,"IMPL_VOL","."&amp;C$2&amp;C$1&amp;"C"&amp;$A47)="N/A",0,RTD("tos.rtd",,"IMPL_VOL","."&amp;C$2&amp;C$1&amp;"C"&amp;$A47))),0),IF($A$2="MAXPAIN",IF($A$4&gt;$A47,($A$4-$A47)*IF(RTD("tos.rtd",,"OPEN_INT","."&amp;C$2&amp;C$1&amp;"C"&amp;$A47)="N/A",0,RTD("tos.rtd",,"OPEN_INT","."&amp;C$2&amp;C$1&amp;"C"&amp;$A47)),0)+IF($A$4&lt;$A47,($A$5-$A$4)*IF(RTD("tos.rtd",,"OPEN_INT","."&amp;C$2&amp;C$1&amp;"P"&amp;$A47)="N/A",0,RTD("tos.rtd",,"OPEN_INT","."&amp;C$2&amp;C$1&amp;"P"&amp;$A47)),0),IF($X$1="ABS",IF(RTD("tos.rtd",,$A$2,"."&amp;C$2&amp;C$1&amp;"C"&amp;$A47)="N/A",0,RTD("tos.rtd",,$A$2,"."&amp;C$2&amp;C$1&amp;"C"&amp;$A47))+IF(RTD("tos.rtd",,$A$2,"."&amp;C$2&amp;C$1&amp;"P"&amp;$A47)="N/A",0,RTD("tos.rtd",,$A$2,"."&amp;C$2&amp;C$1&amp;"P"&amp;$A47)),IF(RTD("tos.rtd",,$A$2,"."&amp;C$2&amp;C$1&amp;"C"&amp;$A47)="N/A",0,RTD("tos.rtd",,$A$2,"."&amp;C$2&amp;C$1&amp;"C"&amp;$A47))-IF(RTD("tos.rtd",,$A$2,"."&amp;C$2&amp;C$1&amp;"P"&amp;$A47)="N/A",0,RTD("tos.rtd",,$A$2,"."&amp;C$2&amp;C$1&amp;"P"&amp;$A47))))))))))</f>
        <v>0</v>
      </c>
      <c r="D47" s="12">
        <f ca="1">IF($A$2="PREMIUM_OI",IFERROR(IF($X$1="ABS",(100*RTD("tos.rtd",,"OPEN_INT","."&amp;D$2&amp;D$1&amp;"C"&amp;$A47)*RTD("tos.rtd",,"LAST","."&amp;D$2&amp;D$1&amp;"C"&amp;$A47)+100*RTD("tos.rtd",,"OPEN_INT","."&amp;D$2&amp;D$1&amp;"P"&amp;$A47)*RTD("tos.rtd",,"LAST","."&amp;D$2&amp;D$1&amp;"P"&amp;$A47))/1000000,(100*RTD("tos.rtd",,"OPEN_INT","."&amp;D$2&amp;D$1&amp;"C"&amp;$A47)*RTD("tos.rtd",,"LAST","."&amp;D$2&amp;D$1&amp;"C"&amp;$A47)-100*RTD("tos.rtd",,"OPEN_INT","."&amp;D$2&amp;D$1&amp;"P"&amp;$A47)*RTD("tos.rtd",,"LAST","."&amp;D$2&amp;D$1&amp;"P"&amp;$A47))/1000000),0),IF($A$2="PREMIUM",IFERROR(IF($X$1="ABS",(100*RTD("tos.rtd",,"VOLUME","."&amp;D$2&amp;D$1&amp;"C"&amp;$A47)*RTD("tos.rtd",,"LAST","."&amp;D$2&amp;D$1&amp;"C"&amp;$A47)+100*RTD("tos.rtd",,"VOLUME","."&amp;D$2&amp;D$1&amp;"P"&amp;$A47)*RTD("tos.rtd",,"LAST","."&amp;D$2&amp;D$1&amp;"P"&amp;$A47))/1000000,(100*RTD("tos.rtd",,"VOLUME","."&amp;D$2&amp;D$1&amp;"C"&amp;$A47)*RTD("tos.rtd",,"LAST","."&amp;D$2&amp;D$1&amp;"C"&amp;$A47)-100*RTD("tos.rtd",,"VOLUME","."&amp;D$2&amp;D$1&amp;"P"&amp;$A47)*RTD("tos.rtd",,"LAST","."&amp;D$2&amp;D$1&amp;"P"&amp;$A47))/1000000),0),IF($A$2="DEX",IFERROR(IF($X$1="ABS",(100*RTD("tos.rtd",,"OPEN_INT","."&amp;D$2&amp;D$1&amp;"C"&amp;$A47)*RTD("tos.rtd",,"DELTA","."&amp;D$2&amp;D$1&amp;"C"&amp;$A47)+100*RTD("tos.rtd",,"OPEN_INT","."&amp;D$2&amp;D$1&amp;"P"&amp;$A47)*RTD("tos.rtd",,"DELTA","."&amp;D$2&amp;D$1&amp;"P"&amp;$A47))/1000,(100*RTD("tos.rtd",,"OPEN_INT","."&amp;D$2&amp;D$1&amp;"C"&amp;$A47)*RTD("tos.rtd",,"DELTA","."&amp;D$2&amp;D$1&amp;"C"&amp;$A47)-100*RTD("tos.rtd",,"OPEN_INT","."&amp;D$2&amp;D$1&amp;"P"&amp;$A47)*RTD("tos.rtd",,"DELTA","."&amp;D$2&amp;D$1&amp;"P"&amp;$A47))/1000),0),IF($A$2="VEX",IFERROR(IF($X$1="ABS",($A$4*$A$4*RTD("tos.rtd",,"VOLUME","."&amp;D$2&amp;D$1&amp;"C"&amp;$A47)*RTD("tos.rtd",,"GAMMA","."&amp;D$2&amp;D$1&amp;"C"&amp;$A47)+$A$4*$A$4*RTD("tos.rtd",,"VOLUME","."&amp;D$2&amp;D$1&amp;"P"&amp;$A47)*RTD("tos.rtd",,"GAMMA","."&amp;D$2&amp;D$1&amp;"P"&amp;$A47))/1000000,($A$4*$A$4*RTD("tos.rtd",,"VOLUME","."&amp;D$2&amp;D$1&amp;"C"&amp;$A47)*RTD("tos.rtd",,"GAMMA","."&amp;D$2&amp;D$1&amp;"C"&amp;$A47)-$A$4*$A$4*RTD("tos.rtd",,"VOLUME","."&amp;D$2&amp;D$1&amp;"P"&amp;$A47)*RTD("tos.rtd",,"GAMMA","."&amp;D$2&amp;D$1&amp;"P"&amp;$A47))/1000000),0),IF($A$2="GEX",IFERROR(IF($X$1="ABS",($A$4*$A$4*RTD("tos.rtd",,"OPEN_INT","."&amp;D$2&amp;D$1&amp;"C"&amp;$A47)*RTD("tos.rtd",,"GAMMA","."&amp;D$2&amp;D$1&amp;"C"&amp;$A47)+$A$4*$A$4*RTD("tos.rtd",,"OPEN_INT","."&amp;D$2&amp;D$1&amp;"P"&amp;$A47)*RTD("tos.rtd",,"GAMMA","."&amp;D$2&amp;D$1&amp;"P"&amp;$A47))/1000000,($A$4*$A$4*RTD("tos.rtd",,"OPEN_INT","."&amp;D$2&amp;D$1&amp;"C"&amp;$A47)*RTD("tos.rtd",,"GAMMA","."&amp;D$2&amp;D$1&amp;"C"&amp;$A47)-$A$4*$A$4*RTD("tos.rtd",,"OPEN_INT","."&amp;D$2&amp;D$1&amp;"P"&amp;$A47)*RTD("tos.rtd",,"GAMMA","."&amp;D$2&amp;D$1&amp;"P"&amp;$A47))/1000000),0),IF($A$2="SKEW",IFERROR(VALUE(IF(RTD("tos.rtd",,"IMPL_VOL","."&amp;D$2&amp;D$1&amp;"P"&amp;$A47)="N/A",0,RTD("tos.rtd",,"IMPL_VOL","."&amp;D$2&amp;D$1&amp;"P"&amp;$A47))),0)-IFERROR(VALUE(IF(RTD("tos.rtd",,"IMPL_VOL","."&amp;D$2&amp;D$1&amp;"C"&amp;$A47)="N/A",0,RTD("tos.rtd",,"IMPL_VOL","."&amp;D$2&amp;D$1&amp;"C"&amp;$A47))),0),IF($A$2="MAXPAIN",IF($A$4&gt;$A47,($A$4-$A47)*IF(RTD("tos.rtd",,"OPEN_INT","."&amp;D$2&amp;D$1&amp;"C"&amp;$A47)="N/A",0,RTD("tos.rtd",,"OPEN_INT","."&amp;D$2&amp;D$1&amp;"C"&amp;$A47)),0)+IF($A$4&lt;$A47,($A$5-$A$4)*IF(RTD("tos.rtd",,"OPEN_INT","."&amp;D$2&amp;D$1&amp;"P"&amp;$A47)="N/A",0,RTD("tos.rtd",,"OPEN_INT","."&amp;D$2&amp;D$1&amp;"P"&amp;$A47)),0),IF($X$1="ABS",IF(RTD("tos.rtd",,$A$2,"."&amp;D$2&amp;D$1&amp;"C"&amp;$A47)="N/A",0,RTD("tos.rtd",,$A$2,"."&amp;D$2&amp;D$1&amp;"C"&amp;$A47))+IF(RTD("tos.rtd",,$A$2,"."&amp;D$2&amp;D$1&amp;"P"&amp;$A47)="N/A",0,RTD("tos.rtd",,$A$2,"."&amp;D$2&amp;D$1&amp;"P"&amp;$A47)),IF(RTD("tos.rtd",,$A$2,"."&amp;D$2&amp;D$1&amp;"C"&amp;$A47)="N/A",0,RTD("tos.rtd",,$A$2,"."&amp;D$2&amp;D$1&amp;"C"&amp;$A47))-IF(RTD("tos.rtd",,$A$2,"."&amp;D$2&amp;D$1&amp;"P"&amp;$A47)="N/A",0,RTD("tos.rtd",,$A$2,"."&amp;D$2&amp;D$1&amp;"P"&amp;$A47))))))))))</f>
        <v>-14831</v>
      </c>
      <c r="E47" s="12">
        <f ca="1">IF($A$2="PREMIUM_OI",IFERROR(IF($X$1="ABS",(100*RTD("tos.rtd",,"OPEN_INT","."&amp;E$2&amp;E$1&amp;"C"&amp;$A47)*RTD("tos.rtd",,"LAST","."&amp;E$2&amp;E$1&amp;"C"&amp;$A47)+100*RTD("tos.rtd",,"OPEN_INT","."&amp;E$2&amp;E$1&amp;"P"&amp;$A47)*RTD("tos.rtd",,"LAST","."&amp;E$2&amp;E$1&amp;"P"&amp;$A47))/1000000,(100*RTD("tos.rtd",,"OPEN_INT","."&amp;E$2&amp;E$1&amp;"C"&amp;$A47)*RTD("tos.rtd",,"LAST","."&amp;E$2&amp;E$1&amp;"C"&amp;$A47)-100*RTD("tos.rtd",,"OPEN_INT","."&amp;E$2&amp;E$1&amp;"P"&amp;$A47)*RTD("tos.rtd",,"LAST","."&amp;E$2&amp;E$1&amp;"P"&amp;$A47))/1000000),0),IF($A$2="PREMIUM",IFERROR(IF($X$1="ABS",(100*RTD("tos.rtd",,"VOLUME","."&amp;E$2&amp;E$1&amp;"C"&amp;$A47)*RTD("tos.rtd",,"LAST","."&amp;E$2&amp;E$1&amp;"C"&amp;$A47)+100*RTD("tos.rtd",,"VOLUME","."&amp;E$2&amp;E$1&amp;"P"&amp;$A47)*RTD("tos.rtd",,"LAST","."&amp;E$2&amp;E$1&amp;"P"&amp;$A47))/1000000,(100*RTD("tos.rtd",,"VOLUME","."&amp;E$2&amp;E$1&amp;"C"&amp;$A47)*RTD("tos.rtd",,"LAST","."&amp;E$2&amp;E$1&amp;"C"&amp;$A47)-100*RTD("tos.rtd",,"VOLUME","."&amp;E$2&amp;E$1&amp;"P"&amp;$A47)*RTD("tos.rtd",,"LAST","."&amp;E$2&amp;E$1&amp;"P"&amp;$A47))/1000000),0),IF($A$2="DEX",IFERROR(IF($X$1="ABS",(100*RTD("tos.rtd",,"OPEN_INT","."&amp;E$2&amp;E$1&amp;"C"&amp;$A47)*RTD("tos.rtd",,"DELTA","."&amp;E$2&amp;E$1&amp;"C"&amp;$A47)+100*RTD("tos.rtd",,"OPEN_INT","."&amp;E$2&amp;E$1&amp;"P"&amp;$A47)*RTD("tos.rtd",,"DELTA","."&amp;E$2&amp;E$1&amp;"P"&amp;$A47))/1000,(100*RTD("tos.rtd",,"OPEN_INT","."&amp;E$2&amp;E$1&amp;"C"&amp;$A47)*RTD("tos.rtd",,"DELTA","."&amp;E$2&amp;E$1&amp;"C"&amp;$A47)-100*RTD("tos.rtd",,"OPEN_INT","."&amp;E$2&amp;E$1&amp;"P"&amp;$A47)*RTD("tos.rtd",,"DELTA","."&amp;E$2&amp;E$1&amp;"P"&amp;$A47))/1000),0),IF($A$2="VEX",IFERROR(IF($X$1="ABS",($A$4*$A$4*RTD("tos.rtd",,"VOLUME","."&amp;E$2&amp;E$1&amp;"C"&amp;$A47)*RTD("tos.rtd",,"GAMMA","."&amp;E$2&amp;E$1&amp;"C"&amp;$A47)+$A$4*$A$4*RTD("tos.rtd",,"VOLUME","."&amp;E$2&amp;E$1&amp;"P"&amp;$A47)*RTD("tos.rtd",,"GAMMA","."&amp;E$2&amp;E$1&amp;"P"&amp;$A47))/1000000,($A$4*$A$4*RTD("tos.rtd",,"VOLUME","."&amp;E$2&amp;E$1&amp;"C"&amp;$A47)*RTD("tos.rtd",,"GAMMA","."&amp;E$2&amp;E$1&amp;"C"&amp;$A47)-$A$4*$A$4*RTD("tos.rtd",,"VOLUME","."&amp;E$2&amp;E$1&amp;"P"&amp;$A47)*RTD("tos.rtd",,"GAMMA","."&amp;E$2&amp;E$1&amp;"P"&amp;$A47))/1000000),0),IF($A$2="GEX",IFERROR(IF($X$1="ABS",($A$4*$A$4*RTD("tos.rtd",,"OPEN_INT","."&amp;E$2&amp;E$1&amp;"C"&amp;$A47)*RTD("tos.rtd",,"GAMMA","."&amp;E$2&amp;E$1&amp;"C"&amp;$A47)+$A$4*$A$4*RTD("tos.rtd",,"OPEN_INT","."&amp;E$2&amp;E$1&amp;"P"&amp;$A47)*RTD("tos.rtd",,"GAMMA","."&amp;E$2&amp;E$1&amp;"P"&amp;$A47))/1000000,($A$4*$A$4*RTD("tos.rtd",,"OPEN_INT","."&amp;E$2&amp;E$1&amp;"C"&amp;$A47)*RTD("tos.rtd",,"GAMMA","."&amp;E$2&amp;E$1&amp;"C"&amp;$A47)-$A$4*$A$4*RTD("tos.rtd",,"OPEN_INT","."&amp;E$2&amp;E$1&amp;"P"&amp;$A47)*RTD("tos.rtd",,"GAMMA","."&amp;E$2&amp;E$1&amp;"P"&amp;$A47))/1000000),0),IF($A$2="SKEW",IFERROR(VALUE(IF(RTD("tos.rtd",,"IMPL_VOL","."&amp;E$2&amp;E$1&amp;"P"&amp;$A47)="N/A",0,RTD("tos.rtd",,"IMPL_VOL","."&amp;E$2&amp;E$1&amp;"P"&amp;$A47))),0)-IFERROR(VALUE(IF(RTD("tos.rtd",,"IMPL_VOL","."&amp;E$2&amp;E$1&amp;"C"&amp;$A47)="N/A",0,RTD("tos.rtd",,"IMPL_VOL","."&amp;E$2&amp;E$1&amp;"C"&amp;$A47))),0),IF($A$2="MAXPAIN",IF($A$4&gt;$A47,($A$4-$A47)*IF(RTD("tos.rtd",,"OPEN_INT","."&amp;E$2&amp;E$1&amp;"C"&amp;$A47)="N/A",0,RTD("tos.rtd",,"OPEN_INT","."&amp;E$2&amp;E$1&amp;"C"&amp;$A47)),0)+IF($A$4&lt;$A47,($A$5-$A$4)*IF(RTD("tos.rtd",,"OPEN_INT","."&amp;E$2&amp;E$1&amp;"P"&amp;$A47)="N/A",0,RTD("tos.rtd",,"OPEN_INT","."&amp;E$2&amp;E$1&amp;"P"&amp;$A47)),0),IF($X$1="ABS",IF(RTD("tos.rtd",,$A$2,"."&amp;E$2&amp;E$1&amp;"C"&amp;$A47)="N/A",0,RTD("tos.rtd",,$A$2,"."&amp;E$2&amp;E$1&amp;"C"&amp;$A47))+IF(RTD("tos.rtd",,$A$2,"."&amp;E$2&amp;E$1&amp;"P"&amp;$A47)="N/A",0,RTD("tos.rtd",,$A$2,"."&amp;E$2&amp;E$1&amp;"P"&amp;$A47)),IF(RTD("tos.rtd",,$A$2,"."&amp;E$2&amp;E$1&amp;"C"&amp;$A47)="N/A",0,RTD("tos.rtd",,$A$2,"."&amp;E$2&amp;E$1&amp;"C"&amp;$A47))-IF(RTD("tos.rtd",,$A$2,"."&amp;E$2&amp;E$1&amp;"P"&amp;$A47)="N/A",0,RTD("tos.rtd",,$A$2,"."&amp;E$2&amp;E$1&amp;"P"&amp;$A47))))))))))</f>
        <v>0</v>
      </c>
      <c r="F47" s="12">
        <f ca="1">IF($A$2="PREMIUM_OI",IFERROR(IF($X$1="ABS",(100*RTD("tos.rtd",,"OPEN_INT","."&amp;F$2&amp;F$1&amp;"C"&amp;$A47)*RTD("tos.rtd",,"LAST","."&amp;F$2&amp;F$1&amp;"C"&amp;$A47)+100*RTD("tos.rtd",,"OPEN_INT","."&amp;F$2&amp;F$1&amp;"P"&amp;$A47)*RTD("tos.rtd",,"LAST","."&amp;F$2&amp;F$1&amp;"P"&amp;$A47))/1000000,(100*RTD("tos.rtd",,"OPEN_INT","."&amp;F$2&amp;F$1&amp;"C"&amp;$A47)*RTD("tos.rtd",,"LAST","."&amp;F$2&amp;F$1&amp;"C"&amp;$A47)-100*RTD("tos.rtd",,"OPEN_INT","."&amp;F$2&amp;F$1&amp;"P"&amp;$A47)*RTD("tos.rtd",,"LAST","."&amp;F$2&amp;F$1&amp;"P"&amp;$A47))/1000000),0),IF($A$2="PREMIUM",IFERROR(IF($X$1="ABS",(100*RTD("tos.rtd",,"VOLUME","."&amp;F$2&amp;F$1&amp;"C"&amp;$A47)*RTD("tos.rtd",,"LAST","."&amp;F$2&amp;F$1&amp;"C"&amp;$A47)+100*RTD("tos.rtd",,"VOLUME","."&amp;F$2&amp;F$1&amp;"P"&amp;$A47)*RTD("tos.rtd",,"LAST","."&amp;F$2&amp;F$1&amp;"P"&amp;$A47))/1000000,(100*RTD("tos.rtd",,"VOLUME","."&amp;F$2&amp;F$1&amp;"C"&amp;$A47)*RTD("tos.rtd",,"LAST","."&amp;F$2&amp;F$1&amp;"C"&amp;$A47)-100*RTD("tos.rtd",,"VOLUME","."&amp;F$2&amp;F$1&amp;"P"&amp;$A47)*RTD("tos.rtd",,"LAST","."&amp;F$2&amp;F$1&amp;"P"&amp;$A47))/1000000),0),IF($A$2="DEX",IFERROR(IF($X$1="ABS",(100*RTD("tos.rtd",,"OPEN_INT","."&amp;F$2&amp;F$1&amp;"C"&amp;$A47)*RTD("tos.rtd",,"DELTA","."&amp;F$2&amp;F$1&amp;"C"&amp;$A47)+100*RTD("tos.rtd",,"OPEN_INT","."&amp;F$2&amp;F$1&amp;"P"&amp;$A47)*RTD("tos.rtd",,"DELTA","."&amp;F$2&amp;F$1&amp;"P"&amp;$A47))/1000,(100*RTD("tos.rtd",,"OPEN_INT","."&amp;F$2&amp;F$1&amp;"C"&amp;$A47)*RTD("tos.rtd",,"DELTA","."&amp;F$2&amp;F$1&amp;"C"&amp;$A47)-100*RTD("tos.rtd",,"OPEN_INT","."&amp;F$2&amp;F$1&amp;"P"&amp;$A47)*RTD("tos.rtd",,"DELTA","."&amp;F$2&amp;F$1&amp;"P"&amp;$A47))/1000),0),IF($A$2="VEX",IFERROR(IF($X$1="ABS",($A$4*$A$4*RTD("tos.rtd",,"VOLUME","."&amp;F$2&amp;F$1&amp;"C"&amp;$A47)*RTD("tos.rtd",,"GAMMA","."&amp;F$2&amp;F$1&amp;"C"&amp;$A47)+$A$4*$A$4*RTD("tos.rtd",,"VOLUME","."&amp;F$2&amp;F$1&amp;"P"&amp;$A47)*RTD("tos.rtd",,"GAMMA","."&amp;F$2&amp;F$1&amp;"P"&amp;$A47))/1000000,($A$4*$A$4*RTD("tos.rtd",,"VOLUME","."&amp;F$2&amp;F$1&amp;"C"&amp;$A47)*RTD("tos.rtd",,"GAMMA","."&amp;F$2&amp;F$1&amp;"C"&amp;$A47)-$A$4*$A$4*RTD("tos.rtd",,"VOLUME","."&amp;F$2&amp;F$1&amp;"P"&amp;$A47)*RTD("tos.rtd",,"GAMMA","."&amp;F$2&amp;F$1&amp;"P"&amp;$A47))/1000000),0),IF($A$2="GEX",IFERROR(IF($X$1="ABS",($A$4*$A$4*RTD("tos.rtd",,"OPEN_INT","."&amp;F$2&amp;F$1&amp;"C"&amp;$A47)*RTD("tos.rtd",,"GAMMA","."&amp;F$2&amp;F$1&amp;"C"&amp;$A47)+$A$4*$A$4*RTD("tos.rtd",,"OPEN_INT","."&amp;F$2&amp;F$1&amp;"P"&amp;$A47)*RTD("tos.rtd",,"GAMMA","."&amp;F$2&amp;F$1&amp;"P"&amp;$A47))/1000000,($A$4*$A$4*RTD("tos.rtd",,"OPEN_INT","."&amp;F$2&amp;F$1&amp;"C"&amp;$A47)*RTD("tos.rtd",,"GAMMA","."&amp;F$2&amp;F$1&amp;"C"&amp;$A47)-$A$4*$A$4*RTD("tos.rtd",,"OPEN_INT","."&amp;F$2&amp;F$1&amp;"P"&amp;$A47)*RTD("tos.rtd",,"GAMMA","."&amp;F$2&amp;F$1&amp;"P"&amp;$A47))/1000000),0),IF($A$2="SKEW",IFERROR(VALUE(IF(RTD("tos.rtd",,"IMPL_VOL","."&amp;F$2&amp;F$1&amp;"P"&amp;$A47)="N/A",0,RTD("tos.rtd",,"IMPL_VOL","."&amp;F$2&amp;F$1&amp;"P"&amp;$A47))),0)-IFERROR(VALUE(IF(RTD("tos.rtd",,"IMPL_VOL","."&amp;F$2&amp;F$1&amp;"C"&amp;$A47)="N/A",0,RTD("tos.rtd",,"IMPL_VOL","."&amp;F$2&amp;F$1&amp;"C"&amp;$A47))),0),IF($A$2="MAXPAIN",IF($A$4&gt;$A47,($A$4-$A47)*IF(RTD("tos.rtd",,"OPEN_INT","."&amp;F$2&amp;F$1&amp;"C"&amp;$A47)="N/A",0,RTD("tos.rtd",,"OPEN_INT","."&amp;F$2&amp;F$1&amp;"C"&amp;$A47)),0)+IF($A$4&lt;$A47,($A$5-$A$4)*IF(RTD("tos.rtd",,"OPEN_INT","."&amp;F$2&amp;F$1&amp;"P"&amp;$A47)="N/A",0,RTD("tos.rtd",,"OPEN_INT","."&amp;F$2&amp;F$1&amp;"P"&amp;$A47)),0),IF($X$1="ABS",IF(RTD("tos.rtd",,$A$2,"."&amp;F$2&amp;F$1&amp;"C"&amp;$A47)="N/A",0,RTD("tos.rtd",,$A$2,"."&amp;F$2&amp;F$1&amp;"C"&amp;$A47))+IF(RTD("tos.rtd",,$A$2,"."&amp;F$2&amp;F$1&amp;"P"&amp;$A47)="N/A",0,RTD("tos.rtd",,$A$2,"."&amp;F$2&amp;F$1&amp;"P"&amp;$A47)),IF(RTD("tos.rtd",,$A$2,"."&amp;F$2&amp;F$1&amp;"C"&amp;$A47)="N/A",0,RTD("tos.rtd",,$A$2,"."&amp;F$2&amp;F$1&amp;"C"&amp;$A47))-IF(RTD("tos.rtd",,$A$2,"."&amp;F$2&amp;F$1&amp;"P"&amp;$A47)="N/A",0,RTD("tos.rtd",,$A$2,"."&amp;F$2&amp;F$1&amp;"P"&amp;$A47))))))))))</f>
        <v>0</v>
      </c>
      <c r="G47" s="57">
        <f ca="1">IF($A$2="PREMIUM_OI",IFERROR(IF($X$1="ABS",(100*RTD("tos.rtd",,"OPEN_INT","."&amp;G$2&amp;G$1&amp;"C"&amp;$A47)*RTD("tos.rtd",,"LAST","."&amp;G$2&amp;G$1&amp;"C"&amp;$A47)+100*RTD("tos.rtd",,"OPEN_INT","."&amp;G$2&amp;G$1&amp;"P"&amp;$A47)*RTD("tos.rtd",,"LAST","."&amp;G$2&amp;G$1&amp;"P"&amp;$A47))/1000000,(100*RTD("tos.rtd",,"OPEN_INT","."&amp;G$2&amp;G$1&amp;"C"&amp;$A47)*RTD("tos.rtd",,"LAST","."&amp;G$2&amp;G$1&amp;"C"&amp;$A47)-100*RTD("tos.rtd",,"OPEN_INT","."&amp;G$2&amp;G$1&amp;"P"&amp;$A47)*RTD("tos.rtd",,"LAST","."&amp;G$2&amp;G$1&amp;"P"&amp;$A47))/1000000),0),IF($A$2="PREMIUM",IFERROR(IF($X$1="ABS",(100*RTD("tos.rtd",,"VOLUME","."&amp;G$2&amp;G$1&amp;"C"&amp;$A47)*RTD("tos.rtd",,"LAST","."&amp;G$2&amp;G$1&amp;"C"&amp;$A47)+100*RTD("tos.rtd",,"VOLUME","."&amp;G$2&amp;G$1&amp;"P"&amp;$A47)*RTD("tos.rtd",,"LAST","."&amp;G$2&amp;G$1&amp;"P"&amp;$A47))/1000000,(100*RTD("tos.rtd",,"VOLUME","."&amp;G$2&amp;G$1&amp;"C"&amp;$A47)*RTD("tos.rtd",,"LAST","."&amp;G$2&amp;G$1&amp;"C"&amp;$A47)-100*RTD("tos.rtd",,"VOLUME","."&amp;G$2&amp;G$1&amp;"P"&amp;$A47)*RTD("tos.rtd",,"LAST","."&amp;G$2&amp;G$1&amp;"P"&amp;$A47))/1000000),0),IF($A$2="DEX",IFERROR(IF($X$1="ABS",(100*RTD("tos.rtd",,"OPEN_INT","."&amp;G$2&amp;G$1&amp;"C"&amp;$A47)*RTD("tos.rtd",,"DELTA","."&amp;G$2&amp;G$1&amp;"C"&amp;$A47)+100*RTD("tos.rtd",,"OPEN_INT","."&amp;G$2&amp;G$1&amp;"P"&amp;$A47)*RTD("tos.rtd",,"DELTA","."&amp;G$2&amp;G$1&amp;"P"&amp;$A47))/1000,(100*RTD("tos.rtd",,"OPEN_INT","."&amp;G$2&amp;G$1&amp;"C"&amp;$A47)*RTD("tos.rtd",,"DELTA","."&amp;G$2&amp;G$1&amp;"C"&amp;$A47)-100*RTD("tos.rtd",,"OPEN_INT","."&amp;G$2&amp;G$1&amp;"P"&amp;$A47)*RTD("tos.rtd",,"DELTA","."&amp;G$2&amp;G$1&amp;"P"&amp;$A47))/1000),0),IF($A$2="VEX",IFERROR(IF($X$1="ABS",($A$4*$A$4*RTD("tos.rtd",,"VOLUME","."&amp;G$2&amp;G$1&amp;"C"&amp;$A47)*RTD("tos.rtd",,"GAMMA","."&amp;G$2&amp;G$1&amp;"C"&amp;$A47)+$A$4*$A$4*RTD("tos.rtd",,"VOLUME","."&amp;G$2&amp;G$1&amp;"P"&amp;$A47)*RTD("tos.rtd",,"GAMMA","."&amp;G$2&amp;G$1&amp;"P"&amp;$A47))/1000000,($A$4*$A$4*RTD("tos.rtd",,"VOLUME","."&amp;G$2&amp;G$1&amp;"C"&amp;$A47)*RTD("tos.rtd",,"GAMMA","."&amp;G$2&amp;G$1&amp;"C"&amp;$A47)-$A$4*$A$4*RTD("tos.rtd",,"VOLUME","."&amp;G$2&amp;G$1&amp;"P"&amp;$A47)*RTD("tos.rtd",,"GAMMA","."&amp;G$2&amp;G$1&amp;"P"&amp;$A47))/1000000),0),IF($A$2="GEX",IFERROR(IF($X$1="ABS",($A$4*$A$4*RTD("tos.rtd",,"OPEN_INT","."&amp;G$2&amp;G$1&amp;"C"&amp;$A47)*RTD("tos.rtd",,"GAMMA","."&amp;G$2&amp;G$1&amp;"C"&amp;$A47)+$A$4*$A$4*RTD("tos.rtd",,"OPEN_INT","."&amp;G$2&amp;G$1&amp;"P"&amp;$A47)*RTD("tos.rtd",,"GAMMA","."&amp;G$2&amp;G$1&amp;"P"&amp;$A47))/1000000,($A$4*$A$4*RTD("tos.rtd",,"OPEN_INT","."&amp;G$2&amp;G$1&amp;"C"&amp;$A47)*RTD("tos.rtd",,"GAMMA","."&amp;G$2&amp;G$1&amp;"C"&amp;$A47)-$A$4*$A$4*RTD("tos.rtd",,"OPEN_INT","."&amp;G$2&amp;G$1&amp;"P"&amp;$A47)*RTD("tos.rtd",,"GAMMA","."&amp;G$2&amp;G$1&amp;"P"&amp;$A47))/1000000),0),IF($A$2="SKEW",IFERROR(VALUE(IF(RTD("tos.rtd",,"IMPL_VOL","."&amp;G$2&amp;G$1&amp;"P"&amp;$A47)="N/A",0,RTD("tos.rtd",,"IMPL_VOL","."&amp;G$2&amp;G$1&amp;"P"&amp;$A47))),0)-IFERROR(VALUE(IF(RTD("tos.rtd",,"IMPL_VOL","."&amp;G$2&amp;G$1&amp;"C"&amp;$A47)="N/A",0,RTD("tos.rtd",,"IMPL_VOL","."&amp;G$2&amp;G$1&amp;"C"&amp;$A47))),0),IF($A$2="MAXPAIN",IF($A$4&gt;$A47,($A$4-$A47)*IF(RTD("tos.rtd",,"OPEN_INT","."&amp;G$2&amp;G$1&amp;"C"&amp;$A47)="N/A",0,RTD("tos.rtd",,"OPEN_INT","."&amp;G$2&amp;G$1&amp;"C"&amp;$A47)),0)+IF($A$4&lt;$A47,($A$5-$A$4)*IF(RTD("tos.rtd",,"OPEN_INT","."&amp;G$2&amp;G$1&amp;"P"&amp;$A47)="N/A",0,RTD("tos.rtd",,"OPEN_INT","."&amp;G$2&amp;G$1&amp;"P"&amp;$A47)),0),IF($X$1="ABS",IF(RTD("tos.rtd",,$A$2,"."&amp;G$2&amp;G$1&amp;"C"&amp;$A47)="N/A",0,RTD("tos.rtd",,$A$2,"."&amp;G$2&amp;G$1&amp;"C"&amp;$A47))+IF(RTD("tos.rtd",,$A$2,"."&amp;G$2&amp;G$1&amp;"P"&amp;$A47)="N/A",0,RTD("tos.rtd",,$A$2,"."&amp;G$2&amp;G$1&amp;"P"&amp;$A47)),IF(RTD("tos.rtd",,$A$2,"."&amp;G$2&amp;G$1&amp;"C"&amp;$A47)="N/A",0,RTD("tos.rtd",,$A$2,"."&amp;G$2&amp;G$1&amp;"C"&amp;$A47))-IF(RTD("tos.rtd",,$A$2,"."&amp;G$2&amp;G$1&amp;"P"&amp;$A47)="N/A",0,RTD("tos.rtd",,$A$2,"."&amp;G$2&amp;G$1&amp;"P"&amp;$A47))))))))))</f>
        <v>0</v>
      </c>
      <c r="H47" s="14">
        <f ca="1">IF($A$2="PREMIUM_OI",IFERROR(IF($X$1="ABS",(100*RTD("tos.rtd",,"OPEN_INT","."&amp;H$2&amp;H$1&amp;"C"&amp;$A47)*RTD("tos.rtd",,"LAST","."&amp;H$2&amp;H$1&amp;"C"&amp;$A47)+100*RTD("tos.rtd",,"OPEN_INT","."&amp;H$2&amp;H$1&amp;"P"&amp;$A47)*RTD("tos.rtd",,"LAST","."&amp;H$2&amp;H$1&amp;"P"&amp;$A47))/1000000,(100*RTD("tos.rtd",,"OPEN_INT","."&amp;H$2&amp;H$1&amp;"C"&amp;$A47)*RTD("tos.rtd",,"LAST","."&amp;H$2&amp;H$1&amp;"C"&amp;$A47)-100*RTD("tos.rtd",,"OPEN_INT","."&amp;H$2&amp;H$1&amp;"P"&amp;$A47)*RTD("tos.rtd",,"LAST","."&amp;H$2&amp;H$1&amp;"P"&amp;$A47))/1000000),0),IF($A$2="PREMIUM",IFERROR(IF($X$1="ABS",(100*RTD("tos.rtd",,"VOLUME","."&amp;H$2&amp;H$1&amp;"C"&amp;$A47)*RTD("tos.rtd",,"LAST","."&amp;H$2&amp;H$1&amp;"C"&amp;$A47)+100*RTD("tos.rtd",,"VOLUME","."&amp;H$2&amp;H$1&amp;"P"&amp;$A47)*RTD("tos.rtd",,"LAST","."&amp;H$2&amp;H$1&amp;"P"&amp;$A47))/1000000,(100*RTD("tos.rtd",,"VOLUME","."&amp;H$2&amp;H$1&amp;"C"&amp;$A47)*RTD("tos.rtd",,"LAST","."&amp;H$2&amp;H$1&amp;"C"&amp;$A47)-100*RTD("tos.rtd",,"VOLUME","."&amp;H$2&amp;H$1&amp;"P"&amp;$A47)*RTD("tos.rtd",,"LAST","."&amp;H$2&amp;H$1&amp;"P"&amp;$A47))/1000000),0),IF($A$2="DEX",IFERROR(IF($X$1="ABS",(100*RTD("tos.rtd",,"OPEN_INT","."&amp;H$2&amp;H$1&amp;"C"&amp;$A47)*RTD("tos.rtd",,"DELTA","."&amp;H$2&amp;H$1&amp;"C"&amp;$A47)+100*RTD("tos.rtd",,"OPEN_INT","."&amp;H$2&amp;H$1&amp;"P"&amp;$A47)*RTD("tos.rtd",,"DELTA","."&amp;H$2&amp;H$1&amp;"P"&amp;$A47))/1000,(100*RTD("tos.rtd",,"OPEN_INT","."&amp;H$2&amp;H$1&amp;"C"&amp;$A47)*RTD("tos.rtd",,"DELTA","."&amp;H$2&amp;H$1&amp;"C"&amp;$A47)-100*RTD("tos.rtd",,"OPEN_INT","."&amp;H$2&amp;H$1&amp;"P"&amp;$A47)*RTD("tos.rtd",,"DELTA","."&amp;H$2&amp;H$1&amp;"P"&amp;$A47))/1000),0),IF($A$2="VEX",IFERROR(IF($X$1="ABS",($A$4*$A$4*RTD("tos.rtd",,"VOLUME","."&amp;H$2&amp;H$1&amp;"C"&amp;$A47)*RTD("tos.rtd",,"GAMMA","."&amp;H$2&amp;H$1&amp;"C"&amp;$A47)+$A$4*$A$4*RTD("tos.rtd",,"VOLUME","."&amp;H$2&amp;H$1&amp;"P"&amp;$A47)*RTD("tos.rtd",,"GAMMA","."&amp;H$2&amp;H$1&amp;"P"&amp;$A47))/1000000,($A$4*$A$4*RTD("tos.rtd",,"VOLUME","."&amp;H$2&amp;H$1&amp;"C"&amp;$A47)*RTD("tos.rtd",,"GAMMA","."&amp;H$2&amp;H$1&amp;"C"&amp;$A47)-$A$4*$A$4*RTD("tos.rtd",,"VOLUME","."&amp;H$2&amp;H$1&amp;"P"&amp;$A47)*RTD("tos.rtd",,"GAMMA","."&amp;H$2&amp;H$1&amp;"P"&amp;$A47))/1000000),0),IF($A$2="GEX",IFERROR(IF($X$1="ABS",($A$4*$A$4*RTD("tos.rtd",,"OPEN_INT","."&amp;H$2&amp;H$1&amp;"C"&amp;$A47)*RTD("tos.rtd",,"GAMMA","."&amp;H$2&amp;H$1&amp;"C"&amp;$A47)+$A$4*$A$4*RTD("tos.rtd",,"OPEN_INT","."&amp;H$2&amp;H$1&amp;"P"&amp;$A47)*RTD("tos.rtd",,"GAMMA","."&amp;H$2&amp;H$1&amp;"P"&amp;$A47))/1000000,($A$4*$A$4*RTD("tos.rtd",,"OPEN_INT","."&amp;H$2&amp;H$1&amp;"C"&amp;$A47)*RTD("tos.rtd",,"GAMMA","."&amp;H$2&amp;H$1&amp;"C"&amp;$A47)-$A$4*$A$4*RTD("tos.rtd",,"OPEN_INT","."&amp;H$2&amp;H$1&amp;"P"&amp;$A47)*RTD("tos.rtd",,"GAMMA","."&amp;H$2&amp;H$1&amp;"P"&amp;$A47))/1000000),0),IF($A$2="SKEW",IFERROR(VALUE(IF(RTD("tos.rtd",,"IMPL_VOL","."&amp;H$2&amp;H$1&amp;"P"&amp;$A47)="N/A",0,RTD("tos.rtd",,"IMPL_VOL","."&amp;H$2&amp;H$1&amp;"P"&amp;$A47))),0)-IFERROR(VALUE(IF(RTD("tos.rtd",,"IMPL_VOL","."&amp;H$2&amp;H$1&amp;"C"&amp;$A47)="N/A",0,RTD("tos.rtd",,"IMPL_VOL","."&amp;H$2&amp;H$1&amp;"C"&amp;$A47))),0),IF($A$2="MAXPAIN",IF($A$4&gt;$A47,($A$4-$A47)*IF(RTD("tos.rtd",,"OPEN_INT","."&amp;H$2&amp;H$1&amp;"C"&amp;$A47)="N/A",0,RTD("tos.rtd",,"OPEN_INT","."&amp;H$2&amp;H$1&amp;"C"&amp;$A47)),0)+IF($A$4&lt;$A47,($A$5-$A$4)*IF(RTD("tos.rtd",,"OPEN_INT","."&amp;H$2&amp;H$1&amp;"P"&amp;$A47)="N/A",0,RTD("tos.rtd",,"OPEN_INT","."&amp;H$2&amp;H$1&amp;"P"&amp;$A47)),0),IF($X$1="ABS",IF(RTD("tos.rtd",,$A$2,"."&amp;H$2&amp;H$1&amp;"C"&amp;$A47)="N/A",0,RTD("tos.rtd",,$A$2,"."&amp;H$2&amp;H$1&amp;"C"&amp;$A47))+IF(RTD("tos.rtd",,$A$2,"."&amp;H$2&amp;H$1&amp;"P"&amp;$A47)="N/A",0,RTD("tos.rtd",,$A$2,"."&amp;H$2&amp;H$1&amp;"P"&amp;$A47)),IF(RTD("tos.rtd",,$A$2,"."&amp;H$2&amp;H$1&amp;"C"&amp;$A47)="N/A",0,RTD("tos.rtd",,$A$2,"."&amp;H$2&amp;H$1&amp;"C"&amp;$A47))-IF(RTD("tos.rtd",,$A$2,"."&amp;H$2&amp;H$1&amp;"P"&amp;$A47)="N/A",0,RTD("tos.rtd",,$A$2,"."&amp;H$2&amp;H$1&amp;"P"&amp;$A47))))))))))</f>
        <v>0</v>
      </c>
      <c r="I47" s="12">
        <f ca="1">IF($A$2="PREMIUM_OI",IFERROR(IF($X$1="ABS",(100*RTD("tos.rtd",,"OPEN_INT","."&amp;I$2&amp;I$1&amp;"C"&amp;$A47)*RTD("tos.rtd",,"LAST","."&amp;I$2&amp;I$1&amp;"C"&amp;$A47)+100*RTD("tos.rtd",,"OPEN_INT","."&amp;I$2&amp;I$1&amp;"P"&amp;$A47)*RTD("tos.rtd",,"LAST","."&amp;I$2&amp;I$1&amp;"P"&amp;$A47))/1000000,(100*RTD("tos.rtd",,"OPEN_INT","."&amp;I$2&amp;I$1&amp;"C"&amp;$A47)*RTD("tos.rtd",,"LAST","."&amp;I$2&amp;I$1&amp;"C"&amp;$A47)-100*RTD("tos.rtd",,"OPEN_INT","."&amp;I$2&amp;I$1&amp;"P"&amp;$A47)*RTD("tos.rtd",,"LAST","."&amp;I$2&amp;I$1&amp;"P"&amp;$A47))/1000000),0),IF($A$2="PREMIUM",IFERROR(IF($X$1="ABS",(100*RTD("tos.rtd",,"VOLUME","."&amp;I$2&amp;I$1&amp;"C"&amp;$A47)*RTD("tos.rtd",,"LAST","."&amp;I$2&amp;I$1&amp;"C"&amp;$A47)+100*RTD("tos.rtd",,"VOLUME","."&amp;I$2&amp;I$1&amp;"P"&amp;$A47)*RTD("tos.rtd",,"LAST","."&amp;I$2&amp;I$1&amp;"P"&amp;$A47))/1000000,(100*RTD("tos.rtd",,"VOLUME","."&amp;I$2&amp;I$1&amp;"C"&amp;$A47)*RTD("tos.rtd",,"LAST","."&amp;I$2&amp;I$1&amp;"C"&amp;$A47)-100*RTD("tos.rtd",,"VOLUME","."&amp;I$2&amp;I$1&amp;"P"&amp;$A47)*RTD("tos.rtd",,"LAST","."&amp;I$2&amp;I$1&amp;"P"&amp;$A47))/1000000),0),IF($A$2="DEX",IFERROR(IF($X$1="ABS",(100*RTD("tos.rtd",,"OPEN_INT","."&amp;I$2&amp;I$1&amp;"C"&amp;$A47)*RTD("tos.rtd",,"DELTA","."&amp;I$2&amp;I$1&amp;"C"&amp;$A47)+100*RTD("tos.rtd",,"OPEN_INT","."&amp;I$2&amp;I$1&amp;"P"&amp;$A47)*RTD("tos.rtd",,"DELTA","."&amp;I$2&amp;I$1&amp;"P"&amp;$A47))/1000,(100*RTD("tos.rtd",,"OPEN_INT","."&amp;I$2&amp;I$1&amp;"C"&amp;$A47)*RTD("tos.rtd",,"DELTA","."&amp;I$2&amp;I$1&amp;"C"&amp;$A47)-100*RTD("tos.rtd",,"OPEN_INT","."&amp;I$2&amp;I$1&amp;"P"&amp;$A47)*RTD("tos.rtd",,"DELTA","."&amp;I$2&amp;I$1&amp;"P"&amp;$A47))/1000),0),IF($A$2="VEX",IFERROR(IF($X$1="ABS",($A$4*$A$4*RTD("tos.rtd",,"VOLUME","."&amp;I$2&amp;I$1&amp;"C"&amp;$A47)*RTD("tos.rtd",,"GAMMA","."&amp;I$2&amp;I$1&amp;"C"&amp;$A47)+$A$4*$A$4*RTD("tos.rtd",,"VOLUME","."&amp;I$2&amp;I$1&amp;"P"&amp;$A47)*RTD("tos.rtd",,"GAMMA","."&amp;I$2&amp;I$1&amp;"P"&amp;$A47))/1000000,($A$4*$A$4*RTD("tos.rtd",,"VOLUME","."&amp;I$2&amp;I$1&amp;"C"&amp;$A47)*RTD("tos.rtd",,"GAMMA","."&amp;I$2&amp;I$1&amp;"C"&amp;$A47)-$A$4*$A$4*RTD("tos.rtd",,"VOLUME","."&amp;I$2&amp;I$1&amp;"P"&amp;$A47)*RTD("tos.rtd",,"GAMMA","."&amp;I$2&amp;I$1&amp;"P"&amp;$A47))/1000000),0),IF($A$2="GEX",IFERROR(IF($X$1="ABS",($A$4*$A$4*RTD("tos.rtd",,"OPEN_INT","."&amp;I$2&amp;I$1&amp;"C"&amp;$A47)*RTD("tos.rtd",,"GAMMA","."&amp;I$2&amp;I$1&amp;"C"&amp;$A47)+$A$4*$A$4*RTD("tos.rtd",,"OPEN_INT","."&amp;I$2&amp;I$1&amp;"P"&amp;$A47)*RTD("tos.rtd",,"GAMMA","."&amp;I$2&amp;I$1&amp;"P"&amp;$A47))/1000000,($A$4*$A$4*RTD("tos.rtd",,"OPEN_INT","."&amp;I$2&amp;I$1&amp;"C"&amp;$A47)*RTD("tos.rtd",,"GAMMA","."&amp;I$2&amp;I$1&amp;"C"&amp;$A47)-$A$4*$A$4*RTD("tos.rtd",,"OPEN_INT","."&amp;I$2&amp;I$1&amp;"P"&amp;$A47)*RTD("tos.rtd",,"GAMMA","."&amp;I$2&amp;I$1&amp;"P"&amp;$A47))/1000000),0),IF($A$2="SKEW",IFERROR(VALUE(IF(RTD("tos.rtd",,"IMPL_VOL","."&amp;I$2&amp;I$1&amp;"P"&amp;$A47)="N/A",0,RTD("tos.rtd",,"IMPL_VOL","."&amp;I$2&amp;I$1&amp;"P"&amp;$A47))),0)-IFERROR(VALUE(IF(RTD("tos.rtd",,"IMPL_VOL","."&amp;I$2&amp;I$1&amp;"C"&amp;$A47)="N/A",0,RTD("tos.rtd",,"IMPL_VOL","."&amp;I$2&amp;I$1&amp;"C"&amp;$A47))),0),IF($A$2="MAXPAIN",IF($A$4&gt;$A47,($A$4-$A47)*IF(RTD("tos.rtd",,"OPEN_INT","."&amp;I$2&amp;I$1&amp;"C"&amp;$A47)="N/A",0,RTD("tos.rtd",,"OPEN_INT","."&amp;I$2&amp;I$1&amp;"C"&amp;$A47)),0)+IF($A$4&lt;$A47,($A$5-$A$4)*IF(RTD("tos.rtd",,"OPEN_INT","."&amp;I$2&amp;I$1&amp;"P"&amp;$A47)="N/A",0,RTD("tos.rtd",,"OPEN_INT","."&amp;I$2&amp;I$1&amp;"P"&amp;$A47)),0),IF($X$1="ABS",IF(RTD("tos.rtd",,$A$2,"."&amp;I$2&amp;I$1&amp;"C"&amp;$A47)="N/A",0,RTD("tos.rtd",,$A$2,"."&amp;I$2&amp;I$1&amp;"C"&amp;$A47))+IF(RTD("tos.rtd",,$A$2,"."&amp;I$2&amp;I$1&amp;"P"&amp;$A47)="N/A",0,RTD("tos.rtd",,$A$2,"."&amp;I$2&amp;I$1&amp;"P"&amp;$A47)),IF(RTD("tos.rtd",,$A$2,"."&amp;I$2&amp;I$1&amp;"C"&amp;$A47)="N/A",0,RTD("tos.rtd",,$A$2,"."&amp;I$2&amp;I$1&amp;"C"&amp;$A47))-IF(RTD("tos.rtd",,$A$2,"."&amp;I$2&amp;I$1&amp;"P"&amp;$A47)="N/A",0,RTD("tos.rtd",,$A$2,"."&amp;I$2&amp;I$1&amp;"P"&amp;$A47))))))))))</f>
        <v>0</v>
      </c>
      <c r="J47" s="12">
        <f ca="1">IF($A$2="PREMIUM_OI",IFERROR(IF($X$1="ABS",(100*RTD("tos.rtd",,"OPEN_INT","."&amp;J$2&amp;J$1&amp;"C"&amp;$A47)*RTD("tos.rtd",,"LAST","."&amp;J$2&amp;J$1&amp;"C"&amp;$A47)+100*RTD("tos.rtd",,"OPEN_INT","."&amp;J$2&amp;J$1&amp;"P"&amp;$A47)*RTD("tos.rtd",,"LAST","."&amp;J$2&amp;J$1&amp;"P"&amp;$A47))/1000000,(100*RTD("tos.rtd",,"OPEN_INT","."&amp;J$2&amp;J$1&amp;"C"&amp;$A47)*RTD("tos.rtd",,"LAST","."&amp;J$2&amp;J$1&amp;"C"&amp;$A47)-100*RTD("tos.rtd",,"OPEN_INT","."&amp;J$2&amp;J$1&amp;"P"&amp;$A47)*RTD("tos.rtd",,"LAST","."&amp;J$2&amp;J$1&amp;"P"&amp;$A47))/1000000),0),IF($A$2="PREMIUM",IFERROR(IF($X$1="ABS",(100*RTD("tos.rtd",,"VOLUME","."&amp;J$2&amp;J$1&amp;"C"&amp;$A47)*RTD("tos.rtd",,"LAST","."&amp;J$2&amp;J$1&amp;"C"&amp;$A47)+100*RTD("tos.rtd",,"VOLUME","."&amp;J$2&amp;J$1&amp;"P"&amp;$A47)*RTD("tos.rtd",,"LAST","."&amp;J$2&amp;J$1&amp;"P"&amp;$A47))/1000000,(100*RTD("tos.rtd",,"VOLUME","."&amp;J$2&amp;J$1&amp;"C"&amp;$A47)*RTD("tos.rtd",,"LAST","."&amp;J$2&amp;J$1&amp;"C"&amp;$A47)-100*RTD("tos.rtd",,"VOLUME","."&amp;J$2&amp;J$1&amp;"P"&amp;$A47)*RTD("tos.rtd",,"LAST","."&amp;J$2&amp;J$1&amp;"P"&amp;$A47))/1000000),0),IF($A$2="DEX",IFERROR(IF($X$1="ABS",(100*RTD("tos.rtd",,"OPEN_INT","."&amp;J$2&amp;J$1&amp;"C"&amp;$A47)*RTD("tos.rtd",,"DELTA","."&amp;J$2&amp;J$1&amp;"C"&amp;$A47)+100*RTD("tos.rtd",,"OPEN_INT","."&amp;J$2&amp;J$1&amp;"P"&amp;$A47)*RTD("tos.rtd",,"DELTA","."&amp;J$2&amp;J$1&amp;"P"&amp;$A47))/1000,(100*RTD("tos.rtd",,"OPEN_INT","."&amp;J$2&amp;J$1&amp;"C"&amp;$A47)*RTD("tos.rtd",,"DELTA","."&amp;J$2&amp;J$1&amp;"C"&amp;$A47)-100*RTD("tos.rtd",,"OPEN_INT","."&amp;J$2&amp;J$1&amp;"P"&amp;$A47)*RTD("tos.rtd",,"DELTA","."&amp;J$2&amp;J$1&amp;"P"&amp;$A47))/1000),0),IF($A$2="VEX",IFERROR(IF($X$1="ABS",($A$4*$A$4*RTD("tos.rtd",,"VOLUME","."&amp;J$2&amp;J$1&amp;"C"&amp;$A47)*RTD("tos.rtd",,"GAMMA","."&amp;J$2&amp;J$1&amp;"C"&amp;$A47)+$A$4*$A$4*RTD("tos.rtd",,"VOLUME","."&amp;J$2&amp;J$1&amp;"P"&amp;$A47)*RTD("tos.rtd",,"GAMMA","."&amp;J$2&amp;J$1&amp;"P"&amp;$A47))/1000000,($A$4*$A$4*RTD("tos.rtd",,"VOLUME","."&amp;J$2&amp;J$1&amp;"C"&amp;$A47)*RTD("tos.rtd",,"GAMMA","."&amp;J$2&amp;J$1&amp;"C"&amp;$A47)-$A$4*$A$4*RTD("tos.rtd",,"VOLUME","."&amp;J$2&amp;J$1&amp;"P"&amp;$A47)*RTD("tos.rtd",,"GAMMA","."&amp;J$2&amp;J$1&amp;"P"&amp;$A47))/1000000),0),IF($A$2="GEX",IFERROR(IF($X$1="ABS",($A$4*$A$4*RTD("tos.rtd",,"OPEN_INT","."&amp;J$2&amp;J$1&amp;"C"&amp;$A47)*RTD("tos.rtd",,"GAMMA","."&amp;J$2&amp;J$1&amp;"C"&amp;$A47)+$A$4*$A$4*RTD("tos.rtd",,"OPEN_INT","."&amp;J$2&amp;J$1&amp;"P"&amp;$A47)*RTD("tos.rtd",,"GAMMA","."&amp;J$2&amp;J$1&amp;"P"&amp;$A47))/1000000,($A$4*$A$4*RTD("tos.rtd",,"OPEN_INT","."&amp;J$2&amp;J$1&amp;"C"&amp;$A47)*RTD("tos.rtd",,"GAMMA","."&amp;J$2&amp;J$1&amp;"C"&amp;$A47)-$A$4*$A$4*RTD("tos.rtd",,"OPEN_INT","."&amp;J$2&amp;J$1&amp;"P"&amp;$A47)*RTD("tos.rtd",,"GAMMA","."&amp;J$2&amp;J$1&amp;"P"&amp;$A47))/1000000),0),IF($A$2="SKEW",IFERROR(VALUE(IF(RTD("tos.rtd",,"IMPL_VOL","."&amp;J$2&amp;J$1&amp;"P"&amp;$A47)="N/A",0,RTD("tos.rtd",,"IMPL_VOL","."&amp;J$2&amp;J$1&amp;"P"&amp;$A47))),0)-IFERROR(VALUE(IF(RTD("tos.rtd",,"IMPL_VOL","."&amp;J$2&amp;J$1&amp;"C"&amp;$A47)="N/A",0,RTD("tos.rtd",,"IMPL_VOL","."&amp;J$2&amp;J$1&amp;"C"&amp;$A47))),0),IF($A$2="MAXPAIN",IF($A$4&gt;$A47,($A$4-$A47)*IF(RTD("tos.rtd",,"OPEN_INT","."&amp;J$2&amp;J$1&amp;"C"&amp;$A47)="N/A",0,RTD("tos.rtd",,"OPEN_INT","."&amp;J$2&amp;J$1&amp;"C"&amp;$A47)),0)+IF($A$4&lt;$A47,($A$5-$A$4)*IF(RTD("tos.rtd",,"OPEN_INT","."&amp;J$2&amp;J$1&amp;"P"&amp;$A47)="N/A",0,RTD("tos.rtd",,"OPEN_INT","."&amp;J$2&amp;J$1&amp;"P"&amp;$A47)),0),IF($X$1="ABS",IF(RTD("tos.rtd",,$A$2,"."&amp;J$2&amp;J$1&amp;"C"&amp;$A47)="N/A",0,RTD("tos.rtd",,$A$2,"."&amp;J$2&amp;J$1&amp;"C"&amp;$A47))+IF(RTD("tos.rtd",,$A$2,"."&amp;J$2&amp;J$1&amp;"P"&amp;$A47)="N/A",0,RTD("tos.rtd",,$A$2,"."&amp;J$2&amp;J$1&amp;"P"&amp;$A47)),IF(RTD("tos.rtd",,$A$2,"."&amp;J$2&amp;J$1&amp;"C"&amp;$A47)="N/A",0,RTD("tos.rtd",,$A$2,"."&amp;J$2&amp;J$1&amp;"C"&amp;$A47))-IF(RTD("tos.rtd",,$A$2,"."&amp;J$2&amp;J$1&amp;"P"&amp;$A47)="N/A",0,RTD("tos.rtd",,$A$2,"."&amp;J$2&amp;J$1&amp;"P"&amp;$A47))))))))))</f>
        <v>0</v>
      </c>
      <c r="K47" s="12">
        <f ca="1">IF($A$2="PREMIUM_OI",IFERROR(IF($X$1="ABS",(100*RTD("tos.rtd",,"OPEN_INT","."&amp;K$2&amp;K$1&amp;"C"&amp;$A47)*RTD("tos.rtd",,"LAST","."&amp;K$2&amp;K$1&amp;"C"&amp;$A47)+100*RTD("tos.rtd",,"OPEN_INT","."&amp;K$2&amp;K$1&amp;"P"&amp;$A47)*RTD("tos.rtd",,"LAST","."&amp;K$2&amp;K$1&amp;"P"&amp;$A47))/1000000,(100*RTD("tos.rtd",,"OPEN_INT","."&amp;K$2&amp;K$1&amp;"C"&amp;$A47)*RTD("tos.rtd",,"LAST","."&amp;K$2&amp;K$1&amp;"C"&amp;$A47)-100*RTD("tos.rtd",,"OPEN_INT","."&amp;K$2&amp;K$1&amp;"P"&amp;$A47)*RTD("tos.rtd",,"LAST","."&amp;K$2&amp;K$1&amp;"P"&amp;$A47))/1000000),0),IF($A$2="PREMIUM",IFERROR(IF($X$1="ABS",(100*RTD("tos.rtd",,"VOLUME","."&amp;K$2&amp;K$1&amp;"C"&amp;$A47)*RTD("tos.rtd",,"LAST","."&amp;K$2&amp;K$1&amp;"C"&amp;$A47)+100*RTD("tos.rtd",,"VOLUME","."&amp;K$2&amp;K$1&amp;"P"&amp;$A47)*RTD("tos.rtd",,"LAST","."&amp;K$2&amp;K$1&amp;"P"&amp;$A47))/1000000,(100*RTD("tos.rtd",,"VOLUME","."&amp;K$2&amp;K$1&amp;"C"&amp;$A47)*RTD("tos.rtd",,"LAST","."&amp;K$2&amp;K$1&amp;"C"&amp;$A47)-100*RTD("tos.rtd",,"VOLUME","."&amp;K$2&amp;K$1&amp;"P"&amp;$A47)*RTD("tos.rtd",,"LAST","."&amp;K$2&amp;K$1&amp;"P"&amp;$A47))/1000000),0),IF($A$2="DEX",IFERROR(IF($X$1="ABS",(100*RTD("tos.rtd",,"OPEN_INT","."&amp;K$2&amp;K$1&amp;"C"&amp;$A47)*RTD("tos.rtd",,"DELTA","."&amp;K$2&amp;K$1&amp;"C"&amp;$A47)+100*RTD("tos.rtd",,"OPEN_INT","."&amp;K$2&amp;K$1&amp;"P"&amp;$A47)*RTD("tos.rtd",,"DELTA","."&amp;K$2&amp;K$1&amp;"P"&amp;$A47))/1000,(100*RTD("tos.rtd",,"OPEN_INT","."&amp;K$2&amp;K$1&amp;"C"&amp;$A47)*RTD("tos.rtd",,"DELTA","."&amp;K$2&amp;K$1&amp;"C"&amp;$A47)-100*RTD("tos.rtd",,"OPEN_INT","."&amp;K$2&amp;K$1&amp;"P"&amp;$A47)*RTD("tos.rtd",,"DELTA","."&amp;K$2&amp;K$1&amp;"P"&amp;$A47))/1000),0),IF($A$2="VEX",IFERROR(IF($X$1="ABS",($A$4*$A$4*RTD("tos.rtd",,"VOLUME","."&amp;K$2&amp;K$1&amp;"C"&amp;$A47)*RTD("tos.rtd",,"GAMMA","."&amp;K$2&amp;K$1&amp;"C"&amp;$A47)+$A$4*$A$4*RTD("tos.rtd",,"VOLUME","."&amp;K$2&amp;K$1&amp;"P"&amp;$A47)*RTD("tos.rtd",,"GAMMA","."&amp;K$2&amp;K$1&amp;"P"&amp;$A47))/1000000,($A$4*$A$4*RTD("tos.rtd",,"VOLUME","."&amp;K$2&amp;K$1&amp;"C"&amp;$A47)*RTD("tos.rtd",,"GAMMA","."&amp;K$2&amp;K$1&amp;"C"&amp;$A47)-$A$4*$A$4*RTD("tos.rtd",,"VOLUME","."&amp;K$2&amp;K$1&amp;"P"&amp;$A47)*RTD("tos.rtd",,"GAMMA","."&amp;K$2&amp;K$1&amp;"P"&amp;$A47))/1000000),0),IF($A$2="GEX",IFERROR(IF($X$1="ABS",($A$4*$A$4*RTD("tos.rtd",,"OPEN_INT","."&amp;K$2&amp;K$1&amp;"C"&amp;$A47)*RTD("tos.rtd",,"GAMMA","."&amp;K$2&amp;K$1&amp;"C"&amp;$A47)+$A$4*$A$4*RTD("tos.rtd",,"OPEN_INT","."&amp;K$2&amp;K$1&amp;"P"&amp;$A47)*RTD("tos.rtd",,"GAMMA","."&amp;K$2&amp;K$1&amp;"P"&amp;$A47))/1000000,($A$4*$A$4*RTD("tos.rtd",,"OPEN_INT","."&amp;K$2&amp;K$1&amp;"C"&amp;$A47)*RTD("tos.rtd",,"GAMMA","."&amp;K$2&amp;K$1&amp;"C"&amp;$A47)-$A$4*$A$4*RTD("tos.rtd",,"OPEN_INT","."&amp;K$2&amp;K$1&amp;"P"&amp;$A47)*RTD("tos.rtd",,"GAMMA","."&amp;K$2&amp;K$1&amp;"P"&amp;$A47))/1000000),0),IF($A$2="SKEW",IFERROR(VALUE(IF(RTD("tos.rtd",,"IMPL_VOL","."&amp;K$2&amp;K$1&amp;"P"&amp;$A47)="N/A",0,RTD("tos.rtd",,"IMPL_VOL","."&amp;K$2&amp;K$1&amp;"P"&amp;$A47))),0)-IFERROR(VALUE(IF(RTD("tos.rtd",,"IMPL_VOL","."&amp;K$2&amp;K$1&amp;"C"&amp;$A47)="N/A",0,RTD("tos.rtd",,"IMPL_VOL","."&amp;K$2&amp;K$1&amp;"C"&amp;$A47))),0),IF($A$2="MAXPAIN",IF($A$4&gt;$A47,($A$4-$A47)*IF(RTD("tos.rtd",,"OPEN_INT","."&amp;K$2&amp;K$1&amp;"C"&amp;$A47)="N/A",0,RTD("tos.rtd",,"OPEN_INT","."&amp;K$2&amp;K$1&amp;"C"&amp;$A47)),0)+IF($A$4&lt;$A47,($A$5-$A$4)*IF(RTD("tos.rtd",,"OPEN_INT","."&amp;K$2&amp;K$1&amp;"P"&amp;$A47)="N/A",0,RTD("tos.rtd",,"OPEN_INT","."&amp;K$2&amp;K$1&amp;"P"&amp;$A47)),0),IF($X$1="ABS",IF(RTD("tos.rtd",,$A$2,"."&amp;K$2&amp;K$1&amp;"C"&amp;$A47)="N/A",0,RTD("tos.rtd",,$A$2,"."&amp;K$2&amp;K$1&amp;"C"&amp;$A47))+IF(RTD("tos.rtd",,$A$2,"."&amp;K$2&amp;K$1&amp;"P"&amp;$A47)="N/A",0,RTD("tos.rtd",,$A$2,"."&amp;K$2&amp;K$1&amp;"P"&amp;$A47)),IF(RTD("tos.rtd",,$A$2,"."&amp;K$2&amp;K$1&amp;"C"&amp;$A47)="N/A",0,RTD("tos.rtd",,$A$2,"."&amp;K$2&amp;K$1&amp;"C"&amp;$A47))-IF(RTD("tos.rtd",,$A$2,"."&amp;K$2&amp;K$1&amp;"P"&amp;$A47)="N/A",0,RTD("tos.rtd",,$A$2,"."&amp;K$2&amp;K$1&amp;"P"&amp;$A47))))))))))</f>
        <v>0</v>
      </c>
      <c r="L47" s="54">
        <f ca="1">IF($A$2="PREMIUM_OI",IFERROR(IF($X$1="ABS",(100*RTD("tos.rtd",,"OPEN_INT","."&amp;L$2&amp;L$1&amp;"C"&amp;$A47)*RTD("tos.rtd",,"LAST","."&amp;L$2&amp;L$1&amp;"C"&amp;$A47)+100*RTD("tos.rtd",,"OPEN_INT","."&amp;L$2&amp;L$1&amp;"P"&amp;$A47)*RTD("tos.rtd",,"LAST","."&amp;L$2&amp;L$1&amp;"P"&amp;$A47))/1000000,(100*RTD("tos.rtd",,"OPEN_INT","."&amp;L$2&amp;L$1&amp;"C"&amp;$A47)*RTD("tos.rtd",,"LAST","."&amp;L$2&amp;L$1&amp;"C"&amp;$A47)-100*RTD("tos.rtd",,"OPEN_INT","."&amp;L$2&amp;L$1&amp;"P"&amp;$A47)*RTD("tos.rtd",,"LAST","."&amp;L$2&amp;L$1&amp;"P"&amp;$A47))/1000000),0),IF($A$2="PREMIUM",IFERROR(IF($X$1="ABS",(100*RTD("tos.rtd",,"VOLUME","."&amp;L$2&amp;L$1&amp;"C"&amp;$A47)*RTD("tos.rtd",,"LAST","."&amp;L$2&amp;L$1&amp;"C"&amp;$A47)+100*RTD("tos.rtd",,"VOLUME","."&amp;L$2&amp;L$1&amp;"P"&amp;$A47)*RTD("tos.rtd",,"LAST","."&amp;L$2&amp;L$1&amp;"P"&amp;$A47))/1000000,(100*RTD("tos.rtd",,"VOLUME","."&amp;L$2&amp;L$1&amp;"C"&amp;$A47)*RTD("tos.rtd",,"LAST","."&amp;L$2&amp;L$1&amp;"C"&amp;$A47)-100*RTD("tos.rtd",,"VOLUME","."&amp;L$2&amp;L$1&amp;"P"&amp;$A47)*RTD("tos.rtd",,"LAST","."&amp;L$2&amp;L$1&amp;"P"&amp;$A47))/1000000),0),IF($A$2="DEX",IFERROR(IF($X$1="ABS",(100*RTD("tos.rtd",,"OPEN_INT","."&amp;L$2&amp;L$1&amp;"C"&amp;$A47)*RTD("tos.rtd",,"DELTA","."&amp;L$2&amp;L$1&amp;"C"&amp;$A47)+100*RTD("tos.rtd",,"OPEN_INT","."&amp;L$2&amp;L$1&amp;"P"&amp;$A47)*RTD("tos.rtd",,"DELTA","."&amp;L$2&amp;L$1&amp;"P"&amp;$A47))/1000,(100*RTD("tos.rtd",,"OPEN_INT","."&amp;L$2&amp;L$1&amp;"C"&amp;$A47)*RTD("tos.rtd",,"DELTA","."&amp;L$2&amp;L$1&amp;"C"&amp;$A47)-100*RTD("tos.rtd",,"OPEN_INT","."&amp;L$2&amp;L$1&amp;"P"&amp;$A47)*RTD("tos.rtd",,"DELTA","."&amp;L$2&amp;L$1&amp;"P"&amp;$A47))/1000),0),IF($A$2="VEX",IFERROR(IF($X$1="ABS",($A$4*$A$4*RTD("tos.rtd",,"VOLUME","."&amp;L$2&amp;L$1&amp;"C"&amp;$A47)*RTD("tos.rtd",,"GAMMA","."&amp;L$2&amp;L$1&amp;"C"&amp;$A47)+$A$4*$A$4*RTD("tos.rtd",,"VOLUME","."&amp;L$2&amp;L$1&amp;"P"&amp;$A47)*RTD("tos.rtd",,"GAMMA","."&amp;L$2&amp;L$1&amp;"P"&amp;$A47))/1000000,($A$4*$A$4*RTD("tos.rtd",,"VOLUME","."&amp;L$2&amp;L$1&amp;"C"&amp;$A47)*RTD("tos.rtd",,"GAMMA","."&amp;L$2&amp;L$1&amp;"C"&amp;$A47)-$A$4*$A$4*RTD("tos.rtd",,"VOLUME","."&amp;L$2&amp;L$1&amp;"P"&amp;$A47)*RTD("tos.rtd",,"GAMMA","."&amp;L$2&amp;L$1&amp;"P"&amp;$A47))/1000000),0),IF($A$2="GEX",IFERROR(IF($X$1="ABS",($A$4*$A$4*RTD("tos.rtd",,"OPEN_INT","."&amp;L$2&amp;L$1&amp;"C"&amp;$A47)*RTD("tos.rtd",,"GAMMA","."&amp;L$2&amp;L$1&amp;"C"&amp;$A47)+$A$4*$A$4*RTD("tos.rtd",,"OPEN_INT","."&amp;L$2&amp;L$1&amp;"P"&amp;$A47)*RTD("tos.rtd",,"GAMMA","."&amp;L$2&amp;L$1&amp;"P"&amp;$A47))/1000000,($A$4*$A$4*RTD("tos.rtd",,"OPEN_INT","."&amp;L$2&amp;L$1&amp;"C"&amp;$A47)*RTD("tos.rtd",,"GAMMA","."&amp;L$2&amp;L$1&amp;"C"&amp;$A47)-$A$4*$A$4*RTD("tos.rtd",,"OPEN_INT","."&amp;L$2&amp;L$1&amp;"P"&amp;$A47)*RTD("tos.rtd",,"GAMMA","."&amp;L$2&amp;L$1&amp;"P"&amp;$A47))/1000000),0),IF($A$2="SKEW",IFERROR(VALUE(IF(RTD("tos.rtd",,"IMPL_VOL","."&amp;L$2&amp;L$1&amp;"P"&amp;$A47)="N/A",0,RTD("tos.rtd",,"IMPL_VOL","."&amp;L$2&amp;L$1&amp;"P"&amp;$A47))),0)-IFERROR(VALUE(IF(RTD("tos.rtd",,"IMPL_VOL","."&amp;L$2&amp;L$1&amp;"C"&amp;$A47)="N/A",0,RTD("tos.rtd",,"IMPL_VOL","."&amp;L$2&amp;L$1&amp;"C"&amp;$A47))),0),IF($A$2="MAXPAIN",IF($A$4&gt;$A47,($A$4-$A47)*IF(RTD("tos.rtd",,"OPEN_INT","."&amp;L$2&amp;L$1&amp;"C"&amp;$A47)="N/A",0,RTD("tos.rtd",,"OPEN_INT","."&amp;L$2&amp;L$1&amp;"C"&amp;$A47)),0)+IF($A$4&lt;$A47,($A$5-$A$4)*IF(RTD("tos.rtd",,"OPEN_INT","."&amp;L$2&amp;L$1&amp;"P"&amp;$A47)="N/A",0,RTD("tos.rtd",,"OPEN_INT","."&amp;L$2&amp;L$1&amp;"P"&amp;$A47)),0),IF($X$1="ABS",IF(RTD("tos.rtd",,$A$2,"."&amp;L$2&amp;L$1&amp;"C"&amp;$A47)="N/A",0,RTD("tos.rtd",,$A$2,"."&amp;L$2&amp;L$1&amp;"C"&amp;$A47))+IF(RTD("tos.rtd",,$A$2,"."&amp;L$2&amp;L$1&amp;"P"&amp;$A47)="N/A",0,RTD("tos.rtd",,$A$2,"."&amp;L$2&amp;L$1&amp;"P"&amp;$A47)),IF(RTD("tos.rtd",,$A$2,"."&amp;L$2&amp;L$1&amp;"C"&amp;$A47)="N/A",0,RTD("tos.rtd",,$A$2,"."&amp;L$2&amp;L$1&amp;"C"&amp;$A47))-IF(RTD("tos.rtd",,$A$2,"."&amp;L$2&amp;L$1&amp;"P"&amp;$A47)="N/A",0,RTD("tos.rtd",,$A$2,"."&amp;L$2&amp;L$1&amp;"P"&amp;$A47))))))))))</f>
        <v>-6546</v>
      </c>
      <c r="M47" s="12">
        <f ca="1">IF($A$2="PREMIUM_OI",IFERROR(IF($X$1="ABS",(100*RTD("tos.rtd",,"OPEN_INT","."&amp;M$2&amp;M$1&amp;"C"&amp;$A47)*RTD("tos.rtd",,"LAST","."&amp;M$2&amp;M$1&amp;"C"&amp;$A47)+100*RTD("tos.rtd",,"OPEN_INT","."&amp;M$2&amp;M$1&amp;"P"&amp;$A47)*RTD("tos.rtd",,"LAST","."&amp;M$2&amp;M$1&amp;"P"&amp;$A47))/1000000,(100*RTD("tos.rtd",,"OPEN_INT","."&amp;M$2&amp;M$1&amp;"C"&amp;$A47)*RTD("tos.rtd",,"LAST","."&amp;M$2&amp;M$1&amp;"C"&amp;$A47)-100*RTD("tos.rtd",,"OPEN_INT","."&amp;M$2&amp;M$1&amp;"P"&amp;$A47)*RTD("tos.rtd",,"LAST","."&amp;M$2&amp;M$1&amp;"P"&amp;$A47))/1000000),0),IF($A$2="PREMIUM",IFERROR(IF($X$1="ABS",(100*RTD("tos.rtd",,"VOLUME","."&amp;M$2&amp;M$1&amp;"C"&amp;$A47)*RTD("tos.rtd",,"LAST","."&amp;M$2&amp;M$1&amp;"C"&amp;$A47)+100*RTD("tos.rtd",,"VOLUME","."&amp;M$2&amp;M$1&amp;"P"&amp;$A47)*RTD("tos.rtd",,"LAST","."&amp;M$2&amp;M$1&amp;"P"&amp;$A47))/1000000,(100*RTD("tos.rtd",,"VOLUME","."&amp;M$2&amp;M$1&amp;"C"&amp;$A47)*RTD("tos.rtd",,"LAST","."&amp;M$2&amp;M$1&amp;"C"&amp;$A47)-100*RTD("tos.rtd",,"VOLUME","."&amp;M$2&amp;M$1&amp;"P"&amp;$A47)*RTD("tos.rtd",,"LAST","."&amp;M$2&amp;M$1&amp;"P"&amp;$A47))/1000000),0),IF($A$2="DEX",IFERROR(IF($X$1="ABS",(100*RTD("tos.rtd",,"OPEN_INT","."&amp;M$2&amp;M$1&amp;"C"&amp;$A47)*RTD("tos.rtd",,"DELTA","."&amp;M$2&amp;M$1&amp;"C"&amp;$A47)+100*RTD("tos.rtd",,"OPEN_INT","."&amp;M$2&amp;M$1&amp;"P"&amp;$A47)*RTD("tos.rtd",,"DELTA","."&amp;M$2&amp;M$1&amp;"P"&amp;$A47))/1000,(100*RTD("tos.rtd",,"OPEN_INT","."&amp;M$2&amp;M$1&amp;"C"&amp;$A47)*RTD("tos.rtd",,"DELTA","."&amp;M$2&amp;M$1&amp;"C"&amp;$A47)-100*RTD("tos.rtd",,"OPEN_INT","."&amp;M$2&amp;M$1&amp;"P"&amp;$A47)*RTD("tos.rtd",,"DELTA","."&amp;M$2&amp;M$1&amp;"P"&amp;$A47))/1000),0),IF($A$2="VEX",IFERROR(IF($X$1="ABS",($A$4*$A$4*RTD("tos.rtd",,"VOLUME","."&amp;M$2&amp;M$1&amp;"C"&amp;$A47)*RTD("tos.rtd",,"GAMMA","."&amp;M$2&amp;M$1&amp;"C"&amp;$A47)+$A$4*$A$4*RTD("tos.rtd",,"VOLUME","."&amp;M$2&amp;M$1&amp;"P"&amp;$A47)*RTD("tos.rtd",,"GAMMA","."&amp;M$2&amp;M$1&amp;"P"&amp;$A47))/1000000,($A$4*$A$4*RTD("tos.rtd",,"VOLUME","."&amp;M$2&amp;M$1&amp;"C"&amp;$A47)*RTD("tos.rtd",,"GAMMA","."&amp;M$2&amp;M$1&amp;"C"&amp;$A47)-$A$4*$A$4*RTD("tos.rtd",,"VOLUME","."&amp;M$2&amp;M$1&amp;"P"&amp;$A47)*RTD("tos.rtd",,"GAMMA","."&amp;M$2&amp;M$1&amp;"P"&amp;$A47))/1000000),0),IF($A$2="GEX",IFERROR(IF($X$1="ABS",($A$4*$A$4*RTD("tos.rtd",,"OPEN_INT","."&amp;M$2&amp;M$1&amp;"C"&amp;$A47)*RTD("tos.rtd",,"GAMMA","."&amp;M$2&amp;M$1&amp;"C"&amp;$A47)+$A$4*$A$4*RTD("tos.rtd",,"OPEN_INT","."&amp;M$2&amp;M$1&amp;"P"&amp;$A47)*RTD("tos.rtd",,"GAMMA","."&amp;M$2&amp;M$1&amp;"P"&amp;$A47))/1000000,($A$4*$A$4*RTD("tos.rtd",,"OPEN_INT","."&amp;M$2&amp;M$1&amp;"C"&amp;$A47)*RTD("tos.rtd",,"GAMMA","."&amp;M$2&amp;M$1&amp;"C"&amp;$A47)-$A$4*$A$4*RTD("tos.rtd",,"OPEN_INT","."&amp;M$2&amp;M$1&amp;"P"&amp;$A47)*RTD("tos.rtd",,"GAMMA","."&amp;M$2&amp;M$1&amp;"P"&amp;$A47))/1000000),0),IF($A$2="SKEW",IFERROR(VALUE(IF(RTD("tos.rtd",,"IMPL_VOL","."&amp;M$2&amp;M$1&amp;"P"&amp;$A47)="N/A",0,RTD("tos.rtd",,"IMPL_VOL","."&amp;M$2&amp;M$1&amp;"P"&amp;$A47))),0)-IFERROR(VALUE(IF(RTD("tos.rtd",,"IMPL_VOL","."&amp;M$2&amp;M$1&amp;"C"&amp;$A47)="N/A",0,RTD("tos.rtd",,"IMPL_VOL","."&amp;M$2&amp;M$1&amp;"C"&amp;$A47))),0),IF($A$2="MAXPAIN",IF($A$4&gt;$A47,($A$4-$A47)*IF(RTD("tos.rtd",,"OPEN_INT","."&amp;M$2&amp;M$1&amp;"C"&amp;$A47)="N/A",0,RTD("tos.rtd",,"OPEN_INT","."&amp;M$2&amp;M$1&amp;"C"&amp;$A47)),0)+IF($A$4&lt;$A47,($A$5-$A$4)*IF(RTD("tos.rtd",,"OPEN_INT","."&amp;M$2&amp;M$1&amp;"P"&amp;$A47)="N/A",0,RTD("tos.rtd",,"OPEN_INT","."&amp;M$2&amp;M$1&amp;"P"&amp;$A47)),0),IF($X$1="ABS",IF(RTD("tos.rtd",,$A$2,"."&amp;M$2&amp;M$1&amp;"C"&amp;$A47)="N/A",0,RTD("tos.rtd",,$A$2,"."&amp;M$2&amp;M$1&amp;"C"&amp;$A47))+IF(RTD("tos.rtd",,$A$2,"."&amp;M$2&amp;M$1&amp;"P"&amp;$A47)="N/A",0,RTD("tos.rtd",,$A$2,"."&amp;M$2&amp;M$1&amp;"P"&amp;$A47)),IF(RTD("tos.rtd",,$A$2,"."&amp;M$2&amp;M$1&amp;"C"&amp;$A47)="N/A",0,RTD("tos.rtd",,$A$2,"."&amp;M$2&amp;M$1&amp;"C"&amp;$A47))-IF(RTD("tos.rtd",,$A$2,"."&amp;M$2&amp;M$1&amp;"P"&amp;$A47)="N/A",0,RTD("tos.rtd",,$A$2,"."&amp;M$2&amp;M$1&amp;"P"&amp;$A47))))))))))</f>
        <v>-2559</v>
      </c>
      <c r="N47" s="12">
        <f ca="1">IF($A$2="PREMIUM_OI",IFERROR(IF($X$1="ABS",(100*RTD("tos.rtd",,"OPEN_INT","."&amp;N$2&amp;N$1&amp;"C"&amp;$A47)*RTD("tos.rtd",,"LAST","."&amp;N$2&amp;N$1&amp;"C"&amp;$A47)+100*RTD("tos.rtd",,"OPEN_INT","."&amp;N$2&amp;N$1&amp;"P"&amp;$A47)*RTD("tos.rtd",,"LAST","."&amp;N$2&amp;N$1&amp;"P"&amp;$A47))/1000000,(100*RTD("tos.rtd",,"OPEN_INT","."&amp;N$2&amp;N$1&amp;"C"&amp;$A47)*RTD("tos.rtd",,"LAST","."&amp;N$2&amp;N$1&amp;"C"&amp;$A47)-100*RTD("tos.rtd",,"OPEN_INT","."&amp;N$2&amp;N$1&amp;"P"&amp;$A47)*RTD("tos.rtd",,"LAST","."&amp;N$2&amp;N$1&amp;"P"&amp;$A47))/1000000),0),IF($A$2="PREMIUM",IFERROR(IF($X$1="ABS",(100*RTD("tos.rtd",,"VOLUME","."&amp;N$2&amp;N$1&amp;"C"&amp;$A47)*RTD("tos.rtd",,"LAST","."&amp;N$2&amp;N$1&amp;"C"&amp;$A47)+100*RTD("tos.rtd",,"VOLUME","."&amp;N$2&amp;N$1&amp;"P"&amp;$A47)*RTD("tos.rtd",,"LAST","."&amp;N$2&amp;N$1&amp;"P"&amp;$A47))/1000000,(100*RTD("tos.rtd",,"VOLUME","."&amp;N$2&amp;N$1&amp;"C"&amp;$A47)*RTD("tos.rtd",,"LAST","."&amp;N$2&amp;N$1&amp;"C"&amp;$A47)-100*RTD("tos.rtd",,"VOLUME","."&amp;N$2&amp;N$1&amp;"P"&amp;$A47)*RTD("tos.rtd",,"LAST","."&amp;N$2&amp;N$1&amp;"P"&amp;$A47))/1000000),0),IF($A$2="DEX",IFERROR(IF($X$1="ABS",(100*RTD("tos.rtd",,"OPEN_INT","."&amp;N$2&amp;N$1&amp;"C"&amp;$A47)*RTD("tos.rtd",,"DELTA","."&amp;N$2&amp;N$1&amp;"C"&amp;$A47)+100*RTD("tos.rtd",,"OPEN_INT","."&amp;N$2&amp;N$1&amp;"P"&amp;$A47)*RTD("tos.rtd",,"DELTA","."&amp;N$2&amp;N$1&amp;"P"&amp;$A47))/1000,(100*RTD("tos.rtd",,"OPEN_INT","."&amp;N$2&amp;N$1&amp;"C"&amp;$A47)*RTD("tos.rtd",,"DELTA","."&amp;N$2&amp;N$1&amp;"C"&amp;$A47)-100*RTD("tos.rtd",,"OPEN_INT","."&amp;N$2&amp;N$1&amp;"P"&amp;$A47)*RTD("tos.rtd",,"DELTA","."&amp;N$2&amp;N$1&amp;"P"&amp;$A47))/1000),0),IF($A$2="VEX",IFERROR(IF($X$1="ABS",($A$4*$A$4*RTD("tos.rtd",,"VOLUME","."&amp;N$2&amp;N$1&amp;"C"&amp;$A47)*RTD("tos.rtd",,"GAMMA","."&amp;N$2&amp;N$1&amp;"C"&amp;$A47)+$A$4*$A$4*RTD("tos.rtd",,"VOLUME","."&amp;N$2&amp;N$1&amp;"P"&amp;$A47)*RTD("tos.rtd",,"GAMMA","."&amp;N$2&amp;N$1&amp;"P"&amp;$A47))/1000000,($A$4*$A$4*RTD("tos.rtd",,"VOLUME","."&amp;N$2&amp;N$1&amp;"C"&amp;$A47)*RTD("tos.rtd",,"GAMMA","."&amp;N$2&amp;N$1&amp;"C"&amp;$A47)-$A$4*$A$4*RTD("tos.rtd",,"VOLUME","."&amp;N$2&amp;N$1&amp;"P"&amp;$A47)*RTD("tos.rtd",,"GAMMA","."&amp;N$2&amp;N$1&amp;"P"&amp;$A47))/1000000),0),IF($A$2="GEX",IFERROR(IF($X$1="ABS",($A$4*$A$4*RTD("tos.rtd",,"OPEN_INT","."&amp;N$2&amp;N$1&amp;"C"&amp;$A47)*RTD("tos.rtd",,"GAMMA","."&amp;N$2&amp;N$1&amp;"C"&amp;$A47)+$A$4*$A$4*RTD("tos.rtd",,"OPEN_INT","."&amp;N$2&amp;N$1&amp;"P"&amp;$A47)*RTD("tos.rtd",,"GAMMA","."&amp;N$2&amp;N$1&amp;"P"&amp;$A47))/1000000,($A$4*$A$4*RTD("tos.rtd",,"OPEN_INT","."&amp;N$2&amp;N$1&amp;"C"&amp;$A47)*RTD("tos.rtd",,"GAMMA","."&amp;N$2&amp;N$1&amp;"C"&amp;$A47)-$A$4*$A$4*RTD("tos.rtd",,"OPEN_INT","."&amp;N$2&amp;N$1&amp;"P"&amp;$A47)*RTD("tos.rtd",,"GAMMA","."&amp;N$2&amp;N$1&amp;"P"&amp;$A47))/1000000),0),IF($A$2="SKEW",IFERROR(VALUE(IF(RTD("tos.rtd",,"IMPL_VOL","."&amp;N$2&amp;N$1&amp;"P"&amp;$A47)="N/A",0,RTD("tos.rtd",,"IMPL_VOL","."&amp;N$2&amp;N$1&amp;"P"&amp;$A47))),0)-IFERROR(VALUE(IF(RTD("tos.rtd",,"IMPL_VOL","."&amp;N$2&amp;N$1&amp;"C"&amp;$A47)="N/A",0,RTD("tos.rtd",,"IMPL_VOL","."&amp;N$2&amp;N$1&amp;"C"&amp;$A47))),0),IF($A$2="MAXPAIN",IF($A$4&gt;$A47,($A$4-$A47)*IF(RTD("tos.rtd",,"OPEN_INT","."&amp;N$2&amp;N$1&amp;"C"&amp;$A47)="N/A",0,RTD("tos.rtd",,"OPEN_INT","."&amp;N$2&amp;N$1&amp;"C"&amp;$A47)),0)+IF($A$4&lt;$A47,($A$5-$A$4)*IF(RTD("tos.rtd",,"OPEN_INT","."&amp;N$2&amp;N$1&amp;"P"&amp;$A47)="N/A",0,RTD("tos.rtd",,"OPEN_INT","."&amp;N$2&amp;N$1&amp;"P"&amp;$A47)),0),IF($X$1="ABS",IF(RTD("tos.rtd",,$A$2,"."&amp;N$2&amp;N$1&amp;"C"&amp;$A47)="N/A",0,RTD("tos.rtd",,$A$2,"."&amp;N$2&amp;N$1&amp;"C"&amp;$A47))+IF(RTD("tos.rtd",,$A$2,"."&amp;N$2&amp;N$1&amp;"P"&amp;$A47)="N/A",0,RTD("tos.rtd",,$A$2,"."&amp;N$2&amp;N$1&amp;"P"&amp;$A47)),IF(RTD("tos.rtd",,$A$2,"."&amp;N$2&amp;N$1&amp;"C"&amp;$A47)="N/A",0,RTD("tos.rtd",,$A$2,"."&amp;N$2&amp;N$1&amp;"C"&amp;$A47))-IF(RTD("tos.rtd",,$A$2,"."&amp;N$2&amp;N$1&amp;"P"&amp;$A47)="N/A",0,RTD("tos.rtd",,$A$2,"."&amp;N$2&amp;N$1&amp;"P"&amp;$A47))))))))))</f>
        <v>0</v>
      </c>
      <c r="O47" s="12">
        <f ca="1">IF($A$2="PREMIUM_OI",IFERROR(IF($X$1="ABS",(100*RTD("tos.rtd",,"OPEN_INT","."&amp;O$2&amp;O$1&amp;"C"&amp;$A47)*RTD("tos.rtd",,"LAST","."&amp;O$2&amp;O$1&amp;"C"&amp;$A47)+100*RTD("tos.rtd",,"OPEN_INT","."&amp;O$2&amp;O$1&amp;"P"&amp;$A47)*RTD("tos.rtd",,"LAST","."&amp;O$2&amp;O$1&amp;"P"&amp;$A47))/1000000,(100*RTD("tos.rtd",,"OPEN_INT","."&amp;O$2&amp;O$1&amp;"C"&amp;$A47)*RTD("tos.rtd",,"LAST","."&amp;O$2&amp;O$1&amp;"C"&amp;$A47)-100*RTD("tos.rtd",,"OPEN_INT","."&amp;O$2&amp;O$1&amp;"P"&amp;$A47)*RTD("tos.rtd",,"LAST","."&amp;O$2&amp;O$1&amp;"P"&amp;$A47))/1000000),0),IF($A$2="PREMIUM",IFERROR(IF($X$1="ABS",(100*RTD("tos.rtd",,"VOLUME","."&amp;O$2&amp;O$1&amp;"C"&amp;$A47)*RTD("tos.rtd",,"LAST","."&amp;O$2&amp;O$1&amp;"C"&amp;$A47)+100*RTD("tos.rtd",,"VOLUME","."&amp;O$2&amp;O$1&amp;"P"&amp;$A47)*RTD("tos.rtd",,"LAST","."&amp;O$2&amp;O$1&amp;"P"&amp;$A47))/1000000,(100*RTD("tos.rtd",,"VOLUME","."&amp;O$2&amp;O$1&amp;"C"&amp;$A47)*RTD("tos.rtd",,"LAST","."&amp;O$2&amp;O$1&amp;"C"&amp;$A47)-100*RTD("tos.rtd",,"VOLUME","."&amp;O$2&amp;O$1&amp;"P"&amp;$A47)*RTD("tos.rtd",,"LAST","."&amp;O$2&amp;O$1&amp;"P"&amp;$A47))/1000000),0),IF($A$2="DEX",IFERROR(IF($X$1="ABS",(100*RTD("tos.rtd",,"OPEN_INT","."&amp;O$2&amp;O$1&amp;"C"&amp;$A47)*RTD("tos.rtd",,"DELTA","."&amp;O$2&amp;O$1&amp;"C"&amp;$A47)+100*RTD("tos.rtd",,"OPEN_INT","."&amp;O$2&amp;O$1&amp;"P"&amp;$A47)*RTD("tos.rtd",,"DELTA","."&amp;O$2&amp;O$1&amp;"P"&amp;$A47))/1000,(100*RTD("tos.rtd",,"OPEN_INT","."&amp;O$2&amp;O$1&amp;"C"&amp;$A47)*RTD("tos.rtd",,"DELTA","."&amp;O$2&amp;O$1&amp;"C"&amp;$A47)-100*RTD("tos.rtd",,"OPEN_INT","."&amp;O$2&amp;O$1&amp;"P"&amp;$A47)*RTD("tos.rtd",,"DELTA","."&amp;O$2&amp;O$1&amp;"P"&amp;$A47))/1000),0),IF($A$2="VEX",IFERROR(IF($X$1="ABS",($A$4*$A$4*RTD("tos.rtd",,"VOLUME","."&amp;O$2&amp;O$1&amp;"C"&amp;$A47)*RTD("tos.rtd",,"GAMMA","."&amp;O$2&amp;O$1&amp;"C"&amp;$A47)+$A$4*$A$4*RTD("tos.rtd",,"VOLUME","."&amp;O$2&amp;O$1&amp;"P"&amp;$A47)*RTD("tos.rtd",,"GAMMA","."&amp;O$2&amp;O$1&amp;"P"&amp;$A47))/1000000,($A$4*$A$4*RTD("tos.rtd",,"VOLUME","."&amp;O$2&amp;O$1&amp;"C"&amp;$A47)*RTD("tos.rtd",,"GAMMA","."&amp;O$2&amp;O$1&amp;"C"&amp;$A47)-$A$4*$A$4*RTD("tos.rtd",,"VOLUME","."&amp;O$2&amp;O$1&amp;"P"&amp;$A47)*RTD("tos.rtd",,"GAMMA","."&amp;O$2&amp;O$1&amp;"P"&amp;$A47))/1000000),0),IF($A$2="GEX",IFERROR(IF($X$1="ABS",($A$4*$A$4*RTD("tos.rtd",,"OPEN_INT","."&amp;O$2&amp;O$1&amp;"C"&amp;$A47)*RTD("tos.rtd",,"GAMMA","."&amp;O$2&amp;O$1&amp;"C"&amp;$A47)+$A$4*$A$4*RTD("tos.rtd",,"OPEN_INT","."&amp;O$2&amp;O$1&amp;"P"&amp;$A47)*RTD("tos.rtd",,"GAMMA","."&amp;O$2&amp;O$1&amp;"P"&amp;$A47))/1000000,($A$4*$A$4*RTD("tos.rtd",,"OPEN_INT","."&amp;O$2&amp;O$1&amp;"C"&amp;$A47)*RTD("tos.rtd",,"GAMMA","."&amp;O$2&amp;O$1&amp;"C"&amp;$A47)-$A$4*$A$4*RTD("tos.rtd",,"OPEN_INT","."&amp;O$2&amp;O$1&amp;"P"&amp;$A47)*RTD("tos.rtd",,"GAMMA","."&amp;O$2&amp;O$1&amp;"P"&amp;$A47))/1000000),0),IF($A$2="SKEW",IFERROR(VALUE(IF(RTD("tos.rtd",,"IMPL_VOL","."&amp;O$2&amp;O$1&amp;"P"&amp;$A47)="N/A",0,RTD("tos.rtd",,"IMPL_VOL","."&amp;O$2&amp;O$1&amp;"P"&amp;$A47))),0)-IFERROR(VALUE(IF(RTD("tos.rtd",,"IMPL_VOL","."&amp;O$2&amp;O$1&amp;"C"&amp;$A47)="N/A",0,RTD("tos.rtd",,"IMPL_VOL","."&amp;O$2&amp;O$1&amp;"C"&amp;$A47))),0),IF($A$2="MAXPAIN",IF($A$4&gt;$A47,($A$4-$A47)*IF(RTD("tos.rtd",,"OPEN_INT","."&amp;O$2&amp;O$1&amp;"C"&amp;$A47)="N/A",0,RTD("tos.rtd",,"OPEN_INT","."&amp;O$2&amp;O$1&amp;"C"&amp;$A47)),0)+IF($A$4&lt;$A47,($A$5-$A$4)*IF(RTD("tos.rtd",,"OPEN_INT","."&amp;O$2&amp;O$1&amp;"P"&amp;$A47)="N/A",0,RTD("tos.rtd",,"OPEN_INT","."&amp;O$2&amp;O$1&amp;"P"&amp;$A47)),0),IF($X$1="ABS",IF(RTD("tos.rtd",,$A$2,"."&amp;O$2&amp;O$1&amp;"C"&amp;$A47)="N/A",0,RTD("tos.rtd",,$A$2,"."&amp;O$2&amp;O$1&amp;"C"&amp;$A47))+IF(RTD("tos.rtd",,$A$2,"."&amp;O$2&amp;O$1&amp;"P"&amp;$A47)="N/A",0,RTD("tos.rtd",,$A$2,"."&amp;O$2&amp;O$1&amp;"P"&amp;$A47)),IF(RTD("tos.rtd",,$A$2,"."&amp;O$2&amp;O$1&amp;"C"&amp;$A47)="N/A",0,RTD("tos.rtd",,$A$2,"."&amp;O$2&amp;O$1&amp;"C"&amp;$A47))-IF(RTD("tos.rtd",,$A$2,"."&amp;O$2&amp;O$1&amp;"P"&amp;$A47)="N/A",0,RTD("tos.rtd",,$A$2,"."&amp;O$2&amp;O$1&amp;"P"&amp;$A47))))))))))</f>
        <v>0</v>
      </c>
      <c r="P47" s="12">
        <f ca="1">IF($A$2="PREMIUM_OI",IFERROR(IF($X$1="ABS",(100*RTD("tos.rtd",,"OPEN_INT","."&amp;P$2&amp;P$1&amp;"C"&amp;$A47)*RTD("tos.rtd",,"LAST","."&amp;P$2&amp;P$1&amp;"C"&amp;$A47)+100*RTD("tos.rtd",,"OPEN_INT","."&amp;P$2&amp;P$1&amp;"P"&amp;$A47)*RTD("tos.rtd",,"LAST","."&amp;P$2&amp;P$1&amp;"P"&amp;$A47))/1000000,(100*RTD("tos.rtd",,"OPEN_INT","."&amp;P$2&amp;P$1&amp;"C"&amp;$A47)*RTD("tos.rtd",,"LAST","."&amp;P$2&amp;P$1&amp;"C"&amp;$A47)-100*RTD("tos.rtd",,"OPEN_INT","."&amp;P$2&amp;P$1&amp;"P"&amp;$A47)*RTD("tos.rtd",,"LAST","."&amp;P$2&amp;P$1&amp;"P"&amp;$A47))/1000000),0),IF($A$2="PREMIUM",IFERROR(IF($X$1="ABS",(100*RTD("tos.rtd",,"VOLUME","."&amp;P$2&amp;P$1&amp;"C"&amp;$A47)*RTD("tos.rtd",,"LAST","."&amp;P$2&amp;P$1&amp;"C"&amp;$A47)+100*RTD("tos.rtd",,"VOLUME","."&amp;P$2&amp;P$1&amp;"P"&amp;$A47)*RTD("tos.rtd",,"LAST","."&amp;P$2&amp;P$1&amp;"P"&amp;$A47))/1000000,(100*RTD("tos.rtd",,"VOLUME","."&amp;P$2&amp;P$1&amp;"C"&amp;$A47)*RTD("tos.rtd",,"LAST","."&amp;P$2&amp;P$1&amp;"C"&amp;$A47)-100*RTD("tos.rtd",,"VOLUME","."&amp;P$2&amp;P$1&amp;"P"&amp;$A47)*RTD("tos.rtd",,"LAST","."&amp;P$2&amp;P$1&amp;"P"&amp;$A47))/1000000),0),IF($A$2="DEX",IFERROR(IF($X$1="ABS",(100*RTD("tos.rtd",,"OPEN_INT","."&amp;P$2&amp;P$1&amp;"C"&amp;$A47)*RTD("tos.rtd",,"DELTA","."&amp;P$2&amp;P$1&amp;"C"&amp;$A47)+100*RTD("tos.rtd",,"OPEN_INT","."&amp;P$2&amp;P$1&amp;"P"&amp;$A47)*RTD("tos.rtd",,"DELTA","."&amp;P$2&amp;P$1&amp;"P"&amp;$A47))/1000,(100*RTD("tos.rtd",,"OPEN_INT","."&amp;P$2&amp;P$1&amp;"C"&amp;$A47)*RTD("tos.rtd",,"DELTA","."&amp;P$2&amp;P$1&amp;"C"&amp;$A47)-100*RTD("tos.rtd",,"OPEN_INT","."&amp;P$2&amp;P$1&amp;"P"&amp;$A47)*RTD("tos.rtd",,"DELTA","."&amp;P$2&amp;P$1&amp;"P"&amp;$A47))/1000),0),IF($A$2="VEX",IFERROR(IF($X$1="ABS",($A$4*$A$4*RTD("tos.rtd",,"VOLUME","."&amp;P$2&amp;P$1&amp;"C"&amp;$A47)*RTD("tos.rtd",,"GAMMA","."&amp;P$2&amp;P$1&amp;"C"&amp;$A47)+$A$4*$A$4*RTD("tos.rtd",,"VOLUME","."&amp;P$2&amp;P$1&amp;"P"&amp;$A47)*RTD("tos.rtd",,"GAMMA","."&amp;P$2&amp;P$1&amp;"P"&amp;$A47))/1000000,($A$4*$A$4*RTD("tos.rtd",,"VOLUME","."&amp;P$2&amp;P$1&amp;"C"&amp;$A47)*RTD("tos.rtd",,"GAMMA","."&amp;P$2&amp;P$1&amp;"C"&amp;$A47)-$A$4*$A$4*RTD("tos.rtd",,"VOLUME","."&amp;P$2&amp;P$1&amp;"P"&amp;$A47)*RTD("tos.rtd",,"GAMMA","."&amp;P$2&amp;P$1&amp;"P"&amp;$A47))/1000000),0),IF($A$2="GEX",IFERROR(IF($X$1="ABS",($A$4*$A$4*RTD("tos.rtd",,"OPEN_INT","."&amp;P$2&amp;P$1&amp;"C"&amp;$A47)*RTD("tos.rtd",,"GAMMA","."&amp;P$2&amp;P$1&amp;"C"&amp;$A47)+$A$4*$A$4*RTD("tos.rtd",,"OPEN_INT","."&amp;P$2&amp;P$1&amp;"P"&amp;$A47)*RTD("tos.rtd",,"GAMMA","."&amp;P$2&amp;P$1&amp;"P"&amp;$A47))/1000000,($A$4*$A$4*RTD("tos.rtd",,"OPEN_INT","."&amp;P$2&amp;P$1&amp;"C"&amp;$A47)*RTD("tos.rtd",,"GAMMA","."&amp;P$2&amp;P$1&amp;"C"&amp;$A47)-$A$4*$A$4*RTD("tos.rtd",,"OPEN_INT","."&amp;P$2&amp;P$1&amp;"P"&amp;$A47)*RTD("tos.rtd",,"GAMMA","."&amp;P$2&amp;P$1&amp;"P"&amp;$A47))/1000000),0),IF($A$2="SKEW",IFERROR(VALUE(IF(RTD("tos.rtd",,"IMPL_VOL","."&amp;P$2&amp;P$1&amp;"P"&amp;$A47)="N/A",0,RTD("tos.rtd",,"IMPL_VOL","."&amp;P$2&amp;P$1&amp;"P"&amp;$A47))),0)-IFERROR(VALUE(IF(RTD("tos.rtd",,"IMPL_VOL","."&amp;P$2&amp;P$1&amp;"C"&amp;$A47)="N/A",0,RTD("tos.rtd",,"IMPL_VOL","."&amp;P$2&amp;P$1&amp;"C"&amp;$A47))),0),IF($A$2="MAXPAIN",IF($A$4&gt;$A47,($A$4-$A47)*IF(RTD("tos.rtd",,"OPEN_INT","."&amp;P$2&amp;P$1&amp;"C"&amp;$A47)="N/A",0,RTD("tos.rtd",,"OPEN_INT","."&amp;P$2&amp;P$1&amp;"C"&amp;$A47)),0)+IF($A$4&lt;$A47,($A$5-$A$4)*IF(RTD("tos.rtd",,"OPEN_INT","."&amp;P$2&amp;P$1&amp;"P"&amp;$A47)="N/A",0,RTD("tos.rtd",,"OPEN_INT","."&amp;P$2&amp;P$1&amp;"P"&amp;$A47)),0),IF($X$1="ABS",IF(RTD("tos.rtd",,$A$2,"."&amp;P$2&amp;P$1&amp;"C"&amp;$A47)="N/A",0,RTD("tos.rtd",,$A$2,"."&amp;P$2&amp;P$1&amp;"C"&amp;$A47))+IF(RTD("tos.rtd",,$A$2,"."&amp;P$2&amp;P$1&amp;"P"&amp;$A47)="N/A",0,RTD("tos.rtd",,$A$2,"."&amp;P$2&amp;P$1&amp;"P"&amp;$A47)),IF(RTD("tos.rtd",,$A$2,"."&amp;P$2&amp;P$1&amp;"C"&amp;$A47)="N/A",0,RTD("tos.rtd",,$A$2,"."&amp;P$2&amp;P$1&amp;"C"&amp;$A47))-IF(RTD("tos.rtd",,$A$2,"."&amp;P$2&amp;P$1&amp;"P"&amp;$A47)="N/A",0,RTD("tos.rtd",,$A$2,"."&amp;P$2&amp;P$1&amp;"P"&amp;$A47))))))))))</f>
        <v>0</v>
      </c>
      <c r="Q47" s="12">
        <f ca="1">IF($A$2="PREMIUM_OI",IFERROR(IF($X$1="ABS",(100*RTD("tos.rtd",,"OPEN_INT","."&amp;Q$2&amp;Q$1&amp;"C"&amp;$A47)*RTD("tos.rtd",,"LAST","."&amp;Q$2&amp;Q$1&amp;"C"&amp;$A47)+100*RTD("tos.rtd",,"OPEN_INT","."&amp;Q$2&amp;Q$1&amp;"P"&amp;$A47)*RTD("tos.rtd",,"LAST","."&amp;Q$2&amp;Q$1&amp;"P"&amp;$A47))/1000000,(100*RTD("tos.rtd",,"OPEN_INT","."&amp;Q$2&amp;Q$1&amp;"C"&amp;$A47)*RTD("tos.rtd",,"LAST","."&amp;Q$2&amp;Q$1&amp;"C"&amp;$A47)-100*RTD("tos.rtd",,"OPEN_INT","."&amp;Q$2&amp;Q$1&amp;"P"&amp;$A47)*RTD("tos.rtd",,"LAST","."&amp;Q$2&amp;Q$1&amp;"P"&amp;$A47))/1000000),0),IF($A$2="PREMIUM",IFERROR(IF($X$1="ABS",(100*RTD("tos.rtd",,"VOLUME","."&amp;Q$2&amp;Q$1&amp;"C"&amp;$A47)*RTD("tos.rtd",,"LAST","."&amp;Q$2&amp;Q$1&amp;"C"&amp;$A47)+100*RTD("tos.rtd",,"VOLUME","."&amp;Q$2&amp;Q$1&amp;"P"&amp;$A47)*RTD("tos.rtd",,"LAST","."&amp;Q$2&amp;Q$1&amp;"P"&amp;$A47))/1000000,(100*RTD("tos.rtd",,"VOLUME","."&amp;Q$2&amp;Q$1&amp;"C"&amp;$A47)*RTD("tos.rtd",,"LAST","."&amp;Q$2&amp;Q$1&amp;"C"&amp;$A47)-100*RTD("tos.rtd",,"VOLUME","."&amp;Q$2&amp;Q$1&amp;"P"&amp;$A47)*RTD("tos.rtd",,"LAST","."&amp;Q$2&amp;Q$1&amp;"P"&amp;$A47))/1000000),0),IF($A$2="DEX",IFERROR(IF($X$1="ABS",(100*RTD("tos.rtd",,"OPEN_INT","."&amp;Q$2&amp;Q$1&amp;"C"&amp;$A47)*RTD("tos.rtd",,"DELTA","."&amp;Q$2&amp;Q$1&amp;"C"&amp;$A47)+100*RTD("tos.rtd",,"OPEN_INT","."&amp;Q$2&amp;Q$1&amp;"P"&amp;$A47)*RTD("tos.rtd",,"DELTA","."&amp;Q$2&amp;Q$1&amp;"P"&amp;$A47))/1000,(100*RTD("tos.rtd",,"OPEN_INT","."&amp;Q$2&amp;Q$1&amp;"C"&amp;$A47)*RTD("tos.rtd",,"DELTA","."&amp;Q$2&amp;Q$1&amp;"C"&amp;$A47)-100*RTD("tos.rtd",,"OPEN_INT","."&amp;Q$2&amp;Q$1&amp;"P"&amp;$A47)*RTD("tos.rtd",,"DELTA","."&amp;Q$2&amp;Q$1&amp;"P"&amp;$A47))/1000),0),IF($A$2="VEX",IFERROR(IF($X$1="ABS",($A$4*$A$4*RTD("tos.rtd",,"VOLUME","."&amp;Q$2&amp;Q$1&amp;"C"&amp;$A47)*RTD("tos.rtd",,"GAMMA","."&amp;Q$2&amp;Q$1&amp;"C"&amp;$A47)+$A$4*$A$4*RTD("tos.rtd",,"VOLUME","."&amp;Q$2&amp;Q$1&amp;"P"&amp;$A47)*RTD("tos.rtd",,"GAMMA","."&amp;Q$2&amp;Q$1&amp;"P"&amp;$A47))/1000000,($A$4*$A$4*RTD("tos.rtd",,"VOLUME","."&amp;Q$2&amp;Q$1&amp;"C"&amp;$A47)*RTD("tos.rtd",,"GAMMA","."&amp;Q$2&amp;Q$1&amp;"C"&amp;$A47)-$A$4*$A$4*RTD("tos.rtd",,"VOLUME","."&amp;Q$2&amp;Q$1&amp;"P"&amp;$A47)*RTD("tos.rtd",,"GAMMA","."&amp;Q$2&amp;Q$1&amp;"P"&amp;$A47))/1000000),0),IF($A$2="GEX",IFERROR(IF($X$1="ABS",($A$4*$A$4*RTD("tos.rtd",,"OPEN_INT","."&amp;Q$2&amp;Q$1&amp;"C"&amp;$A47)*RTD("tos.rtd",,"GAMMA","."&amp;Q$2&amp;Q$1&amp;"C"&amp;$A47)+$A$4*$A$4*RTD("tos.rtd",,"OPEN_INT","."&amp;Q$2&amp;Q$1&amp;"P"&amp;$A47)*RTD("tos.rtd",,"GAMMA","."&amp;Q$2&amp;Q$1&amp;"P"&amp;$A47))/1000000,($A$4*$A$4*RTD("tos.rtd",,"OPEN_INT","."&amp;Q$2&amp;Q$1&amp;"C"&amp;$A47)*RTD("tos.rtd",,"GAMMA","."&amp;Q$2&amp;Q$1&amp;"C"&amp;$A47)-$A$4*$A$4*RTD("tos.rtd",,"OPEN_INT","."&amp;Q$2&amp;Q$1&amp;"P"&amp;$A47)*RTD("tos.rtd",,"GAMMA","."&amp;Q$2&amp;Q$1&amp;"P"&amp;$A47))/1000000),0),IF($A$2="SKEW",IFERROR(VALUE(IF(RTD("tos.rtd",,"IMPL_VOL","."&amp;Q$2&amp;Q$1&amp;"P"&amp;$A47)="N/A",0,RTD("tos.rtd",,"IMPL_VOL","."&amp;Q$2&amp;Q$1&amp;"P"&amp;$A47))),0)-IFERROR(VALUE(IF(RTD("tos.rtd",,"IMPL_VOL","."&amp;Q$2&amp;Q$1&amp;"C"&amp;$A47)="N/A",0,RTD("tos.rtd",,"IMPL_VOL","."&amp;Q$2&amp;Q$1&amp;"C"&amp;$A47))),0),IF($A$2="MAXPAIN",IF($A$4&gt;$A47,($A$4-$A47)*IF(RTD("tos.rtd",,"OPEN_INT","."&amp;Q$2&amp;Q$1&amp;"C"&amp;$A47)="N/A",0,RTD("tos.rtd",,"OPEN_INT","."&amp;Q$2&amp;Q$1&amp;"C"&amp;$A47)),0)+IF($A$4&lt;$A47,($A$5-$A$4)*IF(RTD("tos.rtd",,"OPEN_INT","."&amp;Q$2&amp;Q$1&amp;"P"&amp;$A47)="N/A",0,RTD("tos.rtd",,"OPEN_INT","."&amp;Q$2&amp;Q$1&amp;"P"&amp;$A47)),0),IF($X$1="ABS",IF(RTD("tos.rtd",,$A$2,"."&amp;Q$2&amp;Q$1&amp;"C"&amp;$A47)="N/A",0,RTD("tos.rtd",,$A$2,"."&amp;Q$2&amp;Q$1&amp;"C"&amp;$A47))+IF(RTD("tos.rtd",,$A$2,"."&amp;Q$2&amp;Q$1&amp;"P"&amp;$A47)="N/A",0,RTD("tos.rtd",,$A$2,"."&amp;Q$2&amp;Q$1&amp;"P"&amp;$A47)),IF(RTD("tos.rtd",,$A$2,"."&amp;Q$2&amp;Q$1&amp;"C"&amp;$A47)="N/A",0,RTD("tos.rtd",,$A$2,"."&amp;Q$2&amp;Q$1&amp;"C"&amp;$A47))-IF(RTD("tos.rtd",,$A$2,"."&amp;Q$2&amp;Q$1&amp;"P"&amp;$A47)="N/A",0,RTD("tos.rtd",,$A$2,"."&amp;Q$2&amp;Q$1&amp;"P"&amp;$A47))))))))))</f>
        <v>0</v>
      </c>
      <c r="R47" s="12">
        <f ca="1">IF($A$2="PREMIUM_OI",IFERROR(IF($X$1="ABS",(100*RTD("tos.rtd",,"OPEN_INT","."&amp;R$2&amp;R$1&amp;"C"&amp;$A47)*RTD("tos.rtd",,"LAST","."&amp;R$2&amp;R$1&amp;"C"&amp;$A47)+100*RTD("tos.rtd",,"OPEN_INT","."&amp;R$2&amp;R$1&amp;"P"&amp;$A47)*RTD("tos.rtd",,"LAST","."&amp;R$2&amp;R$1&amp;"P"&amp;$A47))/1000000,(100*RTD("tos.rtd",,"OPEN_INT","."&amp;R$2&amp;R$1&amp;"C"&amp;$A47)*RTD("tos.rtd",,"LAST","."&amp;R$2&amp;R$1&amp;"C"&amp;$A47)-100*RTD("tos.rtd",,"OPEN_INT","."&amp;R$2&amp;R$1&amp;"P"&amp;$A47)*RTD("tos.rtd",,"LAST","."&amp;R$2&amp;R$1&amp;"P"&amp;$A47))/1000000),0),IF($A$2="PREMIUM",IFERROR(IF($X$1="ABS",(100*RTD("tos.rtd",,"VOLUME","."&amp;R$2&amp;R$1&amp;"C"&amp;$A47)*RTD("tos.rtd",,"LAST","."&amp;R$2&amp;R$1&amp;"C"&amp;$A47)+100*RTD("tos.rtd",,"VOLUME","."&amp;R$2&amp;R$1&amp;"P"&amp;$A47)*RTD("tos.rtd",,"LAST","."&amp;R$2&amp;R$1&amp;"P"&amp;$A47))/1000000,(100*RTD("tos.rtd",,"VOLUME","."&amp;R$2&amp;R$1&amp;"C"&amp;$A47)*RTD("tos.rtd",,"LAST","."&amp;R$2&amp;R$1&amp;"C"&amp;$A47)-100*RTD("tos.rtd",,"VOLUME","."&amp;R$2&amp;R$1&amp;"P"&amp;$A47)*RTD("tos.rtd",,"LAST","."&amp;R$2&amp;R$1&amp;"P"&amp;$A47))/1000000),0),IF($A$2="DEX",IFERROR(IF($X$1="ABS",(100*RTD("tos.rtd",,"OPEN_INT","."&amp;R$2&amp;R$1&amp;"C"&amp;$A47)*RTD("tos.rtd",,"DELTA","."&amp;R$2&amp;R$1&amp;"C"&amp;$A47)+100*RTD("tos.rtd",,"OPEN_INT","."&amp;R$2&amp;R$1&amp;"P"&amp;$A47)*RTD("tos.rtd",,"DELTA","."&amp;R$2&amp;R$1&amp;"P"&amp;$A47))/1000,(100*RTD("tos.rtd",,"OPEN_INT","."&amp;R$2&amp;R$1&amp;"C"&amp;$A47)*RTD("tos.rtd",,"DELTA","."&amp;R$2&amp;R$1&amp;"C"&amp;$A47)-100*RTD("tos.rtd",,"OPEN_INT","."&amp;R$2&amp;R$1&amp;"P"&amp;$A47)*RTD("tos.rtd",,"DELTA","."&amp;R$2&amp;R$1&amp;"P"&amp;$A47))/1000),0),IF($A$2="VEX",IFERROR(IF($X$1="ABS",($A$4*$A$4*RTD("tos.rtd",,"VOLUME","."&amp;R$2&amp;R$1&amp;"C"&amp;$A47)*RTD("tos.rtd",,"GAMMA","."&amp;R$2&amp;R$1&amp;"C"&amp;$A47)+$A$4*$A$4*RTD("tos.rtd",,"VOLUME","."&amp;R$2&amp;R$1&amp;"P"&amp;$A47)*RTD("tos.rtd",,"GAMMA","."&amp;R$2&amp;R$1&amp;"P"&amp;$A47))/1000000,($A$4*$A$4*RTD("tos.rtd",,"VOLUME","."&amp;R$2&amp;R$1&amp;"C"&amp;$A47)*RTD("tos.rtd",,"GAMMA","."&amp;R$2&amp;R$1&amp;"C"&amp;$A47)-$A$4*$A$4*RTD("tos.rtd",,"VOLUME","."&amp;R$2&amp;R$1&amp;"P"&amp;$A47)*RTD("tos.rtd",,"GAMMA","."&amp;R$2&amp;R$1&amp;"P"&amp;$A47))/1000000),0),IF($A$2="GEX",IFERROR(IF($X$1="ABS",($A$4*$A$4*RTD("tos.rtd",,"OPEN_INT","."&amp;R$2&amp;R$1&amp;"C"&amp;$A47)*RTD("tos.rtd",,"GAMMA","."&amp;R$2&amp;R$1&amp;"C"&amp;$A47)+$A$4*$A$4*RTD("tos.rtd",,"OPEN_INT","."&amp;R$2&amp;R$1&amp;"P"&amp;$A47)*RTD("tos.rtd",,"GAMMA","."&amp;R$2&amp;R$1&amp;"P"&amp;$A47))/1000000,($A$4*$A$4*RTD("tos.rtd",,"OPEN_INT","."&amp;R$2&amp;R$1&amp;"C"&amp;$A47)*RTD("tos.rtd",,"GAMMA","."&amp;R$2&amp;R$1&amp;"C"&amp;$A47)-$A$4*$A$4*RTD("tos.rtd",,"OPEN_INT","."&amp;R$2&amp;R$1&amp;"P"&amp;$A47)*RTD("tos.rtd",,"GAMMA","."&amp;R$2&amp;R$1&amp;"P"&amp;$A47))/1000000),0),IF($A$2="SKEW",IFERROR(VALUE(IF(RTD("tos.rtd",,"IMPL_VOL","."&amp;R$2&amp;R$1&amp;"P"&amp;$A47)="N/A",0,RTD("tos.rtd",,"IMPL_VOL","."&amp;R$2&amp;R$1&amp;"P"&amp;$A47))),0)-IFERROR(VALUE(IF(RTD("tos.rtd",,"IMPL_VOL","."&amp;R$2&amp;R$1&amp;"C"&amp;$A47)="N/A",0,RTD("tos.rtd",,"IMPL_VOL","."&amp;R$2&amp;R$1&amp;"C"&amp;$A47))),0),IF($A$2="MAXPAIN",IF($A$4&gt;$A47,($A$4-$A47)*IF(RTD("tos.rtd",,"OPEN_INT","."&amp;R$2&amp;R$1&amp;"C"&amp;$A47)="N/A",0,RTD("tos.rtd",,"OPEN_INT","."&amp;R$2&amp;R$1&amp;"C"&amp;$A47)),0)+IF($A$4&lt;$A47,($A$5-$A$4)*IF(RTD("tos.rtd",,"OPEN_INT","."&amp;R$2&amp;R$1&amp;"P"&amp;$A47)="N/A",0,RTD("tos.rtd",,"OPEN_INT","."&amp;R$2&amp;R$1&amp;"P"&amp;$A47)),0),IF($X$1="ABS",IF(RTD("tos.rtd",,$A$2,"."&amp;R$2&amp;R$1&amp;"C"&amp;$A47)="N/A",0,RTD("tos.rtd",,$A$2,"."&amp;R$2&amp;R$1&amp;"C"&amp;$A47))+IF(RTD("tos.rtd",,$A$2,"."&amp;R$2&amp;R$1&amp;"P"&amp;$A47)="N/A",0,RTD("tos.rtd",,$A$2,"."&amp;R$2&amp;R$1&amp;"P"&amp;$A47)),IF(RTD("tos.rtd",,$A$2,"."&amp;R$2&amp;R$1&amp;"C"&amp;$A47)="N/A",0,RTD("tos.rtd",,$A$2,"."&amp;R$2&amp;R$1&amp;"C"&amp;$A47))-IF(RTD("tos.rtd",,$A$2,"."&amp;R$2&amp;R$1&amp;"P"&amp;$A47)="N/A",0,RTD("tos.rtd",,$A$2,"."&amp;R$2&amp;R$1&amp;"P"&amp;$A47))))))))))</f>
        <v>0</v>
      </c>
      <c r="S47" s="12">
        <f ca="1">IF($A$2="PREMIUM_OI",IFERROR(IF($X$1="ABS",(100*RTD("tos.rtd",,"OPEN_INT","."&amp;S$2&amp;S$1&amp;"C"&amp;$A47)*RTD("tos.rtd",,"LAST","."&amp;S$2&amp;S$1&amp;"C"&amp;$A47)+100*RTD("tos.rtd",,"OPEN_INT","."&amp;S$2&amp;S$1&amp;"P"&amp;$A47)*RTD("tos.rtd",,"LAST","."&amp;S$2&amp;S$1&amp;"P"&amp;$A47))/1000000,(100*RTD("tos.rtd",,"OPEN_INT","."&amp;S$2&amp;S$1&amp;"C"&amp;$A47)*RTD("tos.rtd",,"LAST","."&amp;S$2&amp;S$1&amp;"C"&amp;$A47)-100*RTD("tos.rtd",,"OPEN_INT","."&amp;S$2&amp;S$1&amp;"P"&amp;$A47)*RTD("tos.rtd",,"LAST","."&amp;S$2&amp;S$1&amp;"P"&amp;$A47))/1000000),0),IF($A$2="PREMIUM",IFERROR(IF($X$1="ABS",(100*RTD("tos.rtd",,"VOLUME","."&amp;S$2&amp;S$1&amp;"C"&amp;$A47)*RTD("tos.rtd",,"LAST","."&amp;S$2&amp;S$1&amp;"C"&amp;$A47)+100*RTD("tos.rtd",,"VOLUME","."&amp;S$2&amp;S$1&amp;"P"&amp;$A47)*RTD("tos.rtd",,"LAST","."&amp;S$2&amp;S$1&amp;"P"&amp;$A47))/1000000,(100*RTD("tos.rtd",,"VOLUME","."&amp;S$2&amp;S$1&amp;"C"&amp;$A47)*RTD("tos.rtd",,"LAST","."&amp;S$2&amp;S$1&amp;"C"&amp;$A47)-100*RTD("tos.rtd",,"VOLUME","."&amp;S$2&amp;S$1&amp;"P"&amp;$A47)*RTD("tos.rtd",,"LAST","."&amp;S$2&amp;S$1&amp;"P"&amp;$A47))/1000000),0),IF($A$2="DEX",IFERROR(IF($X$1="ABS",(100*RTD("tos.rtd",,"OPEN_INT","."&amp;S$2&amp;S$1&amp;"C"&amp;$A47)*RTD("tos.rtd",,"DELTA","."&amp;S$2&amp;S$1&amp;"C"&amp;$A47)+100*RTD("tos.rtd",,"OPEN_INT","."&amp;S$2&amp;S$1&amp;"P"&amp;$A47)*RTD("tos.rtd",,"DELTA","."&amp;S$2&amp;S$1&amp;"P"&amp;$A47))/1000,(100*RTD("tos.rtd",,"OPEN_INT","."&amp;S$2&amp;S$1&amp;"C"&amp;$A47)*RTD("tos.rtd",,"DELTA","."&amp;S$2&amp;S$1&amp;"C"&amp;$A47)-100*RTD("tos.rtd",,"OPEN_INT","."&amp;S$2&amp;S$1&amp;"P"&amp;$A47)*RTD("tos.rtd",,"DELTA","."&amp;S$2&amp;S$1&amp;"P"&amp;$A47))/1000),0),IF($A$2="VEX",IFERROR(IF($X$1="ABS",($A$4*$A$4*RTD("tos.rtd",,"VOLUME","."&amp;S$2&amp;S$1&amp;"C"&amp;$A47)*RTD("tos.rtd",,"GAMMA","."&amp;S$2&amp;S$1&amp;"C"&amp;$A47)+$A$4*$A$4*RTD("tos.rtd",,"VOLUME","."&amp;S$2&amp;S$1&amp;"P"&amp;$A47)*RTD("tos.rtd",,"GAMMA","."&amp;S$2&amp;S$1&amp;"P"&amp;$A47))/1000000,($A$4*$A$4*RTD("tos.rtd",,"VOLUME","."&amp;S$2&amp;S$1&amp;"C"&amp;$A47)*RTD("tos.rtd",,"GAMMA","."&amp;S$2&amp;S$1&amp;"C"&amp;$A47)-$A$4*$A$4*RTD("tos.rtd",,"VOLUME","."&amp;S$2&amp;S$1&amp;"P"&amp;$A47)*RTD("tos.rtd",,"GAMMA","."&amp;S$2&amp;S$1&amp;"P"&amp;$A47))/1000000),0),IF($A$2="GEX",IFERROR(IF($X$1="ABS",($A$4*$A$4*RTD("tos.rtd",,"OPEN_INT","."&amp;S$2&amp;S$1&amp;"C"&amp;$A47)*RTD("tos.rtd",,"GAMMA","."&amp;S$2&amp;S$1&amp;"C"&amp;$A47)+$A$4*$A$4*RTD("tos.rtd",,"OPEN_INT","."&amp;S$2&amp;S$1&amp;"P"&amp;$A47)*RTD("tos.rtd",,"GAMMA","."&amp;S$2&amp;S$1&amp;"P"&amp;$A47))/1000000,($A$4*$A$4*RTD("tos.rtd",,"OPEN_INT","."&amp;S$2&amp;S$1&amp;"C"&amp;$A47)*RTD("tos.rtd",,"GAMMA","."&amp;S$2&amp;S$1&amp;"C"&amp;$A47)-$A$4*$A$4*RTD("tos.rtd",,"OPEN_INT","."&amp;S$2&amp;S$1&amp;"P"&amp;$A47)*RTD("tos.rtd",,"GAMMA","."&amp;S$2&amp;S$1&amp;"P"&amp;$A47))/1000000),0),IF($A$2="SKEW",IFERROR(VALUE(IF(RTD("tos.rtd",,"IMPL_VOL","."&amp;S$2&amp;S$1&amp;"P"&amp;$A47)="N/A",0,RTD("tos.rtd",,"IMPL_VOL","."&amp;S$2&amp;S$1&amp;"P"&amp;$A47))),0)-IFERROR(VALUE(IF(RTD("tos.rtd",,"IMPL_VOL","."&amp;S$2&amp;S$1&amp;"C"&amp;$A47)="N/A",0,RTD("tos.rtd",,"IMPL_VOL","."&amp;S$2&amp;S$1&amp;"C"&amp;$A47))),0),IF($A$2="MAXPAIN",IF($A$4&gt;$A47,($A$4-$A47)*IF(RTD("tos.rtd",,"OPEN_INT","."&amp;S$2&amp;S$1&amp;"C"&amp;$A47)="N/A",0,RTD("tos.rtd",,"OPEN_INT","."&amp;S$2&amp;S$1&amp;"C"&amp;$A47)),0)+IF($A$4&lt;$A47,($A$5-$A$4)*IF(RTD("tos.rtd",,"OPEN_INT","."&amp;S$2&amp;S$1&amp;"P"&amp;$A47)="N/A",0,RTD("tos.rtd",,"OPEN_INT","."&amp;S$2&amp;S$1&amp;"P"&amp;$A47)),0),IF($X$1="ABS",IF(RTD("tos.rtd",,$A$2,"."&amp;S$2&amp;S$1&amp;"C"&amp;$A47)="N/A",0,RTD("tos.rtd",,$A$2,"."&amp;S$2&amp;S$1&amp;"C"&amp;$A47))+IF(RTD("tos.rtd",,$A$2,"."&amp;S$2&amp;S$1&amp;"P"&amp;$A47)="N/A",0,RTD("tos.rtd",,$A$2,"."&amp;S$2&amp;S$1&amp;"P"&amp;$A47)),IF(RTD("tos.rtd",,$A$2,"."&amp;S$2&amp;S$1&amp;"C"&amp;$A47)="N/A",0,RTD("tos.rtd",,$A$2,"."&amp;S$2&amp;S$1&amp;"C"&amp;$A47))-IF(RTD("tos.rtd",,$A$2,"."&amp;S$2&amp;S$1&amp;"P"&amp;$A47)="N/A",0,RTD("tos.rtd",,$A$2,"."&amp;S$2&amp;S$1&amp;"P"&amp;$A47))))))))))</f>
        <v>0</v>
      </c>
      <c r="T47" s="12">
        <f ca="1">IF($A$2="PREMIUM_OI",IFERROR(IF($X$1="ABS",(100*RTD("tos.rtd",,"OPEN_INT","."&amp;T$2&amp;T$1&amp;"C"&amp;$A47)*RTD("tos.rtd",,"LAST","."&amp;T$2&amp;T$1&amp;"C"&amp;$A47)+100*RTD("tos.rtd",,"OPEN_INT","."&amp;T$2&amp;T$1&amp;"P"&amp;$A47)*RTD("tos.rtd",,"LAST","."&amp;T$2&amp;T$1&amp;"P"&amp;$A47))/1000000,(100*RTD("tos.rtd",,"OPEN_INT","."&amp;T$2&amp;T$1&amp;"C"&amp;$A47)*RTD("tos.rtd",,"LAST","."&amp;T$2&amp;T$1&amp;"C"&amp;$A47)-100*RTD("tos.rtd",,"OPEN_INT","."&amp;T$2&amp;T$1&amp;"P"&amp;$A47)*RTD("tos.rtd",,"LAST","."&amp;T$2&amp;T$1&amp;"P"&amp;$A47))/1000000),0),IF($A$2="PREMIUM",IFERROR(IF($X$1="ABS",(100*RTD("tos.rtd",,"VOLUME","."&amp;T$2&amp;T$1&amp;"C"&amp;$A47)*RTD("tos.rtd",,"LAST","."&amp;T$2&amp;T$1&amp;"C"&amp;$A47)+100*RTD("tos.rtd",,"VOLUME","."&amp;T$2&amp;T$1&amp;"P"&amp;$A47)*RTD("tos.rtd",,"LAST","."&amp;T$2&amp;T$1&amp;"P"&amp;$A47))/1000000,(100*RTD("tos.rtd",,"VOLUME","."&amp;T$2&amp;T$1&amp;"C"&amp;$A47)*RTD("tos.rtd",,"LAST","."&amp;T$2&amp;T$1&amp;"C"&amp;$A47)-100*RTD("tos.rtd",,"VOLUME","."&amp;T$2&amp;T$1&amp;"P"&amp;$A47)*RTD("tos.rtd",,"LAST","."&amp;T$2&amp;T$1&amp;"P"&amp;$A47))/1000000),0),IF($A$2="DEX",IFERROR(IF($X$1="ABS",(100*RTD("tos.rtd",,"OPEN_INT","."&amp;T$2&amp;T$1&amp;"C"&amp;$A47)*RTD("tos.rtd",,"DELTA","."&amp;T$2&amp;T$1&amp;"C"&amp;$A47)+100*RTD("tos.rtd",,"OPEN_INT","."&amp;T$2&amp;T$1&amp;"P"&amp;$A47)*RTD("tos.rtd",,"DELTA","."&amp;T$2&amp;T$1&amp;"P"&amp;$A47))/1000,(100*RTD("tos.rtd",,"OPEN_INT","."&amp;T$2&amp;T$1&amp;"C"&amp;$A47)*RTD("tos.rtd",,"DELTA","."&amp;T$2&amp;T$1&amp;"C"&amp;$A47)-100*RTD("tos.rtd",,"OPEN_INT","."&amp;T$2&amp;T$1&amp;"P"&amp;$A47)*RTD("tos.rtd",,"DELTA","."&amp;T$2&amp;T$1&amp;"P"&amp;$A47))/1000),0),IF($A$2="VEX",IFERROR(IF($X$1="ABS",($A$4*$A$4*RTD("tos.rtd",,"VOLUME","."&amp;T$2&amp;T$1&amp;"C"&amp;$A47)*RTD("tos.rtd",,"GAMMA","."&amp;T$2&amp;T$1&amp;"C"&amp;$A47)+$A$4*$A$4*RTD("tos.rtd",,"VOLUME","."&amp;T$2&amp;T$1&amp;"P"&amp;$A47)*RTD("tos.rtd",,"GAMMA","."&amp;T$2&amp;T$1&amp;"P"&amp;$A47))/1000000,($A$4*$A$4*RTD("tos.rtd",,"VOLUME","."&amp;T$2&amp;T$1&amp;"C"&amp;$A47)*RTD("tos.rtd",,"GAMMA","."&amp;T$2&amp;T$1&amp;"C"&amp;$A47)-$A$4*$A$4*RTD("tos.rtd",,"VOLUME","."&amp;T$2&amp;T$1&amp;"P"&amp;$A47)*RTD("tos.rtd",,"GAMMA","."&amp;T$2&amp;T$1&amp;"P"&amp;$A47))/1000000),0),IF($A$2="GEX",IFERROR(IF($X$1="ABS",($A$4*$A$4*RTD("tos.rtd",,"OPEN_INT","."&amp;T$2&amp;T$1&amp;"C"&amp;$A47)*RTD("tos.rtd",,"GAMMA","."&amp;T$2&amp;T$1&amp;"C"&amp;$A47)+$A$4*$A$4*RTD("tos.rtd",,"OPEN_INT","."&amp;T$2&amp;T$1&amp;"P"&amp;$A47)*RTD("tos.rtd",,"GAMMA","."&amp;T$2&amp;T$1&amp;"P"&amp;$A47))/1000000,($A$4*$A$4*RTD("tos.rtd",,"OPEN_INT","."&amp;T$2&amp;T$1&amp;"C"&amp;$A47)*RTD("tos.rtd",,"GAMMA","."&amp;T$2&amp;T$1&amp;"C"&amp;$A47)-$A$4*$A$4*RTD("tos.rtd",,"OPEN_INT","."&amp;T$2&amp;T$1&amp;"P"&amp;$A47)*RTD("tos.rtd",,"GAMMA","."&amp;T$2&amp;T$1&amp;"P"&amp;$A47))/1000000),0),IF($A$2="SKEW",IFERROR(VALUE(IF(RTD("tos.rtd",,"IMPL_VOL","."&amp;T$2&amp;T$1&amp;"P"&amp;$A47)="N/A",0,RTD("tos.rtd",,"IMPL_VOL","."&amp;T$2&amp;T$1&amp;"P"&amp;$A47))),0)-IFERROR(VALUE(IF(RTD("tos.rtd",,"IMPL_VOL","."&amp;T$2&amp;T$1&amp;"C"&amp;$A47)="N/A",0,RTD("tos.rtd",,"IMPL_VOL","."&amp;T$2&amp;T$1&amp;"C"&amp;$A47))),0),IF($A$2="MAXPAIN",IF($A$4&gt;$A47,($A$4-$A47)*IF(RTD("tos.rtd",,"OPEN_INT","."&amp;T$2&amp;T$1&amp;"C"&amp;$A47)="N/A",0,RTD("tos.rtd",,"OPEN_INT","."&amp;T$2&amp;T$1&amp;"C"&amp;$A47)),0)+IF($A$4&lt;$A47,($A$5-$A$4)*IF(RTD("tos.rtd",,"OPEN_INT","."&amp;T$2&amp;T$1&amp;"P"&amp;$A47)="N/A",0,RTD("tos.rtd",,"OPEN_INT","."&amp;T$2&amp;T$1&amp;"P"&amp;$A47)),0),IF($X$1="ABS",IF(RTD("tos.rtd",,$A$2,"."&amp;T$2&amp;T$1&amp;"C"&amp;$A47)="N/A",0,RTD("tos.rtd",,$A$2,"."&amp;T$2&amp;T$1&amp;"C"&amp;$A47))+IF(RTD("tos.rtd",,$A$2,"."&amp;T$2&amp;T$1&amp;"P"&amp;$A47)="N/A",0,RTD("tos.rtd",,$A$2,"."&amp;T$2&amp;T$1&amp;"P"&amp;$A47)),IF(RTD("tos.rtd",,$A$2,"."&amp;T$2&amp;T$1&amp;"C"&amp;$A47)="N/A",0,RTD("tos.rtd",,$A$2,"."&amp;T$2&amp;T$1&amp;"C"&amp;$A47))-IF(RTD("tos.rtd",,$A$2,"."&amp;T$2&amp;T$1&amp;"P"&amp;$A47)="N/A",0,RTD("tos.rtd",,$A$2,"."&amp;T$2&amp;T$1&amp;"P"&amp;$A47))))))))))</f>
        <v>0</v>
      </c>
      <c r="U47" s="12">
        <f ca="1">IF($A$2="PREMIUM_OI",IFERROR(IF($X$1="ABS",(100*RTD("tos.rtd",,"OPEN_INT","."&amp;U$2&amp;U$1&amp;"C"&amp;$A47)*RTD("tos.rtd",,"LAST","."&amp;U$2&amp;U$1&amp;"C"&amp;$A47)+100*RTD("tos.rtd",,"OPEN_INT","."&amp;U$2&amp;U$1&amp;"P"&amp;$A47)*RTD("tos.rtd",,"LAST","."&amp;U$2&amp;U$1&amp;"P"&amp;$A47))/1000000,(100*RTD("tos.rtd",,"OPEN_INT","."&amp;U$2&amp;U$1&amp;"C"&amp;$A47)*RTD("tos.rtd",,"LAST","."&amp;U$2&amp;U$1&amp;"C"&amp;$A47)-100*RTD("tos.rtd",,"OPEN_INT","."&amp;U$2&amp;U$1&amp;"P"&amp;$A47)*RTD("tos.rtd",,"LAST","."&amp;U$2&amp;U$1&amp;"P"&amp;$A47))/1000000),0),IF($A$2="PREMIUM",IFERROR(IF($X$1="ABS",(100*RTD("tos.rtd",,"VOLUME","."&amp;U$2&amp;U$1&amp;"C"&amp;$A47)*RTD("tos.rtd",,"LAST","."&amp;U$2&amp;U$1&amp;"C"&amp;$A47)+100*RTD("tos.rtd",,"VOLUME","."&amp;U$2&amp;U$1&amp;"P"&amp;$A47)*RTD("tos.rtd",,"LAST","."&amp;U$2&amp;U$1&amp;"P"&amp;$A47))/1000000,(100*RTD("tos.rtd",,"VOLUME","."&amp;U$2&amp;U$1&amp;"C"&amp;$A47)*RTD("tos.rtd",,"LAST","."&amp;U$2&amp;U$1&amp;"C"&amp;$A47)-100*RTD("tos.rtd",,"VOLUME","."&amp;U$2&amp;U$1&amp;"P"&amp;$A47)*RTD("tos.rtd",,"LAST","."&amp;U$2&amp;U$1&amp;"P"&amp;$A47))/1000000),0),IF($A$2="DEX",IFERROR(IF($X$1="ABS",(100*RTD("tos.rtd",,"OPEN_INT","."&amp;U$2&amp;U$1&amp;"C"&amp;$A47)*RTD("tos.rtd",,"DELTA","."&amp;U$2&amp;U$1&amp;"C"&amp;$A47)+100*RTD("tos.rtd",,"OPEN_INT","."&amp;U$2&amp;U$1&amp;"P"&amp;$A47)*RTD("tos.rtd",,"DELTA","."&amp;U$2&amp;U$1&amp;"P"&amp;$A47))/1000,(100*RTD("tos.rtd",,"OPEN_INT","."&amp;U$2&amp;U$1&amp;"C"&amp;$A47)*RTD("tos.rtd",,"DELTA","."&amp;U$2&amp;U$1&amp;"C"&amp;$A47)-100*RTD("tos.rtd",,"OPEN_INT","."&amp;U$2&amp;U$1&amp;"P"&amp;$A47)*RTD("tos.rtd",,"DELTA","."&amp;U$2&amp;U$1&amp;"P"&amp;$A47))/1000),0),IF($A$2="VEX",IFERROR(IF($X$1="ABS",($A$4*$A$4*RTD("tos.rtd",,"VOLUME","."&amp;U$2&amp;U$1&amp;"C"&amp;$A47)*RTD("tos.rtd",,"GAMMA","."&amp;U$2&amp;U$1&amp;"C"&amp;$A47)+$A$4*$A$4*RTD("tos.rtd",,"VOLUME","."&amp;U$2&amp;U$1&amp;"P"&amp;$A47)*RTD("tos.rtd",,"GAMMA","."&amp;U$2&amp;U$1&amp;"P"&amp;$A47))/1000000,($A$4*$A$4*RTD("tos.rtd",,"VOLUME","."&amp;U$2&amp;U$1&amp;"C"&amp;$A47)*RTD("tos.rtd",,"GAMMA","."&amp;U$2&amp;U$1&amp;"C"&amp;$A47)-$A$4*$A$4*RTD("tos.rtd",,"VOLUME","."&amp;U$2&amp;U$1&amp;"P"&amp;$A47)*RTD("tos.rtd",,"GAMMA","."&amp;U$2&amp;U$1&amp;"P"&amp;$A47))/1000000),0),IF($A$2="GEX",IFERROR(IF($X$1="ABS",($A$4*$A$4*RTD("tos.rtd",,"OPEN_INT","."&amp;U$2&amp;U$1&amp;"C"&amp;$A47)*RTD("tos.rtd",,"GAMMA","."&amp;U$2&amp;U$1&amp;"C"&amp;$A47)+$A$4*$A$4*RTD("tos.rtd",,"OPEN_INT","."&amp;U$2&amp;U$1&amp;"P"&amp;$A47)*RTD("tos.rtd",,"GAMMA","."&amp;U$2&amp;U$1&amp;"P"&amp;$A47))/1000000,($A$4*$A$4*RTD("tos.rtd",,"OPEN_INT","."&amp;U$2&amp;U$1&amp;"C"&amp;$A47)*RTD("tos.rtd",,"GAMMA","."&amp;U$2&amp;U$1&amp;"C"&amp;$A47)-$A$4*$A$4*RTD("tos.rtd",,"OPEN_INT","."&amp;U$2&amp;U$1&amp;"P"&amp;$A47)*RTD("tos.rtd",,"GAMMA","."&amp;U$2&amp;U$1&amp;"P"&amp;$A47))/1000000),0),IF($A$2="SKEW",IFERROR(VALUE(IF(RTD("tos.rtd",,"IMPL_VOL","."&amp;U$2&amp;U$1&amp;"P"&amp;$A47)="N/A",0,RTD("tos.rtd",,"IMPL_VOL","."&amp;U$2&amp;U$1&amp;"P"&amp;$A47))),0)-IFERROR(VALUE(IF(RTD("tos.rtd",,"IMPL_VOL","."&amp;U$2&amp;U$1&amp;"C"&amp;$A47)="N/A",0,RTD("tos.rtd",,"IMPL_VOL","."&amp;U$2&amp;U$1&amp;"C"&amp;$A47))),0),IF($A$2="MAXPAIN",IF($A$4&gt;$A47,($A$4-$A47)*IF(RTD("tos.rtd",,"OPEN_INT","."&amp;U$2&amp;U$1&amp;"C"&amp;$A47)="N/A",0,RTD("tos.rtd",,"OPEN_INT","."&amp;U$2&amp;U$1&amp;"C"&amp;$A47)),0)+IF($A$4&lt;$A47,($A$5-$A$4)*IF(RTD("tos.rtd",,"OPEN_INT","."&amp;U$2&amp;U$1&amp;"P"&amp;$A47)="N/A",0,RTD("tos.rtd",,"OPEN_INT","."&amp;U$2&amp;U$1&amp;"P"&amp;$A47)),0),IF($X$1="ABS",IF(RTD("tos.rtd",,$A$2,"."&amp;U$2&amp;U$1&amp;"C"&amp;$A47)="N/A",0,RTD("tos.rtd",,$A$2,"."&amp;U$2&amp;U$1&amp;"C"&amp;$A47))+IF(RTD("tos.rtd",,$A$2,"."&amp;U$2&amp;U$1&amp;"P"&amp;$A47)="N/A",0,RTD("tos.rtd",,$A$2,"."&amp;U$2&amp;U$1&amp;"P"&amp;$A47)),IF(RTD("tos.rtd",,$A$2,"."&amp;U$2&amp;U$1&amp;"C"&amp;$A47)="N/A",0,RTD("tos.rtd",,$A$2,"."&amp;U$2&amp;U$1&amp;"C"&amp;$A47))-IF(RTD("tos.rtd",,$A$2,"."&amp;U$2&amp;U$1&amp;"P"&amp;$A47)="N/A",0,RTD("tos.rtd",,$A$2,"."&amp;U$2&amp;U$1&amp;"P"&amp;$A47))))))))))</f>
        <v>0</v>
      </c>
      <c r="V47" s="12">
        <f ca="1">IF($A$2="PREMIUM_OI",IFERROR(IF($X$1="ABS",(100*RTD("tos.rtd",,"OPEN_INT","."&amp;V$2&amp;V$1&amp;"C"&amp;$A47)*RTD("tos.rtd",,"LAST","."&amp;V$2&amp;V$1&amp;"C"&amp;$A47)+100*RTD("tos.rtd",,"OPEN_INT","."&amp;V$2&amp;V$1&amp;"P"&amp;$A47)*RTD("tos.rtd",,"LAST","."&amp;V$2&amp;V$1&amp;"P"&amp;$A47))/1000000,(100*RTD("tos.rtd",,"OPEN_INT","."&amp;V$2&amp;V$1&amp;"C"&amp;$A47)*RTD("tos.rtd",,"LAST","."&amp;V$2&amp;V$1&amp;"C"&amp;$A47)-100*RTD("tos.rtd",,"OPEN_INT","."&amp;V$2&amp;V$1&amp;"P"&amp;$A47)*RTD("tos.rtd",,"LAST","."&amp;V$2&amp;V$1&amp;"P"&amp;$A47))/1000000),0),IF($A$2="PREMIUM",IFERROR(IF($X$1="ABS",(100*RTD("tos.rtd",,"VOLUME","."&amp;V$2&amp;V$1&amp;"C"&amp;$A47)*RTD("tos.rtd",,"LAST","."&amp;V$2&amp;V$1&amp;"C"&amp;$A47)+100*RTD("tos.rtd",,"VOLUME","."&amp;V$2&amp;V$1&amp;"P"&amp;$A47)*RTD("tos.rtd",,"LAST","."&amp;V$2&amp;V$1&amp;"P"&amp;$A47))/1000000,(100*RTD("tos.rtd",,"VOLUME","."&amp;V$2&amp;V$1&amp;"C"&amp;$A47)*RTD("tos.rtd",,"LAST","."&amp;V$2&amp;V$1&amp;"C"&amp;$A47)-100*RTD("tos.rtd",,"VOLUME","."&amp;V$2&amp;V$1&amp;"P"&amp;$A47)*RTD("tos.rtd",,"LAST","."&amp;V$2&amp;V$1&amp;"P"&amp;$A47))/1000000),0),IF($A$2="DEX",IFERROR(IF($X$1="ABS",(100*RTD("tos.rtd",,"OPEN_INT","."&amp;V$2&amp;V$1&amp;"C"&amp;$A47)*RTD("tos.rtd",,"DELTA","."&amp;V$2&amp;V$1&amp;"C"&amp;$A47)+100*RTD("tos.rtd",,"OPEN_INT","."&amp;V$2&amp;V$1&amp;"P"&amp;$A47)*RTD("tos.rtd",,"DELTA","."&amp;V$2&amp;V$1&amp;"P"&amp;$A47))/1000,(100*RTD("tos.rtd",,"OPEN_INT","."&amp;V$2&amp;V$1&amp;"C"&amp;$A47)*RTD("tos.rtd",,"DELTA","."&amp;V$2&amp;V$1&amp;"C"&amp;$A47)-100*RTD("tos.rtd",,"OPEN_INT","."&amp;V$2&amp;V$1&amp;"P"&amp;$A47)*RTD("tos.rtd",,"DELTA","."&amp;V$2&amp;V$1&amp;"P"&amp;$A47))/1000),0),IF($A$2="VEX",IFERROR(IF($X$1="ABS",($A$4*$A$4*RTD("tos.rtd",,"VOLUME","."&amp;V$2&amp;V$1&amp;"C"&amp;$A47)*RTD("tos.rtd",,"GAMMA","."&amp;V$2&amp;V$1&amp;"C"&amp;$A47)+$A$4*$A$4*RTD("tos.rtd",,"VOLUME","."&amp;V$2&amp;V$1&amp;"P"&amp;$A47)*RTD("tos.rtd",,"GAMMA","."&amp;V$2&amp;V$1&amp;"P"&amp;$A47))/1000000,($A$4*$A$4*RTD("tos.rtd",,"VOLUME","."&amp;V$2&amp;V$1&amp;"C"&amp;$A47)*RTD("tos.rtd",,"GAMMA","."&amp;V$2&amp;V$1&amp;"C"&amp;$A47)-$A$4*$A$4*RTD("tos.rtd",,"VOLUME","."&amp;V$2&amp;V$1&amp;"P"&amp;$A47)*RTD("tos.rtd",,"GAMMA","."&amp;V$2&amp;V$1&amp;"P"&amp;$A47))/1000000),0),IF($A$2="GEX",IFERROR(IF($X$1="ABS",($A$4*$A$4*RTD("tos.rtd",,"OPEN_INT","."&amp;V$2&amp;V$1&amp;"C"&amp;$A47)*RTD("tos.rtd",,"GAMMA","."&amp;V$2&amp;V$1&amp;"C"&amp;$A47)+$A$4*$A$4*RTD("tos.rtd",,"OPEN_INT","."&amp;V$2&amp;V$1&amp;"P"&amp;$A47)*RTD("tos.rtd",,"GAMMA","."&amp;V$2&amp;V$1&amp;"P"&amp;$A47))/1000000,($A$4*$A$4*RTD("tos.rtd",,"OPEN_INT","."&amp;V$2&amp;V$1&amp;"C"&amp;$A47)*RTD("tos.rtd",,"GAMMA","."&amp;V$2&amp;V$1&amp;"C"&amp;$A47)-$A$4*$A$4*RTD("tos.rtd",,"OPEN_INT","."&amp;V$2&amp;V$1&amp;"P"&amp;$A47)*RTD("tos.rtd",,"GAMMA","."&amp;V$2&amp;V$1&amp;"P"&amp;$A47))/1000000),0),IF($A$2="SKEW",IFERROR(VALUE(IF(RTD("tos.rtd",,"IMPL_VOL","."&amp;V$2&amp;V$1&amp;"P"&amp;$A47)="N/A",0,RTD("tos.rtd",,"IMPL_VOL","."&amp;V$2&amp;V$1&amp;"P"&amp;$A47))),0)-IFERROR(VALUE(IF(RTD("tos.rtd",,"IMPL_VOL","."&amp;V$2&amp;V$1&amp;"C"&amp;$A47)="N/A",0,RTD("tos.rtd",,"IMPL_VOL","."&amp;V$2&amp;V$1&amp;"C"&amp;$A47))),0),IF($A$2="MAXPAIN",IF($A$4&gt;$A47,($A$4-$A47)*IF(RTD("tos.rtd",,"OPEN_INT","."&amp;V$2&amp;V$1&amp;"C"&amp;$A47)="N/A",0,RTD("tos.rtd",,"OPEN_INT","."&amp;V$2&amp;V$1&amp;"C"&amp;$A47)),0)+IF($A$4&lt;$A47,($A$5-$A$4)*IF(RTD("tos.rtd",,"OPEN_INT","."&amp;V$2&amp;V$1&amp;"P"&amp;$A47)="N/A",0,RTD("tos.rtd",,"OPEN_INT","."&amp;V$2&amp;V$1&amp;"P"&amp;$A47)),0),IF($X$1="ABS",IF(RTD("tos.rtd",,$A$2,"."&amp;V$2&amp;V$1&amp;"C"&amp;$A47)="N/A",0,RTD("tos.rtd",,$A$2,"."&amp;V$2&amp;V$1&amp;"C"&amp;$A47))+IF(RTD("tos.rtd",,$A$2,"."&amp;V$2&amp;V$1&amp;"P"&amp;$A47)="N/A",0,RTD("tos.rtd",,$A$2,"."&amp;V$2&amp;V$1&amp;"P"&amp;$A47)),IF(RTD("tos.rtd",,$A$2,"."&amp;V$2&amp;V$1&amp;"C"&amp;$A47)="N/A",0,RTD("tos.rtd",,$A$2,"."&amp;V$2&amp;V$1&amp;"C"&amp;$A47))-IF(RTD("tos.rtd",,$A$2,"."&amp;V$2&amp;V$1&amp;"P"&amp;$A47)="N/A",0,RTD("tos.rtd",,$A$2,"."&amp;V$2&amp;V$1&amp;"P"&amp;$A47))))))))))</f>
        <v>0</v>
      </c>
      <c r="W47" s="12">
        <f ca="1">IF($A$2="PREMIUM_OI",IFERROR(IF($X$1="ABS",(100*RTD("tos.rtd",,"OPEN_INT","."&amp;W$2&amp;W$1&amp;"C"&amp;$A47)*RTD("tos.rtd",,"LAST","."&amp;W$2&amp;W$1&amp;"C"&amp;$A47)+100*RTD("tos.rtd",,"OPEN_INT","."&amp;W$2&amp;W$1&amp;"P"&amp;$A47)*RTD("tos.rtd",,"LAST","."&amp;W$2&amp;W$1&amp;"P"&amp;$A47))/1000000,(100*RTD("tos.rtd",,"OPEN_INT","."&amp;W$2&amp;W$1&amp;"C"&amp;$A47)*RTD("tos.rtd",,"LAST","."&amp;W$2&amp;W$1&amp;"C"&amp;$A47)-100*RTD("tos.rtd",,"OPEN_INT","."&amp;W$2&amp;W$1&amp;"P"&amp;$A47)*RTD("tos.rtd",,"LAST","."&amp;W$2&amp;W$1&amp;"P"&amp;$A47))/1000000),0),IF($A$2="PREMIUM",IFERROR(IF($X$1="ABS",(100*RTD("tos.rtd",,"VOLUME","."&amp;W$2&amp;W$1&amp;"C"&amp;$A47)*RTD("tos.rtd",,"LAST","."&amp;W$2&amp;W$1&amp;"C"&amp;$A47)+100*RTD("tos.rtd",,"VOLUME","."&amp;W$2&amp;W$1&amp;"P"&amp;$A47)*RTD("tos.rtd",,"LAST","."&amp;W$2&amp;W$1&amp;"P"&amp;$A47))/1000000,(100*RTD("tos.rtd",,"VOLUME","."&amp;W$2&amp;W$1&amp;"C"&amp;$A47)*RTD("tos.rtd",,"LAST","."&amp;W$2&amp;W$1&amp;"C"&amp;$A47)-100*RTD("tos.rtd",,"VOLUME","."&amp;W$2&amp;W$1&amp;"P"&amp;$A47)*RTD("tos.rtd",,"LAST","."&amp;W$2&amp;W$1&amp;"P"&amp;$A47))/1000000),0),IF($A$2="DEX",IFERROR(IF($X$1="ABS",(100*RTD("tos.rtd",,"OPEN_INT","."&amp;W$2&amp;W$1&amp;"C"&amp;$A47)*RTD("tos.rtd",,"DELTA","."&amp;W$2&amp;W$1&amp;"C"&amp;$A47)+100*RTD("tos.rtd",,"OPEN_INT","."&amp;W$2&amp;W$1&amp;"P"&amp;$A47)*RTD("tos.rtd",,"DELTA","."&amp;W$2&amp;W$1&amp;"P"&amp;$A47))/1000,(100*RTD("tos.rtd",,"OPEN_INT","."&amp;W$2&amp;W$1&amp;"C"&amp;$A47)*RTD("tos.rtd",,"DELTA","."&amp;W$2&amp;W$1&amp;"C"&amp;$A47)-100*RTD("tos.rtd",,"OPEN_INT","."&amp;W$2&amp;W$1&amp;"P"&amp;$A47)*RTD("tos.rtd",,"DELTA","."&amp;W$2&amp;W$1&amp;"P"&amp;$A47))/1000),0),IF($A$2="VEX",IFERROR(IF($X$1="ABS",($A$4*$A$4*RTD("tos.rtd",,"VOLUME","."&amp;W$2&amp;W$1&amp;"C"&amp;$A47)*RTD("tos.rtd",,"GAMMA","."&amp;W$2&amp;W$1&amp;"C"&amp;$A47)+$A$4*$A$4*RTD("tos.rtd",,"VOLUME","."&amp;W$2&amp;W$1&amp;"P"&amp;$A47)*RTD("tos.rtd",,"GAMMA","."&amp;W$2&amp;W$1&amp;"P"&amp;$A47))/1000000,($A$4*$A$4*RTD("tos.rtd",,"VOLUME","."&amp;W$2&amp;W$1&amp;"C"&amp;$A47)*RTD("tos.rtd",,"GAMMA","."&amp;W$2&amp;W$1&amp;"C"&amp;$A47)-$A$4*$A$4*RTD("tos.rtd",,"VOLUME","."&amp;W$2&amp;W$1&amp;"P"&amp;$A47)*RTD("tos.rtd",,"GAMMA","."&amp;W$2&amp;W$1&amp;"P"&amp;$A47))/1000000),0),IF($A$2="GEX",IFERROR(IF($X$1="ABS",($A$4*$A$4*RTD("tos.rtd",,"OPEN_INT","."&amp;W$2&amp;W$1&amp;"C"&amp;$A47)*RTD("tos.rtd",,"GAMMA","."&amp;W$2&amp;W$1&amp;"C"&amp;$A47)+$A$4*$A$4*RTD("tos.rtd",,"OPEN_INT","."&amp;W$2&amp;W$1&amp;"P"&amp;$A47)*RTD("tos.rtd",,"GAMMA","."&amp;W$2&amp;W$1&amp;"P"&amp;$A47))/1000000,($A$4*$A$4*RTD("tos.rtd",,"OPEN_INT","."&amp;W$2&amp;W$1&amp;"C"&amp;$A47)*RTD("tos.rtd",,"GAMMA","."&amp;W$2&amp;W$1&amp;"C"&amp;$A47)-$A$4*$A$4*RTD("tos.rtd",,"OPEN_INT","."&amp;W$2&amp;W$1&amp;"P"&amp;$A47)*RTD("tos.rtd",,"GAMMA","."&amp;W$2&amp;W$1&amp;"P"&amp;$A47))/1000000),0),IF($A$2="SKEW",IFERROR(VALUE(IF(RTD("tos.rtd",,"IMPL_VOL","."&amp;W$2&amp;W$1&amp;"P"&amp;$A47)="N/A",0,RTD("tos.rtd",,"IMPL_VOL","."&amp;W$2&amp;W$1&amp;"P"&amp;$A47))),0)-IFERROR(VALUE(IF(RTD("tos.rtd",,"IMPL_VOL","."&amp;W$2&amp;W$1&amp;"C"&amp;$A47)="N/A",0,RTD("tos.rtd",,"IMPL_VOL","."&amp;W$2&amp;W$1&amp;"C"&amp;$A47))),0),IF($A$2="MAXPAIN",IF($A$4&gt;$A47,($A$4-$A47)*IF(RTD("tos.rtd",,"OPEN_INT","."&amp;W$2&amp;W$1&amp;"C"&amp;$A47)="N/A",0,RTD("tos.rtd",,"OPEN_INT","."&amp;W$2&amp;W$1&amp;"C"&amp;$A47)),0)+IF($A$4&lt;$A47,($A$5-$A$4)*IF(RTD("tos.rtd",,"OPEN_INT","."&amp;W$2&amp;W$1&amp;"P"&amp;$A47)="N/A",0,RTD("tos.rtd",,"OPEN_INT","."&amp;W$2&amp;W$1&amp;"P"&amp;$A47)),0),IF($X$1="ABS",IF(RTD("tos.rtd",,$A$2,"."&amp;W$2&amp;W$1&amp;"C"&amp;$A47)="N/A",0,RTD("tos.rtd",,$A$2,"."&amp;W$2&amp;W$1&amp;"C"&amp;$A47))+IF(RTD("tos.rtd",,$A$2,"."&amp;W$2&amp;W$1&amp;"P"&amp;$A47)="N/A",0,RTD("tos.rtd",,$A$2,"."&amp;W$2&amp;W$1&amp;"P"&amp;$A47)),IF(RTD("tos.rtd",,$A$2,"."&amp;W$2&amp;W$1&amp;"C"&amp;$A47)="N/A",0,RTD("tos.rtd",,$A$2,"."&amp;W$2&amp;W$1&amp;"C"&amp;$A47))-IF(RTD("tos.rtd",,$A$2,"."&amp;W$2&amp;W$1&amp;"P"&amp;$A47)="N/A",0,RTD("tos.rtd",,$A$2,"."&amp;W$2&amp;W$1&amp;"P"&amp;$A47))))))))))</f>
        <v>0</v>
      </c>
      <c r="X47" s="57">
        <f t="shared" ca="1" si="7"/>
        <v>-23936</v>
      </c>
      <c r="Y47" s="27">
        <f t="shared" ca="1" si="8"/>
        <v>-23936</v>
      </c>
      <c r="Z47" s="27" t="b">
        <f t="shared" ca="1" si="9"/>
        <v>0</v>
      </c>
      <c r="AA47" s="27">
        <f t="shared" si="10"/>
        <v>49409400</v>
      </c>
      <c r="AB47" s="18">
        <f>MAX(0, $A47-AB$4)*IF(RTD("tos.rtd",,"OPEN_INT","."&amp;$AA$3&amp;$AA$4&amp;"C"&amp;AB$4)="N/A",0,RTD("tos.rtd",,"OPEN_INT","."&amp;$AA$3&amp;$AA$4&amp;"C"&amp;AB$4))*100 + MAX(0, AB$4-$A47)*IF(RTD("tos.rtd",,"OPEN_INT","."&amp;$AA$3&amp;$AA$4&amp;"P"&amp;AB$4)="N/A",0,RTD("tos.rtd",,"OPEN_INT","."&amp;$AA$3&amp;$AA$4&amp;"P"&amp;AB$4))*100</f>
        <v>0</v>
      </c>
      <c r="AC47" s="18">
        <f>MAX(0, $A47-AC$4)*IF(RTD("tos.rtd",,"OPEN_INT","."&amp;$AA$3&amp;$AA$4&amp;"C"&amp;AC$4)="N/A",0,RTD("tos.rtd",,"OPEN_INT","."&amp;$AA$3&amp;$AA$4&amp;"C"&amp;AC$4))*100 + MAX(0, AC$4-$A47)*IF(RTD("tos.rtd",,"OPEN_INT","."&amp;$AA$3&amp;$AA$4&amp;"P"&amp;AC$4)="N/A",0,RTD("tos.rtd",,"OPEN_INT","."&amp;$AA$3&amp;$AA$4&amp;"P"&amp;AC$4))*100</f>
        <v>0</v>
      </c>
      <c r="AD47" s="18">
        <f>MAX(0, $A47-AD$4)*IF(RTD("tos.rtd",,"OPEN_INT","."&amp;$AA$3&amp;$AA$4&amp;"C"&amp;AD$4)="N/A",0,RTD("tos.rtd",,"OPEN_INT","."&amp;$AA$3&amp;$AA$4&amp;"C"&amp;AD$4))*100 + MAX(0, AD$4-$A47)*IF(RTD("tos.rtd",,"OPEN_INT","."&amp;$AA$3&amp;$AA$4&amp;"P"&amp;AD$4)="N/A",0,RTD("tos.rtd",,"OPEN_INT","."&amp;$AA$3&amp;$AA$4&amp;"P"&amp;AD$4))*100</f>
        <v>0</v>
      </c>
      <c r="AE47" s="18">
        <f>MAX(0, $A47-AE$4)*IF(RTD("tos.rtd",,"OPEN_INT","."&amp;$AA$3&amp;$AA$4&amp;"C"&amp;AE$4)="N/A",0,RTD("tos.rtd",,"OPEN_INT","."&amp;$AA$3&amp;$AA$4&amp;"C"&amp;AE$4))*100 + MAX(0, AE$4-$A47)*IF(RTD("tos.rtd",,"OPEN_INT","."&amp;$AA$3&amp;$AA$4&amp;"P"&amp;AE$4)="N/A",0,RTD("tos.rtd",,"OPEN_INT","."&amp;$AA$3&amp;$AA$4&amp;"P"&amp;AE$4))*100</f>
        <v>0</v>
      </c>
      <c r="AF47" s="18">
        <f>MAX(0, $A47-AF$4)*IF(RTD("tos.rtd",,"OPEN_INT","."&amp;$AA$3&amp;$AA$4&amp;"C"&amp;AF$4)="N/A",0,RTD("tos.rtd",,"OPEN_INT","."&amp;$AA$3&amp;$AA$4&amp;"C"&amp;AF$4))*100 + MAX(0, AF$4-$A47)*IF(RTD("tos.rtd",,"OPEN_INT","."&amp;$AA$3&amp;$AA$4&amp;"P"&amp;AF$4)="N/A",0,RTD("tos.rtd",,"OPEN_INT","."&amp;$AA$3&amp;$AA$4&amp;"P"&amp;AF$4))*100</f>
        <v>0</v>
      </c>
      <c r="AG47" s="18">
        <f>MAX(0, $A47-AG$4)*IF(RTD("tos.rtd",,"OPEN_INT","."&amp;$AA$3&amp;$AA$4&amp;"C"&amp;AG$4)="N/A",0,RTD("tos.rtd",,"OPEN_INT","."&amp;$AA$3&amp;$AA$4&amp;"C"&amp;AG$4))*100 + MAX(0, AG$4-$A47)*IF(RTD("tos.rtd",,"OPEN_INT","."&amp;$AA$3&amp;$AA$4&amp;"P"&amp;AG$4)="N/A",0,RTD("tos.rtd",,"OPEN_INT","."&amp;$AA$3&amp;$AA$4&amp;"P"&amp;AG$4))*100</f>
        <v>0</v>
      </c>
      <c r="AH47" s="18">
        <f>MAX(0, $A47-AH$4)*IF(RTD("tos.rtd",,"OPEN_INT","."&amp;$AA$3&amp;$AA$4&amp;"C"&amp;AH$4)="N/A",0,RTD("tos.rtd",,"OPEN_INT","."&amp;$AA$3&amp;$AA$4&amp;"C"&amp;AH$4))*100 + MAX(0, AH$4-$A47)*IF(RTD("tos.rtd",,"OPEN_INT","."&amp;$AA$3&amp;$AA$4&amp;"P"&amp;AH$4)="N/A",0,RTD("tos.rtd",,"OPEN_INT","."&amp;$AA$3&amp;$AA$4&amp;"P"&amp;AH$4))*100</f>
        <v>0</v>
      </c>
      <c r="AI47" s="18">
        <f>MAX(0, $A47-AI$4)*IF(RTD("tos.rtd",,"OPEN_INT","."&amp;$AA$3&amp;$AA$4&amp;"C"&amp;AI$4)="N/A",0,RTD("tos.rtd",,"OPEN_INT","."&amp;$AA$3&amp;$AA$4&amp;"C"&amp;AI$4))*100 + MAX(0, AI$4-$A47)*IF(RTD("tos.rtd",,"OPEN_INT","."&amp;$AA$3&amp;$AA$4&amp;"P"&amp;AI$4)="N/A",0,RTD("tos.rtd",,"OPEN_INT","."&amp;$AA$3&amp;$AA$4&amp;"P"&amp;AI$4))*100</f>
        <v>5250</v>
      </c>
      <c r="AJ47" s="18">
        <f>MAX(0, $A47-AJ$4)*IF(RTD("tos.rtd",,"OPEN_INT","."&amp;$AA$3&amp;$AA$4&amp;"C"&amp;AJ$4)="N/A",0,RTD("tos.rtd",,"OPEN_INT","."&amp;$AA$3&amp;$AA$4&amp;"C"&amp;AJ$4))*100 + MAX(0, AJ$4-$A47)*IF(RTD("tos.rtd",,"OPEN_INT","."&amp;$AA$3&amp;$AA$4&amp;"P"&amp;AJ$4)="N/A",0,RTD("tos.rtd",,"OPEN_INT","."&amp;$AA$3&amp;$AA$4&amp;"P"&amp;AJ$4))*100</f>
        <v>13600</v>
      </c>
      <c r="AK47" s="18">
        <f>MAX(0, $A47-AK$4)*IF(RTD("tos.rtd",,"OPEN_INT","."&amp;$AA$3&amp;$AA$4&amp;"C"&amp;AK$4)="N/A",0,RTD("tos.rtd",,"OPEN_INT","."&amp;$AA$3&amp;$AA$4&amp;"C"&amp;AK$4))*100 + MAX(0, AK$4-$A47)*IF(RTD("tos.rtd",,"OPEN_INT","."&amp;$AA$3&amp;$AA$4&amp;"P"&amp;AK$4)="N/A",0,RTD("tos.rtd",,"OPEN_INT","."&amp;$AA$3&amp;$AA$4&amp;"P"&amp;AK$4))*100</f>
        <v>0</v>
      </c>
      <c r="AL47" s="18">
        <f>MAX(0, $A47-AL$4)*IF(RTD("tos.rtd",,"OPEN_INT","."&amp;$AA$3&amp;$AA$4&amp;"C"&amp;AL$4)="N/A",0,RTD("tos.rtd",,"OPEN_INT","."&amp;$AA$3&amp;$AA$4&amp;"C"&amp;AL$4))*100 + MAX(0, AL$4-$A47)*IF(RTD("tos.rtd",,"OPEN_INT","."&amp;$AA$3&amp;$AA$4&amp;"P"&amp;AL$4)="N/A",0,RTD("tos.rtd",,"OPEN_INT","."&amp;$AA$3&amp;$AA$4&amp;"P"&amp;AL$4))*100</f>
        <v>0</v>
      </c>
      <c r="AM47" s="18">
        <f>MAX(0, $A47-AM$4)*IF(RTD("tos.rtd",,"OPEN_INT","."&amp;$AA$3&amp;$AA$4&amp;"C"&amp;AM$4)="N/A",0,RTD("tos.rtd",,"OPEN_INT","."&amp;$AA$3&amp;$AA$4&amp;"C"&amp;AM$4))*100 + MAX(0, AM$4-$A47)*IF(RTD("tos.rtd",,"OPEN_INT","."&amp;$AA$3&amp;$AA$4&amp;"P"&amp;AM$4)="N/A",0,RTD("tos.rtd",,"OPEN_INT","."&amp;$AA$3&amp;$AA$4&amp;"P"&amp;AM$4))*100</f>
        <v>0</v>
      </c>
      <c r="AN47" s="18">
        <f>MAX(0, $A47-AN$4)*IF(RTD("tos.rtd",,"OPEN_INT","."&amp;$AA$3&amp;$AA$4&amp;"C"&amp;AN$4)="N/A",0,RTD("tos.rtd",,"OPEN_INT","."&amp;$AA$3&amp;$AA$4&amp;"C"&amp;AN$4))*100 + MAX(0, AN$4-$A47)*IF(RTD("tos.rtd",,"OPEN_INT","."&amp;$AA$3&amp;$AA$4&amp;"P"&amp;AN$4)="N/A",0,RTD("tos.rtd",,"OPEN_INT","."&amp;$AA$3&amp;$AA$4&amp;"P"&amp;AN$4))*100</f>
        <v>0</v>
      </c>
      <c r="AO47" s="18">
        <f>MAX(0, $A47-AO$4)*IF(RTD("tos.rtd",,"OPEN_INT","."&amp;$AA$3&amp;$AA$4&amp;"C"&amp;AO$4)="N/A",0,RTD("tos.rtd",,"OPEN_INT","."&amp;$AA$3&amp;$AA$4&amp;"C"&amp;AO$4))*100 + MAX(0, AO$4-$A47)*IF(RTD("tos.rtd",,"OPEN_INT","."&amp;$AA$3&amp;$AA$4&amp;"P"&amp;AO$4)="N/A",0,RTD("tos.rtd",,"OPEN_INT","."&amp;$AA$3&amp;$AA$4&amp;"P"&amp;AO$4))*100</f>
        <v>174000</v>
      </c>
      <c r="AP47" s="18">
        <f>MAX(0, $A47-AP$4)*IF(RTD("tos.rtd",,"OPEN_INT","."&amp;$AA$3&amp;$AA$4&amp;"C"&amp;AP$4)="N/A",0,RTD("tos.rtd",,"OPEN_INT","."&amp;$AA$3&amp;$AA$4&amp;"C"&amp;AP$4))*100 + MAX(0, AP$4-$A47)*IF(RTD("tos.rtd",,"OPEN_INT","."&amp;$AA$3&amp;$AA$4&amp;"P"&amp;AP$4)="N/A",0,RTD("tos.rtd",,"OPEN_INT","."&amp;$AA$3&amp;$AA$4&amp;"P"&amp;AP$4))*100</f>
        <v>0</v>
      </c>
      <c r="AQ47" s="18">
        <f>MAX(0, $A47-AQ$4)*IF(RTD("tos.rtd",,"OPEN_INT","."&amp;$AA$3&amp;$AA$4&amp;"C"&amp;AQ$4)="N/A",0,RTD("tos.rtd",,"OPEN_INT","."&amp;$AA$3&amp;$AA$4&amp;"C"&amp;AQ$4))*100 + MAX(0, AQ$4-$A47)*IF(RTD("tos.rtd",,"OPEN_INT","."&amp;$AA$3&amp;$AA$4&amp;"P"&amp;AQ$4)="N/A",0,RTD("tos.rtd",,"OPEN_INT","."&amp;$AA$3&amp;$AA$4&amp;"P"&amp;AQ$4))*100</f>
        <v>71550</v>
      </c>
      <c r="AR47" s="18">
        <f>MAX(0, $A47-AR$4)*IF(RTD("tos.rtd",,"OPEN_INT","."&amp;$AA$3&amp;$AA$4&amp;"C"&amp;AR$4)="N/A",0,RTD("tos.rtd",,"OPEN_INT","."&amp;$AA$3&amp;$AA$4&amp;"C"&amp;AR$4))*100 + MAX(0, AR$4-$A47)*IF(RTD("tos.rtd",,"OPEN_INT","."&amp;$AA$3&amp;$AA$4&amp;"P"&amp;AR$4)="N/A",0,RTD("tos.rtd",,"OPEN_INT","."&amp;$AA$3&amp;$AA$4&amp;"P"&amp;AR$4))*100</f>
        <v>7800</v>
      </c>
      <c r="AS47" s="18">
        <f>MAX(0, $A47-AS$4)*IF(RTD("tos.rtd",,"OPEN_INT","."&amp;$AA$3&amp;$AA$4&amp;"C"&amp;AS$4)="N/A",0,RTD("tos.rtd",,"OPEN_INT","."&amp;$AA$3&amp;$AA$4&amp;"C"&amp;AS$4))*100 + MAX(0, AS$4-$A47)*IF(RTD("tos.rtd",,"OPEN_INT","."&amp;$AA$3&amp;$AA$4&amp;"P"&amp;AS$4)="N/A",0,RTD("tos.rtd",,"OPEN_INT","."&amp;$AA$3&amp;$AA$4&amp;"P"&amp;AS$4))*100</f>
        <v>77500</v>
      </c>
      <c r="AT47" s="18">
        <f>MAX(0, $A47-AT$4)*IF(RTD("tos.rtd",,"OPEN_INT","."&amp;$AA$3&amp;$AA$4&amp;"C"&amp;AT$4)="N/A",0,RTD("tos.rtd",,"OPEN_INT","."&amp;$AA$3&amp;$AA$4&amp;"C"&amp;AT$4))*100 + MAX(0, AT$4-$A47)*IF(RTD("tos.rtd",,"OPEN_INT","."&amp;$AA$3&amp;$AA$4&amp;"P"&amp;AT$4)="N/A",0,RTD("tos.rtd",,"OPEN_INT","."&amp;$AA$3&amp;$AA$4&amp;"P"&amp;AT$4))*100</f>
        <v>84000</v>
      </c>
      <c r="AU47" s="18">
        <f>MAX(0, $A47-AU$4)*IF(RTD("tos.rtd",,"OPEN_INT","."&amp;$AA$3&amp;$AA$4&amp;"C"&amp;AU$4)="N/A",0,RTD("tos.rtd",,"OPEN_INT","."&amp;$AA$3&amp;$AA$4&amp;"C"&amp;AU$4))*100 + MAX(0, AU$4-$A47)*IF(RTD("tos.rtd",,"OPEN_INT","."&amp;$AA$3&amp;$AA$4&amp;"P"&amp;AU$4)="N/A",0,RTD("tos.rtd",,"OPEN_INT","."&amp;$AA$3&amp;$AA$4&amp;"P"&amp;AU$4))*100</f>
        <v>46000</v>
      </c>
      <c r="AV47" s="18">
        <f>MAX(0, $A47-AV$4)*IF(RTD("tos.rtd",,"OPEN_INT","."&amp;$AA$3&amp;$AA$4&amp;"C"&amp;AV$4)="N/A",0,RTD("tos.rtd",,"OPEN_INT","."&amp;$AA$3&amp;$AA$4&amp;"C"&amp;AV$4))*100 + MAX(0, AV$4-$A47)*IF(RTD("tos.rtd",,"OPEN_INT","."&amp;$AA$3&amp;$AA$4&amp;"P"&amp;AV$4)="N/A",0,RTD("tos.rtd",,"OPEN_INT","."&amp;$AA$3&amp;$AA$4&amp;"P"&amp;AV$4))*100</f>
        <v>177100</v>
      </c>
      <c r="AW47" s="18">
        <f>MAX(0, $A47-AW$4)*IF(RTD("tos.rtd",,"OPEN_INT","."&amp;$AA$3&amp;$AA$4&amp;"C"&amp;AW$4)="N/A",0,RTD("tos.rtd",,"OPEN_INT","."&amp;$AA$3&amp;$AA$4&amp;"C"&amp;AW$4))*100 + MAX(0, AW$4-$A47)*IF(RTD("tos.rtd",,"OPEN_INT","."&amp;$AA$3&amp;$AA$4&amp;"P"&amp;AW$4)="N/A",0,RTD("tos.rtd",,"OPEN_INT","."&amp;$AA$3&amp;$AA$4&amp;"P"&amp;AW$4))*100</f>
        <v>212100</v>
      </c>
      <c r="AX47" s="18">
        <f>MAX(0, $A47-AX$4)*IF(RTD("tos.rtd",,"OPEN_INT","."&amp;$AA$3&amp;$AA$4&amp;"C"&amp;AX$4)="N/A",0,RTD("tos.rtd",,"OPEN_INT","."&amp;$AA$3&amp;$AA$4&amp;"C"&amp;AX$4))*100 + MAX(0, AX$4-$A47)*IF(RTD("tos.rtd",,"OPEN_INT","."&amp;$AA$3&amp;$AA$4&amp;"P"&amp;AX$4)="N/A",0,RTD("tos.rtd",,"OPEN_INT","."&amp;$AA$3&amp;$AA$4&amp;"P"&amp;AX$4))*100</f>
        <v>247000</v>
      </c>
      <c r="AY47" s="18">
        <f>MAX(0, $A47-AY$4)*IF(RTD("tos.rtd",,"OPEN_INT","."&amp;$AA$3&amp;$AA$4&amp;"C"&amp;AY$4)="N/A",0,RTD("tos.rtd",,"OPEN_INT","."&amp;$AA$3&amp;$AA$4&amp;"C"&amp;AY$4))*100 + MAX(0, AY$4-$A47)*IF(RTD("tos.rtd",,"OPEN_INT","."&amp;$AA$3&amp;$AA$4&amp;"P"&amp;AY$4)="N/A",0,RTD("tos.rtd",,"OPEN_INT","."&amp;$AA$3&amp;$AA$4&amp;"P"&amp;AY$4))*100</f>
        <v>1970300</v>
      </c>
      <c r="AZ47" s="18">
        <f>MAX(0, $A47-AZ$4)*IF(RTD("tos.rtd",,"OPEN_INT","."&amp;$AA$3&amp;$AA$4&amp;"C"&amp;AZ$4)="N/A",0,RTD("tos.rtd",,"OPEN_INT","."&amp;$AA$3&amp;$AA$4&amp;"C"&amp;AZ$4))*100 + MAX(0, AZ$4-$A47)*IF(RTD("tos.rtd",,"OPEN_INT","."&amp;$AA$3&amp;$AA$4&amp;"P"&amp;AZ$4)="N/A",0,RTD("tos.rtd",,"OPEN_INT","."&amp;$AA$3&amp;$AA$4&amp;"P"&amp;AZ$4))*100</f>
        <v>511200</v>
      </c>
      <c r="BA47" s="18">
        <f>MAX(0, $A47-BA$4)*IF(RTD("tos.rtd",,"OPEN_INT","."&amp;$AA$3&amp;$AA$4&amp;"C"&amp;BA$4)="N/A",0,RTD("tos.rtd",,"OPEN_INT","."&amp;$AA$3&amp;$AA$4&amp;"C"&amp;BA$4))*100 + MAX(0, BA$4-$A47)*IF(RTD("tos.rtd",,"OPEN_INT","."&amp;$AA$3&amp;$AA$4&amp;"P"&amp;BA$4)="N/A",0,RTD("tos.rtd",,"OPEN_INT","."&amp;$AA$3&amp;$AA$4&amp;"P"&amp;BA$4))*100</f>
        <v>1989000</v>
      </c>
      <c r="BB47" s="18">
        <f>MAX(0, $A47-BB$4)*IF(RTD("tos.rtd",,"OPEN_INT","."&amp;$AA$3&amp;$AA$4&amp;"C"&amp;BB$4)="N/A",0,RTD("tos.rtd",,"OPEN_INT","."&amp;$AA$3&amp;$AA$4&amp;"C"&amp;BB$4))*100 + MAX(0, BB$4-$A47)*IF(RTD("tos.rtd",,"OPEN_INT","."&amp;$AA$3&amp;$AA$4&amp;"P"&amp;BB$4)="N/A",0,RTD("tos.rtd",,"OPEN_INT","."&amp;$AA$3&amp;$AA$4&amp;"P"&amp;BB$4))*100</f>
        <v>1827200</v>
      </c>
      <c r="BC47" s="18">
        <f>MAX(0, $A47-BC$4)*IF(RTD("tos.rtd",,"OPEN_INT","."&amp;$AA$3&amp;$AA$4&amp;"C"&amp;BC$4)="N/A",0,RTD("tos.rtd",,"OPEN_INT","."&amp;$AA$3&amp;$AA$4&amp;"C"&amp;BC$4))*100 + MAX(0, BC$4-$A47)*IF(RTD("tos.rtd",,"OPEN_INT","."&amp;$AA$3&amp;$AA$4&amp;"P"&amp;BC$4)="N/A",0,RTD("tos.rtd",,"OPEN_INT","."&amp;$AA$3&amp;$AA$4&amp;"P"&amp;BC$4))*100</f>
        <v>5738250</v>
      </c>
      <c r="BD47" s="18">
        <f>MAX(0, $A47-BD$4)*IF(RTD("tos.rtd",,"OPEN_INT","."&amp;$AA$3&amp;$AA$4&amp;"C"&amp;BD$4)="N/A",0,RTD("tos.rtd",,"OPEN_INT","."&amp;$AA$3&amp;$AA$4&amp;"C"&amp;BD$4))*100 + MAX(0, BD$4-$A47)*IF(RTD("tos.rtd",,"OPEN_INT","."&amp;$AA$3&amp;$AA$4&amp;"P"&amp;BD$4)="N/A",0,RTD("tos.rtd",,"OPEN_INT","."&amp;$AA$3&amp;$AA$4&amp;"P"&amp;BD$4))*100</f>
        <v>6874700</v>
      </c>
      <c r="BE47" s="18">
        <f>MAX(0, $A47-BE$4)*IF(RTD("tos.rtd",,"OPEN_INT","."&amp;$AA$3&amp;$AA$4&amp;"C"&amp;BE$4)="N/A",0,RTD("tos.rtd",,"OPEN_INT","."&amp;$AA$3&amp;$AA$4&amp;"C"&amp;BE$4))*100 + MAX(0, BE$4-$A47)*IF(RTD("tos.rtd",,"OPEN_INT","."&amp;$AA$3&amp;$AA$4&amp;"P"&amp;BE$4)="N/A",0,RTD("tos.rtd",,"OPEN_INT","."&amp;$AA$3&amp;$AA$4&amp;"P"&amp;BE$4))*100</f>
        <v>7225400</v>
      </c>
      <c r="BF47" s="18">
        <f>MAX(0, $A47-BF$4)*IF(RTD("tos.rtd",,"OPEN_INT","."&amp;$AA$3&amp;$AA$4&amp;"C"&amp;BF$4)="N/A",0,RTD("tos.rtd",,"OPEN_INT","."&amp;$AA$3&amp;$AA$4&amp;"C"&amp;BF$4))*100 + MAX(0, BF$4-$A47)*IF(RTD("tos.rtd",,"OPEN_INT","."&amp;$AA$3&amp;$AA$4&amp;"P"&amp;BF$4)="N/A",0,RTD("tos.rtd",,"OPEN_INT","."&amp;$AA$3&amp;$AA$4&amp;"P"&amp;BF$4))*100</f>
        <v>8345400</v>
      </c>
      <c r="BG47" s="18">
        <f>MAX(0, $A47-BG$4)*IF(RTD("tos.rtd",,"OPEN_INT","."&amp;$AA$3&amp;$AA$4&amp;"C"&amp;BG$4)="N/A",0,RTD("tos.rtd",,"OPEN_INT","."&amp;$AA$3&amp;$AA$4&amp;"C"&amp;BG$4))*100 + MAX(0, BG$4-$A47)*IF(RTD("tos.rtd",,"OPEN_INT","."&amp;$AA$3&amp;$AA$4&amp;"P"&amp;BG$4)="N/A",0,RTD("tos.rtd",,"OPEN_INT","."&amp;$AA$3&amp;$AA$4&amp;"P"&amp;BG$4))*100</f>
        <v>4991250</v>
      </c>
      <c r="BH47" s="18">
        <f>MAX(0, $A47-BH$4)*IF(RTD("tos.rtd",,"OPEN_INT","."&amp;$AA$3&amp;$AA$4&amp;"C"&amp;BH$4)="N/A",0,RTD("tos.rtd",,"OPEN_INT","."&amp;$AA$3&amp;$AA$4&amp;"C"&amp;BH$4))*100 + MAX(0, BH$4-$A47)*IF(RTD("tos.rtd",,"OPEN_INT","."&amp;$AA$3&amp;$AA$4&amp;"P"&amp;BH$4)="N/A",0,RTD("tos.rtd",,"OPEN_INT","."&amp;$AA$3&amp;$AA$4&amp;"P"&amp;BH$4))*100</f>
        <v>3211500</v>
      </c>
      <c r="BI47" s="18">
        <f>MAX(0, $A47-BI$4)*IF(RTD("tos.rtd",,"OPEN_INT","."&amp;$AA$3&amp;$AA$4&amp;"C"&amp;BI$4)="N/A",0,RTD("tos.rtd",,"OPEN_INT","."&amp;$AA$3&amp;$AA$4&amp;"C"&amp;BI$4))*100 + MAX(0, BI$4-$A47)*IF(RTD("tos.rtd",,"OPEN_INT","."&amp;$AA$3&amp;$AA$4&amp;"P"&amp;BI$4)="N/A",0,RTD("tos.rtd",,"OPEN_INT","."&amp;$AA$3&amp;$AA$4&amp;"P"&amp;BI$4))*100</f>
        <v>3611250</v>
      </c>
      <c r="BJ47" s="18">
        <f>MAX(0, $A47-BJ$4)*IF(RTD("tos.rtd",,"OPEN_INT","."&amp;$AA$3&amp;$AA$4&amp;"C"&amp;BJ$4)="N/A",0,RTD("tos.rtd",,"OPEN_INT","."&amp;$AA$3&amp;$AA$4&amp;"C"&amp;BJ$4))*100 + MAX(0, BJ$4-$A47)*IF(RTD("tos.rtd",,"OPEN_INT","."&amp;$AA$3&amp;$AA$4&amp;"P"&amp;BJ$4)="N/A",0,RTD("tos.rtd",,"OPEN_INT","."&amp;$AA$3&amp;$AA$4&amp;"P"&amp;BJ$4))*100</f>
        <v>873200</v>
      </c>
      <c r="BK47" s="18">
        <f>MAX(0, $A47-BK$4)*IF(RTD("tos.rtd",,"OPEN_INT","."&amp;$AA$3&amp;$AA$4&amp;"C"&amp;BK$4)="N/A",0,RTD("tos.rtd",,"OPEN_INT","."&amp;$AA$3&amp;$AA$4&amp;"C"&amp;BK$4))*100 + MAX(0, BK$4-$A47)*IF(RTD("tos.rtd",,"OPEN_INT","."&amp;$AA$3&amp;$AA$4&amp;"P"&amp;BK$4)="N/A",0,RTD("tos.rtd",,"OPEN_INT","."&amp;$AA$3&amp;$AA$4&amp;"P"&amp;BK$4))*100</f>
        <v>819000</v>
      </c>
      <c r="BL47" s="18">
        <f>MAX(0, $A47-BL$4)*IF(RTD("tos.rtd",,"OPEN_INT","."&amp;$AA$3&amp;$AA$4&amp;"C"&amp;BL$4)="N/A",0,RTD("tos.rtd",,"OPEN_INT","."&amp;$AA$3&amp;$AA$4&amp;"C"&amp;BL$4))*100 + MAX(0, BL$4-$A47)*IF(RTD("tos.rtd",,"OPEN_INT","."&amp;$AA$3&amp;$AA$4&amp;"P"&amp;BL$4)="N/A",0,RTD("tos.rtd",,"OPEN_INT","."&amp;$AA$3&amp;$AA$4&amp;"P"&amp;BL$4))*100</f>
        <v>117600</v>
      </c>
      <c r="BM47" s="18">
        <f>MAX(0, $A47-BM$4)*IF(RTD("tos.rtd",,"OPEN_INT","."&amp;$AA$3&amp;$AA$4&amp;"C"&amp;BM$4)="N/A",0,RTD("tos.rtd",,"OPEN_INT","."&amp;$AA$3&amp;$AA$4&amp;"C"&amp;BM$4))*100 + MAX(0, BM$4-$A47)*IF(RTD("tos.rtd",,"OPEN_INT","."&amp;$AA$3&amp;$AA$4&amp;"P"&amp;BM$4)="N/A",0,RTD("tos.rtd",,"OPEN_INT","."&amp;$AA$3&amp;$AA$4&amp;"P"&amp;BM$4))*100</f>
        <v>108750</v>
      </c>
      <c r="BN47" s="18">
        <f>MAX(0, $A47-BN$4)*IF(RTD("tos.rtd",,"OPEN_INT","."&amp;$AA$3&amp;$AA$4&amp;"C"&amp;BN$4)="N/A",0,RTD("tos.rtd",,"OPEN_INT","."&amp;$AA$3&amp;$AA$4&amp;"C"&amp;BN$4))*100 + MAX(0, BN$4-$A47)*IF(RTD("tos.rtd",,"OPEN_INT","."&amp;$AA$3&amp;$AA$4&amp;"P"&amp;BN$4)="N/A",0,RTD("tos.rtd",,"OPEN_INT","."&amp;$AA$3&amp;$AA$4&amp;"P"&amp;BN$4))*100</f>
        <v>12600</v>
      </c>
      <c r="BO47" s="18">
        <f>MAX(0, $A47-BO$4)*IF(RTD("tos.rtd",,"OPEN_INT","."&amp;$AA$3&amp;$AA$4&amp;"C"&amp;BO$4)="N/A",0,RTD("tos.rtd",,"OPEN_INT","."&amp;$AA$3&amp;$AA$4&amp;"C"&amp;BO$4))*100 + MAX(0, BO$4-$A47)*IF(RTD("tos.rtd",,"OPEN_INT","."&amp;$AA$3&amp;$AA$4&amp;"P"&amp;BO$4)="N/A",0,RTD("tos.rtd",,"OPEN_INT","."&amp;$AA$3&amp;$AA$4&amp;"P"&amp;BO$4))*100</f>
        <v>66900</v>
      </c>
      <c r="BP47" s="18">
        <f>MAX(0, $A47-BP$4)*IF(RTD("tos.rtd",,"OPEN_INT","."&amp;$AA$3&amp;$AA$4&amp;"C"&amp;BP$4)="N/A",0,RTD("tos.rtd",,"OPEN_INT","."&amp;$AA$3&amp;$AA$4&amp;"C"&amp;BP$4))*100 + MAX(0, BP$4-$A47)*IF(RTD("tos.rtd",,"OPEN_INT","."&amp;$AA$3&amp;$AA$4&amp;"P"&amp;BP$4)="N/A",0,RTD("tos.rtd",,"OPEN_INT","."&amp;$AA$3&amp;$AA$4&amp;"P"&amp;BP$4))*100</f>
        <v>0</v>
      </c>
      <c r="BQ47" s="18">
        <f>MAX(0, $A47-BQ$4)*IF(RTD("tos.rtd",,"OPEN_INT","."&amp;$AA$3&amp;$AA$4&amp;"C"&amp;BQ$4)="N/A",0,RTD("tos.rtd",,"OPEN_INT","."&amp;$AA$3&amp;$AA$4&amp;"C"&amp;BQ$4))*100 + MAX(0, BQ$4-$A47)*IF(RTD("tos.rtd",,"OPEN_INT","."&amp;$AA$3&amp;$AA$4&amp;"P"&amp;BQ$4)="N/A",0,RTD("tos.rtd",,"OPEN_INT","."&amp;$AA$3&amp;$AA$4&amp;"P"&amp;BQ$4))*100</f>
        <v>0</v>
      </c>
      <c r="BR47" s="18">
        <f>MAX(0, $A47-BR$4)*IF(RTD("tos.rtd",,"OPEN_INT","."&amp;$AA$3&amp;$AA$4&amp;"C"&amp;BR$4)="N/A",0,RTD("tos.rtd",,"OPEN_INT","."&amp;$AA$3&amp;$AA$4&amp;"C"&amp;BR$4))*100 + MAX(0, BR$4-$A47)*IF(RTD("tos.rtd",,"OPEN_INT","."&amp;$AA$3&amp;$AA$4&amp;"P"&amp;BR$4)="N/A",0,RTD("tos.rtd",,"OPEN_INT","."&amp;$AA$3&amp;$AA$4&amp;"P"&amp;BR$4))*100</f>
        <v>0</v>
      </c>
      <c r="BS47" s="18">
        <f>MAX(0, $A47-BS$4)*IF(RTD("tos.rtd",,"OPEN_INT","."&amp;$AA$3&amp;$AA$4&amp;"C"&amp;BS$4)="N/A",0,RTD("tos.rtd",,"OPEN_INT","."&amp;$AA$3&amp;$AA$4&amp;"C"&amp;BS$4))*100 + MAX(0, BS$4-$A47)*IF(RTD("tos.rtd",,"OPEN_INT","."&amp;$AA$3&amp;$AA$4&amp;"P"&amp;BS$4)="N/A",0,RTD("tos.rtd",,"OPEN_INT","."&amp;$AA$3&amp;$AA$4&amp;"P"&amp;BS$4))*100</f>
        <v>0</v>
      </c>
      <c r="BT47" s="18">
        <f>MAX(0, $A47-BT$4)*IF(RTD("tos.rtd",,"OPEN_INT","."&amp;$AA$3&amp;$AA$4&amp;"C"&amp;BT$4)="N/A",0,RTD("tos.rtd",,"OPEN_INT","."&amp;$AA$3&amp;$AA$4&amp;"C"&amp;BT$4))*100 + MAX(0, BT$4-$A47)*IF(RTD("tos.rtd",,"OPEN_INT","."&amp;$AA$3&amp;$AA$4&amp;"P"&amp;BT$4)="N/A",0,RTD("tos.rtd",,"OPEN_INT","."&amp;$AA$3&amp;$AA$4&amp;"P"&amp;BT$4))*100</f>
        <v>0</v>
      </c>
      <c r="BU47" s="18">
        <f>MAX(0, $A47-BU$4)*IF(RTD("tos.rtd",,"OPEN_INT","."&amp;$AA$3&amp;$AA$4&amp;"C"&amp;BU$4)="N/A",0,RTD("tos.rtd",,"OPEN_INT","."&amp;$AA$3&amp;$AA$4&amp;"C"&amp;BU$4))*100 + MAX(0, BU$4-$A47)*IF(RTD("tos.rtd",,"OPEN_INT","."&amp;$AA$3&amp;$AA$4&amp;"P"&amp;BU$4)="N/A",0,RTD("tos.rtd",,"OPEN_INT","."&amp;$AA$3&amp;$AA$4&amp;"P"&amp;BU$4))*100</f>
        <v>0</v>
      </c>
      <c r="BV47" s="18">
        <f>MAX(0, $A47-BV$4)*IF(RTD("tos.rtd",,"OPEN_INT","."&amp;$AA$3&amp;$AA$4&amp;"C"&amp;BV$4)="N/A",0,RTD("tos.rtd",,"OPEN_INT","."&amp;$AA$3&amp;$AA$4&amp;"C"&amp;BV$4))*100 + MAX(0, BV$4-$A47)*IF(RTD("tos.rtd",,"OPEN_INT","."&amp;$AA$3&amp;$AA$4&amp;"P"&amp;BV$4)="N/A",0,RTD("tos.rtd",,"OPEN_INT","."&amp;$AA$3&amp;$AA$4&amp;"P"&amp;BV$4))*100</f>
        <v>0</v>
      </c>
    </row>
    <row r="48" spans="1:74" s="19" customFormat="1" ht="11.1" customHeight="1" thickBot="1" x14ac:dyDescent="0.3">
      <c r="A48" s="23">
        <f t="shared" si="11"/>
        <v>0</v>
      </c>
      <c r="B48" s="14">
        <f ca="1">IF($A$2="PREMIUM_OI",IFERROR(IF($X$1="ABS",(100*RTD("tos.rtd",,"OPEN_INT","."&amp;B$2&amp;B$1&amp;"C"&amp;$A48)*RTD("tos.rtd",,"LAST","."&amp;B$2&amp;B$1&amp;"C"&amp;$A48)+100*RTD("tos.rtd",,"OPEN_INT","."&amp;B$2&amp;B$1&amp;"P"&amp;$A48)*RTD("tos.rtd",,"LAST","."&amp;B$2&amp;B$1&amp;"P"&amp;$A48))/1000000,(100*RTD("tos.rtd",,"OPEN_INT","."&amp;B$2&amp;B$1&amp;"C"&amp;$A48)*RTD("tos.rtd",,"LAST","."&amp;B$2&amp;B$1&amp;"C"&amp;$A48)-100*RTD("tos.rtd",,"OPEN_INT","."&amp;B$2&amp;B$1&amp;"P"&amp;$A48)*RTD("tos.rtd",,"LAST","."&amp;B$2&amp;B$1&amp;"P"&amp;$A48))/1000000),0),IF($A$2="PREMIUM",IFERROR(IF($X$1="ABS",(100*RTD("tos.rtd",,"VOLUME","."&amp;B$2&amp;B$1&amp;"C"&amp;$A48)*RTD("tos.rtd",,"LAST","."&amp;B$2&amp;B$1&amp;"C"&amp;$A48)+100*RTD("tos.rtd",,"VOLUME","."&amp;B$2&amp;B$1&amp;"P"&amp;$A48)*RTD("tos.rtd",,"LAST","."&amp;B$2&amp;B$1&amp;"P"&amp;$A48))/1000000,(100*RTD("tos.rtd",,"VOLUME","."&amp;B$2&amp;B$1&amp;"C"&amp;$A48)*RTD("tos.rtd",,"LAST","."&amp;B$2&amp;B$1&amp;"C"&amp;$A48)-100*RTD("tos.rtd",,"VOLUME","."&amp;B$2&amp;B$1&amp;"P"&amp;$A48)*RTD("tos.rtd",,"LAST","."&amp;B$2&amp;B$1&amp;"P"&amp;$A48))/1000000),0),IF($A$2="DEX",IFERROR(IF($X$1="ABS",(100*RTD("tos.rtd",,"OPEN_INT","."&amp;B$2&amp;B$1&amp;"C"&amp;$A48)*RTD("tos.rtd",,"DELTA","."&amp;B$2&amp;B$1&amp;"C"&amp;$A48)+100*RTD("tos.rtd",,"OPEN_INT","."&amp;B$2&amp;B$1&amp;"P"&amp;$A48)*RTD("tos.rtd",,"DELTA","."&amp;B$2&amp;B$1&amp;"P"&amp;$A48))/1000,(100*RTD("tos.rtd",,"OPEN_INT","."&amp;B$2&amp;B$1&amp;"C"&amp;$A48)*RTD("tos.rtd",,"DELTA","."&amp;B$2&amp;B$1&amp;"C"&amp;$A48)-100*RTD("tos.rtd",,"OPEN_INT","."&amp;B$2&amp;B$1&amp;"P"&amp;$A48)*RTD("tos.rtd",,"DELTA","."&amp;B$2&amp;B$1&amp;"P"&amp;$A48))/1000),0),IF($A$2="VEX",IFERROR(IF($X$1="ABS",($A$4*$A$4*RTD("tos.rtd",,"VOLUME","."&amp;B$2&amp;B$1&amp;"C"&amp;$A48)*RTD("tos.rtd",,"GAMMA","."&amp;B$2&amp;B$1&amp;"C"&amp;$A48)+$A$4*$A$4*RTD("tos.rtd",,"VOLUME","."&amp;B$2&amp;B$1&amp;"P"&amp;$A48)*RTD("tos.rtd",,"GAMMA","."&amp;B$2&amp;B$1&amp;"P"&amp;$A48))/1000000,($A$4*$A$4*RTD("tos.rtd",,"VOLUME","."&amp;B$2&amp;B$1&amp;"C"&amp;$A48)*RTD("tos.rtd",,"GAMMA","."&amp;B$2&amp;B$1&amp;"C"&amp;$A48)-$A$4*$A$4*RTD("tos.rtd",,"VOLUME","."&amp;B$2&amp;B$1&amp;"P"&amp;$A48)*RTD("tos.rtd",,"GAMMA","."&amp;B$2&amp;B$1&amp;"P"&amp;$A48))/1000000),0),IF($A$2="GEX",IFERROR(IF($X$1="ABS",($A$4*$A$4*RTD("tos.rtd",,"OPEN_INT","."&amp;B$2&amp;B$1&amp;"C"&amp;$A48)*RTD("tos.rtd",,"GAMMA","."&amp;B$2&amp;B$1&amp;"C"&amp;$A48)+$A$4*$A$4*RTD("tos.rtd",,"OPEN_INT","."&amp;B$2&amp;B$1&amp;"P"&amp;$A48)*RTD("tos.rtd",,"GAMMA","."&amp;B$2&amp;B$1&amp;"P"&amp;$A48))/1000000,($A$4*$A$4*RTD("tos.rtd",,"OPEN_INT","."&amp;B$2&amp;B$1&amp;"C"&amp;$A48)*RTD("tos.rtd",,"GAMMA","."&amp;B$2&amp;B$1&amp;"C"&amp;$A48)-$A$4*$A$4*RTD("tos.rtd",,"OPEN_INT","."&amp;B$2&amp;B$1&amp;"P"&amp;$A48)*RTD("tos.rtd",,"GAMMA","."&amp;B$2&amp;B$1&amp;"P"&amp;$A48))/1000000),0),IF($A$2="SKEW",IFERROR(VALUE(IF(RTD("tos.rtd",,"IMPL_VOL","."&amp;B$2&amp;B$1&amp;"P"&amp;$A48)="N/A",0,RTD("tos.rtd",,"IMPL_VOL","."&amp;B$2&amp;B$1&amp;"P"&amp;$A48))),0)-IFERROR(VALUE(IF(RTD("tos.rtd",,"IMPL_VOL","."&amp;B$2&amp;B$1&amp;"C"&amp;$A48)="N/A",0,RTD("tos.rtd",,"IMPL_VOL","."&amp;B$2&amp;B$1&amp;"C"&amp;$A48))),0),IF($A$2="MAXPAIN",IF($A$4&gt;$A48,($A$4-$A48)*IF(RTD("tos.rtd",,"OPEN_INT","."&amp;B$2&amp;B$1&amp;"C"&amp;$A48)="N/A",0,RTD("tos.rtd",,"OPEN_INT","."&amp;B$2&amp;B$1&amp;"C"&amp;$A48)),0)+IF($A$4&lt;$A48,($A$5-$A$4)*IF(RTD("tos.rtd",,"OPEN_INT","."&amp;B$2&amp;B$1&amp;"P"&amp;$A48)="N/A",0,RTD("tos.rtd",,"OPEN_INT","."&amp;B$2&amp;B$1&amp;"P"&amp;$A48)),0),IF($X$1="ABS",IF(RTD("tos.rtd",,$A$2,"."&amp;B$2&amp;B$1&amp;"C"&amp;$A48)="N/A",0,RTD("tos.rtd",,$A$2,"."&amp;B$2&amp;B$1&amp;"C"&amp;$A48))+IF(RTD("tos.rtd",,$A$2,"."&amp;B$2&amp;B$1&amp;"P"&amp;$A48)="N/A",0,RTD("tos.rtd",,$A$2,"."&amp;B$2&amp;B$1&amp;"P"&amp;$A48)),IF(RTD("tos.rtd",,$A$2,"."&amp;B$2&amp;B$1&amp;"C"&amp;$A48)="N/A",0,RTD("tos.rtd",,$A$2,"."&amp;B$2&amp;B$1&amp;"C"&amp;$A48))-IF(RTD("tos.rtd",,$A$2,"."&amp;B$2&amp;B$1&amp;"P"&amp;$A48)="N/A",0,RTD("tos.rtd",,$A$2,"."&amp;B$2&amp;B$1&amp;"P"&amp;$A48))))))))))</f>
        <v>0</v>
      </c>
      <c r="C48" s="12">
        <f ca="1">IF($A$2="PREMIUM_OI",IFERROR(IF($X$1="ABS",(100*RTD("tos.rtd",,"OPEN_INT","."&amp;C$2&amp;C$1&amp;"C"&amp;$A48)*RTD("tos.rtd",,"LAST","."&amp;C$2&amp;C$1&amp;"C"&amp;$A48)+100*RTD("tos.rtd",,"OPEN_INT","."&amp;C$2&amp;C$1&amp;"P"&amp;$A48)*RTD("tos.rtd",,"LAST","."&amp;C$2&amp;C$1&amp;"P"&amp;$A48))/1000000,(100*RTD("tos.rtd",,"OPEN_INT","."&amp;C$2&amp;C$1&amp;"C"&amp;$A48)*RTD("tos.rtd",,"LAST","."&amp;C$2&amp;C$1&amp;"C"&amp;$A48)-100*RTD("tos.rtd",,"OPEN_INT","."&amp;C$2&amp;C$1&amp;"P"&amp;$A48)*RTD("tos.rtd",,"LAST","."&amp;C$2&amp;C$1&amp;"P"&amp;$A48))/1000000),0),IF($A$2="PREMIUM",IFERROR(IF($X$1="ABS",(100*RTD("tos.rtd",,"VOLUME","."&amp;C$2&amp;C$1&amp;"C"&amp;$A48)*RTD("tos.rtd",,"LAST","."&amp;C$2&amp;C$1&amp;"C"&amp;$A48)+100*RTD("tos.rtd",,"VOLUME","."&amp;C$2&amp;C$1&amp;"P"&amp;$A48)*RTD("tos.rtd",,"LAST","."&amp;C$2&amp;C$1&amp;"P"&amp;$A48))/1000000,(100*RTD("tos.rtd",,"VOLUME","."&amp;C$2&amp;C$1&amp;"C"&amp;$A48)*RTD("tos.rtd",,"LAST","."&amp;C$2&amp;C$1&amp;"C"&amp;$A48)-100*RTD("tos.rtd",,"VOLUME","."&amp;C$2&amp;C$1&amp;"P"&amp;$A48)*RTD("tos.rtd",,"LAST","."&amp;C$2&amp;C$1&amp;"P"&amp;$A48))/1000000),0),IF($A$2="DEX",IFERROR(IF($X$1="ABS",(100*RTD("tos.rtd",,"OPEN_INT","."&amp;C$2&amp;C$1&amp;"C"&amp;$A48)*RTD("tos.rtd",,"DELTA","."&amp;C$2&amp;C$1&amp;"C"&amp;$A48)+100*RTD("tos.rtd",,"OPEN_INT","."&amp;C$2&amp;C$1&amp;"P"&amp;$A48)*RTD("tos.rtd",,"DELTA","."&amp;C$2&amp;C$1&amp;"P"&amp;$A48))/1000,(100*RTD("tos.rtd",,"OPEN_INT","."&amp;C$2&amp;C$1&amp;"C"&amp;$A48)*RTD("tos.rtd",,"DELTA","."&amp;C$2&amp;C$1&amp;"C"&amp;$A48)-100*RTD("tos.rtd",,"OPEN_INT","."&amp;C$2&amp;C$1&amp;"P"&amp;$A48)*RTD("tos.rtd",,"DELTA","."&amp;C$2&amp;C$1&amp;"P"&amp;$A48))/1000),0),IF($A$2="VEX",IFERROR(IF($X$1="ABS",($A$4*$A$4*RTD("tos.rtd",,"VOLUME","."&amp;C$2&amp;C$1&amp;"C"&amp;$A48)*RTD("tos.rtd",,"GAMMA","."&amp;C$2&amp;C$1&amp;"C"&amp;$A48)+$A$4*$A$4*RTD("tos.rtd",,"VOLUME","."&amp;C$2&amp;C$1&amp;"P"&amp;$A48)*RTD("tos.rtd",,"GAMMA","."&amp;C$2&amp;C$1&amp;"P"&amp;$A48))/1000000,($A$4*$A$4*RTD("tos.rtd",,"VOLUME","."&amp;C$2&amp;C$1&amp;"C"&amp;$A48)*RTD("tos.rtd",,"GAMMA","."&amp;C$2&amp;C$1&amp;"C"&amp;$A48)-$A$4*$A$4*RTD("tos.rtd",,"VOLUME","."&amp;C$2&amp;C$1&amp;"P"&amp;$A48)*RTD("tos.rtd",,"GAMMA","."&amp;C$2&amp;C$1&amp;"P"&amp;$A48))/1000000),0),IF($A$2="GEX",IFERROR(IF($X$1="ABS",($A$4*$A$4*RTD("tos.rtd",,"OPEN_INT","."&amp;C$2&amp;C$1&amp;"C"&amp;$A48)*RTD("tos.rtd",,"GAMMA","."&amp;C$2&amp;C$1&amp;"C"&amp;$A48)+$A$4*$A$4*RTD("tos.rtd",,"OPEN_INT","."&amp;C$2&amp;C$1&amp;"P"&amp;$A48)*RTD("tos.rtd",,"GAMMA","."&amp;C$2&amp;C$1&amp;"P"&amp;$A48))/1000000,($A$4*$A$4*RTD("tos.rtd",,"OPEN_INT","."&amp;C$2&amp;C$1&amp;"C"&amp;$A48)*RTD("tos.rtd",,"GAMMA","."&amp;C$2&amp;C$1&amp;"C"&amp;$A48)-$A$4*$A$4*RTD("tos.rtd",,"OPEN_INT","."&amp;C$2&amp;C$1&amp;"P"&amp;$A48)*RTD("tos.rtd",,"GAMMA","."&amp;C$2&amp;C$1&amp;"P"&amp;$A48))/1000000),0),IF($A$2="SKEW",IFERROR(VALUE(IF(RTD("tos.rtd",,"IMPL_VOL","."&amp;C$2&amp;C$1&amp;"P"&amp;$A48)="N/A",0,RTD("tos.rtd",,"IMPL_VOL","."&amp;C$2&amp;C$1&amp;"P"&amp;$A48))),0)-IFERROR(VALUE(IF(RTD("tos.rtd",,"IMPL_VOL","."&amp;C$2&amp;C$1&amp;"C"&amp;$A48)="N/A",0,RTD("tos.rtd",,"IMPL_VOL","."&amp;C$2&amp;C$1&amp;"C"&amp;$A48))),0),IF($A$2="MAXPAIN",IF($A$4&gt;$A48,($A$4-$A48)*IF(RTD("tos.rtd",,"OPEN_INT","."&amp;C$2&amp;C$1&amp;"C"&amp;$A48)="N/A",0,RTD("tos.rtd",,"OPEN_INT","."&amp;C$2&amp;C$1&amp;"C"&amp;$A48)),0)+IF($A$4&lt;$A48,($A$5-$A$4)*IF(RTD("tos.rtd",,"OPEN_INT","."&amp;C$2&amp;C$1&amp;"P"&amp;$A48)="N/A",0,RTD("tos.rtd",,"OPEN_INT","."&amp;C$2&amp;C$1&amp;"P"&amp;$A48)),0),IF($X$1="ABS",IF(RTD("tos.rtd",,$A$2,"."&amp;C$2&amp;C$1&amp;"C"&amp;$A48)="N/A",0,RTD("tos.rtd",,$A$2,"."&amp;C$2&amp;C$1&amp;"C"&amp;$A48))+IF(RTD("tos.rtd",,$A$2,"."&amp;C$2&amp;C$1&amp;"P"&amp;$A48)="N/A",0,RTD("tos.rtd",,$A$2,"."&amp;C$2&amp;C$1&amp;"P"&amp;$A48)),IF(RTD("tos.rtd",,$A$2,"."&amp;C$2&amp;C$1&amp;"C"&amp;$A48)="N/A",0,RTD("tos.rtd",,$A$2,"."&amp;C$2&amp;C$1&amp;"C"&amp;$A48))-IF(RTD("tos.rtd",,$A$2,"."&amp;C$2&amp;C$1&amp;"P"&amp;$A48)="N/A",0,RTD("tos.rtd",,$A$2,"."&amp;C$2&amp;C$1&amp;"P"&amp;$A48))))))))))</f>
        <v>0</v>
      </c>
      <c r="D48" s="12">
        <f ca="1">IF($A$2="PREMIUM_OI",IFERROR(IF($X$1="ABS",(100*RTD("tos.rtd",,"OPEN_INT","."&amp;D$2&amp;D$1&amp;"C"&amp;$A48)*RTD("tos.rtd",,"LAST","."&amp;D$2&amp;D$1&amp;"C"&amp;$A48)+100*RTD("tos.rtd",,"OPEN_INT","."&amp;D$2&amp;D$1&amp;"P"&amp;$A48)*RTD("tos.rtd",,"LAST","."&amp;D$2&amp;D$1&amp;"P"&amp;$A48))/1000000,(100*RTD("tos.rtd",,"OPEN_INT","."&amp;D$2&amp;D$1&amp;"C"&amp;$A48)*RTD("tos.rtd",,"LAST","."&amp;D$2&amp;D$1&amp;"C"&amp;$A48)-100*RTD("tos.rtd",,"OPEN_INT","."&amp;D$2&amp;D$1&amp;"P"&amp;$A48)*RTD("tos.rtd",,"LAST","."&amp;D$2&amp;D$1&amp;"P"&amp;$A48))/1000000),0),IF($A$2="PREMIUM",IFERROR(IF($X$1="ABS",(100*RTD("tos.rtd",,"VOLUME","."&amp;D$2&amp;D$1&amp;"C"&amp;$A48)*RTD("tos.rtd",,"LAST","."&amp;D$2&amp;D$1&amp;"C"&amp;$A48)+100*RTD("tos.rtd",,"VOLUME","."&amp;D$2&amp;D$1&amp;"P"&amp;$A48)*RTD("tos.rtd",,"LAST","."&amp;D$2&amp;D$1&amp;"P"&amp;$A48))/1000000,(100*RTD("tos.rtd",,"VOLUME","."&amp;D$2&amp;D$1&amp;"C"&amp;$A48)*RTD("tos.rtd",,"LAST","."&amp;D$2&amp;D$1&amp;"C"&amp;$A48)-100*RTD("tos.rtd",,"VOLUME","."&amp;D$2&amp;D$1&amp;"P"&amp;$A48)*RTD("tos.rtd",,"LAST","."&amp;D$2&amp;D$1&amp;"P"&amp;$A48))/1000000),0),IF($A$2="DEX",IFERROR(IF($X$1="ABS",(100*RTD("tos.rtd",,"OPEN_INT","."&amp;D$2&amp;D$1&amp;"C"&amp;$A48)*RTD("tos.rtd",,"DELTA","."&amp;D$2&amp;D$1&amp;"C"&amp;$A48)+100*RTD("tos.rtd",,"OPEN_INT","."&amp;D$2&amp;D$1&amp;"P"&amp;$A48)*RTD("tos.rtd",,"DELTA","."&amp;D$2&amp;D$1&amp;"P"&amp;$A48))/1000,(100*RTD("tos.rtd",,"OPEN_INT","."&amp;D$2&amp;D$1&amp;"C"&amp;$A48)*RTD("tos.rtd",,"DELTA","."&amp;D$2&amp;D$1&amp;"C"&amp;$A48)-100*RTD("tos.rtd",,"OPEN_INT","."&amp;D$2&amp;D$1&amp;"P"&amp;$A48)*RTD("tos.rtd",,"DELTA","."&amp;D$2&amp;D$1&amp;"P"&amp;$A48))/1000),0),IF($A$2="VEX",IFERROR(IF($X$1="ABS",($A$4*$A$4*RTD("tos.rtd",,"VOLUME","."&amp;D$2&amp;D$1&amp;"C"&amp;$A48)*RTD("tos.rtd",,"GAMMA","."&amp;D$2&amp;D$1&amp;"C"&amp;$A48)+$A$4*$A$4*RTD("tos.rtd",,"VOLUME","."&amp;D$2&amp;D$1&amp;"P"&amp;$A48)*RTD("tos.rtd",,"GAMMA","."&amp;D$2&amp;D$1&amp;"P"&amp;$A48))/1000000,($A$4*$A$4*RTD("tos.rtd",,"VOLUME","."&amp;D$2&amp;D$1&amp;"C"&amp;$A48)*RTD("tos.rtd",,"GAMMA","."&amp;D$2&amp;D$1&amp;"C"&amp;$A48)-$A$4*$A$4*RTD("tos.rtd",,"VOLUME","."&amp;D$2&amp;D$1&amp;"P"&amp;$A48)*RTD("tos.rtd",,"GAMMA","."&amp;D$2&amp;D$1&amp;"P"&amp;$A48))/1000000),0),IF($A$2="GEX",IFERROR(IF($X$1="ABS",($A$4*$A$4*RTD("tos.rtd",,"OPEN_INT","."&amp;D$2&amp;D$1&amp;"C"&amp;$A48)*RTD("tos.rtd",,"GAMMA","."&amp;D$2&amp;D$1&amp;"C"&amp;$A48)+$A$4*$A$4*RTD("tos.rtd",,"OPEN_INT","."&amp;D$2&amp;D$1&amp;"P"&amp;$A48)*RTD("tos.rtd",,"GAMMA","."&amp;D$2&amp;D$1&amp;"P"&amp;$A48))/1000000,($A$4*$A$4*RTD("tos.rtd",,"OPEN_INT","."&amp;D$2&amp;D$1&amp;"C"&amp;$A48)*RTD("tos.rtd",,"GAMMA","."&amp;D$2&amp;D$1&amp;"C"&amp;$A48)-$A$4*$A$4*RTD("tos.rtd",,"OPEN_INT","."&amp;D$2&amp;D$1&amp;"P"&amp;$A48)*RTD("tos.rtd",,"GAMMA","."&amp;D$2&amp;D$1&amp;"P"&amp;$A48))/1000000),0),IF($A$2="SKEW",IFERROR(VALUE(IF(RTD("tos.rtd",,"IMPL_VOL","."&amp;D$2&amp;D$1&amp;"P"&amp;$A48)="N/A",0,RTD("tos.rtd",,"IMPL_VOL","."&amp;D$2&amp;D$1&amp;"P"&amp;$A48))),0)-IFERROR(VALUE(IF(RTD("tos.rtd",,"IMPL_VOL","."&amp;D$2&amp;D$1&amp;"C"&amp;$A48)="N/A",0,RTD("tos.rtd",,"IMPL_VOL","."&amp;D$2&amp;D$1&amp;"C"&amp;$A48))),0),IF($A$2="MAXPAIN",IF($A$4&gt;$A48,($A$4-$A48)*IF(RTD("tos.rtd",,"OPEN_INT","."&amp;D$2&amp;D$1&amp;"C"&amp;$A48)="N/A",0,RTD("tos.rtd",,"OPEN_INT","."&amp;D$2&amp;D$1&amp;"C"&amp;$A48)),0)+IF($A$4&lt;$A48,($A$5-$A$4)*IF(RTD("tos.rtd",,"OPEN_INT","."&amp;D$2&amp;D$1&amp;"P"&amp;$A48)="N/A",0,RTD("tos.rtd",,"OPEN_INT","."&amp;D$2&amp;D$1&amp;"P"&amp;$A48)),0),IF($X$1="ABS",IF(RTD("tos.rtd",,$A$2,"."&amp;D$2&amp;D$1&amp;"C"&amp;$A48)="N/A",0,RTD("tos.rtd",,$A$2,"."&amp;D$2&amp;D$1&amp;"C"&amp;$A48))+IF(RTD("tos.rtd",,$A$2,"."&amp;D$2&amp;D$1&amp;"P"&amp;$A48)="N/A",0,RTD("tos.rtd",,$A$2,"."&amp;D$2&amp;D$1&amp;"P"&amp;$A48)),IF(RTD("tos.rtd",,$A$2,"."&amp;D$2&amp;D$1&amp;"C"&amp;$A48)="N/A",0,RTD("tos.rtd",,$A$2,"."&amp;D$2&amp;D$1&amp;"C"&amp;$A48))-IF(RTD("tos.rtd",,$A$2,"."&amp;D$2&amp;D$1&amp;"P"&amp;$A48)="N/A",0,RTD("tos.rtd",,$A$2,"."&amp;D$2&amp;D$1&amp;"P"&amp;$A48))))))))))</f>
        <v>0</v>
      </c>
      <c r="E48" s="12">
        <f ca="1">IF($A$2="PREMIUM_OI",IFERROR(IF($X$1="ABS",(100*RTD("tos.rtd",,"OPEN_INT","."&amp;E$2&amp;E$1&amp;"C"&amp;$A48)*RTD("tos.rtd",,"LAST","."&amp;E$2&amp;E$1&amp;"C"&amp;$A48)+100*RTD("tos.rtd",,"OPEN_INT","."&amp;E$2&amp;E$1&amp;"P"&amp;$A48)*RTD("tos.rtd",,"LAST","."&amp;E$2&amp;E$1&amp;"P"&amp;$A48))/1000000,(100*RTD("tos.rtd",,"OPEN_INT","."&amp;E$2&amp;E$1&amp;"C"&amp;$A48)*RTD("tos.rtd",,"LAST","."&amp;E$2&amp;E$1&amp;"C"&amp;$A48)-100*RTD("tos.rtd",,"OPEN_INT","."&amp;E$2&amp;E$1&amp;"P"&amp;$A48)*RTD("tos.rtd",,"LAST","."&amp;E$2&amp;E$1&amp;"P"&amp;$A48))/1000000),0),IF($A$2="PREMIUM",IFERROR(IF($X$1="ABS",(100*RTD("tos.rtd",,"VOLUME","."&amp;E$2&amp;E$1&amp;"C"&amp;$A48)*RTD("tos.rtd",,"LAST","."&amp;E$2&amp;E$1&amp;"C"&amp;$A48)+100*RTD("tos.rtd",,"VOLUME","."&amp;E$2&amp;E$1&amp;"P"&amp;$A48)*RTD("tos.rtd",,"LAST","."&amp;E$2&amp;E$1&amp;"P"&amp;$A48))/1000000,(100*RTD("tos.rtd",,"VOLUME","."&amp;E$2&amp;E$1&amp;"C"&amp;$A48)*RTD("tos.rtd",,"LAST","."&amp;E$2&amp;E$1&amp;"C"&amp;$A48)-100*RTD("tos.rtd",,"VOLUME","."&amp;E$2&amp;E$1&amp;"P"&amp;$A48)*RTD("tos.rtd",,"LAST","."&amp;E$2&amp;E$1&amp;"P"&amp;$A48))/1000000),0),IF($A$2="DEX",IFERROR(IF($X$1="ABS",(100*RTD("tos.rtd",,"OPEN_INT","."&amp;E$2&amp;E$1&amp;"C"&amp;$A48)*RTD("tos.rtd",,"DELTA","."&amp;E$2&amp;E$1&amp;"C"&amp;$A48)+100*RTD("tos.rtd",,"OPEN_INT","."&amp;E$2&amp;E$1&amp;"P"&amp;$A48)*RTD("tos.rtd",,"DELTA","."&amp;E$2&amp;E$1&amp;"P"&amp;$A48))/1000,(100*RTD("tos.rtd",,"OPEN_INT","."&amp;E$2&amp;E$1&amp;"C"&amp;$A48)*RTD("tos.rtd",,"DELTA","."&amp;E$2&amp;E$1&amp;"C"&amp;$A48)-100*RTD("tos.rtd",,"OPEN_INT","."&amp;E$2&amp;E$1&amp;"P"&amp;$A48)*RTD("tos.rtd",,"DELTA","."&amp;E$2&amp;E$1&amp;"P"&amp;$A48))/1000),0),IF($A$2="VEX",IFERROR(IF($X$1="ABS",($A$4*$A$4*RTD("tos.rtd",,"VOLUME","."&amp;E$2&amp;E$1&amp;"C"&amp;$A48)*RTD("tos.rtd",,"GAMMA","."&amp;E$2&amp;E$1&amp;"C"&amp;$A48)+$A$4*$A$4*RTD("tos.rtd",,"VOLUME","."&amp;E$2&amp;E$1&amp;"P"&amp;$A48)*RTD("tos.rtd",,"GAMMA","."&amp;E$2&amp;E$1&amp;"P"&amp;$A48))/1000000,($A$4*$A$4*RTD("tos.rtd",,"VOLUME","."&amp;E$2&amp;E$1&amp;"C"&amp;$A48)*RTD("tos.rtd",,"GAMMA","."&amp;E$2&amp;E$1&amp;"C"&amp;$A48)-$A$4*$A$4*RTD("tos.rtd",,"VOLUME","."&amp;E$2&amp;E$1&amp;"P"&amp;$A48)*RTD("tos.rtd",,"GAMMA","."&amp;E$2&amp;E$1&amp;"P"&amp;$A48))/1000000),0),IF($A$2="GEX",IFERROR(IF($X$1="ABS",($A$4*$A$4*RTD("tos.rtd",,"OPEN_INT","."&amp;E$2&amp;E$1&amp;"C"&amp;$A48)*RTD("tos.rtd",,"GAMMA","."&amp;E$2&amp;E$1&amp;"C"&amp;$A48)+$A$4*$A$4*RTD("tos.rtd",,"OPEN_INT","."&amp;E$2&amp;E$1&amp;"P"&amp;$A48)*RTD("tos.rtd",,"GAMMA","."&amp;E$2&amp;E$1&amp;"P"&amp;$A48))/1000000,($A$4*$A$4*RTD("tos.rtd",,"OPEN_INT","."&amp;E$2&amp;E$1&amp;"C"&amp;$A48)*RTD("tos.rtd",,"GAMMA","."&amp;E$2&amp;E$1&amp;"C"&amp;$A48)-$A$4*$A$4*RTD("tos.rtd",,"OPEN_INT","."&amp;E$2&amp;E$1&amp;"P"&amp;$A48)*RTD("tos.rtd",,"GAMMA","."&amp;E$2&amp;E$1&amp;"P"&amp;$A48))/1000000),0),IF($A$2="SKEW",IFERROR(VALUE(IF(RTD("tos.rtd",,"IMPL_VOL","."&amp;E$2&amp;E$1&amp;"P"&amp;$A48)="N/A",0,RTD("tos.rtd",,"IMPL_VOL","."&amp;E$2&amp;E$1&amp;"P"&amp;$A48))),0)-IFERROR(VALUE(IF(RTD("tos.rtd",,"IMPL_VOL","."&amp;E$2&amp;E$1&amp;"C"&amp;$A48)="N/A",0,RTD("tos.rtd",,"IMPL_VOL","."&amp;E$2&amp;E$1&amp;"C"&amp;$A48))),0),IF($A$2="MAXPAIN",IF($A$4&gt;$A48,($A$4-$A48)*IF(RTD("tos.rtd",,"OPEN_INT","."&amp;E$2&amp;E$1&amp;"C"&amp;$A48)="N/A",0,RTD("tos.rtd",,"OPEN_INT","."&amp;E$2&amp;E$1&amp;"C"&amp;$A48)),0)+IF($A$4&lt;$A48,($A$5-$A$4)*IF(RTD("tos.rtd",,"OPEN_INT","."&amp;E$2&amp;E$1&amp;"P"&amp;$A48)="N/A",0,RTD("tos.rtd",,"OPEN_INT","."&amp;E$2&amp;E$1&amp;"P"&amp;$A48)),0),IF($X$1="ABS",IF(RTD("tos.rtd",,$A$2,"."&amp;E$2&amp;E$1&amp;"C"&amp;$A48)="N/A",0,RTD("tos.rtd",,$A$2,"."&amp;E$2&amp;E$1&amp;"C"&amp;$A48))+IF(RTD("tos.rtd",,$A$2,"."&amp;E$2&amp;E$1&amp;"P"&amp;$A48)="N/A",0,RTD("tos.rtd",,$A$2,"."&amp;E$2&amp;E$1&amp;"P"&amp;$A48)),IF(RTD("tos.rtd",,$A$2,"."&amp;E$2&amp;E$1&amp;"C"&amp;$A48)="N/A",0,RTD("tos.rtd",,$A$2,"."&amp;E$2&amp;E$1&amp;"C"&amp;$A48))-IF(RTD("tos.rtd",,$A$2,"."&amp;E$2&amp;E$1&amp;"P"&amp;$A48)="N/A",0,RTD("tos.rtd",,$A$2,"."&amp;E$2&amp;E$1&amp;"P"&amp;$A48))))))))))</f>
        <v>0</v>
      </c>
      <c r="F48" s="12">
        <f ca="1">IF($A$2="PREMIUM_OI",IFERROR(IF($X$1="ABS",(100*RTD("tos.rtd",,"OPEN_INT","."&amp;F$2&amp;F$1&amp;"C"&amp;$A48)*RTD("tos.rtd",,"LAST","."&amp;F$2&amp;F$1&amp;"C"&amp;$A48)+100*RTD("tos.rtd",,"OPEN_INT","."&amp;F$2&amp;F$1&amp;"P"&amp;$A48)*RTD("tos.rtd",,"LAST","."&amp;F$2&amp;F$1&amp;"P"&amp;$A48))/1000000,(100*RTD("tos.rtd",,"OPEN_INT","."&amp;F$2&amp;F$1&amp;"C"&amp;$A48)*RTD("tos.rtd",,"LAST","."&amp;F$2&amp;F$1&amp;"C"&amp;$A48)-100*RTD("tos.rtd",,"OPEN_INT","."&amp;F$2&amp;F$1&amp;"P"&amp;$A48)*RTD("tos.rtd",,"LAST","."&amp;F$2&amp;F$1&amp;"P"&amp;$A48))/1000000),0),IF($A$2="PREMIUM",IFERROR(IF($X$1="ABS",(100*RTD("tos.rtd",,"VOLUME","."&amp;F$2&amp;F$1&amp;"C"&amp;$A48)*RTD("tos.rtd",,"LAST","."&amp;F$2&amp;F$1&amp;"C"&amp;$A48)+100*RTD("tos.rtd",,"VOLUME","."&amp;F$2&amp;F$1&amp;"P"&amp;$A48)*RTD("tos.rtd",,"LAST","."&amp;F$2&amp;F$1&amp;"P"&amp;$A48))/1000000,(100*RTD("tos.rtd",,"VOLUME","."&amp;F$2&amp;F$1&amp;"C"&amp;$A48)*RTD("tos.rtd",,"LAST","."&amp;F$2&amp;F$1&amp;"C"&amp;$A48)-100*RTD("tos.rtd",,"VOLUME","."&amp;F$2&amp;F$1&amp;"P"&amp;$A48)*RTD("tos.rtd",,"LAST","."&amp;F$2&amp;F$1&amp;"P"&amp;$A48))/1000000),0),IF($A$2="DEX",IFERROR(IF($X$1="ABS",(100*RTD("tos.rtd",,"OPEN_INT","."&amp;F$2&amp;F$1&amp;"C"&amp;$A48)*RTD("tos.rtd",,"DELTA","."&amp;F$2&amp;F$1&amp;"C"&amp;$A48)+100*RTD("tos.rtd",,"OPEN_INT","."&amp;F$2&amp;F$1&amp;"P"&amp;$A48)*RTD("tos.rtd",,"DELTA","."&amp;F$2&amp;F$1&amp;"P"&amp;$A48))/1000,(100*RTD("tos.rtd",,"OPEN_INT","."&amp;F$2&amp;F$1&amp;"C"&amp;$A48)*RTD("tos.rtd",,"DELTA","."&amp;F$2&amp;F$1&amp;"C"&amp;$A48)-100*RTD("tos.rtd",,"OPEN_INT","."&amp;F$2&amp;F$1&amp;"P"&amp;$A48)*RTD("tos.rtd",,"DELTA","."&amp;F$2&amp;F$1&amp;"P"&amp;$A48))/1000),0),IF($A$2="VEX",IFERROR(IF($X$1="ABS",($A$4*$A$4*RTD("tos.rtd",,"VOLUME","."&amp;F$2&amp;F$1&amp;"C"&amp;$A48)*RTD("tos.rtd",,"GAMMA","."&amp;F$2&amp;F$1&amp;"C"&amp;$A48)+$A$4*$A$4*RTD("tos.rtd",,"VOLUME","."&amp;F$2&amp;F$1&amp;"P"&amp;$A48)*RTD("tos.rtd",,"GAMMA","."&amp;F$2&amp;F$1&amp;"P"&amp;$A48))/1000000,($A$4*$A$4*RTD("tos.rtd",,"VOLUME","."&amp;F$2&amp;F$1&amp;"C"&amp;$A48)*RTD("tos.rtd",,"GAMMA","."&amp;F$2&amp;F$1&amp;"C"&amp;$A48)-$A$4*$A$4*RTD("tos.rtd",,"VOLUME","."&amp;F$2&amp;F$1&amp;"P"&amp;$A48)*RTD("tos.rtd",,"GAMMA","."&amp;F$2&amp;F$1&amp;"P"&amp;$A48))/1000000),0),IF($A$2="GEX",IFERROR(IF($X$1="ABS",($A$4*$A$4*RTD("tos.rtd",,"OPEN_INT","."&amp;F$2&amp;F$1&amp;"C"&amp;$A48)*RTD("tos.rtd",,"GAMMA","."&amp;F$2&amp;F$1&amp;"C"&amp;$A48)+$A$4*$A$4*RTD("tos.rtd",,"OPEN_INT","."&amp;F$2&amp;F$1&amp;"P"&amp;$A48)*RTD("tos.rtd",,"GAMMA","."&amp;F$2&amp;F$1&amp;"P"&amp;$A48))/1000000,($A$4*$A$4*RTD("tos.rtd",,"OPEN_INT","."&amp;F$2&amp;F$1&amp;"C"&amp;$A48)*RTD("tos.rtd",,"GAMMA","."&amp;F$2&amp;F$1&amp;"C"&amp;$A48)-$A$4*$A$4*RTD("tos.rtd",,"OPEN_INT","."&amp;F$2&amp;F$1&amp;"P"&amp;$A48)*RTD("tos.rtd",,"GAMMA","."&amp;F$2&amp;F$1&amp;"P"&amp;$A48))/1000000),0),IF($A$2="SKEW",IFERROR(VALUE(IF(RTD("tos.rtd",,"IMPL_VOL","."&amp;F$2&amp;F$1&amp;"P"&amp;$A48)="N/A",0,RTD("tos.rtd",,"IMPL_VOL","."&amp;F$2&amp;F$1&amp;"P"&amp;$A48))),0)-IFERROR(VALUE(IF(RTD("tos.rtd",,"IMPL_VOL","."&amp;F$2&amp;F$1&amp;"C"&amp;$A48)="N/A",0,RTD("tos.rtd",,"IMPL_VOL","."&amp;F$2&amp;F$1&amp;"C"&amp;$A48))),0),IF($A$2="MAXPAIN",IF($A$4&gt;$A48,($A$4-$A48)*IF(RTD("tos.rtd",,"OPEN_INT","."&amp;F$2&amp;F$1&amp;"C"&amp;$A48)="N/A",0,RTD("tos.rtd",,"OPEN_INT","."&amp;F$2&amp;F$1&amp;"C"&amp;$A48)),0)+IF($A$4&lt;$A48,($A$5-$A$4)*IF(RTD("tos.rtd",,"OPEN_INT","."&amp;F$2&amp;F$1&amp;"P"&amp;$A48)="N/A",0,RTD("tos.rtd",,"OPEN_INT","."&amp;F$2&amp;F$1&amp;"P"&amp;$A48)),0),IF($X$1="ABS",IF(RTD("tos.rtd",,$A$2,"."&amp;F$2&amp;F$1&amp;"C"&amp;$A48)="N/A",0,RTD("tos.rtd",,$A$2,"."&amp;F$2&amp;F$1&amp;"C"&amp;$A48))+IF(RTD("tos.rtd",,$A$2,"."&amp;F$2&amp;F$1&amp;"P"&amp;$A48)="N/A",0,RTD("tos.rtd",,$A$2,"."&amp;F$2&amp;F$1&amp;"P"&amp;$A48)),IF(RTD("tos.rtd",,$A$2,"."&amp;F$2&amp;F$1&amp;"C"&amp;$A48)="N/A",0,RTD("tos.rtd",,$A$2,"."&amp;F$2&amp;F$1&amp;"C"&amp;$A48))-IF(RTD("tos.rtd",,$A$2,"."&amp;F$2&amp;F$1&amp;"P"&amp;$A48)="N/A",0,RTD("tos.rtd",,$A$2,"."&amp;F$2&amp;F$1&amp;"P"&amp;$A48))))))))))</f>
        <v>0</v>
      </c>
      <c r="G48" s="57">
        <f ca="1">IF($A$2="PREMIUM_OI",IFERROR(IF($X$1="ABS",(100*RTD("tos.rtd",,"OPEN_INT","."&amp;G$2&amp;G$1&amp;"C"&amp;$A48)*RTD("tos.rtd",,"LAST","."&amp;G$2&amp;G$1&amp;"C"&amp;$A48)+100*RTD("tos.rtd",,"OPEN_INT","."&amp;G$2&amp;G$1&amp;"P"&amp;$A48)*RTD("tos.rtd",,"LAST","."&amp;G$2&amp;G$1&amp;"P"&amp;$A48))/1000000,(100*RTD("tos.rtd",,"OPEN_INT","."&amp;G$2&amp;G$1&amp;"C"&amp;$A48)*RTD("tos.rtd",,"LAST","."&amp;G$2&amp;G$1&amp;"C"&amp;$A48)-100*RTD("tos.rtd",,"OPEN_INT","."&amp;G$2&amp;G$1&amp;"P"&amp;$A48)*RTD("tos.rtd",,"LAST","."&amp;G$2&amp;G$1&amp;"P"&amp;$A48))/1000000),0),IF($A$2="PREMIUM",IFERROR(IF($X$1="ABS",(100*RTD("tos.rtd",,"VOLUME","."&amp;G$2&amp;G$1&amp;"C"&amp;$A48)*RTD("tos.rtd",,"LAST","."&amp;G$2&amp;G$1&amp;"C"&amp;$A48)+100*RTD("tos.rtd",,"VOLUME","."&amp;G$2&amp;G$1&amp;"P"&amp;$A48)*RTD("tos.rtd",,"LAST","."&amp;G$2&amp;G$1&amp;"P"&amp;$A48))/1000000,(100*RTD("tos.rtd",,"VOLUME","."&amp;G$2&amp;G$1&amp;"C"&amp;$A48)*RTD("tos.rtd",,"LAST","."&amp;G$2&amp;G$1&amp;"C"&amp;$A48)-100*RTD("tos.rtd",,"VOLUME","."&amp;G$2&amp;G$1&amp;"P"&amp;$A48)*RTD("tos.rtd",,"LAST","."&amp;G$2&amp;G$1&amp;"P"&amp;$A48))/1000000),0),IF($A$2="DEX",IFERROR(IF($X$1="ABS",(100*RTD("tos.rtd",,"OPEN_INT","."&amp;G$2&amp;G$1&amp;"C"&amp;$A48)*RTD("tos.rtd",,"DELTA","."&amp;G$2&amp;G$1&amp;"C"&amp;$A48)+100*RTD("tos.rtd",,"OPEN_INT","."&amp;G$2&amp;G$1&amp;"P"&amp;$A48)*RTD("tos.rtd",,"DELTA","."&amp;G$2&amp;G$1&amp;"P"&amp;$A48))/1000,(100*RTD("tos.rtd",,"OPEN_INT","."&amp;G$2&amp;G$1&amp;"C"&amp;$A48)*RTD("tos.rtd",,"DELTA","."&amp;G$2&amp;G$1&amp;"C"&amp;$A48)-100*RTD("tos.rtd",,"OPEN_INT","."&amp;G$2&amp;G$1&amp;"P"&amp;$A48)*RTD("tos.rtd",,"DELTA","."&amp;G$2&amp;G$1&amp;"P"&amp;$A48))/1000),0),IF($A$2="VEX",IFERROR(IF($X$1="ABS",($A$4*$A$4*RTD("tos.rtd",,"VOLUME","."&amp;G$2&amp;G$1&amp;"C"&amp;$A48)*RTD("tos.rtd",,"GAMMA","."&amp;G$2&amp;G$1&amp;"C"&amp;$A48)+$A$4*$A$4*RTD("tos.rtd",,"VOLUME","."&amp;G$2&amp;G$1&amp;"P"&amp;$A48)*RTD("tos.rtd",,"GAMMA","."&amp;G$2&amp;G$1&amp;"P"&amp;$A48))/1000000,($A$4*$A$4*RTD("tos.rtd",,"VOLUME","."&amp;G$2&amp;G$1&amp;"C"&amp;$A48)*RTD("tos.rtd",,"GAMMA","."&amp;G$2&amp;G$1&amp;"C"&amp;$A48)-$A$4*$A$4*RTD("tos.rtd",,"VOLUME","."&amp;G$2&amp;G$1&amp;"P"&amp;$A48)*RTD("tos.rtd",,"GAMMA","."&amp;G$2&amp;G$1&amp;"P"&amp;$A48))/1000000),0),IF($A$2="GEX",IFERROR(IF($X$1="ABS",($A$4*$A$4*RTD("tos.rtd",,"OPEN_INT","."&amp;G$2&amp;G$1&amp;"C"&amp;$A48)*RTD("tos.rtd",,"GAMMA","."&amp;G$2&amp;G$1&amp;"C"&amp;$A48)+$A$4*$A$4*RTD("tos.rtd",,"OPEN_INT","."&amp;G$2&amp;G$1&amp;"P"&amp;$A48)*RTD("tos.rtd",,"GAMMA","."&amp;G$2&amp;G$1&amp;"P"&amp;$A48))/1000000,($A$4*$A$4*RTD("tos.rtd",,"OPEN_INT","."&amp;G$2&amp;G$1&amp;"C"&amp;$A48)*RTD("tos.rtd",,"GAMMA","."&amp;G$2&amp;G$1&amp;"C"&amp;$A48)-$A$4*$A$4*RTD("tos.rtd",,"OPEN_INT","."&amp;G$2&amp;G$1&amp;"P"&amp;$A48)*RTD("tos.rtd",,"GAMMA","."&amp;G$2&amp;G$1&amp;"P"&amp;$A48))/1000000),0),IF($A$2="SKEW",IFERROR(VALUE(IF(RTD("tos.rtd",,"IMPL_VOL","."&amp;G$2&amp;G$1&amp;"P"&amp;$A48)="N/A",0,RTD("tos.rtd",,"IMPL_VOL","."&amp;G$2&amp;G$1&amp;"P"&amp;$A48))),0)-IFERROR(VALUE(IF(RTD("tos.rtd",,"IMPL_VOL","."&amp;G$2&amp;G$1&amp;"C"&amp;$A48)="N/A",0,RTD("tos.rtd",,"IMPL_VOL","."&amp;G$2&amp;G$1&amp;"C"&amp;$A48))),0),IF($A$2="MAXPAIN",IF($A$4&gt;$A48,($A$4-$A48)*IF(RTD("tos.rtd",,"OPEN_INT","."&amp;G$2&amp;G$1&amp;"C"&amp;$A48)="N/A",0,RTD("tos.rtd",,"OPEN_INT","."&amp;G$2&amp;G$1&amp;"C"&amp;$A48)),0)+IF($A$4&lt;$A48,($A$5-$A$4)*IF(RTD("tos.rtd",,"OPEN_INT","."&amp;G$2&amp;G$1&amp;"P"&amp;$A48)="N/A",0,RTD("tos.rtd",,"OPEN_INT","."&amp;G$2&amp;G$1&amp;"P"&amp;$A48)),0),IF($X$1="ABS",IF(RTD("tos.rtd",,$A$2,"."&amp;G$2&amp;G$1&amp;"C"&amp;$A48)="N/A",0,RTD("tos.rtd",,$A$2,"."&amp;G$2&amp;G$1&amp;"C"&amp;$A48))+IF(RTD("tos.rtd",,$A$2,"."&amp;G$2&amp;G$1&amp;"P"&amp;$A48)="N/A",0,RTD("tos.rtd",,$A$2,"."&amp;G$2&amp;G$1&amp;"P"&amp;$A48)),IF(RTD("tos.rtd",,$A$2,"."&amp;G$2&amp;G$1&amp;"C"&amp;$A48)="N/A",0,RTD("tos.rtd",,$A$2,"."&amp;G$2&amp;G$1&amp;"C"&amp;$A48))-IF(RTD("tos.rtd",,$A$2,"."&amp;G$2&amp;G$1&amp;"P"&amp;$A48)="N/A",0,RTD("tos.rtd",,$A$2,"."&amp;G$2&amp;G$1&amp;"P"&amp;$A48))))))))))</f>
        <v>0</v>
      </c>
      <c r="H48" s="14">
        <f ca="1">IF($A$2="PREMIUM_OI",IFERROR(IF($X$1="ABS",(100*RTD("tos.rtd",,"OPEN_INT","."&amp;H$2&amp;H$1&amp;"C"&amp;$A48)*RTD("tos.rtd",,"LAST","."&amp;H$2&amp;H$1&amp;"C"&amp;$A48)+100*RTD("tos.rtd",,"OPEN_INT","."&amp;H$2&amp;H$1&amp;"P"&amp;$A48)*RTD("tos.rtd",,"LAST","."&amp;H$2&amp;H$1&amp;"P"&amp;$A48))/1000000,(100*RTD("tos.rtd",,"OPEN_INT","."&amp;H$2&amp;H$1&amp;"C"&amp;$A48)*RTD("tos.rtd",,"LAST","."&amp;H$2&amp;H$1&amp;"C"&amp;$A48)-100*RTD("tos.rtd",,"OPEN_INT","."&amp;H$2&amp;H$1&amp;"P"&amp;$A48)*RTD("tos.rtd",,"LAST","."&amp;H$2&amp;H$1&amp;"P"&amp;$A48))/1000000),0),IF($A$2="PREMIUM",IFERROR(IF($X$1="ABS",(100*RTD("tos.rtd",,"VOLUME","."&amp;H$2&amp;H$1&amp;"C"&amp;$A48)*RTD("tos.rtd",,"LAST","."&amp;H$2&amp;H$1&amp;"C"&amp;$A48)+100*RTD("tos.rtd",,"VOLUME","."&amp;H$2&amp;H$1&amp;"P"&amp;$A48)*RTD("tos.rtd",,"LAST","."&amp;H$2&amp;H$1&amp;"P"&amp;$A48))/1000000,(100*RTD("tos.rtd",,"VOLUME","."&amp;H$2&amp;H$1&amp;"C"&amp;$A48)*RTD("tos.rtd",,"LAST","."&amp;H$2&amp;H$1&amp;"C"&amp;$A48)-100*RTD("tos.rtd",,"VOLUME","."&amp;H$2&amp;H$1&amp;"P"&amp;$A48)*RTD("tos.rtd",,"LAST","."&amp;H$2&amp;H$1&amp;"P"&amp;$A48))/1000000),0),IF($A$2="DEX",IFERROR(IF($X$1="ABS",(100*RTD("tos.rtd",,"OPEN_INT","."&amp;H$2&amp;H$1&amp;"C"&amp;$A48)*RTD("tos.rtd",,"DELTA","."&amp;H$2&amp;H$1&amp;"C"&amp;$A48)+100*RTD("tos.rtd",,"OPEN_INT","."&amp;H$2&amp;H$1&amp;"P"&amp;$A48)*RTD("tos.rtd",,"DELTA","."&amp;H$2&amp;H$1&amp;"P"&amp;$A48))/1000,(100*RTD("tos.rtd",,"OPEN_INT","."&amp;H$2&amp;H$1&amp;"C"&amp;$A48)*RTD("tos.rtd",,"DELTA","."&amp;H$2&amp;H$1&amp;"C"&amp;$A48)-100*RTD("tos.rtd",,"OPEN_INT","."&amp;H$2&amp;H$1&amp;"P"&amp;$A48)*RTD("tos.rtd",,"DELTA","."&amp;H$2&amp;H$1&amp;"P"&amp;$A48))/1000),0),IF($A$2="VEX",IFERROR(IF($X$1="ABS",($A$4*$A$4*RTD("tos.rtd",,"VOLUME","."&amp;H$2&amp;H$1&amp;"C"&amp;$A48)*RTD("tos.rtd",,"GAMMA","."&amp;H$2&amp;H$1&amp;"C"&amp;$A48)+$A$4*$A$4*RTD("tos.rtd",,"VOLUME","."&amp;H$2&amp;H$1&amp;"P"&amp;$A48)*RTD("tos.rtd",,"GAMMA","."&amp;H$2&amp;H$1&amp;"P"&amp;$A48))/1000000,($A$4*$A$4*RTD("tos.rtd",,"VOLUME","."&amp;H$2&amp;H$1&amp;"C"&amp;$A48)*RTD("tos.rtd",,"GAMMA","."&amp;H$2&amp;H$1&amp;"C"&amp;$A48)-$A$4*$A$4*RTD("tos.rtd",,"VOLUME","."&amp;H$2&amp;H$1&amp;"P"&amp;$A48)*RTD("tos.rtd",,"GAMMA","."&amp;H$2&amp;H$1&amp;"P"&amp;$A48))/1000000),0),IF($A$2="GEX",IFERROR(IF($X$1="ABS",($A$4*$A$4*RTD("tos.rtd",,"OPEN_INT","."&amp;H$2&amp;H$1&amp;"C"&amp;$A48)*RTD("tos.rtd",,"GAMMA","."&amp;H$2&amp;H$1&amp;"C"&amp;$A48)+$A$4*$A$4*RTD("tos.rtd",,"OPEN_INT","."&amp;H$2&amp;H$1&amp;"P"&amp;$A48)*RTD("tos.rtd",,"GAMMA","."&amp;H$2&amp;H$1&amp;"P"&amp;$A48))/1000000,($A$4*$A$4*RTD("tos.rtd",,"OPEN_INT","."&amp;H$2&amp;H$1&amp;"C"&amp;$A48)*RTD("tos.rtd",,"GAMMA","."&amp;H$2&amp;H$1&amp;"C"&amp;$A48)-$A$4*$A$4*RTD("tos.rtd",,"OPEN_INT","."&amp;H$2&amp;H$1&amp;"P"&amp;$A48)*RTD("tos.rtd",,"GAMMA","."&amp;H$2&amp;H$1&amp;"P"&amp;$A48))/1000000),0),IF($A$2="SKEW",IFERROR(VALUE(IF(RTD("tos.rtd",,"IMPL_VOL","."&amp;H$2&amp;H$1&amp;"P"&amp;$A48)="N/A",0,RTD("tos.rtd",,"IMPL_VOL","."&amp;H$2&amp;H$1&amp;"P"&amp;$A48))),0)-IFERROR(VALUE(IF(RTD("tos.rtd",,"IMPL_VOL","."&amp;H$2&amp;H$1&amp;"C"&amp;$A48)="N/A",0,RTD("tos.rtd",,"IMPL_VOL","."&amp;H$2&amp;H$1&amp;"C"&amp;$A48))),0),IF($A$2="MAXPAIN",IF($A$4&gt;$A48,($A$4-$A48)*IF(RTD("tos.rtd",,"OPEN_INT","."&amp;H$2&amp;H$1&amp;"C"&amp;$A48)="N/A",0,RTD("tos.rtd",,"OPEN_INT","."&amp;H$2&amp;H$1&amp;"C"&amp;$A48)),0)+IF($A$4&lt;$A48,($A$5-$A$4)*IF(RTD("tos.rtd",,"OPEN_INT","."&amp;H$2&amp;H$1&amp;"P"&amp;$A48)="N/A",0,RTD("tos.rtd",,"OPEN_INT","."&amp;H$2&amp;H$1&amp;"P"&amp;$A48)),0),IF($X$1="ABS",IF(RTD("tos.rtd",,$A$2,"."&amp;H$2&amp;H$1&amp;"C"&amp;$A48)="N/A",0,RTD("tos.rtd",,$A$2,"."&amp;H$2&amp;H$1&amp;"C"&amp;$A48))+IF(RTD("tos.rtd",,$A$2,"."&amp;H$2&amp;H$1&amp;"P"&amp;$A48)="N/A",0,RTD("tos.rtd",,$A$2,"."&amp;H$2&amp;H$1&amp;"P"&amp;$A48)),IF(RTD("tos.rtd",,$A$2,"."&amp;H$2&amp;H$1&amp;"C"&amp;$A48)="N/A",0,RTD("tos.rtd",,$A$2,"."&amp;H$2&amp;H$1&amp;"C"&amp;$A48))-IF(RTD("tos.rtd",,$A$2,"."&amp;H$2&amp;H$1&amp;"P"&amp;$A48)="N/A",0,RTD("tos.rtd",,$A$2,"."&amp;H$2&amp;H$1&amp;"P"&amp;$A48))))))))))</f>
        <v>0</v>
      </c>
      <c r="I48" s="12">
        <f ca="1">IF($A$2="PREMIUM_OI",IFERROR(IF($X$1="ABS",(100*RTD("tos.rtd",,"OPEN_INT","."&amp;I$2&amp;I$1&amp;"C"&amp;$A48)*RTD("tos.rtd",,"LAST","."&amp;I$2&amp;I$1&amp;"C"&amp;$A48)+100*RTD("tos.rtd",,"OPEN_INT","."&amp;I$2&amp;I$1&amp;"P"&amp;$A48)*RTD("tos.rtd",,"LAST","."&amp;I$2&amp;I$1&amp;"P"&amp;$A48))/1000000,(100*RTD("tos.rtd",,"OPEN_INT","."&amp;I$2&amp;I$1&amp;"C"&amp;$A48)*RTD("tos.rtd",,"LAST","."&amp;I$2&amp;I$1&amp;"C"&amp;$A48)-100*RTD("tos.rtd",,"OPEN_INT","."&amp;I$2&amp;I$1&amp;"P"&amp;$A48)*RTD("tos.rtd",,"LAST","."&amp;I$2&amp;I$1&amp;"P"&amp;$A48))/1000000),0),IF($A$2="PREMIUM",IFERROR(IF($X$1="ABS",(100*RTD("tos.rtd",,"VOLUME","."&amp;I$2&amp;I$1&amp;"C"&amp;$A48)*RTD("tos.rtd",,"LAST","."&amp;I$2&amp;I$1&amp;"C"&amp;$A48)+100*RTD("tos.rtd",,"VOLUME","."&amp;I$2&amp;I$1&amp;"P"&amp;$A48)*RTD("tos.rtd",,"LAST","."&amp;I$2&amp;I$1&amp;"P"&amp;$A48))/1000000,(100*RTD("tos.rtd",,"VOLUME","."&amp;I$2&amp;I$1&amp;"C"&amp;$A48)*RTD("tos.rtd",,"LAST","."&amp;I$2&amp;I$1&amp;"C"&amp;$A48)-100*RTD("tos.rtd",,"VOLUME","."&amp;I$2&amp;I$1&amp;"P"&amp;$A48)*RTD("tos.rtd",,"LAST","."&amp;I$2&amp;I$1&amp;"P"&amp;$A48))/1000000),0),IF($A$2="DEX",IFERROR(IF($X$1="ABS",(100*RTD("tos.rtd",,"OPEN_INT","."&amp;I$2&amp;I$1&amp;"C"&amp;$A48)*RTD("tos.rtd",,"DELTA","."&amp;I$2&amp;I$1&amp;"C"&amp;$A48)+100*RTD("tos.rtd",,"OPEN_INT","."&amp;I$2&amp;I$1&amp;"P"&amp;$A48)*RTD("tos.rtd",,"DELTA","."&amp;I$2&amp;I$1&amp;"P"&amp;$A48))/1000,(100*RTD("tos.rtd",,"OPEN_INT","."&amp;I$2&amp;I$1&amp;"C"&amp;$A48)*RTD("tos.rtd",,"DELTA","."&amp;I$2&amp;I$1&amp;"C"&amp;$A48)-100*RTD("tos.rtd",,"OPEN_INT","."&amp;I$2&amp;I$1&amp;"P"&amp;$A48)*RTD("tos.rtd",,"DELTA","."&amp;I$2&amp;I$1&amp;"P"&amp;$A48))/1000),0),IF($A$2="VEX",IFERROR(IF($X$1="ABS",($A$4*$A$4*RTD("tos.rtd",,"VOLUME","."&amp;I$2&amp;I$1&amp;"C"&amp;$A48)*RTD("tos.rtd",,"GAMMA","."&amp;I$2&amp;I$1&amp;"C"&amp;$A48)+$A$4*$A$4*RTD("tos.rtd",,"VOLUME","."&amp;I$2&amp;I$1&amp;"P"&amp;$A48)*RTD("tos.rtd",,"GAMMA","."&amp;I$2&amp;I$1&amp;"P"&amp;$A48))/1000000,($A$4*$A$4*RTD("tos.rtd",,"VOLUME","."&amp;I$2&amp;I$1&amp;"C"&amp;$A48)*RTD("tos.rtd",,"GAMMA","."&amp;I$2&amp;I$1&amp;"C"&amp;$A48)-$A$4*$A$4*RTD("tos.rtd",,"VOLUME","."&amp;I$2&amp;I$1&amp;"P"&amp;$A48)*RTD("tos.rtd",,"GAMMA","."&amp;I$2&amp;I$1&amp;"P"&amp;$A48))/1000000),0),IF($A$2="GEX",IFERROR(IF($X$1="ABS",($A$4*$A$4*RTD("tos.rtd",,"OPEN_INT","."&amp;I$2&amp;I$1&amp;"C"&amp;$A48)*RTD("tos.rtd",,"GAMMA","."&amp;I$2&amp;I$1&amp;"C"&amp;$A48)+$A$4*$A$4*RTD("tos.rtd",,"OPEN_INT","."&amp;I$2&amp;I$1&amp;"P"&amp;$A48)*RTD("tos.rtd",,"GAMMA","."&amp;I$2&amp;I$1&amp;"P"&amp;$A48))/1000000,($A$4*$A$4*RTD("tos.rtd",,"OPEN_INT","."&amp;I$2&amp;I$1&amp;"C"&amp;$A48)*RTD("tos.rtd",,"GAMMA","."&amp;I$2&amp;I$1&amp;"C"&amp;$A48)-$A$4*$A$4*RTD("tos.rtd",,"OPEN_INT","."&amp;I$2&amp;I$1&amp;"P"&amp;$A48)*RTD("tos.rtd",,"GAMMA","."&amp;I$2&amp;I$1&amp;"P"&amp;$A48))/1000000),0),IF($A$2="SKEW",IFERROR(VALUE(IF(RTD("tos.rtd",,"IMPL_VOL","."&amp;I$2&amp;I$1&amp;"P"&amp;$A48)="N/A",0,RTD("tos.rtd",,"IMPL_VOL","."&amp;I$2&amp;I$1&amp;"P"&amp;$A48))),0)-IFERROR(VALUE(IF(RTD("tos.rtd",,"IMPL_VOL","."&amp;I$2&amp;I$1&amp;"C"&amp;$A48)="N/A",0,RTD("tos.rtd",,"IMPL_VOL","."&amp;I$2&amp;I$1&amp;"C"&amp;$A48))),0),IF($A$2="MAXPAIN",IF($A$4&gt;$A48,($A$4-$A48)*IF(RTD("tos.rtd",,"OPEN_INT","."&amp;I$2&amp;I$1&amp;"C"&amp;$A48)="N/A",0,RTD("tos.rtd",,"OPEN_INT","."&amp;I$2&amp;I$1&amp;"C"&amp;$A48)),0)+IF($A$4&lt;$A48,($A$5-$A$4)*IF(RTD("tos.rtd",,"OPEN_INT","."&amp;I$2&amp;I$1&amp;"P"&amp;$A48)="N/A",0,RTD("tos.rtd",,"OPEN_INT","."&amp;I$2&amp;I$1&amp;"P"&amp;$A48)),0),IF($X$1="ABS",IF(RTD("tos.rtd",,$A$2,"."&amp;I$2&amp;I$1&amp;"C"&amp;$A48)="N/A",0,RTD("tos.rtd",,$A$2,"."&amp;I$2&amp;I$1&amp;"C"&amp;$A48))+IF(RTD("tos.rtd",,$A$2,"."&amp;I$2&amp;I$1&amp;"P"&amp;$A48)="N/A",0,RTD("tos.rtd",,$A$2,"."&amp;I$2&amp;I$1&amp;"P"&amp;$A48)),IF(RTD("tos.rtd",,$A$2,"."&amp;I$2&amp;I$1&amp;"C"&amp;$A48)="N/A",0,RTD("tos.rtd",,$A$2,"."&amp;I$2&amp;I$1&amp;"C"&amp;$A48))-IF(RTD("tos.rtd",,$A$2,"."&amp;I$2&amp;I$1&amp;"P"&amp;$A48)="N/A",0,RTD("tos.rtd",,$A$2,"."&amp;I$2&amp;I$1&amp;"P"&amp;$A48))))))))))</f>
        <v>0</v>
      </c>
      <c r="J48" s="12">
        <f ca="1">IF($A$2="PREMIUM_OI",IFERROR(IF($X$1="ABS",(100*RTD("tos.rtd",,"OPEN_INT","."&amp;J$2&amp;J$1&amp;"C"&amp;$A48)*RTD("tos.rtd",,"LAST","."&amp;J$2&amp;J$1&amp;"C"&amp;$A48)+100*RTD("tos.rtd",,"OPEN_INT","."&amp;J$2&amp;J$1&amp;"P"&amp;$A48)*RTD("tos.rtd",,"LAST","."&amp;J$2&amp;J$1&amp;"P"&amp;$A48))/1000000,(100*RTD("tos.rtd",,"OPEN_INT","."&amp;J$2&amp;J$1&amp;"C"&amp;$A48)*RTD("tos.rtd",,"LAST","."&amp;J$2&amp;J$1&amp;"C"&amp;$A48)-100*RTD("tos.rtd",,"OPEN_INT","."&amp;J$2&amp;J$1&amp;"P"&amp;$A48)*RTD("tos.rtd",,"LAST","."&amp;J$2&amp;J$1&amp;"P"&amp;$A48))/1000000),0),IF($A$2="PREMIUM",IFERROR(IF($X$1="ABS",(100*RTD("tos.rtd",,"VOLUME","."&amp;J$2&amp;J$1&amp;"C"&amp;$A48)*RTD("tos.rtd",,"LAST","."&amp;J$2&amp;J$1&amp;"C"&amp;$A48)+100*RTD("tos.rtd",,"VOLUME","."&amp;J$2&amp;J$1&amp;"P"&amp;$A48)*RTD("tos.rtd",,"LAST","."&amp;J$2&amp;J$1&amp;"P"&amp;$A48))/1000000,(100*RTD("tos.rtd",,"VOLUME","."&amp;J$2&amp;J$1&amp;"C"&amp;$A48)*RTD("tos.rtd",,"LAST","."&amp;J$2&amp;J$1&amp;"C"&amp;$A48)-100*RTD("tos.rtd",,"VOLUME","."&amp;J$2&amp;J$1&amp;"P"&amp;$A48)*RTD("tos.rtd",,"LAST","."&amp;J$2&amp;J$1&amp;"P"&amp;$A48))/1000000),0),IF($A$2="DEX",IFERROR(IF($X$1="ABS",(100*RTD("tos.rtd",,"OPEN_INT","."&amp;J$2&amp;J$1&amp;"C"&amp;$A48)*RTD("tos.rtd",,"DELTA","."&amp;J$2&amp;J$1&amp;"C"&amp;$A48)+100*RTD("tos.rtd",,"OPEN_INT","."&amp;J$2&amp;J$1&amp;"P"&amp;$A48)*RTD("tos.rtd",,"DELTA","."&amp;J$2&amp;J$1&amp;"P"&amp;$A48))/1000,(100*RTD("tos.rtd",,"OPEN_INT","."&amp;J$2&amp;J$1&amp;"C"&amp;$A48)*RTD("tos.rtd",,"DELTA","."&amp;J$2&amp;J$1&amp;"C"&amp;$A48)-100*RTD("tos.rtd",,"OPEN_INT","."&amp;J$2&amp;J$1&amp;"P"&amp;$A48)*RTD("tos.rtd",,"DELTA","."&amp;J$2&amp;J$1&amp;"P"&amp;$A48))/1000),0),IF($A$2="VEX",IFERROR(IF($X$1="ABS",($A$4*$A$4*RTD("tos.rtd",,"VOLUME","."&amp;J$2&amp;J$1&amp;"C"&amp;$A48)*RTD("tos.rtd",,"GAMMA","."&amp;J$2&amp;J$1&amp;"C"&amp;$A48)+$A$4*$A$4*RTD("tos.rtd",,"VOLUME","."&amp;J$2&amp;J$1&amp;"P"&amp;$A48)*RTD("tos.rtd",,"GAMMA","."&amp;J$2&amp;J$1&amp;"P"&amp;$A48))/1000000,($A$4*$A$4*RTD("tos.rtd",,"VOLUME","."&amp;J$2&amp;J$1&amp;"C"&amp;$A48)*RTD("tos.rtd",,"GAMMA","."&amp;J$2&amp;J$1&amp;"C"&amp;$A48)-$A$4*$A$4*RTD("tos.rtd",,"VOLUME","."&amp;J$2&amp;J$1&amp;"P"&amp;$A48)*RTD("tos.rtd",,"GAMMA","."&amp;J$2&amp;J$1&amp;"P"&amp;$A48))/1000000),0),IF($A$2="GEX",IFERROR(IF($X$1="ABS",($A$4*$A$4*RTD("tos.rtd",,"OPEN_INT","."&amp;J$2&amp;J$1&amp;"C"&amp;$A48)*RTD("tos.rtd",,"GAMMA","."&amp;J$2&amp;J$1&amp;"C"&amp;$A48)+$A$4*$A$4*RTD("tos.rtd",,"OPEN_INT","."&amp;J$2&amp;J$1&amp;"P"&amp;$A48)*RTD("tos.rtd",,"GAMMA","."&amp;J$2&amp;J$1&amp;"P"&amp;$A48))/1000000,($A$4*$A$4*RTD("tos.rtd",,"OPEN_INT","."&amp;J$2&amp;J$1&amp;"C"&amp;$A48)*RTD("tos.rtd",,"GAMMA","."&amp;J$2&amp;J$1&amp;"C"&amp;$A48)-$A$4*$A$4*RTD("tos.rtd",,"OPEN_INT","."&amp;J$2&amp;J$1&amp;"P"&amp;$A48)*RTD("tos.rtd",,"GAMMA","."&amp;J$2&amp;J$1&amp;"P"&amp;$A48))/1000000),0),IF($A$2="SKEW",IFERROR(VALUE(IF(RTD("tos.rtd",,"IMPL_VOL","."&amp;J$2&amp;J$1&amp;"P"&amp;$A48)="N/A",0,RTD("tos.rtd",,"IMPL_VOL","."&amp;J$2&amp;J$1&amp;"P"&amp;$A48))),0)-IFERROR(VALUE(IF(RTD("tos.rtd",,"IMPL_VOL","."&amp;J$2&amp;J$1&amp;"C"&amp;$A48)="N/A",0,RTD("tos.rtd",,"IMPL_VOL","."&amp;J$2&amp;J$1&amp;"C"&amp;$A48))),0),IF($A$2="MAXPAIN",IF($A$4&gt;$A48,($A$4-$A48)*IF(RTD("tos.rtd",,"OPEN_INT","."&amp;J$2&amp;J$1&amp;"C"&amp;$A48)="N/A",0,RTD("tos.rtd",,"OPEN_INT","."&amp;J$2&amp;J$1&amp;"C"&amp;$A48)),0)+IF($A$4&lt;$A48,($A$5-$A$4)*IF(RTD("tos.rtd",,"OPEN_INT","."&amp;J$2&amp;J$1&amp;"P"&amp;$A48)="N/A",0,RTD("tos.rtd",,"OPEN_INT","."&amp;J$2&amp;J$1&amp;"P"&amp;$A48)),0),IF($X$1="ABS",IF(RTD("tos.rtd",,$A$2,"."&amp;J$2&amp;J$1&amp;"C"&amp;$A48)="N/A",0,RTD("tos.rtd",,$A$2,"."&amp;J$2&amp;J$1&amp;"C"&amp;$A48))+IF(RTD("tos.rtd",,$A$2,"."&amp;J$2&amp;J$1&amp;"P"&amp;$A48)="N/A",0,RTD("tos.rtd",,$A$2,"."&amp;J$2&amp;J$1&amp;"P"&amp;$A48)),IF(RTD("tos.rtd",,$A$2,"."&amp;J$2&amp;J$1&amp;"C"&amp;$A48)="N/A",0,RTD("tos.rtd",,$A$2,"."&amp;J$2&amp;J$1&amp;"C"&amp;$A48))-IF(RTD("tos.rtd",,$A$2,"."&amp;J$2&amp;J$1&amp;"P"&amp;$A48)="N/A",0,RTD("tos.rtd",,$A$2,"."&amp;J$2&amp;J$1&amp;"P"&amp;$A48))))))))))</f>
        <v>0</v>
      </c>
      <c r="K48" s="12">
        <f ca="1">IF($A$2="PREMIUM_OI",IFERROR(IF($X$1="ABS",(100*RTD("tos.rtd",,"OPEN_INT","."&amp;K$2&amp;K$1&amp;"C"&amp;$A48)*RTD("tos.rtd",,"LAST","."&amp;K$2&amp;K$1&amp;"C"&amp;$A48)+100*RTD("tos.rtd",,"OPEN_INT","."&amp;K$2&amp;K$1&amp;"P"&amp;$A48)*RTD("tos.rtd",,"LAST","."&amp;K$2&amp;K$1&amp;"P"&amp;$A48))/1000000,(100*RTD("tos.rtd",,"OPEN_INT","."&amp;K$2&amp;K$1&amp;"C"&amp;$A48)*RTD("tos.rtd",,"LAST","."&amp;K$2&amp;K$1&amp;"C"&amp;$A48)-100*RTD("tos.rtd",,"OPEN_INT","."&amp;K$2&amp;K$1&amp;"P"&amp;$A48)*RTD("tos.rtd",,"LAST","."&amp;K$2&amp;K$1&amp;"P"&amp;$A48))/1000000),0),IF($A$2="PREMIUM",IFERROR(IF($X$1="ABS",(100*RTD("tos.rtd",,"VOLUME","."&amp;K$2&amp;K$1&amp;"C"&amp;$A48)*RTD("tos.rtd",,"LAST","."&amp;K$2&amp;K$1&amp;"C"&amp;$A48)+100*RTD("tos.rtd",,"VOLUME","."&amp;K$2&amp;K$1&amp;"P"&amp;$A48)*RTD("tos.rtd",,"LAST","."&amp;K$2&amp;K$1&amp;"P"&amp;$A48))/1000000,(100*RTD("tos.rtd",,"VOLUME","."&amp;K$2&amp;K$1&amp;"C"&amp;$A48)*RTD("tos.rtd",,"LAST","."&amp;K$2&amp;K$1&amp;"C"&amp;$A48)-100*RTD("tos.rtd",,"VOLUME","."&amp;K$2&amp;K$1&amp;"P"&amp;$A48)*RTD("tos.rtd",,"LAST","."&amp;K$2&amp;K$1&amp;"P"&amp;$A48))/1000000),0),IF($A$2="DEX",IFERROR(IF($X$1="ABS",(100*RTD("tos.rtd",,"OPEN_INT","."&amp;K$2&amp;K$1&amp;"C"&amp;$A48)*RTD("tos.rtd",,"DELTA","."&amp;K$2&amp;K$1&amp;"C"&amp;$A48)+100*RTD("tos.rtd",,"OPEN_INT","."&amp;K$2&amp;K$1&amp;"P"&amp;$A48)*RTD("tos.rtd",,"DELTA","."&amp;K$2&amp;K$1&amp;"P"&amp;$A48))/1000,(100*RTD("tos.rtd",,"OPEN_INT","."&amp;K$2&amp;K$1&amp;"C"&amp;$A48)*RTD("tos.rtd",,"DELTA","."&amp;K$2&amp;K$1&amp;"C"&amp;$A48)-100*RTD("tos.rtd",,"OPEN_INT","."&amp;K$2&amp;K$1&amp;"P"&amp;$A48)*RTD("tos.rtd",,"DELTA","."&amp;K$2&amp;K$1&amp;"P"&amp;$A48))/1000),0),IF($A$2="VEX",IFERROR(IF($X$1="ABS",($A$4*$A$4*RTD("tos.rtd",,"VOLUME","."&amp;K$2&amp;K$1&amp;"C"&amp;$A48)*RTD("tos.rtd",,"GAMMA","."&amp;K$2&amp;K$1&amp;"C"&amp;$A48)+$A$4*$A$4*RTD("tos.rtd",,"VOLUME","."&amp;K$2&amp;K$1&amp;"P"&amp;$A48)*RTD("tos.rtd",,"GAMMA","."&amp;K$2&amp;K$1&amp;"P"&amp;$A48))/1000000,($A$4*$A$4*RTD("tos.rtd",,"VOLUME","."&amp;K$2&amp;K$1&amp;"C"&amp;$A48)*RTD("tos.rtd",,"GAMMA","."&amp;K$2&amp;K$1&amp;"C"&amp;$A48)-$A$4*$A$4*RTD("tos.rtd",,"VOLUME","."&amp;K$2&amp;K$1&amp;"P"&amp;$A48)*RTD("tos.rtd",,"GAMMA","."&amp;K$2&amp;K$1&amp;"P"&amp;$A48))/1000000),0),IF($A$2="GEX",IFERROR(IF($X$1="ABS",($A$4*$A$4*RTD("tos.rtd",,"OPEN_INT","."&amp;K$2&amp;K$1&amp;"C"&amp;$A48)*RTD("tos.rtd",,"GAMMA","."&amp;K$2&amp;K$1&amp;"C"&amp;$A48)+$A$4*$A$4*RTD("tos.rtd",,"OPEN_INT","."&amp;K$2&amp;K$1&amp;"P"&amp;$A48)*RTD("tos.rtd",,"GAMMA","."&amp;K$2&amp;K$1&amp;"P"&amp;$A48))/1000000,($A$4*$A$4*RTD("tos.rtd",,"OPEN_INT","."&amp;K$2&amp;K$1&amp;"C"&amp;$A48)*RTD("tos.rtd",,"GAMMA","."&amp;K$2&amp;K$1&amp;"C"&amp;$A48)-$A$4*$A$4*RTD("tos.rtd",,"OPEN_INT","."&amp;K$2&amp;K$1&amp;"P"&amp;$A48)*RTD("tos.rtd",,"GAMMA","."&amp;K$2&amp;K$1&amp;"P"&amp;$A48))/1000000),0),IF($A$2="SKEW",IFERROR(VALUE(IF(RTD("tos.rtd",,"IMPL_VOL","."&amp;K$2&amp;K$1&amp;"P"&amp;$A48)="N/A",0,RTD("tos.rtd",,"IMPL_VOL","."&amp;K$2&amp;K$1&amp;"P"&amp;$A48))),0)-IFERROR(VALUE(IF(RTD("tos.rtd",,"IMPL_VOL","."&amp;K$2&amp;K$1&amp;"C"&amp;$A48)="N/A",0,RTD("tos.rtd",,"IMPL_VOL","."&amp;K$2&amp;K$1&amp;"C"&amp;$A48))),0),IF($A$2="MAXPAIN",IF($A$4&gt;$A48,($A$4-$A48)*IF(RTD("tos.rtd",,"OPEN_INT","."&amp;K$2&amp;K$1&amp;"C"&amp;$A48)="N/A",0,RTD("tos.rtd",,"OPEN_INT","."&amp;K$2&amp;K$1&amp;"C"&amp;$A48)),0)+IF($A$4&lt;$A48,($A$5-$A$4)*IF(RTD("tos.rtd",,"OPEN_INT","."&amp;K$2&amp;K$1&amp;"P"&amp;$A48)="N/A",0,RTD("tos.rtd",,"OPEN_INT","."&amp;K$2&amp;K$1&amp;"P"&amp;$A48)),0),IF($X$1="ABS",IF(RTD("tos.rtd",,$A$2,"."&amp;K$2&amp;K$1&amp;"C"&amp;$A48)="N/A",0,RTD("tos.rtd",,$A$2,"."&amp;K$2&amp;K$1&amp;"C"&amp;$A48))+IF(RTD("tos.rtd",,$A$2,"."&amp;K$2&amp;K$1&amp;"P"&amp;$A48)="N/A",0,RTD("tos.rtd",,$A$2,"."&amp;K$2&amp;K$1&amp;"P"&amp;$A48)),IF(RTD("tos.rtd",,$A$2,"."&amp;K$2&amp;K$1&amp;"C"&amp;$A48)="N/A",0,RTD("tos.rtd",,$A$2,"."&amp;K$2&amp;K$1&amp;"C"&amp;$A48))-IF(RTD("tos.rtd",,$A$2,"."&amp;K$2&amp;K$1&amp;"P"&amp;$A48)="N/A",0,RTD("tos.rtd",,$A$2,"."&amp;K$2&amp;K$1&amp;"P"&amp;$A48))))))))))</f>
        <v>0</v>
      </c>
      <c r="L48" s="54">
        <f ca="1">IF($A$2="PREMIUM_OI",IFERROR(IF($X$1="ABS",(100*RTD("tos.rtd",,"OPEN_INT","."&amp;L$2&amp;L$1&amp;"C"&amp;$A48)*RTD("tos.rtd",,"LAST","."&amp;L$2&amp;L$1&amp;"C"&amp;$A48)+100*RTD("tos.rtd",,"OPEN_INT","."&amp;L$2&amp;L$1&amp;"P"&amp;$A48)*RTD("tos.rtd",,"LAST","."&amp;L$2&amp;L$1&amp;"P"&amp;$A48))/1000000,(100*RTD("tos.rtd",,"OPEN_INT","."&amp;L$2&amp;L$1&amp;"C"&amp;$A48)*RTD("tos.rtd",,"LAST","."&amp;L$2&amp;L$1&amp;"C"&amp;$A48)-100*RTD("tos.rtd",,"OPEN_INT","."&amp;L$2&amp;L$1&amp;"P"&amp;$A48)*RTD("tos.rtd",,"LAST","."&amp;L$2&amp;L$1&amp;"P"&amp;$A48))/1000000),0),IF($A$2="PREMIUM",IFERROR(IF($X$1="ABS",(100*RTD("tos.rtd",,"VOLUME","."&amp;L$2&amp;L$1&amp;"C"&amp;$A48)*RTD("tos.rtd",,"LAST","."&amp;L$2&amp;L$1&amp;"C"&amp;$A48)+100*RTD("tos.rtd",,"VOLUME","."&amp;L$2&amp;L$1&amp;"P"&amp;$A48)*RTD("tos.rtd",,"LAST","."&amp;L$2&amp;L$1&amp;"P"&amp;$A48))/1000000,(100*RTD("tos.rtd",,"VOLUME","."&amp;L$2&amp;L$1&amp;"C"&amp;$A48)*RTD("tos.rtd",,"LAST","."&amp;L$2&amp;L$1&amp;"C"&amp;$A48)-100*RTD("tos.rtd",,"VOLUME","."&amp;L$2&amp;L$1&amp;"P"&amp;$A48)*RTD("tos.rtd",,"LAST","."&amp;L$2&amp;L$1&amp;"P"&amp;$A48))/1000000),0),IF($A$2="DEX",IFERROR(IF($X$1="ABS",(100*RTD("tos.rtd",,"OPEN_INT","."&amp;L$2&amp;L$1&amp;"C"&amp;$A48)*RTD("tos.rtd",,"DELTA","."&amp;L$2&amp;L$1&amp;"C"&amp;$A48)+100*RTD("tos.rtd",,"OPEN_INT","."&amp;L$2&amp;L$1&amp;"P"&amp;$A48)*RTD("tos.rtd",,"DELTA","."&amp;L$2&amp;L$1&amp;"P"&amp;$A48))/1000,(100*RTD("tos.rtd",,"OPEN_INT","."&amp;L$2&amp;L$1&amp;"C"&amp;$A48)*RTD("tos.rtd",,"DELTA","."&amp;L$2&amp;L$1&amp;"C"&amp;$A48)-100*RTD("tos.rtd",,"OPEN_INT","."&amp;L$2&amp;L$1&amp;"P"&amp;$A48)*RTD("tos.rtd",,"DELTA","."&amp;L$2&amp;L$1&amp;"P"&amp;$A48))/1000),0),IF($A$2="VEX",IFERROR(IF($X$1="ABS",($A$4*$A$4*RTD("tos.rtd",,"VOLUME","."&amp;L$2&amp;L$1&amp;"C"&amp;$A48)*RTD("tos.rtd",,"GAMMA","."&amp;L$2&amp;L$1&amp;"C"&amp;$A48)+$A$4*$A$4*RTD("tos.rtd",,"VOLUME","."&amp;L$2&amp;L$1&amp;"P"&amp;$A48)*RTD("tos.rtd",,"GAMMA","."&amp;L$2&amp;L$1&amp;"P"&amp;$A48))/1000000,($A$4*$A$4*RTD("tos.rtd",,"VOLUME","."&amp;L$2&amp;L$1&amp;"C"&amp;$A48)*RTD("tos.rtd",,"GAMMA","."&amp;L$2&amp;L$1&amp;"C"&amp;$A48)-$A$4*$A$4*RTD("tos.rtd",,"VOLUME","."&amp;L$2&amp;L$1&amp;"P"&amp;$A48)*RTD("tos.rtd",,"GAMMA","."&amp;L$2&amp;L$1&amp;"P"&amp;$A48))/1000000),0),IF($A$2="GEX",IFERROR(IF($X$1="ABS",($A$4*$A$4*RTD("tos.rtd",,"OPEN_INT","."&amp;L$2&amp;L$1&amp;"C"&amp;$A48)*RTD("tos.rtd",,"GAMMA","."&amp;L$2&amp;L$1&amp;"C"&amp;$A48)+$A$4*$A$4*RTD("tos.rtd",,"OPEN_INT","."&amp;L$2&amp;L$1&amp;"P"&amp;$A48)*RTD("tos.rtd",,"GAMMA","."&amp;L$2&amp;L$1&amp;"P"&amp;$A48))/1000000,($A$4*$A$4*RTD("tos.rtd",,"OPEN_INT","."&amp;L$2&amp;L$1&amp;"C"&amp;$A48)*RTD("tos.rtd",,"GAMMA","."&amp;L$2&amp;L$1&amp;"C"&amp;$A48)-$A$4*$A$4*RTD("tos.rtd",,"OPEN_INT","."&amp;L$2&amp;L$1&amp;"P"&amp;$A48)*RTD("tos.rtd",,"GAMMA","."&amp;L$2&amp;L$1&amp;"P"&amp;$A48))/1000000),0),IF($A$2="SKEW",IFERROR(VALUE(IF(RTD("tos.rtd",,"IMPL_VOL","."&amp;L$2&amp;L$1&amp;"P"&amp;$A48)="N/A",0,RTD("tos.rtd",,"IMPL_VOL","."&amp;L$2&amp;L$1&amp;"P"&amp;$A48))),0)-IFERROR(VALUE(IF(RTD("tos.rtd",,"IMPL_VOL","."&amp;L$2&amp;L$1&amp;"C"&amp;$A48)="N/A",0,RTD("tos.rtd",,"IMPL_VOL","."&amp;L$2&amp;L$1&amp;"C"&amp;$A48))),0),IF($A$2="MAXPAIN",IF($A$4&gt;$A48,($A$4-$A48)*IF(RTD("tos.rtd",,"OPEN_INT","."&amp;L$2&amp;L$1&amp;"C"&amp;$A48)="N/A",0,RTD("tos.rtd",,"OPEN_INT","."&amp;L$2&amp;L$1&amp;"C"&amp;$A48)),0)+IF($A$4&lt;$A48,($A$5-$A$4)*IF(RTD("tos.rtd",,"OPEN_INT","."&amp;L$2&amp;L$1&amp;"P"&amp;$A48)="N/A",0,RTD("tos.rtd",,"OPEN_INT","."&amp;L$2&amp;L$1&amp;"P"&amp;$A48)),0),IF($X$1="ABS",IF(RTD("tos.rtd",,$A$2,"."&amp;L$2&amp;L$1&amp;"C"&amp;$A48)="N/A",0,RTD("tos.rtd",,$A$2,"."&amp;L$2&amp;L$1&amp;"C"&amp;$A48))+IF(RTD("tos.rtd",,$A$2,"."&amp;L$2&amp;L$1&amp;"P"&amp;$A48)="N/A",0,RTD("tos.rtd",,$A$2,"."&amp;L$2&amp;L$1&amp;"P"&amp;$A48)),IF(RTD("tos.rtd",,$A$2,"."&amp;L$2&amp;L$1&amp;"C"&amp;$A48)="N/A",0,RTD("tos.rtd",,$A$2,"."&amp;L$2&amp;L$1&amp;"C"&amp;$A48))-IF(RTD("tos.rtd",,$A$2,"."&amp;L$2&amp;L$1&amp;"P"&amp;$A48)="N/A",0,RTD("tos.rtd",,$A$2,"."&amp;L$2&amp;L$1&amp;"P"&amp;$A48))))))))))</f>
        <v>0</v>
      </c>
      <c r="M48" s="12">
        <f ca="1">IF($A$2="PREMIUM_OI",IFERROR(IF($X$1="ABS",(100*RTD("tos.rtd",,"OPEN_INT","."&amp;M$2&amp;M$1&amp;"C"&amp;$A48)*RTD("tos.rtd",,"LAST","."&amp;M$2&amp;M$1&amp;"C"&amp;$A48)+100*RTD("tos.rtd",,"OPEN_INT","."&amp;M$2&amp;M$1&amp;"P"&amp;$A48)*RTD("tos.rtd",,"LAST","."&amp;M$2&amp;M$1&amp;"P"&amp;$A48))/1000000,(100*RTD("tos.rtd",,"OPEN_INT","."&amp;M$2&amp;M$1&amp;"C"&amp;$A48)*RTD("tos.rtd",,"LAST","."&amp;M$2&amp;M$1&amp;"C"&amp;$A48)-100*RTD("tos.rtd",,"OPEN_INT","."&amp;M$2&amp;M$1&amp;"P"&amp;$A48)*RTD("tos.rtd",,"LAST","."&amp;M$2&amp;M$1&amp;"P"&amp;$A48))/1000000),0),IF($A$2="PREMIUM",IFERROR(IF($X$1="ABS",(100*RTD("tos.rtd",,"VOLUME","."&amp;M$2&amp;M$1&amp;"C"&amp;$A48)*RTD("tos.rtd",,"LAST","."&amp;M$2&amp;M$1&amp;"C"&amp;$A48)+100*RTD("tos.rtd",,"VOLUME","."&amp;M$2&amp;M$1&amp;"P"&amp;$A48)*RTD("tos.rtd",,"LAST","."&amp;M$2&amp;M$1&amp;"P"&amp;$A48))/1000000,(100*RTD("tos.rtd",,"VOLUME","."&amp;M$2&amp;M$1&amp;"C"&amp;$A48)*RTD("tos.rtd",,"LAST","."&amp;M$2&amp;M$1&amp;"C"&amp;$A48)-100*RTD("tos.rtd",,"VOLUME","."&amp;M$2&amp;M$1&amp;"P"&amp;$A48)*RTD("tos.rtd",,"LAST","."&amp;M$2&amp;M$1&amp;"P"&amp;$A48))/1000000),0),IF($A$2="DEX",IFERROR(IF($X$1="ABS",(100*RTD("tos.rtd",,"OPEN_INT","."&amp;M$2&amp;M$1&amp;"C"&amp;$A48)*RTD("tos.rtd",,"DELTA","."&amp;M$2&amp;M$1&amp;"C"&amp;$A48)+100*RTD("tos.rtd",,"OPEN_INT","."&amp;M$2&amp;M$1&amp;"P"&amp;$A48)*RTD("tos.rtd",,"DELTA","."&amp;M$2&amp;M$1&amp;"P"&amp;$A48))/1000,(100*RTD("tos.rtd",,"OPEN_INT","."&amp;M$2&amp;M$1&amp;"C"&amp;$A48)*RTD("tos.rtd",,"DELTA","."&amp;M$2&amp;M$1&amp;"C"&amp;$A48)-100*RTD("tos.rtd",,"OPEN_INT","."&amp;M$2&amp;M$1&amp;"P"&amp;$A48)*RTD("tos.rtd",,"DELTA","."&amp;M$2&amp;M$1&amp;"P"&amp;$A48))/1000),0),IF($A$2="VEX",IFERROR(IF($X$1="ABS",($A$4*$A$4*RTD("tos.rtd",,"VOLUME","."&amp;M$2&amp;M$1&amp;"C"&amp;$A48)*RTD("tos.rtd",,"GAMMA","."&amp;M$2&amp;M$1&amp;"C"&amp;$A48)+$A$4*$A$4*RTD("tos.rtd",,"VOLUME","."&amp;M$2&amp;M$1&amp;"P"&amp;$A48)*RTD("tos.rtd",,"GAMMA","."&amp;M$2&amp;M$1&amp;"P"&amp;$A48))/1000000,($A$4*$A$4*RTD("tos.rtd",,"VOLUME","."&amp;M$2&amp;M$1&amp;"C"&amp;$A48)*RTD("tos.rtd",,"GAMMA","."&amp;M$2&amp;M$1&amp;"C"&amp;$A48)-$A$4*$A$4*RTD("tos.rtd",,"VOLUME","."&amp;M$2&amp;M$1&amp;"P"&amp;$A48)*RTD("tos.rtd",,"GAMMA","."&amp;M$2&amp;M$1&amp;"P"&amp;$A48))/1000000),0),IF($A$2="GEX",IFERROR(IF($X$1="ABS",($A$4*$A$4*RTD("tos.rtd",,"OPEN_INT","."&amp;M$2&amp;M$1&amp;"C"&amp;$A48)*RTD("tos.rtd",,"GAMMA","."&amp;M$2&amp;M$1&amp;"C"&amp;$A48)+$A$4*$A$4*RTD("tos.rtd",,"OPEN_INT","."&amp;M$2&amp;M$1&amp;"P"&amp;$A48)*RTD("tos.rtd",,"GAMMA","."&amp;M$2&amp;M$1&amp;"P"&amp;$A48))/1000000,($A$4*$A$4*RTD("tos.rtd",,"OPEN_INT","."&amp;M$2&amp;M$1&amp;"C"&amp;$A48)*RTD("tos.rtd",,"GAMMA","."&amp;M$2&amp;M$1&amp;"C"&amp;$A48)-$A$4*$A$4*RTD("tos.rtd",,"OPEN_INT","."&amp;M$2&amp;M$1&amp;"P"&amp;$A48)*RTD("tos.rtd",,"GAMMA","."&amp;M$2&amp;M$1&amp;"P"&amp;$A48))/1000000),0),IF($A$2="SKEW",IFERROR(VALUE(IF(RTD("tos.rtd",,"IMPL_VOL","."&amp;M$2&amp;M$1&amp;"P"&amp;$A48)="N/A",0,RTD("tos.rtd",,"IMPL_VOL","."&amp;M$2&amp;M$1&amp;"P"&amp;$A48))),0)-IFERROR(VALUE(IF(RTD("tos.rtd",,"IMPL_VOL","."&amp;M$2&amp;M$1&amp;"C"&amp;$A48)="N/A",0,RTD("tos.rtd",,"IMPL_VOL","."&amp;M$2&amp;M$1&amp;"C"&amp;$A48))),0),IF($A$2="MAXPAIN",IF($A$4&gt;$A48,($A$4-$A48)*IF(RTD("tos.rtd",,"OPEN_INT","."&amp;M$2&amp;M$1&amp;"C"&amp;$A48)="N/A",0,RTD("tos.rtd",,"OPEN_INT","."&amp;M$2&amp;M$1&amp;"C"&amp;$A48)),0)+IF($A$4&lt;$A48,($A$5-$A$4)*IF(RTD("tos.rtd",,"OPEN_INT","."&amp;M$2&amp;M$1&amp;"P"&amp;$A48)="N/A",0,RTD("tos.rtd",,"OPEN_INT","."&amp;M$2&amp;M$1&amp;"P"&amp;$A48)),0),IF($X$1="ABS",IF(RTD("tos.rtd",,$A$2,"."&amp;M$2&amp;M$1&amp;"C"&amp;$A48)="N/A",0,RTD("tos.rtd",,$A$2,"."&amp;M$2&amp;M$1&amp;"C"&amp;$A48))+IF(RTD("tos.rtd",,$A$2,"."&amp;M$2&amp;M$1&amp;"P"&amp;$A48)="N/A",0,RTD("tos.rtd",,$A$2,"."&amp;M$2&amp;M$1&amp;"P"&amp;$A48)),IF(RTD("tos.rtd",,$A$2,"."&amp;M$2&amp;M$1&amp;"C"&amp;$A48)="N/A",0,RTD("tos.rtd",,$A$2,"."&amp;M$2&amp;M$1&amp;"C"&amp;$A48))-IF(RTD("tos.rtd",,$A$2,"."&amp;M$2&amp;M$1&amp;"P"&amp;$A48)="N/A",0,RTD("tos.rtd",,$A$2,"."&amp;M$2&amp;M$1&amp;"P"&amp;$A48))))))))))</f>
        <v>0</v>
      </c>
      <c r="N48" s="12">
        <f ca="1">IF($A$2="PREMIUM_OI",IFERROR(IF($X$1="ABS",(100*RTD("tos.rtd",,"OPEN_INT","."&amp;N$2&amp;N$1&amp;"C"&amp;$A48)*RTD("tos.rtd",,"LAST","."&amp;N$2&amp;N$1&amp;"C"&amp;$A48)+100*RTD("tos.rtd",,"OPEN_INT","."&amp;N$2&amp;N$1&amp;"P"&amp;$A48)*RTD("tos.rtd",,"LAST","."&amp;N$2&amp;N$1&amp;"P"&amp;$A48))/1000000,(100*RTD("tos.rtd",,"OPEN_INT","."&amp;N$2&amp;N$1&amp;"C"&amp;$A48)*RTD("tos.rtd",,"LAST","."&amp;N$2&amp;N$1&amp;"C"&amp;$A48)-100*RTD("tos.rtd",,"OPEN_INT","."&amp;N$2&amp;N$1&amp;"P"&amp;$A48)*RTD("tos.rtd",,"LAST","."&amp;N$2&amp;N$1&amp;"P"&amp;$A48))/1000000),0),IF($A$2="PREMIUM",IFERROR(IF($X$1="ABS",(100*RTD("tos.rtd",,"VOLUME","."&amp;N$2&amp;N$1&amp;"C"&amp;$A48)*RTD("tos.rtd",,"LAST","."&amp;N$2&amp;N$1&amp;"C"&amp;$A48)+100*RTD("tos.rtd",,"VOLUME","."&amp;N$2&amp;N$1&amp;"P"&amp;$A48)*RTD("tos.rtd",,"LAST","."&amp;N$2&amp;N$1&amp;"P"&amp;$A48))/1000000,(100*RTD("tos.rtd",,"VOLUME","."&amp;N$2&amp;N$1&amp;"C"&amp;$A48)*RTD("tos.rtd",,"LAST","."&amp;N$2&amp;N$1&amp;"C"&amp;$A48)-100*RTD("tos.rtd",,"VOLUME","."&amp;N$2&amp;N$1&amp;"P"&amp;$A48)*RTD("tos.rtd",,"LAST","."&amp;N$2&amp;N$1&amp;"P"&amp;$A48))/1000000),0),IF($A$2="DEX",IFERROR(IF($X$1="ABS",(100*RTD("tos.rtd",,"OPEN_INT","."&amp;N$2&amp;N$1&amp;"C"&amp;$A48)*RTD("tos.rtd",,"DELTA","."&amp;N$2&amp;N$1&amp;"C"&amp;$A48)+100*RTD("tos.rtd",,"OPEN_INT","."&amp;N$2&amp;N$1&amp;"P"&amp;$A48)*RTD("tos.rtd",,"DELTA","."&amp;N$2&amp;N$1&amp;"P"&amp;$A48))/1000,(100*RTD("tos.rtd",,"OPEN_INT","."&amp;N$2&amp;N$1&amp;"C"&amp;$A48)*RTD("tos.rtd",,"DELTA","."&amp;N$2&amp;N$1&amp;"C"&amp;$A48)-100*RTD("tos.rtd",,"OPEN_INT","."&amp;N$2&amp;N$1&amp;"P"&amp;$A48)*RTD("tos.rtd",,"DELTA","."&amp;N$2&amp;N$1&amp;"P"&amp;$A48))/1000),0),IF($A$2="VEX",IFERROR(IF($X$1="ABS",($A$4*$A$4*RTD("tos.rtd",,"VOLUME","."&amp;N$2&amp;N$1&amp;"C"&amp;$A48)*RTD("tos.rtd",,"GAMMA","."&amp;N$2&amp;N$1&amp;"C"&amp;$A48)+$A$4*$A$4*RTD("tos.rtd",,"VOLUME","."&amp;N$2&amp;N$1&amp;"P"&amp;$A48)*RTD("tos.rtd",,"GAMMA","."&amp;N$2&amp;N$1&amp;"P"&amp;$A48))/1000000,($A$4*$A$4*RTD("tos.rtd",,"VOLUME","."&amp;N$2&amp;N$1&amp;"C"&amp;$A48)*RTD("tos.rtd",,"GAMMA","."&amp;N$2&amp;N$1&amp;"C"&amp;$A48)-$A$4*$A$4*RTD("tos.rtd",,"VOLUME","."&amp;N$2&amp;N$1&amp;"P"&amp;$A48)*RTD("tos.rtd",,"GAMMA","."&amp;N$2&amp;N$1&amp;"P"&amp;$A48))/1000000),0),IF($A$2="GEX",IFERROR(IF($X$1="ABS",($A$4*$A$4*RTD("tos.rtd",,"OPEN_INT","."&amp;N$2&amp;N$1&amp;"C"&amp;$A48)*RTD("tos.rtd",,"GAMMA","."&amp;N$2&amp;N$1&amp;"C"&amp;$A48)+$A$4*$A$4*RTD("tos.rtd",,"OPEN_INT","."&amp;N$2&amp;N$1&amp;"P"&amp;$A48)*RTD("tos.rtd",,"GAMMA","."&amp;N$2&amp;N$1&amp;"P"&amp;$A48))/1000000,($A$4*$A$4*RTD("tos.rtd",,"OPEN_INT","."&amp;N$2&amp;N$1&amp;"C"&amp;$A48)*RTD("tos.rtd",,"GAMMA","."&amp;N$2&amp;N$1&amp;"C"&amp;$A48)-$A$4*$A$4*RTD("tos.rtd",,"OPEN_INT","."&amp;N$2&amp;N$1&amp;"P"&amp;$A48)*RTD("tos.rtd",,"GAMMA","."&amp;N$2&amp;N$1&amp;"P"&amp;$A48))/1000000),0),IF($A$2="SKEW",IFERROR(VALUE(IF(RTD("tos.rtd",,"IMPL_VOL","."&amp;N$2&amp;N$1&amp;"P"&amp;$A48)="N/A",0,RTD("tos.rtd",,"IMPL_VOL","."&amp;N$2&amp;N$1&amp;"P"&amp;$A48))),0)-IFERROR(VALUE(IF(RTD("tos.rtd",,"IMPL_VOL","."&amp;N$2&amp;N$1&amp;"C"&amp;$A48)="N/A",0,RTD("tos.rtd",,"IMPL_VOL","."&amp;N$2&amp;N$1&amp;"C"&amp;$A48))),0),IF($A$2="MAXPAIN",IF($A$4&gt;$A48,($A$4-$A48)*IF(RTD("tos.rtd",,"OPEN_INT","."&amp;N$2&amp;N$1&amp;"C"&amp;$A48)="N/A",0,RTD("tos.rtd",,"OPEN_INT","."&amp;N$2&amp;N$1&amp;"C"&amp;$A48)),0)+IF($A$4&lt;$A48,($A$5-$A$4)*IF(RTD("tos.rtd",,"OPEN_INT","."&amp;N$2&amp;N$1&amp;"P"&amp;$A48)="N/A",0,RTD("tos.rtd",,"OPEN_INT","."&amp;N$2&amp;N$1&amp;"P"&amp;$A48)),0),IF($X$1="ABS",IF(RTD("tos.rtd",,$A$2,"."&amp;N$2&amp;N$1&amp;"C"&amp;$A48)="N/A",0,RTD("tos.rtd",,$A$2,"."&amp;N$2&amp;N$1&amp;"C"&amp;$A48))+IF(RTD("tos.rtd",,$A$2,"."&amp;N$2&amp;N$1&amp;"P"&amp;$A48)="N/A",0,RTD("tos.rtd",,$A$2,"."&amp;N$2&amp;N$1&amp;"P"&amp;$A48)),IF(RTD("tos.rtd",,$A$2,"."&amp;N$2&amp;N$1&amp;"C"&amp;$A48)="N/A",0,RTD("tos.rtd",,$A$2,"."&amp;N$2&amp;N$1&amp;"C"&amp;$A48))-IF(RTD("tos.rtd",,$A$2,"."&amp;N$2&amp;N$1&amp;"P"&amp;$A48)="N/A",0,RTD("tos.rtd",,$A$2,"."&amp;N$2&amp;N$1&amp;"P"&amp;$A48))))))))))</f>
        <v>0</v>
      </c>
      <c r="O48" s="12">
        <f ca="1">IF($A$2="PREMIUM_OI",IFERROR(IF($X$1="ABS",(100*RTD("tos.rtd",,"OPEN_INT","."&amp;O$2&amp;O$1&amp;"C"&amp;$A48)*RTD("tos.rtd",,"LAST","."&amp;O$2&amp;O$1&amp;"C"&amp;$A48)+100*RTD("tos.rtd",,"OPEN_INT","."&amp;O$2&amp;O$1&amp;"P"&amp;$A48)*RTD("tos.rtd",,"LAST","."&amp;O$2&amp;O$1&amp;"P"&amp;$A48))/1000000,(100*RTD("tos.rtd",,"OPEN_INT","."&amp;O$2&amp;O$1&amp;"C"&amp;$A48)*RTD("tos.rtd",,"LAST","."&amp;O$2&amp;O$1&amp;"C"&amp;$A48)-100*RTD("tos.rtd",,"OPEN_INT","."&amp;O$2&amp;O$1&amp;"P"&amp;$A48)*RTD("tos.rtd",,"LAST","."&amp;O$2&amp;O$1&amp;"P"&amp;$A48))/1000000),0),IF($A$2="PREMIUM",IFERROR(IF($X$1="ABS",(100*RTD("tos.rtd",,"VOLUME","."&amp;O$2&amp;O$1&amp;"C"&amp;$A48)*RTD("tos.rtd",,"LAST","."&amp;O$2&amp;O$1&amp;"C"&amp;$A48)+100*RTD("tos.rtd",,"VOLUME","."&amp;O$2&amp;O$1&amp;"P"&amp;$A48)*RTD("tos.rtd",,"LAST","."&amp;O$2&amp;O$1&amp;"P"&amp;$A48))/1000000,(100*RTD("tos.rtd",,"VOLUME","."&amp;O$2&amp;O$1&amp;"C"&amp;$A48)*RTD("tos.rtd",,"LAST","."&amp;O$2&amp;O$1&amp;"C"&amp;$A48)-100*RTD("tos.rtd",,"VOLUME","."&amp;O$2&amp;O$1&amp;"P"&amp;$A48)*RTD("tos.rtd",,"LAST","."&amp;O$2&amp;O$1&amp;"P"&amp;$A48))/1000000),0),IF($A$2="DEX",IFERROR(IF($X$1="ABS",(100*RTD("tos.rtd",,"OPEN_INT","."&amp;O$2&amp;O$1&amp;"C"&amp;$A48)*RTD("tos.rtd",,"DELTA","."&amp;O$2&amp;O$1&amp;"C"&amp;$A48)+100*RTD("tos.rtd",,"OPEN_INT","."&amp;O$2&amp;O$1&amp;"P"&amp;$A48)*RTD("tos.rtd",,"DELTA","."&amp;O$2&amp;O$1&amp;"P"&amp;$A48))/1000,(100*RTD("tos.rtd",,"OPEN_INT","."&amp;O$2&amp;O$1&amp;"C"&amp;$A48)*RTD("tos.rtd",,"DELTA","."&amp;O$2&amp;O$1&amp;"C"&amp;$A48)-100*RTD("tos.rtd",,"OPEN_INT","."&amp;O$2&amp;O$1&amp;"P"&amp;$A48)*RTD("tos.rtd",,"DELTA","."&amp;O$2&amp;O$1&amp;"P"&amp;$A48))/1000),0),IF($A$2="VEX",IFERROR(IF($X$1="ABS",($A$4*$A$4*RTD("tos.rtd",,"VOLUME","."&amp;O$2&amp;O$1&amp;"C"&amp;$A48)*RTD("tos.rtd",,"GAMMA","."&amp;O$2&amp;O$1&amp;"C"&amp;$A48)+$A$4*$A$4*RTD("tos.rtd",,"VOLUME","."&amp;O$2&amp;O$1&amp;"P"&amp;$A48)*RTD("tos.rtd",,"GAMMA","."&amp;O$2&amp;O$1&amp;"P"&amp;$A48))/1000000,($A$4*$A$4*RTD("tos.rtd",,"VOLUME","."&amp;O$2&amp;O$1&amp;"C"&amp;$A48)*RTD("tos.rtd",,"GAMMA","."&amp;O$2&amp;O$1&amp;"C"&amp;$A48)-$A$4*$A$4*RTD("tos.rtd",,"VOLUME","."&amp;O$2&amp;O$1&amp;"P"&amp;$A48)*RTD("tos.rtd",,"GAMMA","."&amp;O$2&amp;O$1&amp;"P"&amp;$A48))/1000000),0),IF($A$2="GEX",IFERROR(IF($X$1="ABS",($A$4*$A$4*RTD("tos.rtd",,"OPEN_INT","."&amp;O$2&amp;O$1&amp;"C"&amp;$A48)*RTD("tos.rtd",,"GAMMA","."&amp;O$2&amp;O$1&amp;"C"&amp;$A48)+$A$4*$A$4*RTD("tos.rtd",,"OPEN_INT","."&amp;O$2&amp;O$1&amp;"P"&amp;$A48)*RTD("tos.rtd",,"GAMMA","."&amp;O$2&amp;O$1&amp;"P"&amp;$A48))/1000000,($A$4*$A$4*RTD("tos.rtd",,"OPEN_INT","."&amp;O$2&amp;O$1&amp;"C"&amp;$A48)*RTD("tos.rtd",,"GAMMA","."&amp;O$2&amp;O$1&amp;"C"&amp;$A48)-$A$4*$A$4*RTD("tos.rtd",,"OPEN_INT","."&amp;O$2&amp;O$1&amp;"P"&amp;$A48)*RTD("tos.rtd",,"GAMMA","."&amp;O$2&amp;O$1&amp;"P"&amp;$A48))/1000000),0),IF($A$2="SKEW",IFERROR(VALUE(IF(RTD("tos.rtd",,"IMPL_VOL","."&amp;O$2&amp;O$1&amp;"P"&amp;$A48)="N/A",0,RTD("tos.rtd",,"IMPL_VOL","."&amp;O$2&amp;O$1&amp;"P"&amp;$A48))),0)-IFERROR(VALUE(IF(RTD("tos.rtd",,"IMPL_VOL","."&amp;O$2&amp;O$1&amp;"C"&amp;$A48)="N/A",0,RTD("tos.rtd",,"IMPL_VOL","."&amp;O$2&amp;O$1&amp;"C"&amp;$A48))),0),IF($A$2="MAXPAIN",IF($A$4&gt;$A48,($A$4-$A48)*IF(RTD("tos.rtd",,"OPEN_INT","."&amp;O$2&amp;O$1&amp;"C"&amp;$A48)="N/A",0,RTD("tos.rtd",,"OPEN_INT","."&amp;O$2&amp;O$1&amp;"C"&amp;$A48)),0)+IF($A$4&lt;$A48,($A$5-$A$4)*IF(RTD("tos.rtd",,"OPEN_INT","."&amp;O$2&amp;O$1&amp;"P"&amp;$A48)="N/A",0,RTD("tos.rtd",,"OPEN_INT","."&amp;O$2&amp;O$1&amp;"P"&amp;$A48)),0),IF($X$1="ABS",IF(RTD("tos.rtd",,$A$2,"."&amp;O$2&amp;O$1&amp;"C"&amp;$A48)="N/A",0,RTD("tos.rtd",,$A$2,"."&amp;O$2&amp;O$1&amp;"C"&amp;$A48))+IF(RTD("tos.rtd",,$A$2,"."&amp;O$2&amp;O$1&amp;"P"&amp;$A48)="N/A",0,RTD("tos.rtd",,$A$2,"."&amp;O$2&amp;O$1&amp;"P"&amp;$A48)),IF(RTD("tos.rtd",,$A$2,"."&amp;O$2&amp;O$1&amp;"C"&amp;$A48)="N/A",0,RTD("tos.rtd",,$A$2,"."&amp;O$2&amp;O$1&amp;"C"&amp;$A48))-IF(RTD("tos.rtd",,$A$2,"."&amp;O$2&amp;O$1&amp;"P"&amp;$A48)="N/A",0,RTD("tos.rtd",,$A$2,"."&amp;O$2&amp;O$1&amp;"P"&amp;$A48))))))))))</f>
        <v>0</v>
      </c>
      <c r="P48" s="12">
        <f ca="1">IF($A$2="PREMIUM_OI",IFERROR(IF($X$1="ABS",(100*RTD("tos.rtd",,"OPEN_INT","."&amp;P$2&amp;P$1&amp;"C"&amp;$A48)*RTD("tos.rtd",,"LAST","."&amp;P$2&amp;P$1&amp;"C"&amp;$A48)+100*RTD("tos.rtd",,"OPEN_INT","."&amp;P$2&amp;P$1&amp;"P"&amp;$A48)*RTD("tos.rtd",,"LAST","."&amp;P$2&amp;P$1&amp;"P"&amp;$A48))/1000000,(100*RTD("tos.rtd",,"OPEN_INT","."&amp;P$2&amp;P$1&amp;"C"&amp;$A48)*RTD("tos.rtd",,"LAST","."&amp;P$2&amp;P$1&amp;"C"&amp;$A48)-100*RTD("tos.rtd",,"OPEN_INT","."&amp;P$2&amp;P$1&amp;"P"&amp;$A48)*RTD("tos.rtd",,"LAST","."&amp;P$2&amp;P$1&amp;"P"&amp;$A48))/1000000),0),IF($A$2="PREMIUM",IFERROR(IF($X$1="ABS",(100*RTD("tos.rtd",,"VOLUME","."&amp;P$2&amp;P$1&amp;"C"&amp;$A48)*RTD("tos.rtd",,"LAST","."&amp;P$2&amp;P$1&amp;"C"&amp;$A48)+100*RTD("tos.rtd",,"VOLUME","."&amp;P$2&amp;P$1&amp;"P"&amp;$A48)*RTD("tos.rtd",,"LAST","."&amp;P$2&amp;P$1&amp;"P"&amp;$A48))/1000000,(100*RTD("tos.rtd",,"VOLUME","."&amp;P$2&amp;P$1&amp;"C"&amp;$A48)*RTD("tos.rtd",,"LAST","."&amp;P$2&amp;P$1&amp;"C"&amp;$A48)-100*RTD("tos.rtd",,"VOLUME","."&amp;P$2&amp;P$1&amp;"P"&amp;$A48)*RTD("tos.rtd",,"LAST","."&amp;P$2&amp;P$1&amp;"P"&amp;$A48))/1000000),0),IF($A$2="DEX",IFERROR(IF($X$1="ABS",(100*RTD("tos.rtd",,"OPEN_INT","."&amp;P$2&amp;P$1&amp;"C"&amp;$A48)*RTD("tos.rtd",,"DELTA","."&amp;P$2&amp;P$1&amp;"C"&amp;$A48)+100*RTD("tos.rtd",,"OPEN_INT","."&amp;P$2&amp;P$1&amp;"P"&amp;$A48)*RTD("tos.rtd",,"DELTA","."&amp;P$2&amp;P$1&amp;"P"&amp;$A48))/1000,(100*RTD("tos.rtd",,"OPEN_INT","."&amp;P$2&amp;P$1&amp;"C"&amp;$A48)*RTD("tos.rtd",,"DELTA","."&amp;P$2&amp;P$1&amp;"C"&amp;$A48)-100*RTD("tos.rtd",,"OPEN_INT","."&amp;P$2&amp;P$1&amp;"P"&amp;$A48)*RTD("tos.rtd",,"DELTA","."&amp;P$2&amp;P$1&amp;"P"&amp;$A48))/1000),0),IF($A$2="VEX",IFERROR(IF($X$1="ABS",($A$4*$A$4*RTD("tos.rtd",,"VOLUME","."&amp;P$2&amp;P$1&amp;"C"&amp;$A48)*RTD("tos.rtd",,"GAMMA","."&amp;P$2&amp;P$1&amp;"C"&amp;$A48)+$A$4*$A$4*RTD("tos.rtd",,"VOLUME","."&amp;P$2&amp;P$1&amp;"P"&amp;$A48)*RTD("tos.rtd",,"GAMMA","."&amp;P$2&amp;P$1&amp;"P"&amp;$A48))/1000000,($A$4*$A$4*RTD("tos.rtd",,"VOLUME","."&amp;P$2&amp;P$1&amp;"C"&amp;$A48)*RTD("tos.rtd",,"GAMMA","."&amp;P$2&amp;P$1&amp;"C"&amp;$A48)-$A$4*$A$4*RTD("tos.rtd",,"VOLUME","."&amp;P$2&amp;P$1&amp;"P"&amp;$A48)*RTD("tos.rtd",,"GAMMA","."&amp;P$2&amp;P$1&amp;"P"&amp;$A48))/1000000),0),IF($A$2="GEX",IFERROR(IF($X$1="ABS",($A$4*$A$4*RTD("tos.rtd",,"OPEN_INT","."&amp;P$2&amp;P$1&amp;"C"&amp;$A48)*RTD("tos.rtd",,"GAMMA","."&amp;P$2&amp;P$1&amp;"C"&amp;$A48)+$A$4*$A$4*RTD("tos.rtd",,"OPEN_INT","."&amp;P$2&amp;P$1&amp;"P"&amp;$A48)*RTD("tos.rtd",,"GAMMA","."&amp;P$2&amp;P$1&amp;"P"&amp;$A48))/1000000,($A$4*$A$4*RTD("tos.rtd",,"OPEN_INT","."&amp;P$2&amp;P$1&amp;"C"&amp;$A48)*RTD("tos.rtd",,"GAMMA","."&amp;P$2&amp;P$1&amp;"C"&amp;$A48)-$A$4*$A$4*RTD("tos.rtd",,"OPEN_INT","."&amp;P$2&amp;P$1&amp;"P"&amp;$A48)*RTD("tos.rtd",,"GAMMA","."&amp;P$2&amp;P$1&amp;"P"&amp;$A48))/1000000),0),IF($A$2="SKEW",IFERROR(VALUE(IF(RTD("tos.rtd",,"IMPL_VOL","."&amp;P$2&amp;P$1&amp;"P"&amp;$A48)="N/A",0,RTD("tos.rtd",,"IMPL_VOL","."&amp;P$2&amp;P$1&amp;"P"&amp;$A48))),0)-IFERROR(VALUE(IF(RTD("tos.rtd",,"IMPL_VOL","."&amp;P$2&amp;P$1&amp;"C"&amp;$A48)="N/A",0,RTD("tos.rtd",,"IMPL_VOL","."&amp;P$2&amp;P$1&amp;"C"&amp;$A48))),0),IF($A$2="MAXPAIN",IF($A$4&gt;$A48,($A$4-$A48)*IF(RTD("tos.rtd",,"OPEN_INT","."&amp;P$2&amp;P$1&amp;"C"&amp;$A48)="N/A",0,RTD("tos.rtd",,"OPEN_INT","."&amp;P$2&amp;P$1&amp;"C"&amp;$A48)),0)+IF($A$4&lt;$A48,($A$5-$A$4)*IF(RTD("tos.rtd",,"OPEN_INT","."&amp;P$2&amp;P$1&amp;"P"&amp;$A48)="N/A",0,RTD("tos.rtd",,"OPEN_INT","."&amp;P$2&amp;P$1&amp;"P"&amp;$A48)),0),IF($X$1="ABS",IF(RTD("tos.rtd",,$A$2,"."&amp;P$2&amp;P$1&amp;"C"&amp;$A48)="N/A",0,RTD("tos.rtd",,$A$2,"."&amp;P$2&amp;P$1&amp;"C"&amp;$A48))+IF(RTD("tos.rtd",,$A$2,"."&amp;P$2&amp;P$1&amp;"P"&amp;$A48)="N/A",0,RTD("tos.rtd",,$A$2,"."&amp;P$2&amp;P$1&amp;"P"&amp;$A48)),IF(RTD("tos.rtd",,$A$2,"."&amp;P$2&amp;P$1&amp;"C"&amp;$A48)="N/A",0,RTD("tos.rtd",,$A$2,"."&amp;P$2&amp;P$1&amp;"C"&amp;$A48))-IF(RTD("tos.rtd",,$A$2,"."&amp;P$2&amp;P$1&amp;"P"&amp;$A48)="N/A",0,RTD("tos.rtd",,$A$2,"."&amp;P$2&amp;P$1&amp;"P"&amp;$A48))))))))))</f>
        <v>0</v>
      </c>
      <c r="Q48" s="12">
        <f ca="1">IF($A$2="PREMIUM_OI",IFERROR(IF($X$1="ABS",(100*RTD("tos.rtd",,"OPEN_INT","."&amp;Q$2&amp;Q$1&amp;"C"&amp;$A48)*RTD("tos.rtd",,"LAST","."&amp;Q$2&amp;Q$1&amp;"C"&amp;$A48)+100*RTD("tos.rtd",,"OPEN_INT","."&amp;Q$2&amp;Q$1&amp;"P"&amp;$A48)*RTD("tos.rtd",,"LAST","."&amp;Q$2&amp;Q$1&amp;"P"&amp;$A48))/1000000,(100*RTD("tos.rtd",,"OPEN_INT","."&amp;Q$2&amp;Q$1&amp;"C"&amp;$A48)*RTD("tos.rtd",,"LAST","."&amp;Q$2&amp;Q$1&amp;"C"&amp;$A48)-100*RTD("tos.rtd",,"OPEN_INT","."&amp;Q$2&amp;Q$1&amp;"P"&amp;$A48)*RTD("tos.rtd",,"LAST","."&amp;Q$2&amp;Q$1&amp;"P"&amp;$A48))/1000000),0),IF($A$2="PREMIUM",IFERROR(IF($X$1="ABS",(100*RTD("tos.rtd",,"VOLUME","."&amp;Q$2&amp;Q$1&amp;"C"&amp;$A48)*RTD("tos.rtd",,"LAST","."&amp;Q$2&amp;Q$1&amp;"C"&amp;$A48)+100*RTD("tos.rtd",,"VOLUME","."&amp;Q$2&amp;Q$1&amp;"P"&amp;$A48)*RTD("tos.rtd",,"LAST","."&amp;Q$2&amp;Q$1&amp;"P"&amp;$A48))/1000000,(100*RTD("tos.rtd",,"VOLUME","."&amp;Q$2&amp;Q$1&amp;"C"&amp;$A48)*RTD("tos.rtd",,"LAST","."&amp;Q$2&amp;Q$1&amp;"C"&amp;$A48)-100*RTD("tos.rtd",,"VOLUME","."&amp;Q$2&amp;Q$1&amp;"P"&amp;$A48)*RTD("tos.rtd",,"LAST","."&amp;Q$2&amp;Q$1&amp;"P"&amp;$A48))/1000000),0),IF($A$2="DEX",IFERROR(IF($X$1="ABS",(100*RTD("tos.rtd",,"OPEN_INT","."&amp;Q$2&amp;Q$1&amp;"C"&amp;$A48)*RTD("tos.rtd",,"DELTA","."&amp;Q$2&amp;Q$1&amp;"C"&amp;$A48)+100*RTD("tos.rtd",,"OPEN_INT","."&amp;Q$2&amp;Q$1&amp;"P"&amp;$A48)*RTD("tos.rtd",,"DELTA","."&amp;Q$2&amp;Q$1&amp;"P"&amp;$A48))/1000,(100*RTD("tos.rtd",,"OPEN_INT","."&amp;Q$2&amp;Q$1&amp;"C"&amp;$A48)*RTD("tos.rtd",,"DELTA","."&amp;Q$2&amp;Q$1&amp;"C"&amp;$A48)-100*RTD("tos.rtd",,"OPEN_INT","."&amp;Q$2&amp;Q$1&amp;"P"&amp;$A48)*RTD("tos.rtd",,"DELTA","."&amp;Q$2&amp;Q$1&amp;"P"&amp;$A48))/1000),0),IF($A$2="VEX",IFERROR(IF($X$1="ABS",($A$4*$A$4*RTD("tos.rtd",,"VOLUME","."&amp;Q$2&amp;Q$1&amp;"C"&amp;$A48)*RTD("tos.rtd",,"GAMMA","."&amp;Q$2&amp;Q$1&amp;"C"&amp;$A48)+$A$4*$A$4*RTD("tos.rtd",,"VOLUME","."&amp;Q$2&amp;Q$1&amp;"P"&amp;$A48)*RTD("tos.rtd",,"GAMMA","."&amp;Q$2&amp;Q$1&amp;"P"&amp;$A48))/1000000,($A$4*$A$4*RTD("tos.rtd",,"VOLUME","."&amp;Q$2&amp;Q$1&amp;"C"&amp;$A48)*RTD("tos.rtd",,"GAMMA","."&amp;Q$2&amp;Q$1&amp;"C"&amp;$A48)-$A$4*$A$4*RTD("tos.rtd",,"VOLUME","."&amp;Q$2&amp;Q$1&amp;"P"&amp;$A48)*RTD("tos.rtd",,"GAMMA","."&amp;Q$2&amp;Q$1&amp;"P"&amp;$A48))/1000000),0),IF($A$2="GEX",IFERROR(IF($X$1="ABS",($A$4*$A$4*RTD("tos.rtd",,"OPEN_INT","."&amp;Q$2&amp;Q$1&amp;"C"&amp;$A48)*RTD("tos.rtd",,"GAMMA","."&amp;Q$2&amp;Q$1&amp;"C"&amp;$A48)+$A$4*$A$4*RTD("tos.rtd",,"OPEN_INT","."&amp;Q$2&amp;Q$1&amp;"P"&amp;$A48)*RTD("tos.rtd",,"GAMMA","."&amp;Q$2&amp;Q$1&amp;"P"&amp;$A48))/1000000,($A$4*$A$4*RTD("tos.rtd",,"OPEN_INT","."&amp;Q$2&amp;Q$1&amp;"C"&amp;$A48)*RTD("tos.rtd",,"GAMMA","."&amp;Q$2&amp;Q$1&amp;"C"&amp;$A48)-$A$4*$A$4*RTD("tos.rtd",,"OPEN_INT","."&amp;Q$2&amp;Q$1&amp;"P"&amp;$A48)*RTD("tos.rtd",,"GAMMA","."&amp;Q$2&amp;Q$1&amp;"P"&amp;$A48))/1000000),0),IF($A$2="SKEW",IFERROR(VALUE(IF(RTD("tos.rtd",,"IMPL_VOL","."&amp;Q$2&amp;Q$1&amp;"P"&amp;$A48)="N/A",0,RTD("tos.rtd",,"IMPL_VOL","."&amp;Q$2&amp;Q$1&amp;"P"&amp;$A48))),0)-IFERROR(VALUE(IF(RTD("tos.rtd",,"IMPL_VOL","."&amp;Q$2&amp;Q$1&amp;"C"&amp;$A48)="N/A",0,RTD("tos.rtd",,"IMPL_VOL","."&amp;Q$2&amp;Q$1&amp;"C"&amp;$A48))),0),IF($A$2="MAXPAIN",IF($A$4&gt;$A48,($A$4-$A48)*IF(RTD("tos.rtd",,"OPEN_INT","."&amp;Q$2&amp;Q$1&amp;"C"&amp;$A48)="N/A",0,RTD("tos.rtd",,"OPEN_INT","."&amp;Q$2&amp;Q$1&amp;"C"&amp;$A48)),0)+IF($A$4&lt;$A48,($A$5-$A$4)*IF(RTD("tos.rtd",,"OPEN_INT","."&amp;Q$2&amp;Q$1&amp;"P"&amp;$A48)="N/A",0,RTD("tos.rtd",,"OPEN_INT","."&amp;Q$2&amp;Q$1&amp;"P"&amp;$A48)),0),IF($X$1="ABS",IF(RTD("tos.rtd",,$A$2,"."&amp;Q$2&amp;Q$1&amp;"C"&amp;$A48)="N/A",0,RTD("tos.rtd",,$A$2,"."&amp;Q$2&amp;Q$1&amp;"C"&amp;$A48))+IF(RTD("tos.rtd",,$A$2,"."&amp;Q$2&amp;Q$1&amp;"P"&amp;$A48)="N/A",0,RTD("tos.rtd",,$A$2,"."&amp;Q$2&amp;Q$1&amp;"P"&amp;$A48)),IF(RTD("tos.rtd",,$A$2,"."&amp;Q$2&amp;Q$1&amp;"C"&amp;$A48)="N/A",0,RTD("tos.rtd",,$A$2,"."&amp;Q$2&amp;Q$1&amp;"C"&amp;$A48))-IF(RTD("tos.rtd",,$A$2,"."&amp;Q$2&amp;Q$1&amp;"P"&amp;$A48)="N/A",0,RTD("tos.rtd",,$A$2,"."&amp;Q$2&amp;Q$1&amp;"P"&amp;$A48))))))))))</f>
        <v>0</v>
      </c>
      <c r="R48" s="12">
        <f ca="1">IF($A$2="PREMIUM_OI",IFERROR(IF($X$1="ABS",(100*RTD("tos.rtd",,"OPEN_INT","."&amp;R$2&amp;R$1&amp;"C"&amp;$A48)*RTD("tos.rtd",,"LAST","."&amp;R$2&amp;R$1&amp;"C"&amp;$A48)+100*RTD("tos.rtd",,"OPEN_INT","."&amp;R$2&amp;R$1&amp;"P"&amp;$A48)*RTD("tos.rtd",,"LAST","."&amp;R$2&amp;R$1&amp;"P"&amp;$A48))/1000000,(100*RTD("tos.rtd",,"OPEN_INT","."&amp;R$2&amp;R$1&amp;"C"&amp;$A48)*RTD("tos.rtd",,"LAST","."&amp;R$2&amp;R$1&amp;"C"&amp;$A48)-100*RTD("tos.rtd",,"OPEN_INT","."&amp;R$2&amp;R$1&amp;"P"&amp;$A48)*RTD("tos.rtd",,"LAST","."&amp;R$2&amp;R$1&amp;"P"&amp;$A48))/1000000),0),IF($A$2="PREMIUM",IFERROR(IF($X$1="ABS",(100*RTD("tos.rtd",,"VOLUME","."&amp;R$2&amp;R$1&amp;"C"&amp;$A48)*RTD("tos.rtd",,"LAST","."&amp;R$2&amp;R$1&amp;"C"&amp;$A48)+100*RTD("tos.rtd",,"VOLUME","."&amp;R$2&amp;R$1&amp;"P"&amp;$A48)*RTD("tos.rtd",,"LAST","."&amp;R$2&amp;R$1&amp;"P"&amp;$A48))/1000000,(100*RTD("tos.rtd",,"VOLUME","."&amp;R$2&amp;R$1&amp;"C"&amp;$A48)*RTD("tos.rtd",,"LAST","."&amp;R$2&amp;R$1&amp;"C"&amp;$A48)-100*RTD("tos.rtd",,"VOLUME","."&amp;R$2&amp;R$1&amp;"P"&amp;$A48)*RTD("tos.rtd",,"LAST","."&amp;R$2&amp;R$1&amp;"P"&amp;$A48))/1000000),0),IF($A$2="DEX",IFERROR(IF($X$1="ABS",(100*RTD("tos.rtd",,"OPEN_INT","."&amp;R$2&amp;R$1&amp;"C"&amp;$A48)*RTD("tos.rtd",,"DELTA","."&amp;R$2&amp;R$1&amp;"C"&amp;$A48)+100*RTD("tos.rtd",,"OPEN_INT","."&amp;R$2&amp;R$1&amp;"P"&amp;$A48)*RTD("tos.rtd",,"DELTA","."&amp;R$2&amp;R$1&amp;"P"&amp;$A48))/1000,(100*RTD("tos.rtd",,"OPEN_INT","."&amp;R$2&amp;R$1&amp;"C"&amp;$A48)*RTD("tos.rtd",,"DELTA","."&amp;R$2&amp;R$1&amp;"C"&amp;$A48)-100*RTD("tos.rtd",,"OPEN_INT","."&amp;R$2&amp;R$1&amp;"P"&amp;$A48)*RTD("tos.rtd",,"DELTA","."&amp;R$2&amp;R$1&amp;"P"&amp;$A48))/1000),0),IF($A$2="VEX",IFERROR(IF($X$1="ABS",($A$4*$A$4*RTD("tos.rtd",,"VOLUME","."&amp;R$2&amp;R$1&amp;"C"&amp;$A48)*RTD("tos.rtd",,"GAMMA","."&amp;R$2&amp;R$1&amp;"C"&amp;$A48)+$A$4*$A$4*RTD("tos.rtd",,"VOLUME","."&amp;R$2&amp;R$1&amp;"P"&amp;$A48)*RTD("tos.rtd",,"GAMMA","."&amp;R$2&amp;R$1&amp;"P"&amp;$A48))/1000000,($A$4*$A$4*RTD("tos.rtd",,"VOLUME","."&amp;R$2&amp;R$1&amp;"C"&amp;$A48)*RTD("tos.rtd",,"GAMMA","."&amp;R$2&amp;R$1&amp;"C"&amp;$A48)-$A$4*$A$4*RTD("tos.rtd",,"VOLUME","."&amp;R$2&amp;R$1&amp;"P"&amp;$A48)*RTD("tos.rtd",,"GAMMA","."&amp;R$2&amp;R$1&amp;"P"&amp;$A48))/1000000),0),IF($A$2="GEX",IFERROR(IF($X$1="ABS",($A$4*$A$4*RTD("tos.rtd",,"OPEN_INT","."&amp;R$2&amp;R$1&amp;"C"&amp;$A48)*RTD("tos.rtd",,"GAMMA","."&amp;R$2&amp;R$1&amp;"C"&amp;$A48)+$A$4*$A$4*RTD("tos.rtd",,"OPEN_INT","."&amp;R$2&amp;R$1&amp;"P"&amp;$A48)*RTD("tos.rtd",,"GAMMA","."&amp;R$2&amp;R$1&amp;"P"&amp;$A48))/1000000,($A$4*$A$4*RTD("tos.rtd",,"OPEN_INT","."&amp;R$2&amp;R$1&amp;"C"&amp;$A48)*RTD("tos.rtd",,"GAMMA","."&amp;R$2&amp;R$1&amp;"C"&amp;$A48)-$A$4*$A$4*RTD("tos.rtd",,"OPEN_INT","."&amp;R$2&amp;R$1&amp;"P"&amp;$A48)*RTD("tos.rtd",,"GAMMA","."&amp;R$2&amp;R$1&amp;"P"&amp;$A48))/1000000),0),IF($A$2="SKEW",IFERROR(VALUE(IF(RTD("tos.rtd",,"IMPL_VOL","."&amp;R$2&amp;R$1&amp;"P"&amp;$A48)="N/A",0,RTD("tos.rtd",,"IMPL_VOL","."&amp;R$2&amp;R$1&amp;"P"&amp;$A48))),0)-IFERROR(VALUE(IF(RTD("tos.rtd",,"IMPL_VOL","."&amp;R$2&amp;R$1&amp;"C"&amp;$A48)="N/A",0,RTD("tos.rtd",,"IMPL_VOL","."&amp;R$2&amp;R$1&amp;"C"&amp;$A48))),0),IF($A$2="MAXPAIN",IF($A$4&gt;$A48,($A$4-$A48)*IF(RTD("tos.rtd",,"OPEN_INT","."&amp;R$2&amp;R$1&amp;"C"&amp;$A48)="N/A",0,RTD("tos.rtd",,"OPEN_INT","."&amp;R$2&amp;R$1&amp;"C"&amp;$A48)),0)+IF($A$4&lt;$A48,($A$5-$A$4)*IF(RTD("tos.rtd",,"OPEN_INT","."&amp;R$2&amp;R$1&amp;"P"&amp;$A48)="N/A",0,RTD("tos.rtd",,"OPEN_INT","."&amp;R$2&amp;R$1&amp;"P"&amp;$A48)),0),IF($X$1="ABS",IF(RTD("tos.rtd",,$A$2,"."&amp;R$2&amp;R$1&amp;"C"&amp;$A48)="N/A",0,RTD("tos.rtd",,$A$2,"."&amp;R$2&amp;R$1&amp;"C"&amp;$A48))+IF(RTD("tos.rtd",,$A$2,"."&amp;R$2&amp;R$1&amp;"P"&amp;$A48)="N/A",0,RTD("tos.rtd",,$A$2,"."&amp;R$2&amp;R$1&amp;"P"&amp;$A48)),IF(RTD("tos.rtd",,$A$2,"."&amp;R$2&amp;R$1&amp;"C"&amp;$A48)="N/A",0,RTD("tos.rtd",,$A$2,"."&amp;R$2&amp;R$1&amp;"C"&amp;$A48))-IF(RTD("tos.rtd",,$A$2,"."&amp;R$2&amp;R$1&amp;"P"&amp;$A48)="N/A",0,RTD("tos.rtd",,$A$2,"."&amp;R$2&amp;R$1&amp;"P"&amp;$A48))))))))))</f>
        <v>0</v>
      </c>
      <c r="S48" s="12">
        <f ca="1">IF($A$2="PREMIUM_OI",IFERROR(IF($X$1="ABS",(100*RTD("tos.rtd",,"OPEN_INT","."&amp;S$2&amp;S$1&amp;"C"&amp;$A48)*RTD("tos.rtd",,"LAST","."&amp;S$2&amp;S$1&amp;"C"&amp;$A48)+100*RTD("tos.rtd",,"OPEN_INT","."&amp;S$2&amp;S$1&amp;"P"&amp;$A48)*RTD("tos.rtd",,"LAST","."&amp;S$2&amp;S$1&amp;"P"&amp;$A48))/1000000,(100*RTD("tos.rtd",,"OPEN_INT","."&amp;S$2&amp;S$1&amp;"C"&amp;$A48)*RTD("tos.rtd",,"LAST","."&amp;S$2&amp;S$1&amp;"C"&amp;$A48)-100*RTD("tos.rtd",,"OPEN_INT","."&amp;S$2&amp;S$1&amp;"P"&amp;$A48)*RTD("tos.rtd",,"LAST","."&amp;S$2&amp;S$1&amp;"P"&amp;$A48))/1000000),0),IF($A$2="PREMIUM",IFERROR(IF($X$1="ABS",(100*RTD("tos.rtd",,"VOLUME","."&amp;S$2&amp;S$1&amp;"C"&amp;$A48)*RTD("tos.rtd",,"LAST","."&amp;S$2&amp;S$1&amp;"C"&amp;$A48)+100*RTD("tos.rtd",,"VOLUME","."&amp;S$2&amp;S$1&amp;"P"&amp;$A48)*RTD("tos.rtd",,"LAST","."&amp;S$2&amp;S$1&amp;"P"&amp;$A48))/1000000,(100*RTD("tos.rtd",,"VOLUME","."&amp;S$2&amp;S$1&amp;"C"&amp;$A48)*RTD("tos.rtd",,"LAST","."&amp;S$2&amp;S$1&amp;"C"&amp;$A48)-100*RTD("tos.rtd",,"VOLUME","."&amp;S$2&amp;S$1&amp;"P"&amp;$A48)*RTD("tos.rtd",,"LAST","."&amp;S$2&amp;S$1&amp;"P"&amp;$A48))/1000000),0),IF($A$2="DEX",IFERROR(IF($X$1="ABS",(100*RTD("tos.rtd",,"OPEN_INT","."&amp;S$2&amp;S$1&amp;"C"&amp;$A48)*RTD("tos.rtd",,"DELTA","."&amp;S$2&amp;S$1&amp;"C"&amp;$A48)+100*RTD("tos.rtd",,"OPEN_INT","."&amp;S$2&amp;S$1&amp;"P"&amp;$A48)*RTD("tos.rtd",,"DELTA","."&amp;S$2&amp;S$1&amp;"P"&amp;$A48))/1000,(100*RTD("tos.rtd",,"OPEN_INT","."&amp;S$2&amp;S$1&amp;"C"&amp;$A48)*RTD("tos.rtd",,"DELTA","."&amp;S$2&amp;S$1&amp;"C"&amp;$A48)-100*RTD("tos.rtd",,"OPEN_INT","."&amp;S$2&amp;S$1&amp;"P"&amp;$A48)*RTD("tos.rtd",,"DELTA","."&amp;S$2&amp;S$1&amp;"P"&amp;$A48))/1000),0),IF($A$2="VEX",IFERROR(IF($X$1="ABS",($A$4*$A$4*RTD("tos.rtd",,"VOLUME","."&amp;S$2&amp;S$1&amp;"C"&amp;$A48)*RTD("tos.rtd",,"GAMMA","."&amp;S$2&amp;S$1&amp;"C"&amp;$A48)+$A$4*$A$4*RTD("tos.rtd",,"VOLUME","."&amp;S$2&amp;S$1&amp;"P"&amp;$A48)*RTD("tos.rtd",,"GAMMA","."&amp;S$2&amp;S$1&amp;"P"&amp;$A48))/1000000,($A$4*$A$4*RTD("tos.rtd",,"VOLUME","."&amp;S$2&amp;S$1&amp;"C"&amp;$A48)*RTD("tos.rtd",,"GAMMA","."&amp;S$2&amp;S$1&amp;"C"&amp;$A48)-$A$4*$A$4*RTD("tos.rtd",,"VOLUME","."&amp;S$2&amp;S$1&amp;"P"&amp;$A48)*RTD("tos.rtd",,"GAMMA","."&amp;S$2&amp;S$1&amp;"P"&amp;$A48))/1000000),0),IF($A$2="GEX",IFERROR(IF($X$1="ABS",($A$4*$A$4*RTD("tos.rtd",,"OPEN_INT","."&amp;S$2&amp;S$1&amp;"C"&amp;$A48)*RTD("tos.rtd",,"GAMMA","."&amp;S$2&amp;S$1&amp;"C"&amp;$A48)+$A$4*$A$4*RTD("tos.rtd",,"OPEN_INT","."&amp;S$2&amp;S$1&amp;"P"&amp;$A48)*RTD("tos.rtd",,"GAMMA","."&amp;S$2&amp;S$1&amp;"P"&amp;$A48))/1000000,($A$4*$A$4*RTD("tos.rtd",,"OPEN_INT","."&amp;S$2&amp;S$1&amp;"C"&amp;$A48)*RTD("tos.rtd",,"GAMMA","."&amp;S$2&amp;S$1&amp;"C"&amp;$A48)-$A$4*$A$4*RTD("tos.rtd",,"OPEN_INT","."&amp;S$2&amp;S$1&amp;"P"&amp;$A48)*RTD("tos.rtd",,"GAMMA","."&amp;S$2&amp;S$1&amp;"P"&amp;$A48))/1000000),0),IF($A$2="SKEW",IFERROR(VALUE(IF(RTD("tos.rtd",,"IMPL_VOL","."&amp;S$2&amp;S$1&amp;"P"&amp;$A48)="N/A",0,RTD("tos.rtd",,"IMPL_VOL","."&amp;S$2&amp;S$1&amp;"P"&amp;$A48))),0)-IFERROR(VALUE(IF(RTD("tos.rtd",,"IMPL_VOL","."&amp;S$2&amp;S$1&amp;"C"&amp;$A48)="N/A",0,RTD("tos.rtd",,"IMPL_VOL","."&amp;S$2&amp;S$1&amp;"C"&amp;$A48))),0),IF($A$2="MAXPAIN",IF($A$4&gt;$A48,($A$4-$A48)*IF(RTD("tos.rtd",,"OPEN_INT","."&amp;S$2&amp;S$1&amp;"C"&amp;$A48)="N/A",0,RTD("tos.rtd",,"OPEN_INT","."&amp;S$2&amp;S$1&amp;"C"&amp;$A48)),0)+IF($A$4&lt;$A48,($A$5-$A$4)*IF(RTD("tos.rtd",,"OPEN_INT","."&amp;S$2&amp;S$1&amp;"P"&amp;$A48)="N/A",0,RTD("tos.rtd",,"OPEN_INT","."&amp;S$2&amp;S$1&amp;"P"&amp;$A48)),0),IF($X$1="ABS",IF(RTD("tos.rtd",,$A$2,"."&amp;S$2&amp;S$1&amp;"C"&amp;$A48)="N/A",0,RTD("tos.rtd",,$A$2,"."&amp;S$2&amp;S$1&amp;"C"&amp;$A48))+IF(RTD("tos.rtd",,$A$2,"."&amp;S$2&amp;S$1&amp;"P"&amp;$A48)="N/A",0,RTD("tos.rtd",,$A$2,"."&amp;S$2&amp;S$1&amp;"P"&amp;$A48)),IF(RTD("tos.rtd",,$A$2,"."&amp;S$2&amp;S$1&amp;"C"&amp;$A48)="N/A",0,RTD("tos.rtd",,$A$2,"."&amp;S$2&amp;S$1&amp;"C"&amp;$A48))-IF(RTD("tos.rtd",,$A$2,"."&amp;S$2&amp;S$1&amp;"P"&amp;$A48)="N/A",0,RTD("tos.rtd",,$A$2,"."&amp;S$2&amp;S$1&amp;"P"&amp;$A48))))))))))</f>
        <v>0</v>
      </c>
      <c r="T48" s="12">
        <f ca="1">IF($A$2="PREMIUM_OI",IFERROR(IF($X$1="ABS",(100*RTD("tos.rtd",,"OPEN_INT","."&amp;T$2&amp;T$1&amp;"C"&amp;$A48)*RTD("tos.rtd",,"LAST","."&amp;T$2&amp;T$1&amp;"C"&amp;$A48)+100*RTD("tos.rtd",,"OPEN_INT","."&amp;T$2&amp;T$1&amp;"P"&amp;$A48)*RTD("tos.rtd",,"LAST","."&amp;T$2&amp;T$1&amp;"P"&amp;$A48))/1000000,(100*RTD("tos.rtd",,"OPEN_INT","."&amp;T$2&amp;T$1&amp;"C"&amp;$A48)*RTD("tos.rtd",,"LAST","."&amp;T$2&amp;T$1&amp;"C"&amp;$A48)-100*RTD("tos.rtd",,"OPEN_INT","."&amp;T$2&amp;T$1&amp;"P"&amp;$A48)*RTD("tos.rtd",,"LAST","."&amp;T$2&amp;T$1&amp;"P"&amp;$A48))/1000000),0),IF($A$2="PREMIUM",IFERROR(IF($X$1="ABS",(100*RTD("tos.rtd",,"VOLUME","."&amp;T$2&amp;T$1&amp;"C"&amp;$A48)*RTD("tos.rtd",,"LAST","."&amp;T$2&amp;T$1&amp;"C"&amp;$A48)+100*RTD("tos.rtd",,"VOLUME","."&amp;T$2&amp;T$1&amp;"P"&amp;$A48)*RTD("tos.rtd",,"LAST","."&amp;T$2&amp;T$1&amp;"P"&amp;$A48))/1000000,(100*RTD("tos.rtd",,"VOLUME","."&amp;T$2&amp;T$1&amp;"C"&amp;$A48)*RTD("tos.rtd",,"LAST","."&amp;T$2&amp;T$1&amp;"C"&amp;$A48)-100*RTD("tos.rtd",,"VOLUME","."&amp;T$2&amp;T$1&amp;"P"&amp;$A48)*RTD("tos.rtd",,"LAST","."&amp;T$2&amp;T$1&amp;"P"&amp;$A48))/1000000),0),IF($A$2="DEX",IFERROR(IF($X$1="ABS",(100*RTD("tos.rtd",,"OPEN_INT","."&amp;T$2&amp;T$1&amp;"C"&amp;$A48)*RTD("tos.rtd",,"DELTA","."&amp;T$2&amp;T$1&amp;"C"&amp;$A48)+100*RTD("tos.rtd",,"OPEN_INT","."&amp;T$2&amp;T$1&amp;"P"&amp;$A48)*RTD("tos.rtd",,"DELTA","."&amp;T$2&amp;T$1&amp;"P"&amp;$A48))/1000,(100*RTD("tos.rtd",,"OPEN_INT","."&amp;T$2&amp;T$1&amp;"C"&amp;$A48)*RTD("tos.rtd",,"DELTA","."&amp;T$2&amp;T$1&amp;"C"&amp;$A48)-100*RTD("tos.rtd",,"OPEN_INT","."&amp;T$2&amp;T$1&amp;"P"&amp;$A48)*RTD("tos.rtd",,"DELTA","."&amp;T$2&amp;T$1&amp;"P"&amp;$A48))/1000),0),IF($A$2="VEX",IFERROR(IF($X$1="ABS",($A$4*$A$4*RTD("tos.rtd",,"VOLUME","."&amp;T$2&amp;T$1&amp;"C"&amp;$A48)*RTD("tos.rtd",,"GAMMA","."&amp;T$2&amp;T$1&amp;"C"&amp;$A48)+$A$4*$A$4*RTD("tos.rtd",,"VOLUME","."&amp;T$2&amp;T$1&amp;"P"&amp;$A48)*RTD("tos.rtd",,"GAMMA","."&amp;T$2&amp;T$1&amp;"P"&amp;$A48))/1000000,($A$4*$A$4*RTD("tos.rtd",,"VOLUME","."&amp;T$2&amp;T$1&amp;"C"&amp;$A48)*RTD("tos.rtd",,"GAMMA","."&amp;T$2&amp;T$1&amp;"C"&amp;$A48)-$A$4*$A$4*RTD("tos.rtd",,"VOLUME","."&amp;T$2&amp;T$1&amp;"P"&amp;$A48)*RTD("tos.rtd",,"GAMMA","."&amp;T$2&amp;T$1&amp;"P"&amp;$A48))/1000000),0),IF($A$2="GEX",IFERROR(IF($X$1="ABS",($A$4*$A$4*RTD("tos.rtd",,"OPEN_INT","."&amp;T$2&amp;T$1&amp;"C"&amp;$A48)*RTD("tos.rtd",,"GAMMA","."&amp;T$2&amp;T$1&amp;"C"&amp;$A48)+$A$4*$A$4*RTD("tos.rtd",,"OPEN_INT","."&amp;T$2&amp;T$1&amp;"P"&amp;$A48)*RTD("tos.rtd",,"GAMMA","."&amp;T$2&amp;T$1&amp;"P"&amp;$A48))/1000000,($A$4*$A$4*RTD("tos.rtd",,"OPEN_INT","."&amp;T$2&amp;T$1&amp;"C"&amp;$A48)*RTD("tos.rtd",,"GAMMA","."&amp;T$2&amp;T$1&amp;"C"&amp;$A48)-$A$4*$A$4*RTD("tos.rtd",,"OPEN_INT","."&amp;T$2&amp;T$1&amp;"P"&amp;$A48)*RTD("tos.rtd",,"GAMMA","."&amp;T$2&amp;T$1&amp;"P"&amp;$A48))/1000000),0),IF($A$2="SKEW",IFERROR(VALUE(IF(RTD("tos.rtd",,"IMPL_VOL","."&amp;T$2&amp;T$1&amp;"P"&amp;$A48)="N/A",0,RTD("tos.rtd",,"IMPL_VOL","."&amp;T$2&amp;T$1&amp;"P"&amp;$A48))),0)-IFERROR(VALUE(IF(RTD("tos.rtd",,"IMPL_VOL","."&amp;T$2&amp;T$1&amp;"C"&amp;$A48)="N/A",0,RTD("tos.rtd",,"IMPL_VOL","."&amp;T$2&amp;T$1&amp;"C"&amp;$A48))),0),IF($A$2="MAXPAIN",IF($A$4&gt;$A48,($A$4-$A48)*IF(RTD("tos.rtd",,"OPEN_INT","."&amp;T$2&amp;T$1&amp;"C"&amp;$A48)="N/A",0,RTD("tos.rtd",,"OPEN_INT","."&amp;T$2&amp;T$1&amp;"C"&amp;$A48)),0)+IF($A$4&lt;$A48,($A$5-$A$4)*IF(RTD("tos.rtd",,"OPEN_INT","."&amp;T$2&amp;T$1&amp;"P"&amp;$A48)="N/A",0,RTD("tos.rtd",,"OPEN_INT","."&amp;T$2&amp;T$1&amp;"P"&amp;$A48)),0),IF($X$1="ABS",IF(RTD("tos.rtd",,$A$2,"."&amp;T$2&amp;T$1&amp;"C"&amp;$A48)="N/A",0,RTD("tos.rtd",,$A$2,"."&amp;T$2&amp;T$1&amp;"C"&amp;$A48))+IF(RTD("tos.rtd",,$A$2,"."&amp;T$2&amp;T$1&amp;"P"&amp;$A48)="N/A",0,RTD("tos.rtd",,$A$2,"."&amp;T$2&amp;T$1&amp;"P"&amp;$A48)),IF(RTD("tos.rtd",,$A$2,"."&amp;T$2&amp;T$1&amp;"C"&amp;$A48)="N/A",0,RTD("tos.rtd",,$A$2,"."&amp;T$2&amp;T$1&amp;"C"&amp;$A48))-IF(RTD("tos.rtd",,$A$2,"."&amp;T$2&amp;T$1&amp;"P"&amp;$A48)="N/A",0,RTD("tos.rtd",,$A$2,"."&amp;T$2&amp;T$1&amp;"P"&amp;$A48))))))))))</f>
        <v>0</v>
      </c>
      <c r="U48" s="12">
        <f ca="1">IF($A$2="PREMIUM_OI",IFERROR(IF($X$1="ABS",(100*RTD("tos.rtd",,"OPEN_INT","."&amp;U$2&amp;U$1&amp;"C"&amp;$A48)*RTD("tos.rtd",,"LAST","."&amp;U$2&amp;U$1&amp;"C"&amp;$A48)+100*RTD("tos.rtd",,"OPEN_INT","."&amp;U$2&amp;U$1&amp;"P"&amp;$A48)*RTD("tos.rtd",,"LAST","."&amp;U$2&amp;U$1&amp;"P"&amp;$A48))/1000000,(100*RTD("tos.rtd",,"OPEN_INT","."&amp;U$2&amp;U$1&amp;"C"&amp;$A48)*RTD("tos.rtd",,"LAST","."&amp;U$2&amp;U$1&amp;"C"&amp;$A48)-100*RTD("tos.rtd",,"OPEN_INT","."&amp;U$2&amp;U$1&amp;"P"&amp;$A48)*RTD("tos.rtd",,"LAST","."&amp;U$2&amp;U$1&amp;"P"&amp;$A48))/1000000),0),IF($A$2="PREMIUM",IFERROR(IF($X$1="ABS",(100*RTD("tos.rtd",,"VOLUME","."&amp;U$2&amp;U$1&amp;"C"&amp;$A48)*RTD("tos.rtd",,"LAST","."&amp;U$2&amp;U$1&amp;"C"&amp;$A48)+100*RTD("tos.rtd",,"VOLUME","."&amp;U$2&amp;U$1&amp;"P"&amp;$A48)*RTD("tos.rtd",,"LAST","."&amp;U$2&amp;U$1&amp;"P"&amp;$A48))/1000000,(100*RTD("tos.rtd",,"VOLUME","."&amp;U$2&amp;U$1&amp;"C"&amp;$A48)*RTD("tos.rtd",,"LAST","."&amp;U$2&amp;U$1&amp;"C"&amp;$A48)-100*RTD("tos.rtd",,"VOLUME","."&amp;U$2&amp;U$1&amp;"P"&amp;$A48)*RTD("tos.rtd",,"LAST","."&amp;U$2&amp;U$1&amp;"P"&amp;$A48))/1000000),0),IF($A$2="DEX",IFERROR(IF($X$1="ABS",(100*RTD("tos.rtd",,"OPEN_INT","."&amp;U$2&amp;U$1&amp;"C"&amp;$A48)*RTD("tos.rtd",,"DELTA","."&amp;U$2&amp;U$1&amp;"C"&amp;$A48)+100*RTD("tos.rtd",,"OPEN_INT","."&amp;U$2&amp;U$1&amp;"P"&amp;$A48)*RTD("tos.rtd",,"DELTA","."&amp;U$2&amp;U$1&amp;"P"&amp;$A48))/1000,(100*RTD("tos.rtd",,"OPEN_INT","."&amp;U$2&amp;U$1&amp;"C"&amp;$A48)*RTD("tos.rtd",,"DELTA","."&amp;U$2&amp;U$1&amp;"C"&amp;$A48)-100*RTD("tos.rtd",,"OPEN_INT","."&amp;U$2&amp;U$1&amp;"P"&amp;$A48)*RTD("tos.rtd",,"DELTA","."&amp;U$2&amp;U$1&amp;"P"&amp;$A48))/1000),0),IF($A$2="VEX",IFERROR(IF($X$1="ABS",($A$4*$A$4*RTD("tos.rtd",,"VOLUME","."&amp;U$2&amp;U$1&amp;"C"&amp;$A48)*RTD("tos.rtd",,"GAMMA","."&amp;U$2&amp;U$1&amp;"C"&amp;$A48)+$A$4*$A$4*RTD("tos.rtd",,"VOLUME","."&amp;U$2&amp;U$1&amp;"P"&amp;$A48)*RTD("tos.rtd",,"GAMMA","."&amp;U$2&amp;U$1&amp;"P"&amp;$A48))/1000000,($A$4*$A$4*RTD("tos.rtd",,"VOLUME","."&amp;U$2&amp;U$1&amp;"C"&amp;$A48)*RTD("tos.rtd",,"GAMMA","."&amp;U$2&amp;U$1&amp;"C"&amp;$A48)-$A$4*$A$4*RTD("tos.rtd",,"VOLUME","."&amp;U$2&amp;U$1&amp;"P"&amp;$A48)*RTD("tos.rtd",,"GAMMA","."&amp;U$2&amp;U$1&amp;"P"&amp;$A48))/1000000),0),IF($A$2="GEX",IFERROR(IF($X$1="ABS",($A$4*$A$4*RTD("tos.rtd",,"OPEN_INT","."&amp;U$2&amp;U$1&amp;"C"&amp;$A48)*RTD("tos.rtd",,"GAMMA","."&amp;U$2&amp;U$1&amp;"C"&amp;$A48)+$A$4*$A$4*RTD("tos.rtd",,"OPEN_INT","."&amp;U$2&amp;U$1&amp;"P"&amp;$A48)*RTD("tos.rtd",,"GAMMA","."&amp;U$2&amp;U$1&amp;"P"&amp;$A48))/1000000,($A$4*$A$4*RTD("tos.rtd",,"OPEN_INT","."&amp;U$2&amp;U$1&amp;"C"&amp;$A48)*RTD("tos.rtd",,"GAMMA","."&amp;U$2&amp;U$1&amp;"C"&amp;$A48)-$A$4*$A$4*RTD("tos.rtd",,"OPEN_INT","."&amp;U$2&amp;U$1&amp;"P"&amp;$A48)*RTD("tos.rtd",,"GAMMA","."&amp;U$2&amp;U$1&amp;"P"&amp;$A48))/1000000),0),IF($A$2="SKEW",IFERROR(VALUE(IF(RTD("tos.rtd",,"IMPL_VOL","."&amp;U$2&amp;U$1&amp;"P"&amp;$A48)="N/A",0,RTD("tos.rtd",,"IMPL_VOL","."&amp;U$2&amp;U$1&amp;"P"&amp;$A48))),0)-IFERROR(VALUE(IF(RTD("tos.rtd",,"IMPL_VOL","."&amp;U$2&amp;U$1&amp;"C"&amp;$A48)="N/A",0,RTD("tos.rtd",,"IMPL_VOL","."&amp;U$2&amp;U$1&amp;"C"&amp;$A48))),0),IF($A$2="MAXPAIN",IF($A$4&gt;$A48,($A$4-$A48)*IF(RTD("tos.rtd",,"OPEN_INT","."&amp;U$2&amp;U$1&amp;"C"&amp;$A48)="N/A",0,RTD("tos.rtd",,"OPEN_INT","."&amp;U$2&amp;U$1&amp;"C"&amp;$A48)),0)+IF($A$4&lt;$A48,($A$5-$A$4)*IF(RTD("tos.rtd",,"OPEN_INT","."&amp;U$2&amp;U$1&amp;"P"&amp;$A48)="N/A",0,RTD("tos.rtd",,"OPEN_INT","."&amp;U$2&amp;U$1&amp;"P"&amp;$A48)),0),IF($X$1="ABS",IF(RTD("tos.rtd",,$A$2,"."&amp;U$2&amp;U$1&amp;"C"&amp;$A48)="N/A",0,RTD("tos.rtd",,$A$2,"."&amp;U$2&amp;U$1&amp;"C"&amp;$A48))+IF(RTD("tos.rtd",,$A$2,"."&amp;U$2&amp;U$1&amp;"P"&amp;$A48)="N/A",0,RTD("tos.rtd",,$A$2,"."&amp;U$2&amp;U$1&amp;"P"&amp;$A48)),IF(RTD("tos.rtd",,$A$2,"."&amp;U$2&amp;U$1&amp;"C"&amp;$A48)="N/A",0,RTD("tos.rtd",,$A$2,"."&amp;U$2&amp;U$1&amp;"C"&amp;$A48))-IF(RTD("tos.rtd",,$A$2,"."&amp;U$2&amp;U$1&amp;"P"&amp;$A48)="N/A",0,RTD("tos.rtd",,$A$2,"."&amp;U$2&amp;U$1&amp;"P"&amp;$A48))))))))))</f>
        <v>0</v>
      </c>
      <c r="V48" s="12">
        <f ca="1">IF($A$2="PREMIUM_OI",IFERROR(IF($X$1="ABS",(100*RTD("tos.rtd",,"OPEN_INT","."&amp;V$2&amp;V$1&amp;"C"&amp;$A48)*RTD("tos.rtd",,"LAST","."&amp;V$2&amp;V$1&amp;"C"&amp;$A48)+100*RTD("tos.rtd",,"OPEN_INT","."&amp;V$2&amp;V$1&amp;"P"&amp;$A48)*RTD("tos.rtd",,"LAST","."&amp;V$2&amp;V$1&amp;"P"&amp;$A48))/1000000,(100*RTD("tos.rtd",,"OPEN_INT","."&amp;V$2&amp;V$1&amp;"C"&amp;$A48)*RTD("tos.rtd",,"LAST","."&amp;V$2&amp;V$1&amp;"C"&amp;$A48)-100*RTD("tos.rtd",,"OPEN_INT","."&amp;V$2&amp;V$1&amp;"P"&amp;$A48)*RTD("tos.rtd",,"LAST","."&amp;V$2&amp;V$1&amp;"P"&amp;$A48))/1000000),0),IF($A$2="PREMIUM",IFERROR(IF($X$1="ABS",(100*RTD("tos.rtd",,"VOLUME","."&amp;V$2&amp;V$1&amp;"C"&amp;$A48)*RTD("tos.rtd",,"LAST","."&amp;V$2&amp;V$1&amp;"C"&amp;$A48)+100*RTD("tos.rtd",,"VOLUME","."&amp;V$2&amp;V$1&amp;"P"&amp;$A48)*RTD("tos.rtd",,"LAST","."&amp;V$2&amp;V$1&amp;"P"&amp;$A48))/1000000,(100*RTD("tos.rtd",,"VOLUME","."&amp;V$2&amp;V$1&amp;"C"&amp;$A48)*RTD("tos.rtd",,"LAST","."&amp;V$2&amp;V$1&amp;"C"&amp;$A48)-100*RTD("tos.rtd",,"VOLUME","."&amp;V$2&amp;V$1&amp;"P"&amp;$A48)*RTD("tos.rtd",,"LAST","."&amp;V$2&amp;V$1&amp;"P"&amp;$A48))/1000000),0),IF($A$2="DEX",IFERROR(IF($X$1="ABS",(100*RTD("tos.rtd",,"OPEN_INT","."&amp;V$2&amp;V$1&amp;"C"&amp;$A48)*RTD("tos.rtd",,"DELTA","."&amp;V$2&amp;V$1&amp;"C"&amp;$A48)+100*RTD("tos.rtd",,"OPEN_INT","."&amp;V$2&amp;V$1&amp;"P"&amp;$A48)*RTD("tos.rtd",,"DELTA","."&amp;V$2&amp;V$1&amp;"P"&amp;$A48))/1000,(100*RTD("tos.rtd",,"OPEN_INT","."&amp;V$2&amp;V$1&amp;"C"&amp;$A48)*RTD("tos.rtd",,"DELTA","."&amp;V$2&amp;V$1&amp;"C"&amp;$A48)-100*RTD("tos.rtd",,"OPEN_INT","."&amp;V$2&amp;V$1&amp;"P"&amp;$A48)*RTD("tos.rtd",,"DELTA","."&amp;V$2&amp;V$1&amp;"P"&amp;$A48))/1000),0),IF($A$2="VEX",IFERROR(IF($X$1="ABS",($A$4*$A$4*RTD("tos.rtd",,"VOLUME","."&amp;V$2&amp;V$1&amp;"C"&amp;$A48)*RTD("tos.rtd",,"GAMMA","."&amp;V$2&amp;V$1&amp;"C"&amp;$A48)+$A$4*$A$4*RTD("tos.rtd",,"VOLUME","."&amp;V$2&amp;V$1&amp;"P"&amp;$A48)*RTD("tos.rtd",,"GAMMA","."&amp;V$2&amp;V$1&amp;"P"&amp;$A48))/1000000,($A$4*$A$4*RTD("tos.rtd",,"VOLUME","."&amp;V$2&amp;V$1&amp;"C"&amp;$A48)*RTD("tos.rtd",,"GAMMA","."&amp;V$2&amp;V$1&amp;"C"&amp;$A48)-$A$4*$A$4*RTD("tos.rtd",,"VOLUME","."&amp;V$2&amp;V$1&amp;"P"&amp;$A48)*RTD("tos.rtd",,"GAMMA","."&amp;V$2&amp;V$1&amp;"P"&amp;$A48))/1000000),0),IF($A$2="GEX",IFERROR(IF($X$1="ABS",($A$4*$A$4*RTD("tos.rtd",,"OPEN_INT","."&amp;V$2&amp;V$1&amp;"C"&amp;$A48)*RTD("tos.rtd",,"GAMMA","."&amp;V$2&amp;V$1&amp;"C"&amp;$A48)+$A$4*$A$4*RTD("tos.rtd",,"OPEN_INT","."&amp;V$2&amp;V$1&amp;"P"&amp;$A48)*RTD("tos.rtd",,"GAMMA","."&amp;V$2&amp;V$1&amp;"P"&amp;$A48))/1000000,($A$4*$A$4*RTD("tos.rtd",,"OPEN_INT","."&amp;V$2&amp;V$1&amp;"C"&amp;$A48)*RTD("tos.rtd",,"GAMMA","."&amp;V$2&amp;V$1&amp;"C"&amp;$A48)-$A$4*$A$4*RTD("tos.rtd",,"OPEN_INT","."&amp;V$2&amp;V$1&amp;"P"&amp;$A48)*RTD("tos.rtd",,"GAMMA","."&amp;V$2&amp;V$1&amp;"P"&amp;$A48))/1000000),0),IF($A$2="SKEW",IFERROR(VALUE(IF(RTD("tos.rtd",,"IMPL_VOL","."&amp;V$2&amp;V$1&amp;"P"&amp;$A48)="N/A",0,RTD("tos.rtd",,"IMPL_VOL","."&amp;V$2&amp;V$1&amp;"P"&amp;$A48))),0)-IFERROR(VALUE(IF(RTD("tos.rtd",,"IMPL_VOL","."&amp;V$2&amp;V$1&amp;"C"&amp;$A48)="N/A",0,RTD("tos.rtd",,"IMPL_VOL","."&amp;V$2&amp;V$1&amp;"C"&amp;$A48))),0),IF($A$2="MAXPAIN",IF($A$4&gt;$A48,($A$4-$A48)*IF(RTD("tos.rtd",,"OPEN_INT","."&amp;V$2&amp;V$1&amp;"C"&amp;$A48)="N/A",0,RTD("tos.rtd",,"OPEN_INT","."&amp;V$2&amp;V$1&amp;"C"&amp;$A48)),0)+IF($A$4&lt;$A48,($A$5-$A$4)*IF(RTD("tos.rtd",,"OPEN_INT","."&amp;V$2&amp;V$1&amp;"P"&amp;$A48)="N/A",0,RTD("tos.rtd",,"OPEN_INT","."&amp;V$2&amp;V$1&amp;"P"&amp;$A48)),0),IF($X$1="ABS",IF(RTD("tos.rtd",,$A$2,"."&amp;V$2&amp;V$1&amp;"C"&amp;$A48)="N/A",0,RTD("tos.rtd",,$A$2,"."&amp;V$2&amp;V$1&amp;"C"&amp;$A48))+IF(RTD("tos.rtd",,$A$2,"."&amp;V$2&amp;V$1&amp;"P"&amp;$A48)="N/A",0,RTD("tos.rtd",,$A$2,"."&amp;V$2&amp;V$1&amp;"P"&amp;$A48)),IF(RTD("tos.rtd",,$A$2,"."&amp;V$2&amp;V$1&amp;"C"&amp;$A48)="N/A",0,RTD("tos.rtd",,$A$2,"."&amp;V$2&amp;V$1&amp;"C"&amp;$A48))-IF(RTD("tos.rtd",,$A$2,"."&amp;V$2&amp;V$1&amp;"P"&amp;$A48)="N/A",0,RTD("tos.rtd",,$A$2,"."&amp;V$2&amp;V$1&amp;"P"&amp;$A48))))))))))</f>
        <v>0</v>
      </c>
      <c r="W48" s="12">
        <f ca="1">IF($A$2="PREMIUM_OI",IFERROR(IF($X$1="ABS",(100*RTD("tos.rtd",,"OPEN_INT","."&amp;W$2&amp;W$1&amp;"C"&amp;$A48)*RTD("tos.rtd",,"LAST","."&amp;W$2&amp;W$1&amp;"C"&amp;$A48)+100*RTD("tos.rtd",,"OPEN_INT","."&amp;W$2&amp;W$1&amp;"P"&amp;$A48)*RTD("tos.rtd",,"LAST","."&amp;W$2&amp;W$1&amp;"P"&amp;$A48))/1000000,(100*RTD("tos.rtd",,"OPEN_INT","."&amp;W$2&amp;W$1&amp;"C"&amp;$A48)*RTD("tos.rtd",,"LAST","."&amp;W$2&amp;W$1&amp;"C"&amp;$A48)-100*RTD("tos.rtd",,"OPEN_INT","."&amp;W$2&amp;W$1&amp;"P"&amp;$A48)*RTD("tos.rtd",,"LAST","."&amp;W$2&amp;W$1&amp;"P"&amp;$A48))/1000000),0),IF($A$2="PREMIUM",IFERROR(IF($X$1="ABS",(100*RTD("tos.rtd",,"VOLUME","."&amp;W$2&amp;W$1&amp;"C"&amp;$A48)*RTD("tos.rtd",,"LAST","."&amp;W$2&amp;W$1&amp;"C"&amp;$A48)+100*RTD("tos.rtd",,"VOLUME","."&amp;W$2&amp;W$1&amp;"P"&amp;$A48)*RTD("tos.rtd",,"LAST","."&amp;W$2&amp;W$1&amp;"P"&amp;$A48))/1000000,(100*RTD("tos.rtd",,"VOLUME","."&amp;W$2&amp;W$1&amp;"C"&amp;$A48)*RTD("tos.rtd",,"LAST","."&amp;W$2&amp;W$1&amp;"C"&amp;$A48)-100*RTD("tos.rtd",,"VOLUME","."&amp;W$2&amp;W$1&amp;"P"&amp;$A48)*RTD("tos.rtd",,"LAST","."&amp;W$2&amp;W$1&amp;"P"&amp;$A48))/1000000),0),IF($A$2="DEX",IFERROR(IF($X$1="ABS",(100*RTD("tos.rtd",,"OPEN_INT","."&amp;W$2&amp;W$1&amp;"C"&amp;$A48)*RTD("tos.rtd",,"DELTA","."&amp;W$2&amp;W$1&amp;"C"&amp;$A48)+100*RTD("tos.rtd",,"OPEN_INT","."&amp;W$2&amp;W$1&amp;"P"&amp;$A48)*RTD("tos.rtd",,"DELTA","."&amp;W$2&amp;W$1&amp;"P"&amp;$A48))/1000,(100*RTD("tos.rtd",,"OPEN_INT","."&amp;W$2&amp;W$1&amp;"C"&amp;$A48)*RTD("tos.rtd",,"DELTA","."&amp;W$2&amp;W$1&amp;"C"&amp;$A48)-100*RTD("tos.rtd",,"OPEN_INT","."&amp;W$2&amp;W$1&amp;"P"&amp;$A48)*RTD("tos.rtd",,"DELTA","."&amp;W$2&amp;W$1&amp;"P"&amp;$A48))/1000),0),IF($A$2="VEX",IFERROR(IF($X$1="ABS",($A$4*$A$4*RTD("tos.rtd",,"VOLUME","."&amp;W$2&amp;W$1&amp;"C"&amp;$A48)*RTD("tos.rtd",,"GAMMA","."&amp;W$2&amp;W$1&amp;"C"&amp;$A48)+$A$4*$A$4*RTD("tos.rtd",,"VOLUME","."&amp;W$2&amp;W$1&amp;"P"&amp;$A48)*RTD("tos.rtd",,"GAMMA","."&amp;W$2&amp;W$1&amp;"P"&amp;$A48))/1000000,($A$4*$A$4*RTD("tos.rtd",,"VOLUME","."&amp;W$2&amp;W$1&amp;"C"&amp;$A48)*RTD("tos.rtd",,"GAMMA","."&amp;W$2&amp;W$1&amp;"C"&amp;$A48)-$A$4*$A$4*RTD("tos.rtd",,"VOLUME","."&amp;W$2&amp;W$1&amp;"P"&amp;$A48)*RTD("tos.rtd",,"GAMMA","."&amp;W$2&amp;W$1&amp;"P"&amp;$A48))/1000000),0),IF($A$2="GEX",IFERROR(IF($X$1="ABS",($A$4*$A$4*RTD("tos.rtd",,"OPEN_INT","."&amp;W$2&amp;W$1&amp;"C"&amp;$A48)*RTD("tos.rtd",,"GAMMA","."&amp;W$2&amp;W$1&amp;"C"&amp;$A48)+$A$4*$A$4*RTD("tos.rtd",,"OPEN_INT","."&amp;W$2&amp;W$1&amp;"P"&amp;$A48)*RTD("tos.rtd",,"GAMMA","."&amp;W$2&amp;W$1&amp;"P"&amp;$A48))/1000000,($A$4*$A$4*RTD("tos.rtd",,"OPEN_INT","."&amp;W$2&amp;W$1&amp;"C"&amp;$A48)*RTD("tos.rtd",,"GAMMA","."&amp;W$2&amp;W$1&amp;"C"&amp;$A48)-$A$4*$A$4*RTD("tos.rtd",,"OPEN_INT","."&amp;W$2&amp;W$1&amp;"P"&amp;$A48)*RTD("tos.rtd",,"GAMMA","."&amp;W$2&amp;W$1&amp;"P"&amp;$A48))/1000000),0),IF($A$2="SKEW",IFERROR(VALUE(IF(RTD("tos.rtd",,"IMPL_VOL","."&amp;W$2&amp;W$1&amp;"P"&amp;$A48)="N/A",0,RTD("tos.rtd",,"IMPL_VOL","."&amp;W$2&amp;W$1&amp;"P"&amp;$A48))),0)-IFERROR(VALUE(IF(RTD("tos.rtd",,"IMPL_VOL","."&amp;W$2&amp;W$1&amp;"C"&amp;$A48)="N/A",0,RTD("tos.rtd",,"IMPL_VOL","."&amp;W$2&amp;W$1&amp;"C"&amp;$A48))),0),IF($A$2="MAXPAIN",IF($A$4&gt;$A48,($A$4-$A48)*IF(RTD("tos.rtd",,"OPEN_INT","."&amp;W$2&amp;W$1&amp;"C"&amp;$A48)="N/A",0,RTD("tos.rtd",,"OPEN_INT","."&amp;W$2&amp;W$1&amp;"C"&amp;$A48)),0)+IF($A$4&lt;$A48,($A$5-$A$4)*IF(RTD("tos.rtd",,"OPEN_INT","."&amp;W$2&amp;W$1&amp;"P"&amp;$A48)="N/A",0,RTD("tos.rtd",,"OPEN_INT","."&amp;W$2&amp;W$1&amp;"P"&amp;$A48)),0),IF($X$1="ABS",IF(RTD("tos.rtd",,$A$2,"."&amp;W$2&amp;W$1&amp;"C"&amp;$A48)="N/A",0,RTD("tos.rtd",,$A$2,"."&amp;W$2&amp;W$1&amp;"C"&amp;$A48))+IF(RTD("tos.rtd",,$A$2,"."&amp;W$2&amp;W$1&amp;"P"&amp;$A48)="N/A",0,RTD("tos.rtd",,$A$2,"."&amp;W$2&amp;W$1&amp;"P"&amp;$A48)),IF(RTD("tos.rtd",,$A$2,"."&amp;W$2&amp;W$1&amp;"C"&amp;$A48)="N/A",0,RTD("tos.rtd",,$A$2,"."&amp;W$2&amp;W$1&amp;"C"&amp;$A48))-IF(RTD("tos.rtd",,$A$2,"."&amp;W$2&amp;W$1&amp;"P"&amp;$A48)="N/A",0,RTD("tos.rtd",,$A$2,"."&amp;W$2&amp;W$1&amp;"P"&amp;$A48))))))))))</f>
        <v>0</v>
      </c>
      <c r="X48" s="57">
        <f t="shared" ca="1" si="7"/>
        <v>0</v>
      </c>
      <c r="Y48" s="27">
        <f t="shared" ca="1" si="8"/>
        <v>0</v>
      </c>
      <c r="Z48" s="27" t="b">
        <f t="shared" ca="1" si="9"/>
        <v>0</v>
      </c>
      <c r="AA48" s="27">
        <f t="shared" si="10"/>
        <v>53415250</v>
      </c>
      <c r="AB48" s="18">
        <f>MAX(0, $A48-AB$4)*IF(RTD("tos.rtd",,"OPEN_INT","."&amp;$AA$3&amp;$AA$4&amp;"C"&amp;AB$4)="N/A",0,RTD("tos.rtd",,"OPEN_INT","."&amp;$AA$3&amp;$AA$4&amp;"C"&amp;AB$4))*100 + MAX(0, AB$4-$A48)*IF(RTD("tos.rtd",,"OPEN_INT","."&amp;$AA$3&amp;$AA$4&amp;"P"&amp;AB$4)="N/A",0,RTD("tos.rtd",,"OPEN_INT","."&amp;$AA$3&amp;$AA$4&amp;"P"&amp;AB$4))*100</f>
        <v>0</v>
      </c>
      <c r="AC48" s="18">
        <f>MAX(0, $A48-AC$4)*IF(RTD("tos.rtd",,"OPEN_INT","."&amp;$AA$3&amp;$AA$4&amp;"C"&amp;AC$4)="N/A",0,RTD("tos.rtd",,"OPEN_INT","."&amp;$AA$3&amp;$AA$4&amp;"C"&amp;AC$4))*100 + MAX(0, AC$4-$A48)*IF(RTD("tos.rtd",,"OPEN_INT","."&amp;$AA$3&amp;$AA$4&amp;"P"&amp;AC$4)="N/A",0,RTD("tos.rtd",,"OPEN_INT","."&amp;$AA$3&amp;$AA$4&amp;"P"&amp;AC$4))*100</f>
        <v>0</v>
      </c>
      <c r="AD48" s="18">
        <f>MAX(0, $A48-AD$4)*IF(RTD("tos.rtd",,"OPEN_INT","."&amp;$AA$3&amp;$AA$4&amp;"C"&amp;AD$4)="N/A",0,RTD("tos.rtd",,"OPEN_INT","."&amp;$AA$3&amp;$AA$4&amp;"C"&amp;AD$4))*100 + MAX(0, AD$4-$A48)*IF(RTD("tos.rtd",,"OPEN_INT","."&amp;$AA$3&amp;$AA$4&amp;"P"&amp;AD$4)="N/A",0,RTD("tos.rtd",,"OPEN_INT","."&amp;$AA$3&amp;$AA$4&amp;"P"&amp;AD$4))*100</f>
        <v>0</v>
      </c>
      <c r="AE48" s="18">
        <f>MAX(0, $A48-AE$4)*IF(RTD("tos.rtd",,"OPEN_INT","."&amp;$AA$3&amp;$AA$4&amp;"C"&amp;AE$4)="N/A",0,RTD("tos.rtd",,"OPEN_INT","."&amp;$AA$3&amp;$AA$4&amp;"C"&amp;AE$4))*100 + MAX(0, AE$4-$A48)*IF(RTD("tos.rtd",,"OPEN_INT","."&amp;$AA$3&amp;$AA$4&amp;"P"&amp;AE$4)="N/A",0,RTD("tos.rtd",,"OPEN_INT","."&amp;$AA$3&amp;$AA$4&amp;"P"&amp;AE$4))*100</f>
        <v>0</v>
      </c>
      <c r="AF48" s="18">
        <f>MAX(0, $A48-AF$4)*IF(RTD("tos.rtd",,"OPEN_INT","."&amp;$AA$3&amp;$AA$4&amp;"C"&amp;AF$4)="N/A",0,RTD("tos.rtd",,"OPEN_INT","."&amp;$AA$3&amp;$AA$4&amp;"C"&amp;AF$4))*100 + MAX(0, AF$4-$A48)*IF(RTD("tos.rtd",,"OPEN_INT","."&amp;$AA$3&amp;$AA$4&amp;"P"&amp;AF$4)="N/A",0,RTD("tos.rtd",,"OPEN_INT","."&amp;$AA$3&amp;$AA$4&amp;"P"&amp;AF$4))*100</f>
        <v>0</v>
      </c>
      <c r="AG48" s="18">
        <f>MAX(0, $A48-AG$4)*IF(RTD("tos.rtd",,"OPEN_INT","."&amp;$AA$3&amp;$AA$4&amp;"C"&amp;AG$4)="N/A",0,RTD("tos.rtd",,"OPEN_INT","."&amp;$AA$3&amp;$AA$4&amp;"C"&amp;AG$4))*100 + MAX(0, AG$4-$A48)*IF(RTD("tos.rtd",,"OPEN_INT","."&amp;$AA$3&amp;$AA$4&amp;"P"&amp;AG$4)="N/A",0,RTD("tos.rtd",,"OPEN_INT","."&amp;$AA$3&amp;$AA$4&amp;"P"&amp;AG$4))*100</f>
        <v>0</v>
      </c>
      <c r="AH48" s="18">
        <f>MAX(0, $A48-AH$4)*IF(RTD("tos.rtd",,"OPEN_INT","."&amp;$AA$3&amp;$AA$4&amp;"C"&amp;AH$4)="N/A",0,RTD("tos.rtd",,"OPEN_INT","."&amp;$AA$3&amp;$AA$4&amp;"C"&amp;AH$4))*100 + MAX(0, AH$4-$A48)*IF(RTD("tos.rtd",,"OPEN_INT","."&amp;$AA$3&amp;$AA$4&amp;"P"&amp;AH$4)="N/A",0,RTD("tos.rtd",,"OPEN_INT","."&amp;$AA$3&amp;$AA$4&amp;"P"&amp;AH$4))*100</f>
        <v>0</v>
      </c>
      <c r="AI48" s="18">
        <f>MAX(0, $A48-AI$4)*IF(RTD("tos.rtd",,"OPEN_INT","."&amp;$AA$3&amp;$AA$4&amp;"C"&amp;AI$4)="N/A",0,RTD("tos.rtd",,"OPEN_INT","."&amp;$AA$3&amp;$AA$4&amp;"C"&amp;AI$4))*100 + MAX(0, AI$4-$A48)*IF(RTD("tos.rtd",,"OPEN_INT","."&amp;$AA$3&amp;$AA$4&amp;"P"&amp;AI$4)="N/A",0,RTD("tos.rtd",,"OPEN_INT","."&amp;$AA$3&amp;$AA$4&amp;"P"&amp;AI$4))*100</f>
        <v>5400</v>
      </c>
      <c r="AJ48" s="18">
        <f>MAX(0, $A48-AJ$4)*IF(RTD("tos.rtd",,"OPEN_INT","."&amp;$AA$3&amp;$AA$4&amp;"C"&amp;AJ$4)="N/A",0,RTD("tos.rtd",,"OPEN_INT","."&amp;$AA$3&amp;$AA$4&amp;"C"&amp;AJ$4))*100 + MAX(0, AJ$4-$A48)*IF(RTD("tos.rtd",,"OPEN_INT","."&amp;$AA$3&amp;$AA$4&amp;"P"&amp;AJ$4)="N/A",0,RTD("tos.rtd",,"OPEN_INT","."&amp;$AA$3&amp;$AA$4&amp;"P"&amp;AJ$4))*100</f>
        <v>14000</v>
      </c>
      <c r="AK48" s="18">
        <f>MAX(0, $A48-AK$4)*IF(RTD("tos.rtd",,"OPEN_INT","."&amp;$AA$3&amp;$AA$4&amp;"C"&amp;AK$4)="N/A",0,RTD("tos.rtd",,"OPEN_INT","."&amp;$AA$3&amp;$AA$4&amp;"C"&amp;AK$4))*100 + MAX(0, AK$4-$A48)*IF(RTD("tos.rtd",,"OPEN_INT","."&amp;$AA$3&amp;$AA$4&amp;"P"&amp;AK$4)="N/A",0,RTD("tos.rtd",,"OPEN_INT","."&amp;$AA$3&amp;$AA$4&amp;"P"&amp;AK$4))*100</f>
        <v>0</v>
      </c>
      <c r="AL48" s="18">
        <f>MAX(0, $A48-AL$4)*IF(RTD("tos.rtd",,"OPEN_INT","."&amp;$AA$3&amp;$AA$4&amp;"C"&amp;AL$4)="N/A",0,RTD("tos.rtd",,"OPEN_INT","."&amp;$AA$3&amp;$AA$4&amp;"C"&amp;AL$4))*100 + MAX(0, AL$4-$A48)*IF(RTD("tos.rtd",,"OPEN_INT","."&amp;$AA$3&amp;$AA$4&amp;"P"&amp;AL$4)="N/A",0,RTD("tos.rtd",,"OPEN_INT","."&amp;$AA$3&amp;$AA$4&amp;"P"&amp;AL$4))*100</f>
        <v>0</v>
      </c>
      <c r="AM48" s="18">
        <f>MAX(0, $A48-AM$4)*IF(RTD("tos.rtd",,"OPEN_INT","."&amp;$AA$3&amp;$AA$4&amp;"C"&amp;AM$4)="N/A",0,RTD("tos.rtd",,"OPEN_INT","."&amp;$AA$3&amp;$AA$4&amp;"C"&amp;AM$4))*100 + MAX(0, AM$4-$A48)*IF(RTD("tos.rtd",,"OPEN_INT","."&amp;$AA$3&amp;$AA$4&amp;"P"&amp;AM$4)="N/A",0,RTD("tos.rtd",,"OPEN_INT","."&amp;$AA$3&amp;$AA$4&amp;"P"&amp;AM$4))*100</f>
        <v>0</v>
      </c>
      <c r="AN48" s="18">
        <f>MAX(0, $A48-AN$4)*IF(RTD("tos.rtd",,"OPEN_INT","."&amp;$AA$3&amp;$AA$4&amp;"C"&amp;AN$4)="N/A",0,RTD("tos.rtd",,"OPEN_INT","."&amp;$AA$3&amp;$AA$4&amp;"C"&amp;AN$4))*100 + MAX(0, AN$4-$A48)*IF(RTD("tos.rtd",,"OPEN_INT","."&amp;$AA$3&amp;$AA$4&amp;"P"&amp;AN$4)="N/A",0,RTD("tos.rtd",,"OPEN_INT","."&amp;$AA$3&amp;$AA$4&amp;"P"&amp;AN$4))*100</f>
        <v>0</v>
      </c>
      <c r="AO48" s="18">
        <f>MAX(0, $A48-AO$4)*IF(RTD("tos.rtd",,"OPEN_INT","."&amp;$AA$3&amp;$AA$4&amp;"C"&amp;AO$4)="N/A",0,RTD("tos.rtd",,"OPEN_INT","."&amp;$AA$3&amp;$AA$4&amp;"C"&amp;AO$4))*100 + MAX(0, AO$4-$A48)*IF(RTD("tos.rtd",,"OPEN_INT","."&amp;$AA$3&amp;$AA$4&amp;"P"&amp;AO$4)="N/A",0,RTD("tos.rtd",,"OPEN_INT","."&amp;$AA$3&amp;$AA$4&amp;"P"&amp;AO$4))*100</f>
        <v>180000</v>
      </c>
      <c r="AP48" s="18">
        <f>MAX(0, $A48-AP$4)*IF(RTD("tos.rtd",,"OPEN_INT","."&amp;$AA$3&amp;$AA$4&amp;"C"&amp;AP$4)="N/A",0,RTD("tos.rtd",,"OPEN_INT","."&amp;$AA$3&amp;$AA$4&amp;"C"&amp;AP$4))*100 + MAX(0, AP$4-$A48)*IF(RTD("tos.rtd",,"OPEN_INT","."&amp;$AA$3&amp;$AA$4&amp;"P"&amp;AP$4)="N/A",0,RTD("tos.rtd",,"OPEN_INT","."&amp;$AA$3&amp;$AA$4&amp;"P"&amp;AP$4))*100</f>
        <v>0</v>
      </c>
      <c r="AQ48" s="18">
        <f>MAX(0, $A48-AQ$4)*IF(RTD("tos.rtd",,"OPEN_INT","."&amp;$AA$3&amp;$AA$4&amp;"C"&amp;AQ$4)="N/A",0,RTD("tos.rtd",,"OPEN_INT","."&amp;$AA$3&amp;$AA$4&amp;"C"&amp;AQ$4))*100 + MAX(0, AQ$4-$A48)*IF(RTD("tos.rtd",,"OPEN_INT","."&amp;$AA$3&amp;$AA$4&amp;"P"&amp;AQ$4)="N/A",0,RTD("tos.rtd",,"OPEN_INT","."&amp;$AA$3&amp;$AA$4&amp;"P"&amp;AQ$4))*100</f>
        <v>74200</v>
      </c>
      <c r="AR48" s="18">
        <f>MAX(0, $A48-AR$4)*IF(RTD("tos.rtd",,"OPEN_INT","."&amp;$AA$3&amp;$AA$4&amp;"C"&amp;AR$4)="N/A",0,RTD("tos.rtd",,"OPEN_INT","."&amp;$AA$3&amp;$AA$4&amp;"C"&amp;AR$4))*100 + MAX(0, AR$4-$A48)*IF(RTD("tos.rtd",,"OPEN_INT","."&amp;$AA$3&amp;$AA$4&amp;"P"&amp;AR$4)="N/A",0,RTD("tos.rtd",,"OPEN_INT","."&amp;$AA$3&amp;$AA$4&amp;"P"&amp;AR$4))*100</f>
        <v>8100</v>
      </c>
      <c r="AS48" s="18">
        <f>MAX(0, $A48-AS$4)*IF(RTD("tos.rtd",,"OPEN_INT","."&amp;$AA$3&amp;$AA$4&amp;"C"&amp;AS$4)="N/A",0,RTD("tos.rtd",,"OPEN_INT","."&amp;$AA$3&amp;$AA$4&amp;"C"&amp;AS$4))*100 + MAX(0, AS$4-$A48)*IF(RTD("tos.rtd",,"OPEN_INT","."&amp;$AA$3&amp;$AA$4&amp;"P"&amp;AS$4)="N/A",0,RTD("tos.rtd",,"OPEN_INT","."&amp;$AA$3&amp;$AA$4&amp;"P"&amp;AS$4))*100</f>
        <v>80600</v>
      </c>
      <c r="AT48" s="18">
        <f>MAX(0, $A48-AT$4)*IF(RTD("tos.rtd",,"OPEN_INT","."&amp;$AA$3&amp;$AA$4&amp;"C"&amp;AT$4)="N/A",0,RTD("tos.rtd",,"OPEN_INT","."&amp;$AA$3&amp;$AA$4&amp;"C"&amp;AT$4))*100 + MAX(0, AT$4-$A48)*IF(RTD("tos.rtd",,"OPEN_INT","."&amp;$AA$3&amp;$AA$4&amp;"P"&amp;AT$4)="N/A",0,RTD("tos.rtd",,"OPEN_INT","."&amp;$AA$3&amp;$AA$4&amp;"P"&amp;AT$4))*100</f>
        <v>87500</v>
      </c>
      <c r="AU48" s="18">
        <f>MAX(0, $A48-AU$4)*IF(RTD("tos.rtd",,"OPEN_INT","."&amp;$AA$3&amp;$AA$4&amp;"C"&amp;AU$4)="N/A",0,RTD("tos.rtd",,"OPEN_INT","."&amp;$AA$3&amp;$AA$4&amp;"C"&amp;AU$4))*100 + MAX(0, AU$4-$A48)*IF(RTD("tos.rtd",,"OPEN_INT","."&amp;$AA$3&amp;$AA$4&amp;"P"&amp;AU$4)="N/A",0,RTD("tos.rtd",,"OPEN_INT","."&amp;$AA$3&amp;$AA$4&amp;"P"&amp;AU$4))*100</f>
        <v>48000</v>
      </c>
      <c r="AV48" s="18">
        <f>MAX(0, $A48-AV$4)*IF(RTD("tos.rtd",,"OPEN_INT","."&amp;$AA$3&amp;$AA$4&amp;"C"&amp;AV$4)="N/A",0,RTD("tos.rtd",,"OPEN_INT","."&amp;$AA$3&amp;$AA$4&amp;"C"&amp;AV$4))*100 + MAX(0, AV$4-$A48)*IF(RTD("tos.rtd",,"OPEN_INT","."&amp;$AA$3&amp;$AA$4&amp;"P"&amp;AV$4)="N/A",0,RTD("tos.rtd",,"OPEN_INT","."&amp;$AA$3&amp;$AA$4&amp;"P"&amp;AV$4))*100</f>
        <v>185150</v>
      </c>
      <c r="AW48" s="18">
        <f>MAX(0, $A48-AW$4)*IF(RTD("tos.rtd",,"OPEN_INT","."&amp;$AA$3&amp;$AA$4&amp;"C"&amp;AW$4)="N/A",0,RTD("tos.rtd",,"OPEN_INT","."&amp;$AA$3&amp;$AA$4&amp;"C"&amp;AW$4))*100 + MAX(0, AW$4-$A48)*IF(RTD("tos.rtd",,"OPEN_INT","."&amp;$AA$3&amp;$AA$4&amp;"P"&amp;AW$4)="N/A",0,RTD("tos.rtd",,"OPEN_INT","."&amp;$AA$3&amp;$AA$4&amp;"P"&amp;AW$4))*100</f>
        <v>222200</v>
      </c>
      <c r="AX48" s="18">
        <f>MAX(0, $A48-AX$4)*IF(RTD("tos.rtd",,"OPEN_INT","."&amp;$AA$3&amp;$AA$4&amp;"C"&amp;AX$4)="N/A",0,RTD("tos.rtd",,"OPEN_INT","."&amp;$AA$3&amp;$AA$4&amp;"C"&amp;AX$4))*100 + MAX(0, AX$4-$A48)*IF(RTD("tos.rtd",,"OPEN_INT","."&amp;$AA$3&amp;$AA$4&amp;"P"&amp;AX$4)="N/A",0,RTD("tos.rtd",,"OPEN_INT","."&amp;$AA$3&amp;$AA$4&amp;"P"&amp;AX$4))*100</f>
        <v>259350</v>
      </c>
      <c r="AY48" s="18">
        <f>MAX(0, $A48-AY$4)*IF(RTD("tos.rtd",,"OPEN_INT","."&amp;$AA$3&amp;$AA$4&amp;"C"&amp;AY$4)="N/A",0,RTD("tos.rtd",,"OPEN_INT","."&amp;$AA$3&amp;$AA$4&amp;"C"&amp;AY$4))*100 + MAX(0, AY$4-$A48)*IF(RTD("tos.rtd",,"OPEN_INT","."&amp;$AA$3&amp;$AA$4&amp;"P"&amp;AY$4)="N/A",0,RTD("tos.rtd",,"OPEN_INT","."&amp;$AA$3&amp;$AA$4&amp;"P"&amp;AY$4))*100</f>
        <v>2074000</v>
      </c>
      <c r="AZ48" s="18">
        <f>MAX(0, $A48-AZ$4)*IF(RTD("tos.rtd",,"OPEN_INT","."&amp;$AA$3&amp;$AA$4&amp;"C"&amp;AZ$4)="N/A",0,RTD("tos.rtd",,"OPEN_INT","."&amp;$AA$3&amp;$AA$4&amp;"C"&amp;AZ$4))*100 + MAX(0, AZ$4-$A48)*IF(RTD("tos.rtd",,"OPEN_INT","."&amp;$AA$3&amp;$AA$4&amp;"P"&amp;AZ$4)="N/A",0,RTD("tos.rtd",,"OPEN_INT","."&amp;$AA$3&amp;$AA$4&amp;"P"&amp;AZ$4))*100</f>
        <v>539600</v>
      </c>
      <c r="BA48" s="18">
        <f>MAX(0, $A48-BA$4)*IF(RTD("tos.rtd",,"OPEN_INT","."&amp;$AA$3&amp;$AA$4&amp;"C"&amp;BA$4)="N/A",0,RTD("tos.rtd",,"OPEN_INT","."&amp;$AA$3&amp;$AA$4&amp;"C"&amp;BA$4))*100 + MAX(0, BA$4-$A48)*IF(RTD("tos.rtd",,"OPEN_INT","."&amp;$AA$3&amp;$AA$4&amp;"P"&amp;BA$4)="N/A",0,RTD("tos.rtd",,"OPEN_INT","."&amp;$AA$3&amp;$AA$4&amp;"P"&amp;BA$4))*100</f>
        <v>2106000</v>
      </c>
      <c r="BB48" s="18">
        <f>MAX(0, $A48-BB$4)*IF(RTD("tos.rtd",,"OPEN_INT","."&amp;$AA$3&amp;$AA$4&amp;"C"&amp;BB$4)="N/A",0,RTD("tos.rtd",,"OPEN_INT","."&amp;$AA$3&amp;$AA$4&amp;"C"&amp;BB$4))*100 + MAX(0, BB$4-$A48)*IF(RTD("tos.rtd",,"OPEN_INT","."&amp;$AA$3&amp;$AA$4&amp;"P"&amp;BB$4)="N/A",0,RTD("tos.rtd",,"OPEN_INT","."&amp;$AA$3&amp;$AA$4&amp;"P"&amp;BB$4))*100</f>
        <v>1941400</v>
      </c>
      <c r="BC48" s="18">
        <f>MAX(0, $A48-BC$4)*IF(RTD("tos.rtd",,"OPEN_INT","."&amp;$AA$3&amp;$AA$4&amp;"C"&amp;BC$4)="N/A",0,RTD("tos.rtd",,"OPEN_INT","."&amp;$AA$3&amp;$AA$4&amp;"C"&amp;BC$4))*100 + MAX(0, BC$4-$A48)*IF(RTD("tos.rtd",,"OPEN_INT","."&amp;$AA$3&amp;$AA$4&amp;"P"&amp;BC$4)="N/A",0,RTD("tos.rtd",,"OPEN_INT","."&amp;$AA$3&amp;$AA$4&amp;"P"&amp;BC$4))*100</f>
        <v>6120800</v>
      </c>
      <c r="BD48" s="18">
        <f>MAX(0, $A48-BD$4)*IF(RTD("tos.rtd",,"OPEN_INT","."&amp;$AA$3&amp;$AA$4&amp;"C"&amp;BD$4)="N/A",0,RTD("tos.rtd",,"OPEN_INT","."&amp;$AA$3&amp;$AA$4&amp;"C"&amp;BD$4))*100 + MAX(0, BD$4-$A48)*IF(RTD("tos.rtd",,"OPEN_INT","."&amp;$AA$3&amp;$AA$4&amp;"P"&amp;BD$4)="N/A",0,RTD("tos.rtd",,"OPEN_INT","."&amp;$AA$3&amp;$AA$4&amp;"P"&amp;BD$4))*100</f>
        <v>7365750</v>
      </c>
      <c r="BE48" s="18">
        <f>MAX(0, $A48-BE$4)*IF(RTD("tos.rtd",,"OPEN_INT","."&amp;$AA$3&amp;$AA$4&amp;"C"&amp;BE$4)="N/A",0,RTD("tos.rtd",,"OPEN_INT","."&amp;$AA$3&amp;$AA$4&amp;"C"&amp;BE$4))*100 + MAX(0, BE$4-$A48)*IF(RTD("tos.rtd",,"OPEN_INT","."&amp;$AA$3&amp;$AA$4&amp;"P"&amp;BE$4)="N/A",0,RTD("tos.rtd",,"OPEN_INT","."&amp;$AA$3&amp;$AA$4&amp;"P"&amp;BE$4))*100</f>
        <v>7781200</v>
      </c>
      <c r="BF48" s="18">
        <f>MAX(0, $A48-BF$4)*IF(RTD("tos.rtd",,"OPEN_INT","."&amp;$AA$3&amp;$AA$4&amp;"C"&amp;BF$4)="N/A",0,RTD("tos.rtd",,"OPEN_INT","."&amp;$AA$3&amp;$AA$4&amp;"C"&amp;BF$4))*100 + MAX(0, BF$4-$A48)*IF(RTD("tos.rtd",,"OPEN_INT","."&amp;$AA$3&amp;$AA$4&amp;"P"&amp;BF$4)="N/A",0,RTD("tos.rtd",,"OPEN_INT","."&amp;$AA$3&amp;$AA$4&amp;"P"&amp;BF$4))*100</f>
        <v>9040850</v>
      </c>
      <c r="BG48" s="18">
        <f>MAX(0, $A48-BG$4)*IF(RTD("tos.rtd",,"OPEN_INT","."&amp;$AA$3&amp;$AA$4&amp;"C"&amp;BG$4)="N/A",0,RTD("tos.rtd",,"OPEN_INT","."&amp;$AA$3&amp;$AA$4&amp;"C"&amp;BG$4))*100 + MAX(0, BG$4-$A48)*IF(RTD("tos.rtd",,"OPEN_INT","."&amp;$AA$3&amp;$AA$4&amp;"P"&amp;BG$4)="N/A",0,RTD("tos.rtd",,"OPEN_INT","."&amp;$AA$3&amp;$AA$4&amp;"P"&amp;BG$4))*100</f>
        <v>5445000</v>
      </c>
      <c r="BH48" s="18">
        <f>MAX(0, $A48-BH$4)*IF(RTD("tos.rtd",,"OPEN_INT","."&amp;$AA$3&amp;$AA$4&amp;"C"&amp;BH$4)="N/A",0,RTD("tos.rtd",,"OPEN_INT","."&amp;$AA$3&amp;$AA$4&amp;"C"&amp;BH$4))*100 + MAX(0, BH$4-$A48)*IF(RTD("tos.rtd",,"OPEN_INT","."&amp;$AA$3&amp;$AA$4&amp;"P"&amp;BH$4)="N/A",0,RTD("tos.rtd",,"OPEN_INT","."&amp;$AA$3&amp;$AA$4&amp;"P"&amp;BH$4))*100</f>
        <v>3532650</v>
      </c>
      <c r="BI48" s="18">
        <f>MAX(0, $A48-BI$4)*IF(RTD("tos.rtd",,"OPEN_INT","."&amp;$AA$3&amp;$AA$4&amp;"C"&amp;BI$4)="N/A",0,RTD("tos.rtd",,"OPEN_INT","."&amp;$AA$3&amp;$AA$4&amp;"C"&amp;BI$4))*100 + MAX(0, BI$4-$A48)*IF(RTD("tos.rtd",,"OPEN_INT","."&amp;$AA$3&amp;$AA$4&amp;"P"&amp;BI$4)="N/A",0,RTD("tos.rtd",,"OPEN_INT","."&amp;$AA$3&amp;$AA$4&amp;"P"&amp;BI$4))*100</f>
        <v>4012500</v>
      </c>
      <c r="BJ48" s="18">
        <f>MAX(0, $A48-BJ$4)*IF(RTD("tos.rtd",,"OPEN_INT","."&amp;$AA$3&amp;$AA$4&amp;"C"&amp;BJ$4)="N/A",0,RTD("tos.rtd",,"OPEN_INT","."&amp;$AA$3&amp;$AA$4&amp;"C"&amp;BJ$4))*100 + MAX(0, BJ$4-$A48)*IF(RTD("tos.rtd",,"OPEN_INT","."&amp;$AA$3&amp;$AA$4&amp;"P"&amp;BJ$4)="N/A",0,RTD("tos.rtd",,"OPEN_INT","."&amp;$AA$3&amp;$AA$4&amp;"P"&amp;BJ$4))*100</f>
        <v>982350</v>
      </c>
      <c r="BK48" s="18">
        <f>MAX(0, $A48-BK$4)*IF(RTD("tos.rtd",,"OPEN_INT","."&amp;$AA$3&amp;$AA$4&amp;"C"&amp;BK$4)="N/A",0,RTD("tos.rtd",,"OPEN_INT","."&amp;$AA$3&amp;$AA$4&amp;"C"&amp;BK$4))*100 + MAX(0, BK$4-$A48)*IF(RTD("tos.rtd",,"OPEN_INT","."&amp;$AA$3&amp;$AA$4&amp;"P"&amp;BK$4)="N/A",0,RTD("tos.rtd",,"OPEN_INT","."&amp;$AA$3&amp;$AA$4&amp;"P"&amp;BK$4))*100</f>
        <v>936000</v>
      </c>
      <c r="BL48" s="18">
        <f>MAX(0, $A48-BL$4)*IF(RTD("tos.rtd",,"OPEN_INT","."&amp;$AA$3&amp;$AA$4&amp;"C"&amp;BL$4)="N/A",0,RTD("tos.rtd",,"OPEN_INT","."&amp;$AA$3&amp;$AA$4&amp;"C"&amp;BL$4))*100 + MAX(0, BL$4-$A48)*IF(RTD("tos.rtd",,"OPEN_INT","."&amp;$AA$3&amp;$AA$4&amp;"P"&amp;BL$4)="N/A",0,RTD("tos.rtd",,"OPEN_INT","."&amp;$AA$3&amp;$AA$4&amp;"P"&amp;BL$4))*100</f>
        <v>137200</v>
      </c>
      <c r="BM48" s="18">
        <f>MAX(0, $A48-BM$4)*IF(RTD("tos.rtd",,"OPEN_INT","."&amp;$AA$3&amp;$AA$4&amp;"C"&amp;BM$4)="N/A",0,RTD("tos.rtd",,"OPEN_INT","."&amp;$AA$3&amp;$AA$4&amp;"C"&amp;BM$4))*100 + MAX(0, BM$4-$A48)*IF(RTD("tos.rtd",,"OPEN_INT","."&amp;$AA$3&amp;$AA$4&amp;"P"&amp;BM$4)="N/A",0,RTD("tos.rtd",,"OPEN_INT","."&amp;$AA$3&amp;$AA$4&amp;"P"&amp;BM$4))*100</f>
        <v>130500</v>
      </c>
      <c r="BN48" s="18">
        <f>MAX(0, $A48-BN$4)*IF(RTD("tos.rtd",,"OPEN_INT","."&amp;$AA$3&amp;$AA$4&amp;"C"&amp;BN$4)="N/A",0,RTD("tos.rtd",,"OPEN_INT","."&amp;$AA$3&amp;$AA$4&amp;"C"&amp;BN$4))*100 + MAX(0, BN$4-$A48)*IF(RTD("tos.rtd",,"OPEN_INT","."&amp;$AA$3&amp;$AA$4&amp;"P"&amp;BN$4)="N/A",0,RTD("tos.rtd",,"OPEN_INT","."&amp;$AA$3&amp;$AA$4&amp;"P"&amp;BN$4))*100</f>
        <v>15750</v>
      </c>
      <c r="BO48" s="18">
        <f>MAX(0, $A48-BO$4)*IF(RTD("tos.rtd",,"OPEN_INT","."&amp;$AA$3&amp;$AA$4&amp;"C"&amp;BO$4)="N/A",0,RTD("tos.rtd",,"OPEN_INT","."&amp;$AA$3&amp;$AA$4&amp;"C"&amp;BO$4))*100 + MAX(0, BO$4-$A48)*IF(RTD("tos.rtd",,"OPEN_INT","."&amp;$AA$3&amp;$AA$4&amp;"P"&amp;BO$4)="N/A",0,RTD("tos.rtd",,"OPEN_INT","."&amp;$AA$3&amp;$AA$4&amp;"P"&amp;BO$4))*100</f>
        <v>89200</v>
      </c>
      <c r="BP48" s="18">
        <f>MAX(0, $A48-BP$4)*IF(RTD("tos.rtd",,"OPEN_INT","."&amp;$AA$3&amp;$AA$4&amp;"C"&amp;BP$4)="N/A",0,RTD("tos.rtd",,"OPEN_INT","."&amp;$AA$3&amp;$AA$4&amp;"C"&amp;BP$4))*100 + MAX(0, BP$4-$A48)*IF(RTD("tos.rtd",,"OPEN_INT","."&amp;$AA$3&amp;$AA$4&amp;"P"&amp;BP$4)="N/A",0,RTD("tos.rtd",,"OPEN_INT","."&amp;$AA$3&amp;$AA$4&amp;"P"&amp;BP$4))*100</f>
        <v>0</v>
      </c>
      <c r="BQ48" s="18">
        <f>MAX(0, $A48-BQ$4)*IF(RTD("tos.rtd",,"OPEN_INT","."&amp;$AA$3&amp;$AA$4&amp;"C"&amp;BQ$4)="N/A",0,RTD("tos.rtd",,"OPEN_INT","."&amp;$AA$3&amp;$AA$4&amp;"C"&amp;BQ$4))*100 + MAX(0, BQ$4-$A48)*IF(RTD("tos.rtd",,"OPEN_INT","."&amp;$AA$3&amp;$AA$4&amp;"P"&amp;BQ$4)="N/A",0,RTD("tos.rtd",,"OPEN_INT","."&amp;$AA$3&amp;$AA$4&amp;"P"&amp;BQ$4))*100</f>
        <v>0</v>
      </c>
      <c r="BR48" s="18">
        <f>MAX(0, $A48-BR$4)*IF(RTD("tos.rtd",,"OPEN_INT","."&amp;$AA$3&amp;$AA$4&amp;"C"&amp;BR$4)="N/A",0,RTD("tos.rtd",,"OPEN_INT","."&amp;$AA$3&amp;$AA$4&amp;"C"&amp;BR$4))*100 + MAX(0, BR$4-$A48)*IF(RTD("tos.rtd",,"OPEN_INT","."&amp;$AA$3&amp;$AA$4&amp;"P"&amp;BR$4)="N/A",0,RTD("tos.rtd",,"OPEN_INT","."&amp;$AA$3&amp;$AA$4&amp;"P"&amp;BR$4))*100</f>
        <v>0</v>
      </c>
      <c r="BS48" s="18">
        <f>MAX(0, $A48-BS$4)*IF(RTD("tos.rtd",,"OPEN_INT","."&amp;$AA$3&amp;$AA$4&amp;"C"&amp;BS$4)="N/A",0,RTD("tos.rtd",,"OPEN_INT","."&amp;$AA$3&amp;$AA$4&amp;"C"&amp;BS$4))*100 + MAX(0, BS$4-$A48)*IF(RTD("tos.rtd",,"OPEN_INT","."&amp;$AA$3&amp;$AA$4&amp;"P"&amp;BS$4)="N/A",0,RTD("tos.rtd",,"OPEN_INT","."&amp;$AA$3&amp;$AA$4&amp;"P"&amp;BS$4))*100</f>
        <v>0</v>
      </c>
      <c r="BT48" s="18">
        <f>MAX(0, $A48-BT$4)*IF(RTD("tos.rtd",,"OPEN_INT","."&amp;$AA$3&amp;$AA$4&amp;"C"&amp;BT$4)="N/A",0,RTD("tos.rtd",,"OPEN_INT","."&amp;$AA$3&amp;$AA$4&amp;"C"&amp;BT$4))*100 + MAX(0, BT$4-$A48)*IF(RTD("tos.rtd",,"OPEN_INT","."&amp;$AA$3&amp;$AA$4&amp;"P"&amp;BT$4)="N/A",0,RTD("tos.rtd",,"OPEN_INT","."&amp;$AA$3&amp;$AA$4&amp;"P"&amp;BT$4))*100</f>
        <v>0</v>
      </c>
      <c r="BU48" s="18">
        <f>MAX(0, $A48-BU$4)*IF(RTD("tos.rtd",,"OPEN_INT","."&amp;$AA$3&amp;$AA$4&amp;"C"&amp;BU$4)="N/A",0,RTD("tos.rtd",,"OPEN_INT","."&amp;$AA$3&amp;$AA$4&amp;"C"&amp;BU$4))*100 + MAX(0, BU$4-$A48)*IF(RTD("tos.rtd",,"OPEN_INT","."&amp;$AA$3&amp;$AA$4&amp;"P"&amp;BU$4)="N/A",0,RTD("tos.rtd",,"OPEN_INT","."&amp;$AA$3&amp;$AA$4&amp;"P"&amp;BU$4))*100</f>
        <v>0</v>
      </c>
      <c r="BV48" s="18">
        <f>MAX(0, $A48-BV$4)*IF(RTD("tos.rtd",,"OPEN_INT","."&amp;$AA$3&amp;$AA$4&amp;"C"&amp;BV$4)="N/A",0,RTD("tos.rtd",,"OPEN_INT","."&amp;$AA$3&amp;$AA$4&amp;"C"&amp;BV$4))*100 + MAX(0, BV$4-$A48)*IF(RTD("tos.rtd",,"OPEN_INT","."&amp;$AA$3&amp;$AA$4&amp;"P"&amp;BV$4)="N/A",0,RTD("tos.rtd",,"OPEN_INT","."&amp;$AA$3&amp;$AA$4&amp;"P"&amp;BV$4))*100</f>
        <v>0</v>
      </c>
    </row>
    <row r="49" spans="1:74" s="19" customFormat="1" ht="11.1" customHeight="1" thickBot="1" x14ac:dyDescent="0.3">
      <c r="A49" s="23">
        <f t="shared" si="11"/>
        <v>-0.5</v>
      </c>
      <c r="B49" s="14">
        <f ca="1">IF($A$2="PREMIUM_OI",IFERROR(IF($X$1="ABS",(100*RTD("tos.rtd",,"OPEN_INT","."&amp;B$2&amp;B$1&amp;"C"&amp;$A49)*RTD("tos.rtd",,"LAST","."&amp;B$2&amp;B$1&amp;"C"&amp;$A49)+100*RTD("tos.rtd",,"OPEN_INT","."&amp;B$2&amp;B$1&amp;"P"&amp;$A49)*RTD("tos.rtd",,"LAST","."&amp;B$2&amp;B$1&amp;"P"&amp;$A49))/1000000,(100*RTD("tos.rtd",,"OPEN_INT","."&amp;B$2&amp;B$1&amp;"C"&amp;$A49)*RTD("tos.rtd",,"LAST","."&amp;B$2&amp;B$1&amp;"C"&amp;$A49)-100*RTD("tos.rtd",,"OPEN_INT","."&amp;B$2&amp;B$1&amp;"P"&amp;$A49)*RTD("tos.rtd",,"LAST","."&amp;B$2&amp;B$1&amp;"P"&amp;$A49))/1000000),0),IF($A$2="PREMIUM",IFERROR(IF($X$1="ABS",(100*RTD("tos.rtd",,"VOLUME","."&amp;B$2&amp;B$1&amp;"C"&amp;$A49)*RTD("tos.rtd",,"LAST","."&amp;B$2&amp;B$1&amp;"C"&amp;$A49)+100*RTD("tos.rtd",,"VOLUME","."&amp;B$2&amp;B$1&amp;"P"&amp;$A49)*RTD("tos.rtd",,"LAST","."&amp;B$2&amp;B$1&amp;"P"&amp;$A49))/1000000,(100*RTD("tos.rtd",,"VOLUME","."&amp;B$2&amp;B$1&amp;"C"&amp;$A49)*RTD("tos.rtd",,"LAST","."&amp;B$2&amp;B$1&amp;"C"&amp;$A49)-100*RTD("tos.rtd",,"VOLUME","."&amp;B$2&amp;B$1&amp;"P"&amp;$A49)*RTD("tos.rtd",,"LAST","."&amp;B$2&amp;B$1&amp;"P"&amp;$A49))/1000000),0),IF($A$2="DEX",IFERROR(IF($X$1="ABS",(100*RTD("tos.rtd",,"OPEN_INT","."&amp;B$2&amp;B$1&amp;"C"&amp;$A49)*RTD("tos.rtd",,"DELTA","."&amp;B$2&amp;B$1&amp;"C"&amp;$A49)+100*RTD("tos.rtd",,"OPEN_INT","."&amp;B$2&amp;B$1&amp;"P"&amp;$A49)*RTD("tos.rtd",,"DELTA","."&amp;B$2&amp;B$1&amp;"P"&amp;$A49))/1000,(100*RTD("tos.rtd",,"OPEN_INT","."&amp;B$2&amp;B$1&amp;"C"&amp;$A49)*RTD("tos.rtd",,"DELTA","."&amp;B$2&amp;B$1&amp;"C"&amp;$A49)-100*RTD("tos.rtd",,"OPEN_INT","."&amp;B$2&amp;B$1&amp;"P"&amp;$A49)*RTD("tos.rtd",,"DELTA","."&amp;B$2&amp;B$1&amp;"P"&amp;$A49))/1000),0),IF($A$2="VEX",IFERROR(IF($X$1="ABS",($A$4*$A$4*RTD("tos.rtd",,"VOLUME","."&amp;B$2&amp;B$1&amp;"C"&amp;$A49)*RTD("tos.rtd",,"GAMMA","."&amp;B$2&amp;B$1&amp;"C"&amp;$A49)+$A$4*$A$4*RTD("tos.rtd",,"VOLUME","."&amp;B$2&amp;B$1&amp;"P"&amp;$A49)*RTD("tos.rtd",,"GAMMA","."&amp;B$2&amp;B$1&amp;"P"&amp;$A49))/1000000,($A$4*$A$4*RTD("tos.rtd",,"VOLUME","."&amp;B$2&amp;B$1&amp;"C"&amp;$A49)*RTD("tos.rtd",,"GAMMA","."&amp;B$2&amp;B$1&amp;"C"&amp;$A49)-$A$4*$A$4*RTD("tos.rtd",,"VOLUME","."&amp;B$2&amp;B$1&amp;"P"&amp;$A49)*RTD("tos.rtd",,"GAMMA","."&amp;B$2&amp;B$1&amp;"P"&amp;$A49))/1000000),0),IF($A$2="GEX",IFERROR(IF($X$1="ABS",($A$4*$A$4*RTD("tos.rtd",,"OPEN_INT","."&amp;B$2&amp;B$1&amp;"C"&amp;$A49)*RTD("tos.rtd",,"GAMMA","."&amp;B$2&amp;B$1&amp;"C"&amp;$A49)+$A$4*$A$4*RTD("tos.rtd",,"OPEN_INT","."&amp;B$2&amp;B$1&amp;"P"&amp;$A49)*RTD("tos.rtd",,"GAMMA","."&amp;B$2&amp;B$1&amp;"P"&amp;$A49))/1000000,($A$4*$A$4*RTD("tos.rtd",,"OPEN_INT","."&amp;B$2&amp;B$1&amp;"C"&amp;$A49)*RTD("tos.rtd",,"GAMMA","."&amp;B$2&amp;B$1&amp;"C"&amp;$A49)-$A$4*$A$4*RTD("tos.rtd",,"OPEN_INT","."&amp;B$2&amp;B$1&amp;"P"&amp;$A49)*RTD("tos.rtd",,"GAMMA","."&amp;B$2&amp;B$1&amp;"P"&amp;$A49))/1000000),0),IF($A$2="SKEW",IFERROR(VALUE(IF(RTD("tos.rtd",,"IMPL_VOL","."&amp;B$2&amp;B$1&amp;"P"&amp;$A49)="N/A",0,RTD("tos.rtd",,"IMPL_VOL","."&amp;B$2&amp;B$1&amp;"P"&amp;$A49))),0)-IFERROR(VALUE(IF(RTD("tos.rtd",,"IMPL_VOL","."&amp;B$2&amp;B$1&amp;"C"&amp;$A49)="N/A",0,RTD("tos.rtd",,"IMPL_VOL","."&amp;B$2&amp;B$1&amp;"C"&amp;$A49))),0),IF($A$2="MAXPAIN",IF($A$4&gt;$A49,($A$4-$A49)*IF(RTD("tos.rtd",,"OPEN_INT","."&amp;B$2&amp;B$1&amp;"C"&amp;$A49)="N/A",0,RTD("tos.rtd",,"OPEN_INT","."&amp;B$2&amp;B$1&amp;"C"&amp;$A49)),0)+IF($A$4&lt;$A49,($A$5-$A$4)*IF(RTD("tos.rtd",,"OPEN_INT","."&amp;B$2&amp;B$1&amp;"P"&amp;$A49)="N/A",0,RTD("tos.rtd",,"OPEN_INT","."&amp;B$2&amp;B$1&amp;"P"&amp;$A49)),0),IF($X$1="ABS",IF(RTD("tos.rtd",,$A$2,"."&amp;B$2&amp;B$1&amp;"C"&amp;$A49)="N/A",0,RTD("tos.rtd",,$A$2,"."&amp;B$2&amp;B$1&amp;"C"&amp;$A49))+IF(RTD("tos.rtd",,$A$2,"."&amp;B$2&amp;B$1&amp;"P"&amp;$A49)="N/A",0,RTD("tos.rtd",,$A$2,"."&amp;B$2&amp;B$1&amp;"P"&amp;$A49)),IF(RTD("tos.rtd",,$A$2,"."&amp;B$2&amp;B$1&amp;"C"&amp;$A49)="N/A",0,RTD("tos.rtd",,$A$2,"."&amp;B$2&amp;B$1&amp;"C"&amp;$A49))-IF(RTD("tos.rtd",,$A$2,"."&amp;B$2&amp;B$1&amp;"P"&amp;$A49)="N/A",0,RTD("tos.rtd",,$A$2,"."&amp;B$2&amp;B$1&amp;"P"&amp;$A49))))))))))</f>
        <v>0</v>
      </c>
      <c r="C49" s="12">
        <f ca="1">IF($A$2="PREMIUM_OI",IFERROR(IF($X$1="ABS",(100*RTD("tos.rtd",,"OPEN_INT","."&amp;C$2&amp;C$1&amp;"C"&amp;$A49)*RTD("tos.rtd",,"LAST","."&amp;C$2&amp;C$1&amp;"C"&amp;$A49)+100*RTD("tos.rtd",,"OPEN_INT","."&amp;C$2&amp;C$1&amp;"P"&amp;$A49)*RTD("tos.rtd",,"LAST","."&amp;C$2&amp;C$1&amp;"P"&amp;$A49))/1000000,(100*RTD("tos.rtd",,"OPEN_INT","."&amp;C$2&amp;C$1&amp;"C"&amp;$A49)*RTD("tos.rtd",,"LAST","."&amp;C$2&amp;C$1&amp;"C"&amp;$A49)-100*RTD("tos.rtd",,"OPEN_INT","."&amp;C$2&amp;C$1&amp;"P"&amp;$A49)*RTD("tos.rtd",,"LAST","."&amp;C$2&amp;C$1&amp;"P"&amp;$A49))/1000000),0),IF($A$2="PREMIUM",IFERROR(IF($X$1="ABS",(100*RTD("tos.rtd",,"VOLUME","."&amp;C$2&amp;C$1&amp;"C"&amp;$A49)*RTD("tos.rtd",,"LAST","."&amp;C$2&amp;C$1&amp;"C"&amp;$A49)+100*RTD("tos.rtd",,"VOLUME","."&amp;C$2&amp;C$1&amp;"P"&amp;$A49)*RTD("tos.rtd",,"LAST","."&amp;C$2&amp;C$1&amp;"P"&amp;$A49))/1000000,(100*RTD("tos.rtd",,"VOLUME","."&amp;C$2&amp;C$1&amp;"C"&amp;$A49)*RTD("tos.rtd",,"LAST","."&amp;C$2&amp;C$1&amp;"C"&amp;$A49)-100*RTD("tos.rtd",,"VOLUME","."&amp;C$2&amp;C$1&amp;"P"&amp;$A49)*RTD("tos.rtd",,"LAST","."&amp;C$2&amp;C$1&amp;"P"&amp;$A49))/1000000),0),IF($A$2="DEX",IFERROR(IF($X$1="ABS",(100*RTD("tos.rtd",,"OPEN_INT","."&amp;C$2&amp;C$1&amp;"C"&amp;$A49)*RTD("tos.rtd",,"DELTA","."&amp;C$2&amp;C$1&amp;"C"&amp;$A49)+100*RTD("tos.rtd",,"OPEN_INT","."&amp;C$2&amp;C$1&amp;"P"&amp;$A49)*RTD("tos.rtd",,"DELTA","."&amp;C$2&amp;C$1&amp;"P"&amp;$A49))/1000,(100*RTD("tos.rtd",,"OPEN_INT","."&amp;C$2&amp;C$1&amp;"C"&amp;$A49)*RTD("tos.rtd",,"DELTA","."&amp;C$2&amp;C$1&amp;"C"&amp;$A49)-100*RTD("tos.rtd",,"OPEN_INT","."&amp;C$2&amp;C$1&amp;"P"&amp;$A49)*RTD("tos.rtd",,"DELTA","."&amp;C$2&amp;C$1&amp;"P"&amp;$A49))/1000),0),IF($A$2="VEX",IFERROR(IF($X$1="ABS",($A$4*$A$4*RTD("tos.rtd",,"VOLUME","."&amp;C$2&amp;C$1&amp;"C"&amp;$A49)*RTD("tos.rtd",,"GAMMA","."&amp;C$2&amp;C$1&amp;"C"&amp;$A49)+$A$4*$A$4*RTD("tos.rtd",,"VOLUME","."&amp;C$2&amp;C$1&amp;"P"&amp;$A49)*RTD("tos.rtd",,"GAMMA","."&amp;C$2&amp;C$1&amp;"P"&amp;$A49))/1000000,($A$4*$A$4*RTD("tos.rtd",,"VOLUME","."&amp;C$2&amp;C$1&amp;"C"&amp;$A49)*RTD("tos.rtd",,"GAMMA","."&amp;C$2&amp;C$1&amp;"C"&amp;$A49)-$A$4*$A$4*RTD("tos.rtd",,"VOLUME","."&amp;C$2&amp;C$1&amp;"P"&amp;$A49)*RTD("tos.rtd",,"GAMMA","."&amp;C$2&amp;C$1&amp;"P"&amp;$A49))/1000000),0),IF($A$2="GEX",IFERROR(IF($X$1="ABS",($A$4*$A$4*RTD("tos.rtd",,"OPEN_INT","."&amp;C$2&amp;C$1&amp;"C"&amp;$A49)*RTD("tos.rtd",,"GAMMA","."&amp;C$2&amp;C$1&amp;"C"&amp;$A49)+$A$4*$A$4*RTD("tos.rtd",,"OPEN_INT","."&amp;C$2&amp;C$1&amp;"P"&amp;$A49)*RTD("tos.rtd",,"GAMMA","."&amp;C$2&amp;C$1&amp;"P"&amp;$A49))/1000000,($A$4*$A$4*RTD("tos.rtd",,"OPEN_INT","."&amp;C$2&amp;C$1&amp;"C"&amp;$A49)*RTD("tos.rtd",,"GAMMA","."&amp;C$2&amp;C$1&amp;"C"&amp;$A49)-$A$4*$A$4*RTD("tos.rtd",,"OPEN_INT","."&amp;C$2&amp;C$1&amp;"P"&amp;$A49)*RTD("tos.rtd",,"GAMMA","."&amp;C$2&amp;C$1&amp;"P"&amp;$A49))/1000000),0),IF($A$2="SKEW",IFERROR(VALUE(IF(RTD("tos.rtd",,"IMPL_VOL","."&amp;C$2&amp;C$1&amp;"P"&amp;$A49)="N/A",0,RTD("tos.rtd",,"IMPL_VOL","."&amp;C$2&amp;C$1&amp;"P"&amp;$A49))),0)-IFERROR(VALUE(IF(RTD("tos.rtd",,"IMPL_VOL","."&amp;C$2&amp;C$1&amp;"C"&amp;$A49)="N/A",0,RTD("tos.rtd",,"IMPL_VOL","."&amp;C$2&amp;C$1&amp;"C"&amp;$A49))),0),IF($A$2="MAXPAIN",IF($A$4&gt;$A49,($A$4-$A49)*IF(RTD("tos.rtd",,"OPEN_INT","."&amp;C$2&amp;C$1&amp;"C"&amp;$A49)="N/A",0,RTD("tos.rtd",,"OPEN_INT","."&amp;C$2&amp;C$1&amp;"C"&amp;$A49)),0)+IF($A$4&lt;$A49,($A$5-$A$4)*IF(RTD("tos.rtd",,"OPEN_INT","."&amp;C$2&amp;C$1&amp;"P"&amp;$A49)="N/A",0,RTD("tos.rtd",,"OPEN_INT","."&amp;C$2&amp;C$1&amp;"P"&amp;$A49)),0),IF($X$1="ABS",IF(RTD("tos.rtd",,$A$2,"."&amp;C$2&amp;C$1&amp;"C"&amp;$A49)="N/A",0,RTD("tos.rtd",,$A$2,"."&amp;C$2&amp;C$1&amp;"C"&amp;$A49))+IF(RTD("tos.rtd",,$A$2,"."&amp;C$2&amp;C$1&amp;"P"&amp;$A49)="N/A",0,RTD("tos.rtd",,$A$2,"."&amp;C$2&amp;C$1&amp;"P"&amp;$A49)),IF(RTD("tos.rtd",,$A$2,"."&amp;C$2&amp;C$1&amp;"C"&amp;$A49)="N/A",0,RTD("tos.rtd",,$A$2,"."&amp;C$2&amp;C$1&amp;"C"&amp;$A49))-IF(RTD("tos.rtd",,$A$2,"."&amp;C$2&amp;C$1&amp;"P"&amp;$A49)="N/A",0,RTD("tos.rtd",,$A$2,"."&amp;C$2&amp;C$1&amp;"P"&amp;$A49))))))))))</f>
        <v>0</v>
      </c>
      <c r="D49" s="12">
        <f ca="1">IF($A$2="PREMIUM_OI",IFERROR(IF($X$1="ABS",(100*RTD("tos.rtd",,"OPEN_INT","."&amp;D$2&amp;D$1&amp;"C"&amp;$A49)*RTD("tos.rtd",,"LAST","."&amp;D$2&amp;D$1&amp;"C"&amp;$A49)+100*RTD("tos.rtd",,"OPEN_INT","."&amp;D$2&amp;D$1&amp;"P"&amp;$A49)*RTD("tos.rtd",,"LAST","."&amp;D$2&amp;D$1&amp;"P"&amp;$A49))/1000000,(100*RTD("tos.rtd",,"OPEN_INT","."&amp;D$2&amp;D$1&amp;"C"&amp;$A49)*RTD("tos.rtd",,"LAST","."&amp;D$2&amp;D$1&amp;"C"&amp;$A49)-100*RTD("tos.rtd",,"OPEN_INT","."&amp;D$2&amp;D$1&amp;"P"&amp;$A49)*RTD("tos.rtd",,"LAST","."&amp;D$2&amp;D$1&amp;"P"&amp;$A49))/1000000),0),IF($A$2="PREMIUM",IFERROR(IF($X$1="ABS",(100*RTD("tos.rtd",,"VOLUME","."&amp;D$2&amp;D$1&amp;"C"&amp;$A49)*RTD("tos.rtd",,"LAST","."&amp;D$2&amp;D$1&amp;"C"&amp;$A49)+100*RTD("tos.rtd",,"VOLUME","."&amp;D$2&amp;D$1&amp;"P"&amp;$A49)*RTD("tos.rtd",,"LAST","."&amp;D$2&amp;D$1&amp;"P"&amp;$A49))/1000000,(100*RTD("tos.rtd",,"VOLUME","."&amp;D$2&amp;D$1&amp;"C"&amp;$A49)*RTD("tos.rtd",,"LAST","."&amp;D$2&amp;D$1&amp;"C"&amp;$A49)-100*RTD("tos.rtd",,"VOLUME","."&amp;D$2&amp;D$1&amp;"P"&amp;$A49)*RTD("tos.rtd",,"LAST","."&amp;D$2&amp;D$1&amp;"P"&amp;$A49))/1000000),0),IF($A$2="DEX",IFERROR(IF($X$1="ABS",(100*RTD("tos.rtd",,"OPEN_INT","."&amp;D$2&amp;D$1&amp;"C"&amp;$A49)*RTD("tos.rtd",,"DELTA","."&amp;D$2&amp;D$1&amp;"C"&amp;$A49)+100*RTD("tos.rtd",,"OPEN_INT","."&amp;D$2&amp;D$1&amp;"P"&amp;$A49)*RTD("tos.rtd",,"DELTA","."&amp;D$2&amp;D$1&amp;"P"&amp;$A49))/1000,(100*RTD("tos.rtd",,"OPEN_INT","."&amp;D$2&amp;D$1&amp;"C"&amp;$A49)*RTD("tos.rtd",,"DELTA","."&amp;D$2&amp;D$1&amp;"C"&amp;$A49)-100*RTD("tos.rtd",,"OPEN_INT","."&amp;D$2&amp;D$1&amp;"P"&amp;$A49)*RTD("tos.rtd",,"DELTA","."&amp;D$2&amp;D$1&amp;"P"&amp;$A49))/1000),0),IF($A$2="VEX",IFERROR(IF($X$1="ABS",($A$4*$A$4*RTD("tos.rtd",,"VOLUME","."&amp;D$2&amp;D$1&amp;"C"&amp;$A49)*RTD("tos.rtd",,"GAMMA","."&amp;D$2&amp;D$1&amp;"C"&amp;$A49)+$A$4*$A$4*RTD("tos.rtd",,"VOLUME","."&amp;D$2&amp;D$1&amp;"P"&amp;$A49)*RTD("tos.rtd",,"GAMMA","."&amp;D$2&amp;D$1&amp;"P"&amp;$A49))/1000000,($A$4*$A$4*RTD("tos.rtd",,"VOLUME","."&amp;D$2&amp;D$1&amp;"C"&amp;$A49)*RTD("tos.rtd",,"GAMMA","."&amp;D$2&amp;D$1&amp;"C"&amp;$A49)-$A$4*$A$4*RTD("tos.rtd",,"VOLUME","."&amp;D$2&amp;D$1&amp;"P"&amp;$A49)*RTD("tos.rtd",,"GAMMA","."&amp;D$2&amp;D$1&amp;"P"&amp;$A49))/1000000),0),IF($A$2="GEX",IFERROR(IF($X$1="ABS",($A$4*$A$4*RTD("tos.rtd",,"OPEN_INT","."&amp;D$2&amp;D$1&amp;"C"&amp;$A49)*RTD("tos.rtd",,"GAMMA","."&amp;D$2&amp;D$1&amp;"C"&amp;$A49)+$A$4*$A$4*RTD("tos.rtd",,"OPEN_INT","."&amp;D$2&amp;D$1&amp;"P"&amp;$A49)*RTD("tos.rtd",,"GAMMA","."&amp;D$2&amp;D$1&amp;"P"&amp;$A49))/1000000,($A$4*$A$4*RTD("tos.rtd",,"OPEN_INT","."&amp;D$2&amp;D$1&amp;"C"&amp;$A49)*RTD("tos.rtd",,"GAMMA","."&amp;D$2&amp;D$1&amp;"C"&amp;$A49)-$A$4*$A$4*RTD("tos.rtd",,"OPEN_INT","."&amp;D$2&amp;D$1&amp;"P"&amp;$A49)*RTD("tos.rtd",,"GAMMA","."&amp;D$2&amp;D$1&amp;"P"&amp;$A49))/1000000),0),IF($A$2="SKEW",IFERROR(VALUE(IF(RTD("tos.rtd",,"IMPL_VOL","."&amp;D$2&amp;D$1&amp;"P"&amp;$A49)="N/A",0,RTD("tos.rtd",,"IMPL_VOL","."&amp;D$2&amp;D$1&amp;"P"&amp;$A49))),0)-IFERROR(VALUE(IF(RTD("tos.rtd",,"IMPL_VOL","."&amp;D$2&amp;D$1&amp;"C"&amp;$A49)="N/A",0,RTD("tos.rtd",,"IMPL_VOL","."&amp;D$2&amp;D$1&amp;"C"&amp;$A49))),0),IF($A$2="MAXPAIN",IF($A$4&gt;$A49,($A$4-$A49)*IF(RTD("tos.rtd",,"OPEN_INT","."&amp;D$2&amp;D$1&amp;"C"&amp;$A49)="N/A",0,RTD("tos.rtd",,"OPEN_INT","."&amp;D$2&amp;D$1&amp;"C"&amp;$A49)),0)+IF($A$4&lt;$A49,($A$5-$A$4)*IF(RTD("tos.rtd",,"OPEN_INT","."&amp;D$2&amp;D$1&amp;"P"&amp;$A49)="N/A",0,RTD("tos.rtd",,"OPEN_INT","."&amp;D$2&amp;D$1&amp;"P"&amp;$A49)),0),IF($X$1="ABS",IF(RTD("tos.rtd",,$A$2,"."&amp;D$2&amp;D$1&amp;"C"&amp;$A49)="N/A",0,RTD("tos.rtd",,$A$2,"."&amp;D$2&amp;D$1&amp;"C"&amp;$A49))+IF(RTD("tos.rtd",,$A$2,"."&amp;D$2&amp;D$1&amp;"P"&amp;$A49)="N/A",0,RTD("tos.rtd",,$A$2,"."&amp;D$2&amp;D$1&amp;"P"&amp;$A49)),IF(RTD("tos.rtd",,$A$2,"."&amp;D$2&amp;D$1&amp;"C"&amp;$A49)="N/A",0,RTD("tos.rtd",,$A$2,"."&amp;D$2&amp;D$1&amp;"C"&amp;$A49))-IF(RTD("tos.rtd",,$A$2,"."&amp;D$2&amp;D$1&amp;"P"&amp;$A49)="N/A",0,RTD("tos.rtd",,$A$2,"."&amp;D$2&amp;D$1&amp;"P"&amp;$A49))))))))))</f>
        <v>0</v>
      </c>
      <c r="E49" s="12">
        <f ca="1">IF($A$2="PREMIUM_OI",IFERROR(IF($X$1="ABS",(100*RTD("tos.rtd",,"OPEN_INT","."&amp;E$2&amp;E$1&amp;"C"&amp;$A49)*RTD("tos.rtd",,"LAST","."&amp;E$2&amp;E$1&amp;"C"&amp;$A49)+100*RTD("tos.rtd",,"OPEN_INT","."&amp;E$2&amp;E$1&amp;"P"&amp;$A49)*RTD("tos.rtd",,"LAST","."&amp;E$2&amp;E$1&amp;"P"&amp;$A49))/1000000,(100*RTD("tos.rtd",,"OPEN_INT","."&amp;E$2&amp;E$1&amp;"C"&amp;$A49)*RTD("tos.rtd",,"LAST","."&amp;E$2&amp;E$1&amp;"C"&amp;$A49)-100*RTD("tos.rtd",,"OPEN_INT","."&amp;E$2&amp;E$1&amp;"P"&amp;$A49)*RTD("tos.rtd",,"LAST","."&amp;E$2&amp;E$1&amp;"P"&amp;$A49))/1000000),0),IF($A$2="PREMIUM",IFERROR(IF($X$1="ABS",(100*RTD("tos.rtd",,"VOLUME","."&amp;E$2&amp;E$1&amp;"C"&amp;$A49)*RTD("tos.rtd",,"LAST","."&amp;E$2&amp;E$1&amp;"C"&amp;$A49)+100*RTD("tos.rtd",,"VOLUME","."&amp;E$2&amp;E$1&amp;"P"&amp;$A49)*RTD("tos.rtd",,"LAST","."&amp;E$2&amp;E$1&amp;"P"&amp;$A49))/1000000,(100*RTD("tos.rtd",,"VOLUME","."&amp;E$2&amp;E$1&amp;"C"&amp;$A49)*RTD("tos.rtd",,"LAST","."&amp;E$2&amp;E$1&amp;"C"&amp;$A49)-100*RTD("tos.rtd",,"VOLUME","."&amp;E$2&amp;E$1&amp;"P"&amp;$A49)*RTD("tos.rtd",,"LAST","."&amp;E$2&amp;E$1&amp;"P"&amp;$A49))/1000000),0),IF($A$2="DEX",IFERROR(IF($X$1="ABS",(100*RTD("tos.rtd",,"OPEN_INT","."&amp;E$2&amp;E$1&amp;"C"&amp;$A49)*RTD("tos.rtd",,"DELTA","."&amp;E$2&amp;E$1&amp;"C"&amp;$A49)+100*RTD("tos.rtd",,"OPEN_INT","."&amp;E$2&amp;E$1&amp;"P"&amp;$A49)*RTD("tos.rtd",,"DELTA","."&amp;E$2&amp;E$1&amp;"P"&amp;$A49))/1000,(100*RTD("tos.rtd",,"OPEN_INT","."&amp;E$2&amp;E$1&amp;"C"&amp;$A49)*RTD("tos.rtd",,"DELTA","."&amp;E$2&amp;E$1&amp;"C"&amp;$A49)-100*RTD("tos.rtd",,"OPEN_INT","."&amp;E$2&amp;E$1&amp;"P"&amp;$A49)*RTD("tos.rtd",,"DELTA","."&amp;E$2&amp;E$1&amp;"P"&amp;$A49))/1000),0),IF($A$2="VEX",IFERROR(IF($X$1="ABS",($A$4*$A$4*RTD("tos.rtd",,"VOLUME","."&amp;E$2&amp;E$1&amp;"C"&amp;$A49)*RTD("tos.rtd",,"GAMMA","."&amp;E$2&amp;E$1&amp;"C"&amp;$A49)+$A$4*$A$4*RTD("tos.rtd",,"VOLUME","."&amp;E$2&amp;E$1&amp;"P"&amp;$A49)*RTD("tos.rtd",,"GAMMA","."&amp;E$2&amp;E$1&amp;"P"&amp;$A49))/1000000,($A$4*$A$4*RTD("tos.rtd",,"VOLUME","."&amp;E$2&amp;E$1&amp;"C"&amp;$A49)*RTD("tos.rtd",,"GAMMA","."&amp;E$2&amp;E$1&amp;"C"&amp;$A49)-$A$4*$A$4*RTD("tos.rtd",,"VOLUME","."&amp;E$2&amp;E$1&amp;"P"&amp;$A49)*RTD("tos.rtd",,"GAMMA","."&amp;E$2&amp;E$1&amp;"P"&amp;$A49))/1000000),0),IF($A$2="GEX",IFERROR(IF($X$1="ABS",($A$4*$A$4*RTD("tos.rtd",,"OPEN_INT","."&amp;E$2&amp;E$1&amp;"C"&amp;$A49)*RTD("tos.rtd",,"GAMMA","."&amp;E$2&amp;E$1&amp;"C"&amp;$A49)+$A$4*$A$4*RTD("tos.rtd",,"OPEN_INT","."&amp;E$2&amp;E$1&amp;"P"&amp;$A49)*RTD("tos.rtd",,"GAMMA","."&amp;E$2&amp;E$1&amp;"P"&amp;$A49))/1000000,($A$4*$A$4*RTD("tos.rtd",,"OPEN_INT","."&amp;E$2&amp;E$1&amp;"C"&amp;$A49)*RTD("tos.rtd",,"GAMMA","."&amp;E$2&amp;E$1&amp;"C"&amp;$A49)-$A$4*$A$4*RTD("tos.rtd",,"OPEN_INT","."&amp;E$2&amp;E$1&amp;"P"&amp;$A49)*RTD("tos.rtd",,"GAMMA","."&amp;E$2&amp;E$1&amp;"P"&amp;$A49))/1000000),0),IF($A$2="SKEW",IFERROR(VALUE(IF(RTD("tos.rtd",,"IMPL_VOL","."&amp;E$2&amp;E$1&amp;"P"&amp;$A49)="N/A",0,RTD("tos.rtd",,"IMPL_VOL","."&amp;E$2&amp;E$1&amp;"P"&amp;$A49))),0)-IFERROR(VALUE(IF(RTD("tos.rtd",,"IMPL_VOL","."&amp;E$2&amp;E$1&amp;"C"&amp;$A49)="N/A",0,RTD("tos.rtd",,"IMPL_VOL","."&amp;E$2&amp;E$1&amp;"C"&amp;$A49))),0),IF($A$2="MAXPAIN",IF($A$4&gt;$A49,($A$4-$A49)*IF(RTD("tos.rtd",,"OPEN_INT","."&amp;E$2&amp;E$1&amp;"C"&amp;$A49)="N/A",0,RTD("tos.rtd",,"OPEN_INT","."&amp;E$2&amp;E$1&amp;"C"&amp;$A49)),0)+IF($A$4&lt;$A49,($A$5-$A$4)*IF(RTD("tos.rtd",,"OPEN_INT","."&amp;E$2&amp;E$1&amp;"P"&amp;$A49)="N/A",0,RTD("tos.rtd",,"OPEN_INT","."&amp;E$2&amp;E$1&amp;"P"&amp;$A49)),0),IF($X$1="ABS",IF(RTD("tos.rtd",,$A$2,"."&amp;E$2&amp;E$1&amp;"C"&amp;$A49)="N/A",0,RTD("tos.rtd",,$A$2,"."&amp;E$2&amp;E$1&amp;"C"&amp;$A49))+IF(RTD("tos.rtd",,$A$2,"."&amp;E$2&amp;E$1&amp;"P"&amp;$A49)="N/A",0,RTD("tos.rtd",,$A$2,"."&amp;E$2&amp;E$1&amp;"P"&amp;$A49)),IF(RTD("tos.rtd",,$A$2,"."&amp;E$2&amp;E$1&amp;"C"&amp;$A49)="N/A",0,RTD("tos.rtd",,$A$2,"."&amp;E$2&amp;E$1&amp;"C"&amp;$A49))-IF(RTD("tos.rtd",,$A$2,"."&amp;E$2&amp;E$1&amp;"P"&amp;$A49)="N/A",0,RTD("tos.rtd",,$A$2,"."&amp;E$2&amp;E$1&amp;"P"&amp;$A49))))))))))</f>
        <v>0</v>
      </c>
      <c r="F49" s="12">
        <f ca="1">IF($A$2="PREMIUM_OI",IFERROR(IF($X$1="ABS",(100*RTD("tos.rtd",,"OPEN_INT","."&amp;F$2&amp;F$1&amp;"C"&amp;$A49)*RTD("tos.rtd",,"LAST","."&amp;F$2&amp;F$1&amp;"C"&amp;$A49)+100*RTD("tos.rtd",,"OPEN_INT","."&amp;F$2&amp;F$1&amp;"P"&amp;$A49)*RTD("tos.rtd",,"LAST","."&amp;F$2&amp;F$1&amp;"P"&amp;$A49))/1000000,(100*RTD("tos.rtd",,"OPEN_INT","."&amp;F$2&amp;F$1&amp;"C"&amp;$A49)*RTD("tos.rtd",,"LAST","."&amp;F$2&amp;F$1&amp;"C"&amp;$A49)-100*RTD("tos.rtd",,"OPEN_INT","."&amp;F$2&amp;F$1&amp;"P"&amp;$A49)*RTD("tos.rtd",,"LAST","."&amp;F$2&amp;F$1&amp;"P"&amp;$A49))/1000000),0),IF($A$2="PREMIUM",IFERROR(IF($X$1="ABS",(100*RTD("tos.rtd",,"VOLUME","."&amp;F$2&amp;F$1&amp;"C"&amp;$A49)*RTD("tos.rtd",,"LAST","."&amp;F$2&amp;F$1&amp;"C"&amp;$A49)+100*RTD("tos.rtd",,"VOLUME","."&amp;F$2&amp;F$1&amp;"P"&amp;$A49)*RTD("tos.rtd",,"LAST","."&amp;F$2&amp;F$1&amp;"P"&amp;$A49))/1000000,(100*RTD("tos.rtd",,"VOLUME","."&amp;F$2&amp;F$1&amp;"C"&amp;$A49)*RTD("tos.rtd",,"LAST","."&amp;F$2&amp;F$1&amp;"C"&amp;$A49)-100*RTD("tos.rtd",,"VOLUME","."&amp;F$2&amp;F$1&amp;"P"&amp;$A49)*RTD("tos.rtd",,"LAST","."&amp;F$2&amp;F$1&amp;"P"&amp;$A49))/1000000),0),IF($A$2="DEX",IFERROR(IF($X$1="ABS",(100*RTD("tos.rtd",,"OPEN_INT","."&amp;F$2&amp;F$1&amp;"C"&amp;$A49)*RTD("tos.rtd",,"DELTA","."&amp;F$2&amp;F$1&amp;"C"&amp;$A49)+100*RTD("tos.rtd",,"OPEN_INT","."&amp;F$2&amp;F$1&amp;"P"&amp;$A49)*RTD("tos.rtd",,"DELTA","."&amp;F$2&amp;F$1&amp;"P"&amp;$A49))/1000,(100*RTD("tos.rtd",,"OPEN_INT","."&amp;F$2&amp;F$1&amp;"C"&amp;$A49)*RTD("tos.rtd",,"DELTA","."&amp;F$2&amp;F$1&amp;"C"&amp;$A49)-100*RTD("tos.rtd",,"OPEN_INT","."&amp;F$2&amp;F$1&amp;"P"&amp;$A49)*RTD("tos.rtd",,"DELTA","."&amp;F$2&amp;F$1&amp;"P"&amp;$A49))/1000),0),IF($A$2="VEX",IFERROR(IF($X$1="ABS",($A$4*$A$4*RTD("tos.rtd",,"VOLUME","."&amp;F$2&amp;F$1&amp;"C"&amp;$A49)*RTD("tos.rtd",,"GAMMA","."&amp;F$2&amp;F$1&amp;"C"&amp;$A49)+$A$4*$A$4*RTD("tos.rtd",,"VOLUME","."&amp;F$2&amp;F$1&amp;"P"&amp;$A49)*RTD("tos.rtd",,"GAMMA","."&amp;F$2&amp;F$1&amp;"P"&amp;$A49))/1000000,($A$4*$A$4*RTD("tos.rtd",,"VOLUME","."&amp;F$2&amp;F$1&amp;"C"&amp;$A49)*RTD("tos.rtd",,"GAMMA","."&amp;F$2&amp;F$1&amp;"C"&amp;$A49)-$A$4*$A$4*RTD("tos.rtd",,"VOLUME","."&amp;F$2&amp;F$1&amp;"P"&amp;$A49)*RTD("tos.rtd",,"GAMMA","."&amp;F$2&amp;F$1&amp;"P"&amp;$A49))/1000000),0),IF($A$2="GEX",IFERROR(IF($X$1="ABS",($A$4*$A$4*RTD("tos.rtd",,"OPEN_INT","."&amp;F$2&amp;F$1&amp;"C"&amp;$A49)*RTD("tos.rtd",,"GAMMA","."&amp;F$2&amp;F$1&amp;"C"&amp;$A49)+$A$4*$A$4*RTD("tos.rtd",,"OPEN_INT","."&amp;F$2&amp;F$1&amp;"P"&amp;$A49)*RTD("tos.rtd",,"GAMMA","."&amp;F$2&amp;F$1&amp;"P"&amp;$A49))/1000000,($A$4*$A$4*RTD("tos.rtd",,"OPEN_INT","."&amp;F$2&amp;F$1&amp;"C"&amp;$A49)*RTD("tos.rtd",,"GAMMA","."&amp;F$2&amp;F$1&amp;"C"&amp;$A49)-$A$4*$A$4*RTD("tos.rtd",,"OPEN_INT","."&amp;F$2&amp;F$1&amp;"P"&amp;$A49)*RTD("tos.rtd",,"GAMMA","."&amp;F$2&amp;F$1&amp;"P"&amp;$A49))/1000000),0),IF($A$2="SKEW",IFERROR(VALUE(IF(RTD("tos.rtd",,"IMPL_VOL","."&amp;F$2&amp;F$1&amp;"P"&amp;$A49)="N/A",0,RTD("tos.rtd",,"IMPL_VOL","."&amp;F$2&amp;F$1&amp;"P"&amp;$A49))),0)-IFERROR(VALUE(IF(RTD("tos.rtd",,"IMPL_VOL","."&amp;F$2&amp;F$1&amp;"C"&amp;$A49)="N/A",0,RTD("tos.rtd",,"IMPL_VOL","."&amp;F$2&amp;F$1&amp;"C"&amp;$A49))),0),IF($A$2="MAXPAIN",IF($A$4&gt;$A49,($A$4-$A49)*IF(RTD("tos.rtd",,"OPEN_INT","."&amp;F$2&amp;F$1&amp;"C"&amp;$A49)="N/A",0,RTD("tos.rtd",,"OPEN_INT","."&amp;F$2&amp;F$1&amp;"C"&amp;$A49)),0)+IF($A$4&lt;$A49,($A$5-$A$4)*IF(RTD("tos.rtd",,"OPEN_INT","."&amp;F$2&amp;F$1&amp;"P"&amp;$A49)="N/A",0,RTD("tos.rtd",,"OPEN_INT","."&amp;F$2&amp;F$1&amp;"P"&amp;$A49)),0),IF($X$1="ABS",IF(RTD("tos.rtd",,$A$2,"."&amp;F$2&amp;F$1&amp;"C"&amp;$A49)="N/A",0,RTD("tos.rtd",,$A$2,"."&amp;F$2&amp;F$1&amp;"C"&amp;$A49))+IF(RTD("tos.rtd",,$A$2,"."&amp;F$2&amp;F$1&amp;"P"&amp;$A49)="N/A",0,RTD("tos.rtd",,$A$2,"."&amp;F$2&amp;F$1&amp;"P"&amp;$A49)),IF(RTD("tos.rtd",,$A$2,"."&amp;F$2&amp;F$1&amp;"C"&amp;$A49)="N/A",0,RTD("tos.rtd",,$A$2,"."&amp;F$2&amp;F$1&amp;"C"&amp;$A49))-IF(RTD("tos.rtd",,$A$2,"."&amp;F$2&amp;F$1&amp;"P"&amp;$A49)="N/A",0,RTD("tos.rtd",,$A$2,"."&amp;F$2&amp;F$1&amp;"P"&amp;$A49))))))))))</f>
        <v>0</v>
      </c>
      <c r="G49" s="57">
        <f ca="1">IF($A$2="PREMIUM_OI",IFERROR(IF($X$1="ABS",(100*RTD("tos.rtd",,"OPEN_INT","."&amp;G$2&amp;G$1&amp;"C"&amp;$A49)*RTD("tos.rtd",,"LAST","."&amp;G$2&amp;G$1&amp;"C"&amp;$A49)+100*RTD("tos.rtd",,"OPEN_INT","."&amp;G$2&amp;G$1&amp;"P"&amp;$A49)*RTD("tos.rtd",,"LAST","."&amp;G$2&amp;G$1&amp;"P"&amp;$A49))/1000000,(100*RTD("tos.rtd",,"OPEN_INT","."&amp;G$2&amp;G$1&amp;"C"&amp;$A49)*RTD("tos.rtd",,"LAST","."&amp;G$2&amp;G$1&amp;"C"&amp;$A49)-100*RTD("tos.rtd",,"OPEN_INT","."&amp;G$2&amp;G$1&amp;"P"&amp;$A49)*RTD("tos.rtd",,"LAST","."&amp;G$2&amp;G$1&amp;"P"&amp;$A49))/1000000),0),IF($A$2="PREMIUM",IFERROR(IF($X$1="ABS",(100*RTD("tos.rtd",,"VOLUME","."&amp;G$2&amp;G$1&amp;"C"&amp;$A49)*RTD("tos.rtd",,"LAST","."&amp;G$2&amp;G$1&amp;"C"&amp;$A49)+100*RTD("tos.rtd",,"VOLUME","."&amp;G$2&amp;G$1&amp;"P"&amp;$A49)*RTD("tos.rtd",,"LAST","."&amp;G$2&amp;G$1&amp;"P"&amp;$A49))/1000000,(100*RTD("tos.rtd",,"VOLUME","."&amp;G$2&amp;G$1&amp;"C"&amp;$A49)*RTD("tos.rtd",,"LAST","."&amp;G$2&amp;G$1&amp;"C"&amp;$A49)-100*RTD("tos.rtd",,"VOLUME","."&amp;G$2&amp;G$1&amp;"P"&amp;$A49)*RTD("tos.rtd",,"LAST","."&amp;G$2&amp;G$1&amp;"P"&amp;$A49))/1000000),0),IF($A$2="DEX",IFERROR(IF($X$1="ABS",(100*RTD("tos.rtd",,"OPEN_INT","."&amp;G$2&amp;G$1&amp;"C"&amp;$A49)*RTD("tos.rtd",,"DELTA","."&amp;G$2&amp;G$1&amp;"C"&amp;$A49)+100*RTD("tos.rtd",,"OPEN_INT","."&amp;G$2&amp;G$1&amp;"P"&amp;$A49)*RTD("tos.rtd",,"DELTA","."&amp;G$2&amp;G$1&amp;"P"&amp;$A49))/1000,(100*RTD("tos.rtd",,"OPEN_INT","."&amp;G$2&amp;G$1&amp;"C"&amp;$A49)*RTD("tos.rtd",,"DELTA","."&amp;G$2&amp;G$1&amp;"C"&amp;$A49)-100*RTD("tos.rtd",,"OPEN_INT","."&amp;G$2&amp;G$1&amp;"P"&amp;$A49)*RTD("tos.rtd",,"DELTA","."&amp;G$2&amp;G$1&amp;"P"&amp;$A49))/1000),0),IF($A$2="VEX",IFERROR(IF($X$1="ABS",($A$4*$A$4*RTD("tos.rtd",,"VOLUME","."&amp;G$2&amp;G$1&amp;"C"&amp;$A49)*RTD("tos.rtd",,"GAMMA","."&amp;G$2&amp;G$1&amp;"C"&amp;$A49)+$A$4*$A$4*RTD("tos.rtd",,"VOLUME","."&amp;G$2&amp;G$1&amp;"P"&amp;$A49)*RTD("tos.rtd",,"GAMMA","."&amp;G$2&amp;G$1&amp;"P"&amp;$A49))/1000000,($A$4*$A$4*RTD("tos.rtd",,"VOLUME","."&amp;G$2&amp;G$1&amp;"C"&amp;$A49)*RTD("tos.rtd",,"GAMMA","."&amp;G$2&amp;G$1&amp;"C"&amp;$A49)-$A$4*$A$4*RTD("tos.rtd",,"VOLUME","."&amp;G$2&amp;G$1&amp;"P"&amp;$A49)*RTD("tos.rtd",,"GAMMA","."&amp;G$2&amp;G$1&amp;"P"&amp;$A49))/1000000),0),IF($A$2="GEX",IFERROR(IF($X$1="ABS",($A$4*$A$4*RTD("tos.rtd",,"OPEN_INT","."&amp;G$2&amp;G$1&amp;"C"&amp;$A49)*RTD("tos.rtd",,"GAMMA","."&amp;G$2&amp;G$1&amp;"C"&amp;$A49)+$A$4*$A$4*RTD("tos.rtd",,"OPEN_INT","."&amp;G$2&amp;G$1&amp;"P"&amp;$A49)*RTD("tos.rtd",,"GAMMA","."&amp;G$2&amp;G$1&amp;"P"&amp;$A49))/1000000,($A$4*$A$4*RTD("tos.rtd",,"OPEN_INT","."&amp;G$2&amp;G$1&amp;"C"&amp;$A49)*RTD("tos.rtd",,"GAMMA","."&amp;G$2&amp;G$1&amp;"C"&amp;$A49)-$A$4*$A$4*RTD("tos.rtd",,"OPEN_INT","."&amp;G$2&amp;G$1&amp;"P"&amp;$A49)*RTD("tos.rtd",,"GAMMA","."&amp;G$2&amp;G$1&amp;"P"&amp;$A49))/1000000),0),IF($A$2="SKEW",IFERROR(VALUE(IF(RTD("tos.rtd",,"IMPL_VOL","."&amp;G$2&amp;G$1&amp;"P"&amp;$A49)="N/A",0,RTD("tos.rtd",,"IMPL_VOL","."&amp;G$2&amp;G$1&amp;"P"&amp;$A49))),0)-IFERROR(VALUE(IF(RTD("tos.rtd",,"IMPL_VOL","."&amp;G$2&amp;G$1&amp;"C"&amp;$A49)="N/A",0,RTD("tos.rtd",,"IMPL_VOL","."&amp;G$2&amp;G$1&amp;"C"&amp;$A49))),0),IF($A$2="MAXPAIN",IF($A$4&gt;$A49,($A$4-$A49)*IF(RTD("tos.rtd",,"OPEN_INT","."&amp;G$2&amp;G$1&amp;"C"&amp;$A49)="N/A",0,RTD("tos.rtd",,"OPEN_INT","."&amp;G$2&amp;G$1&amp;"C"&amp;$A49)),0)+IF($A$4&lt;$A49,($A$5-$A$4)*IF(RTD("tos.rtd",,"OPEN_INT","."&amp;G$2&amp;G$1&amp;"P"&amp;$A49)="N/A",0,RTD("tos.rtd",,"OPEN_INT","."&amp;G$2&amp;G$1&amp;"P"&amp;$A49)),0),IF($X$1="ABS",IF(RTD("tos.rtd",,$A$2,"."&amp;G$2&amp;G$1&amp;"C"&amp;$A49)="N/A",0,RTD("tos.rtd",,$A$2,"."&amp;G$2&amp;G$1&amp;"C"&amp;$A49))+IF(RTD("tos.rtd",,$A$2,"."&amp;G$2&amp;G$1&amp;"P"&amp;$A49)="N/A",0,RTD("tos.rtd",,$A$2,"."&amp;G$2&amp;G$1&amp;"P"&amp;$A49)),IF(RTD("tos.rtd",,$A$2,"."&amp;G$2&amp;G$1&amp;"C"&amp;$A49)="N/A",0,RTD("tos.rtd",,$A$2,"."&amp;G$2&amp;G$1&amp;"C"&amp;$A49))-IF(RTD("tos.rtd",,$A$2,"."&amp;G$2&amp;G$1&amp;"P"&amp;$A49)="N/A",0,RTD("tos.rtd",,$A$2,"."&amp;G$2&amp;G$1&amp;"P"&amp;$A49))))))))))</f>
        <v>0</v>
      </c>
      <c r="H49" s="14">
        <f ca="1">IF($A$2="PREMIUM_OI",IFERROR(IF($X$1="ABS",(100*RTD("tos.rtd",,"OPEN_INT","."&amp;H$2&amp;H$1&amp;"C"&amp;$A49)*RTD("tos.rtd",,"LAST","."&amp;H$2&amp;H$1&amp;"C"&amp;$A49)+100*RTD("tos.rtd",,"OPEN_INT","."&amp;H$2&amp;H$1&amp;"P"&amp;$A49)*RTD("tos.rtd",,"LAST","."&amp;H$2&amp;H$1&amp;"P"&amp;$A49))/1000000,(100*RTD("tos.rtd",,"OPEN_INT","."&amp;H$2&amp;H$1&amp;"C"&amp;$A49)*RTD("tos.rtd",,"LAST","."&amp;H$2&amp;H$1&amp;"C"&amp;$A49)-100*RTD("tos.rtd",,"OPEN_INT","."&amp;H$2&amp;H$1&amp;"P"&amp;$A49)*RTD("tos.rtd",,"LAST","."&amp;H$2&amp;H$1&amp;"P"&amp;$A49))/1000000),0),IF($A$2="PREMIUM",IFERROR(IF($X$1="ABS",(100*RTD("tos.rtd",,"VOLUME","."&amp;H$2&amp;H$1&amp;"C"&amp;$A49)*RTD("tos.rtd",,"LAST","."&amp;H$2&amp;H$1&amp;"C"&amp;$A49)+100*RTD("tos.rtd",,"VOLUME","."&amp;H$2&amp;H$1&amp;"P"&amp;$A49)*RTD("tos.rtd",,"LAST","."&amp;H$2&amp;H$1&amp;"P"&amp;$A49))/1000000,(100*RTD("tos.rtd",,"VOLUME","."&amp;H$2&amp;H$1&amp;"C"&amp;$A49)*RTD("tos.rtd",,"LAST","."&amp;H$2&amp;H$1&amp;"C"&amp;$A49)-100*RTD("tos.rtd",,"VOLUME","."&amp;H$2&amp;H$1&amp;"P"&amp;$A49)*RTD("tos.rtd",,"LAST","."&amp;H$2&amp;H$1&amp;"P"&amp;$A49))/1000000),0),IF($A$2="DEX",IFERROR(IF($X$1="ABS",(100*RTD("tos.rtd",,"OPEN_INT","."&amp;H$2&amp;H$1&amp;"C"&amp;$A49)*RTD("tos.rtd",,"DELTA","."&amp;H$2&amp;H$1&amp;"C"&amp;$A49)+100*RTD("tos.rtd",,"OPEN_INT","."&amp;H$2&amp;H$1&amp;"P"&amp;$A49)*RTD("tos.rtd",,"DELTA","."&amp;H$2&amp;H$1&amp;"P"&amp;$A49))/1000,(100*RTD("tos.rtd",,"OPEN_INT","."&amp;H$2&amp;H$1&amp;"C"&amp;$A49)*RTD("tos.rtd",,"DELTA","."&amp;H$2&amp;H$1&amp;"C"&amp;$A49)-100*RTD("tos.rtd",,"OPEN_INT","."&amp;H$2&amp;H$1&amp;"P"&amp;$A49)*RTD("tos.rtd",,"DELTA","."&amp;H$2&amp;H$1&amp;"P"&amp;$A49))/1000),0),IF($A$2="VEX",IFERROR(IF($X$1="ABS",($A$4*$A$4*RTD("tos.rtd",,"VOLUME","."&amp;H$2&amp;H$1&amp;"C"&amp;$A49)*RTD("tos.rtd",,"GAMMA","."&amp;H$2&amp;H$1&amp;"C"&amp;$A49)+$A$4*$A$4*RTD("tos.rtd",,"VOLUME","."&amp;H$2&amp;H$1&amp;"P"&amp;$A49)*RTD("tos.rtd",,"GAMMA","."&amp;H$2&amp;H$1&amp;"P"&amp;$A49))/1000000,($A$4*$A$4*RTD("tos.rtd",,"VOLUME","."&amp;H$2&amp;H$1&amp;"C"&amp;$A49)*RTD("tos.rtd",,"GAMMA","."&amp;H$2&amp;H$1&amp;"C"&amp;$A49)-$A$4*$A$4*RTD("tos.rtd",,"VOLUME","."&amp;H$2&amp;H$1&amp;"P"&amp;$A49)*RTD("tos.rtd",,"GAMMA","."&amp;H$2&amp;H$1&amp;"P"&amp;$A49))/1000000),0),IF($A$2="GEX",IFERROR(IF($X$1="ABS",($A$4*$A$4*RTD("tos.rtd",,"OPEN_INT","."&amp;H$2&amp;H$1&amp;"C"&amp;$A49)*RTD("tos.rtd",,"GAMMA","."&amp;H$2&amp;H$1&amp;"C"&amp;$A49)+$A$4*$A$4*RTD("tos.rtd",,"OPEN_INT","."&amp;H$2&amp;H$1&amp;"P"&amp;$A49)*RTD("tos.rtd",,"GAMMA","."&amp;H$2&amp;H$1&amp;"P"&amp;$A49))/1000000,($A$4*$A$4*RTD("tos.rtd",,"OPEN_INT","."&amp;H$2&amp;H$1&amp;"C"&amp;$A49)*RTD("tos.rtd",,"GAMMA","."&amp;H$2&amp;H$1&amp;"C"&amp;$A49)-$A$4*$A$4*RTD("tos.rtd",,"OPEN_INT","."&amp;H$2&amp;H$1&amp;"P"&amp;$A49)*RTD("tos.rtd",,"GAMMA","."&amp;H$2&amp;H$1&amp;"P"&amp;$A49))/1000000),0),IF($A$2="SKEW",IFERROR(VALUE(IF(RTD("tos.rtd",,"IMPL_VOL","."&amp;H$2&amp;H$1&amp;"P"&amp;$A49)="N/A",0,RTD("tos.rtd",,"IMPL_VOL","."&amp;H$2&amp;H$1&amp;"P"&amp;$A49))),0)-IFERROR(VALUE(IF(RTD("tos.rtd",,"IMPL_VOL","."&amp;H$2&amp;H$1&amp;"C"&amp;$A49)="N/A",0,RTD("tos.rtd",,"IMPL_VOL","."&amp;H$2&amp;H$1&amp;"C"&amp;$A49))),0),IF($A$2="MAXPAIN",IF($A$4&gt;$A49,($A$4-$A49)*IF(RTD("tos.rtd",,"OPEN_INT","."&amp;H$2&amp;H$1&amp;"C"&amp;$A49)="N/A",0,RTD("tos.rtd",,"OPEN_INT","."&amp;H$2&amp;H$1&amp;"C"&amp;$A49)),0)+IF($A$4&lt;$A49,($A$5-$A$4)*IF(RTD("tos.rtd",,"OPEN_INT","."&amp;H$2&amp;H$1&amp;"P"&amp;$A49)="N/A",0,RTD("tos.rtd",,"OPEN_INT","."&amp;H$2&amp;H$1&amp;"P"&amp;$A49)),0),IF($X$1="ABS",IF(RTD("tos.rtd",,$A$2,"."&amp;H$2&amp;H$1&amp;"C"&amp;$A49)="N/A",0,RTD("tos.rtd",,$A$2,"."&amp;H$2&amp;H$1&amp;"C"&amp;$A49))+IF(RTD("tos.rtd",,$A$2,"."&amp;H$2&amp;H$1&amp;"P"&amp;$A49)="N/A",0,RTD("tos.rtd",,$A$2,"."&amp;H$2&amp;H$1&amp;"P"&amp;$A49)),IF(RTD("tos.rtd",,$A$2,"."&amp;H$2&amp;H$1&amp;"C"&amp;$A49)="N/A",0,RTD("tos.rtd",,$A$2,"."&amp;H$2&amp;H$1&amp;"C"&amp;$A49))-IF(RTD("tos.rtd",,$A$2,"."&amp;H$2&amp;H$1&amp;"P"&amp;$A49)="N/A",0,RTD("tos.rtd",,$A$2,"."&amp;H$2&amp;H$1&amp;"P"&amp;$A49))))))))))</f>
        <v>0</v>
      </c>
      <c r="I49" s="12">
        <f ca="1">IF($A$2="PREMIUM_OI",IFERROR(IF($X$1="ABS",(100*RTD("tos.rtd",,"OPEN_INT","."&amp;I$2&amp;I$1&amp;"C"&amp;$A49)*RTD("tos.rtd",,"LAST","."&amp;I$2&amp;I$1&amp;"C"&amp;$A49)+100*RTD("tos.rtd",,"OPEN_INT","."&amp;I$2&amp;I$1&amp;"P"&amp;$A49)*RTD("tos.rtd",,"LAST","."&amp;I$2&amp;I$1&amp;"P"&amp;$A49))/1000000,(100*RTD("tos.rtd",,"OPEN_INT","."&amp;I$2&amp;I$1&amp;"C"&amp;$A49)*RTD("tos.rtd",,"LAST","."&amp;I$2&amp;I$1&amp;"C"&amp;$A49)-100*RTD("tos.rtd",,"OPEN_INT","."&amp;I$2&amp;I$1&amp;"P"&amp;$A49)*RTD("tos.rtd",,"LAST","."&amp;I$2&amp;I$1&amp;"P"&amp;$A49))/1000000),0),IF($A$2="PREMIUM",IFERROR(IF($X$1="ABS",(100*RTD("tos.rtd",,"VOLUME","."&amp;I$2&amp;I$1&amp;"C"&amp;$A49)*RTD("tos.rtd",,"LAST","."&amp;I$2&amp;I$1&amp;"C"&amp;$A49)+100*RTD("tos.rtd",,"VOLUME","."&amp;I$2&amp;I$1&amp;"P"&amp;$A49)*RTD("tos.rtd",,"LAST","."&amp;I$2&amp;I$1&amp;"P"&amp;$A49))/1000000,(100*RTD("tos.rtd",,"VOLUME","."&amp;I$2&amp;I$1&amp;"C"&amp;$A49)*RTD("tos.rtd",,"LAST","."&amp;I$2&amp;I$1&amp;"C"&amp;$A49)-100*RTD("tos.rtd",,"VOLUME","."&amp;I$2&amp;I$1&amp;"P"&amp;$A49)*RTD("tos.rtd",,"LAST","."&amp;I$2&amp;I$1&amp;"P"&amp;$A49))/1000000),0),IF($A$2="DEX",IFERROR(IF($X$1="ABS",(100*RTD("tos.rtd",,"OPEN_INT","."&amp;I$2&amp;I$1&amp;"C"&amp;$A49)*RTD("tos.rtd",,"DELTA","."&amp;I$2&amp;I$1&amp;"C"&amp;$A49)+100*RTD("tos.rtd",,"OPEN_INT","."&amp;I$2&amp;I$1&amp;"P"&amp;$A49)*RTD("tos.rtd",,"DELTA","."&amp;I$2&amp;I$1&amp;"P"&amp;$A49))/1000,(100*RTD("tos.rtd",,"OPEN_INT","."&amp;I$2&amp;I$1&amp;"C"&amp;$A49)*RTD("tos.rtd",,"DELTA","."&amp;I$2&amp;I$1&amp;"C"&amp;$A49)-100*RTD("tos.rtd",,"OPEN_INT","."&amp;I$2&amp;I$1&amp;"P"&amp;$A49)*RTD("tos.rtd",,"DELTA","."&amp;I$2&amp;I$1&amp;"P"&amp;$A49))/1000),0),IF($A$2="VEX",IFERROR(IF($X$1="ABS",($A$4*$A$4*RTD("tos.rtd",,"VOLUME","."&amp;I$2&amp;I$1&amp;"C"&amp;$A49)*RTD("tos.rtd",,"GAMMA","."&amp;I$2&amp;I$1&amp;"C"&amp;$A49)+$A$4*$A$4*RTD("tos.rtd",,"VOLUME","."&amp;I$2&amp;I$1&amp;"P"&amp;$A49)*RTD("tos.rtd",,"GAMMA","."&amp;I$2&amp;I$1&amp;"P"&amp;$A49))/1000000,($A$4*$A$4*RTD("tos.rtd",,"VOLUME","."&amp;I$2&amp;I$1&amp;"C"&amp;$A49)*RTD("tos.rtd",,"GAMMA","."&amp;I$2&amp;I$1&amp;"C"&amp;$A49)-$A$4*$A$4*RTD("tos.rtd",,"VOLUME","."&amp;I$2&amp;I$1&amp;"P"&amp;$A49)*RTD("tos.rtd",,"GAMMA","."&amp;I$2&amp;I$1&amp;"P"&amp;$A49))/1000000),0),IF($A$2="GEX",IFERROR(IF($X$1="ABS",($A$4*$A$4*RTD("tos.rtd",,"OPEN_INT","."&amp;I$2&amp;I$1&amp;"C"&amp;$A49)*RTD("tos.rtd",,"GAMMA","."&amp;I$2&amp;I$1&amp;"C"&amp;$A49)+$A$4*$A$4*RTD("tos.rtd",,"OPEN_INT","."&amp;I$2&amp;I$1&amp;"P"&amp;$A49)*RTD("tos.rtd",,"GAMMA","."&amp;I$2&amp;I$1&amp;"P"&amp;$A49))/1000000,($A$4*$A$4*RTD("tos.rtd",,"OPEN_INT","."&amp;I$2&amp;I$1&amp;"C"&amp;$A49)*RTD("tos.rtd",,"GAMMA","."&amp;I$2&amp;I$1&amp;"C"&amp;$A49)-$A$4*$A$4*RTD("tos.rtd",,"OPEN_INT","."&amp;I$2&amp;I$1&amp;"P"&amp;$A49)*RTD("tos.rtd",,"GAMMA","."&amp;I$2&amp;I$1&amp;"P"&amp;$A49))/1000000),0),IF($A$2="SKEW",IFERROR(VALUE(IF(RTD("tos.rtd",,"IMPL_VOL","."&amp;I$2&amp;I$1&amp;"P"&amp;$A49)="N/A",0,RTD("tos.rtd",,"IMPL_VOL","."&amp;I$2&amp;I$1&amp;"P"&amp;$A49))),0)-IFERROR(VALUE(IF(RTD("tos.rtd",,"IMPL_VOL","."&amp;I$2&amp;I$1&amp;"C"&amp;$A49)="N/A",0,RTD("tos.rtd",,"IMPL_VOL","."&amp;I$2&amp;I$1&amp;"C"&amp;$A49))),0),IF($A$2="MAXPAIN",IF($A$4&gt;$A49,($A$4-$A49)*IF(RTD("tos.rtd",,"OPEN_INT","."&amp;I$2&amp;I$1&amp;"C"&amp;$A49)="N/A",0,RTD("tos.rtd",,"OPEN_INT","."&amp;I$2&amp;I$1&amp;"C"&amp;$A49)),0)+IF($A$4&lt;$A49,($A$5-$A$4)*IF(RTD("tos.rtd",,"OPEN_INT","."&amp;I$2&amp;I$1&amp;"P"&amp;$A49)="N/A",0,RTD("tos.rtd",,"OPEN_INT","."&amp;I$2&amp;I$1&amp;"P"&amp;$A49)),0),IF($X$1="ABS",IF(RTD("tos.rtd",,$A$2,"."&amp;I$2&amp;I$1&amp;"C"&amp;$A49)="N/A",0,RTD("tos.rtd",,$A$2,"."&amp;I$2&amp;I$1&amp;"C"&amp;$A49))+IF(RTD("tos.rtd",,$A$2,"."&amp;I$2&amp;I$1&amp;"P"&amp;$A49)="N/A",0,RTD("tos.rtd",,$A$2,"."&amp;I$2&amp;I$1&amp;"P"&amp;$A49)),IF(RTD("tos.rtd",,$A$2,"."&amp;I$2&amp;I$1&amp;"C"&amp;$A49)="N/A",0,RTD("tos.rtd",,$A$2,"."&amp;I$2&amp;I$1&amp;"C"&amp;$A49))-IF(RTD("tos.rtd",,$A$2,"."&amp;I$2&amp;I$1&amp;"P"&amp;$A49)="N/A",0,RTD("tos.rtd",,$A$2,"."&amp;I$2&amp;I$1&amp;"P"&amp;$A49))))))))))</f>
        <v>0</v>
      </c>
      <c r="J49" s="12">
        <f ca="1">IF($A$2="PREMIUM_OI",IFERROR(IF($X$1="ABS",(100*RTD("tos.rtd",,"OPEN_INT","."&amp;J$2&amp;J$1&amp;"C"&amp;$A49)*RTD("tos.rtd",,"LAST","."&amp;J$2&amp;J$1&amp;"C"&amp;$A49)+100*RTD("tos.rtd",,"OPEN_INT","."&amp;J$2&amp;J$1&amp;"P"&amp;$A49)*RTD("tos.rtd",,"LAST","."&amp;J$2&amp;J$1&amp;"P"&amp;$A49))/1000000,(100*RTD("tos.rtd",,"OPEN_INT","."&amp;J$2&amp;J$1&amp;"C"&amp;$A49)*RTD("tos.rtd",,"LAST","."&amp;J$2&amp;J$1&amp;"C"&amp;$A49)-100*RTD("tos.rtd",,"OPEN_INT","."&amp;J$2&amp;J$1&amp;"P"&amp;$A49)*RTD("tos.rtd",,"LAST","."&amp;J$2&amp;J$1&amp;"P"&amp;$A49))/1000000),0),IF($A$2="PREMIUM",IFERROR(IF($X$1="ABS",(100*RTD("tos.rtd",,"VOLUME","."&amp;J$2&amp;J$1&amp;"C"&amp;$A49)*RTD("tos.rtd",,"LAST","."&amp;J$2&amp;J$1&amp;"C"&amp;$A49)+100*RTD("tos.rtd",,"VOLUME","."&amp;J$2&amp;J$1&amp;"P"&amp;$A49)*RTD("tos.rtd",,"LAST","."&amp;J$2&amp;J$1&amp;"P"&amp;$A49))/1000000,(100*RTD("tos.rtd",,"VOLUME","."&amp;J$2&amp;J$1&amp;"C"&amp;$A49)*RTD("tos.rtd",,"LAST","."&amp;J$2&amp;J$1&amp;"C"&amp;$A49)-100*RTD("tos.rtd",,"VOLUME","."&amp;J$2&amp;J$1&amp;"P"&amp;$A49)*RTD("tos.rtd",,"LAST","."&amp;J$2&amp;J$1&amp;"P"&amp;$A49))/1000000),0),IF($A$2="DEX",IFERROR(IF($X$1="ABS",(100*RTD("tos.rtd",,"OPEN_INT","."&amp;J$2&amp;J$1&amp;"C"&amp;$A49)*RTD("tos.rtd",,"DELTA","."&amp;J$2&amp;J$1&amp;"C"&amp;$A49)+100*RTD("tos.rtd",,"OPEN_INT","."&amp;J$2&amp;J$1&amp;"P"&amp;$A49)*RTD("tos.rtd",,"DELTA","."&amp;J$2&amp;J$1&amp;"P"&amp;$A49))/1000,(100*RTD("tos.rtd",,"OPEN_INT","."&amp;J$2&amp;J$1&amp;"C"&amp;$A49)*RTD("tos.rtd",,"DELTA","."&amp;J$2&amp;J$1&amp;"C"&amp;$A49)-100*RTD("tos.rtd",,"OPEN_INT","."&amp;J$2&amp;J$1&amp;"P"&amp;$A49)*RTD("tos.rtd",,"DELTA","."&amp;J$2&amp;J$1&amp;"P"&amp;$A49))/1000),0),IF($A$2="VEX",IFERROR(IF($X$1="ABS",($A$4*$A$4*RTD("tos.rtd",,"VOLUME","."&amp;J$2&amp;J$1&amp;"C"&amp;$A49)*RTD("tos.rtd",,"GAMMA","."&amp;J$2&amp;J$1&amp;"C"&amp;$A49)+$A$4*$A$4*RTD("tos.rtd",,"VOLUME","."&amp;J$2&amp;J$1&amp;"P"&amp;$A49)*RTD("tos.rtd",,"GAMMA","."&amp;J$2&amp;J$1&amp;"P"&amp;$A49))/1000000,($A$4*$A$4*RTD("tos.rtd",,"VOLUME","."&amp;J$2&amp;J$1&amp;"C"&amp;$A49)*RTD("tos.rtd",,"GAMMA","."&amp;J$2&amp;J$1&amp;"C"&amp;$A49)-$A$4*$A$4*RTD("tos.rtd",,"VOLUME","."&amp;J$2&amp;J$1&amp;"P"&amp;$A49)*RTD("tos.rtd",,"GAMMA","."&amp;J$2&amp;J$1&amp;"P"&amp;$A49))/1000000),0),IF($A$2="GEX",IFERROR(IF($X$1="ABS",($A$4*$A$4*RTD("tos.rtd",,"OPEN_INT","."&amp;J$2&amp;J$1&amp;"C"&amp;$A49)*RTD("tos.rtd",,"GAMMA","."&amp;J$2&amp;J$1&amp;"C"&amp;$A49)+$A$4*$A$4*RTD("tos.rtd",,"OPEN_INT","."&amp;J$2&amp;J$1&amp;"P"&amp;$A49)*RTD("tos.rtd",,"GAMMA","."&amp;J$2&amp;J$1&amp;"P"&amp;$A49))/1000000,($A$4*$A$4*RTD("tos.rtd",,"OPEN_INT","."&amp;J$2&amp;J$1&amp;"C"&amp;$A49)*RTD("tos.rtd",,"GAMMA","."&amp;J$2&amp;J$1&amp;"C"&amp;$A49)-$A$4*$A$4*RTD("tos.rtd",,"OPEN_INT","."&amp;J$2&amp;J$1&amp;"P"&amp;$A49)*RTD("tos.rtd",,"GAMMA","."&amp;J$2&amp;J$1&amp;"P"&amp;$A49))/1000000),0),IF($A$2="SKEW",IFERROR(VALUE(IF(RTD("tos.rtd",,"IMPL_VOL","."&amp;J$2&amp;J$1&amp;"P"&amp;$A49)="N/A",0,RTD("tos.rtd",,"IMPL_VOL","."&amp;J$2&amp;J$1&amp;"P"&amp;$A49))),0)-IFERROR(VALUE(IF(RTD("tos.rtd",,"IMPL_VOL","."&amp;J$2&amp;J$1&amp;"C"&amp;$A49)="N/A",0,RTD("tos.rtd",,"IMPL_VOL","."&amp;J$2&amp;J$1&amp;"C"&amp;$A49))),0),IF($A$2="MAXPAIN",IF($A$4&gt;$A49,($A$4-$A49)*IF(RTD("tos.rtd",,"OPEN_INT","."&amp;J$2&amp;J$1&amp;"C"&amp;$A49)="N/A",0,RTD("tos.rtd",,"OPEN_INT","."&amp;J$2&amp;J$1&amp;"C"&amp;$A49)),0)+IF($A$4&lt;$A49,($A$5-$A$4)*IF(RTD("tos.rtd",,"OPEN_INT","."&amp;J$2&amp;J$1&amp;"P"&amp;$A49)="N/A",0,RTD("tos.rtd",,"OPEN_INT","."&amp;J$2&amp;J$1&amp;"P"&amp;$A49)),0),IF($X$1="ABS",IF(RTD("tos.rtd",,$A$2,"."&amp;J$2&amp;J$1&amp;"C"&amp;$A49)="N/A",0,RTD("tos.rtd",,$A$2,"."&amp;J$2&amp;J$1&amp;"C"&amp;$A49))+IF(RTD("tos.rtd",,$A$2,"."&amp;J$2&amp;J$1&amp;"P"&amp;$A49)="N/A",0,RTD("tos.rtd",,$A$2,"."&amp;J$2&amp;J$1&amp;"P"&amp;$A49)),IF(RTD("tos.rtd",,$A$2,"."&amp;J$2&amp;J$1&amp;"C"&amp;$A49)="N/A",0,RTD("tos.rtd",,$A$2,"."&amp;J$2&amp;J$1&amp;"C"&amp;$A49))-IF(RTD("tos.rtd",,$A$2,"."&amp;J$2&amp;J$1&amp;"P"&amp;$A49)="N/A",0,RTD("tos.rtd",,$A$2,"."&amp;J$2&amp;J$1&amp;"P"&amp;$A49))))))))))</f>
        <v>0</v>
      </c>
      <c r="K49" s="12">
        <f ca="1">IF($A$2="PREMIUM_OI",IFERROR(IF($X$1="ABS",(100*RTD("tos.rtd",,"OPEN_INT","."&amp;K$2&amp;K$1&amp;"C"&amp;$A49)*RTD("tos.rtd",,"LAST","."&amp;K$2&amp;K$1&amp;"C"&amp;$A49)+100*RTD("tos.rtd",,"OPEN_INT","."&amp;K$2&amp;K$1&amp;"P"&amp;$A49)*RTD("tos.rtd",,"LAST","."&amp;K$2&amp;K$1&amp;"P"&amp;$A49))/1000000,(100*RTD("tos.rtd",,"OPEN_INT","."&amp;K$2&amp;K$1&amp;"C"&amp;$A49)*RTD("tos.rtd",,"LAST","."&amp;K$2&amp;K$1&amp;"C"&amp;$A49)-100*RTD("tos.rtd",,"OPEN_INT","."&amp;K$2&amp;K$1&amp;"P"&amp;$A49)*RTD("tos.rtd",,"LAST","."&amp;K$2&amp;K$1&amp;"P"&amp;$A49))/1000000),0),IF($A$2="PREMIUM",IFERROR(IF($X$1="ABS",(100*RTD("tos.rtd",,"VOLUME","."&amp;K$2&amp;K$1&amp;"C"&amp;$A49)*RTD("tos.rtd",,"LAST","."&amp;K$2&amp;K$1&amp;"C"&amp;$A49)+100*RTD("tos.rtd",,"VOLUME","."&amp;K$2&amp;K$1&amp;"P"&amp;$A49)*RTD("tos.rtd",,"LAST","."&amp;K$2&amp;K$1&amp;"P"&amp;$A49))/1000000,(100*RTD("tos.rtd",,"VOLUME","."&amp;K$2&amp;K$1&amp;"C"&amp;$A49)*RTD("tos.rtd",,"LAST","."&amp;K$2&amp;K$1&amp;"C"&amp;$A49)-100*RTD("tos.rtd",,"VOLUME","."&amp;K$2&amp;K$1&amp;"P"&amp;$A49)*RTD("tos.rtd",,"LAST","."&amp;K$2&amp;K$1&amp;"P"&amp;$A49))/1000000),0),IF($A$2="DEX",IFERROR(IF($X$1="ABS",(100*RTD("tos.rtd",,"OPEN_INT","."&amp;K$2&amp;K$1&amp;"C"&amp;$A49)*RTD("tos.rtd",,"DELTA","."&amp;K$2&amp;K$1&amp;"C"&amp;$A49)+100*RTD("tos.rtd",,"OPEN_INT","."&amp;K$2&amp;K$1&amp;"P"&amp;$A49)*RTD("tos.rtd",,"DELTA","."&amp;K$2&amp;K$1&amp;"P"&amp;$A49))/1000,(100*RTD("tos.rtd",,"OPEN_INT","."&amp;K$2&amp;K$1&amp;"C"&amp;$A49)*RTD("tos.rtd",,"DELTA","."&amp;K$2&amp;K$1&amp;"C"&amp;$A49)-100*RTD("tos.rtd",,"OPEN_INT","."&amp;K$2&amp;K$1&amp;"P"&amp;$A49)*RTD("tos.rtd",,"DELTA","."&amp;K$2&amp;K$1&amp;"P"&amp;$A49))/1000),0),IF($A$2="VEX",IFERROR(IF($X$1="ABS",($A$4*$A$4*RTD("tos.rtd",,"VOLUME","."&amp;K$2&amp;K$1&amp;"C"&amp;$A49)*RTD("tos.rtd",,"GAMMA","."&amp;K$2&amp;K$1&amp;"C"&amp;$A49)+$A$4*$A$4*RTD("tos.rtd",,"VOLUME","."&amp;K$2&amp;K$1&amp;"P"&amp;$A49)*RTD("tos.rtd",,"GAMMA","."&amp;K$2&amp;K$1&amp;"P"&amp;$A49))/1000000,($A$4*$A$4*RTD("tos.rtd",,"VOLUME","."&amp;K$2&amp;K$1&amp;"C"&amp;$A49)*RTD("tos.rtd",,"GAMMA","."&amp;K$2&amp;K$1&amp;"C"&amp;$A49)-$A$4*$A$4*RTD("tos.rtd",,"VOLUME","."&amp;K$2&amp;K$1&amp;"P"&amp;$A49)*RTD("tos.rtd",,"GAMMA","."&amp;K$2&amp;K$1&amp;"P"&amp;$A49))/1000000),0),IF($A$2="GEX",IFERROR(IF($X$1="ABS",($A$4*$A$4*RTD("tos.rtd",,"OPEN_INT","."&amp;K$2&amp;K$1&amp;"C"&amp;$A49)*RTD("tos.rtd",,"GAMMA","."&amp;K$2&amp;K$1&amp;"C"&amp;$A49)+$A$4*$A$4*RTD("tos.rtd",,"OPEN_INT","."&amp;K$2&amp;K$1&amp;"P"&amp;$A49)*RTD("tos.rtd",,"GAMMA","."&amp;K$2&amp;K$1&amp;"P"&amp;$A49))/1000000,($A$4*$A$4*RTD("tos.rtd",,"OPEN_INT","."&amp;K$2&amp;K$1&amp;"C"&amp;$A49)*RTD("tos.rtd",,"GAMMA","."&amp;K$2&amp;K$1&amp;"C"&amp;$A49)-$A$4*$A$4*RTD("tos.rtd",,"OPEN_INT","."&amp;K$2&amp;K$1&amp;"P"&amp;$A49)*RTD("tos.rtd",,"GAMMA","."&amp;K$2&amp;K$1&amp;"P"&amp;$A49))/1000000),0),IF($A$2="SKEW",IFERROR(VALUE(IF(RTD("tos.rtd",,"IMPL_VOL","."&amp;K$2&amp;K$1&amp;"P"&amp;$A49)="N/A",0,RTD("tos.rtd",,"IMPL_VOL","."&amp;K$2&amp;K$1&amp;"P"&amp;$A49))),0)-IFERROR(VALUE(IF(RTD("tos.rtd",,"IMPL_VOL","."&amp;K$2&amp;K$1&amp;"C"&amp;$A49)="N/A",0,RTD("tos.rtd",,"IMPL_VOL","."&amp;K$2&amp;K$1&amp;"C"&amp;$A49))),0),IF($A$2="MAXPAIN",IF($A$4&gt;$A49,($A$4-$A49)*IF(RTD("tos.rtd",,"OPEN_INT","."&amp;K$2&amp;K$1&amp;"C"&amp;$A49)="N/A",0,RTD("tos.rtd",,"OPEN_INT","."&amp;K$2&amp;K$1&amp;"C"&amp;$A49)),0)+IF($A$4&lt;$A49,($A$5-$A$4)*IF(RTD("tos.rtd",,"OPEN_INT","."&amp;K$2&amp;K$1&amp;"P"&amp;$A49)="N/A",0,RTD("tos.rtd",,"OPEN_INT","."&amp;K$2&amp;K$1&amp;"P"&amp;$A49)),0),IF($X$1="ABS",IF(RTD("tos.rtd",,$A$2,"."&amp;K$2&amp;K$1&amp;"C"&amp;$A49)="N/A",0,RTD("tos.rtd",,$A$2,"."&amp;K$2&amp;K$1&amp;"C"&amp;$A49))+IF(RTD("tos.rtd",,$A$2,"."&amp;K$2&amp;K$1&amp;"P"&amp;$A49)="N/A",0,RTD("tos.rtd",,$A$2,"."&amp;K$2&amp;K$1&amp;"P"&amp;$A49)),IF(RTD("tos.rtd",,$A$2,"."&amp;K$2&amp;K$1&amp;"C"&amp;$A49)="N/A",0,RTD("tos.rtd",,$A$2,"."&amp;K$2&amp;K$1&amp;"C"&amp;$A49))-IF(RTD("tos.rtd",,$A$2,"."&amp;K$2&amp;K$1&amp;"P"&amp;$A49)="N/A",0,RTD("tos.rtd",,$A$2,"."&amp;K$2&amp;K$1&amp;"P"&amp;$A49))))))))))</f>
        <v>0</v>
      </c>
      <c r="L49" s="54">
        <f ca="1">IF($A$2="PREMIUM_OI",IFERROR(IF($X$1="ABS",(100*RTD("tos.rtd",,"OPEN_INT","."&amp;L$2&amp;L$1&amp;"C"&amp;$A49)*RTD("tos.rtd",,"LAST","."&amp;L$2&amp;L$1&amp;"C"&amp;$A49)+100*RTD("tos.rtd",,"OPEN_INT","."&amp;L$2&amp;L$1&amp;"P"&amp;$A49)*RTD("tos.rtd",,"LAST","."&amp;L$2&amp;L$1&amp;"P"&amp;$A49))/1000000,(100*RTD("tos.rtd",,"OPEN_INT","."&amp;L$2&amp;L$1&amp;"C"&amp;$A49)*RTD("tos.rtd",,"LAST","."&amp;L$2&amp;L$1&amp;"C"&amp;$A49)-100*RTD("tos.rtd",,"OPEN_INT","."&amp;L$2&amp;L$1&amp;"P"&amp;$A49)*RTD("tos.rtd",,"LAST","."&amp;L$2&amp;L$1&amp;"P"&amp;$A49))/1000000),0),IF($A$2="PREMIUM",IFERROR(IF($X$1="ABS",(100*RTD("tos.rtd",,"VOLUME","."&amp;L$2&amp;L$1&amp;"C"&amp;$A49)*RTD("tos.rtd",,"LAST","."&amp;L$2&amp;L$1&amp;"C"&amp;$A49)+100*RTD("tos.rtd",,"VOLUME","."&amp;L$2&amp;L$1&amp;"P"&amp;$A49)*RTD("tos.rtd",,"LAST","."&amp;L$2&amp;L$1&amp;"P"&amp;$A49))/1000000,(100*RTD("tos.rtd",,"VOLUME","."&amp;L$2&amp;L$1&amp;"C"&amp;$A49)*RTD("tos.rtd",,"LAST","."&amp;L$2&amp;L$1&amp;"C"&amp;$A49)-100*RTD("tos.rtd",,"VOLUME","."&amp;L$2&amp;L$1&amp;"P"&amp;$A49)*RTD("tos.rtd",,"LAST","."&amp;L$2&amp;L$1&amp;"P"&amp;$A49))/1000000),0),IF($A$2="DEX",IFERROR(IF($X$1="ABS",(100*RTD("tos.rtd",,"OPEN_INT","."&amp;L$2&amp;L$1&amp;"C"&amp;$A49)*RTD("tos.rtd",,"DELTA","."&amp;L$2&amp;L$1&amp;"C"&amp;$A49)+100*RTD("tos.rtd",,"OPEN_INT","."&amp;L$2&amp;L$1&amp;"P"&amp;$A49)*RTD("tos.rtd",,"DELTA","."&amp;L$2&amp;L$1&amp;"P"&amp;$A49))/1000,(100*RTD("tos.rtd",,"OPEN_INT","."&amp;L$2&amp;L$1&amp;"C"&amp;$A49)*RTD("tos.rtd",,"DELTA","."&amp;L$2&amp;L$1&amp;"C"&amp;$A49)-100*RTD("tos.rtd",,"OPEN_INT","."&amp;L$2&amp;L$1&amp;"P"&amp;$A49)*RTD("tos.rtd",,"DELTA","."&amp;L$2&amp;L$1&amp;"P"&amp;$A49))/1000),0),IF($A$2="VEX",IFERROR(IF($X$1="ABS",($A$4*$A$4*RTD("tos.rtd",,"VOLUME","."&amp;L$2&amp;L$1&amp;"C"&amp;$A49)*RTD("tos.rtd",,"GAMMA","."&amp;L$2&amp;L$1&amp;"C"&amp;$A49)+$A$4*$A$4*RTD("tos.rtd",,"VOLUME","."&amp;L$2&amp;L$1&amp;"P"&amp;$A49)*RTD("tos.rtd",,"GAMMA","."&amp;L$2&amp;L$1&amp;"P"&amp;$A49))/1000000,($A$4*$A$4*RTD("tos.rtd",,"VOLUME","."&amp;L$2&amp;L$1&amp;"C"&amp;$A49)*RTD("tos.rtd",,"GAMMA","."&amp;L$2&amp;L$1&amp;"C"&amp;$A49)-$A$4*$A$4*RTD("tos.rtd",,"VOLUME","."&amp;L$2&amp;L$1&amp;"P"&amp;$A49)*RTD("tos.rtd",,"GAMMA","."&amp;L$2&amp;L$1&amp;"P"&amp;$A49))/1000000),0),IF($A$2="GEX",IFERROR(IF($X$1="ABS",($A$4*$A$4*RTD("tos.rtd",,"OPEN_INT","."&amp;L$2&amp;L$1&amp;"C"&amp;$A49)*RTD("tos.rtd",,"GAMMA","."&amp;L$2&amp;L$1&amp;"C"&amp;$A49)+$A$4*$A$4*RTD("tos.rtd",,"OPEN_INT","."&amp;L$2&amp;L$1&amp;"P"&amp;$A49)*RTD("tos.rtd",,"GAMMA","."&amp;L$2&amp;L$1&amp;"P"&amp;$A49))/1000000,($A$4*$A$4*RTD("tos.rtd",,"OPEN_INT","."&amp;L$2&amp;L$1&amp;"C"&amp;$A49)*RTD("tos.rtd",,"GAMMA","."&amp;L$2&amp;L$1&amp;"C"&amp;$A49)-$A$4*$A$4*RTD("tos.rtd",,"OPEN_INT","."&amp;L$2&amp;L$1&amp;"P"&amp;$A49)*RTD("tos.rtd",,"GAMMA","."&amp;L$2&amp;L$1&amp;"P"&amp;$A49))/1000000),0),IF($A$2="SKEW",IFERROR(VALUE(IF(RTD("tos.rtd",,"IMPL_VOL","."&amp;L$2&amp;L$1&amp;"P"&amp;$A49)="N/A",0,RTD("tos.rtd",,"IMPL_VOL","."&amp;L$2&amp;L$1&amp;"P"&amp;$A49))),0)-IFERROR(VALUE(IF(RTD("tos.rtd",,"IMPL_VOL","."&amp;L$2&amp;L$1&amp;"C"&amp;$A49)="N/A",0,RTD("tos.rtd",,"IMPL_VOL","."&amp;L$2&amp;L$1&amp;"C"&amp;$A49))),0),IF($A$2="MAXPAIN",IF($A$4&gt;$A49,($A$4-$A49)*IF(RTD("tos.rtd",,"OPEN_INT","."&amp;L$2&amp;L$1&amp;"C"&amp;$A49)="N/A",0,RTD("tos.rtd",,"OPEN_INT","."&amp;L$2&amp;L$1&amp;"C"&amp;$A49)),0)+IF($A$4&lt;$A49,($A$5-$A$4)*IF(RTD("tos.rtd",,"OPEN_INT","."&amp;L$2&amp;L$1&amp;"P"&amp;$A49)="N/A",0,RTD("tos.rtd",,"OPEN_INT","."&amp;L$2&amp;L$1&amp;"P"&amp;$A49)),0),IF($X$1="ABS",IF(RTD("tos.rtd",,$A$2,"."&amp;L$2&amp;L$1&amp;"C"&amp;$A49)="N/A",0,RTD("tos.rtd",,$A$2,"."&amp;L$2&amp;L$1&amp;"C"&amp;$A49))+IF(RTD("tos.rtd",,$A$2,"."&amp;L$2&amp;L$1&amp;"P"&amp;$A49)="N/A",0,RTD("tos.rtd",,$A$2,"."&amp;L$2&amp;L$1&amp;"P"&amp;$A49)),IF(RTD("tos.rtd",,$A$2,"."&amp;L$2&amp;L$1&amp;"C"&amp;$A49)="N/A",0,RTD("tos.rtd",,$A$2,"."&amp;L$2&amp;L$1&amp;"C"&amp;$A49))-IF(RTD("tos.rtd",,$A$2,"."&amp;L$2&amp;L$1&amp;"P"&amp;$A49)="N/A",0,RTD("tos.rtd",,$A$2,"."&amp;L$2&amp;L$1&amp;"P"&amp;$A49))))))))))</f>
        <v>0</v>
      </c>
      <c r="M49" s="12">
        <f ca="1">IF($A$2="PREMIUM_OI",IFERROR(IF($X$1="ABS",(100*RTD("tos.rtd",,"OPEN_INT","."&amp;M$2&amp;M$1&amp;"C"&amp;$A49)*RTD("tos.rtd",,"LAST","."&amp;M$2&amp;M$1&amp;"C"&amp;$A49)+100*RTD("tos.rtd",,"OPEN_INT","."&amp;M$2&amp;M$1&amp;"P"&amp;$A49)*RTD("tos.rtd",,"LAST","."&amp;M$2&amp;M$1&amp;"P"&amp;$A49))/1000000,(100*RTD("tos.rtd",,"OPEN_INT","."&amp;M$2&amp;M$1&amp;"C"&amp;$A49)*RTD("tos.rtd",,"LAST","."&amp;M$2&amp;M$1&amp;"C"&amp;$A49)-100*RTD("tos.rtd",,"OPEN_INT","."&amp;M$2&amp;M$1&amp;"P"&amp;$A49)*RTD("tos.rtd",,"LAST","."&amp;M$2&amp;M$1&amp;"P"&amp;$A49))/1000000),0),IF($A$2="PREMIUM",IFERROR(IF($X$1="ABS",(100*RTD("tos.rtd",,"VOLUME","."&amp;M$2&amp;M$1&amp;"C"&amp;$A49)*RTD("tos.rtd",,"LAST","."&amp;M$2&amp;M$1&amp;"C"&amp;$A49)+100*RTD("tos.rtd",,"VOLUME","."&amp;M$2&amp;M$1&amp;"P"&amp;$A49)*RTD("tos.rtd",,"LAST","."&amp;M$2&amp;M$1&amp;"P"&amp;$A49))/1000000,(100*RTD("tos.rtd",,"VOLUME","."&amp;M$2&amp;M$1&amp;"C"&amp;$A49)*RTD("tos.rtd",,"LAST","."&amp;M$2&amp;M$1&amp;"C"&amp;$A49)-100*RTD("tos.rtd",,"VOLUME","."&amp;M$2&amp;M$1&amp;"P"&amp;$A49)*RTD("tos.rtd",,"LAST","."&amp;M$2&amp;M$1&amp;"P"&amp;$A49))/1000000),0),IF($A$2="DEX",IFERROR(IF($X$1="ABS",(100*RTD("tos.rtd",,"OPEN_INT","."&amp;M$2&amp;M$1&amp;"C"&amp;$A49)*RTD("tos.rtd",,"DELTA","."&amp;M$2&amp;M$1&amp;"C"&amp;$A49)+100*RTD("tos.rtd",,"OPEN_INT","."&amp;M$2&amp;M$1&amp;"P"&amp;$A49)*RTD("tos.rtd",,"DELTA","."&amp;M$2&amp;M$1&amp;"P"&amp;$A49))/1000,(100*RTD("tos.rtd",,"OPEN_INT","."&amp;M$2&amp;M$1&amp;"C"&amp;$A49)*RTD("tos.rtd",,"DELTA","."&amp;M$2&amp;M$1&amp;"C"&amp;$A49)-100*RTD("tos.rtd",,"OPEN_INT","."&amp;M$2&amp;M$1&amp;"P"&amp;$A49)*RTD("tos.rtd",,"DELTA","."&amp;M$2&amp;M$1&amp;"P"&amp;$A49))/1000),0),IF($A$2="VEX",IFERROR(IF($X$1="ABS",($A$4*$A$4*RTD("tos.rtd",,"VOLUME","."&amp;M$2&amp;M$1&amp;"C"&amp;$A49)*RTD("tos.rtd",,"GAMMA","."&amp;M$2&amp;M$1&amp;"C"&amp;$A49)+$A$4*$A$4*RTD("tos.rtd",,"VOLUME","."&amp;M$2&amp;M$1&amp;"P"&amp;$A49)*RTD("tos.rtd",,"GAMMA","."&amp;M$2&amp;M$1&amp;"P"&amp;$A49))/1000000,($A$4*$A$4*RTD("tos.rtd",,"VOLUME","."&amp;M$2&amp;M$1&amp;"C"&amp;$A49)*RTD("tos.rtd",,"GAMMA","."&amp;M$2&amp;M$1&amp;"C"&amp;$A49)-$A$4*$A$4*RTD("tos.rtd",,"VOLUME","."&amp;M$2&amp;M$1&amp;"P"&amp;$A49)*RTD("tos.rtd",,"GAMMA","."&amp;M$2&amp;M$1&amp;"P"&amp;$A49))/1000000),0),IF($A$2="GEX",IFERROR(IF($X$1="ABS",($A$4*$A$4*RTD("tos.rtd",,"OPEN_INT","."&amp;M$2&amp;M$1&amp;"C"&amp;$A49)*RTD("tos.rtd",,"GAMMA","."&amp;M$2&amp;M$1&amp;"C"&amp;$A49)+$A$4*$A$4*RTD("tos.rtd",,"OPEN_INT","."&amp;M$2&amp;M$1&amp;"P"&amp;$A49)*RTD("tos.rtd",,"GAMMA","."&amp;M$2&amp;M$1&amp;"P"&amp;$A49))/1000000,($A$4*$A$4*RTD("tos.rtd",,"OPEN_INT","."&amp;M$2&amp;M$1&amp;"C"&amp;$A49)*RTD("tos.rtd",,"GAMMA","."&amp;M$2&amp;M$1&amp;"C"&amp;$A49)-$A$4*$A$4*RTD("tos.rtd",,"OPEN_INT","."&amp;M$2&amp;M$1&amp;"P"&amp;$A49)*RTD("tos.rtd",,"GAMMA","."&amp;M$2&amp;M$1&amp;"P"&amp;$A49))/1000000),0),IF($A$2="SKEW",IFERROR(VALUE(IF(RTD("tos.rtd",,"IMPL_VOL","."&amp;M$2&amp;M$1&amp;"P"&amp;$A49)="N/A",0,RTD("tos.rtd",,"IMPL_VOL","."&amp;M$2&amp;M$1&amp;"P"&amp;$A49))),0)-IFERROR(VALUE(IF(RTD("tos.rtd",,"IMPL_VOL","."&amp;M$2&amp;M$1&amp;"C"&amp;$A49)="N/A",0,RTD("tos.rtd",,"IMPL_VOL","."&amp;M$2&amp;M$1&amp;"C"&amp;$A49))),0),IF($A$2="MAXPAIN",IF($A$4&gt;$A49,($A$4-$A49)*IF(RTD("tos.rtd",,"OPEN_INT","."&amp;M$2&amp;M$1&amp;"C"&amp;$A49)="N/A",0,RTD("tos.rtd",,"OPEN_INT","."&amp;M$2&amp;M$1&amp;"C"&amp;$A49)),0)+IF($A$4&lt;$A49,($A$5-$A$4)*IF(RTD("tos.rtd",,"OPEN_INT","."&amp;M$2&amp;M$1&amp;"P"&amp;$A49)="N/A",0,RTD("tos.rtd",,"OPEN_INT","."&amp;M$2&amp;M$1&amp;"P"&amp;$A49)),0),IF($X$1="ABS",IF(RTD("tos.rtd",,$A$2,"."&amp;M$2&amp;M$1&amp;"C"&amp;$A49)="N/A",0,RTD("tos.rtd",,$A$2,"."&amp;M$2&amp;M$1&amp;"C"&amp;$A49))+IF(RTD("tos.rtd",,$A$2,"."&amp;M$2&amp;M$1&amp;"P"&amp;$A49)="N/A",0,RTD("tos.rtd",,$A$2,"."&amp;M$2&amp;M$1&amp;"P"&amp;$A49)),IF(RTD("tos.rtd",,$A$2,"."&amp;M$2&amp;M$1&amp;"C"&amp;$A49)="N/A",0,RTD("tos.rtd",,$A$2,"."&amp;M$2&amp;M$1&amp;"C"&amp;$A49))-IF(RTD("tos.rtd",,$A$2,"."&amp;M$2&amp;M$1&amp;"P"&amp;$A49)="N/A",0,RTD("tos.rtd",,$A$2,"."&amp;M$2&amp;M$1&amp;"P"&amp;$A49))))))))))</f>
        <v>0</v>
      </c>
      <c r="N49" s="12">
        <f ca="1">IF($A$2="PREMIUM_OI",IFERROR(IF($X$1="ABS",(100*RTD("tos.rtd",,"OPEN_INT","."&amp;N$2&amp;N$1&amp;"C"&amp;$A49)*RTD("tos.rtd",,"LAST","."&amp;N$2&amp;N$1&amp;"C"&amp;$A49)+100*RTD("tos.rtd",,"OPEN_INT","."&amp;N$2&amp;N$1&amp;"P"&amp;$A49)*RTD("tos.rtd",,"LAST","."&amp;N$2&amp;N$1&amp;"P"&amp;$A49))/1000000,(100*RTD("tos.rtd",,"OPEN_INT","."&amp;N$2&amp;N$1&amp;"C"&amp;$A49)*RTD("tos.rtd",,"LAST","."&amp;N$2&amp;N$1&amp;"C"&amp;$A49)-100*RTD("tos.rtd",,"OPEN_INT","."&amp;N$2&amp;N$1&amp;"P"&amp;$A49)*RTD("tos.rtd",,"LAST","."&amp;N$2&amp;N$1&amp;"P"&amp;$A49))/1000000),0),IF($A$2="PREMIUM",IFERROR(IF($X$1="ABS",(100*RTD("tos.rtd",,"VOLUME","."&amp;N$2&amp;N$1&amp;"C"&amp;$A49)*RTD("tos.rtd",,"LAST","."&amp;N$2&amp;N$1&amp;"C"&amp;$A49)+100*RTD("tos.rtd",,"VOLUME","."&amp;N$2&amp;N$1&amp;"P"&amp;$A49)*RTD("tos.rtd",,"LAST","."&amp;N$2&amp;N$1&amp;"P"&amp;$A49))/1000000,(100*RTD("tos.rtd",,"VOLUME","."&amp;N$2&amp;N$1&amp;"C"&amp;$A49)*RTD("tos.rtd",,"LAST","."&amp;N$2&amp;N$1&amp;"C"&amp;$A49)-100*RTD("tos.rtd",,"VOLUME","."&amp;N$2&amp;N$1&amp;"P"&amp;$A49)*RTD("tos.rtd",,"LAST","."&amp;N$2&amp;N$1&amp;"P"&amp;$A49))/1000000),0),IF($A$2="DEX",IFERROR(IF($X$1="ABS",(100*RTD("tos.rtd",,"OPEN_INT","."&amp;N$2&amp;N$1&amp;"C"&amp;$A49)*RTD("tos.rtd",,"DELTA","."&amp;N$2&amp;N$1&amp;"C"&amp;$A49)+100*RTD("tos.rtd",,"OPEN_INT","."&amp;N$2&amp;N$1&amp;"P"&amp;$A49)*RTD("tos.rtd",,"DELTA","."&amp;N$2&amp;N$1&amp;"P"&amp;$A49))/1000,(100*RTD("tos.rtd",,"OPEN_INT","."&amp;N$2&amp;N$1&amp;"C"&amp;$A49)*RTD("tos.rtd",,"DELTA","."&amp;N$2&amp;N$1&amp;"C"&amp;$A49)-100*RTD("tos.rtd",,"OPEN_INT","."&amp;N$2&amp;N$1&amp;"P"&amp;$A49)*RTD("tos.rtd",,"DELTA","."&amp;N$2&amp;N$1&amp;"P"&amp;$A49))/1000),0),IF($A$2="VEX",IFERROR(IF($X$1="ABS",($A$4*$A$4*RTD("tos.rtd",,"VOLUME","."&amp;N$2&amp;N$1&amp;"C"&amp;$A49)*RTD("tos.rtd",,"GAMMA","."&amp;N$2&amp;N$1&amp;"C"&amp;$A49)+$A$4*$A$4*RTD("tos.rtd",,"VOLUME","."&amp;N$2&amp;N$1&amp;"P"&amp;$A49)*RTD("tos.rtd",,"GAMMA","."&amp;N$2&amp;N$1&amp;"P"&amp;$A49))/1000000,($A$4*$A$4*RTD("tos.rtd",,"VOLUME","."&amp;N$2&amp;N$1&amp;"C"&amp;$A49)*RTD("tos.rtd",,"GAMMA","."&amp;N$2&amp;N$1&amp;"C"&amp;$A49)-$A$4*$A$4*RTD("tos.rtd",,"VOLUME","."&amp;N$2&amp;N$1&amp;"P"&amp;$A49)*RTD("tos.rtd",,"GAMMA","."&amp;N$2&amp;N$1&amp;"P"&amp;$A49))/1000000),0),IF($A$2="GEX",IFERROR(IF($X$1="ABS",($A$4*$A$4*RTD("tos.rtd",,"OPEN_INT","."&amp;N$2&amp;N$1&amp;"C"&amp;$A49)*RTD("tos.rtd",,"GAMMA","."&amp;N$2&amp;N$1&amp;"C"&amp;$A49)+$A$4*$A$4*RTD("tos.rtd",,"OPEN_INT","."&amp;N$2&amp;N$1&amp;"P"&amp;$A49)*RTD("tos.rtd",,"GAMMA","."&amp;N$2&amp;N$1&amp;"P"&amp;$A49))/1000000,($A$4*$A$4*RTD("tos.rtd",,"OPEN_INT","."&amp;N$2&amp;N$1&amp;"C"&amp;$A49)*RTD("tos.rtd",,"GAMMA","."&amp;N$2&amp;N$1&amp;"C"&amp;$A49)-$A$4*$A$4*RTD("tos.rtd",,"OPEN_INT","."&amp;N$2&amp;N$1&amp;"P"&amp;$A49)*RTD("tos.rtd",,"GAMMA","."&amp;N$2&amp;N$1&amp;"P"&amp;$A49))/1000000),0),IF($A$2="SKEW",IFERROR(VALUE(IF(RTD("tos.rtd",,"IMPL_VOL","."&amp;N$2&amp;N$1&amp;"P"&amp;$A49)="N/A",0,RTD("tos.rtd",,"IMPL_VOL","."&amp;N$2&amp;N$1&amp;"P"&amp;$A49))),0)-IFERROR(VALUE(IF(RTD("tos.rtd",,"IMPL_VOL","."&amp;N$2&amp;N$1&amp;"C"&amp;$A49)="N/A",0,RTD("tos.rtd",,"IMPL_VOL","."&amp;N$2&amp;N$1&amp;"C"&amp;$A49))),0),IF($A$2="MAXPAIN",IF($A$4&gt;$A49,($A$4-$A49)*IF(RTD("tos.rtd",,"OPEN_INT","."&amp;N$2&amp;N$1&amp;"C"&amp;$A49)="N/A",0,RTD("tos.rtd",,"OPEN_INT","."&amp;N$2&amp;N$1&amp;"C"&amp;$A49)),0)+IF($A$4&lt;$A49,($A$5-$A$4)*IF(RTD("tos.rtd",,"OPEN_INT","."&amp;N$2&amp;N$1&amp;"P"&amp;$A49)="N/A",0,RTD("tos.rtd",,"OPEN_INT","."&amp;N$2&amp;N$1&amp;"P"&amp;$A49)),0),IF($X$1="ABS",IF(RTD("tos.rtd",,$A$2,"."&amp;N$2&amp;N$1&amp;"C"&amp;$A49)="N/A",0,RTD("tos.rtd",,$A$2,"."&amp;N$2&amp;N$1&amp;"C"&amp;$A49))+IF(RTD("tos.rtd",,$A$2,"."&amp;N$2&amp;N$1&amp;"P"&amp;$A49)="N/A",0,RTD("tos.rtd",,$A$2,"."&amp;N$2&amp;N$1&amp;"P"&amp;$A49)),IF(RTD("tos.rtd",,$A$2,"."&amp;N$2&amp;N$1&amp;"C"&amp;$A49)="N/A",0,RTD("tos.rtd",,$A$2,"."&amp;N$2&amp;N$1&amp;"C"&amp;$A49))-IF(RTD("tos.rtd",,$A$2,"."&amp;N$2&amp;N$1&amp;"P"&amp;$A49)="N/A",0,RTD("tos.rtd",,$A$2,"."&amp;N$2&amp;N$1&amp;"P"&amp;$A49))))))))))</f>
        <v>0</v>
      </c>
      <c r="O49" s="12">
        <f ca="1">IF($A$2="PREMIUM_OI",IFERROR(IF($X$1="ABS",(100*RTD("tos.rtd",,"OPEN_INT","."&amp;O$2&amp;O$1&amp;"C"&amp;$A49)*RTD("tos.rtd",,"LAST","."&amp;O$2&amp;O$1&amp;"C"&amp;$A49)+100*RTD("tos.rtd",,"OPEN_INT","."&amp;O$2&amp;O$1&amp;"P"&amp;$A49)*RTD("tos.rtd",,"LAST","."&amp;O$2&amp;O$1&amp;"P"&amp;$A49))/1000000,(100*RTD("tos.rtd",,"OPEN_INT","."&amp;O$2&amp;O$1&amp;"C"&amp;$A49)*RTD("tos.rtd",,"LAST","."&amp;O$2&amp;O$1&amp;"C"&amp;$A49)-100*RTD("tos.rtd",,"OPEN_INT","."&amp;O$2&amp;O$1&amp;"P"&amp;$A49)*RTD("tos.rtd",,"LAST","."&amp;O$2&amp;O$1&amp;"P"&amp;$A49))/1000000),0),IF($A$2="PREMIUM",IFERROR(IF($X$1="ABS",(100*RTD("tos.rtd",,"VOLUME","."&amp;O$2&amp;O$1&amp;"C"&amp;$A49)*RTD("tos.rtd",,"LAST","."&amp;O$2&amp;O$1&amp;"C"&amp;$A49)+100*RTD("tos.rtd",,"VOLUME","."&amp;O$2&amp;O$1&amp;"P"&amp;$A49)*RTD("tos.rtd",,"LAST","."&amp;O$2&amp;O$1&amp;"P"&amp;$A49))/1000000,(100*RTD("tos.rtd",,"VOLUME","."&amp;O$2&amp;O$1&amp;"C"&amp;$A49)*RTD("tos.rtd",,"LAST","."&amp;O$2&amp;O$1&amp;"C"&amp;$A49)-100*RTD("tos.rtd",,"VOLUME","."&amp;O$2&amp;O$1&amp;"P"&amp;$A49)*RTD("tos.rtd",,"LAST","."&amp;O$2&amp;O$1&amp;"P"&amp;$A49))/1000000),0),IF($A$2="DEX",IFERROR(IF($X$1="ABS",(100*RTD("tos.rtd",,"OPEN_INT","."&amp;O$2&amp;O$1&amp;"C"&amp;$A49)*RTD("tos.rtd",,"DELTA","."&amp;O$2&amp;O$1&amp;"C"&amp;$A49)+100*RTD("tos.rtd",,"OPEN_INT","."&amp;O$2&amp;O$1&amp;"P"&amp;$A49)*RTD("tos.rtd",,"DELTA","."&amp;O$2&amp;O$1&amp;"P"&amp;$A49))/1000,(100*RTD("tos.rtd",,"OPEN_INT","."&amp;O$2&amp;O$1&amp;"C"&amp;$A49)*RTD("tos.rtd",,"DELTA","."&amp;O$2&amp;O$1&amp;"C"&amp;$A49)-100*RTD("tos.rtd",,"OPEN_INT","."&amp;O$2&amp;O$1&amp;"P"&amp;$A49)*RTD("tos.rtd",,"DELTA","."&amp;O$2&amp;O$1&amp;"P"&amp;$A49))/1000),0),IF($A$2="VEX",IFERROR(IF($X$1="ABS",($A$4*$A$4*RTD("tos.rtd",,"VOLUME","."&amp;O$2&amp;O$1&amp;"C"&amp;$A49)*RTD("tos.rtd",,"GAMMA","."&amp;O$2&amp;O$1&amp;"C"&amp;$A49)+$A$4*$A$4*RTD("tos.rtd",,"VOLUME","."&amp;O$2&amp;O$1&amp;"P"&amp;$A49)*RTD("tos.rtd",,"GAMMA","."&amp;O$2&amp;O$1&amp;"P"&amp;$A49))/1000000,($A$4*$A$4*RTD("tos.rtd",,"VOLUME","."&amp;O$2&amp;O$1&amp;"C"&amp;$A49)*RTD("tos.rtd",,"GAMMA","."&amp;O$2&amp;O$1&amp;"C"&amp;$A49)-$A$4*$A$4*RTD("tos.rtd",,"VOLUME","."&amp;O$2&amp;O$1&amp;"P"&amp;$A49)*RTD("tos.rtd",,"GAMMA","."&amp;O$2&amp;O$1&amp;"P"&amp;$A49))/1000000),0),IF($A$2="GEX",IFERROR(IF($X$1="ABS",($A$4*$A$4*RTD("tos.rtd",,"OPEN_INT","."&amp;O$2&amp;O$1&amp;"C"&amp;$A49)*RTD("tos.rtd",,"GAMMA","."&amp;O$2&amp;O$1&amp;"C"&amp;$A49)+$A$4*$A$4*RTD("tos.rtd",,"OPEN_INT","."&amp;O$2&amp;O$1&amp;"P"&amp;$A49)*RTD("tos.rtd",,"GAMMA","."&amp;O$2&amp;O$1&amp;"P"&amp;$A49))/1000000,($A$4*$A$4*RTD("tos.rtd",,"OPEN_INT","."&amp;O$2&amp;O$1&amp;"C"&amp;$A49)*RTD("tos.rtd",,"GAMMA","."&amp;O$2&amp;O$1&amp;"C"&amp;$A49)-$A$4*$A$4*RTD("tos.rtd",,"OPEN_INT","."&amp;O$2&amp;O$1&amp;"P"&amp;$A49)*RTD("tos.rtd",,"GAMMA","."&amp;O$2&amp;O$1&amp;"P"&amp;$A49))/1000000),0),IF($A$2="SKEW",IFERROR(VALUE(IF(RTD("tos.rtd",,"IMPL_VOL","."&amp;O$2&amp;O$1&amp;"P"&amp;$A49)="N/A",0,RTD("tos.rtd",,"IMPL_VOL","."&amp;O$2&amp;O$1&amp;"P"&amp;$A49))),0)-IFERROR(VALUE(IF(RTD("tos.rtd",,"IMPL_VOL","."&amp;O$2&amp;O$1&amp;"C"&amp;$A49)="N/A",0,RTD("tos.rtd",,"IMPL_VOL","."&amp;O$2&amp;O$1&amp;"C"&amp;$A49))),0),IF($A$2="MAXPAIN",IF($A$4&gt;$A49,($A$4-$A49)*IF(RTD("tos.rtd",,"OPEN_INT","."&amp;O$2&amp;O$1&amp;"C"&amp;$A49)="N/A",0,RTD("tos.rtd",,"OPEN_INT","."&amp;O$2&amp;O$1&amp;"C"&amp;$A49)),0)+IF($A$4&lt;$A49,($A$5-$A$4)*IF(RTD("tos.rtd",,"OPEN_INT","."&amp;O$2&amp;O$1&amp;"P"&amp;$A49)="N/A",0,RTD("tos.rtd",,"OPEN_INT","."&amp;O$2&amp;O$1&amp;"P"&amp;$A49)),0),IF($X$1="ABS",IF(RTD("tos.rtd",,$A$2,"."&amp;O$2&amp;O$1&amp;"C"&amp;$A49)="N/A",0,RTD("tos.rtd",,$A$2,"."&amp;O$2&amp;O$1&amp;"C"&amp;$A49))+IF(RTD("tos.rtd",,$A$2,"."&amp;O$2&amp;O$1&amp;"P"&amp;$A49)="N/A",0,RTD("tos.rtd",,$A$2,"."&amp;O$2&amp;O$1&amp;"P"&amp;$A49)),IF(RTD("tos.rtd",,$A$2,"."&amp;O$2&amp;O$1&amp;"C"&amp;$A49)="N/A",0,RTD("tos.rtd",,$A$2,"."&amp;O$2&amp;O$1&amp;"C"&amp;$A49))-IF(RTD("tos.rtd",,$A$2,"."&amp;O$2&amp;O$1&amp;"P"&amp;$A49)="N/A",0,RTD("tos.rtd",,$A$2,"."&amp;O$2&amp;O$1&amp;"P"&amp;$A49))))))))))</f>
        <v>0</v>
      </c>
      <c r="P49" s="12">
        <f ca="1">IF($A$2="PREMIUM_OI",IFERROR(IF($X$1="ABS",(100*RTD("tos.rtd",,"OPEN_INT","."&amp;P$2&amp;P$1&amp;"C"&amp;$A49)*RTD("tos.rtd",,"LAST","."&amp;P$2&amp;P$1&amp;"C"&amp;$A49)+100*RTD("tos.rtd",,"OPEN_INT","."&amp;P$2&amp;P$1&amp;"P"&amp;$A49)*RTD("tos.rtd",,"LAST","."&amp;P$2&amp;P$1&amp;"P"&amp;$A49))/1000000,(100*RTD("tos.rtd",,"OPEN_INT","."&amp;P$2&amp;P$1&amp;"C"&amp;$A49)*RTD("tos.rtd",,"LAST","."&amp;P$2&amp;P$1&amp;"C"&amp;$A49)-100*RTD("tos.rtd",,"OPEN_INT","."&amp;P$2&amp;P$1&amp;"P"&amp;$A49)*RTD("tos.rtd",,"LAST","."&amp;P$2&amp;P$1&amp;"P"&amp;$A49))/1000000),0),IF($A$2="PREMIUM",IFERROR(IF($X$1="ABS",(100*RTD("tos.rtd",,"VOLUME","."&amp;P$2&amp;P$1&amp;"C"&amp;$A49)*RTD("tos.rtd",,"LAST","."&amp;P$2&amp;P$1&amp;"C"&amp;$A49)+100*RTD("tos.rtd",,"VOLUME","."&amp;P$2&amp;P$1&amp;"P"&amp;$A49)*RTD("tos.rtd",,"LAST","."&amp;P$2&amp;P$1&amp;"P"&amp;$A49))/1000000,(100*RTD("tos.rtd",,"VOLUME","."&amp;P$2&amp;P$1&amp;"C"&amp;$A49)*RTD("tos.rtd",,"LAST","."&amp;P$2&amp;P$1&amp;"C"&amp;$A49)-100*RTD("tos.rtd",,"VOLUME","."&amp;P$2&amp;P$1&amp;"P"&amp;$A49)*RTD("tos.rtd",,"LAST","."&amp;P$2&amp;P$1&amp;"P"&amp;$A49))/1000000),0),IF($A$2="DEX",IFERROR(IF($X$1="ABS",(100*RTD("tos.rtd",,"OPEN_INT","."&amp;P$2&amp;P$1&amp;"C"&amp;$A49)*RTD("tos.rtd",,"DELTA","."&amp;P$2&amp;P$1&amp;"C"&amp;$A49)+100*RTD("tos.rtd",,"OPEN_INT","."&amp;P$2&amp;P$1&amp;"P"&amp;$A49)*RTD("tos.rtd",,"DELTA","."&amp;P$2&amp;P$1&amp;"P"&amp;$A49))/1000,(100*RTD("tos.rtd",,"OPEN_INT","."&amp;P$2&amp;P$1&amp;"C"&amp;$A49)*RTD("tos.rtd",,"DELTA","."&amp;P$2&amp;P$1&amp;"C"&amp;$A49)-100*RTD("tos.rtd",,"OPEN_INT","."&amp;P$2&amp;P$1&amp;"P"&amp;$A49)*RTD("tos.rtd",,"DELTA","."&amp;P$2&amp;P$1&amp;"P"&amp;$A49))/1000),0),IF($A$2="VEX",IFERROR(IF($X$1="ABS",($A$4*$A$4*RTD("tos.rtd",,"VOLUME","."&amp;P$2&amp;P$1&amp;"C"&amp;$A49)*RTD("tos.rtd",,"GAMMA","."&amp;P$2&amp;P$1&amp;"C"&amp;$A49)+$A$4*$A$4*RTD("tos.rtd",,"VOLUME","."&amp;P$2&amp;P$1&amp;"P"&amp;$A49)*RTD("tos.rtd",,"GAMMA","."&amp;P$2&amp;P$1&amp;"P"&amp;$A49))/1000000,($A$4*$A$4*RTD("tos.rtd",,"VOLUME","."&amp;P$2&amp;P$1&amp;"C"&amp;$A49)*RTD("tos.rtd",,"GAMMA","."&amp;P$2&amp;P$1&amp;"C"&amp;$A49)-$A$4*$A$4*RTD("tos.rtd",,"VOLUME","."&amp;P$2&amp;P$1&amp;"P"&amp;$A49)*RTD("tos.rtd",,"GAMMA","."&amp;P$2&amp;P$1&amp;"P"&amp;$A49))/1000000),0),IF($A$2="GEX",IFERROR(IF($X$1="ABS",($A$4*$A$4*RTD("tos.rtd",,"OPEN_INT","."&amp;P$2&amp;P$1&amp;"C"&amp;$A49)*RTD("tos.rtd",,"GAMMA","."&amp;P$2&amp;P$1&amp;"C"&amp;$A49)+$A$4*$A$4*RTD("tos.rtd",,"OPEN_INT","."&amp;P$2&amp;P$1&amp;"P"&amp;$A49)*RTD("tos.rtd",,"GAMMA","."&amp;P$2&amp;P$1&amp;"P"&amp;$A49))/1000000,($A$4*$A$4*RTD("tos.rtd",,"OPEN_INT","."&amp;P$2&amp;P$1&amp;"C"&amp;$A49)*RTD("tos.rtd",,"GAMMA","."&amp;P$2&amp;P$1&amp;"C"&amp;$A49)-$A$4*$A$4*RTD("tos.rtd",,"OPEN_INT","."&amp;P$2&amp;P$1&amp;"P"&amp;$A49)*RTD("tos.rtd",,"GAMMA","."&amp;P$2&amp;P$1&amp;"P"&amp;$A49))/1000000),0),IF($A$2="SKEW",IFERROR(VALUE(IF(RTD("tos.rtd",,"IMPL_VOL","."&amp;P$2&amp;P$1&amp;"P"&amp;$A49)="N/A",0,RTD("tos.rtd",,"IMPL_VOL","."&amp;P$2&amp;P$1&amp;"P"&amp;$A49))),0)-IFERROR(VALUE(IF(RTD("tos.rtd",,"IMPL_VOL","."&amp;P$2&amp;P$1&amp;"C"&amp;$A49)="N/A",0,RTD("tos.rtd",,"IMPL_VOL","."&amp;P$2&amp;P$1&amp;"C"&amp;$A49))),0),IF($A$2="MAXPAIN",IF($A$4&gt;$A49,($A$4-$A49)*IF(RTD("tos.rtd",,"OPEN_INT","."&amp;P$2&amp;P$1&amp;"C"&amp;$A49)="N/A",0,RTD("tos.rtd",,"OPEN_INT","."&amp;P$2&amp;P$1&amp;"C"&amp;$A49)),0)+IF($A$4&lt;$A49,($A$5-$A$4)*IF(RTD("tos.rtd",,"OPEN_INT","."&amp;P$2&amp;P$1&amp;"P"&amp;$A49)="N/A",0,RTD("tos.rtd",,"OPEN_INT","."&amp;P$2&amp;P$1&amp;"P"&amp;$A49)),0),IF($X$1="ABS",IF(RTD("tos.rtd",,$A$2,"."&amp;P$2&amp;P$1&amp;"C"&amp;$A49)="N/A",0,RTD("tos.rtd",,$A$2,"."&amp;P$2&amp;P$1&amp;"C"&amp;$A49))+IF(RTD("tos.rtd",,$A$2,"."&amp;P$2&amp;P$1&amp;"P"&amp;$A49)="N/A",0,RTD("tos.rtd",,$A$2,"."&amp;P$2&amp;P$1&amp;"P"&amp;$A49)),IF(RTD("tos.rtd",,$A$2,"."&amp;P$2&amp;P$1&amp;"C"&amp;$A49)="N/A",0,RTD("tos.rtd",,$A$2,"."&amp;P$2&amp;P$1&amp;"C"&amp;$A49))-IF(RTD("tos.rtd",,$A$2,"."&amp;P$2&amp;P$1&amp;"P"&amp;$A49)="N/A",0,RTD("tos.rtd",,$A$2,"."&amp;P$2&amp;P$1&amp;"P"&amp;$A49))))))))))</f>
        <v>0</v>
      </c>
      <c r="Q49" s="12">
        <f ca="1">IF($A$2="PREMIUM_OI",IFERROR(IF($X$1="ABS",(100*RTD("tos.rtd",,"OPEN_INT","."&amp;Q$2&amp;Q$1&amp;"C"&amp;$A49)*RTD("tos.rtd",,"LAST","."&amp;Q$2&amp;Q$1&amp;"C"&amp;$A49)+100*RTD("tos.rtd",,"OPEN_INT","."&amp;Q$2&amp;Q$1&amp;"P"&amp;$A49)*RTD("tos.rtd",,"LAST","."&amp;Q$2&amp;Q$1&amp;"P"&amp;$A49))/1000000,(100*RTD("tos.rtd",,"OPEN_INT","."&amp;Q$2&amp;Q$1&amp;"C"&amp;$A49)*RTD("tos.rtd",,"LAST","."&amp;Q$2&amp;Q$1&amp;"C"&amp;$A49)-100*RTD("tos.rtd",,"OPEN_INT","."&amp;Q$2&amp;Q$1&amp;"P"&amp;$A49)*RTD("tos.rtd",,"LAST","."&amp;Q$2&amp;Q$1&amp;"P"&amp;$A49))/1000000),0),IF($A$2="PREMIUM",IFERROR(IF($X$1="ABS",(100*RTD("tos.rtd",,"VOLUME","."&amp;Q$2&amp;Q$1&amp;"C"&amp;$A49)*RTD("tos.rtd",,"LAST","."&amp;Q$2&amp;Q$1&amp;"C"&amp;$A49)+100*RTD("tos.rtd",,"VOLUME","."&amp;Q$2&amp;Q$1&amp;"P"&amp;$A49)*RTD("tos.rtd",,"LAST","."&amp;Q$2&amp;Q$1&amp;"P"&amp;$A49))/1000000,(100*RTD("tos.rtd",,"VOLUME","."&amp;Q$2&amp;Q$1&amp;"C"&amp;$A49)*RTD("tos.rtd",,"LAST","."&amp;Q$2&amp;Q$1&amp;"C"&amp;$A49)-100*RTD("tos.rtd",,"VOLUME","."&amp;Q$2&amp;Q$1&amp;"P"&amp;$A49)*RTD("tos.rtd",,"LAST","."&amp;Q$2&amp;Q$1&amp;"P"&amp;$A49))/1000000),0),IF($A$2="DEX",IFERROR(IF($X$1="ABS",(100*RTD("tos.rtd",,"OPEN_INT","."&amp;Q$2&amp;Q$1&amp;"C"&amp;$A49)*RTD("tos.rtd",,"DELTA","."&amp;Q$2&amp;Q$1&amp;"C"&amp;$A49)+100*RTD("tos.rtd",,"OPEN_INT","."&amp;Q$2&amp;Q$1&amp;"P"&amp;$A49)*RTD("tos.rtd",,"DELTA","."&amp;Q$2&amp;Q$1&amp;"P"&amp;$A49))/1000,(100*RTD("tos.rtd",,"OPEN_INT","."&amp;Q$2&amp;Q$1&amp;"C"&amp;$A49)*RTD("tos.rtd",,"DELTA","."&amp;Q$2&amp;Q$1&amp;"C"&amp;$A49)-100*RTD("tos.rtd",,"OPEN_INT","."&amp;Q$2&amp;Q$1&amp;"P"&amp;$A49)*RTD("tos.rtd",,"DELTA","."&amp;Q$2&amp;Q$1&amp;"P"&amp;$A49))/1000),0),IF($A$2="VEX",IFERROR(IF($X$1="ABS",($A$4*$A$4*RTD("tos.rtd",,"VOLUME","."&amp;Q$2&amp;Q$1&amp;"C"&amp;$A49)*RTD("tos.rtd",,"GAMMA","."&amp;Q$2&amp;Q$1&amp;"C"&amp;$A49)+$A$4*$A$4*RTD("tos.rtd",,"VOLUME","."&amp;Q$2&amp;Q$1&amp;"P"&amp;$A49)*RTD("tos.rtd",,"GAMMA","."&amp;Q$2&amp;Q$1&amp;"P"&amp;$A49))/1000000,($A$4*$A$4*RTD("tos.rtd",,"VOLUME","."&amp;Q$2&amp;Q$1&amp;"C"&amp;$A49)*RTD("tos.rtd",,"GAMMA","."&amp;Q$2&amp;Q$1&amp;"C"&amp;$A49)-$A$4*$A$4*RTD("tos.rtd",,"VOLUME","."&amp;Q$2&amp;Q$1&amp;"P"&amp;$A49)*RTD("tos.rtd",,"GAMMA","."&amp;Q$2&amp;Q$1&amp;"P"&amp;$A49))/1000000),0),IF($A$2="GEX",IFERROR(IF($X$1="ABS",($A$4*$A$4*RTD("tos.rtd",,"OPEN_INT","."&amp;Q$2&amp;Q$1&amp;"C"&amp;$A49)*RTD("tos.rtd",,"GAMMA","."&amp;Q$2&amp;Q$1&amp;"C"&amp;$A49)+$A$4*$A$4*RTD("tos.rtd",,"OPEN_INT","."&amp;Q$2&amp;Q$1&amp;"P"&amp;$A49)*RTD("tos.rtd",,"GAMMA","."&amp;Q$2&amp;Q$1&amp;"P"&amp;$A49))/1000000,($A$4*$A$4*RTD("tos.rtd",,"OPEN_INT","."&amp;Q$2&amp;Q$1&amp;"C"&amp;$A49)*RTD("tos.rtd",,"GAMMA","."&amp;Q$2&amp;Q$1&amp;"C"&amp;$A49)-$A$4*$A$4*RTD("tos.rtd",,"OPEN_INT","."&amp;Q$2&amp;Q$1&amp;"P"&amp;$A49)*RTD("tos.rtd",,"GAMMA","."&amp;Q$2&amp;Q$1&amp;"P"&amp;$A49))/1000000),0),IF($A$2="SKEW",IFERROR(VALUE(IF(RTD("tos.rtd",,"IMPL_VOL","."&amp;Q$2&amp;Q$1&amp;"P"&amp;$A49)="N/A",0,RTD("tos.rtd",,"IMPL_VOL","."&amp;Q$2&amp;Q$1&amp;"P"&amp;$A49))),0)-IFERROR(VALUE(IF(RTD("tos.rtd",,"IMPL_VOL","."&amp;Q$2&amp;Q$1&amp;"C"&amp;$A49)="N/A",0,RTD("tos.rtd",,"IMPL_VOL","."&amp;Q$2&amp;Q$1&amp;"C"&amp;$A49))),0),IF($A$2="MAXPAIN",IF($A$4&gt;$A49,($A$4-$A49)*IF(RTD("tos.rtd",,"OPEN_INT","."&amp;Q$2&amp;Q$1&amp;"C"&amp;$A49)="N/A",0,RTD("tos.rtd",,"OPEN_INT","."&amp;Q$2&amp;Q$1&amp;"C"&amp;$A49)),0)+IF($A$4&lt;$A49,($A$5-$A$4)*IF(RTD("tos.rtd",,"OPEN_INT","."&amp;Q$2&amp;Q$1&amp;"P"&amp;$A49)="N/A",0,RTD("tos.rtd",,"OPEN_INT","."&amp;Q$2&amp;Q$1&amp;"P"&amp;$A49)),0),IF($X$1="ABS",IF(RTD("tos.rtd",,$A$2,"."&amp;Q$2&amp;Q$1&amp;"C"&amp;$A49)="N/A",0,RTD("tos.rtd",,$A$2,"."&amp;Q$2&amp;Q$1&amp;"C"&amp;$A49))+IF(RTD("tos.rtd",,$A$2,"."&amp;Q$2&amp;Q$1&amp;"P"&amp;$A49)="N/A",0,RTD("tos.rtd",,$A$2,"."&amp;Q$2&amp;Q$1&amp;"P"&amp;$A49)),IF(RTD("tos.rtd",,$A$2,"."&amp;Q$2&amp;Q$1&amp;"C"&amp;$A49)="N/A",0,RTD("tos.rtd",,$A$2,"."&amp;Q$2&amp;Q$1&amp;"C"&amp;$A49))-IF(RTD("tos.rtd",,$A$2,"."&amp;Q$2&amp;Q$1&amp;"P"&amp;$A49)="N/A",0,RTD("tos.rtd",,$A$2,"."&amp;Q$2&amp;Q$1&amp;"P"&amp;$A49))))))))))</f>
        <v>0</v>
      </c>
      <c r="R49" s="12">
        <f ca="1">IF($A$2="PREMIUM_OI",IFERROR(IF($X$1="ABS",(100*RTD("tos.rtd",,"OPEN_INT","."&amp;R$2&amp;R$1&amp;"C"&amp;$A49)*RTD("tos.rtd",,"LAST","."&amp;R$2&amp;R$1&amp;"C"&amp;$A49)+100*RTD("tos.rtd",,"OPEN_INT","."&amp;R$2&amp;R$1&amp;"P"&amp;$A49)*RTD("tos.rtd",,"LAST","."&amp;R$2&amp;R$1&amp;"P"&amp;$A49))/1000000,(100*RTD("tos.rtd",,"OPEN_INT","."&amp;R$2&amp;R$1&amp;"C"&amp;$A49)*RTD("tos.rtd",,"LAST","."&amp;R$2&amp;R$1&amp;"C"&amp;$A49)-100*RTD("tos.rtd",,"OPEN_INT","."&amp;R$2&amp;R$1&amp;"P"&amp;$A49)*RTD("tos.rtd",,"LAST","."&amp;R$2&amp;R$1&amp;"P"&amp;$A49))/1000000),0),IF($A$2="PREMIUM",IFERROR(IF($X$1="ABS",(100*RTD("tos.rtd",,"VOLUME","."&amp;R$2&amp;R$1&amp;"C"&amp;$A49)*RTD("tos.rtd",,"LAST","."&amp;R$2&amp;R$1&amp;"C"&amp;$A49)+100*RTD("tos.rtd",,"VOLUME","."&amp;R$2&amp;R$1&amp;"P"&amp;$A49)*RTD("tos.rtd",,"LAST","."&amp;R$2&amp;R$1&amp;"P"&amp;$A49))/1000000,(100*RTD("tos.rtd",,"VOLUME","."&amp;R$2&amp;R$1&amp;"C"&amp;$A49)*RTD("tos.rtd",,"LAST","."&amp;R$2&amp;R$1&amp;"C"&amp;$A49)-100*RTD("tos.rtd",,"VOLUME","."&amp;R$2&amp;R$1&amp;"P"&amp;$A49)*RTD("tos.rtd",,"LAST","."&amp;R$2&amp;R$1&amp;"P"&amp;$A49))/1000000),0),IF($A$2="DEX",IFERROR(IF($X$1="ABS",(100*RTD("tos.rtd",,"OPEN_INT","."&amp;R$2&amp;R$1&amp;"C"&amp;$A49)*RTD("tos.rtd",,"DELTA","."&amp;R$2&amp;R$1&amp;"C"&amp;$A49)+100*RTD("tos.rtd",,"OPEN_INT","."&amp;R$2&amp;R$1&amp;"P"&amp;$A49)*RTD("tos.rtd",,"DELTA","."&amp;R$2&amp;R$1&amp;"P"&amp;$A49))/1000,(100*RTD("tos.rtd",,"OPEN_INT","."&amp;R$2&amp;R$1&amp;"C"&amp;$A49)*RTD("tos.rtd",,"DELTA","."&amp;R$2&amp;R$1&amp;"C"&amp;$A49)-100*RTD("tos.rtd",,"OPEN_INT","."&amp;R$2&amp;R$1&amp;"P"&amp;$A49)*RTD("tos.rtd",,"DELTA","."&amp;R$2&amp;R$1&amp;"P"&amp;$A49))/1000),0),IF($A$2="VEX",IFERROR(IF($X$1="ABS",($A$4*$A$4*RTD("tos.rtd",,"VOLUME","."&amp;R$2&amp;R$1&amp;"C"&amp;$A49)*RTD("tos.rtd",,"GAMMA","."&amp;R$2&amp;R$1&amp;"C"&amp;$A49)+$A$4*$A$4*RTD("tos.rtd",,"VOLUME","."&amp;R$2&amp;R$1&amp;"P"&amp;$A49)*RTD("tos.rtd",,"GAMMA","."&amp;R$2&amp;R$1&amp;"P"&amp;$A49))/1000000,($A$4*$A$4*RTD("tos.rtd",,"VOLUME","."&amp;R$2&amp;R$1&amp;"C"&amp;$A49)*RTD("tos.rtd",,"GAMMA","."&amp;R$2&amp;R$1&amp;"C"&amp;$A49)-$A$4*$A$4*RTD("tos.rtd",,"VOLUME","."&amp;R$2&amp;R$1&amp;"P"&amp;$A49)*RTD("tos.rtd",,"GAMMA","."&amp;R$2&amp;R$1&amp;"P"&amp;$A49))/1000000),0),IF($A$2="GEX",IFERROR(IF($X$1="ABS",($A$4*$A$4*RTD("tos.rtd",,"OPEN_INT","."&amp;R$2&amp;R$1&amp;"C"&amp;$A49)*RTD("tos.rtd",,"GAMMA","."&amp;R$2&amp;R$1&amp;"C"&amp;$A49)+$A$4*$A$4*RTD("tos.rtd",,"OPEN_INT","."&amp;R$2&amp;R$1&amp;"P"&amp;$A49)*RTD("tos.rtd",,"GAMMA","."&amp;R$2&amp;R$1&amp;"P"&amp;$A49))/1000000,($A$4*$A$4*RTD("tos.rtd",,"OPEN_INT","."&amp;R$2&amp;R$1&amp;"C"&amp;$A49)*RTD("tos.rtd",,"GAMMA","."&amp;R$2&amp;R$1&amp;"C"&amp;$A49)-$A$4*$A$4*RTD("tos.rtd",,"OPEN_INT","."&amp;R$2&amp;R$1&amp;"P"&amp;$A49)*RTD("tos.rtd",,"GAMMA","."&amp;R$2&amp;R$1&amp;"P"&amp;$A49))/1000000),0),IF($A$2="SKEW",IFERROR(VALUE(IF(RTD("tos.rtd",,"IMPL_VOL","."&amp;R$2&amp;R$1&amp;"P"&amp;$A49)="N/A",0,RTD("tos.rtd",,"IMPL_VOL","."&amp;R$2&amp;R$1&amp;"P"&amp;$A49))),0)-IFERROR(VALUE(IF(RTD("tos.rtd",,"IMPL_VOL","."&amp;R$2&amp;R$1&amp;"C"&amp;$A49)="N/A",0,RTD("tos.rtd",,"IMPL_VOL","."&amp;R$2&amp;R$1&amp;"C"&amp;$A49))),0),IF($A$2="MAXPAIN",IF($A$4&gt;$A49,($A$4-$A49)*IF(RTD("tos.rtd",,"OPEN_INT","."&amp;R$2&amp;R$1&amp;"C"&amp;$A49)="N/A",0,RTD("tos.rtd",,"OPEN_INT","."&amp;R$2&amp;R$1&amp;"C"&amp;$A49)),0)+IF($A$4&lt;$A49,($A$5-$A$4)*IF(RTD("tos.rtd",,"OPEN_INT","."&amp;R$2&amp;R$1&amp;"P"&amp;$A49)="N/A",0,RTD("tos.rtd",,"OPEN_INT","."&amp;R$2&amp;R$1&amp;"P"&amp;$A49)),0),IF($X$1="ABS",IF(RTD("tos.rtd",,$A$2,"."&amp;R$2&amp;R$1&amp;"C"&amp;$A49)="N/A",0,RTD("tos.rtd",,$A$2,"."&amp;R$2&amp;R$1&amp;"C"&amp;$A49))+IF(RTD("tos.rtd",,$A$2,"."&amp;R$2&amp;R$1&amp;"P"&amp;$A49)="N/A",0,RTD("tos.rtd",,$A$2,"."&amp;R$2&amp;R$1&amp;"P"&amp;$A49)),IF(RTD("tos.rtd",,$A$2,"."&amp;R$2&amp;R$1&amp;"C"&amp;$A49)="N/A",0,RTD("tos.rtd",,$A$2,"."&amp;R$2&amp;R$1&amp;"C"&amp;$A49))-IF(RTD("tos.rtd",,$A$2,"."&amp;R$2&amp;R$1&amp;"P"&amp;$A49)="N/A",0,RTD("tos.rtd",,$A$2,"."&amp;R$2&amp;R$1&amp;"P"&amp;$A49))))))))))</f>
        <v>0</v>
      </c>
      <c r="S49" s="12">
        <f ca="1">IF($A$2="PREMIUM_OI",IFERROR(IF($X$1="ABS",(100*RTD("tos.rtd",,"OPEN_INT","."&amp;S$2&amp;S$1&amp;"C"&amp;$A49)*RTD("tos.rtd",,"LAST","."&amp;S$2&amp;S$1&amp;"C"&amp;$A49)+100*RTD("tos.rtd",,"OPEN_INT","."&amp;S$2&amp;S$1&amp;"P"&amp;$A49)*RTD("tos.rtd",,"LAST","."&amp;S$2&amp;S$1&amp;"P"&amp;$A49))/1000000,(100*RTD("tos.rtd",,"OPEN_INT","."&amp;S$2&amp;S$1&amp;"C"&amp;$A49)*RTD("tos.rtd",,"LAST","."&amp;S$2&amp;S$1&amp;"C"&amp;$A49)-100*RTD("tos.rtd",,"OPEN_INT","."&amp;S$2&amp;S$1&amp;"P"&amp;$A49)*RTD("tos.rtd",,"LAST","."&amp;S$2&amp;S$1&amp;"P"&amp;$A49))/1000000),0),IF($A$2="PREMIUM",IFERROR(IF($X$1="ABS",(100*RTD("tos.rtd",,"VOLUME","."&amp;S$2&amp;S$1&amp;"C"&amp;$A49)*RTD("tos.rtd",,"LAST","."&amp;S$2&amp;S$1&amp;"C"&amp;$A49)+100*RTD("tos.rtd",,"VOLUME","."&amp;S$2&amp;S$1&amp;"P"&amp;$A49)*RTD("tos.rtd",,"LAST","."&amp;S$2&amp;S$1&amp;"P"&amp;$A49))/1000000,(100*RTD("tos.rtd",,"VOLUME","."&amp;S$2&amp;S$1&amp;"C"&amp;$A49)*RTD("tos.rtd",,"LAST","."&amp;S$2&amp;S$1&amp;"C"&amp;$A49)-100*RTD("tos.rtd",,"VOLUME","."&amp;S$2&amp;S$1&amp;"P"&amp;$A49)*RTD("tos.rtd",,"LAST","."&amp;S$2&amp;S$1&amp;"P"&amp;$A49))/1000000),0),IF($A$2="DEX",IFERROR(IF($X$1="ABS",(100*RTD("tos.rtd",,"OPEN_INT","."&amp;S$2&amp;S$1&amp;"C"&amp;$A49)*RTD("tos.rtd",,"DELTA","."&amp;S$2&amp;S$1&amp;"C"&amp;$A49)+100*RTD("tos.rtd",,"OPEN_INT","."&amp;S$2&amp;S$1&amp;"P"&amp;$A49)*RTD("tos.rtd",,"DELTA","."&amp;S$2&amp;S$1&amp;"P"&amp;$A49))/1000,(100*RTD("tos.rtd",,"OPEN_INT","."&amp;S$2&amp;S$1&amp;"C"&amp;$A49)*RTD("tos.rtd",,"DELTA","."&amp;S$2&amp;S$1&amp;"C"&amp;$A49)-100*RTD("tos.rtd",,"OPEN_INT","."&amp;S$2&amp;S$1&amp;"P"&amp;$A49)*RTD("tos.rtd",,"DELTA","."&amp;S$2&amp;S$1&amp;"P"&amp;$A49))/1000),0),IF($A$2="VEX",IFERROR(IF($X$1="ABS",($A$4*$A$4*RTD("tos.rtd",,"VOLUME","."&amp;S$2&amp;S$1&amp;"C"&amp;$A49)*RTD("tos.rtd",,"GAMMA","."&amp;S$2&amp;S$1&amp;"C"&amp;$A49)+$A$4*$A$4*RTD("tos.rtd",,"VOLUME","."&amp;S$2&amp;S$1&amp;"P"&amp;$A49)*RTD("tos.rtd",,"GAMMA","."&amp;S$2&amp;S$1&amp;"P"&amp;$A49))/1000000,($A$4*$A$4*RTD("tos.rtd",,"VOLUME","."&amp;S$2&amp;S$1&amp;"C"&amp;$A49)*RTD("tos.rtd",,"GAMMA","."&amp;S$2&amp;S$1&amp;"C"&amp;$A49)-$A$4*$A$4*RTD("tos.rtd",,"VOLUME","."&amp;S$2&amp;S$1&amp;"P"&amp;$A49)*RTD("tos.rtd",,"GAMMA","."&amp;S$2&amp;S$1&amp;"P"&amp;$A49))/1000000),0),IF($A$2="GEX",IFERROR(IF($X$1="ABS",($A$4*$A$4*RTD("tos.rtd",,"OPEN_INT","."&amp;S$2&amp;S$1&amp;"C"&amp;$A49)*RTD("tos.rtd",,"GAMMA","."&amp;S$2&amp;S$1&amp;"C"&amp;$A49)+$A$4*$A$4*RTD("tos.rtd",,"OPEN_INT","."&amp;S$2&amp;S$1&amp;"P"&amp;$A49)*RTD("tos.rtd",,"GAMMA","."&amp;S$2&amp;S$1&amp;"P"&amp;$A49))/1000000,($A$4*$A$4*RTD("tos.rtd",,"OPEN_INT","."&amp;S$2&amp;S$1&amp;"C"&amp;$A49)*RTD("tos.rtd",,"GAMMA","."&amp;S$2&amp;S$1&amp;"C"&amp;$A49)-$A$4*$A$4*RTD("tos.rtd",,"OPEN_INT","."&amp;S$2&amp;S$1&amp;"P"&amp;$A49)*RTD("tos.rtd",,"GAMMA","."&amp;S$2&amp;S$1&amp;"P"&amp;$A49))/1000000),0),IF($A$2="SKEW",IFERROR(VALUE(IF(RTD("tos.rtd",,"IMPL_VOL","."&amp;S$2&amp;S$1&amp;"P"&amp;$A49)="N/A",0,RTD("tos.rtd",,"IMPL_VOL","."&amp;S$2&amp;S$1&amp;"P"&amp;$A49))),0)-IFERROR(VALUE(IF(RTD("tos.rtd",,"IMPL_VOL","."&amp;S$2&amp;S$1&amp;"C"&amp;$A49)="N/A",0,RTD("tos.rtd",,"IMPL_VOL","."&amp;S$2&amp;S$1&amp;"C"&amp;$A49))),0),IF($A$2="MAXPAIN",IF($A$4&gt;$A49,($A$4-$A49)*IF(RTD("tos.rtd",,"OPEN_INT","."&amp;S$2&amp;S$1&amp;"C"&amp;$A49)="N/A",0,RTD("tos.rtd",,"OPEN_INT","."&amp;S$2&amp;S$1&amp;"C"&amp;$A49)),0)+IF($A$4&lt;$A49,($A$5-$A$4)*IF(RTD("tos.rtd",,"OPEN_INT","."&amp;S$2&amp;S$1&amp;"P"&amp;$A49)="N/A",0,RTD("tos.rtd",,"OPEN_INT","."&amp;S$2&amp;S$1&amp;"P"&amp;$A49)),0),IF($X$1="ABS",IF(RTD("tos.rtd",,$A$2,"."&amp;S$2&amp;S$1&amp;"C"&amp;$A49)="N/A",0,RTD("tos.rtd",,$A$2,"."&amp;S$2&amp;S$1&amp;"C"&amp;$A49))+IF(RTD("tos.rtd",,$A$2,"."&amp;S$2&amp;S$1&amp;"P"&amp;$A49)="N/A",0,RTD("tos.rtd",,$A$2,"."&amp;S$2&amp;S$1&amp;"P"&amp;$A49)),IF(RTD("tos.rtd",,$A$2,"."&amp;S$2&amp;S$1&amp;"C"&amp;$A49)="N/A",0,RTD("tos.rtd",,$A$2,"."&amp;S$2&amp;S$1&amp;"C"&amp;$A49))-IF(RTD("tos.rtd",,$A$2,"."&amp;S$2&amp;S$1&amp;"P"&amp;$A49)="N/A",0,RTD("tos.rtd",,$A$2,"."&amp;S$2&amp;S$1&amp;"P"&amp;$A49))))))))))</f>
        <v>0</v>
      </c>
      <c r="T49" s="12">
        <f ca="1">IF($A$2="PREMIUM_OI",IFERROR(IF($X$1="ABS",(100*RTD("tos.rtd",,"OPEN_INT","."&amp;T$2&amp;T$1&amp;"C"&amp;$A49)*RTD("tos.rtd",,"LAST","."&amp;T$2&amp;T$1&amp;"C"&amp;$A49)+100*RTD("tos.rtd",,"OPEN_INT","."&amp;T$2&amp;T$1&amp;"P"&amp;$A49)*RTD("tos.rtd",,"LAST","."&amp;T$2&amp;T$1&amp;"P"&amp;$A49))/1000000,(100*RTD("tos.rtd",,"OPEN_INT","."&amp;T$2&amp;T$1&amp;"C"&amp;$A49)*RTD("tos.rtd",,"LAST","."&amp;T$2&amp;T$1&amp;"C"&amp;$A49)-100*RTD("tos.rtd",,"OPEN_INT","."&amp;T$2&amp;T$1&amp;"P"&amp;$A49)*RTD("tos.rtd",,"LAST","."&amp;T$2&amp;T$1&amp;"P"&amp;$A49))/1000000),0),IF($A$2="PREMIUM",IFERROR(IF($X$1="ABS",(100*RTD("tos.rtd",,"VOLUME","."&amp;T$2&amp;T$1&amp;"C"&amp;$A49)*RTD("tos.rtd",,"LAST","."&amp;T$2&amp;T$1&amp;"C"&amp;$A49)+100*RTD("tos.rtd",,"VOLUME","."&amp;T$2&amp;T$1&amp;"P"&amp;$A49)*RTD("tos.rtd",,"LAST","."&amp;T$2&amp;T$1&amp;"P"&amp;$A49))/1000000,(100*RTD("tos.rtd",,"VOLUME","."&amp;T$2&amp;T$1&amp;"C"&amp;$A49)*RTD("tos.rtd",,"LAST","."&amp;T$2&amp;T$1&amp;"C"&amp;$A49)-100*RTD("tos.rtd",,"VOLUME","."&amp;T$2&amp;T$1&amp;"P"&amp;$A49)*RTD("tos.rtd",,"LAST","."&amp;T$2&amp;T$1&amp;"P"&amp;$A49))/1000000),0),IF($A$2="DEX",IFERROR(IF($X$1="ABS",(100*RTD("tos.rtd",,"OPEN_INT","."&amp;T$2&amp;T$1&amp;"C"&amp;$A49)*RTD("tos.rtd",,"DELTA","."&amp;T$2&amp;T$1&amp;"C"&amp;$A49)+100*RTD("tos.rtd",,"OPEN_INT","."&amp;T$2&amp;T$1&amp;"P"&amp;$A49)*RTD("tos.rtd",,"DELTA","."&amp;T$2&amp;T$1&amp;"P"&amp;$A49))/1000,(100*RTD("tos.rtd",,"OPEN_INT","."&amp;T$2&amp;T$1&amp;"C"&amp;$A49)*RTD("tos.rtd",,"DELTA","."&amp;T$2&amp;T$1&amp;"C"&amp;$A49)-100*RTD("tos.rtd",,"OPEN_INT","."&amp;T$2&amp;T$1&amp;"P"&amp;$A49)*RTD("tos.rtd",,"DELTA","."&amp;T$2&amp;T$1&amp;"P"&amp;$A49))/1000),0),IF($A$2="VEX",IFERROR(IF($X$1="ABS",($A$4*$A$4*RTD("tos.rtd",,"VOLUME","."&amp;T$2&amp;T$1&amp;"C"&amp;$A49)*RTD("tos.rtd",,"GAMMA","."&amp;T$2&amp;T$1&amp;"C"&amp;$A49)+$A$4*$A$4*RTD("tos.rtd",,"VOLUME","."&amp;T$2&amp;T$1&amp;"P"&amp;$A49)*RTD("tos.rtd",,"GAMMA","."&amp;T$2&amp;T$1&amp;"P"&amp;$A49))/1000000,($A$4*$A$4*RTD("tos.rtd",,"VOLUME","."&amp;T$2&amp;T$1&amp;"C"&amp;$A49)*RTD("tos.rtd",,"GAMMA","."&amp;T$2&amp;T$1&amp;"C"&amp;$A49)-$A$4*$A$4*RTD("tos.rtd",,"VOLUME","."&amp;T$2&amp;T$1&amp;"P"&amp;$A49)*RTD("tos.rtd",,"GAMMA","."&amp;T$2&amp;T$1&amp;"P"&amp;$A49))/1000000),0),IF($A$2="GEX",IFERROR(IF($X$1="ABS",($A$4*$A$4*RTD("tos.rtd",,"OPEN_INT","."&amp;T$2&amp;T$1&amp;"C"&amp;$A49)*RTD("tos.rtd",,"GAMMA","."&amp;T$2&amp;T$1&amp;"C"&amp;$A49)+$A$4*$A$4*RTD("tos.rtd",,"OPEN_INT","."&amp;T$2&amp;T$1&amp;"P"&amp;$A49)*RTD("tos.rtd",,"GAMMA","."&amp;T$2&amp;T$1&amp;"P"&amp;$A49))/1000000,($A$4*$A$4*RTD("tos.rtd",,"OPEN_INT","."&amp;T$2&amp;T$1&amp;"C"&amp;$A49)*RTD("tos.rtd",,"GAMMA","."&amp;T$2&amp;T$1&amp;"C"&amp;$A49)-$A$4*$A$4*RTD("tos.rtd",,"OPEN_INT","."&amp;T$2&amp;T$1&amp;"P"&amp;$A49)*RTD("tos.rtd",,"GAMMA","."&amp;T$2&amp;T$1&amp;"P"&amp;$A49))/1000000),0),IF($A$2="SKEW",IFERROR(VALUE(IF(RTD("tos.rtd",,"IMPL_VOL","."&amp;T$2&amp;T$1&amp;"P"&amp;$A49)="N/A",0,RTD("tos.rtd",,"IMPL_VOL","."&amp;T$2&amp;T$1&amp;"P"&amp;$A49))),0)-IFERROR(VALUE(IF(RTD("tos.rtd",,"IMPL_VOL","."&amp;T$2&amp;T$1&amp;"C"&amp;$A49)="N/A",0,RTD("tos.rtd",,"IMPL_VOL","."&amp;T$2&amp;T$1&amp;"C"&amp;$A49))),0),IF($A$2="MAXPAIN",IF($A$4&gt;$A49,($A$4-$A49)*IF(RTD("tos.rtd",,"OPEN_INT","."&amp;T$2&amp;T$1&amp;"C"&amp;$A49)="N/A",0,RTD("tos.rtd",,"OPEN_INT","."&amp;T$2&amp;T$1&amp;"C"&amp;$A49)),0)+IF($A$4&lt;$A49,($A$5-$A$4)*IF(RTD("tos.rtd",,"OPEN_INT","."&amp;T$2&amp;T$1&amp;"P"&amp;$A49)="N/A",0,RTD("tos.rtd",,"OPEN_INT","."&amp;T$2&amp;T$1&amp;"P"&amp;$A49)),0),IF($X$1="ABS",IF(RTD("tos.rtd",,$A$2,"."&amp;T$2&amp;T$1&amp;"C"&amp;$A49)="N/A",0,RTD("tos.rtd",,$A$2,"."&amp;T$2&amp;T$1&amp;"C"&amp;$A49))+IF(RTD("tos.rtd",,$A$2,"."&amp;T$2&amp;T$1&amp;"P"&amp;$A49)="N/A",0,RTD("tos.rtd",,$A$2,"."&amp;T$2&amp;T$1&amp;"P"&amp;$A49)),IF(RTD("tos.rtd",,$A$2,"."&amp;T$2&amp;T$1&amp;"C"&amp;$A49)="N/A",0,RTD("tos.rtd",,$A$2,"."&amp;T$2&amp;T$1&amp;"C"&amp;$A49))-IF(RTD("tos.rtd",,$A$2,"."&amp;T$2&amp;T$1&amp;"P"&amp;$A49)="N/A",0,RTD("tos.rtd",,$A$2,"."&amp;T$2&amp;T$1&amp;"P"&amp;$A49))))))))))</f>
        <v>0</v>
      </c>
      <c r="U49" s="12">
        <f ca="1">IF($A$2="PREMIUM_OI",IFERROR(IF($X$1="ABS",(100*RTD("tos.rtd",,"OPEN_INT","."&amp;U$2&amp;U$1&amp;"C"&amp;$A49)*RTD("tos.rtd",,"LAST","."&amp;U$2&amp;U$1&amp;"C"&amp;$A49)+100*RTD("tos.rtd",,"OPEN_INT","."&amp;U$2&amp;U$1&amp;"P"&amp;$A49)*RTD("tos.rtd",,"LAST","."&amp;U$2&amp;U$1&amp;"P"&amp;$A49))/1000000,(100*RTD("tos.rtd",,"OPEN_INT","."&amp;U$2&amp;U$1&amp;"C"&amp;$A49)*RTD("tos.rtd",,"LAST","."&amp;U$2&amp;U$1&amp;"C"&amp;$A49)-100*RTD("tos.rtd",,"OPEN_INT","."&amp;U$2&amp;U$1&amp;"P"&amp;$A49)*RTD("tos.rtd",,"LAST","."&amp;U$2&amp;U$1&amp;"P"&amp;$A49))/1000000),0),IF($A$2="PREMIUM",IFERROR(IF($X$1="ABS",(100*RTD("tos.rtd",,"VOLUME","."&amp;U$2&amp;U$1&amp;"C"&amp;$A49)*RTD("tos.rtd",,"LAST","."&amp;U$2&amp;U$1&amp;"C"&amp;$A49)+100*RTD("tos.rtd",,"VOLUME","."&amp;U$2&amp;U$1&amp;"P"&amp;$A49)*RTD("tos.rtd",,"LAST","."&amp;U$2&amp;U$1&amp;"P"&amp;$A49))/1000000,(100*RTD("tos.rtd",,"VOLUME","."&amp;U$2&amp;U$1&amp;"C"&amp;$A49)*RTD("tos.rtd",,"LAST","."&amp;U$2&amp;U$1&amp;"C"&amp;$A49)-100*RTD("tos.rtd",,"VOLUME","."&amp;U$2&amp;U$1&amp;"P"&amp;$A49)*RTD("tos.rtd",,"LAST","."&amp;U$2&amp;U$1&amp;"P"&amp;$A49))/1000000),0),IF($A$2="DEX",IFERROR(IF($X$1="ABS",(100*RTD("tos.rtd",,"OPEN_INT","."&amp;U$2&amp;U$1&amp;"C"&amp;$A49)*RTD("tos.rtd",,"DELTA","."&amp;U$2&amp;U$1&amp;"C"&amp;$A49)+100*RTD("tos.rtd",,"OPEN_INT","."&amp;U$2&amp;U$1&amp;"P"&amp;$A49)*RTD("tos.rtd",,"DELTA","."&amp;U$2&amp;U$1&amp;"P"&amp;$A49))/1000,(100*RTD("tos.rtd",,"OPEN_INT","."&amp;U$2&amp;U$1&amp;"C"&amp;$A49)*RTD("tos.rtd",,"DELTA","."&amp;U$2&amp;U$1&amp;"C"&amp;$A49)-100*RTD("tos.rtd",,"OPEN_INT","."&amp;U$2&amp;U$1&amp;"P"&amp;$A49)*RTD("tos.rtd",,"DELTA","."&amp;U$2&amp;U$1&amp;"P"&amp;$A49))/1000),0),IF($A$2="VEX",IFERROR(IF($X$1="ABS",($A$4*$A$4*RTD("tos.rtd",,"VOLUME","."&amp;U$2&amp;U$1&amp;"C"&amp;$A49)*RTD("tos.rtd",,"GAMMA","."&amp;U$2&amp;U$1&amp;"C"&amp;$A49)+$A$4*$A$4*RTD("tos.rtd",,"VOLUME","."&amp;U$2&amp;U$1&amp;"P"&amp;$A49)*RTD("tos.rtd",,"GAMMA","."&amp;U$2&amp;U$1&amp;"P"&amp;$A49))/1000000,($A$4*$A$4*RTD("tos.rtd",,"VOLUME","."&amp;U$2&amp;U$1&amp;"C"&amp;$A49)*RTD("tos.rtd",,"GAMMA","."&amp;U$2&amp;U$1&amp;"C"&amp;$A49)-$A$4*$A$4*RTD("tos.rtd",,"VOLUME","."&amp;U$2&amp;U$1&amp;"P"&amp;$A49)*RTD("tos.rtd",,"GAMMA","."&amp;U$2&amp;U$1&amp;"P"&amp;$A49))/1000000),0),IF($A$2="GEX",IFERROR(IF($X$1="ABS",($A$4*$A$4*RTD("tos.rtd",,"OPEN_INT","."&amp;U$2&amp;U$1&amp;"C"&amp;$A49)*RTD("tos.rtd",,"GAMMA","."&amp;U$2&amp;U$1&amp;"C"&amp;$A49)+$A$4*$A$4*RTD("tos.rtd",,"OPEN_INT","."&amp;U$2&amp;U$1&amp;"P"&amp;$A49)*RTD("tos.rtd",,"GAMMA","."&amp;U$2&amp;U$1&amp;"P"&amp;$A49))/1000000,($A$4*$A$4*RTD("tos.rtd",,"OPEN_INT","."&amp;U$2&amp;U$1&amp;"C"&amp;$A49)*RTD("tos.rtd",,"GAMMA","."&amp;U$2&amp;U$1&amp;"C"&amp;$A49)-$A$4*$A$4*RTD("tos.rtd",,"OPEN_INT","."&amp;U$2&amp;U$1&amp;"P"&amp;$A49)*RTD("tos.rtd",,"GAMMA","."&amp;U$2&amp;U$1&amp;"P"&amp;$A49))/1000000),0),IF($A$2="SKEW",IFERROR(VALUE(IF(RTD("tos.rtd",,"IMPL_VOL","."&amp;U$2&amp;U$1&amp;"P"&amp;$A49)="N/A",0,RTD("tos.rtd",,"IMPL_VOL","."&amp;U$2&amp;U$1&amp;"P"&amp;$A49))),0)-IFERROR(VALUE(IF(RTD("tos.rtd",,"IMPL_VOL","."&amp;U$2&amp;U$1&amp;"C"&amp;$A49)="N/A",0,RTD("tos.rtd",,"IMPL_VOL","."&amp;U$2&amp;U$1&amp;"C"&amp;$A49))),0),IF($A$2="MAXPAIN",IF($A$4&gt;$A49,($A$4-$A49)*IF(RTD("tos.rtd",,"OPEN_INT","."&amp;U$2&amp;U$1&amp;"C"&amp;$A49)="N/A",0,RTD("tos.rtd",,"OPEN_INT","."&amp;U$2&amp;U$1&amp;"C"&amp;$A49)),0)+IF($A$4&lt;$A49,($A$5-$A$4)*IF(RTD("tos.rtd",,"OPEN_INT","."&amp;U$2&amp;U$1&amp;"P"&amp;$A49)="N/A",0,RTD("tos.rtd",,"OPEN_INT","."&amp;U$2&amp;U$1&amp;"P"&amp;$A49)),0),IF($X$1="ABS",IF(RTD("tos.rtd",,$A$2,"."&amp;U$2&amp;U$1&amp;"C"&amp;$A49)="N/A",0,RTD("tos.rtd",,$A$2,"."&amp;U$2&amp;U$1&amp;"C"&amp;$A49))+IF(RTD("tos.rtd",,$A$2,"."&amp;U$2&amp;U$1&amp;"P"&amp;$A49)="N/A",0,RTD("tos.rtd",,$A$2,"."&amp;U$2&amp;U$1&amp;"P"&amp;$A49)),IF(RTD("tos.rtd",,$A$2,"."&amp;U$2&amp;U$1&amp;"C"&amp;$A49)="N/A",0,RTD("tos.rtd",,$A$2,"."&amp;U$2&amp;U$1&amp;"C"&amp;$A49))-IF(RTD("tos.rtd",,$A$2,"."&amp;U$2&amp;U$1&amp;"P"&amp;$A49)="N/A",0,RTD("tos.rtd",,$A$2,"."&amp;U$2&amp;U$1&amp;"P"&amp;$A49))))))))))</f>
        <v>0</v>
      </c>
      <c r="V49" s="12">
        <f ca="1">IF($A$2="PREMIUM_OI",IFERROR(IF($X$1="ABS",(100*RTD("tos.rtd",,"OPEN_INT","."&amp;V$2&amp;V$1&amp;"C"&amp;$A49)*RTD("tos.rtd",,"LAST","."&amp;V$2&amp;V$1&amp;"C"&amp;$A49)+100*RTD("tos.rtd",,"OPEN_INT","."&amp;V$2&amp;V$1&amp;"P"&amp;$A49)*RTD("tos.rtd",,"LAST","."&amp;V$2&amp;V$1&amp;"P"&amp;$A49))/1000000,(100*RTD("tos.rtd",,"OPEN_INT","."&amp;V$2&amp;V$1&amp;"C"&amp;$A49)*RTD("tos.rtd",,"LAST","."&amp;V$2&amp;V$1&amp;"C"&amp;$A49)-100*RTD("tos.rtd",,"OPEN_INT","."&amp;V$2&amp;V$1&amp;"P"&amp;$A49)*RTD("tos.rtd",,"LAST","."&amp;V$2&amp;V$1&amp;"P"&amp;$A49))/1000000),0),IF($A$2="PREMIUM",IFERROR(IF($X$1="ABS",(100*RTD("tos.rtd",,"VOLUME","."&amp;V$2&amp;V$1&amp;"C"&amp;$A49)*RTD("tos.rtd",,"LAST","."&amp;V$2&amp;V$1&amp;"C"&amp;$A49)+100*RTD("tos.rtd",,"VOLUME","."&amp;V$2&amp;V$1&amp;"P"&amp;$A49)*RTD("tos.rtd",,"LAST","."&amp;V$2&amp;V$1&amp;"P"&amp;$A49))/1000000,(100*RTD("tos.rtd",,"VOLUME","."&amp;V$2&amp;V$1&amp;"C"&amp;$A49)*RTD("tos.rtd",,"LAST","."&amp;V$2&amp;V$1&amp;"C"&amp;$A49)-100*RTD("tos.rtd",,"VOLUME","."&amp;V$2&amp;V$1&amp;"P"&amp;$A49)*RTD("tos.rtd",,"LAST","."&amp;V$2&amp;V$1&amp;"P"&amp;$A49))/1000000),0),IF($A$2="DEX",IFERROR(IF($X$1="ABS",(100*RTD("tos.rtd",,"OPEN_INT","."&amp;V$2&amp;V$1&amp;"C"&amp;$A49)*RTD("tos.rtd",,"DELTA","."&amp;V$2&amp;V$1&amp;"C"&amp;$A49)+100*RTD("tos.rtd",,"OPEN_INT","."&amp;V$2&amp;V$1&amp;"P"&amp;$A49)*RTD("tos.rtd",,"DELTA","."&amp;V$2&amp;V$1&amp;"P"&amp;$A49))/1000,(100*RTD("tos.rtd",,"OPEN_INT","."&amp;V$2&amp;V$1&amp;"C"&amp;$A49)*RTD("tos.rtd",,"DELTA","."&amp;V$2&amp;V$1&amp;"C"&amp;$A49)-100*RTD("tos.rtd",,"OPEN_INT","."&amp;V$2&amp;V$1&amp;"P"&amp;$A49)*RTD("tos.rtd",,"DELTA","."&amp;V$2&amp;V$1&amp;"P"&amp;$A49))/1000),0),IF($A$2="VEX",IFERROR(IF($X$1="ABS",($A$4*$A$4*RTD("tos.rtd",,"VOLUME","."&amp;V$2&amp;V$1&amp;"C"&amp;$A49)*RTD("tos.rtd",,"GAMMA","."&amp;V$2&amp;V$1&amp;"C"&amp;$A49)+$A$4*$A$4*RTD("tos.rtd",,"VOLUME","."&amp;V$2&amp;V$1&amp;"P"&amp;$A49)*RTD("tos.rtd",,"GAMMA","."&amp;V$2&amp;V$1&amp;"P"&amp;$A49))/1000000,($A$4*$A$4*RTD("tos.rtd",,"VOLUME","."&amp;V$2&amp;V$1&amp;"C"&amp;$A49)*RTD("tos.rtd",,"GAMMA","."&amp;V$2&amp;V$1&amp;"C"&amp;$A49)-$A$4*$A$4*RTD("tos.rtd",,"VOLUME","."&amp;V$2&amp;V$1&amp;"P"&amp;$A49)*RTD("tos.rtd",,"GAMMA","."&amp;V$2&amp;V$1&amp;"P"&amp;$A49))/1000000),0),IF($A$2="GEX",IFERROR(IF($X$1="ABS",($A$4*$A$4*RTD("tos.rtd",,"OPEN_INT","."&amp;V$2&amp;V$1&amp;"C"&amp;$A49)*RTD("tos.rtd",,"GAMMA","."&amp;V$2&amp;V$1&amp;"C"&amp;$A49)+$A$4*$A$4*RTD("tos.rtd",,"OPEN_INT","."&amp;V$2&amp;V$1&amp;"P"&amp;$A49)*RTD("tos.rtd",,"GAMMA","."&amp;V$2&amp;V$1&amp;"P"&amp;$A49))/1000000,($A$4*$A$4*RTD("tos.rtd",,"OPEN_INT","."&amp;V$2&amp;V$1&amp;"C"&amp;$A49)*RTD("tos.rtd",,"GAMMA","."&amp;V$2&amp;V$1&amp;"C"&amp;$A49)-$A$4*$A$4*RTD("tos.rtd",,"OPEN_INT","."&amp;V$2&amp;V$1&amp;"P"&amp;$A49)*RTD("tos.rtd",,"GAMMA","."&amp;V$2&amp;V$1&amp;"P"&amp;$A49))/1000000),0),IF($A$2="SKEW",IFERROR(VALUE(IF(RTD("tos.rtd",,"IMPL_VOL","."&amp;V$2&amp;V$1&amp;"P"&amp;$A49)="N/A",0,RTD("tos.rtd",,"IMPL_VOL","."&amp;V$2&amp;V$1&amp;"P"&amp;$A49))),0)-IFERROR(VALUE(IF(RTD("tos.rtd",,"IMPL_VOL","."&amp;V$2&amp;V$1&amp;"C"&amp;$A49)="N/A",0,RTD("tos.rtd",,"IMPL_VOL","."&amp;V$2&amp;V$1&amp;"C"&amp;$A49))),0),IF($A$2="MAXPAIN",IF($A$4&gt;$A49,($A$4-$A49)*IF(RTD("tos.rtd",,"OPEN_INT","."&amp;V$2&amp;V$1&amp;"C"&amp;$A49)="N/A",0,RTD("tos.rtd",,"OPEN_INT","."&amp;V$2&amp;V$1&amp;"C"&amp;$A49)),0)+IF($A$4&lt;$A49,($A$5-$A$4)*IF(RTD("tos.rtd",,"OPEN_INT","."&amp;V$2&amp;V$1&amp;"P"&amp;$A49)="N/A",0,RTD("tos.rtd",,"OPEN_INT","."&amp;V$2&amp;V$1&amp;"P"&amp;$A49)),0),IF($X$1="ABS",IF(RTD("tos.rtd",,$A$2,"."&amp;V$2&amp;V$1&amp;"C"&amp;$A49)="N/A",0,RTD("tos.rtd",,$A$2,"."&amp;V$2&amp;V$1&amp;"C"&amp;$A49))+IF(RTD("tos.rtd",,$A$2,"."&amp;V$2&amp;V$1&amp;"P"&amp;$A49)="N/A",0,RTD("tos.rtd",,$A$2,"."&amp;V$2&amp;V$1&amp;"P"&amp;$A49)),IF(RTD("tos.rtd",,$A$2,"."&amp;V$2&amp;V$1&amp;"C"&amp;$A49)="N/A",0,RTD("tos.rtd",,$A$2,"."&amp;V$2&amp;V$1&amp;"C"&amp;$A49))-IF(RTD("tos.rtd",,$A$2,"."&amp;V$2&amp;V$1&amp;"P"&amp;$A49)="N/A",0,RTD("tos.rtd",,$A$2,"."&amp;V$2&amp;V$1&amp;"P"&amp;$A49))))))))))</f>
        <v>0</v>
      </c>
      <c r="W49" s="12">
        <f ca="1">IF($A$2="PREMIUM_OI",IFERROR(IF($X$1="ABS",(100*RTD("tos.rtd",,"OPEN_INT","."&amp;W$2&amp;W$1&amp;"C"&amp;$A49)*RTD("tos.rtd",,"LAST","."&amp;W$2&amp;W$1&amp;"C"&amp;$A49)+100*RTD("tos.rtd",,"OPEN_INT","."&amp;W$2&amp;W$1&amp;"P"&amp;$A49)*RTD("tos.rtd",,"LAST","."&amp;W$2&amp;W$1&amp;"P"&amp;$A49))/1000000,(100*RTD("tos.rtd",,"OPEN_INT","."&amp;W$2&amp;W$1&amp;"C"&amp;$A49)*RTD("tos.rtd",,"LAST","."&amp;W$2&amp;W$1&amp;"C"&amp;$A49)-100*RTD("tos.rtd",,"OPEN_INT","."&amp;W$2&amp;W$1&amp;"P"&amp;$A49)*RTD("tos.rtd",,"LAST","."&amp;W$2&amp;W$1&amp;"P"&amp;$A49))/1000000),0),IF($A$2="PREMIUM",IFERROR(IF($X$1="ABS",(100*RTD("tos.rtd",,"VOLUME","."&amp;W$2&amp;W$1&amp;"C"&amp;$A49)*RTD("tos.rtd",,"LAST","."&amp;W$2&amp;W$1&amp;"C"&amp;$A49)+100*RTD("tos.rtd",,"VOLUME","."&amp;W$2&amp;W$1&amp;"P"&amp;$A49)*RTD("tos.rtd",,"LAST","."&amp;W$2&amp;W$1&amp;"P"&amp;$A49))/1000000,(100*RTD("tos.rtd",,"VOLUME","."&amp;W$2&amp;W$1&amp;"C"&amp;$A49)*RTD("tos.rtd",,"LAST","."&amp;W$2&amp;W$1&amp;"C"&amp;$A49)-100*RTD("tos.rtd",,"VOLUME","."&amp;W$2&amp;W$1&amp;"P"&amp;$A49)*RTD("tos.rtd",,"LAST","."&amp;W$2&amp;W$1&amp;"P"&amp;$A49))/1000000),0),IF($A$2="DEX",IFERROR(IF($X$1="ABS",(100*RTD("tos.rtd",,"OPEN_INT","."&amp;W$2&amp;W$1&amp;"C"&amp;$A49)*RTD("tos.rtd",,"DELTA","."&amp;W$2&amp;W$1&amp;"C"&amp;$A49)+100*RTD("tos.rtd",,"OPEN_INT","."&amp;W$2&amp;W$1&amp;"P"&amp;$A49)*RTD("tos.rtd",,"DELTA","."&amp;W$2&amp;W$1&amp;"P"&amp;$A49))/1000,(100*RTD("tos.rtd",,"OPEN_INT","."&amp;W$2&amp;W$1&amp;"C"&amp;$A49)*RTD("tos.rtd",,"DELTA","."&amp;W$2&amp;W$1&amp;"C"&amp;$A49)-100*RTD("tos.rtd",,"OPEN_INT","."&amp;W$2&amp;W$1&amp;"P"&amp;$A49)*RTD("tos.rtd",,"DELTA","."&amp;W$2&amp;W$1&amp;"P"&amp;$A49))/1000),0),IF($A$2="VEX",IFERROR(IF($X$1="ABS",($A$4*$A$4*RTD("tos.rtd",,"VOLUME","."&amp;W$2&amp;W$1&amp;"C"&amp;$A49)*RTD("tos.rtd",,"GAMMA","."&amp;W$2&amp;W$1&amp;"C"&amp;$A49)+$A$4*$A$4*RTD("tos.rtd",,"VOLUME","."&amp;W$2&amp;W$1&amp;"P"&amp;$A49)*RTD("tos.rtd",,"GAMMA","."&amp;W$2&amp;W$1&amp;"P"&amp;$A49))/1000000,($A$4*$A$4*RTD("tos.rtd",,"VOLUME","."&amp;W$2&amp;W$1&amp;"C"&amp;$A49)*RTD("tos.rtd",,"GAMMA","."&amp;W$2&amp;W$1&amp;"C"&amp;$A49)-$A$4*$A$4*RTD("tos.rtd",,"VOLUME","."&amp;W$2&amp;W$1&amp;"P"&amp;$A49)*RTD("tos.rtd",,"GAMMA","."&amp;W$2&amp;W$1&amp;"P"&amp;$A49))/1000000),0),IF($A$2="GEX",IFERROR(IF($X$1="ABS",($A$4*$A$4*RTD("tos.rtd",,"OPEN_INT","."&amp;W$2&amp;W$1&amp;"C"&amp;$A49)*RTD("tos.rtd",,"GAMMA","."&amp;W$2&amp;W$1&amp;"C"&amp;$A49)+$A$4*$A$4*RTD("tos.rtd",,"OPEN_INT","."&amp;W$2&amp;W$1&amp;"P"&amp;$A49)*RTD("tos.rtd",,"GAMMA","."&amp;W$2&amp;W$1&amp;"P"&amp;$A49))/1000000,($A$4*$A$4*RTD("tos.rtd",,"OPEN_INT","."&amp;W$2&amp;W$1&amp;"C"&amp;$A49)*RTD("tos.rtd",,"GAMMA","."&amp;W$2&amp;W$1&amp;"C"&amp;$A49)-$A$4*$A$4*RTD("tos.rtd",,"OPEN_INT","."&amp;W$2&amp;W$1&amp;"P"&amp;$A49)*RTD("tos.rtd",,"GAMMA","."&amp;W$2&amp;W$1&amp;"P"&amp;$A49))/1000000),0),IF($A$2="SKEW",IFERROR(VALUE(IF(RTD("tos.rtd",,"IMPL_VOL","."&amp;W$2&amp;W$1&amp;"P"&amp;$A49)="N/A",0,RTD("tos.rtd",,"IMPL_VOL","."&amp;W$2&amp;W$1&amp;"P"&amp;$A49))),0)-IFERROR(VALUE(IF(RTD("tos.rtd",,"IMPL_VOL","."&amp;W$2&amp;W$1&amp;"C"&amp;$A49)="N/A",0,RTD("tos.rtd",,"IMPL_VOL","."&amp;W$2&amp;W$1&amp;"C"&amp;$A49))),0),IF($A$2="MAXPAIN",IF($A$4&gt;$A49,($A$4-$A49)*IF(RTD("tos.rtd",,"OPEN_INT","."&amp;W$2&amp;W$1&amp;"C"&amp;$A49)="N/A",0,RTD("tos.rtd",,"OPEN_INT","."&amp;W$2&amp;W$1&amp;"C"&amp;$A49)),0)+IF($A$4&lt;$A49,($A$5-$A$4)*IF(RTD("tos.rtd",,"OPEN_INT","."&amp;W$2&amp;W$1&amp;"P"&amp;$A49)="N/A",0,RTD("tos.rtd",,"OPEN_INT","."&amp;W$2&amp;W$1&amp;"P"&amp;$A49)),0),IF($X$1="ABS",IF(RTD("tos.rtd",,$A$2,"."&amp;W$2&amp;W$1&amp;"C"&amp;$A49)="N/A",0,RTD("tos.rtd",,$A$2,"."&amp;W$2&amp;W$1&amp;"C"&amp;$A49))+IF(RTD("tos.rtd",,$A$2,"."&amp;W$2&amp;W$1&amp;"P"&amp;$A49)="N/A",0,RTD("tos.rtd",,$A$2,"."&amp;W$2&amp;W$1&amp;"P"&amp;$A49)),IF(RTD("tos.rtd",,$A$2,"."&amp;W$2&amp;W$1&amp;"C"&amp;$A49)="N/A",0,RTD("tos.rtd",,$A$2,"."&amp;W$2&amp;W$1&amp;"C"&amp;$A49))-IF(RTD("tos.rtd",,$A$2,"."&amp;W$2&amp;W$1&amp;"P"&amp;$A49)="N/A",0,RTD("tos.rtd",,$A$2,"."&amp;W$2&amp;W$1&amp;"P"&amp;$A49))))))))))</f>
        <v>0</v>
      </c>
      <c r="X49" s="57">
        <f t="shared" ca="1" si="7"/>
        <v>0</v>
      </c>
      <c r="Y49" s="27">
        <f t="shared" ca="1" si="8"/>
        <v>0</v>
      </c>
      <c r="Z49" s="27" t="b">
        <f t="shared" ca="1" si="9"/>
        <v>0</v>
      </c>
      <c r="AA49" s="27">
        <f t="shared" si="10"/>
        <v>57421100</v>
      </c>
      <c r="AB49" s="18">
        <f>MAX(0, $A49-AB$4)*IF(RTD("tos.rtd",,"OPEN_INT","."&amp;$AA$3&amp;$AA$4&amp;"C"&amp;AB$4)="N/A",0,RTD("tos.rtd",,"OPEN_INT","."&amp;$AA$3&amp;$AA$4&amp;"C"&amp;AB$4))*100 + MAX(0, AB$4-$A49)*IF(RTD("tos.rtd",,"OPEN_INT","."&amp;$AA$3&amp;$AA$4&amp;"P"&amp;AB$4)="N/A",0,RTD("tos.rtd",,"OPEN_INT","."&amp;$AA$3&amp;$AA$4&amp;"P"&amp;AB$4))*100</f>
        <v>0</v>
      </c>
      <c r="AC49" s="18">
        <f>MAX(0, $A49-AC$4)*IF(RTD("tos.rtd",,"OPEN_INT","."&amp;$AA$3&amp;$AA$4&amp;"C"&amp;AC$4)="N/A",0,RTD("tos.rtd",,"OPEN_INT","."&amp;$AA$3&amp;$AA$4&amp;"C"&amp;AC$4))*100 + MAX(0, AC$4-$A49)*IF(RTD("tos.rtd",,"OPEN_INT","."&amp;$AA$3&amp;$AA$4&amp;"P"&amp;AC$4)="N/A",0,RTD("tos.rtd",,"OPEN_INT","."&amp;$AA$3&amp;$AA$4&amp;"P"&amp;AC$4))*100</f>
        <v>0</v>
      </c>
      <c r="AD49" s="18">
        <f>MAX(0, $A49-AD$4)*IF(RTD("tos.rtd",,"OPEN_INT","."&amp;$AA$3&amp;$AA$4&amp;"C"&amp;AD$4)="N/A",0,RTD("tos.rtd",,"OPEN_INT","."&amp;$AA$3&amp;$AA$4&amp;"C"&amp;AD$4))*100 + MAX(0, AD$4-$A49)*IF(RTD("tos.rtd",,"OPEN_INT","."&amp;$AA$3&amp;$AA$4&amp;"P"&amp;AD$4)="N/A",0,RTD("tos.rtd",,"OPEN_INT","."&amp;$AA$3&amp;$AA$4&amp;"P"&amp;AD$4))*100</f>
        <v>0</v>
      </c>
      <c r="AE49" s="18">
        <f>MAX(0, $A49-AE$4)*IF(RTD("tos.rtd",,"OPEN_INT","."&amp;$AA$3&amp;$AA$4&amp;"C"&amp;AE$4)="N/A",0,RTD("tos.rtd",,"OPEN_INT","."&amp;$AA$3&amp;$AA$4&amp;"C"&amp;AE$4))*100 + MAX(0, AE$4-$A49)*IF(RTD("tos.rtd",,"OPEN_INT","."&amp;$AA$3&amp;$AA$4&amp;"P"&amp;AE$4)="N/A",0,RTD("tos.rtd",,"OPEN_INT","."&amp;$AA$3&amp;$AA$4&amp;"P"&amp;AE$4))*100</f>
        <v>0</v>
      </c>
      <c r="AF49" s="18">
        <f>MAX(0, $A49-AF$4)*IF(RTD("tos.rtd",,"OPEN_INT","."&amp;$AA$3&amp;$AA$4&amp;"C"&amp;AF$4)="N/A",0,RTD("tos.rtd",,"OPEN_INT","."&amp;$AA$3&amp;$AA$4&amp;"C"&amp;AF$4))*100 + MAX(0, AF$4-$A49)*IF(RTD("tos.rtd",,"OPEN_INT","."&amp;$AA$3&amp;$AA$4&amp;"P"&amp;AF$4)="N/A",0,RTD("tos.rtd",,"OPEN_INT","."&amp;$AA$3&amp;$AA$4&amp;"P"&amp;AF$4))*100</f>
        <v>0</v>
      </c>
      <c r="AG49" s="18">
        <f>MAX(0, $A49-AG$4)*IF(RTD("tos.rtd",,"OPEN_INT","."&amp;$AA$3&amp;$AA$4&amp;"C"&amp;AG$4)="N/A",0,RTD("tos.rtd",,"OPEN_INT","."&amp;$AA$3&amp;$AA$4&amp;"C"&amp;AG$4))*100 + MAX(0, AG$4-$A49)*IF(RTD("tos.rtd",,"OPEN_INT","."&amp;$AA$3&amp;$AA$4&amp;"P"&amp;AG$4)="N/A",0,RTD("tos.rtd",,"OPEN_INT","."&amp;$AA$3&amp;$AA$4&amp;"P"&amp;AG$4))*100</f>
        <v>0</v>
      </c>
      <c r="AH49" s="18">
        <f>MAX(0, $A49-AH$4)*IF(RTD("tos.rtd",,"OPEN_INT","."&amp;$AA$3&amp;$AA$4&amp;"C"&amp;AH$4)="N/A",0,RTD("tos.rtd",,"OPEN_INT","."&amp;$AA$3&amp;$AA$4&amp;"C"&amp;AH$4))*100 + MAX(0, AH$4-$A49)*IF(RTD("tos.rtd",,"OPEN_INT","."&amp;$AA$3&amp;$AA$4&amp;"P"&amp;AH$4)="N/A",0,RTD("tos.rtd",,"OPEN_INT","."&amp;$AA$3&amp;$AA$4&amp;"P"&amp;AH$4))*100</f>
        <v>0</v>
      </c>
      <c r="AI49" s="18">
        <f>MAX(0, $A49-AI$4)*IF(RTD("tos.rtd",,"OPEN_INT","."&amp;$AA$3&amp;$AA$4&amp;"C"&amp;AI$4)="N/A",0,RTD("tos.rtd",,"OPEN_INT","."&amp;$AA$3&amp;$AA$4&amp;"C"&amp;AI$4))*100 + MAX(0, AI$4-$A49)*IF(RTD("tos.rtd",,"OPEN_INT","."&amp;$AA$3&amp;$AA$4&amp;"P"&amp;AI$4)="N/A",0,RTD("tos.rtd",,"OPEN_INT","."&amp;$AA$3&amp;$AA$4&amp;"P"&amp;AI$4))*100</f>
        <v>5550</v>
      </c>
      <c r="AJ49" s="18">
        <f>MAX(0, $A49-AJ$4)*IF(RTD("tos.rtd",,"OPEN_INT","."&amp;$AA$3&amp;$AA$4&amp;"C"&amp;AJ$4)="N/A",0,RTD("tos.rtd",,"OPEN_INT","."&amp;$AA$3&amp;$AA$4&amp;"C"&amp;AJ$4))*100 + MAX(0, AJ$4-$A49)*IF(RTD("tos.rtd",,"OPEN_INT","."&amp;$AA$3&amp;$AA$4&amp;"P"&amp;AJ$4)="N/A",0,RTD("tos.rtd",,"OPEN_INT","."&amp;$AA$3&amp;$AA$4&amp;"P"&amp;AJ$4))*100</f>
        <v>14400</v>
      </c>
      <c r="AK49" s="18">
        <f>MAX(0, $A49-AK$4)*IF(RTD("tos.rtd",,"OPEN_INT","."&amp;$AA$3&amp;$AA$4&amp;"C"&amp;AK$4)="N/A",0,RTD("tos.rtd",,"OPEN_INT","."&amp;$AA$3&amp;$AA$4&amp;"C"&amp;AK$4))*100 + MAX(0, AK$4-$A49)*IF(RTD("tos.rtd",,"OPEN_INT","."&amp;$AA$3&amp;$AA$4&amp;"P"&amp;AK$4)="N/A",0,RTD("tos.rtd",,"OPEN_INT","."&amp;$AA$3&amp;$AA$4&amp;"P"&amp;AK$4))*100</f>
        <v>0</v>
      </c>
      <c r="AL49" s="18">
        <f>MAX(0, $A49-AL$4)*IF(RTD("tos.rtd",,"OPEN_INT","."&amp;$AA$3&amp;$AA$4&amp;"C"&amp;AL$4)="N/A",0,RTD("tos.rtd",,"OPEN_INT","."&amp;$AA$3&amp;$AA$4&amp;"C"&amp;AL$4))*100 + MAX(0, AL$4-$A49)*IF(RTD("tos.rtd",,"OPEN_INT","."&amp;$AA$3&amp;$AA$4&amp;"P"&amp;AL$4)="N/A",0,RTD("tos.rtd",,"OPEN_INT","."&amp;$AA$3&amp;$AA$4&amp;"P"&amp;AL$4))*100</f>
        <v>0</v>
      </c>
      <c r="AM49" s="18">
        <f>MAX(0, $A49-AM$4)*IF(RTD("tos.rtd",,"OPEN_INT","."&amp;$AA$3&amp;$AA$4&amp;"C"&amp;AM$4)="N/A",0,RTD("tos.rtd",,"OPEN_INT","."&amp;$AA$3&amp;$AA$4&amp;"C"&amp;AM$4))*100 + MAX(0, AM$4-$A49)*IF(RTD("tos.rtd",,"OPEN_INT","."&amp;$AA$3&amp;$AA$4&amp;"P"&amp;AM$4)="N/A",0,RTD("tos.rtd",,"OPEN_INT","."&amp;$AA$3&amp;$AA$4&amp;"P"&amp;AM$4))*100</f>
        <v>0</v>
      </c>
      <c r="AN49" s="18">
        <f>MAX(0, $A49-AN$4)*IF(RTD("tos.rtd",,"OPEN_INT","."&amp;$AA$3&amp;$AA$4&amp;"C"&amp;AN$4)="N/A",0,RTD("tos.rtd",,"OPEN_INT","."&amp;$AA$3&amp;$AA$4&amp;"C"&amp;AN$4))*100 + MAX(0, AN$4-$A49)*IF(RTD("tos.rtd",,"OPEN_INT","."&amp;$AA$3&amp;$AA$4&amp;"P"&amp;AN$4)="N/A",0,RTD("tos.rtd",,"OPEN_INT","."&amp;$AA$3&amp;$AA$4&amp;"P"&amp;AN$4))*100</f>
        <v>0</v>
      </c>
      <c r="AO49" s="18">
        <f>MAX(0, $A49-AO$4)*IF(RTD("tos.rtd",,"OPEN_INT","."&amp;$AA$3&amp;$AA$4&amp;"C"&amp;AO$4)="N/A",0,RTD("tos.rtd",,"OPEN_INT","."&amp;$AA$3&amp;$AA$4&amp;"C"&amp;AO$4))*100 + MAX(0, AO$4-$A49)*IF(RTD("tos.rtd",,"OPEN_INT","."&amp;$AA$3&amp;$AA$4&amp;"P"&amp;AO$4)="N/A",0,RTD("tos.rtd",,"OPEN_INT","."&amp;$AA$3&amp;$AA$4&amp;"P"&amp;AO$4))*100</f>
        <v>186000</v>
      </c>
      <c r="AP49" s="18">
        <f>MAX(0, $A49-AP$4)*IF(RTD("tos.rtd",,"OPEN_INT","."&amp;$AA$3&amp;$AA$4&amp;"C"&amp;AP$4)="N/A",0,RTD("tos.rtd",,"OPEN_INT","."&amp;$AA$3&amp;$AA$4&amp;"C"&amp;AP$4))*100 + MAX(0, AP$4-$A49)*IF(RTD("tos.rtd",,"OPEN_INT","."&amp;$AA$3&amp;$AA$4&amp;"P"&amp;AP$4)="N/A",0,RTD("tos.rtd",,"OPEN_INT","."&amp;$AA$3&amp;$AA$4&amp;"P"&amp;AP$4))*100</f>
        <v>0</v>
      </c>
      <c r="AQ49" s="18">
        <f>MAX(0, $A49-AQ$4)*IF(RTD("tos.rtd",,"OPEN_INT","."&amp;$AA$3&amp;$AA$4&amp;"C"&amp;AQ$4)="N/A",0,RTD("tos.rtd",,"OPEN_INT","."&amp;$AA$3&amp;$AA$4&amp;"C"&amp;AQ$4))*100 + MAX(0, AQ$4-$A49)*IF(RTD("tos.rtd",,"OPEN_INT","."&amp;$AA$3&amp;$AA$4&amp;"P"&amp;AQ$4)="N/A",0,RTD("tos.rtd",,"OPEN_INT","."&amp;$AA$3&amp;$AA$4&amp;"P"&amp;AQ$4))*100</f>
        <v>76850</v>
      </c>
      <c r="AR49" s="18">
        <f>MAX(0, $A49-AR$4)*IF(RTD("tos.rtd",,"OPEN_INT","."&amp;$AA$3&amp;$AA$4&amp;"C"&amp;AR$4)="N/A",0,RTD("tos.rtd",,"OPEN_INT","."&amp;$AA$3&amp;$AA$4&amp;"C"&amp;AR$4))*100 + MAX(0, AR$4-$A49)*IF(RTD("tos.rtd",,"OPEN_INT","."&amp;$AA$3&amp;$AA$4&amp;"P"&amp;AR$4)="N/A",0,RTD("tos.rtd",,"OPEN_INT","."&amp;$AA$3&amp;$AA$4&amp;"P"&amp;AR$4))*100</f>
        <v>8400</v>
      </c>
      <c r="AS49" s="18">
        <f>MAX(0, $A49-AS$4)*IF(RTD("tos.rtd",,"OPEN_INT","."&amp;$AA$3&amp;$AA$4&amp;"C"&amp;AS$4)="N/A",0,RTD("tos.rtd",,"OPEN_INT","."&amp;$AA$3&amp;$AA$4&amp;"C"&amp;AS$4))*100 + MAX(0, AS$4-$A49)*IF(RTD("tos.rtd",,"OPEN_INT","."&amp;$AA$3&amp;$AA$4&amp;"P"&amp;AS$4)="N/A",0,RTD("tos.rtd",,"OPEN_INT","."&amp;$AA$3&amp;$AA$4&amp;"P"&amp;AS$4))*100</f>
        <v>83700</v>
      </c>
      <c r="AT49" s="18">
        <f>MAX(0, $A49-AT$4)*IF(RTD("tos.rtd",,"OPEN_INT","."&amp;$AA$3&amp;$AA$4&amp;"C"&amp;AT$4)="N/A",0,RTD("tos.rtd",,"OPEN_INT","."&amp;$AA$3&amp;$AA$4&amp;"C"&amp;AT$4))*100 + MAX(0, AT$4-$A49)*IF(RTD("tos.rtd",,"OPEN_INT","."&amp;$AA$3&amp;$AA$4&amp;"P"&amp;AT$4)="N/A",0,RTD("tos.rtd",,"OPEN_INT","."&amp;$AA$3&amp;$AA$4&amp;"P"&amp;AT$4))*100</f>
        <v>91000</v>
      </c>
      <c r="AU49" s="18">
        <f>MAX(0, $A49-AU$4)*IF(RTD("tos.rtd",,"OPEN_INT","."&amp;$AA$3&amp;$AA$4&amp;"C"&amp;AU$4)="N/A",0,RTD("tos.rtd",,"OPEN_INT","."&amp;$AA$3&amp;$AA$4&amp;"C"&amp;AU$4))*100 + MAX(0, AU$4-$A49)*IF(RTD("tos.rtd",,"OPEN_INT","."&amp;$AA$3&amp;$AA$4&amp;"P"&amp;AU$4)="N/A",0,RTD("tos.rtd",,"OPEN_INT","."&amp;$AA$3&amp;$AA$4&amp;"P"&amp;AU$4))*100</f>
        <v>50000</v>
      </c>
      <c r="AV49" s="18">
        <f>MAX(0, $A49-AV$4)*IF(RTD("tos.rtd",,"OPEN_INT","."&amp;$AA$3&amp;$AA$4&amp;"C"&amp;AV$4)="N/A",0,RTD("tos.rtd",,"OPEN_INT","."&amp;$AA$3&amp;$AA$4&amp;"C"&amp;AV$4))*100 + MAX(0, AV$4-$A49)*IF(RTD("tos.rtd",,"OPEN_INT","."&amp;$AA$3&amp;$AA$4&amp;"P"&amp;AV$4)="N/A",0,RTD("tos.rtd",,"OPEN_INT","."&amp;$AA$3&amp;$AA$4&amp;"P"&amp;AV$4))*100</f>
        <v>193200</v>
      </c>
      <c r="AW49" s="18">
        <f>MAX(0, $A49-AW$4)*IF(RTD("tos.rtd",,"OPEN_INT","."&amp;$AA$3&amp;$AA$4&amp;"C"&amp;AW$4)="N/A",0,RTD("tos.rtd",,"OPEN_INT","."&amp;$AA$3&amp;$AA$4&amp;"C"&amp;AW$4))*100 + MAX(0, AW$4-$A49)*IF(RTD("tos.rtd",,"OPEN_INT","."&amp;$AA$3&amp;$AA$4&amp;"P"&amp;AW$4)="N/A",0,RTD("tos.rtd",,"OPEN_INT","."&amp;$AA$3&amp;$AA$4&amp;"P"&amp;AW$4))*100</f>
        <v>232300</v>
      </c>
      <c r="AX49" s="18">
        <f>MAX(0, $A49-AX$4)*IF(RTD("tos.rtd",,"OPEN_INT","."&amp;$AA$3&amp;$AA$4&amp;"C"&amp;AX$4)="N/A",0,RTD("tos.rtd",,"OPEN_INT","."&amp;$AA$3&amp;$AA$4&amp;"C"&amp;AX$4))*100 + MAX(0, AX$4-$A49)*IF(RTD("tos.rtd",,"OPEN_INT","."&amp;$AA$3&amp;$AA$4&amp;"P"&amp;AX$4)="N/A",0,RTD("tos.rtd",,"OPEN_INT","."&amp;$AA$3&amp;$AA$4&amp;"P"&amp;AX$4))*100</f>
        <v>271700</v>
      </c>
      <c r="AY49" s="18">
        <f>MAX(0, $A49-AY$4)*IF(RTD("tos.rtd",,"OPEN_INT","."&amp;$AA$3&amp;$AA$4&amp;"C"&amp;AY$4)="N/A",0,RTD("tos.rtd",,"OPEN_INT","."&amp;$AA$3&amp;$AA$4&amp;"C"&amp;AY$4))*100 + MAX(0, AY$4-$A49)*IF(RTD("tos.rtd",,"OPEN_INT","."&amp;$AA$3&amp;$AA$4&amp;"P"&amp;AY$4)="N/A",0,RTD("tos.rtd",,"OPEN_INT","."&amp;$AA$3&amp;$AA$4&amp;"P"&amp;AY$4))*100</f>
        <v>2177700</v>
      </c>
      <c r="AZ49" s="18">
        <f>MAX(0, $A49-AZ$4)*IF(RTD("tos.rtd",,"OPEN_INT","."&amp;$AA$3&amp;$AA$4&amp;"C"&amp;AZ$4)="N/A",0,RTD("tos.rtd",,"OPEN_INT","."&amp;$AA$3&amp;$AA$4&amp;"C"&amp;AZ$4))*100 + MAX(0, AZ$4-$A49)*IF(RTD("tos.rtd",,"OPEN_INT","."&amp;$AA$3&amp;$AA$4&amp;"P"&amp;AZ$4)="N/A",0,RTD("tos.rtd",,"OPEN_INT","."&amp;$AA$3&amp;$AA$4&amp;"P"&amp;AZ$4))*100</f>
        <v>568000</v>
      </c>
      <c r="BA49" s="18">
        <f>MAX(0, $A49-BA$4)*IF(RTD("tos.rtd",,"OPEN_INT","."&amp;$AA$3&amp;$AA$4&amp;"C"&amp;BA$4)="N/A",0,RTD("tos.rtd",,"OPEN_INT","."&amp;$AA$3&amp;$AA$4&amp;"C"&amp;BA$4))*100 + MAX(0, BA$4-$A49)*IF(RTD("tos.rtd",,"OPEN_INT","."&amp;$AA$3&amp;$AA$4&amp;"P"&amp;BA$4)="N/A",0,RTD("tos.rtd",,"OPEN_INT","."&amp;$AA$3&amp;$AA$4&amp;"P"&amp;BA$4))*100</f>
        <v>2223000</v>
      </c>
      <c r="BB49" s="18">
        <f>MAX(0, $A49-BB$4)*IF(RTD("tos.rtd",,"OPEN_INT","."&amp;$AA$3&amp;$AA$4&amp;"C"&amp;BB$4)="N/A",0,RTD("tos.rtd",,"OPEN_INT","."&amp;$AA$3&amp;$AA$4&amp;"C"&amp;BB$4))*100 + MAX(0, BB$4-$A49)*IF(RTD("tos.rtd",,"OPEN_INT","."&amp;$AA$3&amp;$AA$4&amp;"P"&amp;BB$4)="N/A",0,RTD("tos.rtd",,"OPEN_INT","."&amp;$AA$3&amp;$AA$4&amp;"P"&amp;BB$4))*100</f>
        <v>2055600</v>
      </c>
      <c r="BC49" s="18">
        <f>MAX(0, $A49-BC$4)*IF(RTD("tos.rtd",,"OPEN_INT","."&amp;$AA$3&amp;$AA$4&amp;"C"&amp;BC$4)="N/A",0,RTD("tos.rtd",,"OPEN_INT","."&amp;$AA$3&amp;$AA$4&amp;"C"&amp;BC$4))*100 + MAX(0, BC$4-$A49)*IF(RTD("tos.rtd",,"OPEN_INT","."&amp;$AA$3&amp;$AA$4&amp;"P"&amp;BC$4)="N/A",0,RTD("tos.rtd",,"OPEN_INT","."&amp;$AA$3&amp;$AA$4&amp;"P"&amp;BC$4))*100</f>
        <v>6503350</v>
      </c>
      <c r="BD49" s="18">
        <f>MAX(0, $A49-BD$4)*IF(RTD("tos.rtd",,"OPEN_INT","."&amp;$AA$3&amp;$AA$4&amp;"C"&amp;BD$4)="N/A",0,RTD("tos.rtd",,"OPEN_INT","."&amp;$AA$3&amp;$AA$4&amp;"C"&amp;BD$4))*100 + MAX(0, BD$4-$A49)*IF(RTD("tos.rtd",,"OPEN_INT","."&amp;$AA$3&amp;$AA$4&amp;"P"&amp;BD$4)="N/A",0,RTD("tos.rtd",,"OPEN_INT","."&amp;$AA$3&amp;$AA$4&amp;"P"&amp;BD$4))*100</f>
        <v>7856800</v>
      </c>
      <c r="BE49" s="18">
        <f>MAX(0, $A49-BE$4)*IF(RTD("tos.rtd",,"OPEN_INT","."&amp;$AA$3&amp;$AA$4&amp;"C"&amp;BE$4)="N/A",0,RTD("tos.rtd",,"OPEN_INT","."&amp;$AA$3&amp;$AA$4&amp;"C"&amp;BE$4))*100 + MAX(0, BE$4-$A49)*IF(RTD("tos.rtd",,"OPEN_INT","."&amp;$AA$3&amp;$AA$4&amp;"P"&amp;BE$4)="N/A",0,RTD("tos.rtd",,"OPEN_INT","."&amp;$AA$3&amp;$AA$4&amp;"P"&amp;BE$4))*100</f>
        <v>8337000</v>
      </c>
      <c r="BF49" s="18">
        <f>MAX(0, $A49-BF$4)*IF(RTD("tos.rtd",,"OPEN_INT","."&amp;$AA$3&amp;$AA$4&amp;"C"&amp;BF$4)="N/A",0,RTD("tos.rtd",,"OPEN_INT","."&amp;$AA$3&amp;$AA$4&amp;"C"&amp;BF$4))*100 + MAX(0, BF$4-$A49)*IF(RTD("tos.rtd",,"OPEN_INT","."&amp;$AA$3&amp;$AA$4&amp;"P"&amp;BF$4)="N/A",0,RTD("tos.rtd",,"OPEN_INT","."&amp;$AA$3&amp;$AA$4&amp;"P"&amp;BF$4))*100</f>
        <v>9736300</v>
      </c>
      <c r="BG49" s="18">
        <f>MAX(0, $A49-BG$4)*IF(RTD("tos.rtd",,"OPEN_INT","."&amp;$AA$3&amp;$AA$4&amp;"C"&amp;BG$4)="N/A",0,RTD("tos.rtd",,"OPEN_INT","."&amp;$AA$3&amp;$AA$4&amp;"C"&amp;BG$4))*100 + MAX(0, BG$4-$A49)*IF(RTD("tos.rtd",,"OPEN_INT","."&amp;$AA$3&amp;$AA$4&amp;"P"&amp;BG$4)="N/A",0,RTD("tos.rtd",,"OPEN_INT","."&amp;$AA$3&amp;$AA$4&amp;"P"&amp;BG$4))*100</f>
        <v>5898750</v>
      </c>
      <c r="BH49" s="18">
        <f>MAX(0, $A49-BH$4)*IF(RTD("tos.rtd",,"OPEN_INT","."&amp;$AA$3&amp;$AA$4&amp;"C"&amp;BH$4)="N/A",0,RTD("tos.rtd",,"OPEN_INT","."&amp;$AA$3&amp;$AA$4&amp;"C"&amp;BH$4))*100 + MAX(0, BH$4-$A49)*IF(RTD("tos.rtd",,"OPEN_INT","."&amp;$AA$3&amp;$AA$4&amp;"P"&amp;BH$4)="N/A",0,RTD("tos.rtd",,"OPEN_INT","."&amp;$AA$3&amp;$AA$4&amp;"P"&amp;BH$4))*100</f>
        <v>3853800</v>
      </c>
      <c r="BI49" s="18">
        <f>MAX(0, $A49-BI$4)*IF(RTD("tos.rtd",,"OPEN_INT","."&amp;$AA$3&amp;$AA$4&amp;"C"&amp;BI$4)="N/A",0,RTD("tos.rtd",,"OPEN_INT","."&amp;$AA$3&amp;$AA$4&amp;"C"&amp;BI$4))*100 + MAX(0, BI$4-$A49)*IF(RTD("tos.rtd",,"OPEN_INT","."&amp;$AA$3&amp;$AA$4&amp;"P"&amp;BI$4)="N/A",0,RTD("tos.rtd",,"OPEN_INT","."&amp;$AA$3&amp;$AA$4&amp;"P"&amp;BI$4))*100</f>
        <v>4413750</v>
      </c>
      <c r="BJ49" s="18">
        <f>MAX(0, $A49-BJ$4)*IF(RTD("tos.rtd",,"OPEN_INT","."&amp;$AA$3&amp;$AA$4&amp;"C"&amp;BJ$4)="N/A",0,RTD("tos.rtd",,"OPEN_INT","."&amp;$AA$3&amp;$AA$4&amp;"C"&amp;BJ$4))*100 + MAX(0, BJ$4-$A49)*IF(RTD("tos.rtd",,"OPEN_INT","."&amp;$AA$3&amp;$AA$4&amp;"P"&amp;BJ$4)="N/A",0,RTD("tos.rtd",,"OPEN_INT","."&amp;$AA$3&amp;$AA$4&amp;"P"&amp;BJ$4))*100</f>
        <v>1091500</v>
      </c>
      <c r="BK49" s="18">
        <f>MAX(0, $A49-BK$4)*IF(RTD("tos.rtd",,"OPEN_INT","."&amp;$AA$3&amp;$AA$4&amp;"C"&amp;BK$4)="N/A",0,RTD("tos.rtd",,"OPEN_INT","."&amp;$AA$3&amp;$AA$4&amp;"C"&amp;BK$4))*100 + MAX(0, BK$4-$A49)*IF(RTD("tos.rtd",,"OPEN_INT","."&amp;$AA$3&amp;$AA$4&amp;"P"&amp;BK$4)="N/A",0,RTD("tos.rtd",,"OPEN_INT","."&amp;$AA$3&amp;$AA$4&amp;"P"&amp;BK$4))*100</f>
        <v>1053000</v>
      </c>
      <c r="BL49" s="18">
        <f>MAX(0, $A49-BL$4)*IF(RTD("tos.rtd",,"OPEN_INT","."&amp;$AA$3&amp;$AA$4&amp;"C"&amp;BL$4)="N/A",0,RTD("tos.rtd",,"OPEN_INT","."&amp;$AA$3&amp;$AA$4&amp;"C"&amp;BL$4))*100 + MAX(0, BL$4-$A49)*IF(RTD("tos.rtd",,"OPEN_INT","."&amp;$AA$3&amp;$AA$4&amp;"P"&amp;BL$4)="N/A",0,RTD("tos.rtd",,"OPEN_INT","."&amp;$AA$3&amp;$AA$4&amp;"P"&amp;BL$4))*100</f>
        <v>156800</v>
      </c>
      <c r="BM49" s="18">
        <f>MAX(0, $A49-BM$4)*IF(RTD("tos.rtd",,"OPEN_INT","."&amp;$AA$3&amp;$AA$4&amp;"C"&amp;BM$4)="N/A",0,RTD("tos.rtd",,"OPEN_INT","."&amp;$AA$3&amp;$AA$4&amp;"C"&amp;BM$4))*100 + MAX(0, BM$4-$A49)*IF(RTD("tos.rtd",,"OPEN_INT","."&amp;$AA$3&amp;$AA$4&amp;"P"&amp;BM$4)="N/A",0,RTD("tos.rtd",,"OPEN_INT","."&amp;$AA$3&amp;$AA$4&amp;"P"&amp;BM$4))*100</f>
        <v>152250</v>
      </c>
      <c r="BN49" s="18">
        <f>MAX(0, $A49-BN$4)*IF(RTD("tos.rtd",,"OPEN_INT","."&amp;$AA$3&amp;$AA$4&amp;"C"&amp;BN$4)="N/A",0,RTD("tos.rtd",,"OPEN_INT","."&amp;$AA$3&amp;$AA$4&amp;"C"&amp;BN$4))*100 + MAX(0, BN$4-$A49)*IF(RTD("tos.rtd",,"OPEN_INT","."&amp;$AA$3&amp;$AA$4&amp;"P"&amp;BN$4)="N/A",0,RTD("tos.rtd",,"OPEN_INT","."&amp;$AA$3&amp;$AA$4&amp;"P"&amp;BN$4))*100</f>
        <v>18900</v>
      </c>
      <c r="BO49" s="18">
        <f>MAX(0, $A49-BO$4)*IF(RTD("tos.rtd",,"OPEN_INT","."&amp;$AA$3&amp;$AA$4&amp;"C"&amp;BO$4)="N/A",0,RTD("tos.rtd",,"OPEN_INT","."&amp;$AA$3&amp;$AA$4&amp;"C"&amp;BO$4))*100 + MAX(0, BO$4-$A49)*IF(RTD("tos.rtd",,"OPEN_INT","."&amp;$AA$3&amp;$AA$4&amp;"P"&amp;BO$4)="N/A",0,RTD("tos.rtd",,"OPEN_INT","."&amp;$AA$3&amp;$AA$4&amp;"P"&amp;BO$4))*100</f>
        <v>111500</v>
      </c>
      <c r="BP49" s="18">
        <f>MAX(0, $A49-BP$4)*IF(RTD("tos.rtd",,"OPEN_INT","."&amp;$AA$3&amp;$AA$4&amp;"C"&amp;BP$4)="N/A",0,RTD("tos.rtd",,"OPEN_INT","."&amp;$AA$3&amp;$AA$4&amp;"C"&amp;BP$4))*100 + MAX(0, BP$4-$A49)*IF(RTD("tos.rtd",,"OPEN_INT","."&amp;$AA$3&amp;$AA$4&amp;"P"&amp;BP$4)="N/A",0,RTD("tos.rtd",,"OPEN_INT","."&amp;$AA$3&amp;$AA$4&amp;"P"&amp;BP$4))*100</f>
        <v>0</v>
      </c>
      <c r="BQ49" s="18">
        <f>MAX(0, $A49-BQ$4)*IF(RTD("tos.rtd",,"OPEN_INT","."&amp;$AA$3&amp;$AA$4&amp;"C"&amp;BQ$4)="N/A",0,RTD("tos.rtd",,"OPEN_INT","."&amp;$AA$3&amp;$AA$4&amp;"C"&amp;BQ$4))*100 + MAX(0, BQ$4-$A49)*IF(RTD("tos.rtd",,"OPEN_INT","."&amp;$AA$3&amp;$AA$4&amp;"P"&amp;BQ$4)="N/A",0,RTD("tos.rtd",,"OPEN_INT","."&amp;$AA$3&amp;$AA$4&amp;"P"&amp;BQ$4))*100</f>
        <v>0</v>
      </c>
      <c r="BR49" s="18">
        <f>MAX(0, $A49-BR$4)*IF(RTD("tos.rtd",,"OPEN_INT","."&amp;$AA$3&amp;$AA$4&amp;"C"&amp;BR$4)="N/A",0,RTD("tos.rtd",,"OPEN_INT","."&amp;$AA$3&amp;$AA$4&amp;"C"&amp;BR$4))*100 + MAX(0, BR$4-$A49)*IF(RTD("tos.rtd",,"OPEN_INT","."&amp;$AA$3&amp;$AA$4&amp;"P"&amp;BR$4)="N/A",0,RTD("tos.rtd",,"OPEN_INT","."&amp;$AA$3&amp;$AA$4&amp;"P"&amp;BR$4))*100</f>
        <v>0</v>
      </c>
      <c r="BS49" s="18">
        <f>MAX(0, $A49-BS$4)*IF(RTD("tos.rtd",,"OPEN_INT","."&amp;$AA$3&amp;$AA$4&amp;"C"&amp;BS$4)="N/A",0,RTD("tos.rtd",,"OPEN_INT","."&amp;$AA$3&amp;$AA$4&amp;"C"&amp;BS$4))*100 + MAX(0, BS$4-$A49)*IF(RTD("tos.rtd",,"OPEN_INT","."&amp;$AA$3&amp;$AA$4&amp;"P"&amp;BS$4)="N/A",0,RTD("tos.rtd",,"OPEN_INT","."&amp;$AA$3&amp;$AA$4&amp;"P"&amp;BS$4))*100</f>
        <v>0</v>
      </c>
      <c r="BT49" s="18">
        <f>MAX(0, $A49-BT$4)*IF(RTD("tos.rtd",,"OPEN_INT","."&amp;$AA$3&amp;$AA$4&amp;"C"&amp;BT$4)="N/A",0,RTD("tos.rtd",,"OPEN_INT","."&amp;$AA$3&amp;$AA$4&amp;"C"&amp;BT$4))*100 + MAX(0, BT$4-$A49)*IF(RTD("tos.rtd",,"OPEN_INT","."&amp;$AA$3&amp;$AA$4&amp;"P"&amp;BT$4)="N/A",0,RTD("tos.rtd",,"OPEN_INT","."&amp;$AA$3&amp;$AA$4&amp;"P"&amp;BT$4))*100</f>
        <v>0</v>
      </c>
      <c r="BU49" s="18">
        <f>MAX(0, $A49-BU$4)*IF(RTD("tos.rtd",,"OPEN_INT","."&amp;$AA$3&amp;$AA$4&amp;"C"&amp;BU$4)="N/A",0,RTD("tos.rtd",,"OPEN_INT","."&amp;$AA$3&amp;$AA$4&amp;"C"&amp;BU$4))*100 + MAX(0, BU$4-$A49)*IF(RTD("tos.rtd",,"OPEN_INT","."&amp;$AA$3&amp;$AA$4&amp;"P"&amp;BU$4)="N/A",0,RTD("tos.rtd",,"OPEN_INT","."&amp;$AA$3&amp;$AA$4&amp;"P"&amp;BU$4))*100</f>
        <v>0</v>
      </c>
      <c r="BV49" s="18">
        <f>MAX(0, $A49-BV$4)*IF(RTD("tos.rtd",,"OPEN_INT","."&amp;$AA$3&amp;$AA$4&amp;"C"&amp;BV$4)="N/A",0,RTD("tos.rtd",,"OPEN_INT","."&amp;$AA$3&amp;$AA$4&amp;"C"&amp;BV$4))*100 + MAX(0, BV$4-$A49)*IF(RTD("tos.rtd",,"OPEN_INT","."&amp;$AA$3&amp;$AA$4&amp;"P"&amp;BV$4)="N/A",0,RTD("tos.rtd",,"OPEN_INT","."&amp;$AA$3&amp;$AA$4&amp;"P"&amp;BV$4))*100</f>
        <v>0</v>
      </c>
    </row>
    <row r="50" spans="1:74" s="19" customFormat="1" ht="11.1" customHeight="1" thickBot="1" x14ac:dyDescent="0.3">
      <c r="A50" s="23">
        <f t="shared" si="11"/>
        <v>-1</v>
      </c>
      <c r="B50" s="14">
        <f ca="1">IF($A$2="PREMIUM_OI",IFERROR(IF($X$1="ABS",(100*RTD("tos.rtd",,"OPEN_INT","."&amp;B$2&amp;B$1&amp;"C"&amp;$A50)*RTD("tos.rtd",,"LAST","."&amp;B$2&amp;B$1&amp;"C"&amp;$A50)+100*RTD("tos.rtd",,"OPEN_INT","."&amp;B$2&amp;B$1&amp;"P"&amp;$A50)*RTD("tos.rtd",,"LAST","."&amp;B$2&amp;B$1&amp;"P"&amp;$A50))/1000000,(100*RTD("tos.rtd",,"OPEN_INT","."&amp;B$2&amp;B$1&amp;"C"&amp;$A50)*RTD("tos.rtd",,"LAST","."&amp;B$2&amp;B$1&amp;"C"&amp;$A50)-100*RTD("tos.rtd",,"OPEN_INT","."&amp;B$2&amp;B$1&amp;"P"&amp;$A50)*RTD("tos.rtd",,"LAST","."&amp;B$2&amp;B$1&amp;"P"&amp;$A50))/1000000),0),IF($A$2="PREMIUM",IFERROR(IF($X$1="ABS",(100*RTD("tos.rtd",,"VOLUME","."&amp;B$2&amp;B$1&amp;"C"&amp;$A50)*RTD("tos.rtd",,"LAST","."&amp;B$2&amp;B$1&amp;"C"&amp;$A50)+100*RTD("tos.rtd",,"VOLUME","."&amp;B$2&amp;B$1&amp;"P"&amp;$A50)*RTD("tos.rtd",,"LAST","."&amp;B$2&amp;B$1&amp;"P"&amp;$A50))/1000000,(100*RTD("tos.rtd",,"VOLUME","."&amp;B$2&amp;B$1&amp;"C"&amp;$A50)*RTD("tos.rtd",,"LAST","."&amp;B$2&amp;B$1&amp;"C"&amp;$A50)-100*RTD("tos.rtd",,"VOLUME","."&amp;B$2&amp;B$1&amp;"P"&amp;$A50)*RTD("tos.rtd",,"LAST","."&amp;B$2&amp;B$1&amp;"P"&amp;$A50))/1000000),0),IF($A$2="DEX",IFERROR(IF($X$1="ABS",(100*RTD("tos.rtd",,"OPEN_INT","."&amp;B$2&amp;B$1&amp;"C"&amp;$A50)*RTD("tos.rtd",,"DELTA","."&amp;B$2&amp;B$1&amp;"C"&amp;$A50)+100*RTD("tos.rtd",,"OPEN_INT","."&amp;B$2&amp;B$1&amp;"P"&amp;$A50)*RTD("tos.rtd",,"DELTA","."&amp;B$2&amp;B$1&amp;"P"&amp;$A50))/1000,(100*RTD("tos.rtd",,"OPEN_INT","."&amp;B$2&amp;B$1&amp;"C"&amp;$A50)*RTD("tos.rtd",,"DELTA","."&amp;B$2&amp;B$1&amp;"C"&amp;$A50)-100*RTD("tos.rtd",,"OPEN_INT","."&amp;B$2&amp;B$1&amp;"P"&amp;$A50)*RTD("tos.rtd",,"DELTA","."&amp;B$2&amp;B$1&amp;"P"&amp;$A50))/1000),0),IF($A$2="VEX",IFERROR(IF($X$1="ABS",($A$4*$A$4*RTD("tos.rtd",,"VOLUME","."&amp;B$2&amp;B$1&amp;"C"&amp;$A50)*RTD("tos.rtd",,"GAMMA","."&amp;B$2&amp;B$1&amp;"C"&amp;$A50)+$A$4*$A$4*RTD("tos.rtd",,"VOLUME","."&amp;B$2&amp;B$1&amp;"P"&amp;$A50)*RTD("tos.rtd",,"GAMMA","."&amp;B$2&amp;B$1&amp;"P"&amp;$A50))/1000000,($A$4*$A$4*RTD("tos.rtd",,"VOLUME","."&amp;B$2&amp;B$1&amp;"C"&amp;$A50)*RTD("tos.rtd",,"GAMMA","."&amp;B$2&amp;B$1&amp;"C"&amp;$A50)-$A$4*$A$4*RTD("tos.rtd",,"VOLUME","."&amp;B$2&amp;B$1&amp;"P"&amp;$A50)*RTD("tos.rtd",,"GAMMA","."&amp;B$2&amp;B$1&amp;"P"&amp;$A50))/1000000),0),IF($A$2="GEX",IFERROR(IF($X$1="ABS",($A$4*$A$4*RTD("tos.rtd",,"OPEN_INT","."&amp;B$2&amp;B$1&amp;"C"&amp;$A50)*RTD("tos.rtd",,"GAMMA","."&amp;B$2&amp;B$1&amp;"C"&amp;$A50)+$A$4*$A$4*RTD("tos.rtd",,"OPEN_INT","."&amp;B$2&amp;B$1&amp;"P"&amp;$A50)*RTD("tos.rtd",,"GAMMA","."&amp;B$2&amp;B$1&amp;"P"&amp;$A50))/1000000,($A$4*$A$4*RTD("tos.rtd",,"OPEN_INT","."&amp;B$2&amp;B$1&amp;"C"&amp;$A50)*RTD("tos.rtd",,"GAMMA","."&amp;B$2&amp;B$1&amp;"C"&amp;$A50)-$A$4*$A$4*RTD("tos.rtd",,"OPEN_INT","."&amp;B$2&amp;B$1&amp;"P"&amp;$A50)*RTD("tos.rtd",,"GAMMA","."&amp;B$2&amp;B$1&amp;"P"&amp;$A50))/1000000),0),IF($A$2="SKEW",IFERROR(VALUE(IF(RTD("tos.rtd",,"IMPL_VOL","."&amp;B$2&amp;B$1&amp;"P"&amp;$A50)="N/A",0,RTD("tos.rtd",,"IMPL_VOL","."&amp;B$2&amp;B$1&amp;"P"&amp;$A50))),0)-IFERROR(VALUE(IF(RTD("tos.rtd",,"IMPL_VOL","."&amp;B$2&amp;B$1&amp;"C"&amp;$A50)="N/A",0,RTD("tos.rtd",,"IMPL_VOL","."&amp;B$2&amp;B$1&amp;"C"&amp;$A50))),0),IF($A$2="MAXPAIN",IF($A$4&gt;$A50,($A$4-$A50)*IF(RTD("tos.rtd",,"OPEN_INT","."&amp;B$2&amp;B$1&amp;"C"&amp;$A50)="N/A",0,RTD("tos.rtd",,"OPEN_INT","."&amp;B$2&amp;B$1&amp;"C"&amp;$A50)),0)+IF($A$4&lt;$A50,($A$5-$A$4)*IF(RTD("tos.rtd",,"OPEN_INT","."&amp;B$2&amp;B$1&amp;"P"&amp;$A50)="N/A",0,RTD("tos.rtd",,"OPEN_INT","."&amp;B$2&amp;B$1&amp;"P"&amp;$A50)),0),IF($X$1="ABS",IF(RTD("tos.rtd",,$A$2,"."&amp;B$2&amp;B$1&amp;"C"&amp;$A50)="N/A",0,RTD("tos.rtd",,$A$2,"."&amp;B$2&amp;B$1&amp;"C"&amp;$A50))+IF(RTD("tos.rtd",,$A$2,"."&amp;B$2&amp;B$1&amp;"P"&amp;$A50)="N/A",0,RTD("tos.rtd",,$A$2,"."&amp;B$2&amp;B$1&amp;"P"&amp;$A50)),IF(RTD("tos.rtd",,$A$2,"."&amp;B$2&amp;B$1&amp;"C"&amp;$A50)="N/A",0,RTD("tos.rtd",,$A$2,"."&amp;B$2&amp;B$1&amp;"C"&amp;$A50))-IF(RTD("tos.rtd",,$A$2,"."&amp;B$2&amp;B$1&amp;"P"&amp;$A50)="N/A",0,RTD("tos.rtd",,$A$2,"."&amp;B$2&amp;B$1&amp;"P"&amp;$A50))))))))))</f>
        <v>0</v>
      </c>
      <c r="C50" s="12">
        <f ca="1">IF($A$2="PREMIUM_OI",IFERROR(IF($X$1="ABS",(100*RTD("tos.rtd",,"OPEN_INT","."&amp;C$2&amp;C$1&amp;"C"&amp;$A50)*RTD("tos.rtd",,"LAST","."&amp;C$2&amp;C$1&amp;"C"&amp;$A50)+100*RTD("tos.rtd",,"OPEN_INT","."&amp;C$2&amp;C$1&amp;"P"&amp;$A50)*RTD("tos.rtd",,"LAST","."&amp;C$2&amp;C$1&amp;"P"&amp;$A50))/1000000,(100*RTD("tos.rtd",,"OPEN_INT","."&amp;C$2&amp;C$1&amp;"C"&amp;$A50)*RTD("tos.rtd",,"LAST","."&amp;C$2&amp;C$1&amp;"C"&amp;$A50)-100*RTD("tos.rtd",,"OPEN_INT","."&amp;C$2&amp;C$1&amp;"P"&amp;$A50)*RTD("tos.rtd",,"LAST","."&amp;C$2&amp;C$1&amp;"P"&amp;$A50))/1000000),0),IF($A$2="PREMIUM",IFERROR(IF($X$1="ABS",(100*RTD("tos.rtd",,"VOLUME","."&amp;C$2&amp;C$1&amp;"C"&amp;$A50)*RTD("tos.rtd",,"LAST","."&amp;C$2&amp;C$1&amp;"C"&amp;$A50)+100*RTD("tos.rtd",,"VOLUME","."&amp;C$2&amp;C$1&amp;"P"&amp;$A50)*RTD("tos.rtd",,"LAST","."&amp;C$2&amp;C$1&amp;"P"&amp;$A50))/1000000,(100*RTD("tos.rtd",,"VOLUME","."&amp;C$2&amp;C$1&amp;"C"&amp;$A50)*RTD("tos.rtd",,"LAST","."&amp;C$2&amp;C$1&amp;"C"&amp;$A50)-100*RTD("tos.rtd",,"VOLUME","."&amp;C$2&amp;C$1&amp;"P"&amp;$A50)*RTD("tos.rtd",,"LAST","."&amp;C$2&amp;C$1&amp;"P"&amp;$A50))/1000000),0),IF($A$2="DEX",IFERROR(IF($X$1="ABS",(100*RTD("tos.rtd",,"OPEN_INT","."&amp;C$2&amp;C$1&amp;"C"&amp;$A50)*RTD("tos.rtd",,"DELTA","."&amp;C$2&amp;C$1&amp;"C"&amp;$A50)+100*RTD("tos.rtd",,"OPEN_INT","."&amp;C$2&amp;C$1&amp;"P"&amp;$A50)*RTD("tos.rtd",,"DELTA","."&amp;C$2&amp;C$1&amp;"P"&amp;$A50))/1000,(100*RTD("tos.rtd",,"OPEN_INT","."&amp;C$2&amp;C$1&amp;"C"&amp;$A50)*RTD("tos.rtd",,"DELTA","."&amp;C$2&amp;C$1&amp;"C"&amp;$A50)-100*RTD("tos.rtd",,"OPEN_INT","."&amp;C$2&amp;C$1&amp;"P"&amp;$A50)*RTD("tos.rtd",,"DELTA","."&amp;C$2&amp;C$1&amp;"P"&amp;$A50))/1000),0),IF($A$2="VEX",IFERROR(IF($X$1="ABS",($A$4*$A$4*RTD("tos.rtd",,"VOLUME","."&amp;C$2&amp;C$1&amp;"C"&amp;$A50)*RTD("tos.rtd",,"GAMMA","."&amp;C$2&amp;C$1&amp;"C"&amp;$A50)+$A$4*$A$4*RTD("tos.rtd",,"VOLUME","."&amp;C$2&amp;C$1&amp;"P"&amp;$A50)*RTD("tos.rtd",,"GAMMA","."&amp;C$2&amp;C$1&amp;"P"&amp;$A50))/1000000,($A$4*$A$4*RTD("tos.rtd",,"VOLUME","."&amp;C$2&amp;C$1&amp;"C"&amp;$A50)*RTD("tos.rtd",,"GAMMA","."&amp;C$2&amp;C$1&amp;"C"&amp;$A50)-$A$4*$A$4*RTD("tos.rtd",,"VOLUME","."&amp;C$2&amp;C$1&amp;"P"&amp;$A50)*RTD("tos.rtd",,"GAMMA","."&amp;C$2&amp;C$1&amp;"P"&amp;$A50))/1000000),0),IF($A$2="GEX",IFERROR(IF($X$1="ABS",($A$4*$A$4*RTD("tos.rtd",,"OPEN_INT","."&amp;C$2&amp;C$1&amp;"C"&amp;$A50)*RTD("tos.rtd",,"GAMMA","."&amp;C$2&amp;C$1&amp;"C"&amp;$A50)+$A$4*$A$4*RTD("tos.rtd",,"OPEN_INT","."&amp;C$2&amp;C$1&amp;"P"&amp;$A50)*RTD("tos.rtd",,"GAMMA","."&amp;C$2&amp;C$1&amp;"P"&amp;$A50))/1000000,($A$4*$A$4*RTD("tos.rtd",,"OPEN_INT","."&amp;C$2&amp;C$1&amp;"C"&amp;$A50)*RTD("tos.rtd",,"GAMMA","."&amp;C$2&amp;C$1&amp;"C"&amp;$A50)-$A$4*$A$4*RTD("tos.rtd",,"OPEN_INT","."&amp;C$2&amp;C$1&amp;"P"&amp;$A50)*RTD("tos.rtd",,"GAMMA","."&amp;C$2&amp;C$1&amp;"P"&amp;$A50))/1000000),0),IF($A$2="SKEW",IFERROR(VALUE(IF(RTD("tos.rtd",,"IMPL_VOL","."&amp;C$2&amp;C$1&amp;"P"&amp;$A50)="N/A",0,RTD("tos.rtd",,"IMPL_VOL","."&amp;C$2&amp;C$1&amp;"P"&amp;$A50))),0)-IFERROR(VALUE(IF(RTD("tos.rtd",,"IMPL_VOL","."&amp;C$2&amp;C$1&amp;"C"&amp;$A50)="N/A",0,RTD("tos.rtd",,"IMPL_VOL","."&amp;C$2&amp;C$1&amp;"C"&amp;$A50))),0),IF($A$2="MAXPAIN",IF($A$4&gt;$A50,($A$4-$A50)*IF(RTD("tos.rtd",,"OPEN_INT","."&amp;C$2&amp;C$1&amp;"C"&amp;$A50)="N/A",0,RTD("tos.rtd",,"OPEN_INT","."&amp;C$2&amp;C$1&amp;"C"&amp;$A50)),0)+IF($A$4&lt;$A50,($A$5-$A$4)*IF(RTD("tos.rtd",,"OPEN_INT","."&amp;C$2&amp;C$1&amp;"P"&amp;$A50)="N/A",0,RTD("tos.rtd",,"OPEN_INT","."&amp;C$2&amp;C$1&amp;"P"&amp;$A50)),0),IF($X$1="ABS",IF(RTD("tos.rtd",,$A$2,"."&amp;C$2&amp;C$1&amp;"C"&amp;$A50)="N/A",0,RTD("tos.rtd",,$A$2,"."&amp;C$2&amp;C$1&amp;"C"&amp;$A50))+IF(RTD("tos.rtd",,$A$2,"."&amp;C$2&amp;C$1&amp;"P"&amp;$A50)="N/A",0,RTD("tos.rtd",,$A$2,"."&amp;C$2&amp;C$1&amp;"P"&amp;$A50)),IF(RTD("tos.rtd",,$A$2,"."&amp;C$2&amp;C$1&amp;"C"&amp;$A50)="N/A",0,RTD("tos.rtd",,$A$2,"."&amp;C$2&amp;C$1&amp;"C"&amp;$A50))-IF(RTD("tos.rtd",,$A$2,"."&amp;C$2&amp;C$1&amp;"P"&amp;$A50)="N/A",0,RTD("tos.rtd",,$A$2,"."&amp;C$2&amp;C$1&amp;"P"&amp;$A50))))))))))</f>
        <v>0</v>
      </c>
      <c r="D50" s="12">
        <f ca="1">IF($A$2="PREMIUM_OI",IFERROR(IF($X$1="ABS",(100*RTD("tos.rtd",,"OPEN_INT","."&amp;D$2&amp;D$1&amp;"C"&amp;$A50)*RTD("tos.rtd",,"LAST","."&amp;D$2&amp;D$1&amp;"C"&amp;$A50)+100*RTD("tos.rtd",,"OPEN_INT","."&amp;D$2&amp;D$1&amp;"P"&amp;$A50)*RTD("tos.rtd",,"LAST","."&amp;D$2&amp;D$1&amp;"P"&amp;$A50))/1000000,(100*RTD("tos.rtd",,"OPEN_INT","."&amp;D$2&amp;D$1&amp;"C"&amp;$A50)*RTD("tos.rtd",,"LAST","."&amp;D$2&amp;D$1&amp;"C"&amp;$A50)-100*RTD("tos.rtd",,"OPEN_INT","."&amp;D$2&amp;D$1&amp;"P"&amp;$A50)*RTD("tos.rtd",,"LAST","."&amp;D$2&amp;D$1&amp;"P"&amp;$A50))/1000000),0),IF($A$2="PREMIUM",IFERROR(IF($X$1="ABS",(100*RTD("tos.rtd",,"VOLUME","."&amp;D$2&amp;D$1&amp;"C"&amp;$A50)*RTD("tos.rtd",,"LAST","."&amp;D$2&amp;D$1&amp;"C"&amp;$A50)+100*RTD("tos.rtd",,"VOLUME","."&amp;D$2&amp;D$1&amp;"P"&amp;$A50)*RTD("tos.rtd",,"LAST","."&amp;D$2&amp;D$1&amp;"P"&amp;$A50))/1000000,(100*RTD("tos.rtd",,"VOLUME","."&amp;D$2&amp;D$1&amp;"C"&amp;$A50)*RTD("tos.rtd",,"LAST","."&amp;D$2&amp;D$1&amp;"C"&amp;$A50)-100*RTD("tos.rtd",,"VOLUME","."&amp;D$2&amp;D$1&amp;"P"&amp;$A50)*RTD("tos.rtd",,"LAST","."&amp;D$2&amp;D$1&amp;"P"&amp;$A50))/1000000),0),IF($A$2="DEX",IFERROR(IF($X$1="ABS",(100*RTD("tos.rtd",,"OPEN_INT","."&amp;D$2&amp;D$1&amp;"C"&amp;$A50)*RTD("tos.rtd",,"DELTA","."&amp;D$2&amp;D$1&amp;"C"&amp;$A50)+100*RTD("tos.rtd",,"OPEN_INT","."&amp;D$2&amp;D$1&amp;"P"&amp;$A50)*RTD("tos.rtd",,"DELTA","."&amp;D$2&amp;D$1&amp;"P"&amp;$A50))/1000,(100*RTD("tos.rtd",,"OPEN_INT","."&amp;D$2&amp;D$1&amp;"C"&amp;$A50)*RTD("tos.rtd",,"DELTA","."&amp;D$2&amp;D$1&amp;"C"&amp;$A50)-100*RTD("tos.rtd",,"OPEN_INT","."&amp;D$2&amp;D$1&amp;"P"&amp;$A50)*RTD("tos.rtd",,"DELTA","."&amp;D$2&amp;D$1&amp;"P"&amp;$A50))/1000),0),IF($A$2="VEX",IFERROR(IF($X$1="ABS",($A$4*$A$4*RTD("tos.rtd",,"VOLUME","."&amp;D$2&amp;D$1&amp;"C"&amp;$A50)*RTD("tos.rtd",,"GAMMA","."&amp;D$2&amp;D$1&amp;"C"&amp;$A50)+$A$4*$A$4*RTD("tos.rtd",,"VOLUME","."&amp;D$2&amp;D$1&amp;"P"&amp;$A50)*RTD("tos.rtd",,"GAMMA","."&amp;D$2&amp;D$1&amp;"P"&amp;$A50))/1000000,($A$4*$A$4*RTD("tos.rtd",,"VOLUME","."&amp;D$2&amp;D$1&amp;"C"&amp;$A50)*RTD("tos.rtd",,"GAMMA","."&amp;D$2&amp;D$1&amp;"C"&amp;$A50)-$A$4*$A$4*RTD("tos.rtd",,"VOLUME","."&amp;D$2&amp;D$1&amp;"P"&amp;$A50)*RTD("tos.rtd",,"GAMMA","."&amp;D$2&amp;D$1&amp;"P"&amp;$A50))/1000000),0),IF($A$2="GEX",IFERROR(IF($X$1="ABS",($A$4*$A$4*RTD("tos.rtd",,"OPEN_INT","."&amp;D$2&amp;D$1&amp;"C"&amp;$A50)*RTD("tos.rtd",,"GAMMA","."&amp;D$2&amp;D$1&amp;"C"&amp;$A50)+$A$4*$A$4*RTD("tos.rtd",,"OPEN_INT","."&amp;D$2&amp;D$1&amp;"P"&amp;$A50)*RTD("tos.rtd",,"GAMMA","."&amp;D$2&amp;D$1&amp;"P"&amp;$A50))/1000000,($A$4*$A$4*RTD("tos.rtd",,"OPEN_INT","."&amp;D$2&amp;D$1&amp;"C"&amp;$A50)*RTD("tos.rtd",,"GAMMA","."&amp;D$2&amp;D$1&amp;"C"&amp;$A50)-$A$4*$A$4*RTD("tos.rtd",,"OPEN_INT","."&amp;D$2&amp;D$1&amp;"P"&amp;$A50)*RTD("tos.rtd",,"GAMMA","."&amp;D$2&amp;D$1&amp;"P"&amp;$A50))/1000000),0),IF($A$2="SKEW",IFERROR(VALUE(IF(RTD("tos.rtd",,"IMPL_VOL","."&amp;D$2&amp;D$1&amp;"P"&amp;$A50)="N/A",0,RTD("tos.rtd",,"IMPL_VOL","."&amp;D$2&amp;D$1&amp;"P"&amp;$A50))),0)-IFERROR(VALUE(IF(RTD("tos.rtd",,"IMPL_VOL","."&amp;D$2&amp;D$1&amp;"C"&amp;$A50)="N/A",0,RTD("tos.rtd",,"IMPL_VOL","."&amp;D$2&amp;D$1&amp;"C"&amp;$A50))),0),IF($A$2="MAXPAIN",IF($A$4&gt;$A50,($A$4-$A50)*IF(RTD("tos.rtd",,"OPEN_INT","."&amp;D$2&amp;D$1&amp;"C"&amp;$A50)="N/A",0,RTD("tos.rtd",,"OPEN_INT","."&amp;D$2&amp;D$1&amp;"C"&amp;$A50)),0)+IF($A$4&lt;$A50,($A$5-$A$4)*IF(RTD("tos.rtd",,"OPEN_INT","."&amp;D$2&amp;D$1&amp;"P"&amp;$A50)="N/A",0,RTD("tos.rtd",,"OPEN_INT","."&amp;D$2&amp;D$1&amp;"P"&amp;$A50)),0),IF($X$1="ABS",IF(RTD("tos.rtd",,$A$2,"."&amp;D$2&amp;D$1&amp;"C"&amp;$A50)="N/A",0,RTD("tos.rtd",,$A$2,"."&amp;D$2&amp;D$1&amp;"C"&amp;$A50))+IF(RTD("tos.rtd",,$A$2,"."&amp;D$2&amp;D$1&amp;"P"&amp;$A50)="N/A",0,RTD("tos.rtd",,$A$2,"."&amp;D$2&amp;D$1&amp;"P"&amp;$A50)),IF(RTD("tos.rtd",,$A$2,"."&amp;D$2&amp;D$1&amp;"C"&amp;$A50)="N/A",0,RTD("tos.rtd",,$A$2,"."&amp;D$2&amp;D$1&amp;"C"&amp;$A50))-IF(RTD("tos.rtd",,$A$2,"."&amp;D$2&amp;D$1&amp;"P"&amp;$A50)="N/A",0,RTD("tos.rtd",,$A$2,"."&amp;D$2&amp;D$1&amp;"P"&amp;$A50))))))))))</f>
        <v>0</v>
      </c>
      <c r="E50" s="12">
        <f ca="1">IF($A$2="PREMIUM_OI",IFERROR(IF($X$1="ABS",(100*RTD("tos.rtd",,"OPEN_INT","."&amp;E$2&amp;E$1&amp;"C"&amp;$A50)*RTD("tos.rtd",,"LAST","."&amp;E$2&amp;E$1&amp;"C"&amp;$A50)+100*RTD("tos.rtd",,"OPEN_INT","."&amp;E$2&amp;E$1&amp;"P"&amp;$A50)*RTD("tos.rtd",,"LAST","."&amp;E$2&amp;E$1&amp;"P"&amp;$A50))/1000000,(100*RTD("tos.rtd",,"OPEN_INT","."&amp;E$2&amp;E$1&amp;"C"&amp;$A50)*RTD("tos.rtd",,"LAST","."&amp;E$2&amp;E$1&amp;"C"&amp;$A50)-100*RTD("tos.rtd",,"OPEN_INT","."&amp;E$2&amp;E$1&amp;"P"&amp;$A50)*RTD("tos.rtd",,"LAST","."&amp;E$2&amp;E$1&amp;"P"&amp;$A50))/1000000),0),IF($A$2="PREMIUM",IFERROR(IF($X$1="ABS",(100*RTD("tos.rtd",,"VOLUME","."&amp;E$2&amp;E$1&amp;"C"&amp;$A50)*RTD("tos.rtd",,"LAST","."&amp;E$2&amp;E$1&amp;"C"&amp;$A50)+100*RTD("tos.rtd",,"VOLUME","."&amp;E$2&amp;E$1&amp;"P"&amp;$A50)*RTD("tos.rtd",,"LAST","."&amp;E$2&amp;E$1&amp;"P"&amp;$A50))/1000000,(100*RTD("tos.rtd",,"VOLUME","."&amp;E$2&amp;E$1&amp;"C"&amp;$A50)*RTD("tos.rtd",,"LAST","."&amp;E$2&amp;E$1&amp;"C"&amp;$A50)-100*RTD("tos.rtd",,"VOLUME","."&amp;E$2&amp;E$1&amp;"P"&amp;$A50)*RTD("tos.rtd",,"LAST","."&amp;E$2&amp;E$1&amp;"P"&amp;$A50))/1000000),0),IF($A$2="DEX",IFERROR(IF($X$1="ABS",(100*RTD("tos.rtd",,"OPEN_INT","."&amp;E$2&amp;E$1&amp;"C"&amp;$A50)*RTD("tos.rtd",,"DELTA","."&amp;E$2&amp;E$1&amp;"C"&amp;$A50)+100*RTD("tos.rtd",,"OPEN_INT","."&amp;E$2&amp;E$1&amp;"P"&amp;$A50)*RTD("tos.rtd",,"DELTA","."&amp;E$2&amp;E$1&amp;"P"&amp;$A50))/1000,(100*RTD("tos.rtd",,"OPEN_INT","."&amp;E$2&amp;E$1&amp;"C"&amp;$A50)*RTD("tos.rtd",,"DELTA","."&amp;E$2&amp;E$1&amp;"C"&amp;$A50)-100*RTD("tos.rtd",,"OPEN_INT","."&amp;E$2&amp;E$1&amp;"P"&amp;$A50)*RTD("tos.rtd",,"DELTA","."&amp;E$2&amp;E$1&amp;"P"&amp;$A50))/1000),0),IF($A$2="VEX",IFERROR(IF($X$1="ABS",($A$4*$A$4*RTD("tos.rtd",,"VOLUME","."&amp;E$2&amp;E$1&amp;"C"&amp;$A50)*RTD("tos.rtd",,"GAMMA","."&amp;E$2&amp;E$1&amp;"C"&amp;$A50)+$A$4*$A$4*RTD("tos.rtd",,"VOLUME","."&amp;E$2&amp;E$1&amp;"P"&amp;$A50)*RTD("tos.rtd",,"GAMMA","."&amp;E$2&amp;E$1&amp;"P"&amp;$A50))/1000000,($A$4*$A$4*RTD("tos.rtd",,"VOLUME","."&amp;E$2&amp;E$1&amp;"C"&amp;$A50)*RTD("tos.rtd",,"GAMMA","."&amp;E$2&amp;E$1&amp;"C"&amp;$A50)-$A$4*$A$4*RTD("tos.rtd",,"VOLUME","."&amp;E$2&amp;E$1&amp;"P"&amp;$A50)*RTD("tos.rtd",,"GAMMA","."&amp;E$2&amp;E$1&amp;"P"&amp;$A50))/1000000),0),IF($A$2="GEX",IFERROR(IF($X$1="ABS",($A$4*$A$4*RTD("tos.rtd",,"OPEN_INT","."&amp;E$2&amp;E$1&amp;"C"&amp;$A50)*RTD("tos.rtd",,"GAMMA","."&amp;E$2&amp;E$1&amp;"C"&amp;$A50)+$A$4*$A$4*RTD("tos.rtd",,"OPEN_INT","."&amp;E$2&amp;E$1&amp;"P"&amp;$A50)*RTD("tos.rtd",,"GAMMA","."&amp;E$2&amp;E$1&amp;"P"&amp;$A50))/1000000,($A$4*$A$4*RTD("tos.rtd",,"OPEN_INT","."&amp;E$2&amp;E$1&amp;"C"&amp;$A50)*RTD("tos.rtd",,"GAMMA","."&amp;E$2&amp;E$1&amp;"C"&amp;$A50)-$A$4*$A$4*RTD("tos.rtd",,"OPEN_INT","."&amp;E$2&amp;E$1&amp;"P"&amp;$A50)*RTD("tos.rtd",,"GAMMA","."&amp;E$2&amp;E$1&amp;"P"&amp;$A50))/1000000),0),IF($A$2="SKEW",IFERROR(VALUE(IF(RTD("tos.rtd",,"IMPL_VOL","."&amp;E$2&amp;E$1&amp;"P"&amp;$A50)="N/A",0,RTD("tos.rtd",,"IMPL_VOL","."&amp;E$2&amp;E$1&amp;"P"&amp;$A50))),0)-IFERROR(VALUE(IF(RTD("tos.rtd",,"IMPL_VOL","."&amp;E$2&amp;E$1&amp;"C"&amp;$A50)="N/A",0,RTD("tos.rtd",,"IMPL_VOL","."&amp;E$2&amp;E$1&amp;"C"&amp;$A50))),0),IF($A$2="MAXPAIN",IF($A$4&gt;$A50,($A$4-$A50)*IF(RTD("tos.rtd",,"OPEN_INT","."&amp;E$2&amp;E$1&amp;"C"&amp;$A50)="N/A",0,RTD("tos.rtd",,"OPEN_INT","."&amp;E$2&amp;E$1&amp;"C"&amp;$A50)),0)+IF($A$4&lt;$A50,($A$5-$A$4)*IF(RTD("tos.rtd",,"OPEN_INT","."&amp;E$2&amp;E$1&amp;"P"&amp;$A50)="N/A",0,RTD("tos.rtd",,"OPEN_INT","."&amp;E$2&amp;E$1&amp;"P"&amp;$A50)),0),IF($X$1="ABS",IF(RTD("tos.rtd",,$A$2,"."&amp;E$2&amp;E$1&amp;"C"&amp;$A50)="N/A",0,RTD("tos.rtd",,$A$2,"."&amp;E$2&amp;E$1&amp;"C"&amp;$A50))+IF(RTD("tos.rtd",,$A$2,"."&amp;E$2&amp;E$1&amp;"P"&amp;$A50)="N/A",0,RTD("tos.rtd",,$A$2,"."&amp;E$2&amp;E$1&amp;"P"&amp;$A50)),IF(RTD("tos.rtd",,$A$2,"."&amp;E$2&amp;E$1&amp;"C"&amp;$A50)="N/A",0,RTD("tos.rtd",,$A$2,"."&amp;E$2&amp;E$1&amp;"C"&amp;$A50))-IF(RTD("tos.rtd",,$A$2,"."&amp;E$2&amp;E$1&amp;"P"&amp;$A50)="N/A",0,RTD("tos.rtd",,$A$2,"."&amp;E$2&amp;E$1&amp;"P"&amp;$A50))))))))))</f>
        <v>0</v>
      </c>
      <c r="F50" s="12">
        <f ca="1">IF($A$2="PREMIUM_OI",IFERROR(IF($X$1="ABS",(100*RTD("tos.rtd",,"OPEN_INT","."&amp;F$2&amp;F$1&amp;"C"&amp;$A50)*RTD("tos.rtd",,"LAST","."&amp;F$2&amp;F$1&amp;"C"&amp;$A50)+100*RTD("tos.rtd",,"OPEN_INT","."&amp;F$2&amp;F$1&amp;"P"&amp;$A50)*RTD("tos.rtd",,"LAST","."&amp;F$2&amp;F$1&amp;"P"&amp;$A50))/1000000,(100*RTD("tos.rtd",,"OPEN_INT","."&amp;F$2&amp;F$1&amp;"C"&amp;$A50)*RTD("tos.rtd",,"LAST","."&amp;F$2&amp;F$1&amp;"C"&amp;$A50)-100*RTD("tos.rtd",,"OPEN_INT","."&amp;F$2&amp;F$1&amp;"P"&amp;$A50)*RTD("tos.rtd",,"LAST","."&amp;F$2&amp;F$1&amp;"P"&amp;$A50))/1000000),0),IF($A$2="PREMIUM",IFERROR(IF($X$1="ABS",(100*RTD("tos.rtd",,"VOLUME","."&amp;F$2&amp;F$1&amp;"C"&amp;$A50)*RTD("tos.rtd",,"LAST","."&amp;F$2&amp;F$1&amp;"C"&amp;$A50)+100*RTD("tos.rtd",,"VOLUME","."&amp;F$2&amp;F$1&amp;"P"&amp;$A50)*RTD("tos.rtd",,"LAST","."&amp;F$2&amp;F$1&amp;"P"&amp;$A50))/1000000,(100*RTD("tos.rtd",,"VOLUME","."&amp;F$2&amp;F$1&amp;"C"&amp;$A50)*RTD("tos.rtd",,"LAST","."&amp;F$2&amp;F$1&amp;"C"&amp;$A50)-100*RTD("tos.rtd",,"VOLUME","."&amp;F$2&amp;F$1&amp;"P"&amp;$A50)*RTD("tos.rtd",,"LAST","."&amp;F$2&amp;F$1&amp;"P"&amp;$A50))/1000000),0),IF($A$2="DEX",IFERROR(IF($X$1="ABS",(100*RTD("tos.rtd",,"OPEN_INT","."&amp;F$2&amp;F$1&amp;"C"&amp;$A50)*RTD("tos.rtd",,"DELTA","."&amp;F$2&amp;F$1&amp;"C"&amp;$A50)+100*RTD("tos.rtd",,"OPEN_INT","."&amp;F$2&amp;F$1&amp;"P"&amp;$A50)*RTD("tos.rtd",,"DELTA","."&amp;F$2&amp;F$1&amp;"P"&amp;$A50))/1000,(100*RTD("tos.rtd",,"OPEN_INT","."&amp;F$2&amp;F$1&amp;"C"&amp;$A50)*RTD("tos.rtd",,"DELTA","."&amp;F$2&amp;F$1&amp;"C"&amp;$A50)-100*RTD("tos.rtd",,"OPEN_INT","."&amp;F$2&amp;F$1&amp;"P"&amp;$A50)*RTD("tos.rtd",,"DELTA","."&amp;F$2&amp;F$1&amp;"P"&amp;$A50))/1000),0),IF($A$2="VEX",IFERROR(IF($X$1="ABS",($A$4*$A$4*RTD("tos.rtd",,"VOLUME","."&amp;F$2&amp;F$1&amp;"C"&amp;$A50)*RTD("tos.rtd",,"GAMMA","."&amp;F$2&amp;F$1&amp;"C"&amp;$A50)+$A$4*$A$4*RTD("tos.rtd",,"VOLUME","."&amp;F$2&amp;F$1&amp;"P"&amp;$A50)*RTD("tos.rtd",,"GAMMA","."&amp;F$2&amp;F$1&amp;"P"&amp;$A50))/1000000,($A$4*$A$4*RTD("tos.rtd",,"VOLUME","."&amp;F$2&amp;F$1&amp;"C"&amp;$A50)*RTD("tos.rtd",,"GAMMA","."&amp;F$2&amp;F$1&amp;"C"&amp;$A50)-$A$4*$A$4*RTD("tos.rtd",,"VOLUME","."&amp;F$2&amp;F$1&amp;"P"&amp;$A50)*RTD("tos.rtd",,"GAMMA","."&amp;F$2&amp;F$1&amp;"P"&amp;$A50))/1000000),0),IF($A$2="GEX",IFERROR(IF($X$1="ABS",($A$4*$A$4*RTD("tos.rtd",,"OPEN_INT","."&amp;F$2&amp;F$1&amp;"C"&amp;$A50)*RTD("tos.rtd",,"GAMMA","."&amp;F$2&amp;F$1&amp;"C"&amp;$A50)+$A$4*$A$4*RTD("tos.rtd",,"OPEN_INT","."&amp;F$2&amp;F$1&amp;"P"&amp;$A50)*RTD("tos.rtd",,"GAMMA","."&amp;F$2&amp;F$1&amp;"P"&amp;$A50))/1000000,($A$4*$A$4*RTD("tos.rtd",,"OPEN_INT","."&amp;F$2&amp;F$1&amp;"C"&amp;$A50)*RTD("tos.rtd",,"GAMMA","."&amp;F$2&amp;F$1&amp;"C"&amp;$A50)-$A$4*$A$4*RTD("tos.rtd",,"OPEN_INT","."&amp;F$2&amp;F$1&amp;"P"&amp;$A50)*RTD("tos.rtd",,"GAMMA","."&amp;F$2&amp;F$1&amp;"P"&amp;$A50))/1000000),0),IF($A$2="SKEW",IFERROR(VALUE(IF(RTD("tos.rtd",,"IMPL_VOL","."&amp;F$2&amp;F$1&amp;"P"&amp;$A50)="N/A",0,RTD("tos.rtd",,"IMPL_VOL","."&amp;F$2&amp;F$1&amp;"P"&amp;$A50))),0)-IFERROR(VALUE(IF(RTD("tos.rtd",,"IMPL_VOL","."&amp;F$2&amp;F$1&amp;"C"&amp;$A50)="N/A",0,RTD("tos.rtd",,"IMPL_VOL","."&amp;F$2&amp;F$1&amp;"C"&amp;$A50))),0),IF($A$2="MAXPAIN",IF($A$4&gt;$A50,($A$4-$A50)*IF(RTD("tos.rtd",,"OPEN_INT","."&amp;F$2&amp;F$1&amp;"C"&amp;$A50)="N/A",0,RTD("tos.rtd",,"OPEN_INT","."&amp;F$2&amp;F$1&amp;"C"&amp;$A50)),0)+IF($A$4&lt;$A50,($A$5-$A$4)*IF(RTD("tos.rtd",,"OPEN_INT","."&amp;F$2&amp;F$1&amp;"P"&amp;$A50)="N/A",0,RTD("tos.rtd",,"OPEN_INT","."&amp;F$2&amp;F$1&amp;"P"&amp;$A50)),0),IF($X$1="ABS",IF(RTD("tos.rtd",,$A$2,"."&amp;F$2&amp;F$1&amp;"C"&amp;$A50)="N/A",0,RTD("tos.rtd",,$A$2,"."&amp;F$2&amp;F$1&amp;"C"&amp;$A50))+IF(RTD("tos.rtd",,$A$2,"."&amp;F$2&amp;F$1&amp;"P"&amp;$A50)="N/A",0,RTD("tos.rtd",,$A$2,"."&amp;F$2&amp;F$1&amp;"P"&amp;$A50)),IF(RTD("tos.rtd",,$A$2,"."&amp;F$2&amp;F$1&amp;"C"&amp;$A50)="N/A",0,RTD("tos.rtd",,$A$2,"."&amp;F$2&amp;F$1&amp;"C"&amp;$A50))-IF(RTD("tos.rtd",,$A$2,"."&amp;F$2&amp;F$1&amp;"P"&amp;$A50)="N/A",0,RTD("tos.rtd",,$A$2,"."&amp;F$2&amp;F$1&amp;"P"&amp;$A50))))))))))</f>
        <v>0</v>
      </c>
      <c r="G50" s="57">
        <f ca="1">IF($A$2="PREMIUM_OI",IFERROR(IF($X$1="ABS",(100*RTD("tos.rtd",,"OPEN_INT","."&amp;G$2&amp;G$1&amp;"C"&amp;$A50)*RTD("tos.rtd",,"LAST","."&amp;G$2&amp;G$1&amp;"C"&amp;$A50)+100*RTD("tos.rtd",,"OPEN_INT","."&amp;G$2&amp;G$1&amp;"P"&amp;$A50)*RTD("tos.rtd",,"LAST","."&amp;G$2&amp;G$1&amp;"P"&amp;$A50))/1000000,(100*RTD("tos.rtd",,"OPEN_INT","."&amp;G$2&amp;G$1&amp;"C"&amp;$A50)*RTD("tos.rtd",,"LAST","."&amp;G$2&amp;G$1&amp;"C"&amp;$A50)-100*RTD("tos.rtd",,"OPEN_INT","."&amp;G$2&amp;G$1&amp;"P"&amp;$A50)*RTD("tos.rtd",,"LAST","."&amp;G$2&amp;G$1&amp;"P"&amp;$A50))/1000000),0),IF($A$2="PREMIUM",IFERROR(IF($X$1="ABS",(100*RTD("tos.rtd",,"VOLUME","."&amp;G$2&amp;G$1&amp;"C"&amp;$A50)*RTD("tos.rtd",,"LAST","."&amp;G$2&amp;G$1&amp;"C"&amp;$A50)+100*RTD("tos.rtd",,"VOLUME","."&amp;G$2&amp;G$1&amp;"P"&amp;$A50)*RTD("tos.rtd",,"LAST","."&amp;G$2&amp;G$1&amp;"P"&amp;$A50))/1000000,(100*RTD("tos.rtd",,"VOLUME","."&amp;G$2&amp;G$1&amp;"C"&amp;$A50)*RTD("tos.rtd",,"LAST","."&amp;G$2&amp;G$1&amp;"C"&amp;$A50)-100*RTD("tos.rtd",,"VOLUME","."&amp;G$2&amp;G$1&amp;"P"&amp;$A50)*RTD("tos.rtd",,"LAST","."&amp;G$2&amp;G$1&amp;"P"&amp;$A50))/1000000),0),IF($A$2="DEX",IFERROR(IF($X$1="ABS",(100*RTD("tos.rtd",,"OPEN_INT","."&amp;G$2&amp;G$1&amp;"C"&amp;$A50)*RTD("tos.rtd",,"DELTA","."&amp;G$2&amp;G$1&amp;"C"&amp;$A50)+100*RTD("tos.rtd",,"OPEN_INT","."&amp;G$2&amp;G$1&amp;"P"&amp;$A50)*RTD("tos.rtd",,"DELTA","."&amp;G$2&amp;G$1&amp;"P"&amp;$A50))/1000,(100*RTD("tos.rtd",,"OPEN_INT","."&amp;G$2&amp;G$1&amp;"C"&amp;$A50)*RTD("tos.rtd",,"DELTA","."&amp;G$2&amp;G$1&amp;"C"&amp;$A50)-100*RTD("tos.rtd",,"OPEN_INT","."&amp;G$2&amp;G$1&amp;"P"&amp;$A50)*RTD("tos.rtd",,"DELTA","."&amp;G$2&amp;G$1&amp;"P"&amp;$A50))/1000),0),IF($A$2="VEX",IFERROR(IF($X$1="ABS",($A$4*$A$4*RTD("tos.rtd",,"VOLUME","."&amp;G$2&amp;G$1&amp;"C"&amp;$A50)*RTD("tos.rtd",,"GAMMA","."&amp;G$2&amp;G$1&amp;"C"&amp;$A50)+$A$4*$A$4*RTD("tos.rtd",,"VOLUME","."&amp;G$2&amp;G$1&amp;"P"&amp;$A50)*RTD("tos.rtd",,"GAMMA","."&amp;G$2&amp;G$1&amp;"P"&amp;$A50))/1000000,($A$4*$A$4*RTD("tos.rtd",,"VOLUME","."&amp;G$2&amp;G$1&amp;"C"&amp;$A50)*RTD("tos.rtd",,"GAMMA","."&amp;G$2&amp;G$1&amp;"C"&amp;$A50)-$A$4*$A$4*RTD("tos.rtd",,"VOLUME","."&amp;G$2&amp;G$1&amp;"P"&amp;$A50)*RTD("tos.rtd",,"GAMMA","."&amp;G$2&amp;G$1&amp;"P"&amp;$A50))/1000000),0),IF($A$2="GEX",IFERROR(IF($X$1="ABS",($A$4*$A$4*RTD("tos.rtd",,"OPEN_INT","."&amp;G$2&amp;G$1&amp;"C"&amp;$A50)*RTD("tos.rtd",,"GAMMA","."&amp;G$2&amp;G$1&amp;"C"&amp;$A50)+$A$4*$A$4*RTD("tos.rtd",,"OPEN_INT","."&amp;G$2&amp;G$1&amp;"P"&amp;$A50)*RTD("tos.rtd",,"GAMMA","."&amp;G$2&amp;G$1&amp;"P"&amp;$A50))/1000000,($A$4*$A$4*RTD("tos.rtd",,"OPEN_INT","."&amp;G$2&amp;G$1&amp;"C"&amp;$A50)*RTD("tos.rtd",,"GAMMA","."&amp;G$2&amp;G$1&amp;"C"&amp;$A50)-$A$4*$A$4*RTD("tos.rtd",,"OPEN_INT","."&amp;G$2&amp;G$1&amp;"P"&amp;$A50)*RTD("tos.rtd",,"GAMMA","."&amp;G$2&amp;G$1&amp;"P"&amp;$A50))/1000000),0),IF($A$2="SKEW",IFERROR(VALUE(IF(RTD("tos.rtd",,"IMPL_VOL","."&amp;G$2&amp;G$1&amp;"P"&amp;$A50)="N/A",0,RTD("tos.rtd",,"IMPL_VOL","."&amp;G$2&amp;G$1&amp;"P"&amp;$A50))),0)-IFERROR(VALUE(IF(RTD("tos.rtd",,"IMPL_VOL","."&amp;G$2&amp;G$1&amp;"C"&amp;$A50)="N/A",0,RTD("tos.rtd",,"IMPL_VOL","."&amp;G$2&amp;G$1&amp;"C"&amp;$A50))),0),IF($A$2="MAXPAIN",IF($A$4&gt;$A50,($A$4-$A50)*IF(RTD("tos.rtd",,"OPEN_INT","."&amp;G$2&amp;G$1&amp;"C"&amp;$A50)="N/A",0,RTD("tos.rtd",,"OPEN_INT","."&amp;G$2&amp;G$1&amp;"C"&amp;$A50)),0)+IF($A$4&lt;$A50,($A$5-$A$4)*IF(RTD("tos.rtd",,"OPEN_INT","."&amp;G$2&amp;G$1&amp;"P"&amp;$A50)="N/A",0,RTD("tos.rtd",,"OPEN_INT","."&amp;G$2&amp;G$1&amp;"P"&amp;$A50)),0),IF($X$1="ABS",IF(RTD("tos.rtd",,$A$2,"."&amp;G$2&amp;G$1&amp;"C"&amp;$A50)="N/A",0,RTD("tos.rtd",,$A$2,"."&amp;G$2&amp;G$1&amp;"C"&amp;$A50))+IF(RTD("tos.rtd",,$A$2,"."&amp;G$2&amp;G$1&amp;"P"&amp;$A50)="N/A",0,RTD("tos.rtd",,$A$2,"."&amp;G$2&amp;G$1&amp;"P"&amp;$A50)),IF(RTD("tos.rtd",,$A$2,"."&amp;G$2&amp;G$1&amp;"C"&amp;$A50)="N/A",0,RTD("tos.rtd",,$A$2,"."&amp;G$2&amp;G$1&amp;"C"&amp;$A50))-IF(RTD("tos.rtd",,$A$2,"."&amp;G$2&amp;G$1&amp;"P"&amp;$A50)="N/A",0,RTD("tos.rtd",,$A$2,"."&amp;G$2&amp;G$1&amp;"P"&amp;$A50))))))))))</f>
        <v>0</v>
      </c>
      <c r="H50" s="14">
        <f ca="1">IF($A$2="PREMIUM_OI",IFERROR(IF($X$1="ABS",(100*RTD("tos.rtd",,"OPEN_INT","."&amp;H$2&amp;H$1&amp;"C"&amp;$A50)*RTD("tos.rtd",,"LAST","."&amp;H$2&amp;H$1&amp;"C"&amp;$A50)+100*RTD("tos.rtd",,"OPEN_INT","."&amp;H$2&amp;H$1&amp;"P"&amp;$A50)*RTD("tos.rtd",,"LAST","."&amp;H$2&amp;H$1&amp;"P"&amp;$A50))/1000000,(100*RTD("tos.rtd",,"OPEN_INT","."&amp;H$2&amp;H$1&amp;"C"&amp;$A50)*RTD("tos.rtd",,"LAST","."&amp;H$2&amp;H$1&amp;"C"&amp;$A50)-100*RTD("tos.rtd",,"OPEN_INT","."&amp;H$2&amp;H$1&amp;"P"&amp;$A50)*RTD("tos.rtd",,"LAST","."&amp;H$2&amp;H$1&amp;"P"&amp;$A50))/1000000),0),IF($A$2="PREMIUM",IFERROR(IF($X$1="ABS",(100*RTD("tos.rtd",,"VOLUME","."&amp;H$2&amp;H$1&amp;"C"&amp;$A50)*RTD("tos.rtd",,"LAST","."&amp;H$2&amp;H$1&amp;"C"&amp;$A50)+100*RTD("tos.rtd",,"VOLUME","."&amp;H$2&amp;H$1&amp;"P"&amp;$A50)*RTD("tos.rtd",,"LAST","."&amp;H$2&amp;H$1&amp;"P"&amp;$A50))/1000000,(100*RTD("tos.rtd",,"VOLUME","."&amp;H$2&amp;H$1&amp;"C"&amp;$A50)*RTD("tos.rtd",,"LAST","."&amp;H$2&amp;H$1&amp;"C"&amp;$A50)-100*RTD("tos.rtd",,"VOLUME","."&amp;H$2&amp;H$1&amp;"P"&amp;$A50)*RTD("tos.rtd",,"LAST","."&amp;H$2&amp;H$1&amp;"P"&amp;$A50))/1000000),0),IF($A$2="DEX",IFERROR(IF($X$1="ABS",(100*RTD("tos.rtd",,"OPEN_INT","."&amp;H$2&amp;H$1&amp;"C"&amp;$A50)*RTD("tos.rtd",,"DELTA","."&amp;H$2&amp;H$1&amp;"C"&amp;$A50)+100*RTD("tos.rtd",,"OPEN_INT","."&amp;H$2&amp;H$1&amp;"P"&amp;$A50)*RTD("tos.rtd",,"DELTA","."&amp;H$2&amp;H$1&amp;"P"&amp;$A50))/1000,(100*RTD("tos.rtd",,"OPEN_INT","."&amp;H$2&amp;H$1&amp;"C"&amp;$A50)*RTD("tos.rtd",,"DELTA","."&amp;H$2&amp;H$1&amp;"C"&amp;$A50)-100*RTD("tos.rtd",,"OPEN_INT","."&amp;H$2&amp;H$1&amp;"P"&amp;$A50)*RTD("tos.rtd",,"DELTA","."&amp;H$2&amp;H$1&amp;"P"&amp;$A50))/1000),0),IF($A$2="VEX",IFERROR(IF($X$1="ABS",($A$4*$A$4*RTD("tos.rtd",,"VOLUME","."&amp;H$2&amp;H$1&amp;"C"&amp;$A50)*RTD("tos.rtd",,"GAMMA","."&amp;H$2&amp;H$1&amp;"C"&amp;$A50)+$A$4*$A$4*RTD("tos.rtd",,"VOLUME","."&amp;H$2&amp;H$1&amp;"P"&amp;$A50)*RTD("tos.rtd",,"GAMMA","."&amp;H$2&amp;H$1&amp;"P"&amp;$A50))/1000000,($A$4*$A$4*RTD("tos.rtd",,"VOLUME","."&amp;H$2&amp;H$1&amp;"C"&amp;$A50)*RTD("tos.rtd",,"GAMMA","."&amp;H$2&amp;H$1&amp;"C"&amp;$A50)-$A$4*$A$4*RTD("tos.rtd",,"VOLUME","."&amp;H$2&amp;H$1&amp;"P"&amp;$A50)*RTD("tos.rtd",,"GAMMA","."&amp;H$2&amp;H$1&amp;"P"&amp;$A50))/1000000),0),IF($A$2="GEX",IFERROR(IF($X$1="ABS",($A$4*$A$4*RTD("tos.rtd",,"OPEN_INT","."&amp;H$2&amp;H$1&amp;"C"&amp;$A50)*RTD("tos.rtd",,"GAMMA","."&amp;H$2&amp;H$1&amp;"C"&amp;$A50)+$A$4*$A$4*RTD("tos.rtd",,"OPEN_INT","."&amp;H$2&amp;H$1&amp;"P"&amp;$A50)*RTD("tos.rtd",,"GAMMA","."&amp;H$2&amp;H$1&amp;"P"&amp;$A50))/1000000,($A$4*$A$4*RTD("tos.rtd",,"OPEN_INT","."&amp;H$2&amp;H$1&amp;"C"&amp;$A50)*RTD("tos.rtd",,"GAMMA","."&amp;H$2&amp;H$1&amp;"C"&amp;$A50)-$A$4*$A$4*RTD("tos.rtd",,"OPEN_INT","."&amp;H$2&amp;H$1&amp;"P"&amp;$A50)*RTD("tos.rtd",,"GAMMA","."&amp;H$2&amp;H$1&amp;"P"&amp;$A50))/1000000),0),IF($A$2="SKEW",IFERROR(VALUE(IF(RTD("tos.rtd",,"IMPL_VOL","."&amp;H$2&amp;H$1&amp;"P"&amp;$A50)="N/A",0,RTD("tos.rtd",,"IMPL_VOL","."&amp;H$2&amp;H$1&amp;"P"&amp;$A50))),0)-IFERROR(VALUE(IF(RTD("tos.rtd",,"IMPL_VOL","."&amp;H$2&amp;H$1&amp;"C"&amp;$A50)="N/A",0,RTD("tos.rtd",,"IMPL_VOL","."&amp;H$2&amp;H$1&amp;"C"&amp;$A50))),0),IF($A$2="MAXPAIN",IF($A$4&gt;$A50,($A$4-$A50)*IF(RTD("tos.rtd",,"OPEN_INT","."&amp;H$2&amp;H$1&amp;"C"&amp;$A50)="N/A",0,RTD("tos.rtd",,"OPEN_INT","."&amp;H$2&amp;H$1&amp;"C"&amp;$A50)),0)+IF($A$4&lt;$A50,($A$5-$A$4)*IF(RTD("tos.rtd",,"OPEN_INT","."&amp;H$2&amp;H$1&amp;"P"&amp;$A50)="N/A",0,RTD("tos.rtd",,"OPEN_INT","."&amp;H$2&amp;H$1&amp;"P"&amp;$A50)),0),IF($X$1="ABS",IF(RTD("tos.rtd",,$A$2,"."&amp;H$2&amp;H$1&amp;"C"&amp;$A50)="N/A",0,RTD("tos.rtd",,$A$2,"."&amp;H$2&amp;H$1&amp;"C"&amp;$A50))+IF(RTD("tos.rtd",,$A$2,"."&amp;H$2&amp;H$1&amp;"P"&amp;$A50)="N/A",0,RTD("tos.rtd",,$A$2,"."&amp;H$2&amp;H$1&amp;"P"&amp;$A50)),IF(RTD("tos.rtd",,$A$2,"."&amp;H$2&amp;H$1&amp;"C"&amp;$A50)="N/A",0,RTD("tos.rtd",,$A$2,"."&amp;H$2&amp;H$1&amp;"C"&amp;$A50))-IF(RTD("tos.rtd",,$A$2,"."&amp;H$2&amp;H$1&amp;"P"&amp;$A50)="N/A",0,RTD("tos.rtd",,$A$2,"."&amp;H$2&amp;H$1&amp;"P"&amp;$A50))))))))))</f>
        <v>0</v>
      </c>
      <c r="I50" s="12">
        <f ca="1">IF($A$2="PREMIUM_OI",IFERROR(IF($X$1="ABS",(100*RTD("tos.rtd",,"OPEN_INT","."&amp;I$2&amp;I$1&amp;"C"&amp;$A50)*RTD("tos.rtd",,"LAST","."&amp;I$2&amp;I$1&amp;"C"&amp;$A50)+100*RTD("tos.rtd",,"OPEN_INT","."&amp;I$2&amp;I$1&amp;"P"&amp;$A50)*RTD("tos.rtd",,"LAST","."&amp;I$2&amp;I$1&amp;"P"&amp;$A50))/1000000,(100*RTD("tos.rtd",,"OPEN_INT","."&amp;I$2&amp;I$1&amp;"C"&amp;$A50)*RTD("tos.rtd",,"LAST","."&amp;I$2&amp;I$1&amp;"C"&amp;$A50)-100*RTD("tos.rtd",,"OPEN_INT","."&amp;I$2&amp;I$1&amp;"P"&amp;$A50)*RTD("tos.rtd",,"LAST","."&amp;I$2&amp;I$1&amp;"P"&amp;$A50))/1000000),0),IF($A$2="PREMIUM",IFERROR(IF($X$1="ABS",(100*RTD("tos.rtd",,"VOLUME","."&amp;I$2&amp;I$1&amp;"C"&amp;$A50)*RTD("tos.rtd",,"LAST","."&amp;I$2&amp;I$1&amp;"C"&amp;$A50)+100*RTD("tos.rtd",,"VOLUME","."&amp;I$2&amp;I$1&amp;"P"&amp;$A50)*RTD("tos.rtd",,"LAST","."&amp;I$2&amp;I$1&amp;"P"&amp;$A50))/1000000,(100*RTD("tos.rtd",,"VOLUME","."&amp;I$2&amp;I$1&amp;"C"&amp;$A50)*RTD("tos.rtd",,"LAST","."&amp;I$2&amp;I$1&amp;"C"&amp;$A50)-100*RTD("tos.rtd",,"VOLUME","."&amp;I$2&amp;I$1&amp;"P"&amp;$A50)*RTD("tos.rtd",,"LAST","."&amp;I$2&amp;I$1&amp;"P"&amp;$A50))/1000000),0),IF($A$2="DEX",IFERROR(IF($X$1="ABS",(100*RTD("tos.rtd",,"OPEN_INT","."&amp;I$2&amp;I$1&amp;"C"&amp;$A50)*RTD("tos.rtd",,"DELTA","."&amp;I$2&amp;I$1&amp;"C"&amp;$A50)+100*RTD("tos.rtd",,"OPEN_INT","."&amp;I$2&amp;I$1&amp;"P"&amp;$A50)*RTD("tos.rtd",,"DELTA","."&amp;I$2&amp;I$1&amp;"P"&amp;$A50))/1000,(100*RTD("tos.rtd",,"OPEN_INT","."&amp;I$2&amp;I$1&amp;"C"&amp;$A50)*RTD("tos.rtd",,"DELTA","."&amp;I$2&amp;I$1&amp;"C"&amp;$A50)-100*RTD("tos.rtd",,"OPEN_INT","."&amp;I$2&amp;I$1&amp;"P"&amp;$A50)*RTD("tos.rtd",,"DELTA","."&amp;I$2&amp;I$1&amp;"P"&amp;$A50))/1000),0),IF($A$2="VEX",IFERROR(IF($X$1="ABS",($A$4*$A$4*RTD("tos.rtd",,"VOLUME","."&amp;I$2&amp;I$1&amp;"C"&amp;$A50)*RTD("tos.rtd",,"GAMMA","."&amp;I$2&amp;I$1&amp;"C"&amp;$A50)+$A$4*$A$4*RTD("tos.rtd",,"VOLUME","."&amp;I$2&amp;I$1&amp;"P"&amp;$A50)*RTD("tos.rtd",,"GAMMA","."&amp;I$2&amp;I$1&amp;"P"&amp;$A50))/1000000,($A$4*$A$4*RTD("tos.rtd",,"VOLUME","."&amp;I$2&amp;I$1&amp;"C"&amp;$A50)*RTD("tos.rtd",,"GAMMA","."&amp;I$2&amp;I$1&amp;"C"&amp;$A50)-$A$4*$A$4*RTD("tos.rtd",,"VOLUME","."&amp;I$2&amp;I$1&amp;"P"&amp;$A50)*RTD("tos.rtd",,"GAMMA","."&amp;I$2&amp;I$1&amp;"P"&amp;$A50))/1000000),0),IF($A$2="GEX",IFERROR(IF($X$1="ABS",($A$4*$A$4*RTD("tos.rtd",,"OPEN_INT","."&amp;I$2&amp;I$1&amp;"C"&amp;$A50)*RTD("tos.rtd",,"GAMMA","."&amp;I$2&amp;I$1&amp;"C"&amp;$A50)+$A$4*$A$4*RTD("tos.rtd",,"OPEN_INT","."&amp;I$2&amp;I$1&amp;"P"&amp;$A50)*RTD("tos.rtd",,"GAMMA","."&amp;I$2&amp;I$1&amp;"P"&amp;$A50))/1000000,($A$4*$A$4*RTD("tos.rtd",,"OPEN_INT","."&amp;I$2&amp;I$1&amp;"C"&amp;$A50)*RTD("tos.rtd",,"GAMMA","."&amp;I$2&amp;I$1&amp;"C"&amp;$A50)-$A$4*$A$4*RTD("tos.rtd",,"OPEN_INT","."&amp;I$2&amp;I$1&amp;"P"&amp;$A50)*RTD("tos.rtd",,"GAMMA","."&amp;I$2&amp;I$1&amp;"P"&amp;$A50))/1000000),0),IF($A$2="SKEW",IFERROR(VALUE(IF(RTD("tos.rtd",,"IMPL_VOL","."&amp;I$2&amp;I$1&amp;"P"&amp;$A50)="N/A",0,RTD("tos.rtd",,"IMPL_VOL","."&amp;I$2&amp;I$1&amp;"P"&amp;$A50))),0)-IFERROR(VALUE(IF(RTD("tos.rtd",,"IMPL_VOL","."&amp;I$2&amp;I$1&amp;"C"&amp;$A50)="N/A",0,RTD("tos.rtd",,"IMPL_VOL","."&amp;I$2&amp;I$1&amp;"C"&amp;$A50))),0),IF($A$2="MAXPAIN",IF($A$4&gt;$A50,($A$4-$A50)*IF(RTD("tos.rtd",,"OPEN_INT","."&amp;I$2&amp;I$1&amp;"C"&amp;$A50)="N/A",0,RTD("tos.rtd",,"OPEN_INT","."&amp;I$2&amp;I$1&amp;"C"&amp;$A50)),0)+IF($A$4&lt;$A50,($A$5-$A$4)*IF(RTD("tos.rtd",,"OPEN_INT","."&amp;I$2&amp;I$1&amp;"P"&amp;$A50)="N/A",0,RTD("tos.rtd",,"OPEN_INT","."&amp;I$2&amp;I$1&amp;"P"&amp;$A50)),0),IF($X$1="ABS",IF(RTD("tos.rtd",,$A$2,"."&amp;I$2&amp;I$1&amp;"C"&amp;$A50)="N/A",0,RTD("tos.rtd",,$A$2,"."&amp;I$2&amp;I$1&amp;"C"&amp;$A50))+IF(RTD("tos.rtd",,$A$2,"."&amp;I$2&amp;I$1&amp;"P"&amp;$A50)="N/A",0,RTD("tos.rtd",,$A$2,"."&amp;I$2&amp;I$1&amp;"P"&amp;$A50)),IF(RTD("tos.rtd",,$A$2,"."&amp;I$2&amp;I$1&amp;"C"&amp;$A50)="N/A",0,RTD("tos.rtd",,$A$2,"."&amp;I$2&amp;I$1&amp;"C"&amp;$A50))-IF(RTD("tos.rtd",,$A$2,"."&amp;I$2&amp;I$1&amp;"P"&amp;$A50)="N/A",0,RTD("tos.rtd",,$A$2,"."&amp;I$2&amp;I$1&amp;"P"&amp;$A50))))))))))</f>
        <v>0</v>
      </c>
      <c r="J50" s="12">
        <f ca="1">IF($A$2="PREMIUM_OI",IFERROR(IF($X$1="ABS",(100*RTD("tos.rtd",,"OPEN_INT","."&amp;J$2&amp;J$1&amp;"C"&amp;$A50)*RTD("tos.rtd",,"LAST","."&amp;J$2&amp;J$1&amp;"C"&amp;$A50)+100*RTD("tos.rtd",,"OPEN_INT","."&amp;J$2&amp;J$1&amp;"P"&amp;$A50)*RTD("tos.rtd",,"LAST","."&amp;J$2&amp;J$1&amp;"P"&amp;$A50))/1000000,(100*RTD("tos.rtd",,"OPEN_INT","."&amp;J$2&amp;J$1&amp;"C"&amp;$A50)*RTD("tos.rtd",,"LAST","."&amp;J$2&amp;J$1&amp;"C"&amp;$A50)-100*RTD("tos.rtd",,"OPEN_INT","."&amp;J$2&amp;J$1&amp;"P"&amp;$A50)*RTD("tos.rtd",,"LAST","."&amp;J$2&amp;J$1&amp;"P"&amp;$A50))/1000000),0),IF($A$2="PREMIUM",IFERROR(IF($X$1="ABS",(100*RTD("tos.rtd",,"VOLUME","."&amp;J$2&amp;J$1&amp;"C"&amp;$A50)*RTD("tos.rtd",,"LAST","."&amp;J$2&amp;J$1&amp;"C"&amp;$A50)+100*RTD("tos.rtd",,"VOLUME","."&amp;J$2&amp;J$1&amp;"P"&amp;$A50)*RTD("tos.rtd",,"LAST","."&amp;J$2&amp;J$1&amp;"P"&amp;$A50))/1000000,(100*RTD("tos.rtd",,"VOLUME","."&amp;J$2&amp;J$1&amp;"C"&amp;$A50)*RTD("tos.rtd",,"LAST","."&amp;J$2&amp;J$1&amp;"C"&amp;$A50)-100*RTD("tos.rtd",,"VOLUME","."&amp;J$2&amp;J$1&amp;"P"&amp;$A50)*RTD("tos.rtd",,"LAST","."&amp;J$2&amp;J$1&amp;"P"&amp;$A50))/1000000),0),IF($A$2="DEX",IFERROR(IF($X$1="ABS",(100*RTD("tos.rtd",,"OPEN_INT","."&amp;J$2&amp;J$1&amp;"C"&amp;$A50)*RTD("tos.rtd",,"DELTA","."&amp;J$2&amp;J$1&amp;"C"&amp;$A50)+100*RTD("tos.rtd",,"OPEN_INT","."&amp;J$2&amp;J$1&amp;"P"&amp;$A50)*RTD("tos.rtd",,"DELTA","."&amp;J$2&amp;J$1&amp;"P"&amp;$A50))/1000,(100*RTD("tos.rtd",,"OPEN_INT","."&amp;J$2&amp;J$1&amp;"C"&amp;$A50)*RTD("tos.rtd",,"DELTA","."&amp;J$2&amp;J$1&amp;"C"&amp;$A50)-100*RTD("tos.rtd",,"OPEN_INT","."&amp;J$2&amp;J$1&amp;"P"&amp;$A50)*RTD("tos.rtd",,"DELTA","."&amp;J$2&amp;J$1&amp;"P"&amp;$A50))/1000),0),IF($A$2="VEX",IFERROR(IF($X$1="ABS",($A$4*$A$4*RTD("tos.rtd",,"VOLUME","."&amp;J$2&amp;J$1&amp;"C"&amp;$A50)*RTD("tos.rtd",,"GAMMA","."&amp;J$2&amp;J$1&amp;"C"&amp;$A50)+$A$4*$A$4*RTD("tos.rtd",,"VOLUME","."&amp;J$2&amp;J$1&amp;"P"&amp;$A50)*RTD("tos.rtd",,"GAMMA","."&amp;J$2&amp;J$1&amp;"P"&amp;$A50))/1000000,($A$4*$A$4*RTD("tos.rtd",,"VOLUME","."&amp;J$2&amp;J$1&amp;"C"&amp;$A50)*RTD("tos.rtd",,"GAMMA","."&amp;J$2&amp;J$1&amp;"C"&amp;$A50)-$A$4*$A$4*RTD("tos.rtd",,"VOLUME","."&amp;J$2&amp;J$1&amp;"P"&amp;$A50)*RTD("tos.rtd",,"GAMMA","."&amp;J$2&amp;J$1&amp;"P"&amp;$A50))/1000000),0),IF($A$2="GEX",IFERROR(IF($X$1="ABS",($A$4*$A$4*RTD("tos.rtd",,"OPEN_INT","."&amp;J$2&amp;J$1&amp;"C"&amp;$A50)*RTD("tos.rtd",,"GAMMA","."&amp;J$2&amp;J$1&amp;"C"&amp;$A50)+$A$4*$A$4*RTD("tos.rtd",,"OPEN_INT","."&amp;J$2&amp;J$1&amp;"P"&amp;$A50)*RTD("tos.rtd",,"GAMMA","."&amp;J$2&amp;J$1&amp;"P"&amp;$A50))/1000000,($A$4*$A$4*RTD("tos.rtd",,"OPEN_INT","."&amp;J$2&amp;J$1&amp;"C"&amp;$A50)*RTD("tos.rtd",,"GAMMA","."&amp;J$2&amp;J$1&amp;"C"&amp;$A50)-$A$4*$A$4*RTD("tos.rtd",,"OPEN_INT","."&amp;J$2&amp;J$1&amp;"P"&amp;$A50)*RTD("tos.rtd",,"GAMMA","."&amp;J$2&amp;J$1&amp;"P"&amp;$A50))/1000000),0),IF($A$2="SKEW",IFERROR(VALUE(IF(RTD("tos.rtd",,"IMPL_VOL","."&amp;J$2&amp;J$1&amp;"P"&amp;$A50)="N/A",0,RTD("tos.rtd",,"IMPL_VOL","."&amp;J$2&amp;J$1&amp;"P"&amp;$A50))),0)-IFERROR(VALUE(IF(RTD("tos.rtd",,"IMPL_VOL","."&amp;J$2&amp;J$1&amp;"C"&amp;$A50)="N/A",0,RTD("tos.rtd",,"IMPL_VOL","."&amp;J$2&amp;J$1&amp;"C"&amp;$A50))),0),IF($A$2="MAXPAIN",IF($A$4&gt;$A50,($A$4-$A50)*IF(RTD("tos.rtd",,"OPEN_INT","."&amp;J$2&amp;J$1&amp;"C"&amp;$A50)="N/A",0,RTD("tos.rtd",,"OPEN_INT","."&amp;J$2&amp;J$1&amp;"C"&amp;$A50)),0)+IF($A$4&lt;$A50,($A$5-$A$4)*IF(RTD("tos.rtd",,"OPEN_INT","."&amp;J$2&amp;J$1&amp;"P"&amp;$A50)="N/A",0,RTD("tos.rtd",,"OPEN_INT","."&amp;J$2&amp;J$1&amp;"P"&amp;$A50)),0),IF($X$1="ABS",IF(RTD("tos.rtd",,$A$2,"."&amp;J$2&amp;J$1&amp;"C"&amp;$A50)="N/A",0,RTD("tos.rtd",,$A$2,"."&amp;J$2&amp;J$1&amp;"C"&amp;$A50))+IF(RTD("tos.rtd",,$A$2,"."&amp;J$2&amp;J$1&amp;"P"&amp;$A50)="N/A",0,RTD("tos.rtd",,$A$2,"."&amp;J$2&amp;J$1&amp;"P"&amp;$A50)),IF(RTD("tos.rtd",,$A$2,"."&amp;J$2&amp;J$1&amp;"C"&amp;$A50)="N/A",0,RTD("tos.rtd",,$A$2,"."&amp;J$2&amp;J$1&amp;"C"&amp;$A50))-IF(RTD("tos.rtd",,$A$2,"."&amp;J$2&amp;J$1&amp;"P"&amp;$A50)="N/A",0,RTD("tos.rtd",,$A$2,"."&amp;J$2&amp;J$1&amp;"P"&amp;$A50))))))))))</f>
        <v>0</v>
      </c>
      <c r="K50" s="12">
        <f ca="1">IF($A$2="PREMIUM_OI",IFERROR(IF($X$1="ABS",(100*RTD("tos.rtd",,"OPEN_INT","."&amp;K$2&amp;K$1&amp;"C"&amp;$A50)*RTD("tos.rtd",,"LAST","."&amp;K$2&amp;K$1&amp;"C"&amp;$A50)+100*RTD("tos.rtd",,"OPEN_INT","."&amp;K$2&amp;K$1&amp;"P"&amp;$A50)*RTD("tos.rtd",,"LAST","."&amp;K$2&amp;K$1&amp;"P"&amp;$A50))/1000000,(100*RTD("tos.rtd",,"OPEN_INT","."&amp;K$2&amp;K$1&amp;"C"&amp;$A50)*RTD("tos.rtd",,"LAST","."&amp;K$2&amp;K$1&amp;"C"&amp;$A50)-100*RTD("tos.rtd",,"OPEN_INT","."&amp;K$2&amp;K$1&amp;"P"&amp;$A50)*RTD("tos.rtd",,"LAST","."&amp;K$2&amp;K$1&amp;"P"&amp;$A50))/1000000),0),IF($A$2="PREMIUM",IFERROR(IF($X$1="ABS",(100*RTD("tos.rtd",,"VOLUME","."&amp;K$2&amp;K$1&amp;"C"&amp;$A50)*RTD("tos.rtd",,"LAST","."&amp;K$2&amp;K$1&amp;"C"&amp;$A50)+100*RTD("tos.rtd",,"VOLUME","."&amp;K$2&amp;K$1&amp;"P"&amp;$A50)*RTD("tos.rtd",,"LAST","."&amp;K$2&amp;K$1&amp;"P"&amp;$A50))/1000000,(100*RTD("tos.rtd",,"VOLUME","."&amp;K$2&amp;K$1&amp;"C"&amp;$A50)*RTD("tos.rtd",,"LAST","."&amp;K$2&amp;K$1&amp;"C"&amp;$A50)-100*RTD("tos.rtd",,"VOLUME","."&amp;K$2&amp;K$1&amp;"P"&amp;$A50)*RTD("tos.rtd",,"LAST","."&amp;K$2&amp;K$1&amp;"P"&amp;$A50))/1000000),0),IF($A$2="DEX",IFERROR(IF($X$1="ABS",(100*RTD("tos.rtd",,"OPEN_INT","."&amp;K$2&amp;K$1&amp;"C"&amp;$A50)*RTD("tos.rtd",,"DELTA","."&amp;K$2&amp;K$1&amp;"C"&amp;$A50)+100*RTD("tos.rtd",,"OPEN_INT","."&amp;K$2&amp;K$1&amp;"P"&amp;$A50)*RTD("tos.rtd",,"DELTA","."&amp;K$2&amp;K$1&amp;"P"&amp;$A50))/1000,(100*RTD("tos.rtd",,"OPEN_INT","."&amp;K$2&amp;K$1&amp;"C"&amp;$A50)*RTD("tos.rtd",,"DELTA","."&amp;K$2&amp;K$1&amp;"C"&amp;$A50)-100*RTD("tos.rtd",,"OPEN_INT","."&amp;K$2&amp;K$1&amp;"P"&amp;$A50)*RTD("tos.rtd",,"DELTA","."&amp;K$2&amp;K$1&amp;"P"&amp;$A50))/1000),0),IF($A$2="VEX",IFERROR(IF($X$1="ABS",($A$4*$A$4*RTD("tos.rtd",,"VOLUME","."&amp;K$2&amp;K$1&amp;"C"&amp;$A50)*RTD("tos.rtd",,"GAMMA","."&amp;K$2&amp;K$1&amp;"C"&amp;$A50)+$A$4*$A$4*RTD("tos.rtd",,"VOLUME","."&amp;K$2&amp;K$1&amp;"P"&amp;$A50)*RTD("tos.rtd",,"GAMMA","."&amp;K$2&amp;K$1&amp;"P"&amp;$A50))/1000000,($A$4*$A$4*RTD("tos.rtd",,"VOLUME","."&amp;K$2&amp;K$1&amp;"C"&amp;$A50)*RTD("tos.rtd",,"GAMMA","."&amp;K$2&amp;K$1&amp;"C"&amp;$A50)-$A$4*$A$4*RTD("tos.rtd",,"VOLUME","."&amp;K$2&amp;K$1&amp;"P"&amp;$A50)*RTD("tos.rtd",,"GAMMA","."&amp;K$2&amp;K$1&amp;"P"&amp;$A50))/1000000),0),IF($A$2="GEX",IFERROR(IF($X$1="ABS",($A$4*$A$4*RTD("tos.rtd",,"OPEN_INT","."&amp;K$2&amp;K$1&amp;"C"&amp;$A50)*RTD("tos.rtd",,"GAMMA","."&amp;K$2&amp;K$1&amp;"C"&amp;$A50)+$A$4*$A$4*RTD("tos.rtd",,"OPEN_INT","."&amp;K$2&amp;K$1&amp;"P"&amp;$A50)*RTD("tos.rtd",,"GAMMA","."&amp;K$2&amp;K$1&amp;"P"&amp;$A50))/1000000,($A$4*$A$4*RTD("tos.rtd",,"OPEN_INT","."&amp;K$2&amp;K$1&amp;"C"&amp;$A50)*RTD("tos.rtd",,"GAMMA","."&amp;K$2&amp;K$1&amp;"C"&amp;$A50)-$A$4*$A$4*RTD("tos.rtd",,"OPEN_INT","."&amp;K$2&amp;K$1&amp;"P"&amp;$A50)*RTD("tos.rtd",,"GAMMA","."&amp;K$2&amp;K$1&amp;"P"&amp;$A50))/1000000),0),IF($A$2="SKEW",IFERROR(VALUE(IF(RTD("tos.rtd",,"IMPL_VOL","."&amp;K$2&amp;K$1&amp;"P"&amp;$A50)="N/A",0,RTD("tos.rtd",,"IMPL_VOL","."&amp;K$2&amp;K$1&amp;"P"&amp;$A50))),0)-IFERROR(VALUE(IF(RTD("tos.rtd",,"IMPL_VOL","."&amp;K$2&amp;K$1&amp;"C"&amp;$A50)="N/A",0,RTD("tos.rtd",,"IMPL_VOL","."&amp;K$2&amp;K$1&amp;"C"&amp;$A50))),0),IF($A$2="MAXPAIN",IF($A$4&gt;$A50,($A$4-$A50)*IF(RTD("tos.rtd",,"OPEN_INT","."&amp;K$2&amp;K$1&amp;"C"&amp;$A50)="N/A",0,RTD("tos.rtd",,"OPEN_INT","."&amp;K$2&amp;K$1&amp;"C"&amp;$A50)),0)+IF($A$4&lt;$A50,($A$5-$A$4)*IF(RTD("tos.rtd",,"OPEN_INT","."&amp;K$2&amp;K$1&amp;"P"&amp;$A50)="N/A",0,RTD("tos.rtd",,"OPEN_INT","."&amp;K$2&amp;K$1&amp;"P"&amp;$A50)),0),IF($X$1="ABS",IF(RTD("tos.rtd",,$A$2,"."&amp;K$2&amp;K$1&amp;"C"&amp;$A50)="N/A",0,RTD("tos.rtd",,$A$2,"."&amp;K$2&amp;K$1&amp;"C"&amp;$A50))+IF(RTD("tos.rtd",,$A$2,"."&amp;K$2&amp;K$1&amp;"P"&amp;$A50)="N/A",0,RTD("tos.rtd",,$A$2,"."&amp;K$2&amp;K$1&amp;"P"&amp;$A50)),IF(RTD("tos.rtd",,$A$2,"."&amp;K$2&amp;K$1&amp;"C"&amp;$A50)="N/A",0,RTD("tos.rtd",,$A$2,"."&amp;K$2&amp;K$1&amp;"C"&amp;$A50))-IF(RTD("tos.rtd",,$A$2,"."&amp;K$2&amp;K$1&amp;"P"&amp;$A50)="N/A",0,RTD("tos.rtd",,$A$2,"."&amp;K$2&amp;K$1&amp;"P"&amp;$A50))))))))))</f>
        <v>0</v>
      </c>
      <c r="L50" s="54">
        <f ca="1">IF($A$2="PREMIUM_OI",IFERROR(IF($X$1="ABS",(100*RTD("tos.rtd",,"OPEN_INT","."&amp;L$2&amp;L$1&amp;"C"&amp;$A50)*RTD("tos.rtd",,"LAST","."&amp;L$2&amp;L$1&amp;"C"&amp;$A50)+100*RTD("tos.rtd",,"OPEN_INT","."&amp;L$2&amp;L$1&amp;"P"&amp;$A50)*RTD("tos.rtd",,"LAST","."&amp;L$2&amp;L$1&amp;"P"&amp;$A50))/1000000,(100*RTD("tos.rtd",,"OPEN_INT","."&amp;L$2&amp;L$1&amp;"C"&amp;$A50)*RTD("tos.rtd",,"LAST","."&amp;L$2&amp;L$1&amp;"C"&amp;$A50)-100*RTD("tos.rtd",,"OPEN_INT","."&amp;L$2&amp;L$1&amp;"P"&amp;$A50)*RTD("tos.rtd",,"LAST","."&amp;L$2&amp;L$1&amp;"P"&amp;$A50))/1000000),0),IF($A$2="PREMIUM",IFERROR(IF($X$1="ABS",(100*RTD("tos.rtd",,"VOLUME","."&amp;L$2&amp;L$1&amp;"C"&amp;$A50)*RTD("tos.rtd",,"LAST","."&amp;L$2&amp;L$1&amp;"C"&amp;$A50)+100*RTD("tos.rtd",,"VOLUME","."&amp;L$2&amp;L$1&amp;"P"&amp;$A50)*RTD("tos.rtd",,"LAST","."&amp;L$2&amp;L$1&amp;"P"&amp;$A50))/1000000,(100*RTD("tos.rtd",,"VOLUME","."&amp;L$2&amp;L$1&amp;"C"&amp;$A50)*RTD("tos.rtd",,"LAST","."&amp;L$2&amp;L$1&amp;"C"&amp;$A50)-100*RTD("tos.rtd",,"VOLUME","."&amp;L$2&amp;L$1&amp;"P"&amp;$A50)*RTD("tos.rtd",,"LAST","."&amp;L$2&amp;L$1&amp;"P"&amp;$A50))/1000000),0),IF($A$2="DEX",IFERROR(IF($X$1="ABS",(100*RTD("tos.rtd",,"OPEN_INT","."&amp;L$2&amp;L$1&amp;"C"&amp;$A50)*RTD("tos.rtd",,"DELTA","."&amp;L$2&amp;L$1&amp;"C"&amp;$A50)+100*RTD("tos.rtd",,"OPEN_INT","."&amp;L$2&amp;L$1&amp;"P"&amp;$A50)*RTD("tos.rtd",,"DELTA","."&amp;L$2&amp;L$1&amp;"P"&amp;$A50))/1000,(100*RTD("tos.rtd",,"OPEN_INT","."&amp;L$2&amp;L$1&amp;"C"&amp;$A50)*RTD("tos.rtd",,"DELTA","."&amp;L$2&amp;L$1&amp;"C"&amp;$A50)-100*RTD("tos.rtd",,"OPEN_INT","."&amp;L$2&amp;L$1&amp;"P"&amp;$A50)*RTD("tos.rtd",,"DELTA","."&amp;L$2&amp;L$1&amp;"P"&amp;$A50))/1000),0),IF($A$2="VEX",IFERROR(IF($X$1="ABS",($A$4*$A$4*RTD("tos.rtd",,"VOLUME","."&amp;L$2&amp;L$1&amp;"C"&amp;$A50)*RTD("tos.rtd",,"GAMMA","."&amp;L$2&amp;L$1&amp;"C"&amp;$A50)+$A$4*$A$4*RTD("tos.rtd",,"VOLUME","."&amp;L$2&amp;L$1&amp;"P"&amp;$A50)*RTD("tos.rtd",,"GAMMA","."&amp;L$2&amp;L$1&amp;"P"&amp;$A50))/1000000,($A$4*$A$4*RTD("tos.rtd",,"VOLUME","."&amp;L$2&amp;L$1&amp;"C"&amp;$A50)*RTD("tos.rtd",,"GAMMA","."&amp;L$2&amp;L$1&amp;"C"&amp;$A50)-$A$4*$A$4*RTD("tos.rtd",,"VOLUME","."&amp;L$2&amp;L$1&amp;"P"&amp;$A50)*RTD("tos.rtd",,"GAMMA","."&amp;L$2&amp;L$1&amp;"P"&amp;$A50))/1000000),0),IF($A$2="GEX",IFERROR(IF($X$1="ABS",($A$4*$A$4*RTD("tos.rtd",,"OPEN_INT","."&amp;L$2&amp;L$1&amp;"C"&amp;$A50)*RTD("tos.rtd",,"GAMMA","."&amp;L$2&amp;L$1&amp;"C"&amp;$A50)+$A$4*$A$4*RTD("tos.rtd",,"OPEN_INT","."&amp;L$2&amp;L$1&amp;"P"&amp;$A50)*RTD("tos.rtd",,"GAMMA","."&amp;L$2&amp;L$1&amp;"P"&amp;$A50))/1000000,($A$4*$A$4*RTD("tos.rtd",,"OPEN_INT","."&amp;L$2&amp;L$1&amp;"C"&amp;$A50)*RTD("tos.rtd",,"GAMMA","."&amp;L$2&amp;L$1&amp;"C"&amp;$A50)-$A$4*$A$4*RTD("tos.rtd",,"OPEN_INT","."&amp;L$2&amp;L$1&amp;"P"&amp;$A50)*RTD("tos.rtd",,"GAMMA","."&amp;L$2&amp;L$1&amp;"P"&amp;$A50))/1000000),0),IF($A$2="SKEW",IFERROR(VALUE(IF(RTD("tos.rtd",,"IMPL_VOL","."&amp;L$2&amp;L$1&amp;"P"&amp;$A50)="N/A",0,RTD("tos.rtd",,"IMPL_VOL","."&amp;L$2&amp;L$1&amp;"P"&amp;$A50))),0)-IFERROR(VALUE(IF(RTD("tos.rtd",,"IMPL_VOL","."&amp;L$2&amp;L$1&amp;"C"&amp;$A50)="N/A",0,RTD("tos.rtd",,"IMPL_VOL","."&amp;L$2&amp;L$1&amp;"C"&amp;$A50))),0),IF($A$2="MAXPAIN",IF($A$4&gt;$A50,($A$4-$A50)*IF(RTD("tos.rtd",,"OPEN_INT","."&amp;L$2&amp;L$1&amp;"C"&amp;$A50)="N/A",0,RTD("tos.rtd",,"OPEN_INT","."&amp;L$2&amp;L$1&amp;"C"&amp;$A50)),0)+IF($A$4&lt;$A50,($A$5-$A$4)*IF(RTD("tos.rtd",,"OPEN_INT","."&amp;L$2&amp;L$1&amp;"P"&amp;$A50)="N/A",0,RTD("tos.rtd",,"OPEN_INT","."&amp;L$2&amp;L$1&amp;"P"&amp;$A50)),0),IF($X$1="ABS",IF(RTD("tos.rtd",,$A$2,"."&amp;L$2&amp;L$1&amp;"C"&amp;$A50)="N/A",0,RTD("tos.rtd",,$A$2,"."&amp;L$2&amp;L$1&amp;"C"&amp;$A50))+IF(RTD("tos.rtd",,$A$2,"."&amp;L$2&amp;L$1&amp;"P"&amp;$A50)="N/A",0,RTD("tos.rtd",,$A$2,"."&amp;L$2&amp;L$1&amp;"P"&amp;$A50)),IF(RTD("tos.rtd",,$A$2,"."&amp;L$2&amp;L$1&amp;"C"&amp;$A50)="N/A",0,RTD("tos.rtd",,$A$2,"."&amp;L$2&amp;L$1&amp;"C"&amp;$A50))-IF(RTD("tos.rtd",,$A$2,"."&amp;L$2&amp;L$1&amp;"P"&amp;$A50)="N/A",0,RTD("tos.rtd",,$A$2,"."&amp;L$2&amp;L$1&amp;"P"&amp;$A50))))))))))</f>
        <v>0</v>
      </c>
      <c r="M50" s="12">
        <f ca="1">IF($A$2="PREMIUM_OI",IFERROR(IF($X$1="ABS",(100*RTD("tos.rtd",,"OPEN_INT","."&amp;M$2&amp;M$1&amp;"C"&amp;$A50)*RTD("tos.rtd",,"LAST","."&amp;M$2&amp;M$1&amp;"C"&amp;$A50)+100*RTD("tos.rtd",,"OPEN_INT","."&amp;M$2&amp;M$1&amp;"P"&amp;$A50)*RTD("tos.rtd",,"LAST","."&amp;M$2&amp;M$1&amp;"P"&amp;$A50))/1000000,(100*RTD("tos.rtd",,"OPEN_INT","."&amp;M$2&amp;M$1&amp;"C"&amp;$A50)*RTD("tos.rtd",,"LAST","."&amp;M$2&amp;M$1&amp;"C"&amp;$A50)-100*RTD("tos.rtd",,"OPEN_INT","."&amp;M$2&amp;M$1&amp;"P"&amp;$A50)*RTD("tos.rtd",,"LAST","."&amp;M$2&amp;M$1&amp;"P"&amp;$A50))/1000000),0),IF($A$2="PREMIUM",IFERROR(IF($X$1="ABS",(100*RTD("tos.rtd",,"VOLUME","."&amp;M$2&amp;M$1&amp;"C"&amp;$A50)*RTD("tos.rtd",,"LAST","."&amp;M$2&amp;M$1&amp;"C"&amp;$A50)+100*RTD("tos.rtd",,"VOLUME","."&amp;M$2&amp;M$1&amp;"P"&amp;$A50)*RTD("tos.rtd",,"LAST","."&amp;M$2&amp;M$1&amp;"P"&amp;$A50))/1000000,(100*RTD("tos.rtd",,"VOLUME","."&amp;M$2&amp;M$1&amp;"C"&amp;$A50)*RTD("tos.rtd",,"LAST","."&amp;M$2&amp;M$1&amp;"C"&amp;$A50)-100*RTD("tos.rtd",,"VOLUME","."&amp;M$2&amp;M$1&amp;"P"&amp;$A50)*RTD("tos.rtd",,"LAST","."&amp;M$2&amp;M$1&amp;"P"&amp;$A50))/1000000),0),IF($A$2="DEX",IFERROR(IF($X$1="ABS",(100*RTD("tos.rtd",,"OPEN_INT","."&amp;M$2&amp;M$1&amp;"C"&amp;$A50)*RTD("tos.rtd",,"DELTA","."&amp;M$2&amp;M$1&amp;"C"&amp;$A50)+100*RTD("tos.rtd",,"OPEN_INT","."&amp;M$2&amp;M$1&amp;"P"&amp;$A50)*RTD("tos.rtd",,"DELTA","."&amp;M$2&amp;M$1&amp;"P"&amp;$A50))/1000,(100*RTD("tos.rtd",,"OPEN_INT","."&amp;M$2&amp;M$1&amp;"C"&amp;$A50)*RTD("tos.rtd",,"DELTA","."&amp;M$2&amp;M$1&amp;"C"&amp;$A50)-100*RTD("tos.rtd",,"OPEN_INT","."&amp;M$2&amp;M$1&amp;"P"&amp;$A50)*RTD("tos.rtd",,"DELTA","."&amp;M$2&amp;M$1&amp;"P"&amp;$A50))/1000),0),IF($A$2="VEX",IFERROR(IF($X$1="ABS",($A$4*$A$4*RTD("tos.rtd",,"VOLUME","."&amp;M$2&amp;M$1&amp;"C"&amp;$A50)*RTD("tos.rtd",,"GAMMA","."&amp;M$2&amp;M$1&amp;"C"&amp;$A50)+$A$4*$A$4*RTD("tos.rtd",,"VOLUME","."&amp;M$2&amp;M$1&amp;"P"&amp;$A50)*RTD("tos.rtd",,"GAMMA","."&amp;M$2&amp;M$1&amp;"P"&amp;$A50))/1000000,($A$4*$A$4*RTD("tos.rtd",,"VOLUME","."&amp;M$2&amp;M$1&amp;"C"&amp;$A50)*RTD("tos.rtd",,"GAMMA","."&amp;M$2&amp;M$1&amp;"C"&amp;$A50)-$A$4*$A$4*RTD("tos.rtd",,"VOLUME","."&amp;M$2&amp;M$1&amp;"P"&amp;$A50)*RTD("tos.rtd",,"GAMMA","."&amp;M$2&amp;M$1&amp;"P"&amp;$A50))/1000000),0),IF($A$2="GEX",IFERROR(IF($X$1="ABS",($A$4*$A$4*RTD("tos.rtd",,"OPEN_INT","."&amp;M$2&amp;M$1&amp;"C"&amp;$A50)*RTD("tos.rtd",,"GAMMA","."&amp;M$2&amp;M$1&amp;"C"&amp;$A50)+$A$4*$A$4*RTD("tos.rtd",,"OPEN_INT","."&amp;M$2&amp;M$1&amp;"P"&amp;$A50)*RTD("tos.rtd",,"GAMMA","."&amp;M$2&amp;M$1&amp;"P"&amp;$A50))/1000000,($A$4*$A$4*RTD("tos.rtd",,"OPEN_INT","."&amp;M$2&amp;M$1&amp;"C"&amp;$A50)*RTD("tos.rtd",,"GAMMA","."&amp;M$2&amp;M$1&amp;"C"&amp;$A50)-$A$4*$A$4*RTD("tos.rtd",,"OPEN_INT","."&amp;M$2&amp;M$1&amp;"P"&amp;$A50)*RTD("tos.rtd",,"GAMMA","."&amp;M$2&amp;M$1&amp;"P"&amp;$A50))/1000000),0),IF($A$2="SKEW",IFERROR(VALUE(IF(RTD("tos.rtd",,"IMPL_VOL","."&amp;M$2&amp;M$1&amp;"P"&amp;$A50)="N/A",0,RTD("tos.rtd",,"IMPL_VOL","."&amp;M$2&amp;M$1&amp;"P"&amp;$A50))),0)-IFERROR(VALUE(IF(RTD("tos.rtd",,"IMPL_VOL","."&amp;M$2&amp;M$1&amp;"C"&amp;$A50)="N/A",0,RTD("tos.rtd",,"IMPL_VOL","."&amp;M$2&amp;M$1&amp;"C"&amp;$A50))),0),IF($A$2="MAXPAIN",IF($A$4&gt;$A50,($A$4-$A50)*IF(RTD("tos.rtd",,"OPEN_INT","."&amp;M$2&amp;M$1&amp;"C"&amp;$A50)="N/A",0,RTD("tos.rtd",,"OPEN_INT","."&amp;M$2&amp;M$1&amp;"C"&amp;$A50)),0)+IF($A$4&lt;$A50,($A$5-$A$4)*IF(RTD("tos.rtd",,"OPEN_INT","."&amp;M$2&amp;M$1&amp;"P"&amp;$A50)="N/A",0,RTD("tos.rtd",,"OPEN_INT","."&amp;M$2&amp;M$1&amp;"P"&amp;$A50)),0),IF($X$1="ABS",IF(RTD("tos.rtd",,$A$2,"."&amp;M$2&amp;M$1&amp;"C"&amp;$A50)="N/A",0,RTD("tos.rtd",,$A$2,"."&amp;M$2&amp;M$1&amp;"C"&amp;$A50))+IF(RTD("tos.rtd",,$A$2,"."&amp;M$2&amp;M$1&amp;"P"&amp;$A50)="N/A",0,RTD("tos.rtd",,$A$2,"."&amp;M$2&amp;M$1&amp;"P"&amp;$A50)),IF(RTD("tos.rtd",,$A$2,"."&amp;M$2&amp;M$1&amp;"C"&amp;$A50)="N/A",0,RTD("tos.rtd",,$A$2,"."&amp;M$2&amp;M$1&amp;"C"&amp;$A50))-IF(RTD("tos.rtd",,$A$2,"."&amp;M$2&amp;M$1&amp;"P"&amp;$A50)="N/A",0,RTD("tos.rtd",,$A$2,"."&amp;M$2&amp;M$1&amp;"P"&amp;$A50))))))))))</f>
        <v>0</v>
      </c>
      <c r="N50" s="12">
        <f ca="1">IF($A$2="PREMIUM_OI",IFERROR(IF($X$1="ABS",(100*RTD("tos.rtd",,"OPEN_INT","."&amp;N$2&amp;N$1&amp;"C"&amp;$A50)*RTD("tos.rtd",,"LAST","."&amp;N$2&amp;N$1&amp;"C"&amp;$A50)+100*RTD("tos.rtd",,"OPEN_INT","."&amp;N$2&amp;N$1&amp;"P"&amp;$A50)*RTD("tos.rtd",,"LAST","."&amp;N$2&amp;N$1&amp;"P"&amp;$A50))/1000000,(100*RTD("tos.rtd",,"OPEN_INT","."&amp;N$2&amp;N$1&amp;"C"&amp;$A50)*RTD("tos.rtd",,"LAST","."&amp;N$2&amp;N$1&amp;"C"&amp;$A50)-100*RTD("tos.rtd",,"OPEN_INT","."&amp;N$2&amp;N$1&amp;"P"&amp;$A50)*RTD("tos.rtd",,"LAST","."&amp;N$2&amp;N$1&amp;"P"&amp;$A50))/1000000),0),IF($A$2="PREMIUM",IFERROR(IF($X$1="ABS",(100*RTD("tos.rtd",,"VOLUME","."&amp;N$2&amp;N$1&amp;"C"&amp;$A50)*RTD("tos.rtd",,"LAST","."&amp;N$2&amp;N$1&amp;"C"&amp;$A50)+100*RTD("tos.rtd",,"VOLUME","."&amp;N$2&amp;N$1&amp;"P"&amp;$A50)*RTD("tos.rtd",,"LAST","."&amp;N$2&amp;N$1&amp;"P"&amp;$A50))/1000000,(100*RTD("tos.rtd",,"VOLUME","."&amp;N$2&amp;N$1&amp;"C"&amp;$A50)*RTD("tos.rtd",,"LAST","."&amp;N$2&amp;N$1&amp;"C"&amp;$A50)-100*RTD("tos.rtd",,"VOLUME","."&amp;N$2&amp;N$1&amp;"P"&amp;$A50)*RTD("tos.rtd",,"LAST","."&amp;N$2&amp;N$1&amp;"P"&amp;$A50))/1000000),0),IF($A$2="DEX",IFERROR(IF($X$1="ABS",(100*RTD("tos.rtd",,"OPEN_INT","."&amp;N$2&amp;N$1&amp;"C"&amp;$A50)*RTD("tos.rtd",,"DELTA","."&amp;N$2&amp;N$1&amp;"C"&amp;$A50)+100*RTD("tos.rtd",,"OPEN_INT","."&amp;N$2&amp;N$1&amp;"P"&amp;$A50)*RTD("tos.rtd",,"DELTA","."&amp;N$2&amp;N$1&amp;"P"&amp;$A50))/1000,(100*RTD("tos.rtd",,"OPEN_INT","."&amp;N$2&amp;N$1&amp;"C"&amp;$A50)*RTD("tos.rtd",,"DELTA","."&amp;N$2&amp;N$1&amp;"C"&amp;$A50)-100*RTD("tos.rtd",,"OPEN_INT","."&amp;N$2&amp;N$1&amp;"P"&amp;$A50)*RTD("tos.rtd",,"DELTA","."&amp;N$2&amp;N$1&amp;"P"&amp;$A50))/1000),0),IF($A$2="VEX",IFERROR(IF($X$1="ABS",($A$4*$A$4*RTD("tos.rtd",,"VOLUME","."&amp;N$2&amp;N$1&amp;"C"&amp;$A50)*RTD("tos.rtd",,"GAMMA","."&amp;N$2&amp;N$1&amp;"C"&amp;$A50)+$A$4*$A$4*RTD("tos.rtd",,"VOLUME","."&amp;N$2&amp;N$1&amp;"P"&amp;$A50)*RTD("tos.rtd",,"GAMMA","."&amp;N$2&amp;N$1&amp;"P"&amp;$A50))/1000000,($A$4*$A$4*RTD("tos.rtd",,"VOLUME","."&amp;N$2&amp;N$1&amp;"C"&amp;$A50)*RTD("tos.rtd",,"GAMMA","."&amp;N$2&amp;N$1&amp;"C"&amp;$A50)-$A$4*$A$4*RTD("tos.rtd",,"VOLUME","."&amp;N$2&amp;N$1&amp;"P"&amp;$A50)*RTD("tos.rtd",,"GAMMA","."&amp;N$2&amp;N$1&amp;"P"&amp;$A50))/1000000),0),IF($A$2="GEX",IFERROR(IF($X$1="ABS",($A$4*$A$4*RTD("tos.rtd",,"OPEN_INT","."&amp;N$2&amp;N$1&amp;"C"&amp;$A50)*RTD("tos.rtd",,"GAMMA","."&amp;N$2&amp;N$1&amp;"C"&amp;$A50)+$A$4*$A$4*RTD("tos.rtd",,"OPEN_INT","."&amp;N$2&amp;N$1&amp;"P"&amp;$A50)*RTD("tos.rtd",,"GAMMA","."&amp;N$2&amp;N$1&amp;"P"&amp;$A50))/1000000,($A$4*$A$4*RTD("tos.rtd",,"OPEN_INT","."&amp;N$2&amp;N$1&amp;"C"&amp;$A50)*RTD("tos.rtd",,"GAMMA","."&amp;N$2&amp;N$1&amp;"C"&amp;$A50)-$A$4*$A$4*RTD("tos.rtd",,"OPEN_INT","."&amp;N$2&amp;N$1&amp;"P"&amp;$A50)*RTD("tos.rtd",,"GAMMA","."&amp;N$2&amp;N$1&amp;"P"&amp;$A50))/1000000),0),IF($A$2="SKEW",IFERROR(VALUE(IF(RTD("tos.rtd",,"IMPL_VOL","."&amp;N$2&amp;N$1&amp;"P"&amp;$A50)="N/A",0,RTD("tos.rtd",,"IMPL_VOL","."&amp;N$2&amp;N$1&amp;"P"&amp;$A50))),0)-IFERROR(VALUE(IF(RTD("tos.rtd",,"IMPL_VOL","."&amp;N$2&amp;N$1&amp;"C"&amp;$A50)="N/A",0,RTD("tos.rtd",,"IMPL_VOL","."&amp;N$2&amp;N$1&amp;"C"&amp;$A50))),0),IF($A$2="MAXPAIN",IF($A$4&gt;$A50,($A$4-$A50)*IF(RTD("tos.rtd",,"OPEN_INT","."&amp;N$2&amp;N$1&amp;"C"&amp;$A50)="N/A",0,RTD("tos.rtd",,"OPEN_INT","."&amp;N$2&amp;N$1&amp;"C"&amp;$A50)),0)+IF($A$4&lt;$A50,($A$5-$A$4)*IF(RTD("tos.rtd",,"OPEN_INT","."&amp;N$2&amp;N$1&amp;"P"&amp;$A50)="N/A",0,RTD("tos.rtd",,"OPEN_INT","."&amp;N$2&amp;N$1&amp;"P"&amp;$A50)),0),IF($X$1="ABS",IF(RTD("tos.rtd",,$A$2,"."&amp;N$2&amp;N$1&amp;"C"&amp;$A50)="N/A",0,RTD("tos.rtd",,$A$2,"."&amp;N$2&amp;N$1&amp;"C"&amp;$A50))+IF(RTD("tos.rtd",,$A$2,"."&amp;N$2&amp;N$1&amp;"P"&amp;$A50)="N/A",0,RTD("tos.rtd",,$A$2,"."&amp;N$2&amp;N$1&amp;"P"&amp;$A50)),IF(RTD("tos.rtd",,$A$2,"."&amp;N$2&amp;N$1&amp;"C"&amp;$A50)="N/A",0,RTD("tos.rtd",,$A$2,"."&amp;N$2&amp;N$1&amp;"C"&amp;$A50))-IF(RTD("tos.rtd",,$A$2,"."&amp;N$2&amp;N$1&amp;"P"&amp;$A50)="N/A",0,RTD("tos.rtd",,$A$2,"."&amp;N$2&amp;N$1&amp;"P"&amp;$A50))))))))))</f>
        <v>0</v>
      </c>
      <c r="O50" s="12">
        <f ca="1">IF($A$2="PREMIUM_OI",IFERROR(IF($X$1="ABS",(100*RTD("tos.rtd",,"OPEN_INT","."&amp;O$2&amp;O$1&amp;"C"&amp;$A50)*RTD("tos.rtd",,"LAST","."&amp;O$2&amp;O$1&amp;"C"&amp;$A50)+100*RTD("tos.rtd",,"OPEN_INT","."&amp;O$2&amp;O$1&amp;"P"&amp;$A50)*RTD("tos.rtd",,"LAST","."&amp;O$2&amp;O$1&amp;"P"&amp;$A50))/1000000,(100*RTD("tos.rtd",,"OPEN_INT","."&amp;O$2&amp;O$1&amp;"C"&amp;$A50)*RTD("tos.rtd",,"LAST","."&amp;O$2&amp;O$1&amp;"C"&amp;$A50)-100*RTD("tos.rtd",,"OPEN_INT","."&amp;O$2&amp;O$1&amp;"P"&amp;$A50)*RTD("tos.rtd",,"LAST","."&amp;O$2&amp;O$1&amp;"P"&amp;$A50))/1000000),0),IF($A$2="PREMIUM",IFERROR(IF($X$1="ABS",(100*RTD("tos.rtd",,"VOLUME","."&amp;O$2&amp;O$1&amp;"C"&amp;$A50)*RTD("tos.rtd",,"LAST","."&amp;O$2&amp;O$1&amp;"C"&amp;$A50)+100*RTD("tos.rtd",,"VOLUME","."&amp;O$2&amp;O$1&amp;"P"&amp;$A50)*RTD("tos.rtd",,"LAST","."&amp;O$2&amp;O$1&amp;"P"&amp;$A50))/1000000,(100*RTD("tos.rtd",,"VOLUME","."&amp;O$2&amp;O$1&amp;"C"&amp;$A50)*RTD("tos.rtd",,"LAST","."&amp;O$2&amp;O$1&amp;"C"&amp;$A50)-100*RTD("tos.rtd",,"VOLUME","."&amp;O$2&amp;O$1&amp;"P"&amp;$A50)*RTD("tos.rtd",,"LAST","."&amp;O$2&amp;O$1&amp;"P"&amp;$A50))/1000000),0),IF($A$2="DEX",IFERROR(IF($X$1="ABS",(100*RTD("tos.rtd",,"OPEN_INT","."&amp;O$2&amp;O$1&amp;"C"&amp;$A50)*RTD("tos.rtd",,"DELTA","."&amp;O$2&amp;O$1&amp;"C"&amp;$A50)+100*RTD("tos.rtd",,"OPEN_INT","."&amp;O$2&amp;O$1&amp;"P"&amp;$A50)*RTD("tos.rtd",,"DELTA","."&amp;O$2&amp;O$1&amp;"P"&amp;$A50))/1000,(100*RTD("tos.rtd",,"OPEN_INT","."&amp;O$2&amp;O$1&amp;"C"&amp;$A50)*RTD("tos.rtd",,"DELTA","."&amp;O$2&amp;O$1&amp;"C"&amp;$A50)-100*RTD("tos.rtd",,"OPEN_INT","."&amp;O$2&amp;O$1&amp;"P"&amp;$A50)*RTD("tos.rtd",,"DELTA","."&amp;O$2&amp;O$1&amp;"P"&amp;$A50))/1000),0),IF($A$2="VEX",IFERROR(IF($X$1="ABS",($A$4*$A$4*RTD("tos.rtd",,"VOLUME","."&amp;O$2&amp;O$1&amp;"C"&amp;$A50)*RTD("tos.rtd",,"GAMMA","."&amp;O$2&amp;O$1&amp;"C"&amp;$A50)+$A$4*$A$4*RTD("tos.rtd",,"VOLUME","."&amp;O$2&amp;O$1&amp;"P"&amp;$A50)*RTD("tos.rtd",,"GAMMA","."&amp;O$2&amp;O$1&amp;"P"&amp;$A50))/1000000,($A$4*$A$4*RTD("tos.rtd",,"VOLUME","."&amp;O$2&amp;O$1&amp;"C"&amp;$A50)*RTD("tos.rtd",,"GAMMA","."&amp;O$2&amp;O$1&amp;"C"&amp;$A50)-$A$4*$A$4*RTD("tos.rtd",,"VOLUME","."&amp;O$2&amp;O$1&amp;"P"&amp;$A50)*RTD("tos.rtd",,"GAMMA","."&amp;O$2&amp;O$1&amp;"P"&amp;$A50))/1000000),0),IF($A$2="GEX",IFERROR(IF($X$1="ABS",($A$4*$A$4*RTD("tos.rtd",,"OPEN_INT","."&amp;O$2&amp;O$1&amp;"C"&amp;$A50)*RTD("tos.rtd",,"GAMMA","."&amp;O$2&amp;O$1&amp;"C"&amp;$A50)+$A$4*$A$4*RTD("tos.rtd",,"OPEN_INT","."&amp;O$2&amp;O$1&amp;"P"&amp;$A50)*RTD("tos.rtd",,"GAMMA","."&amp;O$2&amp;O$1&amp;"P"&amp;$A50))/1000000,($A$4*$A$4*RTD("tos.rtd",,"OPEN_INT","."&amp;O$2&amp;O$1&amp;"C"&amp;$A50)*RTD("tos.rtd",,"GAMMA","."&amp;O$2&amp;O$1&amp;"C"&amp;$A50)-$A$4*$A$4*RTD("tos.rtd",,"OPEN_INT","."&amp;O$2&amp;O$1&amp;"P"&amp;$A50)*RTD("tos.rtd",,"GAMMA","."&amp;O$2&amp;O$1&amp;"P"&amp;$A50))/1000000),0),IF($A$2="SKEW",IFERROR(VALUE(IF(RTD("tos.rtd",,"IMPL_VOL","."&amp;O$2&amp;O$1&amp;"P"&amp;$A50)="N/A",0,RTD("tos.rtd",,"IMPL_VOL","."&amp;O$2&amp;O$1&amp;"P"&amp;$A50))),0)-IFERROR(VALUE(IF(RTD("tos.rtd",,"IMPL_VOL","."&amp;O$2&amp;O$1&amp;"C"&amp;$A50)="N/A",0,RTD("tos.rtd",,"IMPL_VOL","."&amp;O$2&amp;O$1&amp;"C"&amp;$A50))),0),IF($A$2="MAXPAIN",IF($A$4&gt;$A50,($A$4-$A50)*IF(RTD("tos.rtd",,"OPEN_INT","."&amp;O$2&amp;O$1&amp;"C"&amp;$A50)="N/A",0,RTD("tos.rtd",,"OPEN_INT","."&amp;O$2&amp;O$1&amp;"C"&amp;$A50)),0)+IF($A$4&lt;$A50,($A$5-$A$4)*IF(RTD("tos.rtd",,"OPEN_INT","."&amp;O$2&amp;O$1&amp;"P"&amp;$A50)="N/A",0,RTD("tos.rtd",,"OPEN_INT","."&amp;O$2&amp;O$1&amp;"P"&amp;$A50)),0),IF($X$1="ABS",IF(RTD("tos.rtd",,$A$2,"."&amp;O$2&amp;O$1&amp;"C"&amp;$A50)="N/A",0,RTD("tos.rtd",,$A$2,"."&amp;O$2&amp;O$1&amp;"C"&amp;$A50))+IF(RTD("tos.rtd",,$A$2,"."&amp;O$2&amp;O$1&amp;"P"&amp;$A50)="N/A",0,RTD("tos.rtd",,$A$2,"."&amp;O$2&amp;O$1&amp;"P"&amp;$A50)),IF(RTD("tos.rtd",,$A$2,"."&amp;O$2&amp;O$1&amp;"C"&amp;$A50)="N/A",0,RTD("tos.rtd",,$A$2,"."&amp;O$2&amp;O$1&amp;"C"&amp;$A50))-IF(RTD("tos.rtd",,$A$2,"."&amp;O$2&amp;O$1&amp;"P"&amp;$A50)="N/A",0,RTD("tos.rtd",,$A$2,"."&amp;O$2&amp;O$1&amp;"P"&amp;$A50))))))))))</f>
        <v>0</v>
      </c>
      <c r="P50" s="12">
        <f ca="1">IF($A$2="PREMIUM_OI",IFERROR(IF($X$1="ABS",(100*RTD("tos.rtd",,"OPEN_INT","."&amp;P$2&amp;P$1&amp;"C"&amp;$A50)*RTD("tos.rtd",,"LAST","."&amp;P$2&amp;P$1&amp;"C"&amp;$A50)+100*RTD("tos.rtd",,"OPEN_INT","."&amp;P$2&amp;P$1&amp;"P"&amp;$A50)*RTD("tos.rtd",,"LAST","."&amp;P$2&amp;P$1&amp;"P"&amp;$A50))/1000000,(100*RTD("tos.rtd",,"OPEN_INT","."&amp;P$2&amp;P$1&amp;"C"&amp;$A50)*RTD("tos.rtd",,"LAST","."&amp;P$2&amp;P$1&amp;"C"&amp;$A50)-100*RTD("tos.rtd",,"OPEN_INT","."&amp;P$2&amp;P$1&amp;"P"&amp;$A50)*RTD("tos.rtd",,"LAST","."&amp;P$2&amp;P$1&amp;"P"&amp;$A50))/1000000),0),IF($A$2="PREMIUM",IFERROR(IF($X$1="ABS",(100*RTD("tos.rtd",,"VOLUME","."&amp;P$2&amp;P$1&amp;"C"&amp;$A50)*RTD("tos.rtd",,"LAST","."&amp;P$2&amp;P$1&amp;"C"&amp;$A50)+100*RTD("tos.rtd",,"VOLUME","."&amp;P$2&amp;P$1&amp;"P"&amp;$A50)*RTD("tos.rtd",,"LAST","."&amp;P$2&amp;P$1&amp;"P"&amp;$A50))/1000000,(100*RTD("tos.rtd",,"VOLUME","."&amp;P$2&amp;P$1&amp;"C"&amp;$A50)*RTD("tos.rtd",,"LAST","."&amp;P$2&amp;P$1&amp;"C"&amp;$A50)-100*RTD("tos.rtd",,"VOLUME","."&amp;P$2&amp;P$1&amp;"P"&amp;$A50)*RTD("tos.rtd",,"LAST","."&amp;P$2&amp;P$1&amp;"P"&amp;$A50))/1000000),0),IF($A$2="DEX",IFERROR(IF($X$1="ABS",(100*RTD("tos.rtd",,"OPEN_INT","."&amp;P$2&amp;P$1&amp;"C"&amp;$A50)*RTD("tos.rtd",,"DELTA","."&amp;P$2&amp;P$1&amp;"C"&amp;$A50)+100*RTD("tos.rtd",,"OPEN_INT","."&amp;P$2&amp;P$1&amp;"P"&amp;$A50)*RTD("tos.rtd",,"DELTA","."&amp;P$2&amp;P$1&amp;"P"&amp;$A50))/1000,(100*RTD("tos.rtd",,"OPEN_INT","."&amp;P$2&amp;P$1&amp;"C"&amp;$A50)*RTD("tos.rtd",,"DELTA","."&amp;P$2&amp;P$1&amp;"C"&amp;$A50)-100*RTD("tos.rtd",,"OPEN_INT","."&amp;P$2&amp;P$1&amp;"P"&amp;$A50)*RTD("tos.rtd",,"DELTA","."&amp;P$2&amp;P$1&amp;"P"&amp;$A50))/1000),0),IF($A$2="VEX",IFERROR(IF($X$1="ABS",($A$4*$A$4*RTD("tos.rtd",,"VOLUME","."&amp;P$2&amp;P$1&amp;"C"&amp;$A50)*RTD("tos.rtd",,"GAMMA","."&amp;P$2&amp;P$1&amp;"C"&amp;$A50)+$A$4*$A$4*RTD("tos.rtd",,"VOLUME","."&amp;P$2&amp;P$1&amp;"P"&amp;$A50)*RTD("tos.rtd",,"GAMMA","."&amp;P$2&amp;P$1&amp;"P"&amp;$A50))/1000000,($A$4*$A$4*RTD("tos.rtd",,"VOLUME","."&amp;P$2&amp;P$1&amp;"C"&amp;$A50)*RTD("tos.rtd",,"GAMMA","."&amp;P$2&amp;P$1&amp;"C"&amp;$A50)-$A$4*$A$4*RTD("tos.rtd",,"VOLUME","."&amp;P$2&amp;P$1&amp;"P"&amp;$A50)*RTD("tos.rtd",,"GAMMA","."&amp;P$2&amp;P$1&amp;"P"&amp;$A50))/1000000),0),IF($A$2="GEX",IFERROR(IF($X$1="ABS",($A$4*$A$4*RTD("tos.rtd",,"OPEN_INT","."&amp;P$2&amp;P$1&amp;"C"&amp;$A50)*RTD("tos.rtd",,"GAMMA","."&amp;P$2&amp;P$1&amp;"C"&amp;$A50)+$A$4*$A$4*RTD("tos.rtd",,"OPEN_INT","."&amp;P$2&amp;P$1&amp;"P"&amp;$A50)*RTD("tos.rtd",,"GAMMA","."&amp;P$2&amp;P$1&amp;"P"&amp;$A50))/1000000,($A$4*$A$4*RTD("tos.rtd",,"OPEN_INT","."&amp;P$2&amp;P$1&amp;"C"&amp;$A50)*RTD("tos.rtd",,"GAMMA","."&amp;P$2&amp;P$1&amp;"C"&amp;$A50)-$A$4*$A$4*RTD("tos.rtd",,"OPEN_INT","."&amp;P$2&amp;P$1&amp;"P"&amp;$A50)*RTD("tos.rtd",,"GAMMA","."&amp;P$2&amp;P$1&amp;"P"&amp;$A50))/1000000),0),IF($A$2="SKEW",IFERROR(VALUE(IF(RTD("tos.rtd",,"IMPL_VOL","."&amp;P$2&amp;P$1&amp;"P"&amp;$A50)="N/A",0,RTD("tos.rtd",,"IMPL_VOL","."&amp;P$2&amp;P$1&amp;"P"&amp;$A50))),0)-IFERROR(VALUE(IF(RTD("tos.rtd",,"IMPL_VOL","."&amp;P$2&amp;P$1&amp;"C"&amp;$A50)="N/A",0,RTD("tos.rtd",,"IMPL_VOL","."&amp;P$2&amp;P$1&amp;"C"&amp;$A50))),0),IF($A$2="MAXPAIN",IF($A$4&gt;$A50,($A$4-$A50)*IF(RTD("tos.rtd",,"OPEN_INT","."&amp;P$2&amp;P$1&amp;"C"&amp;$A50)="N/A",0,RTD("tos.rtd",,"OPEN_INT","."&amp;P$2&amp;P$1&amp;"C"&amp;$A50)),0)+IF($A$4&lt;$A50,($A$5-$A$4)*IF(RTD("tos.rtd",,"OPEN_INT","."&amp;P$2&amp;P$1&amp;"P"&amp;$A50)="N/A",0,RTD("tos.rtd",,"OPEN_INT","."&amp;P$2&amp;P$1&amp;"P"&amp;$A50)),0),IF($X$1="ABS",IF(RTD("tos.rtd",,$A$2,"."&amp;P$2&amp;P$1&amp;"C"&amp;$A50)="N/A",0,RTD("tos.rtd",,$A$2,"."&amp;P$2&amp;P$1&amp;"C"&amp;$A50))+IF(RTD("tos.rtd",,$A$2,"."&amp;P$2&amp;P$1&amp;"P"&amp;$A50)="N/A",0,RTD("tos.rtd",,$A$2,"."&amp;P$2&amp;P$1&amp;"P"&amp;$A50)),IF(RTD("tos.rtd",,$A$2,"."&amp;P$2&amp;P$1&amp;"C"&amp;$A50)="N/A",0,RTD("tos.rtd",,$A$2,"."&amp;P$2&amp;P$1&amp;"C"&amp;$A50))-IF(RTD("tos.rtd",,$A$2,"."&amp;P$2&amp;P$1&amp;"P"&amp;$A50)="N/A",0,RTD("tos.rtd",,$A$2,"."&amp;P$2&amp;P$1&amp;"P"&amp;$A50))))))))))</f>
        <v>0</v>
      </c>
      <c r="Q50" s="12">
        <f ca="1">IF($A$2="PREMIUM_OI",IFERROR(IF($X$1="ABS",(100*RTD("tos.rtd",,"OPEN_INT","."&amp;Q$2&amp;Q$1&amp;"C"&amp;$A50)*RTD("tos.rtd",,"LAST","."&amp;Q$2&amp;Q$1&amp;"C"&amp;$A50)+100*RTD("tos.rtd",,"OPEN_INT","."&amp;Q$2&amp;Q$1&amp;"P"&amp;$A50)*RTD("tos.rtd",,"LAST","."&amp;Q$2&amp;Q$1&amp;"P"&amp;$A50))/1000000,(100*RTD("tos.rtd",,"OPEN_INT","."&amp;Q$2&amp;Q$1&amp;"C"&amp;$A50)*RTD("tos.rtd",,"LAST","."&amp;Q$2&amp;Q$1&amp;"C"&amp;$A50)-100*RTD("tos.rtd",,"OPEN_INT","."&amp;Q$2&amp;Q$1&amp;"P"&amp;$A50)*RTD("tos.rtd",,"LAST","."&amp;Q$2&amp;Q$1&amp;"P"&amp;$A50))/1000000),0),IF($A$2="PREMIUM",IFERROR(IF($X$1="ABS",(100*RTD("tos.rtd",,"VOLUME","."&amp;Q$2&amp;Q$1&amp;"C"&amp;$A50)*RTD("tos.rtd",,"LAST","."&amp;Q$2&amp;Q$1&amp;"C"&amp;$A50)+100*RTD("tos.rtd",,"VOLUME","."&amp;Q$2&amp;Q$1&amp;"P"&amp;$A50)*RTD("tos.rtd",,"LAST","."&amp;Q$2&amp;Q$1&amp;"P"&amp;$A50))/1000000,(100*RTD("tos.rtd",,"VOLUME","."&amp;Q$2&amp;Q$1&amp;"C"&amp;$A50)*RTD("tos.rtd",,"LAST","."&amp;Q$2&amp;Q$1&amp;"C"&amp;$A50)-100*RTD("tos.rtd",,"VOLUME","."&amp;Q$2&amp;Q$1&amp;"P"&amp;$A50)*RTD("tos.rtd",,"LAST","."&amp;Q$2&amp;Q$1&amp;"P"&amp;$A50))/1000000),0),IF($A$2="DEX",IFERROR(IF($X$1="ABS",(100*RTD("tos.rtd",,"OPEN_INT","."&amp;Q$2&amp;Q$1&amp;"C"&amp;$A50)*RTD("tos.rtd",,"DELTA","."&amp;Q$2&amp;Q$1&amp;"C"&amp;$A50)+100*RTD("tos.rtd",,"OPEN_INT","."&amp;Q$2&amp;Q$1&amp;"P"&amp;$A50)*RTD("tos.rtd",,"DELTA","."&amp;Q$2&amp;Q$1&amp;"P"&amp;$A50))/1000,(100*RTD("tos.rtd",,"OPEN_INT","."&amp;Q$2&amp;Q$1&amp;"C"&amp;$A50)*RTD("tos.rtd",,"DELTA","."&amp;Q$2&amp;Q$1&amp;"C"&amp;$A50)-100*RTD("tos.rtd",,"OPEN_INT","."&amp;Q$2&amp;Q$1&amp;"P"&amp;$A50)*RTD("tos.rtd",,"DELTA","."&amp;Q$2&amp;Q$1&amp;"P"&amp;$A50))/1000),0),IF($A$2="VEX",IFERROR(IF($X$1="ABS",($A$4*$A$4*RTD("tos.rtd",,"VOLUME","."&amp;Q$2&amp;Q$1&amp;"C"&amp;$A50)*RTD("tos.rtd",,"GAMMA","."&amp;Q$2&amp;Q$1&amp;"C"&amp;$A50)+$A$4*$A$4*RTD("tos.rtd",,"VOLUME","."&amp;Q$2&amp;Q$1&amp;"P"&amp;$A50)*RTD("tos.rtd",,"GAMMA","."&amp;Q$2&amp;Q$1&amp;"P"&amp;$A50))/1000000,($A$4*$A$4*RTD("tos.rtd",,"VOLUME","."&amp;Q$2&amp;Q$1&amp;"C"&amp;$A50)*RTD("tos.rtd",,"GAMMA","."&amp;Q$2&amp;Q$1&amp;"C"&amp;$A50)-$A$4*$A$4*RTD("tos.rtd",,"VOLUME","."&amp;Q$2&amp;Q$1&amp;"P"&amp;$A50)*RTD("tos.rtd",,"GAMMA","."&amp;Q$2&amp;Q$1&amp;"P"&amp;$A50))/1000000),0),IF($A$2="GEX",IFERROR(IF($X$1="ABS",($A$4*$A$4*RTD("tos.rtd",,"OPEN_INT","."&amp;Q$2&amp;Q$1&amp;"C"&amp;$A50)*RTD("tos.rtd",,"GAMMA","."&amp;Q$2&amp;Q$1&amp;"C"&amp;$A50)+$A$4*$A$4*RTD("tos.rtd",,"OPEN_INT","."&amp;Q$2&amp;Q$1&amp;"P"&amp;$A50)*RTD("tos.rtd",,"GAMMA","."&amp;Q$2&amp;Q$1&amp;"P"&amp;$A50))/1000000,($A$4*$A$4*RTD("tos.rtd",,"OPEN_INT","."&amp;Q$2&amp;Q$1&amp;"C"&amp;$A50)*RTD("tos.rtd",,"GAMMA","."&amp;Q$2&amp;Q$1&amp;"C"&amp;$A50)-$A$4*$A$4*RTD("tos.rtd",,"OPEN_INT","."&amp;Q$2&amp;Q$1&amp;"P"&amp;$A50)*RTD("tos.rtd",,"GAMMA","."&amp;Q$2&amp;Q$1&amp;"P"&amp;$A50))/1000000),0),IF($A$2="SKEW",IFERROR(VALUE(IF(RTD("tos.rtd",,"IMPL_VOL","."&amp;Q$2&amp;Q$1&amp;"P"&amp;$A50)="N/A",0,RTD("tos.rtd",,"IMPL_VOL","."&amp;Q$2&amp;Q$1&amp;"P"&amp;$A50))),0)-IFERROR(VALUE(IF(RTD("tos.rtd",,"IMPL_VOL","."&amp;Q$2&amp;Q$1&amp;"C"&amp;$A50)="N/A",0,RTD("tos.rtd",,"IMPL_VOL","."&amp;Q$2&amp;Q$1&amp;"C"&amp;$A50))),0),IF($A$2="MAXPAIN",IF($A$4&gt;$A50,($A$4-$A50)*IF(RTD("tos.rtd",,"OPEN_INT","."&amp;Q$2&amp;Q$1&amp;"C"&amp;$A50)="N/A",0,RTD("tos.rtd",,"OPEN_INT","."&amp;Q$2&amp;Q$1&amp;"C"&amp;$A50)),0)+IF($A$4&lt;$A50,($A$5-$A$4)*IF(RTD("tos.rtd",,"OPEN_INT","."&amp;Q$2&amp;Q$1&amp;"P"&amp;$A50)="N/A",0,RTD("tos.rtd",,"OPEN_INT","."&amp;Q$2&amp;Q$1&amp;"P"&amp;$A50)),0),IF($X$1="ABS",IF(RTD("tos.rtd",,$A$2,"."&amp;Q$2&amp;Q$1&amp;"C"&amp;$A50)="N/A",0,RTD("tos.rtd",,$A$2,"."&amp;Q$2&amp;Q$1&amp;"C"&amp;$A50))+IF(RTD("tos.rtd",,$A$2,"."&amp;Q$2&amp;Q$1&amp;"P"&amp;$A50)="N/A",0,RTD("tos.rtd",,$A$2,"."&amp;Q$2&amp;Q$1&amp;"P"&amp;$A50)),IF(RTD("tos.rtd",,$A$2,"."&amp;Q$2&amp;Q$1&amp;"C"&amp;$A50)="N/A",0,RTD("tos.rtd",,$A$2,"."&amp;Q$2&amp;Q$1&amp;"C"&amp;$A50))-IF(RTD("tos.rtd",,$A$2,"."&amp;Q$2&amp;Q$1&amp;"P"&amp;$A50)="N/A",0,RTD("tos.rtd",,$A$2,"."&amp;Q$2&amp;Q$1&amp;"P"&amp;$A50))))))))))</f>
        <v>0</v>
      </c>
      <c r="R50" s="12">
        <f ca="1">IF($A$2="PREMIUM_OI",IFERROR(IF($X$1="ABS",(100*RTD("tos.rtd",,"OPEN_INT","."&amp;R$2&amp;R$1&amp;"C"&amp;$A50)*RTD("tos.rtd",,"LAST","."&amp;R$2&amp;R$1&amp;"C"&amp;$A50)+100*RTD("tos.rtd",,"OPEN_INT","."&amp;R$2&amp;R$1&amp;"P"&amp;$A50)*RTD("tos.rtd",,"LAST","."&amp;R$2&amp;R$1&amp;"P"&amp;$A50))/1000000,(100*RTD("tos.rtd",,"OPEN_INT","."&amp;R$2&amp;R$1&amp;"C"&amp;$A50)*RTD("tos.rtd",,"LAST","."&amp;R$2&amp;R$1&amp;"C"&amp;$A50)-100*RTD("tos.rtd",,"OPEN_INT","."&amp;R$2&amp;R$1&amp;"P"&amp;$A50)*RTD("tos.rtd",,"LAST","."&amp;R$2&amp;R$1&amp;"P"&amp;$A50))/1000000),0),IF($A$2="PREMIUM",IFERROR(IF($X$1="ABS",(100*RTD("tos.rtd",,"VOLUME","."&amp;R$2&amp;R$1&amp;"C"&amp;$A50)*RTD("tos.rtd",,"LAST","."&amp;R$2&amp;R$1&amp;"C"&amp;$A50)+100*RTD("tos.rtd",,"VOLUME","."&amp;R$2&amp;R$1&amp;"P"&amp;$A50)*RTD("tos.rtd",,"LAST","."&amp;R$2&amp;R$1&amp;"P"&amp;$A50))/1000000,(100*RTD("tos.rtd",,"VOLUME","."&amp;R$2&amp;R$1&amp;"C"&amp;$A50)*RTD("tos.rtd",,"LAST","."&amp;R$2&amp;R$1&amp;"C"&amp;$A50)-100*RTD("tos.rtd",,"VOLUME","."&amp;R$2&amp;R$1&amp;"P"&amp;$A50)*RTD("tos.rtd",,"LAST","."&amp;R$2&amp;R$1&amp;"P"&amp;$A50))/1000000),0),IF($A$2="DEX",IFERROR(IF($X$1="ABS",(100*RTD("tos.rtd",,"OPEN_INT","."&amp;R$2&amp;R$1&amp;"C"&amp;$A50)*RTD("tos.rtd",,"DELTA","."&amp;R$2&amp;R$1&amp;"C"&amp;$A50)+100*RTD("tos.rtd",,"OPEN_INT","."&amp;R$2&amp;R$1&amp;"P"&amp;$A50)*RTD("tos.rtd",,"DELTA","."&amp;R$2&amp;R$1&amp;"P"&amp;$A50))/1000,(100*RTD("tos.rtd",,"OPEN_INT","."&amp;R$2&amp;R$1&amp;"C"&amp;$A50)*RTD("tos.rtd",,"DELTA","."&amp;R$2&amp;R$1&amp;"C"&amp;$A50)-100*RTD("tos.rtd",,"OPEN_INT","."&amp;R$2&amp;R$1&amp;"P"&amp;$A50)*RTD("tos.rtd",,"DELTA","."&amp;R$2&amp;R$1&amp;"P"&amp;$A50))/1000),0),IF($A$2="VEX",IFERROR(IF($X$1="ABS",($A$4*$A$4*RTD("tos.rtd",,"VOLUME","."&amp;R$2&amp;R$1&amp;"C"&amp;$A50)*RTD("tos.rtd",,"GAMMA","."&amp;R$2&amp;R$1&amp;"C"&amp;$A50)+$A$4*$A$4*RTD("tos.rtd",,"VOLUME","."&amp;R$2&amp;R$1&amp;"P"&amp;$A50)*RTD("tos.rtd",,"GAMMA","."&amp;R$2&amp;R$1&amp;"P"&amp;$A50))/1000000,($A$4*$A$4*RTD("tos.rtd",,"VOLUME","."&amp;R$2&amp;R$1&amp;"C"&amp;$A50)*RTD("tos.rtd",,"GAMMA","."&amp;R$2&amp;R$1&amp;"C"&amp;$A50)-$A$4*$A$4*RTD("tos.rtd",,"VOLUME","."&amp;R$2&amp;R$1&amp;"P"&amp;$A50)*RTD("tos.rtd",,"GAMMA","."&amp;R$2&amp;R$1&amp;"P"&amp;$A50))/1000000),0),IF($A$2="GEX",IFERROR(IF($X$1="ABS",($A$4*$A$4*RTD("tos.rtd",,"OPEN_INT","."&amp;R$2&amp;R$1&amp;"C"&amp;$A50)*RTD("tos.rtd",,"GAMMA","."&amp;R$2&amp;R$1&amp;"C"&amp;$A50)+$A$4*$A$4*RTD("tos.rtd",,"OPEN_INT","."&amp;R$2&amp;R$1&amp;"P"&amp;$A50)*RTD("tos.rtd",,"GAMMA","."&amp;R$2&amp;R$1&amp;"P"&amp;$A50))/1000000,($A$4*$A$4*RTD("tos.rtd",,"OPEN_INT","."&amp;R$2&amp;R$1&amp;"C"&amp;$A50)*RTD("tos.rtd",,"GAMMA","."&amp;R$2&amp;R$1&amp;"C"&amp;$A50)-$A$4*$A$4*RTD("tos.rtd",,"OPEN_INT","."&amp;R$2&amp;R$1&amp;"P"&amp;$A50)*RTD("tos.rtd",,"GAMMA","."&amp;R$2&amp;R$1&amp;"P"&amp;$A50))/1000000),0),IF($A$2="SKEW",IFERROR(VALUE(IF(RTD("tos.rtd",,"IMPL_VOL","."&amp;R$2&amp;R$1&amp;"P"&amp;$A50)="N/A",0,RTD("tos.rtd",,"IMPL_VOL","."&amp;R$2&amp;R$1&amp;"P"&amp;$A50))),0)-IFERROR(VALUE(IF(RTD("tos.rtd",,"IMPL_VOL","."&amp;R$2&amp;R$1&amp;"C"&amp;$A50)="N/A",0,RTD("tos.rtd",,"IMPL_VOL","."&amp;R$2&amp;R$1&amp;"C"&amp;$A50))),0),IF($A$2="MAXPAIN",IF($A$4&gt;$A50,($A$4-$A50)*IF(RTD("tos.rtd",,"OPEN_INT","."&amp;R$2&amp;R$1&amp;"C"&amp;$A50)="N/A",0,RTD("tos.rtd",,"OPEN_INT","."&amp;R$2&amp;R$1&amp;"C"&amp;$A50)),0)+IF($A$4&lt;$A50,($A$5-$A$4)*IF(RTD("tos.rtd",,"OPEN_INT","."&amp;R$2&amp;R$1&amp;"P"&amp;$A50)="N/A",0,RTD("tos.rtd",,"OPEN_INT","."&amp;R$2&amp;R$1&amp;"P"&amp;$A50)),0),IF($X$1="ABS",IF(RTD("tos.rtd",,$A$2,"."&amp;R$2&amp;R$1&amp;"C"&amp;$A50)="N/A",0,RTD("tos.rtd",,$A$2,"."&amp;R$2&amp;R$1&amp;"C"&amp;$A50))+IF(RTD("tos.rtd",,$A$2,"."&amp;R$2&amp;R$1&amp;"P"&amp;$A50)="N/A",0,RTD("tos.rtd",,$A$2,"."&amp;R$2&amp;R$1&amp;"P"&amp;$A50)),IF(RTD("tos.rtd",,$A$2,"."&amp;R$2&amp;R$1&amp;"C"&amp;$A50)="N/A",0,RTD("tos.rtd",,$A$2,"."&amp;R$2&amp;R$1&amp;"C"&amp;$A50))-IF(RTD("tos.rtd",,$A$2,"."&amp;R$2&amp;R$1&amp;"P"&amp;$A50)="N/A",0,RTD("tos.rtd",,$A$2,"."&amp;R$2&amp;R$1&amp;"P"&amp;$A50))))))))))</f>
        <v>0</v>
      </c>
      <c r="S50" s="12">
        <f ca="1">IF($A$2="PREMIUM_OI",IFERROR(IF($X$1="ABS",(100*RTD("tos.rtd",,"OPEN_INT","."&amp;S$2&amp;S$1&amp;"C"&amp;$A50)*RTD("tos.rtd",,"LAST","."&amp;S$2&amp;S$1&amp;"C"&amp;$A50)+100*RTD("tos.rtd",,"OPEN_INT","."&amp;S$2&amp;S$1&amp;"P"&amp;$A50)*RTD("tos.rtd",,"LAST","."&amp;S$2&amp;S$1&amp;"P"&amp;$A50))/1000000,(100*RTD("tos.rtd",,"OPEN_INT","."&amp;S$2&amp;S$1&amp;"C"&amp;$A50)*RTD("tos.rtd",,"LAST","."&amp;S$2&amp;S$1&amp;"C"&amp;$A50)-100*RTD("tos.rtd",,"OPEN_INT","."&amp;S$2&amp;S$1&amp;"P"&amp;$A50)*RTD("tos.rtd",,"LAST","."&amp;S$2&amp;S$1&amp;"P"&amp;$A50))/1000000),0),IF($A$2="PREMIUM",IFERROR(IF($X$1="ABS",(100*RTD("tos.rtd",,"VOLUME","."&amp;S$2&amp;S$1&amp;"C"&amp;$A50)*RTD("tos.rtd",,"LAST","."&amp;S$2&amp;S$1&amp;"C"&amp;$A50)+100*RTD("tos.rtd",,"VOLUME","."&amp;S$2&amp;S$1&amp;"P"&amp;$A50)*RTD("tos.rtd",,"LAST","."&amp;S$2&amp;S$1&amp;"P"&amp;$A50))/1000000,(100*RTD("tos.rtd",,"VOLUME","."&amp;S$2&amp;S$1&amp;"C"&amp;$A50)*RTD("tos.rtd",,"LAST","."&amp;S$2&amp;S$1&amp;"C"&amp;$A50)-100*RTD("tos.rtd",,"VOLUME","."&amp;S$2&amp;S$1&amp;"P"&amp;$A50)*RTD("tos.rtd",,"LAST","."&amp;S$2&amp;S$1&amp;"P"&amp;$A50))/1000000),0),IF($A$2="DEX",IFERROR(IF($X$1="ABS",(100*RTD("tos.rtd",,"OPEN_INT","."&amp;S$2&amp;S$1&amp;"C"&amp;$A50)*RTD("tos.rtd",,"DELTA","."&amp;S$2&amp;S$1&amp;"C"&amp;$A50)+100*RTD("tos.rtd",,"OPEN_INT","."&amp;S$2&amp;S$1&amp;"P"&amp;$A50)*RTD("tos.rtd",,"DELTA","."&amp;S$2&amp;S$1&amp;"P"&amp;$A50))/1000,(100*RTD("tos.rtd",,"OPEN_INT","."&amp;S$2&amp;S$1&amp;"C"&amp;$A50)*RTD("tos.rtd",,"DELTA","."&amp;S$2&amp;S$1&amp;"C"&amp;$A50)-100*RTD("tos.rtd",,"OPEN_INT","."&amp;S$2&amp;S$1&amp;"P"&amp;$A50)*RTD("tos.rtd",,"DELTA","."&amp;S$2&amp;S$1&amp;"P"&amp;$A50))/1000),0),IF($A$2="VEX",IFERROR(IF($X$1="ABS",($A$4*$A$4*RTD("tos.rtd",,"VOLUME","."&amp;S$2&amp;S$1&amp;"C"&amp;$A50)*RTD("tos.rtd",,"GAMMA","."&amp;S$2&amp;S$1&amp;"C"&amp;$A50)+$A$4*$A$4*RTD("tos.rtd",,"VOLUME","."&amp;S$2&amp;S$1&amp;"P"&amp;$A50)*RTD("tos.rtd",,"GAMMA","."&amp;S$2&amp;S$1&amp;"P"&amp;$A50))/1000000,($A$4*$A$4*RTD("tos.rtd",,"VOLUME","."&amp;S$2&amp;S$1&amp;"C"&amp;$A50)*RTD("tos.rtd",,"GAMMA","."&amp;S$2&amp;S$1&amp;"C"&amp;$A50)-$A$4*$A$4*RTD("tos.rtd",,"VOLUME","."&amp;S$2&amp;S$1&amp;"P"&amp;$A50)*RTD("tos.rtd",,"GAMMA","."&amp;S$2&amp;S$1&amp;"P"&amp;$A50))/1000000),0),IF($A$2="GEX",IFERROR(IF($X$1="ABS",($A$4*$A$4*RTD("tos.rtd",,"OPEN_INT","."&amp;S$2&amp;S$1&amp;"C"&amp;$A50)*RTD("tos.rtd",,"GAMMA","."&amp;S$2&amp;S$1&amp;"C"&amp;$A50)+$A$4*$A$4*RTD("tos.rtd",,"OPEN_INT","."&amp;S$2&amp;S$1&amp;"P"&amp;$A50)*RTD("tos.rtd",,"GAMMA","."&amp;S$2&amp;S$1&amp;"P"&amp;$A50))/1000000,($A$4*$A$4*RTD("tos.rtd",,"OPEN_INT","."&amp;S$2&amp;S$1&amp;"C"&amp;$A50)*RTD("tos.rtd",,"GAMMA","."&amp;S$2&amp;S$1&amp;"C"&amp;$A50)-$A$4*$A$4*RTD("tos.rtd",,"OPEN_INT","."&amp;S$2&amp;S$1&amp;"P"&amp;$A50)*RTD("tos.rtd",,"GAMMA","."&amp;S$2&amp;S$1&amp;"P"&amp;$A50))/1000000),0),IF($A$2="SKEW",IFERROR(VALUE(IF(RTD("tos.rtd",,"IMPL_VOL","."&amp;S$2&amp;S$1&amp;"P"&amp;$A50)="N/A",0,RTD("tos.rtd",,"IMPL_VOL","."&amp;S$2&amp;S$1&amp;"P"&amp;$A50))),0)-IFERROR(VALUE(IF(RTD("tos.rtd",,"IMPL_VOL","."&amp;S$2&amp;S$1&amp;"C"&amp;$A50)="N/A",0,RTD("tos.rtd",,"IMPL_VOL","."&amp;S$2&amp;S$1&amp;"C"&amp;$A50))),0),IF($A$2="MAXPAIN",IF($A$4&gt;$A50,($A$4-$A50)*IF(RTD("tos.rtd",,"OPEN_INT","."&amp;S$2&amp;S$1&amp;"C"&amp;$A50)="N/A",0,RTD("tos.rtd",,"OPEN_INT","."&amp;S$2&amp;S$1&amp;"C"&amp;$A50)),0)+IF($A$4&lt;$A50,($A$5-$A$4)*IF(RTD("tos.rtd",,"OPEN_INT","."&amp;S$2&amp;S$1&amp;"P"&amp;$A50)="N/A",0,RTD("tos.rtd",,"OPEN_INT","."&amp;S$2&amp;S$1&amp;"P"&amp;$A50)),0),IF($X$1="ABS",IF(RTD("tos.rtd",,$A$2,"."&amp;S$2&amp;S$1&amp;"C"&amp;$A50)="N/A",0,RTD("tos.rtd",,$A$2,"."&amp;S$2&amp;S$1&amp;"C"&amp;$A50))+IF(RTD("tos.rtd",,$A$2,"."&amp;S$2&amp;S$1&amp;"P"&amp;$A50)="N/A",0,RTD("tos.rtd",,$A$2,"."&amp;S$2&amp;S$1&amp;"P"&amp;$A50)),IF(RTD("tos.rtd",,$A$2,"."&amp;S$2&amp;S$1&amp;"C"&amp;$A50)="N/A",0,RTD("tos.rtd",,$A$2,"."&amp;S$2&amp;S$1&amp;"C"&amp;$A50))-IF(RTD("tos.rtd",,$A$2,"."&amp;S$2&amp;S$1&amp;"P"&amp;$A50)="N/A",0,RTD("tos.rtd",,$A$2,"."&amp;S$2&amp;S$1&amp;"P"&amp;$A50))))))))))</f>
        <v>0</v>
      </c>
      <c r="T50" s="12">
        <f ca="1">IF($A$2="PREMIUM_OI",IFERROR(IF($X$1="ABS",(100*RTD("tos.rtd",,"OPEN_INT","."&amp;T$2&amp;T$1&amp;"C"&amp;$A50)*RTD("tos.rtd",,"LAST","."&amp;T$2&amp;T$1&amp;"C"&amp;$A50)+100*RTD("tos.rtd",,"OPEN_INT","."&amp;T$2&amp;T$1&amp;"P"&amp;$A50)*RTD("tos.rtd",,"LAST","."&amp;T$2&amp;T$1&amp;"P"&amp;$A50))/1000000,(100*RTD("tos.rtd",,"OPEN_INT","."&amp;T$2&amp;T$1&amp;"C"&amp;$A50)*RTD("tos.rtd",,"LAST","."&amp;T$2&amp;T$1&amp;"C"&amp;$A50)-100*RTD("tos.rtd",,"OPEN_INT","."&amp;T$2&amp;T$1&amp;"P"&amp;$A50)*RTD("tos.rtd",,"LAST","."&amp;T$2&amp;T$1&amp;"P"&amp;$A50))/1000000),0),IF($A$2="PREMIUM",IFERROR(IF($X$1="ABS",(100*RTD("tos.rtd",,"VOLUME","."&amp;T$2&amp;T$1&amp;"C"&amp;$A50)*RTD("tos.rtd",,"LAST","."&amp;T$2&amp;T$1&amp;"C"&amp;$A50)+100*RTD("tos.rtd",,"VOLUME","."&amp;T$2&amp;T$1&amp;"P"&amp;$A50)*RTD("tos.rtd",,"LAST","."&amp;T$2&amp;T$1&amp;"P"&amp;$A50))/1000000,(100*RTD("tos.rtd",,"VOLUME","."&amp;T$2&amp;T$1&amp;"C"&amp;$A50)*RTD("tos.rtd",,"LAST","."&amp;T$2&amp;T$1&amp;"C"&amp;$A50)-100*RTD("tos.rtd",,"VOLUME","."&amp;T$2&amp;T$1&amp;"P"&amp;$A50)*RTD("tos.rtd",,"LAST","."&amp;T$2&amp;T$1&amp;"P"&amp;$A50))/1000000),0),IF($A$2="DEX",IFERROR(IF($X$1="ABS",(100*RTD("tos.rtd",,"OPEN_INT","."&amp;T$2&amp;T$1&amp;"C"&amp;$A50)*RTD("tos.rtd",,"DELTA","."&amp;T$2&amp;T$1&amp;"C"&amp;$A50)+100*RTD("tos.rtd",,"OPEN_INT","."&amp;T$2&amp;T$1&amp;"P"&amp;$A50)*RTD("tos.rtd",,"DELTA","."&amp;T$2&amp;T$1&amp;"P"&amp;$A50))/1000,(100*RTD("tos.rtd",,"OPEN_INT","."&amp;T$2&amp;T$1&amp;"C"&amp;$A50)*RTD("tos.rtd",,"DELTA","."&amp;T$2&amp;T$1&amp;"C"&amp;$A50)-100*RTD("tos.rtd",,"OPEN_INT","."&amp;T$2&amp;T$1&amp;"P"&amp;$A50)*RTD("tos.rtd",,"DELTA","."&amp;T$2&amp;T$1&amp;"P"&amp;$A50))/1000),0),IF($A$2="VEX",IFERROR(IF($X$1="ABS",($A$4*$A$4*RTD("tos.rtd",,"VOLUME","."&amp;T$2&amp;T$1&amp;"C"&amp;$A50)*RTD("tos.rtd",,"GAMMA","."&amp;T$2&amp;T$1&amp;"C"&amp;$A50)+$A$4*$A$4*RTD("tos.rtd",,"VOLUME","."&amp;T$2&amp;T$1&amp;"P"&amp;$A50)*RTD("tos.rtd",,"GAMMA","."&amp;T$2&amp;T$1&amp;"P"&amp;$A50))/1000000,($A$4*$A$4*RTD("tos.rtd",,"VOLUME","."&amp;T$2&amp;T$1&amp;"C"&amp;$A50)*RTD("tos.rtd",,"GAMMA","."&amp;T$2&amp;T$1&amp;"C"&amp;$A50)-$A$4*$A$4*RTD("tos.rtd",,"VOLUME","."&amp;T$2&amp;T$1&amp;"P"&amp;$A50)*RTD("tos.rtd",,"GAMMA","."&amp;T$2&amp;T$1&amp;"P"&amp;$A50))/1000000),0),IF($A$2="GEX",IFERROR(IF($X$1="ABS",($A$4*$A$4*RTD("tos.rtd",,"OPEN_INT","."&amp;T$2&amp;T$1&amp;"C"&amp;$A50)*RTD("tos.rtd",,"GAMMA","."&amp;T$2&amp;T$1&amp;"C"&amp;$A50)+$A$4*$A$4*RTD("tos.rtd",,"OPEN_INT","."&amp;T$2&amp;T$1&amp;"P"&amp;$A50)*RTD("tos.rtd",,"GAMMA","."&amp;T$2&amp;T$1&amp;"P"&amp;$A50))/1000000,($A$4*$A$4*RTD("tos.rtd",,"OPEN_INT","."&amp;T$2&amp;T$1&amp;"C"&amp;$A50)*RTD("tos.rtd",,"GAMMA","."&amp;T$2&amp;T$1&amp;"C"&amp;$A50)-$A$4*$A$4*RTD("tos.rtd",,"OPEN_INT","."&amp;T$2&amp;T$1&amp;"P"&amp;$A50)*RTD("tos.rtd",,"GAMMA","."&amp;T$2&amp;T$1&amp;"P"&amp;$A50))/1000000),0),IF($A$2="SKEW",IFERROR(VALUE(IF(RTD("tos.rtd",,"IMPL_VOL","."&amp;T$2&amp;T$1&amp;"P"&amp;$A50)="N/A",0,RTD("tos.rtd",,"IMPL_VOL","."&amp;T$2&amp;T$1&amp;"P"&amp;$A50))),0)-IFERROR(VALUE(IF(RTD("tos.rtd",,"IMPL_VOL","."&amp;T$2&amp;T$1&amp;"C"&amp;$A50)="N/A",0,RTD("tos.rtd",,"IMPL_VOL","."&amp;T$2&amp;T$1&amp;"C"&amp;$A50))),0),IF($A$2="MAXPAIN",IF($A$4&gt;$A50,($A$4-$A50)*IF(RTD("tos.rtd",,"OPEN_INT","."&amp;T$2&amp;T$1&amp;"C"&amp;$A50)="N/A",0,RTD("tos.rtd",,"OPEN_INT","."&amp;T$2&amp;T$1&amp;"C"&amp;$A50)),0)+IF($A$4&lt;$A50,($A$5-$A$4)*IF(RTD("tos.rtd",,"OPEN_INT","."&amp;T$2&amp;T$1&amp;"P"&amp;$A50)="N/A",0,RTD("tos.rtd",,"OPEN_INT","."&amp;T$2&amp;T$1&amp;"P"&amp;$A50)),0),IF($X$1="ABS",IF(RTD("tos.rtd",,$A$2,"."&amp;T$2&amp;T$1&amp;"C"&amp;$A50)="N/A",0,RTD("tos.rtd",,$A$2,"."&amp;T$2&amp;T$1&amp;"C"&amp;$A50))+IF(RTD("tos.rtd",,$A$2,"."&amp;T$2&amp;T$1&amp;"P"&amp;$A50)="N/A",0,RTD("tos.rtd",,$A$2,"."&amp;T$2&amp;T$1&amp;"P"&amp;$A50)),IF(RTD("tos.rtd",,$A$2,"."&amp;T$2&amp;T$1&amp;"C"&amp;$A50)="N/A",0,RTD("tos.rtd",,$A$2,"."&amp;T$2&amp;T$1&amp;"C"&amp;$A50))-IF(RTD("tos.rtd",,$A$2,"."&amp;T$2&amp;T$1&amp;"P"&amp;$A50)="N/A",0,RTD("tos.rtd",,$A$2,"."&amp;T$2&amp;T$1&amp;"P"&amp;$A50))))))))))</f>
        <v>0</v>
      </c>
      <c r="U50" s="12">
        <f ca="1">IF($A$2="PREMIUM_OI",IFERROR(IF($X$1="ABS",(100*RTD("tos.rtd",,"OPEN_INT","."&amp;U$2&amp;U$1&amp;"C"&amp;$A50)*RTD("tos.rtd",,"LAST","."&amp;U$2&amp;U$1&amp;"C"&amp;$A50)+100*RTD("tos.rtd",,"OPEN_INT","."&amp;U$2&amp;U$1&amp;"P"&amp;$A50)*RTD("tos.rtd",,"LAST","."&amp;U$2&amp;U$1&amp;"P"&amp;$A50))/1000000,(100*RTD("tos.rtd",,"OPEN_INT","."&amp;U$2&amp;U$1&amp;"C"&amp;$A50)*RTD("tos.rtd",,"LAST","."&amp;U$2&amp;U$1&amp;"C"&amp;$A50)-100*RTD("tos.rtd",,"OPEN_INT","."&amp;U$2&amp;U$1&amp;"P"&amp;$A50)*RTD("tos.rtd",,"LAST","."&amp;U$2&amp;U$1&amp;"P"&amp;$A50))/1000000),0),IF($A$2="PREMIUM",IFERROR(IF($X$1="ABS",(100*RTD("tos.rtd",,"VOLUME","."&amp;U$2&amp;U$1&amp;"C"&amp;$A50)*RTD("tos.rtd",,"LAST","."&amp;U$2&amp;U$1&amp;"C"&amp;$A50)+100*RTD("tos.rtd",,"VOLUME","."&amp;U$2&amp;U$1&amp;"P"&amp;$A50)*RTD("tos.rtd",,"LAST","."&amp;U$2&amp;U$1&amp;"P"&amp;$A50))/1000000,(100*RTD("tos.rtd",,"VOLUME","."&amp;U$2&amp;U$1&amp;"C"&amp;$A50)*RTD("tos.rtd",,"LAST","."&amp;U$2&amp;U$1&amp;"C"&amp;$A50)-100*RTD("tos.rtd",,"VOLUME","."&amp;U$2&amp;U$1&amp;"P"&amp;$A50)*RTD("tos.rtd",,"LAST","."&amp;U$2&amp;U$1&amp;"P"&amp;$A50))/1000000),0),IF($A$2="DEX",IFERROR(IF($X$1="ABS",(100*RTD("tos.rtd",,"OPEN_INT","."&amp;U$2&amp;U$1&amp;"C"&amp;$A50)*RTD("tos.rtd",,"DELTA","."&amp;U$2&amp;U$1&amp;"C"&amp;$A50)+100*RTD("tos.rtd",,"OPEN_INT","."&amp;U$2&amp;U$1&amp;"P"&amp;$A50)*RTD("tos.rtd",,"DELTA","."&amp;U$2&amp;U$1&amp;"P"&amp;$A50))/1000,(100*RTD("tos.rtd",,"OPEN_INT","."&amp;U$2&amp;U$1&amp;"C"&amp;$A50)*RTD("tos.rtd",,"DELTA","."&amp;U$2&amp;U$1&amp;"C"&amp;$A50)-100*RTD("tos.rtd",,"OPEN_INT","."&amp;U$2&amp;U$1&amp;"P"&amp;$A50)*RTD("tos.rtd",,"DELTA","."&amp;U$2&amp;U$1&amp;"P"&amp;$A50))/1000),0),IF($A$2="VEX",IFERROR(IF($X$1="ABS",($A$4*$A$4*RTD("tos.rtd",,"VOLUME","."&amp;U$2&amp;U$1&amp;"C"&amp;$A50)*RTD("tos.rtd",,"GAMMA","."&amp;U$2&amp;U$1&amp;"C"&amp;$A50)+$A$4*$A$4*RTD("tos.rtd",,"VOLUME","."&amp;U$2&amp;U$1&amp;"P"&amp;$A50)*RTD("tos.rtd",,"GAMMA","."&amp;U$2&amp;U$1&amp;"P"&amp;$A50))/1000000,($A$4*$A$4*RTD("tos.rtd",,"VOLUME","."&amp;U$2&amp;U$1&amp;"C"&amp;$A50)*RTD("tos.rtd",,"GAMMA","."&amp;U$2&amp;U$1&amp;"C"&amp;$A50)-$A$4*$A$4*RTD("tos.rtd",,"VOLUME","."&amp;U$2&amp;U$1&amp;"P"&amp;$A50)*RTD("tos.rtd",,"GAMMA","."&amp;U$2&amp;U$1&amp;"P"&amp;$A50))/1000000),0),IF($A$2="GEX",IFERROR(IF($X$1="ABS",($A$4*$A$4*RTD("tos.rtd",,"OPEN_INT","."&amp;U$2&amp;U$1&amp;"C"&amp;$A50)*RTD("tos.rtd",,"GAMMA","."&amp;U$2&amp;U$1&amp;"C"&amp;$A50)+$A$4*$A$4*RTD("tos.rtd",,"OPEN_INT","."&amp;U$2&amp;U$1&amp;"P"&amp;$A50)*RTD("tos.rtd",,"GAMMA","."&amp;U$2&amp;U$1&amp;"P"&amp;$A50))/1000000,($A$4*$A$4*RTD("tos.rtd",,"OPEN_INT","."&amp;U$2&amp;U$1&amp;"C"&amp;$A50)*RTD("tos.rtd",,"GAMMA","."&amp;U$2&amp;U$1&amp;"C"&amp;$A50)-$A$4*$A$4*RTD("tos.rtd",,"OPEN_INT","."&amp;U$2&amp;U$1&amp;"P"&amp;$A50)*RTD("tos.rtd",,"GAMMA","."&amp;U$2&amp;U$1&amp;"P"&amp;$A50))/1000000),0),IF($A$2="SKEW",IFERROR(VALUE(IF(RTD("tos.rtd",,"IMPL_VOL","."&amp;U$2&amp;U$1&amp;"P"&amp;$A50)="N/A",0,RTD("tos.rtd",,"IMPL_VOL","."&amp;U$2&amp;U$1&amp;"P"&amp;$A50))),0)-IFERROR(VALUE(IF(RTD("tos.rtd",,"IMPL_VOL","."&amp;U$2&amp;U$1&amp;"C"&amp;$A50)="N/A",0,RTD("tos.rtd",,"IMPL_VOL","."&amp;U$2&amp;U$1&amp;"C"&amp;$A50))),0),IF($A$2="MAXPAIN",IF($A$4&gt;$A50,($A$4-$A50)*IF(RTD("tos.rtd",,"OPEN_INT","."&amp;U$2&amp;U$1&amp;"C"&amp;$A50)="N/A",0,RTD("tos.rtd",,"OPEN_INT","."&amp;U$2&amp;U$1&amp;"C"&amp;$A50)),0)+IF($A$4&lt;$A50,($A$5-$A$4)*IF(RTD("tos.rtd",,"OPEN_INT","."&amp;U$2&amp;U$1&amp;"P"&amp;$A50)="N/A",0,RTD("tos.rtd",,"OPEN_INT","."&amp;U$2&amp;U$1&amp;"P"&amp;$A50)),0),IF($X$1="ABS",IF(RTD("tos.rtd",,$A$2,"."&amp;U$2&amp;U$1&amp;"C"&amp;$A50)="N/A",0,RTD("tos.rtd",,$A$2,"."&amp;U$2&amp;U$1&amp;"C"&amp;$A50))+IF(RTD("tos.rtd",,$A$2,"."&amp;U$2&amp;U$1&amp;"P"&amp;$A50)="N/A",0,RTD("tos.rtd",,$A$2,"."&amp;U$2&amp;U$1&amp;"P"&amp;$A50)),IF(RTD("tos.rtd",,$A$2,"."&amp;U$2&amp;U$1&amp;"C"&amp;$A50)="N/A",0,RTD("tos.rtd",,$A$2,"."&amp;U$2&amp;U$1&amp;"C"&amp;$A50))-IF(RTD("tos.rtd",,$A$2,"."&amp;U$2&amp;U$1&amp;"P"&amp;$A50)="N/A",0,RTD("tos.rtd",,$A$2,"."&amp;U$2&amp;U$1&amp;"P"&amp;$A50))))))))))</f>
        <v>0</v>
      </c>
      <c r="V50" s="12">
        <f ca="1">IF($A$2="PREMIUM_OI",IFERROR(IF($X$1="ABS",(100*RTD("tos.rtd",,"OPEN_INT","."&amp;V$2&amp;V$1&amp;"C"&amp;$A50)*RTD("tos.rtd",,"LAST","."&amp;V$2&amp;V$1&amp;"C"&amp;$A50)+100*RTD("tos.rtd",,"OPEN_INT","."&amp;V$2&amp;V$1&amp;"P"&amp;$A50)*RTD("tos.rtd",,"LAST","."&amp;V$2&amp;V$1&amp;"P"&amp;$A50))/1000000,(100*RTD("tos.rtd",,"OPEN_INT","."&amp;V$2&amp;V$1&amp;"C"&amp;$A50)*RTD("tos.rtd",,"LAST","."&amp;V$2&amp;V$1&amp;"C"&amp;$A50)-100*RTD("tos.rtd",,"OPEN_INT","."&amp;V$2&amp;V$1&amp;"P"&amp;$A50)*RTD("tos.rtd",,"LAST","."&amp;V$2&amp;V$1&amp;"P"&amp;$A50))/1000000),0),IF($A$2="PREMIUM",IFERROR(IF($X$1="ABS",(100*RTD("tos.rtd",,"VOLUME","."&amp;V$2&amp;V$1&amp;"C"&amp;$A50)*RTD("tos.rtd",,"LAST","."&amp;V$2&amp;V$1&amp;"C"&amp;$A50)+100*RTD("tos.rtd",,"VOLUME","."&amp;V$2&amp;V$1&amp;"P"&amp;$A50)*RTD("tos.rtd",,"LAST","."&amp;V$2&amp;V$1&amp;"P"&amp;$A50))/1000000,(100*RTD("tos.rtd",,"VOLUME","."&amp;V$2&amp;V$1&amp;"C"&amp;$A50)*RTD("tos.rtd",,"LAST","."&amp;V$2&amp;V$1&amp;"C"&amp;$A50)-100*RTD("tos.rtd",,"VOLUME","."&amp;V$2&amp;V$1&amp;"P"&amp;$A50)*RTD("tos.rtd",,"LAST","."&amp;V$2&amp;V$1&amp;"P"&amp;$A50))/1000000),0),IF($A$2="DEX",IFERROR(IF($X$1="ABS",(100*RTD("tos.rtd",,"OPEN_INT","."&amp;V$2&amp;V$1&amp;"C"&amp;$A50)*RTD("tos.rtd",,"DELTA","."&amp;V$2&amp;V$1&amp;"C"&amp;$A50)+100*RTD("tos.rtd",,"OPEN_INT","."&amp;V$2&amp;V$1&amp;"P"&amp;$A50)*RTD("tos.rtd",,"DELTA","."&amp;V$2&amp;V$1&amp;"P"&amp;$A50))/1000,(100*RTD("tos.rtd",,"OPEN_INT","."&amp;V$2&amp;V$1&amp;"C"&amp;$A50)*RTD("tos.rtd",,"DELTA","."&amp;V$2&amp;V$1&amp;"C"&amp;$A50)-100*RTD("tos.rtd",,"OPEN_INT","."&amp;V$2&amp;V$1&amp;"P"&amp;$A50)*RTD("tos.rtd",,"DELTA","."&amp;V$2&amp;V$1&amp;"P"&amp;$A50))/1000),0),IF($A$2="VEX",IFERROR(IF($X$1="ABS",($A$4*$A$4*RTD("tos.rtd",,"VOLUME","."&amp;V$2&amp;V$1&amp;"C"&amp;$A50)*RTD("tos.rtd",,"GAMMA","."&amp;V$2&amp;V$1&amp;"C"&amp;$A50)+$A$4*$A$4*RTD("tos.rtd",,"VOLUME","."&amp;V$2&amp;V$1&amp;"P"&amp;$A50)*RTD("tos.rtd",,"GAMMA","."&amp;V$2&amp;V$1&amp;"P"&amp;$A50))/1000000,($A$4*$A$4*RTD("tos.rtd",,"VOLUME","."&amp;V$2&amp;V$1&amp;"C"&amp;$A50)*RTD("tos.rtd",,"GAMMA","."&amp;V$2&amp;V$1&amp;"C"&amp;$A50)-$A$4*$A$4*RTD("tos.rtd",,"VOLUME","."&amp;V$2&amp;V$1&amp;"P"&amp;$A50)*RTD("tos.rtd",,"GAMMA","."&amp;V$2&amp;V$1&amp;"P"&amp;$A50))/1000000),0),IF($A$2="GEX",IFERROR(IF($X$1="ABS",($A$4*$A$4*RTD("tos.rtd",,"OPEN_INT","."&amp;V$2&amp;V$1&amp;"C"&amp;$A50)*RTD("tos.rtd",,"GAMMA","."&amp;V$2&amp;V$1&amp;"C"&amp;$A50)+$A$4*$A$4*RTD("tos.rtd",,"OPEN_INT","."&amp;V$2&amp;V$1&amp;"P"&amp;$A50)*RTD("tos.rtd",,"GAMMA","."&amp;V$2&amp;V$1&amp;"P"&amp;$A50))/1000000,($A$4*$A$4*RTD("tos.rtd",,"OPEN_INT","."&amp;V$2&amp;V$1&amp;"C"&amp;$A50)*RTD("tos.rtd",,"GAMMA","."&amp;V$2&amp;V$1&amp;"C"&amp;$A50)-$A$4*$A$4*RTD("tos.rtd",,"OPEN_INT","."&amp;V$2&amp;V$1&amp;"P"&amp;$A50)*RTD("tos.rtd",,"GAMMA","."&amp;V$2&amp;V$1&amp;"P"&amp;$A50))/1000000),0),IF($A$2="SKEW",IFERROR(VALUE(IF(RTD("tos.rtd",,"IMPL_VOL","."&amp;V$2&amp;V$1&amp;"P"&amp;$A50)="N/A",0,RTD("tos.rtd",,"IMPL_VOL","."&amp;V$2&amp;V$1&amp;"P"&amp;$A50))),0)-IFERROR(VALUE(IF(RTD("tos.rtd",,"IMPL_VOL","."&amp;V$2&amp;V$1&amp;"C"&amp;$A50)="N/A",0,RTD("tos.rtd",,"IMPL_VOL","."&amp;V$2&amp;V$1&amp;"C"&amp;$A50))),0),IF($A$2="MAXPAIN",IF($A$4&gt;$A50,($A$4-$A50)*IF(RTD("tos.rtd",,"OPEN_INT","."&amp;V$2&amp;V$1&amp;"C"&amp;$A50)="N/A",0,RTD("tos.rtd",,"OPEN_INT","."&amp;V$2&amp;V$1&amp;"C"&amp;$A50)),0)+IF($A$4&lt;$A50,($A$5-$A$4)*IF(RTD("tos.rtd",,"OPEN_INT","."&amp;V$2&amp;V$1&amp;"P"&amp;$A50)="N/A",0,RTD("tos.rtd",,"OPEN_INT","."&amp;V$2&amp;V$1&amp;"P"&amp;$A50)),0),IF($X$1="ABS",IF(RTD("tos.rtd",,$A$2,"."&amp;V$2&amp;V$1&amp;"C"&amp;$A50)="N/A",0,RTD("tos.rtd",,$A$2,"."&amp;V$2&amp;V$1&amp;"C"&amp;$A50))+IF(RTD("tos.rtd",,$A$2,"."&amp;V$2&amp;V$1&amp;"P"&amp;$A50)="N/A",0,RTD("tos.rtd",,$A$2,"."&amp;V$2&amp;V$1&amp;"P"&amp;$A50)),IF(RTD("tos.rtd",,$A$2,"."&amp;V$2&amp;V$1&amp;"C"&amp;$A50)="N/A",0,RTD("tos.rtd",,$A$2,"."&amp;V$2&amp;V$1&amp;"C"&amp;$A50))-IF(RTD("tos.rtd",,$A$2,"."&amp;V$2&amp;V$1&amp;"P"&amp;$A50)="N/A",0,RTD("tos.rtd",,$A$2,"."&amp;V$2&amp;V$1&amp;"P"&amp;$A50))))))))))</f>
        <v>0</v>
      </c>
      <c r="W50" s="12">
        <f ca="1">IF($A$2="PREMIUM_OI",IFERROR(IF($X$1="ABS",(100*RTD("tos.rtd",,"OPEN_INT","."&amp;W$2&amp;W$1&amp;"C"&amp;$A50)*RTD("tos.rtd",,"LAST","."&amp;W$2&amp;W$1&amp;"C"&amp;$A50)+100*RTD("tos.rtd",,"OPEN_INT","."&amp;W$2&amp;W$1&amp;"P"&amp;$A50)*RTD("tos.rtd",,"LAST","."&amp;W$2&amp;W$1&amp;"P"&amp;$A50))/1000000,(100*RTD("tos.rtd",,"OPEN_INT","."&amp;W$2&amp;W$1&amp;"C"&amp;$A50)*RTD("tos.rtd",,"LAST","."&amp;W$2&amp;W$1&amp;"C"&amp;$A50)-100*RTD("tos.rtd",,"OPEN_INT","."&amp;W$2&amp;W$1&amp;"P"&amp;$A50)*RTD("tos.rtd",,"LAST","."&amp;W$2&amp;W$1&amp;"P"&amp;$A50))/1000000),0),IF($A$2="PREMIUM",IFERROR(IF($X$1="ABS",(100*RTD("tos.rtd",,"VOLUME","."&amp;W$2&amp;W$1&amp;"C"&amp;$A50)*RTD("tos.rtd",,"LAST","."&amp;W$2&amp;W$1&amp;"C"&amp;$A50)+100*RTD("tos.rtd",,"VOLUME","."&amp;W$2&amp;W$1&amp;"P"&amp;$A50)*RTD("tos.rtd",,"LAST","."&amp;W$2&amp;W$1&amp;"P"&amp;$A50))/1000000,(100*RTD("tos.rtd",,"VOLUME","."&amp;W$2&amp;W$1&amp;"C"&amp;$A50)*RTD("tos.rtd",,"LAST","."&amp;W$2&amp;W$1&amp;"C"&amp;$A50)-100*RTD("tos.rtd",,"VOLUME","."&amp;W$2&amp;W$1&amp;"P"&amp;$A50)*RTD("tos.rtd",,"LAST","."&amp;W$2&amp;W$1&amp;"P"&amp;$A50))/1000000),0),IF($A$2="DEX",IFERROR(IF($X$1="ABS",(100*RTD("tos.rtd",,"OPEN_INT","."&amp;W$2&amp;W$1&amp;"C"&amp;$A50)*RTD("tos.rtd",,"DELTA","."&amp;W$2&amp;W$1&amp;"C"&amp;$A50)+100*RTD("tos.rtd",,"OPEN_INT","."&amp;W$2&amp;W$1&amp;"P"&amp;$A50)*RTD("tos.rtd",,"DELTA","."&amp;W$2&amp;W$1&amp;"P"&amp;$A50))/1000,(100*RTD("tos.rtd",,"OPEN_INT","."&amp;W$2&amp;W$1&amp;"C"&amp;$A50)*RTD("tos.rtd",,"DELTA","."&amp;W$2&amp;W$1&amp;"C"&amp;$A50)-100*RTD("tos.rtd",,"OPEN_INT","."&amp;W$2&amp;W$1&amp;"P"&amp;$A50)*RTD("tos.rtd",,"DELTA","."&amp;W$2&amp;W$1&amp;"P"&amp;$A50))/1000),0),IF($A$2="VEX",IFERROR(IF($X$1="ABS",($A$4*$A$4*RTD("tos.rtd",,"VOLUME","."&amp;W$2&amp;W$1&amp;"C"&amp;$A50)*RTD("tos.rtd",,"GAMMA","."&amp;W$2&amp;W$1&amp;"C"&amp;$A50)+$A$4*$A$4*RTD("tos.rtd",,"VOLUME","."&amp;W$2&amp;W$1&amp;"P"&amp;$A50)*RTD("tos.rtd",,"GAMMA","."&amp;W$2&amp;W$1&amp;"P"&amp;$A50))/1000000,($A$4*$A$4*RTD("tos.rtd",,"VOLUME","."&amp;W$2&amp;W$1&amp;"C"&amp;$A50)*RTD("tos.rtd",,"GAMMA","."&amp;W$2&amp;W$1&amp;"C"&amp;$A50)-$A$4*$A$4*RTD("tos.rtd",,"VOLUME","."&amp;W$2&amp;W$1&amp;"P"&amp;$A50)*RTD("tos.rtd",,"GAMMA","."&amp;W$2&amp;W$1&amp;"P"&amp;$A50))/1000000),0),IF($A$2="GEX",IFERROR(IF($X$1="ABS",($A$4*$A$4*RTD("tos.rtd",,"OPEN_INT","."&amp;W$2&amp;W$1&amp;"C"&amp;$A50)*RTD("tos.rtd",,"GAMMA","."&amp;W$2&amp;W$1&amp;"C"&amp;$A50)+$A$4*$A$4*RTD("tos.rtd",,"OPEN_INT","."&amp;W$2&amp;W$1&amp;"P"&amp;$A50)*RTD("tos.rtd",,"GAMMA","."&amp;W$2&amp;W$1&amp;"P"&amp;$A50))/1000000,($A$4*$A$4*RTD("tos.rtd",,"OPEN_INT","."&amp;W$2&amp;W$1&amp;"C"&amp;$A50)*RTD("tos.rtd",,"GAMMA","."&amp;W$2&amp;W$1&amp;"C"&amp;$A50)-$A$4*$A$4*RTD("tos.rtd",,"OPEN_INT","."&amp;W$2&amp;W$1&amp;"P"&amp;$A50)*RTD("tos.rtd",,"GAMMA","."&amp;W$2&amp;W$1&amp;"P"&amp;$A50))/1000000),0),IF($A$2="SKEW",IFERROR(VALUE(IF(RTD("tos.rtd",,"IMPL_VOL","."&amp;W$2&amp;W$1&amp;"P"&amp;$A50)="N/A",0,RTD("tos.rtd",,"IMPL_VOL","."&amp;W$2&amp;W$1&amp;"P"&amp;$A50))),0)-IFERROR(VALUE(IF(RTD("tos.rtd",,"IMPL_VOL","."&amp;W$2&amp;W$1&amp;"C"&amp;$A50)="N/A",0,RTD("tos.rtd",,"IMPL_VOL","."&amp;W$2&amp;W$1&amp;"C"&amp;$A50))),0),IF($A$2="MAXPAIN",IF($A$4&gt;$A50,($A$4-$A50)*IF(RTD("tos.rtd",,"OPEN_INT","."&amp;W$2&amp;W$1&amp;"C"&amp;$A50)="N/A",0,RTD("tos.rtd",,"OPEN_INT","."&amp;W$2&amp;W$1&amp;"C"&amp;$A50)),0)+IF($A$4&lt;$A50,($A$5-$A$4)*IF(RTD("tos.rtd",,"OPEN_INT","."&amp;W$2&amp;W$1&amp;"P"&amp;$A50)="N/A",0,RTD("tos.rtd",,"OPEN_INT","."&amp;W$2&amp;W$1&amp;"P"&amp;$A50)),0),IF($X$1="ABS",IF(RTD("tos.rtd",,$A$2,"."&amp;W$2&amp;W$1&amp;"C"&amp;$A50)="N/A",0,RTD("tos.rtd",,$A$2,"."&amp;W$2&amp;W$1&amp;"C"&amp;$A50))+IF(RTD("tos.rtd",,$A$2,"."&amp;W$2&amp;W$1&amp;"P"&amp;$A50)="N/A",0,RTD("tos.rtd",,$A$2,"."&amp;W$2&amp;W$1&amp;"P"&amp;$A50)),IF(RTD("tos.rtd",,$A$2,"."&amp;W$2&amp;W$1&amp;"C"&amp;$A50)="N/A",0,RTD("tos.rtd",,$A$2,"."&amp;W$2&amp;W$1&amp;"C"&amp;$A50))-IF(RTD("tos.rtd",,$A$2,"."&amp;W$2&amp;W$1&amp;"P"&amp;$A50)="N/A",0,RTD("tos.rtd",,$A$2,"."&amp;W$2&amp;W$1&amp;"P"&amp;$A50))))))))))</f>
        <v>0</v>
      </c>
      <c r="X50" s="57">
        <f t="shared" ca="1" si="7"/>
        <v>0</v>
      </c>
      <c r="Y50" s="27">
        <f t="shared" ca="1" si="8"/>
        <v>0</v>
      </c>
      <c r="Z50" s="27" t="b">
        <f t="shared" ca="1" si="9"/>
        <v>0</v>
      </c>
      <c r="AA50" s="27">
        <f t="shared" si="10"/>
        <v>61426950</v>
      </c>
      <c r="AB50" s="18">
        <f>MAX(0, $A50-AB$4)*IF(RTD("tos.rtd",,"OPEN_INT","."&amp;$AA$3&amp;$AA$4&amp;"C"&amp;AB$4)="N/A",0,RTD("tos.rtd",,"OPEN_INT","."&amp;$AA$3&amp;$AA$4&amp;"C"&amp;AB$4))*100 + MAX(0, AB$4-$A50)*IF(RTD("tos.rtd",,"OPEN_INT","."&amp;$AA$3&amp;$AA$4&amp;"P"&amp;AB$4)="N/A",0,RTD("tos.rtd",,"OPEN_INT","."&amp;$AA$3&amp;$AA$4&amp;"P"&amp;AB$4))*100</f>
        <v>0</v>
      </c>
      <c r="AC50" s="18">
        <f>MAX(0, $A50-AC$4)*IF(RTD("tos.rtd",,"OPEN_INT","."&amp;$AA$3&amp;$AA$4&amp;"C"&amp;AC$4)="N/A",0,RTD("tos.rtd",,"OPEN_INT","."&amp;$AA$3&amp;$AA$4&amp;"C"&amp;AC$4))*100 + MAX(0, AC$4-$A50)*IF(RTD("tos.rtd",,"OPEN_INT","."&amp;$AA$3&amp;$AA$4&amp;"P"&amp;AC$4)="N/A",0,RTD("tos.rtd",,"OPEN_INT","."&amp;$AA$3&amp;$AA$4&amp;"P"&amp;AC$4))*100</f>
        <v>0</v>
      </c>
      <c r="AD50" s="18">
        <f>MAX(0, $A50-AD$4)*IF(RTD("tos.rtd",,"OPEN_INT","."&amp;$AA$3&amp;$AA$4&amp;"C"&amp;AD$4)="N/A",0,RTD("tos.rtd",,"OPEN_INT","."&amp;$AA$3&amp;$AA$4&amp;"C"&amp;AD$4))*100 + MAX(0, AD$4-$A50)*IF(RTD("tos.rtd",,"OPEN_INT","."&amp;$AA$3&amp;$AA$4&amp;"P"&amp;AD$4)="N/A",0,RTD("tos.rtd",,"OPEN_INT","."&amp;$AA$3&amp;$AA$4&amp;"P"&amp;AD$4))*100</f>
        <v>0</v>
      </c>
      <c r="AE50" s="18">
        <f>MAX(0, $A50-AE$4)*IF(RTD("tos.rtd",,"OPEN_INT","."&amp;$AA$3&amp;$AA$4&amp;"C"&amp;AE$4)="N/A",0,RTD("tos.rtd",,"OPEN_INT","."&amp;$AA$3&amp;$AA$4&amp;"C"&amp;AE$4))*100 + MAX(0, AE$4-$A50)*IF(RTD("tos.rtd",,"OPEN_INT","."&amp;$AA$3&amp;$AA$4&amp;"P"&amp;AE$4)="N/A",0,RTD("tos.rtd",,"OPEN_INT","."&amp;$AA$3&amp;$AA$4&amp;"P"&amp;AE$4))*100</f>
        <v>0</v>
      </c>
      <c r="AF50" s="18">
        <f>MAX(0, $A50-AF$4)*IF(RTD("tos.rtd",,"OPEN_INT","."&amp;$AA$3&amp;$AA$4&amp;"C"&amp;AF$4)="N/A",0,RTD("tos.rtd",,"OPEN_INT","."&amp;$AA$3&amp;$AA$4&amp;"C"&amp;AF$4))*100 + MAX(0, AF$4-$A50)*IF(RTD("tos.rtd",,"OPEN_INT","."&amp;$AA$3&amp;$AA$4&amp;"P"&amp;AF$4)="N/A",0,RTD("tos.rtd",,"OPEN_INT","."&amp;$AA$3&amp;$AA$4&amp;"P"&amp;AF$4))*100</f>
        <v>0</v>
      </c>
      <c r="AG50" s="18">
        <f>MAX(0, $A50-AG$4)*IF(RTD("tos.rtd",,"OPEN_INT","."&amp;$AA$3&amp;$AA$4&amp;"C"&amp;AG$4)="N/A",0,RTD("tos.rtd",,"OPEN_INT","."&amp;$AA$3&amp;$AA$4&amp;"C"&amp;AG$4))*100 + MAX(0, AG$4-$A50)*IF(RTD("tos.rtd",,"OPEN_INT","."&amp;$AA$3&amp;$AA$4&amp;"P"&amp;AG$4)="N/A",0,RTD("tos.rtd",,"OPEN_INT","."&amp;$AA$3&amp;$AA$4&amp;"P"&amp;AG$4))*100</f>
        <v>0</v>
      </c>
      <c r="AH50" s="18">
        <f>MAX(0, $A50-AH$4)*IF(RTD("tos.rtd",,"OPEN_INT","."&amp;$AA$3&amp;$AA$4&amp;"C"&amp;AH$4)="N/A",0,RTD("tos.rtd",,"OPEN_INT","."&amp;$AA$3&amp;$AA$4&amp;"C"&amp;AH$4))*100 + MAX(0, AH$4-$A50)*IF(RTD("tos.rtd",,"OPEN_INT","."&amp;$AA$3&amp;$AA$4&amp;"P"&amp;AH$4)="N/A",0,RTD("tos.rtd",,"OPEN_INT","."&amp;$AA$3&amp;$AA$4&amp;"P"&amp;AH$4))*100</f>
        <v>0</v>
      </c>
      <c r="AI50" s="18">
        <f>MAX(0, $A50-AI$4)*IF(RTD("tos.rtd",,"OPEN_INT","."&amp;$AA$3&amp;$AA$4&amp;"C"&amp;AI$4)="N/A",0,RTD("tos.rtd",,"OPEN_INT","."&amp;$AA$3&amp;$AA$4&amp;"C"&amp;AI$4))*100 + MAX(0, AI$4-$A50)*IF(RTD("tos.rtd",,"OPEN_INT","."&amp;$AA$3&amp;$AA$4&amp;"P"&amp;AI$4)="N/A",0,RTD("tos.rtd",,"OPEN_INT","."&amp;$AA$3&amp;$AA$4&amp;"P"&amp;AI$4))*100</f>
        <v>5700</v>
      </c>
      <c r="AJ50" s="18">
        <f>MAX(0, $A50-AJ$4)*IF(RTD("tos.rtd",,"OPEN_INT","."&amp;$AA$3&amp;$AA$4&amp;"C"&amp;AJ$4)="N/A",0,RTD("tos.rtd",,"OPEN_INT","."&amp;$AA$3&amp;$AA$4&amp;"C"&amp;AJ$4))*100 + MAX(0, AJ$4-$A50)*IF(RTD("tos.rtd",,"OPEN_INT","."&amp;$AA$3&amp;$AA$4&amp;"P"&amp;AJ$4)="N/A",0,RTD("tos.rtd",,"OPEN_INT","."&amp;$AA$3&amp;$AA$4&amp;"P"&amp;AJ$4))*100</f>
        <v>14800</v>
      </c>
      <c r="AK50" s="18">
        <f>MAX(0, $A50-AK$4)*IF(RTD("tos.rtd",,"OPEN_INT","."&amp;$AA$3&amp;$AA$4&amp;"C"&amp;AK$4)="N/A",0,RTD("tos.rtd",,"OPEN_INT","."&amp;$AA$3&amp;$AA$4&amp;"C"&amp;AK$4))*100 + MAX(0, AK$4-$A50)*IF(RTD("tos.rtd",,"OPEN_INT","."&amp;$AA$3&amp;$AA$4&amp;"P"&amp;AK$4)="N/A",0,RTD("tos.rtd",,"OPEN_INT","."&amp;$AA$3&amp;$AA$4&amp;"P"&amp;AK$4))*100</f>
        <v>0</v>
      </c>
      <c r="AL50" s="18">
        <f>MAX(0, $A50-AL$4)*IF(RTD("tos.rtd",,"OPEN_INT","."&amp;$AA$3&amp;$AA$4&amp;"C"&amp;AL$4)="N/A",0,RTD("tos.rtd",,"OPEN_INT","."&amp;$AA$3&amp;$AA$4&amp;"C"&amp;AL$4))*100 + MAX(0, AL$4-$A50)*IF(RTD("tos.rtd",,"OPEN_INT","."&amp;$AA$3&amp;$AA$4&amp;"P"&amp;AL$4)="N/A",0,RTD("tos.rtd",,"OPEN_INT","."&amp;$AA$3&amp;$AA$4&amp;"P"&amp;AL$4))*100</f>
        <v>0</v>
      </c>
      <c r="AM50" s="18">
        <f>MAX(0, $A50-AM$4)*IF(RTD("tos.rtd",,"OPEN_INT","."&amp;$AA$3&amp;$AA$4&amp;"C"&amp;AM$4)="N/A",0,RTD("tos.rtd",,"OPEN_INT","."&amp;$AA$3&amp;$AA$4&amp;"C"&amp;AM$4))*100 + MAX(0, AM$4-$A50)*IF(RTD("tos.rtd",,"OPEN_INT","."&amp;$AA$3&amp;$AA$4&amp;"P"&amp;AM$4)="N/A",0,RTD("tos.rtd",,"OPEN_INT","."&amp;$AA$3&amp;$AA$4&amp;"P"&amp;AM$4))*100</f>
        <v>0</v>
      </c>
      <c r="AN50" s="18">
        <f>MAX(0, $A50-AN$4)*IF(RTD("tos.rtd",,"OPEN_INT","."&amp;$AA$3&amp;$AA$4&amp;"C"&amp;AN$4)="N/A",0,RTD("tos.rtd",,"OPEN_INT","."&amp;$AA$3&amp;$AA$4&amp;"C"&amp;AN$4))*100 + MAX(0, AN$4-$A50)*IF(RTD("tos.rtd",,"OPEN_INT","."&amp;$AA$3&amp;$AA$4&amp;"P"&amp;AN$4)="N/A",0,RTD("tos.rtd",,"OPEN_INT","."&amp;$AA$3&amp;$AA$4&amp;"P"&amp;AN$4))*100</f>
        <v>0</v>
      </c>
      <c r="AO50" s="18">
        <f>MAX(0, $A50-AO$4)*IF(RTD("tos.rtd",,"OPEN_INT","."&amp;$AA$3&amp;$AA$4&amp;"C"&amp;AO$4)="N/A",0,RTD("tos.rtd",,"OPEN_INT","."&amp;$AA$3&amp;$AA$4&amp;"C"&amp;AO$4))*100 + MAX(0, AO$4-$A50)*IF(RTD("tos.rtd",,"OPEN_INT","."&amp;$AA$3&amp;$AA$4&amp;"P"&amp;AO$4)="N/A",0,RTD("tos.rtd",,"OPEN_INT","."&amp;$AA$3&amp;$AA$4&amp;"P"&amp;AO$4))*100</f>
        <v>192000</v>
      </c>
      <c r="AP50" s="18">
        <f>MAX(0, $A50-AP$4)*IF(RTD("tos.rtd",,"OPEN_INT","."&amp;$AA$3&amp;$AA$4&amp;"C"&amp;AP$4)="N/A",0,RTD("tos.rtd",,"OPEN_INT","."&amp;$AA$3&amp;$AA$4&amp;"C"&amp;AP$4))*100 + MAX(0, AP$4-$A50)*IF(RTD("tos.rtd",,"OPEN_INT","."&amp;$AA$3&amp;$AA$4&amp;"P"&amp;AP$4)="N/A",0,RTD("tos.rtd",,"OPEN_INT","."&amp;$AA$3&amp;$AA$4&amp;"P"&amp;AP$4))*100</f>
        <v>0</v>
      </c>
      <c r="AQ50" s="18">
        <f>MAX(0, $A50-AQ$4)*IF(RTD("tos.rtd",,"OPEN_INT","."&amp;$AA$3&amp;$AA$4&amp;"C"&amp;AQ$4)="N/A",0,RTD("tos.rtd",,"OPEN_INT","."&amp;$AA$3&amp;$AA$4&amp;"C"&amp;AQ$4))*100 + MAX(0, AQ$4-$A50)*IF(RTD("tos.rtd",,"OPEN_INT","."&amp;$AA$3&amp;$AA$4&amp;"P"&amp;AQ$4)="N/A",0,RTD("tos.rtd",,"OPEN_INT","."&amp;$AA$3&amp;$AA$4&amp;"P"&amp;AQ$4))*100</f>
        <v>79500</v>
      </c>
      <c r="AR50" s="18">
        <f>MAX(0, $A50-AR$4)*IF(RTD("tos.rtd",,"OPEN_INT","."&amp;$AA$3&amp;$AA$4&amp;"C"&amp;AR$4)="N/A",0,RTD("tos.rtd",,"OPEN_INT","."&amp;$AA$3&amp;$AA$4&amp;"C"&amp;AR$4))*100 + MAX(0, AR$4-$A50)*IF(RTD("tos.rtd",,"OPEN_INT","."&amp;$AA$3&amp;$AA$4&amp;"P"&amp;AR$4)="N/A",0,RTD("tos.rtd",,"OPEN_INT","."&amp;$AA$3&amp;$AA$4&amp;"P"&amp;AR$4))*100</f>
        <v>8700</v>
      </c>
      <c r="AS50" s="18">
        <f>MAX(0, $A50-AS$4)*IF(RTD("tos.rtd",,"OPEN_INT","."&amp;$AA$3&amp;$AA$4&amp;"C"&amp;AS$4)="N/A",0,RTD("tos.rtd",,"OPEN_INT","."&amp;$AA$3&amp;$AA$4&amp;"C"&amp;AS$4))*100 + MAX(0, AS$4-$A50)*IF(RTD("tos.rtd",,"OPEN_INT","."&amp;$AA$3&amp;$AA$4&amp;"P"&amp;AS$4)="N/A",0,RTD("tos.rtd",,"OPEN_INT","."&amp;$AA$3&amp;$AA$4&amp;"P"&amp;AS$4))*100</f>
        <v>86800</v>
      </c>
      <c r="AT50" s="18">
        <f>MAX(0, $A50-AT$4)*IF(RTD("tos.rtd",,"OPEN_INT","."&amp;$AA$3&amp;$AA$4&amp;"C"&amp;AT$4)="N/A",0,RTD("tos.rtd",,"OPEN_INT","."&amp;$AA$3&amp;$AA$4&amp;"C"&amp;AT$4))*100 + MAX(0, AT$4-$A50)*IF(RTD("tos.rtd",,"OPEN_INT","."&amp;$AA$3&amp;$AA$4&amp;"P"&amp;AT$4)="N/A",0,RTD("tos.rtd",,"OPEN_INT","."&amp;$AA$3&amp;$AA$4&amp;"P"&amp;AT$4))*100</f>
        <v>94500</v>
      </c>
      <c r="AU50" s="18">
        <f>MAX(0, $A50-AU$4)*IF(RTD("tos.rtd",,"OPEN_INT","."&amp;$AA$3&amp;$AA$4&amp;"C"&amp;AU$4)="N/A",0,RTD("tos.rtd",,"OPEN_INT","."&amp;$AA$3&amp;$AA$4&amp;"C"&amp;AU$4))*100 + MAX(0, AU$4-$A50)*IF(RTD("tos.rtd",,"OPEN_INT","."&amp;$AA$3&amp;$AA$4&amp;"P"&amp;AU$4)="N/A",0,RTD("tos.rtd",,"OPEN_INT","."&amp;$AA$3&amp;$AA$4&amp;"P"&amp;AU$4))*100</f>
        <v>52000</v>
      </c>
      <c r="AV50" s="18">
        <f>MAX(0, $A50-AV$4)*IF(RTD("tos.rtd",,"OPEN_INT","."&amp;$AA$3&amp;$AA$4&amp;"C"&amp;AV$4)="N/A",0,RTD("tos.rtd",,"OPEN_INT","."&amp;$AA$3&amp;$AA$4&amp;"C"&amp;AV$4))*100 + MAX(0, AV$4-$A50)*IF(RTD("tos.rtd",,"OPEN_INT","."&amp;$AA$3&amp;$AA$4&amp;"P"&amp;AV$4)="N/A",0,RTD("tos.rtd",,"OPEN_INT","."&amp;$AA$3&amp;$AA$4&amp;"P"&amp;AV$4))*100</f>
        <v>201250</v>
      </c>
      <c r="AW50" s="18">
        <f>MAX(0, $A50-AW$4)*IF(RTD("tos.rtd",,"OPEN_INT","."&amp;$AA$3&amp;$AA$4&amp;"C"&amp;AW$4)="N/A",0,RTD("tos.rtd",,"OPEN_INT","."&amp;$AA$3&amp;$AA$4&amp;"C"&amp;AW$4))*100 + MAX(0, AW$4-$A50)*IF(RTD("tos.rtd",,"OPEN_INT","."&amp;$AA$3&amp;$AA$4&amp;"P"&amp;AW$4)="N/A",0,RTD("tos.rtd",,"OPEN_INT","."&amp;$AA$3&amp;$AA$4&amp;"P"&amp;AW$4))*100</f>
        <v>242400</v>
      </c>
      <c r="AX50" s="18">
        <f>MAX(0, $A50-AX$4)*IF(RTD("tos.rtd",,"OPEN_INT","."&amp;$AA$3&amp;$AA$4&amp;"C"&amp;AX$4)="N/A",0,RTD("tos.rtd",,"OPEN_INT","."&amp;$AA$3&amp;$AA$4&amp;"C"&amp;AX$4))*100 + MAX(0, AX$4-$A50)*IF(RTD("tos.rtd",,"OPEN_INT","."&amp;$AA$3&amp;$AA$4&amp;"P"&amp;AX$4)="N/A",0,RTD("tos.rtd",,"OPEN_INT","."&amp;$AA$3&amp;$AA$4&amp;"P"&amp;AX$4))*100</f>
        <v>284050</v>
      </c>
      <c r="AY50" s="18">
        <f>MAX(0, $A50-AY$4)*IF(RTD("tos.rtd",,"OPEN_INT","."&amp;$AA$3&amp;$AA$4&amp;"C"&amp;AY$4)="N/A",0,RTD("tos.rtd",,"OPEN_INT","."&amp;$AA$3&amp;$AA$4&amp;"C"&amp;AY$4))*100 + MAX(0, AY$4-$A50)*IF(RTD("tos.rtd",,"OPEN_INT","."&amp;$AA$3&amp;$AA$4&amp;"P"&amp;AY$4)="N/A",0,RTD("tos.rtd",,"OPEN_INT","."&amp;$AA$3&amp;$AA$4&amp;"P"&amp;AY$4))*100</f>
        <v>2281400</v>
      </c>
      <c r="AZ50" s="18">
        <f>MAX(0, $A50-AZ$4)*IF(RTD("tos.rtd",,"OPEN_INT","."&amp;$AA$3&amp;$AA$4&amp;"C"&amp;AZ$4)="N/A",0,RTD("tos.rtd",,"OPEN_INT","."&amp;$AA$3&amp;$AA$4&amp;"C"&amp;AZ$4))*100 + MAX(0, AZ$4-$A50)*IF(RTD("tos.rtd",,"OPEN_INT","."&amp;$AA$3&amp;$AA$4&amp;"P"&amp;AZ$4)="N/A",0,RTD("tos.rtd",,"OPEN_INT","."&amp;$AA$3&amp;$AA$4&amp;"P"&amp;AZ$4))*100</f>
        <v>596400</v>
      </c>
      <c r="BA50" s="18">
        <f>MAX(0, $A50-BA$4)*IF(RTD("tos.rtd",,"OPEN_INT","."&amp;$AA$3&amp;$AA$4&amp;"C"&amp;BA$4)="N/A",0,RTD("tos.rtd",,"OPEN_INT","."&amp;$AA$3&amp;$AA$4&amp;"C"&amp;BA$4))*100 + MAX(0, BA$4-$A50)*IF(RTD("tos.rtd",,"OPEN_INT","."&amp;$AA$3&amp;$AA$4&amp;"P"&amp;BA$4)="N/A",0,RTD("tos.rtd",,"OPEN_INT","."&amp;$AA$3&amp;$AA$4&amp;"P"&amp;BA$4))*100</f>
        <v>2340000</v>
      </c>
      <c r="BB50" s="18">
        <f>MAX(0, $A50-BB$4)*IF(RTD("tos.rtd",,"OPEN_INT","."&amp;$AA$3&amp;$AA$4&amp;"C"&amp;BB$4)="N/A",0,RTD("tos.rtd",,"OPEN_INT","."&amp;$AA$3&amp;$AA$4&amp;"C"&amp;BB$4))*100 + MAX(0, BB$4-$A50)*IF(RTD("tos.rtd",,"OPEN_INT","."&amp;$AA$3&amp;$AA$4&amp;"P"&amp;BB$4)="N/A",0,RTD("tos.rtd",,"OPEN_INT","."&amp;$AA$3&amp;$AA$4&amp;"P"&amp;BB$4))*100</f>
        <v>2169800</v>
      </c>
      <c r="BC50" s="18">
        <f>MAX(0, $A50-BC$4)*IF(RTD("tos.rtd",,"OPEN_INT","."&amp;$AA$3&amp;$AA$4&amp;"C"&amp;BC$4)="N/A",0,RTD("tos.rtd",,"OPEN_INT","."&amp;$AA$3&amp;$AA$4&amp;"C"&amp;BC$4))*100 + MAX(0, BC$4-$A50)*IF(RTD("tos.rtd",,"OPEN_INT","."&amp;$AA$3&amp;$AA$4&amp;"P"&amp;BC$4)="N/A",0,RTD("tos.rtd",,"OPEN_INT","."&amp;$AA$3&amp;$AA$4&amp;"P"&amp;BC$4))*100</f>
        <v>6885900</v>
      </c>
      <c r="BD50" s="18">
        <f>MAX(0, $A50-BD$4)*IF(RTD("tos.rtd",,"OPEN_INT","."&amp;$AA$3&amp;$AA$4&amp;"C"&amp;BD$4)="N/A",0,RTD("tos.rtd",,"OPEN_INT","."&amp;$AA$3&amp;$AA$4&amp;"C"&amp;BD$4))*100 + MAX(0, BD$4-$A50)*IF(RTD("tos.rtd",,"OPEN_INT","."&amp;$AA$3&amp;$AA$4&amp;"P"&amp;BD$4)="N/A",0,RTD("tos.rtd",,"OPEN_INT","."&amp;$AA$3&amp;$AA$4&amp;"P"&amp;BD$4))*100</f>
        <v>8347850</v>
      </c>
      <c r="BE50" s="18">
        <f>MAX(0, $A50-BE$4)*IF(RTD("tos.rtd",,"OPEN_INT","."&amp;$AA$3&amp;$AA$4&amp;"C"&amp;BE$4)="N/A",0,RTD("tos.rtd",,"OPEN_INT","."&amp;$AA$3&amp;$AA$4&amp;"C"&amp;BE$4))*100 + MAX(0, BE$4-$A50)*IF(RTD("tos.rtd",,"OPEN_INT","."&amp;$AA$3&amp;$AA$4&amp;"P"&amp;BE$4)="N/A",0,RTD("tos.rtd",,"OPEN_INT","."&amp;$AA$3&amp;$AA$4&amp;"P"&amp;BE$4))*100</f>
        <v>8892800</v>
      </c>
      <c r="BF50" s="18">
        <f>MAX(0, $A50-BF$4)*IF(RTD("tos.rtd",,"OPEN_INT","."&amp;$AA$3&amp;$AA$4&amp;"C"&amp;BF$4)="N/A",0,RTD("tos.rtd",,"OPEN_INT","."&amp;$AA$3&amp;$AA$4&amp;"C"&amp;BF$4))*100 + MAX(0, BF$4-$A50)*IF(RTD("tos.rtd",,"OPEN_INT","."&amp;$AA$3&amp;$AA$4&amp;"P"&amp;BF$4)="N/A",0,RTD("tos.rtd",,"OPEN_INT","."&amp;$AA$3&amp;$AA$4&amp;"P"&amp;BF$4))*100</f>
        <v>10431750</v>
      </c>
      <c r="BG50" s="18">
        <f>MAX(0, $A50-BG$4)*IF(RTD("tos.rtd",,"OPEN_INT","."&amp;$AA$3&amp;$AA$4&amp;"C"&amp;BG$4)="N/A",0,RTD("tos.rtd",,"OPEN_INT","."&amp;$AA$3&amp;$AA$4&amp;"C"&amp;BG$4))*100 + MAX(0, BG$4-$A50)*IF(RTD("tos.rtd",,"OPEN_INT","."&amp;$AA$3&amp;$AA$4&amp;"P"&amp;BG$4)="N/A",0,RTD("tos.rtd",,"OPEN_INT","."&amp;$AA$3&amp;$AA$4&amp;"P"&amp;BG$4))*100</f>
        <v>6352500</v>
      </c>
      <c r="BH50" s="18">
        <f>MAX(0, $A50-BH$4)*IF(RTD("tos.rtd",,"OPEN_INT","."&amp;$AA$3&amp;$AA$4&amp;"C"&amp;BH$4)="N/A",0,RTD("tos.rtd",,"OPEN_INT","."&amp;$AA$3&amp;$AA$4&amp;"C"&amp;BH$4))*100 + MAX(0, BH$4-$A50)*IF(RTD("tos.rtd",,"OPEN_INT","."&amp;$AA$3&amp;$AA$4&amp;"P"&amp;BH$4)="N/A",0,RTD("tos.rtd",,"OPEN_INT","."&amp;$AA$3&amp;$AA$4&amp;"P"&amp;BH$4))*100</f>
        <v>4174950</v>
      </c>
      <c r="BI50" s="18">
        <f>MAX(0, $A50-BI$4)*IF(RTD("tos.rtd",,"OPEN_INT","."&amp;$AA$3&amp;$AA$4&amp;"C"&amp;BI$4)="N/A",0,RTD("tos.rtd",,"OPEN_INT","."&amp;$AA$3&amp;$AA$4&amp;"C"&amp;BI$4))*100 + MAX(0, BI$4-$A50)*IF(RTD("tos.rtd",,"OPEN_INT","."&amp;$AA$3&amp;$AA$4&amp;"P"&amp;BI$4)="N/A",0,RTD("tos.rtd",,"OPEN_INT","."&amp;$AA$3&amp;$AA$4&amp;"P"&amp;BI$4))*100</f>
        <v>4815000</v>
      </c>
      <c r="BJ50" s="18">
        <f>MAX(0, $A50-BJ$4)*IF(RTD("tos.rtd",,"OPEN_INT","."&amp;$AA$3&amp;$AA$4&amp;"C"&amp;BJ$4)="N/A",0,RTD("tos.rtd",,"OPEN_INT","."&amp;$AA$3&amp;$AA$4&amp;"C"&amp;BJ$4))*100 + MAX(0, BJ$4-$A50)*IF(RTD("tos.rtd",,"OPEN_INT","."&amp;$AA$3&amp;$AA$4&amp;"P"&amp;BJ$4)="N/A",0,RTD("tos.rtd",,"OPEN_INT","."&amp;$AA$3&amp;$AA$4&amp;"P"&amp;BJ$4))*100</f>
        <v>1200650</v>
      </c>
      <c r="BK50" s="18">
        <f>MAX(0, $A50-BK$4)*IF(RTD("tos.rtd",,"OPEN_INT","."&amp;$AA$3&amp;$AA$4&amp;"C"&amp;BK$4)="N/A",0,RTD("tos.rtd",,"OPEN_INT","."&amp;$AA$3&amp;$AA$4&amp;"C"&amp;BK$4))*100 + MAX(0, BK$4-$A50)*IF(RTD("tos.rtd",,"OPEN_INT","."&amp;$AA$3&amp;$AA$4&amp;"P"&amp;BK$4)="N/A",0,RTD("tos.rtd",,"OPEN_INT","."&amp;$AA$3&amp;$AA$4&amp;"P"&amp;BK$4))*100</f>
        <v>1170000</v>
      </c>
      <c r="BL50" s="18">
        <f>MAX(0, $A50-BL$4)*IF(RTD("tos.rtd",,"OPEN_INT","."&amp;$AA$3&amp;$AA$4&amp;"C"&amp;BL$4)="N/A",0,RTD("tos.rtd",,"OPEN_INT","."&amp;$AA$3&amp;$AA$4&amp;"C"&amp;BL$4))*100 + MAX(0, BL$4-$A50)*IF(RTD("tos.rtd",,"OPEN_INT","."&amp;$AA$3&amp;$AA$4&amp;"P"&amp;BL$4)="N/A",0,RTD("tos.rtd",,"OPEN_INT","."&amp;$AA$3&amp;$AA$4&amp;"P"&amp;BL$4))*100</f>
        <v>176400</v>
      </c>
      <c r="BM50" s="18">
        <f>MAX(0, $A50-BM$4)*IF(RTD("tos.rtd",,"OPEN_INT","."&amp;$AA$3&amp;$AA$4&amp;"C"&amp;BM$4)="N/A",0,RTD("tos.rtd",,"OPEN_INT","."&amp;$AA$3&amp;$AA$4&amp;"C"&amp;BM$4))*100 + MAX(0, BM$4-$A50)*IF(RTD("tos.rtd",,"OPEN_INT","."&amp;$AA$3&amp;$AA$4&amp;"P"&amp;BM$4)="N/A",0,RTD("tos.rtd",,"OPEN_INT","."&amp;$AA$3&amp;$AA$4&amp;"P"&amp;BM$4))*100</f>
        <v>174000</v>
      </c>
      <c r="BN50" s="18">
        <f>MAX(0, $A50-BN$4)*IF(RTD("tos.rtd",,"OPEN_INT","."&amp;$AA$3&amp;$AA$4&amp;"C"&amp;BN$4)="N/A",0,RTD("tos.rtd",,"OPEN_INT","."&amp;$AA$3&amp;$AA$4&amp;"C"&amp;BN$4))*100 + MAX(0, BN$4-$A50)*IF(RTD("tos.rtd",,"OPEN_INT","."&amp;$AA$3&amp;$AA$4&amp;"P"&amp;BN$4)="N/A",0,RTD("tos.rtd",,"OPEN_INT","."&amp;$AA$3&amp;$AA$4&amp;"P"&amp;BN$4))*100</f>
        <v>22050</v>
      </c>
      <c r="BO50" s="18">
        <f>MAX(0, $A50-BO$4)*IF(RTD("tos.rtd",,"OPEN_INT","."&amp;$AA$3&amp;$AA$4&amp;"C"&amp;BO$4)="N/A",0,RTD("tos.rtd",,"OPEN_INT","."&amp;$AA$3&amp;$AA$4&amp;"C"&amp;BO$4))*100 + MAX(0, BO$4-$A50)*IF(RTD("tos.rtd",,"OPEN_INT","."&amp;$AA$3&amp;$AA$4&amp;"P"&amp;BO$4)="N/A",0,RTD("tos.rtd",,"OPEN_INT","."&amp;$AA$3&amp;$AA$4&amp;"P"&amp;BO$4))*100</f>
        <v>133800</v>
      </c>
      <c r="BP50" s="18">
        <f>MAX(0, $A50-BP$4)*IF(RTD("tos.rtd",,"OPEN_INT","."&amp;$AA$3&amp;$AA$4&amp;"C"&amp;BP$4)="N/A",0,RTD("tos.rtd",,"OPEN_INT","."&amp;$AA$3&amp;$AA$4&amp;"C"&amp;BP$4))*100 + MAX(0, BP$4-$A50)*IF(RTD("tos.rtd",,"OPEN_INT","."&amp;$AA$3&amp;$AA$4&amp;"P"&amp;BP$4)="N/A",0,RTD("tos.rtd",,"OPEN_INT","."&amp;$AA$3&amp;$AA$4&amp;"P"&amp;BP$4))*100</f>
        <v>0</v>
      </c>
      <c r="BQ50" s="18">
        <f>MAX(0, $A50-BQ$4)*IF(RTD("tos.rtd",,"OPEN_INT","."&amp;$AA$3&amp;$AA$4&amp;"C"&amp;BQ$4)="N/A",0,RTD("tos.rtd",,"OPEN_INT","."&amp;$AA$3&amp;$AA$4&amp;"C"&amp;BQ$4))*100 + MAX(0, BQ$4-$A50)*IF(RTD("tos.rtd",,"OPEN_INT","."&amp;$AA$3&amp;$AA$4&amp;"P"&amp;BQ$4)="N/A",0,RTD("tos.rtd",,"OPEN_INT","."&amp;$AA$3&amp;$AA$4&amp;"P"&amp;BQ$4))*100</f>
        <v>0</v>
      </c>
      <c r="BR50" s="18">
        <f>MAX(0, $A50-BR$4)*IF(RTD("tos.rtd",,"OPEN_INT","."&amp;$AA$3&amp;$AA$4&amp;"C"&amp;BR$4)="N/A",0,RTD("tos.rtd",,"OPEN_INT","."&amp;$AA$3&amp;$AA$4&amp;"C"&amp;BR$4))*100 + MAX(0, BR$4-$A50)*IF(RTD("tos.rtd",,"OPEN_INT","."&amp;$AA$3&amp;$AA$4&amp;"P"&amp;BR$4)="N/A",0,RTD("tos.rtd",,"OPEN_INT","."&amp;$AA$3&amp;$AA$4&amp;"P"&amp;BR$4))*100</f>
        <v>0</v>
      </c>
      <c r="BS50" s="18">
        <f>MAX(0, $A50-BS$4)*IF(RTD("tos.rtd",,"OPEN_INT","."&amp;$AA$3&amp;$AA$4&amp;"C"&amp;BS$4)="N/A",0,RTD("tos.rtd",,"OPEN_INT","."&amp;$AA$3&amp;$AA$4&amp;"C"&amp;BS$4))*100 + MAX(0, BS$4-$A50)*IF(RTD("tos.rtd",,"OPEN_INT","."&amp;$AA$3&amp;$AA$4&amp;"P"&amp;BS$4)="N/A",0,RTD("tos.rtd",,"OPEN_INT","."&amp;$AA$3&amp;$AA$4&amp;"P"&amp;BS$4))*100</f>
        <v>0</v>
      </c>
      <c r="BT50" s="18">
        <f>MAX(0, $A50-BT$4)*IF(RTD("tos.rtd",,"OPEN_INT","."&amp;$AA$3&amp;$AA$4&amp;"C"&amp;BT$4)="N/A",0,RTD("tos.rtd",,"OPEN_INT","."&amp;$AA$3&amp;$AA$4&amp;"C"&amp;BT$4))*100 + MAX(0, BT$4-$A50)*IF(RTD("tos.rtd",,"OPEN_INT","."&amp;$AA$3&amp;$AA$4&amp;"P"&amp;BT$4)="N/A",0,RTD("tos.rtd",,"OPEN_INT","."&amp;$AA$3&amp;$AA$4&amp;"P"&amp;BT$4))*100</f>
        <v>0</v>
      </c>
      <c r="BU50" s="18">
        <f>MAX(0, $A50-BU$4)*IF(RTD("tos.rtd",,"OPEN_INT","."&amp;$AA$3&amp;$AA$4&amp;"C"&amp;BU$4)="N/A",0,RTD("tos.rtd",,"OPEN_INT","."&amp;$AA$3&amp;$AA$4&amp;"C"&amp;BU$4))*100 + MAX(0, BU$4-$A50)*IF(RTD("tos.rtd",,"OPEN_INT","."&amp;$AA$3&amp;$AA$4&amp;"P"&amp;BU$4)="N/A",0,RTD("tos.rtd",,"OPEN_INT","."&amp;$AA$3&amp;$AA$4&amp;"P"&amp;BU$4))*100</f>
        <v>0</v>
      </c>
      <c r="BV50" s="18">
        <f>MAX(0, $A50-BV$4)*IF(RTD("tos.rtd",,"OPEN_INT","."&amp;$AA$3&amp;$AA$4&amp;"C"&amp;BV$4)="N/A",0,RTD("tos.rtd",,"OPEN_INT","."&amp;$AA$3&amp;$AA$4&amp;"C"&amp;BV$4))*100 + MAX(0, BV$4-$A50)*IF(RTD("tos.rtd",,"OPEN_INT","."&amp;$AA$3&amp;$AA$4&amp;"P"&amp;BV$4)="N/A",0,RTD("tos.rtd",,"OPEN_INT","."&amp;$AA$3&amp;$AA$4&amp;"P"&amp;BV$4))*100</f>
        <v>0</v>
      </c>
    </row>
    <row r="51" spans="1:74" s="19" customFormat="1" ht="11.1" customHeight="1" thickBot="1" x14ac:dyDescent="0.3">
      <c r="A51" s="6">
        <f t="shared" si="11"/>
        <v>-1.5</v>
      </c>
      <c r="B51" s="15">
        <f ca="1">IF($A$2="PREMIUM_OI",IFERROR(IF($X$1="ABS",(100*RTD("tos.rtd",,"OPEN_INT","."&amp;B$2&amp;B$1&amp;"C"&amp;$A51)*RTD("tos.rtd",,"LAST","."&amp;B$2&amp;B$1&amp;"C"&amp;$A51)+100*RTD("tos.rtd",,"OPEN_INT","."&amp;B$2&amp;B$1&amp;"P"&amp;$A51)*RTD("tos.rtd",,"LAST","."&amp;B$2&amp;B$1&amp;"P"&amp;$A51))/1000000,(100*RTD("tos.rtd",,"OPEN_INT","."&amp;B$2&amp;B$1&amp;"C"&amp;$A51)*RTD("tos.rtd",,"LAST","."&amp;B$2&amp;B$1&amp;"C"&amp;$A51)-100*RTD("tos.rtd",,"OPEN_INT","."&amp;B$2&amp;B$1&amp;"P"&amp;$A51)*RTD("tos.rtd",,"LAST","."&amp;B$2&amp;B$1&amp;"P"&amp;$A51))/1000000),0),IF($A$2="PREMIUM",IFERROR(IF($X$1="ABS",(100*RTD("tos.rtd",,"VOLUME","."&amp;B$2&amp;B$1&amp;"C"&amp;$A51)*RTD("tos.rtd",,"LAST","."&amp;B$2&amp;B$1&amp;"C"&amp;$A51)+100*RTD("tos.rtd",,"VOLUME","."&amp;B$2&amp;B$1&amp;"P"&amp;$A51)*RTD("tos.rtd",,"LAST","."&amp;B$2&amp;B$1&amp;"P"&amp;$A51))/1000000,(100*RTD("tos.rtd",,"VOLUME","."&amp;B$2&amp;B$1&amp;"C"&amp;$A51)*RTD("tos.rtd",,"LAST","."&amp;B$2&amp;B$1&amp;"C"&amp;$A51)-100*RTD("tos.rtd",,"VOLUME","."&amp;B$2&amp;B$1&amp;"P"&amp;$A51)*RTD("tos.rtd",,"LAST","."&amp;B$2&amp;B$1&amp;"P"&amp;$A51))/1000000),0),IF($A$2="DEX",IFERROR(IF($X$1="ABS",(100*RTD("tos.rtd",,"OPEN_INT","."&amp;B$2&amp;B$1&amp;"C"&amp;$A51)*RTD("tos.rtd",,"DELTA","."&amp;B$2&amp;B$1&amp;"C"&amp;$A51)+100*RTD("tos.rtd",,"OPEN_INT","."&amp;B$2&amp;B$1&amp;"P"&amp;$A51)*RTD("tos.rtd",,"DELTA","."&amp;B$2&amp;B$1&amp;"P"&amp;$A51))/1000,(100*RTD("tos.rtd",,"OPEN_INT","."&amp;B$2&amp;B$1&amp;"C"&amp;$A51)*RTD("tos.rtd",,"DELTA","."&amp;B$2&amp;B$1&amp;"C"&amp;$A51)-100*RTD("tos.rtd",,"OPEN_INT","."&amp;B$2&amp;B$1&amp;"P"&amp;$A51)*RTD("tos.rtd",,"DELTA","."&amp;B$2&amp;B$1&amp;"P"&amp;$A51))/1000),0),IF($A$2="VEX",IFERROR(IF($X$1="ABS",($A$4*$A$4*RTD("tos.rtd",,"VOLUME","."&amp;B$2&amp;B$1&amp;"C"&amp;$A51)*RTD("tos.rtd",,"GAMMA","."&amp;B$2&amp;B$1&amp;"C"&amp;$A51)+$A$4*$A$4*RTD("tos.rtd",,"VOLUME","."&amp;B$2&amp;B$1&amp;"P"&amp;$A51)*RTD("tos.rtd",,"GAMMA","."&amp;B$2&amp;B$1&amp;"P"&amp;$A51))/1000000,($A$4*$A$4*RTD("tos.rtd",,"VOLUME","."&amp;B$2&amp;B$1&amp;"C"&amp;$A51)*RTD("tos.rtd",,"GAMMA","."&amp;B$2&amp;B$1&amp;"C"&amp;$A51)-$A$4*$A$4*RTD("tos.rtd",,"VOLUME","."&amp;B$2&amp;B$1&amp;"P"&amp;$A51)*RTD("tos.rtd",,"GAMMA","."&amp;B$2&amp;B$1&amp;"P"&amp;$A51))/1000000),0),IF($A$2="GEX",IFERROR(IF($X$1="ABS",($A$4*$A$4*RTD("tos.rtd",,"OPEN_INT","."&amp;B$2&amp;B$1&amp;"C"&amp;$A51)*RTD("tos.rtd",,"GAMMA","."&amp;B$2&amp;B$1&amp;"C"&amp;$A51)+$A$4*$A$4*RTD("tos.rtd",,"OPEN_INT","."&amp;B$2&amp;B$1&amp;"P"&amp;$A51)*RTD("tos.rtd",,"GAMMA","."&amp;B$2&amp;B$1&amp;"P"&amp;$A51))/1000000,($A$4*$A$4*RTD("tos.rtd",,"OPEN_INT","."&amp;B$2&amp;B$1&amp;"C"&amp;$A51)*RTD("tos.rtd",,"GAMMA","."&amp;B$2&amp;B$1&amp;"C"&amp;$A51)-$A$4*$A$4*RTD("tos.rtd",,"OPEN_INT","."&amp;B$2&amp;B$1&amp;"P"&amp;$A51)*RTD("tos.rtd",,"GAMMA","."&amp;B$2&amp;B$1&amp;"P"&amp;$A51))/1000000),0),IF($A$2="SKEW",IFERROR(VALUE(IF(RTD("tos.rtd",,"IMPL_VOL","."&amp;B$2&amp;B$1&amp;"P"&amp;$A51)="N/A",0,RTD("tos.rtd",,"IMPL_VOL","."&amp;B$2&amp;B$1&amp;"P"&amp;$A51))),0)-IFERROR(VALUE(IF(RTD("tos.rtd",,"IMPL_VOL","."&amp;B$2&amp;B$1&amp;"C"&amp;$A51)="N/A",0,RTD("tos.rtd",,"IMPL_VOL","."&amp;B$2&amp;B$1&amp;"C"&amp;$A51))),0),IF($A$2="MAXPAIN",IF($A$4&gt;$A51,($A$4-$A51)*IF(RTD("tos.rtd",,"OPEN_INT","."&amp;B$2&amp;B$1&amp;"C"&amp;$A51)="N/A",0,RTD("tos.rtd",,"OPEN_INT","."&amp;B$2&amp;B$1&amp;"C"&amp;$A51)),0)+IF($A$4&lt;$A51,($A$5-$A$4)*IF(RTD("tos.rtd",,"OPEN_INT","."&amp;B$2&amp;B$1&amp;"P"&amp;$A51)="N/A",0,RTD("tos.rtd",,"OPEN_INT","."&amp;B$2&amp;B$1&amp;"P"&amp;$A51)),0),IF($X$1="ABS",IF(RTD("tos.rtd",,$A$2,"."&amp;B$2&amp;B$1&amp;"C"&amp;$A51)="N/A",0,RTD("tos.rtd",,$A$2,"."&amp;B$2&amp;B$1&amp;"C"&amp;$A51))+IF(RTD("tos.rtd",,$A$2,"."&amp;B$2&amp;B$1&amp;"P"&amp;$A51)="N/A",0,RTD("tos.rtd",,$A$2,"."&amp;B$2&amp;B$1&amp;"P"&amp;$A51)),IF(RTD("tos.rtd",,$A$2,"."&amp;B$2&amp;B$1&amp;"C"&amp;$A51)="N/A",0,RTD("tos.rtd",,$A$2,"."&amp;B$2&amp;B$1&amp;"C"&amp;$A51))-IF(RTD("tos.rtd",,$A$2,"."&amp;B$2&amp;B$1&amp;"P"&amp;$A51)="N/A",0,RTD("tos.rtd",,$A$2,"."&amp;B$2&amp;B$1&amp;"P"&amp;$A51))))))))))</f>
        <v>0</v>
      </c>
      <c r="C51" s="16">
        <f ca="1">IF($A$2="PREMIUM_OI",IFERROR(IF($X$1="ABS",(100*RTD("tos.rtd",,"OPEN_INT","."&amp;C$2&amp;C$1&amp;"C"&amp;$A51)*RTD("tos.rtd",,"LAST","."&amp;C$2&amp;C$1&amp;"C"&amp;$A51)+100*RTD("tos.rtd",,"OPEN_INT","."&amp;C$2&amp;C$1&amp;"P"&amp;$A51)*RTD("tos.rtd",,"LAST","."&amp;C$2&amp;C$1&amp;"P"&amp;$A51))/1000000,(100*RTD("tos.rtd",,"OPEN_INT","."&amp;C$2&amp;C$1&amp;"C"&amp;$A51)*RTD("tos.rtd",,"LAST","."&amp;C$2&amp;C$1&amp;"C"&amp;$A51)-100*RTD("tos.rtd",,"OPEN_INT","."&amp;C$2&amp;C$1&amp;"P"&amp;$A51)*RTD("tos.rtd",,"LAST","."&amp;C$2&amp;C$1&amp;"P"&amp;$A51))/1000000),0),IF($A$2="PREMIUM",IFERROR(IF($X$1="ABS",(100*RTD("tos.rtd",,"VOLUME","."&amp;C$2&amp;C$1&amp;"C"&amp;$A51)*RTD("tos.rtd",,"LAST","."&amp;C$2&amp;C$1&amp;"C"&amp;$A51)+100*RTD("tos.rtd",,"VOLUME","."&amp;C$2&amp;C$1&amp;"P"&amp;$A51)*RTD("tos.rtd",,"LAST","."&amp;C$2&amp;C$1&amp;"P"&amp;$A51))/1000000,(100*RTD("tos.rtd",,"VOLUME","."&amp;C$2&amp;C$1&amp;"C"&amp;$A51)*RTD("tos.rtd",,"LAST","."&amp;C$2&amp;C$1&amp;"C"&amp;$A51)-100*RTD("tos.rtd",,"VOLUME","."&amp;C$2&amp;C$1&amp;"P"&amp;$A51)*RTD("tos.rtd",,"LAST","."&amp;C$2&amp;C$1&amp;"P"&amp;$A51))/1000000),0),IF($A$2="DEX",IFERROR(IF($X$1="ABS",(100*RTD("tos.rtd",,"OPEN_INT","."&amp;C$2&amp;C$1&amp;"C"&amp;$A51)*RTD("tos.rtd",,"DELTA","."&amp;C$2&amp;C$1&amp;"C"&amp;$A51)+100*RTD("tos.rtd",,"OPEN_INT","."&amp;C$2&amp;C$1&amp;"P"&amp;$A51)*RTD("tos.rtd",,"DELTA","."&amp;C$2&amp;C$1&amp;"P"&amp;$A51))/1000,(100*RTD("tos.rtd",,"OPEN_INT","."&amp;C$2&amp;C$1&amp;"C"&amp;$A51)*RTD("tos.rtd",,"DELTA","."&amp;C$2&amp;C$1&amp;"C"&amp;$A51)-100*RTD("tos.rtd",,"OPEN_INT","."&amp;C$2&amp;C$1&amp;"P"&amp;$A51)*RTD("tos.rtd",,"DELTA","."&amp;C$2&amp;C$1&amp;"P"&amp;$A51))/1000),0),IF($A$2="VEX",IFERROR(IF($X$1="ABS",($A$4*$A$4*RTD("tos.rtd",,"VOLUME","."&amp;C$2&amp;C$1&amp;"C"&amp;$A51)*RTD("tos.rtd",,"GAMMA","."&amp;C$2&amp;C$1&amp;"C"&amp;$A51)+$A$4*$A$4*RTD("tos.rtd",,"VOLUME","."&amp;C$2&amp;C$1&amp;"P"&amp;$A51)*RTD("tos.rtd",,"GAMMA","."&amp;C$2&amp;C$1&amp;"P"&amp;$A51))/1000000,($A$4*$A$4*RTD("tos.rtd",,"VOLUME","."&amp;C$2&amp;C$1&amp;"C"&amp;$A51)*RTD("tos.rtd",,"GAMMA","."&amp;C$2&amp;C$1&amp;"C"&amp;$A51)-$A$4*$A$4*RTD("tos.rtd",,"VOLUME","."&amp;C$2&amp;C$1&amp;"P"&amp;$A51)*RTD("tos.rtd",,"GAMMA","."&amp;C$2&amp;C$1&amp;"P"&amp;$A51))/1000000),0),IF($A$2="GEX",IFERROR(IF($X$1="ABS",($A$4*$A$4*RTD("tos.rtd",,"OPEN_INT","."&amp;C$2&amp;C$1&amp;"C"&amp;$A51)*RTD("tos.rtd",,"GAMMA","."&amp;C$2&amp;C$1&amp;"C"&amp;$A51)+$A$4*$A$4*RTD("tos.rtd",,"OPEN_INT","."&amp;C$2&amp;C$1&amp;"P"&amp;$A51)*RTD("tos.rtd",,"GAMMA","."&amp;C$2&amp;C$1&amp;"P"&amp;$A51))/1000000,($A$4*$A$4*RTD("tos.rtd",,"OPEN_INT","."&amp;C$2&amp;C$1&amp;"C"&amp;$A51)*RTD("tos.rtd",,"GAMMA","."&amp;C$2&amp;C$1&amp;"C"&amp;$A51)-$A$4*$A$4*RTD("tos.rtd",,"OPEN_INT","."&amp;C$2&amp;C$1&amp;"P"&amp;$A51)*RTD("tos.rtd",,"GAMMA","."&amp;C$2&amp;C$1&amp;"P"&amp;$A51))/1000000),0),IF($A$2="SKEW",IFERROR(VALUE(IF(RTD("tos.rtd",,"IMPL_VOL","."&amp;C$2&amp;C$1&amp;"P"&amp;$A51)="N/A",0,RTD("tos.rtd",,"IMPL_VOL","."&amp;C$2&amp;C$1&amp;"P"&amp;$A51))),0)-IFERROR(VALUE(IF(RTD("tos.rtd",,"IMPL_VOL","."&amp;C$2&amp;C$1&amp;"C"&amp;$A51)="N/A",0,RTD("tos.rtd",,"IMPL_VOL","."&amp;C$2&amp;C$1&amp;"C"&amp;$A51))),0),IF($A$2="MAXPAIN",IF($A$4&gt;$A51,($A$4-$A51)*IF(RTD("tos.rtd",,"OPEN_INT","."&amp;C$2&amp;C$1&amp;"C"&amp;$A51)="N/A",0,RTD("tos.rtd",,"OPEN_INT","."&amp;C$2&amp;C$1&amp;"C"&amp;$A51)),0)+IF($A$4&lt;$A51,($A$5-$A$4)*IF(RTD("tos.rtd",,"OPEN_INT","."&amp;C$2&amp;C$1&amp;"P"&amp;$A51)="N/A",0,RTD("tos.rtd",,"OPEN_INT","."&amp;C$2&amp;C$1&amp;"P"&amp;$A51)),0),IF($X$1="ABS",IF(RTD("tos.rtd",,$A$2,"."&amp;C$2&amp;C$1&amp;"C"&amp;$A51)="N/A",0,RTD("tos.rtd",,$A$2,"."&amp;C$2&amp;C$1&amp;"C"&amp;$A51))+IF(RTD("tos.rtd",,$A$2,"."&amp;C$2&amp;C$1&amp;"P"&amp;$A51)="N/A",0,RTD("tos.rtd",,$A$2,"."&amp;C$2&amp;C$1&amp;"P"&amp;$A51)),IF(RTD("tos.rtd",,$A$2,"."&amp;C$2&amp;C$1&amp;"C"&amp;$A51)="N/A",0,RTD("tos.rtd",,$A$2,"."&amp;C$2&amp;C$1&amp;"C"&amp;$A51))-IF(RTD("tos.rtd",,$A$2,"."&amp;C$2&amp;C$1&amp;"P"&amp;$A51)="N/A",0,RTD("tos.rtd",,$A$2,"."&amp;C$2&amp;C$1&amp;"P"&amp;$A51))))))))))</f>
        <v>0</v>
      </c>
      <c r="D51" s="16">
        <f ca="1">IF($A$2="PREMIUM_OI",IFERROR(IF($X$1="ABS",(100*RTD("tos.rtd",,"OPEN_INT","."&amp;D$2&amp;D$1&amp;"C"&amp;$A51)*RTD("tos.rtd",,"LAST","."&amp;D$2&amp;D$1&amp;"C"&amp;$A51)+100*RTD("tos.rtd",,"OPEN_INT","."&amp;D$2&amp;D$1&amp;"P"&amp;$A51)*RTD("tos.rtd",,"LAST","."&amp;D$2&amp;D$1&amp;"P"&amp;$A51))/1000000,(100*RTD("tos.rtd",,"OPEN_INT","."&amp;D$2&amp;D$1&amp;"C"&amp;$A51)*RTD("tos.rtd",,"LAST","."&amp;D$2&amp;D$1&amp;"C"&amp;$A51)-100*RTD("tos.rtd",,"OPEN_INT","."&amp;D$2&amp;D$1&amp;"P"&amp;$A51)*RTD("tos.rtd",,"LAST","."&amp;D$2&amp;D$1&amp;"P"&amp;$A51))/1000000),0),IF($A$2="PREMIUM",IFERROR(IF($X$1="ABS",(100*RTD("tos.rtd",,"VOLUME","."&amp;D$2&amp;D$1&amp;"C"&amp;$A51)*RTD("tos.rtd",,"LAST","."&amp;D$2&amp;D$1&amp;"C"&amp;$A51)+100*RTD("tos.rtd",,"VOLUME","."&amp;D$2&amp;D$1&amp;"P"&amp;$A51)*RTD("tos.rtd",,"LAST","."&amp;D$2&amp;D$1&amp;"P"&amp;$A51))/1000000,(100*RTD("tos.rtd",,"VOLUME","."&amp;D$2&amp;D$1&amp;"C"&amp;$A51)*RTD("tos.rtd",,"LAST","."&amp;D$2&amp;D$1&amp;"C"&amp;$A51)-100*RTD("tos.rtd",,"VOLUME","."&amp;D$2&amp;D$1&amp;"P"&amp;$A51)*RTD("tos.rtd",,"LAST","."&amp;D$2&amp;D$1&amp;"P"&amp;$A51))/1000000),0),IF($A$2="DEX",IFERROR(IF($X$1="ABS",(100*RTD("tos.rtd",,"OPEN_INT","."&amp;D$2&amp;D$1&amp;"C"&amp;$A51)*RTD("tos.rtd",,"DELTA","."&amp;D$2&amp;D$1&amp;"C"&amp;$A51)+100*RTD("tos.rtd",,"OPEN_INT","."&amp;D$2&amp;D$1&amp;"P"&amp;$A51)*RTD("tos.rtd",,"DELTA","."&amp;D$2&amp;D$1&amp;"P"&amp;$A51))/1000,(100*RTD("tos.rtd",,"OPEN_INT","."&amp;D$2&amp;D$1&amp;"C"&amp;$A51)*RTD("tos.rtd",,"DELTA","."&amp;D$2&amp;D$1&amp;"C"&amp;$A51)-100*RTD("tos.rtd",,"OPEN_INT","."&amp;D$2&amp;D$1&amp;"P"&amp;$A51)*RTD("tos.rtd",,"DELTA","."&amp;D$2&amp;D$1&amp;"P"&amp;$A51))/1000),0),IF($A$2="VEX",IFERROR(IF($X$1="ABS",($A$4*$A$4*RTD("tos.rtd",,"VOLUME","."&amp;D$2&amp;D$1&amp;"C"&amp;$A51)*RTD("tos.rtd",,"GAMMA","."&amp;D$2&amp;D$1&amp;"C"&amp;$A51)+$A$4*$A$4*RTD("tos.rtd",,"VOLUME","."&amp;D$2&amp;D$1&amp;"P"&amp;$A51)*RTD("tos.rtd",,"GAMMA","."&amp;D$2&amp;D$1&amp;"P"&amp;$A51))/1000000,($A$4*$A$4*RTD("tos.rtd",,"VOLUME","."&amp;D$2&amp;D$1&amp;"C"&amp;$A51)*RTD("tos.rtd",,"GAMMA","."&amp;D$2&amp;D$1&amp;"C"&amp;$A51)-$A$4*$A$4*RTD("tos.rtd",,"VOLUME","."&amp;D$2&amp;D$1&amp;"P"&amp;$A51)*RTD("tos.rtd",,"GAMMA","."&amp;D$2&amp;D$1&amp;"P"&amp;$A51))/1000000),0),IF($A$2="GEX",IFERROR(IF($X$1="ABS",($A$4*$A$4*RTD("tos.rtd",,"OPEN_INT","."&amp;D$2&amp;D$1&amp;"C"&amp;$A51)*RTD("tos.rtd",,"GAMMA","."&amp;D$2&amp;D$1&amp;"C"&amp;$A51)+$A$4*$A$4*RTD("tos.rtd",,"OPEN_INT","."&amp;D$2&amp;D$1&amp;"P"&amp;$A51)*RTD("tos.rtd",,"GAMMA","."&amp;D$2&amp;D$1&amp;"P"&amp;$A51))/1000000,($A$4*$A$4*RTD("tos.rtd",,"OPEN_INT","."&amp;D$2&amp;D$1&amp;"C"&amp;$A51)*RTD("tos.rtd",,"GAMMA","."&amp;D$2&amp;D$1&amp;"C"&amp;$A51)-$A$4*$A$4*RTD("tos.rtd",,"OPEN_INT","."&amp;D$2&amp;D$1&amp;"P"&amp;$A51)*RTD("tos.rtd",,"GAMMA","."&amp;D$2&amp;D$1&amp;"P"&amp;$A51))/1000000),0),IF($A$2="SKEW",IFERROR(VALUE(IF(RTD("tos.rtd",,"IMPL_VOL","."&amp;D$2&amp;D$1&amp;"P"&amp;$A51)="N/A",0,RTD("tos.rtd",,"IMPL_VOL","."&amp;D$2&amp;D$1&amp;"P"&amp;$A51))),0)-IFERROR(VALUE(IF(RTD("tos.rtd",,"IMPL_VOL","."&amp;D$2&amp;D$1&amp;"C"&amp;$A51)="N/A",0,RTD("tos.rtd",,"IMPL_VOL","."&amp;D$2&amp;D$1&amp;"C"&amp;$A51))),0),IF($A$2="MAXPAIN",IF($A$4&gt;$A51,($A$4-$A51)*IF(RTD("tos.rtd",,"OPEN_INT","."&amp;D$2&amp;D$1&amp;"C"&amp;$A51)="N/A",0,RTD("tos.rtd",,"OPEN_INT","."&amp;D$2&amp;D$1&amp;"C"&amp;$A51)),0)+IF($A$4&lt;$A51,($A$5-$A$4)*IF(RTD("tos.rtd",,"OPEN_INT","."&amp;D$2&amp;D$1&amp;"P"&amp;$A51)="N/A",0,RTD("tos.rtd",,"OPEN_INT","."&amp;D$2&amp;D$1&amp;"P"&amp;$A51)),0),IF($X$1="ABS",IF(RTD("tos.rtd",,$A$2,"."&amp;D$2&amp;D$1&amp;"C"&amp;$A51)="N/A",0,RTD("tos.rtd",,$A$2,"."&amp;D$2&amp;D$1&amp;"C"&amp;$A51))+IF(RTD("tos.rtd",,$A$2,"."&amp;D$2&amp;D$1&amp;"P"&amp;$A51)="N/A",0,RTD("tos.rtd",,$A$2,"."&amp;D$2&amp;D$1&amp;"P"&amp;$A51)),IF(RTD("tos.rtd",,$A$2,"."&amp;D$2&amp;D$1&amp;"C"&amp;$A51)="N/A",0,RTD("tos.rtd",,$A$2,"."&amp;D$2&amp;D$1&amp;"C"&amp;$A51))-IF(RTD("tos.rtd",,$A$2,"."&amp;D$2&amp;D$1&amp;"P"&amp;$A51)="N/A",0,RTD("tos.rtd",,$A$2,"."&amp;D$2&amp;D$1&amp;"P"&amp;$A51))))))))))</f>
        <v>0</v>
      </c>
      <c r="E51" s="16">
        <f ca="1">IF($A$2="PREMIUM_OI",IFERROR(IF($X$1="ABS",(100*RTD("tos.rtd",,"OPEN_INT","."&amp;E$2&amp;E$1&amp;"C"&amp;$A51)*RTD("tos.rtd",,"LAST","."&amp;E$2&amp;E$1&amp;"C"&amp;$A51)+100*RTD("tos.rtd",,"OPEN_INT","."&amp;E$2&amp;E$1&amp;"P"&amp;$A51)*RTD("tos.rtd",,"LAST","."&amp;E$2&amp;E$1&amp;"P"&amp;$A51))/1000000,(100*RTD("tos.rtd",,"OPEN_INT","."&amp;E$2&amp;E$1&amp;"C"&amp;$A51)*RTD("tos.rtd",,"LAST","."&amp;E$2&amp;E$1&amp;"C"&amp;$A51)-100*RTD("tos.rtd",,"OPEN_INT","."&amp;E$2&amp;E$1&amp;"P"&amp;$A51)*RTD("tos.rtd",,"LAST","."&amp;E$2&amp;E$1&amp;"P"&amp;$A51))/1000000),0),IF($A$2="PREMIUM",IFERROR(IF($X$1="ABS",(100*RTD("tos.rtd",,"VOLUME","."&amp;E$2&amp;E$1&amp;"C"&amp;$A51)*RTD("tos.rtd",,"LAST","."&amp;E$2&amp;E$1&amp;"C"&amp;$A51)+100*RTD("tos.rtd",,"VOLUME","."&amp;E$2&amp;E$1&amp;"P"&amp;$A51)*RTD("tos.rtd",,"LAST","."&amp;E$2&amp;E$1&amp;"P"&amp;$A51))/1000000,(100*RTD("tos.rtd",,"VOLUME","."&amp;E$2&amp;E$1&amp;"C"&amp;$A51)*RTD("tos.rtd",,"LAST","."&amp;E$2&amp;E$1&amp;"C"&amp;$A51)-100*RTD("tos.rtd",,"VOLUME","."&amp;E$2&amp;E$1&amp;"P"&amp;$A51)*RTD("tos.rtd",,"LAST","."&amp;E$2&amp;E$1&amp;"P"&amp;$A51))/1000000),0),IF($A$2="DEX",IFERROR(IF($X$1="ABS",(100*RTD("tos.rtd",,"OPEN_INT","."&amp;E$2&amp;E$1&amp;"C"&amp;$A51)*RTD("tos.rtd",,"DELTA","."&amp;E$2&amp;E$1&amp;"C"&amp;$A51)+100*RTD("tos.rtd",,"OPEN_INT","."&amp;E$2&amp;E$1&amp;"P"&amp;$A51)*RTD("tos.rtd",,"DELTA","."&amp;E$2&amp;E$1&amp;"P"&amp;$A51))/1000,(100*RTD("tos.rtd",,"OPEN_INT","."&amp;E$2&amp;E$1&amp;"C"&amp;$A51)*RTD("tos.rtd",,"DELTA","."&amp;E$2&amp;E$1&amp;"C"&amp;$A51)-100*RTD("tos.rtd",,"OPEN_INT","."&amp;E$2&amp;E$1&amp;"P"&amp;$A51)*RTD("tos.rtd",,"DELTA","."&amp;E$2&amp;E$1&amp;"P"&amp;$A51))/1000),0),IF($A$2="VEX",IFERROR(IF($X$1="ABS",($A$4*$A$4*RTD("tos.rtd",,"VOLUME","."&amp;E$2&amp;E$1&amp;"C"&amp;$A51)*RTD("tos.rtd",,"GAMMA","."&amp;E$2&amp;E$1&amp;"C"&amp;$A51)+$A$4*$A$4*RTD("tos.rtd",,"VOLUME","."&amp;E$2&amp;E$1&amp;"P"&amp;$A51)*RTD("tos.rtd",,"GAMMA","."&amp;E$2&amp;E$1&amp;"P"&amp;$A51))/1000000,($A$4*$A$4*RTD("tos.rtd",,"VOLUME","."&amp;E$2&amp;E$1&amp;"C"&amp;$A51)*RTD("tos.rtd",,"GAMMA","."&amp;E$2&amp;E$1&amp;"C"&amp;$A51)-$A$4*$A$4*RTD("tos.rtd",,"VOLUME","."&amp;E$2&amp;E$1&amp;"P"&amp;$A51)*RTD("tos.rtd",,"GAMMA","."&amp;E$2&amp;E$1&amp;"P"&amp;$A51))/1000000),0),IF($A$2="GEX",IFERROR(IF($X$1="ABS",($A$4*$A$4*RTD("tos.rtd",,"OPEN_INT","."&amp;E$2&amp;E$1&amp;"C"&amp;$A51)*RTD("tos.rtd",,"GAMMA","."&amp;E$2&amp;E$1&amp;"C"&amp;$A51)+$A$4*$A$4*RTD("tos.rtd",,"OPEN_INT","."&amp;E$2&amp;E$1&amp;"P"&amp;$A51)*RTD("tos.rtd",,"GAMMA","."&amp;E$2&amp;E$1&amp;"P"&amp;$A51))/1000000,($A$4*$A$4*RTD("tos.rtd",,"OPEN_INT","."&amp;E$2&amp;E$1&amp;"C"&amp;$A51)*RTD("tos.rtd",,"GAMMA","."&amp;E$2&amp;E$1&amp;"C"&amp;$A51)-$A$4*$A$4*RTD("tos.rtd",,"OPEN_INT","."&amp;E$2&amp;E$1&amp;"P"&amp;$A51)*RTD("tos.rtd",,"GAMMA","."&amp;E$2&amp;E$1&amp;"P"&amp;$A51))/1000000),0),IF($A$2="SKEW",IFERROR(VALUE(IF(RTD("tos.rtd",,"IMPL_VOL","."&amp;E$2&amp;E$1&amp;"P"&amp;$A51)="N/A",0,RTD("tos.rtd",,"IMPL_VOL","."&amp;E$2&amp;E$1&amp;"P"&amp;$A51))),0)-IFERROR(VALUE(IF(RTD("tos.rtd",,"IMPL_VOL","."&amp;E$2&amp;E$1&amp;"C"&amp;$A51)="N/A",0,RTD("tos.rtd",,"IMPL_VOL","."&amp;E$2&amp;E$1&amp;"C"&amp;$A51))),0),IF($A$2="MAXPAIN",IF($A$4&gt;$A51,($A$4-$A51)*IF(RTD("tos.rtd",,"OPEN_INT","."&amp;E$2&amp;E$1&amp;"C"&amp;$A51)="N/A",0,RTD("tos.rtd",,"OPEN_INT","."&amp;E$2&amp;E$1&amp;"C"&amp;$A51)),0)+IF($A$4&lt;$A51,($A$5-$A$4)*IF(RTD("tos.rtd",,"OPEN_INT","."&amp;E$2&amp;E$1&amp;"P"&amp;$A51)="N/A",0,RTD("tos.rtd",,"OPEN_INT","."&amp;E$2&amp;E$1&amp;"P"&amp;$A51)),0),IF($X$1="ABS",IF(RTD("tos.rtd",,$A$2,"."&amp;E$2&amp;E$1&amp;"C"&amp;$A51)="N/A",0,RTD("tos.rtd",,$A$2,"."&amp;E$2&amp;E$1&amp;"C"&amp;$A51))+IF(RTD("tos.rtd",,$A$2,"."&amp;E$2&amp;E$1&amp;"P"&amp;$A51)="N/A",0,RTD("tos.rtd",,$A$2,"."&amp;E$2&amp;E$1&amp;"P"&amp;$A51)),IF(RTD("tos.rtd",,$A$2,"."&amp;E$2&amp;E$1&amp;"C"&amp;$A51)="N/A",0,RTD("tos.rtd",,$A$2,"."&amp;E$2&amp;E$1&amp;"C"&amp;$A51))-IF(RTD("tos.rtd",,$A$2,"."&amp;E$2&amp;E$1&amp;"P"&amp;$A51)="N/A",0,RTD("tos.rtd",,$A$2,"."&amp;E$2&amp;E$1&amp;"P"&amp;$A51))))))))))</f>
        <v>0</v>
      </c>
      <c r="F51" s="16">
        <f ca="1">IF($A$2="PREMIUM_OI",IFERROR(IF($X$1="ABS",(100*RTD("tos.rtd",,"OPEN_INT","."&amp;F$2&amp;F$1&amp;"C"&amp;$A51)*RTD("tos.rtd",,"LAST","."&amp;F$2&amp;F$1&amp;"C"&amp;$A51)+100*RTD("tos.rtd",,"OPEN_INT","."&amp;F$2&amp;F$1&amp;"P"&amp;$A51)*RTD("tos.rtd",,"LAST","."&amp;F$2&amp;F$1&amp;"P"&amp;$A51))/1000000,(100*RTD("tos.rtd",,"OPEN_INT","."&amp;F$2&amp;F$1&amp;"C"&amp;$A51)*RTD("tos.rtd",,"LAST","."&amp;F$2&amp;F$1&amp;"C"&amp;$A51)-100*RTD("tos.rtd",,"OPEN_INT","."&amp;F$2&amp;F$1&amp;"P"&amp;$A51)*RTD("tos.rtd",,"LAST","."&amp;F$2&amp;F$1&amp;"P"&amp;$A51))/1000000),0),IF($A$2="PREMIUM",IFERROR(IF($X$1="ABS",(100*RTD("tos.rtd",,"VOLUME","."&amp;F$2&amp;F$1&amp;"C"&amp;$A51)*RTD("tos.rtd",,"LAST","."&amp;F$2&amp;F$1&amp;"C"&amp;$A51)+100*RTD("tos.rtd",,"VOLUME","."&amp;F$2&amp;F$1&amp;"P"&amp;$A51)*RTD("tos.rtd",,"LAST","."&amp;F$2&amp;F$1&amp;"P"&amp;$A51))/1000000,(100*RTD("tos.rtd",,"VOLUME","."&amp;F$2&amp;F$1&amp;"C"&amp;$A51)*RTD("tos.rtd",,"LAST","."&amp;F$2&amp;F$1&amp;"C"&amp;$A51)-100*RTD("tos.rtd",,"VOLUME","."&amp;F$2&amp;F$1&amp;"P"&amp;$A51)*RTD("tos.rtd",,"LAST","."&amp;F$2&amp;F$1&amp;"P"&amp;$A51))/1000000),0),IF($A$2="DEX",IFERROR(IF($X$1="ABS",(100*RTD("tos.rtd",,"OPEN_INT","."&amp;F$2&amp;F$1&amp;"C"&amp;$A51)*RTD("tos.rtd",,"DELTA","."&amp;F$2&amp;F$1&amp;"C"&amp;$A51)+100*RTD("tos.rtd",,"OPEN_INT","."&amp;F$2&amp;F$1&amp;"P"&amp;$A51)*RTD("tos.rtd",,"DELTA","."&amp;F$2&amp;F$1&amp;"P"&amp;$A51))/1000,(100*RTD("tos.rtd",,"OPEN_INT","."&amp;F$2&amp;F$1&amp;"C"&amp;$A51)*RTD("tos.rtd",,"DELTA","."&amp;F$2&amp;F$1&amp;"C"&amp;$A51)-100*RTD("tos.rtd",,"OPEN_INT","."&amp;F$2&amp;F$1&amp;"P"&amp;$A51)*RTD("tos.rtd",,"DELTA","."&amp;F$2&amp;F$1&amp;"P"&amp;$A51))/1000),0),IF($A$2="VEX",IFERROR(IF($X$1="ABS",($A$4*$A$4*RTD("tos.rtd",,"VOLUME","."&amp;F$2&amp;F$1&amp;"C"&amp;$A51)*RTD("tos.rtd",,"GAMMA","."&amp;F$2&amp;F$1&amp;"C"&amp;$A51)+$A$4*$A$4*RTD("tos.rtd",,"VOLUME","."&amp;F$2&amp;F$1&amp;"P"&amp;$A51)*RTD("tos.rtd",,"GAMMA","."&amp;F$2&amp;F$1&amp;"P"&amp;$A51))/1000000,($A$4*$A$4*RTD("tos.rtd",,"VOLUME","."&amp;F$2&amp;F$1&amp;"C"&amp;$A51)*RTD("tos.rtd",,"GAMMA","."&amp;F$2&amp;F$1&amp;"C"&amp;$A51)-$A$4*$A$4*RTD("tos.rtd",,"VOLUME","."&amp;F$2&amp;F$1&amp;"P"&amp;$A51)*RTD("tos.rtd",,"GAMMA","."&amp;F$2&amp;F$1&amp;"P"&amp;$A51))/1000000),0),IF($A$2="GEX",IFERROR(IF($X$1="ABS",($A$4*$A$4*RTD("tos.rtd",,"OPEN_INT","."&amp;F$2&amp;F$1&amp;"C"&amp;$A51)*RTD("tos.rtd",,"GAMMA","."&amp;F$2&amp;F$1&amp;"C"&amp;$A51)+$A$4*$A$4*RTD("tos.rtd",,"OPEN_INT","."&amp;F$2&amp;F$1&amp;"P"&amp;$A51)*RTD("tos.rtd",,"GAMMA","."&amp;F$2&amp;F$1&amp;"P"&amp;$A51))/1000000,($A$4*$A$4*RTD("tos.rtd",,"OPEN_INT","."&amp;F$2&amp;F$1&amp;"C"&amp;$A51)*RTD("tos.rtd",,"GAMMA","."&amp;F$2&amp;F$1&amp;"C"&amp;$A51)-$A$4*$A$4*RTD("tos.rtd",,"OPEN_INT","."&amp;F$2&amp;F$1&amp;"P"&amp;$A51)*RTD("tos.rtd",,"GAMMA","."&amp;F$2&amp;F$1&amp;"P"&amp;$A51))/1000000),0),IF($A$2="SKEW",IFERROR(VALUE(IF(RTD("tos.rtd",,"IMPL_VOL","."&amp;F$2&amp;F$1&amp;"P"&amp;$A51)="N/A",0,RTD("tos.rtd",,"IMPL_VOL","."&amp;F$2&amp;F$1&amp;"P"&amp;$A51))),0)-IFERROR(VALUE(IF(RTD("tos.rtd",,"IMPL_VOL","."&amp;F$2&amp;F$1&amp;"C"&amp;$A51)="N/A",0,RTD("tos.rtd",,"IMPL_VOL","."&amp;F$2&amp;F$1&amp;"C"&amp;$A51))),0),IF($A$2="MAXPAIN",IF($A$4&gt;$A51,($A$4-$A51)*IF(RTD("tos.rtd",,"OPEN_INT","."&amp;F$2&amp;F$1&amp;"C"&amp;$A51)="N/A",0,RTD("tos.rtd",,"OPEN_INT","."&amp;F$2&amp;F$1&amp;"C"&amp;$A51)),0)+IF($A$4&lt;$A51,($A$5-$A$4)*IF(RTD("tos.rtd",,"OPEN_INT","."&amp;F$2&amp;F$1&amp;"P"&amp;$A51)="N/A",0,RTD("tos.rtd",,"OPEN_INT","."&amp;F$2&amp;F$1&amp;"P"&amp;$A51)),0),IF($X$1="ABS",IF(RTD("tos.rtd",,$A$2,"."&amp;F$2&amp;F$1&amp;"C"&amp;$A51)="N/A",0,RTD("tos.rtd",,$A$2,"."&amp;F$2&amp;F$1&amp;"C"&amp;$A51))+IF(RTD("tos.rtd",,$A$2,"."&amp;F$2&amp;F$1&amp;"P"&amp;$A51)="N/A",0,RTD("tos.rtd",,$A$2,"."&amp;F$2&amp;F$1&amp;"P"&amp;$A51)),IF(RTD("tos.rtd",,$A$2,"."&amp;F$2&amp;F$1&amp;"C"&amp;$A51)="N/A",0,RTD("tos.rtd",,$A$2,"."&amp;F$2&amp;F$1&amp;"C"&amp;$A51))-IF(RTD("tos.rtd",,$A$2,"."&amp;F$2&amp;F$1&amp;"P"&amp;$A51)="N/A",0,RTD("tos.rtd",,$A$2,"."&amp;F$2&amp;F$1&amp;"P"&amp;$A51))))))))))</f>
        <v>0</v>
      </c>
      <c r="G51" s="58">
        <f ca="1">IF($A$2="PREMIUM_OI",IFERROR(IF($X$1="ABS",(100*RTD("tos.rtd",,"OPEN_INT","."&amp;G$2&amp;G$1&amp;"C"&amp;$A51)*RTD("tos.rtd",,"LAST","."&amp;G$2&amp;G$1&amp;"C"&amp;$A51)+100*RTD("tos.rtd",,"OPEN_INT","."&amp;G$2&amp;G$1&amp;"P"&amp;$A51)*RTD("tos.rtd",,"LAST","."&amp;G$2&amp;G$1&amp;"P"&amp;$A51))/1000000,(100*RTD("tos.rtd",,"OPEN_INT","."&amp;G$2&amp;G$1&amp;"C"&amp;$A51)*RTD("tos.rtd",,"LAST","."&amp;G$2&amp;G$1&amp;"C"&amp;$A51)-100*RTD("tos.rtd",,"OPEN_INT","."&amp;G$2&amp;G$1&amp;"P"&amp;$A51)*RTD("tos.rtd",,"LAST","."&amp;G$2&amp;G$1&amp;"P"&amp;$A51))/1000000),0),IF($A$2="PREMIUM",IFERROR(IF($X$1="ABS",(100*RTD("tos.rtd",,"VOLUME","."&amp;G$2&amp;G$1&amp;"C"&amp;$A51)*RTD("tos.rtd",,"LAST","."&amp;G$2&amp;G$1&amp;"C"&amp;$A51)+100*RTD("tos.rtd",,"VOLUME","."&amp;G$2&amp;G$1&amp;"P"&amp;$A51)*RTD("tos.rtd",,"LAST","."&amp;G$2&amp;G$1&amp;"P"&amp;$A51))/1000000,(100*RTD("tos.rtd",,"VOLUME","."&amp;G$2&amp;G$1&amp;"C"&amp;$A51)*RTD("tos.rtd",,"LAST","."&amp;G$2&amp;G$1&amp;"C"&amp;$A51)-100*RTD("tos.rtd",,"VOLUME","."&amp;G$2&amp;G$1&amp;"P"&amp;$A51)*RTD("tos.rtd",,"LAST","."&amp;G$2&amp;G$1&amp;"P"&amp;$A51))/1000000),0),IF($A$2="DEX",IFERROR(IF($X$1="ABS",(100*RTD("tos.rtd",,"OPEN_INT","."&amp;G$2&amp;G$1&amp;"C"&amp;$A51)*RTD("tos.rtd",,"DELTA","."&amp;G$2&amp;G$1&amp;"C"&amp;$A51)+100*RTD("tos.rtd",,"OPEN_INT","."&amp;G$2&amp;G$1&amp;"P"&amp;$A51)*RTD("tos.rtd",,"DELTA","."&amp;G$2&amp;G$1&amp;"P"&amp;$A51))/1000,(100*RTD("tos.rtd",,"OPEN_INT","."&amp;G$2&amp;G$1&amp;"C"&amp;$A51)*RTD("tos.rtd",,"DELTA","."&amp;G$2&amp;G$1&amp;"C"&amp;$A51)-100*RTD("tos.rtd",,"OPEN_INT","."&amp;G$2&amp;G$1&amp;"P"&amp;$A51)*RTD("tos.rtd",,"DELTA","."&amp;G$2&amp;G$1&amp;"P"&amp;$A51))/1000),0),IF($A$2="VEX",IFERROR(IF($X$1="ABS",($A$4*$A$4*RTD("tos.rtd",,"VOLUME","."&amp;G$2&amp;G$1&amp;"C"&amp;$A51)*RTD("tos.rtd",,"GAMMA","."&amp;G$2&amp;G$1&amp;"C"&amp;$A51)+$A$4*$A$4*RTD("tos.rtd",,"VOLUME","."&amp;G$2&amp;G$1&amp;"P"&amp;$A51)*RTD("tos.rtd",,"GAMMA","."&amp;G$2&amp;G$1&amp;"P"&amp;$A51))/1000000,($A$4*$A$4*RTD("tos.rtd",,"VOLUME","."&amp;G$2&amp;G$1&amp;"C"&amp;$A51)*RTD("tos.rtd",,"GAMMA","."&amp;G$2&amp;G$1&amp;"C"&amp;$A51)-$A$4*$A$4*RTD("tos.rtd",,"VOLUME","."&amp;G$2&amp;G$1&amp;"P"&amp;$A51)*RTD("tos.rtd",,"GAMMA","."&amp;G$2&amp;G$1&amp;"P"&amp;$A51))/1000000),0),IF($A$2="GEX",IFERROR(IF($X$1="ABS",($A$4*$A$4*RTD("tos.rtd",,"OPEN_INT","."&amp;G$2&amp;G$1&amp;"C"&amp;$A51)*RTD("tos.rtd",,"GAMMA","."&amp;G$2&amp;G$1&amp;"C"&amp;$A51)+$A$4*$A$4*RTD("tos.rtd",,"OPEN_INT","."&amp;G$2&amp;G$1&amp;"P"&amp;$A51)*RTD("tos.rtd",,"GAMMA","."&amp;G$2&amp;G$1&amp;"P"&amp;$A51))/1000000,($A$4*$A$4*RTD("tos.rtd",,"OPEN_INT","."&amp;G$2&amp;G$1&amp;"C"&amp;$A51)*RTD("tos.rtd",,"GAMMA","."&amp;G$2&amp;G$1&amp;"C"&amp;$A51)-$A$4*$A$4*RTD("tos.rtd",,"OPEN_INT","."&amp;G$2&amp;G$1&amp;"P"&amp;$A51)*RTD("tos.rtd",,"GAMMA","."&amp;G$2&amp;G$1&amp;"P"&amp;$A51))/1000000),0),IF($A$2="SKEW",IFERROR(VALUE(IF(RTD("tos.rtd",,"IMPL_VOL","."&amp;G$2&amp;G$1&amp;"P"&amp;$A51)="N/A",0,RTD("tos.rtd",,"IMPL_VOL","."&amp;G$2&amp;G$1&amp;"P"&amp;$A51))),0)-IFERROR(VALUE(IF(RTD("tos.rtd",,"IMPL_VOL","."&amp;G$2&amp;G$1&amp;"C"&amp;$A51)="N/A",0,RTD("tos.rtd",,"IMPL_VOL","."&amp;G$2&amp;G$1&amp;"C"&amp;$A51))),0),IF($A$2="MAXPAIN",IF($A$4&gt;$A51,($A$4-$A51)*IF(RTD("tos.rtd",,"OPEN_INT","."&amp;G$2&amp;G$1&amp;"C"&amp;$A51)="N/A",0,RTD("tos.rtd",,"OPEN_INT","."&amp;G$2&amp;G$1&amp;"C"&amp;$A51)),0)+IF($A$4&lt;$A51,($A$5-$A$4)*IF(RTD("tos.rtd",,"OPEN_INT","."&amp;G$2&amp;G$1&amp;"P"&amp;$A51)="N/A",0,RTD("tos.rtd",,"OPEN_INT","."&amp;G$2&amp;G$1&amp;"P"&amp;$A51)),0),IF($X$1="ABS",IF(RTD("tos.rtd",,$A$2,"."&amp;G$2&amp;G$1&amp;"C"&amp;$A51)="N/A",0,RTD("tos.rtd",,$A$2,"."&amp;G$2&amp;G$1&amp;"C"&amp;$A51))+IF(RTD("tos.rtd",,$A$2,"."&amp;G$2&amp;G$1&amp;"P"&amp;$A51)="N/A",0,RTD("tos.rtd",,$A$2,"."&amp;G$2&amp;G$1&amp;"P"&amp;$A51)),IF(RTD("tos.rtd",,$A$2,"."&amp;G$2&amp;G$1&amp;"C"&amp;$A51)="N/A",0,RTD("tos.rtd",,$A$2,"."&amp;G$2&amp;G$1&amp;"C"&amp;$A51))-IF(RTD("tos.rtd",,$A$2,"."&amp;G$2&amp;G$1&amp;"P"&amp;$A51)="N/A",0,RTD("tos.rtd",,$A$2,"."&amp;G$2&amp;G$1&amp;"P"&amp;$A51))))))))))</f>
        <v>0</v>
      </c>
      <c r="H51" s="15">
        <f ca="1">IF($A$2="PREMIUM_OI",IFERROR(IF($X$1="ABS",(100*RTD("tos.rtd",,"OPEN_INT","."&amp;H$2&amp;H$1&amp;"C"&amp;$A51)*RTD("tos.rtd",,"LAST","."&amp;H$2&amp;H$1&amp;"C"&amp;$A51)+100*RTD("tos.rtd",,"OPEN_INT","."&amp;H$2&amp;H$1&amp;"P"&amp;$A51)*RTD("tos.rtd",,"LAST","."&amp;H$2&amp;H$1&amp;"P"&amp;$A51))/1000000,(100*RTD("tos.rtd",,"OPEN_INT","."&amp;H$2&amp;H$1&amp;"C"&amp;$A51)*RTD("tos.rtd",,"LAST","."&amp;H$2&amp;H$1&amp;"C"&amp;$A51)-100*RTD("tos.rtd",,"OPEN_INT","."&amp;H$2&amp;H$1&amp;"P"&amp;$A51)*RTD("tos.rtd",,"LAST","."&amp;H$2&amp;H$1&amp;"P"&amp;$A51))/1000000),0),IF($A$2="PREMIUM",IFERROR(IF($X$1="ABS",(100*RTD("tos.rtd",,"VOLUME","."&amp;H$2&amp;H$1&amp;"C"&amp;$A51)*RTD("tos.rtd",,"LAST","."&amp;H$2&amp;H$1&amp;"C"&amp;$A51)+100*RTD("tos.rtd",,"VOLUME","."&amp;H$2&amp;H$1&amp;"P"&amp;$A51)*RTD("tos.rtd",,"LAST","."&amp;H$2&amp;H$1&amp;"P"&amp;$A51))/1000000,(100*RTD("tos.rtd",,"VOLUME","."&amp;H$2&amp;H$1&amp;"C"&amp;$A51)*RTD("tos.rtd",,"LAST","."&amp;H$2&amp;H$1&amp;"C"&amp;$A51)-100*RTD("tos.rtd",,"VOLUME","."&amp;H$2&amp;H$1&amp;"P"&amp;$A51)*RTD("tos.rtd",,"LAST","."&amp;H$2&amp;H$1&amp;"P"&amp;$A51))/1000000),0),IF($A$2="DEX",IFERROR(IF($X$1="ABS",(100*RTD("tos.rtd",,"OPEN_INT","."&amp;H$2&amp;H$1&amp;"C"&amp;$A51)*RTD("tos.rtd",,"DELTA","."&amp;H$2&amp;H$1&amp;"C"&amp;$A51)+100*RTD("tos.rtd",,"OPEN_INT","."&amp;H$2&amp;H$1&amp;"P"&amp;$A51)*RTD("tos.rtd",,"DELTA","."&amp;H$2&amp;H$1&amp;"P"&amp;$A51))/1000,(100*RTD("tos.rtd",,"OPEN_INT","."&amp;H$2&amp;H$1&amp;"C"&amp;$A51)*RTD("tos.rtd",,"DELTA","."&amp;H$2&amp;H$1&amp;"C"&amp;$A51)-100*RTD("tos.rtd",,"OPEN_INT","."&amp;H$2&amp;H$1&amp;"P"&amp;$A51)*RTD("tos.rtd",,"DELTA","."&amp;H$2&amp;H$1&amp;"P"&amp;$A51))/1000),0),IF($A$2="VEX",IFERROR(IF($X$1="ABS",($A$4*$A$4*RTD("tos.rtd",,"VOLUME","."&amp;H$2&amp;H$1&amp;"C"&amp;$A51)*RTD("tos.rtd",,"GAMMA","."&amp;H$2&amp;H$1&amp;"C"&amp;$A51)+$A$4*$A$4*RTD("tos.rtd",,"VOLUME","."&amp;H$2&amp;H$1&amp;"P"&amp;$A51)*RTD("tos.rtd",,"GAMMA","."&amp;H$2&amp;H$1&amp;"P"&amp;$A51))/1000000,($A$4*$A$4*RTD("tos.rtd",,"VOLUME","."&amp;H$2&amp;H$1&amp;"C"&amp;$A51)*RTD("tos.rtd",,"GAMMA","."&amp;H$2&amp;H$1&amp;"C"&amp;$A51)-$A$4*$A$4*RTD("tos.rtd",,"VOLUME","."&amp;H$2&amp;H$1&amp;"P"&amp;$A51)*RTD("tos.rtd",,"GAMMA","."&amp;H$2&amp;H$1&amp;"P"&amp;$A51))/1000000),0),IF($A$2="GEX",IFERROR(IF($X$1="ABS",($A$4*$A$4*RTD("tos.rtd",,"OPEN_INT","."&amp;H$2&amp;H$1&amp;"C"&amp;$A51)*RTD("tos.rtd",,"GAMMA","."&amp;H$2&amp;H$1&amp;"C"&amp;$A51)+$A$4*$A$4*RTD("tos.rtd",,"OPEN_INT","."&amp;H$2&amp;H$1&amp;"P"&amp;$A51)*RTD("tos.rtd",,"GAMMA","."&amp;H$2&amp;H$1&amp;"P"&amp;$A51))/1000000,($A$4*$A$4*RTD("tos.rtd",,"OPEN_INT","."&amp;H$2&amp;H$1&amp;"C"&amp;$A51)*RTD("tos.rtd",,"GAMMA","."&amp;H$2&amp;H$1&amp;"C"&amp;$A51)-$A$4*$A$4*RTD("tos.rtd",,"OPEN_INT","."&amp;H$2&amp;H$1&amp;"P"&amp;$A51)*RTD("tos.rtd",,"GAMMA","."&amp;H$2&amp;H$1&amp;"P"&amp;$A51))/1000000),0),IF($A$2="SKEW",IFERROR(VALUE(IF(RTD("tos.rtd",,"IMPL_VOL","."&amp;H$2&amp;H$1&amp;"P"&amp;$A51)="N/A",0,RTD("tos.rtd",,"IMPL_VOL","."&amp;H$2&amp;H$1&amp;"P"&amp;$A51))),0)-IFERROR(VALUE(IF(RTD("tos.rtd",,"IMPL_VOL","."&amp;H$2&amp;H$1&amp;"C"&amp;$A51)="N/A",0,RTD("tos.rtd",,"IMPL_VOL","."&amp;H$2&amp;H$1&amp;"C"&amp;$A51))),0),IF($A$2="MAXPAIN",IF($A$4&gt;$A51,($A$4-$A51)*IF(RTD("tos.rtd",,"OPEN_INT","."&amp;H$2&amp;H$1&amp;"C"&amp;$A51)="N/A",0,RTD("tos.rtd",,"OPEN_INT","."&amp;H$2&amp;H$1&amp;"C"&amp;$A51)),0)+IF($A$4&lt;$A51,($A$5-$A$4)*IF(RTD("tos.rtd",,"OPEN_INT","."&amp;H$2&amp;H$1&amp;"P"&amp;$A51)="N/A",0,RTD("tos.rtd",,"OPEN_INT","."&amp;H$2&amp;H$1&amp;"P"&amp;$A51)),0),IF($X$1="ABS",IF(RTD("tos.rtd",,$A$2,"."&amp;H$2&amp;H$1&amp;"C"&amp;$A51)="N/A",0,RTD("tos.rtd",,$A$2,"."&amp;H$2&amp;H$1&amp;"C"&amp;$A51))+IF(RTD("tos.rtd",,$A$2,"."&amp;H$2&amp;H$1&amp;"P"&amp;$A51)="N/A",0,RTD("tos.rtd",,$A$2,"."&amp;H$2&amp;H$1&amp;"P"&amp;$A51)),IF(RTD("tos.rtd",,$A$2,"."&amp;H$2&amp;H$1&amp;"C"&amp;$A51)="N/A",0,RTD("tos.rtd",,$A$2,"."&amp;H$2&amp;H$1&amp;"C"&amp;$A51))-IF(RTD("tos.rtd",,$A$2,"."&amp;H$2&amp;H$1&amp;"P"&amp;$A51)="N/A",0,RTD("tos.rtd",,$A$2,"."&amp;H$2&amp;H$1&amp;"P"&amp;$A51))))))))))</f>
        <v>0</v>
      </c>
      <c r="I51" s="16">
        <f ca="1">IF($A$2="PREMIUM_OI",IFERROR(IF($X$1="ABS",(100*RTD("tos.rtd",,"OPEN_INT","."&amp;I$2&amp;I$1&amp;"C"&amp;$A51)*RTD("tos.rtd",,"LAST","."&amp;I$2&amp;I$1&amp;"C"&amp;$A51)+100*RTD("tos.rtd",,"OPEN_INT","."&amp;I$2&amp;I$1&amp;"P"&amp;$A51)*RTD("tos.rtd",,"LAST","."&amp;I$2&amp;I$1&amp;"P"&amp;$A51))/1000000,(100*RTD("tos.rtd",,"OPEN_INT","."&amp;I$2&amp;I$1&amp;"C"&amp;$A51)*RTD("tos.rtd",,"LAST","."&amp;I$2&amp;I$1&amp;"C"&amp;$A51)-100*RTD("tos.rtd",,"OPEN_INT","."&amp;I$2&amp;I$1&amp;"P"&amp;$A51)*RTD("tos.rtd",,"LAST","."&amp;I$2&amp;I$1&amp;"P"&amp;$A51))/1000000),0),IF($A$2="PREMIUM",IFERROR(IF($X$1="ABS",(100*RTD("tos.rtd",,"VOLUME","."&amp;I$2&amp;I$1&amp;"C"&amp;$A51)*RTD("tos.rtd",,"LAST","."&amp;I$2&amp;I$1&amp;"C"&amp;$A51)+100*RTD("tos.rtd",,"VOLUME","."&amp;I$2&amp;I$1&amp;"P"&amp;$A51)*RTD("tos.rtd",,"LAST","."&amp;I$2&amp;I$1&amp;"P"&amp;$A51))/1000000,(100*RTD("tos.rtd",,"VOLUME","."&amp;I$2&amp;I$1&amp;"C"&amp;$A51)*RTD("tos.rtd",,"LAST","."&amp;I$2&amp;I$1&amp;"C"&amp;$A51)-100*RTD("tos.rtd",,"VOLUME","."&amp;I$2&amp;I$1&amp;"P"&amp;$A51)*RTD("tos.rtd",,"LAST","."&amp;I$2&amp;I$1&amp;"P"&amp;$A51))/1000000),0),IF($A$2="DEX",IFERROR(IF($X$1="ABS",(100*RTD("tos.rtd",,"OPEN_INT","."&amp;I$2&amp;I$1&amp;"C"&amp;$A51)*RTD("tos.rtd",,"DELTA","."&amp;I$2&amp;I$1&amp;"C"&amp;$A51)+100*RTD("tos.rtd",,"OPEN_INT","."&amp;I$2&amp;I$1&amp;"P"&amp;$A51)*RTD("tos.rtd",,"DELTA","."&amp;I$2&amp;I$1&amp;"P"&amp;$A51))/1000,(100*RTD("tos.rtd",,"OPEN_INT","."&amp;I$2&amp;I$1&amp;"C"&amp;$A51)*RTD("tos.rtd",,"DELTA","."&amp;I$2&amp;I$1&amp;"C"&amp;$A51)-100*RTD("tos.rtd",,"OPEN_INT","."&amp;I$2&amp;I$1&amp;"P"&amp;$A51)*RTD("tos.rtd",,"DELTA","."&amp;I$2&amp;I$1&amp;"P"&amp;$A51))/1000),0),IF($A$2="VEX",IFERROR(IF($X$1="ABS",($A$4*$A$4*RTD("tos.rtd",,"VOLUME","."&amp;I$2&amp;I$1&amp;"C"&amp;$A51)*RTD("tos.rtd",,"GAMMA","."&amp;I$2&amp;I$1&amp;"C"&amp;$A51)+$A$4*$A$4*RTD("tos.rtd",,"VOLUME","."&amp;I$2&amp;I$1&amp;"P"&amp;$A51)*RTD("tos.rtd",,"GAMMA","."&amp;I$2&amp;I$1&amp;"P"&amp;$A51))/1000000,($A$4*$A$4*RTD("tos.rtd",,"VOLUME","."&amp;I$2&amp;I$1&amp;"C"&amp;$A51)*RTD("tos.rtd",,"GAMMA","."&amp;I$2&amp;I$1&amp;"C"&amp;$A51)-$A$4*$A$4*RTD("tos.rtd",,"VOLUME","."&amp;I$2&amp;I$1&amp;"P"&amp;$A51)*RTD("tos.rtd",,"GAMMA","."&amp;I$2&amp;I$1&amp;"P"&amp;$A51))/1000000),0),IF($A$2="GEX",IFERROR(IF($X$1="ABS",($A$4*$A$4*RTD("tos.rtd",,"OPEN_INT","."&amp;I$2&amp;I$1&amp;"C"&amp;$A51)*RTD("tos.rtd",,"GAMMA","."&amp;I$2&amp;I$1&amp;"C"&amp;$A51)+$A$4*$A$4*RTD("tos.rtd",,"OPEN_INT","."&amp;I$2&amp;I$1&amp;"P"&amp;$A51)*RTD("tos.rtd",,"GAMMA","."&amp;I$2&amp;I$1&amp;"P"&amp;$A51))/1000000,($A$4*$A$4*RTD("tos.rtd",,"OPEN_INT","."&amp;I$2&amp;I$1&amp;"C"&amp;$A51)*RTD("tos.rtd",,"GAMMA","."&amp;I$2&amp;I$1&amp;"C"&amp;$A51)-$A$4*$A$4*RTD("tos.rtd",,"OPEN_INT","."&amp;I$2&amp;I$1&amp;"P"&amp;$A51)*RTD("tos.rtd",,"GAMMA","."&amp;I$2&amp;I$1&amp;"P"&amp;$A51))/1000000),0),IF($A$2="SKEW",IFERROR(VALUE(IF(RTD("tos.rtd",,"IMPL_VOL","."&amp;I$2&amp;I$1&amp;"P"&amp;$A51)="N/A",0,RTD("tos.rtd",,"IMPL_VOL","."&amp;I$2&amp;I$1&amp;"P"&amp;$A51))),0)-IFERROR(VALUE(IF(RTD("tos.rtd",,"IMPL_VOL","."&amp;I$2&amp;I$1&amp;"C"&amp;$A51)="N/A",0,RTD("tos.rtd",,"IMPL_VOL","."&amp;I$2&amp;I$1&amp;"C"&amp;$A51))),0),IF($A$2="MAXPAIN",IF($A$4&gt;$A51,($A$4-$A51)*IF(RTD("tos.rtd",,"OPEN_INT","."&amp;I$2&amp;I$1&amp;"C"&amp;$A51)="N/A",0,RTD("tos.rtd",,"OPEN_INT","."&amp;I$2&amp;I$1&amp;"C"&amp;$A51)),0)+IF($A$4&lt;$A51,($A$5-$A$4)*IF(RTD("tos.rtd",,"OPEN_INT","."&amp;I$2&amp;I$1&amp;"P"&amp;$A51)="N/A",0,RTD("tos.rtd",,"OPEN_INT","."&amp;I$2&amp;I$1&amp;"P"&amp;$A51)),0),IF($X$1="ABS",IF(RTD("tos.rtd",,$A$2,"."&amp;I$2&amp;I$1&amp;"C"&amp;$A51)="N/A",0,RTD("tos.rtd",,$A$2,"."&amp;I$2&amp;I$1&amp;"C"&amp;$A51))+IF(RTD("tos.rtd",,$A$2,"."&amp;I$2&amp;I$1&amp;"P"&amp;$A51)="N/A",0,RTD("tos.rtd",,$A$2,"."&amp;I$2&amp;I$1&amp;"P"&amp;$A51)),IF(RTD("tos.rtd",,$A$2,"."&amp;I$2&amp;I$1&amp;"C"&amp;$A51)="N/A",0,RTD("tos.rtd",,$A$2,"."&amp;I$2&amp;I$1&amp;"C"&amp;$A51))-IF(RTD("tos.rtd",,$A$2,"."&amp;I$2&amp;I$1&amp;"P"&amp;$A51)="N/A",0,RTD("tos.rtd",,$A$2,"."&amp;I$2&amp;I$1&amp;"P"&amp;$A51))))))))))</f>
        <v>0</v>
      </c>
      <c r="J51" s="16">
        <f ca="1">IF($A$2="PREMIUM_OI",IFERROR(IF($X$1="ABS",(100*RTD("tos.rtd",,"OPEN_INT","."&amp;J$2&amp;J$1&amp;"C"&amp;$A51)*RTD("tos.rtd",,"LAST","."&amp;J$2&amp;J$1&amp;"C"&amp;$A51)+100*RTD("tos.rtd",,"OPEN_INT","."&amp;J$2&amp;J$1&amp;"P"&amp;$A51)*RTD("tos.rtd",,"LAST","."&amp;J$2&amp;J$1&amp;"P"&amp;$A51))/1000000,(100*RTD("tos.rtd",,"OPEN_INT","."&amp;J$2&amp;J$1&amp;"C"&amp;$A51)*RTD("tos.rtd",,"LAST","."&amp;J$2&amp;J$1&amp;"C"&amp;$A51)-100*RTD("tos.rtd",,"OPEN_INT","."&amp;J$2&amp;J$1&amp;"P"&amp;$A51)*RTD("tos.rtd",,"LAST","."&amp;J$2&amp;J$1&amp;"P"&amp;$A51))/1000000),0),IF($A$2="PREMIUM",IFERROR(IF($X$1="ABS",(100*RTD("tos.rtd",,"VOLUME","."&amp;J$2&amp;J$1&amp;"C"&amp;$A51)*RTD("tos.rtd",,"LAST","."&amp;J$2&amp;J$1&amp;"C"&amp;$A51)+100*RTD("tos.rtd",,"VOLUME","."&amp;J$2&amp;J$1&amp;"P"&amp;$A51)*RTD("tos.rtd",,"LAST","."&amp;J$2&amp;J$1&amp;"P"&amp;$A51))/1000000,(100*RTD("tos.rtd",,"VOLUME","."&amp;J$2&amp;J$1&amp;"C"&amp;$A51)*RTD("tos.rtd",,"LAST","."&amp;J$2&amp;J$1&amp;"C"&amp;$A51)-100*RTD("tos.rtd",,"VOLUME","."&amp;J$2&amp;J$1&amp;"P"&amp;$A51)*RTD("tos.rtd",,"LAST","."&amp;J$2&amp;J$1&amp;"P"&amp;$A51))/1000000),0),IF($A$2="DEX",IFERROR(IF($X$1="ABS",(100*RTD("tos.rtd",,"OPEN_INT","."&amp;J$2&amp;J$1&amp;"C"&amp;$A51)*RTD("tos.rtd",,"DELTA","."&amp;J$2&amp;J$1&amp;"C"&amp;$A51)+100*RTD("tos.rtd",,"OPEN_INT","."&amp;J$2&amp;J$1&amp;"P"&amp;$A51)*RTD("tos.rtd",,"DELTA","."&amp;J$2&amp;J$1&amp;"P"&amp;$A51))/1000,(100*RTD("tos.rtd",,"OPEN_INT","."&amp;J$2&amp;J$1&amp;"C"&amp;$A51)*RTD("tos.rtd",,"DELTA","."&amp;J$2&amp;J$1&amp;"C"&amp;$A51)-100*RTD("tos.rtd",,"OPEN_INT","."&amp;J$2&amp;J$1&amp;"P"&amp;$A51)*RTD("tos.rtd",,"DELTA","."&amp;J$2&amp;J$1&amp;"P"&amp;$A51))/1000),0),IF($A$2="VEX",IFERROR(IF($X$1="ABS",($A$4*$A$4*RTD("tos.rtd",,"VOLUME","."&amp;J$2&amp;J$1&amp;"C"&amp;$A51)*RTD("tos.rtd",,"GAMMA","."&amp;J$2&amp;J$1&amp;"C"&amp;$A51)+$A$4*$A$4*RTD("tos.rtd",,"VOLUME","."&amp;J$2&amp;J$1&amp;"P"&amp;$A51)*RTD("tos.rtd",,"GAMMA","."&amp;J$2&amp;J$1&amp;"P"&amp;$A51))/1000000,($A$4*$A$4*RTD("tos.rtd",,"VOLUME","."&amp;J$2&amp;J$1&amp;"C"&amp;$A51)*RTD("tos.rtd",,"GAMMA","."&amp;J$2&amp;J$1&amp;"C"&amp;$A51)-$A$4*$A$4*RTD("tos.rtd",,"VOLUME","."&amp;J$2&amp;J$1&amp;"P"&amp;$A51)*RTD("tos.rtd",,"GAMMA","."&amp;J$2&amp;J$1&amp;"P"&amp;$A51))/1000000),0),IF($A$2="GEX",IFERROR(IF($X$1="ABS",($A$4*$A$4*RTD("tos.rtd",,"OPEN_INT","."&amp;J$2&amp;J$1&amp;"C"&amp;$A51)*RTD("tos.rtd",,"GAMMA","."&amp;J$2&amp;J$1&amp;"C"&amp;$A51)+$A$4*$A$4*RTD("tos.rtd",,"OPEN_INT","."&amp;J$2&amp;J$1&amp;"P"&amp;$A51)*RTD("tos.rtd",,"GAMMA","."&amp;J$2&amp;J$1&amp;"P"&amp;$A51))/1000000,($A$4*$A$4*RTD("tos.rtd",,"OPEN_INT","."&amp;J$2&amp;J$1&amp;"C"&amp;$A51)*RTD("tos.rtd",,"GAMMA","."&amp;J$2&amp;J$1&amp;"C"&amp;$A51)-$A$4*$A$4*RTD("tos.rtd",,"OPEN_INT","."&amp;J$2&amp;J$1&amp;"P"&amp;$A51)*RTD("tos.rtd",,"GAMMA","."&amp;J$2&amp;J$1&amp;"P"&amp;$A51))/1000000),0),IF($A$2="SKEW",IFERROR(VALUE(IF(RTD("tos.rtd",,"IMPL_VOL","."&amp;J$2&amp;J$1&amp;"P"&amp;$A51)="N/A",0,RTD("tos.rtd",,"IMPL_VOL","."&amp;J$2&amp;J$1&amp;"P"&amp;$A51))),0)-IFERROR(VALUE(IF(RTD("tos.rtd",,"IMPL_VOL","."&amp;J$2&amp;J$1&amp;"C"&amp;$A51)="N/A",0,RTD("tos.rtd",,"IMPL_VOL","."&amp;J$2&amp;J$1&amp;"C"&amp;$A51))),0),IF($A$2="MAXPAIN",IF($A$4&gt;$A51,($A$4-$A51)*IF(RTD("tos.rtd",,"OPEN_INT","."&amp;J$2&amp;J$1&amp;"C"&amp;$A51)="N/A",0,RTD("tos.rtd",,"OPEN_INT","."&amp;J$2&amp;J$1&amp;"C"&amp;$A51)),0)+IF($A$4&lt;$A51,($A$5-$A$4)*IF(RTD("tos.rtd",,"OPEN_INT","."&amp;J$2&amp;J$1&amp;"P"&amp;$A51)="N/A",0,RTD("tos.rtd",,"OPEN_INT","."&amp;J$2&amp;J$1&amp;"P"&amp;$A51)),0),IF($X$1="ABS",IF(RTD("tos.rtd",,$A$2,"."&amp;J$2&amp;J$1&amp;"C"&amp;$A51)="N/A",0,RTD("tos.rtd",,$A$2,"."&amp;J$2&amp;J$1&amp;"C"&amp;$A51))+IF(RTD("tos.rtd",,$A$2,"."&amp;J$2&amp;J$1&amp;"P"&amp;$A51)="N/A",0,RTD("tos.rtd",,$A$2,"."&amp;J$2&amp;J$1&amp;"P"&amp;$A51)),IF(RTD("tos.rtd",,$A$2,"."&amp;J$2&amp;J$1&amp;"C"&amp;$A51)="N/A",0,RTD("tos.rtd",,$A$2,"."&amp;J$2&amp;J$1&amp;"C"&amp;$A51))-IF(RTD("tos.rtd",,$A$2,"."&amp;J$2&amp;J$1&amp;"P"&amp;$A51)="N/A",0,RTD("tos.rtd",,$A$2,"."&amp;J$2&amp;J$1&amp;"P"&amp;$A51))))))))))</f>
        <v>0</v>
      </c>
      <c r="K51" s="16">
        <f ca="1">IF($A$2="PREMIUM_OI",IFERROR(IF($X$1="ABS",(100*RTD("tos.rtd",,"OPEN_INT","."&amp;K$2&amp;K$1&amp;"C"&amp;$A51)*RTD("tos.rtd",,"LAST","."&amp;K$2&amp;K$1&amp;"C"&amp;$A51)+100*RTD("tos.rtd",,"OPEN_INT","."&amp;K$2&amp;K$1&amp;"P"&amp;$A51)*RTD("tos.rtd",,"LAST","."&amp;K$2&amp;K$1&amp;"P"&amp;$A51))/1000000,(100*RTD("tos.rtd",,"OPEN_INT","."&amp;K$2&amp;K$1&amp;"C"&amp;$A51)*RTD("tos.rtd",,"LAST","."&amp;K$2&amp;K$1&amp;"C"&amp;$A51)-100*RTD("tos.rtd",,"OPEN_INT","."&amp;K$2&amp;K$1&amp;"P"&amp;$A51)*RTD("tos.rtd",,"LAST","."&amp;K$2&amp;K$1&amp;"P"&amp;$A51))/1000000),0),IF($A$2="PREMIUM",IFERROR(IF($X$1="ABS",(100*RTD("tos.rtd",,"VOLUME","."&amp;K$2&amp;K$1&amp;"C"&amp;$A51)*RTD("tos.rtd",,"LAST","."&amp;K$2&amp;K$1&amp;"C"&amp;$A51)+100*RTD("tos.rtd",,"VOLUME","."&amp;K$2&amp;K$1&amp;"P"&amp;$A51)*RTD("tos.rtd",,"LAST","."&amp;K$2&amp;K$1&amp;"P"&amp;$A51))/1000000,(100*RTD("tos.rtd",,"VOLUME","."&amp;K$2&amp;K$1&amp;"C"&amp;$A51)*RTD("tos.rtd",,"LAST","."&amp;K$2&amp;K$1&amp;"C"&amp;$A51)-100*RTD("tos.rtd",,"VOLUME","."&amp;K$2&amp;K$1&amp;"P"&amp;$A51)*RTD("tos.rtd",,"LAST","."&amp;K$2&amp;K$1&amp;"P"&amp;$A51))/1000000),0),IF($A$2="DEX",IFERROR(IF($X$1="ABS",(100*RTD("tos.rtd",,"OPEN_INT","."&amp;K$2&amp;K$1&amp;"C"&amp;$A51)*RTD("tos.rtd",,"DELTA","."&amp;K$2&amp;K$1&amp;"C"&amp;$A51)+100*RTD("tos.rtd",,"OPEN_INT","."&amp;K$2&amp;K$1&amp;"P"&amp;$A51)*RTD("tos.rtd",,"DELTA","."&amp;K$2&amp;K$1&amp;"P"&amp;$A51))/1000,(100*RTD("tos.rtd",,"OPEN_INT","."&amp;K$2&amp;K$1&amp;"C"&amp;$A51)*RTD("tos.rtd",,"DELTA","."&amp;K$2&amp;K$1&amp;"C"&amp;$A51)-100*RTD("tos.rtd",,"OPEN_INT","."&amp;K$2&amp;K$1&amp;"P"&amp;$A51)*RTD("tos.rtd",,"DELTA","."&amp;K$2&amp;K$1&amp;"P"&amp;$A51))/1000),0),IF($A$2="VEX",IFERROR(IF($X$1="ABS",($A$4*$A$4*RTD("tos.rtd",,"VOLUME","."&amp;K$2&amp;K$1&amp;"C"&amp;$A51)*RTD("tos.rtd",,"GAMMA","."&amp;K$2&amp;K$1&amp;"C"&amp;$A51)+$A$4*$A$4*RTD("tos.rtd",,"VOLUME","."&amp;K$2&amp;K$1&amp;"P"&amp;$A51)*RTD("tos.rtd",,"GAMMA","."&amp;K$2&amp;K$1&amp;"P"&amp;$A51))/1000000,($A$4*$A$4*RTD("tos.rtd",,"VOLUME","."&amp;K$2&amp;K$1&amp;"C"&amp;$A51)*RTD("tos.rtd",,"GAMMA","."&amp;K$2&amp;K$1&amp;"C"&amp;$A51)-$A$4*$A$4*RTD("tos.rtd",,"VOLUME","."&amp;K$2&amp;K$1&amp;"P"&amp;$A51)*RTD("tos.rtd",,"GAMMA","."&amp;K$2&amp;K$1&amp;"P"&amp;$A51))/1000000),0),IF($A$2="GEX",IFERROR(IF($X$1="ABS",($A$4*$A$4*RTD("tos.rtd",,"OPEN_INT","."&amp;K$2&amp;K$1&amp;"C"&amp;$A51)*RTD("tos.rtd",,"GAMMA","."&amp;K$2&amp;K$1&amp;"C"&amp;$A51)+$A$4*$A$4*RTD("tos.rtd",,"OPEN_INT","."&amp;K$2&amp;K$1&amp;"P"&amp;$A51)*RTD("tos.rtd",,"GAMMA","."&amp;K$2&amp;K$1&amp;"P"&amp;$A51))/1000000,($A$4*$A$4*RTD("tos.rtd",,"OPEN_INT","."&amp;K$2&amp;K$1&amp;"C"&amp;$A51)*RTD("tos.rtd",,"GAMMA","."&amp;K$2&amp;K$1&amp;"C"&amp;$A51)-$A$4*$A$4*RTD("tos.rtd",,"OPEN_INT","."&amp;K$2&amp;K$1&amp;"P"&amp;$A51)*RTD("tos.rtd",,"GAMMA","."&amp;K$2&amp;K$1&amp;"P"&amp;$A51))/1000000),0),IF($A$2="SKEW",IFERROR(VALUE(IF(RTD("tos.rtd",,"IMPL_VOL","."&amp;K$2&amp;K$1&amp;"P"&amp;$A51)="N/A",0,RTD("tos.rtd",,"IMPL_VOL","."&amp;K$2&amp;K$1&amp;"P"&amp;$A51))),0)-IFERROR(VALUE(IF(RTD("tos.rtd",,"IMPL_VOL","."&amp;K$2&amp;K$1&amp;"C"&amp;$A51)="N/A",0,RTD("tos.rtd",,"IMPL_VOL","."&amp;K$2&amp;K$1&amp;"C"&amp;$A51))),0),IF($A$2="MAXPAIN",IF($A$4&gt;$A51,($A$4-$A51)*IF(RTD("tos.rtd",,"OPEN_INT","."&amp;K$2&amp;K$1&amp;"C"&amp;$A51)="N/A",0,RTD("tos.rtd",,"OPEN_INT","."&amp;K$2&amp;K$1&amp;"C"&amp;$A51)),0)+IF($A$4&lt;$A51,($A$5-$A$4)*IF(RTD("tos.rtd",,"OPEN_INT","."&amp;K$2&amp;K$1&amp;"P"&amp;$A51)="N/A",0,RTD("tos.rtd",,"OPEN_INT","."&amp;K$2&amp;K$1&amp;"P"&amp;$A51)),0),IF($X$1="ABS",IF(RTD("tos.rtd",,$A$2,"."&amp;K$2&amp;K$1&amp;"C"&amp;$A51)="N/A",0,RTD("tos.rtd",,$A$2,"."&amp;K$2&amp;K$1&amp;"C"&amp;$A51))+IF(RTD("tos.rtd",,$A$2,"."&amp;K$2&amp;K$1&amp;"P"&amp;$A51)="N/A",0,RTD("tos.rtd",,$A$2,"."&amp;K$2&amp;K$1&amp;"P"&amp;$A51)),IF(RTD("tos.rtd",,$A$2,"."&amp;K$2&amp;K$1&amp;"C"&amp;$A51)="N/A",0,RTD("tos.rtd",,$A$2,"."&amp;K$2&amp;K$1&amp;"C"&amp;$A51))-IF(RTD("tos.rtd",,$A$2,"."&amp;K$2&amp;K$1&amp;"P"&amp;$A51)="N/A",0,RTD("tos.rtd",,$A$2,"."&amp;K$2&amp;K$1&amp;"P"&amp;$A51))))))))))</f>
        <v>0</v>
      </c>
      <c r="L51" s="55">
        <f ca="1">IF($A$2="PREMIUM_OI",IFERROR(IF($X$1="ABS",(100*RTD("tos.rtd",,"OPEN_INT","."&amp;L$2&amp;L$1&amp;"C"&amp;$A51)*RTD("tos.rtd",,"LAST","."&amp;L$2&amp;L$1&amp;"C"&amp;$A51)+100*RTD("tos.rtd",,"OPEN_INT","."&amp;L$2&amp;L$1&amp;"P"&amp;$A51)*RTD("tos.rtd",,"LAST","."&amp;L$2&amp;L$1&amp;"P"&amp;$A51))/1000000,(100*RTD("tos.rtd",,"OPEN_INT","."&amp;L$2&amp;L$1&amp;"C"&amp;$A51)*RTD("tos.rtd",,"LAST","."&amp;L$2&amp;L$1&amp;"C"&amp;$A51)-100*RTD("tos.rtd",,"OPEN_INT","."&amp;L$2&amp;L$1&amp;"P"&amp;$A51)*RTD("tos.rtd",,"LAST","."&amp;L$2&amp;L$1&amp;"P"&amp;$A51))/1000000),0),IF($A$2="PREMIUM",IFERROR(IF($X$1="ABS",(100*RTD("tos.rtd",,"VOLUME","."&amp;L$2&amp;L$1&amp;"C"&amp;$A51)*RTD("tos.rtd",,"LAST","."&amp;L$2&amp;L$1&amp;"C"&amp;$A51)+100*RTD("tos.rtd",,"VOLUME","."&amp;L$2&amp;L$1&amp;"P"&amp;$A51)*RTD("tos.rtd",,"LAST","."&amp;L$2&amp;L$1&amp;"P"&amp;$A51))/1000000,(100*RTD("tos.rtd",,"VOLUME","."&amp;L$2&amp;L$1&amp;"C"&amp;$A51)*RTD("tos.rtd",,"LAST","."&amp;L$2&amp;L$1&amp;"C"&amp;$A51)-100*RTD("tos.rtd",,"VOLUME","."&amp;L$2&amp;L$1&amp;"P"&amp;$A51)*RTD("tos.rtd",,"LAST","."&amp;L$2&amp;L$1&amp;"P"&amp;$A51))/1000000),0),IF($A$2="DEX",IFERROR(IF($X$1="ABS",(100*RTD("tos.rtd",,"OPEN_INT","."&amp;L$2&amp;L$1&amp;"C"&amp;$A51)*RTD("tos.rtd",,"DELTA","."&amp;L$2&amp;L$1&amp;"C"&amp;$A51)+100*RTD("tos.rtd",,"OPEN_INT","."&amp;L$2&amp;L$1&amp;"P"&amp;$A51)*RTD("tos.rtd",,"DELTA","."&amp;L$2&amp;L$1&amp;"P"&amp;$A51))/1000,(100*RTD("tos.rtd",,"OPEN_INT","."&amp;L$2&amp;L$1&amp;"C"&amp;$A51)*RTD("tos.rtd",,"DELTA","."&amp;L$2&amp;L$1&amp;"C"&amp;$A51)-100*RTD("tos.rtd",,"OPEN_INT","."&amp;L$2&amp;L$1&amp;"P"&amp;$A51)*RTD("tos.rtd",,"DELTA","."&amp;L$2&amp;L$1&amp;"P"&amp;$A51))/1000),0),IF($A$2="VEX",IFERROR(IF($X$1="ABS",($A$4*$A$4*RTD("tos.rtd",,"VOLUME","."&amp;L$2&amp;L$1&amp;"C"&amp;$A51)*RTD("tos.rtd",,"GAMMA","."&amp;L$2&amp;L$1&amp;"C"&amp;$A51)+$A$4*$A$4*RTD("tos.rtd",,"VOLUME","."&amp;L$2&amp;L$1&amp;"P"&amp;$A51)*RTD("tos.rtd",,"GAMMA","."&amp;L$2&amp;L$1&amp;"P"&amp;$A51))/1000000,($A$4*$A$4*RTD("tos.rtd",,"VOLUME","."&amp;L$2&amp;L$1&amp;"C"&amp;$A51)*RTD("tos.rtd",,"GAMMA","."&amp;L$2&amp;L$1&amp;"C"&amp;$A51)-$A$4*$A$4*RTD("tos.rtd",,"VOLUME","."&amp;L$2&amp;L$1&amp;"P"&amp;$A51)*RTD("tos.rtd",,"GAMMA","."&amp;L$2&amp;L$1&amp;"P"&amp;$A51))/1000000),0),IF($A$2="GEX",IFERROR(IF($X$1="ABS",($A$4*$A$4*RTD("tos.rtd",,"OPEN_INT","."&amp;L$2&amp;L$1&amp;"C"&amp;$A51)*RTD("tos.rtd",,"GAMMA","."&amp;L$2&amp;L$1&amp;"C"&amp;$A51)+$A$4*$A$4*RTD("tos.rtd",,"OPEN_INT","."&amp;L$2&amp;L$1&amp;"P"&amp;$A51)*RTD("tos.rtd",,"GAMMA","."&amp;L$2&amp;L$1&amp;"P"&amp;$A51))/1000000,($A$4*$A$4*RTD("tos.rtd",,"OPEN_INT","."&amp;L$2&amp;L$1&amp;"C"&amp;$A51)*RTD("tos.rtd",,"GAMMA","."&amp;L$2&amp;L$1&amp;"C"&amp;$A51)-$A$4*$A$4*RTD("tos.rtd",,"OPEN_INT","."&amp;L$2&amp;L$1&amp;"P"&amp;$A51)*RTD("tos.rtd",,"GAMMA","."&amp;L$2&amp;L$1&amp;"P"&amp;$A51))/1000000),0),IF($A$2="SKEW",IFERROR(VALUE(IF(RTD("tos.rtd",,"IMPL_VOL","."&amp;L$2&amp;L$1&amp;"P"&amp;$A51)="N/A",0,RTD("tos.rtd",,"IMPL_VOL","."&amp;L$2&amp;L$1&amp;"P"&amp;$A51))),0)-IFERROR(VALUE(IF(RTD("tos.rtd",,"IMPL_VOL","."&amp;L$2&amp;L$1&amp;"C"&amp;$A51)="N/A",0,RTD("tos.rtd",,"IMPL_VOL","."&amp;L$2&amp;L$1&amp;"C"&amp;$A51))),0),IF($A$2="MAXPAIN",IF($A$4&gt;$A51,($A$4-$A51)*IF(RTD("tos.rtd",,"OPEN_INT","."&amp;L$2&amp;L$1&amp;"C"&amp;$A51)="N/A",0,RTD("tos.rtd",,"OPEN_INT","."&amp;L$2&amp;L$1&amp;"C"&amp;$A51)),0)+IF($A$4&lt;$A51,($A$5-$A$4)*IF(RTD("tos.rtd",,"OPEN_INT","."&amp;L$2&amp;L$1&amp;"P"&amp;$A51)="N/A",0,RTD("tos.rtd",,"OPEN_INT","."&amp;L$2&amp;L$1&amp;"P"&amp;$A51)),0),IF($X$1="ABS",IF(RTD("tos.rtd",,$A$2,"."&amp;L$2&amp;L$1&amp;"C"&amp;$A51)="N/A",0,RTD("tos.rtd",,$A$2,"."&amp;L$2&amp;L$1&amp;"C"&amp;$A51))+IF(RTD("tos.rtd",,$A$2,"."&amp;L$2&amp;L$1&amp;"P"&amp;$A51)="N/A",0,RTD("tos.rtd",,$A$2,"."&amp;L$2&amp;L$1&amp;"P"&amp;$A51)),IF(RTD("tos.rtd",,$A$2,"."&amp;L$2&amp;L$1&amp;"C"&amp;$A51)="N/A",0,RTD("tos.rtd",,$A$2,"."&amp;L$2&amp;L$1&amp;"C"&amp;$A51))-IF(RTD("tos.rtd",,$A$2,"."&amp;L$2&amp;L$1&amp;"P"&amp;$A51)="N/A",0,RTD("tos.rtd",,$A$2,"."&amp;L$2&amp;L$1&amp;"P"&amp;$A51))))))))))</f>
        <v>0</v>
      </c>
      <c r="M51" s="16">
        <f ca="1">IF($A$2="PREMIUM_OI",IFERROR(IF($X$1="ABS",(100*RTD("tos.rtd",,"OPEN_INT","."&amp;M$2&amp;M$1&amp;"C"&amp;$A51)*RTD("tos.rtd",,"LAST","."&amp;M$2&amp;M$1&amp;"C"&amp;$A51)+100*RTD("tos.rtd",,"OPEN_INT","."&amp;M$2&amp;M$1&amp;"P"&amp;$A51)*RTD("tos.rtd",,"LAST","."&amp;M$2&amp;M$1&amp;"P"&amp;$A51))/1000000,(100*RTD("tos.rtd",,"OPEN_INT","."&amp;M$2&amp;M$1&amp;"C"&amp;$A51)*RTD("tos.rtd",,"LAST","."&amp;M$2&amp;M$1&amp;"C"&amp;$A51)-100*RTD("tos.rtd",,"OPEN_INT","."&amp;M$2&amp;M$1&amp;"P"&amp;$A51)*RTD("tos.rtd",,"LAST","."&amp;M$2&amp;M$1&amp;"P"&amp;$A51))/1000000),0),IF($A$2="PREMIUM",IFERROR(IF($X$1="ABS",(100*RTD("tos.rtd",,"VOLUME","."&amp;M$2&amp;M$1&amp;"C"&amp;$A51)*RTD("tos.rtd",,"LAST","."&amp;M$2&amp;M$1&amp;"C"&amp;$A51)+100*RTD("tos.rtd",,"VOLUME","."&amp;M$2&amp;M$1&amp;"P"&amp;$A51)*RTD("tos.rtd",,"LAST","."&amp;M$2&amp;M$1&amp;"P"&amp;$A51))/1000000,(100*RTD("tos.rtd",,"VOLUME","."&amp;M$2&amp;M$1&amp;"C"&amp;$A51)*RTD("tos.rtd",,"LAST","."&amp;M$2&amp;M$1&amp;"C"&amp;$A51)-100*RTD("tos.rtd",,"VOLUME","."&amp;M$2&amp;M$1&amp;"P"&amp;$A51)*RTD("tos.rtd",,"LAST","."&amp;M$2&amp;M$1&amp;"P"&amp;$A51))/1000000),0),IF($A$2="DEX",IFERROR(IF($X$1="ABS",(100*RTD("tos.rtd",,"OPEN_INT","."&amp;M$2&amp;M$1&amp;"C"&amp;$A51)*RTD("tos.rtd",,"DELTA","."&amp;M$2&amp;M$1&amp;"C"&amp;$A51)+100*RTD("tos.rtd",,"OPEN_INT","."&amp;M$2&amp;M$1&amp;"P"&amp;$A51)*RTD("tos.rtd",,"DELTA","."&amp;M$2&amp;M$1&amp;"P"&amp;$A51))/1000,(100*RTD("tos.rtd",,"OPEN_INT","."&amp;M$2&amp;M$1&amp;"C"&amp;$A51)*RTD("tos.rtd",,"DELTA","."&amp;M$2&amp;M$1&amp;"C"&amp;$A51)-100*RTD("tos.rtd",,"OPEN_INT","."&amp;M$2&amp;M$1&amp;"P"&amp;$A51)*RTD("tos.rtd",,"DELTA","."&amp;M$2&amp;M$1&amp;"P"&amp;$A51))/1000),0),IF($A$2="VEX",IFERROR(IF($X$1="ABS",($A$4*$A$4*RTD("tos.rtd",,"VOLUME","."&amp;M$2&amp;M$1&amp;"C"&amp;$A51)*RTD("tos.rtd",,"GAMMA","."&amp;M$2&amp;M$1&amp;"C"&amp;$A51)+$A$4*$A$4*RTD("tos.rtd",,"VOLUME","."&amp;M$2&amp;M$1&amp;"P"&amp;$A51)*RTD("tos.rtd",,"GAMMA","."&amp;M$2&amp;M$1&amp;"P"&amp;$A51))/1000000,($A$4*$A$4*RTD("tos.rtd",,"VOLUME","."&amp;M$2&amp;M$1&amp;"C"&amp;$A51)*RTD("tos.rtd",,"GAMMA","."&amp;M$2&amp;M$1&amp;"C"&amp;$A51)-$A$4*$A$4*RTD("tos.rtd",,"VOLUME","."&amp;M$2&amp;M$1&amp;"P"&amp;$A51)*RTD("tos.rtd",,"GAMMA","."&amp;M$2&amp;M$1&amp;"P"&amp;$A51))/1000000),0),IF($A$2="GEX",IFERROR(IF($X$1="ABS",($A$4*$A$4*RTD("tos.rtd",,"OPEN_INT","."&amp;M$2&amp;M$1&amp;"C"&amp;$A51)*RTD("tos.rtd",,"GAMMA","."&amp;M$2&amp;M$1&amp;"C"&amp;$A51)+$A$4*$A$4*RTD("tos.rtd",,"OPEN_INT","."&amp;M$2&amp;M$1&amp;"P"&amp;$A51)*RTD("tos.rtd",,"GAMMA","."&amp;M$2&amp;M$1&amp;"P"&amp;$A51))/1000000,($A$4*$A$4*RTD("tos.rtd",,"OPEN_INT","."&amp;M$2&amp;M$1&amp;"C"&amp;$A51)*RTD("tos.rtd",,"GAMMA","."&amp;M$2&amp;M$1&amp;"C"&amp;$A51)-$A$4*$A$4*RTD("tos.rtd",,"OPEN_INT","."&amp;M$2&amp;M$1&amp;"P"&amp;$A51)*RTD("tos.rtd",,"GAMMA","."&amp;M$2&amp;M$1&amp;"P"&amp;$A51))/1000000),0),IF($A$2="SKEW",IFERROR(VALUE(IF(RTD("tos.rtd",,"IMPL_VOL","."&amp;M$2&amp;M$1&amp;"P"&amp;$A51)="N/A",0,RTD("tos.rtd",,"IMPL_VOL","."&amp;M$2&amp;M$1&amp;"P"&amp;$A51))),0)-IFERROR(VALUE(IF(RTD("tos.rtd",,"IMPL_VOL","."&amp;M$2&amp;M$1&amp;"C"&amp;$A51)="N/A",0,RTD("tos.rtd",,"IMPL_VOL","."&amp;M$2&amp;M$1&amp;"C"&amp;$A51))),0),IF($A$2="MAXPAIN",IF($A$4&gt;$A51,($A$4-$A51)*IF(RTD("tos.rtd",,"OPEN_INT","."&amp;M$2&amp;M$1&amp;"C"&amp;$A51)="N/A",0,RTD("tos.rtd",,"OPEN_INT","."&amp;M$2&amp;M$1&amp;"C"&amp;$A51)),0)+IF($A$4&lt;$A51,($A$5-$A$4)*IF(RTD("tos.rtd",,"OPEN_INT","."&amp;M$2&amp;M$1&amp;"P"&amp;$A51)="N/A",0,RTD("tos.rtd",,"OPEN_INT","."&amp;M$2&amp;M$1&amp;"P"&amp;$A51)),0),IF($X$1="ABS",IF(RTD("tos.rtd",,$A$2,"."&amp;M$2&amp;M$1&amp;"C"&amp;$A51)="N/A",0,RTD("tos.rtd",,$A$2,"."&amp;M$2&amp;M$1&amp;"C"&amp;$A51))+IF(RTD("tos.rtd",,$A$2,"."&amp;M$2&amp;M$1&amp;"P"&amp;$A51)="N/A",0,RTD("tos.rtd",,$A$2,"."&amp;M$2&amp;M$1&amp;"P"&amp;$A51)),IF(RTD("tos.rtd",,$A$2,"."&amp;M$2&amp;M$1&amp;"C"&amp;$A51)="N/A",0,RTD("tos.rtd",,$A$2,"."&amp;M$2&amp;M$1&amp;"C"&amp;$A51))-IF(RTD("tos.rtd",,$A$2,"."&amp;M$2&amp;M$1&amp;"P"&amp;$A51)="N/A",0,RTD("tos.rtd",,$A$2,"."&amp;M$2&amp;M$1&amp;"P"&amp;$A51))))))))))</f>
        <v>0</v>
      </c>
      <c r="N51" s="16">
        <f ca="1">IF($A$2="PREMIUM_OI",IFERROR(IF($X$1="ABS",(100*RTD("tos.rtd",,"OPEN_INT","."&amp;N$2&amp;N$1&amp;"C"&amp;$A51)*RTD("tos.rtd",,"LAST","."&amp;N$2&amp;N$1&amp;"C"&amp;$A51)+100*RTD("tos.rtd",,"OPEN_INT","."&amp;N$2&amp;N$1&amp;"P"&amp;$A51)*RTD("tos.rtd",,"LAST","."&amp;N$2&amp;N$1&amp;"P"&amp;$A51))/1000000,(100*RTD("tos.rtd",,"OPEN_INT","."&amp;N$2&amp;N$1&amp;"C"&amp;$A51)*RTD("tos.rtd",,"LAST","."&amp;N$2&amp;N$1&amp;"C"&amp;$A51)-100*RTD("tos.rtd",,"OPEN_INT","."&amp;N$2&amp;N$1&amp;"P"&amp;$A51)*RTD("tos.rtd",,"LAST","."&amp;N$2&amp;N$1&amp;"P"&amp;$A51))/1000000),0),IF($A$2="PREMIUM",IFERROR(IF($X$1="ABS",(100*RTD("tos.rtd",,"VOLUME","."&amp;N$2&amp;N$1&amp;"C"&amp;$A51)*RTD("tos.rtd",,"LAST","."&amp;N$2&amp;N$1&amp;"C"&amp;$A51)+100*RTD("tos.rtd",,"VOLUME","."&amp;N$2&amp;N$1&amp;"P"&amp;$A51)*RTD("tos.rtd",,"LAST","."&amp;N$2&amp;N$1&amp;"P"&amp;$A51))/1000000,(100*RTD("tos.rtd",,"VOLUME","."&amp;N$2&amp;N$1&amp;"C"&amp;$A51)*RTD("tos.rtd",,"LAST","."&amp;N$2&amp;N$1&amp;"C"&amp;$A51)-100*RTD("tos.rtd",,"VOLUME","."&amp;N$2&amp;N$1&amp;"P"&amp;$A51)*RTD("tos.rtd",,"LAST","."&amp;N$2&amp;N$1&amp;"P"&amp;$A51))/1000000),0),IF($A$2="DEX",IFERROR(IF($X$1="ABS",(100*RTD("tos.rtd",,"OPEN_INT","."&amp;N$2&amp;N$1&amp;"C"&amp;$A51)*RTD("tos.rtd",,"DELTA","."&amp;N$2&amp;N$1&amp;"C"&amp;$A51)+100*RTD("tos.rtd",,"OPEN_INT","."&amp;N$2&amp;N$1&amp;"P"&amp;$A51)*RTD("tos.rtd",,"DELTA","."&amp;N$2&amp;N$1&amp;"P"&amp;$A51))/1000,(100*RTD("tos.rtd",,"OPEN_INT","."&amp;N$2&amp;N$1&amp;"C"&amp;$A51)*RTD("tos.rtd",,"DELTA","."&amp;N$2&amp;N$1&amp;"C"&amp;$A51)-100*RTD("tos.rtd",,"OPEN_INT","."&amp;N$2&amp;N$1&amp;"P"&amp;$A51)*RTD("tos.rtd",,"DELTA","."&amp;N$2&amp;N$1&amp;"P"&amp;$A51))/1000),0),IF($A$2="VEX",IFERROR(IF($X$1="ABS",($A$4*$A$4*RTD("tos.rtd",,"VOLUME","."&amp;N$2&amp;N$1&amp;"C"&amp;$A51)*RTD("tos.rtd",,"GAMMA","."&amp;N$2&amp;N$1&amp;"C"&amp;$A51)+$A$4*$A$4*RTD("tos.rtd",,"VOLUME","."&amp;N$2&amp;N$1&amp;"P"&amp;$A51)*RTD("tos.rtd",,"GAMMA","."&amp;N$2&amp;N$1&amp;"P"&amp;$A51))/1000000,($A$4*$A$4*RTD("tos.rtd",,"VOLUME","."&amp;N$2&amp;N$1&amp;"C"&amp;$A51)*RTD("tos.rtd",,"GAMMA","."&amp;N$2&amp;N$1&amp;"C"&amp;$A51)-$A$4*$A$4*RTD("tos.rtd",,"VOLUME","."&amp;N$2&amp;N$1&amp;"P"&amp;$A51)*RTD("tos.rtd",,"GAMMA","."&amp;N$2&amp;N$1&amp;"P"&amp;$A51))/1000000),0),IF($A$2="GEX",IFERROR(IF($X$1="ABS",($A$4*$A$4*RTD("tos.rtd",,"OPEN_INT","."&amp;N$2&amp;N$1&amp;"C"&amp;$A51)*RTD("tos.rtd",,"GAMMA","."&amp;N$2&amp;N$1&amp;"C"&amp;$A51)+$A$4*$A$4*RTD("tos.rtd",,"OPEN_INT","."&amp;N$2&amp;N$1&amp;"P"&amp;$A51)*RTD("tos.rtd",,"GAMMA","."&amp;N$2&amp;N$1&amp;"P"&amp;$A51))/1000000,($A$4*$A$4*RTD("tos.rtd",,"OPEN_INT","."&amp;N$2&amp;N$1&amp;"C"&amp;$A51)*RTD("tos.rtd",,"GAMMA","."&amp;N$2&amp;N$1&amp;"C"&amp;$A51)-$A$4*$A$4*RTD("tos.rtd",,"OPEN_INT","."&amp;N$2&amp;N$1&amp;"P"&amp;$A51)*RTD("tos.rtd",,"GAMMA","."&amp;N$2&amp;N$1&amp;"P"&amp;$A51))/1000000),0),IF($A$2="SKEW",IFERROR(VALUE(IF(RTD("tos.rtd",,"IMPL_VOL","."&amp;N$2&amp;N$1&amp;"P"&amp;$A51)="N/A",0,RTD("tos.rtd",,"IMPL_VOL","."&amp;N$2&amp;N$1&amp;"P"&amp;$A51))),0)-IFERROR(VALUE(IF(RTD("tos.rtd",,"IMPL_VOL","."&amp;N$2&amp;N$1&amp;"C"&amp;$A51)="N/A",0,RTD("tos.rtd",,"IMPL_VOL","."&amp;N$2&amp;N$1&amp;"C"&amp;$A51))),0),IF($A$2="MAXPAIN",IF($A$4&gt;$A51,($A$4-$A51)*IF(RTD("tos.rtd",,"OPEN_INT","."&amp;N$2&amp;N$1&amp;"C"&amp;$A51)="N/A",0,RTD("tos.rtd",,"OPEN_INT","."&amp;N$2&amp;N$1&amp;"C"&amp;$A51)),0)+IF($A$4&lt;$A51,($A$5-$A$4)*IF(RTD("tos.rtd",,"OPEN_INT","."&amp;N$2&amp;N$1&amp;"P"&amp;$A51)="N/A",0,RTD("tos.rtd",,"OPEN_INT","."&amp;N$2&amp;N$1&amp;"P"&amp;$A51)),0),IF($X$1="ABS",IF(RTD("tos.rtd",,$A$2,"."&amp;N$2&amp;N$1&amp;"C"&amp;$A51)="N/A",0,RTD("tos.rtd",,$A$2,"."&amp;N$2&amp;N$1&amp;"C"&amp;$A51))+IF(RTD("tos.rtd",,$A$2,"."&amp;N$2&amp;N$1&amp;"P"&amp;$A51)="N/A",0,RTD("tos.rtd",,$A$2,"."&amp;N$2&amp;N$1&amp;"P"&amp;$A51)),IF(RTD("tos.rtd",,$A$2,"."&amp;N$2&amp;N$1&amp;"C"&amp;$A51)="N/A",0,RTD("tos.rtd",,$A$2,"."&amp;N$2&amp;N$1&amp;"C"&amp;$A51))-IF(RTD("tos.rtd",,$A$2,"."&amp;N$2&amp;N$1&amp;"P"&amp;$A51)="N/A",0,RTD("tos.rtd",,$A$2,"."&amp;N$2&amp;N$1&amp;"P"&amp;$A51))))))))))</f>
        <v>0</v>
      </c>
      <c r="O51" s="16">
        <f ca="1">IF($A$2="PREMIUM_OI",IFERROR(IF($X$1="ABS",(100*RTD("tos.rtd",,"OPEN_INT","."&amp;O$2&amp;O$1&amp;"C"&amp;$A51)*RTD("tos.rtd",,"LAST","."&amp;O$2&amp;O$1&amp;"C"&amp;$A51)+100*RTD("tos.rtd",,"OPEN_INT","."&amp;O$2&amp;O$1&amp;"P"&amp;$A51)*RTD("tos.rtd",,"LAST","."&amp;O$2&amp;O$1&amp;"P"&amp;$A51))/1000000,(100*RTD("tos.rtd",,"OPEN_INT","."&amp;O$2&amp;O$1&amp;"C"&amp;$A51)*RTD("tos.rtd",,"LAST","."&amp;O$2&amp;O$1&amp;"C"&amp;$A51)-100*RTD("tos.rtd",,"OPEN_INT","."&amp;O$2&amp;O$1&amp;"P"&amp;$A51)*RTD("tos.rtd",,"LAST","."&amp;O$2&amp;O$1&amp;"P"&amp;$A51))/1000000),0),IF($A$2="PREMIUM",IFERROR(IF($X$1="ABS",(100*RTD("tos.rtd",,"VOLUME","."&amp;O$2&amp;O$1&amp;"C"&amp;$A51)*RTD("tos.rtd",,"LAST","."&amp;O$2&amp;O$1&amp;"C"&amp;$A51)+100*RTD("tos.rtd",,"VOLUME","."&amp;O$2&amp;O$1&amp;"P"&amp;$A51)*RTD("tos.rtd",,"LAST","."&amp;O$2&amp;O$1&amp;"P"&amp;$A51))/1000000,(100*RTD("tos.rtd",,"VOLUME","."&amp;O$2&amp;O$1&amp;"C"&amp;$A51)*RTD("tos.rtd",,"LAST","."&amp;O$2&amp;O$1&amp;"C"&amp;$A51)-100*RTD("tos.rtd",,"VOLUME","."&amp;O$2&amp;O$1&amp;"P"&amp;$A51)*RTD("tos.rtd",,"LAST","."&amp;O$2&amp;O$1&amp;"P"&amp;$A51))/1000000),0),IF($A$2="DEX",IFERROR(IF($X$1="ABS",(100*RTD("tos.rtd",,"OPEN_INT","."&amp;O$2&amp;O$1&amp;"C"&amp;$A51)*RTD("tos.rtd",,"DELTA","."&amp;O$2&amp;O$1&amp;"C"&amp;$A51)+100*RTD("tos.rtd",,"OPEN_INT","."&amp;O$2&amp;O$1&amp;"P"&amp;$A51)*RTD("tos.rtd",,"DELTA","."&amp;O$2&amp;O$1&amp;"P"&amp;$A51))/1000,(100*RTD("tos.rtd",,"OPEN_INT","."&amp;O$2&amp;O$1&amp;"C"&amp;$A51)*RTD("tos.rtd",,"DELTA","."&amp;O$2&amp;O$1&amp;"C"&amp;$A51)-100*RTD("tos.rtd",,"OPEN_INT","."&amp;O$2&amp;O$1&amp;"P"&amp;$A51)*RTD("tos.rtd",,"DELTA","."&amp;O$2&amp;O$1&amp;"P"&amp;$A51))/1000),0),IF($A$2="VEX",IFERROR(IF($X$1="ABS",($A$4*$A$4*RTD("tos.rtd",,"VOLUME","."&amp;O$2&amp;O$1&amp;"C"&amp;$A51)*RTD("tos.rtd",,"GAMMA","."&amp;O$2&amp;O$1&amp;"C"&amp;$A51)+$A$4*$A$4*RTD("tos.rtd",,"VOLUME","."&amp;O$2&amp;O$1&amp;"P"&amp;$A51)*RTD("tos.rtd",,"GAMMA","."&amp;O$2&amp;O$1&amp;"P"&amp;$A51))/1000000,($A$4*$A$4*RTD("tos.rtd",,"VOLUME","."&amp;O$2&amp;O$1&amp;"C"&amp;$A51)*RTD("tos.rtd",,"GAMMA","."&amp;O$2&amp;O$1&amp;"C"&amp;$A51)-$A$4*$A$4*RTD("tos.rtd",,"VOLUME","."&amp;O$2&amp;O$1&amp;"P"&amp;$A51)*RTD("tos.rtd",,"GAMMA","."&amp;O$2&amp;O$1&amp;"P"&amp;$A51))/1000000),0),IF($A$2="GEX",IFERROR(IF($X$1="ABS",($A$4*$A$4*RTD("tos.rtd",,"OPEN_INT","."&amp;O$2&amp;O$1&amp;"C"&amp;$A51)*RTD("tos.rtd",,"GAMMA","."&amp;O$2&amp;O$1&amp;"C"&amp;$A51)+$A$4*$A$4*RTD("tos.rtd",,"OPEN_INT","."&amp;O$2&amp;O$1&amp;"P"&amp;$A51)*RTD("tos.rtd",,"GAMMA","."&amp;O$2&amp;O$1&amp;"P"&amp;$A51))/1000000,($A$4*$A$4*RTD("tos.rtd",,"OPEN_INT","."&amp;O$2&amp;O$1&amp;"C"&amp;$A51)*RTD("tos.rtd",,"GAMMA","."&amp;O$2&amp;O$1&amp;"C"&amp;$A51)-$A$4*$A$4*RTD("tos.rtd",,"OPEN_INT","."&amp;O$2&amp;O$1&amp;"P"&amp;$A51)*RTD("tos.rtd",,"GAMMA","."&amp;O$2&amp;O$1&amp;"P"&amp;$A51))/1000000),0),IF($A$2="SKEW",IFERROR(VALUE(IF(RTD("tos.rtd",,"IMPL_VOL","."&amp;O$2&amp;O$1&amp;"P"&amp;$A51)="N/A",0,RTD("tos.rtd",,"IMPL_VOL","."&amp;O$2&amp;O$1&amp;"P"&amp;$A51))),0)-IFERROR(VALUE(IF(RTD("tos.rtd",,"IMPL_VOL","."&amp;O$2&amp;O$1&amp;"C"&amp;$A51)="N/A",0,RTD("tos.rtd",,"IMPL_VOL","."&amp;O$2&amp;O$1&amp;"C"&amp;$A51))),0),IF($A$2="MAXPAIN",IF($A$4&gt;$A51,($A$4-$A51)*IF(RTD("tos.rtd",,"OPEN_INT","."&amp;O$2&amp;O$1&amp;"C"&amp;$A51)="N/A",0,RTD("tos.rtd",,"OPEN_INT","."&amp;O$2&amp;O$1&amp;"C"&amp;$A51)),0)+IF($A$4&lt;$A51,($A$5-$A$4)*IF(RTD("tos.rtd",,"OPEN_INT","."&amp;O$2&amp;O$1&amp;"P"&amp;$A51)="N/A",0,RTD("tos.rtd",,"OPEN_INT","."&amp;O$2&amp;O$1&amp;"P"&amp;$A51)),0),IF($X$1="ABS",IF(RTD("tos.rtd",,$A$2,"."&amp;O$2&amp;O$1&amp;"C"&amp;$A51)="N/A",0,RTD("tos.rtd",,$A$2,"."&amp;O$2&amp;O$1&amp;"C"&amp;$A51))+IF(RTD("tos.rtd",,$A$2,"."&amp;O$2&amp;O$1&amp;"P"&amp;$A51)="N/A",0,RTD("tos.rtd",,$A$2,"."&amp;O$2&amp;O$1&amp;"P"&amp;$A51)),IF(RTD("tos.rtd",,$A$2,"."&amp;O$2&amp;O$1&amp;"C"&amp;$A51)="N/A",0,RTD("tos.rtd",,$A$2,"."&amp;O$2&amp;O$1&amp;"C"&amp;$A51))-IF(RTD("tos.rtd",,$A$2,"."&amp;O$2&amp;O$1&amp;"P"&amp;$A51)="N/A",0,RTD("tos.rtd",,$A$2,"."&amp;O$2&amp;O$1&amp;"P"&amp;$A51))))))))))</f>
        <v>0</v>
      </c>
      <c r="P51" s="16">
        <f ca="1">IF($A$2="PREMIUM_OI",IFERROR(IF($X$1="ABS",(100*RTD("tos.rtd",,"OPEN_INT","."&amp;P$2&amp;P$1&amp;"C"&amp;$A51)*RTD("tos.rtd",,"LAST","."&amp;P$2&amp;P$1&amp;"C"&amp;$A51)+100*RTD("tos.rtd",,"OPEN_INT","."&amp;P$2&amp;P$1&amp;"P"&amp;$A51)*RTD("tos.rtd",,"LAST","."&amp;P$2&amp;P$1&amp;"P"&amp;$A51))/1000000,(100*RTD("tos.rtd",,"OPEN_INT","."&amp;P$2&amp;P$1&amp;"C"&amp;$A51)*RTD("tos.rtd",,"LAST","."&amp;P$2&amp;P$1&amp;"C"&amp;$A51)-100*RTD("tos.rtd",,"OPEN_INT","."&amp;P$2&amp;P$1&amp;"P"&amp;$A51)*RTD("tos.rtd",,"LAST","."&amp;P$2&amp;P$1&amp;"P"&amp;$A51))/1000000),0),IF($A$2="PREMIUM",IFERROR(IF($X$1="ABS",(100*RTD("tos.rtd",,"VOLUME","."&amp;P$2&amp;P$1&amp;"C"&amp;$A51)*RTD("tos.rtd",,"LAST","."&amp;P$2&amp;P$1&amp;"C"&amp;$A51)+100*RTD("tos.rtd",,"VOLUME","."&amp;P$2&amp;P$1&amp;"P"&amp;$A51)*RTD("tos.rtd",,"LAST","."&amp;P$2&amp;P$1&amp;"P"&amp;$A51))/1000000,(100*RTD("tos.rtd",,"VOLUME","."&amp;P$2&amp;P$1&amp;"C"&amp;$A51)*RTD("tos.rtd",,"LAST","."&amp;P$2&amp;P$1&amp;"C"&amp;$A51)-100*RTD("tos.rtd",,"VOLUME","."&amp;P$2&amp;P$1&amp;"P"&amp;$A51)*RTD("tos.rtd",,"LAST","."&amp;P$2&amp;P$1&amp;"P"&amp;$A51))/1000000),0),IF($A$2="DEX",IFERROR(IF($X$1="ABS",(100*RTD("tos.rtd",,"OPEN_INT","."&amp;P$2&amp;P$1&amp;"C"&amp;$A51)*RTD("tos.rtd",,"DELTA","."&amp;P$2&amp;P$1&amp;"C"&amp;$A51)+100*RTD("tos.rtd",,"OPEN_INT","."&amp;P$2&amp;P$1&amp;"P"&amp;$A51)*RTD("tos.rtd",,"DELTA","."&amp;P$2&amp;P$1&amp;"P"&amp;$A51))/1000,(100*RTD("tos.rtd",,"OPEN_INT","."&amp;P$2&amp;P$1&amp;"C"&amp;$A51)*RTD("tos.rtd",,"DELTA","."&amp;P$2&amp;P$1&amp;"C"&amp;$A51)-100*RTD("tos.rtd",,"OPEN_INT","."&amp;P$2&amp;P$1&amp;"P"&amp;$A51)*RTD("tos.rtd",,"DELTA","."&amp;P$2&amp;P$1&amp;"P"&amp;$A51))/1000),0),IF($A$2="VEX",IFERROR(IF($X$1="ABS",($A$4*$A$4*RTD("tos.rtd",,"VOLUME","."&amp;P$2&amp;P$1&amp;"C"&amp;$A51)*RTD("tos.rtd",,"GAMMA","."&amp;P$2&amp;P$1&amp;"C"&amp;$A51)+$A$4*$A$4*RTD("tos.rtd",,"VOLUME","."&amp;P$2&amp;P$1&amp;"P"&amp;$A51)*RTD("tos.rtd",,"GAMMA","."&amp;P$2&amp;P$1&amp;"P"&amp;$A51))/1000000,($A$4*$A$4*RTD("tos.rtd",,"VOLUME","."&amp;P$2&amp;P$1&amp;"C"&amp;$A51)*RTD("tos.rtd",,"GAMMA","."&amp;P$2&amp;P$1&amp;"C"&amp;$A51)-$A$4*$A$4*RTD("tos.rtd",,"VOLUME","."&amp;P$2&amp;P$1&amp;"P"&amp;$A51)*RTD("tos.rtd",,"GAMMA","."&amp;P$2&amp;P$1&amp;"P"&amp;$A51))/1000000),0),IF($A$2="GEX",IFERROR(IF($X$1="ABS",($A$4*$A$4*RTD("tos.rtd",,"OPEN_INT","."&amp;P$2&amp;P$1&amp;"C"&amp;$A51)*RTD("tos.rtd",,"GAMMA","."&amp;P$2&amp;P$1&amp;"C"&amp;$A51)+$A$4*$A$4*RTD("tos.rtd",,"OPEN_INT","."&amp;P$2&amp;P$1&amp;"P"&amp;$A51)*RTD("tos.rtd",,"GAMMA","."&amp;P$2&amp;P$1&amp;"P"&amp;$A51))/1000000,($A$4*$A$4*RTD("tos.rtd",,"OPEN_INT","."&amp;P$2&amp;P$1&amp;"C"&amp;$A51)*RTD("tos.rtd",,"GAMMA","."&amp;P$2&amp;P$1&amp;"C"&amp;$A51)-$A$4*$A$4*RTD("tos.rtd",,"OPEN_INT","."&amp;P$2&amp;P$1&amp;"P"&amp;$A51)*RTD("tos.rtd",,"GAMMA","."&amp;P$2&amp;P$1&amp;"P"&amp;$A51))/1000000),0),IF($A$2="SKEW",IFERROR(VALUE(IF(RTD("tos.rtd",,"IMPL_VOL","."&amp;P$2&amp;P$1&amp;"P"&amp;$A51)="N/A",0,RTD("tos.rtd",,"IMPL_VOL","."&amp;P$2&amp;P$1&amp;"P"&amp;$A51))),0)-IFERROR(VALUE(IF(RTD("tos.rtd",,"IMPL_VOL","."&amp;P$2&amp;P$1&amp;"C"&amp;$A51)="N/A",0,RTD("tos.rtd",,"IMPL_VOL","."&amp;P$2&amp;P$1&amp;"C"&amp;$A51))),0),IF($A$2="MAXPAIN",IF($A$4&gt;$A51,($A$4-$A51)*IF(RTD("tos.rtd",,"OPEN_INT","."&amp;P$2&amp;P$1&amp;"C"&amp;$A51)="N/A",0,RTD("tos.rtd",,"OPEN_INT","."&amp;P$2&amp;P$1&amp;"C"&amp;$A51)),0)+IF($A$4&lt;$A51,($A$5-$A$4)*IF(RTD("tos.rtd",,"OPEN_INT","."&amp;P$2&amp;P$1&amp;"P"&amp;$A51)="N/A",0,RTD("tos.rtd",,"OPEN_INT","."&amp;P$2&amp;P$1&amp;"P"&amp;$A51)),0),IF($X$1="ABS",IF(RTD("tos.rtd",,$A$2,"."&amp;P$2&amp;P$1&amp;"C"&amp;$A51)="N/A",0,RTD("tos.rtd",,$A$2,"."&amp;P$2&amp;P$1&amp;"C"&amp;$A51))+IF(RTD("tos.rtd",,$A$2,"."&amp;P$2&amp;P$1&amp;"P"&amp;$A51)="N/A",0,RTD("tos.rtd",,$A$2,"."&amp;P$2&amp;P$1&amp;"P"&amp;$A51)),IF(RTD("tos.rtd",,$A$2,"."&amp;P$2&amp;P$1&amp;"C"&amp;$A51)="N/A",0,RTD("tos.rtd",,$A$2,"."&amp;P$2&amp;P$1&amp;"C"&amp;$A51))-IF(RTD("tos.rtd",,$A$2,"."&amp;P$2&amp;P$1&amp;"P"&amp;$A51)="N/A",0,RTD("tos.rtd",,$A$2,"."&amp;P$2&amp;P$1&amp;"P"&amp;$A51))))))))))</f>
        <v>0</v>
      </c>
      <c r="Q51" s="16">
        <f ca="1">IF($A$2="PREMIUM_OI",IFERROR(IF($X$1="ABS",(100*RTD("tos.rtd",,"OPEN_INT","."&amp;Q$2&amp;Q$1&amp;"C"&amp;$A51)*RTD("tos.rtd",,"LAST","."&amp;Q$2&amp;Q$1&amp;"C"&amp;$A51)+100*RTD("tos.rtd",,"OPEN_INT","."&amp;Q$2&amp;Q$1&amp;"P"&amp;$A51)*RTD("tos.rtd",,"LAST","."&amp;Q$2&amp;Q$1&amp;"P"&amp;$A51))/1000000,(100*RTD("tos.rtd",,"OPEN_INT","."&amp;Q$2&amp;Q$1&amp;"C"&amp;$A51)*RTD("tos.rtd",,"LAST","."&amp;Q$2&amp;Q$1&amp;"C"&amp;$A51)-100*RTD("tos.rtd",,"OPEN_INT","."&amp;Q$2&amp;Q$1&amp;"P"&amp;$A51)*RTD("tos.rtd",,"LAST","."&amp;Q$2&amp;Q$1&amp;"P"&amp;$A51))/1000000),0),IF($A$2="PREMIUM",IFERROR(IF($X$1="ABS",(100*RTD("tos.rtd",,"VOLUME","."&amp;Q$2&amp;Q$1&amp;"C"&amp;$A51)*RTD("tos.rtd",,"LAST","."&amp;Q$2&amp;Q$1&amp;"C"&amp;$A51)+100*RTD("tos.rtd",,"VOLUME","."&amp;Q$2&amp;Q$1&amp;"P"&amp;$A51)*RTD("tos.rtd",,"LAST","."&amp;Q$2&amp;Q$1&amp;"P"&amp;$A51))/1000000,(100*RTD("tos.rtd",,"VOLUME","."&amp;Q$2&amp;Q$1&amp;"C"&amp;$A51)*RTD("tos.rtd",,"LAST","."&amp;Q$2&amp;Q$1&amp;"C"&amp;$A51)-100*RTD("tos.rtd",,"VOLUME","."&amp;Q$2&amp;Q$1&amp;"P"&amp;$A51)*RTD("tos.rtd",,"LAST","."&amp;Q$2&amp;Q$1&amp;"P"&amp;$A51))/1000000),0),IF($A$2="DEX",IFERROR(IF($X$1="ABS",(100*RTD("tos.rtd",,"OPEN_INT","."&amp;Q$2&amp;Q$1&amp;"C"&amp;$A51)*RTD("tos.rtd",,"DELTA","."&amp;Q$2&amp;Q$1&amp;"C"&amp;$A51)+100*RTD("tos.rtd",,"OPEN_INT","."&amp;Q$2&amp;Q$1&amp;"P"&amp;$A51)*RTD("tos.rtd",,"DELTA","."&amp;Q$2&amp;Q$1&amp;"P"&amp;$A51))/1000,(100*RTD("tos.rtd",,"OPEN_INT","."&amp;Q$2&amp;Q$1&amp;"C"&amp;$A51)*RTD("tos.rtd",,"DELTA","."&amp;Q$2&amp;Q$1&amp;"C"&amp;$A51)-100*RTD("tos.rtd",,"OPEN_INT","."&amp;Q$2&amp;Q$1&amp;"P"&amp;$A51)*RTD("tos.rtd",,"DELTA","."&amp;Q$2&amp;Q$1&amp;"P"&amp;$A51))/1000),0),IF($A$2="VEX",IFERROR(IF($X$1="ABS",($A$4*$A$4*RTD("tos.rtd",,"VOLUME","."&amp;Q$2&amp;Q$1&amp;"C"&amp;$A51)*RTD("tos.rtd",,"GAMMA","."&amp;Q$2&amp;Q$1&amp;"C"&amp;$A51)+$A$4*$A$4*RTD("tos.rtd",,"VOLUME","."&amp;Q$2&amp;Q$1&amp;"P"&amp;$A51)*RTD("tos.rtd",,"GAMMA","."&amp;Q$2&amp;Q$1&amp;"P"&amp;$A51))/1000000,($A$4*$A$4*RTD("tos.rtd",,"VOLUME","."&amp;Q$2&amp;Q$1&amp;"C"&amp;$A51)*RTD("tos.rtd",,"GAMMA","."&amp;Q$2&amp;Q$1&amp;"C"&amp;$A51)-$A$4*$A$4*RTD("tos.rtd",,"VOLUME","."&amp;Q$2&amp;Q$1&amp;"P"&amp;$A51)*RTD("tos.rtd",,"GAMMA","."&amp;Q$2&amp;Q$1&amp;"P"&amp;$A51))/1000000),0),IF($A$2="GEX",IFERROR(IF($X$1="ABS",($A$4*$A$4*RTD("tos.rtd",,"OPEN_INT","."&amp;Q$2&amp;Q$1&amp;"C"&amp;$A51)*RTD("tos.rtd",,"GAMMA","."&amp;Q$2&amp;Q$1&amp;"C"&amp;$A51)+$A$4*$A$4*RTD("tos.rtd",,"OPEN_INT","."&amp;Q$2&amp;Q$1&amp;"P"&amp;$A51)*RTD("tos.rtd",,"GAMMA","."&amp;Q$2&amp;Q$1&amp;"P"&amp;$A51))/1000000,($A$4*$A$4*RTD("tos.rtd",,"OPEN_INT","."&amp;Q$2&amp;Q$1&amp;"C"&amp;$A51)*RTD("tos.rtd",,"GAMMA","."&amp;Q$2&amp;Q$1&amp;"C"&amp;$A51)-$A$4*$A$4*RTD("tos.rtd",,"OPEN_INT","."&amp;Q$2&amp;Q$1&amp;"P"&amp;$A51)*RTD("tos.rtd",,"GAMMA","."&amp;Q$2&amp;Q$1&amp;"P"&amp;$A51))/1000000),0),IF($A$2="SKEW",IFERROR(VALUE(IF(RTD("tos.rtd",,"IMPL_VOL","."&amp;Q$2&amp;Q$1&amp;"P"&amp;$A51)="N/A",0,RTD("tos.rtd",,"IMPL_VOL","."&amp;Q$2&amp;Q$1&amp;"P"&amp;$A51))),0)-IFERROR(VALUE(IF(RTD("tos.rtd",,"IMPL_VOL","."&amp;Q$2&amp;Q$1&amp;"C"&amp;$A51)="N/A",0,RTD("tos.rtd",,"IMPL_VOL","."&amp;Q$2&amp;Q$1&amp;"C"&amp;$A51))),0),IF($A$2="MAXPAIN",IF($A$4&gt;$A51,($A$4-$A51)*IF(RTD("tos.rtd",,"OPEN_INT","."&amp;Q$2&amp;Q$1&amp;"C"&amp;$A51)="N/A",0,RTD("tos.rtd",,"OPEN_INT","."&amp;Q$2&amp;Q$1&amp;"C"&amp;$A51)),0)+IF($A$4&lt;$A51,($A$5-$A$4)*IF(RTD("tos.rtd",,"OPEN_INT","."&amp;Q$2&amp;Q$1&amp;"P"&amp;$A51)="N/A",0,RTD("tos.rtd",,"OPEN_INT","."&amp;Q$2&amp;Q$1&amp;"P"&amp;$A51)),0),IF($X$1="ABS",IF(RTD("tos.rtd",,$A$2,"."&amp;Q$2&amp;Q$1&amp;"C"&amp;$A51)="N/A",0,RTD("tos.rtd",,$A$2,"."&amp;Q$2&amp;Q$1&amp;"C"&amp;$A51))+IF(RTD("tos.rtd",,$A$2,"."&amp;Q$2&amp;Q$1&amp;"P"&amp;$A51)="N/A",0,RTD("tos.rtd",,$A$2,"."&amp;Q$2&amp;Q$1&amp;"P"&amp;$A51)),IF(RTD("tos.rtd",,$A$2,"."&amp;Q$2&amp;Q$1&amp;"C"&amp;$A51)="N/A",0,RTD("tos.rtd",,$A$2,"."&amp;Q$2&amp;Q$1&amp;"C"&amp;$A51))-IF(RTD("tos.rtd",,$A$2,"."&amp;Q$2&amp;Q$1&amp;"P"&amp;$A51)="N/A",0,RTD("tos.rtd",,$A$2,"."&amp;Q$2&amp;Q$1&amp;"P"&amp;$A51))))))))))</f>
        <v>0</v>
      </c>
      <c r="R51" s="16">
        <f ca="1">IF($A$2="PREMIUM_OI",IFERROR(IF($X$1="ABS",(100*RTD("tos.rtd",,"OPEN_INT","."&amp;R$2&amp;R$1&amp;"C"&amp;$A51)*RTD("tos.rtd",,"LAST","."&amp;R$2&amp;R$1&amp;"C"&amp;$A51)+100*RTD("tos.rtd",,"OPEN_INT","."&amp;R$2&amp;R$1&amp;"P"&amp;$A51)*RTD("tos.rtd",,"LAST","."&amp;R$2&amp;R$1&amp;"P"&amp;$A51))/1000000,(100*RTD("tos.rtd",,"OPEN_INT","."&amp;R$2&amp;R$1&amp;"C"&amp;$A51)*RTD("tos.rtd",,"LAST","."&amp;R$2&amp;R$1&amp;"C"&amp;$A51)-100*RTD("tos.rtd",,"OPEN_INT","."&amp;R$2&amp;R$1&amp;"P"&amp;$A51)*RTD("tos.rtd",,"LAST","."&amp;R$2&amp;R$1&amp;"P"&amp;$A51))/1000000),0),IF($A$2="PREMIUM",IFERROR(IF($X$1="ABS",(100*RTD("tos.rtd",,"VOLUME","."&amp;R$2&amp;R$1&amp;"C"&amp;$A51)*RTD("tos.rtd",,"LAST","."&amp;R$2&amp;R$1&amp;"C"&amp;$A51)+100*RTD("tos.rtd",,"VOLUME","."&amp;R$2&amp;R$1&amp;"P"&amp;$A51)*RTD("tos.rtd",,"LAST","."&amp;R$2&amp;R$1&amp;"P"&amp;$A51))/1000000,(100*RTD("tos.rtd",,"VOLUME","."&amp;R$2&amp;R$1&amp;"C"&amp;$A51)*RTD("tos.rtd",,"LAST","."&amp;R$2&amp;R$1&amp;"C"&amp;$A51)-100*RTD("tos.rtd",,"VOLUME","."&amp;R$2&amp;R$1&amp;"P"&amp;$A51)*RTD("tos.rtd",,"LAST","."&amp;R$2&amp;R$1&amp;"P"&amp;$A51))/1000000),0),IF($A$2="DEX",IFERROR(IF($X$1="ABS",(100*RTD("tos.rtd",,"OPEN_INT","."&amp;R$2&amp;R$1&amp;"C"&amp;$A51)*RTD("tos.rtd",,"DELTA","."&amp;R$2&amp;R$1&amp;"C"&amp;$A51)+100*RTD("tos.rtd",,"OPEN_INT","."&amp;R$2&amp;R$1&amp;"P"&amp;$A51)*RTD("tos.rtd",,"DELTA","."&amp;R$2&amp;R$1&amp;"P"&amp;$A51))/1000,(100*RTD("tos.rtd",,"OPEN_INT","."&amp;R$2&amp;R$1&amp;"C"&amp;$A51)*RTD("tos.rtd",,"DELTA","."&amp;R$2&amp;R$1&amp;"C"&amp;$A51)-100*RTD("tos.rtd",,"OPEN_INT","."&amp;R$2&amp;R$1&amp;"P"&amp;$A51)*RTD("tos.rtd",,"DELTA","."&amp;R$2&amp;R$1&amp;"P"&amp;$A51))/1000),0),IF($A$2="VEX",IFERROR(IF($X$1="ABS",($A$4*$A$4*RTD("tos.rtd",,"VOLUME","."&amp;R$2&amp;R$1&amp;"C"&amp;$A51)*RTD("tos.rtd",,"GAMMA","."&amp;R$2&amp;R$1&amp;"C"&amp;$A51)+$A$4*$A$4*RTD("tos.rtd",,"VOLUME","."&amp;R$2&amp;R$1&amp;"P"&amp;$A51)*RTD("tos.rtd",,"GAMMA","."&amp;R$2&amp;R$1&amp;"P"&amp;$A51))/1000000,($A$4*$A$4*RTD("tos.rtd",,"VOLUME","."&amp;R$2&amp;R$1&amp;"C"&amp;$A51)*RTD("tos.rtd",,"GAMMA","."&amp;R$2&amp;R$1&amp;"C"&amp;$A51)-$A$4*$A$4*RTD("tos.rtd",,"VOLUME","."&amp;R$2&amp;R$1&amp;"P"&amp;$A51)*RTD("tos.rtd",,"GAMMA","."&amp;R$2&amp;R$1&amp;"P"&amp;$A51))/1000000),0),IF($A$2="GEX",IFERROR(IF($X$1="ABS",($A$4*$A$4*RTD("tos.rtd",,"OPEN_INT","."&amp;R$2&amp;R$1&amp;"C"&amp;$A51)*RTD("tos.rtd",,"GAMMA","."&amp;R$2&amp;R$1&amp;"C"&amp;$A51)+$A$4*$A$4*RTD("tos.rtd",,"OPEN_INT","."&amp;R$2&amp;R$1&amp;"P"&amp;$A51)*RTD("tos.rtd",,"GAMMA","."&amp;R$2&amp;R$1&amp;"P"&amp;$A51))/1000000,($A$4*$A$4*RTD("tos.rtd",,"OPEN_INT","."&amp;R$2&amp;R$1&amp;"C"&amp;$A51)*RTD("tos.rtd",,"GAMMA","."&amp;R$2&amp;R$1&amp;"C"&amp;$A51)-$A$4*$A$4*RTD("tos.rtd",,"OPEN_INT","."&amp;R$2&amp;R$1&amp;"P"&amp;$A51)*RTD("tos.rtd",,"GAMMA","."&amp;R$2&amp;R$1&amp;"P"&amp;$A51))/1000000),0),IF($A$2="SKEW",IFERROR(VALUE(IF(RTD("tos.rtd",,"IMPL_VOL","."&amp;R$2&amp;R$1&amp;"P"&amp;$A51)="N/A",0,RTD("tos.rtd",,"IMPL_VOL","."&amp;R$2&amp;R$1&amp;"P"&amp;$A51))),0)-IFERROR(VALUE(IF(RTD("tos.rtd",,"IMPL_VOL","."&amp;R$2&amp;R$1&amp;"C"&amp;$A51)="N/A",0,RTD("tos.rtd",,"IMPL_VOL","."&amp;R$2&amp;R$1&amp;"C"&amp;$A51))),0),IF($A$2="MAXPAIN",IF($A$4&gt;$A51,($A$4-$A51)*IF(RTD("tos.rtd",,"OPEN_INT","."&amp;R$2&amp;R$1&amp;"C"&amp;$A51)="N/A",0,RTD("tos.rtd",,"OPEN_INT","."&amp;R$2&amp;R$1&amp;"C"&amp;$A51)),0)+IF($A$4&lt;$A51,($A$5-$A$4)*IF(RTD("tos.rtd",,"OPEN_INT","."&amp;R$2&amp;R$1&amp;"P"&amp;$A51)="N/A",0,RTD("tos.rtd",,"OPEN_INT","."&amp;R$2&amp;R$1&amp;"P"&amp;$A51)),0),IF($X$1="ABS",IF(RTD("tos.rtd",,$A$2,"."&amp;R$2&amp;R$1&amp;"C"&amp;$A51)="N/A",0,RTD("tos.rtd",,$A$2,"."&amp;R$2&amp;R$1&amp;"C"&amp;$A51))+IF(RTD("tos.rtd",,$A$2,"."&amp;R$2&amp;R$1&amp;"P"&amp;$A51)="N/A",0,RTD("tos.rtd",,$A$2,"."&amp;R$2&amp;R$1&amp;"P"&amp;$A51)),IF(RTD("tos.rtd",,$A$2,"."&amp;R$2&amp;R$1&amp;"C"&amp;$A51)="N/A",0,RTD("tos.rtd",,$A$2,"."&amp;R$2&amp;R$1&amp;"C"&amp;$A51))-IF(RTD("tos.rtd",,$A$2,"."&amp;R$2&amp;R$1&amp;"P"&amp;$A51)="N/A",0,RTD("tos.rtd",,$A$2,"."&amp;R$2&amp;R$1&amp;"P"&amp;$A51))))))))))</f>
        <v>0</v>
      </c>
      <c r="S51" s="16">
        <f ca="1">IF($A$2="PREMIUM_OI",IFERROR(IF($X$1="ABS",(100*RTD("tos.rtd",,"OPEN_INT","."&amp;S$2&amp;S$1&amp;"C"&amp;$A51)*RTD("tos.rtd",,"LAST","."&amp;S$2&amp;S$1&amp;"C"&amp;$A51)+100*RTD("tos.rtd",,"OPEN_INT","."&amp;S$2&amp;S$1&amp;"P"&amp;$A51)*RTD("tos.rtd",,"LAST","."&amp;S$2&amp;S$1&amp;"P"&amp;$A51))/1000000,(100*RTD("tos.rtd",,"OPEN_INT","."&amp;S$2&amp;S$1&amp;"C"&amp;$A51)*RTD("tos.rtd",,"LAST","."&amp;S$2&amp;S$1&amp;"C"&amp;$A51)-100*RTD("tos.rtd",,"OPEN_INT","."&amp;S$2&amp;S$1&amp;"P"&amp;$A51)*RTD("tos.rtd",,"LAST","."&amp;S$2&amp;S$1&amp;"P"&amp;$A51))/1000000),0),IF($A$2="PREMIUM",IFERROR(IF($X$1="ABS",(100*RTD("tos.rtd",,"VOLUME","."&amp;S$2&amp;S$1&amp;"C"&amp;$A51)*RTD("tos.rtd",,"LAST","."&amp;S$2&amp;S$1&amp;"C"&amp;$A51)+100*RTD("tos.rtd",,"VOLUME","."&amp;S$2&amp;S$1&amp;"P"&amp;$A51)*RTD("tos.rtd",,"LAST","."&amp;S$2&amp;S$1&amp;"P"&amp;$A51))/1000000,(100*RTD("tos.rtd",,"VOLUME","."&amp;S$2&amp;S$1&amp;"C"&amp;$A51)*RTD("tos.rtd",,"LAST","."&amp;S$2&amp;S$1&amp;"C"&amp;$A51)-100*RTD("tos.rtd",,"VOLUME","."&amp;S$2&amp;S$1&amp;"P"&amp;$A51)*RTD("tos.rtd",,"LAST","."&amp;S$2&amp;S$1&amp;"P"&amp;$A51))/1000000),0),IF($A$2="DEX",IFERROR(IF($X$1="ABS",(100*RTD("tos.rtd",,"OPEN_INT","."&amp;S$2&amp;S$1&amp;"C"&amp;$A51)*RTD("tos.rtd",,"DELTA","."&amp;S$2&amp;S$1&amp;"C"&amp;$A51)+100*RTD("tos.rtd",,"OPEN_INT","."&amp;S$2&amp;S$1&amp;"P"&amp;$A51)*RTD("tos.rtd",,"DELTA","."&amp;S$2&amp;S$1&amp;"P"&amp;$A51))/1000,(100*RTD("tos.rtd",,"OPEN_INT","."&amp;S$2&amp;S$1&amp;"C"&amp;$A51)*RTD("tos.rtd",,"DELTA","."&amp;S$2&amp;S$1&amp;"C"&amp;$A51)-100*RTD("tos.rtd",,"OPEN_INT","."&amp;S$2&amp;S$1&amp;"P"&amp;$A51)*RTD("tos.rtd",,"DELTA","."&amp;S$2&amp;S$1&amp;"P"&amp;$A51))/1000),0),IF($A$2="VEX",IFERROR(IF($X$1="ABS",($A$4*$A$4*RTD("tos.rtd",,"VOLUME","."&amp;S$2&amp;S$1&amp;"C"&amp;$A51)*RTD("tos.rtd",,"GAMMA","."&amp;S$2&amp;S$1&amp;"C"&amp;$A51)+$A$4*$A$4*RTD("tos.rtd",,"VOLUME","."&amp;S$2&amp;S$1&amp;"P"&amp;$A51)*RTD("tos.rtd",,"GAMMA","."&amp;S$2&amp;S$1&amp;"P"&amp;$A51))/1000000,($A$4*$A$4*RTD("tos.rtd",,"VOLUME","."&amp;S$2&amp;S$1&amp;"C"&amp;$A51)*RTD("tos.rtd",,"GAMMA","."&amp;S$2&amp;S$1&amp;"C"&amp;$A51)-$A$4*$A$4*RTD("tos.rtd",,"VOLUME","."&amp;S$2&amp;S$1&amp;"P"&amp;$A51)*RTD("tos.rtd",,"GAMMA","."&amp;S$2&amp;S$1&amp;"P"&amp;$A51))/1000000),0),IF($A$2="GEX",IFERROR(IF($X$1="ABS",($A$4*$A$4*RTD("tos.rtd",,"OPEN_INT","."&amp;S$2&amp;S$1&amp;"C"&amp;$A51)*RTD("tos.rtd",,"GAMMA","."&amp;S$2&amp;S$1&amp;"C"&amp;$A51)+$A$4*$A$4*RTD("tos.rtd",,"OPEN_INT","."&amp;S$2&amp;S$1&amp;"P"&amp;$A51)*RTD("tos.rtd",,"GAMMA","."&amp;S$2&amp;S$1&amp;"P"&amp;$A51))/1000000,($A$4*$A$4*RTD("tos.rtd",,"OPEN_INT","."&amp;S$2&amp;S$1&amp;"C"&amp;$A51)*RTD("tos.rtd",,"GAMMA","."&amp;S$2&amp;S$1&amp;"C"&amp;$A51)-$A$4*$A$4*RTD("tos.rtd",,"OPEN_INT","."&amp;S$2&amp;S$1&amp;"P"&amp;$A51)*RTD("tos.rtd",,"GAMMA","."&amp;S$2&amp;S$1&amp;"P"&amp;$A51))/1000000),0),IF($A$2="SKEW",IFERROR(VALUE(IF(RTD("tos.rtd",,"IMPL_VOL","."&amp;S$2&amp;S$1&amp;"P"&amp;$A51)="N/A",0,RTD("tos.rtd",,"IMPL_VOL","."&amp;S$2&amp;S$1&amp;"P"&amp;$A51))),0)-IFERROR(VALUE(IF(RTD("tos.rtd",,"IMPL_VOL","."&amp;S$2&amp;S$1&amp;"C"&amp;$A51)="N/A",0,RTD("tos.rtd",,"IMPL_VOL","."&amp;S$2&amp;S$1&amp;"C"&amp;$A51))),0),IF($A$2="MAXPAIN",IF($A$4&gt;$A51,($A$4-$A51)*IF(RTD("tos.rtd",,"OPEN_INT","."&amp;S$2&amp;S$1&amp;"C"&amp;$A51)="N/A",0,RTD("tos.rtd",,"OPEN_INT","."&amp;S$2&amp;S$1&amp;"C"&amp;$A51)),0)+IF($A$4&lt;$A51,($A$5-$A$4)*IF(RTD("tos.rtd",,"OPEN_INT","."&amp;S$2&amp;S$1&amp;"P"&amp;$A51)="N/A",0,RTD("tos.rtd",,"OPEN_INT","."&amp;S$2&amp;S$1&amp;"P"&amp;$A51)),0),IF($X$1="ABS",IF(RTD("tos.rtd",,$A$2,"."&amp;S$2&amp;S$1&amp;"C"&amp;$A51)="N/A",0,RTD("tos.rtd",,$A$2,"."&amp;S$2&amp;S$1&amp;"C"&amp;$A51))+IF(RTD("tos.rtd",,$A$2,"."&amp;S$2&amp;S$1&amp;"P"&amp;$A51)="N/A",0,RTD("tos.rtd",,$A$2,"."&amp;S$2&amp;S$1&amp;"P"&amp;$A51)),IF(RTD("tos.rtd",,$A$2,"."&amp;S$2&amp;S$1&amp;"C"&amp;$A51)="N/A",0,RTD("tos.rtd",,$A$2,"."&amp;S$2&amp;S$1&amp;"C"&amp;$A51))-IF(RTD("tos.rtd",,$A$2,"."&amp;S$2&amp;S$1&amp;"P"&amp;$A51)="N/A",0,RTD("tos.rtd",,$A$2,"."&amp;S$2&amp;S$1&amp;"P"&amp;$A51))))))))))</f>
        <v>0</v>
      </c>
      <c r="T51" s="16">
        <f ca="1">IF($A$2="PREMIUM_OI",IFERROR(IF($X$1="ABS",(100*RTD("tos.rtd",,"OPEN_INT","."&amp;T$2&amp;T$1&amp;"C"&amp;$A51)*RTD("tos.rtd",,"LAST","."&amp;T$2&amp;T$1&amp;"C"&amp;$A51)+100*RTD("tos.rtd",,"OPEN_INT","."&amp;T$2&amp;T$1&amp;"P"&amp;$A51)*RTD("tos.rtd",,"LAST","."&amp;T$2&amp;T$1&amp;"P"&amp;$A51))/1000000,(100*RTD("tos.rtd",,"OPEN_INT","."&amp;T$2&amp;T$1&amp;"C"&amp;$A51)*RTD("tos.rtd",,"LAST","."&amp;T$2&amp;T$1&amp;"C"&amp;$A51)-100*RTD("tos.rtd",,"OPEN_INT","."&amp;T$2&amp;T$1&amp;"P"&amp;$A51)*RTD("tos.rtd",,"LAST","."&amp;T$2&amp;T$1&amp;"P"&amp;$A51))/1000000),0),IF($A$2="PREMIUM",IFERROR(IF($X$1="ABS",(100*RTD("tos.rtd",,"VOLUME","."&amp;T$2&amp;T$1&amp;"C"&amp;$A51)*RTD("tos.rtd",,"LAST","."&amp;T$2&amp;T$1&amp;"C"&amp;$A51)+100*RTD("tos.rtd",,"VOLUME","."&amp;T$2&amp;T$1&amp;"P"&amp;$A51)*RTD("tos.rtd",,"LAST","."&amp;T$2&amp;T$1&amp;"P"&amp;$A51))/1000000,(100*RTD("tos.rtd",,"VOLUME","."&amp;T$2&amp;T$1&amp;"C"&amp;$A51)*RTD("tos.rtd",,"LAST","."&amp;T$2&amp;T$1&amp;"C"&amp;$A51)-100*RTD("tos.rtd",,"VOLUME","."&amp;T$2&amp;T$1&amp;"P"&amp;$A51)*RTD("tos.rtd",,"LAST","."&amp;T$2&amp;T$1&amp;"P"&amp;$A51))/1000000),0),IF($A$2="DEX",IFERROR(IF($X$1="ABS",(100*RTD("tos.rtd",,"OPEN_INT","."&amp;T$2&amp;T$1&amp;"C"&amp;$A51)*RTD("tos.rtd",,"DELTA","."&amp;T$2&amp;T$1&amp;"C"&amp;$A51)+100*RTD("tos.rtd",,"OPEN_INT","."&amp;T$2&amp;T$1&amp;"P"&amp;$A51)*RTD("tos.rtd",,"DELTA","."&amp;T$2&amp;T$1&amp;"P"&amp;$A51))/1000,(100*RTD("tos.rtd",,"OPEN_INT","."&amp;T$2&amp;T$1&amp;"C"&amp;$A51)*RTD("tos.rtd",,"DELTA","."&amp;T$2&amp;T$1&amp;"C"&amp;$A51)-100*RTD("tos.rtd",,"OPEN_INT","."&amp;T$2&amp;T$1&amp;"P"&amp;$A51)*RTD("tos.rtd",,"DELTA","."&amp;T$2&amp;T$1&amp;"P"&amp;$A51))/1000),0),IF($A$2="VEX",IFERROR(IF($X$1="ABS",($A$4*$A$4*RTD("tos.rtd",,"VOLUME","."&amp;T$2&amp;T$1&amp;"C"&amp;$A51)*RTD("tos.rtd",,"GAMMA","."&amp;T$2&amp;T$1&amp;"C"&amp;$A51)+$A$4*$A$4*RTD("tos.rtd",,"VOLUME","."&amp;T$2&amp;T$1&amp;"P"&amp;$A51)*RTD("tos.rtd",,"GAMMA","."&amp;T$2&amp;T$1&amp;"P"&amp;$A51))/1000000,($A$4*$A$4*RTD("tos.rtd",,"VOLUME","."&amp;T$2&amp;T$1&amp;"C"&amp;$A51)*RTD("tos.rtd",,"GAMMA","."&amp;T$2&amp;T$1&amp;"C"&amp;$A51)-$A$4*$A$4*RTD("tos.rtd",,"VOLUME","."&amp;T$2&amp;T$1&amp;"P"&amp;$A51)*RTD("tos.rtd",,"GAMMA","."&amp;T$2&amp;T$1&amp;"P"&amp;$A51))/1000000),0),IF($A$2="GEX",IFERROR(IF($X$1="ABS",($A$4*$A$4*RTD("tos.rtd",,"OPEN_INT","."&amp;T$2&amp;T$1&amp;"C"&amp;$A51)*RTD("tos.rtd",,"GAMMA","."&amp;T$2&amp;T$1&amp;"C"&amp;$A51)+$A$4*$A$4*RTD("tos.rtd",,"OPEN_INT","."&amp;T$2&amp;T$1&amp;"P"&amp;$A51)*RTD("tos.rtd",,"GAMMA","."&amp;T$2&amp;T$1&amp;"P"&amp;$A51))/1000000,($A$4*$A$4*RTD("tos.rtd",,"OPEN_INT","."&amp;T$2&amp;T$1&amp;"C"&amp;$A51)*RTD("tos.rtd",,"GAMMA","."&amp;T$2&amp;T$1&amp;"C"&amp;$A51)-$A$4*$A$4*RTD("tos.rtd",,"OPEN_INT","."&amp;T$2&amp;T$1&amp;"P"&amp;$A51)*RTD("tos.rtd",,"GAMMA","."&amp;T$2&amp;T$1&amp;"P"&amp;$A51))/1000000),0),IF($A$2="SKEW",IFERROR(VALUE(IF(RTD("tos.rtd",,"IMPL_VOL","."&amp;T$2&amp;T$1&amp;"P"&amp;$A51)="N/A",0,RTD("tos.rtd",,"IMPL_VOL","."&amp;T$2&amp;T$1&amp;"P"&amp;$A51))),0)-IFERROR(VALUE(IF(RTD("tos.rtd",,"IMPL_VOL","."&amp;T$2&amp;T$1&amp;"C"&amp;$A51)="N/A",0,RTD("tos.rtd",,"IMPL_VOL","."&amp;T$2&amp;T$1&amp;"C"&amp;$A51))),0),IF($A$2="MAXPAIN",IF($A$4&gt;$A51,($A$4-$A51)*IF(RTD("tos.rtd",,"OPEN_INT","."&amp;T$2&amp;T$1&amp;"C"&amp;$A51)="N/A",0,RTD("tos.rtd",,"OPEN_INT","."&amp;T$2&amp;T$1&amp;"C"&amp;$A51)),0)+IF($A$4&lt;$A51,($A$5-$A$4)*IF(RTD("tos.rtd",,"OPEN_INT","."&amp;T$2&amp;T$1&amp;"P"&amp;$A51)="N/A",0,RTD("tos.rtd",,"OPEN_INT","."&amp;T$2&amp;T$1&amp;"P"&amp;$A51)),0),IF($X$1="ABS",IF(RTD("tos.rtd",,$A$2,"."&amp;T$2&amp;T$1&amp;"C"&amp;$A51)="N/A",0,RTD("tos.rtd",,$A$2,"."&amp;T$2&amp;T$1&amp;"C"&amp;$A51))+IF(RTD("tos.rtd",,$A$2,"."&amp;T$2&amp;T$1&amp;"P"&amp;$A51)="N/A",0,RTD("tos.rtd",,$A$2,"."&amp;T$2&amp;T$1&amp;"P"&amp;$A51)),IF(RTD("tos.rtd",,$A$2,"."&amp;T$2&amp;T$1&amp;"C"&amp;$A51)="N/A",0,RTD("tos.rtd",,$A$2,"."&amp;T$2&amp;T$1&amp;"C"&amp;$A51))-IF(RTD("tos.rtd",,$A$2,"."&amp;T$2&amp;T$1&amp;"P"&amp;$A51)="N/A",0,RTD("tos.rtd",,$A$2,"."&amp;T$2&amp;T$1&amp;"P"&amp;$A51))))))))))</f>
        <v>0</v>
      </c>
      <c r="U51" s="16">
        <f ca="1">IF($A$2="PREMIUM_OI",IFERROR(IF($X$1="ABS",(100*RTD("tos.rtd",,"OPEN_INT","."&amp;U$2&amp;U$1&amp;"C"&amp;$A51)*RTD("tos.rtd",,"LAST","."&amp;U$2&amp;U$1&amp;"C"&amp;$A51)+100*RTD("tos.rtd",,"OPEN_INT","."&amp;U$2&amp;U$1&amp;"P"&amp;$A51)*RTD("tos.rtd",,"LAST","."&amp;U$2&amp;U$1&amp;"P"&amp;$A51))/1000000,(100*RTD("tos.rtd",,"OPEN_INT","."&amp;U$2&amp;U$1&amp;"C"&amp;$A51)*RTD("tos.rtd",,"LAST","."&amp;U$2&amp;U$1&amp;"C"&amp;$A51)-100*RTD("tos.rtd",,"OPEN_INT","."&amp;U$2&amp;U$1&amp;"P"&amp;$A51)*RTD("tos.rtd",,"LAST","."&amp;U$2&amp;U$1&amp;"P"&amp;$A51))/1000000),0),IF($A$2="PREMIUM",IFERROR(IF($X$1="ABS",(100*RTD("tos.rtd",,"VOLUME","."&amp;U$2&amp;U$1&amp;"C"&amp;$A51)*RTD("tos.rtd",,"LAST","."&amp;U$2&amp;U$1&amp;"C"&amp;$A51)+100*RTD("tos.rtd",,"VOLUME","."&amp;U$2&amp;U$1&amp;"P"&amp;$A51)*RTD("tos.rtd",,"LAST","."&amp;U$2&amp;U$1&amp;"P"&amp;$A51))/1000000,(100*RTD("tos.rtd",,"VOLUME","."&amp;U$2&amp;U$1&amp;"C"&amp;$A51)*RTD("tos.rtd",,"LAST","."&amp;U$2&amp;U$1&amp;"C"&amp;$A51)-100*RTD("tos.rtd",,"VOLUME","."&amp;U$2&amp;U$1&amp;"P"&amp;$A51)*RTD("tos.rtd",,"LAST","."&amp;U$2&amp;U$1&amp;"P"&amp;$A51))/1000000),0),IF($A$2="DEX",IFERROR(IF($X$1="ABS",(100*RTD("tos.rtd",,"OPEN_INT","."&amp;U$2&amp;U$1&amp;"C"&amp;$A51)*RTD("tos.rtd",,"DELTA","."&amp;U$2&amp;U$1&amp;"C"&amp;$A51)+100*RTD("tos.rtd",,"OPEN_INT","."&amp;U$2&amp;U$1&amp;"P"&amp;$A51)*RTD("tos.rtd",,"DELTA","."&amp;U$2&amp;U$1&amp;"P"&amp;$A51))/1000,(100*RTD("tos.rtd",,"OPEN_INT","."&amp;U$2&amp;U$1&amp;"C"&amp;$A51)*RTD("tos.rtd",,"DELTA","."&amp;U$2&amp;U$1&amp;"C"&amp;$A51)-100*RTD("tos.rtd",,"OPEN_INT","."&amp;U$2&amp;U$1&amp;"P"&amp;$A51)*RTD("tos.rtd",,"DELTA","."&amp;U$2&amp;U$1&amp;"P"&amp;$A51))/1000),0),IF($A$2="VEX",IFERROR(IF($X$1="ABS",($A$4*$A$4*RTD("tos.rtd",,"VOLUME","."&amp;U$2&amp;U$1&amp;"C"&amp;$A51)*RTD("tos.rtd",,"GAMMA","."&amp;U$2&amp;U$1&amp;"C"&amp;$A51)+$A$4*$A$4*RTD("tos.rtd",,"VOLUME","."&amp;U$2&amp;U$1&amp;"P"&amp;$A51)*RTD("tos.rtd",,"GAMMA","."&amp;U$2&amp;U$1&amp;"P"&amp;$A51))/1000000,($A$4*$A$4*RTD("tos.rtd",,"VOLUME","."&amp;U$2&amp;U$1&amp;"C"&amp;$A51)*RTD("tos.rtd",,"GAMMA","."&amp;U$2&amp;U$1&amp;"C"&amp;$A51)-$A$4*$A$4*RTD("tos.rtd",,"VOLUME","."&amp;U$2&amp;U$1&amp;"P"&amp;$A51)*RTD("tos.rtd",,"GAMMA","."&amp;U$2&amp;U$1&amp;"P"&amp;$A51))/1000000),0),IF($A$2="GEX",IFERROR(IF($X$1="ABS",($A$4*$A$4*RTD("tos.rtd",,"OPEN_INT","."&amp;U$2&amp;U$1&amp;"C"&amp;$A51)*RTD("tos.rtd",,"GAMMA","."&amp;U$2&amp;U$1&amp;"C"&amp;$A51)+$A$4*$A$4*RTD("tos.rtd",,"OPEN_INT","."&amp;U$2&amp;U$1&amp;"P"&amp;$A51)*RTD("tos.rtd",,"GAMMA","."&amp;U$2&amp;U$1&amp;"P"&amp;$A51))/1000000,($A$4*$A$4*RTD("tos.rtd",,"OPEN_INT","."&amp;U$2&amp;U$1&amp;"C"&amp;$A51)*RTD("tos.rtd",,"GAMMA","."&amp;U$2&amp;U$1&amp;"C"&amp;$A51)-$A$4*$A$4*RTD("tos.rtd",,"OPEN_INT","."&amp;U$2&amp;U$1&amp;"P"&amp;$A51)*RTD("tos.rtd",,"GAMMA","."&amp;U$2&amp;U$1&amp;"P"&amp;$A51))/1000000),0),IF($A$2="SKEW",IFERROR(VALUE(IF(RTD("tos.rtd",,"IMPL_VOL","."&amp;U$2&amp;U$1&amp;"P"&amp;$A51)="N/A",0,RTD("tos.rtd",,"IMPL_VOL","."&amp;U$2&amp;U$1&amp;"P"&amp;$A51))),0)-IFERROR(VALUE(IF(RTD("tos.rtd",,"IMPL_VOL","."&amp;U$2&amp;U$1&amp;"C"&amp;$A51)="N/A",0,RTD("tos.rtd",,"IMPL_VOL","."&amp;U$2&amp;U$1&amp;"C"&amp;$A51))),0),IF($A$2="MAXPAIN",IF($A$4&gt;$A51,($A$4-$A51)*IF(RTD("tos.rtd",,"OPEN_INT","."&amp;U$2&amp;U$1&amp;"C"&amp;$A51)="N/A",0,RTD("tos.rtd",,"OPEN_INT","."&amp;U$2&amp;U$1&amp;"C"&amp;$A51)),0)+IF($A$4&lt;$A51,($A$5-$A$4)*IF(RTD("tos.rtd",,"OPEN_INT","."&amp;U$2&amp;U$1&amp;"P"&amp;$A51)="N/A",0,RTD("tos.rtd",,"OPEN_INT","."&amp;U$2&amp;U$1&amp;"P"&amp;$A51)),0),IF($X$1="ABS",IF(RTD("tos.rtd",,$A$2,"."&amp;U$2&amp;U$1&amp;"C"&amp;$A51)="N/A",0,RTD("tos.rtd",,$A$2,"."&amp;U$2&amp;U$1&amp;"C"&amp;$A51))+IF(RTD("tos.rtd",,$A$2,"."&amp;U$2&amp;U$1&amp;"P"&amp;$A51)="N/A",0,RTD("tos.rtd",,$A$2,"."&amp;U$2&amp;U$1&amp;"P"&amp;$A51)),IF(RTD("tos.rtd",,$A$2,"."&amp;U$2&amp;U$1&amp;"C"&amp;$A51)="N/A",0,RTD("tos.rtd",,$A$2,"."&amp;U$2&amp;U$1&amp;"C"&amp;$A51))-IF(RTD("tos.rtd",,$A$2,"."&amp;U$2&amp;U$1&amp;"P"&amp;$A51)="N/A",0,RTD("tos.rtd",,$A$2,"."&amp;U$2&amp;U$1&amp;"P"&amp;$A51))))))))))</f>
        <v>0</v>
      </c>
      <c r="V51" s="16">
        <f ca="1">IF($A$2="PREMIUM_OI",IFERROR(IF($X$1="ABS",(100*RTD("tos.rtd",,"OPEN_INT","."&amp;V$2&amp;V$1&amp;"C"&amp;$A51)*RTD("tos.rtd",,"LAST","."&amp;V$2&amp;V$1&amp;"C"&amp;$A51)+100*RTD("tos.rtd",,"OPEN_INT","."&amp;V$2&amp;V$1&amp;"P"&amp;$A51)*RTD("tos.rtd",,"LAST","."&amp;V$2&amp;V$1&amp;"P"&amp;$A51))/1000000,(100*RTD("tos.rtd",,"OPEN_INT","."&amp;V$2&amp;V$1&amp;"C"&amp;$A51)*RTD("tos.rtd",,"LAST","."&amp;V$2&amp;V$1&amp;"C"&amp;$A51)-100*RTD("tos.rtd",,"OPEN_INT","."&amp;V$2&amp;V$1&amp;"P"&amp;$A51)*RTD("tos.rtd",,"LAST","."&amp;V$2&amp;V$1&amp;"P"&amp;$A51))/1000000),0),IF($A$2="PREMIUM",IFERROR(IF($X$1="ABS",(100*RTD("tos.rtd",,"VOLUME","."&amp;V$2&amp;V$1&amp;"C"&amp;$A51)*RTD("tos.rtd",,"LAST","."&amp;V$2&amp;V$1&amp;"C"&amp;$A51)+100*RTD("tos.rtd",,"VOLUME","."&amp;V$2&amp;V$1&amp;"P"&amp;$A51)*RTD("tos.rtd",,"LAST","."&amp;V$2&amp;V$1&amp;"P"&amp;$A51))/1000000,(100*RTD("tos.rtd",,"VOLUME","."&amp;V$2&amp;V$1&amp;"C"&amp;$A51)*RTD("tos.rtd",,"LAST","."&amp;V$2&amp;V$1&amp;"C"&amp;$A51)-100*RTD("tos.rtd",,"VOLUME","."&amp;V$2&amp;V$1&amp;"P"&amp;$A51)*RTD("tos.rtd",,"LAST","."&amp;V$2&amp;V$1&amp;"P"&amp;$A51))/1000000),0),IF($A$2="DEX",IFERROR(IF($X$1="ABS",(100*RTD("tos.rtd",,"OPEN_INT","."&amp;V$2&amp;V$1&amp;"C"&amp;$A51)*RTD("tos.rtd",,"DELTA","."&amp;V$2&amp;V$1&amp;"C"&amp;$A51)+100*RTD("tos.rtd",,"OPEN_INT","."&amp;V$2&amp;V$1&amp;"P"&amp;$A51)*RTD("tos.rtd",,"DELTA","."&amp;V$2&amp;V$1&amp;"P"&amp;$A51))/1000,(100*RTD("tos.rtd",,"OPEN_INT","."&amp;V$2&amp;V$1&amp;"C"&amp;$A51)*RTD("tos.rtd",,"DELTA","."&amp;V$2&amp;V$1&amp;"C"&amp;$A51)-100*RTD("tos.rtd",,"OPEN_INT","."&amp;V$2&amp;V$1&amp;"P"&amp;$A51)*RTD("tos.rtd",,"DELTA","."&amp;V$2&amp;V$1&amp;"P"&amp;$A51))/1000),0),IF($A$2="VEX",IFERROR(IF($X$1="ABS",($A$4*$A$4*RTD("tos.rtd",,"VOLUME","."&amp;V$2&amp;V$1&amp;"C"&amp;$A51)*RTD("tos.rtd",,"GAMMA","."&amp;V$2&amp;V$1&amp;"C"&amp;$A51)+$A$4*$A$4*RTD("tos.rtd",,"VOLUME","."&amp;V$2&amp;V$1&amp;"P"&amp;$A51)*RTD("tos.rtd",,"GAMMA","."&amp;V$2&amp;V$1&amp;"P"&amp;$A51))/1000000,($A$4*$A$4*RTD("tos.rtd",,"VOLUME","."&amp;V$2&amp;V$1&amp;"C"&amp;$A51)*RTD("tos.rtd",,"GAMMA","."&amp;V$2&amp;V$1&amp;"C"&amp;$A51)-$A$4*$A$4*RTD("tos.rtd",,"VOLUME","."&amp;V$2&amp;V$1&amp;"P"&amp;$A51)*RTD("tos.rtd",,"GAMMA","."&amp;V$2&amp;V$1&amp;"P"&amp;$A51))/1000000),0),IF($A$2="GEX",IFERROR(IF($X$1="ABS",($A$4*$A$4*RTD("tos.rtd",,"OPEN_INT","."&amp;V$2&amp;V$1&amp;"C"&amp;$A51)*RTD("tos.rtd",,"GAMMA","."&amp;V$2&amp;V$1&amp;"C"&amp;$A51)+$A$4*$A$4*RTD("tos.rtd",,"OPEN_INT","."&amp;V$2&amp;V$1&amp;"P"&amp;$A51)*RTD("tos.rtd",,"GAMMA","."&amp;V$2&amp;V$1&amp;"P"&amp;$A51))/1000000,($A$4*$A$4*RTD("tos.rtd",,"OPEN_INT","."&amp;V$2&amp;V$1&amp;"C"&amp;$A51)*RTD("tos.rtd",,"GAMMA","."&amp;V$2&amp;V$1&amp;"C"&amp;$A51)-$A$4*$A$4*RTD("tos.rtd",,"OPEN_INT","."&amp;V$2&amp;V$1&amp;"P"&amp;$A51)*RTD("tos.rtd",,"GAMMA","."&amp;V$2&amp;V$1&amp;"P"&amp;$A51))/1000000),0),IF($A$2="SKEW",IFERROR(VALUE(IF(RTD("tos.rtd",,"IMPL_VOL","."&amp;V$2&amp;V$1&amp;"P"&amp;$A51)="N/A",0,RTD("tos.rtd",,"IMPL_VOL","."&amp;V$2&amp;V$1&amp;"P"&amp;$A51))),0)-IFERROR(VALUE(IF(RTD("tos.rtd",,"IMPL_VOL","."&amp;V$2&amp;V$1&amp;"C"&amp;$A51)="N/A",0,RTD("tos.rtd",,"IMPL_VOL","."&amp;V$2&amp;V$1&amp;"C"&amp;$A51))),0),IF($A$2="MAXPAIN",IF($A$4&gt;$A51,($A$4-$A51)*IF(RTD("tos.rtd",,"OPEN_INT","."&amp;V$2&amp;V$1&amp;"C"&amp;$A51)="N/A",0,RTD("tos.rtd",,"OPEN_INT","."&amp;V$2&amp;V$1&amp;"C"&amp;$A51)),0)+IF($A$4&lt;$A51,($A$5-$A$4)*IF(RTD("tos.rtd",,"OPEN_INT","."&amp;V$2&amp;V$1&amp;"P"&amp;$A51)="N/A",0,RTD("tos.rtd",,"OPEN_INT","."&amp;V$2&amp;V$1&amp;"P"&amp;$A51)),0),IF($X$1="ABS",IF(RTD("tos.rtd",,$A$2,"."&amp;V$2&amp;V$1&amp;"C"&amp;$A51)="N/A",0,RTD("tos.rtd",,$A$2,"."&amp;V$2&amp;V$1&amp;"C"&amp;$A51))+IF(RTD("tos.rtd",,$A$2,"."&amp;V$2&amp;V$1&amp;"P"&amp;$A51)="N/A",0,RTD("tos.rtd",,$A$2,"."&amp;V$2&amp;V$1&amp;"P"&amp;$A51)),IF(RTD("tos.rtd",,$A$2,"."&amp;V$2&amp;V$1&amp;"C"&amp;$A51)="N/A",0,RTD("tos.rtd",,$A$2,"."&amp;V$2&amp;V$1&amp;"C"&amp;$A51))-IF(RTD("tos.rtd",,$A$2,"."&amp;V$2&amp;V$1&amp;"P"&amp;$A51)="N/A",0,RTD("tos.rtd",,$A$2,"."&amp;V$2&amp;V$1&amp;"P"&amp;$A51))))))))))</f>
        <v>0</v>
      </c>
      <c r="W51" s="16">
        <f ca="1">IF($A$2="PREMIUM_OI",IFERROR(IF($X$1="ABS",(100*RTD("tos.rtd",,"OPEN_INT","."&amp;W$2&amp;W$1&amp;"C"&amp;$A51)*RTD("tos.rtd",,"LAST","."&amp;W$2&amp;W$1&amp;"C"&amp;$A51)+100*RTD("tos.rtd",,"OPEN_INT","."&amp;W$2&amp;W$1&amp;"P"&amp;$A51)*RTD("tos.rtd",,"LAST","."&amp;W$2&amp;W$1&amp;"P"&amp;$A51))/1000000,(100*RTD("tos.rtd",,"OPEN_INT","."&amp;W$2&amp;W$1&amp;"C"&amp;$A51)*RTD("tos.rtd",,"LAST","."&amp;W$2&amp;W$1&amp;"C"&amp;$A51)-100*RTD("tos.rtd",,"OPEN_INT","."&amp;W$2&amp;W$1&amp;"P"&amp;$A51)*RTD("tos.rtd",,"LAST","."&amp;W$2&amp;W$1&amp;"P"&amp;$A51))/1000000),0),IF($A$2="PREMIUM",IFERROR(IF($X$1="ABS",(100*RTD("tos.rtd",,"VOLUME","."&amp;W$2&amp;W$1&amp;"C"&amp;$A51)*RTD("tos.rtd",,"LAST","."&amp;W$2&amp;W$1&amp;"C"&amp;$A51)+100*RTD("tos.rtd",,"VOLUME","."&amp;W$2&amp;W$1&amp;"P"&amp;$A51)*RTD("tos.rtd",,"LAST","."&amp;W$2&amp;W$1&amp;"P"&amp;$A51))/1000000,(100*RTD("tos.rtd",,"VOLUME","."&amp;W$2&amp;W$1&amp;"C"&amp;$A51)*RTD("tos.rtd",,"LAST","."&amp;W$2&amp;W$1&amp;"C"&amp;$A51)-100*RTD("tos.rtd",,"VOLUME","."&amp;W$2&amp;W$1&amp;"P"&amp;$A51)*RTD("tos.rtd",,"LAST","."&amp;W$2&amp;W$1&amp;"P"&amp;$A51))/1000000),0),IF($A$2="DEX",IFERROR(IF($X$1="ABS",(100*RTD("tos.rtd",,"OPEN_INT","."&amp;W$2&amp;W$1&amp;"C"&amp;$A51)*RTD("tos.rtd",,"DELTA","."&amp;W$2&amp;W$1&amp;"C"&amp;$A51)+100*RTD("tos.rtd",,"OPEN_INT","."&amp;W$2&amp;W$1&amp;"P"&amp;$A51)*RTD("tos.rtd",,"DELTA","."&amp;W$2&amp;W$1&amp;"P"&amp;$A51))/1000,(100*RTD("tos.rtd",,"OPEN_INT","."&amp;W$2&amp;W$1&amp;"C"&amp;$A51)*RTD("tos.rtd",,"DELTA","."&amp;W$2&amp;W$1&amp;"C"&amp;$A51)-100*RTD("tos.rtd",,"OPEN_INT","."&amp;W$2&amp;W$1&amp;"P"&amp;$A51)*RTD("tos.rtd",,"DELTA","."&amp;W$2&amp;W$1&amp;"P"&amp;$A51))/1000),0),IF($A$2="VEX",IFERROR(IF($X$1="ABS",($A$4*$A$4*RTD("tos.rtd",,"VOLUME","."&amp;W$2&amp;W$1&amp;"C"&amp;$A51)*RTD("tos.rtd",,"GAMMA","."&amp;W$2&amp;W$1&amp;"C"&amp;$A51)+$A$4*$A$4*RTD("tos.rtd",,"VOLUME","."&amp;W$2&amp;W$1&amp;"P"&amp;$A51)*RTD("tos.rtd",,"GAMMA","."&amp;W$2&amp;W$1&amp;"P"&amp;$A51))/1000000,($A$4*$A$4*RTD("tos.rtd",,"VOLUME","."&amp;W$2&amp;W$1&amp;"C"&amp;$A51)*RTD("tos.rtd",,"GAMMA","."&amp;W$2&amp;W$1&amp;"C"&amp;$A51)-$A$4*$A$4*RTD("tos.rtd",,"VOLUME","."&amp;W$2&amp;W$1&amp;"P"&amp;$A51)*RTD("tos.rtd",,"GAMMA","."&amp;W$2&amp;W$1&amp;"P"&amp;$A51))/1000000),0),IF($A$2="GEX",IFERROR(IF($X$1="ABS",($A$4*$A$4*RTD("tos.rtd",,"OPEN_INT","."&amp;W$2&amp;W$1&amp;"C"&amp;$A51)*RTD("tos.rtd",,"GAMMA","."&amp;W$2&amp;W$1&amp;"C"&amp;$A51)+$A$4*$A$4*RTD("tos.rtd",,"OPEN_INT","."&amp;W$2&amp;W$1&amp;"P"&amp;$A51)*RTD("tos.rtd",,"GAMMA","."&amp;W$2&amp;W$1&amp;"P"&amp;$A51))/1000000,($A$4*$A$4*RTD("tos.rtd",,"OPEN_INT","."&amp;W$2&amp;W$1&amp;"C"&amp;$A51)*RTD("tos.rtd",,"GAMMA","."&amp;W$2&amp;W$1&amp;"C"&amp;$A51)-$A$4*$A$4*RTD("tos.rtd",,"OPEN_INT","."&amp;W$2&amp;W$1&amp;"P"&amp;$A51)*RTD("tos.rtd",,"GAMMA","."&amp;W$2&amp;W$1&amp;"P"&amp;$A51))/1000000),0),IF($A$2="SKEW",IFERROR(VALUE(IF(RTD("tos.rtd",,"IMPL_VOL","."&amp;W$2&amp;W$1&amp;"P"&amp;$A51)="N/A",0,RTD("tos.rtd",,"IMPL_VOL","."&amp;W$2&amp;W$1&amp;"P"&amp;$A51))),0)-IFERROR(VALUE(IF(RTD("tos.rtd",,"IMPL_VOL","."&amp;W$2&amp;W$1&amp;"C"&amp;$A51)="N/A",0,RTD("tos.rtd",,"IMPL_VOL","."&amp;W$2&amp;W$1&amp;"C"&amp;$A51))),0),IF($A$2="MAXPAIN",IF($A$4&gt;$A51,($A$4-$A51)*IF(RTD("tos.rtd",,"OPEN_INT","."&amp;W$2&amp;W$1&amp;"C"&amp;$A51)="N/A",0,RTD("tos.rtd",,"OPEN_INT","."&amp;W$2&amp;W$1&amp;"C"&amp;$A51)),0)+IF($A$4&lt;$A51,($A$5-$A$4)*IF(RTD("tos.rtd",,"OPEN_INT","."&amp;W$2&amp;W$1&amp;"P"&amp;$A51)="N/A",0,RTD("tos.rtd",,"OPEN_INT","."&amp;W$2&amp;W$1&amp;"P"&amp;$A51)),0),IF($X$1="ABS",IF(RTD("tos.rtd",,$A$2,"."&amp;W$2&amp;W$1&amp;"C"&amp;$A51)="N/A",0,RTD("tos.rtd",,$A$2,"."&amp;W$2&amp;W$1&amp;"C"&amp;$A51))+IF(RTD("tos.rtd",,$A$2,"."&amp;W$2&amp;W$1&amp;"P"&amp;$A51)="N/A",0,RTD("tos.rtd",,$A$2,"."&amp;W$2&amp;W$1&amp;"P"&amp;$A51)),IF(RTD("tos.rtd",,$A$2,"."&amp;W$2&amp;W$1&amp;"C"&amp;$A51)="N/A",0,RTD("tos.rtd",,$A$2,"."&amp;W$2&amp;W$1&amp;"C"&amp;$A51))-IF(RTD("tos.rtd",,$A$2,"."&amp;W$2&amp;W$1&amp;"P"&amp;$A51)="N/A",0,RTD("tos.rtd",,$A$2,"."&amp;W$2&amp;W$1&amp;"P"&amp;$A51))))))))))</f>
        <v>0</v>
      </c>
      <c r="X51" s="58">
        <f t="shared" ca="1" si="7"/>
        <v>0</v>
      </c>
      <c r="Y51" s="27">
        <f t="shared" ca="1" si="8"/>
        <v>0</v>
      </c>
      <c r="Z51" s="27" t="b">
        <f t="shared" ca="1" si="9"/>
        <v>0</v>
      </c>
      <c r="AA51" s="27">
        <f t="shared" si="10"/>
        <v>65432800</v>
      </c>
      <c r="AB51" s="18">
        <f>MAX(0, $A51-AB$4)*IF(RTD("tos.rtd",,"OPEN_INT","."&amp;$AA$3&amp;$AA$4&amp;"C"&amp;AB$4)="N/A",0,RTD("tos.rtd",,"OPEN_INT","."&amp;$AA$3&amp;$AA$4&amp;"C"&amp;AB$4))*100 + MAX(0, AB$4-$A51)*IF(RTD("tos.rtd",,"OPEN_INT","."&amp;$AA$3&amp;$AA$4&amp;"P"&amp;AB$4)="N/A",0,RTD("tos.rtd",,"OPEN_INT","."&amp;$AA$3&amp;$AA$4&amp;"P"&amp;AB$4))*100</f>
        <v>0</v>
      </c>
      <c r="AC51" s="18">
        <f>MAX(0, $A51-AC$4)*IF(RTD("tos.rtd",,"OPEN_INT","."&amp;$AA$3&amp;$AA$4&amp;"C"&amp;AC$4)="N/A",0,RTD("tos.rtd",,"OPEN_INT","."&amp;$AA$3&amp;$AA$4&amp;"C"&amp;AC$4))*100 + MAX(0, AC$4-$A51)*IF(RTD("tos.rtd",,"OPEN_INT","."&amp;$AA$3&amp;$AA$4&amp;"P"&amp;AC$4)="N/A",0,RTD("tos.rtd",,"OPEN_INT","."&amp;$AA$3&amp;$AA$4&amp;"P"&amp;AC$4))*100</f>
        <v>0</v>
      </c>
      <c r="AD51" s="18">
        <f>MAX(0, $A51-AD$4)*IF(RTD("tos.rtd",,"OPEN_INT","."&amp;$AA$3&amp;$AA$4&amp;"C"&amp;AD$4)="N/A",0,RTD("tos.rtd",,"OPEN_INT","."&amp;$AA$3&amp;$AA$4&amp;"C"&amp;AD$4))*100 + MAX(0, AD$4-$A51)*IF(RTD("tos.rtd",,"OPEN_INT","."&amp;$AA$3&amp;$AA$4&amp;"P"&amp;AD$4)="N/A",0,RTD("tos.rtd",,"OPEN_INT","."&amp;$AA$3&amp;$AA$4&amp;"P"&amp;AD$4))*100</f>
        <v>0</v>
      </c>
      <c r="AE51" s="18">
        <f>MAX(0, $A51-AE$4)*IF(RTD("tos.rtd",,"OPEN_INT","."&amp;$AA$3&amp;$AA$4&amp;"C"&amp;AE$4)="N/A",0,RTD("tos.rtd",,"OPEN_INT","."&amp;$AA$3&amp;$AA$4&amp;"C"&amp;AE$4))*100 + MAX(0, AE$4-$A51)*IF(RTD("tos.rtd",,"OPEN_INT","."&amp;$AA$3&amp;$AA$4&amp;"P"&amp;AE$4)="N/A",0,RTD("tos.rtd",,"OPEN_INT","."&amp;$AA$3&amp;$AA$4&amp;"P"&amp;AE$4))*100</f>
        <v>0</v>
      </c>
      <c r="AF51" s="18">
        <f>MAX(0, $A51-AF$4)*IF(RTD("tos.rtd",,"OPEN_INT","."&amp;$AA$3&amp;$AA$4&amp;"C"&amp;AF$4)="N/A",0,RTD("tos.rtd",,"OPEN_INT","."&amp;$AA$3&amp;$AA$4&amp;"C"&amp;AF$4))*100 + MAX(0, AF$4-$A51)*IF(RTD("tos.rtd",,"OPEN_INT","."&amp;$AA$3&amp;$AA$4&amp;"P"&amp;AF$4)="N/A",0,RTD("tos.rtd",,"OPEN_INT","."&amp;$AA$3&amp;$AA$4&amp;"P"&amp;AF$4))*100</f>
        <v>0</v>
      </c>
      <c r="AG51" s="18">
        <f>MAX(0, $A51-AG$4)*IF(RTD("tos.rtd",,"OPEN_INT","."&amp;$AA$3&amp;$AA$4&amp;"C"&amp;AG$4)="N/A",0,RTD("tos.rtd",,"OPEN_INT","."&amp;$AA$3&amp;$AA$4&amp;"C"&amp;AG$4))*100 + MAX(0, AG$4-$A51)*IF(RTD("tos.rtd",,"OPEN_INT","."&amp;$AA$3&amp;$AA$4&amp;"P"&amp;AG$4)="N/A",0,RTD("tos.rtd",,"OPEN_INT","."&amp;$AA$3&amp;$AA$4&amp;"P"&amp;AG$4))*100</f>
        <v>0</v>
      </c>
      <c r="AH51" s="18">
        <f>MAX(0, $A51-AH$4)*IF(RTD("tos.rtd",,"OPEN_INT","."&amp;$AA$3&amp;$AA$4&amp;"C"&amp;AH$4)="N/A",0,RTD("tos.rtd",,"OPEN_INT","."&amp;$AA$3&amp;$AA$4&amp;"C"&amp;AH$4))*100 + MAX(0, AH$4-$A51)*IF(RTD("tos.rtd",,"OPEN_INT","."&amp;$AA$3&amp;$AA$4&amp;"P"&amp;AH$4)="N/A",0,RTD("tos.rtd",,"OPEN_INT","."&amp;$AA$3&amp;$AA$4&amp;"P"&amp;AH$4))*100</f>
        <v>0</v>
      </c>
      <c r="AI51" s="18">
        <f>MAX(0, $A51-AI$4)*IF(RTD("tos.rtd",,"OPEN_INT","."&amp;$AA$3&amp;$AA$4&amp;"C"&amp;AI$4)="N/A",0,RTD("tos.rtd",,"OPEN_INT","."&amp;$AA$3&amp;$AA$4&amp;"C"&amp;AI$4))*100 + MAX(0, AI$4-$A51)*IF(RTD("tos.rtd",,"OPEN_INT","."&amp;$AA$3&amp;$AA$4&amp;"P"&amp;AI$4)="N/A",0,RTD("tos.rtd",,"OPEN_INT","."&amp;$AA$3&amp;$AA$4&amp;"P"&amp;AI$4))*100</f>
        <v>5850</v>
      </c>
      <c r="AJ51" s="18">
        <f>MAX(0, $A51-AJ$4)*IF(RTD("tos.rtd",,"OPEN_INT","."&amp;$AA$3&amp;$AA$4&amp;"C"&amp;AJ$4)="N/A",0,RTD("tos.rtd",,"OPEN_INT","."&amp;$AA$3&amp;$AA$4&amp;"C"&amp;AJ$4))*100 + MAX(0, AJ$4-$A51)*IF(RTD("tos.rtd",,"OPEN_INT","."&amp;$AA$3&amp;$AA$4&amp;"P"&amp;AJ$4)="N/A",0,RTD("tos.rtd",,"OPEN_INT","."&amp;$AA$3&amp;$AA$4&amp;"P"&amp;AJ$4))*100</f>
        <v>15200</v>
      </c>
      <c r="AK51" s="18">
        <f>MAX(0, $A51-AK$4)*IF(RTD("tos.rtd",,"OPEN_INT","."&amp;$AA$3&amp;$AA$4&amp;"C"&amp;AK$4)="N/A",0,RTD("tos.rtd",,"OPEN_INT","."&amp;$AA$3&amp;$AA$4&amp;"C"&amp;AK$4))*100 + MAX(0, AK$4-$A51)*IF(RTD("tos.rtd",,"OPEN_INT","."&amp;$AA$3&amp;$AA$4&amp;"P"&amp;AK$4)="N/A",0,RTD("tos.rtd",,"OPEN_INT","."&amp;$AA$3&amp;$AA$4&amp;"P"&amp;AK$4))*100</f>
        <v>0</v>
      </c>
      <c r="AL51" s="18">
        <f>MAX(0, $A51-AL$4)*IF(RTD("tos.rtd",,"OPEN_INT","."&amp;$AA$3&amp;$AA$4&amp;"C"&amp;AL$4)="N/A",0,RTD("tos.rtd",,"OPEN_INT","."&amp;$AA$3&amp;$AA$4&amp;"C"&amp;AL$4))*100 + MAX(0, AL$4-$A51)*IF(RTD("tos.rtd",,"OPEN_INT","."&amp;$AA$3&amp;$AA$4&amp;"P"&amp;AL$4)="N/A",0,RTD("tos.rtd",,"OPEN_INT","."&amp;$AA$3&amp;$AA$4&amp;"P"&amp;AL$4))*100</f>
        <v>0</v>
      </c>
      <c r="AM51" s="18">
        <f>MAX(0, $A51-AM$4)*IF(RTD("tos.rtd",,"OPEN_INT","."&amp;$AA$3&amp;$AA$4&amp;"C"&amp;AM$4)="N/A",0,RTD("tos.rtd",,"OPEN_INT","."&amp;$AA$3&amp;$AA$4&amp;"C"&amp;AM$4))*100 + MAX(0, AM$4-$A51)*IF(RTD("tos.rtd",,"OPEN_INT","."&amp;$AA$3&amp;$AA$4&amp;"P"&amp;AM$4)="N/A",0,RTD("tos.rtd",,"OPEN_INT","."&amp;$AA$3&amp;$AA$4&amp;"P"&amp;AM$4))*100</f>
        <v>0</v>
      </c>
      <c r="AN51" s="18">
        <f>MAX(0, $A51-AN$4)*IF(RTD("tos.rtd",,"OPEN_INT","."&amp;$AA$3&amp;$AA$4&amp;"C"&amp;AN$4)="N/A",0,RTD("tos.rtd",,"OPEN_INT","."&amp;$AA$3&amp;$AA$4&amp;"C"&amp;AN$4))*100 + MAX(0, AN$4-$A51)*IF(RTD("tos.rtd",,"OPEN_INT","."&amp;$AA$3&amp;$AA$4&amp;"P"&amp;AN$4)="N/A",0,RTD("tos.rtd",,"OPEN_INT","."&amp;$AA$3&amp;$AA$4&amp;"P"&amp;AN$4))*100</f>
        <v>0</v>
      </c>
      <c r="AO51" s="18">
        <f>MAX(0, $A51-AO$4)*IF(RTD("tos.rtd",,"OPEN_INT","."&amp;$AA$3&amp;$AA$4&amp;"C"&amp;AO$4)="N/A",0,RTD("tos.rtd",,"OPEN_INT","."&amp;$AA$3&amp;$AA$4&amp;"C"&amp;AO$4))*100 + MAX(0, AO$4-$A51)*IF(RTD("tos.rtd",,"OPEN_INT","."&amp;$AA$3&amp;$AA$4&amp;"P"&amp;AO$4)="N/A",0,RTD("tos.rtd",,"OPEN_INT","."&amp;$AA$3&amp;$AA$4&amp;"P"&amp;AO$4))*100</f>
        <v>198000</v>
      </c>
      <c r="AP51" s="18">
        <f>MAX(0, $A51-AP$4)*IF(RTD("tos.rtd",,"OPEN_INT","."&amp;$AA$3&amp;$AA$4&amp;"C"&amp;AP$4)="N/A",0,RTD("tos.rtd",,"OPEN_INT","."&amp;$AA$3&amp;$AA$4&amp;"C"&amp;AP$4))*100 + MAX(0, AP$4-$A51)*IF(RTD("tos.rtd",,"OPEN_INT","."&amp;$AA$3&amp;$AA$4&amp;"P"&amp;AP$4)="N/A",0,RTD("tos.rtd",,"OPEN_INT","."&amp;$AA$3&amp;$AA$4&amp;"P"&amp;AP$4))*100</f>
        <v>0</v>
      </c>
      <c r="AQ51" s="18">
        <f>MAX(0, $A51-AQ$4)*IF(RTD("tos.rtd",,"OPEN_INT","."&amp;$AA$3&amp;$AA$4&amp;"C"&amp;AQ$4)="N/A",0,RTD("tos.rtd",,"OPEN_INT","."&amp;$AA$3&amp;$AA$4&amp;"C"&amp;AQ$4))*100 + MAX(0, AQ$4-$A51)*IF(RTD("tos.rtd",,"OPEN_INT","."&amp;$AA$3&amp;$AA$4&amp;"P"&amp;AQ$4)="N/A",0,RTD("tos.rtd",,"OPEN_INT","."&amp;$AA$3&amp;$AA$4&amp;"P"&amp;AQ$4))*100</f>
        <v>82150</v>
      </c>
      <c r="AR51" s="18">
        <f>MAX(0, $A51-AR$4)*IF(RTD("tos.rtd",,"OPEN_INT","."&amp;$AA$3&amp;$AA$4&amp;"C"&amp;AR$4)="N/A",0,RTD("tos.rtd",,"OPEN_INT","."&amp;$AA$3&amp;$AA$4&amp;"C"&amp;AR$4))*100 + MAX(0, AR$4-$A51)*IF(RTD("tos.rtd",,"OPEN_INT","."&amp;$AA$3&amp;$AA$4&amp;"P"&amp;AR$4)="N/A",0,RTD("tos.rtd",,"OPEN_INT","."&amp;$AA$3&amp;$AA$4&amp;"P"&amp;AR$4))*100</f>
        <v>9000</v>
      </c>
      <c r="AS51" s="18">
        <f>MAX(0, $A51-AS$4)*IF(RTD("tos.rtd",,"OPEN_INT","."&amp;$AA$3&amp;$AA$4&amp;"C"&amp;AS$4)="N/A",0,RTD("tos.rtd",,"OPEN_INT","."&amp;$AA$3&amp;$AA$4&amp;"C"&amp;AS$4))*100 + MAX(0, AS$4-$A51)*IF(RTD("tos.rtd",,"OPEN_INT","."&amp;$AA$3&amp;$AA$4&amp;"P"&amp;AS$4)="N/A",0,RTD("tos.rtd",,"OPEN_INT","."&amp;$AA$3&amp;$AA$4&amp;"P"&amp;AS$4))*100</f>
        <v>89900</v>
      </c>
      <c r="AT51" s="18">
        <f>MAX(0, $A51-AT$4)*IF(RTD("tos.rtd",,"OPEN_INT","."&amp;$AA$3&amp;$AA$4&amp;"C"&amp;AT$4)="N/A",0,RTD("tos.rtd",,"OPEN_INT","."&amp;$AA$3&amp;$AA$4&amp;"C"&amp;AT$4))*100 + MAX(0, AT$4-$A51)*IF(RTD("tos.rtd",,"OPEN_INT","."&amp;$AA$3&amp;$AA$4&amp;"P"&amp;AT$4)="N/A",0,RTD("tos.rtd",,"OPEN_INT","."&amp;$AA$3&amp;$AA$4&amp;"P"&amp;AT$4))*100</f>
        <v>98000</v>
      </c>
      <c r="AU51" s="18">
        <f>MAX(0, $A51-AU$4)*IF(RTD("tos.rtd",,"OPEN_INT","."&amp;$AA$3&amp;$AA$4&amp;"C"&amp;AU$4)="N/A",0,RTD("tos.rtd",,"OPEN_INT","."&amp;$AA$3&amp;$AA$4&amp;"C"&amp;AU$4))*100 + MAX(0, AU$4-$A51)*IF(RTD("tos.rtd",,"OPEN_INT","."&amp;$AA$3&amp;$AA$4&amp;"P"&amp;AU$4)="N/A",0,RTD("tos.rtd",,"OPEN_INT","."&amp;$AA$3&amp;$AA$4&amp;"P"&amp;AU$4))*100</f>
        <v>54000</v>
      </c>
      <c r="AV51" s="18">
        <f>MAX(0, $A51-AV$4)*IF(RTD("tos.rtd",,"OPEN_INT","."&amp;$AA$3&amp;$AA$4&amp;"C"&amp;AV$4)="N/A",0,RTD("tos.rtd",,"OPEN_INT","."&amp;$AA$3&amp;$AA$4&amp;"C"&amp;AV$4))*100 + MAX(0, AV$4-$A51)*IF(RTD("tos.rtd",,"OPEN_INT","."&amp;$AA$3&amp;$AA$4&amp;"P"&amp;AV$4)="N/A",0,RTD("tos.rtd",,"OPEN_INT","."&amp;$AA$3&amp;$AA$4&amp;"P"&amp;AV$4))*100</f>
        <v>209300</v>
      </c>
      <c r="AW51" s="18">
        <f>MAX(0, $A51-AW$4)*IF(RTD("tos.rtd",,"OPEN_INT","."&amp;$AA$3&amp;$AA$4&amp;"C"&amp;AW$4)="N/A",0,RTD("tos.rtd",,"OPEN_INT","."&amp;$AA$3&amp;$AA$4&amp;"C"&amp;AW$4))*100 + MAX(0, AW$4-$A51)*IF(RTD("tos.rtd",,"OPEN_INT","."&amp;$AA$3&amp;$AA$4&amp;"P"&amp;AW$4)="N/A",0,RTD("tos.rtd",,"OPEN_INT","."&amp;$AA$3&amp;$AA$4&amp;"P"&amp;AW$4))*100</f>
        <v>252500</v>
      </c>
      <c r="AX51" s="18">
        <f>MAX(0, $A51-AX$4)*IF(RTD("tos.rtd",,"OPEN_INT","."&amp;$AA$3&amp;$AA$4&amp;"C"&amp;AX$4)="N/A",0,RTD("tos.rtd",,"OPEN_INT","."&amp;$AA$3&amp;$AA$4&amp;"C"&amp;AX$4))*100 + MAX(0, AX$4-$A51)*IF(RTD("tos.rtd",,"OPEN_INT","."&amp;$AA$3&amp;$AA$4&amp;"P"&amp;AX$4)="N/A",0,RTD("tos.rtd",,"OPEN_INT","."&amp;$AA$3&amp;$AA$4&amp;"P"&amp;AX$4))*100</f>
        <v>296400</v>
      </c>
      <c r="AY51" s="18">
        <f>MAX(0, $A51-AY$4)*IF(RTD("tos.rtd",,"OPEN_INT","."&amp;$AA$3&amp;$AA$4&amp;"C"&amp;AY$4)="N/A",0,RTD("tos.rtd",,"OPEN_INT","."&amp;$AA$3&amp;$AA$4&amp;"C"&amp;AY$4))*100 + MAX(0, AY$4-$A51)*IF(RTD("tos.rtd",,"OPEN_INT","."&amp;$AA$3&amp;$AA$4&amp;"P"&amp;AY$4)="N/A",0,RTD("tos.rtd",,"OPEN_INT","."&amp;$AA$3&amp;$AA$4&amp;"P"&amp;AY$4))*100</f>
        <v>2385100</v>
      </c>
      <c r="AZ51" s="18">
        <f>MAX(0, $A51-AZ$4)*IF(RTD("tos.rtd",,"OPEN_INT","."&amp;$AA$3&amp;$AA$4&amp;"C"&amp;AZ$4)="N/A",0,RTD("tos.rtd",,"OPEN_INT","."&amp;$AA$3&amp;$AA$4&amp;"C"&amp;AZ$4))*100 + MAX(0, AZ$4-$A51)*IF(RTD("tos.rtd",,"OPEN_INT","."&amp;$AA$3&amp;$AA$4&amp;"P"&amp;AZ$4)="N/A",0,RTD("tos.rtd",,"OPEN_INT","."&amp;$AA$3&amp;$AA$4&amp;"P"&amp;AZ$4))*100</f>
        <v>624800</v>
      </c>
      <c r="BA51" s="18">
        <f>MAX(0, $A51-BA$4)*IF(RTD("tos.rtd",,"OPEN_INT","."&amp;$AA$3&amp;$AA$4&amp;"C"&amp;BA$4)="N/A",0,RTD("tos.rtd",,"OPEN_INT","."&amp;$AA$3&amp;$AA$4&amp;"C"&amp;BA$4))*100 + MAX(0, BA$4-$A51)*IF(RTD("tos.rtd",,"OPEN_INT","."&amp;$AA$3&amp;$AA$4&amp;"P"&amp;BA$4)="N/A",0,RTD("tos.rtd",,"OPEN_INT","."&amp;$AA$3&amp;$AA$4&amp;"P"&amp;BA$4))*100</f>
        <v>2457000</v>
      </c>
      <c r="BB51" s="18">
        <f>MAX(0, $A51-BB$4)*IF(RTD("tos.rtd",,"OPEN_INT","."&amp;$AA$3&amp;$AA$4&amp;"C"&amp;BB$4)="N/A",0,RTD("tos.rtd",,"OPEN_INT","."&amp;$AA$3&amp;$AA$4&amp;"C"&amp;BB$4))*100 + MAX(0, BB$4-$A51)*IF(RTD("tos.rtd",,"OPEN_INT","."&amp;$AA$3&amp;$AA$4&amp;"P"&amp;BB$4)="N/A",0,RTD("tos.rtd",,"OPEN_INT","."&amp;$AA$3&amp;$AA$4&amp;"P"&amp;BB$4))*100</f>
        <v>2284000</v>
      </c>
      <c r="BC51" s="18">
        <f>MAX(0, $A51-BC$4)*IF(RTD("tos.rtd",,"OPEN_INT","."&amp;$AA$3&amp;$AA$4&amp;"C"&amp;BC$4)="N/A",0,RTD("tos.rtd",,"OPEN_INT","."&amp;$AA$3&amp;$AA$4&amp;"C"&amp;BC$4))*100 + MAX(0, BC$4-$A51)*IF(RTD("tos.rtd",,"OPEN_INT","."&amp;$AA$3&amp;$AA$4&amp;"P"&amp;BC$4)="N/A",0,RTD("tos.rtd",,"OPEN_INT","."&amp;$AA$3&amp;$AA$4&amp;"P"&amp;BC$4))*100</f>
        <v>7268450</v>
      </c>
      <c r="BD51" s="18">
        <f>MAX(0, $A51-BD$4)*IF(RTD("tos.rtd",,"OPEN_INT","."&amp;$AA$3&amp;$AA$4&amp;"C"&amp;BD$4)="N/A",0,RTD("tos.rtd",,"OPEN_INT","."&amp;$AA$3&amp;$AA$4&amp;"C"&amp;BD$4))*100 + MAX(0, BD$4-$A51)*IF(RTD("tos.rtd",,"OPEN_INT","."&amp;$AA$3&amp;$AA$4&amp;"P"&amp;BD$4)="N/A",0,RTD("tos.rtd",,"OPEN_INT","."&amp;$AA$3&amp;$AA$4&amp;"P"&amp;BD$4))*100</f>
        <v>8838900</v>
      </c>
      <c r="BE51" s="18">
        <f>MAX(0, $A51-BE$4)*IF(RTD("tos.rtd",,"OPEN_INT","."&amp;$AA$3&amp;$AA$4&amp;"C"&amp;BE$4)="N/A",0,RTD("tos.rtd",,"OPEN_INT","."&amp;$AA$3&amp;$AA$4&amp;"C"&amp;BE$4))*100 + MAX(0, BE$4-$A51)*IF(RTD("tos.rtd",,"OPEN_INT","."&amp;$AA$3&amp;$AA$4&amp;"P"&amp;BE$4)="N/A",0,RTD("tos.rtd",,"OPEN_INT","."&amp;$AA$3&amp;$AA$4&amp;"P"&amp;BE$4))*100</f>
        <v>9448600</v>
      </c>
      <c r="BF51" s="18">
        <f>MAX(0, $A51-BF$4)*IF(RTD("tos.rtd",,"OPEN_INT","."&amp;$AA$3&amp;$AA$4&amp;"C"&amp;BF$4)="N/A",0,RTD("tos.rtd",,"OPEN_INT","."&amp;$AA$3&amp;$AA$4&amp;"C"&amp;BF$4))*100 + MAX(0, BF$4-$A51)*IF(RTD("tos.rtd",,"OPEN_INT","."&amp;$AA$3&amp;$AA$4&amp;"P"&amp;BF$4)="N/A",0,RTD("tos.rtd",,"OPEN_INT","."&amp;$AA$3&amp;$AA$4&amp;"P"&amp;BF$4))*100</f>
        <v>11127200</v>
      </c>
      <c r="BG51" s="18">
        <f>MAX(0, $A51-BG$4)*IF(RTD("tos.rtd",,"OPEN_INT","."&amp;$AA$3&amp;$AA$4&amp;"C"&amp;BG$4)="N/A",0,RTD("tos.rtd",,"OPEN_INT","."&amp;$AA$3&amp;$AA$4&amp;"C"&amp;BG$4))*100 + MAX(0, BG$4-$A51)*IF(RTD("tos.rtd",,"OPEN_INT","."&amp;$AA$3&amp;$AA$4&amp;"P"&amp;BG$4)="N/A",0,RTD("tos.rtd",,"OPEN_INT","."&amp;$AA$3&amp;$AA$4&amp;"P"&amp;BG$4))*100</f>
        <v>6806250</v>
      </c>
      <c r="BH51" s="18">
        <f>MAX(0, $A51-BH$4)*IF(RTD("tos.rtd",,"OPEN_INT","."&amp;$AA$3&amp;$AA$4&amp;"C"&amp;BH$4)="N/A",0,RTD("tos.rtd",,"OPEN_INT","."&amp;$AA$3&amp;$AA$4&amp;"C"&amp;BH$4))*100 + MAX(0, BH$4-$A51)*IF(RTD("tos.rtd",,"OPEN_INT","."&amp;$AA$3&amp;$AA$4&amp;"P"&amp;BH$4)="N/A",0,RTD("tos.rtd",,"OPEN_INT","."&amp;$AA$3&amp;$AA$4&amp;"P"&amp;BH$4))*100</f>
        <v>4496100</v>
      </c>
      <c r="BI51" s="18">
        <f>MAX(0, $A51-BI$4)*IF(RTD("tos.rtd",,"OPEN_INT","."&amp;$AA$3&amp;$AA$4&amp;"C"&amp;BI$4)="N/A",0,RTD("tos.rtd",,"OPEN_INT","."&amp;$AA$3&amp;$AA$4&amp;"C"&amp;BI$4))*100 + MAX(0, BI$4-$A51)*IF(RTD("tos.rtd",,"OPEN_INT","."&amp;$AA$3&amp;$AA$4&amp;"P"&amp;BI$4)="N/A",0,RTD("tos.rtd",,"OPEN_INT","."&amp;$AA$3&amp;$AA$4&amp;"P"&amp;BI$4))*100</f>
        <v>5216250</v>
      </c>
      <c r="BJ51" s="18">
        <f>MAX(0, $A51-BJ$4)*IF(RTD("tos.rtd",,"OPEN_INT","."&amp;$AA$3&amp;$AA$4&amp;"C"&amp;BJ$4)="N/A",0,RTD("tos.rtd",,"OPEN_INT","."&amp;$AA$3&amp;$AA$4&amp;"C"&amp;BJ$4))*100 + MAX(0, BJ$4-$A51)*IF(RTD("tos.rtd",,"OPEN_INT","."&amp;$AA$3&amp;$AA$4&amp;"P"&amp;BJ$4)="N/A",0,RTD("tos.rtd",,"OPEN_INT","."&amp;$AA$3&amp;$AA$4&amp;"P"&amp;BJ$4))*100</f>
        <v>1309800</v>
      </c>
      <c r="BK51" s="18">
        <f>MAX(0, $A51-BK$4)*IF(RTD("tos.rtd",,"OPEN_INT","."&amp;$AA$3&amp;$AA$4&amp;"C"&amp;BK$4)="N/A",0,RTD("tos.rtd",,"OPEN_INT","."&amp;$AA$3&amp;$AA$4&amp;"C"&amp;BK$4))*100 + MAX(0, BK$4-$A51)*IF(RTD("tos.rtd",,"OPEN_INT","."&amp;$AA$3&amp;$AA$4&amp;"P"&amp;BK$4)="N/A",0,RTD("tos.rtd",,"OPEN_INT","."&amp;$AA$3&amp;$AA$4&amp;"P"&amp;BK$4))*100</f>
        <v>1287000</v>
      </c>
      <c r="BL51" s="18">
        <f>MAX(0, $A51-BL$4)*IF(RTD("tos.rtd",,"OPEN_INT","."&amp;$AA$3&amp;$AA$4&amp;"C"&amp;BL$4)="N/A",0,RTD("tos.rtd",,"OPEN_INT","."&amp;$AA$3&amp;$AA$4&amp;"C"&amp;BL$4))*100 + MAX(0, BL$4-$A51)*IF(RTD("tos.rtd",,"OPEN_INT","."&amp;$AA$3&amp;$AA$4&amp;"P"&amp;BL$4)="N/A",0,RTD("tos.rtd",,"OPEN_INT","."&amp;$AA$3&amp;$AA$4&amp;"P"&amp;BL$4))*100</f>
        <v>196000</v>
      </c>
      <c r="BM51" s="18">
        <f>MAX(0, $A51-BM$4)*IF(RTD("tos.rtd",,"OPEN_INT","."&amp;$AA$3&amp;$AA$4&amp;"C"&amp;BM$4)="N/A",0,RTD("tos.rtd",,"OPEN_INT","."&amp;$AA$3&amp;$AA$4&amp;"C"&amp;BM$4))*100 + MAX(0, BM$4-$A51)*IF(RTD("tos.rtd",,"OPEN_INT","."&amp;$AA$3&amp;$AA$4&amp;"P"&amp;BM$4)="N/A",0,RTD("tos.rtd",,"OPEN_INT","."&amp;$AA$3&amp;$AA$4&amp;"P"&amp;BM$4))*100</f>
        <v>195750</v>
      </c>
      <c r="BN51" s="18">
        <f>MAX(0, $A51-BN$4)*IF(RTD("tos.rtd",,"OPEN_INT","."&amp;$AA$3&amp;$AA$4&amp;"C"&amp;BN$4)="N/A",0,RTD("tos.rtd",,"OPEN_INT","."&amp;$AA$3&amp;$AA$4&amp;"C"&amp;BN$4))*100 + MAX(0, BN$4-$A51)*IF(RTD("tos.rtd",,"OPEN_INT","."&amp;$AA$3&amp;$AA$4&amp;"P"&amp;BN$4)="N/A",0,RTD("tos.rtd",,"OPEN_INT","."&amp;$AA$3&amp;$AA$4&amp;"P"&amp;BN$4))*100</f>
        <v>25200</v>
      </c>
      <c r="BO51" s="18">
        <f>MAX(0, $A51-BO$4)*IF(RTD("tos.rtd",,"OPEN_INT","."&amp;$AA$3&amp;$AA$4&amp;"C"&amp;BO$4)="N/A",0,RTD("tos.rtd",,"OPEN_INT","."&amp;$AA$3&amp;$AA$4&amp;"C"&amp;BO$4))*100 + MAX(0, BO$4-$A51)*IF(RTD("tos.rtd",,"OPEN_INT","."&amp;$AA$3&amp;$AA$4&amp;"P"&amp;BO$4)="N/A",0,RTD("tos.rtd",,"OPEN_INT","."&amp;$AA$3&amp;$AA$4&amp;"P"&amp;BO$4))*100</f>
        <v>156100</v>
      </c>
      <c r="BP51" s="18">
        <f>MAX(0, $A51-BP$4)*IF(RTD("tos.rtd",,"OPEN_INT","."&amp;$AA$3&amp;$AA$4&amp;"C"&amp;BP$4)="N/A",0,RTD("tos.rtd",,"OPEN_INT","."&amp;$AA$3&amp;$AA$4&amp;"C"&amp;BP$4))*100 + MAX(0, BP$4-$A51)*IF(RTD("tos.rtd",,"OPEN_INT","."&amp;$AA$3&amp;$AA$4&amp;"P"&amp;BP$4)="N/A",0,RTD("tos.rtd",,"OPEN_INT","."&amp;$AA$3&amp;$AA$4&amp;"P"&amp;BP$4))*100</f>
        <v>0</v>
      </c>
      <c r="BQ51" s="18">
        <f>MAX(0, $A51-BQ$4)*IF(RTD("tos.rtd",,"OPEN_INT","."&amp;$AA$3&amp;$AA$4&amp;"C"&amp;BQ$4)="N/A",0,RTD("tos.rtd",,"OPEN_INT","."&amp;$AA$3&amp;$AA$4&amp;"C"&amp;BQ$4))*100 + MAX(0, BQ$4-$A51)*IF(RTD("tos.rtd",,"OPEN_INT","."&amp;$AA$3&amp;$AA$4&amp;"P"&amp;BQ$4)="N/A",0,RTD("tos.rtd",,"OPEN_INT","."&amp;$AA$3&amp;$AA$4&amp;"P"&amp;BQ$4))*100</f>
        <v>0</v>
      </c>
      <c r="BR51" s="18">
        <f>MAX(0, $A51-BR$4)*IF(RTD("tos.rtd",,"OPEN_INT","."&amp;$AA$3&amp;$AA$4&amp;"C"&amp;BR$4)="N/A",0,RTD("tos.rtd",,"OPEN_INT","."&amp;$AA$3&amp;$AA$4&amp;"C"&amp;BR$4))*100 + MAX(0, BR$4-$A51)*IF(RTD("tos.rtd",,"OPEN_INT","."&amp;$AA$3&amp;$AA$4&amp;"P"&amp;BR$4)="N/A",0,RTD("tos.rtd",,"OPEN_INT","."&amp;$AA$3&amp;$AA$4&amp;"P"&amp;BR$4))*100</f>
        <v>0</v>
      </c>
      <c r="BS51" s="18">
        <f>MAX(0, $A51-BS$4)*IF(RTD("tos.rtd",,"OPEN_INT","."&amp;$AA$3&amp;$AA$4&amp;"C"&amp;BS$4)="N/A",0,RTD("tos.rtd",,"OPEN_INT","."&amp;$AA$3&amp;$AA$4&amp;"C"&amp;BS$4))*100 + MAX(0, BS$4-$A51)*IF(RTD("tos.rtd",,"OPEN_INT","."&amp;$AA$3&amp;$AA$4&amp;"P"&amp;BS$4)="N/A",0,RTD("tos.rtd",,"OPEN_INT","."&amp;$AA$3&amp;$AA$4&amp;"P"&amp;BS$4))*100</f>
        <v>0</v>
      </c>
      <c r="BT51" s="18">
        <f>MAX(0, $A51-BT$4)*IF(RTD("tos.rtd",,"OPEN_INT","."&amp;$AA$3&amp;$AA$4&amp;"C"&amp;BT$4)="N/A",0,RTD("tos.rtd",,"OPEN_INT","."&amp;$AA$3&amp;$AA$4&amp;"C"&amp;BT$4))*100 + MAX(0, BT$4-$A51)*IF(RTD("tos.rtd",,"OPEN_INT","."&amp;$AA$3&amp;$AA$4&amp;"P"&amp;BT$4)="N/A",0,RTD("tos.rtd",,"OPEN_INT","."&amp;$AA$3&amp;$AA$4&amp;"P"&amp;BT$4))*100</f>
        <v>0</v>
      </c>
      <c r="BU51" s="18">
        <f>MAX(0, $A51-BU$4)*IF(RTD("tos.rtd",,"OPEN_INT","."&amp;$AA$3&amp;$AA$4&amp;"C"&amp;BU$4)="N/A",0,RTD("tos.rtd",,"OPEN_INT","."&amp;$AA$3&amp;$AA$4&amp;"C"&amp;BU$4))*100 + MAX(0, BU$4-$A51)*IF(RTD("tos.rtd",,"OPEN_INT","."&amp;$AA$3&amp;$AA$4&amp;"P"&amp;BU$4)="N/A",0,RTD("tos.rtd",,"OPEN_INT","."&amp;$AA$3&amp;$AA$4&amp;"P"&amp;BU$4))*100</f>
        <v>0</v>
      </c>
      <c r="BV51" s="18">
        <f>MAX(0, $A51-BV$4)*IF(RTD("tos.rtd",,"OPEN_INT","."&amp;$AA$3&amp;$AA$4&amp;"C"&amp;BV$4)="N/A",0,RTD("tos.rtd",,"OPEN_INT","."&amp;$AA$3&amp;$AA$4&amp;"C"&amp;BV$4))*100 + MAX(0, BV$4-$A51)*IF(RTD("tos.rtd",,"OPEN_INT","."&amp;$AA$3&amp;$AA$4&amp;"P"&amp;BV$4)="N/A",0,RTD("tos.rtd",,"OPEN_INT","."&amp;$AA$3&amp;$AA$4&amp;"P"&amp;BV$4))*100</f>
        <v>0</v>
      </c>
    </row>
    <row r="52" spans="1:74" ht="11.1" customHeight="1" x14ac:dyDescent="0.25">
      <c r="A52" s="21" t="str">
        <f ca="1">TEXT(NOW(),"YYMMDD")</f>
        <v>251111</v>
      </c>
      <c r="B52" s="11">
        <f ca="1">IF($B$1&gt;=A52,1,0)</f>
        <v>0</v>
      </c>
      <c r="C52" s="11">
        <f t="shared" ref="C52:W52" ca="1" si="12">IF($B$1&gt;=B52,1,0)</f>
        <v>1</v>
      </c>
      <c r="D52" s="11">
        <f t="shared" ca="1" si="12"/>
        <v>1</v>
      </c>
      <c r="E52" s="11">
        <f t="shared" ca="1" si="12"/>
        <v>1</v>
      </c>
      <c r="F52" s="11">
        <f t="shared" ca="1" si="12"/>
        <v>1</v>
      </c>
      <c r="G52" s="11">
        <f t="shared" ca="1" si="12"/>
        <v>1</v>
      </c>
      <c r="H52" s="11">
        <f t="shared" ca="1" si="12"/>
        <v>1</v>
      </c>
      <c r="I52" s="11">
        <f t="shared" ca="1" si="12"/>
        <v>1</v>
      </c>
      <c r="J52" s="11">
        <f t="shared" ca="1" si="12"/>
        <v>1</v>
      </c>
      <c r="K52" s="11">
        <f t="shared" ca="1" si="12"/>
        <v>1</v>
      </c>
      <c r="L52" s="11">
        <f t="shared" ca="1" si="12"/>
        <v>1</v>
      </c>
      <c r="M52" s="11">
        <f t="shared" ca="1" si="12"/>
        <v>1</v>
      </c>
      <c r="N52" s="11">
        <f t="shared" ca="1" si="12"/>
        <v>1</v>
      </c>
      <c r="O52" s="11">
        <f t="shared" ca="1" si="12"/>
        <v>1</v>
      </c>
      <c r="P52" s="11">
        <f t="shared" ca="1" si="12"/>
        <v>1</v>
      </c>
      <c r="Q52" s="11">
        <f t="shared" ca="1" si="12"/>
        <v>1</v>
      </c>
      <c r="R52" s="11">
        <f t="shared" ca="1" si="12"/>
        <v>1</v>
      </c>
      <c r="S52" s="11">
        <f t="shared" ca="1" si="12"/>
        <v>1</v>
      </c>
      <c r="T52" s="11">
        <f t="shared" ca="1" si="12"/>
        <v>1</v>
      </c>
      <c r="U52" s="11">
        <f t="shared" ca="1" si="12"/>
        <v>1</v>
      </c>
      <c r="V52" s="11">
        <f t="shared" ca="1" si="12"/>
        <v>1</v>
      </c>
      <c r="W52" s="11">
        <f t="shared" ca="1" si="12"/>
        <v>1</v>
      </c>
      <c r="Y52" s="7">
        <f ca="1">INDEX(A5:A51,MATCH(MIN(Y5:Y51),Y5:Y51,0))</f>
        <v>1</v>
      </c>
      <c r="Z52" s="7">
        <f ca="1">INDEX(A5:A51,MATCH(MIN(Z5:Z51),Z5:Z51,0))</f>
        <v>6</v>
      </c>
      <c r="AA52" s="3" t="s">
        <v>0</v>
      </c>
      <c r="AB52" s="7">
        <f ca="1">MAX(0, $A52-AB$4)*IF(RTD("tos.rtd",,"OPEN_INT","."&amp;$AA$3&amp;$AA$4&amp;"C"&amp;AB$4)="N/A",0,RTD("tos.rtd",,"OPEN_INT","."&amp;$AA$3&amp;$AA$4&amp;"C"&amp;AB$4))*100 + MAX(0, AB$4-$A52)*IF(RTD("tos.rtd",,"OPEN_INT","."&amp;$AA$3&amp;$AA$4&amp;"P"&amp;AB$4)="N/A",0,RTD("tos.rtd",,"OPEN_INT","."&amp;$AA$3&amp;$AA$4&amp;"P"&amp;AB$4))*100</f>
        <v>0</v>
      </c>
      <c r="AC52" s="7">
        <f ca="1">MAX(0, $A52-AC$4)*IF(RTD("tos.rtd",,"OPEN_INT","."&amp;$AA$3&amp;$AA$4&amp;"C"&amp;AC$4)="N/A",0,RTD("tos.rtd",,"OPEN_INT","."&amp;$AA$3&amp;$AA$4&amp;"C"&amp;AC$4))*100 + MAX(0, AC$4-$A52)*IF(RTD("tos.rtd",,"OPEN_INT","."&amp;$AA$3&amp;$AA$4&amp;"P"&amp;AC$4)="N/A",0,RTD("tos.rtd",,"OPEN_INT","."&amp;$AA$3&amp;$AA$4&amp;"P"&amp;AC$4))*100</f>
        <v>0</v>
      </c>
      <c r="AD52" s="7">
        <f ca="1">MAX(0, $A52-AD$4)*IF(RTD("tos.rtd",,"OPEN_INT","."&amp;$AA$3&amp;$AA$4&amp;"C"&amp;AD$4)="N/A",0,RTD("tos.rtd",,"OPEN_INT","."&amp;$AA$3&amp;$AA$4&amp;"C"&amp;AD$4))*100 + MAX(0, AD$4-$A52)*IF(RTD("tos.rtd",,"OPEN_INT","."&amp;$AA$3&amp;$AA$4&amp;"P"&amp;AD$4)="N/A",0,RTD("tos.rtd",,"OPEN_INT","."&amp;$AA$3&amp;$AA$4&amp;"P"&amp;AD$4))*100</f>
        <v>0</v>
      </c>
      <c r="AE52" s="7">
        <f ca="1">MAX(0, $A52-AE$4)*IF(RTD("tos.rtd",,"OPEN_INT","."&amp;$AA$3&amp;$AA$4&amp;"C"&amp;AE$4)="N/A",0,RTD("tos.rtd",,"OPEN_INT","."&amp;$AA$3&amp;$AA$4&amp;"C"&amp;AE$4))*100 + MAX(0, AE$4-$A52)*IF(RTD("tos.rtd",,"OPEN_INT","."&amp;$AA$3&amp;$AA$4&amp;"P"&amp;AE$4)="N/A",0,RTD("tos.rtd",,"OPEN_INT","."&amp;$AA$3&amp;$AA$4&amp;"P"&amp;AE$4))*100</f>
        <v>0</v>
      </c>
      <c r="AF52" s="7">
        <f ca="1">MAX(0, $A52-AF$4)*IF(RTD("tos.rtd",,"OPEN_INT","."&amp;$AA$3&amp;$AA$4&amp;"C"&amp;AF$4)="N/A",0,RTD("tos.rtd",,"OPEN_INT","."&amp;$AA$3&amp;$AA$4&amp;"C"&amp;AF$4))*100 + MAX(0, AF$4-$A52)*IF(RTD("tos.rtd",,"OPEN_INT","."&amp;$AA$3&amp;$AA$4&amp;"P"&amp;AF$4)="N/A",0,RTD("tos.rtd",,"OPEN_INT","."&amp;$AA$3&amp;$AA$4&amp;"P"&amp;AF$4))*100</f>
        <v>0</v>
      </c>
      <c r="AG52" s="7">
        <f ca="1">MAX(0, $A52-AG$4)*IF(RTD("tos.rtd",,"OPEN_INT","."&amp;$AA$3&amp;$AA$4&amp;"C"&amp;AG$4)="N/A",0,RTD("tos.rtd",,"OPEN_INT","."&amp;$AA$3&amp;$AA$4&amp;"C"&amp;AG$4))*100 + MAX(0, AG$4-$A52)*IF(RTD("tos.rtd",,"OPEN_INT","."&amp;$AA$3&amp;$AA$4&amp;"P"&amp;AG$4)="N/A",0,RTD("tos.rtd",,"OPEN_INT","."&amp;$AA$3&amp;$AA$4&amp;"P"&amp;AG$4))*100</f>
        <v>0</v>
      </c>
      <c r="AH52" s="7">
        <f ca="1">MAX(0, $A52-AH$4)*IF(RTD("tos.rtd",,"OPEN_INT","."&amp;$AA$3&amp;$AA$4&amp;"C"&amp;AH$4)="N/A",0,RTD("tos.rtd",,"OPEN_INT","."&amp;$AA$3&amp;$AA$4&amp;"C"&amp;AH$4))*100 + MAX(0, AH$4-$A52)*IF(RTD("tos.rtd",,"OPEN_INT","."&amp;$AA$3&amp;$AA$4&amp;"P"&amp;AH$4)="N/A",0,RTD("tos.rtd",,"OPEN_INT","."&amp;$AA$3&amp;$AA$4&amp;"P"&amp;AH$4))*100</f>
        <v>0</v>
      </c>
      <c r="AI52" s="7">
        <f ca="1">MAX(0, $A52-AI$4)*IF(RTD("tos.rtd",,"OPEN_INT","."&amp;$AA$3&amp;$AA$4&amp;"C"&amp;AI$4)="N/A",0,RTD("tos.rtd",,"OPEN_INT","."&amp;$AA$3&amp;$AA$4&amp;"C"&amp;AI$4))*100 + MAX(0, AI$4-$A52)*IF(RTD("tos.rtd",,"OPEN_INT","."&amp;$AA$3&amp;$AA$4&amp;"P"&amp;AI$4)="N/A",0,RTD("tos.rtd",,"OPEN_INT","."&amp;$AA$3&amp;$AA$4&amp;"P"&amp;AI$4))*100</f>
        <v>68196858800</v>
      </c>
      <c r="AJ52" s="7">
        <f ca="1">MAX(0, $A52-AJ$4)*IF(RTD("tos.rtd",,"OPEN_INT","."&amp;$AA$3&amp;$AA$4&amp;"C"&amp;AJ$4)="N/A",0,RTD("tos.rtd",,"OPEN_INT","."&amp;$AA$3&amp;$AA$4&amp;"C"&amp;AJ$4))*100 + MAX(0, AJ$4-$A52)*IF(RTD("tos.rtd",,"OPEN_INT","."&amp;$AA$3&amp;$AA$4&amp;"P"&amp;AJ$4)="N/A",0,RTD("tos.rtd",,"OPEN_INT","."&amp;$AA$3&amp;$AA$4&amp;"P"&amp;AJ$4))*100</f>
        <v>6754415150</v>
      </c>
      <c r="AK52" s="7">
        <f ca="1">MAX(0, $A52-AK$4)*IF(RTD("tos.rtd",,"OPEN_INT","."&amp;$AA$3&amp;$AA$4&amp;"C"&amp;AK$4)="N/A",0,RTD("tos.rtd",,"OPEN_INT","."&amp;$AA$3&amp;$AA$4&amp;"C"&amp;AK$4))*100 + MAX(0, AK$4-$A52)*IF(RTD("tos.rtd",,"OPEN_INT","."&amp;$AA$3&amp;$AA$4&amp;"P"&amp;AK$4)="N/A",0,RTD("tos.rtd",,"OPEN_INT","."&amp;$AA$3&amp;$AA$4&amp;"P"&amp;AK$4))*100</f>
        <v>70632742200</v>
      </c>
      <c r="AL52" s="7">
        <f ca="1">MAX(0, $A52-AL$4)*IF(RTD("tos.rtd",,"OPEN_INT","."&amp;$AA$3&amp;$AA$4&amp;"C"&amp;AL$4)="N/A",0,RTD("tos.rtd",,"OPEN_INT","."&amp;$AA$3&amp;$AA$4&amp;"C"&amp;AL$4))*100 + MAX(0, AL$4-$A52)*IF(RTD("tos.rtd",,"OPEN_INT","."&amp;$AA$3&amp;$AA$4&amp;"P"&amp;AL$4)="N/A",0,RTD("tos.rtd",,"OPEN_INT","."&amp;$AA$3&amp;$AA$4&amp;"P"&amp;AL$4))*100</f>
        <v>0</v>
      </c>
      <c r="AM52" s="7">
        <f ca="1">MAX(0, $A52-AM$4)*IF(RTD("tos.rtd",,"OPEN_INT","."&amp;$AA$3&amp;$AA$4&amp;"C"&amp;AM$4)="N/A",0,RTD("tos.rtd",,"OPEN_INT","."&amp;$AA$3&amp;$AA$4&amp;"C"&amp;AM$4))*100 + MAX(0, AM$4-$A52)*IF(RTD("tos.rtd",,"OPEN_INT","."&amp;$AA$3&amp;$AA$4&amp;"P"&amp;AM$4)="N/A",0,RTD("tos.rtd",,"OPEN_INT","."&amp;$AA$3&amp;$AA$4&amp;"P"&amp;AM$4))*100</f>
        <v>59383967500</v>
      </c>
      <c r="AN52" s="7">
        <f ca="1">MAX(0, $A52-AN$4)*IF(RTD("tos.rtd",,"OPEN_INT","."&amp;$AA$3&amp;$AA$4&amp;"C"&amp;AN$4)="N/A",0,RTD("tos.rtd",,"OPEN_INT","."&amp;$AA$3&amp;$AA$4&amp;"C"&amp;AN$4))*100 + MAX(0, AN$4-$A52)*IF(RTD("tos.rtd",,"OPEN_INT","."&amp;$AA$3&amp;$AA$4&amp;"P"&amp;AN$4)="N/A",0,RTD("tos.rtd",,"OPEN_INT","."&amp;$AA$3&amp;$AA$4&amp;"P"&amp;AN$4))*100</f>
        <v>0</v>
      </c>
      <c r="AO52" s="7">
        <f ca="1">MAX(0, $A52-AO$4)*IF(RTD("tos.rtd",,"OPEN_INT","."&amp;$AA$3&amp;$AA$4&amp;"C"&amp;AO$4)="N/A",0,RTD("tos.rtd",,"OPEN_INT","."&amp;$AA$3&amp;$AA$4&amp;"C"&amp;AO$4))*100 + MAX(0, AO$4-$A52)*IF(RTD("tos.rtd",,"OPEN_INT","."&amp;$AA$3&amp;$AA$4&amp;"P"&amp;AO$4)="N/A",0,RTD("tos.rtd",,"OPEN_INT","."&amp;$AA$3&amp;$AA$4&amp;"P"&amp;AO$4))*100</f>
        <v>17300514400</v>
      </c>
      <c r="AP52" s="7">
        <f ca="1">MAX(0, $A52-AP$4)*IF(RTD("tos.rtd",,"OPEN_INT","."&amp;$AA$3&amp;$AA$4&amp;"C"&amp;AP$4)="N/A",0,RTD("tos.rtd",,"OPEN_INT","."&amp;$AA$3&amp;$AA$4&amp;"C"&amp;AP$4))*100 + MAX(0, AP$4-$A52)*IF(RTD("tos.rtd",,"OPEN_INT","."&amp;$AA$3&amp;$AA$4&amp;"P"&amp;AP$4)="N/A",0,RTD("tos.rtd",,"OPEN_INT","."&amp;$AA$3&amp;$AA$4&amp;"P"&amp;AP$4))*100</f>
        <v>0</v>
      </c>
      <c r="AQ52" s="7">
        <f ca="1">MAX(0, $A52-AQ$4)*IF(RTD("tos.rtd",,"OPEN_INT","."&amp;$AA$3&amp;$AA$4&amp;"C"&amp;AQ$4)="N/A",0,RTD("tos.rtd",,"OPEN_INT","."&amp;$AA$3&amp;$AA$4&amp;"C"&amp;AQ$4))*100 + MAX(0, AQ$4-$A52)*IF(RTD("tos.rtd",,"OPEN_INT","."&amp;$AA$3&amp;$AA$4&amp;"P"&amp;AQ$4)="N/A",0,RTD("tos.rtd",,"OPEN_INT","."&amp;$AA$3&amp;$AA$4&amp;"P"&amp;AQ$4))*100</f>
        <v>16070208000</v>
      </c>
      <c r="AR52" s="7">
        <f ca="1">MAX(0, $A52-AR$4)*IF(RTD("tos.rtd",,"OPEN_INT","."&amp;$AA$3&amp;$AA$4&amp;"C"&amp;AR$4)="N/A",0,RTD("tos.rtd",,"OPEN_INT","."&amp;$AA$3&amp;$AA$4&amp;"C"&amp;AR$4))*100 + MAX(0, AR$4-$A52)*IF(RTD("tos.rtd",,"OPEN_INT","."&amp;$AA$3&amp;$AA$4&amp;"P"&amp;AR$4)="N/A",0,RTD("tos.rtd",,"OPEN_INT","."&amp;$AA$3&amp;$AA$4&amp;"P"&amp;AR$4))*100</f>
        <v>25109750</v>
      </c>
      <c r="AS52" s="7">
        <f ca="1">MAX(0, $A52-AS$4)*IF(RTD("tos.rtd",,"OPEN_INT","."&amp;$AA$3&amp;$AA$4&amp;"C"&amp;AS$4)="N/A",0,RTD("tos.rtd",,"OPEN_INT","."&amp;$AA$3&amp;$AA$4&amp;"C"&amp;AS$4))*100 + MAX(0, AS$4-$A52)*IF(RTD("tos.rtd",,"OPEN_INT","."&amp;$AA$3&amp;$AA$4&amp;"P"&amp;AS$4)="N/A",0,RTD("tos.rtd",,"OPEN_INT","."&amp;$AA$3&amp;$AA$4&amp;"P"&amp;AS$4))*100</f>
        <v>21644647600</v>
      </c>
      <c r="AT52" s="7">
        <f ca="1">MAX(0, $A52-AT$4)*IF(RTD("tos.rtd",,"OPEN_INT","."&amp;$AA$3&amp;$AA$4&amp;"C"&amp;AT$4)="N/A",0,RTD("tos.rtd",,"OPEN_INT","."&amp;$AA$3&amp;$AA$4&amp;"C"&amp;AT$4))*100 + MAX(0, AT$4-$A52)*IF(RTD("tos.rtd",,"OPEN_INT","."&amp;$AA$3&amp;$AA$4&amp;"P"&amp;AT$4)="N/A",0,RTD("tos.rtd",,"OPEN_INT","."&amp;$AA$3&amp;$AA$4&amp;"P"&amp;AT$4))*100</f>
        <v>35204009700</v>
      </c>
      <c r="AU52" s="7">
        <f ca="1">MAX(0, $A52-AU$4)*IF(RTD("tos.rtd",,"OPEN_INT","."&amp;$AA$3&amp;$AA$4&amp;"C"&amp;AU$4)="N/A",0,RTD("tos.rtd",,"OPEN_INT","."&amp;$AA$3&amp;$AA$4&amp;"C"&amp;AU$4))*100 + MAX(0, AU$4-$A52)*IF(RTD("tos.rtd",,"OPEN_INT","."&amp;$AA$3&amp;$AA$4&amp;"P"&amp;AU$4)="N/A",0,RTD("tos.rtd",,"OPEN_INT","."&amp;$AA$3&amp;$AA$4&amp;"P"&amp;AU$4))*100</f>
        <v>42259961700</v>
      </c>
      <c r="AV52" s="7">
        <f ca="1">MAX(0, $A52-AV$4)*IF(RTD("tos.rtd",,"OPEN_INT","."&amp;$AA$3&amp;$AA$4&amp;"C"&amp;AV$4)="N/A",0,RTD("tos.rtd",,"OPEN_INT","."&amp;$AA$3&amp;$AA$4&amp;"C"&amp;AV$4))*100 + MAX(0, AV$4-$A52)*IF(RTD("tos.rtd",,"OPEN_INT","."&amp;$AA$3&amp;$AA$4&amp;"P"&amp;AV$4)="N/A",0,RTD("tos.rtd",,"OPEN_INT","."&amp;$AA$3&amp;$AA$4&amp;"P"&amp;AV$4))*100</f>
        <v>47407585600</v>
      </c>
      <c r="AW52" s="7">
        <f ca="1">MAX(0, $A52-AW$4)*IF(RTD("tos.rtd",,"OPEN_INT","."&amp;$AA$3&amp;$AA$4&amp;"C"&amp;AW$4)="N/A",0,RTD("tos.rtd",,"OPEN_INT","."&amp;$AA$3&amp;$AA$4&amp;"C"&amp;AW$4))*100 + MAX(0, AW$4-$A52)*IF(RTD("tos.rtd",,"OPEN_INT","."&amp;$AA$3&amp;$AA$4&amp;"P"&amp;AW$4)="N/A",0,RTD("tos.rtd",,"OPEN_INT","."&amp;$AA$3&amp;$AA$4&amp;"P"&amp;AW$4))*100</f>
        <v>77213250000</v>
      </c>
      <c r="AX52" s="7">
        <f ca="1">MAX(0, $A52-AX$4)*IF(RTD("tos.rtd",,"OPEN_INT","."&amp;$AA$3&amp;$AA$4&amp;"C"&amp;AX$4)="N/A",0,RTD("tos.rtd",,"OPEN_INT","."&amp;$AA$3&amp;$AA$4&amp;"C"&amp;AX$4))*100 + MAX(0, AX$4-$A52)*IF(RTD("tos.rtd",,"OPEN_INT","."&amp;$AA$3&amp;$AA$4&amp;"P"&amp;AX$4)="N/A",0,RTD("tos.rtd",,"OPEN_INT","."&amp;$AA$3&amp;$AA$4&amp;"P"&amp;AX$4))*100</f>
        <v>106793042650</v>
      </c>
      <c r="AY52" s="7">
        <f ca="1">MAX(0, $A52-AY$4)*IF(RTD("tos.rtd",,"OPEN_INT","."&amp;$AA$3&amp;$AA$4&amp;"C"&amp;AY$4)="N/A",0,RTD("tos.rtd",,"OPEN_INT","."&amp;$AA$3&amp;$AA$4&amp;"C"&amp;AY$4))*100 + MAX(0, AY$4-$A52)*IF(RTD("tos.rtd",,"OPEN_INT","."&amp;$AA$3&amp;$AA$4&amp;"P"&amp;AY$4)="N/A",0,RTD("tos.rtd",,"OPEN_INT","."&amp;$AA$3&amp;$AA$4&amp;"P"&amp;AY$4))*100</f>
        <v>490852234800</v>
      </c>
      <c r="AZ52" s="7">
        <f ca="1">MAX(0, $A52-AZ$4)*IF(RTD("tos.rtd",,"OPEN_INT","."&amp;$AA$3&amp;$AA$4&amp;"C"&amp;AZ$4)="N/A",0,RTD("tos.rtd",,"OPEN_INT","."&amp;$AA$3&amp;$AA$4&amp;"C"&amp;AZ$4))*100 + MAX(0, AZ$4-$A52)*IF(RTD("tos.rtd",,"OPEN_INT","."&amp;$AA$3&amp;$AA$4&amp;"P"&amp;AZ$4)="N/A",0,RTD("tos.rtd",,"OPEN_INT","."&amp;$AA$3&amp;$AA$4&amp;"P"&amp;AZ$4))*100</f>
        <v>247334977500</v>
      </c>
      <c r="BA52" s="7">
        <f ca="1">MAX(0, $A52-BA$4)*IF(RTD("tos.rtd",,"OPEN_INT","."&amp;$AA$3&amp;$AA$4&amp;"C"&amp;BA$4)="N/A",0,RTD("tos.rtd",,"OPEN_INT","."&amp;$AA$3&amp;$AA$4&amp;"C"&amp;BA$4))*100 + MAX(0, BA$4-$A52)*IF(RTD("tos.rtd",,"OPEN_INT","."&amp;$AA$3&amp;$AA$4&amp;"P"&amp;BA$4)="N/A",0,RTD("tos.rtd",,"OPEN_INT","."&amp;$AA$3&amp;$AA$4&amp;"P"&amp;BA$4))*100</f>
        <v>773569931400</v>
      </c>
      <c r="BB52" s="7">
        <f ca="1">MAX(0, $A52-BB$4)*IF(RTD("tos.rtd",,"OPEN_INT","."&amp;$AA$3&amp;$AA$4&amp;"C"&amp;BB$4)="N/A",0,RTD("tos.rtd",,"OPEN_INT","."&amp;$AA$3&amp;$AA$4&amp;"C"&amp;BB$4))*100 + MAX(0, BB$4-$A52)*IF(RTD("tos.rtd",,"OPEN_INT","."&amp;$AA$3&amp;$AA$4&amp;"P"&amp;BB$4)="N/A",0,RTD("tos.rtd",,"OPEN_INT","."&amp;$AA$3&amp;$AA$4&amp;"P"&amp;BB$4))*100</f>
        <v>719609544500</v>
      </c>
      <c r="BC52" s="7">
        <f ca="1">MAX(0, $A52-BC$4)*IF(RTD("tos.rtd",,"OPEN_INT","."&amp;$AA$3&amp;$AA$4&amp;"C"&amp;BC$4)="N/A",0,RTD("tos.rtd",,"OPEN_INT","."&amp;$AA$3&amp;$AA$4&amp;"C"&amp;BC$4))*100 + MAX(0, BC$4-$A52)*IF(RTD("tos.rtd",,"OPEN_INT","."&amp;$AA$3&amp;$AA$4&amp;"P"&amp;BC$4)="N/A",0,RTD("tos.rtd",,"OPEN_INT","."&amp;$AA$3&amp;$AA$4&amp;"P"&amp;BC$4))*100</f>
        <v>1022315643900</v>
      </c>
      <c r="BD52" s="7">
        <f ca="1">MAX(0, $A52-BD$4)*IF(RTD("tos.rtd",,"OPEN_INT","."&amp;$AA$3&amp;$AA$4&amp;"C"&amp;BD$4)="N/A",0,RTD("tos.rtd",,"OPEN_INT","."&amp;$AA$3&amp;$AA$4&amp;"C"&amp;BD$4))*100 + MAX(0, BD$4-$A52)*IF(RTD("tos.rtd",,"OPEN_INT","."&amp;$AA$3&amp;$AA$4&amp;"P"&amp;BD$4)="N/A",0,RTD("tos.rtd",,"OPEN_INT","."&amp;$AA$3&amp;$AA$4&amp;"P"&amp;BD$4))*100</f>
        <v>466048096000</v>
      </c>
      <c r="BE52" s="7">
        <f ca="1">MAX(0, $A52-BE$4)*IF(RTD("tos.rtd",,"OPEN_INT","."&amp;$AA$3&amp;$AA$4&amp;"C"&amp;BE$4)="N/A",0,RTD("tos.rtd",,"OPEN_INT","."&amp;$AA$3&amp;$AA$4&amp;"C"&amp;BE$4))*100 + MAX(0, BE$4-$A52)*IF(RTD("tos.rtd",,"OPEN_INT","."&amp;$AA$3&amp;$AA$4&amp;"P"&amp;BE$4)="N/A",0,RTD("tos.rtd",,"OPEN_INT","."&amp;$AA$3&amp;$AA$4&amp;"P"&amp;BE$4))*100</f>
        <v>433857491200</v>
      </c>
      <c r="BF52" s="7">
        <f ca="1">MAX(0, $A52-BF$4)*IF(RTD("tos.rtd",,"OPEN_INT","."&amp;$AA$3&amp;$AA$4&amp;"C"&amp;BF$4)="N/A",0,RTD("tos.rtd",,"OPEN_INT","."&amp;$AA$3&amp;$AA$4&amp;"C"&amp;BF$4))*100 + MAX(0, BF$4-$A52)*IF(RTD("tos.rtd",,"OPEN_INT","."&amp;$AA$3&amp;$AA$4&amp;"P"&amp;BF$4)="N/A",0,RTD("tos.rtd",,"OPEN_INT","."&amp;$AA$3&amp;$AA$4&amp;"P"&amp;BF$4))*100</f>
        <v>211103553150</v>
      </c>
      <c r="BG52" s="7">
        <f ca="1">MAX(0, $A52-BG$4)*IF(RTD("tos.rtd",,"OPEN_INT","."&amp;$AA$3&amp;$AA$4&amp;"C"&amp;BG$4)="N/A",0,RTD("tos.rtd",,"OPEN_INT","."&amp;$AA$3&amp;$AA$4&amp;"C"&amp;BG$4))*100 + MAX(0, BG$4-$A52)*IF(RTD("tos.rtd",,"OPEN_INT","."&amp;$AA$3&amp;$AA$4&amp;"P"&amp;BG$4)="N/A",0,RTD("tos.rtd",,"OPEN_INT","."&amp;$AA$3&amp;$AA$4&amp;"P"&amp;BG$4))*100</f>
        <v>143983607000</v>
      </c>
      <c r="BH52" s="7">
        <f ca="1">MAX(0, $A52-BH$4)*IF(RTD("tos.rtd",,"OPEN_INT","."&amp;$AA$3&amp;$AA$4&amp;"C"&amp;BH$4)="N/A",0,RTD("tos.rtd",,"OPEN_INT","."&amp;$AA$3&amp;$AA$4&amp;"C"&amp;BH$4))*100 + MAX(0, BH$4-$A52)*IF(RTD("tos.rtd",,"OPEN_INT","."&amp;$AA$3&amp;$AA$4&amp;"P"&amp;BH$4)="N/A",0,RTD("tos.rtd",,"OPEN_INT","."&amp;$AA$3&amp;$AA$4&amp;"P"&amp;BH$4))*100</f>
        <v>48789798650</v>
      </c>
      <c r="BI52" s="7">
        <f ca="1">MAX(0, $A52-BI$4)*IF(RTD("tos.rtd",,"OPEN_INT","."&amp;$AA$3&amp;$AA$4&amp;"C"&amp;BI$4)="N/A",0,RTD("tos.rtd",,"OPEN_INT","."&amp;$AA$3&amp;$AA$4&amp;"C"&amp;BI$4))*100 + MAX(0, BI$4-$A52)*IF(RTD("tos.rtd",,"OPEN_INT","."&amp;$AA$3&amp;$AA$4&amp;"P"&amp;BI$4)="N/A",0,RTD("tos.rtd",,"OPEN_INT","."&amp;$AA$3&amp;$AA$4&amp;"P"&amp;BI$4))*100</f>
        <v>21143125200</v>
      </c>
      <c r="BJ52" s="7">
        <f ca="1">MAX(0, $A52-BJ$4)*IF(RTD("tos.rtd",,"OPEN_INT","."&amp;$AA$3&amp;$AA$4&amp;"C"&amp;BJ$4)="N/A",0,RTD("tos.rtd",,"OPEN_INT","."&amp;$AA$3&amp;$AA$4&amp;"C"&amp;BJ$4))*100 + MAX(0, BJ$4-$A52)*IF(RTD("tos.rtd",,"OPEN_INT","."&amp;$AA$3&amp;$AA$4&amp;"P"&amp;BJ$4)="N/A",0,RTD("tos.rtd",,"OPEN_INT","."&amp;$AA$3&amp;$AA$4&amp;"P"&amp;BJ$4))*100</f>
        <v>3791708150</v>
      </c>
      <c r="BK52" s="7">
        <f ca="1">MAX(0, $A52-BK$4)*IF(RTD("tos.rtd",,"OPEN_INT","."&amp;$AA$3&amp;$AA$4&amp;"C"&amp;BK$4)="N/A",0,RTD("tos.rtd",,"OPEN_INT","."&amp;$AA$3&amp;$AA$4&amp;"C"&amp;BK$4))*100 + MAX(0, BK$4-$A52)*IF(RTD("tos.rtd",,"OPEN_INT","."&amp;$AA$3&amp;$AA$4&amp;"P"&amp;BK$4)="N/A",0,RTD("tos.rtd",,"OPEN_INT","."&amp;$AA$3&amp;$AA$4&amp;"P"&amp;BK$4))*100</f>
        <v>6553892700</v>
      </c>
      <c r="BL52" s="7">
        <f ca="1">MAX(0, $A52-BL$4)*IF(RTD("tos.rtd",,"OPEN_INT","."&amp;$AA$3&amp;$AA$4&amp;"C"&amp;BL$4)="N/A",0,RTD("tos.rtd",,"OPEN_INT","."&amp;$AA$3&amp;$AA$4&amp;"C"&amp;BL$4))*100 + MAX(0, BL$4-$A52)*IF(RTD("tos.rtd",,"OPEN_INT","."&amp;$AA$3&amp;$AA$4&amp;"P"&amp;BL$4)="N/A",0,RTD("tos.rtd",,"OPEN_INT","."&amp;$AA$3&amp;$AA$4&amp;"P"&amp;BL$4))*100</f>
        <v>401772000</v>
      </c>
      <c r="BM52" s="7">
        <f ca="1">MAX(0, $A52-BM$4)*IF(RTD("tos.rtd",,"OPEN_INT","."&amp;$AA$3&amp;$AA$4&amp;"C"&amp;BM$4)="N/A",0,RTD("tos.rtd",,"OPEN_INT","."&amp;$AA$3&amp;$AA$4&amp;"C"&amp;BM$4))*100 + MAX(0, BM$4-$A52)*IF(RTD("tos.rtd",,"OPEN_INT","."&amp;$AA$3&amp;$AA$4&amp;"P"&amp;BM$4)="N/A",0,RTD("tos.rtd",,"OPEN_INT","."&amp;$AA$3&amp;$AA$4&amp;"P"&amp;BM$4))*100</f>
        <v>200886400</v>
      </c>
      <c r="BN52" s="7">
        <f ca="1">MAX(0, $A52-BN$4)*IF(RTD("tos.rtd",,"OPEN_INT","."&amp;$AA$3&amp;$AA$4&amp;"C"&amp;BN$4)="N/A",0,RTD("tos.rtd",,"OPEN_INT","."&amp;$AA$3&amp;$AA$4&amp;"C"&amp;BN$4))*100 + MAX(0, BN$4-$A52)*IF(RTD("tos.rtd",,"OPEN_INT","."&amp;$AA$3&amp;$AA$4&amp;"P"&amp;BN$4)="N/A",0,RTD("tos.rtd",,"OPEN_INT","."&amp;$AA$3&amp;$AA$4&amp;"P"&amp;BN$4))*100</f>
        <v>778436350</v>
      </c>
      <c r="BO52" s="7">
        <f ca="1">MAX(0, $A52-BO$4)*IF(RTD("tos.rtd",,"OPEN_INT","."&amp;$AA$3&amp;$AA$4&amp;"C"&amp;BO$4)="N/A",0,RTD("tos.rtd",,"OPEN_INT","."&amp;$AA$3&amp;$AA$4&amp;"C"&amp;BO$4))*100 + MAX(0, BO$4-$A52)*IF(RTD("tos.rtd",,"OPEN_INT","."&amp;$AA$3&amp;$AA$4&amp;"P"&amp;BO$4)="N/A",0,RTD("tos.rtd",,"OPEN_INT","."&amp;$AA$3&amp;$AA$4&amp;"P"&amp;BO$4))*100</f>
        <v>954214200</v>
      </c>
      <c r="BP52" s="7">
        <f ca="1">MAX(0, $A52-BP$4)*IF(RTD("tos.rtd",,"OPEN_INT","."&amp;$AA$3&amp;$AA$4&amp;"C"&amp;BP$4)="N/A",0,RTD("tos.rtd",,"OPEN_INT","."&amp;$AA$3&amp;$AA$4&amp;"C"&amp;BP$4))*100 + MAX(0, BP$4-$A52)*IF(RTD("tos.rtd",,"OPEN_INT","."&amp;$AA$3&amp;$AA$4&amp;"P"&amp;BP$4)="N/A",0,RTD("tos.rtd",,"OPEN_INT","."&amp;$AA$3&amp;$AA$4&amp;"P"&amp;BP$4))*100</f>
        <v>0</v>
      </c>
      <c r="BQ52" s="7">
        <f ca="1">MAX(0, $A52-BQ$4)*IF(RTD("tos.rtd",,"OPEN_INT","."&amp;$AA$3&amp;$AA$4&amp;"C"&amp;BQ$4)="N/A",0,RTD("tos.rtd",,"OPEN_INT","."&amp;$AA$3&amp;$AA$4&amp;"C"&amp;BQ$4))*100 + MAX(0, BQ$4-$A52)*IF(RTD("tos.rtd",,"OPEN_INT","."&amp;$AA$3&amp;$AA$4&amp;"P"&amp;BQ$4)="N/A",0,RTD("tos.rtd",,"OPEN_INT","."&amp;$AA$3&amp;$AA$4&amp;"P"&amp;BQ$4))*100</f>
        <v>0</v>
      </c>
      <c r="BR52" s="7">
        <f ca="1">MAX(0, $A52-BR$4)*IF(RTD("tos.rtd",,"OPEN_INT","."&amp;$AA$3&amp;$AA$4&amp;"C"&amp;BR$4)="N/A",0,RTD("tos.rtd",,"OPEN_INT","."&amp;$AA$3&amp;$AA$4&amp;"C"&amp;BR$4))*100 + MAX(0, BR$4-$A52)*IF(RTD("tos.rtd",,"OPEN_INT","."&amp;$AA$3&amp;$AA$4&amp;"P"&amp;BR$4)="N/A",0,RTD("tos.rtd",,"OPEN_INT","."&amp;$AA$3&amp;$AA$4&amp;"P"&amp;BR$4))*100</f>
        <v>0</v>
      </c>
      <c r="BS52" s="7">
        <f ca="1">MAX(0, $A52-BS$4)*IF(RTD("tos.rtd",,"OPEN_INT","."&amp;$AA$3&amp;$AA$4&amp;"C"&amp;BS$4)="N/A",0,RTD("tos.rtd",,"OPEN_INT","."&amp;$AA$3&amp;$AA$4&amp;"C"&amp;BS$4))*100 + MAX(0, BS$4-$A52)*IF(RTD("tos.rtd",,"OPEN_INT","."&amp;$AA$3&amp;$AA$4&amp;"P"&amp;BS$4)="N/A",0,RTD("tos.rtd",,"OPEN_INT","."&amp;$AA$3&amp;$AA$4&amp;"P"&amp;BS$4))*100</f>
        <v>0</v>
      </c>
      <c r="BT52" s="7">
        <f ca="1">MAX(0, $A52-BT$4)*IF(RTD("tos.rtd",,"OPEN_INT","."&amp;$AA$3&amp;$AA$4&amp;"C"&amp;BT$4)="N/A",0,RTD("tos.rtd",,"OPEN_INT","."&amp;$AA$3&amp;$AA$4&amp;"C"&amp;BT$4))*100 + MAX(0, BT$4-$A52)*IF(RTD("tos.rtd",,"OPEN_INT","."&amp;$AA$3&amp;$AA$4&amp;"P"&amp;BT$4)="N/A",0,RTD("tos.rtd",,"OPEN_INT","."&amp;$AA$3&amp;$AA$4&amp;"P"&amp;BT$4))*100</f>
        <v>0</v>
      </c>
      <c r="BU52" s="7">
        <f ca="1">MAX(0, $A52-BU$4)*IF(RTD("tos.rtd",,"OPEN_INT","."&amp;$AA$3&amp;$AA$4&amp;"C"&amp;BU$4)="N/A",0,RTD("tos.rtd",,"OPEN_INT","."&amp;$AA$3&amp;$AA$4&amp;"C"&amp;BU$4))*100 + MAX(0, BU$4-$A52)*IF(RTD("tos.rtd",,"OPEN_INT","."&amp;$AA$3&amp;$AA$4&amp;"P"&amp;BU$4)="N/A",0,RTD("tos.rtd",,"OPEN_INT","."&amp;$AA$3&amp;$AA$4&amp;"P"&amp;BU$4))*100</f>
        <v>0</v>
      </c>
      <c r="BV52" s="7">
        <f ca="1">MAX(0, $A52-BV$4)*IF(RTD("tos.rtd",,"OPEN_INT","."&amp;$AA$3&amp;$AA$4&amp;"C"&amp;BV$4)="N/A",0,RTD("tos.rtd",,"OPEN_INT","."&amp;$AA$3&amp;$AA$4&amp;"C"&amp;BV$4))*100 + MAX(0, BV$4-$A52)*IF(RTD("tos.rtd",,"OPEN_INT","."&amp;$AA$3&amp;$AA$4&amp;"P"&amp;BV$4)="N/A",0,RTD("tos.rtd",,"OPEN_INT","."&amp;$AA$3&amp;$AA$4&amp;"P"&amp;BV$4))*100</f>
        <v>0</v>
      </c>
    </row>
    <row r="53" spans="1:74" ht="11.1" customHeight="1" x14ac:dyDescent="0.25">
      <c r="A53" s="11">
        <v>5</v>
      </c>
      <c r="B53" s="11">
        <f ca="1">INDEX($A$5:$A$51,MATCH(MAX(B5:B51),B5:B51,0))</f>
        <v>21.5</v>
      </c>
      <c r="C53" s="11">
        <f t="shared" ref="C53:W53" ca="1" si="13">INDEX($A$5:$A$51,MATCH(MAX(C5:C51),C5:C51,0))</f>
        <v>8</v>
      </c>
      <c r="D53" s="11">
        <f t="shared" ca="1" si="13"/>
        <v>10</v>
      </c>
      <c r="E53" s="11">
        <f t="shared" ca="1" si="13"/>
        <v>8</v>
      </c>
      <c r="F53" s="11">
        <f t="shared" ca="1" si="13"/>
        <v>10</v>
      </c>
      <c r="G53" s="11">
        <f t="shared" ca="1" si="13"/>
        <v>7.5</v>
      </c>
      <c r="H53" s="11">
        <f t="shared" ca="1" si="13"/>
        <v>15</v>
      </c>
      <c r="I53" s="11">
        <f t="shared" ca="1" si="13"/>
        <v>6.5</v>
      </c>
      <c r="J53" s="11">
        <f t="shared" ca="1" si="13"/>
        <v>21.5</v>
      </c>
      <c r="K53" s="11">
        <f t="shared" ca="1" si="13"/>
        <v>21.5</v>
      </c>
      <c r="L53" s="11">
        <f t="shared" ca="1" si="13"/>
        <v>10</v>
      </c>
      <c r="M53" s="11">
        <f t="shared" ca="1" si="13"/>
        <v>10</v>
      </c>
      <c r="N53" s="11">
        <f t="shared" ca="1" si="13"/>
        <v>21.5</v>
      </c>
      <c r="O53" s="11">
        <f t="shared" ca="1" si="13"/>
        <v>21.5</v>
      </c>
      <c r="P53" s="11">
        <f t="shared" ca="1" si="13"/>
        <v>17</v>
      </c>
      <c r="Q53" s="11">
        <f t="shared" ca="1" si="13"/>
        <v>21.5</v>
      </c>
      <c r="R53" s="11">
        <f t="shared" ca="1" si="13"/>
        <v>21.5</v>
      </c>
      <c r="S53" s="11">
        <f t="shared" ca="1" si="13"/>
        <v>21.5</v>
      </c>
      <c r="T53" s="11">
        <f t="shared" ca="1" si="13"/>
        <v>21.5</v>
      </c>
      <c r="U53" s="11">
        <f t="shared" ca="1" si="13"/>
        <v>21.5</v>
      </c>
      <c r="V53" s="11">
        <f t="shared" ca="1" si="13"/>
        <v>21.5</v>
      </c>
      <c r="W53" s="11">
        <f t="shared" ca="1" si="13"/>
        <v>21.5</v>
      </c>
      <c r="X53" s="11">
        <f t="shared" ref="X53" ca="1" si="14">INDEX($A$5:$A$51,MATCH(MAX(X5:X51),X5:X51,0))</f>
        <v>10</v>
      </c>
    </row>
    <row r="54" spans="1:74" ht="11.1" customHeight="1" thickBot="1" x14ac:dyDescent="0.3">
      <c r="B54" s="11" t="str">
        <f ca="1">IF(COUNTIF(B5:B51,0)&lt;20,IFERROR(INDEX($A$5:$A$51,MATCH(MIN(B57:B103),B57:B103,0)),""),"")</f>
        <v/>
      </c>
      <c r="C54" s="11">
        <f t="shared" ref="C54:X54" ca="1" si="15">IF(COUNTIF(C5:C51,0)&lt;20,IFERROR(INDEX($A$5:$A$51,MATCH(MIN(C57:C103),C57:C103,0)),""),"")</f>
        <v>6.5</v>
      </c>
      <c r="D54" s="11">
        <f t="shared" ca="1" si="15"/>
        <v>6.5</v>
      </c>
      <c r="E54" s="11" t="str">
        <f t="shared" ca="1" si="15"/>
        <v/>
      </c>
      <c r="F54" s="11" t="str">
        <f t="shared" ca="1" si="15"/>
        <v/>
      </c>
      <c r="G54" s="11" t="str">
        <f t="shared" ca="1" si="15"/>
        <v/>
      </c>
      <c r="H54" s="11" t="str">
        <f t="shared" ca="1" si="15"/>
        <v/>
      </c>
      <c r="I54" s="11" t="str">
        <f t="shared" ca="1" si="15"/>
        <v/>
      </c>
      <c r="J54" s="11" t="str">
        <f t="shared" ca="1" si="15"/>
        <v/>
      </c>
      <c r="K54" s="11" t="str">
        <f t="shared" ca="1" si="15"/>
        <v/>
      </c>
      <c r="L54" s="11" t="str">
        <f t="shared" ca="1" si="15"/>
        <v/>
      </c>
      <c r="M54" s="11" t="str">
        <f t="shared" ca="1" si="15"/>
        <v/>
      </c>
      <c r="N54" s="11" t="str">
        <f t="shared" ca="1" si="15"/>
        <v/>
      </c>
      <c r="O54" s="11" t="str">
        <f t="shared" ca="1" si="15"/>
        <v/>
      </c>
      <c r="P54" s="11" t="str">
        <f t="shared" ca="1" si="15"/>
        <v/>
      </c>
      <c r="Q54" s="11" t="str">
        <f t="shared" ca="1" si="15"/>
        <v/>
      </c>
      <c r="R54" s="11" t="str">
        <f t="shared" ca="1" si="15"/>
        <v/>
      </c>
      <c r="S54" s="11" t="str">
        <f t="shared" ca="1" si="15"/>
        <v/>
      </c>
      <c r="T54" s="11" t="str">
        <f t="shared" ca="1" si="15"/>
        <v/>
      </c>
      <c r="U54" s="11" t="str">
        <f t="shared" ca="1" si="15"/>
        <v/>
      </c>
      <c r="V54" s="11" t="str">
        <f t="shared" ca="1" si="15"/>
        <v/>
      </c>
      <c r="W54" s="11" t="str">
        <f t="shared" ca="1" si="15"/>
        <v/>
      </c>
      <c r="X54" s="11">
        <f t="shared" ca="1" si="15"/>
        <v>6</v>
      </c>
    </row>
    <row r="55" spans="1:74" ht="11.1" customHeight="1" x14ac:dyDescent="0.25">
      <c r="A55" s="29" t="s">
        <v>82</v>
      </c>
      <c r="B55" s="11">
        <f ca="1">INDEX($A$5:$A$51,MATCH(MIN(B5:B51),B5:B51,0))</f>
        <v>21.5</v>
      </c>
      <c r="C55" s="11">
        <f t="shared" ref="C55:W55" ca="1" si="16">INDEX($A$5:$A$51,MATCH(MIN(C5:C51),C5:C51,0))</f>
        <v>5</v>
      </c>
      <c r="D55" s="11">
        <f t="shared" ca="1" si="16"/>
        <v>0.5</v>
      </c>
      <c r="E55" s="11">
        <f t="shared" ca="1" si="16"/>
        <v>5</v>
      </c>
      <c r="F55" s="11">
        <f t="shared" ca="1" si="16"/>
        <v>5</v>
      </c>
      <c r="G55" s="11">
        <f t="shared" ca="1" si="16"/>
        <v>3.5</v>
      </c>
      <c r="H55" s="11">
        <f t="shared" ca="1" si="16"/>
        <v>7</v>
      </c>
      <c r="I55" s="11">
        <f t="shared" ca="1" si="16"/>
        <v>4.5</v>
      </c>
      <c r="J55" s="11">
        <f t="shared" ca="1" si="16"/>
        <v>21.5</v>
      </c>
      <c r="K55" s="11">
        <f t="shared" ca="1" si="16"/>
        <v>21.5</v>
      </c>
      <c r="L55" s="11">
        <f t="shared" ca="1" si="16"/>
        <v>1</v>
      </c>
      <c r="M55" s="11">
        <f t="shared" ca="1" si="16"/>
        <v>1</v>
      </c>
      <c r="N55" s="11">
        <f t="shared" ca="1" si="16"/>
        <v>21.5</v>
      </c>
      <c r="O55" s="11">
        <f t="shared" ca="1" si="16"/>
        <v>21.5</v>
      </c>
      <c r="P55" s="11">
        <f t="shared" ca="1" si="16"/>
        <v>5</v>
      </c>
      <c r="Q55" s="11">
        <f t="shared" ca="1" si="16"/>
        <v>21.5</v>
      </c>
      <c r="R55" s="11">
        <f t="shared" ca="1" si="16"/>
        <v>21.5</v>
      </c>
      <c r="S55" s="11">
        <f t="shared" ca="1" si="16"/>
        <v>21.5</v>
      </c>
      <c r="T55" s="11">
        <f t="shared" ca="1" si="16"/>
        <v>21.5</v>
      </c>
      <c r="U55" s="11">
        <f t="shared" ca="1" si="16"/>
        <v>21.5</v>
      </c>
      <c r="V55" s="11">
        <f t="shared" ca="1" si="16"/>
        <v>21.5</v>
      </c>
      <c r="W55" s="11">
        <f t="shared" ca="1" si="16"/>
        <v>21.5</v>
      </c>
      <c r="X55" s="11">
        <f t="shared" ref="X55" ca="1" si="17">INDEX($A$5:$A$51,MATCH(MIN(X5:X51),X5:X51,0))</f>
        <v>1</v>
      </c>
    </row>
    <row r="56" spans="1:74" ht="11.1" customHeight="1" x14ac:dyDescent="0.25">
      <c r="A56" s="30" t="s">
        <v>83</v>
      </c>
      <c r="B56" s="44">
        <f ca="1">COUNTIF(B5:B51,0)</f>
        <v>47</v>
      </c>
      <c r="C56" s="44">
        <f ca="1">COUNTIF(C5:C51,0)</f>
        <v>17</v>
      </c>
      <c r="D56" s="44">
        <f t="shared" ref="D56:W56" ca="1" si="18">COUNTIF(D5:D51,0)</f>
        <v>13</v>
      </c>
      <c r="E56" s="44">
        <f t="shared" ca="1" si="18"/>
        <v>20</v>
      </c>
      <c r="F56" s="44">
        <f t="shared" ca="1" si="18"/>
        <v>23</v>
      </c>
      <c r="G56" s="44">
        <f t="shared" ca="1" si="18"/>
        <v>23</v>
      </c>
      <c r="H56" s="44">
        <f t="shared" ca="1" si="18"/>
        <v>32</v>
      </c>
      <c r="I56" s="44">
        <f t="shared" ca="1" si="18"/>
        <v>26</v>
      </c>
      <c r="J56" s="44">
        <f t="shared" ca="1" si="18"/>
        <v>47</v>
      </c>
      <c r="K56" s="44">
        <f t="shared" ca="1" si="18"/>
        <v>47</v>
      </c>
      <c r="L56" s="44">
        <f t="shared" ca="1" si="18"/>
        <v>20</v>
      </c>
      <c r="M56" s="44">
        <f t="shared" ca="1" si="18"/>
        <v>20</v>
      </c>
      <c r="N56" s="44">
        <f t="shared" ca="1" si="18"/>
        <v>47</v>
      </c>
      <c r="O56" s="44">
        <f t="shared" ca="1" si="18"/>
        <v>47</v>
      </c>
      <c r="P56" s="44">
        <f t="shared" ca="1" si="18"/>
        <v>30</v>
      </c>
      <c r="Q56" s="44">
        <f t="shared" ca="1" si="18"/>
        <v>47</v>
      </c>
      <c r="R56" s="44">
        <f t="shared" ca="1" si="18"/>
        <v>47</v>
      </c>
      <c r="S56" s="44">
        <f t="shared" ca="1" si="18"/>
        <v>47</v>
      </c>
      <c r="T56" s="44">
        <f t="shared" ca="1" si="18"/>
        <v>47</v>
      </c>
      <c r="U56" s="44">
        <f t="shared" ca="1" si="18"/>
        <v>47</v>
      </c>
      <c r="V56" s="44">
        <f t="shared" ca="1" si="18"/>
        <v>47</v>
      </c>
      <c r="W56" s="44">
        <f t="shared" ca="1" si="18"/>
        <v>47</v>
      </c>
    </row>
    <row r="57" spans="1:74" ht="11.1" customHeight="1" x14ac:dyDescent="0.25">
      <c r="A57" s="30" t="s">
        <v>84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5"/>
    </row>
    <row r="58" spans="1:74" ht="11.1" customHeight="1" x14ac:dyDescent="0.25">
      <c r="A58" s="30" t="s">
        <v>85</v>
      </c>
      <c r="B58" s="46" t="str">
        <f ca="1">IF(AND($A6&gt;B$55,$A6&lt;B$53),ABS(AVERAGE(B4:B8)),"")</f>
        <v/>
      </c>
      <c r="C58" s="46" t="str">
        <f t="shared" ref="C58:W58" ca="1" si="19">IF(AND($A6&gt;C$55,$A6&lt;C$53),ABS(AVERAGE(C4:C8)),"")</f>
        <v/>
      </c>
      <c r="D58" s="46" t="str">
        <f t="shared" ca="1" si="19"/>
        <v/>
      </c>
      <c r="E58" s="46" t="str">
        <f t="shared" ca="1" si="19"/>
        <v/>
      </c>
      <c r="F58" s="46" t="str">
        <f t="shared" ca="1" si="19"/>
        <v/>
      </c>
      <c r="G58" s="46" t="str">
        <f t="shared" ca="1" si="19"/>
        <v/>
      </c>
      <c r="H58" s="46" t="str">
        <f t="shared" ca="1" si="19"/>
        <v/>
      </c>
      <c r="I58" s="46" t="str">
        <f t="shared" ca="1" si="19"/>
        <v/>
      </c>
      <c r="J58" s="46" t="str">
        <f t="shared" ca="1" si="19"/>
        <v/>
      </c>
      <c r="K58" s="46" t="str">
        <f t="shared" ca="1" si="19"/>
        <v/>
      </c>
      <c r="L58" s="46" t="str">
        <f t="shared" ca="1" si="19"/>
        <v/>
      </c>
      <c r="M58" s="46" t="str">
        <f t="shared" ca="1" si="19"/>
        <v/>
      </c>
      <c r="N58" s="46" t="str">
        <f t="shared" ca="1" si="19"/>
        <v/>
      </c>
      <c r="O58" s="46" t="str">
        <f t="shared" ca="1" si="19"/>
        <v/>
      </c>
      <c r="P58" s="46" t="str">
        <f t="shared" ca="1" si="19"/>
        <v/>
      </c>
      <c r="Q58" s="46" t="str">
        <f t="shared" ca="1" si="19"/>
        <v/>
      </c>
      <c r="R58" s="46" t="str">
        <f t="shared" ca="1" si="19"/>
        <v/>
      </c>
      <c r="S58" s="46" t="str">
        <f t="shared" ca="1" si="19"/>
        <v/>
      </c>
      <c r="T58" s="46" t="str">
        <f t="shared" ca="1" si="19"/>
        <v/>
      </c>
      <c r="U58" s="46" t="str">
        <f t="shared" ca="1" si="19"/>
        <v/>
      </c>
      <c r="V58" s="46" t="str">
        <f t="shared" ca="1" si="19"/>
        <v/>
      </c>
      <c r="W58" s="46" t="str">
        <f t="shared" ca="1" si="19"/>
        <v/>
      </c>
      <c r="X58" s="46" t="str">
        <f t="shared" ref="X58" ca="1" si="20">IF(AND($A6&gt;X$55,$A6&lt;X$53),ABS(AVERAGE(X5:X7)),"")</f>
        <v/>
      </c>
    </row>
    <row r="59" spans="1:74" ht="11.1" customHeight="1" x14ac:dyDescent="0.25">
      <c r="A59" s="30" t="s">
        <v>86</v>
      </c>
      <c r="B59" s="46" t="str">
        <f t="shared" ref="B59:W59" ca="1" si="21">IF(AND($A7&gt;B$55,$A7&lt;B$53),ABS(AVERAGE(B5:B9)),"")</f>
        <v/>
      </c>
      <c r="C59" s="46" t="str">
        <f t="shared" ca="1" si="21"/>
        <v/>
      </c>
      <c r="D59" s="46" t="str">
        <f t="shared" ca="1" si="21"/>
        <v/>
      </c>
      <c r="E59" s="46" t="str">
        <f t="shared" ca="1" si="21"/>
        <v/>
      </c>
      <c r="F59" s="46" t="str">
        <f t="shared" ca="1" si="21"/>
        <v/>
      </c>
      <c r="G59" s="46" t="str">
        <f t="shared" ca="1" si="21"/>
        <v/>
      </c>
      <c r="H59" s="46" t="str">
        <f t="shared" ca="1" si="21"/>
        <v/>
      </c>
      <c r="I59" s="46" t="str">
        <f t="shared" ca="1" si="21"/>
        <v/>
      </c>
      <c r="J59" s="46" t="str">
        <f t="shared" ca="1" si="21"/>
        <v/>
      </c>
      <c r="K59" s="46" t="str">
        <f t="shared" ca="1" si="21"/>
        <v/>
      </c>
      <c r="L59" s="46" t="str">
        <f t="shared" ca="1" si="21"/>
        <v/>
      </c>
      <c r="M59" s="46" t="str">
        <f t="shared" ca="1" si="21"/>
        <v/>
      </c>
      <c r="N59" s="46" t="str">
        <f t="shared" ca="1" si="21"/>
        <v/>
      </c>
      <c r="O59" s="46" t="str">
        <f t="shared" ca="1" si="21"/>
        <v/>
      </c>
      <c r="P59" s="46" t="str">
        <f t="shared" ca="1" si="21"/>
        <v/>
      </c>
      <c r="Q59" s="46" t="str">
        <f t="shared" ca="1" si="21"/>
        <v/>
      </c>
      <c r="R59" s="46" t="str">
        <f t="shared" ca="1" si="21"/>
        <v/>
      </c>
      <c r="S59" s="46" t="str">
        <f t="shared" ca="1" si="21"/>
        <v/>
      </c>
      <c r="T59" s="46" t="str">
        <f t="shared" ca="1" si="21"/>
        <v/>
      </c>
      <c r="U59" s="46" t="str">
        <f t="shared" ca="1" si="21"/>
        <v/>
      </c>
      <c r="V59" s="46" t="str">
        <f t="shared" ca="1" si="21"/>
        <v/>
      </c>
      <c r="W59" s="46" t="str">
        <f t="shared" ca="1" si="21"/>
        <v/>
      </c>
      <c r="X59" s="46" t="str">
        <f t="shared" ref="X59" ca="1" si="22">IF(AND($A7&gt;X$55,$A7&lt;X$53),ABS(AVERAGE(X6:X8)),"")</f>
        <v/>
      </c>
    </row>
    <row r="60" spans="1:74" ht="11.1" customHeight="1" x14ac:dyDescent="0.25">
      <c r="A60" s="30" t="s">
        <v>87</v>
      </c>
      <c r="B60" s="46" t="str">
        <f t="shared" ref="B60:W60" ca="1" si="23">IF(AND($A8&gt;B$55,$A8&lt;B$53),ABS(AVERAGE(B6:B10)),"")</f>
        <v/>
      </c>
      <c r="C60" s="46" t="str">
        <f t="shared" ca="1" si="23"/>
        <v/>
      </c>
      <c r="D60" s="46" t="str">
        <f t="shared" ca="1" si="23"/>
        <v/>
      </c>
      <c r="E60" s="46" t="str">
        <f t="shared" ca="1" si="23"/>
        <v/>
      </c>
      <c r="F60" s="46" t="str">
        <f t="shared" ca="1" si="23"/>
        <v/>
      </c>
      <c r="G60" s="46" t="str">
        <f t="shared" ca="1" si="23"/>
        <v/>
      </c>
      <c r="H60" s="46" t="str">
        <f t="shared" ca="1" si="23"/>
        <v/>
      </c>
      <c r="I60" s="46" t="str">
        <f t="shared" ca="1" si="23"/>
        <v/>
      </c>
      <c r="J60" s="46" t="str">
        <f t="shared" ca="1" si="23"/>
        <v/>
      </c>
      <c r="K60" s="46" t="str">
        <f t="shared" ca="1" si="23"/>
        <v/>
      </c>
      <c r="L60" s="46" t="str">
        <f t="shared" ca="1" si="23"/>
        <v/>
      </c>
      <c r="M60" s="46" t="str">
        <f t="shared" ca="1" si="23"/>
        <v/>
      </c>
      <c r="N60" s="46" t="str">
        <f t="shared" ca="1" si="23"/>
        <v/>
      </c>
      <c r="O60" s="46" t="str">
        <f t="shared" ca="1" si="23"/>
        <v/>
      </c>
      <c r="P60" s="46" t="str">
        <f t="shared" ca="1" si="23"/>
        <v/>
      </c>
      <c r="Q60" s="46" t="str">
        <f t="shared" ca="1" si="23"/>
        <v/>
      </c>
      <c r="R60" s="46" t="str">
        <f t="shared" ca="1" si="23"/>
        <v/>
      </c>
      <c r="S60" s="46" t="str">
        <f t="shared" ca="1" si="23"/>
        <v/>
      </c>
      <c r="T60" s="46" t="str">
        <f t="shared" ca="1" si="23"/>
        <v/>
      </c>
      <c r="U60" s="46" t="str">
        <f t="shared" ca="1" si="23"/>
        <v/>
      </c>
      <c r="V60" s="46" t="str">
        <f t="shared" ca="1" si="23"/>
        <v/>
      </c>
      <c r="W60" s="46" t="str">
        <f t="shared" ca="1" si="23"/>
        <v/>
      </c>
      <c r="X60" s="46" t="str">
        <f t="shared" ref="X60" ca="1" si="24">IF(AND($A8&gt;X$55,$A8&lt;X$53),ABS(AVERAGE(X7:X9)),"")</f>
        <v/>
      </c>
    </row>
    <row r="61" spans="1:74" ht="11.1" customHeight="1" x14ac:dyDescent="0.25">
      <c r="A61" s="30" t="s">
        <v>1</v>
      </c>
      <c r="B61" s="46" t="str">
        <f t="shared" ref="B61:W61" ca="1" si="25">IF(AND($A9&gt;B$55,$A9&lt;B$53),ABS(AVERAGE(B7:B11)),"")</f>
        <v/>
      </c>
      <c r="C61" s="46" t="str">
        <f t="shared" ca="1" si="25"/>
        <v/>
      </c>
      <c r="D61" s="46" t="str">
        <f t="shared" ca="1" si="25"/>
        <v/>
      </c>
      <c r="E61" s="46" t="str">
        <f t="shared" ca="1" si="25"/>
        <v/>
      </c>
      <c r="F61" s="46" t="str">
        <f t="shared" ca="1" si="25"/>
        <v/>
      </c>
      <c r="G61" s="46" t="str">
        <f t="shared" ca="1" si="25"/>
        <v/>
      </c>
      <c r="H61" s="46" t="str">
        <f t="shared" ca="1" si="25"/>
        <v/>
      </c>
      <c r="I61" s="46" t="str">
        <f t="shared" ca="1" si="25"/>
        <v/>
      </c>
      <c r="J61" s="46" t="str">
        <f t="shared" ca="1" si="25"/>
        <v/>
      </c>
      <c r="K61" s="46" t="str">
        <f t="shared" ca="1" si="25"/>
        <v/>
      </c>
      <c r="L61" s="46" t="str">
        <f t="shared" ca="1" si="25"/>
        <v/>
      </c>
      <c r="M61" s="46" t="str">
        <f t="shared" ca="1" si="25"/>
        <v/>
      </c>
      <c r="N61" s="46" t="str">
        <f t="shared" ca="1" si="25"/>
        <v/>
      </c>
      <c r="O61" s="46" t="str">
        <f t="shared" ca="1" si="25"/>
        <v/>
      </c>
      <c r="P61" s="46" t="str">
        <f t="shared" ca="1" si="25"/>
        <v/>
      </c>
      <c r="Q61" s="46" t="str">
        <f t="shared" ca="1" si="25"/>
        <v/>
      </c>
      <c r="R61" s="46" t="str">
        <f t="shared" ca="1" si="25"/>
        <v/>
      </c>
      <c r="S61" s="46" t="str">
        <f t="shared" ca="1" si="25"/>
        <v/>
      </c>
      <c r="T61" s="46" t="str">
        <f t="shared" ca="1" si="25"/>
        <v/>
      </c>
      <c r="U61" s="46" t="str">
        <f t="shared" ca="1" si="25"/>
        <v/>
      </c>
      <c r="V61" s="46" t="str">
        <f t="shared" ca="1" si="25"/>
        <v/>
      </c>
      <c r="W61" s="46" t="str">
        <f t="shared" ca="1" si="25"/>
        <v/>
      </c>
      <c r="X61" s="46" t="str">
        <f t="shared" ref="X61" ca="1" si="26">IF(AND($A9&gt;X$55,$A9&lt;X$53),ABS(AVERAGE(X8:X10)),"")</f>
        <v/>
      </c>
    </row>
    <row r="62" spans="1:74" ht="11.1" customHeight="1" x14ac:dyDescent="0.25">
      <c r="A62" s="30" t="s">
        <v>45</v>
      </c>
      <c r="B62" s="46" t="str">
        <f t="shared" ref="B62:W62" ca="1" si="27">IF(AND($A10&gt;B$55,$A10&lt;B$53),ABS(AVERAGE(B8:B12)),"")</f>
        <v/>
      </c>
      <c r="C62" s="46" t="str">
        <f t="shared" ca="1" si="27"/>
        <v/>
      </c>
      <c r="D62" s="46" t="str">
        <f t="shared" ca="1" si="27"/>
        <v/>
      </c>
      <c r="E62" s="46" t="str">
        <f t="shared" ca="1" si="27"/>
        <v/>
      </c>
      <c r="F62" s="46" t="str">
        <f t="shared" ca="1" si="27"/>
        <v/>
      </c>
      <c r="G62" s="46" t="str">
        <f t="shared" ca="1" si="27"/>
        <v/>
      </c>
      <c r="H62" s="46" t="str">
        <f t="shared" ca="1" si="27"/>
        <v/>
      </c>
      <c r="I62" s="46" t="str">
        <f t="shared" ca="1" si="27"/>
        <v/>
      </c>
      <c r="J62" s="46" t="str">
        <f t="shared" ca="1" si="27"/>
        <v/>
      </c>
      <c r="K62" s="46" t="str">
        <f t="shared" ca="1" si="27"/>
        <v/>
      </c>
      <c r="L62" s="46" t="str">
        <f t="shared" ca="1" si="27"/>
        <v/>
      </c>
      <c r="M62" s="46" t="str">
        <f t="shared" ca="1" si="27"/>
        <v/>
      </c>
      <c r="N62" s="46" t="str">
        <f t="shared" ca="1" si="27"/>
        <v/>
      </c>
      <c r="O62" s="46" t="str">
        <f t="shared" ca="1" si="27"/>
        <v/>
      </c>
      <c r="P62" s="46" t="str">
        <f t="shared" ca="1" si="27"/>
        <v/>
      </c>
      <c r="Q62" s="46" t="str">
        <f t="shared" ca="1" si="27"/>
        <v/>
      </c>
      <c r="R62" s="46" t="str">
        <f t="shared" ca="1" si="27"/>
        <v/>
      </c>
      <c r="S62" s="46" t="str">
        <f t="shared" ca="1" si="27"/>
        <v/>
      </c>
      <c r="T62" s="46" t="str">
        <f t="shared" ca="1" si="27"/>
        <v/>
      </c>
      <c r="U62" s="46" t="str">
        <f t="shared" ca="1" si="27"/>
        <v/>
      </c>
      <c r="V62" s="46" t="str">
        <f t="shared" ca="1" si="27"/>
        <v/>
      </c>
      <c r="W62" s="46" t="str">
        <f t="shared" ca="1" si="27"/>
        <v/>
      </c>
      <c r="X62" s="46" t="str">
        <f t="shared" ref="X62" ca="1" si="28">IF(AND($A10&gt;X$55,$A10&lt;X$53),ABS(AVERAGE(X9:X11)),"")</f>
        <v/>
      </c>
    </row>
    <row r="63" spans="1:74" ht="11.1" customHeight="1" x14ac:dyDescent="0.25">
      <c r="A63" s="30" t="s">
        <v>88</v>
      </c>
      <c r="B63" s="46" t="str">
        <f t="shared" ref="B63:W63" ca="1" si="29">IF(AND($A11&gt;B$55,$A11&lt;B$53),ABS(AVERAGE(B9:B13)),"")</f>
        <v/>
      </c>
      <c r="C63" s="46" t="str">
        <f t="shared" ca="1" si="29"/>
        <v/>
      </c>
      <c r="D63" s="46" t="str">
        <f t="shared" ca="1" si="29"/>
        <v/>
      </c>
      <c r="E63" s="46" t="str">
        <f t="shared" ca="1" si="29"/>
        <v/>
      </c>
      <c r="F63" s="46" t="str">
        <f t="shared" ca="1" si="29"/>
        <v/>
      </c>
      <c r="G63" s="46" t="str">
        <f t="shared" ca="1" si="29"/>
        <v/>
      </c>
      <c r="H63" s="46" t="str">
        <f t="shared" ca="1" si="29"/>
        <v/>
      </c>
      <c r="I63" s="46" t="str">
        <f t="shared" ca="1" si="29"/>
        <v/>
      </c>
      <c r="J63" s="46" t="str">
        <f t="shared" ca="1" si="29"/>
        <v/>
      </c>
      <c r="K63" s="46" t="str">
        <f t="shared" ca="1" si="29"/>
        <v/>
      </c>
      <c r="L63" s="46" t="str">
        <f t="shared" ca="1" si="29"/>
        <v/>
      </c>
      <c r="M63" s="46" t="str">
        <f t="shared" ca="1" si="29"/>
        <v/>
      </c>
      <c r="N63" s="46" t="str">
        <f t="shared" ca="1" si="29"/>
        <v/>
      </c>
      <c r="O63" s="46" t="str">
        <f t="shared" ca="1" si="29"/>
        <v/>
      </c>
      <c r="P63" s="46" t="str">
        <f t="shared" ca="1" si="29"/>
        <v/>
      </c>
      <c r="Q63" s="46" t="str">
        <f t="shared" ca="1" si="29"/>
        <v/>
      </c>
      <c r="R63" s="46" t="str">
        <f t="shared" ca="1" si="29"/>
        <v/>
      </c>
      <c r="S63" s="46" t="str">
        <f t="shared" ca="1" si="29"/>
        <v/>
      </c>
      <c r="T63" s="46" t="str">
        <f t="shared" ca="1" si="29"/>
        <v/>
      </c>
      <c r="U63" s="46" t="str">
        <f t="shared" ca="1" si="29"/>
        <v/>
      </c>
      <c r="V63" s="46" t="str">
        <f t="shared" ca="1" si="29"/>
        <v/>
      </c>
      <c r="W63" s="46" t="str">
        <f t="shared" ca="1" si="29"/>
        <v/>
      </c>
      <c r="X63" s="46" t="str">
        <f t="shared" ref="X63" ca="1" si="30">IF(AND($A11&gt;X$55,$A11&lt;X$53),ABS(AVERAGE(X10:X12)),"")</f>
        <v/>
      </c>
    </row>
    <row r="64" spans="1:74" ht="11.1" customHeight="1" x14ac:dyDescent="0.25">
      <c r="A64" s="30" t="s">
        <v>89</v>
      </c>
      <c r="B64" s="46" t="str">
        <f t="shared" ref="B64:W64" ca="1" si="31">IF(AND($A12&gt;B$55,$A12&lt;B$53),ABS(AVERAGE(B10:B14)),"")</f>
        <v/>
      </c>
      <c r="C64" s="46" t="str">
        <f t="shared" ca="1" si="31"/>
        <v/>
      </c>
      <c r="D64" s="46" t="str">
        <f t="shared" ca="1" si="31"/>
        <v/>
      </c>
      <c r="E64" s="46" t="str">
        <f t="shared" ca="1" si="31"/>
        <v/>
      </c>
      <c r="F64" s="46" t="str">
        <f t="shared" ca="1" si="31"/>
        <v/>
      </c>
      <c r="G64" s="46" t="str">
        <f t="shared" ca="1" si="31"/>
        <v/>
      </c>
      <c r="H64" s="46" t="str">
        <f t="shared" ca="1" si="31"/>
        <v/>
      </c>
      <c r="I64" s="46" t="str">
        <f t="shared" ca="1" si="31"/>
        <v/>
      </c>
      <c r="J64" s="46" t="str">
        <f t="shared" ca="1" si="31"/>
        <v/>
      </c>
      <c r="K64" s="46" t="str">
        <f t="shared" ca="1" si="31"/>
        <v/>
      </c>
      <c r="L64" s="46" t="str">
        <f t="shared" ca="1" si="31"/>
        <v/>
      </c>
      <c r="M64" s="46" t="str">
        <f t="shared" ca="1" si="31"/>
        <v/>
      </c>
      <c r="N64" s="46" t="str">
        <f t="shared" ca="1" si="31"/>
        <v/>
      </c>
      <c r="O64" s="46" t="str">
        <f t="shared" ca="1" si="31"/>
        <v/>
      </c>
      <c r="P64" s="46" t="str">
        <f t="shared" ca="1" si="31"/>
        <v/>
      </c>
      <c r="Q64" s="46" t="str">
        <f t="shared" ca="1" si="31"/>
        <v/>
      </c>
      <c r="R64" s="46" t="str">
        <f t="shared" ca="1" si="31"/>
        <v/>
      </c>
      <c r="S64" s="46" t="str">
        <f t="shared" ca="1" si="31"/>
        <v/>
      </c>
      <c r="T64" s="46" t="str">
        <f t="shared" ca="1" si="31"/>
        <v/>
      </c>
      <c r="U64" s="46" t="str">
        <f t="shared" ca="1" si="31"/>
        <v/>
      </c>
      <c r="V64" s="46" t="str">
        <f t="shared" ca="1" si="31"/>
        <v/>
      </c>
      <c r="W64" s="46" t="str">
        <f t="shared" ca="1" si="31"/>
        <v/>
      </c>
      <c r="X64" s="46" t="str">
        <f t="shared" ref="X64" ca="1" si="32">IF(AND($A12&gt;X$55,$A12&lt;X$53),ABS(AVERAGE(X11:X13)),"")</f>
        <v/>
      </c>
    </row>
    <row r="65" spans="1:24" ht="11.1" customHeight="1" x14ac:dyDescent="0.25">
      <c r="A65" s="30" t="s">
        <v>90</v>
      </c>
      <c r="B65" s="46" t="str">
        <f t="shared" ref="B65:W65" ca="1" si="33">IF(AND($A13&gt;B$55,$A13&lt;B$53),ABS(AVERAGE(B11:B15)),"")</f>
        <v/>
      </c>
      <c r="C65" s="46" t="str">
        <f t="shared" ca="1" si="33"/>
        <v/>
      </c>
      <c r="D65" s="46" t="str">
        <f t="shared" ca="1" si="33"/>
        <v/>
      </c>
      <c r="E65" s="46" t="str">
        <f t="shared" ca="1" si="33"/>
        <v/>
      </c>
      <c r="F65" s="46" t="str">
        <f t="shared" ca="1" si="33"/>
        <v/>
      </c>
      <c r="G65" s="46" t="str">
        <f t="shared" ca="1" si="33"/>
        <v/>
      </c>
      <c r="H65" s="46" t="str">
        <f t="shared" ca="1" si="33"/>
        <v/>
      </c>
      <c r="I65" s="46" t="str">
        <f t="shared" ca="1" si="33"/>
        <v/>
      </c>
      <c r="J65" s="46" t="str">
        <f t="shared" ca="1" si="33"/>
        <v/>
      </c>
      <c r="K65" s="46" t="str">
        <f t="shared" ca="1" si="33"/>
        <v/>
      </c>
      <c r="L65" s="46" t="str">
        <f t="shared" ca="1" si="33"/>
        <v/>
      </c>
      <c r="M65" s="46" t="str">
        <f t="shared" ca="1" si="33"/>
        <v/>
      </c>
      <c r="N65" s="46" t="str">
        <f t="shared" ca="1" si="33"/>
        <v/>
      </c>
      <c r="O65" s="46" t="str">
        <f t="shared" ca="1" si="33"/>
        <v/>
      </c>
      <c r="P65" s="46" t="str">
        <f t="shared" ca="1" si="33"/>
        <v/>
      </c>
      <c r="Q65" s="46" t="str">
        <f t="shared" ca="1" si="33"/>
        <v/>
      </c>
      <c r="R65" s="46" t="str">
        <f t="shared" ca="1" si="33"/>
        <v/>
      </c>
      <c r="S65" s="46" t="str">
        <f t="shared" ca="1" si="33"/>
        <v/>
      </c>
      <c r="T65" s="46" t="str">
        <f t="shared" ca="1" si="33"/>
        <v/>
      </c>
      <c r="U65" s="46" t="str">
        <f t="shared" ca="1" si="33"/>
        <v/>
      </c>
      <c r="V65" s="46" t="str">
        <f t="shared" ca="1" si="33"/>
        <v/>
      </c>
      <c r="W65" s="46" t="str">
        <f t="shared" ca="1" si="33"/>
        <v/>
      </c>
      <c r="X65" s="46" t="str">
        <f t="shared" ref="X65" ca="1" si="34">IF(AND($A13&gt;X$55,$A13&lt;X$53),ABS(AVERAGE(X12:X14)),"")</f>
        <v/>
      </c>
    </row>
    <row r="66" spans="1:24" ht="11.1" customHeight="1" x14ac:dyDescent="0.25">
      <c r="A66" s="30" t="s">
        <v>91</v>
      </c>
      <c r="B66" s="46" t="str">
        <f t="shared" ref="B66:W66" ca="1" si="35">IF(AND($A14&gt;B$55,$A14&lt;B$53),ABS(AVERAGE(B12:B16)),"")</f>
        <v/>
      </c>
      <c r="C66" s="46" t="str">
        <f t="shared" ca="1" si="35"/>
        <v/>
      </c>
      <c r="D66" s="46" t="str">
        <f t="shared" ca="1" si="35"/>
        <v/>
      </c>
      <c r="E66" s="46" t="str">
        <f t="shared" ca="1" si="35"/>
        <v/>
      </c>
      <c r="F66" s="46" t="str">
        <f t="shared" ca="1" si="35"/>
        <v/>
      </c>
      <c r="G66" s="46" t="str">
        <f t="shared" ca="1" si="35"/>
        <v/>
      </c>
      <c r="H66" s="46" t="str">
        <f t="shared" ca="1" si="35"/>
        <v/>
      </c>
      <c r="I66" s="46" t="str">
        <f t="shared" ca="1" si="35"/>
        <v/>
      </c>
      <c r="J66" s="46" t="str">
        <f t="shared" ca="1" si="35"/>
        <v/>
      </c>
      <c r="K66" s="46" t="str">
        <f t="shared" ca="1" si="35"/>
        <v/>
      </c>
      <c r="L66" s="46" t="str">
        <f t="shared" ca="1" si="35"/>
        <v/>
      </c>
      <c r="M66" s="46" t="str">
        <f t="shared" ca="1" si="35"/>
        <v/>
      </c>
      <c r="N66" s="46" t="str">
        <f t="shared" ca="1" si="35"/>
        <v/>
      </c>
      <c r="O66" s="46" t="str">
        <f t="shared" ca="1" si="35"/>
        <v/>
      </c>
      <c r="P66" s="46" t="str">
        <f t="shared" ca="1" si="35"/>
        <v/>
      </c>
      <c r="Q66" s="46" t="str">
        <f t="shared" ca="1" si="35"/>
        <v/>
      </c>
      <c r="R66" s="46" t="str">
        <f t="shared" ca="1" si="35"/>
        <v/>
      </c>
      <c r="S66" s="46" t="str">
        <f t="shared" ca="1" si="35"/>
        <v/>
      </c>
      <c r="T66" s="46" t="str">
        <f t="shared" ca="1" si="35"/>
        <v/>
      </c>
      <c r="U66" s="46" t="str">
        <f t="shared" ca="1" si="35"/>
        <v/>
      </c>
      <c r="V66" s="46" t="str">
        <f t="shared" ca="1" si="35"/>
        <v/>
      </c>
      <c r="W66" s="46" t="str">
        <f t="shared" ca="1" si="35"/>
        <v/>
      </c>
      <c r="X66" s="46" t="str">
        <f t="shared" ref="X66" ca="1" si="36">IF(AND($A14&gt;X$55,$A14&lt;X$53),ABS(AVERAGE(X13:X15)),"")</f>
        <v/>
      </c>
    </row>
    <row r="67" spans="1:24" ht="11.1" customHeight="1" thickBot="1" x14ac:dyDescent="0.3">
      <c r="A67" s="31"/>
      <c r="B67" s="46" t="str">
        <f t="shared" ref="B67:W67" ca="1" si="37">IF(AND($A15&gt;B$55,$A15&lt;B$53),ABS(AVERAGE(B13:B17)),"")</f>
        <v/>
      </c>
      <c r="C67" s="46" t="str">
        <f t="shared" ca="1" si="37"/>
        <v/>
      </c>
      <c r="D67" s="46" t="str">
        <f t="shared" ca="1" si="37"/>
        <v/>
      </c>
      <c r="E67" s="46" t="str">
        <f t="shared" ca="1" si="37"/>
        <v/>
      </c>
      <c r="F67" s="46" t="str">
        <f t="shared" ca="1" si="37"/>
        <v/>
      </c>
      <c r="G67" s="46" t="str">
        <f t="shared" ca="1" si="37"/>
        <v/>
      </c>
      <c r="H67" s="46" t="str">
        <f t="shared" ca="1" si="37"/>
        <v/>
      </c>
      <c r="I67" s="46" t="str">
        <f t="shared" ca="1" si="37"/>
        <v/>
      </c>
      <c r="J67" s="46" t="str">
        <f t="shared" ca="1" si="37"/>
        <v/>
      </c>
      <c r="K67" s="46" t="str">
        <f t="shared" ca="1" si="37"/>
        <v/>
      </c>
      <c r="L67" s="46" t="str">
        <f t="shared" ca="1" si="37"/>
        <v/>
      </c>
      <c r="M67" s="46" t="str">
        <f t="shared" ca="1" si="37"/>
        <v/>
      </c>
      <c r="N67" s="46" t="str">
        <f t="shared" ca="1" si="37"/>
        <v/>
      </c>
      <c r="O67" s="46" t="str">
        <f t="shared" ca="1" si="37"/>
        <v/>
      </c>
      <c r="P67" s="46">
        <f t="shared" ca="1" si="37"/>
        <v>3181.8</v>
      </c>
      <c r="Q67" s="46" t="str">
        <f t="shared" ca="1" si="37"/>
        <v/>
      </c>
      <c r="R67" s="46" t="str">
        <f t="shared" ca="1" si="37"/>
        <v/>
      </c>
      <c r="S67" s="46" t="str">
        <f t="shared" ca="1" si="37"/>
        <v/>
      </c>
      <c r="T67" s="46" t="str">
        <f t="shared" ca="1" si="37"/>
        <v/>
      </c>
      <c r="U67" s="46" t="str">
        <f t="shared" ca="1" si="37"/>
        <v/>
      </c>
      <c r="V67" s="46" t="str">
        <f t="shared" ca="1" si="37"/>
        <v/>
      </c>
      <c r="W67" s="46" t="str">
        <f t="shared" ca="1" si="37"/>
        <v/>
      </c>
      <c r="X67" s="46" t="str">
        <f t="shared" ref="X67" ca="1" si="38">IF(AND($A15&gt;X$55,$A15&lt;X$53),ABS(AVERAGE(X14:X16)),"")</f>
        <v/>
      </c>
    </row>
    <row r="68" spans="1:24" ht="11.1" customHeight="1" x14ac:dyDescent="0.25">
      <c r="A68" s="11" t="s">
        <v>287</v>
      </c>
      <c r="B68" s="46" t="str">
        <f t="shared" ref="B68:W68" ca="1" si="39">IF(AND($A16&gt;B$55,$A16&lt;B$53),ABS(AVERAGE(B14:B18)),"")</f>
        <v/>
      </c>
      <c r="C68" s="46" t="str">
        <f t="shared" ca="1" si="39"/>
        <v/>
      </c>
      <c r="D68" s="46" t="str">
        <f t="shared" ca="1" si="39"/>
        <v/>
      </c>
      <c r="E68" s="46" t="str">
        <f t="shared" ca="1" si="39"/>
        <v/>
      </c>
      <c r="F68" s="46" t="str">
        <f t="shared" ca="1" si="39"/>
        <v/>
      </c>
      <c r="G68" s="46" t="str">
        <f t="shared" ca="1" si="39"/>
        <v/>
      </c>
      <c r="H68" s="46" t="str">
        <f t="shared" ca="1" si="39"/>
        <v/>
      </c>
      <c r="I68" s="46" t="str">
        <f t="shared" ca="1" si="39"/>
        <v/>
      </c>
      <c r="J68" s="46" t="str">
        <f t="shared" ca="1" si="39"/>
        <v/>
      </c>
      <c r="K68" s="46" t="str">
        <f t="shared" ca="1" si="39"/>
        <v/>
      </c>
      <c r="L68" s="46" t="str">
        <f t="shared" ca="1" si="39"/>
        <v/>
      </c>
      <c r="M68" s="46" t="str">
        <f t="shared" ca="1" si="39"/>
        <v/>
      </c>
      <c r="N68" s="46" t="str">
        <f t="shared" ca="1" si="39"/>
        <v/>
      </c>
      <c r="O68" s="46" t="str">
        <f t="shared" ca="1" si="39"/>
        <v/>
      </c>
      <c r="P68" s="46">
        <f t="shared" ca="1" si="39"/>
        <v>4042.2</v>
      </c>
      <c r="Q68" s="46" t="str">
        <f t="shared" ca="1" si="39"/>
        <v/>
      </c>
      <c r="R68" s="46" t="str">
        <f t="shared" ca="1" si="39"/>
        <v/>
      </c>
      <c r="S68" s="46" t="str">
        <f t="shared" ca="1" si="39"/>
        <v/>
      </c>
      <c r="T68" s="46" t="str">
        <f t="shared" ca="1" si="39"/>
        <v/>
      </c>
      <c r="U68" s="46" t="str">
        <f t="shared" ca="1" si="39"/>
        <v/>
      </c>
      <c r="V68" s="46" t="str">
        <f t="shared" ca="1" si="39"/>
        <v/>
      </c>
      <c r="W68" s="46" t="str">
        <f t="shared" ca="1" si="39"/>
        <v/>
      </c>
      <c r="X68" s="46" t="str">
        <f t="shared" ref="X68" ca="1" si="40">IF(AND($A16&gt;X$55,$A16&lt;X$53),ABS(AVERAGE(X15:X17)),"")</f>
        <v/>
      </c>
    </row>
    <row r="69" spans="1:24" ht="11.1" customHeight="1" x14ac:dyDescent="0.25">
      <c r="A69" s="11" t="s">
        <v>2</v>
      </c>
      <c r="B69" s="46" t="str">
        <f t="shared" ref="B69:W69" ca="1" si="41">IF(AND($A17&gt;B$55,$A17&lt;B$53),ABS(AVERAGE(B15:B19)),"")</f>
        <v/>
      </c>
      <c r="C69" s="46" t="str">
        <f t="shared" ca="1" si="41"/>
        <v/>
      </c>
      <c r="D69" s="46" t="str">
        <f t="shared" ca="1" si="41"/>
        <v/>
      </c>
      <c r="E69" s="46" t="str">
        <f t="shared" ca="1" si="41"/>
        <v/>
      </c>
      <c r="F69" s="46" t="str">
        <f t="shared" ca="1" si="41"/>
        <v/>
      </c>
      <c r="G69" s="46" t="str">
        <f t="shared" ca="1" si="41"/>
        <v/>
      </c>
      <c r="H69" s="46" t="str">
        <f t="shared" ca="1" si="41"/>
        <v/>
      </c>
      <c r="I69" s="46" t="str">
        <f t="shared" ca="1" si="41"/>
        <v/>
      </c>
      <c r="J69" s="46" t="str">
        <f t="shared" ca="1" si="41"/>
        <v/>
      </c>
      <c r="K69" s="46" t="str">
        <f t="shared" ca="1" si="41"/>
        <v/>
      </c>
      <c r="L69" s="46" t="str">
        <f t="shared" ca="1" si="41"/>
        <v/>
      </c>
      <c r="M69" s="46" t="str">
        <f t="shared" ca="1" si="41"/>
        <v/>
      </c>
      <c r="N69" s="46" t="str">
        <f t="shared" ca="1" si="41"/>
        <v/>
      </c>
      <c r="O69" s="46" t="str">
        <f t="shared" ca="1" si="41"/>
        <v/>
      </c>
      <c r="P69" s="46">
        <f t="shared" ca="1" si="41"/>
        <v>1007</v>
      </c>
      <c r="Q69" s="46" t="str">
        <f t="shared" ca="1" si="41"/>
        <v/>
      </c>
      <c r="R69" s="46" t="str">
        <f t="shared" ca="1" si="41"/>
        <v/>
      </c>
      <c r="S69" s="46" t="str">
        <f t="shared" ca="1" si="41"/>
        <v/>
      </c>
      <c r="T69" s="46" t="str">
        <f t="shared" ca="1" si="41"/>
        <v/>
      </c>
      <c r="U69" s="46" t="str">
        <f t="shared" ca="1" si="41"/>
        <v/>
      </c>
      <c r="V69" s="46" t="str">
        <f t="shared" ca="1" si="41"/>
        <v/>
      </c>
      <c r="W69" s="46" t="str">
        <f t="shared" ca="1" si="41"/>
        <v/>
      </c>
      <c r="X69" s="46" t="str">
        <f t="shared" ref="X69" ca="1" si="42">IF(AND($A17&gt;X$55,$A17&lt;X$53),ABS(AVERAGE(X16:X18)),"")</f>
        <v/>
      </c>
    </row>
    <row r="70" spans="1:24" ht="11.1" customHeight="1" x14ac:dyDescent="0.25">
      <c r="A70" s="11" t="s">
        <v>3</v>
      </c>
      <c r="B70" s="46" t="str">
        <f t="shared" ref="B70:W70" ca="1" si="43">IF(AND($A18&gt;B$55,$A18&lt;B$53),ABS(AVERAGE(B16:B20)),"")</f>
        <v/>
      </c>
      <c r="C70" s="46" t="str">
        <f t="shared" ca="1" si="43"/>
        <v/>
      </c>
      <c r="D70" s="46" t="str">
        <f t="shared" ca="1" si="43"/>
        <v/>
      </c>
      <c r="E70" s="46" t="str">
        <f t="shared" ca="1" si="43"/>
        <v/>
      </c>
      <c r="F70" s="46" t="str">
        <f t="shared" ca="1" si="43"/>
        <v/>
      </c>
      <c r="G70" s="46" t="str">
        <f t="shared" ca="1" si="43"/>
        <v/>
      </c>
      <c r="H70" s="46" t="str">
        <f t="shared" ca="1" si="43"/>
        <v/>
      </c>
      <c r="I70" s="46" t="str">
        <f t="shared" ca="1" si="43"/>
        <v/>
      </c>
      <c r="J70" s="46" t="str">
        <f t="shared" ca="1" si="43"/>
        <v/>
      </c>
      <c r="K70" s="46" t="str">
        <f t="shared" ca="1" si="43"/>
        <v/>
      </c>
      <c r="L70" s="46" t="str">
        <f t="shared" ca="1" si="43"/>
        <v/>
      </c>
      <c r="M70" s="46" t="str">
        <f t="shared" ca="1" si="43"/>
        <v/>
      </c>
      <c r="N70" s="46" t="str">
        <f t="shared" ca="1" si="43"/>
        <v/>
      </c>
      <c r="O70" s="46" t="str">
        <f t="shared" ca="1" si="43"/>
        <v/>
      </c>
      <c r="P70" s="46">
        <f t="shared" ca="1" si="43"/>
        <v>1238.5999999999999</v>
      </c>
      <c r="Q70" s="46" t="str">
        <f t="shared" ca="1" si="43"/>
        <v/>
      </c>
      <c r="R70" s="46" t="str">
        <f t="shared" ca="1" si="43"/>
        <v/>
      </c>
      <c r="S70" s="46" t="str">
        <f t="shared" ca="1" si="43"/>
        <v/>
      </c>
      <c r="T70" s="46" t="str">
        <f t="shared" ca="1" si="43"/>
        <v/>
      </c>
      <c r="U70" s="46" t="str">
        <f t="shared" ca="1" si="43"/>
        <v/>
      </c>
      <c r="V70" s="46" t="str">
        <f t="shared" ca="1" si="43"/>
        <v/>
      </c>
      <c r="W70" s="46" t="str">
        <f t="shared" ca="1" si="43"/>
        <v/>
      </c>
      <c r="X70" s="46" t="str">
        <f t="shared" ref="X70" ca="1" si="44">IF(AND($A18&gt;X$55,$A18&lt;X$53),ABS(AVERAGE(X17:X19)),"")</f>
        <v/>
      </c>
    </row>
    <row r="71" spans="1:24" ht="11.1" customHeight="1" x14ac:dyDescent="0.25">
      <c r="A71" s="11" t="s">
        <v>4</v>
      </c>
      <c r="B71" s="46" t="str">
        <f t="shared" ref="B71:W71" ca="1" si="45">IF(AND($A19&gt;B$55,$A19&lt;B$53),ABS(AVERAGE(B17:B21)),"")</f>
        <v/>
      </c>
      <c r="C71" s="46" t="str">
        <f t="shared" ca="1" si="45"/>
        <v/>
      </c>
      <c r="D71" s="46" t="str">
        <f t="shared" ca="1" si="45"/>
        <v/>
      </c>
      <c r="E71" s="46" t="str">
        <f t="shared" ca="1" si="45"/>
        <v/>
      </c>
      <c r="F71" s="46" t="str">
        <f t="shared" ca="1" si="45"/>
        <v/>
      </c>
      <c r="G71" s="46" t="str">
        <f t="shared" ca="1" si="45"/>
        <v/>
      </c>
      <c r="H71" s="46">
        <f t="shared" ca="1" si="45"/>
        <v>3537.8</v>
      </c>
      <c r="I71" s="46" t="str">
        <f t="shared" ca="1" si="45"/>
        <v/>
      </c>
      <c r="J71" s="46" t="str">
        <f t="shared" ca="1" si="45"/>
        <v/>
      </c>
      <c r="K71" s="46" t="str">
        <f t="shared" ca="1" si="45"/>
        <v/>
      </c>
      <c r="L71" s="46" t="str">
        <f t="shared" ca="1" si="45"/>
        <v/>
      </c>
      <c r="M71" s="46" t="str">
        <f t="shared" ca="1" si="45"/>
        <v/>
      </c>
      <c r="N71" s="46" t="str">
        <f t="shared" ca="1" si="45"/>
        <v/>
      </c>
      <c r="O71" s="46" t="str">
        <f t="shared" ca="1" si="45"/>
        <v/>
      </c>
      <c r="P71" s="46">
        <f t="shared" ca="1" si="45"/>
        <v>1092</v>
      </c>
      <c r="Q71" s="46" t="str">
        <f t="shared" ca="1" si="45"/>
        <v/>
      </c>
      <c r="R71" s="46" t="str">
        <f t="shared" ca="1" si="45"/>
        <v/>
      </c>
      <c r="S71" s="46" t="str">
        <f t="shared" ca="1" si="45"/>
        <v/>
      </c>
      <c r="T71" s="46" t="str">
        <f t="shared" ca="1" si="45"/>
        <v/>
      </c>
      <c r="U71" s="46" t="str">
        <f t="shared" ca="1" si="45"/>
        <v/>
      </c>
      <c r="V71" s="46" t="str">
        <f t="shared" ca="1" si="45"/>
        <v/>
      </c>
      <c r="W71" s="46" t="str">
        <f t="shared" ca="1" si="45"/>
        <v/>
      </c>
      <c r="X71" s="46" t="str">
        <f t="shared" ref="X71" ca="1" si="46">IF(AND($A19&gt;X$55,$A19&lt;X$53),ABS(AVERAGE(X18:X20)),"")</f>
        <v/>
      </c>
    </row>
    <row r="72" spans="1:24" ht="11.1" customHeight="1" x14ac:dyDescent="0.25">
      <c r="A72" s="11" t="s">
        <v>5</v>
      </c>
      <c r="B72" s="46" t="str">
        <f t="shared" ref="B72:W72" ca="1" si="47">IF(AND($A20&gt;B$55,$A20&lt;B$53),ABS(AVERAGE(B18:B22)),"")</f>
        <v/>
      </c>
      <c r="C72" s="46" t="str">
        <f t="shared" ca="1" si="47"/>
        <v/>
      </c>
      <c r="D72" s="46" t="str">
        <f t="shared" ca="1" si="47"/>
        <v/>
      </c>
      <c r="E72" s="46" t="str">
        <f t="shared" ca="1" si="47"/>
        <v/>
      </c>
      <c r="F72" s="46" t="str">
        <f t="shared" ca="1" si="47"/>
        <v/>
      </c>
      <c r="G72" s="46" t="str">
        <f t="shared" ca="1" si="47"/>
        <v/>
      </c>
      <c r="H72" s="46">
        <f t="shared" ca="1" si="47"/>
        <v>3638.6</v>
      </c>
      <c r="I72" s="46" t="str">
        <f t="shared" ca="1" si="47"/>
        <v/>
      </c>
      <c r="J72" s="46" t="str">
        <f t="shared" ca="1" si="47"/>
        <v/>
      </c>
      <c r="K72" s="46" t="str">
        <f t="shared" ca="1" si="47"/>
        <v/>
      </c>
      <c r="L72" s="46" t="str">
        <f t="shared" ca="1" si="47"/>
        <v/>
      </c>
      <c r="M72" s="46" t="str">
        <f t="shared" ca="1" si="47"/>
        <v/>
      </c>
      <c r="N72" s="46" t="str">
        <f t="shared" ca="1" si="47"/>
        <v/>
      </c>
      <c r="O72" s="46" t="str">
        <f t="shared" ca="1" si="47"/>
        <v/>
      </c>
      <c r="P72" s="46">
        <f t="shared" ca="1" si="47"/>
        <v>1151</v>
      </c>
      <c r="Q72" s="46" t="str">
        <f t="shared" ca="1" si="47"/>
        <v/>
      </c>
      <c r="R72" s="46" t="str">
        <f t="shared" ca="1" si="47"/>
        <v/>
      </c>
      <c r="S72" s="46" t="str">
        <f t="shared" ca="1" si="47"/>
        <v/>
      </c>
      <c r="T72" s="46" t="str">
        <f t="shared" ca="1" si="47"/>
        <v/>
      </c>
      <c r="U72" s="46" t="str">
        <f t="shared" ca="1" si="47"/>
        <v/>
      </c>
      <c r="V72" s="46" t="str">
        <f t="shared" ca="1" si="47"/>
        <v/>
      </c>
      <c r="W72" s="46" t="str">
        <f t="shared" ca="1" si="47"/>
        <v/>
      </c>
      <c r="X72" s="46" t="str">
        <f t="shared" ref="X72" ca="1" si="48">IF(AND($A20&gt;X$55,$A20&lt;X$53),ABS(AVERAGE(X19:X21)),"")</f>
        <v/>
      </c>
    </row>
    <row r="73" spans="1:24" ht="11.1" customHeight="1" x14ac:dyDescent="0.25">
      <c r="A73" s="11" t="s">
        <v>6</v>
      </c>
      <c r="B73" s="46" t="str">
        <f t="shared" ref="B73:W73" ca="1" si="49">IF(AND($A21&gt;B$55,$A21&lt;B$53),ABS(AVERAGE(B19:B23)),"")</f>
        <v/>
      </c>
      <c r="C73" s="46" t="str">
        <f t="shared" ca="1" si="49"/>
        <v/>
      </c>
      <c r="D73" s="46" t="str">
        <f t="shared" ca="1" si="49"/>
        <v/>
      </c>
      <c r="E73" s="46" t="str">
        <f t="shared" ca="1" si="49"/>
        <v/>
      </c>
      <c r="F73" s="46" t="str">
        <f t="shared" ca="1" si="49"/>
        <v/>
      </c>
      <c r="G73" s="46" t="str">
        <f t="shared" ca="1" si="49"/>
        <v/>
      </c>
      <c r="H73" s="46">
        <f t="shared" ca="1" si="49"/>
        <v>257.39999999999998</v>
      </c>
      <c r="I73" s="46" t="str">
        <f t="shared" ca="1" si="49"/>
        <v/>
      </c>
      <c r="J73" s="46" t="str">
        <f t="shared" ca="1" si="49"/>
        <v/>
      </c>
      <c r="K73" s="46" t="str">
        <f t="shared" ca="1" si="49"/>
        <v/>
      </c>
      <c r="L73" s="46" t="str">
        <f t="shared" ca="1" si="49"/>
        <v/>
      </c>
      <c r="M73" s="46" t="str">
        <f t="shared" ca="1" si="49"/>
        <v/>
      </c>
      <c r="N73" s="46" t="str">
        <f t="shared" ca="1" si="49"/>
        <v/>
      </c>
      <c r="O73" s="46" t="str">
        <f t="shared" ca="1" si="49"/>
        <v/>
      </c>
      <c r="P73" s="46">
        <f t="shared" ca="1" si="49"/>
        <v>290.60000000000002</v>
      </c>
      <c r="Q73" s="46" t="str">
        <f t="shared" ca="1" si="49"/>
        <v/>
      </c>
      <c r="R73" s="46" t="str">
        <f t="shared" ca="1" si="49"/>
        <v/>
      </c>
      <c r="S73" s="46" t="str">
        <f t="shared" ca="1" si="49"/>
        <v/>
      </c>
      <c r="T73" s="46" t="str">
        <f t="shared" ca="1" si="49"/>
        <v/>
      </c>
      <c r="U73" s="46" t="str">
        <f t="shared" ca="1" si="49"/>
        <v/>
      </c>
      <c r="V73" s="46" t="str">
        <f t="shared" ca="1" si="49"/>
        <v/>
      </c>
      <c r="W73" s="46" t="str">
        <f t="shared" ca="1" si="49"/>
        <v/>
      </c>
      <c r="X73" s="46" t="str">
        <f t="shared" ref="X73" ca="1" si="50">IF(AND($A21&gt;X$55,$A21&lt;X$53),ABS(AVERAGE(X20:X22)),"")</f>
        <v/>
      </c>
    </row>
    <row r="74" spans="1:24" ht="11.1" customHeight="1" x14ac:dyDescent="0.25">
      <c r="A74" s="11" t="s">
        <v>7</v>
      </c>
      <c r="B74" s="46" t="str">
        <f t="shared" ref="B74:W74" ca="1" si="51">IF(AND($A22&gt;B$55,$A22&lt;B$53),ABS(AVERAGE(B20:B24)),"")</f>
        <v/>
      </c>
      <c r="C74" s="46" t="str">
        <f t="shared" ca="1" si="51"/>
        <v/>
      </c>
      <c r="D74" s="46" t="str">
        <f t="shared" ca="1" si="51"/>
        <v/>
      </c>
      <c r="E74" s="46" t="str">
        <f t="shared" ca="1" si="51"/>
        <v/>
      </c>
      <c r="F74" s="46" t="str">
        <f t="shared" ca="1" si="51"/>
        <v/>
      </c>
      <c r="G74" s="46" t="str">
        <f t="shared" ca="1" si="51"/>
        <v/>
      </c>
      <c r="H74" s="46">
        <f t="shared" ca="1" si="51"/>
        <v>1133.2</v>
      </c>
      <c r="I74" s="46" t="str">
        <f t="shared" ca="1" si="51"/>
        <v/>
      </c>
      <c r="J74" s="46" t="str">
        <f t="shared" ca="1" si="51"/>
        <v/>
      </c>
      <c r="K74" s="46" t="str">
        <f t="shared" ca="1" si="51"/>
        <v/>
      </c>
      <c r="L74" s="46" t="str">
        <f t="shared" ca="1" si="51"/>
        <v/>
      </c>
      <c r="M74" s="46" t="str">
        <f t="shared" ca="1" si="51"/>
        <v/>
      </c>
      <c r="N74" s="46" t="str">
        <f t="shared" ca="1" si="51"/>
        <v/>
      </c>
      <c r="O74" s="46" t="str">
        <f t="shared" ca="1" si="51"/>
        <v/>
      </c>
      <c r="P74" s="46">
        <f t="shared" ca="1" si="51"/>
        <v>1279.4000000000001</v>
      </c>
      <c r="Q74" s="46" t="str">
        <f t="shared" ca="1" si="51"/>
        <v/>
      </c>
      <c r="R74" s="46" t="str">
        <f t="shared" ca="1" si="51"/>
        <v/>
      </c>
      <c r="S74" s="46" t="str">
        <f t="shared" ca="1" si="51"/>
        <v/>
      </c>
      <c r="T74" s="46" t="str">
        <f t="shared" ca="1" si="51"/>
        <v/>
      </c>
      <c r="U74" s="46" t="str">
        <f t="shared" ca="1" si="51"/>
        <v/>
      </c>
      <c r="V74" s="46" t="str">
        <f t="shared" ca="1" si="51"/>
        <v/>
      </c>
      <c r="W74" s="46" t="str">
        <f t="shared" ca="1" si="51"/>
        <v/>
      </c>
      <c r="X74" s="46" t="str">
        <f t="shared" ref="X74" ca="1" si="52">IF(AND($A22&gt;X$55,$A22&lt;X$53),ABS(AVERAGE(X21:X23)),"")</f>
        <v/>
      </c>
    </row>
    <row r="75" spans="1:24" ht="11.1" customHeight="1" x14ac:dyDescent="0.25">
      <c r="B75" s="46" t="str">
        <f t="shared" ref="B75:W75" ca="1" si="53">IF(AND($A23&gt;B$55,$A23&lt;B$53),ABS(AVERAGE(B21:B25)),"")</f>
        <v/>
      </c>
      <c r="C75" s="46" t="str">
        <f t="shared" ca="1" si="53"/>
        <v/>
      </c>
      <c r="D75" s="46" t="str">
        <f t="shared" ca="1" si="53"/>
        <v/>
      </c>
      <c r="E75" s="46" t="str">
        <f t="shared" ca="1" si="53"/>
        <v/>
      </c>
      <c r="F75" s="46" t="str">
        <f t="shared" ca="1" si="53"/>
        <v/>
      </c>
      <c r="G75" s="46" t="str">
        <f t="shared" ca="1" si="53"/>
        <v/>
      </c>
      <c r="H75" s="46">
        <f t="shared" ca="1" si="53"/>
        <v>976.6</v>
      </c>
      <c r="I75" s="46" t="str">
        <f t="shared" ca="1" si="53"/>
        <v/>
      </c>
      <c r="J75" s="46" t="str">
        <f t="shared" ca="1" si="53"/>
        <v/>
      </c>
      <c r="K75" s="46" t="str">
        <f t="shared" ca="1" si="53"/>
        <v/>
      </c>
      <c r="L75" s="46" t="str">
        <f t="shared" ca="1" si="53"/>
        <v/>
      </c>
      <c r="M75" s="46" t="str">
        <f t="shared" ca="1" si="53"/>
        <v/>
      </c>
      <c r="N75" s="46" t="str">
        <f t="shared" ca="1" si="53"/>
        <v/>
      </c>
      <c r="O75" s="46" t="str">
        <f t="shared" ca="1" si="53"/>
        <v/>
      </c>
      <c r="P75" s="46">
        <f t="shared" ca="1" si="53"/>
        <v>1047.8</v>
      </c>
      <c r="Q75" s="46" t="str">
        <f t="shared" ca="1" si="53"/>
        <v/>
      </c>
      <c r="R75" s="46" t="str">
        <f t="shared" ca="1" si="53"/>
        <v/>
      </c>
      <c r="S75" s="46" t="str">
        <f t="shared" ca="1" si="53"/>
        <v/>
      </c>
      <c r="T75" s="46" t="str">
        <f t="shared" ca="1" si="53"/>
        <v/>
      </c>
      <c r="U75" s="46" t="str">
        <f t="shared" ca="1" si="53"/>
        <v/>
      </c>
      <c r="V75" s="46" t="str">
        <f t="shared" ca="1" si="53"/>
        <v/>
      </c>
      <c r="W75" s="46" t="str">
        <f t="shared" ca="1" si="53"/>
        <v/>
      </c>
      <c r="X75" s="46" t="str">
        <f t="shared" ref="X75" ca="1" si="54">IF(AND($A23&gt;X$55,$A23&lt;X$53),ABS(AVERAGE(X22:X24)),"")</f>
        <v/>
      </c>
    </row>
    <row r="76" spans="1:24" ht="11.1" customHeight="1" x14ac:dyDescent="0.25">
      <c r="A76" s="11" t="s">
        <v>8</v>
      </c>
      <c r="B76" s="46" t="str">
        <f t="shared" ref="B76:W76" ca="1" si="55">IF(AND($A24&gt;B$55,$A24&lt;B$53),ABS(AVERAGE(B22:B26)),"")</f>
        <v/>
      </c>
      <c r="C76" s="46" t="str">
        <f t="shared" ca="1" si="55"/>
        <v/>
      </c>
      <c r="D76" s="46" t="str">
        <f t="shared" ca="1" si="55"/>
        <v/>
      </c>
      <c r="E76" s="46" t="str">
        <f t="shared" ca="1" si="55"/>
        <v/>
      </c>
      <c r="F76" s="46" t="str">
        <f t="shared" ca="1" si="55"/>
        <v/>
      </c>
      <c r="G76" s="46" t="str">
        <f t="shared" ca="1" si="55"/>
        <v/>
      </c>
      <c r="H76" s="46">
        <f t="shared" ca="1" si="55"/>
        <v>1927.2</v>
      </c>
      <c r="I76" s="46" t="str">
        <f t="shared" ca="1" si="55"/>
        <v/>
      </c>
      <c r="J76" s="46" t="str">
        <f t="shared" ca="1" si="55"/>
        <v/>
      </c>
      <c r="K76" s="46" t="str">
        <f t="shared" ca="1" si="55"/>
        <v/>
      </c>
      <c r="L76" s="46" t="str">
        <f t="shared" ca="1" si="55"/>
        <v/>
      </c>
      <c r="M76" s="46" t="str">
        <f t="shared" ca="1" si="55"/>
        <v/>
      </c>
      <c r="N76" s="46" t="str">
        <f t="shared" ca="1" si="55"/>
        <v/>
      </c>
      <c r="O76" s="46" t="str">
        <f t="shared" ca="1" si="55"/>
        <v/>
      </c>
      <c r="P76" s="46">
        <f t="shared" ca="1" si="55"/>
        <v>1452.4</v>
      </c>
      <c r="Q76" s="46" t="str">
        <f t="shared" ca="1" si="55"/>
        <v/>
      </c>
      <c r="R76" s="46" t="str">
        <f t="shared" ca="1" si="55"/>
        <v/>
      </c>
      <c r="S76" s="46" t="str">
        <f t="shared" ca="1" si="55"/>
        <v/>
      </c>
      <c r="T76" s="46" t="str">
        <f t="shared" ca="1" si="55"/>
        <v/>
      </c>
      <c r="U76" s="46" t="str">
        <f t="shared" ca="1" si="55"/>
        <v/>
      </c>
      <c r="V76" s="46" t="str">
        <f t="shared" ca="1" si="55"/>
        <v/>
      </c>
      <c r="W76" s="46" t="str">
        <f t="shared" ca="1" si="55"/>
        <v/>
      </c>
      <c r="X76" s="46" t="str">
        <f t="shared" ref="X76" ca="1" si="56">IF(AND($A24&gt;X$55,$A24&lt;X$53),ABS(AVERAGE(X23:X25)),"")</f>
        <v/>
      </c>
    </row>
    <row r="77" spans="1:24" ht="11.1" customHeight="1" x14ac:dyDescent="0.25">
      <c r="A77" s="11" t="s">
        <v>9</v>
      </c>
      <c r="B77" s="46" t="str">
        <f t="shared" ref="B77:W77" ca="1" si="57">IF(AND($A25&gt;B$55,$A25&lt;B$53),ABS(AVERAGE(B23:B27)),"")</f>
        <v/>
      </c>
      <c r="C77" s="46" t="str">
        <f t="shared" ca="1" si="57"/>
        <v/>
      </c>
      <c r="D77" s="46" t="str">
        <f t="shared" ca="1" si="57"/>
        <v/>
      </c>
      <c r="E77" s="46" t="str">
        <f t="shared" ca="1" si="57"/>
        <v/>
      </c>
      <c r="F77" s="46" t="str">
        <f t="shared" ca="1" si="57"/>
        <v/>
      </c>
      <c r="G77" s="46" t="str">
        <f t="shared" ca="1" si="57"/>
        <v/>
      </c>
      <c r="H77" s="46">
        <f t="shared" ca="1" si="57"/>
        <v>1826.4</v>
      </c>
      <c r="I77" s="46" t="str">
        <f t="shared" ca="1" si="57"/>
        <v/>
      </c>
      <c r="J77" s="46" t="str">
        <f t="shared" ca="1" si="57"/>
        <v/>
      </c>
      <c r="K77" s="46" t="str">
        <f t="shared" ca="1" si="57"/>
        <v/>
      </c>
      <c r="L77" s="46" t="str">
        <f t="shared" ca="1" si="57"/>
        <v/>
      </c>
      <c r="M77" s="46" t="str">
        <f t="shared" ca="1" si="57"/>
        <v/>
      </c>
      <c r="N77" s="46" t="str">
        <f t="shared" ca="1" si="57"/>
        <v/>
      </c>
      <c r="O77" s="46" t="str">
        <f t="shared" ca="1" si="57"/>
        <v/>
      </c>
      <c r="P77" s="46">
        <f t="shared" ca="1" si="57"/>
        <v>1393.4</v>
      </c>
      <c r="Q77" s="46" t="str">
        <f t="shared" ca="1" si="57"/>
        <v/>
      </c>
      <c r="R77" s="46" t="str">
        <f t="shared" ca="1" si="57"/>
        <v/>
      </c>
      <c r="S77" s="46" t="str">
        <f t="shared" ca="1" si="57"/>
        <v/>
      </c>
      <c r="T77" s="46" t="str">
        <f t="shared" ca="1" si="57"/>
        <v/>
      </c>
      <c r="U77" s="46" t="str">
        <f t="shared" ca="1" si="57"/>
        <v/>
      </c>
      <c r="V77" s="46" t="str">
        <f t="shared" ca="1" si="57"/>
        <v/>
      </c>
      <c r="W77" s="46" t="str">
        <f t="shared" ca="1" si="57"/>
        <v/>
      </c>
      <c r="X77" s="46" t="str">
        <f t="shared" ref="X77" ca="1" si="58">IF(AND($A25&gt;X$55,$A25&lt;X$53),ABS(AVERAGE(X24:X26)),"")</f>
        <v/>
      </c>
    </row>
    <row r="78" spans="1:24" ht="11.1" customHeight="1" x14ac:dyDescent="0.25">
      <c r="A78" s="11" t="s">
        <v>10</v>
      </c>
      <c r="B78" s="46" t="str">
        <f t="shared" ref="B78:W78" ca="1" si="59">IF(AND($A26&gt;B$55,$A26&lt;B$53),ABS(AVERAGE(B24:B28)),"")</f>
        <v/>
      </c>
      <c r="C78" s="46" t="str">
        <f t="shared" ca="1" si="59"/>
        <v/>
      </c>
      <c r="D78" s="46" t="str">
        <f t="shared" ca="1" si="59"/>
        <v/>
      </c>
      <c r="E78" s="46" t="str">
        <f t="shared" ca="1" si="59"/>
        <v/>
      </c>
      <c r="F78" s="46" t="str">
        <f t="shared" ca="1" si="59"/>
        <v/>
      </c>
      <c r="G78" s="46" t="str">
        <f t="shared" ca="1" si="59"/>
        <v/>
      </c>
      <c r="H78" s="46">
        <f t="shared" ca="1" si="59"/>
        <v>3915.6</v>
      </c>
      <c r="I78" s="46" t="str">
        <f t="shared" ca="1" si="59"/>
        <v/>
      </c>
      <c r="J78" s="46" t="str">
        <f t="shared" ca="1" si="59"/>
        <v/>
      </c>
      <c r="K78" s="46" t="str">
        <f t="shared" ca="1" si="59"/>
        <v/>
      </c>
      <c r="L78" s="46" t="str">
        <f t="shared" ca="1" si="59"/>
        <v/>
      </c>
      <c r="M78" s="46" t="str">
        <f t="shared" ca="1" si="59"/>
        <v/>
      </c>
      <c r="N78" s="46" t="str">
        <f t="shared" ca="1" si="59"/>
        <v/>
      </c>
      <c r="O78" s="46" t="str">
        <f t="shared" ca="1" si="59"/>
        <v/>
      </c>
      <c r="P78" s="46">
        <f t="shared" ca="1" si="59"/>
        <v>2761.8</v>
      </c>
      <c r="Q78" s="46" t="str">
        <f t="shared" ca="1" si="59"/>
        <v/>
      </c>
      <c r="R78" s="46" t="str">
        <f t="shared" ca="1" si="59"/>
        <v/>
      </c>
      <c r="S78" s="46" t="str">
        <f t="shared" ca="1" si="59"/>
        <v/>
      </c>
      <c r="T78" s="46" t="str">
        <f t="shared" ca="1" si="59"/>
        <v/>
      </c>
      <c r="U78" s="46" t="str">
        <f t="shared" ca="1" si="59"/>
        <v/>
      </c>
      <c r="V78" s="46" t="str">
        <f t="shared" ca="1" si="59"/>
        <v/>
      </c>
      <c r="W78" s="46" t="str">
        <f t="shared" ca="1" si="59"/>
        <v/>
      </c>
      <c r="X78" s="46" t="str">
        <f t="shared" ref="X78" ca="1" si="60">IF(AND($A26&gt;X$55,$A26&lt;X$53),ABS(AVERAGE(X25:X27)),"")</f>
        <v/>
      </c>
    </row>
    <row r="79" spans="1:24" ht="11.1" customHeight="1" x14ac:dyDescent="0.25">
      <c r="A79" s="11" t="s">
        <v>11</v>
      </c>
      <c r="B79" s="46" t="str">
        <f t="shared" ref="B79:W79" ca="1" si="61">IF(AND($A27&gt;B$55,$A27&lt;B$53),ABS(AVERAGE(B25:B29)),"")</f>
        <v/>
      </c>
      <c r="C79" s="46" t="str">
        <f t="shared" ca="1" si="61"/>
        <v/>
      </c>
      <c r="D79" s="46" t="str">
        <f t="shared" ca="1" si="61"/>
        <v/>
      </c>
      <c r="E79" s="46" t="str">
        <f t="shared" ca="1" si="61"/>
        <v/>
      </c>
      <c r="F79" s="46" t="str">
        <f t="shared" ca="1" si="61"/>
        <v/>
      </c>
      <c r="G79" s="46" t="str">
        <f t="shared" ca="1" si="61"/>
        <v/>
      </c>
      <c r="H79" s="46">
        <f t="shared" ca="1" si="61"/>
        <v>3039.8</v>
      </c>
      <c r="I79" s="46" t="str">
        <f t="shared" ca="1" si="61"/>
        <v/>
      </c>
      <c r="J79" s="46" t="str">
        <f t="shared" ca="1" si="61"/>
        <v/>
      </c>
      <c r="K79" s="46" t="str">
        <f t="shared" ca="1" si="61"/>
        <v/>
      </c>
      <c r="L79" s="46" t="str">
        <f t="shared" ca="1" si="61"/>
        <v/>
      </c>
      <c r="M79" s="46" t="str">
        <f t="shared" ca="1" si="61"/>
        <v/>
      </c>
      <c r="N79" s="46" t="str">
        <f t="shared" ca="1" si="61"/>
        <v/>
      </c>
      <c r="O79" s="46" t="str">
        <f t="shared" ca="1" si="61"/>
        <v/>
      </c>
      <c r="P79" s="46">
        <f t="shared" ca="1" si="61"/>
        <v>1773</v>
      </c>
      <c r="Q79" s="46" t="str">
        <f t="shared" ca="1" si="61"/>
        <v/>
      </c>
      <c r="R79" s="46" t="str">
        <f t="shared" ca="1" si="61"/>
        <v/>
      </c>
      <c r="S79" s="46" t="str">
        <f t="shared" ca="1" si="61"/>
        <v/>
      </c>
      <c r="T79" s="46" t="str">
        <f t="shared" ca="1" si="61"/>
        <v/>
      </c>
      <c r="U79" s="46" t="str">
        <f t="shared" ca="1" si="61"/>
        <v/>
      </c>
      <c r="V79" s="46" t="str">
        <f t="shared" ca="1" si="61"/>
        <v/>
      </c>
      <c r="W79" s="46" t="str">
        <f t="shared" ca="1" si="61"/>
        <v/>
      </c>
      <c r="X79" s="46" t="str">
        <f t="shared" ref="X79" ca="1" si="62">IF(AND($A27&gt;X$55,$A27&lt;X$53),ABS(AVERAGE(X26:X28)),"")</f>
        <v/>
      </c>
    </row>
    <row r="80" spans="1:24" ht="11.1" customHeight="1" x14ac:dyDescent="0.25">
      <c r="A80" s="11" t="s">
        <v>12</v>
      </c>
      <c r="B80" s="46" t="str">
        <f t="shared" ref="B80:W80" ca="1" si="63">IF(AND($A28&gt;B$55,$A28&lt;B$53),ABS(AVERAGE(B26:B30)),"")</f>
        <v/>
      </c>
      <c r="C80" s="46" t="str">
        <f t="shared" ca="1" si="63"/>
        <v/>
      </c>
      <c r="D80" s="46" t="str">
        <f t="shared" ca="1" si="63"/>
        <v/>
      </c>
      <c r="E80" s="46" t="str">
        <f t="shared" ca="1" si="63"/>
        <v/>
      </c>
      <c r="F80" s="46" t="str">
        <f t="shared" ca="1" si="63"/>
        <v/>
      </c>
      <c r="G80" s="46" t="str">
        <f t="shared" ca="1" si="63"/>
        <v/>
      </c>
      <c r="H80" s="46">
        <f t="shared" ca="1" si="63"/>
        <v>3905</v>
      </c>
      <c r="I80" s="46" t="str">
        <f t="shared" ca="1" si="63"/>
        <v/>
      </c>
      <c r="J80" s="46" t="str">
        <f t="shared" ca="1" si="63"/>
        <v/>
      </c>
      <c r="K80" s="46" t="str">
        <f t="shared" ca="1" si="63"/>
        <v/>
      </c>
      <c r="L80" s="46" t="str">
        <f t="shared" ca="1" si="63"/>
        <v/>
      </c>
      <c r="M80" s="46" t="str">
        <f t="shared" ca="1" si="63"/>
        <v/>
      </c>
      <c r="N80" s="46" t="str">
        <f t="shared" ca="1" si="63"/>
        <v/>
      </c>
      <c r="O80" s="46" t="str">
        <f t="shared" ca="1" si="63"/>
        <v/>
      </c>
      <c r="P80" s="46">
        <f t="shared" ca="1" si="63"/>
        <v>2474.8000000000002</v>
      </c>
      <c r="Q80" s="46" t="str">
        <f t="shared" ca="1" si="63"/>
        <v/>
      </c>
      <c r="R80" s="46" t="str">
        <f t="shared" ca="1" si="63"/>
        <v/>
      </c>
      <c r="S80" s="46" t="str">
        <f t="shared" ca="1" si="63"/>
        <v/>
      </c>
      <c r="T80" s="46" t="str">
        <f t="shared" ca="1" si="63"/>
        <v/>
      </c>
      <c r="U80" s="46" t="str">
        <f t="shared" ca="1" si="63"/>
        <v/>
      </c>
      <c r="V80" s="46" t="str">
        <f t="shared" ca="1" si="63"/>
        <v/>
      </c>
      <c r="W80" s="46" t="str">
        <f t="shared" ca="1" si="63"/>
        <v/>
      </c>
      <c r="X80" s="46" t="str">
        <f t="shared" ref="X80" ca="1" si="64">IF(AND($A28&gt;X$55,$A28&lt;X$53),ABS(AVERAGE(X27:X29)),"")</f>
        <v/>
      </c>
    </row>
    <row r="81" spans="1:24" ht="11.1" customHeight="1" x14ac:dyDescent="0.25">
      <c r="A81" s="11" t="s">
        <v>13</v>
      </c>
      <c r="B81" s="46" t="str">
        <f t="shared" ref="B81:W81" ca="1" si="65">IF(AND($A29&gt;B$55,$A29&lt;B$53),ABS(AVERAGE(B27:B31)),"")</f>
        <v/>
      </c>
      <c r="C81" s="46" t="str">
        <f t="shared" ca="1" si="65"/>
        <v/>
      </c>
      <c r="D81" s="46">
        <f t="shared" ca="1" si="65"/>
        <v>20608</v>
      </c>
      <c r="E81" s="46" t="str">
        <f t="shared" ca="1" si="65"/>
        <v/>
      </c>
      <c r="F81" s="46">
        <f t="shared" ca="1" si="65"/>
        <v>1537.6</v>
      </c>
      <c r="G81" s="46" t="str">
        <f t="shared" ca="1" si="65"/>
        <v/>
      </c>
      <c r="H81" s="46">
        <f t="shared" ca="1" si="65"/>
        <v>2954.4</v>
      </c>
      <c r="I81" s="46" t="str">
        <f t="shared" ca="1" si="65"/>
        <v/>
      </c>
      <c r="J81" s="46" t="str">
        <f t="shared" ca="1" si="65"/>
        <v/>
      </c>
      <c r="K81" s="46" t="str">
        <f t="shared" ca="1" si="65"/>
        <v/>
      </c>
      <c r="L81" s="46">
        <f t="shared" ca="1" si="65"/>
        <v>18319.2</v>
      </c>
      <c r="M81" s="46">
        <f t="shared" ca="1" si="65"/>
        <v>6527.4</v>
      </c>
      <c r="N81" s="46" t="str">
        <f t="shared" ca="1" si="65"/>
        <v/>
      </c>
      <c r="O81" s="46" t="str">
        <f t="shared" ca="1" si="65"/>
        <v/>
      </c>
      <c r="P81" s="46">
        <f t="shared" ca="1" si="65"/>
        <v>2070.1999999999998</v>
      </c>
      <c r="Q81" s="46" t="str">
        <f t="shared" ca="1" si="65"/>
        <v/>
      </c>
      <c r="R81" s="46" t="str">
        <f t="shared" ca="1" si="65"/>
        <v/>
      </c>
      <c r="S81" s="46" t="str">
        <f t="shared" ca="1" si="65"/>
        <v/>
      </c>
      <c r="T81" s="46" t="str">
        <f t="shared" ca="1" si="65"/>
        <v/>
      </c>
      <c r="U81" s="46" t="str">
        <f t="shared" ca="1" si="65"/>
        <v/>
      </c>
      <c r="V81" s="46" t="str">
        <f t="shared" ca="1" si="65"/>
        <v/>
      </c>
      <c r="W81" s="46" t="str">
        <f t="shared" ca="1" si="65"/>
        <v/>
      </c>
      <c r="X81" s="46">
        <f t="shared" ref="X81" ca="1" si="66">IF(AND($A29&gt;X$55,$A29&lt;X$53),ABS(AVERAGE(X28:X30)),"")</f>
        <v>106745.33333333333</v>
      </c>
    </row>
    <row r="82" spans="1:24" ht="11.1" customHeight="1" x14ac:dyDescent="0.25">
      <c r="A82" s="11" t="s">
        <v>14</v>
      </c>
      <c r="B82" s="46" t="str">
        <f t="shared" ref="B82:W82" ca="1" si="67">IF(AND($A30&gt;B$55,$A30&lt;B$53),ABS(AVERAGE(B28:B32)),"")</f>
        <v/>
      </c>
      <c r="C82" s="46" t="str">
        <f t="shared" ca="1" si="67"/>
        <v/>
      </c>
      <c r="D82" s="46">
        <f t="shared" ca="1" si="67"/>
        <v>25021.599999999999</v>
      </c>
      <c r="E82" s="46" t="str">
        <f t="shared" ca="1" si="67"/>
        <v/>
      </c>
      <c r="F82" s="46">
        <f t="shared" ca="1" si="67"/>
        <v>1285</v>
      </c>
      <c r="G82" s="46" t="str">
        <f t="shared" ca="1" si="67"/>
        <v/>
      </c>
      <c r="H82" s="46">
        <f t="shared" ca="1" si="67"/>
        <v>5767</v>
      </c>
      <c r="I82" s="46" t="str">
        <f t="shared" ca="1" si="67"/>
        <v/>
      </c>
      <c r="J82" s="46" t="str">
        <f t="shared" ca="1" si="67"/>
        <v/>
      </c>
      <c r="K82" s="46" t="str">
        <f t="shared" ca="1" si="67"/>
        <v/>
      </c>
      <c r="L82" s="46">
        <f t="shared" ca="1" si="67"/>
        <v>22982</v>
      </c>
      <c r="M82" s="46">
        <f t="shared" ca="1" si="67"/>
        <v>8985</v>
      </c>
      <c r="N82" s="46" t="str">
        <f t="shared" ca="1" si="67"/>
        <v/>
      </c>
      <c r="O82" s="46" t="str">
        <f t="shared" ca="1" si="67"/>
        <v/>
      </c>
      <c r="P82" s="46">
        <f t="shared" ca="1" si="67"/>
        <v>3037.6</v>
      </c>
      <c r="Q82" s="46" t="str">
        <f t="shared" ca="1" si="67"/>
        <v/>
      </c>
      <c r="R82" s="46" t="str">
        <f t="shared" ca="1" si="67"/>
        <v/>
      </c>
      <c r="S82" s="46" t="str">
        <f t="shared" ca="1" si="67"/>
        <v/>
      </c>
      <c r="T82" s="46" t="str">
        <f t="shared" ca="1" si="67"/>
        <v/>
      </c>
      <c r="U82" s="46" t="str">
        <f t="shared" ca="1" si="67"/>
        <v/>
      </c>
      <c r="V82" s="46" t="str">
        <f t="shared" ca="1" si="67"/>
        <v/>
      </c>
      <c r="W82" s="46" t="str">
        <f t="shared" ca="1" si="67"/>
        <v/>
      </c>
      <c r="X82" s="46">
        <f t="shared" ref="X82" ca="1" si="68">IF(AND($A30&gt;X$55,$A30&lt;X$53),ABS(AVERAGE(X29:X31)),"")</f>
        <v>53230.333333333336</v>
      </c>
    </row>
    <row r="83" spans="1:24" ht="11.1" customHeight="1" x14ac:dyDescent="0.25">
      <c r="A83" s="11" t="s">
        <v>15</v>
      </c>
      <c r="B83" s="46" t="str">
        <f t="shared" ref="B83:W83" ca="1" si="69">IF(AND($A31&gt;B$55,$A31&lt;B$53),ABS(AVERAGE(B29:B33)),"")</f>
        <v/>
      </c>
      <c r="C83" s="46" t="str">
        <f t="shared" ca="1" si="69"/>
        <v/>
      </c>
      <c r="D83" s="46">
        <f t="shared" ca="1" si="69"/>
        <v>11996.4</v>
      </c>
      <c r="E83" s="46" t="str">
        <f t="shared" ca="1" si="69"/>
        <v/>
      </c>
      <c r="F83" s="46">
        <f t="shared" ca="1" si="69"/>
        <v>906.8</v>
      </c>
      <c r="G83" s="46" t="str">
        <f t="shared" ca="1" si="69"/>
        <v/>
      </c>
      <c r="H83" s="46">
        <f t="shared" ca="1" si="69"/>
        <v>3677.8</v>
      </c>
      <c r="I83" s="46" t="str">
        <f t="shared" ca="1" si="69"/>
        <v/>
      </c>
      <c r="J83" s="46" t="str">
        <f t="shared" ca="1" si="69"/>
        <v/>
      </c>
      <c r="K83" s="46" t="str">
        <f t="shared" ca="1" si="69"/>
        <v/>
      </c>
      <c r="L83" s="46">
        <f t="shared" ca="1" si="69"/>
        <v>10326</v>
      </c>
      <c r="M83" s="46">
        <f t="shared" ca="1" si="69"/>
        <v>4185.6000000000004</v>
      </c>
      <c r="N83" s="46" t="str">
        <f t="shared" ca="1" si="69"/>
        <v/>
      </c>
      <c r="O83" s="46" t="str">
        <f t="shared" ca="1" si="69"/>
        <v/>
      </c>
      <c r="P83" s="46">
        <f t="shared" ca="1" si="69"/>
        <v>1669.2</v>
      </c>
      <c r="Q83" s="46" t="str">
        <f t="shared" ca="1" si="69"/>
        <v/>
      </c>
      <c r="R83" s="46" t="str">
        <f t="shared" ca="1" si="69"/>
        <v/>
      </c>
      <c r="S83" s="46" t="str">
        <f t="shared" ca="1" si="69"/>
        <v/>
      </c>
      <c r="T83" s="46" t="str">
        <f t="shared" ca="1" si="69"/>
        <v/>
      </c>
      <c r="U83" s="46" t="str">
        <f t="shared" ca="1" si="69"/>
        <v/>
      </c>
      <c r="V83" s="46" t="str">
        <f t="shared" ca="1" si="69"/>
        <v/>
      </c>
      <c r="W83" s="46" t="str">
        <f t="shared" ca="1" si="69"/>
        <v/>
      </c>
      <c r="X83" s="46">
        <f t="shared" ref="X83" ca="1" si="70">IF(AND($A31&gt;X$55,$A31&lt;X$53),ABS(AVERAGE(X30:X32)),"")</f>
        <v>85533</v>
      </c>
    </row>
    <row r="84" spans="1:24" ht="11.1" customHeight="1" x14ac:dyDescent="0.25">
      <c r="A84" s="11" t="s">
        <v>16</v>
      </c>
      <c r="B84" s="46" t="str">
        <f t="shared" ref="B84:W84" ca="1" si="71">IF(AND($A32&gt;B$55,$A32&lt;B$53),ABS(AVERAGE(B30:B34)),"")</f>
        <v/>
      </c>
      <c r="C84" s="46" t="str">
        <f t="shared" ca="1" si="71"/>
        <v/>
      </c>
      <c r="D84" s="46">
        <f t="shared" ca="1" si="71"/>
        <v>12598.4</v>
      </c>
      <c r="E84" s="46" t="str">
        <f t="shared" ca="1" si="71"/>
        <v/>
      </c>
      <c r="F84" s="46">
        <f t="shared" ca="1" si="71"/>
        <v>663.4</v>
      </c>
      <c r="G84" s="46" t="str">
        <f t="shared" ca="1" si="71"/>
        <v/>
      </c>
      <c r="H84" s="46">
        <f t="shared" ca="1" si="71"/>
        <v>3193.4</v>
      </c>
      <c r="I84" s="46" t="str">
        <f t="shared" ca="1" si="71"/>
        <v/>
      </c>
      <c r="J84" s="46" t="str">
        <f t="shared" ca="1" si="71"/>
        <v/>
      </c>
      <c r="K84" s="46" t="str">
        <f t="shared" ca="1" si="71"/>
        <v/>
      </c>
      <c r="L84" s="46">
        <f t="shared" ca="1" si="71"/>
        <v>14536.2</v>
      </c>
      <c r="M84" s="46">
        <f t="shared" ca="1" si="71"/>
        <v>7729.4</v>
      </c>
      <c r="N84" s="46" t="str">
        <f t="shared" ca="1" si="71"/>
        <v/>
      </c>
      <c r="O84" s="46" t="str">
        <f t="shared" ca="1" si="71"/>
        <v/>
      </c>
      <c r="P84" s="46">
        <f t="shared" ca="1" si="71"/>
        <v>2066.4</v>
      </c>
      <c r="Q84" s="46" t="str">
        <f t="shared" ca="1" si="71"/>
        <v/>
      </c>
      <c r="R84" s="46" t="str">
        <f t="shared" ca="1" si="71"/>
        <v/>
      </c>
      <c r="S84" s="46" t="str">
        <f t="shared" ca="1" si="71"/>
        <v/>
      </c>
      <c r="T84" s="46" t="str">
        <f t="shared" ca="1" si="71"/>
        <v/>
      </c>
      <c r="U84" s="46" t="str">
        <f t="shared" ca="1" si="71"/>
        <v/>
      </c>
      <c r="V84" s="46" t="str">
        <f t="shared" ca="1" si="71"/>
        <v/>
      </c>
      <c r="W84" s="46" t="str">
        <f t="shared" ca="1" si="71"/>
        <v/>
      </c>
      <c r="X84" s="46">
        <f t="shared" ref="X84" ca="1" si="72">IF(AND($A32&gt;X$55,$A32&lt;X$53),ABS(AVERAGE(X31:X33)),"")</f>
        <v>59443.666666666664</v>
      </c>
    </row>
    <row r="85" spans="1:24" ht="11.1" customHeight="1" x14ac:dyDescent="0.25">
      <c r="B85" s="46" t="str">
        <f t="shared" ref="B85:W85" ca="1" si="73">IF(AND($A33&gt;B$55,$A33&lt;B$53),ABS(AVERAGE(B31:B35)),"")</f>
        <v/>
      </c>
      <c r="C85" s="46">
        <f t="shared" ca="1" si="73"/>
        <v>13767</v>
      </c>
      <c r="D85" s="46">
        <f t="shared" ca="1" si="73"/>
        <v>7946.4</v>
      </c>
      <c r="E85" s="46">
        <f t="shared" ca="1" si="73"/>
        <v>2391.4</v>
      </c>
      <c r="F85" s="46">
        <f t="shared" ca="1" si="73"/>
        <v>374</v>
      </c>
      <c r="G85" s="46" t="str">
        <f t="shared" ca="1" si="73"/>
        <v/>
      </c>
      <c r="H85" s="46">
        <f t="shared" ca="1" si="73"/>
        <v>2328.1999999999998</v>
      </c>
      <c r="I85" s="46" t="str">
        <f t="shared" ca="1" si="73"/>
        <v/>
      </c>
      <c r="J85" s="46" t="str">
        <f t="shared" ca="1" si="73"/>
        <v/>
      </c>
      <c r="K85" s="46" t="str">
        <f t="shared" ca="1" si="73"/>
        <v/>
      </c>
      <c r="L85" s="46">
        <f t="shared" ca="1" si="73"/>
        <v>8873</v>
      </c>
      <c r="M85" s="46">
        <f t="shared" ca="1" si="73"/>
        <v>6001.4</v>
      </c>
      <c r="N85" s="46" t="str">
        <f t="shared" ca="1" si="73"/>
        <v/>
      </c>
      <c r="O85" s="46" t="str">
        <f t="shared" ca="1" si="73"/>
        <v/>
      </c>
      <c r="P85" s="46">
        <f t="shared" ca="1" si="73"/>
        <v>1364.6</v>
      </c>
      <c r="Q85" s="46" t="str">
        <f t="shared" ca="1" si="73"/>
        <v/>
      </c>
      <c r="R85" s="46" t="str">
        <f t="shared" ca="1" si="73"/>
        <v/>
      </c>
      <c r="S85" s="46" t="str">
        <f t="shared" ca="1" si="73"/>
        <v/>
      </c>
      <c r="T85" s="46" t="str">
        <f t="shared" ca="1" si="73"/>
        <v/>
      </c>
      <c r="U85" s="46" t="str">
        <f t="shared" ca="1" si="73"/>
        <v/>
      </c>
      <c r="V85" s="46" t="str">
        <f t="shared" ca="1" si="73"/>
        <v/>
      </c>
      <c r="W85" s="46" t="str">
        <f t="shared" ca="1" si="73"/>
        <v/>
      </c>
      <c r="X85" s="46">
        <f t="shared" ref="X85" ca="1" si="74">IF(AND($A33&gt;X$55,$A33&lt;X$53),ABS(AVERAGE(X32:X34)),"")</f>
        <v>64143.666666666664</v>
      </c>
    </row>
    <row r="86" spans="1:24" ht="11.1" customHeight="1" x14ac:dyDescent="0.25">
      <c r="A86" s="11" t="s">
        <v>17</v>
      </c>
      <c r="B86" s="46" t="str">
        <f t="shared" ref="B86:W86" ca="1" si="75">IF(AND($A34&gt;B$55,$A34&lt;B$53),ABS(AVERAGE(B32:B36)),"")</f>
        <v/>
      </c>
      <c r="C86" s="46">
        <f t="shared" ca="1" si="75"/>
        <v>7824</v>
      </c>
      <c r="D86" s="46">
        <f t="shared" ca="1" si="75"/>
        <v>5892.2</v>
      </c>
      <c r="E86" s="46">
        <f t="shared" ca="1" si="75"/>
        <v>1594.6</v>
      </c>
      <c r="F86" s="46">
        <f t="shared" ca="1" si="75"/>
        <v>21.8</v>
      </c>
      <c r="G86" s="46">
        <f t="shared" ca="1" si="75"/>
        <v>1553.4</v>
      </c>
      <c r="H86" s="46" t="str">
        <f t="shared" ca="1" si="75"/>
        <v/>
      </c>
      <c r="I86" s="46" t="str">
        <f t="shared" ca="1" si="75"/>
        <v/>
      </c>
      <c r="J86" s="46" t="str">
        <f t="shared" ca="1" si="75"/>
        <v/>
      </c>
      <c r="K86" s="46" t="str">
        <f t="shared" ca="1" si="75"/>
        <v/>
      </c>
      <c r="L86" s="46">
        <f t="shared" ca="1" si="75"/>
        <v>9806.7999999999993</v>
      </c>
      <c r="M86" s="46">
        <f t="shared" ca="1" si="75"/>
        <v>7000.8</v>
      </c>
      <c r="N86" s="46" t="str">
        <f t="shared" ca="1" si="75"/>
        <v/>
      </c>
      <c r="O86" s="46" t="str">
        <f t="shared" ca="1" si="75"/>
        <v/>
      </c>
      <c r="P86" s="46">
        <f t="shared" ca="1" si="75"/>
        <v>1428</v>
      </c>
      <c r="Q86" s="46" t="str">
        <f t="shared" ca="1" si="75"/>
        <v/>
      </c>
      <c r="R86" s="46" t="str">
        <f t="shared" ca="1" si="75"/>
        <v/>
      </c>
      <c r="S86" s="46" t="str">
        <f t="shared" ca="1" si="75"/>
        <v/>
      </c>
      <c r="T86" s="46" t="str">
        <f t="shared" ca="1" si="75"/>
        <v/>
      </c>
      <c r="U86" s="46" t="str">
        <f t="shared" ca="1" si="75"/>
        <v/>
      </c>
      <c r="V86" s="46" t="str">
        <f t="shared" ca="1" si="75"/>
        <v/>
      </c>
      <c r="W86" s="46" t="str">
        <f t="shared" ca="1" si="75"/>
        <v/>
      </c>
      <c r="X86" s="46">
        <f t="shared" ref="X86" ca="1" si="76">IF(AND($A34&gt;X$55,$A34&lt;X$53),ABS(AVERAGE(X33:X35)),"")</f>
        <v>23269</v>
      </c>
    </row>
    <row r="87" spans="1:24" ht="11.1" customHeight="1" x14ac:dyDescent="0.25">
      <c r="A87" s="11" t="s">
        <v>18</v>
      </c>
      <c r="B87" s="46" t="str">
        <f t="shared" ref="B87:W87" ca="1" si="77">IF(AND($A35&gt;B$55,$A35&lt;B$53),ABS(AVERAGE(B33:B37)),"")</f>
        <v/>
      </c>
      <c r="C87" s="46">
        <f t="shared" ca="1" si="77"/>
        <v>315.60000000000002</v>
      </c>
      <c r="D87" s="46">
        <f t="shared" ca="1" si="77"/>
        <v>685.2</v>
      </c>
      <c r="E87" s="46">
        <f t="shared" ca="1" si="77"/>
        <v>163.19999999999999</v>
      </c>
      <c r="F87" s="46">
        <f t="shared" ca="1" si="77"/>
        <v>52.6</v>
      </c>
      <c r="G87" s="46">
        <f t="shared" ca="1" si="77"/>
        <v>1415.6</v>
      </c>
      <c r="H87" s="46" t="str">
        <f t="shared" ca="1" si="77"/>
        <v/>
      </c>
      <c r="I87" s="46" t="str">
        <f t="shared" ca="1" si="77"/>
        <v/>
      </c>
      <c r="J87" s="46" t="str">
        <f t="shared" ca="1" si="77"/>
        <v/>
      </c>
      <c r="K87" s="46" t="str">
        <f t="shared" ca="1" si="77"/>
        <v/>
      </c>
      <c r="L87" s="46">
        <f t="shared" ca="1" si="77"/>
        <v>6308.4</v>
      </c>
      <c r="M87" s="46">
        <f t="shared" ca="1" si="77"/>
        <v>4582</v>
      </c>
      <c r="N87" s="46" t="str">
        <f t="shared" ca="1" si="77"/>
        <v/>
      </c>
      <c r="O87" s="46" t="str">
        <f t="shared" ca="1" si="77"/>
        <v/>
      </c>
      <c r="P87" s="46">
        <f t="shared" ca="1" si="77"/>
        <v>460.6</v>
      </c>
      <c r="Q87" s="46" t="str">
        <f t="shared" ca="1" si="77"/>
        <v/>
      </c>
      <c r="R87" s="46" t="str">
        <f t="shared" ca="1" si="77"/>
        <v/>
      </c>
      <c r="S87" s="46" t="str">
        <f t="shared" ca="1" si="77"/>
        <v/>
      </c>
      <c r="T87" s="46" t="str">
        <f t="shared" ca="1" si="77"/>
        <v/>
      </c>
      <c r="U87" s="46" t="str">
        <f t="shared" ca="1" si="77"/>
        <v/>
      </c>
      <c r="V87" s="46" t="str">
        <f t="shared" ca="1" si="77"/>
        <v/>
      </c>
      <c r="W87" s="46" t="str">
        <f t="shared" ca="1" si="77"/>
        <v/>
      </c>
      <c r="X87" s="46">
        <f t="shared" ref="X87" ca="1" si="78">IF(AND($A35&gt;X$55,$A35&lt;X$53),ABS(AVERAGE(X34:X36)),"")</f>
        <v>18827</v>
      </c>
    </row>
    <row r="88" spans="1:24" ht="11.1" customHeight="1" x14ac:dyDescent="0.25">
      <c r="A88" s="11" t="s">
        <v>19</v>
      </c>
      <c r="B88" s="46" t="str">
        <f t="shared" ref="B88:W88" ca="1" si="79">IF(AND($A36&gt;B$55,$A36&lt;B$53),ABS(AVERAGE(B34:B38)),"")</f>
        <v/>
      </c>
      <c r="C88" s="46">
        <f t="shared" ca="1" si="79"/>
        <v>2868.8</v>
      </c>
      <c r="D88" s="46">
        <f t="shared" ca="1" si="79"/>
        <v>2134</v>
      </c>
      <c r="E88" s="46">
        <f t="shared" ca="1" si="79"/>
        <v>328.6</v>
      </c>
      <c r="F88" s="46">
        <f t="shared" ca="1" si="79"/>
        <v>360</v>
      </c>
      <c r="G88" s="46">
        <f t="shared" ca="1" si="79"/>
        <v>218.6</v>
      </c>
      <c r="H88" s="46" t="str">
        <f t="shared" ca="1" si="79"/>
        <v/>
      </c>
      <c r="I88" s="46">
        <f t="shared" ca="1" si="79"/>
        <v>502</v>
      </c>
      <c r="J88" s="46" t="str">
        <f t="shared" ca="1" si="79"/>
        <v/>
      </c>
      <c r="K88" s="46" t="str">
        <f t="shared" ca="1" si="79"/>
        <v/>
      </c>
      <c r="L88" s="46">
        <f t="shared" ca="1" si="79"/>
        <v>12186</v>
      </c>
      <c r="M88" s="46">
        <f t="shared" ca="1" si="79"/>
        <v>5964.2</v>
      </c>
      <c r="N88" s="46" t="str">
        <f t="shared" ca="1" si="79"/>
        <v/>
      </c>
      <c r="O88" s="46" t="str">
        <f t="shared" ca="1" si="79"/>
        <v/>
      </c>
      <c r="P88" s="46">
        <f t="shared" ca="1" si="79"/>
        <v>307.39999999999998</v>
      </c>
      <c r="Q88" s="46" t="str">
        <f t="shared" ca="1" si="79"/>
        <v/>
      </c>
      <c r="R88" s="46" t="str">
        <f t="shared" ca="1" si="79"/>
        <v/>
      </c>
      <c r="S88" s="46" t="str">
        <f t="shared" ca="1" si="79"/>
        <v/>
      </c>
      <c r="T88" s="46" t="str">
        <f t="shared" ca="1" si="79"/>
        <v/>
      </c>
      <c r="U88" s="46" t="str">
        <f t="shared" ca="1" si="79"/>
        <v/>
      </c>
      <c r="V88" s="46" t="str">
        <f t="shared" ca="1" si="79"/>
        <v/>
      </c>
      <c r="W88" s="46" t="str">
        <f t="shared" ca="1" si="79"/>
        <v/>
      </c>
      <c r="X88" s="46">
        <f t="shared" ref="X88" ca="1" si="80">IF(AND($A36&gt;X$55,$A36&lt;X$53),ABS(AVERAGE(X35:X37)),"")</f>
        <v>318.33333333333331</v>
      </c>
    </row>
    <row r="89" spans="1:24" ht="11.1" customHeight="1" x14ac:dyDescent="0.25">
      <c r="A89" s="11" t="s">
        <v>20</v>
      </c>
      <c r="B89" s="46" t="str">
        <f t="shared" ref="B89:W89" ca="1" si="81">IF(AND($A37&gt;B$55,$A37&lt;B$53),ABS(AVERAGE(B35:B39)),"")</f>
        <v/>
      </c>
      <c r="C89" s="46">
        <f t="shared" ca="1" si="81"/>
        <v>4507.6000000000004</v>
      </c>
      <c r="D89" s="46">
        <f t="shared" ca="1" si="81"/>
        <v>5638.8</v>
      </c>
      <c r="E89" s="46">
        <f t="shared" ca="1" si="81"/>
        <v>391.4</v>
      </c>
      <c r="F89" s="46">
        <f t="shared" ca="1" si="81"/>
        <v>569</v>
      </c>
      <c r="G89" s="46">
        <f t="shared" ca="1" si="81"/>
        <v>141.6</v>
      </c>
      <c r="H89" s="46" t="str">
        <f t="shared" ca="1" si="81"/>
        <v/>
      </c>
      <c r="I89" s="46">
        <f t="shared" ca="1" si="81"/>
        <v>324.39999999999998</v>
      </c>
      <c r="J89" s="46" t="str">
        <f t="shared" ca="1" si="81"/>
        <v/>
      </c>
      <c r="K89" s="46" t="str">
        <f t="shared" ca="1" si="81"/>
        <v/>
      </c>
      <c r="L89" s="46">
        <f t="shared" ca="1" si="81"/>
        <v>6873.4</v>
      </c>
      <c r="M89" s="46">
        <f t="shared" ca="1" si="81"/>
        <v>2456.4</v>
      </c>
      <c r="N89" s="46" t="str">
        <f t="shared" ca="1" si="81"/>
        <v/>
      </c>
      <c r="O89" s="46" t="str">
        <f t="shared" ca="1" si="81"/>
        <v/>
      </c>
      <c r="P89" s="46">
        <f t="shared" ca="1" si="81"/>
        <v>89.8</v>
      </c>
      <c r="Q89" s="46" t="str">
        <f t="shared" ca="1" si="81"/>
        <v/>
      </c>
      <c r="R89" s="46" t="str">
        <f t="shared" ca="1" si="81"/>
        <v/>
      </c>
      <c r="S89" s="46" t="str">
        <f t="shared" ca="1" si="81"/>
        <v/>
      </c>
      <c r="T89" s="46" t="str">
        <f t="shared" ca="1" si="81"/>
        <v/>
      </c>
      <c r="U89" s="46" t="str">
        <f t="shared" ca="1" si="81"/>
        <v/>
      </c>
      <c r="V89" s="46" t="str">
        <f t="shared" ca="1" si="81"/>
        <v/>
      </c>
      <c r="W89" s="46" t="str">
        <f t="shared" ca="1" si="81"/>
        <v/>
      </c>
      <c r="X89" s="46">
        <f t="shared" ref="X89" ca="1" si="82">IF(AND($A37&gt;X$55,$A37&lt;X$53),ABS(AVERAGE(X36:X38)),"")</f>
        <v>6271.666666666667</v>
      </c>
    </row>
    <row r="90" spans="1:24" ht="11.1" customHeight="1" x14ac:dyDescent="0.25">
      <c r="A90" s="11" t="s">
        <v>21</v>
      </c>
      <c r="B90" s="46" t="str">
        <f t="shared" ref="B90:W90" ca="1" si="83">IF(AND($A38&gt;B$55,$A38&lt;B$53),ABS(AVERAGE(B36:B40)),"")</f>
        <v/>
      </c>
      <c r="C90" s="46" t="str">
        <f t="shared" ca="1" si="83"/>
        <v/>
      </c>
      <c r="D90" s="46">
        <f t="shared" ca="1" si="83"/>
        <v>6476</v>
      </c>
      <c r="E90" s="46" t="str">
        <f t="shared" ca="1" si="83"/>
        <v/>
      </c>
      <c r="F90" s="46" t="str">
        <f t="shared" ca="1" si="83"/>
        <v/>
      </c>
      <c r="G90" s="46">
        <f t="shared" ca="1" si="83"/>
        <v>100.2</v>
      </c>
      <c r="H90" s="46" t="str">
        <f t="shared" ca="1" si="83"/>
        <v/>
      </c>
      <c r="I90" s="46">
        <f t="shared" ca="1" si="83"/>
        <v>105.2</v>
      </c>
      <c r="J90" s="46" t="str">
        <f t="shared" ca="1" si="83"/>
        <v/>
      </c>
      <c r="K90" s="46" t="str">
        <f t="shared" ca="1" si="83"/>
        <v/>
      </c>
      <c r="L90" s="46">
        <f t="shared" ca="1" si="83"/>
        <v>8425.6</v>
      </c>
      <c r="M90" s="46">
        <f t="shared" ca="1" si="83"/>
        <v>2636.8</v>
      </c>
      <c r="N90" s="46" t="str">
        <f t="shared" ca="1" si="83"/>
        <v/>
      </c>
      <c r="O90" s="46" t="str">
        <f t="shared" ca="1" si="83"/>
        <v/>
      </c>
      <c r="P90" s="46" t="str">
        <f t="shared" ca="1" si="83"/>
        <v/>
      </c>
      <c r="Q90" s="46" t="str">
        <f t="shared" ca="1" si="83"/>
        <v/>
      </c>
      <c r="R90" s="46" t="str">
        <f t="shared" ca="1" si="83"/>
        <v/>
      </c>
      <c r="S90" s="46" t="str">
        <f t="shared" ca="1" si="83"/>
        <v/>
      </c>
      <c r="T90" s="46" t="str">
        <f t="shared" ca="1" si="83"/>
        <v/>
      </c>
      <c r="U90" s="46" t="str">
        <f t="shared" ca="1" si="83"/>
        <v/>
      </c>
      <c r="V90" s="46" t="str">
        <f t="shared" ca="1" si="83"/>
        <v/>
      </c>
      <c r="W90" s="46" t="str">
        <f t="shared" ca="1" si="83"/>
        <v/>
      </c>
      <c r="X90" s="46">
        <f t="shared" ref="X90" ca="1" si="84">IF(AND($A38&gt;X$55,$A38&lt;X$53),ABS(AVERAGE(X37:X39)),"")</f>
        <v>2570.6666666666665</v>
      </c>
    </row>
    <row r="91" spans="1:24" ht="11.1" customHeight="1" x14ac:dyDescent="0.25">
      <c r="A91" s="11" t="s">
        <v>22</v>
      </c>
      <c r="B91" s="46" t="str">
        <f t="shared" ref="B91:W91" ca="1" si="85">IF(AND($A39&gt;B$55,$A39&lt;B$53),ABS(AVERAGE(B37:B41)),"")</f>
        <v/>
      </c>
      <c r="C91" s="46" t="str">
        <f t="shared" ca="1" si="85"/>
        <v/>
      </c>
      <c r="D91" s="46">
        <f t="shared" ca="1" si="85"/>
        <v>6066</v>
      </c>
      <c r="E91" s="46" t="str">
        <f t="shared" ca="1" si="85"/>
        <v/>
      </c>
      <c r="F91" s="46" t="str">
        <f t="shared" ca="1" si="85"/>
        <v/>
      </c>
      <c r="G91" s="46">
        <f t="shared" ca="1" si="85"/>
        <v>186.2</v>
      </c>
      <c r="H91" s="46" t="str">
        <f t="shared" ca="1" si="85"/>
        <v/>
      </c>
      <c r="I91" s="46" t="str">
        <f t="shared" ca="1" si="85"/>
        <v/>
      </c>
      <c r="J91" s="46" t="str">
        <f t="shared" ca="1" si="85"/>
        <v/>
      </c>
      <c r="K91" s="46" t="str">
        <f t="shared" ca="1" si="85"/>
        <v/>
      </c>
      <c r="L91" s="46">
        <f t="shared" ca="1" si="85"/>
        <v>8179.8</v>
      </c>
      <c r="M91" s="46">
        <f t="shared" ca="1" si="85"/>
        <v>2111.4</v>
      </c>
      <c r="N91" s="46" t="str">
        <f t="shared" ca="1" si="85"/>
        <v/>
      </c>
      <c r="O91" s="46" t="str">
        <f t="shared" ca="1" si="85"/>
        <v/>
      </c>
      <c r="P91" s="46" t="str">
        <f t="shared" ca="1" si="85"/>
        <v/>
      </c>
      <c r="Q91" s="46" t="str">
        <f t="shared" ca="1" si="85"/>
        <v/>
      </c>
      <c r="R91" s="46" t="str">
        <f t="shared" ca="1" si="85"/>
        <v/>
      </c>
      <c r="S91" s="46" t="str">
        <f t="shared" ca="1" si="85"/>
        <v/>
      </c>
      <c r="T91" s="46" t="str">
        <f t="shared" ca="1" si="85"/>
        <v/>
      </c>
      <c r="U91" s="46" t="str">
        <f t="shared" ca="1" si="85"/>
        <v/>
      </c>
      <c r="V91" s="46" t="str">
        <f t="shared" ca="1" si="85"/>
        <v/>
      </c>
      <c r="W91" s="46" t="str">
        <f t="shared" ca="1" si="85"/>
        <v/>
      </c>
      <c r="X91" s="46">
        <f t="shared" ref="X91" ca="1" si="86">IF(AND($A39&gt;X$55,$A39&lt;X$53),ABS(AVERAGE(X38:X40)),"")</f>
        <v>1650.6666666666667</v>
      </c>
    </row>
    <row r="92" spans="1:24" ht="11.1" customHeight="1" x14ac:dyDescent="0.25">
      <c r="A92" s="11" t="s">
        <v>23</v>
      </c>
      <c r="B92" s="46" t="str">
        <f t="shared" ref="B92:W92" ca="1" si="87">IF(AND($A40&gt;B$55,$A40&lt;B$53),ABS(AVERAGE(B38:B42)),"")</f>
        <v/>
      </c>
      <c r="C92" s="46" t="str">
        <f t="shared" ca="1" si="87"/>
        <v/>
      </c>
      <c r="D92" s="46">
        <f t="shared" ca="1" si="87"/>
        <v>6585.8</v>
      </c>
      <c r="E92" s="46" t="str">
        <f t="shared" ca="1" si="87"/>
        <v/>
      </c>
      <c r="F92" s="46" t="str">
        <f t="shared" ca="1" si="87"/>
        <v/>
      </c>
      <c r="G92" s="46">
        <f t="shared" ca="1" si="87"/>
        <v>149.19999999999999</v>
      </c>
      <c r="H92" s="46" t="str">
        <f t="shared" ca="1" si="87"/>
        <v/>
      </c>
      <c r="I92" s="46" t="str">
        <f t="shared" ca="1" si="87"/>
        <v/>
      </c>
      <c r="J92" s="46" t="str">
        <f t="shared" ca="1" si="87"/>
        <v/>
      </c>
      <c r="K92" s="46" t="str">
        <f t="shared" ca="1" si="87"/>
        <v/>
      </c>
      <c r="L92" s="46">
        <f t="shared" ca="1" si="87"/>
        <v>9318</v>
      </c>
      <c r="M92" s="46">
        <f t="shared" ca="1" si="87"/>
        <v>2467</v>
      </c>
      <c r="N92" s="46" t="str">
        <f t="shared" ca="1" si="87"/>
        <v/>
      </c>
      <c r="O92" s="46" t="str">
        <f t="shared" ca="1" si="87"/>
        <v/>
      </c>
      <c r="P92" s="46" t="str">
        <f t="shared" ca="1" si="87"/>
        <v/>
      </c>
      <c r="Q92" s="46" t="str">
        <f t="shared" ca="1" si="87"/>
        <v/>
      </c>
      <c r="R92" s="46" t="str">
        <f t="shared" ca="1" si="87"/>
        <v/>
      </c>
      <c r="S92" s="46" t="str">
        <f t="shared" ca="1" si="87"/>
        <v/>
      </c>
      <c r="T92" s="46" t="str">
        <f t="shared" ca="1" si="87"/>
        <v/>
      </c>
      <c r="U92" s="46" t="str">
        <f t="shared" ca="1" si="87"/>
        <v/>
      </c>
      <c r="V92" s="46" t="str">
        <f t="shared" ca="1" si="87"/>
        <v/>
      </c>
      <c r="W92" s="46" t="str">
        <f t="shared" ca="1" si="87"/>
        <v/>
      </c>
      <c r="X92" s="46">
        <f t="shared" ref="X92" ca="1" si="88">IF(AND($A40&gt;X$55,$A40&lt;X$53),ABS(AVERAGE(X39:X41)),"")</f>
        <v>4733</v>
      </c>
    </row>
    <row r="93" spans="1:24" ht="11.1" customHeight="1" x14ac:dyDescent="0.25">
      <c r="A93" s="11" t="s">
        <v>24</v>
      </c>
      <c r="B93" s="46" t="str">
        <f t="shared" ref="B93:W93" ca="1" si="89">IF(AND($A41&gt;B$55,$A41&lt;B$53),ABS(AVERAGE(B39:B43)),"")</f>
        <v/>
      </c>
      <c r="C93" s="46" t="str">
        <f t="shared" ca="1" si="89"/>
        <v/>
      </c>
      <c r="D93" s="46">
        <f t="shared" ca="1" si="89"/>
        <v>5996.8</v>
      </c>
      <c r="E93" s="46" t="str">
        <f t="shared" ca="1" si="89"/>
        <v/>
      </c>
      <c r="F93" s="46" t="str">
        <f t="shared" ca="1" si="89"/>
        <v/>
      </c>
      <c r="G93" s="46" t="str">
        <f t="shared" ca="1" si="89"/>
        <v/>
      </c>
      <c r="H93" s="46" t="str">
        <f t="shared" ca="1" si="89"/>
        <v/>
      </c>
      <c r="I93" s="46" t="str">
        <f t="shared" ca="1" si="89"/>
        <v/>
      </c>
      <c r="J93" s="46" t="str">
        <f t="shared" ca="1" si="89"/>
        <v/>
      </c>
      <c r="K93" s="46" t="str">
        <f t="shared" ca="1" si="89"/>
        <v/>
      </c>
      <c r="L93" s="46">
        <f t="shared" ca="1" si="89"/>
        <v>5465</v>
      </c>
      <c r="M93" s="46">
        <f t="shared" ca="1" si="89"/>
        <v>696</v>
      </c>
      <c r="N93" s="46" t="str">
        <f t="shared" ca="1" si="89"/>
        <v/>
      </c>
      <c r="O93" s="46" t="str">
        <f t="shared" ca="1" si="89"/>
        <v/>
      </c>
      <c r="P93" s="46" t="str">
        <f t="shared" ca="1" si="89"/>
        <v/>
      </c>
      <c r="Q93" s="46" t="str">
        <f t="shared" ca="1" si="89"/>
        <v/>
      </c>
      <c r="R93" s="46" t="str">
        <f t="shared" ca="1" si="89"/>
        <v/>
      </c>
      <c r="S93" s="46" t="str">
        <f t="shared" ca="1" si="89"/>
        <v/>
      </c>
      <c r="T93" s="46" t="str">
        <f t="shared" ca="1" si="89"/>
        <v/>
      </c>
      <c r="U93" s="46" t="str">
        <f t="shared" ca="1" si="89"/>
        <v/>
      </c>
      <c r="V93" s="46" t="str">
        <f t="shared" ca="1" si="89"/>
        <v/>
      </c>
      <c r="W93" s="46" t="str">
        <f t="shared" ca="1" si="89"/>
        <v/>
      </c>
      <c r="X93" s="46">
        <f t="shared" ref="X93" ca="1" si="90">IF(AND($A41&gt;X$55,$A41&lt;X$53),ABS(AVERAGE(X40:X42)),"")</f>
        <v>3391.6666666666665</v>
      </c>
    </row>
    <row r="94" spans="1:24" ht="11.1" customHeight="1" x14ac:dyDescent="0.25">
      <c r="A94" s="11" t="s">
        <v>25</v>
      </c>
      <c r="B94" s="46" t="str">
        <f t="shared" ref="B94:W94" ca="1" si="91">IF(AND($A42&gt;B$55,$A42&lt;B$53),ABS(AVERAGE(B40:B44)),"")</f>
        <v/>
      </c>
      <c r="C94" s="46" t="str">
        <f t="shared" ca="1" si="91"/>
        <v/>
      </c>
      <c r="D94" s="46">
        <f t="shared" ca="1" si="91"/>
        <v>2909.2</v>
      </c>
      <c r="E94" s="46" t="str">
        <f t="shared" ca="1" si="91"/>
        <v/>
      </c>
      <c r="F94" s="46" t="str">
        <f t="shared" ca="1" si="91"/>
        <v/>
      </c>
      <c r="G94" s="46" t="str">
        <f t="shared" ca="1" si="91"/>
        <v/>
      </c>
      <c r="H94" s="46" t="str">
        <f t="shared" ca="1" si="91"/>
        <v/>
      </c>
      <c r="I94" s="46" t="str">
        <f t="shared" ca="1" si="91"/>
        <v/>
      </c>
      <c r="J94" s="46" t="str">
        <f t="shared" ca="1" si="91"/>
        <v/>
      </c>
      <c r="K94" s="46" t="str">
        <f t="shared" ca="1" si="91"/>
        <v/>
      </c>
      <c r="L94" s="46">
        <f t="shared" ca="1" si="91"/>
        <v>6870</v>
      </c>
      <c r="M94" s="46">
        <f t="shared" ca="1" si="91"/>
        <v>531.4</v>
      </c>
      <c r="N94" s="46" t="str">
        <f t="shared" ca="1" si="91"/>
        <v/>
      </c>
      <c r="O94" s="46" t="str">
        <f t="shared" ca="1" si="91"/>
        <v/>
      </c>
      <c r="P94" s="46" t="str">
        <f t="shared" ca="1" si="91"/>
        <v/>
      </c>
      <c r="Q94" s="46" t="str">
        <f t="shared" ca="1" si="91"/>
        <v/>
      </c>
      <c r="R94" s="46" t="str">
        <f t="shared" ca="1" si="91"/>
        <v/>
      </c>
      <c r="S94" s="46" t="str">
        <f t="shared" ca="1" si="91"/>
        <v/>
      </c>
      <c r="T94" s="46" t="str">
        <f t="shared" ca="1" si="91"/>
        <v/>
      </c>
      <c r="U94" s="46" t="str">
        <f t="shared" ca="1" si="91"/>
        <v/>
      </c>
      <c r="V94" s="46" t="str">
        <f t="shared" ca="1" si="91"/>
        <v/>
      </c>
      <c r="W94" s="46" t="str">
        <f t="shared" ca="1" si="91"/>
        <v/>
      </c>
      <c r="X94" s="46">
        <f t="shared" ref="X94" ca="1" si="92">IF(AND($A42&gt;X$55,$A42&lt;X$53),ABS(AVERAGE(X41:X43)),"")</f>
        <v>3186.6666666666665</v>
      </c>
    </row>
    <row r="95" spans="1:24" ht="11.1" customHeight="1" x14ac:dyDescent="0.25">
      <c r="B95" s="46" t="str">
        <f t="shared" ref="B95:W95" ca="1" si="93">IF(AND($A43&gt;B$55,$A43&lt;B$53),ABS(AVERAGE(B41:B45)),"")</f>
        <v/>
      </c>
      <c r="C95" s="46" t="str">
        <f t="shared" ca="1" si="93"/>
        <v/>
      </c>
      <c r="D95" s="46">
        <f t="shared" ca="1" si="93"/>
        <v>3136.8</v>
      </c>
      <c r="E95" s="46" t="str">
        <f t="shared" ca="1" si="93"/>
        <v/>
      </c>
      <c r="F95" s="46" t="str">
        <f t="shared" ca="1" si="93"/>
        <v/>
      </c>
      <c r="G95" s="46" t="str">
        <f t="shared" ca="1" si="93"/>
        <v/>
      </c>
      <c r="H95" s="46" t="str">
        <f t="shared" ca="1" si="93"/>
        <v/>
      </c>
      <c r="I95" s="46" t="str">
        <f t="shared" ca="1" si="93"/>
        <v/>
      </c>
      <c r="J95" s="46" t="str">
        <f t="shared" ca="1" si="93"/>
        <v/>
      </c>
      <c r="K95" s="46" t="str">
        <f t="shared" ca="1" si="93"/>
        <v/>
      </c>
      <c r="L95" s="46">
        <f t="shared" ca="1" si="93"/>
        <v>5663.6</v>
      </c>
      <c r="M95" s="46">
        <f t="shared" ca="1" si="93"/>
        <v>2651.4</v>
      </c>
      <c r="N95" s="46" t="str">
        <f t="shared" ca="1" si="93"/>
        <v/>
      </c>
      <c r="O95" s="46" t="str">
        <f t="shared" ca="1" si="93"/>
        <v/>
      </c>
      <c r="P95" s="46" t="str">
        <f t="shared" ca="1" si="93"/>
        <v/>
      </c>
      <c r="Q95" s="46" t="str">
        <f t="shared" ca="1" si="93"/>
        <v/>
      </c>
      <c r="R95" s="46" t="str">
        <f t="shared" ca="1" si="93"/>
        <v/>
      </c>
      <c r="S95" s="46" t="str">
        <f t="shared" ca="1" si="93"/>
        <v/>
      </c>
      <c r="T95" s="46" t="str">
        <f t="shared" ca="1" si="93"/>
        <v/>
      </c>
      <c r="U95" s="46" t="str">
        <f t="shared" ca="1" si="93"/>
        <v/>
      </c>
      <c r="V95" s="46" t="str">
        <f t="shared" ca="1" si="93"/>
        <v/>
      </c>
      <c r="W95" s="46" t="str">
        <f t="shared" ca="1" si="93"/>
        <v/>
      </c>
      <c r="X95" s="46">
        <f t="shared" ref="X95" ca="1" si="94">IF(AND($A43&gt;X$55,$A43&lt;X$53),ABS(AVERAGE(X42:X44)),"")</f>
        <v>2512</v>
      </c>
    </row>
    <row r="96" spans="1:24" ht="11.1" customHeight="1" x14ac:dyDescent="0.25">
      <c r="A96" s="11" t="s">
        <v>26</v>
      </c>
      <c r="B96" s="46" t="str">
        <f t="shared" ref="B96:W96" ca="1" si="95">IF(AND($A44&gt;B$55,$A44&lt;B$53),ABS(AVERAGE(B42:B46)),"")</f>
        <v/>
      </c>
      <c r="C96" s="46" t="str">
        <f t="shared" ca="1" si="95"/>
        <v/>
      </c>
      <c r="D96" s="46">
        <f t="shared" ca="1" si="95"/>
        <v>3651.4</v>
      </c>
      <c r="E96" s="46" t="str">
        <f t="shared" ca="1" si="95"/>
        <v/>
      </c>
      <c r="F96" s="46" t="str">
        <f t="shared" ca="1" si="95"/>
        <v/>
      </c>
      <c r="G96" s="46" t="str">
        <f t="shared" ca="1" si="95"/>
        <v/>
      </c>
      <c r="H96" s="46" t="str">
        <f t="shared" ca="1" si="95"/>
        <v/>
      </c>
      <c r="I96" s="46" t="str">
        <f t="shared" ca="1" si="95"/>
        <v/>
      </c>
      <c r="J96" s="46" t="str">
        <f t="shared" ca="1" si="95"/>
        <v/>
      </c>
      <c r="K96" s="46" t="str">
        <f t="shared" ca="1" si="95"/>
        <v/>
      </c>
      <c r="L96" s="46">
        <f t="shared" ca="1" si="95"/>
        <v>1849.8</v>
      </c>
      <c r="M96" s="46">
        <f t="shared" ca="1" si="95"/>
        <v>5716.6</v>
      </c>
      <c r="N96" s="46" t="str">
        <f t="shared" ca="1" si="95"/>
        <v/>
      </c>
      <c r="O96" s="46" t="str">
        <f t="shared" ca="1" si="95"/>
        <v/>
      </c>
      <c r="P96" s="46" t="str">
        <f t="shared" ca="1" si="95"/>
        <v/>
      </c>
      <c r="Q96" s="46" t="str">
        <f t="shared" ca="1" si="95"/>
        <v/>
      </c>
      <c r="R96" s="46" t="str">
        <f t="shared" ca="1" si="95"/>
        <v/>
      </c>
      <c r="S96" s="46" t="str">
        <f t="shared" ca="1" si="95"/>
        <v/>
      </c>
      <c r="T96" s="46" t="str">
        <f t="shared" ca="1" si="95"/>
        <v/>
      </c>
      <c r="U96" s="46" t="str">
        <f t="shared" ca="1" si="95"/>
        <v/>
      </c>
      <c r="V96" s="46" t="str">
        <f t="shared" ca="1" si="95"/>
        <v/>
      </c>
      <c r="W96" s="46" t="str">
        <f t="shared" ca="1" si="95"/>
        <v/>
      </c>
      <c r="X96" s="46">
        <f t="shared" ref="X96" ca="1" si="96">IF(AND($A44&gt;X$55,$A44&lt;X$53),ABS(AVERAGE(X43:X45)),"")</f>
        <v>4625.333333333333</v>
      </c>
    </row>
    <row r="97" spans="1:24" ht="11.1" customHeight="1" x14ac:dyDescent="0.25">
      <c r="A97" s="11" t="s">
        <v>27</v>
      </c>
      <c r="B97" s="46" t="str">
        <f t="shared" ref="B97:W97" ca="1" si="97">IF(AND($A45&gt;B$55,$A45&lt;B$53),ABS(AVERAGE(B43:B47)),"")</f>
        <v/>
      </c>
      <c r="C97" s="46" t="str">
        <f t="shared" ca="1" si="97"/>
        <v/>
      </c>
      <c r="D97" s="46">
        <f t="shared" ca="1" si="97"/>
        <v>5543.8</v>
      </c>
      <c r="E97" s="46" t="str">
        <f t="shared" ca="1" si="97"/>
        <v/>
      </c>
      <c r="F97" s="46" t="str">
        <f t="shared" ca="1" si="97"/>
        <v/>
      </c>
      <c r="G97" s="46" t="str">
        <f t="shared" ca="1" si="97"/>
        <v/>
      </c>
      <c r="H97" s="46" t="str">
        <f t="shared" ca="1" si="97"/>
        <v/>
      </c>
      <c r="I97" s="46" t="str">
        <f t="shared" ca="1" si="97"/>
        <v/>
      </c>
      <c r="J97" s="46" t="str">
        <f t="shared" ca="1" si="97"/>
        <v/>
      </c>
      <c r="K97" s="46" t="str">
        <f t="shared" ca="1" si="97"/>
        <v/>
      </c>
      <c r="L97" s="46">
        <f t="shared" ca="1" si="97"/>
        <v>1762</v>
      </c>
      <c r="M97" s="46">
        <f t="shared" ca="1" si="97"/>
        <v>6622.8</v>
      </c>
      <c r="N97" s="46" t="str">
        <f t="shared" ca="1" si="97"/>
        <v/>
      </c>
      <c r="O97" s="46" t="str">
        <f t="shared" ca="1" si="97"/>
        <v/>
      </c>
      <c r="P97" s="46" t="str">
        <f t="shared" ca="1" si="97"/>
        <v/>
      </c>
      <c r="Q97" s="46" t="str">
        <f t="shared" ca="1" si="97"/>
        <v/>
      </c>
      <c r="R97" s="46" t="str">
        <f t="shared" ca="1" si="97"/>
        <v/>
      </c>
      <c r="S97" s="46" t="str">
        <f t="shared" ca="1" si="97"/>
        <v/>
      </c>
      <c r="T97" s="46" t="str">
        <f t="shared" ca="1" si="97"/>
        <v/>
      </c>
      <c r="U97" s="46" t="str">
        <f t="shared" ca="1" si="97"/>
        <v/>
      </c>
      <c r="V97" s="46" t="str">
        <f t="shared" ca="1" si="97"/>
        <v/>
      </c>
      <c r="W97" s="46" t="str">
        <f t="shared" ca="1" si="97"/>
        <v/>
      </c>
      <c r="X97" s="46">
        <f t="shared" ref="X97" ca="1" si="98">IF(AND($A45&gt;X$55,$A45&lt;X$53),ABS(AVERAGE(X44:X46)),"")</f>
        <v>15427</v>
      </c>
    </row>
    <row r="98" spans="1:24" ht="11.1" customHeight="1" x14ac:dyDescent="0.25">
      <c r="A98" s="11" t="s">
        <v>28</v>
      </c>
      <c r="B98" s="46" t="str">
        <f t="shared" ref="B98:W98" ca="1" si="99">IF(AND($A46&gt;B$55,$A46&lt;B$53),ABS(AVERAGE(B44:B48)),"")</f>
        <v/>
      </c>
      <c r="C98" s="46" t="str">
        <f t="shared" ca="1" si="99"/>
        <v/>
      </c>
      <c r="D98" s="46">
        <f t="shared" ca="1" si="99"/>
        <v>3877.6</v>
      </c>
      <c r="E98" s="46" t="str">
        <f t="shared" ca="1" si="99"/>
        <v/>
      </c>
      <c r="F98" s="46" t="str">
        <f t="shared" ca="1" si="99"/>
        <v/>
      </c>
      <c r="G98" s="46" t="str">
        <f t="shared" ca="1" si="99"/>
        <v/>
      </c>
      <c r="H98" s="46" t="str">
        <f t="shared" ca="1" si="99"/>
        <v/>
      </c>
      <c r="I98" s="46" t="str">
        <f t="shared" ca="1" si="99"/>
        <v/>
      </c>
      <c r="J98" s="46" t="str">
        <f t="shared" ca="1" si="99"/>
        <v/>
      </c>
      <c r="K98" s="46" t="str">
        <f t="shared" ca="1" si="99"/>
        <v/>
      </c>
      <c r="L98" s="46" t="str">
        <f t="shared" ca="1" si="99"/>
        <v/>
      </c>
      <c r="M98" s="46" t="str">
        <f t="shared" ca="1" si="99"/>
        <v/>
      </c>
      <c r="N98" s="46" t="str">
        <f t="shared" ca="1" si="99"/>
        <v/>
      </c>
      <c r="O98" s="46" t="str">
        <f t="shared" ca="1" si="99"/>
        <v/>
      </c>
      <c r="P98" s="46" t="str">
        <f t="shared" ca="1" si="99"/>
        <v/>
      </c>
      <c r="Q98" s="46" t="str">
        <f t="shared" ca="1" si="99"/>
        <v/>
      </c>
      <c r="R98" s="46" t="str">
        <f t="shared" ca="1" si="99"/>
        <v/>
      </c>
      <c r="S98" s="46" t="str">
        <f t="shared" ca="1" si="99"/>
        <v/>
      </c>
      <c r="T98" s="46" t="str">
        <f t="shared" ca="1" si="99"/>
        <v/>
      </c>
      <c r="U98" s="46" t="str">
        <f t="shared" ca="1" si="99"/>
        <v/>
      </c>
      <c r="V98" s="46" t="str">
        <f t="shared" ca="1" si="99"/>
        <v/>
      </c>
      <c r="W98" s="46" t="str">
        <f t="shared" ca="1" si="99"/>
        <v/>
      </c>
      <c r="X98" s="46" t="str">
        <f t="shared" ref="X98" ca="1" si="100">IF(AND($A46&gt;X$55,$A46&lt;X$53),ABS(AVERAGE(X45:X47)),"")</f>
        <v/>
      </c>
    </row>
    <row r="99" spans="1:24" ht="11.1" customHeight="1" x14ac:dyDescent="0.25">
      <c r="A99" s="11" t="s">
        <v>29</v>
      </c>
      <c r="B99" s="46" t="str">
        <f t="shared" ref="B99:W99" ca="1" si="101">IF(AND($A47&gt;B$55,$A47&lt;B$53),ABS(AVERAGE(B45:B49)),"")</f>
        <v/>
      </c>
      <c r="C99" s="46" t="str">
        <f t="shared" ca="1" si="101"/>
        <v/>
      </c>
      <c r="D99" s="46" t="str">
        <f t="shared" ca="1" si="101"/>
        <v/>
      </c>
      <c r="E99" s="46" t="str">
        <f t="shared" ca="1" si="101"/>
        <v/>
      </c>
      <c r="F99" s="46" t="str">
        <f t="shared" ca="1" si="101"/>
        <v/>
      </c>
      <c r="G99" s="46" t="str">
        <f t="shared" ca="1" si="101"/>
        <v/>
      </c>
      <c r="H99" s="46" t="str">
        <f t="shared" ca="1" si="101"/>
        <v/>
      </c>
      <c r="I99" s="46" t="str">
        <f t="shared" ca="1" si="101"/>
        <v/>
      </c>
      <c r="J99" s="46" t="str">
        <f t="shared" ca="1" si="101"/>
        <v/>
      </c>
      <c r="K99" s="46" t="str">
        <f t="shared" ca="1" si="101"/>
        <v/>
      </c>
      <c r="L99" s="46" t="str">
        <f t="shared" ca="1" si="101"/>
        <v/>
      </c>
      <c r="M99" s="46" t="str">
        <f t="shared" ca="1" si="101"/>
        <v/>
      </c>
      <c r="N99" s="46" t="str">
        <f t="shared" ca="1" si="101"/>
        <v/>
      </c>
      <c r="O99" s="46" t="str">
        <f t="shared" ca="1" si="101"/>
        <v/>
      </c>
      <c r="P99" s="46" t="str">
        <f t="shared" ca="1" si="101"/>
        <v/>
      </c>
      <c r="Q99" s="46" t="str">
        <f t="shared" ca="1" si="101"/>
        <v/>
      </c>
      <c r="R99" s="46" t="str">
        <f t="shared" ca="1" si="101"/>
        <v/>
      </c>
      <c r="S99" s="46" t="str">
        <f t="shared" ca="1" si="101"/>
        <v/>
      </c>
      <c r="T99" s="46" t="str">
        <f t="shared" ca="1" si="101"/>
        <v/>
      </c>
      <c r="U99" s="46" t="str">
        <f t="shared" ca="1" si="101"/>
        <v/>
      </c>
      <c r="V99" s="46" t="str">
        <f t="shared" ca="1" si="101"/>
        <v/>
      </c>
      <c r="W99" s="46" t="str">
        <f t="shared" ca="1" si="101"/>
        <v/>
      </c>
      <c r="X99" s="46" t="str">
        <f t="shared" ref="X99" ca="1" si="102">IF(AND($A47&gt;X$55,$A47&lt;X$53),ABS(AVERAGE(X46:X48)),"")</f>
        <v/>
      </c>
    </row>
    <row r="100" spans="1:24" ht="11.1" customHeight="1" x14ac:dyDescent="0.25">
      <c r="A100" s="11" t="s">
        <v>30</v>
      </c>
      <c r="B100" s="46" t="str">
        <f t="shared" ref="B100:W100" ca="1" si="103">IF(AND($A48&gt;B$55,$A48&lt;B$53),ABS(AVERAGE(B46:B50)),"")</f>
        <v/>
      </c>
      <c r="C100" s="46" t="str">
        <f t="shared" ca="1" si="103"/>
        <v/>
      </c>
      <c r="D100" s="46" t="str">
        <f t="shared" ca="1" si="103"/>
        <v/>
      </c>
      <c r="E100" s="46" t="str">
        <f t="shared" ca="1" si="103"/>
        <v/>
      </c>
      <c r="F100" s="46" t="str">
        <f t="shared" ca="1" si="103"/>
        <v/>
      </c>
      <c r="G100" s="46" t="str">
        <f t="shared" ca="1" si="103"/>
        <v/>
      </c>
      <c r="H100" s="46" t="str">
        <f t="shared" ca="1" si="103"/>
        <v/>
      </c>
      <c r="I100" s="46" t="str">
        <f t="shared" ca="1" si="103"/>
        <v/>
      </c>
      <c r="J100" s="46" t="str">
        <f t="shared" ca="1" si="103"/>
        <v/>
      </c>
      <c r="K100" s="46" t="str">
        <f t="shared" ca="1" si="103"/>
        <v/>
      </c>
      <c r="L100" s="46" t="str">
        <f t="shared" ca="1" si="103"/>
        <v/>
      </c>
      <c r="M100" s="46" t="str">
        <f t="shared" ca="1" si="103"/>
        <v/>
      </c>
      <c r="N100" s="46" t="str">
        <f t="shared" ca="1" si="103"/>
        <v/>
      </c>
      <c r="O100" s="46" t="str">
        <f t="shared" ca="1" si="103"/>
        <v/>
      </c>
      <c r="P100" s="46" t="str">
        <f t="shared" ca="1" si="103"/>
        <v/>
      </c>
      <c r="Q100" s="46" t="str">
        <f t="shared" ca="1" si="103"/>
        <v/>
      </c>
      <c r="R100" s="46" t="str">
        <f t="shared" ca="1" si="103"/>
        <v/>
      </c>
      <c r="S100" s="46" t="str">
        <f t="shared" ca="1" si="103"/>
        <v/>
      </c>
      <c r="T100" s="46" t="str">
        <f t="shared" ca="1" si="103"/>
        <v/>
      </c>
      <c r="U100" s="46" t="str">
        <f t="shared" ca="1" si="103"/>
        <v/>
      </c>
      <c r="V100" s="46" t="str">
        <f t="shared" ca="1" si="103"/>
        <v/>
      </c>
      <c r="W100" s="46" t="str">
        <f t="shared" ca="1" si="103"/>
        <v/>
      </c>
      <c r="X100" s="46" t="str">
        <f t="shared" ref="X100" ca="1" si="104">IF(AND($A48&gt;X$55,$A48&lt;X$53),ABS(AVERAGE(X47:X49)),"")</f>
        <v/>
      </c>
    </row>
    <row r="101" spans="1:24" ht="11.1" customHeight="1" x14ac:dyDescent="0.25">
      <c r="A101" s="11" t="s">
        <v>31</v>
      </c>
      <c r="B101" s="46" t="str">
        <f t="shared" ref="B101:W101" ca="1" si="105">IF(AND($A49&gt;B$55,$A49&lt;B$53),ABS(AVERAGE(B47:B51)),"")</f>
        <v/>
      </c>
      <c r="C101" s="46" t="str">
        <f t="shared" ca="1" si="105"/>
        <v/>
      </c>
      <c r="D101" s="46" t="str">
        <f t="shared" ca="1" si="105"/>
        <v/>
      </c>
      <c r="E101" s="46" t="str">
        <f t="shared" ca="1" si="105"/>
        <v/>
      </c>
      <c r="F101" s="46" t="str">
        <f t="shared" ca="1" si="105"/>
        <v/>
      </c>
      <c r="G101" s="46" t="str">
        <f t="shared" ca="1" si="105"/>
        <v/>
      </c>
      <c r="H101" s="46" t="str">
        <f t="shared" ca="1" si="105"/>
        <v/>
      </c>
      <c r="I101" s="46" t="str">
        <f t="shared" ca="1" si="105"/>
        <v/>
      </c>
      <c r="J101" s="46" t="str">
        <f t="shared" ca="1" si="105"/>
        <v/>
      </c>
      <c r="K101" s="46" t="str">
        <f t="shared" ca="1" si="105"/>
        <v/>
      </c>
      <c r="L101" s="46" t="str">
        <f t="shared" ca="1" si="105"/>
        <v/>
      </c>
      <c r="M101" s="46" t="str">
        <f t="shared" ca="1" si="105"/>
        <v/>
      </c>
      <c r="N101" s="46" t="str">
        <f t="shared" ca="1" si="105"/>
        <v/>
      </c>
      <c r="O101" s="46" t="str">
        <f t="shared" ca="1" si="105"/>
        <v/>
      </c>
      <c r="P101" s="46" t="str">
        <f t="shared" ca="1" si="105"/>
        <v/>
      </c>
      <c r="Q101" s="46" t="str">
        <f t="shared" ca="1" si="105"/>
        <v/>
      </c>
      <c r="R101" s="46" t="str">
        <f t="shared" ca="1" si="105"/>
        <v/>
      </c>
      <c r="S101" s="46" t="str">
        <f t="shared" ca="1" si="105"/>
        <v/>
      </c>
      <c r="T101" s="46" t="str">
        <f t="shared" ca="1" si="105"/>
        <v/>
      </c>
      <c r="U101" s="46" t="str">
        <f t="shared" ca="1" si="105"/>
        <v/>
      </c>
      <c r="V101" s="46" t="str">
        <f t="shared" ca="1" si="105"/>
        <v/>
      </c>
      <c r="W101" s="46" t="str">
        <f t="shared" ca="1" si="105"/>
        <v/>
      </c>
      <c r="X101" s="46" t="str">
        <f t="shared" ref="X101" ca="1" si="106">IF(AND($A49&gt;X$55,$A49&lt;X$53),ABS(AVERAGE(X48:X50)),"")</f>
        <v/>
      </c>
    </row>
    <row r="102" spans="1:24" ht="11.1" customHeight="1" x14ac:dyDescent="0.25">
      <c r="A102" s="11" t="s">
        <v>32</v>
      </c>
      <c r="B102" s="46" t="str">
        <f t="shared" ref="B102:W102" ca="1" si="107">IF(AND($A50&gt;B$55,$A50&lt;B$53),ABS(AVERAGE(B48:B52)),"")</f>
        <v/>
      </c>
      <c r="C102" s="46" t="str">
        <f t="shared" ca="1" si="107"/>
        <v/>
      </c>
      <c r="D102" s="46" t="str">
        <f t="shared" ca="1" si="107"/>
        <v/>
      </c>
      <c r="E102" s="46" t="str">
        <f t="shared" ca="1" si="107"/>
        <v/>
      </c>
      <c r="F102" s="46" t="str">
        <f t="shared" ca="1" si="107"/>
        <v/>
      </c>
      <c r="G102" s="46" t="str">
        <f t="shared" ca="1" si="107"/>
        <v/>
      </c>
      <c r="H102" s="46" t="str">
        <f t="shared" ca="1" si="107"/>
        <v/>
      </c>
      <c r="I102" s="46" t="str">
        <f t="shared" ca="1" si="107"/>
        <v/>
      </c>
      <c r="J102" s="46" t="str">
        <f t="shared" ca="1" si="107"/>
        <v/>
      </c>
      <c r="K102" s="46" t="str">
        <f t="shared" ca="1" si="107"/>
        <v/>
      </c>
      <c r="L102" s="46" t="str">
        <f t="shared" ca="1" si="107"/>
        <v/>
      </c>
      <c r="M102" s="46" t="str">
        <f t="shared" ca="1" si="107"/>
        <v/>
      </c>
      <c r="N102" s="46" t="str">
        <f t="shared" ca="1" si="107"/>
        <v/>
      </c>
      <c r="O102" s="46" t="str">
        <f t="shared" ca="1" si="107"/>
        <v/>
      </c>
      <c r="P102" s="46" t="str">
        <f t="shared" ca="1" si="107"/>
        <v/>
      </c>
      <c r="Q102" s="46" t="str">
        <f t="shared" ca="1" si="107"/>
        <v/>
      </c>
      <c r="R102" s="46" t="str">
        <f t="shared" ca="1" si="107"/>
        <v/>
      </c>
      <c r="S102" s="46" t="str">
        <f t="shared" ca="1" si="107"/>
        <v/>
      </c>
      <c r="T102" s="46" t="str">
        <f t="shared" ca="1" si="107"/>
        <v/>
      </c>
      <c r="U102" s="46" t="str">
        <f t="shared" ca="1" si="107"/>
        <v/>
      </c>
      <c r="V102" s="46" t="str">
        <f t="shared" ca="1" si="107"/>
        <v/>
      </c>
      <c r="W102" s="46" t="str">
        <f t="shared" ca="1" si="107"/>
        <v/>
      </c>
      <c r="X102" s="46" t="str">
        <f t="shared" ref="X102" ca="1" si="108">IF(AND($A50&gt;X$55,$A50&lt;X$53),ABS(AVERAGE(X49:X51)),"")</f>
        <v/>
      </c>
    </row>
    <row r="103" spans="1:24" ht="11.1" customHeight="1" x14ac:dyDescent="0.25">
      <c r="A103" s="11" t="s">
        <v>33</v>
      </c>
      <c r="B103" s="46" t="str">
        <f t="shared" ref="B103:W103" ca="1" si="109">IF(AND($A51&gt;B$55,$A51&lt;B$53),ABS(AVERAGE(B49:B53)),"")</f>
        <v/>
      </c>
      <c r="C103" s="46" t="str">
        <f t="shared" ca="1" si="109"/>
        <v/>
      </c>
      <c r="D103" s="46" t="str">
        <f t="shared" ca="1" si="109"/>
        <v/>
      </c>
      <c r="E103" s="46" t="str">
        <f t="shared" ca="1" si="109"/>
        <v/>
      </c>
      <c r="F103" s="46" t="str">
        <f t="shared" ca="1" si="109"/>
        <v/>
      </c>
      <c r="G103" s="46" t="str">
        <f t="shared" ca="1" si="109"/>
        <v/>
      </c>
      <c r="H103" s="46" t="str">
        <f t="shared" ca="1" si="109"/>
        <v/>
      </c>
      <c r="I103" s="46" t="str">
        <f t="shared" ca="1" si="109"/>
        <v/>
      </c>
      <c r="J103" s="46" t="str">
        <f t="shared" ca="1" si="109"/>
        <v/>
      </c>
      <c r="K103" s="46" t="str">
        <f t="shared" ca="1" si="109"/>
        <v/>
      </c>
      <c r="L103" s="46" t="str">
        <f t="shared" ca="1" si="109"/>
        <v/>
      </c>
      <c r="M103" s="46" t="str">
        <f t="shared" ca="1" si="109"/>
        <v/>
      </c>
      <c r="N103" s="46" t="str">
        <f t="shared" ca="1" si="109"/>
        <v/>
      </c>
      <c r="O103" s="46" t="str">
        <f t="shared" ca="1" si="109"/>
        <v/>
      </c>
      <c r="P103" s="46" t="str">
        <f t="shared" ca="1" si="109"/>
        <v/>
      </c>
      <c r="Q103" s="46" t="str">
        <f t="shared" ca="1" si="109"/>
        <v/>
      </c>
      <c r="R103" s="46" t="str">
        <f t="shared" ca="1" si="109"/>
        <v/>
      </c>
      <c r="S103" s="46" t="str">
        <f t="shared" ca="1" si="109"/>
        <v/>
      </c>
      <c r="T103" s="46" t="str">
        <f t="shared" ca="1" si="109"/>
        <v/>
      </c>
      <c r="U103" s="46" t="str">
        <f t="shared" ca="1" si="109"/>
        <v/>
      </c>
      <c r="V103" s="46" t="str">
        <f t="shared" ca="1" si="109"/>
        <v/>
      </c>
      <c r="W103" s="46" t="str">
        <f t="shared" ca="1" si="109"/>
        <v/>
      </c>
      <c r="X103" s="46" t="str">
        <f t="shared" ref="X103" ca="1" si="110">IF(AND($A51&gt;X$55,$A51&lt;X$53),ABS(AVERAGE(X50:X52)),"")</f>
        <v/>
      </c>
    </row>
    <row r="104" spans="1:24" ht="11.1" customHeight="1" x14ac:dyDescent="0.25">
      <c r="A104" s="11" t="s">
        <v>34</v>
      </c>
      <c r="B104" s="46" t="str">
        <f t="shared" ref="B104:W104" ca="1" si="111">IF(AND($A52&gt;B$55,$A52&lt;B$53),ABS(AVERAGE(B50:B54)),"")</f>
        <v/>
      </c>
      <c r="C104" s="46" t="str">
        <f t="shared" ca="1" si="111"/>
        <v/>
      </c>
      <c r="D104" s="46" t="str">
        <f t="shared" ca="1" si="111"/>
        <v/>
      </c>
      <c r="E104" s="46" t="str">
        <f t="shared" ca="1" si="111"/>
        <v/>
      </c>
      <c r="F104" s="46" t="str">
        <f t="shared" ca="1" si="111"/>
        <v/>
      </c>
      <c r="G104" s="46" t="str">
        <f t="shared" ca="1" si="111"/>
        <v/>
      </c>
      <c r="H104" s="46" t="str">
        <f t="shared" ca="1" si="111"/>
        <v/>
      </c>
      <c r="I104" s="46" t="str">
        <f t="shared" ca="1" si="111"/>
        <v/>
      </c>
      <c r="J104" s="46" t="str">
        <f t="shared" ca="1" si="111"/>
        <v/>
      </c>
      <c r="K104" s="46" t="str">
        <f t="shared" ca="1" si="111"/>
        <v/>
      </c>
      <c r="L104" s="46" t="str">
        <f t="shared" ca="1" si="111"/>
        <v/>
      </c>
      <c r="M104" s="46" t="str">
        <f t="shared" ca="1" si="111"/>
        <v/>
      </c>
      <c r="N104" s="46" t="str">
        <f t="shared" ca="1" si="111"/>
        <v/>
      </c>
      <c r="O104" s="46" t="str">
        <f t="shared" ca="1" si="111"/>
        <v/>
      </c>
      <c r="P104" s="46" t="str">
        <f t="shared" ca="1" si="111"/>
        <v/>
      </c>
      <c r="Q104" s="46" t="str">
        <f t="shared" ca="1" si="111"/>
        <v/>
      </c>
      <c r="R104" s="46" t="str">
        <f t="shared" ca="1" si="111"/>
        <v/>
      </c>
      <c r="S104" s="46" t="str">
        <f t="shared" ca="1" si="111"/>
        <v/>
      </c>
      <c r="T104" s="46" t="str">
        <f t="shared" ca="1" si="111"/>
        <v/>
      </c>
      <c r="U104" s="46" t="str">
        <f t="shared" ca="1" si="111"/>
        <v/>
      </c>
      <c r="V104" s="46" t="str">
        <f t="shared" ca="1" si="111"/>
        <v/>
      </c>
      <c r="W104" s="46" t="str">
        <f t="shared" ca="1" si="111"/>
        <v/>
      </c>
      <c r="X104" s="46"/>
    </row>
    <row r="105" spans="1:24" ht="11.1" customHeight="1" x14ac:dyDescent="0.25">
      <c r="B105" s="46" t="str">
        <f t="shared" ref="B105:W105" ca="1" si="112">IF(AND($A53&gt;B$55,$A53&lt;B$53),ABS(AVERAGE(B51:B55)),"")</f>
        <v/>
      </c>
      <c r="C105" s="46" t="str">
        <f t="shared" ca="1" si="112"/>
        <v/>
      </c>
      <c r="D105" s="46">
        <f t="shared" ca="1" si="112"/>
        <v>3.6</v>
      </c>
      <c r="E105" s="46" t="str">
        <f t="shared" ca="1" si="112"/>
        <v/>
      </c>
      <c r="F105" s="46" t="str">
        <f t="shared" ca="1" si="112"/>
        <v/>
      </c>
      <c r="G105" s="46">
        <f t="shared" ca="1" si="112"/>
        <v>3</v>
      </c>
      <c r="H105" s="46" t="str">
        <f t="shared" ca="1" si="112"/>
        <v/>
      </c>
      <c r="I105" s="46">
        <f t="shared" ca="1" si="112"/>
        <v>3</v>
      </c>
      <c r="J105" s="46" t="str">
        <f t="shared" ca="1" si="112"/>
        <v/>
      </c>
      <c r="K105" s="46" t="str">
        <f t="shared" ca="1" si="112"/>
        <v/>
      </c>
      <c r="L105" s="46">
        <f t="shared" ca="1" si="112"/>
        <v>3</v>
      </c>
      <c r="M105" s="46">
        <f t="shared" ca="1" si="112"/>
        <v>3</v>
      </c>
      <c r="N105" s="46" t="str">
        <f t="shared" ca="1" si="112"/>
        <v/>
      </c>
      <c r="O105" s="46" t="str">
        <f t="shared" ca="1" si="112"/>
        <v/>
      </c>
      <c r="P105" s="46" t="str">
        <f t="shared" ca="1" si="112"/>
        <v/>
      </c>
      <c r="Q105" s="46" t="str">
        <f t="shared" ca="1" si="112"/>
        <v/>
      </c>
      <c r="R105" s="46" t="str">
        <f t="shared" ca="1" si="112"/>
        <v/>
      </c>
      <c r="S105" s="46" t="str">
        <f t="shared" ca="1" si="112"/>
        <v/>
      </c>
      <c r="T105" s="46" t="str">
        <f t="shared" ca="1" si="112"/>
        <v/>
      </c>
      <c r="U105" s="46" t="str">
        <f t="shared" ca="1" si="112"/>
        <v/>
      </c>
      <c r="V105" s="46" t="str">
        <f t="shared" ca="1" si="112"/>
        <v/>
      </c>
      <c r="W105" s="46" t="str">
        <f t="shared" ca="1" si="112"/>
        <v/>
      </c>
      <c r="X105" s="46"/>
    </row>
    <row r="106" spans="1:24" ht="11.1" customHeight="1" x14ac:dyDescent="0.25">
      <c r="A106" s="11" t="s">
        <v>35</v>
      </c>
      <c r="B106" s="46" t="str">
        <f t="shared" ref="B106:W106" ca="1" si="113">IF(AND($A54&gt;B$55,$A54&lt;B$53),ABS(AVERAGE(B52:B56)),"")</f>
        <v/>
      </c>
      <c r="C106" s="46" t="str">
        <f t="shared" ca="1" si="113"/>
        <v/>
      </c>
      <c r="D106" s="46" t="str">
        <f t="shared" ca="1" si="113"/>
        <v/>
      </c>
      <c r="E106" s="46" t="str">
        <f t="shared" ca="1" si="113"/>
        <v/>
      </c>
      <c r="F106" s="46" t="str">
        <f t="shared" ca="1" si="113"/>
        <v/>
      </c>
      <c r="G106" s="46" t="str">
        <f t="shared" ca="1" si="113"/>
        <v/>
      </c>
      <c r="H106" s="46" t="str">
        <f t="shared" ca="1" si="113"/>
        <v/>
      </c>
      <c r="I106" s="46" t="str">
        <f t="shared" ca="1" si="113"/>
        <v/>
      </c>
      <c r="J106" s="46" t="str">
        <f t="shared" ca="1" si="113"/>
        <v/>
      </c>
      <c r="K106" s="46" t="str">
        <f t="shared" ca="1" si="113"/>
        <v/>
      </c>
      <c r="L106" s="46" t="str">
        <f t="shared" ca="1" si="113"/>
        <v/>
      </c>
      <c r="M106" s="46" t="str">
        <f t="shared" ca="1" si="113"/>
        <v/>
      </c>
      <c r="N106" s="46" t="str">
        <f t="shared" ca="1" si="113"/>
        <v/>
      </c>
      <c r="O106" s="46" t="str">
        <f t="shared" ca="1" si="113"/>
        <v/>
      </c>
      <c r="P106" s="46" t="str">
        <f t="shared" ca="1" si="113"/>
        <v/>
      </c>
      <c r="Q106" s="46" t="str">
        <f t="shared" ca="1" si="113"/>
        <v/>
      </c>
      <c r="R106" s="46" t="str">
        <f t="shared" ca="1" si="113"/>
        <v/>
      </c>
      <c r="S106" s="46" t="str">
        <f t="shared" ca="1" si="113"/>
        <v/>
      </c>
      <c r="T106" s="46" t="str">
        <f t="shared" ca="1" si="113"/>
        <v/>
      </c>
      <c r="U106" s="46" t="str">
        <f t="shared" ca="1" si="113"/>
        <v/>
      </c>
      <c r="V106" s="46" t="str">
        <f t="shared" ca="1" si="113"/>
        <v/>
      </c>
      <c r="W106" s="46" t="str">
        <f t="shared" ca="1" si="113"/>
        <v/>
      </c>
      <c r="X106" s="46"/>
    </row>
    <row r="107" spans="1:24" ht="11.1" customHeight="1" x14ac:dyDescent="0.25">
      <c r="A107" s="11" t="s">
        <v>36</v>
      </c>
      <c r="B107" s="46" t="str">
        <f t="shared" ref="B107:W107" ca="1" si="114">IF(AND($A55&gt;B$55,$A55&lt;B$53),ABS(AVERAGE(B53:B57)),"")</f>
        <v/>
      </c>
      <c r="C107" s="46" t="str">
        <f t="shared" ca="1" si="114"/>
        <v/>
      </c>
      <c r="D107" s="46" t="str">
        <f t="shared" ca="1" si="114"/>
        <v/>
      </c>
      <c r="E107" s="46" t="str">
        <f t="shared" ca="1" si="114"/>
        <v/>
      </c>
      <c r="F107" s="46" t="str">
        <f t="shared" ca="1" si="114"/>
        <v/>
      </c>
      <c r="G107" s="46" t="str">
        <f t="shared" ca="1" si="114"/>
        <v/>
      </c>
      <c r="H107" s="46" t="str">
        <f t="shared" ca="1" si="114"/>
        <v/>
      </c>
      <c r="I107" s="46" t="str">
        <f t="shared" ca="1" si="114"/>
        <v/>
      </c>
      <c r="J107" s="46" t="str">
        <f t="shared" ca="1" si="114"/>
        <v/>
      </c>
      <c r="K107" s="46" t="str">
        <f t="shared" ca="1" si="114"/>
        <v/>
      </c>
      <c r="L107" s="46" t="str">
        <f t="shared" ca="1" si="114"/>
        <v/>
      </c>
      <c r="M107" s="46" t="str">
        <f t="shared" ca="1" si="114"/>
        <v/>
      </c>
      <c r="N107" s="46" t="str">
        <f t="shared" ca="1" si="114"/>
        <v/>
      </c>
      <c r="O107" s="46" t="str">
        <f t="shared" ca="1" si="114"/>
        <v/>
      </c>
      <c r="P107" s="46" t="str">
        <f t="shared" ca="1" si="114"/>
        <v/>
      </c>
      <c r="Q107" s="46" t="str">
        <f t="shared" ca="1" si="114"/>
        <v/>
      </c>
      <c r="R107" s="46" t="str">
        <f t="shared" ca="1" si="114"/>
        <v/>
      </c>
      <c r="S107" s="46" t="str">
        <f t="shared" ca="1" si="114"/>
        <v/>
      </c>
      <c r="T107" s="46" t="str">
        <f t="shared" ca="1" si="114"/>
        <v/>
      </c>
      <c r="U107" s="46" t="str">
        <f t="shared" ca="1" si="114"/>
        <v/>
      </c>
      <c r="V107" s="46" t="str">
        <f t="shared" ca="1" si="114"/>
        <v/>
      </c>
      <c r="W107" s="46" t="str">
        <f t="shared" ca="1" si="114"/>
        <v/>
      </c>
      <c r="X107" s="46"/>
    </row>
    <row r="108" spans="1:24" ht="11.1" customHeight="1" x14ac:dyDescent="0.25">
      <c r="A108" s="11" t="s">
        <v>37</v>
      </c>
      <c r="B108" s="46" t="str">
        <f t="shared" ref="B108:W108" ca="1" si="115">IF(AND($A56&gt;B$55,$A56&lt;B$53),ABS(AVERAGE(B54:B58)),"")</f>
        <v/>
      </c>
      <c r="C108" s="46" t="str">
        <f t="shared" ca="1" si="115"/>
        <v/>
      </c>
      <c r="D108" s="46" t="str">
        <f t="shared" ca="1" si="115"/>
        <v/>
      </c>
      <c r="E108" s="46" t="str">
        <f t="shared" ca="1" si="115"/>
        <v/>
      </c>
      <c r="F108" s="46" t="str">
        <f t="shared" ca="1" si="115"/>
        <v/>
      </c>
      <c r="G108" s="46" t="str">
        <f t="shared" ca="1" si="115"/>
        <v/>
      </c>
      <c r="H108" s="46" t="str">
        <f t="shared" ca="1" si="115"/>
        <v/>
      </c>
      <c r="I108" s="46" t="str">
        <f t="shared" ca="1" si="115"/>
        <v/>
      </c>
      <c r="J108" s="46" t="str">
        <f t="shared" ca="1" si="115"/>
        <v/>
      </c>
      <c r="K108" s="46" t="str">
        <f t="shared" ca="1" si="115"/>
        <v/>
      </c>
      <c r="L108" s="46" t="str">
        <f t="shared" ca="1" si="115"/>
        <v/>
      </c>
      <c r="M108" s="46" t="str">
        <f t="shared" ca="1" si="115"/>
        <v/>
      </c>
      <c r="N108" s="46" t="str">
        <f t="shared" ca="1" si="115"/>
        <v/>
      </c>
      <c r="O108" s="46" t="str">
        <f t="shared" ca="1" si="115"/>
        <v/>
      </c>
      <c r="P108" s="46" t="str">
        <f t="shared" ca="1" si="115"/>
        <v/>
      </c>
      <c r="Q108" s="46" t="str">
        <f t="shared" ca="1" si="115"/>
        <v/>
      </c>
      <c r="R108" s="46" t="str">
        <f t="shared" ca="1" si="115"/>
        <v/>
      </c>
      <c r="S108" s="46" t="str">
        <f t="shared" ca="1" si="115"/>
        <v/>
      </c>
      <c r="T108" s="46" t="str">
        <f t="shared" ca="1" si="115"/>
        <v/>
      </c>
      <c r="U108" s="46" t="str">
        <f t="shared" ca="1" si="115"/>
        <v/>
      </c>
      <c r="V108" s="46" t="str">
        <f t="shared" ca="1" si="115"/>
        <v/>
      </c>
      <c r="W108" s="46" t="str">
        <f t="shared" ca="1" si="115"/>
        <v/>
      </c>
    </row>
    <row r="109" spans="1:24" ht="11.1" customHeight="1" x14ac:dyDescent="0.25">
      <c r="A109" s="11" t="s">
        <v>38</v>
      </c>
      <c r="B109" s="46" t="str">
        <f t="shared" ref="B109:W109" ca="1" si="116">IF(AND($A57&gt;B$55,$A57&lt;B$53),ABS(AVERAGE(B55:B59)),"")</f>
        <v/>
      </c>
      <c r="C109" s="46" t="str">
        <f t="shared" ca="1" si="116"/>
        <v/>
      </c>
      <c r="D109" s="46" t="str">
        <f t="shared" ca="1" si="116"/>
        <v/>
      </c>
      <c r="E109" s="46" t="str">
        <f t="shared" ca="1" si="116"/>
        <v/>
      </c>
      <c r="F109" s="46" t="str">
        <f t="shared" ca="1" si="116"/>
        <v/>
      </c>
      <c r="G109" s="46" t="str">
        <f t="shared" ca="1" si="116"/>
        <v/>
      </c>
      <c r="H109" s="46" t="str">
        <f t="shared" ca="1" si="116"/>
        <v/>
      </c>
      <c r="I109" s="46" t="str">
        <f t="shared" ca="1" si="116"/>
        <v/>
      </c>
      <c r="J109" s="46" t="str">
        <f t="shared" ca="1" si="116"/>
        <v/>
      </c>
      <c r="K109" s="46" t="str">
        <f t="shared" ca="1" si="116"/>
        <v/>
      </c>
      <c r="L109" s="46" t="str">
        <f t="shared" ca="1" si="116"/>
        <v/>
      </c>
      <c r="M109" s="46" t="str">
        <f t="shared" ca="1" si="116"/>
        <v/>
      </c>
      <c r="N109" s="46" t="str">
        <f t="shared" ca="1" si="116"/>
        <v/>
      </c>
      <c r="O109" s="46" t="str">
        <f t="shared" ca="1" si="116"/>
        <v/>
      </c>
      <c r="P109" s="46" t="str">
        <f t="shared" ca="1" si="116"/>
        <v/>
      </c>
      <c r="Q109" s="46" t="str">
        <f t="shared" ca="1" si="116"/>
        <v/>
      </c>
      <c r="R109" s="46" t="str">
        <f t="shared" ca="1" si="116"/>
        <v/>
      </c>
      <c r="S109" s="46" t="str">
        <f t="shared" ca="1" si="116"/>
        <v/>
      </c>
      <c r="T109" s="46" t="str">
        <f t="shared" ca="1" si="116"/>
        <v/>
      </c>
      <c r="U109" s="46" t="str">
        <f t="shared" ca="1" si="116"/>
        <v/>
      </c>
      <c r="V109" s="46" t="str">
        <f t="shared" ca="1" si="116"/>
        <v/>
      </c>
      <c r="W109" s="46" t="str">
        <f t="shared" ca="1" si="116"/>
        <v/>
      </c>
    </row>
    <row r="110" spans="1:24" ht="11.1" customHeight="1" x14ac:dyDescent="0.25">
      <c r="A110" s="11" t="s">
        <v>39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 spans="1:24" ht="11.1" customHeight="1" x14ac:dyDescent="0.25">
      <c r="A111" s="11" t="s">
        <v>40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4" ht="11.1" customHeight="1" x14ac:dyDescent="0.25">
      <c r="A112" s="11" t="s">
        <v>41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 spans="1:23" ht="11.1" customHeight="1" x14ac:dyDescent="0.25">
      <c r="A113" s="11" t="s">
        <v>42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ht="11.1" customHeight="1" x14ac:dyDescent="0.25">
      <c r="A114" s="11" t="s">
        <v>43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 spans="1:23" ht="11.1" customHeight="1" x14ac:dyDescent="0.25">
      <c r="A115" s="11" t="s">
        <v>44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7" spans="1:23" ht="11.1" customHeight="1" x14ac:dyDescent="0.25">
      <c r="A117" s="11" t="s">
        <v>45</v>
      </c>
    </row>
    <row r="118" spans="1:23" ht="11.1" customHeight="1" x14ac:dyDescent="0.25">
      <c r="A118" s="11" t="s">
        <v>46</v>
      </c>
    </row>
    <row r="119" spans="1:23" ht="11.1" customHeight="1" x14ac:dyDescent="0.25">
      <c r="A119" s="11" t="s">
        <v>47</v>
      </c>
    </row>
    <row r="120" spans="1:23" ht="11.1" customHeight="1" x14ac:dyDescent="0.25">
      <c r="A120" s="11" t="s">
        <v>48</v>
      </c>
    </row>
    <row r="121" spans="1:23" ht="11.1" customHeight="1" x14ac:dyDescent="0.25">
      <c r="A121" s="11" t="s">
        <v>49</v>
      </c>
    </row>
    <row r="122" spans="1:23" ht="11.1" customHeight="1" x14ac:dyDescent="0.25">
      <c r="A122" s="11" t="s">
        <v>50</v>
      </c>
    </row>
    <row r="123" spans="1:23" ht="11.1" customHeight="1" x14ac:dyDescent="0.25">
      <c r="A123" s="11" t="s">
        <v>51</v>
      </c>
    </row>
    <row r="124" spans="1:23" ht="11.1" customHeight="1" x14ac:dyDescent="0.25">
      <c r="A124" s="11" t="s">
        <v>52</v>
      </c>
    </row>
    <row r="125" spans="1:23" ht="11.1" customHeight="1" x14ac:dyDescent="0.25">
      <c r="A125" s="11" t="s">
        <v>53</v>
      </c>
    </row>
    <row r="126" spans="1:23" ht="11.1" customHeight="1" x14ac:dyDescent="0.25">
      <c r="A126" s="11" t="s">
        <v>54</v>
      </c>
    </row>
    <row r="129" spans="1:1" ht="11.1" customHeight="1" x14ac:dyDescent="0.25">
      <c r="A129" s="11" t="s">
        <v>55</v>
      </c>
    </row>
    <row r="130" spans="1:1" ht="11.1" customHeight="1" x14ac:dyDescent="0.25">
      <c r="A130" s="11" t="s">
        <v>56</v>
      </c>
    </row>
    <row r="131" spans="1:1" ht="11.1" customHeight="1" x14ac:dyDescent="0.25">
      <c r="A131" s="11" t="s">
        <v>57</v>
      </c>
    </row>
    <row r="132" spans="1:1" ht="11.1" customHeight="1" x14ac:dyDescent="0.25">
      <c r="A132" s="11" t="s">
        <v>58</v>
      </c>
    </row>
    <row r="133" spans="1:1" ht="11.1" customHeight="1" x14ac:dyDescent="0.25">
      <c r="A133" s="11" t="s">
        <v>59</v>
      </c>
    </row>
    <row r="134" spans="1:1" ht="11.1" customHeight="1" x14ac:dyDescent="0.25">
      <c r="A134" s="11" t="s">
        <v>60</v>
      </c>
    </row>
    <row r="135" spans="1:1" ht="11.1" customHeight="1" x14ac:dyDescent="0.25">
      <c r="A135" s="11" t="s">
        <v>61</v>
      </c>
    </row>
    <row r="136" spans="1:1" ht="11.1" customHeight="1" x14ac:dyDescent="0.25">
      <c r="A136" s="11" t="s">
        <v>62</v>
      </c>
    </row>
    <row r="138" spans="1:1" ht="11.1" customHeight="1" x14ac:dyDescent="0.25">
      <c r="A138" s="11" t="s">
        <v>63</v>
      </c>
    </row>
    <row r="139" spans="1:1" ht="11.1" customHeight="1" x14ac:dyDescent="0.25">
      <c r="A139" s="11" t="s">
        <v>64</v>
      </c>
    </row>
    <row r="140" spans="1:1" ht="11.1" customHeight="1" x14ac:dyDescent="0.25">
      <c r="A140" s="11" t="s">
        <v>65</v>
      </c>
    </row>
    <row r="141" spans="1:1" ht="11.1" customHeight="1" x14ac:dyDescent="0.25">
      <c r="A141" s="11" t="s">
        <v>66</v>
      </c>
    </row>
    <row r="142" spans="1:1" ht="11.1" customHeight="1" x14ac:dyDescent="0.25">
      <c r="A142" s="11" t="s">
        <v>67</v>
      </c>
    </row>
    <row r="143" spans="1:1" ht="11.1" customHeight="1" x14ac:dyDescent="0.25">
      <c r="A143" s="11" t="s">
        <v>68</v>
      </c>
    </row>
    <row r="144" spans="1:1" ht="11.1" customHeight="1" x14ac:dyDescent="0.25">
      <c r="A144" s="11" t="s">
        <v>69</v>
      </c>
    </row>
    <row r="145" spans="1:1" ht="11.1" customHeight="1" x14ac:dyDescent="0.25">
      <c r="A145" s="11" t="s">
        <v>70</v>
      </c>
    </row>
    <row r="146" spans="1:1" ht="11.1" customHeight="1" x14ac:dyDescent="0.25">
      <c r="A146" s="11" t="s">
        <v>71</v>
      </c>
    </row>
    <row r="147" spans="1:1" ht="11.1" customHeight="1" x14ac:dyDescent="0.25">
      <c r="A147" s="11" t="s">
        <v>68</v>
      </c>
    </row>
    <row r="149" spans="1:1" ht="11.1" customHeight="1" x14ac:dyDescent="0.25">
      <c r="A149" s="11" t="s">
        <v>72</v>
      </c>
    </row>
    <row r="150" spans="1:1" ht="11.1" customHeight="1" x14ac:dyDescent="0.25">
      <c r="A150" s="11" t="s">
        <v>73</v>
      </c>
    </row>
    <row r="151" spans="1:1" ht="11.1" customHeight="1" x14ac:dyDescent="0.25">
      <c r="A151" s="11" t="s">
        <v>74</v>
      </c>
    </row>
    <row r="152" spans="1:1" ht="11.1" customHeight="1" x14ac:dyDescent="0.25">
      <c r="A152" s="11" t="s">
        <v>75</v>
      </c>
    </row>
    <row r="153" spans="1:1" ht="11.1" customHeight="1" x14ac:dyDescent="0.25">
      <c r="A153" s="11" t="s">
        <v>76</v>
      </c>
    </row>
    <row r="154" spans="1:1" ht="11.1" customHeight="1" x14ac:dyDescent="0.25">
      <c r="A154" s="11" t="s">
        <v>77</v>
      </c>
    </row>
    <row r="155" spans="1:1" ht="11.1" customHeight="1" x14ac:dyDescent="0.25">
      <c r="A155" s="11" t="s">
        <v>78</v>
      </c>
    </row>
    <row r="156" spans="1:1" ht="11.1" customHeight="1" x14ac:dyDescent="0.25">
      <c r="A156" s="11" t="s">
        <v>79</v>
      </c>
    </row>
    <row r="157" spans="1:1" ht="11.1" customHeight="1" x14ac:dyDescent="0.25">
      <c r="A157" s="11" t="s">
        <v>80</v>
      </c>
    </row>
    <row r="158" spans="1:1" ht="11.1" customHeight="1" x14ac:dyDescent="0.25">
      <c r="A158" s="11" t="s">
        <v>81</v>
      </c>
    </row>
  </sheetData>
  <conditionalFormatting sqref="B4:W4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B51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5:C51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X5:X51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5:AA51">
    <cfRule type="dataBar" priority="38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{6810B2EB-5F17-47E9-856E-A226A94A63B9}</x14:id>
        </ext>
      </extLst>
    </cfRule>
  </conditionalFormatting>
  <conditionalFormatting sqref="G5:G51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H5:H51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I5:I51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J5:J51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K5:K51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L5:L51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M5:M51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N5:N51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O5:O5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5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51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51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5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5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5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5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5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W51">
    <cfRule type="expression" dxfId="12" priority="1">
      <formula>B5=0</formula>
    </cfRule>
    <cfRule type="expression" dxfId="11" priority="2">
      <formula>$A5=B$54</formula>
    </cfRule>
    <cfRule type="expression" dxfId="10" priority="8">
      <formula>$A5=ROUND($A$4/$A$1,0)*$A$1</formula>
    </cfRule>
  </conditionalFormatting>
  <conditionalFormatting sqref="Y5:Z51">
    <cfRule type="dataBar" priority="46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{5D650DF6-89D2-4560-BA66-F149711D0DD0}</x14:id>
        </ext>
      </extLst>
    </cfRule>
  </conditionalFormatting>
  <conditionalFormatting sqref="A5:AA51">
    <cfRule type="expression" dxfId="9" priority="5">
      <formula>$A5=$Z$52</formula>
    </cfRule>
    <cfRule type="expression" dxfId="8" priority="6">
      <formula>$A5=$Y$52</formula>
    </cfRule>
    <cfRule type="expression" dxfId="7" priority="7">
      <formula>$A5=$Y$4</formula>
    </cfRule>
  </conditionalFormatting>
  <conditionalFormatting sqref="B5:X51">
    <cfRule type="expression" dxfId="6" priority="3">
      <formula>$A5=B$55</formula>
    </cfRule>
    <cfRule type="expression" dxfId="5" priority="4">
      <formula>$A5=B$53</formula>
    </cfRule>
  </conditionalFormatting>
  <conditionalFormatting sqref="D5:D51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5:E51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F5:F51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O5:O51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P5:P51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Q5:Q5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R5:R51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S5:S51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5:T51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U5:U51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5:V5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5:W51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dataValidations count="2">
    <dataValidation type="list" allowBlank="1" showInputMessage="1" showErrorMessage="1" sqref="A2" xr:uid="{00000000-0002-0000-0000-000000000000}">
      <formula1>"PREMIUM_OI,PREMIUM,DEX,VEX,GEX,VOLUME,OPEN_INT,MAXPAIN,SKEW"</formula1>
    </dataValidation>
    <dataValidation type="list" allowBlank="1" showInputMessage="1" showErrorMessage="1" sqref="AA4" xr:uid="{00000000-0002-0000-0000-000001000000}">
      <formula1>$B$1:$W$1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10B2EB-5F17-47E9-856E-A226A94A63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AA5:AA51</xm:sqref>
        </x14:conditionalFormatting>
        <x14:conditionalFormatting xmlns:xm="http://schemas.microsoft.com/office/excel/2006/main">
          <x14:cfRule type="dataBar" id="{5D650DF6-89D2-4560-BA66-F149711D0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Y5:Z51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6B57-A45C-4872-B0C9-A9577076F7A3}">
  <sheetPr codeName="Hoja3"/>
  <dimension ref="A1:AO1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R3" sqref="R3"/>
    </sheetView>
  </sheetViews>
  <sheetFormatPr baseColWidth="10" defaultRowHeight="11.1" customHeight="1" outlineLevelCol="1" x14ac:dyDescent="0.25"/>
  <cols>
    <col min="1" max="1" width="12.7109375" style="11" customWidth="1"/>
    <col min="2" max="23" width="8" style="11" customWidth="1" outlineLevel="1"/>
    <col min="24" max="24" width="8.7109375" style="7" customWidth="1"/>
    <col min="25" max="26" width="11.42578125" style="7"/>
    <col min="27" max="28" width="14.5703125" style="7" bestFit="1" customWidth="1"/>
    <col min="29" max="35" width="11.42578125" style="7"/>
    <col min="36" max="36" width="16.42578125" style="7" bestFit="1" customWidth="1"/>
    <col min="37" max="16384" width="11.42578125" style="7"/>
  </cols>
  <sheetData>
    <row r="1" spans="1:41" s="8" customFormat="1" ht="11.1" customHeight="1" thickBot="1" x14ac:dyDescent="0.3">
      <c r="A1" s="2">
        <f>+'OI-VOL'!A1</f>
        <v>0.5</v>
      </c>
      <c r="B1" s="1" t="str">
        <f>IF($A$52&lt;=TEXT(B3,"YYMMDD"),TEXT(B3,"YYMMDD"),"")</f>
        <v>251009</v>
      </c>
      <c r="C1" s="1" t="str">
        <f t="shared" ref="C1:W1" si="0">IF($A$52&lt;=TEXT(C3,"YYMMDD"),TEXT(C3,"YYMMDD"),"")</f>
        <v>251010</v>
      </c>
      <c r="D1" s="1" t="str">
        <f t="shared" si="0"/>
        <v>251013</v>
      </c>
      <c r="E1" s="1" t="str">
        <f t="shared" si="0"/>
        <v>251014</v>
      </c>
      <c r="F1" s="1" t="str">
        <f t="shared" si="0"/>
        <v>251015</v>
      </c>
      <c r="G1" s="1" t="str">
        <f t="shared" si="0"/>
        <v>251016</v>
      </c>
      <c r="H1" s="1" t="str">
        <f t="shared" si="0"/>
        <v>251017</v>
      </c>
      <c r="I1" s="1" t="str">
        <f t="shared" si="0"/>
        <v>251020</v>
      </c>
      <c r="J1" s="1" t="str">
        <f t="shared" si="0"/>
        <v>251021</v>
      </c>
      <c r="K1" s="1" t="str">
        <f t="shared" si="0"/>
        <v>251022</v>
      </c>
      <c r="L1" s="1" t="str">
        <f t="shared" si="0"/>
        <v>251023</v>
      </c>
      <c r="M1" s="1" t="str">
        <f t="shared" si="0"/>
        <v>251024</v>
      </c>
      <c r="N1" s="1" t="str">
        <f t="shared" si="0"/>
        <v>251027</v>
      </c>
      <c r="O1" s="1" t="str">
        <f t="shared" si="0"/>
        <v>251028</v>
      </c>
      <c r="P1" s="1" t="str">
        <f t="shared" si="0"/>
        <v>251029</v>
      </c>
      <c r="Q1" s="1" t="str">
        <f t="shared" si="0"/>
        <v>251030</v>
      </c>
      <c r="R1" s="1" t="str">
        <f t="shared" si="0"/>
        <v>251031</v>
      </c>
      <c r="S1" s="1" t="str">
        <f t="shared" si="0"/>
        <v>251121</v>
      </c>
      <c r="T1" s="1" t="str">
        <f t="shared" si="0"/>
        <v>251128</v>
      </c>
      <c r="U1" s="1" t="str">
        <f t="shared" si="0"/>
        <v>251219</v>
      </c>
      <c r="V1" s="1" t="str">
        <f t="shared" si="0"/>
        <v>251231</v>
      </c>
      <c r="W1" s="1" t="str">
        <f t="shared" si="0"/>
        <v>260116</v>
      </c>
      <c r="Z1" s="34"/>
      <c r="AA1" s="8">
        <f>+IF($AJ$1,AJ1,TASTYOHLC!A1)</f>
        <v>1</v>
      </c>
      <c r="AB1" s="8" t="str">
        <f>+IF($AJ$1,AK1,TASTYOHLC!B1)</f>
        <v>Apertura</v>
      </c>
      <c r="AC1" s="8" t="str">
        <f>+IF($AJ$1,AL1,TASTYOHLC!C1)</f>
        <v>Alto</v>
      </c>
      <c r="AD1" s="8" t="str">
        <f>+IF($AJ$1,AM1,TASTYOHLC!D1)</f>
        <v>Bajo</v>
      </c>
      <c r="AE1" s="8" t="str">
        <f>+IF($AJ$1,AN1,TASTYOHLC!E1)</f>
        <v>Cierre</v>
      </c>
      <c r="AJ1" s="8">
        <v>1</v>
      </c>
      <c r="AK1" s="8" t="s">
        <v>282</v>
      </c>
      <c r="AL1" s="8" t="s">
        <v>283</v>
      </c>
      <c r="AM1" s="8" t="s">
        <v>284</v>
      </c>
      <c r="AN1" s="8" t="s">
        <v>285</v>
      </c>
      <c r="AO1" s="8" t="s">
        <v>286</v>
      </c>
    </row>
    <row r="2" spans="1:41" s="8" customFormat="1" ht="11.1" customHeight="1" thickBot="1" x14ac:dyDescent="0.3">
      <c r="A2" s="9" t="s">
        <v>167</v>
      </c>
      <c r="B2" s="2" t="str">
        <f>+A3</f>
        <v>OPEN</v>
      </c>
      <c r="C2" s="2" t="str">
        <f>+B2</f>
        <v>OPEN</v>
      </c>
      <c r="D2" s="2" t="str">
        <f t="shared" ref="D2:W2" si="1">+C2</f>
        <v>OPEN</v>
      </c>
      <c r="E2" s="2" t="str">
        <f t="shared" si="1"/>
        <v>OPEN</v>
      </c>
      <c r="F2" s="2" t="str">
        <f t="shared" si="1"/>
        <v>OPEN</v>
      </c>
      <c r="G2" s="2" t="str">
        <f t="shared" si="1"/>
        <v>OPEN</v>
      </c>
      <c r="H2" s="2" t="str">
        <f t="shared" si="1"/>
        <v>OPEN</v>
      </c>
      <c r="I2" s="2" t="str">
        <f t="shared" si="1"/>
        <v>OPEN</v>
      </c>
      <c r="J2" s="2" t="str">
        <f t="shared" si="1"/>
        <v>OPEN</v>
      </c>
      <c r="K2" s="2" t="str">
        <f t="shared" si="1"/>
        <v>OPEN</v>
      </c>
      <c r="L2" s="2" t="str">
        <f t="shared" si="1"/>
        <v>OPEN</v>
      </c>
      <c r="M2" s="2" t="str">
        <f t="shared" si="1"/>
        <v>OPEN</v>
      </c>
      <c r="N2" s="2" t="str">
        <f t="shared" si="1"/>
        <v>OPEN</v>
      </c>
      <c r="O2" s="2" t="str">
        <f t="shared" si="1"/>
        <v>OPEN</v>
      </c>
      <c r="P2" s="2" t="str">
        <f t="shared" si="1"/>
        <v>OPEN</v>
      </c>
      <c r="Q2" s="2" t="str">
        <f t="shared" si="1"/>
        <v>OPEN</v>
      </c>
      <c r="R2" s="2" t="str">
        <f t="shared" si="1"/>
        <v>OPEN</v>
      </c>
      <c r="S2" s="2" t="str">
        <f t="shared" si="1"/>
        <v>OPEN</v>
      </c>
      <c r="T2" s="2" t="str">
        <f t="shared" si="1"/>
        <v>OPEN</v>
      </c>
      <c r="U2" s="2" t="str">
        <f t="shared" si="1"/>
        <v>OPEN</v>
      </c>
      <c r="V2" s="2" t="str">
        <f t="shared" si="1"/>
        <v>OPEN</v>
      </c>
      <c r="W2" s="2" t="str">
        <f t="shared" si="1"/>
        <v>OPEN</v>
      </c>
      <c r="AA2" s="35">
        <v>1</v>
      </c>
      <c r="AB2" s="8">
        <f>+IF($AJ$1,AK2,TASTYOHLC!B2)</f>
        <v>607.05999999999995</v>
      </c>
      <c r="AC2" s="8">
        <f>+IF($AJ$1,AL2,TASTYOHLC!C2)</f>
        <v>607.16</v>
      </c>
      <c r="AD2" s="8">
        <f>+IF($AJ$1,AM2,TASTYOHLC!D2)</f>
        <v>602.92999999999995</v>
      </c>
      <c r="AE2" s="8">
        <f>+IF($AJ$1,AN2,TASTYOHLC!E2)</f>
        <v>605.73</v>
      </c>
      <c r="AJ2" s="36">
        <v>45932</v>
      </c>
      <c r="AK2" s="48">
        <v>607.05999999999995</v>
      </c>
      <c r="AL2" s="48">
        <v>607.16</v>
      </c>
      <c r="AM2" s="48">
        <v>602.92999999999995</v>
      </c>
      <c r="AN2" s="48">
        <v>605.73</v>
      </c>
      <c r="AO2" s="49">
        <v>56895993</v>
      </c>
    </row>
    <row r="3" spans="1:41" s="8" customFormat="1" ht="11.1" customHeight="1" thickBot="1" x14ac:dyDescent="0.3">
      <c r="A3" s="2" t="str">
        <f>+'OI-VOL'!A3</f>
        <v>OPEN</v>
      </c>
      <c r="B3" s="4">
        <f t="shared" ref="B3:P3" si="2">IF(WEEKDAY(C3-1,1)=1,C3-3,C3-1)</f>
        <v>45939</v>
      </c>
      <c r="C3" s="4">
        <f t="shared" si="2"/>
        <v>45940</v>
      </c>
      <c r="D3" s="4">
        <f t="shared" si="2"/>
        <v>45943</v>
      </c>
      <c r="E3" s="4">
        <f t="shared" si="2"/>
        <v>45944</v>
      </c>
      <c r="F3" s="4">
        <f t="shared" si="2"/>
        <v>45945</v>
      </c>
      <c r="G3" s="4">
        <f t="shared" si="2"/>
        <v>45946</v>
      </c>
      <c r="H3" s="4">
        <f t="shared" si="2"/>
        <v>45947</v>
      </c>
      <c r="I3" s="4">
        <f t="shared" si="2"/>
        <v>45950</v>
      </c>
      <c r="J3" s="4">
        <f t="shared" si="2"/>
        <v>45951</v>
      </c>
      <c r="K3" s="4">
        <f t="shared" si="2"/>
        <v>45952</v>
      </c>
      <c r="L3" s="4">
        <f t="shared" si="2"/>
        <v>45953</v>
      </c>
      <c r="M3" s="4">
        <f t="shared" si="2"/>
        <v>45954</v>
      </c>
      <c r="N3" s="4">
        <f t="shared" si="2"/>
        <v>45957</v>
      </c>
      <c r="O3" s="4">
        <f t="shared" si="2"/>
        <v>45958</v>
      </c>
      <c r="P3" s="4">
        <f t="shared" si="2"/>
        <v>45959</v>
      </c>
      <c r="Q3" s="4">
        <f>IF(WEEKDAY(R3-1,1)=1,R3-3,R3-1)</f>
        <v>45960</v>
      </c>
      <c r="R3" s="28">
        <v>45961</v>
      </c>
      <c r="S3" s="28">
        <v>45982</v>
      </c>
      <c r="T3" s="28">
        <v>45989</v>
      </c>
      <c r="U3" s="28">
        <v>46010</v>
      </c>
      <c r="V3" s="28">
        <v>46022</v>
      </c>
      <c r="W3" s="28">
        <v>46038</v>
      </c>
      <c r="AA3" s="35">
        <f>+AA2+1</f>
        <v>2</v>
      </c>
      <c r="AB3" s="8">
        <f>+IF($AJ$1,AK3,TASTYOHLC!B3)</f>
        <v>606.51</v>
      </c>
      <c r="AC3" s="8">
        <f>+IF($AJ$1,AL3,TASTYOHLC!C3)</f>
        <v>607.33000000000004</v>
      </c>
      <c r="AD3" s="8">
        <f>+IF($AJ$1,AM3,TASTYOHLC!D3)</f>
        <v>601.39</v>
      </c>
      <c r="AE3" s="8">
        <f>+IF($AJ$1,AN3,TASTYOHLC!E3)</f>
        <v>603.17999999999995</v>
      </c>
      <c r="AJ3" s="36">
        <v>45933</v>
      </c>
      <c r="AK3" s="48">
        <v>606.51</v>
      </c>
      <c r="AL3" s="48">
        <v>607.33000000000004</v>
      </c>
      <c r="AM3" s="48">
        <v>601.39</v>
      </c>
      <c r="AN3" s="48">
        <v>603.17999999999995</v>
      </c>
      <c r="AO3" s="49">
        <v>70494350</v>
      </c>
    </row>
    <row r="4" spans="1:41" ht="11.1" customHeight="1" thickBot="1" x14ac:dyDescent="0.3">
      <c r="A4" s="10">
        <f>RTD("tos.rtd",,"MARK",A3)</f>
        <v>8.01</v>
      </c>
      <c r="B4" s="5">
        <f>SUM(B5:B51)</f>
        <v>0</v>
      </c>
      <c r="C4" s="5">
        <f t="shared" ref="C4:F4" si="3">SUM(C5:C51)</f>
        <v>164741</v>
      </c>
      <c r="D4" s="5">
        <f t="shared" si="3"/>
        <v>0</v>
      </c>
      <c r="E4" s="5">
        <f t="shared" si="3"/>
        <v>0</v>
      </c>
      <c r="F4" s="5">
        <f t="shared" si="3"/>
        <v>0</v>
      </c>
      <c r="G4" s="5">
        <f>SUM(G5:G51)</f>
        <v>0</v>
      </c>
      <c r="H4" s="5">
        <f t="shared" ref="H4:W4" si="4">SUM(H5:H51)</f>
        <v>106124</v>
      </c>
      <c r="I4" s="5">
        <f t="shared" si="4"/>
        <v>0</v>
      </c>
      <c r="J4" s="5">
        <f t="shared" si="4"/>
        <v>0</v>
      </c>
      <c r="K4" s="5">
        <f t="shared" si="4"/>
        <v>0</v>
      </c>
      <c r="L4" s="5">
        <f t="shared" si="4"/>
        <v>0</v>
      </c>
      <c r="M4" s="5">
        <f t="shared" si="4"/>
        <v>118042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4"/>
        <v>250535</v>
      </c>
      <c r="S4" s="5">
        <f t="shared" si="4"/>
        <v>124471</v>
      </c>
      <c r="T4" s="5">
        <f t="shared" si="4"/>
        <v>33442</v>
      </c>
      <c r="U4" s="5">
        <f t="shared" si="4"/>
        <v>57111</v>
      </c>
      <c r="V4" s="5">
        <f t="shared" si="4"/>
        <v>0</v>
      </c>
      <c r="W4" s="5">
        <f t="shared" si="4"/>
        <v>248358</v>
      </c>
      <c r="X4" s="12"/>
      <c r="Y4" s="7">
        <f ca="1">INDEX(A5:A51,MATCH(MAX(Y5:Y51),Y5:Y51,0))</f>
        <v>10</v>
      </c>
      <c r="AA4" s="35">
        <f t="shared" ref="AA4:AA27" si="5">+AA3+1</f>
        <v>3</v>
      </c>
      <c r="AB4" s="8">
        <f>+IF($AJ$1,AK4,TASTYOHLC!B4)</f>
        <v>608.45000000000005</v>
      </c>
      <c r="AC4" s="8">
        <f>+IF($AJ$1,AL4,TASTYOHLC!C4)</f>
        <v>609.36</v>
      </c>
      <c r="AD4" s="8">
        <f>+IF($AJ$1,AM4,TASTYOHLC!D4)</f>
        <v>605.97</v>
      </c>
      <c r="AE4" s="8">
        <f>+IF($AJ$1,AN4,TASTYOHLC!E4)</f>
        <v>607.71</v>
      </c>
      <c r="AF4" s="8"/>
      <c r="AJ4" s="37">
        <v>45936</v>
      </c>
      <c r="AK4" s="50">
        <v>608.45000000000005</v>
      </c>
      <c r="AL4" s="50">
        <v>609.36</v>
      </c>
      <c r="AM4" s="50">
        <v>605.97</v>
      </c>
      <c r="AN4" s="50">
        <v>607.71</v>
      </c>
      <c r="AO4" s="51">
        <v>54623260</v>
      </c>
    </row>
    <row r="5" spans="1:41" s="19" customFormat="1" ht="11.1" customHeight="1" thickBot="1" x14ac:dyDescent="0.3">
      <c r="A5" s="23">
        <f t="shared" ref="A5:A26" si="6">+A6+$A$1</f>
        <v>19.5</v>
      </c>
      <c r="B5" s="13">
        <f>IF($A$2="PREMIUM_OI",IFERROR((100*RTD("tos.rtd",,"OPEN_INT","."&amp;B$2&amp;B$1&amp;"C"&amp;$A5)*RTD("tos.rtd",,"LAST","."&amp;B$2&amp;B$1&amp;"C"&amp;$A5)-100*RTD("tos.rtd",,"OPEN_INT","."&amp;B$2&amp;B$1&amp;"P"&amp;$A5)*RTD("tos.rtd",,"LAST","."&amp;B$2&amp;B$1&amp;"P"&amp;$A5))/1000000,0),IF($A$2="PREMIUM",IFERROR((100*RTD("tos.rtd",,"VOLUME","."&amp;B$2&amp;B$1&amp;"C"&amp;$A5)*RTD("tos.rtd",,"LAST","."&amp;B$2&amp;B$1&amp;"C"&amp;$A5)-100*RTD("tos.rtd",,"VOLUME","."&amp;B$2&amp;B$1&amp;"P"&amp;$A5)*RTD("tos.rtd",,"LAST","."&amp;B$2&amp;B$1&amp;"P"&amp;$A5))/1000000,0),IF($A$2="DEX",IFERROR((100*RTD("tos.rtd",,"OPEN_INT","."&amp;B$2&amp;B$1&amp;"C"&amp;$A5)*RTD("tos.rtd",,"DELTA","."&amp;B$2&amp;B$1&amp;"C"&amp;$A5)-100*RTD("tos.rtd",,"OPEN_INT","."&amp;B$2&amp;B$1&amp;"P"&amp;$A5)*RTD("tos.rtd",,"DELTA","."&amp;B$2&amp;B$1&amp;"P"&amp;$A5))/1000,0),IF($A$2="VEX",IFERROR(($A$4*$A$4*RTD("tos.rtd",,"VOLUME","."&amp;B$2&amp;B$1&amp;"C"&amp;$A5)*RTD("tos.rtd",,"GAMMA","."&amp;B$2&amp;B$1&amp;"C"&amp;$A5)-$A$4*$A$4*RTD("tos.rtd",,"VOLUME","."&amp;B$2&amp;B$1&amp;"P"&amp;$A5)*RTD("tos.rtd",,"GAMMA","."&amp;B$2&amp;B$1&amp;"P"&amp;$A5))/1000000,0),IF($A$2="GEX",IFERROR(($A$4*$A$4*RTD("tos.rtd",,"OPEN_INT","."&amp;B$2&amp;B$1&amp;"C"&amp;$A5)*RTD("tos.rtd",,"GAMMA","."&amp;B$2&amp;B$1&amp;"C"&amp;$A5)-$A$4*$A$4*RTD("tos.rtd",,"OPEN_INT","."&amp;B$2&amp;B$1&amp;"P"&amp;$A5)*RTD("tos.rtd",,"GAMMA","."&amp;B$2&amp;B$1&amp;"P"&amp;$A5))/1000000,0),IF($A$2="SKEW",IFERROR(VALUE(IF(RTD("tos.rtd",,"IMPL_VOL","."&amp;B$2&amp;B$1&amp;"P"&amp;$A5)="N/A",0,RTD("tos.rtd",,"IMPL_VOL","."&amp;B$2&amp;B$1&amp;"P"&amp;$A5))),0)-IFERROR(VALUE(IF(RTD("tos.rtd",,"IMPL_VOL","."&amp;B$2&amp;B$1&amp;"C"&amp;$A5)="N/A",0,RTD("tos.rtd",,"IMPL_VOL","."&amp;B$2&amp;B$1&amp;"C"&amp;$A5))),0),IF($A$2="MAXPAIN",IF($A$4&gt;$A5,($A$4-$A5)*IF(RTD("tos.rtd",,"OPEN_INT","."&amp;B$2&amp;B$1&amp;"C"&amp;$A5)="N/A",0,RTD("tos.rtd",,"OPEN_INT","."&amp;B$2&amp;B$1&amp;"C"&amp;$A5)),0)+IF($A$4&lt;$A5,($A5-$A$4)*IF(RTD("tos.rtd",,"OPEN_INT","."&amp;B$2&amp;B$1&amp;"P"&amp;$A5)="N/A",0,RTD("tos.rtd",,"OPEN_INT","."&amp;B$2&amp;B$1&amp;"P"&amp;$A5)),0),IF(RTD("tos.rtd",,$A$2,"."&amp;B$2&amp;B$1&amp;"C"&amp;$A5)="N/A",0,RTD("tos.rtd",,$A$2,"."&amp;B$2&amp;B$1&amp;"C"&amp;$A5))-IF(RTD("tos.rtd",,$A$2,"."&amp;B$2&amp;B$1&amp;"P"&amp;$A5)="N/A",0,RTD("tos.rtd",,$A$2,"."&amp;B$2&amp;B$1&amp;"P"&amp;$A5)))))))))</f>
        <v>0</v>
      </c>
      <c r="C5" s="5">
        <f>IF($A$2="PREMIUM_OI",IFERROR((100*RTD("tos.rtd",,"OPEN_INT","."&amp;C$2&amp;C$1&amp;"C"&amp;$A5)*RTD("tos.rtd",,"LAST","."&amp;C$2&amp;C$1&amp;"C"&amp;$A5)-100*RTD("tos.rtd",,"OPEN_INT","."&amp;C$2&amp;C$1&amp;"P"&amp;$A5)*RTD("tos.rtd",,"LAST","."&amp;C$2&amp;C$1&amp;"P"&amp;$A5))/1000000,0),IF($A$2="PREMIUM",IFERROR((100*RTD("tos.rtd",,"VOLUME","."&amp;C$2&amp;C$1&amp;"C"&amp;$A5)*RTD("tos.rtd",,"LAST","."&amp;C$2&amp;C$1&amp;"C"&amp;$A5)-100*RTD("tos.rtd",,"VOLUME","."&amp;C$2&amp;C$1&amp;"P"&amp;$A5)*RTD("tos.rtd",,"LAST","."&amp;C$2&amp;C$1&amp;"P"&amp;$A5))/1000000,0),IF($A$2="DEX",IFERROR((100*RTD("tos.rtd",,"OPEN_INT","."&amp;C$2&amp;C$1&amp;"C"&amp;$A5)*RTD("tos.rtd",,"DELTA","."&amp;C$2&amp;C$1&amp;"C"&amp;$A5)-100*RTD("tos.rtd",,"OPEN_INT","."&amp;C$2&amp;C$1&amp;"P"&amp;$A5)*RTD("tos.rtd",,"DELTA","."&amp;C$2&amp;C$1&amp;"P"&amp;$A5))/1000,0),IF($A$2="VEX",IFERROR(($A$4*$A$4*RTD("tos.rtd",,"VOLUME","."&amp;C$2&amp;C$1&amp;"C"&amp;$A5)*RTD("tos.rtd",,"GAMMA","."&amp;C$2&amp;C$1&amp;"C"&amp;$A5)-$A$4*$A$4*RTD("tos.rtd",,"VOLUME","."&amp;C$2&amp;C$1&amp;"P"&amp;$A5)*RTD("tos.rtd",,"GAMMA","."&amp;C$2&amp;C$1&amp;"P"&amp;$A5))/1000000,0),IF($A$2="GEX",IFERROR(($A$4*$A$4*RTD("tos.rtd",,"OPEN_INT","."&amp;C$2&amp;C$1&amp;"C"&amp;$A5)*RTD("tos.rtd",,"GAMMA","."&amp;C$2&amp;C$1&amp;"C"&amp;$A5)-$A$4*$A$4*RTD("tos.rtd",,"OPEN_INT","."&amp;C$2&amp;C$1&amp;"P"&amp;$A5)*RTD("tos.rtd",,"GAMMA","."&amp;C$2&amp;C$1&amp;"P"&amp;$A5))/1000000,0),IF($A$2="SKEW",IFERROR(VALUE(IF(RTD("tos.rtd",,"IMPL_VOL","."&amp;C$2&amp;C$1&amp;"P"&amp;$A5)="N/A",0,RTD("tos.rtd",,"IMPL_VOL","."&amp;C$2&amp;C$1&amp;"P"&amp;$A5))),0)-IFERROR(VALUE(IF(RTD("tos.rtd",,"IMPL_VOL","."&amp;C$2&amp;C$1&amp;"C"&amp;$A5)="N/A",0,RTD("tos.rtd",,"IMPL_VOL","."&amp;C$2&amp;C$1&amp;"C"&amp;$A5))),0),IF($A$2="MAXPAIN",IF($A$4&gt;$A5,($A$4-$A5)*IF(RTD("tos.rtd",,"OPEN_INT","."&amp;C$2&amp;C$1&amp;"C"&amp;$A5)="N/A",0,RTD("tos.rtd",,"OPEN_INT","."&amp;C$2&amp;C$1&amp;"C"&amp;$A5)),0)+IF($A$4&lt;$A5,($A5-$A$4)*IF(RTD("tos.rtd",,"OPEN_INT","."&amp;C$2&amp;C$1&amp;"P"&amp;$A5)="N/A",0,RTD("tos.rtd",,"OPEN_INT","."&amp;C$2&amp;C$1&amp;"P"&amp;$A5)),0),IF(RTD("tos.rtd",,$A$2,"."&amp;C$2&amp;C$1&amp;"C"&amp;$A5)="N/A",0,RTD("tos.rtd",,$A$2,"."&amp;C$2&amp;C$1&amp;"C"&amp;$A5))-IF(RTD("tos.rtd",,$A$2,"."&amp;C$2&amp;C$1&amp;"P"&amp;$A5)="N/A",0,RTD("tos.rtd",,$A$2,"."&amp;C$2&amp;C$1&amp;"P"&amp;$A5)))))))))</f>
        <v>0</v>
      </c>
      <c r="D5" s="5">
        <f>IF($A$2="PREMIUM_OI",IFERROR((100*RTD("tos.rtd",,"OPEN_INT","."&amp;D$2&amp;D$1&amp;"C"&amp;$A5)*RTD("tos.rtd",,"LAST","."&amp;D$2&amp;D$1&amp;"C"&amp;$A5)-100*RTD("tos.rtd",,"OPEN_INT","."&amp;D$2&amp;D$1&amp;"P"&amp;$A5)*RTD("tos.rtd",,"LAST","."&amp;D$2&amp;D$1&amp;"P"&amp;$A5))/1000000,0),IF($A$2="PREMIUM",IFERROR((100*RTD("tos.rtd",,"VOLUME","."&amp;D$2&amp;D$1&amp;"C"&amp;$A5)*RTD("tos.rtd",,"LAST","."&amp;D$2&amp;D$1&amp;"C"&amp;$A5)-100*RTD("tos.rtd",,"VOLUME","."&amp;D$2&amp;D$1&amp;"P"&amp;$A5)*RTD("tos.rtd",,"LAST","."&amp;D$2&amp;D$1&amp;"P"&amp;$A5))/1000000,0),IF($A$2="DEX",IFERROR((100*RTD("tos.rtd",,"OPEN_INT","."&amp;D$2&amp;D$1&amp;"C"&amp;$A5)*RTD("tos.rtd",,"DELTA","."&amp;D$2&amp;D$1&amp;"C"&amp;$A5)-100*RTD("tos.rtd",,"OPEN_INT","."&amp;D$2&amp;D$1&amp;"P"&amp;$A5)*RTD("tos.rtd",,"DELTA","."&amp;D$2&amp;D$1&amp;"P"&amp;$A5))/1000,0),IF($A$2="VEX",IFERROR(($A$4*$A$4*RTD("tos.rtd",,"VOLUME","."&amp;D$2&amp;D$1&amp;"C"&amp;$A5)*RTD("tos.rtd",,"GAMMA","."&amp;D$2&amp;D$1&amp;"C"&amp;$A5)-$A$4*$A$4*RTD("tos.rtd",,"VOLUME","."&amp;D$2&amp;D$1&amp;"P"&amp;$A5)*RTD("tos.rtd",,"GAMMA","."&amp;D$2&amp;D$1&amp;"P"&amp;$A5))/1000000,0),IF($A$2="GEX",IFERROR(($A$4*$A$4*RTD("tos.rtd",,"OPEN_INT","."&amp;D$2&amp;D$1&amp;"C"&amp;$A5)*RTD("tos.rtd",,"GAMMA","."&amp;D$2&amp;D$1&amp;"C"&amp;$A5)-$A$4*$A$4*RTD("tos.rtd",,"OPEN_INT","."&amp;D$2&amp;D$1&amp;"P"&amp;$A5)*RTD("tos.rtd",,"GAMMA","."&amp;D$2&amp;D$1&amp;"P"&amp;$A5))/1000000,0),IF($A$2="SKEW",IFERROR(VALUE(IF(RTD("tos.rtd",,"IMPL_VOL","."&amp;D$2&amp;D$1&amp;"P"&amp;$A5)="N/A",0,RTD("tos.rtd",,"IMPL_VOL","."&amp;D$2&amp;D$1&amp;"P"&amp;$A5))),0)-IFERROR(VALUE(IF(RTD("tos.rtd",,"IMPL_VOL","."&amp;D$2&amp;D$1&amp;"C"&amp;$A5)="N/A",0,RTD("tos.rtd",,"IMPL_VOL","."&amp;D$2&amp;D$1&amp;"C"&amp;$A5))),0),IF($A$2="MAXPAIN",IF($A$4&gt;$A5,($A$4-$A5)*IF(RTD("tos.rtd",,"OPEN_INT","."&amp;D$2&amp;D$1&amp;"C"&amp;$A5)="N/A",0,RTD("tos.rtd",,"OPEN_INT","."&amp;D$2&amp;D$1&amp;"C"&amp;$A5)),0)+IF($A$4&lt;$A5,($A5-$A$4)*IF(RTD("tos.rtd",,"OPEN_INT","."&amp;D$2&amp;D$1&amp;"P"&amp;$A5)="N/A",0,RTD("tos.rtd",,"OPEN_INT","."&amp;D$2&amp;D$1&amp;"P"&amp;$A5)),0),IF(RTD("tos.rtd",,$A$2,"."&amp;D$2&amp;D$1&amp;"C"&amp;$A5)="N/A",0,RTD("tos.rtd",,$A$2,"."&amp;D$2&amp;D$1&amp;"C"&amp;$A5))-IF(RTD("tos.rtd",,$A$2,"."&amp;D$2&amp;D$1&amp;"P"&amp;$A5)="N/A",0,RTD("tos.rtd",,$A$2,"."&amp;D$2&amp;D$1&amp;"P"&amp;$A5)))))))))</f>
        <v>0</v>
      </c>
      <c r="E5" s="5">
        <f>IF($A$2="PREMIUM_OI",IFERROR((100*RTD("tos.rtd",,"OPEN_INT","."&amp;E$2&amp;E$1&amp;"C"&amp;$A5)*RTD("tos.rtd",,"LAST","."&amp;E$2&amp;E$1&amp;"C"&amp;$A5)-100*RTD("tos.rtd",,"OPEN_INT","."&amp;E$2&amp;E$1&amp;"P"&amp;$A5)*RTD("tos.rtd",,"LAST","."&amp;E$2&amp;E$1&amp;"P"&amp;$A5))/1000000,0),IF($A$2="PREMIUM",IFERROR((100*RTD("tos.rtd",,"VOLUME","."&amp;E$2&amp;E$1&amp;"C"&amp;$A5)*RTD("tos.rtd",,"LAST","."&amp;E$2&amp;E$1&amp;"C"&amp;$A5)-100*RTD("tos.rtd",,"VOLUME","."&amp;E$2&amp;E$1&amp;"P"&amp;$A5)*RTD("tos.rtd",,"LAST","."&amp;E$2&amp;E$1&amp;"P"&amp;$A5))/1000000,0),IF($A$2="DEX",IFERROR((100*RTD("tos.rtd",,"OPEN_INT","."&amp;E$2&amp;E$1&amp;"C"&amp;$A5)*RTD("tos.rtd",,"DELTA","."&amp;E$2&amp;E$1&amp;"C"&amp;$A5)-100*RTD("tos.rtd",,"OPEN_INT","."&amp;E$2&amp;E$1&amp;"P"&amp;$A5)*RTD("tos.rtd",,"DELTA","."&amp;E$2&amp;E$1&amp;"P"&amp;$A5))/1000,0),IF($A$2="VEX",IFERROR(($A$4*$A$4*RTD("tos.rtd",,"VOLUME","."&amp;E$2&amp;E$1&amp;"C"&amp;$A5)*RTD("tos.rtd",,"GAMMA","."&amp;E$2&amp;E$1&amp;"C"&amp;$A5)-$A$4*$A$4*RTD("tos.rtd",,"VOLUME","."&amp;E$2&amp;E$1&amp;"P"&amp;$A5)*RTD("tos.rtd",,"GAMMA","."&amp;E$2&amp;E$1&amp;"P"&amp;$A5))/1000000,0),IF($A$2="GEX",IFERROR(($A$4*$A$4*RTD("tos.rtd",,"OPEN_INT","."&amp;E$2&amp;E$1&amp;"C"&amp;$A5)*RTD("tos.rtd",,"GAMMA","."&amp;E$2&amp;E$1&amp;"C"&amp;$A5)-$A$4*$A$4*RTD("tos.rtd",,"OPEN_INT","."&amp;E$2&amp;E$1&amp;"P"&amp;$A5)*RTD("tos.rtd",,"GAMMA","."&amp;E$2&amp;E$1&amp;"P"&amp;$A5))/1000000,0),IF($A$2="SKEW",IFERROR(VALUE(IF(RTD("tos.rtd",,"IMPL_VOL","."&amp;E$2&amp;E$1&amp;"P"&amp;$A5)="N/A",0,RTD("tos.rtd",,"IMPL_VOL","."&amp;E$2&amp;E$1&amp;"P"&amp;$A5))),0)-IFERROR(VALUE(IF(RTD("tos.rtd",,"IMPL_VOL","."&amp;E$2&amp;E$1&amp;"C"&amp;$A5)="N/A",0,RTD("tos.rtd",,"IMPL_VOL","."&amp;E$2&amp;E$1&amp;"C"&amp;$A5))),0),IF($A$2="MAXPAIN",IF($A$4&gt;$A5,($A$4-$A5)*IF(RTD("tos.rtd",,"OPEN_INT","."&amp;E$2&amp;E$1&amp;"C"&amp;$A5)="N/A",0,RTD("tos.rtd",,"OPEN_INT","."&amp;E$2&amp;E$1&amp;"C"&amp;$A5)),0)+IF($A$4&lt;$A5,($A5-$A$4)*IF(RTD("tos.rtd",,"OPEN_INT","."&amp;E$2&amp;E$1&amp;"P"&amp;$A5)="N/A",0,RTD("tos.rtd",,"OPEN_INT","."&amp;E$2&amp;E$1&amp;"P"&amp;$A5)),0),IF(RTD("tos.rtd",,$A$2,"."&amp;E$2&amp;E$1&amp;"C"&amp;$A5)="N/A",0,RTD("tos.rtd",,$A$2,"."&amp;E$2&amp;E$1&amp;"C"&amp;$A5))-IF(RTD("tos.rtd",,$A$2,"."&amp;E$2&amp;E$1&amp;"P"&amp;$A5)="N/A",0,RTD("tos.rtd",,$A$2,"."&amp;E$2&amp;E$1&amp;"P"&amp;$A5)))))))))</f>
        <v>0</v>
      </c>
      <c r="F5" s="5">
        <f>IF($A$2="PREMIUM_OI",IFERROR((100*RTD("tos.rtd",,"OPEN_INT","."&amp;F$2&amp;F$1&amp;"C"&amp;$A5)*RTD("tos.rtd",,"LAST","."&amp;F$2&amp;F$1&amp;"C"&amp;$A5)-100*RTD("tos.rtd",,"OPEN_INT","."&amp;F$2&amp;F$1&amp;"P"&amp;$A5)*RTD("tos.rtd",,"LAST","."&amp;F$2&amp;F$1&amp;"P"&amp;$A5))/1000000,0),IF($A$2="PREMIUM",IFERROR((100*RTD("tos.rtd",,"VOLUME","."&amp;F$2&amp;F$1&amp;"C"&amp;$A5)*RTD("tos.rtd",,"LAST","."&amp;F$2&amp;F$1&amp;"C"&amp;$A5)-100*RTD("tos.rtd",,"VOLUME","."&amp;F$2&amp;F$1&amp;"P"&amp;$A5)*RTD("tos.rtd",,"LAST","."&amp;F$2&amp;F$1&amp;"P"&amp;$A5))/1000000,0),IF($A$2="DEX",IFERROR((100*RTD("tos.rtd",,"OPEN_INT","."&amp;F$2&amp;F$1&amp;"C"&amp;$A5)*RTD("tos.rtd",,"DELTA","."&amp;F$2&amp;F$1&amp;"C"&amp;$A5)-100*RTD("tos.rtd",,"OPEN_INT","."&amp;F$2&amp;F$1&amp;"P"&amp;$A5)*RTD("tos.rtd",,"DELTA","."&amp;F$2&amp;F$1&amp;"P"&amp;$A5))/1000,0),IF($A$2="VEX",IFERROR(($A$4*$A$4*RTD("tos.rtd",,"VOLUME","."&amp;F$2&amp;F$1&amp;"C"&amp;$A5)*RTD("tos.rtd",,"GAMMA","."&amp;F$2&amp;F$1&amp;"C"&amp;$A5)-$A$4*$A$4*RTD("tos.rtd",,"VOLUME","."&amp;F$2&amp;F$1&amp;"P"&amp;$A5)*RTD("tos.rtd",,"GAMMA","."&amp;F$2&amp;F$1&amp;"P"&amp;$A5))/1000000,0),IF($A$2="GEX",IFERROR(($A$4*$A$4*RTD("tos.rtd",,"OPEN_INT","."&amp;F$2&amp;F$1&amp;"C"&amp;$A5)*RTD("tos.rtd",,"GAMMA","."&amp;F$2&amp;F$1&amp;"C"&amp;$A5)-$A$4*$A$4*RTD("tos.rtd",,"OPEN_INT","."&amp;F$2&amp;F$1&amp;"P"&amp;$A5)*RTD("tos.rtd",,"GAMMA","."&amp;F$2&amp;F$1&amp;"P"&amp;$A5))/1000000,0),IF($A$2="SKEW",IFERROR(VALUE(IF(RTD("tos.rtd",,"IMPL_VOL","."&amp;F$2&amp;F$1&amp;"P"&amp;$A5)="N/A",0,RTD("tos.rtd",,"IMPL_VOL","."&amp;F$2&amp;F$1&amp;"P"&amp;$A5))),0)-IFERROR(VALUE(IF(RTD("tos.rtd",,"IMPL_VOL","."&amp;F$2&amp;F$1&amp;"C"&amp;$A5)="N/A",0,RTD("tos.rtd",,"IMPL_VOL","."&amp;F$2&amp;F$1&amp;"C"&amp;$A5))),0),IF($A$2="MAXPAIN",IF($A$4&gt;$A5,($A$4-$A5)*IF(RTD("tos.rtd",,"OPEN_INT","."&amp;F$2&amp;F$1&amp;"C"&amp;$A5)="N/A",0,RTD("tos.rtd",,"OPEN_INT","."&amp;F$2&amp;F$1&amp;"C"&amp;$A5)),0)+IF($A$4&lt;$A5,($A5-$A$4)*IF(RTD("tos.rtd",,"OPEN_INT","."&amp;F$2&amp;F$1&amp;"P"&amp;$A5)="N/A",0,RTD("tos.rtd",,"OPEN_INT","."&amp;F$2&amp;F$1&amp;"P"&amp;$A5)),0),IF(RTD("tos.rtd",,$A$2,"."&amp;F$2&amp;F$1&amp;"C"&amp;$A5)="N/A",0,RTD("tos.rtd",,$A$2,"."&amp;F$2&amp;F$1&amp;"C"&amp;$A5))-IF(RTD("tos.rtd",,$A$2,"."&amp;F$2&amp;F$1&amp;"P"&amp;$A5)="N/A",0,RTD("tos.rtd",,$A$2,"."&amp;F$2&amp;F$1&amp;"P"&amp;$A5)))))))))</f>
        <v>0</v>
      </c>
      <c r="G5" s="13">
        <f>IF($A$2="PREMIUM_OI",IFERROR((100*RTD("tos.rtd",,"OPEN_INT","."&amp;G$2&amp;G$1&amp;"C"&amp;$A5)*RTD("tos.rtd",,"LAST","."&amp;G$2&amp;G$1&amp;"C"&amp;$A5)-100*RTD("tos.rtd",,"OPEN_INT","."&amp;G$2&amp;G$1&amp;"P"&amp;$A5)*RTD("tos.rtd",,"LAST","."&amp;G$2&amp;G$1&amp;"P"&amp;$A5))/1000000,0),IF($A$2="PREMIUM",IFERROR((100*RTD("tos.rtd",,"VOLUME","."&amp;G$2&amp;G$1&amp;"C"&amp;$A5)*RTD("tos.rtd",,"LAST","."&amp;G$2&amp;G$1&amp;"C"&amp;$A5)-100*RTD("tos.rtd",,"VOLUME","."&amp;G$2&amp;G$1&amp;"P"&amp;$A5)*RTD("tos.rtd",,"LAST","."&amp;G$2&amp;G$1&amp;"P"&amp;$A5))/1000000,0),IF($A$2="DEX",IFERROR((100*RTD("tos.rtd",,"OPEN_INT","."&amp;G$2&amp;G$1&amp;"C"&amp;$A5)*RTD("tos.rtd",,"DELTA","."&amp;G$2&amp;G$1&amp;"C"&amp;$A5)-100*RTD("tos.rtd",,"OPEN_INT","."&amp;G$2&amp;G$1&amp;"P"&amp;$A5)*RTD("tos.rtd",,"DELTA","."&amp;G$2&amp;G$1&amp;"P"&amp;$A5))/1000,0),IF($A$2="VEX",IFERROR(($A$4*$A$4*RTD("tos.rtd",,"VOLUME","."&amp;G$2&amp;G$1&amp;"C"&amp;$A5)*RTD("tos.rtd",,"GAMMA","."&amp;G$2&amp;G$1&amp;"C"&amp;$A5)-$A$4*$A$4*RTD("tos.rtd",,"VOLUME","."&amp;G$2&amp;G$1&amp;"P"&amp;$A5)*RTD("tos.rtd",,"GAMMA","."&amp;G$2&amp;G$1&amp;"P"&amp;$A5))/1000000,0),IF($A$2="GEX",IFERROR(($A$4*$A$4*RTD("tos.rtd",,"OPEN_INT","."&amp;G$2&amp;G$1&amp;"C"&amp;$A5)*RTD("tos.rtd",,"GAMMA","."&amp;G$2&amp;G$1&amp;"C"&amp;$A5)-$A$4*$A$4*RTD("tos.rtd",,"OPEN_INT","."&amp;G$2&amp;G$1&amp;"P"&amp;$A5)*RTD("tos.rtd",,"GAMMA","."&amp;G$2&amp;G$1&amp;"P"&amp;$A5))/1000000,0),IF($A$2="SKEW",IFERROR(VALUE(IF(RTD("tos.rtd",,"IMPL_VOL","."&amp;G$2&amp;G$1&amp;"P"&amp;$A5)="N/A",0,RTD("tos.rtd",,"IMPL_VOL","."&amp;G$2&amp;G$1&amp;"P"&amp;$A5))),0)-IFERROR(VALUE(IF(RTD("tos.rtd",,"IMPL_VOL","."&amp;G$2&amp;G$1&amp;"C"&amp;$A5)="N/A",0,RTD("tos.rtd",,"IMPL_VOL","."&amp;G$2&amp;G$1&amp;"C"&amp;$A5))),0),IF($A$2="MAXPAIN",IF($A$4&gt;$A5,($A$4-$A5)*IF(RTD("tos.rtd",,"OPEN_INT","."&amp;G$2&amp;G$1&amp;"C"&amp;$A5)="N/A",0,RTD("tos.rtd",,"OPEN_INT","."&amp;G$2&amp;G$1&amp;"C"&amp;$A5)),0)+IF($A$4&lt;$A5,($A5-$A$4)*IF(RTD("tos.rtd",,"OPEN_INT","."&amp;G$2&amp;G$1&amp;"P"&amp;$A5)="N/A",0,RTD("tos.rtd",,"OPEN_INT","."&amp;G$2&amp;G$1&amp;"P"&amp;$A5)),0),IF(RTD("tos.rtd",,$A$2,"."&amp;G$2&amp;G$1&amp;"C"&amp;$A5)="N/A",0,RTD("tos.rtd",,$A$2,"."&amp;G$2&amp;G$1&amp;"C"&amp;$A5))-IF(RTD("tos.rtd",,$A$2,"."&amp;G$2&amp;G$1&amp;"P"&amp;$A5)="N/A",0,RTD("tos.rtd",,$A$2,"."&amp;G$2&amp;G$1&amp;"P"&amp;$A5)))))))))</f>
        <v>0</v>
      </c>
      <c r="H5" s="5">
        <f>IF($A$2="PREMIUM_OI",IFERROR((100*RTD("tos.rtd",,"OPEN_INT","."&amp;H$2&amp;H$1&amp;"C"&amp;$A5)*RTD("tos.rtd",,"LAST","."&amp;H$2&amp;H$1&amp;"C"&amp;$A5)-100*RTD("tos.rtd",,"OPEN_INT","."&amp;H$2&amp;H$1&amp;"P"&amp;$A5)*RTD("tos.rtd",,"LAST","."&amp;H$2&amp;H$1&amp;"P"&amp;$A5))/1000000,0),IF($A$2="PREMIUM",IFERROR((100*RTD("tos.rtd",,"VOLUME","."&amp;H$2&amp;H$1&amp;"C"&amp;$A5)*RTD("tos.rtd",,"LAST","."&amp;H$2&amp;H$1&amp;"C"&amp;$A5)-100*RTD("tos.rtd",,"VOLUME","."&amp;H$2&amp;H$1&amp;"P"&amp;$A5)*RTD("tos.rtd",,"LAST","."&amp;H$2&amp;H$1&amp;"P"&amp;$A5))/1000000,0),IF($A$2="DEX",IFERROR((100*RTD("tos.rtd",,"OPEN_INT","."&amp;H$2&amp;H$1&amp;"C"&amp;$A5)*RTD("tos.rtd",,"DELTA","."&amp;H$2&amp;H$1&amp;"C"&amp;$A5)-100*RTD("tos.rtd",,"OPEN_INT","."&amp;H$2&amp;H$1&amp;"P"&amp;$A5)*RTD("tos.rtd",,"DELTA","."&amp;H$2&amp;H$1&amp;"P"&amp;$A5))/1000,0),IF($A$2="VEX",IFERROR(($A$4*$A$4*RTD("tos.rtd",,"VOLUME","."&amp;H$2&amp;H$1&amp;"C"&amp;$A5)*RTD("tos.rtd",,"GAMMA","."&amp;H$2&amp;H$1&amp;"C"&amp;$A5)-$A$4*$A$4*RTD("tos.rtd",,"VOLUME","."&amp;H$2&amp;H$1&amp;"P"&amp;$A5)*RTD("tos.rtd",,"GAMMA","."&amp;H$2&amp;H$1&amp;"P"&amp;$A5))/1000000,0),IF($A$2="GEX",IFERROR(($A$4*$A$4*RTD("tos.rtd",,"OPEN_INT","."&amp;H$2&amp;H$1&amp;"C"&amp;$A5)*RTD("tos.rtd",,"GAMMA","."&amp;H$2&amp;H$1&amp;"C"&amp;$A5)-$A$4*$A$4*RTD("tos.rtd",,"OPEN_INT","."&amp;H$2&amp;H$1&amp;"P"&amp;$A5)*RTD("tos.rtd",,"GAMMA","."&amp;H$2&amp;H$1&amp;"P"&amp;$A5))/1000000,0),IF($A$2="SKEW",IFERROR(VALUE(IF(RTD("tos.rtd",,"IMPL_VOL","."&amp;H$2&amp;H$1&amp;"P"&amp;$A5)="N/A",0,RTD("tos.rtd",,"IMPL_VOL","."&amp;H$2&amp;H$1&amp;"P"&amp;$A5))),0)-IFERROR(VALUE(IF(RTD("tos.rtd",,"IMPL_VOL","."&amp;H$2&amp;H$1&amp;"C"&amp;$A5)="N/A",0,RTD("tos.rtd",,"IMPL_VOL","."&amp;H$2&amp;H$1&amp;"C"&amp;$A5))),0),IF($A$2="MAXPAIN",IF($A$4&gt;$A5,($A$4-$A5)*IF(RTD("tos.rtd",,"OPEN_INT","."&amp;H$2&amp;H$1&amp;"C"&amp;$A5)="N/A",0,RTD("tos.rtd",,"OPEN_INT","."&amp;H$2&amp;H$1&amp;"C"&amp;$A5)),0)+IF($A$4&lt;$A5,($A5-$A$4)*IF(RTD("tos.rtd",,"OPEN_INT","."&amp;H$2&amp;H$1&amp;"P"&amp;$A5)="N/A",0,RTD("tos.rtd",,"OPEN_INT","."&amp;H$2&amp;H$1&amp;"P"&amp;$A5)),0),IF(RTD("tos.rtd",,$A$2,"."&amp;H$2&amp;H$1&amp;"C"&amp;$A5)="N/A",0,RTD("tos.rtd",,$A$2,"."&amp;H$2&amp;H$1&amp;"C"&amp;$A5))-IF(RTD("tos.rtd",,$A$2,"."&amp;H$2&amp;H$1&amp;"P"&amp;$A5)="N/A",0,RTD("tos.rtd",,$A$2,"."&amp;H$2&amp;H$1&amp;"P"&amp;$A5)))))))))</f>
        <v>0</v>
      </c>
      <c r="I5" s="5">
        <f>IF($A$2="PREMIUM_OI",IFERROR((100*RTD("tos.rtd",,"OPEN_INT","."&amp;I$2&amp;I$1&amp;"C"&amp;$A5)*RTD("tos.rtd",,"LAST","."&amp;I$2&amp;I$1&amp;"C"&amp;$A5)-100*RTD("tos.rtd",,"OPEN_INT","."&amp;I$2&amp;I$1&amp;"P"&amp;$A5)*RTD("tos.rtd",,"LAST","."&amp;I$2&amp;I$1&amp;"P"&amp;$A5))/1000000,0),IF($A$2="PREMIUM",IFERROR((100*RTD("tos.rtd",,"VOLUME","."&amp;I$2&amp;I$1&amp;"C"&amp;$A5)*RTD("tos.rtd",,"LAST","."&amp;I$2&amp;I$1&amp;"C"&amp;$A5)-100*RTD("tos.rtd",,"VOLUME","."&amp;I$2&amp;I$1&amp;"P"&amp;$A5)*RTD("tos.rtd",,"LAST","."&amp;I$2&amp;I$1&amp;"P"&amp;$A5))/1000000,0),IF($A$2="DEX",IFERROR((100*RTD("tos.rtd",,"OPEN_INT","."&amp;I$2&amp;I$1&amp;"C"&amp;$A5)*RTD("tos.rtd",,"DELTA","."&amp;I$2&amp;I$1&amp;"C"&amp;$A5)-100*RTD("tos.rtd",,"OPEN_INT","."&amp;I$2&amp;I$1&amp;"P"&amp;$A5)*RTD("tos.rtd",,"DELTA","."&amp;I$2&amp;I$1&amp;"P"&amp;$A5))/1000,0),IF($A$2="VEX",IFERROR(($A$4*$A$4*RTD("tos.rtd",,"VOLUME","."&amp;I$2&amp;I$1&amp;"C"&amp;$A5)*RTD("tos.rtd",,"GAMMA","."&amp;I$2&amp;I$1&amp;"C"&amp;$A5)-$A$4*$A$4*RTD("tos.rtd",,"VOLUME","."&amp;I$2&amp;I$1&amp;"P"&amp;$A5)*RTD("tos.rtd",,"GAMMA","."&amp;I$2&amp;I$1&amp;"P"&amp;$A5))/1000000,0),IF($A$2="GEX",IFERROR(($A$4*$A$4*RTD("tos.rtd",,"OPEN_INT","."&amp;I$2&amp;I$1&amp;"C"&amp;$A5)*RTD("tos.rtd",,"GAMMA","."&amp;I$2&amp;I$1&amp;"C"&amp;$A5)-$A$4*$A$4*RTD("tos.rtd",,"OPEN_INT","."&amp;I$2&amp;I$1&amp;"P"&amp;$A5)*RTD("tos.rtd",,"GAMMA","."&amp;I$2&amp;I$1&amp;"P"&amp;$A5))/1000000,0),IF($A$2="SKEW",IFERROR(VALUE(IF(RTD("tos.rtd",,"IMPL_VOL","."&amp;I$2&amp;I$1&amp;"P"&amp;$A5)="N/A",0,RTD("tos.rtd",,"IMPL_VOL","."&amp;I$2&amp;I$1&amp;"P"&amp;$A5))),0)-IFERROR(VALUE(IF(RTD("tos.rtd",,"IMPL_VOL","."&amp;I$2&amp;I$1&amp;"C"&amp;$A5)="N/A",0,RTD("tos.rtd",,"IMPL_VOL","."&amp;I$2&amp;I$1&amp;"C"&amp;$A5))),0),IF($A$2="MAXPAIN",IF($A$4&gt;$A5,($A$4-$A5)*IF(RTD("tos.rtd",,"OPEN_INT","."&amp;I$2&amp;I$1&amp;"C"&amp;$A5)="N/A",0,RTD("tos.rtd",,"OPEN_INT","."&amp;I$2&amp;I$1&amp;"C"&amp;$A5)),0)+IF($A$4&lt;$A5,($A5-$A$4)*IF(RTD("tos.rtd",,"OPEN_INT","."&amp;I$2&amp;I$1&amp;"P"&amp;$A5)="N/A",0,RTD("tos.rtd",,"OPEN_INT","."&amp;I$2&amp;I$1&amp;"P"&amp;$A5)),0),IF(RTD("tos.rtd",,$A$2,"."&amp;I$2&amp;I$1&amp;"C"&amp;$A5)="N/A",0,RTD("tos.rtd",,$A$2,"."&amp;I$2&amp;I$1&amp;"C"&amp;$A5))-IF(RTD("tos.rtd",,$A$2,"."&amp;I$2&amp;I$1&amp;"P"&amp;$A5)="N/A",0,RTD("tos.rtd",,$A$2,"."&amp;I$2&amp;I$1&amp;"P"&amp;$A5)))))))))</f>
        <v>0</v>
      </c>
      <c r="J5" s="5">
        <f>IF($A$2="PREMIUM_OI",IFERROR((100*RTD("tos.rtd",,"OPEN_INT","."&amp;J$2&amp;J$1&amp;"C"&amp;$A5)*RTD("tos.rtd",,"LAST","."&amp;J$2&amp;J$1&amp;"C"&amp;$A5)-100*RTD("tos.rtd",,"OPEN_INT","."&amp;J$2&amp;J$1&amp;"P"&amp;$A5)*RTD("tos.rtd",,"LAST","."&amp;J$2&amp;J$1&amp;"P"&amp;$A5))/1000000,0),IF($A$2="PREMIUM",IFERROR((100*RTD("tos.rtd",,"VOLUME","."&amp;J$2&amp;J$1&amp;"C"&amp;$A5)*RTD("tos.rtd",,"LAST","."&amp;J$2&amp;J$1&amp;"C"&amp;$A5)-100*RTD("tos.rtd",,"VOLUME","."&amp;J$2&amp;J$1&amp;"P"&amp;$A5)*RTD("tos.rtd",,"LAST","."&amp;J$2&amp;J$1&amp;"P"&amp;$A5))/1000000,0),IF($A$2="DEX",IFERROR((100*RTD("tos.rtd",,"OPEN_INT","."&amp;J$2&amp;J$1&amp;"C"&amp;$A5)*RTD("tos.rtd",,"DELTA","."&amp;J$2&amp;J$1&amp;"C"&amp;$A5)-100*RTD("tos.rtd",,"OPEN_INT","."&amp;J$2&amp;J$1&amp;"P"&amp;$A5)*RTD("tos.rtd",,"DELTA","."&amp;J$2&amp;J$1&amp;"P"&amp;$A5))/1000,0),IF($A$2="VEX",IFERROR(($A$4*$A$4*RTD("tos.rtd",,"VOLUME","."&amp;J$2&amp;J$1&amp;"C"&amp;$A5)*RTD("tos.rtd",,"GAMMA","."&amp;J$2&amp;J$1&amp;"C"&amp;$A5)-$A$4*$A$4*RTD("tos.rtd",,"VOLUME","."&amp;J$2&amp;J$1&amp;"P"&amp;$A5)*RTD("tos.rtd",,"GAMMA","."&amp;J$2&amp;J$1&amp;"P"&amp;$A5))/1000000,0),IF($A$2="GEX",IFERROR(($A$4*$A$4*RTD("tos.rtd",,"OPEN_INT","."&amp;J$2&amp;J$1&amp;"C"&amp;$A5)*RTD("tos.rtd",,"GAMMA","."&amp;J$2&amp;J$1&amp;"C"&amp;$A5)-$A$4*$A$4*RTD("tos.rtd",,"OPEN_INT","."&amp;J$2&amp;J$1&amp;"P"&amp;$A5)*RTD("tos.rtd",,"GAMMA","."&amp;J$2&amp;J$1&amp;"P"&amp;$A5))/1000000,0),IF($A$2="SKEW",IFERROR(VALUE(IF(RTD("tos.rtd",,"IMPL_VOL","."&amp;J$2&amp;J$1&amp;"P"&amp;$A5)="N/A",0,RTD("tos.rtd",,"IMPL_VOL","."&amp;J$2&amp;J$1&amp;"P"&amp;$A5))),0)-IFERROR(VALUE(IF(RTD("tos.rtd",,"IMPL_VOL","."&amp;J$2&amp;J$1&amp;"C"&amp;$A5)="N/A",0,RTD("tos.rtd",,"IMPL_VOL","."&amp;J$2&amp;J$1&amp;"C"&amp;$A5))),0),IF($A$2="MAXPAIN",IF($A$4&gt;$A5,($A$4-$A5)*IF(RTD("tos.rtd",,"OPEN_INT","."&amp;J$2&amp;J$1&amp;"C"&amp;$A5)="N/A",0,RTD("tos.rtd",,"OPEN_INT","."&amp;J$2&amp;J$1&amp;"C"&amp;$A5)),0)+IF($A$4&lt;$A5,($A5-$A$4)*IF(RTD("tos.rtd",,"OPEN_INT","."&amp;J$2&amp;J$1&amp;"P"&amp;$A5)="N/A",0,RTD("tos.rtd",,"OPEN_INT","."&amp;J$2&amp;J$1&amp;"P"&amp;$A5)),0),IF(RTD("tos.rtd",,$A$2,"."&amp;J$2&amp;J$1&amp;"C"&amp;$A5)="N/A",0,RTD("tos.rtd",,$A$2,"."&amp;J$2&amp;J$1&amp;"C"&amp;$A5))-IF(RTD("tos.rtd",,$A$2,"."&amp;J$2&amp;J$1&amp;"P"&amp;$A5)="N/A",0,RTD("tos.rtd",,$A$2,"."&amp;J$2&amp;J$1&amp;"P"&amp;$A5)))))))))</f>
        <v>0</v>
      </c>
      <c r="K5" s="5">
        <f>IF($A$2="PREMIUM_OI",IFERROR((100*RTD("tos.rtd",,"OPEN_INT","."&amp;K$2&amp;K$1&amp;"C"&amp;$A5)*RTD("tos.rtd",,"LAST","."&amp;K$2&amp;K$1&amp;"C"&amp;$A5)-100*RTD("tos.rtd",,"OPEN_INT","."&amp;K$2&amp;K$1&amp;"P"&amp;$A5)*RTD("tos.rtd",,"LAST","."&amp;K$2&amp;K$1&amp;"P"&amp;$A5))/1000000,0),IF($A$2="PREMIUM",IFERROR((100*RTD("tos.rtd",,"VOLUME","."&amp;K$2&amp;K$1&amp;"C"&amp;$A5)*RTD("tos.rtd",,"LAST","."&amp;K$2&amp;K$1&amp;"C"&amp;$A5)-100*RTD("tos.rtd",,"VOLUME","."&amp;K$2&amp;K$1&amp;"P"&amp;$A5)*RTD("tos.rtd",,"LAST","."&amp;K$2&amp;K$1&amp;"P"&amp;$A5))/1000000,0),IF($A$2="DEX",IFERROR((100*RTD("tos.rtd",,"OPEN_INT","."&amp;K$2&amp;K$1&amp;"C"&amp;$A5)*RTD("tos.rtd",,"DELTA","."&amp;K$2&amp;K$1&amp;"C"&amp;$A5)-100*RTD("tos.rtd",,"OPEN_INT","."&amp;K$2&amp;K$1&amp;"P"&amp;$A5)*RTD("tos.rtd",,"DELTA","."&amp;K$2&amp;K$1&amp;"P"&amp;$A5))/1000,0),IF($A$2="VEX",IFERROR(($A$4*$A$4*RTD("tos.rtd",,"VOLUME","."&amp;K$2&amp;K$1&amp;"C"&amp;$A5)*RTD("tos.rtd",,"GAMMA","."&amp;K$2&amp;K$1&amp;"C"&amp;$A5)-$A$4*$A$4*RTD("tos.rtd",,"VOLUME","."&amp;K$2&amp;K$1&amp;"P"&amp;$A5)*RTD("tos.rtd",,"GAMMA","."&amp;K$2&amp;K$1&amp;"P"&amp;$A5))/1000000,0),IF($A$2="GEX",IFERROR(($A$4*$A$4*RTD("tos.rtd",,"OPEN_INT","."&amp;K$2&amp;K$1&amp;"C"&amp;$A5)*RTD("tos.rtd",,"GAMMA","."&amp;K$2&amp;K$1&amp;"C"&amp;$A5)-$A$4*$A$4*RTD("tos.rtd",,"OPEN_INT","."&amp;K$2&amp;K$1&amp;"P"&amp;$A5)*RTD("tos.rtd",,"GAMMA","."&amp;K$2&amp;K$1&amp;"P"&amp;$A5))/1000000,0),IF($A$2="SKEW",IFERROR(VALUE(IF(RTD("tos.rtd",,"IMPL_VOL","."&amp;K$2&amp;K$1&amp;"P"&amp;$A5)="N/A",0,RTD("tos.rtd",,"IMPL_VOL","."&amp;K$2&amp;K$1&amp;"P"&amp;$A5))),0)-IFERROR(VALUE(IF(RTD("tos.rtd",,"IMPL_VOL","."&amp;K$2&amp;K$1&amp;"C"&amp;$A5)="N/A",0,RTD("tos.rtd",,"IMPL_VOL","."&amp;K$2&amp;K$1&amp;"C"&amp;$A5))),0),IF($A$2="MAXPAIN",IF($A$4&gt;$A5,($A$4-$A5)*IF(RTD("tos.rtd",,"OPEN_INT","."&amp;K$2&amp;K$1&amp;"C"&amp;$A5)="N/A",0,RTD("tos.rtd",,"OPEN_INT","."&amp;K$2&amp;K$1&amp;"C"&amp;$A5)),0)+IF($A$4&lt;$A5,($A5-$A$4)*IF(RTD("tos.rtd",,"OPEN_INT","."&amp;K$2&amp;K$1&amp;"P"&amp;$A5)="N/A",0,RTD("tos.rtd",,"OPEN_INT","."&amp;K$2&amp;K$1&amp;"P"&amp;$A5)),0),IF(RTD("tos.rtd",,$A$2,"."&amp;K$2&amp;K$1&amp;"C"&amp;$A5)="N/A",0,RTD("tos.rtd",,$A$2,"."&amp;K$2&amp;K$1&amp;"C"&amp;$A5))-IF(RTD("tos.rtd",,$A$2,"."&amp;K$2&amp;K$1&amp;"P"&amp;$A5)="N/A",0,RTD("tos.rtd",,$A$2,"."&amp;K$2&amp;K$1&amp;"P"&amp;$A5)))))))))</f>
        <v>0</v>
      </c>
      <c r="L5" s="5">
        <f>IF($A$2="PREMIUM_OI",IFERROR((100*RTD("tos.rtd",,"OPEN_INT","."&amp;L$2&amp;L$1&amp;"C"&amp;$A5)*RTD("tos.rtd",,"LAST","."&amp;L$2&amp;L$1&amp;"C"&amp;$A5)-100*RTD("tos.rtd",,"OPEN_INT","."&amp;L$2&amp;L$1&amp;"P"&amp;$A5)*RTD("tos.rtd",,"LAST","."&amp;L$2&amp;L$1&amp;"P"&amp;$A5))/1000000,0),IF($A$2="PREMIUM",IFERROR((100*RTD("tos.rtd",,"VOLUME","."&amp;L$2&amp;L$1&amp;"C"&amp;$A5)*RTD("tos.rtd",,"LAST","."&amp;L$2&amp;L$1&amp;"C"&amp;$A5)-100*RTD("tos.rtd",,"VOLUME","."&amp;L$2&amp;L$1&amp;"P"&amp;$A5)*RTD("tos.rtd",,"LAST","."&amp;L$2&amp;L$1&amp;"P"&amp;$A5))/1000000,0),IF($A$2="DEX",IFERROR((100*RTD("tos.rtd",,"OPEN_INT","."&amp;L$2&amp;L$1&amp;"C"&amp;$A5)*RTD("tos.rtd",,"DELTA","."&amp;L$2&amp;L$1&amp;"C"&amp;$A5)-100*RTD("tos.rtd",,"OPEN_INT","."&amp;L$2&amp;L$1&amp;"P"&amp;$A5)*RTD("tos.rtd",,"DELTA","."&amp;L$2&amp;L$1&amp;"P"&amp;$A5))/1000,0),IF($A$2="VEX",IFERROR(($A$4*$A$4*RTD("tos.rtd",,"VOLUME","."&amp;L$2&amp;L$1&amp;"C"&amp;$A5)*RTD("tos.rtd",,"GAMMA","."&amp;L$2&amp;L$1&amp;"C"&amp;$A5)-$A$4*$A$4*RTD("tos.rtd",,"VOLUME","."&amp;L$2&amp;L$1&amp;"P"&amp;$A5)*RTD("tos.rtd",,"GAMMA","."&amp;L$2&amp;L$1&amp;"P"&amp;$A5))/1000000,0),IF($A$2="GEX",IFERROR(($A$4*$A$4*RTD("tos.rtd",,"OPEN_INT","."&amp;L$2&amp;L$1&amp;"C"&amp;$A5)*RTD("tos.rtd",,"GAMMA","."&amp;L$2&amp;L$1&amp;"C"&amp;$A5)-$A$4*$A$4*RTD("tos.rtd",,"OPEN_INT","."&amp;L$2&amp;L$1&amp;"P"&amp;$A5)*RTD("tos.rtd",,"GAMMA","."&amp;L$2&amp;L$1&amp;"P"&amp;$A5))/1000000,0),IF($A$2="SKEW",IFERROR(VALUE(IF(RTD("tos.rtd",,"IMPL_VOL","."&amp;L$2&amp;L$1&amp;"P"&amp;$A5)="N/A",0,RTD("tos.rtd",,"IMPL_VOL","."&amp;L$2&amp;L$1&amp;"P"&amp;$A5))),0)-IFERROR(VALUE(IF(RTD("tos.rtd",,"IMPL_VOL","."&amp;L$2&amp;L$1&amp;"C"&amp;$A5)="N/A",0,RTD("tos.rtd",,"IMPL_VOL","."&amp;L$2&amp;L$1&amp;"C"&amp;$A5))),0),IF($A$2="MAXPAIN",IF($A$4&gt;$A5,($A$4-$A5)*IF(RTD("tos.rtd",,"OPEN_INT","."&amp;L$2&amp;L$1&amp;"C"&amp;$A5)="N/A",0,RTD("tos.rtd",,"OPEN_INT","."&amp;L$2&amp;L$1&amp;"C"&amp;$A5)),0)+IF($A$4&lt;$A5,($A5-$A$4)*IF(RTD("tos.rtd",,"OPEN_INT","."&amp;L$2&amp;L$1&amp;"P"&amp;$A5)="N/A",0,RTD("tos.rtd",,"OPEN_INT","."&amp;L$2&amp;L$1&amp;"P"&amp;$A5)),0),IF(RTD("tos.rtd",,$A$2,"."&amp;L$2&amp;L$1&amp;"C"&amp;$A5)="N/A",0,RTD("tos.rtd",,$A$2,"."&amp;L$2&amp;L$1&amp;"C"&amp;$A5))-IF(RTD("tos.rtd",,$A$2,"."&amp;L$2&amp;L$1&amp;"P"&amp;$A5)="N/A",0,RTD("tos.rtd",,$A$2,"."&amp;L$2&amp;L$1&amp;"P"&amp;$A5)))))))))</f>
        <v>0</v>
      </c>
      <c r="M5" s="5">
        <f>IF($A$2="PREMIUM_OI",IFERROR((100*RTD("tos.rtd",,"OPEN_INT","."&amp;M$2&amp;M$1&amp;"C"&amp;$A5)*RTD("tos.rtd",,"LAST","."&amp;M$2&amp;M$1&amp;"C"&amp;$A5)-100*RTD("tos.rtd",,"OPEN_INT","."&amp;M$2&amp;M$1&amp;"P"&amp;$A5)*RTD("tos.rtd",,"LAST","."&amp;M$2&amp;M$1&amp;"P"&amp;$A5))/1000000,0),IF($A$2="PREMIUM",IFERROR((100*RTD("tos.rtd",,"VOLUME","."&amp;M$2&amp;M$1&amp;"C"&amp;$A5)*RTD("tos.rtd",,"LAST","."&amp;M$2&amp;M$1&amp;"C"&amp;$A5)-100*RTD("tos.rtd",,"VOLUME","."&amp;M$2&amp;M$1&amp;"P"&amp;$A5)*RTD("tos.rtd",,"LAST","."&amp;M$2&amp;M$1&amp;"P"&amp;$A5))/1000000,0),IF($A$2="DEX",IFERROR((100*RTD("tos.rtd",,"OPEN_INT","."&amp;M$2&amp;M$1&amp;"C"&amp;$A5)*RTD("tos.rtd",,"DELTA","."&amp;M$2&amp;M$1&amp;"C"&amp;$A5)-100*RTD("tos.rtd",,"OPEN_INT","."&amp;M$2&amp;M$1&amp;"P"&amp;$A5)*RTD("tos.rtd",,"DELTA","."&amp;M$2&amp;M$1&amp;"P"&amp;$A5))/1000,0),IF($A$2="VEX",IFERROR(($A$4*$A$4*RTD("tos.rtd",,"VOLUME","."&amp;M$2&amp;M$1&amp;"C"&amp;$A5)*RTD("tos.rtd",,"GAMMA","."&amp;M$2&amp;M$1&amp;"C"&amp;$A5)-$A$4*$A$4*RTD("tos.rtd",,"VOLUME","."&amp;M$2&amp;M$1&amp;"P"&amp;$A5)*RTD("tos.rtd",,"GAMMA","."&amp;M$2&amp;M$1&amp;"P"&amp;$A5))/1000000,0),IF($A$2="GEX",IFERROR(($A$4*$A$4*RTD("tos.rtd",,"OPEN_INT","."&amp;M$2&amp;M$1&amp;"C"&amp;$A5)*RTD("tos.rtd",,"GAMMA","."&amp;M$2&amp;M$1&amp;"C"&amp;$A5)-$A$4*$A$4*RTD("tos.rtd",,"OPEN_INT","."&amp;M$2&amp;M$1&amp;"P"&amp;$A5)*RTD("tos.rtd",,"GAMMA","."&amp;M$2&amp;M$1&amp;"P"&amp;$A5))/1000000,0),IF($A$2="SKEW",IFERROR(VALUE(IF(RTD("tos.rtd",,"IMPL_VOL","."&amp;M$2&amp;M$1&amp;"P"&amp;$A5)="N/A",0,RTD("tos.rtd",,"IMPL_VOL","."&amp;M$2&amp;M$1&amp;"P"&amp;$A5))),0)-IFERROR(VALUE(IF(RTD("tos.rtd",,"IMPL_VOL","."&amp;M$2&amp;M$1&amp;"C"&amp;$A5)="N/A",0,RTD("tos.rtd",,"IMPL_VOL","."&amp;M$2&amp;M$1&amp;"C"&amp;$A5))),0),IF($A$2="MAXPAIN",IF($A$4&gt;$A5,($A$4-$A5)*IF(RTD("tos.rtd",,"OPEN_INT","."&amp;M$2&amp;M$1&amp;"C"&amp;$A5)="N/A",0,RTD("tos.rtd",,"OPEN_INT","."&amp;M$2&amp;M$1&amp;"C"&amp;$A5)),0)+IF($A$4&lt;$A5,($A5-$A$4)*IF(RTD("tos.rtd",,"OPEN_INT","."&amp;M$2&amp;M$1&amp;"P"&amp;$A5)="N/A",0,RTD("tos.rtd",,"OPEN_INT","."&amp;M$2&amp;M$1&amp;"P"&amp;$A5)),0),IF(RTD("tos.rtd",,$A$2,"."&amp;M$2&amp;M$1&amp;"C"&amp;$A5)="N/A",0,RTD("tos.rtd",,$A$2,"."&amp;M$2&amp;M$1&amp;"C"&amp;$A5))-IF(RTD("tos.rtd",,$A$2,"."&amp;M$2&amp;M$1&amp;"P"&amp;$A5)="N/A",0,RTD("tos.rtd",,$A$2,"."&amp;M$2&amp;M$1&amp;"P"&amp;$A5)))))))))</f>
        <v>0</v>
      </c>
      <c r="N5" s="5">
        <f>IF($A$2="PREMIUM_OI",IFERROR((100*RTD("tos.rtd",,"OPEN_INT","."&amp;N$2&amp;N$1&amp;"C"&amp;$A5)*RTD("tos.rtd",,"LAST","."&amp;N$2&amp;N$1&amp;"C"&amp;$A5)-100*RTD("tos.rtd",,"OPEN_INT","."&amp;N$2&amp;N$1&amp;"P"&amp;$A5)*RTD("tos.rtd",,"LAST","."&amp;N$2&amp;N$1&amp;"P"&amp;$A5))/1000000,0),IF($A$2="PREMIUM",IFERROR((100*RTD("tos.rtd",,"VOLUME","."&amp;N$2&amp;N$1&amp;"C"&amp;$A5)*RTD("tos.rtd",,"LAST","."&amp;N$2&amp;N$1&amp;"C"&amp;$A5)-100*RTD("tos.rtd",,"VOLUME","."&amp;N$2&amp;N$1&amp;"P"&amp;$A5)*RTD("tos.rtd",,"LAST","."&amp;N$2&amp;N$1&amp;"P"&amp;$A5))/1000000,0),IF($A$2="DEX",IFERROR((100*RTD("tos.rtd",,"OPEN_INT","."&amp;N$2&amp;N$1&amp;"C"&amp;$A5)*RTD("tos.rtd",,"DELTA","."&amp;N$2&amp;N$1&amp;"C"&amp;$A5)-100*RTD("tos.rtd",,"OPEN_INT","."&amp;N$2&amp;N$1&amp;"P"&amp;$A5)*RTD("tos.rtd",,"DELTA","."&amp;N$2&amp;N$1&amp;"P"&amp;$A5))/1000,0),IF($A$2="VEX",IFERROR(($A$4*$A$4*RTD("tos.rtd",,"VOLUME","."&amp;N$2&amp;N$1&amp;"C"&amp;$A5)*RTD("tos.rtd",,"GAMMA","."&amp;N$2&amp;N$1&amp;"C"&amp;$A5)-$A$4*$A$4*RTD("tos.rtd",,"VOLUME","."&amp;N$2&amp;N$1&amp;"P"&amp;$A5)*RTD("tos.rtd",,"GAMMA","."&amp;N$2&amp;N$1&amp;"P"&amp;$A5))/1000000,0),IF($A$2="GEX",IFERROR(($A$4*$A$4*RTD("tos.rtd",,"OPEN_INT","."&amp;N$2&amp;N$1&amp;"C"&amp;$A5)*RTD("tos.rtd",,"GAMMA","."&amp;N$2&amp;N$1&amp;"C"&amp;$A5)-$A$4*$A$4*RTD("tos.rtd",,"OPEN_INT","."&amp;N$2&amp;N$1&amp;"P"&amp;$A5)*RTD("tos.rtd",,"GAMMA","."&amp;N$2&amp;N$1&amp;"P"&amp;$A5))/1000000,0),IF($A$2="SKEW",IFERROR(VALUE(IF(RTD("tos.rtd",,"IMPL_VOL","."&amp;N$2&amp;N$1&amp;"P"&amp;$A5)="N/A",0,RTD("tos.rtd",,"IMPL_VOL","."&amp;N$2&amp;N$1&amp;"P"&amp;$A5))),0)-IFERROR(VALUE(IF(RTD("tos.rtd",,"IMPL_VOL","."&amp;N$2&amp;N$1&amp;"C"&amp;$A5)="N/A",0,RTD("tos.rtd",,"IMPL_VOL","."&amp;N$2&amp;N$1&amp;"C"&amp;$A5))),0),IF($A$2="MAXPAIN",IF($A$4&gt;$A5,($A$4-$A5)*IF(RTD("tos.rtd",,"OPEN_INT","."&amp;N$2&amp;N$1&amp;"C"&amp;$A5)="N/A",0,RTD("tos.rtd",,"OPEN_INT","."&amp;N$2&amp;N$1&amp;"C"&amp;$A5)),0)+IF($A$4&lt;$A5,($A5-$A$4)*IF(RTD("tos.rtd",,"OPEN_INT","."&amp;N$2&amp;N$1&amp;"P"&amp;$A5)="N/A",0,RTD("tos.rtd",,"OPEN_INT","."&amp;N$2&amp;N$1&amp;"P"&amp;$A5)),0),IF(RTD("tos.rtd",,$A$2,"."&amp;N$2&amp;N$1&amp;"C"&amp;$A5)="N/A",0,RTD("tos.rtd",,$A$2,"."&amp;N$2&amp;N$1&amp;"C"&amp;$A5))-IF(RTD("tos.rtd",,$A$2,"."&amp;N$2&amp;N$1&amp;"P"&amp;$A5)="N/A",0,RTD("tos.rtd",,$A$2,"."&amp;N$2&amp;N$1&amp;"P"&amp;$A5)))))))))</f>
        <v>0</v>
      </c>
      <c r="O5" s="5">
        <f>IF($A$2="PREMIUM_OI",IFERROR((100*RTD("tos.rtd",,"OPEN_INT","."&amp;O$2&amp;O$1&amp;"C"&amp;$A5)*RTD("tos.rtd",,"LAST","."&amp;O$2&amp;O$1&amp;"C"&amp;$A5)-100*RTD("tos.rtd",,"OPEN_INT","."&amp;O$2&amp;O$1&amp;"P"&amp;$A5)*RTD("tos.rtd",,"LAST","."&amp;O$2&amp;O$1&amp;"P"&amp;$A5))/1000000,0),IF($A$2="PREMIUM",IFERROR((100*RTD("tos.rtd",,"VOLUME","."&amp;O$2&amp;O$1&amp;"C"&amp;$A5)*RTD("tos.rtd",,"LAST","."&amp;O$2&amp;O$1&amp;"C"&amp;$A5)-100*RTD("tos.rtd",,"VOLUME","."&amp;O$2&amp;O$1&amp;"P"&amp;$A5)*RTD("tos.rtd",,"LAST","."&amp;O$2&amp;O$1&amp;"P"&amp;$A5))/1000000,0),IF($A$2="DEX",IFERROR((100*RTD("tos.rtd",,"OPEN_INT","."&amp;O$2&amp;O$1&amp;"C"&amp;$A5)*RTD("tos.rtd",,"DELTA","."&amp;O$2&amp;O$1&amp;"C"&amp;$A5)-100*RTD("tos.rtd",,"OPEN_INT","."&amp;O$2&amp;O$1&amp;"P"&amp;$A5)*RTD("tos.rtd",,"DELTA","."&amp;O$2&amp;O$1&amp;"P"&amp;$A5))/1000,0),IF($A$2="VEX",IFERROR(($A$4*$A$4*RTD("tos.rtd",,"VOLUME","."&amp;O$2&amp;O$1&amp;"C"&amp;$A5)*RTD("tos.rtd",,"GAMMA","."&amp;O$2&amp;O$1&amp;"C"&amp;$A5)-$A$4*$A$4*RTD("tos.rtd",,"VOLUME","."&amp;O$2&amp;O$1&amp;"P"&amp;$A5)*RTD("tos.rtd",,"GAMMA","."&amp;O$2&amp;O$1&amp;"P"&amp;$A5))/1000000,0),IF($A$2="GEX",IFERROR(($A$4*$A$4*RTD("tos.rtd",,"OPEN_INT","."&amp;O$2&amp;O$1&amp;"C"&amp;$A5)*RTD("tos.rtd",,"GAMMA","."&amp;O$2&amp;O$1&amp;"C"&amp;$A5)-$A$4*$A$4*RTD("tos.rtd",,"OPEN_INT","."&amp;O$2&amp;O$1&amp;"P"&amp;$A5)*RTD("tos.rtd",,"GAMMA","."&amp;O$2&amp;O$1&amp;"P"&amp;$A5))/1000000,0),IF($A$2="SKEW",IFERROR(VALUE(IF(RTD("tos.rtd",,"IMPL_VOL","."&amp;O$2&amp;O$1&amp;"P"&amp;$A5)="N/A",0,RTD("tos.rtd",,"IMPL_VOL","."&amp;O$2&amp;O$1&amp;"P"&amp;$A5))),0)-IFERROR(VALUE(IF(RTD("tos.rtd",,"IMPL_VOL","."&amp;O$2&amp;O$1&amp;"C"&amp;$A5)="N/A",0,RTD("tos.rtd",,"IMPL_VOL","."&amp;O$2&amp;O$1&amp;"C"&amp;$A5))),0),IF($A$2="MAXPAIN",IF($A$4&gt;$A5,($A$4-$A5)*IF(RTD("tos.rtd",,"OPEN_INT","."&amp;O$2&amp;O$1&amp;"C"&amp;$A5)="N/A",0,RTD("tos.rtd",,"OPEN_INT","."&amp;O$2&amp;O$1&amp;"C"&amp;$A5)),0)+IF($A$4&lt;$A5,($A5-$A$4)*IF(RTD("tos.rtd",,"OPEN_INT","."&amp;O$2&amp;O$1&amp;"P"&amp;$A5)="N/A",0,RTD("tos.rtd",,"OPEN_INT","."&amp;O$2&amp;O$1&amp;"P"&amp;$A5)),0),IF(RTD("tos.rtd",,$A$2,"."&amp;O$2&amp;O$1&amp;"C"&amp;$A5)="N/A",0,RTD("tos.rtd",,$A$2,"."&amp;O$2&amp;O$1&amp;"C"&amp;$A5))-IF(RTD("tos.rtd",,$A$2,"."&amp;O$2&amp;O$1&amp;"P"&amp;$A5)="N/A",0,RTD("tos.rtd",,$A$2,"."&amp;O$2&amp;O$1&amp;"P"&amp;$A5)))))))))</f>
        <v>0</v>
      </c>
      <c r="P5" s="5">
        <f>IF($A$2="PREMIUM_OI",IFERROR((100*RTD("tos.rtd",,"OPEN_INT","."&amp;P$2&amp;P$1&amp;"C"&amp;$A5)*RTD("tos.rtd",,"LAST","."&amp;P$2&amp;P$1&amp;"C"&amp;$A5)-100*RTD("tos.rtd",,"OPEN_INT","."&amp;P$2&amp;P$1&amp;"P"&amp;$A5)*RTD("tos.rtd",,"LAST","."&amp;P$2&amp;P$1&amp;"P"&amp;$A5))/1000000,0),IF($A$2="PREMIUM",IFERROR((100*RTD("tos.rtd",,"VOLUME","."&amp;P$2&amp;P$1&amp;"C"&amp;$A5)*RTD("tos.rtd",,"LAST","."&amp;P$2&amp;P$1&amp;"C"&amp;$A5)-100*RTD("tos.rtd",,"VOLUME","."&amp;P$2&amp;P$1&amp;"P"&amp;$A5)*RTD("tos.rtd",,"LAST","."&amp;P$2&amp;P$1&amp;"P"&amp;$A5))/1000000,0),IF($A$2="DEX",IFERROR((100*RTD("tos.rtd",,"OPEN_INT","."&amp;P$2&amp;P$1&amp;"C"&amp;$A5)*RTD("tos.rtd",,"DELTA","."&amp;P$2&amp;P$1&amp;"C"&amp;$A5)-100*RTD("tos.rtd",,"OPEN_INT","."&amp;P$2&amp;P$1&amp;"P"&amp;$A5)*RTD("tos.rtd",,"DELTA","."&amp;P$2&amp;P$1&amp;"P"&amp;$A5))/1000,0),IF($A$2="VEX",IFERROR(($A$4*$A$4*RTD("tos.rtd",,"VOLUME","."&amp;P$2&amp;P$1&amp;"C"&amp;$A5)*RTD("tos.rtd",,"GAMMA","."&amp;P$2&amp;P$1&amp;"C"&amp;$A5)-$A$4*$A$4*RTD("tos.rtd",,"VOLUME","."&amp;P$2&amp;P$1&amp;"P"&amp;$A5)*RTD("tos.rtd",,"GAMMA","."&amp;P$2&amp;P$1&amp;"P"&amp;$A5))/1000000,0),IF($A$2="GEX",IFERROR(($A$4*$A$4*RTD("tos.rtd",,"OPEN_INT","."&amp;P$2&amp;P$1&amp;"C"&amp;$A5)*RTD("tos.rtd",,"GAMMA","."&amp;P$2&amp;P$1&amp;"C"&amp;$A5)-$A$4*$A$4*RTD("tos.rtd",,"OPEN_INT","."&amp;P$2&amp;P$1&amp;"P"&amp;$A5)*RTD("tos.rtd",,"GAMMA","."&amp;P$2&amp;P$1&amp;"P"&amp;$A5))/1000000,0),IF($A$2="SKEW",IFERROR(VALUE(IF(RTD("tos.rtd",,"IMPL_VOL","."&amp;P$2&amp;P$1&amp;"P"&amp;$A5)="N/A",0,RTD("tos.rtd",,"IMPL_VOL","."&amp;P$2&amp;P$1&amp;"P"&amp;$A5))),0)-IFERROR(VALUE(IF(RTD("tos.rtd",,"IMPL_VOL","."&amp;P$2&amp;P$1&amp;"C"&amp;$A5)="N/A",0,RTD("tos.rtd",,"IMPL_VOL","."&amp;P$2&amp;P$1&amp;"C"&amp;$A5))),0),IF($A$2="MAXPAIN",IF($A$4&gt;$A5,($A$4-$A5)*IF(RTD("tos.rtd",,"OPEN_INT","."&amp;P$2&amp;P$1&amp;"C"&amp;$A5)="N/A",0,RTD("tos.rtd",,"OPEN_INT","."&amp;P$2&amp;P$1&amp;"C"&amp;$A5)),0)+IF($A$4&lt;$A5,($A5-$A$4)*IF(RTD("tos.rtd",,"OPEN_INT","."&amp;P$2&amp;P$1&amp;"P"&amp;$A5)="N/A",0,RTD("tos.rtd",,"OPEN_INT","."&amp;P$2&amp;P$1&amp;"P"&amp;$A5)),0),IF(RTD("tos.rtd",,$A$2,"."&amp;P$2&amp;P$1&amp;"C"&amp;$A5)="N/A",0,RTD("tos.rtd",,$A$2,"."&amp;P$2&amp;P$1&amp;"C"&amp;$A5))-IF(RTD("tos.rtd",,$A$2,"."&amp;P$2&amp;P$1&amp;"P"&amp;$A5)="N/A",0,RTD("tos.rtd",,$A$2,"."&amp;P$2&amp;P$1&amp;"P"&amp;$A5)))))))))</f>
        <v>0</v>
      </c>
      <c r="Q5" s="5">
        <f>IF($A$2="PREMIUM_OI",IFERROR((100*RTD("tos.rtd",,"OPEN_INT","."&amp;Q$2&amp;Q$1&amp;"C"&amp;$A5)*RTD("tos.rtd",,"LAST","."&amp;Q$2&amp;Q$1&amp;"C"&amp;$A5)-100*RTD("tos.rtd",,"OPEN_INT","."&amp;Q$2&amp;Q$1&amp;"P"&amp;$A5)*RTD("tos.rtd",,"LAST","."&amp;Q$2&amp;Q$1&amp;"P"&amp;$A5))/1000000,0),IF($A$2="PREMIUM",IFERROR((100*RTD("tos.rtd",,"VOLUME","."&amp;Q$2&amp;Q$1&amp;"C"&amp;$A5)*RTD("tos.rtd",,"LAST","."&amp;Q$2&amp;Q$1&amp;"C"&amp;$A5)-100*RTD("tos.rtd",,"VOLUME","."&amp;Q$2&amp;Q$1&amp;"P"&amp;$A5)*RTD("tos.rtd",,"LAST","."&amp;Q$2&amp;Q$1&amp;"P"&amp;$A5))/1000000,0),IF($A$2="DEX",IFERROR((100*RTD("tos.rtd",,"OPEN_INT","."&amp;Q$2&amp;Q$1&amp;"C"&amp;$A5)*RTD("tos.rtd",,"DELTA","."&amp;Q$2&amp;Q$1&amp;"C"&amp;$A5)-100*RTD("tos.rtd",,"OPEN_INT","."&amp;Q$2&amp;Q$1&amp;"P"&amp;$A5)*RTD("tos.rtd",,"DELTA","."&amp;Q$2&amp;Q$1&amp;"P"&amp;$A5))/1000,0),IF($A$2="VEX",IFERROR(($A$4*$A$4*RTD("tos.rtd",,"VOLUME","."&amp;Q$2&amp;Q$1&amp;"C"&amp;$A5)*RTD("tos.rtd",,"GAMMA","."&amp;Q$2&amp;Q$1&amp;"C"&amp;$A5)-$A$4*$A$4*RTD("tos.rtd",,"VOLUME","."&amp;Q$2&amp;Q$1&amp;"P"&amp;$A5)*RTD("tos.rtd",,"GAMMA","."&amp;Q$2&amp;Q$1&amp;"P"&amp;$A5))/1000000,0),IF($A$2="GEX",IFERROR(($A$4*$A$4*RTD("tos.rtd",,"OPEN_INT","."&amp;Q$2&amp;Q$1&amp;"C"&amp;$A5)*RTD("tos.rtd",,"GAMMA","."&amp;Q$2&amp;Q$1&amp;"C"&amp;$A5)-$A$4*$A$4*RTD("tos.rtd",,"OPEN_INT","."&amp;Q$2&amp;Q$1&amp;"P"&amp;$A5)*RTD("tos.rtd",,"GAMMA","."&amp;Q$2&amp;Q$1&amp;"P"&amp;$A5))/1000000,0),IF($A$2="SKEW",IFERROR(VALUE(IF(RTD("tos.rtd",,"IMPL_VOL","."&amp;Q$2&amp;Q$1&amp;"P"&amp;$A5)="N/A",0,RTD("tos.rtd",,"IMPL_VOL","."&amp;Q$2&amp;Q$1&amp;"P"&amp;$A5))),0)-IFERROR(VALUE(IF(RTD("tos.rtd",,"IMPL_VOL","."&amp;Q$2&amp;Q$1&amp;"C"&amp;$A5)="N/A",0,RTD("tos.rtd",,"IMPL_VOL","."&amp;Q$2&amp;Q$1&amp;"C"&amp;$A5))),0),IF($A$2="MAXPAIN",IF($A$4&gt;$A5,($A$4-$A5)*IF(RTD("tos.rtd",,"OPEN_INT","."&amp;Q$2&amp;Q$1&amp;"C"&amp;$A5)="N/A",0,RTD("tos.rtd",,"OPEN_INT","."&amp;Q$2&amp;Q$1&amp;"C"&amp;$A5)),0)+IF($A$4&lt;$A5,($A5-$A$4)*IF(RTD("tos.rtd",,"OPEN_INT","."&amp;Q$2&amp;Q$1&amp;"P"&amp;$A5)="N/A",0,RTD("tos.rtd",,"OPEN_INT","."&amp;Q$2&amp;Q$1&amp;"P"&amp;$A5)),0),IF(RTD("tos.rtd",,$A$2,"."&amp;Q$2&amp;Q$1&amp;"C"&amp;$A5)="N/A",0,RTD("tos.rtd",,$A$2,"."&amp;Q$2&amp;Q$1&amp;"C"&amp;$A5))-IF(RTD("tos.rtd",,$A$2,"."&amp;Q$2&amp;Q$1&amp;"P"&amp;$A5)="N/A",0,RTD("tos.rtd",,$A$2,"."&amp;Q$2&amp;Q$1&amp;"P"&amp;$A5)))))))))</f>
        <v>0</v>
      </c>
      <c r="R5" s="5">
        <f>IF($A$2="PREMIUM_OI",IFERROR((100*RTD("tos.rtd",,"OPEN_INT","."&amp;R$2&amp;R$1&amp;"C"&amp;$A5)*RTD("tos.rtd",,"LAST","."&amp;R$2&amp;R$1&amp;"C"&amp;$A5)-100*RTD("tos.rtd",,"OPEN_INT","."&amp;R$2&amp;R$1&amp;"P"&amp;$A5)*RTD("tos.rtd",,"LAST","."&amp;R$2&amp;R$1&amp;"P"&amp;$A5))/1000000,0),IF($A$2="PREMIUM",IFERROR((100*RTD("tos.rtd",,"VOLUME","."&amp;R$2&amp;R$1&amp;"C"&amp;$A5)*RTD("tos.rtd",,"LAST","."&amp;R$2&amp;R$1&amp;"C"&amp;$A5)-100*RTD("tos.rtd",,"VOLUME","."&amp;R$2&amp;R$1&amp;"P"&amp;$A5)*RTD("tos.rtd",,"LAST","."&amp;R$2&amp;R$1&amp;"P"&amp;$A5))/1000000,0),IF($A$2="DEX",IFERROR((100*RTD("tos.rtd",,"OPEN_INT","."&amp;R$2&amp;R$1&amp;"C"&amp;$A5)*RTD("tos.rtd",,"DELTA","."&amp;R$2&amp;R$1&amp;"C"&amp;$A5)-100*RTD("tos.rtd",,"OPEN_INT","."&amp;R$2&amp;R$1&amp;"P"&amp;$A5)*RTD("tos.rtd",,"DELTA","."&amp;R$2&amp;R$1&amp;"P"&amp;$A5))/1000,0),IF($A$2="VEX",IFERROR(($A$4*$A$4*RTD("tos.rtd",,"VOLUME","."&amp;R$2&amp;R$1&amp;"C"&amp;$A5)*RTD("tos.rtd",,"GAMMA","."&amp;R$2&amp;R$1&amp;"C"&amp;$A5)-$A$4*$A$4*RTD("tos.rtd",,"VOLUME","."&amp;R$2&amp;R$1&amp;"P"&amp;$A5)*RTD("tos.rtd",,"GAMMA","."&amp;R$2&amp;R$1&amp;"P"&amp;$A5))/1000000,0),IF($A$2="GEX",IFERROR(($A$4*$A$4*RTD("tos.rtd",,"OPEN_INT","."&amp;R$2&amp;R$1&amp;"C"&amp;$A5)*RTD("tos.rtd",,"GAMMA","."&amp;R$2&amp;R$1&amp;"C"&amp;$A5)-$A$4*$A$4*RTD("tos.rtd",,"OPEN_INT","."&amp;R$2&amp;R$1&amp;"P"&amp;$A5)*RTD("tos.rtd",,"GAMMA","."&amp;R$2&amp;R$1&amp;"P"&amp;$A5))/1000000,0),IF($A$2="SKEW",IFERROR(VALUE(IF(RTD("tos.rtd",,"IMPL_VOL","."&amp;R$2&amp;R$1&amp;"P"&amp;$A5)="N/A",0,RTD("tos.rtd",,"IMPL_VOL","."&amp;R$2&amp;R$1&amp;"P"&amp;$A5))),0)-IFERROR(VALUE(IF(RTD("tos.rtd",,"IMPL_VOL","."&amp;R$2&amp;R$1&amp;"C"&amp;$A5)="N/A",0,RTD("tos.rtd",,"IMPL_VOL","."&amp;R$2&amp;R$1&amp;"C"&amp;$A5))),0),IF($A$2="MAXPAIN",IF($A$4&gt;$A5,($A$4-$A5)*IF(RTD("tos.rtd",,"OPEN_INT","."&amp;R$2&amp;R$1&amp;"C"&amp;$A5)="N/A",0,RTD("tos.rtd",,"OPEN_INT","."&amp;R$2&amp;R$1&amp;"C"&amp;$A5)),0)+IF($A$4&lt;$A5,($A5-$A$4)*IF(RTD("tos.rtd",,"OPEN_INT","."&amp;R$2&amp;R$1&amp;"P"&amp;$A5)="N/A",0,RTD("tos.rtd",,"OPEN_INT","."&amp;R$2&amp;R$1&amp;"P"&amp;$A5)),0),IF(RTD("tos.rtd",,$A$2,"."&amp;R$2&amp;R$1&amp;"C"&amp;$A5)="N/A",0,RTD("tos.rtd",,$A$2,"."&amp;R$2&amp;R$1&amp;"C"&amp;$A5))-IF(RTD("tos.rtd",,$A$2,"."&amp;R$2&amp;R$1&amp;"P"&amp;$A5)="N/A",0,RTD("tos.rtd",,$A$2,"."&amp;R$2&amp;R$1&amp;"P"&amp;$A5)))))))))</f>
        <v>0</v>
      </c>
      <c r="S5" s="5">
        <f>IF($A$2="PREMIUM_OI",IFERROR((100*RTD("tos.rtd",,"OPEN_INT","."&amp;S$2&amp;S$1&amp;"C"&amp;$A5)*RTD("tos.rtd",,"LAST","."&amp;S$2&amp;S$1&amp;"C"&amp;$A5)-100*RTD("tos.rtd",,"OPEN_INT","."&amp;S$2&amp;S$1&amp;"P"&amp;$A5)*RTD("tos.rtd",,"LAST","."&amp;S$2&amp;S$1&amp;"P"&amp;$A5))/1000000,0),IF($A$2="PREMIUM",IFERROR((100*RTD("tos.rtd",,"VOLUME","."&amp;S$2&amp;S$1&amp;"C"&amp;$A5)*RTD("tos.rtd",,"LAST","."&amp;S$2&amp;S$1&amp;"C"&amp;$A5)-100*RTD("tos.rtd",,"VOLUME","."&amp;S$2&amp;S$1&amp;"P"&amp;$A5)*RTD("tos.rtd",,"LAST","."&amp;S$2&amp;S$1&amp;"P"&amp;$A5))/1000000,0),IF($A$2="DEX",IFERROR((100*RTD("tos.rtd",,"OPEN_INT","."&amp;S$2&amp;S$1&amp;"C"&amp;$A5)*RTD("tos.rtd",,"DELTA","."&amp;S$2&amp;S$1&amp;"C"&amp;$A5)-100*RTD("tos.rtd",,"OPEN_INT","."&amp;S$2&amp;S$1&amp;"P"&amp;$A5)*RTD("tos.rtd",,"DELTA","."&amp;S$2&amp;S$1&amp;"P"&amp;$A5))/1000,0),IF($A$2="VEX",IFERROR(($A$4*$A$4*RTD("tos.rtd",,"VOLUME","."&amp;S$2&amp;S$1&amp;"C"&amp;$A5)*RTD("tos.rtd",,"GAMMA","."&amp;S$2&amp;S$1&amp;"C"&amp;$A5)-$A$4*$A$4*RTD("tos.rtd",,"VOLUME","."&amp;S$2&amp;S$1&amp;"P"&amp;$A5)*RTD("tos.rtd",,"GAMMA","."&amp;S$2&amp;S$1&amp;"P"&amp;$A5))/1000000,0),IF($A$2="GEX",IFERROR(($A$4*$A$4*RTD("tos.rtd",,"OPEN_INT","."&amp;S$2&amp;S$1&amp;"C"&amp;$A5)*RTD("tos.rtd",,"GAMMA","."&amp;S$2&amp;S$1&amp;"C"&amp;$A5)-$A$4*$A$4*RTD("tos.rtd",,"OPEN_INT","."&amp;S$2&amp;S$1&amp;"P"&amp;$A5)*RTD("tos.rtd",,"GAMMA","."&amp;S$2&amp;S$1&amp;"P"&amp;$A5))/1000000,0),IF($A$2="SKEW",IFERROR(VALUE(IF(RTD("tos.rtd",,"IMPL_VOL","."&amp;S$2&amp;S$1&amp;"P"&amp;$A5)="N/A",0,RTD("tos.rtd",,"IMPL_VOL","."&amp;S$2&amp;S$1&amp;"P"&amp;$A5))),0)-IFERROR(VALUE(IF(RTD("tos.rtd",,"IMPL_VOL","."&amp;S$2&amp;S$1&amp;"C"&amp;$A5)="N/A",0,RTD("tos.rtd",,"IMPL_VOL","."&amp;S$2&amp;S$1&amp;"C"&amp;$A5))),0),IF($A$2="MAXPAIN",IF($A$4&gt;$A5,($A$4-$A5)*IF(RTD("tos.rtd",,"OPEN_INT","."&amp;S$2&amp;S$1&amp;"C"&amp;$A5)="N/A",0,RTD("tos.rtd",,"OPEN_INT","."&amp;S$2&amp;S$1&amp;"C"&amp;$A5)),0)+IF($A$4&lt;$A5,($A5-$A$4)*IF(RTD("tos.rtd",,"OPEN_INT","."&amp;S$2&amp;S$1&amp;"P"&amp;$A5)="N/A",0,RTD("tos.rtd",,"OPEN_INT","."&amp;S$2&amp;S$1&amp;"P"&amp;$A5)),0),IF(RTD("tos.rtd",,$A$2,"."&amp;S$2&amp;S$1&amp;"C"&amp;$A5)="N/A",0,RTD("tos.rtd",,$A$2,"."&amp;S$2&amp;S$1&amp;"C"&amp;$A5))-IF(RTD("tos.rtd",,$A$2,"."&amp;S$2&amp;S$1&amp;"P"&amp;$A5)="N/A",0,RTD("tos.rtd",,$A$2,"."&amp;S$2&amp;S$1&amp;"P"&amp;$A5)))))))))</f>
        <v>0</v>
      </c>
      <c r="T5" s="5">
        <f>IF($A$2="PREMIUM_OI",IFERROR((100*RTD("tos.rtd",,"OPEN_INT","."&amp;T$2&amp;T$1&amp;"C"&amp;$A5)*RTD("tos.rtd",,"LAST","."&amp;T$2&amp;T$1&amp;"C"&amp;$A5)-100*RTD("tos.rtd",,"OPEN_INT","."&amp;T$2&amp;T$1&amp;"P"&amp;$A5)*RTD("tos.rtd",,"LAST","."&amp;T$2&amp;T$1&amp;"P"&amp;$A5))/1000000,0),IF($A$2="PREMIUM",IFERROR((100*RTD("tos.rtd",,"VOLUME","."&amp;T$2&amp;T$1&amp;"C"&amp;$A5)*RTD("tos.rtd",,"LAST","."&amp;T$2&amp;T$1&amp;"C"&amp;$A5)-100*RTD("tos.rtd",,"VOLUME","."&amp;T$2&amp;T$1&amp;"P"&amp;$A5)*RTD("tos.rtd",,"LAST","."&amp;T$2&amp;T$1&amp;"P"&amp;$A5))/1000000,0),IF($A$2="DEX",IFERROR((100*RTD("tos.rtd",,"OPEN_INT","."&amp;T$2&amp;T$1&amp;"C"&amp;$A5)*RTD("tos.rtd",,"DELTA","."&amp;T$2&amp;T$1&amp;"C"&amp;$A5)-100*RTD("tos.rtd",,"OPEN_INT","."&amp;T$2&amp;T$1&amp;"P"&amp;$A5)*RTD("tos.rtd",,"DELTA","."&amp;T$2&amp;T$1&amp;"P"&amp;$A5))/1000,0),IF($A$2="VEX",IFERROR(($A$4*$A$4*RTD("tos.rtd",,"VOLUME","."&amp;T$2&amp;T$1&amp;"C"&amp;$A5)*RTD("tos.rtd",,"GAMMA","."&amp;T$2&amp;T$1&amp;"C"&amp;$A5)-$A$4*$A$4*RTD("tos.rtd",,"VOLUME","."&amp;T$2&amp;T$1&amp;"P"&amp;$A5)*RTD("tos.rtd",,"GAMMA","."&amp;T$2&amp;T$1&amp;"P"&amp;$A5))/1000000,0),IF($A$2="GEX",IFERROR(($A$4*$A$4*RTD("tos.rtd",,"OPEN_INT","."&amp;T$2&amp;T$1&amp;"C"&amp;$A5)*RTD("tos.rtd",,"GAMMA","."&amp;T$2&amp;T$1&amp;"C"&amp;$A5)-$A$4*$A$4*RTD("tos.rtd",,"OPEN_INT","."&amp;T$2&amp;T$1&amp;"P"&amp;$A5)*RTD("tos.rtd",,"GAMMA","."&amp;T$2&amp;T$1&amp;"P"&amp;$A5))/1000000,0),IF($A$2="SKEW",IFERROR(VALUE(IF(RTD("tos.rtd",,"IMPL_VOL","."&amp;T$2&amp;T$1&amp;"P"&amp;$A5)="N/A",0,RTD("tos.rtd",,"IMPL_VOL","."&amp;T$2&amp;T$1&amp;"P"&amp;$A5))),0)-IFERROR(VALUE(IF(RTD("tos.rtd",,"IMPL_VOL","."&amp;T$2&amp;T$1&amp;"C"&amp;$A5)="N/A",0,RTD("tos.rtd",,"IMPL_VOL","."&amp;T$2&amp;T$1&amp;"C"&amp;$A5))),0),IF($A$2="MAXPAIN",IF($A$4&gt;$A5,($A$4-$A5)*IF(RTD("tos.rtd",,"OPEN_INT","."&amp;T$2&amp;T$1&amp;"C"&amp;$A5)="N/A",0,RTD("tos.rtd",,"OPEN_INT","."&amp;T$2&amp;T$1&amp;"C"&amp;$A5)),0)+IF($A$4&lt;$A5,($A5-$A$4)*IF(RTD("tos.rtd",,"OPEN_INT","."&amp;T$2&amp;T$1&amp;"P"&amp;$A5)="N/A",0,RTD("tos.rtd",,"OPEN_INT","."&amp;T$2&amp;T$1&amp;"P"&amp;$A5)),0),IF(RTD("tos.rtd",,$A$2,"."&amp;T$2&amp;T$1&amp;"C"&amp;$A5)="N/A",0,RTD("tos.rtd",,$A$2,"."&amp;T$2&amp;T$1&amp;"C"&amp;$A5))-IF(RTD("tos.rtd",,$A$2,"."&amp;T$2&amp;T$1&amp;"P"&amp;$A5)="N/A",0,RTD("tos.rtd",,$A$2,"."&amp;T$2&amp;T$1&amp;"P"&amp;$A5)))))))))</f>
        <v>0</v>
      </c>
      <c r="U5" s="5">
        <f>IF($A$2="PREMIUM_OI",IFERROR((100*RTD("tos.rtd",,"OPEN_INT","."&amp;U$2&amp;U$1&amp;"C"&amp;$A5)*RTD("tos.rtd",,"LAST","."&amp;U$2&amp;U$1&amp;"C"&amp;$A5)-100*RTD("tos.rtd",,"OPEN_INT","."&amp;U$2&amp;U$1&amp;"P"&amp;$A5)*RTD("tos.rtd",,"LAST","."&amp;U$2&amp;U$1&amp;"P"&amp;$A5))/1000000,0),IF($A$2="PREMIUM",IFERROR((100*RTD("tos.rtd",,"VOLUME","."&amp;U$2&amp;U$1&amp;"C"&amp;$A5)*RTD("tos.rtd",,"LAST","."&amp;U$2&amp;U$1&amp;"C"&amp;$A5)-100*RTD("tos.rtd",,"VOLUME","."&amp;U$2&amp;U$1&amp;"P"&amp;$A5)*RTD("tos.rtd",,"LAST","."&amp;U$2&amp;U$1&amp;"P"&amp;$A5))/1000000,0),IF($A$2="DEX",IFERROR((100*RTD("tos.rtd",,"OPEN_INT","."&amp;U$2&amp;U$1&amp;"C"&amp;$A5)*RTD("tos.rtd",,"DELTA","."&amp;U$2&amp;U$1&amp;"C"&amp;$A5)-100*RTD("tos.rtd",,"OPEN_INT","."&amp;U$2&amp;U$1&amp;"P"&amp;$A5)*RTD("tos.rtd",,"DELTA","."&amp;U$2&amp;U$1&amp;"P"&amp;$A5))/1000,0),IF($A$2="VEX",IFERROR(($A$4*$A$4*RTD("tos.rtd",,"VOLUME","."&amp;U$2&amp;U$1&amp;"C"&amp;$A5)*RTD("tos.rtd",,"GAMMA","."&amp;U$2&amp;U$1&amp;"C"&amp;$A5)-$A$4*$A$4*RTD("tos.rtd",,"VOLUME","."&amp;U$2&amp;U$1&amp;"P"&amp;$A5)*RTD("tos.rtd",,"GAMMA","."&amp;U$2&amp;U$1&amp;"P"&amp;$A5))/1000000,0),IF($A$2="GEX",IFERROR(($A$4*$A$4*RTD("tos.rtd",,"OPEN_INT","."&amp;U$2&amp;U$1&amp;"C"&amp;$A5)*RTD("tos.rtd",,"GAMMA","."&amp;U$2&amp;U$1&amp;"C"&amp;$A5)-$A$4*$A$4*RTD("tos.rtd",,"OPEN_INT","."&amp;U$2&amp;U$1&amp;"P"&amp;$A5)*RTD("tos.rtd",,"GAMMA","."&amp;U$2&amp;U$1&amp;"P"&amp;$A5))/1000000,0),IF($A$2="SKEW",IFERROR(VALUE(IF(RTD("tos.rtd",,"IMPL_VOL","."&amp;U$2&amp;U$1&amp;"P"&amp;$A5)="N/A",0,RTD("tos.rtd",,"IMPL_VOL","."&amp;U$2&amp;U$1&amp;"P"&amp;$A5))),0)-IFERROR(VALUE(IF(RTD("tos.rtd",,"IMPL_VOL","."&amp;U$2&amp;U$1&amp;"C"&amp;$A5)="N/A",0,RTD("tos.rtd",,"IMPL_VOL","."&amp;U$2&amp;U$1&amp;"C"&amp;$A5))),0),IF($A$2="MAXPAIN",IF($A$4&gt;$A5,($A$4-$A5)*IF(RTD("tos.rtd",,"OPEN_INT","."&amp;U$2&amp;U$1&amp;"C"&amp;$A5)="N/A",0,RTD("tos.rtd",,"OPEN_INT","."&amp;U$2&amp;U$1&amp;"C"&amp;$A5)),0)+IF($A$4&lt;$A5,($A5-$A$4)*IF(RTD("tos.rtd",,"OPEN_INT","."&amp;U$2&amp;U$1&amp;"P"&amp;$A5)="N/A",0,RTD("tos.rtd",,"OPEN_INT","."&amp;U$2&amp;U$1&amp;"P"&amp;$A5)),0),IF(RTD("tos.rtd",,$A$2,"."&amp;U$2&amp;U$1&amp;"C"&amp;$A5)="N/A",0,RTD("tos.rtd",,$A$2,"."&amp;U$2&amp;U$1&amp;"C"&amp;$A5))-IF(RTD("tos.rtd",,$A$2,"."&amp;U$2&amp;U$1&amp;"P"&amp;$A5)="N/A",0,RTD("tos.rtd",,$A$2,"."&amp;U$2&amp;U$1&amp;"P"&amp;$A5)))))))))</f>
        <v>0</v>
      </c>
      <c r="V5" s="5">
        <f>IF($A$2="PREMIUM_OI",IFERROR((100*RTD("tos.rtd",,"OPEN_INT","."&amp;V$2&amp;V$1&amp;"C"&amp;$A5)*RTD("tos.rtd",,"LAST","."&amp;V$2&amp;V$1&amp;"C"&amp;$A5)-100*RTD("tos.rtd",,"OPEN_INT","."&amp;V$2&amp;V$1&amp;"P"&amp;$A5)*RTD("tos.rtd",,"LAST","."&amp;V$2&amp;V$1&amp;"P"&amp;$A5))/1000000,0),IF($A$2="PREMIUM",IFERROR((100*RTD("tos.rtd",,"VOLUME","."&amp;V$2&amp;V$1&amp;"C"&amp;$A5)*RTD("tos.rtd",,"LAST","."&amp;V$2&amp;V$1&amp;"C"&amp;$A5)-100*RTD("tos.rtd",,"VOLUME","."&amp;V$2&amp;V$1&amp;"P"&amp;$A5)*RTD("tos.rtd",,"LAST","."&amp;V$2&amp;V$1&amp;"P"&amp;$A5))/1000000,0),IF($A$2="DEX",IFERROR((100*RTD("tos.rtd",,"OPEN_INT","."&amp;V$2&amp;V$1&amp;"C"&amp;$A5)*RTD("tos.rtd",,"DELTA","."&amp;V$2&amp;V$1&amp;"C"&amp;$A5)-100*RTD("tos.rtd",,"OPEN_INT","."&amp;V$2&amp;V$1&amp;"P"&amp;$A5)*RTD("tos.rtd",,"DELTA","."&amp;V$2&amp;V$1&amp;"P"&amp;$A5))/1000,0),IF($A$2="VEX",IFERROR(($A$4*$A$4*RTD("tos.rtd",,"VOLUME","."&amp;V$2&amp;V$1&amp;"C"&amp;$A5)*RTD("tos.rtd",,"GAMMA","."&amp;V$2&amp;V$1&amp;"C"&amp;$A5)-$A$4*$A$4*RTD("tos.rtd",,"VOLUME","."&amp;V$2&amp;V$1&amp;"P"&amp;$A5)*RTD("tos.rtd",,"GAMMA","."&amp;V$2&amp;V$1&amp;"P"&amp;$A5))/1000000,0),IF($A$2="GEX",IFERROR(($A$4*$A$4*RTD("tos.rtd",,"OPEN_INT","."&amp;V$2&amp;V$1&amp;"C"&amp;$A5)*RTD("tos.rtd",,"GAMMA","."&amp;V$2&amp;V$1&amp;"C"&amp;$A5)-$A$4*$A$4*RTD("tos.rtd",,"OPEN_INT","."&amp;V$2&amp;V$1&amp;"P"&amp;$A5)*RTD("tos.rtd",,"GAMMA","."&amp;V$2&amp;V$1&amp;"P"&amp;$A5))/1000000,0),IF($A$2="SKEW",IFERROR(VALUE(IF(RTD("tos.rtd",,"IMPL_VOL","."&amp;V$2&amp;V$1&amp;"P"&amp;$A5)="N/A",0,RTD("tos.rtd",,"IMPL_VOL","."&amp;V$2&amp;V$1&amp;"P"&amp;$A5))),0)-IFERROR(VALUE(IF(RTD("tos.rtd",,"IMPL_VOL","."&amp;V$2&amp;V$1&amp;"C"&amp;$A5)="N/A",0,RTD("tos.rtd",,"IMPL_VOL","."&amp;V$2&amp;V$1&amp;"C"&amp;$A5))),0),IF($A$2="MAXPAIN",IF($A$4&gt;$A5,($A$4-$A5)*IF(RTD("tos.rtd",,"OPEN_INT","."&amp;V$2&amp;V$1&amp;"C"&amp;$A5)="N/A",0,RTD("tos.rtd",,"OPEN_INT","."&amp;V$2&amp;V$1&amp;"C"&amp;$A5)),0)+IF($A$4&lt;$A5,($A5-$A$4)*IF(RTD("tos.rtd",,"OPEN_INT","."&amp;V$2&amp;V$1&amp;"P"&amp;$A5)="N/A",0,RTD("tos.rtd",,"OPEN_INT","."&amp;V$2&amp;V$1&amp;"P"&amp;$A5)),0),IF(RTD("tos.rtd",,$A$2,"."&amp;V$2&amp;V$1&amp;"C"&amp;$A5)="N/A",0,RTD("tos.rtd",,$A$2,"."&amp;V$2&amp;V$1&amp;"C"&amp;$A5))-IF(RTD("tos.rtd",,$A$2,"."&amp;V$2&amp;V$1&amp;"P"&amp;$A5)="N/A",0,RTD("tos.rtd",,$A$2,"."&amp;V$2&amp;V$1&amp;"P"&amp;$A5)))))))))</f>
        <v>0</v>
      </c>
      <c r="W5" s="5">
        <f>IF($A$2="PREMIUM_OI",IFERROR((100*RTD("tos.rtd",,"OPEN_INT","."&amp;W$2&amp;W$1&amp;"C"&amp;$A5)*RTD("tos.rtd",,"LAST","."&amp;W$2&amp;W$1&amp;"C"&amp;$A5)-100*RTD("tos.rtd",,"OPEN_INT","."&amp;W$2&amp;W$1&amp;"P"&amp;$A5)*RTD("tos.rtd",,"LAST","."&amp;W$2&amp;W$1&amp;"P"&amp;$A5))/1000000,0),IF($A$2="PREMIUM",IFERROR((100*RTD("tos.rtd",,"VOLUME","."&amp;W$2&amp;W$1&amp;"C"&amp;$A5)*RTD("tos.rtd",,"LAST","."&amp;W$2&amp;W$1&amp;"C"&amp;$A5)-100*RTD("tos.rtd",,"VOLUME","."&amp;W$2&amp;W$1&amp;"P"&amp;$A5)*RTD("tos.rtd",,"LAST","."&amp;W$2&amp;W$1&amp;"P"&amp;$A5))/1000000,0),IF($A$2="DEX",IFERROR((100*RTD("tos.rtd",,"OPEN_INT","."&amp;W$2&amp;W$1&amp;"C"&amp;$A5)*RTD("tos.rtd",,"DELTA","."&amp;W$2&amp;W$1&amp;"C"&amp;$A5)-100*RTD("tos.rtd",,"OPEN_INT","."&amp;W$2&amp;W$1&amp;"P"&amp;$A5)*RTD("tos.rtd",,"DELTA","."&amp;W$2&amp;W$1&amp;"P"&amp;$A5))/1000,0),IF($A$2="VEX",IFERROR(($A$4*$A$4*RTD("tos.rtd",,"VOLUME","."&amp;W$2&amp;W$1&amp;"C"&amp;$A5)*RTD("tos.rtd",,"GAMMA","."&amp;W$2&amp;W$1&amp;"C"&amp;$A5)-$A$4*$A$4*RTD("tos.rtd",,"VOLUME","."&amp;W$2&amp;W$1&amp;"P"&amp;$A5)*RTD("tos.rtd",,"GAMMA","."&amp;W$2&amp;W$1&amp;"P"&amp;$A5))/1000000,0),IF($A$2="GEX",IFERROR(($A$4*$A$4*RTD("tos.rtd",,"OPEN_INT","."&amp;W$2&amp;W$1&amp;"C"&amp;$A5)*RTD("tos.rtd",,"GAMMA","."&amp;W$2&amp;W$1&amp;"C"&amp;$A5)-$A$4*$A$4*RTD("tos.rtd",,"OPEN_INT","."&amp;W$2&amp;W$1&amp;"P"&amp;$A5)*RTD("tos.rtd",,"GAMMA","."&amp;W$2&amp;W$1&amp;"P"&amp;$A5))/1000000,0),IF($A$2="SKEW",IFERROR(VALUE(IF(RTD("tos.rtd",,"IMPL_VOL","."&amp;W$2&amp;W$1&amp;"P"&amp;$A5)="N/A",0,RTD("tos.rtd",,"IMPL_VOL","."&amp;W$2&amp;W$1&amp;"P"&amp;$A5))),0)-IFERROR(VALUE(IF(RTD("tos.rtd",,"IMPL_VOL","."&amp;W$2&amp;W$1&amp;"C"&amp;$A5)="N/A",0,RTD("tos.rtd",,"IMPL_VOL","."&amp;W$2&amp;W$1&amp;"C"&amp;$A5))),0),IF($A$2="MAXPAIN",IF($A$4&gt;$A5,($A$4-$A5)*IF(RTD("tos.rtd",,"OPEN_INT","."&amp;W$2&amp;W$1&amp;"C"&amp;$A5)="N/A",0,RTD("tos.rtd",,"OPEN_INT","."&amp;W$2&amp;W$1&amp;"C"&amp;$A5)),0)+IF($A$4&lt;$A5,($A5-$A$4)*IF(RTD("tos.rtd",,"OPEN_INT","."&amp;W$2&amp;W$1&amp;"P"&amp;$A5)="N/A",0,RTD("tos.rtd",,"OPEN_INT","."&amp;W$2&amp;W$1&amp;"P"&amp;$A5)),0),IF(RTD("tos.rtd",,$A$2,"."&amp;W$2&amp;W$1&amp;"C"&amp;$A5)="N/A",0,RTD("tos.rtd",,$A$2,"."&amp;W$2&amp;W$1&amp;"C"&amp;$A5))-IF(RTD("tos.rtd",,$A$2,"."&amp;W$2&amp;W$1&amp;"P"&amp;$A5)="N/A",0,RTD("tos.rtd",,$A$2,"."&amp;W$2&amp;W$1&amp;"P"&amp;$A5)))))))))</f>
        <v>0</v>
      </c>
      <c r="X5" s="12">
        <f ca="1">SUMPRODUCT(B5:W5,$B$52:$W$52)</f>
        <v>0</v>
      </c>
      <c r="Y5" s="27">
        <f ca="1">+X5</f>
        <v>0</v>
      </c>
      <c r="AA5" s="35">
        <f t="shared" si="5"/>
        <v>4</v>
      </c>
      <c r="AB5" s="8">
        <f>+IF($AJ$1,AK5,TASTYOHLC!B5)</f>
        <v>609.02</v>
      </c>
      <c r="AC5" s="8">
        <f>+IF($AJ$1,AL5,TASTYOHLC!C5)</f>
        <v>609.71</v>
      </c>
      <c r="AD5" s="8">
        <f>+IF($AJ$1,AM5,TASTYOHLC!D5)</f>
        <v>603.03</v>
      </c>
      <c r="AE5" s="8">
        <f>+IF($AJ$1,AN5,TASTYOHLC!E5)</f>
        <v>604.51</v>
      </c>
      <c r="AF5" s="8"/>
      <c r="AJ5" s="37">
        <v>45937</v>
      </c>
      <c r="AK5" s="50">
        <v>609.02</v>
      </c>
      <c r="AL5" s="50">
        <v>609.71</v>
      </c>
      <c r="AM5" s="50">
        <v>603.03</v>
      </c>
      <c r="AN5" s="50">
        <v>604.51</v>
      </c>
      <c r="AO5" s="51">
        <v>72020067</v>
      </c>
    </row>
    <row r="6" spans="1:41" s="19" customFormat="1" ht="11.1" customHeight="1" thickBot="1" x14ac:dyDescent="0.3">
      <c r="A6" s="23">
        <f t="shared" si="6"/>
        <v>19</v>
      </c>
      <c r="B6" s="14">
        <f>IF($A$2="PREMIUM_OI",IFERROR((100*RTD("tos.rtd",,"OPEN_INT","."&amp;B$2&amp;B$1&amp;"C"&amp;$A6)*RTD("tos.rtd",,"LAST","."&amp;B$2&amp;B$1&amp;"C"&amp;$A6)-100*RTD("tos.rtd",,"OPEN_INT","."&amp;B$2&amp;B$1&amp;"P"&amp;$A6)*RTD("tos.rtd",,"LAST","."&amp;B$2&amp;B$1&amp;"P"&amp;$A6))/1000000,0),IF($A$2="PREMIUM",IFERROR((100*RTD("tos.rtd",,"VOLUME","."&amp;B$2&amp;B$1&amp;"C"&amp;$A6)*RTD("tos.rtd",,"LAST","."&amp;B$2&amp;B$1&amp;"C"&amp;$A6)-100*RTD("tos.rtd",,"VOLUME","."&amp;B$2&amp;B$1&amp;"P"&amp;$A6)*RTD("tos.rtd",,"LAST","."&amp;B$2&amp;B$1&amp;"P"&amp;$A6))/1000000,0),IF($A$2="DEX",IFERROR((100*RTD("tos.rtd",,"OPEN_INT","."&amp;B$2&amp;B$1&amp;"C"&amp;$A6)*RTD("tos.rtd",,"DELTA","."&amp;B$2&amp;B$1&amp;"C"&amp;$A6)-100*RTD("tos.rtd",,"OPEN_INT","."&amp;B$2&amp;B$1&amp;"P"&amp;$A6)*RTD("tos.rtd",,"DELTA","."&amp;B$2&amp;B$1&amp;"P"&amp;$A6))/1000,0),IF($A$2="VEX",IFERROR(($A$4*$A$4*RTD("tos.rtd",,"VOLUME","."&amp;B$2&amp;B$1&amp;"C"&amp;$A6)*RTD("tos.rtd",,"GAMMA","."&amp;B$2&amp;B$1&amp;"C"&amp;$A6)-$A$4*$A$4*RTD("tos.rtd",,"VOLUME","."&amp;B$2&amp;B$1&amp;"P"&amp;$A6)*RTD("tos.rtd",,"GAMMA","."&amp;B$2&amp;B$1&amp;"P"&amp;$A6))/1000000,0),IF($A$2="GEX",IFERROR(($A$4*$A$4*RTD("tos.rtd",,"OPEN_INT","."&amp;B$2&amp;B$1&amp;"C"&amp;$A6)*RTD("tos.rtd",,"GAMMA","."&amp;B$2&amp;B$1&amp;"C"&amp;$A6)-$A$4*$A$4*RTD("tos.rtd",,"OPEN_INT","."&amp;B$2&amp;B$1&amp;"P"&amp;$A6)*RTD("tos.rtd",,"GAMMA","."&amp;B$2&amp;B$1&amp;"P"&amp;$A6))/1000000,0),IF($A$2="SKEW",IFERROR(VALUE(IF(RTD("tos.rtd",,"IMPL_VOL","."&amp;B$2&amp;B$1&amp;"P"&amp;$A6)="N/A",0,RTD("tos.rtd",,"IMPL_VOL","."&amp;B$2&amp;B$1&amp;"P"&amp;$A6))),0)-IFERROR(VALUE(IF(RTD("tos.rtd",,"IMPL_VOL","."&amp;B$2&amp;B$1&amp;"C"&amp;$A6)="N/A",0,RTD("tos.rtd",,"IMPL_VOL","."&amp;B$2&amp;B$1&amp;"C"&amp;$A6))),0),IF($A$2="MAXPAIN",IF($A$4&gt;$A6,($A$4-$A6)*IF(RTD("tos.rtd",,"OPEN_INT","."&amp;B$2&amp;B$1&amp;"C"&amp;$A6)="N/A",0,RTD("tos.rtd",,"OPEN_INT","."&amp;B$2&amp;B$1&amp;"C"&amp;$A6)),0)+IF($A$4&lt;$A6,($A6-$A$4)*IF(RTD("tos.rtd",,"OPEN_INT","."&amp;B$2&amp;B$1&amp;"P"&amp;$A6)="N/A",0,RTD("tos.rtd",,"OPEN_INT","."&amp;B$2&amp;B$1&amp;"P"&amp;$A6)),0),IF(RTD("tos.rtd",,$A$2,"."&amp;B$2&amp;B$1&amp;"C"&amp;$A6)="N/A",0,RTD("tos.rtd",,$A$2,"."&amp;B$2&amp;B$1&amp;"C"&amp;$A6))-IF(RTD("tos.rtd",,$A$2,"."&amp;B$2&amp;B$1&amp;"P"&amp;$A6)="N/A",0,RTD("tos.rtd",,$A$2,"."&amp;B$2&amp;B$1&amp;"P"&amp;$A6)))))))))</f>
        <v>0</v>
      </c>
      <c r="C6" s="12">
        <f>IF($A$2="PREMIUM_OI",IFERROR((100*RTD("tos.rtd",,"OPEN_INT","."&amp;C$2&amp;C$1&amp;"C"&amp;$A6)*RTD("tos.rtd",,"LAST","."&amp;C$2&amp;C$1&amp;"C"&amp;$A6)-100*RTD("tos.rtd",,"OPEN_INT","."&amp;C$2&amp;C$1&amp;"P"&amp;$A6)*RTD("tos.rtd",,"LAST","."&amp;C$2&amp;C$1&amp;"P"&amp;$A6))/1000000,0),IF($A$2="PREMIUM",IFERROR((100*RTD("tos.rtd",,"VOLUME","."&amp;C$2&amp;C$1&amp;"C"&amp;$A6)*RTD("tos.rtd",,"LAST","."&amp;C$2&amp;C$1&amp;"C"&amp;$A6)-100*RTD("tos.rtd",,"VOLUME","."&amp;C$2&amp;C$1&amp;"P"&amp;$A6)*RTD("tos.rtd",,"LAST","."&amp;C$2&amp;C$1&amp;"P"&amp;$A6))/1000000,0),IF($A$2="DEX",IFERROR((100*RTD("tos.rtd",,"OPEN_INT","."&amp;C$2&amp;C$1&amp;"C"&amp;$A6)*RTD("tos.rtd",,"DELTA","."&amp;C$2&amp;C$1&amp;"C"&amp;$A6)-100*RTD("tos.rtd",,"OPEN_INT","."&amp;C$2&amp;C$1&amp;"P"&amp;$A6)*RTD("tos.rtd",,"DELTA","."&amp;C$2&amp;C$1&amp;"P"&amp;$A6))/1000,0),IF($A$2="VEX",IFERROR(($A$4*$A$4*RTD("tos.rtd",,"VOLUME","."&amp;C$2&amp;C$1&amp;"C"&amp;$A6)*RTD("tos.rtd",,"GAMMA","."&amp;C$2&amp;C$1&amp;"C"&amp;$A6)-$A$4*$A$4*RTD("tos.rtd",,"VOLUME","."&amp;C$2&amp;C$1&amp;"P"&amp;$A6)*RTD("tos.rtd",,"GAMMA","."&amp;C$2&amp;C$1&amp;"P"&amp;$A6))/1000000,0),IF($A$2="GEX",IFERROR(($A$4*$A$4*RTD("tos.rtd",,"OPEN_INT","."&amp;C$2&amp;C$1&amp;"C"&amp;$A6)*RTD("tos.rtd",,"GAMMA","."&amp;C$2&amp;C$1&amp;"C"&amp;$A6)-$A$4*$A$4*RTD("tos.rtd",,"OPEN_INT","."&amp;C$2&amp;C$1&amp;"P"&amp;$A6)*RTD("tos.rtd",,"GAMMA","."&amp;C$2&amp;C$1&amp;"P"&amp;$A6))/1000000,0),IF($A$2="SKEW",IFERROR(VALUE(IF(RTD("tos.rtd",,"IMPL_VOL","."&amp;C$2&amp;C$1&amp;"P"&amp;$A6)="N/A",0,RTD("tos.rtd",,"IMPL_VOL","."&amp;C$2&amp;C$1&amp;"P"&amp;$A6))),0)-IFERROR(VALUE(IF(RTD("tos.rtd",,"IMPL_VOL","."&amp;C$2&amp;C$1&amp;"C"&amp;$A6)="N/A",0,RTD("tos.rtd",,"IMPL_VOL","."&amp;C$2&amp;C$1&amp;"C"&amp;$A6))),0),IF($A$2="MAXPAIN",IF($A$4&gt;$A6,($A$4-$A6)*IF(RTD("tos.rtd",,"OPEN_INT","."&amp;C$2&amp;C$1&amp;"C"&amp;$A6)="N/A",0,RTD("tos.rtd",,"OPEN_INT","."&amp;C$2&amp;C$1&amp;"C"&amp;$A6)),0)+IF($A$4&lt;$A6,($A6-$A$4)*IF(RTD("tos.rtd",,"OPEN_INT","."&amp;C$2&amp;C$1&amp;"P"&amp;$A6)="N/A",0,RTD("tos.rtd",,"OPEN_INT","."&amp;C$2&amp;C$1&amp;"P"&amp;$A6)),0),IF(RTD("tos.rtd",,$A$2,"."&amp;C$2&amp;C$1&amp;"C"&amp;$A6)="N/A",0,RTD("tos.rtd",,$A$2,"."&amp;C$2&amp;C$1&amp;"C"&amp;$A6))-IF(RTD("tos.rtd",,$A$2,"."&amp;C$2&amp;C$1&amp;"P"&amp;$A6)="N/A",0,RTD("tos.rtd",,$A$2,"."&amp;C$2&amp;C$1&amp;"P"&amp;$A6)))))))))</f>
        <v>1341</v>
      </c>
      <c r="D6" s="12">
        <f>IF($A$2="PREMIUM_OI",IFERROR((100*RTD("tos.rtd",,"OPEN_INT","."&amp;D$2&amp;D$1&amp;"C"&amp;$A6)*RTD("tos.rtd",,"LAST","."&amp;D$2&amp;D$1&amp;"C"&amp;$A6)-100*RTD("tos.rtd",,"OPEN_INT","."&amp;D$2&amp;D$1&amp;"P"&amp;$A6)*RTD("tos.rtd",,"LAST","."&amp;D$2&amp;D$1&amp;"P"&amp;$A6))/1000000,0),IF($A$2="PREMIUM",IFERROR((100*RTD("tos.rtd",,"VOLUME","."&amp;D$2&amp;D$1&amp;"C"&amp;$A6)*RTD("tos.rtd",,"LAST","."&amp;D$2&amp;D$1&amp;"C"&amp;$A6)-100*RTD("tos.rtd",,"VOLUME","."&amp;D$2&amp;D$1&amp;"P"&amp;$A6)*RTD("tos.rtd",,"LAST","."&amp;D$2&amp;D$1&amp;"P"&amp;$A6))/1000000,0),IF($A$2="DEX",IFERROR((100*RTD("tos.rtd",,"OPEN_INT","."&amp;D$2&amp;D$1&amp;"C"&amp;$A6)*RTD("tos.rtd",,"DELTA","."&amp;D$2&amp;D$1&amp;"C"&amp;$A6)-100*RTD("tos.rtd",,"OPEN_INT","."&amp;D$2&amp;D$1&amp;"P"&amp;$A6)*RTD("tos.rtd",,"DELTA","."&amp;D$2&amp;D$1&amp;"P"&amp;$A6))/1000,0),IF($A$2="VEX",IFERROR(($A$4*$A$4*RTD("tos.rtd",,"VOLUME","."&amp;D$2&amp;D$1&amp;"C"&amp;$A6)*RTD("tos.rtd",,"GAMMA","."&amp;D$2&amp;D$1&amp;"C"&amp;$A6)-$A$4*$A$4*RTD("tos.rtd",,"VOLUME","."&amp;D$2&amp;D$1&amp;"P"&amp;$A6)*RTD("tos.rtd",,"GAMMA","."&amp;D$2&amp;D$1&amp;"P"&amp;$A6))/1000000,0),IF($A$2="GEX",IFERROR(($A$4*$A$4*RTD("tos.rtd",,"OPEN_INT","."&amp;D$2&amp;D$1&amp;"C"&amp;$A6)*RTD("tos.rtd",,"GAMMA","."&amp;D$2&amp;D$1&amp;"C"&amp;$A6)-$A$4*$A$4*RTD("tos.rtd",,"OPEN_INT","."&amp;D$2&amp;D$1&amp;"P"&amp;$A6)*RTD("tos.rtd",,"GAMMA","."&amp;D$2&amp;D$1&amp;"P"&amp;$A6))/1000000,0),IF($A$2="SKEW",IFERROR(VALUE(IF(RTD("tos.rtd",,"IMPL_VOL","."&amp;D$2&amp;D$1&amp;"P"&amp;$A6)="N/A",0,RTD("tos.rtd",,"IMPL_VOL","."&amp;D$2&amp;D$1&amp;"P"&amp;$A6))),0)-IFERROR(VALUE(IF(RTD("tos.rtd",,"IMPL_VOL","."&amp;D$2&amp;D$1&amp;"C"&amp;$A6)="N/A",0,RTD("tos.rtd",,"IMPL_VOL","."&amp;D$2&amp;D$1&amp;"C"&amp;$A6))),0),IF($A$2="MAXPAIN",IF($A$4&gt;$A6,($A$4-$A6)*IF(RTD("tos.rtd",,"OPEN_INT","."&amp;D$2&amp;D$1&amp;"C"&amp;$A6)="N/A",0,RTD("tos.rtd",,"OPEN_INT","."&amp;D$2&amp;D$1&amp;"C"&amp;$A6)),0)+IF($A$4&lt;$A6,($A6-$A$4)*IF(RTD("tos.rtd",,"OPEN_INT","."&amp;D$2&amp;D$1&amp;"P"&amp;$A6)="N/A",0,RTD("tos.rtd",,"OPEN_INT","."&amp;D$2&amp;D$1&amp;"P"&amp;$A6)),0),IF(RTD("tos.rtd",,$A$2,"."&amp;D$2&amp;D$1&amp;"C"&amp;$A6)="N/A",0,RTD("tos.rtd",,$A$2,"."&amp;D$2&amp;D$1&amp;"C"&amp;$A6))-IF(RTD("tos.rtd",,$A$2,"."&amp;D$2&amp;D$1&amp;"P"&amp;$A6)="N/A",0,RTD("tos.rtd",,$A$2,"."&amp;D$2&amp;D$1&amp;"P"&amp;$A6)))))))))</f>
        <v>0</v>
      </c>
      <c r="E6" s="12">
        <f>IF($A$2="PREMIUM_OI",IFERROR((100*RTD("tos.rtd",,"OPEN_INT","."&amp;E$2&amp;E$1&amp;"C"&amp;$A6)*RTD("tos.rtd",,"LAST","."&amp;E$2&amp;E$1&amp;"C"&amp;$A6)-100*RTD("tos.rtd",,"OPEN_INT","."&amp;E$2&amp;E$1&amp;"P"&amp;$A6)*RTD("tos.rtd",,"LAST","."&amp;E$2&amp;E$1&amp;"P"&amp;$A6))/1000000,0),IF($A$2="PREMIUM",IFERROR((100*RTD("tos.rtd",,"VOLUME","."&amp;E$2&amp;E$1&amp;"C"&amp;$A6)*RTD("tos.rtd",,"LAST","."&amp;E$2&amp;E$1&amp;"C"&amp;$A6)-100*RTD("tos.rtd",,"VOLUME","."&amp;E$2&amp;E$1&amp;"P"&amp;$A6)*RTD("tos.rtd",,"LAST","."&amp;E$2&amp;E$1&amp;"P"&amp;$A6))/1000000,0),IF($A$2="DEX",IFERROR((100*RTD("tos.rtd",,"OPEN_INT","."&amp;E$2&amp;E$1&amp;"C"&amp;$A6)*RTD("tos.rtd",,"DELTA","."&amp;E$2&amp;E$1&amp;"C"&amp;$A6)-100*RTD("tos.rtd",,"OPEN_INT","."&amp;E$2&amp;E$1&amp;"P"&amp;$A6)*RTD("tos.rtd",,"DELTA","."&amp;E$2&amp;E$1&amp;"P"&amp;$A6))/1000,0),IF($A$2="VEX",IFERROR(($A$4*$A$4*RTD("tos.rtd",,"VOLUME","."&amp;E$2&amp;E$1&amp;"C"&amp;$A6)*RTD("tos.rtd",,"GAMMA","."&amp;E$2&amp;E$1&amp;"C"&amp;$A6)-$A$4*$A$4*RTD("tos.rtd",,"VOLUME","."&amp;E$2&amp;E$1&amp;"P"&amp;$A6)*RTD("tos.rtd",,"GAMMA","."&amp;E$2&amp;E$1&amp;"P"&amp;$A6))/1000000,0),IF($A$2="GEX",IFERROR(($A$4*$A$4*RTD("tos.rtd",,"OPEN_INT","."&amp;E$2&amp;E$1&amp;"C"&amp;$A6)*RTD("tos.rtd",,"GAMMA","."&amp;E$2&amp;E$1&amp;"C"&amp;$A6)-$A$4*$A$4*RTD("tos.rtd",,"OPEN_INT","."&amp;E$2&amp;E$1&amp;"P"&amp;$A6)*RTD("tos.rtd",,"GAMMA","."&amp;E$2&amp;E$1&amp;"P"&amp;$A6))/1000000,0),IF($A$2="SKEW",IFERROR(VALUE(IF(RTD("tos.rtd",,"IMPL_VOL","."&amp;E$2&amp;E$1&amp;"P"&amp;$A6)="N/A",0,RTD("tos.rtd",,"IMPL_VOL","."&amp;E$2&amp;E$1&amp;"P"&amp;$A6))),0)-IFERROR(VALUE(IF(RTD("tos.rtd",,"IMPL_VOL","."&amp;E$2&amp;E$1&amp;"C"&amp;$A6)="N/A",0,RTD("tos.rtd",,"IMPL_VOL","."&amp;E$2&amp;E$1&amp;"C"&amp;$A6))),0),IF($A$2="MAXPAIN",IF($A$4&gt;$A6,($A$4-$A6)*IF(RTD("tos.rtd",,"OPEN_INT","."&amp;E$2&amp;E$1&amp;"C"&amp;$A6)="N/A",0,RTD("tos.rtd",,"OPEN_INT","."&amp;E$2&amp;E$1&amp;"C"&amp;$A6)),0)+IF($A$4&lt;$A6,($A6-$A$4)*IF(RTD("tos.rtd",,"OPEN_INT","."&amp;E$2&amp;E$1&amp;"P"&amp;$A6)="N/A",0,RTD("tos.rtd",,"OPEN_INT","."&amp;E$2&amp;E$1&amp;"P"&amp;$A6)),0),IF(RTD("tos.rtd",,$A$2,"."&amp;E$2&amp;E$1&amp;"C"&amp;$A6)="N/A",0,RTD("tos.rtd",,$A$2,"."&amp;E$2&amp;E$1&amp;"C"&amp;$A6))-IF(RTD("tos.rtd",,$A$2,"."&amp;E$2&amp;E$1&amp;"P"&amp;$A6)="N/A",0,RTD("tos.rtd",,$A$2,"."&amp;E$2&amp;E$1&amp;"P"&amp;$A6)))))))))</f>
        <v>0</v>
      </c>
      <c r="F6" s="12">
        <f>IF($A$2="PREMIUM_OI",IFERROR((100*RTD("tos.rtd",,"OPEN_INT","."&amp;F$2&amp;F$1&amp;"C"&amp;$A6)*RTD("tos.rtd",,"LAST","."&amp;F$2&amp;F$1&amp;"C"&amp;$A6)-100*RTD("tos.rtd",,"OPEN_INT","."&amp;F$2&amp;F$1&amp;"P"&amp;$A6)*RTD("tos.rtd",,"LAST","."&amp;F$2&amp;F$1&amp;"P"&amp;$A6))/1000000,0),IF($A$2="PREMIUM",IFERROR((100*RTD("tos.rtd",,"VOLUME","."&amp;F$2&amp;F$1&amp;"C"&amp;$A6)*RTD("tos.rtd",,"LAST","."&amp;F$2&amp;F$1&amp;"C"&amp;$A6)-100*RTD("tos.rtd",,"VOLUME","."&amp;F$2&amp;F$1&amp;"P"&amp;$A6)*RTD("tos.rtd",,"LAST","."&amp;F$2&amp;F$1&amp;"P"&amp;$A6))/1000000,0),IF($A$2="DEX",IFERROR((100*RTD("tos.rtd",,"OPEN_INT","."&amp;F$2&amp;F$1&amp;"C"&amp;$A6)*RTD("tos.rtd",,"DELTA","."&amp;F$2&amp;F$1&amp;"C"&amp;$A6)-100*RTD("tos.rtd",,"OPEN_INT","."&amp;F$2&amp;F$1&amp;"P"&amp;$A6)*RTD("tos.rtd",,"DELTA","."&amp;F$2&amp;F$1&amp;"P"&amp;$A6))/1000,0),IF($A$2="VEX",IFERROR(($A$4*$A$4*RTD("tos.rtd",,"VOLUME","."&amp;F$2&amp;F$1&amp;"C"&amp;$A6)*RTD("tos.rtd",,"GAMMA","."&amp;F$2&amp;F$1&amp;"C"&amp;$A6)-$A$4*$A$4*RTD("tos.rtd",,"VOLUME","."&amp;F$2&amp;F$1&amp;"P"&amp;$A6)*RTD("tos.rtd",,"GAMMA","."&amp;F$2&amp;F$1&amp;"P"&amp;$A6))/1000000,0),IF($A$2="GEX",IFERROR(($A$4*$A$4*RTD("tos.rtd",,"OPEN_INT","."&amp;F$2&amp;F$1&amp;"C"&amp;$A6)*RTD("tos.rtd",,"GAMMA","."&amp;F$2&amp;F$1&amp;"C"&amp;$A6)-$A$4*$A$4*RTD("tos.rtd",,"OPEN_INT","."&amp;F$2&amp;F$1&amp;"P"&amp;$A6)*RTD("tos.rtd",,"GAMMA","."&amp;F$2&amp;F$1&amp;"P"&amp;$A6))/1000000,0),IF($A$2="SKEW",IFERROR(VALUE(IF(RTD("tos.rtd",,"IMPL_VOL","."&amp;F$2&amp;F$1&amp;"P"&amp;$A6)="N/A",0,RTD("tos.rtd",,"IMPL_VOL","."&amp;F$2&amp;F$1&amp;"P"&amp;$A6))),0)-IFERROR(VALUE(IF(RTD("tos.rtd",,"IMPL_VOL","."&amp;F$2&amp;F$1&amp;"C"&amp;$A6)="N/A",0,RTD("tos.rtd",,"IMPL_VOL","."&amp;F$2&amp;F$1&amp;"C"&amp;$A6))),0),IF($A$2="MAXPAIN",IF($A$4&gt;$A6,($A$4-$A6)*IF(RTD("tos.rtd",,"OPEN_INT","."&amp;F$2&amp;F$1&amp;"C"&amp;$A6)="N/A",0,RTD("tos.rtd",,"OPEN_INT","."&amp;F$2&amp;F$1&amp;"C"&amp;$A6)),0)+IF($A$4&lt;$A6,($A6-$A$4)*IF(RTD("tos.rtd",,"OPEN_INT","."&amp;F$2&amp;F$1&amp;"P"&amp;$A6)="N/A",0,RTD("tos.rtd",,"OPEN_INT","."&amp;F$2&amp;F$1&amp;"P"&amp;$A6)),0),IF(RTD("tos.rtd",,$A$2,"."&amp;F$2&amp;F$1&amp;"C"&amp;$A6)="N/A",0,RTD("tos.rtd",,$A$2,"."&amp;F$2&amp;F$1&amp;"C"&amp;$A6))-IF(RTD("tos.rtd",,$A$2,"."&amp;F$2&amp;F$1&amp;"P"&amp;$A6)="N/A",0,RTD("tos.rtd",,$A$2,"."&amp;F$2&amp;F$1&amp;"P"&amp;$A6)))))))))</f>
        <v>0</v>
      </c>
      <c r="G6" s="14">
        <f>IF($A$2="PREMIUM_OI",IFERROR((100*RTD("tos.rtd",,"OPEN_INT","."&amp;G$2&amp;G$1&amp;"C"&amp;$A6)*RTD("tos.rtd",,"LAST","."&amp;G$2&amp;G$1&amp;"C"&amp;$A6)-100*RTD("tos.rtd",,"OPEN_INT","."&amp;G$2&amp;G$1&amp;"P"&amp;$A6)*RTD("tos.rtd",,"LAST","."&amp;G$2&amp;G$1&amp;"P"&amp;$A6))/1000000,0),IF($A$2="PREMIUM",IFERROR((100*RTD("tos.rtd",,"VOLUME","."&amp;G$2&amp;G$1&amp;"C"&amp;$A6)*RTD("tos.rtd",,"LAST","."&amp;G$2&amp;G$1&amp;"C"&amp;$A6)-100*RTD("tos.rtd",,"VOLUME","."&amp;G$2&amp;G$1&amp;"P"&amp;$A6)*RTD("tos.rtd",,"LAST","."&amp;G$2&amp;G$1&amp;"P"&amp;$A6))/1000000,0),IF($A$2="DEX",IFERROR((100*RTD("tos.rtd",,"OPEN_INT","."&amp;G$2&amp;G$1&amp;"C"&amp;$A6)*RTD("tos.rtd",,"DELTA","."&amp;G$2&amp;G$1&amp;"C"&amp;$A6)-100*RTD("tos.rtd",,"OPEN_INT","."&amp;G$2&amp;G$1&amp;"P"&amp;$A6)*RTD("tos.rtd",,"DELTA","."&amp;G$2&amp;G$1&amp;"P"&amp;$A6))/1000,0),IF($A$2="VEX",IFERROR(($A$4*$A$4*RTD("tos.rtd",,"VOLUME","."&amp;G$2&amp;G$1&amp;"C"&amp;$A6)*RTD("tos.rtd",,"GAMMA","."&amp;G$2&amp;G$1&amp;"C"&amp;$A6)-$A$4*$A$4*RTD("tos.rtd",,"VOLUME","."&amp;G$2&amp;G$1&amp;"P"&amp;$A6)*RTD("tos.rtd",,"GAMMA","."&amp;G$2&amp;G$1&amp;"P"&amp;$A6))/1000000,0),IF($A$2="GEX",IFERROR(($A$4*$A$4*RTD("tos.rtd",,"OPEN_INT","."&amp;G$2&amp;G$1&amp;"C"&amp;$A6)*RTD("tos.rtd",,"GAMMA","."&amp;G$2&amp;G$1&amp;"C"&amp;$A6)-$A$4*$A$4*RTD("tos.rtd",,"OPEN_INT","."&amp;G$2&amp;G$1&amp;"P"&amp;$A6)*RTD("tos.rtd",,"GAMMA","."&amp;G$2&amp;G$1&amp;"P"&amp;$A6))/1000000,0),IF($A$2="SKEW",IFERROR(VALUE(IF(RTD("tos.rtd",,"IMPL_VOL","."&amp;G$2&amp;G$1&amp;"P"&amp;$A6)="N/A",0,RTD("tos.rtd",,"IMPL_VOL","."&amp;G$2&amp;G$1&amp;"P"&amp;$A6))),0)-IFERROR(VALUE(IF(RTD("tos.rtd",,"IMPL_VOL","."&amp;G$2&amp;G$1&amp;"C"&amp;$A6)="N/A",0,RTD("tos.rtd",,"IMPL_VOL","."&amp;G$2&amp;G$1&amp;"C"&amp;$A6))),0),IF($A$2="MAXPAIN",IF($A$4&gt;$A6,($A$4-$A6)*IF(RTD("tos.rtd",,"OPEN_INT","."&amp;G$2&amp;G$1&amp;"C"&amp;$A6)="N/A",0,RTD("tos.rtd",,"OPEN_INT","."&amp;G$2&amp;G$1&amp;"C"&amp;$A6)),0)+IF($A$4&lt;$A6,($A6-$A$4)*IF(RTD("tos.rtd",,"OPEN_INT","."&amp;G$2&amp;G$1&amp;"P"&amp;$A6)="N/A",0,RTD("tos.rtd",,"OPEN_INT","."&amp;G$2&amp;G$1&amp;"P"&amp;$A6)),0),IF(RTD("tos.rtd",,$A$2,"."&amp;G$2&amp;G$1&amp;"C"&amp;$A6)="N/A",0,RTD("tos.rtd",,$A$2,"."&amp;G$2&amp;G$1&amp;"C"&amp;$A6))-IF(RTD("tos.rtd",,$A$2,"."&amp;G$2&amp;G$1&amp;"P"&amp;$A6)="N/A",0,RTD("tos.rtd",,$A$2,"."&amp;G$2&amp;G$1&amp;"P"&amp;$A6)))))))))</f>
        <v>0</v>
      </c>
      <c r="H6" s="12">
        <f>IF($A$2="PREMIUM_OI",IFERROR((100*RTD("tos.rtd",,"OPEN_INT","."&amp;H$2&amp;H$1&amp;"C"&amp;$A6)*RTD("tos.rtd",,"LAST","."&amp;H$2&amp;H$1&amp;"C"&amp;$A6)-100*RTD("tos.rtd",,"OPEN_INT","."&amp;H$2&amp;H$1&amp;"P"&amp;$A6)*RTD("tos.rtd",,"LAST","."&amp;H$2&amp;H$1&amp;"P"&amp;$A6))/1000000,0),IF($A$2="PREMIUM",IFERROR((100*RTD("tos.rtd",,"VOLUME","."&amp;H$2&amp;H$1&amp;"C"&amp;$A6)*RTD("tos.rtd",,"LAST","."&amp;H$2&amp;H$1&amp;"C"&amp;$A6)-100*RTD("tos.rtd",,"VOLUME","."&amp;H$2&amp;H$1&amp;"P"&amp;$A6)*RTD("tos.rtd",,"LAST","."&amp;H$2&amp;H$1&amp;"P"&amp;$A6))/1000000,0),IF($A$2="DEX",IFERROR((100*RTD("tos.rtd",,"OPEN_INT","."&amp;H$2&amp;H$1&amp;"C"&amp;$A6)*RTD("tos.rtd",,"DELTA","."&amp;H$2&amp;H$1&amp;"C"&amp;$A6)-100*RTD("tos.rtd",,"OPEN_INT","."&amp;H$2&amp;H$1&amp;"P"&amp;$A6)*RTD("tos.rtd",,"DELTA","."&amp;H$2&amp;H$1&amp;"P"&amp;$A6))/1000,0),IF($A$2="VEX",IFERROR(($A$4*$A$4*RTD("tos.rtd",,"VOLUME","."&amp;H$2&amp;H$1&amp;"C"&amp;$A6)*RTD("tos.rtd",,"GAMMA","."&amp;H$2&amp;H$1&amp;"C"&amp;$A6)-$A$4*$A$4*RTD("tos.rtd",,"VOLUME","."&amp;H$2&amp;H$1&amp;"P"&amp;$A6)*RTD("tos.rtd",,"GAMMA","."&amp;H$2&amp;H$1&amp;"P"&amp;$A6))/1000000,0),IF($A$2="GEX",IFERROR(($A$4*$A$4*RTD("tos.rtd",,"OPEN_INT","."&amp;H$2&amp;H$1&amp;"C"&amp;$A6)*RTD("tos.rtd",,"GAMMA","."&amp;H$2&amp;H$1&amp;"C"&amp;$A6)-$A$4*$A$4*RTD("tos.rtd",,"OPEN_INT","."&amp;H$2&amp;H$1&amp;"P"&amp;$A6)*RTD("tos.rtd",,"GAMMA","."&amp;H$2&amp;H$1&amp;"P"&amp;$A6))/1000000,0),IF($A$2="SKEW",IFERROR(VALUE(IF(RTD("tos.rtd",,"IMPL_VOL","."&amp;H$2&amp;H$1&amp;"P"&amp;$A6)="N/A",0,RTD("tos.rtd",,"IMPL_VOL","."&amp;H$2&amp;H$1&amp;"P"&amp;$A6))),0)-IFERROR(VALUE(IF(RTD("tos.rtd",,"IMPL_VOL","."&amp;H$2&amp;H$1&amp;"C"&amp;$A6)="N/A",0,RTD("tos.rtd",,"IMPL_VOL","."&amp;H$2&amp;H$1&amp;"C"&amp;$A6))),0),IF($A$2="MAXPAIN",IF($A$4&gt;$A6,($A$4-$A6)*IF(RTD("tos.rtd",,"OPEN_INT","."&amp;H$2&amp;H$1&amp;"C"&amp;$A6)="N/A",0,RTD("tos.rtd",,"OPEN_INT","."&amp;H$2&amp;H$1&amp;"C"&amp;$A6)),0)+IF($A$4&lt;$A6,($A6-$A$4)*IF(RTD("tos.rtd",,"OPEN_INT","."&amp;H$2&amp;H$1&amp;"P"&amp;$A6)="N/A",0,RTD("tos.rtd",,"OPEN_INT","."&amp;H$2&amp;H$1&amp;"P"&amp;$A6)),0),IF(RTD("tos.rtd",,$A$2,"."&amp;H$2&amp;H$1&amp;"C"&amp;$A6)="N/A",0,RTD("tos.rtd",,$A$2,"."&amp;H$2&amp;H$1&amp;"C"&amp;$A6))-IF(RTD("tos.rtd",,$A$2,"."&amp;H$2&amp;H$1&amp;"P"&amp;$A6)="N/A",0,RTD("tos.rtd",,$A$2,"."&amp;H$2&amp;H$1&amp;"P"&amp;$A6)))))))))</f>
        <v>1337</v>
      </c>
      <c r="I6" s="12">
        <f>IF($A$2="PREMIUM_OI",IFERROR((100*RTD("tos.rtd",,"OPEN_INT","."&amp;I$2&amp;I$1&amp;"C"&amp;$A6)*RTD("tos.rtd",,"LAST","."&amp;I$2&amp;I$1&amp;"C"&amp;$A6)-100*RTD("tos.rtd",,"OPEN_INT","."&amp;I$2&amp;I$1&amp;"P"&amp;$A6)*RTD("tos.rtd",,"LAST","."&amp;I$2&amp;I$1&amp;"P"&amp;$A6))/1000000,0),IF($A$2="PREMIUM",IFERROR((100*RTD("tos.rtd",,"VOLUME","."&amp;I$2&amp;I$1&amp;"C"&amp;$A6)*RTD("tos.rtd",,"LAST","."&amp;I$2&amp;I$1&amp;"C"&amp;$A6)-100*RTD("tos.rtd",,"VOLUME","."&amp;I$2&amp;I$1&amp;"P"&amp;$A6)*RTD("tos.rtd",,"LAST","."&amp;I$2&amp;I$1&amp;"P"&amp;$A6))/1000000,0),IF($A$2="DEX",IFERROR((100*RTD("tos.rtd",,"OPEN_INT","."&amp;I$2&amp;I$1&amp;"C"&amp;$A6)*RTD("tos.rtd",,"DELTA","."&amp;I$2&amp;I$1&amp;"C"&amp;$A6)-100*RTD("tos.rtd",,"OPEN_INT","."&amp;I$2&amp;I$1&amp;"P"&amp;$A6)*RTD("tos.rtd",,"DELTA","."&amp;I$2&amp;I$1&amp;"P"&amp;$A6))/1000,0),IF($A$2="VEX",IFERROR(($A$4*$A$4*RTD("tos.rtd",,"VOLUME","."&amp;I$2&amp;I$1&amp;"C"&amp;$A6)*RTD("tos.rtd",,"GAMMA","."&amp;I$2&amp;I$1&amp;"C"&amp;$A6)-$A$4*$A$4*RTD("tos.rtd",,"VOLUME","."&amp;I$2&amp;I$1&amp;"P"&amp;$A6)*RTD("tos.rtd",,"GAMMA","."&amp;I$2&amp;I$1&amp;"P"&amp;$A6))/1000000,0),IF($A$2="GEX",IFERROR(($A$4*$A$4*RTD("tos.rtd",,"OPEN_INT","."&amp;I$2&amp;I$1&amp;"C"&amp;$A6)*RTD("tos.rtd",,"GAMMA","."&amp;I$2&amp;I$1&amp;"C"&amp;$A6)-$A$4*$A$4*RTD("tos.rtd",,"OPEN_INT","."&amp;I$2&amp;I$1&amp;"P"&amp;$A6)*RTD("tos.rtd",,"GAMMA","."&amp;I$2&amp;I$1&amp;"P"&amp;$A6))/1000000,0),IF($A$2="SKEW",IFERROR(VALUE(IF(RTD("tos.rtd",,"IMPL_VOL","."&amp;I$2&amp;I$1&amp;"P"&amp;$A6)="N/A",0,RTD("tos.rtd",,"IMPL_VOL","."&amp;I$2&amp;I$1&amp;"P"&amp;$A6))),0)-IFERROR(VALUE(IF(RTD("tos.rtd",,"IMPL_VOL","."&amp;I$2&amp;I$1&amp;"C"&amp;$A6)="N/A",0,RTD("tos.rtd",,"IMPL_VOL","."&amp;I$2&amp;I$1&amp;"C"&amp;$A6))),0),IF($A$2="MAXPAIN",IF($A$4&gt;$A6,($A$4-$A6)*IF(RTD("tos.rtd",,"OPEN_INT","."&amp;I$2&amp;I$1&amp;"C"&amp;$A6)="N/A",0,RTD("tos.rtd",,"OPEN_INT","."&amp;I$2&amp;I$1&amp;"C"&amp;$A6)),0)+IF($A$4&lt;$A6,($A6-$A$4)*IF(RTD("tos.rtd",,"OPEN_INT","."&amp;I$2&amp;I$1&amp;"P"&amp;$A6)="N/A",0,RTD("tos.rtd",,"OPEN_INT","."&amp;I$2&amp;I$1&amp;"P"&amp;$A6)),0),IF(RTD("tos.rtd",,$A$2,"."&amp;I$2&amp;I$1&amp;"C"&amp;$A6)="N/A",0,RTD("tos.rtd",,$A$2,"."&amp;I$2&amp;I$1&amp;"C"&amp;$A6))-IF(RTD("tos.rtd",,$A$2,"."&amp;I$2&amp;I$1&amp;"P"&amp;$A6)="N/A",0,RTD("tos.rtd",,$A$2,"."&amp;I$2&amp;I$1&amp;"P"&amp;$A6)))))))))</f>
        <v>0</v>
      </c>
      <c r="J6" s="12">
        <f>IF($A$2="PREMIUM_OI",IFERROR((100*RTD("tos.rtd",,"OPEN_INT","."&amp;J$2&amp;J$1&amp;"C"&amp;$A6)*RTD("tos.rtd",,"LAST","."&amp;J$2&amp;J$1&amp;"C"&amp;$A6)-100*RTD("tos.rtd",,"OPEN_INT","."&amp;J$2&amp;J$1&amp;"P"&amp;$A6)*RTD("tos.rtd",,"LAST","."&amp;J$2&amp;J$1&amp;"P"&amp;$A6))/1000000,0),IF($A$2="PREMIUM",IFERROR((100*RTD("tos.rtd",,"VOLUME","."&amp;J$2&amp;J$1&amp;"C"&amp;$A6)*RTD("tos.rtd",,"LAST","."&amp;J$2&amp;J$1&amp;"C"&amp;$A6)-100*RTD("tos.rtd",,"VOLUME","."&amp;J$2&amp;J$1&amp;"P"&amp;$A6)*RTD("tos.rtd",,"LAST","."&amp;J$2&amp;J$1&amp;"P"&amp;$A6))/1000000,0),IF($A$2="DEX",IFERROR((100*RTD("tos.rtd",,"OPEN_INT","."&amp;J$2&amp;J$1&amp;"C"&amp;$A6)*RTD("tos.rtd",,"DELTA","."&amp;J$2&amp;J$1&amp;"C"&amp;$A6)-100*RTD("tos.rtd",,"OPEN_INT","."&amp;J$2&amp;J$1&amp;"P"&amp;$A6)*RTD("tos.rtd",,"DELTA","."&amp;J$2&amp;J$1&amp;"P"&amp;$A6))/1000,0),IF($A$2="VEX",IFERROR(($A$4*$A$4*RTD("tos.rtd",,"VOLUME","."&amp;J$2&amp;J$1&amp;"C"&amp;$A6)*RTD("tos.rtd",,"GAMMA","."&amp;J$2&amp;J$1&amp;"C"&amp;$A6)-$A$4*$A$4*RTD("tos.rtd",,"VOLUME","."&amp;J$2&amp;J$1&amp;"P"&amp;$A6)*RTD("tos.rtd",,"GAMMA","."&amp;J$2&amp;J$1&amp;"P"&amp;$A6))/1000000,0),IF($A$2="GEX",IFERROR(($A$4*$A$4*RTD("tos.rtd",,"OPEN_INT","."&amp;J$2&amp;J$1&amp;"C"&amp;$A6)*RTD("tos.rtd",,"GAMMA","."&amp;J$2&amp;J$1&amp;"C"&amp;$A6)-$A$4*$A$4*RTD("tos.rtd",,"OPEN_INT","."&amp;J$2&amp;J$1&amp;"P"&amp;$A6)*RTD("tos.rtd",,"GAMMA","."&amp;J$2&amp;J$1&amp;"P"&amp;$A6))/1000000,0),IF($A$2="SKEW",IFERROR(VALUE(IF(RTD("tos.rtd",,"IMPL_VOL","."&amp;J$2&amp;J$1&amp;"P"&amp;$A6)="N/A",0,RTD("tos.rtd",,"IMPL_VOL","."&amp;J$2&amp;J$1&amp;"P"&amp;$A6))),0)-IFERROR(VALUE(IF(RTD("tos.rtd",,"IMPL_VOL","."&amp;J$2&amp;J$1&amp;"C"&amp;$A6)="N/A",0,RTD("tos.rtd",,"IMPL_VOL","."&amp;J$2&amp;J$1&amp;"C"&amp;$A6))),0),IF($A$2="MAXPAIN",IF($A$4&gt;$A6,($A$4-$A6)*IF(RTD("tos.rtd",,"OPEN_INT","."&amp;J$2&amp;J$1&amp;"C"&amp;$A6)="N/A",0,RTD("tos.rtd",,"OPEN_INT","."&amp;J$2&amp;J$1&amp;"C"&amp;$A6)),0)+IF($A$4&lt;$A6,($A6-$A$4)*IF(RTD("tos.rtd",,"OPEN_INT","."&amp;J$2&amp;J$1&amp;"P"&amp;$A6)="N/A",0,RTD("tos.rtd",,"OPEN_INT","."&amp;J$2&amp;J$1&amp;"P"&amp;$A6)),0),IF(RTD("tos.rtd",,$A$2,"."&amp;J$2&amp;J$1&amp;"C"&amp;$A6)="N/A",0,RTD("tos.rtd",,$A$2,"."&amp;J$2&amp;J$1&amp;"C"&amp;$A6))-IF(RTD("tos.rtd",,$A$2,"."&amp;J$2&amp;J$1&amp;"P"&amp;$A6)="N/A",0,RTD("tos.rtd",,$A$2,"."&amp;J$2&amp;J$1&amp;"P"&amp;$A6)))))))))</f>
        <v>0</v>
      </c>
      <c r="K6" s="12">
        <f>IF($A$2="PREMIUM_OI",IFERROR((100*RTD("tos.rtd",,"OPEN_INT","."&amp;K$2&amp;K$1&amp;"C"&amp;$A6)*RTD("tos.rtd",,"LAST","."&amp;K$2&amp;K$1&amp;"C"&amp;$A6)-100*RTD("tos.rtd",,"OPEN_INT","."&amp;K$2&amp;K$1&amp;"P"&amp;$A6)*RTD("tos.rtd",,"LAST","."&amp;K$2&amp;K$1&amp;"P"&amp;$A6))/1000000,0),IF($A$2="PREMIUM",IFERROR((100*RTD("tos.rtd",,"VOLUME","."&amp;K$2&amp;K$1&amp;"C"&amp;$A6)*RTD("tos.rtd",,"LAST","."&amp;K$2&amp;K$1&amp;"C"&amp;$A6)-100*RTD("tos.rtd",,"VOLUME","."&amp;K$2&amp;K$1&amp;"P"&amp;$A6)*RTD("tos.rtd",,"LAST","."&amp;K$2&amp;K$1&amp;"P"&amp;$A6))/1000000,0),IF($A$2="DEX",IFERROR((100*RTD("tos.rtd",,"OPEN_INT","."&amp;K$2&amp;K$1&amp;"C"&amp;$A6)*RTD("tos.rtd",,"DELTA","."&amp;K$2&amp;K$1&amp;"C"&amp;$A6)-100*RTD("tos.rtd",,"OPEN_INT","."&amp;K$2&amp;K$1&amp;"P"&amp;$A6)*RTD("tos.rtd",,"DELTA","."&amp;K$2&amp;K$1&amp;"P"&amp;$A6))/1000,0),IF($A$2="VEX",IFERROR(($A$4*$A$4*RTD("tos.rtd",,"VOLUME","."&amp;K$2&amp;K$1&amp;"C"&amp;$A6)*RTD("tos.rtd",,"GAMMA","."&amp;K$2&amp;K$1&amp;"C"&amp;$A6)-$A$4*$A$4*RTD("tos.rtd",,"VOLUME","."&amp;K$2&amp;K$1&amp;"P"&amp;$A6)*RTD("tos.rtd",,"GAMMA","."&amp;K$2&amp;K$1&amp;"P"&amp;$A6))/1000000,0),IF($A$2="GEX",IFERROR(($A$4*$A$4*RTD("tos.rtd",,"OPEN_INT","."&amp;K$2&amp;K$1&amp;"C"&amp;$A6)*RTD("tos.rtd",,"GAMMA","."&amp;K$2&amp;K$1&amp;"C"&amp;$A6)-$A$4*$A$4*RTD("tos.rtd",,"OPEN_INT","."&amp;K$2&amp;K$1&amp;"P"&amp;$A6)*RTD("tos.rtd",,"GAMMA","."&amp;K$2&amp;K$1&amp;"P"&amp;$A6))/1000000,0),IF($A$2="SKEW",IFERROR(VALUE(IF(RTD("tos.rtd",,"IMPL_VOL","."&amp;K$2&amp;K$1&amp;"P"&amp;$A6)="N/A",0,RTD("tos.rtd",,"IMPL_VOL","."&amp;K$2&amp;K$1&amp;"P"&amp;$A6))),0)-IFERROR(VALUE(IF(RTD("tos.rtd",,"IMPL_VOL","."&amp;K$2&amp;K$1&amp;"C"&amp;$A6)="N/A",0,RTD("tos.rtd",,"IMPL_VOL","."&amp;K$2&amp;K$1&amp;"C"&amp;$A6))),0),IF($A$2="MAXPAIN",IF($A$4&gt;$A6,($A$4-$A6)*IF(RTD("tos.rtd",,"OPEN_INT","."&amp;K$2&amp;K$1&amp;"C"&amp;$A6)="N/A",0,RTD("tos.rtd",,"OPEN_INT","."&amp;K$2&amp;K$1&amp;"C"&amp;$A6)),0)+IF($A$4&lt;$A6,($A6-$A$4)*IF(RTD("tos.rtd",,"OPEN_INT","."&amp;K$2&amp;K$1&amp;"P"&amp;$A6)="N/A",0,RTD("tos.rtd",,"OPEN_INT","."&amp;K$2&amp;K$1&amp;"P"&amp;$A6)),0),IF(RTD("tos.rtd",,$A$2,"."&amp;K$2&amp;K$1&amp;"C"&amp;$A6)="N/A",0,RTD("tos.rtd",,$A$2,"."&amp;K$2&amp;K$1&amp;"C"&amp;$A6))-IF(RTD("tos.rtd",,$A$2,"."&amp;K$2&amp;K$1&amp;"P"&amp;$A6)="N/A",0,RTD("tos.rtd",,$A$2,"."&amp;K$2&amp;K$1&amp;"P"&amp;$A6)))))))))</f>
        <v>0</v>
      </c>
      <c r="L6" s="12">
        <f>IF($A$2="PREMIUM_OI",IFERROR((100*RTD("tos.rtd",,"OPEN_INT","."&amp;L$2&amp;L$1&amp;"C"&amp;$A6)*RTD("tos.rtd",,"LAST","."&amp;L$2&amp;L$1&amp;"C"&amp;$A6)-100*RTD("tos.rtd",,"OPEN_INT","."&amp;L$2&amp;L$1&amp;"P"&amp;$A6)*RTD("tos.rtd",,"LAST","."&amp;L$2&amp;L$1&amp;"P"&amp;$A6))/1000000,0),IF($A$2="PREMIUM",IFERROR((100*RTD("tos.rtd",,"VOLUME","."&amp;L$2&amp;L$1&amp;"C"&amp;$A6)*RTD("tos.rtd",,"LAST","."&amp;L$2&amp;L$1&amp;"C"&amp;$A6)-100*RTD("tos.rtd",,"VOLUME","."&amp;L$2&amp;L$1&amp;"P"&amp;$A6)*RTD("tos.rtd",,"LAST","."&amp;L$2&amp;L$1&amp;"P"&amp;$A6))/1000000,0),IF($A$2="DEX",IFERROR((100*RTD("tos.rtd",,"OPEN_INT","."&amp;L$2&amp;L$1&amp;"C"&amp;$A6)*RTD("tos.rtd",,"DELTA","."&amp;L$2&amp;L$1&amp;"C"&amp;$A6)-100*RTD("tos.rtd",,"OPEN_INT","."&amp;L$2&amp;L$1&amp;"P"&amp;$A6)*RTD("tos.rtd",,"DELTA","."&amp;L$2&amp;L$1&amp;"P"&amp;$A6))/1000,0),IF($A$2="VEX",IFERROR(($A$4*$A$4*RTD("tos.rtd",,"VOLUME","."&amp;L$2&amp;L$1&amp;"C"&amp;$A6)*RTD("tos.rtd",,"GAMMA","."&amp;L$2&amp;L$1&amp;"C"&amp;$A6)-$A$4*$A$4*RTD("tos.rtd",,"VOLUME","."&amp;L$2&amp;L$1&amp;"P"&amp;$A6)*RTD("tos.rtd",,"GAMMA","."&amp;L$2&amp;L$1&amp;"P"&amp;$A6))/1000000,0),IF($A$2="GEX",IFERROR(($A$4*$A$4*RTD("tos.rtd",,"OPEN_INT","."&amp;L$2&amp;L$1&amp;"C"&amp;$A6)*RTD("tos.rtd",,"GAMMA","."&amp;L$2&amp;L$1&amp;"C"&amp;$A6)-$A$4*$A$4*RTD("tos.rtd",,"OPEN_INT","."&amp;L$2&amp;L$1&amp;"P"&amp;$A6)*RTD("tos.rtd",,"GAMMA","."&amp;L$2&amp;L$1&amp;"P"&amp;$A6))/1000000,0),IF($A$2="SKEW",IFERROR(VALUE(IF(RTD("tos.rtd",,"IMPL_VOL","."&amp;L$2&amp;L$1&amp;"P"&amp;$A6)="N/A",0,RTD("tos.rtd",,"IMPL_VOL","."&amp;L$2&amp;L$1&amp;"P"&amp;$A6))),0)-IFERROR(VALUE(IF(RTD("tos.rtd",,"IMPL_VOL","."&amp;L$2&amp;L$1&amp;"C"&amp;$A6)="N/A",0,RTD("tos.rtd",,"IMPL_VOL","."&amp;L$2&amp;L$1&amp;"C"&amp;$A6))),0),IF($A$2="MAXPAIN",IF($A$4&gt;$A6,($A$4-$A6)*IF(RTD("tos.rtd",,"OPEN_INT","."&amp;L$2&amp;L$1&amp;"C"&amp;$A6)="N/A",0,RTD("tos.rtd",,"OPEN_INT","."&amp;L$2&amp;L$1&amp;"C"&amp;$A6)),0)+IF($A$4&lt;$A6,($A6-$A$4)*IF(RTD("tos.rtd",,"OPEN_INT","."&amp;L$2&amp;L$1&amp;"P"&amp;$A6)="N/A",0,RTD("tos.rtd",,"OPEN_INT","."&amp;L$2&amp;L$1&amp;"P"&amp;$A6)),0),IF(RTD("tos.rtd",,$A$2,"."&amp;L$2&amp;L$1&amp;"C"&amp;$A6)="N/A",0,RTD("tos.rtd",,$A$2,"."&amp;L$2&amp;L$1&amp;"C"&amp;$A6))-IF(RTD("tos.rtd",,$A$2,"."&amp;L$2&amp;L$1&amp;"P"&amp;$A6)="N/A",0,RTD("tos.rtd",,$A$2,"."&amp;L$2&amp;L$1&amp;"P"&amp;$A6)))))))))</f>
        <v>0</v>
      </c>
      <c r="M6" s="12">
        <f>IF($A$2="PREMIUM_OI",IFERROR((100*RTD("tos.rtd",,"OPEN_INT","."&amp;M$2&amp;M$1&amp;"C"&amp;$A6)*RTD("tos.rtd",,"LAST","."&amp;M$2&amp;M$1&amp;"C"&amp;$A6)-100*RTD("tos.rtd",,"OPEN_INT","."&amp;M$2&amp;M$1&amp;"P"&amp;$A6)*RTD("tos.rtd",,"LAST","."&amp;M$2&amp;M$1&amp;"P"&amp;$A6))/1000000,0),IF($A$2="PREMIUM",IFERROR((100*RTD("tos.rtd",,"VOLUME","."&amp;M$2&amp;M$1&amp;"C"&amp;$A6)*RTD("tos.rtd",,"LAST","."&amp;M$2&amp;M$1&amp;"C"&amp;$A6)-100*RTD("tos.rtd",,"VOLUME","."&amp;M$2&amp;M$1&amp;"P"&amp;$A6)*RTD("tos.rtd",,"LAST","."&amp;M$2&amp;M$1&amp;"P"&amp;$A6))/1000000,0),IF($A$2="DEX",IFERROR((100*RTD("tos.rtd",,"OPEN_INT","."&amp;M$2&amp;M$1&amp;"C"&amp;$A6)*RTD("tos.rtd",,"DELTA","."&amp;M$2&amp;M$1&amp;"C"&amp;$A6)-100*RTD("tos.rtd",,"OPEN_INT","."&amp;M$2&amp;M$1&amp;"P"&amp;$A6)*RTD("tos.rtd",,"DELTA","."&amp;M$2&amp;M$1&amp;"P"&amp;$A6))/1000,0),IF($A$2="VEX",IFERROR(($A$4*$A$4*RTD("tos.rtd",,"VOLUME","."&amp;M$2&amp;M$1&amp;"C"&amp;$A6)*RTD("tos.rtd",,"GAMMA","."&amp;M$2&amp;M$1&amp;"C"&amp;$A6)-$A$4*$A$4*RTD("tos.rtd",,"VOLUME","."&amp;M$2&amp;M$1&amp;"P"&amp;$A6)*RTD("tos.rtd",,"GAMMA","."&amp;M$2&amp;M$1&amp;"P"&amp;$A6))/1000000,0),IF($A$2="GEX",IFERROR(($A$4*$A$4*RTD("tos.rtd",,"OPEN_INT","."&amp;M$2&amp;M$1&amp;"C"&amp;$A6)*RTD("tos.rtd",,"GAMMA","."&amp;M$2&amp;M$1&amp;"C"&amp;$A6)-$A$4*$A$4*RTD("tos.rtd",,"OPEN_INT","."&amp;M$2&amp;M$1&amp;"P"&amp;$A6)*RTD("tos.rtd",,"GAMMA","."&amp;M$2&amp;M$1&amp;"P"&amp;$A6))/1000000,0),IF($A$2="SKEW",IFERROR(VALUE(IF(RTD("tos.rtd",,"IMPL_VOL","."&amp;M$2&amp;M$1&amp;"P"&amp;$A6)="N/A",0,RTD("tos.rtd",,"IMPL_VOL","."&amp;M$2&amp;M$1&amp;"P"&amp;$A6))),0)-IFERROR(VALUE(IF(RTD("tos.rtd",,"IMPL_VOL","."&amp;M$2&amp;M$1&amp;"C"&amp;$A6)="N/A",0,RTD("tos.rtd",,"IMPL_VOL","."&amp;M$2&amp;M$1&amp;"C"&amp;$A6))),0),IF($A$2="MAXPAIN",IF($A$4&gt;$A6,($A$4-$A6)*IF(RTD("tos.rtd",,"OPEN_INT","."&amp;M$2&amp;M$1&amp;"C"&amp;$A6)="N/A",0,RTD("tos.rtd",,"OPEN_INT","."&amp;M$2&amp;M$1&amp;"C"&amp;$A6)),0)+IF($A$4&lt;$A6,($A6-$A$4)*IF(RTD("tos.rtd",,"OPEN_INT","."&amp;M$2&amp;M$1&amp;"P"&amp;$A6)="N/A",0,RTD("tos.rtd",,"OPEN_INT","."&amp;M$2&amp;M$1&amp;"P"&amp;$A6)),0),IF(RTD("tos.rtd",,$A$2,"."&amp;M$2&amp;M$1&amp;"C"&amp;$A6)="N/A",0,RTD("tos.rtd",,$A$2,"."&amp;M$2&amp;M$1&amp;"C"&amp;$A6))-IF(RTD("tos.rtd",,$A$2,"."&amp;M$2&amp;M$1&amp;"P"&amp;$A6)="N/A",0,RTD("tos.rtd",,$A$2,"."&amp;M$2&amp;M$1&amp;"P"&amp;$A6)))))))))</f>
        <v>463</v>
      </c>
      <c r="N6" s="12">
        <f>IF($A$2="PREMIUM_OI",IFERROR((100*RTD("tos.rtd",,"OPEN_INT","."&amp;N$2&amp;N$1&amp;"C"&amp;$A6)*RTD("tos.rtd",,"LAST","."&amp;N$2&amp;N$1&amp;"C"&amp;$A6)-100*RTD("tos.rtd",,"OPEN_INT","."&amp;N$2&amp;N$1&amp;"P"&amp;$A6)*RTD("tos.rtd",,"LAST","."&amp;N$2&amp;N$1&amp;"P"&amp;$A6))/1000000,0),IF($A$2="PREMIUM",IFERROR((100*RTD("tos.rtd",,"VOLUME","."&amp;N$2&amp;N$1&amp;"C"&amp;$A6)*RTD("tos.rtd",,"LAST","."&amp;N$2&amp;N$1&amp;"C"&amp;$A6)-100*RTD("tos.rtd",,"VOLUME","."&amp;N$2&amp;N$1&amp;"P"&amp;$A6)*RTD("tos.rtd",,"LAST","."&amp;N$2&amp;N$1&amp;"P"&amp;$A6))/1000000,0),IF($A$2="DEX",IFERROR((100*RTD("tos.rtd",,"OPEN_INT","."&amp;N$2&amp;N$1&amp;"C"&amp;$A6)*RTD("tos.rtd",,"DELTA","."&amp;N$2&amp;N$1&amp;"C"&amp;$A6)-100*RTD("tos.rtd",,"OPEN_INT","."&amp;N$2&amp;N$1&amp;"P"&amp;$A6)*RTD("tos.rtd",,"DELTA","."&amp;N$2&amp;N$1&amp;"P"&amp;$A6))/1000,0),IF($A$2="VEX",IFERROR(($A$4*$A$4*RTD("tos.rtd",,"VOLUME","."&amp;N$2&amp;N$1&amp;"C"&amp;$A6)*RTD("tos.rtd",,"GAMMA","."&amp;N$2&amp;N$1&amp;"C"&amp;$A6)-$A$4*$A$4*RTD("tos.rtd",,"VOLUME","."&amp;N$2&amp;N$1&amp;"P"&amp;$A6)*RTD("tos.rtd",,"GAMMA","."&amp;N$2&amp;N$1&amp;"P"&amp;$A6))/1000000,0),IF($A$2="GEX",IFERROR(($A$4*$A$4*RTD("tos.rtd",,"OPEN_INT","."&amp;N$2&amp;N$1&amp;"C"&amp;$A6)*RTD("tos.rtd",,"GAMMA","."&amp;N$2&amp;N$1&amp;"C"&amp;$A6)-$A$4*$A$4*RTD("tos.rtd",,"OPEN_INT","."&amp;N$2&amp;N$1&amp;"P"&amp;$A6)*RTD("tos.rtd",,"GAMMA","."&amp;N$2&amp;N$1&amp;"P"&amp;$A6))/1000000,0),IF($A$2="SKEW",IFERROR(VALUE(IF(RTD("tos.rtd",,"IMPL_VOL","."&amp;N$2&amp;N$1&amp;"P"&amp;$A6)="N/A",0,RTD("tos.rtd",,"IMPL_VOL","."&amp;N$2&amp;N$1&amp;"P"&amp;$A6))),0)-IFERROR(VALUE(IF(RTD("tos.rtd",,"IMPL_VOL","."&amp;N$2&amp;N$1&amp;"C"&amp;$A6)="N/A",0,RTD("tos.rtd",,"IMPL_VOL","."&amp;N$2&amp;N$1&amp;"C"&amp;$A6))),0),IF($A$2="MAXPAIN",IF($A$4&gt;$A6,($A$4-$A6)*IF(RTD("tos.rtd",,"OPEN_INT","."&amp;N$2&amp;N$1&amp;"C"&amp;$A6)="N/A",0,RTD("tos.rtd",,"OPEN_INT","."&amp;N$2&amp;N$1&amp;"C"&amp;$A6)),0)+IF($A$4&lt;$A6,($A6-$A$4)*IF(RTD("tos.rtd",,"OPEN_INT","."&amp;N$2&amp;N$1&amp;"P"&amp;$A6)="N/A",0,RTD("tos.rtd",,"OPEN_INT","."&amp;N$2&amp;N$1&amp;"P"&amp;$A6)),0),IF(RTD("tos.rtd",,$A$2,"."&amp;N$2&amp;N$1&amp;"C"&amp;$A6)="N/A",0,RTD("tos.rtd",,$A$2,"."&amp;N$2&amp;N$1&amp;"C"&amp;$A6))-IF(RTD("tos.rtd",,$A$2,"."&amp;N$2&amp;N$1&amp;"P"&amp;$A6)="N/A",0,RTD("tos.rtd",,$A$2,"."&amp;N$2&amp;N$1&amp;"P"&amp;$A6)))))))))</f>
        <v>0</v>
      </c>
      <c r="O6" s="12">
        <f>IF($A$2="PREMIUM_OI",IFERROR((100*RTD("tos.rtd",,"OPEN_INT","."&amp;O$2&amp;O$1&amp;"C"&amp;$A6)*RTD("tos.rtd",,"LAST","."&amp;O$2&amp;O$1&amp;"C"&amp;$A6)-100*RTD("tos.rtd",,"OPEN_INT","."&amp;O$2&amp;O$1&amp;"P"&amp;$A6)*RTD("tos.rtd",,"LAST","."&amp;O$2&amp;O$1&amp;"P"&amp;$A6))/1000000,0),IF($A$2="PREMIUM",IFERROR((100*RTD("tos.rtd",,"VOLUME","."&amp;O$2&amp;O$1&amp;"C"&amp;$A6)*RTD("tos.rtd",,"LAST","."&amp;O$2&amp;O$1&amp;"C"&amp;$A6)-100*RTD("tos.rtd",,"VOLUME","."&amp;O$2&amp;O$1&amp;"P"&amp;$A6)*RTD("tos.rtd",,"LAST","."&amp;O$2&amp;O$1&amp;"P"&amp;$A6))/1000000,0),IF($A$2="DEX",IFERROR((100*RTD("tos.rtd",,"OPEN_INT","."&amp;O$2&amp;O$1&amp;"C"&amp;$A6)*RTD("tos.rtd",,"DELTA","."&amp;O$2&amp;O$1&amp;"C"&amp;$A6)-100*RTD("tos.rtd",,"OPEN_INT","."&amp;O$2&amp;O$1&amp;"P"&amp;$A6)*RTD("tos.rtd",,"DELTA","."&amp;O$2&amp;O$1&amp;"P"&amp;$A6))/1000,0),IF($A$2="VEX",IFERROR(($A$4*$A$4*RTD("tos.rtd",,"VOLUME","."&amp;O$2&amp;O$1&amp;"C"&amp;$A6)*RTD("tos.rtd",,"GAMMA","."&amp;O$2&amp;O$1&amp;"C"&amp;$A6)-$A$4*$A$4*RTD("tos.rtd",,"VOLUME","."&amp;O$2&amp;O$1&amp;"P"&amp;$A6)*RTD("tos.rtd",,"GAMMA","."&amp;O$2&amp;O$1&amp;"P"&amp;$A6))/1000000,0),IF($A$2="GEX",IFERROR(($A$4*$A$4*RTD("tos.rtd",,"OPEN_INT","."&amp;O$2&amp;O$1&amp;"C"&amp;$A6)*RTD("tos.rtd",,"GAMMA","."&amp;O$2&amp;O$1&amp;"C"&amp;$A6)-$A$4*$A$4*RTD("tos.rtd",,"OPEN_INT","."&amp;O$2&amp;O$1&amp;"P"&amp;$A6)*RTD("tos.rtd",,"GAMMA","."&amp;O$2&amp;O$1&amp;"P"&amp;$A6))/1000000,0),IF($A$2="SKEW",IFERROR(VALUE(IF(RTD("tos.rtd",,"IMPL_VOL","."&amp;O$2&amp;O$1&amp;"P"&amp;$A6)="N/A",0,RTD("tos.rtd",,"IMPL_VOL","."&amp;O$2&amp;O$1&amp;"P"&amp;$A6))),0)-IFERROR(VALUE(IF(RTD("tos.rtd",,"IMPL_VOL","."&amp;O$2&amp;O$1&amp;"C"&amp;$A6)="N/A",0,RTD("tos.rtd",,"IMPL_VOL","."&amp;O$2&amp;O$1&amp;"C"&amp;$A6))),0),IF($A$2="MAXPAIN",IF($A$4&gt;$A6,($A$4-$A6)*IF(RTD("tos.rtd",,"OPEN_INT","."&amp;O$2&amp;O$1&amp;"C"&amp;$A6)="N/A",0,RTD("tos.rtd",,"OPEN_INT","."&amp;O$2&amp;O$1&amp;"C"&amp;$A6)),0)+IF($A$4&lt;$A6,($A6-$A$4)*IF(RTD("tos.rtd",,"OPEN_INT","."&amp;O$2&amp;O$1&amp;"P"&amp;$A6)="N/A",0,RTD("tos.rtd",,"OPEN_INT","."&amp;O$2&amp;O$1&amp;"P"&amp;$A6)),0),IF(RTD("tos.rtd",,$A$2,"."&amp;O$2&amp;O$1&amp;"C"&amp;$A6)="N/A",0,RTD("tos.rtd",,$A$2,"."&amp;O$2&amp;O$1&amp;"C"&amp;$A6))-IF(RTD("tos.rtd",,$A$2,"."&amp;O$2&amp;O$1&amp;"P"&amp;$A6)="N/A",0,RTD("tos.rtd",,$A$2,"."&amp;O$2&amp;O$1&amp;"P"&amp;$A6)))))))))</f>
        <v>0</v>
      </c>
      <c r="P6" s="12">
        <f>IF($A$2="PREMIUM_OI",IFERROR((100*RTD("tos.rtd",,"OPEN_INT","."&amp;P$2&amp;P$1&amp;"C"&amp;$A6)*RTD("tos.rtd",,"LAST","."&amp;P$2&amp;P$1&amp;"C"&amp;$A6)-100*RTD("tos.rtd",,"OPEN_INT","."&amp;P$2&amp;P$1&amp;"P"&amp;$A6)*RTD("tos.rtd",,"LAST","."&amp;P$2&amp;P$1&amp;"P"&amp;$A6))/1000000,0),IF($A$2="PREMIUM",IFERROR((100*RTD("tos.rtd",,"VOLUME","."&amp;P$2&amp;P$1&amp;"C"&amp;$A6)*RTD("tos.rtd",,"LAST","."&amp;P$2&amp;P$1&amp;"C"&amp;$A6)-100*RTD("tos.rtd",,"VOLUME","."&amp;P$2&amp;P$1&amp;"P"&amp;$A6)*RTD("tos.rtd",,"LAST","."&amp;P$2&amp;P$1&amp;"P"&amp;$A6))/1000000,0),IF($A$2="DEX",IFERROR((100*RTD("tos.rtd",,"OPEN_INT","."&amp;P$2&amp;P$1&amp;"C"&amp;$A6)*RTD("tos.rtd",,"DELTA","."&amp;P$2&amp;P$1&amp;"C"&amp;$A6)-100*RTD("tos.rtd",,"OPEN_INT","."&amp;P$2&amp;P$1&amp;"P"&amp;$A6)*RTD("tos.rtd",,"DELTA","."&amp;P$2&amp;P$1&amp;"P"&amp;$A6))/1000,0),IF($A$2="VEX",IFERROR(($A$4*$A$4*RTD("tos.rtd",,"VOLUME","."&amp;P$2&amp;P$1&amp;"C"&amp;$A6)*RTD("tos.rtd",,"GAMMA","."&amp;P$2&amp;P$1&amp;"C"&amp;$A6)-$A$4*$A$4*RTD("tos.rtd",,"VOLUME","."&amp;P$2&amp;P$1&amp;"P"&amp;$A6)*RTD("tos.rtd",,"GAMMA","."&amp;P$2&amp;P$1&amp;"P"&amp;$A6))/1000000,0),IF($A$2="GEX",IFERROR(($A$4*$A$4*RTD("tos.rtd",,"OPEN_INT","."&amp;P$2&amp;P$1&amp;"C"&amp;$A6)*RTD("tos.rtd",,"GAMMA","."&amp;P$2&amp;P$1&amp;"C"&amp;$A6)-$A$4*$A$4*RTD("tos.rtd",,"OPEN_INT","."&amp;P$2&amp;P$1&amp;"P"&amp;$A6)*RTD("tos.rtd",,"GAMMA","."&amp;P$2&amp;P$1&amp;"P"&amp;$A6))/1000000,0),IF($A$2="SKEW",IFERROR(VALUE(IF(RTD("tos.rtd",,"IMPL_VOL","."&amp;P$2&amp;P$1&amp;"P"&amp;$A6)="N/A",0,RTD("tos.rtd",,"IMPL_VOL","."&amp;P$2&amp;P$1&amp;"P"&amp;$A6))),0)-IFERROR(VALUE(IF(RTD("tos.rtd",,"IMPL_VOL","."&amp;P$2&amp;P$1&amp;"C"&amp;$A6)="N/A",0,RTD("tos.rtd",,"IMPL_VOL","."&amp;P$2&amp;P$1&amp;"C"&amp;$A6))),0),IF($A$2="MAXPAIN",IF($A$4&gt;$A6,($A$4-$A6)*IF(RTD("tos.rtd",,"OPEN_INT","."&amp;P$2&amp;P$1&amp;"C"&amp;$A6)="N/A",0,RTD("tos.rtd",,"OPEN_INT","."&amp;P$2&amp;P$1&amp;"C"&amp;$A6)),0)+IF($A$4&lt;$A6,($A6-$A$4)*IF(RTD("tos.rtd",,"OPEN_INT","."&amp;P$2&amp;P$1&amp;"P"&amp;$A6)="N/A",0,RTD("tos.rtd",,"OPEN_INT","."&amp;P$2&amp;P$1&amp;"P"&amp;$A6)),0),IF(RTD("tos.rtd",,$A$2,"."&amp;P$2&amp;P$1&amp;"C"&amp;$A6)="N/A",0,RTD("tos.rtd",,$A$2,"."&amp;P$2&amp;P$1&amp;"C"&amp;$A6))-IF(RTD("tos.rtd",,$A$2,"."&amp;P$2&amp;P$1&amp;"P"&amp;$A6)="N/A",0,RTD("tos.rtd",,$A$2,"."&amp;P$2&amp;P$1&amp;"P"&amp;$A6)))))))))</f>
        <v>0</v>
      </c>
      <c r="Q6" s="12">
        <f>IF($A$2="PREMIUM_OI",IFERROR((100*RTD("tos.rtd",,"OPEN_INT","."&amp;Q$2&amp;Q$1&amp;"C"&amp;$A6)*RTD("tos.rtd",,"LAST","."&amp;Q$2&amp;Q$1&amp;"C"&amp;$A6)-100*RTD("tos.rtd",,"OPEN_INT","."&amp;Q$2&amp;Q$1&amp;"P"&amp;$A6)*RTD("tos.rtd",,"LAST","."&amp;Q$2&amp;Q$1&amp;"P"&amp;$A6))/1000000,0),IF($A$2="PREMIUM",IFERROR((100*RTD("tos.rtd",,"VOLUME","."&amp;Q$2&amp;Q$1&amp;"C"&amp;$A6)*RTD("tos.rtd",,"LAST","."&amp;Q$2&amp;Q$1&amp;"C"&amp;$A6)-100*RTD("tos.rtd",,"VOLUME","."&amp;Q$2&amp;Q$1&amp;"P"&amp;$A6)*RTD("tos.rtd",,"LAST","."&amp;Q$2&amp;Q$1&amp;"P"&amp;$A6))/1000000,0),IF($A$2="DEX",IFERROR((100*RTD("tos.rtd",,"OPEN_INT","."&amp;Q$2&amp;Q$1&amp;"C"&amp;$A6)*RTD("tos.rtd",,"DELTA","."&amp;Q$2&amp;Q$1&amp;"C"&amp;$A6)-100*RTD("tos.rtd",,"OPEN_INT","."&amp;Q$2&amp;Q$1&amp;"P"&amp;$A6)*RTD("tos.rtd",,"DELTA","."&amp;Q$2&amp;Q$1&amp;"P"&amp;$A6))/1000,0),IF($A$2="VEX",IFERROR(($A$4*$A$4*RTD("tos.rtd",,"VOLUME","."&amp;Q$2&amp;Q$1&amp;"C"&amp;$A6)*RTD("tos.rtd",,"GAMMA","."&amp;Q$2&amp;Q$1&amp;"C"&amp;$A6)-$A$4*$A$4*RTD("tos.rtd",,"VOLUME","."&amp;Q$2&amp;Q$1&amp;"P"&amp;$A6)*RTD("tos.rtd",,"GAMMA","."&amp;Q$2&amp;Q$1&amp;"P"&amp;$A6))/1000000,0),IF($A$2="GEX",IFERROR(($A$4*$A$4*RTD("tos.rtd",,"OPEN_INT","."&amp;Q$2&amp;Q$1&amp;"C"&amp;$A6)*RTD("tos.rtd",,"GAMMA","."&amp;Q$2&amp;Q$1&amp;"C"&amp;$A6)-$A$4*$A$4*RTD("tos.rtd",,"OPEN_INT","."&amp;Q$2&amp;Q$1&amp;"P"&amp;$A6)*RTD("tos.rtd",,"GAMMA","."&amp;Q$2&amp;Q$1&amp;"P"&amp;$A6))/1000000,0),IF($A$2="SKEW",IFERROR(VALUE(IF(RTD("tos.rtd",,"IMPL_VOL","."&amp;Q$2&amp;Q$1&amp;"P"&amp;$A6)="N/A",0,RTD("tos.rtd",,"IMPL_VOL","."&amp;Q$2&amp;Q$1&amp;"P"&amp;$A6))),0)-IFERROR(VALUE(IF(RTD("tos.rtd",,"IMPL_VOL","."&amp;Q$2&amp;Q$1&amp;"C"&amp;$A6)="N/A",0,RTD("tos.rtd",,"IMPL_VOL","."&amp;Q$2&amp;Q$1&amp;"C"&amp;$A6))),0),IF($A$2="MAXPAIN",IF($A$4&gt;$A6,($A$4-$A6)*IF(RTD("tos.rtd",,"OPEN_INT","."&amp;Q$2&amp;Q$1&amp;"C"&amp;$A6)="N/A",0,RTD("tos.rtd",,"OPEN_INT","."&amp;Q$2&amp;Q$1&amp;"C"&amp;$A6)),0)+IF($A$4&lt;$A6,($A6-$A$4)*IF(RTD("tos.rtd",,"OPEN_INT","."&amp;Q$2&amp;Q$1&amp;"P"&amp;$A6)="N/A",0,RTD("tos.rtd",,"OPEN_INT","."&amp;Q$2&amp;Q$1&amp;"P"&amp;$A6)),0),IF(RTD("tos.rtd",,$A$2,"."&amp;Q$2&amp;Q$1&amp;"C"&amp;$A6)="N/A",0,RTD("tos.rtd",,$A$2,"."&amp;Q$2&amp;Q$1&amp;"C"&amp;$A6))-IF(RTD("tos.rtd",,$A$2,"."&amp;Q$2&amp;Q$1&amp;"P"&amp;$A6)="N/A",0,RTD("tos.rtd",,$A$2,"."&amp;Q$2&amp;Q$1&amp;"P"&amp;$A6)))))))))</f>
        <v>0</v>
      </c>
      <c r="R6" s="12">
        <f>IF($A$2="PREMIUM_OI",IFERROR((100*RTD("tos.rtd",,"OPEN_INT","."&amp;R$2&amp;R$1&amp;"C"&amp;$A6)*RTD("tos.rtd",,"LAST","."&amp;R$2&amp;R$1&amp;"C"&amp;$A6)-100*RTD("tos.rtd",,"OPEN_INT","."&amp;R$2&amp;R$1&amp;"P"&amp;$A6)*RTD("tos.rtd",,"LAST","."&amp;R$2&amp;R$1&amp;"P"&amp;$A6))/1000000,0),IF($A$2="PREMIUM",IFERROR((100*RTD("tos.rtd",,"VOLUME","."&amp;R$2&amp;R$1&amp;"C"&amp;$A6)*RTD("tos.rtd",,"LAST","."&amp;R$2&amp;R$1&amp;"C"&amp;$A6)-100*RTD("tos.rtd",,"VOLUME","."&amp;R$2&amp;R$1&amp;"P"&amp;$A6)*RTD("tos.rtd",,"LAST","."&amp;R$2&amp;R$1&amp;"P"&amp;$A6))/1000000,0),IF($A$2="DEX",IFERROR((100*RTD("tos.rtd",,"OPEN_INT","."&amp;R$2&amp;R$1&amp;"C"&amp;$A6)*RTD("tos.rtd",,"DELTA","."&amp;R$2&amp;R$1&amp;"C"&amp;$A6)-100*RTD("tos.rtd",,"OPEN_INT","."&amp;R$2&amp;R$1&amp;"P"&amp;$A6)*RTD("tos.rtd",,"DELTA","."&amp;R$2&amp;R$1&amp;"P"&amp;$A6))/1000,0),IF($A$2="VEX",IFERROR(($A$4*$A$4*RTD("tos.rtd",,"VOLUME","."&amp;R$2&amp;R$1&amp;"C"&amp;$A6)*RTD("tos.rtd",,"GAMMA","."&amp;R$2&amp;R$1&amp;"C"&amp;$A6)-$A$4*$A$4*RTD("tos.rtd",,"VOLUME","."&amp;R$2&amp;R$1&amp;"P"&amp;$A6)*RTD("tos.rtd",,"GAMMA","."&amp;R$2&amp;R$1&amp;"P"&amp;$A6))/1000000,0),IF($A$2="GEX",IFERROR(($A$4*$A$4*RTD("tos.rtd",,"OPEN_INT","."&amp;R$2&amp;R$1&amp;"C"&amp;$A6)*RTD("tos.rtd",,"GAMMA","."&amp;R$2&amp;R$1&amp;"C"&amp;$A6)-$A$4*$A$4*RTD("tos.rtd",,"OPEN_INT","."&amp;R$2&amp;R$1&amp;"P"&amp;$A6)*RTD("tos.rtd",,"GAMMA","."&amp;R$2&amp;R$1&amp;"P"&amp;$A6))/1000000,0),IF($A$2="SKEW",IFERROR(VALUE(IF(RTD("tos.rtd",,"IMPL_VOL","."&amp;R$2&amp;R$1&amp;"P"&amp;$A6)="N/A",0,RTD("tos.rtd",,"IMPL_VOL","."&amp;R$2&amp;R$1&amp;"P"&amp;$A6))),0)-IFERROR(VALUE(IF(RTD("tos.rtd",,"IMPL_VOL","."&amp;R$2&amp;R$1&amp;"C"&amp;$A6)="N/A",0,RTD("tos.rtd",,"IMPL_VOL","."&amp;R$2&amp;R$1&amp;"C"&amp;$A6))),0),IF($A$2="MAXPAIN",IF($A$4&gt;$A6,($A$4-$A6)*IF(RTD("tos.rtd",,"OPEN_INT","."&amp;R$2&amp;R$1&amp;"C"&amp;$A6)="N/A",0,RTD("tos.rtd",,"OPEN_INT","."&amp;R$2&amp;R$1&amp;"C"&amp;$A6)),0)+IF($A$4&lt;$A6,($A6-$A$4)*IF(RTD("tos.rtd",,"OPEN_INT","."&amp;R$2&amp;R$1&amp;"P"&amp;$A6)="N/A",0,RTD("tos.rtd",,"OPEN_INT","."&amp;R$2&amp;R$1&amp;"P"&amp;$A6)),0),IF(RTD("tos.rtd",,$A$2,"."&amp;R$2&amp;R$1&amp;"C"&amp;$A6)="N/A",0,RTD("tos.rtd",,$A$2,"."&amp;R$2&amp;R$1&amp;"C"&amp;$A6))-IF(RTD("tos.rtd",,$A$2,"."&amp;R$2&amp;R$1&amp;"P"&amp;$A6)="N/A",0,RTD("tos.rtd",,$A$2,"."&amp;R$2&amp;R$1&amp;"P"&amp;$A6)))))))))</f>
        <v>4349</v>
      </c>
      <c r="S6" s="12">
        <f>IF($A$2="PREMIUM_OI",IFERROR((100*RTD("tos.rtd",,"OPEN_INT","."&amp;S$2&amp;S$1&amp;"C"&amp;$A6)*RTD("tos.rtd",,"LAST","."&amp;S$2&amp;S$1&amp;"C"&amp;$A6)-100*RTD("tos.rtd",,"OPEN_INT","."&amp;S$2&amp;S$1&amp;"P"&amp;$A6)*RTD("tos.rtd",,"LAST","."&amp;S$2&amp;S$1&amp;"P"&amp;$A6))/1000000,0),IF($A$2="PREMIUM",IFERROR((100*RTD("tos.rtd",,"VOLUME","."&amp;S$2&amp;S$1&amp;"C"&amp;$A6)*RTD("tos.rtd",,"LAST","."&amp;S$2&amp;S$1&amp;"C"&amp;$A6)-100*RTD("tos.rtd",,"VOLUME","."&amp;S$2&amp;S$1&amp;"P"&amp;$A6)*RTD("tos.rtd",,"LAST","."&amp;S$2&amp;S$1&amp;"P"&amp;$A6))/1000000,0),IF($A$2="DEX",IFERROR((100*RTD("tos.rtd",,"OPEN_INT","."&amp;S$2&amp;S$1&amp;"C"&amp;$A6)*RTD("tos.rtd",,"DELTA","."&amp;S$2&amp;S$1&amp;"C"&amp;$A6)-100*RTD("tos.rtd",,"OPEN_INT","."&amp;S$2&amp;S$1&amp;"P"&amp;$A6)*RTD("tos.rtd",,"DELTA","."&amp;S$2&amp;S$1&amp;"P"&amp;$A6))/1000,0),IF($A$2="VEX",IFERROR(($A$4*$A$4*RTD("tos.rtd",,"VOLUME","."&amp;S$2&amp;S$1&amp;"C"&amp;$A6)*RTD("tos.rtd",,"GAMMA","."&amp;S$2&amp;S$1&amp;"C"&amp;$A6)-$A$4*$A$4*RTD("tos.rtd",,"VOLUME","."&amp;S$2&amp;S$1&amp;"P"&amp;$A6)*RTD("tos.rtd",,"GAMMA","."&amp;S$2&amp;S$1&amp;"P"&amp;$A6))/1000000,0),IF($A$2="GEX",IFERROR(($A$4*$A$4*RTD("tos.rtd",,"OPEN_INT","."&amp;S$2&amp;S$1&amp;"C"&amp;$A6)*RTD("tos.rtd",,"GAMMA","."&amp;S$2&amp;S$1&amp;"C"&amp;$A6)-$A$4*$A$4*RTD("tos.rtd",,"OPEN_INT","."&amp;S$2&amp;S$1&amp;"P"&amp;$A6)*RTD("tos.rtd",,"GAMMA","."&amp;S$2&amp;S$1&amp;"P"&amp;$A6))/1000000,0),IF($A$2="SKEW",IFERROR(VALUE(IF(RTD("tos.rtd",,"IMPL_VOL","."&amp;S$2&amp;S$1&amp;"P"&amp;$A6)="N/A",0,RTD("tos.rtd",,"IMPL_VOL","."&amp;S$2&amp;S$1&amp;"P"&amp;$A6))),0)-IFERROR(VALUE(IF(RTD("tos.rtd",,"IMPL_VOL","."&amp;S$2&amp;S$1&amp;"C"&amp;$A6)="N/A",0,RTD("tos.rtd",,"IMPL_VOL","."&amp;S$2&amp;S$1&amp;"C"&amp;$A6))),0),IF($A$2="MAXPAIN",IF($A$4&gt;$A6,($A$4-$A6)*IF(RTD("tos.rtd",,"OPEN_INT","."&amp;S$2&amp;S$1&amp;"C"&amp;$A6)="N/A",0,RTD("tos.rtd",,"OPEN_INT","."&amp;S$2&amp;S$1&amp;"C"&amp;$A6)),0)+IF($A$4&lt;$A6,($A6-$A$4)*IF(RTD("tos.rtd",,"OPEN_INT","."&amp;S$2&amp;S$1&amp;"P"&amp;$A6)="N/A",0,RTD("tos.rtd",,"OPEN_INT","."&amp;S$2&amp;S$1&amp;"P"&amp;$A6)),0),IF(RTD("tos.rtd",,$A$2,"."&amp;S$2&amp;S$1&amp;"C"&amp;$A6)="N/A",0,RTD("tos.rtd",,$A$2,"."&amp;S$2&amp;S$1&amp;"C"&amp;$A6))-IF(RTD("tos.rtd",,$A$2,"."&amp;S$2&amp;S$1&amp;"P"&amp;$A6)="N/A",0,RTD("tos.rtd",,$A$2,"."&amp;S$2&amp;S$1&amp;"P"&amp;$A6)))))))))</f>
        <v>859</v>
      </c>
      <c r="T6" s="12">
        <f>IF($A$2="PREMIUM_OI",IFERROR((100*RTD("tos.rtd",,"OPEN_INT","."&amp;T$2&amp;T$1&amp;"C"&amp;$A6)*RTD("tos.rtd",,"LAST","."&amp;T$2&amp;T$1&amp;"C"&amp;$A6)-100*RTD("tos.rtd",,"OPEN_INT","."&amp;T$2&amp;T$1&amp;"P"&amp;$A6)*RTD("tos.rtd",,"LAST","."&amp;T$2&amp;T$1&amp;"P"&amp;$A6))/1000000,0),IF($A$2="PREMIUM",IFERROR((100*RTD("tos.rtd",,"VOLUME","."&amp;T$2&amp;T$1&amp;"C"&amp;$A6)*RTD("tos.rtd",,"LAST","."&amp;T$2&amp;T$1&amp;"C"&amp;$A6)-100*RTD("tos.rtd",,"VOLUME","."&amp;T$2&amp;T$1&amp;"P"&amp;$A6)*RTD("tos.rtd",,"LAST","."&amp;T$2&amp;T$1&amp;"P"&amp;$A6))/1000000,0),IF($A$2="DEX",IFERROR((100*RTD("tos.rtd",,"OPEN_INT","."&amp;T$2&amp;T$1&amp;"C"&amp;$A6)*RTD("tos.rtd",,"DELTA","."&amp;T$2&amp;T$1&amp;"C"&amp;$A6)-100*RTD("tos.rtd",,"OPEN_INT","."&amp;T$2&amp;T$1&amp;"P"&amp;$A6)*RTD("tos.rtd",,"DELTA","."&amp;T$2&amp;T$1&amp;"P"&amp;$A6))/1000,0),IF($A$2="VEX",IFERROR(($A$4*$A$4*RTD("tos.rtd",,"VOLUME","."&amp;T$2&amp;T$1&amp;"C"&amp;$A6)*RTD("tos.rtd",,"GAMMA","."&amp;T$2&amp;T$1&amp;"C"&amp;$A6)-$A$4*$A$4*RTD("tos.rtd",,"VOLUME","."&amp;T$2&amp;T$1&amp;"P"&amp;$A6)*RTD("tos.rtd",,"GAMMA","."&amp;T$2&amp;T$1&amp;"P"&amp;$A6))/1000000,0),IF($A$2="GEX",IFERROR(($A$4*$A$4*RTD("tos.rtd",,"OPEN_INT","."&amp;T$2&amp;T$1&amp;"C"&amp;$A6)*RTD("tos.rtd",,"GAMMA","."&amp;T$2&amp;T$1&amp;"C"&amp;$A6)-$A$4*$A$4*RTD("tos.rtd",,"OPEN_INT","."&amp;T$2&amp;T$1&amp;"P"&amp;$A6)*RTD("tos.rtd",,"GAMMA","."&amp;T$2&amp;T$1&amp;"P"&amp;$A6))/1000000,0),IF($A$2="SKEW",IFERROR(VALUE(IF(RTD("tos.rtd",,"IMPL_VOL","."&amp;T$2&amp;T$1&amp;"P"&amp;$A6)="N/A",0,RTD("tos.rtd",,"IMPL_VOL","."&amp;T$2&amp;T$1&amp;"P"&amp;$A6))),0)-IFERROR(VALUE(IF(RTD("tos.rtd",,"IMPL_VOL","."&amp;T$2&amp;T$1&amp;"C"&amp;$A6)="N/A",0,RTD("tos.rtd",,"IMPL_VOL","."&amp;T$2&amp;T$1&amp;"C"&amp;$A6))),0),IF($A$2="MAXPAIN",IF($A$4&gt;$A6,($A$4-$A6)*IF(RTD("tos.rtd",,"OPEN_INT","."&amp;T$2&amp;T$1&amp;"C"&amp;$A6)="N/A",0,RTD("tos.rtd",,"OPEN_INT","."&amp;T$2&amp;T$1&amp;"C"&amp;$A6)),0)+IF($A$4&lt;$A6,($A6-$A$4)*IF(RTD("tos.rtd",,"OPEN_INT","."&amp;T$2&amp;T$1&amp;"P"&amp;$A6)="N/A",0,RTD("tos.rtd",,"OPEN_INT","."&amp;T$2&amp;T$1&amp;"P"&amp;$A6)),0),IF(RTD("tos.rtd",,$A$2,"."&amp;T$2&amp;T$1&amp;"C"&amp;$A6)="N/A",0,RTD("tos.rtd",,$A$2,"."&amp;T$2&amp;T$1&amp;"C"&amp;$A6))-IF(RTD("tos.rtd",,$A$2,"."&amp;T$2&amp;T$1&amp;"P"&amp;$A6)="N/A",0,RTD("tos.rtd",,$A$2,"."&amp;T$2&amp;T$1&amp;"P"&amp;$A6)))))))))</f>
        <v>0</v>
      </c>
      <c r="U6" s="12">
        <f>IF($A$2="PREMIUM_OI",IFERROR((100*RTD("tos.rtd",,"OPEN_INT","."&amp;U$2&amp;U$1&amp;"C"&amp;$A6)*RTD("tos.rtd",,"LAST","."&amp;U$2&amp;U$1&amp;"C"&amp;$A6)-100*RTD("tos.rtd",,"OPEN_INT","."&amp;U$2&amp;U$1&amp;"P"&amp;$A6)*RTD("tos.rtd",,"LAST","."&amp;U$2&amp;U$1&amp;"P"&amp;$A6))/1000000,0),IF($A$2="PREMIUM",IFERROR((100*RTD("tos.rtd",,"VOLUME","."&amp;U$2&amp;U$1&amp;"C"&amp;$A6)*RTD("tos.rtd",,"LAST","."&amp;U$2&amp;U$1&amp;"C"&amp;$A6)-100*RTD("tos.rtd",,"VOLUME","."&amp;U$2&amp;U$1&amp;"P"&amp;$A6)*RTD("tos.rtd",,"LAST","."&amp;U$2&amp;U$1&amp;"P"&amp;$A6))/1000000,0),IF($A$2="DEX",IFERROR((100*RTD("tos.rtd",,"OPEN_INT","."&amp;U$2&amp;U$1&amp;"C"&amp;$A6)*RTD("tos.rtd",,"DELTA","."&amp;U$2&amp;U$1&amp;"C"&amp;$A6)-100*RTD("tos.rtd",,"OPEN_INT","."&amp;U$2&amp;U$1&amp;"P"&amp;$A6)*RTD("tos.rtd",,"DELTA","."&amp;U$2&amp;U$1&amp;"P"&amp;$A6))/1000,0),IF($A$2="VEX",IFERROR(($A$4*$A$4*RTD("tos.rtd",,"VOLUME","."&amp;U$2&amp;U$1&amp;"C"&amp;$A6)*RTD("tos.rtd",,"GAMMA","."&amp;U$2&amp;U$1&amp;"C"&amp;$A6)-$A$4*$A$4*RTD("tos.rtd",,"VOLUME","."&amp;U$2&amp;U$1&amp;"P"&amp;$A6)*RTD("tos.rtd",,"GAMMA","."&amp;U$2&amp;U$1&amp;"P"&amp;$A6))/1000000,0),IF($A$2="GEX",IFERROR(($A$4*$A$4*RTD("tos.rtd",,"OPEN_INT","."&amp;U$2&amp;U$1&amp;"C"&amp;$A6)*RTD("tos.rtd",,"GAMMA","."&amp;U$2&amp;U$1&amp;"C"&amp;$A6)-$A$4*$A$4*RTD("tos.rtd",,"OPEN_INT","."&amp;U$2&amp;U$1&amp;"P"&amp;$A6)*RTD("tos.rtd",,"GAMMA","."&amp;U$2&amp;U$1&amp;"P"&amp;$A6))/1000000,0),IF($A$2="SKEW",IFERROR(VALUE(IF(RTD("tos.rtd",,"IMPL_VOL","."&amp;U$2&amp;U$1&amp;"P"&amp;$A6)="N/A",0,RTD("tos.rtd",,"IMPL_VOL","."&amp;U$2&amp;U$1&amp;"P"&amp;$A6))),0)-IFERROR(VALUE(IF(RTD("tos.rtd",,"IMPL_VOL","."&amp;U$2&amp;U$1&amp;"C"&amp;$A6)="N/A",0,RTD("tos.rtd",,"IMPL_VOL","."&amp;U$2&amp;U$1&amp;"C"&amp;$A6))),0),IF($A$2="MAXPAIN",IF($A$4&gt;$A6,($A$4-$A6)*IF(RTD("tos.rtd",,"OPEN_INT","."&amp;U$2&amp;U$1&amp;"C"&amp;$A6)="N/A",0,RTD("tos.rtd",,"OPEN_INT","."&amp;U$2&amp;U$1&amp;"C"&amp;$A6)),0)+IF($A$4&lt;$A6,($A6-$A$4)*IF(RTD("tos.rtd",,"OPEN_INT","."&amp;U$2&amp;U$1&amp;"P"&amp;$A6)="N/A",0,RTD("tos.rtd",,"OPEN_INT","."&amp;U$2&amp;U$1&amp;"P"&amp;$A6)),0),IF(RTD("tos.rtd",,$A$2,"."&amp;U$2&amp;U$1&amp;"C"&amp;$A6)="N/A",0,RTD("tos.rtd",,$A$2,"."&amp;U$2&amp;U$1&amp;"C"&amp;$A6))-IF(RTD("tos.rtd",,$A$2,"."&amp;U$2&amp;U$1&amp;"P"&amp;$A6)="N/A",0,RTD("tos.rtd",,$A$2,"."&amp;U$2&amp;U$1&amp;"P"&amp;$A6)))))))))</f>
        <v>0</v>
      </c>
      <c r="V6" s="12">
        <f>IF($A$2="PREMIUM_OI",IFERROR((100*RTD("tos.rtd",,"OPEN_INT","."&amp;V$2&amp;V$1&amp;"C"&amp;$A6)*RTD("tos.rtd",,"LAST","."&amp;V$2&amp;V$1&amp;"C"&amp;$A6)-100*RTD("tos.rtd",,"OPEN_INT","."&amp;V$2&amp;V$1&amp;"P"&amp;$A6)*RTD("tos.rtd",,"LAST","."&amp;V$2&amp;V$1&amp;"P"&amp;$A6))/1000000,0),IF($A$2="PREMIUM",IFERROR((100*RTD("tos.rtd",,"VOLUME","."&amp;V$2&amp;V$1&amp;"C"&amp;$A6)*RTD("tos.rtd",,"LAST","."&amp;V$2&amp;V$1&amp;"C"&amp;$A6)-100*RTD("tos.rtd",,"VOLUME","."&amp;V$2&amp;V$1&amp;"P"&amp;$A6)*RTD("tos.rtd",,"LAST","."&amp;V$2&amp;V$1&amp;"P"&amp;$A6))/1000000,0),IF($A$2="DEX",IFERROR((100*RTD("tos.rtd",,"OPEN_INT","."&amp;V$2&amp;V$1&amp;"C"&amp;$A6)*RTD("tos.rtd",,"DELTA","."&amp;V$2&amp;V$1&amp;"C"&amp;$A6)-100*RTD("tos.rtd",,"OPEN_INT","."&amp;V$2&amp;V$1&amp;"P"&amp;$A6)*RTD("tos.rtd",,"DELTA","."&amp;V$2&amp;V$1&amp;"P"&amp;$A6))/1000,0),IF($A$2="VEX",IFERROR(($A$4*$A$4*RTD("tos.rtd",,"VOLUME","."&amp;V$2&amp;V$1&amp;"C"&amp;$A6)*RTD("tos.rtd",,"GAMMA","."&amp;V$2&amp;V$1&amp;"C"&amp;$A6)-$A$4*$A$4*RTD("tos.rtd",,"VOLUME","."&amp;V$2&amp;V$1&amp;"P"&amp;$A6)*RTD("tos.rtd",,"GAMMA","."&amp;V$2&amp;V$1&amp;"P"&amp;$A6))/1000000,0),IF($A$2="GEX",IFERROR(($A$4*$A$4*RTD("tos.rtd",,"OPEN_INT","."&amp;V$2&amp;V$1&amp;"C"&amp;$A6)*RTD("tos.rtd",,"GAMMA","."&amp;V$2&amp;V$1&amp;"C"&amp;$A6)-$A$4*$A$4*RTD("tos.rtd",,"OPEN_INT","."&amp;V$2&amp;V$1&amp;"P"&amp;$A6)*RTD("tos.rtd",,"GAMMA","."&amp;V$2&amp;V$1&amp;"P"&amp;$A6))/1000000,0),IF($A$2="SKEW",IFERROR(VALUE(IF(RTD("tos.rtd",,"IMPL_VOL","."&amp;V$2&amp;V$1&amp;"P"&amp;$A6)="N/A",0,RTD("tos.rtd",,"IMPL_VOL","."&amp;V$2&amp;V$1&amp;"P"&amp;$A6))),0)-IFERROR(VALUE(IF(RTD("tos.rtd",,"IMPL_VOL","."&amp;V$2&amp;V$1&amp;"C"&amp;$A6)="N/A",0,RTD("tos.rtd",,"IMPL_VOL","."&amp;V$2&amp;V$1&amp;"C"&amp;$A6))),0),IF($A$2="MAXPAIN",IF($A$4&gt;$A6,($A$4-$A6)*IF(RTD("tos.rtd",,"OPEN_INT","."&amp;V$2&amp;V$1&amp;"C"&amp;$A6)="N/A",0,RTD("tos.rtd",,"OPEN_INT","."&amp;V$2&amp;V$1&amp;"C"&amp;$A6)),0)+IF($A$4&lt;$A6,($A6-$A$4)*IF(RTD("tos.rtd",,"OPEN_INT","."&amp;V$2&amp;V$1&amp;"P"&amp;$A6)="N/A",0,RTD("tos.rtd",,"OPEN_INT","."&amp;V$2&amp;V$1&amp;"P"&amp;$A6)),0),IF(RTD("tos.rtd",,$A$2,"."&amp;V$2&amp;V$1&amp;"C"&amp;$A6)="N/A",0,RTD("tos.rtd",,$A$2,"."&amp;V$2&amp;V$1&amp;"C"&amp;$A6))-IF(RTD("tos.rtd",,$A$2,"."&amp;V$2&amp;V$1&amp;"P"&amp;$A6)="N/A",0,RTD("tos.rtd",,$A$2,"."&amp;V$2&amp;V$1&amp;"P"&amp;$A6)))))))))</f>
        <v>0</v>
      </c>
      <c r="W6" s="12">
        <f>IF($A$2="PREMIUM_OI",IFERROR((100*RTD("tos.rtd",,"OPEN_INT","."&amp;W$2&amp;W$1&amp;"C"&amp;$A6)*RTD("tos.rtd",,"LAST","."&amp;W$2&amp;W$1&amp;"C"&amp;$A6)-100*RTD("tos.rtd",,"OPEN_INT","."&amp;W$2&amp;W$1&amp;"P"&amp;$A6)*RTD("tos.rtd",,"LAST","."&amp;W$2&amp;W$1&amp;"P"&amp;$A6))/1000000,0),IF($A$2="PREMIUM",IFERROR((100*RTD("tos.rtd",,"VOLUME","."&amp;W$2&amp;W$1&amp;"C"&amp;$A6)*RTD("tos.rtd",,"LAST","."&amp;W$2&amp;W$1&amp;"C"&amp;$A6)-100*RTD("tos.rtd",,"VOLUME","."&amp;W$2&amp;W$1&amp;"P"&amp;$A6)*RTD("tos.rtd",,"LAST","."&amp;W$2&amp;W$1&amp;"P"&amp;$A6))/1000000,0),IF($A$2="DEX",IFERROR((100*RTD("tos.rtd",,"OPEN_INT","."&amp;W$2&amp;W$1&amp;"C"&amp;$A6)*RTD("tos.rtd",,"DELTA","."&amp;W$2&amp;W$1&amp;"C"&amp;$A6)-100*RTD("tos.rtd",,"OPEN_INT","."&amp;W$2&amp;W$1&amp;"P"&amp;$A6)*RTD("tos.rtd",,"DELTA","."&amp;W$2&amp;W$1&amp;"P"&amp;$A6))/1000,0),IF($A$2="VEX",IFERROR(($A$4*$A$4*RTD("tos.rtd",,"VOLUME","."&amp;W$2&amp;W$1&amp;"C"&amp;$A6)*RTD("tos.rtd",,"GAMMA","."&amp;W$2&amp;W$1&amp;"C"&amp;$A6)-$A$4*$A$4*RTD("tos.rtd",,"VOLUME","."&amp;W$2&amp;W$1&amp;"P"&amp;$A6)*RTD("tos.rtd",,"GAMMA","."&amp;W$2&amp;W$1&amp;"P"&amp;$A6))/1000000,0),IF($A$2="GEX",IFERROR(($A$4*$A$4*RTD("tos.rtd",,"OPEN_INT","."&amp;W$2&amp;W$1&amp;"C"&amp;$A6)*RTD("tos.rtd",,"GAMMA","."&amp;W$2&amp;W$1&amp;"C"&amp;$A6)-$A$4*$A$4*RTD("tos.rtd",,"OPEN_INT","."&amp;W$2&amp;W$1&amp;"P"&amp;$A6)*RTD("tos.rtd",,"GAMMA","."&amp;W$2&amp;W$1&amp;"P"&amp;$A6))/1000000,0),IF($A$2="SKEW",IFERROR(VALUE(IF(RTD("tos.rtd",,"IMPL_VOL","."&amp;W$2&amp;W$1&amp;"P"&amp;$A6)="N/A",0,RTD("tos.rtd",,"IMPL_VOL","."&amp;W$2&amp;W$1&amp;"P"&amp;$A6))),0)-IFERROR(VALUE(IF(RTD("tos.rtd",,"IMPL_VOL","."&amp;W$2&amp;W$1&amp;"C"&amp;$A6)="N/A",0,RTD("tos.rtd",,"IMPL_VOL","."&amp;W$2&amp;W$1&amp;"C"&amp;$A6))),0),IF($A$2="MAXPAIN",IF($A$4&gt;$A6,($A$4-$A6)*IF(RTD("tos.rtd",,"OPEN_INT","."&amp;W$2&amp;W$1&amp;"C"&amp;$A6)="N/A",0,RTD("tos.rtd",,"OPEN_INT","."&amp;W$2&amp;W$1&amp;"C"&amp;$A6)),0)+IF($A$4&lt;$A6,($A6-$A$4)*IF(RTD("tos.rtd",,"OPEN_INT","."&amp;W$2&amp;W$1&amp;"P"&amp;$A6)="N/A",0,RTD("tos.rtd",,"OPEN_INT","."&amp;W$2&amp;W$1&amp;"P"&amp;$A6)),0),IF(RTD("tos.rtd",,$A$2,"."&amp;W$2&amp;W$1&amp;"C"&amp;$A6)="N/A",0,RTD("tos.rtd",,$A$2,"."&amp;W$2&amp;W$1&amp;"C"&amp;$A6))-IF(RTD("tos.rtd",,$A$2,"."&amp;W$2&amp;W$1&amp;"P"&amp;$A6)="N/A",0,RTD("tos.rtd",,$A$2,"."&amp;W$2&amp;W$1&amp;"P"&amp;$A6)))))))))</f>
        <v>517</v>
      </c>
      <c r="X6" s="12">
        <f t="shared" ref="X6:X51" ca="1" si="7">SUMPRODUCT(B6:W6,$B$52:$W$52)</f>
        <v>1376</v>
      </c>
      <c r="Y6" s="27">
        <f t="shared" ref="Y6:Y51" ca="1" si="8">+X6</f>
        <v>1376</v>
      </c>
      <c r="AA6" s="35">
        <f t="shared" si="5"/>
        <v>5</v>
      </c>
      <c r="AB6" s="8">
        <f>+IF($AJ$1,AK6,TASTYOHLC!B6)</f>
        <v>605.41</v>
      </c>
      <c r="AC6" s="8">
        <f>+IF($AJ$1,AL6,TASTYOHLC!C6)</f>
        <v>611.75</v>
      </c>
      <c r="AD6" s="8">
        <f>+IF($AJ$1,AM6,TASTYOHLC!D6)</f>
        <v>605.26</v>
      </c>
      <c r="AE6" s="8">
        <f>+IF($AJ$1,AN6,TASTYOHLC!E6)</f>
        <v>611.44000000000005</v>
      </c>
      <c r="AF6" s="8"/>
      <c r="AJ6" s="37">
        <v>45938</v>
      </c>
      <c r="AK6" s="50">
        <v>605.41</v>
      </c>
      <c r="AL6" s="50">
        <v>611.75</v>
      </c>
      <c r="AM6" s="50">
        <v>605.26</v>
      </c>
      <c r="AN6" s="50">
        <v>611.44000000000005</v>
      </c>
      <c r="AO6" s="51">
        <v>60702241</v>
      </c>
    </row>
    <row r="7" spans="1:41" s="19" customFormat="1" ht="11.1" customHeight="1" thickBot="1" x14ac:dyDescent="0.3">
      <c r="A7" s="23">
        <f t="shared" si="6"/>
        <v>18.5</v>
      </c>
      <c r="B7" s="14">
        <f>IF($A$2="PREMIUM_OI",IFERROR((100*RTD("tos.rtd",,"OPEN_INT","."&amp;B$2&amp;B$1&amp;"C"&amp;$A7)*RTD("tos.rtd",,"LAST","."&amp;B$2&amp;B$1&amp;"C"&amp;$A7)-100*RTD("tos.rtd",,"OPEN_INT","."&amp;B$2&amp;B$1&amp;"P"&amp;$A7)*RTD("tos.rtd",,"LAST","."&amp;B$2&amp;B$1&amp;"P"&amp;$A7))/1000000,0),IF($A$2="PREMIUM",IFERROR((100*RTD("tos.rtd",,"VOLUME","."&amp;B$2&amp;B$1&amp;"C"&amp;$A7)*RTD("tos.rtd",,"LAST","."&amp;B$2&amp;B$1&amp;"C"&amp;$A7)-100*RTD("tos.rtd",,"VOLUME","."&amp;B$2&amp;B$1&amp;"P"&amp;$A7)*RTD("tos.rtd",,"LAST","."&amp;B$2&amp;B$1&amp;"P"&amp;$A7))/1000000,0),IF($A$2="DEX",IFERROR((100*RTD("tos.rtd",,"OPEN_INT","."&amp;B$2&amp;B$1&amp;"C"&amp;$A7)*RTD("tos.rtd",,"DELTA","."&amp;B$2&amp;B$1&amp;"C"&amp;$A7)-100*RTD("tos.rtd",,"OPEN_INT","."&amp;B$2&amp;B$1&amp;"P"&amp;$A7)*RTD("tos.rtd",,"DELTA","."&amp;B$2&amp;B$1&amp;"P"&amp;$A7))/1000,0),IF($A$2="VEX",IFERROR(($A$4*$A$4*RTD("tos.rtd",,"VOLUME","."&amp;B$2&amp;B$1&amp;"C"&amp;$A7)*RTD("tos.rtd",,"GAMMA","."&amp;B$2&amp;B$1&amp;"C"&amp;$A7)-$A$4*$A$4*RTD("tos.rtd",,"VOLUME","."&amp;B$2&amp;B$1&amp;"P"&amp;$A7)*RTD("tos.rtd",,"GAMMA","."&amp;B$2&amp;B$1&amp;"P"&amp;$A7))/1000000,0),IF($A$2="GEX",IFERROR(($A$4*$A$4*RTD("tos.rtd",,"OPEN_INT","."&amp;B$2&amp;B$1&amp;"C"&amp;$A7)*RTD("tos.rtd",,"GAMMA","."&amp;B$2&amp;B$1&amp;"C"&amp;$A7)-$A$4*$A$4*RTD("tos.rtd",,"OPEN_INT","."&amp;B$2&amp;B$1&amp;"P"&amp;$A7)*RTD("tos.rtd",,"GAMMA","."&amp;B$2&amp;B$1&amp;"P"&amp;$A7))/1000000,0),IF($A$2="SKEW",IFERROR(VALUE(IF(RTD("tos.rtd",,"IMPL_VOL","."&amp;B$2&amp;B$1&amp;"P"&amp;$A7)="N/A",0,RTD("tos.rtd",,"IMPL_VOL","."&amp;B$2&amp;B$1&amp;"P"&amp;$A7))),0)-IFERROR(VALUE(IF(RTD("tos.rtd",,"IMPL_VOL","."&amp;B$2&amp;B$1&amp;"C"&amp;$A7)="N/A",0,RTD("tos.rtd",,"IMPL_VOL","."&amp;B$2&amp;B$1&amp;"C"&amp;$A7))),0),IF($A$2="MAXPAIN",IF($A$4&gt;$A7,($A$4-$A7)*IF(RTD("tos.rtd",,"OPEN_INT","."&amp;B$2&amp;B$1&amp;"C"&amp;$A7)="N/A",0,RTD("tos.rtd",,"OPEN_INT","."&amp;B$2&amp;B$1&amp;"C"&amp;$A7)),0)+IF($A$4&lt;$A7,($A7-$A$4)*IF(RTD("tos.rtd",,"OPEN_INT","."&amp;B$2&amp;B$1&amp;"P"&amp;$A7)="N/A",0,RTD("tos.rtd",,"OPEN_INT","."&amp;B$2&amp;B$1&amp;"P"&amp;$A7)),0),IF(RTD("tos.rtd",,$A$2,"."&amp;B$2&amp;B$1&amp;"C"&amp;$A7)="N/A",0,RTD("tos.rtd",,$A$2,"."&amp;B$2&amp;B$1&amp;"C"&amp;$A7))-IF(RTD("tos.rtd",,$A$2,"."&amp;B$2&amp;B$1&amp;"P"&amp;$A7)="N/A",0,RTD("tos.rtd",,$A$2,"."&amp;B$2&amp;B$1&amp;"P"&amp;$A7)))))))))</f>
        <v>0</v>
      </c>
      <c r="C7" s="12">
        <f>IF($A$2="PREMIUM_OI",IFERROR((100*RTD("tos.rtd",,"OPEN_INT","."&amp;C$2&amp;C$1&amp;"C"&amp;$A7)*RTD("tos.rtd",,"LAST","."&amp;C$2&amp;C$1&amp;"C"&amp;$A7)-100*RTD("tos.rtd",,"OPEN_INT","."&amp;C$2&amp;C$1&amp;"P"&amp;$A7)*RTD("tos.rtd",,"LAST","."&amp;C$2&amp;C$1&amp;"P"&amp;$A7))/1000000,0),IF($A$2="PREMIUM",IFERROR((100*RTD("tos.rtd",,"VOLUME","."&amp;C$2&amp;C$1&amp;"C"&amp;$A7)*RTD("tos.rtd",,"LAST","."&amp;C$2&amp;C$1&amp;"C"&amp;$A7)-100*RTD("tos.rtd",,"VOLUME","."&amp;C$2&amp;C$1&amp;"P"&amp;$A7)*RTD("tos.rtd",,"LAST","."&amp;C$2&amp;C$1&amp;"P"&amp;$A7))/1000000,0),IF($A$2="DEX",IFERROR((100*RTD("tos.rtd",,"OPEN_INT","."&amp;C$2&amp;C$1&amp;"C"&amp;$A7)*RTD("tos.rtd",,"DELTA","."&amp;C$2&amp;C$1&amp;"C"&amp;$A7)-100*RTD("tos.rtd",,"OPEN_INT","."&amp;C$2&amp;C$1&amp;"P"&amp;$A7)*RTD("tos.rtd",,"DELTA","."&amp;C$2&amp;C$1&amp;"P"&amp;$A7))/1000,0),IF($A$2="VEX",IFERROR(($A$4*$A$4*RTD("tos.rtd",,"VOLUME","."&amp;C$2&amp;C$1&amp;"C"&amp;$A7)*RTD("tos.rtd",,"GAMMA","."&amp;C$2&amp;C$1&amp;"C"&amp;$A7)-$A$4*$A$4*RTD("tos.rtd",,"VOLUME","."&amp;C$2&amp;C$1&amp;"P"&amp;$A7)*RTD("tos.rtd",,"GAMMA","."&amp;C$2&amp;C$1&amp;"P"&amp;$A7))/1000000,0),IF($A$2="GEX",IFERROR(($A$4*$A$4*RTD("tos.rtd",,"OPEN_INT","."&amp;C$2&amp;C$1&amp;"C"&amp;$A7)*RTD("tos.rtd",,"GAMMA","."&amp;C$2&amp;C$1&amp;"C"&amp;$A7)-$A$4*$A$4*RTD("tos.rtd",,"OPEN_INT","."&amp;C$2&amp;C$1&amp;"P"&amp;$A7)*RTD("tos.rtd",,"GAMMA","."&amp;C$2&amp;C$1&amp;"P"&amp;$A7))/1000000,0),IF($A$2="SKEW",IFERROR(VALUE(IF(RTD("tos.rtd",,"IMPL_VOL","."&amp;C$2&amp;C$1&amp;"P"&amp;$A7)="N/A",0,RTD("tos.rtd",,"IMPL_VOL","."&amp;C$2&amp;C$1&amp;"P"&amp;$A7))),0)-IFERROR(VALUE(IF(RTD("tos.rtd",,"IMPL_VOL","."&amp;C$2&amp;C$1&amp;"C"&amp;$A7)="N/A",0,RTD("tos.rtd",,"IMPL_VOL","."&amp;C$2&amp;C$1&amp;"C"&amp;$A7))),0),IF($A$2="MAXPAIN",IF($A$4&gt;$A7,($A$4-$A7)*IF(RTD("tos.rtd",,"OPEN_INT","."&amp;C$2&amp;C$1&amp;"C"&amp;$A7)="N/A",0,RTD("tos.rtd",,"OPEN_INT","."&amp;C$2&amp;C$1&amp;"C"&amp;$A7)),0)+IF($A$4&lt;$A7,($A7-$A$4)*IF(RTD("tos.rtd",,"OPEN_INT","."&amp;C$2&amp;C$1&amp;"P"&amp;$A7)="N/A",0,RTD("tos.rtd",,"OPEN_INT","."&amp;C$2&amp;C$1&amp;"P"&amp;$A7)),0),IF(RTD("tos.rtd",,$A$2,"."&amp;C$2&amp;C$1&amp;"C"&amp;$A7)="N/A",0,RTD("tos.rtd",,$A$2,"."&amp;C$2&amp;C$1&amp;"C"&amp;$A7))-IF(RTD("tos.rtd",,$A$2,"."&amp;C$2&amp;C$1&amp;"P"&amp;$A7)="N/A",0,RTD("tos.rtd",,$A$2,"."&amp;C$2&amp;C$1&amp;"P"&amp;$A7)))))))))</f>
        <v>0</v>
      </c>
      <c r="D7" s="12">
        <f>IF($A$2="PREMIUM_OI",IFERROR((100*RTD("tos.rtd",,"OPEN_INT","."&amp;D$2&amp;D$1&amp;"C"&amp;$A7)*RTD("tos.rtd",,"LAST","."&amp;D$2&amp;D$1&amp;"C"&amp;$A7)-100*RTD("tos.rtd",,"OPEN_INT","."&amp;D$2&amp;D$1&amp;"P"&amp;$A7)*RTD("tos.rtd",,"LAST","."&amp;D$2&amp;D$1&amp;"P"&amp;$A7))/1000000,0),IF($A$2="PREMIUM",IFERROR((100*RTD("tos.rtd",,"VOLUME","."&amp;D$2&amp;D$1&amp;"C"&amp;$A7)*RTD("tos.rtd",,"LAST","."&amp;D$2&amp;D$1&amp;"C"&amp;$A7)-100*RTD("tos.rtd",,"VOLUME","."&amp;D$2&amp;D$1&amp;"P"&amp;$A7)*RTD("tos.rtd",,"LAST","."&amp;D$2&amp;D$1&amp;"P"&amp;$A7))/1000000,0),IF($A$2="DEX",IFERROR((100*RTD("tos.rtd",,"OPEN_INT","."&amp;D$2&amp;D$1&amp;"C"&amp;$A7)*RTD("tos.rtd",,"DELTA","."&amp;D$2&amp;D$1&amp;"C"&amp;$A7)-100*RTD("tos.rtd",,"OPEN_INT","."&amp;D$2&amp;D$1&amp;"P"&amp;$A7)*RTD("tos.rtd",,"DELTA","."&amp;D$2&amp;D$1&amp;"P"&amp;$A7))/1000,0),IF($A$2="VEX",IFERROR(($A$4*$A$4*RTD("tos.rtd",,"VOLUME","."&amp;D$2&amp;D$1&amp;"C"&amp;$A7)*RTD("tos.rtd",,"GAMMA","."&amp;D$2&amp;D$1&amp;"C"&amp;$A7)-$A$4*$A$4*RTD("tos.rtd",,"VOLUME","."&amp;D$2&amp;D$1&amp;"P"&amp;$A7)*RTD("tos.rtd",,"GAMMA","."&amp;D$2&amp;D$1&amp;"P"&amp;$A7))/1000000,0),IF($A$2="GEX",IFERROR(($A$4*$A$4*RTD("tos.rtd",,"OPEN_INT","."&amp;D$2&amp;D$1&amp;"C"&amp;$A7)*RTD("tos.rtd",,"GAMMA","."&amp;D$2&amp;D$1&amp;"C"&amp;$A7)-$A$4*$A$4*RTD("tos.rtd",,"OPEN_INT","."&amp;D$2&amp;D$1&amp;"P"&amp;$A7)*RTD("tos.rtd",,"GAMMA","."&amp;D$2&amp;D$1&amp;"P"&amp;$A7))/1000000,0),IF($A$2="SKEW",IFERROR(VALUE(IF(RTD("tos.rtd",,"IMPL_VOL","."&amp;D$2&amp;D$1&amp;"P"&amp;$A7)="N/A",0,RTD("tos.rtd",,"IMPL_VOL","."&amp;D$2&amp;D$1&amp;"P"&amp;$A7))),0)-IFERROR(VALUE(IF(RTD("tos.rtd",,"IMPL_VOL","."&amp;D$2&amp;D$1&amp;"C"&amp;$A7)="N/A",0,RTD("tos.rtd",,"IMPL_VOL","."&amp;D$2&amp;D$1&amp;"C"&amp;$A7))),0),IF($A$2="MAXPAIN",IF($A$4&gt;$A7,($A$4-$A7)*IF(RTD("tos.rtd",,"OPEN_INT","."&amp;D$2&amp;D$1&amp;"C"&amp;$A7)="N/A",0,RTD("tos.rtd",,"OPEN_INT","."&amp;D$2&amp;D$1&amp;"C"&amp;$A7)),0)+IF($A$4&lt;$A7,($A7-$A$4)*IF(RTD("tos.rtd",,"OPEN_INT","."&amp;D$2&amp;D$1&amp;"P"&amp;$A7)="N/A",0,RTD("tos.rtd",,"OPEN_INT","."&amp;D$2&amp;D$1&amp;"P"&amp;$A7)),0),IF(RTD("tos.rtd",,$A$2,"."&amp;D$2&amp;D$1&amp;"C"&amp;$A7)="N/A",0,RTD("tos.rtd",,$A$2,"."&amp;D$2&amp;D$1&amp;"C"&amp;$A7))-IF(RTD("tos.rtd",,$A$2,"."&amp;D$2&amp;D$1&amp;"P"&amp;$A7)="N/A",0,RTD("tos.rtd",,$A$2,"."&amp;D$2&amp;D$1&amp;"P"&amp;$A7)))))))))</f>
        <v>0</v>
      </c>
      <c r="E7" s="12">
        <f>IF($A$2="PREMIUM_OI",IFERROR((100*RTD("tos.rtd",,"OPEN_INT","."&amp;E$2&amp;E$1&amp;"C"&amp;$A7)*RTD("tos.rtd",,"LAST","."&amp;E$2&amp;E$1&amp;"C"&amp;$A7)-100*RTD("tos.rtd",,"OPEN_INT","."&amp;E$2&amp;E$1&amp;"P"&amp;$A7)*RTD("tos.rtd",,"LAST","."&amp;E$2&amp;E$1&amp;"P"&amp;$A7))/1000000,0),IF($A$2="PREMIUM",IFERROR((100*RTD("tos.rtd",,"VOLUME","."&amp;E$2&amp;E$1&amp;"C"&amp;$A7)*RTD("tos.rtd",,"LAST","."&amp;E$2&amp;E$1&amp;"C"&amp;$A7)-100*RTD("tos.rtd",,"VOLUME","."&amp;E$2&amp;E$1&amp;"P"&amp;$A7)*RTD("tos.rtd",,"LAST","."&amp;E$2&amp;E$1&amp;"P"&amp;$A7))/1000000,0),IF($A$2="DEX",IFERROR((100*RTD("tos.rtd",,"OPEN_INT","."&amp;E$2&amp;E$1&amp;"C"&amp;$A7)*RTD("tos.rtd",,"DELTA","."&amp;E$2&amp;E$1&amp;"C"&amp;$A7)-100*RTD("tos.rtd",,"OPEN_INT","."&amp;E$2&amp;E$1&amp;"P"&amp;$A7)*RTD("tos.rtd",,"DELTA","."&amp;E$2&amp;E$1&amp;"P"&amp;$A7))/1000,0),IF($A$2="VEX",IFERROR(($A$4*$A$4*RTD("tos.rtd",,"VOLUME","."&amp;E$2&amp;E$1&amp;"C"&amp;$A7)*RTD("tos.rtd",,"GAMMA","."&amp;E$2&amp;E$1&amp;"C"&amp;$A7)-$A$4*$A$4*RTD("tos.rtd",,"VOLUME","."&amp;E$2&amp;E$1&amp;"P"&amp;$A7)*RTD("tos.rtd",,"GAMMA","."&amp;E$2&amp;E$1&amp;"P"&amp;$A7))/1000000,0),IF($A$2="GEX",IFERROR(($A$4*$A$4*RTD("tos.rtd",,"OPEN_INT","."&amp;E$2&amp;E$1&amp;"C"&amp;$A7)*RTD("tos.rtd",,"GAMMA","."&amp;E$2&amp;E$1&amp;"C"&amp;$A7)-$A$4*$A$4*RTD("tos.rtd",,"OPEN_INT","."&amp;E$2&amp;E$1&amp;"P"&amp;$A7)*RTD("tos.rtd",,"GAMMA","."&amp;E$2&amp;E$1&amp;"P"&amp;$A7))/1000000,0),IF($A$2="SKEW",IFERROR(VALUE(IF(RTD("tos.rtd",,"IMPL_VOL","."&amp;E$2&amp;E$1&amp;"P"&amp;$A7)="N/A",0,RTD("tos.rtd",,"IMPL_VOL","."&amp;E$2&amp;E$1&amp;"P"&amp;$A7))),0)-IFERROR(VALUE(IF(RTD("tos.rtd",,"IMPL_VOL","."&amp;E$2&amp;E$1&amp;"C"&amp;$A7)="N/A",0,RTD("tos.rtd",,"IMPL_VOL","."&amp;E$2&amp;E$1&amp;"C"&amp;$A7))),0),IF($A$2="MAXPAIN",IF($A$4&gt;$A7,($A$4-$A7)*IF(RTD("tos.rtd",,"OPEN_INT","."&amp;E$2&amp;E$1&amp;"C"&amp;$A7)="N/A",0,RTD("tos.rtd",,"OPEN_INT","."&amp;E$2&amp;E$1&amp;"C"&amp;$A7)),0)+IF($A$4&lt;$A7,($A7-$A$4)*IF(RTD("tos.rtd",,"OPEN_INT","."&amp;E$2&amp;E$1&amp;"P"&amp;$A7)="N/A",0,RTD("tos.rtd",,"OPEN_INT","."&amp;E$2&amp;E$1&amp;"P"&amp;$A7)),0),IF(RTD("tos.rtd",,$A$2,"."&amp;E$2&amp;E$1&amp;"C"&amp;$A7)="N/A",0,RTD("tos.rtd",,$A$2,"."&amp;E$2&amp;E$1&amp;"C"&amp;$A7))-IF(RTD("tos.rtd",,$A$2,"."&amp;E$2&amp;E$1&amp;"P"&amp;$A7)="N/A",0,RTD("tos.rtd",,$A$2,"."&amp;E$2&amp;E$1&amp;"P"&amp;$A7)))))))))</f>
        <v>0</v>
      </c>
      <c r="F7" s="12">
        <f>IF($A$2="PREMIUM_OI",IFERROR((100*RTD("tos.rtd",,"OPEN_INT","."&amp;F$2&amp;F$1&amp;"C"&amp;$A7)*RTD("tos.rtd",,"LAST","."&amp;F$2&amp;F$1&amp;"C"&amp;$A7)-100*RTD("tos.rtd",,"OPEN_INT","."&amp;F$2&amp;F$1&amp;"P"&amp;$A7)*RTD("tos.rtd",,"LAST","."&amp;F$2&amp;F$1&amp;"P"&amp;$A7))/1000000,0),IF($A$2="PREMIUM",IFERROR((100*RTD("tos.rtd",,"VOLUME","."&amp;F$2&amp;F$1&amp;"C"&amp;$A7)*RTD("tos.rtd",,"LAST","."&amp;F$2&amp;F$1&amp;"C"&amp;$A7)-100*RTD("tos.rtd",,"VOLUME","."&amp;F$2&amp;F$1&amp;"P"&amp;$A7)*RTD("tos.rtd",,"LAST","."&amp;F$2&amp;F$1&amp;"P"&amp;$A7))/1000000,0),IF($A$2="DEX",IFERROR((100*RTD("tos.rtd",,"OPEN_INT","."&amp;F$2&amp;F$1&amp;"C"&amp;$A7)*RTD("tos.rtd",,"DELTA","."&amp;F$2&amp;F$1&amp;"C"&amp;$A7)-100*RTD("tos.rtd",,"OPEN_INT","."&amp;F$2&amp;F$1&amp;"P"&amp;$A7)*RTD("tos.rtd",,"DELTA","."&amp;F$2&amp;F$1&amp;"P"&amp;$A7))/1000,0),IF($A$2="VEX",IFERROR(($A$4*$A$4*RTD("tos.rtd",,"VOLUME","."&amp;F$2&amp;F$1&amp;"C"&amp;$A7)*RTD("tos.rtd",,"GAMMA","."&amp;F$2&amp;F$1&amp;"C"&amp;$A7)-$A$4*$A$4*RTD("tos.rtd",,"VOLUME","."&amp;F$2&amp;F$1&amp;"P"&amp;$A7)*RTD("tos.rtd",,"GAMMA","."&amp;F$2&amp;F$1&amp;"P"&amp;$A7))/1000000,0),IF($A$2="GEX",IFERROR(($A$4*$A$4*RTD("tos.rtd",,"OPEN_INT","."&amp;F$2&amp;F$1&amp;"C"&amp;$A7)*RTD("tos.rtd",,"GAMMA","."&amp;F$2&amp;F$1&amp;"C"&amp;$A7)-$A$4*$A$4*RTD("tos.rtd",,"OPEN_INT","."&amp;F$2&amp;F$1&amp;"P"&amp;$A7)*RTD("tos.rtd",,"GAMMA","."&amp;F$2&amp;F$1&amp;"P"&amp;$A7))/1000000,0),IF($A$2="SKEW",IFERROR(VALUE(IF(RTD("tos.rtd",,"IMPL_VOL","."&amp;F$2&amp;F$1&amp;"P"&amp;$A7)="N/A",0,RTD("tos.rtd",,"IMPL_VOL","."&amp;F$2&amp;F$1&amp;"P"&amp;$A7))),0)-IFERROR(VALUE(IF(RTD("tos.rtd",,"IMPL_VOL","."&amp;F$2&amp;F$1&amp;"C"&amp;$A7)="N/A",0,RTD("tos.rtd",,"IMPL_VOL","."&amp;F$2&amp;F$1&amp;"C"&amp;$A7))),0),IF($A$2="MAXPAIN",IF($A$4&gt;$A7,($A$4-$A7)*IF(RTD("tos.rtd",,"OPEN_INT","."&amp;F$2&amp;F$1&amp;"C"&amp;$A7)="N/A",0,RTD("tos.rtd",,"OPEN_INT","."&amp;F$2&amp;F$1&amp;"C"&amp;$A7)),0)+IF($A$4&lt;$A7,($A7-$A$4)*IF(RTD("tos.rtd",,"OPEN_INT","."&amp;F$2&amp;F$1&amp;"P"&amp;$A7)="N/A",0,RTD("tos.rtd",,"OPEN_INT","."&amp;F$2&amp;F$1&amp;"P"&amp;$A7)),0),IF(RTD("tos.rtd",,$A$2,"."&amp;F$2&amp;F$1&amp;"C"&amp;$A7)="N/A",0,RTD("tos.rtd",,$A$2,"."&amp;F$2&amp;F$1&amp;"C"&amp;$A7))-IF(RTD("tos.rtd",,$A$2,"."&amp;F$2&amp;F$1&amp;"P"&amp;$A7)="N/A",0,RTD("tos.rtd",,$A$2,"."&amp;F$2&amp;F$1&amp;"P"&amp;$A7)))))))))</f>
        <v>0</v>
      </c>
      <c r="G7" s="14">
        <f>IF($A$2="PREMIUM_OI",IFERROR((100*RTD("tos.rtd",,"OPEN_INT","."&amp;G$2&amp;G$1&amp;"C"&amp;$A7)*RTD("tos.rtd",,"LAST","."&amp;G$2&amp;G$1&amp;"C"&amp;$A7)-100*RTD("tos.rtd",,"OPEN_INT","."&amp;G$2&amp;G$1&amp;"P"&amp;$A7)*RTD("tos.rtd",,"LAST","."&amp;G$2&amp;G$1&amp;"P"&amp;$A7))/1000000,0),IF($A$2="PREMIUM",IFERROR((100*RTD("tos.rtd",,"VOLUME","."&amp;G$2&amp;G$1&amp;"C"&amp;$A7)*RTD("tos.rtd",,"LAST","."&amp;G$2&amp;G$1&amp;"C"&amp;$A7)-100*RTD("tos.rtd",,"VOLUME","."&amp;G$2&amp;G$1&amp;"P"&amp;$A7)*RTD("tos.rtd",,"LAST","."&amp;G$2&amp;G$1&amp;"P"&amp;$A7))/1000000,0),IF($A$2="DEX",IFERROR((100*RTD("tos.rtd",,"OPEN_INT","."&amp;G$2&amp;G$1&amp;"C"&amp;$A7)*RTD("tos.rtd",,"DELTA","."&amp;G$2&amp;G$1&amp;"C"&amp;$A7)-100*RTD("tos.rtd",,"OPEN_INT","."&amp;G$2&amp;G$1&amp;"P"&amp;$A7)*RTD("tos.rtd",,"DELTA","."&amp;G$2&amp;G$1&amp;"P"&amp;$A7))/1000,0),IF($A$2="VEX",IFERROR(($A$4*$A$4*RTD("tos.rtd",,"VOLUME","."&amp;G$2&amp;G$1&amp;"C"&amp;$A7)*RTD("tos.rtd",,"GAMMA","."&amp;G$2&amp;G$1&amp;"C"&amp;$A7)-$A$4*$A$4*RTD("tos.rtd",,"VOLUME","."&amp;G$2&amp;G$1&amp;"P"&amp;$A7)*RTD("tos.rtd",,"GAMMA","."&amp;G$2&amp;G$1&amp;"P"&amp;$A7))/1000000,0),IF($A$2="GEX",IFERROR(($A$4*$A$4*RTD("tos.rtd",,"OPEN_INT","."&amp;G$2&amp;G$1&amp;"C"&amp;$A7)*RTD("tos.rtd",,"GAMMA","."&amp;G$2&amp;G$1&amp;"C"&amp;$A7)-$A$4*$A$4*RTD("tos.rtd",,"OPEN_INT","."&amp;G$2&amp;G$1&amp;"P"&amp;$A7)*RTD("tos.rtd",,"GAMMA","."&amp;G$2&amp;G$1&amp;"P"&amp;$A7))/1000000,0),IF($A$2="SKEW",IFERROR(VALUE(IF(RTD("tos.rtd",,"IMPL_VOL","."&amp;G$2&amp;G$1&amp;"P"&amp;$A7)="N/A",0,RTD("tos.rtd",,"IMPL_VOL","."&amp;G$2&amp;G$1&amp;"P"&amp;$A7))),0)-IFERROR(VALUE(IF(RTD("tos.rtd",,"IMPL_VOL","."&amp;G$2&amp;G$1&amp;"C"&amp;$A7)="N/A",0,RTD("tos.rtd",,"IMPL_VOL","."&amp;G$2&amp;G$1&amp;"C"&amp;$A7))),0),IF($A$2="MAXPAIN",IF($A$4&gt;$A7,($A$4-$A7)*IF(RTD("tos.rtd",,"OPEN_INT","."&amp;G$2&amp;G$1&amp;"C"&amp;$A7)="N/A",0,RTD("tos.rtd",,"OPEN_INT","."&amp;G$2&amp;G$1&amp;"C"&amp;$A7)),0)+IF($A$4&lt;$A7,($A7-$A$4)*IF(RTD("tos.rtd",,"OPEN_INT","."&amp;G$2&amp;G$1&amp;"P"&amp;$A7)="N/A",0,RTD("tos.rtd",,"OPEN_INT","."&amp;G$2&amp;G$1&amp;"P"&amp;$A7)),0),IF(RTD("tos.rtd",,$A$2,"."&amp;G$2&amp;G$1&amp;"C"&amp;$A7)="N/A",0,RTD("tos.rtd",,$A$2,"."&amp;G$2&amp;G$1&amp;"C"&amp;$A7))-IF(RTD("tos.rtd",,$A$2,"."&amp;G$2&amp;G$1&amp;"P"&amp;$A7)="N/A",0,RTD("tos.rtd",,$A$2,"."&amp;G$2&amp;G$1&amp;"P"&amp;$A7)))))))))</f>
        <v>0</v>
      </c>
      <c r="H7" s="12">
        <f>IF($A$2="PREMIUM_OI",IFERROR((100*RTD("tos.rtd",,"OPEN_INT","."&amp;H$2&amp;H$1&amp;"C"&amp;$A7)*RTD("tos.rtd",,"LAST","."&amp;H$2&amp;H$1&amp;"C"&amp;$A7)-100*RTD("tos.rtd",,"OPEN_INT","."&amp;H$2&amp;H$1&amp;"P"&amp;$A7)*RTD("tos.rtd",,"LAST","."&amp;H$2&amp;H$1&amp;"P"&amp;$A7))/1000000,0),IF($A$2="PREMIUM",IFERROR((100*RTD("tos.rtd",,"VOLUME","."&amp;H$2&amp;H$1&amp;"C"&amp;$A7)*RTD("tos.rtd",,"LAST","."&amp;H$2&amp;H$1&amp;"C"&amp;$A7)-100*RTD("tos.rtd",,"VOLUME","."&amp;H$2&amp;H$1&amp;"P"&amp;$A7)*RTD("tos.rtd",,"LAST","."&amp;H$2&amp;H$1&amp;"P"&amp;$A7))/1000000,0),IF($A$2="DEX",IFERROR((100*RTD("tos.rtd",,"OPEN_INT","."&amp;H$2&amp;H$1&amp;"C"&amp;$A7)*RTD("tos.rtd",,"DELTA","."&amp;H$2&amp;H$1&amp;"C"&amp;$A7)-100*RTD("tos.rtd",,"OPEN_INT","."&amp;H$2&amp;H$1&amp;"P"&amp;$A7)*RTD("tos.rtd",,"DELTA","."&amp;H$2&amp;H$1&amp;"P"&amp;$A7))/1000,0),IF($A$2="VEX",IFERROR(($A$4*$A$4*RTD("tos.rtd",,"VOLUME","."&amp;H$2&amp;H$1&amp;"C"&amp;$A7)*RTD("tos.rtd",,"GAMMA","."&amp;H$2&amp;H$1&amp;"C"&amp;$A7)-$A$4*$A$4*RTD("tos.rtd",,"VOLUME","."&amp;H$2&amp;H$1&amp;"P"&amp;$A7)*RTD("tos.rtd",,"GAMMA","."&amp;H$2&amp;H$1&amp;"P"&amp;$A7))/1000000,0),IF($A$2="GEX",IFERROR(($A$4*$A$4*RTD("tos.rtd",,"OPEN_INT","."&amp;H$2&amp;H$1&amp;"C"&amp;$A7)*RTD("tos.rtd",,"GAMMA","."&amp;H$2&amp;H$1&amp;"C"&amp;$A7)-$A$4*$A$4*RTD("tos.rtd",,"OPEN_INT","."&amp;H$2&amp;H$1&amp;"P"&amp;$A7)*RTD("tos.rtd",,"GAMMA","."&amp;H$2&amp;H$1&amp;"P"&amp;$A7))/1000000,0),IF($A$2="SKEW",IFERROR(VALUE(IF(RTD("tos.rtd",,"IMPL_VOL","."&amp;H$2&amp;H$1&amp;"P"&amp;$A7)="N/A",0,RTD("tos.rtd",,"IMPL_VOL","."&amp;H$2&amp;H$1&amp;"P"&amp;$A7))),0)-IFERROR(VALUE(IF(RTD("tos.rtd",,"IMPL_VOL","."&amp;H$2&amp;H$1&amp;"C"&amp;$A7)="N/A",0,RTD("tos.rtd",,"IMPL_VOL","."&amp;H$2&amp;H$1&amp;"C"&amp;$A7))),0),IF($A$2="MAXPAIN",IF($A$4&gt;$A7,($A$4-$A7)*IF(RTD("tos.rtd",,"OPEN_INT","."&amp;H$2&amp;H$1&amp;"C"&amp;$A7)="N/A",0,RTD("tos.rtd",,"OPEN_INT","."&amp;H$2&amp;H$1&amp;"C"&amp;$A7)),0)+IF($A$4&lt;$A7,($A7-$A$4)*IF(RTD("tos.rtd",,"OPEN_INT","."&amp;H$2&amp;H$1&amp;"P"&amp;$A7)="N/A",0,RTD("tos.rtd",,"OPEN_INT","."&amp;H$2&amp;H$1&amp;"P"&amp;$A7)),0),IF(RTD("tos.rtd",,$A$2,"."&amp;H$2&amp;H$1&amp;"C"&amp;$A7)="N/A",0,RTD("tos.rtd",,$A$2,"."&amp;H$2&amp;H$1&amp;"C"&amp;$A7))-IF(RTD("tos.rtd",,$A$2,"."&amp;H$2&amp;H$1&amp;"P"&amp;$A7)="N/A",0,RTD("tos.rtd",,$A$2,"."&amp;H$2&amp;H$1&amp;"P"&amp;$A7)))))))))</f>
        <v>0</v>
      </c>
      <c r="I7" s="12">
        <f>IF($A$2="PREMIUM_OI",IFERROR((100*RTD("tos.rtd",,"OPEN_INT","."&amp;I$2&amp;I$1&amp;"C"&amp;$A7)*RTD("tos.rtd",,"LAST","."&amp;I$2&amp;I$1&amp;"C"&amp;$A7)-100*RTD("tos.rtd",,"OPEN_INT","."&amp;I$2&amp;I$1&amp;"P"&amp;$A7)*RTD("tos.rtd",,"LAST","."&amp;I$2&amp;I$1&amp;"P"&amp;$A7))/1000000,0),IF($A$2="PREMIUM",IFERROR((100*RTD("tos.rtd",,"VOLUME","."&amp;I$2&amp;I$1&amp;"C"&amp;$A7)*RTD("tos.rtd",,"LAST","."&amp;I$2&amp;I$1&amp;"C"&amp;$A7)-100*RTD("tos.rtd",,"VOLUME","."&amp;I$2&amp;I$1&amp;"P"&amp;$A7)*RTD("tos.rtd",,"LAST","."&amp;I$2&amp;I$1&amp;"P"&amp;$A7))/1000000,0),IF($A$2="DEX",IFERROR((100*RTD("tos.rtd",,"OPEN_INT","."&amp;I$2&amp;I$1&amp;"C"&amp;$A7)*RTD("tos.rtd",,"DELTA","."&amp;I$2&amp;I$1&amp;"C"&amp;$A7)-100*RTD("tos.rtd",,"OPEN_INT","."&amp;I$2&amp;I$1&amp;"P"&amp;$A7)*RTD("tos.rtd",,"DELTA","."&amp;I$2&amp;I$1&amp;"P"&amp;$A7))/1000,0),IF($A$2="VEX",IFERROR(($A$4*$A$4*RTD("tos.rtd",,"VOLUME","."&amp;I$2&amp;I$1&amp;"C"&amp;$A7)*RTD("tos.rtd",,"GAMMA","."&amp;I$2&amp;I$1&amp;"C"&amp;$A7)-$A$4*$A$4*RTD("tos.rtd",,"VOLUME","."&amp;I$2&amp;I$1&amp;"P"&amp;$A7)*RTD("tos.rtd",,"GAMMA","."&amp;I$2&amp;I$1&amp;"P"&amp;$A7))/1000000,0),IF($A$2="GEX",IFERROR(($A$4*$A$4*RTD("tos.rtd",,"OPEN_INT","."&amp;I$2&amp;I$1&amp;"C"&amp;$A7)*RTD("tos.rtd",,"GAMMA","."&amp;I$2&amp;I$1&amp;"C"&amp;$A7)-$A$4*$A$4*RTD("tos.rtd",,"OPEN_INT","."&amp;I$2&amp;I$1&amp;"P"&amp;$A7)*RTD("tos.rtd",,"GAMMA","."&amp;I$2&amp;I$1&amp;"P"&amp;$A7))/1000000,0),IF($A$2="SKEW",IFERROR(VALUE(IF(RTD("tos.rtd",,"IMPL_VOL","."&amp;I$2&amp;I$1&amp;"P"&amp;$A7)="N/A",0,RTD("tos.rtd",,"IMPL_VOL","."&amp;I$2&amp;I$1&amp;"P"&amp;$A7))),0)-IFERROR(VALUE(IF(RTD("tos.rtd",,"IMPL_VOL","."&amp;I$2&amp;I$1&amp;"C"&amp;$A7)="N/A",0,RTD("tos.rtd",,"IMPL_VOL","."&amp;I$2&amp;I$1&amp;"C"&amp;$A7))),0),IF($A$2="MAXPAIN",IF($A$4&gt;$A7,($A$4-$A7)*IF(RTD("tos.rtd",,"OPEN_INT","."&amp;I$2&amp;I$1&amp;"C"&amp;$A7)="N/A",0,RTD("tos.rtd",,"OPEN_INT","."&amp;I$2&amp;I$1&amp;"C"&amp;$A7)),0)+IF($A$4&lt;$A7,($A7-$A$4)*IF(RTD("tos.rtd",,"OPEN_INT","."&amp;I$2&amp;I$1&amp;"P"&amp;$A7)="N/A",0,RTD("tos.rtd",,"OPEN_INT","."&amp;I$2&amp;I$1&amp;"P"&amp;$A7)),0),IF(RTD("tos.rtd",,$A$2,"."&amp;I$2&amp;I$1&amp;"C"&amp;$A7)="N/A",0,RTD("tos.rtd",,$A$2,"."&amp;I$2&amp;I$1&amp;"C"&amp;$A7))-IF(RTD("tos.rtd",,$A$2,"."&amp;I$2&amp;I$1&amp;"P"&amp;$A7)="N/A",0,RTD("tos.rtd",,$A$2,"."&amp;I$2&amp;I$1&amp;"P"&amp;$A7)))))))))</f>
        <v>0</v>
      </c>
      <c r="J7" s="12">
        <f>IF($A$2="PREMIUM_OI",IFERROR((100*RTD("tos.rtd",,"OPEN_INT","."&amp;J$2&amp;J$1&amp;"C"&amp;$A7)*RTD("tos.rtd",,"LAST","."&amp;J$2&amp;J$1&amp;"C"&amp;$A7)-100*RTD("tos.rtd",,"OPEN_INT","."&amp;J$2&amp;J$1&amp;"P"&amp;$A7)*RTD("tos.rtd",,"LAST","."&amp;J$2&amp;J$1&amp;"P"&amp;$A7))/1000000,0),IF($A$2="PREMIUM",IFERROR((100*RTD("tos.rtd",,"VOLUME","."&amp;J$2&amp;J$1&amp;"C"&amp;$A7)*RTD("tos.rtd",,"LAST","."&amp;J$2&amp;J$1&amp;"C"&amp;$A7)-100*RTD("tos.rtd",,"VOLUME","."&amp;J$2&amp;J$1&amp;"P"&amp;$A7)*RTD("tos.rtd",,"LAST","."&amp;J$2&amp;J$1&amp;"P"&amp;$A7))/1000000,0),IF($A$2="DEX",IFERROR((100*RTD("tos.rtd",,"OPEN_INT","."&amp;J$2&amp;J$1&amp;"C"&amp;$A7)*RTD("tos.rtd",,"DELTA","."&amp;J$2&amp;J$1&amp;"C"&amp;$A7)-100*RTD("tos.rtd",,"OPEN_INT","."&amp;J$2&amp;J$1&amp;"P"&amp;$A7)*RTD("tos.rtd",,"DELTA","."&amp;J$2&amp;J$1&amp;"P"&amp;$A7))/1000,0),IF($A$2="VEX",IFERROR(($A$4*$A$4*RTD("tos.rtd",,"VOLUME","."&amp;J$2&amp;J$1&amp;"C"&amp;$A7)*RTD("tos.rtd",,"GAMMA","."&amp;J$2&amp;J$1&amp;"C"&amp;$A7)-$A$4*$A$4*RTD("tos.rtd",,"VOLUME","."&amp;J$2&amp;J$1&amp;"P"&amp;$A7)*RTD("tos.rtd",,"GAMMA","."&amp;J$2&amp;J$1&amp;"P"&amp;$A7))/1000000,0),IF($A$2="GEX",IFERROR(($A$4*$A$4*RTD("tos.rtd",,"OPEN_INT","."&amp;J$2&amp;J$1&amp;"C"&amp;$A7)*RTD("tos.rtd",,"GAMMA","."&amp;J$2&amp;J$1&amp;"C"&amp;$A7)-$A$4*$A$4*RTD("tos.rtd",,"OPEN_INT","."&amp;J$2&amp;J$1&amp;"P"&amp;$A7)*RTD("tos.rtd",,"GAMMA","."&amp;J$2&amp;J$1&amp;"P"&amp;$A7))/1000000,0),IF($A$2="SKEW",IFERROR(VALUE(IF(RTD("tos.rtd",,"IMPL_VOL","."&amp;J$2&amp;J$1&amp;"P"&amp;$A7)="N/A",0,RTD("tos.rtd",,"IMPL_VOL","."&amp;J$2&amp;J$1&amp;"P"&amp;$A7))),0)-IFERROR(VALUE(IF(RTD("tos.rtd",,"IMPL_VOL","."&amp;J$2&amp;J$1&amp;"C"&amp;$A7)="N/A",0,RTD("tos.rtd",,"IMPL_VOL","."&amp;J$2&amp;J$1&amp;"C"&amp;$A7))),0),IF($A$2="MAXPAIN",IF($A$4&gt;$A7,($A$4-$A7)*IF(RTD("tos.rtd",,"OPEN_INT","."&amp;J$2&amp;J$1&amp;"C"&amp;$A7)="N/A",0,RTD("tos.rtd",,"OPEN_INT","."&amp;J$2&amp;J$1&amp;"C"&amp;$A7)),0)+IF($A$4&lt;$A7,($A7-$A$4)*IF(RTD("tos.rtd",,"OPEN_INT","."&amp;J$2&amp;J$1&amp;"P"&amp;$A7)="N/A",0,RTD("tos.rtd",,"OPEN_INT","."&amp;J$2&amp;J$1&amp;"P"&amp;$A7)),0),IF(RTD("tos.rtd",,$A$2,"."&amp;J$2&amp;J$1&amp;"C"&amp;$A7)="N/A",0,RTD("tos.rtd",,$A$2,"."&amp;J$2&amp;J$1&amp;"C"&amp;$A7))-IF(RTD("tos.rtd",,$A$2,"."&amp;J$2&amp;J$1&amp;"P"&amp;$A7)="N/A",0,RTD("tos.rtd",,$A$2,"."&amp;J$2&amp;J$1&amp;"P"&amp;$A7)))))))))</f>
        <v>0</v>
      </c>
      <c r="K7" s="12">
        <f>IF($A$2="PREMIUM_OI",IFERROR((100*RTD("tos.rtd",,"OPEN_INT","."&amp;K$2&amp;K$1&amp;"C"&amp;$A7)*RTD("tos.rtd",,"LAST","."&amp;K$2&amp;K$1&amp;"C"&amp;$A7)-100*RTD("tos.rtd",,"OPEN_INT","."&amp;K$2&amp;K$1&amp;"P"&amp;$A7)*RTD("tos.rtd",,"LAST","."&amp;K$2&amp;K$1&amp;"P"&amp;$A7))/1000000,0),IF($A$2="PREMIUM",IFERROR((100*RTD("tos.rtd",,"VOLUME","."&amp;K$2&amp;K$1&amp;"C"&amp;$A7)*RTD("tos.rtd",,"LAST","."&amp;K$2&amp;K$1&amp;"C"&amp;$A7)-100*RTD("tos.rtd",,"VOLUME","."&amp;K$2&amp;K$1&amp;"P"&amp;$A7)*RTD("tos.rtd",,"LAST","."&amp;K$2&amp;K$1&amp;"P"&amp;$A7))/1000000,0),IF($A$2="DEX",IFERROR((100*RTD("tos.rtd",,"OPEN_INT","."&amp;K$2&amp;K$1&amp;"C"&amp;$A7)*RTD("tos.rtd",,"DELTA","."&amp;K$2&amp;K$1&amp;"C"&amp;$A7)-100*RTD("tos.rtd",,"OPEN_INT","."&amp;K$2&amp;K$1&amp;"P"&amp;$A7)*RTD("tos.rtd",,"DELTA","."&amp;K$2&amp;K$1&amp;"P"&amp;$A7))/1000,0),IF($A$2="VEX",IFERROR(($A$4*$A$4*RTD("tos.rtd",,"VOLUME","."&amp;K$2&amp;K$1&amp;"C"&amp;$A7)*RTD("tos.rtd",,"GAMMA","."&amp;K$2&amp;K$1&amp;"C"&amp;$A7)-$A$4*$A$4*RTD("tos.rtd",,"VOLUME","."&amp;K$2&amp;K$1&amp;"P"&amp;$A7)*RTD("tos.rtd",,"GAMMA","."&amp;K$2&amp;K$1&amp;"P"&amp;$A7))/1000000,0),IF($A$2="GEX",IFERROR(($A$4*$A$4*RTD("tos.rtd",,"OPEN_INT","."&amp;K$2&amp;K$1&amp;"C"&amp;$A7)*RTD("tos.rtd",,"GAMMA","."&amp;K$2&amp;K$1&amp;"C"&amp;$A7)-$A$4*$A$4*RTD("tos.rtd",,"OPEN_INT","."&amp;K$2&amp;K$1&amp;"P"&amp;$A7)*RTD("tos.rtd",,"GAMMA","."&amp;K$2&amp;K$1&amp;"P"&amp;$A7))/1000000,0),IF($A$2="SKEW",IFERROR(VALUE(IF(RTD("tos.rtd",,"IMPL_VOL","."&amp;K$2&amp;K$1&amp;"P"&amp;$A7)="N/A",0,RTD("tos.rtd",,"IMPL_VOL","."&amp;K$2&amp;K$1&amp;"P"&amp;$A7))),0)-IFERROR(VALUE(IF(RTD("tos.rtd",,"IMPL_VOL","."&amp;K$2&amp;K$1&amp;"C"&amp;$A7)="N/A",0,RTD("tos.rtd",,"IMPL_VOL","."&amp;K$2&amp;K$1&amp;"C"&amp;$A7))),0),IF($A$2="MAXPAIN",IF($A$4&gt;$A7,($A$4-$A7)*IF(RTD("tos.rtd",,"OPEN_INT","."&amp;K$2&amp;K$1&amp;"C"&amp;$A7)="N/A",0,RTD("tos.rtd",,"OPEN_INT","."&amp;K$2&amp;K$1&amp;"C"&amp;$A7)),0)+IF($A$4&lt;$A7,($A7-$A$4)*IF(RTD("tos.rtd",,"OPEN_INT","."&amp;K$2&amp;K$1&amp;"P"&amp;$A7)="N/A",0,RTD("tos.rtd",,"OPEN_INT","."&amp;K$2&amp;K$1&amp;"P"&amp;$A7)),0),IF(RTD("tos.rtd",,$A$2,"."&amp;K$2&amp;K$1&amp;"C"&amp;$A7)="N/A",0,RTD("tos.rtd",,$A$2,"."&amp;K$2&amp;K$1&amp;"C"&amp;$A7))-IF(RTD("tos.rtd",,$A$2,"."&amp;K$2&amp;K$1&amp;"P"&amp;$A7)="N/A",0,RTD("tos.rtd",,$A$2,"."&amp;K$2&amp;K$1&amp;"P"&amp;$A7)))))))))</f>
        <v>0</v>
      </c>
      <c r="L7" s="12">
        <f>IF($A$2="PREMIUM_OI",IFERROR((100*RTD("tos.rtd",,"OPEN_INT","."&amp;L$2&amp;L$1&amp;"C"&amp;$A7)*RTD("tos.rtd",,"LAST","."&amp;L$2&amp;L$1&amp;"C"&amp;$A7)-100*RTD("tos.rtd",,"OPEN_INT","."&amp;L$2&amp;L$1&amp;"P"&amp;$A7)*RTD("tos.rtd",,"LAST","."&amp;L$2&amp;L$1&amp;"P"&amp;$A7))/1000000,0),IF($A$2="PREMIUM",IFERROR((100*RTD("tos.rtd",,"VOLUME","."&amp;L$2&amp;L$1&amp;"C"&amp;$A7)*RTD("tos.rtd",,"LAST","."&amp;L$2&amp;L$1&amp;"C"&amp;$A7)-100*RTD("tos.rtd",,"VOLUME","."&amp;L$2&amp;L$1&amp;"P"&amp;$A7)*RTD("tos.rtd",,"LAST","."&amp;L$2&amp;L$1&amp;"P"&amp;$A7))/1000000,0),IF($A$2="DEX",IFERROR((100*RTD("tos.rtd",,"OPEN_INT","."&amp;L$2&amp;L$1&amp;"C"&amp;$A7)*RTD("tos.rtd",,"DELTA","."&amp;L$2&amp;L$1&amp;"C"&amp;$A7)-100*RTD("tos.rtd",,"OPEN_INT","."&amp;L$2&amp;L$1&amp;"P"&amp;$A7)*RTD("tos.rtd",,"DELTA","."&amp;L$2&amp;L$1&amp;"P"&amp;$A7))/1000,0),IF($A$2="VEX",IFERROR(($A$4*$A$4*RTD("tos.rtd",,"VOLUME","."&amp;L$2&amp;L$1&amp;"C"&amp;$A7)*RTD("tos.rtd",,"GAMMA","."&amp;L$2&amp;L$1&amp;"C"&amp;$A7)-$A$4*$A$4*RTD("tos.rtd",,"VOLUME","."&amp;L$2&amp;L$1&amp;"P"&amp;$A7)*RTD("tos.rtd",,"GAMMA","."&amp;L$2&amp;L$1&amp;"P"&amp;$A7))/1000000,0),IF($A$2="GEX",IFERROR(($A$4*$A$4*RTD("tos.rtd",,"OPEN_INT","."&amp;L$2&amp;L$1&amp;"C"&amp;$A7)*RTD("tos.rtd",,"GAMMA","."&amp;L$2&amp;L$1&amp;"C"&amp;$A7)-$A$4*$A$4*RTD("tos.rtd",,"OPEN_INT","."&amp;L$2&amp;L$1&amp;"P"&amp;$A7)*RTD("tos.rtd",,"GAMMA","."&amp;L$2&amp;L$1&amp;"P"&amp;$A7))/1000000,0),IF($A$2="SKEW",IFERROR(VALUE(IF(RTD("tos.rtd",,"IMPL_VOL","."&amp;L$2&amp;L$1&amp;"P"&amp;$A7)="N/A",0,RTD("tos.rtd",,"IMPL_VOL","."&amp;L$2&amp;L$1&amp;"P"&amp;$A7))),0)-IFERROR(VALUE(IF(RTD("tos.rtd",,"IMPL_VOL","."&amp;L$2&amp;L$1&amp;"C"&amp;$A7)="N/A",0,RTD("tos.rtd",,"IMPL_VOL","."&amp;L$2&amp;L$1&amp;"C"&amp;$A7))),0),IF($A$2="MAXPAIN",IF($A$4&gt;$A7,($A$4-$A7)*IF(RTD("tos.rtd",,"OPEN_INT","."&amp;L$2&amp;L$1&amp;"C"&amp;$A7)="N/A",0,RTD("tos.rtd",,"OPEN_INT","."&amp;L$2&amp;L$1&amp;"C"&amp;$A7)),0)+IF($A$4&lt;$A7,($A7-$A$4)*IF(RTD("tos.rtd",,"OPEN_INT","."&amp;L$2&amp;L$1&amp;"P"&amp;$A7)="N/A",0,RTD("tos.rtd",,"OPEN_INT","."&amp;L$2&amp;L$1&amp;"P"&amp;$A7)),0),IF(RTD("tos.rtd",,$A$2,"."&amp;L$2&amp;L$1&amp;"C"&amp;$A7)="N/A",0,RTD("tos.rtd",,$A$2,"."&amp;L$2&amp;L$1&amp;"C"&amp;$A7))-IF(RTD("tos.rtd",,$A$2,"."&amp;L$2&amp;L$1&amp;"P"&amp;$A7)="N/A",0,RTD("tos.rtd",,$A$2,"."&amp;L$2&amp;L$1&amp;"P"&amp;$A7)))))))))</f>
        <v>0</v>
      </c>
      <c r="M7" s="12">
        <f>IF($A$2="PREMIUM_OI",IFERROR((100*RTD("tos.rtd",,"OPEN_INT","."&amp;M$2&amp;M$1&amp;"C"&amp;$A7)*RTD("tos.rtd",,"LAST","."&amp;M$2&amp;M$1&amp;"C"&amp;$A7)-100*RTD("tos.rtd",,"OPEN_INT","."&amp;M$2&amp;M$1&amp;"P"&amp;$A7)*RTD("tos.rtd",,"LAST","."&amp;M$2&amp;M$1&amp;"P"&amp;$A7))/1000000,0),IF($A$2="PREMIUM",IFERROR((100*RTD("tos.rtd",,"VOLUME","."&amp;M$2&amp;M$1&amp;"C"&amp;$A7)*RTD("tos.rtd",,"LAST","."&amp;M$2&amp;M$1&amp;"C"&amp;$A7)-100*RTD("tos.rtd",,"VOLUME","."&amp;M$2&amp;M$1&amp;"P"&amp;$A7)*RTD("tos.rtd",,"LAST","."&amp;M$2&amp;M$1&amp;"P"&amp;$A7))/1000000,0),IF($A$2="DEX",IFERROR((100*RTD("tos.rtd",,"OPEN_INT","."&amp;M$2&amp;M$1&amp;"C"&amp;$A7)*RTD("tos.rtd",,"DELTA","."&amp;M$2&amp;M$1&amp;"C"&amp;$A7)-100*RTD("tos.rtd",,"OPEN_INT","."&amp;M$2&amp;M$1&amp;"P"&amp;$A7)*RTD("tos.rtd",,"DELTA","."&amp;M$2&amp;M$1&amp;"P"&amp;$A7))/1000,0),IF($A$2="VEX",IFERROR(($A$4*$A$4*RTD("tos.rtd",,"VOLUME","."&amp;M$2&amp;M$1&amp;"C"&amp;$A7)*RTD("tos.rtd",,"GAMMA","."&amp;M$2&amp;M$1&amp;"C"&amp;$A7)-$A$4*$A$4*RTD("tos.rtd",,"VOLUME","."&amp;M$2&amp;M$1&amp;"P"&amp;$A7)*RTD("tos.rtd",,"GAMMA","."&amp;M$2&amp;M$1&amp;"P"&amp;$A7))/1000000,0),IF($A$2="GEX",IFERROR(($A$4*$A$4*RTD("tos.rtd",,"OPEN_INT","."&amp;M$2&amp;M$1&amp;"C"&amp;$A7)*RTD("tos.rtd",,"GAMMA","."&amp;M$2&amp;M$1&amp;"C"&amp;$A7)-$A$4*$A$4*RTD("tos.rtd",,"OPEN_INT","."&amp;M$2&amp;M$1&amp;"P"&amp;$A7)*RTD("tos.rtd",,"GAMMA","."&amp;M$2&amp;M$1&amp;"P"&amp;$A7))/1000000,0),IF($A$2="SKEW",IFERROR(VALUE(IF(RTD("tos.rtd",,"IMPL_VOL","."&amp;M$2&amp;M$1&amp;"P"&amp;$A7)="N/A",0,RTD("tos.rtd",,"IMPL_VOL","."&amp;M$2&amp;M$1&amp;"P"&amp;$A7))),0)-IFERROR(VALUE(IF(RTD("tos.rtd",,"IMPL_VOL","."&amp;M$2&amp;M$1&amp;"C"&amp;$A7)="N/A",0,RTD("tos.rtd",,"IMPL_VOL","."&amp;M$2&amp;M$1&amp;"C"&amp;$A7))),0),IF($A$2="MAXPAIN",IF($A$4&gt;$A7,($A$4-$A7)*IF(RTD("tos.rtd",,"OPEN_INT","."&amp;M$2&amp;M$1&amp;"C"&amp;$A7)="N/A",0,RTD("tos.rtd",,"OPEN_INT","."&amp;M$2&amp;M$1&amp;"C"&amp;$A7)),0)+IF($A$4&lt;$A7,($A7-$A$4)*IF(RTD("tos.rtd",,"OPEN_INT","."&amp;M$2&amp;M$1&amp;"P"&amp;$A7)="N/A",0,RTD("tos.rtd",,"OPEN_INT","."&amp;M$2&amp;M$1&amp;"P"&amp;$A7)),0),IF(RTD("tos.rtd",,$A$2,"."&amp;M$2&amp;M$1&amp;"C"&amp;$A7)="N/A",0,RTD("tos.rtd",,$A$2,"."&amp;M$2&amp;M$1&amp;"C"&amp;$A7))-IF(RTD("tos.rtd",,$A$2,"."&amp;M$2&amp;M$1&amp;"P"&amp;$A7)="N/A",0,RTD("tos.rtd",,$A$2,"."&amp;M$2&amp;M$1&amp;"P"&amp;$A7)))))))))</f>
        <v>0</v>
      </c>
      <c r="N7" s="12">
        <f>IF($A$2="PREMIUM_OI",IFERROR((100*RTD("tos.rtd",,"OPEN_INT","."&amp;N$2&amp;N$1&amp;"C"&amp;$A7)*RTD("tos.rtd",,"LAST","."&amp;N$2&amp;N$1&amp;"C"&amp;$A7)-100*RTD("tos.rtd",,"OPEN_INT","."&amp;N$2&amp;N$1&amp;"P"&amp;$A7)*RTD("tos.rtd",,"LAST","."&amp;N$2&amp;N$1&amp;"P"&amp;$A7))/1000000,0),IF($A$2="PREMIUM",IFERROR((100*RTD("tos.rtd",,"VOLUME","."&amp;N$2&amp;N$1&amp;"C"&amp;$A7)*RTD("tos.rtd",,"LAST","."&amp;N$2&amp;N$1&amp;"C"&amp;$A7)-100*RTD("tos.rtd",,"VOLUME","."&amp;N$2&amp;N$1&amp;"P"&amp;$A7)*RTD("tos.rtd",,"LAST","."&amp;N$2&amp;N$1&amp;"P"&amp;$A7))/1000000,0),IF($A$2="DEX",IFERROR((100*RTD("tos.rtd",,"OPEN_INT","."&amp;N$2&amp;N$1&amp;"C"&amp;$A7)*RTD("tos.rtd",,"DELTA","."&amp;N$2&amp;N$1&amp;"C"&amp;$A7)-100*RTD("tos.rtd",,"OPEN_INT","."&amp;N$2&amp;N$1&amp;"P"&amp;$A7)*RTD("tos.rtd",,"DELTA","."&amp;N$2&amp;N$1&amp;"P"&amp;$A7))/1000,0),IF($A$2="VEX",IFERROR(($A$4*$A$4*RTD("tos.rtd",,"VOLUME","."&amp;N$2&amp;N$1&amp;"C"&amp;$A7)*RTD("tos.rtd",,"GAMMA","."&amp;N$2&amp;N$1&amp;"C"&amp;$A7)-$A$4*$A$4*RTD("tos.rtd",,"VOLUME","."&amp;N$2&amp;N$1&amp;"P"&amp;$A7)*RTD("tos.rtd",,"GAMMA","."&amp;N$2&amp;N$1&amp;"P"&amp;$A7))/1000000,0),IF($A$2="GEX",IFERROR(($A$4*$A$4*RTD("tos.rtd",,"OPEN_INT","."&amp;N$2&amp;N$1&amp;"C"&amp;$A7)*RTD("tos.rtd",,"GAMMA","."&amp;N$2&amp;N$1&amp;"C"&amp;$A7)-$A$4*$A$4*RTD("tos.rtd",,"OPEN_INT","."&amp;N$2&amp;N$1&amp;"P"&amp;$A7)*RTD("tos.rtd",,"GAMMA","."&amp;N$2&amp;N$1&amp;"P"&amp;$A7))/1000000,0),IF($A$2="SKEW",IFERROR(VALUE(IF(RTD("tos.rtd",,"IMPL_VOL","."&amp;N$2&amp;N$1&amp;"P"&amp;$A7)="N/A",0,RTD("tos.rtd",,"IMPL_VOL","."&amp;N$2&amp;N$1&amp;"P"&amp;$A7))),0)-IFERROR(VALUE(IF(RTD("tos.rtd",,"IMPL_VOL","."&amp;N$2&amp;N$1&amp;"C"&amp;$A7)="N/A",0,RTD("tos.rtd",,"IMPL_VOL","."&amp;N$2&amp;N$1&amp;"C"&amp;$A7))),0),IF($A$2="MAXPAIN",IF($A$4&gt;$A7,($A$4-$A7)*IF(RTD("tos.rtd",,"OPEN_INT","."&amp;N$2&amp;N$1&amp;"C"&amp;$A7)="N/A",0,RTD("tos.rtd",,"OPEN_INT","."&amp;N$2&amp;N$1&amp;"C"&amp;$A7)),0)+IF($A$4&lt;$A7,($A7-$A$4)*IF(RTD("tos.rtd",,"OPEN_INT","."&amp;N$2&amp;N$1&amp;"P"&amp;$A7)="N/A",0,RTD("tos.rtd",,"OPEN_INT","."&amp;N$2&amp;N$1&amp;"P"&amp;$A7)),0),IF(RTD("tos.rtd",,$A$2,"."&amp;N$2&amp;N$1&amp;"C"&amp;$A7)="N/A",0,RTD("tos.rtd",,$A$2,"."&amp;N$2&amp;N$1&amp;"C"&amp;$A7))-IF(RTD("tos.rtd",,$A$2,"."&amp;N$2&amp;N$1&amp;"P"&amp;$A7)="N/A",0,RTD("tos.rtd",,$A$2,"."&amp;N$2&amp;N$1&amp;"P"&amp;$A7)))))))))</f>
        <v>0</v>
      </c>
      <c r="O7" s="12">
        <f>IF($A$2="PREMIUM_OI",IFERROR((100*RTD("tos.rtd",,"OPEN_INT","."&amp;O$2&amp;O$1&amp;"C"&amp;$A7)*RTD("tos.rtd",,"LAST","."&amp;O$2&amp;O$1&amp;"C"&amp;$A7)-100*RTD("tos.rtd",,"OPEN_INT","."&amp;O$2&amp;O$1&amp;"P"&amp;$A7)*RTD("tos.rtd",,"LAST","."&amp;O$2&amp;O$1&amp;"P"&amp;$A7))/1000000,0),IF($A$2="PREMIUM",IFERROR((100*RTD("tos.rtd",,"VOLUME","."&amp;O$2&amp;O$1&amp;"C"&amp;$A7)*RTD("tos.rtd",,"LAST","."&amp;O$2&amp;O$1&amp;"C"&amp;$A7)-100*RTD("tos.rtd",,"VOLUME","."&amp;O$2&amp;O$1&amp;"P"&amp;$A7)*RTD("tos.rtd",,"LAST","."&amp;O$2&amp;O$1&amp;"P"&amp;$A7))/1000000,0),IF($A$2="DEX",IFERROR((100*RTD("tos.rtd",,"OPEN_INT","."&amp;O$2&amp;O$1&amp;"C"&amp;$A7)*RTD("tos.rtd",,"DELTA","."&amp;O$2&amp;O$1&amp;"C"&amp;$A7)-100*RTD("tos.rtd",,"OPEN_INT","."&amp;O$2&amp;O$1&amp;"P"&amp;$A7)*RTD("tos.rtd",,"DELTA","."&amp;O$2&amp;O$1&amp;"P"&amp;$A7))/1000,0),IF($A$2="VEX",IFERROR(($A$4*$A$4*RTD("tos.rtd",,"VOLUME","."&amp;O$2&amp;O$1&amp;"C"&amp;$A7)*RTD("tos.rtd",,"GAMMA","."&amp;O$2&amp;O$1&amp;"C"&amp;$A7)-$A$4*$A$4*RTD("tos.rtd",,"VOLUME","."&amp;O$2&amp;O$1&amp;"P"&amp;$A7)*RTD("tos.rtd",,"GAMMA","."&amp;O$2&amp;O$1&amp;"P"&amp;$A7))/1000000,0),IF($A$2="GEX",IFERROR(($A$4*$A$4*RTD("tos.rtd",,"OPEN_INT","."&amp;O$2&amp;O$1&amp;"C"&amp;$A7)*RTD("tos.rtd",,"GAMMA","."&amp;O$2&amp;O$1&amp;"C"&amp;$A7)-$A$4*$A$4*RTD("tos.rtd",,"OPEN_INT","."&amp;O$2&amp;O$1&amp;"P"&amp;$A7)*RTD("tos.rtd",,"GAMMA","."&amp;O$2&amp;O$1&amp;"P"&amp;$A7))/1000000,0),IF($A$2="SKEW",IFERROR(VALUE(IF(RTD("tos.rtd",,"IMPL_VOL","."&amp;O$2&amp;O$1&amp;"P"&amp;$A7)="N/A",0,RTD("tos.rtd",,"IMPL_VOL","."&amp;O$2&amp;O$1&amp;"P"&amp;$A7))),0)-IFERROR(VALUE(IF(RTD("tos.rtd",,"IMPL_VOL","."&amp;O$2&amp;O$1&amp;"C"&amp;$A7)="N/A",0,RTD("tos.rtd",,"IMPL_VOL","."&amp;O$2&amp;O$1&amp;"C"&amp;$A7))),0),IF($A$2="MAXPAIN",IF($A$4&gt;$A7,($A$4-$A7)*IF(RTD("tos.rtd",,"OPEN_INT","."&amp;O$2&amp;O$1&amp;"C"&amp;$A7)="N/A",0,RTD("tos.rtd",,"OPEN_INT","."&amp;O$2&amp;O$1&amp;"C"&amp;$A7)),0)+IF($A$4&lt;$A7,($A7-$A$4)*IF(RTD("tos.rtd",,"OPEN_INT","."&amp;O$2&amp;O$1&amp;"P"&amp;$A7)="N/A",0,RTD("tos.rtd",,"OPEN_INT","."&amp;O$2&amp;O$1&amp;"P"&amp;$A7)),0),IF(RTD("tos.rtd",,$A$2,"."&amp;O$2&amp;O$1&amp;"C"&amp;$A7)="N/A",0,RTD("tos.rtd",,$A$2,"."&amp;O$2&amp;O$1&amp;"C"&amp;$A7))-IF(RTD("tos.rtd",,$A$2,"."&amp;O$2&amp;O$1&amp;"P"&amp;$A7)="N/A",0,RTD("tos.rtd",,$A$2,"."&amp;O$2&amp;O$1&amp;"P"&amp;$A7)))))))))</f>
        <v>0</v>
      </c>
      <c r="P7" s="12">
        <f>IF($A$2="PREMIUM_OI",IFERROR((100*RTD("tos.rtd",,"OPEN_INT","."&amp;P$2&amp;P$1&amp;"C"&amp;$A7)*RTD("tos.rtd",,"LAST","."&amp;P$2&amp;P$1&amp;"C"&amp;$A7)-100*RTD("tos.rtd",,"OPEN_INT","."&amp;P$2&amp;P$1&amp;"P"&amp;$A7)*RTD("tos.rtd",,"LAST","."&amp;P$2&amp;P$1&amp;"P"&amp;$A7))/1000000,0),IF($A$2="PREMIUM",IFERROR((100*RTD("tos.rtd",,"VOLUME","."&amp;P$2&amp;P$1&amp;"C"&amp;$A7)*RTD("tos.rtd",,"LAST","."&amp;P$2&amp;P$1&amp;"C"&amp;$A7)-100*RTD("tos.rtd",,"VOLUME","."&amp;P$2&amp;P$1&amp;"P"&amp;$A7)*RTD("tos.rtd",,"LAST","."&amp;P$2&amp;P$1&amp;"P"&amp;$A7))/1000000,0),IF($A$2="DEX",IFERROR((100*RTD("tos.rtd",,"OPEN_INT","."&amp;P$2&amp;P$1&amp;"C"&amp;$A7)*RTD("tos.rtd",,"DELTA","."&amp;P$2&amp;P$1&amp;"C"&amp;$A7)-100*RTD("tos.rtd",,"OPEN_INT","."&amp;P$2&amp;P$1&amp;"P"&amp;$A7)*RTD("tos.rtd",,"DELTA","."&amp;P$2&amp;P$1&amp;"P"&amp;$A7))/1000,0),IF($A$2="VEX",IFERROR(($A$4*$A$4*RTD("tos.rtd",,"VOLUME","."&amp;P$2&amp;P$1&amp;"C"&amp;$A7)*RTD("tos.rtd",,"GAMMA","."&amp;P$2&amp;P$1&amp;"C"&amp;$A7)-$A$4*$A$4*RTD("tos.rtd",,"VOLUME","."&amp;P$2&amp;P$1&amp;"P"&amp;$A7)*RTD("tos.rtd",,"GAMMA","."&amp;P$2&amp;P$1&amp;"P"&amp;$A7))/1000000,0),IF($A$2="GEX",IFERROR(($A$4*$A$4*RTD("tos.rtd",,"OPEN_INT","."&amp;P$2&amp;P$1&amp;"C"&amp;$A7)*RTD("tos.rtd",,"GAMMA","."&amp;P$2&amp;P$1&amp;"C"&amp;$A7)-$A$4*$A$4*RTD("tos.rtd",,"OPEN_INT","."&amp;P$2&amp;P$1&amp;"P"&amp;$A7)*RTD("tos.rtd",,"GAMMA","."&amp;P$2&amp;P$1&amp;"P"&amp;$A7))/1000000,0),IF($A$2="SKEW",IFERROR(VALUE(IF(RTD("tos.rtd",,"IMPL_VOL","."&amp;P$2&amp;P$1&amp;"P"&amp;$A7)="N/A",0,RTD("tos.rtd",,"IMPL_VOL","."&amp;P$2&amp;P$1&amp;"P"&amp;$A7))),0)-IFERROR(VALUE(IF(RTD("tos.rtd",,"IMPL_VOL","."&amp;P$2&amp;P$1&amp;"C"&amp;$A7)="N/A",0,RTD("tos.rtd",,"IMPL_VOL","."&amp;P$2&amp;P$1&amp;"C"&amp;$A7))),0),IF($A$2="MAXPAIN",IF($A$4&gt;$A7,($A$4-$A7)*IF(RTD("tos.rtd",,"OPEN_INT","."&amp;P$2&amp;P$1&amp;"C"&amp;$A7)="N/A",0,RTD("tos.rtd",,"OPEN_INT","."&amp;P$2&amp;P$1&amp;"C"&amp;$A7)),0)+IF($A$4&lt;$A7,($A7-$A$4)*IF(RTD("tos.rtd",,"OPEN_INT","."&amp;P$2&amp;P$1&amp;"P"&amp;$A7)="N/A",0,RTD("tos.rtd",,"OPEN_INT","."&amp;P$2&amp;P$1&amp;"P"&amp;$A7)),0),IF(RTD("tos.rtd",,$A$2,"."&amp;P$2&amp;P$1&amp;"C"&amp;$A7)="N/A",0,RTD("tos.rtd",,$A$2,"."&amp;P$2&amp;P$1&amp;"C"&amp;$A7))-IF(RTD("tos.rtd",,$A$2,"."&amp;P$2&amp;P$1&amp;"P"&amp;$A7)="N/A",0,RTD("tos.rtd",,$A$2,"."&amp;P$2&amp;P$1&amp;"P"&amp;$A7)))))))))</f>
        <v>0</v>
      </c>
      <c r="Q7" s="12">
        <f>IF($A$2="PREMIUM_OI",IFERROR((100*RTD("tos.rtd",,"OPEN_INT","."&amp;Q$2&amp;Q$1&amp;"C"&amp;$A7)*RTD("tos.rtd",,"LAST","."&amp;Q$2&amp;Q$1&amp;"C"&amp;$A7)-100*RTD("tos.rtd",,"OPEN_INT","."&amp;Q$2&amp;Q$1&amp;"P"&amp;$A7)*RTD("tos.rtd",,"LAST","."&amp;Q$2&amp;Q$1&amp;"P"&amp;$A7))/1000000,0),IF($A$2="PREMIUM",IFERROR((100*RTD("tos.rtd",,"VOLUME","."&amp;Q$2&amp;Q$1&amp;"C"&amp;$A7)*RTD("tos.rtd",,"LAST","."&amp;Q$2&amp;Q$1&amp;"C"&amp;$A7)-100*RTD("tos.rtd",,"VOLUME","."&amp;Q$2&amp;Q$1&amp;"P"&amp;$A7)*RTD("tos.rtd",,"LAST","."&amp;Q$2&amp;Q$1&amp;"P"&amp;$A7))/1000000,0),IF($A$2="DEX",IFERROR((100*RTD("tos.rtd",,"OPEN_INT","."&amp;Q$2&amp;Q$1&amp;"C"&amp;$A7)*RTD("tos.rtd",,"DELTA","."&amp;Q$2&amp;Q$1&amp;"C"&amp;$A7)-100*RTD("tos.rtd",,"OPEN_INT","."&amp;Q$2&amp;Q$1&amp;"P"&amp;$A7)*RTD("tos.rtd",,"DELTA","."&amp;Q$2&amp;Q$1&amp;"P"&amp;$A7))/1000,0),IF($A$2="VEX",IFERROR(($A$4*$A$4*RTD("tos.rtd",,"VOLUME","."&amp;Q$2&amp;Q$1&amp;"C"&amp;$A7)*RTD("tos.rtd",,"GAMMA","."&amp;Q$2&amp;Q$1&amp;"C"&amp;$A7)-$A$4*$A$4*RTD("tos.rtd",,"VOLUME","."&amp;Q$2&amp;Q$1&amp;"P"&amp;$A7)*RTD("tos.rtd",,"GAMMA","."&amp;Q$2&amp;Q$1&amp;"P"&amp;$A7))/1000000,0),IF($A$2="GEX",IFERROR(($A$4*$A$4*RTD("tos.rtd",,"OPEN_INT","."&amp;Q$2&amp;Q$1&amp;"C"&amp;$A7)*RTD("tos.rtd",,"GAMMA","."&amp;Q$2&amp;Q$1&amp;"C"&amp;$A7)-$A$4*$A$4*RTD("tos.rtd",,"OPEN_INT","."&amp;Q$2&amp;Q$1&amp;"P"&amp;$A7)*RTD("tos.rtd",,"GAMMA","."&amp;Q$2&amp;Q$1&amp;"P"&amp;$A7))/1000000,0),IF($A$2="SKEW",IFERROR(VALUE(IF(RTD("tos.rtd",,"IMPL_VOL","."&amp;Q$2&amp;Q$1&amp;"P"&amp;$A7)="N/A",0,RTD("tos.rtd",,"IMPL_VOL","."&amp;Q$2&amp;Q$1&amp;"P"&amp;$A7))),0)-IFERROR(VALUE(IF(RTD("tos.rtd",,"IMPL_VOL","."&amp;Q$2&amp;Q$1&amp;"C"&amp;$A7)="N/A",0,RTD("tos.rtd",,"IMPL_VOL","."&amp;Q$2&amp;Q$1&amp;"C"&amp;$A7))),0),IF($A$2="MAXPAIN",IF($A$4&gt;$A7,($A$4-$A7)*IF(RTD("tos.rtd",,"OPEN_INT","."&amp;Q$2&amp;Q$1&amp;"C"&amp;$A7)="N/A",0,RTD("tos.rtd",,"OPEN_INT","."&amp;Q$2&amp;Q$1&amp;"C"&amp;$A7)),0)+IF($A$4&lt;$A7,($A7-$A$4)*IF(RTD("tos.rtd",,"OPEN_INT","."&amp;Q$2&amp;Q$1&amp;"P"&amp;$A7)="N/A",0,RTD("tos.rtd",,"OPEN_INT","."&amp;Q$2&amp;Q$1&amp;"P"&amp;$A7)),0),IF(RTD("tos.rtd",,$A$2,"."&amp;Q$2&amp;Q$1&amp;"C"&amp;$A7)="N/A",0,RTD("tos.rtd",,$A$2,"."&amp;Q$2&amp;Q$1&amp;"C"&amp;$A7))-IF(RTD("tos.rtd",,$A$2,"."&amp;Q$2&amp;Q$1&amp;"P"&amp;$A7)="N/A",0,RTD("tos.rtd",,$A$2,"."&amp;Q$2&amp;Q$1&amp;"P"&amp;$A7)))))))))</f>
        <v>0</v>
      </c>
      <c r="R7" s="12">
        <f>IF($A$2="PREMIUM_OI",IFERROR((100*RTD("tos.rtd",,"OPEN_INT","."&amp;R$2&amp;R$1&amp;"C"&amp;$A7)*RTD("tos.rtd",,"LAST","."&amp;R$2&amp;R$1&amp;"C"&amp;$A7)-100*RTD("tos.rtd",,"OPEN_INT","."&amp;R$2&amp;R$1&amp;"P"&amp;$A7)*RTD("tos.rtd",,"LAST","."&amp;R$2&amp;R$1&amp;"P"&amp;$A7))/1000000,0),IF($A$2="PREMIUM",IFERROR((100*RTD("tos.rtd",,"VOLUME","."&amp;R$2&amp;R$1&amp;"C"&amp;$A7)*RTD("tos.rtd",,"LAST","."&amp;R$2&amp;R$1&amp;"C"&amp;$A7)-100*RTD("tos.rtd",,"VOLUME","."&amp;R$2&amp;R$1&amp;"P"&amp;$A7)*RTD("tos.rtd",,"LAST","."&amp;R$2&amp;R$1&amp;"P"&amp;$A7))/1000000,0),IF($A$2="DEX",IFERROR((100*RTD("tos.rtd",,"OPEN_INT","."&amp;R$2&amp;R$1&amp;"C"&amp;$A7)*RTD("tos.rtd",,"DELTA","."&amp;R$2&amp;R$1&amp;"C"&amp;$A7)-100*RTD("tos.rtd",,"OPEN_INT","."&amp;R$2&amp;R$1&amp;"P"&amp;$A7)*RTD("tos.rtd",,"DELTA","."&amp;R$2&amp;R$1&amp;"P"&amp;$A7))/1000,0),IF($A$2="VEX",IFERROR(($A$4*$A$4*RTD("tos.rtd",,"VOLUME","."&amp;R$2&amp;R$1&amp;"C"&amp;$A7)*RTD("tos.rtd",,"GAMMA","."&amp;R$2&amp;R$1&amp;"C"&amp;$A7)-$A$4*$A$4*RTD("tos.rtd",,"VOLUME","."&amp;R$2&amp;R$1&amp;"P"&amp;$A7)*RTD("tos.rtd",,"GAMMA","."&amp;R$2&amp;R$1&amp;"P"&amp;$A7))/1000000,0),IF($A$2="GEX",IFERROR(($A$4*$A$4*RTD("tos.rtd",,"OPEN_INT","."&amp;R$2&amp;R$1&amp;"C"&amp;$A7)*RTD("tos.rtd",,"GAMMA","."&amp;R$2&amp;R$1&amp;"C"&amp;$A7)-$A$4*$A$4*RTD("tos.rtd",,"OPEN_INT","."&amp;R$2&amp;R$1&amp;"P"&amp;$A7)*RTD("tos.rtd",,"GAMMA","."&amp;R$2&amp;R$1&amp;"P"&amp;$A7))/1000000,0),IF($A$2="SKEW",IFERROR(VALUE(IF(RTD("tos.rtd",,"IMPL_VOL","."&amp;R$2&amp;R$1&amp;"P"&amp;$A7)="N/A",0,RTD("tos.rtd",,"IMPL_VOL","."&amp;R$2&amp;R$1&amp;"P"&amp;$A7))),0)-IFERROR(VALUE(IF(RTD("tos.rtd",,"IMPL_VOL","."&amp;R$2&amp;R$1&amp;"C"&amp;$A7)="N/A",0,RTD("tos.rtd",,"IMPL_VOL","."&amp;R$2&amp;R$1&amp;"C"&amp;$A7))),0),IF($A$2="MAXPAIN",IF($A$4&gt;$A7,($A$4-$A7)*IF(RTD("tos.rtd",,"OPEN_INT","."&amp;R$2&amp;R$1&amp;"C"&amp;$A7)="N/A",0,RTD("tos.rtd",,"OPEN_INT","."&amp;R$2&amp;R$1&amp;"C"&amp;$A7)),0)+IF($A$4&lt;$A7,($A7-$A$4)*IF(RTD("tos.rtd",,"OPEN_INT","."&amp;R$2&amp;R$1&amp;"P"&amp;$A7)="N/A",0,RTD("tos.rtd",,"OPEN_INT","."&amp;R$2&amp;R$1&amp;"P"&amp;$A7)),0),IF(RTD("tos.rtd",,$A$2,"."&amp;R$2&amp;R$1&amp;"C"&amp;$A7)="N/A",0,RTD("tos.rtd",,$A$2,"."&amp;R$2&amp;R$1&amp;"C"&amp;$A7))-IF(RTD("tos.rtd",,$A$2,"."&amp;R$2&amp;R$1&amp;"P"&amp;$A7)="N/A",0,RTD("tos.rtd",,$A$2,"."&amp;R$2&amp;R$1&amp;"P"&amp;$A7)))))))))</f>
        <v>0</v>
      </c>
      <c r="S7" s="12">
        <f>IF($A$2="PREMIUM_OI",IFERROR((100*RTD("tos.rtd",,"OPEN_INT","."&amp;S$2&amp;S$1&amp;"C"&amp;$A7)*RTD("tos.rtd",,"LAST","."&amp;S$2&amp;S$1&amp;"C"&amp;$A7)-100*RTD("tos.rtd",,"OPEN_INT","."&amp;S$2&amp;S$1&amp;"P"&amp;$A7)*RTD("tos.rtd",,"LAST","."&amp;S$2&amp;S$1&amp;"P"&amp;$A7))/1000000,0),IF($A$2="PREMIUM",IFERROR((100*RTD("tos.rtd",,"VOLUME","."&amp;S$2&amp;S$1&amp;"C"&amp;$A7)*RTD("tos.rtd",,"LAST","."&amp;S$2&amp;S$1&amp;"C"&amp;$A7)-100*RTD("tos.rtd",,"VOLUME","."&amp;S$2&amp;S$1&amp;"P"&amp;$A7)*RTD("tos.rtd",,"LAST","."&amp;S$2&amp;S$1&amp;"P"&amp;$A7))/1000000,0),IF($A$2="DEX",IFERROR((100*RTD("tos.rtd",,"OPEN_INT","."&amp;S$2&amp;S$1&amp;"C"&amp;$A7)*RTD("tos.rtd",,"DELTA","."&amp;S$2&amp;S$1&amp;"C"&amp;$A7)-100*RTD("tos.rtd",,"OPEN_INT","."&amp;S$2&amp;S$1&amp;"P"&amp;$A7)*RTD("tos.rtd",,"DELTA","."&amp;S$2&amp;S$1&amp;"P"&amp;$A7))/1000,0),IF($A$2="VEX",IFERROR(($A$4*$A$4*RTD("tos.rtd",,"VOLUME","."&amp;S$2&amp;S$1&amp;"C"&amp;$A7)*RTD("tos.rtd",,"GAMMA","."&amp;S$2&amp;S$1&amp;"C"&amp;$A7)-$A$4*$A$4*RTD("tos.rtd",,"VOLUME","."&amp;S$2&amp;S$1&amp;"P"&amp;$A7)*RTD("tos.rtd",,"GAMMA","."&amp;S$2&amp;S$1&amp;"P"&amp;$A7))/1000000,0),IF($A$2="GEX",IFERROR(($A$4*$A$4*RTD("tos.rtd",,"OPEN_INT","."&amp;S$2&amp;S$1&amp;"C"&amp;$A7)*RTD("tos.rtd",,"GAMMA","."&amp;S$2&amp;S$1&amp;"C"&amp;$A7)-$A$4*$A$4*RTD("tos.rtd",,"OPEN_INT","."&amp;S$2&amp;S$1&amp;"P"&amp;$A7)*RTD("tos.rtd",,"GAMMA","."&amp;S$2&amp;S$1&amp;"P"&amp;$A7))/1000000,0),IF($A$2="SKEW",IFERROR(VALUE(IF(RTD("tos.rtd",,"IMPL_VOL","."&amp;S$2&amp;S$1&amp;"P"&amp;$A7)="N/A",0,RTD("tos.rtd",,"IMPL_VOL","."&amp;S$2&amp;S$1&amp;"P"&amp;$A7))),0)-IFERROR(VALUE(IF(RTD("tos.rtd",,"IMPL_VOL","."&amp;S$2&amp;S$1&amp;"C"&amp;$A7)="N/A",0,RTD("tos.rtd",,"IMPL_VOL","."&amp;S$2&amp;S$1&amp;"C"&amp;$A7))),0),IF($A$2="MAXPAIN",IF($A$4&gt;$A7,($A$4-$A7)*IF(RTD("tos.rtd",,"OPEN_INT","."&amp;S$2&amp;S$1&amp;"C"&amp;$A7)="N/A",0,RTD("tos.rtd",,"OPEN_INT","."&amp;S$2&amp;S$1&amp;"C"&amp;$A7)),0)+IF($A$4&lt;$A7,($A7-$A$4)*IF(RTD("tos.rtd",,"OPEN_INT","."&amp;S$2&amp;S$1&amp;"P"&amp;$A7)="N/A",0,RTD("tos.rtd",,"OPEN_INT","."&amp;S$2&amp;S$1&amp;"P"&amp;$A7)),0),IF(RTD("tos.rtd",,$A$2,"."&amp;S$2&amp;S$1&amp;"C"&amp;$A7)="N/A",0,RTD("tos.rtd",,$A$2,"."&amp;S$2&amp;S$1&amp;"C"&amp;$A7))-IF(RTD("tos.rtd",,$A$2,"."&amp;S$2&amp;S$1&amp;"P"&amp;$A7)="N/A",0,RTD("tos.rtd",,$A$2,"."&amp;S$2&amp;S$1&amp;"P"&amp;$A7)))))))))</f>
        <v>0</v>
      </c>
      <c r="T7" s="12">
        <f>IF($A$2="PREMIUM_OI",IFERROR((100*RTD("tos.rtd",,"OPEN_INT","."&amp;T$2&amp;T$1&amp;"C"&amp;$A7)*RTD("tos.rtd",,"LAST","."&amp;T$2&amp;T$1&amp;"C"&amp;$A7)-100*RTD("tos.rtd",,"OPEN_INT","."&amp;T$2&amp;T$1&amp;"P"&amp;$A7)*RTD("tos.rtd",,"LAST","."&amp;T$2&amp;T$1&amp;"P"&amp;$A7))/1000000,0),IF($A$2="PREMIUM",IFERROR((100*RTD("tos.rtd",,"VOLUME","."&amp;T$2&amp;T$1&amp;"C"&amp;$A7)*RTD("tos.rtd",,"LAST","."&amp;T$2&amp;T$1&amp;"C"&amp;$A7)-100*RTD("tos.rtd",,"VOLUME","."&amp;T$2&amp;T$1&amp;"P"&amp;$A7)*RTD("tos.rtd",,"LAST","."&amp;T$2&amp;T$1&amp;"P"&amp;$A7))/1000000,0),IF($A$2="DEX",IFERROR((100*RTD("tos.rtd",,"OPEN_INT","."&amp;T$2&amp;T$1&amp;"C"&amp;$A7)*RTD("tos.rtd",,"DELTA","."&amp;T$2&amp;T$1&amp;"C"&amp;$A7)-100*RTD("tos.rtd",,"OPEN_INT","."&amp;T$2&amp;T$1&amp;"P"&amp;$A7)*RTD("tos.rtd",,"DELTA","."&amp;T$2&amp;T$1&amp;"P"&amp;$A7))/1000,0),IF($A$2="VEX",IFERROR(($A$4*$A$4*RTD("tos.rtd",,"VOLUME","."&amp;T$2&amp;T$1&amp;"C"&amp;$A7)*RTD("tos.rtd",,"GAMMA","."&amp;T$2&amp;T$1&amp;"C"&amp;$A7)-$A$4*$A$4*RTD("tos.rtd",,"VOLUME","."&amp;T$2&amp;T$1&amp;"P"&amp;$A7)*RTD("tos.rtd",,"GAMMA","."&amp;T$2&amp;T$1&amp;"P"&amp;$A7))/1000000,0),IF($A$2="GEX",IFERROR(($A$4*$A$4*RTD("tos.rtd",,"OPEN_INT","."&amp;T$2&amp;T$1&amp;"C"&amp;$A7)*RTD("tos.rtd",,"GAMMA","."&amp;T$2&amp;T$1&amp;"C"&amp;$A7)-$A$4*$A$4*RTD("tos.rtd",,"OPEN_INT","."&amp;T$2&amp;T$1&amp;"P"&amp;$A7)*RTD("tos.rtd",,"GAMMA","."&amp;T$2&amp;T$1&amp;"P"&amp;$A7))/1000000,0),IF($A$2="SKEW",IFERROR(VALUE(IF(RTD("tos.rtd",,"IMPL_VOL","."&amp;T$2&amp;T$1&amp;"P"&amp;$A7)="N/A",0,RTD("tos.rtd",,"IMPL_VOL","."&amp;T$2&amp;T$1&amp;"P"&amp;$A7))),0)-IFERROR(VALUE(IF(RTD("tos.rtd",,"IMPL_VOL","."&amp;T$2&amp;T$1&amp;"C"&amp;$A7)="N/A",0,RTD("tos.rtd",,"IMPL_VOL","."&amp;T$2&amp;T$1&amp;"C"&amp;$A7))),0),IF($A$2="MAXPAIN",IF($A$4&gt;$A7,($A$4-$A7)*IF(RTD("tos.rtd",,"OPEN_INT","."&amp;T$2&amp;T$1&amp;"C"&amp;$A7)="N/A",0,RTD("tos.rtd",,"OPEN_INT","."&amp;T$2&amp;T$1&amp;"C"&amp;$A7)),0)+IF($A$4&lt;$A7,($A7-$A$4)*IF(RTD("tos.rtd",,"OPEN_INT","."&amp;T$2&amp;T$1&amp;"P"&amp;$A7)="N/A",0,RTD("tos.rtd",,"OPEN_INT","."&amp;T$2&amp;T$1&amp;"P"&amp;$A7)),0),IF(RTD("tos.rtd",,$A$2,"."&amp;T$2&amp;T$1&amp;"C"&amp;$A7)="N/A",0,RTD("tos.rtd",,$A$2,"."&amp;T$2&amp;T$1&amp;"C"&amp;$A7))-IF(RTD("tos.rtd",,$A$2,"."&amp;T$2&amp;T$1&amp;"P"&amp;$A7)="N/A",0,RTD("tos.rtd",,$A$2,"."&amp;T$2&amp;T$1&amp;"P"&amp;$A7)))))))))</f>
        <v>0</v>
      </c>
      <c r="U7" s="12">
        <f>IF($A$2="PREMIUM_OI",IFERROR((100*RTD("tos.rtd",,"OPEN_INT","."&amp;U$2&amp;U$1&amp;"C"&amp;$A7)*RTD("tos.rtd",,"LAST","."&amp;U$2&amp;U$1&amp;"C"&amp;$A7)-100*RTD("tos.rtd",,"OPEN_INT","."&amp;U$2&amp;U$1&amp;"P"&amp;$A7)*RTD("tos.rtd",,"LAST","."&amp;U$2&amp;U$1&amp;"P"&amp;$A7))/1000000,0),IF($A$2="PREMIUM",IFERROR((100*RTD("tos.rtd",,"VOLUME","."&amp;U$2&amp;U$1&amp;"C"&amp;$A7)*RTD("tos.rtd",,"LAST","."&amp;U$2&amp;U$1&amp;"C"&amp;$A7)-100*RTD("tos.rtd",,"VOLUME","."&amp;U$2&amp;U$1&amp;"P"&amp;$A7)*RTD("tos.rtd",,"LAST","."&amp;U$2&amp;U$1&amp;"P"&amp;$A7))/1000000,0),IF($A$2="DEX",IFERROR((100*RTD("tos.rtd",,"OPEN_INT","."&amp;U$2&amp;U$1&amp;"C"&amp;$A7)*RTD("tos.rtd",,"DELTA","."&amp;U$2&amp;U$1&amp;"C"&amp;$A7)-100*RTD("tos.rtd",,"OPEN_INT","."&amp;U$2&amp;U$1&amp;"P"&amp;$A7)*RTD("tos.rtd",,"DELTA","."&amp;U$2&amp;U$1&amp;"P"&amp;$A7))/1000,0),IF($A$2="VEX",IFERROR(($A$4*$A$4*RTD("tos.rtd",,"VOLUME","."&amp;U$2&amp;U$1&amp;"C"&amp;$A7)*RTD("tos.rtd",,"GAMMA","."&amp;U$2&amp;U$1&amp;"C"&amp;$A7)-$A$4*$A$4*RTD("tos.rtd",,"VOLUME","."&amp;U$2&amp;U$1&amp;"P"&amp;$A7)*RTD("tos.rtd",,"GAMMA","."&amp;U$2&amp;U$1&amp;"P"&amp;$A7))/1000000,0),IF($A$2="GEX",IFERROR(($A$4*$A$4*RTD("tos.rtd",,"OPEN_INT","."&amp;U$2&amp;U$1&amp;"C"&amp;$A7)*RTD("tos.rtd",,"GAMMA","."&amp;U$2&amp;U$1&amp;"C"&amp;$A7)-$A$4*$A$4*RTD("tos.rtd",,"OPEN_INT","."&amp;U$2&amp;U$1&amp;"P"&amp;$A7)*RTD("tos.rtd",,"GAMMA","."&amp;U$2&amp;U$1&amp;"P"&amp;$A7))/1000000,0),IF($A$2="SKEW",IFERROR(VALUE(IF(RTD("tos.rtd",,"IMPL_VOL","."&amp;U$2&amp;U$1&amp;"P"&amp;$A7)="N/A",0,RTD("tos.rtd",,"IMPL_VOL","."&amp;U$2&amp;U$1&amp;"P"&amp;$A7))),0)-IFERROR(VALUE(IF(RTD("tos.rtd",,"IMPL_VOL","."&amp;U$2&amp;U$1&amp;"C"&amp;$A7)="N/A",0,RTD("tos.rtd",,"IMPL_VOL","."&amp;U$2&amp;U$1&amp;"C"&amp;$A7))),0),IF($A$2="MAXPAIN",IF($A$4&gt;$A7,($A$4-$A7)*IF(RTD("tos.rtd",,"OPEN_INT","."&amp;U$2&amp;U$1&amp;"C"&amp;$A7)="N/A",0,RTD("tos.rtd",,"OPEN_INT","."&amp;U$2&amp;U$1&amp;"C"&amp;$A7)),0)+IF($A$4&lt;$A7,($A7-$A$4)*IF(RTD("tos.rtd",,"OPEN_INT","."&amp;U$2&amp;U$1&amp;"P"&amp;$A7)="N/A",0,RTD("tos.rtd",,"OPEN_INT","."&amp;U$2&amp;U$1&amp;"P"&amp;$A7)),0),IF(RTD("tos.rtd",,$A$2,"."&amp;U$2&amp;U$1&amp;"C"&amp;$A7)="N/A",0,RTD("tos.rtd",,$A$2,"."&amp;U$2&amp;U$1&amp;"C"&amp;$A7))-IF(RTD("tos.rtd",,$A$2,"."&amp;U$2&amp;U$1&amp;"P"&amp;$A7)="N/A",0,RTD("tos.rtd",,$A$2,"."&amp;U$2&amp;U$1&amp;"P"&amp;$A7)))))))))</f>
        <v>0</v>
      </c>
      <c r="V7" s="12">
        <f>IF($A$2="PREMIUM_OI",IFERROR((100*RTD("tos.rtd",,"OPEN_INT","."&amp;V$2&amp;V$1&amp;"C"&amp;$A7)*RTD("tos.rtd",,"LAST","."&amp;V$2&amp;V$1&amp;"C"&amp;$A7)-100*RTD("tos.rtd",,"OPEN_INT","."&amp;V$2&amp;V$1&amp;"P"&amp;$A7)*RTD("tos.rtd",,"LAST","."&amp;V$2&amp;V$1&amp;"P"&amp;$A7))/1000000,0),IF($A$2="PREMIUM",IFERROR((100*RTD("tos.rtd",,"VOLUME","."&amp;V$2&amp;V$1&amp;"C"&amp;$A7)*RTD("tos.rtd",,"LAST","."&amp;V$2&amp;V$1&amp;"C"&amp;$A7)-100*RTD("tos.rtd",,"VOLUME","."&amp;V$2&amp;V$1&amp;"P"&amp;$A7)*RTD("tos.rtd",,"LAST","."&amp;V$2&amp;V$1&amp;"P"&amp;$A7))/1000000,0),IF($A$2="DEX",IFERROR((100*RTD("tos.rtd",,"OPEN_INT","."&amp;V$2&amp;V$1&amp;"C"&amp;$A7)*RTD("tos.rtd",,"DELTA","."&amp;V$2&amp;V$1&amp;"C"&amp;$A7)-100*RTD("tos.rtd",,"OPEN_INT","."&amp;V$2&amp;V$1&amp;"P"&amp;$A7)*RTD("tos.rtd",,"DELTA","."&amp;V$2&amp;V$1&amp;"P"&amp;$A7))/1000,0),IF($A$2="VEX",IFERROR(($A$4*$A$4*RTD("tos.rtd",,"VOLUME","."&amp;V$2&amp;V$1&amp;"C"&amp;$A7)*RTD("tos.rtd",,"GAMMA","."&amp;V$2&amp;V$1&amp;"C"&amp;$A7)-$A$4*$A$4*RTD("tos.rtd",,"VOLUME","."&amp;V$2&amp;V$1&amp;"P"&amp;$A7)*RTD("tos.rtd",,"GAMMA","."&amp;V$2&amp;V$1&amp;"P"&amp;$A7))/1000000,0),IF($A$2="GEX",IFERROR(($A$4*$A$4*RTD("tos.rtd",,"OPEN_INT","."&amp;V$2&amp;V$1&amp;"C"&amp;$A7)*RTD("tos.rtd",,"GAMMA","."&amp;V$2&amp;V$1&amp;"C"&amp;$A7)-$A$4*$A$4*RTD("tos.rtd",,"OPEN_INT","."&amp;V$2&amp;V$1&amp;"P"&amp;$A7)*RTD("tos.rtd",,"GAMMA","."&amp;V$2&amp;V$1&amp;"P"&amp;$A7))/1000000,0),IF($A$2="SKEW",IFERROR(VALUE(IF(RTD("tos.rtd",,"IMPL_VOL","."&amp;V$2&amp;V$1&amp;"P"&amp;$A7)="N/A",0,RTD("tos.rtd",,"IMPL_VOL","."&amp;V$2&amp;V$1&amp;"P"&amp;$A7))),0)-IFERROR(VALUE(IF(RTD("tos.rtd",,"IMPL_VOL","."&amp;V$2&amp;V$1&amp;"C"&amp;$A7)="N/A",0,RTD("tos.rtd",,"IMPL_VOL","."&amp;V$2&amp;V$1&amp;"C"&amp;$A7))),0),IF($A$2="MAXPAIN",IF($A$4&gt;$A7,($A$4-$A7)*IF(RTD("tos.rtd",,"OPEN_INT","."&amp;V$2&amp;V$1&amp;"C"&amp;$A7)="N/A",0,RTD("tos.rtd",,"OPEN_INT","."&amp;V$2&amp;V$1&amp;"C"&amp;$A7)),0)+IF($A$4&lt;$A7,($A7-$A$4)*IF(RTD("tos.rtd",,"OPEN_INT","."&amp;V$2&amp;V$1&amp;"P"&amp;$A7)="N/A",0,RTD("tos.rtd",,"OPEN_INT","."&amp;V$2&amp;V$1&amp;"P"&amp;$A7)),0),IF(RTD("tos.rtd",,$A$2,"."&amp;V$2&amp;V$1&amp;"C"&amp;$A7)="N/A",0,RTD("tos.rtd",,$A$2,"."&amp;V$2&amp;V$1&amp;"C"&amp;$A7))-IF(RTD("tos.rtd",,$A$2,"."&amp;V$2&amp;V$1&amp;"P"&amp;$A7)="N/A",0,RTD("tos.rtd",,$A$2,"."&amp;V$2&amp;V$1&amp;"P"&amp;$A7)))))))))</f>
        <v>0</v>
      </c>
      <c r="W7" s="12">
        <f>IF($A$2="PREMIUM_OI",IFERROR((100*RTD("tos.rtd",,"OPEN_INT","."&amp;W$2&amp;W$1&amp;"C"&amp;$A7)*RTD("tos.rtd",,"LAST","."&amp;W$2&amp;W$1&amp;"C"&amp;$A7)-100*RTD("tos.rtd",,"OPEN_INT","."&amp;W$2&amp;W$1&amp;"P"&amp;$A7)*RTD("tos.rtd",,"LAST","."&amp;W$2&amp;W$1&amp;"P"&amp;$A7))/1000000,0),IF($A$2="PREMIUM",IFERROR((100*RTD("tos.rtd",,"VOLUME","."&amp;W$2&amp;W$1&amp;"C"&amp;$A7)*RTD("tos.rtd",,"LAST","."&amp;W$2&amp;W$1&amp;"C"&amp;$A7)-100*RTD("tos.rtd",,"VOLUME","."&amp;W$2&amp;W$1&amp;"P"&amp;$A7)*RTD("tos.rtd",,"LAST","."&amp;W$2&amp;W$1&amp;"P"&amp;$A7))/1000000,0),IF($A$2="DEX",IFERROR((100*RTD("tos.rtd",,"OPEN_INT","."&amp;W$2&amp;W$1&amp;"C"&amp;$A7)*RTD("tos.rtd",,"DELTA","."&amp;W$2&amp;W$1&amp;"C"&amp;$A7)-100*RTD("tos.rtd",,"OPEN_INT","."&amp;W$2&amp;W$1&amp;"P"&amp;$A7)*RTD("tos.rtd",,"DELTA","."&amp;W$2&amp;W$1&amp;"P"&amp;$A7))/1000,0),IF($A$2="VEX",IFERROR(($A$4*$A$4*RTD("tos.rtd",,"VOLUME","."&amp;W$2&amp;W$1&amp;"C"&amp;$A7)*RTD("tos.rtd",,"GAMMA","."&amp;W$2&amp;W$1&amp;"C"&amp;$A7)-$A$4*$A$4*RTD("tos.rtd",,"VOLUME","."&amp;W$2&amp;W$1&amp;"P"&amp;$A7)*RTD("tos.rtd",,"GAMMA","."&amp;W$2&amp;W$1&amp;"P"&amp;$A7))/1000000,0),IF($A$2="GEX",IFERROR(($A$4*$A$4*RTD("tos.rtd",,"OPEN_INT","."&amp;W$2&amp;W$1&amp;"C"&amp;$A7)*RTD("tos.rtd",,"GAMMA","."&amp;W$2&amp;W$1&amp;"C"&amp;$A7)-$A$4*$A$4*RTD("tos.rtd",,"OPEN_INT","."&amp;W$2&amp;W$1&amp;"P"&amp;$A7)*RTD("tos.rtd",,"GAMMA","."&amp;W$2&amp;W$1&amp;"P"&amp;$A7))/1000000,0),IF($A$2="SKEW",IFERROR(VALUE(IF(RTD("tos.rtd",,"IMPL_VOL","."&amp;W$2&amp;W$1&amp;"P"&amp;$A7)="N/A",0,RTD("tos.rtd",,"IMPL_VOL","."&amp;W$2&amp;W$1&amp;"P"&amp;$A7))),0)-IFERROR(VALUE(IF(RTD("tos.rtd",,"IMPL_VOL","."&amp;W$2&amp;W$1&amp;"C"&amp;$A7)="N/A",0,RTD("tos.rtd",,"IMPL_VOL","."&amp;W$2&amp;W$1&amp;"C"&amp;$A7))),0),IF($A$2="MAXPAIN",IF($A$4&gt;$A7,($A$4-$A7)*IF(RTD("tos.rtd",,"OPEN_INT","."&amp;W$2&amp;W$1&amp;"C"&amp;$A7)="N/A",0,RTD("tos.rtd",,"OPEN_INT","."&amp;W$2&amp;W$1&amp;"C"&amp;$A7)),0)+IF($A$4&lt;$A7,($A7-$A$4)*IF(RTD("tos.rtd",,"OPEN_INT","."&amp;W$2&amp;W$1&amp;"P"&amp;$A7)="N/A",0,RTD("tos.rtd",,"OPEN_INT","."&amp;W$2&amp;W$1&amp;"P"&amp;$A7)),0),IF(RTD("tos.rtd",,$A$2,"."&amp;W$2&amp;W$1&amp;"C"&amp;$A7)="N/A",0,RTD("tos.rtd",,$A$2,"."&amp;W$2&amp;W$1&amp;"C"&amp;$A7))-IF(RTD("tos.rtd",,$A$2,"."&amp;W$2&amp;W$1&amp;"P"&amp;$A7)="N/A",0,RTD("tos.rtd",,$A$2,"."&amp;W$2&amp;W$1&amp;"P"&amp;$A7)))))))))</f>
        <v>0</v>
      </c>
      <c r="X7" s="12">
        <f t="shared" ca="1" si="7"/>
        <v>0</v>
      </c>
      <c r="Y7" s="27">
        <f t="shared" ca="1" si="8"/>
        <v>0</v>
      </c>
      <c r="AA7" s="35">
        <f t="shared" si="5"/>
        <v>6</v>
      </c>
      <c r="AB7" s="8">
        <f>+IF($AJ$1,AK7,TASTYOHLC!B7)</f>
        <v>611.48</v>
      </c>
      <c r="AC7" s="8">
        <f>+IF($AJ$1,AL7,TASTYOHLC!C7)</f>
        <v>611.61</v>
      </c>
      <c r="AD7" s="8">
        <f>+IF($AJ$1,AM7,TASTYOHLC!D7)</f>
        <v>607.48</v>
      </c>
      <c r="AE7" s="8">
        <f>+IF($AJ$1,AN7,TASTYOHLC!E7)</f>
        <v>610.70000000000005</v>
      </c>
      <c r="AF7" s="8"/>
      <c r="AJ7" s="37">
        <v>45939</v>
      </c>
      <c r="AK7" s="50">
        <v>611.48</v>
      </c>
      <c r="AL7" s="50">
        <v>611.61</v>
      </c>
      <c r="AM7" s="50">
        <v>607.48</v>
      </c>
      <c r="AN7" s="50">
        <v>610.70000000000005</v>
      </c>
      <c r="AO7" s="51">
        <v>66501941</v>
      </c>
    </row>
    <row r="8" spans="1:41" s="19" customFormat="1" ht="11.1" customHeight="1" thickBot="1" x14ac:dyDescent="0.3">
      <c r="A8" s="23">
        <f t="shared" si="6"/>
        <v>18</v>
      </c>
      <c r="B8" s="14">
        <f>IF($A$2="PREMIUM_OI",IFERROR((100*RTD("tos.rtd",,"OPEN_INT","."&amp;B$2&amp;B$1&amp;"C"&amp;$A8)*RTD("tos.rtd",,"LAST","."&amp;B$2&amp;B$1&amp;"C"&amp;$A8)-100*RTD("tos.rtd",,"OPEN_INT","."&amp;B$2&amp;B$1&amp;"P"&amp;$A8)*RTD("tos.rtd",,"LAST","."&amp;B$2&amp;B$1&amp;"P"&amp;$A8))/1000000,0),IF($A$2="PREMIUM",IFERROR((100*RTD("tos.rtd",,"VOLUME","."&amp;B$2&amp;B$1&amp;"C"&amp;$A8)*RTD("tos.rtd",,"LAST","."&amp;B$2&amp;B$1&amp;"C"&amp;$A8)-100*RTD("tos.rtd",,"VOLUME","."&amp;B$2&amp;B$1&amp;"P"&amp;$A8)*RTD("tos.rtd",,"LAST","."&amp;B$2&amp;B$1&amp;"P"&amp;$A8))/1000000,0),IF($A$2="DEX",IFERROR((100*RTD("tos.rtd",,"OPEN_INT","."&amp;B$2&amp;B$1&amp;"C"&amp;$A8)*RTD("tos.rtd",,"DELTA","."&amp;B$2&amp;B$1&amp;"C"&amp;$A8)-100*RTD("tos.rtd",,"OPEN_INT","."&amp;B$2&amp;B$1&amp;"P"&amp;$A8)*RTD("tos.rtd",,"DELTA","."&amp;B$2&amp;B$1&amp;"P"&amp;$A8))/1000,0),IF($A$2="VEX",IFERROR(($A$4*$A$4*RTD("tos.rtd",,"VOLUME","."&amp;B$2&amp;B$1&amp;"C"&amp;$A8)*RTD("tos.rtd",,"GAMMA","."&amp;B$2&amp;B$1&amp;"C"&amp;$A8)-$A$4*$A$4*RTD("tos.rtd",,"VOLUME","."&amp;B$2&amp;B$1&amp;"P"&amp;$A8)*RTD("tos.rtd",,"GAMMA","."&amp;B$2&amp;B$1&amp;"P"&amp;$A8))/1000000,0),IF($A$2="GEX",IFERROR(($A$4*$A$4*RTD("tos.rtd",,"OPEN_INT","."&amp;B$2&amp;B$1&amp;"C"&amp;$A8)*RTD("tos.rtd",,"GAMMA","."&amp;B$2&amp;B$1&amp;"C"&amp;$A8)-$A$4*$A$4*RTD("tos.rtd",,"OPEN_INT","."&amp;B$2&amp;B$1&amp;"P"&amp;$A8)*RTD("tos.rtd",,"GAMMA","."&amp;B$2&amp;B$1&amp;"P"&amp;$A8))/1000000,0),IF($A$2="SKEW",IFERROR(VALUE(IF(RTD("tos.rtd",,"IMPL_VOL","."&amp;B$2&amp;B$1&amp;"P"&amp;$A8)="N/A",0,RTD("tos.rtd",,"IMPL_VOL","."&amp;B$2&amp;B$1&amp;"P"&amp;$A8))),0)-IFERROR(VALUE(IF(RTD("tos.rtd",,"IMPL_VOL","."&amp;B$2&amp;B$1&amp;"C"&amp;$A8)="N/A",0,RTD("tos.rtd",,"IMPL_VOL","."&amp;B$2&amp;B$1&amp;"C"&amp;$A8))),0),IF($A$2="MAXPAIN",IF($A$4&gt;$A8,($A$4-$A8)*IF(RTD("tos.rtd",,"OPEN_INT","."&amp;B$2&amp;B$1&amp;"C"&amp;$A8)="N/A",0,RTD("tos.rtd",,"OPEN_INT","."&amp;B$2&amp;B$1&amp;"C"&amp;$A8)),0)+IF($A$4&lt;$A8,($A8-$A$4)*IF(RTD("tos.rtd",,"OPEN_INT","."&amp;B$2&amp;B$1&amp;"P"&amp;$A8)="N/A",0,RTD("tos.rtd",,"OPEN_INT","."&amp;B$2&amp;B$1&amp;"P"&amp;$A8)),0),IF(RTD("tos.rtd",,$A$2,"."&amp;B$2&amp;B$1&amp;"C"&amp;$A8)="N/A",0,RTD("tos.rtd",,$A$2,"."&amp;B$2&amp;B$1&amp;"C"&amp;$A8))-IF(RTD("tos.rtd",,$A$2,"."&amp;B$2&amp;B$1&amp;"P"&amp;$A8)="N/A",0,RTD("tos.rtd",,$A$2,"."&amp;B$2&amp;B$1&amp;"P"&amp;$A8)))))))))</f>
        <v>0</v>
      </c>
      <c r="C8" s="12">
        <f>IF($A$2="PREMIUM_OI",IFERROR((100*RTD("tos.rtd",,"OPEN_INT","."&amp;C$2&amp;C$1&amp;"C"&amp;$A8)*RTD("tos.rtd",,"LAST","."&amp;C$2&amp;C$1&amp;"C"&amp;$A8)-100*RTD("tos.rtd",,"OPEN_INT","."&amp;C$2&amp;C$1&amp;"P"&amp;$A8)*RTD("tos.rtd",,"LAST","."&amp;C$2&amp;C$1&amp;"P"&amp;$A8))/1000000,0),IF($A$2="PREMIUM",IFERROR((100*RTD("tos.rtd",,"VOLUME","."&amp;C$2&amp;C$1&amp;"C"&amp;$A8)*RTD("tos.rtd",,"LAST","."&amp;C$2&amp;C$1&amp;"C"&amp;$A8)-100*RTD("tos.rtd",,"VOLUME","."&amp;C$2&amp;C$1&amp;"P"&amp;$A8)*RTD("tos.rtd",,"LAST","."&amp;C$2&amp;C$1&amp;"P"&amp;$A8))/1000000,0),IF($A$2="DEX",IFERROR((100*RTD("tos.rtd",,"OPEN_INT","."&amp;C$2&amp;C$1&amp;"C"&amp;$A8)*RTD("tos.rtd",,"DELTA","."&amp;C$2&amp;C$1&amp;"C"&amp;$A8)-100*RTD("tos.rtd",,"OPEN_INT","."&amp;C$2&amp;C$1&amp;"P"&amp;$A8)*RTD("tos.rtd",,"DELTA","."&amp;C$2&amp;C$1&amp;"P"&amp;$A8))/1000,0),IF($A$2="VEX",IFERROR(($A$4*$A$4*RTD("tos.rtd",,"VOLUME","."&amp;C$2&amp;C$1&amp;"C"&amp;$A8)*RTD("tos.rtd",,"GAMMA","."&amp;C$2&amp;C$1&amp;"C"&amp;$A8)-$A$4*$A$4*RTD("tos.rtd",,"VOLUME","."&amp;C$2&amp;C$1&amp;"P"&amp;$A8)*RTD("tos.rtd",,"GAMMA","."&amp;C$2&amp;C$1&amp;"P"&amp;$A8))/1000000,0),IF($A$2="GEX",IFERROR(($A$4*$A$4*RTD("tos.rtd",,"OPEN_INT","."&amp;C$2&amp;C$1&amp;"C"&amp;$A8)*RTD("tos.rtd",,"GAMMA","."&amp;C$2&amp;C$1&amp;"C"&amp;$A8)-$A$4*$A$4*RTD("tos.rtd",,"OPEN_INT","."&amp;C$2&amp;C$1&amp;"P"&amp;$A8)*RTD("tos.rtd",,"GAMMA","."&amp;C$2&amp;C$1&amp;"P"&amp;$A8))/1000000,0),IF($A$2="SKEW",IFERROR(VALUE(IF(RTD("tos.rtd",,"IMPL_VOL","."&amp;C$2&amp;C$1&amp;"P"&amp;$A8)="N/A",0,RTD("tos.rtd",,"IMPL_VOL","."&amp;C$2&amp;C$1&amp;"P"&amp;$A8))),0)-IFERROR(VALUE(IF(RTD("tos.rtd",,"IMPL_VOL","."&amp;C$2&amp;C$1&amp;"C"&amp;$A8)="N/A",0,RTD("tos.rtd",,"IMPL_VOL","."&amp;C$2&amp;C$1&amp;"C"&amp;$A8))),0),IF($A$2="MAXPAIN",IF($A$4&gt;$A8,($A$4-$A8)*IF(RTD("tos.rtd",,"OPEN_INT","."&amp;C$2&amp;C$1&amp;"C"&amp;$A8)="N/A",0,RTD("tos.rtd",,"OPEN_INT","."&amp;C$2&amp;C$1&amp;"C"&amp;$A8)),0)+IF($A$4&lt;$A8,($A8-$A$4)*IF(RTD("tos.rtd",,"OPEN_INT","."&amp;C$2&amp;C$1&amp;"P"&amp;$A8)="N/A",0,RTD("tos.rtd",,"OPEN_INT","."&amp;C$2&amp;C$1&amp;"P"&amp;$A8)),0),IF(RTD("tos.rtd",,$A$2,"."&amp;C$2&amp;C$1&amp;"C"&amp;$A8)="N/A",0,RTD("tos.rtd",,$A$2,"."&amp;C$2&amp;C$1&amp;"C"&amp;$A8))-IF(RTD("tos.rtd",,$A$2,"."&amp;C$2&amp;C$1&amp;"P"&amp;$A8)="N/A",0,RTD("tos.rtd",,$A$2,"."&amp;C$2&amp;C$1&amp;"P"&amp;$A8)))))))))</f>
        <v>1496</v>
      </c>
      <c r="D8" s="12">
        <f>IF($A$2="PREMIUM_OI",IFERROR((100*RTD("tos.rtd",,"OPEN_INT","."&amp;D$2&amp;D$1&amp;"C"&amp;$A8)*RTD("tos.rtd",,"LAST","."&amp;D$2&amp;D$1&amp;"C"&amp;$A8)-100*RTD("tos.rtd",,"OPEN_INT","."&amp;D$2&amp;D$1&amp;"P"&amp;$A8)*RTD("tos.rtd",,"LAST","."&amp;D$2&amp;D$1&amp;"P"&amp;$A8))/1000000,0),IF($A$2="PREMIUM",IFERROR((100*RTD("tos.rtd",,"VOLUME","."&amp;D$2&amp;D$1&amp;"C"&amp;$A8)*RTD("tos.rtd",,"LAST","."&amp;D$2&amp;D$1&amp;"C"&amp;$A8)-100*RTD("tos.rtd",,"VOLUME","."&amp;D$2&amp;D$1&amp;"P"&amp;$A8)*RTD("tos.rtd",,"LAST","."&amp;D$2&amp;D$1&amp;"P"&amp;$A8))/1000000,0),IF($A$2="DEX",IFERROR((100*RTD("tos.rtd",,"OPEN_INT","."&amp;D$2&amp;D$1&amp;"C"&amp;$A8)*RTD("tos.rtd",,"DELTA","."&amp;D$2&amp;D$1&amp;"C"&amp;$A8)-100*RTD("tos.rtd",,"OPEN_INT","."&amp;D$2&amp;D$1&amp;"P"&amp;$A8)*RTD("tos.rtd",,"DELTA","."&amp;D$2&amp;D$1&amp;"P"&amp;$A8))/1000,0),IF($A$2="VEX",IFERROR(($A$4*$A$4*RTD("tos.rtd",,"VOLUME","."&amp;D$2&amp;D$1&amp;"C"&amp;$A8)*RTD("tos.rtd",,"GAMMA","."&amp;D$2&amp;D$1&amp;"C"&amp;$A8)-$A$4*$A$4*RTD("tos.rtd",,"VOLUME","."&amp;D$2&amp;D$1&amp;"P"&amp;$A8)*RTD("tos.rtd",,"GAMMA","."&amp;D$2&amp;D$1&amp;"P"&amp;$A8))/1000000,0),IF($A$2="GEX",IFERROR(($A$4*$A$4*RTD("tos.rtd",,"OPEN_INT","."&amp;D$2&amp;D$1&amp;"C"&amp;$A8)*RTD("tos.rtd",,"GAMMA","."&amp;D$2&amp;D$1&amp;"C"&amp;$A8)-$A$4*$A$4*RTD("tos.rtd",,"OPEN_INT","."&amp;D$2&amp;D$1&amp;"P"&amp;$A8)*RTD("tos.rtd",,"GAMMA","."&amp;D$2&amp;D$1&amp;"P"&amp;$A8))/1000000,0),IF($A$2="SKEW",IFERROR(VALUE(IF(RTD("tos.rtd",,"IMPL_VOL","."&amp;D$2&amp;D$1&amp;"P"&amp;$A8)="N/A",0,RTD("tos.rtd",,"IMPL_VOL","."&amp;D$2&amp;D$1&amp;"P"&amp;$A8))),0)-IFERROR(VALUE(IF(RTD("tos.rtd",,"IMPL_VOL","."&amp;D$2&amp;D$1&amp;"C"&amp;$A8)="N/A",0,RTD("tos.rtd",,"IMPL_VOL","."&amp;D$2&amp;D$1&amp;"C"&amp;$A8))),0),IF($A$2="MAXPAIN",IF($A$4&gt;$A8,($A$4-$A8)*IF(RTD("tos.rtd",,"OPEN_INT","."&amp;D$2&amp;D$1&amp;"C"&amp;$A8)="N/A",0,RTD("tos.rtd",,"OPEN_INT","."&amp;D$2&amp;D$1&amp;"C"&amp;$A8)),0)+IF($A$4&lt;$A8,($A8-$A$4)*IF(RTD("tos.rtd",,"OPEN_INT","."&amp;D$2&amp;D$1&amp;"P"&amp;$A8)="N/A",0,RTD("tos.rtd",,"OPEN_INT","."&amp;D$2&amp;D$1&amp;"P"&amp;$A8)),0),IF(RTD("tos.rtd",,$A$2,"."&amp;D$2&amp;D$1&amp;"C"&amp;$A8)="N/A",0,RTD("tos.rtd",,$A$2,"."&amp;D$2&amp;D$1&amp;"C"&amp;$A8))-IF(RTD("tos.rtd",,$A$2,"."&amp;D$2&amp;D$1&amp;"P"&amp;$A8)="N/A",0,RTD("tos.rtd",,$A$2,"."&amp;D$2&amp;D$1&amp;"P"&amp;$A8)))))))))</f>
        <v>0</v>
      </c>
      <c r="E8" s="12">
        <f>IF($A$2="PREMIUM_OI",IFERROR((100*RTD("tos.rtd",,"OPEN_INT","."&amp;E$2&amp;E$1&amp;"C"&amp;$A8)*RTD("tos.rtd",,"LAST","."&amp;E$2&amp;E$1&amp;"C"&amp;$A8)-100*RTD("tos.rtd",,"OPEN_INT","."&amp;E$2&amp;E$1&amp;"P"&amp;$A8)*RTD("tos.rtd",,"LAST","."&amp;E$2&amp;E$1&amp;"P"&amp;$A8))/1000000,0),IF($A$2="PREMIUM",IFERROR((100*RTD("tos.rtd",,"VOLUME","."&amp;E$2&amp;E$1&amp;"C"&amp;$A8)*RTD("tos.rtd",,"LAST","."&amp;E$2&amp;E$1&amp;"C"&amp;$A8)-100*RTD("tos.rtd",,"VOLUME","."&amp;E$2&amp;E$1&amp;"P"&amp;$A8)*RTD("tos.rtd",,"LAST","."&amp;E$2&amp;E$1&amp;"P"&amp;$A8))/1000000,0),IF($A$2="DEX",IFERROR((100*RTD("tos.rtd",,"OPEN_INT","."&amp;E$2&amp;E$1&amp;"C"&amp;$A8)*RTD("tos.rtd",,"DELTA","."&amp;E$2&amp;E$1&amp;"C"&amp;$A8)-100*RTD("tos.rtd",,"OPEN_INT","."&amp;E$2&amp;E$1&amp;"P"&amp;$A8)*RTD("tos.rtd",,"DELTA","."&amp;E$2&amp;E$1&amp;"P"&amp;$A8))/1000,0),IF($A$2="VEX",IFERROR(($A$4*$A$4*RTD("tos.rtd",,"VOLUME","."&amp;E$2&amp;E$1&amp;"C"&amp;$A8)*RTD("tos.rtd",,"GAMMA","."&amp;E$2&amp;E$1&amp;"C"&amp;$A8)-$A$4*$A$4*RTD("tos.rtd",,"VOLUME","."&amp;E$2&amp;E$1&amp;"P"&amp;$A8)*RTD("tos.rtd",,"GAMMA","."&amp;E$2&amp;E$1&amp;"P"&amp;$A8))/1000000,0),IF($A$2="GEX",IFERROR(($A$4*$A$4*RTD("tos.rtd",,"OPEN_INT","."&amp;E$2&amp;E$1&amp;"C"&amp;$A8)*RTD("tos.rtd",,"GAMMA","."&amp;E$2&amp;E$1&amp;"C"&amp;$A8)-$A$4*$A$4*RTD("tos.rtd",,"OPEN_INT","."&amp;E$2&amp;E$1&amp;"P"&amp;$A8)*RTD("tos.rtd",,"GAMMA","."&amp;E$2&amp;E$1&amp;"P"&amp;$A8))/1000000,0),IF($A$2="SKEW",IFERROR(VALUE(IF(RTD("tos.rtd",,"IMPL_VOL","."&amp;E$2&amp;E$1&amp;"P"&amp;$A8)="N/A",0,RTD("tos.rtd",,"IMPL_VOL","."&amp;E$2&amp;E$1&amp;"P"&amp;$A8))),0)-IFERROR(VALUE(IF(RTD("tos.rtd",,"IMPL_VOL","."&amp;E$2&amp;E$1&amp;"C"&amp;$A8)="N/A",0,RTD("tos.rtd",,"IMPL_VOL","."&amp;E$2&amp;E$1&amp;"C"&amp;$A8))),0),IF($A$2="MAXPAIN",IF($A$4&gt;$A8,($A$4-$A8)*IF(RTD("tos.rtd",,"OPEN_INT","."&amp;E$2&amp;E$1&amp;"C"&amp;$A8)="N/A",0,RTD("tos.rtd",,"OPEN_INT","."&amp;E$2&amp;E$1&amp;"C"&amp;$A8)),0)+IF($A$4&lt;$A8,($A8-$A$4)*IF(RTD("tos.rtd",,"OPEN_INT","."&amp;E$2&amp;E$1&amp;"P"&amp;$A8)="N/A",0,RTD("tos.rtd",,"OPEN_INT","."&amp;E$2&amp;E$1&amp;"P"&amp;$A8)),0),IF(RTD("tos.rtd",,$A$2,"."&amp;E$2&amp;E$1&amp;"C"&amp;$A8)="N/A",0,RTD("tos.rtd",,$A$2,"."&amp;E$2&amp;E$1&amp;"C"&amp;$A8))-IF(RTD("tos.rtd",,$A$2,"."&amp;E$2&amp;E$1&amp;"P"&amp;$A8)="N/A",0,RTD("tos.rtd",,$A$2,"."&amp;E$2&amp;E$1&amp;"P"&amp;$A8)))))))))</f>
        <v>0</v>
      </c>
      <c r="F8" s="12">
        <f>IF($A$2="PREMIUM_OI",IFERROR((100*RTD("tos.rtd",,"OPEN_INT","."&amp;F$2&amp;F$1&amp;"C"&amp;$A8)*RTD("tos.rtd",,"LAST","."&amp;F$2&amp;F$1&amp;"C"&amp;$A8)-100*RTD("tos.rtd",,"OPEN_INT","."&amp;F$2&amp;F$1&amp;"P"&amp;$A8)*RTD("tos.rtd",,"LAST","."&amp;F$2&amp;F$1&amp;"P"&amp;$A8))/1000000,0),IF($A$2="PREMIUM",IFERROR((100*RTD("tos.rtd",,"VOLUME","."&amp;F$2&amp;F$1&amp;"C"&amp;$A8)*RTD("tos.rtd",,"LAST","."&amp;F$2&amp;F$1&amp;"C"&amp;$A8)-100*RTD("tos.rtd",,"VOLUME","."&amp;F$2&amp;F$1&amp;"P"&amp;$A8)*RTD("tos.rtd",,"LAST","."&amp;F$2&amp;F$1&amp;"P"&amp;$A8))/1000000,0),IF($A$2="DEX",IFERROR((100*RTD("tos.rtd",,"OPEN_INT","."&amp;F$2&amp;F$1&amp;"C"&amp;$A8)*RTD("tos.rtd",,"DELTA","."&amp;F$2&amp;F$1&amp;"C"&amp;$A8)-100*RTD("tos.rtd",,"OPEN_INT","."&amp;F$2&amp;F$1&amp;"P"&amp;$A8)*RTD("tos.rtd",,"DELTA","."&amp;F$2&amp;F$1&amp;"P"&amp;$A8))/1000,0),IF($A$2="VEX",IFERROR(($A$4*$A$4*RTD("tos.rtd",,"VOLUME","."&amp;F$2&amp;F$1&amp;"C"&amp;$A8)*RTD("tos.rtd",,"GAMMA","."&amp;F$2&amp;F$1&amp;"C"&amp;$A8)-$A$4*$A$4*RTD("tos.rtd",,"VOLUME","."&amp;F$2&amp;F$1&amp;"P"&amp;$A8)*RTD("tos.rtd",,"GAMMA","."&amp;F$2&amp;F$1&amp;"P"&amp;$A8))/1000000,0),IF($A$2="GEX",IFERROR(($A$4*$A$4*RTD("tos.rtd",,"OPEN_INT","."&amp;F$2&amp;F$1&amp;"C"&amp;$A8)*RTD("tos.rtd",,"GAMMA","."&amp;F$2&amp;F$1&amp;"C"&amp;$A8)-$A$4*$A$4*RTD("tos.rtd",,"OPEN_INT","."&amp;F$2&amp;F$1&amp;"P"&amp;$A8)*RTD("tos.rtd",,"GAMMA","."&amp;F$2&amp;F$1&amp;"P"&amp;$A8))/1000000,0),IF($A$2="SKEW",IFERROR(VALUE(IF(RTD("tos.rtd",,"IMPL_VOL","."&amp;F$2&amp;F$1&amp;"P"&amp;$A8)="N/A",0,RTD("tos.rtd",,"IMPL_VOL","."&amp;F$2&amp;F$1&amp;"P"&amp;$A8))),0)-IFERROR(VALUE(IF(RTD("tos.rtd",,"IMPL_VOL","."&amp;F$2&amp;F$1&amp;"C"&amp;$A8)="N/A",0,RTD("tos.rtd",,"IMPL_VOL","."&amp;F$2&amp;F$1&amp;"C"&amp;$A8))),0),IF($A$2="MAXPAIN",IF($A$4&gt;$A8,($A$4-$A8)*IF(RTD("tos.rtd",,"OPEN_INT","."&amp;F$2&amp;F$1&amp;"C"&amp;$A8)="N/A",0,RTD("tos.rtd",,"OPEN_INT","."&amp;F$2&amp;F$1&amp;"C"&amp;$A8)),0)+IF($A$4&lt;$A8,($A8-$A$4)*IF(RTD("tos.rtd",,"OPEN_INT","."&amp;F$2&amp;F$1&amp;"P"&amp;$A8)="N/A",0,RTD("tos.rtd",,"OPEN_INT","."&amp;F$2&amp;F$1&amp;"P"&amp;$A8)),0),IF(RTD("tos.rtd",,$A$2,"."&amp;F$2&amp;F$1&amp;"C"&amp;$A8)="N/A",0,RTD("tos.rtd",,$A$2,"."&amp;F$2&amp;F$1&amp;"C"&amp;$A8))-IF(RTD("tos.rtd",,$A$2,"."&amp;F$2&amp;F$1&amp;"P"&amp;$A8)="N/A",0,RTD("tos.rtd",,$A$2,"."&amp;F$2&amp;F$1&amp;"P"&amp;$A8)))))))))</f>
        <v>0</v>
      </c>
      <c r="G8" s="14">
        <f>IF($A$2="PREMIUM_OI",IFERROR((100*RTD("tos.rtd",,"OPEN_INT","."&amp;G$2&amp;G$1&amp;"C"&amp;$A8)*RTD("tos.rtd",,"LAST","."&amp;G$2&amp;G$1&amp;"C"&amp;$A8)-100*RTD("tos.rtd",,"OPEN_INT","."&amp;G$2&amp;G$1&amp;"P"&amp;$A8)*RTD("tos.rtd",,"LAST","."&amp;G$2&amp;G$1&amp;"P"&amp;$A8))/1000000,0),IF($A$2="PREMIUM",IFERROR((100*RTD("tos.rtd",,"VOLUME","."&amp;G$2&amp;G$1&amp;"C"&amp;$A8)*RTD("tos.rtd",,"LAST","."&amp;G$2&amp;G$1&amp;"C"&amp;$A8)-100*RTD("tos.rtd",,"VOLUME","."&amp;G$2&amp;G$1&amp;"P"&amp;$A8)*RTD("tos.rtd",,"LAST","."&amp;G$2&amp;G$1&amp;"P"&amp;$A8))/1000000,0),IF($A$2="DEX",IFERROR((100*RTD("tos.rtd",,"OPEN_INT","."&amp;G$2&amp;G$1&amp;"C"&amp;$A8)*RTD("tos.rtd",,"DELTA","."&amp;G$2&amp;G$1&amp;"C"&amp;$A8)-100*RTD("tos.rtd",,"OPEN_INT","."&amp;G$2&amp;G$1&amp;"P"&amp;$A8)*RTD("tos.rtd",,"DELTA","."&amp;G$2&amp;G$1&amp;"P"&amp;$A8))/1000,0),IF($A$2="VEX",IFERROR(($A$4*$A$4*RTD("tos.rtd",,"VOLUME","."&amp;G$2&amp;G$1&amp;"C"&amp;$A8)*RTD("tos.rtd",,"GAMMA","."&amp;G$2&amp;G$1&amp;"C"&amp;$A8)-$A$4*$A$4*RTD("tos.rtd",,"VOLUME","."&amp;G$2&amp;G$1&amp;"P"&amp;$A8)*RTD("tos.rtd",,"GAMMA","."&amp;G$2&amp;G$1&amp;"P"&amp;$A8))/1000000,0),IF($A$2="GEX",IFERROR(($A$4*$A$4*RTD("tos.rtd",,"OPEN_INT","."&amp;G$2&amp;G$1&amp;"C"&amp;$A8)*RTD("tos.rtd",,"GAMMA","."&amp;G$2&amp;G$1&amp;"C"&amp;$A8)-$A$4*$A$4*RTD("tos.rtd",,"OPEN_INT","."&amp;G$2&amp;G$1&amp;"P"&amp;$A8)*RTD("tos.rtd",,"GAMMA","."&amp;G$2&amp;G$1&amp;"P"&amp;$A8))/1000000,0),IF($A$2="SKEW",IFERROR(VALUE(IF(RTD("tos.rtd",,"IMPL_VOL","."&amp;G$2&amp;G$1&amp;"P"&amp;$A8)="N/A",0,RTD("tos.rtd",,"IMPL_VOL","."&amp;G$2&amp;G$1&amp;"P"&amp;$A8))),0)-IFERROR(VALUE(IF(RTD("tos.rtd",,"IMPL_VOL","."&amp;G$2&amp;G$1&amp;"C"&amp;$A8)="N/A",0,RTD("tos.rtd",,"IMPL_VOL","."&amp;G$2&amp;G$1&amp;"C"&amp;$A8))),0),IF($A$2="MAXPAIN",IF($A$4&gt;$A8,($A$4-$A8)*IF(RTD("tos.rtd",,"OPEN_INT","."&amp;G$2&amp;G$1&amp;"C"&amp;$A8)="N/A",0,RTD("tos.rtd",,"OPEN_INT","."&amp;G$2&amp;G$1&amp;"C"&amp;$A8)),0)+IF($A$4&lt;$A8,($A8-$A$4)*IF(RTD("tos.rtd",,"OPEN_INT","."&amp;G$2&amp;G$1&amp;"P"&amp;$A8)="N/A",0,RTD("tos.rtd",,"OPEN_INT","."&amp;G$2&amp;G$1&amp;"P"&amp;$A8)),0),IF(RTD("tos.rtd",,$A$2,"."&amp;G$2&amp;G$1&amp;"C"&amp;$A8)="N/A",0,RTD("tos.rtd",,$A$2,"."&amp;G$2&amp;G$1&amp;"C"&amp;$A8))-IF(RTD("tos.rtd",,$A$2,"."&amp;G$2&amp;G$1&amp;"P"&amp;$A8)="N/A",0,RTD("tos.rtd",,$A$2,"."&amp;G$2&amp;G$1&amp;"P"&amp;$A8)))))))))</f>
        <v>0</v>
      </c>
      <c r="H8" s="12">
        <f>IF($A$2="PREMIUM_OI",IFERROR((100*RTD("tos.rtd",,"OPEN_INT","."&amp;H$2&amp;H$1&amp;"C"&amp;$A8)*RTD("tos.rtd",,"LAST","."&amp;H$2&amp;H$1&amp;"C"&amp;$A8)-100*RTD("tos.rtd",,"OPEN_INT","."&amp;H$2&amp;H$1&amp;"P"&amp;$A8)*RTD("tos.rtd",,"LAST","."&amp;H$2&amp;H$1&amp;"P"&amp;$A8))/1000000,0),IF($A$2="PREMIUM",IFERROR((100*RTD("tos.rtd",,"VOLUME","."&amp;H$2&amp;H$1&amp;"C"&amp;$A8)*RTD("tos.rtd",,"LAST","."&amp;H$2&amp;H$1&amp;"C"&amp;$A8)-100*RTD("tos.rtd",,"VOLUME","."&amp;H$2&amp;H$1&amp;"P"&amp;$A8)*RTD("tos.rtd",,"LAST","."&amp;H$2&amp;H$1&amp;"P"&amp;$A8))/1000000,0),IF($A$2="DEX",IFERROR((100*RTD("tos.rtd",,"OPEN_INT","."&amp;H$2&amp;H$1&amp;"C"&amp;$A8)*RTD("tos.rtd",,"DELTA","."&amp;H$2&amp;H$1&amp;"C"&amp;$A8)-100*RTD("tos.rtd",,"OPEN_INT","."&amp;H$2&amp;H$1&amp;"P"&amp;$A8)*RTD("tos.rtd",,"DELTA","."&amp;H$2&amp;H$1&amp;"P"&amp;$A8))/1000,0),IF($A$2="VEX",IFERROR(($A$4*$A$4*RTD("tos.rtd",,"VOLUME","."&amp;H$2&amp;H$1&amp;"C"&amp;$A8)*RTD("tos.rtd",,"GAMMA","."&amp;H$2&amp;H$1&amp;"C"&amp;$A8)-$A$4*$A$4*RTD("tos.rtd",,"VOLUME","."&amp;H$2&amp;H$1&amp;"P"&amp;$A8)*RTD("tos.rtd",,"GAMMA","."&amp;H$2&amp;H$1&amp;"P"&amp;$A8))/1000000,0),IF($A$2="GEX",IFERROR(($A$4*$A$4*RTD("tos.rtd",,"OPEN_INT","."&amp;H$2&amp;H$1&amp;"C"&amp;$A8)*RTD("tos.rtd",,"GAMMA","."&amp;H$2&amp;H$1&amp;"C"&amp;$A8)-$A$4*$A$4*RTD("tos.rtd",,"OPEN_INT","."&amp;H$2&amp;H$1&amp;"P"&amp;$A8)*RTD("tos.rtd",,"GAMMA","."&amp;H$2&amp;H$1&amp;"P"&amp;$A8))/1000000,0),IF($A$2="SKEW",IFERROR(VALUE(IF(RTD("tos.rtd",,"IMPL_VOL","."&amp;H$2&amp;H$1&amp;"P"&amp;$A8)="N/A",0,RTD("tos.rtd",,"IMPL_VOL","."&amp;H$2&amp;H$1&amp;"P"&amp;$A8))),0)-IFERROR(VALUE(IF(RTD("tos.rtd",,"IMPL_VOL","."&amp;H$2&amp;H$1&amp;"C"&amp;$A8)="N/A",0,RTD("tos.rtd",,"IMPL_VOL","."&amp;H$2&amp;H$1&amp;"C"&amp;$A8))),0),IF($A$2="MAXPAIN",IF($A$4&gt;$A8,($A$4-$A8)*IF(RTD("tos.rtd",,"OPEN_INT","."&amp;H$2&amp;H$1&amp;"C"&amp;$A8)="N/A",0,RTD("tos.rtd",,"OPEN_INT","."&amp;H$2&amp;H$1&amp;"C"&amp;$A8)),0)+IF($A$4&lt;$A8,($A8-$A$4)*IF(RTD("tos.rtd",,"OPEN_INT","."&amp;H$2&amp;H$1&amp;"P"&amp;$A8)="N/A",0,RTD("tos.rtd",,"OPEN_INT","."&amp;H$2&amp;H$1&amp;"P"&amp;$A8)),0),IF(RTD("tos.rtd",,$A$2,"."&amp;H$2&amp;H$1&amp;"C"&amp;$A8)="N/A",0,RTD("tos.rtd",,$A$2,"."&amp;H$2&amp;H$1&amp;"C"&amp;$A8))-IF(RTD("tos.rtd",,$A$2,"."&amp;H$2&amp;H$1&amp;"P"&amp;$A8)="N/A",0,RTD("tos.rtd",,$A$2,"."&amp;H$2&amp;H$1&amp;"P"&amp;$A8)))))))))</f>
        <v>1920</v>
      </c>
      <c r="I8" s="12">
        <f>IF($A$2="PREMIUM_OI",IFERROR((100*RTD("tos.rtd",,"OPEN_INT","."&amp;I$2&amp;I$1&amp;"C"&amp;$A8)*RTD("tos.rtd",,"LAST","."&amp;I$2&amp;I$1&amp;"C"&amp;$A8)-100*RTD("tos.rtd",,"OPEN_INT","."&amp;I$2&amp;I$1&amp;"P"&amp;$A8)*RTD("tos.rtd",,"LAST","."&amp;I$2&amp;I$1&amp;"P"&amp;$A8))/1000000,0),IF($A$2="PREMIUM",IFERROR((100*RTD("tos.rtd",,"VOLUME","."&amp;I$2&amp;I$1&amp;"C"&amp;$A8)*RTD("tos.rtd",,"LAST","."&amp;I$2&amp;I$1&amp;"C"&amp;$A8)-100*RTD("tos.rtd",,"VOLUME","."&amp;I$2&amp;I$1&amp;"P"&amp;$A8)*RTD("tos.rtd",,"LAST","."&amp;I$2&amp;I$1&amp;"P"&amp;$A8))/1000000,0),IF($A$2="DEX",IFERROR((100*RTD("tos.rtd",,"OPEN_INT","."&amp;I$2&amp;I$1&amp;"C"&amp;$A8)*RTD("tos.rtd",,"DELTA","."&amp;I$2&amp;I$1&amp;"C"&amp;$A8)-100*RTD("tos.rtd",,"OPEN_INT","."&amp;I$2&amp;I$1&amp;"P"&amp;$A8)*RTD("tos.rtd",,"DELTA","."&amp;I$2&amp;I$1&amp;"P"&amp;$A8))/1000,0),IF($A$2="VEX",IFERROR(($A$4*$A$4*RTD("tos.rtd",,"VOLUME","."&amp;I$2&amp;I$1&amp;"C"&amp;$A8)*RTD("tos.rtd",,"GAMMA","."&amp;I$2&amp;I$1&amp;"C"&amp;$A8)-$A$4*$A$4*RTD("tos.rtd",,"VOLUME","."&amp;I$2&amp;I$1&amp;"P"&amp;$A8)*RTD("tos.rtd",,"GAMMA","."&amp;I$2&amp;I$1&amp;"P"&amp;$A8))/1000000,0),IF($A$2="GEX",IFERROR(($A$4*$A$4*RTD("tos.rtd",,"OPEN_INT","."&amp;I$2&amp;I$1&amp;"C"&amp;$A8)*RTD("tos.rtd",,"GAMMA","."&amp;I$2&amp;I$1&amp;"C"&amp;$A8)-$A$4*$A$4*RTD("tos.rtd",,"OPEN_INT","."&amp;I$2&amp;I$1&amp;"P"&amp;$A8)*RTD("tos.rtd",,"GAMMA","."&amp;I$2&amp;I$1&amp;"P"&amp;$A8))/1000000,0),IF($A$2="SKEW",IFERROR(VALUE(IF(RTD("tos.rtd",,"IMPL_VOL","."&amp;I$2&amp;I$1&amp;"P"&amp;$A8)="N/A",0,RTD("tos.rtd",,"IMPL_VOL","."&amp;I$2&amp;I$1&amp;"P"&amp;$A8))),0)-IFERROR(VALUE(IF(RTD("tos.rtd",,"IMPL_VOL","."&amp;I$2&amp;I$1&amp;"C"&amp;$A8)="N/A",0,RTD("tos.rtd",,"IMPL_VOL","."&amp;I$2&amp;I$1&amp;"C"&amp;$A8))),0),IF($A$2="MAXPAIN",IF($A$4&gt;$A8,($A$4-$A8)*IF(RTD("tos.rtd",,"OPEN_INT","."&amp;I$2&amp;I$1&amp;"C"&amp;$A8)="N/A",0,RTD("tos.rtd",,"OPEN_INT","."&amp;I$2&amp;I$1&amp;"C"&amp;$A8)),0)+IF($A$4&lt;$A8,($A8-$A$4)*IF(RTD("tos.rtd",,"OPEN_INT","."&amp;I$2&amp;I$1&amp;"P"&amp;$A8)="N/A",0,RTD("tos.rtd",,"OPEN_INT","."&amp;I$2&amp;I$1&amp;"P"&amp;$A8)),0),IF(RTD("tos.rtd",,$A$2,"."&amp;I$2&amp;I$1&amp;"C"&amp;$A8)="N/A",0,RTD("tos.rtd",,$A$2,"."&amp;I$2&amp;I$1&amp;"C"&amp;$A8))-IF(RTD("tos.rtd",,$A$2,"."&amp;I$2&amp;I$1&amp;"P"&amp;$A8)="N/A",0,RTD("tos.rtd",,$A$2,"."&amp;I$2&amp;I$1&amp;"P"&amp;$A8)))))))))</f>
        <v>0</v>
      </c>
      <c r="J8" s="12">
        <f>IF($A$2="PREMIUM_OI",IFERROR((100*RTD("tos.rtd",,"OPEN_INT","."&amp;J$2&amp;J$1&amp;"C"&amp;$A8)*RTD("tos.rtd",,"LAST","."&amp;J$2&amp;J$1&amp;"C"&amp;$A8)-100*RTD("tos.rtd",,"OPEN_INT","."&amp;J$2&amp;J$1&amp;"P"&amp;$A8)*RTD("tos.rtd",,"LAST","."&amp;J$2&amp;J$1&amp;"P"&amp;$A8))/1000000,0),IF($A$2="PREMIUM",IFERROR((100*RTD("tos.rtd",,"VOLUME","."&amp;J$2&amp;J$1&amp;"C"&amp;$A8)*RTD("tos.rtd",,"LAST","."&amp;J$2&amp;J$1&amp;"C"&amp;$A8)-100*RTD("tos.rtd",,"VOLUME","."&amp;J$2&amp;J$1&amp;"P"&amp;$A8)*RTD("tos.rtd",,"LAST","."&amp;J$2&amp;J$1&amp;"P"&amp;$A8))/1000000,0),IF($A$2="DEX",IFERROR((100*RTD("tos.rtd",,"OPEN_INT","."&amp;J$2&amp;J$1&amp;"C"&amp;$A8)*RTD("tos.rtd",,"DELTA","."&amp;J$2&amp;J$1&amp;"C"&amp;$A8)-100*RTD("tos.rtd",,"OPEN_INT","."&amp;J$2&amp;J$1&amp;"P"&amp;$A8)*RTD("tos.rtd",,"DELTA","."&amp;J$2&amp;J$1&amp;"P"&amp;$A8))/1000,0),IF($A$2="VEX",IFERROR(($A$4*$A$4*RTD("tos.rtd",,"VOLUME","."&amp;J$2&amp;J$1&amp;"C"&amp;$A8)*RTD("tos.rtd",,"GAMMA","."&amp;J$2&amp;J$1&amp;"C"&amp;$A8)-$A$4*$A$4*RTD("tos.rtd",,"VOLUME","."&amp;J$2&amp;J$1&amp;"P"&amp;$A8)*RTD("tos.rtd",,"GAMMA","."&amp;J$2&amp;J$1&amp;"P"&amp;$A8))/1000000,0),IF($A$2="GEX",IFERROR(($A$4*$A$4*RTD("tos.rtd",,"OPEN_INT","."&amp;J$2&amp;J$1&amp;"C"&amp;$A8)*RTD("tos.rtd",,"GAMMA","."&amp;J$2&amp;J$1&amp;"C"&amp;$A8)-$A$4*$A$4*RTD("tos.rtd",,"OPEN_INT","."&amp;J$2&amp;J$1&amp;"P"&amp;$A8)*RTD("tos.rtd",,"GAMMA","."&amp;J$2&amp;J$1&amp;"P"&amp;$A8))/1000000,0),IF($A$2="SKEW",IFERROR(VALUE(IF(RTD("tos.rtd",,"IMPL_VOL","."&amp;J$2&amp;J$1&amp;"P"&amp;$A8)="N/A",0,RTD("tos.rtd",,"IMPL_VOL","."&amp;J$2&amp;J$1&amp;"P"&amp;$A8))),0)-IFERROR(VALUE(IF(RTD("tos.rtd",,"IMPL_VOL","."&amp;J$2&amp;J$1&amp;"C"&amp;$A8)="N/A",0,RTD("tos.rtd",,"IMPL_VOL","."&amp;J$2&amp;J$1&amp;"C"&amp;$A8))),0),IF($A$2="MAXPAIN",IF($A$4&gt;$A8,($A$4-$A8)*IF(RTD("tos.rtd",,"OPEN_INT","."&amp;J$2&amp;J$1&amp;"C"&amp;$A8)="N/A",0,RTD("tos.rtd",,"OPEN_INT","."&amp;J$2&amp;J$1&amp;"C"&amp;$A8)),0)+IF($A$4&lt;$A8,($A8-$A$4)*IF(RTD("tos.rtd",,"OPEN_INT","."&amp;J$2&amp;J$1&amp;"P"&amp;$A8)="N/A",0,RTD("tos.rtd",,"OPEN_INT","."&amp;J$2&amp;J$1&amp;"P"&amp;$A8)),0),IF(RTD("tos.rtd",,$A$2,"."&amp;J$2&amp;J$1&amp;"C"&amp;$A8)="N/A",0,RTD("tos.rtd",,$A$2,"."&amp;J$2&amp;J$1&amp;"C"&amp;$A8))-IF(RTD("tos.rtd",,$A$2,"."&amp;J$2&amp;J$1&amp;"P"&amp;$A8)="N/A",0,RTD("tos.rtd",,$A$2,"."&amp;J$2&amp;J$1&amp;"P"&amp;$A8)))))))))</f>
        <v>0</v>
      </c>
      <c r="K8" s="12">
        <f>IF($A$2="PREMIUM_OI",IFERROR((100*RTD("tos.rtd",,"OPEN_INT","."&amp;K$2&amp;K$1&amp;"C"&amp;$A8)*RTD("tos.rtd",,"LAST","."&amp;K$2&amp;K$1&amp;"C"&amp;$A8)-100*RTD("tos.rtd",,"OPEN_INT","."&amp;K$2&amp;K$1&amp;"P"&amp;$A8)*RTD("tos.rtd",,"LAST","."&amp;K$2&amp;K$1&amp;"P"&amp;$A8))/1000000,0),IF($A$2="PREMIUM",IFERROR((100*RTD("tos.rtd",,"VOLUME","."&amp;K$2&amp;K$1&amp;"C"&amp;$A8)*RTD("tos.rtd",,"LAST","."&amp;K$2&amp;K$1&amp;"C"&amp;$A8)-100*RTD("tos.rtd",,"VOLUME","."&amp;K$2&amp;K$1&amp;"P"&amp;$A8)*RTD("tos.rtd",,"LAST","."&amp;K$2&amp;K$1&amp;"P"&amp;$A8))/1000000,0),IF($A$2="DEX",IFERROR((100*RTD("tos.rtd",,"OPEN_INT","."&amp;K$2&amp;K$1&amp;"C"&amp;$A8)*RTD("tos.rtd",,"DELTA","."&amp;K$2&amp;K$1&amp;"C"&amp;$A8)-100*RTD("tos.rtd",,"OPEN_INT","."&amp;K$2&amp;K$1&amp;"P"&amp;$A8)*RTD("tos.rtd",,"DELTA","."&amp;K$2&amp;K$1&amp;"P"&amp;$A8))/1000,0),IF($A$2="VEX",IFERROR(($A$4*$A$4*RTD("tos.rtd",,"VOLUME","."&amp;K$2&amp;K$1&amp;"C"&amp;$A8)*RTD("tos.rtd",,"GAMMA","."&amp;K$2&amp;K$1&amp;"C"&amp;$A8)-$A$4*$A$4*RTD("tos.rtd",,"VOLUME","."&amp;K$2&amp;K$1&amp;"P"&amp;$A8)*RTD("tos.rtd",,"GAMMA","."&amp;K$2&amp;K$1&amp;"P"&amp;$A8))/1000000,0),IF($A$2="GEX",IFERROR(($A$4*$A$4*RTD("tos.rtd",,"OPEN_INT","."&amp;K$2&amp;K$1&amp;"C"&amp;$A8)*RTD("tos.rtd",,"GAMMA","."&amp;K$2&amp;K$1&amp;"C"&amp;$A8)-$A$4*$A$4*RTD("tos.rtd",,"OPEN_INT","."&amp;K$2&amp;K$1&amp;"P"&amp;$A8)*RTD("tos.rtd",,"GAMMA","."&amp;K$2&amp;K$1&amp;"P"&amp;$A8))/1000000,0),IF($A$2="SKEW",IFERROR(VALUE(IF(RTD("tos.rtd",,"IMPL_VOL","."&amp;K$2&amp;K$1&amp;"P"&amp;$A8)="N/A",0,RTD("tos.rtd",,"IMPL_VOL","."&amp;K$2&amp;K$1&amp;"P"&amp;$A8))),0)-IFERROR(VALUE(IF(RTD("tos.rtd",,"IMPL_VOL","."&amp;K$2&amp;K$1&amp;"C"&amp;$A8)="N/A",0,RTD("tos.rtd",,"IMPL_VOL","."&amp;K$2&amp;K$1&amp;"C"&amp;$A8))),0),IF($A$2="MAXPAIN",IF($A$4&gt;$A8,($A$4-$A8)*IF(RTD("tos.rtd",,"OPEN_INT","."&amp;K$2&amp;K$1&amp;"C"&amp;$A8)="N/A",0,RTD("tos.rtd",,"OPEN_INT","."&amp;K$2&amp;K$1&amp;"C"&amp;$A8)),0)+IF($A$4&lt;$A8,($A8-$A$4)*IF(RTD("tos.rtd",,"OPEN_INT","."&amp;K$2&amp;K$1&amp;"P"&amp;$A8)="N/A",0,RTD("tos.rtd",,"OPEN_INT","."&amp;K$2&amp;K$1&amp;"P"&amp;$A8)),0),IF(RTD("tos.rtd",,$A$2,"."&amp;K$2&amp;K$1&amp;"C"&amp;$A8)="N/A",0,RTD("tos.rtd",,$A$2,"."&amp;K$2&amp;K$1&amp;"C"&amp;$A8))-IF(RTD("tos.rtd",,$A$2,"."&amp;K$2&amp;K$1&amp;"P"&amp;$A8)="N/A",0,RTD("tos.rtd",,$A$2,"."&amp;K$2&amp;K$1&amp;"P"&amp;$A8)))))))))</f>
        <v>0</v>
      </c>
      <c r="L8" s="12">
        <f>IF($A$2="PREMIUM_OI",IFERROR((100*RTD("tos.rtd",,"OPEN_INT","."&amp;L$2&amp;L$1&amp;"C"&amp;$A8)*RTD("tos.rtd",,"LAST","."&amp;L$2&amp;L$1&amp;"C"&amp;$A8)-100*RTD("tos.rtd",,"OPEN_INT","."&amp;L$2&amp;L$1&amp;"P"&amp;$A8)*RTD("tos.rtd",,"LAST","."&amp;L$2&amp;L$1&amp;"P"&amp;$A8))/1000000,0),IF($A$2="PREMIUM",IFERROR((100*RTD("tos.rtd",,"VOLUME","."&amp;L$2&amp;L$1&amp;"C"&amp;$A8)*RTD("tos.rtd",,"LAST","."&amp;L$2&amp;L$1&amp;"C"&amp;$A8)-100*RTD("tos.rtd",,"VOLUME","."&amp;L$2&amp;L$1&amp;"P"&amp;$A8)*RTD("tos.rtd",,"LAST","."&amp;L$2&amp;L$1&amp;"P"&amp;$A8))/1000000,0),IF($A$2="DEX",IFERROR((100*RTD("tos.rtd",,"OPEN_INT","."&amp;L$2&amp;L$1&amp;"C"&amp;$A8)*RTD("tos.rtd",,"DELTA","."&amp;L$2&amp;L$1&amp;"C"&amp;$A8)-100*RTD("tos.rtd",,"OPEN_INT","."&amp;L$2&amp;L$1&amp;"P"&amp;$A8)*RTD("tos.rtd",,"DELTA","."&amp;L$2&amp;L$1&amp;"P"&amp;$A8))/1000,0),IF($A$2="VEX",IFERROR(($A$4*$A$4*RTD("tos.rtd",,"VOLUME","."&amp;L$2&amp;L$1&amp;"C"&amp;$A8)*RTD("tos.rtd",,"GAMMA","."&amp;L$2&amp;L$1&amp;"C"&amp;$A8)-$A$4*$A$4*RTD("tos.rtd",,"VOLUME","."&amp;L$2&amp;L$1&amp;"P"&amp;$A8)*RTD("tos.rtd",,"GAMMA","."&amp;L$2&amp;L$1&amp;"P"&amp;$A8))/1000000,0),IF($A$2="GEX",IFERROR(($A$4*$A$4*RTD("tos.rtd",,"OPEN_INT","."&amp;L$2&amp;L$1&amp;"C"&amp;$A8)*RTD("tos.rtd",,"GAMMA","."&amp;L$2&amp;L$1&amp;"C"&amp;$A8)-$A$4*$A$4*RTD("tos.rtd",,"OPEN_INT","."&amp;L$2&amp;L$1&amp;"P"&amp;$A8)*RTD("tos.rtd",,"GAMMA","."&amp;L$2&amp;L$1&amp;"P"&amp;$A8))/1000000,0),IF($A$2="SKEW",IFERROR(VALUE(IF(RTD("tos.rtd",,"IMPL_VOL","."&amp;L$2&amp;L$1&amp;"P"&amp;$A8)="N/A",0,RTD("tos.rtd",,"IMPL_VOL","."&amp;L$2&amp;L$1&amp;"P"&amp;$A8))),0)-IFERROR(VALUE(IF(RTD("tos.rtd",,"IMPL_VOL","."&amp;L$2&amp;L$1&amp;"C"&amp;$A8)="N/A",0,RTD("tos.rtd",,"IMPL_VOL","."&amp;L$2&amp;L$1&amp;"C"&amp;$A8))),0),IF($A$2="MAXPAIN",IF($A$4&gt;$A8,($A$4-$A8)*IF(RTD("tos.rtd",,"OPEN_INT","."&amp;L$2&amp;L$1&amp;"C"&amp;$A8)="N/A",0,RTD("tos.rtd",,"OPEN_INT","."&amp;L$2&amp;L$1&amp;"C"&amp;$A8)),0)+IF($A$4&lt;$A8,($A8-$A$4)*IF(RTD("tos.rtd",,"OPEN_INT","."&amp;L$2&amp;L$1&amp;"P"&amp;$A8)="N/A",0,RTD("tos.rtd",,"OPEN_INT","."&amp;L$2&amp;L$1&amp;"P"&amp;$A8)),0),IF(RTD("tos.rtd",,$A$2,"."&amp;L$2&amp;L$1&amp;"C"&amp;$A8)="N/A",0,RTD("tos.rtd",,$A$2,"."&amp;L$2&amp;L$1&amp;"C"&amp;$A8))-IF(RTD("tos.rtd",,$A$2,"."&amp;L$2&amp;L$1&amp;"P"&amp;$A8)="N/A",0,RTD("tos.rtd",,$A$2,"."&amp;L$2&amp;L$1&amp;"P"&amp;$A8)))))))))</f>
        <v>0</v>
      </c>
      <c r="M8" s="12">
        <f>IF($A$2="PREMIUM_OI",IFERROR((100*RTD("tos.rtd",,"OPEN_INT","."&amp;M$2&amp;M$1&amp;"C"&amp;$A8)*RTD("tos.rtd",,"LAST","."&amp;M$2&amp;M$1&amp;"C"&amp;$A8)-100*RTD("tos.rtd",,"OPEN_INT","."&amp;M$2&amp;M$1&amp;"P"&amp;$A8)*RTD("tos.rtd",,"LAST","."&amp;M$2&amp;M$1&amp;"P"&amp;$A8))/1000000,0),IF($A$2="PREMIUM",IFERROR((100*RTD("tos.rtd",,"VOLUME","."&amp;M$2&amp;M$1&amp;"C"&amp;$A8)*RTD("tos.rtd",,"LAST","."&amp;M$2&amp;M$1&amp;"C"&amp;$A8)-100*RTD("tos.rtd",,"VOLUME","."&amp;M$2&amp;M$1&amp;"P"&amp;$A8)*RTD("tos.rtd",,"LAST","."&amp;M$2&amp;M$1&amp;"P"&amp;$A8))/1000000,0),IF($A$2="DEX",IFERROR((100*RTD("tos.rtd",,"OPEN_INT","."&amp;M$2&amp;M$1&amp;"C"&amp;$A8)*RTD("tos.rtd",,"DELTA","."&amp;M$2&amp;M$1&amp;"C"&amp;$A8)-100*RTD("tos.rtd",,"OPEN_INT","."&amp;M$2&amp;M$1&amp;"P"&amp;$A8)*RTD("tos.rtd",,"DELTA","."&amp;M$2&amp;M$1&amp;"P"&amp;$A8))/1000,0),IF($A$2="VEX",IFERROR(($A$4*$A$4*RTD("tos.rtd",,"VOLUME","."&amp;M$2&amp;M$1&amp;"C"&amp;$A8)*RTD("tos.rtd",,"GAMMA","."&amp;M$2&amp;M$1&amp;"C"&amp;$A8)-$A$4*$A$4*RTD("tos.rtd",,"VOLUME","."&amp;M$2&amp;M$1&amp;"P"&amp;$A8)*RTD("tos.rtd",,"GAMMA","."&amp;M$2&amp;M$1&amp;"P"&amp;$A8))/1000000,0),IF($A$2="GEX",IFERROR(($A$4*$A$4*RTD("tos.rtd",,"OPEN_INT","."&amp;M$2&amp;M$1&amp;"C"&amp;$A8)*RTD("tos.rtd",,"GAMMA","."&amp;M$2&amp;M$1&amp;"C"&amp;$A8)-$A$4*$A$4*RTD("tos.rtd",,"OPEN_INT","."&amp;M$2&amp;M$1&amp;"P"&amp;$A8)*RTD("tos.rtd",,"GAMMA","."&amp;M$2&amp;M$1&amp;"P"&amp;$A8))/1000000,0),IF($A$2="SKEW",IFERROR(VALUE(IF(RTD("tos.rtd",,"IMPL_VOL","."&amp;M$2&amp;M$1&amp;"P"&amp;$A8)="N/A",0,RTD("tos.rtd",,"IMPL_VOL","."&amp;M$2&amp;M$1&amp;"P"&amp;$A8))),0)-IFERROR(VALUE(IF(RTD("tos.rtd",,"IMPL_VOL","."&amp;M$2&amp;M$1&amp;"C"&amp;$A8)="N/A",0,RTD("tos.rtd",,"IMPL_VOL","."&amp;M$2&amp;M$1&amp;"C"&amp;$A8))),0),IF($A$2="MAXPAIN",IF($A$4&gt;$A8,($A$4-$A8)*IF(RTD("tos.rtd",,"OPEN_INT","."&amp;M$2&amp;M$1&amp;"C"&amp;$A8)="N/A",0,RTD("tos.rtd",,"OPEN_INT","."&amp;M$2&amp;M$1&amp;"C"&amp;$A8)),0)+IF($A$4&lt;$A8,($A8-$A$4)*IF(RTD("tos.rtd",,"OPEN_INT","."&amp;M$2&amp;M$1&amp;"P"&amp;$A8)="N/A",0,RTD("tos.rtd",,"OPEN_INT","."&amp;M$2&amp;M$1&amp;"P"&amp;$A8)),0),IF(RTD("tos.rtd",,$A$2,"."&amp;M$2&amp;M$1&amp;"C"&amp;$A8)="N/A",0,RTD("tos.rtd",,$A$2,"."&amp;M$2&amp;M$1&amp;"C"&amp;$A8))-IF(RTD("tos.rtd",,$A$2,"."&amp;M$2&amp;M$1&amp;"P"&amp;$A8)="N/A",0,RTD("tos.rtd",,$A$2,"."&amp;M$2&amp;M$1&amp;"P"&amp;$A8)))))))))</f>
        <v>431</v>
      </c>
      <c r="N8" s="12">
        <f>IF($A$2="PREMIUM_OI",IFERROR((100*RTD("tos.rtd",,"OPEN_INT","."&amp;N$2&amp;N$1&amp;"C"&amp;$A8)*RTD("tos.rtd",,"LAST","."&amp;N$2&amp;N$1&amp;"C"&amp;$A8)-100*RTD("tos.rtd",,"OPEN_INT","."&amp;N$2&amp;N$1&amp;"P"&amp;$A8)*RTD("tos.rtd",,"LAST","."&amp;N$2&amp;N$1&amp;"P"&amp;$A8))/1000000,0),IF($A$2="PREMIUM",IFERROR((100*RTD("tos.rtd",,"VOLUME","."&amp;N$2&amp;N$1&amp;"C"&amp;$A8)*RTD("tos.rtd",,"LAST","."&amp;N$2&amp;N$1&amp;"C"&amp;$A8)-100*RTD("tos.rtd",,"VOLUME","."&amp;N$2&amp;N$1&amp;"P"&amp;$A8)*RTD("tos.rtd",,"LAST","."&amp;N$2&amp;N$1&amp;"P"&amp;$A8))/1000000,0),IF($A$2="DEX",IFERROR((100*RTD("tos.rtd",,"OPEN_INT","."&amp;N$2&amp;N$1&amp;"C"&amp;$A8)*RTD("tos.rtd",,"DELTA","."&amp;N$2&amp;N$1&amp;"C"&amp;$A8)-100*RTD("tos.rtd",,"OPEN_INT","."&amp;N$2&amp;N$1&amp;"P"&amp;$A8)*RTD("tos.rtd",,"DELTA","."&amp;N$2&amp;N$1&amp;"P"&amp;$A8))/1000,0),IF($A$2="VEX",IFERROR(($A$4*$A$4*RTD("tos.rtd",,"VOLUME","."&amp;N$2&amp;N$1&amp;"C"&amp;$A8)*RTD("tos.rtd",,"GAMMA","."&amp;N$2&amp;N$1&amp;"C"&amp;$A8)-$A$4*$A$4*RTD("tos.rtd",,"VOLUME","."&amp;N$2&amp;N$1&amp;"P"&amp;$A8)*RTD("tos.rtd",,"GAMMA","."&amp;N$2&amp;N$1&amp;"P"&amp;$A8))/1000000,0),IF($A$2="GEX",IFERROR(($A$4*$A$4*RTD("tos.rtd",,"OPEN_INT","."&amp;N$2&amp;N$1&amp;"C"&amp;$A8)*RTD("tos.rtd",,"GAMMA","."&amp;N$2&amp;N$1&amp;"C"&amp;$A8)-$A$4*$A$4*RTD("tos.rtd",,"OPEN_INT","."&amp;N$2&amp;N$1&amp;"P"&amp;$A8)*RTD("tos.rtd",,"GAMMA","."&amp;N$2&amp;N$1&amp;"P"&amp;$A8))/1000000,0),IF($A$2="SKEW",IFERROR(VALUE(IF(RTD("tos.rtd",,"IMPL_VOL","."&amp;N$2&amp;N$1&amp;"P"&amp;$A8)="N/A",0,RTD("tos.rtd",,"IMPL_VOL","."&amp;N$2&amp;N$1&amp;"P"&amp;$A8))),0)-IFERROR(VALUE(IF(RTD("tos.rtd",,"IMPL_VOL","."&amp;N$2&amp;N$1&amp;"C"&amp;$A8)="N/A",0,RTD("tos.rtd",,"IMPL_VOL","."&amp;N$2&amp;N$1&amp;"C"&amp;$A8))),0),IF($A$2="MAXPAIN",IF($A$4&gt;$A8,($A$4-$A8)*IF(RTD("tos.rtd",,"OPEN_INT","."&amp;N$2&amp;N$1&amp;"C"&amp;$A8)="N/A",0,RTD("tos.rtd",,"OPEN_INT","."&amp;N$2&amp;N$1&amp;"C"&amp;$A8)),0)+IF($A$4&lt;$A8,($A8-$A$4)*IF(RTD("tos.rtd",,"OPEN_INT","."&amp;N$2&amp;N$1&amp;"P"&amp;$A8)="N/A",0,RTD("tos.rtd",,"OPEN_INT","."&amp;N$2&amp;N$1&amp;"P"&amp;$A8)),0),IF(RTD("tos.rtd",,$A$2,"."&amp;N$2&amp;N$1&amp;"C"&amp;$A8)="N/A",0,RTD("tos.rtd",,$A$2,"."&amp;N$2&amp;N$1&amp;"C"&amp;$A8))-IF(RTD("tos.rtd",,$A$2,"."&amp;N$2&amp;N$1&amp;"P"&amp;$A8)="N/A",0,RTD("tos.rtd",,$A$2,"."&amp;N$2&amp;N$1&amp;"P"&amp;$A8)))))))))</f>
        <v>0</v>
      </c>
      <c r="O8" s="12">
        <f>IF($A$2="PREMIUM_OI",IFERROR((100*RTD("tos.rtd",,"OPEN_INT","."&amp;O$2&amp;O$1&amp;"C"&amp;$A8)*RTD("tos.rtd",,"LAST","."&amp;O$2&amp;O$1&amp;"C"&amp;$A8)-100*RTD("tos.rtd",,"OPEN_INT","."&amp;O$2&amp;O$1&amp;"P"&amp;$A8)*RTD("tos.rtd",,"LAST","."&amp;O$2&amp;O$1&amp;"P"&amp;$A8))/1000000,0),IF($A$2="PREMIUM",IFERROR((100*RTD("tos.rtd",,"VOLUME","."&amp;O$2&amp;O$1&amp;"C"&amp;$A8)*RTD("tos.rtd",,"LAST","."&amp;O$2&amp;O$1&amp;"C"&amp;$A8)-100*RTD("tos.rtd",,"VOLUME","."&amp;O$2&amp;O$1&amp;"P"&amp;$A8)*RTD("tos.rtd",,"LAST","."&amp;O$2&amp;O$1&amp;"P"&amp;$A8))/1000000,0),IF($A$2="DEX",IFERROR((100*RTD("tos.rtd",,"OPEN_INT","."&amp;O$2&amp;O$1&amp;"C"&amp;$A8)*RTD("tos.rtd",,"DELTA","."&amp;O$2&amp;O$1&amp;"C"&amp;$A8)-100*RTD("tos.rtd",,"OPEN_INT","."&amp;O$2&amp;O$1&amp;"P"&amp;$A8)*RTD("tos.rtd",,"DELTA","."&amp;O$2&amp;O$1&amp;"P"&amp;$A8))/1000,0),IF($A$2="VEX",IFERROR(($A$4*$A$4*RTD("tos.rtd",,"VOLUME","."&amp;O$2&amp;O$1&amp;"C"&amp;$A8)*RTD("tos.rtd",,"GAMMA","."&amp;O$2&amp;O$1&amp;"C"&amp;$A8)-$A$4*$A$4*RTD("tos.rtd",,"VOLUME","."&amp;O$2&amp;O$1&amp;"P"&amp;$A8)*RTD("tos.rtd",,"GAMMA","."&amp;O$2&amp;O$1&amp;"P"&amp;$A8))/1000000,0),IF($A$2="GEX",IFERROR(($A$4*$A$4*RTD("tos.rtd",,"OPEN_INT","."&amp;O$2&amp;O$1&amp;"C"&amp;$A8)*RTD("tos.rtd",,"GAMMA","."&amp;O$2&amp;O$1&amp;"C"&amp;$A8)-$A$4*$A$4*RTD("tos.rtd",,"OPEN_INT","."&amp;O$2&amp;O$1&amp;"P"&amp;$A8)*RTD("tos.rtd",,"GAMMA","."&amp;O$2&amp;O$1&amp;"P"&amp;$A8))/1000000,0),IF($A$2="SKEW",IFERROR(VALUE(IF(RTD("tos.rtd",,"IMPL_VOL","."&amp;O$2&amp;O$1&amp;"P"&amp;$A8)="N/A",0,RTD("tos.rtd",,"IMPL_VOL","."&amp;O$2&amp;O$1&amp;"P"&amp;$A8))),0)-IFERROR(VALUE(IF(RTD("tos.rtd",,"IMPL_VOL","."&amp;O$2&amp;O$1&amp;"C"&amp;$A8)="N/A",0,RTD("tos.rtd",,"IMPL_VOL","."&amp;O$2&amp;O$1&amp;"C"&amp;$A8))),0),IF($A$2="MAXPAIN",IF($A$4&gt;$A8,($A$4-$A8)*IF(RTD("tos.rtd",,"OPEN_INT","."&amp;O$2&amp;O$1&amp;"C"&amp;$A8)="N/A",0,RTD("tos.rtd",,"OPEN_INT","."&amp;O$2&amp;O$1&amp;"C"&amp;$A8)),0)+IF($A$4&lt;$A8,($A8-$A$4)*IF(RTD("tos.rtd",,"OPEN_INT","."&amp;O$2&amp;O$1&amp;"P"&amp;$A8)="N/A",0,RTD("tos.rtd",,"OPEN_INT","."&amp;O$2&amp;O$1&amp;"P"&amp;$A8)),0),IF(RTD("tos.rtd",,$A$2,"."&amp;O$2&amp;O$1&amp;"C"&amp;$A8)="N/A",0,RTD("tos.rtd",,$A$2,"."&amp;O$2&amp;O$1&amp;"C"&amp;$A8))-IF(RTD("tos.rtd",,$A$2,"."&amp;O$2&amp;O$1&amp;"P"&amp;$A8)="N/A",0,RTD("tos.rtd",,$A$2,"."&amp;O$2&amp;O$1&amp;"P"&amp;$A8)))))))))</f>
        <v>0</v>
      </c>
      <c r="P8" s="12">
        <f>IF($A$2="PREMIUM_OI",IFERROR((100*RTD("tos.rtd",,"OPEN_INT","."&amp;P$2&amp;P$1&amp;"C"&amp;$A8)*RTD("tos.rtd",,"LAST","."&amp;P$2&amp;P$1&amp;"C"&amp;$A8)-100*RTD("tos.rtd",,"OPEN_INT","."&amp;P$2&amp;P$1&amp;"P"&amp;$A8)*RTD("tos.rtd",,"LAST","."&amp;P$2&amp;P$1&amp;"P"&amp;$A8))/1000000,0),IF($A$2="PREMIUM",IFERROR((100*RTD("tos.rtd",,"VOLUME","."&amp;P$2&amp;P$1&amp;"C"&amp;$A8)*RTD("tos.rtd",,"LAST","."&amp;P$2&amp;P$1&amp;"C"&amp;$A8)-100*RTD("tos.rtd",,"VOLUME","."&amp;P$2&amp;P$1&amp;"P"&amp;$A8)*RTD("tos.rtd",,"LAST","."&amp;P$2&amp;P$1&amp;"P"&amp;$A8))/1000000,0),IF($A$2="DEX",IFERROR((100*RTD("tos.rtd",,"OPEN_INT","."&amp;P$2&amp;P$1&amp;"C"&amp;$A8)*RTD("tos.rtd",,"DELTA","."&amp;P$2&amp;P$1&amp;"C"&amp;$A8)-100*RTD("tos.rtd",,"OPEN_INT","."&amp;P$2&amp;P$1&amp;"P"&amp;$A8)*RTD("tos.rtd",,"DELTA","."&amp;P$2&amp;P$1&amp;"P"&amp;$A8))/1000,0),IF($A$2="VEX",IFERROR(($A$4*$A$4*RTD("tos.rtd",,"VOLUME","."&amp;P$2&amp;P$1&amp;"C"&amp;$A8)*RTD("tos.rtd",,"GAMMA","."&amp;P$2&amp;P$1&amp;"C"&amp;$A8)-$A$4*$A$4*RTD("tos.rtd",,"VOLUME","."&amp;P$2&amp;P$1&amp;"P"&amp;$A8)*RTD("tos.rtd",,"GAMMA","."&amp;P$2&amp;P$1&amp;"P"&amp;$A8))/1000000,0),IF($A$2="GEX",IFERROR(($A$4*$A$4*RTD("tos.rtd",,"OPEN_INT","."&amp;P$2&amp;P$1&amp;"C"&amp;$A8)*RTD("tos.rtd",,"GAMMA","."&amp;P$2&amp;P$1&amp;"C"&amp;$A8)-$A$4*$A$4*RTD("tos.rtd",,"OPEN_INT","."&amp;P$2&amp;P$1&amp;"P"&amp;$A8)*RTD("tos.rtd",,"GAMMA","."&amp;P$2&amp;P$1&amp;"P"&amp;$A8))/1000000,0),IF($A$2="SKEW",IFERROR(VALUE(IF(RTD("tos.rtd",,"IMPL_VOL","."&amp;P$2&amp;P$1&amp;"P"&amp;$A8)="N/A",0,RTD("tos.rtd",,"IMPL_VOL","."&amp;P$2&amp;P$1&amp;"P"&amp;$A8))),0)-IFERROR(VALUE(IF(RTD("tos.rtd",,"IMPL_VOL","."&amp;P$2&amp;P$1&amp;"C"&amp;$A8)="N/A",0,RTD("tos.rtd",,"IMPL_VOL","."&amp;P$2&amp;P$1&amp;"C"&amp;$A8))),0),IF($A$2="MAXPAIN",IF($A$4&gt;$A8,($A$4-$A8)*IF(RTD("tos.rtd",,"OPEN_INT","."&amp;P$2&amp;P$1&amp;"C"&amp;$A8)="N/A",0,RTD("tos.rtd",,"OPEN_INT","."&amp;P$2&amp;P$1&amp;"C"&amp;$A8)),0)+IF($A$4&lt;$A8,($A8-$A$4)*IF(RTD("tos.rtd",,"OPEN_INT","."&amp;P$2&amp;P$1&amp;"P"&amp;$A8)="N/A",0,RTD("tos.rtd",,"OPEN_INT","."&amp;P$2&amp;P$1&amp;"P"&amp;$A8)),0),IF(RTD("tos.rtd",,$A$2,"."&amp;P$2&amp;P$1&amp;"C"&amp;$A8)="N/A",0,RTD("tos.rtd",,$A$2,"."&amp;P$2&amp;P$1&amp;"C"&amp;$A8))-IF(RTD("tos.rtd",,$A$2,"."&amp;P$2&amp;P$1&amp;"P"&amp;$A8)="N/A",0,RTD("tos.rtd",,$A$2,"."&amp;P$2&amp;P$1&amp;"P"&amp;$A8)))))))))</f>
        <v>0</v>
      </c>
      <c r="Q8" s="12">
        <f>IF($A$2="PREMIUM_OI",IFERROR((100*RTD("tos.rtd",,"OPEN_INT","."&amp;Q$2&amp;Q$1&amp;"C"&amp;$A8)*RTD("tos.rtd",,"LAST","."&amp;Q$2&amp;Q$1&amp;"C"&amp;$A8)-100*RTD("tos.rtd",,"OPEN_INT","."&amp;Q$2&amp;Q$1&amp;"P"&amp;$A8)*RTD("tos.rtd",,"LAST","."&amp;Q$2&amp;Q$1&amp;"P"&amp;$A8))/1000000,0),IF($A$2="PREMIUM",IFERROR((100*RTD("tos.rtd",,"VOLUME","."&amp;Q$2&amp;Q$1&amp;"C"&amp;$A8)*RTD("tos.rtd",,"LAST","."&amp;Q$2&amp;Q$1&amp;"C"&amp;$A8)-100*RTD("tos.rtd",,"VOLUME","."&amp;Q$2&amp;Q$1&amp;"P"&amp;$A8)*RTD("tos.rtd",,"LAST","."&amp;Q$2&amp;Q$1&amp;"P"&amp;$A8))/1000000,0),IF($A$2="DEX",IFERROR((100*RTD("tos.rtd",,"OPEN_INT","."&amp;Q$2&amp;Q$1&amp;"C"&amp;$A8)*RTD("tos.rtd",,"DELTA","."&amp;Q$2&amp;Q$1&amp;"C"&amp;$A8)-100*RTD("tos.rtd",,"OPEN_INT","."&amp;Q$2&amp;Q$1&amp;"P"&amp;$A8)*RTD("tos.rtd",,"DELTA","."&amp;Q$2&amp;Q$1&amp;"P"&amp;$A8))/1000,0),IF($A$2="VEX",IFERROR(($A$4*$A$4*RTD("tos.rtd",,"VOLUME","."&amp;Q$2&amp;Q$1&amp;"C"&amp;$A8)*RTD("tos.rtd",,"GAMMA","."&amp;Q$2&amp;Q$1&amp;"C"&amp;$A8)-$A$4*$A$4*RTD("tos.rtd",,"VOLUME","."&amp;Q$2&amp;Q$1&amp;"P"&amp;$A8)*RTD("tos.rtd",,"GAMMA","."&amp;Q$2&amp;Q$1&amp;"P"&amp;$A8))/1000000,0),IF($A$2="GEX",IFERROR(($A$4*$A$4*RTD("tos.rtd",,"OPEN_INT","."&amp;Q$2&amp;Q$1&amp;"C"&amp;$A8)*RTD("tos.rtd",,"GAMMA","."&amp;Q$2&amp;Q$1&amp;"C"&amp;$A8)-$A$4*$A$4*RTD("tos.rtd",,"OPEN_INT","."&amp;Q$2&amp;Q$1&amp;"P"&amp;$A8)*RTD("tos.rtd",,"GAMMA","."&amp;Q$2&amp;Q$1&amp;"P"&amp;$A8))/1000000,0),IF($A$2="SKEW",IFERROR(VALUE(IF(RTD("tos.rtd",,"IMPL_VOL","."&amp;Q$2&amp;Q$1&amp;"P"&amp;$A8)="N/A",0,RTD("tos.rtd",,"IMPL_VOL","."&amp;Q$2&amp;Q$1&amp;"P"&amp;$A8))),0)-IFERROR(VALUE(IF(RTD("tos.rtd",,"IMPL_VOL","."&amp;Q$2&amp;Q$1&amp;"C"&amp;$A8)="N/A",0,RTD("tos.rtd",,"IMPL_VOL","."&amp;Q$2&amp;Q$1&amp;"C"&amp;$A8))),0),IF($A$2="MAXPAIN",IF($A$4&gt;$A8,($A$4-$A8)*IF(RTD("tos.rtd",,"OPEN_INT","."&amp;Q$2&amp;Q$1&amp;"C"&amp;$A8)="N/A",0,RTD("tos.rtd",,"OPEN_INT","."&amp;Q$2&amp;Q$1&amp;"C"&amp;$A8)),0)+IF($A$4&lt;$A8,($A8-$A$4)*IF(RTD("tos.rtd",,"OPEN_INT","."&amp;Q$2&amp;Q$1&amp;"P"&amp;$A8)="N/A",0,RTD("tos.rtd",,"OPEN_INT","."&amp;Q$2&amp;Q$1&amp;"P"&amp;$A8)),0),IF(RTD("tos.rtd",,$A$2,"."&amp;Q$2&amp;Q$1&amp;"C"&amp;$A8)="N/A",0,RTD("tos.rtd",,$A$2,"."&amp;Q$2&amp;Q$1&amp;"C"&amp;$A8))-IF(RTD("tos.rtd",,$A$2,"."&amp;Q$2&amp;Q$1&amp;"P"&amp;$A8)="N/A",0,RTD("tos.rtd",,$A$2,"."&amp;Q$2&amp;Q$1&amp;"P"&amp;$A8)))))))))</f>
        <v>0</v>
      </c>
      <c r="R8" s="12">
        <f>IF($A$2="PREMIUM_OI",IFERROR((100*RTD("tos.rtd",,"OPEN_INT","."&amp;R$2&amp;R$1&amp;"C"&amp;$A8)*RTD("tos.rtd",,"LAST","."&amp;R$2&amp;R$1&amp;"C"&amp;$A8)-100*RTD("tos.rtd",,"OPEN_INT","."&amp;R$2&amp;R$1&amp;"P"&amp;$A8)*RTD("tos.rtd",,"LAST","."&amp;R$2&amp;R$1&amp;"P"&amp;$A8))/1000000,0),IF($A$2="PREMIUM",IFERROR((100*RTD("tos.rtd",,"VOLUME","."&amp;R$2&amp;R$1&amp;"C"&amp;$A8)*RTD("tos.rtd",,"LAST","."&amp;R$2&amp;R$1&amp;"C"&amp;$A8)-100*RTD("tos.rtd",,"VOLUME","."&amp;R$2&amp;R$1&amp;"P"&amp;$A8)*RTD("tos.rtd",,"LAST","."&amp;R$2&amp;R$1&amp;"P"&amp;$A8))/1000000,0),IF($A$2="DEX",IFERROR((100*RTD("tos.rtd",,"OPEN_INT","."&amp;R$2&amp;R$1&amp;"C"&amp;$A8)*RTD("tos.rtd",,"DELTA","."&amp;R$2&amp;R$1&amp;"C"&amp;$A8)-100*RTD("tos.rtd",,"OPEN_INT","."&amp;R$2&amp;R$1&amp;"P"&amp;$A8)*RTD("tos.rtd",,"DELTA","."&amp;R$2&amp;R$1&amp;"P"&amp;$A8))/1000,0),IF($A$2="VEX",IFERROR(($A$4*$A$4*RTD("tos.rtd",,"VOLUME","."&amp;R$2&amp;R$1&amp;"C"&amp;$A8)*RTD("tos.rtd",,"GAMMA","."&amp;R$2&amp;R$1&amp;"C"&amp;$A8)-$A$4*$A$4*RTD("tos.rtd",,"VOLUME","."&amp;R$2&amp;R$1&amp;"P"&amp;$A8)*RTD("tos.rtd",,"GAMMA","."&amp;R$2&amp;R$1&amp;"P"&amp;$A8))/1000000,0),IF($A$2="GEX",IFERROR(($A$4*$A$4*RTD("tos.rtd",,"OPEN_INT","."&amp;R$2&amp;R$1&amp;"C"&amp;$A8)*RTD("tos.rtd",,"GAMMA","."&amp;R$2&amp;R$1&amp;"C"&amp;$A8)-$A$4*$A$4*RTD("tos.rtd",,"OPEN_INT","."&amp;R$2&amp;R$1&amp;"P"&amp;$A8)*RTD("tos.rtd",,"GAMMA","."&amp;R$2&amp;R$1&amp;"P"&amp;$A8))/1000000,0),IF($A$2="SKEW",IFERROR(VALUE(IF(RTD("tos.rtd",,"IMPL_VOL","."&amp;R$2&amp;R$1&amp;"P"&amp;$A8)="N/A",0,RTD("tos.rtd",,"IMPL_VOL","."&amp;R$2&amp;R$1&amp;"P"&amp;$A8))),0)-IFERROR(VALUE(IF(RTD("tos.rtd",,"IMPL_VOL","."&amp;R$2&amp;R$1&amp;"C"&amp;$A8)="N/A",0,RTD("tos.rtd",,"IMPL_VOL","."&amp;R$2&amp;R$1&amp;"C"&amp;$A8))),0),IF($A$2="MAXPAIN",IF($A$4&gt;$A8,($A$4-$A8)*IF(RTD("tos.rtd",,"OPEN_INT","."&amp;R$2&amp;R$1&amp;"C"&amp;$A8)="N/A",0,RTD("tos.rtd",,"OPEN_INT","."&amp;R$2&amp;R$1&amp;"C"&amp;$A8)),0)+IF($A$4&lt;$A8,($A8-$A$4)*IF(RTD("tos.rtd",,"OPEN_INT","."&amp;R$2&amp;R$1&amp;"P"&amp;$A8)="N/A",0,RTD("tos.rtd",,"OPEN_INT","."&amp;R$2&amp;R$1&amp;"P"&amp;$A8)),0),IF(RTD("tos.rtd",,$A$2,"."&amp;R$2&amp;R$1&amp;"C"&amp;$A8)="N/A",0,RTD("tos.rtd",,$A$2,"."&amp;R$2&amp;R$1&amp;"C"&amp;$A8))-IF(RTD("tos.rtd",,$A$2,"."&amp;R$2&amp;R$1&amp;"P"&amp;$A8)="N/A",0,RTD("tos.rtd",,$A$2,"."&amp;R$2&amp;R$1&amp;"P"&amp;$A8)))))))))</f>
        <v>2543</v>
      </c>
      <c r="S8" s="12">
        <f>IF($A$2="PREMIUM_OI",IFERROR((100*RTD("tos.rtd",,"OPEN_INT","."&amp;S$2&amp;S$1&amp;"C"&amp;$A8)*RTD("tos.rtd",,"LAST","."&amp;S$2&amp;S$1&amp;"C"&amp;$A8)-100*RTD("tos.rtd",,"OPEN_INT","."&amp;S$2&amp;S$1&amp;"P"&amp;$A8)*RTD("tos.rtd",,"LAST","."&amp;S$2&amp;S$1&amp;"P"&amp;$A8))/1000000,0),IF($A$2="PREMIUM",IFERROR((100*RTD("tos.rtd",,"VOLUME","."&amp;S$2&amp;S$1&amp;"C"&amp;$A8)*RTD("tos.rtd",,"LAST","."&amp;S$2&amp;S$1&amp;"C"&amp;$A8)-100*RTD("tos.rtd",,"VOLUME","."&amp;S$2&amp;S$1&amp;"P"&amp;$A8)*RTD("tos.rtd",,"LAST","."&amp;S$2&amp;S$1&amp;"P"&amp;$A8))/1000000,0),IF($A$2="DEX",IFERROR((100*RTD("tos.rtd",,"OPEN_INT","."&amp;S$2&amp;S$1&amp;"C"&amp;$A8)*RTD("tos.rtd",,"DELTA","."&amp;S$2&amp;S$1&amp;"C"&amp;$A8)-100*RTD("tos.rtd",,"OPEN_INT","."&amp;S$2&amp;S$1&amp;"P"&amp;$A8)*RTD("tos.rtd",,"DELTA","."&amp;S$2&amp;S$1&amp;"P"&amp;$A8))/1000,0),IF($A$2="VEX",IFERROR(($A$4*$A$4*RTD("tos.rtd",,"VOLUME","."&amp;S$2&amp;S$1&amp;"C"&amp;$A8)*RTD("tos.rtd",,"GAMMA","."&amp;S$2&amp;S$1&amp;"C"&amp;$A8)-$A$4*$A$4*RTD("tos.rtd",,"VOLUME","."&amp;S$2&amp;S$1&amp;"P"&amp;$A8)*RTD("tos.rtd",,"GAMMA","."&amp;S$2&amp;S$1&amp;"P"&amp;$A8))/1000000,0),IF($A$2="GEX",IFERROR(($A$4*$A$4*RTD("tos.rtd",,"OPEN_INT","."&amp;S$2&amp;S$1&amp;"C"&amp;$A8)*RTD("tos.rtd",,"GAMMA","."&amp;S$2&amp;S$1&amp;"C"&amp;$A8)-$A$4*$A$4*RTD("tos.rtd",,"OPEN_INT","."&amp;S$2&amp;S$1&amp;"P"&amp;$A8)*RTD("tos.rtd",,"GAMMA","."&amp;S$2&amp;S$1&amp;"P"&amp;$A8))/1000000,0),IF($A$2="SKEW",IFERROR(VALUE(IF(RTD("tos.rtd",,"IMPL_VOL","."&amp;S$2&amp;S$1&amp;"P"&amp;$A8)="N/A",0,RTD("tos.rtd",,"IMPL_VOL","."&amp;S$2&amp;S$1&amp;"P"&amp;$A8))),0)-IFERROR(VALUE(IF(RTD("tos.rtd",,"IMPL_VOL","."&amp;S$2&amp;S$1&amp;"C"&amp;$A8)="N/A",0,RTD("tos.rtd",,"IMPL_VOL","."&amp;S$2&amp;S$1&amp;"C"&amp;$A8))),0),IF($A$2="MAXPAIN",IF($A$4&gt;$A8,($A$4-$A8)*IF(RTD("tos.rtd",,"OPEN_INT","."&amp;S$2&amp;S$1&amp;"C"&amp;$A8)="N/A",0,RTD("tos.rtd",,"OPEN_INT","."&amp;S$2&amp;S$1&amp;"C"&amp;$A8)),0)+IF($A$4&lt;$A8,($A8-$A$4)*IF(RTD("tos.rtd",,"OPEN_INT","."&amp;S$2&amp;S$1&amp;"P"&amp;$A8)="N/A",0,RTD("tos.rtd",,"OPEN_INT","."&amp;S$2&amp;S$1&amp;"P"&amp;$A8)),0),IF(RTD("tos.rtd",,$A$2,"."&amp;S$2&amp;S$1&amp;"C"&amp;$A8)="N/A",0,RTD("tos.rtd",,$A$2,"."&amp;S$2&amp;S$1&amp;"C"&amp;$A8))-IF(RTD("tos.rtd",,$A$2,"."&amp;S$2&amp;S$1&amp;"P"&amp;$A8)="N/A",0,RTD("tos.rtd",,$A$2,"."&amp;S$2&amp;S$1&amp;"P"&amp;$A8)))))))))</f>
        <v>561</v>
      </c>
      <c r="T8" s="12">
        <f>IF($A$2="PREMIUM_OI",IFERROR((100*RTD("tos.rtd",,"OPEN_INT","."&amp;T$2&amp;T$1&amp;"C"&amp;$A8)*RTD("tos.rtd",,"LAST","."&amp;T$2&amp;T$1&amp;"C"&amp;$A8)-100*RTD("tos.rtd",,"OPEN_INT","."&amp;T$2&amp;T$1&amp;"P"&amp;$A8)*RTD("tos.rtd",,"LAST","."&amp;T$2&amp;T$1&amp;"P"&amp;$A8))/1000000,0),IF($A$2="PREMIUM",IFERROR((100*RTD("tos.rtd",,"VOLUME","."&amp;T$2&amp;T$1&amp;"C"&amp;$A8)*RTD("tos.rtd",,"LAST","."&amp;T$2&amp;T$1&amp;"C"&amp;$A8)-100*RTD("tos.rtd",,"VOLUME","."&amp;T$2&amp;T$1&amp;"P"&amp;$A8)*RTD("tos.rtd",,"LAST","."&amp;T$2&amp;T$1&amp;"P"&amp;$A8))/1000000,0),IF($A$2="DEX",IFERROR((100*RTD("tos.rtd",,"OPEN_INT","."&amp;T$2&amp;T$1&amp;"C"&amp;$A8)*RTD("tos.rtd",,"DELTA","."&amp;T$2&amp;T$1&amp;"C"&amp;$A8)-100*RTD("tos.rtd",,"OPEN_INT","."&amp;T$2&amp;T$1&amp;"P"&amp;$A8)*RTD("tos.rtd",,"DELTA","."&amp;T$2&amp;T$1&amp;"P"&amp;$A8))/1000,0),IF($A$2="VEX",IFERROR(($A$4*$A$4*RTD("tos.rtd",,"VOLUME","."&amp;T$2&amp;T$1&amp;"C"&amp;$A8)*RTD("tos.rtd",,"GAMMA","."&amp;T$2&amp;T$1&amp;"C"&amp;$A8)-$A$4*$A$4*RTD("tos.rtd",,"VOLUME","."&amp;T$2&amp;T$1&amp;"P"&amp;$A8)*RTD("tos.rtd",,"GAMMA","."&amp;T$2&amp;T$1&amp;"P"&amp;$A8))/1000000,0),IF($A$2="GEX",IFERROR(($A$4*$A$4*RTD("tos.rtd",,"OPEN_INT","."&amp;T$2&amp;T$1&amp;"C"&amp;$A8)*RTD("tos.rtd",,"GAMMA","."&amp;T$2&amp;T$1&amp;"C"&amp;$A8)-$A$4*$A$4*RTD("tos.rtd",,"OPEN_INT","."&amp;T$2&amp;T$1&amp;"P"&amp;$A8)*RTD("tos.rtd",,"GAMMA","."&amp;T$2&amp;T$1&amp;"P"&amp;$A8))/1000000,0),IF($A$2="SKEW",IFERROR(VALUE(IF(RTD("tos.rtd",,"IMPL_VOL","."&amp;T$2&amp;T$1&amp;"P"&amp;$A8)="N/A",0,RTD("tos.rtd",,"IMPL_VOL","."&amp;T$2&amp;T$1&amp;"P"&amp;$A8))),0)-IFERROR(VALUE(IF(RTD("tos.rtd",,"IMPL_VOL","."&amp;T$2&amp;T$1&amp;"C"&amp;$A8)="N/A",0,RTD("tos.rtd",,"IMPL_VOL","."&amp;T$2&amp;T$1&amp;"C"&amp;$A8))),0),IF($A$2="MAXPAIN",IF($A$4&gt;$A8,($A$4-$A8)*IF(RTD("tos.rtd",,"OPEN_INT","."&amp;T$2&amp;T$1&amp;"C"&amp;$A8)="N/A",0,RTD("tos.rtd",,"OPEN_INT","."&amp;T$2&amp;T$1&amp;"C"&amp;$A8)),0)+IF($A$4&lt;$A8,($A8-$A$4)*IF(RTD("tos.rtd",,"OPEN_INT","."&amp;T$2&amp;T$1&amp;"P"&amp;$A8)="N/A",0,RTD("tos.rtd",,"OPEN_INT","."&amp;T$2&amp;T$1&amp;"P"&amp;$A8)),0),IF(RTD("tos.rtd",,$A$2,"."&amp;T$2&amp;T$1&amp;"C"&amp;$A8)="N/A",0,RTD("tos.rtd",,$A$2,"."&amp;T$2&amp;T$1&amp;"C"&amp;$A8))-IF(RTD("tos.rtd",,$A$2,"."&amp;T$2&amp;T$1&amp;"P"&amp;$A8)="N/A",0,RTD("tos.rtd",,$A$2,"."&amp;T$2&amp;T$1&amp;"P"&amp;$A8)))))))))</f>
        <v>0</v>
      </c>
      <c r="U8" s="12">
        <f>IF($A$2="PREMIUM_OI",IFERROR((100*RTD("tos.rtd",,"OPEN_INT","."&amp;U$2&amp;U$1&amp;"C"&amp;$A8)*RTD("tos.rtd",,"LAST","."&amp;U$2&amp;U$1&amp;"C"&amp;$A8)-100*RTD("tos.rtd",,"OPEN_INT","."&amp;U$2&amp;U$1&amp;"P"&amp;$A8)*RTD("tos.rtd",,"LAST","."&amp;U$2&amp;U$1&amp;"P"&amp;$A8))/1000000,0),IF($A$2="PREMIUM",IFERROR((100*RTD("tos.rtd",,"VOLUME","."&amp;U$2&amp;U$1&amp;"C"&amp;$A8)*RTD("tos.rtd",,"LAST","."&amp;U$2&amp;U$1&amp;"C"&amp;$A8)-100*RTD("tos.rtd",,"VOLUME","."&amp;U$2&amp;U$1&amp;"P"&amp;$A8)*RTD("tos.rtd",,"LAST","."&amp;U$2&amp;U$1&amp;"P"&amp;$A8))/1000000,0),IF($A$2="DEX",IFERROR((100*RTD("tos.rtd",,"OPEN_INT","."&amp;U$2&amp;U$1&amp;"C"&amp;$A8)*RTD("tos.rtd",,"DELTA","."&amp;U$2&amp;U$1&amp;"C"&amp;$A8)-100*RTD("tos.rtd",,"OPEN_INT","."&amp;U$2&amp;U$1&amp;"P"&amp;$A8)*RTD("tos.rtd",,"DELTA","."&amp;U$2&amp;U$1&amp;"P"&amp;$A8))/1000,0),IF($A$2="VEX",IFERROR(($A$4*$A$4*RTD("tos.rtd",,"VOLUME","."&amp;U$2&amp;U$1&amp;"C"&amp;$A8)*RTD("tos.rtd",,"GAMMA","."&amp;U$2&amp;U$1&amp;"C"&amp;$A8)-$A$4*$A$4*RTD("tos.rtd",,"VOLUME","."&amp;U$2&amp;U$1&amp;"P"&amp;$A8)*RTD("tos.rtd",,"GAMMA","."&amp;U$2&amp;U$1&amp;"P"&amp;$A8))/1000000,0),IF($A$2="GEX",IFERROR(($A$4*$A$4*RTD("tos.rtd",,"OPEN_INT","."&amp;U$2&amp;U$1&amp;"C"&amp;$A8)*RTD("tos.rtd",,"GAMMA","."&amp;U$2&amp;U$1&amp;"C"&amp;$A8)-$A$4*$A$4*RTD("tos.rtd",,"OPEN_INT","."&amp;U$2&amp;U$1&amp;"P"&amp;$A8)*RTD("tos.rtd",,"GAMMA","."&amp;U$2&amp;U$1&amp;"P"&amp;$A8))/1000000,0),IF($A$2="SKEW",IFERROR(VALUE(IF(RTD("tos.rtd",,"IMPL_VOL","."&amp;U$2&amp;U$1&amp;"P"&amp;$A8)="N/A",0,RTD("tos.rtd",,"IMPL_VOL","."&amp;U$2&amp;U$1&amp;"P"&amp;$A8))),0)-IFERROR(VALUE(IF(RTD("tos.rtd",,"IMPL_VOL","."&amp;U$2&amp;U$1&amp;"C"&amp;$A8)="N/A",0,RTD("tos.rtd",,"IMPL_VOL","."&amp;U$2&amp;U$1&amp;"C"&amp;$A8))),0),IF($A$2="MAXPAIN",IF($A$4&gt;$A8,($A$4-$A8)*IF(RTD("tos.rtd",,"OPEN_INT","."&amp;U$2&amp;U$1&amp;"C"&amp;$A8)="N/A",0,RTD("tos.rtd",,"OPEN_INT","."&amp;U$2&amp;U$1&amp;"C"&amp;$A8)),0)+IF($A$4&lt;$A8,($A8-$A$4)*IF(RTD("tos.rtd",,"OPEN_INT","."&amp;U$2&amp;U$1&amp;"P"&amp;$A8)="N/A",0,RTD("tos.rtd",,"OPEN_INT","."&amp;U$2&amp;U$1&amp;"P"&amp;$A8)),0),IF(RTD("tos.rtd",,$A$2,"."&amp;U$2&amp;U$1&amp;"C"&amp;$A8)="N/A",0,RTD("tos.rtd",,$A$2,"."&amp;U$2&amp;U$1&amp;"C"&amp;$A8))-IF(RTD("tos.rtd",,$A$2,"."&amp;U$2&amp;U$1&amp;"P"&amp;$A8)="N/A",0,RTD("tos.rtd",,$A$2,"."&amp;U$2&amp;U$1&amp;"P"&amp;$A8)))))))))</f>
        <v>0</v>
      </c>
      <c r="V8" s="12">
        <f>IF($A$2="PREMIUM_OI",IFERROR((100*RTD("tos.rtd",,"OPEN_INT","."&amp;V$2&amp;V$1&amp;"C"&amp;$A8)*RTD("tos.rtd",,"LAST","."&amp;V$2&amp;V$1&amp;"C"&amp;$A8)-100*RTD("tos.rtd",,"OPEN_INT","."&amp;V$2&amp;V$1&amp;"P"&amp;$A8)*RTD("tos.rtd",,"LAST","."&amp;V$2&amp;V$1&amp;"P"&amp;$A8))/1000000,0),IF($A$2="PREMIUM",IFERROR((100*RTD("tos.rtd",,"VOLUME","."&amp;V$2&amp;V$1&amp;"C"&amp;$A8)*RTD("tos.rtd",,"LAST","."&amp;V$2&amp;V$1&amp;"C"&amp;$A8)-100*RTD("tos.rtd",,"VOLUME","."&amp;V$2&amp;V$1&amp;"P"&amp;$A8)*RTD("tos.rtd",,"LAST","."&amp;V$2&amp;V$1&amp;"P"&amp;$A8))/1000000,0),IF($A$2="DEX",IFERROR((100*RTD("tos.rtd",,"OPEN_INT","."&amp;V$2&amp;V$1&amp;"C"&amp;$A8)*RTD("tos.rtd",,"DELTA","."&amp;V$2&amp;V$1&amp;"C"&amp;$A8)-100*RTD("tos.rtd",,"OPEN_INT","."&amp;V$2&amp;V$1&amp;"P"&amp;$A8)*RTD("tos.rtd",,"DELTA","."&amp;V$2&amp;V$1&amp;"P"&amp;$A8))/1000,0),IF($A$2="VEX",IFERROR(($A$4*$A$4*RTD("tos.rtd",,"VOLUME","."&amp;V$2&amp;V$1&amp;"C"&amp;$A8)*RTD("tos.rtd",,"GAMMA","."&amp;V$2&amp;V$1&amp;"C"&amp;$A8)-$A$4*$A$4*RTD("tos.rtd",,"VOLUME","."&amp;V$2&amp;V$1&amp;"P"&amp;$A8)*RTD("tos.rtd",,"GAMMA","."&amp;V$2&amp;V$1&amp;"P"&amp;$A8))/1000000,0),IF($A$2="GEX",IFERROR(($A$4*$A$4*RTD("tos.rtd",,"OPEN_INT","."&amp;V$2&amp;V$1&amp;"C"&amp;$A8)*RTD("tos.rtd",,"GAMMA","."&amp;V$2&amp;V$1&amp;"C"&amp;$A8)-$A$4*$A$4*RTD("tos.rtd",,"OPEN_INT","."&amp;V$2&amp;V$1&amp;"P"&amp;$A8)*RTD("tos.rtd",,"GAMMA","."&amp;V$2&amp;V$1&amp;"P"&amp;$A8))/1000000,0),IF($A$2="SKEW",IFERROR(VALUE(IF(RTD("tos.rtd",,"IMPL_VOL","."&amp;V$2&amp;V$1&amp;"P"&amp;$A8)="N/A",0,RTD("tos.rtd",,"IMPL_VOL","."&amp;V$2&amp;V$1&amp;"P"&amp;$A8))),0)-IFERROR(VALUE(IF(RTD("tos.rtd",,"IMPL_VOL","."&amp;V$2&amp;V$1&amp;"C"&amp;$A8)="N/A",0,RTD("tos.rtd",,"IMPL_VOL","."&amp;V$2&amp;V$1&amp;"C"&amp;$A8))),0),IF($A$2="MAXPAIN",IF($A$4&gt;$A8,($A$4-$A8)*IF(RTD("tos.rtd",,"OPEN_INT","."&amp;V$2&amp;V$1&amp;"C"&amp;$A8)="N/A",0,RTD("tos.rtd",,"OPEN_INT","."&amp;V$2&amp;V$1&amp;"C"&amp;$A8)),0)+IF($A$4&lt;$A8,($A8-$A$4)*IF(RTD("tos.rtd",,"OPEN_INT","."&amp;V$2&amp;V$1&amp;"P"&amp;$A8)="N/A",0,RTD("tos.rtd",,"OPEN_INT","."&amp;V$2&amp;V$1&amp;"P"&amp;$A8)),0),IF(RTD("tos.rtd",,$A$2,"."&amp;V$2&amp;V$1&amp;"C"&amp;$A8)="N/A",0,RTD("tos.rtd",,$A$2,"."&amp;V$2&amp;V$1&amp;"C"&amp;$A8))-IF(RTD("tos.rtd",,$A$2,"."&amp;V$2&amp;V$1&amp;"P"&amp;$A8)="N/A",0,RTD("tos.rtd",,$A$2,"."&amp;V$2&amp;V$1&amp;"P"&amp;$A8)))))))))</f>
        <v>0</v>
      </c>
      <c r="W8" s="12">
        <f>IF($A$2="PREMIUM_OI",IFERROR((100*RTD("tos.rtd",,"OPEN_INT","."&amp;W$2&amp;W$1&amp;"C"&amp;$A8)*RTD("tos.rtd",,"LAST","."&amp;W$2&amp;W$1&amp;"C"&amp;$A8)-100*RTD("tos.rtd",,"OPEN_INT","."&amp;W$2&amp;W$1&amp;"P"&amp;$A8)*RTD("tos.rtd",,"LAST","."&amp;W$2&amp;W$1&amp;"P"&amp;$A8))/1000000,0),IF($A$2="PREMIUM",IFERROR((100*RTD("tos.rtd",,"VOLUME","."&amp;W$2&amp;W$1&amp;"C"&amp;$A8)*RTD("tos.rtd",,"LAST","."&amp;W$2&amp;W$1&amp;"C"&amp;$A8)-100*RTD("tos.rtd",,"VOLUME","."&amp;W$2&amp;W$1&amp;"P"&amp;$A8)*RTD("tos.rtd",,"LAST","."&amp;W$2&amp;W$1&amp;"P"&amp;$A8))/1000000,0),IF($A$2="DEX",IFERROR((100*RTD("tos.rtd",,"OPEN_INT","."&amp;W$2&amp;W$1&amp;"C"&amp;$A8)*RTD("tos.rtd",,"DELTA","."&amp;W$2&amp;W$1&amp;"C"&amp;$A8)-100*RTD("tos.rtd",,"OPEN_INT","."&amp;W$2&amp;W$1&amp;"P"&amp;$A8)*RTD("tos.rtd",,"DELTA","."&amp;W$2&amp;W$1&amp;"P"&amp;$A8))/1000,0),IF($A$2="VEX",IFERROR(($A$4*$A$4*RTD("tos.rtd",,"VOLUME","."&amp;W$2&amp;W$1&amp;"C"&amp;$A8)*RTD("tos.rtd",,"GAMMA","."&amp;W$2&amp;W$1&amp;"C"&amp;$A8)-$A$4*$A$4*RTD("tos.rtd",,"VOLUME","."&amp;W$2&amp;W$1&amp;"P"&amp;$A8)*RTD("tos.rtd",,"GAMMA","."&amp;W$2&amp;W$1&amp;"P"&amp;$A8))/1000000,0),IF($A$2="GEX",IFERROR(($A$4*$A$4*RTD("tos.rtd",,"OPEN_INT","."&amp;W$2&amp;W$1&amp;"C"&amp;$A8)*RTD("tos.rtd",,"GAMMA","."&amp;W$2&amp;W$1&amp;"C"&amp;$A8)-$A$4*$A$4*RTD("tos.rtd",,"OPEN_INT","."&amp;W$2&amp;W$1&amp;"P"&amp;$A8)*RTD("tos.rtd",,"GAMMA","."&amp;W$2&amp;W$1&amp;"P"&amp;$A8))/1000000,0),IF($A$2="SKEW",IFERROR(VALUE(IF(RTD("tos.rtd",,"IMPL_VOL","."&amp;W$2&amp;W$1&amp;"P"&amp;$A8)="N/A",0,RTD("tos.rtd",,"IMPL_VOL","."&amp;W$2&amp;W$1&amp;"P"&amp;$A8))),0)-IFERROR(VALUE(IF(RTD("tos.rtd",,"IMPL_VOL","."&amp;W$2&amp;W$1&amp;"C"&amp;$A8)="N/A",0,RTD("tos.rtd",,"IMPL_VOL","."&amp;W$2&amp;W$1&amp;"C"&amp;$A8))),0),IF($A$2="MAXPAIN",IF($A$4&gt;$A8,($A$4-$A8)*IF(RTD("tos.rtd",,"OPEN_INT","."&amp;W$2&amp;W$1&amp;"C"&amp;$A8)="N/A",0,RTD("tos.rtd",,"OPEN_INT","."&amp;W$2&amp;W$1&amp;"C"&amp;$A8)),0)+IF($A$4&lt;$A8,($A8-$A$4)*IF(RTD("tos.rtd",,"OPEN_INT","."&amp;W$2&amp;W$1&amp;"P"&amp;$A8)="N/A",0,RTD("tos.rtd",,"OPEN_INT","."&amp;W$2&amp;W$1&amp;"P"&amp;$A8)),0),IF(RTD("tos.rtd",,$A$2,"."&amp;W$2&amp;W$1&amp;"C"&amp;$A8)="N/A",0,RTD("tos.rtd",,$A$2,"."&amp;W$2&amp;W$1&amp;"C"&amp;$A8))-IF(RTD("tos.rtd",,$A$2,"."&amp;W$2&amp;W$1&amp;"P"&amp;$A8)="N/A",0,RTD("tos.rtd",,$A$2,"."&amp;W$2&amp;W$1&amp;"P"&amp;$A8)))))))))</f>
        <v>3879</v>
      </c>
      <c r="X8" s="12">
        <f t="shared" ca="1" si="7"/>
        <v>4440</v>
      </c>
      <c r="Y8" s="27">
        <f t="shared" ca="1" si="8"/>
        <v>4440</v>
      </c>
      <c r="AA8" s="35">
        <f t="shared" si="5"/>
        <v>7</v>
      </c>
      <c r="AB8" s="8">
        <f>+IF($AJ$1,AK8,TASTYOHLC!B8)</f>
        <v>611.4</v>
      </c>
      <c r="AC8" s="8">
        <f>+IF($AJ$1,AL8,TASTYOHLC!C8)</f>
        <v>613.17999999999995</v>
      </c>
      <c r="AD8" s="8">
        <f>+IF($AJ$1,AM8,TASTYOHLC!D8)</f>
        <v>589.04999999999995</v>
      </c>
      <c r="AE8" s="8">
        <f>+IF($AJ$1,AN8,TASTYOHLC!E8)</f>
        <v>589.5</v>
      </c>
      <c r="AF8" s="8"/>
      <c r="AJ8" s="37">
        <v>45940</v>
      </c>
      <c r="AK8" s="50">
        <v>611.4</v>
      </c>
      <c r="AL8" s="50">
        <v>613.17999999999995</v>
      </c>
      <c r="AM8" s="50">
        <v>589.04999999999995</v>
      </c>
      <c r="AN8" s="50">
        <v>589.5</v>
      </c>
      <c r="AO8" s="51">
        <v>159422589</v>
      </c>
    </row>
    <row r="9" spans="1:41" s="19" customFormat="1" ht="11.1" customHeight="1" thickBot="1" x14ac:dyDescent="0.3">
      <c r="A9" s="23">
        <f t="shared" si="6"/>
        <v>17.5</v>
      </c>
      <c r="B9" s="14">
        <f>IF($A$2="PREMIUM_OI",IFERROR((100*RTD("tos.rtd",,"OPEN_INT","."&amp;B$2&amp;B$1&amp;"C"&amp;$A9)*RTD("tos.rtd",,"LAST","."&amp;B$2&amp;B$1&amp;"C"&amp;$A9)-100*RTD("tos.rtd",,"OPEN_INT","."&amp;B$2&amp;B$1&amp;"P"&amp;$A9)*RTD("tos.rtd",,"LAST","."&amp;B$2&amp;B$1&amp;"P"&amp;$A9))/1000000,0),IF($A$2="PREMIUM",IFERROR((100*RTD("tos.rtd",,"VOLUME","."&amp;B$2&amp;B$1&amp;"C"&amp;$A9)*RTD("tos.rtd",,"LAST","."&amp;B$2&amp;B$1&amp;"C"&amp;$A9)-100*RTD("tos.rtd",,"VOLUME","."&amp;B$2&amp;B$1&amp;"P"&amp;$A9)*RTD("tos.rtd",,"LAST","."&amp;B$2&amp;B$1&amp;"P"&amp;$A9))/1000000,0),IF($A$2="DEX",IFERROR((100*RTD("tos.rtd",,"OPEN_INT","."&amp;B$2&amp;B$1&amp;"C"&amp;$A9)*RTD("tos.rtd",,"DELTA","."&amp;B$2&amp;B$1&amp;"C"&amp;$A9)-100*RTD("tos.rtd",,"OPEN_INT","."&amp;B$2&amp;B$1&amp;"P"&amp;$A9)*RTD("tos.rtd",,"DELTA","."&amp;B$2&amp;B$1&amp;"P"&amp;$A9))/1000,0),IF($A$2="VEX",IFERROR(($A$4*$A$4*RTD("tos.rtd",,"VOLUME","."&amp;B$2&amp;B$1&amp;"C"&amp;$A9)*RTD("tos.rtd",,"GAMMA","."&amp;B$2&amp;B$1&amp;"C"&amp;$A9)-$A$4*$A$4*RTD("tos.rtd",,"VOLUME","."&amp;B$2&amp;B$1&amp;"P"&amp;$A9)*RTD("tos.rtd",,"GAMMA","."&amp;B$2&amp;B$1&amp;"P"&amp;$A9))/1000000,0),IF($A$2="GEX",IFERROR(($A$4*$A$4*RTD("tos.rtd",,"OPEN_INT","."&amp;B$2&amp;B$1&amp;"C"&amp;$A9)*RTD("tos.rtd",,"GAMMA","."&amp;B$2&amp;B$1&amp;"C"&amp;$A9)-$A$4*$A$4*RTD("tos.rtd",,"OPEN_INT","."&amp;B$2&amp;B$1&amp;"P"&amp;$A9)*RTD("tos.rtd",,"GAMMA","."&amp;B$2&amp;B$1&amp;"P"&amp;$A9))/1000000,0),IF($A$2="SKEW",IFERROR(VALUE(IF(RTD("tos.rtd",,"IMPL_VOL","."&amp;B$2&amp;B$1&amp;"P"&amp;$A9)="N/A",0,RTD("tos.rtd",,"IMPL_VOL","."&amp;B$2&amp;B$1&amp;"P"&amp;$A9))),0)-IFERROR(VALUE(IF(RTD("tos.rtd",,"IMPL_VOL","."&amp;B$2&amp;B$1&amp;"C"&amp;$A9)="N/A",0,RTD("tos.rtd",,"IMPL_VOL","."&amp;B$2&amp;B$1&amp;"C"&amp;$A9))),0),IF($A$2="MAXPAIN",IF($A$4&gt;$A9,($A$4-$A9)*IF(RTD("tos.rtd",,"OPEN_INT","."&amp;B$2&amp;B$1&amp;"C"&amp;$A9)="N/A",0,RTD("tos.rtd",,"OPEN_INT","."&amp;B$2&amp;B$1&amp;"C"&amp;$A9)),0)+IF($A$4&lt;$A9,($A9-$A$4)*IF(RTD("tos.rtd",,"OPEN_INT","."&amp;B$2&amp;B$1&amp;"P"&amp;$A9)="N/A",0,RTD("tos.rtd",,"OPEN_INT","."&amp;B$2&amp;B$1&amp;"P"&amp;$A9)),0),IF(RTD("tos.rtd",,$A$2,"."&amp;B$2&amp;B$1&amp;"C"&amp;$A9)="N/A",0,RTD("tos.rtd",,$A$2,"."&amp;B$2&amp;B$1&amp;"C"&amp;$A9))-IF(RTD("tos.rtd",,$A$2,"."&amp;B$2&amp;B$1&amp;"P"&amp;$A9)="N/A",0,RTD("tos.rtd",,$A$2,"."&amp;B$2&amp;B$1&amp;"P"&amp;$A9)))))))))</f>
        <v>0</v>
      </c>
      <c r="C9" s="12">
        <f>IF($A$2="PREMIUM_OI",IFERROR((100*RTD("tos.rtd",,"OPEN_INT","."&amp;C$2&amp;C$1&amp;"C"&amp;$A9)*RTD("tos.rtd",,"LAST","."&amp;C$2&amp;C$1&amp;"C"&amp;$A9)-100*RTD("tos.rtd",,"OPEN_INT","."&amp;C$2&amp;C$1&amp;"P"&amp;$A9)*RTD("tos.rtd",,"LAST","."&amp;C$2&amp;C$1&amp;"P"&amp;$A9))/1000000,0),IF($A$2="PREMIUM",IFERROR((100*RTD("tos.rtd",,"VOLUME","."&amp;C$2&amp;C$1&amp;"C"&amp;$A9)*RTD("tos.rtd",,"LAST","."&amp;C$2&amp;C$1&amp;"C"&amp;$A9)-100*RTD("tos.rtd",,"VOLUME","."&amp;C$2&amp;C$1&amp;"P"&amp;$A9)*RTD("tos.rtd",,"LAST","."&amp;C$2&amp;C$1&amp;"P"&amp;$A9))/1000000,0),IF($A$2="DEX",IFERROR((100*RTD("tos.rtd",,"OPEN_INT","."&amp;C$2&amp;C$1&amp;"C"&amp;$A9)*RTD("tos.rtd",,"DELTA","."&amp;C$2&amp;C$1&amp;"C"&amp;$A9)-100*RTD("tos.rtd",,"OPEN_INT","."&amp;C$2&amp;C$1&amp;"P"&amp;$A9)*RTD("tos.rtd",,"DELTA","."&amp;C$2&amp;C$1&amp;"P"&amp;$A9))/1000,0),IF($A$2="VEX",IFERROR(($A$4*$A$4*RTD("tos.rtd",,"VOLUME","."&amp;C$2&amp;C$1&amp;"C"&amp;$A9)*RTD("tos.rtd",,"GAMMA","."&amp;C$2&amp;C$1&amp;"C"&amp;$A9)-$A$4*$A$4*RTD("tos.rtd",,"VOLUME","."&amp;C$2&amp;C$1&amp;"P"&amp;$A9)*RTD("tos.rtd",,"GAMMA","."&amp;C$2&amp;C$1&amp;"P"&amp;$A9))/1000000,0),IF($A$2="GEX",IFERROR(($A$4*$A$4*RTD("tos.rtd",,"OPEN_INT","."&amp;C$2&amp;C$1&amp;"C"&amp;$A9)*RTD("tos.rtd",,"GAMMA","."&amp;C$2&amp;C$1&amp;"C"&amp;$A9)-$A$4*$A$4*RTD("tos.rtd",,"OPEN_INT","."&amp;C$2&amp;C$1&amp;"P"&amp;$A9)*RTD("tos.rtd",,"GAMMA","."&amp;C$2&amp;C$1&amp;"P"&amp;$A9))/1000000,0),IF($A$2="SKEW",IFERROR(VALUE(IF(RTD("tos.rtd",,"IMPL_VOL","."&amp;C$2&amp;C$1&amp;"P"&amp;$A9)="N/A",0,RTD("tos.rtd",,"IMPL_VOL","."&amp;C$2&amp;C$1&amp;"P"&amp;$A9))),0)-IFERROR(VALUE(IF(RTD("tos.rtd",,"IMPL_VOL","."&amp;C$2&amp;C$1&amp;"C"&amp;$A9)="N/A",0,RTD("tos.rtd",,"IMPL_VOL","."&amp;C$2&amp;C$1&amp;"C"&amp;$A9))),0),IF($A$2="MAXPAIN",IF($A$4&gt;$A9,($A$4-$A9)*IF(RTD("tos.rtd",,"OPEN_INT","."&amp;C$2&amp;C$1&amp;"C"&amp;$A9)="N/A",0,RTD("tos.rtd",,"OPEN_INT","."&amp;C$2&amp;C$1&amp;"C"&amp;$A9)),0)+IF($A$4&lt;$A9,($A9-$A$4)*IF(RTD("tos.rtd",,"OPEN_INT","."&amp;C$2&amp;C$1&amp;"P"&amp;$A9)="N/A",0,RTD("tos.rtd",,"OPEN_INT","."&amp;C$2&amp;C$1&amp;"P"&amp;$A9)),0),IF(RTD("tos.rtd",,$A$2,"."&amp;C$2&amp;C$1&amp;"C"&amp;$A9)="N/A",0,RTD("tos.rtd",,$A$2,"."&amp;C$2&amp;C$1&amp;"C"&amp;$A9))-IF(RTD("tos.rtd",,$A$2,"."&amp;C$2&amp;C$1&amp;"P"&amp;$A9)="N/A",0,RTD("tos.rtd",,$A$2,"."&amp;C$2&amp;C$1&amp;"P"&amp;$A9)))))))))</f>
        <v>430</v>
      </c>
      <c r="D9" s="12">
        <f>IF($A$2="PREMIUM_OI",IFERROR((100*RTD("tos.rtd",,"OPEN_INT","."&amp;D$2&amp;D$1&amp;"C"&amp;$A9)*RTD("tos.rtd",,"LAST","."&amp;D$2&amp;D$1&amp;"C"&amp;$A9)-100*RTD("tos.rtd",,"OPEN_INT","."&amp;D$2&amp;D$1&amp;"P"&amp;$A9)*RTD("tos.rtd",,"LAST","."&amp;D$2&amp;D$1&amp;"P"&amp;$A9))/1000000,0),IF($A$2="PREMIUM",IFERROR((100*RTD("tos.rtd",,"VOLUME","."&amp;D$2&amp;D$1&amp;"C"&amp;$A9)*RTD("tos.rtd",,"LAST","."&amp;D$2&amp;D$1&amp;"C"&amp;$A9)-100*RTD("tos.rtd",,"VOLUME","."&amp;D$2&amp;D$1&amp;"P"&amp;$A9)*RTD("tos.rtd",,"LAST","."&amp;D$2&amp;D$1&amp;"P"&amp;$A9))/1000000,0),IF($A$2="DEX",IFERROR((100*RTD("tos.rtd",,"OPEN_INT","."&amp;D$2&amp;D$1&amp;"C"&amp;$A9)*RTD("tos.rtd",,"DELTA","."&amp;D$2&amp;D$1&amp;"C"&amp;$A9)-100*RTD("tos.rtd",,"OPEN_INT","."&amp;D$2&amp;D$1&amp;"P"&amp;$A9)*RTD("tos.rtd",,"DELTA","."&amp;D$2&amp;D$1&amp;"P"&amp;$A9))/1000,0),IF($A$2="VEX",IFERROR(($A$4*$A$4*RTD("tos.rtd",,"VOLUME","."&amp;D$2&amp;D$1&amp;"C"&amp;$A9)*RTD("tos.rtd",,"GAMMA","."&amp;D$2&amp;D$1&amp;"C"&amp;$A9)-$A$4*$A$4*RTD("tos.rtd",,"VOLUME","."&amp;D$2&amp;D$1&amp;"P"&amp;$A9)*RTD("tos.rtd",,"GAMMA","."&amp;D$2&amp;D$1&amp;"P"&amp;$A9))/1000000,0),IF($A$2="GEX",IFERROR(($A$4*$A$4*RTD("tos.rtd",,"OPEN_INT","."&amp;D$2&amp;D$1&amp;"C"&amp;$A9)*RTD("tos.rtd",,"GAMMA","."&amp;D$2&amp;D$1&amp;"C"&amp;$A9)-$A$4*$A$4*RTD("tos.rtd",,"OPEN_INT","."&amp;D$2&amp;D$1&amp;"P"&amp;$A9)*RTD("tos.rtd",,"GAMMA","."&amp;D$2&amp;D$1&amp;"P"&amp;$A9))/1000000,0),IF($A$2="SKEW",IFERROR(VALUE(IF(RTD("tos.rtd",,"IMPL_VOL","."&amp;D$2&amp;D$1&amp;"P"&amp;$A9)="N/A",0,RTD("tos.rtd",,"IMPL_VOL","."&amp;D$2&amp;D$1&amp;"P"&amp;$A9))),0)-IFERROR(VALUE(IF(RTD("tos.rtd",,"IMPL_VOL","."&amp;D$2&amp;D$1&amp;"C"&amp;$A9)="N/A",0,RTD("tos.rtd",,"IMPL_VOL","."&amp;D$2&amp;D$1&amp;"C"&amp;$A9))),0),IF($A$2="MAXPAIN",IF($A$4&gt;$A9,($A$4-$A9)*IF(RTD("tos.rtd",,"OPEN_INT","."&amp;D$2&amp;D$1&amp;"C"&amp;$A9)="N/A",0,RTD("tos.rtd",,"OPEN_INT","."&amp;D$2&amp;D$1&amp;"C"&amp;$A9)),0)+IF($A$4&lt;$A9,($A9-$A$4)*IF(RTD("tos.rtd",,"OPEN_INT","."&amp;D$2&amp;D$1&amp;"P"&amp;$A9)="N/A",0,RTD("tos.rtd",,"OPEN_INT","."&amp;D$2&amp;D$1&amp;"P"&amp;$A9)),0),IF(RTD("tos.rtd",,$A$2,"."&amp;D$2&amp;D$1&amp;"C"&amp;$A9)="N/A",0,RTD("tos.rtd",,$A$2,"."&amp;D$2&amp;D$1&amp;"C"&amp;$A9))-IF(RTD("tos.rtd",,$A$2,"."&amp;D$2&amp;D$1&amp;"P"&amp;$A9)="N/A",0,RTD("tos.rtd",,$A$2,"."&amp;D$2&amp;D$1&amp;"P"&amp;$A9)))))))))</f>
        <v>0</v>
      </c>
      <c r="E9" s="12">
        <f>IF($A$2="PREMIUM_OI",IFERROR((100*RTD("tos.rtd",,"OPEN_INT","."&amp;E$2&amp;E$1&amp;"C"&amp;$A9)*RTD("tos.rtd",,"LAST","."&amp;E$2&amp;E$1&amp;"C"&amp;$A9)-100*RTD("tos.rtd",,"OPEN_INT","."&amp;E$2&amp;E$1&amp;"P"&amp;$A9)*RTD("tos.rtd",,"LAST","."&amp;E$2&amp;E$1&amp;"P"&amp;$A9))/1000000,0),IF($A$2="PREMIUM",IFERROR((100*RTD("tos.rtd",,"VOLUME","."&amp;E$2&amp;E$1&amp;"C"&amp;$A9)*RTD("tos.rtd",,"LAST","."&amp;E$2&amp;E$1&amp;"C"&amp;$A9)-100*RTD("tos.rtd",,"VOLUME","."&amp;E$2&amp;E$1&amp;"P"&amp;$A9)*RTD("tos.rtd",,"LAST","."&amp;E$2&amp;E$1&amp;"P"&amp;$A9))/1000000,0),IF($A$2="DEX",IFERROR((100*RTD("tos.rtd",,"OPEN_INT","."&amp;E$2&amp;E$1&amp;"C"&amp;$A9)*RTD("tos.rtd",,"DELTA","."&amp;E$2&amp;E$1&amp;"C"&amp;$A9)-100*RTD("tos.rtd",,"OPEN_INT","."&amp;E$2&amp;E$1&amp;"P"&amp;$A9)*RTD("tos.rtd",,"DELTA","."&amp;E$2&amp;E$1&amp;"P"&amp;$A9))/1000,0),IF($A$2="VEX",IFERROR(($A$4*$A$4*RTD("tos.rtd",,"VOLUME","."&amp;E$2&amp;E$1&amp;"C"&amp;$A9)*RTD("tos.rtd",,"GAMMA","."&amp;E$2&amp;E$1&amp;"C"&amp;$A9)-$A$4*$A$4*RTD("tos.rtd",,"VOLUME","."&amp;E$2&amp;E$1&amp;"P"&amp;$A9)*RTD("tos.rtd",,"GAMMA","."&amp;E$2&amp;E$1&amp;"P"&amp;$A9))/1000000,0),IF($A$2="GEX",IFERROR(($A$4*$A$4*RTD("tos.rtd",,"OPEN_INT","."&amp;E$2&amp;E$1&amp;"C"&amp;$A9)*RTD("tos.rtd",,"GAMMA","."&amp;E$2&amp;E$1&amp;"C"&amp;$A9)-$A$4*$A$4*RTD("tos.rtd",,"OPEN_INT","."&amp;E$2&amp;E$1&amp;"P"&amp;$A9)*RTD("tos.rtd",,"GAMMA","."&amp;E$2&amp;E$1&amp;"P"&amp;$A9))/1000000,0),IF($A$2="SKEW",IFERROR(VALUE(IF(RTD("tos.rtd",,"IMPL_VOL","."&amp;E$2&amp;E$1&amp;"P"&amp;$A9)="N/A",0,RTD("tos.rtd",,"IMPL_VOL","."&amp;E$2&amp;E$1&amp;"P"&amp;$A9))),0)-IFERROR(VALUE(IF(RTD("tos.rtd",,"IMPL_VOL","."&amp;E$2&amp;E$1&amp;"C"&amp;$A9)="N/A",0,RTD("tos.rtd",,"IMPL_VOL","."&amp;E$2&amp;E$1&amp;"C"&amp;$A9))),0),IF($A$2="MAXPAIN",IF($A$4&gt;$A9,($A$4-$A9)*IF(RTD("tos.rtd",,"OPEN_INT","."&amp;E$2&amp;E$1&amp;"C"&amp;$A9)="N/A",0,RTD("tos.rtd",,"OPEN_INT","."&amp;E$2&amp;E$1&amp;"C"&amp;$A9)),0)+IF($A$4&lt;$A9,($A9-$A$4)*IF(RTD("tos.rtd",,"OPEN_INT","."&amp;E$2&amp;E$1&amp;"P"&amp;$A9)="N/A",0,RTD("tos.rtd",,"OPEN_INT","."&amp;E$2&amp;E$1&amp;"P"&amp;$A9)),0),IF(RTD("tos.rtd",,$A$2,"."&amp;E$2&amp;E$1&amp;"C"&amp;$A9)="N/A",0,RTD("tos.rtd",,$A$2,"."&amp;E$2&amp;E$1&amp;"C"&amp;$A9))-IF(RTD("tos.rtd",,$A$2,"."&amp;E$2&amp;E$1&amp;"P"&amp;$A9)="N/A",0,RTD("tos.rtd",,$A$2,"."&amp;E$2&amp;E$1&amp;"P"&amp;$A9)))))))))</f>
        <v>0</v>
      </c>
      <c r="F9" s="12">
        <f>IF($A$2="PREMIUM_OI",IFERROR((100*RTD("tos.rtd",,"OPEN_INT","."&amp;F$2&amp;F$1&amp;"C"&amp;$A9)*RTD("tos.rtd",,"LAST","."&amp;F$2&amp;F$1&amp;"C"&amp;$A9)-100*RTD("tos.rtd",,"OPEN_INT","."&amp;F$2&amp;F$1&amp;"P"&amp;$A9)*RTD("tos.rtd",,"LAST","."&amp;F$2&amp;F$1&amp;"P"&amp;$A9))/1000000,0),IF($A$2="PREMIUM",IFERROR((100*RTD("tos.rtd",,"VOLUME","."&amp;F$2&amp;F$1&amp;"C"&amp;$A9)*RTD("tos.rtd",,"LAST","."&amp;F$2&amp;F$1&amp;"C"&amp;$A9)-100*RTD("tos.rtd",,"VOLUME","."&amp;F$2&amp;F$1&amp;"P"&amp;$A9)*RTD("tos.rtd",,"LAST","."&amp;F$2&amp;F$1&amp;"P"&amp;$A9))/1000000,0),IF($A$2="DEX",IFERROR((100*RTD("tos.rtd",,"OPEN_INT","."&amp;F$2&amp;F$1&amp;"C"&amp;$A9)*RTD("tos.rtd",,"DELTA","."&amp;F$2&amp;F$1&amp;"C"&amp;$A9)-100*RTD("tos.rtd",,"OPEN_INT","."&amp;F$2&amp;F$1&amp;"P"&amp;$A9)*RTD("tos.rtd",,"DELTA","."&amp;F$2&amp;F$1&amp;"P"&amp;$A9))/1000,0),IF($A$2="VEX",IFERROR(($A$4*$A$4*RTD("tos.rtd",,"VOLUME","."&amp;F$2&amp;F$1&amp;"C"&amp;$A9)*RTD("tos.rtd",,"GAMMA","."&amp;F$2&amp;F$1&amp;"C"&amp;$A9)-$A$4*$A$4*RTD("tos.rtd",,"VOLUME","."&amp;F$2&amp;F$1&amp;"P"&amp;$A9)*RTD("tos.rtd",,"GAMMA","."&amp;F$2&amp;F$1&amp;"P"&amp;$A9))/1000000,0),IF($A$2="GEX",IFERROR(($A$4*$A$4*RTD("tos.rtd",,"OPEN_INT","."&amp;F$2&amp;F$1&amp;"C"&amp;$A9)*RTD("tos.rtd",,"GAMMA","."&amp;F$2&amp;F$1&amp;"C"&amp;$A9)-$A$4*$A$4*RTD("tos.rtd",,"OPEN_INT","."&amp;F$2&amp;F$1&amp;"P"&amp;$A9)*RTD("tos.rtd",,"GAMMA","."&amp;F$2&amp;F$1&amp;"P"&amp;$A9))/1000000,0),IF($A$2="SKEW",IFERROR(VALUE(IF(RTD("tos.rtd",,"IMPL_VOL","."&amp;F$2&amp;F$1&amp;"P"&amp;$A9)="N/A",0,RTD("tos.rtd",,"IMPL_VOL","."&amp;F$2&amp;F$1&amp;"P"&amp;$A9))),0)-IFERROR(VALUE(IF(RTD("tos.rtd",,"IMPL_VOL","."&amp;F$2&amp;F$1&amp;"C"&amp;$A9)="N/A",0,RTD("tos.rtd",,"IMPL_VOL","."&amp;F$2&amp;F$1&amp;"C"&amp;$A9))),0),IF($A$2="MAXPAIN",IF($A$4&gt;$A9,($A$4-$A9)*IF(RTD("tos.rtd",,"OPEN_INT","."&amp;F$2&amp;F$1&amp;"C"&amp;$A9)="N/A",0,RTD("tos.rtd",,"OPEN_INT","."&amp;F$2&amp;F$1&amp;"C"&amp;$A9)),0)+IF($A$4&lt;$A9,($A9-$A$4)*IF(RTD("tos.rtd",,"OPEN_INT","."&amp;F$2&amp;F$1&amp;"P"&amp;$A9)="N/A",0,RTD("tos.rtd",,"OPEN_INT","."&amp;F$2&amp;F$1&amp;"P"&amp;$A9)),0),IF(RTD("tos.rtd",,$A$2,"."&amp;F$2&amp;F$1&amp;"C"&amp;$A9)="N/A",0,RTD("tos.rtd",,$A$2,"."&amp;F$2&amp;F$1&amp;"C"&amp;$A9))-IF(RTD("tos.rtd",,$A$2,"."&amp;F$2&amp;F$1&amp;"P"&amp;$A9)="N/A",0,RTD("tos.rtd",,$A$2,"."&amp;F$2&amp;F$1&amp;"P"&amp;$A9)))))))))</f>
        <v>0</v>
      </c>
      <c r="G9" s="14">
        <f>IF($A$2="PREMIUM_OI",IFERROR((100*RTD("tos.rtd",,"OPEN_INT","."&amp;G$2&amp;G$1&amp;"C"&amp;$A9)*RTD("tos.rtd",,"LAST","."&amp;G$2&amp;G$1&amp;"C"&amp;$A9)-100*RTD("tos.rtd",,"OPEN_INT","."&amp;G$2&amp;G$1&amp;"P"&amp;$A9)*RTD("tos.rtd",,"LAST","."&amp;G$2&amp;G$1&amp;"P"&amp;$A9))/1000000,0),IF($A$2="PREMIUM",IFERROR((100*RTD("tos.rtd",,"VOLUME","."&amp;G$2&amp;G$1&amp;"C"&amp;$A9)*RTD("tos.rtd",,"LAST","."&amp;G$2&amp;G$1&amp;"C"&amp;$A9)-100*RTD("tos.rtd",,"VOLUME","."&amp;G$2&amp;G$1&amp;"P"&amp;$A9)*RTD("tos.rtd",,"LAST","."&amp;G$2&amp;G$1&amp;"P"&amp;$A9))/1000000,0),IF($A$2="DEX",IFERROR((100*RTD("tos.rtd",,"OPEN_INT","."&amp;G$2&amp;G$1&amp;"C"&amp;$A9)*RTD("tos.rtd",,"DELTA","."&amp;G$2&amp;G$1&amp;"C"&amp;$A9)-100*RTD("tos.rtd",,"OPEN_INT","."&amp;G$2&amp;G$1&amp;"P"&amp;$A9)*RTD("tos.rtd",,"DELTA","."&amp;G$2&amp;G$1&amp;"P"&amp;$A9))/1000,0),IF($A$2="VEX",IFERROR(($A$4*$A$4*RTD("tos.rtd",,"VOLUME","."&amp;G$2&amp;G$1&amp;"C"&amp;$A9)*RTD("tos.rtd",,"GAMMA","."&amp;G$2&amp;G$1&amp;"C"&amp;$A9)-$A$4*$A$4*RTD("tos.rtd",,"VOLUME","."&amp;G$2&amp;G$1&amp;"P"&amp;$A9)*RTD("tos.rtd",,"GAMMA","."&amp;G$2&amp;G$1&amp;"P"&amp;$A9))/1000000,0),IF($A$2="GEX",IFERROR(($A$4*$A$4*RTD("tos.rtd",,"OPEN_INT","."&amp;G$2&amp;G$1&amp;"C"&amp;$A9)*RTD("tos.rtd",,"GAMMA","."&amp;G$2&amp;G$1&amp;"C"&amp;$A9)-$A$4*$A$4*RTD("tos.rtd",,"OPEN_INT","."&amp;G$2&amp;G$1&amp;"P"&amp;$A9)*RTD("tos.rtd",,"GAMMA","."&amp;G$2&amp;G$1&amp;"P"&amp;$A9))/1000000,0),IF($A$2="SKEW",IFERROR(VALUE(IF(RTD("tos.rtd",,"IMPL_VOL","."&amp;G$2&amp;G$1&amp;"P"&amp;$A9)="N/A",0,RTD("tos.rtd",,"IMPL_VOL","."&amp;G$2&amp;G$1&amp;"P"&amp;$A9))),0)-IFERROR(VALUE(IF(RTD("tos.rtd",,"IMPL_VOL","."&amp;G$2&amp;G$1&amp;"C"&amp;$A9)="N/A",0,RTD("tos.rtd",,"IMPL_VOL","."&amp;G$2&amp;G$1&amp;"C"&amp;$A9))),0),IF($A$2="MAXPAIN",IF($A$4&gt;$A9,($A$4-$A9)*IF(RTD("tos.rtd",,"OPEN_INT","."&amp;G$2&amp;G$1&amp;"C"&amp;$A9)="N/A",0,RTD("tos.rtd",,"OPEN_INT","."&amp;G$2&amp;G$1&amp;"C"&amp;$A9)),0)+IF($A$4&lt;$A9,($A9-$A$4)*IF(RTD("tos.rtd",,"OPEN_INT","."&amp;G$2&amp;G$1&amp;"P"&amp;$A9)="N/A",0,RTD("tos.rtd",,"OPEN_INT","."&amp;G$2&amp;G$1&amp;"P"&amp;$A9)),0),IF(RTD("tos.rtd",,$A$2,"."&amp;G$2&amp;G$1&amp;"C"&amp;$A9)="N/A",0,RTD("tos.rtd",,$A$2,"."&amp;G$2&amp;G$1&amp;"C"&amp;$A9))-IF(RTD("tos.rtd",,$A$2,"."&amp;G$2&amp;G$1&amp;"P"&amp;$A9)="N/A",0,RTD("tos.rtd",,$A$2,"."&amp;G$2&amp;G$1&amp;"P"&amp;$A9)))))))))</f>
        <v>0</v>
      </c>
      <c r="H9" s="12">
        <f>IF($A$2="PREMIUM_OI",IFERROR((100*RTD("tos.rtd",,"OPEN_INT","."&amp;H$2&amp;H$1&amp;"C"&amp;$A9)*RTD("tos.rtd",,"LAST","."&amp;H$2&amp;H$1&amp;"C"&amp;$A9)-100*RTD("tos.rtd",,"OPEN_INT","."&amp;H$2&amp;H$1&amp;"P"&amp;$A9)*RTD("tos.rtd",,"LAST","."&amp;H$2&amp;H$1&amp;"P"&amp;$A9))/1000000,0),IF($A$2="PREMIUM",IFERROR((100*RTD("tos.rtd",,"VOLUME","."&amp;H$2&amp;H$1&amp;"C"&amp;$A9)*RTD("tos.rtd",,"LAST","."&amp;H$2&amp;H$1&amp;"C"&amp;$A9)-100*RTD("tos.rtd",,"VOLUME","."&amp;H$2&amp;H$1&amp;"P"&amp;$A9)*RTD("tos.rtd",,"LAST","."&amp;H$2&amp;H$1&amp;"P"&amp;$A9))/1000000,0),IF($A$2="DEX",IFERROR((100*RTD("tos.rtd",,"OPEN_INT","."&amp;H$2&amp;H$1&amp;"C"&amp;$A9)*RTD("tos.rtd",,"DELTA","."&amp;H$2&amp;H$1&amp;"C"&amp;$A9)-100*RTD("tos.rtd",,"OPEN_INT","."&amp;H$2&amp;H$1&amp;"P"&amp;$A9)*RTD("tos.rtd",,"DELTA","."&amp;H$2&amp;H$1&amp;"P"&amp;$A9))/1000,0),IF($A$2="VEX",IFERROR(($A$4*$A$4*RTD("tos.rtd",,"VOLUME","."&amp;H$2&amp;H$1&amp;"C"&amp;$A9)*RTD("tos.rtd",,"GAMMA","."&amp;H$2&amp;H$1&amp;"C"&amp;$A9)-$A$4*$A$4*RTD("tos.rtd",,"VOLUME","."&amp;H$2&amp;H$1&amp;"P"&amp;$A9)*RTD("tos.rtd",,"GAMMA","."&amp;H$2&amp;H$1&amp;"P"&amp;$A9))/1000000,0),IF($A$2="GEX",IFERROR(($A$4*$A$4*RTD("tos.rtd",,"OPEN_INT","."&amp;H$2&amp;H$1&amp;"C"&amp;$A9)*RTD("tos.rtd",,"GAMMA","."&amp;H$2&amp;H$1&amp;"C"&amp;$A9)-$A$4*$A$4*RTD("tos.rtd",,"OPEN_INT","."&amp;H$2&amp;H$1&amp;"P"&amp;$A9)*RTD("tos.rtd",,"GAMMA","."&amp;H$2&amp;H$1&amp;"P"&amp;$A9))/1000000,0),IF($A$2="SKEW",IFERROR(VALUE(IF(RTD("tos.rtd",,"IMPL_VOL","."&amp;H$2&amp;H$1&amp;"P"&amp;$A9)="N/A",0,RTD("tos.rtd",,"IMPL_VOL","."&amp;H$2&amp;H$1&amp;"P"&amp;$A9))),0)-IFERROR(VALUE(IF(RTD("tos.rtd",,"IMPL_VOL","."&amp;H$2&amp;H$1&amp;"C"&amp;$A9)="N/A",0,RTD("tos.rtd",,"IMPL_VOL","."&amp;H$2&amp;H$1&amp;"C"&amp;$A9))),0),IF($A$2="MAXPAIN",IF($A$4&gt;$A9,($A$4-$A9)*IF(RTD("tos.rtd",,"OPEN_INT","."&amp;H$2&amp;H$1&amp;"C"&amp;$A9)="N/A",0,RTD("tos.rtd",,"OPEN_INT","."&amp;H$2&amp;H$1&amp;"C"&amp;$A9)),0)+IF($A$4&lt;$A9,($A9-$A$4)*IF(RTD("tos.rtd",,"OPEN_INT","."&amp;H$2&amp;H$1&amp;"P"&amp;$A9)="N/A",0,RTD("tos.rtd",,"OPEN_INT","."&amp;H$2&amp;H$1&amp;"P"&amp;$A9)),0),IF(RTD("tos.rtd",,$A$2,"."&amp;H$2&amp;H$1&amp;"C"&amp;$A9)="N/A",0,RTD("tos.rtd",,$A$2,"."&amp;H$2&amp;H$1&amp;"C"&amp;$A9))-IF(RTD("tos.rtd",,$A$2,"."&amp;H$2&amp;H$1&amp;"P"&amp;$A9)="N/A",0,RTD("tos.rtd",,$A$2,"."&amp;H$2&amp;H$1&amp;"P"&amp;$A9)))))))))</f>
        <v>0</v>
      </c>
      <c r="I9" s="12">
        <f>IF($A$2="PREMIUM_OI",IFERROR((100*RTD("tos.rtd",,"OPEN_INT","."&amp;I$2&amp;I$1&amp;"C"&amp;$A9)*RTD("tos.rtd",,"LAST","."&amp;I$2&amp;I$1&amp;"C"&amp;$A9)-100*RTD("tos.rtd",,"OPEN_INT","."&amp;I$2&amp;I$1&amp;"P"&amp;$A9)*RTD("tos.rtd",,"LAST","."&amp;I$2&amp;I$1&amp;"P"&amp;$A9))/1000000,0),IF($A$2="PREMIUM",IFERROR((100*RTD("tos.rtd",,"VOLUME","."&amp;I$2&amp;I$1&amp;"C"&amp;$A9)*RTD("tos.rtd",,"LAST","."&amp;I$2&amp;I$1&amp;"C"&amp;$A9)-100*RTD("tos.rtd",,"VOLUME","."&amp;I$2&amp;I$1&amp;"P"&amp;$A9)*RTD("tos.rtd",,"LAST","."&amp;I$2&amp;I$1&amp;"P"&amp;$A9))/1000000,0),IF($A$2="DEX",IFERROR((100*RTD("tos.rtd",,"OPEN_INT","."&amp;I$2&amp;I$1&amp;"C"&amp;$A9)*RTD("tos.rtd",,"DELTA","."&amp;I$2&amp;I$1&amp;"C"&amp;$A9)-100*RTD("tos.rtd",,"OPEN_INT","."&amp;I$2&amp;I$1&amp;"P"&amp;$A9)*RTD("tos.rtd",,"DELTA","."&amp;I$2&amp;I$1&amp;"P"&amp;$A9))/1000,0),IF($A$2="VEX",IFERROR(($A$4*$A$4*RTD("tos.rtd",,"VOLUME","."&amp;I$2&amp;I$1&amp;"C"&amp;$A9)*RTD("tos.rtd",,"GAMMA","."&amp;I$2&amp;I$1&amp;"C"&amp;$A9)-$A$4*$A$4*RTD("tos.rtd",,"VOLUME","."&amp;I$2&amp;I$1&amp;"P"&amp;$A9)*RTD("tos.rtd",,"GAMMA","."&amp;I$2&amp;I$1&amp;"P"&amp;$A9))/1000000,0),IF($A$2="GEX",IFERROR(($A$4*$A$4*RTD("tos.rtd",,"OPEN_INT","."&amp;I$2&amp;I$1&amp;"C"&amp;$A9)*RTD("tos.rtd",,"GAMMA","."&amp;I$2&amp;I$1&amp;"C"&amp;$A9)-$A$4*$A$4*RTD("tos.rtd",,"OPEN_INT","."&amp;I$2&amp;I$1&amp;"P"&amp;$A9)*RTD("tos.rtd",,"GAMMA","."&amp;I$2&amp;I$1&amp;"P"&amp;$A9))/1000000,0),IF($A$2="SKEW",IFERROR(VALUE(IF(RTD("tos.rtd",,"IMPL_VOL","."&amp;I$2&amp;I$1&amp;"P"&amp;$A9)="N/A",0,RTD("tos.rtd",,"IMPL_VOL","."&amp;I$2&amp;I$1&amp;"P"&amp;$A9))),0)-IFERROR(VALUE(IF(RTD("tos.rtd",,"IMPL_VOL","."&amp;I$2&amp;I$1&amp;"C"&amp;$A9)="N/A",0,RTD("tos.rtd",,"IMPL_VOL","."&amp;I$2&amp;I$1&amp;"C"&amp;$A9))),0),IF($A$2="MAXPAIN",IF($A$4&gt;$A9,($A$4-$A9)*IF(RTD("tos.rtd",,"OPEN_INT","."&amp;I$2&amp;I$1&amp;"C"&amp;$A9)="N/A",0,RTD("tos.rtd",,"OPEN_INT","."&amp;I$2&amp;I$1&amp;"C"&amp;$A9)),0)+IF($A$4&lt;$A9,($A9-$A$4)*IF(RTD("tos.rtd",,"OPEN_INT","."&amp;I$2&amp;I$1&amp;"P"&amp;$A9)="N/A",0,RTD("tos.rtd",,"OPEN_INT","."&amp;I$2&amp;I$1&amp;"P"&amp;$A9)),0),IF(RTD("tos.rtd",,$A$2,"."&amp;I$2&amp;I$1&amp;"C"&amp;$A9)="N/A",0,RTD("tos.rtd",,$A$2,"."&amp;I$2&amp;I$1&amp;"C"&amp;$A9))-IF(RTD("tos.rtd",,$A$2,"."&amp;I$2&amp;I$1&amp;"P"&amp;$A9)="N/A",0,RTD("tos.rtd",,$A$2,"."&amp;I$2&amp;I$1&amp;"P"&amp;$A9)))))))))</f>
        <v>0</v>
      </c>
      <c r="J9" s="12">
        <f>IF($A$2="PREMIUM_OI",IFERROR((100*RTD("tos.rtd",,"OPEN_INT","."&amp;J$2&amp;J$1&amp;"C"&amp;$A9)*RTD("tos.rtd",,"LAST","."&amp;J$2&amp;J$1&amp;"C"&amp;$A9)-100*RTD("tos.rtd",,"OPEN_INT","."&amp;J$2&amp;J$1&amp;"P"&amp;$A9)*RTD("tos.rtd",,"LAST","."&amp;J$2&amp;J$1&amp;"P"&amp;$A9))/1000000,0),IF($A$2="PREMIUM",IFERROR((100*RTD("tos.rtd",,"VOLUME","."&amp;J$2&amp;J$1&amp;"C"&amp;$A9)*RTD("tos.rtd",,"LAST","."&amp;J$2&amp;J$1&amp;"C"&amp;$A9)-100*RTD("tos.rtd",,"VOLUME","."&amp;J$2&amp;J$1&amp;"P"&amp;$A9)*RTD("tos.rtd",,"LAST","."&amp;J$2&amp;J$1&amp;"P"&amp;$A9))/1000000,0),IF($A$2="DEX",IFERROR((100*RTD("tos.rtd",,"OPEN_INT","."&amp;J$2&amp;J$1&amp;"C"&amp;$A9)*RTD("tos.rtd",,"DELTA","."&amp;J$2&amp;J$1&amp;"C"&amp;$A9)-100*RTD("tos.rtd",,"OPEN_INT","."&amp;J$2&amp;J$1&amp;"P"&amp;$A9)*RTD("tos.rtd",,"DELTA","."&amp;J$2&amp;J$1&amp;"P"&amp;$A9))/1000,0),IF($A$2="VEX",IFERROR(($A$4*$A$4*RTD("tos.rtd",,"VOLUME","."&amp;J$2&amp;J$1&amp;"C"&amp;$A9)*RTD("tos.rtd",,"GAMMA","."&amp;J$2&amp;J$1&amp;"C"&amp;$A9)-$A$4*$A$4*RTD("tos.rtd",,"VOLUME","."&amp;J$2&amp;J$1&amp;"P"&amp;$A9)*RTD("tos.rtd",,"GAMMA","."&amp;J$2&amp;J$1&amp;"P"&amp;$A9))/1000000,0),IF($A$2="GEX",IFERROR(($A$4*$A$4*RTD("tos.rtd",,"OPEN_INT","."&amp;J$2&amp;J$1&amp;"C"&amp;$A9)*RTD("tos.rtd",,"GAMMA","."&amp;J$2&amp;J$1&amp;"C"&amp;$A9)-$A$4*$A$4*RTD("tos.rtd",,"OPEN_INT","."&amp;J$2&amp;J$1&amp;"P"&amp;$A9)*RTD("tos.rtd",,"GAMMA","."&amp;J$2&amp;J$1&amp;"P"&amp;$A9))/1000000,0),IF($A$2="SKEW",IFERROR(VALUE(IF(RTD("tos.rtd",,"IMPL_VOL","."&amp;J$2&amp;J$1&amp;"P"&amp;$A9)="N/A",0,RTD("tos.rtd",,"IMPL_VOL","."&amp;J$2&amp;J$1&amp;"P"&amp;$A9))),0)-IFERROR(VALUE(IF(RTD("tos.rtd",,"IMPL_VOL","."&amp;J$2&amp;J$1&amp;"C"&amp;$A9)="N/A",0,RTD("tos.rtd",,"IMPL_VOL","."&amp;J$2&amp;J$1&amp;"C"&amp;$A9))),0),IF($A$2="MAXPAIN",IF($A$4&gt;$A9,($A$4-$A9)*IF(RTD("tos.rtd",,"OPEN_INT","."&amp;J$2&amp;J$1&amp;"C"&amp;$A9)="N/A",0,RTD("tos.rtd",,"OPEN_INT","."&amp;J$2&amp;J$1&amp;"C"&amp;$A9)),0)+IF($A$4&lt;$A9,($A9-$A$4)*IF(RTD("tos.rtd",,"OPEN_INT","."&amp;J$2&amp;J$1&amp;"P"&amp;$A9)="N/A",0,RTD("tos.rtd",,"OPEN_INT","."&amp;J$2&amp;J$1&amp;"P"&amp;$A9)),0),IF(RTD("tos.rtd",,$A$2,"."&amp;J$2&amp;J$1&amp;"C"&amp;$A9)="N/A",0,RTD("tos.rtd",,$A$2,"."&amp;J$2&amp;J$1&amp;"C"&amp;$A9))-IF(RTD("tos.rtd",,$A$2,"."&amp;J$2&amp;J$1&amp;"P"&amp;$A9)="N/A",0,RTD("tos.rtd",,$A$2,"."&amp;J$2&amp;J$1&amp;"P"&amp;$A9)))))))))</f>
        <v>0</v>
      </c>
      <c r="K9" s="12">
        <f>IF($A$2="PREMIUM_OI",IFERROR((100*RTD("tos.rtd",,"OPEN_INT","."&amp;K$2&amp;K$1&amp;"C"&amp;$A9)*RTD("tos.rtd",,"LAST","."&amp;K$2&amp;K$1&amp;"C"&amp;$A9)-100*RTD("tos.rtd",,"OPEN_INT","."&amp;K$2&amp;K$1&amp;"P"&amp;$A9)*RTD("tos.rtd",,"LAST","."&amp;K$2&amp;K$1&amp;"P"&amp;$A9))/1000000,0),IF($A$2="PREMIUM",IFERROR((100*RTD("tos.rtd",,"VOLUME","."&amp;K$2&amp;K$1&amp;"C"&amp;$A9)*RTD("tos.rtd",,"LAST","."&amp;K$2&amp;K$1&amp;"C"&amp;$A9)-100*RTD("tos.rtd",,"VOLUME","."&amp;K$2&amp;K$1&amp;"P"&amp;$A9)*RTD("tos.rtd",,"LAST","."&amp;K$2&amp;K$1&amp;"P"&amp;$A9))/1000000,0),IF($A$2="DEX",IFERROR((100*RTD("tos.rtd",,"OPEN_INT","."&amp;K$2&amp;K$1&amp;"C"&amp;$A9)*RTD("tos.rtd",,"DELTA","."&amp;K$2&amp;K$1&amp;"C"&amp;$A9)-100*RTD("tos.rtd",,"OPEN_INT","."&amp;K$2&amp;K$1&amp;"P"&amp;$A9)*RTD("tos.rtd",,"DELTA","."&amp;K$2&amp;K$1&amp;"P"&amp;$A9))/1000,0),IF($A$2="VEX",IFERROR(($A$4*$A$4*RTD("tos.rtd",,"VOLUME","."&amp;K$2&amp;K$1&amp;"C"&amp;$A9)*RTD("tos.rtd",,"GAMMA","."&amp;K$2&amp;K$1&amp;"C"&amp;$A9)-$A$4*$A$4*RTD("tos.rtd",,"VOLUME","."&amp;K$2&amp;K$1&amp;"P"&amp;$A9)*RTD("tos.rtd",,"GAMMA","."&amp;K$2&amp;K$1&amp;"P"&amp;$A9))/1000000,0),IF($A$2="GEX",IFERROR(($A$4*$A$4*RTD("tos.rtd",,"OPEN_INT","."&amp;K$2&amp;K$1&amp;"C"&amp;$A9)*RTD("tos.rtd",,"GAMMA","."&amp;K$2&amp;K$1&amp;"C"&amp;$A9)-$A$4*$A$4*RTD("tos.rtd",,"OPEN_INT","."&amp;K$2&amp;K$1&amp;"P"&amp;$A9)*RTD("tos.rtd",,"GAMMA","."&amp;K$2&amp;K$1&amp;"P"&amp;$A9))/1000000,0),IF($A$2="SKEW",IFERROR(VALUE(IF(RTD("tos.rtd",,"IMPL_VOL","."&amp;K$2&amp;K$1&amp;"P"&amp;$A9)="N/A",0,RTD("tos.rtd",,"IMPL_VOL","."&amp;K$2&amp;K$1&amp;"P"&amp;$A9))),0)-IFERROR(VALUE(IF(RTD("tos.rtd",,"IMPL_VOL","."&amp;K$2&amp;K$1&amp;"C"&amp;$A9)="N/A",0,RTD("tos.rtd",,"IMPL_VOL","."&amp;K$2&amp;K$1&amp;"C"&amp;$A9))),0),IF($A$2="MAXPAIN",IF($A$4&gt;$A9,($A$4-$A9)*IF(RTD("tos.rtd",,"OPEN_INT","."&amp;K$2&amp;K$1&amp;"C"&amp;$A9)="N/A",0,RTD("tos.rtd",,"OPEN_INT","."&amp;K$2&amp;K$1&amp;"C"&amp;$A9)),0)+IF($A$4&lt;$A9,($A9-$A$4)*IF(RTD("tos.rtd",,"OPEN_INT","."&amp;K$2&amp;K$1&amp;"P"&amp;$A9)="N/A",0,RTD("tos.rtd",,"OPEN_INT","."&amp;K$2&amp;K$1&amp;"P"&amp;$A9)),0),IF(RTD("tos.rtd",,$A$2,"."&amp;K$2&amp;K$1&amp;"C"&amp;$A9)="N/A",0,RTD("tos.rtd",,$A$2,"."&amp;K$2&amp;K$1&amp;"C"&amp;$A9))-IF(RTD("tos.rtd",,$A$2,"."&amp;K$2&amp;K$1&amp;"P"&amp;$A9)="N/A",0,RTD("tos.rtd",,$A$2,"."&amp;K$2&amp;K$1&amp;"P"&amp;$A9)))))))))</f>
        <v>0</v>
      </c>
      <c r="L9" s="12">
        <f>IF($A$2="PREMIUM_OI",IFERROR((100*RTD("tos.rtd",,"OPEN_INT","."&amp;L$2&amp;L$1&amp;"C"&amp;$A9)*RTD("tos.rtd",,"LAST","."&amp;L$2&amp;L$1&amp;"C"&amp;$A9)-100*RTD("tos.rtd",,"OPEN_INT","."&amp;L$2&amp;L$1&amp;"P"&amp;$A9)*RTD("tos.rtd",,"LAST","."&amp;L$2&amp;L$1&amp;"P"&amp;$A9))/1000000,0),IF($A$2="PREMIUM",IFERROR((100*RTD("tos.rtd",,"VOLUME","."&amp;L$2&amp;L$1&amp;"C"&amp;$A9)*RTD("tos.rtd",,"LAST","."&amp;L$2&amp;L$1&amp;"C"&amp;$A9)-100*RTD("tos.rtd",,"VOLUME","."&amp;L$2&amp;L$1&amp;"P"&amp;$A9)*RTD("tos.rtd",,"LAST","."&amp;L$2&amp;L$1&amp;"P"&amp;$A9))/1000000,0),IF($A$2="DEX",IFERROR((100*RTD("tos.rtd",,"OPEN_INT","."&amp;L$2&amp;L$1&amp;"C"&amp;$A9)*RTD("tos.rtd",,"DELTA","."&amp;L$2&amp;L$1&amp;"C"&amp;$A9)-100*RTD("tos.rtd",,"OPEN_INT","."&amp;L$2&amp;L$1&amp;"P"&amp;$A9)*RTD("tos.rtd",,"DELTA","."&amp;L$2&amp;L$1&amp;"P"&amp;$A9))/1000,0),IF($A$2="VEX",IFERROR(($A$4*$A$4*RTD("tos.rtd",,"VOLUME","."&amp;L$2&amp;L$1&amp;"C"&amp;$A9)*RTD("tos.rtd",,"GAMMA","."&amp;L$2&amp;L$1&amp;"C"&amp;$A9)-$A$4*$A$4*RTD("tos.rtd",,"VOLUME","."&amp;L$2&amp;L$1&amp;"P"&amp;$A9)*RTD("tos.rtd",,"GAMMA","."&amp;L$2&amp;L$1&amp;"P"&amp;$A9))/1000000,0),IF($A$2="GEX",IFERROR(($A$4*$A$4*RTD("tos.rtd",,"OPEN_INT","."&amp;L$2&amp;L$1&amp;"C"&amp;$A9)*RTD("tos.rtd",,"GAMMA","."&amp;L$2&amp;L$1&amp;"C"&amp;$A9)-$A$4*$A$4*RTD("tos.rtd",,"OPEN_INT","."&amp;L$2&amp;L$1&amp;"P"&amp;$A9)*RTD("tos.rtd",,"GAMMA","."&amp;L$2&amp;L$1&amp;"P"&amp;$A9))/1000000,0),IF($A$2="SKEW",IFERROR(VALUE(IF(RTD("tos.rtd",,"IMPL_VOL","."&amp;L$2&amp;L$1&amp;"P"&amp;$A9)="N/A",0,RTD("tos.rtd",,"IMPL_VOL","."&amp;L$2&amp;L$1&amp;"P"&amp;$A9))),0)-IFERROR(VALUE(IF(RTD("tos.rtd",,"IMPL_VOL","."&amp;L$2&amp;L$1&amp;"C"&amp;$A9)="N/A",0,RTD("tos.rtd",,"IMPL_VOL","."&amp;L$2&amp;L$1&amp;"C"&amp;$A9))),0),IF($A$2="MAXPAIN",IF($A$4&gt;$A9,($A$4-$A9)*IF(RTD("tos.rtd",,"OPEN_INT","."&amp;L$2&amp;L$1&amp;"C"&amp;$A9)="N/A",0,RTD("tos.rtd",,"OPEN_INT","."&amp;L$2&amp;L$1&amp;"C"&amp;$A9)),0)+IF($A$4&lt;$A9,($A9-$A$4)*IF(RTD("tos.rtd",,"OPEN_INT","."&amp;L$2&amp;L$1&amp;"P"&amp;$A9)="N/A",0,RTD("tos.rtd",,"OPEN_INT","."&amp;L$2&amp;L$1&amp;"P"&amp;$A9)),0),IF(RTD("tos.rtd",,$A$2,"."&amp;L$2&amp;L$1&amp;"C"&amp;$A9)="N/A",0,RTD("tos.rtd",,$A$2,"."&amp;L$2&amp;L$1&amp;"C"&amp;$A9))-IF(RTD("tos.rtd",,$A$2,"."&amp;L$2&amp;L$1&amp;"P"&amp;$A9)="N/A",0,RTD("tos.rtd",,$A$2,"."&amp;L$2&amp;L$1&amp;"P"&amp;$A9)))))))))</f>
        <v>0</v>
      </c>
      <c r="M9" s="12">
        <f>IF($A$2="PREMIUM_OI",IFERROR((100*RTD("tos.rtd",,"OPEN_INT","."&amp;M$2&amp;M$1&amp;"C"&amp;$A9)*RTD("tos.rtd",,"LAST","."&amp;M$2&amp;M$1&amp;"C"&amp;$A9)-100*RTD("tos.rtd",,"OPEN_INT","."&amp;M$2&amp;M$1&amp;"P"&amp;$A9)*RTD("tos.rtd",,"LAST","."&amp;M$2&amp;M$1&amp;"P"&amp;$A9))/1000000,0),IF($A$2="PREMIUM",IFERROR((100*RTD("tos.rtd",,"VOLUME","."&amp;M$2&amp;M$1&amp;"C"&amp;$A9)*RTD("tos.rtd",,"LAST","."&amp;M$2&amp;M$1&amp;"C"&amp;$A9)-100*RTD("tos.rtd",,"VOLUME","."&amp;M$2&amp;M$1&amp;"P"&amp;$A9)*RTD("tos.rtd",,"LAST","."&amp;M$2&amp;M$1&amp;"P"&amp;$A9))/1000000,0),IF($A$2="DEX",IFERROR((100*RTD("tos.rtd",,"OPEN_INT","."&amp;M$2&amp;M$1&amp;"C"&amp;$A9)*RTD("tos.rtd",,"DELTA","."&amp;M$2&amp;M$1&amp;"C"&amp;$A9)-100*RTD("tos.rtd",,"OPEN_INT","."&amp;M$2&amp;M$1&amp;"P"&amp;$A9)*RTD("tos.rtd",,"DELTA","."&amp;M$2&amp;M$1&amp;"P"&amp;$A9))/1000,0),IF($A$2="VEX",IFERROR(($A$4*$A$4*RTD("tos.rtd",,"VOLUME","."&amp;M$2&amp;M$1&amp;"C"&amp;$A9)*RTD("tos.rtd",,"GAMMA","."&amp;M$2&amp;M$1&amp;"C"&amp;$A9)-$A$4*$A$4*RTD("tos.rtd",,"VOLUME","."&amp;M$2&amp;M$1&amp;"P"&amp;$A9)*RTD("tos.rtd",,"GAMMA","."&amp;M$2&amp;M$1&amp;"P"&amp;$A9))/1000000,0),IF($A$2="GEX",IFERROR(($A$4*$A$4*RTD("tos.rtd",,"OPEN_INT","."&amp;M$2&amp;M$1&amp;"C"&amp;$A9)*RTD("tos.rtd",,"GAMMA","."&amp;M$2&amp;M$1&amp;"C"&amp;$A9)-$A$4*$A$4*RTD("tos.rtd",,"OPEN_INT","."&amp;M$2&amp;M$1&amp;"P"&amp;$A9)*RTD("tos.rtd",,"GAMMA","."&amp;M$2&amp;M$1&amp;"P"&amp;$A9))/1000000,0),IF($A$2="SKEW",IFERROR(VALUE(IF(RTD("tos.rtd",,"IMPL_VOL","."&amp;M$2&amp;M$1&amp;"P"&amp;$A9)="N/A",0,RTD("tos.rtd",,"IMPL_VOL","."&amp;M$2&amp;M$1&amp;"P"&amp;$A9))),0)-IFERROR(VALUE(IF(RTD("tos.rtd",,"IMPL_VOL","."&amp;M$2&amp;M$1&amp;"C"&amp;$A9)="N/A",0,RTD("tos.rtd",,"IMPL_VOL","."&amp;M$2&amp;M$1&amp;"C"&amp;$A9))),0),IF($A$2="MAXPAIN",IF($A$4&gt;$A9,($A$4-$A9)*IF(RTD("tos.rtd",,"OPEN_INT","."&amp;M$2&amp;M$1&amp;"C"&amp;$A9)="N/A",0,RTD("tos.rtd",,"OPEN_INT","."&amp;M$2&amp;M$1&amp;"C"&amp;$A9)),0)+IF($A$4&lt;$A9,($A9-$A$4)*IF(RTD("tos.rtd",,"OPEN_INT","."&amp;M$2&amp;M$1&amp;"P"&amp;$A9)="N/A",0,RTD("tos.rtd",,"OPEN_INT","."&amp;M$2&amp;M$1&amp;"P"&amp;$A9)),0),IF(RTD("tos.rtd",,$A$2,"."&amp;M$2&amp;M$1&amp;"C"&amp;$A9)="N/A",0,RTD("tos.rtd",,$A$2,"."&amp;M$2&amp;M$1&amp;"C"&amp;$A9))-IF(RTD("tos.rtd",,$A$2,"."&amp;M$2&amp;M$1&amp;"P"&amp;$A9)="N/A",0,RTD("tos.rtd",,$A$2,"."&amp;M$2&amp;M$1&amp;"P"&amp;$A9)))))))))</f>
        <v>17</v>
      </c>
      <c r="N9" s="12">
        <f>IF($A$2="PREMIUM_OI",IFERROR((100*RTD("tos.rtd",,"OPEN_INT","."&amp;N$2&amp;N$1&amp;"C"&amp;$A9)*RTD("tos.rtd",,"LAST","."&amp;N$2&amp;N$1&amp;"C"&amp;$A9)-100*RTD("tos.rtd",,"OPEN_INT","."&amp;N$2&amp;N$1&amp;"P"&amp;$A9)*RTD("tos.rtd",,"LAST","."&amp;N$2&amp;N$1&amp;"P"&amp;$A9))/1000000,0),IF($A$2="PREMIUM",IFERROR((100*RTD("tos.rtd",,"VOLUME","."&amp;N$2&amp;N$1&amp;"C"&amp;$A9)*RTD("tos.rtd",,"LAST","."&amp;N$2&amp;N$1&amp;"C"&amp;$A9)-100*RTD("tos.rtd",,"VOLUME","."&amp;N$2&amp;N$1&amp;"P"&amp;$A9)*RTD("tos.rtd",,"LAST","."&amp;N$2&amp;N$1&amp;"P"&amp;$A9))/1000000,0),IF($A$2="DEX",IFERROR((100*RTD("tos.rtd",,"OPEN_INT","."&amp;N$2&amp;N$1&amp;"C"&amp;$A9)*RTD("tos.rtd",,"DELTA","."&amp;N$2&amp;N$1&amp;"C"&amp;$A9)-100*RTD("tos.rtd",,"OPEN_INT","."&amp;N$2&amp;N$1&amp;"P"&amp;$A9)*RTD("tos.rtd",,"DELTA","."&amp;N$2&amp;N$1&amp;"P"&amp;$A9))/1000,0),IF($A$2="VEX",IFERROR(($A$4*$A$4*RTD("tos.rtd",,"VOLUME","."&amp;N$2&amp;N$1&amp;"C"&amp;$A9)*RTD("tos.rtd",,"GAMMA","."&amp;N$2&amp;N$1&amp;"C"&amp;$A9)-$A$4*$A$4*RTD("tos.rtd",,"VOLUME","."&amp;N$2&amp;N$1&amp;"P"&amp;$A9)*RTD("tos.rtd",,"GAMMA","."&amp;N$2&amp;N$1&amp;"P"&amp;$A9))/1000000,0),IF($A$2="GEX",IFERROR(($A$4*$A$4*RTD("tos.rtd",,"OPEN_INT","."&amp;N$2&amp;N$1&amp;"C"&amp;$A9)*RTD("tos.rtd",,"GAMMA","."&amp;N$2&amp;N$1&amp;"C"&amp;$A9)-$A$4*$A$4*RTD("tos.rtd",,"OPEN_INT","."&amp;N$2&amp;N$1&amp;"P"&amp;$A9)*RTD("tos.rtd",,"GAMMA","."&amp;N$2&amp;N$1&amp;"P"&amp;$A9))/1000000,0),IF($A$2="SKEW",IFERROR(VALUE(IF(RTD("tos.rtd",,"IMPL_VOL","."&amp;N$2&amp;N$1&amp;"P"&amp;$A9)="N/A",0,RTD("tos.rtd",,"IMPL_VOL","."&amp;N$2&amp;N$1&amp;"P"&amp;$A9))),0)-IFERROR(VALUE(IF(RTD("tos.rtd",,"IMPL_VOL","."&amp;N$2&amp;N$1&amp;"C"&amp;$A9)="N/A",0,RTD("tos.rtd",,"IMPL_VOL","."&amp;N$2&amp;N$1&amp;"C"&amp;$A9))),0),IF($A$2="MAXPAIN",IF($A$4&gt;$A9,($A$4-$A9)*IF(RTD("tos.rtd",,"OPEN_INT","."&amp;N$2&amp;N$1&amp;"C"&amp;$A9)="N/A",0,RTD("tos.rtd",,"OPEN_INT","."&amp;N$2&amp;N$1&amp;"C"&amp;$A9)),0)+IF($A$4&lt;$A9,($A9-$A$4)*IF(RTD("tos.rtd",,"OPEN_INT","."&amp;N$2&amp;N$1&amp;"P"&amp;$A9)="N/A",0,RTD("tos.rtd",,"OPEN_INT","."&amp;N$2&amp;N$1&amp;"P"&amp;$A9)),0),IF(RTD("tos.rtd",,$A$2,"."&amp;N$2&amp;N$1&amp;"C"&amp;$A9)="N/A",0,RTD("tos.rtd",,$A$2,"."&amp;N$2&amp;N$1&amp;"C"&amp;$A9))-IF(RTD("tos.rtd",,$A$2,"."&amp;N$2&amp;N$1&amp;"P"&amp;$A9)="N/A",0,RTD("tos.rtd",,$A$2,"."&amp;N$2&amp;N$1&amp;"P"&amp;$A9)))))))))</f>
        <v>0</v>
      </c>
      <c r="O9" s="12">
        <f>IF($A$2="PREMIUM_OI",IFERROR((100*RTD("tos.rtd",,"OPEN_INT","."&amp;O$2&amp;O$1&amp;"C"&amp;$A9)*RTD("tos.rtd",,"LAST","."&amp;O$2&amp;O$1&amp;"C"&amp;$A9)-100*RTD("tos.rtd",,"OPEN_INT","."&amp;O$2&amp;O$1&amp;"P"&amp;$A9)*RTD("tos.rtd",,"LAST","."&amp;O$2&amp;O$1&amp;"P"&amp;$A9))/1000000,0),IF($A$2="PREMIUM",IFERROR((100*RTD("tos.rtd",,"VOLUME","."&amp;O$2&amp;O$1&amp;"C"&amp;$A9)*RTD("tos.rtd",,"LAST","."&amp;O$2&amp;O$1&amp;"C"&amp;$A9)-100*RTD("tos.rtd",,"VOLUME","."&amp;O$2&amp;O$1&amp;"P"&amp;$A9)*RTD("tos.rtd",,"LAST","."&amp;O$2&amp;O$1&amp;"P"&amp;$A9))/1000000,0),IF($A$2="DEX",IFERROR((100*RTD("tos.rtd",,"OPEN_INT","."&amp;O$2&amp;O$1&amp;"C"&amp;$A9)*RTD("tos.rtd",,"DELTA","."&amp;O$2&amp;O$1&amp;"C"&amp;$A9)-100*RTD("tos.rtd",,"OPEN_INT","."&amp;O$2&amp;O$1&amp;"P"&amp;$A9)*RTD("tos.rtd",,"DELTA","."&amp;O$2&amp;O$1&amp;"P"&amp;$A9))/1000,0),IF($A$2="VEX",IFERROR(($A$4*$A$4*RTD("tos.rtd",,"VOLUME","."&amp;O$2&amp;O$1&amp;"C"&amp;$A9)*RTD("tos.rtd",,"GAMMA","."&amp;O$2&amp;O$1&amp;"C"&amp;$A9)-$A$4*$A$4*RTD("tos.rtd",,"VOLUME","."&amp;O$2&amp;O$1&amp;"P"&amp;$A9)*RTD("tos.rtd",,"GAMMA","."&amp;O$2&amp;O$1&amp;"P"&amp;$A9))/1000000,0),IF($A$2="GEX",IFERROR(($A$4*$A$4*RTD("tos.rtd",,"OPEN_INT","."&amp;O$2&amp;O$1&amp;"C"&amp;$A9)*RTD("tos.rtd",,"GAMMA","."&amp;O$2&amp;O$1&amp;"C"&amp;$A9)-$A$4*$A$4*RTD("tos.rtd",,"OPEN_INT","."&amp;O$2&amp;O$1&amp;"P"&amp;$A9)*RTD("tos.rtd",,"GAMMA","."&amp;O$2&amp;O$1&amp;"P"&amp;$A9))/1000000,0),IF($A$2="SKEW",IFERROR(VALUE(IF(RTD("tos.rtd",,"IMPL_VOL","."&amp;O$2&amp;O$1&amp;"P"&amp;$A9)="N/A",0,RTD("tos.rtd",,"IMPL_VOL","."&amp;O$2&amp;O$1&amp;"P"&amp;$A9))),0)-IFERROR(VALUE(IF(RTD("tos.rtd",,"IMPL_VOL","."&amp;O$2&amp;O$1&amp;"C"&amp;$A9)="N/A",0,RTD("tos.rtd",,"IMPL_VOL","."&amp;O$2&amp;O$1&amp;"C"&amp;$A9))),0),IF($A$2="MAXPAIN",IF($A$4&gt;$A9,($A$4-$A9)*IF(RTD("tos.rtd",,"OPEN_INT","."&amp;O$2&amp;O$1&amp;"C"&amp;$A9)="N/A",0,RTD("tos.rtd",,"OPEN_INT","."&amp;O$2&amp;O$1&amp;"C"&amp;$A9)),0)+IF($A$4&lt;$A9,($A9-$A$4)*IF(RTD("tos.rtd",,"OPEN_INT","."&amp;O$2&amp;O$1&amp;"P"&amp;$A9)="N/A",0,RTD("tos.rtd",,"OPEN_INT","."&amp;O$2&amp;O$1&amp;"P"&amp;$A9)),0),IF(RTD("tos.rtd",,$A$2,"."&amp;O$2&amp;O$1&amp;"C"&amp;$A9)="N/A",0,RTD("tos.rtd",,$A$2,"."&amp;O$2&amp;O$1&amp;"C"&amp;$A9))-IF(RTD("tos.rtd",,$A$2,"."&amp;O$2&amp;O$1&amp;"P"&amp;$A9)="N/A",0,RTD("tos.rtd",,$A$2,"."&amp;O$2&amp;O$1&amp;"P"&amp;$A9)))))))))</f>
        <v>0</v>
      </c>
      <c r="P9" s="12">
        <f>IF($A$2="PREMIUM_OI",IFERROR((100*RTD("tos.rtd",,"OPEN_INT","."&amp;P$2&amp;P$1&amp;"C"&amp;$A9)*RTD("tos.rtd",,"LAST","."&amp;P$2&amp;P$1&amp;"C"&amp;$A9)-100*RTD("tos.rtd",,"OPEN_INT","."&amp;P$2&amp;P$1&amp;"P"&amp;$A9)*RTD("tos.rtd",,"LAST","."&amp;P$2&amp;P$1&amp;"P"&amp;$A9))/1000000,0),IF($A$2="PREMIUM",IFERROR((100*RTD("tos.rtd",,"VOLUME","."&amp;P$2&amp;P$1&amp;"C"&amp;$A9)*RTD("tos.rtd",,"LAST","."&amp;P$2&amp;P$1&amp;"C"&amp;$A9)-100*RTD("tos.rtd",,"VOLUME","."&amp;P$2&amp;P$1&amp;"P"&amp;$A9)*RTD("tos.rtd",,"LAST","."&amp;P$2&amp;P$1&amp;"P"&amp;$A9))/1000000,0),IF($A$2="DEX",IFERROR((100*RTD("tos.rtd",,"OPEN_INT","."&amp;P$2&amp;P$1&amp;"C"&amp;$A9)*RTD("tos.rtd",,"DELTA","."&amp;P$2&amp;P$1&amp;"C"&amp;$A9)-100*RTD("tos.rtd",,"OPEN_INT","."&amp;P$2&amp;P$1&amp;"P"&amp;$A9)*RTD("tos.rtd",,"DELTA","."&amp;P$2&amp;P$1&amp;"P"&amp;$A9))/1000,0),IF($A$2="VEX",IFERROR(($A$4*$A$4*RTD("tos.rtd",,"VOLUME","."&amp;P$2&amp;P$1&amp;"C"&amp;$A9)*RTD("tos.rtd",,"GAMMA","."&amp;P$2&amp;P$1&amp;"C"&amp;$A9)-$A$4*$A$4*RTD("tos.rtd",,"VOLUME","."&amp;P$2&amp;P$1&amp;"P"&amp;$A9)*RTD("tos.rtd",,"GAMMA","."&amp;P$2&amp;P$1&amp;"P"&amp;$A9))/1000000,0),IF($A$2="GEX",IFERROR(($A$4*$A$4*RTD("tos.rtd",,"OPEN_INT","."&amp;P$2&amp;P$1&amp;"C"&amp;$A9)*RTD("tos.rtd",,"GAMMA","."&amp;P$2&amp;P$1&amp;"C"&amp;$A9)-$A$4*$A$4*RTD("tos.rtd",,"OPEN_INT","."&amp;P$2&amp;P$1&amp;"P"&amp;$A9)*RTD("tos.rtd",,"GAMMA","."&amp;P$2&amp;P$1&amp;"P"&amp;$A9))/1000000,0),IF($A$2="SKEW",IFERROR(VALUE(IF(RTD("tos.rtd",,"IMPL_VOL","."&amp;P$2&amp;P$1&amp;"P"&amp;$A9)="N/A",0,RTD("tos.rtd",,"IMPL_VOL","."&amp;P$2&amp;P$1&amp;"P"&amp;$A9))),0)-IFERROR(VALUE(IF(RTD("tos.rtd",,"IMPL_VOL","."&amp;P$2&amp;P$1&amp;"C"&amp;$A9)="N/A",0,RTD("tos.rtd",,"IMPL_VOL","."&amp;P$2&amp;P$1&amp;"C"&amp;$A9))),0),IF($A$2="MAXPAIN",IF($A$4&gt;$A9,($A$4-$A9)*IF(RTD("tos.rtd",,"OPEN_INT","."&amp;P$2&amp;P$1&amp;"C"&amp;$A9)="N/A",0,RTD("tos.rtd",,"OPEN_INT","."&amp;P$2&amp;P$1&amp;"C"&amp;$A9)),0)+IF($A$4&lt;$A9,($A9-$A$4)*IF(RTD("tos.rtd",,"OPEN_INT","."&amp;P$2&amp;P$1&amp;"P"&amp;$A9)="N/A",0,RTD("tos.rtd",,"OPEN_INT","."&amp;P$2&amp;P$1&amp;"P"&amp;$A9)),0),IF(RTD("tos.rtd",,$A$2,"."&amp;P$2&amp;P$1&amp;"C"&amp;$A9)="N/A",0,RTD("tos.rtd",,$A$2,"."&amp;P$2&amp;P$1&amp;"C"&amp;$A9))-IF(RTD("tos.rtd",,$A$2,"."&amp;P$2&amp;P$1&amp;"P"&amp;$A9)="N/A",0,RTD("tos.rtd",,$A$2,"."&amp;P$2&amp;P$1&amp;"P"&amp;$A9)))))))))</f>
        <v>0</v>
      </c>
      <c r="Q9" s="12">
        <f>IF($A$2="PREMIUM_OI",IFERROR((100*RTD("tos.rtd",,"OPEN_INT","."&amp;Q$2&amp;Q$1&amp;"C"&amp;$A9)*RTD("tos.rtd",,"LAST","."&amp;Q$2&amp;Q$1&amp;"C"&amp;$A9)-100*RTD("tos.rtd",,"OPEN_INT","."&amp;Q$2&amp;Q$1&amp;"P"&amp;$A9)*RTD("tos.rtd",,"LAST","."&amp;Q$2&amp;Q$1&amp;"P"&amp;$A9))/1000000,0),IF($A$2="PREMIUM",IFERROR((100*RTD("tos.rtd",,"VOLUME","."&amp;Q$2&amp;Q$1&amp;"C"&amp;$A9)*RTD("tos.rtd",,"LAST","."&amp;Q$2&amp;Q$1&amp;"C"&amp;$A9)-100*RTD("tos.rtd",,"VOLUME","."&amp;Q$2&amp;Q$1&amp;"P"&amp;$A9)*RTD("tos.rtd",,"LAST","."&amp;Q$2&amp;Q$1&amp;"P"&amp;$A9))/1000000,0),IF($A$2="DEX",IFERROR((100*RTD("tos.rtd",,"OPEN_INT","."&amp;Q$2&amp;Q$1&amp;"C"&amp;$A9)*RTD("tos.rtd",,"DELTA","."&amp;Q$2&amp;Q$1&amp;"C"&amp;$A9)-100*RTD("tos.rtd",,"OPEN_INT","."&amp;Q$2&amp;Q$1&amp;"P"&amp;$A9)*RTD("tos.rtd",,"DELTA","."&amp;Q$2&amp;Q$1&amp;"P"&amp;$A9))/1000,0),IF($A$2="VEX",IFERROR(($A$4*$A$4*RTD("tos.rtd",,"VOLUME","."&amp;Q$2&amp;Q$1&amp;"C"&amp;$A9)*RTD("tos.rtd",,"GAMMA","."&amp;Q$2&amp;Q$1&amp;"C"&amp;$A9)-$A$4*$A$4*RTD("tos.rtd",,"VOLUME","."&amp;Q$2&amp;Q$1&amp;"P"&amp;$A9)*RTD("tos.rtd",,"GAMMA","."&amp;Q$2&amp;Q$1&amp;"P"&amp;$A9))/1000000,0),IF($A$2="GEX",IFERROR(($A$4*$A$4*RTD("tos.rtd",,"OPEN_INT","."&amp;Q$2&amp;Q$1&amp;"C"&amp;$A9)*RTD("tos.rtd",,"GAMMA","."&amp;Q$2&amp;Q$1&amp;"C"&amp;$A9)-$A$4*$A$4*RTD("tos.rtd",,"OPEN_INT","."&amp;Q$2&amp;Q$1&amp;"P"&amp;$A9)*RTD("tos.rtd",,"GAMMA","."&amp;Q$2&amp;Q$1&amp;"P"&amp;$A9))/1000000,0),IF($A$2="SKEW",IFERROR(VALUE(IF(RTD("tos.rtd",,"IMPL_VOL","."&amp;Q$2&amp;Q$1&amp;"P"&amp;$A9)="N/A",0,RTD("tos.rtd",,"IMPL_VOL","."&amp;Q$2&amp;Q$1&amp;"P"&amp;$A9))),0)-IFERROR(VALUE(IF(RTD("tos.rtd",,"IMPL_VOL","."&amp;Q$2&amp;Q$1&amp;"C"&amp;$A9)="N/A",0,RTD("tos.rtd",,"IMPL_VOL","."&amp;Q$2&amp;Q$1&amp;"C"&amp;$A9))),0),IF($A$2="MAXPAIN",IF($A$4&gt;$A9,($A$4-$A9)*IF(RTD("tos.rtd",,"OPEN_INT","."&amp;Q$2&amp;Q$1&amp;"C"&amp;$A9)="N/A",0,RTD("tos.rtd",,"OPEN_INT","."&amp;Q$2&amp;Q$1&amp;"C"&amp;$A9)),0)+IF($A$4&lt;$A9,($A9-$A$4)*IF(RTD("tos.rtd",,"OPEN_INT","."&amp;Q$2&amp;Q$1&amp;"P"&amp;$A9)="N/A",0,RTD("tos.rtd",,"OPEN_INT","."&amp;Q$2&amp;Q$1&amp;"P"&amp;$A9)),0),IF(RTD("tos.rtd",,$A$2,"."&amp;Q$2&amp;Q$1&amp;"C"&amp;$A9)="N/A",0,RTD("tos.rtd",,$A$2,"."&amp;Q$2&amp;Q$1&amp;"C"&amp;$A9))-IF(RTD("tos.rtd",,$A$2,"."&amp;Q$2&amp;Q$1&amp;"P"&amp;$A9)="N/A",0,RTD("tos.rtd",,$A$2,"."&amp;Q$2&amp;Q$1&amp;"P"&amp;$A9)))))))))</f>
        <v>0</v>
      </c>
      <c r="R9" s="12">
        <f>IF($A$2="PREMIUM_OI",IFERROR((100*RTD("tos.rtd",,"OPEN_INT","."&amp;R$2&amp;R$1&amp;"C"&amp;$A9)*RTD("tos.rtd",,"LAST","."&amp;R$2&amp;R$1&amp;"C"&amp;$A9)-100*RTD("tos.rtd",,"OPEN_INT","."&amp;R$2&amp;R$1&amp;"P"&amp;$A9)*RTD("tos.rtd",,"LAST","."&amp;R$2&amp;R$1&amp;"P"&amp;$A9))/1000000,0),IF($A$2="PREMIUM",IFERROR((100*RTD("tos.rtd",,"VOLUME","."&amp;R$2&amp;R$1&amp;"C"&amp;$A9)*RTD("tos.rtd",,"LAST","."&amp;R$2&amp;R$1&amp;"C"&amp;$A9)-100*RTD("tos.rtd",,"VOLUME","."&amp;R$2&amp;R$1&amp;"P"&amp;$A9)*RTD("tos.rtd",,"LAST","."&amp;R$2&amp;R$1&amp;"P"&amp;$A9))/1000000,0),IF($A$2="DEX",IFERROR((100*RTD("tos.rtd",,"OPEN_INT","."&amp;R$2&amp;R$1&amp;"C"&amp;$A9)*RTD("tos.rtd",,"DELTA","."&amp;R$2&amp;R$1&amp;"C"&amp;$A9)-100*RTD("tos.rtd",,"OPEN_INT","."&amp;R$2&amp;R$1&amp;"P"&amp;$A9)*RTD("tos.rtd",,"DELTA","."&amp;R$2&amp;R$1&amp;"P"&amp;$A9))/1000,0),IF($A$2="VEX",IFERROR(($A$4*$A$4*RTD("tos.rtd",,"VOLUME","."&amp;R$2&amp;R$1&amp;"C"&amp;$A9)*RTD("tos.rtd",,"GAMMA","."&amp;R$2&amp;R$1&amp;"C"&amp;$A9)-$A$4*$A$4*RTD("tos.rtd",,"VOLUME","."&amp;R$2&amp;R$1&amp;"P"&amp;$A9)*RTD("tos.rtd",,"GAMMA","."&amp;R$2&amp;R$1&amp;"P"&amp;$A9))/1000000,0),IF($A$2="GEX",IFERROR(($A$4*$A$4*RTD("tos.rtd",,"OPEN_INT","."&amp;R$2&amp;R$1&amp;"C"&amp;$A9)*RTD("tos.rtd",,"GAMMA","."&amp;R$2&amp;R$1&amp;"C"&amp;$A9)-$A$4*$A$4*RTD("tos.rtd",,"OPEN_INT","."&amp;R$2&amp;R$1&amp;"P"&amp;$A9)*RTD("tos.rtd",,"GAMMA","."&amp;R$2&amp;R$1&amp;"P"&amp;$A9))/1000000,0),IF($A$2="SKEW",IFERROR(VALUE(IF(RTD("tos.rtd",,"IMPL_VOL","."&amp;R$2&amp;R$1&amp;"P"&amp;$A9)="N/A",0,RTD("tos.rtd",,"IMPL_VOL","."&amp;R$2&amp;R$1&amp;"P"&amp;$A9))),0)-IFERROR(VALUE(IF(RTD("tos.rtd",,"IMPL_VOL","."&amp;R$2&amp;R$1&amp;"C"&amp;$A9)="N/A",0,RTD("tos.rtd",,"IMPL_VOL","."&amp;R$2&amp;R$1&amp;"C"&amp;$A9))),0),IF($A$2="MAXPAIN",IF($A$4&gt;$A9,($A$4-$A9)*IF(RTD("tos.rtd",,"OPEN_INT","."&amp;R$2&amp;R$1&amp;"C"&amp;$A9)="N/A",0,RTD("tos.rtd",,"OPEN_INT","."&amp;R$2&amp;R$1&amp;"C"&amp;$A9)),0)+IF($A$4&lt;$A9,($A9-$A$4)*IF(RTD("tos.rtd",,"OPEN_INT","."&amp;R$2&amp;R$1&amp;"P"&amp;$A9)="N/A",0,RTD("tos.rtd",,"OPEN_INT","."&amp;R$2&amp;R$1&amp;"P"&amp;$A9)),0),IF(RTD("tos.rtd",,$A$2,"."&amp;R$2&amp;R$1&amp;"C"&amp;$A9)="N/A",0,RTD("tos.rtd",,$A$2,"."&amp;R$2&amp;R$1&amp;"C"&amp;$A9))-IF(RTD("tos.rtd",,$A$2,"."&amp;R$2&amp;R$1&amp;"P"&amp;$A9)="N/A",0,RTD("tos.rtd",,$A$2,"."&amp;R$2&amp;R$1&amp;"P"&amp;$A9)))))))))</f>
        <v>53</v>
      </c>
      <c r="S9" s="12">
        <f>IF($A$2="PREMIUM_OI",IFERROR((100*RTD("tos.rtd",,"OPEN_INT","."&amp;S$2&amp;S$1&amp;"C"&amp;$A9)*RTD("tos.rtd",,"LAST","."&amp;S$2&amp;S$1&amp;"C"&amp;$A9)-100*RTD("tos.rtd",,"OPEN_INT","."&amp;S$2&amp;S$1&amp;"P"&amp;$A9)*RTD("tos.rtd",,"LAST","."&amp;S$2&amp;S$1&amp;"P"&amp;$A9))/1000000,0),IF($A$2="PREMIUM",IFERROR((100*RTD("tos.rtd",,"VOLUME","."&amp;S$2&amp;S$1&amp;"C"&amp;$A9)*RTD("tos.rtd",,"LAST","."&amp;S$2&amp;S$1&amp;"C"&amp;$A9)-100*RTD("tos.rtd",,"VOLUME","."&amp;S$2&amp;S$1&amp;"P"&amp;$A9)*RTD("tos.rtd",,"LAST","."&amp;S$2&amp;S$1&amp;"P"&amp;$A9))/1000000,0),IF($A$2="DEX",IFERROR((100*RTD("tos.rtd",,"OPEN_INT","."&amp;S$2&amp;S$1&amp;"C"&amp;$A9)*RTD("tos.rtd",,"DELTA","."&amp;S$2&amp;S$1&amp;"C"&amp;$A9)-100*RTD("tos.rtd",,"OPEN_INT","."&amp;S$2&amp;S$1&amp;"P"&amp;$A9)*RTD("tos.rtd",,"DELTA","."&amp;S$2&amp;S$1&amp;"P"&amp;$A9))/1000,0),IF($A$2="VEX",IFERROR(($A$4*$A$4*RTD("tos.rtd",,"VOLUME","."&amp;S$2&amp;S$1&amp;"C"&amp;$A9)*RTD("tos.rtd",,"GAMMA","."&amp;S$2&amp;S$1&amp;"C"&amp;$A9)-$A$4*$A$4*RTD("tos.rtd",,"VOLUME","."&amp;S$2&amp;S$1&amp;"P"&amp;$A9)*RTD("tos.rtd",,"GAMMA","."&amp;S$2&amp;S$1&amp;"P"&amp;$A9))/1000000,0),IF($A$2="GEX",IFERROR(($A$4*$A$4*RTD("tos.rtd",,"OPEN_INT","."&amp;S$2&amp;S$1&amp;"C"&amp;$A9)*RTD("tos.rtd",,"GAMMA","."&amp;S$2&amp;S$1&amp;"C"&amp;$A9)-$A$4*$A$4*RTD("tos.rtd",,"OPEN_INT","."&amp;S$2&amp;S$1&amp;"P"&amp;$A9)*RTD("tos.rtd",,"GAMMA","."&amp;S$2&amp;S$1&amp;"P"&amp;$A9))/1000000,0),IF($A$2="SKEW",IFERROR(VALUE(IF(RTD("tos.rtd",,"IMPL_VOL","."&amp;S$2&amp;S$1&amp;"P"&amp;$A9)="N/A",0,RTD("tos.rtd",,"IMPL_VOL","."&amp;S$2&amp;S$1&amp;"P"&amp;$A9))),0)-IFERROR(VALUE(IF(RTD("tos.rtd",,"IMPL_VOL","."&amp;S$2&amp;S$1&amp;"C"&amp;$A9)="N/A",0,RTD("tos.rtd",,"IMPL_VOL","."&amp;S$2&amp;S$1&amp;"C"&amp;$A9))),0),IF($A$2="MAXPAIN",IF($A$4&gt;$A9,($A$4-$A9)*IF(RTD("tos.rtd",,"OPEN_INT","."&amp;S$2&amp;S$1&amp;"C"&amp;$A9)="N/A",0,RTD("tos.rtd",,"OPEN_INT","."&amp;S$2&amp;S$1&amp;"C"&amp;$A9)),0)+IF($A$4&lt;$A9,($A9-$A$4)*IF(RTD("tos.rtd",,"OPEN_INT","."&amp;S$2&amp;S$1&amp;"P"&amp;$A9)="N/A",0,RTD("tos.rtd",,"OPEN_INT","."&amp;S$2&amp;S$1&amp;"P"&amp;$A9)),0),IF(RTD("tos.rtd",,$A$2,"."&amp;S$2&amp;S$1&amp;"C"&amp;$A9)="N/A",0,RTD("tos.rtd",,$A$2,"."&amp;S$2&amp;S$1&amp;"C"&amp;$A9))-IF(RTD("tos.rtd",,$A$2,"."&amp;S$2&amp;S$1&amp;"P"&amp;$A9)="N/A",0,RTD("tos.rtd",,$A$2,"."&amp;S$2&amp;S$1&amp;"P"&amp;$A9)))))))))</f>
        <v>0</v>
      </c>
      <c r="T9" s="12">
        <f>IF($A$2="PREMIUM_OI",IFERROR((100*RTD("tos.rtd",,"OPEN_INT","."&amp;T$2&amp;T$1&amp;"C"&amp;$A9)*RTD("tos.rtd",,"LAST","."&amp;T$2&amp;T$1&amp;"C"&amp;$A9)-100*RTD("tos.rtd",,"OPEN_INT","."&amp;T$2&amp;T$1&amp;"P"&amp;$A9)*RTD("tos.rtd",,"LAST","."&amp;T$2&amp;T$1&amp;"P"&amp;$A9))/1000000,0),IF($A$2="PREMIUM",IFERROR((100*RTD("tos.rtd",,"VOLUME","."&amp;T$2&amp;T$1&amp;"C"&amp;$A9)*RTD("tos.rtd",,"LAST","."&amp;T$2&amp;T$1&amp;"C"&amp;$A9)-100*RTD("tos.rtd",,"VOLUME","."&amp;T$2&amp;T$1&amp;"P"&amp;$A9)*RTD("tos.rtd",,"LAST","."&amp;T$2&amp;T$1&amp;"P"&amp;$A9))/1000000,0),IF($A$2="DEX",IFERROR((100*RTD("tos.rtd",,"OPEN_INT","."&amp;T$2&amp;T$1&amp;"C"&amp;$A9)*RTD("tos.rtd",,"DELTA","."&amp;T$2&amp;T$1&amp;"C"&amp;$A9)-100*RTD("tos.rtd",,"OPEN_INT","."&amp;T$2&amp;T$1&amp;"P"&amp;$A9)*RTD("tos.rtd",,"DELTA","."&amp;T$2&amp;T$1&amp;"P"&amp;$A9))/1000,0),IF($A$2="VEX",IFERROR(($A$4*$A$4*RTD("tos.rtd",,"VOLUME","."&amp;T$2&amp;T$1&amp;"C"&amp;$A9)*RTD("tos.rtd",,"GAMMA","."&amp;T$2&amp;T$1&amp;"C"&amp;$A9)-$A$4*$A$4*RTD("tos.rtd",,"VOLUME","."&amp;T$2&amp;T$1&amp;"P"&amp;$A9)*RTD("tos.rtd",,"GAMMA","."&amp;T$2&amp;T$1&amp;"P"&amp;$A9))/1000000,0),IF($A$2="GEX",IFERROR(($A$4*$A$4*RTD("tos.rtd",,"OPEN_INT","."&amp;T$2&amp;T$1&amp;"C"&amp;$A9)*RTD("tos.rtd",,"GAMMA","."&amp;T$2&amp;T$1&amp;"C"&amp;$A9)-$A$4*$A$4*RTD("tos.rtd",,"OPEN_INT","."&amp;T$2&amp;T$1&amp;"P"&amp;$A9)*RTD("tos.rtd",,"GAMMA","."&amp;T$2&amp;T$1&amp;"P"&amp;$A9))/1000000,0),IF($A$2="SKEW",IFERROR(VALUE(IF(RTD("tos.rtd",,"IMPL_VOL","."&amp;T$2&amp;T$1&amp;"P"&amp;$A9)="N/A",0,RTD("tos.rtd",,"IMPL_VOL","."&amp;T$2&amp;T$1&amp;"P"&amp;$A9))),0)-IFERROR(VALUE(IF(RTD("tos.rtd",,"IMPL_VOL","."&amp;T$2&amp;T$1&amp;"C"&amp;$A9)="N/A",0,RTD("tos.rtd",,"IMPL_VOL","."&amp;T$2&amp;T$1&amp;"C"&amp;$A9))),0),IF($A$2="MAXPAIN",IF($A$4&gt;$A9,($A$4-$A9)*IF(RTD("tos.rtd",,"OPEN_INT","."&amp;T$2&amp;T$1&amp;"C"&amp;$A9)="N/A",0,RTD("tos.rtd",,"OPEN_INT","."&amp;T$2&amp;T$1&amp;"C"&amp;$A9)),0)+IF($A$4&lt;$A9,($A9-$A$4)*IF(RTD("tos.rtd",,"OPEN_INT","."&amp;T$2&amp;T$1&amp;"P"&amp;$A9)="N/A",0,RTD("tos.rtd",,"OPEN_INT","."&amp;T$2&amp;T$1&amp;"P"&amp;$A9)),0),IF(RTD("tos.rtd",,$A$2,"."&amp;T$2&amp;T$1&amp;"C"&amp;$A9)="N/A",0,RTD("tos.rtd",,$A$2,"."&amp;T$2&amp;T$1&amp;"C"&amp;$A9))-IF(RTD("tos.rtd",,$A$2,"."&amp;T$2&amp;T$1&amp;"P"&amp;$A9)="N/A",0,RTD("tos.rtd",,$A$2,"."&amp;T$2&amp;T$1&amp;"P"&amp;$A9)))))))))</f>
        <v>0</v>
      </c>
      <c r="U9" s="12">
        <f>IF($A$2="PREMIUM_OI",IFERROR((100*RTD("tos.rtd",,"OPEN_INT","."&amp;U$2&amp;U$1&amp;"C"&amp;$A9)*RTD("tos.rtd",,"LAST","."&amp;U$2&amp;U$1&amp;"C"&amp;$A9)-100*RTD("tos.rtd",,"OPEN_INT","."&amp;U$2&amp;U$1&amp;"P"&amp;$A9)*RTD("tos.rtd",,"LAST","."&amp;U$2&amp;U$1&amp;"P"&amp;$A9))/1000000,0),IF($A$2="PREMIUM",IFERROR((100*RTD("tos.rtd",,"VOLUME","."&amp;U$2&amp;U$1&amp;"C"&amp;$A9)*RTD("tos.rtd",,"LAST","."&amp;U$2&amp;U$1&amp;"C"&amp;$A9)-100*RTD("tos.rtd",,"VOLUME","."&amp;U$2&amp;U$1&amp;"P"&amp;$A9)*RTD("tos.rtd",,"LAST","."&amp;U$2&amp;U$1&amp;"P"&amp;$A9))/1000000,0),IF($A$2="DEX",IFERROR((100*RTD("tos.rtd",,"OPEN_INT","."&amp;U$2&amp;U$1&amp;"C"&amp;$A9)*RTD("tos.rtd",,"DELTA","."&amp;U$2&amp;U$1&amp;"C"&amp;$A9)-100*RTD("tos.rtd",,"OPEN_INT","."&amp;U$2&amp;U$1&amp;"P"&amp;$A9)*RTD("tos.rtd",,"DELTA","."&amp;U$2&amp;U$1&amp;"P"&amp;$A9))/1000,0),IF($A$2="VEX",IFERROR(($A$4*$A$4*RTD("tos.rtd",,"VOLUME","."&amp;U$2&amp;U$1&amp;"C"&amp;$A9)*RTD("tos.rtd",,"GAMMA","."&amp;U$2&amp;U$1&amp;"C"&amp;$A9)-$A$4*$A$4*RTD("tos.rtd",,"VOLUME","."&amp;U$2&amp;U$1&amp;"P"&amp;$A9)*RTD("tos.rtd",,"GAMMA","."&amp;U$2&amp;U$1&amp;"P"&amp;$A9))/1000000,0),IF($A$2="GEX",IFERROR(($A$4*$A$4*RTD("tos.rtd",,"OPEN_INT","."&amp;U$2&amp;U$1&amp;"C"&amp;$A9)*RTD("tos.rtd",,"GAMMA","."&amp;U$2&amp;U$1&amp;"C"&amp;$A9)-$A$4*$A$4*RTD("tos.rtd",,"OPEN_INT","."&amp;U$2&amp;U$1&amp;"P"&amp;$A9)*RTD("tos.rtd",,"GAMMA","."&amp;U$2&amp;U$1&amp;"P"&amp;$A9))/1000000,0),IF($A$2="SKEW",IFERROR(VALUE(IF(RTD("tos.rtd",,"IMPL_VOL","."&amp;U$2&amp;U$1&amp;"P"&amp;$A9)="N/A",0,RTD("tos.rtd",,"IMPL_VOL","."&amp;U$2&amp;U$1&amp;"P"&amp;$A9))),0)-IFERROR(VALUE(IF(RTD("tos.rtd",,"IMPL_VOL","."&amp;U$2&amp;U$1&amp;"C"&amp;$A9)="N/A",0,RTD("tos.rtd",,"IMPL_VOL","."&amp;U$2&amp;U$1&amp;"C"&amp;$A9))),0),IF($A$2="MAXPAIN",IF($A$4&gt;$A9,($A$4-$A9)*IF(RTD("tos.rtd",,"OPEN_INT","."&amp;U$2&amp;U$1&amp;"C"&amp;$A9)="N/A",0,RTD("tos.rtd",,"OPEN_INT","."&amp;U$2&amp;U$1&amp;"C"&amp;$A9)),0)+IF($A$4&lt;$A9,($A9-$A$4)*IF(RTD("tos.rtd",,"OPEN_INT","."&amp;U$2&amp;U$1&amp;"P"&amp;$A9)="N/A",0,RTD("tos.rtd",,"OPEN_INT","."&amp;U$2&amp;U$1&amp;"P"&amp;$A9)),0),IF(RTD("tos.rtd",,$A$2,"."&amp;U$2&amp;U$1&amp;"C"&amp;$A9)="N/A",0,RTD("tos.rtd",,$A$2,"."&amp;U$2&amp;U$1&amp;"C"&amp;$A9))-IF(RTD("tos.rtd",,$A$2,"."&amp;U$2&amp;U$1&amp;"P"&amp;$A9)="N/A",0,RTD("tos.rtd",,$A$2,"."&amp;U$2&amp;U$1&amp;"P"&amp;$A9)))))))))</f>
        <v>0</v>
      </c>
      <c r="V9" s="12">
        <f>IF($A$2="PREMIUM_OI",IFERROR((100*RTD("tos.rtd",,"OPEN_INT","."&amp;V$2&amp;V$1&amp;"C"&amp;$A9)*RTD("tos.rtd",,"LAST","."&amp;V$2&amp;V$1&amp;"C"&amp;$A9)-100*RTD("tos.rtd",,"OPEN_INT","."&amp;V$2&amp;V$1&amp;"P"&amp;$A9)*RTD("tos.rtd",,"LAST","."&amp;V$2&amp;V$1&amp;"P"&amp;$A9))/1000000,0),IF($A$2="PREMIUM",IFERROR((100*RTD("tos.rtd",,"VOLUME","."&amp;V$2&amp;V$1&amp;"C"&amp;$A9)*RTD("tos.rtd",,"LAST","."&amp;V$2&amp;V$1&amp;"C"&amp;$A9)-100*RTD("tos.rtd",,"VOLUME","."&amp;V$2&amp;V$1&amp;"P"&amp;$A9)*RTD("tos.rtd",,"LAST","."&amp;V$2&amp;V$1&amp;"P"&amp;$A9))/1000000,0),IF($A$2="DEX",IFERROR((100*RTD("tos.rtd",,"OPEN_INT","."&amp;V$2&amp;V$1&amp;"C"&amp;$A9)*RTD("tos.rtd",,"DELTA","."&amp;V$2&amp;V$1&amp;"C"&amp;$A9)-100*RTD("tos.rtd",,"OPEN_INT","."&amp;V$2&amp;V$1&amp;"P"&amp;$A9)*RTD("tos.rtd",,"DELTA","."&amp;V$2&amp;V$1&amp;"P"&amp;$A9))/1000,0),IF($A$2="VEX",IFERROR(($A$4*$A$4*RTD("tos.rtd",,"VOLUME","."&amp;V$2&amp;V$1&amp;"C"&amp;$A9)*RTD("tos.rtd",,"GAMMA","."&amp;V$2&amp;V$1&amp;"C"&amp;$A9)-$A$4*$A$4*RTD("tos.rtd",,"VOLUME","."&amp;V$2&amp;V$1&amp;"P"&amp;$A9)*RTD("tos.rtd",,"GAMMA","."&amp;V$2&amp;V$1&amp;"P"&amp;$A9))/1000000,0),IF($A$2="GEX",IFERROR(($A$4*$A$4*RTD("tos.rtd",,"OPEN_INT","."&amp;V$2&amp;V$1&amp;"C"&amp;$A9)*RTD("tos.rtd",,"GAMMA","."&amp;V$2&amp;V$1&amp;"C"&amp;$A9)-$A$4*$A$4*RTD("tos.rtd",,"OPEN_INT","."&amp;V$2&amp;V$1&amp;"P"&amp;$A9)*RTD("tos.rtd",,"GAMMA","."&amp;V$2&amp;V$1&amp;"P"&amp;$A9))/1000000,0),IF($A$2="SKEW",IFERROR(VALUE(IF(RTD("tos.rtd",,"IMPL_VOL","."&amp;V$2&amp;V$1&amp;"P"&amp;$A9)="N/A",0,RTD("tos.rtd",,"IMPL_VOL","."&amp;V$2&amp;V$1&amp;"P"&amp;$A9))),0)-IFERROR(VALUE(IF(RTD("tos.rtd",,"IMPL_VOL","."&amp;V$2&amp;V$1&amp;"C"&amp;$A9)="N/A",0,RTD("tos.rtd",,"IMPL_VOL","."&amp;V$2&amp;V$1&amp;"C"&amp;$A9))),0),IF($A$2="MAXPAIN",IF($A$4&gt;$A9,($A$4-$A9)*IF(RTD("tos.rtd",,"OPEN_INT","."&amp;V$2&amp;V$1&amp;"C"&amp;$A9)="N/A",0,RTD("tos.rtd",,"OPEN_INT","."&amp;V$2&amp;V$1&amp;"C"&amp;$A9)),0)+IF($A$4&lt;$A9,($A9-$A$4)*IF(RTD("tos.rtd",,"OPEN_INT","."&amp;V$2&amp;V$1&amp;"P"&amp;$A9)="N/A",0,RTD("tos.rtd",,"OPEN_INT","."&amp;V$2&amp;V$1&amp;"P"&amp;$A9)),0),IF(RTD("tos.rtd",,$A$2,"."&amp;V$2&amp;V$1&amp;"C"&amp;$A9)="N/A",0,RTD("tos.rtd",,$A$2,"."&amp;V$2&amp;V$1&amp;"C"&amp;$A9))-IF(RTD("tos.rtd",,$A$2,"."&amp;V$2&amp;V$1&amp;"P"&amp;$A9)="N/A",0,RTD("tos.rtd",,$A$2,"."&amp;V$2&amp;V$1&amp;"P"&amp;$A9)))))))))</f>
        <v>0</v>
      </c>
      <c r="W9" s="12">
        <f>IF($A$2="PREMIUM_OI",IFERROR((100*RTD("tos.rtd",,"OPEN_INT","."&amp;W$2&amp;W$1&amp;"C"&amp;$A9)*RTD("tos.rtd",,"LAST","."&amp;W$2&amp;W$1&amp;"C"&amp;$A9)-100*RTD("tos.rtd",,"OPEN_INT","."&amp;W$2&amp;W$1&amp;"P"&amp;$A9)*RTD("tos.rtd",,"LAST","."&amp;W$2&amp;W$1&amp;"P"&amp;$A9))/1000000,0),IF($A$2="PREMIUM",IFERROR((100*RTD("tos.rtd",,"VOLUME","."&amp;W$2&amp;W$1&amp;"C"&amp;$A9)*RTD("tos.rtd",,"LAST","."&amp;W$2&amp;W$1&amp;"C"&amp;$A9)-100*RTD("tos.rtd",,"VOLUME","."&amp;W$2&amp;W$1&amp;"P"&amp;$A9)*RTD("tos.rtd",,"LAST","."&amp;W$2&amp;W$1&amp;"P"&amp;$A9))/1000000,0),IF($A$2="DEX",IFERROR((100*RTD("tos.rtd",,"OPEN_INT","."&amp;W$2&amp;W$1&amp;"C"&amp;$A9)*RTD("tos.rtd",,"DELTA","."&amp;W$2&amp;W$1&amp;"C"&amp;$A9)-100*RTD("tos.rtd",,"OPEN_INT","."&amp;W$2&amp;W$1&amp;"P"&amp;$A9)*RTD("tos.rtd",,"DELTA","."&amp;W$2&amp;W$1&amp;"P"&amp;$A9))/1000,0),IF($A$2="VEX",IFERROR(($A$4*$A$4*RTD("tos.rtd",,"VOLUME","."&amp;W$2&amp;W$1&amp;"C"&amp;$A9)*RTD("tos.rtd",,"GAMMA","."&amp;W$2&amp;W$1&amp;"C"&amp;$A9)-$A$4*$A$4*RTD("tos.rtd",,"VOLUME","."&amp;W$2&amp;W$1&amp;"P"&amp;$A9)*RTD("tos.rtd",,"GAMMA","."&amp;W$2&amp;W$1&amp;"P"&amp;$A9))/1000000,0),IF($A$2="GEX",IFERROR(($A$4*$A$4*RTD("tos.rtd",,"OPEN_INT","."&amp;W$2&amp;W$1&amp;"C"&amp;$A9)*RTD("tos.rtd",,"GAMMA","."&amp;W$2&amp;W$1&amp;"C"&amp;$A9)-$A$4*$A$4*RTD("tos.rtd",,"OPEN_INT","."&amp;W$2&amp;W$1&amp;"P"&amp;$A9)*RTD("tos.rtd",,"GAMMA","."&amp;W$2&amp;W$1&amp;"P"&amp;$A9))/1000000,0),IF($A$2="SKEW",IFERROR(VALUE(IF(RTD("tos.rtd",,"IMPL_VOL","."&amp;W$2&amp;W$1&amp;"P"&amp;$A9)="N/A",0,RTD("tos.rtd",,"IMPL_VOL","."&amp;W$2&amp;W$1&amp;"P"&amp;$A9))),0)-IFERROR(VALUE(IF(RTD("tos.rtd",,"IMPL_VOL","."&amp;W$2&amp;W$1&amp;"C"&amp;$A9)="N/A",0,RTD("tos.rtd",,"IMPL_VOL","."&amp;W$2&amp;W$1&amp;"C"&amp;$A9))),0),IF($A$2="MAXPAIN",IF($A$4&gt;$A9,($A$4-$A9)*IF(RTD("tos.rtd",,"OPEN_INT","."&amp;W$2&amp;W$1&amp;"C"&amp;$A9)="N/A",0,RTD("tos.rtd",,"OPEN_INT","."&amp;W$2&amp;W$1&amp;"C"&amp;$A9)),0)+IF($A$4&lt;$A9,($A9-$A$4)*IF(RTD("tos.rtd",,"OPEN_INT","."&amp;W$2&amp;W$1&amp;"P"&amp;$A9)="N/A",0,RTD("tos.rtd",,"OPEN_INT","."&amp;W$2&amp;W$1&amp;"P"&amp;$A9)),0),IF(RTD("tos.rtd",,$A$2,"."&amp;W$2&amp;W$1&amp;"C"&amp;$A9)="N/A",0,RTD("tos.rtd",,$A$2,"."&amp;W$2&amp;W$1&amp;"C"&amp;$A9))-IF(RTD("tos.rtd",,$A$2,"."&amp;W$2&amp;W$1&amp;"P"&amp;$A9)="N/A",0,RTD("tos.rtd",,$A$2,"."&amp;W$2&amp;W$1&amp;"P"&amp;$A9)))))))))</f>
        <v>0</v>
      </c>
      <c r="X9" s="12">
        <f t="shared" ca="1" si="7"/>
        <v>0</v>
      </c>
      <c r="Y9" s="27">
        <f t="shared" ca="1" si="8"/>
        <v>0</v>
      </c>
      <c r="AA9" s="35">
        <f t="shared" si="5"/>
        <v>8</v>
      </c>
      <c r="AB9" s="8">
        <f>+IF($AJ$1,AK9,TASTYOHLC!B9)</f>
        <v>599.67999999999995</v>
      </c>
      <c r="AC9" s="8">
        <f>+IF($AJ$1,AL9,TASTYOHLC!C9)</f>
        <v>602.95000000000005</v>
      </c>
      <c r="AD9" s="8">
        <f>+IF($AJ$1,AM9,TASTYOHLC!D9)</f>
        <v>597.23</v>
      </c>
      <c r="AE9" s="8">
        <f>+IF($AJ$1,AN9,TASTYOHLC!E9)</f>
        <v>602.01</v>
      </c>
      <c r="AF9" s="8"/>
      <c r="AJ9" s="37">
        <v>45943</v>
      </c>
      <c r="AK9" s="50">
        <v>599.67999999999995</v>
      </c>
      <c r="AL9" s="50">
        <v>602.95000000000005</v>
      </c>
      <c r="AM9" s="50">
        <v>597.23</v>
      </c>
      <c r="AN9" s="50">
        <v>602.01</v>
      </c>
      <c r="AO9" s="51">
        <v>79560517</v>
      </c>
    </row>
    <row r="10" spans="1:41" s="19" customFormat="1" ht="11.1" customHeight="1" thickBot="1" x14ac:dyDescent="0.3">
      <c r="A10" s="23">
        <f t="shared" si="6"/>
        <v>17</v>
      </c>
      <c r="B10" s="14">
        <f>IF($A$2="PREMIUM_OI",IFERROR((100*RTD("tos.rtd",,"OPEN_INT","."&amp;B$2&amp;B$1&amp;"C"&amp;$A10)*RTD("tos.rtd",,"LAST","."&amp;B$2&amp;B$1&amp;"C"&amp;$A10)-100*RTD("tos.rtd",,"OPEN_INT","."&amp;B$2&amp;B$1&amp;"P"&amp;$A10)*RTD("tos.rtd",,"LAST","."&amp;B$2&amp;B$1&amp;"P"&amp;$A10))/1000000,0),IF($A$2="PREMIUM",IFERROR((100*RTD("tos.rtd",,"VOLUME","."&amp;B$2&amp;B$1&amp;"C"&amp;$A10)*RTD("tos.rtd",,"LAST","."&amp;B$2&amp;B$1&amp;"C"&amp;$A10)-100*RTD("tos.rtd",,"VOLUME","."&amp;B$2&amp;B$1&amp;"P"&amp;$A10)*RTD("tos.rtd",,"LAST","."&amp;B$2&amp;B$1&amp;"P"&amp;$A10))/1000000,0),IF($A$2="DEX",IFERROR((100*RTD("tos.rtd",,"OPEN_INT","."&amp;B$2&amp;B$1&amp;"C"&amp;$A10)*RTD("tos.rtd",,"DELTA","."&amp;B$2&amp;B$1&amp;"C"&amp;$A10)-100*RTD("tos.rtd",,"OPEN_INT","."&amp;B$2&amp;B$1&amp;"P"&amp;$A10)*RTD("tos.rtd",,"DELTA","."&amp;B$2&amp;B$1&amp;"P"&amp;$A10))/1000,0),IF($A$2="VEX",IFERROR(($A$4*$A$4*RTD("tos.rtd",,"VOLUME","."&amp;B$2&amp;B$1&amp;"C"&amp;$A10)*RTD("tos.rtd",,"GAMMA","."&amp;B$2&amp;B$1&amp;"C"&amp;$A10)-$A$4*$A$4*RTD("tos.rtd",,"VOLUME","."&amp;B$2&amp;B$1&amp;"P"&amp;$A10)*RTD("tos.rtd",,"GAMMA","."&amp;B$2&amp;B$1&amp;"P"&amp;$A10))/1000000,0),IF($A$2="GEX",IFERROR(($A$4*$A$4*RTD("tos.rtd",,"OPEN_INT","."&amp;B$2&amp;B$1&amp;"C"&amp;$A10)*RTD("tos.rtd",,"GAMMA","."&amp;B$2&amp;B$1&amp;"C"&amp;$A10)-$A$4*$A$4*RTD("tos.rtd",,"OPEN_INT","."&amp;B$2&amp;B$1&amp;"P"&amp;$A10)*RTD("tos.rtd",,"GAMMA","."&amp;B$2&amp;B$1&amp;"P"&amp;$A10))/1000000,0),IF($A$2="SKEW",IFERROR(VALUE(IF(RTD("tos.rtd",,"IMPL_VOL","."&amp;B$2&amp;B$1&amp;"P"&amp;$A10)="N/A",0,RTD("tos.rtd",,"IMPL_VOL","."&amp;B$2&amp;B$1&amp;"P"&amp;$A10))),0)-IFERROR(VALUE(IF(RTD("tos.rtd",,"IMPL_VOL","."&amp;B$2&amp;B$1&amp;"C"&amp;$A10)="N/A",0,RTD("tos.rtd",,"IMPL_VOL","."&amp;B$2&amp;B$1&amp;"C"&amp;$A10))),0),IF($A$2="MAXPAIN",IF($A$4&gt;$A10,($A$4-$A10)*IF(RTD("tos.rtd",,"OPEN_INT","."&amp;B$2&amp;B$1&amp;"C"&amp;$A10)="N/A",0,RTD("tos.rtd",,"OPEN_INT","."&amp;B$2&amp;B$1&amp;"C"&amp;$A10)),0)+IF($A$4&lt;$A10,($A10-$A$4)*IF(RTD("tos.rtd",,"OPEN_INT","."&amp;B$2&amp;B$1&amp;"P"&amp;$A10)="N/A",0,RTD("tos.rtd",,"OPEN_INT","."&amp;B$2&amp;B$1&amp;"P"&amp;$A10)),0),IF(RTD("tos.rtd",,$A$2,"."&amp;B$2&amp;B$1&amp;"C"&amp;$A10)="N/A",0,RTD("tos.rtd",,$A$2,"."&amp;B$2&amp;B$1&amp;"C"&amp;$A10))-IF(RTD("tos.rtd",,$A$2,"."&amp;B$2&amp;B$1&amp;"P"&amp;$A10)="N/A",0,RTD("tos.rtd",,$A$2,"."&amp;B$2&amp;B$1&amp;"P"&amp;$A10)))))))))</f>
        <v>0</v>
      </c>
      <c r="C10" s="12">
        <f>IF($A$2="PREMIUM_OI",IFERROR((100*RTD("tos.rtd",,"OPEN_INT","."&amp;C$2&amp;C$1&amp;"C"&amp;$A10)*RTD("tos.rtd",,"LAST","."&amp;C$2&amp;C$1&amp;"C"&amp;$A10)-100*RTD("tos.rtd",,"OPEN_INT","."&amp;C$2&amp;C$1&amp;"P"&amp;$A10)*RTD("tos.rtd",,"LAST","."&amp;C$2&amp;C$1&amp;"P"&amp;$A10))/1000000,0),IF($A$2="PREMIUM",IFERROR((100*RTD("tos.rtd",,"VOLUME","."&amp;C$2&amp;C$1&amp;"C"&amp;$A10)*RTD("tos.rtd",,"LAST","."&amp;C$2&amp;C$1&amp;"C"&amp;$A10)-100*RTD("tos.rtd",,"VOLUME","."&amp;C$2&amp;C$1&amp;"P"&amp;$A10)*RTD("tos.rtd",,"LAST","."&amp;C$2&amp;C$1&amp;"P"&amp;$A10))/1000000,0),IF($A$2="DEX",IFERROR((100*RTD("tos.rtd",,"OPEN_INT","."&amp;C$2&amp;C$1&amp;"C"&amp;$A10)*RTD("tos.rtd",,"DELTA","."&amp;C$2&amp;C$1&amp;"C"&amp;$A10)-100*RTD("tos.rtd",,"OPEN_INT","."&amp;C$2&amp;C$1&amp;"P"&amp;$A10)*RTD("tos.rtd",,"DELTA","."&amp;C$2&amp;C$1&amp;"P"&amp;$A10))/1000,0),IF($A$2="VEX",IFERROR(($A$4*$A$4*RTD("tos.rtd",,"VOLUME","."&amp;C$2&amp;C$1&amp;"C"&amp;$A10)*RTD("tos.rtd",,"GAMMA","."&amp;C$2&amp;C$1&amp;"C"&amp;$A10)-$A$4*$A$4*RTD("tos.rtd",,"VOLUME","."&amp;C$2&amp;C$1&amp;"P"&amp;$A10)*RTD("tos.rtd",,"GAMMA","."&amp;C$2&amp;C$1&amp;"P"&amp;$A10))/1000000,0),IF($A$2="GEX",IFERROR(($A$4*$A$4*RTD("tos.rtd",,"OPEN_INT","."&amp;C$2&amp;C$1&amp;"C"&amp;$A10)*RTD("tos.rtd",,"GAMMA","."&amp;C$2&amp;C$1&amp;"C"&amp;$A10)-$A$4*$A$4*RTD("tos.rtd",,"OPEN_INT","."&amp;C$2&amp;C$1&amp;"P"&amp;$A10)*RTD("tos.rtd",,"GAMMA","."&amp;C$2&amp;C$1&amp;"P"&amp;$A10))/1000000,0),IF($A$2="SKEW",IFERROR(VALUE(IF(RTD("tos.rtd",,"IMPL_VOL","."&amp;C$2&amp;C$1&amp;"P"&amp;$A10)="N/A",0,RTD("tos.rtd",,"IMPL_VOL","."&amp;C$2&amp;C$1&amp;"P"&amp;$A10))),0)-IFERROR(VALUE(IF(RTD("tos.rtd",,"IMPL_VOL","."&amp;C$2&amp;C$1&amp;"C"&amp;$A10)="N/A",0,RTD("tos.rtd",,"IMPL_VOL","."&amp;C$2&amp;C$1&amp;"C"&amp;$A10))),0),IF($A$2="MAXPAIN",IF($A$4&gt;$A10,($A$4-$A10)*IF(RTD("tos.rtd",,"OPEN_INT","."&amp;C$2&amp;C$1&amp;"C"&amp;$A10)="N/A",0,RTD("tos.rtd",,"OPEN_INT","."&amp;C$2&amp;C$1&amp;"C"&amp;$A10)),0)+IF($A$4&lt;$A10,($A10-$A$4)*IF(RTD("tos.rtd",,"OPEN_INT","."&amp;C$2&amp;C$1&amp;"P"&amp;$A10)="N/A",0,RTD("tos.rtd",,"OPEN_INT","."&amp;C$2&amp;C$1&amp;"P"&amp;$A10)),0),IF(RTD("tos.rtd",,$A$2,"."&amp;C$2&amp;C$1&amp;"C"&amp;$A10)="N/A",0,RTD("tos.rtd",,$A$2,"."&amp;C$2&amp;C$1&amp;"C"&amp;$A10))-IF(RTD("tos.rtd",,$A$2,"."&amp;C$2&amp;C$1&amp;"P"&amp;$A10)="N/A",0,RTD("tos.rtd",,$A$2,"."&amp;C$2&amp;C$1&amp;"P"&amp;$A10)))))))))</f>
        <v>1500</v>
      </c>
      <c r="D10" s="12">
        <f>IF($A$2="PREMIUM_OI",IFERROR((100*RTD("tos.rtd",,"OPEN_INT","."&amp;D$2&amp;D$1&amp;"C"&amp;$A10)*RTD("tos.rtd",,"LAST","."&amp;D$2&amp;D$1&amp;"C"&amp;$A10)-100*RTD("tos.rtd",,"OPEN_INT","."&amp;D$2&amp;D$1&amp;"P"&amp;$A10)*RTD("tos.rtd",,"LAST","."&amp;D$2&amp;D$1&amp;"P"&amp;$A10))/1000000,0),IF($A$2="PREMIUM",IFERROR((100*RTD("tos.rtd",,"VOLUME","."&amp;D$2&amp;D$1&amp;"C"&amp;$A10)*RTD("tos.rtd",,"LAST","."&amp;D$2&amp;D$1&amp;"C"&amp;$A10)-100*RTD("tos.rtd",,"VOLUME","."&amp;D$2&amp;D$1&amp;"P"&amp;$A10)*RTD("tos.rtd",,"LAST","."&amp;D$2&amp;D$1&amp;"P"&amp;$A10))/1000000,0),IF($A$2="DEX",IFERROR((100*RTD("tos.rtd",,"OPEN_INT","."&amp;D$2&amp;D$1&amp;"C"&amp;$A10)*RTD("tos.rtd",,"DELTA","."&amp;D$2&amp;D$1&amp;"C"&amp;$A10)-100*RTD("tos.rtd",,"OPEN_INT","."&amp;D$2&amp;D$1&amp;"P"&amp;$A10)*RTD("tos.rtd",,"DELTA","."&amp;D$2&amp;D$1&amp;"P"&amp;$A10))/1000,0),IF($A$2="VEX",IFERROR(($A$4*$A$4*RTD("tos.rtd",,"VOLUME","."&amp;D$2&amp;D$1&amp;"C"&amp;$A10)*RTD("tos.rtd",,"GAMMA","."&amp;D$2&amp;D$1&amp;"C"&amp;$A10)-$A$4*$A$4*RTD("tos.rtd",,"VOLUME","."&amp;D$2&amp;D$1&amp;"P"&amp;$A10)*RTD("tos.rtd",,"GAMMA","."&amp;D$2&amp;D$1&amp;"P"&amp;$A10))/1000000,0),IF($A$2="GEX",IFERROR(($A$4*$A$4*RTD("tos.rtd",,"OPEN_INT","."&amp;D$2&amp;D$1&amp;"C"&amp;$A10)*RTD("tos.rtd",,"GAMMA","."&amp;D$2&amp;D$1&amp;"C"&amp;$A10)-$A$4*$A$4*RTD("tos.rtd",,"OPEN_INT","."&amp;D$2&amp;D$1&amp;"P"&amp;$A10)*RTD("tos.rtd",,"GAMMA","."&amp;D$2&amp;D$1&amp;"P"&amp;$A10))/1000000,0),IF($A$2="SKEW",IFERROR(VALUE(IF(RTD("tos.rtd",,"IMPL_VOL","."&amp;D$2&amp;D$1&amp;"P"&amp;$A10)="N/A",0,RTD("tos.rtd",,"IMPL_VOL","."&amp;D$2&amp;D$1&amp;"P"&amp;$A10))),0)-IFERROR(VALUE(IF(RTD("tos.rtd",,"IMPL_VOL","."&amp;D$2&amp;D$1&amp;"C"&amp;$A10)="N/A",0,RTD("tos.rtd",,"IMPL_VOL","."&amp;D$2&amp;D$1&amp;"C"&amp;$A10))),0),IF($A$2="MAXPAIN",IF($A$4&gt;$A10,($A$4-$A10)*IF(RTD("tos.rtd",,"OPEN_INT","."&amp;D$2&amp;D$1&amp;"C"&amp;$A10)="N/A",0,RTD("tos.rtd",,"OPEN_INT","."&amp;D$2&amp;D$1&amp;"C"&amp;$A10)),0)+IF($A$4&lt;$A10,($A10-$A$4)*IF(RTD("tos.rtd",,"OPEN_INT","."&amp;D$2&amp;D$1&amp;"P"&amp;$A10)="N/A",0,RTD("tos.rtd",,"OPEN_INT","."&amp;D$2&amp;D$1&amp;"P"&amp;$A10)),0),IF(RTD("tos.rtd",,$A$2,"."&amp;D$2&amp;D$1&amp;"C"&amp;$A10)="N/A",0,RTD("tos.rtd",,$A$2,"."&amp;D$2&amp;D$1&amp;"C"&amp;$A10))-IF(RTD("tos.rtd",,$A$2,"."&amp;D$2&amp;D$1&amp;"P"&amp;$A10)="N/A",0,RTD("tos.rtd",,$A$2,"."&amp;D$2&amp;D$1&amp;"P"&amp;$A10)))))))))</f>
        <v>0</v>
      </c>
      <c r="E10" s="12">
        <f>IF($A$2="PREMIUM_OI",IFERROR((100*RTD("tos.rtd",,"OPEN_INT","."&amp;E$2&amp;E$1&amp;"C"&amp;$A10)*RTD("tos.rtd",,"LAST","."&amp;E$2&amp;E$1&amp;"C"&amp;$A10)-100*RTD("tos.rtd",,"OPEN_INT","."&amp;E$2&amp;E$1&amp;"P"&amp;$A10)*RTD("tos.rtd",,"LAST","."&amp;E$2&amp;E$1&amp;"P"&amp;$A10))/1000000,0),IF($A$2="PREMIUM",IFERROR((100*RTD("tos.rtd",,"VOLUME","."&amp;E$2&amp;E$1&amp;"C"&amp;$A10)*RTD("tos.rtd",,"LAST","."&amp;E$2&amp;E$1&amp;"C"&amp;$A10)-100*RTD("tos.rtd",,"VOLUME","."&amp;E$2&amp;E$1&amp;"P"&amp;$A10)*RTD("tos.rtd",,"LAST","."&amp;E$2&amp;E$1&amp;"P"&amp;$A10))/1000000,0),IF($A$2="DEX",IFERROR((100*RTD("tos.rtd",,"OPEN_INT","."&amp;E$2&amp;E$1&amp;"C"&amp;$A10)*RTD("tos.rtd",,"DELTA","."&amp;E$2&amp;E$1&amp;"C"&amp;$A10)-100*RTD("tos.rtd",,"OPEN_INT","."&amp;E$2&amp;E$1&amp;"P"&amp;$A10)*RTD("tos.rtd",,"DELTA","."&amp;E$2&amp;E$1&amp;"P"&amp;$A10))/1000,0),IF($A$2="VEX",IFERROR(($A$4*$A$4*RTD("tos.rtd",,"VOLUME","."&amp;E$2&amp;E$1&amp;"C"&amp;$A10)*RTD("tos.rtd",,"GAMMA","."&amp;E$2&amp;E$1&amp;"C"&amp;$A10)-$A$4*$A$4*RTD("tos.rtd",,"VOLUME","."&amp;E$2&amp;E$1&amp;"P"&amp;$A10)*RTD("tos.rtd",,"GAMMA","."&amp;E$2&amp;E$1&amp;"P"&amp;$A10))/1000000,0),IF($A$2="GEX",IFERROR(($A$4*$A$4*RTD("tos.rtd",,"OPEN_INT","."&amp;E$2&amp;E$1&amp;"C"&amp;$A10)*RTD("tos.rtd",,"GAMMA","."&amp;E$2&amp;E$1&amp;"C"&amp;$A10)-$A$4*$A$4*RTD("tos.rtd",,"OPEN_INT","."&amp;E$2&amp;E$1&amp;"P"&amp;$A10)*RTD("tos.rtd",,"GAMMA","."&amp;E$2&amp;E$1&amp;"P"&amp;$A10))/1000000,0),IF($A$2="SKEW",IFERROR(VALUE(IF(RTD("tos.rtd",,"IMPL_VOL","."&amp;E$2&amp;E$1&amp;"P"&amp;$A10)="N/A",0,RTD("tos.rtd",,"IMPL_VOL","."&amp;E$2&amp;E$1&amp;"P"&amp;$A10))),0)-IFERROR(VALUE(IF(RTD("tos.rtd",,"IMPL_VOL","."&amp;E$2&amp;E$1&amp;"C"&amp;$A10)="N/A",0,RTD("tos.rtd",,"IMPL_VOL","."&amp;E$2&amp;E$1&amp;"C"&amp;$A10))),0),IF($A$2="MAXPAIN",IF($A$4&gt;$A10,($A$4-$A10)*IF(RTD("tos.rtd",,"OPEN_INT","."&amp;E$2&amp;E$1&amp;"C"&amp;$A10)="N/A",0,RTD("tos.rtd",,"OPEN_INT","."&amp;E$2&amp;E$1&amp;"C"&amp;$A10)),0)+IF($A$4&lt;$A10,($A10-$A$4)*IF(RTD("tos.rtd",,"OPEN_INT","."&amp;E$2&amp;E$1&amp;"P"&amp;$A10)="N/A",0,RTD("tos.rtd",,"OPEN_INT","."&amp;E$2&amp;E$1&amp;"P"&amp;$A10)),0),IF(RTD("tos.rtd",,$A$2,"."&amp;E$2&amp;E$1&amp;"C"&amp;$A10)="N/A",0,RTD("tos.rtd",,$A$2,"."&amp;E$2&amp;E$1&amp;"C"&amp;$A10))-IF(RTD("tos.rtd",,$A$2,"."&amp;E$2&amp;E$1&amp;"P"&amp;$A10)="N/A",0,RTD("tos.rtd",,$A$2,"."&amp;E$2&amp;E$1&amp;"P"&amp;$A10)))))))))</f>
        <v>0</v>
      </c>
      <c r="F10" s="12">
        <f>IF($A$2="PREMIUM_OI",IFERROR((100*RTD("tos.rtd",,"OPEN_INT","."&amp;F$2&amp;F$1&amp;"C"&amp;$A10)*RTD("tos.rtd",,"LAST","."&amp;F$2&amp;F$1&amp;"C"&amp;$A10)-100*RTD("tos.rtd",,"OPEN_INT","."&amp;F$2&amp;F$1&amp;"P"&amp;$A10)*RTD("tos.rtd",,"LAST","."&amp;F$2&amp;F$1&amp;"P"&amp;$A10))/1000000,0),IF($A$2="PREMIUM",IFERROR((100*RTD("tos.rtd",,"VOLUME","."&amp;F$2&amp;F$1&amp;"C"&amp;$A10)*RTD("tos.rtd",,"LAST","."&amp;F$2&amp;F$1&amp;"C"&amp;$A10)-100*RTD("tos.rtd",,"VOLUME","."&amp;F$2&amp;F$1&amp;"P"&amp;$A10)*RTD("tos.rtd",,"LAST","."&amp;F$2&amp;F$1&amp;"P"&amp;$A10))/1000000,0),IF($A$2="DEX",IFERROR((100*RTD("tos.rtd",,"OPEN_INT","."&amp;F$2&amp;F$1&amp;"C"&amp;$A10)*RTD("tos.rtd",,"DELTA","."&amp;F$2&amp;F$1&amp;"C"&amp;$A10)-100*RTD("tos.rtd",,"OPEN_INT","."&amp;F$2&amp;F$1&amp;"P"&amp;$A10)*RTD("tos.rtd",,"DELTA","."&amp;F$2&amp;F$1&amp;"P"&amp;$A10))/1000,0),IF($A$2="VEX",IFERROR(($A$4*$A$4*RTD("tos.rtd",,"VOLUME","."&amp;F$2&amp;F$1&amp;"C"&amp;$A10)*RTD("tos.rtd",,"GAMMA","."&amp;F$2&amp;F$1&amp;"C"&amp;$A10)-$A$4*$A$4*RTD("tos.rtd",,"VOLUME","."&amp;F$2&amp;F$1&amp;"P"&amp;$A10)*RTD("tos.rtd",,"GAMMA","."&amp;F$2&amp;F$1&amp;"P"&amp;$A10))/1000000,0),IF($A$2="GEX",IFERROR(($A$4*$A$4*RTD("tos.rtd",,"OPEN_INT","."&amp;F$2&amp;F$1&amp;"C"&amp;$A10)*RTD("tos.rtd",,"GAMMA","."&amp;F$2&amp;F$1&amp;"C"&amp;$A10)-$A$4*$A$4*RTD("tos.rtd",,"OPEN_INT","."&amp;F$2&amp;F$1&amp;"P"&amp;$A10)*RTD("tos.rtd",,"GAMMA","."&amp;F$2&amp;F$1&amp;"P"&amp;$A10))/1000000,0),IF($A$2="SKEW",IFERROR(VALUE(IF(RTD("tos.rtd",,"IMPL_VOL","."&amp;F$2&amp;F$1&amp;"P"&amp;$A10)="N/A",0,RTD("tos.rtd",,"IMPL_VOL","."&amp;F$2&amp;F$1&amp;"P"&amp;$A10))),0)-IFERROR(VALUE(IF(RTD("tos.rtd",,"IMPL_VOL","."&amp;F$2&amp;F$1&amp;"C"&amp;$A10)="N/A",0,RTD("tos.rtd",,"IMPL_VOL","."&amp;F$2&amp;F$1&amp;"C"&amp;$A10))),0),IF($A$2="MAXPAIN",IF($A$4&gt;$A10,($A$4-$A10)*IF(RTD("tos.rtd",,"OPEN_INT","."&amp;F$2&amp;F$1&amp;"C"&amp;$A10)="N/A",0,RTD("tos.rtd",,"OPEN_INT","."&amp;F$2&amp;F$1&amp;"C"&amp;$A10)),0)+IF($A$4&lt;$A10,($A10-$A$4)*IF(RTD("tos.rtd",,"OPEN_INT","."&amp;F$2&amp;F$1&amp;"P"&amp;$A10)="N/A",0,RTD("tos.rtd",,"OPEN_INT","."&amp;F$2&amp;F$1&amp;"P"&amp;$A10)),0),IF(RTD("tos.rtd",,$A$2,"."&amp;F$2&amp;F$1&amp;"C"&amp;$A10)="N/A",0,RTD("tos.rtd",,$A$2,"."&amp;F$2&amp;F$1&amp;"C"&amp;$A10))-IF(RTD("tos.rtd",,$A$2,"."&amp;F$2&amp;F$1&amp;"P"&amp;$A10)="N/A",0,RTD("tos.rtd",,$A$2,"."&amp;F$2&amp;F$1&amp;"P"&amp;$A10)))))))))</f>
        <v>0</v>
      </c>
      <c r="G10" s="14">
        <f>IF($A$2="PREMIUM_OI",IFERROR((100*RTD("tos.rtd",,"OPEN_INT","."&amp;G$2&amp;G$1&amp;"C"&amp;$A10)*RTD("tos.rtd",,"LAST","."&amp;G$2&amp;G$1&amp;"C"&amp;$A10)-100*RTD("tos.rtd",,"OPEN_INT","."&amp;G$2&amp;G$1&amp;"P"&amp;$A10)*RTD("tos.rtd",,"LAST","."&amp;G$2&amp;G$1&amp;"P"&amp;$A10))/1000000,0),IF($A$2="PREMIUM",IFERROR((100*RTD("tos.rtd",,"VOLUME","."&amp;G$2&amp;G$1&amp;"C"&amp;$A10)*RTD("tos.rtd",,"LAST","."&amp;G$2&amp;G$1&amp;"C"&amp;$A10)-100*RTD("tos.rtd",,"VOLUME","."&amp;G$2&amp;G$1&amp;"P"&amp;$A10)*RTD("tos.rtd",,"LAST","."&amp;G$2&amp;G$1&amp;"P"&amp;$A10))/1000000,0),IF($A$2="DEX",IFERROR((100*RTD("tos.rtd",,"OPEN_INT","."&amp;G$2&amp;G$1&amp;"C"&amp;$A10)*RTD("tos.rtd",,"DELTA","."&amp;G$2&amp;G$1&amp;"C"&amp;$A10)-100*RTD("tos.rtd",,"OPEN_INT","."&amp;G$2&amp;G$1&amp;"P"&amp;$A10)*RTD("tos.rtd",,"DELTA","."&amp;G$2&amp;G$1&amp;"P"&amp;$A10))/1000,0),IF($A$2="VEX",IFERROR(($A$4*$A$4*RTD("tos.rtd",,"VOLUME","."&amp;G$2&amp;G$1&amp;"C"&amp;$A10)*RTD("tos.rtd",,"GAMMA","."&amp;G$2&amp;G$1&amp;"C"&amp;$A10)-$A$4*$A$4*RTD("tos.rtd",,"VOLUME","."&amp;G$2&amp;G$1&amp;"P"&amp;$A10)*RTD("tos.rtd",,"GAMMA","."&amp;G$2&amp;G$1&amp;"P"&amp;$A10))/1000000,0),IF($A$2="GEX",IFERROR(($A$4*$A$4*RTD("tos.rtd",,"OPEN_INT","."&amp;G$2&amp;G$1&amp;"C"&amp;$A10)*RTD("tos.rtd",,"GAMMA","."&amp;G$2&amp;G$1&amp;"C"&amp;$A10)-$A$4*$A$4*RTD("tos.rtd",,"OPEN_INT","."&amp;G$2&amp;G$1&amp;"P"&amp;$A10)*RTD("tos.rtd",,"GAMMA","."&amp;G$2&amp;G$1&amp;"P"&amp;$A10))/1000000,0),IF($A$2="SKEW",IFERROR(VALUE(IF(RTD("tos.rtd",,"IMPL_VOL","."&amp;G$2&amp;G$1&amp;"P"&amp;$A10)="N/A",0,RTD("tos.rtd",,"IMPL_VOL","."&amp;G$2&amp;G$1&amp;"P"&amp;$A10))),0)-IFERROR(VALUE(IF(RTD("tos.rtd",,"IMPL_VOL","."&amp;G$2&amp;G$1&amp;"C"&amp;$A10)="N/A",0,RTD("tos.rtd",,"IMPL_VOL","."&amp;G$2&amp;G$1&amp;"C"&amp;$A10))),0),IF($A$2="MAXPAIN",IF($A$4&gt;$A10,($A$4-$A10)*IF(RTD("tos.rtd",,"OPEN_INT","."&amp;G$2&amp;G$1&amp;"C"&amp;$A10)="N/A",0,RTD("tos.rtd",,"OPEN_INT","."&amp;G$2&amp;G$1&amp;"C"&amp;$A10)),0)+IF($A$4&lt;$A10,($A10-$A$4)*IF(RTD("tos.rtd",,"OPEN_INT","."&amp;G$2&amp;G$1&amp;"P"&amp;$A10)="N/A",0,RTD("tos.rtd",,"OPEN_INT","."&amp;G$2&amp;G$1&amp;"P"&amp;$A10)),0),IF(RTD("tos.rtd",,$A$2,"."&amp;G$2&amp;G$1&amp;"C"&amp;$A10)="N/A",0,RTD("tos.rtd",,$A$2,"."&amp;G$2&amp;G$1&amp;"C"&amp;$A10))-IF(RTD("tos.rtd",,$A$2,"."&amp;G$2&amp;G$1&amp;"P"&amp;$A10)="N/A",0,RTD("tos.rtd",,$A$2,"."&amp;G$2&amp;G$1&amp;"P"&amp;$A10)))))))))</f>
        <v>0</v>
      </c>
      <c r="H10" s="12">
        <f>IF($A$2="PREMIUM_OI",IFERROR((100*RTD("tos.rtd",,"OPEN_INT","."&amp;H$2&amp;H$1&amp;"C"&amp;$A10)*RTD("tos.rtd",,"LAST","."&amp;H$2&amp;H$1&amp;"C"&amp;$A10)-100*RTD("tos.rtd",,"OPEN_INT","."&amp;H$2&amp;H$1&amp;"P"&amp;$A10)*RTD("tos.rtd",,"LAST","."&amp;H$2&amp;H$1&amp;"P"&amp;$A10))/1000000,0),IF($A$2="PREMIUM",IFERROR((100*RTD("tos.rtd",,"VOLUME","."&amp;H$2&amp;H$1&amp;"C"&amp;$A10)*RTD("tos.rtd",,"LAST","."&amp;H$2&amp;H$1&amp;"C"&amp;$A10)-100*RTD("tos.rtd",,"VOLUME","."&amp;H$2&amp;H$1&amp;"P"&amp;$A10)*RTD("tos.rtd",,"LAST","."&amp;H$2&amp;H$1&amp;"P"&amp;$A10))/1000000,0),IF($A$2="DEX",IFERROR((100*RTD("tos.rtd",,"OPEN_INT","."&amp;H$2&amp;H$1&amp;"C"&amp;$A10)*RTD("tos.rtd",,"DELTA","."&amp;H$2&amp;H$1&amp;"C"&amp;$A10)-100*RTD("tos.rtd",,"OPEN_INT","."&amp;H$2&amp;H$1&amp;"P"&amp;$A10)*RTD("tos.rtd",,"DELTA","."&amp;H$2&amp;H$1&amp;"P"&amp;$A10))/1000,0),IF($A$2="VEX",IFERROR(($A$4*$A$4*RTD("tos.rtd",,"VOLUME","."&amp;H$2&amp;H$1&amp;"C"&amp;$A10)*RTD("tos.rtd",,"GAMMA","."&amp;H$2&amp;H$1&amp;"C"&amp;$A10)-$A$4*$A$4*RTD("tos.rtd",,"VOLUME","."&amp;H$2&amp;H$1&amp;"P"&amp;$A10)*RTD("tos.rtd",,"GAMMA","."&amp;H$2&amp;H$1&amp;"P"&amp;$A10))/1000000,0),IF($A$2="GEX",IFERROR(($A$4*$A$4*RTD("tos.rtd",,"OPEN_INT","."&amp;H$2&amp;H$1&amp;"C"&amp;$A10)*RTD("tos.rtd",,"GAMMA","."&amp;H$2&amp;H$1&amp;"C"&amp;$A10)-$A$4*$A$4*RTD("tos.rtd",,"OPEN_INT","."&amp;H$2&amp;H$1&amp;"P"&amp;$A10)*RTD("tos.rtd",,"GAMMA","."&amp;H$2&amp;H$1&amp;"P"&amp;$A10))/1000000,0),IF($A$2="SKEW",IFERROR(VALUE(IF(RTD("tos.rtd",,"IMPL_VOL","."&amp;H$2&amp;H$1&amp;"P"&amp;$A10)="N/A",0,RTD("tos.rtd",,"IMPL_VOL","."&amp;H$2&amp;H$1&amp;"P"&amp;$A10))),0)-IFERROR(VALUE(IF(RTD("tos.rtd",,"IMPL_VOL","."&amp;H$2&amp;H$1&amp;"C"&amp;$A10)="N/A",0,RTD("tos.rtd",,"IMPL_VOL","."&amp;H$2&amp;H$1&amp;"C"&amp;$A10))),0),IF($A$2="MAXPAIN",IF($A$4&gt;$A10,($A$4-$A10)*IF(RTD("tos.rtd",,"OPEN_INT","."&amp;H$2&amp;H$1&amp;"C"&amp;$A10)="N/A",0,RTD("tos.rtd",,"OPEN_INT","."&amp;H$2&amp;H$1&amp;"C"&amp;$A10)),0)+IF($A$4&lt;$A10,($A10-$A$4)*IF(RTD("tos.rtd",,"OPEN_INT","."&amp;H$2&amp;H$1&amp;"P"&amp;$A10)="N/A",0,RTD("tos.rtd",,"OPEN_INT","."&amp;H$2&amp;H$1&amp;"P"&amp;$A10)),0),IF(RTD("tos.rtd",,$A$2,"."&amp;H$2&amp;H$1&amp;"C"&amp;$A10)="N/A",0,RTD("tos.rtd",,$A$2,"."&amp;H$2&amp;H$1&amp;"C"&amp;$A10))-IF(RTD("tos.rtd",,$A$2,"."&amp;H$2&amp;H$1&amp;"P"&amp;$A10)="N/A",0,RTD("tos.rtd",,$A$2,"."&amp;H$2&amp;H$1&amp;"P"&amp;$A10)))))))))</f>
        <v>304</v>
      </c>
      <c r="I10" s="12">
        <f>IF($A$2="PREMIUM_OI",IFERROR((100*RTD("tos.rtd",,"OPEN_INT","."&amp;I$2&amp;I$1&amp;"C"&amp;$A10)*RTD("tos.rtd",,"LAST","."&amp;I$2&amp;I$1&amp;"C"&amp;$A10)-100*RTD("tos.rtd",,"OPEN_INT","."&amp;I$2&amp;I$1&amp;"P"&amp;$A10)*RTD("tos.rtd",,"LAST","."&amp;I$2&amp;I$1&amp;"P"&amp;$A10))/1000000,0),IF($A$2="PREMIUM",IFERROR((100*RTD("tos.rtd",,"VOLUME","."&amp;I$2&amp;I$1&amp;"C"&amp;$A10)*RTD("tos.rtd",,"LAST","."&amp;I$2&amp;I$1&amp;"C"&amp;$A10)-100*RTD("tos.rtd",,"VOLUME","."&amp;I$2&amp;I$1&amp;"P"&amp;$A10)*RTD("tos.rtd",,"LAST","."&amp;I$2&amp;I$1&amp;"P"&amp;$A10))/1000000,0),IF($A$2="DEX",IFERROR((100*RTD("tos.rtd",,"OPEN_INT","."&amp;I$2&amp;I$1&amp;"C"&amp;$A10)*RTD("tos.rtd",,"DELTA","."&amp;I$2&amp;I$1&amp;"C"&amp;$A10)-100*RTD("tos.rtd",,"OPEN_INT","."&amp;I$2&amp;I$1&amp;"P"&amp;$A10)*RTD("tos.rtd",,"DELTA","."&amp;I$2&amp;I$1&amp;"P"&amp;$A10))/1000,0),IF($A$2="VEX",IFERROR(($A$4*$A$4*RTD("tos.rtd",,"VOLUME","."&amp;I$2&amp;I$1&amp;"C"&amp;$A10)*RTD("tos.rtd",,"GAMMA","."&amp;I$2&amp;I$1&amp;"C"&amp;$A10)-$A$4*$A$4*RTD("tos.rtd",,"VOLUME","."&amp;I$2&amp;I$1&amp;"P"&amp;$A10)*RTD("tos.rtd",,"GAMMA","."&amp;I$2&amp;I$1&amp;"P"&amp;$A10))/1000000,0),IF($A$2="GEX",IFERROR(($A$4*$A$4*RTD("tos.rtd",,"OPEN_INT","."&amp;I$2&amp;I$1&amp;"C"&amp;$A10)*RTD("tos.rtd",,"GAMMA","."&amp;I$2&amp;I$1&amp;"C"&amp;$A10)-$A$4*$A$4*RTD("tos.rtd",,"OPEN_INT","."&amp;I$2&amp;I$1&amp;"P"&amp;$A10)*RTD("tos.rtd",,"GAMMA","."&amp;I$2&amp;I$1&amp;"P"&amp;$A10))/1000000,0),IF($A$2="SKEW",IFERROR(VALUE(IF(RTD("tos.rtd",,"IMPL_VOL","."&amp;I$2&amp;I$1&amp;"P"&amp;$A10)="N/A",0,RTD("tos.rtd",,"IMPL_VOL","."&amp;I$2&amp;I$1&amp;"P"&amp;$A10))),0)-IFERROR(VALUE(IF(RTD("tos.rtd",,"IMPL_VOL","."&amp;I$2&amp;I$1&amp;"C"&amp;$A10)="N/A",0,RTD("tos.rtd",,"IMPL_VOL","."&amp;I$2&amp;I$1&amp;"C"&amp;$A10))),0),IF($A$2="MAXPAIN",IF($A$4&gt;$A10,($A$4-$A10)*IF(RTD("tos.rtd",,"OPEN_INT","."&amp;I$2&amp;I$1&amp;"C"&amp;$A10)="N/A",0,RTD("tos.rtd",,"OPEN_INT","."&amp;I$2&amp;I$1&amp;"C"&amp;$A10)),0)+IF($A$4&lt;$A10,($A10-$A$4)*IF(RTD("tos.rtd",,"OPEN_INT","."&amp;I$2&amp;I$1&amp;"P"&amp;$A10)="N/A",0,RTD("tos.rtd",,"OPEN_INT","."&amp;I$2&amp;I$1&amp;"P"&amp;$A10)),0),IF(RTD("tos.rtd",,$A$2,"."&amp;I$2&amp;I$1&amp;"C"&amp;$A10)="N/A",0,RTD("tos.rtd",,$A$2,"."&amp;I$2&amp;I$1&amp;"C"&amp;$A10))-IF(RTD("tos.rtd",,$A$2,"."&amp;I$2&amp;I$1&amp;"P"&amp;$A10)="N/A",0,RTD("tos.rtd",,$A$2,"."&amp;I$2&amp;I$1&amp;"P"&amp;$A10)))))))))</f>
        <v>0</v>
      </c>
      <c r="J10" s="12">
        <f>IF($A$2="PREMIUM_OI",IFERROR((100*RTD("tos.rtd",,"OPEN_INT","."&amp;J$2&amp;J$1&amp;"C"&amp;$A10)*RTD("tos.rtd",,"LAST","."&amp;J$2&amp;J$1&amp;"C"&amp;$A10)-100*RTD("tos.rtd",,"OPEN_INT","."&amp;J$2&amp;J$1&amp;"P"&amp;$A10)*RTD("tos.rtd",,"LAST","."&amp;J$2&amp;J$1&amp;"P"&amp;$A10))/1000000,0),IF($A$2="PREMIUM",IFERROR((100*RTD("tos.rtd",,"VOLUME","."&amp;J$2&amp;J$1&amp;"C"&amp;$A10)*RTD("tos.rtd",,"LAST","."&amp;J$2&amp;J$1&amp;"C"&amp;$A10)-100*RTD("tos.rtd",,"VOLUME","."&amp;J$2&amp;J$1&amp;"P"&amp;$A10)*RTD("tos.rtd",,"LAST","."&amp;J$2&amp;J$1&amp;"P"&amp;$A10))/1000000,0),IF($A$2="DEX",IFERROR((100*RTD("tos.rtd",,"OPEN_INT","."&amp;J$2&amp;J$1&amp;"C"&amp;$A10)*RTD("tos.rtd",,"DELTA","."&amp;J$2&amp;J$1&amp;"C"&amp;$A10)-100*RTD("tos.rtd",,"OPEN_INT","."&amp;J$2&amp;J$1&amp;"P"&amp;$A10)*RTD("tos.rtd",,"DELTA","."&amp;J$2&amp;J$1&amp;"P"&amp;$A10))/1000,0),IF($A$2="VEX",IFERROR(($A$4*$A$4*RTD("tos.rtd",,"VOLUME","."&amp;J$2&amp;J$1&amp;"C"&amp;$A10)*RTD("tos.rtd",,"GAMMA","."&amp;J$2&amp;J$1&amp;"C"&amp;$A10)-$A$4*$A$4*RTD("tos.rtd",,"VOLUME","."&amp;J$2&amp;J$1&amp;"P"&amp;$A10)*RTD("tos.rtd",,"GAMMA","."&amp;J$2&amp;J$1&amp;"P"&amp;$A10))/1000000,0),IF($A$2="GEX",IFERROR(($A$4*$A$4*RTD("tos.rtd",,"OPEN_INT","."&amp;J$2&amp;J$1&amp;"C"&amp;$A10)*RTD("tos.rtd",,"GAMMA","."&amp;J$2&amp;J$1&amp;"C"&amp;$A10)-$A$4*$A$4*RTD("tos.rtd",,"OPEN_INT","."&amp;J$2&amp;J$1&amp;"P"&amp;$A10)*RTD("tos.rtd",,"GAMMA","."&amp;J$2&amp;J$1&amp;"P"&amp;$A10))/1000000,0),IF($A$2="SKEW",IFERROR(VALUE(IF(RTD("tos.rtd",,"IMPL_VOL","."&amp;J$2&amp;J$1&amp;"P"&amp;$A10)="N/A",0,RTD("tos.rtd",,"IMPL_VOL","."&amp;J$2&amp;J$1&amp;"P"&amp;$A10))),0)-IFERROR(VALUE(IF(RTD("tos.rtd",,"IMPL_VOL","."&amp;J$2&amp;J$1&amp;"C"&amp;$A10)="N/A",0,RTD("tos.rtd",,"IMPL_VOL","."&amp;J$2&amp;J$1&amp;"C"&amp;$A10))),0),IF($A$2="MAXPAIN",IF($A$4&gt;$A10,($A$4-$A10)*IF(RTD("tos.rtd",,"OPEN_INT","."&amp;J$2&amp;J$1&amp;"C"&amp;$A10)="N/A",0,RTD("tos.rtd",,"OPEN_INT","."&amp;J$2&amp;J$1&amp;"C"&amp;$A10)),0)+IF($A$4&lt;$A10,($A10-$A$4)*IF(RTD("tos.rtd",,"OPEN_INT","."&amp;J$2&amp;J$1&amp;"P"&amp;$A10)="N/A",0,RTD("tos.rtd",,"OPEN_INT","."&amp;J$2&amp;J$1&amp;"P"&amp;$A10)),0),IF(RTD("tos.rtd",,$A$2,"."&amp;J$2&amp;J$1&amp;"C"&amp;$A10)="N/A",0,RTD("tos.rtd",,$A$2,"."&amp;J$2&amp;J$1&amp;"C"&amp;$A10))-IF(RTD("tos.rtd",,$A$2,"."&amp;J$2&amp;J$1&amp;"P"&amp;$A10)="N/A",0,RTD("tos.rtd",,$A$2,"."&amp;J$2&amp;J$1&amp;"P"&amp;$A10)))))))))</f>
        <v>0</v>
      </c>
      <c r="K10" s="12">
        <f>IF($A$2="PREMIUM_OI",IFERROR((100*RTD("tos.rtd",,"OPEN_INT","."&amp;K$2&amp;K$1&amp;"C"&amp;$A10)*RTD("tos.rtd",,"LAST","."&amp;K$2&amp;K$1&amp;"C"&amp;$A10)-100*RTD("tos.rtd",,"OPEN_INT","."&amp;K$2&amp;K$1&amp;"P"&amp;$A10)*RTD("tos.rtd",,"LAST","."&amp;K$2&amp;K$1&amp;"P"&amp;$A10))/1000000,0),IF($A$2="PREMIUM",IFERROR((100*RTD("tos.rtd",,"VOLUME","."&amp;K$2&amp;K$1&amp;"C"&amp;$A10)*RTD("tos.rtd",,"LAST","."&amp;K$2&amp;K$1&amp;"C"&amp;$A10)-100*RTD("tos.rtd",,"VOLUME","."&amp;K$2&amp;K$1&amp;"P"&amp;$A10)*RTD("tos.rtd",,"LAST","."&amp;K$2&amp;K$1&amp;"P"&amp;$A10))/1000000,0),IF($A$2="DEX",IFERROR((100*RTD("tos.rtd",,"OPEN_INT","."&amp;K$2&amp;K$1&amp;"C"&amp;$A10)*RTD("tos.rtd",,"DELTA","."&amp;K$2&amp;K$1&amp;"C"&amp;$A10)-100*RTD("tos.rtd",,"OPEN_INT","."&amp;K$2&amp;K$1&amp;"P"&amp;$A10)*RTD("tos.rtd",,"DELTA","."&amp;K$2&amp;K$1&amp;"P"&amp;$A10))/1000,0),IF($A$2="VEX",IFERROR(($A$4*$A$4*RTD("tos.rtd",,"VOLUME","."&amp;K$2&amp;K$1&amp;"C"&amp;$A10)*RTD("tos.rtd",,"GAMMA","."&amp;K$2&amp;K$1&amp;"C"&amp;$A10)-$A$4*$A$4*RTD("tos.rtd",,"VOLUME","."&amp;K$2&amp;K$1&amp;"P"&amp;$A10)*RTD("tos.rtd",,"GAMMA","."&amp;K$2&amp;K$1&amp;"P"&amp;$A10))/1000000,0),IF($A$2="GEX",IFERROR(($A$4*$A$4*RTD("tos.rtd",,"OPEN_INT","."&amp;K$2&amp;K$1&amp;"C"&amp;$A10)*RTD("tos.rtd",,"GAMMA","."&amp;K$2&amp;K$1&amp;"C"&amp;$A10)-$A$4*$A$4*RTD("tos.rtd",,"OPEN_INT","."&amp;K$2&amp;K$1&amp;"P"&amp;$A10)*RTD("tos.rtd",,"GAMMA","."&amp;K$2&amp;K$1&amp;"P"&amp;$A10))/1000000,0),IF($A$2="SKEW",IFERROR(VALUE(IF(RTD("tos.rtd",,"IMPL_VOL","."&amp;K$2&amp;K$1&amp;"P"&amp;$A10)="N/A",0,RTD("tos.rtd",,"IMPL_VOL","."&amp;K$2&amp;K$1&amp;"P"&amp;$A10))),0)-IFERROR(VALUE(IF(RTD("tos.rtd",,"IMPL_VOL","."&amp;K$2&amp;K$1&amp;"C"&amp;$A10)="N/A",0,RTD("tos.rtd",,"IMPL_VOL","."&amp;K$2&amp;K$1&amp;"C"&amp;$A10))),0),IF($A$2="MAXPAIN",IF($A$4&gt;$A10,($A$4-$A10)*IF(RTD("tos.rtd",,"OPEN_INT","."&amp;K$2&amp;K$1&amp;"C"&amp;$A10)="N/A",0,RTD("tos.rtd",,"OPEN_INT","."&amp;K$2&amp;K$1&amp;"C"&amp;$A10)),0)+IF($A$4&lt;$A10,($A10-$A$4)*IF(RTD("tos.rtd",,"OPEN_INT","."&amp;K$2&amp;K$1&amp;"P"&amp;$A10)="N/A",0,RTD("tos.rtd",,"OPEN_INT","."&amp;K$2&amp;K$1&amp;"P"&amp;$A10)),0),IF(RTD("tos.rtd",,$A$2,"."&amp;K$2&amp;K$1&amp;"C"&amp;$A10)="N/A",0,RTD("tos.rtd",,$A$2,"."&amp;K$2&amp;K$1&amp;"C"&amp;$A10))-IF(RTD("tos.rtd",,$A$2,"."&amp;K$2&amp;K$1&amp;"P"&amp;$A10)="N/A",0,RTD("tos.rtd",,$A$2,"."&amp;K$2&amp;K$1&amp;"P"&amp;$A10)))))))))</f>
        <v>0</v>
      </c>
      <c r="L10" s="12">
        <f>IF($A$2="PREMIUM_OI",IFERROR((100*RTD("tos.rtd",,"OPEN_INT","."&amp;L$2&amp;L$1&amp;"C"&amp;$A10)*RTD("tos.rtd",,"LAST","."&amp;L$2&amp;L$1&amp;"C"&amp;$A10)-100*RTD("tos.rtd",,"OPEN_INT","."&amp;L$2&amp;L$1&amp;"P"&amp;$A10)*RTD("tos.rtd",,"LAST","."&amp;L$2&amp;L$1&amp;"P"&amp;$A10))/1000000,0),IF($A$2="PREMIUM",IFERROR((100*RTD("tos.rtd",,"VOLUME","."&amp;L$2&amp;L$1&amp;"C"&amp;$A10)*RTD("tos.rtd",,"LAST","."&amp;L$2&amp;L$1&amp;"C"&amp;$A10)-100*RTD("tos.rtd",,"VOLUME","."&amp;L$2&amp;L$1&amp;"P"&amp;$A10)*RTD("tos.rtd",,"LAST","."&amp;L$2&amp;L$1&amp;"P"&amp;$A10))/1000000,0),IF($A$2="DEX",IFERROR((100*RTD("tos.rtd",,"OPEN_INT","."&amp;L$2&amp;L$1&amp;"C"&amp;$A10)*RTD("tos.rtd",,"DELTA","."&amp;L$2&amp;L$1&amp;"C"&amp;$A10)-100*RTD("tos.rtd",,"OPEN_INT","."&amp;L$2&amp;L$1&amp;"P"&amp;$A10)*RTD("tos.rtd",,"DELTA","."&amp;L$2&amp;L$1&amp;"P"&amp;$A10))/1000,0),IF($A$2="VEX",IFERROR(($A$4*$A$4*RTD("tos.rtd",,"VOLUME","."&amp;L$2&amp;L$1&amp;"C"&amp;$A10)*RTD("tos.rtd",,"GAMMA","."&amp;L$2&amp;L$1&amp;"C"&amp;$A10)-$A$4*$A$4*RTD("tos.rtd",,"VOLUME","."&amp;L$2&amp;L$1&amp;"P"&amp;$A10)*RTD("tos.rtd",,"GAMMA","."&amp;L$2&amp;L$1&amp;"P"&amp;$A10))/1000000,0),IF($A$2="GEX",IFERROR(($A$4*$A$4*RTD("tos.rtd",,"OPEN_INT","."&amp;L$2&amp;L$1&amp;"C"&amp;$A10)*RTD("tos.rtd",,"GAMMA","."&amp;L$2&amp;L$1&amp;"C"&amp;$A10)-$A$4*$A$4*RTD("tos.rtd",,"OPEN_INT","."&amp;L$2&amp;L$1&amp;"P"&amp;$A10)*RTD("tos.rtd",,"GAMMA","."&amp;L$2&amp;L$1&amp;"P"&amp;$A10))/1000000,0),IF($A$2="SKEW",IFERROR(VALUE(IF(RTD("tos.rtd",,"IMPL_VOL","."&amp;L$2&amp;L$1&amp;"P"&amp;$A10)="N/A",0,RTD("tos.rtd",,"IMPL_VOL","."&amp;L$2&amp;L$1&amp;"P"&amp;$A10))),0)-IFERROR(VALUE(IF(RTD("tos.rtd",,"IMPL_VOL","."&amp;L$2&amp;L$1&amp;"C"&amp;$A10)="N/A",0,RTD("tos.rtd",,"IMPL_VOL","."&amp;L$2&amp;L$1&amp;"C"&amp;$A10))),0),IF($A$2="MAXPAIN",IF($A$4&gt;$A10,($A$4-$A10)*IF(RTD("tos.rtd",,"OPEN_INT","."&amp;L$2&amp;L$1&amp;"C"&amp;$A10)="N/A",0,RTD("tos.rtd",,"OPEN_INT","."&amp;L$2&amp;L$1&amp;"C"&amp;$A10)),0)+IF($A$4&lt;$A10,($A10-$A$4)*IF(RTD("tos.rtd",,"OPEN_INT","."&amp;L$2&amp;L$1&amp;"P"&amp;$A10)="N/A",0,RTD("tos.rtd",,"OPEN_INT","."&amp;L$2&amp;L$1&amp;"P"&amp;$A10)),0),IF(RTD("tos.rtd",,$A$2,"."&amp;L$2&amp;L$1&amp;"C"&amp;$A10)="N/A",0,RTD("tos.rtd",,$A$2,"."&amp;L$2&amp;L$1&amp;"C"&amp;$A10))-IF(RTD("tos.rtd",,$A$2,"."&amp;L$2&amp;L$1&amp;"P"&amp;$A10)="N/A",0,RTD("tos.rtd",,$A$2,"."&amp;L$2&amp;L$1&amp;"P"&amp;$A10)))))))))</f>
        <v>0</v>
      </c>
      <c r="M10" s="12">
        <f>IF($A$2="PREMIUM_OI",IFERROR((100*RTD("tos.rtd",,"OPEN_INT","."&amp;M$2&amp;M$1&amp;"C"&amp;$A10)*RTD("tos.rtd",,"LAST","."&amp;M$2&amp;M$1&amp;"C"&amp;$A10)-100*RTD("tos.rtd",,"OPEN_INT","."&amp;M$2&amp;M$1&amp;"P"&amp;$A10)*RTD("tos.rtd",,"LAST","."&amp;M$2&amp;M$1&amp;"P"&amp;$A10))/1000000,0),IF($A$2="PREMIUM",IFERROR((100*RTD("tos.rtd",,"VOLUME","."&amp;M$2&amp;M$1&amp;"C"&amp;$A10)*RTD("tos.rtd",,"LAST","."&amp;M$2&amp;M$1&amp;"C"&amp;$A10)-100*RTD("tos.rtd",,"VOLUME","."&amp;M$2&amp;M$1&amp;"P"&amp;$A10)*RTD("tos.rtd",,"LAST","."&amp;M$2&amp;M$1&amp;"P"&amp;$A10))/1000000,0),IF($A$2="DEX",IFERROR((100*RTD("tos.rtd",,"OPEN_INT","."&amp;M$2&amp;M$1&amp;"C"&amp;$A10)*RTD("tos.rtd",,"DELTA","."&amp;M$2&amp;M$1&amp;"C"&amp;$A10)-100*RTD("tos.rtd",,"OPEN_INT","."&amp;M$2&amp;M$1&amp;"P"&amp;$A10)*RTD("tos.rtd",,"DELTA","."&amp;M$2&amp;M$1&amp;"P"&amp;$A10))/1000,0),IF($A$2="VEX",IFERROR(($A$4*$A$4*RTD("tos.rtd",,"VOLUME","."&amp;M$2&amp;M$1&amp;"C"&amp;$A10)*RTD("tos.rtd",,"GAMMA","."&amp;M$2&amp;M$1&amp;"C"&amp;$A10)-$A$4*$A$4*RTD("tos.rtd",,"VOLUME","."&amp;M$2&amp;M$1&amp;"P"&amp;$A10)*RTD("tos.rtd",,"GAMMA","."&amp;M$2&amp;M$1&amp;"P"&amp;$A10))/1000000,0),IF($A$2="GEX",IFERROR(($A$4*$A$4*RTD("tos.rtd",,"OPEN_INT","."&amp;M$2&amp;M$1&amp;"C"&amp;$A10)*RTD("tos.rtd",,"GAMMA","."&amp;M$2&amp;M$1&amp;"C"&amp;$A10)-$A$4*$A$4*RTD("tos.rtd",,"OPEN_INT","."&amp;M$2&amp;M$1&amp;"P"&amp;$A10)*RTD("tos.rtd",,"GAMMA","."&amp;M$2&amp;M$1&amp;"P"&amp;$A10))/1000000,0),IF($A$2="SKEW",IFERROR(VALUE(IF(RTD("tos.rtd",,"IMPL_VOL","."&amp;M$2&amp;M$1&amp;"P"&amp;$A10)="N/A",0,RTD("tos.rtd",,"IMPL_VOL","."&amp;M$2&amp;M$1&amp;"P"&amp;$A10))),0)-IFERROR(VALUE(IF(RTD("tos.rtd",,"IMPL_VOL","."&amp;M$2&amp;M$1&amp;"C"&amp;$A10)="N/A",0,RTD("tos.rtd",,"IMPL_VOL","."&amp;M$2&amp;M$1&amp;"C"&amp;$A10))),0),IF($A$2="MAXPAIN",IF($A$4&gt;$A10,($A$4-$A10)*IF(RTD("tos.rtd",,"OPEN_INT","."&amp;M$2&amp;M$1&amp;"C"&amp;$A10)="N/A",0,RTD("tos.rtd",,"OPEN_INT","."&amp;M$2&amp;M$1&amp;"C"&amp;$A10)),0)+IF($A$4&lt;$A10,($A10-$A$4)*IF(RTD("tos.rtd",,"OPEN_INT","."&amp;M$2&amp;M$1&amp;"P"&amp;$A10)="N/A",0,RTD("tos.rtd",,"OPEN_INT","."&amp;M$2&amp;M$1&amp;"P"&amp;$A10)),0),IF(RTD("tos.rtd",,$A$2,"."&amp;M$2&amp;M$1&amp;"C"&amp;$A10)="N/A",0,RTD("tos.rtd",,$A$2,"."&amp;M$2&amp;M$1&amp;"C"&amp;$A10))-IF(RTD("tos.rtd",,$A$2,"."&amp;M$2&amp;M$1&amp;"P"&amp;$A10)="N/A",0,RTD("tos.rtd",,$A$2,"."&amp;M$2&amp;M$1&amp;"P"&amp;$A10)))))))))</f>
        <v>426</v>
      </c>
      <c r="N10" s="12">
        <f>IF($A$2="PREMIUM_OI",IFERROR((100*RTD("tos.rtd",,"OPEN_INT","."&amp;N$2&amp;N$1&amp;"C"&amp;$A10)*RTD("tos.rtd",,"LAST","."&amp;N$2&amp;N$1&amp;"C"&amp;$A10)-100*RTD("tos.rtd",,"OPEN_INT","."&amp;N$2&amp;N$1&amp;"P"&amp;$A10)*RTD("tos.rtd",,"LAST","."&amp;N$2&amp;N$1&amp;"P"&amp;$A10))/1000000,0),IF($A$2="PREMIUM",IFERROR((100*RTD("tos.rtd",,"VOLUME","."&amp;N$2&amp;N$1&amp;"C"&amp;$A10)*RTD("tos.rtd",,"LAST","."&amp;N$2&amp;N$1&amp;"C"&amp;$A10)-100*RTD("tos.rtd",,"VOLUME","."&amp;N$2&amp;N$1&amp;"P"&amp;$A10)*RTD("tos.rtd",,"LAST","."&amp;N$2&amp;N$1&amp;"P"&amp;$A10))/1000000,0),IF($A$2="DEX",IFERROR((100*RTD("tos.rtd",,"OPEN_INT","."&amp;N$2&amp;N$1&amp;"C"&amp;$A10)*RTD("tos.rtd",,"DELTA","."&amp;N$2&amp;N$1&amp;"C"&amp;$A10)-100*RTD("tos.rtd",,"OPEN_INT","."&amp;N$2&amp;N$1&amp;"P"&amp;$A10)*RTD("tos.rtd",,"DELTA","."&amp;N$2&amp;N$1&amp;"P"&amp;$A10))/1000,0),IF($A$2="VEX",IFERROR(($A$4*$A$4*RTD("tos.rtd",,"VOLUME","."&amp;N$2&amp;N$1&amp;"C"&amp;$A10)*RTD("tos.rtd",,"GAMMA","."&amp;N$2&amp;N$1&amp;"C"&amp;$A10)-$A$4*$A$4*RTD("tos.rtd",,"VOLUME","."&amp;N$2&amp;N$1&amp;"P"&amp;$A10)*RTD("tos.rtd",,"GAMMA","."&amp;N$2&amp;N$1&amp;"P"&amp;$A10))/1000000,0),IF($A$2="GEX",IFERROR(($A$4*$A$4*RTD("tos.rtd",,"OPEN_INT","."&amp;N$2&amp;N$1&amp;"C"&amp;$A10)*RTD("tos.rtd",,"GAMMA","."&amp;N$2&amp;N$1&amp;"C"&amp;$A10)-$A$4*$A$4*RTD("tos.rtd",,"OPEN_INT","."&amp;N$2&amp;N$1&amp;"P"&amp;$A10)*RTD("tos.rtd",,"GAMMA","."&amp;N$2&amp;N$1&amp;"P"&amp;$A10))/1000000,0),IF($A$2="SKEW",IFERROR(VALUE(IF(RTD("tos.rtd",,"IMPL_VOL","."&amp;N$2&amp;N$1&amp;"P"&amp;$A10)="N/A",0,RTD("tos.rtd",,"IMPL_VOL","."&amp;N$2&amp;N$1&amp;"P"&amp;$A10))),0)-IFERROR(VALUE(IF(RTD("tos.rtd",,"IMPL_VOL","."&amp;N$2&amp;N$1&amp;"C"&amp;$A10)="N/A",0,RTD("tos.rtd",,"IMPL_VOL","."&amp;N$2&amp;N$1&amp;"C"&amp;$A10))),0),IF($A$2="MAXPAIN",IF($A$4&gt;$A10,($A$4-$A10)*IF(RTD("tos.rtd",,"OPEN_INT","."&amp;N$2&amp;N$1&amp;"C"&amp;$A10)="N/A",0,RTD("tos.rtd",,"OPEN_INT","."&amp;N$2&amp;N$1&amp;"C"&amp;$A10)),0)+IF($A$4&lt;$A10,($A10-$A$4)*IF(RTD("tos.rtd",,"OPEN_INT","."&amp;N$2&amp;N$1&amp;"P"&amp;$A10)="N/A",0,RTD("tos.rtd",,"OPEN_INT","."&amp;N$2&amp;N$1&amp;"P"&amp;$A10)),0),IF(RTD("tos.rtd",,$A$2,"."&amp;N$2&amp;N$1&amp;"C"&amp;$A10)="N/A",0,RTD("tos.rtd",,$A$2,"."&amp;N$2&amp;N$1&amp;"C"&amp;$A10))-IF(RTD("tos.rtd",,$A$2,"."&amp;N$2&amp;N$1&amp;"P"&amp;$A10)="N/A",0,RTD("tos.rtd",,$A$2,"."&amp;N$2&amp;N$1&amp;"P"&amp;$A10)))))))))</f>
        <v>0</v>
      </c>
      <c r="O10" s="12">
        <f>IF($A$2="PREMIUM_OI",IFERROR((100*RTD("tos.rtd",,"OPEN_INT","."&amp;O$2&amp;O$1&amp;"C"&amp;$A10)*RTD("tos.rtd",,"LAST","."&amp;O$2&amp;O$1&amp;"C"&amp;$A10)-100*RTD("tos.rtd",,"OPEN_INT","."&amp;O$2&amp;O$1&amp;"P"&amp;$A10)*RTD("tos.rtd",,"LAST","."&amp;O$2&amp;O$1&amp;"P"&amp;$A10))/1000000,0),IF($A$2="PREMIUM",IFERROR((100*RTD("tos.rtd",,"VOLUME","."&amp;O$2&amp;O$1&amp;"C"&amp;$A10)*RTD("tos.rtd",,"LAST","."&amp;O$2&amp;O$1&amp;"C"&amp;$A10)-100*RTD("tos.rtd",,"VOLUME","."&amp;O$2&amp;O$1&amp;"P"&amp;$A10)*RTD("tos.rtd",,"LAST","."&amp;O$2&amp;O$1&amp;"P"&amp;$A10))/1000000,0),IF($A$2="DEX",IFERROR((100*RTD("tos.rtd",,"OPEN_INT","."&amp;O$2&amp;O$1&amp;"C"&amp;$A10)*RTD("tos.rtd",,"DELTA","."&amp;O$2&amp;O$1&amp;"C"&amp;$A10)-100*RTD("tos.rtd",,"OPEN_INT","."&amp;O$2&amp;O$1&amp;"P"&amp;$A10)*RTD("tos.rtd",,"DELTA","."&amp;O$2&amp;O$1&amp;"P"&amp;$A10))/1000,0),IF($A$2="VEX",IFERROR(($A$4*$A$4*RTD("tos.rtd",,"VOLUME","."&amp;O$2&amp;O$1&amp;"C"&amp;$A10)*RTD("tos.rtd",,"GAMMA","."&amp;O$2&amp;O$1&amp;"C"&amp;$A10)-$A$4*$A$4*RTD("tos.rtd",,"VOLUME","."&amp;O$2&amp;O$1&amp;"P"&amp;$A10)*RTD("tos.rtd",,"GAMMA","."&amp;O$2&amp;O$1&amp;"P"&amp;$A10))/1000000,0),IF($A$2="GEX",IFERROR(($A$4*$A$4*RTD("tos.rtd",,"OPEN_INT","."&amp;O$2&amp;O$1&amp;"C"&amp;$A10)*RTD("tos.rtd",,"GAMMA","."&amp;O$2&amp;O$1&amp;"C"&amp;$A10)-$A$4*$A$4*RTD("tos.rtd",,"OPEN_INT","."&amp;O$2&amp;O$1&amp;"P"&amp;$A10)*RTD("tos.rtd",,"GAMMA","."&amp;O$2&amp;O$1&amp;"P"&amp;$A10))/1000000,0),IF($A$2="SKEW",IFERROR(VALUE(IF(RTD("tos.rtd",,"IMPL_VOL","."&amp;O$2&amp;O$1&amp;"P"&amp;$A10)="N/A",0,RTD("tos.rtd",,"IMPL_VOL","."&amp;O$2&amp;O$1&amp;"P"&amp;$A10))),0)-IFERROR(VALUE(IF(RTD("tos.rtd",,"IMPL_VOL","."&amp;O$2&amp;O$1&amp;"C"&amp;$A10)="N/A",0,RTD("tos.rtd",,"IMPL_VOL","."&amp;O$2&amp;O$1&amp;"C"&amp;$A10))),0),IF($A$2="MAXPAIN",IF($A$4&gt;$A10,($A$4-$A10)*IF(RTD("tos.rtd",,"OPEN_INT","."&amp;O$2&amp;O$1&amp;"C"&amp;$A10)="N/A",0,RTD("tos.rtd",,"OPEN_INT","."&amp;O$2&amp;O$1&amp;"C"&amp;$A10)),0)+IF($A$4&lt;$A10,($A10-$A$4)*IF(RTD("tos.rtd",,"OPEN_INT","."&amp;O$2&amp;O$1&amp;"P"&amp;$A10)="N/A",0,RTD("tos.rtd",,"OPEN_INT","."&amp;O$2&amp;O$1&amp;"P"&amp;$A10)),0),IF(RTD("tos.rtd",,$A$2,"."&amp;O$2&amp;O$1&amp;"C"&amp;$A10)="N/A",0,RTD("tos.rtd",,$A$2,"."&amp;O$2&amp;O$1&amp;"C"&amp;$A10))-IF(RTD("tos.rtd",,$A$2,"."&amp;O$2&amp;O$1&amp;"P"&amp;$A10)="N/A",0,RTD("tos.rtd",,$A$2,"."&amp;O$2&amp;O$1&amp;"P"&amp;$A10)))))))))</f>
        <v>0</v>
      </c>
      <c r="P10" s="12">
        <f>IF($A$2="PREMIUM_OI",IFERROR((100*RTD("tos.rtd",,"OPEN_INT","."&amp;P$2&amp;P$1&amp;"C"&amp;$A10)*RTD("tos.rtd",,"LAST","."&amp;P$2&amp;P$1&amp;"C"&amp;$A10)-100*RTD("tos.rtd",,"OPEN_INT","."&amp;P$2&amp;P$1&amp;"P"&amp;$A10)*RTD("tos.rtd",,"LAST","."&amp;P$2&amp;P$1&amp;"P"&amp;$A10))/1000000,0),IF($A$2="PREMIUM",IFERROR((100*RTD("tos.rtd",,"VOLUME","."&amp;P$2&amp;P$1&amp;"C"&amp;$A10)*RTD("tos.rtd",,"LAST","."&amp;P$2&amp;P$1&amp;"C"&amp;$A10)-100*RTD("tos.rtd",,"VOLUME","."&amp;P$2&amp;P$1&amp;"P"&amp;$A10)*RTD("tos.rtd",,"LAST","."&amp;P$2&amp;P$1&amp;"P"&amp;$A10))/1000000,0),IF($A$2="DEX",IFERROR((100*RTD("tos.rtd",,"OPEN_INT","."&amp;P$2&amp;P$1&amp;"C"&amp;$A10)*RTD("tos.rtd",,"DELTA","."&amp;P$2&amp;P$1&amp;"C"&amp;$A10)-100*RTD("tos.rtd",,"OPEN_INT","."&amp;P$2&amp;P$1&amp;"P"&amp;$A10)*RTD("tos.rtd",,"DELTA","."&amp;P$2&amp;P$1&amp;"P"&amp;$A10))/1000,0),IF($A$2="VEX",IFERROR(($A$4*$A$4*RTD("tos.rtd",,"VOLUME","."&amp;P$2&amp;P$1&amp;"C"&amp;$A10)*RTD("tos.rtd",,"GAMMA","."&amp;P$2&amp;P$1&amp;"C"&amp;$A10)-$A$4*$A$4*RTD("tos.rtd",,"VOLUME","."&amp;P$2&amp;P$1&amp;"P"&amp;$A10)*RTD("tos.rtd",,"GAMMA","."&amp;P$2&amp;P$1&amp;"P"&amp;$A10))/1000000,0),IF($A$2="GEX",IFERROR(($A$4*$A$4*RTD("tos.rtd",,"OPEN_INT","."&amp;P$2&amp;P$1&amp;"C"&amp;$A10)*RTD("tos.rtd",,"GAMMA","."&amp;P$2&amp;P$1&amp;"C"&amp;$A10)-$A$4*$A$4*RTD("tos.rtd",,"OPEN_INT","."&amp;P$2&amp;P$1&amp;"P"&amp;$A10)*RTD("tos.rtd",,"GAMMA","."&amp;P$2&amp;P$1&amp;"P"&amp;$A10))/1000000,0),IF($A$2="SKEW",IFERROR(VALUE(IF(RTD("tos.rtd",,"IMPL_VOL","."&amp;P$2&amp;P$1&amp;"P"&amp;$A10)="N/A",0,RTD("tos.rtd",,"IMPL_VOL","."&amp;P$2&amp;P$1&amp;"P"&amp;$A10))),0)-IFERROR(VALUE(IF(RTD("tos.rtd",,"IMPL_VOL","."&amp;P$2&amp;P$1&amp;"C"&amp;$A10)="N/A",0,RTD("tos.rtd",,"IMPL_VOL","."&amp;P$2&amp;P$1&amp;"C"&amp;$A10))),0),IF($A$2="MAXPAIN",IF($A$4&gt;$A10,($A$4-$A10)*IF(RTD("tos.rtd",,"OPEN_INT","."&amp;P$2&amp;P$1&amp;"C"&amp;$A10)="N/A",0,RTD("tos.rtd",,"OPEN_INT","."&amp;P$2&amp;P$1&amp;"C"&amp;$A10)),0)+IF($A$4&lt;$A10,($A10-$A$4)*IF(RTD("tos.rtd",,"OPEN_INT","."&amp;P$2&amp;P$1&amp;"P"&amp;$A10)="N/A",0,RTD("tos.rtd",,"OPEN_INT","."&amp;P$2&amp;P$1&amp;"P"&amp;$A10)),0),IF(RTD("tos.rtd",,$A$2,"."&amp;P$2&amp;P$1&amp;"C"&amp;$A10)="N/A",0,RTD("tos.rtd",,$A$2,"."&amp;P$2&amp;P$1&amp;"C"&amp;$A10))-IF(RTD("tos.rtd",,$A$2,"."&amp;P$2&amp;P$1&amp;"P"&amp;$A10)="N/A",0,RTD("tos.rtd",,$A$2,"."&amp;P$2&amp;P$1&amp;"P"&amp;$A10)))))))))</f>
        <v>0</v>
      </c>
      <c r="Q10" s="12">
        <f>IF($A$2="PREMIUM_OI",IFERROR((100*RTD("tos.rtd",,"OPEN_INT","."&amp;Q$2&amp;Q$1&amp;"C"&amp;$A10)*RTD("tos.rtd",,"LAST","."&amp;Q$2&amp;Q$1&amp;"C"&amp;$A10)-100*RTD("tos.rtd",,"OPEN_INT","."&amp;Q$2&amp;Q$1&amp;"P"&amp;$A10)*RTD("tos.rtd",,"LAST","."&amp;Q$2&amp;Q$1&amp;"P"&amp;$A10))/1000000,0),IF($A$2="PREMIUM",IFERROR((100*RTD("tos.rtd",,"VOLUME","."&amp;Q$2&amp;Q$1&amp;"C"&amp;$A10)*RTD("tos.rtd",,"LAST","."&amp;Q$2&amp;Q$1&amp;"C"&amp;$A10)-100*RTD("tos.rtd",,"VOLUME","."&amp;Q$2&amp;Q$1&amp;"P"&amp;$A10)*RTD("tos.rtd",,"LAST","."&amp;Q$2&amp;Q$1&amp;"P"&amp;$A10))/1000000,0),IF($A$2="DEX",IFERROR((100*RTD("tos.rtd",,"OPEN_INT","."&amp;Q$2&amp;Q$1&amp;"C"&amp;$A10)*RTD("tos.rtd",,"DELTA","."&amp;Q$2&amp;Q$1&amp;"C"&amp;$A10)-100*RTD("tos.rtd",,"OPEN_INT","."&amp;Q$2&amp;Q$1&amp;"P"&amp;$A10)*RTD("tos.rtd",,"DELTA","."&amp;Q$2&amp;Q$1&amp;"P"&amp;$A10))/1000,0),IF($A$2="VEX",IFERROR(($A$4*$A$4*RTD("tos.rtd",,"VOLUME","."&amp;Q$2&amp;Q$1&amp;"C"&amp;$A10)*RTD("tos.rtd",,"GAMMA","."&amp;Q$2&amp;Q$1&amp;"C"&amp;$A10)-$A$4*$A$4*RTD("tos.rtd",,"VOLUME","."&amp;Q$2&amp;Q$1&amp;"P"&amp;$A10)*RTD("tos.rtd",,"GAMMA","."&amp;Q$2&amp;Q$1&amp;"P"&amp;$A10))/1000000,0),IF($A$2="GEX",IFERROR(($A$4*$A$4*RTD("tos.rtd",,"OPEN_INT","."&amp;Q$2&amp;Q$1&amp;"C"&amp;$A10)*RTD("tos.rtd",,"GAMMA","."&amp;Q$2&amp;Q$1&amp;"C"&amp;$A10)-$A$4*$A$4*RTD("tos.rtd",,"OPEN_INT","."&amp;Q$2&amp;Q$1&amp;"P"&amp;$A10)*RTD("tos.rtd",,"GAMMA","."&amp;Q$2&amp;Q$1&amp;"P"&amp;$A10))/1000000,0),IF($A$2="SKEW",IFERROR(VALUE(IF(RTD("tos.rtd",,"IMPL_VOL","."&amp;Q$2&amp;Q$1&amp;"P"&amp;$A10)="N/A",0,RTD("tos.rtd",,"IMPL_VOL","."&amp;Q$2&amp;Q$1&amp;"P"&amp;$A10))),0)-IFERROR(VALUE(IF(RTD("tos.rtd",,"IMPL_VOL","."&amp;Q$2&amp;Q$1&amp;"C"&amp;$A10)="N/A",0,RTD("tos.rtd",,"IMPL_VOL","."&amp;Q$2&amp;Q$1&amp;"C"&amp;$A10))),0),IF($A$2="MAXPAIN",IF($A$4&gt;$A10,($A$4-$A10)*IF(RTD("tos.rtd",,"OPEN_INT","."&amp;Q$2&amp;Q$1&amp;"C"&amp;$A10)="N/A",0,RTD("tos.rtd",,"OPEN_INT","."&amp;Q$2&amp;Q$1&amp;"C"&amp;$A10)),0)+IF($A$4&lt;$A10,($A10-$A$4)*IF(RTD("tos.rtd",,"OPEN_INT","."&amp;Q$2&amp;Q$1&amp;"P"&amp;$A10)="N/A",0,RTD("tos.rtd",,"OPEN_INT","."&amp;Q$2&amp;Q$1&amp;"P"&amp;$A10)),0),IF(RTD("tos.rtd",,$A$2,"."&amp;Q$2&amp;Q$1&amp;"C"&amp;$A10)="N/A",0,RTD("tos.rtd",,$A$2,"."&amp;Q$2&amp;Q$1&amp;"C"&amp;$A10))-IF(RTD("tos.rtd",,$A$2,"."&amp;Q$2&amp;Q$1&amp;"P"&amp;$A10)="N/A",0,RTD("tos.rtd",,$A$2,"."&amp;Q$2&amp;Q$1&amp;"P"&amp;$A10)))))))))</f>
        <v>0</v>
      </c>
      <c r="R10" s="12">
        <f>IF($A$2="PREMIUM_OI",IFERROR((100*RTD("tos.rtd",,"OPEN_INT","."&amp;R$2&amp;R$1&amp;"C"&amp;$A10)*RTD("tos.rtd",,"LAST","."&amp;R$2&amp;R$1&amp;"C"&amp;$A10)-100*RTD("tos.rtd",,"OPEN_INT","."&amp;R$2&amp;R$1&amp;"P"&amp;$A10)*RTD("tos.rtd",,"LAST","."&amp;R$2&amp;R$1&amp;"P"&amp;$A10))/1000000,0),IF($A$2="PREMIUM",IFERROR((100*RTD("tos.rtd",,"VOLUME","."&amp;R$2&amp;R$1&amp;"C"&amp;$A10)*RTD("tos.rtd",,"LAST","."&amp;R$2&amp;R$1&amp;"C"&amp;$A10)-100*RTD("tos.rtd",,"VOLUME","."&amp;R$2&amp;R$1&amp;"P"&amp;$A10)*RTD("tos.rtd",,"LAST","."&amp;R$2&amp;R$1&amp;"P"&amp;$A10))/1000000,0),IF($A$2="DEX",IFERROR((100*RTD("tos.rtd",,"OPEN_INT","."&amp;R$2&amp;R$1&amp;"C"&amp;$A10)*RTD("tos.rtd",,"DELTA","."&amp;R$2&amp;R$1&amp;"C"&amp;$A10)-100*RTD("tos.rtd",,"OPEN_INT","."&amp;R$2&amp;R$1&amp;"P"&amp;$A10)*RTD("tos.rtd",,"DELTA","."&amp;R$2&amp;R$1&amp;"P"&amp;$A10))/1000,0),IF($A$2="VEX",IFERROR(($A$4*$A$4*RTD("tos.rtd",,"VOLUME","."&amp;R$2&amp;R$1&amp;"C"&amp;$A10)*RTD("tos.rtd",,"GAMMA","."&amp;R$2&amp;R$1&amp;"C"&amp;$A10)-$A$4*$A$4*RTD("tos.rtd",,"VOLUME","."&amp;R$2&amp;R$1&amp;"P"&amp;$A10)*RTD("tos.rtd",,"GAMMA","."&amp;R$2&amp;R$1&amp;"P"&amp;$A10))/1000000,0),IF($A$2="GEX",IFERROR(($A$4*$A$4*RTD("tos.rtd",,"OPEN_INT","."&amp;R$2&amp;R$1&amp;"C"&amp;$A10)*RTD("tos.rtd",,"GAMMA","."&amp;R$2&amp;R$1&amp;"C"&amp;$A10)-$A$4*$A$4*RTD("tos.rtd",,"OPEN_INT","."&amp;R$2&amp;R$1&amp;"P"&amp;$A10)*RTD("tos.rtd",,"GAMMA","."&amp;R$2&amp;R$1&amp;"P"&amp;$A10))/1000000,0),IF($A$2="SKEW",IFERROR(VALUE(IF(RTD("tos.rtd",,"IMPL_VOL","."&amp;R$2&amp;R$1&amp;"P"&amp;$A10)="N/A",0,RTD("tos.rtd",,"IMPL_VOL","."&amp;R$2&amp;R$1&amp;"P"&amp;$A10))),0)-IFERROR(VALUE(IF(RTD("tos.rtd",,"IMPL_VOL","."&amp;R$2&amp;R$1&amp;"C"&amp;$A10)="N/A",0,RTD("tos.rtd",,"IMPL_VOL","."&amp;R$2&amp;R$1&amp;"C"&amp;$A10))),0),IF($A$2="MAXPAIN",IF($A$4&gt;$A10,($A$4-$A10)*IF(RTD("tos.rtd",,"OPEN_INT","."&amp;R$2&amp;R$1&amp;"C"&amp;$A10)="N/A",0,RTD("tos.rtd",,"OPEN_INT","."&amp;R$2&amp;R$1&amp;"C"&amp;$A10)),0)+IF($A$4&lt;$A10,($A10-$A$4)*IF(RTD("tos.rtd",,"OPEN_INT","."&amp;R$2&amp;R$1&amp;"P"&amp;$A10)="N/A",0,RTD("tos.rtd",,"OPEN_INT","."&amp;R$2&amp;R$1&amp;"P"&amp;$A10)),0),IF(RTD("tos.rtd",,$A$2,"."&amp;R$2&amp;R$1&amp;"C"&amp;$A10)="N/A",0,RTD("tos.rtd",,$A$2,"."&amp;R$2&amp;R$1&amp;"C"&amp;$A10))-IF(RTD("tos.rtd",,$A$2,"."&amp;R$2&amp;R$1&amp;"P"&amp;$A10)="N/A",0,RTD("tos.rtd",,$A$2,"."&amp;R$2&amp;R$1&amp;"P"&amp;$A10)))))))))</f>
        <v>537</v>
      </c>
      <c r="S10" s="12">
        <f>IF($A$2="PREMIUM_OI",IFERROR((100*RTD("tos.rtd",,"OPEN_INT","."&amp;S$2&amp;S$1&amp;"C"&amp;$A10)*RTD("tos.rtd",,"LAST","."&amp;S$2&amp;S$1&amp;"C"&amp;$A10)-100*RTD("tos.rtd",,"OPEN_INT","."&amp;S$2&amp;S$1&amp;"P"&amp;$A10)*RTD("tos.rtd",,"LAST","."&amp;S$2&amp;S$1&amp;"P"&amp;$A10))/1000000,0),IF($A$2="PREMIUM",IFERROR((100*RTD("tos.rtd",,"VOLUME","."&amp;S$2&amp;S$1&amp;"C"&amp;$A10)*RTD("tos.rtd",,"LAST","."&amp;S$2&amp;S$1&amp;"C"&amp;$A10)-100*RTD("tos.rtd",,"VOLUME","."&amp;S$2&amp;S$1&amp;"P"&amp;$A10)*RTD("tos.rtd",,"LAST","."&amp;S$2&amp;S$1&amp;"P"&amp;$A10))/1000000,0),IF($A$2="DEX",IFERROR((100*RTD("tos.rtd",,"OPEN_INT","."&amp;S$2&amp;S$1&amp;"C"&amp;$A10)*RTD("tos.rtd",,"DELTA","."&amp;S$2&amp;S$1&amp;"C"&amp;$A10)-100*RTD("tos.rtd",,"OPEN_INT","."&amp;S$2&amp;S$1&amp;"P"&amp;$A10)*RTD("tos.rtd",,"DELTA","."&amp;S$2&amp;S$1&amp;"P"&amp;$A10))/1000,0),IF($A$2="VEX",IFERROR(($A$4*$A$4*RTD("tos.rtd",,"VOLUME","."&amp;S$2&amp;S$1&amp;"C"&amp;$A10)*RTD("tos.rtd",,"GAMMA","."&amp;S$2&amp;S$1&amp;"C"&amp;$A10)-$A$4*$A$4*RTD("tos.rtd",,"VOLUME","."&amp;S$2&amp;S$1&amp;"P"&amp;$A10)*RTD("tos.rtd",,"GAMMA","."&amp;S$2&amp;S$1&amp;"P"&amp;$A10))/1000000,0),IF($A$2="GEX",IFERROR(($A$4*$A$4*RTD("tos.rtd",,"OPEN_INT","."&amp;S$2&amp;S$1&amp;"C"&amp;$A10)*RTD("tos.rtd",,"GAMMA","."&amp;S$2&amp;S$1&amp;"C"&amp;$A10)-$A$4*$A$4*RTD("tos.rtd",,"OPEN_INT","."&amp;S$2&amp;S$1&amp;"P"&amp;$A10)*RTD("tos.rtd",,"GAMMA","."&amp;S$2&amp;S$1&amp;"P"&amp;$A10))/1000000,0),IF($A$2="SKEW",IFERROR(VALUE(IF(RTD("tos.rtd",,"IMPL_VOL","."&amp;S$2&amp;S$1&amp;"P"&amp;$A10)="N/A",0,RTD("tos.rtd",,"IMPL_VOL","."&amp;S$2&amp;S$1&amp;"P"&amp;$A10))),0)-IFERROR(VALUE(IF(RTD("tos.rtd",,"IMPL_VOL","."&amp;S$2&amp;S$1&amp;"C"&amp;$A10)="N/A",0,RTD("tos.rtd",,"IMPL_VOL","."&amp;S$2&amp;S$1&amp;"C"&amp;$A10))),0),IF($A$2="MAXPAIN",IF($A$4&gt;$A10,($A$4-$A10)*IF(RTD("tos.rtd",,"OPEN_INT","."&amp;S$2&amp;S$1&amp;"C"&amp;$A10)="N/A",0,RTD("tos.rtd",,"OPEN_INT","."&amp;S$2&amp;S$1&amp;"C"&amp;$A10)),0)+IF($A$4&lt;$A10,($A10-$A$4)*IF(RTD("tos.rtd",,"OPEN_INT","."&amp;S$2&amp;S$1&amp;"P"&amp;$A10)="N/A",0,RTD("tos.rtd",,"OPEN_INT","."&amp;S$2&amp;S$1&amp;"P"&amp;$A10)),0),IF(RTD("tos.rtd",,$A$2,"."&amp;S$2&amp;S$1&amp;"C"&amp;$A10)="N/A",0,RTD("tos.rtd",,$A$2,"."&amp;S$2&amp;S$1&amp;"C"&amp;$A10))-IF(RTD("tos.rtd",,$A$2,"."&amp;S$2&amp;S$1&amp;"P"&amp;$A10)="N/A",0,RTD("tos.rtd",,$A$2,"."&amp;S$2&amp;S$1&amp;"P"&amp;$A10)))))))))</f>
        <v>1055</v>
      </c>
      <c r="T10" s="12">
        <f>IF($A$2="PREMIUM_OI",IFERROR((100*RTD("tos.rtd",,"OPEN_INT","."&amp;T$2&amp;T$1&amp;"C"&amp;$A10)*RTD("tos.rtd",,"LAST","."&amp;T$2&amp;T$1&amp;"C"&amp;$A10)-100*RTD("tos.rtd",,"OPEN_INT","."&amp;T$2&amp;T$1&amp;"P"&amp;$A10)*RTD("tos.rtd",,"LAST","."&amp;T$2&amp;T$1&amp;"P"&amp;$A10))/1000000,0),IF($A$2="PREMIUM",IFERROR((100*RTD("tos.rtd",,"VOLUME","."&amp;T$2&amp;T$1&amp;"C"&amp;$A10)*RTD("tos.rtd",,"LAST","."&amp;T$2&amp;T$1&amp;"C"&amp;$A10)-100*RTD("tos.rtd",,"VOLUME","."&amp;T$2&amp;T$1&amp;"P"&amp;$A10)*RTD("tos.rtd",,"LAST","."&amp;T$2&amp;T$1&amp;"P"&amp;$A10))/1000000,0),IF($A$2="DEX",IFERROR((100*RTD("tos.rtd",,"OPEN_INT","."&amp;T$2&amp;T$1&amp;"C"&amp;$A10)*RTD("tos.rtd",,"DELTA","."&amp;T$2&amp;T$1&amp;"C"&amp;$A10)-100*RTD("tos.rtd",,"OPEN_INT","."&amp;T$2&amp;T$1&amp;"P"&amp;$A10)*RTD("tos.rtd",,"DELTA","."&amp;T$2&amp;T$1&amp;"P"&amp;$A10))/1000,0),IF($A$2="VEX",IFERROR(($A$4*$A$4*RTD("tos.rtd",,"VOLUME","."&amp;T$2&amp;T$1&amp;"C"&amp;$A10)*RTD("tos.rtd",,"GAMMA","."&amp;T$2&amp;T$1&amp;"C"&amp;$A10)-$A$4*$A$4*RTD("tos.rtd",,"VOLUME","."&amp;T$2&amp;T$1&amp;"P"&amp;$A10)*RTD("tos.rtd",,"GAMMA","."&amp;T$2&amp;T$1&amp;"P"&amp;$A10))/1000000,0),IF($A$2="GEX",IFERROR(($A$4*$A$4*RTD("tos.rtd",,"OPEN_INT","."&amp;T$2&amp;T$1&amp;"C"&amp;$A10)*RTD("tos.rtd",,"GAMMA","."&amp;T$2&amp;T$1&amp;"C"&amp;$A10)-$A$4*$A$4*RTD("tos.rtd",,"OPEN_INT","."&amp;T$2&amp;T$1&amp;"P"&amp;$A10)*RTD("tos.rtd",,"GAMMA","."&amp;T$2&amp;T$1&amp;"P"&amp;$A10))/1000000,0),IF($A$2="SKEW",IFERROR(VALUE(IF(RTD("tos.rtd",,"IMPL_VOL","."&amp;T$2&amp;T$1&amp;"P"&amp;$A10)="N/A",0,RTD("tos.rtd",,"IMPL_VOL","."&amp;T$2&amp;T$1&amp;"P"&amp;$A10))),0)-IFERROR(VALUE(IF(RTD("tos.rtd",,"IMPL_VOL","."&amp;T$2&amp;T$1&amp;"C"&amp;$A10)="N/A",0,RTD("tos.rtd",,"IMPL_VOL","."&amp;T$2&amp;T$1&amp;"C"&amp;$A10))),0),IF($A$2="MAXPAIN",IF($A$4&gt;$A10,($A$4-$A10)*IF(RTD("tos.rtd",,"OPEN_INT","."&amp;T$2&amp;T$1&amp;"C"&amp;$A10)="N/A",0,RTD("tos.rtd",,"OPEN_INT","."&amp;T$2&amp;T$1&amp;"C"&amp;$A10)),0)+IF($A$4&lt;$A10,($A10-$A$4)*IF(RTD("tos.rtd",,"OPEN_INT","."&amp;T$2&amp;T$1&amp;"P"&amp;$A10)="N/A",0,RTD("tos.rtd",,"OPEN_INT","."&amp;T$2&amp;T$1&amp;"P"&amp;$A10)),0),IF(RTD("tos.rtd",,$A$2,"."&amp;T$2&amp;T$1&amp;"C"&amp;$A10)="N/A",0,RTD("tos.rtd",,$A$2,"."&amp;T$2&amp;T$1&amp;"C"&amp;$A10))-IF(RTD("tos.rtd",,$A$2,"."&amp;T$2&amp;T$1&amp;"P"&amp;$A10)="N/A",0,RTD("tos.rtd",,$A$2,"."&amp;T$2&amp;T$1&amp;"P"&amp;$A10)))))))))</f>
        <v>2068</v>
      </c>
      <c r="U10" s="12">
        <f>IF($A$2="PREMIUM_OI",IFERROR((100*RTD("tos.rtd",,"OPEN_INT","."&amp;U$2&amp;U$1&amp;"C"&amp;$A10)*RTD("tos.rtd",,"LAST","."&amp;U$2&amp;U$1&amp;"C"&amp;$A10)-100*RTD("tos.rtd",,"OPEN_INT","."&amp;U$2&amp;U$1&amp;"P"&amp;$A10)*RTD("tos.rtd",,"LAST","."&amp;U$2&amp;U$1&amp;"P"&amp;$A10))/1000000,0),IF($A$2="PREMIUM",IFERROR((100*RTD("tos.rtd",,"VOLUME","."&amp;U$2&amp;U$1&amp;"C"&amp;$A10)*RTD("tos.rtd",,"LAST","."&amp;U$2&amp;U$1&amp;"C"&amp;$A10)-100*RTD("tos.rtd",,"VOLUME","."&amp;U$2&amp;U$1&amp;"P"&amp;$A10)*RTD("tos.rtd",,"LAST","."&amp;U$2&amp;U$1&amp;"P"&amp;$A10))/1000000,0),IF($A$2="DEX",IFERROR((100*RTD("tos.rtd",,"OPEN_INT","."&amp;U$2&amp;U$1&amp;"C"&amp;$A10)*RTD("tos.rtd",,"DELTA","."&amp;U$2&amp;U$1&amp;"C"&amp;$A10)-100*RTD("tos.rtd",,"OPEN_INT","."&amp;U$2&amp;U$1&amp;"P"&amp;$A10)*RTD("tos.rtd",,"DELTA","."&amp;U$2&amp;U$1&amp;"P"&amp;$A10))/1000,0),IF($A$2="VEX",IFERROR(($A$4*$A$4*RTD("tos.rtd",,"VOLUME","."&amp;U$2&amp;U$1&amp;"C"&amp;$A10)*RTD("tos.rtd",,"GAMMA","."&amp;U$2&amp;U$1&amp;"C"&amp;$A10)-$A$4*$A$4*RTD("tos.rtd",,"VOLUME","."&amp;U$2&amp;U$1&amp;"P"&amp;$A10)*RTD("tos.rtd",,"GAMMA","."&amp;U$2&amp;U$1&amp;"P"&amp;$A10))/1000000,0),IF($A$2="GEX",IFERROR(($A$4*$A$4*RTD("tos.rtd",,"OPEN_INT","."&amp;U$2&amp;U$1&amp;"C"&amp;$A10)*RTD("tos.rtd",,"GAMMA","."&amp;U$2&amp;U$1&amp;"C"&amp;$A10)-$A$4*$A$4*RTD("tos.rtd",,"OPEN_INT","."&amp;U$2&amp;U$1&amp;"P"&amp;$A10)*RTD("tos.rtd",,"GAMMA","."&amp;U$2&amp;U$1&amp;"P"&amp;$A10))/1000000,0),IF($A$2="SKEW",IFERROR(VALUE(IF(RTD("tos.rtd",,"IMPL_VOL","."&amp;U$2&amp;U$1&amp;"P"&amp;$A10)="N/A",0,RTD("tos.rtd",,"IMPL_VOL","."&amp;U$2&amp;U$1&amp;"P"&amp;$A10))),0)-IFERROR(VALUE(IF(RTD("tos.rtd",,"IMPL_VOL","."&amp;U$2&amp;U$1&amp;"C"&amp;$A10)="N/A",0,RTD("tos.rtd",,"IMPL_VOL","."&amp;U$2&amp;U$1&amp;"C"&amp;$A10))),0),IF($A$2="MAXPAIN",IF($A$4&gt;$A10,($A$4-$A10)*IF(RTD("tos.rtd",,"OPEN_INT","."&amp;U$2&amp;U$1&amp;"C"&amp;$A10)="N/A",0,RTD("tos.rtd",,"OPEN_INT","."&amp;U$2&amp;U$1&amp;"C"&amp;$A10)),0)+IF($A$4&lt;$A10,($A10-$A$4)*IF(RTD("tos.rtd",,"OPEN_INT","."&amp;U$2&amp;U$1&amp;"P"&amp;$A10)="N/A",0,RTD("tos.rtd",,"OPEN_INT","."&amp;U$2&amp;U$1&amp;"P"&amp;$A10)),0),IF(RTD("tos.rtd",,$A$2,"."&amp;U$2&amp;U$1&amp;"C"&amp;$A10)="N/A",0,RTD("tos.rtd",,$A$2,"."&amp;U$2&amp;U$1&amp;"C"&amp;$A10))-IF(RTD("tos.rtd",,$A$2,"."&amp;U$2&amp;U$1&amp;"P"&amp;$A10)="N/A",0,RTD("tos.rtd",,$A$2,"."&amp;U$2&amp;U$1&amp;"P"&amp;$A10)))))))))</f>
        <v>0</v>
      </c>
      <c r="V10" s="12">
        <f>IF($A$2="PREMIUM_OI",IFERROR((100*RTD("tos.rtd",,"OPEN_INT","."&amp;V$2&amp;V$1&amp;"C"&amp;$A10)*RTD("tos.rtd",,"LAST","."&amp;V$2&amp;V$1&amp;"C"&amp;$A10)-100*RTD("tos.rtd",,"OPEN_INT","."&amp;V$2&amp;V$1&amp;"P"&amp;$A10)*RTD("tos.rtd",,"LAST","."&amp;V$2&amp;V$1&amp;"P"&amp;$A10))/1000000,0),IF($A$2="PREMIUM",IFERROR((100*RTD("tos.rtd",,"VOLUME","."&amp;V$2&amp;V$1&amp;"C"&amp;$A10)*RTD("tos.rtd",,"LAST","."&amp;V$2&amp;V$1&amp;"C"&amp;$A10)-100*RTD("tos.rtd",,"VOLUME","."&amp;V$2&amp;V$1&amp;"P"&amp;$A10)*RTD("tos.rtd",,"LAST","."&amp;V$2&amp;V$1&amp;"P"&amp;$A10))/1000000,0),IF($A$2="DEX",IFERROR((100*RTD("tos.rtd",,"OPEN_INT","."&amp;V$2&amp;V$1&amp;"C"&amp;$A10)*RTD("tos.rtd",,"DELTA","."&amp;V$2&amp;V$1&amp;"C"&amp;$A10)-100*RTD("tos.rtd",,"OPEN_INT","."&amp;V$2&amp;V$1&amp;"P"&amp;$A10)*RTD("tos.rtd",,"DELTA","."&amp;V$2&amp;V$1&amp;"P"&amp;$A10))/1000,0),IF($A$2="VEX",IFERROR(($A$4*$A$4*RTD("tos.rtd",,"VOLUME","."&amp;V$2&amp;V$1&amp;"C"&amp;$A10)*RTD("tos.rtd",,"GAMMA","."&amp;V$2&amp;V$1&amp;"C"&amp;$A10)-$A$4*$A$4*RTD("tos.rtd",,"VOLUME","."&amp;V$2&amp;V$1&amp;"P"&amp;$A10)*RTD("tos.rtd",,"GAMMA","."&amp;V$2&amp;V$1&amp;"P"&amp;$A10))/1000000,0),IF($A$2="GEX",IFERROR(($A$4*$A$4*RTD("tos.rtd",,"OPEN_INT","."&amp;V$2&amp;V$1&amp;"C"&amp;$A10)*RTD("tos.rtd",,"GAMMA","."&amp;V$2&amp;V$1&amp;"C"&amp;$A10)-$A$4*$A$4*RTD("tos.rtd",,"OPEN_INT","."&amp;V$2&amp;V$1&amp;"P"&amp;$A10)*RTD("tos.rtd",,"GAMMA","."&amp;V$2&amp;V$1&amp;"P"&amp;$A10))/1000000,0),IF($A$2="SKEW",IFERROR(VALUE(IF(RTD("tos.rtd",,"IMPL_VOL","."&amp;V$2&amp;V$1&amp;"P"&amp;$A10)="N/A",0,RTD("tos.rtd",,"IMPL_VOL","."&amp;V$2&amp;V$1&amp;"P"&amp;$A10))),0)-IFERROR(VALUE(IF(RTD("tos.rtd",,"IMPL_VOL","."&amp;V$2&amp;V$1&amp;"C"&amp;$A10)="N/A",0,RTD("tos.rtd",,"IMPL_VOL","."&amp;V$2&amp;V$1&amp;"C"&amp;$A10))),0),IF($A$2="MAXPAIN",IF($A$4&gt;$A10,($A$4-$A10)*IF(RTD("tos.rtd",,"OPEN_INT","."&amp;V$2&amp;V$1&amp;"C"&amp;$A10)="N/A",0,RTD("tos.rtd",,"OPEN_INT","."&amp;V$2&amp;V$1&amp;"C"&amp;$A10)),0)+IF($A$4&lt;$A10,($A10-$A$4)*IF(RTD("tos.rtd",,"OPEN_INT","."&amp;V$2&amp;V$1&amp;"P"&amp;$A10)="N/A",0,RTD("tos.rtd",,"OPEN_INT","."&amp;V$2&amp;V$1&amp;"P"&amp;$A10)),0),IF(RTD("tos.rtd",,$A$2,"."&amp;V$2&amp;V$1&amp;"C"&amp;$A10)="N/A",0,RTD("tos.rtd",,$A$2,"."&amp;V$2&amp;V$1&amp;"C"&amp;$A10))-IF(RTD("tos.rtd",,$A$2,"."&amp;V$2&amp;V$1&amp;"P"&amp;$A10)="N/A",0,RTD("tos.rtd",,$A$2,"."&amp;V$2&amp;V$1&amp;"P"&amp;$A10)))))))))</f>
        <v>0</v>
      </c>
      <c r="W10" s="12">
        <f>IF($A$2="PREMIUM_OI",IFERROR((100*RTD("tos.rtd",,"OPEN_INT","."&amp;W$2&amp;W$1&amp;"C"&amp;$A10)*RTD("tos.rtd",,"LAST","."&amp;W$2&amp;W$1&amp;"C"&amp;$A10)-100*RTD("tos.rtd",,"OPEN_INT","."&amp;W$2&amp;W$1&amp;"P"&amp;$A10)*RTD("tos.rtd",,"LAST","."&amp;W$2&amp;W$1&amp;"P"&amp;$A10))/1000000,0),IF($A$2="PREMIUM",IFERROR((100*RTD("tos.rtd",,"VOLUME","."&amp;W$2&amp;W$1&amp;"C"&amp;$A10)*RTD("tos.rtd",,"LAST","."&amp;W$2&amp;W$1&amp;"C"&amp;$A10)-100*RTD("tos.rtd",,"VOLUME","."&amp;W$2&amp;W$1&amp;"P"&amp;$A10)*RTD("tos.rtd",,"LAST","."&amp;W$2&amp;W$1&amp;"P"&amp;$A10))/1000000,0),IF($A$2="DEX",IFERROR((100*RTD("tos.rtd",,"OPEN_INT","."&amp;W$2&amp;W$1&amp;"C"&amp;$A10)*RTD("tos.rtd",,"DELTA","."&amp;W$2&amp;W$1&amp;"C"&amp;$A10)-100*RTD("tos.rtd",,"OPEN_INT","."&amp;W$2&amp;W$1&amp;"P"&amp;$A10)*RTD("tos.rtd",,"DELTA","."&amp;W$2&amp;W$1&amp;"P"&amp;$A10))/1000,0),IF($A$2="VEX",IFERROR(($A$4*$A$4*RTD("tos.rtd",,"VOLUME","."&amp;W$2&amp;W$1&amp;"C"&amp;$A10)*RTD("tos.rtd",,"GAMMA","."&amp;W$2&amp;W$1&amp;"C"&amp;$A10)-$A$4*$A$4*RTD("tos.rtd",,"VOLUME","."&amp;W$2&amp;W$1&amp;"P"&amp;$A10)*RTD("tos.rtd",,"GAMMA","."&amp;W$2&amp;W$1&amp;"P"&amp;$A10))/1000000,0),IF($A$2="GEX",IFERROR(($A$4*$A$4*RTD("tos.rtd",,"OPEN_INT","."&amp;W$2&amp;W$1&amp;"C"&amp;$A10)*RTD("tos.rtd",,"GAMMA","."&amp;W$2&amp;W$1&amp;"C"&amp;$A10)-$A$4*$A$4*RTD("tos.rtd",,"OPEN_INT","."&amp;W$2&amp;W$1&amp;"P"&amp;$A10)*RTD("tos.rtd",,"GAMMA","."&amp;W$2&amp;W$1&amp;"P"&amp;$A10))/1000000,0),IF($A$2="SKEW",IFERROR(VALUE(IF(RTD("tos.rtd",,"IMPL_VOL","."&amp;W$2&amp;W$1&amp;"P"&amp;$A10)="N/A",0,RTD("tos.rtd",,"IMPL_VOL","."&amp;W$2&amp;W$1&amp;"P"&amp;$A10))),0)-IFERROR(VALUE(IF(RTD("tos.rtd",,"IMPL_VOL","."&amp;W$2&amp;W$1&amp;"C"&amp;$A10)="N/A",0,RTD("tos.rtd",,"IMPL_VOL","."&amp;W$2&amp;W$1&amp;"C"&amp;$A10))),0),IF($A$2="MAXPAIN",IF($A$4&gt;$A10,($A$4-$A10)*IF(RTD("tos.rtd",,"OPEN_INT","."&amp;W$2&amp;W$1&amp;"C"&amp;$A10)="N/A",0,RTD("tos.rtd",,"OPEN_INT","."&amp;W$2&amp;W$1&amp;"C"&amp;$A10)),0)+IF($A$4&lt;$A10,($A10-$A$4)*IF(RTD("tos.rtd",,"OPEN_INT","."&amp;W$2&amp;W$1&amp;"P"&amp;$A10)="N/A",0,RTD("tos.rtd",,"OPEN_INT","."&amp;W$2&amp;W$1&amp;"P"&amp;$A10)),0),IF(RTD("tos.rtd",,$A$2,"."&amp;W$2&amp;W$1&amp;"C"&amp;$A10)="N/A",0,RTD("tos.rtd",,$A$2,"."&amp;W$2&amp;W$1&amp;"C"&amp;$A10))-IF(RTD("tos.rtd",,$A$2,"."&amp;W$2&amp;W$1&amp;"P"&amp;$A10)="N/A",0,RTD("tos.rtd",,$A$2,"."&amp;W$2&amp;W$1&amp;"P"&amp;$A10)))))))))</f>
        <v>412</v>
      </c>
      <c r="X10" s="12">
        <f t="shared" ca="1" si="7"/>
        <v>3535</v>
      </c>
      <c r="Y10" s="27">
        <f t="shared" ca="1" si="8"/>
        <v>3535</v>
      </c>
      <c r="AA10" s="35">
        <f t="shared" si="5"/>
        <v>9</v>
      </c>
      <c r="AB10" s="8">
        <f>+IF($AJ$1,AK10,TASTYOHLC!B10)</f>
        <v>595.30999999999995</v>
      </c>
      <c r="AC10" s="8">
        <f>+IF($AJ$1,AL10,TASTYOHLC!C10)</f>
        <v>602.69000000000005</v>
      </c>
      <c r="AD10" s="8">
        <f>+IF($AJ$1,AM10,TASTYOHLC!D10)</f>
        <v>590.13</v>
      </c>
      <c r="AE10" s="8">
        <f>+IF($AJ$1,AN10,TASTYOHLC!E10)</f>
        <v>598</v>
      </c>
      <c r="AF10" s="8"/>
      <c r="AJ10" s="37">
        <v>45944</v>
      </c>
      <c r="AK10" s="50">
        <v>595.30999999999995</v>
      </c>
      <c r="AL10" s="50">
        <v>602.69000000000005</v>
      </c>
      <c r="AM10" s="50">
        <v>590.13</v>
      </c>
      <c r="AN10" s="50">
        <v>598</v>
      </c>
      <c r="AO10" s="51">
        <v>88779560</v>
      </c>
    </row>
    <row r="11" spans="1:41" s="19" customFormat="1" ht="11.1" customHeight="1" thickBot="1" x14ac:dyDescent="0.3">
      <c r="A11" s="23">
        <f t="shared" si="6"/>
        <v>16.5</v>
      </c>
      <c r="B11" s="14">
        <f>IF($A$2="PREMIUM_OI",IFERROR((100*RTD("tos.rtd",,"OPEN_INT","."&amp;B$2&amp;B$1&amp;"C"&amp;$A11)*RTD("tos.rtd",,"LAST","."&amp;B$2&amp;B$1&amp;"C"&amp;$A11)-100*RTD("tos.rtd",,"OPEN_INT","."&amp;B$2&amp;B$1&amp;"P"&amp;$A11)*RTD("tos.rtd",,"LAST","."&amp;B$2&amp;B$1&amp;"P"&amp;$A11))/1000000,0),IF($A$2="PREMIUM",IFERROR((100*RTD("tos.rtd",,"VOLUME","."&amp;B$2&amp;B$1&amp;"C"&amp;$A11)*RTD("tos.rtd",,"LAST","."&amp;B$2&amp;B$1&amp;"C"&amp;$A11)-100*RTD("tos.rtd",,"VOLUME","."&amp;B$2&amp;B$1&amp;"P"&amp;$A11)*RTD("tos.rtd",,"LAST","."&amp;B$2&amp;B$1&amp;"P"&amp;$A11))/1000000,0),IF($A$2="DEX",IFERROR((100*RTD("tos.rtd",,"OPEN_INT","."&amp;B$2&amp;B$1&amp;"C"&amp;$A11)*RTD("tos.rtd",,"DELTA","."&amp;B$2&amp;B$1&amp;"C"&amp;$A11)-100*RTD("tos.rtd",,"OPEN_INT","."&amp;B$2&amp;B$1&amp;"P"&amp;$A11)*RTD("tos.rtd",,"DELTA","."&amp;B$2&amp;B$1&amp;"P"&amp;$A11))/1000,0),IF($A$2="VEX",IFERROR(($A$4*$A$4*RTD("tos.rtd",,"VOLUME","."&amp;B$2&amp;B$1&amp;"C"&amp;$A11)*RTD("tos.rtd",,"GAMMA","."&amp;B$2&amp;B$1&amp;"C"&amp;$A11)-$A$4*$A$4*RTD("tos.rtd",,"VOLUME","."&amp;B$2&amp;B$1&amp;"P"&amp;$A11)*RTD("tos.rtd",,"GAMMA","."&amp;B$2&amp;B$1&amp;"P"&amp;$A11))/1000000,0),IF($A$2="GEX",IFERROR(($A$4*$A$4*RTD("tos.rtd",,"OPEN_INT","."&amp;B$2&amp;B$1&amp;"C"&amp;$A11)*RTD("tos.rtd",,"GAMMA","."&amp;B$2&amp;B$1&amp;"C"&amp;$A11)-$A$4*$A$4*RTD("tos.rtd",,"OPEN_INT","."&amp;B$2&amp;B$1&amp;"P"&amp;$A11)*RTD("tos.rtd",,"GAMMA","."&amp;B$2&amp;B$1&amp;"P"&amp;$A11))/1000000,0),IF($A$2="SKEW",IFERROR(VALUE(IF(RTD("tos.rtd",,"IMPL_VOL","."&amp;B$2&amp;B$1&amp;"P"&amp;$A11)="N/A",0,RTD("tos.rtd",,"IMPL_VOL","."&amp;B$2&amp;B$1&amp;"P"&amp;$A11))),0)-IFERROR(VALUE(IF(RTD("tos.rtd",,"IMPL_VOL","."&amp;B$2&amp;B$1&amp;"C"&amp;$A11)="N/A",0,RTD("tos.rtd",,"IMPL_VOL","."&amp;B$2&amp;B$1&amp;"C"&amp;$A11))),0),IF($A$2="MAXPAIN",IF($A$4&gt;$A11,($A$4-$A11)*IF(RTD("tos.rtd",,"OPEN_INT","."&amp;B$2&amp;B$1&amp;"C"&amp;$A11)="N/A",0,RTD("tos.rtd",,"OPEN_INT","."&amp;B$2&amp;B$1&amp;"C"&amp;$A11)),0)+IF($A$4&lt;$A11,($A11-$A$4)*IF(RTD("tos.rtd",,"OPEN_INT","."&amp;B$2&amp;B$1&amp;"P"&amp;$A11)="N/A",0,RTD("tos.rtd",,"OPEN_INT","."&amp;B$2&amp;B$1&amp;"P"&amp;$A11)),0),IF(RTD("tos.rtd",,$A$2,"."&amp;B$2&amp;B$1&amp;"C"&amp;$A11)="N/A",0,RTD("tos.rtd",,$A$2,"."&amp;B$2&amp;B$1&amp;"C"&amp;$A11))-IF(RTD("tos.rtd",,$A$2,"."&amp;B$2&amp;B$1&amp;"P"&amp;$A11)="N/A",0,RTD("tos.rtd",,$A$2,"."&amp;B$2&amp;B$1&amp;"P"&amp;$A11)))))))))</f>
        <v>0</v>
      </c>
      <c r="C11" s="12">
        <f>IF($A$2="PREMIUM_OI",IFERROR((100*RTD("tos.rtd",,"OPEN_INT","."&amp;C$2&amp;C$1&amp;"C"&amp;$A11)*RTD("tos.rtd",,"LAST","."&amp;C$2&amp;C$1&amp;"C"&amp;$A11)-100*RTD("tos.rtd",,"OPEN_INT","."&amp;C$2&amp;C$1&amp;"P"&amp;$A11)*RTD("tos.rtd",,"LAST","."&amp;C$2&amp;C$1&amp;"P"&amp;$A11))/1000000,0),IF($A$2="PREMIUM",IFERROR((100*RTD("tos.rtd",,"VOLUME","."&amp;C$2&amp;C$1&amp;"C"&amp;$A11)*RTD("tos.rtd",,"LAST","."&amp;C$2&amp;C$1&amp;"C"&amp;$A11)-100*RTD("tos.rtd",,"VOLUME","."&amp;C$2&amp;C$1&amp;"P"&amp;$A11)*RTD("tos.rtd",,"LAST","."&amp;C$2&amp;C$1&amp;"P"&amp;$A11))/1000000,0),IF($A$2="DEX",IFERROR((100*RTD("tos.rtd",,"OPEN_INT","."&amp;C$2&amp;C$1&amp;"C"&amp;$A11)*RTD("tos.rtd",,"DELTA","."&amp;C$2&amp;C$1&amp;"C"&amp;$A11)-100*RTD("tos.rtd",,"OPEN_INT","."&amp;C$2&amp;C$1&amp;"P"&amp;$A11)*RTD("tos.rtd",,"DELTA","."&amp;C$2&amp;C$1&amp;"P"&amp;$A11))/1000,0),IF($A$2="VEX",IFERROR(($A$4*$A$4*RTD("tos.rtd",,"VOLUME","."&amp;C$2&amp;C$1&amp;"C"&amp;$A11)*RTD("tos.rtd",,"GAMMA","."&amp;C$2&amp;C$1&amp;"C"&amp;$A11)-$A$4*$A$4*RTD("tos.rtd",,"VOLUME","."&amp;C$2&amp;C$1&amp;"P"&amp;$A11)*RTD("tos.rtd",,"GAMMA","."&amp;C$2&amp;C$1&amp;"P"&amp;$A11))/1000000,0),IF($A$2="GEX",IFERROR(($A$4*$A$4*RTD("tos.rtd",,"OPEN_INT","."&amp;C$2&amp;C$1&amp;"C"&amp;$A11)*RTD("tos.rtd",,"GAMMA","."&amp;C$2&amp;C$1&amp;"C"&amp;$A11)-$A$4*$A$4*RTD("tos.rtd",,"OPEN_INT","."&amp;C$2&amp;C$1&amp;"P"&amp;$A11)*RTD("tos.rtd",,"GAMMA","."&amp;C$2&amp;C$1&amp;"P"&amp;$A11))/1000000,0),IF($A$2="SKEW",IFERROR(VALUE(IF(RTD("tos.rtd",,"IMPL_VOL","."&amp;C$2&amp;C$1&amp;"P"&amp;$A11)="N/A",0,RTD("tos.rtd",,"IMPL_VOL","."&amp;C$2&amp;C$1&amp;"P"&amp;$A11))),0)-IFERROR(VALUE(IF(RTD("tos.rtd",,"IMPL_VOL","."&amp;C$2&amp;C$1&amp;"C"&amp;$A11)="N/A",0,RTD("tos.rtd",,"IMPL_VOL","."&amp;C$2&amp;C$1&amp;"C"&amp;$A11))),0),IF($A$2="MAXPAIN",IF($A$4&gt;$A11,($A$4-$A11)*IF(RTD("tos.rtd",,"OPEN_INT","."&amp;C$2&amp;C$1&amp;"C"&amp;$A11)="N/A",0,RTD("tos.rtd",,"OPEN_INT","."&amp;C$2&amp;C$1&amp;"C"&amp;$A11)),0)+IF($A$4&lt;$A11,($A11-$A$4)*IF(RTD("tos.rtd",,"OPEN_INT","."&amp;C$2&amp;C$1&amp;"P"&amp;$A11)="N/A",0,RTD("tos.rtd",,"OPEN_INT","."&amp;C$2&amp;C$1&amp;"P"&amp;$A11)),0),IF(RTD("tos.rtd",,$A$2,"."&amp;C$2&amp;C$1&amp;"C"&amp;$A11)="N/A",0,RTD("tos.rtd",,$A$2,"."&amp;C$2&amp;C$1&amp;"C"&amp;$A11))-IF(RTD("tos.rtd",,$A$2,"."&amp;C$2&amp;C$1&amp;"P"&amp;$A11)="N/A",0,RTD("tos.rtd",,$A$2,"."&amp;C$2&amp;C$1&amp;"P"&amp;$A11)))))))))</f>
        <v>758</v>
      </c>
      <c r="D11" s="12">
        <f>IF($A$2="PREMIUM_OI",IFERROR((100*RTD("tos.rtd",,"OPEN_INT","."&amp;D$2&amp;D$1&amp;"C"&amp;$A11)*RTD("tos.rtd",,"LAST","."&amp;D$2&amp;D$1&amp;"C"&amp;$A11)-100*RTD("tos.rtd",,"OPEN_INT","."&amp;D$2&amp;D$1&amp;"P"&amp;$A11)*RTD("tos.rtd",,"LAST","."&amp;D$2&amp;D$1&amp;"P"&amp;$A11))/1000000,0),IF($A$2="PREMIUM",IFERROR((100*RTD("tos.rtd",,"VOLUME","."&amp;D$2&amp;D$1&amp;"C"&amp;$A11)*RTD("tos.rtd",,"LAST","."&amp;D$2&amp;D$1&amp;"C"&amp;$A11)-100*RTD("tos.rtd",,"VOLUME","."&amp;D$2&amp;D$1&amp;"P"&amp;$A11)*RTD("tos.rtd",,"LAST","."&amp;D$2&amp;D$1&amp;"P"&amp;$A11))/1000000,0),IF($A$2="DEX",IFERROR((100*RTD("tos.rtd",,"OPEN_INT","."&amp;D$2&amp;D$1&amp;"C"&amp;$A11)*RTD("tos.rtd",,"DELTA","."&amp;D$2&amp;D$1&amp;"C"&amp;$A11)-100*RTD("tos.rtd",,"OPEN_INT","."&amp;D$2&amp;D$1&amp;"P"&amp;$A11)*RTD("tos.rtd",,"DELTA","."&amp;D$2&amp;D$1&amp;"P"&amp;$A11))/1000,0),IF($A$2="VEX",IFERROR(($A$4*$A$4*RTD("tos.rtd",,"VOLUME","."&amp;D$2&amp;D$1&amp;"C"&amp;$A11)*RTD("tos.rtd",,"GAMMA","."&amp;D$2&amp;D$1&amp;"C"&amp;$A11)-$A$4*$A$4*RTD("tos.rtd",,"VOLUME","."&amp;D$2&amp;D$1&amp;"P"&amp;$A11)*RTD("tos.rtd",,"GAMMA","."&amp;D$2&amp;D$1&amp;"P"&amp;$A11))/1000000,0),IF($A$2="GEX",IFERROR(($A$4*$A$4*RTD("tos.rtd",,"OPEN_INT","."&amp;D$2&amp;D$1&amp;"C"&amp;$A11)*RTD("tos.rtd",,"GAMMA","."&amp;D$2&amp;D$1&amp;"C"&amp;$A11)-$A$4*$A$4*RTD("tos.rtd",,"OPEN_INT","."&amp;D$2&amp;D$1&amp;"P"&amp;$A11)*RTD("tos.rtd",,"GAMMA","."&amp;D$2&amp;D$1&amp;"P"&amp;$A11))/1000000,0),IF($A$2="SKEW",IFERROR(VALUE(IF(RTD("tos.rtd",,"IMPL_VOL","."&amp;D$2&amp;D$1&amp;"P"&amp;$A11)="N/A",0,RTD("tos.rtd",,"IMPL_VOL","."&amp;D$2&amp;D$1&amp;"P"&amp;$A11))),0)-IFERROR(VALUE(IF(RTD("tos.rtd",,"IMPL_VOL","."&amp;D$2&amp;D$1&amp;"C"&amp;$A11)="N/A",0,RTD("tos.rtd",,"IMPL_VOL","."&amp;D$2&amp;D$1&amp;"C"&amp;$A11))),0),IF($A$2="MAXPAIN",IF($A$4&gt;$A11,($A$4-$A11)*IF(RTD("tos.rtd",,"OPEN_INT","."&amp;D$2&amp;D$1&amp;"C"&amp;$A11)="N/A",0,RTD("tos.rtd",,"OPEN_INT","."&amp;D$2&amp;D$1&amp;"C"&amp;$A11)),0)+IF($A$4&lt;$A11,($A11-$A$4)*IF(RTD("tos.rtd",,"OPEN_INT","."&amp;D$2&amp;D$1&amp;"P"&amp;$A11)="N/A",0,RTD("tos.rtd",,"OPEN_INT","."&amp;D$2&amp;D$1&amp;"P"&amp;$A11)),0),IF(RTD("tos.rtd",,$A$2,"."&amp;D$2&amp;D$1&amp;"C"&amp;$A11)="N/A",0,RTD("tos.rtd",,$A$2,"."&amp;D$2&amp;D$1&amp;"C"&amp;$A11))-IF(RTD("tos.rtd",,$A$2,"."&amp;D$2&amp;D$1&amp;"P"&amp;$A11)="N/A",0,RTD("tos.rtd",,$A$2,"."&amp;D$2&amp;D$1&amp;"P"&amp;$A11)))))))))</f>
        <v>0</v>
      </c>
      <c r="E11" s="12">
        <f>IF($A$2="PREMIUM_OI",IFERROR((100*RTD("tos.rtd",,"OPEN_INT","."&amp;E$2&amp;E$1&amp;"C"&amp;$A11)*RTD("tos.rtd",,"LAST","."&amp;E$2&amp;E$1&amp;"C"&amp;$A11)-100*RTD("tos.rtd",,"OPEN_INT","."&amp;E$2&amp;E$1&amp;"P"&amp;$A11)*RTD("tos.rtd",,"LAST","."&amp;E$2&amp;E$1&amp;"P"&amp;$A11))/1000000,0),IF($A$2="PREMIUM",IFERROR((100*RTD("tos.rtd",,"VOLUME","."&amp;E$2&amp;E$1&amp;"C"&amp;$A11)*RTD("tos.rtd",,"LAST","."&amp;E$2&amp;E$1&amp;"C"&amp;$A11)-100*RTD("tos.rtd",,"VOLUME","."&amp;E$2&amp;E$1&amp;"P"&amp;$A11)*RTD("tos.rtd",,"LAST","."&amp;E$2&amp;E$1&amp;"P"&amp;$A11))/1000000,0),IF($A$2="DEX",IFERROR((100*RTD("tos.rtd",,"OPEN_INT","."&amp;E$2&amp;E$1&amp;"C"&amp;$A11)*RTD("tos.rtd",,"DELTA","."&amp;E$2&amp;E$1&amp;"C"&amp;$A11)-100*RTD("tos.rtd",,"OPEN_INT","."&amp;E$2&amp;E$1&amp;"P"&amp;$A11)*RTD("tos.rtd",,"DELTA","."&amp;E$2&amp;E$1&amp;"P"&amp;$A11))/1000,0),IF($A$2="VEX",IFERROR(($A$4*$A$4*RTD("tos.rtd",,"VOLUME","."&amp;E$2&amp;E$1&amp;"C"&amp;$A11)*RTD("tos.rtd",,"GAMMA","."&amp;E$2&amp;E$1&amp;"C"&amp;$A11)-$A$4*$A$4*RTD("tos.rtd",,"VOLUME","."&amp;E$2&amp;E$1&amp;"P"&amp;$A11)*RTD("tos.rtd",,"GAMMA","."&amp;E$2&amp;E$1&amp;"P"&amp;$A11))/1000000,0),IF($A$2="GEX",IFERROR(($A$4*$A$4*RTD("tos.rtd",,"OPEN_INT","."&amp;E$2&amp;E$1&amp;"C"&amp;$A11)*RTD("tos.rtd",,"GAMMA","."&amp;E$2&amp;E$1&amp;"C"&amp;$A11)-$A$4*$A$4*RTD("tos.rtd",,"OPEN_INT","."&amp;E$2&amp;E$1&amp;"P"&amp;$A11)*RTD("tos.rtd",,"GAMMA","."&amp;E$2&amp;E$1&amp;"P"&amp;$A11))/1000000,0),IF($A$2="SKEW",IFERROR(VALUE(IF(RTD("tos.rtd",,"IMPL_VOL","."&amp;E$2&amp;E$1&amp;"P"&amp;$A11)="N/A",0,RTD("tos.rtd",,"IMPL_VOL","."&amp;E$2&amp;E$1&amp;"P"&amp;$A11))),0)-IFERROR(VALUE(IF(RTD("tos.rtd",,"IMPL_VOL","."&amp;E$2&amp;E$1&amp;"C"&amp;$A11)="N/A",0,RTD("tos.rtd",,"IMPL_VOL","."&amp;E$2&amp;E$1&amp;"C"&amp;$A11))),0),IF($A$2="MAXPAIN",IF($A$4&gt;$A11,($A$4-$A11)*IF(RTD("tos.rtd",,"OPEN_INT","."&amp;E$2&amp;E$1&amp;"C"&amp;$A11)="N/A",0,RTD("tos.rtd",,"OPEN_INT","."&amp;E$2&amp;E$1&amp;"C"&amp;$A11)),0)+IF($A$4&lt;$A11,($A11-$A$4)*IF(RTD("tos.rtd",,"OPEN_INT","."&amp;E$2&amp;E$1&amp;"P"&amp;$A11)="N/A",0,RTD("tos.rtd",,"OPEN_INT","."&amp;E$2&amp;E$1&amp;"P"&amp;$A11)),0),IF(RTD("tos.rtd",,$A$2,"."&amp;E$2&amp;E$1&amp;"C"&amp;$A11)="N/A",0,RTD("tos.rtd",,$A$2,"."&amp;E$2&amp;E$1&amp;"C"&amp;$A11))-IF(RTD("tos.rtd",,$A$2,"."&amp;E$2&amp;E$1&amp;"P"&amp;$A11)="N/A",0,RTD("tos.rtd",,$A$2,"."&amp;E$2&amp;E$1&amp;"P"&amp;$A11)))))))))</f>
        <v>0</v>
      </c>
      <c r="F11" s="12">
        <f>IF($A$2="PREMIUM_OI",IFERROR((100*RTD("tos.rtd",,"OPEN_INT","."&amp;F$2&amp;F$1&amp;"C"&amp;$A11)*RTD("tos.rtd",,"LAST","."&amp;F$2&amp;F$1&amp;"C"&amp;$A11)-100*RTD("tos.rtd",,"OPEN_INT","."&amp;F$2&amp;F$1&amp;"P"&amp;$A11)*RTD("tos.rtd",,"LAST","."&amp;F$2&amp;F$1&amp;"P"&amp;$A11))/1000000,0),IF($A$2="PREMIUM",IFERROR((100*RTD("tos.rtd",,"VOLUME","."&amp;F$2&amp;F$1&amp;"C"&amp;$A11)*RTD("tos.rtd",,"LAST","."&amp;F$2&amp;F$1&amp;"C"&amp;$A11)-100*RTD("tos.rtd",,"VOLUME","."&amp;F$2&amp;F$1&amp;"P"&amp;$A11)*RTD("tos.rtd",,"LAST","."&amp;F$2&amp;F$1&amp;"P"&amp;$A11))/1000000,0),IF($A$2="DEX",IFERROR((100*RTD("tos.rtd",,"OPEN_INT","."&amp;F$2&amp;F$1&amp;"C"&amp;$A11)*RTD("tos.rtd",,"DELTA","."&amp;F$2&amp;F$1&amp;"C"&amp;$A11)-100*RTD("tos.rtd",,"OPEN_INT","."&amp;F$2&amp;F$1&amp;"P"&amp;$A11)*RTD("tos.rtd",,"DELTA","."&amp;F$2&amp;F$1&amp;"P"&amp;$A11))/1000,0),IF($A$2="VEX",IFERROR(($A$4*$A$4*RTD("tos.rtd",,"VOLUME","."&amp;F$2&amp;F$1&amp;"C"&amp;$A11)*RTD("tos.rtd",,"GAMMA","."&amp;F$2&amp;F$1&amp;"C"&amp;$A11)-$A$4*$A$4*RTD("tos.rtd",,"VOLUME","."&amp;F$2&amp;F$1&amp;"P"&amp;$A11)*RTD("tos.rtd",,"GAMMA","."&amp;F$2&amp;F$1&amp;"P"&amp;$A11))/1000000,0),IF($A$2="GEX",IFERROR(($A$4*$A$4*RTD("tos.rtd",,"OPEN_INT","."&amp;F$2&amp;F$1&amp;"C"&amp;$A11)*RTD("tos.rtd",,"GAMMA","."&amp;F$2&amp;F$1&amp;"C"&amp;$A11)-$A$4*$A$4*RTD("tos.rtd",,"OPEN_INT","."&amp;F$2&amp;F$1&amp;"P"&amp;$A11)*RTD("tos.rtd",,"GAMMA","."&amp;F$2&amp;F$1&amp;"P"&amp;$A11))/1000000,0),IF($A$2="SKEW",IFERROR(VALUE(IF(RTD("tos.rtd",,"IMPL_VOL","."&amp;F$2&amp;F$1&amp;"P"&amp;$A11)="N/A",0,RTD("tos.rtd",,"IMPL_VOL","."&amp;F$2&amp;F$1&amp;"P"&amp;$A11))),0)-IFERROR(VALUE(IF(RTD("tos.rtd",,"IMPL_VOL","."&amp;F$2&amp;F$1&amp;"C"&amp;$A11)="N/A",0,RTD("tos.rtd",,"IMPL_VOL","."&amp;F$2&amp;F$1&amp;"C"&amp;$A11))),0),IF($A$2="MAXPAIN",IF($A$4&gt;$A11,($A$4-$A11)*IF(RTD("tos.rtd",,"OPEN_INT","."&amp;F$2&amp;F$1&amp;"C"&amp;$A11)="N/A",0,RTD("tos.rtd",,"OPEN_INT","."&amp;F$2&amp;F$1&amp;"C"&amp;$A11)),0)+IF($A$4&lt;$A11,($A11-$A$4)*IF(RTD("tos.rtd",,"OPEN_INT","."&amp;F$2&amp;F$1&amp;"P"&amp;$A11)="N/A",0,RTD("tos.rtd",,"OPEN_INT","."&amp;F$2&amp;F$1&amp;"P"&amp;$A11)),0),IF(RTD("tos.rtd",,$A$2,"."&amp;F$2&amp;F$1&amp;"C"&amp;$A11)="N/A",0,RTD("tos.rtd",,$A$2,"."&amp;F$2&amp;F$1&amp;"C"&amp;$A11))-IF(RTD("tos.rtd",,$A$2,"."&amp;F$2&amp;F$1&amp;"P"&amp;$A11)="N/A",0,RTD("tos.rtd",,$A$2,"."&amp;F$2&amp;F$1&amp;"P"&amp;$A11)))))))))</f>
        <v>0</v>
      </c>
      <c r="G11" s="14">
        <f>IF($A$2="PREMIUM_OI",IFERROR((100*RTD("tos.rtd",,"OPEN_INT","."&amp;G$2&amp;G$1&amp;"C"&amp;$A11)*RTD("tos.rtd",,"LAST","."&amp;G$2&amp;G$1&amp;"C"&amp;$A11)-100*RTD("tos.rtd",,"OPEN_INT","."&amp;G$2&amp;G$1&amp;"P"&amp;$A11)*RTD("tos.rtd",,"LAST","."&amp;G$2&amp;G$1&amp;"P"&amp;$A11))/1000000,0),IF($A$2="PREMIUM",IFERROR((100*RTD("tos.rtd",,"VOLUME","."&amp;G$2&amp;G$1&amp;"C"&amp;$A11)*RTD("tos.rtd",,"LAST","."&amp;G$2&amp;G$1&amp;"C"&amp;$A11)-100*RTD("tos.rtd",,"VOLUME","."&amp;G$2&amp;G$1&amp;"P"&amp;$A11)*RTD("tos.rtd",,"LAST","."&amp;G$2&amp;G$1&amp;"P"&amp;$A11))/1000000,0),IF($A$2="DEX",IFERROR((100*RTD("tos.rtd",,"OPEN_INT","."&amp;G$2&amp;G$1&amp;"C"&amp;$A11)*RTD("tos.rtd",,"DELTA","."&amp;G$2&amp;G$1&amp;"C"&amp;$A11)-100*RTD("tos.rtd",,"OPEN_INT","."&amp;G$2&amp;G$1&amp;"P"&amp;$A11)*RTD("tos.rtd",,"DELTA","."&amp;G$2&amp;G$1&amp;"P"&amp;$A11))/1000,0),IF($A$2="VEX",IFERROR(($A$4*$A$4*RTD("tos.rtd",,"VOLUME","."&amp;G$2&amp;G$1&amp;"C"&amp;$A11)*RTD("tos.rtd",,"GAMMA","."&amp;G$2&amp;G$1&amp;"C"&amp;$A11)-$A$4*$A$4*RTD("tos.rtd",,"VOLUME","."&amp;G$2&amp;G$1&amp;"P"&amp;$A11)*RTD("tos.rtd",,"GAMMA","."&amp;G$2&amp;G$1&amp;"P"&amp;$A11))/1000000,0),IF($A$2="GEX",IFERROR(($A$4*$A$4*RTD("tos.rtd",,"OPEN_INT","."&amp;G$2&amp;G$1&amp;"C"&amp;$A11)*RTD("tos.rtd",,"GAMMA","."&amp;G$2&amp;G$1&amp;"C"&amp;$A11)-$A$4*$A$4*RTD("tos.rtd",,"OPEN_INT","."&amp;G$2&amp;G$1&amp;"P"&amp;$A11)*RTD("tos.rtd",,"GAMMA","."&amp;G$2&amp;G$1&amp;"P"&amp;$A11))/1000000,0),IF($A$2="SKEW",IFERROR(VALUE(IF(RTD("tos.rtd",,"IMPL_VOL","."&amp;G$2&amp;G$1&amp;"P"&amp;$A11)="N/A",0,RTD("tos.rtd",,"IMPL_VOL","."&amp;G$2&amp;G$1&amp;"P"&amp;$A11))),0)-IFERROR(VALUE(IF(RTD("tos.rtd",,"IMPL_VOL","."&amp;G$2&amp;G$1&amp;"C"&amp;$A11)="N/A",0,RTD("tos.rtd",,"IMPL_VOL","."&amp;G$2&amp;G$1&amp;"C"&amp;$A11))),0),IF($A$2="MAXPAIN",IF($A$4&gt;$A11,($A$4-$A11)*IF(RTD("tos.rtd",,"OPEN_INT","."&amp;G$2&amp;G$1&amp;"C"&amp;$A11)="N/A",0,RTD("tos.rtd",,"OPEN_INT","."&amp;G$2&amp;G$1&amp;"C"&amp;$A11)),0)+IF($A$4&lt;$A11,($A11-$A$4)*IF(RTD("tos.rtd",,"OPEN_INT","."&amp;G$2&amp;G$1&amp;"P"&amp;$A11)="N/A",0,RTD("tos.rtd",,"OPEN_INT","."&amp;G$2&amp;G$1&amp;"P"&amp;$A11)),0),IF(RTD("tos.rtd",,$A$2,"."&amp;G$2&amp;G$1&amp;"C"&amp;$A11)="N/A",0,RTD("tos.rtd",,$A$2,"."&amp;G$2&amp;G$1&amp;"C"&amp;$A11))-IF(RTD("tos.rtd",,$A$2,"."&amp;G$2&amp;G$1&amp;"P"&amp;$A11)="N/A",0,RTD("tos.rtd",,$A$2,"."&amp;G$2&amp;G$1&amp;"P"&amp;$A11)))))))))</f>
        <v>0</v>
      </c>
      <c r="H11" s="12">
        <f>IF($A$2="PREMIUM_OI",IFERROR((100*RTD("tos.rtd",,"OPEN_INT","."&amp;H$2&amp;H$1&amp;"C"&amp;$A11)*RTD("tos.rtd",,"LAST","."&amp;H$2&amp;H$1&amp;"C"&amp;$A11)-100*RTD("tos.rtd",,"OPEN_INT","."&amp;H$2&amp;H$1&amp;"P"&amp;$A11)*RTD("tos.rtd",,"LAST","."&amp;H$2&amp;H$1&amp;"P"&amp;$A11))/1000000,0),IF($A$2="PREMIUM",IFERROR((100*RTD("tos.rtd",,"VOLUME","."&amp;H$2&amp;H$1&amp;"C"&amp;$A11)*RTD("tos.rtd",,"LAST","."&amp;H$2&amp;H$1&amp;"C"&amp;$A11)-100*RTD("tos.rtd",,"VOLUME","."&amp;H$2&amp;H$1&amp;"P"&amp;$A11)*RTD("tos.rtd",,"LAST","."&amp;H$2&amp;H$1&amp;"P"&amp;$A11))/1000000,0),IF($A$2="DEX",IFERROR((100*RTD("tos.rtd",,"OPEN_INT","."&amp;H$2&amp;H$1&amp;"C"&amp;$A11)*RTD("tos.rtd",,"DELTA","."&amp;H$2&amp;H$1&amp;"C"&amp;$A11)-100*RTD("tos.rtd",,"OPEN_INT","."&amp;H$2&amp;H$1&amp;"P"&amp;$A11)*RTD("tos.rtd",,"DELTA","."&amp;H$2&amp;H$1&amp;"P"&amp;$A11))/1000,0),IF($A$2="VEX",IFERROR(($A$4*$A$4*RTD("tos.rtd",,"VOLUME","."&amp;H$2&amp;H$1&amp;"C"&amp;$A11)*RTD("tos.rtd",,"GAMMA","."&amp;H$2&amp;H$1&amp;"C"&amp;$A11)-$A$4*$A$4*RTD("tos.rtd",,"VOLUME","."&amp;H$2&amp;H$1&amp;"P"&amp;$A11)*RTD("tos.rtd",,"GAMMA","."&amp;H$2&amp;H$1&amp;"P"&amp;$A11))/1000000,0),IF($A$2="GEX",IFERROR(($A$4*$A$4*RTD("tos.rtd",,"OPEN_INT","."&amp;H$2&amp;H$1&amp;"C"&amp;$A11)*RTD("tos.rtd",,"GAMMA","."&amp;H$2&amp;H$1&amp;"C"&amp;$A11)-$A$4*$A$4*RTD("tos.rtd",,"OPEN_INT","."&amp;H$2&amp;H$1&amp;"P"&amp;$A11)*RTD("tos.rtd",,"GAMMA","."&amp;H$2&amp;H$1&amp;"P"&amp;$A11))/1000000,0),IF($A$2="SKEW",IFERROR(VALUE(IF(RTD("tos.rtd",,"IMPL_VOL","."&amp;H$2&amp;H$1&amp;"P"&amp;$A11)="N/A",0,RTD("tos.rtd",,"IMPL_VOL","."&amp;H$2&amp;H$1&amp;"P"&amp;$A11))),0)-IFERROR(VALUE(IF(RTD("tos.rtd",,"IMPL_VOL","."&amp;H$2&amp;H$1&amp;"C"&amp;$A11)="N/A",0,RTD("tos.rtd",,"IMPL_VOL","."&amp;H$2&amp;H$1&amp;"C"&amp;$A11))),0),IF($A$2="MAXPAIN",IF($A$4&gt;$A11,($A$4-$A11)*IF(RTD("tos.rtd",,"OPEN_INT","."&amp;H$2&amp;H$1&amp;"C"&amp;$A11)="N/A",0,RTD("tos.rtd",,"OPEN_INT","."&amp;H$2&amp;H$1&amp;"C"&amp;$A11)),0)+IF($A$4&lt;$A11,($A11-$A$4)*IF(RTD("tos.rtd",,"OPEN_INT","."&amp;H$2&amp;H$1&amp;"P"&amp;$A11)="N/A",0,RTD("tos.rtd",,"OPEN_INT","."&amp;H$2&amp;H$1&amp;"P"&amp;$A11)),0),IF(RTD("tos.rtd",,$A$2,"."&amp;H$2&amp;H$1&amp;"C"&amp;$A11)="N/A",0,RTD("tos.rtd",,$A$2,"."&amp;H$2&amp;H$1&amp;"C"&amp;$A11))-IF(RTD("tos.rtd",,$A$2,"."&amp;H$2&amp;H$1&amp;"P"&amp;$A11)="N/A",0,RTD("tos.rtd",,$A$2,"."&amp;H$2&amp;H$1&amp;"P"&amp;$A11)))))))))</f>
        <v>0</v>
      </c>
      <c r="I11" s="12">
        <f>IF($A$2="PREMIUM_OI",IFERROR((100*RTD("tos.rtd",,"OPEN_INT","."&amp;I$2&amp;I$1&amp;"C"&amp;$A11)*RTD("tos.rtd",,"LAST","."&amp;I$2&amp;I$1&amp;"C"&amp;$A11)-100*RTD("tos.rtd",,"OPEN_INT","."&amp;I$2&amp;I$1&amp;"P"&amp;$A11)*RTD("tos.rtd",,"LAST","."&amp;I$2&amp;I$1&amp;"P"&amp;$A11))/1000000,0),IF($A$2="PREMIUM",IFERROR((100*RTD("tos.rtd",,"VOLUME","."&amp;I$2&amp;I$1&amp;"C"&amp;$A11)*RTD("tos.rtd",,"LAST","."&amp;I$2&amp;I$1&amp;"C"&amp;$A11)-100*RTD("tos.rtd",,"VOLUME","."&amp;I$2&amp;I$1&amp;"P"&amp;$A11)*RTD("tos.rtd",,"LAST","."&amp;I$2&amp;I$1&amp;"P"&amp;$A11))/1000000,0),IF($A$2="DEX",IFERROR((100*RTD("tos.rtd",,"OPEN_INT","."&amp;I$2&amp;I$1&amp;"C"&amp;$A11)*RTD("tos.rtd",,"DELTA","."&amp;I$2&amp;I$1&amp;"C"&amp;$A11)-100*RTD("tos.rtd",,"OPEN_INT","."&amp;I$2&amp;I$1&amp;"P"&amp;$A11)*RTD("tos.rtd",,"DELTA","."&amp;I$2&amp;I$1&amp;"P"&amp;$A11))/1000,0),IF($A$2="VEX",IFERROR(($A$4*$A$4*RTD("tos.rtd",,"VOLUME","."&amp;I$2&amp;I$1&amp;"C"&amp;$A11)*RTD("tos.rtd",,"GAMMA","."&amp;I$2&amp;I$1&amp;"C"&amp;$A11)-$A$4*$A$4*RTD("tos.rtd",,"VOLUME","."&amp;I$2&amp;I$1&amp;"P"&amp;$A11)*RTD("tos.rtd",,"GAMMA","."&amp;I$2&amp;I$1&amp;"P"&amp;$A11))/1000000,0),IF($A$2="GEX",IFERROR(($A$4*$A$4*RTD("tos.rtd",,"OPEN_INT","."&amp;I$2&amp;I$1&amp;"C"&amp;$A11)*RTD("tos.rtd",,"GAMMA","."&amp;I$2&amp;I$1&amp;"C"&amp;$A11)-$A$4*$A$4*RTD("tos.rtd",,"OPEN_INT","."&amp;I$2&amp;I$1&amp;"P"&amp;$A11)*RTD("tos.rtd",,"GAMMA","."&amp;I$2&amp;I$1&amp;"P"&amp;$A11))/1000000,0),IF($A$2="SKEW",IFERROR(VALUE(IF(RTD("tos.rtd",,"IMPL_VOL","."&amp;I$2&amp;I$1&amp;"P"&amp;$A11)="N/A",0,RTD("tos.rtd",,"IMPL_VOL","."&amp;I$2&amp;I$1&amp;"P"&amp;$A11))),0)-IFERROR(VALUE(IF(RTD("tos.rtd",,"IMPL_VOL","."&amp;I$2&amp;I$1&amp;"C"&amp;$A11)="N/A",0,RTD("tos.rtd",,"IMPL_VOL","."&amp;I$2&amp;I$1&amp;"C"&amp;$A11))),0),IF($A$2="MAXPAIN",IF($A$4&gt;$A11,($A$4-$A11)*IF(RTD("tos.rtd",,"OPEN_INT","."&amp;I$2&amp;I$1&amp;"C"&amp;$A11)="N/A",0,RTD("tos.rtd",,"OPEN_INT","."&amp;I$2&amp;I$1&amp;"C"&amp;$A11)),0)+IF($A$4&lt;$A11,($A11-$A$4)*IF(RTD("tos.rtd",,"OPEN_INT","."&amp;I$2&amp;I$1&amp;"P"&amp;$A11)="N/A",0,RTD("tos.rtd",,"OPEN_INT","."&amp;I$2&amp;I$1&amp;"P"&amp;$A11)),0),IF(RTD("tos.rtd",,$A$2,"."&amp;I$2&amp;I$1&amp;"C"&amp;$A11)="N/A",0,RTD("tos.rtd",,$A$2,"."&amp;I$2&amp;I$1&amp;"C"&amp;$A11))-IF(RTD("tos.rtd",,$A$2,"."&amp;I$2&amp;I$1&amp;"P"&amp;$A11)="N/A",0,RTD("tos.rtd",,$A$2,"."&amp;I$2&amp;I$1&amp;"P"&amp;$A11)))))))))</f>
        <v>0</v>
      </c>
      <c r="J11" s="12">
        <f>IF($A$2="PREMIUM_OI",IFERROR((100*RTD("tos.rtd",,"OPEN_INT","."&amp;J$2&amp;J$1&amp;"C"&amp;$A11)*RTD("tos.rtd",,"LAST","."&amp;J$2&amp;J$1&amp;"C"&amp;$A11)-100*RTD("tos.rtd",,"OPEN_INT","."&amp;J$2&amp;J$1&amp;"P"&amp;$A11)*RTD("tos.rtd",,"LAST","."&amp;J$2&amp;J$1&amp;"P"&amp;$A11))/1000000,0),IF($A$2="PREMIUM",IFERROR((100*RTD("tos.rtd",,"VOLUME","."&amp;J$2&amp;J$1&amp;"C"&amp;$A11)*RTD("tos.rtd",,"LAST","."&amp;J$2&amp;J$1&amp;"C"&amp;$A11)-100*RTD("tos.rtd",,"VOLUME","."&amp;J$2&amp;J$1&amp;"P"&amp;$A11)*RTD("tos.rtd",,"LAST","."&amp;J$2&amp;J$1&amp;"P"&amp;$A11))/1000000,0),IF($A$2="DEX",IFERROR((100*RTD("tos.rtd",,"OPEN_INT","."&amp;J$2&amp;J$1&amp;"C"&amp;$A11)*RTD("tos.rtd",,"DELTA","."&amp;J$2&amp;J$1&amp;"C"&amp;$A11)-100*RTD("tos.rtd",,"OPEN_INT","."&amp;J$2&amp;J$1&amp;"P"&amp;$A11)*RTD("tos.rtd",,"DELTA","."&amp;J$2&amp;J$1&amp;"P"&amp;$A11))/1000,0),IF($A$2="VEX",IFERROR(($A$4*$A$4*RTD("tos.rtd",,"VOLUME","."&amp;J$2&amp;J$1&amp;"C"&amp;$A11)*RTD("tos.rtd",,"GAMMA","."&amp;J$2&amp;J$1&amp;"C"&amp;$A11)-$A$4*$A$4*RTD("tos.rtd",,"VOLUME","."&amp;J$2&amp;J$1&amp;"P"&amp;$A11)*RTD("tos.rtd",,"GAMMA","."&amp;J$2&amp;J$1&amp;"P"&amp;$A11))/1000000,0),IF($A$2="GEX",IFERROR(($A$4*$A$4*RTD("tos.rtd",,"OPEN_INT","."&amp;J$2&amp;J$1&amp;"C"&amp;$A11)*RTD("tos.rtd",,"GAMMA","."&amp;J$2&amp;J$1&amp;"C"&amp;$A11)-$A$4*$A$4*RTD("tos.rtd",,"OPEN_INT","."&amp;J$2&amp;J$1&amp;"P"&amp;$A11)*RTD("tos.rtd",,"GAMMA","."&amp;J$2&amp;J$1&amp;"P"&amp;$A11))/1000000,0),IF($A$2="SKEW",IFERROR(VALUE(IF(RTD("tos.rtd",,"IMPL_VOL","."&amp;J$2&amp;J$1&amp;"P"&amp;$A11)="N/A",0,RTD("tos.rtd",,"IMPL_VOL","."&amp;J$2&amp;J$1&amp;"P"&amp;$A11))),0)-IFERROR(VALUE(IF(RTD("tos.rtd",,"IMPL_VOL","."&amp;J$2&amp;J$1&amp;"C"&amp;$A11)="N/A",0,RTD("tos.rtd",,"IMPL_VOL","."&amp;J$2&amp;J$1&amp;"C"&amp;$A11))),0),IF($A$2="MAXPAIN",IF($A$4&gt;$A11,($A$4-$A11)*IF(RTD("tos.rtd",,"OPEN_INT","."&amp;J$2&amp;J$1&amp;"C"&amp;$A11)="N/A",0,RTD("tos.rtd",,"OPEN_INT","."&amp;J$2&amp;J$1&amp;"C"&amp;$A11)),0)+IF($A$4&lt;$A11,($A11-$A$4)*IF(RTD("tos.rtd",,"OPEN_INT","."&amp;J$2&amp;J$1&amp;"P"&amp;$A11)="N/A",0,RTD("tos.rtd",,"OPEN_INT","."&amp;J$2&amp;J$1&amp;"P"&amp;$A11)),0),IF(RTD("tos.rtd",,$A$2,"."&amp;J$2&amp;J$1&amp;"C"&amp;$A11)="N/A",0,RTD("tos.rtd",,$A$2,"."&amp;J$2&amp;J$1&amp;"C"&amp;$A11))-IF(RTD("tos.rtd",,$A$2,"."&amp;J$2&amp;J$1&amp;"P"&amp;$A11)="N/A",0,RTD("tos.rtd",,$A$2,"."&amp;J$2&amp;J$1&amp;"P"&amp;$A11)))))))))</f>
        <v>0</v>
      </c>
      <c r="K11" s="12">
        <f>IF($A$2="PREMIUM_OI",IFERROR((100*RTD("tos.rtd",,"OPEN_INT","."&amp;K$2&amp;K$1&amp;"C"&amp;$A11)*RTD("tos.rtd",,"LAST","."&amp;K$2&amp;K$1&amp;"C"&amp;$A11)-100*RTD("tos.rtd",,"OPEN_INT","."&amp;K$2&amp;K$1&amp;"P"&amp;$A11)*RTD("tos.rtd",,"LAST","."&amp;K$2&amp;K$1&amp;"P"&amp;$A11))/1000000,0),IF($A$2="PREMIUM",IFERROR((100*RTD("tos.rtd",,"VOLUME","."&amp;K$2&amp;K$1&amp;"C"&amp;$A11)*RTD("tos.rtd",,"LAST","."&amp;K$2&amp;K$1&amp;"C"&amp;$A11)-100*RTD("tos.rtd",,"VOLUME","."&amp;K$2&amp;K$1&amp;"P"&amp;$A11)*RTD("tos.rtd",,"LAST","."&amp;K$2&amp;K$1&amp;"P"&amp;$A11))/1000000,0),IF($A$2="DEX",IFERROR((100*RTD("tos.rtd",,"OPEN_INT","."&amp;K$2&amp;K$1&amp;"C"&amp;$A11)*RTD("tos.rtd",,"DELTA","."&amp;K$2&amp;K$1&amp;"C"&amp;$A11)-100*RTD("tos.rtd",,"OPEN_INT","."&amp;K$2&amp;K$1&amp;"P"&amp;$A11)*RTD("tos.rtd",,"DELTA","."&amp;K$2&amp;K$1&amp;"P"&amp;$A11))/1000,0),IF($A$2="VEX",IFERROR(($A$4*$A$4*RTD("tos.rtd",,"VOLUME","."&amp;K$2&amp;K$1&amp;"C"&amp;$A11)*RTD("tos.rtd",,"GAMMA","."&amp;K$2&amp;K$1&amp;"C"&amp;$A11)-$A$4*$A$4*RTD("tos.rtd",,"VOLUME","."&amp;K$2&amp;K$1&amp;"P"&amp;$A11)*RTD("tos.rtd",,"GAMMA","."&amp;K$2&amp;K$1&amp;"P"&amp;$A11))/1000000,0),IF($A$2="GEX",IFERROR(($A$4*$A$4*RTD("tos.rtd",,"OPEN_INT","."&amp;K$2&amp;K$1&amp;"C"&amp;$A11)*RTD("tos.rtd",,"GAMMA","."&amp;K$2&amp;K$1&amp;"C"&amp;$A11)-$A$4*$A$4*RTD("tos.rtd",,"OPEN_INT","."&amp;K$2&amp;K$1&amp;"P"&amp;$A11)*RTD("tos.rtd",,"GAMMA","."&amp;K$2&amp;K$1&amp;"P"&amp;$A11))/1000000,0),IF($A$2="SKEW",IFERROR(VALUE(IF(RTD("tos.rtd",,"IMPL_VOL","."&amp;K$2&amp;K$1&amp;"P"&amp;$A11)="N/A",0,RTD("tos.rtd",,"IMPL_VOL","."&amp;K$2&amp;K$1&amp;"P"&amp;$A11))),0)-IFERROR(VALUE(IF(RTD("tos.rtd",,"IMPL_VOL","."&amp;K$2&amp;K$1&amp;"C"&amp;$A11)="N/A",0,RTD("tos.rtd",,"IMPL_VOL","."&amp;K$2&amp;K$1&amp;"C"&amp;$A11))),0),IF($A$2="MAXPAIN",IF($A$4&gt;$A11,($A$4-$A11)*IF(RTD("tos.rtd",,"OPEN_INT","."&amp;K$2&amp;K$1&amp;"C"&amp;$A11)="N/A",0,RTD("tos.rtd",,"OPEN_INT","."&amp;K$2&amp;K$1&amp;"C"&amp;$A11)),0)+IF($A$4&lt;$A11,($A11-$A$4)*IF(RTD("tos.rtd",,"OPEN_INT","."&amp;K$2&amp;K$1&amp;"P"&amp;$A11)="N/A",0,RTD("tos.rtd",,"OPEN_INT","."&amp;K$2&amp;K$1&amp;"P"&amp;$A11)),0),IF(RTD("tos.rtd",,$A$2,"."&amp;K$2&amp;K$1&amp;"C"&amp;$A11)="N/A",0,RTD("tos.rtd",,$A$2,"."&amp;K$2&amp;K$1&amp;"C"&amp;$A11))-IF(RTD("tos.rtd",,$A$2,"."&amp;K$2&amp;K$1&amp;"P"&amp;$A11)="N/A",0,RTD("tos.rtd",,$A$2,"."&amp;K$2&amp;K$1&amp;"P"&amp;$A11)))))))))</f>
        <v>0</v>
      </c>
      <c r="L11" s="12">
        <f>IF($A$2="PREMIUM_OI",IFERROR((100*RTD("tos.rtd",,"OPEN_INT","."&amp;L$2&amp;L$1&amp;"C"&amp;$A11)*RTD("tos.rtd",,"LAST","."&amp;L$2&amp;L$1&amp;"C"&amp;$A11)-100*RTD("tos.rtd",,"OPEN_INT","."&amp;L$2&amp;L$1&amp;"P"&amp;$A11)*RTD("tos.rtd",,"LAST","."&amp;L$2&amp;L$1&amp;"P"&amp;$A11))/1000000,0),IF($A$2="PREMIUM",IFERROR((100*RTD("tos.rtd",,"VOLUME","."&amp;L$2&amp;L$1&amp;"C"&amp;$A11)*RTD("tos.rtd",,"LAST","."&amp;L$2&amp;L$1&amp;"C"&amp;$A11)-100*RTD("tos.rtd",,"VOLUME","."&amp;L$2&amp;L$1&amp;"P"&amp;$A11)*RTD("tos.rtd",,"LAST","."&amp;L$2&amp;L$1&amp;"P"&amp;$A11))/1000000,0),IF($A$2="DEX",IFERROR((100*RTD("tos.rtd",,"OPEN_INT","."&amp;L$2&amp;L$1&amp;"C"&amp;$A11)*RTD("tos.rtd",,"DELTA","."&amp;L$2&amp;L$1&amp;"C"&amp;$A11)-100*RTD("tos.rtd",,"OPEN_INT","."&amp;L$2&amp;L$1&amp;"P"&amp;$A11)*RTD("tos.rtd",,"DELTA","."&amp;L$2&amp;L$1&amp;"P"&amp;$A11))/1000,0),IF($A$2="VEX",IFERROR(($A$4*$A$4*RTD("tos.rtd",,"VOLUME","."&amp;L$2&amp;L$1&amp;"C"&amp;$A11)*RTD("tos.rtd",,"GAMMA","."&amp;L$2&amp;L$1&amp;"C"&amp;$A11)-$A$4*$A$4*RTD("tos.rtd",,"VOLUME","."&amp;L$2&amp;L$1&amp;"P"&amp;$A11)*RTD("tos.rtd",,"GAMMA","."&amp;L$2&amp;L$1&amp;"P"&amp;$A11))/1000000,0),IF($A$2="GEX",IFERROR(($A$4*$A$4*RTD("tos.rtd",,"OPEN_INT","."&amp;L$2&amp;L$1&amp;"C"&amp;$A11)*RTD("tos.rtd",,"GAMMA","."&amp;L$2&amp;L$1&amp;"C"&amp;$A11)-$A$4*$A$4*RTD("tos.rtd",,"OPEN_INT","."&amp;L$2&amp;L$1&amp;"P"&amp;$A11)*RTD("tos.rtd",,"GAMMA","."&amp;L$2&amp;L$1&amp;"P"&amp;$A11))/1000000,0),IF($A$2="SKEW",IFERROR(VALUE(IF(RTD("tos.rtd",,"IMPL_VOL","."&amp;L$2&amp;L$1&amp;"P"&amp;$A11)="N/A",0,RTD("tos.rtd",,"IMPL_VOL","."&amp;L$2&amp;L$1&amp;"P"&amp;$A11))),0)-IFERROR(VALUE(IF(RTD("tos.rtd",,"IMPL_VOL","."&amp;L$2&amp;L$1&amp;"C"&amp;$A11)="N/A",0,RTD("tos.rtd",,"IMPL_VOL","."&amp;L$2&amp;L$1&amp;"C"&amp;$A11))),0),IF($A$2="MAXPAIN",IF($A$4&gt;$A11,($A$4-$A11)*IF(RTD("tos.rtd",,"OPEN_INT","."&amp;L$2&amp;L$1&amp;"C"&amp;$A11)="N/A",0,RTD("tos.rtd",,"OPEN_INT","."&amp;L$2&amp;L$1&amp;"C"&amp;$A11)),0)+IF($A$4&lt;$A11,($A11-$A$4)*IF(RTD("tos.rtd",,"OPEN_INT","."&amp;L$2&amp;L$1&amp;"P"&amp;$A11)="N/A",0,RTD("tos.rtd",,"OPEN_INT","."&amp;L$2&amp;L$1&amp;"P"&amp;$A11)),0),IF(RTD("tos.rtd",,$A$2,"."&amp;L$2&amp;L$1&amp;"C"&amp;$A11)="N/A",0,RTD("tos.rtd",,$A$2,"."&amp;L$2&amp;L$1&amp;"C"&amp;$A11))-IF(RTD("tos.rtd",,$A$2,"."&amp;L$2&amp;L$1&amp;"P"&amp;$A11)="N/A",0,RTD("tos.rtd",,$A$2,"."&amp;L$2&amp;L$1&amp;"P"&amp;$A11)))))))))</f>
        <v>0</v>
      </c>
      <c r="M11" s="12">
        <f>IF($A$2="PREMIUM_OI",IFERROR((100*RTD("tos.rtd",,"OPEN_INT","."&amp;M$2&amp;M$1&amp;"C"&amp;$A11)*RTD("tos.rtd",,"LAST","."&amp;M$2&amp;M$1&amp;"C"&amp;$A11)-100*RTD("tos.rtd",,"OPEN_INT","."&amp;M$2&amp;M$1&amp;"P"&amp;$A11)*RTD("tos.rtd",,"LAST","."&amp;M$2&amp;M$1&amp;"P"&amp;$A11))/1000000,0),IF($A$2="PREMIUM",IFERROR((100*RTD("tos.rtd",,"VOLUME","."&amp;M$2&amp;M$1&amp;"C"&amp;$A11)*RTD("tos.rtd",,"LAST","."&amp;M$2&amp;M$1&amp;"C"&amp;$A11)-100*RTD("tos.rtd",,"VOLUME","."&amp;M$2&amp;M$1&amp;"P"&amp;$A11)*RTD("tos.rtd",,"LAST","."&amp;M$2&amp;M$1&amp;"P"&amp;$A11))/1000000,0),IF($A$2="DEX",IFERROR((100*RTD("tos.rtd",,"OPEN_INT","."&amp;M$2&amp;M$1&amp;"C"&amp;$A11)*RTD("tos.rtd",,"DELTA","."&amp;M$2&amp;M$1&amp;"C"&amp;$A11)-100*RTD("tos.rtd",,"OPEN_INT","."&amp;M$2&amp;M$1&amp;"P"&amp;$A11)*RTD("tos.rtd",,"DELTA","."&amp;M$2&amp;M$1&amp;"P"&amp;$A11))/1000,0),IF($A$2="VEX",IFERROR(($A$4*$A$4*RTD("tos.rtd",,"VOLUME","."&amp;M$2&amp;M$1&amp;"C"&amp;$A11)*RTD("tos.rtd",,"GAMMA","."&amp;M$2&amp;M$1&amp;"C"&amp;$A11)-$A$4*$A$4*RTD("tos.rtd",,"VOLUME","."&amp;M$2&amp;M$1&amp;"P"&amp;$A11)*RTD("tos.rtd",,"GAMMA","."&amp;M$2&amp;M$1&amp;"P"&amp;$A11))/1000000,0),IF($A$2="GEX",IFERROR(($A$4*$A$4*RTD("tos.rtd",,"OPEN_INT","."&amp;M$2&amp;M$1&amp;"C"&amp;$A11)*RTD("tos.rtd",,"GAMMA","."&amp;M$2&amp;M$1&amp;"C"&amp;$A11)-$A$4*$A$4*RTD("tos.rtd",,"OPEN_INT","."&amp;M$2&amp;M$1&amp;"P"&amp;$A11)*RTD("tos.rtd",,"GAMMA","."&amp;M$2&amp;M$1&amp;"P"&amp;$A11))/1000000,0),IF($A$2="SKEW",IFERROR(VALUE(IF(RTD("tos.rtd",,"IMPL_VOL","."&amp;M$2&amp;M$1&amp;"P"&amp;$A11)="N/A",0,RTD("tos.rtd",,"IMPL_VOL","."&amp;M$2&amp;M$1&amp;"P"&amp;$A11))),0)-IFERROR(VALUE(IF(RTD("tos.rtd",,"IMPL_VOL","."&amp;M$2&amp;M$1&amp;"C"&amp;$A11)="N/A",0,RTD("tos.rtd",,"IMPL_VOL","."&amp;M$2&amp;M$1&amp;"C"&amp;$A11))),0),IF($A$2="MAXPAIN",IF($A$4&gt;$A11,($A$4-$A11)*IF(RTD("tos.rtd",,"OPEN_INT","."&amp;M$2&amp;M$1&amp;"C"&amp;$A11)="N/A",0,RTD("tos.rtd",,"OPEN_INT","."&amp;M$2&amp;M$1&amp;"C"&amp;$A11)),0)+IF($A$4&lt;$A11,($A11-$A$4)*IF(RTD("tos.rtd",,"OPEN_INT","."&amp;M$2&amp;M$1&amp;"P"&amp;$A11)="N/A",0,RTD("tos.rtd",,"OPEN_INT","."&amp;M$2&amp;M$1&amp;"P"&amp;$A11)),0),IF(RTD("tos.rtd",,$A$2,"."&amp;M$2&amp;M$1&amp;"C"&amp;$A11)="N/A",0,RTD("tos.rtd",,$A$2,"."&amp;M$2&amp;M$1&amp;"C"&amp;$A11))-IF(RTD("tos.rtd",,$A$2,"."&amp;M$2&amp;M$1&amp;"P"&amp;$A11)="N/A",0,RTD("tos.rtd",,$A$2,"."&amp;M$2&amp;M$1&amp;"P"&amp;$A11)))))))))</f>
        <v>0</v>
      </c>
      <c r="N11" s="12">
        <f>IF($A$2="PREMIUM_OI",IFERROR((100*RTD("tos.rtd",,"OPEN_INT","."&amp;N$2&amp;N$1&amp;"C"&amp;$A11)*RTD("tos.rtd",,"LAST","."&amp;N$2&amp;N$1&amp;"C"&amp;$A11)-100*RTD("tos.rtd",,"OPEN_INT","."&amp;N$2&amp;N$1&amp;"P"&amp;$A11)*RTD("tos.rtd",,"LAST","."&amp;N$2&amp;N$1&amp;"P"&amp;$A11))/1000000,0),IF($A$2="PREMIUM",IFERROR((100*RTD("tos.rtd",,"VOLUME","."&amp;N$2&amp;N$1&amp;"C"&amp;$A11)*RTD("tos.rtd",,"LAST","."&amp;N$2&amp;N$1&amp;"C"&amp;$A11)-100*RTD("tos.rtd",,"VOLUME","."&amp;N$2&amp;N$1&amp;"P"&amp;$A11)*RTD("tos.rtd",,"LAST","."&amp;N$2&amp;N$1&amp;"P"&amp;$A11))/1000000,0),IF($A$2="DEX",IFERROR((100*RTD("tos.rtd",,"OPEN_INT","."&amp;N$2&amp;N$1&amp;"C"&amp;$A11)*RTD("tos.rtd",,"DELTA","."&amp;N$2&amp;N$1&amp;"C"&amp;$A11)-100*RTD("tos.rtd",,"OPEN_INT","."&amp;N$2&amp;N$1&amp;"P"&amp;$A11)*RTD("tos.rtd",,"DELTA","."&amp;N$2&amp;N$1&amp;"P"&amp;$A11))/1000,0),IF($A$2="VEX",IFERROR(($A$4*$A$4*RTD("tos.rtd",,"VOLUME","."&amp;N$2&amp;N$1&amp;"C"&amp;$A11)*RTD("tos.rtd",,"GAMMA","."&amp;N$2&amp;N$1&amp;"C"&amp;$A11)-$A$4*$A$4*RTD("tos.rtd",,"VOLUME","."&amp;N$2&amp;N$1&amp;"P"&amp;$A11)*RTD("tos.rtd",,"GAMMA","."&amp;N$2&amp;N$1&amp;"P"&amp;$A11))/1000000,0),IF($A$2="GEX",IFERROR(($A$4*$A$4*RTD("tos.rtd",,"OPEN_INT","."&amp;N$2&amp;N$1&amp;"C"&amp;$A11)*RTD("tos.rtd",,"GAMMA","."&amp;N$2&amp;N$1&amp;"C"&amp;$A11)-$A$4*$A$4*RTD("tos.rtd",,"OPEN_INT","."&amp;N$2&amp;N$1&amp;"P"&amp;$A11)*RTD("tos.rtd",,"GAMMA","."&amp;N$2&amp;N$1&amp;"P"&amp;$A11))/1000000,0),IF($A$2="SKEW",IFERROR(VALUE(IF(RTD("tos.rtd",,"IMPL_VOL","."&amp;N$2&amp;N$1&amp;"P"&amp;$A11)="N/A",0,RTD("tos.rtd",,"IMPL_VOL","."&amp;N$2&amp;N$1&amp;"P"&amp;$A11))),0)-IFERROR(VALUE(IF(RTD("tos.rtd",,"IMPL_VOL","."&amp;N$2&amp;N$1&amp;"C"&amp;$A11)="N/A",0,RTD("tos.rtd",,"IMPL_VOL","."&amp;N$2&amp;N$1&amp;"C"&amp;$A11))),0),IF($A$2="MAXPAIN",IF($A$4&gt;$A11,($A$4-$A11)*IF(RTD("tos.rtd",,"OPEN_INT","."&amp;N$2&amp;N$1&amp;"C"&amp;$A11)="N/A",0,RTD("tos.rtd",,"OPEN_INT","."&amp;N$2&amp;N$1&amp;"C"&amp;$A11)),0)+IF($A$4&lt;$A11,($A11-$A$4)*IF(RTD("tos.rtd",,"OPEN_INT","."&amp;N$2&amp;N$1&amp;"P"&amp;$A11)="N/A",0,RTD("tos.rtd",,"OPEN_INT","."&amp;N$2&amp;N$1&amp;"P"&amp;$A11)),0),IF(RTD("tos.rtd",,$A$2,"."&amp;N$2&amp;N$1&amp;"C"&amp;$A11)="N/A",0,RTD("tos.rtd",,$A$2,"."&amp;N$2&amp;N$1&amp;"C"&amp;$A11))-IF(RTD("tos.rtd",,$A$2,"."&amp;N$2&amp;N$1&amp;"P"&amp;$A11)="N/A",0,RTD("tos.rtd",,$A$2,"."&amp;N$2&amp;N$1&amp;"P"&amp;$A11)))))))))</f>
        <v>0</v>
      </c>
      <c r="O11" s="12">
        <f>IF($A$2="PREMIUM_OI",IFERROR((100*RTD("tos.rtd",,"OPEN_INT","."&amp;O$2&amp;O$1&amp;"C"&amp;$A11)*RTD("tos.rtd",,"LAST","."&amp;O$2&amp;O$1&amp;"C"&amp;$A11)-100*RTD("tos.rtd",,"OPEN_INT","."&amp;O$2&amp;O$1&amp;"P"&amp;$A11)*RTD("tos.rtd",,"LAST","."&amp;O$2&amp;O$1&amp;"P"&amp;$A11))/1000000,0),IF($A$2="PREMIUM",IFERROR((100*RTD("tos.rtd",,"VOLUME","."&amp;O$2&amp;O$1&amp;"C"&amp;$A11)*RTD("tos.rtd",,"LAST","."&amp;O$2&amp;O$1&amp;"C"&amp;$A11)-100*RTD("tos.rtd",,"VOLUME","."&amp;O$2&amp;O$1&amp;"P"&amp;$A11)*RTD("tos.rtd",,"LAST","."&amp;O$2&amp;O$1&amp;"P"&amp;$A11))/1000000,0),IF($A$2="DEX",IFERROR((100*RTD("tos.rtd",,"OPEN_INT","."&amp;O$2&amp;O$1&amp;"C"&amp;$A11)*RTD("tos.rtd",,"DELTA","."&amp;O$2&amp;O$1&amp;"C"&amp;$A11)-100*RTD("tos.rtd",,"OPEN_INT","."&amp;O$2&amp;O$1&amp;"P"&amp;$A11)*RTD("tos.rtd",,"DELTA","."&amp;O$2&amp;O$1&amp;"P"&amp;$A11))/1000,0),IF($A$2="VEX",IFERROR(($A$4*$A$4*RTD("tos.rtd",,"VOLUME","."&amp;O$2&amp;O$1&amp;"C"&amp;$A11)*RTD("tos.rtd",,"GAMMA","."&amp;O$2&amp;O$1&amp;"C"&amp;$A11)-$A$4*$A$4*RTD("tos.rtd",,"VOLUME","."&amp;O$2&amp;O$1&amp;"P"&amp;$A11)*RTD("tos.rtd",,"GAMMA","."&amp;O$2&amp;O$1&amp;"P"&amp;$A11))/1000000,0),IF($A$2="GEX",IFERROR(($A$4*$A$4*RTD("tos.rtd",,"OPEN_INT","."&amp;O$2&amp;O$1&amp;"C"&amp;$A11)*RTD("tos.rtd",,"GAMMA","."&amp;O$2&amp;O$1&amp;"C"&amp;$A11)-$A$4*$A$4*RTD("tos.rtd",,"OPEN_INT","."&amp;O$2&amp;O$1&amp;"P"&amp;$A11)*RTD("tos.rtd",,"GAMMA","."&amp;O$2&amp;O$1&amp;"P"&amp;$A11))/1000000,0),IF($A$2="SKEW",IFERROR(VALUE(IF(RTD("tos.rtd",,"IMPL_VOL","."&amp;O$2&amp;O$1&amp;"P"&amp;$A11)="N/A",0,RTD("tos.rtd",,"IMPL_VOL","."&amp;O$2&amp;O$1&amp;"P"&amp;$A11))),0)-IFERROR(VALUE(IF(RTD("tos.rtd",,"IMPL_VOL","."&amp;O$2&amp;O$1&amp;"C"&amp;$A11)="N/A",0,RTD("tos.rtd",,"IMPL_VOL","."&amp;O$2&amp;O$1&amp;"C"&amp;$A11))),0),IF($A$2="MAXPAIN",IF($A$4&gt;$A11,($A$4-$A11)*IF(RTD("tos.rtd",,"OPEN_INT","."&amp;O$2&amp;O$1&amp;"C"&amp;$A11)="N/A",0,RTD("tos.rtd",,"OPEN_INT","."&amp;O$2&amp;O$1&amp;"C"&amp;$A11)),0)+IF($A$4&lt;$A11,($A11-$A$4)*IF(RTD("tos.rtd",,"OPEN_INT","."&amp;O$2&amp;O$1&amp;"P"&amp;$A11)="N/A",0,RTD("tos.rtd",,"OPEN_INT","."&amp;O$2&amp;O$1&amp;"P"&amp;$A11)),0),IF(RTD("tos.rtd",,$A$2,"."&amp;O$2&amp;O$1&amp;"C"&amp;$A11)="N/A",0,RTD("tos.rtd",,$A$2,"."&amp;O$2&amp;O$1&amp;"C"&amp;$A11))-IF(RTD("tos.rtd",,$A$2,"."&amp;O$2&amp;O$1&amp;"P"&amp;$A11)="N/A",0,RTD("tos.rtd",,$A$2,"."&amp;O$2&amp;O$1&amp;"P"&amp;$A11)))))))))</f>
        <v>0</v>
      </c>
      <c r="P11" s="12">
        <f>IF($A$2="PREMIUM_OI",IFERROR((100*RTD("tos.rtd",,"OPEN_INT","."&amp;P$2&amp;P$1&amp;"C"&amp;$A11)*RTD("tos.rtd",,"LAST","."&amp;P$2&amp;P$1&amp;"C"&amp;$A11)-100*RTD("tos.rtd",,"OPEN_INT","."&amp;P$2&amp;P$1&amp;"P"&amp;$A11)*RTD("tos.rtd",,"LAST","."&amp;P$2&amp;P$1&amp;"P"&amp;$A11))/1000000,0),IF($A$2="PREMIUM",IFERROR((100*RTD("tos.rtd",,"VOLUME","."&amp;P$2&amp;P$1&amp;"C"&amp;$A11)*RTD("tos.rtd",,"LAST","."&amp;P$2&amp;P$1&amp;"C"&amp;$A11)-100*RTD("tos.rtd",,"VOLUME","."&amp;P$2&amp;P$1&amp;"P"&amp;$A11)*RTD("tos.rtd",,"LAST","."&amp;P$2&amp;P$1&amp;"P"&amp;$A11))/1000000,0),IF($A$2="DEX",IFERROR((100*RTD("tos.rtd",,"OPEN_INT","."&amp;P$2&amp;P$1&amp;"C"&amp;$A11)*RTD("tos.rtd",,"DELTA","."&amp;P$2&amp;P$1&amp;"C"&amp;$A11)-100*RTD("tos.rtd",,"OPEN_INT","."&amp;P$2&amp;P$1&amp;"P"&amp;$A11)*RTD("tos.rtd",,"DELTA","."&amp;P$2&amp;P$1&amp;"P"&amp;$A11))/1000,0),IF($A$2="VEX",IFERROR(($A$4*$A$4*RTD("tos.rtd",,"VOLUME","."&amp;P$2&amp;P$1&amp;"C"&amp;$A11)*RTD("tos.rtd",,"GAMMA","."&amp;P$2&amp;P$1&amp;"C"&amp;$A11)-$A$4*$A$4*RTD("tos.rtd",,"VOLUME","."&amp;P$2&amp;P$1&amp;"P"&amp;$A11)*RTD("tos.rtd",,"GAMMA","."&amp;P$2&amp;P$1&amp;"P"&amp;$A11))/1000000,0),IF($A$2="GEX",IFERROR(($A$4*$A$4*RTD("tos.rtd",,"OPEN_INT","."&amp;P$2&amp;P$1&amp;"C"&amp;$A11)*RTD("tos.rtd",,"GAMMA","."&amp;P$2&amp;P$1&amp;"C"&amp;$A11)-$A$4*$A$4*RTD("tos.rtd",,"OPEN_INT","."&amp;P$2&amp;P$1&amp;"P"&amp;$A11)*RTD("tos.rtd",,"GAMMA","."&amp;P$2&amp;P$1&amp;"P"&amp;$A11))/1000000,0),IF($A$2="SKEW",IFERROR(VALUE(IF(RTD("tos.rtd",,"IMPL_VOL","."&amp;P$2&amp;P$1&amp;"P"&amp;$A11)="N/A",0,RTD("tos.rtd",,"IMPL_VOL","."&amp;P$2&amp;P$1&amp;"P"&amp;$A11))),0)-IFERROR(VALUE(IF(RTD("tos.rtd",,"IMPL_VOL","."&amp;P$2&amp;P$1&amp;"C"&amp;$A11)="N/A",0,RTD("tos.rtd",,"IMPL_VOL","."&amp;P$2&amp;P$1&amp;"C"&amp;$A11))),0),IF($A$2="MAXPAIN",IF($A$4&gt;$A11,($A$4-$A11)*IF(RTD("tos.rtd",,"OPEN_INT","."&amp;P$2&amp;P$1&amp;"C"&amp;$A11)="N/A",0,RTD("tos.rtd",,"OPEN_INT","."&amp;P$2&amp;P$1&amp;"C"&amp;$A11)),0)+IF($A$4&lt;$A11,($A11-$A$4)*IF(RTD("tos.rtd",,"OPEN_INT","."&amp;P$2&amp;P$1&amp;"P"&amp;$A11)="N/A",0,RTD("tos.rtd",,"OPEN_INT","."&amp;P$2&amp;P$1&amp;"P"&amp;$A11)),0),IF(RTD("tos.rtd",,$A$2,"."&amp;P$2&amp;P$1&amp;"C"&amp;$A11)="N/A",0,RTD("tos.rtd",,$A$2,"."&amp;P$2&amp;P$1&amp;"C"&amp;$A11))-IF(RTD("tos.rtd",,$A$2,"."&amp;P$2&amp;P$1&amp;"P"&amp;$A11)="N/A",0,RTD("tos.rtd",,$A$2,"."&amp;P$2&amp;P$1&amp;"P"&amp;$A11)))))))))</f>
        <v>0</v>
      </c>
      <c r="Q11" s="12">
        <f>IF($A$2="PREMIUM_OI",IFERROR((100*RTD("tos.rtd",,"OPEN_INT","."&amp;Q$2&amp;Q$1&amp;"C"&amp;$A11)*RTD("tos.rtd",,"LAST","."&amp;Q$2&amp;Q$1&amp;"C"&amp;$A11)-100*RTD("tos.rtd",,"OPEN_INT","."&amp;Q$2&amp;Q$1&amp;"P"&amp;$A11)*RTD("tos.rtd",,"LAST","."&amp;Q$2&amp;Q$1&amp;"P"&amp;$A11))/1000000,0),IF($A$2="PREMIUM",IFERROR((100*RTD("tos.rtd",,"VOLUME","."&amp;Q$2&amp;Q$1&amp;"C"&amp;$A11)*RTD("tos.rtd",,"LAST","."&amp;Q$2&amp;Q$1&amp;"C"&amp;$A11)-100*RTD("tos.rtd",,"VOLUME","."&amp;Q$2&amp;Q$1&amp;"P"&amp;$A11)*RTD("tos.rtd",,"LAST","."&amp;Q$2&amp;Q$1&amp;"P"&amp;$A11))/1000000,0),IF($A$2="DEX",IFERROR((100*RTD("tos.rtd",,"OPEN_INT","."&amp;Q$2&amp;Q$1&amp;"C"&amp;$A11)*RTD("tos.rtd",,"DELTA","."&amp;Q$2&amp;Q$1&amp;"C"&amp;$A11)-100*RTD("tos.rtd",,"OPEN_INT","."&amp;Q$2&amp;Q$1&amp;"P"&amp;$A11)*RTD("tos.rtd",,"DELTA","."&amp;Q$2&amp;Q$1&amp;"P"&amp;$A11))/1000,0),IF($A$2="VEX",IFERROR(($A$4*$A$4*RTD("tos.rtd",,"VOLUME","."&amp;Q$2&amp;Q$1&amp;"C"&amp;$A11)*RTD("tos.rtd",,"GAMMA","."&amp;Q$2&amp;Q$1&amp;"C"&amp;$A11)-$A$4*$A$4*RTD("tos.rtd",,"VOLUME","."&amp;Q$2&amp;Q$1&amp;"P"&amp;$A11)*RTD("tos.rtd",,"GAMMA","."&amp;Q$2&amp;Q$1&amp;"P"&amp;$A11))/1000000,0),IF($A$2="GEX",IFERROR(($A$4*$A$4*RTD("tos.rtd",,"OPEN_INT","."&amp;Q$2&amp;Q$1&amp;"C"&amp;$A11)*RTD("tos.rtd",,"GAMMA","."&amp;Q$2&amp;Q$1&amp;"C"&amp;$A11)-$A$4*$A$4*RTD("tos.rtd",,"OPEN_INT","."&amp;Q$2&amp;Q$1&amp;"P"&amp;$A11)*RTD("tos.rtd",,"GAMMA","."&amp;Q$2&amp;Q$1&amp;"P"&amp;$A11))/1000000,0),IF($A$2="SKEW",IFERROR(VALUE(IF(RTD("tos.rtd",,"IMPL_VOL","."&amp;Q$2&amp;Q$1&amp;"P"&amp;$A11)="N/A",0,RTD("tos.rtd",,"IMPL_VOL","."&amp;Q$2&amp;Q$1&amp;"P"&amp;$A11))),0)-IFERROR(VALUE(IF(RTD("tos.rtd",,"IMPL_VOL","."&amp;Q$2&amp;Q$1&amp;"C"&amp;$A11)="N/A",0,RTD("tos.rtd",,"IMPL_VOL","."&amp;Q$2&amp;Q$1&amp;"C"&amp;$A11))),0),IF($A$2="MAXPAIN",IF($A$4&gt;$A11,($A$4-$A11)*IF(RTD("tos.rtd",,"OPEN_INT","."&amp;Q$2&amp;Q$1&amp;"C"&amp;$A11)="N/A",0,RTD("tos.rtd",,"OPEN_INT","."&amp;Q$2&amp;Q$1&amp;"C"&amp;$A11)),0)+IF($A$4&lt;$A11,($A11-$A$4)*IF(RTD("tos.rtd",,"OPEN_INT","."&amp;Q$2&amp;Q$1&amp;"P"&amp;$A11)="N/A",0,RTD("tos.rtd",,"OPEN_INT","."&amp;Q$2&amp;Q$1&amp;"P"&amp;$A11)),0),IF(RTD("tos.rtd",,$A$2,"."&amp;Q$2&amp;Q$1&amp;"C"&amp;$A11)="N/A",0,RTD("tos.rtd",,$A$2,"."&amp;Q$2&amp;Q$1&amp;"C"&amp;$A11))-IF(RTD("tos.rtd",,$A$2,"."&amp;Q$2&amp;Q$1&amp;"P"&amp;$A11)="N/A",0,RTD("tos.rtd",,$A$2,"."&amp;Q$2&amp;Q$1&amp;"P"&amp;$A11)))))))))</f>
        <v>0</v>
      </c>
      <c r="R11" s="12">
        <f>IF($A$2="PREMIUM_OI",IFERROR((100*RTD("tos.rtd",,"OPEN_INT","."&amp;R$2&amp;R$1&amp;"C"&amp;$A11)*RTD("tos.rtd",,"LAST","."&amp;R$2&amp;R$1&amp;"C"&amp;$A11)-100*RTD("tos.rtd",,"OPEN_INT","."&amp;R$2&amp;R$1&amp;"P"&amp;$A11)*RTD("tos.rtd",,"LAST","."&amp;R$2&amp;R$1&amp;"P"&amp;$A11))/1000000,0),IF($A$2="PREMIUM",IFERROR((100*RTD("tos.rtd",,"VOLUME","."&amp;R$2&amp;R$1&amp;"C"&amp;$A11)*RTD("tos.rtd",,"LAST","."&amp;R$2&amp;R$1&amp;"C"&amp;$A11)-100*RTD("tos.rtd",,"VOLUME","."&amp;R$2&amp;R$1&amp;"P"&amp;$A11)*RTD("tos.rtd",,"LAST","."&amp;R$2&amp;R$1&amp;"P"&amp;$A11))/1000000,0),IF($A$2="DEX",IFERROR((100*RTD("tos.rtd",,"OPEN_INT","."&amp;R$2&amp;R$1&amp;"C"&amp;$A11)*RTD("tos.rtd",,"DELTA","."&amp;R$2&amp;R$1&amp;"C"&amp;$A11)-100*RTD("tos.rtd",,"OPEN_INT","."&amp;R$2&amp;R$1&amp;"P"&amp;$A11)*RTD("tos.rtd",,"DELTA","."&amp;R$2&amp;R$1&amp;"P"&amp;$A11))/1000,0),IF($A$2="VEX",IFERROR(($A$4*$A$4*RTD("tos.rtd",,"VOLUME","."&amp;R$2&amp;R$1&amp;"C"&amp;$A11)*RTD("tos.rtd",,"GAMMA","."&amp;R$2&amp;R$1&amp;"C"&amp;$A11)-$A$4*$A$4*RTD("tos.rtd",,"VOLUME","."&amp;R$2&amp;R$1&amp;"P"&amp;$A11)*RTD("tos.rtd",,"GAMMA","."&amp;R$2&amp;R$1&amp;"P"&amp;$A11))/1000000,0),IF($A$2="GEX",IFERROR(($A$4*$A$4*RTD("tos.rtd",,"OPEN_INT","."&amp;R$2&amp;R$1&amp;"C"&amp;$A11)*RTD("tos.rtd",,"GAMMA","."&amp;R$2&amp;R$1&amp;"C"&amp;$A11)-$A$4*$A$4*RTD("tos.rtd",,"OPEN_INT","."&amp;R$2&amp;R$1&amp;"P"&amp;$A11)*RTD("tos.rtd",,"GAMMA","."&amp;R$2&amp;R$1&amp;"P"&amp;$A11))/1000000,0),IF($A$2="SKEW",IFERROR(VALUE(IF(RTD("tos.rtd",,"IMPL_VOL","."&amp;R$2&amp;R$1&amp;"P"&amp;$A11)="N/A",0,RTD("tos.rtd",,"IMPL_VOL","."&amp;R$2&amp;R$1&amp;"P"&amp;$A11))),0)-IFERROR(VALUE(IF(RTD("tos.rtd",,"IMPL_VOL","."&amp;R$2&amp;R$1&amp;"C"&amp;$A11)="N/A",0,RTD("tos.rtd",,"IMPL_VOL","."&amp;R$2&amp;R$1&amp;"C"&amp;$A11))),0),IF($A$2="MAXPAIN",IF($A$4&gt;$A11,($A$4-$A11)*IF(RTD("tos.rtd",,"OPEN_INT","."&amp;R$2&amp;R$1&amp;"C"&amp;$A11)="N/A",0,RTD("tos.rtd",,"OPEN_INT","."&amp;R$2&amp;R$1&amp;"C"&amp;$A11)),0)+IF($A$4&lt;$A11,($A11-$A$4)*IF(RTD("tos.rtd",,"OPEN_INT","."&amp;R$2&amp;R$1&amp;"P"&amp;$A11)="N/A",0,RTD("tos.rtd",,"OPEN_INT","."&amp;R$2&amp;R$1&amp;"P"&amp;$A11)),0),IF(RTD("tos.rtd",,$A$2,"."&amp;R$2&amp;R$1&amp;"C"&amp;$A11)="N/A",0,RTD("tos.rtd",,$A$2,"."&amp;R$2&amp;R$1&amp;"C"&amp;$A11))-IF(RTD("tos.rtd",,$A$2,"."&amp;R$2&amp;R$1&amp;"P"&amp;$A11)="N/A",0,RTD("tos.rtd",,$A$2,"."&amp;R$2&amp;R$1&amp;"P"&amp;$A11)))))))))</f>
        <v>0</v>
      </c>
      <c r="S11" s="12">
        <f>IF($A$2="PREMIUM_OI",IFERROR((100*RTD("tos.rtd",,"OPEN_INT","."&amp;S$2&amp;S$1&amp;"C"&amp;$A11)*RTD("tos.rtd",,"LAST","."&amp;S$2&amp;S$1&amp;"C"&amp;$A11)-100*RTD("tos.rtd",,"OPEN_INT","."&amp;S$2&amp;S$1&amp;"P"&amp;$A11)*RTD("tos.rtd",,"LAST","."&amp;S$2&amp;S$1&amp;"P"&amp;$A11))/1000000,0),IF($A$2="PREMIUM",IFERROR((100*RTD("tos.rtd",,"VOLUME","."&amp;S$2&amp;S$1&amp;"C"&amp;$A11)*RTD("tos.rtd",,"LAST","."&amp;S$2&amp;S$1&amp;"C"&amp;$A11)-100*RTD("tos.rtd",,"VOLUME","."&amp;S$2&amp;S$1&amp;"P"&amp;$A11)*RTD("tos.rtd",,"LAST","."&amp;S$2&amp;S$1&amp;"P"&amp;$A11))/1000000,0),IF($A$2="DEX",IFERROR((100*RTD("tos.rtd",,"OPEN_INT","."&amp;S$2&amp;S$1&amp;"C"&amp;$A11)*RTD("tos.rtd",,"DELTA","."&amp;S$2&amp;S$1&amp;"C"&amp;$A11)-100*RTD("tos.rtd",,"OPEN_INT","."&amp;S$2&amp;S$1&amp;"P"&amp;$A11)*RTD("tos.rtd",,"DELTA","."&amp;S$2&amp;S$1&amp;"P"&amp;$A11))/1000,0),IF($A$2="VEX",IFERROR(($A$4*$A$4*RTD("tos.rtd",,"VOLUME","."&amp;S$2&amp;S$1&amp;"C"&amp;$A11)*RTD("tos.rtd",,"GAMMA","."&amp;S$2&amp;S$1&amp;"C"&amp;$A11)-$A$4*$A$4*RTD("tos.rtd",,"VOLUME","."&amp;S$2&amp;S$1&amp;"P"&amp;$A11)*RTD("tos.rtd",,"GAMMA","."&amp;S$2&amp;S$1&amp;"P"&amp;$A11))/1000000,0),IF($A$2="GEX",IFERROR(($A$4*$A$4*RTD("tos.rtd",,"OPEN_INT","."&amp;S$2&amp;S$1&amp;"C"&amp;$A11)*RTD("tos.rtd",,"GAMMA","."&amp;S$2&amp;S$1&amp;"C"&amp;$A11)-$A$4*$A$4*RTD("tos.rtd",,"OPEN_INT","."&amp;S$2&amp;S$1&amp;"P"&amp;$A11)*RTD("tos.rtd",,"GAMMA","."&amp;S$2&amp;S$1&amp;"P"&amp;$A11))/1000000,0),IF($A$2="SKEW",IFERROR(VALUE(IF(RTD("tos.rtd",,"IMPL_VOL","."&amp;S$2&amp;S$1&amp;"P"&amp;$A11)="N/A",0,RTD("tos.rtd",,"IMPL_VOL","."&amp;S$2&amp;S$1&amp;"P"&amp;$A11))),0)-IFERROR(VALUE(IF(RTD("tos.rtd",,"IMPL_VOL","."&amp;S$2&amp;S$1&amp;"C"&amp;$A11)="N/A",0,RTD("tos.rtd",,"IMPL_VOL","."&amp;S$2&amp;S$1&amp;"C"&amp;$A11))),0),IF($A$2="MAXPAIN",IF($A$4&gt;$A11,($A$4-$A11)*IF(RTD("tos.rtd",,"OPEN_INT","."&amp;S$2&amp;S$1&amp;"C"&amp;$A11)="N/A",0,RTD("tos.rtd",,"OPEN_INT","."&amp;S$2&amp;S$1&amp;"C"&amp;$A11)),0)+IF($A$4&lt;$A11,($A11-$A$4)*IF(RTD("tos.rtd",,"OPEN_INT","."&amp;S$2&amp;S$1&amp;"P"&amp;$A11)="N/A",0,RTD("tos.rtd",,"OPEN_INT","."&amp;S$2&amp;S$1&amp;"P"&amp;$A11)),0),IF(RTD("tos.rtd",,$A$2,"."&amp;S$2&amp;S$1&amp;"C"&amp;$A11)="N/A",0,RTD("tos.rtd",,$A$2,"."&amp;S$2&amp;S$1&amp;"C"&amp;$A11))-IF(RTD("tos.rtd",,$A$2,"."&amp;S$2&amp;S$1&amp;"P"&amp;$A11)="N/A",0,RTD("tos.rtd",,$A$2,"."&amp;S$2&amp;S$1&amp;"P"&amp;$A11)))))))))</f>
        <v>0</v>
      </c>
      <c r="T11" s="12">
        <f>IF($A$2="PREMIUM_OI",IFERROR((100*RTD("tos.rtd",,"OPEN_INT","."&amp;T$2&amp;T$1&amp;"C"&amp;$A11)*RTD("tos.rtd",,"LAST","."&amp;T$2&amp;T$1&amp;"C"&amp;$A11)-100*RTD("tos.rtd",,"OPEN_INT","."&amp;T$2&amp;T$1&amp;"P"&amp;$A11)*RTD("tos.rtd",,"LAST","."&amp;T$2&amp;T$1&amp;"P"&amp;$A11))/1000000,0),IF($A$2="PREMIUM",IFERROR((100*RTD("tos.rtd",,"VOLUME","."&amp;T$2&amp;T$1&amp;"C"&amp;$A11)*RTD("tos.rtd",,"LAST","."&amp;T$2&amp;T$1&amp;"C"&amp;$A11)-100*RTD("tos.rtd",,"VOLUME","."&amp;T$2&amp;T$1&amp;"P"&amp;$A11)*RTD("tos.rtd",,"LAST","."&amp;T$2&amp;T$1&amp;"P"&amp;$A11))/1000000,0),IF($A$2="DEX",IFERROR((100*RTD("tos.rtd",,"OPEN_INT","."&amp;T$2&amp;T$1&amp;"C"&amp;$A11)*RTD("tos.rtd",,"DELTA","."&amp;T$2&amp;T$1&amp;"C"&amp;$A11)-100*RTD("tos.rtd",,"OPEN_INT","."&amp;T$2&amp;T$1&amp;"P"&amp;$A11)*RTD("tos.rtd",,"DELTA","."&amp;T$2&amp;T$1&amp;"P"&amp;$A11))/1000,0),IF($A$2="VEX",IFERROR(($A$4*$A$4*RTD("tos.rtd",,"VOLUME","."&amp;T$2&amp;T$1&amp;"C"&amp;$A11)*RTD("tos.rtd",,"GAMMA","."&amp;T$2&amp;T$1&amp;"C"&amp;$A11)-$A$4*$A$4*RTD("tos.rtd",,"VOLUME","."&amp;T$2&amp;T$1&amp;"P"&amp;$A11)*RTD("tos.rtd",,"GAMMA","."&amp;T$2&amp;T$1&amp;"P"&amp;$A11))/1000000,0),IF($A$2="GEX",IFERROR(($A$4*$A$4*RTD("tos.rtd",,"OPEN_INT","."&amp;T$2&amp;T$1&amp;"C"&amp;$A11)*RTD("tos.rtd",,"GAMMA","."&amp;T$2&amp;T$1&amp;"C"&amp;$A11)-$A$4*$A$4*RTD("tos.rtd",,"OPEN_INT","."&amp;T$2&amp;T$1&amp;"P"&amp;$A11)*RTD("tos.rtd",,"GAMMA","."&amp;T$2&amp;T$1&amp;"P"&amp;$A11))/1000000,0),IF($A$2="SKEW",IFERROR(VALUE(IF(RTD("tos.rtd",,"IMPL_VOL","."&amp;T$2&amp;T$1&amp;"P"&amp;$A11)="N/A",0,RTD("tos.rtd",,"IMPL_VOL","."&amp;T$2&amp;T$1&amp;"P"&amp;$A11))),0)-IFERROR(VALUE(IF(RTD("tos.rtd",,"IMPL_VOL","."&amp;T$2&amp;T$1&amp;"C"&amp;$A11)="N/A",0,RTD("tos.rtd",,"IMPL_VOL","."&amp;T$2&amp;T$1&amp;"C"&amp;$A11))),0),IF($A$2="MAXPAIN",IF($A$4&gt;$A11,($A$4-$A11)*IF(RTD("tos.rtd",,"OPEN_INT","."&amp;T$2&amp;T$1&amp;"C"&amp;$A11)="N/A",0,RTD("tos.rtd",,"OPEN_INT","."&amp;T$2&amp;T$1&amp;"C"&amp;$A11)),0)+IF($A$4&lt;$A11,($A11-$A$4)*IF(RTD("tos.rtd",,"OPEN_INT","."&amp;T$2&amp;T$1&amp;"P"&amp;$A11)="N/A",0,RTD("tos.rtd",,"OPEN_INT","."&amp;T$2&amp;T$1&amp;"P"&amp;$A11)),0),IF(RTD("tos.rtd",,$A$2,"."&amp;T$2&amp;T$1&amp;"C"&amp;$A11)="N/A",0,RTD("tos.rtd",,$A$2,"."&amp;T$2&amp;T$1&amp;"C"&amp;$A11))-IF(RTD("tos.rtd",,$A$2,"."&amp;T$2&amp;T$1&amp;"P"&amp;$A11)="N/A",0,RTD("tos.rtd",,$A$2,"."&amp;T$2&amp;T$1&amp;"P"&amp;$A11)))))))))</f>
        <v>0</v>
      </c>
      <c r="U11" s="12">
        <f>IF($A$2="PREMIUM_OI",IFERROR((100*RTD("tos.rtd",,"OPEN_INT","."&amp;U$2&amp;U$1&amp;"C"&amp;$A11)*RTD("tos.rtd",,"LAST","."&amp;U$2&amp;U$1&amp;"C"&amp;$A11)-100*RTD("tos.rtd",,"OPEN_INT","."&amp;U$2&amp;U$1&amp;"P"&amp;$A11)*RTD("tos.rtd",,"LAST","."&amp;U$2&amp;U$1&amp;"P"&amp;$A11))/1000000,0),IF($A$2="PREMIUM",IFERROR((100*RTD("tos.rtd",,"VOLUME","."&amp;U$2&amp;U$1&amp;"C"&amp;$A11)*RTD("tos.rtd",,"LAST","."&amp;U$2&amp;U$1&amp;"C"&amp;$A11)-100*RTD("tos.rtd",,"VOLUME","."&amp;U$2&amp;U$1&amp;"P"&amp;$A11)*RTD("tos.rtd",,"LAST","."&amp;U$2&amp;U$1&amp;"P"&amp;$A11))/1000000,0),IF($A$2="DEX",IFERROR((100*RTD("tos.rtd",,"OPEN_INT","."&amp;U$2&amp;U$1&amp;"C"&amp;$A11)*RTD("tos.rtd",,"DELTA","."&amp;U$2&amp;U$1&amp;"C"&amp;$A11)-100*RTD("tos.rtd",,"OPEN_INT","."&amp;U$2&amp;U$1&amp;"P"&amp;$A11)*RTD("tos.rtd",,"DELTA","."&amp;U$2&amp;U$1&amp;"P"&amp;$A11))/1000,0),IF($A$2="VEX",IFERROR(($A$4*$A$4*RTD("tos.rtd",,"VOLUME","."&amp;U$2&amp;U$1&amp;"C"&amp;$A11)*RTD("tos.rtd",,"GAMMA","."&amp;U$2&amp;U$1&amp;"C"&amp;$A11)-$A$4*$A$4*RTD("tos.rtd",,"VOLUME","."&amp;U$2&amp;U$1&amp;"P"&amp;$A11)*RTD("tos.rtd",,"GAMMA","."&amp;U$2&amp;U$1&amp;"P"&amp;$A11))/1000000,0),IF($A$2="GEX",IFERROR(($A$4*$A$4*RTD("tos.rtd",,"OPEN_INT","."&amp;U$2&amp;U$1&amp;"C"&amp;$A11)*RTD("tos.rtd",,"GAMMA","."&amp;U$2&amp;U$1&amp;"C"&amp;$A11)-$A$4*$A$4*RTD("tos.rtd",,"OPEN_INT","."&amp;U$2&amp;U$1&amp;"P"&amp;$A11)*RTD("tos.rtd",,"GAMMA","."&amp;U$2&amp;U$1&amp;"P"&amp;$A11))/1000000,0),IF($A$2="SKEW",IFERROR(VALUE(IF(RTD("tos.rtd",,"IMPL_VOL","."&amp;U$2&amp;U$1&amp;"P"&amp;$A11)="N/A",0,RTD("tos.rtd",,"IMPL_VOL","."&amp;U$2&amp;U$1&amp;"P"&amp;$A11))),0)-IFERROR(VALUE(IF(RTD("tos.rtd",,"IMPL_VOL","."&amp;U$2&amp;U$1&amp;"C"&amp;$A11)="N/A",0,RTD("tos.rtd",,"IMPL_VOL","."&amp;U$2&amp;U$1&amp;"C"&amp;$A11))),0),IF($A$2="MAXPAIN",IF($A$4&gt;$A11,($A$4-$A11)*IF(RTD("tos.rtd",,"OPEN_INT","."&amp;U$2&amp;U$1&amp;"C"&amp;$A11)="N/A",0,RTD("tos.rtd",,"OPEN_INT","."&amp;U$2&amp;U$1&amp;"C"&amp;$A11)),0)+IF($A$4&lt;$A11,($A11-$A$4)*IF(RTD("tos.rtd",,"OPEN_INT","."&amp;U$2&amp;U$1&amp;"P"&amp;$A11)="N/A",0,RTD("tos.rtd",,"OPEN_INT","."&amp;U$2&amp;U$1&amp;"P"&amp;$A11)),0),IF(RTD("tos.rtd",,$A$2,"."&amp;U$2&amp;U$1&amp;"C"&amp;$A11)="N/A",0,RTD("tos.rtd",,$A$2,"."&amp;U$2&amp;U$1&amp;"C"&amp;$A11))-IF(RTD("tos.rtd",,$A$2,"."&amp;U$2&amp;U$1&amp;"P"&amp;$A11)="N/A",0,RTD("tos.rtd",,$A$2,"."&amp;U$2&amp;U$1&amp;"P"&amp;$A11)))))))))</f>
        <v>0</v>
      </c>
      <c r="V11" s="12">
        <f>IF($A$2="PREMIUM_OI",IFERROR((100*RTD("tos.rtd",,"OPEN_INT","."&amp;V$2&amp;V$1&amp;"C"&amp;$A11)*RTD("tos.rtd",,"LAST","."&amp;V$2&amp;V$1&amp;"C"&amp;$A11)-100*RTD("tos.rtd",,"OPEN_INT","."&amp;V$2&amp;V$1&amp;"P"&amp;$A11)*RTD("tos.rtd",,"LAST","."&amp;V$2&amp;V$1&amp;"P"&amp;$A11))/1000000,0),IF($A$2="PREMIUM",IFERROR((100*RTD("tos.rtd",,"VOLUME","."&amp;V$2&amp;V$1&amp;"C"&amp;$A11)*RTD("tos.rtd",,"LAST","."&amp;V$2&amp;V$1&amp;"C"&amp;$A11)-100*RTD("tos.rtd",,"VOLUME","."&amp;V$2&amp;V$1&amp;"P"&amp;$A11)*RTD("tos.rtd",,"LAST","."&amp;V$2&amp;V$1&amp;"P"&amp;$A11))/1000000,0),IF($A$2="DEX",IFERROR((100*RTD("tos.rtd",,"OPEN_INT","."&amp;V$2&amp;V$1&amp;"C"&amp;$A11)*RTD("tos.rtd",,"DELTA","."&amp;V$2&amp;V$1&amp;"C"&amp;$A11)-100*RTD("tos.rtd",,"OPEN_INT","."&amp;V$2&amp;V$1&amp;"P"&amp;$A11)*RTD("tos.rtd",,"DELTA","."&amp;V$2&amp;V$1&amp;"P"&amp;$A11))/1000,0),IF($A$2="VEX",IFERROR(($A$4*$A$4*RTD("tos.rtd",,"VOLUME","."&amp;V$2&amp;V$1&amp;"C"&amp;$A11)*RTD("tos.rtd",,"GAMMA","."&amp;V$2&amp;V$1&amp;"C"&amp;$A11)-$A$4*$A$4*RTD("tos.rtd",,"VOLUME","."&amp;V$2&amp;V$1&amp;"P"&amp;$A11)*RTD("tos.rtd",,"GAMMA","."&amp;V$2&amp;V$1&amp;"P"&amp;$A11))/1000000,0),IF($A$2="GEX",IFERROR(($A$4*$A$4*RTD("tos.rtd",,"OPEN_INT","."&amp;V$2&amp;V$1&amp;"C"&amp;$A11)*RTD("tos.rtd",,"GAMMA","."&amp;V$2&amp;V$1&amp;"C"&amp;$A11)-$A$4*$A$4*RTD("tos.rtd",,"OPEN_INT","."&amp;V$2&amp;V$1&amp;"P"&amp;$A11)*RTD("tos.rtd",,"GAMMA","."&amp;V$2&amp;V$1&amp;"P"&amp;$A11))/1000000,0),IF($A$2="SKEW",IFERROR(VALUE(IF(RTD("tos.rtd",,"IMPL_VOL","."&amp;V$2&amp;V$1&amp;"P"&amp;$A11)="N/A",0,RTD("tos.rtd",,"IMPL_VOL","."&amp;V$2&amp;V$1&amp;"P"&amp;$A11))),0)-IFERROR(VALUE(IF(RTD("tos.rtd",,"IMPL_VOL","."&amp;V$2&amp;V$1&amp;"C"&amp;$A11)="N/A",0,RTD("tos.rtd",,"IMPL_VOL","."&amp;V$2&amp;V$1&amp;"C"&amp;$A11))),0),IF($A$2="MAXPAIN",IF($A$4&gt;$A11,($A$4-$A11)*IF(RTD("tos.rtd",,"OPEN_INT","."&amp;V$2&amp;V$1&amp;"C"&amp;$A11)="N/A",0,RTD("tos.rtd",,"OPEN_INT","."&amp;V$2&amp;V$1&amp;"C"&amp;$A11)),0)+IF($A$4&lt;$A11,($A11-$A$4)*IF(RTD("tos.rtd",,"OPEN_INT","."&amp;V$2&amp;V$1&amp;"P"&amp;$A11)="N/A",0,RTD("tos.rtd",,"OPEN_INT","."&amp;V$2&amp;V$1&amp;"P"&amp;$A11)),0),IF(RTD("tos.rtd",,$A$2,"."&amp;V$2&amp;V$1&amp;"C"&amp;$A11)="N/A",0,RTD("tos.rtd",,$A$2,"."&amp;V$2&amp;V$1&amp;"C"&amp;$A11))-IF(RTD("tos.rtd",,$A$2,"."&amp;V$2&amp;V$1&amp;"P"&amp;$A11)="N/A",0,RTD("tos.rtd",,$A$2,"."&amp;V$2&amp;V$1&amp;"P"&amp;$A11)))))))))</f>
        <v>0</v>
      </c>
      <c r="W11" s="12">
        <f>IF($A$2="PREMIUM_OI",IFERROR((100*RTD("tos.rtd",,"OPEN_INT","."&amp;W$2&amp;W$1&amp;"C"&amp;$A11)*RTD("tos.rtd",,"LAST","."&amp;W$2&amp;W$1&amp;"C"&amp;$A11)-100*RTD("tos.rtd",,"OPEN_INT","."&amp;W$2&amp;W$1&amp;"P"&amp;$A11)*RTD("tos.rtd",,"LAST","."&amp;W$2&amp;W$1&amp;"P"&amp;$A11))/1000000,0),IF($A$2="PREMIUM",IFERROR((100*RTD("tos.rtd",,"VOLUME","."&amp;W$2&amp;W$1&amp;"C"&amp;$A11)*RTD("tos.rtd",,"LAST","."&amp;W$2&amp;W$1&amp;"C"&amp;$A11)-100*RTD("tos.rtd",,"VOLUME","."&amp;W$2&amp;W$1&amp;"P"&amp;$A11)*RTD("tos.rtd",,"LAST","."&amp;W$2&amp;W$1&amp;"P"&amp;$A11))/1000000,0),IF($A$2="DEX",IFERROR((100*RTD("tos.rtd",,"OPEN_INT","."&amp;W$2&amp;W$1&amp;"C"&amp;$A11)*RTD("tos.rtd",,"DELTA","."&amp;W$2&amp;W$1&amp;"C"&amp;$A11)-100*RTD("tos.rtd",,"OPEN_INT","."&amp;W$2&amp;W$1&amp;"P"&amp;$A11)*RTD("tos.rtd",,"DELTA","."&amp;W$2&amp;W$1&amp;"P"&amp;$A11))/1000,0),IF($A$2="VEX",IFERROR(($A$4*$A$4*RTD("tos.rtd",,"VOLUME","."&amp;W$2&amp;W$1&amp;"C"&amp;$A11)*RTD("tos.rtd",,"GAMMA","."&amp;W$2&amp;W$1&amp;"C"&amp;$A11)-$A$4*$A$4*RTD("tos.rtd",,"VOLUME","."&amp;W$2&amp;W$1&amp;"P"&amp;$A11)*RTD("tos.rtd",,"GAMMA","."&amp;W$2&amp;W$1&amp;"P"&amp;$A11))/1000000,0),IF($A$2="GEX",IFERROR(($A$4*$A$4*RTD("tos.rtd",,"OPEN_INT","."&amp;W$2&amp;W$1&amp;"C"&amp;$A11)*RTD("tos.rtd",,"GAMMA","."&amp;W$2&amp;W$1&amp;"C"&amp;$A11)-$A$4*$A$4*RTD("tos.rtd",,"OPEN_INT","."&amp;W$2&amp;W$1&amp;"P"&amp;$A11)*RTD("tos.rtd",,"GAMMA","."&amp;W$2&amp;W$1&amp;"P"&amp;$A11))/1000000,0),IF($A$2="SKEW",IFERROR(VALUE(IF(RTD("tos.rtd",,"IMPL_VOL","."&amp;W$2&amp;W$1&amp;"P"&amp;$A11)="N/A",0,RTD("tos.rtd",,"IMPL_VOL","."&amp;W$2&amp;W$1&amp;"P"&amp;$A11))),0)-IFERROR(VALUE(IF(RTD("tos.rtd",,"IMPL_VOL","."&amp;W$2&amp;W$1&amp;"C"&amp;$A11)="N/A",0,RTD("tos.rtd",,"IMPL_VOL","."&amp;W$2&amp;W$1&amp;"C"&amp;$A11))),0),IF($A$2="MAXPAIN",IF($A$4&gt;$A11,($A$4-$A11)*IF(RTD("tos.rtd",,"OPEN_INT","."&amp;W$2&amp;W$1&amp;"C"&amp;$A11)="N/A",0,RTD("tos.rtd",,"OPEN_INT","."&amp;W$2&amp;W$1&amp;"C"&amp;$A11)),0)+IF($A$4&lt;$A11,($A11-$A$4)*IF(RTD("tos.rtd",,"OPEN_INT","."&amp;W$2&amp;W$1&amp;"P"&amp;$A11)="N/A",0,RTD("tos.rtd",,"OPEN_INT","."&amp;W$2&amp;W$1&amp;"P"&amp;$A11)),0),IF(RTD("tos.rtd",,$A$2,"."&amp;W$2&amp;W$1&amp;"C"&amp;$A11)="N/A",0,RTD("tos.rtd",,$A$2,"."&amp;W$2&amp;W$1&amp;"C"&amp;$A11))-IF(RTD("tos.rtd",,$A$2,"."&amp;W$2&amp;W$1&amp;"P"&amp;$A11)="N/A",0,RTD("tos.rtd",,$A$2,"."&amp;W$2&amp;W$1&amp;"P"&amp;$A11)))))))))</f>
        <v>0</v>
      </c>
      <c r="X11" s="12">
        <f t="shared" ca="1" si="7"/>
        <v>0</v>
      </c>
      <c r="Y11" s="27">
        <f t="shared" ca="1" si="8"/>
        <v>0</v>
      </c>
      <c r="AA11" s="35">
        <f t="shared" si="5"/>
        <v>10</v>
      </c>
      <c r="AB11" s="8">
        <f>+IF($AJ$1,AK11,TASTYOHLC!B11)</f>
        <v>604.01</v>
      </c>
      <c r="AC11" s="8">
        <f>+IF($AJ$1,AL11,TASTYOHLC!C11)</f>
        <v>606.70000000000005</v>
      </c>
      <c r="AD11" s="8">
        <f>+IF($AJ$1,AM11,TASTYOHLC!D11)</f>
        <v>595.92999999999995</v>
      </c>
      <c r="AE11" s="8">
        <f>+IF($AJ$1,AN11,TASTYOHLC!E11)</f>
        <v>602.22</v>
      </c>
      <c r="AF11" s="8"/>
      <c r="AJ11" s="37">
        <v>45945</v>
      </c>
      <c r="AK11" s="50">
        <v>604.01</v>
      </c>
      <c r="AL11" s="50">
        <v>606.70000000000005</v>
      </c>
      <c r="AM11" s="50">
        <v>595.92999999999995</v>
      </c>
      <c r="AN11" s="50">
        <v>602.22</v>
      </c>
      <c r="AO11" s="51">
        <v>81702555</v>
      </c>
    </row>
    <row r="12" spans="1:41" s="19" customFormat="1" ht="11.1" customHeight="1" thickBot="1" x14ac:dyDescent="0.3">
      <c r="A12" s="23">
        <f t="shared" si="6"/>
        <v>16</v>
      </c>
      <c r="B12" s="14">
        <f>IF($A$2="PREMIUM_OI",IFERROR((100*RTD("tos.rtd",,"OPEN_INT","."&amp;B$2&amp;B$1&amp;"C"&amp;$A12)*RTD("tos.rtd",,"LAST","."&amp;B$2&amp;B$1&amp;"C"&amp;$A12)-100*RTD("tos.rtd",,"OPEN_INT","."&amp;B$2&amp;B$1&amp;"P"&amp;$A12)*RTD("tos.rtd",,"LAST","."&amp;B$2&amp;B$1&amp;"P"&amp;$A12))/1000000,0),IF($A$2="PREMIUM",IFERROR((100*RTD("tos.rtd",,"VOLUME","."&amp;B$2&amp;B$1&amp;"C"&amp;$A12)*RTD("tos.rtd",,"LAST","."&amp;B$2&amp;B$1&amp;"C"&amp;$A12)-100*RTD("tos.rtd",,"VOLUME","."&amp;B$2&amp;B$1&amp;"P"&amp;$A12)*RTD("tos.rtd",,"LAST","."&amp;B$2&amp;B$1&amp;"P"&amp;$A12))/1000000,0),IF($A$2="DEX",IFERROR((100*RTD("tos.rtd",,"OPEN_INT","."&amp;B$2&amp;B$1&amp;"C"&amp;$A12)*RTD("tos.rtd",,"DELTA","."&amp;B$2&amp;B$1&amp;"C"&amp;$A12)-100*RTD("tos.rtd",,"OPEN_INT","."&amp;B$2&amp;B$1&amp;"P"&amp;$A12)*RTD("tos.rtd",,"DELTA","."&amp;B$2&amp;B$1&amp;"P"&amp;$A12))/1000,0),IF($A$2="VEX",IFERROR(($A$4*$A$4*RTD("tos.rtd",,"VOLUME","."&amp;B$2&amp;B$1&amp;"C"&amp;$A12)*RTD("tos.rtd",,"GAMMA","."&amp;B$2&amp;B$1&amp;"C"&amp;$A12)-$A$4*$A$4*RTD("tos.rtd",,"VOLUME","."&amp;B$2&amp;B$1&amp;"P"&amp;$A12)*RTD("tos.rtd",,"GAMMA","."&amp;B$2&amp;B$1&amp;"P"&amp;$A12))/1000000,0),IF($A$2="GEX",IFERROR(($A$4*$A$4*RTD("tos.rtd",,"OPEN_INT","."&amp;B$2&amp;B$1&amp;"C"&amp;$A12)*RTD("tos.rtd",,"GAMMA","."&amp;B$2&amp;B$1&amp;"C"&amp;$A12)-$A$4*$A$4*RTD("tos.rtd",,"OPEN_INT","."&amp;B$2&amp;B$1&amp;"P"&amp;$A12)*RTD("tos.rtd",,"GAMMA","."&amp;B$2&amp;B$1&amp;"P"&amp;$A12))/1000000,0),IF($A$2="SKEW",IFERROR(VALUE(IF(RTD("tos.rtd",,"IMPL_VOL","."&amp;B$2&amp;B$1&amp;"P"&amp;$A12)="N/A",0,RTD("tos.rtd",,"IMPL_VOL","."&amp;B$2&amp;B$1&amp;"P"&amp;$A12))),0)-IFERROR(VALUE(IF(RTD("tos.rtd",,"IMPL_VOL","."&amp;B$2&amp;B$1&amp;"C"&amp;$A12)="N/A",0,RTD("tos.rtd",,"IMPL_VOL","."&amp;B$2&amp;B$1&amp;"C"&amp;$A12))),0),IF($A$2="MAXPAIN",IF($A$4&gt;$A12,($A$4-$A12)*IF(RTD("tos.rtd",,"OPEN_INT","."&amp;B$2&amp;B$1&amp;"C"&amp;$A12)="N/A",0,RTD("tos.rtd",,"OPEN_INT","."&amp;B$2&amp;B$1&amp;"C"&amp;$A12)),0)+IF($A$4&lt;$A12,($A12-$A$4)*IF(RTD("tos.rtd",,"OPEN_INT","."&amp;B$2&amp;B$1&amp;"P"&amp;$A12)="N/A",0,RTD("tos.rtd",,"OPEN_INT","."&amp;B$2&amp;B$1&amp;"P"&amp;$A12)),0),IF(RTD("tos.rtd",,$A$2,"."&amp;B$2&amp;B$1&amp;"C"&amp;$A12)="N/A",0,RTD("tos.rtd",,$A$2,"."&amp;B$2&amp;B$1&amp;"C"&amp;$A12))-IF(RTD("tos.rtd",,$A$2,"."&amp;B$2&amp;B$1&amp;"P"&amp;$A12)="N/A",0,RTD("tos.rtd",,$A$2,"."&amp;B$2&amp;B$1&amp;"P"&amp;$A12)))))))))</f>
        <v>0</v>
      </c>
      <c r="C12" s="12">
        <f>IF($A$2="PREMIUM_OI",IFERROR((100*RTD("tos.rtd",,"OPEN_INT","."&amp;C$2&amp;C$1&amp;"C"&amp;$A12)*RTD("tos.rtd",,"LAST","."&amp;C$2&amp;C$1&amp;"C"&amp;$A12)-100*RTD("tos.rtd",,"OPEN_INT","."&amp;C$2&amp;C$1&amp;"P"&amp;$A12)*RTD("tos.rtd",,"LAST","."&amp;C$2&amp;C$1&amp;"P"&amp;$A12))/1000000,0),IF($A$2="PREMIUM",IFERROR((100*RTD("tos.rtd",,"VOLUME","."&amp;C$2&amp;C$1&amp;"C"&amp;$A12)*RTD("tos.rtd",,"LAST","."&amp;C$2&amp;C$1&amp;"C"&amp;$A12)-100*RTD("tos.rtd",,"VOLUME","."&amp;C$2&amp;C$1&amp;"P"&amp;$A12)*RTD("tos.rtd",,"LAST","."&amp;C$2&amp;C$1&amp;"P"&amp;$A12))/1000000,0),IF($A$2="DEX",IFERROR((100*RTD("tos.rtd",,"OPEN_INT","."&amp;C$2&amp;C$1&amp;"C"&amp;$A12)*RTD("tos.rtd",,"DELTA","."&amp;C$2&amp;C$1&amp;"C"&amp;$A12)-100*RTD("tos.rtd",,"OPEN_INT","."&amp;C$2&amp;C$1&amp;"P"&amp;$A12)*RTD("tos.rtd",,"DELTA","."&amp;C$2&amp;C$1&amp;"P"&amp;$A12))/1000,0),IF($A$2="VEX",IFERROR(($A$4*$A$4*RTD("tos.rtd",,"VOLUME","."&amp;C$2&amp;C$1&amp;"C"&amp;$A12)*RTD("tos.rtd",,"GAMMA","."&amp;C$2&amp;C$1&amp;"C"&amp;$A12)-$A$4*$A$4*RTD("tos.rtd",,"VOLUME","."&amp;C$2&amp;C$1&amp;"P"&amp;$A12)*RTD("tos.rtd",,"GAMMA","."&amp;C$2&amp;C$1&amp;"P"&amp;$A12))/1000000,0),IF($A$2="GEX",IFERROR(($A$4*$A$4*RTD("tos.rtd",,"OPEN_INT","."&amp;C$2&amp;C$1&amp;"C"&amp;$A12)*RTD("tos.rtd",,"GAMMA","."&amp;C$2&amp;C$1&amp;"C"&amp;$A12)-$A$4*$A$4*RTD("tos.rtd",,"OPEN_INT","."&amp;C$2&amp;C$1&amp;"P"&amp;$A12)*RTD("tos.rtd",,"GAMMA","."&amp;C$2&amp;C$1&amp;"P"&amp;$A12))/1000000,0),IF($A$2="SKEW",IFERROR(VALUE(IF(RTD("tos.rtd",,"IMPL_VOL","."&amp;C$2&amp;C$1&amp;"P"&amp;$A12)="N/A",0,RTD("tos.rtd",,"IMPL_VOL","."&amp;C$2&amp;C$1&amp;"P"&amp;$A12))),0)-IFERROR(VALUE(IF(RTD("tos.rtd",,"IMPL_VOL","."&amp;C$2&amp;C$1&amp;"C"&amp;$A12)="N/A",0,RTD("tos.rtd",,"IMPL_VOL","."&amp;C$2&amp;C$1&amp;"C"&amp;$A12))),0),IF($A$2="MAXPAIN",IF($A$4&gt;$A12,($A$4-$A12)*IF(RTD("tos.rtd",,"OPEN_INT","."&amp;C$2&amp;C$1&amp;"C"&amp;$A12)="N/A",0,RTD("tos.rtd",,"OPEN_INT","."&amp;C$2&amp;C$1&amp;"C"&amp;$A12)),0)+IF($A$4&lt;$A12,($A12-$A$4)*IF(RTD("tos.rtd",,"OPEN_INT","."&amp;C$2&amp;C$1&amp;"P"&amp;$A12)="N/A",0,RTD("tos.rtd",,"OPEN_INT","."&amp;C$2&amp;C$1&amp;"P"&amp;$A12)),0),IF(RTD("tos.rtd",,$A$2,"."&amp;C$2&amp;C$1&amp;"C"&amp;$A12)="N/A",0,RTD("tos.rtd",,$A$2,"."&amp;C$2&amp;C$1&amp;"C"&amp;$A12))-IF(RTD("tos.rtd",,$A$2,"."&amp;C$2&amp;C$1&amp;"P"&amp;$A12)="N/A",0,RTD("tos.rtd",,$A$2,"."&amp;C$2&amp;C$1&amp;"P"&amp;$A12)))))))))</f>
        <v>5908</v>
      </c>
      <c r="D12" s="12">
        <f>IF($A$2="PREMIUM_OI",IFERROR((100*RTD("tos.rtd",,"OPEN_INT","."&amp;D$2&amp;D$1&amp;"C"&amp;$A12)*RTD("tos.rtd",,"LAST","."&amp;D$2&amp;D$1&amp;"C"&amp;$A12)-100*RTD("tos.rtd",,"OPEN_INT","."&amp;D$2&amp;D$1&amp;"P"&amp;$A12)*RTD("tos.rtd",,"LAST","."&amp;D$2&amp;D$1&amp;"P"&amp;$A12))/1000000,0),IF($A$2="PREMIUM",IFERROR((100*RTD("tos.rtd",,"VOLUME","."&amp;D$2&amp;D$1&amp;"C"&amp;$A12)*RTD("tos.rtd",,"LAST","."&amp;D$2&amp;D$1&amp;"C"&amp;$A12)-100*RTD("tos.rtd",,"VOLUME","."&amp;D$2&amp;D$1&amp;"P"&amp;$A12)*RTD("tos.rtd",,"LAST","."&amp;D$2&amp;D$1&amp;"P"&amp;$A12))/1000000,0),IF($A$2="DEX",IFERROR((100*RTD("tos.rtd",,"OPEN_INT","."&amp;D$2&amp;D$1&amp;"C"&amp;$A12)*RTD("tos.rtd",,"DELTA","."&amp;D$2&amp;D$1&amp;"C"&amp;$A12)-100*RTD("tos.rtd",,"OPEN_INT","."&amp;D$2&amp;D$1&amp;"P"&amp;$A12)*RTD("tos.rtd",,"DELTA","."&amp;D$2&amp;D$1&amp;"P"&amp;$A12))/1000,0),IF($A$2="VEX",IFERROR(($A$4*$A$4*RTD("tos.rtd",,"VOLUME","."&amp;D$2&amp;D$1&amp;"C"&amp;$A12)*RTD("tos.rtd",,"GAMMA","."&amp;D$2&amp;D$1&amp;"C"&amp;$A12)-$A$4*$A$4*RTD("tos.rtd",,"VOLUME","."&amp;D$2&amp;D$1&amp;"P"&amp;$A12)*RTD("tos.rtd",,"GAMMA","."&amp;D$2&amp;D$1&amp;"P"&amp;$A12))/1000000,0),IF($A$2="GEX",IFERROR(($A$4*$A$4*RTD("tos.rtd",,"OPEN_INT","."&amp;D$2&amp;D$1&amp;"C"&amp;$A12)*RTD("tos.rtd",,"GAMMA","."&amp;D$2&amp;D$1&amp;"C"&amp;$A12)-$A$4*$A$4*RTD("tos.rtd",,"OPEN_INT","."&amp;D$2&amp;D$1&amp;"P"&amp;$A12)*RTD("tos.rtd",,"GAMMA","."&amp;D$2&amp;D$1&amp;"P"&amp;$A12))/1000000,0),IF($A$2="SKEW",IFERROR(VALUE(IF(RTD("tos.rtd",,"IMPL_VOL","."&amp;D$2&amp;D$1&amp;"P"&amp;$A12)="N/A",0,RTD("tos.rtd",,"IMPL_VOL","."&amp;D$2&amp;D$1&amp;"P"&amp;$A12))),0)-IFERROR(VALUE(IF(RTD("tos.rtd",,"IMPL_VOL","."&amp;D$2&amp;D$1&amp;"C"&amp;$A12)="N/A",0,RTD("tos.rtd",,"IMPL_VOL","."&amp;D$2&amp;D$1&amp;"C"&amp;$A12))),0),IF($A$2="MAXPAIN",IF($A$4&gt;$A12,($A$4-$A12)*IF(RTD("tos.rtd",,"OPEN_INT","."&amp;D$2&amp;D$1&amp;"C"&amp;$A12)="N/A",0,RTD("tos.rtd",,"OPEN_INT","."&amp;D$2&amp;D$1&amp;"C"&amp;$A12)),0)+IF($A$4&lt;$A12,($A12-$A$4)*IF(RTD("tos.rtd",,"OPEN_INT","."&amp;D$2&amp;D$1&amp;"P"&amp;$A12)="N/A",0,RTD("tos.rtd",,"OPEN_INT","."&amp;D$2&amp;D$1&amp;"P"&amp;$A12)),0),IF(RTD("tos.rtd",,$A$2,"."&amp;D$2&amp;D$1&amp;"C"&amp;$A12)="N/A",0,RTD("tos.rtd",,$A$2,"."&amp;D$2&amp;D$1&amp;"C"&amp;$A12))-IF(RTD("tos.rtd",,$A$2,"."&amp;D$2&amp;D$1&amp;"P"&amp;$A12)="N/A",0,RTD("tos.rtd",,$A$2,"."&amp;D$2&amp;D$1&amp;"P"&amp;$A12)))))))))</f>
        <v>0</v>
      </c>
      <c r="E12" s="12">
        <f>IF($A$2="PREMIUM_OI",IFERROR((100*RTD("tos.rtd",,"OPEN_INT","."&amp;E$2&amp;E$1&amp;"C"&amp;$A12)*RTD("tos.rtd",,"LAST","."&amp;E$2&amp;E$1&amp;"C"&amp;$A12)-100*RTD("tos.rtd",,"OPEN_INT","."&amp;E$2&amp;E$1&amp;"P"&amp;$A12)*RTD("tos.rtd",,"LAST","."&amp;E$2&amp;E$1&amp;"P"&amp;$A12))/1000000,0),IF($A$2="PREMIUM",IFERROR((100*RTD("tos.rtd",,"VOLUME","."&amp;E$2&amp;E$1&amp;"C"&amp;$A12)*RTD("tos.rtd",,"LAST","."&amp;E$2&amp;E$1&amp;"C"&amp;$A12)-100*RTD("tos.rtd",,"VOLUME","."&amp;E$2&amp;E$1&amp;"P"&amp;$A12)*RTD("tos.rtd",,"LAST","."&amp;E$2&amp;E$1&amp;"P"&amp;$A12))/1000000,0),IF($A$2="DEX",IFERROR((100*RTD("tos.rtd",,"OPEN_INT","."&amp;E$2&amp;E$1&amp;"C"&amp;$A12)*RTD("tos.rtd",,"DELTA","."&amp;E$2&amp;E$1&amp;"C"&amp;$A12)-100*RTD("tos.rtd",,"OPEN_INT","."&amp;E$2&amp;E$1&amp;"P"&amp;$A12)*RTD("tos.rtd",,"DELTA","."&amp;E$2&amp;E$1&amp;"P"&amp;$A12))/1000,0),IF($A$2="VEX",IFERROR(($A$4*$A$4*RTD("tos.rtd",,"VOLUME","."&amp;E$2&amp;E$1&amp;"C"&amp;$A12)*RTD("tos.rtd",,"GAMMA","."&amp;E$2&amp;E$1&amp;"C"&amp;$A12)-$A$4*$A$4*RTD("tos.rtd",,"VOLUME","."&amp;E$2&amp;E$1&amp;"P"&amp;$A12)*RTD("tos.rtd",,"GAMMA","."&amp;E$2&amp;E$1&amp;"P"&amp;$A12))/1000000,0),IF($A$2="GEX",IFERROR(($A$4*$A$4*RTD("tos.rtd",,"OPEN_INT","."&amp;E$2&amp;E$1&amp;"C"&amp;$A12)*RTD("tos.rtd",,"GAMMA","."&amp;E$2&amp;E$1&amp;"C"&amp;$A12)-$A$4*$A$4*RTD("tos.rtd",,"OPEN_INT","."&amp;E$2&amp;E$1&amp;"P"&amp;$A12)*RTD("tos.rtd",,"GAMMA","."&amp;E$2&amp;E$1&amp;"P"&amp;$A12))/1000000,0),IF($A$2="SKEW",IFERROR(VALUE(IF(RTD("tos.rtd",,"IMPL_VOL","."&amp;E$2&amp;E$1&amp;"P"&amp;$A12)="N/A",0,RTD("tos.rtd",,"IMPL_VOL","."&amp;E$2&amp;E$1&amp;"P"&amp;$A12))),0)-IFERROR(VALUE(IF(RTD("tos.rtd",,"IMPL_VOL","."&amp;E$2&amp;E$1&amp;"C"&amp;$A12)="N/A",0,RTD("tos.rtd",,"IMPL_VOL","."&amp;E$2&amp;E$1&amp;"C"&amp;$A12))),0),IF($A$2="MAXPAIN",IF($A$4&gt;$A12,($A$4-$A12)*IF(RTD("tos.rtd",,"OPEN_INT","."&amp;E$2&amp;E$1&amp;"C"&amp;$A12)="N/A",0,RTD("tos.rtd",,"OPEN_INT","."&amp;E$2&amp;E$1&amp;"C"&amp;$A12)),0)+IF($A$4&lt;$A12,($A12-$A$4)*IF(RTD("tos.rtd",,"OPEN_INT","."&amp;E$2&amp;E$1&amp;"P"&amp;$A12)="N/A",0,RTD("tos.rtd",,"OPEN_INT","."&amp;E$2&amp;E$1&amp;"P"&amp;$A12)),0),IF(RTD("tos.rtd",,$A$2,"."&amp;E$2&amp;E$1&amp;"C"&amp;$A12)="N/A",0,RTD("tos.rtd",,$A$2,"."&amp;E$2&amp;E$1&amp;"C"&amp;$A12))-IF(RTD("tos.rtd",,$A$2,"."&amp;E$2&amp;E$1&amp;"P"&amp;$A12)="N/A",0,RTD("tos.rtd",,$A$2,"."&amp;E$2&amp;E$1&amp;"P"&amp;$A12)))))))))</f>
        <v>0</v>
      </c>
      <c r="F12" s="12">
        <f>IF($A$2="PREMIUM_OI",IFERROR((100*RTD("tos.rtd",,"OPEN_INT","."&amp;F$2&amp;F$1&amp;"C"&amp;$A12)*RTD("tos.rtd",,"LAST","."&amp;F$2&amp;F$1&amp;"C"&amp;$A12)-100*RTD("tos.rtd",,"OPEN_INT","."&amp;F$2&amp;F$1&amp;"P"&amp;$A12)*RTD("tos.rtd",,"LAST","."&amp;F$2&amp;F$1&amp;"P"&amp;$A12))/1000000,0),IF($A$2="PREMIUM",IFERROR((100*RTD("tos.rtd",,"VOLUME","."&amp;F$2&amp;F$1&amp;"C"&amp;$A12)*RTD("tos.rtd",,"LAST","."&amp;F$2&amp;F$1&amp;"C"&amp;$A12)-100*RTD("tos.rtd",,"VOLUME","."&amp;F$2&amp;F$1&amp;"P"&amp;$A12)*RTD("tos.rtd",,"LAST","."&amp;F$2&amp;F$1&amp;"P"&amp;$A12))/1000000,0),IF($A$2="DEX",IFERROR((100*RTD("tos.rtd",,"OPEN_INT","."&amp;F$2&amp;F$1&amp;"C"&amp;$A12)*RTD("tos.rtd",,"DELTA","."&amp;F$2&amp;F$1&amp;"C"&amp;$A12)-100*RTD("tos.rtd",,"OPEN_INT","."&amp;F$2&amp;F$1&amp;"P"&amp;$A12)*RTD("tos.rtd",,"DELTA","."&amp;F$2&amp;F$1&amp;"P"&amp;$A12))/1000,0),IF($A$2="VEX",IFERROR(($A$4*$A$4*RTD("tos.rtd",,"VOLUME","."&amp;F$2&amp;F$1&amp;"C"&amp;$A12)*RTD("tos.rtd",,"GAMMA","."&amp;F$2&amp;F$1&amp;"C"&amp;$A12)-$A$4*$A$4*RTD("tos.rtd",,"VOLUME","."&amp;F$2&amp;F$1&amp;"P"&amp;$A12)*RTD("tos.rtd",,"GAMMA","."&amp;F$2&amp;F$1&amp;"P"&amp;$A12))/1000000,0),IF($A$2="GEX",IFERROR(($A$4*$A$4*RTD("tos.rtd",,"OPEN_INT","."&amp;F$2&amp;F$1&amp;"C"&amp;$A12)*RTD("tos.rtd",,"GAMMA","."&amp;F$2&amp;F$1&amp;"C"&amp;$A12)-$A$4*$A$4*RTD("tos.rtd",,"OPEN_INT","."&amp;F$2&amp;F$1&amp;"P"&amp;$A12)*RTD("tos.rtd",,"GAMMA","."&amp;F$2&amp;F$1&amp;"P"&amp;$A12))/1000000,0),IF($A$2="SKEW",IFERROR(VALUE(IF(RTD("tos.rtd",,"IMPL_VOL","."&amp;F$2&amp;F$1&amp;"P"&amp;$A12)="N/A",0,RTD("tos.rtd",,"IMPL_VOL","."&amp;F$2&amp;F$1&amp;"P"&amp;$A12))),0)-IFERROR(VALUE(IF(RTD("tos.rtd",,"IMPL_VOL","."&amp;F$2&amp;F$1&amp;"C"&amp;$A12)="N/A",0,RTD("tos.rtd",,"IMPL_VOL","."&amp;F$2&amp;F$1&amp;"C"&amp;$A12))),0),IF($A$2="MAXPAIN",IF($A$4&gt;$A12,($A$4-$A12)*IF(RTD("tos.rtd",,"OPEN_INT","."&amp;F$2&amp;F$1&amp;"C"&amp;$A12)="N/A",0,RTD("tos.rtd",,"OPEN_INT","."&amp;F$2&amp;F$1&amp;"C"&amp;$A12)),0)+IF($A$4&lt;$A12,($A12-$A$4)*IF(RTD("tos.rtd",,"OPEN_INT","."&amp;F$2&amp;F$1&amp;"P"&amp;$A12)="N/A",0,RTD("tos.rtd",,"OPEN_INT","."&amp;F$2&amp;F$1&amp;"P"&amp;$A12)),0),IF(RTD("tos.rtd",,$A$2,"."&amp;F$2&amp;F$1&amp;"C"&amp;$A12)="N/A",0,RTD("tos.rtd",,$A$2,"."&amp;F$2&amp;F$1&amp;"C"&amp;$A12))-IF(RTD("tos.rtd",,$A$2,"."&amp;F$2&amp;F$1&amp;"P"&amp;$A12)="N/A",0,RTD("tos.rtd",,$A$2,"."&amp;F$2&amp;F$1&amp;"P"&amp;$A12)))))))))</f>
        <v>0</v>
      </c>
      <c r="G12" s="14">
        <f>IF($A$2="PREMIUM_OI",IFERROR((100*RTD("tos.rtd",,"OPEN_INT","."&amp;G$2&amp;G$1&amp;"C"&amp;$A12)*RTD("tos.rtd",,"LAST","."&amp;G$2&amp;G$1&amp;"C"&amp;$A12)-100*RTD("tos.rtd",,"OPEN_INT","."&amp;G$2&amp;G$1&amp;"P"&amp;$A12)*RTD("tos.rtd",,"LAST","."&amp;G$2&amp;G$1&amp;"P"&amp;$A12))/1000000,0),IF($A$2="PREMIUM",IFERROR((100*RTD("tos.rtd",,"VOLUME","."&amp;G$2&amp;G$1&amp;"C"&amp;$A12)*RTD("tos.rtd",,"LAST","."&amp;G$2&amp;G$1&amp;"C"&amp;$A12)-100*RTD("tos.rtd",,"VOLUME","."&amp;G$2&amp;G$1&amp;"P"&amp;$A12)*RTD("tos.rtd",,"LAST","."&amp;G$2&amp;G$1&amp;"P"&amp;$A12))/1000000,0),IF($A$2="DEX",IFERROR((100*RTD("tos.rtd",,"OPEN_INT","."&amp;G$2&amp;G$1&amp;"C"&amp;$A12)*RTD("tos.rtd",,"DELTA","."&amp;G$2&amp;G$1&amp;"C"&amp;$A12)-100*RTD("tos.rtd",,"OPEN_INT","."&amp;G$2&amp;G$1&amp;"P"&amp;$A12)*RTD("tos.rtd",,"DELTA","."&amp;G$2&amp;G$1&amp;"P"&amp;$A12))/1000,0),IF($A$2="VEX",IFERROR(($A$4*$A$4*RTD("tos.rtd",,"VOLUME","."&amp;G$2&amp;G$1&amp;"C"&amp;$A12)*RTD("tos.rtd",,"GAMMA","."&amp;G$2&amp;G$1&amp;"C"&amp;$A12)-$A$4*$A$4*RTD("tos.rtd",,"VOLUME","."&amp;G$2&amp;G$1&amp;"P"&amp;$A12)*RTD("tos.rtd",,"GAMMA","."&amp;G$2&amp;G$1&amp;"P"&amp;$A12))/1000000,0),IF($A$2="GEX",IFERROR(($A$4*$A$4*RTD("tos.rtd",,"OPEN_INT","."&amp;G$2&amp;G$1&amp;"C"&amp;$A12)*RTD("tos.rtd",,"GAMMA","."&amp;G$2&amp;G$1&amp;"C"&amp;$A12)-$A$4*$A$4*RTD("tos.rtd",,"OPEN_INT","."&amp;G$2&amp;G$1&amp;"P"&amp;$A12)*RTD("tos.rtd",,"GAMMA","."&amp;G$2&amp;G$1&amp;"P"&amp;$A12))/1000000,0),IF($A$2="SKEW",IFERROR(VALUE(IF(RTD("tos.rtd",,"IMPL_VOL","."&amp;G$2&amp;G$1&amp;"P"&amp;$A12)="N/A",0,RTD("tos.rtd",,"IMPL_VOL","."&amp;G$2&amp;G$1&amp;"P"&amp;$A12))),0)-IFERROR(VALUE(IF(RTD("tos.rtd",,"IMPL_VOL","."&amp;G$2&amp;G$1&amp;"C"&amp;$A12)="N/A",0,RTD("tos.rtd",,"IMPL_VOL","."&amp;G$2&amp;G$1&amp;"C"&amp;$A12))),0),IF($A$2="MAXPAIN",IF($A$4&gt;$A12,($A$4-$A12)*IF(RTD("tos.rtd",,"OPEN_INT","."&amp;G$2&amp;G$1&amp;"C"&amp;$A12)="N/A",0,RTD("tos.rtd",,"OPEN_INT","."&amp;G$2&amp;G$1&amp;"C"&amp;$A12)),0)+IF($A$4&lt;$A12,($A12-$A$4)*IF(RTD("tos.rtd",,"OPEN_INT","."&amp;G$2&amp;G$1&amp;"P"&amp;$A12)="N/A",0,RTD("tos.rtd",,"OPEN_INT","."&amp;G$2&amp;G$1&amp;"P"&amp;$A12)),0),IF(RTD("tos.rtd",,$A$2,"."&amp;G$2&amp;G$1&amp;"C"&amp;$A12)="N/A",0,RTD("tos.rtd",,$A$2,"."&amp;G$2&amp;G$1&amp;"C"&amp;$A12))-IF(RTD("tos.rtd",,$A$2,"."&amp;G$2&amp;G$1&amp;"P"&amp;$A12)="N/A",0,RTD("tos.rtd",,$A$2,"."&amp;G$2&amp;G$1&amp;"P"&amp;$A12)))))))))</f>
        <v>0</v>
      </c>
      <c r="H12" s="12">
        <f>IF($A$2="PREMIUM_OI",IFERROR((100*RTD("tos.rtd",,"OPEN_INT","."&amp;H$2&amp;H$1&amp;"C"&amp;$A12)*RTD("tos.rtd",,"LAST","."&amp;H$2&amp;H$1&amp;"C"&amp;$A12)-100*RTD("tos.rtd",,"OPEN_INT","."&amp;H$2&amp;H$1&amp;"P"&amp;$A12)*RTD("tos.rtd",,"LAST","."&amp;H$2&amp;H$1&amp;"P"&amp;$A12))/1000000,0),IF($A$2="PREMIUM",IFERROR((100*RTD("tos.rtd",,"VOLUME","."&amp;H$2&amp;H$1&amp;"C"&amp;$A12)*RTD("tos.rtd",,"LAST","."&amp;H$2&amp;H$1&amp;"C"&amp;$A12)-100*RTD("tos.rtd",,"VOLUME","."&amp;H$2&amp;H$1&amp;"P"&amp;$A12)*RTD("tos.rtd",,"LAST","."&amp;H$2&amp;H$1&amp;"P"&amp;$A12))/1000000,0),IF($A$2="DEX",IFERROR((100*RTD("tos.rtd",,"OPEN_INT","."&amp;H$2&amp;H$1&amp;"C"&amp;$A12)*RTD("tos.rtd",,"DELTA","."&amp;H$2&amp;H$1&amp;"C"&amp;$A12)-100*RTD("tos.rtd",,"OPEN_INT","."&amp;H$2&amp;H$1&amp;"P"&amp;$A12)*RTD("tos.rtd",,"DELTA","."&amp;H$2&amp;H$1&amp;"P"&amp;$A12))/1000,0),IF($A$2="VEX",IFERROR(($A$4*$A$4*RTD("tos.rtd",,"VOLUME","."&amp;H$2&amp;H$1&amp;"C"&amp;$A12)*RTD("tos.rtd",,"GAMMA","."&amp;H$2&amp;H$1&amp;"C"&amp;$A12)-$A$4*$A$4*RTD("tos.rtd",,"VOLUME","."&amp;H$2&amp;H$1&amp;"P"&amp;$A12)*RTD("tos.rtd",,"GAMMA","."&amp;H$2&amp;H$1&amp;"P"&amp;$A12))/1000000,0),IF($A$2="GEX",IFERROR(($A$4*$A$4*RTD("tos.rtd",,"OPEN_INT","."&amp;H$2&amp;H$1&amp;"C"&amp;$A12)*RTD("tos.rtd",,"GAMMA","."&amp;H$2&amp;H$1&amp;"C"&amp;$A12)-$A$4*$A$4*RTD("tos.rtd",,"OPEN_INT","."&amp;H$2&amp;H$1&amp;"P"&amp;$A12)*RTD("tos.rtd",,"GAMMA","."&amp;H$2&amp;H$1&amp;"P"&amp;$A12))/1000000,0),IF($A$2="SKEW",IFERROR(VALUE(IF(RTD("tos.rtd",,"IMPL_VOL","."&amp;H$2&amp;H$1&amp;"P"&amp;$A12)="N/A",0,RTD("tos.rtd",,"IMPL_VOL","."&amp;H$2&amp;H$1&amp;"P"&amp;$A12))),0)-IFERROR(VALUE(IF(RTD("tos.rtd",,"IMPL_VOL","."&amp;H$2&amp;H$1&amp;"C"&amp;$A12)="N/A",0,RTD("tos.rtd",,"IMPL_VOL","."&amp;H$2&amp;H$1&amp;"C"&amp;$A12))),0),IF($A$2="MAXPAIN",IF($A$4&gt;$A12,($A$4-$A12)*IF(RTD("tos.rtd",,"OPEN_INT","."&amp;H$2&amp;H$1&amp;"C"&amp;$A12)="N/A",0,RTD("tos.rtd",,"OPEN_INT","."&amp;H$2&amp;H$1&amp;"C"&amp;$A12)),0)+IF($A$4&lt;$A12,($A12-$A$4)*IF(RTD("tos.rtd",,"OPEN_INT","."&amp;H$2&amp;H$1&amp;"P"&amp;$A12)="N/A",0,RTD("tos.rtd",,"OPEN_INT","."&amp;H$2&amp;H$1&amp;"P"&amp;$A12)),0),IF(RTD("tos.rtd",,$A$2,"."&amp;H$2&amp;H$1&amp;"C"&amp;$A12)="N/A",0,RTD("tos.rtd",,$A$2,"."&amp;H$2&amp;H$1&amp;"C"&amp;$A12))-IF(RTD("tos.rtd",,$A$2,"."&amp;H$2&amp;H$1&amp;"P"&amp;$A12)="N/A",0,RTD("tos.rtd",,$A$2,"."&amp;H$2&amp;H$1&amp;"P"&amp;$A12)))))))))</f>
        <v>839</v>
      </c>
      <c r="I12" s="12">
        <f>IF($A$2="PREMIUM_OI",IFERROR((100*RTD("tos.rtd",,"OPEN_INT","."&amp;I$2&amp;I$1&amp;"C"&amp;$A12)*RTD("tos.rtd",,"LAST","."&amp;I$2&amp;I$1&amp;"C"&amp;$A12)-100*RTD("tos.rtd",,"OPEN_INT","."&amp;I$2&amp;I$1&amp;"P"&amp;$A12)*RTD("tos.rtd",,"LAST","."&amp;I$2&amp;I$1&amp;"P"&amp;$A12))/1000000,0),IF($A$2="PREMIUM",IFERROR((100*RTD("tos.rtd",,"VOLUME","."&amp;I$2&amp;I$1&amp;"C"&amp;$A12)*RTD("tos.rtd",,"LAST","."&amp;I$2&amp;I$1&amp;"C"&amp;$A12)-100*RTD("tos.rtd",,"VOLUME","."&amp;I$2&amp;I$1&amp;"P"&amp;$A12)*RTD("tos.rtd",,"LAST","."&amp;I$2&amp;I$1&amp;"P"&amp;$A12))/1000000,0),IF($A$2="DEX",IFERROR((100*RTD("tos.rtd",,"OPEN_INT","."&amp;I$2&amp;I$1&amp;"C"&amp;$A12)*RTD("tos.rtd",,"DELTA","."&amp;I$2&amp;I$1&amp;"C"&amp;$A12)-100*RTD("tos.rtd",,"OPEN_INT","."&amp;I$2&amp;I$1&amp;"P"&amp;$A12)*RTD("tos.rtd",,"DELTA","."&amp;I$2&amp;I$1&amp;"P"&amp;$A12))/1000,0),IF($A$2="VEX",IFERROR(($A$4*$A$4*RTD("tos.rtd",,"VOLUME","."&amp;I$2&amp;I$1&amp;"C"&amp;$A12)*RTD("tos.rtd",,"GAMMA","."&amp;I$2&amp;I$1&amp;"C"&amp;$A12)-$A$4*$A$4*RTD("tos.rtd",,"VOLUME","."&amp;I$2&amp;I$1&amp;"P"&amp;$A12)*RTD("tos.rtd",,"GAMMA","."&amp;I$2&amp;I$1&amp;"P"&amp;$A12))/1000000,0),IF($A$2="GEX",IFERROR(($A$4*$A$4*RTD("tos.rtd",,"OPEN_INT","."&amp;I$2&amp;I$1&amp;"C"&amp;$A12)*RTD("tos.rtd",,"GAMMA","."&amp;I$2&amp;I$1&amp;"C"&amp;$A12)-$A$4*$A$4*RTD("tos.rtd",,"OPEN_INT","."&amp;I$2&amp;I$1&amp;"P"&amp;$A12)*RTD("tos.rtd",,"GAMMA","."&amp;I$2&amp;I$1&amp;"P"&amp;$A12))/1000000,0),IF($A$2="SKEW",IFERROR(VALUE(IF(RTD("tos.rtd",,"IMPL_VOL","."&amp;I$2&amp;I$1&amp;"P"&amp;$A12)="N/A",0,RTD("tos.rtd",,"IMPL_VOL","."&amp;I$2&amp;I$1&amp;"P"&amp;$A12))),0)-IFERROR(VALUE(IF(RTD("tos.rtd",,"IMPL_VOL","."&amp;I$2&amp;I$1&amp;"C"&amp;$A12)="N/A",0,RTD("tos.rtd",,"IMPL_VOL","."&amp;I$2&amp;I$1&amp;"C"&amp;$A12))),0),IF($A$2="MAXPAIN",IF($A$4&gt;$A12,($A$4-$A12)*IF(RTD("tos.rtd",,"OPEN_INT","."&amp;I$2&amp;I$1&amp;"C"&amp;$A12)="N/A",0,RTD("tos.rtd",,"OPEN_INT","."&amp;I$2&amp;I$1&amp;"C"&amp;$A12)),0)+IF($A$4&lt;$A12,($A12-$A$4)*IF(RTD("tos.rtd",,"OPEN_INT","."&amp;I$2&amp;I$1&amp;"P"&amp;$A12)="N/A",0,RTD("tos.rtd",,"OPEN_INT","."&amp;I$2&amp;I$1&amp;"P"&amp;$A12)),0),IF(RTD("tos.rtd",,$A$2,"."&amp;I$2&amp;I$1&amp;"C"&amp;$A12)="N/A",0,RTD("tos.rtd",,$A$2,"."&amp;I$2&amp;I$1&amp;"C"&amp;$A12))-IF(RTD("tos.rtd",,$A$2,"."&amp;I$2&amp;I$1&amp;"P"&amp;$A12)="N/A",0,RTD("tos.rtd",,$A$2,"."&amp;I$2&amp;I$1&amp;"P"&amp;$A12)))))))))</f>
        <v>0</v>
      </c>
      <c r="J12" s="12">
        <f>IF($A$2="PREMIUM_OI",IFERROR((100*RTD("tos.rtd",,"OPEN_INT","."&amp;J$2&amp;J$1&amp;"C"&amp;$A12)*RTD("tos.rtd",,"LAST","."&amp;J$2&amp;J$1&amp;"C"&amp;$A12)-100*RTD("tos.rtd",,"OPEN_INT","."&amp;J$2&amp;J$1&amp;"P"&amp;$A12)*RTD("tos.rtd",,"LAST","."&amp;J$2&amp;J$1&amp;"P"&amp;$A12))/1000000,0),IF($A$2="PREMIUM",IFERROR((100*RTD("tos.rtd",,"VOLUME","."&amp;J$2&amp;J$1&amp;"C"&amp;$A12)*RTD("tos.rtd",,"LAST","."&amp;J$2&amp;J$1&amp;"C"&amp;$A12)-100*RTD("tos.rtd",,"VOLUME","."&amp;J$2&amp;J$1&amp;"P"&amp;$A12)*RTD("tos.rtd",,"LAST","."&amp;J$2&amp;J$1&amp;"P"&amp;$A12))/1000000,0),IF($A$2="DEX",IFERROR((100*RTD("tos.rtd",,"OPEN_INT","."&amp;J$2&amp;J$1&amp;"C"&amp;$A12)*RTD("tos.rtd",,"DELTA","."&amp;J$2&amp;J$1&amp;"C"&amp;$A12)-100*RTD("tos.rtd",,"OPEN_INT","."&amp;J$2&amp;J$1&amp;"P"&amp;$A12)*RTD("tos.rtd",,"DELTA","."&amp;J$2&amp;J$1&amp;"P"&amp;$A12))/1000,0),IF($A$2="VEX",IFERROR(($A$4*$A$4*RTD("tos.rtd",,"VOLUME","."&amp;J$2&amp;J$1&amp;"C"&amp;$A12)*RTD("tos.rtd",,"GAMMA","."&amp;J$2&amp;J$1&amp;"C"&amp;$A12)-$A$4*$A$4*RTD("tos.rtd",,"VOLUME","."&amp;J$2&amp;J$1&amp;"P"&amp;$A12)*RTD("tos.rtd",,"GAMMA","."&amp;J$2&amp;J$1&amp;"P"&amp;$A12))/1000000,0),IF($A$2="GEX",IFERROR(($A$4*$A$4*RTD("tos.rtd",,"OPEN_INT","."&amp;J$2&amp;J$1&amp;"C"&amp;$A12)*RTD("tos.rtd",,"GAMMA","."&amp;J$2&amp;J$1&amp;"C"&amp;$A12)-$A$4*$A$4*RTD("tos.rtd",,"OPEN_INT","."&amp;J$2&amp;J$1&amp;"P"&amp;$A12)*RTD("tos.rtd",,"GAMMA","."&amp;J$2&amp;J$1&amp;"P"&amp;$A12))/1000000,0),IF($A$2="SKEW",IFERROR(VALUE(IF(RTD("tos.rtd",,"IMPL_VOL","."&amp;J$2&amp;J$1&amp;"P"&amp;$A12)="N/A",0,RTD("tos.rtd",,"IMPL_VOL","."&amp;J$2&amp;J$1&amp;"P"&amp;$A12))),0)-IFERROR(VALUE(IF(RTD("tos.rtd",,"IMPL_VOL","."&amp;J$2&amp;J$1&amp;"C"&amp;$A12)="N/A",0,RTD("tos.rtd",,"IMPL_VOL","."&amp;J$2&amp;J$1&amp;"C"&amp;$A12))),0),IF($A$2="MAXPAIN",IF($A$4&gt;$A12,($A$4-$A12)*IF(RTD("tos.rtd",,"OPEN_INT","."&amp;J$2&amp;J$1&amp;"C"&amp;$A12)="N/A",0,RTD("tos.rtd",,"OPEN_INT","."&amp;J$2&amp;J$1&amp;"C"&amp;$A12)),0)+IF($A$4&lt;$A12,($A12-$A$4)*IF(RTD("tos.rtd",,"OPEN_INT","."&amp;J$2&amp;J$1&amp;"P"&amp;$A12)="N/A",0,RTD("tos.rtd",,"OPEN_INT","."&amp;J$2&amp;J$1&amp;"P"&amp;$A12)),0),IF(RTD("tos.rtd",,$A$2,"."&amp;J$2&amp;J$1&amp;"C"&amp;$A12)="N/A",0,RTD("tos.rtd",,$A$2,"."&amp;J$2&amp;J$1&amp;"C"&amp;$A12))-IF(RTD("tos.rtd",,$A$2,"."&amp;J$2&amp;J$1&amp;"P"&amp;$A12)="N/A",0,RTD("tos.rtd",,$A$2,"."&amp;J$2&amp;J$1&amp;"P"&amp;$A12)))))))))</f>
        <v>0</v>
      </c>
      <c r="K12" s="12">
        <f>IF($A$2="PREMIUM_OI",IFERROR((100*RTD("tos.rtd",,"OPEN_INT","."&amp;K$2&amp;K$1&amp;"C"&amp;$A12)*RTD("tos.rtd",,"LAST","."&amp;K$2&amp;K$1&amp;"C"&amp;$A12)-100*RTD("tos.rtd",,"OPEN_INT","."&amp;K$2&amp;K$1&amp;"P"&amp;$A12)*RTD("tos.rtd",,"LAST","."&amp;K$2&amp;K$1&amp;"P"&amp;$A12))/1000000,0),IF($A$2="PREMIUM",IFERROR((100*RTD("tos.rtd",,"VOLUME","."&amp;K$2&amp;K$1&amp;"C"&amp;$A12)*RTD("tos.rtd",,"LAST","."&amp;K$2&amp;K$1&amp;"C"&amp;$A12)-100*RTD("tos.rtd",,"VOLUME","."&amp;K$2&amp;K$1&amp;"P"&amp;$A12)*RTD("tos.rtd",,"LAST","."&amp;K$2&amp;K$1&amp;"P"&amp;$A12))/1000000,0),IF($A$2="DEX",IFERROR((100*RTD("tos.rtd",,"OPEN_INT","."&amp;K$2&amp;K$1&amp;"C"&amp;$A12)*RTD("tos.rtd",,"DELTA","."&amp;K$2&amp;K$1&amp;"C"&amp;$A12)-100*RTD("tos.rtd",,"OPEN_INT","."&amp;K$2&amp;K$1&amp;"P"&amp;$A12)*RTD("tos.rtd",,"DELTA","."&amp;K$2&amp;K$1&amp;"P"&amp;$A12))/1000,0),IF($A$2="VEX",IFERROR(($A$4*$A$4*RTD("tos.rtd",,"VOLUME","."&amp;K$2&amp;K$1&amp;"C"&amp;$A12)*RTD("tos.rtd",,"GAMMA","."&amp;K$2&amp;K$1&amp;"C"&amp;$A12)-$A$4*$A$4*RTD("tos.rtd",,"VOLUME","."&amp;K$2&amp;K$1&amp;"P"&amp;$A12)*RTD("tos.rtd",,"GAMMA","."&amp;K$2&amp;K$1&amp;"P"&amp;$A12))/1000000,0),IF($A$2="GEX",IFERROR(($A$4*$A$4*RTD("tos.rtd",,"OPEN_INT","."&amp;K$2&amp;K$1&amp;"C"&amp;$A12)*RTD("tos.rtd",,"GAMMA","."&amp;K$2&amp;K$1&amp;"C"&amp;$A12)-$A$4*$A$4*RTD("tos.rtd",,"OPEN_INT","."&amp;K$2&amp;K$1&amp;"P"&amp;$A12)*RTD("tos.rtd",,"GAMMA","."&amp;K$2&amp;K$1&amp;"P"&amp;$A12))/1000000,0),IF($A$2="SKEW",IFERROR(VALUE(IF(RTD("tos.rtd",,"IMPL_VOL","."&amp;K$2&amp;K$1&amp;"P"&amp;$A12)="N/A",0,RTD("tos.rtd",,"IMPL_VOL","."&amp;K$2&amp;K$1&amp;"P"&amp;$A12))),0)-IFERROR(VALUE(IF(RTD("tos.rtd",,"IMPL_VOL","."&amp;K$2&amp;K$1&amp;"C"&amp;$A12)="N/A",0,RTD("tos.rtd",,"IMPL_VOL","."&amp;K$2&amp;K$1&amp;"C"&amp;$A12))),0),IF($A$2="MAXPAIN",IF($A$4&gt;$A12,($A$4-$A12)*IF(RTD("tos.rtd",,"OPEN_INT","."&amp;K$2&amp;K$1&amp;"C"&amp;$A12)="N/A",0,RTD("tos.rtd",,"OPEN_INT","."&amp;K$2&amp;K$1&amp;"C"&amp;$A12)),0)+IF($A$4&lt;$A12,($A12-$A$4)*IF(RTD("tos.rtd",,"OPEN_INT","."&amp;K$2&amp;K$1&amp;"P"&amp;$A12)="N/A",0,RTD("tos.rtd",,"OPEN_INT","."&amp;K$2&amp;K$1&amp;"P"&amp;$A12)),0),IF(RTD("tos.rtd",,$A$2,"."&amp;K$2&amp;K$1&amp;"C"&amp;$A12)="N/A",0,RTD("tos.rtd",,$A$2,"."&amp;K$2&amp;K$1&amp;"C"&amp;$A12))-IF(RTD("tos.rtd",,$A$2,"."&amp;K$2&amp;K$1&amp;"P"&amp;$A12)="N/A",0,RTD("tos.rtd",,$A$2,"."&amp;K$2&amp;K$1&amp;"P"&amp;$A12)))))))))</f>
        <v>0</v>
      </c>
      <c r="L12" s="12">
        <f>IF($A$2="PREMIUM_OI",IFERROR((100*RTD("tos.rtd",,"OPEN_INT","."&amp;L$2&amp;L$1&amp;"C"&amp;$A12)*RTD("tos.rtd",,"LAST","."&amp;L$2&amp;L$1&amp;"C"&amp;$A12)-100*RTD("tos.rtd",,"OPEN_INT","."&amp;L$2&amp;L$1&amp;"P"&amp;$A12)*RTD("tos.rtd",,"LAST","."&amp;L$2&amp;L$1&amp;"P"&amp;$A12))/1000000,0),IF($A$2="PREMIUM",IFERROR((100*RTD("tos.rtd",,"VOLUME","."&amp;L$2&amp;L$1&amp;"C"&amp;$A12)*RTD("tos.rtd",,"LAST","."&amp;L$2&amp;L$1&amp;"C"&amp;$A12)-100*RTD("tos.rtd",,"VOLUME","."&amp;L$2&amp;L$1&amp;"P"&amp;$A12)*RTD("tos.rtd",,"LAST","."&amp;L$2&amp;L$1&amp;"P"&amp;$A12))/1000000,0),IF($A$2="DEX",IFERROR((100*RTD("tos.rtd",,"OPEN_INT","."&amp;L$2&amp;L$1&amp;"C"&amp;$A12)*RTD("tos.rtd",,"DELTA","."&amp;L$2&amp;L$1&amp;"C"&amp;$A12)-100*RTD("tos.rtd",,"OPEN_INT","."&amp;L$2&amp;L$1&amp;"P"&amp;$A12)*RTD("tos.rtd",,"DELTA","."&amp;L$2&amp;L$1&amp;"P"&amp;$A12))/1000,0),IF($A$2="VEX",IFERROR(($A$4*$A$4*RTD("tos.rtd",,"VOLUME","."&amp;L$2&amp;L$1&amp;"C"&amp;$A12)*RTD("tos.rtd",,"GAMMA","."&amp;L$2&amp;L$1&amp;"C"&amp;$A12)-$A$4*$A$4*RTD("tos.rtd",,"VOLUME","."&amp;L$2&amp;L$1&amp;"P"&amp;$A12)*RTD("tos.rtd",,"GAMMA","."&amp;L$2&amp;L$1&amp;"P"&amp;$A12))/1000000,0),IF($A$2="GEX",IFERROR(($A$4*$A$4*RTD("tos.rtd",,"OPEN_INT","."&amp;L$2&amp;L$1&amp;"C"&amp;$A12)*RTD("tos.rtd",,"GAMMA","."&amp;L$2&amp;L$1&amp;"C"&amp;$A12)-$A$4*$A$4*RTD("tos.rtd",,"OPEN_INT","."&amp;L$2&amp;L$1&amp;"P"&amp;$A12)*RTD("tos.rtd",,"GAMMA","."&amp;L$2&amp;L$1&amp;"P"&amp;$A12))/1000000,0),IF($A$2="SKEW",IFERROR(VALUE(IF(RTD("tos.rtd",,"IMPL_VOL","."&amp;L$2&amp;L$1&amp;"P"&amp;$A12)="N/A",0,RTD("tos.rtd",,"IMPL_VOL","."&amp;L$2&amp;L$1&amp;"P"&amp;$A12))),0)-IFERROR(VALUE(IF(RTD("tos.rtd",,"IMPL_VOL","."&amp;L$2&amp;L$1&amp;"C"&amp;$A12)="N/A",0,RTD("tos.rtd",,"IMPL_VOL","."&amp;L$2&amp;L$1&amp;"C"&amp;$A12))),0),IF($A$2="MAXPAIN",IF($A$4&gt;$A12,($A$4-$A12)*IF(RTD("tos.rtd",,"OPEN_INT","."&amp;L$2&amp;L$1&amp;"C"&amp;$A12)="N/A",0,RTD("tos.rtd",,"OPEN_INT","."&amp;L$2&amp;L$1&amp;"C"&amp;$A12)),0)+IF($A$4&lt;$A12,($A12-$A$4)*IF(RTD("tos.rtd",,"OPEN_INT","."&amp;L$2&amp;L$1&amp;"P"&amp;$A12)="N/A",0,RTD("tos.rtd",,"OPEN_INT","."&amp;L$2&amp;L$1&amp;"P"&amp;$A12)),0),IF(RTD("tos.rtd",,$A$2,"."&amp;L$2&amp;L$1&amp;"C"&amp;$A12)="N/A",0,RTD("tos.rtd",,$A$2,"."&amp;L$2&amp;L$1&amp;"C"&amp;$A12))-IF(RTD("tos.rtd",,$A$2,"."&amp;L$2&amp;L$1&amp;"P"&amp;$A12)="N/A",0,RTD("tos.rtd",,$A$2,"."&amp;L$2&amp;L$1&amp;"P"&amp;$A12)))))))))</f>
        <v>0</v>
      </c>
      <c r="M12" s="12">
        <f>IF($A$2="PREMIUM_OI",IFERROR((100*RTD("tos.rtd",,"OPEN_INT","."&amp;M$2&amp;M$1&amp;"C"&amp;$A12)*RTD("tos.rtd",,"LAST","."&amp;M$2&amp;M$1&amp;"C"&amp;$A12)-100*RTD("tos.rtd",,"OPEN_INT","."&amp;M$2&amp;M$1&amp;"P"&amp;$A12)*RTD("tos.rtd",,"LAST","."&amp;M$2&amp;M$1&amp;"P"&amp;$A12))/1000000,0),IF($A$2="PREMIUM",IFERROR((100*RTD("tos.rtd",,"VOLUME","."&amp;M$2&amp;M$1&amp;"C"&amp;$A12)*RTD("tos.rtd",,"LAST","."&amp;M$2&amp;M$1&amp;"C"&amp;$A12)-100*RTD("tos.rtd",,"VOLUME","."&amp;M$2&amp;M$1&amp;"P"&amp;$A12)*RTD("tos.rtd",,"LAST","."&amp;M$2&amp;M$1&amp;"P"&amp;$A12))/1000000,0),IF($A$2="DEX",IFERROR((100*RTD("tos.rtd",,"OPEN_INT","."&amp;M$2&amp;M$1&amp;"C"&amp;$A12)*RTD("tos.rtd",,"DELTA","."&amp;M$2&amp;M$1&amp;"C"&amp;$A12)-100*RTD("tos.rtd",,"OPEN_INT","."&amp;M$2&amp;M$1&amp;"P"&amp;$A12)*RTD("tos.rtd",,"DELTA","."&amp;M$2&amp;M$1&amp;"P"&amp;$A12))/1000,0),IF($A$2="VEX",IFERROR(($A$4*$A$4*RTD("tos.rtd",,"VOLUME","."&amp;M$2&amp;M$1&amp;"C"&amp;$A12)*RTD("tos.rtd",,"GAMMA","."&amp;M$2&amp;M$1&amp;"C"&amp;$A12)-$A$4*$A$4*RTD("tos.rtd",,"VOLUME","."&amp;M$2&amp;M$1&amp;"P"&amp;$A12)*RTD("tos.rtd",,"GAMMA","."&amp;M$2&amp;M$1&amp;"P"&amp;$A12))/1000000,0),IF($A$2="GEX",IFERROR(($A$4*$A$4*RTD("tos.rtd",,"OPEN_INT","."&amp;M$2&amp;M$1&amp;"C"&amp;$A12)*RTD("tos.rtd",,"GAMMA","."&amp;M$2&amp;M$1&amp;"C"&amp;$A12)-$A$4*$A$4*RTD("tos.rtd",,"OPEN_INT","."&amp;M$2&amp;M$1&amp;"P"&amp;$A12)*RTD("tos.rtd",,"GAMMA","."&amp;M$2&amp;M$1&amp;"P"&amp;$A12))/1000000,0),IF($A$2="SKEW",IFERROR(VALUE(IF(RTD("tos.rtd",,"IMPL_VOL","."&amp;M$2&amp;M$1&amp;"P"&amp;$A12)="N/A",0,RTD("tos.rtd",,"IMPL_VOL","."&amp;M$2&amp;M$1&amp;"P"&amp;$A12))),0)-IFERROR(VALUE(IF(RTD("tos.rtd",,"IMPL_VOL","."&amp;M$2&amp;M$1&amp;"C"&amp;$A12)="N/A",0,RTD("tos.rtd",,"IMPL_VOL","."&amp;M$2&amp;M$1&amp;"C"&amp;$A12))),0),IF($A$2="MAXPAIN",IF($A$4&gt;$A12,($A$4-$A12)*IF(RTD("tos.rtd",,"OPEN_INT","."&amp;M$2&amp;M$1&amp;"C"&amp;$A12)="N/A",0,RTD("tos.rtd",,"OPEN_INT","."&amp;M$2&amp;M$1&amp;"C"&amp;$A12)),0)+IF($A$4&lt;$A12,($A12-$A$4)*IF(RTD("tos.rtd",,"OPEN_INT","."&amp;M$2&amp;M$1&amp;"P"&amp;$A12)="N/A",0,RTD("tos.rtd",,"OPEN_INT","."&amp;M$2&amp;M$1&amp;"P"&amp;$A12)),0),IF(RTD("tos.rtd",,$A$2,"."&amp;M$2&amp;M$1&amp;"C"&amp;$A12)="N/A",0,RTD("tos.rtd",,$A$2,"."&amp;M$2&amp;M$1&amp;"C"&amp;$A12))-IF(RTD("tos.rtd",,$A$2,"."&amp;M$2&amp;M$1&amp;"P"&amp;$A12)="N/A",0,RTD("tos.rtd",,$A$2,"."&amp;M$2&amp;M$1&amp;"P"&amp;$A12)))))))))</f>
        <v>481</v>
      </c>
      <c r="N12" s="12">
        <f>IF($A$2="PREMIUM_OI",IFERROR((100*RTD("tos.rtd",,"OPEN_INT","."&amp;N$2&amp;N$1&amp;"C"&amp;$A12)*RTD("tos.rtd",,"LAST","."&amp;N$2&amp;N$1&amp;"C"&amp;$A12)-100*RTD("tos.rtd",,"OPEN_INT","."&amp;N$2&amp;N$1&amp;"P"&amp;$A12)*RTD("tos.rtd",,"LAST","."&amp;N$2&amp;N$1&amp;"P"&amp;$A12))/1000000,0),IF($A$2="PREMIUM",IFERROR((100*RTD("tos.rtd",,"VOLUME","."&amp;N$2&amp;N$1&amp;"C"&amp;$A12)*RTD("tos.rtd",,"LAST","."&amp;N$2&amp;N$1&amp;"C"&amp;$A12)-100*RTD("tos.rtd",,"VOLUME","."&amp;N$2&amp;N$1&amp;"P"&amp;$A12)*RTD("tos.rtd",,"LAST","."&amp;N$2&amp;N$1&amp;"P"&amp;$A12))/1000000,0),IF($A$2="DEX",IFERROR((100*RTD("tos.rtd",,"OPEN_INT","."&amp;N$2&amp;N$1&amp;"C"&amp;$A12)*RTD("tos.rtd",,"DELTA","."&amp;N$2&amp;N$1&amp;"C"&amp;$A12)-100*RTD("tos.rtd",,"OPEN_INT","."&amp;N$2&amp;N$1&amp;"P"&amp;$A12)*RTD("tos.rtd",,"DELTA","."&amp;N$2&amp;N$1&amp;"P"&amp;$A12))/1000,0),IF($A$2="VEX",IFERROR(($A$4*$A$4*RTD("tos.rtd",,"VOLUME","."&amp;N$2&amp;N$1&amp;"C"&amp;$A12)*RTD("tos.rtd",,"GAMMA","."&amp;N$2&amp;N$1&amp;"C"&amp;$A12)-$A$4*$A$4*RTD("tos.rtd",,"VOLUME","."&amp;N$2&amp;N$1&amp;"P"&amp;$A12)*RTD("tos.rtd",,"GAMMA","."&amp;N$2&amp;N$1&amp;"P"&amp;$A12))/1000000,0),IF($A$2="GEX",IFERROR(($A$4*$A$4*RTD("tos.rtd",,"OPEN_INT","."&amp;N$2&amp;N$1&amp;"C"&amp;$A12)*RTD("tos.rtd",,"GAMMA","."&amp;N$2&amp;N$1&amp;"C"&amp;$A12)-$A$4*$A$4*RTD("tos.rtd",,"OPEN_INT","."&amp;N$2&amp;N$1&amp;"P"&amp;$A12)*RTD("tos.rtd",,"GAMMA","."&amp;N$2&amp;N$1&amp;"P"&amp;$A12))/1000000,0),IF($A$2="SKEW",IFERROR(VALUE(IF(RTD("tos.rtd",,"IMPL_VOL","."&amp;N$2&amp;N$1&amp;"P"&amp;$A12)="N/A",0,RTD("tos.rtd",,"IMPL_VOL","."&amp;N$2&amp;N$1&amp;"P"&amp;$A12))),0)-IFERROR(VALUE(IF(RTD("tos.rtd",,"IMPL_VOL","."&amp;N$2&amp;N$1&amp;"C"&amp;$A12)="N/A",0,RTD("tos.rtd",,"IMPL_VOL","."&amp;N$2&amp;N$1&amp;"C"&amp;$A12))),0),IF($A$2="MAXPAIN",IF($A$4&gt;$A12,($A$4-$A12)*IF(RTD("tos.rtd",,"OPEN_INT","."&amp;N$2&amp;N$1&amp;"C"&amp;$A12)="N/A",0,RTD("tos.rtd",,"OPEN_INT","."&amp;N$2&amp;N$1&amp;"C"&amp;$A12)),0)+IF($A$4&lt;$A12,($A12-$A$4)*IF(RTD("tos.rtd",,"OPEN_INT","."&amp;N$2&amp;N$1&amp;"P"&amp;$A12)="N/A",0,RTD("tos.rtd",,"OPEN_INT","."&amp;N$2&amp;N$1&amp;"P"&amp;$A12)),0),IF(RTD("tos.rtd",,$A$2,"."&amp;N$2&amp;N$1&amp;"C"&amp;$A12)="N/A",0,RTD("tos.rtd",,$A$2,"."&amp;N$2&amp;N$1&amp;"C"&amp;$A12))-IF(RTD("tos.rtd",,$A$2,"."&amp;N$2&amp;N$1&amp;"P"&amp;$A12)="N/A",0,RTD("tos.rtd",,$A$2,"."&amp;N$2&amp;N$1&amp;"P"&amp;$A12)))))))))</f>
        <v>0</v>
      </c>
      <c r="O12" s="12">
        <f>IF($A$2="PREMIUM_OI",IFERROR((100*RTD("tos.rtd",,"OPEN_INT","."&amp;O$2&amp;O$1&amp;"C"&amp;$A12)*RTD("tos.rtd",,"LAST","."&amp;O$2&amp;O$1&amp;"C"&amp;$A12)-100*RTD("tos.rtd",,"OPEN_INT","."&amp;O$2&amp;O$1&amp;"P"&amp;$A12)*RTD("tos.rtd",,"LAST","."&amp;O$2&amp;O$1&amp;"P"&amp;$A12))/1000000,0),IF($A$2="PREMIUM",IFERROR((100*RTD("tos.rtd",,"VOLUME","."&amp;O$2&amp;O$1&amp;"C"&amp;$A12)*RTD("tos.rtd",,"LAST","."&amp;O$2&amp;O$1&amp;"C"&amp;$A12)-100*RTD("tos.rtd",,"VOLUME","."&amp;O$2&amp;O$1&amp;"P"&amp;$A12)*RTD("tos.rtd",,"LAST","."&amp;O$2&amp;O$1&amp;"P"&amp;$A12))/1000000,0),IF($A$2="DEX",IFERROR((100*RTD("tos.rtd",,"OPEN_INT","."&amp;O$2&amp;O$1&amp;"C"&amp;$A12)*RTD("tos.rtd",,"DELTA","."&amp;O$2&amp;O$1&amp;"C"&amp;$A12)-100*RTD("tos.rtd",,"OPEN_INT","."&amp;O$2&amp;O$1&amp;"P"&amp;$A12)*RTD("tos.rtd",,"DELTA","."&amp;O$2&amp;O$1&amp;"P"&amp;$A12))/1000,0),IF($A$2="VEX",IFERROR(($A$4*$A$4*RTD("tos.rtd",,"VOLUME","."&amp;O$2&amp;O$1&amp;"C"&amp;$A12)*RTD("tos.rtd",,"GAMMA","."&amp;O$2&amp;O$1&amp;"C"&amp;$A12)-$A$4*$A$4*RTD("tos.rtd",,"VOLUME","."&amp;O$2&amp;O$1&amp;"P"&amp;$A12)*RTD("tos.rtd",,"GAMMA","."&amp;O$2&amp;O$1&amp;"P"&amp;$A12))/1000000,0),IF($A$2="GEX",IFERROR(($A$4*$A$4*RTD("tos.rtd",,"OPEN_INT","."&amp;O$2&amp;O$1&amp;"C"&amp;$A12)*RTD("tos.rtd",,"GAMMA","."&amp;O$2&amp;O$1&amp;"C"&amp;$A12)-$A$4*$A$4*RTD("tos.rtd",,"OPEN_INT","."&amp;O$2&amp;O$1&amp;"P"&amp;$A12)*RTD("tos.rtd",,"GAMMA","."&amp;O$2&amp;O$1&amp;"P"&amp;$A12))/1000000,0),IF($A$2="SKEW",IFERROR(VALUE(IF(RTD("tos.rtd",,"IMPL_VOL","."&amp;O$2&amp;O$1&amp;"P"&amp;$A12)="N/A",0,RTD("tos.rtd",,"IMPL_VOL","."&amp;O$2&amp;O$1&amp;"P"&amp;$A12))),0)-IFERROR(VALUE(IF(RTD("tos.rtd",,"IMPL_VOL","."&amp;O$2&amp;O$1&amp;"C"&amp;$A12)="N/A",0,RTD("tos.rtd",,"IMPL_VOL","."&amp;O$2&amp;O$1&amp;"C"&amp;$A12))),0),IF($A$2="MAXPAIN",IF($A$4&gt;$A12,($A$4-$A12)*IF(RTD("tos.rtd",,"OPEN_INT","."&amp;O$2&amp;O$1&amp;"C"&amp;$A12)="N/A",0,RTD("tos.rtd",,"OPEN_INT","."&amp;O$2&amp;O$1&amp;"C"&amp;$A12)),0)+IF($A$4&lt;$A12,($A12-$A$4)*IF(RTD("tos.rtd",,"OPEN_INT","."&amp;O$2&amp;O$1&amp;"P"&amp;$A12)="N/A",0,RTD("tos.rtd",,"OPEN_INT","."&amp;O$2&amp;O$1&amp;"P"&amp;$A12)),0),IF(RTD("tos.rtd",,$A$2,"."&amp;O$2&amp;O$1&amp;"C"&amp;$A12)="N/A",0,RTD("tos.rtd",,$A$2,"."&amp;O$2&amp;O$1&amp;"C"&amp;$A12))-IF(RTD("tos.rtd",,$A$2,"."&amp;O$2&amp;O$1&amp;"P"&amp;$A12)="N/A",0,RTD("tos.rtd",,$A$2,"."&amp;O$2&amp;O$1&amp;"P"&amp;$A12)))))))))</f>
        <v>0</v>
      </c>
      <c r="P12" s="12">
        <f>IF($A$2="PREMIUM_OI",IFERROR((100*RTD("tos.rtd",,"OPEN_INT","."&amp;P$2&amp;P$1&amp;"C"&amp;$A12)*RTD("tos.rtd",,"LAST","."&amp;P$2&amp;P$1&amp;"C"&amp;$A12)-100*RTD("tos.rtd",,"OPEN_INT","."&amp;P$2&amp;P$1&amp;"P"&amp;$A12)*RTD("tos.rtd",,"LAST","."&amp;P$2&amp;P$1&amp;"P"&amp;$A12))/1000000,0),IF($A$2="PREMIUM",IFERROR((100*RTD("tos.rtd",,"VOLUME","."&amp;P$2&amp;P$1&amp;"C"&amp;$A12)*RTD("tos.rtd",,"LAST","."&amp;P$2&amp;P$1&amp;"C"&amp;$A12)-100*RTD("tos.rtd",,"VOLUME","."&amp;P$2&amp;P$1&amp;"P"&amp;$A12)*RTD("tos.rtd",,"LAST","."&amp;P$2&amp;P$1&amp;"P"&amp;$A12))/1000000,0),IF($A$2="DEX",IFERROR((100*RTD("tos.rtd",,"OPEN_INT","."&amp;P$2&amp;P$1&amp;"C"&amp;$A12)*RTD("tos.rtd",,"DELTA","."&amp;P$2&amp;P$1&amp;"C"&amp;$A12)-100*RTD("tos.rtd",,"OPEN_INT","."&amp;P$2&amp;P$1&amp;"P"&amp;$A12)*RTD("tos.rtd",,"DELTA","."&amp;P$2&amp;P$1&amp;"P"&amp;$A12))/1000,0),IF($A$2="VEX",IFERROR(($A$4*$A$4*RTD("tos.rtd",,"VOLUME","."&amp;P$2&amp;P$1&amp;"C"&amp;$A12)*RTD("tos.rtd",,"GAMMA","."&amp;P$2&amp;P$1&amp;"C"&amp;$A12)-$A$4*$A$4*RTD("tos.rtd",,"VOLUME","."&amp;P$2&amp;P$1&amp;"P"&amp;$A12)*RTD("tos.rtd",,"GAMMA","."&amp;P$2&amp;P$1&amp;"P"&amp;$A12))/1000000,0),IF($A$2="GEX",IFERROR(($A$4*$A$4*RTD("tos.rtd",,"OPEN_INT","."&amp;P$2&amp;P$1&amp;"C"&amp;$A12)*RTD("tos.rtd",,"GAMMA","."&amp;P$2&amp;P$1&amp;"C"&amp;$A12)-$A$4*$A$4*RTD("tos.rtd",,"OPEN_INT","."&amp;P$2&amp;P$1&amp;"P"&amp;$A12)*RTD("tos.rtd",,"GAMMA","."&amp;P$2&amp;P$1&amp;"P"&amp;$A12))/1000000,0),IF($A$2="SKEW",IFERROR(VALUE(IF(RTD("tos.rtd",,"IMPL_VOL","."&amp;P$2&amp;P$1&amp;"P"&amp;$A12)="N/A",0,RTD("tos.rtd",,"IMPL_VOL","."&amp;P$2&amp;P$1&amp;"P"&amp;$A12))),0)-IFERROR(VALUE(IF(RTD("tos.rtd",,"IMPL_VOL","."&amp;P$2&amp;P$1&amp;"C"&amp;$A12)="N/A",0,RTD("tos.rtd",,"IMPL_VOL","."&amp;P$2&amp;P$1&amp;"C"&amp;$A12))),0),IF($A$2="MAXPAIN",IF($A$4&gt;$A12,($A$4-$A12)*IF(RTD("tos.rtd",,"OPEN_INT","."&amp;P$2&amp;P$1&amp;"C"&amp;$A12)="N/A",0,RTD("tos.rtd",,"OPEN_INT","."&amp;P$2&amp;P$1&amp;"C"&amp;$A12)),0)+IF($A$4&lt;$A12,($A12-$A$4)*IF(RTD("tos.rtd",,"OPEN_INT","."&amp;P$2&amp;P$1&amp;"P"&amp;$A12)="N/A",0,RTD("tos.rtd",,"OPEN_INT","."&amp;P$2&amp;P$1&amp;"P"&amp;$A12)),0),IF(RTD("tos.rtd",,$A$2,"."&amp;P$2&amp;P$1&amp;"C"&amp;$A12)="N/A",0,RTD("tos.rtd",,$A$2,"."&amp;P$2&amp;P$1&amp;"C"&amp;$A12))-IF(RTD("tos.rtd",,$A$2,"."&amp;P$2&amp;P$1&amp;"P"&amp;$A12)="N/A",0,RTD("tos.rtd",,$A$2,"."&amp;P$2&amp;P$1&amp;"P"&amp;$A12)))))))))</f>
        <v>0</v>
      </c>
      <c r="Q12" s="12">
        <f>IF($A$2="PREMIUM_OI",IFERROR((100*RTD("tos.rtd",,"OPEN_INT","."&amp;Q$2&amp;Q$1&amp;"C"&amp;$A12)*RTD("tos.rtd",,"LAST","."&amp;Q$2&amp;Q$1&amp;"C"&amp;$A12)-100*RTD("tos.rtd",,"OPEN_INT","."&amp;Q$2&amp;Q$1&amp;"P"&amp;$A12)*RTD("tos.rtd",,"LAST","."&amp;Q$2&amp;Q$1&amp;"P"&amp;$A12))/1000000,0),IF($A$2="PREMIUM",IFERROR((100*RTD("tos.rtd",,"VOLUME","."&amp;Q$2&amp;Q$1&amp;"C"&amp;$A12)*RTD("tos.rtd",,"LAST","."&amp;Q$2&amp;Q$1&amp;"C"&amp;$A12)-100*RTD("tos.rtd",,"VOLUME","."&amp;Q$2&amp;Q$1&amp;"P"&amp;$A12)*RTD("tos.rtd",,"LAST","."&amp;Q$2&amp;Q$1&amp;"P"&amp;$A12))/1000000,0),IF($A$2="DEX",IFERROR((100*RTD("tos.rtd",,"OPEN_INT","."&amp;Q$2&amp;Q$1&amp;"C"&amp;$A12)*RTD("tos.rtd",,"DELTA","."&amp;Q$2&amp;Q$1&amp;"C"&amp;$A12)-100*RTD("tos.rtd",,"OPEN_INT","."&amp;Q$2&amp;Q$1&amp;"P"&amp;$A12)*RTD("tos.rtd",,"DELTA","."&amp;Q$2&amp;Q$1&amp;"P"&amp;$A12))/1000,0),IF($A$2="VEX",IFERROR(($A$4*$A$4*RTD("tos.rtd",,"VOLUME","."&amp;Q$2&amp;Q$1&amp;"C"&amp;$A12)*RTD("tos.rtd",,"GAMMA","."&amp;Q$2&amp;Q$1&amp;"C"&amp;$A12)-$A$4*$A$4*RTD("tos.rtd",,"VOLUME","."&amp;Q$2&amp;Q$1&amp;"P"&amp;$A12)*RTD("tos.rtd",,"GAMMA","."&amp;Q$2&amp;Q$1&amp;"P"&amp;$A12))/1000000,0),IF($A$2="GEX",IFERROR(($A$4*$A$4*RTD("tos.rtd",,"OPEN_INT","."&amp;Q$2&amp;Q$1&amp;"C"&amp;$A12)*RTD("tos.rtd",,"GAMMA","."&amp;Q$2&amp;Q$1&amp;"C"&amp;$A12)-$A$4*$A$4*RTD("tos.rtd",,"OPEN_INT","."&amp;Q$2&amp;Q$1&amp;"P"&amp;$A12)*RTD("tos.rtd",,"GAMMA","."&amp;Q$2&amp;Q$1&amp;"P"&amp;$A12))/1000000,0),IF($A$2="SKEW",IFERROR(VALUE(IF(RTD("tos.rtd",,"IMPL_VOL","."&amp;Q$2&amp;Q$1&amp;"P"&amp;$A12)="N/A",0,RTD("tos.rtd",,"IMPL_VOL","."&amp;Q$2&amp;Q$1&amp;"P"&amp;$A12))),0)-IFERROR(VALUE(IF(RTD("tos.rtd",,"IMPL_VOL","."&amp;Q$2&amp;Q$1&amp;"C"&amp;$A12)="N/A",0,RTD("tos.rtd",,"IMPL_VOL","."&amp;Q$2&amp;Q$1&amp;"C"&amp;$A12))),0),IF($A$2="MAXPAIN",IF($A$4&gt;$A12,($A$4-$A12)*IF(RTD("tos.rtd",,"OPEN_INT","."&amp;Q$2&amp;Q$1&amp;"C"&amp;$A12)="N/A",0,RTD("tos.rtd",,"OPEN_INT","."&amp;Q$2&amp;Q$1&amp;"C"&amp;$A12)),0)+IF($A$4&lt;$A12,($A12-$A$4)*IF(RTD("tos.rtd",,"OPEN_INT","."&amp;Q$2&amp;Q$1&amp;"P"&amp;$A12)="N/A",0,RTD("tos.rtd",,"OPEN_INT","."&amp;Q$2&amp;Q$1&amp;"P"&amp;$A12)),0),IF(RTD("tos.rtd",,$A$2,"."&amp;Q$2&amp;Q$1&amp;"C"&amp;$A12)="N/A",0,RTD("tos.rtd",,$A$2,"."&amp;Q$2&amp;Q$1&amp;"C"&amp;$A12))-IF(RTD("tos.rtd",,$A$2,"."&amp;Q$2&amp;Q$1&amp;"P"&amp;$A12)="N/A",0,RTD("tos.rtd",,$A$2,"."&amp;Q$2&amp;Q$1&amp;"P"&amp;$A12)))))))))</f>
        <v>0</v>
      </c>
      <c r="R12" s="12">
        <f>IF($A$2="PREMIUM_OI",IFERROR((100*RTD("tos.rtd",,"OPEN_INT","."&amp;R$2&amp;R$1&amp;"C"&amp;$A12)*RTD("tos.rtd",,"LAST","."&amp;R$2&amp;R$1&amp;"C"&amp;$A12)-100*RTD("tos.rtd",,"OPEN_INT","."&amp;R$2&amp;R$1&amp;"P"&amp;$A12)*RTD("tos.rtd",,"LAST","."&amp;R$2&amp;R$1&amp;"P"&amp;$A12))/1000000,0),IF($A$2="PREMIUM",IFERROR((100*RTD("tos.rtd",,"VOLUME","."&amp;R$2&amp;R$1&amp;"C"&amp;$A12)*RTD("tos.rtd",,"LAST","."&amp;R$2&amp;R$1&amp;"C"&amp;$A12)-100*RTD("tos.rtd",,"VOLUME","."&amp;R$2&amp;R$1&amp;"P"&amp;$A12)*RTD("tos.rtd",,"LAST","."&amp;R$2&amp;R$1&amp;"P"&amp;$A12))/1000000,0),IF($A$2="DEX",IFERROR((100*RTD("tos.rtd",,"OPEN_INT","."&amp;R$2&amp;R$1&amp;"C"&amp;$A12)*RTD("tos.rtd",,"DELTA","."&amp;R$2&amp;R$1&amp;"C"&amp;$A12)-100*RTD("tos.rtd",,"OPEN_INT","."&amp;R$2&amp;R$1&amp;"P"&amp;$A12)*RTD("tos.rtd",,"DELTA","."&amp;R$2&amp;R$1&amp;"P"&amp;$A12))/1000,0),IF($A$2="VEX",IFERROR(($A$4*$A$4*RTD("tos.rtd",,"VOLUME","."&amp;R$2&amp;R$1&amp;"C"&amp;$A12)*RTD("tos.rtd",,"GAMMA","."&amp;R$2&amp;R$1&amp;"C"&amp;$A12)-$A$4*$A$4*RTD("tos.rtd",,"VOLUME","."&amp;R$2&amp;R$1&amp;"P"&amp;$A12)*RTD("tos.rtd",,"GAMMA","."&amp;R$2&amp;R$1&amp;"P"&amp;$A12))/1000000,0),IF($A$2="GEX",IFERROR(($A$4*$A$4*RTD("tos.rtd",,"OPEN_INT","."&amp;R$2&amp;R$1&amp;"C"&amp;$A12)*RTD("tos.rtd",,"GAMMA","."&amp;R$2&amp;R$1&amp;"C"&amp;$A12)-$A$4*$A$4*RTD("tos.rtd",,"OPEN_INT","."&amp;R$2&amp;R$1&amp;"P"&amp;$A12)*RTD("tos.rtd",,"GAMMA","."&amp;R$2&amp;R$1&amp;"P"&amp;$A12))/1000000,0),IF($A$2="SKEW",IFERROR(VALUE(IF(RTD("tos.rtd",,"IMPL_VOL","."&amp;R$2&amp;R$1&amp;"P"&amp;$A12)="N/A",0,RTD("tos.rtd",,"IMPL_VOL","."&amp;R$2&amp;R$1&amp;"P"&amp;$A12))),0)-IFERROR(VALUE(IF(RTD("tos.rtd",,"IMPL_VOL","."&amp;R$2&amp;R$1&amp;"C"&amp;$A12)="N/A",0,RTD("tos.rtd",,"IMPL_VOL","."&amp;R$2&amp;R$1&amp;"C"&amp;$A12))),0),IF($A$2="MAXPAIN",IF($A$4&gt;$A12,($A$4-$A12)*IF(RTD("tos.rtd",,"OPEN_INT","."&amp;R$2&amp;R$1&amp;"C"&amp;$A12)="N/A",0,RTD("tos.rtd",,"OPEN_INT","."&amp;R$2&amp;R$1&amp;"C"&amp;$A12)),0)+IF($A$4&lt;$A12,($A12-$A$4)*IF(RTD("tos.rtd",,"OPEN_INT","."&amp;R$2&amp;R$1&amp;"P"&amp;$A12)="N/A",0,RTD("tos.rtd",,"OPEN_INT","."&amp;R$2&amp;R$1&amp;"P"&amp;$A12)),0),IF(RTD("tos.rtd",,$A$2,"."&amp;R$2&amp;R$1&amp;"C"&amp;$A12)="N/A",0,RTD("tos.rtd",,$A$2,"."&amp;R$2&amp;R$1&amp;"C"&amp;$A12))-IF(RTD("tos.rtd",,$A$2,"."&amp;R$2&amp;R$1&amp;"P"&amp;$A12)="N/A",0,RTD("tos.rtd",,$A$2,"."&amp;R$2&amp;R$1&amp;"P"&amp;$A12)))))))))</f>
        <v>1346</v>
      </c>
      <c r="S12" s="12">
        <f>IF($A$2="PREMIUM_OI",IFERROR((100*RTD("tos.rtd",,"OPEN_INT","."&amp;S$2&amp;S$1&amp;"C"&amp;$A12)*RTD("tos.rtd",,"LAST","."&amp;S$2&amp;S$1&amp;"C"&amp;$A12)-100*RTD("tos.rtd",,"OPEN_INT","."&amp;S$2&amp;S$1&amp;"P"&amp;$A12)*RTD("tos.rtd",,"LAST","."&amp;S$2&amp;S$1&amp;"P"&amp;$A12))/1000000,0),IF($A$2="PREMIUM",IFERROR((100*RTD("tos.rtd",,"VOLUME","."&amp;S$2&amp;S$1&amp;"C"&amp;$A12)*RTD("tos.rtd",,"LAST","."&amp;S$2&amp;S$1&amp;"C"&amp;$A12)-100*RTD("tos.rtd",,"VOLUME","."&amp;S$2&amp;S$1&amp;"P"&amp;$A12)*RTD("tos.rtd",,"LAST","."&amp;S$2&amp;S$1&amp;"P"&amp;$A12))/1000000,0),IF($A$2="DEX",IFERROR((100*RTD("tos.rtd",,"OPEN_INT","."&amp;S$2&amp;S$1&amp;"C"&amp;$A12)*RTD("tos.rtd",,"DELTA","."&amp;S$2&amp;S$1&amp;"C"&amp;$A12)-100*RTD("tos.rtd",,"OPEN_INT","."&amp;S$2&amp;S$1&amp;"P"&amp;$A12)*RTD("tos.rtd",,"DELTA","."&amp;S$2&amp;S$1&amp;"P"&amp;$A12))/1000,0),IF($A$2="VEX",IFERROR(($A$4*$A$4*RTD("tos.rtd",,"VOLUME","."&amp;S$2&amp;S$1&amp;"C"&amp;$A12)*RTD("tos.rtd",,"GAMMA","."&amp;S$2&amp;S$1&amp;"C"&amp;$A12)-$A$4*$A$4*RTD("tos.rtd",,"VOLUME","."&amp;S$2&amp;S$1&amp;"P"&amp;$A12)*RTD("tos.rtd",,"GAMMA","."&amp;S$2&amp;S$1&amp;"P"&amp;$A12))/1000000,0),IF($A$2="GEX",IFERROR(($A$4*$A$4*RTD("tos.rtd",,"OPEN_INT","."&amp;S$2&amp;S$1&amp;"C"&amp;$A12)*RTD("tos.rtd",,"GAMMA","."&amp;S$2&amp;S$1&amp;"C"&amp;$A12)-$A$4*$A$4*RTD("tos.rtd",,"OPEN_INT","."&amp;S$2&amp;S$1&amp;"P"&amp;$A12)*RTD("tos.rtd",,"GAMMA","."&amp;S$2&amp;S$1&amp;"P"&amp;$A12))/1000000,0),IF($A$2="SKEW",IFERROR(VALUE(IF(RTD("tos.rtd",,"IMPL_VOL","."&amp;S$2&amp;S$1&amp;"P"&amp;$A12)="N/A",0,RTD("tos.rtd",,"IMPL_VOL","."&amp;S$2&amp;S$1&amp;"P"&amp;$A12))),0)-IFERROR(VALUE(IF(RTD("tos.rtd",,"IMPL_VOL","."&amp;S$2&amp;S$1&amp;"C"&amp;$A12)="N/A",0,RTD("tos.rtd",,"IMPL_VOL","."&amp;S$2&amp;S$1&amp;"C"&amp;$A12))),0),IF($A$2="MAXPAIN",IF($A$4&gt;$A12,($A$4-$A12)*IF(RTD("tos.rtd",,"OPEN_INT","."&amp;S$2&amp;S$1&amp;"C"&amp;$A12)="N/A",0,RTD("tos.rtd",,"OPEN_INT","."&amp;S$2&amp;S$1&amp;"C"&amp;$A12)),0)+IF($A$4&lt;$A12,($A12-$A$4)*IF(RTD("tos.rtd",,"OPEN_INT","."&amp;S$2&amp;S$1&amp;"P"&amp;$A12)="N/A",0,RTD("tos.rtd",,"OPEN_INT","."&amp;S$2&amp;S$1&amp;"P"&amp;$A12)),0),IF(RTD("tos.rtd",,$A$2,"."&amp;S$2&amp;S$1&amp;"C"&amp;$A12)="N/A",0,RTD("tos.rtd",,$A$2,"."&amp;S$2&amp;S$1&amp;"C"&amp;$A12))-IF(RTD("tos.rtd",,$A$2,"."&amp;S$2&amp;S$1&amp;"P"&amp;$A12)="N/A",0,RTD("tos.rtd",,$A$2,"."&amp;S$2&amp;S$1&amp;"P"&amp;$A12)))))))))</f>
        <v>1611</v>
      </c>
      <c r="T12" s="12">
        <f>IF($A$2="PREMIUM_OI",IFERROR((100*RTD("tos.rtd",,"OPEN_INT","."&amp;T$2&amp;T$1&amp;"C"&amp;$A12)*RTD("tos.rtd",,"LAST","."&amp;T$2&amp;T$1&amp;"C"&amp;$A12)-100*RTD("tos.rtd",,"OPEN_INT","."&amp;T$2&amp;T$1&amp;"P"&amp;$A12)*RTD("tos.rtd",,"LAST","."&amp;T$2&amp;T$1&amp;"P"&amp;$A12))/1000000,0),IF($A$2="PREMIUM",IFERROR((100*RTD("tos.rtd",,"VOLUME","."&amp;T$2&amp;T$1&amp;"C"&amp;$A12)*RTD("tos.rtd",,"LAST","."&amp;T$2&amp;T$1&amp;"C"&amp;$A12)-100*RTD("tos.rtd",,"VOLUME","."&amp;T$2&amp;T$1&amp;"P"&amp;$A12)*RTD("tos.rtd",,"LAST","."&amp;T$2&amp;T$1&amp;"P"&amp;$A12))/1000000,0),IF($A$2="DEX",IFERROR((100*RTD("tos.rtd",,"OPEN_INT","."&amp;T$2&amp;T$1&amp;"C"&amp;$A12)*RTD("tos.rtd",,"DELTA","."&amp;T$2&amp;T$1&amp;"C"&amp;$A12)-100*RTD("tos.rtd",,"OPEN_INT","."&amp;T$2&amp;T$1&amp;"P"&amp;$A12)*RTD("tos.rtd",,"DELTA","."&amp;T$2&amp;T$1&amp;"P"&amp;$A12))/1000,0),IF($A$2="VEX",IFERROR(($A$4*$A$4*RTD("tos.rtd",,"VOLUME","."&amp;T$2&amp;T$1&amp;"C"&amp;$A12)*RTD("tos.rtd",,"GAMMA","."&amp;T$2&amp;T$1&amp;"C"&amp;$A12)-$A$4*$A$4*RTD("tos.rtd",,"VOLUME","."&amp;T$2&amp;T$1&amp;"P"&amp;$A12)*RTD("tos.rtd",,"GAMMA","."&amp;T$2&amp;T$1&amp;"P"&amp;$A12))/1000000,0),IF($A$2="GEX",IFERROR(($A$4*$A$4*RTD("tos.rtd",,"OPEN_INT","."&amp;T$2&amp;T$1&amp;"C"&amp;$A12)*RTD("tos.rtd",,"GAMMA","."&amp;T$2&amp;T$1&amp;"C"&amp;$A12)-$A$4*$A$4*RTD("tos.rtd",,"OPEN_INT","."&amp;T$2&amp;T$1&amp;"P"&amp;$A12)*RTD("tos.rtd",,"GAMMA","."&amp;T$2&amp;T$1&amp;"P"&amp;$A12))/1000000,0),IF($A$2="SKEW",IFERROR(VALUE(IF(RTD("tos.rtd",,"IMPL_VOL","."&amp;T$2&amp;T$1&amp;"P"&amp;$A12)="N/A",0,RTD("tos.rtd",,"IMPL_VOL","."&amp;T$2&amp;T$1&amp;"P"&amp;$A12))),0)-IFERROR(VALUE(IF(RTD("tos.rtd",,"IMPL_VOL","."&amp;T$2&amp;T$1&amp;"C"&amp;$A12)="N/A",0,RTD("tos.rtd",,"IMPL_VOL","."&amp;T$2&amp;T$1&amp;"C"&amp;$A12))),0),IF($A$2="MAXPAIN",IF($A$4&gt;$A12,($A$4-$A12)*IF(RTD("tos.rtd",,"OPEN_INT","."&amp;T$2&amp;T$1&amp;"C"&amp;$A12)="N/A",0,RTD("tos.rtd",,"OPEN_INT","."&amp;T$2&amp;T$1&amp;"C"&amp;$A12)),0)+IF($A$4&lt;$A12,($A12-$A$4)*IF(RTD("tos.rtd",,"OPEN_INT","."&amp;T$2&amp;T$1&amp;"P"&amp;$A12)="N/A",0,RTD("tos.rtd",,"OPEN_INT","."&amp;T$2&amp;T$1&amp;"P"&amp;$A12)),0),IF(RTD("tos.rtd",,$A$2,"."&amp;T$2&amp;T$1&amp;"C"&amp;$A12)="N/A",0,RTD("tos.rtd",,$A$2,"."&amp;T$2&amp;T$1&amp;"C"&amp;$A12))-IF(RTD("tos.rtd",,$A$2,"."&amp;T$2&amp;T$1&amp;"P"&amp;$A12)="N/A",0,RTD("tos.rtd",,$A$2,"."&amp;T$2&amp;T$1&amp;"P"&amp;$A12)))))))))</f>
        <v>302</v>
      </c>
      <c r="U12" s="12">
        <f>IF($A$2="PREMIUM_OI",IFERROR((100*RTD("tos.rtd",,"OPEN_INT","."&amp;U$2&amp;U$1&amp;"C"&amp;$A12)*RTD("tos.rtd",,"LAST","."&amp;U$2&amp;U$1&amp;"C"&amp;$A12)-100*RTD("tos.rtd",,"OPEN_INT","."&amp;U$2&amp;U$1&amp;"P"&amp;$A12)*RTD("tos.rtd",,"LAST","."&amp;U$2&amp;U$1&amp;"P"&amp;$A12))/1000000,0),IF($A$2="PREMIUM",IFERROR((100*RTD("tos.rtd",,"VOLUME","."&amp;U$2&amp;U$1&amp;"C"&amp;$A12)*RTD("tos.rtd",,"LAST","."&amp;U$2&amp;U$1&amp;"C"&amp;$A12)-100*RTD("tos.rtd",,"VOLUME","."&amp;U$2&amp;U$1&amp;"P"&amp;$A12)*RTD("tos.rtd",,"LAST","."&amp;U$2&amp;U$1&amp;"P"&amp;$A12))/1000000,0),IF($A$2="DEX",IFERROR((100*RTD("tos.rtd",,"OPEN_INT","."&amp;U$2&amp;U$1&amp;"C"&amp;$A12)*RTD("tos.rtd",,"DELTA","."&amp;U$2&amp;U$1&amp;"C"&amp;$A12)-100*RTD("tos.rtd",,"OPEN_INT","."&amp;U$2&amp;U$1&amp;"P"&amp;$A12)*RTD("tos.rtd",,"DELTA","."&amp;U$2&amp;U$1&amp;"P"&amp;$A12))/1000,0),IF($A$2="VEX",IFERROR(($A$4*$A$4*RTD("tos.rtd",,"VOLUME","."&amp;U$2&amp;U$1&amp;"C"&amp;$A12)*RTD("tos.rtd",,"GAMMA","."&amp;U$2&amp;U$1&amp;"C"&amp;$A12)-$A$4*$A$4*RTD("tos.rtd",,"VOLUME","."&amp;U$2&amp;U$1&amp;"P"&amp;$A12)*RTD("tos.rtd",,"GAMMA","."&amp;U$2&amp;U$1&amp;"P"&amp;$A12))/1000000,0),IF($A$2="GEX",IFERROR(($A$4*$A$4*RTD("tos.rtd",,"OPEN_INT","."&amp;U$2&amp;U$1&amp;"C"&amp;$A12)*RTD("tos.rtd",,"GAMMA","."&amp;U$2&amp;U$1&amp;"C"&amp;$A12)-$A$4*$A$4*RTD("tos.rtd",,"OPEN_INT","."&amp;U$2&amp;U$1&amp;"P"&amp;$A12)*RTD("tos.rtd",,"GAMMA","."&amp;U$2&amp;U$1&amp;"P"&amp;$A12))/1000000,0),IF($A$2="SKEW",IFERROR(VALUE(IF(RTD("tos.rtd",,"IMPL_VOL","."&amp;U$2&amp;U$1&amp;"P"&amp;$A12)="N/A",0,RTD("tos.rtd",,"IMPL_VOL","."&amp;U$2&amp;U$1&amp;"P"&amp;$A12))),0)-IFERROR(VALUE(IF(RTD("tos.rtd",,"IMPL_VOL","."&amp;U$2&amp;U$1&amp;"C"&amp;$A12)="N/A",0,RTD("tos.rtd",,"IMPL_VOL","."&amp;U$2&amp;U$1&amp;"C"&amp;$A12))),0),IF($A$2="MAXPAIN",IF($A$4&gt;$A12,($A$4-$A12)*IF(RTD("tos.rtd",,"OPEN_INT","."&amp;U$2&amp;U$1&amp;"C"&amp;$A12)="N/A",0,RTD("tos.rtd",,"OPEN_INT","."&amp;U$2&amp;U$1&amp;"C"&amp;$A12)),0)+IF($A$4&lt;$A12,($A12-$A$4)*IF(RTD("tos.rtd",,"OPEN_INT","."&amp;U$2&amp;U$1&amp;"P"&amp;$A12)="N/A",0,RTD("tos.rtd",,"OPEN_INT","."&amp;U$2&amp;U$1&amp;"P"&amp;$A12)),0),IF(RTD("tos.rtd",,$A$2,"."&amp;U$2&amp;U$1&amp;"C"&amp;$A12)="N/A",0,RTD("tos.rtd",,$A$2,"."&amp;U$2&amp;U$1&amp;"C"&amp;$A12))-IF(RTD("tos.rtd",,$A$2,"."&amp;U$2&amp;U$1&amp;"P"&amp;$A12)="N/A",0,RTD("tos.rtd",,$A$2,"."&amp;U$2&amp;U$1&amp;"P"&amp;$A12)))))))))</f>
        <v>0</v>
      </c>
      <c r="V12" s="12">
        <f>IF($A$2="PREMIUM_OI",IFERROR((100*RTD("tos.rtd",,"OPEN_INT","."&amp;V$2&amp;V$1&amp;"C"&amp;$A12)*RTD("tos.rtd",,"LAST","."&amp;V$2&amp;V$1&amp;"C"&amp;$A12)-100*RTD("tos.rtd",,"OPEN_INT","."&amp;V$2&amp;V$1&amp;"P"&amp;$A12)*RTD("tos.rtd",,"LAST","."&amp;V$2&amp;V$1&amp;"P"&amp;$A12))/1000000,0),IF($A$2="PREMIUM",IFERROR((100*RTD("tos.rtd",,"VOLUME","."&amp;V$2&amp;V$1&amp;"C"&amp;$A12)*RTD("tos.rtd",,"LAST","."&amp;V$2&amp;V$1&amp;"C"&amp;$A12)-100*RTD("tos.rtd",,"VOLUME","."&amp;V$2&amp;V$1&amp;"P"&amp;$A12)*RTD("tos.rtd",,"LAST","."&amp;V$2&amp;V$1&amp;"P"&amp;$A12))/1000000,0),IF($A$2="DEX",IFERROR((100*RTD("tos.rtd",,"OPEN_INT","."&amp;V$2&amp;V$1&amp;"C"&amp;$A12)*RTD("tos.rtd",,"DELTA","."&amp;V$2&amp;V$1&amp;"C"&amp;$A12)-100*RTD("tos.rtd",,"OPEN_INT","."&amp;V$2&amp;V$1&amp;"P"&amp;$A12)*RTD("tos.rtd",,"DELTA","."&amp;V$2&amp;V$1&amp;"P"&amp;$A12))/1000,0),IF($A$2="VEX",IFERROR(($A$4*$A$4*RTD("tos.rtd",,"VOLUME","."&amp;V$2&amp;V$1&amp;"C"&amp;$A12)*RTD("tos.rtd",,"GAMMA","."&amp;V$2&amp;V$1&amp;"C"&amp;$A12)-$A$4*$A$4*RTD("tos.rtd",,"VOLUME","."&amp;V$2&amp;V$1&amp;"P"&amp;$A12)*RTD("tos.rtd",,"GAMMA","."&amp;V$2&amp;V$1&amp;"P"&amp;$A12))/1000000,0),IF($A$2="GEX",IFERROR(($A$4*$A$4*RTD("tos.rtd",,"OPEN_INT","."&amp;V$2&amp;V$1&amp;"C"&amp;$A12)*RTD("tos.rtd",,"GAMMA","."&amp;V$2&amp;V$1&amp;"C"&amp;$A12)-$A$4*$A$4*RTD("tos.rtd",,"OPEN_INT","."&amp;V$2&amp;V$1&amp;"P"&amp;$A12)*RTD("tos.rtd",,"GAMMA","."&amp;V$2&amp;V$1&amp;"P"&amp;$A12))/1000000,0),IF($A$2="SKEW",IFERROR(VALUE(IF(RTD("tos.rtd",,"IMPL_VOL","."&amp;V$2&amp;V$1&amp;"P"&amp;$A12)="N/A",0,RTD("tos.rtd",,"IMPL_VOL","."&amp;V$2&amp;V$1&amp;"P"&amp;$A12))),0)-IFERROR(VALUE(IF(RTD("tos.rtd",,"IMPL_VOL","."&amp;V$2&amp;V$1&amp;"C"&amp;$A12)="N/A",0,RTD("tos.rtd",,"IMPL_VOL","."&amp;V$2&amp;V$1&amp;"C"&amp;$A12))),0),IF($A$2="MAXPAIN",IF($A$4&gt;$A12,($A$4-$A12)*IF(RTD("tos.rtd",,"OPEN_INT","."&amp;V$2&amp;V$1&amp;"C"&amp;$A12)="N/A",0,RTD("tos.rtd",,"OPEN_INT","."&amp;V$2&amp;V$1&amp;"C"&amp;$A12)),0)+IF($A$4&lt;$A12,($A12-$A$4)*IF(RTD("tos.rtd",,"OPEN_INT","."&amp;V$2&amp;V$1&amp;"P"&amp;$A12)="N/A",0,RTD("tos.rtd",,"OPEN_INT","."&amp;V$2&amp;V$1&amp;"P"&amp;$A12)),0),IF(RTD("tos.rtd",,$A$2,"."&amp;V$2&amp;V$1&amp;"C"&amp;$A12)="N/A",0,RTD("tos.rtd",,$A$2,"."&amp;V$2&amp;V$1&amp;"C"&amp;$A12))-IF(RTD("tos.rtd",,$A$2,"."&amp;V$2&amp;V$1&amp;"P"&amp;$A12)="N/A",0,RTD("tos.rtd",,$A$2,"."&amp;V$2&amp;V$1&amp;"P"&amp;$A12)))))))))</f>
        <v>0</v>
      </c>
      <c r="W12" s="12">
        <f>IF($A$2="PREMIUM_OI",IFERROR((100*RTD("tos.rtd",,"OPEN_INT","."&amp;W$2&amp;W$1&amp;"C"&amp;$A12)*RTD("tos.rtd",,"LAST","."&amp;W$2&amp;W$1&amp;"C"&amp;$A12)-100*RTD("tos.rtd",,"OPEN_INT","."&amp;W$2&amp;W$1&amp;"P"&amp;$A12)*RTD("tos.rtd",,"LAST","."&amp;W$2&amp;W$1&amp;"P"&amp;$A12))/1000000,0),IF($A$2="PREMIUM",IFERROR((100*RTD("tos.rtd",,"VOLUME","."&amp;W$2&amp;W$1&amp;"C"&amp;$A12)*RTD("tos.rtd",,"LAST","."&amp;W$2&amp;W$1&amp;"C"&amp;$A12)-100*RTD("tos.rtd",,"VOLUME","."&amp;W$2&amp;W$1&amp;"P"&amp;$A12)*RTD("tos.rtd",,"LAST","."&amp;W$2&amp;W$1&amp;"P"&amp;$A12))/1000000,0),IF($A$2="DEX",IFERROR((100*RTD("tos.rtd",,"OPEN_INT","."&amp;W$2&amp;W$1&amp;"C"&amp;$A12)*RTD("tos.rtd",,"DELTA","."&amp;W$2&amp;W$1&amp;"C"&amp;$A12)-100*RTD("tos.rtd",,"OPEN_INT","."&amp;W$2&amp;W$1&amp;"P"&amp;$A12)*RTD("tos.rtd",,"DELTA","."&amp;W$2&amp;W$1&amp;"P"&amp;$A12))/1000,0),IF($A$2="VEX",IFERROR(($A$4*$A$4*RTD("tos.rtd",,"VOLUME","."&amp;W$2&amp;W$1&amp;"C"&amp;$A12)*RTD("tos.rtd",,"GAMMA","."&amp;W$2&amp;W$1&amp;"C"&amp;$A12)-$A$4*$A$4*RTD("tos.rtd",,"VOLUME","."&amp;W$2&amp;W$1&amp;"P"&amp;$A12)*RTD("tos.rtd",,"GAMMA","."&amp;W$2&amp;W$1&amp;"P"&amp;$A12))/1000000,0),IF($A$2="GEX",IFERROR(($A$4*$A$4*RTD("tos.rtd",,"OPEN_INT","."&amp;W$2&amp;W$1&amp;"C"&amp;$A12)*RTD("tos.rtd",,"GAMMA","."&amp;W$2&amp;W$1&amp;"C"&amp;$A12)-$A$4*$A$4*RTD("tos.rtd",,"OPEN_INT","."&amp;W$2&amp;W$1&amp;"P"&amp;$A12)*RTD("tos.rtd",,"GAMMA","."&amp;W$2&amp;W$1&amp;"P"&amp;$A12))/1000000,0),IF($A$2="SKEW",IFERROR(VALUE(IF(RTD("tos.rtd",,"IMPL_VOL","."&amp;W$2&amp;W$1&amp;"P"&amp;$A12)="N/A",0,RTD("tos.rtd",,"IMPL_VOL","."&amp;W$2&amp;W$1&amp;"P"&amp;$A12))),0)-IFERROR(VALUE(IF(RTD("tos.rtd",,"IMPL_VOL","."&amp;W$2&amp;W$1&amp;"C"&amp;$A12)="N/A",0,RTD("tos.rtd",,"IMPL_VOL","."&amp;W$2&amp;W$1&amp;"C"&amp;$A12))),0),IF($A$2="MAXPAIN",IF($A$4&gt;$A12,($A$4-$A12)*IF(RTD("tos.rtd",,"OPEN_INT","."&amp;W$2&amp;W$1&amp;"C"&amp;$A12)="N/A",0,RTD("tos.rtd",,"OPEN_INT","."&amp;W$2&amp;W$1&amp;"C"&amp;$A12)),0)+IF($A$4&lt;$A12,($A12-$A$4)*IF(RTD("tos.rtd",,"OPEN_INT","."&amp;W$2&amp;W$1&amp;"P"&amp;$A12)="N/A",0,RTD("tos.rtd",,"OPEN_INT","."&amp;W$2&amp;W$1&amp;"P"&amp;$A12)),0),IF(RTD("tos.rtd",,$A$2,"."&amp;W$2&amp;W$1&amp;"C"&amp;$A12)="N/A",0,RTD("tos.rtd",,$A$2,"."&amp;W$2&amp;W$1&amp;"C"&amp;$A12))-IF(RTD("tos.rtd",,$A$2,"."&amp;W$2&amp;W$1&amp;"P"&amp;$A12)="N/A",0,RTD("tos.rtd",,$A$2,"."&amp;W$2&amp;W$1&amp;"P"&amp;$A12)))))))))</f>
        <v>1376</v>
      </c>
      <c r="X12" s="12">
        <f t="shared" ca="1" si="7"/>
        <v>3289</v>
      </c>
      <c r="Y12" s="27">
        <f t="shared" ca="1" si="8"/>
        <v>3289</v>
      </c>
      <c r="AA12" s="35">
        <f t="shared" si="5"/>
        <v>11</v>
      </c>
      <c r="AB12" s="8">
        <f>+IF($AJ$1,AK12,TASTYOHLC!B12)</f>
        <v>605.11</v>
      </c>
      <c r="AC12" s="8">
        <f>+IF($AJ$1,AL12,TASTYOHLC!C12)</f>
        <v>608.30999999999995</v>
      </c>
      <c r="AD12" s="8">
        <f>+IF($AJ$1,AM12,TASTYOHLC!D12)</f>
        <v>595.5</v>
      </c>
      <c r="AE12" s="8">
        <f>+IF($AJ$1,AN12,TASTYOHLC!E12)</f>
        <v>599.99</v>
      </c>
      <c r="AF12" s="8"/>
      <c r="AJ12" s="37">
        <v>45946</v>
      </c>
      <c r="AK12" s="50">
        <v>605.11</v>
      </c>
      <c r="AL12" s="50">
        <v>608.30999999999995</v>
      </c>
      <c r="AM12" s="50">
        <v>595.5</v>
      </c>
      <c r="AN12" s="50">
        <v>599.99</v>
      </c>
      <c r="AO12" s="51">
        <v>110563346</v>
      </c>
    </row>
    <row r="13" spans="1:41" s="19" customFormat="1" ht="11.1" customHeight="1" thickBot="1" x14ac:dyDescent="0.3">
      <c r="A13" s="23">
        <f t="shared" si="6"/>
        <v>15.5</v>
      </c>
      <c r="B13" s="14">
        <f>IF($A$2="PREMIUM_OI",IFERROR((100*RTD("tos.rtd",,"OPEN_INT","."&amp;B$2&amp;B$1&amp;"C"&amp;$A13)*RTD("tos.rtd",,"LAST","."&amp;B$2&amp;B$1&amp;"C"&amp;$A13)-100*RTD("tos.rtd",,"OPEN_INT","."&amp;B$2&amp;B$1&amp;"P"&amp;$A13)*RTD("tos.rtd",,"LAST","."&amp;B$2&amp;B$1&amp;"P"&amp;$A13))/1000000,0),IF($A$2="PREMIUM",IFERROR((100*RTD("tos.rtd",,"VOLUME","."&amp;B$2&amp;B$1&amp;"C"&amp;$A13)*RTD("tos.rtd",,"LAST","."&amp;B$2&amp;B$1&amp;"C"&amp;$A13)-100*RTD("tos.rtd",,"VOLUME","."&amp;B$2&amp;B$1&amp;"P"&amp;$A13)*RTD("tos.rtd",,"LAST","."&amp;B$2&amp;B$1&amp;"P"&amp;$A13))/1000000,0),IF($A$2="DEX",IFERROR((100*RTD("tos.rtd",,"OPEN_INT","."&amp;B$2&amp;B$1&amp;"C"&amp;$A13)*RTD("tos.rtd",,"DELTA","."&amp;B$2&amp;B$1&amp;"C"&amp;$A13)-100*RTD("tos.rtd",,"OPEN_INT","."&amp;B$2&amp;B$1&amp;"P"&amp;$A13)*RTD("tos.rtd",,"DELTA","."&amp;B$2&amp;B$1&amp;"P"&amp;$A13))/1000,0),IF($A$2="VEX",IFERROR(($A$4*$A$4*RTD("tos.rtd",,"VOLUME","."&amp;B$2&amp;B$1&amp;"C"&amp;$A13)*RTD("tos.rtd",,"GAMMA","."&amp;B$2&amp;B$1&amp;"C"&amp;$A13)-$A$4*$A$4*RTD("tos.rtd",,"VOLUME","."&amp;B$2&amp;B$1&amp;"P"&amp;$A13)*RTD("tos.rtd",,"GAMMA","."&amp;B$2&amp;B$1&amp;"P"&amp;$A13))/1000000,0),IF($A$2="GEX",IFERROR(($A$4*$A$4*RTD("tos.rtd",,"OPEN_INT","."&amp;B$2&amp;B$1&amp;"C"&amp;$A13)*RTD("tos.rtd",,"GAMMA","."&amp;B$2&amp;B$1&amp;"C"&amp;$A13)-$A$4*$A$4*RTD("tos.rtd",,"OPEN_INT","."&amp;B$2&amp;B$1&amp;"P"&amp;$A13)*RTD("tos.rtd",,"GAMMA","."&amp;B$2&amp;B$1&amp;"P"&amp;$A13))/1000000,0),IF($A$2="SKEW",IFERROR(VALUE(IF(RTD("tos.rtd",,"IMPL_VOL","."&amp;B$2&amp;B$1&amp;"P"&amp;$A13)="N/A",0,RTD("tos.rtd",,"IMPL_VOL","."&amp;B$2&amp;B$1&amp;"P"&amp;$A13))),0)-IFERROR(VALUE(IF(RTD("tos.rtd",,"IMPL_VOL","."&amp;B$2&amp;B$1&amp;"C"&amp;$A13)="N/A",0,RTD("tos.rtd",,"IMPL_VOL","."&amp;B$2&amp;B$1&amp;"C"&amp;$A13))),0),IF($A$2="MAXPAIN",IF($A$4&gt;$A13,($A$4-$A13)*IF(RTD("tos.rtd",,"OPEN_INT","."&amp;B$2&amp;B$1&amp;"C"&amp;$A13)="N/A",0,RTD("tos.rtd",,"OPEN_INT","."&amp;B$2&amp;B$1&amp;"C"&amp;$A13)),0)+IF($A$4&lt;$A13,($A13-$A$4)*IF(RTD("tos.rtd",,"OPEN_INT","."&amp;B$2&amp;B$1&amp;"P"&amp;$A13)="N/A",0,RTD("tos.rtd",,"OPEN_INT","."&amp;B$2&amp;B$1&amp;"P"&amp;$A13)),0),IF(RTD("tos.rtd",,$A$2,"."&amp;B$2&amp;B$1&amp;"C"&amp;$A13)="N/A",0,RTD("tos.rtd",,$A$2,"."&amp;B$2&amp;B$1&amp;"C"&amp;$A13))-IF(RTD("tos.rtd",,$A$2,"."&amp;B$2&amp;B$1&amp;"P"&amp;$A13)="N/A",0,RTD("tos.rtd",,$A$2,"."&amp;B$2&amp;B$1&amp;"P"&amp;$A13)))))))))</f>
        <v>0</v>
      </c>
      <c r="C13" s="12">
        <f>IF($A$2="PREMIUM_OI",IFERROR((100*RTD("tos.rtd",,"OPEN_INT","."&amp;C$2&amp;C$1&amp;"C"&amp;$A13)*RTD("tos.rtd",,"LAST","."&amp;C$2&amp;C$1&amp;"C"&amp;$A13)-100*RTD("tos.rtd",,"OPEN_INT","."&amp;C$2&amp;C$1&amp;"P"&amp;$A13)*RTD("tos.rtd",,"LAST","."&amp;C$2&amp;C$1&amp;"P"&amp;$A13))/1000000,0),IF($A$2="PREMIUM",IFERROR((100*RTD("tos.rtd",,"VOLUME","."&amp;C$2&amp;C$1&amp;"C"&amp;$A13)*RTD("tos.rtd",,"LAST","."&amp;C$2&amp;C$1&amp;"C"&amp;$A13)-100*RTD("tos.rtd",,"VOLUME","."&amp;C$2&amp;C$1&amp;"P"&amp;$A13)*RTD("tos.rtd",,"LAST","."&amp;C$2&amp;C$1&amp;"P"&amp;$A13))/1000000,0),IF($A$2="DEX",IFERROR((100*RTD("tos.rtd",,"OPEN_INT","."&amp;C$2&amp;C$1&amp;"C"&amp;$A13)*RTD("tos.rtd",,"DELTA","."&amp;C$2&amp;C$1&amp;"C"&amp;$A13)-100*RTD("tos.rtd",,"OPEN_INT","."&amp;C$2&amp;C$1&amp;"P"&amp;$A13)*RTD("tos.rtd",,"DELTA","."&amp;C$2&amp;C$1&amp;"P"&amp;$A13))/1000,0),IF($A$2="VEX",IFERROR(($A$4*$A$4*RTD("tos.rtd",,"VOLUME","."&amp;C$2&amp;C$1&amp;"C"&amp;$A13)*RTD("tos.rtd",,"GAMMA","."&amp;C$2&amp;C$1&amp;"C"&amp;$A13)-$A$4*$A$4*RTD("tos.rtd",,"VOLUME","."&amp;C$2&amp;C$1&amp;"P"&amp;$A13)*RTD("tos.rtd",,"GAMMA","."&amp;C$2&amp;C$1&amp;"P"&amp;$A13))/1000000,0),IF($A$2="GEX",IFERROR(($A$4*$A$4*RTD("tos.rtd",,"OPEN_INT","."&amp;C$2&amp;C$1&amp;"C"&amp;$A13)*RTD("tos.rtd",,"GAMMA","."&amp;C$2&amp;C$1&amp;"C"&amp;$A13)-$A$4*$A$4*RTD("tos.rtd",,"OPEN_INT","."&amp;C$2&amp;C$1&amp;"P"&amp;$A13)*RTD("tos.rtd",,"GAMMA","."&amp;C$2&amp;C$1&amp;"P"&amp;$A13))/1000000,0),IF($A$2="SKEW",IFERROR(VALUE(IF(RTD("tos.rtd",,"IMPL_VOL","."&amp;C$2&amp;C$1&amp;"P"&amp;$A13)="N/A",0,RTD("tos.rtd",,"IMPL_VOL","."&amp;C$2&amp;C$1&amp;"P"&amp;$A13))),0)-IFERROR(VALUE(IF(RTD("tos.rtd",,"IMPL_VOL","."&amp;C$2&amp;C$1&amp;"C"&amp;$A13)="N/A",0,RTD("tos.rtd",,"IMPL_VOL","."&amp;C$2&amp;C$1&amp;"C"&amp;$A13))),0),IF($A$2="MAXPAIN",IF($A$4&gt;$A13,($A$4-$A13)*IF(RTD("tos.rtd",,"OPEN_INT","."&amp;C$2&amp;C$1&amp;"C"&amp;$A13)="N/A",0,RTD("tos.rtd",,"OPEN_INT","."&amp;C$2&amp;C$1&amp;"C"&amp;$A13)),0)+IF($A$4&lt;$A13,($A13-$A$4)*IF(RTD("tos.rtd",,"OPEN_INT","."&amp;C$2&amp;C$1&amp;"P"&amp;$A13)="N/A",0,RTD("tos.rtd",,"OPEN_INT","."&amp;C$2&amp;C$1&amp;"P"&amp;$A13)),0),IF(RTD("tos.rtd",,$A$2,"."&amp;C$2&amp;C$1&amp;"C"&amp;$A13)="N/A",0,RTD("tos.rtd",,$A$2,"."&amp;C$2&amp;C$1&amp;"C"&amp;$A13))-IF(RTD("tos.rtd",,$A$2,"."&amp;C$2&amp;C$1&amp;"P"&amp;$A13)="N/A",0,RTD("tos.rtd",,$A$2,"."&amp;C$2&amp;C$1&amp;"P"&amp;$A13)))))))))</f>
        <v>1081</v>
      </c>
      <c r="D13" s="12">
        <f>IF($A$2="PREMIUM_OI",IFERROR((100*RTD("tos.rtd",,"OPEN_INT","."&amp;D$2&amp;D$1&amp;"C"&amp;$A13)*RTD("tos.rtd",,"LAST","."&amp;D$2&amp;D$1&amp;"C"&amp;$A13)-100*RTD("tos.rtd",,"OPEN_INT","."&amp;D$2&amp;D$1&amp;"P"&amp;$A13)*RTD("tos.rtd",,"LAST","."&amp;D$2&amp;D$1&amp;"P"&amp;$A13))/1000000,0),IF($A$2="PREMIUM",IFERROR((100*RTD("tos.rtd",,"VOLUME","."&amp;D$2&amp;D$1&amp;"C"&amp;$A13)*RTD("tos.rtd",,"LAST","."&amp;D$2&amp;D$1&amp;"C"&amp;$A13)-100*RTD("tos.rtd",,"VOLUME","."&amp;D$2&amp;D$1&amp;"P"&amp;$A13)*RTD("tos.rtd",,"LAST","."&amp;D$2&amp;D$1&amp;"P"&amp;$A13))/1000000,0),IF($A$2="DEX",IFERROR((100*RTD("tos.rtd",,"OPEN_INT","."&amp;D$2&amp;D$1&amp;"C"&amp;$A13)*RTD("tos.rtd",,"DELTA","."&amp;D$2&amp;D$1&amp;"C"&amp;$A13)-100*RTD("tos.rtd",,"OPEN_INT","."&amp;D$2&amp;D$1&amp;"P"&amp;$A13)*RTD("tos.rtd",,"DELTA","."&amp;D$2&amp;D$1&amp;"P"&amp;$A13))/1000,0),IF($A$2="VEX",IFERROR(($A$4*$A$4*RTD("tos.rtd",,"VOLUME","."&amp;D$2&amp;D$1&amp;"C"&amp;$A13)*RTD("tos.rtd",,"GAMMA","."&amp;D$2&amp;D$1&amp;"C"&amp;$A13)-$A$4*$A$4*RTD("tos.rtd",,"VOLUME","."&amp;D$2&amp;D$1&amp;"P"&amp;$A13)*RTD("tos.rtd",,"GAMMA","."&amp;D$2&amp;D$1&amp;"P"&amp;$A13))/1000000,0),IF($A$2="GEX",IFERROR(($A$4*$A$4*RTD("tos.rtd",,"OPEN_INT","."&amp;D$2&amp;D$1&amp;"C"&amp;$A13)*RTD("tos.rtd",,"GAMMA","."&amp;D$2&amp;D$1&amp;"C"&amp;$A13)-$A$4*$A$4*RTD("tos.rtd",,"OPEN_INT","."&amp;D$2&amp;D$1&amp;"P"&amp;$A13)*RTD("tos.rtd",,"GAMMA","."&amp;D$2&amp;D$1&amp;"P"&amp;$A13))/1000000,0),IF($A$2="SKEW",IFERROR(VALUE(IF(RTD("tos.rtd",,"IMPL_VOL","."&amp;D$2&amp;D$1&amp;"P"&amp;$A13)="N/A",0,RTD("tos.rtd",,"IMPL_VOL","."&amp;D$2&amp;D$1&amp;"P"&amp;$A13))),0)-IFERROR(VALUE(IF(RTD("tos.rtd",,"IMPL_VOL","."&amp;D$2&amp;D$1&amp;"C"&amp;$A13)="N/A",0,RTD("tos.rtd",,"IMPL_VOL","."&amp;D$2&amp;D$1&amp;"C"&amp;$A13))),0),IF($A$2="MAXPAIN",IF($A$4&gt;$A13,($A$4-$A13)*IF(RTD("tos.rtd",,"OPEN_INT","."&amp;D$2&amp;D$1&amp;"C"&amp;$A13)="N/A",0,RTD("tos.rtd",,"OPEN_INT","."&amp;D$2&amp;D$1&amp;"C"&amp;$A13)),0)+IF($A$4&lt;$A13,($A13-$A$4)*IF(RTD("tos.rtd",,"OPEN_INT","."&amp;D$2&amp;D$1&amp;"P"&amp;$A13)="N/A",0,RTD("tos.rtd",,"OPEN_INT","."&amp;D$2&amp;D$1&amp;"P"&amp;$A13)),0),IF(RTD("tos.rtd",,$A$2,"."&amp;D$2&amp;D$1&amp;"C"&amp;$A13)="N/A",0,RTD("tos.rtd",,$A$2,"."&amp;D$2&amp;D$1&amp;"C"&amp;$A13))-IF(RTD("tos.rtd",,$A$2,"."&amp;D$2&amp;D$1&amp;"P"&amp;$A13)="N/A",0,RTD("tos.rtd",,$A$2,"."&amp;D$2&amp;D$1&amp;"P"&amp;$A13)))))))))</f>
        <v>0</v>
      </c>
      <c r="E13" s="12">
        <f>IF($A$2="PREMIUM_OI",IFERROR((100*RTD("tos.rtd",,"OPEN_INT","."&amp;E$2&amp;E$1&amp;"C"&amp;$A13)*RTD("tos.rtd",,"LAST","."&amp;E$2&amp;E$1&amp;"C"&amp;$A13)-100*RTD("tos.rtd",,"OPEN_INT","."&amp;E$2&amp;E$1&amp;"P"&amp;$A13)*RTD("tos.rtd",,"LAST","."&amp;E$2&amp;E$1&amp;"P"&amp;$A13))/1000000,0),IF($A$2="PREMIUM",IFERROR((100*RTD("tos.rtd",,"VOLUME","."&amp;E$2&amp;E$1&amp;"C"&amp;$A13)*RTD("tos.rtd",,"LAST","."&amp;E$2&amp;E$1&amp;"C"&amp;$A13)-100*RTD("tos.rtd",,"VOLUME","."&amp;E$2&amp;E$1&amp;"P"&amp;$A13)*RTD("tos.rtd",,"LAST","."&amp;E$2&amp;E$1&amp;"P"&amp;$A13))/1000000,0),IF($A$2="DEX",IFERROR((100*RTD("tos.rtd",,"OPEN_INT","."&amp;E$2&amp;E$1&amp;"C"&amp;$A13)*RTD("tos.rtd",,"DELTA","."&amp;E$2&amp;E$1&amp;"C"&amp;$A13)-100*RTD("tos.rtd",,"OPEN_INT","."&amp;E$2&amp;E$1&amp;"P"&amp;$A13)*RTD("tos.rtd",,"DELTA","."&amp;E$2&amp;E$1&amp;"P"&amp;$A13))/1000,0),IF($A$2="VEX",IFERROR(($A$4*$A$4*RTD("tos.rtd",,"VOLUME","."&amp;E$2&amp;E$1&amp;"C"&amp;$A13)*RTD("tos.rtd",,"GAMMA","."&amp;E$2&amp;E$1&amp;"C"&amp;$A13)-$A$4*$A$4*RTD("tos.rtd",,"VOLUME","."&amp;E$2&amp;E$1&amp;"P"&amp;$A13)*RTD("tos.rtd",,"GAMMA","."&amp;E$2&amp;E$1&amp;"P"&amp;$A13))/1000000,0),IF($A$2="GEX",IFERROR(($A$4*$A$4*RTD("tos.rtd",,"OPEN_INT","."&amp;E$2&amp;E$1&amp;"C"&amp;$A13)*RTD("tos.rtd",,"GAMMA","."&amp;E$2&amp;E$1&amp;"C"&amp;$A13)-$A$4*$A$4*RTD("tos.rtd",,"OPEN_INT","."&amp;E$2&amp;E$1&amp;"P"&amp;$A13)*RTD("tos.rtd",,"GAMMA","."&amp;E$2&amp;E$1&amp;"P"&amp;$A13))/1000000,0),IF($A$2="SKEW",IFERROR(VALUE(IF(RTD("tos.rtd",,"IMPL_VOL","."&amp;E$2&amp;E$1&amp;"P"&amp;$A13)="N/A",0,RTD("tos.rtd",,"IMPL_VOL","."&amp;E$2&amp;E$1&amp;"P"&amp;$A13))),0)-IFERROR(VALUE(IF(RTD("tos.rtd",,"IMPL_VOL","."&amp;E$2&amp;E$1&amp;"C"&amp;$A13)="N/A",0,RTD("tos.rtd",,"IMPL_VOL","."&amp;E$2&amp;E$1&amp;"C"&amp;$A13))),0),IF($A$2="MAXPAIN",IF($A$4&gt;$A13,($A$4-$A13)*IF(RTD("tos.rtd",,"OPEN_INT","."&amp;E$2&amp;E$1&amp;"C"&amp;$A13)="N/A",0,RTD("tos.rtd",,"OPEN_INT","."&amp;E$2&amp;E$1&amp;"C"&amp;$A13)),0)+IF($A$4&lt;$A13,($A13-$A$4)*IF(RTD("tos.rtd",,"OPEN_INT","."&amp;E$2&amp;E$1&amp;"P"&amp;$A13)="N/A",0,RTD("tos.rtd",,"OPEN_INT","."&amp;E$2&amp;E$1&amp;"P"&amp;$A13)),0),IF(RTD("tos.rtd",,$A$2,"."&amp;E$2&amp;E$1&amp;"C"&amp;$A13)="N/A",0,RTD("tos.rtd",,$A$2,"."&amp;E$2&amp;E$1&amp;"C"&amp;$A13))-IF(RTD("tos.rtd",,$A$2,"."&amp;E$2&amp;E$1&amp;"P"&amp;$A13)="N/A",0,RTD("tos.rtd",,$A$2,"."&amp;E$2&amp;E$1&amp;"P"&amp;$A13)))))))))</f>
        <v>0</v>
      </c>
      <c r="F13" s="12">
        <f>IF($A$2="PREMIUM_OI",IFERROR((100*RTD("tos.rtd",,"OPEN_INT","."&amp;F$2&amp;F$1&amp;"C"&amp;$A13)*RTD("tos.rtd",,"LAST","."&amp;F$2&amp;F$1&amp;"C"&amp;$A13)-100*RTD("tos.rtd",,"OPEN_INT","."&amp;F$2&amp;F$1&amp;"P"&amp;$A13)*RTD("tos.rtd",,"LAST","."&amp;F$2&amp;F$1&amp;"P"&amp;$A13))/1000000,0),IF($A$2="PREMIUM",IFERROR((100*RTD("tos.rtd",,"VOLUME","."&amp;F$2&amp;F$1&amp;"C"&amp;$A13)*RTD("tos.rtd",,"LAST","."&amp;F$2&amp;F$1&amp;"C"&amp;$A13)-100*RTD("tos.rtd",,"VOLUME","."&amp;F$2&amp;F$1&amp;"P"&amp;$A13)*RTD("tos.rtd",,"LAST","."&amp;F$2&amp;F$1&amp;"P"&amp;$A13))/1000000,0),IF($A$2="DEX",IFERROR((100*RTD("tos.rtd",,"OPEN_INT","."&amp;F$2&amp;F$1&amp;"C"&amp;$A13)*RTD("tos.rtd",,"DELTA","."&amp;F$2&amp;F$1&amp;"C"&amp;$A13)-100*RTD("tos.rtd",,"OPEN_INT","."&amp;F$2&amp;F$1&amp;"P"&amp;$A13)*RTD("tos.rtd",,"DELTA","."&amp;F$2&amp;F$1&amp;"P"&amp;$A13))/1000,0),IF($A$2="VEX",IFERROR(($A$4*$A$4*RTD("tos.rtd",,"VOLUME","."&amp;F$2&amp;F$1&amp;"C"&amp;$A13)*RTD("tos.rtd",,"GAMMA","."&amp;F$2&amp;F$1&amp;"C"&amp;$A13)-$A$4*$A$4*RTD("tos.rtd",,"VOLUME","."&amp;F$2&amp;F$1&amp;"P"&amp;$A13)*RTD("tos.rtd",,"GAMMA","."&amp;F$2&amp;F$1&amp;"P"&amp;$A13))/1000000,0),IF($A$2="GEX",IFERROR(($A$4*$A$4*RTD("tos.rtd",,"OPEN_INT","."&amp;F$2&amp;F$1&amp;"C"&amp;$A13)*RTD("tos.rtd",,"GAMMA","."&amp;F$2&amp;F$1&amp;"C"&amp;$A13)-$A$4*$A$4*RTD("tos.rtd",,"OPEN_INT","."&amp;F$2&amp;F$1&amp;"P"&amp;$A13)*RTD("tos.rtd",,"GAMMA","."&amp;F$2&amp;F$1&amp;"P"&amp;$A13))/1000000,0),IF($A$2="SKEW",IFERROR(VALUE(IF(RTD("tos.rtd",,"IMPL_VOL","."&amp;F$2&amp;F$1&amp;"P"&amp;$A13)="N/A",0,RTD("tos.rtd",,"IMPL_VOL","."&amp;F$2&amp;F$1&amp;"P"&amp;$A13))),0)-IFERROR(VALUE(IF(RTD("tos.rtd",,"IMPL_VOL","."&amp;F$2&amp;F$1&amp;"C"&amp;$A13)="N/A",0,RTD("tos.rtd",,"IMPL_VOL","."&amp;F$2&amp;F$1&amp;"C"&amp;$A13))),0),IF($A$2="MAXPAIN",IF($A$4&gt;$A13,($A$4-$A13)*IF(RTD("tos.rtd",,"OPEN_INT","."&amp;F$2&amp;F$1&amp;"C"&amp;$A13)="N/A",0,RTD("tos.rtd",,"OPEN_INT","."&amp;F$2&amp;F$1&amp;"C"&amp;$A13)),0)+IF($A$4&lt;$A13,($A13-$A$4)*IF(RTD("tos.rtd",,"OPEN_INT","."&amp;F$2&amp;F$1&amp;"P"&amp;$A13)="N/A",0,RTD("tos.rtd",,"OPEN_INT","."&amp;F$2&amp;F$1&amp;"P"&amp;$A13)),0),IF(RTD("tos.rtd",,$A$2,"."&amp;F$2&amp;F$1&amp;"C"&amp;$A13)="N/A",0,RTD("tos.rtd",,$A$2,"."&amp;F$2&amp;F$1&amp;"C"&amp;$A13))-IF(RTD("tos.rtd",,$A$2,"."&amp;F$2&amp;F$1&amp;"P"&amp;$A13)="N/A",0,RTD("tos.rtd",,$A$2,"."&amp;F$2&amp;F$1&amp;"P"&amp;$A13)))))))))</f>
        <v>0</v>
      </c>
      <c r="G13" s="14">
        <f>IF($A$2="PREMIUM_OI",IFERROR((100*RTD("tos.rtd",,"OPEN_INT","."&amp;G$2&amp;G$1&amp;"C"&amp;$A13)*RTD("tos.rtd",,"LAST","."&amp;G$2&amp;G$1&amp;"C"&amp;$A13)-100*RTD("tos.rtd",,"OPEN_INT","."&amp;G$2&amp;G$1&amp;"P"&amp;$A13)*RTD("tos.rtd",,"LAST","."&amp;G$2&amp;G$1&amp;"P"&amp;$A13))/1000000,0),IF($A$2="PREMIUM",IFERROR((100*RTD("tos.rtd",,"VOLUME","."&amp;G$2&amp;G$1&amp;"C"&amp;$A13)*RTD("tos.rtd",,"LAST","."&amp;G$2&amp;G$1&amp;"C"&amp;$A13)-100*RTD("tos.rtd",,"VOLUME","."&amp;G$2&amp;G$1&amp;"P"&amp;$A13)*RTD("tos.rtd",,"LAST","."&amp;G$2&amp;G$1&amp;"P"&amp;$A13))/1000000,0),IF($A$2="DEX",IFERROR((100*RTD("tos.rtd",,"OPEN_INT","."&amp;G$2&amp;G$1&amp;"C"&amp;$A13)*RTD("tos.rtd",,"DELTA","."&amp;G$2&amp;G$1&amp;"C"&amp;$A13)-100*RTD("tos.rtd",,"OPEN_INT","."&amp;G$2&amp;G$1&amp;"P"&amp;$A13)*RTD("tos.rtd",,"DELTA","."&amp;G$2&amp;G$1&amp;"P"&amp;$A13))/1000,0),IF($A$2="VEX",IFERROR(($A$4*$A$4*RTD("tos.rtd",,"VOLUME","."&amp;G$2&amp;G$1&amp;"C"&amp;$A13)*RTD("tos.rtd",,"GAMMA","."&amp;G$2&amp;G$1&amp;"C"&amp;$A13)-$A$4*$A$4*RTD("tos.rtd",,"VOLUME","."&amp;G$2&amp;G$1&amp;"P"&amp;$A13)*RTD("tos.rtd",,"GAMMA","."&amp;G$2&amp;G$1&amp;"P"&amp;$A13))/1000000,0),IF($A$2="GEX",IFERROR(($A$4*$A$4*RTD("tos.rtd",,"OPEN_INT","."&amp;G$2&amp;G$1&amp;"C"&amp;$A13)*RTD("tos.rtd",,"GAMMA","."&amp;G$2&amp;G$1&amp;"C"&amp;$A13)-$A$4*$A$4*RTD("tos.rtd",,"OPEN_INT","."&amp;G$2&amp;G$1&amp;"P"&amp;$A13)*RTD("tos.rtd",,"GAMMA","."&amp;G$2&amp;G$1&amp;"P"&amp;$A13))/1000000,0),IF($A$2="SKEW",IFERROR(VALUE(IF(RTD("tos.rtd",,"IMPL_VOL","."&amp;G$2&amp;G$1&amp;"P"&amp;$A13)="N/A",0,RTD("tos.rtd",,"IMPL_VOL","."&amp;G$2&amp;G$1&amp;"P"&amp;$A13))),0)-IFERROR(VALUE(IF(RTD("tos.rtd",,"IMPL_VOL","."&amp;G$2&amp;G$1&amp;"C"&amp;$A13)="N/A",0,RTD("tos.rtd",,"IMPL_VOL","."&amp;G$2&amp;G$1&amp;"C"&amp;$A13))),0),IF($A$2="MAXPAIN",IF($A$4&gt;$A13,($A$4-$A13)*IF(RTD("tos.rtd",,"OPEN_INT","."&amp;G$2&amp;G$1&amp;"C"&amp;$A13)="N/A",0,RTD("tos.rtd",,"OPEN_INT","."&amp;G$2&amp;G$1&amp;"C"&amp;$A13)),0)+IF($A$4&lt;$A13,($A13-$A$4)*IF(RTD("tos.rtd",,"OPEN_INT","."&amp;G$2&amp;G$1&amp;"P"&amp;$A13)="N/A",0,RTD("tos.rtd",,"OPEN_INT","."&amp;G$2&amp;G$1&amp;"P"&amp;$A13)),0),IF(RTD("tos.rtd",,$A$2,"."&amp;G$2&amp;G$1&amp;"C"&amp;$A13)="N/A",0,RTD("tos.rtd",,$A$2,"."&amp;G$2&amp;G$1&amp;"C"&amp;$A13))-IF(RTD("tos.rtd",,$A$2,"."&amp;G$2&amp;G$1&amp;"P"&amp;$A13)="N/A",0,RTD("tos.rtd",,$A$2,"."&amp;G$2&amp;G$1&amp;"P"&amp;$A13)))))))))</f>
        <v>0</v>
      </c>
      <c r="H13" s="12">
        <f>IF($A$2="PREMIUM_OI",IFERROR((100*RTD("tos.rtd",,"OPEN_INT","."&amp;H$2&amp;H$1&amp;"C"&amp;$A13)*RTD("tos.rtd",,"LAST","."&amp;H$2&amp;H$1&amp;"C"&amp;$A13)-100*RTD("tos.rtd",,"OPEN_INT","."&amp;H$2&amp;H$1&amp;"P"&amp;$A13)*RTD("tos.rtd",,"LAST","."&amp;H$2&amp;H$1&amp;"P"&amp;$A13))/1000000,0),IF($A$2="PREMIUM",IFERROR((100*RTD("tos.rtd",,"VOLUME","."&amp;H$2&amp;H$1&amp;"C"&amp;$A13)*RTD("tos.rtd",,"LAST","."&amp;H$2&amp;H$1&amp;"C"&amp;$A13)-100*RTD("tos.rtd",,"VOLUME","."&amp;H$2&amp;H$1&amp;"P"&amp;$A13)*RTD("tos.rtd",,"LAST","."&amp;H$2&amp;H$1&amp;"P"&amp;$A13))/1000000,0),IF($A$2="DEX",IFERROR((100*RTD("tos.rtd",,"OPEN_INT","."&amp;H$2&amp;H$1&amp;"C"&amp;$A13)*RTD("tos.rtd",,"DELTA","."&amp;H$2&amp;H$1&amp;"C"&amp;$A13)-100*RTD("tos.rtd",,"OPEN_INT","."&amp;H$2&amp;H$1&amp;"P"&amp;$A13)*RTD("tos.rtd",,"DELTA","."&amp;H$2&amp;H$1&amp;"P"&amp;$A13))/1000,0),IF($A$2="VEX",IFERROR(($A$4*$A$4*RTD("tos.rtd",,"VOLUME","."&amp;H$2&amp;H$1&amp;"C"&amp;$A13)*RTD("tos.rtd",,"GAMMA","."&amp;H$2&amp;H$1&amp;"C"&amp;$A13)-$A$4*$A$4*RTD("tos.rtd",,"VOLUME","."&amp;H$2&amp;H$1&amp;"P"&amp;$A13)*RTD("tos.rtd",,"GAMMA","."&amp;H$2&amp;H$1&amp;"P"&amp;$A13))/1000000,0),IF($A$2="GEX",IFERROR(($A$4*$A$4*RTD("tos.rtd",,"OPEN_INT","."&amp;H$2&amp;H$1&amp;"C"&amp;$A13)*RTD("tos.rtd",,"GAMMA","."&amp;H$2&amp;H$1&amp;"C"&amp;$A13)-$A$4*$A$4*RTD("tos.rtd",,"OPEN_INT","."&amp;H$2&amp;H$1&amp;"P"&amp;$A13)*RTD("tos.rtd",,"GAMMA","."&amp;H$2&amp;H$1&amp;"P"&amp;$A13))/1000000,0),IF($A$2="SKEW",IFERROR(VALUE(IF(RTD("tos.rtd",,"IMPL_VOL","."&amp;H$2&amp;H$1&amp;"P"&amp;$A13)="N/A",0,RTD("tos.rtd",,"IMPL_VOL","."&amp;H$2&amp;H$1&amp;"P"&amp;$A13))),0)-IFERROR(VALUE(IF(RTD("tos.rtd",,"IMPL_VOL","."&amp;H$2&amp;H$1&amp;"C"&amp;$A13)="N/A",0,RTD("tos.rtd",,"IMPL_VOL","."&amp;H$2&amp;H$1&amp;"C"&amp;$A13))),0),IF($A$2="MAXPAIN",IF($A$4&gt;$A13,($A$4-$A13)*IF(RTD("tos.rtd",,"OPEN_INT","."&amp;H$2&amp;H$1&amp;"C"&amp;$A13)="N/A",0,RTD("tos.rtd",,"OPEN_INT","."&amp;H$2&amp;H$1&amp;"C"&amp;$A13)),0)+IF($A$4&lt;$A13,($A13-$A$4)*IF(RTD("tos.rtd",,"OPEN_INT","."&amp;H$2&amp;H$1&amp;"P"&amp;$A13)="N/A",0,RTD("tos.rtd",,"OPEN_INT","."&amp;H$2&amp;H$1&amp;"P"&amp;$A13)),0),IF(RTD("tos.rtd",,$A$2,"."&amp;H$2&amp;H$1&amp;"C"&amp;$A13)="N/A",0,RTD("tos.rtd",,$A$2,"."&amp;H$2&amp;H$1&amp;"C"&amp;$A13))-IF(RTD("tos.rtd",,$A$2,"."&amp;H$2&amp;H$1&amp;"P"&amp;$A13)="N/A",0,RTD("tos.rtd",,$A$2,"."&amp;H$2&amp;H$1&amp;"P"&amp;$A13)))))))))</f>
        <v>0</v>
      </c>
      <c r="I13" s="12">
        <f>IF($A$2="PREMIUM_OI",IFERROR((100*RTD("tos.rtd",,"OPEN_INT","."&amp;I$2&amp;I$1&amp;"C"&amp;$A13)*RTD("tos.rtd",,"LAST","."&amp;I$2&amp;I$1&amp;"C"&amp;$A13)-100*RTD("tos.rtd",,"OPEN_INT","."&amp;I$2&amp;I$1&amp;"P"&amp;$A13)*RTD("tos.rtd",,"LAST","."&amp;I$2&amp;I$1&amp;"P"&amp;$A13))/1000000,0),IF($A$2="PREMIUM",IFERROR((100*RTD("tos.rtd",,"VOLUME","."&amp;I$2&amp;I$1&amp;"C"&amp;$A13)*RTD("tos.rtd",,"LAST","."&amp;I$2&amp;I$1&amp;"C"&amp;$A13)-100*RTD("tos.rtd",,"VOLUME","."&amp;I$2&amp;I$1&amp;"P"&amp;$A13)*RTD("tos.rtd",,"LAST","."&amp;I$2&amp;I$1&amp;"P"&amp;$A13))/1000000,0),IF($A$2="DEX",IFERROR((100*RTD("tos.rtd",,"OPEN_INT","."&amp;I$2&amp;I$1&amp;"C"&amp;$A13)*RTD("tos.rtd",,"DELTA","."&amp;I$2&amp;I$1&amp;"C"&amp;$A13)-100*RTD("tos.rtd",,"OPEN_INT","."&amp;I$2&amp;I$1&amp;"P"&amp;$A13)*RTD("tos.rtd",,"DELTA","."&amp;I$2&amp;I$1&amp;"P"&amp;$A13))/1000,0),IF($A$2="VEX",IFERROR(($A$4*$A$4*RTD("tos.rtd",,"VOLUME","."&amp;I$2&amp;I$1&amp;"C"&amp;$A13)*RTD("tos.rtd",,"GAMMA","."&amp;I$2&amp;I$1&amp;"C"&amp;$A13)-$A$4*$A$4*RTD("tos.rtd",,"VOLUME","."&amp;I$2&amp;I$1&amp;"P"&amp;$A13)*RTD("tos.rtd",,"GAMMA","."&amp;I$2&amp;I$1&amp;"P"&amp;$A13))/1000000,0),IF($A$2="GEX",IFERROR(($A$4*$A$4*RTD("tos.rtd",,"OPEN_INT","."&amp;I$2&amp;I$1&amp;"C"&amp;$A13)*RTD("tos.rtd",,"GAMMA","."&amp;I$2&amp;I$1&amp;"C"&amp;$A13)-$A$4*$A$4*RTD("tos.rtd",,"OPEN_INT","."&amp;I$2&amp;I$1&amp;"P"&amp;$A13)*RTD("tos.rtd",,"GAMMA","."&amp;I$2&amp;I$1&amp;"P"&amp;$A13))/1000000,0),IF($A$2="SKEW",IFERROR(VALUE(IF(RTD("tos.rtd",,"IMPL_VOL","."&amp;I$2&amp;I$1&amp;"P"&amp;$A13)="N/A",0,RTD("tos.rtd",,"IMPL_VOL","."&amp;I$2&amp;I$1&amp;"P"&amp;$A13))),0)-IFERROR(VALUE(IF(RTD("tos.rtd",,"IMPL_VOL","."&amp;I$2&amp;I$1&amp;"C"&amp;$A13)="N/A",0,RTD("tos.rtd",,"IMPL_VOL","."&amp;I$2&amp;I$1&amp;"C"&amp;$A13))),0),IF($A$2="MAXPAIN",IF($A$4&gt;$A13,($A$4-$A13)*IF(RTD("tos.rtd",,"OPEN_INT","."&amp;I$2&amp;I$1&amp;"C"&amp;$A13)="N/A",0,RTD("tos.rtd",,"OPEN_INT","."&amp;I$2&amp;I$1&amp;"C"&amp;$A13)),0)+IF($A$4&lt;$A13,($A13-$A$4)*IF(RTD("tos.rtd",,"OPEN_INT","."&amp;I$2&amp;I$1&amp;"P"&amp;$A13)="N/A",0,RTD("tos.rtd",,"OPEN_INT","."&amp;I$2&amp;I$1&amp;"P"&amp;$A13)),0),IF(RTD("tos.rtd",,$A$2,"."&amp;I$2&amp;I$1&amp;"C"&amp;$A13)="N/A",0,RTD("tos.rtd",,$A$2,"."&amp;I$2&amp;I$1&amp;"C"&amp;$A13))-IF(RTD("tos.rtd",,$A$2,"."&amp;I$2&amp;I$1&amp;"P"&amp;$A13)="N/A",0,RTD("tos.rtd",,$A$2,"."&amp;I$2&amp;I$1&amp;"P"&amp;$A13)))))))))</f>
        <v>0</v>
      </c>
      <c r="J13" s="12">
        <f>IF($A$2="PREMIUM_OI",IFERROR((100*RTD("tos.rtd",,"OPEN_INT","."&amp;J$2&amp;J$1&amp;"C"&amp;$A13)*RTD("tos.rtd",,"LAST","."&amp;J$2&amp;J$1&amp;"C"&amp;$A13)-100*RTD("tos.rtd",,"OPEN_INT","."&amp;J$2&amp;J$1&amp;"P"&amp;$A13)*RTD("tos.rtd",,"LAST","."&amp;J$2&amp;J$1&amp;"P"&amp;$A13))/1000000,0),IF($A$2="PREMIUM",IFERROR((100*RTD("tos.rtd",,"VOLUME","."&amp;J$2&amp;J$1&amp;"C"&amp;$A13)*RTD("tos.rtd",,"LAST","."&amp;J$2&amp;J$1&amp;"C"&amp;$A13)-100*RTD("tos.rtd",,"VOLUME","."&amp;J$2&amp;J$1&amp;"P"&amp;$A13)*RTD("tos.rtd",,"LAST","."&amp;J$2&amp;J$1&amp;"P"&amp;$A13))/1000000,0),IF($A$2="DEX",IFERROR((100*RTD("tos.rtd",,"OPEN_INT","."&amp;J$2&amp;J$1&amp;"C"&amp;$A13)*RTD("tos.rtd",,"DELTA","."&amp;J$2&amp;J$1&amp;"C"&amp;$A13)-100*RTD("tos.rtd",,"OPEN_INT","."&amp;J$2&amp;J$1&amp;"P"&amp;$A13)*RTD("tos.rtd",,"DELTA","."&amp;J$2&amp;J$1&amp;"P"&amp;$A13))/1000,0),IF($A$2="VEX",IFERROR(($A$4*$A$4*RTD("tos.rtd",,"VOLUME","."&amp;J$2&amp;J$1&amp;"C"&amp;$A13)*RTD("tos.rtd",,"GAMMA","."&amp;J$2&amp;J$1&amp;"C"&amp;$A13)-$A$4*$A$4*RTD("tos.rtd",,"VOLUME","."&amp;J$2&amp;J$1&amp;"P"&amp;$A13)*RTD("tos.rtd",,"GAMMA","."&amp;J$2&amp;J$1&amp;"P"&amp;$A13))/1000000,0),IF($A$2="GEX",IFERROR(($A$4*$A$4*RTD("tos.rtd",,"OPEN_INT","."&amp;J$2&amp;J$1&amp;"C"&amp;$A13)*RTD("tos.rtd",,"GAMMA","."&amp;J$2&amp;J$1&amp;"C"&amp;$A13)-$A$4*$A$4*RTD("tos.rtd",,"OPEN_INT","."&amp;J$2&amp;J$1&amp;"P"&amp;$A13)*RTD("tos.rtd",,"GAMMA","."&amp;J$2&amp;J$1&amp;"P"&amp;$A13))/1000000,0),IF($A$2="SKEW",IFERROR(VALUE(IF(RTD("tos.rtd",,"IMPL_VOL","."&amp;J$2&amp;J$1&amp;"P"&amp;$A13)="N/A",0,RTD("tos.rtd",,"IMPL_VOL","."&amp;J$2&amp;J$1&amp;"P"&amp;$A13))),0)-IFERROR(VALUE(IF(RTD("tos.rtd",,"IMPL_VOL","."&amp;J$2&amp;J$1&amp;"C"&amp;$A13)="N/A",0,RTD("tos.rtd",,"IMPL_VOL","."&amp;J$2&amp;J$1&amp;"C"&amp;$A13))),0),IF($A$2="MAXPAIN",IF($A$4&gt;$A13,($A$4-$A13)*IF(RTD("tos.rtd",,"OPEN_INT","."&amp;J$2&amp;J$1&amp;"C"&amp;$A13)="N/A",0,RTD("tos.rtd",,"OPEN_INT","."&amp;J$2&amp;J$1&amp;"C"&amp;$A13)),0)+IF($A$4&lt;$A13,($A13-$A$4)*IF(RTD("tos.rtd",,"OPEN_INT","."&amp;J$2&amp;J$1&amp;"P"&amp;$A13)="N/A",0,RTD("tos.rtd",,"OPEN_INT","."&amp;J$2&amp;J$1&amp;"P"&amp;$A13)),0),IF(RTD("tos.rtd",,$A$2,"."&amp;J$2&amp;J$1&amp;"C"&amp;$A13)="N/A",0,RTD("tos.rtd",,$A$2,"."&amp;J$2&amp;J$1&amp;"C"&amp;$A13))-IF(RTD("tos.rtd",,$A$2,"."&amp;J$2&amp;J$1&amp;"P"&amp;$A13)="N/A",0,RTD("tos.rtd",,$A$2,"."&amp;J$2&amp;J$1&amp;"P"&amp;$A13)))))))))</f>
        <v>0</v>
      </c>
      <c r="K13" s="12">
        <f>IF($A$2="PREMIUM_OI",IFERROR((100*RTD("tos.rtd",,"OPEN_INT","."&amp;K$2&amp;K$1&amp;"C"&amp;$A13)*RTD("tos.rtd",,"LAST","."&amp;K$2&amp;K$1&amp;"C"&amp;$A13)-100*RTD("tos.rtd",,"OPEN_INT","."&amp;K$2&amp;K$1&amp;"P"&amp;$A13)*RTD("tos.rtd",,"LAST","."&amp;K$2&amp;K$1&amp;"P"&amp;$A13))/1000000,0),IF($A$2="PREMIUM",IFERROR((100*RTD("tos.rtd",,"VOLUME","."&amp;K$2&amp;K$1&amp;"C"&amp;$A13)*RTD("tos.rtd",,"LAST","."&amp;K$2&amp;K$1&amp;"C"&amp;$A13)-100*RTD("tos.rtd",,"VOLUME","."&amp;K$2&amp;K$1&amp;"P"&amp;$A13)*RTD("tos.rtd",,"LAST","."&amp;K$2&amp;K$1&amp;"P"&amp;$A13))/1000000,0),IF($A$2="DEX",IFERROR((100*RTD("tos.rtd",,"OPEN_INT","."&amp;K$2&amp;K$1&amp;"C"&amp;$A13)*RTD("tos.rtd",,"DELTA","."&amp;K$2&amp;K$1&amp;"C"&amp;$A13)-100*RTD("tos.rtd",,"OPEN_INT","."&amp;K$2&amp;K$1&amp;"P"&amp;$A13)*RTD("tos.rtd",,"DELTA","."&amp;K$2&amp;K$1&amp;"P"&amp;$A13))/1000,0),IF($A$2="VEX",IFERROR(($A$4*$A$4*RTD("tos.rtd",,"VOLUME","."&amp;K$2&amp;K$1&amp;"C"&amp;$A13)*RTD("tos.rtd",,"GAMMA","."&amp;K$2&amp;K$1&amp;"C"&amp;$A13)-$A$4*$A$4*RTD("tos.rtd",,"VOLUME","."&amp;K$2&amp;K$1&amp;"P"&amp;$A13)*RTD("tos.rtd",,"GAMMA","."&amp;K$2&amp;K$1&amp;"P"&amp;$A13))/1000000,0),IF($A$2="GEX",IFERROR(($A$4*$A$4*RTD("tos.rtd",,"OPEN_INT","."&amp;K$2&amp;K$1&amp;"C"&amp;$A13)*RTD("tos.rtd",,"GAMMA","."&amp;K$2&amp;K$1&amp;"C"&amp;$A13)-$A$4*$A$4*RTD("tos.rtd",,"OPEN_INT","."&amp;K$2&amp;K$1&amp;"P"&amp;$A13)*RTD("tos.rtd",,"GAMMA","."&amp;K$2&amp;K$1&amp;"P"&amp;$A13))/1000000,0),IF($A$2="SKEW",IFERROR(VALUE(IF(RTD("tos.rtd",,"IMPL_VOL","."&amp;K$2&amp;K$1&amp;"P"&amp;$A13)="N/A",0,RTD("tos.rtd",,"IMPL_VOL","."&amp;K$2&amp;K$1&amp;"P"&amp;$A13))),0)-IFERROR(VALUE(IF(RTD("tos.rtd",,"IMPL_VOL","."&amp;K$2&amp;K$1&amp;"C"&amp;$A13)="N/A",0,RTD("tos.rtd",,"IMPL_VOL","."&amp;K$2&amp;K$1&amp;"C"&amp;$A13))),0),IF($A$2="MAXPAIN",IF($A$4&gt;$A13,($A$4-$A13)*IF(RTD("tos.rtd",,"OPEN_INT","."&amp;K$2&amp;K$1&amp;"C"&amp;$A13)="N/A",0,RTD("tos.rtd",,"OPEN_INT","."&amp;K$2&amp;K$1&amp;"C"&amp;$A13)),0)+IF($A$4&lt;$A13,($A13-$A$4)*IF(RTD("tos.rtd",,"OPEN_INT","."&amp;K$2&amp;K$1&amp;"P"&amp;$A13)="N/A",0,RTD("tos.rtd",,"OPEN_INT","."&amp;K$2&amp;K$1&amp;"P"&amp;$A13)),0),IF(RTD("tos.rtd",,$A$2,"."&amp;K$2&amp;K$1&amp;"C"&amp;$A13)="N/A",0,RTD("tos.rtd",,$A$2,"."&amp;K$2&amp;K$1&amp;"C"&amp;$A13))-IF(RTD("tos.rtd",,$A$2,"."&amp;K$2&amp;K$1&amp;"P"&amp;$A13)="N/A",0,RTD("tos.rtd",,$A$2,"."&amp;K$2&amp;K$1&amp;"P"&amp;$A13)))))))))</f>
        <v>0</v>
      </c>
      <c r="L13" s="12">
        <f>IF($A$2="PREMIUM_OI",IFERROR((100*RTD("tos.rtd",,"OPEN_INT","."&amp;L$2&amp;L$1&amp;"C"&amp;$A13)*RTD("tos.rtd",,"LAST","."&amp;L$2&amp;L$1&amp;"C"&amp;$A13)-100*RTD("tos.rtd",,"OPEN_INT","."&amp;L$2&amp;L$1&amp;"P"&amp;$A13)*RTD("tos.rtd",,"LAST","."&amp;L$2&amp;L$1&amp;"P"&amp;$A13))/1000000,0),IF($A$2="PREMIUM",IFERROR((100*RTD("tos.rtd",,"VOLUME","."&amp;L$2&amp;L$1&amp;"C"&amp;$A13)*RTD("tos.rtd",,"LAST","."&amp;L$2&amp;L$1&amp;"C"&amp;$A13)-100*RTD("tos.rtd",,"VOLUME","."&amp;L$2&amp;L$1&amp;"P"&amp;$A13)*RTD("tos.rtd",,"LAST","."&amp;L$2&amp;L$1&amp;"P"&amp;$A13))/1000000,0),IF($A$2="DEX",IFERROR((100*RTD("tos.rtd",,"OPEN_INT","."&amp;L$2&amp;L$1&amp;"C"&amp;$A13)*RTD("tos.rtd",,"DELTA","."&amp;L$2&amp;L$1&amp;"C"&amp;$A13)-100*RTD("tos.rtd",,"OPEN_INT","."&amp;L$2&amp;L$1&amp;"P"&amp;$A13)*RTD("tos.rtd",,"DELTA","."&amp;L$2&amp;L$1&amp;"P"&amp;$A13))/1000,0),IF($A$2="VEX",IFERROR(($A$4*$A$4*RTD("tos.rtd",,"VOLUME","."&amp;L$2&amp;L$1&amp;"C"&amp;$A13)*RTD("tos.rtd",,"GAMMA","."&amp;L$2&amp;L$1&amp;"C"&amp;$A13)-$A$4*$A$4*RTD("tos.rtd",,"VOLUME","."&amp;L$2&amp;L$1&amp;"P"&amp;$A13)*RTD("tos.rtd",,"GAMMA","."&amp;L$2&amp;L$1&amp;"P"&amp;$A13))/1000000,0),IF($A$2="GEX",IFERROR(($A$4*$A$4*RTD("tos.rtd",,"OPEN_INT","."&amp;L$2&amp;L$1&amp;"C"&amp;$A13)*RTD("tos.rtd",,"GAMMA","."&amp;L$2&amp;L$1&amp;"C"&amp;$A13)-$A$4*$A$4*RTD("tos.rtd",,"OPEN_INT","."&amp;L$2&amp;L$1&amp;"P"&amp;$A13)*RTD("tos.rtd",,"GAMMA","."&amp;L$2&amp;L$1&amp;"P"&amp;$A13))/1000000,0),IF($A$2="SKEW",IFERROR(VALUE(IF(RTD("tos.rtd",,"IMPL_VOL","."&amp;L$2&amp;L$1&amp;"P"&amp;$A13)="N/A",0,RTD("tos.rtd",,"IMPL_VOL","."&amp;L$2&amp;L$1&amp;"P"&amp;$A13))),0)-IFERROR(VALUE(IF(RTD("tos.rtd",,"IMPL_VOL","."&amp;L$2&amp;L$1&amp;"C"&amp;$A13)="N/A",0,RTD("tos.rtd",,"IMPL_VOL","."&amp;L$2&amp;L$1&amp;"C"&amp;$A13))),0),IF($A$2="MAXPAIN",IF($A$4&gt;$A13,($A$4-$A13)*IF(RTD("tos.rtd",,"OPEN_INT","."&amp;L$2&amp;L$1&amp;"C"&amp;$A13)="N/A",0,RTD("tos.rtd",,"OPEN_INT","."&amp;L$2&amp;L$1&amp;"C"&amp;$A13)),0)+IF($A$4&lt;$A13,($A13-$A$4)*IF(RTD("tos.rtd",,"OPEN_INT","."&amp;L$2&amp;L$1&amp;"P"&amp;$A13)="N/A",0,RTD("tos.rtd",,"OPEN_INT","."&amp;L$2&amp;L$1&amp;"P"&amp;$A13)),0),IF(RTD("tos.rtd",,$A$2,"."&amp;L$2&amp;L$1&amp;"C"&amp;$A13)="N/A",0,RTD("tos.rtd",,$A$2,"."&amp;L$2&amp;L$1&amp;"C"&amp;$A13))-IF(RTD("tos.rtd",,$A$2,"."&amp;L$2&amp;L$1&amp;"P"&amp;$A13)="N/A",0,RTD("tos.rtd",,$A$2,"."&amp;L$2&amp;L$1&amp;"P"&amp;$A13)))))))))</f>
        <v>0</v>
      </c>
      <c r="M13" s="12">
        <f>IF($A$2="PREMIUM_OI",IFERROR((100*RTD("tos.rtd",,"OPEN_INT","."&amp;M$2&amp;M$1&amp;"C"&amp;$A13)*RTD("tos.rtd",,"LAST","."&amp;M$2&amp;M$1&amp;"C"&amp;$A13)-100*RTD("tos.rtd",,"OPEN_INT","."&amp;M$2&amp;M$1&amp;"P"&amp;$A13)*RTD("tos.rtd",,"LAST","."&amp;M$2&amp;M$1&amp;"P"&amp;$A13))/1000000,0),IF($A$2="PREMIUM",IFERROR((100*RTD("tos.rtd",,"VOLUME","."&amp;M$2&amp;M$1&amp;"C"&amp;$A13)*RTD("tos.rtd",,"LAST","."&amp;M$2&amp;M$1&amp;"C"&amp;$A13)-100*RTD("tos.rtd",,"VOLUME","."&amp;M$2&amp;M$1&amp;"P"&amp;$A13)*RTD("tos.rtd",,"LAST","."&amp;M$2&amp;M$1&amp;"P"&amp;$A13))/1000000,0),IF($A$2="DEX",IFERROR((100*RTD("tos.rtd",,"OPEN_INT","."&amp;M$2&amp;M$1&amp;"C"&amp;$A13)*RTD("tos.rtd",,"DELTA","."&amp;M$2&amp;M$1&amp;"C"&amp;$A13)-100*RTD("tos.rtd",,"OPEN_INT","."&amp;M$2&amp;M$1&amp;"P"&amp;$A13)*RTD("tos.rtd",,"DELTA","."&amp;M$2&amp;M$1&amp;"P"&amp;$A13))/1000,0),IF($A$2="VEX",IFERROR(($A$4*$A$4*RTD("tos.rtd",,"VOLUME","."&amp;M$2&amp;M$1&amp;"C"&amp;$A13)*RTD("tos.rtd",,"GAMMA","."&amp;M$2&amp;M$1&amp;"C"&amp;$A13)-$A$4*$A$4*RTD("tos.rtd",,"VOLUME","."&amp;M$2&amp;M$1&amp;"P"&amp;$A13)*RTD("tos.rtd",,"GAMMA","."&amp;M$2&amp;M$1&amp;"P"&amp;$A13))/1000000,0),IF($A$2="GEX",IFERROR(($A$4*$A$4*RTD("tos.rtd",,"OPEN_INT","."&amp;M$2&amp;M$1&amp;"C"&amp;$A13)*RTD("tos.rtd",,"GAMMA","."&amp;M$2&amp;M$1&amp;"C"&amp;$A13)-$A$4*$A$4*RTD("tos.rtd",,"OPEN_INT","."&amp;M$2&amp;M$1&amp;"P"&amp;$A13)*RTD("tos.rtd",,"GAMMA","."&amp;M$2&amp;M$1&amp;"P"&amp;$A13))/1000000,0),IF($A$2="SKEW",IFERROR(VALUE(IF(RTD("tos.rtd",,"IMPL_VOL","."&amp;M$2&amp;M$1&amp;"P"&amp;$A13)="N/A",0,RTD("tos.rtd",,"IMPL_VOL","."&amp;M$2&amp;M$1&amp;"P"&amp;$A13))),0)-IFERROR(VALUE(IF(RTD("tos.rtd",,"IMPL_VOL","."&amp;M$2&amp;M$1&amp;"C"&amp;$A13)="N/A",0,RTD("tos.rtd",,"IMPL_VOL","."&amp;M$2&amp;M$1&amp;"C"&amp;$A13))),0),IF($A$2="MAXPAIN",IF($A$4&gt;$A13,($A$4-$A13)*IF(RTD("tos.rtd",,"OPEN_INT","."&amp;M$2&amp;M$1&amp;"C"&amp;$A13)="N/A",0,RTD("tos.rtd",,"OPEN_INT","."&amp;M$2&amp;M$1&amp;"C"&amp;$A13)),0)+IF($A$4&lt;$A13,($A13-$A$4)*IF(RTD("tos.rtd",,"OPEN_INT","."&amp;M$2&amp;M$1&amp;"P"&amp;$A13)="N/A",0,RTD("tos.rtd",,"OPEN_INT","."&amp;M$2&amp;M$1&amp;"P"&amp;$A13)),0),IF(RTD("tos.rtd",,$A$2,"."&amp;M$2&amp;M$1&amp;"C"&amp;$A13)="N/A",0,RTD("tos.rtd",,$A$2,"."&amp;M$2&amp;M$1&amp;"C"&amp;$A13))-IF(RTD("tos.rtd",,$A$2,"."&amp;M$2&amp;M$1&amp;"P"&amp;$A13)="N/A",0,RTD("tos.rtd",,$A$2,"."&amp;M$2&amp;M$1&amp;"P"&amp;$A13)))))))))</f>
        <v>0</v>
      </c>
      <c r="N13" s="12">
        <f>IF($A$2="PREMIUM_OI",IFERROR((100*RTD("tos.rtd",,"OPEN_INT","."&amp;N$2&amp;N$1&amp;"C"&amp;$A13)*RTD("tos.rtd",,"LAST","."&amp;N$2&amp;N$1&amp;"C"&amp;$A13)-100*RTD("tos.rtd",,"OPEN_INT","."&amp;N$2&amp;N$1&amp;"P"&amp;$A13)*RTD("tos.rtd",,"LAST","."&amp;N$2&amp;N$1&amp;"P"&amp;$A13))/1000000,0),IF($A$2="PREMIUM",IFERROR((100*RTD("tos.rtd",,"VOLUME","."&amp;N$2&amp;N$1&amp;"C"&amp;$A13)*RTD("tos.rtd",,"LAST","."&amp;N$2&amp;N$1&amp;"C"&amp;$A13)-100*RTD("tos.rtd",,"VOLUME","."&amp;N$2&amp;N$1&amp;"P"&amp;$A13)*RTD("tos.rtd",,"LAST","."&amp;N$2&amp;N$1&amp;"P"&amp;$A13))/1000000,0),IF($A$2="DEX",IFERROR((100*RTD("tos.rtd",,"OPEN_INT","."&amp;N$2&amp;N$1&amp;"C"&amp;$A13)*RTD("tos.rtd",,"DELTA","."&amp;N$2&amp;N$1&amp;"C"&amp;$A13)-100*RTD("tos.rtd",,"OPEN_INT","."&amp;N$2&amp;N$1&amp;"P"&amp;$A13)*RTD("tos.rtd",,"DELTA","."&amp;N$2&amp;N$1&amp;"P"&amp;$A13))/1000,0),IF($A$2="VEX",IFERROR(($A$4*$A$4*RTD("tos.rtd",,"VOLUME","."&amp;N$2&amp;N$1&amp;"C"&amp;$A13)*RTD("tos.rtd",,"GAMMA","."&amp;N$2&amp;N$1&amp;"C"&amp;$A13)-$A$4*$A$4*RTD("tos.rtd",,"VOLUME","."&amp;N$2&amp;N$1&amp;"P"&amp;$A13)*RTD("tos.rtd",,"GAMMA","."&amp;N$2&amp;N$1&amp;"P"&amp;$A13))/1000000,0),IF($A$2="GEX",IFERROR(($A$4*$A$4*RTD("tos.rtd",,"OPEN_INT","."&amp;N$2&amp;N$1&amp;"C"&amp;$A13)*RTD("tos.rtd",,"GAMMA","."&amp;N$2&amp;N$1&amp;"C"&amp;$A13)-$A$4*$A$4*RTD("tos.rtd",,"OPEN_INT","."&amp;N$2&amp;N$1&amp;"P"&amp;$A13)*RTD("tos.rtd",,"GAMMA","."&amp;N$2&amp;N$1&amp;"P"&amp;$A13))/1000000,0),IF($A$2="SKEW",IFERROR(VALUE(IF(RTD("tos.rtd",,"IMPL_VOL","."&amp;N$2&amp;N$1&amp;"P"&amp;$A13)="N/A",0,RTD("tos.rtd",,"IMPL_VOL","."&amp;N$2&amp;N$1&amp;"P"&amp;$A13))),0)-IFERROR(VALUE(IF(RTD("tos.rtd",,"IMPL_VOL","."&amp;N$2&amp;N$1&amp;"C"&amp;$A13)="N/A",0,RTD("tos.rtd",,"IMPL_VOL","."&amp;N$2&amp;N$1&amp;"C"&amp;$A13))),0),IF($A$2="MAXPAIN",IF($A$4&gt;$A13,($A$4-$A13)*IF(RTD("tos.rtd",,"OPEN_INT","."&amp;N$2&amp;N$1&amp;"C"&amp;$A13)="N/A",0,RTD("tos.rtd",,"OPEN_INT","."&amp;N$2&amp;N$1&amp;"C"&amp;$A13)),0)+IF($A$4&lt;$A13,($A13-$A$4)*IF(RTD("tos.rtd",,"OPEN_INT","."&amp;N$2&amp;N$1&amp;"P"&amp;$A13)="N/A",0,RTD("tos.rtd",,"OPEN_INT","."&amp;N$2&amp;N$1&amp;"P"&amp;$A13)),0),IF(RTD("tos.rtd",,$A$2,"."&amp;N$2&amp;N$1&amp;"C"&amp;$A13)="N/A",0,RTD("tos.rtd",,$A$2,"."&amp;N$2&amp;N$1&amp;"C"&amp;$A13))-IF(RTD("tos.rtd",,$A$2,"."&amp;N$2&amp;N$1&amp;"P"&amp;$A13)="N/A",0,RTD("tos.rtd",,$A$2,"."&amp;N$2&amp;N$1&amp;"P"&amp;$A13)))))))))</f>
        <v>0</v>
      </c>
      <c r="O13" s="12">
        <f>IF($A$2="PREMIUM_OI",IFERROR((100*RTD("tos.rtd",,"OPEN_INT","."&amp;O$2&amp;O$1&amp;"C"&amp;$A13)*RTD("tos.rtd",,"LAST","."&amp;O$2&amp;O$1&amp;"C"&amp;$A13)-100*RTD("tos.rtd",,"OPEN_INT","."&amp;O$2&amp;O$1&amp;"P"&amp;$A13)*RTD("tos.rtd",,"LAST","."&amp;O$2&amp;O$1&amp;"P"&amp;$A13))/1000000,0),IF($A$2="PREMIUM",IFERROR((100*RTD("tos.rtd",,"VOLUME","."&amp;O$2&amp;O$1&amp;"C"&amp;$A13)*RTD("tos.rtd",,"LAST","."&amp;O$2&amp;O$1&amp;"C"&amp;$A13)-100*RTD("tos.rtd",,"VOLUME","."&amp;O$2&amp;O$1&amp;"P"&amp;$A13)*RTD("tos.rtd",,"LAST","."&amp;O$2&amp;O$1&amp;"P"&amp;$A13))/1000000,0),IF($A$2="DEX",IFERROR((100*RTD("tos.rtd",,"OPEN_INT","."&amp;O$2&amp;O$1&amp;"C"&amp;$A13)*RTD("tos.rtd",,"DELTA","."&amp;O$2&amp;O$1&amp;"C"&amp;$A13)-100*RTD("tos.rtd",,"OPEN_INT","."&amp;O$2&amp;O$1&amp;"P"&amp;$A13)*RTD("tos.rtd",,"DELTA","."&amp;O$2&amp;O$1&amp;"P"&amp;$A13))/1000,0),IF($A$2="VEX",IFERROR(($A$4*$A$4*RTD("tos.rtd",,"VOLUME","."&amp;O$2&amp;O$1&amp;"C"&amp;$A13)*RTD("tos.rtd",,"GAMMA","."&amp;O$2&amp;O$1&amp;"C"&amp;$A13)-$A$4*$A$4*RTD("tos.rtd",,"VOLUME","."&amp;O$2&amp;O$1&amp;"P"&amp;$A13)*RTD("tos.rtd",,"GAMMA","."&amp;O$2&amp;O$1&amp;"P"&amp;$A13))/1000000,0),IF($A$2="GEX",IFERROR(($A$4*$A$4*RTD("tos.rtd",,"OPEN_INT","."&amp;O$2&amp;O$1&amp;"C"&amp;$A13)*RTD("tos.rtd",,"GAMMA","."&amp;O$2&amp;O$1&amp;"C"&amp;$A13)-$A$4*$A$4*RTD("tos.rtd",,"OPEN_INT","."&amp;O$2&amp;O$1&amp;"P"&amp;$A13)*RTD("tos.rtd",,"GAMMA","."&amp;O$2&amp;O$1&amp;"P"&amp;$A13))/1000000,0),IF($A$2="SKEW",IFERROR(VALUE(IF(RTD("tos.rtd",,"IMPL_VOL","."&amp;O$2&amp;O$1&amp;"P"&amp;$A13)="N/A",0,RTD("tos.rtd",,"IMPL_VOL","."&amp;O$2&amp;O$1&amp;"P"&amp;$A13))),0)-IFERROR(VALUE(IF(RTD("tos.rtd",,"IMPL_VOL","."&amp;O$2&amp;O$1&amp;"C"&amp;$A13)="N/A",0,RTD("tos.rtd",,"IMPL_VOL","."&amp;O$2&amp;O$1&amp;"C"&amp;$A13))),0),IF($A$2="MAXPAIN",IF($A$4&gt;$A13,($A$4-$A13)*IF(RTD("tos.rtd",,"OPEN_INT","."&amp;O$2&amp;O$1&amp;"C"&amp;$A13)="N/A",0,RTD("tos.rtd",,"OPEN_INT","."&amp;O$2&amp;O$1&amp;"C"&amp;$A13)),0)+IF($A$4&lt;$A13,($A13-$A$4)*IF(RTD("tos.rtd",,"OPEN_INT","."&amp;O$2&amp;O$1&amp;"P"&amp;$A13)="N/A",0,RTD("tos.rtd",,"OPEN_INT","."&amp;O$2&amp;O$1&amp;"P"&amp;$A13)),0),IF(RTD("tos.rtd",,$A$2,"."&amp;O$2&amp;O$1&amp;"C"&amp;$A13)="N/A",0,RTD("tos.rtd",,$A$2,"."&amp;O$2&amp;O$1&amp;"C"&amp;$A13))-IF(RTD("tos.rtd",,$A$2,"."&amp;O$2&amp;O$1&amp;"P"&amp;$A13)="N/A",0,RTD("tos.rtd",,$A$2,"."&amp;O$2&amp;O$1&amp;"P"&amp;$A13)))))))))</f>
        <v>0</v>
      </c>
      <c r="P13" s="12">
        <f>IF($A$2="PREMIUM_OI",IFERROR((100*RTD("tos.rtd",,"OPEN_INT","."&amp;P$2&amp;P$1&amp;"C"&amp;$A13)*RTD("tos.rtd",,"LAST","."&amp;P$2&amp;P$1&amp;"C"&amp;$A13)-100*RTD("tos.rtd",,"OPEN_INT","."&amp;P$2&amp;P$1&amp;"P"&amp;$A13)*RTD("tos.rtd",,"LAST","."&amp;P$2&amp;P$1&amp;"P"&amp;$A13))/1000000,0),IF($A$2="PREMIUM",IFERROR((100*RTD("tos.rtd",,"VOLUME","."&amp;P$2&amp;P$1&amp;"C"&amp;$A13)*RTD("tos.rtd",,"LAST","."&amp;P$2&amp;P$1&amp;"C"&amp;$A13)-100*RTD("tos.rtd",,"VOLUME","."&amp;P$2&amp;P$1&amp;"P"&amp;$A13)*RTD("tos.rtd",,"LAST","."&amp;P$2&amp;P$1&amp;"P"&amp;$A13))/1000000,0),IF($A$2="DEX",IFERROR((100*RTD("tos.rtd",,"OPEN_INT","."&amp;P$2&amp;P$1&amp;"C"&amp;$A13)*RTD("tos.rtd",,"DELTA","."&amp;P$2&amp;P$1&amp;"C"&amp;$A13)-100*RTD("tos.rtd",,"OPEN_INT","."&amp;P$2&amp;P$1&amp;"P"&amp;$A13)*RTD("tos.rtd",,"DELTA","."&amp;P$2&amp;P$1&amp;"P"&amp;$A13))/1000,0),IF($A$2="VEX",IFERROR(($A$4*$A$4*RTD("tos.rtd",,"VOLUME","."&amp;P$2&amp;P$1&amp;"C"&amp;$A13)*RTD("tos.rtd",,"GAMMA","."&amp;P$2&amp;P$1&amp;"C"&amp;$A13)-$A$4*$A$4*RTD("tos.rtd",,"VOLUME","."&amp;P$2&amp;P$1&amp;"P"&amp;$A13)*RTD("tos.rtd",,"GAMMA","."&amp;P$2&amp;P$1&amp;"P"&amp;$A13))/1000000,0),IF($A$2="GEX",IFERROR(($A$4*$A$4*RTD("tos.rtd",,"OPEN_INT","."&amp;P$2&amp;P$1&amp;"C"&amp;$A13)*RTD("tos.rtd",,"GAMMA","."&amp;P$2&amp;P$1&amp;"C"&amp;$A13)-$A$4*$A$4*RTD("tos.rtd",,"OPEN_INT","."&amp;P$2&amp;P$1&amp;"P"&amp;$A13)*RTD("tos.rtd",,"GAMMA","."&amp;P$2&amp;P$1&amp;"P"&amp;$A13))/1000000,0),IF($A$2="SKEW",IFERROR(VALUE(IF(RTD("tos.rtd",,"IMPL_VOL","."&amp;P$2&amp;P$1&amp;"P"&amp;$A13)="N/A",0,RTD("tos.rtd",,"IMPL_VOL","."&amp;P$2&amp;P$1&amp;"P"&amp;$A13))),0)-IFERROR(VALUE(IF(RTD("tos.rtd",,"IMPL_VOL","."&amp;P$2&amp;P$1&amp;"C"&amp;$A13)="N/A",0,RTD("tos.rtd",,"IMPL_VOL","."&amp;P$2&amp;P$1&amp;"C"&amp;$A13))),0),IF($A$2="MAXPAIN",IF($A$4&gt;$A13,($A$4-$A13)*IF(RTD("tos.rtd",,"OPEN_INT","."&amp;P$2&amp;P$1&amp;"C"&amp;$A13)="N/A",0,RTD("tos.rtd",,"OPEN_INT","."&amp;P$2&amp;P$1&amp;"C"&amp;$A13)),0)+IF($A$4&lt;$A13,($A13-$A$4)*IF(RTD("tos.rtd",,"OPEN_INT","."&amp;P$2&amp;P$1&amp;"P"&amp;$A13)="N/A",0,RTD("tos.rtd",,"OPEN_INT","."&amp;P$2&amp;P$1&amp;"P"&amp;$A13)),0),IF(RTD("tos.rtd",,$A$2,"."&amp;P$2&amp;P$1&amp;"C"&amp;$A13)="N/A",0,RTD("tos.rtd",,$A$2,"."&amp;P$2&amp;P$1&amp;"C"&amp;$A13))-IF(RTD("tos.rtd",,$A$2,"."&amp;P$2&amp;P$1&amp;"P"&amp;$A13)="N/A",0,RTD("tos.rtd",,$A$2,"."&amp;P$2&amp;P$1&amp;"P"&amp;$A13)))))))))</f>
        <v>0</v>
      </c>
      <c r="Q13" s="12">
        <f>IF($A$2="PREMIUM_OI",IFERROR((100*RTD("tos.rtd",,"OPEN_INT","."&amp;Q$2&amp;Q$1&amp;"C"&amp;$A13)*RTD("tos.rtd",,"LAST","."&amp;Q$2&amp;Q$1&amp;"C"&amp;$A13)-100*RTD("tos.rtd",,"OPEN_INT","."&amp;Q$2&amp;Q$1&amp;"P"&amp;$A13)*RTD("tos.rtd",,"LAST","."&amp;Q$2&amp;Q$1&amp;"P"&amp;$A13))/1000000,0),IF($A$2="PREMIUM",IFERROR((100*RTD("tos.rtd",,"VOLUME","."&amp;Q$2&amp;Q$1&amp;"C"&amp;$A13)*RTD("tos.rtd",,"LAST","."&amp;Q$2&amp;Q$1&amp;"C"&amp;$A13)-100*RTD("tos.rtd",,"VOLUME","."&amp;Q$2&amp;Q$1&amp;"P"&amp;$A13)*RTD("tos.rtd",,"LAST","."&amp;Q$2&amp;Q$1&amp;"P"&amp;$A13))/1000000,0),IF($A$2="DEX",IFERROR((100*RTD("tos.rtd",,"OPEN_INT","."&amp;Q$2&amp;Q$1&amp;"C"&amp;$A13)*RTD("tos.rtd",,"DELTA","."&amp;Q$2&amp;Q$1&amp;"C"&amp;$A13)-100*RTD("tos.rtd",,"OPEN_INT","."&amp;Q$2&amp;Q$1&amp;"P"&amp;$A13)*RTD("tos.rtd",,"DELTA","."&amp;Q$2&amp;Q$1&amp;"P"&amp;$A13))/1000,0),IF($A$2="VEX",IFERROR(($A$4*$A$4*RTD("tos.rtd",,"VOLUME","."&amp;Q$2&amp;Q$1&amp;"C"&amp;$A13)*RTD("tos.rtd",,"GAMMA","."&amp;Q$2&amp;Q$1&amp;"C"&amp;$A13)-$A$4*$A$4*RTD("tos.rtd",,"VOLUME","."&amp;Q$2&amp;Q$1&amp;"P"&amp;$A13)*RTD("tos.rtd",,"GAMMA","."&amp;Q$2&amp;Q$1&amp;"P"&amp;$A13))/1000000,0),IF($A$2="GEX",IFERROR(($A$4*$A$4*RTD("tos.rtd",,"OPEN_INT","."&amp;Q$2&amp;Q$1&amp;"C"&amp;$A13)*RTD("tos.rtd",,"GAMMA","."&amp;Q$2&amp;Q$1&amp;"C"&amp;$A13)-$A$4*$A$4*RTD("tos.rtd",,"OPEN_INT","."&amp;Q$2&amp;Q$1&amp;"P"&amp;$A13)*RTD("tos.rtd",,"GAMMA","."&amp;Q$2&amp;Q$1&amp;"P"&amp;$A13))/1000000,0),IF($A$2="SKEW",IFERROR(VALUE(IF(RTD("tos.rtd",,"IMPL_VOL","."&amp;Q$2&amp;Q$1&amp;"P"&amp;$A13)="N/A",0,RTD("tos.rtd",,"IMPL_VOL","."&amp;Q$2&amp;Q$1&amp;"P"&amp;$A13))),0)-IFERROR(VALUE(IF(RTD("tos.rtd",,"IMPL_VOL","."&amp;Q$2&amp;Q$1&amp;"C"&amp;$A13)="N/A",0,RTD("tos.rtd",,"IMPL_VOL","."&amp;Q$2&amp;Q$1&amp;"C"&amp;$A13))),0),IF($A$2="MAXPAIN",IF($A$4&gt;$A13,($A$4-$A13)*IF(RTD("tos.rtd",,"OPEN_INT","."&amp;Q$2&amp;Q$1&amp;"C"&amp;$A13)="N/A",0,RTD("tos.rtd",,"OPEN_INT","."&amp;Q$2&amp;Q$1&amp;"C"&amp;$A13)),0)+IF($A$4&lt;$A13,($A13-$A$4)*IF(RTD("tos.rtd",,"OPEN_INT","."&amp;Q$2&amp;Q$1&amp;"P"&amp;$A13)="N/A",0,RTD("tos.rtd",,"OPEN_INT","."&amp;Q$2&amp;Q$1&amp;"P"&amp;$A13)),0),IF(RTD("tos.rtd",,$A$2,"."&amp;Q$2&amp;Q$1&amp;"C"&amp;$A13)="N/A",0,RTD("tos.rtd",,$A$2,"."&amp;Q$2&amp;Q$1&amp;"C"&amp;$A13))-IF(RTD("tos.rtd",,$A$2,"."&amp;Q$2&amp;Q$1&amp;"P"&amp;$A13)="N/A",0,RTD("tos.rtd",,$A$2,"."&amp;Q$2&amp;Q$1&amp;"P"&amp;$A13)))))))))</f>
        <v>0</v>
      </c>
      <c r="R13" s="12">
        <f>IF($A$2="PREMIUM_OI",IFERROR((100*RTD("tos.rtd",,"OPEN_INT","."&amp;R$2&amp;R$1&amp;"C"&amp;$A13)*RTD("tos.rtd",,"LAST","."&amp;R$2&amp;R$1&amp;"C"&amp;$A13)-100*RTD("tos.rtd",,"OPEN_INT","."&amp;R$2&amp;R$1&amp;"P"&amp;$A13)*RTD("tos.rtd",,"LAST","."&amp;R$2&amp;R$1&amp;"P"&amp;$A13))/1000000,0),IF($A$2="PREMIUM",IFERROR((100*RTD("tos.rtd",,"VOLUME","."&amp;R$2&amp;R$1&amp;"C"&amp;$A13)*RTD("tos.rtd",,"LAST","."&amp;R$2&amp;R$1&amp;"C"&amp;$A13)-100*RTD("tos.rtd",,"VOLUME","."&amp;R$2&amp;R$1&amp;"P"&amp;$A13)*RTD("tos.rtd",,"LAST","."&amp;R$2&amp;R$1&amp;"P"&amp;$A13))/1000000,0),IF($A$2="DEX",IFERROR((100*RTD("tos.rtd",,"OPEN_INT","."&amp;R$2&amp;R$1&amp;"C"&amp;$A13)*RTD("tos.rtd",,"DELTA","."&amp;R$2&amp;R$1&amp;"C"&amp;$A13)-100*RTD("tos.rtd",,"OPEN_INT","."&amp;R$2&amp;R$1&amp;"P"&amp;$A13)*RTD("tos.rtd",,"DELTA","."&amp;R$2&amp;R$1&amp;"P"&amp;$A13))/1000,0),IF($A$2="VEX",IFERROR(($A$4*$A$4*RTD("tos.rtd",,"VOLUME","."&amp;R$2&amp;R$1&amp;"C"&amp;$A13)*RTD("tos.rtd",,"GAMMA","."&amp;R$2&amp;R$1&amp;"C"&amp;$A13)-$A$4*$A$4*RTD("tos.rtd",,"VOLUME","."&amp;R$2&amp;R$1&amp;"P"&amp;$A13)*RTD("tos.rtd",,"GAMMA","."&amp;R$2&amp;R$1&amp;"P"&amp;$A13))/1000000,0),IF($A$2="GEX",IFERROR(($A$4*$A$4*RTD("tos.rtd",,"OPEN_INT","."&amp;R$2&amp;R$1&amp;"C"&amp;$A13)*RTD("tos.rtd",,"GAMMA","."&amp;R$2&amp;R$1&amp;"C"&amp;$A13)-$A$4*$A$4*RTD("tos.rtd",,"OPEN_INT","."&amp;R$2&amp;R$1&amp;"P"&amp;$A13)*RTD("tos.rtd",,"GAMMA","."&amp;R$2&amp;R$1&amp;"P"&amp;$A13))/1000000,0),IF($A$2="SKEW",IFERROR(VALUE(IF(RTD("tos.rtd",,"IMPL_VOL","."&amp;R$2&amp;R$1&amp;"P"&amp;$A13)="N/A",0,RTD("tos.rtd",,"IMPL_VOL","."&amp;R$2&amp;R$1&amp;"P"&amp;$A13))),0)-IFERROR(VALUE(IF(RTD("tos.rtd",,"IMPL_VOL","."&amp;R$2&amp;R$1&amp;"C"&amp;$A13)="N/A",0,RTD("tos.rtd",,"IMPL_VOL","."&amp;R$2&amp;R$1&amp;"C"&amp;$A13))),0),IF($A$2="MAXPAIN",IF($A$4&gt;$A13,($A$4-$A13)*IF(RTD("tos.rtd",,"OPEN_INT","."&amp;R$2&amp;R$1&amp;"C"&amp;$A13)="N/A",0,RTD("tos.rtd",,"OPEN_INT","."&amp;R$2&amp;R$1&amp;"C"&amp;$A13)),0)+IF($A$4&lt;$A13,($A13-$A$4)*IF(RTD("tos.rtd",,"OPEN_INT","."&amp;R$2&amp;R$1&amp;"P"&amp;$A13)="N/A",0,RTD("tos.rtd",,"OPEN_INT","."&amp;R$2&amp;R$1&amp;"P"&amp;$A13)),0),IF(RTD("tos.rtd",,$A$2,"."&amp;R$2&amp;R$1&amp;"C"&amp;$A13)="N/A",0,RTD("tos.rtd",,$A$2,"."&amp;R$2&amp;R$1&amp;"C"&amp;$A13))-IF(RTD("tos.rtd",,$A$2,"."&amp;R$2&amp;R$1&amp;"P"&amp;$A13)="N/A",0,RTD("tos.rtd",,$A$2,"."&amp;R$2&amp;R$1&amp;"P"&amp;$A13)))))))))</f>
        <v>1</v>
      </c>
      <c r="S13" s="12">
        <f>IF($A$2="PREMIUM_OI",IFERROR((100*RTD("tos.rtd",,"OPEN_INT","."&amp;S$2&amp;S$1&amp;"C"&amp;$A13)*RTD("tos.rtd",,"LAST","."&amp;S$2&amp;S$1&amp;"C"&amp;$A13)-100*RTD("tos.rtd",,"OPEN_INT","."&amp;S$2&amp;S$1&amp;"P"&amp;$A13)*RTD("tos.rtd",,"LAST","."&amp;S$2&amp;S$1&amp;"P"&amp;$A13))/1000000,0),IF($A$2="PREMIUM",IFERROR((100*RTD("tos.rtd",,"VOLUME","."&amp;S$2&amp;S$1&amp;"C"&amp;$A13)*RTD("tos.rtd",,"LAST","."&amp;S$2&amp;S$1&amp;"C"&amp;$A13)-100*RTD("tos.rtd",,"VOLUME","."&amp;S$2&amp;S$1&amp;"P"&amp;$A13)*RTD("tos.rtd",,"LAST","."&amp;S$2&amp;S$1&amp;"P"&amp;$A13))/1000000,0),IF($A$2="DEX",IFERROR((100*RTD("tos.rtd",,"OPEN_INT","."&amp;S$2&amp;S$1&amp;"C"&amp;$A13)*RTD("tos.rtd",,"DELTA","."&amp;S$2&amp;S$1&amp;"C"&amp;$A13)-100*RTD("tos.rtd",,"OPEN_INT","."&amp;S$2&amp;S$1&amp;"P"&amp;$A13)*RTD("tos.rtd",,"DELTA","."&amp;S$2&amp;S$1&amp;"P"&amp;$A13))/1000,0),IF($A$2="VEX",IFERROR(($A$4*$A$4*RTD("tos.rtd",,"VOLUME","."&amp;S$2&amp;S$1&amp;"C"&amp;$A13)*RTD("tos.rtd",,"GAMMA","."&amp;S$2&amp;S$1&amp;"C"&amp;$A13)-$A$4*$A$4*RTD("tos.rtd",,"VOLUME","."&amp;S$2&amp;S$1&amp;"P"&amp;$A13)*RTD("tos.rtd",,"GAMMA","."&amp;S$2&amp;S$1&amp;"P"&amp;$A13))/1000000,0),IF($A$2="GEX",IFERROR(($A$4*$A$4*RTD("tos.rtd",,"OPEN_INT","."&amp;S$2&amp;S$1&amp;"C"&amp;$A13)*RTD("tos.rtd",,"GAMMA","."&amp;S$2&amp;S$1&amp;"C"&amp;$A13)-$A$4*$A$4*RTD("tos.rtd",,"OPEN_INT","."&amp;S$2&amp;S$1&amp;"P"&amp;$A13)*RTD("tos.rtd",,"GAMMA","."&amp;S$2&amp;S$1&amp;"P"&amp;$A13))/1000000,0),IF($A$2="SKEW",IFERROR(VALUE(IF(RTD("tos.rtd",,"IMPL_VOL","."&amp;S$2&amp;S$1&amp;"P"&amp;$A13)="N/A",0,RTD("tos.rtd",,"IMPL_VOL","."&amp;S$2&amp;S$1&amp;"P"&amp;$A13))),0)-IFERROR(VALUE(IF(RTD("tos.rtd",,"IMPL_VOL","."&amp;S$2&amp;S$1&amp;"C"&amp;$A13)="N/A",0,RTD("tos.rtd",,"IMPL_VOL","."&amp;S$2&amp;S$1&amp;"C"&amp;$A13))),0),IF($A$2="MAXPAIN",IF($A$4&gt;$A13,($A$4-$A13)*IF(RTD("tos.rtd",,"OPEN_INT","."&amp;S$2&amp;S$1&amp;"C"&amp;$A13)="N/A",0,RTD("tos.rtd",,"OPEN_INT","."&amp;S$2&amp;S$1&amp;"C"&amp;$A13)),0)+IF($A$4&lt;$A13,($A13-$A$4)*IF(RTD("tos.rtd",,"OPEN_INT","."&amp;S$2&amp;S$1&amp;"P"&amp;$A13)="N/A",0,RTD("tos.rtd",,"OPEN_INT","."&amp;S$2&amp;S$1&amp;"P"&amp;$A13)),0),IF(RTD("tos.rtd",,$A$2,"."&amp;S$2&amp;S$1&amp;"C"&amp;$A13)="N/A",0,RTD("tos.rtd",,$A$2,"."&amp;S$2&amp;S$1&amp;"C"&amp;$A13))-IF(RTD("tos.rtd",,$A$2,"."&amp;S$2&amp;S$1&amp;"P"&amp;$A13)="N/A",0,RTD("tos.rtd",,$A$2,"."&amp;S$2&amp;S$1&amp;"P"&amp;$A13)))))))))</f>
        <v>0</v>
      </c>
      <c r="T13" s="12">
        <f>IF($A$2="PREMIUM_OI",IFERROR((100*RTD("tos.rtd",,"OPEN_INT","."&amp;T$2&amp;T$1&amp;"C"&amp;$A13)*RTD("tos.rtd",,"LAST","."&amp;T$2&amp;T$1&amp;"C"&amp;$A13)-100*RTD("tos.rtd",,"OPEN_INT","."&amp;T$2&amp;T$1&amp;"P"&amp;$A13)*RTD("tos.rtd",,"LAST","."&amp;T$2&amp;T$1&amp;"P"&amp;$A13))/1000000,0),IF($A$2="PREMIUM",IFERROR((100*RTD("tos.rtd",,"VOLUME","."&amp;T$2&amp;T$1&amp;"C"&amp;$A13)*RTD("tos.rtd",,"LAST","."&amp;T$2&amp;T$1&amp;"C"&amp;$A13)-100*RTD("tos.rtd",,"VOLUME","."&amp;T$2&amp;T$1&amp;"P"&amp;$A13)*RTD("tos.rtd",,"LAST","."&amp;T$2&amp;T$1&amp;"P"&amp;$A13))/1000000,0),IF($A$2="DEX",IFERROR((100*RTD("tos.rtd",,"OPEN_INT","."&amp;T$2&amp;T$1&amp;"C"&amp;$A13)*RTD("tos.rtd",,"DELTA","."&amp;T$2&amp;T$1&amp;"C"&amp;$A13)-100*RTD("tos.rtd",,"OPEN_INT","."&amp;T$2&amp;T$1&amp;"P"&amp;$A13)*RTD("tos.rtd",,"DELTA","."&amp;T$2&amp;T$1&amp;"P"&amp;$A13))/1000,0),IF($A$2="VEX",IFERROR(($A$4*$A$4*RTD("tos.rtd",,"VOLUME","."&amp;T$2&amp;T$1&amp;"C"&amp;$A13)*RTD("tos.rtd",,"GAMMA","."&amp;T$2&amp;T$1&amp;"C"&amp;$A13)-$A$4*$A$4*RTD("tos.rtd",,"VOLUME","."&amp;T$2&amp;T$1&amp;"P"&amp;$A13)*RTD("tos.rtd",,"GAMMA","."&amp;T$2&amp;T$1&amp;"P"&amp;$A13))/1000000,0),IF($A$2="GEX",IFERROR(($A$4*$A$4*RTD("tos.rtd",,"OPEN_INT","."&amp;T$2&amp;T$1&amp;"C"&amp;$A13)*RTD("tos.rtd",,"GAMMA","."&amp;T$2&amp;T$1&amp;"C"&amp;$A13)-$A$4*$A$4*RTD("tos.rtd",,"OPEN_INT","."&amp;T$2&amp;T$1&amp;"P"&amp;$A13)*RTD("tos.rtd",,"GAMMA","."&amp;T$2&amp;T$1&amp;"P"&amp;$A13))/1000000,0),IF($A$2="SKEW",IFERROR(VALUE(IF(RTD("tos.rtd",,"IMPL_VOL","."&amp;T$2&amp;T$1&amp;"P"&amp;$A13)="N/A",0,RTD("tos.rtd",,"IMPL_VOL","."&amp;T$2&amp;T$1&amp;"P"&amp;$A13))),0)-IFERROR(VALUE(IF(RTD("tos.rtd",,"IMPL_VOL","."&amp;T$2&amp;T$1&amp;"C"&amp;$A13)="N/A",0,RTD("tos.rtd",,"IMPL_VOL","."&amp;T$2&amp;T$1&amp;"C"&amp;$A13))),0),IF($A$2="MAXPAIN",IF($A$4&gt;$A13,($A$4-$A13)*IF(RTD("tos.rtd",,"OPEN_INT","."&amp;T$2&amp;T$1&amp;"C"&amp;$A13)="N/A",0,RTD("tos.rtd",,"OPEN_INT","."&amp;T$2&amp;T$1&amp;"C"&amp;$A13)),0)+IF($A$4&lt;$A13,($A13-$A$4)*IF(RTD("tos.rtd",,"OPEN_INT","."&amp;T$2&amp;T$1&amp;"P"&amp;$A13)="N/A",0,RTD("tos.rtd",,"OPEN_INT","."&amp;T$2&amp;T$1&amp;"P"&amp;$A13)),0),IF(RTD("tos.rtd",,$A$2,"."&amp;T$2&amp;T$1&amp;"C"&amp;$A13)="N/A",0,RTD("tos.rtd",,$A$2,"."&amp;T$2&amp;T$1&amp;"C"&amp;$A13))-IF(RTD("tos.rtd",,$A$2,"."&amp;T$2&amp;T$1&amp;"P"&amp;$A13)="N/A",0,RTD("tos.rtd",,$A$2,"."&amp;T$2&amp;T$1&amp;"P"&amp;$A13)))))))))</f>
        <v>0</v>
      </c>
      <c r="U13" s="12">
        <f>IF($A$2="PREMIUM_OI",IFERROR((100*RTD("tos.rtd",,"OPEN_INT","."&amp;U$2&amp;U$1&amp;"C"&amp;$A13)*RTD("tos.rtd",,"LAST","."&amp;U$2&amp;U$1&amp;"C"&amp;$A13)-100*RTD("tos.rtd",,"OPEN_INT","."&amp;U$2&amp;U$1&amp;"P"&amp;$A13)*RTD("tos.rtd",,"LAST","."&amp;U$2&amp;U$1&amp;"P"&amp;$A13))/1000000,0),IF($A$2="PREMIUM",IFERROR((100*RTD("tos.rtd",,"VOLUME","."&amp;U$2&amp;U$1&amp;"C"&amp;$A13)*RTD("tos.rtd",,"LAST","."&amp;U$2&amp;U$1&amp;"C"&amp;$A13)-100*RTD("tos.rtd",,"VOLUME","."&amp;U$2&amp;U$1&amp;"P"&amp;$A13)*RTD("tos.rtd",,"LAST","."&amp;U$2&amp;U$1&amp;"P"&amp;$A13))/1000000,0),IF($A$2="DEX",IFERROR((100*RTD("tos.rtd",,"OPEN_INT","."&amp;U$2&amp;U$1&amp;"C"&amp;$A13)*RTD("tos.rtd",,"DELTA","."&amp;U$2&amp;U$1&amp;"C"&amp;$A13)-100*RTD("tos.rtd",,"OPEN_INT","."&amp;U$2&amp;U$1&amp;"P"&amp;$A13)*RTD("tos.rtd",,"DELTA","."&amp;U$2&amp;U$1&amp;"P"&amp;$A13))/1000,0),IF($A$2="VEX",IFERROR(($A$4*$A$4*RTD("tos.rtd",,"VOLUME","."&amp;U$2&amp;U$1&amp;"C"&amp;$A13)*RTD("tos.rtd",,"GAMMA","."&amp;U$2&amp;U$1&amp;"C"&amp;$A13)-$A$4*$A$4*RTD("tos.rtd",,"VOLUME","."&amp;U$2&amp;U$1&amp;"P"&amp;$A13)*RTD("tos.rtd",,"GAMMA","."&amp;U$2&amp;U$1&amp;"P"&amp;$A13))/1000000,0),IF($A$2="GEX",IFERROR(($A$4*$A$4*RTD("tos.rtd",,"OPEN_INT","."&amp;U$2&amp;U$1&amp;"C"&amp;$A13)*RTD("tos.rtd",,"GAMMA","."&amp;U$2&amp;U$1&amp;"C"&amp;$A13)-$A$4*$A$4*RTD("tos.rtd",,"OPEN_INT","."&amp;U$2&amp;U$1&amp;"P"&amp;$A13)*RTD("tos.rtd",,"GAMMA","."&amp;U$2&amp;U$1&amp;"P"&amp;$A13))/1000000,0),IF($A$2="SKEW",IFERROR(VALUE(IF(RTD("tos.rtd",,"IMPL_VOL","."&amp;U$2&amp;U$1&amp;"P"&amp;$A13)="N/A",0,RTD("tos.rtd",,"IMPL_VOL","."&amp;U$2&amp;U$1&amp;"P"&amp;$A13))),0)-IFERROR(VALUE(IF(RTD("tos.rtd",,"IMPL_VOL","."&amp;U$2&amp;U$1&amp;"C"&amp;$A13)="N/A",0,RTD("tos.rtd",,"IMPL_VOL","."&amp;U$2&amp;U$1&amp;"C"&amp;$A13))),0),IF($A$2="MAXPAIN",IF($A$4&gt;$A13,($A$4-$A13)*IF(RTD("tos.rtd",,"OPEN_INT","."&amp;U$2&amp;U$1&amp;"C"&amp;$A13)="N/A",0,RTD("tos.rtd",,"OPEN_INT","."&amp;U$2&amp;U$1&amp;"C"&amp;$A13)),0)+IF($A$4&lt;$A13,($A13-$A$4)*IF(RTD("tos.rtd",,"OPEN_INT","."&amp;U$2&amp;U$1&amp;"P"&amp;$A13)="N/A",0,RTD("tos.rtd",,"OPEN_INT","."&amp;U$2&amp;U$1&amp;"P"&amp;$A13)),0),IF(RTD("tos.rtd",,$A$2,"."&amp;U$2&amp;U$1&amp;"C"&amp;$A13)="N/A",0,RTD("tos.rtd",,$A$2,"."&amp;U$2&amp;U$1&amp;"C"&amp;$A13))-IF(RTD("tos.rtd",,$A$2,"."&amp;U$2&amp;U$1&amp;"P"&amp;$A13)="N/A",0,RTD("tos.rtd",,$A$2,"."&amp;U$2&amp;U$1&amp;"P"&amp;$A13)))))))))</f>
        <v>0</v>
      </c>
      <c r="V13" s="12">
        <f>IF($A$2="PREMIUM_OI",IFERROR((100*RTD("tos.rtd",,"OPEN_INT","."&amp;V$2&amp;V$1&amp;"C"&amp;$A13)*RTD("tos.rtd",,"LAST","."&amp;V$2&amp;V$1&amp;"C"&amp;$A13)-100*RTD("tos.rtd",,"OPEN_INT","."&amp;V$2&amp;V$1&amp;"P"&amp;$A13)*RTD("tos.rtd",,"LAST","."&amp;V$2&amp;V$1&amp;"P"&amp;$A13))/1000000,0),IF($A$2="PREMIUM",IFERROR((100*RTD("tos.rtd",,"VOLUME","."&amp;V$2&amp;V$1&amp;"C"&amp;$A13)*RTD("tos.rtd",,"LAST","."&amp;V$2&amp;V$1&amp;"C"&amp;$A13)-100*RTD("tos.rtd",,"VOLUME","."&amp;V$2&amp;V$1&amp;"P"&amp;$A13)*RTD("tos.rtd",,"LAST","."&amp;V$2&amp;V$1&amp;"P"&amp;$A13))/1000000,0),IF($A$2="DEX",IFERROR((100*RTD("tos.rtd",,"OPEN_INT","."&amp;V$2&amp;V$1&amp;"C"&amp;$A13)*RTD("tos.rtd",,"DELTA","."&amp;V$2&amp;V$1&amp;"C"&amp;$A13)-100*RTD("tos.rtd",,"OPEN_INT","."&amp;V$2&amp;V$1&amp;"P"&amp;$A13)*RTD("tos.rtd",,"DELTA","."&amp;V$2&amp;V$1&amp;"P"&amp;$A13))/1000,0),IF($A$2="VEX",IFERROR(($A$4*$A$4*RTD("tos.rtd",,"VOLUME","."&amp;V$2&amp;V$1&amp;"C"&amp;$A13)*RTD("tos.rtd",,"GAMMA","."&amp;V$2&amp;V$1&amp;"C"&amp;$A13)-$A$4*$A$4*RTD("tos.rtd",,"VOLUME","."&amp;V$2&amp;V$1&amp;"P"&amp;$A13)*RTD("tos.rtd",,"GAMMA","."&amp;V$2&amp;V$1&amp;"P"&amp;$A13))/1000000,0),IF($A$2="GEX",IFERROR(($A$4*$A$4*RTD("tos.rtd",,"OPEN_INT","."&amp;V$2&amp;V$1&amp;"C"&amp;$A13)*RTD("tos.rtd",,"GAMMA","."&amp;V$2&amp;V$1&amp;"C"&amp;$A13)-$A$4*$A$4*RTD("tos.rtd",,"OPEN_INT","."&amp;V$2&amp;V$1&amp;"P"&amp;$A13)*RTD("tos.rtd",,"GAMMA","."&amp;V$2&amp;V$1&amp;"P"&amp;$A13))/1000000,0),IF($A$2="SKEW",IFERROR(VALUE(IF(RTD("tos.rtd",,"IMPL_VOL","."&amp;V$2&amp;V$1&amp;"P"&amp;$A13)="N/A",0,RTD("tos.rtd",,"IMPL_VOL","."&amp;V$2&amp;V$1&amp;"P"&amp;$A13))),0)-IFERROR(VALUE(IF(RTD("tos.rtd",,"IMPL_VOL","."&amp;V$2&amp;V$1&amp;"C"&amp;$A13)="N/A",0,RTD("tos.rtd",,"IMPL_VOL","."&amp;V$2&amp;V$1&amp;"C"&amp;$A13))),0),IF($A$2="MAXPAIN",IF($A$4&gt;$A13,($A$4-$A13)*IF(RTD("tos.rtd",,"OPEN_INT","."&amp;V$2&amp;V$1&amp;"C"&amp;$A13)="N/A",0,RTD("tos.rtd",,"OPEN_INT","."&amp;V$2&amp;V$1&amp;"C"&amp;$A13)),0)+IF($A$4&lt;$A13,($A13-$A$4)*IF(RTD("tos.rtd",,"OPEN_INT","."&amp;V$2&amp;V$1&amp;"P"&amp;$A13)="N/A",0,RTD("tos.rtd",,"OPEN_INT","."&amp;V$2&amp;V$1&amp;"P"&amp;$A13)),0),IF(RTD("tos.rtd",,$A$2,"."&amp;V$2&amp;V$1&amp;"C"&amp;$A13)="N/A",0,RTD("tos.rtd",,$A$2,"."&amp;V$2&amp;V$1&amp;"C"&amp;$A13))-IF(RTD("tos.rtd",,$A$2,"."&amp;V$2&amp;V$1&amp;"P"&amp;$A13)="N/A",0,RTD("tos.rtd",,$A$2,"."&amp;V$2&amp;V$1&amp;"P"&amp;$A13)))))))))</f>
        <v>0</v>
      </c>
      <c r="W13" s="12">
        <f>IF($A$2="PREMIUM_OI",IFERROR((100*RTD("tos.rtd",,"OPEN_INT","."&amp;W$2&amp;W$1&amp;"C"&amp;$A13)*RTD("tos.rtd",,"LAST","."&amp;W$2&amp;W$1&amp;"C"&amp;$A13)-100*RTD("tos.rtd",,"OPEN_INT","."&amp;W$2&amp;W$1&amp;"P"&amp;$A13)*RTD("tos.rtd",,"LAST","."&amp;W$2&amp;W$1&amp;"P"&amp;$A13))/1000000,0),IF($A$2="PREMIUM",IFERROR((100*RTD("tos.rtd",,"VOLUME","."&amp;W$2&amp;W$1&amp;"C"&amp;$A13)*RTD("tos.rtd",,"LAST","."&amp;W$2&amp;W$1&amp;"C"&amp;$A13)-100*RTD("tos.rtd",,"VOLUME","."&amp;W$2&amp;W$1&amp;"P"&amp;$A13)*RTD("tos.rtd",,"LAST","."&amp;W$2&amp;W$1&amp;"P"&amp;$A13))/1000000,0),IF($A$2="DEX",IFERROR((100*RTD("tos.rtd",,"OPEN_INT","."&amp;W$2&amp;W$1&amp;"C"&amp;$A13)*RTD("tos.rtd",,"DELTA","."&amp;W$2&amp;W$1&amp;"C"&amp;$A13)-100*RTD("tos.rtd",,"OPEN_INT","."&amp;W$2&amp;W$1&amp;"P"&amp;$A13)*RTD("tos.rtd",,"DELTA","."&amp;W$2&amp;W$1&amp;"P"&amp;$A13))/1000,0),IF($A$2="VEX",IFERROR(($A$4*$A$4*RTD("tos.rtd",,"VOLUME","."&amp;W$2&amp;W$1&amp;"C"&amp;$A13)*RTD("tos.rtd",,"GAMMA","."&amp;W$2&amp;W$1&amp;"C"&amp;$A13)-$A$4*$A$4*RTD("tos.rtd",,"VOLUME","."&amp;W$2&amp;W$1&amp;"P"&amp;$A13)*RTD("tos.rtd",,"GAMMA","."&amp;W$2&amp;W$1&amp;"P"&amp;$A13))/1000000,0),IF($A$2="GEX",IFERROR(($A$4*$A$4*RTD("tos.rtd",,"OPEN_INT","."&amp;W$2&amp;W$1&amp;"C"&amp;$A13)*RTD("tos.rtd",,"GAMMA","."&amp;W$2&amp;W$1&amp;"C"&amp;$A13)-$A$4*$A$4*RTD("tos.rtd",,"OPEN_INT","."&amp;W$2&amp;W$1&amp;"P"&amp;$A13)*RTD("tos.rtd",,"GAMMA","."&amp;W$2&amp;W$1&amp;"P"&amp;$A13))/1000000,0),IF($A$2="SKEW",IFERROR(VALUE(IF(RTD("tos.rtd",,"IMPL_VOL","."&amp;W$2&amp;W$1&amp;"P"&amp;$A13)="N/A",0,RTD("tos.rtd",,"IMPL_VOL","."&amp;W$2&amp;W$1&amp;"P"&amp;$A13))),0)-IFERROR(VALUE(IF(RTD("tos.rtd",,"IMPL_VOL","."&amp;W$2&amp;W$1&amp;"C"&amp;$A13)="N/A",0,RTD("tos.rtd",,"IMPL_VOL","."&amp;W$2&amp;W$1&amp;"C"&amp;$A13))),0),IF($A$2="MAXPAIN",IF($A$4&gt;$A13,($A$4-$A13)*IF(RTD("tos.rtd",,"OPEN_INT","."&amp;W$2&amp;W$1&amp;"C"&amp;$A13)="N/A",0,RTD("tos.rtd",,"OPEN_INT","."&amp;W$2&amp;W$1&amp;"C"&amp;$A13)),0)+IF($A$4&lt;$A13,($A13-$A$4)*IF(RTD("tos.rtd",,"OPEN_INT","."&amp;W$2&amp;W$1&amp;"P"&amp;$A13)="N/A",0,RTD("tos.rtd",,"OPEN_INT","."&amp;W$2&amp;W$1&amp;"P"&amp;$A13)),0),IF(RTD("tos.rtd",,$A$2,"."&amp;W$2&amp;W$1&amp;"C"&amp;$A13)="N/A",0,RTD("tos.rtd",,$A$2,"."&amp;W$2&amp;W$1&amp;"C"&amp;$A13))-IF(RTD("tos.rtd",,$A$2,"."&amp;W$2&amp;W$1&amp;"P"&amp;$A13)="N/A",0,RTD("tos.rtd",,$A$2,"."&amp;W$2&amp;W$1&amp;"P"&amp;$A13)))))))))</f>
        <v>0</v>
      </c>
      <c r="X13" s="12">
        <f t="shared" ca="1" si="7"/>
        <v>0</v>
      </c>
      <c r="Y13" s="27">
        <f t="shared" ca="1" si="8"/>
        <v>0</v>
      </c>
      <c r="AA13" s="35">
        <f t="shared" si="5"/>
        <v>12</v>
      </c>
      <c r="AB13" s="8">
        <f>+IF($AJ$1,AK13,TASTYOHLC!B13)</f>
        <v>597.95000000000005</v>
      </c>
      <c r="AC13" s="8">
        <f>+IF($AJ$1,AL13,TASTYOHLC!C13)</f>
        <v>605.51</v>
      </c>
      <c r="AD13" s="8">
        <f>+IF($AJ$1,AM13,TASTYOHLC!D13)</f>
        <v>596.37</v>
      </c>
      <c r="AE13" s="8">
        <f>+IF($AJ$1,AN13,TASTYOHLC!E13)</f>
        <v>603.92999999999995</v>
      </c>
      <c r="AF13" s="8"/>
      <c r="AJ13" s="37">
        <v>45947</v>
      </c>
      <c r="AK13" s="50">
        <v>597.95000000000005</v>
      </c>
      <c r="AL13" s="50">
        <v>605.51</v>
      </c>
      <c r="AM13" s="50">
        <v>596.37</v>
      </c>
      <c r="AN13" s="50">
        <v>603.92999999999995</v>
      </c>
      <c r="AO13" s="51">
        <v>96500870</v>
      </c>
    </row>
    <row r="14" spans="1:41" s="19" customFormat="1" ht="11.1" customHeight="1" thickBot="1" x14ac:dyDescent="0.3">
      <c r="A14" s="23">
        <f t="shared" si="6"/>
        <v>15</v>
      </c>
      <c r="B14" s="14">
        <f>IF($A$2="PREMIUM_OI",IFERROR((100*RTD("tos.rtd",,"OPEN_INT","."&amp;B$2&amp;B$1&amp;"C"&amp;$A14)*RTD("tos.rtd",,"LAST","."&amp;B$2&amp;B$1&amp;"C"&amp;$A14)-100*RTD("tos.rtd",,"OPEN_INT","."&amp;B$2&amp;B$1&amp;"P"&amp;$A14)*RTD("tos.rtd",,"LAST","."&amp;B$2&amp;B$1&amp;"P"&amp;$A14))/1000000,0),IF($A$2="PREMIUM",IFERROR((100*RTD("tos.rtd",,"VOLUME","."&amp;B$2&amp;B$1&amp;"C"&amp;$A14)*RTD("tos.rtd",,"LAST","."&amp;B$2&amp;B$1&amp;"C"&amp;$A14)-100*RTD("tos.rtd",,"VOLUME","."&amp;B$2&amp;B$1&amp;"P"&amp;$A14)*RTD("tos.rtd",,"LAST","."&amp;B$2&amp;B$1&amp;"P"&amp;$A14))/1000000,0),IF($A$2="DEX",IFERROR((100*RTD("tos.rtd",,"OPEN_INT","."&amp;B$2&amp;B$1&amp;"C"&amp;$A14)*RTD("tos.rtd",,"DELTA","."&amp;B$2&amp;B$1&amp;"C"&amp;$A14)-100*RTD("tos.rtd",,"OPEN_INT","."&amp;B$2&amp;B$1&amp;"P"&amp;$A14)*RTD("tos.rtd",,"DELTA","."&amp;B$2&amp;B$1&amp;"P"&amp;$A14))/1000,0),IF($A$2="VEX",IFERROR(($A$4*$A$4*RTD("tos.rtd",,"VOLUME","."&amp;B$2&amp;B$1&amp;"C"&amp;$A14)*RTD("tos.rtd",,"GAMMA","."&amp;B$2&amp;B$1&amp;"C"&amp;$A14)-$A$4*$A$4*RTD("tos.rtd",,"VOLUME","."&amp;B$2&amp;B$1&amp;"P"&amp;$A14)*RTD("tos.rtd",,"GAMMA","."&amp;B$2&amp;B$1&amp;"P"&amp;$A14))/1000000,0),IF($A$2="GEX",IFERROR(($A$4*$A$4*RTD("tos.rtd",,"OPEN_INT","."&amp;B$2&amp;B$1&amp;"C"&amp;$A14)*RTD("tos.rtd",,"GAMMA","."&amp;B$2&amp;B$1&amp;"C"&amp;$A14)-$A$4*$A$4*RTD("tos.rtd",,"OPEN_INT","."&amp;B$2&amp;B$1&amp;"P"&amp;$A14)*RTD("tos.rtd",,"GAMMA","."&amp;B$2&amp;B$1&amp;"P"&amp;$A14))/1000000,0),IF($A$2="SKEW",IFERROR(VALUE(IF(RTD("tos.rtd",,"IMPL_VOL","."&amp;B$2&amp;B$1&amp;"P"&amp;$A14)="N/A",0,RTD("tos.rtd",,"IMPL_VOL","."&amp;B$2&amp;B$1&amp;"P"&amp;$A14))),0)-IFERROR(VALUE(IF(RTD("tos.rtd",,"IMPL_VOL","."&amp;B$2&amp;B$1&amp;"C"&amp;$A14)="N/A",0,RTD("tos.rtd",,"IMPL_VOL","."&amp;B$2&amp;B$1&amp;"C"&amp;$A14))),0),IF($A$2="MAXPAIN",IF($A$4&gt;$A14,($A$4-$A14)*IF(RTD("tos.rtd",,"OPEN_INT","."&amp;B$2&amp;B$1&amp;"C"&amp;$A14)="N/A",0,RTD("tos.rtd",,"OPEN_INT","."&amp;B$2&amp;B$1&amp;"C"&amp;$A14)),0)+IF($A$4&lt;$A14,($A14-$A$4)*IF(RTD("tos.rtd",,"OPEN_INT","."&amp;B$2&amp;B$1&amp;"P"&amp;$A14)="N/A",0,RTD("tos.rtd",,"OPEN_INT","."&amp;B$2&amp;B$1&amp;"P"&amp;$A14)),0),IF(RTD("tos.rtd",,$A$2,"."&amp;B$2&amp;B$1&amp;"C"&amp;$A14)="N/A",0,RTD("tos.rtd",,$A$2,"."&amp;B$2&amp;B$1&amp;"C"&amp;$A14))-IF(RTD("tos.rtd",,$A$2,"."&amp;B$2&amp;B$1&amp;"P"&amp;$A14)="N/A",0,RTD("tos.rtd",,$A$2,"."&amp;B$2&amp;B$1&amp;"P"&amp;$A14)))))))))</f>
        <v>0</v>
      </c>
      <c r="C14" s="12">
        <f>IF($A$2="PREMIUM_OI",IFERROR((100*RTD("tos.rtd",,"OPEN_INT","."&amp;C$2&amp;C$1&amp;"C"&amp;$A14)*RTD("tos.rtd",,"LAST","."&amp;C$2&amp;C$1&amp;"C"&amp;$A14)-100*RTD("tos.rtd",,"OPEN_INT","."&amp;C$2&amp;C$1&amp;"P"&amp;$A14)*RTD("tos.rtd",,"LAST","."&amp;C$2&amp;C$1&amp;"P"&amp;$A14))/1000000,0),IF($A$2="PREMIUM",IFERROR((100*RTD("tos.rtd",,"VOLUME","."&amp;C$2&amp;C$1&amp;"C"&amp;$A14)*RTD("tos.rtd",,"LAST","."&amp;C$2&amp;C$1&amp;"C"&amp;$A14)-100*RTD("tos.rtd",,"VOLUME","."&amp;C$2&amp;C$1&amp;"P"&amp;$A14)*RTD("tos.rtd",,"LAST","."&amp;C$2&amp;C$1&amp;"P"&amp;$A14))/1000000,0),IF($A$2="DEX",IFERROR((100*RTD("tos.rtd",,"OPEN_INT","."&amp;C$2&amp;C$1&amp;"C"&amp;$A14)*RTD("tos.rtd",,"DELTA","."&amp;C$2&amp;C$1&amp;"C"&amp;$A14)-100*RTD("tos.rtd",,"OPEN_INT","."&amp;C$2&amp;C$1&amp;"P"&amp;$A14)*RTD("tos.rtd",,"DELTA","."&amp;C$2&amp;C$1&amp;"P"&amp;$A14))/1000,0),IF($A$2="VEX",IFERROR(($A$4*$A$4*RTD("tos.rtd",,"VOLUME","."&amp;C$2&amp;C$1&amp;"C"&amp;$A14)*RTD("tos.rtd",,"GAMMA","."&amp;C$2&amp;C$1&amp;"C"&amp;$A14)-$A$4*$A$4*RTD("tos.rtd",,"VOLUME","."&amp;C$2&amp;C$1&amp;"P"&amp;$A14)*RTD("tos.rtd",,"GAMMA","."&amp;C$2&amp;C$1&amp;"P"&amp;$A14))/1000000,0),IF($A$2="GEX",IFERROR(($A$4*$A$4*RTD("tos.rtd",,"OPEN_INT","."&amp;C$2&amp;C$1&amp;"C"&amp;$A14)*RTD("tos.rtd",,"GAMMA","."&amp;C$2&amp;C$1&amp;"C"&amp;$A14)-$A$4*$A$4*RTD("tos.rtd",,"OPEN_INT","."&amp;C$2&amp;C$1&amp;"P"&amp;$A14)*RTD("tos.rtd",,"GAMMA","."&amp;C$2&amp;C$1&amp;"P"&amp;$A14))/1000000,0),IF($A$2="SKEW",IFERROR(VALUE(IF(RTD("tos.rtd",,"IMPL_VOL","."&amp;C$2&amp;C$1&amp;"P"&amp;$A14)="N/A",0,RTD("tos.rtd",,"IMPL_VOL","."&amp;C$2&amp;C$1&amp;"P"&amp;$A14))),0)-IFERROR(VALUE(IF(RTD("tos.rtd",,"IMPL_VOL","."&amp;C$2&amp;C$1&amp;"C"&amp;$A14)="N/A",0,RTD("tos.rtd",,"IMPL_VOL","."&amp;C$2&amp;C$1&amp;"C"&amp;$A14))),0),IF($A$2="MAXPAIN",IF($A$4&gt;$A14,($A$4-$A14)*IF(RTD("tos.rtd",,"OPEN_INT","."&amp;C$2&amp;C$1&amp;"C"&amp;$A14)="N/A",0,RTD("tos.rtd",,"OPEN_INT","."&amp;C$2&amp;C$1&amp;"C"&amp;$A14)),0)+IF($A$4&lt;$A14,($A14-$A$4)*IF(RTD("tos.rtd",,"OPEN_INT","."&amp;C$2&amp;C$1&amp;"P"&amp;$A14)="N/A",0,RTD("tos.rtd",,"OPEN_INT","."&amp;C$2&amp;C$1&amp;"P"&amp;$A14)),0),IF(RTD("tos.rtd",,$A$2,"."&amp;C$2&amp;C$1&amp;"C"&amp;$A14)="N/A",0,RTD("tos.rtd",,$A$2,"."&amp;C$2&amp;C$1&amp;"C"&amp;$A14))-IF(RTD("tos.rtd",,$A$2,"."&amp;C$2&amp;C$1&amp;"P"&amp;$A14)="N/A",0,RTD("tos.rtd",,$A$2,"."&amp;C$2&amp;C$1&amp;"P"&amp;$A14)))))))))</f>
        <v>11661</v>
      </c>
      <c r="D14" s="12">
        <f>IF($A$2="PREMIUM_OI",IFERROR((100*RTD("tos.rtd",,"OPEN_INT","."&amp;D$2&amp;D$1&amp;"C"&amp;$A14)*RTD("tos.rtd",,"LAST","."&amp;D$2&amp;D$1&amp;"C"&amp;$A14)-100*RTD("tos.rtd",,"OPEN_INT","."&amp;D$2&amp;D$1&amp;"P"&amp;$A14)*RTD("tos.rtd",,"LAST","."&amp;D$2&amp;D$1&amp;"P"&amp;$A14))/1000000,0),IF($A$2="PREMIUM",IFERROR((100*RTD("tos.rtd",,"VOLUME","."&amp;D$2&amp;D$1&amp;"C"&amp;$A14)*RTD("tos.rtd",,"LAST","."&amp;D$2&amp;D$1&amp;"C"&amp;$A14)-100*RTD("tos.rtd",,"VOLUME","."&amp;D$2&amp;D$1&amp;"P"&amp;$A14)*RTD("tos.rtd",,"LAST","."&amp;D$2&amp;D$1&amp;"P"&amp;$A14))/1000000,0),IF($A$2="DEX",IFERROR((100*RTD("tos.rtd",,"OPEN_INT","."&amp;D$2&amp;D$1&amp;"C"&amp;$A14)*RTD("tos.rtd",,"DELTA","."&amp;D$2&amp;D$1&amp;"C"&amp;$A14)-100*RTD("tos.rtd",,"OPEN_INT","."&amp;D$2&amp;D$1&amp;"P"&amp;$A14)*RTD("tos.rtd",,"DELTA","."&amp;D$2&amp;D$1&amp;"P"&amp;$A14))/1000,0),IF($A$2="VEX",IFERROR(($A$4*$A$4*RTD("tos.rtd",,"VOLUME","."&amp;D$2&amp;D$1&amp;"C"&amp;$A14)*RTD("tos.rtd",,"GAMMA","."&amp;D$2&amp;D$1&amp;"C"&amp;$A14)-$A$4*$A$4*RTD("tos.rtd",,"VOLUME","."&amp;D$2&amp;D$1&amp;"P"&amp;$A14)*RTD("tos.rtd",,"GAMMA","."&amp;D$2&amp;D$1&amp;"P"&amp;$A14))/1000000,0),IF($A$2="GEX",IFERROR(($A$4*$A$4*RTD("tos.rtd",,"OPEN_INT","."&amp;D$2&amp;D$1&amp;"C"&amp;$A14)*RTD("tos.rtd",,"GAMMA","."&amp;D$2&amp;D$1&amp;"C"&amp;$A14)-$A$4*$A$4*RTD("tos.rtd",,"OPEN_INT","."&amp;D$2&amp;D$1&amp;"P"&amp;$A14)*RTD("tos.rtd",,"GAMMA","."&amp;D$2&amp;D$1&amp;"P"&amp;$A14))/1000000,0),IF($A$2="SKEW",IFERROR(VALUE(IF(RTD("tos.rtd",,"IMPL_VOL","."&amp;D$2&amp;D$1&amp;"P"&amp;$A14)="N/A",0,RTD("tos.rtd",,"IMPL_VOL","."&amp;D$2&amp;D$1&amp;"P"&amp;$A14))),0)-IFERROR(VALUE(IF(RTD("tos.rtd",,"IMPL_VOL","."&amp;D$2&amp;D$1&amp;"C"&amp;$A14)="N/A",0,RTD("tos.rtd",,"IMPL_VOL","."&amp;D$2&amp;D$1&amp;"C"&amp;$A14))),0),IF($A$2="MAXPAIN",IF($A$4&gt;$A14,($A$4-$A14)*IF(RTD("tos.rtd",,"OPEN_INT","."&amp;D$2&amp;D$1&amp;"C"&amp;$A14)="N/A",0,RTD("tos.rtd",,"OPEN_INT","."&amp;D$2&amp;D$1&amp;"C"&amp;$A14)),0)+IF($A$4&lt;$A14,($A14-$A$4)*IF(RTD("tos.rtd",,"OPEN_INT","."&amp;D$2&amp;D$1&amp;"P"&amp;$A14)="N/A",0,RTD("tos.rtd",,"OPEN_INT","."&amp;D$2&amp;D$1&amp;"P"&amp;$A14)),0),IF(RTD("tos.rtd",,$A$2,"."&amp;D$2&amp;D$1&amp;"C"&amp;$A14)="N/A",0,RTD("tos.rtd",,$A$2,"."&amp;D$2&amp;D$1&amp;"C"&amp;$A14))-IF(RTD("tos.rtd",,$A$2,"."&amp;D$2&amp;D$1&amp;"P"&amp;$A14)="N/A",0,RTD("tos.rtd",,$A$2,"."&amp;D$2&amp;D$1&amp;"P"&amp;$A14)))))))))</f>
        <v>0</v>
      </c>
      <c r="E14" s="12">
        <f>IF($A$2="PREMIUM_OI",IFERROR((100*RTD("tos.rtd",,"OPEN_INT","."&amp;E$2&amp;E$1&amp;"C"&amp;$A14)*RTD("tos.rtd",,"LAST","."&amp;E$2&amp;E$1&amp;"C"&amp;$A14)-100*RTD("tos.rtd",,"OPEN_INT","."&amp;E$2&amp;E$1&amp;"P"&amp;$A14)*RTD("tos.rtd",,"LAST","."&amp;E$2&amp;E$1&amp;"P"&amp;$A14))/1000000,0),IF($A$2="PREMIUM",IFERROR((100*RTD("tos.rtd",,"VOLUME","."&amp;E$2&amp;E$1&amp;"C"&amp;$A14)*RTD("tos.rtd",,"LAST","."&amp;E$2&amp;E$1&amp;"C"&amp;$A14)-100*RTD("tos.rtd",,"VOLUME","."&amp;E$2&amp;E$1&amp;"P"&amp;$A14)*RTD("tos.rtd",,"LAST","."&amp;E$2&amp;E$1&amp;"P"&amp;$A14))/1000000,0),IF($A$2="DEX",IFERROR((100*RTD("tos.rtd",,"OPEN_INT","."&amp;E$2&amp;E$1&amp;"C"&amp;$A14)*RTD("tos.rtd",,"DELTA","."&amp;E$2&amp;E$1&amp;"C"&amp;$A14)-100*RTD("tos.rtd",,"OPEN_INT","."&amp;E$2&amp;E$1&amp;"P"&amp;$A14)*RTD("tos.rtd",,"DELTA","."&amp;E$2&amp;E$1&amp;"P"&amp;$A14))/1000,0),IF($A$2="VEX",IFERROR(($A$4*$A$4*RTD("tos.rtd",,"VOLUME","."&amp;E$2&amp;E$1&amp;"C"&amp;$A14)*RTD("tos.rtd",,"GAMMA","."&amp;E$2&amp;E$1&amp;"C"&amp;$A14)-$A$4*$A$4*RTD("tos.rtd",,"VOLUME","."&amp;E$2&amp;E$1&amp;"P"&amp;$A14)*RTD("tos.rtd",,"GAMMA","."&amp;E$2&amp;E$1&amp;"P"&amp;$A14))/1000000,0),IF($A$2="GEX",IFERROR(($A$4*$A$4*RTD("tos.rtd",,"OPEN_INT","."&amp;E$2&amp;E$1&amp;"C"&amp;$A14)*RTD("tos.rtd",,"GAMMA","."&amp;E$2&amp;E$1&amp;"C"&amp;$A14)-$A$4*$A$4*RTD("tos.rtd",,"OPEN_INT","."&amp;E$2&amp;E$1&amp;"P"&amp;$A14)*RTD("tos.rtd",,"GAMMA","."&amp;E$2&amp;E$1&amp;"P"&amp;$A14))/1000000,0),IF($A$2="SKEW",IFERROR(VALUE(IF(RTD("tos.rtd",,"IMPL_VOL","."&amp;E$2&amp;E$1&amp;"P"&amp;$A14)="N/A",0,RTD("tos.rtd",,"IMPL_VOL","."&amp;E$2&amp;E$1&amp;"P"&amp;$A14))),0)-IFERROR(VALUE(IF(RTD("tos.rtd",,"IMPL_VOL","."&amp;E$2&amp;E$1&amp;"C"&amp;$A14)="N/A",0,RTD("tos.rtd",,"IMPL_VOL","."&amp;E$2&amp;E$1&amp;"C"&amp;$A14))),0),IF($A$2="MAXPAIN",IF($A$4&gt;$A14,($A$4-$A14)*IF(RTD("tos.rtd",,"OPEN_INT","."&amp;E$2&amp;E$1&amp;"C"&amp;$A14)="N/A",0,RTD("tos.rtd",,"OPEN_INT","."&amp;E$2&amp;E$1&amp;"C"&amp;$A14)),0)+IF($A$4&lt;$A14,($A14-$A$4)*IF(RTD("tos.rtd",,"OPEN_INT","."&amp;E$2&amp;E$1&amp;"P"&amp;$A14)="N/A",0,RTD("tos.rtd",,"OPEN_INT","."&amp;E$2&amp;E$1&amp;"P"&amp;$A14)),0),IF(RTD("tos.rtd",,$A$2,"."&amp;E$2&amp;E$1&amp;"C"&amp;$A14)="N/A",0,RTD("tos.rtd",,$A$2,"."&amp;E$2&amp;E$1&amp;"C"&amp;$A14))-IF(RTD("tos.rtd",,$A$2,"."&amp;E$2&amp;E$1&amp;"P"&amp;$A14)="N/A",0,RTD("tos.rtd",,$A$2,"."&amp;E$2&amp;E$1&amp;"P"&amp;$A14)))))))))</f>
        <v>0</v>
      </c>
      <c r="F14" s="12">
        <f>IF($A$2="PREMIUM_OI",IFERROR((100*RTD("tos.rtd",,"OPEN_INT","."&amp;F$2&amp;F$1&amp;"C"&amp;$A14)*RTD("tos.rtd",,"LAST","."&amp;F$2&amp;F$1&amp;"C"&amp;$A14)-100*RTD("tos.rtd",,"OPEN_INT","."&amp;F$2&amp;F$1&amp;"P"&amp;$A14)*RTD("tos.rtd",,"LAST","."&amp;F$2&amp;F$1&amp;"P"&amp;$A14))/1000000,0),IF($A$2="PREMIUM",IFERROR((100*RTD("tos.rtd",,"VOLUME","."&amp;F$2&amp;F$1&amp;"C"&amp;$A14)*RTD("tos.rtd",,"LAST","."&amp;F$2&amp;F$1&amp;"C"&amp;$A14)-100*RTD("tos.rtd",,"VOLUME","."&amp;F$2&amp;F$1&amp;"P"&amp;$A14)*RTD("tos.rtd",,"LAST","."&amp;F$2&amp;F$1&amp;"P"&amp;$A14))/1000000,0),IF($A$2="DEX",IFERROR((100*RTD("tos.rtd",,"OPEN_INT","."&amp;F$2&amp;F$1&amp;"C"&amp;$A14)*RTD("tos.rtd",,"DELTA","."&amp;F$2&amp;F$1&amp;"C"&amp;$A14)-100*RTD("tos.rtd",,"OPEN_INT","."&amp;F$2&amp;F$1&amp;"P"&amp;$A14)*RTD("tos.rtd",,"DELTA","."&amp;F$2&amp;F$1&amp;"P"&amp;$A14))/1000,0),IF($A$2="VEX",IFERROR(($A$4*$A$4*RTD("tos.rtd",,"VOLUME","."&amp;F$2&amp;F$1&amp;"C"&amp;$A14)*RTD("tos.rtd",,"GAMMA","."&amp;F$2&amp;F$1&amp;"C"&amp;$A14)-$A$4*$A$4*RTD("tos.rtd",,"VOLUME","."&amp;F$2&amp;F$1&amp;"P"&amp;$A14)*RTD("tos.rtd",,"GAMMA","."&amp;F$2&amp;F$1&amp;"P"&amp;$A14))/1000000,0),IF($A$2="GEX",IFERROR(($A$4*$A$4*RTD("tos.rtd",,"OPEN_INT","."&amp;F$2&amp;F$1&amp;"C"&amp;$A14)*RTD("tos.rtd",,"GAMMA","."&amp;F$2&amp;F$1&amp;"C"&amp;$A14)-$A$4*$A$4*RTD("tos.rtd",,"OPEN_INT","."&amp;F$2&amp;F$1&amp;"P"&amp;$A14)*RTD("tos.rtd",,"GAMMA","."&amp;F$2&amp;F$1&amp;"P"&amp;$A14))/1000000,0),IF($A$2="SKEW",IFERROR(VALUE(IF(RTD("tos.rtd",,"IMPL_VOL","."&amp;F$2&amp;F$1&amp;"P"&amp;$A14)="N/A",0,RTD("tos.rtd",,"IMPL_VOL","."&amp;F$2&amp;F$1&amp;"P"&amp;$A14))),0)-IFERROR(VALUE(IF(RTD("tos.rtd",,"IMPL_VOL","."&amp;F$2&amp;F$1&amp;"C"&amp;$A14)="N/A",0,RTD("tos.rtd",,"IMPL_VOL","."&amp;F$2&amp;F$1&amp;"C"&amp;$A14))),0),IF($A$2="MAXPAIN",IF($A$4&gt;$A14,($A$4-$A14)*IF(RTD("tos.rtd",,"OPEN_INT","."&amp;F$2&amp;F$1&amp;"C"&amp;$A14)="N/A",0,RTD("tos.rtd",,"OPEN_INT","."&amp;F$2&amp;F$1&amp;"C"&amp;$A14)),0)+IF($A$4&lt;$A14,($A14-$A$4)*IF(RTD("tos.rtd",,"OPEN_INT","."&amp;F$2&amp;F$1&amp;"P"&amp;$A14)="N/A",0,RTD("tos.rtd",,"OPEN_INT","."&amp;F$2&amp;F$1&amp;"P"&amp;$A14)),0),IF(RTD("tos.rtd",,$A$2,"."&amp;F$2&amp;F$1&amp;"C"&amp;$A14)="N/A",0,RTD("tos.rtd",,$A$2,"."&amp;F$2&amp;F$1&amp;"C"&amp;$A14))-IF(RTD("tos.rtd",,$A$2,"."&amp;F$2&amp;F$1&amp;"P"&amp;$A14)="N/A",0,RTD("tos.rtd",,$A$2,"."&amp;F$2&amp;F$1&amp;"P"&amp;$A14)))))))))</f>
        <v>0</v>
      </c>
      <c r="G14" s="14">
        <f>IF($A$2="PREMIUM_OI",IFERROR((100*RTD("tos.rtd",,"OPEN_INT","."&amp;G$2&amp;G$1&amp;"C"&amp;$A14)*RTD("tos.rtd",,"LAST","."&amp;G$2&amp;G$1&amp;"C"&amp;$A14)-100*RTD("tos.rtd",,"OPEN_INT","."&amp;G$2&amp;G$1&amp;"P"&amp;$A14)*RTD("tos.rtd",,"LAST","."&amp;G$2&amp;G$1&amp;"P"&amp;$A14))/1000000,0),IF($A$2="PREMIUM",IFERROR((100*RTD("tos.rtd",,"VOLUME","."&amp;G$2&amp;G$1&amp;"C"&amp;$A14)*RTD("tos.rtd",,"LAST","."&amp;G$2&amp;G$1&amp;"C"&amp;$A14)-100*RTD("tos.rtd",,"VOLUME","."&amp;G$2&amp;G$1&amp;"P"&amp;$A14)*RTD("tos.rtd",,"LAST","."&amp;G$2&amp;G$1&amp;"P"&amp;$A14))/1000000,0),IF($A$2="DEX",IFERROR((100*RTD("tos.rtd",,"OPEN_INT","."&amp;G$2&amp;G$1&amp;"C"&amp;$A14)*RTD("tos.rtd",,"DELTA","."&amp;G$2&amp;G$1&amp;"C"&amp;$A14)-100*RTD("tos.rtd",,"OPEN_INT","."&amp;G$2&amp;G$1&amp;"P"&amp;$A14)*RTD("tos.rtd",,"DELTA","."&amp;G$2&amp;G$1&amp;"P"&amp;$A14))/1000,0),IF($A$2="VEX",IFERROR(($A$4*$A$4*RTD("tos.rtd",,"VOLUME","."&amp;G$2&amp;G$1&amp;"C"&amp;$A14)*RTD("tos.rtd",,"GAMMA","."&amp;G$2&amp;G$1&amp;"C"&amp;$A14)-$A$4*$A$4*RTD("tos.rtd",,"VOLUME","."&amp;G$2&amp;G$1&amp;"P"&amp;$A14)*RTD("tos.rtd",,"GAMMA","."&amp;G$2&amp;G$1&amp;"P"&amp;$A14))/1000000,0),IF($A$2="GEX",IFERROR(($A$4*$A$4*RTD("tos.rtd",,"OPEN_INT","."&amp;G$2&amp;G$1&amp;"C"&amp;$A14)*RTD("tos.rtd",,"GAMMA","."&amp;G$2&amp;G$1&amp;"C"&amp;$A14)-$A$4*$A$4*RTD("tos.rtd",,"OPEN_INT","."&amp;G$2&amp;G$1&amp;"P"&amp;$A14)*RTD("tos.rtd",,"GAMMA","."&amp;G$2&amp;G$1&amp;"P"&amp;$A14))/1000000,0),IF($A$2="SKEW",IFERROR(VALUE(IF(RTD("tos.rtd",,"IMPL_VOL","."&amp;G$2&amp;G$1&amp;"P"&amp;$A14)="N/A",0,RTD("tos.rtd",,"IMPL_VOL","."&amp;G$2&amp;G$1&amp;"P"&amp;$A14))),0)-IFERROR(VALUE(IF(RTD("tos.rtd",,"IMPL_VOL","."&amp;G$2&amp;G$1&amp;"C"&amp;$A14)="N/A",0,RTD("tos.rtd",,"IMPL_VOL","."&amp;G$2&amp;G$1&amp;"C"&amp;$A14))),0),IF($A$2="MAXPAIN",IF($A$4&gt;$A14,($A$4-$A14)*IF(RTD("tos.rtd",,"OPEN_INT","."&amp;G$2&amp;G$1&amp;"C"&amp;$A14)="N/A",0,RTD("tos.rtd",,"OPEN_INT","."&amp;G$2&amp;G$1&amp;"C"&amp;$A14)),0)+IF($A$4&lt;$A14,($A14-$A$4)*IF(RTD("tos.rtd",,"OPEN_INT","."&amp;G$2&amp;G$1&amp;"P"&amp;$A14)="N/A",0,RTD("tos.rtd",,"OPEN_INT","."&amp;G$2&amp;G$1&amp;"P"&amp;$A14)),0),IF(RTD("tos.rtd",,$A$2,"."&amp;G$2&amp;G$1&amp;"C"&amp;$A14)="N/A",0,RTD("tos.rtd",,$A$2,"."&amp;G$2&amp;G$1&amp;"C"&amp;$A14))-IF(RTD("tos.rtd",,$A$2,"."&amp;G$2&amp;G$1&amp;"P"&amp;$A14)="N/A",0,RTD("tos.rtd",,$A$2,"."&amp;G$2&amp;G$1&amp;"P"&amp;$A14)))))))))</f>
        <v>0</v>
      </c>
      <c r="H14" s="12">
        <f>IF($A$2="PREMIUM_OI",IFERROR((100*RTD("tos.rtd",,"OPEN_INT","."&amp;H$2&amp;H$1&amp;"C"&amp;$A14)*RTD("tos.rtd",,"LAST","."&amp;H$2&amp;H$1&amp;"C"&amp;$A14)-100*RTD("tos.rtd",,"OPEN_INT","."&amp;H$2&amp;H$1&amp;"P"&amp;$A14)*RTD("tos.rtd",,"LAST","."&amp;H$2&amp;H$1&amp;"P"&amp;$A14))/1000000,0),IF($A$2="PREMIUM",IFERROR((100*RTD("tos.rtd",,"VOLUME","."&amp;H$2&amp;H$1&amp;"C"&amp;$A14)*RTD("tos.rtd",,"LAST","."&amp;H$2&amp;H$1&amp;"C"&amp;$A14)-100*RTD("tos.rtd",,"VOLUME","."&amp;H$2&amp;H$1&amp;"P"&amp;$A14)*RTD("tos.rtd",,"LAST","."&amp;H$2&amp;H$1&amp;"P"&amp;$A14))/1000000,0),IF($A$2="DEX",IFERROR((100*RTD("tos.rtd",,"OPEN_INT","."&amp;H$2&amp;H$1&amp;"C"&amp;$A14)*RTD("tos.rtd",,"DELTA","."&amp;H$2&amp;H$1&amp;"C"&amp;$A14)-100*RTD("tos.rtd",,"OPEN_INT","."&amp;H$2&amp;H$1&amp;"P"&amp;$A14)*RTD("tos.rtd",,"DELTA","."&amp;H$2&amp;H$1&amp;"P"&amp;$A14))/1000,0),IF($A$2="VEX",IFERROR(($A$4*$A$4*RTD("tos.rtd",,"VOLUME","."&amp;H$2&amp;H$1&amp;"C"&amp;$A14)*RTD("tos.rtd",,"GAMMA","."&amp;H$2&amp;H$1&amp;"C"&amp;$A14)-$A$4*$A$4*RTD("tos.rtd",,"VOLUME","."&amp;H$2&amp;H$1&amp;"P"&amp;$A14)*RTD("tos.rtd",,"GAMMA","."&amp;H$2&amp;H$1&amp;"P"&amp;$A14))/1000000,0),IF($A$2="GEX",IFERROR(($A$4*$A$4*RTD("tos.rtd",,"OPEN_INT","."&amp;H$2&amp;H$1&amp;"C"&amp;$A14)*RTD("tos.rtd",,"GAMMA","."&amp;H$2&amp;H$1&amp;"C"&amp;$A14)-$A$4*$A$4*RTD("tos.rtd",,"OPEN_INT","."&amp;H$2&amp;H$1&amp;"P"&amp;$A14)*RTD("tos.rtd",,"GAMMA","."&amp;H$2&amp;H$1&amp;"P"&amp;$A14))/1000000,0),IF($A$2="SKEW",IFERROR(VALUE(IF(RTD("tos.rtd",,"IMPL_VOL","."&amp;H$2&amp;H$1&amp;"P"&amp;$A14)="N/A",0,RTD("tos.rtd",,"IMPL_VOL","."&amp;H$2&amp;H$1&amp;"P"&amp;$A14))),0)-IFERROR(VALUE(IF(RTD("tos.rtd",,"IMPL_VOL","."&amp;H$2&amp;H$1&amp;"C"&amp;$A14)="N/A",0,RTD("tos.rtd",,"IMPL_VOL","."&amp;H$2&amp;H$1&amp;"C"&amp;$A14))),0),IF($A$2="MAXPAIN",IF($A$4&gt;$A14,($A$4-$A14)*IF(RTD("tos.rtd",,"OPEN_INT","."&amp;H$2&amp;H$1&amp;"C"&amp;$A14)="N/A",0,RTD("tos.rtd",,"OPEN_INT","."&amp;H$2&amp;H$1&amp;"C"&amp;$A14)),0)+IF($A$4&lt;$A14,($A14-$A$4)*IF(RTD("tos.rtd",,"OPEN_INT","."&amp;H$2&amp;H$1&amp;"P"&amp;$A14)="N/A",0,RTD("tos.rtd",,"OPEN_INT","."&amp;H$2&amp;H$1&amp;"P"&amp;$A14)),0),IF(RTD("tos.rtd",,$A$2,"."&amp;H$2&amp;H$1&amp;"C"&amp;$A14)="N/A",0,RTD("tos.rtd",,$A$2,"."&amp;H$2&amp;H$1&amp;"C"&amp;$A14))-IF(RTD("tos.rtd",,$A$2,"."&amp;H$2&amp;H$1&amp;"P"&amp;$A14)="N/A",0,RTD("tos.rtd",,$A$2,"."&amp;H$2&amp;H$1&amp;"P"&amp;$A14)))))))))</f>
        <v>10890</v>
      </c>
      <c r="I14" s="12">
        <f>IF($A$2="PREMIUM_OI",IFERROR((100*RTD("tos.rtd",,"OPEN_INT","."&amp;I$2&amp;I$1&amp;"C"&amp;$A14)*RTD("tos.rtd",,"LAST","."&amp;I$2&amp;I$1&amp;"C"&amp;$A14)-100*RTD("tos.rtd",,"OPEN_INT","."&amp;I$2&amp;I$1&amp;"P"&amp;$A14)*RTD("tos.rtd",,"LAST","."&amp;I$2&amp;I$1&amp;"P"&amp;$A14))/1000000,0),IF($A$2="PREMIUM",IFERROR((100*RTD("tos.rtd",,"VOLUME","."&amp;I$2&amp;I$1&amp;"C"&amp;$A14)*RTD("tos.rtd",,"LAST","."&amp;I$2&amp;I$1&amp;"C"&amp;$A14)-100*RTD("tos.rtd",,"VOLUME","."&amp;I$2&amp;I$1&amp;"P"&amp;$A14)*RTD("tos.rtd",,"LAST","."&amp;I$2&amp;I$1&amp;"P"&amp;$A14))/1000000,0),IF($A$2="DEX",IFERROR((100*RTD("tos.rtd",,"OPEN_INT","."&amp;I$2&amp;I$1&amp;"C"&amp;$A14)*RTD("tos.rtd",,"DELTA","."&amp;I$2&amp;I$1&amp;"C"&amp;$A14)-100*RTD("tos.rtd",,"OPEN_INT","."&amp;I$2&amp;I$1&amp;"P"&amp;$A14)*RTD("tos.rtd",,"DELTA","."&amp;I$2&amp;I$1&amp;"P"&amp;$A14))/1000,0),IF($A$2="VEX",IFERROR(($A$4*$A$4*RTD("tos.rtd",,"VOLUME","."&amp;I$2&amp;I$1&amp;"C"&amp;$A14)*RTD("tos.rtd",,"GAMMA","."&amp;I$2&amp;I$1&amp;"C"&amp;$A14)-$A$4*$A$4*RTD("tos.rtd",,"VOLUME","."&amp;I$2&amp;I$1&amp;"P"&amp;$A14)*RTD("tos.rtd",,"GAMMA","."&amp;I$2&amp;I$1&amp;"P"&amp;$A14))/1000000,0),IF($A$2="GEX",IFERROR(($A$4*$A$4*RTD("tos.rtd",,"OPEN_INT","."&amp;I$2&amp;I$1&amp;"C"&amp;$A14)*RTD("tos.rtd",,"GAMMA","."&amp;I$2&amp;I$1&amp;"C"&amp;$A14)-$A$4*$A$4*RTD("tos.rtd",,"OPEN_INT","."&amp;I$2&amp;I$1&amp;"P"&amp;$A14)*RTD("tos.rtd",,"GAMMA","."&amp;I$2&amp;I$1&amp;"P"&amp;$A14))/1000000,0),IF($A$2="SKEW",IFERROR(VALUE(IF(RTD("tos.rtd",,"IMPL_VOL","."&amp;I$2&amp;I$1&amp;"P"&amp;$A14)="N/A",0,RTD("tos.rtd",,"IMPL_VOL","."&amp;I$2&amp;I$1&amp;"P"&amp;$A14))),0)-IFERROR(VALUE(IF(RTD("tos.rtd",,"IMPL_VOL","."&amp;I$2&amp;I$1&amp;"C"&amp;$A14)="N/A",0,RTD("tos.rtd",,"IMPL_VOL","."&amp;I$2&amp;I$1&amp;"C"&amp;$A14))),0),IF($A$2="MAXPAIN",IF($A$4&gt;$A14,($A$4-$A14)*IF(RTD("tos.rtd",,"OPEN_INT","."&amp;I$2&amp;I$1&amp;"C"&amp;$A14)="N/A",0,RTD("tos.rtd",,"OPEN_INT","."&amp;I$2&amp;I$1&amp;"C"&amp;$A14)),0)+IF($A$4&lt;$A14,($A14-$A$4)*IF(RTD("tos.rtd",,"OPEN_INT","."&amp;I$2&amp;I$1&amp;"P"&amp;$A14)="N/A",0,RTD("tos.rtd",,"OPEN_INT","."&amp;I$2&amp;I$1&amp;"P"&amp;$A14)),0),IF(RTD("tos.rtd",,$A$2,"."&amp;I$2&amp;I$1&amp;"C"&amp;$A14)="N/A",0,RTD("tos.rtd",,$A$2,"."&amp;I$2&amp;I$1&amp;"C"&amp;$A14))-IF(RTD("tos.rtd",,$A$2,"."&amp;I$2&amp;I$1&amp;"P"&amp;$A14)="N/A",0,RTD("tos.rtd",,$A$2,"."&amp;I$2&amp;I$1&amp;"P"&amp;$A14)))))))))</f>
        <v>0</v>
      </c>
      <c r="J14" s="12">
        <f>IF($A$2="PREMIUM_OI",IFERROR((100*RTD("tos.rtd",,"OPEN_INT","."&amp;J$2&amp;J$1&amp;"C"&amp;$A14)*RTD("tos.rtd",,"LAST","."&amp;J$2&amp;J$1&amp;"C"&amp;$A14)-100*RTD("tos.rtd",,"OPEN_INT","."&amp;J$2&amp;J$1&amp;"P"&amp;$A14)*RTD("tos.rtd",,"LAST","."&amp;J$2&amp;J$1&amp;"P"&amp;$A14))/1000000,0),IF($A$2="PREMIUM",IFERROR((100*RTD("tos.rtd",,"VOLUME","."&amp;J$2&amp;J$1&amp;"C"&amp;$A14)*RTD("tos.rtd",,"LAST","."&amp;J$2&amp;J$1&amp;"C"&amp;$A14)-100*RTD("tos.rtd",,"VOLUME","."&amp;J$2&amp;J$1&amp;"P"&amp;$A14)*RTD("tos.rtd",,"LAST","."&amp;J$2&amp;J$1&amp;"P"&amp;$A14))/1000000,0),IF($A$2="DEX",IFERROR((100*RTD("tos.rtd",,"OPEN_INT","."&amp;J$2&amp;J$1&amp;"C"&amp;$A14)*RTD("tos.rtd",,"DELTA","."&amp;J$2&amp;J$1&amp;"C"&amp;$A14)-100*RTD("tos.rtd",,"OPEN_INT","."&amp;J$2&amp;J$1&amp;"P"&amp;$A14)*RTD("tos.rtd",,"DELTA","."&amp;J$2&amp;J$1&amp;"P"&amp;$A14))/1000,0),IF($A$2="VEX",IFERROR(($A$4*$A$4*RTD("tos.rtd",,"VOLUME","."&amp;J$2&amp;J$1&amp;"C"&amp;$A14)*RTD("tos.rtd",,"GAMMA","."&amp;J$2&amp;J$1&amp;"C"&amp;$A14)-$A$4*$A$4*RTD("tos.rtd",,"VOLUME","."&amp;J$2&amp;J$1&amp;"P"&amp;$A14)*RTD("tos.rtd",,"GAMMA","."&amp;J$2&amp;J$1&amp;"P"&amp;$A14))/1000000,0),IF($A$2="GEX",IFERROR(($A$4*$A$4*RTD("tos.rtd",,"OPEN_INT","."&amp;J$2&amp;J$1&amp;"C"&amp;$A14)*RTD("tos.rtd",,"GAMMA","."&amp;J$2&amp;J$1&amp;"C"&amp;$A14)-$A$4*$A$4*RTD("tos.rtd",,"OPEN_INT","."&amp;J$2&amp;J$1&amp;"P"&amp;$A14)*RTD("tos.rtd",,"GAMMA","."&amp;J$2&amp;J$1&amp;"P"&amp;$A14))/1000000,0),IF($A$2="SKEW",IFERROR(VALUE(IF(RTD("tos.rtd",,"IMPL_VOL","."&amp;J$2&amp;J$1&amp;"P"&amp;$A14)="N/A",0,RTD("tos.rtd",,"IMPL_VOL","."&amp;J$2&amp;J$1&amp;"P"&amp;$A14))),0)-IFERROR(VALUE(IF(RTD("tos.rtd",,"IMPL_VOL","."&amp;J$2&amp;J$1&amp;"C"&amp;$A14)="N/A",0,RTD("tos.rtd",,"IMPL_VOL","."&amp;J$2&amp;J$1&amp;"C"&amp;$A14))),0),IF($A$2="MAXPAIN",IF($A$4&gt;$A14,($A$4-$A14)*IF(RTD("tos.rtd",,"OPEN_INT","."&amp;J$2&amp;J$1&amp;"C"&amp;$A14)="N/A",0,RTD("tos.rtd",,"OPEN_INT","."&amp;J$2&amp;J$1&amp;"C"&amp;$A14)),0)+IF($A$4&lt;$A14,($A14-$A$4)*IF(RTD("tos.rtd",,"OPEN_INT","."&amp;J$2&amp;J$1&amp;"P"&amp;$A14)="N/A",0,RTD("tos.rtd",,"OPEN_INT","."&amp;J$2&amp;J$1&amp;"P"&amp;$A14)),0),IF(RTD("tos.rtd",,$A$2,"."&amp;J$2&amp;J$1&amp;"C"&amp;$A14)="N/A",0,RTD("tos.rtd",,$A$2,"."&amp;J$2&amp;J$1&amp;"C"&amp;$A14))-IF(RTD("tos.rtd",,$A$2,"."&amp;J$2&amp;J$1&amp;"P"&amp;$A14)="N/A",0,RTD("tos.rtd",,$A$2,"."&amp;J$2&amp;J$1&amp;"P"&amp;$A14)))))))))</f>
        <v>0</v>
      </c>
      <c r="K14" s="12">
        <f>IF($A$2="PREMIUM_OI",IFERROR((100*RTD("tos.rtd",,"OPEN_INT","."&amp;K$2&amp;K$1&amp;"C"&amp;$A14)*RTD("tos.rtd",,"LAST","."&amp;K$2&amp;K$1&amp;"C"&amp;$A14)-100*RTD("tos.rtd",,"OPEN_INT","."&amp;K$2&amp;K$1&amp;"P"&amp;$A14)*RTD("tos.rtd",,"LAST","."&amp;K$2&amp;K$1&amp;"P"&amp;$A14))/1000000,0),IF($A$2="PREMIUM",IFERROR((100*RTD("tos.rtd",,"VOLUME","."&amp;K$2&amp;K$1&amp;"C"&amp;$A14)*RTD("tos.rtd",,"LAST","."&amp;K$2&amp;K$1&amp;"C"&amp;$A14)-100*RTD("tos.rtd",,"VOLUME","."&amp;K$2&amp;K$1&amp;"P"&amp;$A14)*RTD("tos.rtd",,"LAST","."&amp;K$2&amp;K$1&amp;"P"&amp;$A14))/1000000,0),IF($A$2="DEX",IFERROR((100*RTD("tos.rtd",,"OPEN_INT","."&amp;K$2&amp;K$1&amp;"C"&amp;$A14)*RTD("tos.rtd",,"DELTA","."&amp;K$2&amp;K$1&amp;"C"&amp;$A14)-100*RTD("tos.rtd",,"OPEN_INT","."&amp;K$2&amp;K$1&amp;"P"&amp;$A14)*RTD("tos.rtd",,"DELTA","."&amp;K$2&amp;K$1&amp;"P"&amp;$A14))/1000,0),IF($A$2="VEX",IFERROR(($A$4*$A$4*RTD("tos.rtd",,"VOLUME","."&amp;K$2&amp;K$1&amp;"C"&amp;$A14)*RTD("tos.rtd",,"GAMMA","."&amp;K$2&amp;K$1&amp;"C"&amp;$A14)-$A$4*$A$4*RTD("tos.rtd",,"VOLUME","."&amp;K$2&amp;K$1&amp;"P"&amp;$A14)*RTD("tos.rtd",,"GAMMA","."&amp;K$2&amp;K$1&amp;"P"&amp;$A14))/1000000,0),IF($A$2="GEX",IFERROR(($A$4*$A$4*RTD("tos.rtd",,"OPEN_INT","."&amp;K$2&amp;K$1&amp;"C"&amp;$A14)*RTD("tos.rtd",,"GAMMA","."&amp;K$2&amp;K$1&amp;"C"&amp;$A14)-$A$4*$A$4*RTD("tos.rtd",,"OPEN_INT","."&amp;K$2&amp;K$1&amp;"P"&amp;$A14)*RTD("tos.rtd",,"GAMMA","."&amp;K$2&amp;K$1&amp;"P"&amp;$A14))/1000000,0),IF($A$2="SKEW",IFERROR(VALUE(IF(RTD("tos.rtd",,"IMPL_VOL","."&amp;K$2&amp;K$1&amp;"P"&amp;$A14)="N/A",0,RTD("tos.rtd",,"IMPL_VOL","."&amp;K$2&amp;K$1&amp;"P"&amp;$A14))),0)-IFERROR(VALUE(IF(RTD("tos.rtd",,"IMPL_VOL","."&amp;K$2&amp;K$1&amp;"C"&amp;$A14)="N/A",0,RTD("tos.rtd",,"IMPL_VOL","."&amp;K$2&amp;K$1&amp;"C"&amp;$A14))),0),IF($A$2="MAXPAIN",IF($A$4&gt;$A14,($A$4-$A14)*IF(RTD("tos.rtd",,"OPEN_INT","."&amp;K$2&amp;K$1&amp;"C"&amp;$A14)="N/A",0,RTD("tos.rtd",,"OPEN_INT","."&amp;K$2&amp;K$1&amp;"C"&amp;$A14)),0)+IF($A$4&lt;$A14,($A14-$A$4)*IF(RTD("tos.rtd",,"OPEN_INT","."&amp;K$2&amp;K$1&amp;"P"&amp;$A14)="N/A",0,RTD("tos.rtd",,"OPEN_INT","."&amp;K$2&amp;K$1&amp;"P"&amp;$A14)),0),IF(RTD("tos.rtd",,$A$2,"."&amp;K$2&amp;K$1&amp;"C"&amp;$A14)="N/A",0,RTD("tos.rtd",,$A$2,"."&amp;K$2&amp;K$1&amp;"C"&amp;$A14))-IF(RTD("tos.rtd",,$A$2,"."&amp;K$2&amp;K$1&amp;"P"&amp;$A14)="N/A",0,RTD("tos.rtd",,$A$2,"."&amp;K$2&amp;K$1&amp;"P"&amp;$A14)))))))))</f>
        <v>0</v>
      </c>
      <c r="L14" s="12">
        <f>IF($A$2="PREMIUM_OI",IFERROR((100*RTD("tos.rtd",,"OPEN_INT","."&amp;L$2&amp;L$1&amp;"C"&amp;$A14)*RTD("tos.rtd",,"LAST","."&amp;L$2&amp;L$1&amp;"C"&amp;$A14)-100*RTD("tos.rtd",,"OPEN_INT","."&amp;L$2&amp;L$1&amp;"P"&amp;$A14)*RTD("tos.rtd",,"LAST","."&amp;L$2&amp;L$1&amp;"P"&amp;$A14))/1000000,0),IF($A$2="PREMIUM",IFERROR((100*RTD("tos.rtd",,"VOLUME","."&amp;L$2&amp;L$1&amp;"C"&amp;$A14)*RTD("tos.rtd",,"LAST","."&amp;L$2&amp;L$1&amp;"C"&amp;$A14)-100*RTD("tos.rtd",,"VOLUME","."&amp;L$2&amp;L$1&amp;"P"&amp;$A14)*RTD("tos.rtd",,"LAST","."&amp;L$2&amp;L$1&amp;"P"&amp;$A14))/1000000,0),IF($A$2="DEX",IFERROR((100*RTD("tos.rtd",,"OPEN_INT","."&amp;L$2&amp;L$1&amp;"C"&amp;$A14)*RTD("tos.rtd",,"DELTA","."&amp;L$2&amp;L$1&amp;"C"&amp;$A14)-100*RTD("tos.rtd",,"OPEN_INT","."&amp;L$2&amp;L$1&amp;"P"&amp;$A14)*RTD("tos.rtd",,"DELTA","."&amp;L$2&amp;L$1&amp;"P"&amp;$A14))/1000,0),IF($A$2="VEX",IFERROR(($A$4*$A$4*RTD("tos.rtd",,"VOLUME","."&amp;L$2&amp;L$1&amp;"C"&amp;$A14)*RTD("tos.rtd",,"GAMMA","."&amp;L$2&amp;L$1&amp;"C"&amp;$A14)-$A$4*$A$4*RTD("tos.rtd",,"VOLUME","."&amp;L$2&amp;L$1&amp;"P"&amp;$A14)*RTD("tos.rtd",,"GAMMA","."&amp;L$2&amp;L$1&amp;"P"&amp;$A14))/1000000,0),IF($A$2="GEX",IFERROR(($A$4*$A$4*RTD("tos.rtd",,"OPEN_INT","."&amp;L$2&amp;L$1&amp;"C"&amp;$A14)*RTD("tos.rtd",,"GAMMA","."&amp;L$2&amp;L$1&amp;"C"&amp;$A14)-$A$4*$A$4*RTD("tos.rtd",,"OPEN_INT","."&amp;L$2&amp;L$1&amp;"P"&amp;$A14)*RTD("tos.rtd",,"GAMMA","."&amp;L$2&amp;L$1&amp;"P"&amp;$A14))/1000000,0),IF($A$2="SKEW",IFERROR(VALUE(IF(RTD("tos.rtd",,"IMPL_VOL","."&amp;L$2&amp;L$1&amp;"P"&amp;$A14)="N/A",0,RTD("tos.rtd",,"IMPL_VOL","."&amp;L$2&amp;L$1&amp;"P"&amp;$A14))),0)-IFERROR(VALUE(IF(RTD("tos.rtd",,"IMPL_VOL","."&amp;L$2&amp;L$1&amp;"C"&amp;$A14)="N/A",0,RTD("tos.rtd",,"IMPL_VOL","."&amp;L$2&amp;L$1&amp;"C"&amp;$A14))),0),IF($A$2="MAXPAIN",IF($A$4&gt;$A14,($A$4-$A14)*IF(RTD("tos.rtd",,"OPEN_INT","."&amp;L$2&amp;L$1&amp;"C"&amp;$A14)="N/A",0,RTD("tos.rtd",,"OPEN_INT","."&amp;L$2&amp;L$1&amp;"C"&amp;$A14)),0)+IF($A$4&lt;$A14,($A14-$A$4)*IF(RTD("tos.rtd",,"OPEN_INT","."&amp;L$2&amp;L$1&amp;"P"&amp;$A14)="N/A",0,RTD("tos.rtd",,"OPEN_INT","."&amp;L$2&amp;L$1&amp;"P"&amp;$A14)),0),IF(RTD("tos.rtd",,$A$2,"."&amp;L$2&amp;L$1&amp;"C"&amp;$A14)="N/A",0,RTD("tos.rtd",,$A$2,"."&amp;L$2&amp;L$1&amp;"C"&amp;$A14))-IF(RTD("tos.rtd",,$A$2,"."&amp;L$2&amp;L$1&amp;"P"&amp;$A14)="N/A",0,RTD("tos.rtd",,$A$2,"."&amp;L$2&amp;L$1&amp;"P"&amp;$A14)))))))))</f>
        <v>0</v>
      </c>
      <c r="M14" s="12">
        <f>IF($A$2="PREMIUM_OI",IFERROR((100*RTD("tos.rtd",,"OPEN_INT","."&amp;M$2&amp;M$1&amp;"C"&amp;$A14)*RTD("tos.rtd",,"LAST","."&amp;M$2&amp;M$1&amp;"C"&amp;$A14)-100*RTD("tos.rtd",,"OPEN_INT","."&amp;M$2&amp;M$1&amp;"P"&amp;$A14)*RTD("tos.rtd",,"LAST","."&amp;M$2&amp;M$1&amp;"P"&amp;$A14))/1000000,0),IF($A$2="PREMIUM",IFERROR((100*RTD("tos.rtd",,"VOLUME","."&amp;M$2&amp;M$1&amp;"C"&amp;$A14)*RTD("tos.rtd",,"LAST","."&amp;M$2&amp;M$1&amp;"C"&amp;$A14)-100*RTD("tos.rtd",,"VOLUME","."&amp;M$2&amp;M$1&amp;"P"&amp;$A14)*RTD("tos.rtd",,"LAST","."&amp;M$2&amp;M$1&amp;"P"&amp;$A14))/1000000,0),IF($A$2="DEX",IFERROR((100*RTD("tos.rtd",,"OPEN_INT","."&amp;M$2&amp;M$1&amp;"C"&amp;$A14)*RTD("tos.rtd",,"DELTA","."&amp;M$2&amp;M$1&amp;"C"&amp;$A14)-100*RTD("tos.rtd",,"OPEN_INT","."&amp;M$2&amp;M$1&amp;"P"&amp;$A14)*RTD("tos.rtd",,"DELTA","."&amp;M$2&amp;M$1&amp;"P"&amp;$A14))/1000,0),IF($A$2="VEX",IFERROR(($A$4*$A$4*RTD("tos.rtd",,"VOLUME","."&amp;M$2&amp;M$1&amp;"C"&amp;$A14)*RTD("tos.rtd",,"GAMMA","."&amp;M$2&amp;M$1&amp;"C"&amp;$A14)-$A$4*$A$4*RTD("tos.rtd",,"VOLUME","."&amp;M$2&amp;M$1&amp;"P"&amp;$A14)*RTD("tos.rtd",,"GAMMA","."&amp;M$2&amp;M$1&amp;"P"&amp;$A14))/1000000,0),IF($A$2="GEX",IFERROR(($A$4*$A$4*RTD("tos.rtd",,"OPEN_INT","."&amp;M$2&amp;M$1&amp;"C"&amp;$A14)*RTD("tos.rtd",,"GAMMA","."&amp;M$2&amp;M$1&amp;"C"&amp;$A14)-$A$4*$A$4*RTD("tos.rtd",,"OPEN_INT","."&amp;M$2&amp;M$1&amp;"P"&amp;$A14)*RTD("tos.rtd",,"GAMMA","."&amp;M$2&amp;M$1&amp;"P"&amp;$A14))/1000000,0),IF($A$2="SKEW",IFERROR(VALUE(IF(RTD("tos.rtd",,"IMPL_VOL","."&amp;M$2&amp;M$1&amp;"P"&amp;$A14)="N/A",0,RTD("tos.rtd",,"IMPL_VOL","."&amp;M$2&amp;M$1&amp;"P"&amp;$A14))),0)-IFERROR(VALUE(IF(RTD("tos.rtd",,"IMPL_VOL","."&amp;M$2&amp;M$1&amp;"C"&amp;$A14)="N/A",0,RTD("tos.rtd",,"IMPL_VOL","."&amp;M$2&amp;M$1&amp;"C"&amp;$A14))),0),IF($A$2="MAXPAIN",IF($A$4&gt;$A14,($A$4-$A14)*IF(RTD("tos.rtd",,"OPEN_INT","."&amp;M$2&amp;M$1&amp;"C"&amp;$A14)="N/A",0,RTD("tos.rtd",,"OPEN_INT","."&amp;M$2&amp;M$1&amp;"C"&amp;$A14)),0)+IF($A$4&lt;$A14,($A14-$A$4)*IF(RTD("tos.rtd",,"OPEN_INT","."&amp;M$2&amp;M$1&amp;"P"&amp;$A14)="N/A",0,RTD("tos.rtd",,"OPEN_INT","."&amp;M$2&amp;M$1&amp;"P"&amp;$A14)),0),IF(RTD("tos.rtd",,$A$2,"."&amp;M$2&amp;M$1&amp;"C"&amp;$A14)="N/A",0,RTD("tos.rtd",,$A$2,"."&amp;M$2&amp;M$1&amp;"C"&amp;$A14))-IF(RTD("tos.rtd",,$A$2,"."&amp;M$2&amp;M$1&amp;"P"&amp;$A14)="N/A",0,RTD("tos.rtd",,$A$2,"."&amp;M$2&amp;M$1&amp;"P"&amp;$A14)))))))))</f>
        <v>2582</v>
      </c>
      <c r="N14" s="12">
        <f>IF($A$2="PREMIUM_OI",IFERROR((100*RTD("tos.rtd",,"OPEN_INT","."&amp;N$2&amp;N$1&amp;"C"&amp;$A14)*RTD("tos.rtd",,"LAST","."&amp;N$2&amp;N$1&amp;"C"&amp;$A14)-100*RTD("tos.rtd",,"OPEN_INT","."&amp;N$2&amp;N$1&amp;"P"&amp;$A14)*RTD("tos.rtd",,"LAST","."&amp;N$2&amp;N$1&amp;"P"&amp;$A14))/1000000,0),IF($A$2="PREMIUM",IFERROR((100*RTD("tos.rtd",,"VOLUME","."&amp;N$2&amp;N$1&amp;"C"&amp;$A14)*RTD("tos.rtd",,"LAST","."&amp;N$2&amp;N$1&amp;"C"&amp;$A14)-100*RTD("tos.rtd",,"VOLUME","."&amp;N$2&amp;N$1&amp;"P"&amp;$A14)*RTD("tos.rtd",,"LAST","."&amp;N$2&amp;N$1&amp;"P"&amp;$A14))/1000000,0),IF($A$2="DEX",IFERROR((100*RTD("tos.rtd",,"OPEN_INT","."&amp;N$2&amp;N$1&amp;"C"&amp;$A14)*RTD("tos.rtd",,"DELTA","."&amp;N$2&amp;N$1&amp;"C"&amp;$A14)-100*RTD("tos.rtd",,"OPEN_INT","."&amp;N$2&amp;N$1&amp;"P"&amp;$A14)*RTD("tos.rtd",,"DELTA","."&amp;N$2&amp;N$1&amp;"P"&amp;$A14))/1000,0),IF($A$2="VEX",IFERROR(($A$4*$A$4*RTD("tos.rtd",,"VOLUME","."&amp;N$2&amp;N$1&amp;"C"&amp;$A14)*RTD("tos.rtd",,"GAMMA","."&amp;N$2&amp;N$1&amp;"C"&amp;$A14)-$A$4*$A$4*RTD("tos.rtd",,"VOLUME","."&amp;N$2&amp;N$1&amp;"P"&amp;$A14)*RTD("tos.rtd",,"GAMMA","."&amp;N$2&amp;N$1&amp;"P"&amp;$A14))/1000000,0),IF($A$2="GEX",IFERROR(($A$4*$A$4*RTD("tos.rtd",,"OPEN_INT","."&amp;N$2&amp;N$1&amp;"C"&amp;$A14)*RTD("tos.rtd",,"GAMMA","."&amp;N$2&amp;N$1&amp;"C"&amp;$A14)-$A$4*$A$4*RTD("tos.rtd",,"OPEN_INT","."&amp;N$2&amp;N$1&amp;"P"&amp;$A14)*RTD("tos.rtd",,"GAMMA","."&amp;N$2&amp;N$1&amp;"P"&amp;$A14))/1000000,0),IF($A$2="SKEW",IFERROR(VALUE(IF(RTD("tos.rtd",,"IMPL_VOL","."&amp;N$2&amp;N$1&amp;"P"&amp;$A14)="N/A",0,RTD("tos.rtd",,"IMPL_VOL","."&amp;N$2&amp;N$1&amp;"P"&amp;$A14))),0)-IFERROR(VALUE(IF(RTD("tos.rtd",,"IMPL_VOL","."&amp;N$2&amp;N$1&amp;"C"&amp;$A14)="N/A",0,RTD("tos.rtd",,"IMPL_VOL","."&amp;N$2&amp;N$1&amp;"C"&amp;$A14))),0),IF($A$2="MAXPAIN",IF($A$4&gt;$A14,($A$4-$A14)*IF(RTD("tos.rtd",,"OPEN_INT","."&amp;N$2&amp;N$1&amp;"C"&amp;$A14)="N/A",0,RTD("tos.rtd",,"OPEN_INT","."&amp;N$2&amp;N$1&amp;"C"&amp;$A14)),0)+IF($A$4&lt;$A14,($A14-$A$4)*IF(RTD("tos.rtd",,"OPEN_INT","."&amp;N$2&amp;N$1&amp;"P"&amp;$A14)="N/A",0,RTD("tos.rtd",,"OPEN_INT","."&amp;N$2&amp;N$1&amp;"P"&amp;$A14)),0),IF(RTD("tos.rtd",,$A$2,"."&amp;N$2&amp;N$1&amp;"C"&amp;$A14)="N/A",0,RTD("tos.rtd",,$A$2,"."&amp;N$2&amp;N$1&amp;"C"&amp;$A14))-IF(RTD("tos.rtd",,$A$2,"."&amp;N$2&amp;N$1&amp;"P"&amp;$A14)="N/A",0,RTD("tos.rtd",,$A$2,"."&amp;N$2&amp;N$1&amp;"P"&amp;$A14)))))))))</f>
        <v>0</v>
      </c>
      <c r="O14" s="12">
        <f>IF($A$2="PREMIUM_OI",IFERROR((100*RTD("tos.rtd",,"OPEN_INT","."&amp;O$2&amp;O$1&amp;"C"&amp;$A14)*RTD("tos.rtd",,"LAST","."&amp;O$2&amp;O$1&amp;"C"&amp;$A14)-100*RTD("tos.rtd",,"OPEN_INT","."&amp;O$2&amp;O$1&amp;"P"&amp;$A14)*RTD("tos.rtd",,"LAST","."&amp;O$2&amp;O$1&amp;"P"&amp;$A14))/1000000,0),IF($A$2="PREMIUM",IFERROR((100*RTD("tos.rtd",,"VOLUME","."&amp;O$2&amp;O$1&amp;"C"&amp;$A14)*RTD("tos.rtd",,"LAST","."&amp;O$2&amp;O$1&amp;"C"&amp;$A14)-100*RTD("tos.rtd",,"VOLUME","."&amp;O$2&amp;O$1&amp;"P"&amp;$A14)*RTD("tos.rtd",,"LAST","."&amp;O$2&amp;O$1&amp;"P"&amp;$A14))/1000000,0),IF($A$2="DEX",IFERROR((100*RTD("tos.rtd",,"OPEN_INT","."&amp;O$2&amp;O$1&amp;"C"&amp;$A14)*RTD("tos.rtd",,"DELTA","."&amp;O$2&amp;O$1&amp;"C"&amp;$A14)-100*RTD("tos.rtd",,"OPEN_INT","."&amp;O$2&amp;O$1&amp;"P"&amp;$A14)*RTD("tos.rtd",,"DELTA","."&amp;O$2&amp;O$1&amp;"P"&amp;$A14))/1000,0),IF($A$2="VEX",IFERROR(($A$4*$A$4*RTD("tos.rtd",,"VOLUME","."&amp;O$2&amp;O$1&amp;"C"&amp;$A14)*RTD("tos.rtd",,"GAMMA","."&amp;O$2&amp;O$1&amp;"C"&amp;$A14)-$A$4*$A$4*RTD("tos.rtd",,"VOLUME","."&amp;O$2&amp;O$1&amp;"P"&amp;$A14)*RTD("tos.rtd",,"GAMMA","."&amp;O$2&amp;O$1&amp;"P"&amp;$A14))/1000000,0),IF($A$2="GEX",IFERROR(($A$4*$A$4*RTD("tos.rtd",,"OPEN_INT","."&amp;O$2&amp;O$1&amp;"C"&amp;$A14)*RTD("tos.rtd",,"GAMMA","."&amp;O$2&amp;O$1&amp;"C"&amp;$A14)-$A$4*$A$4*RTD("tos.rtd",,"OPEN_INT","."&amp;O$2&amp;O$1&amp;"P"&amp;$A14)*RTD("tos.rtd",,"GAMMA","."&amp;O$2&amp;O$1&amp;"P"&amp;$A14))/1000000,0),IF($A$2="SKEW",IFERROR(VALUE(IF(RTD("tos.rtd",,"IMPL_VOL","."&amp;O$2&amp;O$1&amp;"P"&amp;$A14)="N/A",0,RTD("tos.rtd",,"IMPL_VOL","."&amp;O$2&amp;O$1&amp;"P"&amp;$A14))),0)-IFERROR(VALUE(IF(RTD("tos.rtd",,"IMPL_VOL","."&amp;O$2&amp;O$1&amp;"C"&amp;$A14)="N/A",0,RTD("tos.rtd",,"IMPL_VOL","."&amp;O$2&amp;O$1&amp;"C"&amp;$A14))),0),IF($A$2="MAXPAIN",IF($A$4&gt;$A14,($A$4-$A14)*IF(RTD("tos.rtd",,"OPEN_INT","."&amp;O$2&amp;O$1&amp;"C"&amp;$A14)="N/A",0,RTD("tos.rtd",,"OPEN_INT","."&amp;O$2&amp;O$1&amp;"C"&amp;$A14)),0)+IF($A$4&lt;$A14,($A14-$A$4)*IF(RTD("tos.rtd",,"OPEN_INT","."&amp;O$2&amp;O$1&amp;"P"&amp;$A14)="N/A",0,RTD("tos.rtd",,"OPEN_INT","."&amp;O$2&amp;O$1&amp;"P"&amp;$A14)),0),IF(RTD("tos.rtd",,$A$2,"."&amp;O$2&amp;O$1&amp;"C"&amp;$A14)="N/A",0,RTD("tos.rtd",,$A$2,"."&amp;O$2&amp;O$1&amp;"C"&amp;$A14))-IF(RTD("tos.rtd",,$A$2,"."&amp;O$2&amp;O$1&amp;"P"&amp;$A14)="N/A",0,RTD("tos.rtd",,$A$2,"."&amp;O$2&amp;O$1&amp;"P"&amp;$A14)))))))))</f>
        <v>0</v>
      </c>
      <c r="P14" s="12">
        <f>IF($A$2="PREMIUM_OI",IFERROR((100*RTD("tos.rtd",,"OPEN_INT","."&amp;P$2&amp;P$1&amp;"C"&amp;$A14)*RTD("tos.rtd",,"LAST","."&amp;P$2&amp;P$1&amp;"C"&amp;$A14)-100*RTD("tos.rtd",,"OPEN_INT","."&amp;P$2&amp;P$1&amp;"P"&amp;$A14)*RTD("tos.rtd",,"LAST","."&amp;P$2&amp;P$1&amp;"P"&amp;$A14))/1000000,0),IF($A$2="PREMIUM",IFERROR((100*RTD("tos.rtd",,"VOLUME","."&amp;P$2&amp;P$1&amp;"C"&amp;$A14)*RTD("tos.rtd",,"LAST","."&amp;P$2&amp;P$1&amp;"C"&amp;$A14)-100*RTD("tos.rtd",,"VOLUME","."&amp;P$2&amp;P$1&amp;"P"&amp;$A14)*RTD("tos.rtd",,"LAST","."&amp;P$2&amp;P$1&amp;"P"&amp;$A14))/1000000,0),IF($A$2="DEX",IFERROR((100*RTD("tos.rtd",,"OPEN_INT","."&amp;P$2&amp;P$1&amp;"C"&amp;$A14)*RTD("tos.rtd",,"DELTA","."&amp;P$2&amp;P$1&amp;"C"&amp;$A14)-100*RTD("tos.rtd",,"OPEN_INT","."&amp;P$2&amp;P$1&amp;"P"&amp;$A14)*RTD("tos.rtd",,"DELTA","."&amp;P$2&amp;P$1&amp;"P"&amp;$A14))/1000,0),IF($A$2="VEX",IFERROR(($A$4*$A$4*RTD("tos.rtd",,"VOLUME","."&amp;P$2&amp;P$1&amp;"C"&amp;$A14)*RTD("tos.rtd",,"GAMMA","."&amp;P$2&amp;P$1&amp;"C"&amp;$A14)-$A$4*$A$4*RTD("tos.rtd",,"VOLUME","."&amp;P$2&amp;P$1&amp;"P"&amp;$A14)*RTD("tos.rtd",,"GAMMA","."&amp;P$2&amp;P$1&amp;"P"&amp;$A14))/1000000,0),IF($A$2="GEX",IFERROR(($A$4*$A$4*RTD("tos.rtd",,"OPEN_INT","."&amp;P$2&amp;P$1&amp;"C"&amp;$A14)*RTD("tos.rtd",,"GAMMA","."&amp;P$2&amp;P$1&amp;"C"&amp;$A14)-$A$4*$A$4*RTD("tos.rtd",,"OPEN_INT","."&amp;P$2&amp;P$1&amp;"P"&amp;$A14)*RTD("tos.rtd",,"GAMMA","."&amp;P$2&amp;P$1&amp;"P"&amp;$A14))/1000000,0),IF($A$2="SKEW",IFERROR(VALUE(IF(RTD("tos.rtd",,"IMPL_VOL","."&amp;P$2&amp;P$1&amp;"P"&amp;$A14)="N/A",0,RTD("tos.rtd",,"IMPL_VOL","."&amp;P$2&amp;P$1&amp;"P"&amp;$A14))),0)-IFERROR(VALUE(IF(RTD("tos.rtd",,"IMPL_VOL","."&amp;P$2&amp;P$1&amp;"C"&amp;$A14)="N/A",0,RTD("tos.rtd",,"IMPL_VOL","."&amp;P$2&amp;P$1&amp;"C"&amp;$A14))),0),IF($A$2="MAXPAIN",IF($A$4&gt;$A14,($A$4-$A14)*IF(RTD("tos.rtd",,"OPEN_INT","."&amp;P$2&amp;P$1&amp;"C"&amp;$A14)="N/A",0,RTD("tos.rtd",,"OPEN_INT","."&amp;P$2&amp;P$1&amp;"C"&amp;$A14)),0)+IF($A$4&lt;$A14,($A14-$A$4)*IF(RTD("tos.rtd",,"OPEN_INT","."&amp;P$2&amp;P$1&amp;"P"&amp;$A14)="N/A",0,RTD("tos.rtd",,"OPEN_INT","."&amp;P$2&amp;P$1&amp;"P"&amp;$A14)),0),IF(RTD("tos.rtd",,$A$2,"."&amp;P$2&amp;P$1&amp;"C"&amp;$A14)="N/A",0,RTD("tos.rtd",,$A$2,"."&amp;P$2&amp;P$1&amp;"C"&amp;$A14))-IF(RTD("tos.rtd",,$A$2,"."&amp;P$2&amp;P$1&amp;"P"&amp;$A14)="N/A",0,RTD("tos.rtd",,$A$2,"."&amp;P$2&amp;P$1&amp;"P"&amp;$A14)))))))))</f>
        <v>0</v>
      </c>
      <c r="Q14" s="12">
        <f>IF($A$2="PREMIUM_OI",IFERROR((100*RTD("tos.rtd",,"OPEN_INT","."&amp;Q$2&amp;Q$1&amp;"C"&amp;$A14)*RTD("tos.rtd",,"LAST","."&amp;Q$2&amp;Q$1&amp;"C"&amp;$A14)-100*RTD("tos.rtd",,"OPEN_INT","."&amp;Q$2&amp;Q$1&amp;"P"&amp;$A14)*RTD("tos.rtd",,"LAST","."&amp;Q$2&amp;Q$1&amp;"P"&amp;$A14))/1000000,0),IF($A$2="PREMIUM",IFERROR((100*RTD("tos.rtd",,"VOLUME","."&amp;Q$2&amp;Q$1&amp;"C"&amp;$A14)*RTD("tos.rtd",,"LAST","."&amp;Q$2&amp;Q$1&amp;"C"&amp;$A14)-100*RTD("tos.rtd",,"VOLUME","."&amp;Q$2&amp;Q$1&amp;"P"&amp;$A14)*RTD("tos.rtd",,"LAST","."&amp;Q$2&amp;Q$1&amp;"P"&amp;$A14))/1000000,0),IF($A$2="DEX",IFERROR((100*RTD("tos.rtd",,"OPEN_INT","."&amp;Q$2&amp;Q$1&amp;"C"&amp;$A14)*RTD("tos.rtd",,"DELTA","."&amp;Q$2&amp;Q$1&amp;"C"&amp;$A14)-100*RTD("tos.rtd",,"OPEN_INT","."&amp;Q$2&amp;Q$1&amp;"P"&amp;$A14)*RTD("tos.rtd",,"DELTA","."&amp;Q$2&amp;Q$1&amp;"P"&amp;$A14))/1000,0),IF($A$2="VEX",IFERROR(($A$4*$A$4*RTD("tos.rtd",,"VOLUME","."&amp;Q$2&amp;Q$1&amp;"C"&amp;$A14)*RTD("tos.rtd",,"GAMMA","."&amp;Q$2&amp;Q$1&amp;"C"&amp;$A14)-$A$4*$A$4*RTD("tos.rtd",,"VOLUME","."&amp;Q$2&amp;Q$1&amp;"P"&amp;$A14)*RTD("tos.rtd",,"GAMMA","."&amp;Q$2&amp;Q$1&amp;"P"&amp;$A14))/1000000,0),IF($A$2="GEX",IFERROR(($A$4*$A$4*RTD("tos.rtd",,"OPEN_INT","."&amp;Q$2&amp;Q$1&amp;"C"&amp;$A14)*RTD("tos.rtd",,"GAMMA","."&amp;Q$2&amp;Q$1&amp;"C"&amp;$A14)-$A$4*$A$4*RTD("tos.rtd",,"OPEN_INT","."&amp;Q$2&amp;Q$1&amp;"P"&amp;$A14)*RTD("tos.rtd",,"GAMMA","."&amp;Q$2&amp;Q$1&amp;"P"&amp;$A14))/1000000,0),IF($A$2="SKEW",IFERROR(VALUE(IF(RTD("tos.rtd",,"IMPL_VOL","."&amp;Q$2&amp;Q$1&amp;"P"&amp;$A14)="N/A",0,RTD("tos.rtd",,"IMPL_VOL","."&amp;Q$2&amp;Q$1&amp;"P"&amp;$A14))),0)-IFERROR(VALUE(IF(RTD("tos.rtd",,"IMPL_VOL","."&amp;Q$2&amp;Q$1&amp;"C"&amp;$A14)="N/A",0,RTD("tos.rtd",,"IMPL_VOL","."&amp;Q$2&amp;Q$1&amp;"C"&amp;$A14))),0),IF($A$2="MAXPAIN",IF($A$4&gt;$A14,($A$4-$A14)*IF(RTD("tos.rtd",,"OPEN_INT","."&amp;Q$2&amp;Q$1&amp;"C"&amp;$A14)="N/A",0,RTD("tos.rtd",,"OPEN_INT","."&amp;Q$2&amp;Q$1&amp;"C"&amp;$A14)),0)+IF($A$4&lt;$A14,($A14-$A$4)*IF(RTD("tos.rtd",,"OPEN_INT","."&amp;Q$2&amp;Q$1&amp;"P"&amp;$A14)="N/A",0,RTD("tos.rtd",,"OPEN_INT","."&amp;Q$2&amp;Q$1&amp;"P"&amp;$A14)),0),IF(RTD("tos.rtd",,$A$2,"."&amp;Q$2&amp;Q$1&amp;"C"&amp;$A14)="N/A",0,RTD("tos.rtd",,$A$2,"."&amp;Q$2&amp;Q$1&amp;"C"&amp;$A14))-IF(RTD("tos.rtd",,$A$2,"."&amp;Q$2&amp;Q$1&amp;"P"&amp;$A14)="N/A",0,RTD("tos.rtd",,$A$2,"."&amp;Q$2&amp;Q$1&amp;"P"&amp;$A14)))))))))</f>
        <v>0</v>
      </c>
      <c r="R14" s="12">
        <f>IF($A$2="PREMIUM_OI",IFERROR((100*RTD("tos.rtd",,"OPEN_INT","."&amp;R$2&amp;R$1&amp;"C"&amp;$A14)*RTD("tos.rtd",,"LAST","."&amp;R$2&amp;R$1&amp;"C"&amp;$A14)-100*RTD("tos.rtd",,"OPEN_INT","."&amp;R$2&amp;R$1&amp;"P"&amp;$A14)*RTD("tos.rtd",,"LAST","."&amp;R$2&amp;R$1&amp;"P"&amp;$A14))/1000000,0),IF($A$2="PREMIUM",IFERROR((100*RTD("tos.rtd",,"VOLUME","."&amp;R$2&amp;R$1&amp;"C"&amp;$A14)*RTD("tos.rtd",,"LAST","."&amp;R$2&amp;R$1&amp;"C"&amp;$A14)-100*RTD("tos.rtd",,"VOLUME","."&amp;R$2&amp;R$1&amp;"P"&amp;$A14)*RTD("tos.rtd",,"LAST","."&amp;R$2&amp;R$1&amp;"P"&amp;$A14))/1000000,0),IF($A$2="DEX",IFERROR((100*RTD("tos.rtd",,"OPEN_INT","."&amp;R$2&amp;R$1&amp;"C"&amp;$A14)*RTD("tos.rtd",,"DELTA","."&amp;R$2&amp;R$1&amp;"C"&amp;$A14)-100*RTD("tos.rtd",,"OPEN_INT","."&amp;R$2&amp;R$1&amp;"P"&amp;$A14)*RTD("tos.rtd",,"DELTA","."&amp;R$2&amp;R$1&amp;"P"&amp;$A14))/1000,0),IF($A$2="VEX",IFERROR(($A$4*$A$4*RTD("tos.rtd",,"VOLUME","."&amp;R$2&amp;R$1&amp;"C"&amp;$A14)*RTD("tos.rtd",,"GAMMA","."&amp;R$2&amp;R$1&amp;"C"&amp;$A14)-$A$4*$A$4*RTD("tos.rtd",,"VOLUME","."&amp;R$2&amp;R$1&amp;"P"&amp;$A14)*RTD("tos.rtd",,"GAMMA","."&amp;R$2&amp;R$1&amp;"P"&amp;$A14))/1000000,0),IF($A$2="GEX",IFERROR(($A$4*$A$4*RTD("tos.rtd",,"OPEN_INT","."&amp;R$2&amp;R$1&amp;"C"&amp;$A14)*RTD("tos.rtd",,"GAMMA","."&amp;R$2&amp;R$1&amp;"C"&amp;$A14)-$A$4*$A$4*RTD("tos.rtd",,"OPEN_INT","."&amp;R$2&amp;R$1&amp;"P"&amp;$A14)*RTD("tos.rtd",,"GAMMA","."&amp;R$2&amp;R$1&amp;"P"&amp;$A14))/1000000,0),IF($A$2="SKEW",IFERROR(VALUE(IF(RTD("tos.rtd",,"IMPL_VOL","."&amp;R$2&amp;R$1&amp;"P"&amp;$A14)="N/A",0,RTD("tos.rtd",,"IMPL_VOL","."&amp;R$2&amp;R$1&amp;"P"&amp;$A14))),0)-IFERROR(VALUE(IF(RTD("tos.rtd",,"IMPL_VOL","."&amp;R$2&amp;R$1&amp;"C"&amp;$A14)="N/A",0,RTD("tos.rtd",,"IMPL_VOL","."&amp;R$2&amp;R$1&amp;"C"&amp;$A14))),0),IF($A$2="MAXPAIN",IF($A$4&gt;$A14,($A$4-$A14)*IF(RTD("tos.rtd",,"OPEN_INT","."&amp;R$2&amp;R$1&amp;"C"&amp;$A14)="N/A",0,RTD("tos.rtd",,"OPEN_INT","."&amp;R$2&amp;R$1&amp;"C"&amp;$A14)),0)+IF($A$4&lt;$A14,($A14-$A$4)*IF(RTD("tos.rtd",,"OPEN_INT","."&amp;R$2&amp;R$1&amp;"P"&amp;$A14)="N/A",0,RTD("tos.rtd",,"OPEN_INT","."&amp;R$2&amp;R$1&amp;"P"&amp;$A14)),0),IF(RTD("tos.rtd",,$A$2,"."&amp;R$2&amp;R$1&amp;"C"&amp;$A14)="N/A",0,RTD("tos.rtd",,$A$2,"."&amp;R$2&amp;R$1&amp;"C"&amp;$A14))-IF(RTD("tos.rtd",,$A$2,"."&amp;R$2&amp;R$1&amp;"P"&amp;$A14)="N/A",0,RTD("tos.rtd",,$A$2,"."&amp;R$2&amp;R$1&amp;"P"&amp;$A14)))))))))</f>
        <v>5189</v>
      </c>
      <c r="S14" s="12">
        <f>IF($A$2="PREMIUM_OI",IFERROR((100*RTD("tos.rtd",,"OPEN_INT","."&amp;S$2&amp;S$1&amp;"C"&amp;$A14)*RTD("tos.rtd",,"LAST","."&amp;S$2&amp;S$1&amp;"C"&amp;$A14)-100*RTD("tos.rtd",,"OPEN_INT","."&amp;S$2&amp;S$1&amp;"P"&amp;$A14)*RTD("tos.rtd",,"LAST","."&amp;S$2&amp;S$1&amp;"P"&amp;$A14))/1000000,0),IF($A$2="PREMIUM",IFERROR((100*RTD("tos.rtd",,"VOLUME","."&amp;S$2&amp;S$1&amp;"C"&amp;$A14)*RTD("tos.rtd",,"LAST","."&amp;S$2&amp;S$1&amp;"C"&amp;$A14)-100*RTD("tos.rtd",,"VOLUME","."&amp;S$2&amp;S$1&amp;"P"&amp;$A14)*RTD("tos.rtd",,"LAST","."&amp;S$2&amp;S$1&amp;"P"&amp;$A14))/1000000,0),IF($A$2="DEX",IFERROR((100*RTD("tos.rtd",,"OPEN_INT","."&amp;S$2&amp;S$1&amp;"C"&amp;$A14)*RTD("tos.rtd",,"DELTA","."&amp;S$2&amp;S$1&amp;"C"&amp;$A14)-100*RTD("tos.rtd",,"OPEN_INT","."&amp;S$2&amp;S$1&amp;"P"&amp;$A14)*RTD("tos.rtd",,"DELTA","."&amp;S$2&amp;S$1&amp;"P"&amp;$A14))/1000,0),IF($A$2="VEX",IFERROR(($A$4*$A$4*RTD("tos.rtd",,"VOLUME","."&amp;S$2&amp;S$1&amp;"C"&amp;$A14)*RTD("tos.rtd",,"GAMMA","."&amp;S$2&amp;S$1&amp;"C"&amp;$A14)-$A$4*$A$4*RTD("tos.rtd",,"VOLUME","."&amp;S$2&amp;S$1&amp;"P"&amp;$A14)*RTD("tos.rtd",,"GAMMA","."&amp;S$2&amp;S$1&amp;"P"&amp;$A14))/1000000,0),IF($A$2="GEX",IFERROR(($A$4*$A$4*RTD("tos.rtd",,"OPEN_INT","."&amp;S$2&amp;S$1&amp;"C"&amp;$A14)*RTD("tos.rtd",,"GAMMA","."&amp;S$2&amp;S$1&amp;"C"&amp;$A14)-$A$4*$A$4*RTD("tos.rtd",,"OPEN_INT","."&amp;S$2&amp;S$1&amp;"P"&amp;$A14)*RTD("tos.rtd",,"GAMMA","."&amp;S$2&amp;S$1&amp;"P"&amp;$A14))/1000000,0),IF($A$2="SKEW",IFERROR(VALUE(IF(RTD("tos.rtd",,"IMPL_VOL","."&amp;S$2&amp;S$1&amp;"P"&amp;$A14)="N/A",0,RTD("tos.rtd",,"IMPL_VOL","."&amp;S$2&amp;S$1&amp;"P"&amp;$A14))),0)-IFERROR(VALUE(IF(RTD("tos.rtd",,"IMPL_VOL","."&amp;S$2&amp;S$1&amp;"C"&amp;$A14)="N/A",0,RTD("tos.rtd",,"IMPL_VOL","."&amp;S$2&amp;S$1&amp;"C"&amp;$A14))),0),IF($A$2="MAXPAIN",IF($A$4&gt;$A14,($A$4-$A14)*IF(RTD("tos.rtd",,"OPEN_INT","."&amp;S$2&amp;S$1&amp;"C"&amp;$A14)="N/A",0,RTD("tos.rtd",,"OPEN_INT","."&amp;S$2&amp;S$1&amp;"C"&amp;$A14)),0)+IF($A$4&lt;$A14,($A14-$A$4)*IF(RTD("tos.rtd",,"OPEN_INT","."&amp;S$2&amp;S$1&amp;"P"&amp;$A14)="N/A",0,RTD("tos.rtd",,"OPEN_INT","."&amp;S$2&amp;S$1&amp;"P"&amp;$A14)),0),IF(RTD("tos.rtd",,$A$2,"."&amp;S$2&amp;S$1&amp;"C"&amp;$A14)="N/A",0,RTD("tos.rtd",,$A$2,"."&amp;S$2&amp;S$1&amp;"C"&amp;$A14))-IF(RTD("tos.rtd",,$A$2,"."&amp;S$2&amp;S$1&amp;"P"&amp;$A14)="N/A",0,RTD("tos.rtd",,$A$2,"."&amp;S$2&amp;S$1&amp;"P"&amp;$A14)))))))))</f>
        <v>10047</v>
      </c>
      <c r="T14" s="12">
        <f>IF($A$2="PREMIUM_OI",IFERROR((100*RTD("tos.rtd",,"OPEN_INT","."&amp;T$2&amp;T$1&amp;"C"&amp;$A14)*RTD("tos.rtd",,"LAST","."&amp;T$2&amp;T$1&amp;"C"&amp;$A14)-100*RTD("tos.rtd",,"OPEN_INT","."&amp;T$2&amp;T$1&amp;"P"&amp;$A14)*RTD("tos.rtd",,"LAST","."&amp;T$2&amp;T$1&amp;"P"&amp;$A14))/1000000,0),IF($A$2="PREMIUM",IFERROR((100*RTD("tos.rtd",,"VOLUME","."&amp;T$2&amp;T$1&amp;"C"&amp;$A14)*RTD("tos.rtd",,"LAST","."&amp;T$2&amp;T$1&amp;"C"&amp;$A14)-100*RTD("tos.rtd",,"VOLUME","."&amp;T$2&amp;T$1&amp;"P"&amp;$A14)*RTD("tos.rtd",,"LAST","."&amp;T$2&amp;T$1&amp;"P"&amp;$A14))/1000000,0),IF($A$2="DEX",IFERROR((100*RTD("tos.rtd",,"OPEN_INT","."&amp;T$2&amp;T$1&amp;"C"&amp;$A14)*RTD("tos.rtd",,"DELTA","."&amp;T$2&amp;T$1&amp;"C"&amp;$A14)-100*RTD("tos.rtd",,"OPEN_INT","."&amp;T$2&amp;T$1&amp;"P"&amp;$A14)*RTD("tos.rtd",,"DELTA","."&amp;T$2&amp;T$1&amp;"P"&amp;$A14))/1000,0),IF($A$2="VEX",IFERROR(($A$4*$A$4*RTD("tos.rtd",,"VOLUME","."&amp;T$2&amp;T$1&amp;"C"&amp;$A14)*RTD("tos.rtd",,"GAMMA","."&amp;T$2&amp;T$1&amp;"C"&amp;$A14)-$A$4*$A$4*RTD("tos.rtd",,"VOLUME","."&amp;T$2&amp;T$1&amp;"P"&amp;$A14)*RTD("tos.rtd",,"GAMMA","."&amp;T$2&amp;T$1&amp;"P"&amp;$A14))/1000000,0),IF($A$2="GEX",IFERROR(($A$4*$A$4*RTD("tos.rtd",,"OPEN_INT","."&amp;T$2&amp;T$1&amp;"C"&amp;$A14)*RTD("tos.rtd",,"GAMMA","."&amp;T$2&amp;T$1&amp;"C"&amp;$A14)-$A$4*$A$4*RTD("tos.rtd",,"OPEN_INT","."&amp;T$2&amp;T$1&amp;"P"&amp;$A14)*RTD("tos.rtd",,"GAMMA","."&amp;T$2&amp;T$1&amp;"P"&amp;$A14))/1000000,0),IF($A$2="SKEW",IFERROR(VALUE(IF(RTD("tos.rtd",,"IMPL_VOL","."&amp;T$2&amp;T$1&amp;"P"&amp;$A14)="N/A",0,RTD("tos.rtd",,"IMPL_VOL","."&amp;T$2&amp;T$1&amp;"P"&amp;$A14))),0)-IFERROR(VALUE(IF(RTD("tos.rtd",,"IMPL_VOL","."&amp;T$2&amp;T$1&amp;"C"&amp;$A14)="N/A",0,RTD("tos.rtd",,"IMPL_VOL","."&amp;T$2&amp;T$1&amp;"C"&amp;$A14))),0),IF($A$2="MAXPAIN",IF($A$4&gt;$A14,($A$4-$A14)*IF(RTD("tos.rtd",,"OPEN_INT","."&amp;T$2&amp;T$1&amp;"C"&amp;$A14)="N/A",0,RTD("tos.rtd",,"OPEN_INT","."&amp;T$2&amp;T$1&amp;"C"&amp;$A14)),0)+IF($A$4&lt;$A14,($A14-$A$4)*IF(RTD("tos.rtd",,"OPEN_INT","."&amp;T$2&amp;T$1&amp;"P"&amp;$A14)="N/A",0,RTD("tos.rtd",,"OPEN_INT","."&amp;T$2&amp;T$1&amp;"P"&amp;$A14)),0),IF(RTD("tos.rtd",,$A$2,"."&amp;T$2&amp;T$1&amp;"C"&amp;$A14)="N/A",0,RTD("tos.rtd",,$A$2,"."&amp;T$2&amp;T$1&amp;"C"&amp;$A14))-IF(RTD("tos.rtd",,$A$2,"."&amp;T$2&amp;T$1&amp;"P"&amp;$A14)="N/A",0,RTD("tos.rtd",,$A$2,"."&amp;T$2&amp;T$1&amp;"P"&amp;$A14)))))))))</f>
        <v>1282</v>
      </c>
      <c r="U14" s="12">
        <f>IF($A$2="PREMIUM_OI",IFERROR((100*RTD("tos.rtd",,"OPEN_INT","."&amp;U$2&amp;U$1&amp;"C"&amp;$A14)*RTD("tos.rtd",,"LAST","."&amp;U$2&amp;U$1&amp;"C"&amp;$A14)-100*RTD("tos.rtd",,"OPEN_INT","."&amp;U$2&amp;U$1&amp;"P"&amp;$A14)*RTD("tos.rtd",,"LAST","."&amp;U$2&amp;U$1&amp;"P"&amp;$A14))/1000000,0),IF($A$2="PREMIUM",IFERROR((100*RTD("tos.rtd",,"VOLUME","."&amp;U$2&amp;U$1&amp;"C"&amp;$A14)*RTD("tos.rtd",,"LAST","."&amp;U$2&amp;U$1&amp;"C"&amp;$A14)-100*RTD("tos.rtd",,"VOLUME","."&amp;U$2&amp;U$1&amp;"P"&amp;$A14)*RTD("tos.rtd",,"LAST","."&amp;U$2&amp;U$1&amp;"P"&amp;$A14))/1000000,0),IF($A$2="DEX",IFERROR((100*RTD("tos.rtd",,"OPEN_INT","."&amp;U$2&amp;U$1&amp;"C"&amp;$A14)*RTD("tos.rtd",,"DELTA","."&amp;U$2&amp;U$1&amp;"C"&amp;$A14)-100*RTD("tos.rtd",,"OPEN_INT","."&amp;U$2&amp;U$1&amp;"P"&amp;$A14)*RTD("tos.rtd",,"DELTA","."&amp;U$2&amp;U$1&amp;"P"&amp;$A14))/1000,0),IF($A$2="VEX",IFERROR(($A$4*$A$4*RTD("tos.rtd",,"VOLUME","."&amp;U$2&amp;U$1&amp;"C"&amp;$A14)*RTD("tos.rtd",,"GAMMA","."&amp;U$2&amp;U$1&amp;"C"&amp;$A14)-$A$4*$A$4*RTD("tos.rtd",,"VOLUME","."&amp;U$2&amp;U$1&amp;"P"&amp;$A14)*RTD("tos.rtd",,"GAMMA","."&amp;U$2&amp;U$1&amp;"P"&amp;$A14))/1000000,0),IF($A$2="GEX",IFERROR(($A$4*$A$4*RTD("tos.rtd",,"OPEN_INT","."&amp;U$2&amp;U$1&amp;"C"&amp;$A14)*RTD("tos.rtd",,"GAMMA","."&amp;U$2&amp;U$1&amp;"C"&amp;$A14)-$A$4*$A$4*RTD("tos.rtd",,"OPEN_INT","."&amp;U$2&amp;U$1&amp;"P"&amp;$A14)*RTD("tos.rtd",,"GAMMA","."&amp;U$2&amp;U$1&amp;"P"&amp;$A14))/1000000,0),IF($A$2="SKEW",IFERROR(VALUE(IF(RTD("tos.rtd",,"IMPL_VOL","."&amp;U$2&amp;U$1&amp;"P"&amp;$A14)="N/A",0,RTD("tos.rtd",,"IMPL_VOL","."&amp;U$2&amp;U$1&amp;"P"&amp;$A14))),0)-IFERROR(VALUE(IF(RTD("tos.rtd",,"IMPL_VOL","."&amp;U$2&amp;U$1&amp;"C"&amp;$A14)="N/A",0,RTD("tos.rtd",,"IMPL_VOL","."&amp;U$2&amp;U$1&amp;"C"&amp;$A14))),0),IF($A$2="MAXPAIN",IF($A$4&gt;$A14,($A$4-$A14)*IF(RTD("tos.rtd",,"OPEN_INT","."&amp;U$2&amp;U$1&amp;"C"&amp;$A14)="N/A",0,RTD("tos.rtd",,"OPEN_INT","."&amp;U$2&amp;U$1&amp;"C"&amp;$A14)),0)+IF($A$4&lt;$A14,($A14-$A$4)*IF(RTD("tos.rtd",,"OPEN_INT","."&amp;U$2&amp;U$1&amp;"P"&amp;$A14)="N/A",0,RTD("tos.rtd",,"OPEN_INT","."&amp;U$2&amp;U$1&amp;"P"&amp;$A14)),0),IF(RTD("tos.rtd",,$A$2,"."&amp;U$2&amp;U$1&amp;"C"&amp;$A14)="N/A",0,RTD("tos.rtd",,$A$2,"."&amp;U$2&amp;U$1&amp;"C"&amp;$A14))-IF(RTD("tos.rtd",,$A$2,"."&amp;U$2&amp;U$1&amp;"P"&amp;$A14)="N/A",0,RTD("tos.rtd",,$A$2,"."&amp;U$2&amp;U$1&amp;"P"&amp;$A14)))))))))</f>
        <v>16906</v>
      </c>
      <c r="V14" s="12">
        <f>IF($A$2="PREMIUM_OI",IFERROR((100*RTD("tos.rtd",,"OPEN_INT","."&amp;V$2&amp;V$1&amp;"C"&amp;$A14)*RTD("tos.rtd",,"LAST","."&amp;V$2&amp;V$1&amp;"C"&amp;$A14)-100*RTD("tos.rtd",,"OPEN_INT","."&amp;V$2&amp;V$1&amp;"P"&amp;$A14)*RTD("tos.rtd",,"LAST","."&amp;V$2&amp;V$1&amp;"P"&amp;$A14))/1000000,0),IF($A$2="PREMIUM",IFERROR((100*RTD("tos.rtd",,"VOLUME","."&amp;V$2&amp;V$1&amp;"C"&amp;$A14)*RTD("tos.rtd",,"LAST","."&amp;V$2&amp;V$1&amp;"C"&amp;$A14)-100*RTD("tos.rtd",,"VOLUME","."&amp;V$2&amp;V$1&amp;"P"&amp;$A14)*RTD("tos.rtd",,"LAST","."&amp;V$2&amp;V$1&amp;"P"&amp;$A14))/1000000,0),IF($A$2="DEX",IFERROR((100*RTD("tos.rtd",,"OPEN_INT","."&amp;V$2&amp;V$1&amp;"C"&amp;$A14)*RTD("tos.rtd",,"DELTA","."&amp;V$2&amp;V$1&amp;"C"&amp;$A14)-100*RTD("tos.rtd",,"OPEN_INT","."&amp;V$2&amp;V$1&amp;"P"&amp;$A14)*RTD("tos.rtd",,"DELTA","."&amp;V$2&amp;V$1&amp;"P"&amp;$A14))/1000,0),IF($A$2="VEX",IFERROR(($A$4*$A$4*RTD("tos.rtd",,"VOLUME","."&amp;V$2&amp;V$1&amp;"C"&amp;$A14)*RTD("tos.rtd",,"GAMMA","."&amp;V$2&amp;V$1&amp;"C"&amp;$A14)-$A$4*$A$4*RTD("tos.rtd",,"VOLUME","."&amp;V$2&amp;V$1&amp;"P"&amp;$A14)*RTD("tos.rtd",,"GAMMA","."&amp;V$2&amp;V$1&amp;"P"&amp;$A14))/1000000,0),IF($A$2="GEX",IFERROR(($A$4*$A$4*RTD("tos.rtd",,"OPEN_INT","."&amp;V$2&amp;V$1&amp;"C"&amp;$A14)*RTD("tos.rtd",,"GAMMA","."&amp;V$2&amp;V$1&amp;"C"&amp;$A14)-$A$4*$A$4*RTD("tos.rtd",,"OPEN_INT","."&amp;V$2&amp;V$1&amp;"P"&amp;$A14)*RTD("tos.rtd",,"GAMMA","."&amp;V$2&amp;V$1&amp;"P"&amp;$A14))/1000000,0),IF($A$2="SKEW",IFERROR(VALUE(IF(RTD("tos.rtd",,"IMPL_VOL","."&amp;V$2&amp;V$1&amp;"P"&amp;$A14)="N/A",0,RTD("tos.rtd",,"IMPL_VOL","."&amp;V$2&amp;V$1&amp;"P"&amp;$A14))),0)-IFERROR(VALUE(IF(RTD("tos.rtd",,"IMPL_VOL","."&amp;V$2&amp;V$1&amp;"C"&amp;$A14)="N/A",0,RTD("tos.rtd",,"IMPL_VOL","."&amp;V$2&amp;V$1&amp;"C"&amp;$A14))),0),IF($A$2="MAXPAIN",IF($A$4&gt;$A14,($A$4-$A14)*IF(RTD("tos.rtd",,"OPEN_INT","."&amp;V$2&amp;V$1&amp;"C"&amp;$A14)="N/A",0,RTD("tos.rtd",,"OPEN_INT","."&amp;V$2&amp;V$1&amp;"C"&amp;$A14)),0)+IF($A$4&lt;$A14,($A14-$A$4)*IF(RTD("tos.rtd",,"OPEN_INT","."&amp;V$2&amp;V$1&amp;"P"&amp;$A14)="N/A",0,RTD("tos.rtd",,"OPEN_INT","."&amp;V$2&amp;V$1&amp;"P"&amp;$A14)),0),IF(RTD("tos.rtd",,$A$2,"."&amp;V$2&amp;V$1&amp;"C"&amp;$A14)="N/A",0,RTD("tos.rtd",,$A$2,"."&amp;V$2&amp;V$1&amp;"C"&amp;$A14))-IF(RTD("tos.rtd",,$A$2,"."&amp;V$2&amp;V$1&amp;"P"&amp;$A14)="N/A",0,RTD("tos.rtd",,$A$2,"."&amp;V$2&amp;V$1&amp;"P"&amp;$A14)))))))))</f>
        <v>0</v>
      </c>
      <c r="W14" s="12">
        <f>IF($A$2="PREMIUM_OI",IFERROR((100*RTD("tos.rtd",,"OPEN_INT","."&amp;W$2&amp;W$1&amp;"C"&amp;$A14)*RTD("tos.rtd",,"LAST","."&amp;W$2&amp;W$1&amp;"C"&amp;$A14)-100*RTD("tos.rtd",,"OPEN_INT","."&amp;W$2&amp;W$1&amp;"P"&amp;$A14)*RTD("tos.rtd",,"LAST","."&amp;W$2&amp;W$1&amp;"P"&amp;$A14))/1000000,0),IF($A$2="PREMIUM",IFERROR((100*RTD("tos.rtd",,"VOLUME","."&amp;W$2&amp;W$1&amp;"C"&amp;$A14)*RTD("tos.rtd",,"LAST","."&amp;W$2&amp;W$1&amp;"C"&amp;$A14)-100*RTD("tos.rtd",,"VOLUME","."&amp;W$2&amp;W$1&amp;"P"&amp;$A14)*RTD("tos.rtd",,"LAST","."&amp;W$2&amp;W$1&amp;"P"&amp;$A14))/1000000,0),IF($A$2="DEX",IFERROR((100*RTD("tos.rtd",,"OPEN_INT","."&amp;W$2&amp;W$1&amp;"C"&amp;$A14)*RTD("tos.rtd",,"DELTA","."&amp;W$2&amp;W$1&amp;"C"&amp;$A14)-100*RTD("tos.rtd",,"OPEN_INT","."&amp;W$2&amp;W$1&amp;"P"&amp;$A14)*RTD("tos.rtd",,"DELTA","."&amp;W$2&amp;W$1&amp;"P"&amp;$A14))/1000,0),IF($A$2="VEX",IFERROR(($A$4*$A$4*RTD("tos.rtd",,"VOLUME","."&amp;W$2&amp;W$1&amp;"C"&amp;$A14)*RTD("tos.rtd",,"GAMMA","."&amp;W$2&amp;W$1&amp;"C"&amp;$A14)-$A$4*$A$4*RTD("tos.rtd",,"VOLUME","."&amp;W$2&amp;W$1&amp;"P"&amp;$A14)*RTD("tos.rtd",,"GAMMA","."&amp;W$2&amp;W$1&amp;"P"&amp;$A14))/1000000,0),IF($A$2="GEX",IFERROR(($A$4*$A$4*RTD("tos.rtd",,"OPEN_INT","."&amp;W$2&amp;W$1&amp;"C"&amp;$A14)*RTD("tos.rtd",,"GAMMA","."&amp;W$2&amp;W$1&amp;"C"&amp;$A14)-$A$4*$A$4*RTD("tos.rtd",,"OPEN_INT","."&amp;W$2&amp;W$1&amp;"P"&amp;$A14)*RTD("tos.rtd",,"GAMMA","."&amp;W$2&amp;W$1&amp;"P"&amp;$A14))/1000000,0),IF($A$2="SKEW",IFERROR(VALUE(IF(RTD("tos.rtd",,"IMPL_VOL","."&amp;W$2&amp;W$1&amp;"P"&amp;$A14)="N/A",0,RTD("tos.rtd",,"IMPL_VOL","."&amp;W$2&amp;W$1&amp;"P"&amp;$A14))),0)-IFERROR(VALUE(IF(RTD("tos.rtd",,"IMPL_VOL","."&amp;W$2&amp;W$1&amp;"C"&amp;$A14)="N/A",0,RTD("tos.rtd",,"IMPL_VOL","."&amp;W$2&amp;W$1&amp;"C"&amp;$A14))),0),IF($A$2="MAXPAIN",IF($A$4&gt;$A14,($A$4-$A14)*IF(RTD("tos.rtd",,"OPEN_INT","."&amp;W$2&amp;W$1&amp;"C"&amp;$A14)="N/A",0,RTD("tos.rtd",,"OPEN_INT","."&amp;W$2&amp;W$1&amp;"C"&amp;$A14)),0)+IF($A$4&lt;$A14,($A14-$A$4)*IF(RTD("tos.rtd",,"OPEN_INT","."&amp;W$2&amp;W$1&amp;"P"&amp;$A14)="N/A",0,RTD("tos.rtd",,"OPEN_INT","."&amp;W$2&amp;W$1&amp;"P"&amp;$A14)),0),IF(RTD("tos.rtd",,$A$2,"."&amp;W$2&amp;W$1&amp;"C"&amp;$A14)="N/A",0,RTD("tos.rtd",,$A$2,"."&amp;W$2&amp;W$1&amp;"C"&amp;$A14))-IF(RTD("tos.rtd",,$A$2,"."&amp;W$2&amp;W$1&amp;"P"&amp;$A14)="N/A",0,RTD("tos.rtd",,$A$2,"."&amp;W$2&amp;W$1&amp;"P"&amp;$A14)))))))))</f>
        <v>15653</v>
      </c>
      <c r="X14" s="12">
        <f t="shared" ca="1" si="7"/>
        <v>43888</v>
      </c>
      <c r="Y14" s="27">
        <f t="shared" ca="1" si="8"/>
        <v>43888</v>
      </c>
      <c r="AA14" s="35">
        <f t="shared" si="5"/>
        <v>13</v>
      </c>
      <c r="AB14" s="8">
        <f>+IF($AJ$1,AK14,TASTYOHLC!B14)</f>
        <v>8.01</v>
      </c>
      <c r="AC14" s="8">
        <f>+IF($AJ$1,AL14,TASTYOHLC!C14)</f>
        <v>8.01</v>
      </c>
      <c r="AD14" s="8">
        <f>+IF($AJ$1,AM14,TASTYOHLC!D14)</f>
        <v>8.01</v>
      </c>
      <c r="AE14" s="8">
        <f>+IF($AJ$1,AN14,TASTYOHLC!E14)</f>
        <v>8.01</v>
      </c>
      <c r="AF14" s="8"/>
      <c r="AJ14" s="37">
        <f t="shared" ref="AJ14:AJ17" si="9">+AJ13+1</f>
        <v>45948</v>
      </c>
      <c r="AK14" s="52">
        <f t="shared" ref="AK14:AN20" si="10">+$A$4</f>
        <v>8.01</v>
      </c>
      <c r="AL14" s="52">
        <f t="shared" si="10"/>
        <v>8.01</v>
      </c>
      <c r="AM14" s="52">
        <f t="shared" si="10"/>
        <v>8.01</v>
      </c>
      <c r="AN14" s="52">
        <f t="shared" si="10"/>
        <v>8.01</v>
      </c>
      <c r="AO14" s="51">
        <v>81702555</v>
      </c>
    </row>
    <row r="15" spans="1:41" s="19" customFormat="1" ht="11.25" customHeight="1" thickBot="1" x14ac:dyDescent="0.3">
      <c r="A15" s="23">
        <f t="shared" si="6"/>
        <v>14.5</v>
      </c>
      <c r="B15" s="14">
        <f>IF($A$2="PREMIUM_OI",IFERROR((100*RTD("tos.rtd",,"OPEN_INT","."&amp;B$2&amp;B$1&amp;"C"&amp;$A15)*RTD("tos.rtd",,"LAST","."&amp;B$2&amp;B$1&amp;"C"&amp;$A15)-100*RTD("tos.rtd",,"OPEN_INT","."&amp;B$2&amp;B$1&amp;"P"&amp;$A15)*RTD("tos.rtd",,"LAST","."&amp;B$2&amp;B$1&amp;"P"&amp;$A15))/1000000,0),IF($A$2="PREMIUM",IFERROR((100*RTD("tos.rtd",,"VOLUME","."&amp;B$2&amp;B$1&amp;"C"&amp;$A15)*RTD("tos.rtd",,"LAST","."&amp;B$2&amp;B$1&amp;"C"&amp;$A15)-100*RTD("tos.rtd",,"VOLUME","."&amp;B$2&amp;B$1&amp;"P"&amp;$A15)*RTD("tos.rtd",,"LAST","."&amp;B$2&amp;B$1&amp;"P"&amp;$A15))/1000000,0),IF($A$2="DEX",IFERROR((100*RTD("tos.rtd",,"OPEN_INT","."&amp;B$2&amp;B$1&amp;"C"&amp;$A15)*RTD("tos.rtd",,"DELTA","."&amp;B$2&amp;B$1&amp;"C"&amp;$A15)-100*RTD("tos.rtd",,"OPEN_INT","."&amp;B$2&amp;B$1&amp;"P"&amp;$A15)*RTD("tos.rtd",,"DELTA","."&amp;B$2&amp;B$1&amp;"P"&amp;$A15))/1000,0),IF($A$2="VEX",IFERROR(($A$4*$A$4*RTD("tos.rtd",,"VOLUME","."&amp;B$2&amp;B$1&amp;"C"&amp;$A15)*RTD("tos.rtd",,"GAMMA","."&amp;B$2&amp;B$1&amp;"C"&amp;$A15)-$A$4*$A$4*RTD("tos.rtd",,"VOLUME","."&amp;B$2&amp;B$1&amp;"P"&amp;$A15)*RTD("tos.rtd",,"GAMMA","."&amp;B$2&amp;B$1&amp;"P"&amp;$A15))/1000000,0),IF($A$2="GEX",IFERROR(($A$4*$A$4*RTD("tos.rtd",,"OPEN_INT","."&amp;B$2&amp;B$1&amp;"C"&amp;$A15)*RTD("tos.rtd",,"GAMMA","."&amp;B$2&amp;B$1&amp;"C"&amp;$A15)-$A$4*$A$4*RTD("tos.rtd",,"OPEN_INT","."&amp;B$2&amp;B$1&amp;"P"&amp;$A15)*RTD("tos.rtd",,"GAMMA","."&amp;B$2&amp;B$1&amp;"P"&amp;$A15))/1000000,0),IF($A$2="SKEW",IFERROR(VALUE(IF(RTD("tos.rtd",,"IMPL_VOL","."&amp;B$2&amp;B$1&amp;"P"&amp;$A15)="N/A",0,RTD("tos.rtd",,"IMPL_VOL","."&amp;B$2&amp;B$1&amp;"P"&amp;$A15))),0)-IFERROR(VALUE(IF(RTD("tos.rtd",,"IMPL_VOL","."&amp;B$2&amp;B$1&amp;"C"&amp;$A15)="N/A",0,RTD("tos.rtd",,"IMPL_VOL","."&amp;B$2&amp;B$1&amp;"C"&amp;$A15))),0),IF($A$2="MAXPAIN",IF($A$4&gt;$A15,($A$4-$A15)*IF(RTD("tos.rtd",,"OPEN_INT","."&amp;B$2&amp;B$1&amp;"C"&amp;$A15)="N/A",0,RTD("tos.rtd",,"OPEN_INT","."&amp;B$2&amp;B$1&amp;"C"&amp;$A15)),0)+IF($A$4&lt;$A15,($A15-$A$4)*IF(RTD("tos.rtd",,"OPEN_INT","."&amp;B$2&amp;B$1&amp;"P"&amp;$A15)="N/A",0,RTD("tos.rtd",,"OPEN_INT","."&amp;B$2&amp;B$1&amp;"P"&amp;$A15)),0),IF(RTD("tos.rtd",,$A$2,"."&amp;B$2&amp;B$1&amp;"C"&amp;$A15)="N/A",0,RTD("tos.rtd",,$A$2,"."&amp;B$2&amp;B$1&amp;"C"&amp;$A15))-IF(RTD("tos.rtd",,$A$2,"."&amp;B$2&amp;B$1&amp;"P"&amp;$A15)="N/A",0,RTD("tos.rtd",,$A$2,"."&amp;B$2&amp;B$1&amp;"P"&amp;$A15)))))))))</f>
        <v>0</v>
      </c>
      <c r="C15" s="12">
        <f>IF($A$2="PREMIUM_OI",IFERROR((100*RTD("tos.rtd",,"OPEN_INT","."&amp;C$2&amp;C$1&amp;"C"&amp;$A15)*RTD("tos.rtd",,"LAST","."&amp;C$2&amp;C$1&amp;"C"&amp;$A15)-100*RTD("tos.rtd",,"OPEN_INT","."&amp;C$2&amp;C$1&amp;"P"&amp;$A15)*RTD("tos.rtd",,"LAST","."&amp;C$2&amp;C$1&amp;"P"&amp;$A15))/1000000,0),IF($A$2="PREMIUM",IFERROR((100*RTD("tos.rtd",,"VOLUME","."&amp;C$2&amp;C$1&amp;"C"&amp;$A15)*RTD("tos.rtd",,"LAST","."&amp;C$2&amp;C$1&amp;"C"&amp;$A15)-100*RTD("tos.rtd",,"VOLUME","."&amp;C$2&amp;C$1&amp;"P"&amp;$A15)*RTD("tos.rtd",,"LAST","."&amp;C$2&amp;C$1&amp;"P"&amp;$A15))/1000000,0),IF($A$2="DEX",IFERROR((100*RTD("tos.rtd",,"OPEN_INT","."&amp;C$2&amp;C$1&amp;"C"&amp;$A15)*RTD("tos.rtd",,"DELTA","."&amp;C$2&amp;C$1&amp;"C"&amp;$A15)-100*RTD("tos.rtd",,"OPEN_INT","."&amp;C$2&amp;C$1&amp;"P"&amp;$A15)*RTD("tos.rtd",,"DELTA","."&amp;C$2&amp;C$1&amp;"P"&amp;$A15))/1000,0),IF($A$2="VEX",IFERROR(($A$4*$A$4*RTD("tos.rtd",,"VOLUME","."&amp;C$2&amp;C$1&amp;"C"&amp;$A15)*RTD("tos.rtd",,"GAMMA","."&amp;C$2&amp;C$1&amp;"C"&amp;$A15)-$A$4*$A$4*RTD("tos.rtd",,"VOLUME","."&amp;C$2&amp;C$1&amp;"P"&amp;$A15)*RTD("tos.rtd",,"GAMMA","."&amp;C$2&amp;C$1&amp;"P"&amp;$A15))/1000000,0),IF($A$2="GEX",IFERROR(($A$4*$A$4*RTD("tos.rtd",,"OPEN_INT","."&amp;C$2&amp;C$1&amp;"C"&amp;$A15)*RTD("tos.rtd",,"GAMMA","."&amp;C$2&amp;C$1&amp;"C"&amp;$A15)-$A$4*$A$4*RTD("tos.rtd",,"OPEN_INT","."&amp;C$2&amp;C$1&amp;"P"&amp;$A15)*RTD("tos.rtd",,"GAMMA","."&amp;C$2&amp;C$1&amp;"P"&amp;$A15))/1000000,0),IF($A$2="SKEW",IFERROR(VALUE(IF(RTD("tos.rtd",,"IMPL_VOL","."&amp;C$2&amp;C$1&amp;"P"&amp;$A15)="N/A",0,RTD("tos.rtd",,"IMPL_VOL","."&amp;C$2&amp;C$1&amp;"P"&amp;$A15))),0)-IFERROR(VALUE(IF(RTD("tos.rtd",,"IMPL_VOL","."&amp;C$2&amp;C$1&amp;"C"&amp;$A15)="N/A",0,RTD("tos.rtd",,"IMPL_VOL","."&amp;C$2&amp;C$1&amp;"C"&amp;$A15))),0),IF($A$2="MAXPAIN",IF($A$4&gt;$A15,($A$4-$A15)*IF(RTD("tos.rtd",,"OPEN_INT","."&amp;C$2&amp;C$1&amp;"C"&amp;$A15)="N/A",0,RTD("tos.rtd",,"OPEN_INT","."&amp;C$2&amp;C$1&amp;"C"&amp;$A15)),0)+IF($A$4&lt;$A15,($A15-$A$4)*IF(RTD("tos.rtd",,"OPEN_INT","."&amp;C$2&amp;C$1&amp;"P"&amp;$A15)="N/A",0,RTD("tos.rtd",,"OPEN_INT","."&amp;C$2&amp;C$1&amp;"P"&amp;$A15)),0),IF(RTD("tos.rtd",,$A$2,"."&amp;C$2&amp;C$1&amp;"C"&amp;$A15)="N/A",0,RTD("tos.rtd",,$A$2,"."&amp;C$2&amp;C$1&amp;"C"&amp;$A15))-IF(RTD("tos.rtd",,$A$2,"."&amp;C$2&amp;C$1&amp;"P"&amp;$A15)="N/A",0,RTD("tos.rtd",,$A$2,"."&amp;C$2&amp;C$1&amp;"P"&amp;$A15)))))))))</f>
        <v>1057</v>
      </c>
      <c r="D15" s="12">
        <f>IF($A$2="PREMIUM_OI",IFERROR((100*RTD("tos.rtd",,"OPEN_INT","."&amp;D$2&amp;D$1&amp;"C"&amp;$A15)*RTD("tos.rtd",,"LAST","."&amp;D$2&amp;D$1&amp;"C"&amp;$A15)-100*RTD("tos.rtd",,"OPEN_INT","."&amp;D$2&amp;D$1&amp;"P"&amp;$A15)*RTD("tos.rtd",,"LAST","."&amp;D$2&amp;D$1&amp;"P"&amp;$A15))/1000000,0),IF($A$2="PREMIUM",IFERROR((100*RTD("tos.rtd",,"VOLUME","."&amp;D$2&amp;D$1&amp;"C"&amp;$A15)*RTD("tos.rtd",,"LAST","."&amp;D$2&amp;D$1&amp;"C"&amp;$A15)-100*RTD("tos.rtd",,"VOLUME","."&amp;D$2&amp;D$1&amp;"P"&amp;$A15)*RTD("tos.rtd",,"LAST","."&amp;D$2&amp;D$1&amp;"P"&amp;$A15))/1000000,0),IF($A$2="DEX",IFERROR((100*RTD("tos.rtd",,"OPEN_INT","."&amp;D$2&amp;D$1&amp;"C"&amp;$A15)*RTD("tos.rtd",,"DELTA","."&amp;D$2&amp;D$1&amp;"C"&amp;$A15)-100*RTD("tos.rtd",,"OPEN_INT","."&amp;D$2&amp;D$1&amp;"P"&amp;$A15)*RTD("tos.rtd",,"DELTA","."&amp;D$2&amp;D$1&amp;"P"&amp;$A15))/1000,0),IF($A$2="VEX",IFERROR(($A$4*$A$4*RTD("tos.rtd",,"VOLUME","."&amp;D$2&amp;D$1&amp;"C"&amp;$A15)*RTD("tos.rtd",,"GAMMA","."&amp;D$2&amp;D$1&amp;"C"&amp;$A15)-$A$4*$A$4*RTD("tos.rtd",,"VOLUME","."&amp;D$2&amp;D$1&amp;"P"&amp;$A15)*RTD("tos.rtd",,"GAMMA","."&amp;D$2&amp;D$1&amp;"P"&amp;$A15))/1000000,0),IF($A$2="GEX",IFERROR(($A$4*$A$4*RTD("tos.rtd",,"OPEN_INT","."&amp;D$2&amp;D$1&amp;"C"&amp;$A15)*RTD("tos.rtd",,"GAMMA","."&amp;D$2&amp;D$1&amp;"C"&amp;$A15)-$A$4*$A$4*RTD("tos.rtd",,"OPEN_INT","."&amp;D$2&amp;D$1&amp;"P"&amp;$A15)*RTD("tos.rtd",,"GAMMA","."&amp;D$2&amp;D$1&amp;"P"&amp;$A15))/1000000,0),IF($A$2="SKEW",IFERROR(VALUE(IF(RTD("tos.rtd",,"IMPL_VOL","."&amp;D$2&amp;D$1&amp;"P"&amp;$A15)="N/A",0,RTD("tos.rtd",,"IMPL_VOL","."&amp;D$2&amp;D$1&amp;"P"&amp;$A15))),0)-IFERROR(VALUE(IF(RTD("tos.rtd",,"IMPL_VOL","."&amp;D$2&amp;D$1&amp;"C"&amp;$A15)="N/A",0,RTD("tos.rtd",,"IMPL_VOL","."&amp;D$2&amp;D$1&amp;"C"&amp;$A15))),0),IF($A$2="MAXPAIN",IF($A$4&gt;$A15,($A$4-$A15)*IF(RTD("tos.rtd",,"OPEN_INT","."&amp;D$2&amp;D$1&amp;"C"&amp;$A15)="N/A",0,RTD("tos.rtd",,"OPEN_INT","."&amp;D$2&amp;D$1&amp;"C"&amp;$A15)),0)+IF($A$4&lt;$A15,($A15-$A$4)*IF(RTD("tos.rtd",,"OPEN_INT","."&amp;D$2&amp;D$1&amp;"P"&amp;$A15)="N/A",0,RTD("tos.rtd",,"OPEN_INT","."&amp;D$2&amp;D$1&amp;"P"&amp;$A15)),0),IF(RTD("tos.rtd",,$A$2,"."&amp;D$2&amp;D$1&amp;"C"&amp;$A15)="N/A",0,RTD("tos.rtd",,$A$2,"."&amp;D$2&amp;D$1&amp;"C"&amp;$A15))-IF(RTD("tos.rtd",,$A$2,"."&amp;D$2&amp;D$1&amp;"P"&amp;$A15)="N/A",0,RTD("tos.rtd",,$A$2,"."&amp;D$2&amp;D$1&amp;"P"&amp;$A15)))))))))</f>
        <v>0</v>
      </c>
      <c r="E15" s="12">
        <f>IF($A$2="PREMIUM_OI",IFERROR((100*RTD("tos.rtd",,"OPEN_INT","."&amp;E$2&amp;E$1&amp;"C"&amp;$A15)*RTD("tos.rtd",,"LAST","."&amp;E$2&amp;E$1&amp;"C"&amp;$A15)-100*RTD("tos.rtd",,"OPEN_INT","."&amp;E$2&amp;E$1&amp;"P"&amp;$A15)*RTD("tos.rtd",,"LAST","."&amp;E$2&amp;E$1&amp;"P"&amp;$A15))/1000000,0),IF($A$2="PREMIUM",IFERROR((100*RTD("tos.rtd",,"VOLUME","."&amp;E$2&amp;E$1&amp;"C"&amp;$A15)*RTD("tos.rtd",,"LAST","."&amp;E$2&amp;E$1&amp;"C"&amp;$A15)-100*RTD("tos.rtd",,"VOLUME","."&amp;E$2&amp;E$1&amp;"P"&amp;$A15)*RTD("tos.rtd",,"LAST","."&amp;E$2&amp;E$1&amp;"P"&amp;$A15))/1000000,0),IF($A$2="DEX",IFERROR((100*RTD("tos.rtd",,"OPEN_INT","."&amp;E$2&amp;E$1&amp;"C"&amp;$A15)*RTD("tos.rtd",,"DELTA","."&amp;E$2&amp;E$1&amp;"C"&amp;$A15)-100*RTD("tos.rtd",,"OPEN_INT","."&amp;E$2&amp;E$1&amp;"P"&amp;$A15)*RTD("tos.rtd",,"DELTA","."&amp;E$2&amp;E$1&amp;"P"&amp;$A15))/1000,0),IF($A$2="VEX",IFERROR(($A$4*$A$4*RTD("tos.rtd",,"VOLUME","."&amp;E$2&amp;E$1&amp;"C"&amp;$A15)*RTD("tos.rtd",,"GAMMA","."&amp;E$2&amp;E$1&amp;"C"&amp;$A15)-$A$4*$A$4*RTD("tos.rtd",,"VOLUME","."&amp;E$2&amp;E$1&amp;"P"&amp;$A15)*RTD("tos.rtd",,"GAMMA","."&amp;E$2&amp;E$1&amp;"P"&amp;$A15))/1000000,0),IF($A$2="GEX",IFERROR(($A$4*$A$4*RTD("tos.rtd",,"OPEN_INT","."&amp;E$2&amp;E$1&amp;"C"&amp;$A15)*RTD("tos.rtd",,"GAMMA","."&amp;E$2&amp;E$1&amp;"C"&amp;$A15)-$A$4*$A$4*RTD("tos.rtd",,"OPEN_INT","."&amp;E$2&amp;E$1&amp;"P"&amp;$A15)*RTD("tos.rtd",,"GAMMA","."&amp;E$2&amp;E$1&amp;"P"&amp;$A15))/1000000,0),IF($A$2="SKEW",IFERROR(VALUE(IF(RTD("tos.rtd",,"IMPL_VOL","."&amp;E$2&amp;E$1&amp;"P"&amp;$A15)="N/A",0,RTD("tos.rtd",,"IMPL_VOL","."&amp;E$2&amp;E$1&amp;"P"&amp;$A15))),0)-IFERROR(VALUE(IF(RTD("tos.rtd",,"IMPL_VOL","."&amp;E$2&amp;E$1&amp;"C"&amp;$A15)="N/A",0,RTD("tos.rtd",,"IMPL_VOL","."&amp;E$2&amp;E$1&amp;"C"&amp;$A15))),0),IF($A$2="MAXPAIN",IF($A$4&gt;$A15,($A$4-$A15)*IF(RTD("tos.rtd",,"OPEN_INT","."&amp;E$2&amp;E$1&amp;"C"&amp;$A15)="N/A",0,RTD("tos.rtd",,"OPEN_INT","."&amp;E$2&amp;E$1&amp;"C"&amp;$A15)),0)+IF($A$4&lt;$A15,($A15-$A$4)*IF(RTD("tos.rtd",,"OPEN_INT","."&amp;E$2&amp;E$1&amp;"P"&amp;$A15)="N/A",0,RTD("tos.rtd",,"OPEN_INT","."&amp;E$2&amp;E$1&amp;"P"&amp;$A15)),0),IF(RTD("tos.rtd",,$A$2,"."&amp;E$2&amp;E$1&amp;"C"&amp;$A15)="N/A",0,RTD("tos.rtd",,$A$2,"."&amp;E$2&amp;E$1&amp;"C"&amp;$A15))-IF(RTD("tos.rtd",,$A$2,"."&amp;E$2&amp;E$1&amp;"P"&amp;$A15)="N/A",0,RTD("tos.rtd",,$A$2,"."&amp;E$2&amp;E$1&amp;"P"&amp;$A15)))))))))</f>
        <v>0</v>
      </c>
      <c r="F15" s="12">
        <f>IF($A$2="PREMIUM_OI",IFERROR((100*RTD("tos.rtd",,"OPEN_INT","."&amp;F$2&amp;F$1&amp;"C"&amp;$A15)*RTD("tos.rtd",,"LAST","."&amp;F$2&amp;F$1&amp;"C"&amp;$A15)-100*RTD("tos.rtd",,"OPEN_INT","."&amp;F$2&amp;F$1&amp;"P"&amp;$A15)*RTD("tos.rtd",,"LAST","."&amp;F$2&amp;F$1&amp;"P"&amp;$A15))/1000000,0),IF($A$2="PREMIUM",IFERROR((100*RTD("tos.rtd",,"VOLUME","."&amp;F$2&amp;F$1&amp;"C"&amp;$A15)*RTD("tos.rtd",,"LAST","."&amp;F$2&amp;F$1&amp;"C"&amp;$A15)-100*RTD("tos.rtd",,"VOLUME","."&amp;F$2&amp;F$1&amp;"P"&amp;$A15)*RTD("tos.rtd",,"LAST","."&amp;F$2&amp;F$1&amp;"P"&amp;$A15))/1000000,0),IF($A$2="DEX",IFERROR((100*RTD("tos.rtd",,"OPEN_INT","."&amp;F$2&amp;F$1&amp;"C"&amp;$A15)*RTD("tos.rtd",,"DELTA","."&amp;F$2&amp;F$1&amp;"C"&amp;$A15)-100*RTD("tos.rtd",,"OPEN_INT","."&amp;F$2&amp;F$1&amp;"P"&amp;$A15)*RTD("tos.rtd",,"DELTA","."&amp;F$2&amp;F$1&amp;"P"&amp;$A15))/1000,0),IF($A$2="VEX",IFERROR(($A$4*$A$4*RTD("tos.rtd",,"VOLUME","."&amp;F$2&amp;F$1&amp;"C"&amp;$A15)*RTD("tos.rtd",,"GAMMA","."&amp;F$2&amp;F$1&amp;"C"&amp;$A15)-$A$4*$A$4*RTD("tos.rtd",,"VOLUME","."&amp;F$2&amp;F$1&amp;"P"&amp;$A15)*RTD("tos.rtd",,"GAMMA","."&amp;F$2&amp;F$1&amp;"P"&amp;$A15))/1000000,0),IF($A$2="GEX",IFERROR(($A$4*$A$4*RTD("tos.rtd",,"OPEN_INT","."&amp;F$2&amp;F$1&amp;"C"&amp;$A15)*RTD("tos.rtd",,"GAMMA","."&amp;F$2&amp;F$1&amp;"C"&amp;$A15)-$A$4*$A$4*RTD("tos.rtd",,"OPEN_INT","."&amp;F$2&amp;F$1&amp;"P"&amp;$A15)*RTD("tos.rtd",,"GAMMA","."&amp;F$2&amp;F$1&amp;"P"&amp;$A15))/1000000,0),IF($A$2="SKEW",IFERROR(VALUE(IF(RTD("tos.rtd",,"IMPL_VOL","."&amp;F$2&amp;F$1&amp;"P"&amp;$A15)="N/A",0,RTD("tos.rtd",,"IMPL_VOL","."&amp;F$2&amp;F$1&amp;"P"&amp;$A15))),0)-IFERROR(VALUE(IF(RTD("tos.rtd",,"IMPL_VOL","."&amp;F$2&amp;F$1&amp;"C"&amp;$A15)="N/A",0,RTD("tos.rtd",,"IMPL_VOL","."&amp;F$2&amp;F$1&amp;"C"&amp;$A15))),0),IF($A$2="MAXPAIN",IF($A$4&gt;$A15,($A$4-$A15)*IF(RTD("tos.rtd",,"OPEN_INT","."&amp;F$2&amp;F$1&amp;"C"&amp;$A15)="N/A",0,RTD("tos.rtd",,"OPEN_INT","."&amp;F$2&amp;F$1&amp;"C"&amp;$A15)),0)+IF($A$4&lt;$A15,($A15-$A$4)*IF(RTD("tos.rtd",,"OPEN_INT","."&amp;F$2&amp;F$1&amp;"P"&amp;$A15)="N/A",0,RTD("tos.rtd",,"OPEN_INT","."&amp;F$2&amp;F$1&amp;"P"&amp;$A15)),0),IF(RTD("tos.rtd",,$A$2,"."&amp;F$2&amp;F$1&amp;"C"&amp;$A15)="N/A",0,RTD("tos.rtd",,$A$2,"."&amp;F$2&amp;F$1&amp;"C"&amp;$A15))-IF(RTD("tos.rtd",,$A$2,"."&amp;F$2&amp;F$1&amp;"P"&amp;$A15)="N/A",0,RTD("tos.rtd",,$A$2,"."&amp;F$2&amp;F$1&amp;"P"&amp;$A15)))))))))</f>
        <v>0</v>
      </c>
      <c r="G15" s="14">
        <f>IF($A$2="PREMIUM_OI",IFERROR((100*RTD("tos.rtd",,"OPEN_INT","."&amp;G$2&amp;G$1&amp;"C"&amp;$A15)*RTD("tos.rtd",,"LAST","."&amp;G$2&amp;G$1&amp;"C"&amp;$A15)-100*RTD("tos.rtd",,"OPEN_INT","."&amp;G$2&amp;G$1&amp;"P"&amp;$A15)*RTD("tos.rtd",,"LAST","."&amp;G$2&amp;G$1&amp;"P"&amp;$A15))/1000000,0),IF($A$2="PREMIUM",IFERROR((100*RTD("tos.rtd",,"VOLUME","."&amp;G$2&amp;G$1&amp;"C"&amp;$A15)*RTD("tos.rtd",,"LAST","."&amp;G$2&amp;G$1&amp;"C"&amp;$A15)-100*RTD("tos.rtd",,"VOLUME","."&amp;G$2&amp;G$1&amp;"P"&amp;$A15)*RTD("tos.rtd",,"LAST","."&amp;G$2&amp;G$1&amp;"P"&amp;$A15))/1000000,0),IF($A$2="DEX",IFERROR((100*RTD("tos.rtd",,"OPEN_INT","."&amp;G$2&amp;G$1&amp;"C"&amp;$A15)*RTD("tos.rtd",,"DELTA","."&amp;G$2&amp;G$1&amp;"C"&amp;$A15)-100*RTD("tos.rtd",,"OPEN_INT","."&amp;G$2&amp;G$1&amp;"P"&amp;$A15)*RTD("tos.rtd",,"DELTA","."&amp;G$2&amp;G$1&amp;"P"&amp;$A15))/1000,0),IF($A$2="VEX",IFERROR(($A$4*$A$4*RTD("tos.rtd",,"VOLUME","."&amp;G$2&amp;G$1&amp;"C"&amp;$A15)*RTD("tos.rtd",,"GAMMA","."&amp;G$2&amp;G$1&amp;"C"&amp;$A15)-$A$4*$A$4*RTD("tos.rtd",,"VOLUME","."&amp;G$2&amp;G$1&amp;"P"&amp;$A15)*RTD("tos.rtd",,"GAMMA","."&amp;G$2&amp;G$1&amp;"P"&amp;$A15))/1000000,0),IF($A$2="GEX",IFERROR(($A$4*$A$4*RTD("tos.rtd",,"OPEN_INT","."&amp;G$2&amp;G$1&amp;"C"&amp;$A15)*RTD("tos.rtd",,"GAMMA","."&amp;G$2&amp;G$1&amp;"C"&amp;$A15)-$A$4*$A$4*RTD("tos.rtd",,"OPEN_INT","."&amp;G$2&amp;G$1&amp;"P"&amp;$A15)*RTD("tos.rtd",,"GAMMA","."&amp;G$2&amp;G$1&amp;"P"&amp;$A15))/1000000,0),IF($A$2="SKEW",IFERROR(VALUE(IF(RTD("tos.rtd",,"IMPL_VOL","."&amp;G$2&amp;G$1&amp;"P"&amp;$A15)="N/A",0,RTD("tos.rtd",,"IMPL_VOL","."&amp;G$2&amp;G$1&amp;"P"&amp;$A15))),0)-IFERROR(VALUE(IF(RTD("tos.rtd",,"IMPL_VOL","."&amp;G$2&amp;G$1&amp;"C"&amp;$A15)="N/A",0,RTD("tos.rtd",,"IMPL_VOL","."&amp;G$2&amp;G$1&amp;"C"&amp;$A15))),0),IF($A$2="MAXPAIN",IF($A$4&gt;$A15,($A$4-$A15)*IF(RTD("tos.rtd",,"OPEN_INT","."&amp;G$2&amp;G$1&amp;"C"&amp;$A15)="N/A",0,RTD("tos.rtd",,"OPEN_INT","."&amp;G$2&amp;G$1&amp;"C"&amp;$A15)),0)+IF($A$4&lt;$A15,($A15-$A$4)*IF(RTD("tos.rtd",,"OPEN_INT","."&amp;G$2&amp;G$1&amp;"P"&amp;$A15)="N/A",0,RTD("tos.rtd",,"OPEN_INT","."&amp;G$2&amp;G$1&amp;"P"&amp;$A15)),0),IF(RTD("tos.rtd",,$A$2,"."&amp;G$2&amp;G$1&amp;"C"&amp;$A15)="N/A",0,RTD("tos.rtd",,$A$2,"."&amp;G$2&amp;G$1&amp;"C"&amp;$A15))-IF(RTD("tos.rtd",,$A$2,"."&amp;G$2&amp;G$1&amp;"P"&amp;$A15)="N/A",0,RTD("tos.rtd",,$A$2,"."&amp;G$2&amp;G$1&amp;"P"&amp;$A15)))))))))</f>
        <v>0</v>
      </c>
      <c r="H15" s="12">
        <f>IF($A$2="PREMIUM_OI",IFERROR((100*RTD("tos.rtd",,"OPEN_INT","."&amp;H$2&amp;H$1&amp;"C"&amp;$A15)*RTD("tos.rtd",,"LAST","."&amp;H$2&amp;H$1&amp;"C"&amp;$A15)-100*RTD("tos.rtd",,"OPEN_INT","."&amp;H$2&amp;H$1&amp;"P"&amp;$A15)*RTD("tos.rtd",,"LAST","."&amp;H$2&amp;H$1&amp;"P"&amp;$A15))/1000000,0),IF($A$2="PREMIUM",IFERROR((100*RTD("tos.rtd",,"VOLUME","."&amp;H$2&amp;H$1&amp;"C"&amp;$A15)*RTD("tos.rtd",,"LAST","."&amp;H$2&amp;H$1&amp;"C"&amp;$A15)-100*RTD("tos.rtd",,"VOLUME","."&amp;H$2&amp;H$1&amp;"P"&amp;$A15)*RTD("tos.rtd",,"LAST","."&amp;H$2&amp;H$1&amp;"P"&amp;$A15))/1000000,0),IF($A$2="DEX",IFERROR((100*RTD("tos.rtd",,"OPEN_INT","."&amp;H$2&amp;H$1&amp;"C"&amp;$A15)*RTD("tos.rtd",,"DELTA","."&amp;H$2&amp;H$1&amp;"C"&amp;$A15)-100*RTD("tos.rtd",,"OPEN_INT","."&amp;H$2&amp;H$1&amp;"P"&amp;$A15)*RTD("tos.rtd",,"DELTA","."&amp;H$2&amp;H$1&amp;"P"&amp;$A15))/1000,0),IF($A$2="VEX",IFERROR(($A$4*$A$4*RTD("tos.rtd",,"VOLUME","."&amp;H$2&amp;H$1&amp;"C"&amp;$A15)*RTD("tos.rtd",,"GAMMA","."&amp;H$2&amp;H$1&amp;"C"&amp;$A15)-$A$4*$A$4*RTD("tos.rtd",,"VOLUME","."&amp;H$2&amp;H$1&amp;"P"&amp;$A15)*RTD("tos.rtd",,"GAMMA","."&amp;H$2&amp;H$1&amp;"P"&amp;$A15))/1000000,0),IF($A$2="GEX",IFERROR(($A$4*$A$4*RTD("tos.rtd",,"OPEN_INT","."&amp;H$2&amp;H$1&amp;"C"&amp;$A15)*RTD("tos.rtd",,"GAMMA","."&amp;H$2&amp;H$1&amp;"C"&amp;$A15)-$A$4*$A$4*RTD("tos.rtd",,"OPEN_INT","."&amp;H$2&amp;H$1&amp;"P"&amp;$A15)*RTD("tos.rtd",,"GAMMA","."&amp;H$2&amp;H$1&amp;"P"&amp;$A15))/1000000,0),IF($A$2="SKEW",IFERROR(VALUE(IF(RTD("tos.rtd",,"IMPL_VOL","."&amp;H$2&amp;H$1&amp;"P"&amp;$A15)="N/A",0,RTD("tos.rtd",,"IMPL_VOL","."&amp;H$2&amp;H$1&amp;"P"&amp;$A15))),0)-IFERROR(VALUE(IF(RTD("tos.rtd",,"IMPL_VOL","."&amp;H$2&amp;H$1&amp;"C"&amp;$A15)="N/A",0,RTD("tos.rtd",,"IMPL_VOL","."&amp;H$2&amp;H$1&amp;"C"&amp;$A15))),0),IF($A$2="MAXPAIN",IF($A$4&gt;$A15,($A$4-$A15)*IF(RTD("tos.rtd",,"OPEN_INT","."&amp;H$2&amp;H$1&amp;"C"&amp;$A15)="N/A",0,RTD("tos.rtd",,"OPEN_INT","."&amp;H$2&amp;H$1&amp;"C"&amp;$A15)),0)+IF($A$4&lt;$A15,($A15-$A$4)*IF(RTD("tos.rtd",,"OPEN_INT","."&amp;H$2&amp;H$1&amp;"P"&amp;$A15)="N/A",0,RTD("tos.rtd",,"OPEN_INT","."&amp;H$2&amp;H$1&amp;"P"&amp;$A15)),0),IF(RTD("tos.rtd",,$A$2,"."&amp;H$2&amp;H$1&amp;"C"&amp;$A15)="N/A",0,RTD("tos.rtd",,$A$2,"."&amp;H$2&amp;H$1&amp;"C"&amp;$A15))-IF(RTD("tos.rtd",,$A$2,"."&amp;H$2&amp;H$1&amp;"P"&amp;$A15)="N/A",0,RTD("tos.rtd",,$A$2,"."&amp;H$2&amp;H$1&amp;"P"&amp;$A15)))))))))</f>
        <v>592</v>
      </c>
      <c r="I15" s="12">
        <f>IF($A$2="PREMIUM_OI",IFERROR((100*RTD("tos.rtd",,"OPEN_INT","."&amp;I$2&amp;I$1&amp;"C"&amp;$A15)*RTD("tos.rtd",,"LAST","."&amp;I$2&amp;I$1&amp;"C"&amp;$A15)-100*RTD("tos.rtd",,"OPEN_INT","."&amp;I$2&amp;I$1&amp;"P"&amp;$A15)*RTD("tos.rtd",,"LAST","."&amp;I$2&amp;I$1&amp;"P"&amp;$A15))/1000000,0),IF($A$2="PREMIUM",IFERROR((100*RTD("tos.rtd",,"VOLUME","."&amp;I$2&amp;I$1&amp;"C"&amp;$A15)*RTD("tos.rtd",,"LAST","."&amp;I$2&amp;I$1&amp;"C"&amp;$A15)-100*RTD("tos.rtd",,"VOLUME","."&amp;I$2&amp;I$1&amp;"P"&amp;$A15)*RTD("tos.rtd",,"LAST","."&amp;I$2&amp;I$1&amp;"P"&amp;$A15))/1000000,0),IF($A$2="DEX",IFERROR((100*RTD("tos.rtd",,"OPEN_INT","."&amp;I$2&amp;I$1&amp;"C"&amp;$A15)*RTD("tos.rtd",,"DELTA","."&amp;I$2&amp;I$1&amp;"C"&amp;$A15)-100*RTD("tos.rtd",,"OPEN_INT","."&amp;I$2&amp;I$1&amp;"P"&amp;$A15)*RTD("tos.rtd",,"DELTA","."&amp;I$2&amp;I$1&amp;"P"&amp;$A15))/1000,0),IF($A$2="VEX",IFERROR(($A$4*$A$4*RTD("tos.rtd",,"VOLUME","."&amp;I$2&amp;I$1&amp;"C"&amp;$A15)*RTD("tos.rtd",,"GAMMA","."&amp;I$2&amp;I$1&amp;"C"&amp;$A15)-$A$4*$A$4*RTD("tos.rtd",,"VOLUME","."&amp;I$2&amp;I$1&amp;"P"&amp;$A15)*RTD("tos.rtd",,"GAMMA","."&amp;I$2&amp;I$1&amp;"P"&amp;$A15))/1000000,0),IF($A$2="GEX",IFERROR(($A$4*$A$4*RTD("tos.rtd",,"OPEN_INT","."&amp;I$2&amp;I$1&amp;"C"&amp;$A15)*RTD("tos.rtd",,"GAMMA","."&amp;I$2&amp;I$1&amp;"C"&amp;$A15)-$A$4*$A$4*RTD("tos.rtd",,"OPEN_INT","."&amp;I$2&amp;I$1&amp;"P"&amp;$A15)*RTD("tos.rtd",,"GAMMA","."&amp;I$2&amp;I$1&amp;"P"&amp;$A15))/1000000,0),IF($A$2="SKEW",IFERROR(VALUE(IF(RTD("tos.rtd",,"IMPL_VOL","."&amp;I$2&amp;I$1&amp;"P"&amp;$A15)="N/A",0,RTD("tos.rtd",,"IMPL_VOL","."&amp;I$2&amp;I$1&amp;"P"&amp;$A15))),0)-IFERROR(VALUE(IF(RTD("tos.rtd",,"IMPL_VOL","."&amp;I$2&amp;I$1&amp;"C"&amp;$A15)="N/A",0,RTD("tos.rtd",,"IMPL_VOL","."&amp;I$2&amp;I$1&amp;"C"&amp;$A15))),0),IF($A$2="MAXPAIN",IF($A$4&gt;$A15,($A$4-$A15)*IF(RTD("tos.rtd",,"OPEN_INT","."&amp;I$2&amp;I$1&amp;"C"&amp;$A15)="N/A",0,RTD("tos.rtd",,"OPEN_INT","."&amp;I$2&amp;I$1&amp;"C"&amp;$A15)),0)+IF($A$4&lt;$A15,($A15-$A$4)*IF(RTD("tos.rtd",,"OPEN_INT","."&amp;I$2&amp;I$1&amp;"P"&amp;$A15)="N/A",0,RTD("tos.rtd",,"OPEN_INT","."&amp;I$2&amp;I$1&amp;"P"&amp;$A15)),0),IF(RTD("tos.rtd",,$A$2,"."&amp;I$2&amp;I$1&amp;"C"&amp;$A15)="N/A",0,RTD("tos.rtd",,$A$2,"."&amp;I$2&amp;I$1&amp;"C"&amp;$A15))-IF(RTD("tos.rtd",,$A$2,"."&amp;I$2&amp;I$1&amp;"P"&amp;$A15)="N/A",0,RTD("tos.rtd",,$A$2,"."&amp;I$2&amp;I$1&amp;"P"&amp;$A15)))))))))</f>
        <v>0</v>
      </c>
      <c r="J15" s="12">
        <f>IF($A$2="PREMIUM_OI",IFERROR((100*RTD("tos.rtd",,"OPEN_INT","."&amp;J$2&amp;J$1&amp;"C"&amp;$A15)*RTD("tos.rtd",,"LAST","."&amp;J$2&amp;J$1&amp;"C"&amp;$A15)-100*RTD("tos.rtd",,"OPEN_INT","."&amp;J$2&amp;J$1&amp;"P"&amp;$A15)*RTD("tos.rtd",,"LAST","."&amp;J$2&amp;J$1&amp;"P"&amp;$A15))/1000000,0),IF($A$2="PREMIUM",IFERROR((100*RTD("tos.rtd",,"VOLUME","."&amp;J$2&amp;J$1&amp;"C"&amp;$A15)*RTD("tos.rtd",,"LAST","."&amp;J$2&amp;J$1&amp;"C"&amp;$A15)-100*RTD("tos.rtd",,"VOLUME","."&amp;J$2&amp;J$1&amp;"P"&amp;$A15)*RTD("tos.rtd",,"LAST","."&amp;J$2&amp;J$1&amp;"P"&amp;$A15))/1000000,0),IF($A$2="DEX",IFERROR((100*RTD("tos.rtd",,"OPEN_INT","."&amp;J$2&amp;J$1&amp;"C"&amp;$A15)*RTD("tos.rtd",,"DELTA","."&amp;J$2&amp;J$1&amp;"C"&amp;$A15)-100*RTD("tos.rtd",,"OPEN_INT","."&amp;J$2&amp;J$1&amp;"P"&amp;$A15)*RTD("tos.rtd",,"DELTA","."&amp;J$2&amp;J$1&amp;"P"&amp;$A15))/1000,0),IF($A$2="VEX",IFERROR(($A$4*$A$4*RTD("tos.rtd",,"VOLUME","."&amp;J$2&amp;J$1&amp;"C"&amp;$A15)*RTD("tos.rtd",,"GAMMA","."&amp;J$2&amp;J$1&amp;"C"&amp;$A15)-$A$4*$A$4*RTD("tos.rtd",,"VOLUME","."&amp;J$2&amp;J$1&amp;"P"&amp;$A15)*RTD("tos.rtd",,"GAMMA","."&amp;J$2&amp;J$1&amp;"P"&amp;$A15))/1000000,0),IF($A$2="GEX",IFERROR(($A$4*$A$4*RTD("tos.rtd",,"OPEN_INT","."&amp;J$2&amp;J$1&amp;"C"&amp;$A15)*RTD("tos.rtd",,"GAMMA","."&amp;J$2&amp;J$1&amp;"C"&amp;$A15)-$A$4*$A$4*RTD("tos.rtd",,"OPEN_INT","."&amp;J$2&amp;J$1&amp;"P"&amp;$A15)*RTD("tos.rtd",,"GAMMA","."&amp;J$2&amp;J$1&amp;"P"&amp;$A15))/1000000,0),IF($A$2="SKEW",IFERROR(VALUE(IF(RTD("tos.rtd",,"IMPL_VOL","."&amp;J$2&amp;J$1&amp;"P"&amp;$A15)="N/A",0,RTD("tos.rtd",,"IMPL_VOL","."&amp;J$2&amp;J$1&amp;"P"&amp;$A15))),0)-IFERROR(VALUE(IF(RTD("tos.rtd",,"IMPL_VOL","."&amp;J$2&amp;J$1&amp;"C"&amp;$A15)="N/A",0,RTD("tos.rtd",,"IMPL_VOL","."&amp;J$2&amp;J$1&amp;"C"&amp;$A15))),0),IF($A$2="MAXPAIN",IF($A$4&gt;$A15,($A$4-$A15)*IF(RTD("tos.rtd",,"OPEN_INT","."&amp;J$2&amp;J$1&amp;"C"&amp;$A15)="N/A",0,RTD("tos.rtd",,"OPEN_INT","."&amp;J$2&amp;J$1&amp;"C"&amp;$A15)),0)+IF($A$4&lt;$A15,($A15-$A$4)*IF(RTD("tos.rtd",,"OPEN_INT","."&amp;J$2&amp;J$1&amp;"P"&amp;$A15)="N/A",0,RTD("tos.rtd",,"OPEN_INT","."&amp;J$2&amp;J$1&amp;"P"&amp;$A15)),0),IF(RTD("tos.rtd",,$A$2,"."&amp;J$2&amp;J$1&amp;"C"&amp;$A15)="N/A",0,RTD("tos.rtd",,$A$2,"."&amp;J$2&amp;J$1&amp;"C"&amp;$A15))-IF(RTD("tos.rtd",,$A$2,"."&amp;J$2&amp;J$1&amp;"P"&amp;$A15)="N/A",0,RTD("tos.rtd",,$A$2,"."&amp;J$2&amp;J$1&amp;"P"&amp;$A15)))))))))</f>
        <v>0</v>
      </c>
      <c r="K15" s="12">
        <f>IF($A$2="PREMIUM_OI",IFERROR((100*RTD("tos.rtd",,"OPEN_INT","."&amp;K$2&amp;K$1&amp;"C"&amp;$A15)*RTD("tos.rtd",,"LAST","."&amp;K$2&amp;K$1&amp;"C"&amp;$A15)-100*RTD("tos.rtd",,"OPEN_INT","."&amp;K$2&amp;K$1&amp;"P"&amp;$A15)*RTD("tos.rtd",,"LAST","."&amp;K$2&amp;K$1&amp;"P"&amp;$A15))/1000000,0),IF($A$2="PREMIUM",IFERROR((100*RTD("tos.rtd",,"VOLUME","."&amp;K$2&amp;K$1&amp;"C"&amp;$A15)*RTD("tos.rtd",,"LAST","."&amp;K$2&amp;K$1&amp;"C"&amp;$A15)-100*RTD("tos.rtd",,"VOLUME","."&amp;K$2&amp;K$1&amp;"P"&amp;$A15)*RTD("tos.rtd",,"LAST","."&amp;K$2&amp;K$1&amp;"P"&amp;$A15))/1000000,0),IF($A$2="DEX",IFERROR((100*RTD("tos.rtd",,"OPEN_INT","."&amp;K$2&amp;K$1&amp;"C"&amp;$A15)*RTD("tos.rtd",,"DELTA","."&amp;K$2&amp;K$1&amp;"C"&amp;$A15)-100*RTD("tos.rtd",,"OPEN_INT","."&amp;K$2&amp;K$1&amp;"P"&amp;$A15)*RTD("tos.rtd",,"DELTA","."&amp;K$2&amp;K$1&amp;"P"&amp;$A15))/1000,0),IF($A$2="VEX",IFERROR(($A$4*$A$4*RTD("tos.rtd",,"VOLUME","."&amp;K$2&amp;K$1&amp;"C"&amp;$A15)*RTD("tos.rtd",,"GAMMA","."&amp;K$2&amp;K$1&amp;"C"&amp;$A15)-$A$4*$A$4*RTD("tos.rtd",,"VOLUME","."&amp;K$2&amp;K$1&amp;"P"&amp;$A15)*RTD("tos.rtd",,"GAMMA","."&amp;K$2&amp;K$1&amp;"P"&amp;$A15))/1000000,0),IF($A$2="GEX",IFERROR(($A$4*$A$4*RTD("tos.rtd",,"OPEN_INT","."&amp;K$2&amp;K$1&amp;"C"&amp;$A15)*RTD("tos.rtd",,"GAMMA","."&amp;K$2&amp;K$1&amp;"C"&amp;$A15)-$A$4*$A$4*RTD("tos.rtd",,"OPEN_INT","."&amp;K$2&amp;K$1&amp;"P"&amp;$A15)*RTD("tos.rtd",,"GAMMA","."&amp;K$2&amp;K$1&amp;"P"&amp;$A15))/1000000,0),IF($A$2="SKEW",IFERROR(VALUE(IF(RTD("tos.rtd",,"IMPL_VOL","."&amp;K$2&amp;K$1&amp;"P"&amp;$A15)="N/A",0,RTD("tos.rtd",,"IMPL_VOL","."&amp;K$2&amp;K$1&amp;"P"&amp;$A15))),0)-IFERROR(VALUE(IF(RTD("tos.rtd",,"IMPL_VOL","."&amp;K$2&amp;K$1&amp;"C"&amp;$A15)="N/A",0,RTD("tos.rtd",,"IMPL_VOL","."&amp;K$2&amp;K$1&amp;"C"&amp;$A15))),0),IF($A$2="MAXPAIN",IF($A$4&gt;$A15,($A$4-$A15)*IF(RTD("tos.rtd",,"OPEN_INT","."&amp;K$2&amp;K$1&amp;"C"&amp;$A15)="N/A",0,RTD("tos.rtd",,"OPEN_INT","."&amp;K$2&amp;K$1&amp;"C"&amp;$A15)),0)+IF($A$4&lt;$A15,($A15-$A$4)*IF(RTD("tos.rtd",,"OPEN_INT","."&amp;K$2&amp;K$1&amp;"P"&amp;$A15)="N/A",0,RTD("tos.rtd",,"OPEN_INT","."&amp;K$2&amp;K$1&amp;"P"&amp;$A15)),0),IF(RTD("tos.rtd",,$A$2,"."&amp;K$2&amp;K$1&amp;"C"&amp;$A15)="N/A",0,RTD("tos.rtd",,$A$2,"."&amp;K$2&amp;K$1&amp;"C"&amp;$A15))-IF(RTD("tos.rtd",,$A$2,"."&amp;K$2&amp;K$1&amp;"P"&amp;$A15)="N/A",0,RTD("tos.rtd",,$A$2,"."&amp;K$2&amp;K$1&amp;"P"&amp;$A15)))))))))</f>
        <v>0</v>
      </c>
      <c r="L15" s="12">
        <f>IF($A$2="PREMIUM_OI",IFERROR((100*RTD("tos.rtd",,"OPEN_INT","."&amp;L$2&amp;L$1&amp;"C"&amp;$A15)*RTD("tos.rtd",,"LAST","."&amp;L$2&amp;L$1&amp;"C"&amp;$A15)-100*RTD("tos.rtd",,"OPEN_INT","."&amp;L$2&amp;L$1&amp;"P"&amp;$A15)*RTD("tos.rtd",,"LAST","."&amp;L$2&amp;L$1&amp;"P"&amp;$A15))/1000000,0),IF($A$2="PREMIUM",IFERROR((100*RTD("tos.rtd",,"VOLUME","."&amp;L$2&amp;L$1&amp;"C"&amp;$A15)*RTD("tos.rtd",,"LAST","."&amp;L$2&amp;L$1&amp;"C"&amp;$A15)-100*RTD("tos.rtd",,"VOLUME","."&amp;L$2&amp;L$1&amp;"P"&amp;$A15)*RTD("tos.rtd",,"LAST","."&amp;L$2&amp;L$1&amp;"P"&amp;$A15))/1000000,0),IF($A$2="DEX",IFERROR((100*RTD("tos.rtd",,"OPEN_INT","."&amp;L$2&amp;L$1&amp;"C"&amp;$A15)*RTD("tos.rtd",,"DELTA","."&amp;L$2&amp;L$1&amp;"C"&amp;$A15)-100*RTD("tos.rtd",,"OPEN_INT","."&amp;L$2&amp;L$1&amp;"P"&amp;$A15)*RTD("tos.rtd",,"DELTA","."&amp;L$2&amp;L$1&amp;"P"&amp;$A15))/1000,0),IF($A$2="VEX",IFERROR(($A$4*$A$4*RTD("tos.rtd",,"VOLUME","."&amp;L$2&amp;L$1&amp;"C"&amp;$A15)*RTD("tos.rtd",,"GAMMA","."&amp;L$2&amp;L$1&amp;"C"&amp;$A15)-$A$4*$A$4*RTD("tos.rtd",,"VOLUME","."&amp;L$2&amp;L$1&amp;"P"&amp;$A15)*RTD("tos.rtd",,"GAMMA","."&amp;L$2&amp;L$1&amp;"P"&amp;$A15))/1000000,0),IF($A$2="GEX",IFERROR(($A$4*$A$4*RTD("tos.rtd",,"OPEN_INT","."&amp;L$2&amp;L$1&amp;"C"&amp;$A15)*RTD("tos.rtd",,"GAMMA","."&amp;L$2&amp;L$1&amp;"C"&amp;$A15)-$A$4*$A$4*RTD("tos.rtd",,"OPEN_INT","."&amp;L$2&amp;L$1&amp;"P"&amp;$A15)*RTD("tos.rtd",,"GAMMA","."&amp;L$2&amp;L$1&amp;"P"&amp;$A15))/1000000,0),IF($A$2="SKEW",IFERROR(VALUE(IF(RTD("tos.rtd",,"IMPL_VOL","."&amp;L$2&amp;L$1&amp;"P"&amp;$A15)="N/A",0,RTD("tos.rtd",,"IMPL_VOL","."&amp;L$2&amp;L$1&amp;"P"&amp;$A15))),0)-IFERROR(VALUE(IF(RTD("tos.rtd",,"IMPL_VOL","."&amp;L$2&amp;L$1&amp;"C"&amp;$A15)="N/A",0,RTD("tos.rtd",,"IMPL_VOL","."&amp;L$2&amp;L$1&amp;"C"&amp;$A15))),0),IF($A$2="MAXPAIN",IF($A$4&gt;$A15,($A$4-$A15)*IF(RTD("tos.rtd",,"OPEN_INT","."&amp;L$2&amp;L$1&amp;"C"&amp;$A15)="N/A",0,RTD("tos.rtd",,"OPEN_INT","."&amp;L$2&amp;L$1&amp;"C"&amp;$A15)),0)+IF($A$4&lt;$A15,($A15-$A$4)*IF(RTD("tos.rtd",,"OPEN_INT","."&amp;L$2&amp;L$1&amp;"P"&amp;$A15)="N/A",0,RTD("tos.rtd",,"OPEN_INT","."&amp;L$2&amp;L$1&amp;"P"&amp;$A15)),0),IF(RTD("tos.rtd",,$A$2,"."&amp;L$2&amp;L$1&amp;"C"&amp;$A15)="N/A",0,RTD("tos.rtd",,$A$2,"."&amp;L$2&amp;L$1&amp;"C"&amp;$A15))-IF(RTD("tos.rtd",,$A$2,"."&amp;L$2&amp;L$1&amp;"P"&amp;$A15)="N/A",0,RTD("tos.rtd",,$A$2,"."&amp;L$2&amp;L$1&amp;"P"&amp;$A15)))))))))</f>
        <v>0</v>
      </c>
      <c r="M15" s="12">
        <f>IF($A$2="PREMIUM_OI",IFERROR((100*RTD("tos.rtd",,"OPEN_INT","."&amp;M$2&amp;M$1&amp;"C"&amp;$A15)*RTD("tos.rtd",,"LAST","."&amp;M$2&amp;M$1&amp;"C"&amp;$A15)-100*RTD("tos.rtd",,"OPEN_INT","."&amp;M$2&amp;M$1&amp;"P"&amp;$A15)*RTD("tos.rtd",,"LAST","."&amp;M$2&amp;M$1&amp;"P"&amp;$A15))/1000000,0),IF($A$2="PREMIUM",IFERROR((100*RTD("tos.rtd",,"VOLUME","."&amp;M$2&amp;M$1&amp;"C"&amp;$A15)*RTD("tos.rtd",,"LAST","."&amp;M$2&amp;M$1&amp;"C"&amp;$A15)-100*RTD("tos.rtd",,"VOLUME","."&amp;M$2&amp;M$1&amp;"P"&amp;$A15)*RTD("tos.rtd",,"LAST","."&amp;M$2&amp;M$1&amp;"P"&amp;$A15))/1000000,0),IF($A$2="DEX",IFERROR((100*RTD("tos.rtd",,"OPEN_INT","."&amp;M$2&amp;M$1&amp;"C"&amp;$A15)*RTD("tos.rtd",,"DELTA","."&amp;M$2&amp;M$1&amp;"C"&amp;$A15)-100*RTD("tos.rtd",,"OPEN_INT","."&amp;M$2&amp;M$1&amp;"P"&amp;$A15)*RTD("tos.rtd",,"DELTA","."&amp;M$2&amp;M$1&amp;"P"&amp;$A15))/1000,0),IF($A$2="VEX",IFERROR(($A$4*$A$4*RTD("tos.rtd",,"VOLUME","."&amp;M$2&amp;M$1&amp;"C"&amp;$A15)*RTD("tos.rtd",,"GAMMA","."&amp;M$2&amp;M$1&amp;"C"&amp;$A15)-$A$4*$A$4*RTD("tos.rtd",,"VOLUME","."&amp;M$2&amp;M$1&amp;"P"&amp;$A15)*RTD("tos.rtd",,"GAMMA","."&amp;M$2&amp;M$1&amp;"P"&amp;$A15))/1000000,0),IF($A$2="GEX",IFERROR(($A$4*$A$4*RTD("tos.rtd",,"OPEN_INT","."&amp;M$2&amp;M$1&amp;"C"&amp;$A15)*RTD("tos.rtd",,"GAMMA","."&amp;M$2&amp;M$1&amp;"C"&amp;$A15)-$A$4*$A$4*RTD("tos.rtd",,"OPEN_INT","."&amp;M$2&amp;M$1&amp;"P"&amp;$A15)*RTD("tos.rtd",,"GAMMA","."&amp;M$2&amp;M$1&amp;"P"&amp;$A15))/1000000,0),IF($A$2="SKEW",IFERROR(VALUE(IF(RTD("tos.rtd",,"IMPL_VOL","."&amp;M$2&amp;M$1&amp;"P"&amp;$A15)="N/A",0,RTD("tos.rtd",,"IMPL_VOL","."&amp;M$2&amp;M$1&amp;"P"&amp;$A15))),0)-IFERROR(VALUE(IF(RTD("tos.rtd",,"IMPL_VOL","."&amp;M$2&amp;M$1&amp;"C"&amp;$A15)="N/A",0,RTD("tos.rtd",,"IMPL_VOL","."&amp;M$2&amp;M$1&amp;"C"&amp;$A15))),0),IF($A$2="MAXPAIN",IF($A$4&gt;$A15,($A$4-$A15)*IF(RTD("tos.rtd",,"OPEN_INT","."&amp;M$2&amp;M$1&amp;"C"&amp;$A15)="N/A",0,RTD("tos.rtd",,"OPEN_INT","."&amp;M$2&amp;M$1&amp;"C"&amp;$A15)),0)+IF($A$4&lt;$A15,($A15-$A$4)*IF(RTD("tos.rtd",,"OPEN_INT","."&amp;M$2&amp;M$1&amp;"P"&amp;$A15)="N/A",0,RTD("tos.rtd",,"OPEN_INT","."&amp;M$2&amp;M$1&amp;"P"&amp;$A15)),0),IF(RTD("tos.rtd",,$A$2,"."&amp;M$2&amp;M$1&amp;"C"&amp;$A15)="N/A",0,RTD("tos.rtd",,$A$2,"."&amp;M$2&amp;M$1&amp;"C"&amp;$A15))-IF(RTD("tos.rtd",,$A$2,"."&amp;M$2&amp;M$1&amp;"P"&amp;$A15)="N/A",0,RTD("tos.rtd",,$A$2,"."&amp;M$2&amp;M$1&amp;"P"&amp;$A15)))))))))</f>
        <v>2438</v>
      </c>
      <c r="N15" s="12">
        <f>IF($A$2="PREMIUM_OI",IFERROR((100*RTD("tos.rtd",,"OPEN_INT","."&amp;N$2&amp;N$1&amp;"C"&amp;$A15)*RTD("tos.rtd",,"LAST","."&amp;N$2&amp;N$1&amp;"C"&amp;$A15)-100*RTD("tos.rtd",,"OPEN_INT","."&amp;N$2&amp;N$1&amp;"P"&amp;$A15)*RTD("tos.rtd",,"LAST","."&amp;N$2&amp;N$1&amp;"P"&amp;$A15))/1000000,0),IF($A$2="PREMIUM",IFERROR((100*RTD("tos.rtd",,"VOLUME","."&amp;N$2&amp;N$1&amp;"C"&amp;$A15)*RTD("tos.rtd",,"LAST","."&amp;N$2&amp;N$1&amp;"C"&amp;$A15)-100*RTD("tos.rtd",,"VOLUME","."&amp;N$2&amp;N$1&amp;"P"&amp;$A15)*RTD("tos.rtd",,"LAST","."&amp;N$2&amp;N$1&amp;"P"&amp;$A15))/1000000,0),IF($A$2="DEX",IFERROR((100*RTD("tos.rtd",,"OPEN_INT","."&amp;N$2&amp;N$1&amp;"C"&amp;$A15)*RTD("tos.rtd",,"DELTA","."&amp;N$2&amp;N$1&amp;"C"&amp;$A15)-100*RTD("tos.rtd",,"OPEN_INT","."&amp;N$2&amp;N$1&amp;"P"&amp;$A15)*RTD("tos.rtd",,"DELTA","."&amp;N$2&amp;N$1&amp;"P"&amp;$A15))/1000,0),IF($A$2="VEX",IFERROR(($A$4*$A$4*RTD("tos.rtd",,"VOLUME","."&amp;N$2&amp;N$1&amp;"C"&amp;$A15)*RTD("tos.rtd",,"GAMMA","."&amp;N$2&amp;N$1&amp;"C"&amp;$A15)-$A$4*$A$4*RTD("tos.rtd",,"VOLUME","."&amp;N$2&amp;N$1&amp;"P"&amp;$A15)*RTD("tos.rtd",,"GAMMA","."&amp;N$2&amp;N$1&amp;"P"&amp;$A15))/1000000,0),IF($A$2="GEX",IFERROR(($A$4*$A$4*RTD("tos.rtd",,"OPEN_INT","."&amp;N$2&amp;N$1&amp;"C"&amp;$A15)*RTD("tos.rtd",,"GAMMA","."&amp;N$2&amp;N$1&amp;"C"&amp;$A15)-$A$4*$A$4*RTD("tos.rtd",,"OPEN_INT","."&amp;N$2&amp;N$1&amp;"P"&amp;$A15)*RTD("tos.rtd",,"GAMMA","."&amp;N$2&amp;N$1&amp;"P"&amp;$A15))/1000000,0),IF($A$2="SKEW",IFERROR(VALUE(IF(RTD("tos.rtd",,"IMPL_VOL","."&amp;N$2&amp;N$1&amp;"P"&amp;$A15)="N/A",0,RTD("tos.rtd",,"IMPL_VOL","."&amp;N$2&amp;N$1&amp;"P"&amp;$A15))),0)-IFERROR(VALUE(IF(RTD("tos.rtd",,"IMPL_VOL","."&amp;N$2&amp;N$1&amp;"C"&amp;$A15)="N/A",0,RTD("tos.rtd",,"IMPL_VOL","."&amp;N$2&amp;N$1&amp;"C"&amp;$A15))),0),IF($A$2="MAXPAIN",IF($A$4&gt;$A15,($A$4-$A15)*IF(RTD("tos.rtd",,"OPEN_INT","."&amp;N$2&amp;N$1&amp;"C"&amp;$A15)="N/A",0,RTD("tos.rtd",,"OPEN_INT","."&amp;N$2&amp;N$1&amp;"C"&amp;$A15)),0)+IF($A$4&lt;$A15,($A15-$A$4)*IF(RTD("tos.rtd",,"OPEN_INT","."&amp;N$2&amp;N$1&amp;"P"&amp;$A15)="N/A",0,RTD("tos.rtd",,"OPEN_INT","."&amp;N$2&amp;N$1&amp;"P"&amp;$A15)),0),IF(RTD("tos.rtd",,$A$2,"."&amp;N$2&amp;N$1&amp;"C"&amp;$A15)="N/A",0,RTD("tos.rtd",,$A$2,"."&amp;N$2&amp;N$1&amp;"C"&amp;$A15))-IF(RTD("tos.rtd",,$A$2,"."&amp;N$2&amp;N$1&amp;"P"&amp;$A15)="N/A",0,RTD("tos.rtd",,$A$2,"."&amp;N$2&amp;N$1&amp;"P"&amp;$A15)))))))))</f>
        <v>0</v>
      </c>
      <c r="O15" s="12">
        <f>IF($A$2="PREMIUM_OI",IFERROR((100*RTD("tos.rtd",,"OPEN_INT","."&amp;O$2&amp;O$1&amp;"C"&amp;$A15)*RTD("tos.rtd",,"LAST","."&amp;O$2&amp;O$1&amp;"C"&amp;$A15)-100*RTD("tos.rtd",,"OPEN_INT","."&amp;O$2&amp;O$1&amp;"P"&amp;$A15)*RTD("tos.rtd",,"LAST","."&amp;O$2&amp;O$1&amp;"P"&amp;$A15))/1000000,0),IF($A$2="PREMIUM",IFERROR((100*RTD("tos.rtd",,"VOLUME","."&amp;O$2&amp;O$1&amp;"C"&amp;$A15)*RTD("tos.rtd",,"LAST","."&amp;O$2&amp;O$1&amp;"C"&amp;$A15)-100*RTD("tos.rtd",,"VOLUME","."&amp;O$2&amp;O$1&amp;"P"&amp;$A15)*RTD("tos.rtd",,"LAST","."&amp;O$2&amp;O$1&amp;"P"&amp;$A15))/1000000,0),IF($A$2="DEX",IFERROR((100*RTD("tos.rtd",,"OPEN_INT","."&amp;O$2&amp;O$1&amp;"C"&amp;$A15)*RTD("tos.rtd",,"DELTA","."&amp;O$2&amp;O$1&amp;"C"&amp;$A15)-100*RTD("tos.rtd",,"OPEN_INT","."&amp;O$2&amp;O$1&amp;"P"&amp;$A15)*RTD("tos.rtd",,"DELTA","."&amp;O$2&amp;O$1&amp;"P"&amp;$A15))/1000,0),IF($A$2="VEX",IFERROR(($A$4*$A$4*RTD("tos.rtd",,"VOLUME","."&amp;O$2&amp;O$1&amp;"C"&amp;$A15)*RTD("tos.rtd",,"GAMMA","."&amp;O$2&amp;O$1&amp;"C"&amp;$A15)-$A$4*$A$4*RTD("tos.rtd",,"VOLUME","."&amp;O$2&amp;O$1&amp;"P"&amp;$A15)*RTD("tos.rtd",,"GAMMA","."&amp;O$2&amp;O$1&amp;"P"&amp;$A15))/1000000,0),IF($A$2="GEX",IFERROR(($A$4*$A$4*RTD("tos.rtd",,"OPEN_INT","."&amp;O$2&amp;O$1&amp;"C"&amp;$A15)*RTD("tos.rtd",,"GAMMA","."&amp;O$2&amp;O$1&amp;"C"&amp;$A15)-$A$4*$A$4*RTD("tos.rtd",,"OPEN_INT","."&amp;O$2&amp;O$1&amp;"P"&amp;$A15)*RTD("tos.rtd",,"GAMMA","."&amp;O$2&amp;O$1&amp;"P"&amp;$A15))/1000000,0),IF($A$2="SKEW",IFERROR(VALUE(IF(RTD("tos.rtd",,"IMPL_VOL","."&amp;O$2&amp;O$1&amp;"P"&amp;$A15)="N/A",0,RTD("tos.rtd",,"IMPL_VOL","."&amp;O$2&amp;O$1&amp;"P"&amp;$A15))),0)-IFERROR(VALUE(IF(RTD("tos.rtd",,"IMPL_VOL","."&amp;O$2&amp;O$1&amp;"C"&amp;$A15)="N/A",0,RTD("tos.rtd",,"IMPL_VOL","."&amp;O$2&amp;O$1&amp;"C"&amp;$A15))),0),IF($A$2="MAXPAIN",IF($A$4&gt;$A15,($A$4-$A15)*IF(RTD("tos.rtd",,"OPEN_INT","."&amp;O$2&amp;O$1&amp;"C"&amp;$A15)="N/A",0,RTD("tos.rtd",,"OPEN_INT","."&amp;O$2&amp;O$1&amp;"C"&amp;$A15)),0)+IF($A$4&lt;$A15,($A15-$A$4)*IF(RTD("tos.rtd",,"OPEN_INT","."&amp;O$2&amp;O$1&amp;"P"&amp;$A15)="N/A",0,RTD("tos.rtd",,"OPEN_INT","."&amp;O$2&amp;O$1&amp;"P"&amp;$A15)),0),IF(RTD("tos.rtd",,$A$2,"."&amp;O$2&amp;O$1&amp;"C"&amp;$A15)="N/A",0,RTD("tos.rtd",,$A$2,"."&amp;O$2&amp;O$1&amp;"C"&amp;$A15))-IF(RTD("tos.rtd",,$A$2,"."&amp;O$2&amp;O$1&amp;"P"&amp;$A15)="N/A",0,RTD("tos.rtd",,$A$2,"."&amp;O$2&amp;O$1&amp;"P"&amp;$A15)))))))))</f>
        <v>0</v>
      </c>
      <c r="P15" s="12">
        <f>IF($A$2="PREMIUM_OI",IFERROR((100*RTD("tos.rtd",,"OPEN_INT","."&amp;P$2&amp;P$1&amp;"C"&amp;$A15)*RTD("tos.rtd",,"LAST","."&amp;P$2&amp;P$1&amp;"C"&amp;$A15)-100*RTD("tos.rtd",,"OPEN_INT","."&amp;P$2&amp;P$1&amp;"P"&amp;$A15)*RTD("tos.rtd",,"LAST","."&amp;P$2&amp;P$1&amp;"P"&amp;$A15))/1000000,0),IF($A$2="PREMIUM",IFERROR((100*RTD("tos.rtd",,"VOLUME","."&amp;P$2&amp;P$1&amp;"C"&amp;$A15)*RTD("tos.rtd",,"LAST","."&amp;P$2&amp;P$1&amp;"C"&amp;$A15)-100*RTD("tos.rtd",,"VOLUME","."&amp;P$2&amp;P$1&amp;"P"&amp;$A15)*RTD("tos.rtd",,"LAST","."&amp;P$2&amp;P$1&amp;"P"&amp;$A15))/1000000,0),IF($A$2="DEX",IFERROR((100*RTD("tos.rtd",,"OPEN_INT","."&amp;P$2&amp;P$1&amp;"C"&amp;$A15)*RTD("tos.rtd",,"DELTA","."&amp;P$2&amp;P$1&amp;"C"&amp;$A15)-100*RTD("tos.rtd",,"OPEN_INT","."&amp;P$2&amp;P$1&amp;"P"&amp;$A15)*RTD("tos.rtd",,"DELTA","."&amp;P$2&amp;P$1&amp;"P"&amp;$A15))/1000,0),IF($A$2="VEX",IFERROR(($A$4*$A$4*RTD("tos.rtd",,"VOLUME","."&amp;P$2&amp;P$1&amp;"C"&amp;$A15)*RTD("tos.rtd",,"GAMMA","."&amp;P$2&amp;P$1&amp;"C"&amp;$A15)-$A$4*$A$4*RTD("tos.rtd",,"VOLUME","."&amp;P$2&amp;P$1&amp;"P"&amp;$A15)*RTD("tos.rtd",,"GAMMA","."&amp;P$2&amp;P$1&amp;"P"&amp;$A15))/1000000,0),IF($A$2="GEX",IFERROR(($A$4*$A$4*RTD("tos.rtd",,"OPEN_INT","."&amp;P$2&amp;P$1&amp;"C"&amp;$A15)*RTD("tos.rtd",,"GAMMA","."&amp;P$2&amp;P$1&amp;"C"&amp;$A15)-$A$4*$A$4*RTD("tos.rtd",,"OPEN_INT","."&amp;P$2&amp;P$1&amp;"P"&amp;$A15)*RTD("tos.rtd",,"GAMMA","."&amp;P$2&amp;P$1&amp;"P"&amp;$A15))/1000000,0),IF($A$2="SKEW",IFERROR(VALUE(IF(RTD("tos.rtd",,"IMPL_VOL","."&amp;P$2&amp;P$1&amp;"P"&amp;$A15)="N/A",0,RTD("tos.rtd",,"IMPL_VOL","."&amp;P$2&amp;P$1&amp;"P"&amp;$A15))),0)-IFERROR(VALUE(IF(RTD("tos.rtd",,"IMPL_VOL","."&amp;P$2&amp;P$1&amp;"C"&amp;$A15)="N/A",0,RTD("tos.rtd",,"IMPL_VOL","."&amp;P$2&amp;P$1&amp;"C"&amp;$A15))),0),IF($A$2="MAXPAIN",IF($A$4&gt;$A15,($A$4-$A15)*IF(RTD("tos.rtd",,"OPEN_INT","."&amp;P$2&amp;P$1&amp;"C"&amp;$A15)="N/A",0,RTD("tos.rtd",,"OPEN_INT","."&amp;P$2&amp;P$1&amp;"C"&amp;$A15)),0)+IF($A$4&lt;$A15,($A15-$A$4)*IF(RTD("tos.rtd",,"OPEN_INT","."&amp;P$2&amp;P$1&amp;"P"&amp;$A15)="N/A",0,RTD("tos.rtd",,"OPEN_INT","."&amp;P$2&amp;P$1&amp;"P"&amp;$A15)),0),IF(RTD("tos.rtd",,$A$2,"."&amp;P$2&amp;P$1&amp;"C"&amp;$A15)="N/A",0,RTD("tos.rtd",,$A$2,"."&amp;P$2&amp;P$1&amp;"C"&amp;$A15))-IF(RTD("tos.rtd",,$A$2,"."&amp;P$2&amp;P$1&amp;"P"&amp;$A15)="N/A",0,RTD("tos.rtd",,$A$2,"."&amp;P$2&amp;P$1&amp;"P"&amp;$A15)))))))))</f>
        <v>0</v>
      </c>
      <c r="Q15" s="12">
        <f>IF($A$2="PREMIUM_OI",IFERROR((100*RTD("tos.rtd",,"OPEN_INT","."&amp;Q$2&amp;Q$1&amp;"C"&amp;$A15)*RTD("tos.rtd",,"LAST","."&amp;Q$2&amp;Q$1&amp;"C"&amp;$A15)-100*RTD("tos.rtd",,"OPEN_INT","."&amp;Q$2&amp;Q$1&amp;"P"&amp;$A15)*RTD("tos.rtd",,"LAST","."&amp;Q$2&amp;Q$1&amp;"P"&amp;$A15))/1000000,0),IF($A$2="PREMIUM",IFERROR((100*RTD("tos.rtd",,"VOLUME","."&amp;Q$2&amp;Q$1&amp;"C"&amp;$A15)*RTD("tos.rtd",,"LAST","."&amp;Q$2&amp;Q$1&amp;"C"&amp;$A15)-100*RTD("tos.rtd",,"VOLUME","."&amp;Q$2&amp;Q$1&amp;"P"&amp;$A15)*RTD("tos.rtd",,"LAST","."&amp;Q$2&amp;Q$1&amp;"P"&amp;$A15))/1000000,0),IF($A$2="DEX",IFERROR((100*RTD("tos.rtd",,"OPEN_INT","."&amp;Q$2&amp;Q$1&amp;"C"&amp;$A15)*RTD("tos.rtd",,"DELTA","."&amp;Q$2&amp;Q$1&amp;"C"&amp;$A15)-100*RTD("tos.rtd",,"OPEN_INT","."&amp;Q$2&amp;Q$1&amp;"P"&amp;$A15)*RTD("tos.rtd",,"DELTA","."&amp;Q$2&amp;Q$1&amp;"P"&amp;$A15))/1000,0),IF($A$2="VEX",IFERROR(($A$4*$A$4*RTD("tos.rtd",,"VOLUME","."&amp;Q$2&amp;Q$1&amp;"C"&amp;$A15)*RTD("tos.rtd",,"GAMMA","."&amp;Q$2&amp;Q$1&amp;"C"&amp;$A15)-$A$4*$A$4*RTD("tos.rtd",,"VOLUME","."&amp;Q$2&amp;Q$1&amp;"P"&amp;$A15)*RTD("tos.rtd",,"GAMMA","."&amp;Q$2&amp;Q$1&amp;"P"&amp;$A15))/1000000,0),IF($A$2="GEX",IFERROR(($A$4*$A$4*RTD("tos.rtd",,"OPEN_INT","."&amp;Q$2&amp;Q$1&amp;"C"&amp;$A15)*RTD("tos.rtd",,"GAMMA","."&amp;Q$2&amp;Q$1&amp;"C"&amp;$A15)-$A$4*$A$4*RTD("tos.rtd",,"OPEN_INT","."&amp;Q$2&amp;Q$1&amp;"P"&amp;$A15)*RTD("tos.rtd",,"GAMMA","."&amp;Q$2&amp;Q$1&amp;"P"&amp;$A15))/1000000,0),IF($A$2="SKEW",IFERROR(VALUE(IF(RTD("tos.rtd",,"IMPL_VOL","."&amp;Q$2&amp;Q$1&amp;"P"&amp;$A15)="N/A",0,RTD("tos.rtd",,"IMPL_VOL","."&amp;Q$2&amp;Q$1&amp;"P"&amp;$A15))),0)-IFERROR(VALUE(IF(RTD("tos.rtd",,"IMPL_VOL","."&amp;Q$2&amp;Q$1&amp;"C"&amp;$A15)="N/A",0,RTD("tos.rtd",,"IMPL_VOL","."&amp;Q$2&amp;Q$1&amp;"C"&amp;$A15))),0),IF($A$2="MAXPAIN",IF($A$4&gt;$A15,($A$4-$A15)*IF(RTD("tos.rtd",,"OPEN_INT","."&amp;Q$2&amp;Q$1&amp;"C"&amp;$A15)="N/A",0,RTD("tos.rtd",,"OPEN_INT","."&amp;Q$2&amp;Q$1&amp;"C"&amp;$A15)),0)+IF($A$4&lt;$A15,($A15-$A$4)*IF(RTD("tos.rtd",,"OPEN_INT","."&amp;Q$2&amp;Q$1&amp;"P"&amp;$A15)="N/A",0,RTD("tos.rtd",,"OPEN_INT","."&amp;Q$2&amp;Q$1&amp;"P"&amp;$A15)),0),IF(RTD("tos.rtd",,$A$2,"."&amp;Q$2&amp;Q$1&amp;"C"&amp;$A15)="N/A",0,RTD("tos.rtd",,$A$2,"."&amp;Q$2&amp;Q$1&amp;"C"&amp;$A15))-IF(RTD("tos.rtd",,$A$2,"."&amp;Q$2&amp;Q$1&amp;"P"&amp;$A15)="N/A",0,RTD("tos.rtd",,$A$2,"."&amp;Q$2&amp;Q$1&amp;"P"&amp;$A15)))))))))</f>
        <v>0</v>
      </c>
      <c r="R15" s="12">
        <f>IF($A$2="PREMIUM_OI",IFERROR((100*RTD("tos.rtd",,"OPEN_INT","."&amp;R$2&amp;R$1&amp;"C"&amp;$A15)*RTD("tos.rtd",,"LAST","."&amp;R$2&amp;R$1&amp;"C"&amp;$A15)-100*RTD("tos.rtd",,"OPEN_INT","."&amp;R$2&amp;R$1&amp;"P"&amp;$A15)*RTD("tos.rtd",,"LAST","."&amp;R$2&amp;R$1&amp;"P"&amp;$A15))/1000000,0),IF($A$2="PREMIUM",IFERROR((100*RTD("tos.rtd",,"VOLUME","."&amp;R$2&amp;R$1&amp;"C"&amp;$A15)*RTD("tos.rtd",,"LAST","."&amp;R$2&amp;R$1&amp;"C"&amp;$A15)-100*RTD("tos.rtd",,"VOLUME","."&amp;R$2&amp;R$1&amp;"P"&amp;$A15)*RTD("tos.rtd",,"LAST","."&amp;R$2&amp;R$1&amp;"P"&amp;$A15))/1000000,0),IF($A$2="DEX",IFERROR((100*RTD("tos.rtd",,"OPEN_INT","."&amp;R$2&amp;R$1&amp;"C"&amp;$A15)*RTD("tos.rtd",,"DELTA","."&amp;R$2&amp;R$1&amp;"C"&amp;$A15)-100*RTD("tos.rtd",,"OPEN_INT","."&amp;R$2&amp;R$1&amp;"P"&amp;$A15)*RTD("tos.rtd",,"DELTA","."&amp;R$2&amp;R$1&amp;"P"&amp;$A15))/1000,0),IF($A$2="VEX",IFERROR(($A$4*$A$4*RTD("tos.rtd",,"VOLUME","."&amp;R$2&amp;R$1&amp;"C"&amp;$A15)*RTD("tos.rtd",,"GAMMA","."&amp;R$2&amp;R$1&amp;"C"&amp;$A15)-$A$4*$A$4*RTD("tos.rtd",,"VOLUME","."&amp;R$2&amp;R$1&amp;"P"&amp;$A15)*RTD("tos.rtd",,"GAMMA","."&amp;R$2&amp;R$1&amp;"P"&amp;$A15))/1000000,0),IF($A$2="GEX",IFERROR(($A$4*$A$4*RTD("tos.rtd",,"OPEN_INT","."&amp;R$2&amp;R$1&amp;"C"&amp;$A15)*RTD("tos.rtd",,"GAMMA","."&amp;R$2&amp;R$1&amp;"C"&amp;$A15)-$A$4*$A$4*RTD("tos.rtd",,"OPEN_INT","."&amp;R$2&amp;R$1&amp;"P"&amp;$A15)*RTD("tos.rtd",,"GAMMA","."&amp;R$2&amp;R$1&amp;"P"&amp;$A15))/1000000,0),IF($A$2="SKEW",IFERROR(VALUE(IF(RTD("tos.rtd",,"IMPL_VOL","."&amp;R$2&amp;R$1&amp;"P"&amp;$A15)="N/A",0,RTD("tos.rtd",,"IMPL_VOL","."&amp;R$2&amp;R$1&amp;"P"&amp;$A15))),0)-IFERROR(VALUE(IF(RTD("tos.rtd",,"IMPL_VOL","."&amp;R$2&amp;R$1&amp;"C"&amp;$A15)="N/A",0,RTD("tos.rtd",,"IMPL_VOL","."&amp;R$2&amp;R$1&amp;"C"&amp;$A15))),0),IF($A$2="MAXPAIN",IF($A$4&gt;$A15,($A$4-$A15)*IF(RTD("tos.rtd",,"OPEN_INT","."&amp;R$2&amp;R$1&amp;"C"&amp;$A15)="N/A",0,RTD("tos.rtd",,"OPEN_INT","."&amp;R$2&amp;R$1&amp;"C"&amp;$A15)),0)+IF($A$4&lt;$A15,($A15-$A$4)*IF(RTD("tos.rtd",,"OPEN_INT","."&amp;R$2&amp;R$1&amp;"P"&amp;$A15)="N/A",0,RTD("tos.rtd",,"OPEN_INT","."&amp;R$2&amp;R$1&amp;"P"&amp;$A15)),0),IF(RTD("tos.rtd",,$A$2,"."&amp;R$2&amp;R$1&amp;"C"&amp;$A15)="N/A",0,RTD("tos.rtd",,$A$2,"."&amp;R$2&amp;R$1&amp;"C"&amp;$A15))-IF(RTD("tos.rtd",,$A$2,"."&amp;R$2&amp;R$1&amp;"P"&amp;$A15)="N/A",0,RTD("tos.rtd",,$A$2,"."&amp;R$2&amp;R$1&amp;"P"&amp;$A15)))))))))</f>
        <v>344</v>
      </c>
      <c r="S15" s="12">
        <f>IF($A$2="PREMIUM_OI",IFERROR((100*RTD("tos.rtd",,"OPEN_INT","."&amp;S$2&amp;S$1&amp;"C"&amp;$A15)*RTD("tos.rtd",,"LAST","."&amp;S$2&amp;S$1&amp;"C"&amp;$A15)-100*RTD("tos.rtd",,"OPEN_INT","."&amp;S$2&amp;S$1&amp;"P"&amp;$A15)*RTD("tos.rtd",,"LAST","."&amp;S$2&amp;S$1&amp;"P"&amp;$A15))/1000000,0),IF($A$2="PREMIUM",IFERROR((100*RTD("tos.rtd",,"VOLUME","."&amp;S$2&amp;S$1&amp;"C"&amp;$A15)*RTD("tos.rtd",,"LAST","."&amp;S$2&amp;S$1&amp;"C"&amp;$A15)-100*RTD("tos.rtd",,"VOLUME","."&amp;S$2&amp;S$1&amp;"P"&amp;$A15)*RTD("tos.rtd",,"LAST","."&amp;S$2&amp;S$1&amp;"P"&amp;$A15))/1000000,0),IF($A$2="DEX",IFERROR((100*RTD("tos.rtd",,"OPEN_INT","."&amp;S$2&amp;S$1&amp;"C"&amp;$A15)*RTD("tos.rtd",,"DELTA","."&amp;S$2&amp;S$1&amp;"C"&amp;$A15)-100*RTD("tos.rtd",,"OPEN_INT","."&amp;S$2&amp;S$1&amp;"P"&amp;$A15)*RTD("tos.rtd",,"DELTA","."&amp;S$2&amp;S$1&amp;"P"&amp;$A15))/1000,0),IF($A$2="VEX",IFERROR(($A$4*$A$4*RTD("tos.rtd",,"VOLUME","."&amp;S$2&amp;S$1&amp;"C"&amp;$A15)*RTD("tos.rtd",,"GAMMA","."&amp;S$2&amp;S$1&amp;"C"&amp;$A15)-$A$4*$A$4*RTD("tos.rtd",,"VOLUME","."&amp;S$2&amp;S$1&amp;"P"&amp;$A15)*RTD("tos.rtd",,"GAMMA","."&amp;S$2&amp;S$1&amp;"P"&amp;$A15))/1000000,0),IF($A$2="GEX",IFERROR(($A$4*$A$4*RTD("tos.rtd",,"OPEN_INT","."&amp;S$2&amp;S$1&amp;"C"&amp;$A15)*RTD("tos.rtd",,"GAMMA","."&amp;S$2&amp;S$1&amp;"C"&amp;$A15)-$A$4*$A$4*RTD("tos.rtd",,"OPEN_INT","."&amp;S$2&amp;S$1&amp;"P"&amp;$A15)*RTD("tos.rtd",,"GAMMA","."&amp;S$2&amp;S$1&amp;"P"&amp;$A15))/1000000,0),IF($A$2="SKEW",IFERROR(VALUE(IF(RTD("tos.rtd",,"IMPL_VOL","."&amp;S$2&amp;S$1&amp;"P"&amp;$A15)="N/A",0,RTD("tos.rtd",,"IMPL_VOL","."&amp;S$2&amp;S$1&amp;"P"&amp;$A15))),0)-IFERROR(VALUE(IF(RTD("tos.rtd",,"IMPL_VOL","."&amp;S$2&amp;S$1&amp;"C"&amp;$A15)="N/A",0,RTD("tos.rtd",,"IMPL_VOL","."&amp;S$2&amp;S$1&amp;"C"&amp;$A15))),0),IF($A$2="MAXPAIN",IF($A$4&gt;$A15,($A$4-$A15)*IF(RTD("tos.rtd",,"OPEN_INT","."&amp;S$2&amp;S$1&amp;"C"&amp;$A15)="N/A",0,RTD("tos.rtd",,"OPEN_INT","."&amp;S$2&amp;S$1&amp;"C"&amp;$A15)),0)+IF($A$4&lt;$A15,($A15-$A$4)*IF(RTD("tos.rtd",,"OPEN_INT","."&amp;S$2&amp;S$1&amp;"P"&amp;$A15)="N/A",0,RTD("tos.rtd",,"OPEN_INT","."&amp;S$2&amp;S$1&amp;"P"&amp;$A15)),0),IF(RTD("tos.rtd",,$A$2,"."&amp;S$2&amp;S$1&amp;"C"&amp;$A15)="N/A",0,RTD("tos.rtd",,$A$2,"."&amp;S$2&amp;S$1&amp;"C"&amp;$A15))-IF(RTD("tos.rtd",,$A$2,"."&amp;S$2&amp;S$1&amp;"P"&amp;$A15)="N/A",0,RTD("tos.rtd",,$A$2,"."&amp;S$2&amp;S$1&amp;"P"&amp;$A15)))))))))</f>
        <v>0</v>
      </c>
      <c r="T15" s="12">
        <f>IF($A$2="PREMIUM_OI",IFERROR((100*RTD("tos.rtd",,"OPEN_INT","."&amp;T$2&amp;T$1&amp;"C"&amp;$A15)*RTD("tos.rtd",,"LAST","."&amp;T$2&amp;T$1&amp;"C"&amp;$A15)-100*RTD("tos.rtd",,"OPEN_INT","."&amp;T$2&amp;T$1&amp;"P"&amp;$A15)*RTD("tos.rtd",,"LAST","."&amp;T$2&amp;T$1&amp;"P"&amp;$A15))/1000000,0),IF($A$2="PREMIUM",IFERROR((100*RTD("tos.rtd",,"VOLUME","."&amp;T$2&amp;T$1&amp;"C"&amp;$A15)*RTD("tos.rtd",,"LAST","."&amp;T$2&amp;T$1&amp;"C"&amp;$A15)-100*RTD("tos.rtd",,"VOLUME","."&amp;T$2&amp;T$1&amp;"P"&amp;$A15)*RTD("tos.rtd",,"LAST","."&amp;T$2&amp;T$1&amp;"P"&amp;$A15))/1000000,0),IF($A$2="DEX",IFERROR((100*RTD("tos.rtd",,"OPEN_INT","."&amp;T$2&amp;T$1&amp;"C"&amp;$A15)*RTD("tos.rtd",,"DELTA","."&amp;T$2&amp;T$1&amp;"C"&amp;$A15)-100*RTD("tos.rtd",,"OPEN_INT","."&amp;T$2&amp;T$1&amp;"P"&amp;$A15)*RTD("tos.rtd",,"DELTA","."&amp;T$2&amp;T$1&amp;"P"&amp;$A15))/1000,0),IF($A$2="VEX",IFERROR(($A$4*$A$4*RTD("tos.rtd",,"VOLUME","."&amp;T$2&amp;T$1&amp;"C"&amp;$A15)*RTD("tos.rtd",,"GAMMA","."&amp;T$2&amp;T$1&amp;"C"&amp;$A15)-$A$4*$A$4*RTD("tos.rtd",,"VOLUME","."&amp;T$2&amp;T$1&amp;"P"&amp;$A15)*RTD("tos.rtd",,"GAMMA","."&amp;T$2&amp;T$1&amp;"P"&amp;$A15))/1000000,0),IF($A$2="GEX",IFERROR(($A$4*$A$4*RTD("tos.rtd",,"OPEN_INT","."&amp;T$2&amp;T$1&amp;"C"&amp;$A15)*RTD("tos.rtd",,"GAMMA","."&amp;T$2&amp;T$1&amp;"C"&amp;$A15)-$A$4*$A$4*RTD("tos.rtd",,"OPEN_INT","."&amp;T$2&amp;T$1&amp;"P"&amp;$A15)*RTD("tos.rtd",,"GAMMA","."&amp;T$2&amp;T$1&amp;"P"&amp;$A15))/1000000,0),IF($A$2="SKEW",IFERROR(VALUE(IF(RTD("tos.rtd",,"IMPL_VOL","."&amp;T$2&amp;T$1&amp;"P"&amp;$A15)="N/A",0,RTD("tos.rtd",,"IMPL_VOL","."&amp;T$2&amp;T$1&amp;"P"&amp;$A15))),0)-IFERROR(VALUE(IF(RTD("tos.rtd",,"IMPL_VOL","."&amp;T$2&amp;T$1&amp;"C"&amp;$A15)="N/A",0,RTD("tos.rtd",,"IMPL_VOL","."&amp;T$2&amp;T$1&amp;"C"&amp;$A15))),0),IF($A$2="MAXPAIN",IF($A$4&gt;$A15,($A$4-$A15)*IF(RTD("tos.rtd",,"OPEN_INT","."&amp;T$2&amp;T$1&amp;"C"&amp;$A15)="N/A",0,RTD("tos.rtd",,"OPEN_INT","."&amp;T$2&amp;T$1&amp;"C"&amp;$A15)),0)+IF($A$4&lt;$A15,($A15-$A$4)*IF(RTD("tos.rtd",,"OPEN_INT","."&amp;T$2&amp;T$1&amp;"P"&amp;$A15)="N/A",0,RTD("tos.rtd",,"OPEN_INT","."&amp;T$2&amp;T$1&amp;"P"&amp;$A15)),0),IF(RTD("tos.rtd",,$A$2,"."&amp;T$2&amp;T$1&amp;"C"&amp;$A15)="N/A",0,RTD("tos.rtd",,$A$2,"."&amp;T$2&amp;T$1&amp;"C"&amp;$A15))-IF(RTD("tos.rtd",,$A$2,"."&amp;T$2&amp;T$1&amp;"P"&amp;$A15)="N/A",0,RTD("tos.rtd",,$A$2,"."&amp;T$2&amp;T$1&amp;"P"&amp;$A15)))))))))</f>
        <v>0</v>
      </c>
      <c r="U15" s="12">
        <f>IF($A$2="PREMIUM_OI",IFERROR((100*RTD("tos.rtd",,"OPEN_INT","."&amp;U$2&amp;U$1&amp;"C"&amp;$A15)*RTD("tos.rtd",,"LAST","."&amp;U$2&amp;U$1&amp;"C"&amp;$A15)-100*RTD("tos.rtd",,"OPEN_INT","."&amp;U$2&amp;U$1&amp;"P"&amp;$A15)*RTD("tos.rtd",,"LAST","."&amp;U$2&amp;U$1&amp;"P"&amp;$A15))/1000000,0),IF($A$2="PREMIUM",IFERROR((100*RTD("tos.rtd",,"VOLUME","."&amp;U$2&amp;U$1&amp;"C"&amp;$A15)*RTD("tos.rtd",,"LAST","."&amp;U$2&amp;U$1&amp;"C"&amp;$A15)-100*RTD("tos.rtd",,"VOLUME","."&amp;U$2&amp;U$1&amp;"P"&amp;$A15)*RTD("tos.rtd",,"LAST","."&amp;U$2&amp;U$1&amp;"P"&amp;$A15))/1000000,0),IF($A$2="DEX",IFERROR((100*RTD("tos.rtd",,"OPEN_INT","."&amp;U$2&amp;U$1&amp;"C"&amp;$A15)*RTD("tos.rtd",,"DELTA","."&amp;U$2&amp;U$1&amp;"C"&amp;$A15)-100*RTD("tos.rtd",,"OPEN_INT","."&amp;U$2&amp;U$1&amp;"P"&amp;$A15)*RTD("tos.rtd",,"DELTA","."&amp;U$2&amp;U$1&amp;"P"&amp;$A15))/1000,0),IF($A$2="VEX",IFERROR(($A$4*$A$4*RTD("tos.rtd",,"VOLUME","."&amp;U$2&amp;U$1&amp;"C"&amp;$A15)*RTD("tos.rtd",,"GAMMA","."&amp;U$2&amp;U$1&amp;"C"&amp;$A15)-$A$4*$A$4*RTD("tos.rtd",,"VOLUME","."&amp;U$2&amp;U$1&amp;"P"&amp;$A15)*RTD("tos.rtd",,"GAMMA","."&amp;U$2&amp;U$1&amp;"P"&amp;$A15))/1000000,0),IF($A$2="GEX",IFERROR(($A$4*$A$4*RTD("tos.rtd",,"OPEN_INT","."&amp;U$2&amp;U$1&amp;"C"&amp;$A15)*RTD("tos.rtd",,"GAMMA","."&amp;U$2&amp;U$1&amp;"C"&amp;$A15)-$A$4*$A$4*RTD("tos.rtd",,"OPEN_INT","."&amp;U$2&amp;U$1&amp;"P"&amp;$A15)*RTD("tos.rtd",,"GAMMA","."&amp;U$2&amp;U$1&amp;"P"&amp;$A15))/1000000,0),IF($A$2="SKEW",IFERROR(VALUE(IF(RTD("tos.rtd",,"IMPL_VOL","."&amp;U$2&amp;U$1&amp;"P"&amp;$A15)="N/A",0,RTD("tos.rtd",,"IMPL_VOL","."&amp;U$2&amp;U$1&amp;"P"&amp;$A15))),0)-IFERROR(VALUE(IF(RTD("tos.rtd",,"IMPL_VOL","."&amp;U$2&amp;U$1&amp;"C"&amp;$A15)="N/A",0,RTD("tos.rtd",,"IMPL_VOL","."&amp;U$2&amp;U$1&amp;"C"&amp;$A15))),0),IF($A$2="MAXPAIN",IF($A$4&gt;$A15,($A$4-$A15)*IF(RTD("tos.rtd",,"OPEN_INT","."&amp;U$2&amp;U$1&amp;"C"&amp;$A15)="N/A",0,RTD("tos.rtd",,"OPEN_INT","."&amp;U$2&amp;U$1&amp;"C"&amp;$A15)),0)+IF($A$4&lt;$A15,($A15-$A$4)*IF(RTD("tos.rtd",,"OPEN_INT","."&amp;U$2&amp;U$1&amp;"P"&amp;$A15)="N/A",0,RTD("tos.rtd",,"OPEN_INT","."&amp;U$2&amp;U$1&amp;"P"&amp;$A15)),0),IF(RTD("tos.rtd",,$A$2,"."&amp;U$2&amp;U$1&amp;"C"&amp;$A15)="N/A",0,RTD("tos.rtd",,$A$2,"."&amp;U$2&amp;U$1&amp;"C"&amp;$A15))-IF(RTD("tos.rtd",,$A$2,"."&amp;U$2&amp;U$1&amp;"P"&amp;$A15)="N/A",0,RTD("tos.rtd",,$A$2,"."&amp;U$2&amp;U$1&amp;"P"&amp;$A15)))))))))</f>
        <v>0</v>
      </c>
      <c r="V15" s="12">
        <f>IF($A$2="PREMIUM_OI",IFERROR((100*RTD("tos.rtd",,"OPEN_INT","."&amp;V$2&amp;V$1&amp;"C"&amp;$A15)*RTD("tos.rtd",,"LAST","."&amp;V$2&amp;V$1&amp;"C"&amp;$A15)-100*RTD("tos.rtd",,"OPEN_INT","."&amp;V$2&amp;V$1&amp;"P"&amp;$A15)*RTD("tos.rtd",,"LAST","."&amp;V$2&amp;V$1&amp;"P"&amp;$A15))/1000000,0),IF($A$2="PREMIUM",IFERROR((100*RTD("tos.rtd",,"VOLUME","."&amp;V$2&amp;V$1&amp;"C"&amp;$A15)*RTD("tos.rtd",,"LAST","."&amp;V$2&amp;V$1&amp;"C"&amp;$A15)-100*RTD("tos.rtd",,"VOLUME","."&amp;V$2&amp;V$1&amp;"P"&amp;$A15)*RTD("tos.rtd",,"LAST","."&amp;V$2&amp;V$1&amp;"P"&amp;$A15))/1000000,0),IF($A$2="DEX",IFERROR((100*RTD("tos.rtd",,"OPEN_INT","."&amp;V$2&amp;V$1&amp;"C"&amp;$A15)*RTD("tos.rtd",,"DELTA","."&amp;V$2&amp;V$1&amp;"C"&amp;$A15)-100*RTD("tos.rtd",,"OPEN_INT","."&amp;V$2&amp;V$1&amp;"P"&amp;$A15)*RTD("tos.rtd",,"DELTA","."&amp;V$2&amp;V$1&amp;"P"&amp;$A15))/1000,0),IF($A$2="VEX",IFERROR(($A$4*$A$4*RTD("tos.rtd",,"VOLUME","."&amp;V$2&amp;V$1&amp;"C"&amp;$A15)*RTD("tos.rtd",,"GAMMA","."&amp;V$2&amp;V$1&amp;"C"&amp;$A15)-$A$4*$A$4*RTD("tos.rtd",,"VOLUME","."&amp;V$2&amp;V$1&amp;"P"&amp;$A15)*RTD("tos.rtd",,"GAMMA","."&amp;V$2&amp;V$1&amp;"P"&amp;$A15))/1000000,0),IF($A$2="GEX",IFERROR(($A$4*$A$4*RTD("tos.rtd",,"OPEN_INT","."&amp;V$2&amp;V$1&amp;"C"&amp;$A15)*RTD("tos.rtd",,"GAMMA","."&amp;V$2&amp;V$1&amp;"C"&amp;$A15)-$A$4*$A$4*RTD("tos.rtd",,"OPEN_INT","."&amp;V$2&amp;V$1&amp;"P"&amp;$A15)*RTD("tos.rtd",,"GAMMA","."&amp;V$2&amp;V$1&amp;"P"&amp;$A15))/1000000,0),IF($A$2="SKEW",IFERROR(VALUE(IF(RTD("tos.rtd",,"IMPL_VOL","."&amp;V$2&amp;V$1&amp;"P"&amp;$A15)="N/A",0,RTD("tos.rtd",,"IMPL_VOL","."&amp;V$2&amp;V$1&amp;"P"&amp;$A15))),0)-IFERROR(VALUE(IF(RTD("tos.rtd",,"IMPL_VOL","."&amp;V$2&amp;V$1&amp;"C"&amp;$A15)="N/A",0,RTD("tos.rtd",,"IMPL_VOL","."&amp;V$2&amp;V$1&amp;"C"&amp;$A15))),0),IF($A$2="MAXPAIN",IF($A$4&gt;$A15,($A$4-$A15)*IF(RTD("tos.rtd",,"OPEN_INT","."&amp;V$2&amp;V$1&amp;"C"&amp;$A15)="N/A",0,RTD("tos.rtd",,"OPEN_INT","."&amp;V$2&amp;V$1&amp;"C"&amp;$A15)),0)+IF($A$4&lt;$A15,($A15-$A$4)*IF(RTD("tos.rtd",,"OPEN_INT","."&amp;V$2&amp;V$1&amp;"P"&amp;$A15)="N/A",0,RTD("tos.rtd",,"OPEN_INT","."&amp;V$2&amp;V$1&amp;"P"&amp;$A15)),0),IF(RTD("tos.rtd",,$A$2,"."&amp;V$2&amp;V$1&amp;"C"&amp;$A15)="N/A",0,RTD("tos.rtd",,$A$2,"."&amp;V$2&amp;V$1&amp;"C"&amp;$A15))-IF(RTD("tos.rtd",,$A$2,"."&amp;V$2&amp;V$1&amp;"P"&amp;$A15)="N/A",0,RTD("tos.rtd",,$A$2,"."&amp;V$2&amp;V$1&amp;"P"&amp;$A15)))))))))</f>
        <v>0</v>
      </c>
      <c r="W15" s="12">
        <f>IF($A$2="PREMIUM_OI",IFERROR((100*RTD("tos.rtd",,"OPEN_INT","."&amp;W$2&amp;W$1&amp;"C"&amp;$A15)*RTD("tos.rtd",,"LAST","."&amp;W$2&amp;W$1&amp;"C"&amp;$A15)-100*RTD("tos.rtd",,"OPEN_INT","."&amp;W$2&amp;W$1&amp;"P"&amp;$A15)*RTD("tos.rtd",,"LAST","."&amp;W$2&amp;W$1&amp;"P"&amp;$A15))/1000000,0),IF($A$2="PREMIUM",IFERROR((100*RTD("tos.rtd",,"VOLUME","."&amp;W$2&amp;W$1&amp;"C"&amp;$A15)*RTD("tos.rtd",,"LAST","."&amp;W$2&amp;W$1&amp;"C"&amp;$A15)-100*RTD("tos.rtd",,"VOLUME","."&amp;W$2&amp;W$1&amp;"P"&amp;$A15)*RTD("tos.rtd",,"LAST","."&amp;W$2&amp;W$1&amp;"P"&amp;$A15))/1000000,0),IF($A$2="DEX",IFERROR((100*RTD("tos.rtd",,"OPEN_INT","."&amp;W$2&amp;W$1&amp;"C"&amp;$A15)*RTD("tos.rtd",,"DELTA","."&amp;W$2&amp;W$1&amp;"C"&amp;$A15)-100*RTD("tos.rtd",,"OPEN_INT","."&amp;W$2&amp;W$1&amp;"P"&amp;$A15)*RTD("tos.rtd",,"DELTA","."&amp;W$2&amp;W$1&amp;"P"&amp;$A15))/1000,0),IF($A$2="VEX",IFERROR(($A$4*$A$4*RTD("tos.rtd",,"VOLUME","."&amp;W$2&amp;W$1&amp;"C"&amp;$A15)*RTD("tos.rtd",,"GAMMA","."&amp;W$2&amp;W$1&amp;"C"&amp;$A15)-$A$4*$A$4*RTD("tos.rtd",,"VOLUME","."&amp;W$2&amp;W$1&amp;"P"&amp;$A15)*RTD("tos.rtd",,"GAMMA","."&amp;W$2&amp;W$1&amp;"P"&amp;$A15))/1000000,0),IF($A$2="GEX",IFERROR(($A$4*$A$4*RTD("tos.rtd",,"OPEN_INT","."&amp;W$2&amp;W$1&amp;"C"&amp;$A15)*RTD("tos.rtd",,"GAMMA","."&amp;W$2&amp;W$1&amp;"C"&amp;$A15)-$A$4*$A$4*RTD("tos.rtd",,"OPEN_INT","."&amp;W$2&amp;W$1&amp;"P"&amp;$A15)*RTD("tos.rtd",,"GAMMA","."&amp;W$2&amp;W$1&amp;"P"&amp;$A15))/1000000,0),IF($A$2="SKEW",IFERROR(VALUE(IF(RTD("tos.rtd",,"IMPL_VOL","."&amp;W$2&amp;W$1&amp;"P"&amp;$A15)="N/A",0,RTD("tos.rtd",,"IMPL_VOL","."&amp;W$2&amp;W$1&amp;"P"&amp;$A15))),0)-IFERROR(VALUE(IF(RTD("tos.rtd",,"IMPL_VOL","."&amp;W$2&amp;W$1&amp;"C"&amp;$A15)="N/A",0,RTD("tos.rtd",,"IMPL_VOL","."&amp;W$2&amp;W$1&amp;"C"&amp;$A15))),0),IF($A$2="MAXPAIN",IF($A$4&gt;$A15,($A$4-$A15)*IF(RTD("tos.rtd",,"OPEN_INT","."&amp;W$2&amp;W$1&amp;"C"&amp;$A15)="N/A",0,RTD("tos.rtd",,"OPEN_INT","."&amp;W$2&amp;W$1&amp;"C"&amp;$A15)),0)+IF($A$4&lt;$A15,($A15-$A$4)*IF(RTD("tos.rtd",,"OPEN_INT","."&amp;W$2&amp;W$1&amp;"P"&amp;$A15)="N/A",0,RTD("tos.rtd",,"OPEN_INT","."&amp;W$2&amp;W$1&amp;"P"&amp;$A15)),0),IF(RTD("tos.rtd",,$A$2,"."&amp;W$2&amp;W$1&amp;"C"&amp;$A15)="N/A",0,RTD("tos.rtd",,$A$2,"."&amp;W$2&amp;W$1&amp;"C"&amp;$A15))-IF(RTD("tos.rtd",,$A$2,"."&amp;W$2&amp;W$1&amp;"P"&amp;$A15)="N/A",0,RTD("tos.rtd",,$A$2,"."&amp;W$2&amp;W$1&amp;"P"&amp;$A15)))))))))</f>
        <v>0</v>
      </c>
      <c r="X15" s="12">
        <f t="shared" ca="1" si="7"/>
        <v>0</v>
      </c>
      <c r="Y15" s="27">
        <f t="shared" ca="1" si="8"/>
        <v>0</v>
      </c>
      <c r="AA15" s="35">
        <f t="shared" si="5"/>
        <v>14</v>
      </c>
      <c r="AB15" s="8">
        <f>+IF($AJ$1,AK15,TASTYOHLC!B15)</f>
        <v>8.01</v>
      </c>
      <c r="AC15" s="8">
        <f>+IF($AJ$1,AL15,TASTYOHLC!C15)</f>
        <v>8.01</v>
      </c>
      <c r="AD15" s="8">
        <f>+IF($AJ$1,AM15,TASTYOHLC!D15)</f>
        <v>8.01</v>
      </c>
      <c r="AE15" s="8">
        <f>+IF($AJ$1,AN15,TASTYOHLC!E15)</f>
        <v>8.01</v>
      </c>
      <c r="AF15" s="8"/>
      <c r="AJ15" s="37">
        <f t="shared" si="9"/>
        <v>45949</v>
      </c>
      <c r="AK15" s="52">
        <f t="shared" si="10"/>
        <v>8.01</v>
      </c>
      <c r="AL15" s="52">
        <f t="shared" si="10"/>
        <v>8.01</v>
      </c>
      <c r="AM15" s="52">
        <f t="shared" si="10"/>
        <v>8.01</v>
      </c>
      <c r="AN15" s="52">
        <f t="shared" si="10"/>
        <v>8.01</v>
      </c>
      <c r="AO15" s="51">
        <v>110563346</v>
      </c>
    </row>
    <row r="16" spans="1:41" s="19" customFormat="1" ht="11.1" customHeight="1" thickBot="1" x14ac:dyDescent="0.3">
      <c r="A16" s="23">
        <f t="shared" si="6"/>
        <v>14</v>
      </c>
      <c r="B16" s="14">
        <f>IF($A$2="PREMIUM_OI",IFERROR((100*RTD("tos.rtd",,"OPEN_INT","."&amp;B$2&amp;B$1&amp;"C"&amp;$A16)*RTD("tos.rtd",,"LAST","."&amp;B$2&amp;B$1&amp;"C"&amp;$A16)-100*RTD("tos.rtd",,"OPEN_INT","."&amp;B$2&amp;B$1&amp;"P"&amp;$A16)*RTD("tos.rtd",,"LAST","."&amp;B$2&amp;B$1&amp;"P"&amp;$A16))/1000000,0),IF($A$2="PREMIUM",IFERROR((100*RTD("tos.rtd",,"VOLUME","."&amp;B$2&amp;B$1&amp;"C"&amp;$A16)*RTD("tos.rtd",,"LAST","."&amp;B$2&amp;B$1&amp;"C"&amp;$A16)-100*RTD("tos.rtd",,"VOLUME","."&amp;B$2&amp;B$1&amp;"P"&amp;$A16)*RTD("tos.rtd",,"LAST","."&amp;B$2&amp;B$1&amp;"P"&amp;$A16))/1000000,0),IF($A$2="DEX",IFERROR((100*RTD("tos.rtd",,"OPEN_INT","."&amp;B$2&amp;B$1&amp;"C"&amp;$A16)*RTD("tos.rtd",,"DELTA","."&amp;B$2&amp;B$1&amp;"C"&amp;$A16)-100*RTD("tos.rtd",,"OPEN_INT","."&amp;B$2&amp;B$1&amp;"P"&amp;$A16)*RTD("tos.rtd",,"DELTA","."&amp;B$2&amp;B$1&amp;"P"&amp;$A16))/1000,0),IF($A$2="VEX",IFERROR(($A$4*$A$4*RTD("tos.rtd",,"VOLUME","."&amp;B$2&amp;B$1&amp;"C"&amp;$A16)*RTD("tos.rtd",,"GAMMA","."&amp;B$2&amp;B$1&amp;"C"&amp;$A16)-$A$4*$A$4*RTD("tos.rtd",,"VOLUME","."&amp;B$2&amp;B$1&amp;"P"&amp;$A16)*RTD("tos.rtd",,"GAMMA","."&amp;B$2&amp;B$1&amp;"P"&amp;$A16))/1000000,0),IF($A$2="GEX",IFERROR(($A$4*$A$4*RTD("tos.rtd",,"OPEN_INT","."&amp;B$2&amp;B$1&amp;"C"&amp;$A16)*RTD("tos.rtd",,"GAMMA","."&amp;B$2&amp;B$1&amp;"C"&amp;$A16)-$A$4*$A$4*RTD("tos.rtd",,"OPEN_INT","."&amp;B$2&amp;B$1&amp;"P"&amp;$A16)*RTD("tos.rtd",,"GAMMA","."&amp;B$2&amp;B$1&amp;"P"&amp;$A16))/1000000,0),IF($A$2="SKEW",IFERROR(VALUE(IF(RTD("tos.rtd",,"IMPL_VOL","."&amp;B$2&amp;B$1&amp;"P"&amp;$A16)="N/A",0,RTD("tos.rtd",,"IMPL_VOL","."&amp;B$2&amp;B$1&amp;"P"&amp;$A16))),0)-IFERROR(VALUE(IF(RTD("tos.rtd",,"IMPL_VOL","."&amp;B$2&amp;B$1&amp;"C"&amp;$A16)="N/A",0,RTD("tos.rtd",,"IMPL_VOL","."&amp;B$2&amp;B$1&amp;"C"&amp;$A16))),0),IF($A$2="MAXPAIN",IF($A$4&gt;$A16,($A$4-$A16)*IF(RTD("tos.rtd",,"OPEN_INT","."&amp;B$2&amp;B$1&amp;"C"&amp;$A16)="N/A",0,RTD("tos.rtd",,"OPEN_INT","."&amp;B$2&amp;B$1&amp;"C"&amp;$A16)),0)+IF($A$4&lt;$A16,($A16-$A$4)*IF(RTD("tos.rtd",,"OPEN_INT","."&amp;B$2&amp;B$1&amp;"P"&amp;$A16)="N/A",0,RTD("tos.rtd",,"OPEN_INT","."&amp;B$2&amp;B$1&amp;"P"&amp;$A16)),0),IF(RTD("tos.rtd",,$A$2,"."&amp;B$2&amp;B$1&amp;"C"&amp;$A16)="N/A",0,RTD("tos.rtd",,$A$2,"."&amp;B$2&amp;B$1&amp;"C"&amp;$A16))-IF(RTD("tos.rtd",,$A$2,"."&amp;B$2&amp;B$1&amp;"P"&amp;$A16)="N/A",0,RTD("tos.rtd",,$A$2,"."&amp;B$2&amp;B$1&amp;"P"&amp;$A16)))))))))</f>
        <v>0</v>
      </c>
      <c r="C16" s="12">
        <f>IF($A$2="PREMIUM_OI",IFERROR((100*RTD("tos.rtd",,"OPEN_INT","."&amp;C$2&amp;C$1&amp;"C"&amp;$A16)*RTD("tos.rtd",,"LAST","."&amp;C$2&amp;C$1&amp;"C"&amp;$A16)-100*RTD("tos.rtd",,"OPEN_INT","."&amp;C$2&amp;C$1&amp;"P"&amp;$A16)*RTD("tos.rtd",,"LAST","."&amp;C$2&amp;C$1&amp;"P"&amp;$A16))/1000000,0),IF($A$2="PREMIUM",IFERROR((100*RTD("tos.rtd",,"VOLUME","."&amp;C$2&amp;C$1&amp;"C"&amp;$A16)*RTD("tos.rtd",,"LAST","."&amp;C$2&amp;C$1&amp;"C"&amp;$A16)-100*RTD("tos.rtd",,"VOLUME","."&amp;C$2&amp;C$1&amp;"P"&amp;$A16)*RTD("tos.rtd",,"LAST","."&amp;C$2&amp;C$1&amp;"P"&amp;$A16))/1000000,0),IF($A$2="DEX",IFERROR((100*RTD("tos.rtd",,"OPEN_INT","."&amp;C$2&amp;C$1&amp;"C"&amp;$A16)*RTD("tos.rtd",,"DELTA","."&amp;C$2&amp;C$1&amp;"C"&amp;$A16)-100*RTD("tos.rtd",,"OPEN_INT","."&amp;C$2&amp;C$1&amp;"P"&amp;$A16)*RTD("tos.rtd",,"DELTA","."&amp;C$2&amp;C$1&amp;"P"&amp;$A16))/1000,0),IF($A$2="VEX",IFERROR(($A$4*$A$4*RTD("tos.rtd",,"VOLUME","."&amp;C$2&amp;C$1&amp;"C"&amp;$A16)*RTD("tos.rtd",,"GAMMA","."&amp;C$2&amp;C$1&amp;"C"&amp;$A16)-$A$4*$A$4*RTD("tos.rtd",,"VOLUME","."&amp;C$2&amp;C$1&amp;"P"&amp;$A16)*RTD("tos.rtd",,"GAMMA","."&amp;C$2&amp;C$1&amp;"P"&amp;$A16))/1000000,0),IF($A$2="GEX",IFERROR(($A$4*$A$4*RTD("tos.rtd",,"OPEN_INT","."&amp;C$2&amp;C$1&amp;"C"&amp;$A16)*RTD("tos.rtd",,"GAMMA","."&amp;C$2&amp;C$1&amp;"C"&amp;$A16)-$A$4*$A$4*RTD("tos.rtd",,"OPEN_INT","."&amp;C$2&amp;C$1&amp;"P"&amp;$A16)*RTD("tos.rtd",,"GAMMA","."&amp;C$2&amp;C$1&amp;"P"&amp;$A16))/1000000,0),IF($A$2="SKEW",IFERROR(VALUE(IF(RTD("tos.rtd",,"IMPL_VOL","."&amp;C$2&amp;C$1&amp;"P"&amp;$A16)="N/A",0,RTD("tos.rtd",,"IMPL_VOL","."&amp;C$2&amp;C$1&amp;"P"&amp;$A16))),0)-IFERROR(VALUE(IF(RTD("tos.rtd",,"IMPL_VOL","."&amp;C$2&amp;C$1&amp;"C"&amp;$A16)="N/A",0,RTD("tos.rtd",,"IMPL_VOL","."&amp;C$2&amp;C$1&amp;"C"&amp;$A16))),0),IF($A$2="MAXPAIN",IF($A$4&gt;$A16,($A$4-$A16)*IF(RTD("tos.rtd",,"OPEN_INT","."&amp;C$2&amp;C$1&amp;"C"&amp;$A16)="N/A",0,RTD("tos.rtd",,"OPEN_INT","."&amp;C$2&amp;C$1&amp;"C"&amp;$A16)),0)+IF($A$4&lt;$A16,($A16-$A$4)*IF(RTD("tos.rtd",,"OPEN_INT","."&amp;C$2&amp;C$1&amp;"P"&amp;$A16)="N/A",0,RTD("tos.rtd",,"OPEN_INT","."&amp;C$2&amp;C$1&amp;"P"&amp;$A16)),0),IF(RTD("tos.rtd",,$A$2,"."&amp;C$2&amp;C$1&amp;"C"&amp;$A16)="N/A",0,RTD("tos.rtd",,$A$2,"."&amp;C$2&amp;C$1&amp;"C"&amp;$A16))-IF(RTD("tos.rtd",,$A$2,"."&amp;C$2&amp;C$1&amp;"P"&amp;$A16)="N/A",0,RTD("tos.rtd",,$A$2,"."&amp;C$2&amp;C$1&amp;"P"&amp;$A16)))))))))</f>
        <v>1504</v>
      </c>
      <c r="D16" s="12">
        <f>IF($A$2="PREMIUM_OI",IFERROR((100*RTD("tos.rtd",,"OPEN_INT","."&amp;D$2&amp;D$1&amp;"C"&amp;$A16)*RTD("tos.rtd",,"LAST","."&amp;D$2&amp;D$1&amp;"C"&amp;$A16)-100*RTD("tos.rtd",,"OPEN_INT","."&amp;D$2&amp;D$1&amp;"P"&amp;$A16)*RTD("tos.rtd",,"LAST","."&amp;D$2&amp;D$1&amp;"P"&amp;$A16))/1000000,0),IF($A$2="PREMIUM",IFERROR((100*RTD("tos.rtd",,"VOLUME","."&amp;D$2&amp;D$1&amp;"C"&amp;$A16)*RTD("tos.rtd",,"LAST","."&amp;D$2&amp;D$1&amp;"C"&amp;$A16)-100*RTD("tos.rtd",,"VOLUME","."&amp;D$2&amp;D$1&amp;"P"&amp;$A16)*RTD("tos.rtd",,"LAST","."&amp;D$2&amp;D$1&amp;"P"&amp;$A16))/1000000,0),IF($A$2="DEX",IFERROR((100*RTD("tos.rtd",,"OPEN_INT","."&amp;D$2&amp;D$1&amp;"C"&amp;$A16)*RTD("tos.rtd",,"DELTA","."&amp;D$2&amp;D$1&amp;"C"&amp;$A16)-100*RTD("tos.rtd",,"OPEN_INT","."&amp;D$2&amp;D$1&amp;"P"&amp;$A16)*RTD("tos.rtd",,"DELTA","."&amp;D$2&amp;D$1&amp;"P"&amp;$A16))/1000,0),IF($A$2="VEX",IFERROR(($A$4*$A$4*RTD("tos.rtd",,"VOLUME","."&amp;D$2&amp;D$1&amp;"C"&amp;$A16)*RTD("tos.rtd",,"GAMMA","."&amp;D$2&amp;D$1&amp;"C"&amp;$A16)-$A$4*$A$4*RTD("tos.rtd",,"VOLUME","."&amp;D$2&amp;D$1&amp;"P"&amp;$A16)*RTD("tos.rtd",,"GAMMA","."&amp;D$2&amp;D$1&amp;"P"&amp;$A16))/1000000,0),IF($A$2="GEX",IFERROR(($A$4*$A$4*RTD("tos.rtd",,"OPEN_INT","."&amp;D$2&amp;D$1&amp;"C"&amp;$A16)*RTD("tos.rtd",,"GAMMA","."&amp;D$2&amp;D$1&amp;"C"&amp;$A16)-$A$4*$A$4*RTD("tos.rtd",,"OPEN_INT","."&amp;D$2&amp;D$1&amp;"P"&amp;$A16)*RTD("tos.rtd",,"GAMMA","."&amp;D$2&amp;D$1&amp;"P"&amp;$A16))/1000000,0),IF($A$2="SKEW",IFERROR(VALUE(IF(RTD("tos.rtd",,"IMPL_VOL","."&amp;D$2&amp;D$1&amp;"P"&amp;$A16)="N/A",0,RTD("tos.rtd",,"IMPL_VOL","."&amp;D$2&amp;D$1&amp;"P"&amp;$A16))),0)-IFERROR(VALUE(IF(RTD("tos.rtd",,"IMPL_VOL","."&amp;D$2&amp;D$1&amp;"C"&amp;$A16)="N/A",0,RTD("tos.rtd",,"IMPL_VOL","."&amp;D$2&amp;D$1&amp;"C"&amp;$A16))),0),IF($A$2="MAXPAIN",IF($A$4&gt;$A16,($A$4-$A16)*IF(RTD("tos.rtd",,"OPEN_INT","."&amp;D$2&amp;D$1&amp;"C"&amp;$A16)="N/A",0,RTD("tos.rtd",,"OPEN_INT","."&amp;D$2&amp;D$1&amp;"C"&amp;$A16)),0)+IF($A$4&lt;$A16,($A16-$A$4)*IF(RTD("tos.rtd",,"OPEN_INT","."&amp;D$2&amp;D$1&amp;"P"&amp;$A16)="N/A",0,RTD("tos.rtd",,"OPEN_INT","."&amp;D$2&amp;D$1&amp;"P"&amp;$A16)),0),IF(RTD("tos.rtd",,$A$2,"."&amp;D$2&amp;D$1&amp;"C"&amp;$A16)="N/A",0,RTD("tos.rtd",,$A$2,"."&amp;D$2&amp;D$1&amp;"C"&amp;$A16))-IF(RTD("tos.rtd",,$A$2,"."&amp;D$2&amp;D$1&amp;"P"&amp;$A16)="N/A",0,RTD("tos.rtd",,$A$2,"."&amp;D$2&amp;D$1&amp;"P"&amp;$A16)))))))))</f>
        <v>0</v>
      </c>
      <c r="E16" s="12">
        <f>IF($A$2="PREMIUM_OI",IFERROR((100*RTD("tos.rtd",,"OPEN_INT","."&amp;E$2&amp;E$1&amp;"C"&amp;$A16)*RTD("tos.rtd",,"LAST","."&amp;E$2&amp;E$1&amp;"C"&amp;$A16)-100*RTD("tos.rtd",,"OPEN_INT","."&amp;E$2&amp;E$1&amp;"P"&amp;$A16)*RTD("tos.rtd",,"LAST","."&amp;E$2&amp;E$1&amp;"P"&amp;$A16))/1000000,0),IF($A$2="PREMIUM",IFERROR((100*RTD("tos.rtd",,"VOLUME","."&amp;E$2&amp;E$1&amp;"C"&amp;$A16)*RTD("tos.rtd",,"LAST","."&amp;E$2&amp;E$1&amp;"C"&amp;$A16)-100*RTD("tos.rtd",,"VOLUME","."&amp;E$2&amp;E$1&amp;"P"&amp;$A16)*RTD("tos.rtd",,"LAST","."&amp;E$2&amp;E$1&amp;"P"&amp;$A16))/1000000,0),IF($A$2="DEX",IFERROR((100*RTD("tos.rtd",,"OPEN_INT","."&amp;E$2&amp;E$1&amp;"C"&amp;$A16)*RTD("tos.rtd",,"DELTA","."&amp;E$2&amp;E$1&amp;"C"&amp;$A16)-100*RTD("tos.rtd",,"OPEN_INT","."&amp;E$2&amp;E$1&amp;"P"&amp;$A16)*RTD("tos.rtd",,"DELTA","."&amp;E$2&amp;E$1&amp;"P"&amp;$A16))/1000,0),IF($A$2="VEX",IFERROR(($A$4*$A$4*RTD("tos.rtd",,"VOLUME","."&amp;E$2&amp;E$1&amp;"C"&amp;$A16)*RTD("tos.rtd",,"GAMMA","."&amp;E$2&amp;E$1&amp;"C"&amp;$A16)-$A$4*$A$4*RTD("tos.rtd",,"VOLUME","."&amp;E$2&amp;E$1&amp;"P"&amp;$A16)*RTD("tos.rtd",,"GAMMA","."&amp;E$2&amp;E$1&amp;"P"&amp;$A16))/1000000,0),IF($A$2="GEX",IFERROR(($A$4*$A$4*RTD("tos.rtd",,"OPEN_INT","."&amp;E$2&amp;E$1&amp;"C"&amp;$A16)*RTD("tos.rtd",,"GAMMA","."&amp;E$2&amp;E$1&amp;"C"&amp;$A16)-$A$4*$A$4*RTD("tos.rtd",,"OPEN_INT","."&amp;E$2&amp;E$1&amp;"P"&amp;$A16)*RTD("tos.rtd",,"GAMMA","."&amp;E$2&amp;E$1&amp;"P"&amp;$A16))/1000000,0),IF($A$2="SKEW",IFERROR(VALUE(IF(RTD("tos.rtd",,"IMPL_VOL","."&amp;E$2&amp;E$1&amp;"P"&amp;$A16)="N/A",0,RTD("tos.rtd",,"IMPL_VOL","."&amp;E$2&amp;E$1&amp;"P"&amp;$A16))),0)-IFERROR(VALUE(IF(RTD("tos.rtd",,"IMPL_VOL","."&amp;E$2&amp;E$1&amp;"C"&amp;$A16)="N/A",0,RTD("tos.rtd",,"IMPL_VOL","."&amp;E$2&amp;E$1&amp;"C"&amp;$A16))),0),IF($A$2="MAXPAIN",IF($A$4&gt;$A16,($A$4-$A16)*IF(RTD("tos.rtd",,"OPEN_INT","."&amp;E$2&amp;E$1&amp;"C"&amp;$A16)="N/A",0,RTD("tos.rtd",,"OPEN_INT","."&amp;E$2&amp;E$1&amp;"C"&amp;$A16)),0)+IF($A$4&lt;$A16,($A16-$A$4)*IF(RTD("tos.rtd",,"OPEN_INT","."&amp;E$2&amp;E$1&amp;"P"&amp;$A16)="N/A",0,RTD("tos.rtd",,"OPEN_INT","."&amp;E$2&amp;E$1&amp;"P"&amp;$A16)),0),IF(RTD("tos.rtd",,$A$2,"."&amp;E$2&amp;E$1&amp;"C"&amp;$A16)="N/A",0,RTD("tos.rtd",,$A$2,"."&amp;E$2&amp;E$1&amp;"C"&amp;$A16))-IF(RTD("tos.rtd",,$A$2,"."&amp;E$2&amp;E$1&amp;"P"&amp;$A16)="N/A",0,RTD("tos.rtd",,$A$2,"."&amp;E$2&amp;E$1&amp;"P"&amp;$A16)))))))))</f>
        <v>0</v>
      </c>
      <c r="F16" s="12">
        <f>IF($A$2="PREMIUM_OI",IFERROR((100*RTD("tos.rtd",,"OPEN_INT","."&amp;F$2&amp;F$1&amp;"C"&amp;$A16)*RTD("tos.rtd",,"LAST","."&amp;F$2&amp;F$1&amp;"C"&amp;$A16)-100*RTD("tos.rtd",,"OPEN_INT","."&amp;F$2&amp;F$1&amp;"P"&amp;$A16)*RTD("tos.rtd",,"LAST","."&amp;F$2&amp;F$1&amp;"P"&amp;$A16))/1000000,0),IF($A$2="PREMIUM",IFERROR((100*RTD("tos.rtd",,"VOLUME","."&amp;F$2&amp;F$1&amp;"C"&amp;$A16)*RTD("tos.rtd",,"LAST","."&amp;F$2&amp;F$1&amp;"C"&amp;$A16)-100*RTD("tos.rtd",,"VOLUME","."&amp;F$2&amp;F$1&amp;"P"&amp;$A16)*RTD("tos.rtd",,"LAST","."&amp;F$2&amp;F$1&amp;"P"&amp;$A16))/1000000,0),IF($A$2="DEX",IFERROR((100*RTD("tos.rtd",,"OPEN_INT","."&amp;F$2&amp;F$1&amp;"C"&amp;$A16)*RTD("tos.rtd",,"DELTA","."&amp;F$2&amp;F$1&amp;"C"&amp;$A16)-100*RTD("tos.rtd",,"OPEN_INT","."&amp;F$2&amp;F$1&amp;"P"&amp;$A16)*RTD("tos.rtd",,"DELTA","."&amp;F$2&amp;F$1&amp;"P"&amp;$A16))/1000,0),IF($A$2="VEX",IFERROR(($A$4*$A$4*RTD("tos.rtd",,"VOLUME","."&amp;F$2&amp;F$1&amp;"C"&amp;$A16)*RTD("tos.rtd",,"GAMMA","."&amp;F$2&amp;F$1&amp;"C"&amp;$A16)-$A$4*$A$4*RTD("tos.rtd",,"VOLUME","."&amp;F$2&amp;F$1&amp;"P"&amp;$A16)*RTD("tos.rtd",,"GAMMA","."&amp;F$2&amp;F$1&amp;"P"&amp;$A16))/1000000,0),IF($A$2="GEX",IFERROR(($A$4*$A$4*RTD("tos.rtd",,"OPEN_INT","."&amp;F$2&amp;F$1&amp;"C"&amp;$A16)*RTD("tos.rtd",,"GAMMA","."&amp;F$2&amp;F$1&amp;"C"&amp;$A16)-$A$4*$A$4*RTD("tos.rtd",,"OPEN_INT","."&amp;F$2&amp;F$1&amp;"P"&amp;$A16)*RTD("tos.rtd",,"GAMMA","."&amp;F$2&amp;F$1&amp;"P"&amp;$A16))/1000000,0),IF($A$2="SKEW",IFERROR(VALUE(IF(RTD("tos.rtd",,"IMPL_VOL","."&amp;F$2&amp;F$1&amp;"P"&amp;$A16)="N/A",0,RTD("tos.rtd",,"IMPL_VOL","."&amp;F$2&amp;F$1&amp;"P"&amp;$A16))),0)-IFERROR(VALUE(IF(RTD("tos.rtd",,"IMPL_VOL","."&amp;F$2&amp;F$1&amp;"C"&amp;$A16)="N/A",0,RTD("tos.rtd",,"IMPL_VOL","."&amp;F$2&amp;F$1&amp;"C"&amp;$A16))),0),IF($A$2="MAXPAIN",IF($A$4&gt;$A16,($A$4-$A16)*IF(RTD("tos.rtd",,"OPEN_INT","."&amp;F$2&amp;F$1&amp;"C"&amp;$A16)="N/A",0,RTD("tos.rtd",,"OPEN_INT","."&amp;F$2&amp;F$1&amp;"C"&amp;$A16)),0)+IF($A$4&lt;$A16,($A16-$A$4)*IF(RTD("tos.rtd",,"OPEN_INT","."&amp;F$2&amp;F$1&amp;"P"&amp;$A16)="N/A",0,RTD("tos.rtd",,"OPEN_INT","."&amp;F$2&amp;F$1&amp;"P"&amp;$A16)),0),IF(RTD("tos.rtd",,$A$2,"."&amp;F$2&amp;F$1&amp;"C"&amp;$A16)="N/A",0,RTD("tos.rtd",,$A$2,"."&amp;F$2&amp;F$1&amp;"C"&amp;$A16))-IF(RTD("tos.rtd",,$A$2,"."&amp;F$2&amp;F$1&amp;"P"&amp;$A16)="N/A",0,RTD("tos.rtd",,$A$2,"."&amp;F$2&amp;F$1&amp;"P"&amp;$A16)))))))))</f>
        <v>0</v>
      </c>
      <c r="G16" s="14">
        <f>IF($A$2="PREMIUM_OI",IFERROR((100*RTD("tos.rtd",,"OPEN_INT","."&amp;G$2&amp;G$1&amp;"C"&amp;$A16)*RTD("tos.rtd",,"LAST","."&amp;G$2&amp;G$1&amp;"C"&amp;$A16)-100*RTD("tos.rtd",,"OPEN_INT","."&amp;G$2&amp;G$1&amp;"P"&amp;$A16)*RTD("tos.rtd",,"LAST","."&amp;G$2&amp;G$1&amp;"P"&amp;$A16))/1000000,0),IF($A$2="PREMIUM",IFERROR((100*RTD("tos.rtd",,"VOLUME","."&amp;G$2&amp;G$1&amp;"C"&amp;$A16)*RTD("tos.rtd",,"LAST","."&amp;G$2&amp;G$1&amp;"C"&amp;$A16)-100*RTD("tos.rtd",,"VOLUME","."&amp;G$2&amp;G$1&amp;"P"&amp;$A16)*RTD("tos.rtd",,"LAST","."&amp;G$2&amp;G$1&amp;"P"&amp;$A16))/1000000,0),IF($A$2="DEX",IFERROR((100*RTD("tos.rtd",,"OPEN_INT","."&amp;G$2&amp;G$1&amp;"C"&amp;$A16)*RTD("tos.rtd",,"DELTA","."&amp;G$2&amp;G$1&amp;"C"&amp;$A16)-100*RTD("tos.rtd",,"OPEN_INT","."&amp;G$2&amp;G$1&amp;"P"&amp;$A16)*RTD("tos.rtd",,"DELTA","."&amp;G$2&amp;G$1&amp;"P"&amp;$A16))/1000,0),IF($A$2="VEX",IFERROR(($A$4*$A$4*RTD("tos.rtd",,"VOLUME","."&amp;G$2&amp;G$1&amp;"C"&amp;$A16)*RTD("tos.rtd",,"GAMMA","."&amp;G$2&amp;G$1&amp;"C"&amp;$A16)-$A$4*$A$4*RTD("tos.rtd",,"VOLUME","."&amp;G$2&amp;G$1&amp;"P"&amp;$A16)*RTD("tos.rtd",,"GAMMA","."&amp;G$2&amp;G$1&amp;"P"&amp;$A16))/1000000,0),IF($A$2="GEX",IFERROR(($A$4*$A$4*RTD("tos.rtd",,"OPEN_INT","."&amp;G$2&amp;G$1&amp;"C"&amp;$A16)*RTD("tos.rtd",,"GAMMA","."&amp;G$2&amp;G$1&amp;"C"&amp;$A16)-$A$4*$A$4*RTD("tos.rtd",,"OPEN_INT","."&amp;G$2&amp;G$1&amp;"P"&amp;$A16)*RTD("tos.rtd",,"GAMMA","."&amp;G$2&amp;G$1&amp;"P"&amp;$A16))/1000000,0),IF($A$2="SKEW",IFERROR(VALUE(IF(RTD("tos.rtd",,"IMPL_VOL","."&amp;G$2&amp;G$1&amp;"P"&amp;$A16)="N/A",0,RTD("tos.rtd",,"IMPL_VOL","."&amp;G$2&amp;G$1&amp;"P"&amp;$A16))),0)-IFERROR(VALUE(IF(RTD("tos.rtd",,"IMPL_VOL","."&amp;G$2&amp;G$1&amp;"C"&amp;$A16)="N/A",0,RTD("tos.rtd",,"IMPL_VOL","."&amp;G$2&amp;G$1&amp;"C"&amp;$A16))),0),IF($A$2="MAXPAIN",IF($A$4&gt;$A16,($A$4-$A16)*IF(RTD("tos.rtd",,"OPEN_INT","."&amp;G$2&amp;G$1&amp;"C"&amp;$A16)="N/A",0,RTD("tos.rtd",,"OPEN_INT","."&amp;G$2&amp;G$1&amp;"C"&amp;$A16)),0)+IF($A$4&lt;$A16,($A16-$A$4)*IF(RTD("tos.rtd",,"OPEN_INT","."&amp;G$2&amp;G$1&amp;"P"&amp;$A16)="N/A",0,RTD("tos.rtd",,"OPEN_INT","."&amp;G$2&amp;G$1&amp;"P"&amp;$A16)),0),IF(RTD("tos.rtd",,$A$2,"."&amp;G$2&amp;G$1&amp;"C"&amp;$A16)="N/A",0,RTD("tos.rtd",,$A$2,"."&amp;G$2&amp;G$1&amp;"C"&amp;$A16))-IF(RTD("tos.rtd",,$A$2,"."&amp;G$2&amp;G$1&amp;"P"&amp;$A16)="N/A",0,RTD("tos.rtd",,$A$2,"."&amp;G$2&amp;G$1&amp;"P"&amp;$A16)))))))))</f>
        <v>0</v>
      </c>
      <c r="H16" s="12">
        <f>IF($A$2="PREMIUM_OI",IFERROR((100*RTD("tos.rtd",,"OPEN_INT","."&amp;H$2&amp;H$1&amp;"C"&amp;$A16)*RTD("tos.rtd",,"LAST","."&amp;H$2&amp;H$1&amp;"C"&amp;$A16)-100*RTD("tos.rtd",,"OPEN_INT","."&amp;H$2&amp;H$1&amp;"P"&amp;$A16)*RTD("tos.rtd",,"LAST","."&amp;H$2&amp;H$1&amp;"P"&amp;$A16))/1000000,0),IF($A$2="PREMIUM",IFERROR((100*RTD("tos.rtd",,"VOLUME","."&amp;H$2&amp;H$1&amp;"C"&amp;$A16)*RTD("tos.rtd",,"LAST","."&amp;H$2&amp;H$1&amp;"C"&amp;$A16)-100*RTD("tos.rtd",,"VOLUME","."&amp;H$2&amp;H$1&amp;"P"&amp;$A16)*RTD("tos.rtd",,"LAST","."&amp;H$2&amp;H$1&amp;"P"&amp;$A16))/1000000,0),IF($A$2="DEX",IFERROR((100*RTD("tos.rtd",,"OPEN_INT","."&amp;H$2&amp;H$1&amp;"C"&amp;$A16)*RTD("tos.rtd",,"DELTA","."&amp;H$2&amp;H$1&amp;"C"&amp;$A16)-100*RTD("tos.rtd",,"OPEN_INT","."&amp;H$2&amp;H$1&amp;"P"&amp;$A16)*RTD("tos.rtd",,"DELTA","."&amp;H$2&amp;H$1&amp;"P"&amp;$A16))/1000,0),IF($A$2="VEX",IFERROR(($A$4*$A$4*RTD("tos.rtd",,"VOLUME","."&amp;H$2&amp;H$1&amp;"C"&amp;$A16)*RTD("tos.rtd",,"GAMMA","."&amp;H$2&amp;H$1&amp;"C"&amp;$A16)-$A$4*$A$4*RTD("tos.rtd",,"VOLUME","."&amp;H$2&amp;H$1&amp;"P"&amp;$A16)*RTD("tos.rtd",,"GAMMA","."&amp;H$2&amp;H$1&amp;"P"&amp;$A16))/1000000,0),IF($A$2="GEX",IFERROR(($A$4*$A$4*RTD("tos.rtd",,"OPEN_INT","."&amp;H$2&amp;H$1&amp;"C"&amp;$A16)*RTD("tos.rtd",,"GAMMA","."&amp;H$2&amp;H$1&amp;"C"&amp;$A16)-$A$4*$A$4*RTD("tos.rtd",,"OPEN_INT","."&amp;H$2&amp;H$1&amp;"P"&amp;$A16)*RTD("tos.rtd",,"GAMMA","."&amp;H$2&amp;H$1&amp;"P"&amp;$A16))/1000000,0),IF($A$2="SKEW",IFERROR(VALUE(IF(RTD("tos.rtd",,"IMPL_VOL","."&amp;H$2&amp;H$1&amp;"P"&amp;$A16)="N/A",0,RTD("tos.rtd",,"IMPL_VOL","."&amp;H$2&amp;H$1&amp;"P"&amp;$A16))),0)-IFERROR(VALUE(IF(RTD("tos.rtd",,"IMPL_VOL","."&amp;H$2&amp;H$1&amp;"C"&amp;$A16)="N/A",0,RTD("tos.rtd",,"IMPL_VOL","."&amp;H$2&amp;H$1&amp;"C"&amp;$A16))),0),IF($A$2="MAXPAIN",IF($A$4&gt;$A16,($A$4-$A16)*IF(RTD("tos.rtd",,"OPEN_INT","."&amp;H$2&amp;H$1&amp;"C"&amp;$A16)="N/A",0,RTD("tos.rtd",,"OPEN_INT","."&amp;H$2&amp;H$1&amp;"C"&amp;$A16)),0)+IF($A$4&lt;$A16,($A16-$A$4)*IF(RTD("tos.rtd",,"OPEN_INT","."&amp;H$2&amp;H$1&amp;"P"&amp;$A16)="N/A",0,RTD("tos.rtd",,"OPEN_INT","."&amp;H$2&amp;H$1&amp;"P"&amp;$A16)),0),IF(RTD("tos.rtd",,$A$2,"."&amp;H$2&amp;H$1&amp;"C"&amp;$A16)="N/A",0,RTD("tos.rtd",,$A$2,"."&amp;H$2&amp;H$1&amp;"C"&amp;$A16))-IF(RTD("tos.rtd",,$A$2,"."&amp;H$2&amp;H$1&amp;"P"&amp;$A16)="N/A",0,RTD("tos.rtd",,$A$2,"."&amp;H$2&amp;H$1&amp;"P"&amp;$A16)))))))))</f>
        <v>2999</v>
      </c>
      <c r="I16" s="12">
        <f>IF($A$2="PREMIUM_OI",IFERROR((100*RTD("tos.rtd",,"OPEN_INT","."&amp;I$2&amp;I$1&amp;"C"&amp;$A16)*RTD("tos.rtd",,"LAST","."&amp;I$2&amp;I$1&amp;"C"&amp;$A16)-100*RTD("tos.rtd",,"OPEN_INT","."&amp;I$2&amp;I$1&amp;"P"&amp;$A16)*RTD("tos.rtd",,"LAST","."&amp;I$2&amp;I$1&amp;"P"&amp;$A16))/1000000,0),IF($A$2="PREMIUM",IFERROR((100*RTD("tos.rtd",,"VOLUME","."&amp;I$2&amp;I$1&amp;"C"&amp;$A16)*RTD("tos.rtd",,"LAST","."&amp;I$2&amp;I$1&amp;"C"&amp;$A16)-100*RTD("tos.rtd",,"VOLUME","."&amp;I$2&amp;I$1&amp;"P"&amp;$A16)*RTD("tos.rtd",,"LAST","."&amp;I$2&amp;I$1&amp;"P"&amp;$A16))/1000000,0),IF($A$2="DEX",IFERROR((100*RTD("tos.rtd",,"OPEN_INT","."&amp;I$2&amp;I$1&amp;"C"&amp;$A16)*RTD("tos.rtd",,"DELTA","."&amp;I$2&amp;I$1&amp;"C"&amp;$A16)-100*RTD("tos.rtd",,"OPEN_INT","."&amp;I$2&amp;I$1&amp;"P"&amp;$A16)*RTD("tos.rtd",,"DELTA","."&amp;I$2&amp;I$1&amp;"P"&amp;$A16))/1000,0),IF($A$2="VEX",IFERROR(($A$4*$A$4*RTD("tos.rtd",,"VOLUME","."&amp;I$2&amp;I$1&amp;"C"&amp;$A16)*RTD("tos.rtd",,"GAMMA","."&amp;I$2&amp;I$1&amp;"C"&amp;$A16)-$A$4*$A$4*RTD("tos.rtd",,"VOLUME","."&amp;I$2&amp;I$1&amp;"P"&amp;$A16)*RTD("tos.rtd",,"GAMMA","."&amp;I$2&amp;I$1&amp;"P"&amp;$A16))/1000000,0),IF($A$2="GEX",IFERROR(($A$4*$A$4*RTD("tos.rtd",,"OPEN_INT","."&amp;I$2&amp;I$1&amp;"C"&amp;$A16)*RTD("tos.rtd",,"GAMMA","."&amp;I$2&amp;I$1&amp;"C"&amp;$A16)-$A$4*$A$4*RTD("tos.rtd",,"OPEN_INT","."&amp;I$2&amp;I$1&amp;"P"&amp;$A16)*RTD("tos.rtd",,"GAMMA","."&amp;I$2&amp;I$1&amp;"P"&amp;$A16))/1000000,0),IF($A$2="SKEW",IFERROR(VALUE(IF(RTD("tos.rtd",,"IMPL_VOL","."&amp;I$2&amp;I$1&amp;"P"&amp;$A16)="N/A",0,RTD("tos.rtd",,"IMPL_VOL","."&amp;I$2&amp;I$1&amp;"P"&amp;$A16))),0)-IFERROR(VALUE(IF(RTD("tos.rtd",,"IMPL_VOL","."&amp;I$2&amp;I$1&amp;"C"&amp;$A16)="N/A",0,RTD("tos.rtd",,"IMPL_VOL","."&amp;I$2&amp;I$1&amp;"C"&amp;$A16))),0),IF($A$2="MAXPAIN",IF($A$4&gt;$A16,($A$4-$A16)*IF(RTD("tos.rtd",,"OPEN_INT","."&amp;I$2&amp;I$1&amp;"C"&amp;$A16)="N/A",0,RTD("tos.rtd",,"OPEN_INT","."&amp;I$2&amp;I$1&amp;"C"&amp;$A16)),0)+IF($A$4&lt;$A16,($A16-$A$4)*IF(RTD("tos.rtd",,"OPEN_INT","."&amp;I$2&amp;I$1&amp;"P"&amp;$A16)="N/A",0,RTD("tos.rtd",,"OPEN_INT","."&amp;I$2&amp;I$1&amp;"P"&amp;$A16)),0),IF(RTD("tos.rtd",,$A$2,"."&amp;I$2&amp;I$1&amp;"C"&amp;$A16)="N/A",0,RTD("tos.rtd",,$A$2,"."&amp;I$2&amp;I$1&amp;"C"&amp;$A16))-IF(RTD("tos.rtd",,$A$2,"."&amp;I$2&amp;I$1&amp;"P"&amp;$A16)="N/A",0,RTD("tos.rtd",,$A$2,"."&amp;I$2&amp;I$1&amp;"P"&amp;$A16)))))))))</f>
        <v>0</v>
      </c>
      <c r="J16" s="12">
        <f>IF($A$2="PREMIUM_OI",IFERROR((100*RTD("tos.rtd",,"OPEN_INT","."&amp;J$2&amp;J$1&amp;"C"&amp;$A16)*RTD("tos.rtd",,"LAST","."&amp;J$2&amp;J$1&amp;"C"&amp;$A16)-100*RTD("tos.rtd",,"OPEN_INT","."&amp;J$2&amp;J$1&amp;"P"&amp;$A16)*RTD("tos.rtd",,"LAST","."&amp;J$2&amp;J$1&amp;"P"&amp;$A16))/1000000,0),IF($A$2="PREMIUM",IFERROR((100*RTD("tos.rtd",,"VOLUME","."&amp;J$2&amp;J$1&amp;"C"&amp;$A16)*RTD("tos.rtd",,"LAST","."&amp;J$2&amp;J$1&amp;"C"&amp;$A16)-100*RTD("tos.rtd",,"VOLUME","."&amp;J$2&amp;J$1&amp;"P"&amp;$A16)*RTD("tos.rtd",,"LAST","."&amp;J$2&amp;J$1&amp;"P"&amp;$A16))/1000000,0),IF($A$2="DEX",IFERROR((100*RTD("tos.rtd",,"OPEN_INT","."&amp;J$2&amp;J$1&amp;"C"&amp;$A16)*RTD("tos.rtd",,"DELTA","."&amp;J$2&amp;J$1&amp;"C"&amp;$A16)-100*RTD("tos.rtd",,"OPEN_INT","."&amp;J$2&amp;J$1&amp;"P"&amp;$A16)*RTD("tos.rtd",,"DELTA","."&amp;J$2&amp;J$1&amp;"P"&amp;$A16))/1000,0),IF($A$2="VEX",IFERROR(($A$4*$A$4*RTD("tos.rtd",,"VOLUME","."&amp;J$2&amp;J$1&amp;"C"&amp;$A16)*RTD("tos.rtd",,"GAMMA","."&amp;J$2&amp;J$1&amp;"C"&amp;$A16)-$A$4*$A$4*RTD("tos.rtd",,"VOLUME","."&amp;J$2&amp;J$1&amp;"P"&amp;$A16)*RTD("tos.rtd",,"GAMMA","."&amp;J$2&amp;J$1&amp;"P"&amp;$A16))/1000000,0),IF($A$2="GEX",IFERROR(($A$4*$A$4*RTD("tos.rtd",,"OPEN_INT","."&amp;J$2&amp;J$1&amp;"C"&amp;$A16)*RTD("tos.rtd",,"GAMMA","."&amp;J$2&amp;J$1&amp;"C"&amp;$A16)-$A$4*$A$4*RTD("tos.rtd",,"OPEN_INT","."&amp;J$2&amp;J$1&amp;"P"&amp;$A16)*RTD("tos.rtd",,"GAMMA","."&amp;J$2&amp;J$1&amp;"P"&amp;$A16))/1000000,0),IF($A$2="SKEW",IFERROR(VALUE(IF(RTD("tos.rtd",,"IMPL_VOL","."&amp;J$2&amp;J$1&amp;"P"&amp;$A16)="N/A",0,RTD("tos.rtd",,"IMPL_VOL","."&amp;J$2&amp;J$1&amp;"P"&amp;$A16))),0)-IFERROR(VALUE(IF(RTD("tos.rtd",,"IMPL_VOL","."&amp;J$2&amp;J$1&amp;"C"&amp;$A16)="N/A",0,RTD("tos.rtd",,"IMPL_VOL","."&amp;J$2&amp;J$1&amp;"C"&amp;$A16))),0),IF($A$2="MAXPAIN",IF($A$4&gt;$A16,($A$4-$A16)*IF(RTD("tos.rtd",,"OPEN_INT","."&amp;J$2&amp;J$1&amp;"C"&amp;$A16)="N/A",0,RTD("tos.rtd",,"OPEN_INT","."&amp;J$2&amp;J$1&amp;"C"&amp;$A16)),0)+IF($A$4&lt;$A16,($A16-$A$4)*IF(RTD("tos.rtd",,"OPEN_INT","."&amp;J$2&amp;J$1&amp;"P"&amp;$A16)="N/A",0,RTD("tos.rtd",,"OPEN_INT","."&amp;J$2&amp;J$1&amp;"P"&amp;$A16)),0),IF(RTD("tos.rtd",,$A$2,"."&amp;J$2&amp;J$1&amp;"C"&amp;$A16)="N/A",0,RTD("tos.rtd",,$A$2,"."&amp;J$2&amp;J$1&amp;"C"&amp;$A16))-IF(RTD("tos.rtd",,$A$2,"."&amp;J$2&amp;J$1&amp;"P"&amp;$A16)="N/A",0,RTD("tos.rtd",,$A$2,"."&amp;J$2&amp;J$1&amp;"P"&amp;$A16)))))))))</f>
        <v>0</v>
      </c>
      <c r="K16" s="12">
        <f>IF($A$2="PREMIUM_OI",IFERROR((100*RTD("tos.rtd",,"OPEN_INT","."&amp;K$2&amp;K$1&amp;"C"&amp;$A16)*RTD("tos.rtd",,"LAST","."&amp;K$2&amp;K$1&amp;"C"&amp;$A16)-100*RTD("tos.rtd",,"OPEN_INT","."&amp;K$2&amp;K$1&amp;"P"&amp;$A16)*RTD("tos.rtd",,"LAST","."&amp;K$2&amp;K$1&amp;"P"&amp;$A16))/1000000,0),IF($A$2="PREMIUM",IFERROR((100*RTD("tos.rtd",,"VOLUME","."&amp;K$2&amp;K$1&amp;"C"&amp;$A16)*RTD("tos.rtd",,"LAST","."&amp;K$2&amp;K$1&amp;"C"&amp;$A16)-100*RTD("tos.rtd",,"VOLUME","."&amp;K$2&amp;K$1&amp;"P"&amp;$A16)*RTD("tos.rtd",,"LAST","."&amp;K$2&amp;K$1&amp;"P"&amp;$A16))/1000000,0),IF($A$2="DEX",IFERROR((100*RTD("tos.rtd",,"OPEN_INT","."&amp;K$2&amp;K$1&amp;"C"&amp;$A16)*RTD("tos.rtd",,"DELTA","."&amp;K$2&amp;K$1&amp;"C"&amp;$A16)-100*RTD("tos.rtd",,"OPEN_INT","."&amp;K$2&amp;K$1&amp;"P"&amp;$A16)*RTD("tos.rtd",,"DELTA","."&amp;K$2&amp;K$1&amp;"P"&amp;$A16))/1000,0),IF($A$2="VEX",IFERROR(($A$4*$A$4*RTD("tos.rtd",,"VOLUME","."&amp;K$2&amp;K$1&amp;"C"&amp;$A16)*RTD("tos.rtd",,"GAMMA","."&amp;K$2&amp;K$1&amp;"C"&amp;$A16)-$A$4*$A$4*RTD("tos.rtd",,"VOLUME","."&amp;K$2&amp;K$1&amp;"P"&amp;$A16)*RTD("tos.rtd",,"GAMMA","."&amp;K$2&amp;K$1&amp;"P"&amp;$A16))/1000000,0),IF($A$2="GEX",IFERROR(($A$4*$A$4*RTD("tos.rtd",,"OPEN_INT","."&amp;K$2&amp;K$1&amp;"C"&amp;$A16)*RTD("tos.rtd",,"GAMMA","."&amp;K$2&amp;K$1&amp;"C"&amp;$A16)-$A$4*$A$4*RTD("tos.rtd",,"OPEN_INT","."&amp;K$2&amp;K$1&amp;"P"&amp;$A16)*RTD("tos.rtd",,"GAMMA","."&amp;K$2&amp;K$1&amp;"P"&amp;$A16))/1000000,0),IF($A$2="SKEW",IFERROR(VALUE(IF(RTD("tos.rtd",,"IMPL_VOL","."&amp;K$2&amp;K$1&amp;"P"&amp;$A16)="N/A",0,RTD("tos.rtd",,"IMPL_VOL","."&amp;K$2&amp;K$1&amp;"P"&amp;$A16))),0)-IFERROR(VALUE(IF(RTD("tos.rtd",,"IMPL_VOL","."&amp;K$2&amp;K$1&amp;"C"&amp;$A16)="N/A",0,RTD("tos.rtd",,"IMPL_VOL","."&amp;K$2&amp;K$1&amp;"C"&amp;$A16))),0),IF($A$2="MAXPAIN",IF($A$4&gt;$A16,($A$4-$A16)*IF(RTD("tos.rtd",,"OPEN_INT","."&amp;K$2&amp;K$1&amp;"C"&amp;$A16)="N/A",0,RTD("tos.rtd",,"OPEN_INT","."&amp;K$2&amp;K$1&amp;"C"&amp;$A16)),0)+IF($A$4&lt;$A16,($A16-$A$4)*IF(RTD("tos.rtd",,"OPEN_INT","."&amp;K$2&amp;K$1&amp;"P"&amp;$A16)="N/A",0,RTD("tos.rtd",,"OPEN_INT","."&amp;K$2&amp;K$1&amp;"P"&amp;$A16)),0),IF(RTD("tos.rtd",,$A$2,"."&amp;K$2&amp;K$1&amp;"C"&amp;$A16)="N/A",0,RTD("tos.rtd",,$A$2,"."&amp;K$2&amp;K$1&amp;"C"&amp;$A16))-IF(RTD("tos.rtd",,$A$2,"."&amp;K$2&amp;K$1&amp;"P"&amp;$A16)="N/A",0,RTD("tos.rtd",,$A$2,"."&amp;K$2&amp;K$1&amp;"P"&amp;$A16)))))))))</f>
        <v>0</v>
      </c>
      <c r="L16" s="12">
        <f>IF($A$2="PREMIUM_OI",IFERROR((100*RTD("tos.rtd",,"OPEN_INT","."&amp;L$2&amp;L$1&amp;"C"&amp;$A16)*RTD("tos.rtd",,"LAST","."&amp;L$2&amp;L$1&amp;"C"&amp;$A16)-100*RTD("tos.rtd",,"OPEN_INT","."&amp;L$2&amp;L$1&amp;"P"&amp;$A16)*RTD("tos.rtd",,"LAST","."&amp;L$2&amp;L$1&amp;"P"&amp;$A16))/1000000,0),IF($A$2="PREMIUM",IFERROR((100*RTD("tos.rtd",,"VOLUME","."&amp;L$2&amp;L$1&amp;"C"&amp;$A16)*RTD("tos.rtd",,"LAST","."&amp;L$2&amp;L$1&amp;"C"&amp;$A16)-100*RTD("tos.rtd",,"VOLUME","."&amp;L$2&amp;L$1&amp;"P"&amp;$A16)*RTD("tos.rtd",,"LAST","."&amp;L$2&amp;L$1&amp;"P"&amp;$A16))/1000000,0),IF($A$2="DEX",IFERROR((100*RTD("tos.rtd",,"OPEN_INT","."&amp;L$2&amp;L$1&amp;"C"&amp;$A16)*RTD("tos.rtd",,"DELTA","."&amp;L$2&amp;L$1&amp;"C"&amp;$A16)-100*RTD("tos.rtd",,"OPEN_INT","."&amp;L$2&amp;L$1&amp;"P"&amp;$A16)*RTD("tos.rtd",,"DELTA","."&amp;L$2&amp;L$1&amp;"P"&amp;$A16))/1000,0),IF($A$2="VEX",IFERROR(($A$4*$A$4*RTD("tos.rtd",,"VOLUME","."&amp;L$2&amp;L$1&amp;"C"&amp;$A16)*RTD("tos.rtd",,"GAMMA","."&amp;L$2&amp;L$1&amp;"C"&amp;$A16)-$A$4*$A$4*RTD("tos.rtd",,"VOLUME","."&amp;L$2&amp;L$1&amp;"P"&amp;$A16)*RTD("tos.rtd",,"GAMMA","."&amp;L$2&amp;L$1&amp;"P"&amp;$A16))/1000000,0),IF($A$2="GEX",IFERROR(($A$4*$A$4*RTD("tos.rtd",,"OPEN_INT","."&amp;L$2&amp;L$1&amp;"C"&amp;$A16)*RTD("tos.rtd",,"GAMMA","."&amp;L$2&amp;L$1&amp;"C"&amp;$A16)-$A$4*$A$4*RTD("tos.rtd",,"OPEN_INT","."&amp;L$2&amp;L$1&amp;"P"&amp;$A16)*RTD("tos.rtd",,"GAMMA","."&amp;L$2&amp;L$1&amp;"P"&amp;$A16))/1000000,0),IF($A$2="SKEW",IFERROR(VALUE(IF(RTD("tos.rtd",,"IMPL_VOL","."&amp;L$2&amp;L$1&amp;"P"&amp;$A16)="N/A",0,RTD("tos.rtd",,"IMPL_VOL","."&amp;L$2&amp;L$1&amp;"P"&amp;$A16))),0)-IFERROR(VALUE(IF(RTD("tos.rtd",,"IMPL_VOL","."&amp;L$2&amp;L$1&amp;"C"&amp;$A16)="N/A",0,RTD("tos.rtd",,"IMPL_VOL","."&amp;L$2&amp;L$1&amp;"C"&amp;$A16))),0),IF($A$2="MAXPAIN",IF($A$4&gt;$A16,($A$4-$A16)*IF(RTD("tos.rtd",,"OPEN_INT","."&amp;L$2&amp;L$1&amp;"C"&amp;$A16)="N/A",0,RTD("tos.rtd",,"OPEN_INT","."&amp;L$2&amp;L$1&amp;"C"&amp;$A16)),0)+IF($A$4&lt;$A16,($A16-$A$4)*IF(RTD("tos.rtd",,"OPEN_INT","."&amp;L$2&amp;L$1&amp;"P"&amp;$A16)="N/A",0,RTD("tos.rtd",,"OPEN_INT","."&amp;L$2&amp;L$1&amp;"P"&amp;$A16)),0),IF(RTD("tos.rtd",,$A$2,"."&amp;L$2&amp;L$1&amp;"C"&amp;$A16)="N/A",0,RTD("tos.rtd",,$A$2,"."&amp;L$2&amp;L$1&amp;"C"&amp;$A16))-IF(RTD("tos.rtd",,$A$2,"."&amp;L$2&amp;L$1&amp;"P"&amp;$A16)="N/A",0,RTD("tos.rtd",,$A$2,"."&amp;L$2&amp;L$1&amp;"P"&amp;$A16)))))))))</f>
        <v>0</v>
      </c>
      <c r="M16" s="12">
        <f>IF($A$2="PREMIUM_OI",IFERROR((100*RTD("tos.rtd",,"OPEN_INT","."&amp;M$2&amp;M$1&amp;"C"&amp;$A16)*RTD("tos.rtd",,"LAST","."&amp;M$2&amp;M$1&amp;"C"&amp;$A16)-100*RTD("tos.rtd",,"OPEN_INT","."&amp;M$2&amp;M$1&amp;"P"&amp;$A16)*RTD("tos.rtd",,"LAST","."&amp;M$2&amp;M$1&amp;"P"&amp;$A16))/1000000,0),IF($A$2="PREMIUM",IFERROR((100*RTD("tos.rtd",,"VOLUME","."&amp;M$2&amp;M$1&amp;"C"&amp;$A16)*RTD("tos.rtd",,"LAST","."&amp;M$2&amp;M$1&amp;"C"&amp;$A16)-100*RTD("tos.rtd",,"VOLUME","."&amp;M$2&amp;M$1&amp;"P"&amp;$A16)*RTD("tos.rtd",,"LAST","."&amp;M$2&amp;M$1&amp;"P"&amp;$A16))/1000000,0),IF($A$2="DEX",IFERROR((100*RTD("tos.rtd",,"OPEN_INT","."&amp;M$2&amp;M$1&amp;"C"&amp;$A16)*RTD("tos.rtd",,"DELTA","."&amp;M$2&amp;M$1&amp;"C"&amp;$A16)-100*RTD("tos.rtd",,"OPEN_INT","."&amp;M$2&amp;M$1&amp;"P"&amp;$A16)*RTD("tos.rtd",,"DELTA","."&amp;M$2&amp;M$1&amp;"P"&amp;$A16))/1000,0),IF($A$2="VEX",IFERROR(($A$4*$A$4*RTD("tos.rtd",,"VOLUME","."&amp;M$2&amp;M$1&amp;"C"&amp;$A16)*RTD("tos.rtd",,"GAMMA","."&amp;M$2&amp;M$1&amp;"C"&amp;$A16)-$A$4*$A$4*RTD("tos.rtd",,"VOLUME","."&amp;M$2&amp;M$1&amp;"P"&amp;$A16)*RTD("tos.rtd",,"GAMMA","."&amp;M$2&amp;M$1&amp;"P"&amp;$A16))/1000000,0),IF($A$2="GEX",IFERROR(($A$4*$A$4*RTD("tos.rtd",,"OPEN_INT","."&amp;M$2&amp;M$1&amp;"C"&amp;$A16)*RTD("tos.rtd",,"GAMMA","."&amp;M$2&amp;M$1&amp;"C"&amp;$A16)-$A$4*$A$4*RTD("tos.rtd",,"OPEN_INT","."&amp;M$2&amp;M$1&amp;"P"&amp;$A16)*RTD("tos.rtd",,"GAMMA","."&amp;M$2&amp;M$1&amp;"P"&amp;$A16))/1000000,0),IF($A$2="SKEW",IFERROR(VALUE(IF(RTD("tos.rtd",,"IMPL_VOL","."&amp;M$2&amp;M$1&amp;"P"&amp;$A16)="N/A",0,RTD("tos.rtd",,"IMPL_VOL","."&amp;M$2&amp;M$1&amp;"P"&amp;$A16))),0)-IFERROR(VALUE(IF(RTD("tos.rtd",,"IMPL_VOL","."&amp;M$2&amp;M$1&amp;"C"&amp;$A16)="N/A",0,RTD("tos.rtd",,"IMPL_VOL","."&amp;M$2&amp;M$1&amp;"C"&amp;$A16))),0),IF($A$2="MAXPAIN",IF($A$4&gt;$A16,($A$4-$A16)*IF(RTD("tos.rtd",,"OPEN_INT","."&amp;M$2&amp;M$1&amp;"C"&amp;$A16)="N/A",0,RTD("tos.rtd",,"OPEN_INT","."&amp;M$2&amp;M$1&amp;"C"&amp;$A16)),0)+IF($A$4&lt;$A16,($A16-$A$4)*IF(RTD("tos.rtd",,"OPEN_INT","."&amp;M$2&amp;M$1&amp;"P"&amp;$A16)="N/A",0,RTD("tos.rtd",,"OPEN_INT","."&amp;M$2&amp;M$1&amp;"P"&amp;$A16)),0),IF(RTD("tos.rtd",,$A$2,"."&amp;M$2&amp;M$1&amp;"C"&amp;$A16)="N/A",0,RTD("tos.rtd",,$A$2,"."&amp;M$2&amp;M$1&amp;"C"&amp;$A16))-IF(RTD("tos.rtd",,$A$2,"."&amp;M$2&amp;M$1&amp;"P"&amp;$A16)="N/A",0,RTD("tos.rtd",,$A$2,"."&amp;M$2&amp;M$1&amp;"P"&amp;$A16)))))))))</f>
        <v>612</v>
      </c>
      <c r="N16" s="12">
        <f>IF($A$2="PREMIUM_OI",IFERROR((100*RTD("tos.rtd",,"OPEN_INT","."&amp;N$2&amp;N$1&amp;"C"&amp;$A16)*RTD("tos.rtd",,"LAST","."&amp;N$2&amp;N$1&amp;"C"&amp;$A16)-100*RTD("tos.rtd",,"OPEN_INT","."&amp;N$2&amp;N$1&amp;"P"&amp;$A16)*RTD("tos.rtd",,"LAST","."&amp;N$2&amp;N$1&amp;"P"&amp;$A16))/1000000,0),IF($A$2="PREMIUM",IFERROR((100*RTD("tos.rtd",,"VOLUME","."&amp;N$2&amp;N$1&amp;"C"&amp;$A16)*RTD("tos.rtd",,"LAST","."&amp;N$2&amp;N$1&amp;"C"&amp;$A16)-100*RTD("tos.rtd",,"VOLUME","."&amp;N$2&amp;N$1&amp;"P"&amp;$A16)*RTD("tos.rtd",,"LAST","."&amp;N$2&amp;N$1&amp;"P"&amp;$A16))/1000000,0),IF($A$2="DEX",IFERROR((100*RTD("tos.rtd",,"OPEN_INT","."&amp;N$2&amp;N$1&amp;"C"&amp;$A16)*RTD("tos.rtd",,"DELTA","."&amp;N$2&amp;N$1&amp;"C"&amp;$A16)-100*RTD("tos.rtd",,"OPEN_INT","."&amp;N$2&amp;N$1&amp;"P"&amp;$A16)*RTD("tos.rtd",,"DELTA","."&amp;N$2&amp;N$1&amp;"P"&amp;$A16))/1000,0),IF($A$2="VEX",IFERROR(($A$4*$A$4*RTD("tos.rtd",,"VOLUME","."&amp;N$2&amp;N$1&amp;"C"&amp;$A16)*RTD("tos.rtd",,"GAMMA","."&amp;N$2&amp;N$1&amp;"C"&amp;$A16)-$A$4*$A$4*RTD("tos.rtd",,"VOLUME","."&amp;N$2&amp;N$1&amp;"P"&amp;$A16)*RTD("tos.rtd",,"GAMMA","."&amp;N$2&amp;N$1&amp;"P"&amp;$A16))/1000000,0),IF($A$2="GEX",IFERROR(($A$4*$A$4*RTD("tos.rtd",,"OPEN_INT","."&amp;N$2&amp;N$1&amp;"C"&amp;$A16)*RTD("tos.rtd",,"GAMMA","."&amp;N$2&amp;N$1&amp;"C"&amp;$A16)-$A$4*$A$4*RTD("tos.rtd",,"OPEN_INT","."&amp;N$2&amp;N$1&amp;"P"&amp;$A16)*RTD("tos.rtd",,"GAMMA","."&amp;N$2&amp;N$1&amp;"P"&amp;$A16))/1000000,0),IF($A$2="SKEW",IFERROR(VALUE(IF(RTD("tos.rtd",,"IMPL_VOL","."&amp;N$2&amp;N$1&amp;"P"&amp;$A16)="N/A",0,RTD("tos.rtd",,"IMPL_VOL","."&amp;N$2&amp;N$1&amp;"P"&amp;$A16))),0)-IFERROR(VALUE(IF(RTD("tos.rtd",,"IMPL_VOL","."&amp;N$2&amp;N$1&amp;"C"&amp;$A16)="N/A",0,RTD("tos.rtd",,"IMPL_VOL","."&amp;N$2&amp;N$1&amp;"C"&amp;$A16))),0),IF($A$2="MAXPAIN",IF($A$4&gt;$A16,($A$4-$A16)*IF(RTD("tos.rtd",,"OPEN_INT","."&amp;N$2&amp;N$1&amp;"C"&amp;$A16)="N/A",0,RTD("tos.rtd",,"OPEN_INT","."&amp;N$2&amp;N$1&amp;"C"&amp;$A16)),0)+IF($A$4&lt;$A16,($A16-$A$4)*IF(RTD("tos.rtd",,"OPEN_INT","."&amp;N$2&amp;N$1&amp;"P"&amp;$A16)="N/A",0,RTD("tos.rtd",,"OPEN_INT","."&amp;N$2&amp;N$1&amp;"P"&amp;$A16)),0),IF(RTD("tos.rtd",,$A$2,"."&amp;N$2&amp;N$1&amp;"C"&amp;$A16)="N/A",0,RTD("tos.rtd",,$A$2,"."&amp;N$2&amp;N$1&amp;"C"&amp;$A16))-IF(RTD("tos.rtd",,$A$2,"."&amp;N$2&amp;N$1&amp;"P"&amp;$A16)="N/A",0,RTD("tos.rtd",,$A$2,"."&amp;N$2&amp;N$1&amp;"P"&amp;$A16)))))))))</f>
        <v>0</v>
      </c>
      <c r="O16" s="12">
        <f>IF($A$2="PREMIUM_OI",IFERROR((100*RTD("tos.rtd",,"OPEN_INT","."&amp;O$2&amp;O$1&amp;"C"&amp;$A16)*RTD("tos.rtd",,"LAST","."&amp;O$2&amp;O$1&amp;"C"&amp;$A16)-100*RTD("tos.rtd",,"OPEN_INT","."&amp;O$2&amp;O$1&amp;"P"&amp;$A16)*RTD("tos.rtd",,"LAST","."&amp;O$2&amp;O$1&amp;"P"&amp;$A16))/1000000,0),IF($A$2="PREMIUM",IFERROR((100*RTD("tos.rtd",,"VOLUME","."&amp;O$2&amp;O$1&amp;"C"&amp;$A16)*RTD("tos.rtd",,"LAST","."&amp;O$2&amp;O$1&amp;"C"&amp;$A16)-100*RTD("tos.rtd",,"VOLUME","."&amp;O$2&amp;O$1&amp;"P"&amp;$A16)*RTD("tos.rtd",,"LAST","."&amp;O$2&amp;O$1&amp;"P"&amp;$A16))/1000000,0),IF($A$2="DEX",IFERROR((100*RTD("tos.rtd",,"OPEN_INT","."&amp;O$2&amp;O$1&amp;"C"&amp;$A16)*RTD("tos.rtd",,"DELTA","."&amp;O$2&amp;O$1&amp;"C"&amp;$A16)-100*RTD("tos.rtd",,"OPEN_INT","."&amp;O$2&amp;O$1&amp;"P"&amp;$A16)*RTD("tos.rtd",,"DELTA","."&amp;O$2&amp;O$1&amp;"P"&amp;$A16))/1000,0),IF($A$2="VEX",IFERROR(($A$4*$A$4*RTD("tos.rtd",,"VOLUME","."&amp;O$2&amp;O$1&amp;"C"&amp;$A16)*RTD("tos.rtd",,"GAMMA","."&amp;O$2&amp;O$1&amp;"C"&amp;$A16)-$A$4*$A$4*RTD("tos.rtd",,"VOLUME","."&amp;O$2&amp;O$1&amp;"P"&amp;$A16)*RTD("tos.rtd",,"GAMMA","."&amp;O$2&amp;O$1&amp;"P"&amp;$A16))/1000000,0),IF($A$2="GEX",IFERROR(($A$4*$A$4*RTD("tos.rtd",,"OPEN_INT","."&amp;O$2&amp;O$1&amp;"C"&amp;$A16)*RTD("tos.rtd",,"GAMMA","."&amp;O$2&amp;O$1&amp;"C"&amp;$A16)-$A$4*$A$4*RTD("tos.rtd",,"OPEN_INT","."&amp;O$2&amp;O$1&amp;"P"&amp;$A16)*RTD("tos.rtd",,"GAMMA","."&amp;O$2&amp;O$1&amp;"P"&amp;$A16))/1000000,0),IF($A$2="SKEW",IFERROR(VALUE(IF(RTD("tos.rtd",,"IMPL_VOL","."&amp;O$2&amp;O$1&amp;"P"&amp;$A16)="N/A",0,RTD("tos.rtd",,"IMPL_VOL","."&amp;O$2&amp;O$1&amp;"P"&amp;$A16))),0)-IFERROR(VALUE(IF(RTD("tos.rtd",,"IMPL_VOL","."&amp;O$2&amp;O$1&amp;"C"&amp;$A16)="N/A",0,RTD("tos.rtd",,"IMPL_VOL","."&amp;O$2&amp;O$1&amp;"C"&amp;$A16))),0),IF($A$2="MAXPAIN",IF($A$4&gt;$A16,($A$4-$A16)*IF(RTD("tos.rtd",,"OPEN_INT","."&amp;O$2&amp;O$1&amp;"C"&amp;$A16)="N/A",0,RTD("tos.rtd",,"OPEN_INT","."&amp;O$2&amp;O$1&amp;"C"&amp;$A16)),0)+IF($A$4&lt;$A16,($A16-$A$4)*IF(RTD("tos.rtd",,"OPEN_INT","."&amp;O$2&amp;O$1&amp;"P"&amp;$A16)="N/A",0,RTD("tos.rtd",,"OPEN_INT","."&amp;O$2&amp;O$1&amp;"P"&amp;$A16)),0),IF(RTD("tos.rtd",,$A$2,"."&amp;O$2&amp;O$1&amp;"C"&amp;$A16)="N/A",0,RTD("tos.rtd",,$A$2,"."&amp;O$2&amp;O$1&amp;"C"&amp;$A16))-IF(RTD("tos.rtd",,$A$2,"."&amp;O$2&amp;O$1&amp;"P"&amp;$A16)="N/A",0,RTD("tos.rtd",,$A$2,"."&amp;O$2&amp;O$1&amp;"P"&amp;$A16)))))))))</f>
        <v>0</v>
      </c>
      <c r="P16" s="12">
        <f>IF($A$2="PREMIUM_OI",IFERROR((100*RTD("tos.rtd",,"OPEN_INT","."&amp;P$2&amp;P$1&amp;"C"&amp;$A16)*RTD("tos.rtd",,"LAST","."&amp;P$2&amp;P$1&amp;"C"&amp;$A16)-100*RTD("tos.rtd",,"OPEN_INT","."&amp;P$2&amp;P$1&amp;"P"&amp;$A16)*RTD("tos.rtd",,"LAST","."&amp;P$2&amp;P$1&amp;"P"&amp;$A16))/1000000,0),IF($A$2="PREMIUM",IFERROR((100*RTD("tos.rtd",,"VOLUME","."&amp;P$2&amp;P$1&amp;"C"&amp;$A16)*RTD("tos.rtd",,"LAST","."&amp;P$2&amp;P$1&amp;"C"&amp;$A16)-100*RTD("tos.rtd",,"VOLUME","."&amp;P$2&amp;P$1&amp;"P"&amp;$A16)*RTD("tos.rtd",,"LAST","."&amp;P$2&amp;P$1&amp;"P"&amp;$A16))/1000000,0),IF($A$2="DEX",IFERROR((100*RTD("tos.rtd",,"OPEN_INT","."&amp;P$2&amp;P$1&amp;"C"&amp;$A16)*RTD("tos.rtd",,"DELTA","."&amp;P$2&amp;P$1&amp;"C"&amp;$A16)-100*RTD("tos.rtd",,"OPEN_INT","."&amp;P$2&amp;P$1&amp;"P"&amp;$A16)*RTD("tos.rtd",,"DELTA","."&amp;P$2&amp;P$1&amp;"P"&amp;$A16))/1000,0),IF($A$2="VEX",IFERROR(($A$4*$A$4*RTD("tos.rtd",,"VOLUME","."&amp;P$2&amp;P$1&amp;"C"&amp;$A16)*RTD("tos.rtd",,"GAMMA","."&amp;P$2&amp;P$1&amp;"C"&amp;$A16)-$A$4*$A$4*RTD("tos.rtd",,"VOLUME","."&amp;P$2&amp;P$1&amp;"P"&amp;$A16)*RTD("tos.rtd",,"GAMMA","."&amp;P$2&amp;P$1&amp;"P"&amp;$A16))/1000000,0),IF($A$2="GEX",IFERROR(($A$4*$A$4*RTD("tos.rtd",,"OPEN_INT","."&amp;P$2&amp;P$1&amp;"C"&amp;$A16)*RTD("tos.rtd",,"GAMMA","."&amp;P$2&amp;P$1&amp;"C"&amp;$A16)-$A$4*$A$4*RTD("tos.rtd",,"OPEN_INT","."&amp;P$2&amp;P$1&amp;"P"&amp;$A16)*RTD("tos.rtd",,"GAMMA","."&amp;P$2&amp;P$1&amp;"P"&amp;$A16))/1000000,0),IF($A$2="SKEW",IFERROR(VALUE(IF(RTD("tos.rtd",,"IMPL_VOL","."&amp;P$2&amp;P$1&amp;"P"&amp;$A16)="N/A",0,RTD("tos.rtd",,"IMPL_VOL","."&amp;P$2&amp;P$1&amp;"P"&amp;$A16))),0)-IFERROR(VALUE(IF(RTD("tos.rtd",,"IMPL_VOL","."&amp;P$2&amp;P$1&amp;"C"&amp;$A16)="N/A",0,RTD("tos.rtd",,"IMPL_VOL","."&amp;P$2&amp;P$1&amp;"C"&amp;$A16))),0),IF($A$2="MAXPAIN",IF($A$4&gt;$A16,($A$4-$A16)*IF(RTD("tos.rtd",,"OPEN_INT","."&amp;P$2&amp;P$1&amp;"C"&amp;$A16)="N/A",0,RTD("tos.rtd",,"OPEN_INT","."&amp;P$2&amp;P$1&amp;"C"&amp;$A16)),0)+IF($A$4&lt;$A16,($A16-$A$4)*IF(RTD("tos.rtd",,"OPEN_INT","."&amp;P$2&amp;P$1&amp;"P"&amp;$A16)="N/A",0,RTD("tos.rtd",,"OPEN_INT","."&amp;P$2&amp;P$1&amp;"P"&amp;$A16)),0),IF(RTD("tos.rtd",,$A$2,"."&amp;P$2&amp;P$1&amp;"C"&amp;$A16)="N/A",0,RTD("tos.rtd",,$A$2,"."&amp;P$2&amp;P$1&amp;"C"&amp;$A16))-IF(RTD("tos.rtd",,$A$2,"."&amp;P$2&amp;P$1&amp;"P"&amp;$A16)="N/A",0,RTD("tos.rtd",,$A$2,"."&amp;P$2&amp;P$1&amp;"P"&amp;$A16)))))))))</f>
        <v>0</v>
      </c>
      <c r="Q16" s="12">
        <f>IF($A$2="PREMIUM_OI",IFERROR((100*RTD("tos.rtd",,"OPEN_INT","."&amp;Q$2&amp;Q$1&amp;"C"&amp;$A16)*RTD("tos.rtd",,"LAST","."&amp;Q$2&amp;Q$1&amp;"C"&amp;$A16)-100*RTD("tos.rtd",,"OPEN_INT","."&amp;Q$2&amp;Q$1&amp;"P"&amp;$A16)*RTD("tos.rtd",,"LAST","."&amp;Q$2&amp;Q$1&amp;"P"&amp;$A16))/1000000,0),IF($A$2="PREMIUM",IFERROR((100*RTD("tos.rtd",,"VOLUME","."&amp;Q$2&amp;Q$1&amp;"C"&amp;$A16)*RTD("tos.rtd",,"LAST","."&amp;Q$2&amp;Q$1&amp;"C"&amp;$A16)-100*RTD("tos.rtd",,"VOLUME","."&amp;Q$2&amp;Q$1&amp;"P"&amp;$A16)*RTD("tos.rtd",,"LAST","."&amp;Q$2&amp;Q$1&amp;"P"&amp;$A16))/1000000,0),IF($A$2="DEX",IFERROR((100*RTD("tos.rtd",,"OPEN_INT","."&amp;Q$2&amp;Q$1&amp;"C"&amp;$A16)*RTD("tos.rtd",,"DELTA","."&amp;Q$2&amp;Q$1&amp;"C"&amp;$A16)-100*RTD("tos.rtd",,"OPEN_INT","."&amp;Q$2&amp;Q$1&amp;"P"&amp;$A16)*RTD("tos.rtd",,"DELTA","."&amp;Q$2&amp;Q$1&amp;"P"&amp;$A16))/1000,0),IF($A$2="VEX",IFERROR(($A$4*$A$4*RTD("tos.rtd",,"VOLUME","."&amp;Q$2&amp;Q$1&amp;"C"&amp;$A16)*RTD("tos.rtd",,"GAMMA","."&amp;Q$2&amp;Q$1&amp;"C"&amp;$A16)-$A$4*$A$4*RTD("tos.rtd",,"VOLUME","."&amp;Q$2&amp;Q$1&amp;"P"&amp;$A16)*RTD("tos.rtd",,"GAMMA","."&amp;Q$2&amp;Q$1&amp;"P"&amp;$A16))/1000000,0),IF($A$2="GEX",IFERROR(($A$4*$A$4*RTD("tos.rtd",,"OPEN_INT","."&amp;Q$2&amp;Q$1&amp;"C"&amp;$A16)*RTD("tos.rtd",,"GAMMA","."&amp;Q$2&amp;Q$1&amp;"C"&amp;$A16)-$A$4*$A$4*RTD("tos.rtd",,"OPEN_INT","."&amp;Q$2&amp;Q$1&amp;"P"&amp;$A16)*RTD("tos.rtd",,"GAMMA","."&amp;Q$2&amp;Q$1&amp;"P"&amp;$A16))/1000000,0),IF($A$2="SKEW",IFERROR(VALUE(IF(RTD("tos.rtd",,"IMPL_VOL","."&amp;Q$2&amp;Q$1&amp;"P"&amp;$A16)="N/A",0,RTD("tos.rtd",,"IMPL_VOL","."&amp;Q$2&amp;Q$1&amp;"P"&amp;$A16))),0)-IFERROR(VALUE(IF(RTD("tos.rtd",,"IMPL_VOL","."&amp;Q$2&amp;Q$1&amp;"C"&amp;$A16)="N/A",0,RTD("tos.rtd",,"IMPL_VOL","."&amp;Q$2&amp;Q$1&amp;"C"&amp;$A16))),0),IF($A$2="MAXPAIN",IF($A$4&gt;$A16,($A$4-$A16)*IF(RTD("tos.rtd",,"OPEN_INT","."&amp;Q$2&amp;Q$1&amp;"C"&amp;$A16)="N/A",0,RTD("tos.rtd",,"OPEN_INT","."&amp;Q$2&amp;Q$1&amp;"C"&amp;$A16)),0)+IF($A$4&lt;$A16,($A16-$A$4)*IF(RTD("tos.rtd",,"OPEN_INT","."&amp;Q$2&amp;Q$1&amp;"P"&amp;$A16)="N/A",0,RTD("tos.rtd",,"OPEN_INT","."&amp;Q$2&amp;Q$1&amp;"P"&amp;$A16)),0),IF(RTD("tos.rtd",,$A$2,"."&amp;Q$2&amp;Q$1&amp;"C"&amp;$A16)="N/A",0,RTD("tos.rtd",,$A$2,"."&amp;Q$2&amp;Q$1&amp;"C"&amp;$A16))-IF(RTD("tos.rtd",,$A$2,"."&amp;Q$2&amp;Q$1&amp;"P"&amp;$A16)="N/A",0,RTD("tos.rtd",,$A$2,"."&amp;Q$2&amp;Q$1&amp;"P"&amp;$A16)))))))))</f>
        <v>0</v>
      </c>
      <c r="R16" s="12">
        <f>IF($A$2="PREMIUM_OI",IFERROR((100*RTD("tos.rtd",,"OPEN_INT","."&amp;R$2&amp;R$1&amp;"C"&amp;$A16)*RTD("tos.rtd",,"LAST","."&amp;R$2&amp;R$1&amp;"C"&amp;$A16)-100*RTD("tos.rtd",,"OPEN_INT","."&amp;R$2&amp;R$1&amp;"P"&amp;$A16)*RTD("tos.rtd",,"LAST","."&amp;R$2&amp;R$1&amp;"P"&amp;$A16))/1000000,0),IF($A$2="PREMIUM",IFERROR((100*RTD("tos.rtd",,"VOLUME","."&amp;R$2&amp;R$1&amp;"C"&amp;$A16)*RTD("tos.rtd",,"LAST","."&amp;R$2&amp;R$1&amp;"C"&amp;$A16)-100*RTD("tos.rtd",,"VOLUME","."&amp;R$2&amp;R$1&amp;"P"&amp;$A16)*RTD("tos.rtd",,"LAST","."&amp;R$2&amp;R$1&amp;"P"&amp;$A16))/1000000,0),IF($A$2="DEX",IFERROR((100*RTD("tos.rtd",,"OPEN_INT","."&amp;R$2&amp;R$1&amp;"C"&amp;$A16)*RTD("tos.rtd",,"DELTA","."&amp;R$2&amp;R$1&amp;"C"&amp;$A16)-100*RTD("tos.rtd",,"OPEN_INT","."&amp;R$2&amp;R$1&amp;"P"&amp;$A16)*RTD("tos.rtd",,"DELTA","."&amp;R$2&amp;R$1&amp;"P"&amp;$A16))/1000,0),IF($A$2="VEX",IFERROR(($A$4*$A$4*RTD("tos.rtd",,"VOLUME","."&amp;R$2&amp;R$1&amp;"C"&amp;$A16)*RTD("tos.rtd",,"GAMMA","."&amp;R$2&amp;R$1&amp;"C"&amp;$A16)-$A$4*$A$4*RTD("tos.rtd",,"VOLUME","."&amp;R$2&amp;R$1&amp;"P"&amp;$A16)*RTD("tos.rtd",,"GAMMA","."&amp;R$2&amp;R$1&amp;"P"&amp;$A16))/1000000,0),IF($A$2="GEX",IFERROR(($A$4*$A$4*RTD("tos.rtd",,"OPEN_INT","."&amp;R$2&amp;R$1&amp;"C"&amp;$A16)*RTD("tos.rtd",,"GAMMA","."&amp;R$2&amp;R$1&amp;"C"&amp;$A16)-$A$4*$A$4*RTD("tos.rtd",,"OPEN_INT","."&amp;R$2&amp;R$1&amp;"P"&amp;$A16)*RTD("tos.rtd",,"GAMMA","."&amp;R$2&amp;R$1&amp;"P"&amp;$A16))/1000000,0),IF($A$2="SKEW",IFERROR(VALUE(IF(RTD("tos.rtd",,"IMPL_VOL","."&amp;R$2&amp;R$1&amp;"P"&amp;$A16)="N/A",0,RTD("tos.rtd",,"IMPL_VOL","."&amp;R$2&amp;R$1&amp;"P"&amp;$A16))),0)-IFERROR(VALUE(IF(RTD("tos.rtd",,"IMPL_VOL","."&amp;R$2&amp;R$1&amp;"C"&amp;$A16)="N/A",0,RTD("tos.rtd",,"IMPL_VOL","."&amp;R$2&amp;R$1&amp;"C"&amp;$A16))),0),IF($A$2="MAXPAIN",IF($A$4&gt;$A16,($A$4-$A16)*IF(RTD("tos.rtd",,"OPEN_INT","."&amp;R$2&amp;R$1&amp;"C"&amp;$A16)="N/A",0,RTD("tos.rtd",,"OPEN_INT","."&amp;R$2&amp;R$1&amp;"C"&amp;$A16)),0)+IF($A$4&lt;$A16,($A16-$A$4)*IF(RTD("tos.rtd",,"OPEN_INT","."&amp;R$2&amp;R$1&amp;"P"&amp;$A16)="N/A",0,RTD("tos.rtd",,"OPEN_INT","."&amp;R$2&amp;R$1&amp;"P"&amp;$A16)),0),IF(RTD("tos.rtd",,$A$2,"."&amp;R$2&amp;R$1&amp;"C"&amp;$A16)="N/A",0,RTD("tos.rtd",,$A$2,"."&amp;R$2&amp;R$1&amp;"C"&amp;$A16))-IF(RTD("tos.rtd",,$A$2,"."&amp;R$2&amp;R$1&amp;"P"&amp;$A16)="N/A",0,RTD("tos.rtd",,$A$2,"."&amp;R$2&amp;R$1&amp;"P"&amp;$A16)))))))))</f>
        <v>1726</v>
      </c>
      <c r="S16" s="12">
        <f>IF($A$2="PREMIUM_OI",IFERROR((100*RTD("tos.rtd",,"OPEN_INT","."&amp;S$2&amp;S$1&amp;"C"&amp;$A16)*RTD("tos.rtd",,"LAST","."&amp;S$2&amp;S$1&amp;"C"&amp;$A16)-100*RTD("tos.rtd",,"OPEN_INT","."&amp;S$2&amp;S$1&amp;"P"&amp;$A16)*RTD("tos.rtd",,"LAST","."&amp;S$2&amp;S$1&amp;"P"&amp;$A16))/1000000,0),IF($A$2="PREMIUM",IFERROR((100*RTD("tos.rtd",,"VOLUME","."&amp;S$2&amp;S$1&amp;"C"&amp;$A16)*RTD("tos.rtd",,"LAST","."&amp;S$2&amp;S$1&amp;"C"&amp;$A16)-100*RTD("tos.rtd",,"VOLUME","."&amp;S$2&amp;S$1&amp;"P"&amp;$A16)*RTD("tos.rtd",,"LAST","."&amp;S$2&amp;S$1&amp;"P"&amp;$A16))/1000000,0),IF($A$2="DEX",IFERROR((100*RTD("tos.rtd",,"OPEN_INT","."&amp;S$2&amp;S$1&amp;"C"&amp;$A16)*RTD("tos.rtd",,"DELTA","."&amp;S$2&amp;S$1&amp;"C"&amp;$A16)-100*RTD("tos.rtd",,"OPEN_INT","."&amp;S$2&amp;S$1&amp;"P"&amp;$A16)*RTD("tos.rtd",,"DELTA","."&amp;S$2&amp;S$1&amp;"P"&amp;$A16))/1000,0),IF($A$2="VEX",IFERROR(($A$4*$A$4*RTD("tos.rtd",,"VOLUME","."&amp;S$2&amp;S$1&amp;"C"&amp;$A16)*RTD("tos.rtd",,"GAMMA","."&amp;S$2&amp;S$1&amp;"C"&amp;$A16)-$A$4*$A$4*RTD("tos.rtd",,"VOLUME","."&amp;S$2&amp;S$1&amp;"P"&amp;$A16)*RTD("tos.rtd",,"GAMMA","."&amp;S$2&amp;S$1&amp;"P"&amp;$A16))/1000000,0),IF($A$2="GEX",IFERROR(($A$4*$A$4*RTD("tos.rtd",,"OPEN_INT","."&amp;S$2&amp;S$1&amp;"C"&amp;$A16)*RTD("tos.rtd",,"GAMMA","."&amp;S$2&amp;S$1&amp;"C"&amp;$A16)-$A$4*$A$4*RTD("tos.rtd",,"OPEN_INT","."&amp;S$2&amp;S$1&amp;"P"&amp;$A16)*RTD("tos.rtd",,"GAMMA","."&amp;S$2&amp;S$1&amp;"P"&amp;$A16))/1000000,0),IF($A$2="SKEW",IFERROR(VALUE(IF(RTD("tos.rtd",,"IMPL_VOL","."&amp;S$2&amp;S$1&amp;"P"&amp;$A16)="N/A",0,RTD("tos.rtd",,"IMPL_VOL","."&amp;S$2&amp;S$1&amp;"P"&amp;$A16))),0)-IFERROR(VALUE(IF(RTD("tos.rtd",,"IMPL_VOL","."&amp;S$2&amp;S$1&amp;"C"&amp;$A16)="N/A",0,RTD("tos.rtd",,"IMPL_VOL","."&amp;S$2&amp;S$1&amp;"C"&amp;$A16))),0),IF($A$2="MAXPAIN",IF($A$4&gt;$A16,($A$4-$A16)*IF(RTD("tos.rtd",,"OPEN_INT","."&amp;S$2&amp;S$1&amp;"C"&amp;$A16)="N/A",0,RTD("tos.rtd",,"OPEN_INT","."&amp;S$2&amp;S$1&amp;"C"&amp;$A16)),0)+IF($A$4&lt;$A16,($A16-$A$4)*IF(RTD("tos.rtd",,"OPEN_INT","."&amp;S$2&amp;S$1&amp;"P"&amp;$A16)="N/A",0,RTD("tos.rtd",,"OPEN_INT","."&amp;S$2&amp;S$1&amp;"P"&amp;$A16)),0),IF(RTD("tos.rtd",,$A$2,"."&amp;S$2&amp;S$1&amp;"C"&amp;$A16)="N/A",0,RTD("tos.rtd",,$A$2,"."&amp;S$2&amp;S$1&amp;"C"&amp;$A16))-IF(RTD("tos.rtd",,$A$2,"."&amp;S$2&amp;S$1&amp;"P"&amp;$A16)="N/A",0,RTD("tos.rtd",,$A$2,"."&amp;S$2&amp;S$1&amp;"P"&amp;$A16)))))))))</f>
        <v>2041</v>
      </c>
      <c r="T16" s="12">
        <f>IF($A$2="PREMIUM_OI",IFERROR((100*RTD("tos.rtd",,"OPEN_INT","."&amp;T$2&amp;T$1&amp;"C"&amp;$A16)*RTD("tos.rtd",,"LAST","."&amp;T$2&amp;T$1&amp;"C"&amp;$A16)-100*RTD("tos.rtd",,"OPEN_INT","."&amp;T$2&amp;T$1&amp;"P"&amp;$A16)*RTD("tos.rtd",,"LAST","."&amp;T$2&amp;T$1&amp;"P"&amp;$A16))/1000000,0),IF($A$2="PREMIUM",IFERROR((100*RTD("tos.rtd",,"VOLUME","."&amp;T$2&amp;T$1&amp;"C"&amp;$A16)*RTD("tos.rtd",,"LAST","."&amp;T$2&amp;T$1&amp;"C"&amp;$A16)-100*RTD("tos.rtd",,"VOLUME","."&amp;T$2&amp;T$1&amp;"P"&amp;$A16)*RTD("tos.rtd",,"LAST","."&amp;T$2&amp;T$1&amp;"P"&amp;$A16))/1000000,0),IF($A$2="DEX",IFERROR((100*RTD("tos.rtd",,"OPEN_INT","."&amp;T$2&amp;T$1&amp;"C"&amp;$A16)*RTD("tos.rtd",,"DELTA","."&amp;T$2&amp;T$1&amp;"C"&amp;$A16)-100*RTD("tos.rtd",,"OPEN_INT","."&amp;T$2&amp;T$1&amp;"P"&amp;$A16)*RTD("tos.rtd",,"DELTA","."&amp;T$2&amp;T$1&amp;"P"&amp;$A16))/1000,0),IF($A$2="VEX",IFERROR(($A$4*$A$4*RTD("tos.rtd",,"VOLUME","."&amp;T$2&amp;T$1&amp;"C"&amp;$A16)*RTD("tos.rtd",,"GAMMA","."&amp;T$2&amp;T$1&amp;"C"&amp;$A16)-$A$4*$A$4*RTD("tos.rtd",,"VOLUME","."&amp;T$2&amp;T$1&amp;"P"&amp;$A16)*RTD("tos.rtd",,"GAMMA","."&amp;T$2&amp;T$1&amp;"P"&amp;$A16))/1000000,0),IF($A$2="GEX",IFERROR(($A$4*$A$4*RTD("tos.rtd",,"OPEN_INT","."&amp;T$2&amp;T$1&amp;"C"&amp;$A16)*RTD("tos.rtd",,"GAMMA","."&amp;T$2&amp;T$1&amp;"C"&amp;$A16)-$A$4*$A$4*RTD("tos.rtd",,"OPEN_INT","."&amp;T$2&amp;T$1&amp;"P"&amp;$A16)*RTD("tos.rtd",,"GAMMA","."&amp;T$2&amp;T$1&amp;"P"&amp;$A16))/1000000,0),IF($A$2="SKEW",IFERROR(VALUE(IF(RTD("tos.rtd",,"IMPL_VOL","."&amp;T$2&amp;T$1&amp;"P"&amp;$A16)="N/A",0,RTD("tos.rtd",,"IMPL_VOL","."&amp;T$2&amp;T$1&amp;"P"&amp;$A16))),0)-IFERROR(VALUE(IF(RTD("tos.rtd",,"IMPL_VOL","."&amp;T$2&amp;T$1&amp;"C"&amp;$A16)="N/A",0,RTD("tos.rtd",,"IMPL_VOL","."&amp;T$2&amp;T$1&amp;"C"&amp;$A16))),0),IF($A$2="MAXPAIN",IF($A$4&gt;$A16,($A$4-$A16)*IF(RTD("tos.rtd",,"OPEN_INT","."&amp;T$2&amp;T$1&amp;"C"&amp;$A16)="N/A",0,RTD("tos.rtd",,"OPEN_INT","."&amp;T$2&amp;T$1&amp;"C"&amp;$A16)),0)+IF($A$4&lt;$A16,($A16-$A$4)*IF(RTD("tos.rtd",,"OPEN_INT","."&amp;T$2&amp;T$1&amp;"P"&amp;$A16)="N/A",0,RTD("tos.rtd",,"OPEN_INT","."&amp;T$2&amp;T$1&amp;"P"&amp;$A16)),0),IF(RTD("tos.rtd",,$A$2,"."&amp;T$2&amp;T$1&amp;"C"&amp;$A16)="N/A",0,RTD("tos.rtd",,$A$2,"."&amp;T$2&amp;T$1&amp;"C"&amp;$A16))-IF(RTD("tos.rtd",,$A$2,"."&amp;T$2&amp;T$1&amp;"P"&amp;$A16)="N/A",0,RTD("tos.rtd",,$A$2,"."&amp;T$2&amp;T$1&amp;"P"&amp;$A16)))))))))</f>
        <v>374</v>
      </c>
      <c r="U16" s="12">
        <f>IF($A$2="PREMIUM_OI",IFERROR((100*RTD("tos.rtd",,"OPEN_INT","."&amp;U$2&amp;U$1&amp;"C"&amp;$A16)*RTD("tos.rtd",,"LAST","."&amp;U$2&amp;U$1&amp;"C"&amp;$A16)-100*RTD("tos.rtd",,"OPEN_INT","."&amp;U$2&amp;U$1&amp;"P"&amp;$A16)*RTD("tos.rtd",,"LAST","."&amp;U$2&amp;U$1&amp;"P"&amp;$A16))/1000000,0),IF($A$2="PREMIUM",IFERROR((100*RTD("tos.rtd",,"VOLUME","."&amp;U$2&amp;U$1&amp;"C"&amp;$A16)*RTD("tos.rtd",,"LAST","."&amp;U$2&amp;U$1&amp;"C"&amp;$A16)-100*RTD("tos.rtd",,"VOLUME","."&amp;U$2&amp;U$1&amp;"P"&amp;$A16)*RTD("tos.rtd",,"LAST","."&amp;U$2&amp;U$1&amp;"P"&amp;$A16))/1000000,0),IF($A$2="DEX",IFERROR((100*RTD("tos.rtd",,"OPEN_INT","."&amp;U$2&amp;U$1&amp;"C"&amp;$A16)*RTD("tos.rtd",,"DELTA","."&amp;U$2&amp;U$1&amp;"C"&amp;$A16)-100*RTD("tos.rtd",,"OPEN_INT","."&amp;U$2&amp;U$1&amp;"P"&amp;$A16)*RTD("tos.rtd",,"DELTA","."&amp;U$2&amp;U$1&amp;"P"&amp;$A16))/1000,0),IF($A$2="VEX",IFERROR(($A$4*$A$4*RTD("tos.rtd",,"VOLUME","."&amp;U$2&amp;U$1&amp;"C"&amp;$A16)*RTD("tos.rtd",,"GAMMA","."&amp;U$2&amp;U$1&amp;"C"&amp;$A16)-$A$4*$A$4*RTD("tos.rtd",,"VOLUME","."&amp;U$2&amp;U$1&amp;"P"&amp;$A16)*RTD("tos.rtd",,"GAMMA","."&amp;U$2&amp;U$1&amp;"P"&amp;$A16))/1000000,0),IF($A$2="GEX",IFERROR(($A$4*$A$4*RTD("tos.rtd",,"OPEN_INT","."&amp;U$2&amp;U$1&amp;"C"&amp;$A16)*RTD("tos.rtd",,"GAMMA","."&amp;U$2&amp;U$1&amp;"C"&amp;$A16)-$A$4*$A$4*RTD("tos.rtd",,"OPEN_INT","."&amp;U$2&amp;U$1&amp;"P"&amp;$A16)*RTD("tos.rtd",,"GAMMA","."&amp;U$2&amp;U$1&amp;"P"&amp;$A16))/1000000,0),IF($A$2="SKEW",IFERROR(VALUE(IF(RTD("tos.rtd",,"IMPL_VOL","."&amp;U$2&amp;U$1&amp;"P"&amp;$A16)="N/A",0,RTD("tos.rtd",,"IMPL_VOL","."&amp;U$2&amp;U$1&amp;"P"&amp;$A16))),0)-IFERROR(VALUE(IF(RTD("tos.rtd",,"IMPL_VOL","."&amp;U$2&amp;U$1&amp;"C"&amp;$A16)="N/A",0,RTD("tos.rtd",,"IMPL_VOL","."&amp;U$2&amp;U$1&amp;"C"&amp;$A16))),0),IF($A$2="MAXPAIN",IF($A$4&gt;$A16,($A$4-$A16)*IF(RTD("tos.rtd",,"OPEN_INT","."&amp;U$2&amp;U$1&amp;"C"&amp;$A16)="N/A",0,RTD("tos.rtd",,"OPEN_INT","."&amp;U$2&amp;U$1&amp;"C"&amp;$A16)),0)+IF($A$4&lt;$A16,($A16-$A$4)*IF(RTD("tos.rtd",,"OPEN_INT","."&amp;U$2&amp;U$1&amp;"P"&amp;$A16)="N/A",0,RTD("tos.rtd",,"OPEN_INT","."&amp;U$2&amp;U$1&amp;"P"&amp;$A16)),0),IF(RTD("tos.rtd",,$A$2,"."&amp;U$2&amp;U$1&amp;"C"&amp;$A16)="N/A",0,RTD("tos.rtd",,$A$2,"."&amp;U$2&amp;U$1&amp;"C"&amp;$A16))-IF(RTD("tos.rtd",,$A$2,"."&amp;U$2&amp;U$1&amp;"P"&amp;$A16)="N/A",0,RTD("tos.rtd",,$A$2,"."&amp;U$2&amp;U$1&amp;"P"&amp;$A16)))))))))</f>
        <v>783</v>
      </c>
      <c r="V16" s="12">
        <f>IF($A$2="PREMIUM_OI",IFERROR((100*RTD("tos.rtd",,"OPEN_INT","."&amp;V$2&amp;V$1&amp;"C"&amp;$A16)*RTD("tos.rtd",,"LAST","."&amp;V$2&amp;V$1&amp;"C"&amp;$A16)-100*RTD("tos.rtd",,"OPEN_INT","."&amp;V$2&amp;V$1&amp;"P"&amp;$A16)*RTD("tos.rtd",,"LAST","."&amp;V$2&amp;V$1&amp;"P"&amp;$A16))/1000000,0),IF($A$2="PREMIUM",IFERROR((100*RTD("tos.rtd",,"VOLUME","."&amp;V$2&amp;V$1&amp;"C"&amp;$A16)*RTD("tos.rtd",,"LAST","."&amp;V$2&amp;V$1&amp;"C"&amp;$A16)-100*RTD("tos.rtd",,"VOLUME","."&amp;V$2&amp;V$1&amp;"P"&amp;$A16)*RTD("tos.rtd",,"LAST","."&amp;V$2&amp;V$1&amp;"P"&amp;$A16))/1000000,0),IF($A$2="DEX",IFERROR((100*RTD("tos.rtd",,"OPEN_INT","."&amp;V$2&amp;V$1&amp;"C"&amp;$A16)*RTD("tos.rtd",,"DELTA","."&amp;V$2&amp;V$1&amp;"C"&amp;$A16)-100*RTD("tos.rtd",,"OPEN_INT","."&amp;V$2&amp;V$1&amp;"P"&amp;$A16)*RTD("tos.rtd",,"DELTA","."&amp;V$2&amp;V$1&amp;"P"&amp;$A16))/1000,0),IF($A$2="VEX",IFERROR(($A$4*$A$4*RTD("tos.rtd",,"VOLUME","."&amp;V$2&amp;V$1&amp;"C"&amp;$A16)*RTD("tos.rtd",,"GAMMA","."&amp;V$2&amp;V$1&amp;"C"&amp;$A16)-$A$4*$A$4*RTD("tos.rtd",,"VOLUME","."&amp;V$2&amp;V$1&amp;"P"&amp;$A16)*RTD("tos.rtd",,"GAMMA","."&amp;V$2&amp;V$1&amp;"P"&amp;$A16))/1000000,0),IF($A$2="GEX",IFERROR(($A$4*$A$4*RTD("tos.rtd",,"OPEN_INT","."&amp;V$2&amp;V$1&amp;"C"&amp;$A16)*RTD("tos.rtd",,"GAMMA","."&amp;V$2&amp;V$1&amp;"C"&amp;$A16)-$A$4*$A$4*RTD("tos.rtd",,"OPEN_INT","."&amp;V$2&amp;V$1&amp;"P"&amp;$A16)*RTD("tos.rtd",,"GAMMA","."&amp;V$2&amp;V$1&amp;"P"&amp;$A16))/1000000,0),IF($A$2="SKEW",IFERROR(VALUE(IF(RTD("tos.rtd",,"IMPL_VOL","."&amp;V$2&amp;V$1&amp;"P"&amp;$A16)="N/A",0,RTD("tos.rtd",,"IMPL_VOL","."&amp;V$2&amp;V$1&amp;"P"&amp;$A16))),0)-IFERROR(VALUE(IF(RTD("tos.rtd",,"IMPL_VOL","."&amp;V$2&amp;V$1&amp;"C"&amp;$A16)="N/A",0,RTD("tos.rtd",,"IMPL_VOL","."&amp;V$2&amp;V$1&amp;"C"&amp;$A16))),0),IF($A$2="MAXPAIN",IF($A$4&gt;$A16,($A$4-$A16)*IF(RTD("tos.rtd",,"OPEN_INT","."&amp;V$2&amp;V$1&amp;"C"&amp;$A16)="N/A",0,RTD("tos.rtd",,"OPEN_INT","."&amp;V$2&amp;V$1&amp;"C"&amp;$A16)),0)+IF($A$4&lt;$A16,($A16-$A$4)*IF(RTD("tos.rtd",,"OPEN_INT","."&amp;V$2&amp;V$1&amp;"P"&amp;$A16)="N/A",0,RTD("tos.rtd",,"OPEN_INT","."&amp;V$2&amp;V$1&amp;"P"&amp;$A16)),0),IF(RTD("tos.rtd",,$A$2,"."&amp;V$2&amp;V$1&amp;"C"&amp;$A16)="N/A",0,RTD("tos.rtd",,$A$2,"."&amp;V$2&amp;V$1&amp;"C"&amp;$A16))-IF(RTD("tos.rtd",,$A$2,"."&amp;V$2&amp;V$1&amp;"P"&amp;$A16)="N/A",0,RTD("tos.rtd",,$A$2,"."&amp;V$2&amp;V$1&amp;"P"&amp;$A16)))))))))</f>
        <v>0</v>
      </c>
      <c r="W16" s="12">
        <f>IF($A$2="PREMIUM_OI",IFERROR((100*RTD("tos.rtd",,"OPEN_INT","."&amp;W$2&amp;W$1&amp;"C"&amp;$A16)*RTD("tos.rtd",,"LAST","."&amp;W$2&amp;W$1&amp;"C"&amp;$A16)-100*RTD("tos.rtd",,"OPEN_INT","."&amp;W$2&amp;W$1&amp;"P"&amp;$A16)*RTD("tos.rtd",,"LAST","."&amp;W$2&amp;W$1&amp;"P"&amp;$A16))/1000000,0),IF($A$2="PREMIUM",IFERROR((100*RTD("tos.rtd",,"VOLUME","."&amp;W$2&amp;W$1&amp;"C"&amp;$A16)*RTD("tos.rtd",,"LAST","."&amp;W$2&amp;W$1&amp;"C"&amp;$A16)-100*RTD("tos.rtd",,"VOLUME","."&amp;W$2&amp;W$1&amp;"P"&amp;$A16)*RTD("tos.rtd",,"LAST","."&amp;W$2&amp;W$1&amp;"P"&amp;$A16))/1000000,0),IF($A$2="DEX",IFERROR((100*RTD("tos.rtd",,"OPEN_INT","."&amp;W$2&amp;W$1&amp;"C"&amp;$A16)*RTD("tos.rtd",,"DELTA","."&amp;W$2&amp;W$1&amp;"C"&amp;$A16)-100*RTD("tos.rtd",,"OPEN_INT","."&amp;W$2&amp;W$1&amp;"P"&amp;$A16)*RTD("tos.rtd",,"DELTA","."&amp;W$2&amp;W$1&amp;"P"&amp;$A16))/1000,0),IF($A$2="VEX",IFERROR(($A$4*$A$4*RTD("tos.rtd",,"VOLUME","."&amp;W$2&amp;W$1&amp;"C"&amp;$A16)*RTD("tos.rtd",,"GAMMA","."&amp;W$2&amp;W$1&amp;"C"&amp;$A16)-$A$4*$A$4*RTD("tos.rtd",,"VOLUME","."&amp;W$2&amp;W$1&amp;"P"&amp;$A16)*RTD("tos.rtd",,"GAMMA","."&amp;W$2&amp;W$1&amp;"P"&amp;$A16))/1000000,0),IF($A$2="GEX",IFERROR(($A$4*$A$4*RTD("tos.rtd",,"OPEN_INT","."&amp;W$2&amp;W$1&amp;"C"&amp;$A16)*RTD("tos.rtd",,"GAMMA","."&amp;W$2&amp;W$1&amp;"C"&amp;$A16)-$A$4*$A$4*RTD("tos.rtd",,"OPEN_INT","."&amp;W$2&amp;W$1&amp;"P"&amp;$A16)*RTD("tos.rtd",,"GAMMA","."&amp;W$2&amp;W$1&amp;"P"&amp;$A16))/1000000,0),IF($A$2="SKEW",IFERROR(VALUE(IF(RTD("tos.rtd",,"IMPL_VOL","."&amp;W$2&amp;W$1&amp;"P"&amp;$A16)="N/A",0,RTD("tos.rtd",,"IMPL_VOL","."&amp;W$2&amp;W$1&amp;"P"&amp;$A16))),0)-IFERROR(VALUE(IF(RTD("tos.rtd",,"IMPL_VOL","."&amp;W$2&amp;W$1&amp;"C"&amp;$A16)="N/A",0,RTD("tos.rtd",,"IMPL_VOL","."&amp;W$2&amp;W$1&amp;"C"&amp;$A16))),0),IF($A$2="MAXPAIN",IF($A$4&gt;$A16,($A$4-$A16)*IF(RTD("tos.rtd",,"OPEN_INT","."&amp;W$2&amp;W$1&amp;"C"&amp;$A16)="N/A",0,RTD("tos.rtd",,"OPEN_INT","."&amp;W$2&amp;W$1&amp;"C"&amp;$A16)),0)+IF($A$4&lt;$A16,($A16-$A$4)*IF(RTD("tos.rtd",,"OPEN_INT","."&amp;W$2&amp;W$1&amp;"P"&amp;$A16)="N/A",0,RTD("tos.rtd",,"OPEN_INT","."&amp;W$2&amp;W$1&amp;"P"&amp;$A16)),0),IF(RTD("tos.rtd",,$A$2,"."&amp;W$2&amp;W$1&amp;"C"&amp;$A16)="N/A",0,RTD("tos.rtd",,$A$2,"."&amp;W$2&amp;W$1&amp;"C"&amp;$A16))-IF(RTD("tos.rtd",,$A$2,"."&amp;W$2&amp;W$1&amp;"P"&amp;$A16)="N/A",0,RTD("tos.rtd",,$A$2,"."&amp;W$2&amp;W$1&amp;"P"&amp;$A16)))))))))</f>
        <v>5712</v>
      </c>
      <c r="X16" s="12">
        <f t="shared" ca="1" si="7"/>
        <v>8910</v>
      </c>
      <c r="Y16" s="27">
        <f t="shared" ca="1" si="8"/>
        <v>8910</v>
      </c>
      <c r="AA16" s="35">
        <f t="shared" si="5"/>
        <v>15</v>
      </c>
      <c r="AB16" s="8">
        <f>+IF($AJ$1,AK16,TASTYOHLC!B16)</f>
        <v>8.01</v>
      </c>
      <c r="AC16" s="8">
        <f>+IF($AJ$1,AL16,TASTYOHLC!C16)</f>
        <v>8.01</v>
      </c>
      <c r="AD16" s="8">
        <f>+IF($AJ$1,AM16,TASTYOHLC!D16)</f>
        <v>8.01</v>
      </c>
      <c r="AE16" s="8">
        <f>+IF($AJ$1,AN16,TASTYOHLC!E16)</f>
        <v>8.01</v>
      </c>
      <c r="AF16" s="8"/>
      <c r="AJ16" s="37">
        <f t="shared" si="9"/>
        <v>45950</v>
      </c>
      <c r="AK16" s="52">
        <f t="shared" si="10"/>
        <v>8.01</v>
      </c>
      <c r="AL16" s="52">
        <f t="shared" si="10"/>
        <v>8.01</v>
      </c>
      <c r="AM16" s="52">
        <f t="shared" si="10"/>
        <v>8.01</v>
      </c>
      <c r="AN16" s="52">
        <f t="shared" si="10"/>
        <v>8.01</v>
      </c>
      <c r="AO16" s="51">
        <v>96500870</v>
      </c>
    </row>
    <row r="17" spans="1:40" s="19" customFormat="1" ht="11.1" customHeight="1" thickBot="1" x14ac:dyDescent="0.3">
      <c r="A17" s="23">
        <f t="shared" si="6"/>
        <v>13.5</v>
      </c>
      <c r="B17" s="14">
        <f>IF($A$2="PREMIUM_OI",IFERROR((100*RTD("tos.rtd",,"OPEN_INT","."&amp;B$2&amp;B$1&amp;"C"&amp;$A17)*RTD("tos.rtd",,"LAST","."&amp;B$2&amp;B$1&amp;"C"&amp;$A17)-100*RTD("tos.rtd",,"OPEN_INT","."&amp;B$2&amp;B$1&amp;"P"&amp;$A17)*RTD("tos.rtd",,"LAST","."&amp;B$2&amp;B$1&amp;"P"&amp;$A17))/1000000,0),IF($A$2="PREMIUM",IFERROR((100*RTD("tos.rtd",,"VOLUME","."&amp;B$2&amp;B$1&amp;"C"&amp;$A17)*RTD("tos.rtd",,"LAST","."&amp;B$2&amp;B$1&amp;"C"&amp;$A17)-100*RTD("tos.rtd",,"VOLUME","."&amp;B$2&amp;B$1&amp;"P"&amp;$A17)*RTD("tos.rtd",,"LAST","."&amp;B$2&amp;B$1&amp;"P"&amp;$A17))/1000000,0),IF($A$2="DEX",IFERROR((100*RTD("tos.rtd",,"OPEN_INT","."&amp;B$2&amp;B$1&amp;"C"&amp;$A17)*RTD("tos.rtd",,"DELTA","."&amp;B$2&amp;B$1&amp;"C"&amp;$A17)-100*RTD("tos.rtd",,"OPEN_INT","."&amp;B$2&amp;B$1&amp;"P"&amp;$A17)*RTD("tos.rtd",,"DELTA","."&amp;B$2&amp;B$1&amp;"P"&amp;$A17))/1000,0),IF($A$2="VEX",IFERROR(($A$4*$A$4*RTD("tos.rtd",,"VOLUME","."&amp;B$2&amp;B$1&amp;"C"&amp;$A17)*RTD("tos.rtd",,"GAMMA","."&amp;B$2&amp;B$1&amp;"C"&amp;$A17)-$A$4*$A$4*RTD("tos.rtd",,"VOLUME","."&amp;B$2&amp;B$1&amp;"P"&amp;$A17)*RTD("tos.rtd",,"GAMMA","."&amp;B$2&amp;B$1&amp;"P"&amp;$A17))/1000000,0),IF($A$2="GEX",IFERROR(($A$4*$A$4*RTD("tos.rtd",,"OPEN_INT","."&amp;B$2&amp;B$1&amp;"C"&amp;$A17)*RTD("tos.rtd",,"GAMMA","."&amp;B$2&amp;B$1&amp;"C"&amp;$A17)-$A$4*$A$4*RTD("tos.rtd",,"OPEN_INT","."&amp;B$2&amp;B$1&amp;"P"&amp;$A17)*RTD("tos.rtd",,"GAMMA","."&amp;B$2&amp;B$1&amp;"P"&amp;$A17))/1000000,0),IF($A$2="SKEW",IFERROR(VALUE(IF(RTD("tos.rtd",,"IMPL_VOL","."&amp;B$2&amp;B$1&amp;"P"&amp;$A17)="N/A",0,RTD("tos.rtd",,"IMPL_VOL","."&amp;B$2&amp;B$1&amp;"P"&amp;$A17))),0)-IFERROR(VALUE(IF(RTD("tos.rtd",,"IMPL_VOL","."&amp;B$2&amp;B$1&amp;"C"&amp;$A17)="N/A",0,RTD("tos.rtd",,"IMPL_VOL","."&amp;B$2&amp;B$1&amp;"C"&amp;$A17))),0),IF($A$2="MAXPAIN",IF($A$4&gt;$A17,($A$4-$A17)*IF(RTD("tos.rtd",,"OPEN_INT","."&amp;B$2&amp;B$1&amp;"C"&amp;$A17)="N/A",0,RTD("tos.rtd",,"OPEN_INT","."&amp;B$2&amp;B$1&amp;"C"&amp;$A17)),0)+IF($A$4&lt;$A17,($A17-$A$4)*IF(RTD("tos.rtd",,"OPEN_INT","."&amp;B$2&amp;B$1&amp;"P"&amp;$A17)="N/A",0,RTD("tos.rtd",,"OPEN_INT","."&amp;B$2&amp;B$1&amp;"P"&amp;$A17)),0),IF(RTD("tos.rtd",,$A$2,"."&amp;B$2&amp;B$1&amp;"C"&amp;$A17)="N/A",0,RTD("tos.rtd",,$A$2,"."&amp;B$2&amp;B$1&amp;"C"&amp;$A17))-IF(RTD("tos.rtd",,$A$2,"."&amp;B$2&amp;B$1&amp;"P"&amp;$A17)="N/A",0,RTD("tos.rtd",,$A$2,"."&amp;B$2&amp;B$1&amp;"P"&amp;$A17)))))))))</f>
        <v>0</v>
      </c>
      <c r="C17" s="12">
        <f>IF($A$2="PREMIUM_OI",IFERROR((100*RTD("tos.rtd",,"OPEN_INT","."&amp;C$2&amp;C$1&amp;"C"&amp;$A17)*RTD("tos.rtd",,"LAST","."&amp;C$2&amp;C$1&amp;"C"&amp;$A17)-100*RTD("tos.rtd",,"OPEN_INT","."&amp;C$2&amp;C$1&amp;"P"&amp;$A17)*RTD("tos.rtd",,"LAST","."&amp;C$2&amp;C$1&amp;"P"&amp;$A17))/1000000,0),IF($A$2="PREMIUM",IFERROR((100*RTD("tos.rtd",,"VOLUME","."&amp;C$2&amp;C$1&amp;"C"&amp;$A17)*RTD("tos.rtd",,"LAST","."&amp;C$2&amp;C$1&amp;"C"&amp;$A17)-100*RTD("tos.rtd",,"VOLUME","."&amp;C$2&amp;C$1&amp;"P"&amp;$A17)*RTD("tos.rtd",,"LAST","."&amp;C$2&amp;C$1&amp;"P"&amp;$A17))/1000000,0),IF($A$2="DEX",IFERROR((100*RTD("tos.rtd",,"OPEN_INT","."&amp;C$2&amp;C$1&amp;"C"&amp;$A17)*RTD("tos.rtd",,"DELTA","."&amp;C$2&amp;C$1&amp;"C"&amp;$A17)-100*RTD("tos.rtd",,"OPEN_INT","."&amp;C$2&amp;C$1&amp;"P"&amp;$A17)*RTD("tos.rtd",,"DELTA","."&amp;C$2&amp;C$1&amp;"P"&amp;$A17))/1000,0),IF($A$2="VEX",IFERROR(($A$4*$A$4*RTD("tos.rtd",,"VOLUME","."&amp;C$2&amp;C$1&amp;"C"&amp;$A17)*RTD("tos.rtd",,"GAMMA","."&amp;C$2&amp;C$1&amp;"C"&amp;$A17)-$A$4*$A$4*RTD("tos.rtd",,"VOLUME","."&amp;C$2&amp;C$1&amp;"P"&amp;$A17)*RTD("tos.rtd",,"GAMMA","."&amp;C$2&amp;C$1&amp;"P"&amp;$A17))/1000000,0),IF($A$2="GEX",IFERROR(($A$4*$A$4*RTD("tos.rtd",,"OPEN_INT","."&amp;C$2&amp;C$1&amp;"C"&amp;$A17)*RTD("tos.rtd",,"GAMMA","."&amp;C$2&amp;C$1&amp;"C"&amp;$A17)-$A$4*$A$4*RTD("tos.rtd",,"OPEN_INT","."&amp;C$2&amp;C$1&amp;"P"&amp;$A17)*RTD("tos.rtd",,"GAMMA","."&amp;C$2&amp;C$1&amp;"P"&amp;$A17))/1000000,0),IF($A$2="SKEW",IFERROR(VALUE(IF(RTD("tos.rtd",,"IMPL_VOL","."&amp;C$2&amp;C$1&amp;"P"&amp;$A17)="N/A",0,RTD("tos.rtd",,"IMPL_VOL","."&amp;C$2&amp;C$1&amp;"P"&amp;$A17))),0)-IFERROR(VALUE(IF(RTD("tos.rtd",,"IMPL_VOL","."&amp;C$2&amp;C$1&amp;"C"&amp;$A17)="N/A",0,RTD("tos.rtd",,"IMPL_VOL","."&amp;C$2&amp;C$1&amp;"C"&amp;$A17))),0),IF($A$2="MAXPAIN",IF($A$4&gt;$A17,($A$4-$A17)*IF(RTD("tos.rtd",,"OPEN_INT","."&amp;C$2&amp;C$1&amp;"C"&amp;$A17)="N/A",0,RTD("tos.rtd",,"OPEN_INT","."&amp;C$2&amp;C$1&amp;"C"&amp;$A17)),0)+IF($A$4&lt;$A17,($A17-$A$4)*IF(RTD("tos.rtd",,"OPEN_INT","."&amp;C$2&amp;C$1&amp;"P"&amp;$A17)="N/A",0,RTD("tos.rtd",,"OPEN_INT","."&amp;C$2&amp;C$1&amp;"P"&amp;$A17)),0),IF(RTD("tos.rtd",,$A$2,"."&amp;C$2&amp;C$1&amp;"C"&amp;$A17)="N/A",0,RTD("tos.rtd",,$A$2,"."&amp;C$2&amp;C$1&amp;"C"&amp;$A17))-IF(RTD("tos.rtd",,$A$2,"."&amp;C$2&amp;C$1&amp;"P"&amp;$A17)="N/A",0,RTD("tos.rtd",,$A$2,"."&amp;C$2&amp;C$1&amp;"P"&amp;$A17)))))))))</f>
        <v>3371</v>
      </c>
      <c r="D17" s="12">
        <f>IF($A$2="PREMIUM_OI",IFERROR((100*RTD("tos.rtd",,"OPEN_INT","."&amp;D$2&amp;D$1&amp;"C"&amp;$A17)*RTD("tos.rtd",,"LAST","."&amp;D$2&amp;D$1&amp;"C"&amp;$A17)-100*RTD("tos.rtd",,"OPEN_INT","."&amp;D$2&amp;D$1&amp;"P"&amp;$A17)*RTD("tos.rtd",,"LAST","."&amp;D$2&amp;D$1&amp;"P"&amp;$A17))/1000000,0),IF($A$2="PREMIUM",IFERROR((100*RTD("tos.rtd",,"VOLUME","."&amp;D$2&amp;D$1&amp;"C"&amp;$A17)*RTD("tos.rtd",,"LAST","."&amp;D$2&amp;D$1&amp;"C"&amp;$A17)-100*RTD("tos.rtd",,"VOLUME","."&amp;D$2&amp;D$1&amp;"P"&amp;$A17)*RTD("tos.rtd",,"LAST","."&amp;D$2&amp;D$1&amp;"P"&amp;$A17))/1000000,0),IF($A$2="DEX",IFERROR((100*RTD("tos.rtd",,"OPEN_INT","."&amp;D$2&amp;D$1&amp;"C"&amp;$A17)*RTD("tos.rtd",,"DELTA","."&amp;D$2&amp;D$1&amp;"C"&amp;$A17)-100*RTD("tos.rtd",,"OPEN_INT","."&amp;D$2&amp;D$1&amp;"P"&amp;$A17)*RTD("tos.rtd",,"DELTA","."&amp;D$2&amp;D$1&amp;"P"&amp;$A17))/1000,0),IF($A$2="VEX",IFERROR(($A$4*$A$4*RTD("tos.rtd",,"VOLUME","."&amp;D$2&amp;D$1&amp;"C"&amp;$A17)*RTD("tos.rtd",,"GAMMA","."&amp;D$2&amp;D$1&amp;"C"&amp;$A17)-$A$4*$A$4*RTD("tos.rtd",,"VOLUME","."&amp;D$2&amp;D$1&amp;"P"&amp;$A17)*RTD("tos.rtd",,"GAMMA","."&amp;D$2&amp;D$1&amp;"P"&amp;$A17))/1000000,0),IF($A$2="GEX",IFERROR(($A$4*$A$4*RTD("tos.rtd",,"OPEN_INT","."&amp;D$2&amp;D$1&amp;"C"&amp;$A17)*RTD("tos.rtd",,"GAMMA","."&amp;D$2&amp;D$1&amp;"C"&amp;$A17)-$A$4*$A$4*RTD("tos.rtd",,"OPEN_INT","."&amp;D$2&amp;D$1&amp;"P"&amp;$A17)*RTD("tos.rtd",,"GAMMA","."&amp;D$2&amp;D$1&amp;"P"&amp;$A17))/1000000,0),IF($A$2="SKEW",IFERROR(VALUE(IF(RTD("tos.rtd",,"IMPL_VOL","."&amp;D$2&amp;D$1&amp;"P"&amp;$A17)="N/A",0,RTD("tos.rtd",,"IMPL_VOL","."&amp;D$2&amp;D$1&amp;"P"&amp;$A17))),0)-IFERROR(VALUE(IF(RTD("tos.rtd",,"IMPL_VOL","."&amp;D$2&amp;D$1&amp;"C"&amp;$A17)="N/A",0,RTD("tos.rtd",,"IMPL_VOL","."&amp;D$2&amp;D$1&amp;"C"&amp;$A17))),0),IF($A$2="MAXPAIN",IF($A$4&gt;$A17,($A$4-$A17)*IF(RTD("tos.rtd",,"OPEN_INT","."&amp;D$2&amp;D$1&amp;"C"&amp;$A17)="N/A",0,RTD("tos.rtd",,"OPEN_INT","."&amp;D$2&amp;D$1&amp;"C"&amp;$A17)),0)+IF($A$4&lt;$A17,($A17-$A$4)*IF(RTD("tos.rtd",,"OPEN_INT","."&amp;D$2&amp;D$1&amp;"P"&amp;$A17)="N/A",0,RTD("tos.rtd",,"OPEN_INT","."&amp;D$2&amp;D$1&amp;"P"&amp;$A17)),0),IF(RTD("tos.rtd",,$A$2,"."&amp;D$2&amp;D$1&amp;"C"&amp;$A17)="N/A",0,RTD("tos.rtd",,$A$2,"."&amp;D$2&amp;D$1&amp;"C"&amp;$A17))-IF(RTD("tos.rtd",,$A$2,"."&amp;D$2&amp;D$1&amp;"P"&amp;$A17)="N/A",0,RTD("tos.rtd",,$A$2,"."&amp;D$2&amp;D$1&amp;"P"&amp;$A17)))))))))</f>
        <v>0</v>
      </c>
      <c r="E17" s="12">
        <f>IF($A$2="PREMIUM_OI",IFERROR((100*RTD("tos.rtd",,"OPEN_INT","."&amp;E$2&amp;E$1&amp;"C"&amp;$A17)*RTD("tos.rtd",,"LAST","."&amp;E$2&amp;E$1&amp;"C"&amp;$A17)-100*RTD("tos.rtd",,"OPEN_INT","."&amp;E$2&amp;E$1&amp;"P"&amp;$A17)*RTD("tos.rtd",,"LAST","."&amp;E$2&amp;E$1&amp;"P"&amp;$A17))/1000000,0),IF($A$2="PREMIUM",IFERROR((100*RTD("tos.rtd",,"VOLUME","."&amp;E$2&amp;E$1&amp;"C"&amp;$A17)*RTD("tos.rtd",,"LAST","."&amp;E$2&amp;E$1&amp;"C"&amp;$A17)-100*RTD("tos.rtd",,"VOLUME","."&amp;E$2&amp;E$1&amp;"P"&amp;$A17)*RTD("tos.rtd",,"LAST","."&amp;E$2&amp;E$1&amp;"P"&amp;$A17))/1000000,0),IF($A$2="DEX",IFERROR((100*RTD("tos.rtd",,"OPEN_INT","."&amp;E$2&amp;E$1&amp;"C"&amp;$A17)*RTD("tos.rtd",,"DELTA","."&amp;E$2&amp;E$1&amp;"C"&amp;$A17)-100*RTD("tos.rtd",,"OPEN_INT","."&amp;E$2&amp;E$1&amp;"P"&amp;$A17)*RTD("tos.rtd",,"DELTA","."&amp;E$2&amp;E$1&amp;"P"&amp;$A17))/1000,0),IF($A$2="VEX",IFERROR(($A$4*$A$4*RTD("tos.rtd",,"VOLUME","."&amp;E$2&amp;E$1&amp;"C"&amp;$A17)*RTD("tos.rtd",,"GAMMA","."&amp;E$2&amp;E$1&amp;"C"&amp;$A17)-$A$4*$A$4*RTD("tos.rtd",,"VOLUME","."&amp;E$2&amp;E$1&amp;"P"&amp;$A17)*RTD("tos.rtd",,"GAMMA","."&amp;E$2&amp;E$1&amp;"P"&amp;$A17))/1000000,0),IF($A$2="GEX",IFERROR(($A$4*$A$4*RTD("tos.rtd",,"OPEN_INT","."&amp;E$2&amp;E$1&amp;"C"&amp;$A17)*RTD("tos.rtd",,"GAMMA","."&amp;E$2&amp;E$1&amp;"C"&amp;$A17)-$A$4*$A$4*RTD("tos.rtd",,"OPEN_INT","."&amp;E$2&amp;E$1&amp;"P"&amp;$A17)*RTD("tos.rtd",,"GAMMA","."&amp;E$2&amp;E$1&amp;"P"&amp;$A17))/1000000,0),IF($A$2="SKEW",IFERROR(VALUE(IF(RTD("tos.rtd",,"IMPL_VOL","."&amp;E$2&amp;E$1&amp;"P"&amp;$A17)="N/A",0,RTD("tos.rtd",,"IMPL_VOL","."&amp;E$2&amp;E$1&amp;"P"&amp;$A17))),0)-IFERROR(VALUE(IF(RTD("tos.rtd",,"IMPL_VOL","."&amp;E$2&amp;E$1&amp;"C"&amp;$A17)="N/A",0,RTD("tos.rtd",,"IMPL_VOL","."&amp;E$2&amp;E$1&amp;"C"&amp;$A17))),0),IF($A$2="MAXPAIN",IF($A$4&gt;$A17,($A$4-$A17)*IF(RTD("tos.rtd",,"OPEN_INT","."&amp;E$2&amp;E$1&amp;"C"&amp;$A17)="N/A",0,RTD("tos.rtd",,"OPEN_INT","."&amp;E$2&amp;E$1&amp;"C"&amp;$A17)),0)+IF($A$4&lt;$A17,($A17-$A$4)*IF(RTD("tos.rtd",,"OPEN_INT","."&amp;E$2&amp;E$1&amp;"P"&amp;$A17)="N/A",0,RTD("tos.rtd",,"OPEN_INT","."&amp;E$2&amp;E$1&amp;"P"&amp;$A17)),0),IF(RTD("tos.rtd",,$A$2,"."&amp;E$2&amp;E$1&amp;"C"&amp;$A17)="N/A",0,RTD("tos.rtd",,$A$2,"."&amp;E$2&amp;E$1&amp;"C"&amp;$A17))-IF(RTD("tos.rtd",,$A$2,"."&amp;E$2&amp;E$1&amp;"P"&amp;$A17)="N/A",0,RTD("tos.rtd",,$A$2,"."&amp;E$2&amp;E$1&amp;"P"&amp;$A17)))))))))</f>
        <v>0</v>
      </c>
      <c r="F17" s="12">
        <f>IF($A$2="PREMIUM_OI",IFERROR((100*RTD("tos.rtd",,"OPEN_INT","."&amp;F$2&amp;F$1&amp;"C"&amp;$A17)*RTD("tos.rtd",,"LAST","."&amp;F$2&amp;F$1&amp;"C"&amp;$A17)-100*RTD("tos.rtd",,"OPEN_INT","."&amp;F$2&amp;F$1&amp;"P"&amp;$A17)*RTD("tos.rtd",,"LAST","."&amp;F$2&amp;F$1&amp;"P"&amp;$A17))/1000000,0),IF($A$2="PREMIUM",IFERROR((100*RTD("tos.rtd",,"VOLUME","."&amp;F$2&amp;F$1&amp;"C"&amp;$A17)*RTD("tos.rtd",,"LAST","."&amp;F$2&amp;F$1&amp;"C"&amp;$A17)-100*RTD("tos.rtd",,"VOLUME","."&amp;F$2&amp;F$1&amp;"P"&amp;$A17)*RTD("tos.rtd",,"LAST","."&amp;F$2&amp;F$1&amp;"P"&amp;$A17))/1000000,0),IF($A$2="DEX",IFERROR((100*RTD("tos.rtd",,"OPEN_INT","."&amp;F$2&amp;F$1&amp;"C"&amp;$A17)*RTD("tos.rtd",,"DELTA","."&amp;F$2&amp;F$1&amp;"C"&amp;$A17)-100*RTD("tos.rtd",,"OPEN_INT","."&amp;F$2&amp;F$1&amp;"P"&amp;$A17)*RTD("tos.rtd",,"DELTA","."&amp;F$2&amp;F$1&amp;"P"&amp;$A17))/1000,0),IF($A$2="VEX",IFERROR(($A$4*$A$4*RTD("tos.rtd",,"VOLUME","."&amp;F$2&amp;F$1&amp;"C"&amp;$A17)*RTD("tos.rtd",,"GAMMA","."&amp;F$2&amp;F$1&amp;"C"&amp;$A17)-$A$4*$A$4*RTD("tos.rtd",,"VOLUME","."&amp;F$2&amp;F$1&amp;"P"&amp;$A17)*RTD("tos.rtd",,"GAMMA","."&amp;F$2&amp;F$1&amp;"P"&amp;$A17))/1000000,0),IF($A$2="GEX",IFERROR(($A$4*$A$4*RTD("tos.rtd",,"OPEN_INT","."&amp;F$2&amp;F$1&amp;"C"&amp;$A17)*RTD("tos.rtd",,"GAMMA","."&amp;F$2&amp;F$1&amp;"C"&amp;$A17)-$A$4*$A$4*RTD("tos.rtd",,"OPEN_INT","."&amp;F$2&amp;F$1&amp;"P"&amp;$A17)*RTD("tos.rtd",,"GAMMA","."&amp;F$2&amp;F$1&amp;"P"&amp;$A17))/1000000,0),IF($A$2="SKEW",IFERROR(VALUE(IF(RTD("tos.rtd",,"IMPL_VOL","."&amp;F$2&amp;F$1&amp;"P"&amp;$A17)="N/A",0,RTD("tos.rtd",,"IMPL_VOL","."&amp;F$2&amp;F$1&amp;"P"&amp;$A17))),0)-IFERROR(VALUE(IF(RTD("tos.rtd",,"IMPL_VOL","."&amp;F$2&amp;F$1&amp;"C"&amp;$A17)="N/A",0,RTD("tos.rtd",,"IMPL_VOL","."&amp;F$2&amp;F$1&amp;"C"&amp;$A17))),0),IF($A$2="MAXPAIN",IF($A$4&gt;$A17,($A$4-$A17)*IF(RTD("tos.rtd",,"OPEN_INT","."&amp;F$2&amp;F$1&amp;"C"&amp;$A17)="N/A",0,RTD("tos.rtd",,"OPEN_INT","."&amp;F$2&amp;F$1&amp;"C"&amp;$A17)),0)+IF($A$4&lt;$A17,($A17-$A$4)*IF(RTD("tos.rtd",,"OPEN_INT","."&amp;F$2&amp;F$1&amp;"P"&amp;$A17)="N/A",0,RTD("tos.rtd",,"OPEN_INT","."&amp;F$2&amp;F$1&amp;"P"&amp;$A17)),0),IF(RTD("tos.rtd",,$A$2,"."&amp;F$2&amp;F$1&amp;"C"&amp;$A17)="N/A",0,RTD("tos.rtd",,$A$2,"."&amp;F$2&amp;F$1&amp;"C"&amp;$A17))-IF(RTD("tos.rtd",,$A$2,"."&amp;F$2&amp;F$1&amp;"P"&amp;$A17)="N/A",0,RTD("tos.rtd",,$A$2,"."&amp;F$2&amp;F$1&amp;"P"&amp;$A17)))))))))</f>
        <v>0</v>
      </c>
      <c r="G17" s="14">
        <f>IF($A$2="PREMIUM_OI",IFERROR((100*RTD("tos.rtd",,"OPEN_INT","."&amp;G$2&amp;G$1&amp;"C"&amp;$A17)*RTD("tos.rtd",,"LAST","."&amp;G$2&amp;G$1&amp;"C"&amp;$A17)-100*RTD("tos.rtd",,"OPEN_INT","."&amp;G$2&amp;G$1&amp;"P"&amp;$A17)*RTD("tos.rtd",,"LAST","."&amp;G$2&amp;G$1&amp;"P"&amp;$A17))/1000000,0),IF($A$2="PREMIUM",IFERROR((100*RTD("tos.rtd",,"VOLUME","."&amp;G$2&amp;G$1&amp;"C"&amp;$A17)*RTD("tos.rtd",,"LAST","."&amp;G$2&amp;G$1&amp;"C"&amp;$A17)-100*RTD("tos.rtd",,"VOLUME","."&amp;G$2&amp;G$1&amp;"P"&amp;$A17)*RTD("tos.rtd",,"LAST","."&amp;G$2&amp;G$1&amp;"P"&amp;$A17))/1000000,0),IF($A$2="DEX",IFERROR((100*RTD("tos.rtd",,"OPEN_INT","."&amp;G$2&amp;G$1&amp;"C"&amp;$A17)*RTD("tos.rtd",,"DELTA","."&amp;G$2&amp;G$1&amp;"C"&amp;$A17)-100*RTD("tos.rtd",,"OPEN_INT","."&amp;G$2&amp;G$1&amp;"P"&amp;$A17)*RTD("tos.rtd",,"DELTA","."&amp;G$2&amp;G$1&amp;"P"&amp;$A17))/1000,0),IF($A$2="VEX",IFERROR(($A$4*$A$4*RTD("tos.rtd",,"VOLUME","."&amp;G$2&amp;G$1&amp;"C"&amp;$A17)*RTD("tos.rtd",,"GAMMA","."&amp;G$2&amp;G$1&amp;"C"&amp;$A17)-$A$4*$A$4*RTD("tos.rtd",,"VOLUME","."&amp;G$2&amp;G$1&amp;"P"&amp;$A17)*RTD("tos.rtd",,"GAMMA","."&amp;G$2&amp;G$1&amp;"P"&amp;$A17))/1000000,0),IF($A$2="GEX",IFERROR(($A$4*$A$4*RTD("tos.rtd",,"OPEN_INT","."&amp;G$2&amp;G$1&amp;"C"&amp;$A17)*RTD("tos.rtd",,"GAMMA","."&amp;G$2&amp;G$1&amp;"C"&amp;$A17)-$A$4*$A$4*RTD("tos.rtd",,"OPEN_INT","."&amp;G$2&amp;G$1&amp;"P"&amp;$A17)*RTD("tos.rtd",,"GAMMA","."&amp;G$2&amp;G$1&amp;"P"&amp;$A17))/1000000,0),IF($A$2="SKEW",IFERROR(VALUE(IF(RTD("tos.rtd",,"IMPL_VOL","."&amp;G$2&amp;G$1&amp;"P"&amp;$A17)="N/A",0,RTD("tos.rtd",,"IMPL_VOL","."&amp;G$2&amp;G$1&amp;"P"&amp;$A17))),0)-IFERROR(VALUE(IF(RTD("tos.rtd",,"IMPL_VOL","."&amp;G$2&amp;G$1&amp;"C"&amp;$A17)="N/A",0,RTD("tos.rtd",,"IMPL_VOL","."&amp;G$2&amp;G$1&amp;"C"&amp;$A17))),0),IF($A$2="MAXPAIN",IF($A$4&gt;$A17,($A$4-$A17)*IF(RTD("tos.rtd",,"OPEN_INT","."&amp;G$2&amp;G$1&amp;"C"&amp;$A17)="N/A",0,RTD("tos.rtd",,"OPEN_INT","."&amp;G$2&amp;G$1&amp;"C"&amp;$A17)),0)+IF($A$4&lt;$A17,($A17-$A$4)*IF(RTD("tos.rtd",,"OPEN_INT","."&amp;G$2&amp;G$1&amp;"P"&amp;$A17)="N/A",0,RTD("tos.rtd",,"OPEN_INT","."&amp;G$2&amp;G$1&amp;"P"&amp;$A17)),0),IF(RTD("tos.rtd",,$A$2,"."&amp;G$2&amp;G$1&amp;"C"&amp;$A17)="N/A",0,RTD("tos.rtd",,$A$2,"."&amp;G$2&amp;G$1&amp;"C"&amp;$A17))-IF(RTD("tos.rtd",,$A$2,"."&amp;G$2&amp;G$1&amp;"P"&amp;$A17)="N/A",0,RTD("tos.rtd",,$A$2,"."&amp;G$2&amp;G$1&amp;"P"&amp;$A17)))))))))</f>
        <v>0</v>
      </c>
      <c r="H17" s="12">
        <f>IF($A$2="PREMIUM_OI",IFERROR((100*RTD("tos.rtd",,"OPEN_INT","."&amp;H$2&amp;H$1&amp;"C"&amp;$A17)*RTD("tos.rtd",,"LAST","."&amp;H$2&amp;H$1&amp;"C"&amp;$A17)-100*RTD("tos.rtd",,"OPEN_INT","."&amp;H$2&amp;H$1&amp;"P"&amp;$A17)*RTD("tos.rtd",,"LAST","."&amp;H$2&amp;H$1&amp;"P"&amp;$A17))/1000000,0),IF($A$2="PREMIUM",IFERROR((100*RTD("tos.rtd",,"VOLUME","."&amp;H$2&amp;H$1&amp;"C"&amp;$A17)*RTD("tos.rtd",,"LAST","."&amp;H$2&amp;H$1&amp;"C"&amp;$A17)-100*RTD("tos.rtd",,"VOLUME","."&amp;H$2&amp;H$1&amp;"P"&amp;$A17)*RTD("tos.rtd",,"LAST","."&amp;H$2&amp;H$1&amp;"P"&amp;$A17))/1000000,0),IF($A$2="DEX",IFERROR((100*RTD("tos.rtd",,"OPEN_INT","."&amp;H$2&amp;H$1&amp;"C"&amp;$A17)*RTD("tos.rtd",,"DELTA","."&amp;H$2&amp;H$1&amp;"C"&amp;$A17)-100*RTD("tos.rtd",,"OPEN_INT","."&amp;H$2&amp;H$1&amp;"P"&amp;$A17)*RTD("tos.rtd",,"DELTA","."&amp;H$2&amp;H$1&amp;"P"&amp;$A17))/1000,0),IF($A$2="VEX",IFERROR(($A$4*$A$4*RTD("tos.rtd",,"VOLUME","."&amp;H$2&amp;H$1&amp;"C"&amp;$A17)*RTD("tos.rtd",,"GAMMA","."&amp;H$2&amp;H$1&amp;"C"&amp;$A17)-$A$4*$A$4*RTD("tos.rtd",,"VOLUME","."&amp;H$2&amp;H$1&amp;"P"&amp;$A17)*RTD("tos.rtd",,"GAMMA","."&amp;H$2&amp;H$1&amp;"P"&amp;$A17))/1000000,0),IF($A$2="GEX",IFERROR(($A$4*$A$4*RTD("tos.rtd",,"OPEN_INT","."&amp;H$2&amp;H$1&amp;"C"&amp;$A17)*RTD("tos.rtd",,"GAMMA","."&amp;H$2&amp;H$1&amp;"C"&amp;$A17)-$A$4*$A$4*RTD("tos.rtd",,"OPEN_INT","."&amp;H$2&amp;H$1&amp;"P"&amp;$A17)*RTD("tos.rtd",,"GAMMA","."&amp;H$2&amp;H$1&amp;"P"&amp;$A17))/1000000,0),IF($A$2="SKEW",IFERROR(VALUE(IF(RTD("tos.rtd",,"IMPL_VOL","."&amp;H$2&amp;H$1&amp;"P"&amp;$A17)="N/A",0,RTD("tos.rtd",,"IMPL_VOL","."&amp;H$2&amp;H$1&amp;"P"&amp;$A17))),0)-IFERROR(VALUE(IF(RTD("tos.rtd",,"IMPL_VOL","."&amp;H$2&amp;H$1&amp;"C"&amp;$A17)="N/A",0,RTD("tos.rtd",,"IMPL_VOL","."&amp;H$2&amp;H$1&amp;"C"&amp;$A17))),0),IF($A$2="MAXPAIN",IF($A$4&gt;$A17,($A$4-$A17)*IF(RTD("tos.rtd",,"OPEN_INT","."&amp;H$2&amp;H$1&amp;"C"&amp;$A17)="N/A",0,RTD("tos.rtd",,"OPEN_INT","."&amp;H$2&amp;H$1&amp;"C"&amp;$A17)),0)+IF($A$4&lt;$A17,($A17-$A$4)*IF(RTD("tos.rtd",,"OPEN_INT","."&amp;H$2&amp;H$1&amp;"P"&amp;$A17)="N/A",0,RTD("tos.rtd",,"OPEN_INT","."&amp;H$2&amp;H$1&amp;"P"&amp;$A17)),0),IF(RTD("tos.rtd",,$A$2,"."&amp;H$2&amp;H$1&amp;"C"&amp;$A17)="N/A",0,RTD("tos.rtd",,$A$2,"."&amp;H$2&amp;H$1&amp;"C"&amp;$A17))-IF(RTD("tos.rtd",,$A$2,"."&amp;H$2&amp;H$1&amp;"P"&amp;$A17)="N/A",0,RTD("tos.rtd",,$A$2,"."&amp;H$2&amp;H$1&amp;"P"&amp;$A17)))))))))</f>
        <v>1313</v>
      </c>
      <c r="I17" s="12">
        <f>IF($A$2="PREMIUM_OI",IFERROR((100*RTD("tos.rtd",,"OPEN_INT","."&amp;I$2&amp;I$1&amp;"C"&amp;$A17)*RTD("tos.rtd",,"LAST","."&amp;I$2&amp;I$1&amp;"C"&amp;$A17)-100*RTD("tos.rtd",,"OPEN_INT","."&amp;I$2&amp;I$1&amp;"P"&amp;$A17)*RTD("tos.rtd",,"LAST","."&amp;I$2&amp;I$1&amp;"P"&amp;$A17))/1000000,0),IF($A$2="PREMIUM",IFERROR((100*RTD("tos.rtd",,"VOLUME","."&amp;I$2&amp;I$1&amp;"C"&amp;$A17)*RTD("tos.rtd",,"LAST","."&amp;I$2&amp;I$1&amp;"C"&amp;$A17)-100*RTD("tos.rtd",,"VOLUME","."&amp;I$2&amp;I$1&amp;"P"&amp;$A17)*RTD("tos.rtd",,"LAST","."&amp;I$2&amp;I$1&amp;"P"&amp;$A17))/1000000,0),IF($A$2="DEX",IFERROR((100*RTD("tos.rtd",,"OPEN_INT","."&amp;I$2&amp;I$1&amp;"C"&amp;$A17)*RTD("tos.rtd",,"DELTA","."&amp;I$2&amp;I$1&amp;"C"&amp;$A17)-100*RTD("tos.rtd",,"OPEN_INT","."&amp;I$2&amp;I$1&amp;"P"&amp;$A17)*RTD("tos.rtd",,"DELTA","."&amp;I$2&amp;I$1&amp;"P"&amp;$A17))/1000,0),IF($A$2="VEX",IFERROR(($A$4*$A$4*RTD("tos.rtd",,"VOLUME","."&amp;I$2&amp;I$1&amp;"C"&amp;$A17)*RTD("tos.rtd",,"GAMMA","."&amp;I$2&amp;I$1&amp;"C"&amp;$A17)-$A$4*$A$4*RTD("tos.rtd",,"VOLUME","."&amp;I$2&amp;I$1&amp;"P"&amp;$A17)*RTD("tos.rtd",,"GAMMA","."&amp;I$2&amp;I$1&amp;"P"&amp;$A17))/1000000,0),IF($A$2="GEX",IFERROR(($A$4*$A$4*RTD("tos.rtd",,"OPEN_INT","."&amp;I$2&amp;I$1&amp;"C"&amp;$A17)*RTD("tos.rtd",,"GAMMA","."&amp;I$2&amp;I$1&amp;"C"&amp;$A17)-$A$4*$A$4*RTD("tos.rtd",,"OPEN_INT","."&amp;I$2&amp;I$1&amp;"P"&amp;$A17)*RTD("tos.rtd",,"GAMMA","."&amp;I$2&amp;I$1&amp;"P"&amp;$A17))/1000000,0),IF($A$2="SKEW",IFERROR(VALUE(IF(RTD("tos.rtd",,"IMPL_VOL","."&amp;I$2&amp;I$1&amp;"P"&amp;$A17)="N/A",0,RTD("tos.rtd",,"IMPL_VOL","."&amp;I$2&amp;I$1&amp;"P"&amp;$A17))),0)-IFERROR(VALUE(IF(RTD("tos.rtd",,"IMPL_VOL","."&amp;I$2&amp;I$1&amp;"C"&amp;$A17)="N/A",0,RTD("tos.rtd",,"IMPL_VOL","."&amp;I$2&amp;I$1&amp;"C"&amp;$A17))),0),IF($A$2="MAXPAIN",IF($A$4&gt;$A17,($A$4-$A17)*IF(RTD("tos.rtd",,"OPEN_INT","."&amp;I$2&amp;I$1&amp;"C"&amp;$A17)="N/A",0,RTD("tos.rtd",,"OPEN_INT","."&amp;I$2&amp;I$1&amp;"C"&amp;$A17)),0)+IF($A$4&lt;$A17,($A17-$A$4)*IF(RTD("tos.rtd",,"OPEN_INT","."&amp;I$2&amp;I$1&amp;"P"&amp;$A17)="N/A",0,RTD("tos.rtd",,"OPEN_INT","."&amp;I$2&amp;I$1&amp;"P"&amp;$A17)),0),IF(RTD("tos.rtd",,$A$2,"."&amp;I$2&amp;I$1&amp;"C"&amp;$A17)="N/A",0,RTD("tos.rtd",,$A$2,"."&amp;I$2&amp;I$1&amp;"C"&amp;$A17))-IF(RTD("tos.rtd",,$A$2,"."&amp;I$2&amp;I$1&amp;"P"&amp;$A17)="N/A",0,RTD("tos.rtd",,$A$2,"."&amp;I$2&amp;I$1&amp;"P"&amp;$A17)))))))))</f>
        <v>0</v>
      </c>
      <c r="J17" s="12">
        <f>IF($A$2="PREMIUM_OI",IFERROR((100*RTD("tos.rtd",,"OPEN_INT","."&amp;J$2&amp;J$1&amp;"C"&amp;$A17)*RTD("tos.rtd",,"LAST","."&amp;J$2&amp;J$1&amp;"C"&amp;$A17)-100*RTD("tos.rtd",,"OPEN_INT","."&amp;J$2&amp;J$1&amp;"P"&amp;$A17)*RTD("tos.rtd",,"LAST","."&amp;J$2&amp;J$1&amp;"P"&amp;$A17))/1000000,0),IF($A$2="PREMIUM",IFERROR((100*RTD("tos.rtd",,"VOLUME","."&amp;J$2&amp;J$1&amp;"C"&amp;$A17)*RTD("tos.rtd",,"LAST","."&amp;J$2&amp;J$1&amp;"C"&amp;$A17)-100*RTD("tos.rtd",,"VOLUME","."&amp;J$2&amp;J$1&amp;"P"&amp;$A17)*RTD("tos.rtd",,"LAST","."&amp;J$2&amp;J$1&amp;"P"&amp;$A17))/1000000,0),IF($A$2="DEX",IFERROR((100*RTD("tos.rtd",,"OPEN_INT","."&amp;J$2&amp;J$1&amp;"C"&amp;$A17)*RTD("tos.rtd",,"DELTA","."&amp;J$2&amp;J$1&amp;"C"&amp;$A17)-100*RTD("tos.rtd",,"OPEN_INT","."&amp;J$2&amp;J$1&amp;"P"&amp;$A17)*RTD("tos.rtd",,"DELTA","."&amp;J$2&amp;J$1&amp;"P"&amp;$A17))/1000,0),IF($A$2="VEX",IFERROR(($A$4*$A$4*RTD("tos.rtd",,"VOLUME","."&amp;J$2&amp;J$1&amp;"C"&amp;$A17)*RTD("tos.rtd",,"GAMMA","."&amp;J$2&amp;J$1&amp;"C"&amp;$A17)-$A$4*$A$4*RTD("tos.rtd",,"VOLUME","."&amp;J$2&amp;J$1&amp;"P"&amp;$A17)*RTD("tos.rtd",,"GAMMA","."&amp;J$2&amp;J$1&amp;"P"&amp;$A17))/1000000,0),IF($A$2="GEX",IFERROR(($A$4*$A$4*RTD("tos.rtd",,"OPEN_INT","."&amp;J$2&amp;J$1&amp;"C"&amp;$A17)*RTD("tos.rtd",,"GAMMA","."&amp;J$2&amp;J$1&amp;"C"&amp;$A17)-$A$4*$A$4*RTD("tos.rtd",,"OPEN_INT","."&amp;J$2&amp;J$1&amp;"P"&amp;$A17)*RTD("tos.rtd",,"GAMMA","."&amp;J$2&amp;J$1&amp;"P"&amp;$A17))/1000000,0),IF($A$2="SKEW",IFERROR(VALUE(IF(RTD("tos.rtd",,"IMPL_VOL","."&amp;J$2&amp;J$1&amp;"P"&amp;$A17)="N/A",0,RTD("tos.rtd",,"IMPL_VOL","."&amp;J$2&amp;J$1&amp;"P"&amp;$A17))),0)-IFERROR(VALUE(IF(RTD("tos.rtd",,"IMPL_VOL","."&amp;J$2&amp;J$1&amp;"C"&amp;$A17)="N/A",0,RTD("tos.rtd",,"IMPL_VOL","."&amp;J$2&amp;J$1&amp;"C"&amp;$A17))),0),IF($A$2="MAXPAIN",IF($A$4&gt;$A17,($A$4-$A17)*IF(RTD("tos.rtd",,"OPEN_INT","."&amp;J$2&amp;J$1&amp;"C"&amp;$A17)="N/A",0,RTD("tos.rtd",,"OPEN_INT","."&amp;J$2&amp;J$1&amp;"C"&amp;$A17)),0)+IF($A$4&lt;$A17,($A17-$A$4)*IF(RTD("tos.rtd",,"OPEN_INT","."&amp;J$2&amp;J$1&amp;"P"&amp;$A17)="N/A",0,RTD("tos.rtd",,"OPEN_INT","."&amp;J$2&amp;J$1&amp;"P"&amp;$A17)),0),IF(RTD("tos.rtd",,$A$2,"."&amp;J$2&amp;J$1&amp;"C"&amp;$A17)="N/A",0,RTD("tos.rtd",,$A$2,"."&amp;J$2&amp;J$1&amp;"C"&amp;$A17))-IF(RTD("tos.rtd",,$A$2,"."&amp;J$2&amp;J$1&amp;"P"&amp;$A17)="N/A",0,RTD("tos.rtd",,$A$2,"."&amp;J$2&amp;J$1&amp;"P"&amp;$A17)))))))))</f>
        <v>0</v>
      </c>
      <c r="K17" s="12">
        <f>IF($A$2="PREMIUM_OI",IFERROR((100*RTD("tos.rtd",,"OPEN_INT","."&amp;K$2&amp;K$1&amp;"C"&amp;$A17)*RTD("tos.rtd",,"LAST","."&amp;K$2&amp;K$1&amp;"C"&amp;$A17)-100*RTD("tos.rtd",,"OPEN_INT","."&amp;K$2&amp;K$1&amp;"P"&amp;$A17)*RTD("tos.rtd",,"LAST","."&amp;K$2&amp;K$1&amp;"P"&amp;$A17))/1000000,0),IF($A$2="PREMIUM",IFERROR((100*RTD("tos.rtd",,"VOLUME","."&amp;K$2&amp;K$1&amp;"C"&amp;$A17)*RTD("tos.rtd",,"LAST","."&amp;K$2&amp;K$1&amp;"C"&amp;$A17)-100*RTD("tos.rtd",,"VOLUME","."&amp;K$2&amp;K$1&amp;"P"&amp;$A17)*RTD("tos.rtd",,"LAST","."&amp;K$2&amp;K$1&amp;"P"&amp;$A17))/1000000,0),IF($A$2="DEX",IFERROR((100*RTD("tos.rtd",,"OPEN_INT","."&amp;K$2&amp;K$1&amp;"C"&amp;$A17)*RTD("tos.rtd",,"DELTA","."&amp;K$2&amp;K$1&amp;"C"&amp;$A17)-100*RTD("tos.rtd",,"OPEN_INT","."&amp;K$2&amp;K$1&amp;"P"&amp;$A17)*RTD("tos.rtd",,"DELTA","."&amp;K$2&amp;K$1&amp;"P"&amp;$A17))/1000,0),IF($A$2="VEX",IFERROR(($A$4*$A$4*RTD("tos.rtd",,"VOLUME","."&amp;K$2&amp;K$1&amp;"C"&amp;$A17)*RTD("tos.rtd",,"GAMMA","."&amp;K$2&amp;K$1&amp;"C"&amp;$A17)-$A$4*$A$4*RTD("tos.rtd",,"VOLUME","."&amp;K$2&amp;K$1&amp;"P"&amp;$A17)*RTD("tos.rtd",,"GAMMA","."&amp;K$2&amp;K$1&amp;"P"&amp;$A17))/1000000,0),IF($A$2="GEX",IFERROR(($A$4*$A$4*RTD("tos.rtd",,"OPEN_INT","."&amp;K$2&amp;K$1&amp;"C"&amp;$A17)*RTD("tos.rtd",,"GAMMA","."&amp;K$2&amp;K$1&amp;"C"&amp;$A17)-$A$4*$A$4*RTD("tos.rtd",,"OPEN_INT","."&amp;K$2&amp;K$1&amp;"P"&amp;$A17)*RTD("tos.rtd",,"GAMMA","."&amp;K$2&amp;K$1&amp;"P"&amp;$A17))/1000000,0),IF($A$2="SKEW",IFERROR(VALUE(IF(RTD("tos.rtd",,"IMPL_VOL","."&amp;K$2&amp;K$1&amp;"P"&amp;$A17)="N/A",0,RTD("tos.rtd",,"IMPL_VOL","."&amp;K$2&amp;K$1&amp;"P"&amp;$A17))),0)-IFERROR(VALUE(IF(RTD("tos.rtd",,"IMPL_VOL","."&amp;K$2&amp;K$1&amp;"C"&amp;$A17)="N/A",0,RTD("tos.rtd",,"IMPL_VOL","."&amp;K$2&amp;K$1&amp;"C"&amp;$A17))),0),IF($A$2="MAXPAIN",IF($A$4&gt;$A17,($A$4-$A17)*IF(RTD("tos.rtd",,"OPEN_INT","."&amp;K$2&amp;K$1&amp;"C"&amp;$A17)="N/A",0,RTD("tos.rtd",,"OPEN_INT","."&amp;K$2&amp;K$1&amp;"C"&amp;$A17)),0)+IF($A$4&lt;$A17,($A17-$A$4)*IF(RTD("tos.rtd",,"OPEN_INT","."&amp;K$2&amp;K$1&amp;"P"&amp;$A17)="N/A",0,RTD("tos.rtd",,"OPEN_INT","."&amp;K$2&amp;K$1&amp;"P"&amp;$A17)),0),IF(RTD("tos.rtd",,$A$2,"."&amp;K$2&amp;K$1&amp;"C"&amp;$A17)="N/A",0,RTD("tos.rtd",,$A$2,"."&amp;K$2&amp;K$1&amp;"C"&amp;$A17))-IF(RTD("tos.rtd",,$A$2,"."&amp;K$2&amp;K$1&amp;"P"&amp;$A17)="N/A",0,RTD("tos.rtd",,$A$2,"."&amp;K$2&amp;K$1&amp;"P"&amp;$A17)))))))))</f>
        <v>0</v>
      </c>
      <c r="L17" s="12">
        <f>IF($A$2="PREMIUM_OI",IFERROR((100*RTD("tos.rtd",,"OPEN_INT","."&amp;L$2&amp;L$1&amp;"C"&amp;$A17)*RTD("tos.rtd",,"LAST","."&amp;L$2&amp;L$1&amp;"C"&amp;$A17)-100*RTD("tos.rtd",,"OPEN_INT","."&amp;L$2&amp;L$1&amp;"P"&amp;$A17)*RTD("tos.rtd",,"LAST","."&amp;L$2&amp;L$1&amp;"P"&amp;$A17))/1000000,0),IF($A$2="PREMIUM",IFERROR((100*RTD("tos.rtd",,"VOLUME","."&amp;L$2&amp;L$1&amp;"C"&amp;$A17)*RTD("tos.rtd",,"LAST","."&amp;L$2&amp;L$1&amp;"C"&amp;$A17)-100*RTD("tos.rtd",,"VOLUME","."&amp;L$2&amp;L$1&amp;"P"&amp;$A17)*RTD("tos.rtd",,"LAST","."&amp;L$2&amp;L$1&amp;"P"&amp;$A17))/1000000,0),IF($A$2="DEX",IFERROR((100*RTD("tos.rtd",,"OPEN_INT","."&amp;L$2&amp;L$1&amp;"C"&amp;$A17)*RTD("tos.rtd",,"DELTA","."&amp;L$2&amp;L$1&amp;"C"&amp;$A17)-100*RTD("tos.rtd",,"OPEN_INT","."&amp;L$2&amp;L$1&amp;"P"&amp;$A17)*RTD("tos.rtd",,"DELTA","."&amp;L$2&amp;L$1&amp;"P"&amp;$A17))/1000,0),IF($A$2="VEX",IFERROR(($A$4*$A$4*RTD("tos.rtd",,"VOLUME","."&amp;L$2&amp;L$1&amp;"C"&amp;$A17)*RTD("tos.rtd",,"GAMMA","."&amp;L$2&amp;L$1&amp;"C"&amp;$A17)-$A$4*$A$4*RTD("tos.rtd",,"VOLUME","."&amp;L$2&amp;L$1&amp;"P"&amp;$A17)*RTD("tos.rtd",,"GAMMA","."&amp;L$2&amp;L$1&amp;"P"&amp;$A17))/1000000,0),IF($A$2="GEX",IFERROR(($A$4*$A$4*RTD("tos.rtd",,"OPEN_INT","."&amp;L$2&amp;L$1&amp;"C"&amp;$A17)*RTD("tos.rtd",,"GAMMA","."&amp;L$2&amp;L$1&amp;"C"&amp;$A17)-$A$4*$A$4*RTD("tos.rtd",,"OPEN_INT","."&amp;L$2&amp;L$1&amp;"P"&amp;$A17)*RTD("tos.rtd",,"GAMMA","."&amp;L$2&amp;L$1&amp;"P"&amp;$A17))/1000000,0),IF($A$2="SKEW",IFERROR(VALUE(IF(RTD("tos.rtd",,"IMPL_VOL","."&amp;L$2&amp;L$1&amp;"P"&amp;$A17)="N/A",0,RTD("tos.rtd",,"IMPL_VOL","."&amp;L$2&amp;L$1&amp;"P"&amp;$A17))),0)-IFERROR(VALUE(IF(RTD("tos.rtd",,"IMPL_VOL","."&amp;L$2&amp;L$1&amp;"C"&amp;$A17)="N/A",0,RTD("tos.rtd",,"IMPL_VOL","."&amp;L$2&amp;L$1&amp;"C"&amp;$A17))),0),IF($A$2="MAXPAIN",IF($A$4&gt;$A17,($A$4-$A17)*IF(RTD("tos.rtd",,"OPEN_INT","."&amp;L$2&amp;L$1&amp;"C"&amp;$A17)="N/A",0,RTD("tos.rtd",,"OPEN_INT","."&amp;L$2&amp;L$1&amp;"C"&amp;$A17)),0)+IF($A$4&lt;$A17,($A17-$A$4)*IF(RTD("tos.rtd",,"OPEN_INT","."&amp;L$2&amp;L$1&amp;"P"&amp;$A17)="N/A",0,RTD("tos.rtd",,"OPEN_INT","."&amp;L$2&amp;L$1&amp;"P"&amp;$A17)),0),IF(RTD("tos.rtd",,$A$2,"."&amp;L$2&amp;L$1&amp;"C"&amp;$A17)="N/A",0,RTD("tos.rtd",,$A$2,"."&amp;L$2&amp;L$1&amp;"C"&amp;$A17))-IF(RTD("tos.rtd",,$A$2,"."&amp;L$2&amp;L$1&amp;"P"&amp;$A17)="N/A",0,RTD("tos.rtd",,$A$2,"."&amp;L$2&amp;L$1&amp;"P"&amp;$A17)))))))))</f>
        <v>0</v>
      </c>
      <c r="M17" s="12">
        <f>IF($A$2="PREMIUM_OI",IFERROR((100*RTD("tos.rtd",,"OPEN_INT","."&amp;M$2&amp;M$1&amp;"C"&amp;$A17)*RTD("tos.rtd",,"LAST","."&amp;M$2&amp;M$1&amp;"C"&amp;$A17)-100*RTD("tos.rtd",,"OPEN_INT","."&amp;M$2&amp;M$1&amp;"P"&amp;$A17)*RTD("tos.rtd",,"LAST","."&amp;M$2&amp;M$1&amp;"P"&amp;$A17))/1000000,0),IF($A$2="PREMIUM",IFERROR((100*RTD("tos.rtd",,"VOLUME","."&amp;M$2&amp;M$1&amp;"C"&amp;$A17)*RTD("tos.rtd",,"LAST","."&amp;M$2&amp;M$1&amp;"C"&amp;$A17)-100*RTD("tos.rtd",,"VOLUME","."&amp;M$2&amp;M$1&amp;"P"&amp;$A17)*RTD("tos.rtd",,"LAST","."&amp;M$2&amp;M$1&amp;"P"&amp;$A17))/1000000,0),IF($A$2="DEX",IFERROR((100*RTD("tos.rtd",,"OPEN_INT","."&amp;M$2&amp;M$1&amp;"C"&amp;$A17)*RTD("tos.rtd",,"DELTA","."&amp;M$2&amp;M$1&amp;"C"&amp;$A17)-100*RTD("tos.rtd",,"OPEN_INT","."&amp;M$2&amp;M$1&amp;"P"&amp;$A17)*RTD("tos.rtd",,"DELTA","."&amp;M$2&amp;M$1&amp;"P"&amp;$A17))/1000,0),IF($A$2="VEX",IFERROR(($A$4*$A$4*RTD("tos.rtd",,"VOLUME","."&amp;M$2&amp;M$1&amp;"C"&amp;$A17)*RTD("tos.rtd",,"GAMMA","."&amp;M$2&amp;M$1&amp;"C"&amp;$A17)-$A$4*$A$4*RTD("tos.rtd",,"VOLUME","."&amp;M$2&amp;M$1&amp;"P"&amp;$A17)*RTD("tos.rtd",,"GAMMA","."&amp;M$2&amp;M$1&amp;"P"&amp;$A17))/1000000,0),IF($A$2="GEX",IFERROR(($A$4*$A$4*RTD("tos.rtd",,"OPEN_INT","."&amp;M$2&amp;M$1&amp;"C"&amp;$A17)*RTD("tos.rtd",,"GAMMA","."&amp;M$2&amp;M$1&amp;"C"&amp;$A17)-$A$4*$A$4*RTD("tos.rtd",,"OPEN_INT","."&amp;M$2&amp;M$1&amp;"P"&amp;$A17)*RTD("tos.rtd",,"GAMMA","."&amp;M$2&amp;M$1&amp;"P"&amp;$A17))/1000000,0),IF($A$2="SKEW",IFERROR(VALUE(IF(RTD("tos.rtd",,"IMPL_VOL","."&amp;M$2&amp;M$1&amp;"P"&amp;$A17)="N/A",0,RTD("tos.rtd",,"IMPL_VOL","."&amp;M$2&amp;M$1&amp;"P"&amp;$A17))),0)-IFERROR(VALUE(IF(RTD("tos.rtd",,"IMPL_VOL","."&amp;M$2&amp;M$1&amp;"C"&amp;$A17)="N/A",0,RTD("tos.rtd",,"IMPL_VOL","."&amp;M$2&amp;M$1&amp;"C"&amp;$A17))),0),IF($A$2="MAXPAIN",IF($A$4&gt;$A17,($A$4-$A17)*IF(RTD("tos.rtd",,"OPEN_INT","."&amp;M$2&amp;M$1&amp;"C"&amp;$A17)="N/A",0,RTD("tos.rtd",,"OPEN_INT","."&amp;M$2&amp;M$1&amp;"C"&amp;$A17)),0)+IF($A$4&lt;$A17,($A17-$A$4)*IF(RTD("tos.rtd",,"OPEN_INT","."&amp;M$2&amp;M$1&amp;"P"&amp;$A17)="N/A",0,RTD("tos.rtd",,"OPEN_INT","."&amp;M$2&amp;M$1&amp;"P"&amp;$A17)),0),IF(RTD("tos.rtd",,$A$2,"."&amp;M$2&amp;M$1&amp;"C"&amp;$A17)="N/A",0,RTD("tos.rtd",,$A$2,"."&amp;M$2&amp;M$1&amp;"C"&amp;$A17))-IF(RTD("tos.rtd",,$A$2,"."&amp;M$2&amp;M$1&amp;"P"&amp;$A17)="N/A",0,RTD("tos.rtd",,$A$2,"."&amp;M$2&amp;M$1&amp;"P"&amp;$A17)))))))))</f>
        <v>252</v>
      </c>
      <c r="N17" s="12">
        <f>IF($A$2="PREMIUM_OI",IFERROR((100*RTD("tos.rtd",,"OPEN_INT","."&amp;N$2&amp;N$1&amp;"C"&amp;$A17)*RTD("tos.rtd",,"LAST","."&amp;N$2&amp;N$1&amp;"C"&amp;$A17)-100*RTD("tos.rtd",,"OPEN_INT","."&amp;N$2&amp;N$1&amp;"P"&amp;$A17)*RTD("tos.rtd",,"LAST","."&amp;N$2&amp;N$1&amp;"P"&amp;$A17))/1000000,0),IF($A$2="PREMIUM",IFERROR((100*RTD("tos.rtd",,"VOLUME","."&amp;N$2&amp;N$1&amp;"C"&amp;$A17)*RTD("tos.rtd",,"LAST","."&amp;N$2&amp;N$1&amp;"C"&amp;$A17)-100*RTD("tos.rtd",,"VOLUME","."&amp;N$2&amp;N$1&amp;"P"&amp;$A17)*RTD("tos.rtd",,"LAST","."&amp;N$2&amp;N$1&amp;"P"&amp;$A17))/1000000,0),IF($A$2="DEX",IFERROR((100*RTD("tos.rtd",,"OPEN_INT","."&amp;N$2&amp;N$1&amp;"C"&amp;$A17)*RTD("tos.rtd",,"DELTA","."&amp;N$2&amp;N$1&amp;"C"&amp;$A17)-100*RTD("tos.rtd",,"OPEN_INT","."&amp;N$2&amp;N$1&amp;"P"&amp;$A17)*RTD("tos.rtd",,"DELTA","."&amp;N$2&amp;N$1&amp;"P"&amp;$A17))/1000,0),IF($A$2="VEX",IFERROR(($A$4*$A$4*RTD("tos.rtd",,"VOLUME","."&amp;N$2&amp;N$1&amp;"C"&amp;$A17)*RTD("tos.rtd",,"GAMMA","."&amp;N$2&amp;N$1&amp;"C"&amp;$A17)-$A$4*$A$4*RTD("tos.rtd",,"VOLUME","."&amp;N$2&amp;N$1&amp;"P"&amp;$A17)*RTD("tos.rtd",,"GAMMA","."&amp;N$2&amp;N$1&amp;"P"&amp;$A17))/1000000,0),IF($A$2="GEX",IFERROR(($A$4*$A$4*RTD("tos.rtd",,"OPEN_INT","."&amp;N$2&amp;N$1&amp;"C"&amp;$A17)*RTD("tos.rtd",,"GAMMA","."&amp;N$2&amp;N$1&amp;"C"&amp;$A17)-$A$4*$A$4*RTD("tos.rtd",,"OPEN_INT","."&amp;N$2&amp;N$1&amp;"P"&amp;$A17)*RTD("tos.rtd",,"GAMMA","."&amp;N$2&amp;N$1&amp;"P"&amp;$A17))/1000000,0),IF($A$2="SKEW",IFERROR(VALUE(IF(RTD("tos.rtd",,"IMPL_VOL","."&amp;N$2&amp;N$1&amp;"P"&amp;$A17)="N/A",0,RTD("tos.rtd",,"IMPL_VOL","."&amp;N$2&amp;N$1&amp;"P"&amp;$A17))),0)-IFERROR(VALUE(IF(RTD("tos.rtd",,"IMPL_VOL","."&amp;N$2&amp;N$1&amp;"C"&amp;$A17)="N/A",0,RTD("tos.rtd",,"IMPL_VOL","."&amp;N$2&amp;N$1&amp;"C"&amp;$A17))),0),IF($A$2="MAXPAIN",IF($A$4&gt;$A17,($A$4-$A17)*IF(RTD("tos.rtd",,"OPEN_INT","."&amp;N$2&amp;N$1&amp;"C"&amp;$A17)="N/A",0,RTD("tos.rtd",,"OPEN_INT","."&amp;N$2&amp;N$1&amp;"C"&amp;$A17)),0)+IF($A$4&lt;$A17,($A17-$A$4)*IF(RTD("tos.rtd",,"OPEN_INT","."&amp;N$2&amp;N$1&amp;"P"&amp;$A17)="N/A",0,RTD("tos.rtd",,"OPEN_INT","."&amp;N$2&amp;N$1&amp;"P"&amp;$A17)),0),IF(RTD("tos.rtd",,$A$2,"."&amp;N$2&amp;N$1&amp;"C"&amp;$A17)="N/A",0,RTD("tos.rtd",,$A$2,"."&amp;N$2&amp;N$1&amp;"C"&amp;$A17))-IF(RTD("tos.rtd",,$A$2,"."&amp;N$2&amp;N$1&amp;"P"&amp;$A17)="N/A",0,RTD("tos.rtd",,$A$2,"."&amp;N$2&amp;N$1&amp;"P"&amp;$A17)))))))))</f>
        <v>0</v>
      </c>
      <c r="O17" s="12">
        <f>IF($A$2="PREMIUM_OI",IFERROR((100*RTD("tos.rtd",,"OPEN_INT","."&amp;O$2&amp;O$1&amp;"C"&amp;$A17)*RTD("tos.rtd",,"LAST","."&amp;O$2&amp;O$1&amp;"C"&amp;$A17)-100*RTD("tos.rtd",,"OPEN_INT","."&amp;O$2&amp;O$1&amp;"P"&amp;$A17)*RTD("tos.rtd",,"LAST","."&amp;O$2&amp;O$1&amp;"P"&amp;$A17))/1000000,0),IF($A$2="PREMIUM",IFERROR((100*RTD("tos.rtd",,"VOLUME","."&amp;O$2&amp;O$1&amp;"C"&amp;$A17)*RTD("tos.rtd",,"LAST","."&amp;O$2&amp;O$1&amp;"C"&amp;$A17)-100*RTD("tos.rtd",,"VOLUME","."&amp;O$2&amp;O$1&amp;"P"&amp;$A17)*RTD("tos.rtd",,"LAST","."&amp;O$2&amp;O$1&amp;"P"&amp;$A17))/1000000,0),IF($A$2="DEX",IFERROR((100*RTD("tos.rtd",,"OPEN_INT","."&amp;O$2&amp;O$1&amp;"C"&amp;$A17)*RTD("tos.rtd",,"DELTA","."&amp;O$2&amp;O$1&amp;"C"&amp;$A17)-100*RTD("tos.rtd",,"OPEN_INT","."&amp;O$2&amp;O$1&amp;"P"&amp;$A17)*RTD("tos.rtd",,"DELTA","."&amp;O$2&amp;O$1&amp;"P"&amp;$A17))/1000,0),IF($A$2="VEX",IFERROR(($A$4*$A$4*RTD("tos.rtd",,"VOLUME","."&amp;O$2&amp;O$1&amp;"C"&amp;$A17)*RTD("tos.rtd",,"GAMMA","."&amp;O$2&amp;O$1&amp;"C"&amp;$A17)-$A$4*$A$4*RTD("tos.rtd",,"VOLUME","."&amp;O$2&amp;O$1&amp;"P"&amp;$A17)*RTD("tos.rtd",,"GAMMA","."&amp;O$2&amp;O$1&amp;"P"&amp;$A17))/1000000,0),IF($A$2="GEX",IFERROR(($A$4*$A$4*RTD("tos.rtd",,"OPEN_INT","."&amp;O$2&amp;O$1&amp;"C"&amp;$A17)*RTD("tos.rtd",,"GAMMA","."&amp;O$2&amp;O$1&amp;"C"&amp;$A17)-$A$4*$A$4*RTD("tos.rtd",,"OPEN_INT","."&amp;O$2&amp;O$1&amp;"P"&amp;$A17)*RTD("tos.rtd",,"GAMMA","."&amp;O$2&amp;O$1&amp;"P"&amp;$A17))/1000000,0),IF($A$2="SKEW",IFERROR(VALUE(IF(RTD("tos.rtd",,"IMPL_VOL","."&amp;O$2&amp;O$1&amp;"P"&amp;$A17)="N/A",0,RTD("tos.rtd",,"IMPL_VOL","."&amp;O$2&amp;O$1&amp;"P"&amp;$A17))),0)-IFERROR(VALUE(IF(RTD("tos.rtd",,"IMPL_VOL","."&amp;O$2&amp;O$1&amp;"C"&amp;$A17)="N/A",0,RTD("tos.rtd",,"IMPL_VOL","."&amp;O$2&amp;O$1&amp;"C"&amp;$A17))),0),IF($A$2="MAXPAIN",IF($A$4&gt;$A17,($A$4-$A17)*IF(RTD("tos.rtd",,"OPEN_INT","."&amp;O$2&amp;O$1&amp;"C"&amp;$A17)="N/A",0,RTD("tos.rtd",,"OPEN_INT","."&amp;O$2&amp;O$1&amp;"C"&amp;$A17)),0)+IF($A$4&lt;$A17,($A17-$A$4)*IF(RTD("tos.rtd",,"OPEN_INT","."&amp;O$2&amp;O$1&amp;"P"&amp;$A17)="N/A",0,RTD("tos.rtd",,"OPEN_INT","."&amp;O$2&amp;O$1&amp;"P"&amp;$A17)),0),IF(RTD("tos.rtd",,$A$2,"."&amp;O$2&amp;O$1&amp;"C"&amp;$A17)="N/A",0,RTD("tos.rtd",,$A$2,"."&amp;O$2&amp;O$1&amp;"C"&amp;$A17))-IF(RTD("tos.rtd",,$A$2,"."&amp;O$2&amp;O$1&amp;"P"&amp;$A17)="N/A",0,RTD("tos.rtd",,$A$2,"."&amp;O$2&amp;O$1&amp;"P"&amp;$A17)))))))))</f>
        <v>0</v>
      </c>
      <c r="P17" s="12">
        <f>IF($A$2="PREMIUM_OI",IFERROR((100*RTD("tos.rtd",,"OPEN_INT","."&amp;P$2&amp;P$1&amp;"C"&amp;$A17)*RTD("tos.rtd",,"LAST","."&amp;P$2&amp;P$1&amp;"C"&amp;$A17)-100*RTD("tos.rtd",,"OPEN_INT","."&amp;P$2&amp;P$1&amp;"P"&amp;$A17)*RTD("tos.rtd",,"LAST","."&amp;P$2&amp;P$1&amp;"P"&amp;$A17))/1000000,0),IF($A$2="PREMIUM",IFERROR((100*RTD("tos.rtd",,"VOLUME","."&amp;P$2&amp;P$1&amp;"C"&amp;$A17)*RTD("tos.rtd",,"LAST","."&amp;P$2&amp;P$1&amp;"C"&amp;$A17)-100*RTD("tos.rtd",,"VOLUME","."&amp;P$2&amp;P$1&amp;"P"&amp;$A17)*RTD("tos.rtd",,"LAST","."&amp;P$2&amp;P$1&amp;"P"&amp;$A17))/1000000,0),IF($A$2="DEX",IFERROR((100*RTD("tos.rtd",,"OPEN_INT","."&amp;P$2&amp;P$1&amp;"C"&amp;$A17)*RTD("tos.rtd",,"DELTA","."&amp;P$2&amp;P$1&amp;"C"&amp;$A17)-100*RTD("tos.rtd",,"OPEN_INT","."&amp;P$2&amp;P$1&amp;"P"&amp;$A17)*RTD("tos.rtd",,"DELTA","."&amp;P$2&amp;P$1&amp;"P"&amp;$A17))/1000,0),IF($A$2="VEX",IFERROR(($A$4*$A$4*RTD("tos.rtd",,"VOLUME","."&amp;P$2&amp;P$1&amp;"C"&amp;$A17)*RTD("tos.rtd",,"GAMMA","."&amp;P$2&amp;P$1&amp;"C"&amp;$A17)-$A$4*$A$4*RTD("tos.rtd",,"VOLUME","."&amp;P$2&amp;P$1&amp;"P"&amp;$A17)*RTD("tos.rtd",,"GAMMA","."&amp;P$2&amp;P$1&amp;"P"&amp;$A17))/1000000,0),IF($A$2="GEX",IFERROR(($A$4*$A$4*RTD("tos.rtd",,"OPEN_INT","."&amp;P$2&amp;P$1&amp;"C"&amp;$A17)*RTD("tos.rtd",,"GAMMA","."&amp;P$2&amp;P$1&amp;"C"&amp;$A17)-$A$4*$A$4*RTD("tos.rtd",,"OPEN_INT","."&amp;P$2&amp;P$1&amp;"P"&amp;$A17)*RTD("tos.rtd",,"GAMMA","."&amp;P$2&amp;P$1&amp;"P"&amp;$A17))/1000000,0),IF($A$2="SKEW",IFERROR(VALUE(IF(RTD("tos.rtd",,"IMPL_VOL","."&amp;P$2&amp;P$1&amp;"P"&amp;$A17)="N/A",0,RTD("tos.rtd",,"IMPL_VOL","."&amp;P$2&amp;P$1&amp;"P"&amp;$A17))),0)-IFERROR(VALUE(IF(RTD("tos.rtd",,"IMPL_VOL","."&amp;P$2&amp;P$1&amp;"C"&amp;$A17)="N/A",0,RTD("tos.rtd",,"IMPL_VOL","."&amp;P$2&amp;P$1&amp;"C"&amp;$A17))),0),IF($A$2="MAXPAIN",IF($A$4&gt;$A17,($A$4-$A17)*IF(RTD("tos.rtd",,"OPEN_INT","."&amp;P$2&amp;P$1&amp;"C"&amp;$A17)="N/A",0,RTD("tos.rtd",,"OPEN_INT","."&amp;P$2&amp;P$1&amp;"C"&amp;$A17)),0)+IF($A$4&lt;$A17,($A17-$A$4)*IF(RTD("tos.rtd",,"OPEN_INT","."&amp;P$2&amp;P$1&amp;"P"&amp;$A17)="N/A",0,RTD("tos.rtd",,"OPEN_INT","."&amp;P$2&amp;P$1&amp;"P"&amp;$A17)),0),IF(RTD("tos.rtd",,$A$2,"."&amp;P$2&amp;P$1&amp;"C"&amp;$A17)="N/A",0,RTD("tos.rtd",,$A$2,"."&amp;P$2&amp;P$1&amp;"C"&amp;$A17))-IF(RTD("tos.rtd",,$A$2,"."&amp;P$2&amp;P$1&amp;"P"&amp;$A17)="N/A",0,RTD("tos.rtd",,$A$2,"."&amp;P$2&amp;P$1&amp;"P"&amp;$A17)))))))))</f>
        <v>0</v>
      </c>
      <c r="Q17" s="12">
        <f>IF($A$2="PREMIUM_OI",IFERROR((100*RTD("tos.rtd",,"OPEN_INT","."&amp;Q$2&amp;Q$1&amp;"C"&amp;$A17)*RTD("tos.rtd",,"LAST","."&amp;Q$2&amp;Q$1&amp;"C"&amp;$A17)-100*RTD("tos.rtd",,"OPEN_INT","."&amp;Q$2&amp;Q$1&amp;"P"&amp;$A17)*RTD("tos.rtd",,"LAST","."&amp;Q$2&amp;Q$1&amp;"P"&amp;$A17))/1000000,0),IF($A$2="PREMIUM",IFERROR((100*RTD("tos.rtd",,"VOLUME","."&amp;Q$2&amp;Q$1&amp;"C"&amp;$A17)*RTD("tos.rtd",,"LAST","."&amp;Q$2&amp;Q$1&amp;"C"&amp;$A17)-100*RTD("tos.rtd",,"VOLUME","."&amp;Q$2&amp;Q$1&amp;"P"&amp;$A17)*RTD("tos.rtd",,"LAST","."&amp;Q$2&amp;Q$1&amp;"P"&amp;$A17))/1000000,0),IF($A$2="DEX",IFERROR((100*RTD("tos.rtd",,"OPEN_INT","."&amp;Q$2&amp;Q$1&amp;"C"&amp;$A17)*RTD("tos.rtd",,"DELTA","."&amp;Q$2&amp;Q$1&amp;"C"&amp;$A17)-100*RTD("tos.rtd",,"OPEN_INT","."&amp;Q$2&amp;Q$1&amp;"P"&amp;$A17)*RTD("tos.rtd",,"DELTA","."&amp;Q$2&amp;Q$1&amp;"P"&amp;$A17))/1000,0),IF($A$2="VEX",IFERROR(($A$4*$A$4*RTD("tos.rtd",,"VOLUME","."&amp;Q$2&amp;Q$1&amp;"C"&amp;$A17)*RTD("tos.rtd",,"GAMMA","."&amp;Q$2&amp;Q$1&amp;"C"&amp;$A17)-$A$4*$A$4*RTD("tos.rtd",,"VOLUME","."&amp;Q$2&amp;Q$1&amp;"P"&amp;$A17)*RTD("tos.rtd",,"GAMMA","."&amp;Q$2&amp;Q$1&amp;"P"&amp;$A17))/1000000,0),IF($A$2="GEX",IFERROR(($A$4*$A$4*RTD("tos.rtd",,"OPEN_INT","."&amp;Q$2&amp;Q$1&amp;"C"&amp;$A17)*RTD("tos.rtd",,"GAMMA","."&amp;Q$2&amp;Q$1&amp;"C"&amp;$A17)-$A$4*$A$4*RTD("tos.rtd",,"OPEN_INT","."&amp;Q$2&amp;Q$1&amp;"P"&amp;$A17)*RTD("tos.rtd",,"GAMMA","."&amp;Q$2&amp;Q$1&amp;"P"&amp;$A17))/1000000,0),IF($A$2="SKEW",IFERROR(VALUE(IF(RTD("tos.rtd",,"IMPL_VOL","."&amp;Q$2&amp;Q$1&amp;"P"&amp;$A17)="N/A",0,RTD("tos.rtd",,"IMPL_VOL","."&amp;Q$2&amp;Q$1&amp;"P"&amp;$A17))),0)-IFERROR(VALUE(IF(RTD("tos.rtd",,"IMPL_VOL","."&amp;Q$2&amp;Q$1&amp;"C"&amp;$A17)="N/A",0,RTD("tos.rtd",,"IMPL_VOL","."&amp;Q$2&amp;Q$1&amp;"C"&amp;$A17))),0),IF($A$2="MAXPAIN",IF($A$4&gt;$A17,($A$4-$A17)*IF(RTD("tos.rtd",,"OPEN_INT","."&amp;Q$2&amp;Q$1&amp;"C"&amp;$A17)="N/A",0,RTD("tos.rtd",,"OPEN_INT","."&amp;Q$2&amp;Q$1&amp;"C"&amp;$A17)),0)+IF($A$4&lt;$A17,($A17-$A$4)*IF(RTD("tos.rtd",,"OPEN_INT","."&amp;Q$2&amp;Q$1&amp;"P"&amp;$A17)="N/A",0,RTD("tos.rtd",,"OPEN_INT","."&amp;Q$2&amp;Q$1&amp;"P"&amp;$A17)),0),IF(RTD("tos.rtd",,$A$2,"."&amp;Q$2&amp;Q$1&amp;"C"&amp;$A17)="N/A",0,RTD("tos.rtd",,$A$2,"."&amp;Q$2&amp;Q$1&amp;"C"&amp;$A17))-IF(RTD("tos.rtd",,$A$2,"."&amp;Q$2&amp;Q$1&amp;"P"&amp;$A17)="N/A",0,RTD("tos.rtd",,$A$2,"."&amp;Q$2&amp;Q$1&amp;"P"&amp;$A17)))))))))</f>
        <v>0</v>
      </c>
      <c r="R17" s="12">
        <f>IF($A$2="PREMIUM_OI",IFERROR((100*RTD("tos.rtd",,"OPEN_INT","."&amp;R$2&amp;R$1&amp;"C"&amp;$A17)*RTD("tos.rtd",,"LAST","."&amp;R$2&amp;R$1&amp;"C"&amp;$A17)-100*RTD("tos.rtd",,"OPEN_INT","."&amp;R$2&amp;R$1&amp;"P"&amp;$A17)*RTD("tos.rtd",,"LAST","."&amp;R$2&amp;R$1&amp;"P"&amp;$A17))/1000000,0),IF($A$2="PREMIUM",IFERROR((100*RTD("tos.rtd",,"VOLUME","."&amp;R$2&amp;R$1&amp;"C"&amp;$A17)*RTD("tos.rtd",,"LAST","."&amp;R$2&amp;R$1&amp;"C"&amp;$A17)-100*RTD("tos.rtd",,"VOLUME","."&amp;R$2&amp;R$1&amp;"P"&amp;$A17)*RTD("tos.rtd",,"LAST","."&amp;R$2&amp;R$1&amp;"P"&amp;$A17))/1000000,0),IF($A$2="DEX",IFERROR((100*RTD("tos.rtd",,"OPEN_INT","."&amp;R$2&amp;R$1&amp;"C"&amp;$A17)*RTD("tos.rtd",,"DELTA","."&amp;R$2&amp;R$1&amp;"C"&amp;$A17)-100*RTD("tos.rtd",,"OPEN_INT","."&amp;R$2&amp;R$1&amp;"P"&amp;$A17)*RTD("tos.rtd",,"DELTA","."&amp;R$2&amp;R$1&amp;"P"&amp;$A17))/1000,0),IF($A$2="VEX",IFERROR(($A$4*$A$4*RTD("tos.rtd",,"VOLUME","."&amp;R$2&amp;R$1&amp;"C"&amp;$A17)*RTD("tos.rtd",,"GAMMA","."&amp;R$2&amp;R$1&amp;"C"&amp;$A17)-$A$4*$A$4*RTD("tos.rtd",,"VOLUME","."&amp;R$2&amp;R$1&amp;"P"&amp;$A17)*RTD("tos.rtd",,"GAMMA","."&amp;R$2&amp;R$1&amp;"P"&amp;$A17))/1000000,0),IF($A$2="GEX",IFERROR(($A$4*$A$4*RTD("tos.rtd",,"OPEN_INT","."&amp;R$2&amp;R$1&amp;"C"&amp;$A17)*RTD("tos.rtd",,"GAMMA","."&amp;R$2&amp;R$1&amp;"C"&amp;$A17)-$A$4*$A$4*RTD("tos.rtd",,"OPEN_INT","."&amp;R$2&amp;R$1&amp;"P"&amp;$A17)*RTD("tos.rtd",,"GAMMA","."&amp;R$2&amp;R$1&amp;"P"&amp;$A17))/1000000,0),IF($A$2="SKEW",IFERROR(VALUE(IF(RTD("tos.rtd",,"IMPL_VOL","."&amp;R$2&amp;R$1&amp;"P"&amp;$A17)="N/A",0,RTD("tos.rtd",,"IMPL_VOL","."&amp;R$2&amp;R$1&amp;"P"&amp;$A17))),0)-IFERROR(VALUE(IF(RTD("tos.rtd",,"IMPL_VOL","."&amp;R$2&amp;R$1&amp;"C"&amp;$A17)="N/A",0,RTD("tos.rtd",,"IMPL_VOL","."&amp;R$2&amp;R$1&amp;"C"&amp;$A17))),0),IF($A$2="MAXPAIN",IF($A$4&gt;$A17,($A$4-$A17)*IF(RTD("tos.rtd",,"OPEN_INT","."&amp;R$2&amp;R$1&amp;"C"&amp;$A17)="N/A",0,RTD("tos.rtd",,"OPEN_INT","."&amp;R$2&amp;R$1&amp;"C"&amp;$A17)),0)+IF($A$4&lt;$A17,($A17-$A$4)*IF(RTD("tos.rtd",,"OPEN_INT","."&amp;R$2&amp;R$1&amp;"P"&amp;$A17)="N/A",0,RTD("tos.rtd",,"OPEN_INT","."&amp;R$2&amp;R$1&amp;"P"&amp;$A17)),0),IF(RTD("tos.rtd",,$A$2,"."&amp;R$2&amp;R$1&amp;"C"&amp;$A17)="N/A",0,RTD("tos.rtd",,$A$2,"."&amp;R$2&amp;R$1&amp;"C"&amp;$A17))-IF(RTD("tos.rtd",,$A$2,"."&amp;R$2&amp;R$1&amp;"P"&amp;$A17)="N/A",0,RTD("tos.rtd",,$A$2,"."&amp;R$2&amp;R$1&amp;"P"&amp;$A17)))))))))</f>
        <v>253</v>
      </c>
      <c r="S17" s="12">
        <f>IF($A$2="PREMIUM_OI",IFERROR((100*RTD("tos.rtd",,"OPEN_INT","."&amp;S$2&amp;S$1&amp;"C"&amp;$A17)*RTD("tos.rtd",,"LAST","."&amp;S$2&amp;S$1&amp;"C"&amp;$A17)-100*RTD("tos.rtd",,"OPEN_INT","."&amp;S$2&amp;S$1&amp;"P"&amp;$A17)*RTD("tos.rtd",,"LAST","."&amp;S$2&amp;S$1&amp;"P"&amp;$A17))/1000000,0),IF($A$2="PREMIUM",IFERROR((100*RTD("tos.rtd",,"VOLUME","."&amp;S$2&amp;S$1&amp;"C"&amp;$A17)*RTD("tos.rtd",,"LAST","."&amp;S$2&amp;S$1&amp;"C"&amp;$A17)-100*RTD("tos.rtd",,"VOLUME","."&amp;S$2&amp;S$1&amp;"P"&amp;$A17)*RTD("tos.rtd",,"LAST","."&amp;S$2&amp;S$1&amp;"P"&amp;$A17))/1000000,0),IF($A$2="DEX",IFERROR((100*RTD("tos.rtd",,"OPEN_INT","."&amp;S$2&amp;S$1&amp;"C"&amp;$A17)*RTD("tos.rtd",,"DELTA","."&amp;S$2&amp;S$1&amp;"C"&amp;$A17)-100*RTD("tos.rtd",,"OPEN_INT","."&amp;S$2&amp;S$1&amp;"P"&amp;$A17)*RTD("tos.rtd",,"DELTA","."&amp;S$2&amp;S$1&amp;"P"&amp;$A17))/1000,0),IF($A$2="VEX",IFERROR(($A$4*$A$4*RTD("tos.rtd",,"VOLUME","."&amp;S$2&amp;S$1&amp;"C"&amp;$A17)*RTD("tos.rtd",,"GAMMA","."&amp;S$2&amp;S$1&amp;"C"&amp;$A17)-$A$4*$A$4*RTD("tos.rtd",,"VOLUME","."&amp;S$2&amp;S$1&amp;"P"&amp;$A17)*RTD("tos.rtd",,"GAMMA","."&amp;S$2&amp;S$1&amp;"P"&amp;$A17))/1000000,0),IF($A$2="GEX",IFERROR(($A$4*$A$4*RTD("tos.rtd",,"OPEN_INT","."&amp;S$2&amp;S$1&amp;"C"&amp;$A17)*RTD("tos.rtd",,"GAMMA","."&amp;S$2&amp;S$1&amp;"C"&amp;$A17)-$A$4*$A$4*RTD("tos.rtd",,"OPEN_INT","."&amp;S$2&amp;S$1&amp;"P"&amp;$A17)*RTD("tos.rtd",,"GAMMA","."&amp;S$2&amp;S$1&amp;"P"&amp;$A17))/1000000,0),IF($A$2="SKEW",IFERROR(VALUE(IF(RTD("tos.rtd",,"IMPL_VOL","."&amp;S$2&amp;S$1&amp;"P"&amp;$A17)="N/A",0,RTD("tos.rtd",,"IMPL_VOL","."&amp;S$2&amp;S$1&amp;"P"&amp;$A17))),0)-IFERROR(VALUE(IF(RTD("tos.rtd",,"IMPL_VOL","."&amp;S$2&amp;S$1&amp;"C"&amp;$A17)="N/A",0,RTD("tos.rtd",,"IMPL_VOL","."&amp;S$2&amp;S$1&amp;"C"&amp;$A17))),0),IF($A$2="MAXPAIN",IF($A$4&gt;$A17,($A$4-$A17)*IF(RTD("tos.rtd",,"OPEN_INT","."&amp;S$2&amp;S$1&amp;"C"&amp;$A17)="N/A",0,RTD("tos.rtd",,"OPEN_INT","."&amp;S$2&amp;S$1&amp;"C"&amp;$A17)),0)+IF($A$4&lt;$A17,($A17-$A$4)*IF(RTD("tos.rtd",,"OPEN_INT","."&amp;S$2&amp;S$1&amp;"P"&amp;$A17)="N/A",0,RTD("tos.rtd",,"OPEN_INT","."&amp;S$2&amp;S$1&amp;"P"&amp;$A17)),0),IF(RTD("tos.rtd",,$A$2,"."&amp;S$2&amp;S$1&amp;"C"&amp;$A17)="N/A",0,RTD("tos.rtd",,$A$2,"."&amp;S$2&amp;S$1&amp;"C"&amp;$A17))-IF(RTD("tos.rtd",,$A$2,"."&amp;S$2&amp;S$1&amp;"P"&amp;$A17)="N/A",0,RTD("tos.rtd",,$A$2,"."&amp;S$2&amp;S$1&amp;"P"&amp;$A17)))))))))</f>
        <v>0</v>
      </c>
      <c r="T17" s="12">
        <f>IF($A$2="PREMIUM_OI",IFERROR((100*RTD("tos.rtd",,"OPEN_INT","."&amp;T$2&amp;T$1&amp;"C"&amp;$A17)*RTD("tos.rtd",,"LAST","."&amp;T$2&amp;T$1&amp;"C"&amp;$A17)-100*RTD("tos.rtd",,"OPEN_INT","."&amp;T$2&amp;T$1&amp;"P"&amp;$A17)*RTD("tos.rtd",,"LAST","."&amp;T$2&amp;T$1&amp;"P"&amp;$A17))/1000000,0),IF($A$2="PREMIUM",IFERROR((100*RTD("tos.rtd",,"VOLUME","."&amp;T$2&amp;T$1&amp;"C"&amp;$A17)*RTD("tos.rtd",,"LAST","."&amp;T$2&amp;T$1&amp;"C"&amp;$A17)-100*RTD("tos.rtd",,"VOLUME","."&amp;T$2&amp;T$1&amp;"P"&amp;$A17)*RTD("tos.rtd",,"LAST","."&amp;T$2&amp;T$1&amp;"P"&amp;$A17))/1000000,0),IF($A$2="DEX",IFERROR((100*RTD("tos.rtd",,"OPEN_INT","."&amp;T$2&amp;T$1&amp;"C"&amp;$A17)*RTD("tos.rtd",,"DELTA","."&amp;T$2&amp;T$1&amp;"C"&amp;$A17)-100*RTD("tos.rtd",,"OPEN_INT","."&amp;T$2&amp;T$1&amp;"P"&amp;$A17)*RTD("tos.rtd",,"DELTA","."&amp;T$2&amp;T$1&amp;"P"&amp;$A17))/1000,0),IF($A$2="VEX",IFERROR(($A$4*$A$4*RTD("tos.rtd",,"VOLUME","."&amp;T$2&amp;T$1&amp;"C"&amp;$A17)*RTD("tos.rtd",,"GAMMA","."&amp;T$2&amp;T$1&amp;"C"&amp;$A17)-$A$4*$A$4*RTD("tos.rtd",,"VOLUME","."&amp;T$2&amp;T$1&amp;"P"&amp;$A17)*RTD("tos.rtd",,"GAMMA","."&amp;T$2&amp;T$1&amp;"P"&amp;$A17))/1000000,0),IF($A$2="GEX",IFERROR(($A$4*$A$4*RTD("tos.rtd",,"OPEN_INT","."&amp;T$2&amp;T$1&amp;"C"&amp;$A17)*RTD("tos.rtd",,"GAMMA","."&amp;T$2&amp;T$1&amp;"C"&amp;$A17)-$A$4*$A$4*RTD("tos.rtd",,"OPEN_INT","."&amp;T$2&amp;T$1&amp;"P"&amp;$A17)*RTD("tos.rtd",,"GAMMA","."&amp;T$2&amp;T$1&amp;"P"&amp;$A17))/1000000,0),IF($A$2="SKEW",IFERROR(VALUE(IF(RTD("tos.rtd",,"IMPL_VOL","."&amp;T$2&amp;T$1&amp;"P"&amp;$A17)="N/A",0,RTD("tos.rtd",,"IMPL_VOL","."&amp;T$2&amp;T$1&amp;"P"&amp;$A17))),0)-IFERROR(VALUE(IF(RTD("tos.rtd",,"IMPL_VOL","."&amp;T$2&amp;T$1&amp;"C"&amp;$A17)="N/A",0,RTD("tos.rtd",,"IMPL_VOL","."&amp;T$2&amp;T$1&amp;"C"&amp;$A17))),0),IF($A$2="MAXPAIN",IF($A$4&gt;$A17,($A$4-$A17)*IF(RTD("tos.rtd",,"OPEN_INT","."&amp;T$2&amp;T$1&amp;"C"&amp;$A17)="N/A",0,RTD("tos.rtd",,"OPEN_INT","."&amp;T$2&amp;T$1&amp;"C"&amp;$A17)),0)+IF($A$4&lt;$A17,($A17-$A$4)*IF(RTD("tos.rtd",,"OPEN_INT","."&amp;T$2&amp;T$1&amp;"P"&amp;$A17)="N/A",0,RTD("tos.rtd",,"OPEN_INT","."&amp;T$2&amp;T$1&amp;"P"&amp;$A17)),0),IF(RTD("tos.rtd",,$A$2,"."&amp;T$2&amp;T$1&amp;"C"&amp;$A17)="N/A",0,RTD("tos.rtd",,$A$2,"."&amp;T$2&amp;T$1&amp;"C"&amp;$A17))-IF(RTD("tos.rtd",,$A$2,"."&amp;T$2&amp;T$1&amp;"P"&amp;$A17)="N/A",0,RTD("tos.rtd",,$A$2,"."&amp;T$2&amp;T$1&amp;"P"&amp;$A17)))))))))</f>
        <v>0</v>
      </c>
      <c r="U17" s="12">
        <f>IF($A$2="PREMIUM_OI",IFERROR((100*RTD("tos.rtd",,"OPEN_INT","."&amp;U$2&amp;U$1&amp;"C"&amp;$A17)*RTD("tos.rtd",,"LAST","."&amp;U$2&amp;U$1&amp;"C"&amp;$A17)-100*RTD("tos.rtd",,"OPEN_INT","."&amp;U$2&amp;U$1&amp;"P"&amp;$A17)*RTD("tos.rtd",,"LAST","."&amp;U$2&amp;U$1&amp;"P"&amp;$A17))/1000000,0),IF($A$2="PREMIUM",IFERROR((100*RTD("tos.rtd",,"VOLUME","."&amp;U$2&amp;U$1&amp;"C"&amp;$A17)*RTD("tos.rtd",,"LAST","."&amp;U$2&amp;U$1&amp;"C"&amp;$A17)-100*RTD("tos.rtd",,"VOLUME","."&amp;U$2&amp;U$1&amp;"P"&amp;$A17)*RTD("tos.rtd",,"LAST","."&amp;U$2&amp;U$1&amp;"P"&amp;$A17))/1000000,0),IF($A$2="DEX",IFERROR((100*RTD("tos.rtd",,"OPEN_INT","."&amp;U$2&amp;U$1&amp;"C"&amp;$A17)*RTD("tos.rtd",,"DELTA","."&amp;U$2&amp;U$1&amp;"C"&amp;$A17)-100*RTD("tos.rtd",,"OPEN_INT","."&amp;U$2&amp;U$1&amp;"P"&amp;$A17)*RTD("tos.rtd",,"DELTA","."&amp;U$2&amp;U$1&amp;"P"&amp;$A17))/1000,0),IF($A$2="VEX",IFERROR(($A$4*$A$4*RTD("tos.rtd",,"VOLUME","."&amp;U$2&amp;U$1&amp;"C"&amp;$A17)*RTD("tos.rtd",,"GAMMA","."&amp;U$2&amp;U$1&amp;"C"&amp;$A17)-$A$4*$A$4*RTD("tos.rtd",,"VOLUME","."&amp;U$2&amp;U$1&amp;"P"&amp;$A17)*RTD("tos.rtd",,"GAMMA","."&amp;U$2&amp;U$1&amp;"P"&amp;$A17))/1000000,0),IF($A$2="GEX",IFERROR(($A$4*$A$4*RTD("tos.rtd",,"OPEN_INT","."&amp;U$2&amp;U$1&amp;"C"&amp;$A17)*RTD("tos.rtd",,"GAMMA","."&amp;U$2&amp;U$1&amp;"C"&amp;$A17)-$A$4*$A$4*RTD("tos.rtd",,"OPEN_INT","."&amp;U$2&amp;U$1&amp;"P"&amp;$A17)*RTD("tos.rtd",,"GAMMA","."&amp;U$2&amp;U$1&amp;"P"&amp;$A17))/1000000,0),IF($A$2="SKEW",IFERROR(VALUE(IF(RTD("tos.rtd",,"IMPL_VOL","."&amp;U$2&amp;U$1&amp;"P"&amp;$A17)="N/A",0,RTD("tos.rtd",,"IMPL_VOL","."&amp;U$2&amp;U$1&amp;"P"&amp;$A17))),0)-IFERROR(VALUE(IF(RTD("tos.rtd",,"IMPL_VOL","."&amp;U$2&amp;U$1&amp;"C"&amp;$A17)="N/A",0,RTD("tos.rtd",,"IMPL_VOL","."&amp;U$2&amp;U$1&amp;"C"&amp;$A17))),0),IF($A$2="MAXPAIN",IF($A$4&gt;$A17,($A$4-$A17)*IF(RTD("tos.rtd",,"OPEN_INT","."&amp;U$2&amp;U$1&amp;"C"&amp;$A17)="N/A",0,RTD("tos.rtd",,"OPEN_INT","."&amp;U$2&amp;U$1&amp;"C"&amp;$A17)),0)+IF($A$4&lt;$A17,($A17-$A$4)*IF(RTD("tos.rtd",,"OPEN_INT","."&amp;U$2&amp;U$1&amp;"P"&amp;$A17)="N/A",0,RTD("tos.rtd",,"OPEN_INT","."&amp;U$2&amp;U$1&amp;"P"&amp;$A17)),0),IF(RTD("tos.rtd",,$A$2,"."&amp;U$2&amp;U$1&amp;"C"&amp;$A17)="N/A",0,RTD("tos.rtd",,$A$2,"."&amp;U$2&amp;U$1&amp;"C"&amp;$A17))-IF(RTD("tos.rtd",,$A$2,"."&amp;U$2&amp;U$1&amp;"P"&amp;$A17)="N/A",0,RTD("tos.rtd",,$A$2,"."&amp;U$2&amp;U$1&amp;"P"&amp;$A17)))))))))</f>
        <v>0</v>
      </c>
      <c r="V17" s="12">
        <f>IF($A$2="PREMIUM_OI",IFERROR((100*RTD("tos.rtd",,"OPEN_INT","."&amp;V$2&amp;V$1&amp;"C"&amp;$A17)*RTD("tos.rtd",,"LAST","."&amp;V$2&amp;V$1&amp;"C"&amp;$A17)-100*RTD("tos.rtd",,"OPEN_INT","."&amp;V$2&amp;V$1&amp;"P"&amp;$A17)*RTD("tos.rtd",,"LAST","."&amp;V$2&amp;V$1&amp;"P"&amp;$A17))/1000000,0),IF($A$2="PREMIUM",IFERROR((100*RTD("tos.rtd",,"VOLUME","."&amp;V$2&amp;V$1&amp;"C"&amp;$A17)*RTD("tos.rtd",,"LAST","."&amp;V$2&amp;V$1&amp;"C"&amp;$A17)-100*RTD("tos.rtd",,"VOLUME","."&amp;V$2&amp;V$1&amp;"P"&amp;$A17)*RTD("tos.rtd",,"LAST","."&amp;V$2&amp;V$1&amp;"P"&amp;$A17))/1000000,0),IF($A$2="DEX",IFERROR((100*RTD("tos.rtd",,"OPEN_INT","."&amp;V$2&amp;V$1&amp;"C"&amp;$A17)*RTD("tos.rtd",,"DELTA","."&amp;V$2&amp;V$1&amp;"C"&amp;$A17)-100*RTD("tos.rtd",,"OPEN_INT","."&amp;V$2&amp;V$1&amp;"P"&amp;$A17)*RTD("tos.rtd",,"DELTA","."&amp;V$2&amp;V$1&amp;"P"&amp;$A17))/1000,0),IF($A$2="VEX",IFERROR(($A$4*$A$4*RTD("tos.rtd",,"VOLUME","."&amp;V$2&amp;V$1&amp;"C"&amp;$A17)*RTD("tos.rtd",,"GAMMA","."&amp;V$2&amp;V$1&amp;"C"&amp;$A17)-$A$4*$A$4*RTD("tos.rtd",,"VOLUME","."&amp;V$2&amp;V$1&amp;"P"&amp;$A17)*RTD("tos.rtd",,"GAMMA","."&amp;V$2&amp;V$1&amp;"P"&amp;$A17))/1000000,0),IF($A$2="GEX",IFERROR(($A$4*$A$4*RTD("tos.rtd",,"OPEN_INT","."&amp;V$2&amp;V$1&amp;"C"&amp;$A17)*RTD("tos.rtd",,"GAMMA","."&amp;V$2&amp;V$1&amp;"C"&amp;$A17)-$A$4*$A$4*RTD("tos.rtd",,"OPEN_INT","."&amp;V$2&amp;V$1&amp;"P"&amp;$A17)*RTD("tos.rtd",,"GAMMA","."&amp;V$2&amp;V$1&amp;"P"&amp;$A17))/1000000,0),IF($A$2="SKEW",IFERROR(VALUE(IF(RTD("tos.rtd",,"IMPL_VOL","."&amp;V$2&amp;V$1&amp;"P"&amp;$A17)="N/A",0,RTD("tos.rtd",,"IMPL_VOL","."&amp;V$2&amp;V$1&amp;"P"&amp;$A17))),0)-IFERROR(VALUE(IF(RTD("tos.rtd",,"IMPL_VOL","."&amp;V$2&amp;V$1&amp;"C"&amp;$A17)="N/A",0,RTD("tos.rtd",,"IMPL_VOL","."&amp;V$2&amp;V$1&amp;"C"&amp;$A17))),0),IF($A$2="MAXPAIN",IF($A$4&gt;$A17,($A$4-$A17)*IF(RTD("tos.rtd",,"OPEN_INT","."&amp;V$2&amp;V$1&amp;"C"&amp;$A17)="N/A",0,RTD("tos.rtd",,"OPEN_INT","."&amp;V$2&amp;V$1&amp;"C"&amp;$A17)),0)+IF($A$4&lt;$A17,($A17-$A$4)*IF(RTD("tos.rtd",,"OPEN_INT","."&amp;V$2&amp;V$1&amp;"P"&amp;$A17)="N/A",0,RTD("tos.rtd",,"OPEN_INT","."&amp;V$2&amp;V$1&amp;"P"&amp;$A17)),0),IF(RTD("tos.rtd",,$A$2,"."&amp;V$2&amp;V$1&amp;"C"&amp;$A17)="N/A",0,RTD("tos.rtd",,$A$2,"."&amp;V$2&amp;V$1&amp;"C"&amp;$A17))-IF(RTD("tos.rtd",,$A$2,"."&amp;V$2&amp;V$1&amp;"P"&amp;$A17)="N/A",0,RTD("tos.rtd",,$A$2,"."&amp;V$2&amp;V$1&amp;"P"&amp;$A17)))))))))</f>
        <v>0</v>
      </c>
      <c r="W17" s="12">
        <f>IF($A$2="PREMIUM_OI",IFERROR((100*RTD("tos.rtd",,"OPEN_INT","."&amp;W$2&amp;W$1&amp;"C"&amp;$A17)*RTD("tos.rtd",,"LAST","."&amp;W$2&amp;W$1&amp;"C"&amp;$A17)-100*RTD("tos.rtd",,"OPEN_INT","."&amp;W$2&amp;W$1&amp;"P"&amp;$A17)*RTD("tos.rtd",,"LAST","."&amp;W$2&amp;W$1&amp;"P"&amp;$A17))/1000000,0),IF($A$2="PREMIUM",IFERROR((100*RTD("tos.rtd",,"VOLUME","."&amp;W$2&amp;W$1&amp;"C"&amp;$A17)*RTD("tos.rtd",,"LAST","."&amp;W$2&amp;W$1&amp;"C"&amp;$A17)-100*RTD("tos.rtd",,"VOLUME","."&amp;W$2&amp;W$1&amp;"P"&amp;$A17)*RTD("tos.rtd",,"LAST","."&amp;W$2&amp;W$1&amp;"P"&amp;$A17))/1000000,0),IF($A$2="DEX",IFERROR((100*RTD("tos.rtd",,"OPEN_INT","."&amp;W$2&amp;W$1&amp;"C"&amp;$A17)*RTD("tos.rtd",,"DELTA","."&amp;W$2&amp;W$1&amp;"C"&amp;$A17)-100*RTD("tos.rtd",,"OPEN_INT","."&amp;W$2&amp;W$1&amp;"P"&amp;$A17)*RTD("tos.rtd",,"DELTA","."&amp;W$2&amp;W$1&amp;"P"&amp;$A17))/1000,0),IF($A$2="VEX",IFERROR(($A$4*$A$4*RTD("tos.rtd",,"VOLUME","."&amp;W$2&amp;W$1&amp;"C"&amp;$A17)*RTD("tos.rtd",,"GAMMA","."&amp;W$2&amp;W$1&amp;"C"&amp;$A17)-$A$4*$A$4*RTD("tos.rtd",,"VOLUME","."&amp;W$2&amp;W$1&amp;"P"&amp;$A17)*RTD("tos.rtd",,"GAMMA","."&amp;W$2&amp;W$1&amp;"P"&amp;$A17))/1000000,0),IF($A$2="GEX",IFERROR(($A$4*$A$4*RTD("tos.rtd",,"OPEN_INT","."&amp;W$2&amp;W$1&amp;"C"&amp;$A17)*RTD("tos.rtd",,"GAMMA","."&amp;W$2&amp;W$1&amp;"C"&amp;$A17)-$A$4*$A$4*RTD("tos.rtd",,"OPEN_INT","."&amp;W$2&amp;W$1&amp;"P"&amp;$A17)*RTD("tos.rtd",,"GAMMA","."&amp;W$2&amp;W$1&amp;"P"&amp;$A17))/1000000,0),IF($A$2="SKEW",IFERROR(VALUE(IF(RTD("tos.rtd",,"IMPL_VOL","."&amp;W$2&amp;W$1&amp;"P"&amp;$A17)="N/A",0,RTD("tos.rtd",,"IMPL_VOL","."&amp;W$2&amp;W$1&amp;"P"&amp;$A17))),0)-IFERROR(VALUE(IF(RTD("tos.rtd",,"IMPL_VOL","."&amp;W$2&amp;W$1&amp;"C"&amp;$A17)="N/A",0,RTD("tos.rtd",,"IMPL_VOL","."&amp;W$2&amp;W$1&amp;"C"&amp;$A17))),0),IF($A$2="MAXPAIN",IF($A$4&gt;$A17,($A$4-$A17)*IF(RTD("tos.rtd",,"OPEN_INT","."&amp;W$2&amp;W$1&amp;"C"&amp;$A17)="N/A",0,RTD("tos.rtd",,"OPEN_INT","."&amp;W$2&amp;W$1&amp;"C"&amp;$A17)),0)+IF($A$4&lt;$A17,($A17-$A$4)*IF(RTD("tos.rtd",,"OPEN_INT","."&amp;W$2&amp;W$1&amp;"P"&amp;$A17)="N/A",0,RTD("tos.rtd",,"OPEN_INT","."&amp;W$2&amp;W$1&amp;"P"&amp;$A17)),0),IF(RTD("tos.rtd",,$A$2,"."&amp;W$2&amp;W$1&amp;"C"&amp;$A17)="N/A",0,RTD("tos.rtd",,$A$2,"."&amp;W$2&amp;W$1&amp;"C"&amp;$A17))-IF(RTD("tos.rtd",,$A$2,"."&amp;W$2&amp;W$1&amp;"P"&amp;$A17)="N/A",0,RTD("tos.rtd",,$A$2,"."&amp;W$2&amp;W$1&amp;"P"&amp;$A17)))))))))</f>
        <v>0</v>
      </c>
      <c r="X17" s="12">
        <f t="shared" ca="1" si="7"/>
        <v>0</v>
      </c>
      <c r="Y17" s="27">
        <f t="shared" ca="1" si="8"/>
        <v>0</v>
      </c>
      <c r="AA17" s="35">
        <f t="shared" si="5"/>
        <v>16</v>
      </c>
      <c r="AB17" s="8">
        <f>+IF($AJ$1,AK17,TASTYOHLC!B17)</f>
        <v>8.01</v>
      </c>
      <c r="AC17" s="8">
        <f>+IF($AJ$1,AL17,TASTYOHLC!C17)</f>
        <v>8.01</v>
      </c>
      <c r="AD17" s="8">
        <f>+IF($AJ$1,AM17,TASTYOHLC!D17)</f>
        <v>8.01</v>
      </c>
      <c r="AE17" s="8">
        <f>+IF($AJ$1,AN17,TASTYOHLC!E17)</f>
        <v>8.01</v>
      </c>
      <c r="AF17" s="8"/>
      <c r="AJ17" s="37">
        <f t="shared" si="9"/>
        <v>45951</v>
      </c>
      <c r="AK17" s="52">
        <f>+$A$4</f>
        <v>8.01</v>
      </c>
      <c r="AL17" s="52">
        <f t="shared" si="10"/>
        <v>8.01</v>
      </c>
      <c r="AM17" s="52">
        <f t="shared" si="10"/>
        <v>8.01</v>
      </c>
      <c r="AN17" s="52">
        <f t="shared" si="10"/>
        <v>8.01</v>
      </c>
    </row>
    <row r="18" spans="1:40" s="19" customFormat="1" ht="11.1" customHeight="1" thickBot="1" x14ac:dyDescent="0.3">
      <c r="A18" s="23">
        <f t="shared" si="6"/>
        <v>13</v>
      </c>
      <c r="B18" s="14">
        <f>IF($A$2="PREMIUM_OI",IFERROR((100*RTD("tos.rtd",,"OPEN_INT","."&amp;B$2&amp;B$1&amp;"C"&amp;$A18)*RTD("tos.rtd",,"LAST","."&amp;B$2&amp;B$1&amp;"C"&amp;$A18)-100*RTD("tos.rtd",,"OPEN_INT","."&amp;B$2&amp;B$1&amp;"P"&amp;$A18)*RTD("tos.rtd",,"LAST","."&amp;B$2&amp;B$1&amp;"P"&amp;$A18))/1000000,0),IF($A$2="PREMIUM",IFERROR((100*RTD("tos.rtd",,"VOLUME","."&amp;B$2&amp;B$1&amp;"C"&amp;$A18)*RTD("tos.rtd",,"LAST","."&amp;B$2&amp;B$1&amp;"C"&amp;$A18)-100*RTD("tos.rtd",,"VOLUME","."&amp;B$2&amp;B$1&amp;"P"&amp;$A18)*RTD("tos.rtd",,"LAST","."&amp;B$2&amp;B$1&amp;"P"&amp;$A18))/1000000,0),IF($A$2="DEX",IFERROR((100*RTD("tos.rtd",,"OPEN_INT","."&amp;B$2&amp;B$1&amp;"C"&amp;$A18)*RTD("tos.rtd",,"DELTA","."&amp;B$2&amp;B$1&amp;"C"&amp;$A18)-100*RTD("tos.rtd",,"OPEN_INT","."&amp;B$2&amp;B$1&amp;"P"&amp;$A18)*RTD("tos.rtd",,"DELTA","."&amp;B$2&amp;B$1&amp;"P"&amp;$A18))/1000,0),IF($A$2="VEX",IFERROR(($A$4*$A$4*RTD("tos.rtd",,"VOLUME","."&amp;B$2&amp;B$1&amp;"C"&amp;$A18)*RTD("tos.rtd",,"GAMMA","."&amp;B$2&amp;B$1&amp;"C"&amp;$A18)-$A$4*$A$4*RTD("tos.rtd",,"VOLUME","."&amp;B$2&amp;B$1&amp;"P"&amp;$A18)*RTD("tos.rtd",,"GAMMA","."&amp;B$2&amp;B$1&amp;"P"&amp;$A18))/1000000,0),IF($A$2="GEX",IFERROR(($A$4*$A$4*RTD("tos.rtd",,"OPEN_INT","."&amp;B$2&amp;B$1&amp;"C"&amp;$A18)*RTD("tos.rtd",,"GAMMA","."&amp;B$2&amp;B$1&amp;"C"&amp;$A18)-$A$4*$A$4*RTD("tos.rtd",,"OPEN_INT","."&amp;B$2&amp;B$1&amp;"P"&amp;$A18)*RTD("tos.rtd",,"GAMMA","."&amp;B$2&amp;B$1&amp;"P"&amp;$A18))/1000000,0),IF($A$2="SKEW",IFERROR(VALUE(IF(RTD("tos.rtd",,"IMPL_VOL","."&amp;B$2&amp;B$1&amp;"P"&amp;$A18)="N/A",0,RTD("tos.rtd",,"IMPL_VOL","."&amp;B$2&amp;B$1&amp;"P"&amp;$A18))),0)-IFERROR(VALUE(IF(RTD("tos.rtd",,"IMPL_VOL","."&amp;B$2&amp;B$1&amp;"C"&amp;$A18)="N/A",0,RTD("tos.rtd",,"IMPL_VOL","."&amp;B$2&amp;B$1&amp;"C"&amp;$A18))),0),IF($A$2="MAXPAIN",IF($A$4&gt;$A18,($A$4-$A18)*IF(RTD("tos.rtd",,"OPEN_INT","."&amp;B$2&amp;B$1&amp;"C"&amp;$A18)="N/A",0,RTD("tos.rtd",,"OPEN_INT","."&amp;B$2&amp;B$1&amp;"C"&amp;$A18)),0)+IF($A$4&lt;$A18,($A18-$A$4)*IF(RTD("tos.rtd",,"OPEN_INT","."&amp;B$2&amp;B$1&amp;"P"&amp;$A18)="N/A",0,RTD("tos.rtd",,"OPEN_INT","."&amp;B$2&amp;B$1&amp;"P"&amp;$A18)),0),IF(RTD("tos.rtd",,$A$2,"."&amp;B$2&amp;B$1&amp;"C"&amp;$A18)="N/A",0,RTD("tos.rtd",,$A$2,"."&amp;B$2&amp;B$1&amp;"C"&amp;$A18))-IF(RTD("tos.rtd",,$A$2,"."&amp;B$2&amp;B$1&amp;"P"&amp;$A18)="N/A",0,RTD("tos.rtd",,$A$2,"."&amp;B$2&amp;B$1&amp;"P"&amp;$A18)))))))))</f>
        <v>0</v>
      </c>
      <c r="C18" s="12">
        <f>IF($A$2="PREMIUM_OI",IFERROR((100*RTD("tos.rtd",,"OPEN_INT","."&amp;C$2&amp;C$1&amp;"C"&amp;$A18)*RTD("tos.rtd",,"LAST","."&amp;C$2&amp;C$1&amp;"C"&amp;$A18)-100*RTD("tos.rtd",,"OPEN_INT","."&amp;C$2&amp;C$1&amp;"P"&amp;$A18)*RTD("tos.rtd",,"LAST","."&amp;C$2&amp;C$1&amp;"P"&amp;$A18))/1000000,0),IF($A$2="PREMIUM",IFERROR((100*RTD("tos.rtd",,"VOLUME","."&amp;C$2&amp;C$1&amp;"C"&amp;$A18)*RTD("tos.rtd",,"LAST","."&amp;C$2&amp;C$1&amp;"C"&amp;$A18)-100*RTD("tos.rtd",,"VOLUME","."&amp;C$2&amp;C$1&amp;"P"&amp;$A18)*RTD("tos.rtd",,"LAST","."&amp;C$2&amp;C$1&amp;"P"&amp;$A18))/1000000,0),IF($A$2="DEX",IFERROR((100*RTD("tos.rtd",,"OPEN_INT","."&amp;C$2&amp;C$1&amp;"C"&amp;$A18)*RTD("tos.rtd",,"DELTA","."&amp;C$2&amp;C$1&amp;"C"&amp;$A18)-100*RTD("tos.rtd",,"OPEN_INT","."&amp;C$2&amp;C$1&amp;"P"&amp;$A18)*RTD("tos.rtd",,"DELTA","."&amp;C$2&amp;C$1&amp;"P"&amp;$A18))/1000,0),IF($A$2="VEX",IFERROR(($A$4*$A$4*RTD("tos.rtd",,"VOLUME","."&amp;C$2&amp;C$1&amp;"C"&amp;$A18)*RTD("tos.rtd",,"GAMMA","."&amp;C$2&amp;C$1&amp;"C"&amp;$A18)-$A$4*$A$4*RTD("tos.rtd",,"VOLUME","."&amp;C$2&amp;C$1&amp;"P"&amp;$A18)*RTD("tos.rtd",,"GAMMA","."&amp;C$2&amp;C$1&amp;"P"&amp;$A18))/1000000,0),IF($A$2="GEX",IFERROR(($A$4*$A$4*RTD("tos.rtd",,"OPEN_INT","."&amp;C$2&amp;C$1&amp;"C"&amp;$A18)*RTD("tos.rtd",,"GAMMA","."&amp;C$2&amp;C$1&amp;"C"&amp;$A18)-$A$4*$A$4*RTD("tos.rtd",,"OPEN_INT","."&amp;C$2&amp;C$1&amp;"P"&amp;$A18)*RTD("tos.rtd",,"GAMMA","."&amp;C$2&amp;C$1&amp;"P"&amp;$A18))/1000000,0),IF($A$2="SKEW",IFERROR(VALUE(IF(RTD("tos.rtd",,"IMPL_VOL","."&amp;C$2&amp;C$1&amp;"P"&amp;$A18)="N/A",0,RTD("tos.rtd",,"IMPL_VOL","."&amp;C$2&amp;C$1&amp;"P"&amp;$A18))),0)-IFERROR(VALUE(IF(RTD("tos.rtd",,"IMPL_VOL","."&amp;C$2&amp;C$1&amp;"C"&amp;$A18)="N/A",0,RTD("tos.rtd",,"IMPL_VOL","."&amp;C$2&amp;C$1&amp;"C"&amp;$A18))),0),IF($A$2="MAXPAIN",IF($A$4&gt;$A18,($A$4-$A18)*IF(RTD("tos.rtd",,"OPEN_INT","."&amp;C$2&amp;C$1&amp;"C"&amp;$A18)="N/A",0,RTD("tos.rtd",,"OPEN_INT","."&amp;C$2&amp;C$1&amp;"C"&amp;$A18)),0)+IF($A$4&lt;$A18,($A18-$A$4)*IF(RTD("tos.rtd",,"OPEN_INT","."&amp;C$2&amp;C$1&amp;"P"&amp;$A18)="N/A",0,RTD("tos.rtd",,"OPEN_INT","."&amp;C$2&amp;C$1&amp;"P"&amp;$A18)),0),IF(RTD("tos.rtd",,$A$2,"."&amp;C$2&amp;C$1&amp;"C"&amp;$A18)="N/A",0,RTD("tos.rtd",,$A$2,"."&amp;C$2&amp;C$1&amp;"C"&amp;$A18))-IF(RTD("tos.rtd",,$A$2,"."&amp;C$2&amp;C$1&amp;"P"&amp;$A18)="N/A",0,RTD("tos.rtd",,$A$2,"."&amp;C$2&amp;C$1&amp;"P"&amp;$A18)))))))))</f>
        <v>8171</v>
      </c>
      <c r="D18" s="12">
        <f>IF($A$2="PREMIUM_OI",IFERROR((100*RTD("tos.rtd",,"OPEN_INT","."&amp;D$2&amp;D$1&amp;"C"&amp;$A18)*RTD("tos.rtd",,"LAST","."&amp;D$2&amp;D$1&amp;"C"&amp;$A18)-100*RTD("tos.rtd",,"OPEN_INT","."&amp;D$2&amp;D$1&amp;"P"&amp;$A18)*RTD("tos.rtd",,"LAST","."&amp;D$2&amp;D$1&amp;"P"&amp;$A18))/1000000,0),IF($A$2="PREMIUM",IFERROR((100*RTD("tos.rtd",,"VOLUME","."&amp;D$2&amp;D$1&amp;"C"&amp;$A18)*RTD("tos.rtd",,"LAST","."&amp;D$2&amp;D$1&amp;"C"&amp;$A18)-100*RTD("tos.rtd",,"VOLUME","."&amp;D$2&amp;D$1&amp;"P"&amp;$A18)*RTD("tos.rtd",,"LAST","."&amp;D$2&amp;D$1&amp;"P"&amp;$A18))/1000000,0),IF($A$2="DEX",IFERROR((100*RTD("tos.rtd",,"OPEN_INT","."&amp;D$2&amp;D$1&amp;"C"&amp;$A18)*RTD("tos.rtd",,"DELTA","."&amp;D$2&amp;D$1&amp;"C"&amp;$A18)-100*RTD("tos.rtd",,"OPEN_INT","."&amp;D$2&amp;D$1&amp;"P"&amp;$A18)*RTD("tos.rtd",,"DELTA","."&amp;D$2&amp;D$1&amp;"P"&amp;$A18))/1000,0),IF($A$2="VEX",IFERROR(($A$4*$A$4*RTD("tos.rtd",,"VOLUME","."&amp;D$2&amp;D$1&amp;"C"&amp;$A18)*RTD("tos.rtd",,"GAMMA","."&amp;D$2&amp;D$1&amp;"C"&amp;$A18)-$A$4*$A$4*RTD("tos.rtd",,"VOLUME","."&amp;D$2&amp;D$1&amp;"P"&amp;$A18)*RTD("tos.rtd",,"GAMMA","."&amp;D$2&amp;D$1&amp;"P"&amp;$A18))/1000000,0),IF($A$2="GEX",IFERROR(($A$4*$A$4*RTD("tos.rtd",,"OPEN_INT","."&amp;D$2&amp;D$1&amp;"C"&amp;$A18)*RTD("tos.rtd",,"GAMMA","."&amp;D$2&amp;D$1&amp;"C"&amp;$A18)-$A$4*$A$4*RTD("tos.rtd",,"OPEN_INT","."&amp;D$2&amp;D$1&amp;"P"&amp;$A18)*RTD("tos.rtd",,"GAMMA","."&amp;D$2&amp;D$1&amp;"P"&amp;$A18))/1000000,0),IF($A$2="SKEW",IFERROR(VALUE(IF(RTD("tos.rtd",,"IMPL_VOL","."&amp;D$2&amp;D$1&amp;"P"&amp;$A18)="N/A",0,RTD("tos.rtd",,"IMPL_VOL","."&amp;D$2&amp;D$1&amp;"P"&amp;$A18))),0)-IFERROR(VALUE(IF(RTD("tos.rtd",,"IMPL_VOL","."&amp;D$2&amp;D$1&amp;"C"&amp;$A18)="N/A",0,RTD("tos.rtd",,"IMPL_VOL","."&amp;D$2&amp;D$1&amp;"C"&amp;$A18))),0),IF($A$2="MAXPAIN",IF($A$4&gt;$A18,($A$4-$A18)*IF(RTD("tos.rtd",,"OPEN_INT","."&amp;D$2&amp;D$1&amp;"C"&amp;$A18)="N/A",0,RTD("tos.rtd",,"OPEN_INT","."&amp;D$2&amp;D$1&amp;"C"&amp;$A18)),0)+IF($A$4&lt;$A18,($A18-$A$4)*IF(RTD("tos.rtd",,"OPEN_INT","."&amp;D$2&amp;D$1&amp;"P"&amp;$A18)="N/A",0,RTD("tos.rtd",,"OPEN_INT","."&amp;D$2&amp;D$1&amp;"P"&amp;$A18)),0),IF(RTD("tos.rtd",,$A$2,"."&amp;D$2&amp;D$1&amp;"C"&amp;$A18)="N/A",0,RTD("tos.rtd",,$A$2,"."&amp;D$2&amp;D$1&amp;"C"&amp;$A18))-IF(RTD("tos.rtd",,$A$2,"."&amp;D$2&amp;D$1&amp;"P"&amp;$A18)="N/A",0,RTD("tos.rtd",,$A$2,"."&amp;D$2&amp;D$1&amp;"P"&amp;$A18)))))))))</f>
        <v>0</v>
      </c>
      <c r="E18" s="12">
        <f>IF($A$2="PREMIUM_OI",IFERROR((100*RTD("tos.rtd",,"OPEN_INT","."&amp;E$2&amp;E$1&amp;"C"&amp;$A18)*RTD("tos.rtd",,"LAST","."&amp;E$2&amp;E$1&amp;"C"&amp;$A18)-100*RTD("tos.rtd",,"OPEN_INT","."&amp;E$2&amp;E$1&amp;"P"&amp;$A18)*RTD("tos.rtd",,"LAST","."&amp;E$2&amp;E$1&amp;"P"&amp;$A18))/1000000,0),IF($A$2="PREMIUM",IFERROR((100*RTD("tos.rtd",,"VOLUME","."&amp;E$2&amp;E$1&amp;"C"&amp;$A18)*RTD("tos.rtd",,"LAST","."&amp;E$2&amp;E$1&amp;"C"&amp;$A18)-100*RTD("tos.rtd",,"VOLUME","."&amp;E$2&amp;E$1&amp;"P"&amp;$A18)*RTD("tos.rtd",,"LAST","."&amp;E$2&amp;E$1&amp;"P"&amp;$A18))/1000000,0),IF($A$2="DEX",IFERROR((100*RTD("tos.rtd",,"OPEN_INT","."&amp;E$2&amp;E$1&amp;"C"&amp;$A18)*RTD("tos.rtd",,"DELTA","."&amp;E$2&amp;E$1&amp;"C"&amp;$A18)-100*RTD("tos.rtd",,"OPEN_INT","."&amp;E$2&amp;E$1&amp;"P"&amp;$A18)*RTD("tos.rtd",,"DELTA","."&amp;E$2&amp;E$1&amp;"P"&amp;$A18))/1000,0),IF($A$2="VEX",IFERROR(($A$4*$A$4*RTD("tos.rtd",,"VOLUME","."&amp;E$2&amp;E$1&amp;"C"&amp;$A18)*RTD("tos.rtd",,"GAMMA","."&amp;E$2&amp;E$1&amp;"C"&amp;$A18)-$A$4*$A$4*RTD("tos.rtd",,"VOLUME","."&amp;E$2&amp;E$1&amp;"P"&amp;$A18)*RTD("tos.rtd",,"GAMMA","."&amp;E$2&amp;E$1&amp;"P"&amp;$A18))/1000000,0),IF($A$2="GEX",IFERROR(($A$4*$A$4*RTD("tos.rtd",,"OPEN_INT","."&amp;E$2&amp;E$1&amp;"C"&amp;$A18)*RTD("tos.rtd",,"GAMMA","."&amp;E$2&amp;E$1&amp;"C"&amp;$A18)-$A$4*$A$4*RTD("tos.rtd",,"OPEN_INT","."&amp;E$2&amp;E$1&amp;"P"&amp;$A18)*RTD("tos.rtd",,"GAMMA","."&amp;E$2&amp;E$1&amp;"P"&amp;$A18))/1000000,0),IF($A$2="SKEW",IFERROR(VALUE(IF(RTD("tos.rtd",,"IMPL_VOL","."&amp;E$2&amp;E$1&amp;"P"&amp;$A18)="N/A",0,RTD("tos.rtd",,"IMPL_VOL","."&amp;E$2&amp;E$1&amp;"P"&amp;$A18))),0)-IFERROR(VALUE(IF(RTD("tos.rtd",,"IMPL_VOL","."&amp;E$2&amp;E$1&amp;"C"&amp;$A18)="N/A",0,RTD("tos.rtd",,"IMPL_VOL","."&amp;E$2&amp;E$1&amp;"C"&amp;$A18))),0),IF($A$2="MAXPAIN",IF($A$4&gt;$A18,($A$4-$A18)*IF(RTD("tos.rtd",,"OPEN_INT","."&amp;E$2&amp;E$1&amp;"C"&amp;$A18)="N/A",0,RTD("tos.rtd",,"OPEN_INT","."&amp;E$2&amp;E$1&amp;"C"&amp;$A18)),0)+IF($A$4&lt;$A18,($A18-$A$4)*IF(RTD("tos.rtd",,"OPEN_INT","."&amp;E$2&amp;E$1&amp;"P"&amp;$A18)="N/A",0,RTD("tos.rtd",,"OPEN_INT","."&amp;E$2&amp;E$1&amp;"P"&amp;$A18)),0),IF(RTD("tos.rtd",,$A$2,"."&amp;E$2&amp;E$1&amp;"C"&amp;$A18)="N/A",0,RTD("tos.rtd",,$A$2,"."&amp;E$2&amp;E$1&amp;"C"&amp;$A18))-IF(RTD("tos.rtd",,$A$2,"."&amp;E$2&amp;E$1&amp;"P"&amp;$A18)="N/A",0,RTD("tos.rtd",,$A$2,"."&amp;E$2&amp;E$1&amp;"P"&amp;$A18)))))))))</f>
        <v>0</v>
      </c>
      <c r="F18" s="12">
        <f>IF($A$2="PREMIUM_OI",IFERROR((100*RTD("tos.rtd",,"OPEN_INT","."&amp;F$2&amp;F$1&amp;"C"&amp;$A18)*RTD("tos.rtd",,"LAST","."&amp;F$2&amp;F$1&amp;"C"&amp;$A18)-100*RTD("tos.rtd",,"OPEN_INT","."&amp;F$2&amp;F$1&amp;"P"&amp;$A18)*RTD("tos.rtd",,"LAST","."&amp;F$2&amp;F$1&amp;"P"&amp;$A18))/1000000,0),IF($A$2="PREMIUM",IFERROR((100*RTD("tos.rtd",,"VOLUME","."&amp;F$2&amp;F$1&amp;"C"&amp;$A18)*RTD("tos.rtd",,"LAST","."&amp;F$2&amp;F$1&amp;"C"&amp;$A18)-100*RTD("tos.rtd",,"VOLUME","."&amp;F$2&amp;F$1&amp;"P"&amp;$A18)*RTD("tos.rtd",,"LAST","."&amp;F$2&amp;F$1&amp;"P"&amp;$A18))/1000000,0),IF($A$2="DEX",IFERROR((100*RTD("tos.rtd",,"OPEN_INT","."&amp;F$2&amp;F$1&amp;"C"&amp;$A18)*RTD("tos.rtd",,"DELTA","."&amp;F$2&amp;F$1&amp;"C"&amp;$A18)-100*RTD("tos.rtd",,"OPEN_INT","."&amp;F$2&amp;F$1&amp;"P"&amp;$A18)*RTD("tos.rtd",,"DELTA","."&amp;F$2&amp;F$1&amp;"P"&amp;$A18))/1000,0),IF($A$2="VEX",IFERROR(($A$4*$A$4*RTD("tos.rtd",,"VOLUME","."&amp;F$2&amp;F$1&amp;"C"&amp;$A18)*RTD("tos.rtd",,"GAMMA","."&amp;F$2&amp;F$1&amp;"C"&amp;$A18)-$A$4*$A$4*RTD("tos.rtd",,"VOLUME","."&amp;F$2&amp;F$1&amp;"P"&amp;$A18)*RTD("tos.rtd",,"GAMMA","."&amp;F$2&amp;F$1&amp;"P"&amp;$A18))/1000000,0),IF($A$2="GEX",IFERROR(($A$4*$A$4*RTD("tos.rtd",,"OPEN_INT","."&amp;F$2&amp;F$1&amp;"C"&amp;$A18)*RTD("tos.rtd",,"GAMMA","."&amp;F$2&amp;F$1&amp;"C"&amp;$A18)-$A$4*$A$4*RTD("tos.rtd",,"OPEN_INT","."&amp;F$2&amp;F$1&amp;"P"&amp;$A18)*RTD("tos.rtd",,"GAMMA","."&amp;F$2&amp;F$1&amp;"P"&amp;$A18))/1000000,0),IF($A$2="SKEW",IFERROR(VALUE(IF(RTD("tos.rtd",,"IMPL_VOL","."&amp;F$2&amp;F$1&amp;"P"&amp;$A18)="N/A",0,RTD("tos.rtd",,"IMPL_VOL","."&amp;F$2&amp;F$1&amp;"P"&amp;$A18))),0)-IFERROR(VALUE(IF(RTD("tos.rtd",,"IMPL_VOL","."&amp;F$2&amp;F$1&amp;"C"&amp;$A18)="N/A",0,RTD("tos.rtd",,"IMPL_VOL","."&amp;F$2&amp;F$1&amp;"C"&amp;$A18))),0),IF($A$2="MAXPAIN",IF($A$4&gt;$A18,($A$4-$A18)*IF(RTD("tos.rtd",,"OPEN_INT","."&amp;F$2&amp;F$1&amp;"C"&amp;$A18)="N/A",0,RTD("tos.rtd",,"OPEN_INT","."&amp;F$2&amp;F$1&amp;"C"&amp;$A18)),0)+IF($A$4&lt;$A18,($A18-$A$4)*IF(RTD("tos.rtd",,"OPEN_INT","."&amp;F$2&amp;F$1&amp;"P"&amp;$A18)="N/A",0,RTD("tos.rtd",,"OPEN_INT","."&amp;F$2&amp;F$1&amp;"P"&amp;$A18)),0),IF(RTD("tos.rtd",,$A$2,"."&amp;F$2&amp;F$1&amp;"C"&amp;$A18)="N/A",0,RTD("tos.rtd",,$A$2,"."&amp;F$2&amp;F$1&amp;"C"&amp;$A18))-IF(RTD("tos.rtd",,$A$2,"."&amp;F$2&amp;F$1&amp;"P"&amp;$A18)="N/A",0,RTD("tos.rtd",,$A$2,"."&amp;F$2&amp;F$1&amp;"P"&amp;$A18)))))))))</f>
        <v>0</v>
      </c>
      <c r="G18" s="14">
        <f>IF($A$2="PREMIUM_OI",IFERROR((100*RTD("tos.rtd",,"OPEN_INT","."&amp;G$2&amp;G$1&amp;"C"&amp;$A18)*RTD("tos.rtd",,"LAST","."&amp;G$2&amp;G$1&amp;"C"&amp;$A18)-100*RTD("tos.rtd",,"OPEN_INT","."&amp;G$2&amp;G$1&amp;"P"&amp;$A18)*RTD("tos.rtd",,"LAST","."&amp;G$2&amp;G$1&amp;"P"&amp;$A18))/1000000,0),IF($A$2="PREMIUM",IFERROR((100*RTD("tos.rtd",,"VOLUME","."&amp;G$2&amp;G$1&amp;"C"&amp;$A18)*RTD("tos.rtd",,"LAST","."&amp;G$2&amp;G$1&amp;"C"&amp;$A18)-100*RTD("tos.rtd",,"VOLUME","."&amp;G$2&amp;G$1&amp;"P"&amp;$A18)*RTD("tos.rtd",,"LAST","."&amp;G$2&amp;G$1&amp;"P"&amp;$A18))/1000000,0),IF($A$2="DEX",IFERROR((100*RTD("tos.rtd",,"OPEN_INT","."&amp;G$2&amp;G$1&amp;"C"&amp;$A18)*RTD("tos.rtd",,"DELTA","."&amp;G$2&amp;G$1&amp;"C"&amp;$A18)-100*RTD("tos.rtd",,"OPEN_INT","."&amp;G$2&amp;G$1&amp;"P"&amp;$A18)*RTD("tos.rtd",,"DELTA","."&amp;G$2&amp;G$1&amp;"P"&amp;$A18))/1000,0),IF($A$2="VEX",IFERROR(($A$4*$A$4*RTD("tos.rtd",,"VOLUME","."&amp;G$2&amp;G$1&amp;"C"&amp;$A18)*RTD("tos.rtd",,"GAMMA","."&amp;G$2&amp;G$1&amp;"C"&amp;$A18)-$A$4*$A$4*RTD("tos.rtd",,"VOLUME","."&amp;G$2&amp;G$1&amp;"P"&amp;$A18)*RTD("tos.rtd",,"GAMMA","."&amp;G$2&amp;G$1&amp;"P"&amp;$A18))/1000000,0),IF($A$2="GEX",IFERROR(($A$4*$A$4*RTD("tos.rtd",,"OPEN_INT","."&amp;G$2&amp;G$1&amp;"C"&amp;$A18)*RTD("tos.rtd",,"GAMMA","."&amp;G$2&amp;G$1&amp;"C"&amp;$A18)-$A$4*$A$4*RTD("tos.rtd",,"OPEN_INT","."&amp;G$2&amp;G$1&amp;"P"&amp;$A18)*RTD("tos.rtd",,"GAMMA","."&amp;G$2&amp;G$1&amp;"P"&amp;$A18))/1000000,0),IF($A$2="SKEW",IFERROR(VALUE(IF(RTD("tos.rtd",,"IMPL_VOL","."&amp;G$2&amp;G$1&amp;"P"&amp;$A18)="N/A",0,RTD("tos.rtd",,"IMPL_VOL","."&amp;G$2&amp;G$1&amp;"P"&amp;$A18))),0)-IFERROR(VALUE(IF(RTD("tos.rtd",,"IMPL_VOL","."&amp;G$2&amp;G$1&amp;"C"&amp;$A18)="N/A",0,RTD("tos.rtd",,"IMPL_VOL","."&amp;G$2&amp;G$1&amp;"C"&amp;$A18))),0),IF($A$2="MAXPAIN",IF($A$4&gt;$A18,($A$4-$A18)*IF(RTD("tos.rtd",,"OPEN_INT","."&amp;G$2&amp;G$1&amp;"C"&amp;$A18)="N/A",0,RTD("tos.rtd",,"OPEN_INT","."&amp;G$2&amp;G$1&amp;"C"&amp;$A18)),0)+IF($A$4&lt;$A18,($A18-$A$4)*IF(RTD("tos.rtd",,"OPEN_INT","."&amp;G$2&amp;G$1&amp;"P"&amp;$A18)="N/A",0,RTD("tos.rtd",,"OPEN_INT","."&amp;G$2&amp;G$1&amp;"P"&amp;$A18)),0),IF(RTD("tos.rtd",,$A$2,"."&amp;G$2&amp;G$1&amp;"C"&amp;$A18)="N/A",0,RTD("tos.rtd",,$A$2,"."&amp;G$2&amp;G$1&amp;"C"&amp;$A18))-IF(RTD("tos.rtd",,$A$2,"."&amp;G$2&amp;G$1&amp;"P"&amp;$A18)="N/A",0,RTD("tos.rtd",,$A$2,"."&amp;G$2&amp;G$1&amp;"P"&amp;$A18)))))))))</f>
        <v>0</v>
      </c>
      <c r="H18" s="12">
        <f>IF($A$2="PREMIUM_OI",IFERROR((100*RTD("tos.rtd",,"OPEN_INT","."&amp;H$2&amp;H$1&amp;"C"&amp;$A18)*RTD("tos.rtd",,"LAST","."&amp;H$2&amp;H$1&amp;"C"&amp;$A18)-100*RTD("tos.rtd",,"OPEN_INT","."&amp;H$2&amp;H$1&amp;"P"&amp;$A18)*RTD("tos.rtd",,"LAST","."&amp;H$2&amp;H$1&amp;"P"&amp;$A18))/1000000,0),IF($A$2="PREMIUM",IFERROR((100*RTD("tos.rtd",,"VOLUME","."&amp;H$2&amp;H$1&amp;"C"&amp;$A18)*RTD("tos.rtd",,"LAST","."&amp;H$2&amp;H$1&amp;"C"&amp;$A18)-100*RTD("tos.rtd",,"VOLUME","."&amp;H$2&amp;H$1&amp;"P"&amp;$A18)*RTD("tos.rtd",,"LAST","."&amp;H$2&amp;H$1&amp;"P"&amp;$A18))/1000000,0),IF($A$2="DEX",IFERROR((100*RTD("tos.rtd",,"OPEN_INT","."&amp;H$2&amp;H$1&amp;"C"&amp;$A18)*RTD("tos.rtd",,"DELTA","."&amp;H$2&amp;H$1&amp;"C"&amp;$A18)-100*RTD("tos.rtd",,"OPEN_INT","."&amp;H$2&amp;H$1&amp;"P"&amp;$A18)*RTD("tos.rtd",,"DELTA","."&amp;H$2&amp;H$1&amp;"P"&amp;$A18))/1000,0),IF($A$2="VEX",IFERROR(($A$4*$A$4*RTD("tos.rtd",,"VOLUME","."&amp;H$2&amp;H$1&amp;"C"&amp;$A18)*RTD("tos.rtd",,"GAMMA","."&amp;H$2&amp;H$1&amp;"C"&amp;$A18)-$A$4*$A$4*RTD("tos.rtd",,"VOLUME","."&amp;H$2&amp;H$1&amp;"P"&amp;$A18)*RTD("tos.rtd",,"GAMMA","."&amp;H$2&amp;H$1&amp;"P"&amp;$A18))/1000000,0),IF($A$2="GEX",IFERROR(($A$4*$A$4*RTD("tos.rtd",,"OPEN_INT","."&amp;H$2&amp;H$1&amp;"C"&amp;$A18)*RTD("tos.rtd",,"GAMMA","."&amp;H$2&amp;H$1&amp;"C"&amp;$A18)-$A$4*$A$4*RTD("tos.rtd",,"OPEN_INT","."&amp;H$2&amp;H$1&amp;"P"&amp;$A18)*RTD("tos.rtd",,"GAMMA","."&amp;H$2&amp;H$1&amp;"P"&amp;$A18))/1000000,0),IF($A$2="SKEW",IFERROR(VALUE(IF(RTD("tos.rtd",,"IMPL_VOL","."&amp;H$2&amp;H$1&amp;"P"&amp;$A18)="N/A",0,RTD("tos.rtd",,"IMPL_VOL","."&amp;H$2&amp;H$1&amp;"P"&amp;$A18))),0)-IFERROR(VALUE(IF(RTD("tos.rtd",,"IMPL_VOL","."&amp;H$2&amp;H$1&amp;"C"&amp;$A18)="N/A",0,RTD("tos.rtd",,"IMPL_VOL","."&amp;H$2&amp;H$1&amp;"C"&amp;$A18))),0),IF($A$2="MAXPAIN",IF($A$4&gt;$A18,($A$4-$A18)*IF(RTD("tos.rtd",,"OPEN_INT","."&amp;H$2&amp;H$1&amp;"C"&amp;$A18)="N/A",0,RTD("tos.rtd",,"OPEN_INT","."&amp;H$2&amp;H$1&amp;"C"&amp;$A18)),0)+IF($A$4&lt;$A18,($A18-$A$4)*IF(RTD("tos.rtd",,"OPEN_INT","."&amp;H$2&amp;H$1&amp;"P"&amp;$A18)="N/A",0,RTD("tos.rtd",,"OPEN_INT","."&amp;H$2&amp;H$1&amp;"P"&amp;$A18)),0),IF(RTD("tos.rtd",,$A$2,"."&amp;H$2&amp;H$1&amp;"C"&amp;$A18)="N/A",0,RTD("tos.rtd",,$A$2,"."&amp;H$2&amp;H$1&amp;"C"&amp;$A18))-IF(RTD("tos.rtd",,$A$2,"."&amp;H$2&amp;H$1&amp;"P"&amp;$A18)="N/A",0,RTD("tos.rtd",,$A$2,"."&amp;H$2&amp;H$1&amp;"P"&amp;$A18)))))))))</f>
        <v>16437</v>
      </c>
      <c r="I18" s="12">
        <f>IF($A$2="PREMIUM_OI",IFERROR((100*RTD("tos.rtd",,"OPEN_INT","."&amp;I$2&amp;I$1&amp;"C"&amp;$A18)*RTD("tos.rtd",,"LAST","."&amp;I$2&amp;I$1&amp;"C"&amp;$A18)-100*RTD("tos.rtd",,"OPEN_INT","."&amp;I$2&amp;I$1&amp;"P"&amp;$A18)*RTD("tos.rtd",,"LAST","."&amp;I$2&amp;I$1&amp;"P"&amp;$A18))/1000000,0),IF($A$2="PREMIUM",IFERROR((100*RTD("tos.rtd",,"VOLUME","."&amp;I$2&amp;I$1&amp;"C"&amp;$A18)*RTD("tos.rtd",,"LAST","."&amp;I$2&amp;I$1&amp;"C"&amp;$A18)-100*RTD("tos.rtd",,"VOLUME","."&amp;I$2&amp;I$1&amp;"P"&amp;$A18)*RTD("tos.rtd",,"LAST","."&amp;I$2&amp;I$1&amp;"P"&amp;$A18))/1000000,0),IF($A$2="DEX",IFERROR((100*RTD("tos.rtd",,"OPEN_INT","."&amp;I$2&amp;I$1&amp;"C"&amp;$A18)*RTD("tos.rtd",,"DELTA","."&amp;I$2&amp;I$1&amp;"C"&amp;$A18)-100*RTD("tos.rtd",,"OPEN_INT","."&amp;I$2&amp;I$1&amp;"P"&amp;$A18)*RTD("tos.rtd",,"DELTA","."&amp;I$2&amp;I$1&amp;"P"&amp;$A18))/1000,0),IF($A$2="VEX",IFERROR(($A$4*$A$4*RTD("tos.rtd",,"VOLUME","."&amp;I$2&amp;I$1&amp;"C"&amp;$A18)*RTD("tos.rtd",,"GAMMA","."&amp;I$2&amp;I$1&amp;"C"&amp;$A18)-$A$4*$A$4*RTD("tos.rtd",,"VOLUME","."&amp;I$2&amp;I$1&amp;"P"&amp;$A18)*RTD("tos.rtd",,"GAMMA","."&amp;I$2&amp;I$1&amp;"P"&amp;$A18))/1000000,0),IF($A$2="GEX",IFERROR(($A$4*$A$4*RTD("tos.rtd",,"OPEN_INT","."&amp;I$2&amp;I$1&amp;"C"&amp;$A18)*RTD("tos.rtd",,"GAMMA","."&amp;I$2&amp;I$1&amp;"C"&amp;$A18)-$A$4*$A$4*RTD("tos.rtd",,"OPEN_INT","."&amp;I$2&amp;I$1&amp;"P"&amp;$A18)*RTD("tos.rtd",,"GAMMA","."&amp;I$2&amp;I$1&amp;"P"&amp;$A18))/1000000,0),IF($A$2="SKEW",IFERROR(VALUE(IF(RTD("tos.rtd",,"IMPL_VOL","."&amp;I$2&amp;I$1&amp;"P"&amp;$A18)="N/A",0,RTD("tos.rtd",,"IMPL_VOL","."&amp;I$2&amp;I$1&amp;"P"&amp;$A18))),0)-IFERROR(VALUE(IF(RTD("tos.rtd",,"IMPL_VOL","."&amp;I$2&amp;I$1&amp;"C"&amp;$A18)="N/A",0,RTD("tos.rtd",,"IMPL_VOL","."&amp;I$2&amp;I$1&amp;"C"&amp;$A18))),0),IF($A$2="MAXPAIN",IF($A$4&gt;$A18,($A$4-$A18)*IF(RTD("tos.rtd",,"OPEN_INT","."&amp;I$2&amp;I$1&amp;"C"&amp;$A18)="N/A",0,RTD("tos.rtd",,"OPEN_INT","."&amp;I$2&amp;I$1&amp;"C"&amp;$A18)),0)+IF($A$4&lt;$A18,($A18-$A$4)*IF(RTD("tos.rtd",,"OPEN_INT","."&amp;I$2&amp;I$1&amp;"P"&amp;$A18)="N/A",0,RTD("tos.rtd",,"OPEN_INT","."&amp;I$2&amp;I$1&amp;"P"&amp;$A18)),0),IF(RTD("tos.rtd",,$A$2,"."&amp;I$2&amp;I$1&amp;"C"&amp;$A18)="N/A",0,RTD("tos.rtd",,$A$2,"."&amp;I$2&amp;I$1&amp;"C"&amp;$A18))-IF(RTD("tos.rtd",,$A$2,"."&amp;I$2&amp;I$1&amp;"P"&amp;$A18)="N/A",0,RTD("tos.rtd",,$A$2,"."&amp;I$2&amp;I$1&amp;"P"&amp;$A18)))))))))</f>
        <v>0</v>
      </c>
      <c r="J18" s="12">
        <f>IF($A$2="PREMIUM_OI",IFERROR((100*RTD("tos.rtd",,"OPEN_INT","."&amp;J$2&amp;J$1&amp;"C"&amp;$A18)*RTD("tos.rtd",,"LAST","."&amp;J$2&amp;J$1&amp;"C"&amp;$A18)-100*RTD("tos.rtd",,"OPEN_INT","."&amp;J$2&amp;J$1&amp;"P"&amp;$A18)*RTD("tos.rtd",,"LAST","."&amp;J$2&amp;J$1&amp;"P"&amp;$A18))/1000000,0),IF($A$2="PREMIUM",IFERROR((100*RTD("tos.rtd",,"VOLUME","."&amp;J$2&amp;J$1&amp;"C"&amp;$A18)*RTD("tos.rtd",,"LAST","."&amp;J$2&amp;J$1&amp;"C"&amp;$A18)-100*RTD("tos.rtd",,"VOLUME","."&amp;J$2&amp;J$1&amp;"P"&amp;$A18)*RTD("tos.rtd",,"LAST","."&amp;J$2&amp;J$1&amp;"P"&amp;$A18))/1000000,0),IF($A$2="DEX",IFERROR((100*RTD("tos.rtd",,"OPEN_INT","."&amp;J$2&amp;J$1&amp;"C"&amp;$A18)*RTD("tos.rtd",,"DELTA","."&amp;J$2&amp;J$1&amp;"C"&amp;$A18)-100*RTD("tos.rtd",,"OPEN_INT","."&amp;J$2&amp;J$1&amp;"P"&amp;$A18)*RTD("tos.rtd",,"DELTA","."&amp;J$2&amp;J$1&amp;"P"&amp;$A18))/1000,0),IF($A$2="VEX",IFERROR(($A$4*$A$4*RTD("tos.rtd",,"VOLUME","."&amp;J$2&amp;J$1&amp;"C"&amp;$A18)*RTD("tos.rtd",,"GAMMA","."&amp;J$2&amp;J$1&amp;"C"&amp;$A18)-$A$4*$A$4*RTD("tos.rtd",,"VOLUME","."&amp;J$2&amp;J$1&amp;"P"&amp;$A18)*RTD("tos.rtd",,"GAMMA","."&amp;J$2&amp;J$1&amp;"P"&amp;$A18))/1000000,0),IF($A$2="GEX",IFERROR(($A$4*$A$4*RTD("tos.rtd",,"OPEN_INT","."&amp;J$2&amp;J$1&amp;"C"&amp;$A18)*RTD("tos.rtd",,"GAMMA","."&amp;J$2&amp;J$1&amp;"C"&amp;$A18)-$A$4*$A$4*RTD("tos.rtd",,"OPEN_INT","."&amp;J$2&amp;J$1&amp;"P"&amp;$A18)*RTD("tos.rtd",,"GAMMA","."&amp;J$2&amp;J$1&amp;"P"&amp;$A18))/1000000,0),IF($A$2="SKEW",IFERROR(VALUE(IF(RTD("tos.rtd",,"IMPL_VOL","."&amp;J$2&amp;J$1&amp;"P"&amp;$A18)="N/A",0,RTD("tos.rtd",,"IMPL_VOL","."&amp;J$2&amp;J$1&amp;"P"&amp;$A18))),0)-IFERROR(VALUE(IF(RTD("tos.rtd",,"IMPL_VOL","."&amp;J$2&amp;J$1&amp;"C"&amp;$A18)="N/A",0,RTD("tos.rtd",,"IMPL_VOL","."&amp;J$2&amp;J$1&amp;"C"&amp;$A18))),0),IF($A$2="MAXPAIN",IF($A$4&gt;$A18,($A$4-$A18)*IF(RTD("tos.rtd",,"OPEN_INT","."&amp;J$2&amp;J$1&amp;"C"&amp;$A18)="N/A",0,RTD("tos.rtd",,"OPEN_INT","."&amp;J$2&amp;J$1&amp;"C"&amp;$A18)),0)+IF($A$4&lt;$A18,($A18-$A$4)*IF(RTD("tos.rtd",,"OPEN_INT","."&amp;J$2&amp;J$1&amp;"P"&amp;$A18)="N/A",0,RTD("tos.rtd",,"OPEN_INT","."&amp;J$2&amp;J$1&amp;"P"&amp;$A18)),0),IF(RTD("tos.rtd",,$A$2,"."&amp;J$2&amp;J$1&amp;"C"&amp;$A18)="N/A",0,RTD("tos.rtd",,$A$2,"."&amp;J$2&amp;J$1&amp;"C"&amp;$A18))-IF(RTD("tos.rtd",,$A$2,"."&amp;J$2&amp;J$1&amp;"P"&amp;$A18)="N/A",0,RTD("tos.rtd",,$A$2,"."&amp;J$2&amp;J$1&amp;"P"&amp;$A18)))))))))</f>
        <v>0</v>
      </c>
      <c r="K18" s="12">
        <f>IF($A$2="PREMIUM_OI",IFERROR((100*RTD("tos.rtd",,"OPEN_INT","."&amp;K$2&amp;K$1&amp;"C"&amp;$A18)*RTD("tos.rtd",,"LAST","."&amp;K$2&amp;K$1&amp;"C"&amp;$A18)-100*RTD("tos.rtd",,"OPEN_INT","."&amp;K$2&amp;K$1&amp;"P"&amp;$A18)*RTD("tos.rtd",,"LAST","."&amp;K$2&amp;K$1&amp;"P"&amp;$A18))/1000000,0),IF($A$2="PREMIUM",IFERROR((100*RTD("tos.rtd",,"VOLUME","."&amp;K$2&amp;K$1&amp;"C"&amp;$A18)*RTD("tos.rtd",,"LAST","."&amp;K$2&amp;K$1&amp;"C"&amp;$A18)-100*RTD("tos.rtd",,"VOLUME","."&amp;K$2&amp;K$1&amp;"P"&amp;$A18)*RTD("tos.rtd",,"LAST","."&amp;K$2&amp;K$1&amp;"P"&amp;$A18))/1000000,0),IF($A$2="DEX",IFERROR((100*RTD("tos.rtd",,"OPEN_INT","."&amp;K$2&amp;K$1&amp;"C"&amp;$A18)*RTD("tos.rtd",,"DELTA","."&amp;K$2&amp;K$1&amp;"C"&amp;$A18)-100*RTD("tos.rtd",,"OPEN_INT","."&amp;K$2&amp;K$1&amp;"P"&amp;$A18)*RTD("tos.rtd",,"DELTA","."&amp;K$2&amp;K$1&amp;"P"&amp;$A18))/1000,0),IF($A$2="VEX",IFERROR(($A$4*$A$4*RTD("tos.rtd",,"VOLUME","."&amp;K$2&amp;K$1&amp;"C"&amp;$A18)*RTD("tos.rtd",,"GAMMA","."&amp;K$2&amp;K$1&amp;"C"&amp;$A18)-$A$4*$A$4*RTD("tos.rtd",,"VOLUME","."&amp;K$2&amp;K$1&amp;"P"&amp;$A18)*RTD("tos.rtd",,"GAMMA","."&amp;K$2&amp;K$1&amp;"P"&amp;$A18))/1000000,0),IF($A$2="GEX",IFERROR(($A$4*$A$4*RTD("tos.rtd",,"OPEN_INT","."&amp;K$2&amp;K$1&amp;"C"&amp;$A18)*RTD("tos.rtd",,"GAMMA","."&amp;K$2&amp;K$1&amp;"C"&amp;$A18)-$A$4*$A$4*RTD("tos.rtd",,"OPEN_INT","."&amp;K$2&amp;K$1&amp;"P"&amp;$A18)*RTD("tos.rtd",,"GAMMA","."&amp;K$2&amp;K$1&amp;"P"&amp;$A18))/1000000,0),IF($A$2="SKEW",IFERROR(VALUE(IF(RTD("tos.rtd",,"IMPL_VOL","."&amp;K$2&amp;K$1&amp;"P"&amp;$A18)="N/A",0,RTD("tos.rtd",,"IMPL_VOL","."&amp;K$2&amp;K$1&amp;"P"&amp;$A18))),0)-IFERROR(VALUE(IF(RTD("tos.rtd",,"IMPL_VOL","."&amp;K$2&amp;K$1&amp;"C"&amp;$A18)="N/A",0,RTD("tos.rtd",,"IMPL_VOL","."&amp;K$2&amp;K$1&amp;"C"&amp;$A18))),0),IF($A$2="MAXPAIN",IF($A$4&gt;$A18,($A$4-$A18)*IF(RTD("tos.rtd",,"OPEN_INT","."&amp;K$2&amp;K$1&amp;"C"&amp;$A18)="N/A",0,RTD("tos.rtd",,"OPEN_INT","."&amp;K$2&amp;K$1&amp;"C"&amp;$A18)),0)+IF($A$4&lt;$A18,($A18-$A$4)*IF(RTD("tos.rtd",,"OPEN_INT","."&amp;K$2&amp;K$1&amp;"P"&amp;$A18)="N/A",0,RTD("tos.rtd",,"OPEN_INT","."&amp;K$2&amp;K$1&amp;"P"&amp;$A18)),0),IF(RTD("tos.rtd",,$A$2,"."&amp;K$2&amp;K$1&amp;"C"&amp;$A18)="N/A",0,RTD("tos.rtd",,$A$2,"."&amp;K$2&amp;K$1&amp;"C"&amp;$A18))-IF(RTD("tos.rtd",,$A$2,"."&amp;K$2&amp;K$1&amp;"P"&amp;$A18)="N/A",0,RTD("tos.rtd",,$A$2,"."&amp;K$2&amp;K$1&amp;"P"&amp;$A18)))))))))</f>
        <v>0</v>
      </c>
      <c r="L18" s="12">
        <f>IF($A$2="PREMIUM_OI",IFERROR((100*RTD("tos.rtd",,"OPEN_INT","."&amp;L$2&amp;L$1&amp;"C"&amp;$A18)*RTD("tos.rtd",,"LAST","."&amp;L$2&amp;L$1&amp;"C"&amp;$A18)-100*RTD("tos.rtd",,"OPEN_INT","."&amp;L$2&amp;L$1&amp;"P"&amp;$A18)*RTD("tos.rtd",,"LAST","."&amp;L$2&amp;L$1&amp;"P"&amp;$A18))/1000000,0),IF($A$2="PREMIUM",IFERROR((100*RTD("tos.rtd",,"VOLUME","."&amp;L$2&amp;L$1&amp;"C"&amp;$A18)*RTD("tos.rtd",,"LAST","."&amp;L$2&amp;L$1&amp;"C"&amp;$A18)-100*RTD("tos.rtd",,"VOLUME","."&amp;L$2&amp;L$1&amp;"P"&amp;$A18)*RTD("tos.rtd",,"LAST","."&amp;L$2&amp;L$1&amp;"P"&amp;$A18))/1000000,0),IF($A$2="DEX",IFERROR((100*RTD("tos.rtd",,"OPEN_INT","."&amp;L$2&amp;L$1&amp;"C"&amp;$A18)*RTD("tos.rtd",,"DELTA","."&amp;L$2&amp;L$1&amp;"C"&amp;$A18)-100*RTD("tos.rtd",,"OPEN_INT","."&amp;L$2&amp;L$1&amp;"P"&amp;$A18)*RTD("tos.rtd",,"DELTA","."&amp;L$2&amp;L$1&amp;"P"&amp;$A18))/1000,0),IF($A$2="VEX",IFERROR(($A$4*$A$4*RTD("tos.rtd",,"VOLUME","."&amp;L$2&amp;L$1&amp;"C"&amp;$A18)*RTD("tos.rtd",,"GAMMA","."&amp;L$2&amp;L$1&amp;"C"&amp;$A18)-$A$4*$A$4*RTD("tos.rtd",,"VOLUME","."&amp;L$2&amp;L$1&amp;"P"&amp;$A18)*RTD("tos.rtd",,"GAMMA","."&amp;L$2&amp;L$1&amp;"P"&amp;$A18))/1000000,0),IF($A$2="GEX",IFERROR(($A$4*$A$4*RTD("tos.rtd",,"OPEN_INT","."&amp;L$2&amp;L$1&amp;"C"&amp;$A18)*RTD("tos.rtd",,"GAMMA","."&amp;L$2&amp;L$1&amp;"C"&amp;$A18)-$A$4*$A$4*RTD("tos.rtd",,"OPEN_INT","."&amp;L$2&amp;L$1&amp;"P"&amp;$A18)*RTD("tos.rtd",,"GAMMA","."&amp;L$2&amp;L$1&amp;"P"&amp;$A18))/1000000,0),IF($A$2="SKEW",IFERROR(VALUE(IF(RTD("tos.rtd",,"IMPL_VOL","."&amp;L$2&amp;L$1&amp;"P"&amp;$A18)="N/A",0,RTD("tos.rtd",,"IMPL_VOL","."&amp;L$2&amp;L$1&amp;"P"&amp;$A18))),0)-IFERROR(VALUE(IF(RTD("tos.rtd",,"IMPL_VOL","."&amp;L$2&amp;L$1&amp;"C"&amp;$A18)="N/A",0,RTD("tos.rtd",,"IMPL_VOL","."&amp;L$2&amp;L$1&amp;"C"&amp;$A18))),0),IF($A$2="MAXPAIN",IF($A$4&gt;$A18,($A$4-$A18)*IF(RTD("tos.rtd",,"OPEN_INT","."&amp;L$2&amp;L$1&amp;"C"&amp;$A18)="N/A",0,RTD("tos.rtd",,"OPEN_INT","."&amp;L$2&amp;L$1&amp;"C"&amp;$A18)),0)+IF($A$4&lt;$A18,($A18-$A$4)*IF(RTD("tos.rtd",,"OPEN_INT","."&amp;L$2&amp;L$1&amp;"P"&amp;$A18)="N/A",0,RTD("tos.rtd",,"OPEN_INT","."&amp;L$2&amp;L$1&amp;"P"&amp;$A18)),0),IF(RTD("tos.rtd",,$A$2,"."&amp;L$2&amp;L$1&amp;"C"&amp;$A18)="N/A",0,RTD("tos.rtd",,$A$2,"."&amp;L$2&amp;L$1&amp;"C"&amp;$A18))-IF(RTD("tos.rtd",,$A$2,"."&amp;L$2&amp;L$1&amp;"P"&amp;$A18)="N/A",0,RTD("tos.rtd",,$A$2,"."&amp;L$2&amp;L$1&amp;"P"&amp;$A18)))))))))</f>
        <v>0</v>
      </c>
      <c r="M18" s="12">
        <f>IF($A$2="PREMIUM_OI",IFERROR((100*RTD("tos.rtd",,"OPEN_INT","."&amp;M$2&amp;M$1&amp;"C"&amp;$A18)*RTD("tos.rtd",,"LAST","."&amp;M$2&amp;M$1&amp;"C"&amp;$A18)-100*RTD("tos.rtd",,"OPEN_INT","."&amp;M$2&amp;M$1&amp;"P"&amp;$A18)*RTD("tos.rtd",,"LAST","."&amp;M$2&amp;M$1&amp;"P"&amp;$A18))/1000000,0),IF($A$2="PREMIUM",IFERROR((100*RTD("tos.rtd",,"VOLUME","."&amp;M$2&amp;M$1&amp;"C"&amp;$A18)*RTD("tos.rtd",,"LAST","."&amp;M$2&amp;M$1&amp;"C"&amp;$A18)-100*RTD("tos.rtd",,"VOLUME","."&amp;M$2&amp;M$1&amp;"P"&amp;$A18)*RTD("tos.rtd",,"LAST","."&amp;M$2&amp;M$1&amp;"P"&amp;$A18))/1000000,0),IF($A$2="DEX",IFERROR((100*RTD("tos.rtd",,"OPEN_INT","."&amp;M$2&amp;M$1&amp;"C"&amp;$A18)*RTD("tos.rtd",,"DELTA","."&amp;M$2&amp;M$1&amp;"C"&amp;$A18)-100*RTD("tos.rtd",,"OPEN_INT","."&amp;M$2&amp;M$1&amp;"P"&amp;$A18)*RTD("tos.rtd",,"DELTA","."&amp;M$2&amp;M$1&amp;"P"&amp;$A18))/1000,0),IF($A$2="VEX",IFERROR(($A$4*$A$4*RTD("tos.rtd",,"VOLUME","."&amp;M$2&amp;M$1&amp;"C"&amp;$A18)*RTD("tos.rtd",,"GAMMA","."&amp;M$2&amp;M$1&amp;"C"&amp;$A18)-$A$4*$A$4*RTD("tos.rtd",,"VOLUME","."&amp;M$2&amp;M$1&amp;"P"&amp;$A18)*RTD("tos.rtd",,"GAMMA","."&amp;M$2&amp;M$1&amp;"P"&amp;$A18))/1000000,0),IF($A$2="GEX",IFERROR(($A$4*$A$4*RTD("tos.rtd",,"OPEN_INT","."&amp;M$2&amp;M$1&amp;"C"&amp;$A18)*RTD("tos.rtd",,"GAMMA","."&amp;M$2&amp;M$1&amp;"C"&amp;$A18)-$A$4*$A$4*RTD("tos.rtd",,"OPEN_INT","."&amp;M$2&amp;M$1&amp;"P"&amp;$A18)*RTD("tos.rtd",,"GAMMA","."&amp;M$2&amp;M$1&amp;"P"&amp;$A18))/1000000,0),IF($A$2="SKEW",IFERROR(VALUE(IF(RTD("tos.rtd",,"IMPL_VOL","."&amp;M$2&amp;M$1&amp;"P"&amp;$A18)="N/A",0,RTD("tos.rtd",,"IMPL_VOL","."&amp;M$2&amp;M$1&amp;"P"&amp;$A18))),0)-IFERROR(VALUE(IF(RTD("tos.rtd",,"IMPL_VOL","."&amp;M$2&amp;M$1&amp;"C"&amp;$A18)="N/A",0,RTD("tos.rtd",,"IMPL_VOL","."&amp;M$2&amp;M$1&amp;"C"&amp;$A18))),0),IF($A$2="MAXPAIN",IF($A$4&gt;$A18,($A$4-$A18)*IF(RTD("tos.rtd",,"OPEN_INT","."&amp;M$2&amp;M$1&amp;"C"&amp;$A18)="N/A",0,RTD("tos.rtd",,"OPEN_INT","."&amp;M$2&amp;M$1&amp;"C"&amp;$A18)),0)+IF($A$4&lt;$A18,($A18-$A$4)*IF(RTD("tos.rtd",,"OPEN_INT","."&amp;M$2&amp;M$1&amp;"P"&amp;$A18)="N/A",0,RTD("tos.rtd",,"OPEN_INT","."&amp;M$2&amp;M$1&amp;"P"&amp;$A18)),0),IF(RTD("tos.rtd",,$A$2,"."&amp;M$2&amp;M$1&amp;"C"&amp;$A18)="N/A",0,RTD("tos.rtd",,$A$2,"."&amp;M$2&amp;M$1&amp;"C"&amp;$A18))-IF(RTD("tos.rtd",,$A$2,"."&amp;M$2&amp;M$1&amp;"P"&amp;$A18)="N/A",0,RTD("tos.rtd",,$A$2,"."&amp;M$2&amp;M$1&amp;"P"&amp;$A18)))))))))</f>
        <v>3485</v>
      </c>
      <c r="N18" s="12">
        <f>IF($A$2="PREMIUM_OI",IFERROR((100*RTD("tos.rtd",,"OPEN_INT","."&amp;N$2&amp;N$1&amp;"C"&amp;$A18)*RTD("tos.rtd",,"LAST","."&amp;N$2&amp;N$1&amp;"C"&amp;$A18)-100*RTD("tos.rtd",,"OPEN_INT","."&amp;N$2&amp;N$1&amp;"P"&amp;$A18)*RTD("tos.rtd",,"LAST","."&amp;N$2&amp;N$1&amp;"P"&amp;$A18))/1000000,0),IF($A$2="PREMIUM",IFERROR((100*RTD("tos.rtd",,"VOLUME","."&amp;N$2&amp;N$1&amp;"C"&amp;$A18)*RTD("tos.rtd",,"LAST","."&amp;N$2&amp;N$1&amp;"C"&amp;$A18)-100*RTD("tos.rtd",,"VOLUME","."&amp;N$2&amp;N$1&amp;"P"&amp;$A18)*RTD("tos.rtd",,"LAST","."&amp;N$2&amp;N$1&amp;"P"&amp;$A18))/1000000,0),IF($A$2="DEX",IFERROR((100*RTD("tos.rtd",,"OPEN_INT","."&amp;N$2&amp;N$1&amp;"C"&amp;$A18)*RTD("tos.rtd",,"DELTA","."&amp;N$2&amp;N$1&amp;"C"&amp;$A18)-100*RTD("tos.rtd",,"OPEN_INT","."&amp;N$2&amp;N$1&amp;"P"&amp;$A18)*RTD("tos.rtd",,"DELTA","."&amp;N$2&amp;N$1&amp;"P"&amp;$A18))/1000,0),IF($A$2="VEX",IFERROR(($A$4*$A$4*RTD("tos.rtd",,"VOLUME","."&amp;N$2&amp;N$1&amp;"C"&amp;$A18)*RTD("tos.rtd",,"GAMMA","."&amp;N$2&amp;N$1&amp;"C"&amp;$A18)-$A$4*$A$4*RTD("tos.rtd",,"VOLUME","."&amp;N$2&amp;N$1&amp;"P"&amp;$A18)*RTD("tos.rtd",,"GAMMA","."&amp;N$2&amp;N$1&amp;"P"&amp;$A18))/1000000,0),IF($A$2="GEX",IFERROR(($A$4*$A$4*RTD("tos.rtd",,"OPEN_INT","."&amp;N$2&amp;N$1&amp;"C"&amp;$A18)*RTD("tos.rtd",,"GAMMA","."&amp;N$2&amp;N$1&amp;"C"&amp;$A18)-$A$4*$A$4*RTD("tos.rtd",,"OPEN_INT","."&amp;N$2&amp;N$1&amp;"P"&amp;$A18)*RTD("tos.rtd",,"GAMMA","."&amp;N$2&amp;N$1&amp;"P"&amp;$A18))/1000000,0),IF($A$2="SKEW",IFERROR(VALUE(IF(RTD("tos.rtd",,"IMPL_VOL","."&amp;N$2&amp;N$1&amp;"P"&amp;$A18)="N/A",0,RTD("tos.rtd",,"IMPL_VOL","."&amp;N$2&amp;N$1&amp;"P"&amp;$A18))),0)-IFERROR(VALUE(IF(RTD("tos.rtd",,"IMPL_VOL","."&amp;N$2&amp;N$1&amp;"C"&amp;$A18)="N/A",0,RTD("tos.rtd",,"IMPL_VOL","."&amp;N$2&amp;N$1&amp;"C"&amp;$A18))),0),IF($A$2="MAXPAIN",IF($A$4&gt;$A18,($A$4-$A18)*IF(RTD("tos.rtd",,"OPEN_INT","."&amp;N$2&amp;N$1&amp;"C"&amp;$A18)="N/A",0,RTD("tos.rtd",,"OPEN_INT","."&amp;N$2&amp;N$1&amp;"C"&amp;$A18)),0)+IF($A$4&lt;$A18,($A18-$A$4)*IF(RTD("tos.rtd",,"OPEN_INT","."&amp;N$2&amp;N$1&amp;"P"&amp;$A18)="N/A",0,RTD("tos.rtd",,"OPEN_INT","."&amp;N$2&amp;N$1&amp;"P"&amp;$A18)),0),IF(RTD("tos.rtd",,$A$2,"."&amp;N$2&amp;N$1&amp;"C"&amp;$A18)="N/A",0,RTD("tos.rtd",,$A$2,"."&amp;N$2&amp;N$1&amp;"C"&amp;$A18))-IF(RTD("tos.rtd",,$A$2,"."&amp;N$2&amp;N$1&amp;"P"&amp;$A18)="N/A",0,RTD("tos.rtd",,$A$2,"."&amp;N$2&amp;N$1&amp;"P"&amp;$A18)))))))))</f>
        <v>0</v>
      </c>
      <c r="O18" s="12">
        <f>IF($A$2="PREMIUM_OI",IFERROR((100*RTD("tos.rtd",,"OPEN_INT","."&amp;O$2&amp;O$1&amp;"C"&amp;$A18)*RTD("tos.rtd",,"LAST","."&amp;O$2&amp;O$1&amp;"C"&amp;$A18)-100*RTD("tos.rtd",,"OPEN_INT","."&amp;O$2&amp;O$1&amp;"P"&amp;$A18)*RTD("tos.rtd",,"LAST","."&amp;O$2&amp;O$1&amp;"P"&amp;$A18))/1000000,0),IF($A$2="PREMIUM",IFERROR((100*RTD("tos.rtd",,"VOLUME","."&amp;O$2&amp;O$1&amp;"C"&amp;$A18)*RTD("tos.rtd",,"LAST","."&amp;O$2&amp;O$1&amp;"C"&amp;$A18)-100*RTD("tos.rtd",,"VOLUME","."&amp;O$2&amp;O$1&amp;"P"&amp;$A18)*RTD("tos.rtd",,"LAST","."&amp;O$2&amp;O$1&amp;"P"&amp;$A18))/1000000,0),IF($A$2="DEX",IFERROR((100*RTD("tos.rtd",,"OPEN_INT","."&amp;O$2&amp;O$1&amp;"C"&amp;$A18)*RTD("tos.rtd",,"DELTA","."&amp;O$2&amp;O$1&amp;"C"&amp;$A18)-100*RTD("tos.rtd",,"OPEN_INT","."&amp;O$2&amp;O$1&amp;"P"&amp;$A18)*RTD("tos.rtd",,"DELTA","."&amp;O$2&amp;O$1&amp;"P"&amp;$A18))/1000,0),IF($A$2="VEX",IFERROR(($A$4*$A$4*RTD("tos.rtd",,"VOLUME","."&amp;O$2&amp;O$1&amp;"C"&amp;$A18)*RTD("tos.rtd",,"GAMMA","."&amp;O$2&amp;O$1&amp;"C"&amp;$A18)-$A$4*$A$4*RTD("tos.rtd",,"VOLUME","."&amp;O$2&amp;O$1&amp;"P"&amp;$A18)*RTD("tos.rtd",,"GAMMA","."&amp;O$2&amp;O$1&amp;"P"&amp;$A18))/1000000,0),IF($A$2="GEX",IFERROR(($A$4*$A$4*RTD("tos.rtd",,"OPEN_INT","."&amp;O$2&amp;O$1&amp;"C"&amp;$A18)*RTD("tos.rtd",,"GAMMA","."&amp;O$2&amp;O$1&amp;"C"&amp;$A18)-$A$4*$A$4*RTD("tos.rtd",,"OPEN_INT","."&amp;O$2&amp;O$1&amp;"P"&amp;$A18)*RTD("tos.rtd",,"GAMMA","."&amp;O$2&amp;O$1&amp;"P"&amp;$A18))/1000000,0),IF($A$2="SKEW",IFERROR(VALUE(IF(RTD("tos.rtd",,"IMPL_VOL","."&amp;O$2&amp;O$1&amp;"P"&amp;$A18)="N/A",0,RTD("tos.rtd",,"IMPL_VOL","."&amp;O$2&amp;O$1&amp;"P"&amp;$A18))),0)-IFERROR(VALUE(IF(RTD("tos.rtd",,"IMPL_VOL","."&amp;O$2&amp;O$1&amp;"C"&amp;$A18)="N/A",0,RTD("tos.rtd",,"IMPL_VOL","."&amp;O$2&amp;O$1&amp;"C"&amp;$A18))),0),IF($A$2="MAXPAIN",IF($A$4&gt;$A18,($A$4-$A18)*IF(RTD("tos.rtd",,"OPEN_INT","."&amp;O$2&amp;O$1&amp;"C"&amp;$A18)="N/A",0,RTD("tos.rtd",,"OPEN_INT","."&amp;O$2&amp;O$1&amp;"C"&amp;$A18)),0)+IF($A$4&lt;$A18,($A18-$A$4)*IF(RTD("tos.rtd",,"OPEN_INT","."&amp;O$2&amp;O$1&amp;"P"&amp;$A18)="N/A",0,RTD("tos.rtd",,"OPEN_INT","."&amp;O$2&amp;O$1&amp;"P"&amp;$A18)),0),IF(RTD("tos.rtd",,$A$2,"."&amp;O$2&amp;O$1&amp;"C"&amp;$A18)="N/A",0,RTD("tos.rtd",,$A$2,"."&amp;O$2&amp;O$1&amp;"C"&amp;$A18))-IF(RTD("tos.rtd",,$A$2,"."&amp;O$2&amp;O$1&amp;"P"&amp;$A18)="N/A",0,RTD("tos.rtd",,$A$2,"."&amp;O$2&amp;O$1&amp;"P"&amp;$A18)))))))))</f>
        <v>0</v>
      </c>
      <c r="P18" s="12">
        <f>IF($A$2="PREMIUM_OI",IFERROR((100*RTD("tos.rtd",,"OPEN_INT","."&amp;P$2&amp;P$1&amp;"C"&amp;$A18)*RTD("tos.rtd",,"LAST","."&amp;P$2&amp;P$1&amp;"C"&amp;$A18)-100*RTD("tos.rtd",,"OPEN_INT","."&amp;P$2&amp;P$1&amp;"P"&amp;$A18)*RTD("tos.rtd",,"LAST","."&amp;P$2&amp;P$1&amp;"P"&amp;$A18))/1000000,0),IF($A$2="PREMIUM",IFERROR((100*RTD("tos.rtd",,"VOLUME","."&amp;P$2&amp;P$1&amp;"C"&amp;$A18)*RTD("tos.rtd",,"LAST","."&amp;P$2&amp;P$1&amp;"C"&amp;$A18)-100*RTD("tos.rtd",,"VOLUME","."&amp;P$2&amp;P$1&amp;"P"&amp;$A18)*RTD("tos.rtd",,"LAST","."&amp;P$2&amp;P$1&amp;"P"&amp;$A18))/1000000,0),IF($A$2="DEX",IFERROR((100*RTD("tos.rtd",,"OPEN_INT","."&amp;P$2&amp;P$1&amp;"C"&amp;$A18)*RTD("tos.rtd",,"DELTA","."&amp;P$2&amp;P$1&amp;"C"&amp;$A18)-100*RTD("tos.rtd",,"OPEN_INT","."&amp;P$2&amp;P$1&amp;"P"&amp;$A18)*RTD("tos.rtd",,"DELTA","."&amp;P$2&amp;P$1&amp;"P"&amp;$A18))/1000,0),IF($A$2="VEX",IFERROR(($A$4*$A$4*RTD("tos.rtd",,"VOLUME","."&amp;P$2&amp;P$1&amp;"C"&amp;$A18)*RTD("tos.rtd",,"GAMMA","."&amp;P$2&amp;P$1&amp;"C"&amp;$A18)-$A$4*$A$4*RTD("tos.rtd",,"VOLUME","."&amp;P$2&amp;P$1&amp;"P"&amp;$A18)*RTD("tos.rtd",,"GAMMA","."&amp;P$2&amp;P$1&amp;"P"&amp;$A18))/1000000,0),IF($A$2="GEX",IFERROR(($A$4*$A$4*RTD("tos.rtd",,"OPEN_INT","."&amp;P$2&amp;P$1&amp;"C"&amp;$A18)*RTD("tos.rtd",,"GAMMA","."&amp;P$2&amp;P$1&amp;"C"&amp;$A18)-$A$4*$A$4*RTD("tos.rtd",,"OPEN_INT","."&amp;P$2&amp;P$1&amp;"P"&amp;$A18)*RTD("tos.rtd",,"GAMMA","."&amp;P$2&amp;P$1&amp;"P"&amp;$A18))/1000000,0),IF($A$2="SKEW",IFERROR(VALUE(IF(RTD("tos.rtd",,"IMPL_VOL","."&amp;P$2&amp;P$1&amp;"P"&amp;$A18)="N/A",0,RTD("tos.rtd",,"IMPL_VOL","."&amp;P$2&amp;P$1&amp;"P"&amp;$A18))),0)-IFERROR(VALUE(IF(RTD("tos.rtd",,"IMPL_VOL","."&amp;P$2&amp;P$1&amp;"C"&amp;$A18)="N/A",0,RTD("tos.rtd",,"IMPL_VOL","."&amp;P$2&amp;P$1&amp;"C"&amp;$A18))),0),IF($A$2="MAXPAIN",IF($A$4&gt;$A18,($A$4-$A18)*IF(RTD("tos.rtd",,"OPEN_INT","."&amp;P$2&amp;P$1&amp;"C"&amp;$A18)="N/A",0,RTD("tos.rtd",,"OPEN_INT","."&amp;P$2&amp;P$1&amp;"C"&amp;$A18)),0)+IF($A$4&lt;$A18,($A18-$A$4)*IF(RTD("tos.rtd",,"OPEN_INT","."&amp;P$2&amp;P$1&amp;"P"&amp;$A18)="N/A",0,RTD("tos.rtd",,"OPEN_INT","."&amp;P$2&amp;P$1&amp;"P"&amp;$A18)),0),IF(RTD("tos.rtd",,$A$2,"."&amp;P$2&amp;P$1&amp;"C"&amp;$A18)="N/A",0,RTD("tos.rtd",,$A$2,"."&amp;P$2&amp;P$1&amp;"C"&amp;$A18))-IF(RTD("tos.rtd",,$A$2,"."&amp;P$2&amp;P$1&amp;"P"&amp;$A18)="N/A",0,RTD("tos.rtd",,$A$2,"."&amp;P$2&amp;P$1&amp;"P"&amp;$A18)))))))))</f>
        <v>0</v>
      </c>
      <c r="Q18" s="12">
        <f>IF($A$2="PREMIUM_OI",IFERROR((100*RTD("tos.rtd",,"OPEN_INT","."&amp;Q$2&amp;Q$1&amp;"C"&amp;$A18)*RTD("tos.rtd",,"LAST","."&amp;Q$2&amp;Q$1&amp;"C"&amp;$A18)-100*RTD("tos.rtd",,"OPEN_INT","."&amp;Q$2&amp;Q$1&amp;"P"&amp;$A18)*RTD("tos.rtd",,"LAST","."&amp;Q$2&amp;Q$1&amp;"P"&amp;$A18))/1000000,0),IF($A$2="PREMIUM",IFERROR((100*RTD("tos.rtd",,"VOLUME","."&amp;Q$2&amp;Q$1&amp;"C"&amp;$A18)*RTD("tos.rtd",,"LAST","."&amp;Q$2&amp;Q$1&amp;"C"&amp;$A18)-100*RTD("tos.rtd",,"VOLUME","."&amp;Q$2&amp;Q$1&amp;"P"&amp;$A18)*RTD("tos.rtd",,"LAST","."&amp;Q$2&amp;Q$1&amp;"P"&amp;$A18))/1000000,0),IF($A$2="DEX",IFERROR((100*RTD("tos.rtd",,"OPEN_INT","."&amp;Q$2&amp;Q$1&amp;"C"&amp;$A18)*RTD("tos.rtd",,"DELTA","."&amp;Q$2&amp;Q$1&amp;"C"&amp;$A18)-100*RTD("tos.rtd",,"OPEN_INT","."&amp;Q$2&amp;Q$1&amp;"P"&amp;$A18)*RTD("tos.rtd",,"DELTA","."&amp;Q$2&amp;Q$1&amp;"P"&amp;$A18))/1000,0),IF($A$2="VEX",IFERROR(($A$4*$A$4*RTD("tos.rtd",,"VOLUME","."&amp;Q$2&amp;Q$1&amp;"C"&amp;$A18)*RTD("tos.rtd",,"GAMMA","."&amp;Q$2&amp;Q$1&amp;"C"&amp;$A18)-$A$4*$A$4*RTD("tos.rtd",,"VOLUME","."&amp;Q$2&amp;Q$1&amp;"P"&amp;$A18)*RTD("tos.rtd",,"GAMMA","."&amp;Q$2&amp;Q$1&amp;"P"&amp;$A18))/1000000,0),IF($A$2="GEX",IFERROR(($A$4*$A$4*RTD("tos.rtd",,"OPEN_INT","."&amp;Q$2&amp;Q$1&amp;"C"&amp;$A18)*RTD("tos.rtd",,"GAMMA","."&amp;Q$2&amp;Q$1&amp;"C"&amp;$A18)-$A$4*$A$4*RTD("tos.rtd",,"OPEN_INT","."&amp;Q$2&amp;Q$1&amp;"P"&amp;$A18)*RTD("tos.rtd",,"GAMMA","."&amp;Q$2&amp;Q$1&amp;"P"&amp;$A18))/1000000,0),IF($A$2="SKEW",IFERROR(VALUE(IF(RTD("tos.rtd",,"IMPL_VOL","."&amp;Q$2&amp;Q$1&amp;"P"&amp;$A18)="N/A",0,RTD("tos.rtd",,"IMPL_VOL","."&amp;Q$2&amp;Q$1&amp;"P"&amp;$A18))),0)-IFERROR(VALUE(IF(RTD("tos.rtd",,"IMPL_VOL","."&amp;Q$2&amp;Q$1&amp;"C"&amp;$A18)="N/A",0,RTD("tos.rtd",,"IMPL_VOL","."&amp;Q$2&amp;Q$1&amp;"C"&amp;$A18))),0),IF($A$2="MAXPAIN",IF($A$4&gt;$A18,($A$4-$A18)*IF(RTD("tos.rtd",,"OPEN_INT","."&amp;Q$2&amp;Q$1&amp;"C"&amp;$A18)="N/A",0,RTD("tos.rtd",,"OPEN_INT","."&amp;Q$2&amp;Q$1&amp;"C"&amp;$A18)),0)+IF($A$4&lt;$A18,($A18-$A$4)*IF(RTD("tos.rtd",,"OPEN_INT","."&amp;Q$2&amp;Q$1&amp;"P"&amp;$A18)="N/A",0,RTD("tos.rtd",,"OPEN_INT","."&amp;Q$2&amp;Q$1&amp;"P"&amp;$A18)),0),IF(RTD("tos.rtd",,$A$2,"."&amp;Q$2&amp;Q$1&amp;"C"&amp;$A18)="N/A",0,RTD("tos.rtd",,$A$2,"."&amp;Q$2&amp;Q$1&amp;"C"&amp;$A18))-IF(RTD("tos.rtd",,$A$2,"."&amp;Q$2&amp;Q$1&amp;"P"&amp;$A18)="N/A",0,RTD("tos.rtd",,$A$2,"."&amp;Q$2&amp;Q$1&amp;"P"&amp;$A18)))))))))</f>
        <v>0</v>
      </c>
      <c r="R18" s="12">
        <f>IF($A$2="PREMIUM_OI",IFERROR((100*RTD("tos.rtd",,"OPEN_INT","."&amp;R$2&amp;R$1&amp;"C"&amp;$A18)*RTD("tos.rtd",,"LAST","."&amp;R$2&amp;R$1&amp;"C"&amp;$A18)-100*RTD("tos.rtd",,"OPEN_INT","."&amp;R$2&amp;R$1&amp;"P"&amp;$A18)*RTD("tos.rtd",,"LAST","."&amp;R$2&amp;R$1&amp;"P"&amp;$A18))/1000000,0),IF($A$2="PREMIUM",IFERROR((100*RTD("tos.rtd",,"VOLUME","."&amp;R$2&amp;R$1&amp;"C"&amp;$A18)*RTD("tos.rtd",,"LAST","."&amp;R$2&amp;R$1&amp;"C"&amp;$A18)-100*RTD("tos.rtd",,"VOLUME","."&amp;R$2&amp;R$1&amp;"P"&amp;$A18)*RTD("tos.rtd",,"LAST","."&amp;R$2&amp;R$1&amp;"P"&amp;$A18))/1000000,0),IF($A$2="DEX",IFERROR((100*RTD("tos.rtd",,"OPEN_INT","."&amp;R$2&amp;R$1&amp;"C"&amp;$A18)*RTD("tos.rtd",,"DELTA","."&amp;R$2&amp;R$1&amp;"C"&amp;$A18)-100*RTD("tos.rtd",,"OPEN_INT","."&amp;R$2&amp;R$1&amp;"P"&amp;$A18)*RTD("tos.rtd",,"DELTA","."&amp;R$2&amp;R$1&amp;"P"&amp;$A18))/1000,0),IF($A$2="VEX",IFERROR(($A$4*$A$4*RTD("tos.rtd",,"VOLUME","."&amp;R$2&amp;R$1&amp;"C"&amp;$A18)*RTD("tos.rtd",,"GAMMA","."&amp;R$2&amp;R$1&amp;"C"&amp;$A18)-$A$4*$A$4*RTD("tos.rtd",,"VOLUME","."&amp;R$2&amp;R$1&amp;"P"&amp;$A18)*RTD("tos.rtd",,"GAMMA","."&amp;R$2&amp;R$1&amp;"P"&amp;$A18))/1000000,0),IF($A$2="GEX",IFERROR(($A$4*$A$4*RTD("tos.rtd",,"OPEN_INT","."&amp;R$2&amp;R$1&amp;"C"&amp;$A18)*RTD("tos.rtd",,"GAMMA","."&amp;R$2&amp;R$1&amp;"C"&amp;$A18)-$A$4*$A$4*RTD("tos.rtd",,"OPEN_INT","."&amp;R$2&amp;R$1&amp;"P"&amp;$A18)*RTD("tos.rtd",,"GAMMA","."&amp;R$2&amp;R$1&amp;"P"&amp;$A18))/1000000,0),IF($A$2="SKEW",IFERROR(VALUE(IF(RTD("tos.rtd",,"IMPL_VOL","."&amp;R$2&amp;R$1&amp;"P"&amp;$A18)="N/A",0,RTD("tos.rtd",,"IMPL_VOL","."&amp;R$2&amp;R$1&amp;"P"&amp;$A18))),0)-IFERROR(VALUE(IF(RTD("tos.rtd",,"IMPL_VOL","."&amp;R$2&amp;R$1&amp;"C"&amp;$A18)="N/A",0,RTD("tos.rtd",,"IMPL_VOL","."&amp;R$2&amp;R$1&amp;"C"&amp;$A18))),0),IF($A$2="MAXPAIN",IF($A$4&gt;$A18,($A$4-$A18)*IF(RTD("tos.rtd",,"OPEN_INT","."&amp;R$2&amp;R$1&amp;"C"&amp;$A18)="N/A",0,RTD("tos.rtd",,"OPEN_INT","."&amp;R$2&amp;R$1&amp;"C"&amp;$A18)),0)+IF($A$4&lt;$A18,($A18-$A$4)*IF(RTD("tos.rtd",,"OPEN_INT","."&amp;R$2&amp;R$1&amp;"P"&amp;$A18)="N/A",0,RTD("tos.rtd",,"OPEN_INT","."&amp;R$2&amp;R$1&amp;"P"&amp;$A18)),0),IF(RTD("tos.rtd",,$A$2,"."&amp;R$2&amp;R$1&amp;"C"&amp;$A18)="N/A",0,RTD("tos.rtd",,$A$2,"."&amp;R$2&amp;R$1&amp;"C"&amp;$A18))-IF(RTD("tos.rtd",,$A$2,"."&amp;R$2&amp;R$1&amp;"P"&amp;$A18)="N/A",0,RTD("tos.rtd",,$A$2,"."&amp;R$2&amp;R$1&amp;"P"&amp;$A18)))))))))</f>
        <v>2420</v>
      </c>
      <c r="S18" s="12">
        <f>IF($A$2="PREMIUM_OI",IFERROR((100*RTD("tos.rtd",,"OPEN_INT","."&amp;S$2&amp;S$1&amp;"C"&amp;$A18)*RTD("tos.rtd",,"LAST","."&amp;S$2&amp;S$1&amp;"C"&amp;$A18)-100*RTD("tos.rtd",,"OPEN_INT","."&amp;S$2&amp;S$1&amp;"P"&amp;$A18)*RTD("tos.rtd",,"LAST","."&amp;S$2&amp;S$1&amp;"P"&amp;$A18))/1000000,0),IF($A$2="PREMIUM",IFERROR((100*RTD("tos.rtd",,"VOLUME","."&amp;S$2&amp;S$1&amp;"C"&amp;$A18)*RTD("tos.rtd",,"LAST","."&amp;S$2&amp;S$1&amp;"C"&amp;$A18)-100*RTD("tos.rtd",,"VOLUME","."&amp;S$2&amp;S$1&amp;"P"&amp;$A18)*RTD("tos.rtd",,"LAST","."&amp;S$2&amp;S$1&amp;"P"&amp;$A18))/1000000,0),IF($A$2="DEX",IFERROR((100*RTD("tos.rtd",,"OPEN_INT","."&amp;S$2&amp;S$1&amp;"C"&amp;$A18)*RTD("tos.rtd",,"DELTA","."&amp;S$2&amp;S$1&amp;"C"&amp;$A18)-100*RTD("tos.rtd",,"OPEN_INT","."&amp;S$2&amp;S$1&amp;"P"&amp;$A18)*RTD("tos.rtd",,"DELTA","."&amp;S$2&amp;S$1&amp;"P"&amp;$A18))/1000,0),IF($A$2="VEX",IFERROR(($A$4*$A$4*RTD("tos.rtd",,"VOLUME","."&amp;S$2&amp;S$1&amp;"C"&amp;$A18)*RTD("tos.rtd",,"GAMMA","."&amp;S$2&amp;S$1&amp;"C"&amp;$A18)-$A$4*$A$4*RTD("tos.rtd",,"VOLUME","."&amp;S$2&amp;S$1&amp;"P"&amp;$A18)*RTD("tos.rtd",,"GAMMA","."&amp;S$2&amp;S$1&amp;"P"&amp;$A18))/1000000,0),IF($A$2="GEX",IFERROR(($A$4*$A$4*RTD("tos.rtd",,"OPEN_INT","."&amp;S$2&amp;S$1&amp;"C"&amp;$A18)*RTD("tos.rtd",,"GAMMA","."&amp;S$2&amp;S$1&amp;"C"&amp;$A18)-$A$4*$A$4*RTD("tos.rtd",,"OPEN_INT","."&amp;S$2&amp;S$1&amp;"P"&amp;$A18)*RTD("tos.rtd",,"GAMMA","."&amp;S$2&amp;S$1&amp;"P"&amp;$A18))/1000000,0),IF($A$2="SKEW",IFERROR(VALUE(IF(RTD("tos.rtd",,"IMPL_VOL","."&amp;S$2&amp;S$1&amp;"P"&amp;$A18)="N/A",0,RTD("tos.rtd",,"IMPL_VOL","."&amp;S$2&amp;S$1&amp;"P"&amp;$A18))),0)-IFERROR(VALUE(IF(RTD("tos.rtd",,"IMPL_VOL","."&amp;S$2&amp;S$1&amp;"C"&amp;$A18)="N/A",0,RTD("tos.rtd",,"IMPL_VOL","."&amp;S$2&amp;S$1&amp;"C"&amp;$A18))),0),IF($A$2="MAXPAIN",IF($A$4&gt;$A18,($A$4-$A18)*IF(RTD("tos.rtd",,"OPEN_INT","."&amp;S$2&amp;S$1&amp;"C"&amp;$A18)="N/A",0,RTD("tos.rtd",,"OPEN_INT","."&amp;S$2&amp;S$1&amp;"C"&amp;$A18)),0)+IF($A$4&lt;$A18,($A18-$A$4)*IF(RTD("tos.rtd",,"OPEN_INT","."&amp;S$2&amp;S$1&amp;"P"&amp;$A18)="N/A",0,RTD("tos.rtd",,"OPEN_INT","."&amp;S$2&amp;S$1&amp;"P"&amp;$A18)),0),IF(RTD("tos.rtd",,$A$2,"."&amp;S$2&amp;S$1&amp;"C"&amp;$A18)="N/A",0,RTD("tos.rtd",,$A$2,"."&amp;S$2&amp;S$1&amp;"C"&amp;$A18))-IF(RTD("tos.rtd",,$A$2,"."&amp;S$2&amp;S$1&amp;"P"&amp;$A18)="N/A",0,RTD("tos.rtd",,$A$2,"."&amp;S$2&amp;S$1&amp;"P"&amp;$A18)))))))))</f>
        <v>16469</v>
      </c>
      <c r="T18" s="12">
        <f>IF($A$2="PREMIUM_OI",IFERROR((100*RTD("tos.rtd",,"OPEN_INT","."&amp;T$2&amp;T$1&amp;"C"&amp;$A18)*RTD("tos.rtd",,"LAST","."&amp;T$2&amp;T$1&amp;"C"&amp;$A18)-100*RTD("tos.rtd",,"OPEN_INT","."&amp;T$2&amp;T$1&amp;"P"&amp;$A18)*RTD("tos.rtd",,"LAST","."&amp;T$2&amp;T$1&amp;"P"&amp;$A18))/1000000,0),IF($A$2="PREMIUM",IFERROR((100*RTD("tos.rtd",,"VOLUME","."&amp;T$2&amp;T$1&amp;"C"&amp;$A18)*RTD("tos.rtd",,"LAST","."&amp;T$2&amp;T$1&amp;"C"&amp;$A18)-100*RTD("tos.rtd",,"VOLUME","."&amp;T$2&amp;T$1&amp;"P"&amp;$A18)*RTD("tos.rtd",,"LAST","."&amp;T$2&amp;T$1&amp;"P"&amp;$A18))/1000000,0),IF($A$2="DEX",IFERROR((100*RTD("tos.rtd",,"OPEN_INT","."&amp;T$2&amp;T$1&amp;"C"&amp;$A18)*RTD("tos.rtd",,"DELTA","."&amp;T$2&amp;T$1&amp;"C"&amp;$A18)-100*RTD("tos.rtd",,"OPEN_INT","."&amp;T$2&amp;T$1&amp;"P"&amp;$A18)*RTD("tos.rtd",,"DELTA","."&amp;T$2&amp;T$1&amp;"P"&amp;$A18))/1000,0),IF($A$2="VEX",IFERROR(($A$4*$A$4*RTD("tos.rtd",,"VOLUME","."&amp;T$2&amp;T$1&amp;"C"&amp;$A18)*RTD("tos.rtd",,"GAMMA","."&amp;T$2&amp;T$1&amp;"C"&amp;$A18)-$A$4*$A$4*RTD("tos.rtd",,"VOLUME","."&amp;T$2&amp;T$1&amp;"P"&amp;$A18)*RTD("tos.rtd",,"GAMMA","."&amp;T$2&amp;T$1&amp;"P"&amp;$A18))/1000000,0),IF($A$2="GEX",IFERROR(($A$4*$A$4*RTD("tos.rtd",,"OPEN_INT","."&amp;T$2&amp;T$1&amp;"C"&amp;$A18)*RTD("tos.rtd",,"GAMMA","."&amp;T$2&amp;T$1&amp;"C"&amp;$A18)-$A$4*$A$4*RTD("tos.rtd",,"OPEN_INT","."&amp;T$2&amp;T$1&amp;"P"&amp;$A18)*RTD("tos.rtd",,"GAMMA","."&amp;T$2&amp;T$1&amp;"P"&amp;$A18))/1000000,0),IF($A$2="SKEW",IFERROR(VALUE(IF(RTD("tos.rtd",,"IMPL_VOL","."&amp;T$2&amp;T$1&amp;"P"&amp;$A18)="N/A",0,RTD("tos.rtd",,"IMPL_VOL","."&amp;T$2&amp;T$1&amp;"P"&amp;$A18))),0)-IFERROR(VALUE(IF(RTD("tos.rtd",,"IMPL_VOL","."&amp;T$2&amp;T$1&amp;"C"&amp;$A18)="N/A",0,RTD("tos.rtd",,"IMPL_VOL","."&amp;T$2&amp;T$1&amp;"C"&amp;$A18))),0),IF($A$2="MAXPAIN",IF($A$4&gt;$A18,($A$4-$A18)*IF(RTD("tos.rtd",,"OPEN_INT","."&amp;T$2&amp;T$1&amp;"C"&amp;$A18)="N/A",0,RTD("tos.rtd",,"OPEN_INT","."&amp;T$2&amp;T$1&amp;"C"&amp;$A18)),0)+IF($A$4&lt;$A18,($A18-$A$4)*IF(RTD("tos.rtd",,"OPEN_INT","."&amp;T$2&amp;T$1&amp;"P"&amp;$A18)="N/A",0,RTD("tos.rtd",,"OPEN_INT","."&amp;T$2&amp;T$1&amp;"P"&amp;$A18)),0),IF(RTD("tos.rtd",,$A$2,"."&amp;T$2&amp;T$1&amp;"C"&amp;$A18)="N/A",0,RTD("tos.rtd",,$A$2,"."&amp;T$2&amp;T$1&amp;"C"&amp;$A18))-IF(RTD("tos.rtd",,$A$2,"."&amp;T$2&amp;T$1&amp;"P"&amp;$A18)="N/A",0,RTD("tos.rtd",,$A$2,"."&amp;T$2&amp;T$1&amp;"P"&amp;$A18)))))))))</f>
        <v>200</v>
      </c>
      <c r="U18" s="12">
        <f>IF($A$2="PREMIUM_OI",IFERROR((100*RTD("tos.rtd",,"OPEN_INT","."&amp;U$2&amp;U$1&amp;"C"&amp;$A18)*RTD("tos.rtd",,"LAST","."&amp;U$2&amp;U$1&amp;"C"&amp;$A18)-100*RTD("tos.rtd",,"OPEN_INT","."&amp;U$2&amp;U$1&amp;"P"&amp;$A18)*RTD("tos.rtd",,"LAST","."&amp;U$2&amp;U$1&amp;"P"&amp;$A18))/1000000,0),IF($A$2="PREMIUM",IFERROR((100*RTD("tos.rtd",,"VOLUME","."&amp;U$2&amp;U$1&amp;"C"&amp;$A18)*RTD("tos.rtd",,"LAST","."&amp;U$2&amp;U$1&amp;"C"&amp;$A18)-100*RTD("tos.rtd",,"VOLUME","."&amp;U$2&amp;U$1&amp;"P"&amp;$A18)*RTD("tos.rtd",,"LAST","."&amp;U$2&amp;U$1&amp;"P"&amp;$A18))/1000000,0),IF($A$2="DEX",IFERROR((100*RTD("tos.rtd",,"OPEN_INT","."&amp;U$2&amp;U$1&amp;"C"&amp;$A18)*RTD("tos.rtd",,"DELTA","."&amp;U$2&amp;U$1&amp;"C"&amp;$A18)-100*RTD("tos.rtd",,"OPEN_INT","."&amp;U$2&amp;U$1&amp;"P"&amp;$A18)*RTD("tos.rtd",,"DELTA","."&amp;U$2&amp;U$1&amp;"P"&amp;$A18))/1000,0),IF($A$2="VEX",IFERROR(($A$4*$A$4*RTD("tos.rtd",,"VOLUME","."&amp;U$2&amp;U$1&amp;"C"&amp;$A18)*RTD("tos.rtd",,"GAMMA","."&amp;U$2&amp;U$1&amp;"C"&amp;$A18)-$A$4*$A$4*RTD("tos.rtd",,"VOLUME","."&amp;U$2&amp;U$1&amp;"P"&amp;$A18)*RTD("tos.rtd",,"GAMMA","."&amp;U$2&amp;U$1&amp;"P"&amp;$A18))/1000000,0),IF($A$2="GEX",IFERROR(($A$4*$A$4*RTD("tos.rtd",,"OPEN_INT","."&amp;U$2&amp;U$1&amp;"C"&amp;$A18)*RTD("tos.rtd",,"GAMMA","."&amp;U$2&amp;U$1&amp;"C"&amp;$A18)-$A$4*$A$4*RTD("tos.rtd",,"OPEN_INT","."&amp;U$2&amp;U$1&amp;"P"&amp;$A18)*RTD("tos.rtd",,"GAMMA","."&amp;U$2&amp;U$1&amp;"P"&amp;$A18))/1000000,0),IF($A$2="SKEW",IFERROR(VALUE(IF(RTD("tos.rtd",,"IMPL_VOL","."&amp;U$2&amp;U$1&amp;"P"&amp;$A18)="N/A",0,RTD("tos.rtd",,"IMPL_VOL","."&amp;U$2&amp;U$1&amp;"P"&amp;$A18))),0)-IFERROR(VALUE(IF(RTD("tos.rtd",,"IMPL_VOL","."&amp;U$2&amp;U$1&amp;"C"&amp;$A18)="N/A",0,RTD("tos.rtd",,"IMPL_VOL","."&amp;U$2&amp;U$1&amp;"C"&amp;$A18))),0),IF($A$2="MAXPAIN",IF($A$4&gt;$A18,($A$4-$A18)*IF(RTD("tos.rtd",,"OPEN_INT","."&amp;U$2&amp;U$1&amp;"C"&amp;$A18)="N/A",0,RTD("tos.rtd",,"OPEN_INT","."&amp;U$2&amp;U$1&amp;"C"&amp;$A18)),0)+IF($A$4&lt;$A18,($A18-$A$4)*IF(RTD("tos.rtd",,"OPEN_INT","."&amp;U$2&amp;U$1&amp;"P"&amp;$A18)="N/A",0,RTD("tos.rtd",,"OPEN_INT","."&amp;U$2&amp;U$1&amp;"P"&amp;$A18)),0),IF(RTD("tos.rtd",,$A$2,"."&amp;U$2&amp;U$1&amp;"C"&amp;$A18)="N/A",0,RTD("tos.rtd",,$A$2,"."&amp;U$2&amp;U$1&amp;"C"&amp;$A18))-IF(RTD("tos.rtd",,$A$2,"."&amp;U$2&amp;U$1&amp;"P"&amp;$A18)="N/A",0,RTD("tos.rtd",,$A$2,"."&amp;U$2&amp;U$1&amp;"P"&amp;$A18)))))))))</f>
        <v>504</v>
      </c>
      <c r="V18" s="12">
        <f>IF($A$2="PREMIUM_OI",IFERROR((100*RTD("tos.rtd",,"OPEN_INT","."&amp;V$2&amp;V$1&amp;"C"&amp;$A18)*RTD("tos.rtd",,"LAST","."&amp;V$2&amp;V$1&amp;"C"&amp;$A18)-100*RTD("tos.rtd",,"OPEN_INT","."&amp;V$2&amp;V$1&amp;"P"&amp;$A18)*RTD("tos.rtd",,"LAST","."&amp;V$2&amp;V$1&amp;"P"&amp;$A18))/1000000,0),IF($A$2="PREMIUM",IFERROR((100*RTD("tos.rtd",,"VOLUME","."&amp;V$2&amp;V$1&amp;"C"&amp;$A18)*RTD("tos.rtd",,"LAST","."&amp;V$2&amp;V$1&amp;"C"&amp;$A18)-100*RTD("tos.rtd",,"VOLUME","."&amp;V$2&amp;V$1&amp;"P"&amp;$A18)*RTD("tos.rtd",,"LAST","."&amp;V$2&amp;V$1&amp;"P"&amp;$A18))/1000000,0),IF($A$2="DEX",IFERROR((100*RTD("tos.rtd",,"OPEN_INT","."&amp;V$2&amp;V$1&amp;"C"&amp;$A18)*RTD("tos.rtd",,"DELTA","."&amp;V$2&amp;V$1&amp;"C"&amp;$A18)-100*RTD("tos.rtd",,"OPEN_INT","."&amp;V$2&amp;V$1&amp;"P"&amp;$A18)*RTD("tos.rtd",,"DELTA","."&amp;V$2&amp;V$1&amp;"P"&amp;$A18))/1000,0),IF($A$2="VEX",IFERROR(($A$4*$A$4*RTD("tos.rtd",,"VOLUME","."&amp;V$2&amp;V$1&amp;"C"&amp;$A18)*RTD("tos.rtd",,"GAMMA","."&amp;V$2&amp;V$1&amp;"C"&amp;$A18)-$A$4*$A$4*RTD("tos.rtd",,"VOLUME","."&amp;V$2&amp;V$1&amp;"P"&amp;$A18)*RTD("tos.rtd",,"GAMMA","."&amp;V$2&amp;V$1&amp;"P"&amp;$A18))/1000000,0),IF($A$2="GEX",IFERROR(($A$4*$A$4*RTD("tos.rtd",,"OPEN_INT","."&amp;V$2&amp;V$1&amp;"C"&amp;$A18)*RTD("tos.rtd",,"GAMMA","."&amp;V$2&amp;V$1&amp;"C"&amp;$A18)-$A$4*$A$4*RTD("tos.rtd",,"OPEN_INT","."&amp;V$2&amp;V$1&amp;"P"&amp;$A18)*RTD("tos.rtd",,"GAMMA","."&amp;V$2&amp;V$1&amp;"P"&amp;$A18))/1000000,0),IF($A$2="SKEW",IFERROR(VALUE(IF(RTD("tos.rtd",,"IMPL_VOL","."&amp;V$2&amp;V$1&amp;"P"&amp;$A18)="N/A",0,RTD("tos.rtd",,"IMPL_VOL","."&amp;V$2&amp;V$1&amp;"P"&amp;$A18))),0)-IFERROR(VALUE(IF(RTD("tos.rtd",,"IMPL_VOL","."&amp;V$2&amp;V$1&amp;"C"&amp;$A18)="N/A",0,RTD("tos.rtd",,"IMPL_VOL","."&amp;V$2&amp;V$1&amp;"C"&amp;$A18))),0),IF($A$2="MAXPAIN",IF($A$4&gt;$A18,($A$4-$A18)*IF(RTD("tos.rtd",,"OPEN_INT","."&amp;V$2&amp;V$1&amp;"C"&amp;$A18)="N/A",0,RTD("tos.rtd",,"OPEN_INT","."&amp;V$2&amp;V$1&amp;"C"&amp;$A18)),0)+IF($A$4&lt;$A18,($A18-$A$4)*IF(RTD("tos.rtd",,"OPEN_INT","."&amp;V$2&amp;V$1&amp;"P"&amp;$A18)="N/A",0,RTD("tos.rtd",,"OPEN_INT","."&amp;V$2&amp;V$1&amp;"P"&amp;$A18)),0),IF(RTD("tos.rtd",,$A$2,"."&amp;V$2&amp;V$1&amp;"C"&amp;$A18)="N/A",0,RTD("tos.rtd",,$A$2,"."&amp;V$2&amp;V$1&amp;"C"&amp;$A18))-IF(RTD("tos.rtd",,$A$2,"."&amp;V$2&amp;V$1&amp;"P"&amp;$A18)="N/A",0,RTD("tos.rtd",,$A$2,"."&amp;V$2&amp;V$1&amp;"P"&amp;$A18)))))))))</f>
        <v>0</v>
      </c>
      <c r="W18" s="12">
        <f>IF($A$2="PREMIUM_OI",IFERROR((100*RTD("tos.rtd",,"OPEN_INT","."&amp;W$2&amp;W$1&amp;"C"&amp;$A18)*RTD("tos.rtd",,"LAST","."&amp;W$2&amp;W$1&amp;"C"&amp;$A18)-100*RTD("tos.rtd",,"OPEN_INT","."&amp;W$2&amp;W$1&amp;"P"&amp;$A18)*RTD("tos.rtd",,"LAST","."&amp;W$2&amp;W$1&amp;"P"&amp;$A18))/1000000,0),IF($A$2="PREMIUM",IFERROR((100*RTD("tos.rtd",,"VOLUME","."&amp;W$2&amp;W$1&amp;"C"&amp;$A18)*RTD("tos.rtd",,"LAST","."&amp;W$2&amp;W$1&amp;"C"&amp;$A18)-100*RTD("tos.rtd",,"VOLUME","."&amp;W$2&amp;W$1&amp;"P"&amp;$A18)*RTD("tos.rtd",,"LAST","."&amp;W$2&amp;W$1&amp;"P"&amp;$A18))/1000000,0),IF($A$2="DEX",IFERROR((100*RTD("tos.rtd",,"OPEN_INT","."&amp;W$2&amp;W$1&amp;"C"&amp;$A18)*RTD("tos.rtd",,"DELTA","."&amp;W$2&amp;W$1&amp;"C"&amp;$A18)-100*RTD("tos.rtd",,"OPEN_INT","."&amp;W$2&amp;W$1&amp;"P"&amp;$A18)*RTD("tos.rtd",,"DELTA","."&amp;W$2&amp;W$1&amp;"P"&amp;$A18))/1000,0),IF($A$2="VEX",IFERROR(($A$4*$A$4*RTD("tos.rtd",,"VOLUME","."&amp;W$2&amp;W$1&amp;"C"&amp;$A18)*RTD("tos.rtd",,"GAMMA","."&amp;W$2&amp;W$1&amp;"C"&amp;$A18)-$A$4*$A$4*RTD("tos.rtd",,"VOLUME","."&amp;W$2&amp;W$1&amp;"P"&amp;$A18)*RTD("tos.rtd",,"GAMMA","."&amp;W$2&amp;W$1&amp;"P"&amp;$A18))/1000000,0),IF($A$2="GEX",IFERROR(($A$4*$A$4*RTD("tos.rtd",,"OPEN_INT","."&amp;W$2&amp;W$1&amp;"C"&amp;$A18)*RTD("tos.rtd",,"GAMMA","."&amp;W$2&amp;W$1&amp;"C"&amp;$A18)-$A$4*$A$4*RTD("tos.rtd",,"OPEN_INT","."&amp;W$2&amp;W$1&amp;"P"&amp;$A18)*RTD("tos.rtd",,"GAMMA","."&amp;W$2&amp;W$1&amp;"P"&amp;$A18))/1000000,0),IF($A$2="SKEW",IFERROR(VALUE(IF(RTD("tos.rtd",,"IMPL_VOL","."&amp;W$2&amp;W$1&amp;"P"&amp;$A18)="N/A",0,RTD("tos.rtd",,"IMPL_VOL","."&amp;W$2&amp;W$1&amp;"P"&amp;$A18))),0)-IFERROR(VALUE(IF(RTD("tos.rtd",,"IMPL_VOL","."&amp;W$2&amp;W$1&amp;"C"&amp;$A18)="N/A",0,RTD("tos.rtd",,"IMPL_VOL","."&amp;W$2&amp;W$1&amp;"C"&amp;$A18))),0),IF($A$2="MAXPAIN",IF($A$4&gt;$A18,($A$4-$A18)*IF(RTD("tos.rtd",,"OPEN_INT","."&amp;W$2&amp;W$1&amp;"C"&amp;$A18)="N/A",0,RTD("tos.rtd",,"OPEN_INT","."&amp;W$2&amp;W$1&amp;"C"&amp;$A18)),0)+IF($A$4&lt;$A18,($A18-$A$4)*IF(RTD("tos.rtd",,"OPEN_INT","."&amp;W$2&amp;W$1&amp;"P"&amp;$A18)="N/A",0,RTD("tos.rtd",,"OPEN_INT","."&amp;W$2&amp;W$1&amp;"P"&amp;$A18)),0),IF(RTD("tos.rtd",,$A$2,"."&amp;W$2&amp;W$1&amp;"C"&amp;$A18)="N/A",0,RTD("tos.rtd",,$A$2,"."&amp;W$2&amp;W$1&amp;"C"&amp;$A18))-IF(RTD("tos.rtd",,$A$2,"."&amp;W$2&amp;W$1&amp;"P"&amp;$A18)="N/A",0,RTD("tos.rtd",,$A$2,"."&amp;W$2&amp;W$1&amp;"P"&amp;$A18)))))))))</f>
        <v>10138</v>
      </c>
      <c r="X18" s="12">
        <f t="shared" ca="1" si="7"/>
        <v>27311</v>
      </c>
      <c r="Y18" s="27">
        <f t="shared" ca="1" si="8"/>
        <v>27311</v>
      </c>
      <c r="AA18" s="35">
        <f t="shared" si="5"/>
        <v>17</v>
      </c>
      <c r="AB18" s="8">
        <f>+IF($AJ$1,AK18,TASTYOHLC!B18)</f>
        <v>8.01</v>
      </c>
      <c r="AC18" s="8">
        <f>+IF($AJ$1,AL18,TASTYOHLC!C18)</f>
        <v>8.01</v>
      </c>
      <c r="AD18" s="8">
        <f>+IF($AJ$1,AM18,TASTYOHLC!D18)</f>
        <v>8.01</v>
      </c>
      <c r="AE18" s="8">
        <f>+IF($AJ$1,AN18,TASTYOHLC!E18)</f>
        <v>8.01</v>
      </c>
      <c r="AF18" s="8"/>
      <c r="AJ18" s="37">
        <f t="shared" ref="AJ18:AJ20" si="11">+AJ17+1</f>
        <v>45952</v>
      </c>
      <c r="AK18" s="52">
        <f t="shared" ref="AK18:AK20" si="12">+$A$4</f>
        <v>8.01</v>
      </c>
      <c r="AL18" s="52">
        <f t="shared" si="10"/>
        <v>8.01</v>
      </c>
      <c r="AM18" s="52">
        <f t="shared" si="10"/>
        <v>8.01</v>
      </c>
      <c r="AN18" s="52">
        <f t="shared" si="10"/>
        <v>8.01</v>
      </c>
    </row>
    <row r="19" spans="1:40" s="19" customFormat="1" ht="11.1" customHeight="1" thickBot="1" x14ac:dyDescent="0.3">
      <c r="A19" s="23">
        <f t="shared" si="6"/>
        <v>12.5</v>
      </c>
      <c r="B19" s="14">
        <f>IF($A$2="PREMIUM_OI",IFERROR((100*RTD("tos.rtd",,"OPEN_INT","."&amp;B$2&amp;B$1&amp;"C"&amp;$A19)*RTD("tos.rtd",,"LAST","."&amp;B$2&amp;B$1&amp;"C"&amp;$A19)-100*RTD("tos.rtd",,"OPEN_INT","."&amp;B$2&amp;B$1&amp;"P"&amp;$A19)*RTD("tos.rtd",,"LAST","."&amp;B$2&amp;B$1&amp;"P"&amp;$A19))/1000000,0),IF($A$2="PREMIUM",IFERROR((100*RTD("tos.rtd",,"VOLUME","."&amp;B$2&amp;B$1&amp;"C"&amp;$A19)*RTD("tos.rtd",,"LAST","."&amp;B$2&amp;B$1&amp;"C"&amp;$A19)-100*RTD("tos.rtd",,"VOLUME","."&amp;B$2&amp;B$1&amp;"P"&amp;$A19)*RTD("tos.rtd",,"LAST","."&amp;B$2&amp;B$1&amp;"P"&amp;$A19))/1000000,0),IF($A$2="DEX",IFERROR((100*RTD("tos.rtd",,"OPEN_INT","."&amp;B$2&amp;B$1&amp;"C"&amp;$A19)*RTD("tos.rtd",,"DELTA","."&amp;B$2&amp;B$1&amp;"C"&amp;$A19)-100*RTD("tos.rtd",,"OPEN_INT","."&amp;B$2&amp;B$1&amp;"P"&amp;$A19)*RTD("tos.rtd",,"DELTA","."&amp;B$2&amp;B$1&amp;"P"&amp;$A19))/1000,0),IF($A$2="VEX",IFERROR(($A$4*$A$4*RTD("tos.rtd",,"VOLUME","."&amp;B$2&amp;B$1&amp;"C"&amp;$A19)*RTD("tos.rtd",,"GAMMA","."&amp;B$2&amp;B$1&amp;"C"&amp;$A19)-$A$4*$A$4*RTD("tos.rtd",,"VOLUME","."&amp;B$2&amp;B$1&amp;"P"&amp;$A19)*RTD("tos.rtd",,"GAMMA","."&amp;B$2&amp;B$1&amp;"P"&amp;$A19))/1000000,0),IF($A$2="GEX",IFERROR(($A$4*$A$4*RTD("tos.rtd",,"OPEN_INT","."&amp;B$2&amp;B$1&amp;"C"&amp;$A19)*RTD("tos.rtd",,"GAMMA","."&amp;B$2&amp;B$1&amp;"C"&amp;$A19)-$A$4*$A$4*RTD("tos.rtd",,"OPEN_INT","."&amp;B$2&amp;B$1&amp;"P"&amp;$A19)*RTD("tos.rtd",,"GAMMA","."&amp;B$2&amp;B$1&amp;"P"&amp;$A19))/1000000,0),IF($A$2="SKEW",IFERROR(VALUE(IF(RTD("tos.rtd",,"IMPL_VOL","."&amp;B$2&amp;B$1&amp;"P"&amp;$A19)="N/A",0,RTD("tos.rtd",,"IMPL_VOL","."&amp;B$2&amp;B$1&amp;"P"&amp;$A19))),0)-IFERROR(VALUE(IF(RTD("tos.rtd",,"IMPL_VOL","."&amp;B$2&amp;B$1&amp;"C"&amp;$A19)="N/A",0,RTD("tos.rtd",,"IMPL_VOL","."&amp;B$2&amp;B$1&amp;"C"&amp;$A19))),0),IF($A$2="MAXPAIN",IF($A$4&gt;$A19,($A$4-$A19)*IF(RTD("tos.rtd",,"OPEN_INT","."&amp;B$2&amp;B$1&amp;"C"&amp;$A19)="N/A",0,RTD("tos.rtd",,"OPEN_INT","."&amp;B$2&amp;B$1&amp;"C"&amp;$A19)),0)+IF($A$4&lt;$A19,($A19-$A$4)*IF(RTD("tos.rtd",,"OPEN_INT","."&amp;B$2&amp;B$1&amp;"P"&amp;$A19)="N/A",0,RTD("tos.rtd",,"OPEN_INT","."&amp;B$2&amp;B$1&amp;"P"&amp;$A19)),0),IF(RTD("tos.rtd",,$A$2,"."&amp;B$2&amp;B$1&amp;"C"&amp;$A19)="N/A",0,RTD("tos.rtd",,$A$2,"."&amp;B$2&amp;B$1&amp;"C"&amp;$A19))-IF(RTD("tos.rtd",,$A$2,"."&amp;B$2&amp;B$1&amp;"P"&amp;$A19)="N/A",0,RTD("tos.rtd",,$A$2,"."&amp;B$2&amp;B$1&amp;"P"&amp;$A19)))))))))</f>
        <v>0</v>
      </c>
      <c r="C19" s="12">
        <f>IF($A$2="PREMIUM_OI",IFERROR((100*RTD("tos.rtd",,"OPEN_INT","."&amp;C$2&amp;C$1&amp;"C"&amp;$A19)*RTD("tos.rtd",,"LAST","."&amp;C$2&amp;C$1&amp;"C"&amp;$A19)-100*RTD("tos.rtd",,"OPEN_INT","."&amp;C$2&amp;C$1&amp;"P"&amp;$A19)*RTD("tos.rtd",,"LAST","."&amp;C$2&amp;C$1&amp;"P"&amp;$A19))/1000000,0),IF($A$2="PREMIUM",IFERROR((100*RTD("tos.rtd",,"VOLUME","."&amp;C$2&amp;C$1&amp;"C"&amp;$A19)*RTD("tos.rtd",,"LAST","."&amp;C$2&amp;C$1&amp;"C"&amp;$A19)-100*RTD("tos.rtd",,"VOLUME","."&amp;C$2&amp;C$1&amp;"P"&amp;$A19)*RTD("tos.rtd",,"LAST","."&amp;C$2&amp;C$1&amp;"P"&amp;$A19))/1000000,0),IF($A$2="DEX",IFERROR((100*RTD("tos.rtd",,"OPEN_INT","."&amp;C$2&amp;C$1&amp;"C"&amp;$A19)*RTD("tos.rtd",,"DELTA","."&amp;C$2&amp;C$1&amp;"C"&amp;$A19)-100*RTD("tos.rtd",,"OPEN_INT","."&amp;C$2&amp;C$1&amp;"P"&amp;$A19)*RTD("tos.rtd",,"DELTA","."&amp;C$2&amp;C$1&amp;"P"&amp;$A19))/1000,0),IF($A$2="VEX",IFERROR(($A$4*$A$4*RTD("tos.rtd",,"VOLUME","."&amp;C$2&amp;C$1&amp;"C"&amp;$A19)*RTD("tos.rtd",,"GAMMA","."&amp;C$2&amp;C$1&amp;"C"&amp;$A19)-$A$4*$A$4*RTD("tos.rtd",,"VOLUME","."&amp;C$2&amp;C$1&amp;"P"&amp;$A19)*RTD("tos.rtd",,"GAMMA","."&amp;C$2&amp;C$1&amp;"P"&amp;$A19))/1000000,0),IF($A$2="GEX",IFERROR(($A$4*$A$4*RTD("tos.rtd",,"OPEN_INT","."&amp;C$2&amp;C$1&amp;"C"&amp;$A19)*RTD("tos.rtd",,"GAMMA","."&amp;C$2&amp;C$1&amp;"C"&amp;$A19)-$A$4*$A$4*RTD("tos.rtd",,"OPEN_INT","."&amp;C$2&amp;C$1&amp;"P"&amp;$A19)*RTD("tos.rtd",,"GAMMA","."&amp;C$2&amp;C$1&amp;"P"&amp;$A19))/1000000,0),IF($A$2="SKEW",IFERROR(VALUE(IF(RTD("tos.rtd",,"IMPL_VOL","."&amp;C$2&amp;C$1&amp;"P"&amp;$A19)="N/A",0,RTD("tos.rtd",,"IMPL_VOL","."&amp;C$2&amp;C$1&amp;"P"&amp;$A19))),0)-IFERROR(VALUE(IF(RTD("tos.rtd",,"IMPL_VOL","."&amp;C$2&amp;C$1&amp;"C"&amp;$A19)="N/A",0,RTD("tos.rtd",,"IMPL_VOL","."&amp;C$2&amp;C$1&amp;"C"&amp;$A19))),0),IF($A$2="MAXPAIN",IF($A$4&gt;$A19,($A$4-$A19)*IF(RTD("tos.rtd",,"OPEN_INT","."&amp;C$2&amp;C$1&amp;"C"&amp;$A19)="N/A",0,RTD("tos.rtd",,"OPEN_INT","."&amp;C$2&amp;C$1&amp;"C"&amp;$A19)),0)+IF($A$4&lt;$A19,($A19-$A$4)*IF(RTD("tos.rtd",,"OPEN_INT","."&amp;C$2&amp;C$1&amp;"P"&amp;$A19)="N/A",0,RTD("tos.rtd",,"OPEN_INT","."&amp;C$2&amp;C$1&amp;"P"&amp;$A19)),0),IF(RTD("tos.rtd",,$A$2,"."&amp;C$2&amp;C$1&amp;"C"&amp;$A19)="N/A",0,RTD("tos.rtd",,$A$2,"."&amp;C$2&amp;C$1&amp;"C"&amp;$A19))-IF(RTD("tos.rtd",,$A$2,"."&amp;C$2&amp;C$1&amp;"P"&amp;$A19)="N/A",0,RTD("tos.rtd",,$A$2,"."&amp;C$2&amp;C$1&amp;"P"&amp;$A19)))))))))</f>
        <v>2795</v>
      </c>
      <c r="D19" s="12">
        <f>IF($A$2="PREMIUM_OI",IFERROR((100*RTD("tos.rtd",,"OPEN_INT","."&amp;D$2&amp;D$1&amp;"C"&amp;$A19)*RTD("tos.rtd",,"LAST","."&amp;D$2&amp;D$1&amp;"C"&amp;$A19)-100*RTD("tos.rtd",,"OPEN_INT","."&amp;D$2&amp;D$1&amp;"P"&amp;$A19)*RTD("tos.rtd",,"LAST","."&amp;D$2&amp;D$1&amp;"P"&amp;$A19))/1000000,0),IF($A$2="PREMIUM",IFERROR((100*RTD("tos.rtd",,"VOLUME","."&amp;D$2&amp;D$1&amp;"C"&amp;$A19)*RTD("tos.rtd",,"LAST","."&amp;D$2&amp;D$1&amp;"C"&amp;$A19)-100*RTD("tos.rtd",,"VOLUME","."&amp;D$2&amp;D$1&amp;"P"&amp;$A19)*RTD("tos.rtd",,"LAST","."&amp;D$2&amp;D$1&amp;"P"&amp;$A19))/1000000,0),IF($A$2="DEX",IFERROR((100*RTD("tos.rtd",,"OPEN_INT","."&amp;D$2&amp;D$1&amp;"C"&amp;$A19)*RTD("tos.rtd",,"DELTA","."&amp;D$2&amp;D$1&amp;"C"&amp;$A19)-100*RTD("tos.rtd",,"OPEN_INT","."&amp;D$2&amp;D$1&amp;"P"&amp;$A19)*RTD("tos.rtd",,"DELTA","."&amp;D$2&amp;D$1&amp;"P"&amp;$A19))/1000,0),IF($A$2="VEX",IFERROR(($A$4*$A$4*RTD("tos.rtd",,"VOLUME","."&amp;D$2&amp;D$1&amp;"C"&amp;$A19)*RTD("tos.rtd",,"GAMMA","."&amp;D$2&amp;D$1&amp;"C"&amp;$A19)-$A$4*$A$4*RTD("tos.rtd",,"VOLUME","."&amp;D$2&amp;D$1&amp;"P"&amp;$A19)*RTD("tos.rtd",,"GAMMA","."&amp;D$2&amp;D$1&amp;"P"&amp;$A19))/1000000,0),IF($A$2="GEX",IFERROR(($A$4*$A$4*RTD("tos.rtd",,"OPEN_INT","."&amp;D$2&amp;D$1&amp;"C"&amp;$A19)*RTD("tos.rtd",,"GAMMA","."&amp;D$2&amp;D$1&amp;"C"&amp;$A19)-$A$4*$A$4*RTD("tos.rtd",,"OPEN_INT","."&amp;D$2&amp;D$1&amp;"P"&amp;$A19)*RTD("tos.rtd",,"GAMMA","."&amp;D$2&amp;D$1&amp;"P"&amp;$A19))/1000000,0),IF($A$2="SKEW",IFERROR(VALUE(IF(RTD("tos.rtd",,"IMPL_VOL","."&amp;D$2&amp;D$1&amp;"P"&amp;$A19)="N/A",0,RTD("tos.rtd",,"IMPL_VOL","."&amp;D$2&amp;D$1&amp;"P"&amp;$A19))),0)-IFERROR(VALUE(IF(RTD("tos.rtd",,"IMPL_VOL","."&amp;D$2&amp;D$1&amp;"C"&amp;$A19)="N/A",0,RTD("tos.rtd",,"IMPL_VOL","."&amp;D$2&amp;D$1&amp;"C"&amp;$A19))),0),IF($A$2="MAXPAIN",IF($A$4&gt;$A19,($A$4-$A19)*IF(RTD("tos.rtd",,"OPEN_INT","."&amp;D$2&amp;D$1&amp;"C"&amp;$A19)="N/A",0,RTD("tos.rtd",,"OPEN_INT","."&amp;D$2&amp;D$1&amp;"C"&amp;$A19)),0)+IF($A$4&lt;$A19,($A19-$A$4)*IF(RTD("tos.rtd",,"OPEN_INT","."&amp;D$2&amp;D$1&amp;"P"&amp;$A19)="N/A",0,RTD("tos.rtd",,"OPEN_INT","."&amp;D$2&amp;D$1&amp;"P"&amp;$A19)),0),IF(RTD("tos.rtd",,$A$2,"."&amp;D$2&amp;D$1&amp;"C"&amp;$A19)="N/A",0,RTD("tos.rtd",,$A$2,"."&amp;D$2&amp;D$1&amp;"C"&amp;$A19))-IF(RTD("tos.rtd",,$A$2,"."&amp;D$2&amp;D$1&amp;"P"&amp;$A19)="N/A",0,RTD("tos.rtd",,$A$2,"."&amp;D$2&amp;D$1&amp;"P"&amp;$A19)))))))))</f>
        <v>0</v>
      </c>
      <c r="E19" s="12">
        <f>IF($A$2="PREMIUM_OI",IFERROR((100*RTD("tos.rtd",,"OPEN_INT","."&amp;E$2&amp;E$1&amp;"C"&amp;$A19)*RTD("tos.rtd",,"LAST","."&amp;E$2&amp;E$1&amp;"C"&amp;$A19)-100*RTD("tos.rtd",,"OPEN_INT","."&amp;E$2&amp;E$1&amp;"P"&amp;$A19)*RTD("tos.rtd",,"LAST","."&amp;E$2&amp;E$1&amp;"P"&amp;$A19))/1000000,0),IF($A$2="PREMIUM",IFERROR((100*RTD("tos.rtd",,"VOLUME","."&amp;E$2&amp;E$1&amp;"C"&amp;$A19)*RTD("tos.rtd",,"LAST","."&amp;E$2&amp;E$1&amp;"C"&amp;$A19)-100*RTD("tos.rtd",,"VOLUME","."&amp;E$2&amp;E$1&amp;"P"&amp;$A19)*RTD("tos.rtd",,"LAST","."&amp;E$2&amp;E$1&amp;"P"&amp;$A19))/1000000,0),IF($A$2="DEX",IFERROR((100*RTD("tos.rtd",,"OPEN_INT","."&amp;E$2&amp;E$1&amp;"C"&amp;$A19)*RTD("tos.rtd",,"DELTA","."&amp;E$2&amp;E$1&amp;"C"&amp;$A19)-100*RTD("tos.rtd",,"OPEN_INT","."&amp;E$2&amp;E$1&amp;"P"&amp;$A19)*RTD("tos.rtd",,"DELTA","."&amp;E$2&amp;E$1&amp;"P"&amp;$A19))/1000,0),IF($A$2="VEX",IFERROR(($A$4*$A$4*RTD("tos.rtd",,"VOLUME","."&amp;E$2&amp;E$1&amp;"C"&amp;$A19)*RTD("tos.rtd",,"GAMMA","."&amp;E$2&amp;E$1&amp;"C"&amp;$A19)-$A$4*$A$4*RTD("tos.rtd",,"VOLUME","."&amp;E$2&amp;E$1&amp;"P"&amp;$A19)*RTD("tos.rtd",,"GAMMA","."&amp;E$2&amp;E$1&amp;"P"&amp;$A19))/1000000,0),IF($A$2="GEX",IFERROR(($A$4*$A$4*RTD("tos.rtd",,"OPEN_INT","."&amp;E$2&amp;E$1&amp;"C"&amp;$A19)*RTD("tos.rtd",,"GAMMA","."&amp;E$2&amp;E$1&amp;"C"&amp;$A19)-$A$4*$A$4*RTD("tos.rtd",,"OPEN_INT","."&amp;E$2&amp;E$1&amp;"P"&amp;$A19)*RTD("tos.rtd",,"GAMMA","."&amp;E$2&amp;E$1&amp;"P"&amp;$A19))/1000000,0),IF($A$2="SKEW",IFERROR(VALUE(IF(RTD("tos.rtd",,"IMPL_VOL","."&amp;E$2&amp;E$1&amp;"P"&amp;$A19)="N/A",0,RTD("tos.rtd",,"IMPL_VOL","."&amp;E$2&amp;E$1&amp;"P"&amp;$A19))),0)-IFERROR(VALUE(IF(RTD("tos.rtd",,"IMPL_VOL","."&amp;E$2&amp;E$1&amp;"C"&amp;$A19)="N/A",0,RTD("tos.rtd",,"IMPL_VOL","."&amp;E$2&amp;E$1&amp;"C"&amp;$A19))),0),IF($A$2="MAXPAIN",IF($A$4&gt;$A19,($A$4-$A19)*IF(RTD("tos.rtd",,"OPEN_INT","."&amp;E$2&amp;E$1&amp;"C"&amp;$A19)="N/A",0,RTD("tos.rtd",,"OPEN_INT","."&amp;E$2&amp;E$1&amp;"C"&amp;$A19)),0)+IF($A$4&lt;$A19,($A19-$A$4)*IF(RTD("tos.rtd",,"OPEN_INT","."&amp;E$2&amp;E$1&amp;"P"&amp;$A19)="N/A",0,RTD("tos.rtd",,"OPEN_INT","."&amp;E$2&amp;E$1&amp;"P"&amp;$A19)),0),IF(RTD("tos.rtd",,$A$2,"."&amp;E$2&amp;E$1&amp;"C"&amp;$A19)="N/A",0,RTD("tos.rtd",,$A$2,"."&amp;E$2&amp;E$1&amp;"C"&amp;$A19))-IF(RTD("tos.rtd",,$A$2,"."&amp;E$2&amp;E$1&amp;"P"&amp;$A19)="N/A",0,RTD("tos.rtd",,$A$2,"."&amp;E$2&amp;E$1&amp;"P"&amp;$A19)))))))))</f>
        <v>0</v>
      </c>
      <c r="F19" s="12">
        <f>IF($A$2="PREMIUM_OI",IFERROR((100*RTD("tos.rtd",,"OPEN_INT","."&amp;F$2&amp;F$1&amp;"C"&amp;$A19)*RTD("tos.rtd",,"LAST","."&amp;F$2&amp;F$1&amp;"C"&amp;$A19)-100*RTD("tos.rtd",,"OPEN_INT","."&amp;F$2&amp;F$1&amp;"P"&amp;$A19)*RTD("tos.rtd",,"LAST","."&amp;F$2&amp;F$1&amp;"P"&amp;$A19))/1000000,0),IF($A$2="PREMIUM",IFERROR((100*RTD("tos.rtd",,"VOLUME","."&amp;F$2&amp;F$1&amp;"C"&amp;$A19)*RTD("tos.rtd",,"LAST","."&amp;F$2&amp;F$1&amp;"C"&amp;$A19)-100*RTD("tos.rtd",,"VOLUME","."&amp;F$2&amp;F$1&amp;"P"&amp;$A19)*RTD("tos.rtd",,"LAST","."&amp;F$2&amp;F$1&amp;"P"&amp;$A19))/1000000,0),IF($A$2="DEX",IFERROR((100*RTD("tos.rtd",,"OPEN_INT","."&amp;F$2&amp;F$1&amp;"C"&amp;$A19)*RTD("tos.rtd",,"DELTA","."&amp;F$2&amp;F$1&amp;"C"&amp;$A19)-100*RTD("tos.rtd",,"OPEN_INT","."&amp;F$2&amp;F$1&amp;"P"&amp;$A19)*RTD("tos.rtd",,"DELTA","."&amp;F$2&amp;F$1&amp;"P"&amp;$A19))/1000,0),IF($A$2="VEX",IFERROR(($A$4*$A$4*RTD("tos.rtd",,"VOLUME","."&amp;F$2&amp;F$1&amp;"C"&amp;$A19)*RTD("tos.rtd",,"GAMMA","."&amp;F$2&amp;F$1&amp;"C"&amp;$A19)-$A$4*$A$4*RTD("tos.rtd",,"VOLUME","."&amp;F$2&amp;F$1&amp;"P"&amp;$A19)*RTD("tos.rtd",,"GAMMA","."&amp;F$2&amp;F$1&amp;"P"&amp;$A19))/1000000,0),IF($A$2="GEX",IFERROR(($A$4*$A$4*RTD("tos.rtd",,"OPEN_INT","."&amp;F$2&amp;F$1&amp;"C"&amp;$A19)*RTD("tos.rtd",,"GAMMA","."&amp;F$2&amp;F$1&amp;"C"&amp;$A19)-$A$4*$A$4*RTD("tos.rtd",,"OPEN_INT","."&amp;F$2&amp;F$1&amp;"P"&amp;$A19)*RTD("tos.rtd",,"GAMMA","."&amp;F$2&amp;F$1&amp;"P"&amp;$A19))/1000000,0),IF($A$2="SKEW",IFERROR(VALUE(IF(RTD("tos.rtd",,"IMPL_VOL","."&amp;F$2&amp;F$1&amp;"P"&amp;$A19)="N/A",0,RTD("tos.rtd",,"IMPL_VOL","."&amp;F$2&amp;F$1&amp;"P"&amp;$A19))),0)-IFERROR(VALUE(IF(RTD("tos.rtd",,"IMPL_VOL","."&amp;F$2&amp;F$1&amp;"C"&amp;$A19)="N/A",0,RTD("tos.rtd",,"IMPL_VOL","."&amp;F$2&amp;F$1&amp;"C"&amp;$A19))),0),IF($A$2="MAXPAIN",IF($A$4&gt;$A19,($A$4-$A19)*IF(RTD("tos.rtd",,"OPEN_INT","."&amp;F$2&amp;F$1&amp;"C"&amp;$A19)="N/A",0,RTD("tos.rtd",,"OPEN_INT","."&amp;F$2&amp;F$1&amp;"C"&amp;$A19)),0)+IF($A$4&lt;$A19,($A19-$A$4)*IF(RTD("tos.rtd",,"OPEN_INT","."&amp;F$2&amp;F$1&amp;"P"&amp;$A19)="N/A",0,RTD("tos.rtd",,"OPEN_INT","."&amp;F$2&amp;F$1&amp;"P"&amp;$A19)),0),IF(RTD("tos.rtd",,$A$2,"."&amp;F$2&amp;F$1&amp;"C"&amp;$A19)="N/A",0,RTD("tos.rtd",,$A$2,"."&amp;F$2&amp;F$1&amp;"C"&amp;$A19))-IF(RTD("tos.rtd",,$A$2,"."&amp;F$2&amp;F$1&amp;"P"&amp;$A19)="N/A",0,RTD("tos.rtd",,$A$2,"."&amp;F$2&amp;F$1&amp;"P"&amp;$A19)))))))))</f>
        <v>0</v>
      </c>
      <c r="G19" s="14">
        <f>IF($A$2="PREMIUM_OI",IFERROR((100*RTD("tos.rtd",,"OPEN_INT","."&amp;G$2&amp;G$1&amp;"C"&amp;$A19)*RTD("tos.rtd",,"LAST","."&amp;G$2&amp;G$1&amp;"C"&amp;$A19)-100*RTD("tos.rtd",,"OPEN_INT","."&amp;G$2&amp;G$1&amp;"P"&amp;$A19)*RTD("tos.rtd",,"LAST","."&amp;G$2&amp;G$1&amp;"P"&amp;$A19))/1000000,0),IF($A$2="PREMIUM",IFERROR((100*RTD("tos.rtd",,"VOLUME","."&amp;G$2&amp;G$1&amp;"C"&amp;$A19)*RTD("tos.rtd",,"LAST","."&amp;G$2&amp;G$1&amp;"C"&amp;$A19)-100*RTD("tos.rtd",,"VOLUME","."&amp;G$2&amp;G$1&amp;"P"&amp;$A19)*RTD("tos.rtd",,"LAST","."&amp;G$2&amp;G$1&amp;"P"&amp;$A19))/1000000,0),IF($A$2="DEX",IFERROR((100*RTD("tos.rtd",,"OPEN_INT","."&amp;G$2&amp;G$1&amp;"C"&amp;$A19)*RTD("tos.rtd",,"DELTA","."&amp;G$2&amp;G$1&amp;"C"&amp;$A19)-100*RTD("tos.rtd",,"OPEN_INT","."&amp;G$2&amp;G$1&amp;"P"&amp;$A19)*RTD("tos.rtd",,"DELTA","."&amp;G$2&amp;G$1&amp;"P"&amp;$A19))/1000,0),IF($A$2="VEX",IFERROR(($A$4*$A$4*RTD("tos.rtd",,"VOLUME","."&amp;G$2&amp;G$1&amp;"C"&amp;$A19)*RTD("tos.rtd",,"GAMMA","."&amp;G$2&amp;G$1&amp;"C"&amp;$A19)-$A$4*$A$4*RTD("tos.rtd",,"VOLUME","."&amp;G$2&amp;G$1&amp;"P"&amp;$A19)*RTD("tos.rtd",,"GAMMA","."&amp;G$2&amp;G$1&amp;"P"&amp;$A19))/1000000,0),IF($A$2="GEX",IFERROR(($A$4*$A$4*RTD("tos.rtd",,"OPEN_INT","."&amp;G$2&amp;G$1&amp;"C"&amp;$A19)*RTD("tos.rtd",,"GAMMA","."&amp;G$2&amp;G$1&amp;"C"&amp;$A19)-$A$4*$A$4*RTD("tos.rtd",,"OPEN_INT","."&amp;G$2&amp;G$1&amp;"P"&amp;$A19)*RTD("tos.rtd",,"GAMMA","."&amp;G$2&amp;G$1&amp;"P"&amp;$A19))/1000000,0),IF($A$2="SKEW",IFERROR(VALUE(IF(RTD("tos.rtd",,"IMPL_VOL","."&amp;G$2&amp;G$1&amp;"P"&amp;$A19)="N/A",0,RTD("tos.rtd",,"IMPL_VOL","."&amp;G$2&amp;G$1&amp;"P"&amp;$A19))),0)-IFERROR(VALUE(IF(RTD("tos.rtd",,"IMPL_VOL","."&amp;G$2&amp;G$1&amp;"C"&amp;$A19)="N/A",0,RTD("tos.rtd",,"IMPL_VOL","."&amp;G$2&amp;G$1&amp;"C"&amp;$A19))),0),IF($A$2="MAXPAIN",IF($A$4&gt;$A19,($A$4-$A19)*IF(RTD("tos.rtd",,"OPEN_INT","."&amp;G$2&amp;G$1&amp;"C"&amp;$A19)="N/A",0,RTD("tos.rtd",,"OPEN_INT","."&amp;G$2&amp;G$1&amp;"C"&amp;$A19)),0)+IF($A$4&lt;$A19,($A19-$A$4)*IF(RTD("tos.rtd",,"OPEN_INT","."&amp;G$2&amp;G$1&amp;"P"&amp;$A19)="N/A",0,RTD("tos.rtd",,"OPEN_INT","."&amp;G$2&amp;G$1&amp;"P"&amp;$A19)),0),IF(RTD("tos.rtd",,$A$2,"."&amp;G$2&amp;G$1&amp;"C"&amp;$A19)="N/A",0,RTD("tos.rtd",,$A$2,"."&amp;G$2&amp;G$1&amp;"C"&amp;$A19))-IF(RTD("tos.rtd",,$A$2,"."&amp;G$2&amp;G$1&amp;"P"&amp;$A19)="N/A",0,RTD("tos.rtd",,$A$2,"."&amp;G$2&amp;G$1&amp;"P"&amp;$A19)))))))))</f>
        <v>0</v>
      </c>
      <c r="H19" s="12">
        <f>IF($A$2="PREMIUM_OI",IFERROR((100*RTD("tos.rtd",,"OPEN_INT","."&amp;H$2&amp;H$1&amp;"C"&amp;$A19)*RTD("tos.rtd",,"LAST","."&amp;H$2&amp;H$1&amp;"C"&amp;$A19)-100*RTD("tos.rtd",,"OPEN_INT","."&amp;H$2&amp;H$1&amp;"P"&amp;$A19)*RTD("tos.rtd",,"LAST","."&amp;H$2&amp;H$1&amp;"P"&amp;$A19))/1000000,0),IF($A$2="PREMIUM",IFERROR((100*RTD("tos.rtd",,"VOLUME","."&amp;H$2&amp;H$1&amp;"C"&amp;$A19)*RTD("tos.rtd",,"LAST","."&amp;H$2&amp;H$1&amp;"C"&amp;$A19)-100*RTD("tos.rtd",,"VOLUME","."&amp;H$2&amp;H$1&amp;"P"&amp;$A19)*RTD("tos.rtd",,"LAST","."&amp;H$2&amp;H$1&amp;"P"&amp;$A19))/1000000,0),IF($A$2="DEX",IFERROR((100*RTD("tos.rtd",,"OPEN_INT","."&amp;H$2&amp;H$1&amp;"C"&amp;$A19)*RTD("tos.rtd",,"DELTA","."&amp;H$2&amp;H$1&amp;"C"&amp;$A19)-100*RTD("tos.rtd",,"OPEN_INT","."&amp;H$2&amp;H$1&amp;"P"&amp;$A19)*RTD("tos.rtd",,"DELTA","."&amp;H$2&amp;H$1&amp;"P"&amp;$A19))/1000,0),IF($A$2="VEX",IFERROR(($A$4*$A$4*RTD("tos.rtd",,"VOLUME","."&amp;H$2&amp;H$1&amp;"C"&amp;$A19)*RTD("tos.rtd",,"GAMMA","."&amp;H$2&amp;H$1&amp;"C"&amp;$A19)-$A$4*$A$4*RTD("tos.rtd",,"VOLUME","."&amp;H$2&amp;H$1&amp;"P"&amp;$A19)*RTD("tos.rtd",,"GAMMA","."&amp;H$2&amp;H$1&amp;"P"&amp;$A19))/1000000,0),IF($A$2="GEX",IFERROR(($A$4*$A$4*RTD("tos.rtd",,"OPEN_INT","."&amp;H$2&amp;H$1&amp;"C"&amp;$A19)*RTD("tos.rtd",,"GAMMA","."&amp;H$2&amp;H$1&amp;"C"&amp;$A19)-$A$4*$A$4*RTD("tos.rtd",,"OPEN_INT","."&amp;H$2&amp;H$1&amp;"P"&amp;$A19)*RTD("tos.rtd",,"GAMMA","."&amp;H$2&amp;H$1&amp;"P"&amp;$A19))/1000000,0),IF($A$2="SKEW",IFERROR(VALUE(IF(RTD("tos.rtd",,"IMPL_VOL","."&amp;H$2&amp;H$1&amp;"P"&amp;$A19)="N/A",0,RTD("tos.rtd",,"IMPL_VOL","."&amp;H$2&amp;H$1&amp;"P"&amp;$A19))),0)-IFERROR(VALUE(IF(RTD("tos.rtd",,"IMPL_VOL","."&amp;H$2&amp;H$1&amp;"C"&amp;$A19)="N/A",0,RTD("tos.rtd",,"IMPL_VOL","."&amp;H$2&amp;H$1&amp;"C"&amp;$A19))),0),IF($A$2="MAXPAIN",IF($A$4&gt;$A19,($A$4-$A19)*IF(RTD("tos.rtd",,"OPEN_INT","."&amp;H$2&amp;H$1&amp;"C"&amp;$A19)="N/A",0,RTD("tos.rtd",,"OPEN_INT","."&amp;H$2&amp;H$1&amp;"C"&amp;$A19)),0)+IF($A$4&lt;$A19,($A19-$A$4)*IF(RTD("tos.rtd",,"OPEN_INT","."&amp;H$2&amp;H$1&amp;"P"&amp;$A19)="N/A",0,RTD("tos.rtd",,"OPEN_INT","."&amp;H$2&amp;H$1&amp;"P"&amp;$A19)),0),IF(RTD("tos.rtd",,$A$2,"."&amp;H$2&amp;H$1&amp;"C"&amp;$A19)="N/A",0,RTD("tos.rtd",,$A$2,"."&amp;H$2&amp;H$1&amp;"C"&amp;$A19))-IF(RTD("tos.rtd",,$A$2,"."&amp;H$2&amp;H$1&amp;"P"&amp;$A19)="N/A",0,RTD("tos.rtd",,$A$2,"."&amp;H$2&amp;H$1&amp;"P"&amp;$A19)))))))))</f>
        <v>3556</v>
      </c>
      <c r="I19" s="12">
        <f>IF($A$2="PREMIUM_OI",IFERROR((100*RTD("tos.rtd",,"OPEN_INT","."&amp;I$2&amp;I$1&amp;"C"&amp;$A19)*RTD("tos.rtd",,"LAST","."&amp;I$2&amp;I$1&amp;"C"&amp;$A19)-100*RTD("tos.rtd",,"OPEN_INT","."&amp;I$2&amp;I$1&amp;"P"&amp;$A19)*RTD("tos.rtd",,"LAST","."&amp;I$2&amp;I$1&amp;"P"&amp;$A19))/1000000,0),IF($A$2="PREMIUM",IFERROR((100*RTD("tos.rtd",,"VOLUME","."&amp;I$2&amp;I$1&amp;"C"&amp;$A19)*RTD("tos.rtd",,"LAST","."&amp;I$2&amp;I$1&amp;"C"&amp;$A19)-100*RTD("tos.rtd",,"VOLUME","."&amp;I$2&amp;I$1&amp;"P"&amp;$A19)*RTD("tos.rtd",,"LAST","."&amp;I$2&amp;I$1&amp;"P"&amp;$A19))/1000000,0),IF($A$2="DEX",IFERROR((100*RTD("tos.rtd",,"OPEN_INT","."&amp;I$2&amp;I$1&amp;"C"&amp;$A19)*RTD("tos.rtd",,"DELTA","."&amp;I$2&amp;I$1&amp;"C"&amp;$A19)-100*RTD("tos.rtd",,"OPEN_INT","."&amp;I$2&amp;I$1&amp;"P"&amp;$A19)*RTD("tos.rtd",,"DELTA","."&amp;I$2&amp;I$1&amp;"P"&amp;$A19))/1000,0),IF($A$2="VEX",IFERROR(($A$4*$A$4*RTD("tos.rtd",,"VOLUME","."&amp;I$2&amp;I$1&amp;"C"&amp;$A19)*RTD("tos.rtd",,"GAMMA","."&amp;I$2&amp;I$1&amp;"C"&amp;$A19)-$A$4*$A$4*RTD("tos.rtd",,"VOLUME","."&amp;I$2&amp;I$1&amp;"P"&amp;$A19)*RTD("tos.rtd",,"GAMMA","."&amp;I$2&amp;I$1&amp;"P"&amp;$A19))/1000000,0),IF($A$2="GEX",IFERROR(($A$4*$A$4*RTD("tos.rtd",,"OPEN_INT","."&amp;I$2&amp;I$1&amp;"C"&amp;$A19)*RTD("tos.rtd",,"GAMMA","."&amp;I$2&amp;I$1&amp;"C"&amp;$A19)-$A$4*$A$4*RTD("tos.rtd",,"OPEN_INT","."&amp;I$2&amp;I$1&amp;"P"&amp;$A19)*RTD("tos.rtd",,"GAMMA","."&amp;I$2&amp;I$1&amp;"P"&amp;$A19))/1000000,0),IF($A$2="SKEW",IFERROR(VALUE(IF(RTD("tos.rtd",,"IMPL_VOL","."&amp;I$2&amp;I$1&amp;"P"&amp;$A19)="N/A",0,RTD("tos.rtd",,"IMPL_VOL","."&amp;I$2&amp;I$1&amp;"P"&amp;$A19))),0)-IFERROR(VALUE(IF(RTD("tos.rtd",,"IMPL_VOL","."&amp;I$2&amp;I$1&amp;"C"&amp;$A19)="N/A",0,RTD("tos.rtd",,"IMPL_VOL","."&amp;I$2&amp;I$1&amp;"C"&amp;$A19))),0),IF($A$2="MAXPAIN",IF($A$4&gt;$A19,($A$4-$A19)*IF(RTD("tos.rtd",,"OPEN_INT","."&amp;I$2&amp;I$1&amp;"C"&amp;$A19)="N/A",0,RTD("tos.rtd",,"OPEN_INT","."&amp;I$2&amp;I$1&amp;"C"&amp;$A19)),0)+IF($A$4&lt;$A19,($A19-$A$4)*IF(RTD("tos.rtd",,"OPEN_INT","."&amp;I$2&amp;I$1&amp;"P"&amp;$A19)="N/A",0,RTD("tos.rtd",,"OPEN_INT","."&amp;I$2&amp;I$1&amp;"P"&amp;$A19)),0),IF(RTD("tos.rtd",,$A$2,"."&amp;I$2&amp;I$1&amp;"C"&amp;$A19)="N/A",0,RTD("tos.rtd",,$A$2,"."&amp;I$2&amp;I$1&amp;"C"&amp;$A19))-IF(RTD("tos.rtd",,$A$2,"."&amp;I$2&amp;I$1&amp;"P"&amp;$A19)="N/A",0,RTD("tos.rtd",,$A$2,"."&amp;I$2&amp;I$1&amp;"P"&amp;$A19)))))))))</f>
        <v>0</v>
      </c>
      <c r="J19" s="12">
        <f>IF($A$2="PREMIUM_OI",IFERROR((100*RTD("tos.rtd",,"OPEN_INT","."&amp;J$2&amp;J$1&amp;"C"&amp;$A19)*RTD("tos.rtd",,"LAST","."&amp;J$2&amp;J$1&amp;"C"&amp;$A19)-100*RTD("tos.rtd",,"OPEN_INT","."&amp;J$2&amp;J$1&amp;"P"&amp;$A19)*RTD("tos.rtd",,"LAST","."&amp;J$2&amp;J$1&amp;"P"&amp;$A19))/1000000,0),IF($A$2="PREMIUM",IFERROR((100*RTD("tos.rtd",,"VOLUME","."&amp;J$2&amp;J$1&amp;"C"&amp;$A19)*RTD("tos.rtd",,"LAST","."&amp;J$2&amp;J$1&amp;"C"&amp;$A19)-100*RTD("tos.rtd",,"VOLUME","."&amp;J$2&amp;J$1&amp;"P"&amp;$A19)*RTD("tos.rtd",,"LAST","."&amp;J$2&amp;J$1&amp;"P"&amp;$A19))/1000000,0),IF($A$2="DEX",IFERROR((100*RTD("tos.rtd",,"OPEN_INT","."&amp;J$2&amp;J$1&amp;"C"&amp;$A19)*RTD("tos.rtd",,"DELTA","."&amp;J$2&amp;J$1&amp;"C"&amp;$A19)-100*RTD("tos.rtd",,"OPEN_INT","."&amp;J$2&amp;J$1&amp;"P"&amp;$A19)*RTD("tos.rtd",,"DELTA","."&amp;J$2&amp;J$1&amp;"P"&amp;$A19))/1000,0),IF($A$2="VEX",IFERROR(($A$4*$A$4*RTD("tos.rtd",,"VOLUME","."&amp;J$2&amp;J$1&amp;"C"&amp;$A19)*RTD("tos.rtd",,"GAMMA","."&amp;J$2&amp;J$1&amp;"C"&amp;$A19)-$A$4*$A$4*RTD("tos.rtd",,"VOLUME","."&amp;J$2&amp;J$1&amp;"P"&amp;$A19)*RTD("tos.rtd",,"GAMMA","."&amp;J$2&amp;J$1&amp;"P"&amp;$A19))/1000000,0),IF($A$2="GEX",IFERROR(($A$4*$A$4*RTD("tos.rtd",,"OPEN_INT","."&amp;J$2&amp;J$1&amp;"C"&amp;$A19)*RTD("tos.rtd",,"GAMMA","."&amp;J$2&amp;J$1&amp;"C"&amp;$A19)-$A$4*$A$4*RTD("tos.rtd",,"OPEN_INT","."&amp;J$2&amp;J$1&amp;"P"&amp;$A19)*RTD("tos.rtd",,"GAMMA","."&amp;J$2&amp;J$1&amp;"P"&amp;$A19))/1000000,0),IF($A$2="SKEW",IFERROR(VALUE(IF(RTD("tos.rtd",,"IMPL_VOL","."&amp;J$2&amp;J$1&amp;"P"&amp;$A19)="N/A",0,RTD("tos.rtd",,"IMPL_VOL","."&amp;J$2&amp;J$1&amp;"P"&amp;$A19))),0)-IFERROR(VALUE(IF(RTD("tos.rtd",,"IMPL_VOL","."&amp;J$2&amp;J$1&amp;"C"&amp;$A19)="N/A",0,RTD("tos.rtd",,"IMPL_VOL","."&amp;J$2&amp;J$1&amp;"C"&amp;$A19))),0),IF($A$2="MAXPAIN",IF($A$4&gt;$A19,($A$4-$A19)*IF(RTD("tos.rtd",,"OPEN_INT","."&amp;J$2&amp;J$1&amp;"C"&amp;$A19)="N/A",0,RTD("tos.rtd",,"OPEN_INT","."&amp;J$2&amp;J$1&amp;"C"&amp;$A19)),0)+IF($A$4&lt;$A19,($A19-$A$4)*IF(RTD("tos.rtd",,"OPEN_INT","."&amp;J$2&amp;J$1&amp;"P"&amp;$A19)="N/A",0,RTD("tos.rtd",,"OPEN_INT","."&amp;J$2&amp;J$1&amp;"P"&amp;$A19)),0),IF(RTD("tos.rtd",,$A$2,"."&amp;J$2&amp;J$1&amp;"C"&amp;$A19)="N/A",0,RTD("tos.rtd",,$A$2,"."&amp;J$2&amp;J$1&amp;"C"&amp;$A19))-IF(RTD("tos.rtd",,$A$2,"."&amp;J$2&amp;J$1&amp;"P"&amp;$A19)="N/A",0,RTD("tos.rtd",,$A$2,"."&amp;J$2&amp;J$1&amp;"P"&amp;$A19)))))))))</f>
        <v>0</v>
      </c>
      <c r="K19" s="12">
        <f>IF($A$2="PREMIUM_OI",IFERROR((100*RTD("tos.rtd",,"OPEN_INT","."&amp;K$2&amp;K$1&amp;"C"&amp;$A19)*RTD("tos.rtd",,"LAST","."&amp;K$2&amp;K$1&amp;"C"&amp;$A19)-100*RTD("tos.rtd",,"OPEN_INT","."&amp;K$2&amp;K$1&amp;"P"&amp;$A19)*RTD("tos.rtd",,"LAST","."&amp;K$2&amp;K$1&amp;"P"&amp;$A19))/1000000,0),IF($A$2="PREMIUM",IFERROR((100*RTD("tos.rtd",,"VOLUME","."&amp;K$2&amp;K$1&amp;"C"&amp;$A19)*RTD("tos.rtd",,"LAST","."&amp;K$2&amp;K$1&amp;"C"&amp;$A19)-100*RTD("tos.rtd",,"VOLUME","."&amp;K$2&amp;K$1&amp;"P"&amp;$A19)*RTD("tos.rtd",,"LAST","."&amp;K$2&amp;K$1&amp;"P"&amp;$A19))/1000000,0),IF($A$2="DEX",IFERROR((100*RTD("tos.rtd",,"OPEN_INT","."&amp;K$2&amp;K$1&amp;"C"&amp;$A19)*RTD("tos.rtd",,"DELTA","."&amp;K$2&amp;K$1&amp;"C"&amp;$A19)-100*RTD("tos.rtd",,"OPEN_INT","."&amp;K$2&amp;K$1&amp;"P"&amp;$A19)*RTD("tos.rtd",,"DELTA","."&amp;K$2&amp;K$1&amp;"P"&amp;$A19))/1000,0),IF($A$2="VEX",IFERROR(($A$4*$A$4*RTD("tos.rtd",,"VOLUME","."&amp;K$2&amp;K$1&amp;"C"&amp;$A19)*RTD("tos.rtd",,"GAMMA","."&amp;K$2&amp;K$1&amp;"C"&amp;$A19)-$A$4*$A$4*RTD("tos.rtd",,"VOLUME","."&amp;K$2&amp;K$1&amp;"P"&amp;$A19)*RTD("tos.rtd",,"GAMMA","."&amp;K$2&amp;K$1&amp;"P"&amp;$A19))/1000000,0),IF($A$2="GEX",IFERROR(($A$4*$A$4*RTD("tos.rtd",,"OPEN_INT","."&amp;K$2&amp;K$1&amp;"C"&amp;$A19)*RTD("tos.rtd",,"GAMMA","."&amp;K$2&amp;K$1&amp;"C"&amp;$A19)-$A$4*$A$4*RTD("tos.rtd",,"OPEN_INT","."&amp;K$2&amp;K$1&amp;"P"&amp;$A19)*RTD("tos.rtd",,"GAMMA","."&amp;K$2&amp;K$1&amp;"P"&amp;$A19))/1000000,0),IF($A$2="SKEW",IFERROR(VALUE(IF(RTD("tos.rtd",,"IMPL_VOL","."&amp;K$2&amp;K$1&amp;"P"&amp;$A19)="N/A",0,RTD("tos.rtd",,"IMPL_VOL","."&amp;K$2&amp;K$1&amp;"P"&amp;$A19))),0)-IFERROR(VALUE(IF(RTD("tos.rtd",,"IMPL_VOL","."&amp;K$2&amp;K$1&amp;"C"&amp;$A19)="N/A",0,RTD("tos.rtd",,"IMPL_VOL","."&amp;K$2&amp;K$1&amp;"C"&amp;$A19))),0),IF($A$2="MAXPAIN",IF($A$4&gt;$A19,($A$4-$A19)*IF(RTD("tos.rtd",,"OPEN_INT","."&amp;K$2&amp;K$1&amp;"C"&amp;$A19)="N/A",0,RTD("tos.rtd",,"OPEN_INT","."&amp;K$2&amp;K$1&amp;"C"&amp;$A19)),0)+IF($A$4&lt;$A19,($A19-$A$4)*IF(RTD("tos.rtd",,"OPEN_INT","."&amp;K$2&amp;K$1&amp;"P"&amp;$A19)="N/A",0,RTD("tos.rtd",,"OPEN_INT","."&amp;K$2&amp;K$1&amp;"P"&amp;$A19)),0),IF(RTD("tos.rtd",,$A$2,"."&amp;K$2&amp;K$1&amp;"C"&amp;$A19)="N/A",0,RTD("tos.rtd",,$A$2,"."&amp;K$2&amp;K$1&amp;"C"&amp;$A19))-IF(RTD("tos.rtd",,$A$2,"."&amp;K$2&amp;K$1&amp;"P"&amp;$A19)="N/A",0,RTD("tos.rtd",,$A$2,"."&amp;K$2&amp;K$1&amp;"P"&amp;$A19)))))))))</f>
        <v>0</v>
      </c>
      <c r="L19" s="12">
        <f>IF($A$2="PREMIUM_OI",IFERROR((100*RTD("tos.rtd",,"OPEN_INT","."&amp;L$2&amp;L$1&amp;"C"&amp;$A19)*RTD("tos.rtd",,"LAST","."&amp;L$2&amp;L$1&amp;"C"&amp;$A19)-100*RTD("tos.rtd",,"OPEN_INT","."&amp;L$2&amp;L$1&amp;"P"&amp;$A19)*RTD("tos.rtd",,"LAST","."&amp;L$2&amp;L$1&amp;"P"&amp;$A19))/1000000,0),IF($A$2="PREMIUM",IFERROR((100*RTD("tos.rtd",,"VOLUME","."&amp;L$2&amp;L$1&amp;"C"&amp;$A19)*RTD("tos.rtd",,"LAST","."&amp;L$2&amp;L$1&amp;"C"&amp;$A19)-100*RTD("tos.rtd",,"VOLUME","."&amp;L$2&amp;L$1&amp;"P"&amp;$A19)*RTD("tos.rtd",,"LAST","."&amp;L$2&amp;L$1&amp;"P"&amp;$A19))/1000000,0),IF($A$2="DEX",IFERROR((100*RTD("tos.rtd",,"OPEN_INT","."&amp;L$2&amp;L$1&amp;"C"&amp;$A19)*RTD("tos.rtd",,"DELTA","."&amp;L$2&amp;L$1&amp;"C"&amp;$A19)-100*RTD("tos.rtd",,"OPEN_INT","."&amp;L$2&amp;L$1&amp;"P"&amp;$A19)*RTD("tos.rtd",,"DELTA","."&amp;L$2&amp;L$1&amp;"P"&amp;$A19))/1000,0),IF($A$2="VEX",IFERROR(($A$4*$A$4*RTD("tos.rtd",,"VOLUME","."&amp;L$2&amp;L$1&amp;"C"&amp;$A19)*RTD("tos.rtd",,"GAMMA","."&amp;L$2&amp;L$1&amp;"C"&amp;$A19)-$A$4*$A$4*RTD("tos.rtd",,"VOLUME","."&amp;L$2&amp;L$1&amp;"P"&amp;$A19)*RTD("tos.rtd",,"GAMMA","."&amp;L$2&amp;L$1&amp;"P"&amp;$A19))/1000000,0),IF($A$2="GEX",IFERROR(($A$4*$A$4*RTD("tos.rtd",,"OPEN_INT","."&amp;L$2&amp;L$1&amp;"C"&amp;$A19)*RTD("tos.rtd",,"GAMMA","."&amp;L$2&amp;L$1&amp;"C"&amp;$A19)-$A$4*$A$4*RTD("tos.rtd",,"OPEN_INT","."&amp;L$2&amp;L$1&amp;"P"&amp;$A19)*RTD("tos.rtd",,"GAMMA","."&amp;L$2&amp;L$1&amp;"P"&amp;$A19))/1000000,0),IF($A$2="SKEW",IFERROR(VALUE(IF(RTD("tos.rtd",,"IMPL_VOL","."&amp;L$2&amp;L$1&amp;"P"&amp;$A19)="N/A",0,RTD("tos.rtd",,"IMPL_VOL","."&amp;L$2&amp;L$1&amp;"P"&amp;$A19))),0)-IFERROR(VALUE(IF(RTD("tos.rtd",,"IMPL_VOL","."&amp;L$2&amp;L$1&amp;"C"&amp;$A19)="N/A",0,RTD("tos.rtd",,"IMPL_VOL","."&amp;L$2&amp;L$1&amp;"C"&amp;$A19))),0),IF($A$2="MAXPAIN",IF($A$4&gt;$A19,($A$4-$A19)*IF(RTD("tos.rtd",,"OPEN_INT","."&amp;L$2&amp;L$1&amp;"C"&amp;$A19)="N/A",0,RTD("tos.rtd",,"OPEN_INT","."&amp;L$2&amp;L$1&amp;"C"&amp;$A19)),0)+IF($A$4&lt;$A19,($A19-$A$4)*IF(RTD("tos.rtd",,"OPEN_INT","."&amp;L$2&amp;L$1&amp;"P"&amp;$A19)="N/A",0,RTD("tos.rtd",,"OPEN_INT","."&amp;L$2&amp;L$1&amp;"P"&amp;$A19)),0),IF(RTD("tos.rtd",,$A$2,"."&amp;L$2&amp;L$1&amp;"C"&amp;$A19)="N/A",0,RTD("tos.rtd",,$A$2,"."&amp;L$2&amp;L$1&amp;"C"&amp;$A19))-IF(RTD("tos.rtd",,$A$2,"."&amp;L$2&amp;L$1&amp;"P"&amp;$A19)="N/A",0,RTD("tos.rtd",,$A$2,"."&amp;L$2&amp;L$1&amp;"P"&amp;$A19)))))))))</f>
        <v>0</v>
      </c>
      <c r="M19" s="12">
        <f>IF($A$2="PREMIUM_OI",IFERROR((100*RTD("tos.rtd",,"OPEN_INT","."&amp;M$2&amp;M$1&amp;"C"&amp;$A19)*RTD("tos.rtd",,"LAST","."&amp;M$2&amp;M$1&amp;"C"&amp;$A19)-100*RTD("tos.rtd",,"OPEN_INT","."&amp;M$2&amp;M$1&amp;"P"&amp;$A19)*RTD("tos.rtd",,"LAST","."&amp;M$2&amp;M$1&amp;"P"&amp;$A19))/1000000,0),IF($A$2="PREMIUM",IFERROR((100*RTD("tos.rtd",,"VOLUME","."&amp;M$2&amp;M$1&amp;"C"&amp;$A19)*RTD("tos.rtd",,"LAST","."&amp;M$2&amp;M$1&amp;"C"&amp;$A19)-100*RTD("tos.rtd",,"VOLUME","."&amp;M$2&amp;M$1&amp;"P"&amp;$A19)*RTD("tos.rtd",,"LAST","."&amp;M$2&amp;M$1&amp;"P"&amp;$A19))/1000000,0),IF($A$2="DEX",IFERROR((100*RTD("tos.rtd",,"OPEN_INT","."&amp;M$2&amp;M$1&amp;"C"&amp;$A19)*RTD("tos.rtd",,"DELTA","."&amp;M$2&amp;M$1&amp;"C"&amp;$A19)-100*RTD("tos.rtd",,"OPEN_INT","."&amp;M$2&amp;M$1&amp;"P"&amp;$A19)*RTD("tos.rtd",,"DELTA","."&amp;M$2&amp;M$1&amp;"P"&amp;$A19))/1000,0),IF($A$2="VEX",IFERROR(($A$4*$A$4*RTD("tos.rtd",,"VOLUME","."&amp;M$2&amp;M$1&amp;"C"&amp;$A19)*RTD("tos.rtd",,"GAMMA","."&amp;M$2&amp;M$1&amp;"C"&amp;$A19)-$A$4*$A$4*RTD("tos.rtd",,"VOLUME","."&amp;M$2&amp;M$1&amp;"P"&amp;$A19)*RTD("tos.rtd",,"GAMMA","."&amp;M$2&amp;M$1&amp;"P"&amp;$A19))/1000000,0),IF($A$2="GEX",IFERROR(($A$4*$A$4*RTD("tos.rtd",,"OPEN_INT","."&amp;M$2&amp;M$1&amp;"C"&amp;$A19)*RTD("tos.rtd",,"GAMMA","."&amp;M$2&amp;M$1&amp;"C"&amp;$A19)-$A$4*$A$4*RTD("tos.rtd",,"OPEN_INT","."&amp;M$2&amp;M$1&amp;"P"&amp;$A19)*RTD("tos.rtd",,"GAMMA","."&amp;M$2&amp;M$1&amp;"P"&amp;$A19))/1000000,0),IF($A$2="SKEW",IFERROR(VALUE(IF(RTD("tos.rtd",,"IMPL_VOL","."&amp;M$2&amp;M$1&amp;"P"&amp;$A19)="N/A",0,RTD("tos.rtd",,"IMPL_VOL","."&amp;M$2&amp;M$1&amp;"P"&amp;$A19))),0)-IFERROR(VALUE(IF(RTD("tos.rtd",,"IMPL_VOL","."&amp;M$2&amp;M$1&amp;"C"&amp;$A19)="N/A",0,RTD("tos.rtd",,"IMPL_VOL","."&amp;M$2&amp;M$1&amp;"C"&amp;$A19))),0),IF($A$2="MAXPAIN",IF($A$4&gt;$A19,($A$4-$A19)*IF(RTD("tos.rtd",,"OPEN_INT","."&amp;M$2&amp;M$1&amp;"C"&amp;$A19)="N/A",0,RTD("tos.rtd",,"OPEN_INT","."&amp;M$2&amp;M$1&amp;"C"&amp;$A19)),0)+IF($A$4&lt;$A19,($A19-$A$4)*IF(RTD("tos.rtd",,"OPEN_INT","."&amp;M$2&amp;M$1&amp;"P"&amp;$A19)="N/A",0,RTD("tos.rtd",,"OPEN_INT","."&amp;M$2&amp;M$1&amp;"P"&amp;$A19)),0),IF(RTD("tos.rtd",,$A$2,"."&amp;M$2&amp;M$1&amp;"C"&amp;$A19)="N/A",0,RTD("tos.rtd",,$A$2,"."&amp;M$2&amp;M$1&amp;"C"&amp;$A19))-IF(RTD("tos.rtd",,$A$2,"."&amp;M$2&amp;M$1&amp;"P"&amp;$A19)="N/A",0,RTD("tos.rtd",,$A$2,"."&amp;M$2&amp;M$1&amp;"P"&amp;$A19)))))))))</f>
        <v>466</v>
      </c>
      <c r="N19" s="12">
        <f>IF($A$2="PREMIUM_OI",IFERROR((100*RTD("tos.rtd",,"OPEN_INT","."&amp;N$2&amp;N$1&amp;"C"&amp;$A19)*RTD("tos.rtd",,"LAST","."&amp;N$2&amp;N$1&amp;"C"&amp;$A19)-100*RTD("tos.rtd",,"OPEN_INT","."&amp;N$2&amp;N$1&amp;"P"&amp;$A19)*RTD("tos.rtd",,"LAST","."&amp;N$2&amp;N$1&amp;"P"&amp;$A19))/1000000,0),IF($A$2="PREMIUM",IFERROR((100*RTD("tos.rtd",,"VOLUME","."&amp;N$2&amp;N$1&amp;"C"&amp;$A19)*RTD("tos.rtd",,"LAST","."&amp;N$2&amp;N$1&amp;"C"&amp;$A19)-100*RTD("tos.rtd",,"VOLUME","."&amp;N$2&amp;N$1&amp;"P"&amp;$A19)*RTD("tos.rtd",,"LAST","."&amp;N$2&amp;N$1&amp;"P"&amp;$A19))/1000000,0),IF($A$2="DEX",IFERROR((100*RTD("tos.rtd",,"OPEN_INT","."&amp;N$2&amp;N$1&amp;"C"&amp;$A19)*RTD("tos.rtd",,"DELTA","."&amp;N$2&amp;N$1&amp;"C"&amp;$A19)-100*RTD("tos.rtd",,"OPEN_INT","."&amp;N$2&amp;N$1&amp;"P"&amp;$A19)*RTD("tos.rtd",,"DELTA","."&amp;N$2&amp;N$1&amp;"P"&amp;$A19))/1000,0),IF($A$2="VEX",IFERROR(($A$4*$A$4*RTD("tos.rtd",,"VOLUME","."&amp;N$2&amp;N$1&amp;"C"&amp;$A19)*RTD("tos.rtd",,"GAMMA","."&amp;N$2&amp;N$1&amp;"C"&amp;$A19)-$A$4*$A$4*RTD("tos.rtd",,"VOLUME","."&amp;N$2&amp;N$1&amp;"P"&amp;$A19)*RTD("tos.rtd",,"GAMMA","."&amp;N$2&amp;N$1&amp;"P"&amp;$A19))/1000000,0),IF($A$2="GEX",IFERROR(($A$4*$A$4*RTD("tos.rtd",,"OPEN_INT","."&amp;N$2&amp;N$1&amp;"C"&amp;$A19)*RTD("tos.rtd",,"GAMMA","."&amp;N$2&amp;N$1&amp;"C"&amp;$A19)-$A$4*$A$4*RTD("tos.rtd",,"OPEN_INT","."&amp;N$2&amp;N$1&amp;"P"&amp;$A19)*RTD("tos.rtd",,"GAMMA","."&amp;N$2&amp;N$1&amp;"P"&amp;$A19))/1000000,0),IF($A$2="SKEW",IFERROR(VALUE(IF(RTD("tos.rtd",,"IMPL_VOL","."&amp;N$2&amp;N$1&amp;"P"&amp;$A19)="N/A",0,RTD("tos.rtd",,"IMPL_VOL","."&amp;N$2&amp;N$1&amp;"P"&amp;$A19))),0)-IFERROR(VALUE(IF(RTD("tos.rtd",,"IMPL_VOL","."&amp;N$2&amp;N$1&amp;"C"&amp;$A19)="N/A",0,RTD("tos.rtd",,"IMPL_VOL","."&amp;N$2&amp;N$1&amp;"C"&amp;$A19))),0),IF($A$2="MAXPAIN",IF($A$4&gt;$A19,($A$4-$A19)*IF(RTD("tos.rtd",,"OPEN_INT","."&amp;N$2&amp;N$1&amp;"C"&amp;$A19)="N/A",0,RTD("tos.rtd",,"OPEN_INT","."&amp;N$2&amp;N$1&amp;"C"&amp;$A19)),0)+IF($A$4&lt;$A19,($A19-$A$4)*IF(RTD("tos.rtd",,"OPEN_INT","."&amp;N$2&amp;N$1&amp;"P"&amp;$A19)="N/A",0,RTD("tos.rtd",,"OPEN_INT","."&amp;N$2&amp;N$1&amp;"P"&amp;$A19)),0),IF(RTD("tos.rtd",,$A$2,"."&amp;N$2&amp;N$1&amp;"C"&amp;$A19)="N/A",0,RTD("tos.rtd",,$A$2,"."&amp;N$2&amp;N$1&amp;"C"&amp;$A19))-IF(RTD("tos.rtd",,$A$2,"."&amp;N$2&amp;N$1&amp;"P"&amp;$A19)="N/A",0,RTD("tos.rtd",,$A$2,"."&amp;N$2&amp;N$1&amp;"P"&amp;$A19)))))))))</f>
        <v>0</v>
      </c>
      <c r="O19" s="12">
        <f>IF($A$2="PREMIUM_OI",IFERROR((100*RTD("tos.rtd",,"OPEN_INT","."&amp;O$2&amp;O$1&amp;"C"&amp;$A19)*RTD("tos.rtd",,"LAST","."&amp;O$2&amp;O$1&amp;"C"&amp;$A19)-100*RTD("tos.rtd",,"OPEN_INT","."&amp;O$2&amp;O$1&amp;"P"&amp;$A19)*RTD("tos.rtd",,"LAST","."&amp;O$2&amp;O$1&amp;"P"&amp;$A19))/1000000,0),IF($A$2="PREMIUM",IFERROR((100*RTD("tos.rtd",,"VOLUME","."&amp;O$2&amp;O$1&amp;"C"&amp;$A19)*RTD("tos.rtd",,"LAST","."&amp;O$2&amp;O$1&amp;"C"&amp;$A19)-100*RTD("tos.rtd",,"VOLUME","."&amp;O$2&amp;O$1&amp;"P"&amp;$A19)*RTD("tos.rtd",,"LAST","."&amp;O$2&amp;O$1&amp;"P"&amp;$A19))/1000000,0),IF($A$2="DEX",IFERROR((100*RTD("tos.rtd",,"OPEN_INT","."&amp;O$2&amp;O$1&amp;"C"&amp;$A19)*RTD("tos.rtd",,"DELTA","."&amp;O$2&amp;O$1&amp;"C"&amp;$A19)-100*RTD("tos.rtd",,"OPEN_INT","."&amp;O$2&amp;O$1&amp;"P"&amp;$A19)*RTD("tos.rtd",,"DELTA","."&amp;O$2&amp;O$1&amp;"P"&amp;$A19))/1000,0),IF($A$2="VEX",IFERROR(($A$4*$A$4*RTD("tos.rtd",,"VOLUME","."&amp;O$2&amp;O$1&amp;"C"&amp;$A19)*RTD("tos.rtd",,"GAMMA","."&amp;O$2&amp;O$1&amp;"C"&amp;$A19)-$A$4*$A$4*RTD("tos.rtd",,"VOLUME","."&amp;O$2&amp;O$1&amp;"P"&amp;$A19)*RTD("tos.rtd",,"GAMMA","."&amp;O$2&amp;O$1&amp;"P"&amp;$A19))/1000000,0),IF($A$2="GEX",IFERROR(($A$4*$A$4*RTD("tos.rtd",,"OPEN_INT","."&amp;O$2&amp;O$1&amp;"C"&amp;$A19)*RTD("tos.rtd",,"GAMMA","."&amp;O$2&amp;O$1&amp;"C"&amp;$A19)-$A$4*$A$4*RTD("tos.rtd",,"OPEN_INT","."&amp;O$2&amp;O$1&amp;"P"&amp;$A19)*RTD("tos.rtd",,"GAMMA","."&amp;O$2&amp;O$1&amp;"P"&amp;$A19))/1000000,0),IF($A$2="SKEW",IFERROR(VALUE(IF(RTD("tos.rtd",,"IMPL_VOL","."&amp;O$2&amp;O$1&amp;"P"&amp;$A19)="N/A",0,RTD("tos.rtd",,"IMPL_VOL","."&amp;O$2&amp;O$1&amp;"P"&amp;$A19))),0)-IFERROR(VALUE(IF(RTD("tos.rtd",,"IMPL_VOL","."&amp;O$2&amp;O$1&amp;"C"&amp;$A19)="N/A",0,RTD("tos.rtd",,"IMPL_VOL","."&amp;O$2&amp;O$1&amp;"C"&amp;$A19))),0),IF($A$2="MAXPAIN",IF($A$4&gt;$A19,($A$4-$A19)*IF(RTD("tos.rtd",,"OPEN_INT","."&amp;O$2&amp;O$1&amp;"C"&amp;$A19)="N/A",0,RTD("tos.rtd",,"OPEN_INT","."&amp;O$2&amp;O$1&amp;"C"&amp;$A19)),0)+IF($A$4&lt;$A19,($A19-$A$4)*IF(RTD("tos.rtd",,"OPEN_INT","."&amp;O$2&amp;O$1&amp;"P"&amp;$A19)="N/A",0,RTD("tos.rtd",,"OPEN_INT","."&amp;O$2&amp;O$1&amp;"P"&amp;$A19)),0),IF(RTD("tos.rtd",,$A$2,"."&amp;O$2&amp;O$1&amp;"C"&amp;$A19)="N/A",0,RTD("tos.rtd",,$A$2,"."&amp;O$2&amp;O$1&amp;"C"&amp;$A19))-IF(RTD("tos.rtd",,$A$2,"."&amp;O$2&amp;O$1&amp;"P"&amp;$A19)="N/A",0,RTD("tos.rtd",,$A$2,"."&amp;O$2&amp;O$1&amp;"P"&amp;$A19)))))))))</f>
        <v>0</v>
      </c>
      <c r="P19" s="12">
        <f>IF($A$2="PREMIUM_OI",IFERROR((100*RTD("tos.rtd",,"OPEN_INT","."&amp;P$2&amp;P$1&amp;"C"&amp;$A19)*RTD("tos.rtd",,"LAST","."&amp;P$2&amp;P$1&amp;"C"&amp;$A19)-100*RTD("tos.rtd",,"OPEN_INT","."&amp;P$2&amp;P$1&amp;"P"&amp;$A19)*RTD("tos.rtd",,"LAST","."&amp;P$2&amp;P$1&amp;"P"&amp;$A19))/1000000,0),IF($A$2="PREMIUM",IFERROR((100*RTD("tos.rtd",,"VOLUME","."&amp;P$2&amp;P$1&amp;"C"&amp;$A19)*RTD("tos.rtd",,"LAST","."&amp;P$2&amp;P$1&amp;"C"&amp;$A19)-100*RTD("tos.rtd",,"VOLUME","."&amp;P$2&amp;P$1&amp;"P"&amp;$A19)*RTD("tos.rtd",,"LAST","."&amp;P$2&amp;P$1&amp;"P"&amp;$A19))/1000000,0),IF($A$2="DEX",IFERROR((100*RTD("tos.rtd",,"OPEN_INT","."&amp;P$2&amp;P$1&amp;"C"&amp;$A19)*RTD("tos.rtd",,"DELTA","."&amp;P$2&amp;P$1&amp;"C"&amp;$A19)-100*RTD("tos.rtd",,"OPEN_INT","."&amp;P$2&amp;P$1&amp;"P"&amp;$A19)*RTD("tos.rtd",,"DELTA","."&amp;P$2&amp;P$1&amp;"P"&amp;$A19))/1000,0),IF($A$2="VEX",IFERROR(($A$4*$A$4*RTD("tos.rtd",,"VOLUME","."&amp;P$2&amp;P$1&amp;"C"&amp;$A19)*RTD("tos.rtd",,"GAMMA","."&amp;P$2&amp;P$1&amp;"C"&amp;$A19)-$A$4*$A$4*RTD("tos.rtd",,"VOLUME","."&amp;P$2&amp;P$1&amp;"P"&amp;$A19)*RTD("tos.rtd",,"GAMMA","."&amp;P$2&amp;P$1&amp;"P"&amp;$A19))/1000000,0),IF($A$2="GEX",IFERROR(($A$4*$A$4*RTD("tos.rtd",,"OPEN_INT","."&amp;P$2&amp;P$1&amp;"C"&amp;$A19)*RTD("tos.rtd",,"GAMMA","."&amp;P$2&amp;P$1&amp;"C"&amp;$A19)-$A$4*$A$4*RTD("tos.rtd",,"OPEN_INT","."&amp;P$2&amp;P$1&amp;"P"&amp;$A19)*RTD("tos.rtd",,"GAMMA","."&amp;P$2&amp;P$1&amp;"P"&amp;$A19))/1000000,0),IF($A$2="SKEW",IFERROR(VALUE(IF(RTD("tos.rtd",,"IMPL_VOL","."&amp;P$2&amp;P$1&amp;"P"&amp;$A19)="N/A",0,RTD("tos.rtd",,"IMPL_VOL","."&amp;P$2&amp;P$1&amp;"P"&amp;$A19))),0)-IFERROR(VALUE(IF(RTD("tos.rtd",,"IMPL_VOL","."&amp;P$2&amp;P$1&amp;"C"&amp;$A19)="N/A",0,RTD("tos.rtd",,"IMPL_VOL","."&amp;P$2&amp;P$1&amp;"C"&amp;$A19))),0),IF($A$2="MAXPAIN",IF($A$4&gt;$A19,($A$4-$A19)*IF(RTD("tos.rtd",,"OPEN_INT","."&amp;P$2&amp;P$1&amp;"C"&amp;$A19)="N/A",0,RTD("tos.rtd",,"OPEN_INT","."&amp;P$2&amp;P$1&amp;"C"&amp;$A19)),0)+IF($A$4&lt;$A19,($A19-$A$4)*IF(RTD("tos.rtd",,"OPEN_INT","."&amp;P$2&amp;P$1&amp;"P"&amp;$A19)="N/A",0,RTD("tos.rtd",,"OPEN_INT","."&amp;P$2&amp;P$1&amp;"P"&amp;$A19)),0),IF(RTD("tos.rtd",,$A$2,"."&amp;P$2&amp;P$1&amp;"C"&amp;$A19)="N/A",0,RTD("tos.rtd",,$A$2,"."&amp;P$2&amp;P$1&amp;"C"&amp;$A19))-IF(RTD("tos.rtd",,$A$2,"."&amp;P$2&amp;P$1&amp;"P"&amp;$A19)="N/A",0,RTD("tos.rtd",,$A$2,"."&amp;P$2&amp;P$1&amp;"P"&amp;$A19)))))))))</f>
        <v>0</v>
      </c>
      <c r="Q19" s="12">
        <f>IF($A$2="PREMIUM_OI",IFERROR((100*RTD("tos.rtd",,"OPEN_INT","."&amp;Q$2&amp;Q$1&amp;"C"&amp;$A19)*RTD("tos.rtd",,"LAST","."&amp;Q$2&amp;Q$1&amp;"C"&amp;$A19)-100*RTD("tos.rtd",,"OPEN_INT","."&amp;Q$2&amp;Q$1&amp;"P"&amp;$A19)*RTD("tos.rtd",,"LAST","."&amp;Q$2&amp;Q$1&amp;"P"&amp;$A19))/1000000,0),IF($A$2="PREMIUM",IFERROR((100*RTD("tos.rtd",,"VOLUME","."&amp;Q$2&amp;Q$1&amp;"C"&amp;$A19)*RTD("tos.rtd",,"LAST","."&amp;Q$2&amp;Q$1&amp;"C"&amp;$A19)-100*RTD("tos.rtd",,"VOLUME","."&amp;Q$2&amp;Q$1&amp;"P"&amp;$A19)*RTD("tos.rtd",,"LAST","."&amp;Q$2&amp;Q$1&amp;"P"&amp;$A19))/1000000,0),IF($A$2="DEX",IFERROR((100*RTD("tos.rtd",,"OPEN_INT","."&amp;Q$2&amp;Q$1&amp;"C"&amp;$A19)*RTD("tos.rtd",,"DELTA","."&amp;Q$2&amp;Q$1&amp;"C"&amp;$A19)-100*RTD("tos.rtd",,"OPEN_INT","."&amp;Q$2&amp;Q$1&amp;"P"&amp;$A19)*RTD("tos.rtd",,"DELTA","."&amp;Q$2&amp;Q$1&amp;"P"&amp;$A19))/1000,0),IF($A$2="VEX",IFERROR(($A$4*$A$4*RTD("tos.rtd",,"VOLUME","."&amp;Q$2&amp;Q$1&amp;"C"&amp;$A19)*RTD("tos.rtd",,"GAMMA","."&amp;Q$2&amp;Q$1&amp;"C"&amp;$A19)-$A$4*$A$4*RTD("tos.rtd",,"VOLUME","."&amp;Q$2&amp;Q$1&amp;"P"&amp;$A19)*RTD("tos.rtd",,"GAMMA","."&amp;Q$2&amp;Q$1&amp;"P"&amp;$A19))/1000000,0),IF($A$2="GEX",IFERROR(($A$4*$A$4*RTD("tos.rtd",,"OPEN_INT","."&amp;Q$2&amp;Q$1&amp;"C"&amp;$A19)*RTD("tos.rtd",,"GAMMA","."&amp;Q$2&amp;Q$1&amp;"C"&amp;$A19)-$A$4*$A$4*RTD("tos.rtd",,"OPEN_INT","."&amp;Q$2&amp;Q$1&amp;"P"&amp;$A19)*RTD("tos.rtd",,"GAMMA","."&amp;Q$2&amp;Q$1&amp;"P"&amp;$A19))/1000000,0),IF($A$2="SKEW",IFERROR(VALUE(IF(RTD("tos.rtd",,"IMPL_VOL","."&amp;Q$2&amp;Q$1&amp;"P"&amp;$A19)="N/A",0,RTD("tos.rtd",,"IMPL_VOL","."&amp;Q$2&amp;Q$1&amp;"P"&amp;$A19))),0)-IFERROR(VALUE(IF(RTD("tos.rtd",,"IMPL_VOL","."&amp;Q$2&amp;Q$1&amp;"C"&amp;$A19)="N/A",0,RTD("tos.rtd",,"IMPL_VOL","."&amp;Q$2&amp;Q$1&amp;"C"&amp;$A19))),0),IF($A$2="MAXPAIN",IF($A$4&gt;$A19,($A$4-$A19)*IF(RTD("tos.rtd",,"OPEN_INT","."&amp;Q$2&amp;Q$1&amp;"C"&amp;$A19)="N/A",0,RTD("tos.rtd",,"OPEN_INT","."&amp;Q$2&amp;Q$1&amp;"C"&amp;$A19)),0)+IF($A$4&lt;$A19,($A19-$A$4)*IF(RTD("tos.rtd",,"OPEN_INT","."&amp;Q$2&amp;Q$1&amp;"P"&amp;$A19)="N/A",0,RTD("tos.rtd",,"OPEN_INT","."&amp;Q$2&amp;Q$1&amp;"P"&amp;$A19)),0),IF(RTD("tos.rtd",,$A$2,"."&amp;Q$2&amp;Q$1&amp;"C"&amp;$A19)="N/A",0,RTD("tos.rtd",,$A$2,"."&amp;Q$2&amp;Q$1&amp;"C"&amp;$A19))-IF(RTD("tos.rtd",,$A$2,"."&amp;Q$2&amp;Q$1&amp;"P"&amp;$A19)="N/A",0,RTD("tos.rtd",,$A$2,"."&amp;Q$2&amp;Q$1&amp;"P"&amp;$A19)))))))))</f>
        <v>0</v>
      </c>
      <c r="R19" s="12">
        <f>IF($A$2="PREMIUM_OI",IFERROR((100*RTD("tos.rtd",,"OPEN_INT","."&amp;R$2&amp;R$1&amp;"C"&amp;$A19)*RTD("tos.rtd",,"LAST","."&amp;R$2&amp;R$1&amp;"C"&amp;$A19)-100*RTD("tos.rtd",,"OPEN_INT","."&amp;R$2&amp;R$1&amp;"P"&amp;$A19)*RTD("tos.rtd",,"LAST","."&amp;R$2&amp;R$1&amp;"P"&amp;$A19))/1000000,0),IF($A$2="PREMIUM",IFERROR((100*RTD("tos.rtd",,"VOLUME","."&amp;R$2&amp;R$1&amp;"C"&amp;$A19)*RTD("tos.rtd",,"LAST","."&amp;R$2&amp;R$1&amp;"C"&amp;$A19)-100*RTD("tos.rtd",,"VOLUME","."&amp;R$2&amp;R$1&amp;"P"&amp;$A19)*RTD("tos.rtd",,"LAST","."&amp;R$2&amp;R$1&amp;"P"&amp;$A19))/1000000,0),IF($A$2="DEX",IFERROR((100*RTD("tos.rtd",,"OPEN_INT","."&amp;R$2&amp;R$1&amp;"C"&amp;$A19)*RTD("tos.rtd",,"DELTA","."&amp;R$2&amp;R$1&amp;"C"&amp;$A19)-100*RTD("tos.rtd",,"OPEN_INT","."&amp;R$2&amp;R$1&amp;"P"&amp;$A19)*RTD("tos.rtd",,"DELTA","."&amp;R$2&amp;R$1&amp;"P"&amp;$A19))/1000,0),IF($A$2="VEX",IFERROR(($A$4*$A$4*RTD("tos.rtd",,"VOLUME","."&amp;R$2&amp;R$1&amp;"C"&amp;$A19)*RTD("tos.rtd",,"GAMMA","."&amp;R$2&amp;R$1&amp;"C"&amp;$A19)-$A$4*$A$4*RTD("tos.rtd",,"VOLUME","."&amp;R$2&amp;R$1&amp;"P"&amp;$A19)*RTD("tos.rtd",,"GAMMA","."&amp;R$2&amp;R$1&amp;"P"&amp;$A19))/1000000,0),IF($A$2="GEX",IFERROR(($A$4*$A$4*RTD("tos.rtd",,"OPEN_INT","."&amp;R$2&amp;R$1&amp;"C"&amp;$A19)*RTD("tos.rtd",,"GAMMA","."&amp;R$2&amp;R$1&amp;"C"&amp;$A19)-$A$4*$A$4*RTD("tos.rtd",,"OPEN_INT","."&amp;R$2&amp;R$1&amp;"P"&amp;$A19)*RTD("tos.rtd",,"GAMMA","."&amp;R$2&amp;R$1&amp;"P"&amp;$A19))/1000000,0),IF($A$2="SKEW",IFERROR(VALUE(IF(RTD("tos.rtd",,"IMPL_VOL","."&amp;R$2&amp;R$1&amp;"P"&amp;$A19)="N/A",0,RTD("tos.rtd",,"IMPL_VOL","."&amp;R$2&amp;R$1&amp;"P"&amp;$A19))),0)-IFERROR(VALUE(IF(RTD("tos.rtd",,"IMPL_VOL","."&amp;R$2&amp;R$1&amp;"C"&amp;$A19)="N/A",0,RTD("tos.rtd",,"IMPL_VOL","."&amp;R$2&amp;R$1&amp;"C"&amp;$A19))),0),IF($A$2="MAXPAIN",IF($A$4&gt;$A19,($A$4-$A19)*IF(RTD("tos.rtd",,"OPEN_INT","."&amp;R$2&amp;R$1&amp;"C"&amp;$A19)="N/A",0,RTD("tos.rtd",,"OPEN_INT","."&amp;R$2&amp;R$1&amp;"C"&amp;$A19)),0)+IF($A$4&lt;$A19,($A19-$A$4)*IF(RTD("tos.rtd",,"OPEN_INT","."&amp;R$2&amp;R$1&amp;"P"&amp;$A19)="N/A",0,RTD("tos.rtd",,"OPEN_INT","."&amp;R$2&amp;R$1&amp;"P"&amp;$A19)),0),IF(RTD("tos.rtd",,$A$2,"."&amp;R$2&amp;R$1&amp;"C"&amp;$A19)="N/A",0,RTD("tos.rtd",,$A$2,"."&amp;R$2&amp;R$1&amp;"C"&amp;$A19))-IF(RTD("tos.rtd",,$A$2,"."&amp;R$2&amp;R$1&amp;"P"&amp;$A19)="N/A",0,RTD("tos.rtd",,$A$2,"."&amp;R$2&amp;R$1&amp;"P"&amp;$A19)))))))))</f>
        <v>912</v>
      </c>
      <c r="S19" s="12">
        <f>IF($A$2="PREMIUM_OI",IFERROR((100*RTD("tos.rtd",,"OPEN_INT","."&amp;S$2&amp;S$1&amp;"C"&amp;$A19)*RTD("tos.rtd",,"LAST","."&amp;S$2&amp;S$1&amp;"C"&amp;$A19)-100*RTD("tos.rtd",,"OPEN_INT","."&amp;S$2&amp;S$1&amp;"P"&amp;$A19)*RTD("tos.rtd",,"LAST","."&amp;S$2&amp;S$1&amp;"P"&amp;$A19))/1000000,0),IF($A$2="PREMIUM",IFERROR((100*RTD("tos.rtd",,"VOLUME","."&amp;S$2&amp;S$1&amp;"C"&amp;$A19)*RTD("tos.rtd",,"LAST","."&amp;S$2&amp;S$1&amp;"C"&amp;$A19)-100*RTD("tos.rtd",,"VOLUME","."&amp;S$2&amp;S$1&amp;"P"&amp;$A19)*RTD("tos.rtd",,"LAST","."&amp;S$2&amp;S$1&amp;"P"&amp;$A19))/1000000,0),IF($A$2="DEX",IFERROR((100*RTD("tos.rtd",,"OPEN_INT","."&amp;S$2&amp;S$1&amp;"C"&amp;$A19)*RTD("tos.rtd",,"DELTA","."&amp;S$2&amp;S$1&amp;"C"&amp;$A19)-100*RTD("tos.rtd",,"OPEN_INT","."&amp;S$2&amp;S$1&amp;"P"&amp;$A19)*RTD("tos.rtd",,"DELTA","."&amp;S$2&amp;S$1&amp;"P"&amp;$A19))/1000,0),IF($A$2="VEX",IFERROR(($A$4*$A$4*RTD("tos.rtd",,"VOLUME","."&amp;S$2&amp;S$1&amp;"C"&amp;$A19)*RTD("tos.rtd",,"GAMMA","."&amp;S$2&amp;S$1&amp;"C"&amp;$A19)-$A$4*$A$4*RTD("tos.rtd",,"VOLUME","."&amp;S$2&amp;S$1&amp;"P"&amp;$A19)*RTD("tos.rtd",,"GAMMA","."&amp;S$2&amp;S$1&amp;"P"&amp;$A19))/1000000,0),IF($A$2="GEX",IFERROR(($A$4*$A$4*RTD("tos.rtd",,"OPEN_INT","."&amp;S$2&amp;S$1&amp;"C"&amp;$A19)*RTD("tos.rtd",,"GAMMA","."&amp;S$2&amp;S$1&amp;"C"&amp;$A19)-$A$4*$A$4*RTD("tos.rtd",,"OPEN_INT","."&amp;S$2&amp;S$1&amp;"P"&amp;$A19)*RTD("tos.rtd",,"GAMMA","."&amp;S$2&amp;S$1&amp;"P"&amp;$A19))/1000000,0),IF($A$2="SKEW",IFERROR(VALUE(IF(RTD("tos.rtd",,"IMPL_VOL","."&amp;S$2&amp;S$1&amp;"P"&amp;$A19)="N/A",0,RTD("tos.rtd",,"IMPL_VOL","."&amp;S$2&amp;S$1&amp;"P"&amp;$A19))),0)-IFERROR(VALUE(IF(RTD("tos.rtd",,"IMPL_VOL","."&amp;S$2&amp;S$1&amp;"C"&amp;$A19)="N/A",0,RTD("tos.rtd",,"IMPL_VOL","."&amp;S$2&amp;S$1&amp;"C"&amp;$A19))),0),IF($A$2="MAXPAIN",IF($A$4&gt;$A19,($A$4-$A19)*IF(RTD("tos.rtd",,"OPEN_INT","."&amp;S$2&amp;S$1&amp;"C"&amp;$A19)="N/A",0,RTD("tos.rtd",,"OPEN_INT","."&amp;S$2&amp;S$1&amp;"C"&amp;$A19)),0)+IF($A$4&lt;$A19,($A19-$A$4)*IF(RTD("tos.rtd",,"OPEN_INT","."&amp;S$2&amp;S$1&amp;"P"&amp;$A19)="N/A",0,RTD("tos.rtd",,"OPEN_INT","."&amp;S$2&amp;S$1&amp;"P"&amp;$A19)),0),IF(RTD("tos.rtd",,$A$2,"."&amp;S$2&amp;S$1&amp;"C"&amp;$A19)="N/A",0,RTD("tos.rtd",,$A$2,"."&amp;S$2&amp;S$1&amp;"C"&amp;$A19))-IF(RTD("tos.rtd",,$A$2,"."&amp;S$2&amp;S$1&amp;"P"&amp;$A19)="N/A",0,RTD("tos.rtd",,$A$2,"."&amp;S$2&amp;S$1&amp;"P"&amp;$A19)))))))))</f>
        <v>244</v>
      </c>
      <c r="T19" s="12">
        <f>IF($A$2="PREMIUM_OI",IFERROR((100*RTD("tos.rtd",,"OPEN_INT","."&amp;T$2&amp;T$1&amp;"C"&amp;$A19)*RTD("tos.rtd",,"LAST","."&amp;T$2&amp;T$1&amp;"C"&amp;$A19)-100*RTD("tos.rtd",,"OPEN_INT","."&amp;T$2&amp;T$1&amp;"P"&amp;$A19)*RTD("tos.rtd",,"LAST","."&amp;T$2&amp;T$1&amp;"P"&amp;$A19))/1000000,0),IF($A$2="PREMIUM",IFERROR((100*RTD("tos.rtd",,"VOLUME","."&amp;T$2&amp;T$1&amp;"C"&amp;$A19)*RTD("tos.rtd",,"LAST","."&amp;T$2&amp;T$1&amp;"C"&amp;$A19)-100*RTD("tos.rtd",,"VOLUME","."&amp;T$2&amp;T$1&amp;"P"&amp;$A19)*RTD("tos.rtd",,"LAST","."&amp;T$2&amp;T$1&amp;"P"&amp;$A19))/1000000,0),IF($A$2="DEX",IFERROR((100*RTD("tos.rtd",,"OPEN_INT","."&amp;T$2&amp;T$1&amp;"C"&amp;$A19)*RTD("tos.rtd",,"DELTA","."&amp;T$2&amp;T$1&amp;"C"&amp;$A19)-100*RTD("tos.rtd",,"OPEN_INT","."&amp;T$2&amp;T$1&amp;"P"&amp;$A19)*RTD("tos.rtd",,"DELTA","."&amp;T$2&amp;T$1&amp;"P"&amp;$A19))/1000,0),IF($A$2="VEX",IFERROR(($A$4*$A$4*RTD("tos.rtd",,"VOLUME","."&amp;T$2&amp;T$1&amp;"C"&amp;$A19)*RTD("tos.rtd",,"GAMMA","."&amp;T$2&amp;T$1&amp;"C"&amp;$A19)-$A$4*$A$4*RTD("tos.rtd",,"VOLUME","."&amp;T$2&amp;T$1&amp;"P"&amp;$A19)*RTD("tos.rtd",,"GAMMA","."&amp;T$2&amp;T$1&amp;"P"&amp;$A19))/1000000,0),IF($A$2="GEX",IFERROR(($A$4*$A$4*RTD("tos.rtd",,"OPEN_INT","."&amp;T$2&amp;T$1&amp;"C"&amp;$A19)*RTD("tos.rtd",,"GAMMA","."&amp;T$2&amp;T$1&amp;"C"&amp;$A19)-$A$4*$A$4*RTD("tos.rtd",,"OPEN_INT","."&amp;T$2&amp;T$1&amp;"P"&amp;$A19)*RTD("tos.rtd",,"GAMMA","."&amp;T$2&amp;T$1&amp;"P"&amp;$A19))/1000000,0),IF($A$2="SKEW",IFERROR(VALUE(IF(RTD("tos.rtd",,"IMPL_VOL","."&amp;T$2&amp;T$1&amp;"P"&amp;$A19)="N/A",0,RTD("tos.rtd",,"IMPL_VOL","."&amp;T$2&amp;T$1&amp;"P"&amp;$A19))),0)-IFERROR(VALUE(IF(RTD("tos.rtd",,"IMPL_VOL","."&amp;T$2&amp;T$1&amp;"C"&amp;$A19)="N/A",0,RTD("tos.rtd",,"IMPL_VOL","."&amp;T$2&amp;T$1&amp;"C"&amp;$A19))),0),IF($A$2="MAXPAIN",IF($A$4&gt;$A19,($A$4-$A19)*IF(RTD("tos.rtd",,"OPEN_INT","."&amp;T$2&amp;T$1&amp;"C"&amp;$A19)="N/A",0,RTD("tos.rtd",,"OPEN_INT","."&amp;T$2&amp;T$1&amp;"C"&amp;$A19)),0)+IF($A$4&lt;$A19,($A19-$A$4)*IF(RTD("tos.rtd",,"OPEN_INT","."&amp;T$2&amp;T$1&amp;"P"&amp;$A19)="N/A",0,RTD("tos.rtd",,"OPEN_INT","."&amp;T$2&amp;T$1&amp;"P"&amp;$A19)),0),IF(RTD("tos.rtd",,$A$2,"."&amp;T$2&amp;T$1&amp;"C"&amp;$A19)="N/A",0,RTD("tos.rtd",,$A$2,"."&amp;T$2&amp;T$1&amp;"C"&amp;$A19))-IF(RTD("tos.rtd",,$A$2,"."&amp;T$2&amp;T$1&amp;"P"&amp;$A19)="N/A",0,RTD("tos.rtd",,$A$2,"."&amp;T$2&amp;T$1&amp;"P"&amp;$A19)))))))))</f>
        <v>642</v>
      </c>
      <c r="U19" s="12">
        <f>IF($A$2="PREMIUM_OI",IFERROR((100*RTD("tos.rtd",,"OPEN_INT","."&amp;U$2&amp;U$1&amp;"C"&amp;$A19)*RTD("tos.rtd",,"LAST","."&amp;U$2&amp;U$1&amp;"C"&amp;$A19)-100*RTD("tos.rtd",,"OPEN_INT","."&amp;U$2&amp;U$1&amp;"P"&amp;$A19)*RTD("tos.rtd",,"LAST","."&amp;U$2&amp;U$1&amp;"P"&amp;$A19))/1000000,0),IF($A$2="PREMIUM",IFERROR((100*RTD("tos.rtd",,"VOLUME","."&amp;U$2&amp;U$1&amp;"C"&amp;$A19)*RTD("tos.rtd",,"LAST","."&amp;U$2&amp;U$1&amp;"C"&amp;$A19)-100*RTD("tos.rtd",,"VOLUME","."&amp;U$2&amp;U$1&amp;"P"&amp;$A19)*RTD("tos.rtd",,"LAST","."&amp;U$2&amp;U$1&amp;"P"&amp;$A19))/1000000,0),IF($A$2="DEX",IFERROR((100*RTD("tos.rtd",,"OPEN_INT","."&amp;U$2&amp;U$1&amp;"C"&amp;$A19)*RTD("tos.rtd",,"DELTA","."&amp;U$2&amp;U$1&amp;"C"&amp;$A19)-100*RTD("tos.rtd",,"OPEN_INT","."&amp;U$2&amp;U$1&amp;"P"&amp;$A19)*RTD("tos.rtd",,"DELTA","."&amp;U$2&amp;U$1&amp;"P"&amp;$A19))/1000,0),IF($A$2="VEX",IFERROR(($A$4*$A$4*RTD("tos.rtd",,"VOLUME","."&amp;U$2&amp;U$1&amp;"C"&amp;$A19)*RTD("tos.rtd",,"GAMMA","."&amp;U$2&amp;U$1&amp;"C"&amp;$A19)-$A$4*$A$4*RTD("tos.rtd",,"VOLUME","."&amp;U$2&amp;U$1&amp;"P"&amp;$A19)*RTD("tos.rtd",,"GAMMA","."&amp;U$2&amp;U$1&amp;"P"&amp;$A19))/1000000,0),IF($A$2="GEX",IFERROR(($A$4*$A$4*RTD("tos.rtd",,"OPEN_INT","."&amp;U$2&amp;U$1&amp;"C"&amp;$A19)*RTD("tos.rtd",,"GAMMA","."&amp;U$2&amp;U$1&amp;"C"&amp;$A19)-$A$4*$A$4*RTD("tos.rtd",,"OPEN_INT","."&amp;U$2&amp;U$1&amp;"P"&amp;$A19)*RTD("tos.rtd",,"GAMMA","."&amp;U$2&amp;U$1&amp;"P"&amp;$A19))/1000000,0),IF($A$2="SKEW",IFERROR(VALUE(IF(RTD("tos.rtd",,"IMPL_VOL","."&amp;U$2&amp;U$1&amp;"P"&amp;$A19)="N/A",0,RTD("tos.rtd",,"IMPL_VOL","."&amp;U$2&amp;U$1&amp;"P"&amp;$A19))),0)-IFERROR(VALUE(IF(RTD("tos.rtd",,"IMPL_VOL","."&amp;U$2&amp;U$1&amp;"C"&amp;$A19)="N/A",0,RTD("tos.rtd",,"IMPL_VOL","."&amp;U$2&amp;U$1&amp;"C"&amp;$A19))),0),IF($A$2="MAXPAIN",IF($A$4&gt;$A19,($A$4-$A19)*IF(RTD("tos.rtd",,"OPEN_INT","."&amp;U$2&amp;U$1&amp;"C"&amp;$A19)="N/A",0,RTD("tos.rtd",,"OPEN_INT","."&amp;U$2&amp;U$1&amp;"C"&amp;$A19)),0)+IF($A$4&lt;$A19,($A19-$A$4)*IF(RTD("tos.rtd",,"OPEN_INT","."&amp;U$2&amp;U$1&amp;"P"&amp;$A19)="N/A",0,RTD("tos.rtd",,"OPEN_INT","."&amp;U$2&amp;U$1&amp;"P"&amp;$A19)),0),IF(RTD("tos.rtd",,$A$2,"."&amp;U$2&amp;U$1&amp;"C"&amp;$A19)="N/A",0,RTD("tos.rtd",,$A$2,"."&amp;U$2&amp;U$1&amp;"C"&amp;$A19))-IF(RTD("tos.rtd",,$A$2,"."&amp;U$2&amp;U$1&amp;"P"&amp;$A19)="N/A",0,RTD("tos.rtd",,$A$2,"."&amp;U$2&amp;U$1&amp;"P"&amp;$A19)))))))))</f>
        <v>0</v>
      </c>
      <c r="V19" s="12">
        <f>IF($A$2="PREMIUM_OI",IFERROR((100*RTD("tos.rtd",,"OPEN_INT","."&amp;V$2&amp;V$1&amp;"C"&amp;$A19)*RTD("tos.rtd",,"LAST","."&amp;V$2&amp;V$1&amp;"C"&amp;$A19)-100*RTD("tos.rtd",,"OPEN_INT","."&amp;V$2&amp;V$1&amp;"P"&amp;$A19)*RTD("tos.rtd",,"LAST","."&amp;V$2&amp;V$1&amp;"P"&amp;$A19))/1000000,0),IF($A$2="PREMIUM",IFERROR((100*RTD("tos.rtd",,"VOLUME","."&amp;V$2&amp;V$1&amp;"C"&amp;$A19)*RTD("tos.rtd",,"LAST","."&amp;V$2&amp;V$1&amp;"C"&amp;$A19)-100*RTD("tos.rtd",,"VOLUME","."&amp;V$2&amp;V$1&amp;"P"&amp;$A19)*RTD("tos.rtd",,"LAST","."&amp;V$2&amp;V$1&amp;"P"&amp;$A19))/1000000,0),IF($A$2="DEX",IFERROR((100*RTD("tos.rtd",,"OPEN_INT","."&amp;V$2&amp;V$1&amp;"C"&amp;$A19)*RTD("tos.rtd",,"DELTA","."&amp;V$2&amp;V$1&amp;"C"&amp;$A19)-100*RTD("tos.rtd",,"OPEN_INT","."&amp;V$2&amp;V$1&amp;"P"&amp;$A19)*RTD("tos.rtd",,"DELTA","."&amp;V$2&amp;V$1&amp;"P"&amp;$A19))/1000,0),IF($A$2="VEX",IFERROR(($A$4*$A$4*RTD("tos.rtd",,"VOLUME","."&amp;V$2&amp;V$1&amp;"C"&amp;$A19)*RTD("tos.rtd",,"GAMMA","."&amp;V$2&amp;V$1&amp;"C"&amp;$A19)-$A$4*$A$4*RTD("tos.rtd",,"VOLUME","."&amp;V$2&amp;V$1&amp;"P"&amp;$A19)*RTD("tos.rtd",,"GAMMA","."&amp;V$2&amp;V$1&amp;"P"&amp;$A19))/1000000,0),IF($A$2="GEX",IFERROR(($A$4*$A$4*RTD("tos.rtd",,"OPEN_INT","."&amp;V$2&amp;V$1&amp;"C"&amp;$A19)*RTD("tos.rtd",,"GAMMA","."&amp;V$2&amp;V$1&amp;"C"&amp;$A19)-$A$4*$A$4*RTD("tos.rtd",,"OPEN_INT","."&amp;V$2&amp;V$1&amp;"P"&amp;$A19)*RTD("tos.rtd",,"GAMMA","."&amp;V$2&amp;V$1&amp;"P"&amp;$A19))/1000000,0),IF($A$2="SKEW",IFERROR(VALUE(IF(RTD("tos.rtd",,"IMPL_VOL","."&amp;V$2&amp;V$1&amp;"P"&amp;$A19)="N/A",0,RTD("tos.rtd",,"IMPL_VOL","."&amp;V$2&amp;V$1&amp;"P"&amp;$A19))),0)-IFERROR(VALUE(IF(RTD("tos.rtd",,"IMPL_VOL","."&amp;V$2&amp;V$1&amp;"C"&amp;$A19)="N/A",0,RTD("tos.rtd",,"IMPL_VOL","."&amp;V$2&amp;V$1&amp;"C"&amp;$A19))),0),IF($A$2="MAXPAIN",IF($A$4&gt;$A19,($A$4-$A19)*IF(RTD("tos.rtd",,"OPEN_INT","."&amp;V$2&amp;V$1&amp;"C"&amp;$A19)="N/A",0,RTD("tos.rtd",,"OPEN_INT","."&amp;V$2&amp;V$1&amp;"C"&amp;$A19)),0)+IF($A$4&lt;$A19,($A19-$A$4)*IF(RTD("tos.rtd",,"OPEN_INT","."&amp;V$2&amp;V$1&amp;"P"&amp;$A19)="N/A",0,RTD("tos.rtd",,"OPEN_INT","."&amp;V$2&amp;V$1&amp;"P"&amp;$A19)),0),IF(RTD("tos.rtd",,$A$2,"."&amp;V$2&amp;V$1&amp;"C"&amp;$A19)="N/A",0,RTD("tos.rtd",,$A$2,"."&amp;V$2&amp;V$1&amp;"C"&amp;$A19))-IF(RTD("tos.rtd",,$A$2,"."&amp;V$2&amp;V$1&amp;"P"&amp;$A19)="N/A",0,RTD("tos.rtd",,$A$2,"."&amp;V$2&amp;V$1&amp;"P"&amp;$A19)))))))))</f>
        <v>0</v>
      </c>
      <c r="W19" s="12">
        <f>IF($A$2="PREMIUM_OI",IFERROR((100*RTD("tos.rtd",,"OPEN_INT","."&amp;W$2&amp;W$1&amp;"C"&amp;$A19)*RTD("tos.rtd",,"LAST","."&amp;W$2&amp;W$1&amp;"C"&amp;$A19)-100*RTD("tos.rtd",,"OPEN_INT","."&amp;W$2&amp;W$1&amp;"P"&amp;$A19)*RTD("tos.rtd",,"LAST","."&amp;W$2&amp;W$1&amp;"P"&amp;$A19))/1000000,0),IF($A$2="PREMIUM",IFERROR((100*RTD("tos.rtd",,"VOLUME","."&amp;W$2&amp;W$1&amp;"C"&amp;$A19)*RTD("tos.rtd",,"LAST","."&amp;W$2&amp;W$1&amp;"C"&amp;$A19)-100*RTD("tos.rtd",,"VOLUME","."&amp;W$2&amp;W$1&amp;"P"&amp;$A19)*RTD("tos.rtd",,"LAST","."&amp;W$2&amp;W$1&amp;"P"&amp;$A19))/1000000,0),IF($A$2="DEX",IFERROR((100*RTD("tos.rtd",,"OPEN_INT","."&amp;W$2&amp;W$1&amp;"C"&amp;$A19)*RTD("tos.rtd",,"DELTA","."&amp;W$2&amp;W$1&amp;"C"&amp;$A19)-100*RTD("tos.rtd",,"OPEN_INT","."&amp;W$2&amp;W$1&amp;"P"&amp;$A19)*RTD("tos.rtd",,"DELTA","."&amp;W$2&amp;W$1&amp;"P"&amp;$A19))/1000,0),IF($A$2="VEX",IFERROR(($A$4*$A$4*RTD("tos.rtd",,"VOLUME","."&amp;W$2&amp;W$1&amp;"C"&amp;$A19)*RTD("tos.rtd",,"GAMMA","."&amp;W$2&amp;W$1&amp;"C"&amp;$A19)-$A$4*$A$4*RTD("tos.rtd",,"VOLUME","."&amp;W$2&amp;W$1&amp;"P"&amp;$A19)*RTD("tos.rtd",,"GAMMA","."&amp;W$2&amp;W$1&amp;"P"&amp;$A19))/1000000,0),IF($A$2="GEX",IFERROR(($A$4*$A$4*RTD("tos.rtd",,"OPEN_INT","."&amp;W$2&amp;W$1&amp;"C"&amp;$A19)*RTD("tos.rtd",,"GAMMA","."&amp;W$2&amp;W$1&amp;"C"&amp;$A19)-$A$4*$A$4*RTD("tos.rtd",,"OPEN_INT","."&amp;W$2&amp;W$1&amp;"P"&amp;$A19)*RTD("tos.rtd",,"GAMMA","."&amp;W$2&amp;W$1&amp;"P"&amp;$A19))/1000000,0),IF($A$2="SKEW",IFERROR(VALUE(IF(RTD("tos.rtd",,"IMPL_VOL","."&amp;W$2&amp;W$1&amp;"P"&amp;$A19)="N/A",0,RTD("tos.rtd",,"IMPL_VOL","."&amp;W$2&amp;W$1&amp;"P"&amp;$A19))),0)-IFERROR(VALUE(IF(RTD("tos.rtd",,"IMPL_VOL","."&amp;W$2&amp;W$1&amp;"C"&amp;$A19)="N/A",0,RTD("tos.rtd",,"IMPL_VOL","."&amp;W$2&amp;W$1&amp;"C"&amp;$A19))),0),IF($A$2="MAXPAIN",IF($A$4&gt;$A19,($A$4-$A19)*IF(RTD("tos.rtd",,"OPEN_INT","."&amp;W$2&amp;W$1&amp;"C"&amp;$A19)="N/A",0,RTD("tos.rtd",,"OPEN_INT","."&amp;W$2&amp;W$1&amp;"C"&amp;$A19)),0)+IF($A$4&lt;$A19,($A19-$A$4)*IF(RTD("tos.rtd",,"OPEN_INT","."&amp;W$2&amp;W$1&amp;"P"&amp;$A19)="N/A",0,RTD("tos.rtd",,"OPEN_INT","."&amp;W$2&amp;W$1&amp;"P"&amp;$A19)),0),IF(RTD("tos.rtd",,$A$2,"."&amp;W$2&amp;W$1&amp;"C"&amp;$A19)="N/A",0,RTD("tos.rtd",,$A$2,"."&amp;W$2&amp;W$1&amp;"C"&amp;$A19))-IF(RTD("tos.rtd",,$A$2,"."&amp;W$2&amp;W$1&amp;"P"&amp;$A19)="N/A",0,RTD("tos.rtd",,$A$2,"."&amp;W$2&amp;W$1&amp;"P"&amp;$A19)))))))))</f>
        <v>0</v>
      </c>
      <c r="X19" s="12">
        <f t="shared" ca="1" si="7"/>
        <v>886</v>
      </c>
      <c r="Y19" s="27">
        <f t="shared" ca="1" si="8"/>
        <v>886</v>
      </c>
      <c r="AA19" s="35">
        <f t="shared" si="5"/>
        <v>18</v>
      </c>
      <c r="AB19" s="8">
        <f>+IF($AJ$1,AK19,TASTYOHLC!B19)</f>
        <v>8.01</v>
      </c>
      <c r="AC19" s="8">
        <f>+IF($AJ$1,AL19,TASTYOHLC!C19)</f>
        <v>8.01</v>
      </c>
      <c r="AD19" s="8">
        <f>+IF($AJ$1,AM19,TASTYOHLC!D19)</f>
        <v>8.01</v>
      </c>
      <c r="AE19" s="8">
        <f>+IF($AJ$1,AN19,TASTYOHLC!E19)</f>
        <v>8.01</v>
      </c>
      <c r="AF19" s="8"/>
      <c r="AJ19" s="37">
        <f t="shared" si="11"/>
        <v>45953</v>
      </c>
      <c r="AK19" s="52">
        <f t="shared" si="12"/>
        <v>8.01</v>
      </c>
      <c r="AL19" s="52">
        <f t="shared" si="10"/>
        <v>8.01</v>
      </c>
      <c r="AM19" s="52">
        <f t="shared" si="10"/>
        <v>8.01</v>
      </c>
      <c r="AN19" s="52">
        <f t="shared" si="10"/>
        <v>8.01</v>
      </c>
    </row>
    <row r="20" spans="1:40" s="19" customFormat="1" ht="11.1" customHeight="1" thickBot="1" x14ac:dyDescent="0.3">
      <c r="A20" s="23">
        <f t="shared" si="6"/>
        <v>12</v>
      </c>
      <c r="B20" s="14">
        <f>IF($A$2="PREMIUM_OI",IFERROR((100*RTD("tos.rtd",,"OPEN_INT","."&amp;B$2&amp;B$1&amp;"C"&amp;$A20)*RTD("tos.rtd",,"LAST","."&amp;B$2&amp;B$1&amp;"C"&amp;$A20)-100*RTD("tos.rtd",,"OPEN_INT","."&amp;B$2&amp;B$1&amp;"P"&amp;$A20)*RTD("tos.rtd",,"LAST","."&amp;B$2&amp;B$1&amp;"P"&amp;$A20))/1000000,0),IF($A$2="PREMIUM",IFERROR((100*RTD("tos.rtd",,"VOLUME","."&amp;B$2&amp;B$1&amp;"C"&amp;$A20)*RTD("tos.rtd",,"LAST","."&amp;B$2&amp;B$1&amp;"C"&amp;$A20)-100*RTD("tos.rtd",,"VOLUME","."&amp;B$2&amp;B$1&amp;"P"&amp;$A20)*RTD("tos.rtd",,"LAST","."&amp;B$2&amp;B$1&amp;"P"&amp;$A20))/1000000,0),IF($A$2="DEX",IFERROR((100*RTD("tos.rtd",,"OPEN_INT","."&amp;B$2&amp;B$1&amp;"C"&amp;$A20)*RTD("tos.rtd",,"DELTA","."&amp;B$2&amp;B$1&amp;"C"&amp;$A20)-100*RTD("tos.rtd",,"OPEN_INT","."&amp;B$2&amp;B$1&amp;"P"&amp;$A20)*RTD("tos.rtd",,"DELTA","."&amp;B$2&amp;B$1&amp;"P"&amp;$A20))/1000,0),IF($A$2="VEX",IFERROR(($A$4*$A$4*RTD("tos.rtd",,"VOLUME","."&amp;B$2&amp;B$1&amp;"C"&amp;$A20)*RTD("tos.rtd",,"GAMMA","."&amp;B$2&amp;B$1&amp;"C"&amp;$A20)-$A$4*$A$4*RTD("tos.rtd",,"VOLUME","."&amp;B$2&amp;B$1&amp;"P"&amp;$A20)*RTD("tos.rtd",,"GAMMA","."&amp;B$2&amp;B$1&amp;"P"&amp;$A20))/1000000,0),IF($A$2="GEX",IFERROR(($A$4*$A$4*RTD("tos.rtd",,"OPEN_INT","."&amp;B$2&amp;B$1&amp;"C"&amp;$A20)*RTD("tos.rtd",,"GAMMA","."&amp;B$2&amp;B$1&amp;"C"&amp;$A20)-$A$4*$A$4*RTD("tos.rtd",,"OPEN_INT","."&amp;B$2&amp;B$1&amp;"P"&amp;$A20)*RTD("tos.rtd",,"GAMMA","."&amp;B$2&amp;B$1&amp;"P"&amp;$A20))/1000000,0),IF($A$2="SKEW",IFERROR(VALUE(IF(RTD("tos.rtd",,"IMPL_VOL","."&amp;B$2&amp;B$1&amp;"P"&amp;$A20)="N/A",0,RTD("tos.rtd",,"IMPL_VOL","."&amp;B$2&amp;B$1&amp;"P"&amp;$A20))),0)-IFERROR(VALUE(IF(RTD("tos.rtd",,"IMPL_VOL","."&amp;B$2&amp;B$1&amp;"C"&amp;$A20)="N/A",0,RTD("tos.rtd",,"IMPL_VOL","."&amp;B$2&amp;B$1&amp;"C"&amp;$A20))),0),IF($A$2="MAXPAIN",IF($A$4&gt;$A20,($A$4-$A20)*IF(RTD("tos.rtd",,"OPEN_INT","."&amp;B$2&amp;B$1&amp;"C"&amp;$A20)="N/A",0,RTD("tos.rtd",,"OPEN_INT","."&amp;B$2&amp;B$1&amp;"C"&amp;$A20)),0)+IF($A$4&lt;$A20,($A20-$A$4)*IF(RTD("tos.rtd",,"OPEN_INT","."&amp;B$2&amp;B$1&amp;"P"&amp;$A20)="N/A",0,RTD("tos.rtd",,"OPEN_INT","."&amp;B$2&amp;B$1&amp;"P"&amp;$A20)),0),IF(RTD("tos.rtd",,$A$2,"."&amp;B$2&amp;B$1&amp;"C"&amp;$A20)="N/A",0,RTD("tos.rtd",,$A$2,"."&amp;B$2&amp;B$1&amp;"C"&amp;$A20))-IF(RTD("tos.rtd",,$A$2,"."&amp;B$2&amp;B$1&amp;"P"&amp;$A20)="N/A",0,RTD("tos.rtd",,$A$2,"."&amp;B$2&amp;B$1&amp;"P"&amp;$A20)))))))))</f>
        <v>0</v>
      </c>
      <c r="C20" s="12">
        <f>IF($A$2="PREMIUM_OI",IFERROR((100*RTD("tos.rtd",,"OPEN_INT","."&amp;C$2&amp;C$1&amp;"C"&amp;$A20)*RTD("tos.rtd",,"LAST","."&amp;C$2&amp;C$1&amp;"C"&amp;$A20)-100*RTD("tos.rtd",,"OPEN_INT","."&amp;C$2&amp;C$1&amp;"P"&amp;$A20)*RTD("tos.rtd",,"LAST","."&amp;C$2&amp;C$1&amp;"P"&amp;$A20))/1000000,0),IF($A$2="PREMIUM",IFERROR((100*RTD("tos.rtd",,"VOLUME","."&amp;C$2&amp;C$1&amp;"C"&amp;$A20)*RTD("tos.rtd",,"LAST","."&amp;C$2&amp;C$1&amp;"C"&amp;$A20)-100*RTD("tos.rtd",,"VOLUME","."&amp;C$2&amp;C$1&amp;"P"&amp;$A20)*RTD("tos.rtd",,"LAST","."&amp;C$2&amp;C$1&amp;"P"&amp;$A20))/1000000,0),IF($A$2="DEX",IFERROR((100*RTD("tos.rtd",,"OPEN_INT","."&amp;C$2&amp;C$1&amp;"C"&amp;$A20)*RTD("tos.rtd",,"DELTA","."&amp;C$2&amp;C$1&amp;"C"&amp;$A20)-100*RTD("tos.rtd",,"OPEN_INT","."&amp;C$2&amp;C$1&amp;"P"&amp;$A20)*RTD("tos.rtd",,"DELTA","."&amp;C$2&amp;C$1&amp;"P"&amp;$A20))/1000,0),IF($A$2="VEX",IFERROR(($A$4*$A$4*RTD("tos.rtd",,"VOLUME","."&amp;C$2&amp;C$1&amp;"C"&amp;$A20)*RTD("tos.rtd",,"GAMMA","."&amp;C$2&amp;C$1&amp;"C"&amp;$A20)-$A$4*$A$4*RTD("tos.rtd",,"VOLUME","."&amp;C$2&amp;C$1&amp;"P"&amp;$A20)*RTD("tos.rtd",,"GAMMA","."&amp;C$2&amp;C$1&amp;"P"&amp;$A20))/1000000,0),IF($A$2="GEX",IFERROR(($A$4*$A$4*RTD("tos.rtd",,"OPEN_INT","."&amp;C$2&amp;C$1&amp;"C"&amp;$A20)*RTD("tos.rtd",,"GAMMA","."&amp;C$2&amp;C$1&amp;"C"&amp;$A20)-$A$4*$A$4*RTD("tos.rtd",,"OPEN_INT","."&amp;C$2&amp;C$1&amp;"P"&amp;$A20)*RTD("tos.rtd",,"GAMMA","."&amp;C$2&amp;C$1&amp;"P"&amp;$A20))/1000000,0),IF($A$2="SKEW",IFERROR(VALUE(IF(RTD("tos.rtd",,"IMPL_VOL","."&amp;C$2&amp;C$1&amp;"P"&amp;$A20)="N/A",0,RTD("tos.rtd",,"IMPL_VOL","."&amp;C$2&amp;C$1&amp;"P"&amp;$A20))),0)-IFERROR(VALUE(IF(RTD("tos.rtd",,"IMPL_VOL","."&amp;C$2&amp;C$1&amp;"C"&amp;$A20)="N/A",0,RTD("tos.rtd",,"IMPL_VOL","."&amp;C$2&amp;C$1&amp;"C"&amp;$A20))),0),IF($A$2="MAXPAIN",IF($A$4&gt;$A20,($A$4-$A20)*IF(RTD("tos.rtd",,"OPEN_INT","."&amp;C$2&amp;C$1&amp;"C"&amp;$A20)="N/A",0,RTD("tos.rtd",,"OPEN_INT","."&amp;C$2&amp;C$1&amp;"C"&amp;$A20)),0)+IF($A$4&lt;$A20,($A20-$A$4)*IF(RTD("tos.rtd",,"OPEN_INT","."&amp;C$2&amp;C$1&amp;"P"&amp;$A20)="N/A",0,RTD("tos.rtd",,"OPEN_INT","."&amp;C$2&amp;C$1&amp;"P"&amp;$A20)),0),IF(RTD("tos.rtd",,$A$2,"."&amp;C$2&amp;C$1&amp;"C"&amp;$A20)="N/A",0,RTD("tos.rtd",,$A$2,"."&amp;C$2&amp;C$1&amp;"C"&amp;$A20))-IF(RTD("tos.rtd",,$A$2,"."&amp;C$2&amp;C$1&amp;"P"&amp;$A20)="N/A",0,RTD("tos.rtd",,$A$2,"."&amp;C$2&amp;C$1&amp;"P"&amp;$A20)))))))))</f>
        <v>12623</v>
      </c>
      <c r="D20" s="12">
        <f>IF($A$2="PREMIUM_OI",IFERROR((100*RTD("tos.rtd",,"OPEN_INT","."&amp;D$2&amp;D$1&amp;"C"&amp;$A20)*RTD("tos.rtd",,"LAST","."&amp;D$2&amp;D$1&amp;"C"&amp;$A20)-100*RTD("tos.rtd",,"OPEN_INT","."&amp;D$2&amp;D$1&amp;"P"&amp;$A20)*RTD("tos.rtd",,"LAST","."&amp;D$2&amp;D$1&amp;"P"&amp;$A20))/1000000,0),IF($A$2="PREMIUM",IFERROR((100*RTD("tos.rtd",,"VOLUME","."&amp;D$2&amp;D$1&amp;"C"&amp;$A20)*RTD("tos.rtd",,"LAST","."&amp;D$2&amp;D$1&amp;"C"&amp;$A20)-100*RTD("tos.rtd",,"VOLUME","."&amp;D$2&amp;D$1&amp;"P"&amp;$A20)*RTD("tos.rtd",,"LAST","."&amp;D$2&amp;D$1&amp;"P"&amp;$A20))/1000000,0),IF($A$2="DEX",IFERROR((100*RTD("tos.rtd",,"OPEN_INT","."&amp;D$2&amp;D$1&amp;"C"&amp;$A20)*RTD("tos.rtd",,"DELTA","."&amp;D$2&amp;D$1&amp;"C"&amp;$A20)-100*RTD("tos.rtd",,"OPEN_INT","."&amp;D$2&amp;D$1&amp;"P"&amp;$A20)*RTD("tos.rtd",,"DELTA","."&amp;D$2&amp;D$1&amp;"P"&amp;$A20))/1000,0),IF($A$2="VEX",IFERROR(($A$4*$A$4*RTD("tos.rtd",,"VOLUME","."&amp;D$2&amp;D$1&amp;"C"&amp;$A20)*RTD("tos.rtd",,"GAMMA","."&amp;D$2&amp;D$1&amp;"C"&amp;$A20)-$A$4*$A$4*RTD("tos.rtd",,"VOLUME","."&amp;D$2&amp;D$1&amp;"P"&amp;$A20)*RTD("tos.rtd",,"GAMMA","."&amp;D$2&amp;D$1&amp;"P"&amp;$A20))/1000000,0),IF($A$2="GEX",IFERROR(($A$4*$A$4*RTD("tos.rtd",,"OPEN_INT","."&amp;D$2&amp;D$1&amp;"C"&amp;$A20)*RTD("tos.rtd",,"GAMMA","."&amp;D$2&amp;D$1&amp;"C"&amp;$A20)-$A$4*$A$4*RTD("tos.rtd",,"OPEN_INT","."&amp;D$2&amp;D$1&amp;"P"&amp;$A20)*RTD("tos.rtd",,"GAMMA","."&amp;D$2&amp;D$1&amp;"P"&amp;$A20))/1000000,0),IF($A$2="SKEW",IFERROR(VALUE(IF(RTD("tos.rtd",,"IMPL_VOL","."&amp;D$2&amp;D$1&amp;"P"&amp;$A20)="N/A",0,RTD("tos.rtd",,"IMPL_VOL","."&amp;D$2&amp;D$1&amp;"P"&amp;$A20))),0)-IFERROR(VALUE(IF(RTD("tos.rtd",,"IMPL_VOL","."&amp;D$2&amp;D$1&amp;"C"&amp;$A20)="N/A",0,RTD("tos.rtd",,"IMPL_VOL","."&amp;D$2&amp;D$1&amp;"C"&amp;$A20))),0),IF($A$2="MAXPAIN",IF($A$4&gt;$A20,($A$4-$A20)*IF(RTD("tos.rtd",,"OPEN_INT","."&amp;D$2&amp;D$1&amp;"C"&amp;$A20)="N/A",0,RTD("tos.rtd",,"OPEN_INT","."&amp;D$2&amp;D$1&amp;"C"&amp;$A20)),0)+IF($A$4&lt;$A20,($A20-$A$4)*IF(RTD("tos.rtd",,"OPEN_INT","."&amp;D$2&amp;D$1&amp;"P"&amp;$A20)="N/A",0,RTD("tos.rtd",,"OPEN_INT","."&amp;D$2&amp;D$1&amp;"P"&amp;$A20)),0),IF(RTD("tos.rtd",,$A$2,"."&amp;D$2&amp;D$1&amp;"C"&amp;$A20)="N/A",0,RTD("tos.rtd",,$A$2,"."&amp;D$2&amp;D$1&amp;"C"&amp;$A20))-IF(RTD("tos.rtd",,$A$2,"."&amp;D$2&amp;D$1&amp;"P"&amp;$A20)="N/A",0,RTD("tos.rtd",,$A$2,"."&amp;D$2&amp;D$1&amp;"P"&amp;$A20)))))))))</f>
        <v>0</v>
      </c>
      <c r="E20" s="12">
        <f>IF($A$2="PREMIUM_OI",IFERROR((100*RTD("tos.rtd",,"OPEN_INT","."&amp;E$2&amp;E$1&amp;"C"&amp;$A20)*RTD("tos.rtd",,"LAST","."&amp;E$2&amp;E$1&amp;"C"&amp;$A20)-100*RTD("tos.rtd",,"OPEN_INT","."&amp;E$2&amp;E$1&amp;"P"&amp;$A20)*RTD("tos.rtd",,"LAST","."&amp;E$2&amp;E$1&amp;"P"&amp;$A20))/1000000,0),IF($A$2="PREMIUM",IFERROR((100*RTD("tos.rtd",,"VOLUME","."&amp;E$2&amp;E$1&amp;"C"&amp;$A20)*RTD("tos.rtd",,"LAST","."&amp;E$2&amp;E$1&amp;"C"&amp;$A20)-100*RTD("tos.rtd",,"VOLUME","."&amp;E$2&amp;E$1&amp;"P"&amp;$A20)*RTD("tos.rtd",,"LAST","."&amp;E$2&amp;E$1&amp;"P"&amp;$A20))/1000000,0),IF($A$2="DEX",IFERROR((100*RTD("tos.rtd",,"OPEN_INT","."&amp;E$2&amp;E$1&amp;"C"&amp;$A20)*RTD("tos.rtd",,"DELTA","."&amp;E$2&amp;E$1&amp;"C"&amp;$A20)-100*RTD("tos.rtd",,"OPEN_INT","."&amp;E$2&amp;E$1&amp;"P"&amp;$A20)*RTD("tos.rtd",,"DELTA","."&amp;E$2&amp;E$1&amp;"P"&amp;$A20))/1000,0),IF($A$2="VEX",IFERROR(($A$4*$A$4*RTD("tos.rtd",,"VOLUME","."&amp;E$2&amp;E$1&amp;"C"&amp;$A20)*RTD("tos.rtd",,"GAMMA","."&amp;E$2&amp;E$1&amp;"C"&amp;$A20)-$A$4*$A$4*RTD("tos.rtd",,"VOLUME","."&amp;E$2&amp;E$1&amp;"P"&amp;$A20)*RTD("tos.rtd",,"GAMMA","."&amp;E$2&amp;E$1&amp;"P"&amp;$A20))/1000000,0),IF($A$2="GEX",IFERROR(($A$4*$A$4*RTD("tos.rtd",,"OPEN_INT","."&amp;E$2&amp;E$1&amp;"C"&amp;$A20)*RTD("tos.rtd",,"GAMMA","."&amp;E$2&amp;E$1&amp;"C"&amp;$A20)-$A$4*$A$4*RTD("tos.rtd",,"OPEN_INT","."&amp;E$2&amp;E$1&amp;"P"&amp;$A20)*RTD("tos.rtd",,"GAMMA","."&amp;E$2&amp;E$1&amp;"P"&amp;$A20))/1000000,0),IF($A$2="SKEW",IFERROR(VALUE(IF(RTD("tos.rtd",,"IMPL_VOL","."&amp;E$2&amp;E$1&amp;"P"&amp;$A20)="N/A",0,RTD("tos.rtd",,"IMPL_VOL","."&amp;E$2&amp;E$1&amp;"P"&amp;$A20))),0)-IFERROR(VALUE(IF(RTD("tos.rtd",,"IMPL_VOL","."&amp;E$2&amp;E$1&amp;"C"&amp;$A20)="N/A",0,RTD("tos.rtd",,"IMPL_VOL","."&amp;E$2&amp;E$1&amp;"C"&amp;$A20))),0),IF($A$2="MAXPAIN",IF($A$4&gt;$A20,($A$4-$A20)*IF(RTD("tos.rtd",,"OPEN_INT","."&amp;E$2&amp;E$1&amp;"C"&amp;$A20)="N/A",0,RTD("tos.rtd",,"OPEN_INT","."&amp;E$2&amp;E$1&amp;"C"&amp;$A20)),0)+IF($A$4&lt;$A20,($A20-$A$4)*IF(RTD("tos.rtd",,"OPEN_INT","."&amp;E$2&amp;E$1&amp;"P"&amp;$A20)="N/A",0,RTD("tos.rtd",,"OPEN_INT","."&amp;E$2&amp;E$1&amp;"P"&amp;$A20)),0),IF(RTD("tos.rtd",,$A$2,"."&amp;E$2&amp;E$1&amp;"C"&amp;$A20)="N/A",0,RTD("tos.rtd",,$A$2,"."&amp;E$2&amp;E$1&amp;"C"&amp;$A20))-IF(RTD("tos.rtd",,$A$2,"."&amp;E$2&amp;E$1&amp;"P"&amp;$A20)="N/A",0,RTD("tos.rtd",,$A$2,"."&amp;E$2&amp;E$1&amp;"P"&amp;$A20)))))))))</f>
        <v>0</v>
      </c>
      <c r="F20" s="12">
        <f>IF($A$2="PREMIUM_OI",IFERROR((100*RTD("tos.rtd",,"OPEN_INT","."&amp;F$2&amp;F$1&amp;"C"&amp;$A20)*RTD("tos.rtd",,"LAST","."&amp;F$2&amp;F$1&amp;"C"&amp;$A20)-100*RTD("tos.rtd",,"OPEN_INT","."&amp;F$2&amp;F$1&amp;"P"&amp;$A20)*RTD("tos.rtd",,"LAST","."&amp;F$2&amp;F$1&amp;"P"&amp;$A20))/1000000,0),IF($A$2="PREMIUM",IFERROR((100*RTD("tos.rtd",,"VOLUME","."&amp;F$2&amp;F$1&amp;"C"&amp;$A20)*RTD("tos.rtd",,"LAST","."&amp;F$2&amp;F$1&amp;"C"&amp;$A20)-100*RTD("tos.rtd",,"VOLUME","."&amp;F$2&amp;F$1&amp;"P"&amp;$A20)*RTD("tos.rtd",,"LAST","."&amp;F$2&amp;F$1&amp;"P"&amp;$A20))/1000000,0),IF($A$2="DEX",IFERROR((100*RTD("tos.rtd",,"OPEN_INT","."&amp;F$2&amp;F$1&amp;"C"&amp;$A20)*RTD("tos.rtd",,"DELTA","."&amp;F$2&amp;F$1&amp;"C"&amp;$A20)-100*RTD("tos.rtd",,"OPEN_INT","."&amp;F$2&amp;F$1&amp;"P"&amp;$A20)*RTD("tos.rtd",,"DELTA","."&amp;F$2&amp;F$1&amp;"P"&amp;$A20))/1000,0),IF($A$2="VEX",IFERROR(($A$4*$A$4*RTD("tos.rtd",,"VOLUME","."&amp;F$2&amp;F$1&amp;"C"&amp;$A20)*RTD("tos.rtd",,"GAMMA","."&amp;F$2&amp;F$1&amp;"C"&amp;$A20)-$A$4*$A$4*RTD("tos.rtd",,"VOLUME","."&amp;F$2&amp;F$1&amp;"P"&amp;$A20)*RTD("tos.rtd",,"GAMMA","."&amp;F$2&amp;F$1&amp;"P"&amp;$A20))/1000000,0),IF($A$2="GEX",IFERROR(($A$4*$A$4*RTD("tos.rtd",,"OPEN_INT","."&amp;F$2&amp;F$1&amp;"C"&amp;$A20)*RTD("tos.rtd",,"GAMMA","."&amp;F$2&amp;F$1&amp;"C"&amp;$A20)-$A$4*$A$4*RTD("tos.rtd",,"OPEN_INT","."&amp;F$2&amp;F$1&amp;"P"&amp;$A20)*RTD("tos.rtd",,"GAMMA","."&amp;F$2&amp;F$1&amp;"P"&amp;$A20))/1000000,0),IF($A$2="SKEW",IFERROR(VALUE(IF(RTD("tos.rtd",,"IMPL_VOL","."&amp;F$2&amp;F$1&amp;"P"&amp;$A20)="N/A",0,RTD("tos.rtd",,"IMPL_VOL","."&amp;F$2&amp;F$1&amp;"P"&amp;$A20))),0)-IFERROR(VALUE(IF(RTD("tos.rtd",,"IMPL_VOL","."&amp;F$2&amp;F$1&amp;"C"&amp;$A20)="N/A",0,RTD("tos.rtd",,"IMPL_VOL","."&amp;F$2&amp;F$1&amp;"C"&amp;$A20))),0),IF($A$2="MAXPAIN",IF($A$4&gt;$A20,($A$4-$A20)*IF(RTD("tos.rtd",,"OPEN_INT","."&amp;F$2&amp;F$1&amp;"C"&amp;$A20)="N/A",0,RTD("tos.rtd",,"OPEN_INT","."&amp;F$2&amp;F$1&amp;"C"&amp;$A20)),0)+IF($A$4&lt;$A20,($A20-$A$4)*IF(RTD("tos.rtd",,"OPEN_INT","."&amp;F$2&amp;F$1&amp;"P"&amp;$A20)="N/A",0,RTD("tos.rtd",,"OPEN_INT","."&amp;F$2&amp;F$1&amp;"P"&amp;$A20)),0),IF(RTD("tos.rtd",,$A$2,"."&amp;F$2&amp;F$1&amp;"C"&amp;$A20)="N/A",0,RTD("tos.rtd",,$A$2,"."&amp;F$2&amp;F$1&amp;"C"&amp;$A20))-IF(RTD("tos.rtd",,$A$2,"."&amp;F$2&amp;F$1&amp;"P"&amp;$A20)="N/A",0,RTD("tos.rtd",,$A$2,"."&amp;F$2&amp;F$1&amp;"P"&amp;$A20)))))))))</f>
        <v>0</v>
      </c>
      <c r="G20" s="14">
        <f>IF($A$2="PREMIUM_OI",IFERROR((100*RTD("tos.rtd",,"OPEN_INT","."&amp;G$2&amp;G$1&amp;"C"&amp;$A20)*RTD("tos.rtd",,"LAST","."&amp;G$2&amp;G$1&amp;"C"&amp;$A20)-100*RTD("tos.rtd",,"OPEN_INT","."&amp;G$2&amp;G$1&amp;"P"&amp;$A20)*RTD("tos.rtd",,"LAST","."&amp;G$2&amp;G$1&amp;"P"&amp;$A20))/1000000,0),IF($A$2="PREMIUM",IFERROR((100*RTD("tos.rtd",,"VOLUME","."&amp;G$2&amp;G$1&amp;"C"&amp;$A20)*RTD("tos.rtd",,"LAST","."&amp;G$2&amp;G$1&amp;"C"&amp;$A20)-100*RTD("tos.rtd",,"VOLUME","."&amp;G$2&amp;G$1&amp;"P"&amp;$A20)*RTD("tos.rtd",,"LAST","."&amp;G$2&amp;G$1&amp;"P"&amp;$A20))/1000000,0),IF($A$2="DEX",IFERROR((100*RTD("tos.rtd",,"OPEN_INT","."&amp;G$2&amp;G$1&amp;"C"&amp;$A20)*RTD("tos.rtd",,"DELTA","."&amp;G$2&amp;G$1&amp;"C"&amp;$A20)-100*RTD("tos.rtd",,"OPEN_INT","."&amp;G$2&amp;G$1&amp;"P"&amp;$A20)*RTD("tos.rtd",,"DELTA","."&amp;G$2&amp;G$1&amp;"P"&amp;$A20))/1000,0),IF($A$2="VEX",IFERROR(($A$4*$A$4*RTD("tos.rtd",,"VOLUME","."&amp;G$2&amp;G$1&amp;"C"&amp;$A20)*RTD("tos.rtd",,"GAMMA","."&amp;G$2&amp;G$1&amp;"C"&amp;$A20)-$A$4*$A$4*RTD("tos.rtd",,"VOLUME","."&amp;G$2&amp;G$1&amp;"P"&amp;$A20)*RTD("tos.rtd",,"GAMMA","."&amp;G$2&amp;G$1&amp;"P"&amp;$A20))/1000000,0),IF($A$2="GEX",IFERROR(($A$4*$A$4*RTD("tos.rtd",,"OPEN_INT","."&amp;G$2&amp;G$1&amp;"C"&amp;$A20)*RTD("tos.rtd",,"GAMMA","."&amp;G$2&amp;G$1&amp;"C"&amp;$A20)-$A$4*$A$4*RTD("tos.rtd",,"OPEN_INT","."&amp;G$2&amp;G$1&amp;"P"&amp;$A20)*RTD("tos.rtd",,"GAMMA","."&amp;G$2&amp;G$1&amp;"P"&amp;$A20))/1000000,0),IF($A$2="SKEW",IFERROR(VALUE(IF(RTD("tos.rtd",,"IMPL_VOL","."&amp;G$2&amp;G$1&amp;"P"&amp;$A20)="N/A",0,RTD("tos.rtd",,"IMPL_VOL","."&amp;G$2&amp;G$1&amp;"P"&amp;$A20))),0)-IFERROR(VALUE(IF(RTD("tos.rtd",,"IMPL_VOL","."&amp;G$2&amp;G$1&amp;"C"&amp;$A20)="N/A",0,RTD("tos.rtd",,"IMPL_VOL","."&amp;G$2&amp;G$1&amp;"C"&amp;$A20))),0),IF($A$2="MAXPAIN",IF($A$4&gt;$A20,($A$4-$A20)*IF(RTD("tos.rtd",,"OPEN_INT","."&amp;G$2&amp;G$1&amp;"C"&amp;$A20)="N/A",0,RTD("tos.rtd",,"OPEN_INT","."&amp;G$2&amp;G$1&amp;"C"&amp;$A20)),0)+IF($A$4&lt;$A20,($A20-$A$4)*IF(RTD("tos.rtd",,"OPEN_INT","."&amp;G$2&amp;G$1&amp;"P"&amp;$A20)="N/A",0,RTD("tos.rtd",,"OPEN_INT","."&amp;G$2&amp;G$1&amp;"P"&amp;$A20)),0),IF(RTD("tos.rtd",,$A$2,"."&amp;G$2&amp;G$1&amp;"C"&amp;$A20)="N/A",0,RTD("tos.rtd",,$A$2,"."&amp;G$2&amp;G$1&amp;"C"&amp;$A20))-IF(RTD("tos.rtd",,$A$2,"."&amp;G$2&amp;G$1&amp;"P"&amp;$A20)="N/A",0,RTD("tos.rtd",,$A$2,"."&amp;G$2&amp;G$1&amp;"P"&amp;$A20)))))))))</f>
        <v>0</v>
      </c>
      <c r="H20" s="12">
        <f>IF($A$2="PREMIUM_OI",IFERROR((100*RTD("tos.rtd",,"OPEN_INT","."&amp;H$2&amp;H$1&amp;"C"&amp;$A20)*RTD("tos.rtd",,"LAST","."&amp;H$2&amp;H$1&amp;"C"&amp;$A20)-100*RTD("tos.rtd",,"OPEN_INT","."&amp;H$2&amp;H$1&amp;"P"&amp;$A20)*RTD("tos.rtd",,"LAST","."&amp;H$2&amp;H$1&amp;"P"&amp;$A20))/1000000,0),IF($A$2="PREMIUM",IFERROR((100*RTD("tos.rtd",,"VOLUME","."&amp;H$2&amp;H$1&amp;"C"&amp;$A20)*RTD("tos.rtd",,"LAST","."&amp;H$2&amp;H$1&amp;"C"&amp;$A20)-100*RTD("tos.rtd",,"VOLUME","."&amp;H$2&amp;H$1&amp;"P"&amp;$A20)*RTD("tos.rtd",,"LAST","."&amp;H$2&amp;H$1&amp;"P"&amp;$A20))/1000000,0),IF($A$2="DEX",IFERROR((100*RTD("tos.rtd",,"OPEN_INT","."&amp;H$2&amp;H$1&amp;"C"&amp;$A20)*RTD("tos.rtd",,"DELTA","."&amp;H$2&amp;H$1&amp;"C"&amp;$A20)-100*RTD("tos.rtd",,"OPEN_INT","."&amp;H$2&amp;H$1&amp;"P"&amp;$A20)*RTD("tos.rtd",,"DELTA","."&amp;H$2&amp;H$1&amp;"P"&amp;$A20))/1000,0),IF($A$2="VEX",IFERROR(($A$4*$A$4*RTD("tos.rtd",,"VOLUME","."&amp;H$2&amp;H$1&amp;"C"&amp;$A20)*RTD("tos.rtd",,"GAMMA","."&amp;H$2&amp;H$1&amp;"C"&amp;$A20)-$A$4*$A$4*RTD("tos.rtd",,"VOLUME","."&amp;H$2&amp;H$1&amp;"P"&amp;$A20)*RTD("tos.rtd",,"GAMMA","."&amp;H$2&amp;H$1&amp;"P"&amp;$A20))/1000000,0),IF($A$2="GEX",IFERROR(($A$4*$A$4*RTD("tos.rtd",,"OPEN_INT","."&amp;H$2&amp;H$1&amp;"C"&amp;$A20)*RTD("tos.rtd",,"GAMMA","."&amp;H$2&amp;H$1&amp;"C"&amp;$A20)-$A$4*$A$4*RTD("tos.rtd",,"OPEN_INT","."&amp;H$2&amp;H$1&amp;"P"&amp;$A20)*RTD("tos.rtd",,"GAMMA","."&amp;H$2&amp;H$1&amp;"P"&amp;$A20))/1000000,0),IF($A$2="SKEW",IFERROR(VALUE(IF(RTD("tos.rtd",,"IMPL_VOL","."&amp;H$2&amp;H$1&amp;"P"&amp;$A20)="N/A",0,RTD("tos.rtd",,"IMPL_VOL","."&amp;H$2&amp;H$1&amp;"P"&amp;$A20))),0)-IFERROR(VALUE(IF(RTD("tos.rtd",,"IMPL_VOL","."&amp;H$2&amp;H$1&amp;"C"&amp;$A20)="N/A",0,RTD("tos.rtd",,"IMPL_VOL","."&amp;H$2&amp;H$1&amp;"C"&amp;$A20))),0),IF($A$2="MAXPAIN",IF($A$4&gt;$A20,($A$4-$A20)*IF(RTD("tos.rtd",,"OPEN_INT","."&amp;H$2&amp;H$1&amp;"C"&amp;$A20)="N/A",0,RTD("tos.rtd",,"OPEN_INT","."&amp;H$2&amp;H$1&amp;"C"&amp;$A20)),0)+IF($A$4&lt;$A20,($A20-$A$4)*IF(RTD("tos.rtd",,"OPEN_INT","."&amp;H$2&amp;H$1&amp;"P"&amp;$A20)="N/A",0,RTD("tos.rtd",,"OPEN_INT","."&amp;H$2&amp;H$1&amp;"P"&amp;$A20)),0),IF(RTD("tos.rtd",,$A$2,"."&amp;H$2&amp;H$1&amp;"C"&amp;$A20)="N/A",0,RTD("tos.rtd",,$A$2,"."&amp;H$2&amp;H$1&amp;"C"&amp;$A20))-IF(RTD("tos.rtd",,$A$2,"."&amp;H$2&amp;H$1&amp;"P"&amp;$A20)="N/A",0,RTD("tos.rtd",,$A$2,"."&amp;H$2&amp;H$1&amp;"P"&amp;$A20)))))))))</f>
        <v>16838</v>
      </c>
      <c r="I20" s="12">
        <f>IF($A$2="PREMIUM_OI",IFERROR((100*RTD("tos.rtd",,"OPEN_INT","."&amp;I$2&amp;I$1&amp;"C"&amp;$A20)*RTD("tos.rtd",,"LAST","."&amp;I$2&amp;I$1&amp;"C"&amp;$A20)-100*RTD("tos.rtd",,"OPEN_INT","."&amp;I$2&amp;I$1&amp;"P"&amp;$A20)*RTD("tos.rtd",,"LAST","."&amp;I$2&amp;I$1&amp;"P"&amp;$A20))/1000000,0),IF($A$2="PREMIUM",IFERROR((100*RTD("tos.rtd",,"VOLUME","."&amp;I$2&amp;I$1&amp;"C"&amp;$A20)*RTD("tos.rtd",,"LAST","."&amp;I$2&amp;I$1&amp;"C"&amp;$A20)-100*RTD("tos.rtd",,"VOLUME","."&amp;I$2&amp;I$1&amp;"P"&amp;$A20)*RTD("tos.rtd",,"LAST","."&amp;I$2&amp;I$1&amp;"P"&amp;$A20))/1000000,0),IF($A$2="DEX",IFERROR((100*RTD("tos.rtd",,"OPEN_INT","."&amp;I$2&amp;I$1&amp;"C"&amp;$A20)*RTD("tos.rtd",,"DELTA","."&amp;I$2&amp;I$1&amp;"C"&amp;$A20)-100*RTD("tos.rtd",,"OPEN_INT","."&amp;I$2&amp;I$1&amp;"P"&amp;$A20)*RTD("tos.rtd",,"DELTA","."&amp;I$2&amp;I$1&amp;"P"&amp;$A20))/1000,0),IF($A$2="VEX",IFERROR(($A$4*$A$4*RTD("tos.rtd",,"VOLUME","."&amp;I$2&amp;I$1&amp;"C"&amp;$A20)*RTD("tos.rtd",,"GAMMA","."&amp;I$2&amp;I$1&amp;"C"&amp;$A20)-$A$4*$A$4*RTD("tos.rtd",,"VOLUME","."&amp;I$2&amp;I$1&amp;"P"&amp;$A20)*RTD("tos.rtd",,"GAMMA","."&amp;I$2&amp;I$1&amp;"P"&amp;$A20))/1000000,0),IF($A$2="GEX",IFERROR(($A$4*$A$4*RTD("tos.rtd",,"OPEN_INT","."&amp;I$2&amp;I$1&amp;"C"&amp;$A20)*RTD("tos.rtd",,"GAMMA","."&amp;I$2&amp;I$1&amp;"C"&amp;$A20)-$A$4*$A$4*RTD("tos.rtd",,"OPEN_INT","."&amp;I$2&amp;I$1&amp;"P"&amp;$A20)*RTD("tos.rtd",,"GAMMA","."&amp;I$2&amp;I$1&amp;"P"&amp;$A20))/1000000,0),IF($A$2="SKEW",IFERROR(VALUE(IF(RTD("tos.rtd",,"IMPL_VOL","."&amp;I$2&amp;I$1&amp;"P"&amp;$A20)="N/A",0,RTD("tos.rtd",,"IMPL_VOL","."&amp;I$2&amp;I$1&amp;"P"&amp;$A20))),0)-IFERROR(VALUE(IF(RTD("tos.rtd",,"IMPL_VOL","."&amp;I$2&amp;I$1&amp;"C"&amp;$A20)="N/A",0,RTD("tos.rtd",,"IMPL_VOL","."&amp;I$2&amp;I$1&amp;"C"&amp;$A20))),0),IF($A$2="MAXPAIN",IF($A$4&gt;$A20,($A$4-$A20)*IF(RTD("tos.rtd",,"OPEN_INT","."&amp;I$2&amp;I$1&amp;"C"&amp;$A20)="N/A",0,RTD("tos.rtd",,"OPEN_INT","."&amp;I$2&amp;I$1&amp;"C"&amp;$A20)),0)+IF($A$4&lt;$A20,($A20-$A$4)*IF(RTD("tos.rtd",,"OPEN_INT","."&amp;I$2&amp;I$1&amp;"P"&amp;$A20)="N/A",0,RTD("tos.rtd",,"OPEN_INT","."&amp;I$2&amp;I$1&amp;"P"&amp;$A20)),0),IF(RTD("tos.rtd",,$A$2,"."&amp;I$2&amp;I$1&amp;"C"&amp;$A20)="N/A",0,RTD("tos.rtd",,$A$2,"."&amp;I$2&amp;I$1&amp;"C"&amp;$A20))-IF(RTD("tos.rtd",,$A$2,"."&amp;I$2&amp;I$1&amp;"P"&amp;$A20)="N/A",0,RTD("tos.rtd",,$A$2,"."&amp;I$2&amp;I$1&amp;"P"&amp;$A20)))))))))</f>
        <v>0</v>
      </c>
      <c r="J20" s="12">
        <f>IF($A$2="PREMIUM_OI",IFERROR((100*RTD("tos.rtd",,"OPEN_INT","."&amp;J$2&amp;J$1&amp;"C"&amp;$A20)*RTD("tos.rtd",,"LAST","."&amp;J$2&amp;J$1&amp;"C"&amp;$A20)-100*RTD("tos.rtd",,"OPEN_INT","."&amp;J$2&amp;J$1&amp;"P"&amp;$A20)*RTD("tos.rtd",,"LAST","."&amp;J$2&amp;J$1&amp;"P"&amp;$A20))/1000000,0),IF($A$2="PREMIUM",IFERROR((100*RTD("tos.rtd",,"VOLUME","."&amp;J$2&amp;J$1&amp;"C"&amp;$A20)*RTD("tos.rtd",,"LAST","."&amp;J$2&amp;J$1&amp;"C"&amp;$A20)-100*RTD("tos.rtd",,"VOLUME","."&amp;J$2&amp;J$1&amp;"P"&amp;$A20)*RTD("tos.rtd",,"LAST","."&amp;J$2&amp;J$1&amp;"P"&amp;$A20))/1000000,0),IF($A$2="DEX",IFERROR((100*RTD("tos.rtd",,"OPEN_INT","."&amp;J$2&amp;J$1&amp;"C"&amp;$A20)*RTD("tos.rtd",,"DELTA","."&amp;J$2&amp;J$1&amp;"C"&amp;$A20)-100*RTD("tos.rtd",,"OPEN_INT","."&amp;J$2&amp;J$1&amp;"P"&amp;$A20)*RTD("tos.rtd",,"DELTA","."&amp;J$2&amp;J$1&amp;"P"&amp;$A20))/1000,0),IF($A$2="VEX",IFERROR(($A$4*$A$4*RTD("tos.rtd",,"VOLUME","."&amp;J$2&amp;J$1&amp;"C"&amp;$A20)*RTD("tos.rtd",,"GAMMA","."&amp;J$2&amp;J$1&amp;"C"&amp;$A20)-$A$4*$A$4*RTD("tos.rtd",,"VOLUME","."&amp;J$2&amp;J$1&amp;"P"&amp;$A20)*RTD("tos.rtd",,"GAMMA","."&amp;J$2&amp;J$1&amp;"P"&amp;$A20))/1000000,0),IF($A$2="GEX",IFERROR(($A$4*$A$4*RTD("tos.rtd",,"OPEN_INT","."&amp;J$2&amp;J$1&amp;"C"&amp;$A20)*RTD("tos.rtd",,"GAMMA","."&amp;J$2&amp;J$1&amp;"C"&amp;$A20)-$A$4*$A$4*RTD("tos.rtd",,"OPEN_INT","."&amp;J$2&amp;J$1&amp;"P"&amp;$A20)*RTD("tos.rtd",,"GAMMA","."&amp;J$2&amp;J$1&amp;"P"&amp;$A20))/1000000,0),IF($A$2="SKEW",IFERROR(VALUE(IF(RTD("tos.rtd",,"IMPL_VOL","."&amp;J$2&amp;J$1&amp;"P"&amp;$A20)="N/A",0,RTD("tos.rtd",,"IMPL_VOL","."&amp;J$2&amp;J$1&amp;"P"&amp;$A20))),0)-IFERROR(VALUE(IF(RTD("tos.rtd",,"IMPL_VOL","."&amp;J$2&amp;J$1&amp;"C"&amp;$A20)="N/A",0,RTD("tos.rtd",,"IMPL_VOL","."&amp;J$2&amp;J$1&amp;"C"&amp;$A20))),0),IF($A$2="MAXPAIN",IF($A$4&gt;$A20,($A$4-$A20)*IF(RTD("tos.rtd",,"OPEN_INT","."&amp;J$2&amp;J$1&amp;"C"&amp;$A20)="N/A",0,RTD("tos.rtd",,"OPEN_INT","."&amp;J$2&amp;J$1&amp;"C"&amp;$A20)),0)+IF($A$4&lt;$A20,($A20-$A$4)*IF(RTD("tos.rtd",,"OPEN_INT","."&amp;J$2&amp;J$1&amp;"P"&amp;$A20)="N/A",0,RTD("tos.rtd",,"OPEN_INT","."&amp;J$2&amp;J$1&amp;"P"&amp;$A20)),0),IF(RTD("tos.rtd",,$A$2,"."&amp;J$2&amp;J$1&amp;"C"&amp;$A20)="N/A",0,RTD("tos.rtd",,$A$2,"."&amp;J$2&amp;J$1&amp;"C"&amp;$A20))-IF(RTD("tos.rtd",,$A$2,"."&amp;J$2&amp;J$1&amp;"P"&amp;$A20)="N/A",0,RTD("tos.rtd",,$A$2,"."&amp;J$2&amp;J$1&amp;"P"&amp;$A20)))))))))</f>
        <v>0</v>
      </c>
      <c r="K20" s="12">
        <f>IF($A$2="PREMIUM_OI",IFERROR((100*RTD("tos.rtd",,"OPEN_INT","."&amp;K$2&amp;K$1&amp;"C"&amp;$A20)*RTD("tos.rtd",,"LAST","."&amp;K$2&amp;K$1&amp;"C"&amp;$A20)-100*RTD("tos.rtd",,"OPEN_INT","."&amp;K$2&amp;K$1&amp;"P"&amp;$A20)*RTD("tos.rtd",,"LAST","."&amp;K$2&amp;K$1&amp;"P"&amp;$A20))/1000000,0),IF($A$2="PREMIUM",IFERROR((100*RTD("tos.rtd",,"VOLUME","."&amp;K$2&amp;K$1&amp;"C"&amp;$A20)*RTD("tos.rtd",,"LAST","."&amp;K$2&amp;K$1&amp;"C"&amp;$A20)-100*RTD("tos.rtd",,"VOLUME","."&amp;K$2&amp;K$1&amp;"P"&amp;$A20)*RTD("tos.rtd",,"LAST","."&amp;K$2&amp;K$1&amp;"P"&amp;$A20))/1000000,0),IF($A$2="DEX",IFERROR((100*RTD("tos.rtd",,"OPEN_INT","."&amp;K$2&amp;K$1&amp;"C"&amp;$A20)*RTD("tos.rtd",,"DELTA","."&amp;K$2&amp;K$1&amp;"C"&amp;$A20)-100*RTD("tos.rtd",,"OPEN_INT","."&amp;K$2&amp;K$1&amp;"P"&amp;$A20)*RTD("tos.rtd",,"DELTA","."&amp;K$2&amp;K$1&amp;"P"&amp;$A20))/1000,0),IF($A$2="VEX",IFERROR(($A$4*$A$4*RTD("tos.rtd",,"VOLUME","."&amp;K$2&amp;K$1&amp;"C"&amp;$A20)*RTD("tos.rtd",,"GAMMA","."&amp;K$2&amp;K$1&amp;"C"&amp;$A20)-$A$4*$A$4*RTD("tos.rtd",,"VOLUME","."&amp;K$2&amp;K$1&amp;"P"&amp;$A20)*RTD("tos.rtd",,"GAMMA","."&amp;K$2&amp;K$1&amp;"P"&amp;$A20))/1000000,0),IF($A$2="GEX",IFERROR(($A$4*$A$4*RTD("tos.rtd",,"OPEN_INT","."&amp;K$2&amp;K$1&amp;"C"&amp;$A20)*RTD("tos.rtd",,"GAMMA","."&amp;K$2&amp;K$1&amp;"C"&amp;$A20)-$A$4*$A$4*RTD("tos.rtd",,"OPEN_INT","."&amp;K$2&amp;K$1&amp;"P"&amp;$A20)*RTD("tos.rtd",,"GAMMA","."&amp;K$2&amp;K$1&amp;"P"&amp;$A20))/1000000,0),IF($A$2="SKEW",IFERROR(VALUE(IF(RTD("tos.rtd",,"IMPL_VOL","."&amp;K$2&amp;K$1&amp;"P"&amp;$A20)="N/A",0,RTD("tos.rtd",,"IMPL_VOL","."&amp;K$2&amp;K$1&amp;"P"&amp;$A20))),0)-IFERROR(VALUE(IF(RTD("tos.rtd",,"IMPL_VOL","."&amp;K$2&amp;K$1&amp;"C"&amp;$A20)="N/A",0,RTD("tos.rtd",,"IMPL_VOL","."&amp;K$2&amp;K$1&amp;"C"&amp;$A20))),0),IF($A$2="MAXPAIN",IF($A$4&gt;$A20,($A$4-$A20)*IF(RTD("tos.rtd",,"OPEN_INT","."&amp;K$2&amp;K$1&amp;"C"&amp;$A20)="N/A",0,RTD("tos.rtd",,"OPEN_INT","."&amp;K$2&amp;K$1&amp;"C"&amp;$A20)),0)+IF($A$4&lt;$A20,($A20-$A$4)*IF(RTD("tos.rtd",,"OPEN_INT","."&amp;K$2&amp;K$1&amp;"P"&amp;$A20)="N/A",0,RTD("tos.rtd",,"OPEN_INT","."&amp;K$2&amp;K$1&amp;"P"&amp;$A20)),0),IF(RTD("tos.rtd",,$A$2,"."&amp;K$2&amp;K$1&amp;"C"&amp;$A20)="N/A",0,RTD("tos.rtd",,$A$2,"."&amp;K$2&amp;K$1&amp;"C"&amp;$A20))-IF(RTD("tos.rtd",,$A$2,"."&amp;K$2&amp;K$1&amp;"P"&amp;$A20)="N/A",0,RTD("tos.rtd",,$A$2,"."&amp;K$2&amp;K$1&amp;"P"&amp;$A20)))))))))</f>
        <v>0</v>
      </c>
      <c r="L20" s="12">
        <f>IF($A$2="PREMIUM_OI",IFERROR((100*RTD("tos.rtd",,"OPEN_INT","."&amp;L$2&amp;L$1&amp;"C"&amp;$A20)*RTD("tos.rtd",,"LAST","."&amp;L$2&amp;L$1&amp;"C"&amp;$A20)-100*RTD("tos.rtd",,"OPEN_INT","."&amp;L$2&amp;L$1&amp;"P"&amp;$A20)*RTD("tos.rtd",,"LAST","."&amp;L$2&amp;L$1&amp;"P"&amp;$A20))/1000000,0),IF($A$2="PREMIUM",IFERROR((100*RTD("tos.rtd",,"VOLUME","."&amp;L$2&amp;L$1&amp;"C"&amp;$A20)*RTD("tos.rtd",,"LAST","."&amp;L$2&amp;L$1&amp;"C"&amp;$A20)-100*RTD("tos.rtd",,"VOLUME","."&amp;L$2&amp;L$1&amp;"P"&amp;$A20)*RTD("tos.rtd",,"LAST","."&amp;L$2&amp;L$1&amp;"P"&amp;$A20))/1000000,0),IF($A$2="DEX",IFERROR((100*RTD("tos.rtd",,"OPEN_INT","."&amp;L$2&amp;L$1&amp;"C"&amp;$A20)*RTD("tos.rtd",,"DELTA","."&amp;L$2&amp;L$1&amp;"C"&amp;$A20)-100*RTD("tos.rtd",,"OPEN_INT","."&amp;L$2&amp;L$1&amp;"P"&amp;$A20)*RTD("tos.rtd",,"DELTA","."&amp;L$2&amp;L$1&amp;"P"&amp;$A20))/1000,0),IF($A$2="VEX",IFERROR(($A$4*$A$4*RTD("tos.rtd",,"VOLUME","."&amp;L$2&amp;L$1&amp;"C"&amp;$A20)*RTD("tos.rtd",,"GAMMA","."&amp;L$2&amp;L$1&amp;"C"&amp;$A20)-$A$4*$A$4*RTD("tos.rtd",,"VOLUME","."&amp;L$2&amp;L$1&amp;"P"&amp;$A20)*RTD("tos.rtd",,"GAMMA","."&amp;L$2&amp;L$1&amp;"P"&amp;$A20))/1000000,0),IF($A$2="GEX",IFERROR(($A$4*$A$4*RTD("tos.rtd",,"OPEN_INT","."&amp;L$2&amp;L$1&amp;"C"&amp;$A20)*RTD("tos.rtd",,"GAMMA","."&amp;L$2&amp;L$1&amp;"C"&amp;$A20)-$A$4*$A$4*RTD("tos.rtd",,"OPEN_INT","."&amp;L$2&amp;L$1&amp;"P"&amp;$A20)*RTD("tos.rtd",,"GAMMA","."&amp;L$2&amp;L$1&amp;"P"&amp;$A20))/1000000,0),IF($A$2="SKEW",IFERROR(VALUE(IF(RTD("tos.rtd",,"IMPL_VOL","."&amp;L$2&amp;L$1&amp;"P"&amp;$A20)="N/A",0,RTD("tos.rtd",,"IMPL_VOL","."&amp;L$2&amp;L$1&amp;"P"&amp;$A20))),0)-IFERROR(VALUE(IF(RTD("tos.rtd",,"IMPL_VOL","."&amp;L$2&amp;L$1&amp;"C"&amp;$A20)="N/A",0,RTD("tos.rtd",,"IMPL_VOL","."&amp;L$2&amp;L$1&amp;"C"&amp;$A20))),0),IF($A$2="MAXPAIN",IF($A$4&gt;$A20,($A$4-$A20)*IF(RTD("tos.rtd",,"OPEN_INT","."&amp;L$2&amp;L$1&amp;"C"&amp;$A20)="N/A",0,RTD("tos.rtd",,"OPEN_INT","."&amp;L$2&amp;L$1&amp;"C"&amp;$A20)),0)+IF($A$4&lt;$A20,($A20-$A$4)*IF(RTD("tos.rtd",,"OPEN_INT","."&amp;L$2&amp;L$1&amp;"P"&amp;$A20)="N/A",0,RTD("tos.rtd",,"OPEN_INT","."&amp;L$2&amp;L$1&amp;"P"&amp;$A20)),0),IF(RTD("tos.rtd",,$A$2,"."&amp;L$2&amp;L$1&amp;"C"&amp;$A20)="N/A",0,RTD("tos.rtd",,$A$2,"."&amp;L$2&amp;L$1&amp;"C"&amp;$A20))-IF(RTD("tos.rtd",,$A$2,"."&amp;L$2&amp;L$1&amp;"P"&amp;$A20)="N/A",0,RTD("tos.rtd",,$A$2,"."&amp;L$2&amp;L$1&amp;"P"&amp;$A20)))))))))</f>
        <v>0</v>
      </c>
      <c r="M20" s="12">
        <f>IF($A$2="PREMIUM_OI",IFERROR((100*RTD("tos.rtd",,"OPEN_INT","."&amp;M$2&amp;M$1&amp;"C"&amp;$A20)*RTD("tos.rtd",,"LAST","."&amp;M$2&amp;M$1&amp;"C"&amp;$A20)-100*RTD("tos.rtd",,"OPEN_INT","."&amp;M$2&amp;M$1&amp;"P"&amp;$A20)*RTD("tos.rtd",,"LAST","."&amp;M$2&amp;M$1&amp;"P"&amp;$A20))/1000000,0),IF($A$2="PREMIUM",IFERROR((100*RTD("tos.rtd",,"VOLUME","."&amp;M$2&amp;M$1&amp;"C"&amp;$A20)*RTD("tos.rtd",,"LAST","."&amp;M$2&amp;M$1&amp;"C"&amp;$A20)-100*RTD("tos.rtd",,"VOLUME","."&amp;M$2&amp;M$1&amp;"P"&amp;$A20)*RTD("tos.rtd",,"LAST","."&amp;M$2&amp;M$1&amp;"P"&amp;$A20))/1000000,0),IF($A$2="DEX",IFERROR((100*RTD("tos.rtd",,"OPEN_INT","."&amp;M$2&amp;M$1&amp;"C"&amp;$A20)*RTD("tos.rtd",,"DELTA","."&amp;M$2&amp;M$1&amp;"C"&amp;$A20)-100*RTD("tos.rtd",,"OPEN_INT","."&amp;M$2&amp;M$1&amp;"P"&amp;$A20)*RTD("tos.rtd",,"DELTA","."&amp;M$2&amp;M$1&amp;"P"&amp;$A20))/1000,0),IF($A$2="VEX",IFERROR(($A$4*$A$4*RTD("tos.rtd",,"VOLUME","."&amp;M$2&amp;M$1&amp;"C"&amp;$A20)*RTD("tos.rtd",,"GAMMA","."&amp;M$2&amp;M$1&amp;"C"&amp;$A20)-$A$4*$A$4*RTD("tos.rtd",,"VOLUME","."&amp;M$2&amp;M$1&amp;"P"&amp;$A20)*RTD("tos.rtd",,"GAMMA","."&amp;M$2&amp;M$1&amp;"P"&amp;$A20))/1000000,0),IF($A$2="GEX",IFERROR(($A$4*$A$4*RTD("tos.rtd",,"OPEN_INT","."&amp;M$2&amp;M$1&amp;"C"&amp;$A20)*RTD("tos.rtd",,"GAMMA","."&amp;M$2&amp;M$1&amp;"C"&amp;$A20)-$A$4*$A$4*RTD("tos.rtd",,"OPEN_INT","."&amp;M$2&amp;M$1&amp;"P"&amp;$A20)*RTD("tos.rtd",,"GAMMA","."&amp;M$2&amp;M$1&amp;"P"&amp;$A20))/1000000,0),IF($A$2="SKEW",IFERROR(VALUE(IF(RTD("tos.rtd",,"IMPL_VOL","."&amp;M$2&amp;M$1&amp;"P"&amp;$A20)="N/A",0,RTD("tos.rtd",,"IMPL_VOL","."&amp;M$2&amp;M$1&amp;"P"&amp;$A20))),0)-IFERROR(VALUE(IF(RTD("tos.rtd",,"IMPL_VOL","."&amp;M$2&amp;M$1&amp;"C"&amp;$A20)="N/A",0,RTD("tos.rtd",,"IMPL_VOL","."&amp;M$2&amp;M$1&amp;"C"&amp;$A20))),0),IF($A$2="MAXPAIN",IF($A$4&gt;$A20,($A$4-$A20)*IF(RTD("tos.rtd",,"OPEN_INT","."&amp;M$2&amp;M$1&amp;"C"&amp;$A20)="N/A",0,RTD("tos.rtd",,"OPEN_INT","."&amp;M$2&amp;M$1&amp;"C"&amp;$A20)),0)+IF($A$4&lt;$A20,($A20-$A$4)*IF(RTD("tos.rtd",,"OPEN_INT","."&amp;M$2&amp;M$1&amp;"P"&amp;$A20)="N/A",0,RTD("tos.rtd",,"OPEN_INT","."&amp;M$2&amp;M$1&amp;"P"&amp;$A20)),0),IF(RTD("tos.rtd",,$A$2,"."&amp;M$2&amp;M$1&amp;"C"&amp;$A20)="N/A",0,RTD("tos.rtd",,$A$2,"."&amp;M$2&amp;M$1&amp;"C"&amp;$A20))-IF(RTD("tos.rtd",,$A$2,"."&amp;M$2&amp;M$1&amp;"P"&amp;$A20)="N/A",0,RTD("tos.rtd",,$A$2,"."&amp;M$2&amp;M$1&amp;"P"&amp;$A20)))))))))</f>
        <v>3894</v>
      </c>
      <c r="N20" s="12">
        <f>IF($A$2="PREMIUM_OI",IFERROR((100*RTD("tos.rtd",,"OPEN_INT","."&amp;N$2&amp;N$1&amp;"C"&amp;$A20)*RTD("tos.rtd",,"LAST","."&amp;N$2&amp;N$1&amp;"C"&amp;$A20)-100*RTD("tos.rtd",,"OPEN_INT","."&amp;N$2&amp;N$1&amp;"P"&amp;$A20)*RTD("tos.rtd",,"LAST","."&amp;N$2&amp;N$1&amp;"P"&amp;$A20))/1000000,0),IF($A$2="PREMIUM",IFERROR((100*RTD("tos.rtd",,"VOLUME","."&amp;N$2&amp;N$1&amp;"C"&amp;$A20)*RTD("tos.rtd",,"LAST","."&amp;N$2&amp;N$1&amp;"C"&amp;$A20)-100*RTD("tos.rtd",,"VOLUME","."&amp;N$2&amp;N$1&amp;"P"&amp;$A20)*RTD("tos.rtd",,"LAST","."&amp;N$2&amp;N$1&amp;"P"&amp;$A20))/1000000,0),IF($A$2="DEX",IFERROR((100*RTD("tos.rtd",,"OPEN_INT","."&amp;N$2&amp;N$1&amp;"C"&amp;$A20)*RTD("tos.rtd",,"DELTA","."&amp;N$2&amp;N$1&amp;"C"&amp;$A20)-100*RTD("tos.rtd",,"OPEN_INT","."&amp;N$2&amp;N$1&amp;"P"&amp;$A20)*RTD("tos.rtd",,"DELTA","."&amp;N$2&amp;N$1&amp;"P"&amp;$A20))/1000,0),IF($A$2="VEX",IFERROR(($A$4*$A$4*RTD("tos.rtd",,"VOLUME","."&amp;N$2&amp;N$1&amp;"C"&amp;$A20)*RTD("tos.rtd",,"GAMMA","."&amp;N$2&amp;N$1&amp;"C"&amp;$A20)-$A$4*$A$4*RTD("tos.rtd",,"VOLUME","."&amp;N$2&amp;N$1&amp;"P"&amp;$A20)*RTD("tos.rtd",,"GAMMA","."&amp;N$2&amp;N$1&amp;"P"&amp;$A20))/1000000,0),IF($A$2="GEX",IFERROR(($A$4*$A$4*RTD("tos.rtd",,"OPEN_INT","."&amp;N$2&amp;N$1&amp;"C"&amp;$A20)*RTD("tos.rtd",,"GAMMA","."&amp;N$2&amp;N$1&amp;"C"&amp;$A20)-$A$4*$A$4*RTD("tos.rtd",,"OPEN_INT","."&amp;N$2&amp;N$1&amp;"P"&amp;$A20)*RTD("tos.rtd",,"GAMMA","."&amp;N$2&amp;N$1&amp;"P"&amp;$A20))/1000000,0),IF($A$2="SKEW",IFERROR(VALUE(IF(RTD("tos.rtd",,"IMPL_VOL","."&amp;N$2&amp;N$1&amp;"P"&amp;$A20)="N/A",0,RTD("tos.rtd",,"IMPL_VOL","."&amp;N$2&amp;N$1&amp;"P"&amp;$A20))),0)-IFERROR(VALUE(IF(RTD("tos.rtd",,"IMPL_VOL","."&amp;N$2&amp;N$1&amp;"C"&amp;$A20)="N/A",0,RTD("tos.rtd",,"IMPL_VOL","."&amp;N$2&amp;N$1&amp;"C"&amp;$A20))),0),IF($A$2="MAXPAIN",IF($A$4&gt;$A20,($A$4-$A20)*IF(RTD("tos.rtd",,"OPEN_INT","."&amp;N$2&amp;N$1&amp;"C"&amp;$A20)="N/A",0,RTD("tos.rtd",,"OPEN_INT","."&amp;N$2&amp;N$1&amp;"C"&amp;$A20)),0)+IF($A$4&lt;$A20,($A20-$A$4)*IF(RTD("tos.rtd",,"OPEN_INT","."&amp;N$2&amp;N$1&amp;"P"&amp;$A20)="N/A",0,RTD("tos.rtd",,"OPEN_INT","."&amp;N$2&amp;N$1&amp;"P"&amp;$A20)),0),IF(RTD("tos.rtd",,$A$2,"."&amp;N$2&amp;N$1&amp;"C"&amp;$A20)="N/A",0,RTD("tos.rtd",,$A$2,"."&amp;N$2&amp;N$1&amp;"C"&amp;$A20))-IF(RTD("tos.rtd",,$A$2,"."&amp;N$2&amp;N$1&amp;"P"&amp;$A20)="N/A",0,RTD("tos.rtd",,$A$2,"."&amp;N$2&amp;N$1&amp;"P"&amp;$A20)))))))))</f>
        <v>0</v>
      </c>
      <c r="O20" s="12">
        <f>IF($A$2="PREMIUM_OI",IFERROR((100*RTD("tos.rtd",,"OPEN_INT","."&amp;O$2&amp;O$1&amp;"C"&amp;$A20)*RTD("tos.rtd",,"LAST","."&amp;O$2&amp;O$1&amp;"C"&amp;$A20)-100*RTD("tos.rtd",,"OPEN_INT","."&amp;O$2&amp;O$1&amp;"P"&amp;$A20)*RTD("tos.rtd",,"LAST","."&amp;O$2&amp;O$1&amp;"P"&amp;$A20))/1000000,0),IF($A$2="PREMIUM",IFERROR((100*RTD("tos.rtd",,"VOLUME","."&amp;O$2&amp;O$1&amp;"C"&amp;$A20)*RTD("tos.rtd",,"LAST","."&amp;O$2&amp;O$1&amp;"C"&amp;$A20)-100*RTD("tos.rtd",,"VOLUME","."&amp;O$2&amp;O$1&amp;"P"&amp;$A20)*RTD("tos.rtd",,"LAST","."&amp;O$2&amp;O$1&amp;"P"&amp;$A20))/1000000,0),IF($A$2="DEX",IFERROR((100*RTD("tos.rtd",,"OPEN_INT","."&amp;O$2&amp;O$1&amp;"C"&amp;$A20)*RTD("tos.rtd",,"DELTA","."&amp;O$2&amp;O$1&amp;"C"&amp;$A20)-100*RTD("tos.rtd",,"OPEN_INT","."&amp;O$2&amp;O$1&amp;"P"&amp;$A20)*RTD("tos.rtd",,"DELTA","."&amp;O$2&amp;O$1&amp;"P"&amp;$A20))/1000,0),IF($A$2="VEX",IFERROR(($A$4*$A$4*RTD("tos.rtd",,"VOLUME","."&amp;O$2&amp;O$1&amp;"C"&amp;$A20)*RTD("tos.rtd",,"GAMMA","."&amp;O$2&amp;O$1&amp;"C"&amp;$A20)-$A$4*$A$4*RTD("tos.rtd",,"VOLUME","."&amp;O$2&amp;O$1&amp;"P"&amp;$A20)*RTD("tos.rtd",,"GAMMA","."&amp;O$2&amp;O$1&amp;"P"&amp;$A20))/1000000,0),IF($A$2="GEX",IFERROR(($A$4*$A$4*RTD("tos.rtd",,"OPEN_INT","."&amp;O$2&amp;O$1&amp;"C"&amp;$A20)*RTD("tos.rtd",,"GAMMA","."&amp;O$2&amp;O$1&amp;"C"&amp;$A20)-$A$4*$A$4*RTD("tos.rtd",,"OPEN_INT","."&amp;O$2&amp;O$1&amp;"P"&amp;$A20)*RTD("tos.rtd",,"GAMMA","."&amp;O$2&amp;O$1&amp;"P"&amp;$A20))/1000000,0),IF($A$2="SKEW",IFERROR(VALUE(IF(RTD("tos.rtd",,"IMPL_VOL","."&amp;O$2&amp;O$1&amp;"P"&amp;$A20)="N/A",0,RTD("tos.rtd",,"IMPL_VOL","."&amp;O$2&amp;O$1&amp;"P"&amp;$A20))),0)-IFERROR(VALUE(IF(RTD("tos.rtd",,"IMPL_VOL","."&amp;O$2&amp;O$1&amp;"C"&amp;$A20)="N/A",0,RTD("tos.rtd",,"IMPL_VOL","."&amp;O$2&amp;O$1&amp;"C"&amp;$A20))),0),IF($A$2="MAXPAIN",IF($A$4&gt;$A20,($A$4-$A20)*IF(RTD("tos.rtd",,"OPEN_INT","."&amp;O$2&amp;O$1&amp;"C"&amp;$A20)="N/A",0,RTD("tos.rtd",,"OPEN_INT","."&amp;O$2&amp;O$1&amp;"C"&amp;$A20)),0)+IF($A$4&lt;$A20,($A20-$A$4)*IF(RTD("tos.rtd",,"OPEN_INT","."&amp;O$2&amp;O$1&amp;"P"&amp;$A20)="N/A",0,RTD("tos.rtd",,"OPEN_INT","."&amp;O$2&amp;O$1&amp;"P"&amp;$A20)),0),IF(RTD("tos.rtd",,$A$2,"."&amp;O$2&amp;O$1&amp;"C"&amp;$A20)="N/A",0,RTD("tos.rtd",,$A$2,"."&amp;O$2&amp;O$1&amp;"C"&amp;$A20))-IF(RTD("tos.rtd",,$A$2,"."&amp;O$2&amp;O$1&amp;"P"&amp;$A20)="N/A",0,RTD("tos.rtd",,$A$2,"."&amp;O$2&amp;O$1&amp;"P"&amp;$A20)))))))))</f>
        <v>0</v>
      </c>
      <c r="P20" s="12">
        <f>IF($A$2="PREMIUM_OI",IFERROR((100*RTD("tos.rtd",,"OPEN_INT","."&amp;P$2&amp;P$1&amp;"C"&amp;$A20)*RTD("tos.rtd",,"LAST","."&amp;P$2&amp;P$1&amp;"C"&amp;$A20)-100*RTD("tos.rtd",,"OPEN_INT","."&amp;P$2&amp;P$1&amp;"P"&amp;$A20)*RTD("tos.rtd",,"LAST","."&amp;P$2&amp;P$1&amp;"P"&amp;$A20))/1000000,0),IF($A$2="PREMIUM",IFERROR((100*RTD("tos.rtd",,"VOLUME","."&amp;P$2&amp;P$1&amp;"C"&amp;$A20)*RTD("tos.rtd",,"LAST","."&amp;P$2&amp;P$1&amp;"C"&amp;$A20)-100*RTD("tos.rtd",,"VOLUME","."&amp;P$2&amp;P$1&amp;"P"&amp;$A20)*RTD("tos.rtd",,"LAST","."&amp;P$2&amp;P$1&amp;"P"&amp;$A20))/1000000,0),IF($A$2="DEX",IFERROR((100*RTD("tos.rtd",,"OPEN_INT","."&amp;P$2&amp;P$1&amp;"C"&amp;$A20)*RTD("tos.rtd",,"DELTA","."&amp;P$2&amp;P$1&amp;"C"&amp;$A20)-100*RTD("tos.rtd",,"OPEN_INT","."&amp;P$2&amp;P$1&amp;"P"&amp;$A20)*RTD("tos.rtd",,"DELTA","."&amp;P$2&amp;P$1&amp;"P"&amp;$A20))/1000,0),IF($A$2="VEX",IFERROR(($A$4*$A$4*RTD("tos.rtd",,"VOLUME","."&amp;P$2&amp;P$1&amp;"C"&amp;$A20)*RTD("tos.rtd",,"GAMMA","."&amp;P$2&amp;P$1&amp;"C"&amp;$A20)-$A$4*$A$4*RTD("tos.rtd",,"VOLUME","."&amp;P$2&amp;P$1&amp;"P"&amp;$A20)*RTD("tos.rtd",,"GAMMA","."&amp;P$2&amp;P$1&amp;"P"&amp;$A20))/1000000,0),IF($A$2="GEX",IFERROR(($A$4*$A$4*RTD("tos.rtd",,"OPEN_INT","."&amp;P$2&amp;P$1&amp;"C"&amp;$A20)*RTD("tos.rtd",,"GAMMA","."&amp;P$2&amp;P$1&amp;"C"&amp;$A20)-$A$4*$A$4*RTD("tos.rtd",,"OPEN_INT","."&amp;P$2&amp;P$1&amp;"P"&amp;$A20)*RTD("tos.rtd",,"GAMMA","."&amp;P$2&amp;P$1&amp;"P"&amp;$A20))/1000000,0),IF($A$2="SKEW",IFERROR(VALUE(IF(RTD("tos.rtd",,"IMPL_VOL","."&amp;P$2&amp;P$1&amp;"P"&amp;$A20)="N/A",0,RTD("tos.rtd",,"IMPL_VOL","."&amp;P$2&amp;P$1&amp;"P"&amp;$A20))),0)-IFERROR(VALUE(IF(RTD("tos.rtd",,"IMPL_VOL","."&amp;P$2&amp;P$1&amp;"C"&amp;$A20)="N/A",0,RTD("tos.rtd",,"IMPL_VOL","."&amp;P$2&amp;P$1&amp;"C"&amp;$A20))),0),IF($A$2="MAXPAIN",IF($A$4&gt;$A20,($A$4-$A20)*IF(RTD("tos.rtd",,"OPEN_INT","."&amp;P$2&amp;P$1&amp;"C"&amp;$A20)="N/A",0,RTD("tos.rtd",,"OPEN_INT","."&amp;P$2&amp;P$1&amp;"C"&amp;$A20)),0)+IF($A$4&lt;$A20,($A20-$A$4)*IF(RTD("tos.rtd",,"OPEN_INT","."&amp;P$2&amp;P$1&amp;"P"&amp;$A20)="N/A",0,RTD("tos.rtd",,"OPEN_INT","."&amp;P$2&amp;P$1&amp;"P"&amp;$A20)),0),IF(RTD("tos.rtd",,$A$2,"."&amp;P$2&amp;P$1&amp;"C"&amp;$A20)="N/A",0,RTD("tos.rtd",,$A$2,"."&amp;P$2&amp;P$1&amp;"C"&amp;$A20))-IF(RTD("tos.rtd",,$A$2,"."&amp;P$2&amp;P$1&amp;"P"&amp;$A20)="N/A",0,RTD("tos.rtd",,$A$2,"."&amp;P$2&amp;P$1&amp;"P"&amp;$A20)))))))))</f>
        <v>0</v>
      </c>
      <c r="Q20" s="12">
        <f>IF($A$2="PREMIUM_OI",IFERROR((100*RTD("tos.rtd",,"OPEN_INT","."&amp;Q$2&amp;Q$1&amp;"C"&amp;$A20)*RTD("tos.rtd",,"LAST","."&amp;Q$2&amp;Q$1&amp;"C"&amp;$A20)-100*RTD("tos.rtd",,"OPEN_INT","."&amp;Q$2&amp;Q$1&amp;"P"&amp;$A20)*RTD("tos.rtd",,"LAST","."&amp;Q$2&amp;Q$1&amp;"P"&amp;$A20))/1000000,0),IF($A$2="PREMIUM",IFERROR((100*RTD("tos.rtd",,"VOLUME","."&amp;Q$2&amp;Q$1&amp;"C"&amp;$A20)*RTD("tos.rtd",,"LAST","."&amp;Q$2&amp;Q$1&amp;"C"&amp;$A20)-100*RTD("tos.rtd",,"VOLUME","."&amp;Q$2&amp;Q$1&amp;"P"&amp;$A20)*RTD("tos.rtd",,"LAST","."&amp;Q$2&amp;Q$1&amp;"P"&amp;$A20))/1000000,0),IF($A$2="DEX",IFERROR((100*RTD("tos.rtd",,"OPEN_INT","."&amp;Q$2&amp;Q$1&amp;"C"&amp;$A20)*RTD("tos.rtd",,"DELTA","."&amp;Q$2&amp;Q$1&amp;"C"&amp;$A20)-100*RTD("tos.rtd",,"OPEN_INT","."&amp;Q$2&amp;Q$1&amp;"P"&amp;$A20)*RTD("tos.rtd",,"DELTA","."&amp;Q$2&amp;Q$1&amp;"P"&amp;$A20))/1000,0),IF($A$2="VEX",IFERROR(($A$4*$A$4*RTD("tos.rtd",,"VOLUME","."&amp;Q$2&amp;Q$1&amp;"C"&amp;$A20)*RTD("tos.rtd",,"GAMMA","."&amp;Q$2&amp;Q$1&amp;"C"&amp;$A20)-$A$4*$A$4*RTD("tos.rtd",,"VOLUME","."&amp;Q$2&amp;Q$1&amp;"P"&amp;$A20)*RTD("tos.rtd",,"GAMMA","."&amp;Q$2&amp;Q$1&amp;"P"&amp;$A20))/1000000,0),IF($A$2="GEX",IFERROR(($A$4*$A$4*RTD("tos.rtd",,"OPEN_INT","."&amp;Q$2&amp;Q$1&amp;"C"&amp;$A20)*RTD("tos.rtd",,"GAMMA","."&amp;Q$2&amp;Q$1&amp;"C"&amp;$A20)-$A$4*$A$4*RTD("tos.rtd",,"OPEN_INT","."&amp;Q$2&amp;Q$1&amp;"P"&amp;$A20)*RTD("tos.rtd",,"GAMMA","."&amp;Q$2&amp;Q$1&amp;"P"&amp;$A20))/1000000,0),IF($A$2="SKEW",IFERROR(VALUE(IF(RTD("tos.rtd",,"IMPL_VOL","."&amp;Q$2&amp;Q$1&amp;"P"&amp;$A20)="N/A",0,RTD("tos.rtd",,"IMPL_VOL","."&amp;Q$2&amp;Q$1&amp;"P"&amp;$A20))),0)-IFERROR(VALUE(IF(RTD("tos.rtd",,"IMPL_VOL","."&amp;Q$2&amp;Q$1&amp;"C"&amp;$A20)="N/A",0,RTD("tos.rtd",,"IMPL_VOL","."&amp;Q$2&amp;Q$1&amp;"C"&amp;$A20))),0),IF($A$2="MAXPAIN",IF($A$4&gt;$A20,($A$4-$A20)*IF(RTD("tos.rtd",,"OPEN_INT","."&amp;Q$2&amp;Q$1&amp;"C"&amp;$A20)="N/A",0,RTD("tos.rtd",,"OPEN_INT","."&amp;Q$2&amp;Q$1&amp;"C"&amp;$A20)),0)+IF($A$4&lt;$A20,($A20-$A$4)*IF(RTD("tos.rtd",,"OPEN_INT","."&amp;Q$2&amp;Q$1&amp;"P"&amp;$A20)="N/A",0,RTD("tos.rtd",,"OPEN_INT","."&amp;Q$2&amp;Q$1&amp;"P"&amp;$A20)),0),IF(RTD("tos.rtd",,$A$2,"."&amp;Q$2&amp;Q$1&amp;"C"&amp;$A20)="N/A",0,RTD("tos.rtd",,$A$2,"."&amp;Q$2&amp;Q$1&amp;"C"&amp;$A20))-IF(RTD("tos.rtd",,$A$2,"."&amp;Q$2&amp;Q$1&amp;"P"&amp;$A20)="N/A",0,RTD("tos.rtd",,$A$2,"."&amp;Q$2&amp;Q$1&amp;"P"&amp;$A20)))))))))</f>
        <v>0</v>
      </c>
      <c r="R20" s="12">
        <f>IF($A$2="PREMIUM_OI",IFERROR((100*RTD("tos.rtd",,"OPEN_INT","."&amp;R$2&amp;R$1&amp;"C"&amp;$A20)*RTD("tos.rtd",,"LAST","."&amp;R$2&amp;R$1&amp;"C"&amp;$A20)-100*RTD("tos.rtd",,"OPEN_INT","."&amp;R$2&amp;R$1&amp;"P"&amp;$A20)*RTD("tos.rtd",,"LAST","."&amp;R$2&amp;R$1&amp;"P"&amp;$A20))/1000000,0),IF($A$2="PREMIUM",IFERROR((100*RTD("tos.rtd",,"VOLUME","."&amp;R$2&amp;R$1&amp;"C"&amp;$A20)*RTD("tos.rtd",,"LAST","."&amp;R$2&amp;R$1&amp;"C"&amp;$A20)-100*RTD("tos.rtd",,"VOLUME","."&amp;R$2&amp;R$1&amp;"P"&amp;$A20)*RTD("tos.rtd",,"LAST","."&amp;R$2&amp;R$1&amp;"P"&amp;$A20))/1000000,0),IF($A$2="DEX",IFERROR((100*RTD("tos.rtd",,"OPEN_INT","."&amp;R$2&amp;R$1&amp;"C"&amp;$A20)*RTD("tos.rtd",,"DELTA","."&amp;R$2&amp;R$1&amp;"C"&amp;$A20)-100*RTD("tos.rtd",,"OPEN_INT","."&amp;R$2&amp;R$1&amp;"P"&amp;$A20)*RTD("tos.rtd",,"DELTA","."&amp;R$2&amp;R$1&amp;"P"&amp;$A20))/1000,0),IF($A$2="VEX",IFERROR(($A$4*$A$4*RTD("tos.rtd",,"VOLUME","."&amp;R$2&amp;R$1&amp;"C"&amp;$A20)*RTD("tos.rtd",,"GAMMA","."&amp;R$2&amp;R$1&amp;"C"&amp;$A20)-$A$4*$A$4*RTD("tos.rtd",,"VOLUME","."&amp;R$2&amp;R$1&amp;"P"&amp;$A20)*RTD("tos.rtd",,"GAMMA","."&amp;R$2&amp;R$1&amp;"P"&amp;$A20))/1000000,0),IF($A$2="GEX",IFERROR(($A$4*$A$4*RTD("tos.rtd",,"OPEN_INT","."&amp;R$2&amp;R$1&amp;"C"&amp;$A20)*RTD("tos.rtd",,"GAMMA","."&amp;R$2&amp;R$1&amp;"C"&amp;$A20)-$A$4*$A$4*RTD("tos.rtd",,"OPEN_INT","."&amp;R$2&amp;R$1&amp;"P"&amp;$A20)*RTD("tos.rtd",,"GAMMA","."&amp;R$2&amp;R$1&amp;"P"&amp;$A20))/1000000,0),IF($A$2="SKEW",IFERROR(VALUE(IF(RTD("tos.rtd",,"IMPL_VOL","."&amp;R$2&amp;R$1&amp;"P"&amp;$A20)="N/A",0,RTD("tos.rtd",,"IMPL_VOL","."&amp;R$2&amp;R$1&amp;"P"&amp;$A20))),0)-IFERROR(VALUE(IF(RTD("tos.rtd",,"IMPL_VOL","."&amp;R$2&amp;R$1&amp;"C"&amp;$A20)="N/A",0,RTD("tos.rtd",,"IMPL_VOL","."&amp;R$2&amp;R$1&amp;"C"&amp;$A20))),0),IF($A$2="MAXPAIN",IF($A$4&gt;$A20,($A$4-$A20)*IF(RTD("tos.rtd",,"OPEN_INT","."&amp;R$2&amp;R$1&amp;"C"&amp;$A20)="N/A",0,RTD("tos.rtd",,"OPEN_INT","."&amp;R$2&amp;R$1&amp;"C"&amp;$A20)),0)+IF($A$4&lt;$A20,($A20-$A$4)*IF(RTD("tos.rtd",,"OPEN_INT","."&amp;R$2&amp;R$1&amp;"P"&amp;$A20)="N/A",0,RTD("tos.rtd",,"OPEN_INT","."&amp;R$2&amp;R$1&amp;"P"&amp;$A20)),0),IF(RTD("tos.rtd",,$A$2,"."&amp;R$2&amp;R$1&amp;"C"&amp;$A20)="N/A",0,RTD("tos.rtd",,$A$2,"."&amp;R$2&amp;R$1&amp;"C"&amp;$A20))-IF(RTD("tos.rtd",,$A$2,"."&amp;R$2&amp;R$1&amp;"P"&amp;$A20)="N/A",0,RTD("tos.rtd",,$A$2,"."&amp;R$2&amp;R$1&amp;"P"&amp;$A20)))))))))</f>
        <v>11960</v>
      </c>
      <c r="S20" s="12">
        <f>IF($A$2="PREMIUM_OI",IFERROR((100*RTD("tos.rtd",,"OPEN_INT","."&amp;S$2&amp;S$1&amp;"C"&amp;$A20)*RTD("tos.rtd",,"LAST","."&amp;S$2&amp;S$1&amp;"C"&amp;$A20)-100*RTD("tos.rtd",,"OPEN_INT","."&amp;S$2&amp;S$1&amp;"P"&amp;$A20)*RTD("tos.rtd",,"LAST","."&amp;S$2&amp;S$1&amp;"P"&amp;$A20))/1000000,0),IF($A$2="PREMIUM",IFERROR((100*RTD("tos.rtd",,"VOLUME","."&amp;S$2&amp;S$1&amp;"C"&amp;$A20)*RTD("tos.rtd",,"LAST","."&amp;S$2&amp;S$1&amp;"C"&amp;$A20)-100*RTD("tos.rtd",,"VOLUME","."&amp;S$2&amp;S$1&amp;"P"&amp;$A20)*RTD("tos.rtd",,"LAST","."&amp;S$2&amp;S$1&amp;"P"&amp;$A20))/1000000,0),IF($A$2="DEX",IFERROR((100*RTD("tos.rtd",,"OPEN_INT","."&amp;S$2&amp;S$1&amp;"C"&amp;$A20)*RTD("tos.rtd",,"DELTA","."&amp;S$2&amp;S$1&amp;"C"&amp;$A20)-100*RTD("tos.rtd",,"OPEN_INT","."&amp;S$2&amp;S$1&amp;"P"&amp;$A20)*RTD("tos.rtd",,"DELTA","."&amp;S$2&amp;S$1&amp;"P"&amp;$A20))/1000,0),IF($A$2="VEX",IFERROR(($A$4*$A$4*RTD("tos.rtd",,"VOLUME","."&amp;S$2&amp;S$1&amp;"C"&amp;$A20)*RTD("tos.rtd",,"GAMMA","."&amp;S$2&amp;S$1&amp;"C"&amp;$A20)-$A$4*$A$4*RTD("tos.rtd",,"VOLUME","."&amp;S$2&amp;S$1&amp;"P"&amp;$A20)*RTD("tos.rtd",,"GAMMA","."&amp;S$2&amp;S$1&amp;"P"&amp;$A20))/1000000,0),IF($A$2="GEX",IFERROR(($A$4*$A$4*RTD("tos.rtd",,"OPEN_INT","."&amp;S$2&amp;S$1&amp;"C"&amp;$A20)*RTD("tos.rtd",,"GAMMA","."&amp;S$2&amp;S$1&amp;"C"&amp;$A20)-$A$4*$A$4*RTD("tos.rtd",,"OPEN_INT","."&amp;S$2&amp;S$1&amp;"P"&amp;$A20)*RTD("tos.rtd",,"GAMMA","."&amp;S$2&amp;S$1&amp;"P"&amp;$A20))/1000000,0),IF($A$2="SKEW",IFERROR(VALUE(IF(RTD("tos.rtd",,"IMPL_VOL","."&amp;S$2&amp;S$1&amp;"P"&amp;$A20)="N/A",0,RTD("tos.rtd",,"IMPL_VOL","."&amp;S$2&amp;S$1&amp;"P"&amp;$A20))),0)-IFERROR(VALUE(IF(RTD("tos.rtd",,"IMPL_VOL","."&amp;S$2&amp;S$1&amp;"C"&amp;$A20)="N/A",0,RTD("tos.rtd",,"IMPL_VOL","."&amp;S$2&amp;S$1&amp;"C"&amp;$A20))),0),IF($A$2="MAXPAIN",IF($A$4&gt;$A20,($A$4-$A20)*IF(RTD("tos.rtd",,"OPEN_INT","."&amp;S$2&amp;S$1&amp;"C"&amp;$A20)="N/A",0,RTD("tos.rtd",,"OPEN_INT","."&amp;S$2&amp;S$1&amp;"C"&amp;$A20)),0)+IF($A$4&lt;$A20,($A20-$A$4)*IF(RTD("tos.rtd",,"OPEN_INT","."&amp;S$2&amp;S$1&amp;"P"&amp;$A20)="N/A",0,RTD("tos.rtd",,"OPEN_INT","."&amp;S$2&amp;S$1&amp;"P"&amp;$A20)),0),IF(RTD("tos.rtd",,$A$2,"."&amp;S$2&amp;S$1&amp;"C"&amp;$A20)="N/A",0,RTD("tos.rtd",,$A$2,"."&amp;S$2&amp;S$1&amp;"C"&amp;$A20))-IF(RTD("tos.rtd",,$A$2,"."&amp;S$2&amp;S$1&amp;"P"&amp;$A20)="N/A",0,RTD("tos.rtd",,$A$2,"."&amp;S$2&amp;S$1&amp;"P"&amp;$A20)))))))))</f>
        <v>11933</v>
      </c>
      <c r="T20" s="12">
        <f>IF($A$2="PREMIUM_OI",IFERROR((100*RTD("tos.rtd",,"OPEN_INT","."&amp;T$2&amp;T$1&amp;"C"&amp;$A20)*RTD("tos.rtd",,"LAST","."&amp;T$2&amp;T$1&amp;"C"&amp;$A20)-100*RTD("tos.rtd",,"OPEN_INT","."&amp;T$2&amp;T$1&amp;"P"&amp;$A20)*RTD("tos.rtd",,"LAST","."&amp;T$2&amp;T$1&amp;"P"&amp;$A20))/1000000,0),IF($A$2="PREMIUM",IFERROR((100*RTD("tos.rtd",,"VOLUME","."&amp;T$2&amp;T$1&amp;"C"&amp;$A20)*RTD("tos.rtd",,"LAST","."&amp;T$2&amp;T$1&amp;"C"&amp;$A20)-100*RTD("tos.rtd",,"VOLUME","."&amp;T$2&amp;T$1&amp;"P"&amp;$A20)*RTD("tos.rtd",,"LAST","."&amp;T$2&amp;T$1&amp;"P"&amp;$A20))/1000000,0),IF($A$2="DEX",IFERROR((100*RTD("tos.rtd",,"OPEN_INT","."&amp;T$2&amp;T$1&amp;"C"&amp;$A20)*RTD("tos.rtd",,"DELTA","."&amp;T$2&amp;T$1&amp;"C"&amp;$A20)-100*RTD("tos.rtd",,"OPEN_INT","."&amp;T$2&amp;T$1&amp;"P"&amp;$A20)*RTD("tos.rtd",,"DELTA","."&amp;T$2&amp;T$1&amp;"P"&amp;$A20))/1000,0),IF($A$2="VEX",IFERROR(($A$4*$A$4*RTD("tos.rtd",,"VOLUME","."&amp;T$2&amp;T$1&amp;"C"&amp;$A20)*RTD("tos.rtd",,"GAMMA","."&amp;T$2&amp;T$1&amp;"C"&amp;$A20)-$A$4*$A$4*RTD("tos.rtd",,"VOLUME","."&amp;T$2&amp;T$1&amp;"P"&amp;$A20)*RTD("tos.rtd",,"GAMMA","."&amp;T$2&amp;T$1&amp;"P"&amp;$A20))/1000000,0),IF($A$2="GEX",IFERROR(($A$4*$A$4*RTD("tos.rtd",,"OPEN_INT","."&amp;T$2&amp;T$1&amp;"C"&amp;$A20)*RTD("tos.rtd",,"GAMMA","."&amp;T$2&amp;T$1&amp;"C"&amp;$A20)-$A$4*$A$4*RTD("tos.rtd",,"OPEN_INT","."&amp;T$2&amp;T$1&amp;"P"&amp;$A20)*RTD("tos.rtd",,"GAMMA","."&amp;T$2&amp;T$1&amp;"P"&amp;$A20))/1000000,0),IF($A$2="SKEW",IFERROR(VALUE(IF(RTD("tos.rtd",,"IMPL_VOL","."&amp;T$2&amp;T$1&amp;"P"&amp;$A20)="N/A",0,RTD("tos.rtd",,"IMPL_VOL","."&amp;T$2&amp;T$1&amp;"P"&amp;$A20))),0)-IFERROR(VALUE(IF(RTD("tos.rtd",,"IMPL_VOL","."&amp;T$2&amp;T$1&amp;"C"&amp;$A20)="N/A",0,RTD("tos.rtd",,"IMPL_VOL","."&amp;T$2&amp;T$1&amp;"C"&amp;$A20))),0),IF($A$2="MAXPAIN",IF($A$4&gt;$A20,($A$4-$A20)*IF(RTD("tos.rtd",,"OPEN_INT","."&amp;T$2&amp;T$1&amp;"C"&amp;$A20)="N/A",0,RTD("tos.rtd",,"OPEN_INT","."&amp;T$2&amp;T$1&amp;"C"&amp;$A20)),0)+IF($A$4&lt;$A20,($A20-$A$4)*IF(RTD("tos.rtd",,"OPEN_INT","."&amp;T$2&amp;T$1&amp;"P"&amp;$A20)="N/A",0,RTD("tos.rtd",,"OPEN_INT","."&amp;T$2&amp;T$1&amp;"P"&amp;$A20)),0),IF(RTD("tos.rtd",,$A$2,"."&amp;T$2&amp;T$1&amp;"C"&amp;$A20)="N/A",0,RTD("tos.rtd",,$A$2,"."&amp;T$2&amp;T$1&amp;"C"&amp;$A20))-IF(RTD("tos.rtd",,$A$2,"."&amp;T$2&amp;T$1&amp;"P"&amp;$A20)="N/A",0,RTD("tos.rtd",,$A$2,"."&amp;T$2&amp;T$1&amp;"P"&amp;$A20)))))))))</f>
        <v>1896</v>
      </c>
      <c r="U20" s="12">
        <f>IF($A$2="PREMIUM_OI",IFERROR((100*RTD("tos.rtd",,"OPEN_INT","."&amp;U$2&amp;U$1&amp;"C"&amp;$A20)*RTD("tos.rtd",,"LAST","."&amp;U$2&amp;U$1&amp;"C"&amp;$A20)-100*RTD("tos.rtd",,"OPEN_INT","."&amp;U$2&amp;U$1&amp;"P"&amp;$A20)*RTD("tos.rtd",,"LAST","."&amp;U$2&amp;U$1&amp;"P"&amp;$A20))/1000000,0),IF($A$2="PREMIUM",IFERROR((100*RTD("tos.rtd",,"VOLUME","."&amp;U$2&amp;U$1&amp;"C"&amp;$A20)*RTD("tos.rtd",,"LAST","."&amp;U$2&amp;U$1&amp;"C"&amp;$A20)-100*RTD("tos.rtd",,"VOLUME","."&amp;U$2&amp;U$1&amp;"P"&amp;$A20)*RTD("tos.rtd",,"LAST","."&amp;U$2&amp;U$1&amp;"P"&amp;$A20))/1000000,0),IF($A$2="DEX",IFERROR((100*RTD("tos.rtd",,"OPEN_INT","."&amp;U$2&amp;U$1&amp;"C"&amp;$A20)*RTD("tos.rtd",,"DELTA","."&amp;U$2&amp;U$1&amp;"C"&amp;$A20)-100*RTD("tos.rtd",,"OPEN_INT","."&amp;U$2&amp;U$1&amp;"P"&amp;$A20)*RTD("tos.rtd",,"DELTA","."&amp;U$2&amp;U$1&amp;"P"&amp;$A20))/1000,0),IF($A$2="VEX",IFERROR(($A$4*$A$4*RTD("tos.rtd",,"VOLUME","."&amp;U$2&amp;U$1&amp;"C"&amp;$A20)*RTD("tos.rtd",,"GAMMA","."&amp;U$2&amp;U$1&amp;"C"&amp;$A20)-$A$4*$A$4*RTD("tos.rtd",,"VOLUME","."&amp;U$2&amp;U$1&amp;"P"&amp;$A20)*RTD("tos.rtd",,"GAMMA","."&amp;U$2&amp;U$1&amp;"P"&amp;$A20))/1000000,0),IF($A$2="GEX",IFERROR(($A$4*$A$4*RTD("tos.rtd",,"OPEN_INT","."&amp;U$2&amp;U$1&amp;"C"&amp;$A20)*RTD("tos.rtd",,"GAMMA","."&amp;U$2&amp;U$1&amp;"C"&amp;$A20)-$A$4*$A$4*RTD("tos.rtd",,"OPEN_INT","."&amp;U$2&amp;U$1&amp;"P"&amp;$A20)*RTD("tos.rtd",,"GAMMA","."&amp;U$2&amp;U$1&amp;"P"&amp;$A20))/1000000,0),IF($A$2="SKEW",IFERROR(VALUE(IF(RTD("tos.rtd",,"IMPL_VOL","."&amp;U$2&amp;U$1&amp;"P"&amp;$A20)="N/A",0,RTD("tos.rtd",,"IMPL_VOL","."&amp;U$2&amp;U$1&amp;"P"&amp;$A20))),0)-IFERROR(VALUE(IF(RTD("tos.rtd",,"IMPL_VOL","."&amp;U$2&amp;U$1&amp;"C"&amp;$A20)="N/A",0,RTD("tos.rtd",,"IMPL_VOL","."&amp;U$2&amp;U$1&amp;"C"&amp;$A20))),0),IF($A$2="MAXPAIN",IF($A$4&gt;$A20,($A$4-$A20)*IF(RTD("tos.rtd",,"OPEN_INT","."&amp;U$2&amp;U$1&amp;"C"&amp;$A20)="N/A",0,RTD("tos.rtd",,"OPEN_INT","."&amp;U$2&amp;U$1&amp;"C"&amp;$A20)),0)+IF($A$4&lt;$A20,($A20-$A$4)*IF(RTD("tos.rtd",,"OPEN_INT","."&amp;U$2&amp;U$1&amp;"P"&amp;$A20)="N/A",0,RTD("tos.rtd",,"OPEN_INT","."&amp;U$2&amp;U$1&amp;"P"&amp;$A20)),0),IF(RTD("tos.rtd",,$A$2,"."&amp;U$2&amp;U$1&amp;"C"&amp;$A20)="N/A",0,RTD("tos.rtd",,$A$2,"."&amp;U$2&amp;U$1&amp;"C"&amp;$A20))-IF(RTD("tos.rtd",,$A$2,"."&amp;U$2&amp;U$1&amp;"P"&amp;$A20)="N/A",0,RTD("tos.rtd",,$A$2,"."&amp;U$2&amp;U$1&amp;"P"&amp;$A20)))))))))</f>
        <v>4379</v>
      </c>
      <c r="V20" s="12">
        <f>IF($A$2="PREMIUM_OI",IFERROR((100*RTD("tos.rtd",,"OPEN_INT","."&amp;V$2&amp;V$1&amp;"C"&amp;$A20)*RTD("tos.rtd",,"LAST","."&amp;V$2&amp;V$1&amp;"C"&amp;$A20)-100*RTD("tos.rtd",,"OPEN_INT","."&amp;V$2&amp;V$1&amp;"P"&amp;$A20)*RTD("tos.rtd",,"LAST","."&amp;V$2&amp;V$1&amp;"P"&amp;$A20))/1000000,0),IF($A$2="PREMIUM",IFERROR((100*RTD("tos.rtd",,"VOLUME","."&amp;V$2&amp;V$1&amp;"C"&amp;$A20)*RTD("tos.rtd",,"LAST","."&amp;V$2&amp;V$1&amp;"C"&amp;$A20)-100*RTD("tos.rtd",,"VOLUME","."&amp;V$2&amp;V$1&amp;"P"&amp;$A20)*RTD("tos.rtd",,"LAST","."&amp;V$2&amp;V$1&amp;"P"&amp;$A20))/1000000,0),IF($A$2="DEX",IFERROR((100*RTD("tos.rtd",,"OPEN_INT","."&amp;V$2&amp;V$1&amp;"C"&amp;$A20)*RTD("tos.rtd",,"DELTA","."&amp;V$2&amp;V$1&amp;"C"&amp;$A20)-100*RTD("tos.rtd",,"OPEN_INT","."&amp;V$2&amp;V$1&amp;"P"&amp;$A20)*RTD("tos.rtd",,"DELTA","."&amp;V$2&amp;V$1&amp;"P"&amp;$A20))/1000,0),IF($A$2="VEX",IFERROR(($A$4*$A$4*RTD("tos.rtd",,"VOLUME","."&amp;V$2&amp;V$1&amp;"C"&amp;$A20)*RTD("tos.rtd",,"GAMMA","."&amp;V$2&amp;V$1&amp;"C"&amp;$A20)-$A$4*$A$4*RTD("tos.rtd",,"VOLUME","."&amp;V$2&amp;V$1&amp;"P"&amp;$A20)*RTD("tos.rtd",,"GAMMA","."&amp;V$2&amp;V$1&amp;"P"&amp;$A20))/1000000,0),IF($A$2="GEX",IFERROR(($A$4*$A$4*RTD("tos.rtd",,"OPEN_INT","."&amp;V$2&amp;V$1&amp;"C"&amp;$A20)*RTD("tos.rtd",,"GAMMA","."&amp;V$2&amp;V$1&amp;"C"&amp;$A20)-$A$4*$A$4*RTD("tos.rtd",,"OPEN_INT","."&amp;V$2&amp;V$1&amp;"P"&amp;$A20)*RTD("tos.rtd",,"GAMMA","."&amp;V$2&amp;V$1&amp;"P"&amp;$A20))/1000000,0),IF($A$2="SKEW",IFERROR(VALUE(IF(RTD("tos.rtd",,"IMPL_VOL","."&amp;V$2&amp;V$1&amp;"P"&amp;$A20)="N/A",0,RTD("tos.rtd",,"IMPL_VOL","."&amp;V$2&amp;V$1&amp;"P"&amp;$A20))),0)-IFERROR(VALUE(IF(RTD("tos.rtd",,"IMPL_VOL","."&amp;V$2&amp;V$1&amp;"C"&amp;$A20)="N/A",0,RTD("tos.rtd",,"IMPL_VOL","."&amp;V$2&amp;V$1&amp;"C"&amp;$A20))),0),IF($A$2="MAXPAIN",IF($A$4&gt;$A20,($A$4-$A20)*IF(RTD("tos.rtd",,"OPEN_INT","."&amp;V$2&amp;V$1&amp;"C"&amp;$A20)="N/A",0,RTD("tos.rtd",,"OPEN_INT","."&amp;V$2&amp;V$1&amp;"C"&amp;$A20)),0)+IF($A$4&lt;$A20,($A20-$A$4)*IF(RTD("tos.rtd",,"OPEN_INT","."&amp;V$2&amp;V$1&amp;"P"&amp;$A20)="N/A",0,RTD("tos.rtd",,"OPEN_INT","."&amp;V$2&amp;V$1&amp;"P"&amp;$A20)),0),IF(RTD("tos.rtd",,$A$2,"."&amp;V$2&amp;V$1&amp;"C"&amp;$A20)="N/A",0,RTD("tos.rtd",,$A$2,"."&amp;V$2&amp;V$1&amp;"C"&amp;$A20))-IF(RTD("tos.rtd",,$A$2,"."&amp;V$2&amp;V$1&amp;"P"&amp;$A20)="N/A",0,RTD("tos.rtd",,$A$2,"."&amp;V$2&amp;V$1&amp;"P"&amp;$A20)))))))))</f>
        <v>0</v>
      </c>
      <c r="W20" s="12">
        <f>IF($A$2="PREMIUM_OI",IFERROR((100*RTD("tos.rtd",,"OPEN_INT","."&amp;W$2&amp;W$1&amp;"C"&amp;$A20)*RTD("tos.rtd",,"LAST","."&amp;W$2&amp;W$1&amp;"C"&amp;$A20)-100*RTD("tos.rtd",,"OPEN_INT","."&amp;W$2&amp;W$1&amp;"P"&amp;$A20)*RTD("tos.rtd",,"LAST","."&amp;W$2&amp;W$1&amp;"P"&amp;$A20))/1000000,0),IF($A$2="PREMIUM",IFERROR((100*RTD("tos.rtd",,"VOLUME","."&amp;W$2&amp;W$1&amp;"C"&amp;$A20)*RTD("tos.rtd",,"LAST","."&amp;W$2&amp;W$1&amp;"C"&amp;$A20)-100*RTD("tos.rtd",,"VOLUME","."&amp;W$2&amp;W$1&amp;"P"&amp;$A20)*RTD("tos.rtd",,"LAST","."&amp;W$2&amp;W$1&amp;"P"&amp;$A20))/1000000,0),IF($A$2="DEX",IFERROR((100*RTD("tos.rtd",,"OPEN_INT","."&amp;W$2&amp;W$1&amp;"C"&amp;$A20)*RTD("tos.rtd",,"DELTA","."&amp;W$2&amp;W$1&amp;"C"&amp;$A20)-100*RTD("tos.rtd",,"OPEN_INT","."&amp;W$2&amp;W$1&amp;"P"&amp;$A20)*RTD("tos.rtd",,"DELTA","."&amp;W$2&amp;W$1&amp;"P"&amp;$A20))/1000,0),IF($A$2="VEX",IFERROR(($A$4*$A$4*RTD("tos.rtd",,"VOLUME","."&amp;W$2&amp;W$1&amp;"C"&amp;$A20)*RTD("tos.rtd",,"GAMMA","."&amp;W$2&amp;W$1&amp;"C"&amp;$A20)-$A$4*$A$4*RTD("tos.rtd",,"VOLUME","."&amp;W$2&amp;W$1&amp;"P"&amp;$A20)*RTD("tos.rtd",,"GAMMA","."&amp;W$2&amp;W$1&amp;"P"&amp;$A20))/1000000,0),IF($A$2="GEX",IFERROR(($A$4*$A$4*RTD("tos.rtd",,"OPEN_INT","."&amp;W$2&amp;W$1&amp;"C"&amp;$A20)*RTD("tos.rtd",,"GAMMA","."&amp;W$2&amp;W$1&amp;"C"&amp;$A20)-$A$4*$A$4*RTD("tos.rtd",,"OPEN_INT","."&amp;W$2&amp;W$1&amp;"P"&amp;$A20)*RTD("tos.rtd",,"GAMMA","."&amp;W$2&amp;W$1&amp;"P"&amp;$A20))/1000000,0),IF($A$2="SKEW",IFERROR(VALUE(IF(RTD("tos.rtd",,"IMPL_VOL","."&amp;W$2&amp;W$1&amp;"P"&amp;$A20)="N/A",0,RTD("tos.rtd",,"IMPL_VOL","."&amp;W$2&amp;W$1&amp;"P"&amp;$A20))),0)-IFERROR(VALUE(IF(RTD("tos.rtd",,"IMPL_VOL","."&amp;W$2&amp;W$1&amp;"C"&amp;$A20)="N/A",0,RTD("tos.rtd",,"IMPL_VOL","."&amp;W$2&amp;W$1&amp;"C"&amp;$A20))),0),IF($A$2="MAXPAIN",IF($A$4&gt;$A20,($A$4-$A20)*IF(RTD("tos.rtd",,"OPEN_INT","."&amp;W$2&amp;W$1&amp;"C"&amp;$A20)="N/A",0,RTD("tos.rtd",,"OPEN_INT","."&amp;W$2&amp;W$1&amp;"C"&amp;$A20)),0)+IF($A$4&lt;$A20,($A20-$A$4)*IF(RTD("tos.rtd",,"OPEN_INT","."&amp;W$2&amp;W$1&amp;"P"&amp;$A20)="N/A",0,RTD("tos.rtd",,"OPEN_INT","."&amp;W$2&amp;W$1&amp;"P"&amp;$A20)),0),IF(RTD("tos.rtd",,$A$2,"."&amp;W$2&amp;W$1&amp;"C"&amp;$A20)="N/A",0,RTD("tos.rtd",,$A$2,"."&amp;W$2&amp;W$1&amp;"C"&amp;$A20))-IF(RTD("tos.rtd",,$A$2,"."&amp;W$2&amp;W$1&amp;"P"&amp;$A20)="N/A",0,RTD("tos.rtd",,$A$2,"."&amp;W$2&amp;W$1&amp;"P"&amp;$A20)))))))))</f>
        <v>17333</v>
      </c>
      <c r="X20" s="12">
        <f t="shared" ca="1" si="7"/>
        <v>35541</v>
      </c>
      <c r="Y20" s="27">
        <f t="shared" ca="1" si="8"/>
        <v>35541</v>
      </c>
      <c r="AA20" s="35">
        <f t="shared" si="5"/>
        <v>19</v>
      </c>
      <c r="AB20" s="8">
        <f>+IF($AJ$1,AK20,TASTYOHLC!B20)</f>
        <v>8.01</v>
      </c>
      <c r="AC20" s="8">
        <f>+IF($AJ$1,AL20,TASTYOHLC!C20)</f>
        <v>8.01</v>
      </c>
      <c r="AD20" s="8">
        <f>+IF($AJ$1,AM20,TASTYOHLC!D20)</f>
        <v>8.01</v>
      </c>
      <c r="AE20" s="8">
        <f>+IF($AJ$1,AN20,TASTYOHLC!E20)</f>
        <v>8.01</v>
      </c>
      <c r="AF20" s="8"/>
      <c r="AJ20" s="37">
        <f t="shared" si="11"/>
        <v>45954</v>
      </c>
      <c r="AK20" s="52">
        <f t="shared" si="12"/>
        <v>8.01</v>
      </c>
      <c r="AL20" s="52">
        <f t="shared" si="10"/>
        <v>8.01</v>
      </c>
      <c r="AM20" s="52">
        <f t="shared" si="10"/>
        <v>8.01</v>
      </c>
      <c r="AN20" s="52">
        <f t="shared" si="10"/>
        <v>8.01</v>
      </c>
    </row>
    <row r="21" spans="1:40" s="19" customFormat="1" ht="11.1" customHeight="1" thickBot="1" x14ac:dyDescent="0.3">
      <c r="A21" s="23">
        <f t="shared" si="6"/>
        <v>11.5</v>
      </c>
      <c r="B21" s="14">
        <f>IF($A$2="PREMIUM_OI",IFERROR((100*RTD("tos.rtd",,"OPEN_INT","."&amp;B$2&amp;B$1&amp;"C"&amp;$A21)*RTD("tos.rtd",,"LAST","."&amp;B$2&amp;B$1&amp;"C"&amp;$A21)-100*RTD("tos.rtd",,"OPEN_INT","."&amp;B$2&amp;B$1&amp;"P"&amp;$A21)*RTD("tos.rtd",,"LAST","."&amp;B$2&amp;B$1&amp;"P"&amp;$A21))/1000000,0),IF($A$2="PREMIUM",IFERROR((100*RTD("tos.rtd",,"VOLUME","."&amp;B$2&amp;B$1&amp;"C"&amp;$A21)*RTD("tos.rtd",,"LAST","."&amp;B$2&amp;B$1&amp;"C"&amp;$A21)-100*RTD("tos.rtd",,"VOLUME","."&amp;B$2&amp;B$1&amp;"P"&amp;$A21)*RTD("tos.rtd",,"LAST","."&amp;B$2&amp;B$1&amp;"P"&amp;$A21))/1000000,0),IF($A$2="DEX",IFERROR((100*RTD("tos.rtd",,"OPEN_INT","."&amp;B$2&amp;B$1&amp;"C"&amp;$A21)*RTD("tos.rtd",,"DELTA","."&amp;B$2&amp;B$1&amp;"C"&amp;$A21)-100*RTD("tos.rtd",,"OPEN_INT","."&amp;B$2&amp;B$1&amp;"P"&amp;$A21)*RTD("tos.rtd",,"DELTA","."&amp;B$2&amp;B$1&amp;"P"&amp;$A21))/1000,0),IF($A$2="VEX",IFERROR(($A$4*$A$4*RTD("tos.rtd",,"VOLUME","."&amp;B$2&amp;B$1&amp;"C"&amp;$A21)*RTD("tos.rtd",,"GAMMA","."&amp;B$2&amp;B$1&amp;"C"&amp;$A21)-$A$4*$A$4*RTD("tos.rtd",,"VOLUME","."&amp;B$2&amp;B$1&amp;"P"&amp;$A21)*RTD("tos.rtd",,"GAMMA","."&amp;B$2&amp;B$1&amp;"P"&amp;$A21))/1000000,0),IF($A$2="GEX",IFERROR(($A$4*$A$4*RTD("tos.rtd",,"OPEN_INT","."&amp;B$2&amp;B$1&amp;"C"&amp;$A21)*RTD("tos.rtd",,"GAMMA","."&amp;B$2&amp;B$1&amp;"C"&amp;$A21)-$A$4*$A$4*RTD("tos.rtd",,"OPEN_INT","."&amp;B$2&amp;B$1&amp;"P"&amp;$A21)*RTD("tos.rtd",,"GAMMA","."&amp;B$2&amp;B$1&amp;"P"&amp;$A21))/1000000,0),IF($A$2="SKEW",IFERROR(VALUE(IF(RTD("tos.rtd",,"IMPL_VOL","."&amp;B$2&amp;B$1&amp;"P"&amp;$A21)="N/A",0,RTD("tos.rtd",,"IMPL_VOL","."&amp;B$2&amp;B$1&amp;"P"&amp;$A21))),0)-IFERROR(VALUE(IF(RTD("tos.rtd",,"IMPL_VOL","."&amp;B$2&amp;B$1&amp;"C"&amp;$A21)="N/A",0,RTD("tos.rtd",,"IMPL_VOL","."&amp;B$2&amp;B$1&amp;"C"&amp;$A21))),0),IF($A$2="MAXPAIN",IF($A$4&gt;$A21,($A$4-$A21)*IF(RTD("tos.rtd",,"OPEN_INT","."&amp;B$2&amp;B$1&amp;"C"&amp;$A21)="N/A",0,RTD("tos.rtd",,"OPEN_INT","."&amp;B$2&amp;B$1&amp;"C"&amp;$A21)),0)+IF($A$4&lt;$A21,($A21-$A$4)*IF(RTD("tos.rtd",,"OPEN_INT","."&amp;B$2&amp;B$1&amp;"P"&amp;$A21)="N/A",0,RTD("tos.rtd",,"OPEN_INT","."&amp;B$2&amp;B$1&amp;"P"&amp;$A21)),0),IF(RTD("tos.rtd",,$A$2,"."&amp;B$2&amp;B$1&amp;"C"&amp;$A21)="N/A",0,RTD("tos.rtd",,$A$2,"."&amp;B$2&amp;B$1&amp;"C"&amp;$A21))-IF(RTD("tos.rtd",,$A$2,"."&amp;B$2&amp;B$1&amp;"P"&amp;$A21)="N/A",0,RTD("tos.rtd",,$A$2,"."&amp;B$2&amp;B$1&amp;"P"&amp;$A21)))))))))</f>
        <v>0</v>
      </c>
      <c r="C21" s="12">
        <f>IF($A$2="PREMIUM_OI",IFERROR((100*RTD("tos.rtd",,"OPEN_INT","."&amp;C$2&amp;C$1&amp;"C"&amp;$A21)*RTD("tos.rtd",,"LAST","."&amp;C$2&amp;C$1&amp;"C"&amp;$A21)-100*RTD("tos.rtd",,"OPEN_INT","."&amp;C$2&amp;C$1&amp;"P"&amp;$A21)*RTD("tos.rtd",,"LAST","."&amp;C$2&amp;C$1&amp;"P"&amp;$A21))/1000000,0),IF($A$2="PREMIUM",IFERROR((100*RTD("tos.rtd",,"VOLUME","."&amp;C$2&amp;C$1&amp;"C"&amp;$A21)*RTD("tos.rtd",,"LAST","."&amp;C$2&amp;C$1&amp;"C"&amp;$A21)-100*RTD("tos.rtd",,"VOLUME","."&amp;C$2&amp;C$1&amp;"P"&amp;$A21)*RTD("tos.rtd",,"LAST","."&amp;C$2&amp;C$1&amp;"P"&amp;$A21))/1000000,0),IF($A$2="DEX",IFERROR((100*RTD("tos.rtd",,"OPEN_INT","."&amp;C$2&amp;C$1&amp;"C"&amp;$A21)*RTD("tos.rtd",,"DELTA","."&amp;C$2&amp;C$1&amp;"C"&amp;$A21)-100*RTD("tos.rtd",,"OPEN_INT","."&amp;C$2&amp;C$1&amp;"P"&amp;$A21)*RTD("tos.rtd",,"DELTA","."&amp;C$2&amp;C$1&amp;"P"&amp;$A21))/1000,0),IF($A$2="VEX",IFERROR(($A$4*$A$4*RTD("tos.rtd",,"VOLUME","."&amp;C$2&amp;C$1&amp;"C"&amp;$A21)*RTD("tos.rtd",,"GAMMA","."&amp;C$2&amp;C$1&amp;"C"&amp;$A21)-$A$4*$A$4*RTD("tos.rtd",,"VOLUME","."&amp;C$2&amp;C$1&amp;"P"&amp;$A21)*RTD("tos.rtd",,"GAMMA","."&amp;C$2&amp;C$1&amp;"P"&amp;$A21))/1000000,0),IF($A$2="GEX",IFERROR(($A$4*$A$4*RTD("tos.rtd",,"OPEN_INT","."&amp;C$2&amp;C$1&amp;"C"&amp;$A21)*RTD("tos.rtd",,"GAMMA","."&amp;C$2&amp;C$1&amp;"C"&amp;$A21)-$A$4*$A$4*RTD("tos.rtd",,"OPEN_INT","."&amp;C$2&amp;C$1&amp;"P"&amp;$A21)*RTD("tos.rtd",,"GAMMA","."&amp;C$2&amp;C$1&amp;"P"&amp;$A21))/1000000,0),IF($A$2="SKEW",IFERROR(VALUE(IF(RTD("tos.rtd",,"IMPL_VOL","."&amp;C$2&amp;C$1&amp;"P"&amp;$A21)="N/A",0,RTD("tos.rtd",,"IMPL_VOL","."&amp;C$2&amp;C$1&amp;"P"&amp;$A21))),0)-IFERROR(VALUE(IF(RTD("tos.rtd",,"IMPL_VOL","."&amp;C$2&amp;C$1&amp;"C"&amp;$A21)="N/A",0,RTD("tos.rtd",,"IMPL_VOL","."&amp;C$2&amp;C$1&amp;"C"&amp;$A21))),0),IF($A$2="MAXPAIN",IF($A$4&gt;$A21,($A$4-$A21)*IF(RTD("tos.rtd",,"OPEN_INT","."&amp;C$2&amp;C$1&amp;"C"&amp;$A21)="N/A",0,RTD("tos.rtd",,"OPEN_INT","."&amp;C$2&amp;C$1&amp;"C"&amp;$A21)),0)+IF($A$4&lt;$A21,($A21-$A$4)*IF(RTD("tos.rtd",,"OPEN_INT","."&amp;C$2&amp;C$1&amp;"P"&amp;$A21)="N/A",0,RTD("tos.rtd",,"OPEN_INT","."&amp;C$2&amp;C$1&amp;"P"&amp;$A21)),0),IF(RTD("tos.rtd",,$A$2,"."&amp;C$2&amp;C$1&amp;"C"&amp;$A21)="N/A",0,RTD("tos.rtd",,$A$2,"."&amp;C$2&amp;C$1&amp;"C"&amp;$A21))-IF(RTD("tos.rtd",,$A$2,"."&amp;C$2&amp;C$1&amp;"P"&amp;$A21)="N/A",0,RTD("tos.rtd",,$A$2,"."&amp;C$2&amp;C$1&amp;"P"&amp;$A21)))))))))</f>
        <v>5315</v>
      </c>
      <c r="D21" s="12">
        <f>IF($A$2="PREMIUM_OI",IFERROR((100*RTD("tos.rtd",,"OPEN_INT","."&amp;D$2&amp;D$1&amp;"C"&amp;$A21)*RTD("tos.rtd",,"LAST","."&amp;D$2&amp;D$1&amp;"C"&amp;$A21)-100*RTD("tos.rtd",,"OPEN_INT","."&amp;D$2&amp;D$1&amp;"P"&amp;$A21)*RTD("tos.rtd",,"LAST","."&amp;D$2&amp;D$1&amp;"P"&amp;$A21))/1000000,0),IF($A$2="PREMIUM",IFERROR((100*RTD("tos.rtd",,"VOLUME","."&amp;D$2&amp;D$1&amp;"C"&amp;$A21)*RTD("tos.rtd",,"LAST","."&amp;D$2&amp;D$1&amp;"C"&amp;$A21)-100*RTD("tos.rtd",,"VOLUME","."&amp;D$2&amp;D$1&amp;"P"&amp;$A21)*RTD("tos.rtd",,"LAST","."&amp;D$2&amp;D$1&amp;"P"&amp;$A21))/1000000,0),IF($A$2="DEX",IFERROR((100*RTD("tos.rtd",,"OPEN_INT","."&amp;D$2&amp;D$1&amp;"C"&amp;$A21)*RTD("tos.rtd",,"DELTA","."&amp;D$2&amp;D$1&amp;"C"&amp;$A21)-100*RTD("tos.rtd",,"OPEN_INT","."&amp;D$2&amp;D$1&amp;"P"&amp;$A21)*RTD("tos.rtd",,"DELTA","."&amp;D$2&amp;D$1&amp;"P"&amp;$A21))/1000,0),IF($A$2="VEX",IFERROR(($A$4*$A$4*RTD("tos.rtd",,"VOLUME","."&amp;D$2&amp;D$1&amp;"C"&amp;$A21)*RTD("tos.rtd",,"GAMMA","."&amp;D$2&amp;D$1&amp;"C"&amp;$A21)-$A$4*$A$4*RTD("tos.rtd",,"VOLUME","."&amp;D$2&amp;D$1&amp;"P"&amp;$A21)*RTD("tos.rtd",,"GAMMA","."&amp;D$2&amp;D$1&amp;"P"&amp;$A21))/1000000,0),IF($A$2="GEX",IFERROR(($A$4*$A$4*RTD("tos.rtd",,"OPEN_INT","."&amp;D$2&amp;D$1&amp;"C"&amp;$A21)*RTD("tos.rtd",,"GAMMA","."&amp;D$2&amp;D$1&amp;"C"&amp;$A21)-$A$4*$A$4*RTD("tos.rtd",,"OPEN_INT","."&amp;D$2&amp;D$1&amp;"P"&amp;$A21)*RTD("tos.rtd",,"GAMMA","."&amp;D$2&amp;D$1&amp;"P"&amp;$A21))/1000000,0),IF($A$2="SKEW",IFERROR(VALUE(IF(RTD("tos.rtd",,"IMPL_VOL","."&amp;D$2&amp;D$1&amp;"P"&amp;$A21)="N/A",0,RTD("tos.rtd",,"IMPL_VOL","."&amp;D$2&amp;D$1&amp;"P"&amp;$A21))),0)-IFERROR(VALUE(IF(RTD("tos.rtd",,"IMPL_VOL","."&amp;D$2&amp;D$1&amp;"C"&amp;$A21)="N/A",0,RTD("tos.rtd",,"IMPL_VOL","."&amp;D$2&amp;D$1&amp;"C"&amp;$A21))),0),IF($A$2="MAXPAIN",IF($A$4&gt;$A21,($A$4-$A21)*IF(RTD("tos.rtd",,"OPEN_INT","."&amp;D$2&amp;D$1&amp;"C"&amp;$A21)="N/A",0,RTD("tos.rtd",,"OPEN_INT","."&amp;D$2&amp;D$1&amp;"C"&amp;$A21)),0)+IF($A$4&lt;$A21,($A21-$A$4)*IF(RTD("tos.rtd",,"OPEN_INT","."&amp;D$2&amp;D$1&amp;"P"&amp;$A21)="N/A",0,RTD("tos.rtd",,"OPEN_INT","."&amp;D$2&amp;D$1&amp;"P"&amp;$A21)),0),IF(RTD("tos.rtd",,$A$2,"."&amp;D$2&amp;D$1&amp;"C"&amp;$A21)="N/A",0,RTD("tos.rtd",,$A$2,"."&amp;D$2&amp;D$1&amp;"C"&amp;$A21))-IF(RTD("tos.rtd",,$A$2,"."&amp;D$2&amp;D$1&amp;"P"&amp;$A21)="N/A",0,RTD("tos.rtd",,$A$2,"."&amp;D$2&amp;D$1&amp;"P"&amp;$A21)))))))))</f>
        <v>0</v>
      </c>
      <c r="E21" s="12">
        <f>IF($A$2="PREMIUM_OI",IFERROR((100*RTD("tos.rtd",,"OPEN_INT","."&amp;E$2&amp;E$1&amp;"C"&amp;$A21)*RTD("tos.rtd",,"LAST","."&amp;E$2&amp;E$1&amp;"C"&amp;$A21)-100*RTD("tos.rtd",,"OPEN_INT","."&amp;E$2&amp;E$1&amp;"P"&amp;$A21)*RTD("tos.rtd",,"LAST","."&amp;E$2&amp;E$1&amp;"P"&amp;$A21))/1000000,0),IF($A$2="PREMIUM",IFERROR((100*RTD("tos.rtd",,"VOLUME","."&amp;E$2&amp;E$1&amp;"C"&amp;$A21)*RTD("tos.rtd",,"LAST","."&amp;E$2&amp;E$1&amp;"C"&amp;$A21)-100*RTD("tos.rtd",,"VOLUME","."&amp;E$2&amp;E$1&amp;"P"&amp;$A21)*RTD("tos.rtd",,"LAST","."&amp;E$2&amp;E$1&amp;"P"&amp;$A21))/1000000,0),IF($A$2="DEX",IFERROR((100*RTD("tos.rtd",,"OPEN_INT","."&amp;E$2&amp;E$1&amp;"C"&amp;$A21)*RTD("tos.rtd",,"DELTA","."&amp;E$2&amp;E$1&amp;"C"&amp;$A21)-100*RTD("tos.rtd",,"OPEN_INT","."&amp;E$2&amp;E$1&amp;"P"&amp;$A21)*RTD("tos.rtd",,"DELTA","."&amp;E$2&amp;E$1&amp;"P"&amp;$A21))/1000,0),IF($A$2="VEX",IFERROR(($A$4*$A$4*RTD("tos.rtd",,"VOLUME","."&amp;E$2&amp;E$1&amp;"C"&amp;$A21)*RTD("tos.rtd",,"GAMMA","."&amp;E$2&amp;E$1&amp;"C"&amp;$A21)-$A$4*$A$4*RTD("tos.rtd",,"VOLUME","."&amp;E$2&amp;E$1&amp;"P"&amp;$A21)*RTD("tos.rtd",,"GAMMA","."&amp;E$2&amp;E$1&amp;"P"&amp;$A21))/1000000,0),IF($A$2="GEX",IFERROR(($A$4*$A$4*RTD("tos.rtd",,"OPEN_INT","."&amp;E$2&amp;E$1&amp;"C"&amp;$A21)*RTD("tos.rtd",,"GAMMA","."&amp;E$2&amp;E$1&amp;"C"&amp;$A21)-$A$4*$A$4*RTD("tos.rtd",,"OPEN_INT","."&amp;E$2&amp;E$1&amp;"P"&amp;$A21)*RTD("tos.rtd",,"GAMMA","."&amp;E$2&amp;E$1&amp;"P"&amp;$A21))/1000000,0),IF($A$2="SKEW",IFERROR(VALUE(IF(RTD("tos.rtd",,"IMPL_VOL","."&amp;E$2&amp;E$1&amp;"P"&amp;$A21)="N/A",0,RTD("tos.rtd",,"IMPL_VOL","."&amp;E$2&amp;E$1&amp;"P"&amp;$A21))),0)-IFERROR(VALUE(IF(RTD("tos.rtd",,"IMPL_VOL","."&amp;E$2&amp;E$1&amp;"C"&amp;$A21)="N/A",0,RTD("tos.rtd",,"IMPL_VOL","."&amp;E$2&amp;E$1&amp;"C"&amp;$A21))),0),IF($A$2="MAXPAIN",IF($A$4&gt;$A21,($A$4-$A21)*IF(RTD("tos.rtd",,"OPEN_INT","."&amp;E$2&amp;E$1&amp;"C"&amp;$A21)="N/A",0,RTD("tos.rtd",,"OPEN_INT","."&amp;E$2&amp;E$1&amp;"C"&amp;$A21)),0)+IF($A$4&lt;$A21,($A21-$A$4)*IF(RTD("tos.rtd",,"OPEN_INT","."&amp;E$2&amp;E$1&amp;"P"&amp;$A21)="N/A",0,RTD("tos.rtd",,"OPEN_INT","."&amp;E$2&amp;E$1&amp;"P"&amp;$A21)),0),IF(RTD("tos.rtd",,$A$2,"."&amp;E$2&amp;E$1&amp;"C"&amp;$A21)="N/A",0,RTD("tos.rtd",,$A$2,"."&amp;E$2&amp;E$1&amp;"C"&amp;$A21))-IF(RTD("tos.rtd",,$A$2,"."&amp;E$2&amp;E$1&amp;"P"&amp;$A21)="N/A",0,RTD("tos.rtd",,$A$2,"."&amp;E$2&amp;E$1&amp;"P"&amp;$A21)))))))))</f>
        <v>0</v>
      </c>
      <c r="F21" s="12">
        <f>IF($A$2="PREMIUM_OI",IFERROR((100*RTD("tos.rtd",,"OPEN_INT","."&amp;F$2&amp;F$1&amp;"C"&amp;$A21)*RTD("tos.rtd",,"LAST","."&amp;F$2&amp;F$1&amp;"C"&amp;$A21)-100*RTD("tos.rtd",,"OPEN_INT","."&amp;F$2&amp;F$1&amp;"P"&amp;$A21)*RTD("tos.rtd",,"LAST","."&amp;F$2&amp;F$1&amp;"P"&amp;$A21))/1000000,0),IF($A$2="PREMIUM",IFERROR((100*RTD("tos.rtd",,"VOLUME","."&amp;F$2&amp;F$1&amp;"C"&amp;$A21)*RTD("tos.rtd",,"LAST","."&amp;F$2&amp;F$1&amp;"C"&amp;$A21)-100*RTD("tos.rtd",,"VOLUME","."&amp;F$2&amp;F$1&amp;"P"&amp;$A21)*RTD("tos.rtd",,"LAST","."&amp;F$2&amp;F$1&amp;"P"&amp;$A21))/1000000,0),IF($A$2="DEX",IFERROR((100*RTD("tos.rtd",,"OPEN_INT","."&amp;F$2&amp;F$1&amp;"C"&amp;$A21)*RTD("tos.rtd",,"DELTA","."&amp;F$2&amp;F$1&amp;"C"&amp;$A21)-100*RTD("tos.rtd",,"OPEN_INT","."&amp;F$2&amp;F$1&amp;"P"&amp;$A21)*RTD("tos.rtd",,"DELTA","."&amp;F$2&amp;F$1&amp;"P"&amp;$A21))/1000,0),IF($A$2="VEX",IFERROR(($A$4*$A$4*RTD("tos.rtd",,"VOLUME","."&amp;F$2&amp;F$1&amp;"C"&amp;$A21)*RTD("tos.rtd",,"GAMMA","."&amp;F$2&amp;F$1&amp;"C"&amp;$A21)-$A$4*$A$4*RTD("tos.rtd",,"VOLUME","."&amp;F$2&amp;F$1&amp;"P"&amp;$A21)*RTD("tos.rtd",,"GAMMA","."&amp;F$2&amp;F$1&amp;"P"&amp;$A21))/1000000,0),IF($A$2="GEX",IFERROR(($A$4*$A$4*RTD("tos.rtd",,"OPEN_INT","."&amp;F$2&amp;F$1&amp;"C"&amp;$A21)*RTD("tos.rtd",,"GAMMA","."&amp;F$2&amp;F$1&amp;"C"&amp;$A21)-$A$4*$A$4*RTD("tos.rtd",,"OPEN_INT","."&amp;F$2&amp;F$1&amp;"P"&amp;$A21)*RTD("tos.rtd",,"GAMMA","."&amp;F$2&amp;F$1&amp;"P"&amp;$A21))/1000000,0),IF($A$2="SKEW",IFERROR(VALUE(IF(RTD("tos.rtd",,"IMPL_VOL","."&amp;F$2&amp;F$1&amp;"P"&amp;$A21)="N/A",0,RTD("tos.rtd",,"IMPL_VOL","."&amp;F$2&amp;F$1&amp;"P"&amp;$A21))),0)-IFERROR(VALUE(IF(RTD("tos.rtd",,"IMPL_VOL","."&amp;F$2&amp;F$1&amp;"C"&amp;$A21)="N/A",0,RTD("tos.rtd",,"IMPL_VOL","."&amp;F$2&amp;F$1&amp;"C"&amp;$A21))),0),IF($A$2="MAXPAIN",IF($A$4&gt;$A21,($A$4-$A21)*IF(RTD("tos.rtd",,"OPEN_INT","."&amp;F$2&amp;F$1&amp;"C"&amp;$A21)="N/A",0,RTD("tos.rtd",,"OPEN_INT","."&amp;F$2&amp;F$1&amp;"C"&amp;$A21)),0)+IF($A$4&lt;$A21,($A21-$A$4)*IF(RTD("tos.rtd",,"OPEN_INT","."&amp;F$2&amp;F$1&amp;"P"&amp;$A21)="N/A",0,RTD("tos.rtd",,"OPEN_INT","."&amp;F$2&amp;F$1&amp;"P"&amp;$A21)),0),IF(RTD("tos.rtd",,$A$2,"."&amp;F$2&amp;F$1&amp;"C"&amp;$A21)="N/A",0,RTD("tos.rtd",,$A$2,"."&amp;F$2&amp;F$1&amp;"C"&amp;$A21))-IF(RTD("tos.rtd",,$A$2,"."&amp;F$2&amp;F$1&amp;"P"&amp;$A21)="N/A",0,RTD("tos.rtd",,$A$2,"."&amp;F$2&amp;F$1&amp;"P"&amp;$A21)))))))))</f>
        <v>0</v>
      </c>
      <c r="G21" s="14">
        <f>IF($A$2="PREMIUM_OI",IFERROR((100*RTD("tos.rtd",,"OPEN_INT","."&amp;G$2&amp;G$1&amp;"C"&amp;$A21)*RTD("tos.rtd",,"LAST","."&amp;G$2&amp;G$1&amp;"C"&amp;$A21)-100*RTD("tos.rtd",,"OPEN_INT","."&amp;G$2&amp;G$1&amp;"P"&amp;$A21)*RTD("tos.rtd",,"LAST","."&amp;G$2&amp;G$1&amp;"P"&amp;$A21))/1000000,0),IF($A$2="PREMIUM",IFERROR((100*RTD("tos.rtd",,"VOLUME","."&amp;G$2&amp;G$1&amp;"C"&amp;$A21)*RTD("tos.rtd",,"LAST","."&amp;G$2&amp;G$1&amp;"C"&amp;$A21)-100*RTD("tos.rtd",,"VOLUME","."&amp;G$2&amp;G$1&amp;"P"&amp;$A21)*RTD("tos.rtd",,"LAST","."&amp;G$2&amp;G$1&amp;"P"&amp;$A21))/1000000,0),IF($A$2="DEX",IFERROR((100*RTD("tos.rtd",,"OPEN_INT","."&amp;G$2&amp;G$1&amp;"C"&amp;$A21)*RTD("tos.rtd",,"DELTA","."&amp;G$2&amp;G$1&amp;"C"&amp;$A21)-100*RTD("tos.rtd",,"OPEN_INT","."&amp;G$2&amp;G$1&amp;"P"&amp;$A21)*RTD("tos.rtd",,"DELTA","."&amp;G$2&amp;G$1&amp;"P"&amp;$A21))/1000,0),IF($A$2="VEX",IFERROR(($A$4*$A$4*RTD("tos.rtd",,"VOLUME","."&amp;G$2&amp;G$1&amp;"C"&amp;$A21)*RTD("tos.rtd",,"GAMMA","."&amp;G$2&amp;G$1&amp;"C"&amp;$A21)-$A$4*$A$4*RTD("tos.rtd",,"VOLUME","."&amp;G$2&amp;G$1&amp;"P"&amp;$A21)*RTD("tos.rtd",,"GAMMA","."&amp;G$2&amp;G$1&amp;"P"&amp;$A21))/1000000,0),IF($A$2="GEX",IFERROR(($A$4*$A$4*RTD("tos.rtd",,"OPEN_INT","."&amp;G$2&amp;G$1&amp;"C"&amp;$A21)*RTD("tos.rtd",,"GAMMA","."&amp;G$2&amp;G$1&amp;"C"&amp;$A21)-$A$4*$A$4*RTD("tos.rtd",,"OPEN_INT","."&amp;G$2&amp;G$1&amp;"P"&amp;$A21)*RTD("tos.rtd",,"GAMMA","."&amp;G$2&amp;G$1&amp;"P"&amp;$A21))/1000000,0),IF($A$2="SKEW",IFERROR(VALUE(IF(RTD("tos.rtd",,"IMPL_VOL","."&amp;G$2&amp;G$1&amp;"P"&amp;$A21)="N/A",0,RTD("tos.rtd",,"IMPL_VOL","."&amp;G$2&amp;G$1&amp;"P"&amp;$A21))),0)-IFERROR(VALUE(IF(RTD("tos.rtd",,"IMPL_VOL","."&amp;G$2&amp;G$1&amp;"C"&amp;$A21)="N/A",0,RTD("tos.rtd",,"IMPL_VOL","."&amp;G$2&amp;G$1&amp;"C"&amp;$A21))),0),IF($A$2="MAXPAIN",IF($A$4&gt;$A21,($A$4-$A21)*IF(RTD("tos.rtd",,"OPEN_INT","."&amp;G$2&amp;G$1&amp;"C"&amp;$A21)="N/A",0,RTD("tos.rtd",,"OPEN_INT","."&amp;G$2&amp;G$1&amp;"C"&amp;$A21)),0)+IF($A$4&lt;$A21,($A21-$A$4)*IF(RTD("tos.rtd",,"OPEN_INT","."&amp;G$2&amp;G$1&amp;"P"&amp;$A21)="N/A",0,RTD("tos.rtd",,"OPEN_INT","."&amp;G$2&amp;G$1&amp;"P"&amp;$A21)),0),IF(RTD("tos.rtd",,$A$2,"."&amp;G$2&amp;G$1&amp;"C"&amp;$A21)="N/A",0,RTD("tos.rtd",,$A$2,"."&amp;G$2&amp;G$1&amp;"C"&amp;$A21))-IF(RTD("tos.rtd",,$A$2,"."&amp;G$2&amp;G$1&amp;"P"&amp;$A21)="N/A",0,RTD("tos.rtd",,$A$2,"."&amp;G$2&amp;G$1&amp;"P"&amp;$A21)))))))))</f>
        <v>0</v>
      </c>
      <c r="H21" s="12">
        <f>IF($A$2="PREMIUM_OI",IFERROR((100*RTD("tos.rtd",,"OPEN_INT","."&amp;H$2&amp;H$1&amp;"C"&amp;$A21)*RTD("tos.rtd",,"LAST","."&amp;H$2&amp;H$1&amp;"C"&amp;$A21)-100*RTD("tos.rtd",,"OPEN_INT","."&amp;H$2&amp;H$1&amp;"P"&amp;$A21)*RTD("tos.rtd",,"LAST","."&amp;H$2&amp;H$1&amp;"P"&amp;$A21))/1000000,0),IF($A$2="PREMIUM",IFERROR((100*RTD("tos.rtd",,"VOLUME","."&amp;H$2&amp;H$1&amp;"C"&amp;$A21)*RTD("tos.rtd",,"LAST","."&amp;H$2&amp;H$1&amp;"C"&amp;$A21)-100*RTD("tos.rtd",,"VOLUME","."&amp;H$2&amp;H$1&amp;"P"&amp;$A21)*RTD("tos.rtd",,"LAST","."&amp;H$2&amp;H$1&amp;"P"&amp;$A21))/1000000,0),IF($A$2="DEX",IFERROR((100*RTD("tos.rtd",,"OPEN_INT","."&amp;H$2&amp;H$1&amp;"C"&amp;$A21)*RTD("tos.rtd",,"DELTA","."&amp;H$2&amp;H$1&amp;"C"&amp;$A21)-100*RTD("tos.rtd",,"OPEN_INT","."&amp;H$2&amp;H$1&amp;"P"&amp;$A21)*RTD("tos.rtd",,"DELTA","."&amp;H$2&amp;H$1&amp;"P"&amp;$A21))/1000,0),IF($A$2="VEX",IFERROR(($A$4*$A$4*RTD("tos.rtd",,"VOLUME","."&amp;H$2&amp;H$1&amp;"C"&amp;$A21)*RTD("tos.rtd",,"GAMMA","."&amp;H$2&amp;H$1&amp;"C"&amp;$A21)-$A$4*$A$4*RTD("tos.rtd",,"VOLUME","."&amp;H$2&amp;H$1&amp;"P"&amp;$A21)*RTD("tos.rtd",,"GAMMA","."&amp;H$2&amp;H$1&amp;"P"&amp;$A21))/1000000,0),IF($A$2="GEX",IFERROR(($A$4*$A$4*RTD("tos.rtd",,"OPEN_INT","."&amp;H$2&amp;H$1&amp;"C"&amp;$A21)*RTD("tos.rtd",,"GAMMA","."&amp;H$2&amp;H$1&amp;"C"&amp;$A21)-$A$4*$A$4*RTD("tos.rtd",,"OPEN_INT","."&amp;H$2&amp;H$1&amp;"P"&amp;$A21)*RTD("tos.rtd",,"GAMMA","."&amp;H$2&amp;H$1&amp;"P"&amp;$A21))/1000000,0),IF($A$2="SKEW",IFERROR(VALUE(IF(RTD("tos.rtd",,"IMPL_VOL","."&amp;H$2&amp;H$1&amp;"P"&amp;$A21)="N/A",0,RTD("tos.rtd",,"IMPL_VOL","."&amp;H$2&amp;H$1&amp;"P"&amp;$A21))),0)-IFERROR(VALUE(IF(RTD("tos.rtd",,"IMPL_VOL","."&amp;H$2&amp;H$1&amp;"C"&amp;$A21)="N/A",0,RTD("tos.rtd",,"IMPL_VOL","."&amp;H$2&amp;H$1&amp;"C"&amp;$A21))),0),IF($A$2="MAXPAIN",IF($A$4&gt;$A21,($A$4-$A21)*IF(RTD("tos.rtd",,"OPEN_INT","."&amp;H$2&amp;H$1&amp;"C"&amp;$A21)="N/A",0,RTD("tos.rtd",,"OPEN_INT","."&amp;H$2&amp;H$1&amp;"C"&amp;$A21)),0)+IF($A$4&lt;$A21,($A21-$A$4)*IF(RTD("tos.rtd",,"OPEN_INT","."&amp;H$2&amp;H$1&amp;"P"&amp;$A21)="N/A",0,RTD("tos.rtd",,"OPEN_INT","."&amp;H$2&amp;H$1&amp;"P"&amp;$A21)),0),IF(RTD("tos.rtd",,$A$2,"."&amp;H$2&amp;H$1&amp;"C"&amp;$A21)="N/A",0,RTD("tos.rtd",,$A$2,"."&amp;H$2&amp;H$1&amp;"C"&amp;$A21))-IF(RTD("tos.rtd",,$A$2,"."&amp;H$2&amp;H$1&amp;"P"&amp;$A21)="N/A",0,RTD("tos.rtd",,$A$2,"."&amp;H$2&amp;H$1&amp;"P"&amp;$A21)))))))))</f>
        <v>1301</v>
      </c>
      <c r="I21" s="12">
        <f>IF($A$2="PREMIUM_OI",IFERROR((100*RTD("tos.rtd",,"OPEN_INT","."&amp;I$2&amp;I$1&amp;"C"&amp;$A21)*RTD("tos.rtd",,"LAST","."&amp;I$2&amp;I$1&amp;"C"&amp;$A21)-100*RTD("tos.rtd",,"OPEN_INT","."&amp;I$2&amp;I$1&amp;"P"&amp;$A21)*RTD("tos.rtd",,"LAST","."&amp;I$2&amp;I$1&amp;"P"&amp;$A21))/1000000,0),IF($A$2="PREMIUM",IFERROR((100*RTD("tos.rtd",,"VOLUME","."&amp;I$2&amp;I$1&amp;"C"&amp;$A21)*RTD("tos.rtd",,"LAST","."&amp;I$2&amp;I$1&amp;"C"&amp;$A21)-100*RTD("tos.rtd",,"VOLUME","."&amp;I$2&amp;I$1&amp;"P"&amp;$A21)*RTD("tos.rtd",,"LAST","."&amp;I$2&amp;I$1&amp;"P"&amp;$A21))/1000000,0),IF($A$2="DEX",IFERROR((100*RTD("tos.rtd",,"OPEN_INT","."&amp;I$2&amp;I$1&amp;"C"&amp;$A21)*RTD("tos.rtd",,"DELTA","."&amp;I$2&amp;I$1&amp;"C"&amp;$A21)-100*RTD("tos.rtd",,"OPEN_INT","."&amp;I$2&amp;I$1&amp;"P"&amp;$A21)*RTD("tos.rtd",,"DELTA","."&amp;I$2&amp;I$1&amp;"P"&amp;$A21))/1000,0),IF($A$2="VEX",IFERROR(($A$4*$A$4*RTD("tos.rtd",,"VOLUME","."&amp;I$2&amp;I$1&amp;"C"&amp;$A21)*RTD("tos.rtd",,"GAMMA","."&amp;I$2&amp;I$1&amp;"C"&amp;$A21)-$A$4*$A$4*RTD("tos.rtd",,"VOLUME","."&amp;I$2&amp;I$1&amp;"P"&amp;$A21)*RTD("tos.rtd",,"GAMMA","."&amp;I$2&amp;I$1&amp;"P"&amp;$A21))/1000000,0),IF($A$2="GEX",IFERROR(($A$4*$A$4*RTD("tos.rtd",,"OPEN_INT","."&amp;I$2&amp;I$1&amp;"C"&amp;$A21)*RTD("tos.rtd",,"GAMMA","."&amp;I$2&amp;I$1&amp;"C"&amp;$A21)-$A$4*$A$4*RTD("tos.rtd",,"OPEN_INT","."&amp;I$2&amp;I$1&amp;"P"&amp;$A21)*RTD("tos.rtd",,"GAMMA","."&amp;I$2&amp;I$1&amp;"P"&amp;$A21))/1000000,0),IF($A$2="SKEW",IFERROR(VALUE(IF(RTD("tos.rtd",,"IMPL_VOL","."&amp;I$2&amp;I$1&amp;"P"&amp;$A21)="N/A",0,RTD("tos.rtd",,"IMPL_VOL","."&amp;I$2&amp;I$1&amp;"P"&amp;$A21))),0)-IFERROR(VALUE(IF(RTD("tos.rtd",,"IMPL_VOL","."&amp;I$2&amp;I$1&amp;"C"&amp;$A21)="N/A",0,RTD("tos.rtd",,"IMPL_VOL","."&amp;I$2&amp;I$1&amp;"C"&amp;$A21))),0),IF($A$2="MAXPAIN",IF($A$4&gt;$A21,($A$4-$A21)*IF(RTD("tos.rtd",,"OPEN_INT","."&amp;I$2&amp;I$1&amp;"C"&amp;$A21)="N/A",0,RTD("tos.rtd",,"OPEN_INT","."&amp;I$2&amp;I$1&amp;"C"&amp;$A21)),0)+IF($A$4&lt;$A21,($A21-$A$4)*IF(RTD("tos.rtd",,"OPEN_INT","."&amp;I$2&amp;I$1&amp;"P"&amp;$A21)="N/A",0,RTD("tos.rtd",,"OPEN_INT","."&amp;I$2&amp;I$1&amp;"P"&amp;$A21)),0),IF(RTD("tos.rtd",,$A$2,"."&amp;I$2&amp;I$1&amp;"C"&amp;$A21)="N/A",0,RTD("tos.rtd",,$A$2,"."&amp;I$2&amp;I$1&amp;"C"&amp;$A21))-IF(RTD("tos.rtd",,$A$2,"."&amp;I$2&amp;I$1&amp;"P"&amp;$A21)="N/A",0,RTD("tos.rtd",,$A$2,"."&amp;I$2&amp;I$1&amp;"P"&amp;$A21)))))))))</f>
        <v>0</v>
      </c>
      <c r="J21" s="12">
        <f>IF($A$2="PREMIUM_OI",IFERROR((100*RTD("tos.rtd",,"OPEN_INT","."&amp;J$2&amp;J$1&amp;"C"&amp;$A21)*RTD("tos.rtd",,"LAST","."&amp;J$2&amp;J$1&amp;"C"&amp;$A21)-100*RTD("tos.rtd",,"OPEN_INT","."&amp;J$2&amp;J$1&amp;"P"&amp;$A21)*RTD("tos.rtd",,"LAST","."&amp;J$2&amp;J$1&amp;"P"&amp;$A21))/1000000,0),IF($A$2="PREMIUM",IFERROR((100*RTD("tos.rtd",,"VOLUME","."&amp;J$2&amp;J$1&amp;"C"&amp;$A21)*RTD("tos.rtd",,"LAST","."&amp;J$2&amp;J$1&amp;"C"&amp;$A21)-100*RTD("tos.rtd",,"VOLUME","."&amp;J$2&amp;J$1&amp;"P"&amp;$A21)*RTD("tos.rtd",,"LAST","."&amp;J$2&amp;J$1&amp;"P"&amp;$A21))/1000000,0),IF($A$2="DEX",IFERROR((100*RTD("tos.rtd",,"OPEN_INT","."&amp;J$2&amp;J$1&amp;"C"&amp;$A21)*RTD("tos.rtd",,"DELTA","."&amp;J$2&amp;J$1&amp;"C"&amp;$A21)-100*RTD("tos.rtd",,"OPEN_INT","."&amp;J$2&amp;J$1&amp;"P"&amp;$A21)*RTD("tos.rtd",,"DELTA","."&amp;J$2&amp;J$1&amp;"P"&amp;$A21))/1000,0),IF($A$2="VEX",IFERROR(($A$4*$A$4*RTD("tos.rtd",,"VOLUME","."&amp;J$2&amp;J$1&amp;"C"&amp;$A21)*RTD("tos.rtd",,"GAMMA","."&amp;J$2&amp;J$1&amp;"C"&amp;$A21)-$A$4*$A$4*RTD("tos.rtd",,"VOLUME","."&amp;J$2&amp;J$1&amp;"P"&amp;$A21)*RTD("tos.rtd",,"GAMMA","."&amp;J$2&amp;J$1&amp;"P"&amp;$A21))/1000000,0),IF($A$2="GEX",IFERROR(($A$4*$A$4*RTD("tos.rtd",,"OPEN_INT","."&amp;J$2&amp;J$1&amp;"C"&amp;$A21)*RTD("tos.rtd",,"GAMMA","."&amp;J$2&amp;J$1&amp;"C"&amp;$A21)-$A$4*$A$4*RTD("tos.rtd",,"OPEN_INT","."&amp;J$2&amp;J$1&amp;"P"&amp;$A21)*RTD("tos.rtd",,"GAMMA","."&amp;J$2&amp;J$1&amp;"P"&amp;$A21))/1000000,0),IF($A$2="SKEW",IFERROR(VALUE(IF(RTD("tos.rtd",,"IMPL_VOL","."&amp;J$2&amp;J$1&amp;"P"&amp;$A21)="N/A",0,RTD("tos.rtd",,"IMPL_VOL","."&amp;J$2&amp;J$1&amp;"P"&amp;$A21))),0)-IFERROR(VALUE(IF(RTD("tos.rtd",,"IMPL_VOL","."&amp;J$2&amp;J$1&amp;"C"&amp;$A21)="N/A",0,RTD("tos.rtd",,"IMPL_VOL","."&amp;J$2&amp;J$1&amp;"C"&amp;$A21))),0),IF($A$2="MAXPAIN",IF($A$4&gt;$A21,($A$4-$A21)*IF(RTD("tos.rtd",,"OPEN_INT","."&amp;J$2&amp;J$1&amp;"C"&amp;$A21)="N/A",0,RTD("tos.rtd",,"OPEN_INT","."&amp;J$2&amp;J$1&amp;"C"&amp;$A21)),0)+IF($A$4&lt;$A21,($A21-$A$4)*IF(RTD("tos.rtd",,"OPEN_INT","."&amp;J$2&amp;J$1&amp;"P"&amp;$A21)="N/A",0,RTD("tos.rtd",,"OPEN_INT","."&amp;J$2&amp;J$1&amp;"P"&amp;$A21)),0),IF(RTD("tos.rtd",,$A$2,"."&amp;J$2&amp;J$1&amp;"C"&amp;$A21)="N/A",0,RTD("tos.rtd",,$A$2,"."&amp;J$2&amp;J$1&amp;"C"&amp;$A21))-IF(RTD("tos.rtd",,$A$2,"."&amp;J$2&amp;J$1&amp;"P"&amp;$A21)="N/A",0,RTD("tos.rtd",,$A$2,"."&amp;J$2&amp;J$1&amp;"P"&amp;$A21)))))))))</f>
        <v>0</v>
      </c>
      <c r="K21" s="12">
        <f>IF($A$2="PREMIUM_OI",IFERROR((100*RTD("tos.rtd",,"OPEN_INT","."&amp;K$2&amp;K$1&amp;"C"&amp;$A21)*RTD("tos.rtd",,"LAST","."&amp;K$2&amp;K$1&amp;"C"&amp;$A21)-100*RTD("tos.rtd",,"OPEN_INT","."&amp;K$2&amp;K$1&amp;"P"&amp;$A21)*RTD("tos.rtd",,"LAST","."&amp;K$2&amp;K$1&amp;"P"&amp;$A21))/1000000,0),IF($A$2="PREMIUM",IFERROR((100*RTD("tos.rtd",,"VOLUME","."&amp;K$2&amp;K$1&amp;"C"&amp;$A21)*RTD("tos.rtd",,"LAST","."&amp;K$2&amp;K$1&amp;"C"&amp;$A21)-100*RTD("tos.rtd",,"VOLUME","."&amp;K$2&amp;K$1&amp;"P"&amp;$A21)*RTD("tos.rtd",,"LAST","."&amp;K$2&amp;K$1&amp;"P"&amp;$A21))/1000000,0),IF($A$2="DEX",IFERROR((100*RTD("tos.rtd",,"OPEN_INT","."&amp;K$2&amp;K$1&amp;"C"&amp;$A21)*RTD("tos.rtd",,"DELTA","."&amp;K$2&amp;K$1&amp;"C"&amp;$A21)-100*RTD("tos.rtd",,"OPEN_INT","."&amp;K$2&amp;K$1&amp;"P"&amp;$A21)*RTD("tos.rtd",,"DELTA","."&amp;K$2&amp;K$1&amp;"P"&amp;$A21))/1000,0),IF($A$2="VEX",IFERROR(($A$4*$A$4*RTD("tos.rtd",,"VOLUME","."&amp;K$2&amp;K$1&amp;"C"&amp;$A21)*RTD("tos.rtd",,"GAMMA","."&amp;K$2&amp;K$1&amp;"C"&amp;$A21)-$A$4*$A$4*RTD("tos.rtd",,"VOLUME","."&amp;K$2&amp;K$1&amp;"P"&amp;$A21)*RTD("tos.rtd",,"GAMMA","."&amp;K$2&amp;K$1&amp;"P"&amp;$A21))/1000000,0),IF($A$2="GEX",IFERROR(($A$4*$A$4*RTD("tos.rtd",,"OPEN_INT","."&amp;K$2&amp;K$1&amp;"C"&amp;$A21)*RTD("tos.rtd",,"GAMMA","."&amp;K$2&amp;K$1&amp;"C"&amp;$A21)-$A$4*$A$4*RTD("tos.rtd",,"OPEN_INT","."&amp;K$2&amp;K$1&amp;"P"&amp;$A21)*RTD("tos.rtd",,"GAMMA","."&amp;K$2&amp;K$1&amp;"P"&amp;$A21))/1000000,0),IF($A$2="SKEW",IFERROR(VALUE(IF(RTD("tos.rtd",,"IMPL_VOL","."&amp;K$2&amp;K$1&amp;"P"&amp;$A21)="N/A",0,RTD("tos.rtd",,"IMPL_VOL","."&amp;K$2&amp;K$1&amp;"P"&amp;$A21))),0)-IFERROR(VALUE(IF(RTD("tos.rtd",,"IMPL_VOL","."&amp;K$2&amp;K$1&amp;"C"&amp;$A21)="N/A",0,RTD("tos.rtd",,"IMPL_VOL","."&amp;K$2&amp;K$1&amp;"C"&amp;$A21))),0),IF($A$2="MAXPAIN",IF($A$4&gt;$A21,($A$4-$A21)*IF(RTD("tos.rtd",,"OPEN_INT","."&amp;K$2&amp;K$1&amp;"C"&amp;$A21)="N/A",0,RTD("tos.rtd",,"OPEN_INT","."&amp;K$2&amp;K$1&amp;"C"&amp;$A21)),0)+IF($A$4&lt;$A21,($A21-$A$4)*IF(RTD("tos.rtd",,"OPEN_INT","."&amp;K$2&amp;K$1&amp;"P"&amp;$A21)="N/A",0,RTD("tos.rtd",,"OPEN_INT","."&amp;K$2&amp;K$1&amp;"P"&amp;$A21)),0),IF(RTD("tos.rtd",,$A$2,"."&amp;K$2&amp;K$1&amp;"C"&amp;$A21)="N/A",0,RTD("tos.rtd",,$A$2,"."&amp;K$2&amp;K$1&amp;"C"&amp;$A21))-IF(RTD("tos.rtd",,$A$2,"."&amp;K$2&amp;K$1&amp;"P"&amp;$A21)="N/A",0,RTD("tos.rtd",,$A$2,"."&amp;K$2&amp;K$1&amp;"P"&amp;$A21)))))))))</f>
        <v>0</v>
      </c>
      <c r="L21" s="12">
        <f>IF($A$2="PREMIUM_OI",IFERROR((100*RTD("tos.rtd",,"OPEN_INT","."&amp;L$2&amp;L$1&amp;"C"&amp;$A21)*RTD("tos.rtd",,"LAST","."&amp;L$2&amp;L$1&amp;"C"&amp;$A21)-100*RTD("tos.rtd",,"OPEN_INT","."&amp;L$2&amp;L$1&amp;"P"&amp;$A21)*RTD("tos.rtd",,"LAST","."&amp;L$2&amp;L$1&amp;"P"&amp;$A21))/1000000,0),IF($A$2="PREMIUM",IFERROR((100*RTD("tos.rtd",,"VOLUME","."&amp;L$2&amp;L$1&amp;"C"&amp;$A21)*RTD("tos.rtd",,"LAST","."&amp;L$2&amp;L$1&amp;"C"&amp;$A21)-100*RTD("tos.rtd",,"VOLUME","."&amp;L$2&amp;L$1&amp;"P"&amp;$A21)*RTD("tos.rtd",,"LAST","."&amp;L$2&amp;L$1&amp;"P"&amp;$A21))/1000000,0),IF($A$2="DEX",IFERROR((100*RTD("tos.rtd",,"OPEN_INT","."&amp;L$2&amp;L$1&amp;"C"&amp;$A21)*RTD("tos.rtd",,"DELTA","."&amp;L$2&amp;L$1&amp;"C"&amp;$A21)-100*RTD("tos.rtd",,"OPEN_INT","."&amp;L$2&amp;L$1&amp;"P"&amp;$A21)*RTD("tos.rtd",,"DELTA","."&amp;L$2&amp;L$1&amp;"P"&amp;$A21))/1000,0),IF($A$2="VEX",IFERROR(($A$4*$A$4*RTD("tos.rtd",,"VOLUME","."&amp;L$2&amp;L$1&amp;"C"&amp;$A21)*RTD("tos.rtd",,"GAMMA","."&amp;L$2&amp;L$1&amp;"C"&amp;$A21)-$A$4*$A$4*RTD("tos.rtd",,"VOLUME","."&amp;L$2&amp;L$1&amp;"P"&amp;$A21)*RTD("tos.rtd",,"GAMMA","."&amp;L$2&amp;L$1&amp;"P"&amp;$A21))/1000000,0),IF($A$2="GEX",IFERROR(($A$4*$A$4*RTD("tos.rtd",,"OPEN_INT","."&amp;L$2&amp;L$1&amp;"C"&amp;$A21)*RTD("tos.rtd",,"GAMMA","."&amp;L$2&amp;L$1&amp;"C"&amp;$A21)-$A$4*$A$4*RTD("tos.rtd",,"OPEN_INT","."&amp;L$2&amp;L$1&amp;"P"&amp;$A21)*RTD("tos.rtd",,"GAMMA","."&amp;L$2&amp;L$1&amp;"P"&amp;$A21))/1000000,0),IF($A$2="SKEW",IFERROR(VALUE(IF(RTD("tos.rtd",,"IMPL_VOL","."&amp;L$2&amp;L$1&amp;"P"&amp;$A21)="N/A",0,RTD("tos.rtd",,"IMPL_VOL","."&amp;L$2&amp;L$1&amp;"P"&amp;$A21))),0)-IFERROR(VALUE(IF(RTD("tos.rtd",,"IMPL_VOL","."&amp;L$2&amp;L$1&amp;"C"&amp;$A21)="N/A",0,RTD("tos.rtd",,"IMPL_VOL","."&amp;L$2&amp;L$1&amp;"C"&amp;$A21))),0),IF($A$2="MAXPAIN",IF($A$4&gt;$A21,($A$4-$A21)*IF(RTD("tos.rtd",,"OPEN_INT","."&amp;L$2&amp;L$1&amp;"C"&amp;$A21)="N/A",0,RTD("tos.rtd",,"OPEN_INT","."&amp;L$2&amp;L$1&amp;"C"&amp;$A21)),0)+IF($A$4&lt;$A21,($A21-$A$4)*IF(RTD("tos.rtd",,"OPEN_INT","."&amp;L$2&amp;L$1&amp;"P"&amp;$A21)="N/A",0,RTD("tos.rtd",,"OPEN_INT","."&amp;L$2&amp;L$1&amp;"P"&amp;$A21)),0),IF(RTD("tos.rtd",,$A$2,"."&amp;L$2&amp;L$1&amp;"C"&amp;$A21)="N/A",0,RTD("tos.rtd",,$A$2,"."&amp;L$2&amp;L$1&amp;"C"&amp;$A21))-IF(RTD("tos.rtd",,$A$2,"."&amp;L$2&amp;L$1&amp;"P"&amp;$A21)="N/A",0,RTD("tos.rtd",,$A$2,"."&amp;L$2&amp;L$1&amp;"P"&amp;$A21)))))))))</f>
        <v>0</v>
      </c>
      <c r="M21" s="12">
        <f>IF($A$2="PREMIUM_OI",IFERROR((100*RTD("tos.rtd",,"OPEN_INT","."&amp;M$2&amp;M$1&amp;"C"&amp;$A21)*RTD("tos.rtd",,"LAST","."&amp;M$2&amp;M$1&amp;"C"&amp;$A21)-100*RTD("tos.rtd",,"OPEN_INT","."&amp;M$2&amp;M$1&amp;"P"&amp;$A21)*RTD("tos.rtd",,"LAST","."&amp;M$2&amp;M$1&amp;"P"&amp;$A21))/1000000,0),IF($A$2="PREMIUM",IFERROR((100*RTD("tos.rtd",,"VOLUME","."&amp;M$2&amp;M$1&amp;"C"&amp;$A21)*RTD("tos.rtd",,"LAST","."&amp;M$2&amp;M$1&amp;"C"&amp;$A21)-100*RTD("tos.rtd",,"VOLUME","."&amp;M$2&amp;M$1&amp;"P"&amp;$A21)*RTD("tos.rtd",,"LAST","."&amp;M$2&amp;M$1&amp;"P"&amp;$A21))/1000000,0),IF($A$2="DEX",IFERROR((100*RTD("tos.rtd",,"OPEN_INT","."&amp;M$2&amp;M$1&amp;"C"&amp;$A21)*RTD("tos.rtd",,"DELTA","."&amp;M$2&amp;M$1&amp;"C"&amp;$A21)-100*RTD("tos.rtd",,"OPEN_INT","."&amp;M$2&amp;M$1&amp;"P"&amp;$A21)*RTD("tos.rtd",,"DELTA","."&amp;M$2&amp;M$1&amp;"P"&amp;$A21))/1000,0),IF($A$2="VEX",IFERROR(($A$4*$A$4*RTD("tos.rtd",,"VOLUME","."&amp;M$2&amp;M$1&amp;"C"&amp;$A21)*RTD("tos.rtd",,"GAMMA","."&amp;M$2&amp;M$1&amp;"C"&amp;$A21)-$A$4*$A$4*RTD("tos.rtd",,"VOLUME","."&amp;M$2&amp;M$1&amp;"P"&amp;$A21)*RTD("tos.rtd",,"GAMMA","."&amp;M$2&amp;M$1&amp;"P"&amp;$A21))/1000000,0),IF($A$2="GEX",IFERROR(($A$4*$A$4*RTD("tos.rtd",,"OPEN_INT","."&amp;M$2&amp;M$1&amp;"C"&amp;$A21)*RTD("tos.rtd",,"GAMMA","."&amp;M$2&amp;M$1&amp;"C"&amp;$A21)-$A$4*$A$4*RTD("tos.rtd",,"OPEN_INT","."&amp;M$2&amp;M$1&amp;"P"&amp;$A21)*RTD("tos.rtd",,"GAMMA","."&amp;M$2&amp;M$1&amp;"P"&amp;$A21))/1000000,0),IF($A$2="SKEW",IFERROR(VALUE(IF(RTD("tos.rtd",,"IMPL_VOL","."&amp;M$2&amp;M$1&amp;"P"&amp;$A21)="N/A",0,RTD("tos.rtd",,"IMPL_VOL","."&amp;M$2&amp;M$1&amp;"P"&amp;$A21))),0)-IFERROR(VALUE(IF(RTD("tos.rtd",,"IMPL_VOL","."&amp;M$2&amp;M$1&amp;"C"&amp;$A21)="N/A",0,RTD("tos.rtd",,"IMPL_VOL","."&amp;M$2&amp;M$1&amp;"C"&amp;$A21))),0),IF($A$2="MAXPAIN",IF($A$4&gt;$A21,($A$4-$A21)*IF(RTD("tos.rtd",,"OPEN_INT","."&amp;M$2&amp;M$1&amp;"C"&amp;$A21)="N/A",0,RTD("tos.rtd",,"OPEN_INT","."&amp;M$2&amp;M$1&amp;"C"&amp;$A21)),0)+IF($A$4&lt;$A21,($A21-$A$4)*IF(RTD("tos.rtd",,"OPEN_INT","."&amp;M$2&amp;M$1&amp;"P"&amp;$A21)="N/A",0,RTD("tos.rtd",,"OPEN_INT","."&amp;M$2&amp;M$1&amp;"P"&amp;$A21)),0),IF(RTD("tos.rtd",,$A$2,"."&amp;M$2&amp;M$1&amp;"C"&amp;$A21)="N/A",0,RTD("tos.rtd",,$A$2,"."&amp;M$2&amp;M$1&amp;"C"&amp;$A21))-IF(RTD("tos.rtd",,$A$2,"."&amp;M$2&amp;M$1&amp;"P"&amp;$A21)="N/A",0,RTD("tos.rtd",,$A$2,"."&amp;M$2&amp;M$1&amp;"P"&amp;$A21)))))))))</f>
        <v>2409</v>
      </c>
      <c r="N21" s="12">
        <f>IF($A$2="PREMIUM_OI",IFERROR((100*RTD("tos.rtd",,"OPEN_INT","."&amp;N$2&amp;N$1&amp;"C"&amp;$A21)*RTD("tos.rtd",,"LAST","."&amp;N$2&amp;N$1&amp;"C"&amp;$A21)-100*RTD("tos.rtd",,"OPEN_INT","."&amp;N$2&amp;N$1&amp;"P"&amp;$A21)*RTD("tos.rtd",,"LAST","."&amp;N$2&amp;N$1&amp;"P"&amp;$A21))/1000000,0),IF($A$2="PREMIUM",IFERROR((100*RTD("tos.rtd",,"VOLUME","."&amp;N$2&amp;N$1&amp;"C"&amp;$A21)*RTD("tos.rtd",,"LAST","."&amp;N$2&amp;N$1&amp;"C"&amp;$A21)-100*RTD("tos.rtd",,"VOLUME","."&amp;N$2&amp;N$1&amp;"P"&amp;$A21)*RTD("tos.rtd",,"LAST","."&amp;N$2&amp;N$1&amp;"P"&amp;$A21))/1000000,0),IF($A$2="DEX",IFERROR((100*RTD("tos.rtd",,"OPEN_INT","."&amp;N$2&amp;N$1&amp;"C"&amp;$A21)*RTD("tos.rtd",,"DELTA","."&amp;N$2&amp;N$1&amp;"C"&amp;$A21)-100*RTD("tos.rtd",,"OPEN_INT","."&amp;N$2&amp;N$1&amp;"P"&amp;$A21)*RTD("tos.rtd",,"DELTA","."&amp;N$2&amp;N$1&amp;"P"&amp;$A21))/1000,0),IF($A$2="VEX",IFERROR(($A$4*$A$4*RTD("tos.rtd",,"VOLUME","."&amp;N$2&amp;N$1&amp;"C"&amp;$A21)*RTD("tos.rtd",,"GAMMA","."&amp;N$2&amp;N$1&amp;"C"&amp;$A21)-$A$4*$A$4*RTD("tos.rtd",,"VOLUME","."&amp;N$2&amp;N$1&amp;"P"&amp;$A21)*RTD("tos.rtd",,"GAMMA","."&amp;N$2&amp;N$1&amp;"P"&amp;$A21))/1000000,0),IF($A$2="GEX",IFERROR(($A$4*$A$4*RTD("tos.rtd",,"OPEN_INT","."&amp;N$2&amp;N$1&amp;"C"&amp;$A21)*RTD("tos.rtd",,"GAMMA","."&amp;N$2&amp;N$1&amp;"C"&amp;$A21)-$A$4*$A$4*RTD("tos.rtd",,"OPEN_INT","."&amp;N$2&amp;N$1&amp;"P"&amp;$A21)*RTD("tos.rtd",,"GAMMA","."&amp;N$2&amp;N$1&amp;"P"&amp;$A21))/1000000,0),IF($A$2="SKEW",IFERROR(VALUE(IF(RTD("tos.rtd",,"IMPL_VOL","."&amp;N$2&amp;N$1&amp;"P"&amp;$A21)="N/A",0,RTD("tos.rtd",,"IMPL_VOL","."&amp;N$2&amp;N$1&amp;"P"&amp;$A21))),0)-IFERROR(VALUE(IF(RTD("tos.rtd",,"IMPL_VOL","."&amp;N$2&amp;N$1&amp;"C"&amp;$A21)="N/A",0,RTD("tos.rtd",,"IMPL_VOL","."&amp;N$2&amp;N$1&amp;"C"&amp;$A21))),0),IF($A$2="MAXPAIN",IF($A$4&gt;$A21,($A$4-$A21)*IF(RTD("tos.rtd",,"OPEN_INT","."&amp;N$2&amp;N$1&amp;"C"&amp;$A21)="N/A",0,RTD("tos.rtd",,"OPEN_INT","."&amp;N$2&amp;N$1&amp;"C"&amp;$A21)),0)+IF($A$4&lt;$A21,($A21-$A$4)*IF(RTD("tos.rtd",,"OPEN_INT","."&amp;N$2&amp;N$1&amp;"P"&amp;$A21)="N/A",0,RTD("tos.rtd",,"OPEN_INT","."&amp;N$2&amp;N$1&amp;"P"&amp;$A21)),0),IF(RTD("tos.rtd",,$A$2,"."&amp;N$2&amp;N$1&amp;"C"&amp;$A21)="N/A",0,RTD("tos.rtd",,$A$2,"."&amp;N$2&amp;N$1&amp;"C"&amp;$A21))-IF(RTD("tos.rtd",,$A$2,"."&amp;N$2&amp;N$1&amp;"P"&amp;$A21)="N/A",0,RTD("tos.rtd",,$A$2,"."&amp;N$2&amp;N$1&amp;"P"&amp;$A21)))))))))</f>
        <v>0</v>
      </c>
      <c r="O21" s="12">
        <f>IF($A$2="PREMIUM_OI",IFERROR((100*RTD("tos.rtd",,"OPEN_INT","."&amp;O$2&amp;O$1&amp;"C"&amp;$A21)*RTD("tos.rtd",,"LAST","."&amp;O$2&amp;O$1&amp;"C"&amp;$A21)-100*RTD("tos.rtd",,"OPEN_INT","."&amp;O$2&amp;O$1&amp;"P"&amp;$A21)*RTD("tos.rtd",,"LAST","."&amp;O$2&amp;O$1&amp;"P"&amp;$A21))/1000000,0),IF($A$2="PREMIUM",IFERROR((100*RTD("tos.rtd",,"VOLUME","."&amp;O$2&amp;O$1&amp;"C"&amp;$A21)*RTD("tos.rtd",,"LAST","."&amp;O$2&amp;O$1&amp;"C"&amp;$A21)-100*RTD("tos.rtd",,"VOLUME","."&amp;O$2&amp;O$1&amp;"P"&amp;$A21)*RTD("tos.rtd",,"LAST","."&amp;O$2&amp;O$1&amp;"P"&amp;$A21))/1000000,0),IF($A$2="DEX",IFERROR((100*RTD("tos.rtd",,"OPEN_INT","."&amp;O$2&amp;O$1&amp;"C"&amp;$A21)*RTD("tos.rtd",,"DELTA","."&amp;O$2&amp;O$1&amp;"C"&amp;$A21)-100*RTD("tos.rtd",,"OPEN_INT","."&amp;O$2&amp;O$1&amp;"P"&amp;$A21)*RTD("tos.rtd",,"DELTA","."&amp;O$2&amp;O$1&amp;"P"&amp;$A21))/1000,0),IF($A$2="VEX",IFERROR(($A$4*$A$4*RTD("tos.rtd",,"VOLUME","."&amp;O$2&amp;O$1&amp;"C"&amp;$A21)*RTD("tos.rtd",,"GAMMA","."&amp;O$2&amp;O$1&amp;"C"&amp;$A21)-$A$4*$A$4*RTD("tos.rtd",,"VOLUME","."&amp;O$2&amp;O$1&amp;"P"&amp;$A21)*RTD("tos.rtd",,"GAMMA","."&amp;O$2&amp;O$1&amp;"P"&amp;$A21))/1000000,0),IF($A$2="GEX",IFERROR(($A$4*$A$4*RTD("tos.rtd",,"OPEN_INT","."&amp;O$2&amp;O$1&amp;"C"&amp;$A21)*RTD("tos.rtd",,"GAMMA","."&amp;O$2&amp;O$1&amp;"C"&amp;$A21)-$A$4*$A$4*RTD("tos.rtd",,"OPEN_INT","."&amp;O$2&amp;O$1&amp;"P"&amp;$A21)*RTD("tos.rtd",,"GAMMA","."&amp;O$2&amp;O$1&amp;"P"&amp;$A21))/1000000,0),IF($A$2="SKEW",IFERROR(VALUE(IF(RTD("tos.rtd",,"IMPL_VOL","."&amp;O$2&amp;O$1&amp;"P"&amp;$A21)="N/A",0,RTD("tos.rtd",,"IMPL_VOL","."&amp;O$2&amp;O$1&amp;"P"&amp;$A21))),0)-IFERROR(VALUE(IF(RTD("tos.rtd",,"IMPL_VOL","."&amp;O$2&amp;O$1&amp;"C"&amp;$A21)="N/A",0,RTD("tos.rtd",,"IMPL_VOL","."&amp;O$2&amp;O$1&amp;"C"&amp;$A21))),0),IF($A$2="MAXPAIN",IF($A$4&gt;$A21,($A$4-$A21)*IF(RTD("tos.rtd",,"OPEN_INT","."&amp;O$2&amp;O$1&amp;"C"&amp;$A21)="N/A",0,RTD("tos.rtd",,"OPEN_INT","."&amp;O$2&amp;O$1&amp;"C"&amp;$A21)),0)+IF($A$4&lt;$A21,($A21-$A$4)*IF(RTD("tos.rtd",,"OPEN_INT","."&amp;O$2&amp;O$1&amp;"P"&amp;$A21)="N/A",0,RTD("tos.rtd",,"OPEN_INT","."&amp;O$2&amp;O$1&amp;"P"&amp;$A21)),0),IF(RTD("tos.rtd",,$A$2,"."&amp;O$2&amp;O$1&amp;"C"&amp;$A21)="N/A",0,RTD("tos.rtd",,$A$2,"."&amp;O$2&amp;O$1&amp;"C"&amp;$A21))-IF(RTD("tos.rtd",,$A$2,"."&amp;O$2&amp;O$1&amp;"P"&amp;$A21)="N/A",0,RTD("tos.rtd",,$A$2,"."&amp;O$2&amp;O$1&amp;"P"&amp;$A21)))))))))</f>
        <v>0</v>
      </c>
      <c r="P21" s="12">
        <f>IF($A$2="PREMIUM_OI",IFERROR((100*RTD("tos.rtd",,"OPEN_INT","."&amp;P$2&amp;P$1&amp;"C"&amp;$A21)*RTD("tos.rtd",,"LAST","."&amp;P$2&amp;P$1&amp;"C"&amp;$A21)-100*RTD("tos.rtd",,"OPEN_INT","."&amp;P$2&amp;P$1&amp;"P"&amp;$A21)*RTD("tos.rtd",,"LAST","."&amp;P$2&amp;P$1&amp;"P"&amp;$A21))/1000000,0),IF($A$2="PREMIUM",IFERROR((100*RTD("tos.rtd",,"VOLUME","."&amp;P$2&amp;P$1&amp;"C"&amp;$A21)*RTD("tos.rtd",,"LAST","."&amp;P$2&amp;P$1&amp;"C"&amp;$A21)-100*RTD("tos.rtd",,"VOLUME","."&amp;P$2&amp;P$1&amp;"P"&amp;$A21)*RTD("tos.rtd",,"LAST","."&amp;P$2&amp;P$1&amp;"P"&amp;$A21))/1000000,0),IF($A$2="DEX",IFERROR((100*RTD("tos.rtd",,"OPEN_INT","."&amp;P$2&amp;P$1&amp;"C"&amp;$A21)*RTD("tos.rtd",,"DELTA","."&amp;P$2&amp;P$1&amp;"C"&amp;$A21)-100*RTD("tos.rtd",,"OPEN_INT","."&amp;P$2&amp;P$1&amp;"P"&amp;$A21)*RTD("tos.rtd",,"DELTA","."&amp;P$2&amp;P$1&amp;"P"&amp;$A21))/1000,0),IF($A$2="VEX",IFERROR(($A$4*$A$4*RTD("tos.rtd",,"VOLUME","."&amp;P$2&amp;P$1&amp;"C"&amp;$A21)*RTD("tos.rtd",,"GAMMA","."&amp;P$2&amp;P$1&amp;"C"&amp;$A21)-$A$4*$A$4*RTD("tos.rtd",,"VOLUME","."&amp;P$2&amp;P$1&amp;"P"&amp;$A21)*RTD("tos.rtd",,"GAMMA","."&amp;P$2&amp;P$1&amp;"P"&amp;$A21))/1000000,0),IF($A$2="GEX",IFERROR(($A$4*$A$4*RTD("tos.rtd",,"OPEN_INT","."&amp;P$2&amp;P$1&amp;"C"&amp;$A21)*RTD("tos.rtd",,"GAMMA","."&amp;P$2&amp;P$1&amp;"C"&amp;$A21)-$A$4*$A$4*RTD("tos.rtd",,"OPEN_INT","."&amp;P$2&amp;P$1&amp;"P"&amp;$A21)*RTD("tos.rtd",,"GAMMA","."&amp;P$2&amp;P$1&amp;"P"&amp;$A21))/1000000,0),IF($A$2="SKEW",IFERROR(VALUE(IF(RTD("tos.rtd",,"IMPL_VOL","."&amp;P$2&amp;P$1&amp;"P"&amp;$A21)="N/A",0,RTD("tos.rtd",,"IMPL_VOL","."&amp;P$2&amp;P$1&amp;"P"&amp;$A21))),0)-IFERROR(VALUE(IF(RTD("tos.rtd",,"IMPL_VOL","."&amp;P$2&amp;P$1&amp;"C"&amp;$A21)="N/A",0,RTD("tos.rtd",,"IMPL_VOL","."&amp;P$2&amp;P$1&amp;"C"&amp;$A21))),0),IF($A$2="MAXPAIN",IF($A$4&gt;$A21,($A$4-$A21)*IF(RTD("tos.rtd",,"OPEN_INT","."&amp;P$2&amp;P$1&amp;"C"&amp;$A21)="N/A",0,RTD("tos.rtd",,"OPEN_INT","."&amp;P$2&amp;P$1&amp;"C"&amp;$A21)),0)+IF($A$4&lt;$A21,($A21-$A$4)*IF(RTD("tos.rtd",,"OPEN_INT","."&amp;P$2&amp;P$1&amp;"P"&amp;$A21)="N/A",0,RTD("tos.rtd",,"OPEN_INT","."&amp;P$2&amp;P$1&amp;"P"&amp;$A21)),0),IF(RTD("tos.rtd",,$A$2,"."&amp;P$2&amp;P$1&amp;"C"&amp;$A21)="N/A",0,RTD("tos.rtd",,$A$2,"."&amp;P$2&amp;P$1&amp;"C"&amp;$A21))-IF(RTD("tos.rtd",,$A$2,"."&amp;P$2&amp;P$1&amp;"P"&amp;$A21)="N/A",0,RTD("tos.rtd",,$A$2,"."&amp;P$2&amp;P$1&amp;"P"&amp;$A21)))))))))</f>
        <v>0</v>
      </c>
      <c r="Q21" s="12">
        <f>IF($A$2="PREMIUM_OI",IFERROR((100*RTD("tos.rtd",,"OPEN_INT","."&amp;Q$2&amp;Q$1&amp;"C"&amp;$A21)*RTD("tos.rtd",,"LAST","."&amp;Q$2&amp;Q$1&amp;"C"&amp;$A21)-100*RTD("tos.rtd",,"OPEN_INT","."&amp;Q$2&amp;Q$1&amp;"P"&amp;$A21)*RTD("tos.rtd",,"LAST","."&amp;Q$2&amp;Q$1&amp;"P"&amp;$A21))/1000000,0),IF($A$2="PREMIUM",IFERROR((100*RTD("tos.rtd",,"VOLUME","."&amp;Q$2&amp;Q$1&amp;"C"&amp;$A21)*RTD("tos.rtd",,"LAST","."&amp;Q$2&amp;Q$1&amp;"C"&amp;$A21)-100*RTD("tos.rtd",,"VOLUME","."&amp;Q$2&amp;Q$1&amp;"P"&amp;$A21)*RTD("tos.rtd",,"LAST","."&amp;Q$2&amp;Q$1&amp;"P"&amp;$A21))/1000000,0),IF($A$2="DEX",IFERROR((100*RTD("tos.rtd",,"OPEN_INT","."&amp;Q$2&amp;Q$1&amp;"C"&amp;$A21)*RTD("tos.rtd",,"DELTA","."&amp;Q$2&amp;Q$1&amp;"C"&amp;$A21)-100*RTD("tos.rtd",,"OPEN_INT","."&amp;Q$2&amp;Q$1&amp;"P"&amp;$A21)*RTD("tos.rtd",,"DELTA","."&amp;Q$2&amp;Q$1&amp;"P"&amp;$A21))/1000,0),IF($A$2="VEX",IFERROR(($A$4*$A$4*RTD("tos.rtd",,"VOLUME","."&amp;Q$2&amp;Q$1&amp;"C"&amp;$A21)*RTD("tos.rtd",,"GAMMA","."&amp;Q$2&amp;Q$1&amp;"C"&amp;$A21)-$A$4*$A$4*RTD("tos.rtd",,"VOLUME","."&amp;Q$2&amp;Q$1&amp;"P"&amp;$A21)*RTD("tos.rtd",,"GAMMA","."&amp;Q$2&amp;Q$1&amp;"P"&amp;$A21))/1000000,0),IF($A$2="GEX",IFERROR(($A$4*$A$4*RTD("tos.rtd",,"OPEN_INT","."&amp;Q$2&amp;Q$1&amp;"C"&amp;$A21)*RTD("tos.rtd",,"GAMMA","."&amp;Q$2&amp;Q$1&amp;"C"&amp;$A21)-$A$4*$A$4*RTD("tos.rtd",,"OPEN_INT","."&amp;Q$2&amp;Q$1&amp;"P"&amp;$A21)*RTD("tos.rtd",,"GAMMA","."&amp;Q$2&amp;Q$1&amp;"P"&amp;$A21))/1000000,0),IF($A$2="SKEW",IFERROR(VALUE(IF(RTD("tos.rtd",,"IMPL_VOL","."&amp;Q$2&amp;Q$1&amp;"P"&amp;$A21)="N/A",0,RTD("tos.rtd",,"IMPL_VOL","."&amp;Q$2&amp;Q$1&amp;"P"&amp;$A21))),0)-IFERROR(VALUE(IF(RTD("tos.rtd",,"IMPL_VOL","."&amp;Q$2&amp;Q$1&amp;"C"&amp;$A21)="N/A",0,RTD("tos.rtd",,"IMPL_VOL","."&amp;Q$2&amp;Q$1&amp;"C"&amp;$A21))),0),IF($A$2="MAXPAIN",IF($A$4&gt;$A21,($A$4-$A21)*IF(RTD("tos.rtd",,"OPEN_INT","."&amp;Q$2&amp;Q$1&amp;"C"&amp;$A21)="N/A",0,RTD("tos.rtd",,"OPEN_INT","."&amp;Q$2&amp;Q$1&amp;"C"&amp;$A21)),0)+IF($A$4&lt;$A21,($A21-$A$4)*IF(RTD("tos.rtd",,"OPEN_INT","."&amp;Q$2&amp;Q$1&amp;"P"&amp;$A21)="N/A",0,RTD("tos.rtd",,"OPEN_INT","."&amp;Q$2&amp;Q$1&amp;"P"&amp;$A21)),0),IF(RTD("tos.rtd",,$A$2,"."&amp;Q$2&amp;Q$1&amp;"C"&amp;$A21)="N/A",0,RTD("tos.rtd",,$A$2,"."&amp;Q$2&amp;Q$1&amp;"C"&amp;$A21))-IF(RTD("tos.rtd",,$A$2,"."&amp;Q$2&amp;Q$1&amp;"P"&amp;$A21)="N/A",0,RTD("tos.rtd",,$A$2,"."&amp;Q$2&amp;Q$1&amp;"P"&amp;$A21)))))))))</f>
        <v>0</v>
      </c>
      <c r="R21" s="12">
        <f>IF($A$2="PREMIUM_OI",IFERROR((100*RTD("tos.rtd",,"OPEN_INT","."&amp;R$2&amp;R$1&amp;"C"&amp;$A21)*RTD("tos.rtd",,"LAST","."&amp;R$2&amp;R$1&amp;"C"&amp;$A21)-100*RTD("tos.rtd",,"OPEN_INT","."&amp;R$2&amp;R$1&amp;"P"&amp;$A21)*RTD("tos.rtd",,"LAST","."&amp;R$2&amp;R$1&amp;"P"&amp;$A21))/1000000,0),IF($A$2="PREMIUM",IFERROR((100*RTD("tos.rtd",,"VOLUME","."&amp;R$2&amp;R$1&amp;"C"&amp;$A21)*RTD("tos.rtd",,"LAST","."&amp;R$2&amp;R$1&amp;"C"&amp;$A21)-100*RTD("tos.rtd",,"VOLUME","."&amp;R$2&amp;R$1&amp;"P"&amp;$A21)*RTD("tos.rtd",,"LAST","."&amp;R$2&amp;R$1&amp;"P"&amp;$A21))/1000000,0),IF($A$2="DEX",IFERROR((100*RTD("tos.rtd",,"OPEN_INT","."&amp;R$2&amp;R$1&amp;"C"&amp;$A21)*RTD("tos.rtd",,"DELTA","."&amp;R$2&amp;R$1&amp;"C"&amp;$A21)-100*RTD("tos.rtd",,"OPEN_INT","."&amp;R$2&amp;R$1&amp;"P"&amp;$A21)*RTD("tos.rtd",,"DELTA","."&amp;R$2&amp;R$1&amp;"P"&amp;$A21))/1000,0),IF($A$2="VEX",IFERROR(($A$4*$A$4*RTD("tos.rtd",,"VOLUME","."&amp;R$2&amp;R$1&amp;"C"&amp;$A21)*RTD("tos.rtd",,"GAMMA","."&amp;R$2&amp;R$1&amp;"C"&amp;$A21)-$A$4*$A$4*RTD("tos.rtd",,"VOLUME","."&amp;R$2&amp;R$1&amp;"P"&amp;$A21)*RTD("tos.rtd",,"GAMMA","."&amp;R$2&amp;R$1&amp;"P"&amp;$A21))/1000000,0),IF($A$2="GEX",IFERROR(($A$4*$A$4*RTD("tos.rtd",,"OPEN_INT","."&amp;R$2&amp;R$1&amp;"C"&amp;$A21)*RTD("tos.rtd",,"GAMMA","."&amp;R$2&amp;R$1&amp;"C"&amp;$A21)-$A$4*$A$4*RTD("tos.rtd",,"OPEN_INT","."&amp;R$2&amp;R$1&amp;"P"&amp;$A21)*RTD("tos.rtd",,"GAMMA","."&amp;R$2&amp;R$1&amp;"P"&amp;$A21))/1000000,0),IF($A$2="SKEW",IFERROR(VALUE(IF(RTD("tos.rtd",,"IMPL_VOL","."&amp;R$2&amp;R$1&amp;"P"&amp;$A21)="N/A",0,RTD("tos.rtd",,"IMPL_VOL","."&amp;R$2&amp;R$1&amp;"P"&amp;$A21))),0)-IFERROR(VALUE(IF(RTD("tos.rtd",,"IMPL_VOL","."&amp;R$2&amp;R$1&amp;"C"&amp;$A21)="N/A",0,RTD("tos.rtd",,"IMPL_VOL","."&amp;R$2&amp;R$1&amp;"C"&amp;$A21))),0),IF($A$2="MAXPAIN",IF($A$4&gt;$A21,($A$4-$A21)*IF(RTD("tos.rtd",,"OPEN_INT","."&amp;R$2&amp;R$1&amp;"C"&amp;$A21)="N/A",0,RTD("tos.rtd",,"OPEN_INT","."&amp;R$2&amp;R$1&amp;"C"&amp;$A21)),0)+IF($A$4&lt;$A21,($A21-$A$4)*IF(RTD("tos.rtd",,"OPEN_INT","."&amp;R$2&amp;R$1&amp;"P"&amp;$A21)="N/A",0,RTD("tos.rtd",,"OPEN_INT","."&amp;R$2&amp;R$1&amp;"P"&amp;$A21)),0),IF(RTD("tos.rtd",,$A$2,"."&amp;R$2&amp;R$1&amp;"C"&amp;$A21)="N/A",0,RTD("tos.rtd",,$A$2,"."&amp;R$2&amp;R$1&amp;"C"&amp;$A21))-IF(RTD("tos.rtd",,$A$2,"."&amp;R$2&amp;R$1&amp;"P"&amp;$A21)="N/A",0,RTD("tos.rtd",,$A$2,"."&amp;R$2&amp;R$1&amp;"P"&amp;$A21)))))))))</f>
        <v>3320</v>
      </c>
      <c r="S21" s="12">
        <f>IF($A$2="PREMIUM_OI",IFERROR((100*RTD("tos.rtd",,"OPEN_INT","."&amp;S$2&amp;S$1&amp;"C"&amp;$A21)*RTD("tos.rtd",,"LAST","."&amp;S$2&amp;S$1&amp;"C"&amp;$A21)-100*RTD("tos.rtd",,"OPEN_INT","."&amp;S$2&amp;S$1&amp;"P"&amp;$A21)*RTD("tos.rtd",,"LAST","."&amp;S$2&amp;S$1&amp;"P"&amp;$A21))/1000000,0),IF($A$2="PREMIUM",IFERROR((100*RTD("tos.rtd",,"VOLUME","."&amp;S$2&amp;S$1&amp;"C"&amp;$A21)*RTD("tos.rtd",,"LAST","."&amp;S$2&amp;S$1&amp;"C"&amp;$A21)-100*RTD("tos.rtd",,"VOLUME","."&amp;S$2&amp;S$1&amp;"P"&amp;$A21)*RTD("tos.rtd",,"LAST","."&amp;S$2&amp;S$1&amp;"P"&amp;$A21))/1000000,0),IF($A$2="DEX",IFERROR((100*RTD("tos.rtd",,"OPEN_INT","."&amp;S$2&amp;S$1&amp;"C"&amp;$A21)*RTD("tos.rtd",,"DELTA","."&amp;S$2&amp;S$1&amp;"C"&amp;$A21)-100*RTD("tos.rtd",,"OPEN_INT","."&amp;S$2&amp;S$1&amp;"P"&amp;$A21)*RTD("tos.rtd",,"DELTA","."&amp;S$2&amp;S$1&amp;"P"&amp;$A21))/1000,0),IF($A$2="VEX",IFERROR(($A$4*$A$4*RTD("tos.rtd",,"VOLUME","."&amp;S$2&amp;S$1&amp;"C"&amp;$A21)*RTD("tos.rtd",,"GAMMA","."&amp;S$2&amp;S$1&amp;"C"&amp;$A21)-$A$4*$A$4*RTD("tos.rtd",,"VOLUME","."&amp;S$2&amp;S$1&amp;"P"&amp;$A21)*RTD("tos.rtd",,"GAMMA","."&amp;S$2&amp;S$1&amp;"P"&amp;$A21))/1000000,0),IF($A$2="GEX",IFERROR(($A$4*$A$4*RTD("tos.rtd",,"OPEN_INT","."&amp;S$2&amp;S$1&amp;"C"&amp;$A21)*RTD("tos.rtd",,"GAMMA","."&amp;S$2&amp;S$1&amp;"C"&amp;$A21)-$A$4*$A$4*RTD("tos.rtd",,"OPEN_INT","."&amp;S$2&amp;S$1&amp;"P"&amp;$A21)*RTD("tos.rtd",,"GAMMA","."&amp;S$2&amp;S$1&amp;"P"&amp;$A21))/1000000,0),IF($A$2="SKEW",IFERROR(VALUE(IF(RTD("tos.rtd",,"IMPL_VOL","."&amp;S$2&amp;S$1&amp;"P"&amp;$A21)="N/A",0,RTD("tos.rtd",,"IMPL_VOL","."&amp;S$2&amp;S$1&amp;"P"&amp;$A21))),0)-IFERROR(VALUE(IF(RTD("tos.rtd",,"IMPL_VOL","."&amp;S$2&amp;S$1&amp;"C"&amp;$A21)="N/A",0,RTD("tos.rtd",,"IMPL_VOL","."&amp;S$2&amp;S$1&amp;"C"&amp;$A21))),0),IF($A$2="MAXPAIN",IF($A$4&gt;$A21,($A$4-$A21)*IF(RTD("tos.rtd",,"OPEN_INT","."&amp;S$2&amp;S$1&amp;"C"&amp;$A21)="N/A",0,RTD("tos.rtd",,"OPEN_INT","."&amp;S$2&amp;S$1&amp;"C"&amp;$A21)),0)+IF($A$4&lt;$A21,($A21-$A$4)*IF(RTD("tos.rtd",,"OPEN_INT","."&amp;S$2&amp;S$1&amp;"P"&amp;$A21)="N/A",0,RTD("tos.rtd",,"OPEN_INT","."&amp;S$2&amp;S$1&amp;"P"&amp;$A21)),0),IF(RTD("tos.rtd",,$A$2,"."&amp;S$2&amp;S$1&amp;"C"&amp;$A21)="N/A",0,RTD("tos.rtd",,$A$2,"."&amp;S$2&amp;S$1&amp;"C"&amp;$A21))-IF(RTD("tos.rtd",,$A$2,"."&amp;S$2&amp;S$1&amp;"P"&amp;$A21)="N/A",0,RTD("tos.rtd",,$A$2,"."&amp;S$2&amp;S$1&amp;"P"&amp;$A21)))))))))</f>
        <v>81</v>
      </c>
      <c r="T21" s="12">
        <f>IF($A$2="PREMIUM_OI",IFERROR((100*RTD("tos.rtd",,"OPEN_INT","."&amp;T$2&amp;T$1&amp;"C"&amp;$A21)*RTD("tos.rtd",,"LAST","."&amp;T$2&amp;T$1&amp;"C"&amp;$A21)-100*RTD("tos.rtd",,"OPEN_INT","."&amp;T$2&amp;T$1&amp;"P"&amp;$A21)*RTD("tos.rtd",,"LAST","."&amp;T$2&amp;T$1&amp;"P"&amp;$A21))/1000000,0),IF($A$2="PREMIUM",IFERROR((100*RTD("tos.rtd",,"VOLUME","."&amp;T$2&amp;T$1&amp;"C"&amp;$A21)*RTD("tos.rtd",,"LAST","."&amp;T$2&amp;T$1&amp;"C"&amp;$A21)-100*RTD("tos.rtd",,"VOLUME","."&amp;T$2&amp;T$1&amp;"P"&amp;$A21)*RTD("tos.rtd",,"LAST","."&amp;T$2&amp;T$1&amp;"P"&amp;$A21))/1000000,0),IF($A$2="DEX",IFERROR((100*RTD("tos.rtd",,"OPEN_INT","."&amp;T$2&amp;T$1&amp;"C"&amp;$A21)*RTD("tos.rtd",,"DELTA","."&amp;T$2&amp;T$1&amp;"C"&amp;$A21)-100*RTD("tos.rtd",,"OPEN_INT","."&amp;T$2&amp;T$1&amp;"P"&amp;$A21)*RTD("tos.rtd",,"DELTA","."&amp;T$2&amp;T$1&amp;"P"&amp;$A21))/1000,0),IF($A$2="VEX",IFERROR(($A$4*$A$4*RTD("tos.rtd",,"VOLUME","."&amp;T$2&amp;T$1&amp;"C"&amp;$A21)*RTD("tos.rtd",,"GAMMA","."&amp;T$2&amp;T$1&amp;"C"&amp;$A21)-$A$4*$A$4*RTD("tos.rtd",,"VOLUME","."&amp;T$2&amp;T$1&amp;"P"&amp;$A21)*RTD("tos.rtd",,"GAMMA","."&amp;T$2&amp;T$1&amp;"P"&amp;$A21))/1000000,0),IF($A$2="GEX",IFERROR(($A$4*$A$4*RTD("tos.rtd",,"OPEN_INT","."&amp;T$2&amp;T$1&amp;"C"&amp;$A21)*RTD("tos.rtd",,"GAMMA","."&amp;T$2&amp;T$1&amp;"C"&amp;$A21)-$A$4*$A$4*RTD("tos.rtd",,"OPEN_INT","."&amp;T$2&amp;T$1&amp;"P"&amp;$A21)*RTD("tos.rtd",,"GAMMA","."&amp;T$2&amp;T$1&amp;"P"&amp;$A21))/1000000,0),IF($A$2="SKEW",IFERROR(VALUE(IF(RTD("tos.rtd",,"IMPL_VOL","."&amp;T$2&amp;T$1&amp;"P"&amp;$A21)="N/A",0,RTD("tos.rtd",,"IMPL_VOL","."&amp;T$2&amp;T$1&amp;"P"&amp;$A21))),0)-IFERROR(VALUE(IF(RTD("tos.rtd",,"IMPL_VOL","."&amp;T$2&amp;T$1&amp;"C"&amp;$A21)="N/A",0,RTD("tos.rtd",,"IMPL_VOL","."&amp;T$2&amp;T$1&amp;"C"&amp;$A21))),0),IF($A$2="MAXPAIN",IF($A$4&gt;$A21,($A$4-$A21)*IF(RTD("tos.rtd",,"OPEN_INT","."&amp;T$2&amp;T$1&amp;"C"&amp;$A21)="N/A",0,RTD("tos.rtd",,"OPEN_INT","."&amp;T$2&amp;T$1&amp;"C"&amp;$A21)),0)+IF($A$4&lt;$A21,($A21-$A$4)*IF(RTD("tos.rtd",,"OPEN_INT","."&amp;T$2&amp;T$1&amp;"P"&amp;$A21)="N/A",0,RTD("tos.rtd",,"OPEN_INT","."&amp;T$2&amp;T$1&amp;"P"&amp;$A21)),0),IF(RTD("tos.rtd",,$A$2,"."&amp;T$2&amp;T$1&amp;"C"&amp;$A21)="N/A",0,RTD("tos.rtd",,$A$2,"."&amp;T$2&amp;T$1&amp;"C"&amp;$A21))-IF(RTD("tos.rtd",,$A$2,"."&amp;T$2&amp;T$1&amp;"P"&amp;$A21)="N/A",0,RTD("tos.rtd",,$A$2,"."&amp;T$2&amp;T$1&amp;"P"&amp;$A21)))))))))</f>
        <v>152</v>
      </c>
      <c r="U21" s="12">
        <f>IF($A$2="PREMIUM_OI",IFERROR((100*RTD("tos.rtd",,"OPEN_INT","."&amp;U$2&amp;U$1&amp;"C"&amp;$A21)*RTD("tos.rtd",,"LAST","."&amp;U$2&amp;U$1&amp;"C"&amp;$A21)-100*RTD("tos.rtd",,"OPEN_INT","."&amp;U$2&amp;U$1&amp;"P"&amp;$A21)*RTD("tos.rtd",,"LAST","."&amp;U$2&amp;U$1&amp;"P"&amp;$A21))/1000000,0),IF($A$2="PREMIUM",IFERROR((100*RTD("tos.rtd",,"VOLUME","."&amp;U$2&amp;U$1&amp;"C"&amp;$A21)*RTD("tos.rtd",,"LAST","."&amp;U$2&amp;U$1&amp;"C"&amp;$A21)-100*RTD("tos.rtd",,"VOLUME","."&amp;U$2&amp;U$1&amp;"P"&amp;$A21)*RTD("tos.rtd",,"LAST","."&amp;U$2&amp;U$1&amp;"P"&amp;$A21))/1000000,0),IF($A$2="DEX",IFERROR((100*RTD("tos.rtd",,"OPEN_INT","."&amp;U$2&amp;U$1&amp;"C"&amp;$A21)*RTD("tos.rtd",,"DELTA","."&amp;U$2&amp;U$1&amp;"C"&amp;$A21)-100*RTD("tos.rtd",,"OPEN_INT","."&amp;U$2&amp;U$1&amp;"P"&amp;$A21)*RTD("tos.rtd",,"DELTA","."&amp;U$2&amp;U$1&amp;"P"&amp;$A21))/1000,0),IF($A$2="VEX",IFERROR(($A$4*$A$4*RTD("tos.rtd",,"VOLUME","."&amp;U$2&amp;U$1&amp;"C"&amp;$A21)*RTD("tos.rtd",,"GAMMA","."&amp;U$2&amp;U$1&amp;"C"&amp;$A21)-$A$4*$A$4*RTD("tos.rtd",,"VOLUME","."&amp;U$2&amp;U$1&amp;"P"&amp;$A21)*RTD("tos.rtd",,"GAMMA","."&amp;U$2&amp;U$1&amp;"P"&amp;$A21))/1000000,0),IF($A$2="GEX",IFERROR(($A$4*$A$4*RTD("tos.rtd",,"OPEN_INT","."&amp;U$2&amp;U$1&amp;"C"&amp;$A21)*RTD("tos.rtd",,"GAMMA","."&amp;U$2&amp;U$1&amp;"C"&amp;$A21)-$A$4*$A$4*RTD("tos.rtd",,"OPEN_INT","."&amp;U$2&amp;U$1&amp;"P"&amp;$A21)*RTD("tos.rtd",,"GAMMA","."&amp;U$2&amp;U$1&amp;"P"&amp;$A21))/1000000,0),IF($A$2="SKEW",IFERROR(VALUE(IF(RTD("tos.rtd",,"IMPL_VOL","."&amp;U$2&amp;U$1&amp;"P"&amp;$A21)="N/A",0,RTD("tos.rtd",,"IMPL_VOL","."&amp;U$2&amp;U$1&amp;"P"&amp;$A21))),0)-IFERROR(VALUE(IF(RTD("tos.rtd",,"IMPL_VOL","."&amp;U$2&amp;U$1&amp;"C"&amp;$A21)="N/A",0,RTD("tos.rtd",,"IMPL_VOL","."&amp;U$2&amp;U$1&amp;"C"&amp;$A21))),0),IF($A$2="MAXPAIN",IF($A$4&gt;$A21,($A$4-$A21)*IF(RTD("tos.rtd",,"OPEN_INT","."&amp;U$2&amp;U$1&amp;"C"&amp;$A21)="N/A",0,RTD("tos.rtd",,"OPEN_INT","."&amp;U$2&amp;U$1&amp;"C"&amp;$A21)),0)+IF($A$4&lt;$A21,($A21-$A$4)*IF(RTD("tos.rtd",,"OPEN_INT","."&amp;U$2&amp;U$1&amp;"P"&amp;$A21)="N/A",0,RTD("tos.rtd",,"OPEN_INT","."&amp;U$2&amp;U$1&amp;"P"&amp;$A21)),0),IF(RTD("tos.rtd",,$A$2,"."&amp;U$2&amp;U$1&amp;"C"&amp;$A21)="N/A",0,RTD("tos.rtd",,$A$2,"."&amp;U$2&amp;U$1&amp;"C"&amp;$A21))-IF(RTD("tos.rtd",,$A$2,"."&amp;U$2&amp;U$1&amp;"P"&amp;$A21)="N/A",0,RTD("tos.rtd",,$A$2,"."&amp;U$2&amp;U$1&amp;"P"&amp;$A21)))))))))</f>
        <v>0</v>
      </c>
      <c r="V21" s="12">
        <f>IF($A$2="PREMIUM_OI",IFERROR((100*RTD("tos.rtd",,"OPEN_INT","."&amp;V$2&amp;V$1&amp;"C"&amp;$A21)*RTD("tos.rtd",,"LAST","."&amp;V$2&amp;V$1&amp;"C"&amp;$A21)-100*RTD("tos.rtd",,"OPEN_INT","."&amp;V$2&amp;V$1&amp;"P"&amp;$A21)*RTD("tos.rtd",,"LAST","."&amp;V$2&amp;V$1&amp;"P"&amp;$A21))/1000000,0),IF($A$2="PREMIUM",IFERROR((100*RTD("tos.rtd",,"VOLUME","."&amp;V$2&amp;V$1&amp;"C"&amp;$A21)*RTD("tos.rtd",,"LAST","."&amp;V$2&amp;V$1&amp;"C"&amp;$A21)-100*RTD("tos.rtd",,"VOLUME","."&amp;V$2&amp;V$1&amp;"P"&amp;$A21)*RTD("tos.rtd",,"LAST","."&amp;V$2&amp;V$1&amp;"P"&amp;$A21))/1000000,0),IF($A$2="DEX",IFERROR((100*RTD("tos.rtd",,"OPEN_INT","."&amp;V$2&amp;V$1&amp;"C"&amp;$A21)*RTD("tos.rtd",,"DELTA","."&amp;V$2&amp;V$1&amp;"C"&amp;$A21)-100*RTD("tos.rtd",,"OPEN_INT","."&amp;V$2&amp;V$1&amp;"P"&amp;$A21)*RTD("tos.rtd",,"DELTA","."&amp;V$2&amp;V$1&amp;"P"&amp;$A21))/1000,0),IF($A$2="VEX",IFERROR(($A$4*$A$4*RTD("tos.rtd",,"VOLUME","."&amp;V$2&amp;V$1&amp;"C"&amp;$A21)*RTD("tos.rtd",,"GAMMA","."&amp;V$2&amp;V$1&amp;"C"&amp;$A21)-$A$4*$A$4*RTD("tos.rtd",,"VOLUME","."&amp;V$2&amp;V$1&amp;"P"&amp;$A21)*RTD("tos.rtd",,"GAMMA","."&amp;V$2&amp;V$1&amp;"P"&amp;$A21))/1000000,0),IF($A$2="GEX",IFERROR(($A$4*$A$4*RTD("tos.rtd",,"OPEN_INT","."&amp;V$2&amp;V$1&amp;"C"&amp;$A21)*RTD("tos.rtd",,"GAMMA","."&amp;V$2&amp;V$1&amp;"C"&amp;$A21)-$A$4*$A$4*RTD("tos.rtd",,"OPEN_INT","."&amp;V$2&amp;V$1&amp;"P"&amp;$A21)*RTD("tos.rtd",,"GAMMA","."&amp;V$2&amp;V$1&amp;"P"&amp;$A21))/1000000,0),IF($A$2="SKEW",IFERROR(VALUE(IF(RTD("tos.rtd",,"IMPL_VOL","."&amp;V$2&amp;V$1&amp;"P"&amp;$A21)="N/A",0,RTD("tos.rtd",,"IMPL_VOL","."&amp;V$2&amp;V$1&amp;"P"&amp;$A21))),0)-IFERROR(VALUE(IF(RTD("tos.rtd",,"IMPL_VOL","."&amp;V$2&amp;V$1&amp;"C"&amp;$A21)="N/A",0,RTD("tos.rtd",,"IMPL_VOL","."&amp;V$2&amp;V$1&amp;"C"&amp;$A21))),0),IF($A$2="MAXPAIN",IF($A$4&gt;$A21,($A$4-$A21)*IF(RTD("tos.rtd",,"OPEN_INT","."&amp;V$2&amp;V$1&amp;"C"&amp;$A21)="N/A",0,RTD("tos.rtd",,"OPEN_INT","."&amp;V$2&amp;V$1&amp;"C"&amp;$A21)),0)+IF($A$4&lt;$A21,($A21-$A$4)*IF(RTD("tos.rtd",,"OPEN_INT","."&amp;V$2&amp;V$1&amp;"P"&amp;$A21)="N/A",0,RTD("tos.rtd",,"OPEN_INT","."&amp;V$2&amp;V$1&amp;"P"&amp;$A21)),0),IF(RTD("tos.rtd",,$A$2,"."&amp;V$2&amp;V$1&amp;"C"&amp;$A21)="N/A",0,RTD("tos.rtd",,$A$2,"."&amp;V$2&amp;V$1&amp;"C"&amp;$A21))-IF(RTD("tos.rtd",,$A$2,"."&amp;V$2&amp;V$1&amp;"P"&amp;$A21)="N/A",0,RTD("tos.rtd",,$A$2,"."&amp;V$2&amp;V$1&amp;"P"&amp;$A21)))))))))</f>
        <v>0</v>
      </c>
      <c r="W21" s="12">
        <f>IF($A$2="PREMIUM_OI",IFERROR((100*RTD("tos.rtd",,"OPEN_INT","."&amp;W$2&amp;W$1&amp;"C"&amp;$A21)*RTD("tos.rtd",,"LAST","."&amp;W$2&amp;W$1&amp;"C"&amp;$A21)-100*RTD("tos.rtd",,"OPEN_INT","."&amp;W$2&amp;W$1&amp;"P"&amp;$A21)*RTD("tos.rtd",,"LAST","."&amp;W$2&amp;W$1&amp;"P"&amp;$A21))/1000000,0),IF($A$2="PREMIUM",IFERROR((100*RTD("tos.rtd",,"VOLUME","."&amp;W$2&amp;W$1&amp;"C"&amp;$A21)*RTD("tos.rtd",,"LAST","."&amp;W$2&amp;W$1&amp;"C"&amp;$A21)-100*RTD("tos.rtd",,"VOLUME","."&amp;W$2&amp;W$1&amp;"P"&amp;$A21)*RTD("tos.rtd",,"LAST","."&amp;W$2&amp;W$1&amp;"P"&amp;$A21))/1000000,0),IF($A$2="DEX",IFERROR((100*RTD("tos.rtd",,"OPEN_INT","."&amp;W$2&amp;W$1&amp;"C"&amp;$A21)*RTD("tos.rtd",,"DELTA","."&amp;W$2&amp;W$1&amp;"C"&amp;$A21)-100*RTD("tos.rtd",,"OPEN_INT","."&amp;W$2&amp;W$1&amp;"P"&amp;$A21)*RTD("tos.rtd",,"DELTA","."&amp;W$2&amp;W$1&amp;"P"&amp;$A21))/1000,0),IF($A$2="VEX",IFERROR(($A$4*$A$4*RTD("tos.rtd",,"VOLUME","."&amp;W$2&amp;W$1&amp;"C"&amp;$A21)*RTD("tos.rtd",,"GAMMA","."&amp;W$2&amp;W$1&amp;"C"&amp;$A21)-$A$4*$A$4*RTD("tos.rtd",,"VOLUME","."&amp;W$2&amp;W$1&amp;"P"&amp;$A21)*RTD("tos.rtd",,"GAMMA","."&amp;W$2&amp;W$1&amp;"P"&amp;$A21))/1000000,0),IF($A$2="GEX",IFERROR(($A$4*$A$4*RTD("tos.rtd",,"OPEN_INT","."&amp;W$2&amp;W$1&amp;"C"&amp;$A21)*RTD("tos.rtd",,"GAMMA","."&amp;W$2&amp;W$1&amp;"C"&amp;$A21)-$A$4*$A$4*RTD("tos.rtd",,"OPEN_INT","."&amp;W$2&amp;W$1&amp;"P"&amp;$A21)*RTD("tos.rtd",,"GAMMA","."&amp;W$2&amp;W$1&amp;"P"&amp;$A21))/1000000,0),IF($A$2="SKEW",IFERROR(VALUE(IF(RTD("tos.rtd",,"IMPL_VOL","."&amp;W$2&amp;W$1&amp;"P"&amp;$A21)="N/A",0,RTD("tos.rtd",,"IMPL_VOL","."&amp;W$2&amp;W$1&amp;"P"&amp;$A21))),0)-IFERROR(VALUE(IF(RTD("tos.rtd",,"IMPL_VOL","."&amp;W$2&amp;W$1&amp;"C"&amp;$A21)="N/A",0,RTD("tos.rtd",,"IMPL_VOL","."&amp;W$2&amp;W$1&amp;"C"&amp;$A21))),0),IF($A$2="MAXPAIN",IF($A$4&gt;$A21,($A$4-$A21)*IF(RTD("tos.rtd",,"OPEN_INT","."&amp;W$2&amp;W$1&amp;"C"&amp;$A21)="N/A",0,RTD("tos.rtd",,"OPEN_INT","."&amp;W$2&amp;W$1&amp;"C"&amp;$A21)),0)+IF($A$4&lt;$A21,($A21-$A$4)*IF(RTD("tos.rtd",,"OPEN_INT","."&amp;W$2&amp;W$1&amp;"P"&amp;$A21)="N/A",0,RTD("tos.rtd",,"OPEN_INT","."&amp;W$2&amp;W$1&amp;"P"&amp;$A21)),0),IF(RTD("tos.rtd",,$A$2,"."&amp;W$2&amp;W$1&amp;"C"&amp;$A21)="N/A",0,RTD("tos.rtd",,$A$2,"."&amp;W$2&amp;W$1&amp;"C"&amp;$A21))-IF(RTD("tos.rtd",,$A$2,"."&amp;W$2&amp;W$1&amp;"P"&amp;$A21)="N/A",0,RTD("tos.rtd",,$A$2,"."&amp;W$2&amp;W$1&amp;"P"&amp;$A21)))))))))</f>
        <v>0</v>
      </c>
      <c r="X21" s="12">
        <f t="shared" ca="1" si="7"/>
        <v>233</v>
      </c>
      <c r="Y21" s="27">
        <f t="shared" ca="1" si="8"/>
        <v>233</v>
      </c>
      <c r="AA21" s="35">
        <f t="shared" si="5"/>
        <v>20</v>
      </c>
      <c r="AB21" s="8">
        <f>+IF($AJ$1,AK21,TASTYOHLC!B21)</f>
        <v>0</v>
      </c>
      <c r="AC21" s="8">
        <f>+IF($AJ$1,AL21,TASTYOHLC!C21)</f>
        <v>0</v>
      </c>
      <c r="AD21" s="8">
        <f>+IF($AJ$1,AM21,TASTYOHLC!D21)</f>
        <v>0</v>
      </c>
      <c r="AE21" s="8">
        <f>+IF($AJ$1,AN21,TASTYOHLC!E21)</f>
        <v>0</v>
      </c>
      <c r="AF21" s="8"/>
      <c r="AJ21" s="37"/>
      <c r="AK21" s="52"/>
      <c r="AL21" s="52"/>
      <c r="AM21" s="52"/>
      <c r="AN21" s="52"/>
    </row>
    <row r="22" spans="1:40" s="19" customFormat="1" ht="11.1" customHeight="1" thickBot="1" x14ac:dyDescent="0.3">
      <c r="A22" s="23">
        <f t="shared" si="6"/>
        <v>11</v>
      </c>
      <c r="B22" s="14">
        <f>IF($A$2="PREMIUM_OI",IFERROR((100*RTD("tos.rtd",,"OPEN_INT","."&amp;B$2&amp;B$1&amp;"C"&amp;$A22)*RTD("tos.rtd",,"LAST","."&amp;B$2&amp;B$1&amp;"C"&amp;$A22)-100*RTD("tos.rtd",,"OPEN_INT","."&amp;B$2&amp;B$1&amp;"P"&amp;$A22)*RTD("tos.rtd",,"LAST","."&amp;B$2&amp;B$1&amp;"P"&amp;$A22))/1000000,0),IF($A$2="PREMIUM",IFERROR((100*RTD("tos.rtd",,"VOLUME","."&amp;B$2&amp;B$1&amp;"C"&amp;$A22)*RTD("tos.rtd",,"LAST","."&amp;B$2&amp;B$1&amp;"C"&amp;$A22)-100*RTD("tos.rtd",,"VOLUME","."&amp;B$2&amp;B$1&amp;"P"&amp;$A22)*RTD("tos.rtd",,"LAST","."&amp;B$2&amp;B$1&amp;"P"&amp;$A22))/1000000,0),IF($A$2="DEX",IFERROR((100*RTD("tos.rtd",,"OPEN_INT","."&amp;B$2&amp;B$1&amp;"C"&amp;$A22)*RTD("tos.rtd",,"DELTA","."&amp;B$2&amp;B$1&amp;"C"&amp;$A22)-100*RTD("tos.rtd",,"OPEN_INT","."&amp;B$2&amp;B$1&amp;"P"&amp;$A22)*RTD("tos.rtd",,"DELTA","."&amp;B$2&amp;B$1&amp;"P"&amp;$A22))/1000,0),IF($A$2="VEX",IFERROR(($A$4*$A$4*RTD("tos.rtd",,"VOLUME","."&amp;B$2&amp;B$1&amp;"C"&amp;$A22)*RTD("tos.rtd",,"GAMMA","."&amp;B$2&amp;B$1&amp;"C"&amp;$A22)-$A$4*$A$4*RTD("tos.rtd",,"VOLUME","."&amp;B$2&amp;B$1&amp;"P"&amp;$A22)*RTD("tos.rtd",,"GAMMA","."&amp;B$2&amp;B$1&amp;"P"&amp;$A22))/1000000,0),IF($A$2="GEX",IFERROR(($A$4*$A$4*RTD("tos.rtd",,"OPEN_INT","."&amp;B$2&amp;B$1&amp;"C"&amp;$A22)*RTD("tos.rtd",,"GAMMA","."&amp;B$2&amp;B$1&amp;"C"&amp;$A22)-$A$4*$A$4*RTD("tos.rtd",,"OPEN_INT","."&amp;B$2&amp;B$1&amp;"P"&amp;$A22)*RTD("tos.rtd",,"GAMMA","."&amp;B$2&amp;B$1&amp;"P"&amp;$A22))/1000000,0),IF($A$2="SKEW",IFERROR(VALUE(IF(RTD("tos.rtd",,"IMPL_VOL","."&amp;B$2&amp;B$1&amp;"P"&amp;$A22)="N/A",0,RTD("tos.rtd",,"IMPL_VOL","."&amp;B$2&amp;B$1&amp;"P"&amp;$A22))),0)-IFERROR(VALUE(IF(RTD("tos.rtd",,"IMPL_VOL","."&amp;B$2&amp;B$1&amp;"C"&amp;$A22)="N/A",0,RTD("tos.rtd",,"IMPL_VOL","."&amp;B$2&amp;B$1&amp;"C"&amp;$A22))),0),IF($A$2="MAXPAIN",IF($A$4&gt;$A22,($A$4-$A22)*IF(RTD("tos.rtd",,"OPEN_INT","."&amp;B$2&amp;B$1&amp;"C"&amp;$A22)="N/A",0,RTD("tos.rtd",,"OPEN_INT","."&amp;B$2&amp;B$1&amp;"C"&amp;$A22)),0)+IF($A$4&lt;$A22,($A22-$A$4)*IF(RTD("tos.rtd",,"OPEN_INT","."&amp;B$2&amp;B$1&amp;"P"&amp;$A22)="N/A",0,RTD("tos.rtd",,"OPEN_INT","."&amp;B$2&amp;B$1&amp;"P"&amp;$A22)),0),IF(RTD("tos.rtd",,$A$2,"."&amp;B$2&amp;B$1&amp;"C"&amp;$A22)="N/A",0,RTD("tos.rtd",,$A$2,"."&amp;B$2&amp;B$1&amp;"C"&amp;$A22))-IF(RTD("tos.rtd",,$A$2,"."&amp;B$2&amp;B$1&amp;"P"&amp;$A22)="N/A",0,RTD("tos.rtd",,$A$2,"."&amp;B$2&amp;B$1&amp;"P"&amp;$A22)))))))))</f>
        <v>0</v>
      </c>
      <c r="C22" s="12">
        <f>IF($A$2="PREMIUM_OI",IFERROR((100*RTD("tos.rtd",,"OPEN_INT","."&amp;C$2&amp;C$1&amp;"C"&amp;$A22)*RTD("tos.rtd",,"LAST","."&amp;C$2&amp;C$1&amp;"C"&amp;$A22)-100*RTD("tos.rtd",,"OPEN_INT","."&amp;C$2&amp;C$1&amp;"P"&amp;$A22)*RTD("tos.rtd",,"LAST","."&amp;C$2&amp;C$1&amp;"P"&amp;$A22))/1000000,0),IF($A$2="PREMIUM",IFERROR((100*RTD("tos.rtd",,"VOLUME","."&amp;C$2&amp;C$1&amp;"C"&amp;$A22)*RTD("tos.rtd",,"LAST","."&amp;C$2&amp;C$1&amp;"C"&amp;$A22)-100*RTD("tos.rtd",,"VOLUME","."&amp;C$2&amp;C$1&amp;"P"&amp;$A22)*RTD("tos.rtd",,"LAST","."&amp;C$2&amp;C$1&amp;"P"&amp;$A22))/1000000,0),IF($A$2="DEX",IFERROR((100*RTD("tos.rtd",,"OPEN_INT","."&amp;C$2&amp;C$1&amp;"C"&amp;$A22)*RTD("tos.rtd",,"DELTA","."&amp;C$2&amp;C$1&amp;"C"&amp;$A22)-100*RTD("tos.rtd",,"OPEN_INT","."&amp;C$2&amp;C$1&amp;"P"&amp;$A22)*RTD("tos.rtd",,"DELTA","."&amp;C$2&amp;C$1&amp;"P"&amp;$A22))/1000,0),IF($A$2="VEX",IFERROR(($A$4*$A$4*RTD("tos.rtd",,"VOLUME","."&amp;C$2&amp;C$1&amp;"C"&amp;$A22)*RTD("tos.rtd",,"GAMMA","."&amp;C$2&amp;C$1&amp;"C"&amp;$A22)-$A$4*$A$4*RTD("tos.rtd",,"VOLUME","."&amp;C$2&amp;C$1&amp;"P"&amp;$A22)*RTD("tos.rtd",,"GAMMA","."&amp;C$2&amp;C$1&amp;"P"&amp;$A22))/1000000,0),IF($A$2="GEX",IFERROR(($A$4*$A$4*RTD("tos.rtd",,"OPEN_INT","."&amp;C$2&amp;C$1&amp;"C"&amp;$A22)*RTD("tos.rtd",,"GAMMA","."&amp;C$2&amp;C$1&amp;"C"&amp;$A22)-$A$4*$A$4*RTD("tos.rtd",,"OPEN_INT","."&amp;C$2&amp;C$1&amp;"P"&amp;$A22)*RTD("tos.rtd",,"GAMMA","."&amp;C$2&amp;C$1&amp;"P"&amp;$A22))/1000000,0),IF($A$2="SKEW",IFERROR(VALUE(IF(RTD("tos.rtd",,"IMPL_VOL","."&amp;C$2&amp;C$1&amp;"P"&amp;$A22)="N/A",0,RTD("tos.rtd",,"IMPL_VOL","."&amp;C$2&amp;C$1&amp;"P"&amp;$A22))),0)-IFERROR(VALUE(IF(RTD("tos.rtd",,"IMPL_VOL","."&amp;C$2&amp;C$1&amp;"C"&amp;$A22)="N/A",0,RTD("tos.rtd",,"IMPL_VOL","."&amp;C$2&amp;C$1&amp;"C"&amp;$A22))),0),IF($A$2="MAXPAIN",IF($A$4&gt;$A22,($A$4-$A22)*IF(RTD("tos.rtd",,"OPEN_INT","."&amp;C$2&amp;C$1&amp;"C"&amp;$A22)="N/A",0,RTD("tos.rtd",,"OPEN_INT","."&amp;C$2&amp;C$1&amp;"C"&amp;$A22)),0)+IF($A$4&lt;$A22,($A22-$A$4)*IF(RTD("tos.rtd",,"OPEN_INT","."&amp;C$2&amp;C$1&amp;"P"&amp;$A22)="N/A",0,RTD("tos.rtd",,"OPEN_INT","."&amp;C$2&amp;C$1&amp;"P"&amp;$A22)),0),IF(RTD("tos.rtd",,$A$2,"."&amp;C$2&amp;C$1&amp;"C"&amp;$A22)="N/A",0,RTD("tos.rtd",,$A$2,"."&amp;C$2&amp;C$1&amp;"C"&amp;$A22))-IF(RTD("tos.rtd",,$A$2,"."&amp;C$2&amp;C$1&amp;"P"&amp;$A22)="N/A",0,RTD("tos.rtd",,$A$2,"."&amp;C$2&amp;C$1&amp;"P"&amp;$A22)))))))))</f>
        <v>22694</v>
      </c>
      <c r="D22" s="12">
        <f>IF($A$2="PREMIUM_OI",IFERROR((100*RTD("tos.rtd",,"OPEN_INT","."&amp;D$2&amp;D$1&amp;"C"&amp;$A22)*RTD("tos.rtd",,"LAST","."&amp;D$2&amp;D$1&amp;"C"&amp;$A22)-100*RTD("tos.rtd",,"OPEN_INT","."&amp;D$2&amp;D$1&amp;"P"&amp;$A22)*RTD("tos.rtd",,"LAST","."&amp;D$2&amp;D$1&amp;"P"&amp;$A22))/1000000,0),IF($A$2="PREMIUM",IFERROR((100*RTD("tos.rtd",,"VOLUME","."&amp;D$2&amp;D$1&amp;"C"&amp;$A22)*RTD("tos.rtd",,"LAST","."&amp;D$2&amp;D$1&amp;"C"&amp;$A22)-100*RTD("tos.rtd",,"VOLUME","."&amp;D$2&amp;D$1&amp;"P"&amp;$A22)*RTD("tos.rtd",,"LAST","."&amp;D$2&amp;D$1&amp;"P"&amp;$A22))/1000000,0),IF($A$2="DEX",IFERROR((100*RTD("tos.rtd",,"OPEN_INT","."&amp;D$2&amp;D$1&amp;"C"&amp;$A22)*RTD("tos.rtd",,"DELTA","."&amp;D$2&amp;D$1&amp;"C"&amp;$A22)-100*RTD("tos.rtd",,"OPEN_INT","."&amp;D$2&amp;D$1&amp;"P"&amp;$A22)*RTD("tos.rtd",,"DELTA","."&amp;D$2&amp;D$1&amp;"P"&amp;$A22))/1000,0),IF($A$2="VEX",IFERROR(($A$4*$A$4*RTD("tos.rtd",,"VOLUME","."&amp;D$2&amp;D$1&amp;"C"&amp;$A22)*RTD("tos.rtd",,"GAMMA","."&amp;D$2&amp;D$1&amp;"C"&amp;$A22)-$A$4*$A$4*RTD("tos.rtd",,"VOLUME","."&amp;D$2&amp;D$1&amp;"P"&amp;$A22)*RTD("tos.rtd",,"GAMMA","."&amp;D$2&amp;D$1&amp;"P"&amp;$A22))/1000000,0),IF($A$2="GEX",IFERROR(($A$4*$A$4*RTD("tos.rtd",,"OPEN_INT","."&amp;D$2&amp;D$1&amp;"C"&amp;$A22)*RTD("tos.rtd",,"GAMMA","."&amp;D$2&amp;D$1&amp;"C"&amp;$A22)-$A$4*$A$4*RTD("tos.rtd",,"OPEN_INT","."&amp;D$2&amp;D$1&amp;"P"&amp;$A22)*RTD("tos.rtd",,"GAMMA","."&amp;D$2&amp;D$1&amp;"P"&amp;$A22))/1000000,0),IF($A$2="SKEW",IFERROR(VALUE(IF(RTD("tos.rtd",,"IMPL_VOL","."&amp;D$2&amp;D$1&amp;"P"&amp;$A22)="N/A",0,RTD("tos.rtd",,"IMPL_VOL","."&amp;D$2&amp;D$1&amp;"P"&amp;$A22))),0)-IFERROR(VALUE(IF(RTD("tos.rtd",,"IMPL_VOL","."&amp;D$2&amp;D$1&amp;"C"&amp;$A22)="N/A",0,RTD("tos.rtd",,"IMPL_VOL","."&amp;D$2&amp;D$1&amp;"C"&amp;$A22))),0),IF($A$2="MAXPAIN",IF($A$4&gt;$A22,($A$4-$A22)*IF(RTD("tos.rtd",,"OPEN_INT","."&amp;D$2&amp;D$1&amp;"C"&amp;$A22)="N/A",0,RTD("tos.rtd",,"OPEN_INT","."&amp;D$2&amp;D$1&amp;"C"&amp;$A22)),0)+IF($A$4&lt;$A22,($A22-$A$4)*IF(RTD("tos.rtd",,"OPEN_INT","."&amp;D$2&amp;D$1&amp;"P"&amp;$A22)="N/A",0,RTD("tos.rtd",,"OPEN_INT","."&amp;D$2&amp;D$1&amp;"P"&amp;$A22)),0),IF(RTD("tos.rtd",,$A$2,"."&amp;D$2&amp;D$1&amp;"C"&amp;$A22)="N/A",0,RTD("tos.rtd",,$A$2,"."&amp;D$2&amp;D$1&amp;"C"&amp;$A22))-IF(RTD("tos.rtd",,$A$2,"."&amp;D$2&amp;D$1&amp;"P"&amp;$A22)="N/A",0,RTD("tos.rtd",,$A$2,"."&amp;D$2&amp;D$1&amp;"P"&amp;$A22)))))))))</f>
        <v>0</v>
      </c>
      <c r="E22" s="12">
        <f>IF($A$2="PREMIUM_OI",IFERROR((100*RTD("tos.rtd",,"OPEN_INT","."&amp;E$2&amp;E$1&amp;"C"&amp;$A22)*RTD("tos.rtd",,"LAST","."&amp;E$2&amp;E$1&amp;"C"&amp;$A22)-100*RTD("tos.rtd",,"OPEN_INT","."&amp;E$2&amp;E$1&amp;"P"&amp;$A22)*RTD("tos.rtd",,"LAST","."&amp;E$2&amp;E$1&amp;"P"&amp;$A22))/1000000,0),IF($A$2="PREMIUM",IFERROR((100*RTD("tos.rtd",,"VOLUME","."&amp;E$2&amp;E$1&amp;"C"&amp;$A22)*RTD("tos.rtd",,"LAST","."&amp;E$2&amp;E$1&amp;"C"&amp;$A22)-100*RTD("tos.rtd",,"VOLUME","."&amp;E$2&amp;E$1&amp;"P"&amp;$A22)*RTD("tos.rtd",,"LAST","."&amp;E$2&amp;E$1&amp;"P"&amp;$A22))/1000000,0),IF($A$2="DEX",IFERROR((100*RTD("tos.rtd",,"OPEN_INT","."&amp;E$2&amp;E$1&amp;"C"&amp;$A22)*RTD("tos.rtd",,"DELTA","."&amp;E$2&amp;E$1&amp;"C"&amp;$A22)-100*RTD("tos.rtd",,"OPEN_INT","."&amp;E$2&amp;E$1&amp;"P"&amp;$A22)*RTD("tos.rtd",,"DELTA","."&amp;E$2&amp;E$1&amp;"P"&amp;$A22))/1000,0),IF($A$2="VEX",IFERROR(($A$4*$A$4*RTD("tos.rtd",,"VOLUME","."&amp;E$2&amp;E$1&amp;"C"&amp;$A22)*RTD("tos.rtd",,"GAMMA","."&amp;E$2&amp;E$1&amp;"C"&amp;$A22)-$A$4*$A$4*RTD("tos.rtd",,"VOLUME","."&amp;E$2&amp;E$1&amp;"P"&amp;$A22)*RTD("tos.rtd",,"GAMMA","."&amp;E$2&amp;E$1&amp;"P"&amp;$A22))/1000000,0),IF($A$2="GEX",IFERROR(($A$4*$A$4*RTD("tos.rtd",,"OPEN_INT","."&amp;E$2&amp;E$1&amp;"C"&amp;$A22)*RTD("tos.rtd",,"GAMMA","."&amp;E$2&amp;E$1&amp;"C"&amp;$A22)-$A$4*$A$4*RTD("tos.rtd",,"OPEN_INT","."&amp;E$2&amp;E$1&amp;"P"&amp;$A22)*RTD("tos.rtd",,"GAMMA","."&amp;E$2&amp;E$1&amp;"P"&amp;$A22))/1000000,0),IF($A$2="SKEW",IFERROR(VALUE(IF(RTD("tos.rtd",,"IMPL_VOL","."&amp;E$2&amp;E$1&amp;"P"&amp;$A22)="N/A",0,RTD("tos.rtd",,"IMPL_VOL","."&amp;E$2&amp;E$1&amp;"P"&amp;$A22))),0)-IFERROR(VALUE(IF(RTD("tos.rtd",,"IMPL_VOL","."&amp;E$2&amp;E$1&amp;"C"&amp;$A22)="N/A",0,RTD("tos.rtd",,"IMPL_VOL","."&amp;E$2&amp;E$1&amp;"C"&amp;$A22))),0),IF($A$2="MAXPAIN",IF($A$4&gt;$A22,($A$4-$A22)*IF(RTD("tos.rtd",,"OPEN_INT","."&amp;E$2&amp;E$1&amp;"C"&amp;$A22)="N/A",0,RTD("tos.rtd",,"OPEN_INT","."&amp;E$2&amp;E$1&amp;"C"&amp;$A22)),0)+IF($A$4&lt;$A22,($A22-$A$4)*IF(RTD("tos.rtd",,"OPEN_INT","."&amp;E$2&amp;E$1&amp;"P"&amp;$A22)="N/A",0,RTD("tos.rtd",,"OPEN_INT","."&amp;E$2&amp;E$1&amp;"P"&amp;$A22)),0),IF(RTD("tos.rtd",,$A$2,"."&amp;E$2&amp;E$1&amp;"C"&amp;$A22)="N/A",0,RTD("tos.rtd",,$A$2,"."&amp;E$2&amp;E$1&amp;"C"&amp;$A22))-IF(RTD("tos.rtd",,$A$2,"."&amp;E$2&amp;E$1&amp;"P"&amp;$A22)="N/A",0,RTD("tos.rtd",,$A$2,"."&amp;E$2&amp;E$1&amp;"P"&amp;$A22)))))))))</f>
        <v>0</v>
      </c>
      <c r="F22" s="12">
        <f>IF($A$2="PREMIUM_OI",IFERROR((100*RTD("tos.rtd",,"OPEN_INT","."&amp;F$2&amp;F$1&amp;"C"&amp;$A22)*RTD("tos.rtd",,"LAST","."&amp;F$2&amp;F$1&amp;"C"&amp;$A22)-100*RTD("tos.rtd",,"OPEN_INT","."&amp;F$2&amp;F$1&amp;"P"&amp;$A22)*RTD("tos.rtd",,"LAST","."&amp;F$2&amp;F$1&amp;"P"&amp;$A22))/1000000,0),IF($A$2="PREMIUM",IFERROR((100*RTD("tos.rtd",,"VOLUME","."&amp;F$2&amp;F$1&amp;"C"&amp;$A22)*RTD("tos.rtd",,"LAST","."&amp;F$2&amp;F$1&amp;"C"&amp;$A22)-100*RTD("tos.rtd",,"VOLUME","."&amp;F$2&amp;F$1&amp;"P"&amp;$A22)*RTD("tos.rtd",,"LAST","."&amp;F$2&amp;F$1&amp;"P"&amp;$A22))/1000000,0),IF($A$2="DEX",IFERROR((100*RTD("tos.rtd",,"OPEN_INT","."&amp;F$2&amp;F$1&amp;"C"&amp;$A22)*RTD("tos.rtd",,"DELTA","."&amp;F$2&amp;F$1&amp;"C"&amp;$A22)-100*RTD("tos.rtd",,"OPEN_INT","."&amp;F$2&amp;F$1&amp;"P"&amp;$A22)*RTD("tos.rtd",,"DELTA","."&amp;F$2&amp;F$1&amp;"P"&amp;$A22))/1000,0),IF($A$2="VEX",IFERROR(($A$4*$A$4*RTD("tos.rtd",,"VOLUME","."&amp;F$2&amp;F$1&amp;"C"&amp;$A22)*RTD("tos.rtd",,"GAMMA","."&amp;F$2&amp;F$1&amp;"C"&amp;$A22)-$A$4*$A$4*RTD("tos.rtd",,"VOLUME","."&amp;F$2&amp;F$1&amp;"P"&amp;$A22)*RTD("tos.rtd",,"GAMMA","."&amp;F$2&amp;F$1&amp;"P"&amp;$A22))/1000000,0),IF($A$2="GEX",IFERROR(($A$4*$A$4*RTD("tos.rtd",,"OPEN_INT","."&amp;F$2&amp;F$1&amp;"C"&amp;$A22)*RTD("tos.rtd",,"GAMMA","."&amp;F$2&amp;F$1&amp;"C"&amp;$A22)-$A$4*$A$4*RTD("tos.rtd",,"OPEN_INT","."&amp;F$2&amp;F$1&amp;"P"&amp;$A22)*RTD("tos.rtd",,"GAMMA","."&amp;F$2&amp;F$1&amp;"P"&amp;$A22))/1000000,0),IF($A$2="SKEW",IFERROR(VALUE(IF(RTD("tos.rtd",,"IMPL_VOL","."&amp;F$2&amp;F$1&amp;"P"&amp;$A22)="N/A",0,RTD("tos.rtd",,"IMPL_VOL","."&amp;F$2&amp;F$1&amp;"P"&amp;$A22))),0)-IFERROR(VALUE(IF(RTD("tos.rtd",,"IMPL_VOL","."&amp;F$2&amp;F$1&amp;"C"&amp;$A22)="N/A",0,RTD("tos.rtd",,"IMPL_VOL","."&amp;F$2&amp;F$1&amp;"C"&amp;$A22))),0),IF($A$2="MAXPAIN",IF($A$4&gt;$A22,($A$4-$A22)*IF(RTD("tos.rtd",,"OPEN_INT","."&amp;F$2&amp;F$1&amp;"C"&amp;$A22)="N/A",0,RTD("tos.rtd",,"OPEN_INT","."&amp;F$2&amp;F$1&amp;"C"&amp;$A22)),0)+IF($A$4&lt;$A22,($A22-$A$4)*IF(RTD("tos.rtd",,"OPEN_INT","."&amp;F$2&amp;F$1&amp;"P"&amp;$A22)="N/A",0,RTD("tos.rtd",,"OPEN_INT","."&amp;F$2&amp;F$1&amp;"P"&amp;$A22)),0),IF(RTD("tos.rtd",,$A$2,"."&amp;F$2&amp;F$1&amp;"C"&amp;$A22)="N/A",0,RTD("tos.rtd",,$A$2,"."&amp;F$2&amp;F$1&amp;"C"&amp;$A22))-IF(RTD("tos.rtd",,$A$2,"."&amp;F$2&amp;F$1&amp;"P"&amp;$A22)="N/A",0,RTD("tos.rtd",,$A$2,"."&amp;F$2&amp;F$1&amp;"P"&amp;$A22)))))))))</f>
        <v>0</v>
      </c>
      <c r="G22" s="14">
        <f>IF($A$2="PREMIUM_OI",IFERROR((100*RTD("tos.rtd",,"OPEN_INT","."&amp;G$2&amp;G$1&amp;"C"&amp;$A22)*RTD("tos.rtd",,"LAST","."&amp;G$2&amp;G$1&amp;"C"&amp;$A22)-100*RTD("tos.rtd",,"OPEN_INT","."&amp;G$2&amp;G$1&amp;"P"&amp;$A22)*RTD("tos.rtd",,"LAST","."&amp;G$2&amp;G$1&amp;"P"&amp;$A22))/1000000,0),IF($A$2="PREMIUM",IFERROR((100*RTD("tos.rtd",,"VOLUME","."&amp;G$2&amp;G$1&amp;"C"&amp;$A22)*RTD("tos.rtd",,"LAST","."&amp;G$2&amp;G$1&amp;"C"&amp;$A22)-100*RTD("tos.rtd",,"VOLUME","."&amp;G$2&amp;G$1&amp;"P"&amp;$A22)*RTD("tos.rtd",,"LAST","."&amp;G$2&amp;G$1&amp;"P"&amp;$A22))/1000000,0),IF($A$2="DEX",IFERROR((100*RTD("tos.rtd",,"OPEN_INT","."&amp;G$2&amp;G$1&amp;"C"&amp;$A22)*RTD("tos.rtd",,"DELTA","."&amp;G$2&amp;G$1&amp;"C"&amp;$A22)-100*RTD("tos.rtd",,"OPEN_INT","."&amp;G$2&amp;G$1&amp;"P"&amp;$A22)*RTD("tos.rtd",,"DELTA","."&amp;G$2&amp;G$1&amp;"P"&amp;$A22))/1000,0),IF($A$2="VEX",IFERROR(($A$4*$A$4*RTD("tos.rtd",,"VOLUME","."&amp;G$2&amp;G$1&amp;"C"&amp;$A22)*RTD("tos.rtd",,"GAMMA","."&amp;G$2&amp;G$1&amp;"C"&amp;$A22)-$A$4*$A$4*RTD("tos.rtd",,"VOLUME","."&amp;G$2&amp;G$1&amp;"P"&amp;$A22)*RTD("tos.rtd",,"GAMMA","."&amp;G$2&amp;G$1&amp;"P"&amp;$A22))/1000000,0),IF($A$2="GEX",IFERROR(($A$4*$A$4*RTD("tos.rtd",,"OPEN_INT","."&amp;G$2&amp;G$1&amp;"C"&amp;$A22)*RTD("tos.rtd",,"GAMMA","."&amp;G$2&amp;G$1&amp;"C"&amp;$A22)-$A$4*$A$4*RTD("tos.rtd",,"OPEN_INT","."&amp;G$2&amp;G$1&amp;"P"&amp;$A22)*RTD("tos.rtd",,"GAMMA","."&amp;G$2&amp;G$1&amp;"P"&amp;$A22))/1000000,0),IF($A$2="SKEW",IFERROR(VALUE(IF(RTD("tos.rtd",,"IMPL_VOL","."&amp;G$2&amp;G$1&amp;"P"&amp;$A22)="N/A",0,RTD("tos.rtd",,"IMPL_VOL","."&amp;G$2&amp;G$1&amp;"P"&amp;$A22))),0)-IFERROR(VALUE(IF(RTD("tos.rtd",,"IMPL_VOL","."&amp;G$2&amp;G$1&amp;"C"&amp;$A22)="N/A",0,RTD("tos.rtd",,"IMPL_VOL","."&amp;G$2&amp;G$1&amp;"C"&amp;$A22))),0),IF($A$2="MAXPAIN",IF($A$4&gt;$A22,($A$4-$A22)*IF(RTD("tos.rtd",,"OPEN_INT","."&amp;G$2&amp;G$1&amp;"C"&amp;$A22)="N/A",0,RTD("tos.rtd",,"OPEN_INT","."&amp;G$2&amp;G$1&amp;"C"&amp;$A22)),0)+IF($A$4&lt;$A22,($A22-$A$4)*IF(RTD("tos.rtd",,"OPEN_INT","."&amp;G$2&amp;G$1&amp;"P"&amp;$A22)="N/A",0,RTD("tos.rtd",,"OPEN_INT","."&amp;G$2&amp;G$1&amp;"P"&amp;$A22)),0),IF(RTD("tos.rtd",,$A$2,"."&amp;G$2&amp;G$1&amp;"C"&amp;$A22)="N/A",0,RTD("tos.rtd",,$A$2,"."&amp;G$2&amp;G$1&amp;"C"&amp;$A22))-IF(RTD("tos.rtd",,$A$2,"."&amp;G$2&amp;G$1&amp;"P"&amp;$A22)="N/A",0,RTD("tos.rtd",,$A$2,"."&amp;G$2&amp;G$1&amp;"P"&amp;$A22)))))))))</f>
        <v>0</v>
      </c>
      <c r="H22" s="12">
        <f>IF($A$2="PREMIUM_OI",IFERROR((100*RTD("tos.rtd",,"OPEN_INT","."&amp;H$2&amp;H$1&amp;"C"&amp;$A22)*RTD("tos.rtd",,"LAST","."&amp;H$2&amp;H$1&amp;"C"&amp;$A22)-100*RTD("tos.rtd",,"OPEN_INT","."&amp;H$2&amp;H$1&amp;"P"&amp;$A22)*RTD("tos.rtd",,"LAST","."&amp;H$2&amp;H$1&amp;"P"&amp;$A22))/1000000,0),IF($A$2="PREMIUM",IFERROR((100*RTD("tos.rtd",,"VOLUME","."&amp;H$2&amp;H$1&amp;"C"&amp;$A22)*RTD("tos.rtd",,"LAST","."&amp;H$2&amp;H$1&amp;"C"&amp;$A22)-100*RTD("tos.rtd",,"VOLUME","."&amp;H$2&amp;H$1&amp;"P"&amp;$A22)*RTD("tos.rtd",,"LAST","."&amp;H$2&amp;H$1&amp;"P"&amp;$A22))/1000000,0),IF($A$2="DEX",IFERROR((100*RTD("tos.rtd",,"OPEN_INT","."&amp;H$2&amp;H$1&amp;"C"&amp;$A22)*RTD("tos.rtd",,"DELTA","."&amp;H$2&amp;H$1&amp;"C"&amp;$A22)-100*RTD("tos.rtd",,"OPEN_INT","."&amp;H$2&amp;H$1&amp;"P"&amp;$A22)*RTD("tos.rtd",,"DELTA","."&amp;H$2&amp;H$1&amp;"P"&amp;$A22))/1000,0),IF($A$2="VEX",IFERROR(($A$4*$A$4*RTD("tos.rtd",,"VOLUME","."&amp;H$2&amp;H$1&amp;"C"&amp;$A22)*RTD("tos.rtd",,"GAMMA","."&amp;H$2&amp;H$1&amp;"C"&amp;$A22)-$A$4*$A$4*RTD("tos.rtd",,"VOLUME","."&amp;H$2&amp;H$1&amp;"P"&amp;$A22)*RTD("tos.rtd",,"GAMMA","."&amp;H$2&amp;H$1&amp;"P"&amp;$A22))/1000000,0),IF($A$2="GEX",IFERROR(($A$4*$A$4*RTD("tos.rtd",,"OPEN_INT","."&amp;H$2&amp;H$1&amp;"C"&amp;$A22)*RTD("tos.rtd",,"GAMMA","."&amp;H$2&amp;H$1&amp;"C"&amp;$A22)-$A$4*$A$4*RTD("tos.rtd",,"OPEN_INT","."&amp;H$2&amp;H$1&amp;"P"&amp;$A22)*RTD("tos.rtd",,"GAMMA","."&amp;H$2&amp;H$1&amp;"P"&amp;$A22))/1000000,0),IF($A$2="SKEW",IFERROR(VALUE(IF(RTD("tos.rtd",,"IMPL_VOL","."&amp;H$2&amp;H$1&amp;"P"&amp;$A22)="N/A",0,RTD("tos.rtd",,"IMPL_VOL","."&amp;H$2&amp;H$1&amp;"P"&amp;$A22))),0)-IFERROR(VALUE(IF(RTD("tos.rtd",,"IMPL_VOL","."&amp;H$2&amp;H$1&amp;"C"&amp;$A22)="N/A",0,RTD("tos.rtd",,"IMPL_VOL","."&amp;H$2&amp;H$1&amp;"C"&amp;$A22))),0),IF($A$2="MAXPAIN",IF($A$4&gt;$A22,($A$4-$A22)*IF(RTD("tos.rtd",,"OPEN_INT","."&amp;H$2&amp;H$1&amp;"C"&amp;$A22)="N/A",0,RTD("tos.rtd",,"OPEN_INT","."&amp;H$2&amp;H$1&amp;"C"&amp;$A22)),0)+IF($A$4&lt;$A22,($A22-$A$4)*IF(RTD("tos.rtd",,"OPEN_INT","."&amp;H$2&amp;H$1&amp;"P"&amp;$A22)="N/A",0,RTD("tos.rtd",,"OPEN_INT","."&amp;H$2&amp;H$1&amp;"P"&amp;$A22)),0),IF(RTD("tos.rtd",,$A$2,"."&amp;H$2&amp;H$1&amp;"C"&amp;$A22)="N/A",0,RTD("tos.rtd",,$A$2,"."&amp;H$2&amp;H$1&amp;"C"&amp;$A22))-IF(RTD("tos.rtd",,$A$2,"."&amp;H$2&amp;H$1&amp;"P"&amp;$A22)="N/A",0,RTD("tos.rtd",,$A$2,"."&amp;H$2&amp;H$1&amp;"P"&amp;$A22)))))))))</f>
        <v>41907</v>
      </c>
      <c r="I22" s="12">
        <f>IF($A$2="PREMIUM_OI",IFERROR((100*RTD("tos.rtd",,"OPEN_INT","."&amp;I$2&amp;I$1&amp;"C"&amp;$A22)*RTD("tos.rtd",,"LAST","."&amp;I$2&amp;I$1&amp;"C"&amp;$A22)-100*RTD("tos.rtd",,"OPEN_INT","."&amp;I$2&amp;I$1&amp;"P"&amp;$A22)*RTD("tos.rtd",,"LAST","."&amp;I$2&amp;I$1&amp;"P"&amp;$A22))/1000000,0),IF($A$2="PREMIUM",IFERROR((100*RTD("tos.rtd",,"VOLUME","."&amp;I$2&amp;I$1&amp;"C"&amp;$A22)*RTD("tos.rtd",,"LAST","."&amp;I$2&amp;I$1&amp;"C"&amp;$A22)-100*RTD("tos.rtd",,"VOLUME","."&amp;I$2&amp;I$1&amp;"P"&amp;$A22)*RTD("tos.rtd",,"LAST","."&amp;I$2&amp;I$1&amp;"P"&amp;$A22))/1000000,0),IF($A$2="DEX",IFERROR((100*RTD("tos.rtd",,"OPEN_INT","."&amp;I$2&amp;I$1&amp;"C"&amp;$A22)*RTD("tos.rtd",,"DELTA","."&amp;I$2&amp;I$1&amp;"C"&amp;$A22)-100*RTD("tos.rtd",,"OPEN_INT","."&amp;I$2&amp;I$1&amp;"P"&amp;$A22)*RTD("tos.rtd",,"DELTA","."&amp;I$2&amp;I$1&amp;"P"&amp;$A22))/1000,0),IF($A$2="VEX",IFERROR(($A$4*$A$4*RTD("tos.rtd",,"VOLUME","."&amp;I$2&amp;I$1&amp;"C"&amp;$A22)*RTD("tos.rtd",,"GAMMA","."&amp;I$2&amp;I$1&amp;"C"&amp;$A22)-$A$4*$A$4*RTD("tos.rtd",,"VOLUME","."&amp;I$2&amp;I$1&amp;"P"&amp;$A22)*RTD("tos.rtd",,"GAMMA","."&amp;I$2&amp;I$1&amp;"P"&amp;$A22))/1000000,0),IF($A$2="GEX",IFERROR(($A$4*$A$4*RTD("tos.rtd",,"OPEN_INT","."&amp;I$2&amp;I$1&amp;"C"&amp;$A22)*RTD("tos.rtd",,"GAMMA","."&amp;I$2&amp;I$1&amp;"C"&amp;$A22)-$A$4*$A$4*RTD("tos.rtd",,"OPEN_INT","."&amp;I$2&amp;I$1&amp;"P"&amp;$A22)*RTD("tos.rtd",,"GAMMA","."&amp;I$2&amp;I$1&amp;"P"&amp;$A22))/1000000,0),IF($A$2="SKEW",IFERROR(VALUE(IF(RTD("tos.rtd",,"IMPL_VOL","."&amp;I$2&amp;I$1&amp;"P"&amp;$A22)="N/A",0,RTD("tos.rtd",,"IMPL_VOL","."&amp;I$2&amp;I$1&amp;"P"&amp;$A22))),0)-IFERROR(VALUE(IF(RTD("tos.rtd",,"IMPL_VOL","."&amp;I$2&amp;I$1&amp;"C"&amp;$A22)="N/A",0,RTD("tos.rtd",,"IMPL_VOL","."&amp;I$2&amp;I$1&amp;"C"&amp;$A22))),0),IF($A$2="MAXPAIN",IF($A$4&gt;$A22,($A$4-$A22)*IF(RTD("tos.rtd",,"OPEN_INT","."&amp;I$2&amp;I$1&amp;"C"&amp;$A22)="N/A",0,RTD("tos.rtd",,"OPEN_INT","."&amp;I$2&amp;I$1&amp;"C"&amp;$A22)),0)+IF($A$4&lt;$A22,($A22-$A$4)*IF(RTD("tos.rtd",,"OPEN_INT","."&amp;I$2&amp;I$1&amp;"P"&amp;$A22)="N/A",0,RTD("tos.rtd",,"OPEN_INT","."&amp;I$2&amp;I$1&amp;"P"&amp;$A22)),0),IF(RTD("tos.rtd",,$A$2,"."&amp;I$2&amp;I$1&amp;"C"&amp;$A22)="N/A",0,RTD("tos.rtd",,$A$2,"."&amp;I$2&amp;I$1&amp;"C"&amp;$A22))-IF(RTD("tos.rtd",,$A$2,"."&amp;I$2&amp;I$1&amp;"P"&amp;$A22)="N/A",0,RTD("tos.rtd",,$A$2,"."&amp;I$2&amp;I$1&amp;"P"&amp;$A22)))))))))</f>
        <v>0</v>
      </c>
      <c r="J22" s="12">
        <f>IF($A$2="PREMIUM_OI",IFERROR((100*RTD("tos.rtd",,"OPEN_INT","."&amp;J$2&amp;J$1&amp;"C"&amp;$A22)*RTD("tos.rtd",,"LAST","."&amp;J$2&amp;J$1&amp;"C"&amp;$A22)-100*RTD("tos.rtd",,"OPEN_INT","."&amp;J$2&amp;J$1&amp;"P"&amp;$A22)*RTD("tos.rtd",,"LAST","."&amp;J$2&amp;J$1&amp;"P"&amp;$A22))/1000000,0),IF($A$2="PREMIUM",IFERROR((100*RTD("tos.rtd",,"VOLUME","."&amp;J$2&amp;J$1&amp;"C"&amp;$A22)*RTD("tos.rtd",,"LAST","."&amp;J$2&amp;J$1&amp;"C"&amp;$A22)-100*RTD("tos.rtd",,"VOLUME","."&amp;J$2&amp;J$1&amp;"P"&amp;$A22)*RTD("tos.rtd",,"LAST","."&amp;J$2&amp;J$1&amp;"P"&amp;$A22))/1000000,0),IF($A$2="DEX",IFERROR((100*RTD("tos.rtd",,"OPEN_INT","."&amp;J$2&amp;J$1&amp;"C"&amp;$A22)*RTD("tos.rtd",,"DELTA","."&amp;J$2&amp;J$1&amp;"C"&amp;$A22)-100*RTD("tos.rtd",,"OPEN_INT","."&amp;J$2&amp;J$1&amp;"P"&amp;$A22)*RTD("tos.rtd",,"DELTA","."&amp;J$2&amp;J$1&amp;"P"&amp;$A22))/1000,0),IF($A$2="VEX",IFERROR(($A$4*$A$4*RTD("tos.rtd",,"VOLUME","."&amp;J$2&amp;J$1&amp;"C"&amp;$A22)*RTD("tos.rtd",,"GAMMA","."&amp;J$2&amp;J$1&amp;"C"&amp;$A22)-$A$4*$A$4*RTD("tos.rtd",,"VOLUME","."&amp;J$2&amp;J$1&amp;"P"&amp;$A22)*RTD("tos.rtd",,"GAMMA","."&amp;J$2&amp;J$1&amp;"P"&amp;$A22))/1000000,0),IF($A$2="GEX",IFERROR(($A$4*$A$4*RTD("tos.rtd",,"OPEN_INT","."&amp;J$2&amp;J$1&amp;"C"&amp;$A22)*RTD("tos.rtd",,"GAMMA","."&amp;J$2&amp;J$1&amp;"C"&amp;$A22)-$A$4*$A$4*RTD("tos.rtd",,"OPEN_INT","."&amp;J$2&amp;J$1&amp;"P"&amp;$A22)*RTD("tos.rtd",,"GAMMA","."&amp;J$2&amp;J$1&amp;"P"&amp;$A22))/1000000,0),IF($A$2="SKEW",IFERROR(VALUE(IF(RTD("tos.rtd",,"IMPL_VOL","."&amp;J$2&amp;J$1&amp;"P"&amp;$A22)="N/A",0,RTD("tos.rtd",,"IMPL_VOL","."&amp;J$2&amp;J$1&amp;"P"&amp;$A22))),0)-IFERROR(VALUE(IF(RTD("tos.rtd",,"IMPL_VOL","."&amp;J$2&amp;J$1&amp;"C"&amp;$A22)="N/A",0,RTD("tos.rtd",,"IMPL_VOL","."&amp;J$2&amp;J$1&amp;"C"&amp;$A22))),0),IF($A$2="MAXPAIN",IF($A$4&gt;$A22,($A$4-$A22)*IF(RTD("tos.rtd",,"OPEN_INT","."&amp;J$2&amp;J$1&amp;"C"&amp;$A22)="N/A",0,RTD("tos.rtd",,"OPEN_INT","."&amp;J$2&amp;J$1&amp;"C"&amp;$A22)),0)+IF($A$4&lt;$A22,($A22-$A$4)*IF(RTD("tos.rtd",,"OPEN_INT","."&amp;J$2&amp;J$1&amp;"P"&amp;$A22)="N/A",0,RTD("tos.rtd",,"OPEN_INT","."&amp;J$2&amp;J$1&amp;"P"&amp;$A22)),0),IF(RTD("tos.rtd",,$A$2,"."&amp;J$2&amp;J$1&amp;"C"&amp;$A22)="N/A",0,RTD("tos.rtd",,$A$2,"."&amp;J$2&amp;J$1&amp;"C"&amp;$A22))-IF(RTD("tos.rtd",,$A$2,"."&amp;J$2&amp;J$1&amp;"P"&amp;$A22)="N/A",0,RTD("tos.rtd",,$A$2,"."&amp;J$2&amp;J$1&amp;"P"&amp;$A22)))))))))</f>
        <v>0</v>
      </c>
      <c r="K22" s="12">
        <f>IF($A$2="PREMIUM_OI",IFERROR((100*RTD("tos.rtd",,"OPEN_INT","."&amp;K$2&amp;K$1&amp;"C"&amp;$A22)*RTD("tos.rtd",,"LAST","."&amp;K$2&amp;K$1&amp;"C"&amp;$A22)-100*RTD("tos.rtd",,"OPEN_INT","."&amp;K$2&amp;K$1&amp;"P"&amp;$A22)*RTD("tos.rtd",,"LAST","."&amp;K$2&amp;K$1&amp;"P"&amp;$A22))/1000000,0),IF($A$2="PREMIUM",IFERROR((100*RTD("tos.rtd",,"VOLUME","."&amp;K$2&amp;K$1&amp;"C"&amp;$A22)*RTD("tos.rtd",,"LAST","."&amp;K$2&amp;K$1&amp;"C"&amp;$A22)-100*RTD("tos.rtd",,"VOLUME","."&amp;K$2&amp;K$1&amp;"P"&amp;$A22)*RTD("tos.rtd",,"LAST","."&amp;K$2&amp;K$1&amp;"P"&amp;$A22))/1000000,0),IF($A$2="DEX",IFERROR((100*RTD("tos.rtd",,"OPEN_INT","."&amp;K$2&amp;K$1&amp;"C"&amp;$A22)*RTD("tos.rtd",,"DELTA","."&amp;K$2&amp;K$1&amp;"C"&amp;$A22)-100*RTD("tos.rtd",,"OPEN_INT","."&amp;K$2&amp;K$1&amp;"P"&amp;$A22)*RTD("tos.rtd",,"DELTA","."&amp;K$2&amp;K$1&amp;"P"&amp;$A22))/1000,0),IF($A$2="VEX",IFERROR(($A$4*$A$4*RTD("tos.rtd",,"VOLUME","."&amp;K$2&amp;K$1&amp;"C"&amp;$A22)*RTD("tos.rtd",,"GAMMA","."&amp;K$2&amp;K$1&amp;"C"&amp;$A22)-$A$4*$A$4*RTD("tos.rtd",,"VOLUME","."&amp;K$2&amp;K$1&amp;"P"&amp;$A22)*RTD("tos.rtd",,"GAMMA","."&amp;K$2&amp;K$1&amp;"P"&amp;$A22))/1000000,0),IF($A$2="GEX",IFERROR(($A$4*$A$4*RTD("tos.rtd",,"OPEN_INT","."&amp;K$2&amp;K$1&amp;"C"&amp;$A22)*RTD("tos.rtd",,"GAMMA","."&amp;K$2&amp;K$1&amp;"C"&amp;$A22)-$A$4*$A$4*RTD("tos.rtd",,"OPEN_INT","."&amp;K$2&amp;K$1&amp;"P"&amp;$A22)*RTD("tos.rtd",,"GAMMA","."&amp;K$2&amp;K$1&amp;"P"&amp;$A22))/1000000,0),IF($A$2="SKEW",IFERROR(VALUE(IF(RTD("tos.rtd",,"IMPL_VOL","."&amp;K$2&amp;K$1&amp;"P"&amp;$A22)="N/A",0,RTD("tos.rtd",,"IMPL_VOL","."&amp;K$2&amp;K$1&amp;"P"&amp;$A22))),0)-IFERROR(VALUE(IF(RTD("tos.rtd",,"IMPL_VOL","."&amp;K$2&amp;K$1&amp;"C"&amp;$A22)="N/A",0,RTD("tos.rtd",,"IMPL_VOL","."&amp;K$2&amp;K$1&amp;"C"&amp;$A22))),0),IF($A$2="MAXPAIN",IF($A$4&gt;$A22,($A$4-$A22)*IF(RTD("tos.rtd",,"OPEN_INT","."&amp;K$2&amp;K$1&amp;"C"&amp;$A22)="N/A",0,RTD("tos.rtd",,"OPEN_INT","."&amp;K$2&amp;K$1&amp;"C"&amp;$A22)),0)+IF($A$4&lt;$A22,($A22-$A$4)*IF(RTD("tos.rtd",,"OPEN_INT","."&amp;K$2&amp;K$1&amp;"P"&amp;$A22)="N/A",0,RTD("tos.rtd",,"OPEN_INT","."&amp;K$2&amp;K$1&amp;"P"&amp;$A22)),0),IF(RTD("tos.rtd",,$A$2,"."&amp;K$2&amp;K$1&amp;"C"&amp;$A22)="N/A",0,RTD("tos.rtd",,$A$2,"."&amp;K$2&amp;K$1&amp;"C"&amp;$A22))-IF(RTD("tos.rtd",,$A$2,"."&amp;K$2&amp;K$1&amp;"P"&amp;$A22)="N/A",0,RTD("tos.rtd",,$A$2,"."&amp;K$2&amp;K$1&amp;"P"&amp;$A22)))))))))</f>
        <v>0</v>
      </c>
      <c r="L22" s="12">
        <f>IF($A$2="PREMIUM_OI",IFERROR((100*RTD("tos.rtd",,"OPEN_INT","."&amp;L$2&amp;L$1&amp;"C"&amp;$A22)*RTD("tos.rtd",,"LAST","."&amp;L$2&amp;L$1&amp;"C"&amp;$A22)-100*RTD("tos.rtd",,"OPEN_INT","."&amp;L$2&amp;L$1&amp;"P"&amp;$A22)*RTD("tos.rtd",,"LAST","."&amp;L$2&amp;L$1&amp;"P"&amp;$A22))/1000000,0),IF($A$2="PREMIUM",IFERROR((100*RTD("tos.rtd",,"VOLUME","."&amp;L$2&amp;L$1&amp;"C"&amp;$A22)*RTD("tos.rtd",,"LAST","."&amp;L$2&amp;L$1&amp;"C"&amp;$A22)-100*RTD("tos.rtd",,"VOLUME","."&amp;L$2&amp;L$1&amp;"P"&amp;$A22)*RTD("tos.rtd",,"LAST","."&amp;L$2&amp;L$1&amp;"P"&amp;$A22))/1000000,0),IF($A$2="DEX",IFERROR((100*RTD("tos.rtd",,"OPEN_INT","."&amp;L$2&amp;L$1&amp;"C"&amp;$A22)*RTD("tos.rtd",,"DELTA","."&amp;L$2&amp;L$1&amp;"C"&amp;$A22)-100*RTD("tos.rtd",,"OPEN_INT","."&amp;L$2&amp;L$1&amp;"P"&amp;$A22)*RTD("tos.rtd",,"DELTA","."&amp;L$2&amp;L$1&amp;"P"&amp;$A22))/1000,0),IF($A$2="VEX",IFERROR(($A$4*$A$4*RTD("tos.rtd",,"VOLUME","."&amp;L$2&amp;L$1&amp;"C"&amp;$A22)*RTD("tos.rtd",,"GAMMA","."&amp;L$2&amp;L$1&amp;"C"&amp;$A22)-$A$4*$A$4*RTD("tos.rtd",,"VOLUME","."&amp;L$2&amp;L$1&amp;"P"&amp;$A22)*RTD("tos.rtd",,"GAMMA","."&amp;L$2&amp;L$1&amp;"P"&amp;$A22))/1000000,0),IF($A$2="GEX",IFERROR(($A$4*$A$4*RTD("tos.rtd",,"OPEN_INT","."&amp;L$2&amp;L$1&amp;"C"&amp;$A22)*RTD("tos.rtd",,"GAMMA","."&amp;L$2&amp;L$1&amp;"C"&amp;$A22)-$A$4*$A$4*RTD("tos.rtd",,"OPEN_INT","."&amp;L$2&amp;L$1&amp;"P"&amp;$A22)*RTD("tos.rtd",,"GAMMA","."&amp;L$2&amp;L$1&amp;"P"&amp;$A22))/1000000,0),IF($A$2="SKEW",IFERROR(VALUE(IF(RTD("tos.rtd",,"IMPL_VOL","."&amp;L$2&amp;L$1&amp;"P"&amp;$A22)="N/A",0,RTD("tos.rtd",,"IMPL_VOL","."&amp;L$2&amp;L$1&amp;"P"&amp;$A22))),0)-IFERROR(VALUE(IF(RTD("tos.rtd",,"IMPL_VOL","."&amp;L$2&amp;L$1&amp;"C"&amp;$A22)="N/A",0,RTD("tos.rtd",,"IMPL_VOL","."&amp;L$2&amp;L$1&amp;"C"&amp;$A22))),0),IF($A$2="MAXPAIN",IF($A$4&gt;$A22,($A$4-$A22)*IF(RTD("tos.rtd",,"OPEN_INT","."&amp;L$2&amp;L$1&amp;"C"&amp;$A22)="N/A",0,RTD("tos.rtd",,"OPEN_INT","."&amp;L$2&amp;L$1&amp;"C"&amp;$A22)),0)+IF($A$4&lt;$A22,($A22-$A$4)*IF(RTD("tos.rtd",,"OPEN_INT","."&amp;L$2&amp;L$1&amp;"P"&amp;$A22)="N/A",0,RTD("tos.rtd",,"OPEN_INT","."&amp;L$2&amp;L$1&amp;"P"&amp;$A22)),0),IF(RTD("tos.rtd",,$A$2,"."&amp;L$2&amp;L$1&amp;"C"&amp;$A22)="N/A",0,RTD("tos.rtd",,$A$2,"."&amp;L$2&amp;L$1&amp;"C"&amp;$A22))-IF(RTD("tos.rtd",,$A$2,"."&amp;L$2&amp;L$1&amp;"P"&amp;$A22)="N/A",0,RTD("tos.rtd",,$A$2,"."&amp;L$2&amp;L$1&amp;"P"&amp;$A22)))))))))</f>
        <v>0</v>
      </c>
      <c r="M22" s="12">
        <f>IF($A$2="PREMIUM_OI",IFERROR((100*RTD("tos.rtd",,"OPEN_INT","."&amp;M$2&amp;M$1&amp;"C"&amp;$A22)*RTD("tos.rtd",,"LAST","."&amp;M$2&amp;M$1&amp;"C"&amp;$A22)-100*RTD("tos.rtd",,"OPEN_INT","."&amp;M$2&amp;M$1&amp;"P"&amp;$A22)*RTD("tos.rtd",,"LAST","."&amp;M$2&amp;M$1&amp;"P"&amp;$A22))/1000000,0),IF($A$2="PREMIUM",IFERROR((100*RTD("tos.rtd",,"VOLUME","."&amp;M$2&amp;M$1&amp;"C"&amp;$A22)*RTD("tos.rtd",,"LAST","."&amp;M$2&amp;M$1&amp;"C"&amp;$A22)-100*RTD("tos.rtd",,"VOLUME","."&amp;M$2&amp;M$1&amp;"P"&amp;$A22)*RTD("tos.rtd",,"LAST","."&amp;M$2&amp;M$1&amp;"P"&amp;$A22))/1000000,0),IF($A$2="DEX",IFERROR((100*RTD("tos.rtd",,"OPEN_INT","."&amp;M$2&amp;M$1&amp;"C"&amp;$A22)*RTD("tos.rtd",,"DELTA","."&amp;M$2&amp;M$1&amp;"C"&amp;$A22)-100*RTD("tos.rtd",,"OPEN_INT","."&amp;M$2&amp;M$1&amp;"P"&amp;$A22)*RTD("tos.rtd",,"DELTA","."&amp;M$2&amp;M$1&amp;"P"&amp;$A22))/1000,0),IF($A$2="VEX",IFERROR(($A$4*$A$4*RTD("tos.rtd",,"VOLUME","."&amp;M$2&amp;M$1&amp;"C"&amp;$A22)*RTD("tos.rtd",,"GAMMA","."&amp;M$2&amp;M$1&amp;"C"&amp;$A22)-$A$4*$A$4*RTD("tos.rtd",,"VOLUME","."&amp;M$2&amp;M$1&amp;"P"&amp;$A22)*RTD("tos.rtd",,"GAMMA","."&amp;M$2&amp;M$1&amp;"P"&amp;$A22))/1000000,0),IF($A$2="GEX",IFERROR(($A$4*$A$4*RTD("tos.rtd",,"OPEN_INT","."&amp;M$2&amp;M$1&amp;"C"&amp;$A22)*RTD("tos.rtd",,"GAMMA","."&amp;M$2&amp;M$1&amp;"C"&amp;$A22)-$A$4*$A$4*RTD("tos.rtd",,"OPEN_INT","."&amp;M$2&amp;M$1&amp;"P"&amp;$A22)*RTD("tos.rtd",,"GAMMA","."&amp;M$2&amp;M$1&amp;"P"&amp;$A22))/1000000,0),IF($A$2="SKEW",IFERROR(VALUE(IF(RTD("tos.rtd",,"IMPL_VOL","."&amp;M$2&amp;M$1&amp;"P"&amp;$A22)="N/A",0,RTD("tos.rtd",,"IMPL_VOL","."&amp;M$2&amp;M$1&amp;"P"&amp;$A22))),0)-IFERROR(VALUE(IF(RTD("tos.rtd",,"IMPL_VOL","."&amp;M$2&amp;M$1&amp;"C"&amp;$A22)="N/A",0,RTD("tos.rtd",,"IMPL_VOL","."&amp;M$2&amp;M$1&amp;"C"&amp;$A22))),0),IF($A$2="MAXPAIN",IF($A$4&gt;$A22,($A$4-$A22)*IF(RTD("tos.rtd",,"OPEN_INT","."&amp;M$2&amp;M$1&amp;"C"&amp;$A22)="N/A",0,RTD("tos.rtd",,"OPEN_INT","."&amp;M$2&amp;M$1&amp;"C"&amp;$A22)),0)+IF($A$4&lt;$A22,($A22-$A$4)*IF(RTD("tos.rtd",,"OPEN_INT","."&amp;M$2&amp;M$1&amp;"P"&amp;$A22)="N/A",0,RTD("tos.rtd",,"OPEN_INT","."&amp;M$2&amp;M$1&amp;"P"&amp;$A22)),0),IF(RTD("tos.rtd",,$A$2,"."&amp;M$2&amp;M$1&amp;"C"&amp;$A22)="N/A",0,RTD("tos.rtd",,$A$2,"."&amp;M$2&amp;M$1&amp;"C"&amp;$A22))-IF(RTD("tos.rtd",,$A$2,"."&amp;M$2&amp;M$1&amp;"P"&amp;$A22)="N/A",0,RTD("tos.rtd",,$A$2,"."&amp;M$2&amp;M$1&amp;"P"&amp;$A22)))))))))</f>
        <v>3143</v>
      </c>
      <c r="N22" s="12">
        <f>IF($A$2="PREMIUM_OI",IFERROR((100*RTD("tos.rtd",,"OPEN_INT","."&amp;N$2&amp;N$1&amp;"C"&amp;$A22)*RTD("tos.rtd",,"LAST","."&amp;N$2&amp;N$1&amp;"C"&amp;$A22)-100*RTD("tos.rtd",,"OPEN_INT","."&amp;N$2&amp;N$1&amp;"P"&amp;$A22)*RTD("tos.rtd",,"LAST","."&amp;N$2&amp;N$1&amp;"P"&amp;$A22))/1000000,0),IF($A$2="PREMIUM",IFERROR((100*RTD("tos.rtd",,"VOLUME","."&amp;N$2&amp;N$1&amp;"C"&amp;$A22)*RTD("tos.rtd",,"LAST","."&amp;N$2&amp;N$1&amp;"C"&amp;$A22)-100*RTD("tos.rtd",,"VOLUME","."&amp;N$2&amp;N$1&amp;"P"&amp;$A22)*RTD("tos.rtd",,"LAST","."&amp;N$2&amp;N$1&amp;"P"&amp;$A22))/1000000,0),IF($A$2="DEX",IFERROR((100*RTD("tos.rtd",,"OPEN_INT","."&amp;N$2&amp;N$1&amp;"C"&amp;$A22)*RTD("tos.rtd",,"DELTA","."&amp;N$2&amp;N$1&amp;"C"&amp;$A22)-100*RTD("tos.rtd",,"OPEN_INT","."&amp;N$2&amp;N$1&amp;"P"&amp;$A22)*RTD("tos.rtd",,"DELTA","."&amp;N$2&amp;N$1&amp;"P"&amp;$A22))/1000,0),IF($A$2="VEX",IFERROR(($A$4*$A$4*RTD("tos.rtd",,"VOLUME","."&amp;N$2&amp;N$1&amp;"C"&amp;$A22)*RTD("tos.rtd",,"GAMMA","."&amp;N$2&amp;N$1&amp;"C"&amp;$A22)-$A$4*$A$4*RTD("tos.rtd",,"VOLUME","."&amp;N$2&amp;N$1&amp;"P"&amp;$A22)*RTD("tos.rtd",,"GAMMA","."&amp;N$2&amp;N$1&amp;"P"&amp;$A22))/1000000,0),IF($A$2="GEX",IFERROR(($A$4*$A$4*RTD("tos.rtd",,"OPEN_INT","."&amp;N$2&amp;N$1&amp;"C"&amp;$A22)*RTD("tos.rtd",,"GAMMA","."&amp;N$2&amp;N$1&amp;"C"&amp;$A22)-$A$4*$A$4*RTD("tos.rtd",,"OPEN_INT","."&amp;N$2&amp;N$1&amp;"P"&amp;$A22)*RTD("tos.rtd",,"GAMMA","."&amp;N$2&amp;N$1&amp;"P"&amp;$A22))/1000000,0),IF($A$2="SKEW",IFERROR(VALUE(IF(RTD("tos.rtd",,"IMPL_VOL","."&amp;N$2&amp;N$1&amp;"P"&amp;$A22)="N/A",0,RTD("tos.rtd",,"IMPL_VOL","."&amp;N$2&amp;N$1&amp;"P"&amp;$A22))),0)-IFERROR(VALUE(IF(RTD("tos.rtd",,"IMPL_VOL","."&amp;N$2&amp;N$1&amp;"C"&amp;$A22)="N/A",0,RTD("tos.rtd",,"IMPL_VOL","."&amp;N$2&amp;N$1&amp;"C"&amp;$A22))),0),IF($A$2="MAXPAIN",IF($A$4&gt;$A22,($A$4-$A22)*IF(RTD("tos.rtd",,"OPEN_INT","."&amp;N$2&amp;N$1&amp;"C"&amp;$A22)="N/A",0,RTD("tos.rtd",,"OPEN_INT","."&amp;N$2&amp;N$1&amp;"C"&amp;$A22)),0)+IF($A$4&lt;$A22,($A22-$A$4)*IF(RTD("tos.rtd",,"OPEN_INT","."&amp;N$2&amp;N$1&amp;"P"&amp;$A22)="N/A",0,RTD("tos.rtd",,"OPEN_INT","."&amp;N$2&amp;N$1&amp;"P"&amp;$A22)),0),IF(RTD("tos.rtd",,$A$2,"."&amp;N$2&amp;N$1&amp;"C"&amp;$A22)="N/A",0,RTD("tos.rtd",,$A$2,"."&amp;N$2&amp;N$1&amp;"C"&amp;$A22))-IF(RTD("tos.rtd",,$A$2,"."&amp;N$2&amp;N$1&amp;"P"&amp;$A22)="N/A",0,RTD("tos.rtd",,$A$2,"."&amp;N$2&amp;N$1&amp;"P"&amp;$A22)))))))))</f>
        <v>0</v>
      </c>
      <c r="O22" s="12">
        <f>IF($A$2="PREMIUM_OI",IFERROR((100*RTD("tos.rtd",,"OPEN_INT","."&amp;O$2&amp;O$1&amp;"C"&amp;$A22)*RTD("tos.rtd",,"LAST","."&amp;O$2&amp;O$1&amp;"C"&amp;$A22)-100*RTD("tos.rtd",,"OPEN_INT","."&amp;O$2&amp;O$1&amp;"P"&amp;$A22)*RTD("tos.rtd",,"LAST","."&amp;O$2&amp;O$1&amp;"P"&amp;$A22))/1000000,0),IF($A$2="PREMIUM",IFERROR((100*RTD("tos.rtd",,"VOLUME","."&amp;O$2&amp;O$1&amp;"C"&amp;$A22)*RTD("tos.rtd",,"LAST","."&amp;O$2&amp;O$1&amp;"C"&amp;$A22)-100*RTD("tos.rtd",,"VOLUME","."&amp;O$2&amp;O$1&amp;"P"&amp;$A22)*RTD("tos.rtd",,"LAST","."&amp;O$2&amp;O$1&amp;"P"&amp;$A22))/1000000,0),IF($A$2="DEX",IFERROR((100*RTD("tos.rtd",,"OPEN_INT","."&amp;O$2&amp;O$1&amp;"C"&amp;$A22)*RTD("tos.rtd",,"DELTA","."&amp;O$2&amp;O$1&amp;"C"&amp;$A22)-100*RTD("tos.rtd",,"OPEN_INT","."&amp;O$2&amp;O$1&amp;"P"&amp;$A22)*RTD("tos.rtd",,"DELTA","."&amp;O$2&amp;O$1&amp;"P"&amp;$A22))/1000,0),IF($A$2="VEX",IFERROR(($A$4*$A$4*RTD("tos.rtd",,"VOLUME","."&amp;O$2&amp;O$1&amp;"C"&amp;$A22)*RTD("tos.rtd",,"GAMMA","."&amp;O$2&amp;O$1&amp;"C"&amp;$A22)-$A$4*$A$4*RTD("tos.rtd",,"VOLUME","."&amp;O$2&amp;O$1&amp;"P"&amp;$A22)*RTD("tos.rtd",,"GAMMA","."&amp;O$2&amp;O$1&amp;"P"&amp;$A22))/1000000,0),IF($A$2="GEX",IFERROR(($A$4*$A$4*RTD("tos.rtd",,"OPEN_INT","."&amp;O$2&amp;O$1&amp;"C"&amp;$A22)*RTD("tos.rtd",,"GAMMA","."&amp;O$2&amp;O$1&amp;"C"&amp;$A22)-$A$4*$A$4*RTD("tos.rtd",,"OPEN_INT","."&amp;O$2&amp;O$1&amp;"P"&amp;$A22)*RTD("tos.rtd",,"GAMMA","."&amp;O$2&amp;O$1&amp;"P"&amp;$A22))/1000000,0),IF($A$2="SKEW",IFERROR(VALUE(IF(RTD("tos.rtd",,"IMPL_VOL","."&amp;O$2&amp;O$1&amp;"P"&amp;$A22)="N/A",0,RTD("tos.rtd",,"IMPL_VOL","."&amp;O$2&amp;O$1&amp;"P"&amp;$A22))),0)-IFERROR(VALUE(IF(RTD("tos.rtd",,"IMPL_VOL","."&amp;O$2&amp;O$1&amp;"C"&amp;$A22)="N/A",0,RTD("tos.rtd",,"IMPL_VOL","."&amp;O$2&amp;O$1&amp;"C"&amp;$A22))),0),IF($A$2="MAXPAIN",IF($A$4&gt;$A22,($A$4-$A22)*IF(RTD("tos.rtd",,"OPEN_INT","."&amp;O$2&amp;O$1&amp;"C"&amp;$A22)="N/A",0,RTD("tos.rtd",,"OPEN_INT","."&amp;O$2&amp;O$1&amp;"C"&amp;$A22)),0)+IF($A$4&lt;$A22,($A22-$A$4)*IF(RTD("tos.rtd",,"OPEN_INT","."&amp;O$2&amp;O$1&amp;"P"&amp;$A22)="N/A",0,RTD("tos.rtd",,"OPEN_INT","."&amp;O$2&amp;O$1&amp;"P"&amp;$A22)),0),IF(RTD("tos.rtd",,$A$2,"."&amp;O$2&amp;O$1&amp;"C"&amp;$A22)="N/A",0,RTD("tos.rtd",,$A$2,"."&amp;O$2&amp;O$1&amp;"C"&amp;$A22))-IF(RTD("tos.rtd",,$A$2,"."&amp;O$2&amp;O$1&amp;"P"&amp;$A22)="N/A",0,RTD("tos.rtd",,$A$2,"."&amp;O$2&amp;O$1&amp;"P"&amp;$A22)))))))))</f>
        <v>0</v>
      </c>
      <c r="P22" s="12">
        <f>IF($A$2="PREMIUM_OI",IFERROR((100*RTD("tos.rtd",,"OPEN_INT","."&amp;P$2&amp;P$1&amp;"C"&amp;$A22)*RTD("tos.rtd",,"LAST","."&amp;P$2&amp;P$1&amp;"C"&amp;$A22)-100*RTD("tos.rtd",,"OPEN_INT","."&amp;P$2&amp;P$1&amp;"P"&amp;$A22)*RTD("tos.rtd",,"LAST","."&amp;P$2&amp;P$1&amp;"P"&amp;$A22))/1000000,0),IF($A$2="PREMIUM",IFERROR((100*RTD("tos.rtd",,"VOLUME","."&amp;P$2&amp;P$1&amp;"C"&amp;$A22)*RTD("tos.rtd",,"LAST","."&amp;P$2&amp;P$1&amp;"C"&amp;$A22)-100*RTD("tos.rtd",,"VOLUME","."&amp;P$2&amp;P$1&amp;"P"&amp;$A22)*RTD("tos.rtd",,"LAST","."&amp;P$2&amp;P$1&amp;"P"&amp;$A22))/1000000,0),IF($A$2="DEX",IFERROR((100*RTD("tos.rtd",,"OPEN_INT","."&amp;P$2&amp;P$1&amp;"C"&amp;$A22)*RTD("tos.rtd",,"DELTA","."&amp;P$2&amp;P$1&amp;"C"&amp;$A22)-100*RTD("tos.rtd",,"OPEN_INT","."&amp;P$2&amp;P$1&amp;"P"&amp;$A22)*RTD("tos.rtd",,"DELTA","."&amp;P$2&amp;P$1&amp;"P"&amp;$A22))/1000,0),IF($A$2="VEX",IFERROR(($A$4*$A$4*RTD("tos.rtd",,"VOLUME","."&amp;P$2&amp;P$1&amp;"C"&amp;$A22)*RTD("tos.rtd",,"GAMMA","."&amp;P$2&amp;P$1&amp;"C"&amp;$A22)-$A$4*$A$4*RTD("tos.rtd",,"VOLUME","."&amp;P$2&amp;P$1&amp;"P"&amp;$A22)*RTD("tos.rtd",,"GAMMA","."&amp;P$2&amp;P$1&amp;"P"&amp;$A22))/1000000,0),IF($A$2="GEX",IFERROR(($A$4*$A$4*RTD("tos.rtd",,"OPEN_INT","."&amp;P$2&amp;P$1&amp;"C"&amp;$A22)*RTD("tos.rtd",,"GAMMA","."&amp;P$2&amp;P$1&amp;"C"&amp;$A22)-$A$4*$A$4*RTD("tos.rtd",,"OPEN_INT","."&amp;P$2&amp;P$1&amp;"P"&amp;$A22)*RTD("tos.rtd",,"GAMMA","."&amp;P$2&amp;P$1&amp;"P"&amp;$A22))/1000000,0),IF($A$2="SKEW",IFERROR(VALUE(IF(RTD("tos.rtd",,"IMPL_VOL","."&amp;P$2&amp;P$1&amp;"P"&amp;$A22)="N/A",0,RTD("tos.rtd",,"IMPL_VOL","."&amp;P$2&amp;P$1&amp;"P"&amp;$A22))),0)-IFERROR(VALUE(IF(RTD("tos.rtd",,"IMPL_VOL","."&amp;P$2&amp;P$1&amp;"C"&amp;$A22)="N/A",0,RTD("tos.rtd",,"IMPL_VOL","."&amp;P$2&amp;P$1&amp;"C"&amp;$A22))),0),IF($A$2="MAXPAIN",IF($A$4&gt;$A22,($A$4-$A22)*IF(RTD("tos.rtd",,"OPEN_INT","."&amp;P$2&amp;P$1&amp;"C"&amp;$A22)="N/A",0,RTD("tos.rtd",,"OPEN_INT","."&amp;P$2&amp;P$1&amp;"C"&amp;$A22)),0)+IF($A$4&lt;$A22,($A22-$A$4)*IF(RTD("tos.rtd",,"OPEN_INT","."&amp;P$2&amp;P$1&amp;"P"&amp;$A22)="N/A",0,RTD("tos.rtd",,"OPEN_INT","."&amp;P$2&amp;P$1&amp;"P"&amp;$A22)),0),IF(RTD("tos.rtd",,$A$2,"."&amp;P$2&amp;P$1&amp;"C"&amp;$A22)="N/A",0,RTD("tos.rtd",,$A$2,"."&amp;P$2&amp;P$1&amp;"C"&amp;$A22))-IF(RTD("tos.rtd",,$A$2,"."&amp;P$2&amp;P$1&amp;"P"&amp;$A22)="N/A",0,RTD("tos.rtd",,$A$2,"."&amp;P$2&amp;P$1&amp;"P"&amp;$A22)))))))))</f>
        <v>0</v>
      </c>
      <c r="Q22" s="12">
        <f>IF($A$2="PREMIUM_OI",IFERROR((100*RTD("tos.rtd",,"OPEN_INT","."&amp;Q$2&amp;Q$1&amp;"C"&amp;$A22)*RTD("tos.rtd",,"LAST","."&amp;Q$2&amp;Q$1&amp;"C"&amp;$A22)-100*RTD("tos.rtd",,"OPEN_INT","."&amp;Q$2&amp;Q$1&amp;"P"&amp;$A22)*RTD("tos.rtd",,"LAST","."&amp;Q$2&amp;Q$1&amp;"P"&amp;$A22))/1000000,0),IF($A$2="PREMIUM",IFERROR((100*RTD("tos.rtd",,"VOLUME","."&amp;Q$2&amp;Q$1&amp;"C"&amp;$A22)*RTD("tos.rtd",,"LAST","."&amp;Q$2&amp;Q$1&amp;"C"&amp;$A22)-100*RTD("tos.rtd",,"VOLUME","."&amp;Q$2&amp;Q$1&amp;"P"&amp;$A22)*RTD("tos.rtd",,"LAST","."&amp;Q$2&amp;Q$1&amp;"P"&amp;$A22))/1000000,0),IF($A$2="DEX",IFERROR((100*RTD("tos.rtd",,"OPEN_INT","."&amp;Q$2&amp;Q$1&amp;"C"&amp;$A22)*RTD("tos.rtd",,"DELTA","."&amp;Q$2&amp;Q$1&amp;"C"&amp;$A22)-100*RTD("tos.rtd",,"OPEN_INT","."&amp;Q$2&amp;Q$1&amp;"P"&amp;$A22)*RTD("tos.rtd",,"DELTA","."&amp;Q$2&amp;Q$1&amp;"P"&amp;$A22))/1000,0),IF($A$2="VEX",IFERROR(($A$4*$A$4*RTD("tos.rtd",,"VOLUME","."&amp;Q$2&amp;Q$1&amp;"C"&amp;$A22)*RTD("tos.rtd",,"GAMMA","."&amp;Q$2&amp;Q$1&amp;"C"&amp;$A22)-$A$4*$A$4*RTD("tos.rtd",,"VOLUME","."&amp;Q$2&amp;Q$1&amp;"P"&amp;$A22)*RTD("tos.rtd",,"GAMMA","."&amp;Q$2&amp;Q$1&amp;"P"&amp;$A22))/1000000,0),IF($A$2="GEX",IFERROR(($A$4*$A$4*RTD("tos.rtd",,"OPEN_INT","."&amp;Q$2&amp;Q$1&amp;"C"&amp;$A22)*RTD("tos.rtd",,"GAMMA","."&amp;Q$2&amp;Q$1&amp;"C"&amp;$A22)-$A$4*$A$4*RTD("tos.rtd",,"OPEN_INT","."&amp;Q$2&amp;Q$1&amp;"P"&amp;$A22)*RTD("tos.rtd",,"GAMMA","."&amp;Q$2&amp;Q$1&amp;"P"&amp;$A22))/1000000,0),IF($A$2="SKEW",IFERROR(VALUE(IF(RTD("tos.rtd",,"IMPL_VOL","."&amp;Q$2&amp;Q$1&amp;"P"&amp;$A22)="N/A",0,RTD("tos.rtd",,"IMPL_VOL","."&amp;Q$2&amp;Q$1&amp;"P"&amp;$A22))),0)-IFERROR(VALUE(IF(RTD("tos.rtd",,"IMPL_VOL","."&amp;Q$2&amp;Q$1&amp;"C"&amp;$A22)="N/A",0,RTD("tos.rtd",,"IMPL_VOL","."&amp;Q$2&amp;Q$1&amp;"C"&amp;$A22))),0),IF($A$2="MAXPAIN",IF($A$4&gt;$A22,($A$4-$A22)*IF(RTD("tos.rtd",,"OPEN_INT","."&amp;Q$2&amp;Q$1&amp;"C"&amp;$A22)="N/A",0,RTD("tos.rtd",,"OPEN_INT","."&amp;Q$2&amp;Q$1&amp;"C"&amp;$A22)),0)+IF($A$4&lt;$A22,($A22-$A$4)*IF(RTD("tos.rtd",,"OPEN_INT","."&amp;Q$2&amp;Q$1&amp;"P"&amp;$A22)="N/A",0,RTD("tos.rtd",,"OPEN_INT","."&amp;Q$2&amp;Q$1&amp;"P"&amp;$A22)),0),IF(RTD("tos.rtd",,$A$2,"."&amp;Q$2&amp;Q$1&amp;"C"&amp;$A22)="N/A",0,RTD("tos.rtd",,$A$2,"."&amp;Q$2&amp;Q$1&amp;"C"&amp;$A22))-IF(RTD("tos.rtd",,$A$2,"."&amp;Q$2&amp;Q$1&amp;"P"&amp;$A22)="N/A",0,RTD("tos.rtd",,$A$2,"."&amp;Q$2&amp;Q$1&amp;"P"&amp;$A22)))))))))</f>
        <v>0</v>
      </c>
      <c r="R22" s="12">
        <f>IF($A$2="PREMIUM_OI",IFERROR((100*RTD("tos.rtd",,"OPEN_INT","."&amp;R$2&amp;R$1&amp;"C"&amp;$A22)*RTD("tos.rtd",,"LAST","."&amp;R$2&amp;R$1&amp;"C"&amp;$A22)-100*RTD("tos.rtd",,"OPEN_INT","."&amp;R$2&amp;R$1&amp;"P"&amp;$A22)*RTD("tos.rtd",,"LAST","."&amp;R$2&amp;R$1&amp;"P"&amp;$A22))/1000000,0),IF($A$2="PREMIUM",IFERROR((100*RTD("tos.rtd",,"VOLUME","."&amp;R$2&amp;R$1&amp;"C"&amp;$A22)*RTD("tos.rtd",,"LAST","."&amp;R$2&amp;R$1&amp;"C"&amp;$A22)-100*RTD("tos.rtd",,"VOLUME","."&amp;R$2&amp;R$1&amp;"P"&amp;$A22)*RTD("tos.rtd",,"LAST","."&amp;R$2&amp;R$1&amp;"P"&amp;$A22))/1000000,0),IF($A$2="DEX",IFERROR((100*RTD("tos.rtd",,"OPEN_INT","."&amp;R$2&amp;R$1&amp;"C"&amp;$A22)*RTD("tos.rtd",,"DELTA","."&amp;R$2&amp;R$1&amp;"C"&amp;$A22)-100*RTD("tos.rtd",,"OPEN_INT","."&amp;R$2&amp;R$1&amp;"P"&amp;$A22)*RTD("tos.rtd",,"DELTA","."&amp;R$2&amp;R$1&amp;"P"&amp;$A22))/1000,0),IF($A$2="VEX",IFERROR(($A$4*$A$4*RTD("tos.rtd",,"VOLUME","."&amp;R$2&amp;R$1&amp;"C"&amp;$A22)*RTD("tos.rtd",,"GAMMA","."&amp;R$2&amp;R$1&amp;"C"&amp;$A22)-$A$4*$A$4*RTD("tos.rtd",,"VOLUME","."&amp;R$2&amp;R$1&amp;"P"&amp;$A22)*RTD("tos.rtd",,"GAMMA","."&amp;R$2&amp;R$1&amp;"P"&amp;$A22))/1000000,0),IF($A$2="GEX",IFERROR(($A$4*$A$4*RTD("tos.rtd",,"OPEN_INT","."&amp;R$2&amp;R$1&amp;"C"&amp;$A22)*RTD("tos.rtd",,"GAMMA","."&amp;R$2&amp;R$1&amp;"C"&amp;$A22)-$A$4*$A$4*RTD("tos.rtd",,"OPEN_INT","."&amp;R$2&amp;R$1&amp;"P"&amp;$A22)*RTD("tos.rtd",,"GAMMA","."&amp;R$2&amp;R$1&amp;"P"&amp;$A22))/1000000,0),IF($A$2="SKEW",IFERROR(VALUE(IF(RTD("tos.rtd",,"IMPL_VOL","."&amp;R$2&amp;R$1&amp;"P"&amp;$A22)="N/A",0,RTD("tos.rtd",,"IMPL_VOL","."&amp;R$2&amp;R$1&amp;"P"&amp;$A22))),0)-IFERROR(VALUE(IF(RTD("tos.rtd",,"IMPL_VOL","."&amp;R$2&amp;R$1&amp;"C"&amp;$A22)="N/A",0,RTD("tos.rtd",,"IMPL_VOL","."&amp;R$2&amp;R$1&amp;"C"&amp;$A22))),0),IF($A$2="MAXPAIN",IF($A$4&gt;$A22,($A$4-$A22)*IF(RTD("tos.rtd",,"OPEN_INT","."&amp;R$2&amp;R$1&amp;"C"&amp;$A22)="N/A",0,RTD("tos.rtd",,"OPEN_INT","."&amp;R$2&amp;R$1&amp;"C"&amp;$A22)),0)+IF($A$4&lt;$A22,($A22-$A$4)*IF(RTD("tos.rtd",,"OPEN_INT","."&amp;R$2&amp;R$1&amp;"P"&amp;$A22)="N/A",0,RTD("tos.rtd",,"OPEN_INT","."&amp;R$2&amp;R$1&amp;"P"&amp;$A22)),0),IF(RTD("tos.rtd",,$A$2,"."&amp;R$2&amp;R$1&amp;"C"&amp;$A22)="N/A",0,RTD("tos.rtd",,$A$2,"."&amp;R$2&amp;R$1&amp;"C"&amp;$A22))-IF(RTD("tos.rtd",,$A$2,"."&amp;R$2&amp;R$1&amp;"P"&amp;$A22)="N/A",0,RTD("tos.rtd",,$A$2,"."&amp;R$2&amp;R$1&amp;"P"&amp;$A22)))))))))</f>
        <v>9885</v>
      </c>
      <c r="S22" s="12">
        <f>IF($A$2="PREMIUM_OI",IFERROR((100*RTD("tos.rtd",,"OPEN_INT","."&amp;S$2&amp;S$1&amp;"C"&amp;$A22)*RTD("tos.rtd",,"LAST","."&amp;S$2&amp;S$1&amp;"C"&amp;$A22)-100*RTD("tos.rtd",,"OPEN_INT","."&amp;S$2&amp;S$1&amp;"P"&amp;$A22)*RTD("tos.rtd",,"LAST","."&amp;S$2&amp;S$1&amp;"P"&amp;$A22))/1000000,0),IF($A$2="PREMIUM",IFERROR((100*RTD("tos.rtd",,"VOLUME","."&amp;S$2&amp;S$1&amp;"C"&amp;$A22)*RTD("tos.rtd",,"LAST","."&amp;S$2&amp;S$1&amp;"C"&amp;$A22)-100*RTD("tos.rtd",,"VOLUME","."&amp;S$2&amp;S$1&amp;"P"&amp;$A22)*RTD("tos.rtd",,"LAST","."&amp;S$2&amp;S$1&amp;"P"&amp;$A22))/1000000,0),IF($A$2="DEX",IFERROR((100*RTD("tos.rtd",,"OPEN_INT","."&amp;S$2&amp;S$1&amp;"C"&amp;$A22)*RTD("tos.rtd",,"DELTA","."&amp;S$2&amp;S$1&amp;"C"&amp;$A22)-100*RTD("tos.rtd",,"OPEN_INT","."&amp;S$2&amp;S$1&amp;"P"&amp;$A22)*RTD("tos.rtd",,"DELTA","."&amp;S$2&amp;S$1&amp;"P"&amp;$A22))/1000,0),IF($A$2="VEX",IFERROR(($A$4*$A$4*RTD("tos.rtd",,"VOLUME","."&amp;S$2&amp;S$1&amp;"C"&amp;$A22)*RTD("tos.rtd",,"GAMMA","."&amp;S$2&amp;S$1&amp;"C"&amp;$A22)-$A$4*$A$4*RTD("tos.rtd",,"VOLUME","."&amp;S$2&amp;S$1&amp;"P"&amp;$A22)*RTD("tos.rtd",,"GAMMA","."&amp;S$2&amp;S$1&amp;"P"&amp;$A22))/1000000,0),IF($A$2="GEX",IFERROR(($A$4*$A$4*RTD("tos.rtd",,"OPEN_INT","."&amp;S$2&amp;S$1&amp;"C"&amp;$A22)*RTD("tos.rtd",,"GAMMA","."&amp;S$2&amp;S$1&amp;"C"&amp;$A22)-$A$4*$A$4*RTD("tos.rtd",,"OPEN_INT","."&amp;S$2&amp;S$1&amp;"P"&amp;$A22)*RTD("tos.rtd",,"GAMMA","."&amp;S$2&amp;S$1&amp;"P"&amp;$A22))/1000000,0),IF($A$2="SKEW",IFERROR(VALUE(IF(RTD("tos.rtd",,"IMPL_VOL","."&amp;S$2&amp;S$1&amp;"P"&amp;$A22)="N/A",0,RTD("tos.rtd",,"IMPL_VOL","."&amp;S$2&amp;S$1&amp;"P"&amp;$A22))),0)-IFERROR(VALUE(IF(RTD("tos.rtd",,"IMPL_VOL","."&amp;S$2&amp;S$1&amp;"C"&amp;$A22)="N/A",0,RTD("tos.rtd",,"IMPL_VOL","."&amp;S$2&amp;S$1&amp;"C"&amp;$A22))),0),IF($A$2="MAXPAIN",IF($A$4&gt;$A22,($A$4-$A22)*IF(RTD("tos.rtd",,"OPEN_INT","."&amp;S$2&amp;S$1&amp;"C"&amp;$A22)="N/A",0,RTD("tos.rtd",,"OPEN_INT","."&amp;S$2&amp;S$1&amp;"C"&amp;$A22)),0)+IF($A$4&lt;$A22,($A22-$A$4)*IF(RTD("tos.rtd",,"OPEN_INT","."&amp;S$2&amp;S$1&amp;"P"&amp;$A22)="N/A",0,RTD("tos.rtd",,"OPEN_INT","."&amp;S$2&amp;S$1&amp;"P"&amp;$A22)),0),IF(RTD("tos.rtd",,$A$2,"."&amp;S$2&amp;S$1&amp;"C"&amp;$A22)="N/A",0,RTD("tos.rtd",,$A$2,"."&amp;S$2&amp;S$1&amp;"C"&amp;$A22))-IF(RTD("tos.rtd",,$A$2,"."&amp;S$2&amp;S$1&amp;"P"&amp;$A22)="N/A",0,RTD("tos.rtd",,$A$2,"."&amp;S$2&amp;S$1&amp;"P"&amp;$A22)))))))))</f>
        <v>10487</v>
      </c>
      <c r="T22" s="12">
        <f>IF($A$2="PREMIUM_OI",IFERROR((100*RTD("tos.rtd",,"OPEN_INT","."&amp;T$2&amp;T$1&amp;"C"&amp;$A22)*RTD("tos.rtd",,"LAST","."&amp;T$2&amp;T$1&amp;"C"&amp;$A22)-100*RTD("tos.rtd",,"OPEN_INT","."&amp;T$2&amp;T$1&amp;"P"&amp;$A22)*RTD("tos.rtd",,"LAST","."&amp;T$2&amp;T$1&amp;"P"&amp;$A22))/1000000,0),IF($A$2="PREMIUM",IFERROR((100*RTD("tos.rtd",,"VOLUME","."&amp;T$2&amp;T$1&amp;"C"&amp;$A22)*RTD("tos.rtd",,"LAST","."&amp;T$2&amp;T$1&amp;"C"&amp;$A22)-100*RTD("tos.rtd",,"VOLUME","."&amp;T$2&amp;T$1&amp;"P"&amp;$A22)*RTD("tos.rtd",,"LAST","."&amp;T$2&amp;T$1&amp;"P"&amp;$A22))/1000000,0),IF($A$2="DEX",IFERROR((100*RTD("tos.rtd",,"OPEN_INT","."&amp;T$2&amp;T$1&amp;"C"&amp;$A22)*RTD("tos.rtd",,"DELTA","."&amp;T$2&amp;T$1&amp;"C"&amp;$A22)-100*RTD("tos.rtd",,"OPEN_INT","."&amp;T$2&amp;T$1&amp;"P"&amp;$A22)*RTD("tos.rtd",,"DELTA","."&amp;T$2&amp;T$1&amp;"P"&amp;$A22))/1000,0),IF($A$2="VEX",IFERROR(($A$4*$A$4*RTD("tos.rtd",,"VOLUME","."&amp;T$2&amp;T$1&amp;"C"&amp;$A22)*RTD("tos.rtd",,"GAMMA","."&amp;T$2&amp;T$1&amp;"C"&amp;$A22)-$A$4*$A$4*RTD("tos.rtd",,"VOLUME","."&amp;T$2&amp;T$1&amp;"P"&amp;$A22)*RTD("tos.rtd",,"GAMMA","."&amp;T$2&amp;T$1&amp;"P"&amp;$A22))/1000000,0),IF($A$2="GEX",IFERROR(($A$4*$A$4*RTD("tos.rtd",,"OPEN_INT","."&amp;T$2&amp;T$1&amp;"C"&amp;$A22)*RTD("tos.rtd",,"GAMMA","."&amp;T$2&amp;T$1&amp;"C"&amp;$A22)-$A$4*$A$4*RTD("tos.rtd",,"OPEN_INT","."&amp;T$2&amp;T$1&amp;"P"&amp;$A22)*RTD("tos.rtd",,"GAMMA","."&amp;T$2&amp;T$1&amp;"P"&amp;$A22))/1000000,0),IF($A$2="SKEW",IFERROR(VALUE(IF(RTD("tos.rtd",,"IMPL_VOL","."&amp;T$2&amp;T$1&amp;"P"&amp;$A22)="N/A",0,RTD("tos.rtd",,"IMPL_VOL","."&amp;T$2&amp;T$1&amp;"P"&amp;$A22))),0)-IFERROR(VALUE(IF(RTD("tos.rtd",,"IMPL_VOL","."&amp;T$2&amp;T$1&amp;"C"&amp;$A22)="N/A",0,RTD("tos.rtd",,"IMPL_VOL","."&amp;T$2&amp;T$1&amp;"C"&amp;$A22))),0),IF($A$2="MAXPAIN",IF($A$4&gt;$A22,($A$4-$A22)*IF(RTD("tos.rtd",,"OPEN_INT","."&amp;T$2&amp;T$1&amp;"C"&amp;$A22)="N/A",0,RTD("tos.rtd",,"OPEN_INT","."&amp;T$2&amp;T$1&amp;"C"&amp;$A22)),0)+IF($A$4&lt;$A22,($A22-$A$4)*IF(RTD("tos.rtd",,"OPEN_INT","."&amp;T$2&amp;T$1&amp;"P"&amp;$A22)="N/A",0,RTD("tos.rtd",,"OPEN_INT","."&amp;T$2&amp;T$1&amp;"P"&amp;$A22)),0),IF(RTD("tos.rtd",,$A$2,"."&amp;T$2&amp;T$1&amp;"C"&amp;$A22)="N/A",0,RTD("tos.rtd",,$A$2,"."&amp;T$2&amp;T$1&amp;"C"&amp;$A22))-IF(RTD("tos.rtd",,$A$2,"."&amp;T$2&amp;T$1&amp;"P"&amp;$A22)="N/A",0,RTD("tos.rtd",,$A$2,"."&amp;T$2&amp;T$1&amp;"P"&amp;$A22)))))))))</f>
        <v>2752</v>
      </c>
      <c r="U22" s="12">
        <f>IF($A$2="PREMIUM_OI",IFERROR((100*RTD("tos.rtd",,"OPEN_INT","."&amp;U$2&amp;U$1&amp;"C"&amp;$A22)*RTD("tos.rtd",,"LAST","."&amp;U$2&amp;U$1&amp;"C"&amp;$A22)-100*RTD("tos.rtd",,"OPEN_INT","."&amp;U$2&amp;U$1&amp;"P"&amp;$A22)*RTD("tos.rtd",,"LAST","."&amp;U$2&amp;U$1&amp;"P"&amp;$A22))/1000000,0),IF($A$2="PREMIUM",IFERROR((100*RTD("tos.rtd",,"VOLUME","."&amp;U$2&amp;U$1&amp;"C"&amp;$A22)*RTD("tos.rtd",,"LAST","."&amp;U$2&amp;U$1&amp;"C"&amp;$A22)-100*RTD("tos.rtd",,"VOLUME","."&amp;U$2&amp;U$1&amp;"P"&amp;$A22)*RTD("tos.rtd",,"LAST","."&amp;U$2&amp;U$1&amp;"P"&amp;$A22))/1000000,0),IF($A$2="DEX",IFERROR((100*RTD("tos.rtd",,"OPEN_INT","."&amp;U$2&amp;U$1&amp;"C"&amp;$A22)*RTD("tos.rtd",,"DELTA","."&amp;U$2&amp;U$1&amp;"C"&amp;$A22)-100*RTD("tos.rtd",,"OPEN_INT","."&amp;U$2&amp;U$1&amp;"P"&amp;$A22)*RTD("tos.rtd",,"DELTA","."&amp;U$2&amp;U$1&amp;"P"&amp;$A22))/1000,0),IF($A$2="VEX",IFERROR(($A$4*$A$4*RTD("tos.rtd",,"VOLUME","."&amp;U$2&amp;U$1&amp;"C"&amp;$A22)*RTD("tos.rtd",,"GAMMA","."&amp;U$2&amp;U$1&amp;"C"&amp;$A22)-$A$4*$A$4*RTD("tos.rtd",,"VOLUME","."&amp;U$2&amp;U$1&amp;"P"&amp;$A22)*RTD("tos.rtd",,"GAMMA","."&amp;U$2&amp;U$1&amp;"P"&amp;$A22))/1000000,0),IF($A$2="GEX",IFERROR(($A$4*$A$4*RTD("tos.rtd",,"OPEN_INT","."&amp;U$2&amp;U$1&amp;"C"&amp;$A22)*RTD("tos.rtd",,"GAMMA","."&amp;U$2&amp;U$1&amp;"C"&amp;$A22)-$A$4*$A$4*RTD("tos.rtd",,"OPEN_INT","."&amp;U$2&amp;U$1&amp;"P"&amp;$A22)*RTD("tos.rtd",,"GAMMA","."&amp;U$2&amp;U$1&amp;"P"&amp;$A22))/1000000,0),IF($A$2="SKEW",IFERROR(VALUE(IF(RTD("tos.rtd",,"IMPL_VOL","."&amp;U$2&amp;U$1&amp;"P"&amp;$A22)="N/A",0,RTD("tos.rtd",,"IMPL_VOL","."&amp;U$2&amp;U$1&amp;"P"&amp;$A22))),0)-IFERROR(VALUE(IF(RTD("tos.rtd",,"IMPL_VOL","."&amp;U$2&amp;U$1&amp;"C"&amp;$A22)="N/A",0,RTD("tos.rtd",,"IMPL_VOL","."&amp;U$2&amp;U$1&amp;"C"&amp;$A22))),0),IF($A$2="MAXPAIN",IF($A$4&gt;$A22,($A$4-$A22)*IF(RTD("tos.rtd",,"OPEN_INT","."&amp;U$2&amp;U$1&amp;"C"&amp;$A22)="N/A",0,RTD("tos.rtd",,"OPEN_INT","."&amp;U$2&amp;U$1&amp;"C"&amp;$A22)),0)+IF($A$4&lt;$A22,($A22-$A$4)*IF(RTD("tos.rtd",,"OPEN_INT","."&amp;U$2&amp;U$1&amp;"P"&amp;$A22)="N/A",0,RTD("tos.rtd",,"OPEN_INT","."&amp;U$2&amp;U$1&amp;"P"&amp;$A22)),0),IF(RTD("tos.rtd",,$A$2,"."&amp;U$2&amp;U$1&amp;"C"&amp;$A22)="N/A",0,RTD("tos.rtd",,$A$2,"."&amp;U$2&amp;U$1&amp;"C"&amp;$A22))-IF(RTD("tos.rtd",,$A$2,"."&amp;U$2&amp;U$1&amp;"P"&amp;$A22)="N/A",0,RTD("tos.rtd",,$A$2,"."&amp;U$2&amp;U$1&amp;"P"&amp;$A22)))))))))</f>
        <v>4753</v>
      </c>
      <c r="V22" s="12">
        <f>IF($A$2="PREMIUM_OI",IFERROR((100*RTD("tos.rtd",,"OPEN_INT","."&amp;V$2&amp;V$1&amp;"C"&amp;$A22)*RTD("tos.rtd",,"LAST","."&amp;V$2&amp;V$1&amp;"C"&amp;$A22)-100*RTD("tos.rtd",,"OPEN_INT","."&amp;V$2&amp;V$1&amp;"P"&amp;$A22)*RTD("tos.rtd",,"LAST","."&amp;V$2&amp;V$1&amp;"P"&amp;$A22))/1000000,0),IF($A$2="PREMIUM",IFERROR((100*RTD("tos.rtd",,"VOLUME","."&amp;V$2&amp;V$1&amp;"C"&amp;$A22)*RTD("tos.rtd",,"LAST","."&amp;V$2&amp;V$1&amp;"C"&amp;$A22)-100*RTD("tos.rtd",,"VOLUME","."&amp;V$2&amp;V$1&amp;"P"&amp;$A22)*RTD("tos.rtd",,"LAST","."&amp;V$2&amp;V$1&amp;"P"&amp;$A22))/1000000,0),IF($A$2="DEX",IFERROR((100*RTD("tos.rtd",,"OPEN_INT","."&amp;V$2&amp;V$1&amp;"C"&amp;$A22)*RTD("tos.rtd",,"DELTA","."&amp;V$2&amp;V$1&amp;"C"&amp;$A22)-100*RTD("tos.rtd",,"OPEN_INT","."&amp;V$2&amp;V$1&amp;"P"&amp;$A22)*RTD("tos.rtd",,"DELTA","."&amp;V$2&amp;V$1&amp;"P"&amp;$A22))/1000,0),IF($A$2="VEX",IFERROR(($A$4*$A$4*RTD("tos.rtd",,"VOLUME","."&amp;V$2&amp;V$1&amp;"C"&amp;$A22)*RTD("tos.rtd",,"GAMMA","."&amp;V$2&amp;V$1&amp;"C"&amp;$A22)-$A$4*$A$4*RTD("tos.rtd",,"VOLUME","."&amp;V$2&amp;V$1&amp;"P"&amp;$A22)*RTD("tos.rtd",,"GAMMA","."&amp;V$2&amp;V$1&amp;"P"&amp;$A22))/1000000,0),IF($A$2="GEX",IFERROR(($A$4*$A$4*RTD("tos.rtd",,"OPEN_INT","."&amp;V$2&amp;V$1&amp;"C"&amp;$A22)*RTD("tos.rtd",,"GAMMA","."&amp;V$2&amp;V$1&amp;"C"&amp;$A22)-$A$4*$A$4*RTD("tos.rtd",,"OPEN_INT","."&amp;V$2&amp;V$1&amp;"P"&amp;$A22)*RTD("tos.rtd",,"GAMMA","."&amp;V$2&amp;V$1&amp;"P"&amp;$A22))/1000000,0),IF($A$2="SKEW",IFERROR(VALUE(IF(RTD("tos.rtd",,"IMPL_VOL","."&amp;V$2&amp;V$1&amp;"P"&amp;$A22)="N/A",0,RTD("tos.rtd",,"IMPL_VOL","."&amp;V$2&amp;V$1&amp;"P"&amp;$A22))),0)-IFERROR(VALUE(IF(RTD("tos.rtd",,"IMPL_VOL","."&amp;V$2&amp;V$1&amp;"C"&amp;$A22)="N/A",0,RTD("tos.rtd",,"IMPL_VOL","."&amp;V$2&amp;V$1&amp;"C"&amp;$A22))),0),IF($A$2="MAXPAIN",IF($A$4&gt;$A22,($A$4-$A22)*IF(RTD("tos.rtd",,"OPEN_INT","."&amp;V$2&amp;V$1&amp;"C"&amp;$A22)="N/A",0,RTD("tos.rtd",,"OPEN_INT","."&amp;V$2&amp;V$1&amp;"C"&amp;$A22)),0)+IF($A$4&lt;$A22,($A22-$A$4)*IF(RTD("tos.rtd",,"OPEN_INT","."&amp;V$2&amp;V$1&amp;"P"&amp;$A22)="N/A",0,RTD("tos.rtd",,"OPEN_INT","."&amp;V$2&amp;V$1&amp;"P"&amp;$A22)),0),IF(RTD("tos.rtd",,$A$2,"."&amp;V$2&amp;V$1&amp;"C"&amp;$A22)="N/A",0,RTD("tos.rtd",,$A$2,"."&amp;V$2&amp;V$1&amp;"C"&amp;$A22))-IF(RTD("tos.rtd",,$A$2,"."&amp;V$2&amp;V$1&amp;"P"&amp;$A22)="N/A",0,RTD("tos.rtd",,$A$2,"."&amp;V$2&amp;V$1&amp;"P"&amp;$A22)))))))))</f>
        <v>0</v>
      </c>
      <c r="W22" s="12">
        <f>IF($A$2="PREMIUM_OI",IFERROR((100*RTD("tos.rtd",,"OPEN_INT","."&amp;W$2&amp;W$1&amp;"C"&amp;$A22)*RTD("tos.rtd",,"LAST","."&amp;W$2&amp;W$1&amp;"C"&amp;$A22)-100*RTD("tos.rtd",,"OPEN_INT","."&amp;W$2&amp;W$1&amp;"P"&amp;$A22)*RTD("tos.rtd",,"LAST","."&amp;W$2&amp;W$1&amp;"P"&amp;$A22))/1000000,0),IF($A$2="PREMIUM",IFERROR((100*RTD("tos.rtd",,"VOLUME","."&amp;W$2&amp;W$1&amp;"C"&amp;$A22)*RTD("tos.rtd",,"LAST","."&amp;W$2&amp;W$1&amp;"C"&amp;$A22)-100*RTD("tos.rtd",,"VOLUME","."&amp;W$2&amp;W$1&amp;"P"&amp;$A22)*RTD("tos.rtd",,"LAST","."&amp;W$2&amp;W$1&amp;"P"&amp;$A22))/1000000,0),IF($A$2="DEX",IFERROR((100*RTD("tos.rtd",,"OPEN_INT","."&amp;W$2&amp;W$1&amp;"C"&amp;$A22)*RTD("tos.rtd",,"DELTA","."&amp;W$2&amp;W$1&amp;"C"&amp;$A22)-100*RTD("tos.rtd",,"OPEN_INT","."&amp;W$2&amp;W$1&amp;"P"&amp;$A22)*RTD("tos.rtd",,"DELTA","."&amp;W$2&amp;W$1&amp;"P"&amp;$A22))/1000,0),IF($A$2="VEX",IFERROR(($A$4*$A$4*RTD("tos.rtd",,"VOLUME","."&amp;W$2&amp;W$1&amp;"C"&amp;$A22)*RTD("tos.rtd",,"GAMMA","."&amp;W$2&amp;W$1&amp;"C"&amp;$A22)-$A$4*$A$4*RTD("tos.rtd",,"VOLUME","."&amp;W$2&amp;W$1&amp;"P"&amp;$A22)*RTD("tos.rtd",,"GAMMA","."&amp;W$2&amp;W$1&amp;"P"&amp;$A22))/1000000,0),IF($A$2="GEX",IFERROR(($A$4*$A$4*RTD("tos.rtd",,"OPEN_INT","."&amp;W$2&amp;W$1&amp;"C"&amp;$A22)*RTD("tos.rtd",,"GAMMA","."&amp;W$2&amp;W$1&amp;"C"&amp;$A22)-$A$4*$A$4*RTD("tos.rtd",,"OPEN_INT","."&amp;W$2&amp;W$1&amp;"P"&amp;$A22)*RTD("tos.rtd",,"GAMMA","."&amp;W$2&amp;W$1&amp;"P"&amp;$A22))/1000000,0),IF($A$2="SKEW",IFERROR(VALUE(IF(RTD("tos.rtd",,"IMPL_VOL","."&amp;W$2&amp;W$1&amp;"P"&amp;$A22)="N/A",0,RTD("tos.rtd",,"IMPL_VOL","."&amp;W$2&amp;W$1&amp;"P"&amp;$A22))),0)-IFERROR(VALUE(IF(RTD("tos.rtd",,"IMPL_VOL","."&amp;W$2&amp;W$1&amp;"C"&amp;$A22)="N/A",0,RTD("tos.rtd",,"IMPL_VOL","."&amp;W$2&amp;W$1&amp;"C"&amp;$A22))),0),IF($A$2="MAXPAIN",IF($A$4&gt;$A22,($A$4-$A22)*IF(RTD("tos.rtd",,"OPEN_INT","."&amp;W$2&amp;W$1&amp;"C"&amp;$A22)="N/A",0,RTD("tos.rtd",,"OPEN_INT","."&amp;W$2&amp;W$1&amp;"C"&amp;$A22)),0)+IF($A$4&lt;$A22,($A22-$A$4)*IF(RTD("tos.rtd",,"OPEN_INT","."&amp;W$2&amp;W$1&amp;"P"&amp;$A22)="N/A",0,RTD("tos.rtd",,"OPEN_INT","."&amp;W$2&amp;W$1&amp;"P"&amp;$A22)),0),IF(RTD("tos.rtd",,$A$2,"."&amp;W$2&amp;W$1&amp;"C"&amp;$A22)="N/A",0,RTD("tos.rtd",,$A$2,"."&amp;W$2&amp;W$1&amp;"C"&amp;$A22))-IF(RTD("tos.rtd",,$A$2,"."&amp;W$2&amp;W$1&amp;"P"&amp;$A22)="N/A",0,RTD("tos.rtd",,$A$2,"."&amp;W$2&amp;W$1&amp;"P"&amp;$A22)))))))))</f>
        <v>9106</v>
      </c>
      <c r="X22" s="12">
        <f t="shared" ca="1" si="7"/>
        <v>27098</v>
      </c>
      <c r="Y22" s="27">
        <f t="shared" ca="1" si="8"/>
        <v>27098</v>
      </c>
      <c r="AA22" s="35">
        <f t="shared" si="5"/>
        <v>21</v>
      </c>
      <c r="AB22" s="8">
        <f>+IF($AJ$1,AK22,TASTYOHLC!B22)</f>
        <v>0</v>
      </c>
      <c r="AC22" s="8">
        <f>+IF($AJ$1,AL22,TASTYOHLC!C22)</f>
        <v>0</v>
      </c>
      <c r="AD22" s="8">
        <f>+IF($AJ$1,AM22,TASTYOHLC!D22)</f>
        <v>0</v>
      </c>
      <c r="AE22" s="8">
        <f>+IF($AJ$1,AN22,TASTYOHLC!E22)</f>
        <v>0</v>
      </c>
      <c r="AF22" s="8"/>
      <c r="AJ22" s="37"/>
      <c r="AK22" s="52"/>
      <c r="AL22" s="52"/>
      <c r="AM22" s="52"/>
      <c r="AN22" s="52"/>
    </row>
    <row r="23" spans="1:40" s="19" customFormat="1" ht="11.1" customHeight="1" thickBot="1" x14ac:dyDescent="0.3">
      <c r="A23" s="23">
        <f t="shared" si="6"/>
        <v>10.5</v>
      </c>
      <c r="B23" s="14">
        <f>IF($A$2="PREMIUM_OI",IFERROR((100*RTD("tos.rtd",,"OPEN_INT","."&amp;B$2&amp;B$1&amp;"C"&amp;$A23)*RTD("tos.rtd",,"LAST","."&amp;B$2&amp;B$1&amp;"C"&amp;$A23)-100*RTD("tos.rtd",,"OPEN_INT","."&amp;B$2&amp;B$1&amp;"P"&amp;$A23)*RTD("tos.rtd",,"LAST","."&amp;B$2&amp;B$1&amp;"P"&amp;$A23))/1000000,0),IF($A$2="PREMIUM",IFERROR((100*RTD("tos.rtd",,"VOLUME","."&amp;B$2&amp;B$1&amp;"C"&amp;$A23)*RTD("tos.rtd",,"LAST","."&amp;B$2&amp;B$1&amp;"C"&amp;$A23)-100*RTD("tos.rtd",,"VOLUME","."&amp;B$2&amp;B$1&amp;"P"&amp;$A23)*RTD("tos.rtd",,"LAST","."&amp;B$2&amp;B$1&amp;"P"&amp;$A23))/1000000,0),IF($A$2="DEX",IFERROR((100*RTD("tos.rtd",,"OPEN_INT","."&amp;B$2&amp;B$1&amp;"C"&amp;$A23)*RTD("tos.rtd",,"DELTA","."&amp;B$2&amp;B$1&amp;"C"&amp;$A23)-100*RTD("tos.rtd",,"OPEN_INT","."&amp;B$2&amp;B$1&amp;"P"&amp;$A23)*RTD("tos.rtd",,"DELTA","."&amp;B$2&amp;B$1&amp;"P"&amp;$A23))/1000,0),IF($A$2="VEX",IFERROR(($A$4*$A$4*RTD("tos.rtd",,"VOLUME","."&amp;B$2&amp;B$1&amp;"C"&amp;$A23)*RTD("tos.rtd",,"GAMMA","."&amp;B$2&amp;B$1&amp;"C"&amp;$A23)-$A$4*$A$4*RTD("tos.rtd",,"VOLUME","."&amp;B$2&amp;B$1&amp;"P"&amp;$A23)*RTD("tos.rtd",,"GAMMA","."&amp;B$2&amp;B$1&amp;"P"&amp;$A23))/1000000,0),IF($A$2="GEX",IFERROR(($A$4*$A$4*RTD("tos.rtd",,"OPEN_INT","."&amp;B$2&amp;B$1&amp;"C"&amp;$A23)*RTD("tos.rtd",,"GAMMA","."&amp;B$2&amp;B$1&amp;"C"&amp;$A23)-$A$4*$A$4*RTD("tos.rtd",,"OPEN_INT","."&amp;B$2&amp;B$1&amp;"P"&amp;$A23)*RTD("tos.rtd",,"GAMMA","."&amp;B$2&amp;B$1&amp;"P"&amp;$A23))/1000000,0),IF($A$2="SKEW",IFERROR(VALUE(IF(RTD("tos.rtd",,"IMPL_VOL","."&amp;B$2&amp;B$1&amp;"P"&amp;$A23)="N/A",0,RTD("tos.rtd",,"IMPL_VOL","."&amp;B$2&amp;B$1&amp;"P"&amp;$A23))),0)-IFERROR(VALUE(IF(RTD("tos.rtd",,"IMPL_VOL","."&amp;B$2&amp;B$1&amp;"C"&amp;$A23)="N/A",0,RTD("tos.rtd",,"IMPL_VOL","."&amp;B$2&amp;B$1&amp;"C"&amp;$A23))),0),IF($A$2="MAXPAIN",IF($A$4&gt;$A23,($A$4-$A23)*IF(RTD("tos.rtd",,"OPEN_INT","."&amp;B$2&amp;B$1&amp;"C"&amp;$A23)="N/A",0,RTD("tos.rtd",,"OPEN_INT","."&amp;B$2&amp;B$1&amp;"C"&amp;$A23)),0)+IF($A$4&lt;$A23,($A23-$A$4)*IF(RTD("tos.rtd",,"OPEN_INT","."&amp;B$2&amp;B$1&amp;"P"&amp;$A23)="N/A",0,RTD("tos.rtd",,"OPEN_INT","."&amp;B$2&amp;B$1&amp;"P"&amp;$A23)),0),IF(RTD("tos.rtd",,$A$2,"."&amp;B$2&amp;B$1&amp;"C"&amp;$A23)="N/A",0,RTD("tos.rtd",,$A$2,"."&amp;B$2&amp;B$1&amp;"C"&amp;$A23))-IF(RTD("tos.rtd",,$A$2,"."&amp;B$2&amp;B$1&amp;"P"&amp;$A23)="N/A",0,RTD("tos.rtd",,$A$2,"."&amp;B$2&amp;B$1&amp;"P"&amp;$A23)))))))))</f>
        <v>0</v>
      </c>
      <c r="C23" s="12">
        <f>IF($A$2="PREMIUM_OI",IFERROR((100*RTD("tos.rtd",,"OPEN_INT","."&amp;C$2&amp;C$1&amp;"C"&amp;$A23)*RTD("tos.rtd",,"LAST","."&amp;C$2&amp;C$1&amp;"C"&amp;$A23)-100*RTD("tos.rtd",,"OPEN_INT","."&amp;C$2&amp;C$1&amp;"P"&amp;$A23)*RTD("tos.rtd",,"LAST","."&amp;C$2&amp;C$1&amp;"P"&amp;$A23))/1000000,0),IF($A$2="PREMIUM",IFERROR((100*RTD("tos.rtd",,"VOLUME","."&amp;C$2&amp;C$1&amp;"C"&amp;$A23)*RTD("tos.rtd",,"LAST","."&amp;C$2&amp;C$1&amp;"C"&amp;$A23)-100*RTD("tos.rtd",,"VOLUME","."&amp;C$2&amp;C$1&amp;"P"&amp;$A23)*RTD("tos.rtd",,"LAST","."&amp;C$2&amp;C$1&amp;"P"&amp;$A23))/1000000,0),IF($A$2="DEX",IFERROR((100*RTD("tos.rtd",,"OPEN_INT","."&amp;C$2&amp;C$1&amp;"C"&amp;$A23)*RTD("tos.rtd",,"DELTA","."&amp;C$2&amp;C$1&amp;"C"&amp;$A23)-100*RTD("tos.rtd",,"OPEN_INT","."&amp;C$2&amp;C$1&amp;"P"&amp;$A23)*RTD("tos.rtd",,"DELTA","."&amp;C$2&amp;C$1&amp;"P"&amp;$A23))/1000,0),IF($A$2="VEX",IFERROR(($A$4*$A$4*RTD("tos.rtd",,"VOLUME","."&amp;C$2&amp;C$1&amp;"C"&amp;$A23)*RTD("tos.rtd",,"GAMMA","."&amp;C$2&amp;C$1&amp;"C"&amp;$A23)-$A$4*$A$4*RTD("tos.rtd",,"VOLUME","."&amp;C$2&amp;C$1&amp;"P"&amp;$A23)*RTD("tos.rtd",,"GAMMA","."&amp;C$2&amp;C$1&amp;"P"&amp;$A23))/1000000,0),IF($A$2="GEX",IFERROR(($A$4*$A$4*RTD("tos.rtd",,"OPEN_INT","."&amp;C$2&amp;C$1&amp;"C"&amp;$A23)*RTD("tos.rtd",,"GAMMA","."&amp;C$2&amp;C$1&amp;"C"&amp;$A23)-$A$4*$A$4*RTD("tos.rtd",,"OPEN_INT","."&amp;C$2&amp;C$1&amp;"P"&amp;$A23)*RTD("tos.rtd",,"GAMMA","."&amp;C$2&amp;C$1&amp;"P"&amp;$A23))/1000000,0),IF($A$2="SKEW",IFERROR(VALUE(IF(RTD("tos.rtd",,"IMPL_VOL","."&amp;C$2&amp;C$1&amp;"P"&amp;$A23)="N/A",0,RTD("tos.rtd",,"IMPL_VOL","."&amp;C$2&amp;C$1&amp;"P"&amp;$A23))),0)-IFERROR(VALUE(IF(RTD("tos.rtd",,"IMPL_VOL","."&amp;C$2&amp;C$1&amp;"C"&amp;$A23)="N/A",0,RTD("tos.rtd",,"IMPL_VOL","."&amp;C$2&amp;C$1&amp;"C"&amp;$A23))),0),IF($A$2="MAXPAIN",IF($A$4&gt;$A23,($A$4-$A23)*IF(RTD("tos.rtd",,"OPEN_INT","."&amp;C$2&amp;C$1&amp;"C"&amp;$A23)="N/A",0,RTD("tos.rtd",,"OPEN_INT","."&amp;C$2&amp;C$1&amp;"C"&amp;$A23)),0)+IF($A$4&lt;$A23,($A23-$A$4)*IF(RTD("tos.rtd",,"OPEN_INT","."&amp;C$2&amp;C$1&amp;"P"&amp;$A23)="N/A",0,RTD("tos.rtd",,"OPEN_INT","."&amp;C$2&amp;C$1&amp;"P"&amp;$A23)),0),IF(RTD("tos.rtd",,$A$2,"."&amp;C$2&amp;C$1&amp;"C"&amp;$A23)="N/A",0,RTD("tos.rtd",,$A$2,"."&amp;C$2&amp;C$1&amp;"C"&amp;$A23))-IF(RTD("tos.rtd",,$A$2,"."&amp;C$2&amp;C$1&amp;"P"&amp;$A23)="N/A",0,RTD("tos.rtd",,$A$2,"."&amp;C$2&amp;C$1&amp;"P"&amp;$A23)))))))))</f>
        <v>18367</v>
      </c>
      <c r="D23" s="12">
        <f>IF($A$2="PREMIUM_OI",IFERROR((100*RTD("tos.rtd",,"OPEN_INT","."&amp;D$2&amp;D$1&amp;"C"&amp;$A23)*RTD("tos.rtd",,"LAST","."&amp;D$2&amp;D$1&amp;"C"&amp;$A23)-100*RTD("tos.rtd",,"OPEN_INT","."&amp;D$2&amp;D$1&amp;"P"&amp;$A23)*RTD("tos.rtd",,"LAST","."&amp;D$2&amp;D$1&amp;"P"&amp;$A23))/1000000,0),IF($A$2="PREMIUM",IFERROR((100*RTD("tos.rtd",,"VOLUME","."&amp;D$2&amp;D$1&amp;"C"&amp;$A23)*RTD("tos.rtd",,"LAST","."&amp;D$2&amp;D$1&amp;"C"&amp;$A23)-100*RTD("tos.rtd",,"VOLUME","."&amp;D$2&amp;D$1&amp;"P"&amp;$A23)*RTD("tos.rtd",,"LAST","."&amp;D$2&amp;D$1&amp;"P"&amp;$A23))/1000000,0),IF($A$2="DEX",IFERROR((100*RTD("tos.rtd",,"OPEN_INT","."&amp;D$2&amp;D$1&amp;"C"&amp;$A23)*RTD("tos.rtd",,"DELTA","."&amp;D$2&amp;D$1&amp;"C"&amp;$A23)-100*RTD("tos.rtd",,"OPEN_INT","."&amp;D$2&amp;D$1&amp;"P"&amp;$A23)*RTD("tos.rtd",,"DELTA","."&amp;D$2&amp;D$1&amp;"P"&amp;$A23))/1000,0),IF($A$2="VEX",IFERROR(($A$4*$A$4*RTD("tos.rtd",,"VOLUME","."&amp;D$2&amp;D$1&amp;"C"&amp;$A23)*RTD("tos.rtd",,"GAMMA","."&amp;D$2&amp;D$1&amp;"C"&amp;$A23)-$A$4*$A$4*RTD("tos.rtd",,"VOLUME","."&amp;D$2&amp;D$1&amp;"P"&amp;$A23)*RTD("tos.rtd",,"GAMMA","."&amp;D$2&amp;D$1&amp;"P"&amp;$A23))/1000000,0),IF($A$2="GEX",IFERROR(($A$4*$A$4*RTD("tos.rtd",,"OPEN_INT","."&amp;D$2&amp;D$1&amp;"C"&amp;$A23)*RTD("tos.rtd",,"GAMMA","."&amp;D$2&amp;D$1&amp;"C"&amp;$A23)-$A$4*$A$4*RTD("tos.rtd",,"OPEN_INT","."&amp;D$2&amp;D$1&amp;"P"&amp;$A23)*RTD("tos.rtd",,"GAMMA","."&amp;D$2&amp;D$1&amp;"P"&amp;$A23))/1000000,0),IF($A$2="SKEW",IFERROR(VALUE(IF(RTD("tos.rtd",,"IMPL_VOL","."&amp;D$2&amp;D$1&amp;"P"&amp;$A23)="N/A",0,RTD("tos.rtd",,"IMPL_VOL","."&amp;D$2&amp;D$1&amp;"P"&amp;$A23))),0)-IFERROR(VALUE(IF(RTD("tos.rtd",,"IMPL_VOL","."&amp;D$2&amp;D$1&amp;"C"&amp;$A23)="N/A",0,RTD("tos.rtd",,"IMPL_VOL","."&amp;D$2&amp;D$1&amp;"C"&amp;$A23))),0),IF($A$2="MAXPAIN",IF($A$4&gt;$A23,($A$4-$A23)*IF(RTD("tos.rtd",,"OPEN_INT","."&amp;D$2&amp;D$1&amp;"C"&amp;$A23)="N/A",0,RTD("tos.rtd",,"OPEN_INT","."&amp;D$2&amp;D$1&amp;"C"&amp;$A23)),0)+IF($A$4&lt;$A23,($A23-$A$4)*IF(RTD("tos.rtd",,"OPEN_INT","."&amp;D$2&amp;D$1&amp;"P"&amp;$A23)="N/A",0,RTD("tos.rtd",,"OPEN_INT","."&amp;D$2&amp;D$1&amp;"P"&amp;$A23)),0),IF(RTD("tos.rtd",,$A$2,"."&amp;D$2&amp;D$1&amp;"C"&amp;$A23)="N/A",0,RTD("tos.rtd",,$A$2,"."&amp;D$2&amp;D$1&amp;"C"&amp;$A23))-IF(RTD("tos.rtd",,$A$2,"."&amp;D$2&amp;D$1&amp;"P"&amp;$A23)="N/A",0,RTD("tos.rtd",,$A$2,"."&amp;D$2&amp;D$1&amp;"P"&amp;$A23)))))))))</f>
        <v>0</v>
      </c>
      <c r="E23" s="12">
        <f>IF($A$2="PREMIUM_OI",IFERROR((100*RTD("tos.rtd",,"OPEN_INT","."&amp;E$2&amp;E$1&amp;"C"&amp;$A23)*RTD("tos.rtd",,"LAST","."&amp;E$2&amp;E$1&amp;"C"&amp;$A23)-100*RTD("tos.rtd",,"OPEN_INT","."&amp;E$2&amp;E$1&amp;"P"&amp;$A23)*RTD("tos.rtd",,"LAST","."&amp;E$2&amp;E$1&amp;"P"&amp;$A23))/1000000,0),IF($A$2="PREMIUM",IFERROR((100*RTD("tos.rtd",,"VOLUME","."&amp;E$2&amp;E$1&amp;"C"&amp;$A23)*RTD("tos.rtd",,"LAST","."&amp;E$2&amp;E$1&amp;"C"&amp;$A23)-100*RTD("tos.rtd",,"VOLUME","."&amp;E$2&amp;E$1&amp;"P"&amp;$A23)*RTD("tos.rtd",,"LAST","."&amp;E$2&amp;E$1&amp;"P"&amp;$A23))/1000000,0),IF($A$2="DEX",IFERROR((100*RTD("tos.rtd",,"OPEN_INT","."&amp;E$2&amp;E$1&amp;"C"&amp;$A23)*RTD("tos.rtd",,"DELTA","."&amp;E$2&amp;E$1&amp;"C"&amp;$A23)-100*RTD("tos.rtd",,"OPEN_INT","."&amp;E$2&amp;E$1&amp;"P"&amp;$A23)*RTD("tos.rtd",,"DELTA","."&amp;E$2&amp;E$1&amp;"P"&amp;$A23))/1000,0),IF($A$2="VEX",IFERROR(($A$4*$A$4*RTD("tos.rtd",,"VOLUME","."&amp;E$2&amp;E$1&amp;"C"&amp;$A23)*RTD("tos.rtd",,"GAMMA","."&amp;E$2&amp;E$1&amp;"C"&amp;$A23)-$A$4*$A$4*RTD("tos.rtd",,"VOLUME","."&amp;E$2&amp;E$1&amp;"P"&amp;$A23)*RTD("tos.rtd",,"GAMMA","."&amp;E$2&amp;E$1&amp;"P"&amp;$A23))/1000000,0),IF($A$2="GEX",IFERROR(($A$4*$A$4*RTD("tos.rtd",,"OPEN_INT","."&amp;E$2&amp;E$1&amp;"C"&amp;$A23)*RTD("tos.rtd",,"GAMMA","."&amp;E$2&amp;E$1&amp;"C"&amp;$A23)-$A$4*$A$4*RTD("tos.rtd",,"OPEN_INT","."&amp;E$2&amp;E$1&amp;"P"&amp;$A23)*RTD("tos.rtd",,"GAMMA","."&amp;E$2&amp;E$1&amp;"P"&amp;$A23))/1000000,0),IF($A$2="SKEW",IFERROR(VALUE(IF(RTD("tos.rtd",,"IMPL_VOL","."&amp;E$2&amp;E$1&amp;"P"&amp;$A23)="N/A",0,RTD("tos.rtd",,"IMPL_VOL","."&amp;E$2&amp;E$1&amp;"P"&amp;$A23))),0)-IFERROR(VALUE(IF(RTD("tos.rtd",,"IMPL_VOL","."&amp;E$2&amp;E$1&amp;"C"&amp;$A23)="N/A",0,RTD("tos.rtd",,"IMPL_VOL","."&amp;E$2&amp;E$1&amp;"C"&amp;$A23))),0),IF($A$2="MAXPAIN",IF($A$4&gt;$A23,($A$4-$A23)*IF(RTD("tos.rtd",,"OPEN_INT","."&amp;E$2&amp;E$1&amp;"C"&amp;$A23)="N/A",0,RTD("tos.rtd",,"OPEN_INT","."&amp;E$2&amp;E$1&amp;"C"&amp;$A23)),0)+IF($A$4&lt;$A23,($A23-$A$4)*IF(RTD("tos.rtd",,"OPEN_INT","."&amp;E$2&amp;E$1&amp;"P"&amp;$A23)="N/A",0,RTD("tos.rtd",,"OPEN_INT","."&amp;E$2&amp;E$1&amp;"P"&amp;$A23)),0),IF(RTD("tos.rtd",,$A$2,"."&amp;E$2&amp;E$1&amp;"C"&amp;$A23)="N/A",0,RTD("tos.rtd",,$A$2,"."&amp;E$2&amp;E$1&amp;"C"&amp;$A23))-IF(RTD("tos.rtd",,$A$2,"."&amp;E$2&amp;E$1&amp;"P"&amp;$A23)="N/A",0,RTD("tos.rtd",,$A$2,"."&amp;E$2&amp;E$1&amp;"P"&amp;$A23)))))))))</f>
        <v>0</v>
      </c>
      <c r="F23" s="12">
        <f>IF($A$2="PREMIUM_OI",IFERROR((100*RTD("tos.rtd",,"OPEN_INT","."&amp;F$2&amp;F$1&amp;"C"&amp;$A23)*RTD("tos.rtd",,"LAST","."&amp;F$2&amp;F$1&amp;"C"&amp;$A23)-100*RTD("tos.rtd",,"OPEN_INT","."&amp;F$2&amp;F$1&amp;"P"&amp;$A23)*RTD("tos.rtd",,"LAST","."&amp;F$2&amp;F$1&amp;"P"&amp;$A23))/1000000,0),IF($A$2="PREMIUM",IFERROR((100*RTD("tos.rtd",,"VOLUME","."&amp;F$2&amp;F$1&amp;"C"&amp;$A23)*RTD("tos.rtd",,"LAST","."&amp;F$2&amp;F$1&amp;"C"&amp;$A23)-100*RTD("tos.rtd",,"VOLUME","."&amp;F$2&amp;F$1&amp;"P"&amp;$A23)*RTD("tos.rtd",,"LAST","."&amp;F$2&amp;F$1&amp;"P"&amp;$A23))/1000000,0),IF($A$2="DEX",IFERROR((100*RTD("tos.rtd",,"OPEN_INT","."&amp;F$2&amp;F$1&amp;"C"&amp;$A23)*RTD("tos.rtd",,"DELTA","."&amp;F$2&amp;F$1&amp;"C"&amp;$A23)-100*RTD("tos.rtd",,"OPEN_INT","."&amp;F$2&amp;F$1&amp;"P"&amp;$A23)*RTD("tos.rtd",,"DELTA","."&amp;F$2&amp;F$1&amp;"P"&amp;$A23))/1000,0),IF($A$2="VEX",IFERROR(($A$4*$A$4*RTD("tos.rtd",,"VOLUME","."&amp;F$2&amp;F$1&amp;"C"&amp;$A23)*RTD("tos.rtd",,"GAMMA","."&amp;F$2&amp;F$1&amp;"C"&amp;$A23)-$A$4*$A$4*RTD("tos.rtd",,"VOLUME","."&amp;F$2&amp;F$1&amp;"P"&amp;$A23)*RTD("tos.rtd",,"GAMMA","."&amp;F$2&amp;F$1&amp;"P"&amp;$A23))/1000000,0),IF($A$2="GEX",IFERROR(($A$4*$A$4*RTD("tos.rtd",,"OPEN_INT","."&amp;F$2&amp;F$1&amp;"C"&amp;$A23)*RTD("tos.rtd",,"GAMMA","."&amp;F$2&amp;F$1&amp;"C"&amp;$A23)-$A$4*$A$4*RTD("tos.rtd",,"OPEN_INT","."&amp;F$2&amp;F$1&amp;"P"&amp;$A23)*RTD("tos.rtd",,"GAMMA","."&amp;F$2&amp;F$1&amp;"P"&amp;$A23))/1000000,0),IF($A$2="SKEW",IFERROR(VALUE(IF(RTD("tos.rtd",,"IMPL_VOL","."&amp;F$2&amp;F$1&amp;"P"&amp;$A23)="N/A",0,RTD("tos.rtd",,"IMPL_VOL","."&amp;F$2&amp;F$1&amp;"P"&amp;$A23))),0)-IFERROR(VALUE(IF(RTD("tos.rtd",,"IMPL_VOL","."&amp;F$2&amp;F$1&amp;"C"&amp;$A23)="N/A",0,RTD("tos.rtd",,"IMPL_VOL","."&amp;F$2&amp;F$1&amp;"C"&amp;$A23))),0),IF($A$2="MAXPAIN",IF($A$4&gt;$A23,($A$4-$A23)*IF(RTD("tos.rtd",,"OPEN_INT","."&amp;F$2&amp;F$1&amp;"C"&amp;$A23)="N/A",0,RTD("tos.rtd",,"OPEN_INT","."&amp;F$2&amp;F$1&amp;"C"&amp;$A23)),0)+IF($A$4&lt;$A23,($A23-$A$4)*IF(RTD("tos.rtd",,"OPEN_INT","."&amp;F$2&amp;F$1&amp;"P"&amp;$A23)="N/A",0,RTD("tos.rtd",,"OPEN_INT","."&amp;F$2&amp;F$1&amp;"P"&amp;$A23)),0),IF(RTD("tos.rtd",,$A$2,"."&amp;F$2&amp;F$1&amp;"C"&amp;$A23)="N/A",0,RTD("tos.rtd",,$A$2,"."&amp;F$2&amp;F$1&amp;"C"&amp;$A23))-IF(RTD("tos.rtd",,$A$2,"."&amp;F$2&amp;F$1&amp;"P"&amp;$A23)="N/A",0,RTD("tos.rtd",,$A$2,"."&amp;F$2&amp;F$1&amp;"P"&amp;$A23)))))))))</f>
        <v>0</v>
      </c>
      <c r="G23" s="14">
        <f>IF($A$2="PREMIUM_OI",IFERROR((100*RTD("tos.rtd",,"OPEN_INT","."&amp;G$2&amp;G$1&amp;"C"&amp;$A23)*RTD("tos.rtd",,"LAST","."&amp;G$2&amp;G$1&amp;"C"&amp;$A23)-100*RTD("tos.rtd",,"OPEN_INT","."&amp;G$2&amp;G$1&amp;"P"&amp;$A23)*RTD("tos.rtd",,"LAST","."&amp;G$2&amp;G$1&amp;"P"&amp;$A23))/1000000,0),IF($A$2="PREMIUM",IFERROR((100*RTD("tos.rtd",,"VOLUME","."&amp;G$2&amp;G$1&amp;"C"&amp;$A23)*RTD("tos.rtd",,"LAST","."&amp;G$2&amp;G$1&amp;"C"&amp;$A23)-100*RTD("tos.rtd",,"VOLUME","."&amp;G$2&amp;G$1&amp;"P"&amp;$A23)*RTD("tos.rtd",,"LAST","."&amp;G$2&amp;G$1&amp;"P"&amp;$A23))/1000000,0),IF($A$2="DEX",IFERROR((100*RTD("tos.rtd",,"OPEN_INT","."&amp;G$2&amp;G$1&amp;"C"&amp;$A23)*RTD("tos.rtd",,"DELTA","."&amp;G$2&amp;G$1&amp;"C"&amp;$A23)-100*RTD("tos.rtd",,"OPEN_INT","."&amp;G$2&amp;G$1&amp;"P"&amp;$A23)*RTD("tos.rtd",,"DELTA","."&amp;G$2&amp;G$1&amp;"P"&amp;$A23))/1000,0),IF($A$2="VEX",IFERROR(($A$4*$A$4*RTD("tos.rtd",,"VOLUME","."&amp;G$2&amp;G$1&amp;"C"&amp;$A23)*RTD("tos.rtd",,"GAMMA","."&amp;G$2&amp;G$1&amp;"C"&amp;$A23)-$A$4*$A$4*RTD("tos.rtd",,"VOLUME","."&amp;G$2&amp;G$1&amp;"P"&amp;$A23)*RTD("tos.rtd",,"GAMMA","."&amp;G$2&amp;G$1&amp;"P"&amp;$A23))/1000000,0),IF($A$2="GEX",IFERROR(($A$4*$A$4*RTD("tos.rtd",,"OPEN_INT","."&amp;G$2&amp;G$1&amp;"C"&amp;$A23)*RTD("tos.rtd",,"GAMMA","."&amp;G$2&amp;G$1&amp;"C"&amp;$A23)-$A$4*$A$4*RTD("tos.rtd",,"OPEN_INT","."&amp;G$2&amp;G$1&amp;"P"&amp;$A23)*RTD("tos.rtd",,"GAMMA","."&amp;G$2&amp;G$1&amp;"P"&amp;$A23))/1000000,0),IF($A$2="SKEW",IFERROR(VALUE(IF(RTD("tos.rtd",,"IMPL_VOL","."&amp;G$2&amp;G$1&amp;"P"&amp;$A23)="N/A",0,RTD("tos.rtd",,"IMPL_VOL","."&amp;G$2&amp;G$1&amp;"P"&amp;$A23))),0)-IFERROR(VALUE(IF(RTD("tos.rtd",,"IMPL_VOL","."&amp;G$2&amp;G$1&amp;"C"&amp;$A23)="N/A",0,RTD("tos.rtd",,"IMPL_VOL","."&amp;G$2&amp;G$1&amp;"C"&amp;$A23))),0),IF($A$2="MAXPAIN",IF($A$4&gt;$A23,($A$4-$A23)*IF(RTD("tos.rtd",,"OPEN_INT","."&amp;G$2&amp;G$1&amp;"C"&amp;$A23)="N/A",0,RTD("tos.rtd",,"OPEN_INT","."&amp;G$2&amp;G$1&amp;"C"&amp;$A23)),0)+IF($A$4&lt;$A23,($A23-$A$4)*IF(RTD("tos.rtd",,"OPEN_INT","."&amp;G$2&amp;G$1&amp;"P"&amp;$A23)="N/A",0,RTD("tos.rtd",,"OPEN_INT","."&amp;G$2&amp;G$1&amp;"P"&amp;$A23)),0),IF(RTD("tos.rtd",,$A$2,"."&amp;G$2&amp;G$1&amp;"C"&amp;$A23)="N/A",0,RTD("tos.rtd",,$A$2,"."&amp;G$2&amp;G$1&amp;"C"&amp;$A23))-IF(RTD("tos.rtd",,$A$2,"."&amp;G$2&amp;G$1&amp;"P"&amp;$A23)="N/A",0,RTD("tos.rtd",,$A$2,"."&amp;G$2&amp;G$1&amp;"P"&amp;$A23)))))))))</f>
        <v>0</v>
      </c>
      <c r="H23" s="12">
        <f>IF($A$2="PREMIUM_OI",IFERROR((100*RTD("tos.rtd",,"OPEN_INT","."&amp;H$2&amp;H$1&amp;"C"&amp;$A23)*RTD("tos.rtd",,"LAST","."&amp;H$2&amp;H$1&amp;"C"&amp;$A23)-100*RTD("tos.rtd",,"OPEN_INT","."&amp;H$2&amp;H$1&amp;"P"&amp;$A23)*RTD("tos.rtd",,"LAST","."&amp;H$2&amp;H$1&amp;"P"&amp;$A23))/1000000,0),IF($A$2="PREMIUM",IFERROR((100*RTD("tos.rtd",,"VOLUME","."&amp;H$2&amp;H$1&amp;"C"&amp;$A23)*RTD("tos.rtd",,"LAST","."&amp;H$2&amp;H$1&amp;"C"&amp;$A23)-100*RTD("tos.rtd",,"VOLUME","."&amp;H$2&amp;H$1&amp;"P"&amp;$A23)*RTD("tos.rtd",,"LAST","."&amp;H$2&amp;H$1&amp;"P"&amp;$A23))/1000000,0),IF($A$2="DEX",IFERROR((100*RTD("tos.rtd",,"OPEN_INT","."&amp;H$2&amp;H$1&amp;"C"&amp;$A23)*RTD("tos.rtd",,"DELTA","."&amp;H$2&amp;H$1&amp;"C"&amp;$A23)-100*RTD("tos.rtd",,"OPEN_INT","."&amp;H$2&amp;H$1&amp;"P"&amp;$A23)*RTD("tos.rtd",,"DELTA","."&amp;H$2&amp;H$1&amp;"P"&amp;$A23))/1000,0),IF($A$2="VEX",IFERROR(($A$4*$A$4*RTD("tos.rtd",,"VOLUME","."&amp;H$2&amp;H$1&amp;"C"&amp;$A23)*RTD("tos.rtd",,"GAMMA","."&amp;H$2&amp;H$1&amp;"C"&amp;$A23)-$A$4*$A$4*RTD("tos.rtd",,"VOLUME","."&amp;H$2&amp;H$1&amp;"P"&amp;$A23)*RTD("tos.rtd",,"GAMMA","."&amp;H$2&amp;H$1&amp;"P"&amp;$A23))/1000000,0),IF($A$2="GEX",IFERROR(($A$4*$A$4*RTD("tos.rtd",,"OPEN_INT","."&amp;H$2&amp;H$1&amp;"C"&amp;$A23)*RTD("tos.rtd",,"GAMMA","."&amp;H$2&amp;H$1&amp;"C"&amp;$A23)-$A$4*$A$4*RTD("tos.rtd",,"OPEN_INT","."&amp;H$2&amp;H$1&amp;"P"&amp;$A23)*RTD("tos.rtd",,"GAMMA","."&amp;H$2&amp;H$1&amp;"P"&amp;$A23))/1000000,0),IF($A$2="SKEW",IFERROR(VALUE(IF(RTD("tos.rtd",,"IMPL_VOL","."&amp;H$2&amp;H$1&amp;"P"&amp;$A23)="N/A",0,RTD("tos.rtd",,"IMPL_VOL","."&amp;H$2&amp;H$1&amp;"P"&amp;$A23))),0)-IFERROR(VALUE(IF(RTD("tos.rtd",,"IMPL_VOL","."&amp;H$2&amp;H$1&amp;"C"&amp;$A23)="N/A",0,RTD("tos.rtd",,"IMPL_VOL","."&amp;H$2&amp;H$1&amp;"C"&amp;$A23))),0),IF($A$2="MAXPAIN",IF($A$4&gt;$A23,($A$4-$A23)*IF(RTD("tos.rtd",,"OPEN_INT","."&amp;H$2&amp;H$1&amp;"C"&amp;$A23)="N/A",0,RTD("tos.rtd",,"OPEN_INT","."&amp;H$2&amp;H$1&amp;"C"&amp;$A23)),0)+IF($A$4&lt;$A23,($A23-$A$4)*IF(RTD("tos.rtd",,"OPEN_INT","."&amp;H$2&amp;H$1&amp;"P"&amp;$A23)="N/A",0,RTD("tos.rtd",,"OPEN_INT","."&amp;H$2&amp;H$1&amp;"P"&amp;$A23)),0),IF(RTD("tos.rtd",,$A$2,"."&amp;H$2&amp;H$1&amp;"C"&amp;$A23)="N/A",0,RTD("tos.rtd",,$A$2,"."&amp;H$2&amp;H$1&amp;"C"&amp;$A23))-IF(RTD("tos.rtd",,$A$2,"."&amp;H$2&amp;H$1&amp;"P"&amp;$A23)="N/A",0,RTD("tos.rtd",,$A$2,"."&amp;H$2&amp;H$1&amp;"P"&amp;$A23)))))))))</f>
        <v>13503</v>
      </c>
      <c r="I23" s="12">
        <f>IF($A$2="PREMIUM_OI",IFERROR((100*RTD("tos.rtd",,"OPEN_INT","."&amp;I$2&amp;I$1&amp;"C"&amp;$A23)*RTD("tos.rtd",,"LAST","."&amp;I$2&amp;I$1&amp;"C"&amp;$A23)-100*RTD("tos.rtd",,"OPEN_INT","."&amp;I$2&amp;I$1&amp;"P"&amp;$A23)*RTD("tos.rtd",,"LAST","."&amp;I$2&amp;I$1&amp;"P"&amp;$A23))/1000000,0),IF($A$2="PREMIUM",IFERROR((100*RTD("tos.rtd",,"VOLUME","."&amp;I$2&amp;I$1&amp;"C"&amp;$A23)*RTD("tos.rtd",,"LAST","."&amp;I$2&amp;I$1&amp;"C"&amp;$A23)-100*RTD("tos.rtd",,"VOLUME","."&amp;I$2&amp;I$1&amp;"P"&amp;$A23)*RTD("tos.rtd",,"LAST","."&amp;I$2&amp;I$1&amp;"P"&amp;$A23))/1000000,0),IF($A$2="DEX",IFERROR((100*RTD("tos.rtd",,"OPEN_INT","."&amp;I$2&amp;I$1&amp;"C"&amp;$A23)*RTD("tos.rtd",,"DELTA","."&amp;I$2&amp;I$1&amp;"C"&amp;$A23)-100*RTD("tos.rtd",,"OPEN_INT","."&amp;I$2&amp;I$1&amp;"P"&amp;$A23)*RTD("tos.rtd",,"DELTA","."&amp;I$2&amp;I$1&amp;"P"&amp;$A23))/1000,0),IF($A$2="VEX",IFERROR(($A$4*$A$4*RTD("tos.rtd",,"VOLUME","."&amp;I$2&amp;I$1&amp;"C"&amp;$A23)*RTD("tos.rtd",,"GAMMA","."&amp;I$2&amp;I$1&amp;"C"&amp;$A23)-$A$4*$A$4*RTD("tos.rtd",,"VOLUME","."&amp;I$2&amp;I$1&amp;"P"&amp;$A23)*RTD("tos.rtd",,"GAMMA","."&amp;I$2&amp;I$1&amp;"P"&amp;$A23))/1000000,0),IF($A$2="GEX",IFERROR(($A$4*$A$4*RTD("tos.rtd",,"OPEN_INT","."&amp;I$2&amp;I$1&amp;"C"&amp;$A23)*RTD("tos.rtd",,"GAMMA","."&amp;I$2&amp;I$1&amp;"C"&amp;$A23)-$A$4*$A$4*RTD("tos.rtd",,"OPEN_INT","."&amp;I$2&amp;I$1&amp;"P"&amp;$A23)*RTD("tos.rtd",,"GAMMA","."&amp;I$2&amp;I$1&amp;"P"&amp;$A23))/1000000,0),IF($A$2="SKEW",IFERROR(VALUE(IF(RTD("tos.rtd",,"IMPL_VOL","."&amp;I$2&amp;I$1&amp;"P"&amp;$A23)="N/A",0,RTD("tos.rtd",,"IMPL_VOL","."&amp;I$2&amp;I$1&amp;"P"&amp;$A23))),0)-IFERROR(VALUE(IF(RTD("tos.rtd",,"IMPL_VOL","."&amp;I$2&amp;I$1&amp;"C"&amp;$A23)="N/A",0,RTD("tos.rtd",,"IMPL_VOL","."&amp;I$2&amp;I$1&amp;"C"&amp;$A23))),0),IF($A$2="MAXPAIN",IF($A$4&gt;$A23,($A$4-$A23)*IF(RTD("tos.rtd",,"OPEN_INT","."&amp;I$2&amp;I$1&amp;"C"&amp;$A23)="N/A",0,RTD("tos.rtd",,"OPEN_INT","."&amp;I$2&amp;I$1&amp;"C"&amp;$A23)),0)+IF($A$4&lt;$A23,($A23-$A$4)*IF(RTD("tos.rtd",,"OPEN_INT","."&amp;I$2&amp;I$1&amp;"P"&amp;$A23)="N/A",0,RTD("tos.rtd",,"OPEN_INT","."&amp;I$2&amp;I$1&amp;"P"&amp;$A23)),0),IF(RTD("tos.rtd",,$A$2,"."&amp;I$2&amp;I$1&amp;"C"&amp;$A23)="N/A",0,RTD("tos.rtd",,$A$2,"."&amp;I$2&amp;I$1&amp;"C"&amp;$A23))-IF(RTD("tos.rtd",,$A$2,"."&amp;I$2&amp;I$1&amp;"P"&amp;$A23)="N/A",0,RTD("tos.rtd",,$A$2,"."&amp;I$2&amp;I$1&amp;"P"&amp;$A23)))))))))</f>
        <v>0</v>
      </c>
      <c r="J23" s="12">
        <f>IF($A$2="PREMIUM_OI",IFERROR((100*RTD("tos.rtd",,"OPEN_INT","."&amp;J$2&amp;J$1&amp;"C"&amp;$A23)*RTD("tos.rtd",,"LAST","."&amp;J$2&amp;J$1&amp;"C"&amp;$A23)-100*RTD("tos.rtd",,"OPEN_INT","."&amp;J$2&amp;J$1&amp;"P"&amp;$A23)*RTD("tos.rtd",,"LAST","."&amp;J$2&amp;J$1&amp;"P"&amp;$A23))/1000000,0),IF($A$2="PREMIUM",IFERROR((100*RTD("tos.rtd",,"VOLUME","."&amp;J$2&amp;J$1&amp;"C"&amp;$A23)*RTD("tos.rtd",,"LAST","."&amp;J$2&amp;J$1&amp;"C"&amp;$A23)-100*RTD("tos.rtd",,"VOLUME","."&amp;J$2&amp;J$1&amp;"P"&amp;$A23)*RTD("tos.rtd",,"LAST","."&amp;J$2&amp;J$1&amp;"P"&amp;$A23))/1000000,0),IF($A$2="DEX",IFERROR((100*RTD("tos.rtd",,"OPEN_INT","."&amp;J$2&amp;J$1&amp;"C"&amp;$A23)*RTD("tos.rtd",,"DELTA","."&amp;J$2&amp;J$1&amp;"C"&amp;$A23)-100*RTD("tos.rtd",,"OPEN_INT","."&amp;J$2&amp;J$1&amp;"P"&amp;$A23)*RTD("tos.rtd",,"DELTA","."&amp;J$2&amp;J$1&amp;"P"&amp;$A23))/1000,0),IF($A$2="VEX",IFERROR(($A$4*$A$4*RTD("tos.rtd",,"VOLUME","."&amp;J$2&amp;J$1&amp;"C"&amp;$A23)*RTD("tos.rtd",,"GAMMA","."&amp;J$2&amp;J$1&amp;"C"&amp;$A23)-$A$4*$A$4*RTD("tos.rtd",,"VOLUME","."&amp;J$2&amp;J$1&amp;"P"&amp;$A23)*RTD("tos.rtd",,"GAMMA","."&amp;J$2&amp;J$1&amp;"P"&amp;$A23))/1000000,0),IF($A$2="GEX",IFERROR(($A$4*$A$4*RTD("tos.rtd",,"OPEN_INT","."&amp;J$2&amp;J$1&amp;"C"&amp;$A23)*RTD("tos.rtd",,"GAMMA","."&amp;J$2&amp;J$1&amp;"C"&amp;$A23)-$A$4*$A$4*RTD("tos.rtd",,"OPEN_INT","."&amp;J$2&amp;J$1&amp;"P"&amp;$A23)*RTD("tos.rtd",,"GAMMA","."&amp;J$2&amp;J$1&amp;"P"&amp;$A23))/1000000,0),IF($A$2="SKEW",IFERROR(VALUE(IF(RTD("tos.rtd",,"IMPL_VOL","."&amp;J$2&amp;J$1&amp;"P"&amp;$A23)="N/A",0,RTD("tos.rtd",,"IMPL_VOL","."&amp;J$2&amp;J$1&amp;"P"&amp;$A23))),0)-IFERROR(VALUE(IF(RTD("tos.rtd",,"IMPL_VOL","."&amp;J$2&amp;J$1&amp;"C"&amp;$A23)="N/A",0,RTD("tos.rtd",,"IMPL_VOL","."&amp;J$2&amp;J$1&amp;"C"&amp;$A23))),0),IF($A$2="MAXPAIN",IF($A$4&gt;$A23,($A$4-$A23)*IF(RTD("tos.rtd",,"OPEN_INT","."&amp;J$2&amp;J$1&amp;"C"&amp;$A23)="N/A",0,RTD("tos.rtd",,"OPEN_INT","."&amp;J$2&amp;J$1&amp;"C"&amp;$A23)),0)+IF($A$4&lt;$A23,($A23-$A$4)*IF(RTD("tos.rtd",,"OPEN_INT","."&amp;J$2&amp;J$1&amp;"P"&amp;$A23)="N/A",0,RTD("tos.rtd",,"OPEN_INT","."&amp;J$2&amp;J$1&amp;"P"&amp;$A23)),0),IF(RTD("tos.rtd",,$A$2,"."&amp;J$2&amp;J$1&amp;"C"&amp;$A23)="N/A",0,RTD("tos.rtd",,$A$2,"."&amp;J$2&amp;J$1&amp;"C"&amp;$A23))-IF(RTD("tos.rtd",,$A$2,"."&amp;J$2&amp;J$1&amp;"P"&amp;$A23)="N/A",0,RTD("tos.rtd",,$A$2,"."&amp;J$2&amp;J$1&amp;"P"&amp;$A23)))))))))</f>
        <v>0</v>
      </c>
      <c r="K23" s="12">
        <f>IF($A$2="PREMIUM_OI",IFERROR((100*RTD("tos.rtd",,"OPEN_INT","."&amp;K$2&amp;K$1&amp;"C"&amp;$A23)*RTD("tos.rtd",,"LAST","."&amp;K$2&amp;K$1&amp;"C"&amp;$A23)-100*RTD("tos.rtd",,"OPEN_INT","."&amp;K$2&amp;K$1&amp;"P"&amp;$A23)*RTD("tos.rtd",,"LAST","."&amp;K$2&amp;K$1&amp;"P"&amp;$A23))/1000000,0),IF($A$2="PREMIUM",IFERROR((100*RTD("tos.rtd",,"VOLUME","."&amp;K$2&amp;K$1&amp;"C"&amp;$A23)*RTD("tos.rtd",,"LAST","."&amp;K$2&amp;K$1&amp;"C"&amp;$A23)-100*RTD("tos.rtd",,"VOLUME","."&amp;K$2&amp;K$1&amp;"P"&amp;$A23)*RTD("tos.rtd",,"LAST","."&amp;K$2&amp;K$1&amp;"P"&amp;$A23))/1000000,0),IF($A$2="DEX",IFERROR((100*RTD("tos.rtd",,"OPEN_INT","."&amp;K$2&amp;K$1&amp;"C"&amp;$A23)*RTD("tos.rtd",,"DELTA","."&amp;K$2&amp;K$1&amp;"C"&amp;$A23)-100*RTD("tos.rtd",,"OPEN_INT","."&amp;K$2&amp;K$1&amp;"P"&amp;$A23)*RTD("tos.rtd",,"DELTA","."&amp;K$2&amp;K$1&amp;"P"&amp;$A23))/1000,0),IF($A$2="VEX",IFERROR(($A$4*$A$4*RTD("tos.rtd",,"VOLUME","."&amp;K$2&amp;K$1&amp;"C"&amp;$A23)*RTD("tos.rtd",,"GAMMA","."&amp;K$2&amp;K$1&amp;"C"&amp;$A23)-$A$4*$A$4*RTD("tos.rtd",,"VOLUME","."&amp;K$2&amp;K$1&amp;"P"&amp;$A23)*RTD("tos.rtd",,"GAMMA","."&amp;K$2&amp;K$1&amp;"P"&amp;$A23))/1000000,0),IF($A$2="GEX",IFERROR(($A$4*$A$4*RTD("tos.rtd",,"OPEN_INT","."&amp;K$2&amp;K$1&amp;"C"&amp;$A23)*RTD("tos.rtd",,"GAMMA","."&amp;K$2&amp;K$1&amp;"C"&amp;$A23)-$A$4*$A$4*RTD("tos.rtd",,"OPEN_INT","."&amp;K$2&amp;K$1&amp;"P"&amp;$A23)*RTD("tos.rtd",,"GAMMA","."&amp;K$2&amp;K$1&amp;"P"&amp;$A23))/1000000,0),IF($A$2="SKEW",IFERROR(VALUE(IF(RTD("tos.rtd",,"IMPL_VOL","."&amp;K$2&amp;K$1&amp;"P"&amp;$A23)="N/A",0,RTD("tos.rtd",,"IMPL_VOL","."&amp;K$2&amp;K$1&amp;"P"&amp;$A23))),0)-IFERROR(VALUE(IF(RTD("tos.rtd",,"IMPL_VOL","."&amp;K$2&amp;K$1&amp;"C"&amp;$A23)="N/A",0,RTD("tos.rtd",,"IMPL_VOL","."&amp;K$2&amp;K$1&amp;"C"&amp;$A23))),0),IF($A$2="MAXPAIN",IF($A$4&gt;$A23,($A$4-$A23)*IF(RTD("tos.rtd",,"OPEN_INT","."&amp;K$2&amp;K$1&amp;"C"&amp;$A23)="N/A",0,RTD("tos.rtd",,"OPEN_INT","."&amp;K$2&amp;K$1&amp;"C"&amp;$A23)),0)+IF($A$4&lt;$A23,($A23-$A$4)*IF(RTD("tos.rtd",,"OPEN_INT","."&amp;K$2&amp;K$1&amp;"P"&amp;$A23)="N/A",0,RTD("tos.rtd",,"OPEN_INT","."&amp;K$2&amp;K$1&amp;"P"&amp;$A23)),0),IF(RTD("tos.rtd",,$A$2,"."&amp;K$2&amp;K$1&amp;"C"&amp;$A23)="N/A",0,RTD("tos.rtd",,$A$2,"."&amp;K$2&amp;K$1&amp;"C"&amp;$A23))-IF(RTD("tos.rtd",,$A$2,"."&amp;K$2&amp;K$1&amp;"P"&amp;$A23)="N/A",0,RTD("tos.rtd",,$A$2,"."&amp;K$2&amp;K$1&amp;"P"&amp;$A23)))))))))</f>
        <v>0</v>
      </c>
      <c r="L23" s="12">
        <f>IF($A$2="PREMIUM_OI",IFERROR((100*RTD("tos.rtd",,"OPEN_INT","."&amp;L$2&amp;L$1&amp;"C"&amp;$A23)*RTD("tos.rtd",,"LAST","."&amp;L$2&amp;L$1&amp;"C"&amp;$A23)-100*RTD("tos.rtd",,"OPEN_INT","."&amp;L$2&amp;L$1&amp;"P"&amp;$A23)*RTD("tos.rtd",,"LAST","."&amp;L$2&amp;L$1&amp;"P"&amp;$A23))/1000000,0),IF($A$2="PREMIUM",IFERROR((100*RTD("tos.rtd",,"VOLUME","."&amp;L$2&amp;L$1&amp;"C"&amp;$A23)*RTD("tos.rtd",,"LAST","."&amp;L$2&amp;L$1&amp;"C"&amp;$A23)-100*RTD("tos.rtd",,"VOLUME","."&amp;L$2&amp;L$1&amp;"P"&amp;$A23)*RTD("tos.rtd",,"LAST","."&amp;L$2&amp;L$1&amp;"P"&amp;$A23))/1000000,0),IF($A$2="DEX",IFERROR((100*RTD("tos.rtd",,"OPEN_INT","."&amp;L$2&amp;L$1&amp;"C"&amp;$A23)*RTD("tos.rtd",,"DELTA","."&amp;L$2&amp;L$1&amp;"C"&amp;$A23)-100*RTD("tos.rtd",,"OPEN_INT","."&amp;L$2&amp;L$1&amp;"P"&amp;$A23)*RTD("tos.rtd",,"DELTA","."&amp;L$2&amp;L$1&amp;"P"&amp;$A23))/1000,0),IF($A$2="VEX",IFERROR(($A$4*$A$4*RTD("tos.rtd",,"VOLUME","."&amp;L$2&amp;L$1&amp;"C"&amp;$A23)*RTD("tos.rtd",,"GAMMA","."&amp;L$2&amp;L$1&amp;"C"&amp;$A23)-$A$4*$A$4*RTD("tos.rtd",,"VOLUME","."&amp;L$2&amp;L$1&amp;"P"&amp;$A23)*RTD("tos.rtd",,"GAMMA","."&amp;L$2&amp;L$1&amp;"P"&amp;$A23))/1000000,0),IF($A$2="GEX",IFERROR(($A$4*$A$4*RTD("tos.rtd",,"OPEN_INT","."&amp;L$2&amp;L$1&amp;"C"&amp;$A23)*RTD("tos.rtd",,"GAMMA","."&amp;L$2&amp;L$1&amp;"C"&amp;$A23)-$A$4*$A$4*RTD("tos.rtd",,"OPEN_INT","."&amp;L$2&amp;L$1&amp;"P"&amp;$A23)*RTD("tos.rtd",,"GAMMA","."&amp;L$2&amp;L$1&amp;"P"&amp;$A23))/1000000,0),IF($A$2="SKEW",IFERROR(VALUE(IF(RTD("tos.rtd",,"IMPL_VOL","."&amp;L$2&amp;L$1&amp;"P"&amp;$A23)="N/A",0,RTD("tos.rtd",,"IMPL_VOL","."&amp;L$2&amp;L$1&amp;"P"&amp;$A23))),0)-IFERROR(VALUE(IF(RTD("tos.rtd",,"IMPL_VOL","."&amp;L$2&amp;L$1&amp;"C"&amp;$A23)="N/A",0,RTD("tos.rtd",,"IMPL_VOL","."&amp;L$2&amp;L$1&amp;"C"&amp;$A23))),0),IF($A$2="MAXPAIN",IF($A$4&gt;$A23,($A$4-$A23)*IF(RTD("tos.rtd",,"OPEN_INT","."&amp;L$2&amp;L$1&amp;"C"&amp;$A23)="N/A",0,RTD("tos.rtd",,"OPEN_INT","."&amp;L$2&amp;L$1&amp;"C"&amp;$A23)),0)+IF($A$4&lt;$A23,($A23-$A$4)*IF(RTD("tos.rtd",,"OPEN_INT","."&amp;L$2&amp;L$1&amp;"P"&amp;$A23)="N/A",0,RTD("tos.rtd",,"OPEN_INT","."&amp;L$2&amp;L$1&amp;"P"&amp;$A23)),0),IF(RTD("tos.rtd",,$A$2,"."&amp;L$2&amp;L$1&amp;"C"&amp;$A23)="N/A",0,RTD("tos.rtd",,$A$2,"."&amp;L$2&amp;L$1&amp;"C"&amp;$A23))-IF(RTD("tos.rtd",,$A$2,"."&amp;L$2&amp;L$1&amp;"P"&amp;$A23)="N/A",0,RTD("tos.rtd",,$A$2,"."&amp;L$2&amp;L$1&amp;"P"&amp;$A23)))))))))</f>
        <v>0</v>
      </c>
      <c r="M23" s="12">
        <f>IF($A$2="PREMIUM_OI",IFERROR((100*RTD("tos.rtd",,"OPEN_INT","."&amp;M$2&amp;M$1&amp;"C"&amp;$A23)*RTD("tos.rtd",,"LAST","."&amp;M$2&amp;M$1&amp;"C"&amp;$A23)-100*RTD("tos.rtd",,"OPEN_INT","."&amp;M$2&amp;M$1&amp;"P"&amp;$A23)*RTD("tos.rtd",,"LAST","."&amp;M$2&amp;M$1&amp;"P"&amp;$A23))/1000000,0),IF($A$2="PREMIUM",IFERROR((100*RTD("tos.rtd",,"VOLUME","."&amp;M$2&amp;M$1&amp;"C"&amp;$A23)*RTD("tos.rtd",,"LAST","."&amp;M$2&amp;M$1&amp;"C"&amp;$A23)-100*RTD("tos.rtd",,"VOLUME","."&amp;M$2&amp;M$1&amp;"P"&amp;$A23)*RTD("tos.rtd",,"LAST","."&amp;M$2&amp;M$1&amp;"P"&amp;$A23))/1000000,0),IF($A$2="DEX",IFERROR((100*RTD("tos.rtd",,"OPEN_INT","."&amp;M$2&amp;M$1&amp;"C"&amp;$A23)*RTD("tos.rtd",,"DELTA","."&amp;M$2&amp;M$1&amp;"C"&amp;$A23)-100*RTD("tos.rtd",,"OPEN_INT","."&amp;M$2&amp;M$1&amp;"P"&amp;$A23)*RTD("tos.rtd",,"DELTA","."&amp;M$2&amp;M$1&amp;"P"&amp;$A23))/1000,0),IF($A$2="VEX",IFERROR(($A$4*$A$4*RTD("tos.rtd",,"VOLUME","."&amp;M$2&amp;M$1&amp;"C"&amp;$A23)*RTD("tos.rtd",,"GAMMA","."&amp;M$2&amp;M$1&amp;"C"&amp;$A23)-$A$4*$A$4*RTD("tos.rtd",,"VOLUME","."&amp;M$2&amp;M$1&amp;"P"&amp;$A23)*RTD("tos.rtd",,"GAMMA","."&amp;M$2&amp;M$1&amp;"P"&amp;$A23))/1000000,0),IF($A$2="GEX",IFERROR(($A$4*$A$4*RTD("tos.rtd",,"OPEN_INT","."&amp;M$2&amp;M$1&amp;"C"&amp;$A23)*RTD("tos.rtd",,"GAMMA","."&amp;M$2&amp;M$1&amp;"C"&amp;$A23)-$A$4*$A$4*RTD("tos.rtd",,"OPEN_INT","."&amp;M$2&amp;M$1&amp;"P"&amp;$A23)*RTD("tos.rtd",,"GAMMA","."&amp;M$2&amp;M$1&amp;"P"&amp;$A23))/1000000,0),IF($A$2="SKEW",IFERROR(VALUE(IF(RTD("tos.rtd",,"IMPL_VOL","."&amp;M$2&amp;M$1&amp;"P"&amp;$A23)="N/A",0,RTD("tos.rtd",,"IMPL_VOL","."&amp;M$2&amp;M$1&amp;"P"&amp;$A23))),0)-IFERROR(VALUE(IF(RTD("tos.rtd",,"IMPL_VOL","."&amp;M$2&amp;M$1&amp;"C"&amp;$A23)="N/A",0,RTD("tos.rtd",,"IMPL_VOL","."&amp;M$2&amp;M$1&amp;"C"&amp;$A23))),0),IF($A$2="MAXPAIN",IF($A$4&gt;$A23,($A$4-$A23)*IF(RTD("tos.rtd",,"OPEN_INT","."&amp;M$2&amp;M$1&amp;"C"&amp;$A23)="N/A",0,RTD("tos.rtd",,"OPEN_INT","."&amp;M$2&amp;M$1&amp;"C"&amp;$A23)),0)+IF($A$4&lt;$A23,($A23-$A$4)*IF(RTD("tos.rtd",,"OPEN_INT","."&amp;M$2&amp;M$1&amp;"P"&amp;$A23)="N/A",0,RTD("tos.rtd",,"OPEN_INT","."&amp;M$2&amp;M$1&amp;"P"&amp;$A23)),0),IF(RTD("tos.rtd",,$A$2,"."&amp;M$2&amp;M$1&amp;"C"&amp;$A23)="N/A",0,RTD("tos.rtd",,$A$2,"."&amp;M$2&amp;M$1&amp;"C"&amp;$A23))-IF(RTD("tos.rtd",,$A$2,"."&amp;M$2&amp;M$1&amp;"P"&amp;$A23)="N/A",0,RTD("tos.rtd",,$A$2,"."&amp;M$2&amp;M$1&amp;"P"&amp;$A23)))))))))</f>
        <v>2154</v>
      </c>
      <c r="N23" s="12">
        <f>IF($A$2="PREMIUM_OI",IFERROR((100*RTD("tos.rtd",,"OPEN_INT","."&amp;N$2&amp;N$1&amp;"C"&amp;$A23)*RTD("tos.rtd",,"LAST","."&amp;N$2&amp;N$1&amp;"C"&amp;$A23)-100*RTD("tos.rtd",,"OPEN_INT","."&amp;N$2&amp;N$1&amp;"P"&amp;$A23)*RTD("tos.rtd",,"LAST","."&amp;N$2&amp;N$1&amp;"P"&amp;$A23))/1000000,0),IF($A$2="PREMIUM",IFERROR((100*RTD("tos.rtd",,"VOLUME","."&amp;N$2&amp;N$1&amp;"C"&amp;$A23)*RTD("tos.rtd",,"LAST","."&amp;N$2&amp;N$1&amp;"C"&amp;$A23)-100*RTD("tos.rtd",,"VOLUME","."&amp;N$2&amp;N$1&amp;"P"&amp;$A23)*RTD("tos.rtd",,"LAST","."&amp;N$2&amp;N$1&amp;"P"&amp;$A23))/1000000,0),IF($A$2="DEX",IFERROR((100*RTD("tos.rtd",,"OPEN_INT","."&amp;N$2&amp;N$1&amp;"C"&amp;$A23)*RTD("tos.rtd",,"DELTA","."&amp;N$2&amp;N$1&amp;"C"&amp;$A23)-100*RTD("tos.rtd",,"OPEN_INT","."&amp;N$2&amp;N$1&amp;"P"&amp;$A23)*RTD("tos.rtd",,"DELTA","."&amp;N$2&amp;N$1&amp;"P"&amp;$A23))/1000,0),IF($A$2="VEX",IFERROR(($A$4*$A$4*RTD("tos.rtd",,"VOLUME","."&amp;N$2&amp;N$1&amp;"C"&amp;$A23)*RTD("tos.rtd",,"GAMMA","."&amp;N$2&amp;N$1&amp;"C"&amp;$A23)-$A$4*$A$4*RTD("tos.rtd",,"VOLUME","."&amp;N$2&amp;N$1&amp;"P"&amp;$A23)*RTD("tos.rtd",,"GAMMA","."&amp;N$2&amp;N$1&amp;"P"&amp;$A23))/1000000,0),IF($A$2="GEX",IFERROR(($A$4*$A$4*RTD("tos.rtd",,"OPEN_INT","."&amp;N$2&amp;N$1&amp;"C"&amp;$A23)*RTD("tos.rtd",,"GAMMA","."&amp;N$2&amp;N$1&amp;"C"&amp;$A23)-$A$4*$A$4*RTD("tos.rtd",,"OPEN_INT","."&amp;N$2&amp;N$1&amp;"P"&amp;$A23)*RTD("tos.rtd",,"GAMMA","."&amp;N$2&amp;N$1&amp;"P"&amp;$A23))/1000000,0),IF($A$2="SKEW",IFERROR(VALUE(IF(RTD("tos.rtd",,"IMPL_VOL","."&amp;N$2&amp;N$1&amp;"P"&amp;$A23)="N/A",0,RTD("tos.rtd",,"IMPL_VOL","."&amp;N$2&amp;N$1&amp;"P"&amp;$A23))),0)-IFERROR(VALUE(IF(RTD("tos.rtd",,"IMPL_VOL","."&amp;N$2&amp;N$1&amp;"C"&amp;$A23)="N/A",0,RTD("tos.rtd",,"IMPL_VOL","."&amp;N$2&amp;N$1&amp;"C"&amp;$A23))),0),IF($A$2="MAXPAIN",IF($A$4&gt;$A23,($A$4-$A23)*IF(RTD("tos.rtd",,"OPEN_INT","."&amp;N$2&amp;N$1&amp;"C"&amp;$A23)="N/A",0,RTD("tos.rtd",,"OPEN_INT","."&amp;N$2&amp;N$1&amp;"C"&amp;$A23)),0)+IF($A$4&lt;$A23,($A23-$A$4)*IF(RTD("tos.rtd",,"OPEN_INT","."&amp;N$2&amp;N$1&amp;"P"&amp;$A23)="N/A",0,RTD("tos.rtd",,"OPEN_INT","."&amp;N$2&amp;N$1&amp;"P"&amp;$A23)),0),IF(RTD("tos.rtd",,$A$2,"."&amp;N$2&amp;N$1&amp;"C"&amp;$A23)="N/A",0,RTD("tos.rtd",,$A$2,"."&amp;N$2&amp;N$1&amp;"C"&amp;$A23))-IF(RTD("tos.rtd",,$A$2,"."&amp;N$2&amp;N$1&amp;"P"&amp;$A23)="N/A",0,RTD("tos.rtd",,$A$2,"."&amp;N$2&amp;N$1&amp;"P"&amp;$A23)))))))))</f>
        <v>0</v>
      </c>
      <c r="O23" s="12">
        <f>IF($A$2="PREMIUM_OI",IFERROR((100*RTD("tos.rtd",,"OPEN_INT","."&amp;O$2&amp;O$1&amp;"C"&amp;$A23)*RTD("tos.rtd",,"LAST","."&amp;O$2&amp;O$1&amp;"C"&amp;$A23)-100*RTD("tos.rtd",,"OPEN_INT","."&amp;O$2&amp;O$1&amp;"P"&amp;$A23)*RTD("tos.rtd",,"LAST","."&amp;O$2&amp;O$1&amp;"P"&amp;$A23))/1000000,0),IF($A$2="PREMIUM",IFERROR((100*RTD("tos.rtd",,"VOLUME","."&amp;O$2&amp;O$1&amp;"C"&amp;$A23)*RTD("tos.rtd",,"LAST","."&amp;O$2&amp;O$1&amp;"C"&amp;$A23)-100*RTD("tos.rtd",,"VOLUME","."&amp;O$2&amp;O$1&amp;"P"&amp;$A23)*RTD("tos.rtd",,"LAST","."&amp;O$2&amp;O$1&amp;"P"&amp;$A23))/1000000,0),IF($A$2="DEX",IFERROR((100*RTD("tos.rtd",,"OPEN_INT","."&amp;O$2&amp;O$1&amp;"C"&amp;$A23)*RTD("tos.rtd",,"DELTA","."&amp;O$2&amp;O$1&amp;"C"&amp;$A23)-100*RTD("tos.rtd",,"OPEN_INT","."&amp;O$2&amp;O$1&amp;"P"&amp;$A23)*RTD("tos.rtd",,"DELTA","."&amp;O$2&amp;O$1&amp;"P"&amp;$A23))/1000,0),IF($A$2="VEX",IFERROR(($A$4*$A$4*RTD("tos.rtd",,"VOLUME","."&amp;O$2&amp;O$1&amp;"C"&amp;$A23)*RTD("tos.rtd",,"GAMMA","."&amp;O$2&amp;O$1&amp;"C"&amp;$A23)-$A$4*$A$4*RTD("tos.rtd",,"VOLUME","."&amp;O$2&amp;O$1&amp;"P"&amp;$A23)*RTD("tos.rtd",,"GAMMA","."&amp;O$2&amp;O$1&amp;"P"&amp;$A23))/1000000,0),IF($A$2="GEX",IFERROR(($A$4*$A$4*RTD("tos.rtd",,"OPEN_INT","."&amp;O$2&amp;O$1&amp;"C"&amp;$A23)*RTD("tos.rtd",,"GAMMA","."&amp;O$2&amp;O$1&amp;"C"&amp;$A23)-$A$4*$A$4*RTD("tos.rtd",,"OPEN_INT","."&amp;O$2&amp;O$1&amp;"P"&amp;$A23)*RTD("tos.rtd",,"GAMMA","."&amp;O$2&amp;O$1&amp;"P"&amp;$A23))/1000000,0),IF($A$2="SKEW",IFERROR(VALUE(IF(RTD("tos.rtd",,"IMPL_VOL","."&amp;O$2&amp;O$1&amp;"P"&amp;$A23)="N/A",0,RTD("tos.rtd",,"IMPL_VOL","."&amp;O$2&amp;O$1&amp;"P"&amp;$A23))),0)-IFERROR(VALUE(IF(RTD("tos.rtd",,"IMPL_VOL","."&amp;O$2&amp;O$1&amp;"C"&amp;$A23)="N/A",0,RTD("tos.rtd",,"IMPL_VOL","."&amp;O$2&amp;O$1&amp;"C"&amp;$A23))),0),IF($A$2="MAXPAIN",IF($A$4&gt;$A23,($A$4-$A23)*IF(RTD("tos.rtd",,"OPEN_INT","."&amp;O$2&amp;O$1&amp;"C"&amp;$A23)="N/A",0,RTD("tos.rtd",,"OPEN_INT","."&amp;O$2&amp;O$1&amp;"C"&amp;$A23)),0)+IF($A$4&lt;$A23,($A23-$A$4)*IF(RTD("tos.rtd",,"OPEN_INT","."&amp;O$2&amp;O$1&amp;"P"&amp;$A23)="N/A",0,RTD("tos.rtd",,"OPEN_INT","."&amp;O$2&amp;O$1&amp;"P"&amp;$A23)),0),IF(RTD("tos.rtd",,$A$2,"."&amp;O$2&amp;O$1&amp;"C"&amp;$A23)="N/A",0,RTD("tos.rtd",,$A$2,"."&amp;O$2&amp;O$1&amp;"C"&amp;$A23))-IF(RTD("tos.rtd",,$A$2,"."&amp;O$2&amp;O$1&amp;"P"&amp;$A23)="N/A",0,RTD("tos.rtd",,$A$2,"."&amp;O$2&amp;O$1&amp;"P"&amp;$A23)))))))))</f>
        <v>0</v>
      </c>
      <c r="P23" s="12">
        <f>IF($A$2="PREMIUM_OI",IFERROR((100*RTD("tos.rtd",,"OPEN_INT","."&amp;P$2&amp;P$1&amp;"C"&amp;$A23)*RTD("tos.rtd",,"LAST","."&amp;P$2&amp;P$1&amp;"C"&amp;$A23)-100*RTD("tos.rtd",,"OPEN_INT","."&amp;P$2&amp;P$1&amp;"P"&amp;$A23)*RTD("tos.rtd",,"LAST","."&amp;P$2&amp;P$1&amp;"P"&amp;$A23))/1000000,0),IF($A$2="PREMIUM",IFERROR((100*RTD("tos.rtd",,"VOLUME","."&amp;P$2&amp;P$1&amp;"C"&amp;$A23)*RTD("tos.rtd",,"LAST","."&amp;P$2&amp;P$1&amp;"C"&amp;$A23)-100*RTD("tos.rtd",,"VOLUME","."&amp;P$2&amp;P$1&amp;"P"&amp;$A23)*RTD("tos.rtd",,"LAST","."&amp;P$2&amp;P$1&amp;"P"&amp;$A23))/1000000,0),IF($A$2="DEX",IFERROR((100*RTD("tos.rtd",,"OPEN_INT","."&amp;P$2&amp;P$1&amp;"C"&amp;$A23)*RTD("tos.rtd",,"DELTA","."&amp;P$2&amp;P$1&amp;"C"&amp;$A23)-100*RTD("tos.rtd",,"OPEN_INT","."&amp;P$2&amp;P$1&amp;"P"&amp;$A23)*RTD("tos.rtd",,"DELTA","."&amp;P$2&amp;P$1&amp;"P"&amp;$A23))/1000,0),IF($A$2="VEX",IFERROR(($A$4*$A$4*RTD("tos.rtd",,"VOLUME","."&amp;P$2&amp;P$1&amp;"C"&amp;$A23)*RTD("tos.rtd",,"GAMMA","."&amp;P$2&amp;P$1&amp;"C"&amp;$A23)-$A$4*$A$4*RTD("tos.rtd",,"VOLUME","."&amp;P$2&amp;P$1&amp;"P"&amp;$A23)*RTD("tos.rtd",,"GAMMA","."&amp;P$2&amp;P$1&amp;"P"&amp;$A23))/1000000,0),IF($A$2="GEX",IFERROR(($A$4*$A$4*RTD("tos.rtd",,"OPEN_INT","."&amp;P$2&amp;P$1&amp;"C"&amp;$A23)*RTD("tos.rtd",,"GAMMA","."&amp;P$2&amp;P$1&amp;"C"&amp;$A23)-$A$4*$A$4*RTD("tos.rtd",,"OPEN_INT","."&amp;P$2&amp;P$1&amp;"P"&amp;$A23)*RTD("tos.rtd",,"GAMMA","."&amp;P$2&amp;P$1&amp;"P"&amp;$A23))/1000000,0),IF($A$2="SKEW",IFERROR(VALUE(IF(RTD("tos.rtd",,"IMPL_VOL","."&amp;P$2&amp;P$1&amp;"P"&amp;$A23)="N/A",0,RTD("tos.rtd",,"IMPL_VOL","."&amp;P$2&amp;P$1&amp;"P"&amp;$A23))),0)-IFERROR(VALUE(IF(RTD("tos.rtd",,"IMPL_VOL","."&amp;P$2&amp;P$1&amp;"C"&amp;$A23)="N/A",0,RTD("tos.rtd",,"IMPL_VOL","."&amp;P$2&amp;P$1&amp;"C"&amp;$A23))),0),IF($A$2="MAXPAIN",IF($A$4&gt;$A23,($A$4-$A23)*IF(RTD("tos.rtd",,"OPEN_INT","."&amp;P$2&amp;P$1&amp;"C"&amp;$A23)="N/A",0,RTD("tos.rtd",,"OPEN_INT","."&amp;P$2&amp;P$1&amp;"C"&amp;$A23)),0)+IF($A$4&lt;$A23,($A23-$A$4)*IF(RTD("tos.rtd",,"OPEN_INT","."&amp;P$2&amp;P$1&amp;"P"&amp;$A23)="N/A",0,RTD("tos.rtd",,"OPEN_INT","."&amp;P$2&amp;P$1&amp;"P"&amp;$A23)),0),IF(RTD("tos.rtd",,$A$2,"."&amp;P$2&amp;P$1&amp;"C"&amp;$A23)="N/A",0,RTD("tos.rtd",,$A$2,"."&amp;P$2&amp;P$1&amp;"C"&amp;$A23))-IF(RTD("tos.rtd",,$A$2,"."&amp;P$2&amp;P$1&amp;"P"&amp;$A23)="N/A",0,RTD("tos.rtd",,$A$2,"."&amp;P$2&amp;P$1&amp;"P"&amp;$A23)))))))))</f>
        <v>0</v>
      </c>
      <c r="Q23" s="12">
        <f>IF($A$2="PREMIUM_OI",IFERROR((100*RTD("tos.rtd",,"OPEN_INT","."&amp;Q$2&amp;Q$1&amp;"C"&amp;$A23)*RTD("tos.rtd",,"LAST","."&amp;Q$2&amp;Q$1&amp;"C"&amp;$A23)-100*RTD("tos.rtd",,"OPEN_INT","."&amp;Q$2&amp;Q$1&amp;"P"&amp;$A23)*RTD("tos.rtd",,"LAST","."&amp;Q$2&amp;Q$1&amp;"P"&amp;$A23))/1000000,0),IF($A$2="PREMIUM",IFERROR((100*RTD("tos.rtd",,"VOLUME","."&amp;Q$2&amp;Q$1&amp;"C"&amp;$A23)*RTD("tos.rtd",,"LAST","."&amp;Q$2&amp;Q$1&amp;"C"&amp;$A23)-100*RTD("tos.rtd",,"VOLUME","."&amp;Q$2&amp;Q$1&amp;"P"&amp;$A23)*RTD("tos.rtd",,"LAST","."&amp;Q$2&amp;Q$1&amp;"P"&amp;$A23))/1000000,0),IF($A$2="DEX",IFERROR((100*RTD("tos.rtd",,"OPEN_INT","."&amp;Q$2&amp;Q$1&amp;"C"&amp;$A23)*RTD("tos.rtd",,"DELTA","."&amp;Q$2&amp;Q$1&amp;"C"&amp;$A23)-100*RTD("tos.rtd",,"OPEN_INT","."&amp;Q$2&amp;Q$1&amp;"P"&amp;$A23)*RTD("tos.rtd",,"DELTA","."&amp;Q$2&amp;Q$1&amp;"P"&amp;$A23))/1000,0),IF($A$2="VEX",IFERROR(($A$4*$A$4*RTD("tos.rtd",,"VOLUME","."&amp;Q$2&amp;Q$1&amp;"C"&amp;$A23)*RTD("tos.rtd",,"GAMMA","."&amp;Q$2&amp;Q$1&amp;"C"&amp;$A23)-$A$4*$A$4*RTD("tos.rtd",,"VOLUME","."&amp;Q$2&amp;Q$1&amp;"P"&amp;$A23)*RTD("tos.rtd",,"GAMMA","."&amp;Q$2&amp;Q$1&amp;"P"&amp;$A23))/1000000,0),IF($A$2="GEX",IFERROR(($A$4*$A$4*RTD("tos.rtd",,"OPEN_INT","."&amp;Q$2&amp;Q$1&amp;"C"&amp;$A23)*RTD("tos.rtd",,"GAMMA","."&amp;Q$2&amp;Q$1&amp;"C"&amp;$A23)-$A$4*$A$4*RTD("tos.rtd",,"OPEN_INT","."&amp;Q$2&amp;Q$1&amp;"P"&amp;$A23)*RTD("tos.rtd",,"GAMMA","."&amp;Q$2&amp;Q$1&amp;"P"&amp;$A23))/1000000,0),IF($A$2="SKEW",IFERROR(VALUE(IF(RTD("tos.rtd",,"IMPL_VOL","."&amp;Q$2&amp;Q$1&amp;"P"&amp;$A23)="N/A",0,RTD("tos.rtd",,"IMPL_VOL","."&amp;Q$2&amp;Q$1&amp;"P"&amp;$A23))),0)-IFERROR(VALUE(IF(RTD("tos.rtd",,"IMPL_VOL","."&amp;Q$2&amp;Q$1&amp;"C"&amp;$A23)="N/A",0,RTD("tos.rtd",,"IMPL_VOL","."&amp;Q$2&amp;Q$1&amp;"C"&amp;$A23))),0),IF($A$2="MAXPAIN",IF($A$4&gt;$A23,($A$4-$A23)*IF(RTD("tos.rtd",,"OPEN_INT","."&amp;Q$2&amp;Q$1&amp;"C"&amp;$A23)="N/A",0,RTD("tos.rtd",,"OPEN_INT","."&amp;Q$2&amp;Q$1&amp;"C"&amp;$A23)),0)+IF($A$4&lt;$A23,($A23-$A$4)*IF(RTD("tos.rtd",,"OPEN_INT","."&amp;Q$2&amp;Q$1&amp;"P"&amp;$A23)="N/A",0,RTD("tos.rtd",,"OPEN_INT","."&amp;Q$2&amp;Q$1&amp;"P"&amp;$A23)),0),IF(RTD("tos.rtd",,$A$2,"."&amp;Q$2&amp;Q$1&amp;"C"&amp;$A23)="N/A",0,RTD("tos.rtd",,$A$2,"."&amp;Q$2&amp;Q$1&amp;"C"&amp;$A23))-IF(RTD("tos.rtd",,$A$2,"."&amp;Q$2&amp;Q$1&amp;"P"&amp;$A23)="N/A",0,RTD("tos.rtd",,$A$2,"."&amp;Q$2&amp;Q$1&amp;"P"&amp;$A23)))))))))</f>
        <v>0</v>
      </c>
      <c r="R23" s="12">
        <f>IF($A$2="PREMIUM_OI",IFERROR((100*RTD("tos.rtd",,"OPEN_INT","."&amp;R$2&amp;R$1&amp;"C"&amp;$A23)*RTD("tos.rtd",,"LAST","."&amp;R$2&amp;R$1&amp;"C"&amp;$A23)-100*RTD("tos.rtd",,"OPEN_INT","."&amp;R$2&amp;R$1&amp;"P"&amp;$A23)*RTD("tos.rtd",,"LAST","."&amp;R$2&amp;R$1&amp;"P"&amp;$A23))/1000000,0),IF($A$2="PREMIUM",IFERROR((100*RTD("tos.rtd",,"VOLUME","."&amp;R$2&amp;R$1&amp;"C"&amp;$A23)*RTD("tos.rtd",,"LAST","."&amp;R$2&amp;R$1&amp;"C"&amp;$A23)-100*RTD("tos.rtd",,"VOLUME","."&amp;R$2&amp;R$1&amp;"P"&amp;$A23)*RTD("tos.rtd",,"LAST","."&amp;R$2&amp;R$1&amp;"P"&amp;$A23))/1000000,0),IF($A$2="DEX",IFERROR((100*RTD("tos.rtd",,"OPEN_INT","."&amp;R$2&amp;R$1&amp;"C"&amp;$A23)*RTD("tos.rtd",,"DELTA","."&amp;R$2&amp;R$1&amp;"C"&amp;$A23)-100*RTD("tos.rtd",,"OPEN_INT","."&amp;R$2&amp;R$1&amp;"P"&amp;$A23)*RTD("tos.rtd",,"DELTA","."&amp;R$2&amp;R$1&amp;"P"&amp;$A23))/1000,0),IF($A$2="VEX",IFERROR(($A$4*$A$4*RTD("tos.rtd",,"VOLUME","."&amp;R$2&amp;R$1&amp;"C"&amp;$A23)*RTD("tos.rtd",,"GAMMA","."&amp;R$2&amp;R$1&amp;"C"&amp;$A23)-$A$4*$A$4*RTD("tos.rtd",,"VOLUME","."&amp;R$2&amp;R$1&amp;"P"&amp;$A23)*RTD("tos.rtd",,"GAMMA","."&amp;R$2&amp;R$1&amp;"P"&amp;$A23))/1000000,0),IF($A$2="GEX",IFERROR(($A$4*$A$4*RTD("tos.rtd",,"OPEN_INT","."&amp;R$2&amp;R$1&amp;"C"&amp;$A23)*RTD("tos.rtd",,"GAMMA","."&amp;R$2&amp;R$1&amp;"C"&amp;$A23)-$A$4*$A$4*RTD("tos.rtd",,"OPEN_INT","."&amp;R$2&amp;R$1&amp;"P"&amp;$A23)*RTD("tos.rtd",,"GAMMA","."&amp;R$2&amp;R$1&amp;"P"&amp;$A23))/1000000,0),IF($A$2="SKEW",IFERROR(VALUE(IF(RTD("tos.rtd",,"IMPL_VOL","."&amp;R$2&amp;R$1&amp;"P"&amp;$A23)="N/A",0,RTD("tos.rtd",,"IMPL_VOL","."&amp;R$2&amp;R$1&amp;"P"&amp;$A23))),0)-IFERROR(VALUE(IF(RTD("tos.rtd",,"IMPL_VOL","."&amp;R$2&amp;R$1&amp;"C"&amp;$A23)="N/A",0,RTD("tos.rtd",,"IMPL_VOL","."&amp;R$2&amp;R$1&amp;"C"&amp;$A23))),0),IF($A$2="MAXPAIN",IF($A$4&gt;$A23,($A$4-$A23)*IF(RTD("tos.rtd",,"OPEN_INT","."&amp;R$2&amp;R$1&amp;"C"&amp;$A23)="N/A",0,RTD("tos.rtd",,"OPEN_INT","."&amp;R$2&amp;R$1&amp;"C"&amp;$A23)),0)+IF($A$4&lt;$A23,($A23-$A$4)*IF(RTD("tos.rtd",,"OPEN_INT","."&amp;R$2&amp;R$1&amp;"P"&amp;$A23)="N/A",0,RTD("tos.rtd",,"OPEN_INT","."&amp;R$2&amp;R$1&amp;"P"&amp;$A23)),0),IF(RTD("tos.rtd",,$A$2,"."&amp;R$2&amp;R$1&amp;"C"&amp;$A23)="N/A",0,RTD("tos.rtd",,$A$2,"."&amp;R$2&amp;R$1&amp;"C"&amp;$A23))-IF(RTD("tos.rtd",,$A$2,"."&amp;R$2&amp;R$1&amp;"P"&amp;$A23)="N/A",0,RTD("tos.rtd",,$A$2,"."&amp;R$2&amp;R$1&amp;"P"&amp;$A23)))))))))</f>
        <v>12444</v>
      </c>
      <c r="S23" s="12">
        <f>IF($A$2="PREMIUM_OI",IFERROR((100*RTD("tos.rtd",,"OPEN_INT","."&amp;S$2&amp;S$1&amp;"C"&amp;$A23)*RTD("tos.rtd",,"LAST","."&amp;S$2&amp;S$1&amp;"C"&amp;$A23)-100*RTD("tos.rtd",,"OPEN_INT","."&amp;S$2&amp;S$1&amp;"P"&amp;$A23)*RTD("tos.rtd",,"LAST","."&amp;S$2&amp;S$1&amp;"P"&amp;$A23))/1000000,0),IF($A$2="PREMIUM",IFERROR((100*RTD("tos.rtd",,"VOLUME","."&amp;S$2&amp;S$1&amp;"C"&amp;$A23)*RTD("tos.rtd",,"LAST","."&amp;S$2&amp;S$1&amp;"C"&amp;$A23)-100*RTD("tos.rtd",,"VOLUME","."&amp;S$2&amp;S$1&amp;"P"&amp;$A23)*RTD("tos.rtd",,"LAST","."&amp;S$2&amp;S$1&amp;"P"&amp;$A23))/1000000,0),IF($A$2="DEX",IFERROR((100*RTD("tos.rtd",,"OPEN_INT","."&amp;S$2&amp;S$1&amp;"C"&amp;$A23)*RTD("tos.rtd",,"DELTA","."&amp;S$2&amp;S$1&amp;"C"&amp;$A23)-100*RTD("tos.rtd",,"OPEN_INT","."&amp;S$2&amp;S$1&amp;"P"&amp;$A23)*RTD("tos.rtd",,"DELTA","."&amp;S$2&amp;S$1&amp;"P"&amp;$A23))/1000,0),IF($A$2="VEX",IFERROR(($A$4*$A$4*RTD("tos.rtd",,"VOLUME","."&amp;S$2&amp;S$1&amp;"C"&amp;$A23)*RTD("tos.rtd",,"GAMMA","."&amp;S$2&amp;S$1&amp;"C"&amp;$A23)-$A$4*$A$4*RTD("tos.rtd",,"VOLUME","."&amp;S$2&amp;S$1&amp;"P"&amp;$A23)*RTD("tos.rtd",,"GAMMA","."&amp;S$2&amp;S$1&amp;"P"&amp;$A23))/1000000,0),IF($A$2="GEX",IFERROR(($A$4*$A$4*RTD("tos.rtd",,"OPEN_INT","."&amp;S$2&amp;S$1&amp;"C"&amp;$A23)*RTD("tos.rtd",,"GAMMA","."&amp;S$2&amp;S$1&amp;"C"&amp;$A23)-$A$4*$A$4*RTD("tos.rtd",,"OPEN_INT","."&amp;S$2&amp;S$1&amp;"P"&amp;$A23)*RTD("tos.rtd",,"GAMMA","."&amp;S$2&amp;S$1&amp;"P"&amp;$A23))/1000000,0),IF($A$2="SKEW",IFERROR(VALUE(IF(RTD("tos.rtd",,"IMPL_VOL","."&amp;S$2&amp;S$1&amp;"P"&amp;$A23)="N/A",0,RTD("tos.rtd",,"IMPL_VOL","."&amp;S$2&amp;S$1&amp;"P"&amp;$A23))),0)-IFERROR(VALUE(IF(RTD("tos.rtd",,"IMPL_VOL","."&amp;S$2&amp;S$1&amp;"C"&amp;$A23)="N/A",0,RTD("tos.rtd",,"IMPL_VOL","."&amp;S$2&amp;S$1&amp;"C"&amp;$A23))),0),IF($A$2="MAXPAIN",IF($A$4&gt;$A23,($A$4-$A23)*IF(RTD("tos.rtd",,"OPEN_INT","."&amp;S$2&amp;S$1&amp;"C"&amp;$A23)="N/A",0,RTD("tos.rtd",,"OPEN_INT","."&amp;S$2&amp;S$1&amp;"C"&amp;$A23)),0)+IF($A$4&lt;$A23,($A23-$A$4)*IF(RTD("tos.rtd",,"OPEN_INT","."&amp;S$2&amp;S$1&amp;"P"&amp;$A23)="N/A",0,RTD("tos.rtd",,"OPEN_INT","."&amp;S$2&amp;S$1&amp;"P"&amp;$A23)),0),IF(RTD("tos.rtd",,$A$2,"."&amp;S$2&amp;S$1&amp;"C"&amp;$A23)="N/A",0,RTD("tos.rtd",,$A$2,"."&amp;S$2&amp;S$1&amp;"C"&amp;$A23))-IF(RTD("tos.rtd",,$A$2,"."&amp;S$2&amp;S$1&amp;"P"&amp;$A23)="N/A",0,RTD("tos.rtd",,$A$2,"."&amp;S$2&amp;S$1&amp;"P"&amp;$A23)))))))))</f>
        <v>1197</v>
      </c>
      <c r="T23" s="12">
        <f>IF($A$2="PREMIUM_OI",IFERROR((100*RTD("tos.rtd",,"OPEN_INT","."&amp;T$2&amp;T$1&amp;"C"&amp;$A23)*RTD("tos.rtd",,"LAST","."&amp;T$2&amp;T$1&amp;"C"&amp;$A23)-100*RTD("tos.rtd",,"OPEN_INT","."&amp;T$2&amp;T$1&amp;"P"&amp;$A23)*RTD("tos.rtd",,"LAST","."&amp;T$2&amp;T$1&amp;"P"&amp;$A23))/1000000,0),IF($A$2="PREMIUM",IFERROR((100*RTD("tos.rtd",,"VOLUME","."&amp;T$2&amp;T$1&amp;"C"&amp;$A23)*RTD("tos.rtd",,"LAST","."&amp;T$2&amp;T$1&amp;"C"&amp;$A23)-100*RTD("tos.rtd",,"VOLUME","."&amp;T$2&amp;T$1&amp;"P"&amp;$A23)*RTD("tos.rtd",,"LAST","."&amp;T$2&amp;T$1&amp;"P"&amp;$A23))/1000000,0),IF($A$2="DEX",IFERROR((100*RTD("tos.rtd",,"OPEN_INT","."&amp;T$2&amp;T$1&amp;"C"&amp;$A23)*RTD("tos.rtd",,"DELTA","."&amp;T$2&amp;T$1&amp;"C"&amp;$A23)-100*RTD("tos.rtd",,"OPEN_INT","."&amp;T$2&amp;T$1&amp;"P"&amp;$A23)*RTD("tos.rtd",,"DELTA","."&amp;T$2&amp;T$1&amp;"P"&amp;$A23))/1000,0),IF($A$2="VEX",IFERROR(($A$4*$A$4*RTD("tos.rtd",,"VOLUME","."&amp;T$2&amp;T$1&amp;"C"&amp;$A23)*RTD("tos.rtd",,"GAMMA","."&amp;T$2&amp;T$1&amp;"C"&amp;$A23)-$A$4*$A$4*RTD("tos.rtd",,"VOLUME","."&amp;T$2&amp;T$1&amp;"P"&amp;$A23)*RTD("tos.rtd",,"GAMMA","."&amp;T$2&amp;T$1&amp;"P"&amp;$A23))/1000000,0),IF($A$2="GEX",IFERROR(($A$4*$A$4*RTD("tos.rtd",,"OPEN_INT","."&amp;T$2&amp;T$1&amp;"C"&amp;$A23)*RTD("tos.rtd",,"GAMMA","."&amp;T$2&amp;T$1&amp;"C"&amp;$A23)-$A$4*$A$4*RTD("tos.rtd",,"OPEN_INT","."&amp;T$2&amp;T$1&amp;"P"&amp;$A23)*RTD("tos.rtd",,"GAMMA","."&amp;T$2&amp;T$1&amp;"P"&amp;$A23))/1000000,0),IF($A$2="SKEW",IFERROR(VALUE(IF(RTD("tos.rtd",,"IMPL_VOL","."&amp;T$2&amp;T$1&amp;"P"&amp;$A23)="N/A",0,RTD("tos.rtd",,"IMPL_VOL","."&amp;T$2&amp;T$1&amp;"P"&amp;$A23))),0)-IFERROR(VALUE(IF(RTD("tos.rtd",,"IMPL_VOL","."&amp;T$2&amp;T$1&amp;"C"&amp;$A23)="N/A",0,RTD("tos.rtd",,"IMPL_VOL","."&amp;T$2&amp;T$1&amp;"C"&amp;$A23))),0),IF($A$2="MAXPAIN",IF($A$4&gt;$A23,($A$4-$A23)*IF(RTD("tos.rtd",,"OPEN_INT","."&amp;T$2&amp;T$1&amp;"C"&amp;$A23)="N/A",0,RTD("tos.rtd",,"OPEN_INT","."&amp;T$2&amp;T$1&amp;"C"&amp;$A23)),0)+IF($A$4&lt;$A23,($A23-$A$4)*IF(RTD("tos.rtd",,"OPEN_INT","."&amp;T$2&amp;T$1&amp;"P"&amp;$A23)="N/A",0,RTD("tos.rtd",,"OPEN_INT","."&amp;T$2&amp;T$1&amp;"P"&amp;$A23)),0),IF(RTD("tos.rtd",,$A$2,"."&amp;T$2&amp;T$1&amp;"C"&amp;$A23)="N/A",0,RTD("tos.rtd",,$A$2,"."&amp;T$2&amp;T$1&amp;"C"&amp;$A23))-IF(RTD("tos.rtd",,$A$2,"."&amp;T$2&amp;T$1&amp;"P"&amp;$A23)="N/A",0,RTD("tos.rtd",,$A$2,"."&amp;T$2&amp;T$1&amp;"P"&amp;$A23)))))))))</f>
        <v>1298</v>
      </c>
      <c r="U23" s="12">
        <f>IF($A$2="PREMIUM_OI",IFERROR((100*RTD("tos.rtd",,"OPEN_INT","."&amp;U$2&amp;U$1&amp;"C"&amp;$A23)*RTD("tos.rtd",,"LAST","."&amp;U$2&amp;U$1&amp;"C"&amp;$A23)-100*RTD("tos.rtd",,"OPEN_INT","."&amp;U$2&amp;U$1&amp;"P"&amp;$A23)*RTD("tos.rtd",,"LAST","."&amp;U$2&amp;U$1&amp;"P"&amp;$A23))/1000000,0),IF($A$2="PREMIUM",IFERROR((100*RTD("tos.rtd",,"VOLUME","."&amp;U$2&amp;U$1&amp;"C"&amp;$A23)*RTD("tos.rtd",,"LAST","."&amp;U$2&amp;U$1&amp;"C"&amp;$A23)-100*RTD("tos.rtd",,"VOLUME","."&amp;U$2&amp;U$1&amp;"P"&amp;$A23)*RTD("tos.rtd",,"LAST","."&amp;U$2&amp;U$1&amp;"P"&amp;$A23))/1000000,0),IF($A$2="DEX",IFERROR((100*RTD("tos.rtd",,"OPEN_INT","."&amp;U$2&amp;U$1&amp;"C"&amp;$A23)*RTD("tos.rtd",,"DELTA","."&amp;U$2&amp;U$1&amp;"C"&amp;$A23)-100*RTD("tos.rtd",,"OPEN_INT","."&amp;U$2&amp;U$1&amp;"P"&amp;$A23)*RTD("tos.rtd",,"DELTA","."&amp;U$2&amp;U$1&amp;"P"&amp;$A23))/1000,0),IF($A$2="VEX",IFERROR(($A$4*$A$4*RTD("tos.rtd",,"VOLUME","."&amp;U$2&amp;U$1&amp;"C"&amp;$A23)*RTD("tos.rtd",,"GAMMA","."&amp;U$2&amp;U$1&amp;"C"&amp;$A23)-$A$4*$A$4*RTD("tos.rtd",,"VOLUME","."&amp;U$2&amp;U$1&amp;"P"&amp;$A23)*RTD("tos.rtd",,"GAMMA","."&amp;U$2&amp;U$1&amp;"P"&amp;$A23))/1000000,0),IF($A$2="GEX",IFERROR(($A$4*$A$4*RTD("tos.rtd",,"OPEN_INT","."&amp;U$2&amp;U$1&amp;"C"&amp;$A23)*RTD("tos.rtd",,"GAMMA","."&amp;U$2&amp;U$1&amp;"C"&amp;$A23)-$A$4*$A$4*RTD("tos.rtd",,"OPEN_INT","."&amp;U$2&amp;U$1&amp;"P"&amp;$A23)*RTD("tos.rtd",,"GAMMA","."&amp;U$2&amp;U$1&amp;"P"&amp;$A23))/1000000,0),IF($A$2="SKEW",IFERROR(VALUE(IF(RTD("tos.rtd",,"IMPL_VOL","."&amp;U$2&amp;U$1&amp;"P"&amp;$A23)="N/A",0,RTD("tos.rtd",,"IMPL_VOL","."&amp;U$2&amp;U$1&amp;"P"&amp;$A23))),0)-IFERROR(VALUE(IF(RTD("tos.rtd",,"IMPL_VOL","."&amp;U$2&amp;U$1&amp;"C"&amp;$A23)="N/A",0,RTD("tos.rtd",,"IMPL_VOL","."&amp;U$2&amp;U$1&amp;"C"&amp;$A23))),0),IF($A$2="MAXPAIN",IF($A$4&gt;$A23,($A$4-$A23)*IF(RTD("tos.rtd",,"OPEN_INT","."&amp;U$2&amp;U$1&amp;"C"&amp;$A23)="N/A",0,RTD("tos.rtd",,"OPEN_INT","."&amp;U$2&amp;U$1&amp;"C"&amp;$A23)),0)+IF($A$4&lt;$A23,($A23-$A$4)*IF(RTD("tos.rtd",,"OPEN_INT","."&amp;U$2&amp;U$1&amp;"P"&amp;$A23)="N/A",0,RTD("tos.rtd",,"OPEN_INT","."&amp;U$2&amp;U$1&amp;"P"&amp;$A23)),0),IF(RTD("tos.rtd",,$A$2,"."&amp;U$2&amp;U$1&amp;"C"&amp;$A23)="N/A",0,RTD("tos.rtd",,$A$2,"."&amp;U$2&amp;U$1&amp;"C"&amp;$A23))-IF(RTD("tos.rtd",,$A$2,"."&amp;U$2&amp;U$1&amp;"P"&amp;$A23)="N/A",0,RTD("tos.rtd",,$A$2,"."&amp;U$2&amp;U$1&amp;"P"&amp;$A23)))))))))</f>
        <v>0</v>
      </c>
      <c r="V23" s="12">
        <f>IF($A$2="PREMIUM_OI",IFERROR((100*RTD("tos.rtd",,"OPEN_INT","."&amp;V$2&amp;V$1&amp;"C"&amp;$A23)*RTD("tos.rtd",,"LAST","."&amp;V$2&amp;V$1&amp;"C"&amp;$A23)-100*RTD("tos.rtd",,"OPEN_INT","."&amp;V$2&amp;V$1&amp;"P"&amp;$A23)*RTD("tos.rtd",,"LAST","."&amp;V$2&amp;V$1&amp;"P"&amp;$A23))/1000000,0),IF($A$2="PREMIUM",IFERROR((100*RTD("tos.rtd",,"VOLUME","."&amp;V$2&amp;V$1&amp;"C"&amp;$A23)*RTD("tos.rtd",,"LAST","."&amp;V$2&amp;V$1&amp;"C"&amp;$A23)-100*RTD("tos.rtd",,"VOLUME","."&amp;V$2&amp;V$1&amp;"P"&amp;$A23)*RTD("tos.rtd",,"LAST","."&amp;V$2&amp;V$1&amp;"P"&amp;$A23))/1000000,0),IF($A$2="DEX",IFERROR((100*RTD("tos.rtd",,"OPEN_INT","."&amp;V$2&amp;V$1&amp;"C"&amp;$A23)*RTD("tos.rtd",,"DELTA","."&amp;V$2&amp;V$1&amp;"C"&amp;$A23)-100*RTD("tos.rtd",,"OPEN_INT","."&amp;V$2&amp;V$1&amp;"P"&amp;$A23)*RTD("tos.rtd",,"DELTA","."&amp;V$2&amp;V$1&amp;"P"&amp;$A23))/1000,0),IF($A$2="VEX",IFERROR(($A$4*$A$4*RTD("tos.rtd",,"VOLUME","."&amp;V$2&amp;V$1&amp;"C"&amp;$A23)*RTD("tos.rtd",,"GAMMA","."&amp;V$2&amp;V$1&amp;"C"&amp;$A23)-$A$4*$A$4*RTD("tos.rtd",,"VOLUME","."&amp;V$2&amp;V$1&amp;"P"&amp;$A23)*RTD("tos.rtd",,"GAMMA","."&amp;V$2&amp;V$1&amp;"P"&amp;$A23))/1000000,0),IF($A$2="GEX",IFERROR(($A$4*$A$4*RTD("tos.rtd",,"OPEN_INT","."&amp;V$2&amp;V$1&amp;"C"&amp;$A23)*RTD("tos.rtd",,"GAMMA","."&amp;V$2&amp;V$1&amp;"C"&amp;$A23)-$A$4*$A$4*RTD("tos.rtd",,"OPEN_INT","."&amp;V$2&amp;V$1&amp;"P"&amp;$A23)*RTD("tos.rtd",,"GAMMA","."&amp;V$2&amp;V$1&amp;"P"&amp;$A23))/1000000,0),IF($A$2="SKEW",IFERROR(VALUE(IF(RTD("tos.rtd",,"IMPL_VOL","."&amp;V$2&amp;V$1&amp;"P"&amp;$A23)="N/A",0,RTD("tos.rtd",,"IMPL_VOL","."&amp;V$2&amp;V$1&amp;"P"&amp;$A23))),0)-IFERROR(VALUE(IF(RTD("tos.rtd",,"IMPL_VOL","."&amp;V$2&amp;V$1&amp;"C"&amp;$A23)="N/A",0,RTD("tos.rtd",,"IMPL_VOL","."&amp;V$2&amp;V$1&amp;"C"&amp;$A23))),0),IF($A$2="MAXPAIN",IF($A$4&gt;$A23,($A$4-$A23)*IF(RTD("tos.rtd",,"OPEN_INT","."&amp;V$2&amp;V$1&amp;"C"&amp;$A23)="N/A",0,RTD("tos.rtd",,"OPEN_INT","."&amp;V$2&amp;V$1&amp;"C"&amp;$A23)),0)+IF($A$4&lt;$A23,($A23-$A$4)*IF(RTD("tos.rtd",,"OPEN_INT","."&amp;V$2&amp;V$1&amp;"P"&amp;$A23)="N/A",0,RTD("tos.rtd",,"OPEN_INT","."&amp;V$2&amp;V$1&amp;"P"&amp;$A23)),0),IF(RTD("tos.rtd",,$A$2,"."&amp;V$2&amp;V$1&amp;"C"&amp;$A23)="N/A",0,RTD("tos.rtd",,$A$2,"."&amp;V$2&amp;V$1&amp;"C"&amp;$A23))-IF(RTD("tos.rtd",,$A$2,"."&amp;V$2&amp;V$1&amp;"P"&amp;$A23)="N/A",0,RTD("tos.rtd",,$A$2,"."&amp;V$2&amp;V$1&amp;"P"&amp;$A23)))))))))</f>
        <v>0</v>
      </c>
      <c r="W23" s="12">
        <f>IF($A$2="PREMIUM_OI",IFERROR((100*RTD("tos.rtd",,"OPEN_INT","."&amp;W$2&amp;W$1&amp;"C"&amp;$A23)*RTD("tos.rtd",,"LAST","."&amp;W$2&amp;W$1&amp;"C"&amp;$A23)-100*RTD("tos.rtd",,"OPEN_INT","."&amp;W$2&amp;W$1&amp;"P"&amp;$A23)*RTD("tos.rtd",,"LAST","."&amp;W$2&amp;W$1&amp;"P"&amp;$A23))/1000000,0),IF($A$2="PREMIUM",IFERROR((100*RTD("tos.rtd",,"VOLUME","."&amp;W$2&amp;W$1&amp;"C"&amp;$A23)*RTD("tos.rtd",,"LAST","."&amp;W$2&amp;W$1&amp;"C"&amp;$A23)-100*RTD("tos.rtd",,"VOLUME","."&amp;W$2&amp;W$1&amp;"P"&amp;$A23)*RTD("tos.rtd",,"LAST","."&amp;W$2&amp;W$1&amp;"P"&amp;$A23))/1000000,0),IF($A$2="DEX",IFERROR((100*RTD("tos.rtd",,"OPEN_INT","."&amp;W$2&amp;W$1&amp;"C"&amp;$A23)*RTD("tos.rtd",,"DELTA","."&amp;W$2&amp;W$1&amp;"C"&amp;$A23)-100*RTD("tos.rtd",,"OPEN_INT","."&amp;W$2&amp;W$1&amp;"P"&amp;$A23)*RTD("tos.rtd",,"DELTA","."&amp;W$2&amp;W$1&amp;"P"&amp;$A23))/1000,0),IF($A$2="VEX",IFERROR(($A$4*$A$4*RTD("tos.rtd",,"VOLUME","."&amp;W$2&amp;W$1&amp;"C"&amp;$A23)*RTD("tos.rtd",,"GAMMA","."&amp;W$2&amp;W$1&amp;"C"&amp;$A23)-$A$4*$A$4*RTD("tos.rtd",,"VOLUME","."&amp;W$2&amp;W$1&amp;"P"&amp;$A23)*RTD("tos.rtd",,"GAMMA","."&amp;W$2&amp;W$1&amp;"P"&amp;$A23))/1000000,0),IF($A$2="GEX",IFERROR(($A$4*$A$4*RTD("tos.rtd",,"OPEN_INT","."&amp;W$2&amp;W$1&amp;"C"&amp;$A23)*RTD("tos.rtd",,"GAMMA","."&amp;W$2&amp;W$1&amp;"C"&amp;$A23)-$A$4*$A$4*RTD("tos.rtd",,"OPEN_INT","."&amp;W$2&amp;W$1&amp;"P"&amp;$A23)*RTD("tos.rtd",,"GAMMA","."&amp;W$2&amp;W$1&amp;"P"&amp;$A23))/1000000,0),IF($A$2="SKEW",IFERROR(VALUE(IF(RTD("tos.rtd",,"IMPL_VOL","."&amp;W$2&amp;W$1&amp;"P"&amp;$A23)="N/A",0,RTD("tos.rtd",,"IMPL_VOL","."&amp;W$2&amp;W$1&amp;"P"&amp;$A23))),0)-IFERROR(VALUE(IF(RTD("tos.rtd",,"IMPL_VOL","."&amp;W$2&amp;W$1&amp;"C"&amp;$A23)="N/A",0,RTD("tos.rtd",,"IMPL_VOL","."&amp;W$2&amp;W$1&amp;"C"&amp;$A23))),0),IF($A$2="MAXPAIN",IF($A$4&gt;$A23,($A$4-$A23)*IF(RTD("tos.rtd",,"OPEN_INT","."&amp;W$2&amp;W$1&amp;"C"&amp;$A23)="N/A",0,RTD("tos.rtd",,"OPEN_INT","."&amp;W$2&amp;W$1&amp;"C"&amp;$A23)),0)+IF($A$4&lt;$A23,($A23-$A$4)*IF(RTD("tos.rtd",,"OPEN_INT","."&amp;W$2&amp;W$1&amp;"P"&amp;$A23)="N/A",0,RTD("tos.rtd",,"OPEN_INT","."&amp;W$2&amp;W$1&amp;"P"&amp;$A23)),0),IF(RTD("tos.rtd",,$A$2,"."&amp;W$2&amp;W$1&amp;"C"&amp;$A23)="N/A",0,RTD("tos.rtd",,$A$2,"."&amp;W$2&amp;W$1&amp;"C"&amp;$A23))-IF(RTD("tos.rtd",,$A$2,"."&amp;W$2&amp;W$1&amp;"P"&amp;$A23)="N/A",0,RTD("tos.rtd",,$A$2,"."&amp;W$2&amp;W$1&amp;"P"&amp;$A23)))))))))</f>
        <v>0</v>
      </c>
      <c r="X23" s="12">
        <f t="shared" ca="1" si="7"/>
        <v>2495</v>
      </c>
      <c r="Y23" s="27">
        <f t="shared" ca="1" si="8"/>
        <v>2495</v>
      </c>
      <c r="AA23" s="35">
        <f t="shared" si="5"/>
        <v>22</v>
      </c>
      <c r="AB23" s="8">
        <f>+IF($AJ$1,AK23,TASTYOHLC!B23)</f>
        <v>0</v>
      </c>
      <c r="AC23" s="8">
        <f>+IF($AJ$1,AL23,TASTYOHLC!C23)</f>
        <v>0</v>
      </c>
      <c r="AD23" s="8">
        <f>+IF($AJ$1,AM23,TASTYOHLC!D23)</f>
        <v>0</v>
      </c>
      <c r="AE23" s="8">
        <f>+IF($AJ$1,AN23,TASTYOHLC!E23)</f>
        <v>0</v>
      </c>
      <c r="AF23" s="8"/>
      <c r="AJ23" s="37"/>
      <c r="AK23" s="52"/>
      <c r="AL23" s="52"/>
      <c r="AM23" s="52"/>
      <c r="AN23" s="52"/>
    </row>
    <row r="24" spans="1:40" s="19" customFormat="1" ht="11.1" customHeight="1" thickBot="1" x14ac:dyDescent="0.3">
      <c r="A24" s="23">
        <f t="shared" si="6"/>
        <v>10</v>
      </c>
      <c r="B24" s="14">
        <f>IF($A$2="PREMIUM_OI",IFERROR((100*RTD("tos.rtd",,"OPEN_INT","."&amp;B$2&amp;B$1&amp;"C"&amp;$A24)*RTD("tos.rtd",,"LAST","."&amp;B$2&amp;B$1&amp;"C"&amp;$A24)-100*RTD("tos.rtd",,"OPEN_INT","."&amp;B$2&amp;B$1&amp;"P"&amp;$A24)*RTD("tos.rtd",,"LAST","."&amp;B$2&amp;B$1&amp;"P"&amp;$A24))/1000000,0),IF($A$2="PREMIUM",IFERROR((100*RTD("tos.rtd",,"VOLUME","."&amp;B$2&amp;B$1&amp;"C"&amp;$A24)*RTD("tos.rtd",,"LAST","."&amp;B$2&amp;B$1&amp;"C"&amp;$A24)-100*RTD("tos.rtd",,"VOLUME","."&amp;B$2&amp;B$1&amp;"P"&amp;$A24)*RTD("tos.rtd",,"LAST","."&amp;B$2&amp;B$1&amp;"P"&amp;$A24))/1000000,0),IF($A$2="DEX",IFERROR((100*RTD("tos.rtd",,"OPEN_INT","."&amp;B$2&amp;B$1&amp;"C"&amp;$A24)*RTD("tos.rtd",,"DELTA","."&amp;B$2&amp;B$1&amp;"C"&amp;$A24)-100*RTD("tos.rtd",,"OPEN_INT","."&amp;B$2&amp;B$1&amp;"P"&amp;$A24)*RTD("tos.rtd",,"DELTA","."&amp;B$2&amp;B$1&amp;"P"&amp;$A24))/1000,0),IF($A$2="VEX",IFERROR(($A$4*$A$4*RTD("tos.rtd",,"VOLUME","."&amp;B$2&amp;B$1&amp;"C"&amp;$A24)*RTD("tos.rtd",,"GAMMA","."&amp;B$2&amp;B$1&amp;"C"&amp;$A24)-$A$4*$A$4*RTD("tos.rtd",,"VOLUME","."&amp;B$2&amp;B$1&amp;"P"&amp;$A24)*RTD("tos.rtd",,"GAMMA","."&amp;B$2&amp;B$1&amp;"P"&amp;$A24))/1000000,0),IF($A$2="GEX",IFERROR(($A$4*$A$4*RTD("tos.rtd",,"OPEN_INT","."&amp;B$2&amp;B$1&amp;"C"&amp;$A24)*RTD("tos.rtd",,"GAMMA","."&amp;B$2&amp;B$1&amp;"C"&amp;$A24)-$A$4*$A$4*RTD("tos.rtd",,"OPEN_INT","."&amp;B$2&amp;B$1&amp;"P"&amp;$A24)*RTD("tos.rtd",,"GAMMA","."&amp;B$2&amp;B$1&amp;"P"&amp;$A24))/1000000,0),IF($A$2="SKEW",IFERROR(VALUE(IF(RTD("tos.rtd",,"IMPL_VOL","."&amp;B$2&amp;B$1&amp;"P"&amp;$A24)="N/A",0,RTD("tos.rtd",,"IMPL_VOL","."&amp;B$2&amp;B$1&amp;"P"&amp;$A24))),0)-IFERROR(VALUE(IF(RTD("tos.rtd",,"IMPL_VOL","."&amp;B$2&amp;B$1&amp;"C"&amp;$A24)="N/A",0,RTD("tos.rtd",,"IMPL_VOL","."&amp;B$2&amp;B$1&amp;"C"&amp;$A24))),0),IF($A$2="MAXPAIN",IF($A$4&gt;$A24,($A$4-$A24)*IF(RTD("tos.rtd",,"OPEN_INT","."&amp;B$2&amp;B$1&amp;"C"&amp;$A24)="N/A",0,RTD("tos.rtd",,"OPEN_INT","."&amp;B$2&amp;B$1&amp;"C"&amp;$A24)),0)+IF($A$4&lt;$A24,($A24-$A$4)*IF(RTD("tos.rtd",,"OPEN_INT","."&amp;B$2&amp;B$1&amp;"P"&amp;$A24)="N/A",0,RTD("tos.rtd",,"OPEN_INT","."&amp;B$2&amp;B$1&amp;"P"&amp;$A24)),0),IF(RTD("tos.rtd",,$A$2,"."&amp;B$2&amp;B$1&amp;"C"&amp;$A24)="N/A",0,RTD("tos.rtd",,$A$2,"."&amp;B$2&amp;B$1&amp;"C"&amp;$A24))-IF(RTD("tos.rtd",,$A$2,"."&amp;B$2&amp;B$1&amp;"P"&amp;$A24)="N/A",0,RTD("tos.rtd",,$A$2,"."&amp;B$2&amp;B$1&amp;"P"&amp;$A24)))))))))</f>
        <v>0</v>
      </c>
      <c r="C24" s="12">
        <f>IF($A$2="PREMIUM_OI",IFERROR((100*RTD("tos.rtd",,"OPEN_INT","."&amp;C$2&amp;C$1&amp;"C"&amp;$A24)*RTD("tos.rtd",,"LAST","."&amp;C$2&amp;C$1&amp;"C"&amp;$A24)-100*RTD("tos.rtd",,"OPEN_INT","."&amp;C$2&amp;C$1&amp;"P"&amp;$A24)*RTD("tos.rtd",,"LAST","."&amp;C$2&amp;C$1&amp;"P"&amp;$A24))/1000000,0),IF($A$2="PREMIUM",IFERROR((100*RTD("tos.rtd",,"VOLUME","."&amp;C$2&amp;C$1&amp;"C"&amp;$A24)*RTD("tos.rtd",,"LAST","."&amp;C$2&amp;C$1&amp;"C"&amp;$A24)-100*RTD("tos.rtd",,"VOLUME","."&amp;C$2&amp;C$1&amp;"P"&amp;$A24)*RTD("tos.rtd",,"LAST","."&amp;C$2&amp;C$1&amp;"P"&amp;$A24))/1000000,0),IF($A$2="DEX",IFERROR((100*RTD("tos.rtd",,"OPEN_INT","."&amp;C$2&amp;C$1&amp;"C"&amp;$A24)*RTD("tos.rtd",,"DELTA","."&amp;C$2&amp;C$1&amp;"C"&amp;$A24)-100*RTD("tos.rtd",,"OPEN_INT","."&amp;C$2&amp;C$1&amp;"P"&amp;$A24)*RTD("tos.rtd",,"DELTA","."&amp;C$2&amp;C$1&amp;"P"&amp;$A24))/1000,0),IF($A$2="VEX",IFERROR(($A$4*$A$4*RTD("tos.rtd",,"VOLUME","."&amp;C$2&amp;C$1&amp;"C"&amp;$A24)*RTD("tos.rtd",,"GAMMA","."&amp;C$2&amp;C$1&amp;"C"&amp;$A24)-$A$4*$A$4*RTD("tos.rtd",,"VOLUME","."&amp;C$2&amp;C$1&amp;"P"&amp;$A24)*RTD("tos.rtd",,"GAMMA","."&amp;C$2&amp;C$1&amp;"P"&amp;$A24))/1000000,0),IF($A$2="GEX",IFERROR(($A$4*$A$4*RTD("tos.rtd",,"OPEN_INT","."&amp;C$2&amp;C$1&amp;"C"&amp;$A24)*RTD("tos.rtd",,"GAMMA","."&amp;C$2&amp;C$1&amp;"C"&amp;$A24)-$A$4*$A$4*RTD("tos.rtd",,"OPEN_INT","."&amp;C$2&amp;C$1&amp;"P"&amp;$A24)*RTD("tos.rtd",,"GAMMA","."&amp;C$2&amp;C$1&amp;"P"&amp;$A24))/1000000,0),IF($A$2="SKEW",IFERROR(VALUE(IF(RTD("tos.rtd",,"IMPL_VOL","."&amp;C$2&amp;C$1&amp;"P"&amp;$A24)="N/A",0,RTD("tos.rtd",,"IMPL_VOL","."&amp;C$2&amp;C$1&amp;"P"&amp;$A24))),0)-IFERROR(VALUE(IF(RTD("tos.rtd",,"IMPL_VOL","."&amp;C$2&amp;C$1&amp;"C"&amp;$A24)="N/A",0,RTD("tos.rtd",,"IMPL_VOL","."&amp;C$2&amp;C$1&amp;"C"&amp;$A24))),0),IF($A$2="MAXPAIN",IF($A$4&gt;$A24,($A$4-$A24)*IF(RTD("tos.rtd",,"OPEN_INT","."&amp;C$2&amp;C$1&amp;"C"&amp;$A24)="N/A",0,RTD("tos.rtd",,"OPEN_INT","."&amp;C$2&amp;C$1&amp;"C"&amp;$A24)),0)+IF($A$4&lt;$A24,($A24-$A$4)*IF(RTD("tos.rtd",,"OPEN_INT","."&amp;C$2&amp;C$1&amp;"P"&amp;$A24)="N/A",0,RTD("tos.rtd",,"OPEN_INT","."&amp;C$2&amp;C$1&amp;"P"&amp;$A24)),0),IF(RTD("tos.rtd",,$A$2,"."&amp;C$2&amp;C$1&amp;"C"&amp;$A24)="N/A",0,RTD("tos.rtd",,$A$2,"."&amp;C$2&amp;C$1&amp;"C"&amp;$A24))-IF(RTD("tos.rtd",,$A$2,"."&amp;C$2&amp;C$1&amp;"P"&amp;$A24)="N/A",0,RTD("tos.rtd",,$A$2,"."&amp;C$2&amp;C$1&amp;"P"&amp;$A24)))))))))</f>
        <v>64867</v>
      </c>
      <c r="D24" s="12">
        <f>IF($A$2="PREMIUM_OI",IFERROR((100*RTD("tos.rtd",,"OPEN_INT","."&amp;D$2&amp;D$1&amp;"C"&amp;$A24)*RTD("tos.rtd",,"LAST","."&amp;D$2&amp;D$1&amp;"C"&amp;$A24)-100*RTD("tos.rtd",,"OPEN_INT","."&amp;D$2&amp;D$1&amp;"P"&amp;$A24)*RTD("tos.rtd",,"LAST","."&amp;D$2&amp;D$1&amp;"P"&amp;$A24))/1000000,0),IF($A$2="PREMIUM",IFERROR((100*RTD("tos.rtd",,"VOLUME","."&amp;D$2&amp;D$1&amp;"C"&amp;$A24)*RTD("tos.rtd",,"LAST","."&amp;D$2&amp;D$1&amp;"C"&amp;$A24)-100*RTD("tos.rtd",,"VOLUME","."&amp;D$2&amp;D$1&amp;"P"&amp;$A24)*RTD("tos.rtd",,"LAST","."&amp;D$2&amp;D$1&amp;"P"&amp;$A24))/1000000,0),IF($A$2="DEX",IFERROR((100*RTD("tos.rtd",,"OPEN_INT","."&amp;D$2&amp;D$1&amp;"C"&amp;$A24)*RTD("tos.rtd",,"DELTA","."&amp;D$2&amp;D$1&amp;"C"&amp;$A24)-100*RTD("tos.rtd",,"OPEN_INT","."&amp;D$2&amp;D$1&amp;"P"&amp;$A24)*RTD("tos.rtd",,"DELTA","."&amp;D$2&amp;D$1&amp;"P"&amp;$A24))/1000,0),IF($A$2="VEX",IFERROR(($A$4*$A$4*RTD("tos.rtd",,"VOLUME","."&amp;D$2&amp;D$1&amp;"C"&amp;$A24)*RTD("tos.rtd",,"GAMMA","."&amp;D$2&amp;D$1&amp;"C"&amp;$A24)-$A$4*$A$4*RTD("tos.rtd",,"VOLUME","."&amp;D$2&amp;D$1&amp;"P"&amp;$A24)*RTD("tos.rtd",,"GAMMA","."&amp;D$2&amp;D$1&amp;"P"&amp;$A24))/1000000,0),IF($A$2="GEX",IFERROR(($A$4*$A$4*RTD("tos.rtd",,"OPEN_INT","."&amp;D$2&amp;D$1&amp;"C"&amp;$A24)*RTD("tos.rtd",,"GAMMA","."&amp;D$2&amp;D$1&amp;"C"&amp;$A24)-$A$4*$A$4*RTD("tos.rtd",,"OPEN_INT","."&amp;D$2&amp;D$1&amp;"P"&amp;$A24)*RTD("tos.rtd",,"GAMMA","."&amp;D$2&amp;D$1&amp;"P"&amp;$A24))/1000000,0),IF($A$2="SKEW",IFERROR(VALUE(IF(RTD("tos.rtd",,"IMPL_VOL","."&amp;D$2&amp;D$1&amp;"P"&amp;$A24)="N/A",0,RTD("tos.rtd",,"IMPL_VOL","."&amp;D$2&amp;D$1&amp;"P"&amp;$A24))),0)-IFERROR(VALUE(IF(RTD("tos.rtd",,"IMPL_VOL","."&amp;D$2&amp;D$1&amp;"C"&amp;$A24)="N/A",0,RTD("tos.rtd",,"IMPL_VOL","."&amp;D$2&amp;D$1&amp;"C"&amp;$A24))),0),IF($A$2="MAXPAIN",IF($A$4&gt;$A24,($A$4-$A24)*IF(RTD("tos.rtd",,"OPEN_INT","."&amp;D$2&amp;D$1&amp;"C"&amp;$A24)="N/A",0,RTD("tos.rtd",,"OPEN_INT","."&amp;D$2&amp;D$1&amp;"C"&amp;$A24)),0)+IF($A$4&lt;$A24,($A24-$A$4)*IF(RTD("tos.rtd",,"OPEN_INT","."&amp;D$2&amp;D$1&amp;"P"&amp;$A24)="N/A",0,RTD("tos.rtd",,"OPEN_INT","."&amp;D$2&amp;D$1&amp;"P"&amp;$A24)),0),IF(RTD("tos.rtd",,$A$2,"."&amp;D$2&amp;D$1&amp;"C"&amp;$A24)="N/A",0,RTD("tos.rtd",,$A$2,"."&amp;D$2&amp;D$1&amp;"C"&amp;$A24))-IF(RTD("tos.rtd",,$A$2,"."&amp;D$2&amp;D$1&amp;"P"&amp;$A24)="N/A",0,RTD("tos.rtd",,$A$2,"."&amp;D$2&amp;D$1&amp;"P"&amp;$A24)))))))))</f>
        <v>0</v>
      </c>
      <c r="E24" s="12">
        <f>IF($A$2="PREMIUM_OI",IFERROR((100*RTD("tos.rtd",,"OPEN_INT","."&amp;E$2&amp;E$1&amp;"C"&amp;$A24)*RTD("tos.rtd",,"LAST","."&amp;E$2&amp;E$1&amp;"C"&amp;$A24)-100*RTD("tos.rtd",,"OPEN_INT","."&amp;E$2&amp;E$1&amp;"P"&amp;$A24)*RTD("tos.rtd",,"LAST","."&amp;E$2&amp;E$1&amp;"P"&amp;$A24))/1000000,0),IF($A$2="PREMIUM",IFERROR((100*RTD("tos.rtd",,"VOLUME","."&amp;E$2&amp;E$1&amp;"C"&amp;$A24)*RTD("tos.rtd",,"LAST","."&amp;E$2&amp;E$1&amp;"C"&amp;$A24)-100*RTD("tos.rtd",,"VOLUME","."&amp;E$2&amp;E$1&amp;"P"&amp;$A24)*RTD("tos.rtd",,"LAST","."&amp;E$2&amp;E$1&amp;"P"&amp;$A24))/1000000,0),IF($A$2="DEX",IFERROR((100*RTD("tos.rtd",,"OPEN_INT","."&amp;E$2&amp;E$1&amp;"C"&amp;$A24)*RTD("tos.rtd",,"DELTA","."&amp;E$2&amp;E$1&amp;"C"&amp;$A24)-100*RTD("tos.rtd",,"OPEN_INT","."&amp;E$2&amp;E$1&amp;"P"&amp;$A24)*RTD("tos.rtd",,"DELTA","."&amp;E$2&amp;E$1&amp;"P"&amp;$A24))/1000,0),IF($A$2="VEX",IFERROR(($A$4*$A$4*RTD("tos.rtd",,"VOLUME","."&amp;E$2&amp;E$1&amp;"C"&amp;$A24)*RTD("tos.rtd",,"GAMMA","."&amp;E$2&amp;E$1&amp;"C"&amp;$A24)-$A$4*$A$4*RTD("tos.rtd",,"VOLUME","."&amp;E$2&amp;E$1&amp;"P"&amp;$A24)*RTD("tos.rtd",,"GAMMA","."&amp;E$2&amp;E$1&amp;"P"&amp;$A24))/1000000,0),IF($A$2="GEX",IFERROR(($A$4*$A$4*RTD("tos.rtd",,"OPEN_INT","."&amp;E$2&amp;E$1&amp;"C"&amp;$A24)*RTD("tos.rtd",,"GAMMA","."&amp;E$2&amp;E$1&amp;"C"&amp;$A24)-$A$4*$A$4*RTD("tos.rtd",,"OPEN_INT","."&amp;E$2&amp;E$1&amp;"P"&amp;$A24)*RTD("tos.rtd",,"GAMMA","."&amp;E$2&amp;E$1&amp;"P"&amp;$A24))/1000000,0),IF($A$2="SKEW",IFERROR(VALUE(IF(RTD("tos.rtd",,"IMPL_VOL","."&amp;E$2&amp;E$1&amp;"P"&amp;$A24)="N/A",0,RTD("tos.rtd",,"IMPL_VOL","."&amp;E$2&amp;E$1&amp;"P"&amp;$A24))),0)-IFERROR(VALUE(IF(RTD("tos.rtd",,"IMPL_VOL","."&amp;E$2&amp;E$1&amp;"C"&amp;$A24)="N/A",0,RTD("tos.rtd",,"IMPL_VOL","."&amp;E$2&amp;E$1&amp;"C"&amp;$A24))),0),IF($A$2="MAXPAIN",IF($A$4&gt;$A24,($A$4-$A24)*IF(RTD("tos.rtd",,"OPEN_INT","."&amp;E$2&amp;E$1&amp;"C"&amp;$A24)="N/A",0,RTD("tos.rtd",,"OPEN_INT","."&amp;E$2&amp;E$1&amp;"C"&amp;$A24)),0)+IF($A$4&lt;$A24,($A24-$A$4)*IF(RTD("tos.rtd",,"OPEN_INT","."&amp;E$2&amp;E$1&amp;"P"&amp;$A24)="N/A",0,RTD("tos.rtd",,"OPEN_INT","."&amp;E$2&amp;E$1&amp;"P"&amp;$A24)),0),IF(RTD("tos.rtd",,$A$2,"."&amp;E$2&amp;E$1&amp;"C"&amp;$A24)="N/A",0,RTD("tos.rtd",,$A$2,"."&amp;E$2&amp;E$1&amp;"C"&amp;$A24))-IF(RTD("tos.rtd",,$A$2,"."&amp;E$2&amp;E$1&amp;"P"&amp;$A24)="N/A",0,RTD("tos.rtd",,$A$2,"."&amp;E$2&amp;E$1&amp;"P"&amp;$A24)))))))))</f>
        <v>0</v>
      </c>
      <c r="F24" s="12">
        <f>IF($A$2="PREMIUM_OI",IFERROR((100*RTD("tos.rtd",,"OPEN_INT","."&amp;F$2&amp;F$1&amp;"C"&amp;$A24)*RTD("tos.rtd",,"LAST","."&amp;F$2&amp;F$1&amp;"C"&amp;$A24)-100*RTD("tos.rtd",,"OPEN_INT","."&amp;F$2&amp;F$1&amp;"P"&amp;$A24)*RTD("tos.rtd",,"LAST","."&amp;F$2&amp;F$1&amp;"P"&amp;$A24))/1000000,0),IF($A$2="PREMIUM",IFERROR((100*RTD("tos.rtd",,"VOLUME","."&amp;F$2&amp;F$1&amp;"C"&amp;$A24)*RTD("tos.rtd",,"LAST","."&amp;F$2&amp;F$1&amp;"C"&amp;$A24)-100*RTD("tos.rtd",,"VOLUME","."&amp;F$2&amp;F$1&amp;"P"&amp;$A24)*RTD("tos.rtd",,"LAST","."&amp;F$2&amp;F$1&amp;"P"&amp;$A24))/1000000,0),IF($A$2="DEX",IFERROR((100*RTD("tos.rtd",,"OPEN_INT","."&amp;F$2&amp;F$1&amp;"C"&amp;$A24)*RTD("tos.rtd",,"DELTA","."&amp;F$2&amp;F$1&amp;"C"&amp;$A24)-100*RTD("tos.rtd",,"OPEN_INT","."&amp;F$2&amp;F$1&amp;"P"&amp;$A24)*RTD("tos.rtd",,"DELTA","."&amp;F$2&amp;F$1&amp;"P"&amp;$A24))/1000,0),IF($A$2="VEX",IFERROR(($A$4*$A$4*RTD("tos.rtd",,"VOLUME","."&amp;F$2&amp;F$1&amp;"C"&amp;$A24)*RTD("tos.rtd",,"GAMMA","."&amp;F$2&amp;F$1&amp;"C"&amp;$A24)-$A$4*$A$4*RTD("tos.rtd",,"VOLUME","."&amp;F$2&amp;F$1&amp;"P"&amp;$A24)*RTD("tos.rtd",,"GAMMA","."&amp;F$2&amp;F$1&amp;"P"&amp;$A24))/1000000,0),IF($A$2="GEX",IFERROR(($A$4*$A$4*RTD("tos.rtd",,"OPEN_INT","."&amp;F$2&amp;F$1&amp;"C"&amp;$A24)*RTD("tos.rtd",,"GAMMA","."&amp;F$2&amp;F$1&amp;"C"&amp;$A24)-$A$4*$A$4*RTD("tos.rtd",,"OPEN_INT","."&amp;F$2&amp;F$1&amp;"P"&amp;$A24)*RTD("tos.rtd",,"GAMMA","."&amp;F$2&amp;F$1&amp;"P"&amp;$A24))/1000000,0),IF($A$2="SKEW",IFERROR(VALUE(IF(RTD("tos.rtd",,"IMPL_VOL","."&amp;F$2&amp;F$1&amp;"P"&amp;$A24)="N/A",0,RTD("tos.rtd",,"IMPL_VOL","."&amp;F$2&amp;F$1&amp;"P"&amp;$A24))),0)-IFERROR(VALUE(IF(RTD("tos.rtd",,"IMPL_VOL","."&amp;F$2&amp;F$1&amp;"C"&amp;$A24)="N/A",0,RTD("tos.rtd",,"IMPL_VOL","."&amp;F$2&amp;F$1&amp;"C"&amp;$A24))),0),IF($A$2="MAXPAIN",IF($A$4&gt;$A24,($A$4-$A24)*IF(RTD("tos.rtd",,"OPEN_INT","."&amp;F$2&amp;F$1&amp;"C"&amp;$A24)="N/A",0,RTD("tos.rtd",,"OPEN_INT","."&amp;F$2&amp;F$1&amp;"C"&amp;$A24)),0)+IF($A$4&lt;$A24,($A24-$A$4)*IF(RTD("tos.rtd",,"OPEN_INT","."&amp;F$2&amp;F$1&amp;"P"&amp;$A24)="N/A",0,RTD("tos.rtd",,"OPEN_INT","."&amp;F$2&amp;F$1&amp;"P"&amp;$A24)),0),IF(RTD("tos.rtd",,$A$2,"."&amp;F$2&amp;F$1&amp;"C"&amp;$A24)="N/A",0,RTD("tos.rtd",,$A$2,"."&amp;F$2&amp;F$1&amp;"C"&amp;$A24))-IF(RTD("tos.rtd",,$A$2,"."&amp;F$2&amp;F$1&amp;"P"&amp;$A24)="N/A",0,RTD("tos.rtd",,$A$2,"."&amp;F$2&amp;F$1&amp;"P"&amp;$A24)))))))))</f>
        <v>0</v>
      </c>
      <c r="G24" s="14">
        <f>IF($A$2="PREMIUM_OI",IFERROR((100*RTD("tos.rtd",,"OPEN_INT","."&amp;G$2&amp;G$1&amp;"C"&amp;$A24)*RTD("tos.rtd",,"LAST","."&amp;G$2&amp;G$1&amp;"C"&amp;$A24)-100*RTD("tos.rtd",,"OPEN_INT","."&amp;G$2&amp;G$1&amp;"P"&amp;$A24)*RTD("tos.rtd",,"LAST","."&amp;G$2&amp;G$1&amp;"P"&amp;$A24))/1000000,0),IF($A$2="PREMIUM",IFERROR((100*RTD("tos.rtd",,"VOLUME","."&amp;G$2&amp;G$1&amp;"C"&amp;$A24)*RTD("tos.rtd",,"LAST","."&amp;G$2&amp;G$1&amp;"C"&amp;$A24)-100*RTD("tos.rtd",,"VOLUME","."&amp;G$2&amp;G$1&amp;"P"&amp;$A24)*RTD("tos.rtd",,"LAST","."&amp;G$2&amp;G$1&amp;"P"&amp;$A24))/1000000,0),IF($A$2="DEX",IFERROR((100*RTD("tos.rtd",,"OPEN_INT","."&amp;G$2&amp;G$1&amp;"C"&amp;$A24)*RTD("tos.rtd",,"DELTA","."&amp;G$2&amp;G$1&amp;"C"&amp;$A24)-100*RTD("tos.rtd",,"OPEN_INT","."&amp;G$2&amp;G$1&amp;"P"&amp;$A24)*RTD("tos.rtd",,"DELTA","."&amp;G$2&amp;G$1&amp;"P"&amp;$A24))/1000,0),IF($A$2="VEX",IFERROR(($A$4*$A$4*RTD("tos.rtd",,"VOLUME","."&amp;G$2&amp;G$1&amp;"C"&amp;$A24)*RTD("tos.rtd",,"GAMMA","."&amp;G$2&amp;G$1&amp;"C"&amp;$A24)-$A$4*$A$4*RTD("tos.rtd",,"VOLUME","."&amp;G$2&amp;G$1&amp;"P"&amp;$A24)*RTD("tos.rtd",,"GAMMA","."&amp;G$2&amp;G$1&amp;"P"&amp;$A24))/1000000,0),IF($A$2="GEX",IFERROR(($A$4*$A$4*RTD("tos.rtd",,"OPEN_INT","."&amp;G$2&amp;G$1&amp;"C"&amp;$A24)*RTD("tos.rtd",,"GAMMA","."&amp;G$2&amp;G$1&amp;"C"&amp;$A24)-$A$4*$A$4*RTD("tos.rtd",,"OPEN_INT","."&amp;G$2&amp;G$1&amp;"P"&amp;$A24)*RTD("tos.rtd",,"GAMMA","."&amp;G$2&amp;G$1&amp;"P"&amp;$A24))/1000000,0),IF($A$2="SKEW",IFERROR(VALUE(IF(RTD("tos.rtd",,"IMPL_VOL","."&amp;G$2&amp;G$1&amp;"P"&amp;$A24)="N/A",0,RTD("tos.rtd",,"IMPL_VOL","."&amp;G$2&amp;G$1&amp;"P"&amp;$A24))),0)-IFERROR(VALUE(IF(RTD("tos.rtd",,"IMPL_VOL","."&amp;G$2&amp;G$1&amp;"C"&amp;$A24)="N/A",0,RTD("tos.rtd",,"IMPL_VOL","."&amp;G$2&amp;G$1&amp;"C"&amp;$A24))),0),IF($A$2="MAXPAIN",IF($A$4&gt;$A24,($A$4-$A24)*IF(RTD("tos.rtd",,"OPEN_INT","."&amp;G$2&amp;G$1&amp;"C"&amp;$A24)="N/A",0,RTD("tos.rtd",,"OPEN_INT","."&amp;G$2&amp;G$1&amp;"C"&amp;$A24)),0)+IF($A$4&lt;$A24,($A24-$A$4)*IF(RTD("tos.rtd",,"OPEN_INT","."&amp;G$2&amp;G$1&amp;"P"&amp;$A24)="N/A",0,RTD("tos.rtd",,"OPEN_INT","."&amp;G$2&amp;G$1&amp;"P"&amp;$A24)),0),IF(RTD("tos.rtd",,$A$2,"."&amp;G$2&amp;G$1&amp;"C"&amp;$A24)="N/A",0,RTD("tos.rtd",,$A$2,"."&amp;G$2&amp;G$1&amp;"C"&amp;$A24))-IF(RTD("tos.rtd",,$A$2,"."&amp;G$2&amp;G$1&amp;"P"&amp;$A24)="N/A",0,RTD("tos.rtd",,$A$2,"."&amp;G$2&amp;G$1&amp;"P"&amp;$A24)))))))))</f>
        <v>0</v>
      </c>
      <c r="H24" s="12">
        <f>IF($A$2="PREMIUM_OI",IFERROR((100*RTD("tos.rtd",,"OPEN_INT","."&amp;H$2&amp;H$1&amp;"C"&amp;$A24)*RTD("tos.rtd",,"LAST","."&amp;H$2&amp;H$1&amp;"C"&amp;$A24)-100*RTD("tos.rtd",,"OPEN_INT","."&amp;H$2&amp;H$1&amp;"P"&amp;$A24)*RTD("tos.rtd",,"LAST","."&amp;H$2&amp;H$1&amp;"P"&amp;$A24))/1000000,0),IF($A$2="PREMIUM",IFERROR((100*RTD("tos.rtd",,"VOLUME","."&amp;H$2&amp;H$1&amp;"C"&amp;$A24)*RTD("tos.rtd",,"LAST","."&amp;H$2&amp;H$1&amp;"C"&amp;$A24)-100*RTD("tos.rtd",,"VOLUME","."&amp;H$2&amp;H$1&amp;"P"&amp;$A24)*RTD("tos.rtd",,"LAST","."&amp;H$2&amp;H$1&amp;"P"&amp;$A24))/1000000,0),IF($A$2="DEX",IFERROR((100*RTD("tos.rtd",,"OPEN_INT","."&amp;H$2&amp;H$1&amp;"C"&amp;$A24)*RTD("tos.rtd",,"DELTA","."&amp;H$2&amp;H$1&amp;"C"&amp;$A24)-100*RTD("tos.rtd",,"OPEN_INT","."&amp;H$2&amp;H$1&amp;"P"&amp;$A24)*RTD("tos.rtd",,"DELTA","."&amp;H$2&amp;H$1&amp;"P"&amp;$A24))/1000,0),IF($A$2="VEX",IFERROR(($A$4*$A$4*RTD("tos.rtd",,"VOLUME","."&amp;H$2&amp;H$1&amp;"C"&amp;$A24)*RTD("tos.rtd",,"GAMMA","."&amp;H$2&amp;H$1&amp;"C"&amp;$A24)-$A$4*$A$4*RTD("tos.rtd",,"VOLUME","."&amp;H$2&amp;H$1&amp;"P"&amp;$A24)*RTD("tos.rtd",,"GAMMA","."&amp;H$2&amp;H$1&amp;"P"&amp;$A24))/1000000,0),IF($A$2="GEX",IFERROR(($A$4*$A$4*RTD("tos.rtd",,"OPEN_INT","."&amp;H$2&amp;H$1&amp;"C"&amp;$A24)*RTD("tos.rtd",,"GAMMA","."&amp;H$2&amp;H$1&amp;"C"&amp;$A24)-$A$4*$A$4*RTD("tos.rtd",,"OPEN_INT","."&amp;H$2&amp;H$1&amp;"P"&amp;$A24)*RTD("tos.rtd",,"GAMMA","."&amp;H$2&amp;H$1&amp;"P"&amp;$A24))/1000000,0),IF($A$2="SKEW",IFERROR(VALUE(IF(RTD("tos.rtd",,"IMPL_VOL","."&amp;H$2&amp;H$1&amp;"P"&amp;$A24)="N/A",0,RTD("tos.rtd",,"IMPL_VOL","."&amp;H$2&amp;H$1&amp;"P"&amp;$A24))),0)-IFERROR(VALUE(IF(RTD("tos.rtd",,"IMPL_VOL","."&amp;H$2&amp;H$1&amp;"C"&amp;$A24)="N/A",0,RTD("tos.rtd",,"IMPL_VOL","."&amp;H$2&amp;H$1&amp;"C"&amp;$A24))),0),IF($A$2="MAXPAIN",IF($A$4&gt;$A24,($A$4-$A24)*IF(RTD("tos.rtd",,"OPEN_INT","."&amp;H$2&amp;H$1&amp;"C"&amp;$A24)="N/A",0,RTD("tos.rtd",,"OPEN_INT","."&amp;H$2&amp;H$1&amp;"C"&amp;$A24)),0)+IF($A$4&lt;$A24,($A24-$A$4)*IF(RTD("tos.rtd",,"OPEN_INT","."&amp;H$2&amp;H$1&amp;"P"&amp;$A24)="N/A",0,RTD("tos.rtd",,"OPEN_INT","."&amp;H$2&amp;H$1&amp;"P"&amp;$A24)),0),IF(RTD("tos.rtd",,$A$2,"."&amp;H$2&amp;H$1&amp;"C"&amp;$A24)="N/A",0,RTD("tos.rtd",,$A$2,"."&amp;H$2&amp;H$1&amp;"C"&amp;$A24))-IF(RTD("tos.rtd",,$A$2,"."&amp;H$2&amp;H$1&amp;"P"&amp;$A24)="N/A",0,RTD("tos.rtd",,$A$2,"."&amp;H$2&amp;H$1&amp;"P"&amp;$A24)))))))))</f>
        <v>59667</v>
      </c>
      <c r="I24" s="12">
        <f>IF($A$2="PREMIUM_OI",IFERROR((100*RTD("tos.rtd",,"OPEN_INT","."&amp;I$2&amp;I$1&amp;"C"&amp;$A24)*RTD("tos.rtd",,"LAST","."&amp;I$2&amp;I$1&amp;"C"&amp;$A24)-100*RTD("tos.rtd",,"OPEN_INT","."&amp;I$2&amp;I$1&amp;"P"&amp;$A24)*RTD("tos.rtd",,"LAST","."&amp;I$2&amp;I$1&amp;"P"&amp;$A24))/1000000,0),IF($A$2="PREMIUM",IFERROR((100*RTD("tos.rtd",,"VOLUME","."&amp;I$2&amp;I$1&amp;"C"&amp;$A24)*RTD("tos.rtd",,"LAST","."&amp;I$2&amp;I$1&amp;"C"&amp;$A24)-100*RTD("tos.rtd",,"VOLUME","."&amp;I$2&amp;I$1&amp;"P"&amp;$A24)*RTD("tos.rtd",,"LAST","."&amp;I$2&amp;I$1&amp;"P"&amp;$A24))/1000000,0),IF($A$2="DEX",IFERROR((100*RTD("tos.rtd",,"OPEN_INT","."&amp;I$2&amp;I$1&amp;"C"&amp;$A24)*RTD("tos.rtd",,"DELTA","."&amp;I$2&amp;I$1&amp;"C"&amp;$A24)-100*RTD("tos.rtd",,"OPEN_INT","."&amp;I$2&amp;I$1&amp;"P"&amp;$A24)*RTD("tos.rtd",,"DELTA","."&amp;I$2&amp;I$1&amp;"P"&amp;$A24))/1000,0),IF($A$2="VEX",IFERROR(($A$4*$A$4*RTD("tos.rtd",,"VOLUME","."&amp;I$2&amp;I$1&amp;"C"&amp;$A24)*RTD("tos.rtd",,"GAMMA","."&amp;I$2&amp;I$1&amp;"C"&amp;$A24)-$A$4*$A$4*RTD("tos.rtd",,"VOLUME","."&amp;I$2&amp;I$1&amp;"P"&amp;$A24)*RTD("tos.rtd",,"GAMMA","."&amp;I$2&amp;I$1&amp;"P"&amp;$A24))/1000000,0),IF($A$2="GEX",IFERROR(($A$4*$A$4*RTD("tos.rtd",,"OPEN_INT","."&amp;I$2&amp;I$1&amp;"C"&amp;$A24)*RTD("tos.rtd",,"GAMMA","."&amp;I$2&amp;I$1&amp;"C"&amp;$A24)-$A$4*$A$4*RTD("tos.rtd",,"OPEN_INT","."&amp;I$2&amp;I$1&amp;"P"&amp;$A24)*RTD("tos.rtd",,"GAMMA","."&amp;I$2&amp;I$1&amp;"P"&amp;$A24))/1000000,0),IF($A$2="SKEW",IFERROR(VALUE(IF(RTD("tos.rtd",,"IMPL_VOL","."&amp;I$2&amp;I$1&amp;"P"&amp;$A24)="N/A",0,RTD("tos.rtd",,"IMPL_VOL","."&amp;I$2&amp;I$1&amp;"P"&amp;$A24))),0)-IFERROR(VALUE(IF(RTD("tos.rtd",,"IMPL_VOL","."&amp;I$2&amp;I$1&amp;"C"&amp;$A24)="N/A",0,RTD("tos.rtd",,"IMPL_VOL","."&amp;I$2&amp;I$1&amp;"C"&amp;$A24))),0),IF($A$2="MAXPAIN",IF($A$4&gt;$A24,($A$4-$A24)*IF(RTD("tos.rtd",,"OPEN_INT","."&amp;I$2&amp;I$1&amp;"C"&amp;$A24)="N/A",0,RTD("tos.rtd",,"OPEN_INT","."&amp;I$2&amp;I$1&amp;"C"&amp;$A24)),0)+IF($A$4&lt;$A24,($A24-$A$4)*IF(RTD("tos.rtd",,"OPEN_INT","."&amp;I$2&amp;I$1&amp;"P"&amp;$A24)="N/A",0,RTD("tos.rtd",,"OPEN_INT","."&amp;I$2&amp;I$1&amp;"P"&amp;$A24)),0),IF(RTD("tos.rtd",,$A$2,"."&amp;I$2&amp;I$1&amp;"C"&amp;$A24)="N/A",0,RTD("tos.rtd",,$A$2,"."&amp;I$2&amp;I$1&amp;"C"&amp;$A24))-IF(RTD("tos.rtd",,$A$2,"."&amp;I$2&amp;I$1&amp;"P"&amp;$A24)="N/A",0,RTD("tos.rtd",,$A$2,"."&amp;I$2&amp;I$1&amp;"P"&amp;$A24)))))))))</f>
        <v>0</v>
      </c>
      <c r="J24" s="12">
        <f>IF($A$2="PREMIUM_OI",IFERROR((100*RTD("tos.rtd",,"OPEN_INT","."&amp;J$2&amp;J$1&amp;"C"&amp;$A24)*RTD("tos.rtd",,"LAST","."&amp;J$2&amp;J$1&amp;"C"&amp;$A24)-100*RTD("tos.rtd",,"OPEN_INT","."&amp;J$2&amp;J$1&amp;"P"&amp;$A24)*RTD("tos.rtd",,"LAST","."&amp;J$2&amp;J$1&amp;"P"&amp;$A24))/1000000,0),IF($A$2="PREMIUM",IFERROR((100*RTD("tos.rtd",,"VOLUME","."&amp;J$2&amp;J$1&amp;"C"&amp;$A24)*RTD("tos.rtd",,"LAST","."&amp;J$2&amp;J$1&amp;"C"&amp;$A24)-100*RTD("tos.rtd",,"VOLUME","."&amp;J$2&amp;J$1&amp;"P"&amp;$A24)*RTD("tos.rtd",,"LAST","."&amp;J$2&amp;J$1&amp;"P"&amp;$A24))/1000000,0),IF($A$2="DEX",IFERROR((100*RTD("tos.rtd",,"OPEN_INT","."&amp;J$2&amp;J$1&amp;"C"&amp;$A24)*RTD("tos.rtd",,"DELTA","."&amp;J$2&amp;J$1&amp;"C"&amp;$A24)-100*RTD("tos.rtd",,"OPEN_INT","."&amp;J$2&amp;J$1&amp;"P"&amp;$A24)*RTD("tos.rtd",,"DELTA","."&amp;J$2&amp;J$1&amp;"P"&amp;$A24))/1000,0),IF($A$2="VEX",IFERROR(($A$4*$A$4*RTD("tos.rtd",,"VOLUME","."&amp;J$2&amp;J$1&amp;"C"&amp;$A24)*RTD("tos.rtd",,"GAMMA","."&amp;J$2&amp;J$1&amp;"C"&amp;$A24)-$A$4*$A$4*RTD("tos.rtd",,"VOLUME","."&amp;J$2&amp;J$1&amp;"P"&amp;$A24)*RTD("tos.rtd",,"GAMMA","."&amp;J$2&amp;J$1&amp;"P"&amp;$A24))/1000000,0),IF($A$2="GEX",IFERROR(($A$4*$A$4*RTD("tos.rtd",,"OPEN_INT","."&amp;J$2&amp;J$1&amp;"C"&amp;$A24)*RTD("tos.rtd",,"GAMMA","."&amp;J$2&amp;J$1&amp;"C"&amp;$A24)-$A$4*$A$4*RTD("tos.rtd",,"OPEN_INT","."&amp;J$2&amp;J$1&amp;"P"&amp;$A24)*RTD("tos.rtd",,"GAMMA","."&amp;J$2&amp;J$1&amp;"P"&amp;$A24))/1000000,0),IF($A$2="SKEW",IFERROR(VALUE(IF(RTD("tos.rtd",,"IMPL_VOL","."&amp;J$2&amp;J$1&amp;"P"&amp;$A24)="N/A",0,RTD("tos.rtd",,"IMPL_VOL","."&amp;J$2&amp;J$1&amp;"P"&amp;$A24))),0)-IFERROR(VALUE(IF(RTD("tos.rtd",,"IMPL_VOL","."&amp;J$2&amp;J$1&amp;"C"&amp;$A24)="N/A",0,RTD("tos.rtd",,"IMPL_VOL","."&amp;J$2&amp;J$1&amp;"C"&amp;$A24))),0),IF($A$2="MAXPAIN",IF($A$4&gt;$A24,($A$4-$A24)*IF(RTD("tos.rtd",,"OPEN_INT","."&amp;J$2&amp;J$1&amp;"C"&amp;$A24)="N/A",0,RTD("tos.rtd",,"OPEN_INT","."&amp;J$2&amp;J$1&amp;"C"&amp;$A24)),0)+IF($A$4&lt;$A24,($A24-$A$4)*IF(RTD("tos.rtd",,"OPEN_INT","."&amp;J$2&amp;J$1&amp;"P"&amp;$A24)="N/A",0,RTD("tos.rtd",,"OPEN_INT","."&amp;J$2&amp;J$1&amp;"P"&amp;$A24)),0),IF(RTD("tos.rtd",,$A$2,"."&amp;J$2&amp;J$1&amp;"C"&amp;$A24)="N/A",0,RTD("tos.rtd",,$A$2,"."&amp;J$2&amp;J$1&amp;"C"&amp;$A24))-IF(RTD("tos.rtd",,$A$2,"."&amp;J$2&amp;J$1&amp;"P"&amp;$A24)="N/A",0,RTD("tos.rtd",,$A$2,"."&amp;J$2&amp;J$1&amp;"P"&amp;$A24)))))))))</f>
        <v>0</v>
      </c>
      <c r="K24" s="12">
        <f>IF($A$2="PREMIUM_OI",IFERROR((100*RTD("tos.rtd",,"OPEN_INT","."&amp;K$2&amp;K$1&amp;"C"&amp;$A24)*RTD("tos.rtd",,"LAST","."&amp;K$2&amp;K$1&amp;"C"&amp;$A24)-100*RTD("tos.rtd",,"OPEN_INT","."&amp;K$2&amp;K$1&amp;"P"&amp;$A24)*RTD("tos.rtd",,"LAST","."&amp;K$2&amp;K$1&amp;"P"&amp;$A24))/1000000,0),IF($A$2="PREMIUM",IFERROR((100*RTD("tos.rtd",,"VOLUME","."&amp;K$2&amp;K$1&amp;"C"&amp;$A24)*RTD("tos.rtd",,"LAST","."&amp;K$2&amp;K$1&amp;"C"&amp;$A24)-100*RTD("tos.rtd",,"VOLUME","."&amp;K$2&amp;K$1&amp;"P"&amp;$A24)*RTD("tos.rtd",,"LAST","."&amp;K$2&amp;K$1&amp;"P"&amp;$A24))/1000000,0),IF($A$2="DEX",IFERROR((100*RTD("tos.rtd",,"OPEN_INT","."&amp;K$2&amp;K$1&amp;"C"&amp;$A24)*RTD("tos.rtd",,"DELTA","."&amp;K$2&amp;K$1&amp;"C"&amp;$A24)-100*RTD("tos.rtd",,"OPEN_INT","."&amp;K$2&amp;K$1&amp;"P"&amp;$A24)*RTD("tos.rtd",,"DELTA","."&amp;K$2&amp;K$1&amp;"P"&amp;$A24))/1000,0),IF($A$2="VEX",IFERROR(($A$4*$A$4*RTD("tos.rtd",,"VOLUME","."&amp;K$2&amp;K$1&amp;"C"&amp;$A24)*RTD("tos.rtd",,"GAMMA","."&amp;K$2&amp;K$1&amp;"C"&amp;$A24)-$A$4*$A$4*RTD("tos.rtd",,"VOLUME","."&amp;K$2&amp;K$1&amp;"P"&amp;$A24)*RTD("tos.rtd",,"GAMMA","."&amp;K$2&amp;K$1&amp;"P"&amp;$A24))/1000000,0),IF($A$2="GEX",IFERROR(($A$4*$A$4*RTD("tos.rtd",,"OPEN_INT","."&amp;K$2&amp;K$1&amp;"C"&amp;$A24)*RTD("tos.rtd",,"GAMMA","."&amp;K$2&amp;K$1&amp;"C"&amp;$A24)-$A$4*$A$4*RTD("tos.rtd",,"OPEN_INT","."&amp;K$2&amp;K$1&amp;"P"&amp;$A24)*RTD("tos.rtd",,"GAMMA","."&amp;K$2&amp;K$1&amp;"P"&amp;$A24))/1000000,0),IF($A$2="SKEW",IFERROR(VALUE(IF(RTD("tos.rtd",,"IMPL_VOL","."&amp;K$2&amp;K$1&amp;"P"&amp;$A24)="N/A",0,RTD("tos.rtd",,"IMPL_VOL","."&amp;K$2&amp;K$1&amp;"P"&amp;$A24))),0)-IFERROR(VALUE(IF(RTD("tos.rtd",,"IMPL_VOL","."&amp;K$2&amp;K$1&amp;"C"&amp;$A24)="N/A",0,RTD("tos.rtd",,"IMPL_VOL","."&amp;K$2&amp;K$1&amp;"C"&amp;$A24))),0),IF($A$2="MAXPAIN",IF($A$4&gt;$A24,($A$4-$A24)*IF(RTD("tos.rtd",,"OPEN_INT","."&amp;K$2&amp;K$1&amp;"C"&amp;$A24)="N/A",0,RTD("tos.rtd",,"OPEN_INT","."&amp;K$2&amp;K$1&amp;"C"&amp;$A24)),0)+IF($A$4&lt;$A24,($A24-$A$4)*IF(RTD("tos.rtd",,"OPEN_INT","."&amp;K$2&amp;K$1&amp;"P"&amp;$A24)="N/A",0,RTD("tos.rtd",,"OPEN_INT","."&amp;K$2&amp;K$1&amp;"P"&amp;$A24)),0),IF(RTD("tos.rtd",,$A$2,"."&amp;K$2&amp;K$1&amp;"C"&amp;$A24)="N/A",0,RTD("tos.rtd",,$A$2,"."&amp;K$2&amp;K$1&amp;"C"&amp;$A24))-IF(RTD("tos.rtd",,$A$2,"."&amp;K$2&amp;K$1&amp;"P"&amp;$A24)="N/A",0,RTD("tos.rtd",,$A$2,"."&amp;K$2&amp;K$1&amp;"P"&amp;$A24)))))))))</f>
        <v>0</v>
      </c>
      <c r="L24" s="12">
        <f>IF($A$2="PREMIUM_OI",IFERROR((100*RTD("tos.rtd",,"OPEN_INT","."&amp;L$2&amp;L$1&amp;"C"&amp;$A24)*RTD("tos.rtd",,"LAST","."&amp;L$2&amp;L$1&amp;"C"&amp;$A24)-100*RTD("tos.rtd",,"OPEN_INT","."&amp;L$2&amp;L$1&amp;"P"&amp;$A24)*RTD("tos.rtd",,"LAST","."&amp;L$2&amp;L$1&amp;"P"&amp;$A24))/1000000,0),IF($A$2="PREMIUM",IFERROR((100*RTD("tos.rtd",,"VOLUME","."&amp;L$2&amp;L$1&amp;"C"&amp;$A24)*RTD("tos.rtd",,"LAST","."&amp;L$2&amp;L$1&amp;"C"&amp;$A24)-100*RTD("tos.rtd",,"VOLUME","."&amp;L$2&amp;L$1&amp;"P"&amp;$A24)*RTD("tos.rtd",,"LAST","."&amp;L$2&amp;L$1&amp;"P"&amp;$A24))/1000000,0),IF($A$2="DEX",IFERROR((100*RTD("tos.rtd",,"OPEN_INT","."&amp;L$2&amp;L$1&amp;"C"&amp;$A24)*RTD("tos.rtd",,"DELTA","."&amp;L$2&amp;L$1&amp;"C"&amp;$A24)-100*RTD("tos.rtd",,"OPEN_INT","."&amp;L$2&amp;L$1&amp;"P"&amp;$A24)*RTD("tos.rtd",,"DELTA","."&amp;L$2&amp;L$1&amp;"P"&amp;$A24))/1000,0),IF($A$2="VEX",IFERROR(($A$4*$A$4*RTD("tos.rtd",,"VOLUME","."&amp;L$2&amp;L$1&amp;"C"&amp;$A24)*RTD("tos.rtd",,"GAMMA","."&amp;L$2&amp;L$1&amp;"C"&amp;$A24)-$A$4*$A$4*RTD("tos.rtd",,"VOLUME","."&amp;L$2&amp;L$1&amp;"P"&amp;$A24)*RTD("tos.rtd",,"GAMMA","."&amp;L$2&amp;L$1&amp;"P"&amp;$A24))/1000000,0),IF($A$2="GEX",IFERROR(($A$4*$A$4*RTD("tos.rtd",,"OPEN_INT","."&amp;L$2&amp;L$1&amp;"C"&amp;$A24)*RTD("tos.rtd",,"GAMMA","."&amp;L$2&amp;L$1&amp;"C"&amp;$A24)-$A$4*$A$4*RTD("tos.rtd",,"OPEN_INT","."&amp;L$2&amp;L$1&amp;"P"&amp;$A24)*RTD("tos.rtd",,"GAMMA","."&amp;L$2&amp;L$1&amp;"P"&amp;$A24))/1000000,0),IF($A$2="SKEW",IFERROR(VALUE(IF(RTD("tos.rtd",,"IMPL_VOL","."&amp;L$2&amp;L$1&amp;"P"&amp;$A24)="N/A",0,RTD("tos.rtd",,"IMPL_VOL","."&amp;L$2&amp;L$1&amp;"P"&amp;$A24))),0)-IFERROR(VALUE(IF(RTD("tos.rtd",,"IMPL_VOL","."&amp;L$2&amp;L$1&amp;"C"&amp;$A24)="N/A",0,RTD("tos.rtd",,"IMPL_VOL","."&amp;L$2&amp;L$1&amp;"C"&amp;$A24))),0),IF($A$2="MAXPAIN",IF($A$4&gt;$A24,($A$4-$A24)*IF(RTD("tos.rtd",,"OPEN_INT","."&amp;L$2&amp;L$1&amp;"C"&amp;$A24)="N/A",0,RTD("tos.rtd",,"OPEN_INT","."&amp;L$2&amp;L$1&amp;"C"&amp;$A24)),0)+IF($A$4&lt;$A24,($A24-$A$4)*IF(RTD("tos.rtd",,"OPEN_INT","."&amp;L$2&amp;L$1&amp;"P"&amp;$A24)="N/A",0,RTD("tos.rtd",,"OPEN_INT","."&amp;L$2&amp;L$1&amp;"P"&amp;$A24)),0),IF(RTD("tos.rtd",,$A$2,"."&amp;L$2&amp;L$1&amp;"C"&amp;$A24)="N/A",0,RTD("tos.rtd",,$A$2,"."&amp;L$2&amp;L$1&amp;"C"&amp;$A24))-IF(RTD("tos.rtd",,$A$2,"."&amp;L$2&amp;L$1&amp;"P"&amp;$A24)="N/A",0,RTD("tos.rtd",,$A$2,"."&amp;L$2&amp;L$1&amp;"P"&amp;$A24)))))))))</f>
        <v>0</v>
      </c>
      <c r="M24" s="12">
        <f>IF($A$2="PREMIUM_OI",IFERROR((100*RTD("tos.rtd",,"OPEN_INT","."&amp;M$2&amp;M$1&amp;"C"&amp;$A24)*RTD("tos.rtd",,"LAST","."&amp;M$2&amp;M$1&amp;"C"&amp;$A24)-100*RTD("tos.rtd",,"OPEN_INT","."&amp;M$2&amp;M$1&amp;"P"&amp;$A24)*RTD("tos.rtd",,"LAST","."&amp;M$2&amp;M$1&amp;"P"&amp;$A24))/1000000,0),IF($A$2="PREMIUM",IFERROR((100*RTD("tos.rtd",,"VOLUME","."&amp;M$2&amp;M$1&amp;"C"&amp;$A24)*RTD("tos.rtd",,"LAST","."&amp;M$2&amp;M$1&amp;"C"&amp;$A24)-100*RTD("tos.rtd",,"VOLUME","."&amp;M$2&amp;M$1&amp;"P"&amp;$A24)*RTD("tos.rtd",,"LAST","."&amp;M$2&amp;M$1&amp;"P"&amp;$A24))/1000000,0),IF($A$2="DEX",IFERROR((100*RTD("tos.rtd",,"OPEN_INT","."&amp;M$2&amp;M$1&amp;"C"&amp;$A24)*RTD("tos.rtd",,"DELTA","."&amp;M$2&amp;M$1&amp;"C"&amp;$A24)-100*RTD("tos.rtd",,"OPEN_INT","."&amp;M$2&amp;M$1&amp;"P"&amp;$A24)*RTD("tos.rtd",,"DELTA","."&amp;M$2&amp;M$1&amp;"P"&amp;$A24))/1000,0),IF($A$2="VEX",IFERROR(($A$4*$A$4*RTD("tos.rtd",,"VOLUME","."&amp;M$2&amp;M$1&amp;"C"&amp;$A24)*RTD("tos.rtd",,"GAMMA","."&amp;M$2&amp;M$1&amp;"C"&amp;$A24)-$A$4*$A$4*RTD("tos.rtd",,"VOLUME","."&amp;M$2&amp;M$1&amp;"P"&amp;$A24)*RTD("tos.rtd",,"GAMMA","."&amp;M$2&amp;M$1&amp;"P"&amp;$A24))/1000000,0),IF($A$2="GEX",IFERROR(($A$4*$A$4*RTD("tos.rtd",,"OPEN_INT","."&amp;M$2&amp;M$1&amp;"C"&amp;$A24)*RTD("tos.rtd",,"GAMMA","."&amp;M$2&amp;M$1&amp;"C"&amp;$A24)-$A$4*$A$4*RTD("tos.rtd",,"OPEN_INT","."&amp;M$2&amp;M$1&amp;"P"&amp;$A24)*RTD("tos.rtd",,"GAMMA","."&amp;M$2&amp;M$1&amp;"P"&amp;$A24))/1000000,0),IF($A$2="SKEW",IFERROR(VALUE(IF(RTD("tos.rtd",,"IMPL_VOL","."&amp;M$2&amp;M$1&amp;"P"&amp;$A24)="N/A",0,RTD("tos.rtd",,"IMPL_VOL","."&amp;M$2&amp;M$1&amp;"P"&amp;$A24))),0)-IFERROR(VALUE(IF(RTD("tos.rtd",,"IMPL_VOL","."&amp;M$2&amp;M$1&amp;"C"&amp;$A24)="N/A",0,RTD("tos.rtd",,"IMPL_VOL","."&amp;M$2&amp;M$1&amp;"C"&amp;$A24))),0),IF($A$2="MAXPAIN",IF($A$4&gt;$A24,($A$4-$A24)*IF(RTD("tos.rtd",,"OPEN_INT","."&amp;M$2&amp;M$1&amp;"C"&amp;$A24)="N/A",0,RTD("tos.rtd",,"OPEN_INT","."&amp;M$2&amp;M$1&amp;"C"&amp;$A24)),0)+IF($A$4&lt;$A24,($A24-$A$4)*IF(RTD("tos.rtd",,"OPEN_INT","."&amp;M$2&amp;M$1&amp;"P"&amp;$A24)="N/A",0,RTD("tos.rtd",,"OPEN_INT","."&amp;M$2&amp;M$1&amp;"P"&amp;$A24)),0),IF(RTD("tos.rtd",,$A$2,"."&amp;M$2&amp;M$1&amp;"C"&amp;$A24)="N/A",0,RTD("tos.rtd",,$A$2,"."&amp;M$2&amp;M$1&amp;"C"&amp;$A24))-IF(RTD("tos.rtd",,$A$2,"."&amp;M$2&amp;M$1&amp;"P"&amp;$A24)="N/A",0,RTD("tos.rtd",,$A$2,"."&amp;M$2&amp;M$1&amp;"P"&amp;$A24)))))))))</f>
        <v>17687</v>
      </c>
      <c r="N24" s="12">
        <f>IF($A$2="PREMIUM_OI",IFERROR((100*RTD("tos.rtd",,"OPEN_INT","."&amp;N$2&amp;N$1&amp;"C"&amp;$A24)*RTD("tos.rtd",,"LAST","."&amp;N$2&amp;N$1&amp;"C"&amp;$A24)-100*RTD("tos.rtd",,"OPEN_INT","."&amp;N$2&amp;N$1&amp;"P"&amp;$A24)*RTD("tos.rtd",,"LAST","."&amp;N$2&amp;N$1&amp;"P"&amp;$A24))/1000000,0),IF($A$2="PREMIUM",IFERROR((100*RTD("tos.rtd",,"VOLUME","."&amp;N$2&amp;N$1&amp;"C"&amp;$A24)*RTD("tos.rtd",,"LAST","."&amp;N$2&amp;N$1&amp;"C"&amp;$A24)-100*RTD("tos.rtd",,"VOLUME","."&amp;N$2&amp;N$1&amp;"P"&amp;$A24)*RTD("tos.rtd",,"LAST","."&amp;N$2&amp;N$1&amp;"P"&amp;$A24))/1000000,0),IF($A$2="DEX",IFERROR((100*RTD("tos.rtd",,"OPEN_INT","."&amp;N$2&amp;N$1&amp;"C"&amp;$A24)*RTD("tos.rtd",,"DELTA","."&amp;N$2&amp;N$1&amp;"C"&amp;$A24)-100*RTD("tos.rtd",,"OPEN_INT","."&amp;N$2&amp;N$1&amp;"P"&amp;$A24)*RTD("tos.rtd",,"DELTA","."&amp;N$2&amp;N$1&amp;"P"&amp;$A24))/1000,0),IF($A$2="VEX",IFERROR(($A$4*$A$4*RTD("tos.rtd",,"VOLUME","."&amp;N$2&amp;N$1&amp;"C"&amp;$A24)*RTD("tos.rtd",,"GAMMA","."&amp;N$2&amp;N$1&amp;"C"&amp;$A24)-$A$4*$A$4*RTD("tos.rtd",,"VOLUME","."&amp;N$2&amp;N$1&amp;"P"&amp;$A24)*RTD("tos.rtd",,"GAMMA","."&amp;N$2&amp;N$1&amp;"P"&amp;$A24))/1000000,0),IF($A$2="GEX",IFERROR(($A$4*$A$4*RTD("tos.rtd",,"OPEN_INT","."&amp;N$2&amp;N$1&amp;"C"&amp;$A24)*RTD("tos.rtd",,"GAMMA","."&amp;N$2&amp;N$1&amp;"C"&amp;$A24)-$A$4*$A$4*RTD("tos.rtd",,"OPEN_INT","."&amp;N$2&amp;N$1&amp;"P"&amp;$A24)*RTD("tos.rtd",,"GAMMA","."&amp;N$2&amp;N$1&amp;"P"&amp;$A24))/1000000,0),IF($A$2="SKEW",IFERROR(VALUE(IF(RTD("tos.rtd",,"IMPL_VOL","."&amp;N$2&amp;N$1&amp;"P"&amp;$A24)="N/A",0,RTD("tos.rtd",,"IMPL_VOL","."&amp;N$2&amp;N$1&amp;"P"&amp;$A24))),0)-IFERROR(VALUE(IF(RTD("tos.rtd",,"IMPL_VOL","."&amp;N$2&amp;N$1&amp;"C"&amp;$A24)="N/A",0,RTD("tos.rtd",,"IMPL_VOL","."&amp;N$2&amp;N$1&amp;"C"&amp;$A24))),0),IF($A$2="MAXPAIN",IF($A$4&gt;$A24,($A$4-$A24)*IF(RTD("tos.rtd",,"OPEN_INT","."&amp;N$2&amp;N$1&amp;"C"&amp;$A24)="N/A",0,RTD("tos.rtd",,"OPEN_INT","."&amp;N$2&amp;N$1&amp;"C"&amp;$A24)),0)+IF($A$4&lt;$A24,($A24-$A$4)*IF(RTD("tos.rtd",,"OPEN_INT","."&amp;N$2&amp;N$1&amp;"P"&amp;$A24)="N/A",0,RTD("tos.rtd",,"OPEN_INT","."&amp;N$2&amp;N$1&amp;"P"&amp;$A24)),0),IF(RTD("tos.rtd",,$A$2,"."&amp;N$2&amp;N$1&amp;"C"&amp;$A24)="N/A",0,RTD("tos.rtd",,$A$2,"."&amp;N$2&amp;N$1&amp;"C"&amp;$A24))-IF(RTD("tos.rtd",,$A$2,"."&amp;N$2&amp;N$1&amp;"P"&amp;$A24)="N/A",0,RTD("tos.rtd",,$A$2,"."&amp;N$2&amp;N$1&amp;"P"&amp;$A24)))))))))</f>
        <v>0</v>
      </c>
      <c r="O24" s="12">
        <f>IF($A$2="PREMIUM_OI",IFERROR((100*RTD("tos.rtd",,"OPEN_INT","."&amp;O$2&amp;O$1&amp;"C"&amp;$A24)*RTD("tos.rtd",,"LAST","."&amp;O$2&amp;O$1&amp;"C"&amp;$A24)-100*RTD("tos.rtd",,"OPEN_INT","."&amp;O$2&amp;O$1&amp;"P"&amp;$A24)*RTD("tos.rtd",,"LAST","."&amp;O$2&amp;O$1&amp;"P"&amp;$A24))/1000000,0),IF($A$2="PREMIUM",IFERROR((100*RTD("tos.rtd",,"VOLUME","."&amp;O$2&amp;O$1&amp;"C"&amp;$A24)*RTD("tos.rtd",,"LAST","."&amp;O$2&amp;O$1&amp;"C"&amp;$A24)-100*RTD("tos.rtd",,"VOLUME","."&amp;O$2&amp;O$1&amp;"P"&amp;$A24)*RTD("tos.rtd",,"LAST","."&amp;O$2&amp;O$1&amp;"P"&amp;$A24))/1000000,0),IF($A$2="DEX",IFERROR((100*RTD("tos.rtd",,"OPEN_INT","."&amp;O$2&amp;O$1&amp;"C"&amp;$A24)*RTD("tos.rtd",,"DELTA","."&amp;O$2&amp;O$1&amp;"C"&amp;$A24)-100*RTD("tos.rtd",,"OPEN_INT","."&amp;O$2&amp;O$1&amp;"P"&amp;$A24)*RTD("tos.rtd",,"DELTA","."&amp;O$2&amp;O$1&amp;"P"&amp;$A24))/1000,0),IF($A$2="VEX",IFERROR(($A$4*$A$4*RTD("tos.rtd",,"VOLUME","."&amp;O$2&amp;O$1&amp;"C"&amp;$A24)*RTD("tos.rtd",,"GAMMA","."&amp;O$2&amp;O$1&amp;"C"&amp;$A24)-$A$4*$A$4*RTD("tos.rtd",,"VOLUME","."&amp;O$2&amp;O$1&amp;"P"&amp;$A24)*RTD("tos.rtd",,"GAMMA","."&amp;O$2&amp;O$1&amp;"P"&amp;$A24))/1000000,0),IF($A$2="GEX",IFERROR(($A$4*$A$4*RTD("tos.rtd",,"OPEN_INT","."&amp;O$2&amp;O$1&amp;"C"&amp;$A24)*RTD("tos.rtd",,"GAMMA","."&amp;O$2&amp;O$1&amp;"C"&amp;$A24)-$A$4*$A$4*RTD("tos.rtd",,"OPEN_INT","."&amp;O$2&amp;O$1&amp;"P"&amp;$A24)*RTD("tos.rtd",,"GAMMA","."&amp;O$2&amp;O$1&amp;"P"&amp;$A24))/1000000,0),IF($A$2="SKEW",IFERROR(VALUE(IF(RTD("tos.rtd",,"IMPL_VOL","."&amp;O$2&amp;O$1&amp;"P"&amp;$A24)="N/A",0,RTD("tos.rtd",,"IMPL_VOL","."&amp;O$2&amp;O$1&amp;"P"&amp;$A24))),0)-IFERROR(VALUE(IF(RTD("tos.rtd",,"IMPL_VOL","."&amp;O$2&amp;O$1&amp;"C"&amp;$A24)="N/A",0,RTD("tos.rtd",,"IMPL_VOL","."&amp;O$2&amp;O$1&amp;"C"&amp;$A24))),0),IF($A$2="MAXPAIN",IF($A$4&gt;$A24,($A$4-$A24)*IF(RTD("tos.rtd",,"OPEN_INT","."&amp;O$2&amp;O$1&amp;"C"&amp;$A24)="N/A",0,RTD("tos.rtd",,"OPEN_INT","."&amp;O$2&amp;O$1&amp;"C"&amp;$A24)),0)+IF($A$4&lt;$A24,($A24-$A$4)*IF(RTD("tos.rtd",,"OPEN_INT","."&amp;O$2&amp;O$1&amp;"P"&amp;$A24)="N/A",0,RTD("tos.rtd",,"OPEN_INT","."&amp;O$2&amp;O$1&amp;"P"&amp;$A24)),0),IF(RTD("tos.rtd",,$A$2,"."&amp;O$2&amp;O$1&amp;"C"&amp;$A24)="N/A",0,RTD("tos.rtd",,$A$2,"."&amp;O$2&amp;O$1&amp;"C"&amp;$A24))-IF(RTD("tos.rtd",,$A$2,"."&amp;O$2&amp;O$1&amp;"P"&amp;$A24)="N/A",0,RTD("tos.rtd",,$A$2,"."&amp;O$2&amp;O$1&amp;"P"&amp;$A24)))))))))</f>
        <v>0</v>
      </c>
      <c r="P24" s="12">
        <f>IF($A$2="PREMIUM_OI",IFERROR((100*RTD("tos.rtd",,"OPEN_INT","."&amp;P$2&amp;P$1&amp;"C"&amp;$A24)*RTD("tos.rtd",,"LAST","."&amp;P$2&amp;P$1&amp;"C"&amp;$A24)-100*RTD("tos.rtd",,"OPEN_INT","."&amp;P$2&amp;P$1&amp;"P"&amp;$A24)*RTD("tos.rtd",,"LAST","."&amp;P$2&amp;P$1&amp;"P"&amp;$A24))/1000000,0),IF($A$2="PREMIUM",IFERROR((100*RTD("tos.rtd",,"VOLUME","."&amp;P$2&amp;P$1&amp;"C"&amp;$A24)*RTD("tos.rtd",,"LAST","."&amp;P$2&amp;P$1&amp;"C"&amp;$A24)-100*RTD("tos.rtd",,"VOLUME","."&amp;P$2&amp;P$1&amp;"P"&amp;$A24)*RTD("tos.rtd",,"LAST","."&amp;P$2&amp;P$1&amp;"P"&amp;$A24))/1000000,0),IF($A$2="DEX",IFERROR((100*RTD("tos.rtd",,"OPEN_INT","."&amp;P$2&amp;P$1&amp;"C"&amp;$A24)*RTD("tos.rtd",,"DELTA","."&amp;P$2&amp;P$1&amp;"C"&amp;$A24)-100*RTD("tos.rtd",,"OPEN_INT","."&amp;P$2&amp;P$1&amp;"P"&amp;$A24)*RTD("tos.rtd",,"DELTA","."&amp;P$2&amp;P$1&amp;"P"&amp;$A24))/1000,0),IF($A$2="VEX",IFERROR(($A$4*$A$4*RTD("tos.rtd",,"VOLUME","."&amp;P$2&amp;P$1&amp;"C"&amp;$A24)*RTD("tos.rtd",,"GAMMA","."&amp;P$2&amp;P$1&amp;"C"&amp;$A24)-$A$4*$A$4*RTD("tos.rtd",,"VOLUME","."&amp;P$2&amp;P$1&amp;"P"&amp;$A24)*RTD("tos.rtd",,"GAMMA","."&amp;P$2&amp;P$1&amp;"P"&amp;$A24))/1000000,0),IF($A$2="GEX",IFERROR(($A$4*$A$4*RTD("tos.rtd",,"OPEN_INT","."&amp;P$2&amp;P$1&amp;"C"&amp;$A24)*RTD("tos.rtd",,"GAMMA","."&amp;P$2&amp;P$1&amp;"C"&amp;$A24)-$A$4*$A$4*RTD("tos.rtd",,"OPEN_INT","."&amp;P$2&amp;P$1&amp;"P"&amp;$A24)*RTD("tos.rtd",,"GAMMA","."&amp;P$2&amp;P$1&amp;"P"&amp;$A24))/1000000,0),IF($A$2="SKEW",IFERROR(VALUE(IF(RTD("tos.rtd",,"IMPL_VOL","."&amp;P$2&amp;P$1&amp;"P"&amp;$A24)="N/A",0,RTD("tos.rtd",,"IMPL_VOL","."&amp;P$2&amp;P$1&amp;"P"&amp;$A24))),0)-IFERROR(VALUE(IF(RTD("tos.rtd",,"IMPL_VOL","."&amp;P$2&amp;P$1&amp;"C"&amp;$A24)="N/A",0,RTD("tos.rtd",,"IMPL_VOL","."&amp;P$2&amp;P$1&amp;"C"&amp;$A24))),0),IF($A$2="MAXPAIN",IF($A$4&gt;$A24,($A$4-$A24)*IF(RTD("tos.rtd",,"OPEN_INT","."&amp;P$2&amp;P$1&amp;"C"&amp;$A24)="N/A",0,RTD("tos.rtd",,"OPEN_INT","."&amp;P$2&amp;P$1&amp;"C"&amp;$A24)),0)+IF($A$4&lt;$A24,($A24-$A$4)*IF(RTD("tos.rtd",,"OPEN_INT","."&amp;P$2&amp;P$1&amp;"P"&amp;$A24)="N/A",0,RTD("tos.rtd",,"OPEN_INT","."&amp;P$2&amp;P$1&amp;"P"&amp;$A24)),0),IF(RTD("tos.rtd",,$A$2,"."&amp;P$2&amp;P$1&amp;"C"&amp;$A24)="N/A",0,RTD("tos.rtd",,$A$2,"."&amp;P$2&amp;P$1&amp;"C"&amp;$A24))-IF(RTD("tos.rtd",,$A$2,"."&amp;P$2&amp;P$1&amp;"P"&amp;$A24)="N/A",0,RTD("tos.rtd",,$A$2,"."&amp;P$2&amp;P$1&amp;"P"&amp;$A24)))))))))</f>
        <v>0</v>
      </c>
      <c r="Q24" s="12">
        <f>IF($A$2="PREMIUM_OI",IFERROR((100*RTD("tos.rtd",,"OPEN_INT","."&amp;Q$2&amp;Q$1&amp;"C"&amp;$A24)*RTD("tos.rtd",,"LAST","."&amp;Q$2&amp;Q$1&amp;"C"&amp;$A24)-100*RTD("tos.rtd",,"OPEN_INT","."&amp;Q$2&amp;Q$1&amp;"P"&amp;$A24)*RTD("tos.rtd",,"LAST","."&amp;Q$2&amp;Q$1&amp;"P"&amp;$A24))/1000000,0),IF($A$2="PREMIUM",IFERROR((100*RTD("tos.rtd",,"VOLUME","."&amp;Q$2&amp;Q$1&amp;"C"&amp;$A24)*RTD("tos.rtd",,"LAST","."&amp;Q$2&amp;Q$1&amp;"C"&amp;$A24)-100*RTD("tos.rtd",,"VOLUME","."&amp;Q$2&amp;Q$1&amp;"P"&amp;$A24)*RTD("tos.rtd",,"LAST","."&amp;Q$2&amp;Q$1&amp;"P"&amp;$A24))/1000000,0),IF($A$2="DEX",IFERROR((100*RTD("tos.rtd",,"OPEN_INT","."&amp;Q$2&amp;Q$1&amp;"C"&amp;$A24)*RTD("tos.rtd",,"DELTA","."&amp;Q$2&amp;Q$1&amp;"C"&amp;$A24)-100*RTD("tos.rtd",,"OPEN_INT","."&amp;Q$2&amp;Q$1&amp;"P"&amp;$A24)*RTD("tos.rtd",,"DELTA","."&amp;Q$2&amp;Q$1&amp;"P"&amp;$A24))/1000,0),IF($A$2="VEX",IFERROR(($A$4*$A$4*RTD("tos.rtd",,"VOLUME","."&amp;Q$2&amp;Q$1&amp;"C"&amp;$A24)*RTD("tos.rtd",,"GAMMA","."&amp;Q$2&amp;Q$1&amp;"C"&amp;$A24)-$A$4*$A$4*RTD("tos.rtd",,"VOLUME","."&amp;Q$2&amp;Q$1&amp;"P"&amp;$A24)*RTD("tos.rtd",,"GAMMA","."&amp;Q$2&amp;Q$1&amp;"P"&amp;$A24))/1000000,0),IF($A$2="GEX",IFERROR(($A$4*$A$4*RTD("tos.rtd",,"OPEN_INT","."&amp;Q$2&amp;Q$1&amp;"C"&amp;$A24)*RTD("tos.rtd",,"GAMMA","."&amp;Q$2&amp;Q$1&amp;"C"&amp;$A24)-$A$4*$A$4*RTD("tos.rtd",,"OPEN_INT","."&amp;Q$2&amp;Q$1&amp;"P"&amp;$A24)*RTD("tos.rtd",,"GAMMA","."&amp;Q$2&amp;Q$1&amp;"P"&amp;$A24))/1000000,0),IF($A$2="SKEW",IFERROR(VALUE(IF(RTD("tos.rtd",,"IMPL_VOL","."&amp;Q$2&amp;Q$1&amp;"P"&amp;$A24)="N/A",0,RTD("tos.rtd",,"IMPL_VOL","."&amp;Q$2&amp;Q$1&amp;"P"&amp;$A24))),0)-IFERROR(VALUE(IF(RTD("tos.rtd",,"IMPL_VOL","."&amp;Q$2&amp;Q$1&amp;"C"&amp;$A24)="N/A",0,RTD("tos.rtd",,"IMPL_VOL","."&amp;Q$2&amp;Q$1&amp;"C"&amp;$A24))),0),IF($A$2="MAXPAIN",IF($A$4&gt;$A24,($A$4-$A24)*IF(RTD("tos.rtd",,"OPEN_INT","."&amp;Q$2&amp;Q$1&amp;"C"&amp;$A24)="N/A",0,RTD("tos.rtd",,"OPEN_INT","."&amp;Q$2&amp;Q$1&amp;"C"&amp;$A24)),0)+IF($A$4&lt;$A24,($A24-$A$4)*IF(RTD("tos.rtd",,"OPEN_INT","."&amp;Q$2&amp;Q$1&amp;"P"&amp;$A24)="N/A",0,RTD("tos.rtd",,"OPEN_INT","."&amp;Q$2&amp;Q$1&amp;"P"&amp;$A24)),0),IF(RTD("tos.rtd",,$A$2,"."&amp;Q$2&amp;Q$1&amp;"C"&amp;$A24)="N/A",0,RTD("tos.rtd",,$A$2,"."&amp;Q$2&amp;Q$1&amp;"C"&amp;$A24))-IF(RTD("tos.rtd",,$A$2,"."&amp;Q$2&amp;Q$1&amp;"P"&amp;$A24)="N/A",0,RTD("tos.rtd",,$A$2,"."&amp;Q$2&amp;Q$1&amp;"P"&amp;$A24)))))))))</f>
        <v>0</v>
      </c>
      <c r="R24" s="12">
        <f>IF($A$2="PREMIUM_OI",IFERROR((100*RTD("tos.rtd",,"OPEN_INT","."&amp;R$2&amp;R$1&amp;"C"&amp;$A24)*RTD("tos.rtd",,"LAST","."&amp;R$2&amp;R$1&amp;"C"&amp;$A24)-100*RTD("tos.rtd",,"OPEN_INT","."&amp;R$2&amp;R$1&amp;"P"&amp;$A24)*RTD("tos.rtd",,"LAST","."&amp;R$2&amp;R$1&amp;"P"&amp;$A24))/1000000,0),IF($A$2="PREMIUM",IFERROR((100*RTD("tos.rtd",,"VOLUME","."&amp;R$2&amp;R$1&amp;"C"&amp;$A24)*RTD("tos.rtd",,"LAST","."&amp;R$2&amp;R$1&amp;"C"&amp;$A24)-100*RTD("tos.rtd",,"VOLUME","."&amp;R$2&amp;R$1&amp;"P"&amp;$A24)*RTD("tos.rtd",,"LAST","."&amp;R$2&amp;R$1&amp;"P"&amp;$A24))/1000000,0),IF($A$2="DEX",IFERROR((100*RTD("tos.rtd",,"OPEN_INT","."&amp;R$2&amp;R$1&amp;"C"&amp;$A24)*RTD("tos.rtd",,"DELTA","."&amp;R$2&amp;R$1&amp;"C"&amp;$A24)-100*RTD("tos.rtd",,"OPEN_INT","."&amp;R$2&amp;R$1&amp;"P"&amp;$A24)*RTD("tos.rtd",,"DELTA","."&amp;R$2&amp;R$1&amp;"P"&amp;$A24))/1000,0),IF($A$2="VEX",IFERROR(($A$4*$A$4*RTD("tos.rtd",,"VOLUME","."&amp;R$2&amp;R$1&amp;"C"&amp;$A24)*RTD("tos.rtd",,"GAMMA","."&amp;R$2&amp;R$1&amp;"C"&amp;$A24)-$A$4*$A$4*RTD("tos.rtd",,"VOLUME","."&amp;R$2&amp;R$1&amp;"P"&amp;$A24)*RTD("tos.rtd",,"GAMMA","."&amp;R$2&amp;R$1&amp;"P"&amp;$A24))/1000000,0),IF($A$2="GEX",IFERROR(($A$4*$A$4*RTD("tos.rtd",,"OPEN_INT","."&amp;R$2&amp;R$1&amp;"C"&amp;$A24)*RTD("tos.rtd",,"GAMMA","."&amp;R$2&amp;R$1&amp;"C"&amp;$A24)-$A$4*$A$4*RTD("tos.rtd",,"OPEN_INT","."&amp;R$2&amp;R$1&amp;"P"&amp;$A24)*RTD("tos.rtd",,"GAMMA","."&amp;R$2&amp;R$1&amp;"P"&amp;$A24))/1000000,0),IF($A$2="SKEW",IFERROR(VALUE(IF(RTD("tos.rtd",,"IMPL_VOL","."&amp;R$2&amp;R$1&amp;"P"&amp;$A24)="N/A",0,RTD("tos.rtd",,"IMPL_VOL","."&amp;R$2&amp;R$1&amp;"P"&amp;$A24))),0)-IFERROR(VALUE(IF(RTD("tos.rtd",,"IMPL_VOL","."&amp;R$2&amp;R$1&amp;"C"&amp;$A24)="N/A",0,RTD("tos.rtd",,"IMPL_VOL","."&amp;R$2&amp;R$1&amp;"C"&amp;$A24))),0),IF($A$2="MAXPAIN",IF($A$4&gt;$A24,($A$4-$A24)*IF(RTD("tos.rtd",,"OPEN_INT","."&amp;R$2&amp;R$1&amp;"C"&amp;$A24)="N/A",0,RTD("tos.rtd",,"OPEN_INT","."&amp;R$2&amp;R$1&amp;"C"&amp;$A24)),0)+IF($A$4&lt;$A24,($A24-$A$4)*IF(RTD("tos.rtd",,"OPEN_INT","."&amp;R$2&amp;R$1&amp;"P"&amp;$A24)="N/A",0,RTD("tos.rtd",,"OPEN_INT","."&amp;R$2&amp;R$1&amp;"P"&amp;$A24)),0),IF(RTD("tos.rtd",,$A$2,"."&amp;R$2&amp;R$1&amp;"C"&amp;$A24)="N/A",0,RTD("tos.rtd",,$A$2,"."&amp;R$2&amp;R$1&amp;"C"&amp;$A24))-IF(RTD("tos.rtd",,$A$2,"."&amp;R$2&amp;R$1&amp;"P"&amp;$A24)="N/A",0,RTD("tos.rtd",,$A$2,"."&amp;R$2&amp;R$1&amp;"P"&amp;$A24)))))))))</f>
        <v>52263</v>
      </c>
      <c r="S24" s="12">
        <f>IF($A$2="PREMIUM_OI",IFERROR((100*RTD("tos.rtd",,"OPEN_INT","."&amp;S$2&amp;S$1&amp;"C"&amp;$A24)*RTD("tos.rtd",,"LAST","."&amp;S$2&amp;S$1&amp;"C"&amp;$A24)-100*RTD("tos.rtd",,"OPEN_INT","."&amp;S$2&amp;S$1&amp;"P"&amp;$A24)*RTD("tos.rtd",,"LAST","."&amp;S$2&amp;S$1&amp;"P"&amp;$A24))/1000000,0),IF($A$2="PREMIUM",IFERROR((100*RTD("tos.rtd",,"VOLUME","."&amp;S$2&amp;S$1&amp;"C"&amp;$A24)*RTD("tos.rtd",,"LAST","."&amp;S$2&amp;S$1&amp;"C"&amp;$A24)-100*RTD("tos.rtd",,"VOLUME","."&amp;S$2&amp;S$1&amp;"P"&amp;$A24)*RTD("tos.rtd",,"LAST","."&amp;S$2&amp;S$1&amp;"P"&amp;$A24))/1000000,0),IF($A$2="DEX",IFERROR((100*RTD("tos.rtd",,"OPEN_INT","."&amp;S$2&amp;S$1&amp;"C"&amp;$A24)*RTD("tos.rtd",,"DELTA","."&amp;S$2&amp;S$1&amp;"C"&amp;$A24)-100*RTD("tos.rtd",,"OPEN_INT","."&amp;S$2&amp;S$1&amp;"P"&amp;$A24)*RTD("tos.rtd",,"DELTA","."&amp;S$2&amp;S$1&amp;"P"&amp;$A24))/1000,0),IF($A$2="VEX",IFERROR(($A$4*$A$4*RTD("tos.rtd",,"VOLUME","."&amp;S$2&amp;S$1&amp;"C"&amp;$A24)*RTD("tos.rtd",,"GAMMA","."&amp;S$2&amp;S$1&amp;"C"&amp;$A24)-$A$4*$A$4*RTD("tos.rtd",,"VOLUME","."&amp;S$2&amp;S$1&amp;"P"&amp;$A24)*RTD("tos.rtd",,"GAMMA","."&amp;S$2&amp;S$1&amp;"P"&amp;$A24))/1000000,0),IF($A$2="GEX",IFERROR(($A$4*$A$4*RTD("tos.rtd",,"OPEN_INT","."&amp;S$2&amp;S$1&amp;"C"&amp;$A24)*RTD("tos.rtd",,"GAMMA","."&amp;S$2&amp;S$1&amp;"C"&amp;$A24)-$A$4*$A$4*RTD("tos.rtd",,"OPEN_INT","."&amp;S$2&amp;S$1&amp;"P"&amp;$A24)*RTD("tos.rtd",,"GAMMA","."&amp;S$2&amp;S$1&amp;"P"&amp;$A24))/1000000,0),IF($A$2="SKEW",IFERROR(VALUE(IF(RTD("tos.rtd",,"IMPL_VOL","."&amp;S$2&amp;S$1&amp;"P"&amp;$A24)="N/A",0,RTD("tos.rtd",,"IMPL_VOL","."&amp;S$2&amp;S$1&amp;"P"&amp;$A24))),0)-IFERROR(VALUE(IF(RTD("tos.rtd",,"IMPL_VOL","."&amp;S$2&amp;S$1&amp;"C"&amp;$A24)="N/A",0,RTD("tos.rtd",,"IMPL_VOL","."&amp;S$2&amp;S$1&amp;"C"&amp;$A24))),0),IF($A$2="MAXPAIN",IF($A$4&gt;$A24,($A$4-$A24)*IF(RTD("tos.rtd",,"OPEN_INT","."&amp;S$2&amp;S$1&amp;"C"&amp;$A24)="N/A",0,RTD("tos.rtd",,"OPEN_INT","."&amp;S$2&amp;S$1&amp;"C"&amp;$A24)),0)+IF($A$4&lt;$A24,($A24-$A$4)*IF(RTD("tos.rtd",,"OPEN_INT","."&amp;S$2&amp;S$1&amp;"P"&amp;$A24)="N/A",0,RTD("tos.rtd",,"OPEN_INT","."&amp;S$2&amp;S$1&amp;"P"&amp;$A24)),0),IF(RTD("tos.rtd",,$A$2,"."&amp;S$2&amp;S$1&amp;"C"&amp;$A24)="N/A",0,RTD("tos.rtd",,$A$2,"."&amp;S$2&amp;S$1&amp;"C"&amp;$A24))-IF(RTD("tos.rtd",,$A$2,"."&amp;S$2&amp;S$1&amp;"P"&amp;$A24)="N/A",0,RTD("tos.rtd",,$A$2,"."&amp;S$2&amp;S$1&amp;"P"&amp;$A24)))))))))</f>
        <v>67946</v>
      </c>
      <c r="T24" s="12">
        <f>IF($A$2="PREMIUM_OI",IFERROR((100*RTD("tos.rtd",,"OPEN_INT","."&amp;T$2&amp;T$1&amp;"C"&amp;$A24)*RTD("tos.rtd",,"LAST","."&amp;T$2&amp;T$1&amp;"C"&amp;$A24)-100*RTD("tos.rtd",,"OPEN_INT","."&amp;T$2&amp;T$1&amp;"P"&amp;$A24)*RTD("tos.rtd",,"LAST","."&amp;T$2&amp;T$1&amp;"P"&amp;$A24))/1000000,0),IF($A$2="PREMIUM",IFERROR((100*RTD("tos.rtd",,"VOLUME","."&amp;T$2&amp;T$1&amp;"C"&amp;$A24)*RTD("tos.rtd",,"LAST","."&amp;T$2&amp;T$1&amp;"C"&amp;$A24)-100*RTD("tos.rtd",,"VOLUME","."&amp;T$2&amp;T$1&amp;"P"&amp;$A24)*RTD("tos.rtd",,"LAST","."&amp;T$2&amp;T$1&amp;"P"&amp;$A24))/1000000,0),IF($A$2="DEX",IFERROR((100*RTD("tos.rtd",,"OPEN_INT","."&amp;T$2&amp;T$1&amp;"C"&amp;$A24)*RTD("tos.rtd",,"DELTA","."&amp;T$2&amp;T$1&amp;"C"&amp;$A24)-100*RTD("tos.rtd",,"OPEN_INT","."&amp;T$2&amp;T$1&amp;"P"&amp;$A24)*RTD("tos.rtd",,"DELTA","."&amp;T$2&amp;T$1&amp;"P"&amp;$A24))/1000,0),IF($A$2="VEX",IFERROR(($A$4*$A$4*RTD("tos.rtd",,"VOLUME","."&amp;T$2&amp;T$1&amp;"C"&amp;$A24)*RTD("tos.rtd",,"GAMMA","."&amp;T$2&amp;T$1&amp;"C"&amp;$A24)-$A$4*$A$4*RTD("tos.rtd",,"VOLUME","."&amp;T$2&amp;T$1&amp;"P"&amp;$A24)*RTD("tos.rtd",,"GAMMA","."&amp;T$2&amp;T$1&amp;"P"&amp;$A24))/1000000,0),IF($A$2="GEX",IFERROR(($A$4*$A$4*RTD("tos.rtd",,"OPEN_INT","."&amp;T$2&amp;T$1&amp;"C"&amp;$A24)*RTD("tos.rtd",,"GAMMA","."&amp;T$2&amp;T$1&amp;"C"&amp;$A24)-$A$4*$A$4*RTD("tos.rtd",,"OPEN_INT","."&amp;T$2&amp;T$1&amp;"P"&amp;$A24)*RTD("tos.rtd",,"GAMMA","."&amp;T$2&amp;T$1&amp;"P"&amp;$A24))/1000000,0),IF($A$2="SKEW",IFERROR(VALUE(IF(RTD("tos.rtd",,"IMPL_VOL","."&amp;T$2&amp;T$1&amp;"P"&amp;$A24)="N/A",0,RTD("tos.rtd",,"IMPL_VOL","."&amp;T$2&amp;T$1&amp;"P"&amp;$A24))),0)-IFERROR(VALUE(IF(RTD("tos.rtd",,"IMPL_VOL","."&amp;T$2&amp;T$1&amp;"C"&amp;$A24)="N/A",0,RTD("tos.rtd",,"IMPL_VOL","."&amp;T$2&amp;T$1&amp;"C"&amp;$A24))),0),IF($A$2="MAXPAIN",IF($A$4&gt;$A24,($A$4-$A24)*IF(RTD("tos.rtd",,"OPEN_INT","."&amp;T$2&amp;T$1&amp;"C"&amp;$A24)="N/A",0,RTD("tos.rtd",,"OPEN_INT","."&amp;T$2&amp;T$1&amp;"C"&amp;$A24)),0)+IF($A$4&lt;$A24,($A24-$A$4)*IF(RTD("tos.rtd",,"OPEN_INT","."&amp;T$2&amp;T$1&amp;"P"&amp;$A24)="N/A",0,RTD("tos.rtd",,"OPEN_INT","."&amp;T$2&amp;T$1&amp;"P"&amp;$A24)),0),IF(RTD("tos.rtd",,$A$2,"."&amp;T$2&amp;T$1&amp;"C"&amp;$A24)="N/A",0,RTD("tos.rtd",,$A$2,"."&amp;T$2&amp;T$1&amp;"C"&amp;$A24))-IF(RTD("tos.rtd",,$A$2,"."&amp;T$2&amp;T$1&amp;"P"&amp;$A24)="N/A",0,RTD("tos.rtd",,$A$2,"."&amp;T$2&amp;T$1&amp;"P"&amp;$A24)))))))))</f>
        <v>6051</v>
      </c>
      <c r="U24" s="12">
        <f>IF($A$2="PREMIUM_OI",IFERROR((100*RTD("tos.rtd",,"OPEN_INT","."&amp;U$2&amp;U$1&amp;"C"&amp;$A24)*RTD("tos.rtd",,"LAST","."&amp;U$2&amp;U$1&amp;"C"&amp;$A24)-100*RTD("tos.rtd",,"OPEN_INT","."&amp;U$2&amp;U$1&amp;"P"&amp;$A24)*RTD("tos.rtd",,"LAST","."&amp;U$2&amp;U$1&amp;"P"&amp;$A24))/1000000,0),IF($A$2="PREMIUM",IFERROR((100*RTD("tos.rtd",,"VOLUME","."&amp;U$2&amp;U$1&amp;"C"&amp;$A24)*RTD("tos.rtd",,"LAST","."&amp;U$2&amp;U$1&amp;"C"&amp;$A24)-100*RTD("tos.rtd",,"VOLUME","."&amp;U$2&amp;U$1&amp;"P"&amp;$A24)*RTD("tos.rtd",,"LAST","."&amp;U$2&amp;U$1&amp;"P"&amp;$A24))/1000000,0),IF($A$2="DEX",IFERROR((100*RTD("tos.rtd",,"OPEN_INT","."&amp;U$2&amp;U$1&amp;"C"&amp;$A24)*RTD("tos.rtd",,"DELTA","."&amp;U$2&amp;U$1&amp;"C"&amp;$A24)-100*RTD("tos.rtd",,"OPEN_INT","."&amp;U$2&amp;U$1&amp;"P"&amp;$A24)*RTD("tos.rtd",,"DELTA","."&amp;U$2&amp;U$1&amp;"P"&amp;$A24))/1000,0),IF($A$2="VEX",IFERROR(($A$4*$A$4*RTD("tos.rtd",,"VOLUME","."&amp;U$2&amp;U$1&amp;"C"&amp;$A24)*RTD("tos.rtd",,"GAMMA","."&amp;U$2&amp;U$1&amp;"C"&amp;$A24)-$A$4*$A$4*RTD("tos.rtd",,"VOLUME","."&amp;U$2&amp;U$1&amp;"P"&amp;$A24)*RTD("tos.rtd",,"GAMMA","."&amp;U$2&amp;U$1&amp;"P"&amp;$A24))/1000000,0),IF($A$2="GEX",IFERROR(($A$4*$A$4*RTD("tos.rtd",,"OPEN_INT","."&amp;U$2&amp;U$1&amp;"C"&amp;$A24)*RTD("tos.rtd",,"GAMMA","."&amp;U$2&amp;U$1&amp;"C"&amp;$A24)-$A$4*$A$4*RTD("tos.rtd",,"OPEN_INT","."&amp;U$2&amp;U$1&amp;"P"&amp;$A24)*RTD("tos.rtd",,"GAMMA","."&amp;U$2&amp;U$1&amp;"P"&amp;$A24))/1000000,0),IF($A$2="SKEW",IFERROR(VALUE(IF(RTD("tos.rtd",,"IMPL_VOL","."&amp;U$2&amp;U$1&amp;"P"&amp;$A24)="N/A",0,RTD("tos.rtd",,"IMPL_VOL","."&amp;U$2&amp;U$1&amp;"P"&amp;$A24))),0)-IFERROR(VALUE(IF(RTD("tos.rtd",,"IMPL_VOL","."&amp;U$2&amp;U$1&amp;"C"&amp;$A24)="N/A",0,RTD("tos.rtd",,"IMPL_VOL","."&amp;U$2&amp;U$1&amp;"C"&amp;$A24))),0),IF($A$2="MAXPAIN",IF($A$4&gt;$A24,($A$4-$A24)*IF(RTD("tos.rtd",,"OPEN_INT","."&amp;U$2&amp;U$1&amp;"C"&amp;$A24)="N/A",0,RTD("tos.rtd",,"OPEN_INT","."&amp;U$2&amp;U$1&amp;"C"&amp;$A24)),0)+IF($A$4&lt;$A24,($A24-$A$4)*IF(RTD("tos.rtd",,"OPEN_INT","."&amp;U$2&amp;U$1&amp;"P"&amp;$A24)="N/A",0,RTD("tos.rtd",,"OPEN_INT","."&amp;U$2&amp;U$1&amp;"P"&amp;$A24)),0),IF(RTD("tos.rtd",,$A$2,"."&amp;U$2&amp;U$1&amp;"C"&amp;$A24)="N/A",0,RTD("tos.rtd",,$A$2,"."&amp;U$2&amp;U$1&amp;"C"&amp;$A24))-IF(RTD("tos.rtd",,$A$2,"."&amp;U$2&amp;U$1&amp;"P"&amp;$A24)="N/A",0,RTD("tos.rtd",,$A$2,"."&amp;U$2&amp;U$1&amp;"P"&amp;$A24)))))))))</f>
        <v>10446</v>
      </c>
      <c r="V24" s="12">
        <f>IF($A$2="PREMIUM_OI",IFERROR((100*RTD("tos.rtd",,"OPEN_INT","."&amp;V$2&amp;V$1&amp;"C"&amp;$A24)*RTD("tos.rtd",,"LAST","."&amp;V$2&amp;V$1&amp;"C"&amp;$A24)-100*RTD("tos.rtd",,"OPEN_INT","."&amp;V$2&amp;V$1&amp;"P"&amp;$A24)*RTD("tos.rtd",,"LAST","."&amp;V$2&amp;V$1&amp;"P"&amp;$A24))/1000000,0),IF($A$2="PREMIUM",IFERROR((100*RTD("tos.rtd",,"VOLUME","."&amp;V$2&amp;V$1&amp;"C"&amp;$A24)*RTD("tos.rtd",,"LAST","."&amp;V$2&amp;V$1&amp;"C"&amp;$A24)-100*RTD("tos.rtd",,"VOLUME","."&amp;V$2&amp;V$1&amp;"P"&amp;$A24)*RTD("tos.rtd",,"LAST","."&amp;V$2&amp;V$1&amp;"P"&amp;$A24))/1000000,0),IF($A$2="DEX",IFERROR((100*RTD("tos.rtd",,"OPEN_INT","."&amp;V$2&amp;V$1&amp;"C"&amp;$A24)*RTD("tos.rtd",,"DELTA","."&amp;V$2&amp;V$1&amp;"C"&amp;$A24)-100*RTD("tos.rtd",,"OPEN_INT","."&amp;V$2&amp;V$1&amp;"P"&amp;$A24)*RTD("tos.rtd",,"DELTA","."&amp;V$2&amp;V$1&amp;"P"&amp;$A24))/1000,0),IF($A$2="VEX",IFERROR(($A$4*$A$4*RTD("tos.rtd",,"VOLUME","."&amp;V$2&amp;V$1&amp;"C"&amp;$A24)*RTD("tos.rtd",,"GAMMA","."&amp;V$2&amp;V$1&amp;"C"&amp;$A24)-$A$4*$A$4*RTD("tos.rtd",,"VOLUME","."&amp;V$2&amp;V$1&amp;"P"&amp;$A24)*RTD("tos.rtd",,"GAMMA","."&amp;V$2&amp;V$1&amp;"P"&amp;$A24))/1000000,0),IF($A$2="GEX",IFERROR(($A$4*$A$4*RTD("tos.rtd",,"OPEN_INT","."&amp;V$2&amp;V$1&amp;"C"&amp;$A24)*RTD("tos.rtd",,"GAMMA","."&amp;V$2&amp;V$1&amp;"C"&amp;$A24)-$A$4*$A$4*RTD("tos.rtd",,"OPEN_INT","."&amp;V$2&amp;V$1&amp;"P"&amp;$A24)*RTD("tos.rtd",,"GAMMA","."&amp;V$2&amp;V$1&amp;"P"&amp;$A24))/1000000,0),IF($A$2="SKEW",IFERROR(VALUE(IF(RTD("tos.rtd",,"IMPL_VOL","."&amp;V$2&amp;V$1&amp;"P"&amp;$A24)="N/A",0,RTD("tos.rtd",,"IMPL_VOL","."&amp;V$2&amp;V$1&amp;"P"&amp;$A24))),0)-IFERROR(VALUE(IF(RTD("tos.rtd",,"IMPL_VOL","."&amp;V$2&amp;V$1&amp;"C"&amp;$A24)="N/A",0,RTD("tos.rtd",,"IMPL_VOL","."&amp;V$2&amp;V$1&amp;"C"&amp;$A24))),0),IF($A$2="MAXPAIN",IF($A$4&gt;$A24,($A$4-$A24)*IF(RTD("tos.rtd",,"OPEN_INT","."&amp;V$2&amp;V$1&amp;"C"&amp;$A24)="N/A",0,RTD("tos.rtd",,"OPEN_INT","."&amp;V$2&amp;V$1&amp;"C"&amp;$A24)),0)+IF($A$4&lt;$A24,($A24-$A$4)*IF(RTD("tos.rtd",,"OPEN_INT","."&amp;V$2&amp;V$1&amp;"P"&amp;$A24)="N/A",0,RTD("tos.rtd",,"OPEN_INT","."&amp;V$2&amp;V$1&amp;"P"&amp;$A24)),0),IF(RTD("tos.rtd",,$A$2,"."&amp;V$2&amp;V$1&amp;"C"&amp;$A24)="N/A",0,RTD("tos.rtd",,$A$2,"."&amp;V$2&amp;V$1&amp;"C"&amp;$A24))-IF(RTD("tos.rtd",,$A$2,"."&amp;V$2&amp;V$1&amp;"P"&amp;$A24)="N/A",0,RTD("tos.rtd",,$A$2,"."&amp;V$2&amp;V$1&amp;"P"&amp;$A24)))))))))</f>
        <v>0</v>
      </c>
      <c r="W24" s="12">
        <f>IF($A$2="PREMIUM_OI",IFERROR((100*RTD("tos.rtd",,"OPEN_INT","."&amp;W$2&amp;W$1&amp;"C"&amp;$A24)*RTD("tos.rtd",,"LAST","."&amp;W$2&amp;W$1&amp;"C"&amp;$A24)-100*RTD("tos.rtd",,"OPEN_INT","."&amp;W$2&amp;W$1&amp;"P"&amp;$A24)*RTD("tos.rtd",,"LAST","."&amp;W$2&amp;W$1&amp;"P"&amp;$A24))/1000000,0),IF($A$2="PREMIUM",IFERROR((100*RTD("tos.rtd",,"VOLUME","."&amp;W$2&amp;W$1&amp;"C"&amp;$A24)*RTD("tos.rtd",,"LAST","."&amp;W$2&amp;W$1&amp;"C"&amp;$A24)-100*RTD("tos.rtd",,"VOLUME","."&amp;W$2&amp;W$1&amp;"P"&amp;$A24)*RTD("tos.rtd",,"LAST","."&amp;W$2&amp;W$1&amp;"P"&amp;$A24))/1000000,0),IF($A$2="DEX",IFERROR((100*RTD("tos.rtd",,"OPEN_INT","."&amp;W$2&amp;W$1&amp;"C"&amp;$A24)*RTD("tos.rtd",,"DELTA","."&amp;W$2&amp;W$1&amp;"C"&amp;$A24)-100*RTD("tos.rtd",,"OPEN_INT","."&amp;W$2&amp;W$1&amp;"P"&amp;$A24)*RTD("tos.rtd",,"DELTA","."&amp;W$2&amp;W$1&amp;"P"&amp;$A24))/1000,0),IF($A$2="VEX",IFERROR(($A$4*$A$4*RTD("tos.rtd",,"VOLUME","."&amp;W$2&amp;W$1&amp;"C"&amp;$A24)*RTD("tos.rtd",,"GAMMA","."&amp;W$2&amp;W$1&amp;"C"&amp;$A24)-$A$4*$A$4*RTD("tos.rtd",,"VOLUME","."&amp;W$2&amp;W$1&amp;"P"&amp;$A24)*RTD("tos.rtd",,"GAMMA","."&amp;W$2&amp;W$1&amp;"P"&amp;$A24))/1000000,0),IF($A$2="GEX",IFERROR(($A$4*$A$4*RTD("tos.rtd",,"OPEN_INT","."&amp;W$2&amp;W$1&amp;"C"&amp;$A24)*RTD("tos.rtd",,"GAMMA","."&amp;W$2&amp;W$1&amp;"C"&amp;$A24)-$A$4*$A$4*RTD("tos.rtd",,"OPEN_INT","."&amp;W$2&amp;W$1&amp;"P"&amp;$A24)*RTD("tos.rtd",,"GAMMA","."&amp;W$2&amp;W$1&amp;"P"&amp;$A24))/1000000,0),IF($A$2="SKEW",IFERROR(VALUE(IF(RTD("tos.rtd",,"IMPL_VOL","."&amp;W$2&amp;W$1&amp;"P"&amp;$A24)="N/A",0,RTD("tos.rtd",,"IMPL_VOL","."&amp;W$2&amp;W$1&amp;"P"&amp;$A24))),0)-IFERROR(VALUE(IF(RTD("tos.rtd",,"IMPL_VOL","."&amp;W$2&amp;W$1&amp;"C"&amp;$A24)="N/A",0,RTD("tos.rtd",,"IMPL_VOL","."&amp;W$2&amp;W$1&amp;"C"&amp;$A24))),0),IF($A$2="MAXPAIN",IF($A$4&gt;$A24,($A$4-$A24)*IF(RTD("tos.rtd",,"OPEN_INT","."&amp;W$2&amp;W$1&amp;"C"&amp;$A24)="N/A",0,RTD("tos.rtd",,"OPEN_INT","."&amp;W$2&amp;W$1&amp;"C"&amp;$A24)),0)+IF($A$4&lt;$A24,($A24-$A$4)*IF(RTD("tos.rtd",,"OPEN_INT","."&amp;W$2&amp;W$1&amp;"P"&amp;$A24)="N/A",0,RTD("tos.rtd",,"OPEN_INT","."&amp;W$2&amp;W$1&amp;"P"&amp;$A24)),0),IF(RTD("tos.rtd",,$A$2,"."&amp;W$2&amp;W$1&amp;"C"&amp;$A24)="N/A",0,RTD("tos.rtd",,$A$2,"."&amp;W$2&amp;W$1&amp;"C"&amp;$A24))-IF(RTD("tos.rtd",,$A$2,"."&amp;W$2&amp;W$1&amp;"P"&amp;$A24)="N/A",0,RTD("tos.rtd",,$A$2,"."&amp;W$2&amp;W$1&amp;"P"&amp;$A24)))))))))</f>
        <v>63280</v>
      </c>
      <c r="X24" s="12">
        <f t="shared" ca="1" si="7"/>
        <v>147723</v>
      </c>
      <c r="Y24" s="27">
        <f t="shared" ca="1" si="8"/>
        <v>147723</v>
      </c>
      <c r="AA24" s="35">
        <f t="shared" si="5"/>
        <v>23</v>
      </c>
      <c r="AB24" s="8">
        <f>+IF($AJ$1,AK24,TASTYOHLC!B24)</f>
        <v>0</v>
      </c>
      <c r="AC24" s="8">
        <f>+IF($AJ$1,AL24,TASTYOHLC!C24)</f>
        <v>0</v>
      </c>
      <c r="AD24" s="8">
        <f>+IF($AJ$1,AM24,TASTYOHLC!D24)</f>
        <v>0</v>
      </c>
      <c r="AE24" s="8">
        <f>+IF($AJ$1,AN24,TASTYOHLC!E24)</f>
        <v>0</v>
      </c>
      <c r="AF24" s="8"/>
      <c r="AJ24" s="37"/>
    </row>
    <row r="25" spans="1:40" s="19" customFormat="1" ht="11.1" customHeight="1" thickBot="1" x14ac:dyDescent="0.3">
      <c r="A25" s="23">
        <f t="shared" si="6"/>
        <v>9.5</v>
      </c>
      <c r="B25" s="14">
        <f>IF($A$2="PREMIUM_OI",IFERROR((100*RTD("tos.rtd",,"OPEN_INT","."&amp;B$2&amp;B$1&amp;"C"&amp;$A25)*RTD("tos.rtd",,"LAST","."&amp;B$2&amp;B$1&amp;"C"&amp;$A25)-100*RTD("tos.rtd",,"OPEN_INT","."&amp;B$2&amp;B$1&amp;"P"&amp;$A25)*RTD("tos.rtd",,"LAST","."&amp;B$2&amp;B$1&amp;"P"&amp;$A25))/1000000,0),IF($A$2="PREMIUM",IFERROR((100*RTD("tos.rtd",,"VOLUME","."&amp;B$2&amp;B$1&amp;"C"&amp;$A25)*RTD("tos.rtd",,"LAST","."&amp;B$2&amp;B$1&amp;"C"&amp;$A25)-100*RTD("tos.rtd",,"VOLUME","."&amp;B$2&amp;B$1&amp;"P"&amp;$A25)*RTD("tos.rtd",,"LAST","."&amp;B$2&amp;B$1&amp;"P"&amp;$A25))/1000000,0),IF($A$2="DEX",IFERROR((100*RTD("tos.rtd",,"OPEN_INT","."&amp;B$2&amp;B$1&amp;"C"&amp;$A25)*RTD("tos.rtd",,"DELTA","."&amp;B$2&amp;B$1&amp;"C"&amp;$A25)-100*RTD("tos.rtd",,"OPEN_INT","."&amp;B$2&amp;B$1&amp;"P"&amp;$A25)*RTD("tos.rtd",,"DELTA","."&amp;B$2&amp;B$1&amp;"P"&amp;$A25))/1000,0),IF($A$2="VEX",IFERROR(($A$4*$A$4*RTD("tos.rtd",,"VOLUME","."&amp;B$2&amp;B$1&amp;"C"&amp;$A25)*RTD("tos.rtd",,"GAMMA","."&amp;B$2&amp;B$1&amp;"C"&amp;$A25)-$A$4*$A$4*RTD("tos.rtd",,"VOLUME","."&amp;B$2&amp;B$1&amp;"P"&amp;$A25)*RTD("tos.rtd",,"GAMMA","."&amp;B$2&amp;B$1&amp;"P"&amp;$A25))/1000000,0),IF($A$2="GEX",IFERROR(($A$4*$A$4*RTD("tos.rtd",,"OPEN_INT","."&amp;B$2&amp;B$1&amp;"C"&amp;$A25)*RTD("tos.rtd",,"GAMMA","."&amp;B$2&amp;B$1&amp;"C"&amp;$A25)-$A$4*$A$4*RTD("tos.rtd",,"OPEN_INT","."&amp;B$2&amp;B$1&amp;"P"&amp;$A25)*RTD("tos.rtd",,"GAMMA","."&amp;B$2&amp;B$1&amp;"P"&amp;$A25))/1000000,0),IF($A$2="SKEW",IFERROR(VALUE(IF(RTD("tos.rtd",,"IMPL_VOL","."&amp;B$2&amp;B$1&amp;"P"&amp;$A25)="N/A",0,RTD("tos.rtd",,"IMPL_VOL","."&amp;B$2&amp;B$1&amp;"P"&amp;$A25))),0)-IFERROR(VALUE(IF(RTD("tos.rtd",,"IMPL_VOL","."&amp;B$2&amp;B$1&amp;"C"&amp;$A25)="N/A",0,RTD("tos.rtd",,"IMPL_VOL","."&amp;B$2&amp;B$1&amp;"C"&amp;$A25))),0),IF($A$2="MAXPAIN",IF($A$4&gt;$A25,($A$4-$A25)*IF(RTD("tos.rtd",,"OPEN_INT","."&amp;B$2&amp;B$1&amp;"C"&amp;$A25)="N/A",0,RTD("tos.rtd",,"OPEN_INT","."&amp;B$2&amp;B$1&amp;"C"&amp;$A25)),0)+IF($A$4&lt;$A25,($A25-$A$4)*IF(RTD("tos.rtd",,"OPEN_INT","."&amp;B$2&amp;B$1&amp;"P"&amp;$A25)="N/A",0,RTD("tos.rtd",,"OPEN_INT","."&amp;B$2&amp;B$1&amp;"P"&amp;$A25)),0),IF(RTD("tos.rtd",,$A$2,"."&amp;B$2&amp;B$1&amp;"C"&amp;$A25)="N/A",0,RTD("tos.rtd",,$A$2,"."&amp;B$2&amp;B$1&amp;"C"&amp;$A25))-IF(RTD("tos.rtd",,$A$2,"."&amp;B$2&amp;B$1&amp;"P"&amp;$A25)="N/A",0,RTD("tos.rtd",,$A$2,"."&amp;B$2&amp;B$1&amp;"P"&amp;$A25)))))))))</f>
        <v>0</v>
      </c>
      <c r="C25" s="12">
        <f>IF($A$2="PREMIUM_OI",IFERROR((100*RTD("tos.rtd",,"OPEN_INT","."&amp;C$2&amp;C$1&amp;"C"&amp;$A25)*RTD("tos.rtd",,"LAST","."&amp;C$2&amp;C$1&amp;"C"&amp;$A25)-100*RTD("tos.rtd",,"OPEN_INT","."&amp;C$2&amp;C$1&amp;"P"&amp;$A25)*RTD("tos.rtd",,"LAST","."&amp;C$2&amp;C$1&amp;"P"&amp;$A25))/1000000,0),IF($A$2="PREMIUM",IFERROR((100*RTD("tos.rtd",,"VOLUME","."&amp;C$2&amp;C$1&amp;"C"&amp;$A25)*RTD("tos.rtd",,"LAST","."&amp;C$2&amp;C$1&amp;"C"&amp;$A25)-100*RTD("tos.rtd",,"VOLUME","."&amp;C$2&amp;C$1&amp;"P"&amp;$A25)*RTD("tos.rtd",,"LAST","."&amp;C$2&amp;C$1&amp;"P"&amp;$A25))/1000000,0),IF($A$2="DEX",IFERROR((100*RTD("tos.rtd",,"OPEN_INT","."&amp;C$2&amp;C$1&amp;"C"&amp;$A25)*RTD("tos.rtd",,"DELTA","."&amp;C$2&amp;C$1&amp;"C"&amp;$A25)-100*RTD("tos.rtd",,"OPEN_INT","."&amp;C$2&amp;C$1&amp;"P"&amp;$A25)*RTD("tos.rtd",,"DELTA","."&amp;C$2&amp;C$1&amp;"P"&amp;$A25))/1000,0),IF($A$2="VEX",IFERROR(($A$4*$A$4*RTD("tos.rtd",,"VOLUME","."&amp;C$2&amp;C$1&amp;"C"&amp;$A25)*RTD("tos.rtd",,"GAMMA","."&amp;C$2&amp;C$1&amp;"C"&amp;$A25)-$A$4*$A$4*RTD("tos.rtd",,"VOLUME","."&amp;C$2&amp;C$1&amp;"P"&amp;$A25)*RTD("tos.rtd",,"GAMMA","."&amp;C$2&amp;C$1&amp;"P"&amp;$A25))/1000000,0),IF($A$2="GEX",IFERROR(($A$4*$A$4*RTD("tos.rtd",,"OPEN_INT","."&amp;C$2&amp;C$1&amp;"C"&amp;$A25)*RTD("tos.rtd",,"GAMMA","."&amp;C$2&amp;C$1&amp;"C"&amp;$A25)-$A$4*$A$4*RTD("tos.rtd",,"OPEN_INT","."&amp;C$2&amp;C$1&amp;"P"&amp;$A25)*RTD("tos.rtd",,"GAMMA","."&amp;C$2&amp;C$1&amp;"P"&amp;$A25))/1000000,0),IF($A$2="SKEW",IFERROR(VALUE(IF(RTD("tos.rtd",,"IMPL_VOL","."&amp;C$2&amp;C$1&amp;"P"&amp;$A25)="N/A",0,RTD("tos.rtd",,"IMPL_VOL","."&amp;C$2&amp;C$1&amp;"P"&amp;$A25))),0)-IFERROR(VALUE(IF(RTD("tos.rtd",,"IMPL_VOL","."&amp;C$2&amp;C$1&amp;"C"&amp;$A25)="N/A",0,RTD("tos.rtd",,"IMPL_VOL","."&amp;C$2&amp;C$1&amp;"C"&amp;$A25))),0),IF($A$2="MAXPAIN",IF($A$4&gt;$A25,($A$4-$A25)*IF(RTD("tos.rtd",,"OPEN_INT","."&amp;C$2&amp;C$1&amp;"C"&amp;$A25)="N/A",0,RTD("tos.rtd",,"OPEN_INT","."&amp;C$2&amp;C$1&amp;"C"&amp;$A25)),0)+IF($A$4&lt;$A25,($A25-$A$4)*IF(RTD("tos.rtd",,"OPEN_INT","."&amp;C$2&amp;C$1&amp;"P"&amp;$A25)="N/A",0,RTD("tos.rtd",,"OPEN_INT","."&amp;C$2&amp;C$1&amp;"P"&amp;$A25)),0),IF(RTD("tos.rtd",,$A$2,"."&amp;C$2&amp;C$1&amp;"C"&amp;$A25)="N/A",0,RTD("tos.rtd",,$A$2,"."&amp;C$2&amp;C$1&amp;"C"&amp;$A25))-IF(RTD("tos.rtd",,$A$2,"."&amp;C$2&amp;C$1&amp;"P"&amp;$A25)="N/A",0,RTD("tos.rtd",,$A$2,"."&amp;C$2&amp;C$1&amp;"P"&amp;$A25)))))))))</f>
        <v>34881</v>
      </c>
      <c r="D25" s="12">
        <f>IF($A$2="PREMIUM_OI",IFERROR((100*RTD("tos.rtd",,"OPEN_INT","."&amp;D$2&amp;D$1&amp;"C"&amp;$A25)*RTD("tos.rtd",,"LAST","."&amp;D$2&amp;D$1&amp;"C"&amp;$A25)-100*RTD("tos.rtd",,"OPEN_INT","."&amp;D$2&amp;D$1&amp;"P"&amp;$A25)*RTD("tos.rtd",,"LAST","."&amp;D$2&amp;D$1&amp;"P"&amp;$A25))/1000000,0),IF($A$2="PREMIUM",IFERROR((100*RTD("tos.rtd",,"VOLUME","."&amp;D$2&amp;D$1&amp;"C"&amp;$A25)*RTD("tos.rtd",,"LAST","."&amp;D$2&amp;D$1&amp;"C"&amp;$A25)-100*RTD("tos.rtd",,"VOLUME","."&amp;D$2&amp;D$1&amp;"P"&amp;$A25)*RTD("tos.rtd",,"LAST","."&amp;D$2&amp;D$1&amp;"P"&amp;$A25))/1000000,0),IF($A$2="DEX",IFERROR((100*RTD("tos.rtd",,"OPEN_INT","."&amp;D$2&amp;D$1&amp;"C"&amp;$A25)*RTD("tos.rtd",,"DELTA","."&amp;D$2&amp;D$1&amp;"C"&amp;$A25)-100*RTD("tos.rtd",,"OPEN_INT","."&amp;D$2&amp;D$1&amp;"P"&amp;$A25)*RTD("tos.rtd",,"DELTA","."&amp;D$2&amp;D$1&amp;"P"&amp;$A25))/1000,0),IF($A$2="VEX",IFERROR(($A$4*$A$4*RTD("tos.rtd",,"VOLUME","."&amp;D$2&amp;D$1&amp;"C"&amp;$A25)*RTD("tos.rtd",,"GAMMA","."&amp;D$2&amp;D$1&amp;"C"&amp;$A25)-$A$4*$A$4*RTD("tos.rtd",,"VOLUME","."&amp;D$2&amp;D$1&amp;"P"&amp;$A25)*RTD("tos.rtd",,"GAMMA","."&amp;D$2&amp;D$1&amp;"P"&amp;$A25))/1000000,0),IF($A$2="GEX",IFERROR(($A$4*$A$4*RTD("tos.rtd",,"OPEN_INT","."&amp;D$2&amp;D$1&amp;"C"&amp;$A25)*RTD("tos.rtd",,"GAMMA","."&amp;D$2&amp;D$1&amp;"C"&amp;$A25)-$A$4*$A$4*RTD("tos.rtd",,"OPEN_INT","."&amp;D$2&amp;D$1&amp;"P"&amp;$A25)*RTD("tos.rtd",,"GAMMA","."&amp;D$2&amp;D$1&amp;"P"&amp;$A25))/1000000,0),IF($A$2="SKEW",IFERROR(VALUE(IF(RTD("tos.rtd",,"IMPL_VOL","."&amp;D$2&amp;D$1&amp;"P"&amp;$A25)="N/A",0,RTD("tos.rtd",,"IMPL_VOL","."&amp;D$2&amp;D$1&amp;"P"&amp;$A25))),0)-IFERROR(VALUE(IF(RTD("tos.rtd",,"IMPL_VOL","."&amp;D$2&amp;D$1&amp;"C"&amp;$A25)="N/A",0,RTD("tos.rtd",,"IMPL_VOL","."&amp;D$2&amp;D$1&amp;"C"&amp;$A25))),0),IF($A$2="MAXPAIN",IF($A$4&gt;$A25,($A$4-$A25)*IF(RTD("tos.rtd",,"OPEN_INT","."&amp;D$2&amp;D$1&amp;"C"&amp;$A25)="N/A",0,RTD("tos.rtd",,"OPEN_INT","."&amp;D$2&amp;D$1&amp;"C"&amp;$A25)),0)+IF($A$4&lt;$A25,($A25-$A$4)*IF(RTD("tos.rtd",,"OPEN_INT","."&amp;D$2&amp;D$1&amp;"P"&amp;$A25)="N/A",0,RTD("tos.rtd",,"OPEN_INT","."&amp;D$2&amp;D$1&amp;"P"&amp;$A25)),0),IF(RTD("tos.rtd",,$A$2,"."&amp;D$2&amp;D$1&amp;"C"&amp;$A25)="N/A",0,RTD("tos.rtd",,$A$2,"."&amp;D$2&amp;D$1&amp;"C"&amp;$A25))-IF(RTD("tos.rtd",,$A$2,"."&amp;D$2&amp;D$1&amp;"P"&amp;$A25)="N/A",0,RTD("tos.rtd",,$A$2,"."&amp;D$2&amp;D$1&amp;"P"&amp;$A25)))))))))</f>
        <v>0</v>
      </c>
      <c r="E25" s="12">
        <f>IF($A$2="PREMIUM_OI",IFERROR((100*RTD("tos.rtd",,"OPEN_INT","."&amp;E$2&amp;E$1&amp;"C"&amp;$A25)*RTD("tos.rtd",,"LAST","."&amp;E$2&amp;E$1&amp;"C"&amp;$A25)-100*RTD("tos.rtd",,"OPEN_INT","."&amp;E$2&amp;E$1&amp;"P"&amp;$A25)*RTD("tos.rtd",,"LAST","."&amp;E$2&amp;E$1&amp;"P"&amp;$A25))/1000000,0),IF($A$2="PREMIUM",IFERROR((100*RTD("tos.rtd",,"VOLUME","."&amp;E$2&amp;E$1&amp;"C"&amp;$A25)*RTD("tos.rtd",,"LAST","."&amp;E$2&amp;E$1&amp;"C"&amp;$A25)-100*RTD("tos.rtd",,"VOLUME","."&amp;E$2&amp;E$1&amp;"P"&amp;$A25)*RTD("tos.rtd",,"LAST","."&amp;E$2&amp;E$1&amp;"P"&amp;$A25))/1000000,0),IF($A$2="DEX",IFERROR((100*RTD("tos.rtd",,"OPEN_INT","."&amp;E$2&amp;E$1&amp;"C"&amp;$A25)*RTD("tos.rtd",,"DELTA","."&amp;E$2&amp;E$1&amp;"C"&amp;$A25)-100*RTD("tos.rtd",,"OPEN_INT","."&amp;E$2&amp;E$1&amp;"P"&amp;$A25)*RTD("tos.rtd",,"DELTA","."&amp;E$2&amp;E$1&amp;"P"&amp;$A25))/1000,0),IF($A$2="VEX",IFERROR(($A$4*$A$4*RTD("tos.rtd",,"VOLUME","."&amp;E$2&amp;E$1&amp;"C"&amp;$A25)*RTD("tos.rtd",,"GAMMA","."&amp;E$2&amp;E$1&amp;"C"&amp;$A25)-$A$4*$A$4*RTD("tos.rtd",,"VOLUME","."&amp;E$2&amp;E$1&amp;"P"&amp;$A25)*RTD("tos.rtd",,"GAMMA","."&amp;E$2&amp;E$1&amp;"P"&amp;$A25))/1000000,0),IF($A$2="GEX",IFERROR(($A$4*$A$4*RTD("tos.rtd",,"OPEN_INT","."&amp;E$2&amp;E$1&amp;"C"&amp;$A25)*RTD("tos.rtd",,"GAMMA","."&amp;E$2&amp;E$1&amp;"C"&amp;$A25)-$A$4*$A$4*RTD("tos.rtd",,"OPEN_INT","."&amp;E$2&amp;E$1&amp;"P"&amp;$A25)*RTD("tos.rtd",,"GAMMA","."&amp;E$2&amp;E$1&amp;"P"&amp;$A25))/1000000,0),IF($A$2="SKEW",IFERROR(VALUE(IF(RTD("tos.rtd",,"IMPL_VOL","."&amp;E$2&amp;E$1&amp;"P"&amp;$A25)="N/A",0,RTD("tos.rtd",,"IMPL_VOL","."&amp;E$2&amp;E$1&amp;"P"&amp;$A25))),0)-IFERROR(VALUE(IF(RTD("tos.rtd",,"IMPL_VOL","."&amp;E$2&amp;E$1&amp;"C"&amp;$A25)="N/A",0,RTD("tos.rtd",,"IMPL_VOL","."&amp;E$2&amp;E$1&amp;"C"&amp;$A25))),0),IF($A$2="MAXPAIN",IF($A$4&gt;$A25,($A$4-$A25)*IF(RTD("tos.rtd",,"OPEN_INT","."&amp;E$2&amp;E$1&amp;"C"&amp;$A25)="N/A",0,RTD("tos.rtd",,"OPEN_INT","."&amp;E$2&amp;E$1&amp;"C"&amp;$A25)),0)+IF($A$4&lt;$A25,($A25-$A$4)*IF(RTD("tos.rtd",,"OPEN_INT","."&amp;E$2&amp;E$1&amp;"P"&amp;$A25)="N/A",0,RTD("tos.rtd",,"OPEN_INT","."&amp;E$2&amp;E$1&amp;"P"&amp;$A25)),0),IF(RTD("tos.rtd",,$A$2,"."&amp;E$2&amp;E$1&amp;"C"&amp;$A25)="N/A",0,RTD("tos.rtd",,$A$2,"."&amp;E$2&amp;E$1&amp;"C"&amp;$A25))-IF(RTD("tos.rtd",,$A$2,"."&amp;E$2&amp;E$1&amp;"P"&amp;$A25)="N/A",0,RTD("tos.rtd",,$A$2,"."&amp;E$2&amp;E$1&amp;"P"&amp;$A25)))))))))</f>
        <v>0</v>
      </c>
      <c r="F25" s="12">
        <f>IF($A$2="PREMIUM_OI",IFERROR((100*RTD("tos.rtd",,"OPEN_INT","."&amp;F$2&amp;F$1&amp;"C"&amp;$A25)*RTD("tos.rtd",,"LAST","."&amp;F$2&amp;F$1&amp;"C"&amp;$A25)-100*RTD("tos.rtd",,"OPEN_INT","."&amp;F$2&amp;F$1&amp;"P"&amp;$A25)*RTD("tos.rtd",,"LAST","."&amp;F$2&amp;F$1&amp;"P"&amp;$A25))/1000000,0),IF($A$2="PREMIUM",IFERROR((100*RTD("tos.rtd",,"VOLUME","."&amp;F$2&amp;F$1&amp;"C"&amp;$A25)*RTD("tos.rtd",,"LAST","."&amp;F$2&amp;F$1&amp;"C"&amp;$A25)-100*RTD("tos.rtd",,"VOLUME","."&amp;F$2&amp;F$1&amp;"P"&amp;$A25)*RTD("tos.rtd",,"LAST","."&amp;F$2&amp;F$1&amp;"P"&amp;$A25))/1000000,0),IF($A$2="DEX",IFERROR((100*RTD("tos.rtd",,"OPEN_INT","."&amp;F$2&amp;F$1&amp;"C"&amp;$A25)*RTD("tos.rtd",,"DELTA","."&amp;F$2&amp;F$1&amp;"C"&amp;$A25)-100*RTD("tos.rtd",,"OPEN_INT","."&amp;F$2&amp;F$1&amp;"P"&amp;$A25)*RTD("tos.rtd",,"DELTA","."&amp;F$2&amp;F$1&amp;"P"&amp;$A25))/1000,0),IF($A$2="VEX",IFERROR(($A$4*$A$4*RTD("tos.rtd",,"VOLUME","."&amp;F$2&amp;F$1&amp;"C"&amp;$A25)*RTD("tos.rtd",,"GAMMA","."&amp;F$2&amp;F$1&amp;"C"&amp;$A25)-$A$4*$A$4*RTD("tos.rtd",,"VOLUME","."&amp;F$2&amp;F$1&amp;"P"&amp;$A25)*RTD("tos.rtd",,"GAMMA","."&amp;F$2&amp;F$1&amp;"P"&amp;$A25))/1000000,0),IF($A$2="GEX",IFERROR(($A$4*$A$4*RTD("tos.rtd",,"OPEN_INT","."&amp;F$2&amp;F$1&amp;"C"&amp;$A25)*RTD("tos.rtd",,"GAMMA","."&amp;F$2&amp;F$1&amp;"C"&amp;$A25)-$A$4*$A$4*RTD("tos.rtd",,"OPEN_INT","."&amp;F$2&amp;F$1&amp;"P"&amp;$A25)*RTD("tos.rtd",,"GAMMA","."&amp;F$2&amp;F$1&amp;"P"&amp;$A25))/1000000,0),IF($A$2="SKEW",IFERROR(VALUE(IF(RTD("tos.rtd",,"IMPL_VOL","."&amp;F$2&amp;F$1&amp;"P"&amp;$A25)="N/A",0,RTD("tos.rtd",,"IMPL_VOL","."&amp;F$2&amp;F$1&amp;"P"&amp;$A25))),0)-IFERROR(VALUE(IF(RTD("tos.rtd",,"IMPL_VOL","."&amp;F$2&amp;F$1&amp;"C"&amp;$A25)="N/A",0,RTD("tos.rtd",,"IMPL_VOL","."&amp;F$2&amp;F$1&amp;"C"&amp;$A25))),0),IF($A$2="MAXPAIN",IF($A$4&gt;$A25,($A$4-$A25)*IF(RTD("tos.rtd",,"OPEN_INT","."&amp;F$2&amp;F$1&amp;"C"&amp;$A25)="N/A",0,RTD("tos.rtd",,"OPEN_INT","."&amp;F$2&amp;F$1&amp;"C"&amp;$A25)),0)+IF($A$4&lt;$A25,($A25-$A$4)*IF(RTD("tos.rtd",,"OPEN_INT","."&amp;F$2&amp;F$1&amp;"P"&amp;$A25)="N/A",0,RTD("tos.rtd",,"OPEN_INT","."&amp;F$2&amp;F$1&amp;"P"&amp;$A25)),0),IF(RTD("tos.rtd",,$A$2,"."&amp;F$2&amp;F$1&amp;"C"&amp;$A25)="N/A",0,RTD("tos.rtd",,$A$2,"."&amp;F$2&amp;F$1&amp;"C"&amp;$A25))-IF(RTD("tos.rtd",,$A$2,"."&amp;F$2&amp;F$1&amp;"P"&amp;$A25)="N/A",0,RTD("tos.rtd",,$A$2,"."&amp;F$2&amp;F$1&amp;"P"&amp;$A25)))))))))</f>
        <v>0</v>
      </c>
      <c r="G25" s="14">
        <f>IF($A$2="PREMIUM_OI",IFERROR((100*RTD("tos.rtd",,"OPEN_INT","."&amp;G$2&amp;G$1&amp;"C"&amp;$A25)*RTD("tos.rtd",,"LAST","."&amp;G$2&amp;G$1&amp;"C"&amp;$A25)-100*RTD("tos.rtd",,"OPEN_INT","."&amp;G$2&amp;G$1&amp;"P"&amp;$A25)*RTD("tos.rtd",,"LAST","."&amp;G$2&amp;G$1&amp;"P"&amp;$A25))/1000000,0),IF($A$2="PREMIUM",IFERROR((100*RTD("tos.rtd",,"VOLUME","."&amp;G$2&amp;G$1&amp;"C"&amp;$A25)*RTD("tos.rtd",,"LAST","."&amp;G$2&amp;G$1&amp;"C"&amp;$A25)-100*RTD("tos.rtd",,"VOLUME","."&amp;G$2&amp;G$1&amp;"P"&amp;$A25)*RTD("tos.rtd",,"LAST","."&amp;G$2&amp;G$1&amp;"P"&amp;$A25))/1000000,0),IF($A$2="DEX",IFERROR((100*RTD("tos.rtd",,"OPEN_INT","."&amp;G$2&amp;G$1&amp;"C"&amp;$A25)*RTD("tos.rtd",,"DELTA","."&amp;G$2&amp;G$1&amp;"C"&amp;$A25)-100*RTD("tos.rtd",,"OPEN_INT","."&amp;G$2&amp;G$1&amp;"P"&amp;$A25)*RTD("tos.rtd",,"DELTA","."&amp;G$2&amp;G$1&amp;"P"&amp;$A25))/1000,0),IF($A$2="VEX",IFERROR(($A$4*$A$4*RTD("tos.rtd",,"VOLUME","."&amp;G$2&amp;G$1&amp;"C"&amp;$A25)*RTD("tos.rtd",,"GAMMA","."&amp;G$2&amp;G$1&amp;"C"&amp;$A25)-$A$4*$A$4*RTD("tos.rtd",,"VOLUME","."&amp;G$2&amp;G$1&amp;"P"&amp;$A25)*RTD("tos.rtd",,"GAMMA","."&amp;G$2&amp;G$1&amp;"P"&amp;$A25))/1000000,0),IF($A$2="GEX",IFERROR(($A$4*$A$4*RTD("tos.rtd",,"OPEN_INT","."&amp;G$2&amp;G$1&amp;"C"&amp;$A25)*RTD("tos.rtd",,"GAMMA","."&amp;G$2&amp;G$1&amp;"C"&amp;$A25)-$A$4*$A$4*RTD("tos.rtd",,"OPEN_INT","."&amp;G$2&amp;G$1&amp;"P"&amp;$A25)*RTD("tos.rtd",,"GAMMA","."&amp;G$2&amp;G$1&amp;"P"&amp;$A25))/1000000,0),IF($A$2="SKEW",IFERROR(VALUE(IF(RTD("tos.rtd",,"IMPL_VOL","."&amp;G$2&amp;G$1&amp;"P"&amp;$A25)="N/A",0,RTD("tos.rtd",,"IMPL_VOL","."&amp;G$2&amp;G$1&amp;"P"&amp;$A25))),0)-IFERROR(VALUE(IF(RTD("tos.rtd",,"IMPL_VOL","."&amp;G$2&amp;G$1&amp;"C"&amp;$A25)="N/A",0,RTD("tos.rtd",,"IMPL_VOL","."&amp;G$2&amp;G$1&amp;"C"&amp;$A25))),0),IF($A$2="MAXPAIN",IF($A$4&gt;$A25,($A$4-$A25)*IF(RTD("tos.rtd",,"OPEN_INT","."&amp;G$2&amp;G$1&amp;"C"&amp;$A25)="N/A",0,RTD("tos.rtd",,"OPEN_INT","."&amp;G$2&amp;G$1&amp;"C"&amp;$A25)),0)+IF($A$4&lt;$A25,($A25-$A$4)*IF(RTD("tos.rtd",,"OPEN_INT","."&amp;G$2&amp;G$1&amp;"P"&amp;$A25)="N/A",0,RTD("tos.rtd",,"OPEN_INT","."&amp;G$2&amp;G$1&amp;"P"&amp;$A25)),0),IF(RTD("tos.rtd",,$A$2,"."&amp;G$2&amp;G$1&amp;"C"&amp;$A25)="N/A",0,RTD("tos.rtd",,$A$2,"."&amp;G$2&amp;G$1&amp;"C"&amp;$A25))-IF(RTD("tos.rtd",,$A$2,"."&amp;G$2&amp;G$1&amp;"P"&amp;$A25)="N/A",0,RTD("tos.rtd",,$A$2,"."&amp;G$2&amp;G$1&amp;"P"&amp;$A25)))))))))</f>
        <v>0</v>
      </c>
      <c r="H25" s="12">
        <f>IF($A$2="PREMIUM_OI",IFERROR((100*RTD("tos.rtd",,"OPEN_INT","."&amp;H$2&amp;H$1&amp;"C"&amp;$A25)*RTD("tos.rtd",,"LAST","."&amp;H$2&amp;H$1&amp;"C"&amp;$A25)-100*RTD("tos.rtd",,"OPEN_INT","."&amp;H$2&amp;H$1&amp;"P"&amp;$A25)*RTD("tos.rtd",,"LAST","."&amp;H$2&amp;H$1&amp;"P"&amp;$A25))/1000000,0),IF($A$2="PREMIUM",IFERROR((100*RTD("tos.rtd",,"VOLUME","."&amp;H$2&amp;H$1&amp;"C"&amp;$A25)*RTD("tos.rtd",,"LAST","."&amp;H$2&amp;H$1&amp;"C"&amp;$A25)-100*RTD("tos.rtd",,"VOLUME","."&amp;H$2&amp;H$1&amp;"P"&amp;$A25)*RTD("tos.rtd",,"LAST","."&amp;H$2&amp;H$1&amp;"P"&amp;$A25))/1000000,0),IF($A$2="DEX",IFERROR((100*RTD("tos.rtd",,"OPEN_INT","."&amp;H$2&amp;H$1&amp;"C"&amp;$A25)*RTD("tos.rtd",,"DELTA","."&amp;H$2&amp;H$1&amp;"C"&amp;$A25)-100*RTD("tos.rtd",,"OPEN_INT","."&amp;H$2&amp;H$1&amp;"P"&amp;$A25)*RTD("tos.rtd",,"DELTA","."&amp;H$2&amp;H$1&amp;"P"&amp;$A25))/1000,0),IF($A$2="VEX",IFERROR(($A$4*$A$4*RTD("tos.rtd",,"VOLUME","."&amp;H$2&amp;H$1&amp;"C"&amp;$A25)*RTD("tos.rtd",,"GAMMA","."&amp;H$2&amp;H$1&amp;"C"&amp;$A25)-$A$4*$A$4*RTD("tos.rtd",,"VOLUME","."&amp;H$2&amp;H$1&amp;"P"&amp;$A25)*RTD("tos.rtd",,"GAMMA","."&amp;H$2&amp;H$1&amp;"P"&amp;$A25))/1000000,0),IF($A$2="GEX",IFERROR(($A$4*$A$4*RTD("tos.rtd",,"OPEN_INT","."&amp;H$2&amp;H$1&amp;"C"&amp;$A25)*RTD("tos.rtd",,"GAMMA","."&amp;H$2&amp;H$1&amp;"C"&amp;$A25)-$A$4*$A$4*RTD("tos.rtd",,"OPEN_INT","."&amp;H$2&amp;H$1&amp;"P"&amp;$A25)*RTD("tos.rtd",,"GAMMA","."&amp;H$2&amp;H$1&amp;"P"&amp;$A25))/1000000,0),IF($A$2="SKEW",IFERROR(VALUE(IF(RTD("tos.rtd",,"IMPL_VOL","."&amp;H$2&amp;H$1&amp;"P"&amp;$A25)="N/A",0,RTD("tos.rtd",,"IMPL_VOL","."&amp;H$2&amp;H$1&amp;"P"&amp;$A25))),0)-IFERROR(VALUE(IF(RTD("tos.rtd",,"IMPL_VOL","."&amp;H$2&amp;H$1&amp;"C"&amp;$A25)="N/A",0,RTD("tos.rtd",,"IMPL_VOL","."&amp;H$2&amp;H$1&amp;"C"&amp;$A25))),0),IF($A$2="MAXPAIN",IF($A$4&gt;$A25,($A$4-$A25)*IF(RTD("tos.rtd",,"OPEN_INT","."&amp;H$2&amp;H$1&amp;"C"&amp;$A25)="N/A",0,RTD("tos.rtd",,"OPEN_INT","."&amp;H$2&amp;H$1&amp;"C"&amp;$A25)),0)+IF($A$4&lt;$A25,($A25-$A$4)*IF(RTD("tos.rtd",,"OPEN_INT","."&amp;H$2&amp;H$1&amp;"P"&amp;$A25)="N/A",0,RTD("tos.rtd",,"OPEN_INT","."&amp;H$2&amp;H$1&amp;"P"&amp;$A25)),0),IF(RTD("tos.rtd",,$A$2,"."&amp;H$2&amp;H$1&amp;"C"&amp;$A25)="N/A",0,RTD("tos.rtd",,$A$2,"."&amp;H$2&amp;H$1&amp;"C"&amp;$A25))-IF(RTD("tos.rtd",,$A$2,"."&amp;H$2&amp;H$1&amp;"P"&amp;$A25)="N/A",0,RTD("tos.rtd",,$A$2,"."&amp;H$2&amp;H$1&amp;"P"&amp;$A25)))))))))</f>
        <v>19508</v>
      </c>
      <c r="I25" s="12">
        <f>IF($A$2="PREMIUM_OI",IFERROR((100*RTD("tos.rtd",,"OPEN_INT","."&amp;I$2&amp;I$1&amp;"C"&amp;$A25)*RTD("tos.rtd",,"LAST","."&amp;I$2&amp;I$1&amp;"C"&amp;$A25)-100*RTD("tos.rtd",,"OPEN_INT","."&amp;I$2&amp;I$1&amp;"P"&amp;$A25)*RTD("tos.rtd",,"LAST","."&amp;I$2&amp;I$1&amp;"P"&amp;$A25))/1000000,0),IF($A$2="PREMIUM",IFERROR((100*RTD("tos.rtd",,"VOLUME","."&amp;I$2&amp;I$1&amp;"C"&amp;$A25)*RTD("tos.rtd",,"LAST","."&amp;I$2&amp;I$1&amp;"C"&amp;$A25)-100*RTD("tos.rtd",,"VOLUME","."&amp;I$2&amp;I$1&amp;"P"&amp;$A25)*RTD("tos.rtd",,"LAST","."&amp;I$2&amp;I$1&amp;"P"&amp;$A25))/1000000,0),IF($A$2="DEX",IFERROR((100*RTD("tos.rtd",,"OPEN_INT","."&amp;I$2&amp;I$1&amp;"C"&amp;$A25)*RTD("tos.rtd",,"DELTA","."&amp;I$2&amp;I$1&amp;"C"&amp;$A25)-100*RTD("tos.rtd",,"OPEN_INT","."&amp;I$2&amp;I$1&amp;"P"&amp;$A25)*RTD("tos.rtd",,"DELTA","."&amp;I$2&amp;I$1&amp;"P"&amp;$A25))/1000,0),IF($A$2="VEX",IFERROR(($A$4*$A$4*RTD("tos.rtd",,"VOLUME","."&amp;I$2&amp;I$1&amp;"C"&amp;$A25)*RTD("tos.rtd",,"GAMMA","."&amp;I$2&amp;I$1&amp;"C"&amp;$A25)-$A$4*$A$4*RTD("tos.rtd",,"VOLUME","."&amp;I$2&amp;I$1&amp;"P"&amp;$A25)*RTD("tos.rtd",,"GAMMA","."&amp;I$2&amp;I$1&amp;"P"&amp;$A25))/1000000,0),IF($A$2="GEX",IFERROR(($A$4*$A$4*RTD("tos.rtd",,"OPEN_INT","."&amp;I$2&amp;I$1&amp;"C"&amp;$A25)*RTD("tos.rtd",,"GAMMA","."&amp;I$2&amp;I$1&amp;"C"&amp;$A25)-$A$4*$A$4*RTD("tos.rtd",,"OPEN_INT","."&amp;I$2&amp;I$1&amp;"P"&amp;$A25)*RTD("tos.rtd",,"GAMMA","."&amp;I$2&amp;I$1&amp;"P"&amp;$A25))/1000000,0),IF($A$2="SKEW",IFERROR(VALUE(IF(RTD("tos.rtd",,"IMPL_VOL","."&amp;I$2&amp;I$1&amp;"P"&amp;$A25)="N/A",0,RTD("tos.rtd",,"IMPL_VOL","."&amp;I$2&amp;I$1&amp;"P"&amp;$A25))),0)-IFERROR(VALUE(IF(RTD("tos.rtd",,"IMPL_VOL","."&amp;I$2&amp;I$1&amp;"C"&amp;$A25)="N/A",0,RTD("tos.rtd",,"IMPL_VOL","."&amp;I$2&amp;I$1&amp;"C"&amp;$A25))),0),IF($A$2="MAXPAIN",IF($A$4&gt;$A25,($A$4-$A25)*IF(RTD("tos.rtd",,"OPEN_INT","."&amp;I$2&amp;I$1&amp;"C"&amp;$A25)="N/A",0,RTD("tos.rtd",,"OPEN_INT","."&amp;I$2&amp;I$1&amp;"C"&amp;$A25)),0)+IF($A$4&lt;$A25,($A25-$A$4)*IF(RTD("tos.rtd",,"OPEN_INT","."&amp;I$2&amp;I$1&amp;"P"&amp;$A25)="N/A",0,RTD("tos.rtd",,"OPEN_INT","."&amp;I$2&amp;I$1&amp;"P"&amp;$A25)),0),IF(RTD("tos.rtd",,$A$2,"."&amp;I$2&amp;I$1&amp;"C"&amp;$A25)="N/A",0,RTD("tos.rtd",,$A$2,"."&amp;I$2&amp;I$1&amp;"C"&amp;$A25))-IF(RTD("tos.rtd",,$A$2,"."&amp;I$2&amp;I$1&amp;"P"&amp;$A25)="N/A",0,RTD("tos.rtd",,$A$2,"."&amp;I$2&amp;I$1&amp;"P"&amp;$A25)))))))))</f>
        <v>0</v>
      </c>
      <c r="J25" s="12">
        <f>IF($A$2="PREMIUM_OI",IFERROR((100*RTD("tos.rtd",,"OPEN_INT","."&amp;J$2&amp;J$1&amp;"C"&amp;$A25)*RTD("tos.rtd",,"LAST","."&amp;J$2&amp;J$1&amp;"C"&amp;$A25)-100*RTD("tos.rtd",,"OPEN_INT","."&amp;J$2&amp;J$1&amp;"P"&amp;$A25)*RTD("tos.rtd",,"LAST","."&amp;J$2&amp;J$1&amp;"P"&amp;$A25))/1000000,0),IF($A$2="PREMIUM",IFERROR((100*RTD("tos.rtd",,"VOLUME","."&amp;J$2&amp;J$1&amp;"C"&amp;$A25)*RTD("tos.rtd",,"LAST","."&amp;J$2&amp;J$1&amp;"C"&amp;$A25)-100*RTD("tos.rtd",,"VOLUME","."&amp;J$2&amp;J$1&amp;"P"&amp;$A25)*RTD("tos.rtd",,"LAST","."&amp;J$2&amp;J$1&amp;"P"&amp;$A25))/1000000,0),IF($A$2="DEX",IFERROR((100*RTD("tos.rtd",,"OPEN_INT","."&amp;J$2&amp;J$1&amp;"C"&amp;$A25)*RTD("tos.rtd",,"DELTA","."&amp;J$2&amp;J$1&amp;"C"&amp;$A25)-100*RTD("tos.rtd",,"OPEN_INT","."&amp;J$2&amp;J$1&amp;"P"&amp;$A25)*RTD("tos.rtd",,"DELTA","."&amp;J$2&amp;J$1&amp;"P"&amp;$A25))/1000,0),IF($A$2="VEX",IFERROR(($A$4*$A$4*RTD("tos.rtd",,"VOLUME","."&amp;J$2&amp;J$1&amp;"C"&amp;$A25)*RTD("tos.rtd",,"GAMMA","."&amp;J$2&amp;J$1&amp;"C"&amp;$A25)-$A$4*$A$4*RTD("tos.rtd",,"VOLUME","."&amp;J$2&amp;J$1&amp;"P"&amp;$A25)*RTD("tos.rtd",,"GAMMA","."&amp;J$2&amp;J$1&amp;"P"&amp;$A25))/1000000,0),IF($A$2="GEX",IFERROR(($A$4*$A$4*RTD("tos.rtd",,"OPEN_INT","."&amp;J$2&amp;J$1&amp;"C"&amp;$A25)*RTD("tos.rtd",,"GAMMA","."&amp;J$2&amp;J$1&amp;"C"&amp;$A25)-$A$4*$A$4*RTD("tos.rtd",,"OPEN_INT","."&amp;J$2&amp;J$1&amp;"P"&amp;$A25)*RTD("tos.rtd",,"GAMMA","."&amp;J$2&amp;J$1&amp;"P"&amp;$A25))/1000000,0),IF($A$2="SKEW",IFERROR(VALUE(IF(RTD("tos.rtd",,"IMPL_VOL","."&amp;J$2&amp;J$1&amp;"P"&amp;$A25)="N/A",0,RTD("tos.rtd",,"IMPL_VOL","."&amp;J$2&amp;J$1&amp;"P"&amp;$A25))),0)-IFERROR(VALUE(IF(RTD("tos.rtd",,"IMPL_VOL","."&amp;J$2&amp;J$1&amp;"C"&amp;$A25)="N/A",0,RTD("tos.rtd",,"IMPL_VOL","."&amp;J$2&amp;J$1&amp;"C"&amp;$A25))),0),IF($A$2="MAXPAIN",IF($A$4&gt;$A25,($A$4-$A25)*IF(RTD("tos.rtd",,"OPEN_INT","."&amp;J$2&amp;J$1&amp;"C"&amp;$A25)="N/A",0,RTD("tos.rtd",,"OPEN_INT","."&amp;J$2&amp;J$1&amp;"C"&amp;$A25)),0)+IF($A$4&lt;$A25,($A25-$A$4)*IF(RTD("tos.rtd",,"OPEN_INT","."&amp;J$2&amp;J$1&amp;"P"&amp;$A25)="N/A",0,RTD("tos.rtd",,"OPEN_INT","."&amp;J$2&amp;J$1&amp;"P"&amp;$A25)),0),IF(RTD("tos.rtd",,$A$2,"."&amp;J$2&amp;J$1&amp;"C"&amp;$A25)="N/A",0,RTD("tos.rtd",,$A$2,"."&amp;J$2&amp;J$1&amp;"C"&amp;$A25))-IF(RTD("tos.rtd",,$A$2,"."&amp;J$2&amp;J$1&amp;"P"&amp;$A25)="N/A",0,RTD("tos.rtd",,$A$2,"."&amp;J$2&amp;J$1&amp;"P"&amp;$A25)))))))))</f>
        <v>0</v>
      </c>
      <c r="K25" s="12">
        <f>IF($A$2="PREMIUM_OI",IFERROR((100*RTD("tos.rtd",,"OPEN_INT","."&amp;K$2&amp;K$1&amp;"C"&amp;$A25)*RTD("tos.rtd",,"LAST","."&amp;K$2&amp;K$1&amp;"C"&amp;$A25)-100*RTD("tos.rtd",,"OPEN_INT","."&amp;K$2&amp;K$1&amp;"P"&amp;$A25)*RTD("tos.rtd",,"LAST","."&amp;K$2&amp;K$1&amp;"P"&amp;$A25))/1000000,0),IF($A$2="PREMIUM",IFERROR((100*RTD("tos.rtd",,"VOLUME","."&amp;K$2&amp;K$1&amp;"C"&amp;$A25)*RTD("tos.rtd",,"LAST","."&amp;K$2&amp;K$1&amp;"C"&amp;$A25)-100*RTD("tos.rtd",,"VOLUME","."&amp;K$2&amp;K$1&amp;"P"&amp;$A25)*RTD("tos.rtd",,"LAST","."&amp;K$2&amp;K$1&amp;"P"&amp;$A25))/1000000,0),IF($A$2="DEX",IFERROR((100*RTD("tos.rtd",,"OPEN_INT","."&amp;K$2&amp;K$1&amp;"C"&amp;$A25)*RTD("tos.rtd",,"DELTA","."&amp;K$2&amp;K$1&amp;"C"&amp;$A25)-100*RTD("tos.rtd",,"OPEN_INT","."&amp;K$2&amp;K$1&amp;"P"&amp;$A25)*RTD("tos.rtd",,"DELTA","."&amp;K$2&amp;K$1&amp;"P"&amp;$A25))/1000,0),IF($A$2="VEX",IFERROR(($A$4*$A$4*RTD("tos.rtd",,"VOLUME","."&amp;K$2&amp;K$1&amp;"C"&amp;$A25)*RTD("tos.rtd",,"GAMMA","."&amp;K$2&amp;K$1&amp;"C"&amp;$A25)-$A$4*$A$4*RTD("tos.rtd",,"VOLUME","."&amp;K$2&amp;K$1&amp;"P"&amp;$A25)*RTD("tos.rtd",,"GAMMA","."&amp;K$2&amp;K$1&amp;"P"&amp;$A25))/1000000,0),IF($A$2="GEX",IFERROR(($A$4*$A$4*RTD("tos.rtd",,"OPEN_INT","."&amp;K$2&amp;K$1&amp;"C"&amp;$A25)*RTD("tos.rtd",,"GAMMA","."&amp;K$2&amp;K$1&amp;"C"&amp;$A25)-$A$4*$A$4*RTD("tos.rtd",,"OPEN_INT","."&amp;K$2&amp;K$1&amp;"P"&amp;$A25)*RTD("tos.rtd",,"GAMMA","."&amp;K$2&amp;K$1&amp;"P"&amp;$A25))/1000000,0),IF($A$2="SKEW",IFERROR(VALUE(IF(RTD("tos.rtd",,"IMPL_VOL","."&amp;K$2&amp;K$1&amp;"P"&amp;$A25)="N/A",0,RTD("tos.rtd",,"IMPL_VOL","."&amp;K$2&amp;K$1&amp;"P"&amp;$A25))),0)-IFERROR(VALUE(IF(RTD("tos.rtd",,"IMPL_VOL","."&amp;K$2&amp;K$1&amp;"C"&amp;$A25)="N/A",0,RTD("tos.rtd",,"IMPL_VOL","."&amp;K$2&amp;K$1&amp;"C"&amp;$A25))),0),IF($A$2="MAXPAIN",IF($A$4&gt;$A25,($A$4-$A25)*IF(RTD("tos.rtd",,"OPEN_INT","."&amp;K$2&amp;K$1&amp;"C"&amp;$A25)="N/A",0,RTD("tos.rtd",,"OPEN_INT","."&amp;K$2&amp;K$1&amp;"C"&amp;$A25)),0)+IF($A$4&lt;$A25,($A25-$A$4)*IF(RTD("tos.rtd",,"OPEN_INT","."&amp;K$2&amp;K$1&amp;"P"&amp;$A25)="N/A",0,RTD("tos.rtd",,"OPEN_INT","."&amp;K$2&amp;K$1&amp;"P"&amp;$A25)),0),IF(RTD("tos.rtd",,$A$2,"."&amp;K$2&amp;K$1&amp;"C"&amp;$A25)="N/A",0,RTD("tos.rtd",,$A$2,"."&amp;K$2&amp;K$1&amp;"C"&amp;$A25))-IF(RTD("tos.rtd",,$A$2,"."&amp;K$2&amp;K$1&amp;"P"&amp;$A25)="N/A",0,RTD("tos.rtd",,$A$2,"."&amp;K$2&amp;K$1&amp;"P"&amp;$A25)))))))))</f>
        <v>0</v>
      </c>
      <c r="L25" s="12">
        <f>IF($A$2="PREMIUM_OI",IFERROR((100*RTD("tos.rtd",,"OPEN_INT","."&amp;L$2&amp;L$1&amp;"C"&amp;$A25)*RTD("tos.rtd",,"LAST","."&amp;L$2&amp;L$1&amp;"C"&amp;$A25)-100*RTD("tos.rtd",,"OPEN_INT","."&amp;L$2&amp;L$1&amp;"P"&amp;$A25)*RTD("tos.rtd",,"LAST","."&amp;L$2&amp;L$1&amp;"P"&amp;$A25))/1000000,0),IF($A$2="PREMIUM",IFERROR((100*RTD("tos.rtd",,"VOLUME","."&amp;L$2&amp;L$1&amp;"C"&amp;$A25)*RTD("tos.rtd",,"LAST","."&amp;L$2&amp;L$1&amp;"C"&amp;$A25)-100*RTD("tos.rtd",,"VOLUME","."&amp;L$2&amp;L$1&amp;"P"&amp;$A25)*RTD("tos.rtd",,"LAST","."&amp;L$2&amp;L$1&amp;"P"&amp;$A25))/1000000,0),IF($A$2="DEX",IFERROR((100*RTD("tos.rtd",,"OPEN_INT","."&amp;L$2&amp;L$1&amp;"C"&amp;$A25)*RTD("tos.rtd",,"DELTA","."&amp;L$2&amp;L$1&amp;"C"&amp;$A25)-100*RTD("tos.rtd",,"OPEN_INT","."&amp;L$2&amp;L$1&amp;"P"&amp;$A25)*RTD("tos.rtd",,"DELTA","."&amp;L$2&amp;L$1&amp;"P"&amp;$A25))/1000,0),IF($A$2="VEX",IFERROR(($A$4*$A$4*RTD("tos.rtd",,"VOLUME","."&amp;L$2&amp;L$1&amp;"C"&amp;$A25)*RTD("tos.rtd",,"GAMMA","."&amp;L$2&amp;L$1&amp;"C"&amp;$A25)-$A$4*$A$4*RTD("tos.rtd",,"VOLUME","."&amp;L$2&amp;L$1&amp;"P"&amp;$A25)*RTD("tos.rtd",,"GAMMA","."&amp;L$2&amp;L$1&amp;"P"&amp;$A25))/1000000,0),IF($A$2="GEX",IFERROR(($A$4*$A$4*RTD("tos.rtd",,"OPEN_INT","."&amp;L$2&amp;L$1&amp;"C"&amp;$A25)*RTD("tos.rtd",,"GAMMA","."&amp;L$2&amp;L$1&amp;"C"&amp;$A25)-$A$4*$A$4*RTD("tos.rtd",,"OPEN_INT","."&amp;L$2&amp;L$1&amp;"P"&amp;$A25)*RTD("tos.rtd",,"GAMMA","."&amp;L$2&amp;L$1&amp;"P"&amp;$A25))/1000000,0),IF($A$2="SKEW",IFERROR(VALUE(IF(RTD("tos.rtd",,"IMPL_VOL","."&amp;L$2&amp;L$1&amp;"P"&amp;$A25)="N/A",0,RTD("tos.rtd",,"IMPL_VOL","."&amp;L$2&amp;L$1&amp;"P"&amp;$A25))),0)-IFERROR(VALUE(IF(RTD("tos.rtd",,"IMPL_VOL","."&amp;L$2&amp;L$1&amp;"C"&amp;$A25)="N/A",0,RTD("tos.rtd",,"IMPL_VOL","."&amp;L$2&amp;L$1&amp;"C"&amp;$A25))),0),IF($A$2="MAXPAIN",IF($A$4&gt;$A25,($A$4-$A25)*IF(RTD("tos.rtd",,"OPEN_INT","."&amp;L$2&amp;L$1&amp;"C"&amp;$A25)="N/A",0,RTD("tos.rtd",,"OPEN_INT","."&amp;L$2&amp;L$1&amp;"C"&amp;$A25)),0)+IF($A$4&lt;$A25,($A25-$A$4)*IF(RTD("tos.rtd",,"OPEN_INT","."&amp;L$2&amp;L$1&amp;"P"&amp;$A25)="N/A",0,RTD("tos.rtd",,"OPEN_INT","."&amp;L$2&amp;L$1&amp;"P"&amp;$A25)),0),IF(RTD("tos.rtd",,$A$2,"."&amp;L$2&amp;L$1&amp;"C"&amp;$A25)="N/A",0,RTD("tos.rtd",,$A$2,"."&amp;L$2&amp;L$1&amp;"C"&amp;$A25))-IF(RTD("tos.rtd",,$A$2,"."&amp;L$2&amp;L$1&amp;"P"&amp;$A25)="N/A",0,RTD("tos.rtd",,$A$2,"."&amp;L$2&amp;L$1&amp;"P"&amp;$A25)))))))))</f>
        <v>0</v>
      </c>
      <c r="M25" s="12">
        <f>IF($A$2="PREMIUM_OI",IFERROR((100*RTD("tos.rtd",,"OPEN_INT","."&amp;M$2&amp;M$1&amp;"C"&amp;$A25)*RTD("tos.rtd",,"LAST","."&amp;M$2&amp;M$1&amp;"C"&amp;$A25)-100*RTD("tos.rtd",,"OPEN_INT","."&amp;M$2&amp;M$1&amp;"P"&amp;$A25)*RTD("tos.rtd",,"LAST","."&amp;M$2&amp;M$1&amp;"P"&amp;$A25))/1000000,0),IF($A$2="PREMIUM",IFERROR((100*RTD("tos.rtd",,"VOLUME","."&amp;M$2&amp;M$1&amp;"C"&amp;$A25)*RTD("tos.rtd",,"LAST","."&amp;M$2&amp;M$1&amp;"C"&amp;$A25)-100*RTD("tos.rtd",,"VOLUME","."&amp;M$2&amp;M$1&amp;"P"&amp;$A25)*RTD("tos.rtd",,"LAST","."&amp;M$2&amp;M$1&amp;"P"&amp;$A25))/1000000,0),IF($A$2="DEX",IFERROR((100*RTD("tos.rtd",,"OPEN_INT","."&amp;M$2&amp;M$1&amp;"C"&amp;$A25)*RTD("tos.rtd",,"DELTA","."&amp;M$2&amp;M$1&amp;"C"&amp;$A25)-100*RTD("tos.rtd",,"OPEN_INT","."&amp;M$2&amp;M$1&amp;"P"&amp;$A25)*RTD("tos.rtd",,"DELTA","."&amp;M$2&amp;M$1&amp;"P"&amp;$A25))/1000,0),IF($A$2="VEX",IFERROR(($A$4*$A$4*RTD("tos.rtd",,"VOLUME","."&amp;M$2&amp;M$1&amp;"C"&amp;$A25)*RTD("tos.rtd",,"GAMMA","."&amp;M$2&amp;M$1&amp;"C"&amp;$A25)-$A$4*$A$4*RTD("tos.rtd",,"VOLUME","."&amp;M$2&amp;M$1&amp;"P"&amp;$A25)*RTD("tos.rtd",,"GAMMA","."&amp;M$2&amp;M$1&amp;"P"&amp;$A25))/1000000,0),IF($A$2="GEX",IFERROR(($A$4*$A$4*RTD("tos.rtd",,"OPEN_INT","."&amp;M$2&amp;M$1&amp;"C"&amp;$A25)*RTD("tos.rtd",,"GAMMA","."&amp;M$2&amp;M$1&amp;"C"&amp;$A25)-$A$4*$A$4*RTD("tos.rtd",,"OPEN_INT","."&amp;M$2&amp;M$1&amp;"P"&amp;$A25)*RTD("tos.rtd",,"GAMMA","."&amp;M$2&amp;M$1&amp;"P"&amp;$A25))/1000000,0),IF($A$2="SKEW",IFERROR(VALUE(IF(RTD("tos.rtd",,"IMPL_VOL","."&amp;M$2&amp;M$1&amp;"P"&amp;$A25)="N/A",0,RTD("tos.rtd",,"IMPL_VOL","."&amp;M$2&amp;M$1&amp;"P"&amp;$A25))),0)-IFERROR(VALUE(IF(RTD("tos.rtd",,"IMPL_VOL","."&amp;M$2&amp;M$1&amp;"C"&amp;$A25)="N/A",0,RTD("tos.rtd",,"IMPL_VOL","."&amp;M$2&amp;M$1&amp;"C"&amp;$A25))),0),IF($A$2="MAXPAIN",IF($A$4&gt;$A25,($A$4-$A25)*IF(RTD("tos.rtd",,"OPEN_INT","."&amp;M$2&amp;M$1&amp;"C"&amp;$A25)="N/A",0,RTD("tos.rtd",,"OPEN_INT","."&amp;M$2&amp;M$1&amp;"C"&amp;$A25)),0)+IF($A$4&lt;$A25,($A25-$A$4)*IF(RTD("tos.rtd",,"OPEN_INT","."&amp;M$2&amp;M$1&amp;"P"&amp;$A25)="N/A",0,RTD("tos.rtd",,"OPEN_INT","."&amp;M$2&amp;M$1&amp;"P"&amp;$A25)),0),IF(RTD("tos.rtd",,$A$2,"."&amp;M$2&amp;M$1&amp;"C"&amp;$A25)="N/A",0,RTD("tos.rtd",,$A$2,"."&amp;M$2&amp;M$1&amp;"C"&amp;$A25))-IF(RTD("tos.rtd",,$A$2,"."&amp;M$2&amp;M$1&amp;"P"&amp;$A25)="N/A",0,RTD("tos.rtd",,$A$2,"."&amp;M$2&amp;M$1&amp;"P"&amp;$A25)))))))))</f>
        <v>14999</v>
      </c>
      <c r="N25" s="12">
        <f>IF($A$2="PREMIUM_OI",IFERROR((100*RTD("tos.rtd",,"OPEN_INT","."&amp;N$2&amp;N$1&amp;"C"&amp;$A25)*RTD("tos.rtd",,"LAST","."&amp;N$2&amp;N$1&amp;"C"&amp;$A25)-100*RTD("tos.rtd",,"OPEN_INT","."&amp;N$2&amp;N$1&amp;"P"&amp;$A25)*RTD("tos.rtd",,"LAST","."&amp;N$2&amp;N$1&amp;"P"&amp;$A25))/1000000,0),IF($A$2="PREMIUM",IFERROR((100*RTD("tos.rtd",,"VOLUME","."&amp;N$2&amp;N$1&amp;"C"&amp;$A25)*RTD("tos.rtd",,"LAST","."&amp;N$2&amp;N$1&amp;"C"&amp;$A25)-100*RTD("tos.rtd",,"VOLUME","."&amp;N$2&amp;N$1&amp;"P"&amp;$A25)*RTD("tos.rtd",,"LAST","."&amp;N$2&amp;N$1&amp;"P"&amp;$A25))/1000000,0),IF($A$2="DEX",IFERROR((100*RTD("tos.rtd",,"OPEN_INT","."&amp;N$2&amp;N$1&amp;"C"&amp;$A25)*RTD("tos.rtd",,"DELTA","."&amp;N$2&amp;N$1&amp;"C"&amp;$A25)-100*RTD("tos.rtd",,"OPEN_INT","."&amp;N$2&amp;N$1&amp;"P"&amp;$A25)*RTD("tos.rtd",,"DELTA","."&amp;N$2&amp;N$1&amp;"P"&amp;$A25))/1000,0),IF($A$2="VEX",IFERROR(($A$4*$A$4*RTD("tos.rtd",,"VOLUME","."&amp;N$2&amp;N$1&amp;"C"&amp;$A25)*RTD("tos.rtd",,"GAMMA","."&amp;N$2&amp;N$1&amp;"C"&amp;$A25)-$A$4*$A$4*RTD("tos.rtd",,"VOLUME","."&amp;N$2&amp;N$1&amp;"P"&amp;$A25)*RTD("tos.rtd",,"GAMMA","."&amp;N$2&amp;N$1&amp;"P"&amp;$A25))/1000000,0),IF($A$2="GEX",IFERROR(($A$4*$A$4*RTD("tos.rtd",,"OPEN_INT","."&amp;N$2&amp;N$1&amp;"C"&amp;$A25)*RTD("tos.rtd",,"GAMMA","."&amp;N$2&amp;N$1&amp;"C"&amp;$A25)-$A$4*$A$4*RTD("tos.rtd",,"OPEN_INT","."&amp;N$2&amp;N$1&amp;"P"&amp;$A25)*RTD("tos.rtd",,"GAMMA","."&amp;N$2&amp;N$1&amp;"P"&amp;$A25))/1000000,0),IF($A$2="SKEW",IFERROR(VALUE(IF(RTD("tos.rtd",,"IMPL_VOL","."&amp;N$2&amp;N$1&amp;"P"&amp;$A25)="N/A",0,RTD("tos.rtd",,"IMPL_VOL","."&amp;N$2&amp;N$1&amp;"P"&amp;$A25))),0)-IFERROR(VALUE(IF(RTD("tos.rtd",,"IMPL_VOL","."&amp;N$2&amp;N$1&amp;"C"&amp;$A25)="N/A",0,RTD("tos.rtd",,"IMPL_VOL","."&amp;N$2&amp;N$1&amp;"C"&amp;$A25))),0),IF($A$2="MAXPAIN",IF($A$4&gt;$A25,($A$4-$A25)*IF(RTD("tos.rtd",,"OPEN_INT","."&amp;N$2&amp;N$1&amp;"C"&amp;$A25)="N/A",0,RTD("tos.rtd",,"OPEN_INT","."&amp;N$2&amp;N$1&amp;"C"&amp;$A25)),0)+IF($A$4&lt;$A25,($A25-$A$4)*IF(RTD("tos.rtd",,"OPEN_INT","."&amp;N$2&amp;N$1&amp;"P"&amp;$A25)="N/A",0,RTD("tos.rtd",,"OPEN_INT","."&amp;N$2&amp;N$1&amp;"P"&amp;$A25)),0),IF(RTD("tos.rtd",,$A$2,"."&amp;N$2&amp;N$1&amp;"C"&amp;$A25)="N/A",0,RTD("tos.rtd",,$A$2,"."&amp;N$2&amp;N$1&amp;"C"&amp;$A25))-IF(RTD("tos.rtd",,$A$2,"."&amp;N$2&amp;N$1&amp;"P"&amp;$A25)="N/A",0,RTD("tos.rtd",,$A$2,"."&amp;N$2&amp;N$1&amp;"P"&amp;$A25)))))))))</f>
        <v>0</v>
      </c>
      <c r="O25" s="12">
        <f>IF($A$2="PREMIUM_OI",IFERROR((100*RTD("tos.rtd",,"OPEN_INT","."&amp;O$2&amp;O$1&amp;"C"&amp;$A25)*RTD("tos.rtd",,"LAST","."&amp;O$2&amp;O$1&amp;"C"&amp;$A25)-100*RTD("tos.rtd",,"OPEN_INT","."&amp;O$2&amp;O$1&amp;"P"&amp;$A25)*RTD("tos.rtd",,"LAST","."&amp;O$2&amp;O$1&amp;"P"&amp;$A25))/1000000,0),IF($A$2="PREMIUM",IFERROR((100*RTD("tos.rtd",,"VOLUME","."&amp;O$2&amp;O$1&amp;"C"&amp;$A25)*RTD("tos.rtd",,"LAST","."&amp;O$2&amp;O$1&amp;"C"&amp;$A25)-100*RTD("tos.rtd",,"VOLUME","."&amp;O$2&amp;O$1&amp;"P"&amp;$A25)*RTD("tos.rtd",,"LAST","."&amp;O$2&amp;O$1&amp;"P"&amp;$A25))/1000000,0),IF($A$2="DEX",IFERROR((100*RTD("tos.rtd",,"OPEN_INT","."&amp;O$2&amp;O$1&amp;"C"&amp;$A25)*RTD("tos.rtd",,"DELTA","."&amp;O$2&amp;O$1&amp;"C"&amp;$A25)-100*RTD("tos.rtd",,"OPEN_INT","."&amp;O$2&amp;O$1&amp;"P"&amp;$A25)*RTD("tos.rtd",,"DELTA","."&amp;O$2&amp;O$1&amp;"P"&amp;$A25))/1000,0),IF($A$2="VEX",IFERROR(($A$4*$A$4*RTD("tos.rtd",,"VOLUME","."&amp;O$2&amp;O$1&amp;"C"&amp;$A25)*RTD("tos.rtd",,"GAMMA","."&amp;O$2&amp;O$1&amp;"C"&amp;$A25)-$A$4*$A$4*RTD("tos.rtd",,"VOLUME","."&amp;O$2&amp;O$1&amp;"P"&amp;$A25)*RTD("tos.rtd",,"GAMMA","."&amp;O$2&amp;O$1&amp;"P"&amp;$A25))/1000000,0),IF($A$2="GEX",IFERROR(($A$4*$A$4*RTD("tos.rtd",,"OPEN_INT","."&amp;O$2&amp;O$1&amp;"C"&amp;$A25)*RTD("tos.rtd",,"GAMMA","."&amp;O$2&amp;O$1&amp;"C"&amp;$A25)-$A$4*$A$4*RTD("tos.rtd",,"OPEN_INT","."&amp;O$2&amp;O$1&amp;"P"&amp;$A25)*RTD("tos.rtd",,"GAMMA","."&amp;O$2&amp;O$1&amp;"P"&amp;$A25))/1000000,0),IF($A$2="SKEW",IFERROR(VALUE(IF(RTD("tos.rtd",,"IMPL_VOL","."&amp;O$2&amp;O$1&amp;"P"&amp;$A25)="N/A",0,RTD("tos.rtd",,"IMPL_VOL","."&amp;O$2&amp;O$1&amp;"P"&amp;$A25))),0)-IFERROR(VALUE(IF(RTD("tos.rtd",,"IMPL_VOL","."&amp;O$2&amp;O$1&amp;"C"&amp;$A25)="N/A",0,RTD("tos.rtd",,"IMPL_VOL","."&amp;O$2&amp;O$1&amp;"C"&amp;$A25))),0),IF($A$2="MAXPAIN",IF($A$4&gt;$A25,($A$4-$A25)*IF(RTD("tos.rtd",,"OPEN_INT","."&amp;O$2&amp;O$1&amp;"C"&amp;$A25)="N/A",0,RTD("tos.rtd",,"OPEN_INT","."&amp;O$2&amp;O$1&amp;"C"&amp;$A25)),0)+IF($A$4&lt;$A25,($A25-$A$4)*IF(RTD("tos.rtd",,"OPEN_INT","."&amp;O$2&amp;O$1&amp;"P"&amp;$A25)="N/A",0,RTD("tos.rtd",,"OPEN_INT","."&amp;O$2&amp;O$1&amp;"P"&amp;$A25)),0),IF(RTD("tos.rtd",,$A$2,"."&amp;O$2&amp;O$1&amp;"C"&amp;$A25)="N/A",0,RTD("tos.rtd",,$A$2,"."&amp;O$2&amp;O$1&amp;"C"&amp;$A25))-IF(RTD("tos.rtd",,$A$2,"."&amp;O$2&amp;O$1&amp;"P"&amp;$A25)="N/A",0,RTD("tos.rtd",,$A$2,"."&amp;O$2&amp;O$1&amp;"P"&amp;$A25)))))))))</f>
        <v>0</v>
      </c>
      <c r="P25" s="12">
        <f>IF($A$2="PREMIUM_OI",IFERROR((100*RTD("tos.rtd",,"OPEN_INT","."&amp;P$2&amp;P$1&amp;"C"&amp;$A25)*RTD("tos.rtd",,"LAST","."&amp;P$2&amp;P$1&amp;"C"&amp;$A25)-100*RTD("tos.rtd",,"OPEN_INT","."&amp;P$2&amp;P$1&amp;"P"&amp;$A25)*RTD("tos.rtd",,"LAST","."&amp;P$2&amp;P$1&amp;"P"&amp;$A25))/1000000,0),IF($A$2="PREMIUM",IFERROR((100*RTD("tos.rtd",,"VOLUME","."&amp;P$2&amp;P$1&amp;"C"&amp;$A25)*RTD("tos.rtd",,"LAST","."&amp;P$2&amp;P$1&amp;"C"&amp;$A25)-100*RTD("tos.rtd",,"VOLUME","."&amp;P$2&amp;P$1&amp;"P"&amp;$A25)*RTD("tos.rtd",,"LAST","."&amp;P$2&amp;P$1&amp;"P"&amp;$A25))/1000000,0),IF($A$2="DEX",IFERROR((100*RTD("tos.rtd",,"OPEN_INT","."&amp;P$2&amp;P$1&amp;"C"&amp;$A25)*RTD("tos.rtd",,"DELTA","."&amp;P$2&amp;P$1&amp;"C"&amp;$A25)-100*RTD("tos.rtd",,"OPEN_INT","."&amp;P$2&amp;P$1&amp;"P"&amp;$A25)*RTD("tos.rtd",,"DELTA","."&amp;P$2&amp;P$1&amp;"P"&amp;$A25))/1000,0),IF($A$2="VEX",IFERROR(($A$4*$A$4*RTD("tos.rtd",,"VOLUME","."&amp;P$2&amp;P$1&amp;"C"&amp;$A25)*RTD("tos.rtd",,"GAMMA","."&amp;P$2&amp;P$1&amp;"C"&amp;$A25)-$A$4*$A$4*RTD("tos.rtd",,"VOLUME","."&amp;P$2&amp;P$1&amp;"P"&amp;$A25)*RTD("tos.rtd",,"GAMMA","."&amp;P$2&amp;P$1&amp;"P"&amp;$A25))/1000000,0),IF($A$2="GEX",IFERROR(($A$4*$A$4*RTD("tos.rtd",,"OPEN_INT","."&amp;P$2&amp;P$1&amp;"C"&amp;$A25)*RTD("tos.rtd",,"GAMMA","."&amp;P$2&amp;P$1&amp;"C"&amp;$A25)-$A$4*$A$4*RTD("tos.rtd",,"OPEN_INT","."&amp;P$2&amp;P$1&amp;"P"&amp;$A25)*RTD("tos.rtd",,"GAMMA","."&amp;P$2&amp;P$1&amp;"P"&amp;$A25))/1000000,0),IF($A$2="SKEW",IFERROR(VALUE(IF(RTD("tos.rtd",,"IMPL_VOL","."&amp;P$2&amp;P$1&amp;"P"&amp;$A25)="N/A",0,RTD("tos.rtd",,"IMPL_VOL","."&amp;P$2&amp;P$1&amp;"P"&amp;$A25))),0)-IFERROR(VALUE(IF(RTD("tos.rtd",,"IMPL_VOL","."&amp;P$2&amp;P$1&amp;"C"&amp;$A25)="N/A",0,RTD("tos.rtd",,"IMPL_VOL","."&amp;P$2&amp;P$1&amp;"C"&amp;$A25))),0),IF($A$2="MAXPAIN",IF($A$4&gt;$A25,($A$4-$A25)*IF(RTD("tos.rtd",,"OPEN_INT","."&amp;P$2&amp;P$1&amp;"C"&amp;$A25)="N/A",0,RTD("tos.rtd",,"OPEN_INT","."&amp;P$2&amp;P$1&amp;"C"&amp;$A25)),0)+IF($A$4&lt;$A25,($A25-$A$4)*IF(RTD("tos.rtd",,"OPEN_INT","."&amp;P$2&amp;P$1&amp;"P"&amp;$A25)="N/A",0,RTD("tos.rtd",,"OPEN_INT","."&amp;P$2&amp;P$1&amp;"P"&amp;$A25)),0),IF(RTD("tos.rtd",,$A$2,"."&amp;P$2&amp;P$1&amp;"C"&amp;$A25)="N/A",0,RTD("tos.rtd",,$A$2,"."&amp;P$2&amp;P$1&amp;"C"&amp;$A25))-IF(RTD("tos.rtd",,$A$2,"."&amp;P$2&amp;P$1&amp;"P"&amp;$A25)="N/A",0,RTD("tos.rtd",,$A$2,"."&amp;P$2&amp;P$1&amp;"P"&amp;$A25)))))))))</f>
        <v>0</v>
      </c>
      <c r="Q25" s="12">
        <f>IF($A$2="PREMIUM_OI",IFERROR((100*RTD("tos.rtd",,"OPEN_INT","."&amp;Q$2&amp;Q$1&amp;"C"&amp;$A25)*RTD("tos.rtd",,"LAST","."&amp;Q$2&amp;Q$1&amp;"C"&amp;$A25)-100*RTD("tos.rtd",,"OPEN_INT","."&amp;Q$2&amp;Q$1&amp;"P"&amp;$A25)*RTD("tos.rtd",,"LAST","."&amp;Q$2&amp;Q$1&amp;"P"&amp;$A25))/1000000,0),IF($A$2="PREMIUM",IFERROR((100*RTD("tos.rtd",,"VOLUME","."&amp;Q$2&amp;Q$1&amp;"C"&amp;$A25)*RTD("tos.rtd",,"LAST","."&amp;Q$2&amp;Q$1&amp;"C"&amp;$A25)-100*RTD("tos.rtd",,"VOLUME","."&amp;Q$2&amp;Q$1&amp;"P"&amp;$A25)*RTD("tos.rtd",,"LAST","."&amp;Q$2&amp;Q$1&amp;"P"&amp;$A25))/1000000,0),IF($A$2="DEX",IFERROR((100*RTD("tos.rtd",,"OPEN_INT","."&amp;Q$2&amp;Q$1&amp;"C"&amp;$A25)*RTD("tos.rtd",,"DELTA","."&amp;Q$2&amp;Q$1&amp;"C"&amp;$A25)-100*RTD("tos.rtd",,"OPEN_INT","."&amp;Q$2&amp;Q$1&amp;"P"&amp;$A25)*RTD("tos.rtd",,"DELTA","."&amp;Q$2&amp;Q$1&amp;"P"&amp;$A25))/1000,0),IF($A$2="VEX",IFERROR(($A$4*$A$4*RTD("tos.rtd",,"VOLUME","."&amp;Q$2&amp;Q$1&amp;"C"&amp;$A25)*RTD("tos.rtd",,"GAMMA","."&amp;Q$2&amp;Q$1&amp;"C"&amp;$A25)-$A$4*$A$4*RTD("tos.rtd",,"VOLUME","."&amp;Q$2&amp;Q$1&amp;"P"&amp;$A25)*RTD("tos.rtd",,"GAMMA","."&amp;Q$2&amp;Q$1&amp;"P"&amp;$A25))/1000000,0),IF($A$2="GEX",IFERROR(($A$4*$A$4*RTD("tos.rtd",,"OPEN_INT","."&amp;Q$2&amp;Q$1&amp;"C"&amp;$A25)*RTD("tos.rtd",,"GAMMA","."&amp;Q$2&amp;Q$1&amp;"C"&amp;$A25)-$A$4*$A$4*RTD("tos.rtd",,"OPEN_INT","."&amp;Q$2&amp;Q$1&amp;"P"&amp;$A25)*RTD("tos.rtd",,"GAMMA","."&amp;Q$2&amp;Q$1&amp;"P"&amp;$A25))/1000000,0),IF($A$2="SKEW",IFERROR(VALUE(IF(RTD("tos.rtd",,"IMPL_VOL","."&amp;Q$2&amp;Q$1&amp;"P"&amp;$A25)="N/A",0,RTD("tos.rtd",,"IMPL_VOL","."&amp;Q$2&amp;Q$1&amp;"P"&amp;$A25))),0)-IFERROR(VALUE(IF(RTD("tos.rtd",,"IMPL_VOL","."&amp;Q$2&amp;Q$1&amp;"C"&amp;$A25)="N/A",0,RTD("tos.rtd",,"IMPL_VOL","."&amp;Q$2&amp;Q$1&amp;"C"&amp;$A25))),0),IF($A$2="MAXPAIN",IF($A$4&gt;$A25,($A$4-$A25)*IF(RTD("tos.rtd",,"OPEN_INT","."&amp;Q$2&amp;Q$1&amp;"C"&amp;$A25)="N/A",0,RTD("tos.rtd",,"OPEN_INT","."&amp;Q$2&amp;Q$1&amp;"C"&amp;$A25)),0)+IF($A$4&lt;$A25,($A25-$A$4)*IF(RTD("tos.rtd",,"OPEN_INT","."&amp;Q$2&amp;Q$1&amp;"P"&amp;$A25)="N/A",0,RTD("tos.rtd",,"OPEN_INT","."&amp;Q$2&amp;Q$1&amp;"P"&amp;$A25)),0),IF(RTD("tos.rtd",,$A$2,"."&amp;Q$2&amp;Q$1&amp;"C"&amp;$A25)="N/A",0,RTD("tos.rtd",,$A$2,"."&amp;Q$2&amp;Q$1&amp;"C"&amp;$A25))-IF(RTD("tos.rtd",,$A$2,"."&amp;Q$2&amp;Q$1&amp;"P"&amp;$A25)="N/A",0,RTD("tos.rtd",,$A$2,"."&amp;Q$2&amp;Q$1&amp;"P"&amp;$A25)))))))))</f>
        <v>0</v>
      </c>
      <c r="R25" s="12">
        <f>IF($A$2="PREMIUM_OI",IFERROR((100*RTD("tos.rtd",,"OPEN_INT","."&amp;R$2&amp;R$1&amp;"C"&amp;$A25)*RTD("tos.rtd",,"LAST","."&amp;R$2&amp;R$1&amp;"C"&amp;$A25)-100*RTD("tos.rtd",,"OPEN_INT","."&amp;R$2&amp;R$1&amp;"P"&amp;$A25)*RTD("tos.rtd",,"LAST","."&amp;R$2&amp;R$1&amp;"P"&amp;$A25))/1000000,0),IF($A$2="PREMIUM",IFERROR((100*RTD("tos.rtd",,"VOLUME","."&amp;R$2&amp;R$1&amp;"C"&amp;$A25)*RTD("tos.rtd",,"LAST","."&amp;R$2&amp;R$1&amp;"C"&amp;$A25)-100*RTD("tos.rtd",,"VOLUME","."&amp;R$2&amp;R$1&amp;"P"&amp;$A25)*RTD("tos.rtd",,"LAST","."&amp;R$2&amp;R$1&amp;"P"&amp;$A25))/1000000,0),IF($A$2="DEX",IFERROR((100*RTD("tos.rtd",,"OPEN_INT","."&amp;R$2&amp;R$1&amp;"C"&amp;$A25)*RTD("tos.rtd",,"DELTA","."&amp;R$2&amp;R$1&amp;"C"&amp;$A25)-100*RTD("tos.rtd",,"OPEN_INT","."&amp;R$2&amp;R$1&amp;"P"&amp;$A25)*RTD("tos.rtd",,"DELTA","."&amp;R$2&amp;R$1&amp;"P"&amp;$A25))/1000,0),IF($A$2="VEX",IFERROR(($A$4*$A$4*RTD("tos.rtd",,"VOLUME","."&amp;R$2&amp;R$1&amp;"C"&amp;$A25)*RTD("tos.rtd",,"GAMMA","."&amp;R$2&amp;R$1&amp;"C"&amp;$A25)-$A$4*$A$4*RTD("tos.rtd",,"VOLUME","."&amp;R$2&amp;R$1&amp;"P"&amp;$A25)*RTD("tos.rtd",,"GAMMA","."&amp;R$2&amp;R$1&amp;"P"&amp;$A25))/1000000,0),IF($A$2="GEX",IFERROR(($A$4*$A$4*RTD("tos.rtd",,"OPEN_INT","."&amp;R$2&amp;R$1&amp;"C"&amp;$A25)*RTD("tos.rtd",,"GAMMA","."&amp;R$2&amp;R$1&amp;"C"&amp;$A25)-$A$4*$A$4*RTD("tos.rtd",,"OPEN_INT","."&amp;R$2&amp;R$1&amp;"P"&amp;$A25)*RTD("tos.rtd",,"GAMMA","."&amp;R$2&amp;R$1&amp;"P"&amp;$A25))/1000000,0),IF($A$2="SKEW",IFERROR(VALUE(IF(RTD("tos.rtd",,"IMPL_VOL","."&amp;R$2&amp;R$1&amp;"P"&amp;$A25)="N/A",0,RTD("tos.rtd",,"IMPL_VOL","."&amp;R$2&amp;R$1&amp;"P"&amp;$A25))),0)-IFERROR(VALUE(IF(RTD("tos.rtd",,"IMPL_VOL","."&amp;R$2&amp;R$1&amp;"C"&amp;$A25)="N/A",0,RTD("tos.rtd",,"IMPL_VOL","."&amp;R$2&amp;R$1&amp;"C"&amp;$A25))),0),IF($A$2="MAXPAIN",IF($A$4&gt;$A25,($A$4-$A25)*IF(RTD("tos.rtd",,"OPEN_INT","."&amp;R$2&amp;R$1&amp;"C"&amp;$A25)="N/A",0,RTD("tos.rtd",,"OPEN_INT","."&amp;R$2&amp;R$1&amp;"C"&amp;$A25)),0)+IF($A$4&lt;$A25,($A25-$A$4)*IF(RTD("tos.rtd",,"OPEN_INT","."&amp;R$2&amp;R$1&amp;"P"&amp;$A25)="N/A",0,RTD("tos.rtd",,"OPEN_INT","."&amp;R$2&amp;R$1&amp;"P"&amp;$A25)),0),IF(RTD("tos.rtd",,$A$2,"."&amp;R$2&amp;R$1&amp;"C"&amp;$A25)="N/A",0,RTD("tos.rtd",,$A$2,"."&amp;R$2&amp;R$1&amp;"C"&amp;$A25))-IF(RTD("tos.rtd",,$A$2,"."&amp;R$2&amp;R$1&amp;"P"&amp;$A25)="N/A",0,RTD("tos.rtd",,$A$2,"."&amp;R$2&amp;R$1&amp;"P"&amp;$A25)))))))))</f>
        <v>30770</v>
      </c>
      <c r="S25" s="12">
        <f>IF($A$2="PREMIUM_OI",IFERROR((100*RTD("tos.rtd",,"OPEN_INT","."&amp;S$2&amp;S$1&amp;"C"&amp;$A25)*RTD("tos.rtd",,"LAST","."&amp;S$2&amp;S$1&amp;"C"&amp;$A25)-100*RTD("tos.rtd",,"OPEN_INT","."&amp;S$2&amp;S$1&amp;"P"&amp;$A25)*RTD("tos.rtd",,"LAST","."&amp;S$2&amp;S$1&amp;"P"&amp;$A25))/1000000,0),IF($A$2="PREMIUM",IFERROR((100*RTD("tos.rtd",,"VOLUME","."&amp;S$2&amp;S$1&amp;"C"&amp;$A25)*RTD("tos.rtd",,"LAST","."&amp;S$2&amp;S$1&amp;"C"&amp;$A25)-100*RTD("tos.rtd",,"VOLUME","."&amp;S$2&amp;S$1&amp;"P"&amp;$A25)*RTD("tos.rtd",,"LAST","."&amp;S$2&amp;S$1&amp;"P"&amp;$A25))/1000000,0),IF($A$2="DEX",IFERROR((100*RTD("tos.rtd",,"OPEN_INT","."&amp;S$2&amp;S$1&amp;"C"&amp;$A25)*RTD("tos.rtd",,"DELTA","."&amp;S$2&amp;S$1&amp;"C"&amp;$A25)-100*RTD("tos.rtd",,"OPEN_INT","."&amp;S$2&amp;S$1&amp;"P"&amp;$A25)*RTD("tos.rtd",,"DELTA","."&amp;S$2&amp;S$1&amp;"P"&amp;$A25))/1000,0),IF($A$2="VEX",IFERROR(($A$4*$A$4*RTD("tos.rtd",,"VOLUME","."&amp;S$2&amp;S$1&amp;"C"&amp;$A25)*RTD("tos.rtd",,"GAMMA","."&amp;S$2&amp;S$1&amp;"C"&amp;$A25)-$A$4*$A$4*RTD("tos.rtd",,"VOLUME","."&amp;S$2&amp;S$1&amp;"P"&amp;$A25)*RTD("tos.rtd",,"GAMMA","."&amp;S$2&amp;S$1&amp;"P"&amp;$A25))/1000000,0),IF($A$2="GEX",IFERROR(($A$4*$A$4*RTD("tos.rtd",,"OPEN_INT","."&amp;S$2&amp;S$1&amp;"C"&amp;$A25)*RTD("tos.rtd",,"GAMMA","."&amp;S$2&amp;S$1&amp;"C"&amp;$A25)-$A$4*$A$4*RTD("tos.rtd",,"OPEN_INT","."&amp;S$2&amp;S$1&amp;"P"&amp;$A25)*RTD("tos.rtd",,"GAMMA","."&amp;S$2&amp;S$1&amp;"P"&amp;$A25))/1000000,0),IF($A$2="SKEW",IFERROR(VALUE(IF(RTD("tos.rtd",,"IMPL_VOL","."&amp;S$2&amp;S$1&amp;"P"&amp;$A25)="N/A",0,RTD("tos.rtd",,"IMPL_VOL","."&amp;S$2&amp;S$1&amp;"P"&amp;$A25))),0)-IFERROR(VALUE(IF(RTD("tos.rtd",,"IMPL_VOL","."&amp;S$2&amp;S$1&amp;"C"&amp;$A25)="N/A",0,RTD("tos.rtd",,"IMPL_VOL","."&amp;S$2&amp;S$1&amp;"C"&amp;$A25))),0),IF($A$2="MAXPAIN",IF($A$4&gt;$A25,($A$4-$A25)*IF(RTD("tos.rtd",,"OPEN_INT","."&amp;S$2&amp;S$1&amp;"C"&amp;$A25)="N/A",0,RTD("tos.rtd",,"OPEN_INT","."&amp;S$2&amp;S$1&amp;"C"&amp;$A25)),0)+IF($A$4&lt;$A25,($A25-$A$4)*IF(RTD("tos.rtd",,"OPEN_INT","."&amp;S$2&amp;S$1&amp;"P"&amp;$A25)="N/A",0,RTD("tos.rtd",,"OPEN_INT","."&amp;S$2&amp;S$1&amp;"P"&amp;$A25)),0),IF(RTD("tos.rtd",,$A$2,"."&amp;S$2&amp;S$1&amp;"C"&amp;$A25)="N/A",0,RTD("tos.rtd",,$A$2,"."&amp;S$2&amp;S$1&amp;"C"&amp;$A25))-IF(RTD("tos.rtd",,$A$2,"."&amp;S$2&amp;S$1&amp;"P"&amp;$A25)="N/A",0,RTD("tos.rtd",,$A$2,"."&amp;S$2&amp;S$1&amp;"P"&amp;$A25)))))))))</f>
        <v>5363</v>
      </c>
      <c r="T25" s="12">
        <f>IF($A$2="PREMIUM_OI",IFERROR((100*RTD("tos.rtd",,"OPEN_INT","."&amp;T$2&amp;T$1&amp;"C"&amp;$A25)*RTD("tos.rtd",,"LAST","."&amp;T$2&amp;T$1&amp;"C"&amp;$A25)-100*RTD("tos.rtd",,"OPEN_INT","."&amp;T$2&amp;T$1&amp;"P"&amp;$A25)*RTD("tos.rtd",,"LAST","."&amp;T$2&amp;T$1&amp;"P"&amp;$A25))/1000000,0),IF($A$2="PREMIUM",IFERROR((100*RTD("tos.rtd",,"VOLUME","."&amp;T$2&amp;T$1&amp;"C"&amp;$A25)*RTD("tos.rtd",,"LAST","."&amp;T$2&amp;T$1&amp;"C"&amp;$A25)-100*RTD("tos.rtd",,"VOLUME","."&amp;T$2&amp;T$1&amp;"P"&amp;$A25)*RTD("tos.rtd",,"LAST","."&amp;T$2&amp;T$1&amp;"P"&amp;$A25))/1000000,0),IF($A$2="DEX",IFERROR((100*RTD("tos.rtd",,"OPEN_INT","."&amp;T$2&amp;T$1&amp;"C"&amp;$A25)*RTD("tos.rtd",,"DELTA","."&amp;T$2&amp;T$1&amp;"C"&amp;$A25)-100*RTD("tos.rtd",,"OPEN_INT","."&amp;T$2&amp;T$1&amp;"P"&amp;$A25)*RTD("tos.rtd",,"DELTA","."&amp;T$2&amp;T$1&amp;"P"&amp;$A25))/1000,0),IF($A$2="VEX",IFERROR(($A$4*$A$4*RTD("tos.rtd",,"VOLUME","."&amp;T$2&amp;T$1&amp;"C"&amp;$A25)*RTD("tos.rtd",,"GAMMA","."&amp;T$2&amp;T$1&amp;"C"&amp;$A25)-$A$4*$A$4*RTD("tos.rtd",,"VOLUME","."&amp;T$2&amp;T$1&amp;"P"&amp;$A25)*RTD("tos.rtd",,"GAMMA","."&amp;T$2&amp;T$1&amp;"P"&amp;$A25))/1000000,0),IF($A$2="GEX",IFERROR(($A$4*$A$4*RTD("tos.rtd",,"OPEN_INT","."&amp;T$2&amp;T$1&amp;"C"&amp;$A25)*RTD("tos.rtd",,"GAMMA","."&amp;T$2&amp;T$1&amp;"C"&amp;$A25)-$A$4*$A$4*RTD("tos.rtd",,"OPEN_INT","."&amp;T$2&amp;T$1&amp;"P"&amp;$A25)*RTD("tos.rtd",,"GAMMA","."&amp;T$2&amp;T$1&amp;"P"&amp;$A25))/1000000,0),IF($A$2="SKEW",IFERROR(VALUE(IF(RTD("tos.rtd",,"IMPL_VOL","."&amp;T$2&amp;T$1&amp;"P"&amp;$A25)="N/A",0,RTD("tos.rtd",,"IMPL_VOL","."&amp;T$2&amp;T$1&amp;"P"&amp;$A25))),0)-IFERROR(VALUE(IF(RTD("tos.rtd",,"IMPL_VOL","."&amp;T$2&amp;T$1&amp;"C"&amp;$A25)="N/A",0,RTD("tos.rtd",,"IMPL_VOL","."&amp;T$2&amp;T$1&amp;"C"&amp;$A25))),0),IF($A$2="MAXPAIN",IF($A$4&gt;$A25,($A$4-$A25)*IF(RTD("tos.rtd",,"OPEN_INT","."&amp;T$2&amp;T$1&amp;"C"&amp;$A25)="N/A",0,RTD("tos.rtd",,"OPEN_INT","."&amp;T$2&amp;T$1&amp;"C"&amp;$A25)),0)+IF($A$4&lt;$A25,($A25-$A$4)*IF(RTD("tos.rtd",,"OPEN_INT","."&amp;T$2&amp;T$1&amp;"P"&amp;$A25)="N/A",0,RTD("tos.rtd",,"OPEN_INT","."&amp;T$2&amp;T$1&amp;"P"&amp;$A25)),0),IF(RTD("tos.rtd",,$A$2,"."&amp;T$2&amp;T$1&amp;"C"&amp;$A25)="N/A",0,RTD("tos.rtd",,$A$2,"."&amp;T$2&amp;T$1&amp;"C"&amp;$A25))-IF(RTD("tos.rtd",,$A$2,"."&amp;T$2&amp;T$1&amp;"P"&amp;$A25)="N/A",0,RTD("tos.rtd",,$A$2,"."&amp;T$2&amp;T$1&amp;"P"&amp;$A25)))))))))</f>
        <v>4056</v>
      </c>
      <c r="U25" s="12">
        <f>IF($A$2="PREMIUM_OI",IFERROR((100*RTD("tos.rtd",,"OPEN_INT","."&amp;U$2&amp;U$1&amp;"C"&amp;$A25)*RTD("tos.rtd",,"LAST","."&amp;U$2&amp;U$1&amp;"C"&amp;$A25)-100*RTD("tos.rtd",,"OPEN_INT","."&amp;U$2&amp;U$1&amp;"P"&amp;$A25)*RTD("tos.rtd",,"LAST","."&amp;U$2&amp;U$1&amp;"P"&amp;$A25))/1000000,0),IF($A$2="PREMIUM",IFERROR((100*RTD("tos.rtd",,"VOLUME","."&amp;U$2&amp;U$1&amp;"C"&amp;$A25)*RTD("tos.rtd",,"LAST","."&amp;U$2&amp;U$1&amp;"C"&amp;$A25)-100*RTD("tos.rtd",,"VOLUME","."&amp;U$2&amp;U$1&amp;"P"&amp;$A25)*RTD("tos.rtd",,"LAST","."&amp;U$2&amp;U$1&amp;"P"&amp;$A25))/1000000,0),IF($A$2="DEX",IFERROR((100*RTD("tos.rtd",,"OPEN_INT","."&amp;U$2&amp;U$1&amp;"C"&amp;$A25)*RTD("tos.rtd",,"DELTA","."&amp;U$2&amp;U$1&amp;"C"&amp;$A25)-100*RTD("tos.rtd",,"OPEN_INT","."&amp;U$2&amp;U$1&amp;"P"&amp;$A25)*RTD("tos.rtd",,"DELTA","."&amp;U$2&amp;U$1&amp;"P"&amp;$A25))/1000,0),IF($A$2="VEX",IFERROR(($A$4*$A$4*RTD("tos.rtd",,"VOLUME","."&amp;U$2&amp;U$1&amp;"C"&amp;$A25)*RTD("tos.rtd",,"GAMMA","."&amp;U$2&amp;U$1&amp;"C"&amp;$A25)-$A$4*$A$4*RTD("tos.rtd",,"VOLUME","."&amp;U$2&amp;U$1&amp;"P"&amp;$A25)*RTD("tos.rtd",,"GAMMA","."&amp;U$2&amp;U$1&amp;"P"&amp;$A25))/1000000,0),IF($A$2="GEX",IFERROR(($A$4*$A$4*RTD("tos.rtd",,"OPEN_INT","."&amp;U$2&amp;U$1&amp;"C"&amp;$A25)*RTD("tos.rtd",,"GAMMA","."&amp;U$2&amp;U$1&amp;"C"&amp;$A25)-$A$4*$A$4*RTD("tos.rtd",,"OPEN_INT","."&amp;U$2&amp;U$1&amp;"P"&amp;$A25)*RTD("tos.rtd",,"GAMMA","."&amp;U$2&amp;U$1&amp;"P"&amp;$A25))/1000000,0),IF($A$2="SKEW",IFERROR(VALUE(IF(RTD("tos.rtd",,"IMPL_VOL","."&amp;U$2&amp;U$1&amp;"P"&amp;$A25)="N/A",0,RTD("tos.rtd",,"IMPL_VOL","."&amp;U$2&amp;U$1&amp;"P"&amp;$A25))),0)-IFERROR(VALUE(IF(RTD("tos.rtd",,"IMPL_VOL","."&amp;U$2&amp;U$1&amp;"C"&amp;$A25)="N/A",0,RTD("tos.rtd",,"IMPL_VOL","."&amp;U$2&amp;U$1&amp;"C"&amp;$A25))),0),IF($A$2="MAXPAIN",IF($A$4&gt;$A25,($A$4-$A25)*IF(RTD("tos.rtd",,"OPEN_INT","."&amp;U$2&amp;U$1&amp;"C"&amp;$A25)="N/A",0,RTD("tos.rtd",,"OPEN_INT","."&amp;U$2&amp;U$1&amp;"C"&amp;$A25)),0)+IF($A$4&lt;$A25,($A25-$A$4)*IF(RTD("tos.rtd",,"OPEN_INT","."&amp;U$2&amp;U$1&amp;"P"&amp;$A25)="N/A",0,RTD("tos.rtd",,"OPEN_INT","."&amp;U$2&amp;U$1&amp;"P"&amp;$A25)),0),IF(RTD("tos.rtd",,$A$2,"."&amp;U$2&amp;U$1&amp;"C"&amp;$A25)="N/A",0,RTD("tos.rtd",,$A$2,"."&amp;U$2&amp;U$1&amp;"C"&amp;$A25))-IF(RTD("tos.rtd",,$A$2,"."&amp;U$2&amp;U$1&amp;"P"&amp;$A25)="N/A",0,RTD("tos.rtd",,$A$2,"."&amp;U$2&amp;U$1&amp;"P"&amp;$A25)))))))))</f>
        <v>0</v>
      </c>
      <c r="V25" s="12">
        <f>IF($A$2="PREMIUM_OI",IFERROR((100*RTD("tos.rtd",,"OPEN_INT","."&amp;V$2&amp;V$1&amp;"C"&amp;$A25)*RTD("tos.rtd",,"LAST","."&amp;V$2&amp;V$1&amp;"C"&amp;$A25)-100*RTD("tos.rtd",,"OPEN_INT","."&amp;V$2&amp;V$1&amp;"P"&amp;$A25)*RTD("tos.rtd",,"LAST","."&amp;V$2&amp;V$1&amp;"P"&amp;$A25))/1000000,0),IF($A$2="PREMIUM",IFERROR((100*RTD("tos.rtd",,"VOLUME","."&amp;V$2&amp;V$1&amp;"C"&amp;$A25)*RTD("tos.rtd",,"LAST","."&amp;V$2&amp;V$1&amp;"C"&amp;$A25)-100*RTD("tos.rtd",,"VOLUME","."&amp;V$2&amp;V$1&amp;"P"&amp;$A25)*RTD("tos.rtd",,"LAST","."&amp;V$2&amp;V$1&amp;"P"&amp;$A25))/1000000,0),IF($A$2="DEX",IFERROR((100*RTD("tos.rtd",,"OPEN_INT","."&amp;V$2&amp;V$1&amp;"C"&amp;$A25)*RTD("tos.rtd",,"DELTA","."&amp;V$2&amp;V$1&amp;"C"&amp;$A25)-100*RTD("tos.rtd",,"OPEN_INT","."&amp;V$2&amp;V$1&amp;"P"&amp;$A25)*RTD("tos.rtd",,"DELTA","."&amp;V$2&amp;V$1&amp;"P"&amp;$A25))/1000,0),IF($A$2="VEX",IFERROR(($A$4*$A$4*RTD("tos.rtd",,"VOLUME","."&amp;V$2&amp;V$1&amp;"C"&amp;$A25)*RTD("tos.rtd",,"GAMMA","."&amp;V$2&amp;V$1&amp;"C"&amp;$A25)-$A$4*$A$4*RTD("tos.rtd",,"VOLUME","."&amp;V$2&amp;V$1&amp;"P"&amp;$A25)*RTD("tos.rtd",,"GAMMA","."&amp;V$2&amp;V$1&amp;"P"&amp;$A25))/1000000,0),IF($A$2="GEX",IFERROR(($A$4*$A$4*RTD("tos.rtd",,"OPEN_INT","."&amp;V$2&amp;V$1&amp;"C"&amp;$A25)*RTD("tos.rtd",,"GAMMA","."&amp;V$2&amp;V$1&amp;"C"&amp;$A25)-$A$4*$A$4*RTD("tos.rtd",,"OPEN_INT","."&amp;V$2&amp;V$1&amp;"P"&amp;$A25)*RTD("tos.rtd",,"GAMMA","."&amp;V$2&amp;V$1&amp;"P"&amp;$A25))/1000000,0),IF($A$2="SKEW",IFERROR(VALUE(IF(RTD("tos.rtd",,"IMPL_VOL","."&amp;V$2&amp;V$1&amp;"P"&amp;$A25)="N/A",0,RTD("tos.rtd",,"IMPL_VOL","."&amp;V$2&amp;V$1&amp;"P"&amp;$A25))),0)-IFERROR(VALUE(IF(RTD("tos.rtd",,"IMPL_VOL","."&amp;V$2&amp;V$1&amp;"C"&amp;$A25)="N/A",0,RTD("tos.rtd",,"IMPL_VOL","."&amp;V$2&amp;V$1&amp;"C"&amp;$A25))),0),IF($A$2="MAXPAIN",IF($A$4&gt;$A25,($A$4-$A25)*IF(RTD("tos.rtd",,"OPEN_INT","."&amp;V$2&amp;V$1&amp;"C"&amp;$A25)="N/A",0,RTD("tos.rtd",,"OPEN_INT","."&amp;V$2&amp;V$1&amp;"C"&amp;$A25)),0)+IF($A$4&lt;$A25,($A25-$A$4)*IF(RTD("tos.rtd",,"OPEN_INT","."&amp;V$2&amp;V$1&amp;"P"&amp;$A25)="N/A",0,RTD("tos.rtd",,"OPEN_INT","."&amp;V$2&amp;V$1&amp;"P"&amp;$A25)),0),IF(RTD("tos.rtd",,$A$2,"."&amp;V$2&amp;V$1&amp;"C"&amp;$A25)="N/A",0,RTD("tos.rtd",,$A$2,"."&amp;V$2&amp;V$1&amp;"C"&amp;$A25))-IF(RTD("tos.rtd",,$A$2,"."&amp;V$2&amp;V$1&amp;"P"&amp;$A25)="N/A",0,RTD("tos.rtd",,$A$2,"."&amp;V$2&amp;V$1&amp;"P"&amp;$A25)))))))))</f>
        <v>0</v>
      </c>
      <c r="W25" s="12">
        <f>IF($A$2="PREMIUM_OI",IFERROR((100*RTD("tos.rtd",,"OPEN_INT","."&amp;W$2&amp;W$1&amp;"C"&amp;$A25)*RTD("tos.rtd",,"LAST","."&amp;W$2&amp;W$1&amp;"C"&amp;$A25)-100*RTD("tos.rtd",,"OPEN_INT","."&amp;W$2&amp;W$1&amp;"P"&amp;$A25)*RTD("tos.rtd",,"LAST","."&amp;W$2&amp;W$1&amp;"P"&amp;$A25))/1000000,0),IF($A$2="PREMIUM",IFERROR((100*RTD("tos.rtd",,"VOLUME","."&amp;W$2&amp;W$1&amp;"C"&amp;$A25)*RTD("tos.rtd",,"LAST","."&amp;W$2&amp;W$1&amp;"C"&amp;$A25)-100*RTD("tos.rtd",,"VOLUME","."&amp;W$2&amp;W$1&amp;"P"&amp;$A25)*RTD("tos.rtd",,"LAST","."&amp;W$2&amp;W$1&amp;"P"&amp;$A25))/1000000,0),IF($A$2="DEX",IFERROR((100*RTD("tos.rtd",,"OPEN_INT","."&amp;W$2&amp;W$1&amp;"C"&amp;$A25)*RTD("tos.rtd",,"DELTA","."&amp;W$2&amp;W$1&amp;"C"&amp;$A25)-100*RTD("tos.rtd",,"OPEN_INT","."&amp;W$2&amp;W$1&amp;"P"&amp;$A25)*RTD("tos.rtd",,"DELTA","."&amp;W$2&amp;W$1&amp;"P"&amp;$A25))/1000,0),IF($A$2="VEX",IFERROR(($A$4*$A$4*RTD("tos.rtd",,"VOLUME","."&amp;W$2&amp;W$1&amp;"C"&amp;$A25)*RTD("tos.rtd",,"GAMMA","."&amp;W$2&amp;W$1&amp;"C"&amp;$A25)-$A$4*$A$4*RTD("tos.rtd",,"VOLUME","."&amp;W$2&amp;W$1&amp;"P"&amp;$A25)*RTD("tos.rtd",,"GAMMA","."&amp;W$2&amp;W$1&amp;"P"&amp;$A25))/1000000,0),IF($A$2="GEX",IFERROR(($A$4*$A$4*RTD("tos.rtd",,"OPEN_INT","."&amp;W$2&amp;W$1&amp;"C"&amp;$A25)*RTD("tos.rtd",,"GAMMA","."&amp;W$2&amp;W$1&amp;"C"&amp;$A25)-$A$4*$A$4*RTD("tos.rtd",,"OPEN_INT","."&amp;W$2&amp;W$1&amp;"P"&amp;$A25)*RTD("tos.rtd",,"GAMMA","."&amp;W$2&amp;W$1&amp;"P"&amp;$A25))/1000000,0),IF($A$2="SKEW",IFERROR(VALUE(IF(RTD("tos.rtd",,"IMPL_VOL","."&amp;W$2&amp;W$1&amp;"P"&amp;$A25)="N/A",0,RTD("tos.rtd",,"IMPL_VOL","."&amp;W$2&amp;W$1&amp;"P"&amp;$A25))),0)-IFERROR(VALUE(IF(RTD("tos.rtd",,"IMPL_VOL","."&amp;W$2&amp;W$1&amp;"C"&amp;$A25)="N/A",0,RTD("tos.rtd",,"IMPL_VOL","."&amp;W$2&amp;W$1&amp;"C"&amp;$A25))),0),IF($A$2="MAXPAIN",IF($A$4&gt;$A25,($A$4-$A25)*IF(RTD("tos.rtd",,"OPEN_INT","."&amp;W$2&amp;W$1&amp;"C"&amp;$A25)="N/A",0,RTD("tos.rtd",,"OPEN_INT","."&amp;W$2&amp;W$1&amp;"C"&amp;$A25)),0)+IF($A$4&lt;$A25,($A25-$A$4)*IF(RTD("tos.rtd",,"OPEN_INT","."&amp;W$2&amp;W$1&amp;"P"&amp;$A25)="N/A",0,RTD("tos.rtd",,"OPEN_INT","."&amp;W$2&amp;W$1&amp;"P"&amp;$A25)),0),IF(RTD("tos.rtd",,$A$2,"."&amp;W$2&amp;W$1&amp;"C"&amp;$A25)="N/A",0,RTD("tos.rtd",,$A$2,"."&amp;W$2&amp;W$1&amp;"C"&amp;$A25))-IF(RTD("tos.rtd",,$A$2,"."&amp;W$2&amp;W$1&amp;"P"&amp;$A25)="N/A",0,RTD("tos.rtd",,$A$2,"."&amp;W$2&amp;W$1&amp;"P"&amp;$A25)))))))))</f>
        <v>0</v>
      </c>
      <c r="X25" s="12">
        <f t="shared" ca="1" si="7"/>
        <v>9419</v>
      </c>
      <c r="Y25" s="27">
        <f t="shared" ca="1" si="8"/>
        <v>9419</v>
      </c>
      <c r="AA25" s="35">
        <f t="shared" si="5"/>
        <v>24</v>
      </c>
      <c r="AB25" s="8">
        <f>+IF($AJ$1,AK25,TASTYOHLC!B25)</f>
        <v>0</v>
      </c>
      <c r="AC25" s="8">
        <f>+IF($AJ$1,AL25,TASTYOHLC!C25)</f>
        <v>0</v>
      </c>
      <c r="AD25" s="8">
        <f>+IF($AJ$1,AM25,TASTYOHLC!D25)</f>
        <v>0</v>
      </c>
      <c r="AE25" s="8">
        <f>+IF($AJ$1,AN25,TASTYOHLC!E25)</f>
        <v>0</v>
      </c>
      <c r="AF25" s="8"/>
      <c r="AJ25" s="37"/>
    </row>
    <row r="26" spans="1:40" s="19" customFormat="1" ht="11.1" customHeight="1" thickBot="1" x14ac:dyDescent="0.3">
      <c r="A26" s="23">
        <f t="shared" si="6"/>
        <v>9</v>
      </c>
      <c r="B26" s="14">
        <f>IF($A$2="PREMIUM_OI",IFERROR((100*RTD("tos.rtd",,"OPEN_INT","."&amp;B$2&amp;B$1&amp;"C"&amp;$A26)*RTD("tos.rtd",,"LAST","."&amp;B$2&amp;B$1&amp;"C"&amp;$A26)-100*RTD("tos.rtd",,"OPEN_INT","."&amp;B$2&amp;B$1&amp;"P"&amp;$A26)*RTD("tos.rtd",,"LAST","."&amp;B$2&amp;B$1&amp;"P"&amp;$A26))/1000000,0),IF($A$2="PREMIUM",IFERROR((100*RTD("tos.rtd",,"VOLUME","."&amp;B$2&amp;B$1&amp;"C"&amp;$A26)*RTD("tos.rtd",,"LAST","."&amp;B$2&amp;B$1&amp;"C"&amp;$A26)-100*RTD("tos.rtd",,"VOLUME","."&amp;B$2&amp;B$1&amp;"P"&amp;$A26)*RTD("tos.rtd",,"LAST","."&amp;B$2&amp;B$1&amp;"P"&amp;$A26))/1000000,0),IF($A$2="DEX",IFERROR((100*RTD("tos.rtd",,"OPEN_INT","."&amp;B$2&amp;B$1&amp;"C"&amp;$A26)*RTD("tos.rtd",,"DELTA","."&amp;B$2&amp;B$1&amp;"C"&amp;$A26)-100*RTD("tos.rtd",,"OPEN_INT","."&amp;B$2&amp;B$1&amp;"P"&amp;$A26)*RTD("tos.rtd",,"DELTA","."&amp;B$2&amp;B$1&amp;"P"&amp;$A26))/1000,0),IF($A$2="VEX",IFERROR(($A$4*$A$4*RTD("tos.rtd",,"VOLUME","."&amp;B$2&amp;B$1&amp;"C"&amp;$A26)*RTD("tos.rtd",,"GAMMA","."&amp;B$2&amp;B$1&amp;"C"&amp;$A26)-$A$4*$A$4*RTD("tos.rtd",,"VOLUME","."&amp;B$2&amp;B$1&amp;"P"&amp;$A26)*RTD("tos.rtd",,"GAMMA","."&amp;B$2&amp;B$1&amp;"P"&amp;$A26))/1000000,0),IF($A$2="GEX",IFERROR(($A$4*$A$4*RTD("tos.rtd",,"OPEN_INT","."&amp;B$2&amp;B$1&amp;"C"&amp;$A26)*RTD("tos.rtd",,"GAMMA","."&amp;B$2&amp;B$1&amp;"C"&amp;$A26)-$A$4*$A$4*RTD("tos.rtd",,"OPEN_INT","."&amp;B$2&amp;B$1&amp;"P"&amp;$A26)*RTD("tos.rtd",,"GAMMA","."&amp;B$2&amp;B$1&amp;"P"&amp;$A26))/1000000,0),IF($A$2="SKEW",IFERROR(VALUE(IF(RTD("tos.rtd",,"IMPL_VOL","."&amp;B$2&amp;B$1&amp;"P"&amp;$A26)="N/A",0,RTD("tos.rtd",,"IMPL_VOL","."&amp;B$2&amp;B$1&amp;"P"&amp;$A26))),0)-IFERROR(VALUE(IF(RTD("tos.rtd",,"IMPL_VOL","."&amp;B$2&amp;B$1&amp;"C"&amp;$A26)="N/A",0,RTD("tos.rtd",,"IMPL_VOL","."&amp;B$2&amp;B$1&amp;"C"&amp;$A26))),0),IF($A$2="MAXPAIN",IF($A$4&gt;$A26,($A$4-$A26)*IF(RTD("tos.rtd",,"OPEN_INT","."&amp;B$2&amp;B$1&amp;"C"&amp;$A26)="N/A",0,RTD("tos.rtd",,"OPEN_INT","."&amp;B$2&amp;B$1&amp;"C"&amp;$A26)),0)+IF($A$4&lt;$A26,($A26-$A$4)*IF(RTD("tos.rtd",,"OPEN_INT","."&amp;B$2&amp;B$1&amp;"P"&amp;$A26)="N/A",0,RTD("tos.rtd",,"OPEN_INT","."&amp;B$2&amp;B$1&amp;"P"&amp;$A26)),0),IF(RTD("tos.rtd",,$A$2,"."&amp;B$2&amp;B$1&amp;"C"&amp;$A26)="N/A",0,RTD("tos.rtd",,$A$2,"."&amp;B$2&amp;B$1&amp;"C"&amp;$A26))-IF(RTD("tos.rtd",,$A$2,"."&amp;B$2&amp;B$1&amp;"P"&amp;$A26)="N/A",0,RTD("tos.rtd",,$A$2,"."&amp;B$2&amp;B$1&amp;"P"&amp;$A26)))))))))</f>
        <v>0</v>
      </c>
      <c r="C26" s="12">
        <f>IF($A$2="PREMIUM_OI",IFERROR((100*RTD("tos.rtd",,"OPEN_INT","."&amp;C$2&amp;C$1&amp;"C"&amp;$A26)*RTD("tos.rtd",,"LAST","."&amp;C$2&amp;C$1&amp;"C"&amp;$A26)-100*RTD("tos.rtd",,"OPEN_INT","."&amp;C$2&amp;C$1&amp;"P"&amp;$A26)*RTD("tos.rtd",,"LAST","."&amp;C$2&amp;C$1&amp;"P"&amp;$A26))/1000000,0),IF($A$2="PREMIUM",IFERROR((100*RTD("tos.rtd",,"VOLUME","."&amp;C$2&amp;C$1&amp;"C"&amp;$A26)*RTD("tos.rtd",,"LAST","."&amp;C$2&amp;C$1&amp;"C"&amp;$A26)-100*RTD("tos.rtd",,"VOLUME","."&amp;C$2&amp;C$1&amp;"P"&amp;$A26)*RTD("tos.rtd",,"LAST","."&amp;C$2&amp;C$1&amp;"P"&amp;$A26))/1000000,0),IF($A$2="DEX",IFERROR((100*RTD("tos.rtd",,"OPEN_INT","."&amp;C$2&amp;C$1&amp;"C"&amp;$A26)*RTD("tos.rtd",,"DELTA","."&amp;C$2&amp;C$1&amp;"C"&amp;$A26)-100*RTD("tos.rtd",,"OPEN_INT","."&amp;C$2&amp;C$1&amp;"P"&amp;$A26)*RTD("tos.rtd",,"DELTA","."&amp;C$2&amp;C$1&amp;"P"&amp;$A26))/1000,0),IF($A$2="VEX",IFERROR(($A$4*$A$4*RTD("tos.rtd",,"VOLUME","."&amp;C$2&amp;C$1&amp;"C"&amp;$A26)*RTD("tos.rtd",,"GAMMA","."&amp;C$2&amp;C$1&amp;"C"&amp;$A26)-$A$4*$A$4*RTD("tos.rtd",,"VOLUME","."&amp;C$2&amp;C$1&amp;"P"&amp;$A26)*RTD("tos.rtd",,"GAMMA","."&amp;C$2&amp;C$1&amp;"P"&amp;$A26))/1000000,0),IF($A$2="GEX",IFERROR(($A$4*$A$4*RTD("tos.rtd",,"OPEN_INT","."&amp;C$2&amp;C$1&amp;"C"&amp;$A26)*RTD("tos.rtd",,"GAMMA","."&amp;C$2&amp;C$1&amp;"C"&amp;$A26)-$A$4*$A$4*RTD("tos.rtd",,"OPEN_INT","."&amp;C$2&amp;C$1&amp;"P"&amp;$A26)*RTD("tos.rtd",,"GAMMA","."&amp;C$2&amp;C$1&amp;"P"&amp;$A26))/1000000,0),IF($A$2="SKEW",IFERROR(VALUE(IF(RTD("tos.rtd",,"IMPL_VOL","."&amp;C$2&amp;C$1&amp;"P"&amp;$A26)="N/A",0,RTD("tos.rtd",,"IMPL_VOL","."&amp;C$2&amp;C$1&amp;"P"&amp;$A26))),0)-IFERROR(VALUE(IF(RTD("tos.rtd",,"IMPL_VOL","."&amp;C$2&amp;C$1&amp;"C"&amp;$A26)="N/A",0,RTD("tos.rtd",,"IMPL_VOL","."&amp;C$2&amp;C$1&amp;"C"&amp;$A26))),0),IF($A$2="MAXPAIN",IF($A$4&gt;$A26,($A$4-$A26)*IF(RTD("tos.rtd",,"OPEN_INT","."&amp;C$2&amp;C$1&amp;"C"&amp;$A26)="N/A",0,RTD("tos.rtd",,"OPEN_INT","."&amp;C$2&amp;C$1&amp;"C"&amp;$A26)),0)+IF($A$4&lt;$A26,($A26-$A$4)*IF(RTD("tos.rtd",,"OPEN_INT","."&amp;C$2&amp;C$1&amp;"P"&amp;$A26)="N/A",0,RTD("tos.rtd",,"OPEN_INT","."&amp;C$2&amp;C$1&amp;"P"&amp;$A26)),0),IF(RTD("tos.rtd",,$A$2,"."&amp;C$2&amp;C$1&amp;"C"&amp;$A26)="N/A",0,RTD("tos.rtd",,$A$2,"."&amp;C$2&amp;C$1&amp;"C"&amp;$A26))-IF(RTD("tos.rtd",,$A$2,"."&amp;C$2&amp;C$1&amp;"P"&amp;$A26)="N/A",0,RTD("tos.rtd",,$A$2,"."&amp;C$2&amp;C$1&amp;"P"&amp;$A26)))))))))</f>
        <v>98345</v>
      </c>
      <c r="D26" s="12">
        <f>IF($A$2="PREMIUM_OI",IFERROR((100*RTD("tos.rtd",,"OPEN_INT","."&amp;D$2&amp;D$1&amp;"C"&amp;$A26)*RTD("tos.rtd",,"LAST","."&amp;D$2&amp;D$1&amp;"C"&amp;$A26)-100*RTD("tos.rtd",,"OPEN_INT","."&amp;D$2&amp;D$1&amp;"P"&amp;$A26)*RTD("tos.rtd",,"LAST","."&amp;D$2&amp;D$1&amp;"P"&amp;$A26))/1000000,0),IF($A$2="PREMIUM",IFERROR((100*RTD("tos.rtd",,"VOLUME","."&amp;D$2&amp;D$1&amp;"C"&amp;$A26)*RTD("tos.rtd",,"LAST","."&amp;D$2&amp;D$1&amp;"C"&amp;$A26)-100*RTD("tos.rtd",,"VOLUME","."&amp;D$2&amp;D$1&amp;"P"&amp;$A26)*RTD("tos.rtd",,"LAST","."&amp;D$2&amp;D$1&amp;"P"&amp;$A26))/1000000,0),IF($A$2="DEX",IFERROR((100*RTD("tos.rtd",,"OPEN_INT","."&amp;D$2&amp;D$1&amp;"C"&amp;$A26)*RTD("tos.rtd",,"DELTA","."&amp;D$2&amp;D$1&amp;"C"&amp;$A26)-100*RTD("tos.rtd",,"OPEN_INT","."&amp;D$2&amp;D$1&amp;"P"&amp;$A26)*RTD("tos.rtd",,"DELTA","."&amp;D$2&amp;D$1&amp;"P"&amp;$A26))/1000,0),IF($A$2="VEX",IFERROR(($A$4*$A$4*RTD("tos.rtd",,"VOLUME","."&amp;D$2&amp;D$1&amp;"C"&amp;$A26)*RTD("tos.rtd",,"GAMMA","."&amp;D$2&amp;D$1&amp;"C"&amp;$A26)-$A$4*$A$4*RTD("tos.rtd",,"VOLUME","."&amp;D$2&amp;D$1&amp;"P"&amp;$A26)*RTD("tos.rtd",,"GAMMA","."&amp;D$2&amp;D$1&amp;"P"&amp;$A26))/1000000,0),IF($A$2="GEX",IFERROR(($A$4*$A$4*RTD("tos.rtd",,"OPEN_INT","."&amp;D$2&amp;D$1&amp;"C"&amp;$A26)*RTD("tos.rtd",,"GAMMA","."&amp;D$2&amp;D$1&amp;"C"&amp;$A26)-$A$4*$A$4*RTD("tos.rtd",,"OPEN_INT","."&amp;D$2&amp;D$1&amp;"P"&amp;$A26)*RTD("tos.rtd",,"GAMMA","."&amp;D$2&amp;D$1&amp;"P"&amp;$A26))/1000000,0),IF($A$2="SKEW",IFERROR(VALUE(IF(RTD("tos.rtd",,"IMPL_VOL","."&amp;D$2&amp;D$1&amp;"P"&amp;$A26)="N/A",0,RTD("tos.rtd",,"IMPL_VOL","."&amp;D$2&amp;D$1&amp;"P"&amp;$A26))),0)-IFERROR(VALUE(IF(RTD("tos.rtd",,"IMPL_VOL","."&amp;D$2&amp;D$1&amp;"C"&amp;$A26)="N/A",0,RTD("tos.rtd",,"IMPL_VOL","."&amp;D$2&amp;D$1&amp;"C"&amp;$A26))),0),IF($A$2="MAXPAIN",IF($A$4&gt;$A26,($A$4-$A26)*IF(RTD("tos.rtd",,"OPEN_INT","."&amp;D$2&amp;D$1&amp;"C"&amp;$A26)="N/A",0,RTD("tos.rtd",,"OPEN_INT","."&amp;D$2&amp;D$1&amp;"C"&amp;$A26)),0)+IF($A$4&lt;$A26,($A26-$A$4)*IF(RTD("tos.rtd",,"OPEN_INT","."&amp;D$2&amp;D$1&amp;"P"&amp;$A26)="N/A",0,RTD("tos.rtd",,"OPEN_INT","."&amp;D$2&amp;D$1&amp;"P"&amp;$A26)),0),IF(RTD("tos.rtd",,$A$2,"."&amp;D$2&amp;D$1&amp;"C"&amp;$A26)="N/A",0,RTD("tos.rtd",,$A$2,"."&amp;D$2&amp;D$1&amp;"C"&amp;$A26))-IF(RTD("tos.rtd",,$A$2,"."&amp;D$2&amp;D$1&amp;"P"&amp;$A26)="N/A",0,RTD("tos.rtd",,$A$2,"."&amp;D$2&amp;D$1&amp;"P"&amp;$A26)))))))))</f>
        <v>0</v>
      </c>
      <c r="E26" s="12">
        <f>IF($A$2="PREMIUM_OI",IFERROR((100*RTD("tos.rtd",,"OPEN_INT","."&amp;E$2&amp;E$1&amp;"C"&amp;$A26)*RTD("tos.rtd",,"LAST","."&amp;E$2&amp;E$1&amp;"C"&amp;$A26)-100*RTD("tos.rtd",,"OPEN_INT","."&amp;E$2&amp;E$1&amp;"P"&amp;$A26)*RTD("tos.rtd",,"LAST","."&amp;E$2&amp;E$1&amp;"P"&amp;$A26))/1000000,0),IF($A$2="PREMIUM",IFERROR((100*RTD("tos.rtd",,"VOLUME","."&amp;E$2&amp;E$1&amp;"C"&amp;$A26)*RTD("tos.rtd",,"LAST","."&amp;E$2&amp;E$1&amp;"C"&amp;$A26)-100*RTD("tos.rtd",,"VOLUME","."&amp;E$2&amp;E$1&amp;"P"&amp;$A26)*RTD("tos.rtd",,"LAST","."&amp;E$2&amp;E$1&amp;"P"&amp;$A26))/1000000,0),IF($A$2="DEX",IFERROR((100*RTD("tos.rtd",,"OPEN_INT","."&amp;E$2&amp;E$1&amp;"C"&amp;$A26)*RTD("tos.rtd",,"DELTA","."&amp;E$2&amp;E$1&amp;"C"&amp;$A26)-100*RTD("tos.rtd",,"OPEN_INT","."&amp;E$2&amp;E$1&amp;"P"&amp;$A26)*RTD("tos.rtd",,"DELTA","."&amp;E$2&amp;E$1&amp;"P"&amp;$A26))/1000,0),IF($A$2="VEX",IFERROR(($A$4*$A$4*RTD("tos.rtd",,"VOLUME","."&amp;E$2&amp;E$1&amp;"C"&amp;$A26)*RTD("tos.rtd",,"GAMMA","."&amp;E$2&amp;E$1&amp;"C"&amp;$A26)-$A$4*$A$4*RTD("tos.rtd",,"VOLUME","."&amp;E$2&amp;E$1&amp;"P"&amp;$A26)*RTD("tos.rtd",,"GAMMA","."&amp;E$2&amp;E$1&amp;"P"&amp;$A26))/1000000,0),IF($A$2="GEX",IFERROR(($A$4*$A$4*RTD("tos.rtd",,"OPEN_INT","."&amp;E$2&amp;E$1&amp;"C"&amp;$A26)*RTD("tos.rtd",,"GAMMA","."&amp;E$2&amp;E$1&amp;"C"&amp;$A26)-$A$4*$A$4*RTD("tos.rtd",,"OPEN_INT","."&amp;E$2&amp;E$1&amp;"P"&amp;$A26)*RTD("tos.rtd",,"GAMMA","."&amp;E$2&amp;E$1&amp;"P"&amp;$A26))/1000000,0),IF($A$2="SKEW",IFERROR(VALUE(IF(RTD("tos.rtd",,"IMPL_VOL","."&amp;E$2&amp;E$1&amp;"P"&amp;$A26)="N/A",0,RTD("tos.rtd",,"IMPL_VOL","."&amp;E$2&amp;E$1&amp;"P"&amp;$A26))),0)-IFERROR(VALUE(IF(RTD("tos.rtd",,"IMPL_VOL","."&amp;E$2&amp;E$1&amp;"C"&amp;$A26)="N/A",0,RTD("tos.rtd",,"IMPL_VOL","."&amp;E$2&amp;E$1&amp;"C"&amp;$A26))),0),IF($A$2="MAXPAIN",IF($A$4&gt;$A26,($A$4-$A26)*IF(RTD("tos.rtd",,"OPEN_INT","."&amp;E$2&amp;E$1&amp;"C"&amp;$A26)="N/A",0,RTD("tos.rtd",,"OPEN_INT","."&amp;E$2&amp;E$1&amp;"C"&amp;$A26)),0)+IF($A$4&lt;$A26,($A26-$A$4)*IF(RTD("tos.rtd",,"OPEN_INT","."&amp;E$2&amp;E$1&amp;"P"&amp;$A26)="N/A",0,RTD("tos.rtd",,"OPEN_INT","."&amp;E$2&amp;E$1&amp;"P"&amp;$A26)),0),IF(RTD("tos.rtd",,$A$2,"."&amp;E$2&amp;E$1&amp;"C"&amp;$A26)="N/A",0,RTD("tos.rtd",,$A$2,"."&amp;E$2&amp;E$1&amp;"C"&amp;$A26))-IF(RTD("tos.rtd",,$A$2,"."&amp;E$2&amp;E$1&amp;"P"&amp;$A26)="N/A",0,RTD("tos.rtd",,$A$2,"."&amp;E$2&amp;E$1&amp;"P"&amp;$A26)))))))))</f>
        <v>0</v>
      </c>
      <c r="F26" s="12">
        <f>IF($A$2="PREMIUM_OI",IFERROR((100*RTD("tos.rtd",,"OPEN_INT","."&amp;F$2&amp;F$1&amp;"C"&amp;$A26)*RTD("tos.rtd",,"LAST","."&amp;F$2&amp;F$1&amp;"C"&amp;$A26)-100*RTD("tos.rtd",,"OPEN_INT","."&amp;F$2&amp;F$1&amp;"P"&amp;$A26)*RTD("tos.rtd",,"LAST","."&amp;F$2&amp;F$1&amp;"P"&amp;$A26))/1000000,0),IF($A$2="PREMIUM",IFERROR((100*RTD("tos.rtd",,"VOLUME","."&amp;F$2&amp;F$1&amp;"C"&amp;$A26)*RTD("tos.rtd",,"LAST","."&amp;F$2&amp;F$1&amp;"C"&amp;$A26)-100*RTD("tos.rtd",,"VOLUME","."&amp;F$2&amp;F$1&amp;"P"&amp;$A26)*RTD("tos.rtd",,"LAST","."&amp;F$2&amp;F$1&amp;"P"&amp;$A26))/1000000,0),IF($A$2="DEX",IFERROR((100*RTD("tos.rtd",,"OPEN_INT","."&amp;F$2&amp;F$1&amp;"C"&amp;$A26)*RTD("tos.rtd",,"DELTA","."&amp;F$2&amp;F$1&amp;"C"&amp;$A26)-100*RTD("tos.rtd",,"OPEN_INT","."&amp;F$2&amp;F$1&amp;"P"&amp;$A26)*RTD("tos.rtd",,"DELTA","."&amp;F$2&amp;F$1&amp;"P"&amp;$A26))/1000,0),IF($A$2="VEX",IFERROR(($A$4*$A$4*RTD("tos.rtd",,"VOLUME","."&amp;F$2&amp;F$1&amp;"C"&amp;$A26)*RTD("tos.rtd",,"GAMMA","."&amp;F$2&amp;F$1&amp;"C"&amp;$A26)-$A$4*$A$4*RTD("tos.rtd",,"VOLUME","."&amp;F$2&amp;F$1&amp;"P"&amp;$A26)*RTD("tos.rtd",,"GAMMA","."&amp;F$2&amp;F$1&amp;"P"&amp;$A26))/1000000,0),IF($A$2="GEX",IFERROR(($A$4*$A$4*RTD("tos.rtd",,"OPEN_INT","."&amp;F$2&amp;F$1&amp;"C"&amp;$A26)*RTD("tos.rtd",,"GAMMA","."&amp;F$2&amp;F$1&amp;"C"&amp;$A26)-$A$4*$A$4*RTD("tos.rtd",,"OPEN_INT","."&amp;F$2&amp;F$1&amp;"P"&amp;$A26)*RTD("tos.rtd",,"GAMMA","."&amp;F$2&amp;F$1&amp;"P"&amp;$A26))/1000000,0),IF($A$2="SKEW",IFERROR(VALUE(IF(RTD("tos.rtd",,"IMPL_VOL","."&amp;F$2&amp;F$1&amp;"P"&amp;$A26)="N/A",0,RTD("tos.rtd",,"IMPL_VOL","."&amp;F$2&amp;F$1&amp;"P"&amp;$A26))),0)-IFERROR(VALUE(IF(RTD("tos.rtd",,"IMPL_VOL","."&amp;F$2&amp;F$1&amp;"C"&amp;$A26)="N/A",0,RTD("tos.rtd",,"IMPL_VOL","."&amp;F$2&amp;F$1&amp;"C"&amp;$A26))),0),IF($A$2="MAXPAIN",IF($A$4&gt;$A26,($A$4-$A26)*IF(RTD("tos.rtd",,"OPEN_INT","."&amp;F$2&amp;F$1&amp;"C"&amp;$A26)="N/A",0,RTD("tos.rtd",,"OPEN_INT","."&amp;F$2&amp;F$1&amp;"C"&amp;$A26)),0)+IF($A$4&lt;$A26,($A26-$A$4)*IF(RTD("tos.rtd",,"OPEN_INT","."&amp;F$2&amp;F$1&amp;"P"&amp;$A26)="N/A",0,RTD("tos.rtd",,"OPEN_INT","."&amp;F$2&amp;F$1&amp;"P"&amp;$A26)),0),IF(RTD("tos.rtd",,$A$2,"."&amp;F$2&amp;F$1&amp;"C"&amp;$A26)="N/A",0,RTD("tos.rtd",,$A$2,"."&amp;F$2&amp;F$1&amp;"C"&amp;$A26))-IF(RTD("tos.rtd",,$A$2,"."&amp;F$2&amp;F$1&amp;"P"&amp;$A26)="N/A",0,RTD("tos.rtd",,$A$2,"."&amp;F$2&amp;F$1&amp;"P"&amp;$A26)))))))))</f>
        <v>0</v>
      </c>
      <c r="G26" s="14">
        <f>IF($A$2="PREMIUM_OI",IFERROR((100*RTD("tos.rtd",,"OPEN_INT","."&amp;G$2&amp;G$1&amp;"C"&amp;$A26)*RTD("tos.rtd",,"LAST","."&amp;G$2&amp;G$1&amp;"C"&amp;$A26)-100*RTD("tos.rtd",,"OPEN_INT","."&amp;G$2&amp;G$1&amp;"P"&amp;$A26)*RTD("tos.rtd",,"LAST","."&amp;G$2&amp;G$1&amp;"P"&amp;$A26))/1000000,0),IF($A$2="PREMIUM",IFERROR((100*RTD("tos.rtd",,"VOLUME","."&amp;G$2&amp;G$1&amp;"C"&amp;$A26)*RTD("tos.rtd",,"LAST","."&amp;G$2&amp;G$1&amp;"C"&amp;$A26)-100*RTD("tos.rtd",,"VOLUME","."&amp;G$2&amp;G$1&amp;"P"&amp;$A26)*RTD("tos.rtd",,"LAST","."&amp;G$2&amp;G$1&amp;"P"&amp;$A26))/1000000,0),IF($A$2="DEX",IFERROR((100*RTD("tos.rtd",,"OPEN_INT","."&amp;G$2&amp;G$1&amp;"C"&amp;$A26)*RTD("tos.rtd",,"DELTA","."&amp;G$2&amp;G$1&amp;"C"&amp;$A26)-100*RTD("tos.rtd",,"OPEN_INT","."&amp;G$2&amp;G$1&amp;"P"&amp;$A26)*RTD("tos.rtd",,"DELTA","."&amp;G$2&amp;G$1&amp;"P"&amp;$A26))/1000,0),IF($A$2="VEX",IFERROR(($A$4*$A$4*RTD("tos.rtd",,"VOLUME","."&amp;G$2&amp;G$1&amp;"C"&amp;$A26)*RTD("tos.rtd",,"GAMMA","."&amp;G$2&amp;G$1&amp;"C"&amp;$A26)-$A$4*$A$4*RTD("tos.rtd",,"VOLUME","."&amp;G$2&amp;G$1&amp;"P"&amp;$A26)*RTD("tos.rtd",,"GAMMA","."&amp;G$2&amp;G$1&amp;"P"&amp;$A26))/1000000,0),IF($A$2="GEX",IFERROR(($A$4*$A$4*RTD("tos.rtd",,"OPEN_INT","."&amp;G$2&amp;G$1&amp;"C"&amp;$A26)*RTD("tos.rtd",,"GAMMA","."&amp;G$2&amp;G$1&amp;"C"&amp;$A26)-$A$4*$A$4*RTD("tos.rtd",,"OPEN_INT","."&amp;G$2&amp;G$1&amp;"P"&amp;$A26)*RTD("tos.rtd",,"GAMMA","."&amp;G$2&amp;G$1&amp;"P"&amp;$A26))/1000000,0),IF($A$2="SKEW",IFERROR(VALUE(IF(RTD("tos.rtd",,"IMPL_VOL","."&amp;G$2&amp;G$1&amp;"P"&amp;$A26)="N/A",0,RTD("tos.rtd",,"IMPL_VOL","."&amp;G$2&amp;G$1&amp;"P"&amp;$A26))),0)-IFERROR(VALUE(IF(RTD("tos.rtd",,"IMPL_VOL","."&amp;G$2&amp;G$1&amp;"C"&amp;$A26)="N/A",0,RTD("tos.rtd",,"IMPL_VOL","."&amp;G$2&amp;G$1&amp;"C"&amp;$A26))),0),IF($A$2="MAXPAIN",IF($A$4&gt;$A26,($A$4-$A26)*IF(RTD("tos.rtd",,"OPEN_INT","."&amp;G$2&amp;G$1&amp;"C"&amp;$A26)="N/A",0,RTD("tos.rtd",,"OPEN_INT","."&amp;G$2&amp;G$1&amp;"C"&amp;$A26)),0)+IF($A$4&lt;$A26,($A26-$A$4)*IF(RTD("tos.rtd",,"OPEN_INT","."&amp;G$2&amp;G$1&amp;"P"&amp;$A26)="N/A",0,RTD("tos.rtd",,"OPEN_INT","."&amp;G$2&amp;G$1&amp;"P"&amp;$A26)),0),IF(RTD("tos.rtd",,$A$2,"."&amp;G$2&amp;G$1&amp;"C"&amp;$A26)="N/A",0,RTD("tos.rtd",,$A$2,"."&amp;G$2&amp;G$1&amp;"C"&amp;$A26))-IF(RTD("tos.rtd",,$A$2,"."&amp;G$2&amp;G$1&amp;"P"&amp;$A26)="N/A",0,RTD("tos.rtd",,$A$2,"."&amp;G$2&amp;G$1&amp;"P"&amp;$A26)))))))))</f>
        <v>0</v>
      </c>
      <c r="H26" s="12">
        <f>IF($A$2="PREMIUM_OI",IFERROR((100*RTD("tos.rtd",,"OPEN_INT","."&amp;H$2&amp;H$1&amp;"C"&amp;$A26)*RTD("tos.rtd",,"LAST","."&amp;H$2&amp;H$1&amp;"C"&amp;$A26)-100*RTD("tos.rtd",,"OPEN_INT","."&amp;H$2&amp;H$1&amp;"P"&amp;$A26)*RTD("tos.rtd",,"LAST","."&amp;H$2&amp;H$1&amp;"P"&amp;$A26))/1000000,0),IF($A$2="PREMIUM",IFERROR((100*RTD("tos.rtd",,"VOLUME","."&amp;H$2&amp;H$1&amp;"C"&amp;$A26)*RTD("tos.rtd",,"LAST","."&amp;H$2&amp;H$1&amp;"C"&amp;$A26)-100*RTD("tos.rtd",,"VOLUME","."&amp;H$2&amp;H$1&amp;"P"&amp;$A26)*RTD("tos.rtd",,"LAST","."&amp;H$2&amp;H$1&amp;"P"&amp;$A26))/1000000,0),IF($A$2="DEX",IFERROR((100*RTD("tos.rtd",,"OPEN_INT","."&amp;H$2&amp;H$1&amp;"C"&amp;$A26)*RTD("tos.rtd",,"DELTA","."&amp;H$2&amp;H$1&amp;"C"&amp;$A26)-100*RTD("tos.rtd",,"OPEN_INT","."&amp;H$2&amp;H$1&amp;"P"&amp;$A26)*RTD("tos.rtd",,"DELTA","."&amp;H$2&amp;H$1&amp;"P"&amp;$A26))/1000,0),IF($A$2="VEX",IFERROR(($A$4*$A$4*RTD("tos.rtd",,"VOLUME","."&amp;H$2&amp;H$1&amp;"C"&amp;$A26)*RTD("tos.rtd",,"GAMMA","."&amp;H$2&amp;H$1&amp;"C"&amp;$A26)-$A$4*$A$4*RTD("tos.rtd",,"VOLUME","."&amp;H$2&amp;H$1&amp;"P"&amp;$A26)*RTD("tos.rtd",,"GAMMA","."&amp;H$2&amp;H$1&amp;"P"&amp;$A26))/1000000,0),IF($A$2="GEX",IFERROR(($A$4*$A$4*RTD("tos.rtd",,"OPEN_INT","."&amp;H$2&amp;H$1&amp;"C"&amp;$A26)*RTD("tos.rtd",,"GAMMA","."&amp;H$2&amp;H$1&amp;"C"&amp;$A26)-$A$4*$A$4*RTD("tos.rtd",,"OPEN_INT","."&amp;H$2&amp;H$1&amp;"P"&amp;$A26)*RTD("tos.rtd",,"GAMMA","."&amp;H$2&amp;H$1&amp;"P"&amp;$A26))/1000000,0),IF($A$2="SKEW",IFERROR(VALUE(IF(RTD("tos.rtd",,"IMPL_VOL","."&amp;H$2&amp;H$1&amp;"P"&amp;$A26)="N/A",0,RTD("tos.rtd",,"IMPL_VOL","."&amp;H$2&amp;H$1&amp;"P"&amp;$A26))),0)-IFERROR(VALUE(IF(RTD("tos.rtd",,"IMPL_VOL","."&amp;H$2&amp;H$1&amp;"C"&amp;$A26)="N/A",0,RTD("tos.rtd",,"IMPL_VOL","."&amp;H$2&amp;H$1&amp;"C"&amp;$A26))),0),IF($A$2="MAXPAIN",IF($A$4&gt;$A26,($A$4-$A26)*IF(RTD("tos.rtd",,"OPEN_INT","."&amp;H$2&amp;H$1&amp;"C"&amp;$A26)="N/A",0,RTD("tos.rtd",,"OPEN_INT","."&amp;H$2&amp;H$1&amp;"C"&amp;$A26)),0)+IF($A$4&lt;$A26,($A26-$A$4)*IF(RTD("tos.rtd",,"OPEN_INT","."&amp;H$2&amp;H$1&amp;"P"&amp;$A26)="N/A",0,RTD("tos.rtd",,"OPEN_INT","."&amp;H$2&amp;H$1&amp;"P"&amp;$A26)),0),IF(RTD("tos.rtd",,$A$2,"."&amp;H$2&amp;H$1&amp;"C"&amp;$A26)="N/A",0,RTD("tos.rtd",,$A$2,"."&amp;H$2&amp;H$1&amp;"C"&amp;$A26))-IF(RTD("tos.rtd",,$A$2,"."&amp;H$2&amp;H$1&amp;"P"&amp;$A26)="N/A",0,RTD("tos.rtd",,$A$2,"."&amp;H$2&amp;H$1&amp;"P"&amp;$A26)))))))))</f>
        <v>43139</v>
      </c>
      <c r="I26" s="12">
        <f>IF($A$2="PREMIUM_OI",IFERROR((100*RTD("tos.rtd",,"OPEN_INT","."&amp;I$2&amp;I$1&amp;"C"&amp;$A26)*RTD("tos.rtd",,"LAST","."&amp;I$2&amp;I$1&amp;"C"&amp;$A26)-100*RTD("tos.rtd",,"OPEN_INT","."&amp;I$2&amp;I$1&amp;"P"&amp;$A26)*RTD("tos.rtd",,"LAST","."&amp;I$2&amp;I$1&amp;"P"&amp;$A26))/1000000,0),IF($A$2="PREMIUM",IFERROR((100*RTD("tos.rtd",,"VOLUME","."&amp;I$2&amp;I$1&amp;"C"&amp;$A26)*RTD("tos.rtd",,"LAST","."&amp;I$2&amp;I$1&amp;"C"&amp;$A26)-100*RTD("tos.rtd",,"VOLUME","."&amp;I$2&amp;I$1&amp;"P"&amp;$A26)*RTD("tos.rtd",,"LAST","."&amp;I$2&amp;I$1&amp;"P"&amp;$A26))/1000000,0),IF($A$2="DEX",IFERROR((100*RTD("tos.rtd",,"OPEN_INT","."&amp;I$2&amp;I$1&amp;"C"&amp;$A26)*RTD("tos.rtd",,"DELTA","."&amp;I$2&amp;I$1&amp;"C"&amp;$A26)-100*RTD("tos.rtd",,"OPEN_INT","."&amp;I$2&amp;I$1&amp;"P"&amp;$A26)*RTD("tos.rtd",,"DELTA","."&amp;I$2&amp;I$1&amp;"P"&amp;$A26))/1000,0),IF($A$2="VEX",IFERROR(($A$4*$A$4*RTD("tos.rtd",,"VOLUME","."&amp;I$2&amp;I$1&amp;"C"&amp;$A26)*RTD("tos.rtd",,"GAMMA","."&amp;I$2&amp;I$1&amp;"C"&amp;$A26)-$A$4*$A$4*RTD("tos.rtd",,"VOLUME","."&amp;I$2&amp;I$1&amp;"P"&amp;$A26)*RTD("tos.rtd",,"GAMMA","."&amp;I$2&amp;I$1&amp;"P"&amp;$A26))/1000000,0),IF($A$2="GEX",IFERROR(($A$4*$A$4*RTD("tos.rtd",,"OPEN_INT","."&amp;I$2&amp;I$1&amp;"C"&amp;$A26)*RTD("tos.rtd",,"GAMMA","."&amp;I$2&amp;I$1&amp;"C"&amp;$A26)-$A$4*$A$4*RTD("tos.rtd",,"OPEN_INT","."&amp;I$2&amp;I$1&amp;"P"&amp;$A26)*RTD("tos.rtd",,"GAMMA","."&amp;I$2&amp;I$1&amp;"P"&amp;$A26))/1000000,0),IF($A$2="SKEW",IFERROR(VALUE(IF(RTD("tos.rtd",,"IMPL_VOL","."&amp;I$2&amp;I$1&amp;"P"&amp;$A26)="N/A",0,RTD("tos.rtd",,"IMPL_VOL","."&amp;I$2&amp;I$1&amp;"P"&amp;$A26))),0)-IFERROR(VALUE(IF(RTD("tos.rtd",,"IMPL_VOL","."&amp;I$2&amp;I$1&amp;"C"&amp;$A26)="N/A",0,RTD("tos.rtd",,"IMPL_VOL","."&amp;I$2&amp;I$1&amp;"C"&amp;$A26))),0),IF($A$2="MAXPAIN",IF($A$4&gt;$A26,($A$4-$A26)*IF(RTD("tos.rtd",,"OPEN_INT","."&amp;I$2&amp;I$1&amp;"C"&amp;$A26)="N/A",0,RTD("tos.rtd",,"OPEN_INT","."&amp;I$2&amp;I$1&amp;"C"&amp;$A26)),0)+IF($A$4&lt;$A26,($A26-$A$4)*IF(RTD("tos.rtd",,"OPEN_INT","."&amp;I$2&amp;I$1&amp;"P"&amp;$A26)="N/A",0,RTD("tos.rtd",,"OPEN_INT","."&amp;I$2&amp;I$1&amp;"P"&amp;$A26)),0),IF(RTD("tos.rtd",,$A$2,"."&amp;I$2&amp;I$1&amp;"C"&amp;$A26)="N/A",0,RTD("tos.rtd",,$A$2,"."&amp;I$2&amp;I$1&amp;"C"&amp;$A26))-IF(RTD("tos.rtd",,$A$2,"."&amp;I$2&amp;I$1&amp;"P"&amp;$A26)="N/A",0,RTD("tos.rtd",,$A$2,"."&amp;I$2&amp;I$1&amp;"P"&amp;$A26)))))))))</f>
        <v>0</v>
      </c>
      <c r="J26" s="12">
        <f>IF($A$2="PREMIUM_OI",IFERROR((100*RTD("tos.rtd",,"OPEN_INT","."&amp;J$2&amp;J$1&amp;"C"&amp;$A26)*RTD("tos.rtd",,"LAST","."&amp;J$2&amp;J$1&amp;"C"&amp;$A26)-100*RTD("tos.rtd",,"OPEN_INT","."&amp;J$2&amp;J$1&amp;"P"&amp;$A26)*RTD("tos.rtd",,"LAST","."&amp;J$2&amp;J$1&amp;"P"&amp;$A26))/1000000,0),IF($A$2="PREMIUM",IFERROR((100*RTD("tos.rtd",,"VOLUME","."&amp;J$2&amp;J$1&amp;"C"&amp;$A26)*RTD("tos.rtd",,"LAST","."&amp;J$2&amp;J$1&amp;"C"&amp;$A26)-100*RTD("tos.rtd",,"VOLUME","."&amp;J$2&amp;J$1&amp;"P"&amp;$A26)*RTD("tos.rtd",,"LAST","."&amp;J$2&amp;J$1&amp;"P"&amp;$A26))/1000000,0),IF($A$2="DEX",IFERROR((100*RTD("tos.rtd",,"OPEN_INT","."&amp;J$2&amp;J$1&amp;"C"&amp;$A26)*RTD("tos.rtd",,"DELTA","."&amp;J$2&amp;J$1&amp;"C"&amp;$A26)-100*RTD("tos.rtd",,"OPEN_INT","."&amp;J$2&amp;J$1&amp;"P"&amp;$A26)*RTD("tos.rtd",,"DELTA","."&amp;J$2&amp;J$1&amp;"P"&amp;$A26))/1000,0),IF($A$2="VEX",IFERROR(($A$4*$A$4*RTD("tos.rtd",,"VOLUME","."&amp;J$2&amp;J$1&amp;"C"&amp;$A26)*RTD("tos.rtd",,"GAMMA","."&amp;J$2&amp;J$1&amp;"C"&amp;$A26)-$A$4*$A$4*RTD("tos.rtd",,"VOLUME","."&amp;J$2&amp;J$1&amp;"P"&amp;$A26)*RTD("tos.rtd",,"GAMMA","."&amp;J$2&amp;J$1&amp;"P"&amp;$A26))/1000000,0),IF($A$2="GEX",IFERROR(($A$4*$A$4*RTD("tos.rtd",,"OPEN_INT","."&amp;J$2&amp;J$1&amp;"C"&amp;$A26)*RTD("tos.rtd",,"GAMMA","."&amp;J$2&amp;J$1&amp;"C"&amp;$A26)-$A$4*$A$4*RTD("tos.rtd",,"OPEN_INT","."&amp;J$2&amp;J$1&amp;"P"&amp;$A26)*RTD("tos.rtd",,"GAMMA","."&amp;J$2&amp;J$1&amp;"P"&amp;$A26))/1000000,0),IF($A$2="SKEW",IFERROR(VALUE(IF(RTD("tos.rtd",,"IMPL_VOL","."&amp;J$2&amp;J$1&amp;"P"&amp;$A26)="N/A",0,RTD("tos.rtd",,"IMPL_VOL","."&amp;J$2&amp;J$1&amp;"P"&amp;$A26))),0)-IFERROR(VALUE(IF(RTD("tos.rtd",,"IMPL_VOL","."&amp;J$2&amp;J$1&amp;"C"&amp;$A26)="N/A",0,RTD("tos.rtd",,"IMPL_VOL","."&amp;J$2&amp;J$1&amp;"C"&amp;$A26))),0),IF($A$2="MAXPAIN",IF($A$4&gt;$A26,($A$4-$A26)*IF(RTD("tos.rtd",,"OPEN_INT","."&amp;J$2&amp;J$1&amp;"C"&amp;$A26)="N/A",0,RTD("tos.rtd",,"OPEN_INT","."&amp;J$2&amp;J$1&amp;"C"&amp;$A26)),0)+IF($A$4&lt;$A26,($A26-$A$4)*IF(RTD("tos.rtd",,"OPEN_INT","."&amp;J$2&amp;J$1&amp;"P"&amp;$A26)="N/A",0,RTD("tos.rtd",,"OPEN_INT","."&amp;J$2&amp;J$1&amp;"P"&amp;$A26)),0),IF(RTD("tos.rtd",,$A$2,"."&amp;J$2&amp;J$1&amp;"C"&amp;$A26)="N/A",0,RTD("tos.rtd",,$A$2,"."&amp;J$2&amp;J$1&amp;"C"&amp;$A26))-IF(RTD("tos.rtd",,$A$2,"."&amp;J$2&amp;J$1&amp;"P"&amp;$A26)="N/A",0,RTD("tos.rtd",,$A$2,"."&amp;J$2&amp;J$1&amp;"P"&amp;$A26)))))))))</f>
        <v>0</v>
      </c>
      <c r="K26" s="12">
        <f>IF($A$2="PREMIUM_OI",IFERROR((100*RTD("tos.rtd",,"OPEN_INT","."&amp;K$2&amp;K$1&amp;"C"&amp;$A26)*RTD("tos.rtd",,"LAST","."&amp;K$2&amp;K$1&amp;"C"&amp;$A26)-100*RTD("tos.rtd",,"OPEN_INT","."&amp;K$2&amp;K$1&amp;"P"&amp;$A26)*RTD("tos.rtd",,"LAST","."&amp;K$2&amp;K$1&amp;"P"&amp;$A26))/1000000,0),IF($A$2="PREMIUM",IFERROR((100*RTD("tos.rtd",,"VOLUME","."&amp;K$2&amp;K$1&amp;"C"&amp;$A26)*RTD("tos.rtd",,"LAST","."&amp;K$2&amp;K$1&amp;"C"&amp;$A26)-100*RTD("tos.rtd",,"VOLUME","."&amp;K$2&amp;K$1&amp;"P"&amp;$A26)*RTD("tos.rtd",,"LAST","."&amp;K$2&amp;K$1&amp;"P"&amp;$A26))/1000000,0),IF($A$2="DEX",IFERROR((100*RTD("tos.rtd",,"OPEN_INT","."&amp;K$2&amp;K$1&amp;"C"&amp;$A26)*RTD("tos.rtd",,"DELTA","."&amp;K$2&amp;K$1&amp;"C"&amp;$A26)-100*RTD("tos.rtd",,"OPEN_INT","."&amp;K$2&amp;K$1&amp;"P"&amp;$A26)*RTD("tos.rtd",,"DELTA","."&amp;K$2&amp;K$1&amp;"P"&amp;$A26))/1000,0),IF($A$2="VEX",IFERROR(($A$4*$A$4*RTD("tos.rtd",,"VOLUME","."&amp;K$2&amp;K$1&amp;"C"&amp;$A26)*RTD("tos.rtd",,"GAMMA","."&amp;K$2&amp;K$1&amp;"C"&amp;$A26)-$A$4*$A$4*RTD("tos.rtd",,"VOLUME","."&amp;K$2&amp;K$1&amp;"P"&amp;$A26)*RTD("tos.rtd",,"GAMMA","."&amp;K$2&amp;K$1&amp;"P"&amp;$A26))/1000000,0),IF($A$2="GEX",IFERROR(($A$4*$A$4*RTD("tos.rtd",,"OPEN_INT","."&amp;K$2&amp;K$1&amp;"C"&amp;$A26)*RTD("tos.rtd",,"GAMMA","."&amp;K$2&amp;K$1&amp;"C"&amp;$A26)-$A$4*$A$4*RTD("tos.rtd",,"OPEN_INT","."&amp;K$2&amp;K$1&amp;"P"&amp;$A26)*RTD("tos.rtd",,"GAMMA","."&amp;K$2&amp;K$1&amp;"P"&amp;$A26))/1000000,0),IF($A$2="SKEW",IFERROR(VALUE(IF(RTD("tos.rtd",,"IMPL_VOL","."&amp;K$2&amp;K$1&amp;"P"&amp;$A26)="N/A",0,RTD("tos.rtd",,"IMPL_VOL","."&amp;K$2&amp;K$1&amp;"P"&amp;$A26))),0)-IFERROR(VALUE(IF(RTD("tos.rtd",,"IMPL_VOL","."&amp;K$2&amp;K$1&amp;"C"&amp;$A26)="N/A",0,RTD("tos.rtd",,"IMPL_VOL","."&amp;K$2&amp;K$1&amp;"C"&amp;$A26))),0),IF($A$2="MAXPAIN",IF($A$4&gt;$A26,($A$4-$A26)*IF(RTD("tos.rtd",,"OPEN_INT","."&amp;K$2&amp;K$1&amp;"C"&amp;$A26)="N/A",0,RTD("tos.rtd",,"OPEN_INT","."&amp;K$2&amp;K$1&amp;"C"&amp;$A26)),0)+IF($A$4&lt;$A26,($A26-$A$4)*IF(RTD("tos.rtd",,"OPEN_INT","."&amp;K$2&amp;K$1&amp;"P"&amp;$A26)="N/A",0,RTD("tos.rtd",,"OPEN_INT","."&amp;K$2&amp;K$1&amp;"P"&amp;$A26)),0),IF(RTD("tos.rtd",,$A$2,"."&amp;K$2&amp;K$1&amp;"C"&amp;$A26)="N/A",0,RTD("tos.rtd",,$A$2,"."&amp;K$2&amp;K$1&amp;"C"&amp;$A26))-IF(RTD("tos.rtd",,$A$2,"."&amp;K$2&amp;K$1&amp;"P"&amp;$A26)="N/A",0,RTD("tos.rtd",,$A$2,"."&amp;K$2&amp;K$1&amp;"P"&amp;$A26)))))))))</f>
        <v>0</v>
      </c>
      <c r="L26" s="12">
        <f>IF($A$2="PREMIUM_OI",IFERROR((100*RTD("tos.rtd",,"OPEN_INT","."&amp;L$2&amp;L$1&amp;"C"&amp;$A26)*RTD("tos.rtd",,"LAST","."&amp;L$2&amp;L$1&amp;"C"&amp;$A26)-100*RTD("tos.rtd",,"OPEN_INT","."&amp;L$2&amp;L$1&amp;"P"&amp;$A26)*RTD("tos.rtd",,"LAST","."&amp;L$2&amp;L$1&amp;"P"&amp;$A26))/1000000,0),IF($A$2="PREMIUM",IFERROR((100*RTD("tos.rtd",,"VOLUME","."&amp;L$2&amp;L$1&amp;"C"&amp;$A26)*RTD("tos.rtd",,"LAST","."&amp;L$2&amp;L$1&amp;"C"&amp;$A26)-100*RTD("tos.rtd",,"VOLUME","."&amp;L$2&amp;L$1&amp;"P"&amp;$A26)*RTD("tos.rtd",,"LAST","."&amp;L$2&amp;L$1&amp;"P"&amp;$A26))/1000000,0),IF($A$2="DEX",IFERROR((100*RTD("tos.rtd",,"OPEN_INT","."&amp;L$2&amp;L$1&amp;"C"&amp;$A26)*RTD("tos.rtd",,"DELTA","."&amp;L$2&amp;L$1&amp;"C"&amp;$A26)-100*RTD("tos.rtd",,"OPEN_INT","."&amp;L$2&amp;L$1&amp;"P"&amp;$A26)*RTD("tos.rtd",,"DELTA","."&amp;L$2&amp;L$1&amp;"P"&amp;$A26))/1000,0),IF($A$2="VEX",IFERROR(($A$4*$A$4*RTD("tos.rtd",,"VOLUME","."&amp;L$2&amp;L$1&amp;"C"&amp;$A26)*RTD("tos.rtd",,"GAMMA","."&amp;L$2&amp;L$1&amp;"C"&amp;$A26)-$A$4*$A$4*RTD("tos.rtd",,"VOLUME","."&amp;L$2&amp;L$1&amp;"P"&amp;$A26)*RTD("tos.rtd",,"GAMMA","."&amp;L$2&amp;L$1&amp;"P"&amp;$A26))/1000000,0),IF($A$2="GEX",IFERROR(($A$4*$A$4*RTD("tos.rtd",,"OPEN_INT","."&amp;L$2&amp;L$1&amp;"C"&amp;$A26)*RTD("tos.rtd",,"GAMMA","."&amp;L$2&amp;L$1&amp;"C"&amp;$A26)-$A$4*$A$4*RTD("tos.rtd",,"OPEN_INT","."&amp;L$2&amp;L$1&amp;"P"&amp;$A26)*RTD("tos.rtd",,"GAMMA","."&amp;L$2&amp;L$1&amp;"P"&amp;$A26))/1000000,0),IF($A$2="SKEW",IFERROR(VALUE(IF(RTD("tos.rtd",,"IMPL_VOL","."&amp;L$2&amp;L$1&amp;"P"&amp;$A26)="N/A",0,RTD("tos.rtd",,"IMPL_VOL","."&amp;L$2&amp;L$1&amp;"P"&amp;$A26))),0)-IFERROR(VALUE(IF(RTD("tos.rtd",,"IMPL_VOL","."&amp;L$2&amp;L$1&amp;"C"&amp;$A26)="N/A",0,RTD("tos.rtd",,"IMPL_VOL","."&amp;L$2&amp;L$1&amp;"C"&amp;$A26))),0),IF($A$2="MAXPAIN",IF($A$4&gt;$A26,($A$4-$A26)*IF(RTD("tos.rtd",,"OPEN_INT","."&amp;L$2&amp;L$1&amp;"C"&amp;$A26)="N/A",0,RTD("tos.rtd",,"OPEN_INT","."&amp;L$2&amp;L$1&amp;"C"&amp;$A26)),0)+IF($A$4&lt;$A26,($A26-$A$4)*IF(RTD("tos.rtd",,"OPEN_INT","."&amp;L$2&amp;L$1&amp;"P"&amp;$A26)="N/A",0,RTD("tos.rtd",,"OPEN_INT","."&amp;L$2&amp;L$1&amp;"P"&amp;$A26)),0),IF(RTD("tos.rtd",,$A$2,"."&amp;L$2&amp;L$1&amp;"C"&amp;$A26)="N/A",0,RTD("tos.rtd",,$A$2,"."&amp;L$2&amp;L$1&amp;"C"&amp;$A26))-IF(RTD("tos.rtd",,$A$2,"."&amp;L$2&amp;L$1&amp;"P"&amp;$A26)="N/A",0,RTD("tos.rtd",,$A$2,"."&amp;L$2&amp;L$1&amp;"P"&amp;$A26)))))))))</f>
        <v>0</v>
      </c>
      <c r="M26" s="12">
        <f>IF($A$2="PREMIUM_OI",IFERROR((100*RTD("tos.rtd",,"OPEN_INT","."&amp;M$2&amp;M$1&amp;"C"&amp;$A26)*RTD("tos.rtd",,"LAST","."&amp;M$2&amp;M$1&amp;"C"&amp;$A26)-100*RTD("tos.rtd",,"OPEN_INT","."&amp;M$2&amp;M$1&amp;"P"&amp;$A26)*RTD("tos.rtd",,"LAST","."&amp;M$2&amp;M$1&amp;"P"&amp;$A26))/1000000,0),IF($A$2="PREMIUM",IFERROR((100*RTD("tos.rtd",,"VOLUME","."&amp;M$2&amp;M$1&amp;"C"&amp;$A26)*RTD("tos.rtd",,"LAST","."&amp;M$2&amp;M$1&amp;"C"&amp;$A26)-100*RTD("tos.rtd",,"VOLUME","."&amp;M$2&amp;M$1&amp;"P"&amp;$A26)*RTD("tos.rtd",,"LAST","."&amp;M$2&amp;M$1&amp;"P"&amp;$A26))/1000000,0),IF($A$2="DEX",IFERROR((100*RTD("tos.rtd",,"OPEN_INT","."&amp;M$2&amp;M$1&amp;"C"&amp;$A26)*RTD("tos.rtd",,"DELTA","."&amp;M$2&amp;M$1&amp;"C"&amp;$A26)-100*RTD("tos.rtd",,"OPEN_INT","."&amp;M$2&amp;M$1&amp;"P"&amp;$A26)*RTD("tos.rtd",,"DELTA","."&amp;M$2&amp;M$1&amp;"P"&amp;$A26))/1000,0),IF($A$2="VEX",IFERROR(($A$4*$A$4*RTD("tos.rtd",,"VOLUME","."&amp;M$2&amp;M$1&amp;"C"&amp;$A26)*RTD("tos.rtd",,"GAMMA","."&amp;M$2&amp;M$1&amp;"C"&amp;$A26)-$A$4*$A$4*RTD("tos.rtd",,"VOLUME","."&amp;M$2&amp;M$1&amp;"P"&amp;$A26)*RTD("tos.rtd",,"GAMMA","."&amp;M$2&amp;M$1&amp;"P"&amp;$A26))/1000000,0),IF($A$2="GEX",IFERROR(($A$4*$A$4*RTD("tos.rtd",,"OPEN_INT","."&amp;M$2&amp;M$1&amp;"C"&amp;$A26)*RTD("tos.rtd",,"GAMMA","."&amp;M$2&amp;M$1&amp;"C"&amp;$A26)-$A$4*$A$4*RTD("tos.rtd",,"OPEN_INT","."&amp;M$2&amp;M$1&amp;"P"&amp;$A26)*RTD("tos.rtd",,"GAMMA","."&amp;M$2&amp;M$1&amp;"P"&amp;$A26))/1000000,0),IF($A$2="SKEW",IFERROR(VALUE(IF(RTD("tos.rtd",,"IMPL_VOL","."&amp;M$2&amp;M$1&amp;"P"&amp;$A26)="N/A",0,RTD("tos.rtd",,"IMPL_VOL","."&amp;M$2&amp;M$1&amp;"P"&amp;$A26))),0)-IFERROR(VALUE(IF(RTD("tos.rtd",,"IMPL_VOL","."&amp;M$2&amp;M$1&amp;"C"&amp;$A26)="N/A",0,RTD("tos.rtd",,"IMPL_VOL","."&amp;M$2&amp;M$1&amp;"C"&amp;$A26))),0),IF($A$2="MAXPAIN",IF($A$4&gt;$A26,($A$4-$A26)*IF(RTD("tos.rtd",,"OPEN_INT","."&amp;M$2&amp;M$1&amp;"C"&amp;$A26)="N/A",0,RTD("tos.rtd",,"OPEN_INT","."&amp;M$2&amp;M$1&amp;"C"&amp;$A26)),0)+IF($A$4&lt;$A26,($A26-$A$4)*IF(RTD("tos.rtd",,"OPEN_INT","."&amp;M$2&amp;M$1&amp;"P"&amp;$A26)="N/A",0,RTD("tos.rtd",,"OPEN_INT","."&amp;M$2&amp;M$1&amp;"P"&amp;$A26)),0),IF(RTD("tos.rtd",,$A$2,"."&amp;M$2&amp;M$1&amp;"C"&amp;$A26)="N/A",0,RTD("tos.rtd",,$A$2,"."&amp;M$2&amp;M$1&amp;"C"&amp;$A26))-IF(RTD("tos.rtd",,$A$2,"."&amp;M$2&amp;M$1&amp;"P"&amp;$A26)="N/A",0,RTD("tos.rtd",,$A$2,"."&amp;M$2&amp;M$1&amp;"P"&amp;$A26)))))))))</f>
        <v>25211</v>
      </c>
      <c r="N26" s="12">
        <f>IF($A$2="PREMIUM_OI",IFERROR((100*RTD("tos.rtd",,"OPEN_INT","."&amp;N$2&amp;N$1&amp;"C"&amp;$A26)*RTD("tos.rtd",,"LAST","."&amp;N$2&amp;N$1&amp;"C"&amp;$A26)-100*RTD("tos.rtd",,"OPEN_INT","."&amp;N$2&amp;N$1&amp;"P"&amp;$A26)*RTD("tos.rtd",,"LAST","."&amp;N$2&amp;N$1&amp;"P"&amp;$A26))/1000000,0),IF($A$2="PREMIUM",IFERROR((100*RTD("tos.rtd",,"VOLUME","."&amp;N$2&amp;N$1&amp;"C"&amp;$A26)*RTD("tos.rtd",,"LAST","."&amp;N$2&amp;N$1&amp;"C"&amp;$A26)-100*RTD("tos.rtd",,"VOLUME","."&amp;N$2&amp;N$1&amp;"P"&amp;$A26)*RTD("tos.rtd",,"LAST","."&amp;N$2&amp;N$1&amp;"P"&amp;$A26))/1000000,0),IF($A$2="DEX",IFERROR((100*RTD("tos.rtd",,"OPEN_INT","."&amp;N$2&amp;N$1&amp;"C"&amp;$A26)*RTD("tos.rtd",,"DELTA","."&amp;N$2&amp;N$1&amp;"C"&amp;$A26)-100*RTD("tos.rtd",,"OPEN_INT","."&amp;N$2&amp;N$1&amp;"P"&amp;$A26)*RTD("tos.rtd",,"DELTA","."&amp;N$2&amp;N$1&amp;"P"&amp;$A26))/1000,0),IF($A$2="VEX",IFERROR(($A$4*$A$4*RTD("tos.rtd",,"VOLUME","."&amp;N$2&amp;N$1&amp;"C"&amp;$A26)*RTD("tos.rtd",,"GAMMA","."&amp;N$2&amp;N$1&amp;"C"&amp;$A26)-$A$4*$A$4*RTD("tos.rtd",,"VOLUME","."&amp;N$2&amp;N$1&amp;"P"&amp;$A26)*RTD("tos.rtd",,"GAMMA","."&amp;N$2&amp;N$1&amp;"P"&amp;$A26))/1000000,0),IF($A$2="GEX",IFERROR(($A$4*$A$4*RTD("tos.rtd",,"OPEN_INT","."&amp;N$2&amp;N$1&amp;"C"&amp;$A26)*RTD("tos.rtd",,"GAMMA","."&amp;N$2&amp;N$1&amp;"C"&amp;$A26)-$A$4*$A$4*RTD("tos.rtd",,"OPEN_INT","."&amp;N$2&amp;N$1&amp;"P"&amp;$A26)*RTD("tos.rtd",,"GAMMA","."&amp;N$2&amp;N$1&amp;"P"&amp;$A26))/1000000,0),IF($A$2="SKEW",IFERROR(VALUE(IF(RTD("tos.rtd",,"IMPL_VOL","."&amp;N$2&amp;N$1&amp;"P"&amp;$A26)="N/A",0,RTD("tos.rtd",,"IMPL_VOL","."&amp;N$2&amp;N$1&amp;"P"&amp;$A26))),0)-IFERROR(VALUE(IF(RTD("tos.rtd",,"IMPL_VOL","."&amp;N$2&amp;N$1&amp;"C"&amp;$A26)="N/A",0,RTD("tos.rtd",,"IMPL_VOL","."&amp;N$2&amp;N$1&amp;"C"&amp;$A26))),0),IF($A$2="MAXPAIN",IF($A$4&gt;$A26,($A$4-$A26)*IF(RTD("tos.rtd",,"OPEN_INT","."&amp;N$2&amp;N$1&amp;"C"&amp;$A26)="N/A",0,RTD("tos.rtd",,"OPEN_INT","."&amp;N$2&amp;N$1&amp;"C"&amp;$A26)),0)+IF($A$4&lt;$A26,($A26-$A$4)*IF(RTD("tos.rtd",,"OPEN_INT","."&amp;N$2&amp;N$1&amp;"P"&amp;$A26)="N/A",0,RTD("tos.rtd",,"OPEN_INT","."&amp;N$2&amp;N$1&amp;"P"&amp;$A26)),0),IF(RTD("tos.rtd",,$A$2,"."&amp;N$2&amp;N$1&amp;"C"&amp;$A26)="N/A",0,RTD("tos.rtd",,$A$2,"."&amp;N$2&amp;N$1&amp;"C"&amp;$A26))-IF(RTD("tos.rtd",,$A$2,"."&amp;N$2&amp;N$1&amp;"P"&amp;$A26)="N/A",0,RTD("tos.rtd",,$A$2,"."&amp;N$2&amp;N$1&amp;"P"&amp;$A26)))))))))</f>
        <v>0</v>
      </c>
      <c r="O26" s="12">
        <f>IF($A$2="PREMIUM_OI",IFERROR((100*RTD("tos.rtd",,"OPEN_INT","."&amp;O$2&amp;O$1&amp;"C"&amp;$A26)*RTD("tos.rtd",,"LAST","."&amp;O$2&amp;O$1&amp;"C"&amp;$A26)-100*RTD("tos.rtd",,"OPEN_INT","."&amp;O$2&amp;O$1&amp;"P"&amp;$A26)*RTD("tos.rtd",,"LAST","."&amp;O$2&amp;O$1&amp;"P"&amp;$A26))/1000000,0),IF($A$2="PREMIUM",IFERROR((100*RTD("tos.rtd",,"VOLUME","."&amp;O$2&amp;O$1&amp;"C"&amp;$A26)*RTD("tos.rtd",,"LAST","."&amp;O$2&amp;O$1&amp;"C"&amp;$A26)-100*RTD("tos.rtd",,"VOLUME","."&amp;O$2&amp;O$1&amp;"P"&amp;$A26)*RTD("tos.rtd",,"LAST","."&amp;O$2&amp;O$1&amp;"P"&amp;$A26))/1000000,0),IF($A$2="DEX",IFERROR((100*RTD("tos.rtd",,"OPEN_INT","."&amp;O$2&amp;O$1&amp;"C"&amp;$A26)*RTD("tos.rtd",,"DELTA","."&amp;O$2&amp;O$1&amp;"C"&amp;$A26)-100*RTD("tos.rtd",,"OPEN_INT","."&amp;O$2&amp;O$1&amp;"P"&amp;$A26)*RTD("tos.rtd",,"DELTA","."&amp;O$2&amp;O$1&amp;"P"&amp;$A26))/1000,0),IF($A$2="VEX",IFERROR(($A$4*$A$4*RTD("tos.rtd",,"VOLUME","."&amp;O$2&amp;O$1&amp;"C"&amp;$A26)*RTD("tos.rtd",,"GAMMA","."&amp;O$2&amp;O$1&amp;"C"&amp;$A26)-$A$4*$A$4*RTD("tos.rtd",,"VOLUME","."&amp;O$2&amp;O$1&amp;"P"&amp;$A26)*RTD("tos.rtd",,"GAMMA","."&amp;O$2&amp;O$1&amp;"P"&amp;$A26))/1000000,0),IF($A$2="GEX",IFERROR(($A$4*$A$4*RTD("tos.rtd",,"OPEN_INT","."&amp;O$2&amp;O$1&amp;"C"&amp;$A26)*RTD("tos.rtd",,"GAMMA","."&amp;O$2&amp;O$1&amp;"C"&amp;$A26)-$A$4*$A$4*RTD("tos.rtd",,"OPEN_INT","."&amp;O$2&amp;O$1&amp;"P"&amp;$A26)*RTD("tos.rtd",,"GAMMA","."&amp;O$2&amp;O$1&amp;"P"&amp;$A26))/1000000,0),IF($A$2="SKEW",IFERROR(VALUE(IF(RTD("tos.rtd",,"IMPL_VOL","."&amp;O$2&amp;O$1&amp;"P"&amp;$A26)="N/A",0,RTD("tos.rtd",,"IMPL_VOL","."&amp;O$2&amp;O$1&amp;"P"&amp;$A26))),0)-IFERROR(VALUE(IF(RTD("tos.rtd",,"IMPL_VOL","."&amp;O$2&amp;O$1&amp;"C"&amp;$A26)="N/A",0,RTD("tos.rtd",,"IMPL_VOL","."&amp;O$2&amp;O$1&amp;"C"&amp;$A26))),0),IF($A$2="MAXPAIN",IF($A$4&gt;$A26,($A$4-$A26)*IF(RTD("tos.rtd",,"OPEN_INT","."&amp;O$2&amp;O$1&amp;"C"&amp;$A26)="N/A",0,RTD("tos.rtd",,"OPEN_INT","."&amp;O$2&amp;O$1&amp;"C"&amp;$A26)),0)+IF($A$4&lt;$A26,($A26-$A$4)*IF(RTD("tos.rtd",,"OPEN_INT","."&amp;O$2&amp;O$1&amp;"P"&amp;$A26)="N/A",0,RTD("tos.rtd",,"OPEN_INT","."&amp;O$2&amp;O$1&amp;"P"&amp;$A26)),0),IF(RTD("tos.rtd",,$A$2,"."&amp;O$2&amp;O$1&amp;"C"&amp;$A26)="N/A",0,RTD("tos.rtd",,$A$2,"."&amp;O$2&amp;O$1&amp;"C"&amp;$A26))-IF(RTD("tos.rtd",,$A$2,"."&amp;O$2&amp;O$1&amp;"P"&amp;$A26)="N/A",0,RTD("tos.rtd",,$A$2,"."&amp;O$2&amp;O$1&amp;"P"&amp;$A26)))))))))</f>
        <v>0</v>
      </c>
      <c r="P26" s="12">
        <f>IF($A$2="PREMIUM_OI",IFERROR((100*RTD("tos.rtd",,"OPEN_INT","."&amp;P$2&amp;P$1&amp;"C"&amp;$A26)*RTD("tos.rtd",,"LAST","."&amp;P$2&amp;P$1&amp;"C"&amp;$A26)-100*RTD("tos.rtd",,"OPEN_INT","."&amp;P$2&amp;P$1&amp;"P"&amp;$A26)*RTD("tos.rtd",,"LAST","."&amp;P$2&amp;P$1&amp;"P"&amp;$A26))/1000000,0),IF($A$2="PREMIUM",IFERROR((100*RTD("tos.rtd",,"VOLUME","."&amp;P$2&amp;P$1&amp;"C"&amp;$A26)*RTD("tos.rtd",,"LAST","."&amp;P$2&amp;P$1&amp;"C"&amp;$A26)-100*RTD("tos.rtd",,"VOLUME","."&amp;P$2&amp;P$1&amp;"P"&amp;$A26)*RTD("tos.rtd",,"LAST","."&amp;P$2&amp;P$1&amp;"P"&amp;$A26))/1000000,0),IF($A$2="DEX",IFERROR((100*RTD("tos.rtd",,"OPEN_INT","."&amp;P$2&amp;P$1&amp;"C"&amp;$A26)*RTD("tos.rtd",,"DELTA","."&amp;P$2&amp;P$1&amp;"C"&amp;$A26)-100*RTD("tos.rtd",,"OPEN_INT","."&amp;P$2&amp;P$1&amp;"P"&amp;$A26)*RTD("tos.rtd",,"DELTA","."&amp;P$2&amp;P$1&amp;"P"&amp;$A26))/1000,0),IF($A$2="VEX",IFERROR(($A$4*$A$4*RTD("tos.rtd",,"VOLUME","."&amp;P$2&amp;P$1&amp;"C"&amp;$A26)*RTD("tos.rtd",,"GAMMA","."&amp;P$2&amp;P$1&amp;"C"&amp;$A26)-$A$4*$A$4*RTD("tos.rtd",,"VOLUME","."&amp;P$2&amp;P$1&amp;"P"&amp;$A26)*RTD("tos.rtd",,"GAMMA","."&amp;P$2&amp;P$1&amp;"P"&amp;$A26))/1000000,0),IF($A$2="GEX",IFERROR(($A$4*$A$4*RTD("tos.rtd",,"OPEN_INT","."&amp;P$2&amp;P$1&amp;"C"&amp;$A26)*RTD("tos.rtd",,"GAMMA","."&amp;P$2&amp;P$1&amp;"C"&amp;$A26)-$A$4*$A$4*RTD("tos.rtd",,"OPEN_INT","."&amp;P$2&amp;P$1&amp;"P"&amp;$A26)*RTD("tos.rtd",,"GAMMA","."&amp;P$2&amp;P$1&amp;"P"&amp;$A26))/1000000,0),IF($A$2="SKEW",IFERROR(VALUE(IF(RTD("tos.rtd",,"IMPL_VOL","."&amp;P$2&amp;P$1&amp;"P"&amp;$A26)="N/A",0,RTD("tos.rtd",,"IMPL_VOL","."&amp;P$2&amp;P$1&amp;"P"&amp;$A26))),0)-IFERROR(VALUE(IF(RTD("tos.rtd",,"IMPL_VOL","."&amp;P$2&amp;P$1&amp;"C"&amp;$A26)="N/A",0,RTD("tos.rtd",,"IMPL_VOL","."&amp;P$2&amp;P$1&amp;"C"&amp;$A26))),0),IF($A$2="MAXPAIN",IF($A$4&gt;$A26,($A$4-$A26)*IF(RTD("tos.rtd",,"OPEN_INT","."&amp;P$2&amp;P$1&amp;"C"&amp;$A26)="N/A",0,RTD("tos.rtd",,"OPEN_INT","."&amp;P$2&amp;P$1&amp;"C"&amp;$A26)),0)+IF($A$4&lt;$A26,($A26-$A$4)*IF(RTD("tos.rtd",,"OPEN_INT","."&amp;P$2&amp;P$1&amp;"P"&amp;$A26)="N/A",0,RTD("tos.rtd",,"OPEN_INT","."&amp;P$2&amp;P$1&amp;"P"&amp;$A26)),0),IF(RTD("tos.rtd",,$A$2,"."&amp;P$2&amp;P$1&amp;"C"&amp;$A26)="N/A",0,RTD("tos.rtd",,$A$2,"."&amp;P$2&amp;P$1&amp;"C"&amp;$A26))-IF(RTD("tos.rtd",,$A$2,"."&amp;P$2&amp;P$1&amp;"P"&amp;$A26)="N/A",0,RTD("tos.rtd",,$A$2,"."&amp;P$2&amp;P$1&amp;"P"&amp;$A26)))))))))</f>
        <v>0</v>
      </c>
      <c r="Q26" s="12">
        <f>IF($A$2="PREMIUM_OI",IFERROR((100*RTD("tos.rtd",,"OPEN_INT","."&amp;Q$2&amp;Q$1&amp;"C"&amp;$A26)*RTD("tos.rtd",,"LAST","."&amp;Q$2&amp;Q$1&amp;"C"&amp;$A26)-100*RTD("tos.rtd",,"OPEN_INT","."&amp;Q$2&amp;Q$1&amp;"P"&amp;$A26)*RTD("tos.rtd",,"LAST","."&amp;Q$2&amp;Q$1&amp;"P"&amp;$A26))/1000000,0),IF($A$2="PREMIUM",IFERROR((100*RTD("tos.rtd",,"VOLUME","."&amp;Q$2&amp;Q$1&amp;"C"&amp;$A26)*RTD("tos.rtd",,"LAST","."&amp;Q$2&amp;Q$1&amp;"C"&amp;$A26)-100*RTD("tos.rtd",,"VOLUME","."&amp;Q$2&amp;Q$1&amp;"P"&amp;$A26)*RTD("tos.rtd",,"LAST","."&amp;Q$2&amp;Q$1&amp;"P"&amp;$A26))/1000000,0),IF($A$2="DEX",IFERROR((100*RTD("tos.rtd",,"OPEN_INT","."&amp;Q$2&amp;Q$1&amp;"C"&amp;$A26)*RTD("tos.rtd",,"DELTA","."&amp;Q$2&amp;Q$1&amp;"C"&amp;$A26)-100*RTD("tos.rtd",,"OPEN_INT","."&amp;Q$2&amp;Q$1&amp;"P"&amp;$A26)*RTD("tos.rtd",,"DELTA","."&amp;Q$2&amp;Q$1&amp;"P"&amp;$A26))/1000,0),IF($A$2="VEX",IFERROR(($A$4*$A$4*RTD("tos.rtd",,"VOLUME","."&amp;Q$2&amp;Q$1&amp;"C"&amp;$A26)*RTD("tos.rtd",,"GAMMA","."&amp;Q$2&amp;Q$1&amp;"C"&amp;$A26)-$A$4*$A$4*RTD("tos.rtd",,"VOLUME","."&amp;Q$2&amp;Q$1&amp;"P"&amp;$A26)*RTD("tos.rtd",,"GAMMA","."&amp;Q$2&amp;Q$1&amp;"P"&amp;$A26))/1000000,0),IF($A$2="GEX",IFERROR(($A$4*$A$4*RTD("tos.rtd",,"OPEN_INT","."&amp;Q$2&amp;Q$1&amp;"C"&amp;$A26)*RTD("tos.rtd",,"GAMMA","."&amp;Q$2&amp;Q$1&amp;"C"&amp;$A26)-$A$4*$A$4*RTD("tos.rtd",,"OPEN_INT","."&amp;Q$2&amp;Q$1&amp;"P"&amp;$A26)*RTD("tos.rtd",,"GAMMA","."&amp;Q$2&amp;Q$1&amp;"P"&amp;$A26))/1000000,0),IF($A$2="SKEW",IFERROR(VALUE(IF(RTD("tos.rtd",,"IMPL_VOL","."&amp;Q$2&amp;Q$1&amp;"P"&amp;$A26)="N/A",0,RTD("tos.rtd",,"IMPL_VOL","."&amp;Q$2&amp;Q$1&amp;"P"&amp;$A26))),0)-IFERROR(VALUE(IF(RTD("tos.rtd",,"IMPL_VOL","."&amp;Q$2&amp;Q$1&amp;"C"&amp;$A26)="N/A",0,RTD("tos.rtd",,"IMPL_VOL","."&amp;Q$2&amp;Q$1&amp;"C"&amp;$A26))),0),IF($A$2="MAXPAIN",IF($A$4&gt;$A26,($A$4-$A26)*IF(RTD("tos.rtd",,"OPEN_INT","."&amp;Q$2&amp;Q$1&amp;"C"&amp;$A26)="N/A",0,RTD("tos.rtd",,"OPEN_INT","."&amp;Q$2&amp;Q$1&amp;"C"&amp;$A26)),0)+IF($A$4&lt;$A26,($A26-$A$4)*IF(RTD("tos.rtd",,"OPEN_INT","."&amp;Q$2&amp;Q$1&amp;"P"&amp;$A26)="N/A",0,RTD("tos.rtd",,"OPEN_INT","."&amp;Q$2&amp;Q$1&amp;"P"&amp;$A26)),0),IF(RTD("tos.rtd",,$A$2,"."&amp;Q$2&amp;Q$1&amp;"C"&amp;$A26)="N/A",0,RTD("tos.rtd",,$A$2,"."&amp;Q$2&amp;Q$1&amp;"C"&amp;$A26))-IF(RTD("tos.rtd",,$A$2,"."&amp;Q$2&amp;Q$1&amp;"P"&amp;$A26)="N/A",0,RTD("tos.rtd",,$A$2,"."&amp;Q$2&amp;Q$1&amp;"P"&amp;$A26)))))))))</f>
        <v>0</v>
      </c>
      <c r="R26" s="12">
        <f>IF($A$2="PREMIUM_OI",IFERROR((100*RTD("tos.rtd",,"OPEN_INT","."&amp;R$2&amp;R$1&amp;"C"&amp;$A26)*RTD("tos.rtd",,"LAST","."&amp;R$2&amp;R$1&amp;"C"&amp;$A26)-100*RTD("tos.rtd",,"OPEN_INT","."&amp;R$2&amp;R$1&amp;"P"&amp;$A26)*RTD("tos.rtd",,"LAST","."&amp;R$2&amp;R$1&amp;"P"&amp;$A26))/1000000,0),IF($A$2="PREMIUM",IFERROR((100*RTD("tos.rtd",,"VOLUME","."&amp;R$2&amp;R$1&amp;"C"&amp;$A26)*RTD("tos.rtd",,"LAST","."&amp;R$2&amp;R$1&amp;"C"&amp;$A26)-100*RTD("tos.rtd",,"VOLUME","."&amp;R$2&amp;R$1&amp;"P"&amp;$A26)*RTD("tos.rtd",,"LAST","."&amp;R$2&amp;R$1&amp;"P"&amp;$A26))/1000000,0),IF($A$2="DEX",IFERROR((100*RTD("tos.rtd",,"OPEN_INT","."&amp;R$2&amp;R$1&amp;"C"&amp;$A26)*RTD("tos.rtd",,"DELTA","."&amp;R$2&amp;R$1&amp;"C"&amp;$A26)-100*RTD("tos.rtd",,"OPEN_INT","."&amp;R$2&amp;R$1&amp;"P"&amp;$A26)*RTD("tos.rtd",,"DELTA","."&amp;R$2&amp;R$1&amp;"P"&amp;$A26))/1000,0),IF($A$2="VEX",IFERROR(($A$4*$A$4*RTD("tos.rtd",,"VOLUME","."&amp;R$2&amp;R$1&amp;"C"&amp;$A26)*RTD("tos.rtd",,"GAMMA","."&amp;R$2&amp;R$1&amp;"C"&amp;$A26)-$A$4*$A$4*RTD("tos.rtd",,"VOLUME","."&amp;R$2&amp;R$1&amp;"P"&amp;$A26)*RTD("tos.rtd",,"GAMMA","."&amp;R$2&amp;R$1&amp;"P"&amp;$A26))/1000000,0),IF($A$2="GEX",IFERROR(($A$4*$A$4*RTD("tos.rtd",,"OPEN_INT","."&amp;R$2&amp;R$1&amp;"C"&amp;$A26)*RTD("tos.rtd",,"GAMMA","."&amp;R$2&amp;R$1&amp;"C"&amp;$A26)-$A$4*$A$4*RTD("tos.rtd",,"OPEN_INT","."&amp;R$2&amp;R$1&amp;"P"&amp;$A26)*RTD("tos.rtd",,"GAMMA","."&amp;R$2&amp;R$1&amp;"P"&amp;$A26))/1000000,0),IF($A$2="SKEW",IFERROR(VALUE(IF(RTD("tos.rtd",,"IMPL_VOL","."&amp;R$2&amp;R$1&amp;"P"&amp;$A26)="N/A",0,RTD("tos.rtd",,"IMPL_VOL","."&amp;R$2&amp;R$1&amp;"P"&amp;$A26))),0)-IFERROR(VALUE(IF(RTD("tos.rtd",,"IMPL_VOL","."&amp;R$2&amp;R$1&amp;"C"&amp;$A26)="N/A",0,RTD("tos.rtd",,"IMPL_VOL","."&amp;R$2&amp;R$1&amp;"C"&amp;$A26))),0),IF($A$2="MAXPAIN",IF($A$4&gt;$A26,($A$4-$A26)*IF(RTD("tos.rtd",,"OPEN_INT","."&amp;R$2&amp;R$1&amp;"C"&amp;$A26)="N/A",0,RTD("tos.rtd",,"OPEN_INT","."&amp;R$2&amp;R$1&amp;"C"&amp;$A26)),0)+IF($A$4&lt;$A26,($A26-$A$4)*IF(RTD("tos.rtd",,"OPEN_INT","."&amp;R$2&amp;R$1&amp;"P"&amp;$A26)="N/A",0,RTD("tos.rtd",,"OPEN_INT","."&amp;R$2&amp;R$1&amp;"P"&amp;$A26)),0),IF(RTD("tos.rtd",,$A$2,"."&amp;R$2&amp;R$1&amp;"C"&amp;$A26)="N/A",0,RTD("tos.rtd",,$A$2,"."&amp;R$2&amp;R$1&amp;"C"&amp;$A26))-IF(RTD("tos.rtd",,$A$2,"."&amp;R$2&amp;R$1&amp;"P"&amp;$A26)="N/A",0,RTD("tos.rtd",,$A$2,"."&amp;R$2&amp;R$1&amp;"P"&amp;$A26)))))))))</f>
        <v>34591</v>
      </c>
      <c r="S26" s="12">
        <f>IF($A$2="PREMIUM_OI",IFERROR((100*RTD("tos.rtd",,"OPEN_INT","."&amp;S$2&amp;S$1&amp;"C"&amp;$A26)*RTD("tos.rtd",,"LAST","."&amp;S$2&amp;S$1&amp;"C"&amp;$A26)-100*RTD("tos.rtd",,"OPEN_INT","."&amp;S$2&amp;S$1&amp;"P"&amp;$A26)*RTD("tos.rtd",,"LAST","."&amp;S$2&amp;S$1&amp;"P"&amp;$A26))/1000000,0),IF($A$2="PREMIUM",IFERROR((100*RTD("tos.rtd",,"VOLUME","."&amp;S$2&amp;S$1&amp;"C"&amp;$A26)*RTD("tos.rtd",,"LAST","."&amp;S$2&amp;S$1&amp;"C"&amp;$A26)-100*RTD("tos.rtd",,"VOLUME","."&amp;S$2&amp;S$1&amp;"P"&amp;$A26)*RTD("tos.rtd",,"LAST","."&amp;S$2&amp;S$1&amp;"P"&amp;$A26))/1000000,0),IF($A$2="DEX",IFERROR((100*RTD("tos.rtd",,"OPEN_INT","."&amp;S$2&amp;S$1&amp;"C"&amp;$A26)*RTD("tos.rtd",,"DELTA","."&amp;S$2&amp;S$1&amp;"C"&amp;$A26)-100*RTD("tos.rtd",,"OPEN_INT","."&amp;S$2&amp;S$1&amp;"P"&amp;$A26)*RTD("tos.rtd",,"DELTA","."&amp;S$2&amp;S$1&amp;"P"&amp;$A26))/1000,0),IF($A$2="VEX",IFERROR(($A$4*$A$4*RTD("tos.rtd",,"VOLUME","."&amp;S$2&amp;S$1&amp;"C"&amp;$A26)*RTD("tos.rtd",,"GAMMA","."&amp;S$2&amp;S$1&amp;"C"&amp;$A26)-$A$4*$A$4*RTD("tos.rtd",,"VOLUME","."&amp;S$2&amp;S$1&amp;"P"&amp;$A26)*RTD("tos.rtd",,"GAMMA","."&amp;S$2&amp;S$1&amp;"P"&amp;$A26))/1000000,0),IF($A$2="GEX",IFERROR(($A$4*$A$4*RTD("tos.rtd",,"OPEN_INT","."&amp;S$2&amp;S$1&amp;"C"&amp;$A26)*RTD("tos.rtd",,"GAMMA","."&amp;S$2&amp;S$1&amp;"C"&amp;$A26)-$A$4*$A$4*RTD("tos.rtd",,"OPEN_INT","."&amp;S$2&amp;S$1&amp;"P"&amp;$A26)*RTD("tos.rtd",,"GAMMA","."&amp;S$2&amp;S$1&amp;"P"&amp;$A26))/1000000,0),IF($A$2="SKEW",IFERROR(VALUE(IF(RTD("tos.rtd",,"IMPL_VOL","."&amp;S$2&amp;S$1&amp;"P"&amp;$A26)="N/A",0,RTD("tos.rtd",,"IMPL_VOL","."&amp;S$2&amp;S$1&amp;"P"&amp;$A26))),0)-IFERROR(VALUE(IF(RTD("tos.rtd",,"IMPL_VOL","."&amp;S$2&amp;S$1&amp;"C"&amp;$A26)="N/A",0,RTD("tos.rtd",,"IMPL_VOL","."&amp;S$2&amp;S$1&amp;"C"&amp;$A26))),0),IF($A$2="MAXPAIN",IF($A$4&gt;$A26,($A$4-$A26)*IF(RTD("tos.rtd",,"OPEN_INT","."&amp;S$2&amp;S$1&amp;"C"&amp;$A26)="N/A",0,RTD("tos.rtd",,"OPEN_INT","."&amp;S$2&amp;S$1&amp;"C"&amp;$A26)),0)+IF($A$4&lt;$A26,($A26-$A$4)*IF(RTD("tos.rtd",,"OPEN_INT","."&amp;S$2&amp;S$1&amp;"P"&amp;$A26)="N/A",0,RTD("tos.rtd",,"OPEN_INT","."&amp;S$2&amp;S$1&amp;"P"&amp;$A26)),0),IF(RTD("tos.rtd",,$A$2,"."&amp;S$2&amp;S$1&amp;"C"&amp;$A26)="N/A",0,RTD("tos.rtd",,$A$2,"."&amp;S$2&amp;S$1&amp;"C"&amp;$A26))-IF(RTD("tos.rtd",,$A$2,"."&amp;S$2&amp;S$1&amp;"P"&amp;$A26)="N/A",0,RTD("tos.rtd",,$A$2,"."&amp;S$2&amp;S$1&amp;"P"&amp;$A26)))))))))</f>
        <v>21449</v>
      </c>
      <c r="T26" s="12">
        <f>IF($A$2="PREMIUM_OI",IFERROR((100*RTD("tos.rtd",,"OPEN_INT","."&amp;T$2&amp;T$1&amp;"C"&amp;$A26)*RTD("tos.rtd",,"LAST","."&amp;T$2&amp;T$1&amp;"C"&amp;$A26)-100*RTD("tos.rtd",,"OPEN_INT","."&amp;T$2&amp;T$1&amp;"P"&amp;$A26)*RTD("tos.rtd",,"LAST","."&amp;T$2&amp;T$1&amp;"P"&amp;$A26))/1000000,0),IF($A$2="PREMIUM",IFERROR((100*RTD("tos.rtd",,"VOLUME","."&amp;T$2&amp;T$1&amp;"C"&amp;$A26)*RTD("tos.rtd",,"LAST","."&amp;T$2&amp;T$1&amp;"C"&amp;$A26)-100*RTD("tos.rtd",,"VOLUME","."&amp;T$2&amp;T$1&amp;"P"&amp;$A26)*RTD("tos.rtd",,"LAST","."&amp;T$2&amp;T$1&amp;"P"&amp;$A26))/1000000,0),IF($A$2="DEX",IFERROR((100*RTD("tos.rtd",,"OPEN_INT","."&amp;T$2&amp;T$1&amp;"C"&amp;$A26)*RTD("tos.rtd",,"DELTA","."&amp;T$2&amp;T$1&amp;"C"&amp;$A26)-100*RTD("tos.rtd",,"OPEN_INT","."&amp;T$2&amp;T$1&amp;"P"&amp;$A26)*RTD("tos.rtd",,"DELTA","."&amp;T$2&amp;T$1&amp;"P"&amp;$A26))/1000,0),IF($A$2="VEX",IFERROR(($A$4*$A$4*RTD("tos.rtd",,"VOLUME","."&amp;T$2&amp;T$1&amp;"C"&amp;$A26)*RTD("tos.rtd",,"GAMMA","."&amp;T$2&amp;T$1&amp;"C"&amp;$A26)-$A$4*$A$4*RTD("tos.rtd",,"VOLUME","."&amp;T$2&amp;T$1&amp;"P"&amp;$A26)*RTD("tos.rtd",,"GAMMA","."&amp;T$2&amp;T$1&amp;"P"&amp;$A26))/1000000,0),IF($A$2="GEX",IFERROR(($A$4*$A$4*RTD("tos.rtd",,"OPEN_INT","."&amp;T$2&amp;T$1&amp;"C"&amp;$A26)*RTD("tos.rtd",,"GAMMA","."&amp;T$2&amp;T$1&amp;"C"&amp;$A26)-$A$4*$A$4*RTD("tos.rtd",,"OPEN_INT","."&amp;T$2&amp;T$1&amp;"P"&amp;$A26)*RTD("tos.rtd",,"GAMMA","."&amp;T$2&amp;T$1&amp;"P"&amp;$A26))/1000000,0),IF($A$2="SKEW",IFERROR(VALUE(IF(RTD("tos.rtd",,"IMPL_VOL","."&amp;T$2&amp;T$1&amp;"P"&amp;$A26)="N/A",0,RTD("tos.rtd",,"IMPL_VOL","."&amp;T$2&amp;T$1&amp;"P"&amp;$A26))),0)-IFERROR(VALUE(IF(RTD("tos.rtd",,"IMPL_VOL","."&amp;T$2&amp;T$1&amp;"C"&amp;$A26)="N/A",0,RTD("tos.rtd",,"IMPL_VOL","."&amp;T$2&amp;T$1&amp;"C"&amp;$A26))),0),IF($A$2="MAXPAIN",IF($A$4&gt;$A26,($A$4-$A26)*IF(RTD("tos.rtd",,"OPEN_INT","."&amp;T$2&amp;T$1&amp;"C"&amp;$A26)="N/A",0,RTD("tos.rtd",,"OPEN_INT","."&amp;T$2&amp;T$1&amp;"C"&amp;$A26)),0)+IF($A$4&lt;$A26,($A26-$A$4)*IF(RTD("tos.rtd",,"OPEN_INT","."&amp;T$2&amp;T$1&amp;"P"&amp;$A26)="N/A",0,RTD("tos.rtd",,"OPEN_INT","."&amp;T$2&amp;T$1&amp;"P"&amp;$A26)),0),IF(RTD("tos.rtd",,$A$2,"."&amp;T$2&amp;T$1&amp;"C"&amp;$A26)="N/A",0,RTD("tos.rtd",,$A$2,"."&amp;T$2&amp;T$1&amp;"C"&amp;$A26))-IF(RTD("tos.rtd",,$A$2,"."&amp;T$2&amp;T$1&amp;"P"&amp;$A26)="N/A",0,RTD("tos.rtd",,$A$2,"."&amp;T$2&amp;T$1&amp;"P"&amp;$A26)))))))))</f>
        <v>2986</v>
      </c>
      <c r="U26" s="12">
        <f>IF($A$2="PREMIUM_OI",IFERROR((100*RTD("tos.rtd",,"OPEN_INT","."&amp;U$2&amp;U$1&amp;"C"&amp;$A26)*RTD("tos.rtd",,"LAST","."&amp;U$2&amp;U$1&amp;"C"&amp;$A26)-100*RTD("tos.rtd",,"OPEN_INT","."&amp;U$2&amp;U$1&amp;"P"&amp;$A26)*RTD("tos.rtd",,"LAST","."&amp;U$2&amp;U$1&amp;"P"&amp;$A26))/1000000,0),IF($A$2="PREMIUM",IFERROR((100*RTD("tos.rtd",,"VOLUME","."&amp;U$2&amp;U$1&amp;"C"&amp;$A26)*RTD("tos.rtd",,"LAST","."&amp;U$2&amp;U$1&amp;"C"&amp;$A26)-100*RTD("tos.rtd",,"VOLUME","."&amp;U$2&amp;U$1&amp;"P"&amp;$A26)*RTD("tos.rtd",,"LAST","."&amp;U$2&amp;U$1&amp;"P"&amp;$A26))/1000000,0),IF($A$2="DEX",IFERROR((100*RTD("tos.rtd",,"OPEN_INT","."&amp;U$2&amp;U$1&amp;"C"&amp;$A26)*RTD("tos.rtd",,"DELTA","."&amp;U$2&amp;U$1&amp;"C"&amp;$A26)-100*RTD("tos.rtd",,"OPEN_INT","."&amp;U$2&amp;U$1&amp;"P"&amp;$A26)*RTD("tos.rtd",,"DELTA","."&amp;U$2&amp;U$1&amp;"P"&amp;$A26))/1000,0),IF($A$2="VEX",IFERROR(($A$4*$A$4*RTD("tos.rtd",,"VOLUME","."&amp;U$2&amp;U$1&amp;"C"&amp;$A26)*RTD("tos.rtd",,"GAMMA","."&amp;U$2&amp;U$1&amp;"C"&amp;$A26)-$A$4*$A$4*RTD("tos.rtd",,"VOLUME","."&amp;U$2&amp;U$1&amp;"P"&amp;$A26)*RTD("tos.rtd",,"GAMMA","."&amp;U$2&amp;U$1&amp;"P"&amp;$A26))/1000000,0),IF($A$2="GEX",IFERROR(($A$4*$A$4*RTD("tos.rtd",,"OPEN_INT","."&amp;U$2&amp;U$1&amp;"C"&amp;$A26)*RTD("tos.rtd",,"GAMMA","."&amp;U$2&amp;U$1&amp;"C"&amp;$A26)-$A$4*$A$4*RTD("tos.rtd",,"OPEN_INT","."&amp;U$2&amp;U$1&amp;"P"&amp;$A26)*RTD("tos.rtd",,"GAMMA","."&amp;U$2&amp;U$1&amp;"P"&amp;$A26))/1000000,0),IF($A$2="SKEW",IFERROR(VALUE(IF(RTD("tos.rtd",,"IMPL_VOL","."&amp;U$2&amp;U$1&amp;"P"&amp;$A26)="N/A",0,RTD("tos.rtd",,"IMPL_VOL","."&amp;U$2&amp;U$1&amp;"P"&amp;$A26))),0)-IFERROR(VALUE(IF(RTD("tos.rtd",,"IMPL_VOL","."&amp;U$2&amp;U$1&amp;"C"&amp;$A26)="N/A",0,RTD("tos.rtd",,"IMPL_VOL","."&amp;U$2&amp;U$1&amp;"C"&amp;$A26))),0),IF($A$2="MAXPAIN",IF($A$4&gt;$A26,($A$4-$A26)*IF(RTD("tos.rtd",,"OPEN_INT","."&amp;U$2&amp;U$1&amp;"C"&amp;$A26)="N/A",0,RTD("tos.rtd",,"OPEN_INT","."&amp;U$2&amp;U$1&amp;"C"&amp;$A26)),0)+IF($A$4&lt;$A26,($A26-$A$4)*IF(RTD("tos.rtd",,"OPEN_INT","."&amp;U$2&amp;U$1&amp;"P"&amp;$A26)="N/A",0,RTD("tos.rtd",,"OPEN_INT","."&amp;U$2&amp;U$1&amp;"P"&amp;$A26)),0),IF(RTD("tos.rtd",,$A$2,"."&amp;U$2&amp;U$1&amp;"C"&amp;$A26)="N/A",0,RTD("tos.rtd",,$A$2,"."&amp;U$2&amp;U$1&amp;"C"&amp;$A26))-IF(RTD("tos.rtd",,$A$2,"."&amp;U$2&amp;U$1&amp;"P"&amp;$A26)="N/A",0,RTD("tos.rtd",,$A$2,"."&amp;U$2&amp;U$1&amp;"P"&amp;$A26)))))))))</f>
        <v>4326</v>
      </c>
      <c r="V26" s="12">
        <f>IF($A$2="PREMIUM_OI",IFERROR((100*RTD("tos.rtd",,"OPEN_INT","."&amp;V$2&amp;V$1&amp;"C"&amp;$A26)*RTD("tos.rtd",,"LAST","."&amp;V$2&amp;V$1&amp;"C"&amp;$A26)-100*RTD("tos.rtd",,"OPEN_INT","."&amp;V$2&amp;V$1&amp;"P"&amp;$A26)*RTD("tos.rtd",,"LAST","."&amp;V$2&amp;V$1&amp;"P"&amp;$A26))/1000000,0),IF($A$2="PREMIUM",IFERROR((100*RTD("tos.rtd",,"VOLUME","."&amp;V$2&amp;V$1&amp;"C"&amp;$A26)*RTD("tos.rtd",,"LAST","."&amp;V$2&amp;V$1&amp;"C"&amp;$A26)-100*RTD("tos.rtd",,"VOLUME","."&amp;V$2&amp;V$1&amp;"P"&amp;$A26)*RTD("tos.rtd",,"LAST","."&amp;V$2&amp;V$1&amp;"P"&amp;$A26))/1000000,0),IF($A$2="DEX",IFERROR((100*RTD("tos.rtd",,"OPEN_INT","."&amp;V$2&amp;V$1&amp;"C"&amp;$A26)*RTD("tos.rtd",,"DELTA","."&amp;V$2&amp;V$1&amp;"C"&amp;$A26)-100*RTD("tos.rtd",,"OPEN_INT","."&amp;V$2&amp;V$1&amp;"P"&amp;$A26)*RTD("tos.rtd",,"DELTA","."&amp;V$2&amp;V$1&amp;"P"&amp;$A26))/1000,0),IF($A$2="VEX",IFERROR(($A$4*$A$4*RTD("tos.rtd",,"VOLUME","."&amp;V$2&amp;V$1&amp;"C"&amp;$A26)*RTD("tos.rtd",,"GAMMA","."&amp;V$2&amp;V$1&amp;"C"&amp;$A26)-$A$4*$A$4*RTD("tos.rtd",,"VOLUME","."&amp;V$2&amp;V$1&amp;"P"&amp;$A26)*RTD("tos.rtd",,"GAMMA","."&amp;V$2&amp;V$1&amp;"P"&amp;$A26))/1000000,0),IF($A$2="GEX",IFERROR(($A$4*$A$4*RTD("tos.rtd",,"OPEN_INT","."&amp;V$2&amp;V$1&amp;"C"&amp;$A26)*RTD("tos.rtd",,"GAMMA","."&amp;V$2&amp;V$1&amp;"C"&amp;$A26)-$A$4*$A$4*RTD("tos.rtd",,"OPEN_INT","."&amp;V$2&amp;V$1&amp;"P"&amp;$A26)*RTD("tos.rtd",,"GAMMA","."&amp;V$2&amp;V$1&amp;"P"&amp;$A26))/1000000,0),IF($A$2="SKEW",IFERROR(VALUE(IF(RTD("tos.rtd",,"IMPL_VOL","."&amp;V$2&amp;V$1&amp;"P"&amp;$A26)="N/A",0,RTD("tos.rtd",,"IMPL_VOL","."&amp;V$2&amp;V$1&amp;"P"&amp;$A26))),0)-IFERROR(VALUE(IF(RTD("tos.rtd",,"IMPL_VOL","."&amp;V$2&amp;V$1&amp;"C"&amp;$A26)="N/A",0,RTD("tos.rtd",,"IMPL_VOL","."&amp;V$2&amp;V$1&amp;"C"&amp;$A26))),0),IF($A$2="MAXPAIN",IF($A$4&gt;$A26,($A$4-$A26)*IF(RTD("tos.rtd",,"OPEN_INT","."&amp;V$2&amp;V$1&amp;"C"&amp;$A26)="N/A",0,RTD("tos.rtd",,"OPEN_INT","."&amp;V$2&amp;V$1&amp;"C"&amp;$A26)),0)+IF($A$4&lt;$A26,($A26-$A$4)*IF(RTD("tos.rtd",,"OPEN_INT","."&amp;V$2&amp;V$1&amp;"P"&amp;$A26)="N/A",0,RTD("tos.rtd",,"OPEN_INT","."&amp;V$2&amp;V$1&amp;"P"&amp;$A26)),0),IF(RTD("tos.rtd",,$A$2,"."&amp;V$2&amp;V$1&amp;"C"&amp;$A26)="N/A",0,RTD("tos.rtd",,$A$2,"."&amp;V$2&amp;V$1&amp;"C"&amp;$A26))-IF(RTD("tos.rtd",,$A$2,"."&amp;V$2&amp;V$1&amp;"P"&amp;$A26)="N/A",0,RTD("tos.rtd",,$A$2,"."&amp;V$2&amp;V$1&amp;"P"&amp;$A26)))))))))</f>
        <v>0</v>
      </c>
      <c r="W26" s="12">
        <f>IF($A$2="PREMIUM_OI",IFERROR((100*RTD("tos.rtd",,"OPEN_INT","."&amp;W$2&amp;W$1&amp;"C"&amp;$A26)*RTD("tos.rtd",,"LAST","."&amp;W$2&amp;W$1&amp;"C"&amp;$A26)-100*RTD("tos.rtd",,"OPEN_INT","."&amp;W$2&amp;W$1&amp;"P"&amp;$A26)*RTD("tos.rtd",,"LAST","."&amp;W$2&amp;W$1&amp;"P"&amp;$A26))/1000000,0),IF($A$2="PREMIUM",IFERROR((100*RTD("tos.rtd",,"VOLUME","."&amp;W$2&amp;W$1&amp;"C"&amp;$A26)*RTD("tos.rtd",,"LAST","."&amp;W$2&amp;W$1&amp;"C"&amp;$A26)-100*RTD("tos.rtd",,"VOLUME","."&amp;W$2&amp;W$1&amp;"P"&amp;$A26)*RTD("tos.rtd",,"LAST","."&amp;W$2&amp;W$1&amp;"P"&amp;$A26))/1000000,0),IF($A$2="DEX",IFERROR((100*RTD("tos.rtd",,"OPEN_INT","."&amp;W$2&amp;W$1&amp;"C"&amp;$A26)*RTD("tos.rtd",,"DELTA","."&amp;W$2&amp;W$1&amp;"C"&amp;$A26)-100*RTD("tos.rtd",,"OPEN_INT","."&amp;W$2&amp;W$1&amp;"P"&amp;$A26)*RTD("tos.rtd",,"DELTA","."&amp;W$2&amp;W$1&amp;"P"&amp;$A26))/1000,0),IF($A$2="VEX",IFERROR(($A$4*$A$4*RTD("tos.rtd",,"VOLUME","."&amp;W$2&amp;W$1&amp;"C"&amp;$A26)*RTD("tos.rtd",,"GAMMA","."&amp;W$2&amp;W$1&amp;"C"&amp;$A26)-$A$4*$A$4*RTD("tos.rtd",,"VOLUME","."&amp;W$2&amp;W$1&amp;"P"&amp;$A26)*RTD("tos.rtd",,"GAMMA","."&amp;W$2&amp;W$1&amp;"P"&amp;$A26))/1000000,0),IF($A$2="GEX",IFERROR(($A$4*$A$4*RTD("tos.rtd",,"OPEN_INT","."&amp;W$2&amp;W$1&amp;"C"&amp;$A26)*RTD("tos.rtd",,"GAMMA","."&amp;W$2&amp;W$1&amp;"C"&amp;$A26)-$A$4*$A$4*RTD("tos.rtd",,"OPEN_INT","."&amp;W$2&amp;W$1&amp;"P"&amp;$A26)*RTD("tos.rtd",,"GAMMA","."&amp;W$2&amp;W$1&amp;"P"&amp;$A26))/1000000,0),IF($A$2="SKEW",IFERROR(VALUE(IF(RTD("tos.rtd",,"IMPL_VOL","."&amp;W$2&amp;W$1&amp;"P"&amp;$A26)="N/A",0,RTD("tos.rtd",,"IMPL_VOL","."&amp;W$2&amp;W$1&amp;"P"&amp;$A26))),0)-IFERROR(VALUE(IF(RTD("tos.rtd",,"IMPL_VOL","."&amp;W$2&amp;W$1&amp;"C"&amp;$A26)="N/A",0,RTD("tos.rtd",,"IMPL_VOL","."&amp;W$2&amp;W$1&amp;"C"&amp;$A26))),0),IF($A$2="MAXPAIN",IF($A$4&gt;$A26,($A$4-$A26)*IF(RTD("tos.rtd",,"OPEN_INT","."&amp;W$2&amp;W$1&amp;"C"&amp;$A26)="N/A",0,RTD("tos.rtd",,"OPEN_INT","."&amp;W$2&amp;W$1&amp;"C"&amp;$A26)),0)+IF($A$4&lt;$A26,($A26-$A$4)*IF(RTD("tos.rtd",,"OPEN_INT","."&amp;W$2&amp;W$1&amp;"P"&amp;$A26)="N/A",0,RTD("tos.rtd",,"OPEN_INT","."&amp;W$2&amp;W$1&amp;"P"&amp;$A26)),0),IF(RTD("tos.rtd",,$A$2,"."&amp;W$2&amp;W$1&amp;"C"&amp;$A26)="N/A",0,RTD("tos.rtd",,$A$2,"."&amp;W$2&amp;W$1&amp;"C"&amp;$A26))-IF(RTD("tos.rtd",,$A$2,"."&amp;W$2&amp;W$1&amp;"P"&amp;$A26)="N/A",0,RTD("tos.rtd",,$A$2,"."&amp;W$2&amp;W$1&amp;"P"&amp;$A26)))))))))</f>
        <v>28316</v>
      </c>
      <c r="X26" s="12">
        <f t="shared" ca="1" si="7"/>
        <v>57077</v>
      </c>
      <c r="Y26" s="27">
        <f t="shared" ca="1" si="8"/>
        <v>57077</v>
      </c>
      <c r="AA26" s="35">
        <f t="shared" si="5"/>
        <v>25</v>
      </c>
      <c r="AB26" s="8">
        <f>+IF($AJ$1,AK26,TASTYOHLC!B26)</f>
        <v>0</v>
      </c>
      <c r="AC26" s="8">
        <f>+IF($AJ$1,AL26,TASTYOHLC!C26)</f>
        <v>0</v>
      </c>
      <c r="AD26" s="8">
        <f>+IF($AJ$1,AM26,TASTYOHLC!D26)</f>
        <v>0</v>
      </c>
      <c r="AE26" s="8">
        <f>+IF($AJ$1,AN26,TASTYOHLC!E26)</f>
        <v>0</v>
      </c>
      <c r="AF26" s="8"/>
      <c r="AJ26" s="37"/>
    </row>
    <row r="27" spans="1:40" s="19" customFormat="1" ht="11.1" customHeight="1" thickBot="1" x14ac:dyDescent="0.3">
      <c r="A27" s="23">
        <f>+A28+$A$1</f>
        <v>8.5</v>
      </c>
      <c r="B27" s="14">
        <f>IF($A$2="PREMIUM_OI",IFERROR((100*RTD("tos.rtd",,"OPEN_INT","."&amp;B$2&amp;B$1&amp;"C"&amp;$A27)*RTD("tos.rtd",,"LAST","."&amp;B$2&amp;B$1&amp;"C"&amp;$A27)-100*RTD("tos.rtd",,"OPEN_INT","."&amp;B$2&amp;B$1&amp;"P"&amp;$A27)*RTD("tos.rtd",,"LAST","."&amp;B$2&amp;B$1&amp;"P"&amp;$A27))/1000000,0),IF($A$2="PREMIUM",IFERROR((100*RTD("tos.rtd",,"VOLUME","."&amp;B$2&amp;B$1&amp;"C"&amp;$A27)*RTD("tos.rtd",,"LAST","."&amp;B$2&amp;B$1&amp;"C"&amp;$A27)-100*RTD("tos.rtd",,"VOLUME","."&amp;B$2&amp;B$1&amp;"P"&amp;$A27)*RTD("tos.rtd",,"LAST","."&amp;B$2&amp;B$1&amp;"P"&amp;$A27))/1000000,0),IF($A$2="DEX",IFERROR((100*RTD("tos.rtd",,"OPEN_INT","."&amp;B$2&amp;B$1&amp;"C"&amp;$A27)*RTD("tos.rtd",,"DELTA","."&amp;B$2&amp;B$1&amp;"C"&amp;$A27)-100*RTD("tos.rtd",,"OPEN_INT","."&amp;B$2&amp;B$1&amp;"P"&amp;$A27)*RTD("tos.rtd",,"DELTA","."&amp;B$2&amp;B$1&amp;"P"&amp;$A27))/1000,0),IF($A$2="VEX",IFERROR(($A$4*$A$4*RTD("tos.rtd",,"VOLUME","."&amp;B$2&amp;B$1&amp;"C"&amp;$A27)*RTD("tos.rtd",,"GAMMA","."&amp;B$2&amp;B$1&amp;"C"&amp;$A27)-$A$4*$A$4*RTD("tos.rtd",,"VOLUME","."&amp;B$2&amp;B$1&amp;"P"&amp;$A27)*RTD("tos.rtd",,"GAMMA","."&amp;B$2&amp;B$1&amp;"P"&amp;$A27))/1000000,0),IF($A$2="GEX",IFERROR(($A$4*$A$4*RTD("tos.rtd",,"OPEN_INT","."&amp;B$2&amp;B$1&amp;"C"&amp;$A27)*RTD("tos.rtd",,"GAMMA","."&amp;B$2&amp;B$1&amp;"C"&amp;$A27)-$A$4*$A$4*RTD("tos.rtd",,"OPEN_INT","."&amp;B$2&amp;B$1&amp;"P"&amp;$A27)*RTD("tos.rtd",,"GAMMA","."&amp;B$2&amp;B$1&amp;"P"&amp;$A27))/1000000,0),IF($A$2="SKEW",IFERROR(VALUE(IF(RTD("tos.rtd",,"IMPL_VOL","."&amp;B$2&amp;B$1&amp;"P"&amp;$A27)="N/A",0,RTD("tos.rtd",,"IMPL_VOL","."&amp;B$2&amp;B$1&amp;"P"&amp;$A27))),0)-IFERROR(VALUE(IF(RTD("tos.rtd",,"IMPL_VOL","."&amp;B$2&amp;B$1&amp;"C"&amp;$A27)="N/A",0,RTD("tos.rtd",,"IMPL_VOL","."&amp;B$2&amp;B$1&amp;"C"&amp;$A27))),0),IF($A$2="MAXPAIN",IF($A$4&gt;$A27,($A$4-$A27)*IF(RTD("tos.rtd",,"OPEN_INT","."&amp;B$2&amp;B$1&amp;"C"&amp;$A27)="N/A",0,RTD("tos.rtd",,"OPEN_INT","."&amp;B$2&amp;B$1&amp;"C"&amp;$A27)),0)+IF($A$4&lt;$A27,($A27-$A$4)*IF(RTD("tos.rtd",,"OPEN_INT","."&amp;B$2&amp;B$1&amp;"P"&amp;$A27)="N/A",0,RTD("tos.rtd",,"OPEN_INT","."&amp;B$2&amp;B$1&amp;"P"&amp;$A27)),0),IF(RTD("tos.rtd",,$A$2,"."&amp;B$2&amp;B$1&amp;"C"&amp;$A27)="N/A",0,RTD("tos.rtd",,$A$2,"."&amp;B$2&amp;B$1&amp;"C"&amp;$A27))-IF(RTD("tos.rtd",,$A$2,"."&amp;B$2&amp;B$1&amp;"P"&amp;$A27)="N/A",0,RTD("tos.rtd",,$A$2,"."&amp;B$2&amp;B$1&amp;"P"&amp;$A27)))))))))</f>
        <v>0</v>
      </c>
      <c r="C27" s="12">
        <f>IF($A$2="PREMIUM_OI",IFERROR((100*RTD("tos.rtd",,"OPEN_INT","."&amp;C$2&amp;C$1&amp;"C"&amp;$A27)*RTD("tos.rtd",,"LAST","."&amp;C$2&amp;C$1&amp;"C"&amp;$A27)-100*RTD("tos.rtd",,"OPEN_INT","."&amp;C$2&amp;C$1&amp;"P"&amp;$A27)*RTD("tos.rtd",,"LAST","."&amp;C$2&amp;C$1&amp;"P"&amp;$A27))/1000000,0),IF($A$2="PREMIUM",IFERROR((100*RTD("tos.rtd",,"VOLUME","."&amp;C$2&amp;C$1&amp;"C"&amp;$A27)*RTD("tos.rtd",,"LAST","."&amp;C$2&amp;C$1&amp;"C"&amp;$A27)-100*RTD("tos.rtd",,"VOLUME","."&amp;C$2&amp;C$1&amp;"P"&amp;$A27)*RTD("tos.rtd",,"LAST","."&amp;C$2&amp;C$1&amp;"P"&amp;$A27))/1000000,0),IF($A$2="DEX",IFERROR((100*RTD("tos.rtd",,"OPEN_INT","."&amp;C$2&amp;C$1&amp;"C"&amp;$A27)*RTD("tos.rtd",,"DELTA","."&amp;C$2&amp;C$1&amp;"C"&amp;$A27)-100*RTD("tos.rtd",,"OPEN_INT","."&amp;C$2&amp;C$1&amp;"P"&amp;$A27)*RTD("tos.rtd",,"DELTA","."&amp;C$2&amp;C$1&amp;"P"&amp;$A27))/1000,0),IF($A$2="VEX",IFERROR(($A$4*$A$4*RTD("tos.rtd",,"VOLUME","."&amp;C$2&amp;C$1&amp;"C"&amp;$A27)*RTD("tos.rtd",,"GAMMA","."&amp;C$2&amp;C$1&amp;"C"&amp;$A27)-$A$4*$A$4*RTD("tos.rtd",,"VOLUME","."&amp;C$2&amp;C$1&amp;"P"&amp;$A27)*RTD("tos.rtd",,"GAMMA","."&amp;C$2&amp;C$1&amp;"P"&amp;$A27))/1000000,0),IF($A$2="GEX",IFERROR(($A$4*$A$4*RTD("tos.rtd",,"OPEN_INT","."&amp;C$2&amp;C$1&amp;"C"&amp;$A27)*RTD("tos.rtd",,"GAMMA","."&amp;C$2&amp;C$1&amp;"C"&amp;$A27)-$A$4*$A$4*RTD("tos.rtd",,"OPEN_INT","."&amp;C$2&amp;C$1&amp;"P"&amp;$A27)*RTD("tos.rtd",,"GAMMA","."&amp;C$2&amp;C$1&amp;"P"&amp;$A27))/1000000,0),IF($A$2="SKEW",IFERROR(VALUE(IF(RTD("tos.rtd",,"IMPL_VOL","."&amp;C$2&amp;C$1&amp;"P"&amp;$A27)="N/A",0,RTD("tos.rtd",,"IMPL_VOL","."&amp;C$2&amp;C$1&amp;"P"&amp;$A27))),0)-IFERROR(VALUE(IF(RTD("tos.rtd",,"IMPL_VOL","."&amp;C$2&amp;C$1&amp;"C"&amp;$A27)="N/A",0,RTD("tos.rtd",,"IMPL_VOL","."&amp;C$2&amp;C$1&amp;"C"&amp;$A27))),0),IF($A$2="MAXPAIN",IF($A$4&gt;$A27,($A$4-$A27)*IF(RTD("tos.rtd",,"OPEN_INT","."&amp;C$2&amp;C$1&amp;"C"&amp;$A27)="N/A",0,RTD("tos.rtd",,"OPEN_INT","."&amp;C$2&amp;C$1&amp;"C"&amp;$A27)),0)+IF($A$4&lt;$A27,($A27-$A$4)*IF(RTD("tos.rtd",,"OPEN_INT","."&amp;C$2&amp;C$1&amp;"P"&amp;$A27)="N/A",0,RTD("tos.rtd",,"OPEN_INT","."&amp;C$2&amp;C$1&amp;"P"&amp;$A27)),0),IF(RTD("tos.rtd",,$A$2,"."&amp;C$2&amp;C$1&amp;"C"&amp;$A27)="N/A",0,RTD("tos.rtd",,$A$2,"."&amp;C$2&amp;C$1&amp;"C"&amp;$A27))-IF(RTD("tos.rtd",,$A$2,"."&amp;C$2&amp;C$1&amp;"P"&amp;$A27)="N/A",0,RTD("tos.rtd",,$A$2,"."&amp;C$2&amp;C$1&amp;"P"&amp;$A27)))))))))</f>
        <v>13439</v>
      </c>
      <c r="D27" s="12">
        <f>IF($A$2="PREMIUM_OI",IFERROR((100*RTD("tos.rtd",,"OPEN_INT","."&amp;D$2&amp;D$1&amp;"C"&amp;$A27)*RTD("tos.rtd",,"LAST","."&amp;D$2&amp;D$1&amp;"C"&amp;$A27)-100*RTD("tos.rtd",,"OPEN_INT","."&amp;D$2&amp;D$1&amp;"P"&amp;$A27)*RTD("tos.rtd",,"LAST","."&amp;D$2&amp;D$1&amp;"P"&amp;$A27))/1000000,0),IF($A$2="PREMIUM",IFERROR((100*RTD("tos.rtd",,"VOLUME","."&amp;D$2&amp;D$1&amp;"C"&amp;$A27)*RTD("tos.rtd",,"LAST","."&amp;D$2&amp;D$1&amp;"C"&amp;$A27)-100*RTD("tos.rtd",,"VOLUME","."&amp;D$2&amp;D$1&amp;"P"&amp;$A27)*RTD("tos.rtd",,"LAST","."&amp;D$2&amp;D$1&amp;"P"&amp;$A27))/1000000,0),IF($A$2="DEX",IFERROR((100*RTD("tos.rtd",,"OPEN_INT","."&amp;D$2&amp;D$1&amp;"C"&amp;$A27)*RTD("tos.rtd",,"DELTA","."&amp;D$2&amp;D$1&amp;"C"&amp;$A27)-100*RTD("tos.rtd",,"OPEN_INT","."&amp;D$2&amp;D$1&amp;"P"&amp;$A27)*RTD("tos.rtd",,"DELTA","."&amp;D$2&amp;D$1&amp;"P"&amp;$A27))/1000,0),IF($A$2="VEX",IFERROR(($A$4*$A$4*RTD("tos.rtd",,"VOLUME","."&amp;D$2&amp;D$1&amp;"C"&amp;$A27)*RTD("tos.rtd",,"GAMMA","."&amp;D$2&amp;D$1&amp;"C"&amp;$A27)-$A$4*$A$4*RTD("tos.rtd",,"VOLUME","."&amp;D$2&amp;D$1&amp;"P"&amp;$A27)*RTD("tos.rtd",,"GAMMA","."&amp;D$2&amp;D$1&amp;"P"&amp;$A27))/1000000,0),IF($A$2="GEX",IFERROR(($A$4*$A$4*RTD("tos.rtd",,"OPEN_INT","."&amp;D$2&amp;D$1&amp;"C"&amp;$A27)*RTD("tos.rtd",,"GAMMA","."&amp;D$2&amp;D$1&amp;"C"&amp;$A27)-$A$4*$A$4*RTD("tos.rtd",,"OPEN_INT","."&amp;D$2&amp;D$1&amp;"P"&amp;$A27)*RTD("tos.rtd",,"GAMMA","."&amp;D$2&amp;D$1&amp;"P"&amp;$A27))/1000000,0),IF($A$2="SKEW",IFERROR(VALUE(IF(RTD("tos.rtd",,"IMPL_VOL","."&amp;D$2&amp;D$1&amp;"P"&amp;$A27)="N/A",0,RTD("tos.rtd",,"IMPL_VOL","."&amp;D$2&amp;D$1&amp;"P"&amp;$A27))),0)-IFERROR(VALUE(IF(RTD("tos.rtd",,"IMPL_VOL","."&amp;D$2&amp;D$1&amp;"C"&amp;$A27)="N/A",0,RTD("tos.rtd",,"IMPL_VOL","."&amp;D$2&amp;D$1&amp;"C"&amp;$A27))),0),IF($A$2="MAXPAIN",IF($A$4&gt;$A27,($A$4-$A27)*IF(RTD("tos.rtd",,"OPEN_INT","."&amp;D$2&amp;D$1&amp;"C"&amp;$A27)="N/A",0,RTD("tos.rtd",,"OPEN_INT","."&amp;D$2&amp;D$1&amp;"C"&amp;$A27)),0)+IF($A$4&lt;$A27,($A27-$A$4)*IF(RTD("tos.rtd",,"OPEN_INT","."&amp;D$2&amp;D$1&amp;"P"&amp;$A27)="N/A",0,RTD("tos.rtd",,"OPEN_INT","."&amp;D$2&amp;D$1&amp;"P"&amp;$A27)),0),IF(RTD("tos.rtd",,$A$2,"."&amp;D$2&amp;D$1&amp;"C"&amp;$A27)="N/A",0,RTD("tos.rtd",,$A$2,"."&amp;D$2&amp;D$1&amp;"C"&amp;$A27))-IF(RTD("tos.rtd",,$A$2,"."&amp;D$2&amp;D$1&amp;"P"&amp;$A27)="N/A",0,RTD("tos.rtd",,$A$2,"."&amp;D$2&amp;D$1&amp;"P"&amp;$A27)))))))))</f>
        <v>0</v>
      </c>
      <c r="E27" s="12">
        <f>IF($A$2="PREMIUM_OI",IFERROR((100*RTD("tos.rtd",,"OPEN_INT","."&amp;E$2&amp;E$1&amp;"C"&amp;$A27)*RTD("tos.rtd",,"LAST","."&amp;E$2&amp;E$1&amp;"C"&amp;$A27)-100*RTD("tos.rtd",,"OPEN_INT","."&amp;E$2&amp;E$1&amp;"P"&amp;$A27)*RTD("tos.rtd",,"LAST","."&amp;E$2&amp;E$1&amp;"P"&amp;$A27))/1000000,0),IF($A$2="PREMIUM",IFERROR((100*RTD("tos.rtd",,"VOLUME","."&amp;E$2&amp;E$1&amp;"C"&amp;$A27)*RTD("tos.rtd",,"LAST","."&amp;E$2&amp;E$1&amp;"C"&amp;$A27)-100*RTD("tos.rtd",,"VOLUME","."&amp;E$2&amp;E$1&amp;"P"&amp;$A27)*RTD("tos.rtd",,"LAST","."&amp;E$2&amp;E$1&amp;"P"&amp;$A27))/1000000,0),IF($A$2="DEX",IFERROR((100*RTD("tos.rtd",,"OPEN_INT","."&amp;E$2&amp;E$1&amp;"C"&amp;$A27)*RTD("tos.rtd",,"DELTA","."&amp;E$2&amp;E$1&amp;"C"&amp;$A27)-100*RTD("tos.rtd",,"OPEN_INT","."&amp;E$2&amp;E$1&amp;"P"&amp;$A27)*RTD("tos.rtd",,"DELTA","."&amp;E$2&amp;E$1&amp;"P"&amp;$A27))/1000,0),IF($A$2="VEX",IFERROR(($A$4*$A$4*RTD("tos.rtd",,"VOLUME","."&amp;E$2&amp;E$1&amp;"C"&amp;$A27)*RTD("tos.rtd",,"GAMMA","."&amp;E$2&amp;E$1&amp;"C"&amp;$A27)-$A$4*$A$4*RTD("tos.rtd",,"VOLUME","."&amp;E$2&amp;E$1&amp;"P"&amp;$A27)*RTD("tos.rtd",,"GAMMA","."&amp;E$2&amp;E$1&amp;"P"&amp;$A27))/1000000,0),IF($A$2="GEX",IFERROR(($A$4*$A$4*RTD("tos.rtd",,"OPEN_INT","."&amp;E$2&amp;E$1&amp;"C"&amp;$A27)*RTD("tos.rtd",,"GAMMA","."&amp;E$2&amp;E$1&amp;"C"&amp;$A27)-$A$4*$A$4*RTD("tos.rtd",,"OPEN_INT","."&amp;E$2&amp;E$1&amp;"P"&amp;$A27)*RTD("tos.rtd",,"GAMMA","."&amp;E$2&amp;E$1&amp;"P"&amp;$A27))/1000000,0),IF($A$2="SKEW",IFERROR(VALUE(IF(RTD("tos.rtd",,"IMPL_VOL","."&amp;E$2&amp;E$1&amp;"P"&amp;$A27)="N/A",0,RTD("tos.rtd",,"IMPL_VOL","."&amp;E$2&amp;E$1&amp;"P"&amp;$A27))),0)-IFERROR(VALUE(IF(RTD("tos.rtd",,"IMPL_VOL","."&amp;E$2&amp;E$1&amp;"C"&amp;$A27)="N/A",0,RTD("tos.rtd",,"IMPL_VOL","."&amp;E$2&amp;E$1&amp;"C"&amp;$A27))),0),IF($A$2="MAXPAIN",IF($A$4&gt;$A27,($A$4-$A27)*IF(RTD("tos.rtd",,"OPEN_INT","."&amp;E$2&amp;E$1&amp;"C"&amp;$A27)="N/A",0,RTD("tos.rtd",,"OPEN_INT","."&amp;E$2&amp;E$1&amp;"C"&amp;$A27)),0)+IF($A$4&lt;$A27,($A27-$A$4)*IF(RTD("tos.rtd",,"OPEN_INT","."&amp;E$2&amp;E$1&amp;"P"&amp;$A27)="N/A",0,RTD("tos.rtd",,"OPEN_INT","."&amp;E$2&amp;E$1&amp;"P"&amp;$A27)),0),IF(RTD("tos.rtd",,$A$2,"."&amp;E$2&amp;E$1&amp;"C"&amp;$A27)="N/A",0,RTD("tos.rtd",,$A$2,"."&amp;E$2&amp;E$1&amp;"C"&amp;$A27))-IF(RTD("tos.rtd",,$A$2,"."&amp;E$2&amp;E$1&amp;"P"&amp;$A27)="N/A",0,RTD("tos.rtd",,$A$2,"."&amp;E$2&amp;E$1&amp;"P"&amp;$A27)))))))))</f>
        <v>0</v>
      </c>
      <c r="F27" s="12">
        <f>IF($A$2="PREMIUM_OI",IFERROR((100*RTD("tos.rtd",,"OPEN_INT","."&amp;F$2&amp;F$1&amp;"C"&amp;$A27)*RTD("tos.rtd",,"LAST","."&amp;F$2&amp;F$1&amp;"C"&amp;$A27)-100*RTD("tos.rtd",,"OPEN_INT","."&amp;F$2&amp;F$1&amp;"P"&amp;$A27)*RTD("tos.rtd",,"LAST","."&amp;F$2&amp;F$1&amp;"P"&amp;$A27))/1000000,0),IF($A$2="PREMIUM",IFERROR((100*RTD("tos.rtd",,"VOLUME","."&amp;F$2&amp;F$1&amp;"C"&amp;$A27)*RTD("tos.rtd",,"LAST","."&amp;F$2&amp;F$1&amp;"C"&amp;$A27)-100*RTD("tos.rtd",,"VOLUME","."&amp;F$2&amp;F$1&amp;"P"&amp;$A27)*RTD("tos.rtd",,"LAST","."&amp;F$2&amp;F$1&amp;"P"&amp;$A27))/1000000,0),IF($A$2="DEX",IFERROR((100*RTD("tos.rtd",,"OPEN_INT","."&amp;F$2&amp;F$1&amp;"C"&amp;$A27)*RTD("tos.rtd",,"DELTA","."&amp;F$2&amp;F$1&amp;"C"&amp;$A27)-100*RTD("tos.rtd",,"OPEN_INT","."&amp;F$2&amp;F$1&amp;"P"&amp;$A27)*RTD("tos.rtd",,"DELTA","."&amp;F$2&amp;F$1&amp;"P"&amp;$A27))/1000,0),IF($A$2="VEX",IFERROR(($A$4*$A$4*RTD("tos.rtd",,"VOLUME","."&amp;F$2&amp;F$1&amp;"C"&amp;$A27)*RTD("tos.rtd",,"GAMMA","."&amp;F$2&amp;F$1&amp;"C"&amp;$A27)-$A$4*$A$4*RTD("tos.rtd",,"VOLUME","."&amp;F$2&amp;F$1&amp;"P"&amp;$A27)*RTD("tos.rtd",,"GAMMA","."&amp;F$2&amp;F$1&amp;"P"&amp;$A27))/1000000,0),IF($A$2="GEX",IFERROR(($A$4*$A$4*RTD("tos.rtd",,"OPEN_INT","."&amp;F$2&amp;F$1&amp;"C"&amp;$A27)*RTD("tos.rtd",,"GAMMA","."&amp;F$2&amp;F$1&amp;"C"&amp;$A27)-$A$4*$A$4*RTD("tos.rtd",,"OPEN_INT","."&amp;F$2&amp;F$1&amp;"P"&amp;$A27)*RTD("tos.rtd",,"GAMMA","."&amp;F$2&amp;F$1&amp;"P"&amp;$A27))/1000000,0),IF($A$2="SKEW",IFERROR(VALUE(IF(RTD("tos.rtd",,"IMPL_VOL","."&amp;F$2&amp;F$1&amp;"P"&amp;$A27)="N/A",0,RTD("tos.rtd",,"IMPL_VOL","."&amp;F$2&amp;F$1&amp;"P"&amp;$A27))),0)-IFERROR(VALUE(IF(RTD("tos.rtd",,"IMPL_VOL","."&amp;F$2&amp;F$1&amp;"C"&amp;$A27)="N/A",0,RTD("tos.rtd",,"IMPL_VOL","."&amp;F$2&amp;F$1&amp;"C"&amp;$A27))),0),IF($A$2="MAXPAIN",IF($A$4&gt;$A27,($A$4-$A27)*IF(RTD("tos.rtd",,"OPEN_INT","."&amp;F$2&amp;F$1&amp;"C"&amp;$A27)="N/A",0,RTD("tos.rtd",,"OPEN_INT","."&amp;F$2&amp;F$1&amp;"C"&amp;$A27)),0)+IF($A$4&lt;$A27,($A27-$A$4)*IF(RTD("tos.rtd",,"OPEN_INT","."&amp;F$2&amp;F$1&amp;"P"&amp;$A27)="N/A",0,RTD("tos.rtd",,"OPEN_INT","."&amp;F$2&amp;F$1&amp;"P"&amp;$A27)),0),IF(RTD("tos.rtd",,$A$2,"."&amp;F$2&amp;F$1&amp;"C"&amp;$A27)="N/A",0,RTD("tos.rtd",,$A$2,"."&amp;F$2&amp;F$1&amp;"C"&amp;$A27))-IF(RTD("tos.rtd",,$A$2,"."&amp;F$2&amp;F$1&amp;"P"&amp;$A27)="N/A",0,RTD("tos.rtd",,$A$2,"."&amp;F$2&amp;F$1&amp;"P"&amp;$A27)))))))))</f>
        <v>0</v>
      </c>
      <c r="G27" s="14">
        <f>IF($A$2="PREMIUM_OI",IFERROR((100*RTD("tos.rtd",,"OPEN_INT","."&amp;G$2&amp;G$1&amp;"C"&amp;$A27)*RTD("tos.rtd",,"LAST","."&amp;G$2&amp;G$1&amp;"C"&amp;$A27)-100*RTD("tos.rtd",,"OPEN_INT","."&amp;G$2&amp;G$1&amp;"P"&amp;$A27)*RTD("tos.rtd",,"LAST","."&amp;G$2&amp;G$1&amp;"P"&amp;$A27))/1000000,0),IF($A$2="PREMIUM",IFERROR((100*RTD("tos.rtd",,"VOLUME","."&amp;G$2&amp;G$1&amp;"C"&amp;$A27)*RTD("tos.rtd",,"LAST","."&amp;G$2&amp;G$1&amp;"C"&amp;$A27)-100*RTD("tos.rtd",,"VOLUME","."&amp;G$2&amp;G$1&amp;"P"&amp;$A27)*RTD("tos.rtd",,"LAST","."&amp;G$2&amp;G$1&amp;"P"&amp;$A27))/1000000,0),IF($A$2="DEX",IFERROR((100*RTD("tos.rtd",,"OPEN_INT","."&amp;G$2&amp;G$1&amp;"C"&amp;$A27)*RTD("tos.rtd",,"DELTA","."&amp;G$2&amp;G$1&amp;"C"&amp;$A27)-100*RTD("tos.rtd",,"OPEN_INT","."&amp;G$2&amp;G$1&amp;"P"&amp;$A27)*RTD("tos.rtd",,"DELTA","."&amp;G$2&amp;G$1&amp;"P"&amp;$A27))/1000,0),IF($A$2="VEX",IFERROR(($A$4*$A$4*RTD("tos.rtd",,"VOLUME","."&amp;G$2&amp;G$1&amp;"C"&amp;$A27)*RTD("tos.rtd",,"GAMMA","."&amp;G$2&amp;G$1&amp;"C"&amp;$A27)-$A$4*$A$4*RTD("tos.rtd",,"VOLUME","."&amp;G$2&amp;G$1&amp;"P"&amp;$A27)*RTD("tos.rtd",,"GAMMA","."&amp;G$2&amp;G$1&amp;"P"&amp;$A27))/1000000,0),IF($A$2="GEX",IFERROR(($A$4*$A$4*RTD("tos.rtd",,"OPEN_INT","."&amp;G$2&amp;G$1&amp;"C"&amp;$A27)*RTD("tos.rtd",,"GAMMA","."&amp;G$2&amp;G$1&amp;"C"&amp;$A27)-$A$4*$A$4*RTD("tos.rtd",,"OPEN_INT","."&amp;G$2&amp;G$1&amp;"P"&amp;$A27)*RTD("tos.rtd",,"GAMMA","."&amp;G$2&amp;G$1&amp;"P"&amp;$A27))/1000000,0),IF($A$2="SKEW",IFERROR(VALUE(IF(RTD("tos.rtd",,"IMPL_VOL","."&amp;G$2&amp;G$1&amp;"P"&amp;$A27)="N/A",0,RTD("tos.rtd",,"IMPL_VOL","."&amp;G$2&amp;G$1&amp;"P"&amp;$A27))),0)-IFERROR(VALUE(IF(RTD("tos.rtd",,"IMPL_VOL","."&amp;G$2&amp;G$1&amp;"C"&amp;$A27)="N/A",0,RTD("tos.rtd",,"IMPL_VOL","."&amp;G$2&amp;G$1&amp;"C"&amp;$A27))),0),IF($A$2="MAXPAIN",IF($A$4&gt;$A27,($A$4-$A27)*IF(RTD("tos.rtd",,"OPEN_INT","."&amp;G$2&amp;G$1&amp;"C"&amp;$A27)="N/A",0,RTD("tos.rtd",,"OPEN_INT","."&amp;G$2&amp;G$1&amp;"C"&amp;$A27)),0)+IF($A$4&lt;$A27,($A27-$A$4)*IF(RTD("tos.rtd",,"OPEN_INT","."&amp;G$2&amp;G$1&amp;"P"&amp;$A27)="N/A",0,RTD("tos.rtd",,"OPEN_INT","."&amp;G$2&amp;G$1&amp;"P"&amp;$A27)),0),IF(RTD("tos.rtd",,$A$2,"."&amp;G$2&amp;G$1&amp;"C"&amp;$A27)="N/A",0,RTD("tos.rtd",,$A$2,"."&amp;G$2&amp;G$1&amp;"C"&amp;$A27))-IF(RTD("tos.rtd",,$A$2,"."&amp;G$2&amp;G$1&amp;"P"&amp;$A27)="N/A",0,RTD("tos.rtd",,$A$2,"."&amp;G$2&amp;G$1&amp;"P"&amp;$A27)))))))))</f>
        <v>0</v>
      </c>
      <c r="H27" s="12">
        <f>IF($A$2="PREMIUM_OI",IFERROR((100*RTD("tos.rtd",,"OPEN_INT","."&amp;H$2&amp;H$1&amp;"C"&amp;$A27)*RTD("tos.rtd",,"LAST","."&amp;H$2&amp;H$1&amp;"C"&amp;$A27)-100*RTD("tos.rtd",,"OPEN_INT","."&amp;H$2&amp;H$1&amp;"P"&amp;$A27)*RTD("tos.rtd",,"LAST","."&amp;H$2&amp;H$1&amp;"P"&amp;$A27))/1000000,0),IF($A$2="PREMIUM",IFERROR((100*RTD("tos.rtd",,"VOLUME","."&amp;H$2&amp;H$1&amp;"C"&amp;$A27)*RTD("tos.rtd",,"LAST","."&amp;H$2&amp;H$1&amp;"C"&amp;$A27)-100*RTD("tos.rtd",,"VOLUME","."&amp;H$2&amp;H$1&amp;"P"&amp;$A27)*RTD("tos.rtd",,"LAST","."&amp;H$2&amp;H$1&amp;"P"&amp;$A27))/1000000,0),IF($A$2="DEX",IFERROR((100*RTD("tos.rtd",,"OPEN_INT","."&amp;H$2&amp;H$1&amp;"C"&amp;$A27)*RTD("tos.rtd",,"DELTA","."&amp;H$2&amp;H$1&amp;"C"&amp;$A27)-100*RTD("tos.rtd",,"OPEN_INT","."&amp;H$2&amp;H$1&amp;"P"&amp;$A27)*RTD("tos.rtd",,"DELTA","."&amp;H$2&amp;H$1&amp;"P"&amp;$A27))/1000,0),IF($A$2="VEX",IFERROR(($A$4*$A$4*RTD("tos.rtd",,"VOLUME","."&amp;H$2&amp;H$1&amp;"C"&amp;$A27)*RTD("tos.rtd",,"GAMMA","."&amp;H$2&amp;H$1&amp;"C"&amp;$A27)-$A$4*$A$4*RTD("tos.rtd",,"VOLUME","."&amp;H$2&amp;H$1&amp;"P"&amp;$A27)*RTD("tos.rtd",,"GAMMA","."&amp;H$2&amp;H$1&amp;"P"&amp;$A27))/1000000,0),IF($A$2="GEX",IFERROR(($A$4*$A$4*RTD("tos.rtd",,"OPEN_INT","."&amp;H$2&amp;H$1&amp;"C"&amp;$A27)*RTD("tos.rtd",,"GAMMA","."&amp;H$2&amp;H$1&amp;"C"&amp;$A27)-$A$4*$A$4*RTD("tos.rtd",,"OPEN_INT","."&amp;H$2&amp;H$1&amp;"P"&amp;$A27)*RTD("tos.rtd",,"GAMMA","."&amp;H$2&amp;H$1&amp;"P"&amp;$A27))/1000000,0),IF($A$2="SKEW",IFERROR(VALUE(IF(RTD("tos.rtd",,"IMPL_VOL","."&amp;H$2&amp;H$1&amp;"P"&amp;$A27)="N/A",0,RTD("tos.rtd",,"IMPL_VOL","."&amp;H$2&amp;H$1&amp;"P"&amp;$A27))),0)-IFERROR(VALUE(IF(RTD("tos.rtd",,"IMPL_VOL","."&amp;H$2&amp;H$1&amp;"C"&amp;$A27)="N/A",0,RTD("tos.rtd",,"IMPL_VOL","."&amp;H$2&amp;H$1&amp;"C"&amp;$A27))),0),IF($A$2="MAXPAIN",IF($A$4&gt;$A27,($A$4-$A27)*IF(RTD("tos.rtd",,"OPEN_INT","."&amp;H$2&amp;H$1&amp;"C"&amp;$A27)="N/A",0,RTD("tos.rtd",,"OPEN_INT","."&amp;H$2&amp;H$1&amp;"C"&amp;$A27)),0)+IF($A$4&lt;$A27,($A27-$A$4)*IF(RTD("tos.rtd",,"OPEN_INT","."&amp;H$2&amp;H$1&amp;"P"&amp;$A27)="N/A",0,RTD("tos.rtd",,"OPEN_INT","."&amp;H$2&amp;H$1&amp;"P"&amp;$A27)),0),IF(RTD("tos.rtd",,$A$2,"."&amp;H$2&amp;H$1&amp;"C"&amp;$A27)="N/A",0,RTD("tos.rtd",,$A$2,"."&amp;H$2&amp;H$1&amp;"C"&amp;$A27))-IF(RTD("tos.rtd",,$A$2,"."&amp;H$2&amp;H$1&amp;"P"&amp;$A27)="N/A",0,RTD("tos.rtd",,$A$2,"."&amp;H$2&amp;H$1&amp;"P"&amp;$A27)))))))))</f>
        <v>74427</v>
      </c>
      <c r="I27" s="12">
        <f>IF($A$2="PREMIUM_OI",IFERROR((100*RTD("tos.rtd",,"OPEN_INT","."&amp;I$2&amp;I$1&amp;"C"&amp;$A27)*RTD("tos.rtd",,"LAST","."&amp;I$2&amp;I$1&amp;"C"&amp;$A27)-100*RTD("tos.rtd",,"OPEN_INT","."&amp;I$2&amp;I$1&amp;"P"&amp;$A27)*RTD("tos.rtd",,"LAST","."&amp;I$2&amp;I$1&amp;"P"&amp;$A27))/1000000,0),IF($A$2="PREMIUM",IFERROR((100*RTD("tos.rtd",,"VOLUME","."&amp;I$2&amp;I$1&amp;"C"&amp;$A27)*RTD("tos.rtd",,"LAST","."&amp;I$2&amp;I$1&amp;"C"&amp;$A27)-100*RTD("tos.rtd",,"VOLUME","."&amp;I$2&amp;I$1&amp;"P"&amp;$A27)*RTD("tos.rtd",,"LAST","."&amp;I$2&amp;I$1&amp;"P"&amp;$A27))/1000000,0),IF($A$2="DEX",IFERROR((100*RTD("tos.rtd",,"OPEN_INT","."&amp;I$2&amp;I$1&amp;"C"&amp;$A27)*RTD("tos.rtd",,"DELTA","."&amp;I$2&amp;I$1&amp;"C"&amp;$A27)-100*RTD("tos.rtd",,"OPEN_INT","."&amp;I$2&amp;I$1&amp;"P"&amp;$A27)*RTD("tos.rtd",,"DELTA","."&amp;I$2&amp;I$1&amp;"P"&amp;$A27))/1000,0),IF($A$2="VEX",IFERROR(($A$4*$A$4*RTD("tos.rtd",,"VOLUME","."&amp;I$2&amp;I$1&amp;"C"&amp;$A27)*RTD("tos.rtd",,"GAMMA","."&amp;I$2&amp;I$1&amp;"C"&amp;$A27)-$A$4*$A$4*RTD("tos.rtd",,"VOLUME","."&amp;I$2&amp;I$1&amp;"P"&amp;$A27)*RTD("tos.rtd",,"GAMMA","."&amp;I$2&amp;I$1&amp;"P"&amp;$A27))/1000000,0),IF($A$2="GEX",IFERROR(($A$4*$A$4*RTD("tos.rtd",,"OPEN_INT","."&amp;I$2&amp;I$1&amp;"C"&amp;$A27)*RTD("tos.rtd",,"GAMMA","."&amp;I$2&amp;I$1&amp;"C"&amp;$A27)-$A$4*$A$4*RTD("tos.rtd",,"OPEN_INT","."&amp;I$2&amp;I$1&amp;"P"&amp;$A27)*RTD("tos.rtd",,"GAMMA","."&amp;I$2&amp;I$1&amp;"P"&amp;$A27))/1000000,0),IF($A$2="SKEW",IFERROR(VALUE(IF(RTD("tos.rtd",,"IMPL_VOL","."&amp;I$2&amp;I$1&amp;"P"&amp;$A27)="N/A",0,RTD("tos.rtd",,"IMPL_VOL","."&amp;I$2&amp;I$1&amp;"P"&amp;$A27))),0)-IFERROR(VALUE(IF(RTD("tos.rtd",,"IMPL_VOL","."&amp;I$2&amp;I$1&amp;"C"&amp;$A27)="N/A",0,RTD("tos.rtd",,"IMPL_VOL","."&amp;I$2&amp;I$1&amp;"C"&amp;$A27))),0),IF($A$2="MAXPAIN",IF($A$4&gt;$A27,($A$4-$A27)*IF(RTD("tos.rtd",,"OPEN_INT","."&amp;I$2&amp;I$1&amp;"C"&amp;$A27)="N/A",0,RTD("tos.rtd",,"OPEN_INT","."&amp;I$2&amp;I$1&amp;"C"&amp;$A27)),0)+IF($A$4&lt;$A27,($A27-$A$4)*IF(RTD("tos.rtd",,"OPEN_INT","."&amp;I$2&amp;I$1&amp;"P"&amp;$A27)="N/A",0,RTD("tos.rtd",,"OPEN_INT","."&amp;I$2&amp;I$1&amp;"P"&amp;$A27)),0),IF(RTD("tos.rtd",,$A$2,"."&amp;I$2&amp;I$1&amp;"C"&amp;$A27)="N/A",0,RTD("tos.rtd",,$A$2,"."&amp;I$2&amp;I$1&amp;"C"&amp;$A27))-IF(RTD("tos.rtd",,$A$2,"."&amp;I$2&amp;I$1&amp;"P"&amp;$A27)="N/A",0,RTD("tos.rtd",,$A$2,"."&amp;I$2&amp;I$1&amp;"P"&amp;$A27)))))))))</f>
        <v>0</v>
      </c>
      <c r="J27" s="12">
        <f>IF($A$2="PREMIUM_OI",IFERROR((100*RTD("tos.rtd",,"OPEN_INT","."&amp;J$2&amp;J$1&amp;"C"&amp;$A27)*RTD("tos.rtd",,"LAST","."&amp;J$2&amp;J$1&amp;"C"&amp;$A27)-100*RTD("tos.rtd",,"OPEN_INT","."&amp;J$2&amp;J$1&amp;"P"&amp;$A27)*RTD("tos.rtd",,"LAST","."&amp;J$2&amp;J$1&amp;"P"&amp;$A27))/1000000,0),IF($A$2="PREMIUM",IFERROR((100*RTD("tos.rtd",,"VOLUME","."&amp;J$2&amp;J$1&amp;"C"&amp;$A27)*RTD("tos.rtd",,"LAST","."&amp;J$2&amp;J$1&amp;"C"&amp;$A27)-100*RTD("tos.rtd",,"VOLUME","."&amp;J$2&amp;J$1&amp;"P"&amp;$A27)*RTD("tos.rtd",,"LAST","."&amp;J$2&amp;J$1&amp;"P"&amp;$A27))/1000000,0),IF($A$2="DEX",IFERROR((100*RTD("tos.rtd",,"OPEN_INT","."&amp;J$2&amp;J$1&amp;"C"&amp;$A27)*RTD("tos.rtd",,"DELTA","."&amp;J$2&amp;J$1&amp;"C"&amp;$A27)-100*RTD("tos.rtd",,"OPEN_INT","."&amp;J$2&amp;J$1&amp;"P"&amp;$A27)*RTD("tos.rtd",,"DELTA","."&amp;J$2&amp;J$1&amp;"P"&amp;$A27))/1000,0),IF($A$2="VEX",IFERROR(($A$4*$A$4*RTD("tos.rtd",,"VOLUME","."&amp;J$2&amp;J$1&amp;"C"&amp;$A27)*RTD("tos.rtd",,"GAMMA","."&amp;J$2&amp;J$1&amp;"C"&amp;$A27)-$A$4*$A$4*RTD("tos.rtd",,"VOLUME","."&amp;J$2&amp;J$1&amp;"P"&amp;$A27)*RTD("tos.rtd",,"GAMMA","."&amp;J$2&amp;J$1&amp;"P"&amp;$A27))/1000000,0),IF($A$2="GEX",IFERROR(($A$4*$A$4*RTD("tos.rtd",,"OPEN_INT","."&amp;J$2&amp;J$1&amp;"C"&amp;$A27)*RTD("tos.rtd",,"GAMMA","."&amp;J$2&amp;J$1&amp;"C"&amp;$A27)-$A$4*$A$4*RTD("tos.rtd",,"OPEN_INT","."&amp;J$2&amp;J$1&amp;"P"&amp;$A27)*RTD("tos.rtd",,"GAMMA","."&amp;J$2&amp;J$1&amp;"P"&amp;$A27))/1000000,0),IF($A$2="SKEW",IFERROR(VALUE(IF(RTD("tos.rtd",,"IMPL_VOL","."&amp;J$2&amp;J$1&amp;"P"&amp;$A27)="N/A",0,RTD("tos.rtd",,"IMPL_VOL","."&amp;J$2&amp;J$1&amp;"P"&amp;$A27))),0)-IFERROR(VALUE(IF(RTD("tos.rtd",,"IMPL_VOL","."&amp;J$2&amp;J$1&amp;"C"&amp;$A27)="N/A",0,RTD("tos.rtd",,"IMPL_VOL","."&amp;J$2&amp;J$1&amp;"C"&amp;$A27))),0),IF($A$2="MAXPAIN",IF($A$4&gt;$A27,($A$4-$A27)*IF(RTD("tos.rtd",,"OPEN_INT","."&amp;J$2&amp;J$1&amp;"C"&amp;$A27)="N/A",0,RTD("tos.rtd",,"OPEN_INT","."&amp;J$2&amp;J$1&amp;"C"&amp;$A27)),0)+IF($A$4&lt;$A27,($A27-$A$4)*IF(RTD("tos.rtd",,"OPEN_INT","."&amp;J$2&amp;J$1&amp;"P"&amp;$A27)="N/A",0,RTD("tos.rtd",,"OPEN_INT","."&amp;J$2&amp;J$1&amp;"P"&amp;$A27)),0),IF(RTD("tos.rtd",,$A$2,"."&amp;J$2&amp;J$1&amp;"C"&amp;$A27)="N/A",0,RTD("tos.rtd",,$A$2,"."&amp;J$2&amp;J$1&amp;"C"&amp;$A27))-IF(RTD("tos.rtd",,$A$2,"."&amp;J$2&amp;J$1&amp;"P"&amp;$A27)="N/A",0,RTD("tos.rtd",,$A$2,"."&amp;J$2&amp;J$1&amp;"P"&amp;$A27)))))))))</f>
        <v>0</v>
      </c>
      <c r="K27" s="12">
        <f>IF($A$2="PREMIUM_OI",IFERROR((100*RTD("tos.rtd",,"OPEN_INT","."&amp;K$2&amp;K$1&amp;"C"&amp;$A27)*RTD("tos.rtd",,"LAST","."&amp;K$2&amp;K$1&amp;"C"&amp;$A27)-100*RTD("tos.rtd",,"OPEN_INT","."&amp;K$2&amp;K$1&amp;"P"&amp;$A27)*RTD("tos.rtd",,"LAST","."&amp;K$2&amp;K$1&amp;"P"&amp;$A27))/1000000,0),IF($A$2="PREMIUM",IFERROR((100*RTD("tos.rtd",,"VOLUME","."&amp;K$2&amp;K$1&amp;"C"&amp;$A27)*RTD("tos.rtd",,"LAST","."&amp;K$2&amp;K$1&amp;"C"&amp;$A27)-100*RTD("tos.rtd",,"VOLUME","."&amp;K$2&amp;K$1&amp;"P"&amp;$A27)*RTD("tos.rtd",,"LAST","."&amp;K$2&amp;K$1&amp;"P"&amp;$A27))/1000000,0),IF($A$2="DEX",IFERROR((100*RTD("tos.rtd",,"OPEN_INT","."&amp;K$2&amp;K$1&amp;"C"&amp;$A27)*RTD("tos.rtd",,"DELTA","."&amp;K$2&amp;K$1&amp;"C"&amp;$A27)-100*RTD("tos.rtd",,"OPEN_INT","."&amp;K$2&amp;K$1&amp;"P"&amp;$A27)*RTD("tos.rtd",,"DELTA","."&amp;K$2&amp;K$1&amp;"P"&amp;$A27))/1000,0),IF($A$2="VEX",IFERROR(($A$4*$A$4*RTD("tos.rtd",,"VOLUME","."&amp;K$2&amp;K$1&amp;"C"&amp;$A27)*RTD("tos.rtd",,"GAMMA","."&amp;K$2&amp;K$1&amp;"C"&amp;$A27)-$A$4*$A$4*RTD("tos.rtd",,"VOLUME","."&amp;K$2&amp;K$1&amp;"P"&amp;$A27)*RTD("tos.rtd",,"GAMMA","."&amp;K$2&amp;K$1&amp;"P"&amp;$A27))/1000000,0),IF($A$2="GEX",IFERROR(($A$4*$A$4*RTD("tos.rtd",,"OPEN_INT","."&amp;K$2&amp;K$1&amp;"C"&amp;$A27)*RTD("tos.rtd",,"GAMMA","."&amp;K$2&amp;K$1&amp;"C"&amp;$A27)-$A$4*$A$4*RTD("tos.rtd",,"OPEN_INT","."&amp;K$2&amp;K$1&amp;"P"&amp;$A27)*RTD("tos.rtd",,"GAMMA","."&amp;K$2&amp;K$1&amp;"P"&amp;$A27))/1000000,0),IF($A$2="SKEW",IFERROR(VALUE(IF(RTD("tos.rtd",,"IMPL_VOL","."&amp;K$2&amp;K$1&amp;"P"&amp;$A27)="N/A",0,RTD("tos.rtd",,"IMPL_VOL","."&amp;K$2&amp;K$1&amp;"P"&amp;$A27))),0)-IFERROR(VALUE(IF(RTD("tos.rtd",,"IMPL_VOL","."&amp;K$2&amp;K$1&amp;"C"&amp;$A27)="N/A",0,RTD("tos.rtd",,"IMPL_VOL","."&amp;K$2&amp;K$1&amp;"C"&amp;$A27))),0),IF($A$2="MAXPAIN",IF($A$4&gt;$A27,($A$4-$A27)*IF(RTD("tos.rtd",,"OPEN_INT","."&amp;K$2&amp;K$1&amp;"C"&amp;$A27)="N/A",0,RTD("tos.rtd",,"OPEN_INT","."&amp;K$2&amp;K$1&amp;"C"&amp;$A27)),0)+IF($A$4&lt;$A27,($A27-$A$4)*IF(RTD("tos.rtd",,"OPEN_INT","."&amp;K$2&amp;K$1&amp;"P"&amp;$A27)="N/A",0,RTD("tos.rtd",,"OPEN_INT","."&amp;K$2&amp;K$1&amp;"P"&amp;$A27)),0),IF(RTD("tos.rtd",,$A$2,"."&amp;K$2&amp;K$1&amp;"C"&amp;$A27)="N/A",0,RTD("tos.rtd",,$A$2,"."&amp;K$2&amp;K$1&amp;"C"&amp;$A27))-IF(RTD("tos.rtd",,$A$2,"."&amp;K$2&amp;K$1&amp;"P"&amp;$A27)="N/A",0,RTD("tos.rtd",,$A$2,"."&amp;K$2&amp;K$1&amp;"P"&amp;$A27)))))))))</f>
        <v>0</v>
      </c>
      <c r="L27" s="12">
        <f>IF($A$2="PREMIUM_OI",IFERROR((100*RTD("tos.rtd",,"OPEN_INT","."&amp;L$2&amp;L$1&amp;"C"&amp;$A27)*RTD("tos.rtd",,"LAST","."&amp;L$2&amp;L$1&amp;"C"&amp;$A27)-100*RTD("tos.rtd",,"OPEN_INT","."&amp;L$2&amp;L$1&amp;"P"&amp;$A27)*RTD("tos.rtd",,"LAST","."&amp;L$2&amp;L$1&amp;"P"&amp;$A27))/1000000,0),IF($A$2="PREMIUM",IFERROR((100*RTD("tos.rtd",,"VOLUME","."&amp;L$2&amp;L$1&amp;"C"&amp;$A27)*RTD("tos.rtd",,"LAST","."&amp;L$2&amp;L$1&amp;"C"&amp;$A27)-100*RTD("tos.rtd",,"VOLUME","."&amp;L$2&amp;L$1&amp;"P"&amp;$A27)*RTD("tos.rtd",,"LAST","."&amp;L$2&amp;L$1&amp;"P"&amp;$A27))/1000000,0),IF($A$2="DEX",IFERROR((100*RTD("tos.rtd",,"OPEN_INT","."&amp;L$2&amp;L$1&amp;"C"&amp;$A27)*RTD("tos.rtd",,"DELTA","."&amp;L$2&amp;L$1&amp;"C"&amp;$A27)-100*RTD("tos.rtd",,"OPEN_INT","."&amp;L$2&amp;L$1&amp;"P"&amp;$A27)*RTD("tos.rtd",,"DELTA","."&amp;L$2&amp;L$1&amp;"P"&amp;$A27))/1000,0),IF($A$2="VEX",IFERROR(($A$4*$A$4*RTD("tos.rtd",,"VOLUME","."&amp;L$2&amp;L$1&amp;"C"&amp;$A27)*RTD("tos.rtd",,"GAMMA","."&amp;L$2&amp;L$1&amp;"C"&amp;$A27)-$A$4*$A$4*RTD("tos.rtd",,"VOLUME","."&amp;L$2&amp;L$1&amp;"P"&amp;$A27)*RTD("tos.rtd",,"GAMMA","."&amp;L$2&amp;L$1&amp;"P"&amp;$A27))/1000000,0),IF($A$2="GEX",IFERROR(($A$4*$A$4*RTD("tos.rtd",,"OPEN_INT","."&amp;L$2&amp;L$1&amp;"C"&amp;$A27)*RTD("tos.rtd",,"GAMMA","."&amp;L$2&amp;L$1&amp;"C"&amp;$A27)-$A$4*$A$4*RTD("tos.rtd",,"OPEN_INT","."&amp;L$2&amp;L$1&amp;"P"&amp;$A27)*RTD("tos.rtd",,"GAMMA","."&amp;L$2&amp;L$1&amp;"P"&amp;$A27))/1000000,0),IF($A$2="SKEW",IFERROR(VALUE(IF(RTD("tos.rtd",,"IMPL_VOL","."&amp;L$2&amp;L$1&amp;"P"&amp;$A27)="N/A",0,RTD("tos.rtd",,"IMPL_VOL","."&amp;L$2&amp;L$1&amp;"P"&amp;$A27))),0)-IFERROR(VALUE(IF(RTD("tos.rtd",,"IMPL_VOL","."&amp;L$2&amp;L$1&amp;"C"&amp;$A27)="N/A",0,RTD("tos.rtd",,"IMPL_VOL","."&amp;L$2&amp;L$1&amp;"C"&amp;$A27))),0),IF($A$2="MAXPAIN",IF($A$4&gt;$A27,($A$4-$A27)*IF(RTD("tos.rtd",,"OPEN_INT","."&amp;L$2&amp;L$1&amp;"C"&amp;$A27)="N/A",0,RTD("tos.rtd",,"OPEN_INT","."&amp;L$2&amp;L$1&amp;"C"&amp;$A27)),0)+IF($A$4&lt;$A27,($A27-$A$4)*IF(RTD("tos.rtd",,"OPEN_INT","."&amp;L$2&amp;L$1&amp;"P"&amp;$A27)="N/A",0,RTD("tos.rtd",,"OPEN_INT","."&amp;L$2&amp;L$1&amp;"P"&amp;$A27)),0),IF(RTD("tos.rtd",,$A$2,"."&amp;L$2&amp;L$1&amp;"C"&amp;$A27)="N/A",0,RTD("tos.rtd",,$A$2,"."&amp;L$2&amp;L$1&amp;"C"&amp;$A27))-IF(RTD("tos.rtd",,$A$2,"."&amp;L$2&amp;L$1&amp;"P"&amp;$A27)="N/A",0,RTD("tos.rtd",,$A$2,"."&amp;L$2&amp;L$1&amp;"P"&amp;$A27)))))))))</f>
        <v>0</v>
      </c>
      <c r="M27" s="12">
        <f>IF($A$2="PREMIUM_OI",IFERROR((100*RTD("tos.rtd",,"OPEN_INT","."&amp;M$2&amp;M$1&amp;"C"&amp;$A27)*RTD("tos.rtd",,"LAST","."&amp;M$2&amp;M$1&amp;"C"&amp;$A27)-100*RTD("tos.rtd",,"OPEN_INT","."&amp;M$2&amp;M$1&amp;"P"&amp;$A27)*RTD("tos.rtd",,"LAST","."&amp;M$2&amp;M$1&amp;"P"&amp;$A27))/1000000,0),IF($A$2="PREMIUM",IFERROR((100*RTD("tos.rtd",,"VOLUME","."&amp;M$2&amp;M$1&amp;"C"&amp;$A27)*RTD("tos.rtd",,"LAST","."&amp;M$2&amp;M$1&amp;"C"&amp;$A27)-100*RTD("tos.rtd",,"VOLUME","."&amp;M$2&amp;M$1&amp;"P"&amp;$A27)*RTD("tos.rtd",,"LAST","."&amp;M$2&amp;M$1&amp;"P"&amp;$A27))/1000000,0),IF($A$2="DEX",IFERROR((100*RTD("tos.rtd",,"OPEN_INT","."&amp;M$2&amp;M$1&amp;"C"&amp;$A27)*RTD("tos.rtd",,"DELTA","."&amp;M$2&amp;M$1&amp;"C"&amp;$A27)-100*RTD("tos.rtd",,"OPEN_INT","."&amp;M$2&amp;M$1&amp;"P"&amp;$A27)*RTD("tos.rtd",,"DELTA","."&amp;M$2&amp;M$1&amp;"P"&amp;$A27))/1000,0),IF($A$2="VEX",IFERROR(($A$4*$A$4*RTD("tos.rtd",,"VOLUME","."&amp;M$2&amp;M$1&amp;"C"&amp;$A27)*RTD("tos.rtd",,"GAMMA","."&amp;M$2&amp;M$1&amp;"C"&amp;$A27)-$A$4*$A$4*RTD("tos.rtd",,"VOLUME","."&amp;M$2&amp;M$1&amp;"P"&amp;$A27)*RTD("tos.rtd",,"GAMMA","."&amp;M$2&amp;M$1&amp;"P"&amp;$A27))/1000000,0),IF($A$2="GEX",IFERROR(($A$4*$A$4*RTD("tos.rtd",,"OPEN_INT","."&amp;M$2&amp;M$1&amp;"C"&amp;$A27)*RTD("tos.rtd",,"GAMMA","."&amp;M$2&amp;M$1&amp;"C"&amp;$A27)-$A$4*$A$4*RTD("tos.rtd",,"OPEN_INT","."&amp;M$2&amp;M$1&amp;"P"&amp;$A27)*RTD("tos.rtd",,"GAMMA","."&amp;M$2&amp;M$1&amp;"P"&amp;$A27))/1000000,0),IF($A$2="SKEW",IFERROR(VALUE(IF(RTD("tos.rtd",,"IMPL_VOL","."&amp;M$2&amp;M$1&amp;"P"&amp;$A27)="N/A",0,RTD("tos.rtd",,"IMPL_VOL","."&amp;M$2&amp;M$1&amp;"P"&amp;$A27))),0)-IFERROR(VALUE(IF(RTD("tos.rtd",,"IMPL_VOL","."&amp;M$2&amp;M$1&amp;"C"&amp;$A27)="N/A",0,RTD("tos.rtd",,"IMPL_VOL","."&amp;M$2&amp;M$1&amp;"C"&amp;$A27))),0),IF($A$2="MAXPAIN",IF($A$4&gt;$A27,($A$4-$A27)*IF(RTD("tos.rtd",,"OPEN_INT","."&amp;M$2&amp;M$1&amp;"C"&amp;$A27)="N/A",0,RTD("tos.rtd",,"OPEN_INT","."&amp;M$2&amp;M$1&amp;"C"&amp;$A27)),0)+IF($A$4&lt;$A27,($A27-$A$4)*IF(RTD("tos.rtd",,"OPEN_INT","."&amp;M$2&amp;M$1&amp;"P"&amp;$A27)="N/A",0,RTD("tos.rtd",,"OPEN_INT","."&amp;M$2&amp;M$1&amp;"P"&amp;$A27)),0),IF(RTD("tos.rtd",,$A$2,"."&amp;M$2&amp;M$1&amp;"C"&amp;$A27)="N/A",0,RTD("tos.rtd",,$A$2,"."&amp;M$2&amp;M$1&amp;"C"&amp;$A27))-IF(RTD("tos.rtd",,$A$2,"."&amp;M$2&amp;M$1&amp;"P"&amp;$A27)="N/A",0,RTD("tos.rtd",,$A$2,"."&amp;M$2&amp;M$1&amp;"P"&amp;$A27)))))))))</f>
        <v>22209</v>
      </c>
      <c r="N27" s="12">
        <f>IF($A$2="PREMIUM_OI",IFERROR((100*RTD("tos.rtd",,"OPEN_INT","."&amp;N$2&amp;N$1&amp;"C"&amp;$A27)*RTD("tos.rtd",,"LAST","."&amp;N$2&amp;N$1&amp;"C"&amp;$A27)-100*RTD("tos.rtd",,"OPEN_INT","."&amp;N$2&amp;N$1&amp;"P"&amp;$A27)*RTD("tos.rtd",,"LAST","."&amp;N$2&amp;N$1&amp;"P"&amp;$A27))/1000000,0),IF($A$2="PREMIUM",IFERROR((100*RTD("tos.rtd",,"VOLUME","."&amp;N$2&amp;N$1&amp;"C"&amp;$A27)*RTD("tos.rtd",,"LAST","."&amp;N$2&amp;N$1&amp;"C"&amp;$A27)-100*RTD("tos.rtd",,"VOLUME","."&amp;N$2&amp;N$1&amp;"P"&amp;$A27)*RTD("tos.rtd",,"LAST","."&amp;N$2&amp;N$1&amp;"P"&amp;$A27))/1000000,0),IF($A$2="DEX",IFERROR((100*RTD("tos.rtd",,"OPEN_INT","."&amp;N$2&amp;N$1&amp;"C"&amp;$A27)*RTD("tos.rtd",,"DELTA","."&amp;N$2&amp;N$1&amp;"C"&amp;$A27)-100*RTD("tos.rtd",,"OPEN_INT","."&amp;N$2&amp;N$1&amp;"P"&amp;$A27)*RTD("tos.rtd",,"DELTA","."&amp;N$2&amp;N$1&amp;"P"&amp;$A27))/1000,0),IF($A$2="VEX",IFERROR(($A$4*$A$4*RTD("tos.rtd",,"VOLUME","."&amp;N$2&amp;N$1&amp;"C"&amp;$A27)*RTD("tos.rtd",,"GAMMA","."&amp;N$2&amp;N$1&amp;"C"&amp;$A27)-$A$4*$A$4*RTD("tos.rtd",,"VOLUME","."&amp;N$2&amp;N$1&amp;"P"&amp;$A27)*RTD("tos.rtd",,"GAMMA","."&amp;N$2&amp;N$1&amp;"P"&amp;$A27))/1000000,0),IF($A$2="GEX",IFERROR(($A$4*$A$4*RTD("tos.rtd",,"OPEN_INT","."&amp;N$2&amp;N$1&amp;"C"&amp;$A27)*RTD("tos.rtd",,"GAMMA","."&amp;N$2&amp;N$1&amp;"C"&amp;$A27)-$A$4*$A$4*RTD("tos.rtd",,"OPEN_INT","."&amp;N$2&amp;N$1&amp;"P"&amp;$A27)*RTD("tos.rtd",,"GAMMA","."&amp;N$2&amp;N$1&amp;"P"&amp;$A27))/1000000,0),IF($A$2="SKEW",IFERROR(VALUE(IF(RTD("tos.rtd",,"IMPL_VOL","."&amp;N$2&amp;N$1&amp;"P"&amp;$A27)="N/A",0,RTD("tos.rtd",,"IMPL_VOL","."&amp;N$2&amp;N$1&amp;"P"&amp;$A27))),0)-IFERROR(VALUE(IF(RTD("tos.rtd",,"IMPL_VOL","."&amp;N$2&amp;N$1&amp;"C"&amp;$A27)="N/A",0,RTD("tos.rtd",,"IMPL_VOL","."&amp;N$2&amp;N$1&amp;"C"&amp;$A27))),0),IF($A$2="MAXPAIN",IF($A$4&gt;$A27,($A$4-$A27)*IF(RTD("tos.rtd",,"OPEN_INT","."&amp;N$2&amp;N$1&amp;"C"&amp;$A27)="N/A",0,RTD("tos.rtd",,"OPEN_INT","."&amp;N$2&amp;N$1&amp;"C"&amp;$A27)),0)+IF($A$4&lt;$A27,($A27-$A$4)*IF(RTD("tos.rtd",,"OPEN_INT","."&amp;N$2&amp;N$1&amp;"P"&amp;$A27)="N/A",0,RTD("tos.rtd",,"OPEN_INT","."&amp;N$2&amp;N$1&amp;"P"&amp;$A27)),0),IF(RTD("tos.rtd",,$A$2,"."&amp;N$2&amp;N$1&amp;"C"&amp;$A27)="N/A",0,RTD("tos.rtd",,$A$2,"."&amp;N$2&amp;N$1&amp;"C"&amp;$A27))-IF(RTD("tos.rtd",,$A$2,"."&amp;N$2&amp;N$1&amp;"P"&amp;$A27)="N/A",0,RTD("tos.rtd",,$A$2,"."&amp;N$2&amp;N$1&amp;"P"&amp;$A27)))))))))</f>
        <v>0</v>
      </c>
      <c r="O27" s="12">
        <f>IF($A$2="PREMIUM_OI",IFERROR((100*RTD("tos.rtd",,"OPEN_INT","."&amp;O$2&amp;O$1&amp;"C"&amp;$A27)*RTD("tos.rtd",,"LAST","."&amp;O$2&amp;O$1&amp;"C"&amp;$A27)-100*RTD("tos.rtd",,"OPEN_INT","."&amp;O$2&amp;O$1&amp;"P"&amp;$A27)*RTD("tos.rtd",,"LAST","."&amp;O$2&amp;O$1&amp;"P"&amp;$A27))/1000000,0),IF($A$2="PREMIUM",IFERROR((100*RTD("tos.rtd",,"VOLUME","."&amp;O$2&amp;O$1&amp;"C"&amp;$A27)*RTD("tos.rtd",,"LAST","."&amp;O$2&amp;O$1&amp;"C"&amp;$A27)-100*RTD("tos.rtd",,"VOLUME","."&amp;O$2&amp;O$1&amp;"P"&amp;$A27)*RTD("tos.rtd",,"LAST","."&amp;O$2&amp;O$1&amp;"P"&amp;$A27))/1000000,0),IF($A$2="DEX",IFERROR((100*RTD("tos.rtd",,"OPEN_INT","."&amp;O$2&amp;O$1&amp;"C"&amp;$A27)*RTD("tos.rtd",,"DELTA","."&amp;O$2&amp;O$1&amp;"C"&amp;$A27)-100*RTD("tos.rtd",,"OPEN_INT","."&amp;O$2&amp;O$1&amp;"P"&amp;$A27)*RTD("tos.rtd",,"DELTA","."&amp;O$2&amp;O$1&amp;"P"&amp;$A27))/1000,0),IF($A$2="VEX",IFERROR(($A$4*$A$4*RTD("tos.rtd",,"VOLUME","."&amp;O$2&amp;O$1&amp;"C"&amp;$A27)*RTD("tos.rtd",,"GAMMA","."&amp;O$2&amp;O$1&amp;"C"&amp;$A27)-$A$4*$A$4*RTD("tos.rtd",,"VOLUME","."&amp;O$2&amp;O$1&amp;"P"&amp;$A27)*RTD("tos.rtd",,"GAMMA","."&amp;O$2&amp;O$1&amp;"P"&amp;$A27))/1000000,0),IF($A$2="GEX",IFERROR(($A$4*$A$4*RTD("tos.rtd",,"OPEN_INT","."&amp;O$2&amp;O$1&amp;"C"&amp;$A27)*RTD("tos.rtd",,"GAMMA","."&amp;O$2&amp;O$1&amp;"C"&amp;$A27)-$A$4*$A$4*RTD("tos.rtd",,"OPEN_INT","."&amp;O$2&amp;O$1&amp;"P"&amp;$A27)*RTD("tos.rtd",,"GAMMA","."&amp;O$2&amp;O$1&amp;"P"&amp;$A27))/1000000,0),IF($A$2="SKEW",IFERROR(VALUE(IF(RTD("tos.rtd",,"IMPL_VOL","."&amp;O$2&amp;O$1&amp;"P"&amp;$A27)="N/A",0,RTD("tos.rtd",,"IMPL_VOL","."&amp;O$2&amp;O$1&amp;"P"&amp;$A27))),0)-IFERROR(VALUE(IF(RTD("tos.rtd",,"IMPL_VOL","."&amp;O$2&amp;O$1&amp;"C"&amp;$A27)="N/A",0,RTD("tos.rtd",,"IMPL_VOL","."&amp;O$2&amp;O$1&amp;"C"&amp;$A27))),0),IF($A$2="MAXPAIN",IF($A$4&gt;$A27,($A$4-$A27)*IF(RTD("tos.rtd",,"OPEN_INT","."&amp;O$2&amp;O$1&amp;"C"&amp;$A27)="N/A",0,RTD("tos.rtd",,"OPEN_INT","."&amp;O$2&amp;O$1&amp;"C"&amp;$A27)),0)+IF($A$4&lt;$A27,($A27-$A$4)*IF(RTD("tos.rtd",,"OPEN_INT","."&amp;O$2&amp;O$1&amp;"P"&amp;$A27)="N/A",0,RTD("tos.rtd",,"OPEN_INT","."&amp;O$2&amp;O$1&amp;"P"&amp;$A27)),0),IF(RTD("tos.rtd",,$A$2,"."&amp;O$2&amp;O$1&amp;"C"&amp;$A27)="N/A",0,RTD("tos.rtd",,$A$2,"."&amp;O$2&amp;O$1&amp;"C"&amp;$A27))-IF(RTD("tos.rtd",,$A$2,"."&amp;O$2&amp;O$1&amp;"P"&amp;$A27)="N/A",0,RTD("tos.rtd",,$A$2,"."&amp;O$2&amp;O$1&amp;"P"&amp;$A27)))))))))</f>
        <v>0</v>
      </c>
      <c r="P27" s="12">
        <f>IF($A$2="PREMIUM_OI",IFERROR((100*RTD("tos.rtd",,"OPEN_INT","."&amp;P$2&amp;P$1&amp;"C"&amp;$A27)*RTD("tos.rtd",,"LAST","."&amp;P$2&amp;P$1&amp;"C"&amp;$A27)-100*RTD("tos.rtd",,"OPEN_INT","."&amp;P$2&amp;P$1&amp;"P"&amp;$A27)*RTD("tos.rtd",,"LAST","."&amp;P$2&amp;P$1&amp;"P"&amp;$A27))/1000000,0),IF($A$2="PREMIUM",IFERROR((100*RTD("tos.rtd",,"VOLUME","."&amp;P$2&amp;P$1&amp;"C"&amp;$A27)*RTD("tos.rtd",,"LAST","."&amp;P$2&amp;P$1&amp;"C"&amp;$A27)-100*RTD("tos.rtd",,"VOLUME","."&amp;P$2&amp;P$1&amp;"P"&amp;$A27)*RTD("tos.rtd",,"LAST","."&amp;P$2&amp;P$1&amp;"P"&amp;$A27))/1000000,0),IF($A$2="DEX",IFERROR((100*RTD("tos.rtd",,"OPEN_INT","."&amp;P$2&amp;P$1&amp;"C"&amp;$A27)*RTD("tos.rtd",,"DELTA","."&amp;P$2&amp;P$1&amp;"C"&amp;$A27)-100*RTD("tos.rtd",,"OPEN_INT","."&amp;P$2&amp;P$1&amp;"P"&amp;$A27)*RTD("tos.rtd",,"DELTA","."&amp;P$2&amp;P$1&amp;"P"&amp;$A27))/1000,0),IF($A$2="VEX",IFERROR(($A$4*$A$4*RTD("tos.rtd",,"VOLUME","."&amp;P$2&amp;P$1&amp;"C"&amp;$A27)*RTD("tos.rtd",,"GAMMA","."&amp;P$2&amp;P$1&amp;"C"&amp;$A27)-$A$4*$A$4*RTD("tos.rtd",,"VOLUME","."&amp;P$2&amp;P$1&amp;"P"&amp;$A27)*RTD("tos.rtd",,"GAMMA","."&amp;P$2&amp;P$1&amp;"P"&amp;$A27))/1000000,0),IF($A$2="GEX",IFERROR(($A$4*$A$4*RTD("tos.rtd",,"OPEN_INT","."&amp;P$2&amp;P$1&amp;"C"&amp;$A27)*RTD("tos.rtd",,"GAMMA","."&amp;P$2&amp;P$1&amp;"C"&amp;$A27)-$A$4*$A$4*RTD("tos.rtd",,"OPEN_INT","."&amp;P$2&amp;P$1&amp;"P"&amp;$A27)*RTD("tos.rtd",,"GAMMA","."&amp;P$2&amp;P$1&amp;"P"&amp;$A27))/1000000,0),IF($A$2="SKEW",IFERROR(VALUE(IF(RTD("tos.rtd",,"IMPL_VOL","."&amp;P$2&amp;P$1&amp;"P"&amp;$A27)="N/A",0,RTD("tos.rtd",,"IMPL_VOL","."&amp;P$2&amp;P$1&amp;"P"&amp;$A27))),0)-IFERROR(VALUE(IF(RTD("tos.rtd",,"IMPL_VOL","."&amp;P$2&amp;P$1&amp;"C"&amp;$A27)="N/A",0,RTD("tos.rtd",,"IMPL_VOL","."&amp;P$2&amp;P$1&amp;"C"&amp;$A27))),0),IF($A$2="MAXPAIN",IF($A$4&gt;$A27,($A$4-$A27)*IF(RTD("tos.rtd",,"OPEN_INT","."&amp;P$2&amp;P$1&amp;"C"&amp;$A27)="N/A",0,RTD("tos.rtd",,"OPEN_INT","."&amp;P$2&amp;P$1&amp;"C"&amp;$A27)),0)+IF($A$4&lt;$A27,($A27-$A$4)*IF(RTD("tos.rtd",,"OPEN_INT","."&amp;P$2&amp;P$1&amp;"P"&amp;$A27)="N/A",0,RTD("tos.rtd",,"OPEN_INT","."&amp;P$2&amp;P$1&amp;"P"&amp;$A27)),0),IF(RTD("tos.rtd",,$A$2,"."&amp;P$2&amp;P$1&amp;"C"&amp;$A27)="N/A",0,RTD("tos.rtd",,$A$2,"."&amp;P$2&amp;P$1&amp;"C"&amp;$A27))-IF(RTD("tos.rtd",,$A$2,"."&amp;P$2&amp;P$1&amp;"P"&amp;$A27)="N/A",0,RTD("tos.rtd",,$A$2,"."&amp;P$2&amp;P$1&amp;"P"&amp;$A27)))))))))</f>
        <v>0</v>
      </c>
      <c r="Q27" s="12">
        <f>IF($A$2="PREMIUM_OI",IFERROR((100*RTD("tos.rtd",,"OPEN_INT","."&amp;Q$2&amp;Q$1&amp;"C"&amp;$A27)*RTD("tos.rtd",,"LAST","."&amp;Q$2&amp;Q$1&amp;"C"&amp;$A27)-100*RTD("tos.rtd",,"OPEN_INT","."&amp;Q$2&amp;Q$1&amp;"P"&amp;$A27)*RTD("tos.rtd",,"LAST","."&amp;Q$2&amp;Q$1&amp;"P"&amp;$A27))/1000000,0),IF($A$2="PREMIUM",IFERROR((100*RTD("tos.rtd",,"VOLUME","."&amp;Q$2&amp;Q$1&amp;"C"&amp;$A27)*RTD("tos.rtd",,"LAST","."&amp;Q$2&amp;Q$1&amp;"C"&amp;$A27)-100*RTD("tos.rtd",,"VOLUME","."&amp;Q$2&amp;Q$1&amp;"P"&amp;$A27)*RTD("tos.rtd",,"LAST","."&amp;Q$2&amp;Q$1&amp;"P"&amp;$A27))/1000000,0),IF($A$2="DEX",IFERROR((100*RTD("tos.rtd",,"OPEN_INT","."&amp;Q$2&amp;Q$1&amp;"C"&amp;$A27)*RTD("tos.rtd",,"DELTA","."&amp;Q$2&amp;Q$1&amp;"C"&amp;$A27)-100*RTD("tos.rtd",,"OPEN_INT","."&amp;Q$2&amp;Q$1&amp;"P"&amp;$A27)*RTD("tos.rtd",,"DELTA","."&amp;Q$2&amp;Q$1&amp;"P"&amp;$A27))/1000,0),IF($A$2="VEX",IFERROR(($A$4*$A$4*RTD("tos.rtd",,"VOLUME","."&amp;Q$2&amp;Q$1&amp;"C"&amp;$A27)*RTD("tos.rtd",,"GAMMA","."&amp;Q$2&amp;Q$1&amp;"C"&amp;$A27)-$A$4*$A$4*RTD("tos.rtd",,"VOLUME","."&amp;Q$2&amp;Q$1&amp;"P"&amp;$A27)*RTD("tos.rtd",,"GAMMA","."&amp;Q$2&amp;Q$1&amp;"P"&amp;$A27))/1000000,0),IF($A$2="GEX",IFERROR(($A$4*$A$4*RTD("tos.rtd",,"OPEN_INT","."&amp;Q$2&amp;Q$1&amp;"C"&amp;$A27)*RTD("tos.rtd",,"GAMMA","."&amp;Q$2&amp;Q$1&amp;"C"&amp;$A27)-$A$4*$A$4*RTD("tos.rtd",,"OPEN_INT","."&amp;Q$2&amp;Q$1&amp;"P"&amp;$A27)*RTD("tos.rtd",,"GAMMA","."&amp;Q$2&amp;Q$1&amp;"P"&amp;$A27))/1000000,0),IF($A$2="SKEW",IFERROR(VALUE(IF(RTD("tos.rtd",,"IMPL_VOL","."&amp;Q$2&amp;Q$1&amp;"P"&amp;$A27)="N/A",0,RTD("tos.rtd",,"IMPL_VOL","."&amp;Q$2&amp;Q$1&amp;"P"&amp;$A27))),0)-IFERROR(VALUE(IF(RTD("tos.rtd",,"IMPL_VOL","."&amp;Q$2&amp;Q$1&amp;"C"&amp;$A27)="N/A",0,RTD("tos.rtd",,"IMPL_VOL","."&amp;Q$2&amp;Q$1&amp;"C"&amp;$A27))),0),IF($A$2="MAXPAIN",IF($A$4&gt;$A27,($A$4-$A27)*IF(RTD("tos.rtd",,"OPEN_INT","."&amp;Q$2&amp;Q$1&amp;"C"&amp;$A27)="N/A",0,RTD("tos.rtd",,"OPEN_INT","."&amp;Q$2&amp;Q$1&amp;"C"&amp;$A27)),0)+IF($A$4&lt;$A27,($A27-$A$4)*IF(RTD("tos.rtd",,"OPEN_INT","."&amp;Q$2&amp;Q$1&amp;"P"&amp;$A27)="N/A",0,RTD("tos.rtd",,"OPEN_INT","."&amp;Q$2&amp;Q$1&amp;"P"&amp;$A27)),0),IF(RTD("tos.rtd",,$A$2,"."&amp;Q$2&amp;Q$1&amp;"C"&amp;$A27)="N/A",0,RTD("tos.rtd",,$A$2,"."&amp;Q$2&amp;Q$1&amp;"C"&amp;$A27))-IF(RTD("tos.rtd",,$A$2,"."&amp;Q$2&amp;Q$1&amp;"P"&amp;$A27)="N/A",0,RTD("tos.rtd",,$A$2,"."&amp;Q$2&amp;Q$1&amp;"P"&amp;$A27)))))))))</f>
        <v>0</v>
      </c>
      <c r="R27" s="12">
        <f>IF($A$2="PREMIUM_OI",IFERROR((100*RTD("tos.rtd",,"OPEN_INT","."&amp;R$2&amp;R$1&amp;"C"&amp;$A27)*RTD("tos.rtd",,"LAST","."&amp;R$2&amp;R$1&amp;"C"&amp;$A27)-100*RTD("tos.rtd",,"OPEN_INT","."&amp;R$2&amp;R$1&amp;"P"&amp;$A27)*RTD("tos.rtd",,"LAST","."&amp;R$2&amp;R$1&amp;"P"&amp;$A27))/1000000,0),IF($A$2="PREMIUM",IFERROR((100*RTD("tos.rtd",,"VOLUME","."&amp;R$2&amp;R$1&amp;"C"&amp;$A27)*RTD("tos.rtd",,"LAST","."&amp;R$2&amp;R$1&amp;"C"&amp;$A27)-100*RTD("tos.rtd",,"VOLUME","."&amp;R$2&amp;R$1&amp;"P"&amp;$A27)*RTD("tos.rtd",,"LAST","."&amp;R$2&amp;R$1&amp;"P"&amp;$A27))/1000000,0),IF($A$2="DEX",IFERROR((100*RTD("tos.rtd",,"OPEN_INT","."&amp;R$2&amp;R$1&amp;"C"&amp;$A27)*RTD("tos.rtd",,"DELTA","."&amp;R$2&amp;R$1&amp;"C"&amp;$A27)-100*RTD("tos.rtd",,"OPEN_INT","."&amp;R$2&amp;R$1&amp;"P"&amp;$A27)*RTD("tos.rtd",,"DELTA","."&amp;R$2&amp;R$1&amp;"P"&amp;$A27))/1000,0),IF($A$2="VEX",IFERROR(($A$4*$A$4*RTD("tos.rtd",,"VOLUME","."&amp;R$2&amp;R$1&amp;"C"&amp;$A27)*RTD("tos.rtd",,"GAMMA","."&amp;R$2&amp;R$1&amp;"C"&amp;$A27)-$A$4*$A$4*RTD("tos.rtd",,"VOLUME","."&amp;R$2&amp;R$1&amp;"P"&amp;$A27)*RTD("tos.rtd",,"GAMMA","."&amp;R$2&amp;R$1&amp;"P"&amp;$A27))/1000000,0),IF($A$2="GEX",IFERROR(($A$4*$A$4*RTD("tos.rtd",,"OPEN_INT","."&amp;R$2&amp;R$1&amp;"C"&amp;$A27)*RTD("tos.rtd",,"GAMMA","."&amp;R$2&amp;R$1&amp;"C"&amp;$A27)-$A$4*$A$4*RTD("tos.rtd",,"OPEN_INT","."&amp;R$2&amp;R$1&amp;"P"&amp;$A27)*RTD("tos.rtd",,"GAMMA","."&amp;R$2&amp;R$1&amp;"P"&amp;$A27))/1000000,0),IF($A$2="SKEW",IFERROR(VALUE(IF(RTD("tos.rtd",,"IMPL_VOL","."&amp;R$2&amp;R$1&amp;"P"&amp;$A27)="N/A",0,RTD("tos.rtd",,"IMPL_VOL","."&amp;R$2&amp;R$1&amp;"P"&amp;$A27))),0)-IFERROR(VALUE(IF(RTD("tos.rtd",,"IMPL_VOL","."&amp;R$2&amp;R$1&amp;"C"&amp;$A27)="N/A",0,RTD("tos.rtd",,"IMPL_VOL","."&amp;R$2&amp;R$1&amp;"C"&amp;$A27))),0),IF($A$2="MAXPAIN",IF($A$4&gt;$A27,($A$4-$A27)*IF(RTD("tos.rtd",,"OPEN_INT","."&amp;R$2&amp;R$1&amp;"C"&amp;$A27)="N/A",0,RTD("tos.rtd",,"OPEN_INT","."&amp;R$2&amp;R$1&amp;"C"&amp;$A27)),0)+IF($A$4&lt;$A27,($A27-$A$4)*IF(RTD("tos.rtd",,"OPEN_INT","."&amp;R$2&amp;R$1&amp;"P"&amp;$A27)="N/A",0,RTD("tos.rtd",,"OPEN_INT","."&amp;R$2&amp;R$1&amp;"P"&amp;$A27)),0),IF(RTD("tos.rtd",,$A$2,"."&amp;R$2&amp;R$1&amp;"C"&amp;$A27)="N/A",0,RTD("tos.rtd",,$A$2,"."&amp;R$2&amp;R$1&amp;"C"&amp;$A27))-IF(RTD("tos.rtd",,$A$2,"."&amp;R$2&amp;R$1&amp;"P"&amp;$A27)="N/A",0,RTD("tos.rtd",,$A$2,"."&amp;R$2&amp;R$1&amp;"P"&amp;$A27)))))))))</f>
        <v>67606</v>
      </c>
      <c r="S27" s="12">
        <f>IF($A$2="PREMIUM_OI",IFERROR((100*RTD("tos.rtd",,"OPEN_INT","."&amp;S$2&amp;S$1&amp;"C"&amp;$A27)*RTD("tos.rtd",,"LAST","."&amp;S$2&amp;S$1&amp;"C"&amp;$A27)-100*RTD("tos.rtd",,"OPEN_INT","."&amp;S$2&amp;S$1&amp;"P"&amp;$A27)*RTD("tos.rtd",,"LAST","."&amp;S$2&amp;S$1&amp;"P"&amp;$A27))/1000000,0),IF($A$2="PREMIUM",IFERROR((100*RTD("tos.rtd",,"VOLUME","."&amp;S$2&amp;S$1&amp;"C"&amp;$A27)*RTD("tos.rtd",,"LAST","."&amp;S$2&amp;S$1&amp;"C"&amp;$A27)-100*RTD("tos.rtd",,"VOLUME","."&amp;S$2&amp;S$1&amp;"P"&amp;$A27)*RTD("tos.rtd",,"LAST","."&amp;S$2&amp;S$1&amp;"P"&amp;$A27))/1000000,0),IF($A$2="DEX",IFERROR((100*RTD("tos.rtd",,"OPEN_INT","."&amp;S$2&amp;S$1&amp;"C"&amp;$A27)*RTD("tos.rtd",,"DELTA","."&amp;S$2&amp;S$1&amp;"C"&amp;$A27)-100*RTD("tos.rtd",,"OPEN_INT","."&amp;S$2&amp;S$1&amp;"P"&amp;$A27)*RTD("tos.rtd",,"DELTA","."&amp;S$2&amp;S$1&amp;"P"&amp;$A27))/1000,0),IF($A$2="VEX",IFERROR(($A$4*$A$4*RTD("tos.rtd",,"VOLUME","."&amp;S$2&amp;S$1&amp;"C"&amp;$A27)*RTD("tos.rtd",,"GAMMA","."&amp;S$2&amp;S$1&amp;"C"&amp;$A27)-$A$4*$A$4*RTD("tos.rtd",,"VOLUME","."&amp;S$2&amp;S$1&amp;"P"&amp;$A27)*RTD("tos.rtd",,"GAMMA","."&amp;S$2&amp;S$1&amp;"P"&amp;$A27))/1000000,0),IF($A$2="GEX",IFERROR(($A$4*$A$4*RTD("tos.rtd",,"OPEN_INT","."&amp;S$2&amp;S$1&amp;"C"&amp;$A27)*RTD("tos.rtd",,"GAMMA","."&amp;S$2&amp;S$1&amp;"C"&amp;$A27)-$A$4*$A$4*RTD("tos.rtd",,"OPEN_INT","."&amp;S$2&amp;S$1&amp;"P"&amp;$A27)*RTD("tos.rtd",,"GAMMA","."&amp;S$2&amp;S$1&amp;"P"&amp;$A27))/1000000,0),IF($A$2="SKEW",IFERROR(VALUE(IF(RTD("tos.rtd",,"IMPL_VOL","."&amp;S$2&amp;S$1&amp;"P"&amp;$A27)="N/A",0,RTD("tos.rtd",,"IMPL_VOL","."&amp;S$2&amp;S$1&amp;"P"&amp;$A27))),0)-IFERROR(VALUE(IF(RTD("tos.rtd",,"IMPL_VOL","."&amp;S$2&amp;S$1&amp;"C"&amp;$A27)="N/A",0,RTD("tos.rtd",,"IMPL_VOL","."&amp;S$2&amp;S$1&amp;"C"&amp;$A27))),0),IF($A$2="MAXPAIN",IF($A$4&gt;$A27,($A$4-$A27)*IF(RTD("tos.rtd",,"OPEN_INT","."&amp;S$2&amp;S$1&amp;"C"&amp;$A27)="N/A",0,RTD("tos.rtd",,"OPEN_INT","."&amp;S$2&amp;S$1&amp;"C"&amp;$A27)),0)+IF($A$4&lt;$A27,($A27-$A$4)*IF(RTD("tos.rtd",,"OPEN_INT","."&amp;S$2&amp;S$1&amp;"P"&amp;$A27)="N/A",0,RTD("tos.rtd",,"OPEN_INT","."&amp;S$2&amp;S$1&amp;"P"&amp;$A27)),0),IF(RTD("tos.rtd",,$A$2,"."&amp;S$2&amp;S$1&amp;"C"&amp;$A27)="N/A",0,RTD("tos.rtd",,$A$2,"."&amp;S$2&amp;S$1&amp;"C"&amp;$A27))-IF(RTD("tos.rtd",,$A$2,"."&amp;S$2&amp;S$1&amp;"P"&amp;$A27)="N/A",0,RTD("tos.rtd",,$A$2,"."&amp;S$2&amp;S$1&amp;"P"&amp;$A27)))))))))</f>
        <v>7085</v>
      </c>
      <c r="T27" s="12">
        <f>IF($A$2="PREMIUM_OI",IFERROR((100*RTD("tos.rtd",,"OPEN_INT","."&amp;T$2&amp;T$1&amp;"C"&amp;$A27)*RTD("tos.rtd",,"LAST","."&amp;T$2&amp;T$1&amp;"C"&amp;$A27)-100*RTD("tos.rtd",,"OPEN_INT","."&amp;T$2&amp;T$1&amp;"P"&amp;$A27)*RTD("tos.rtd",,"LAST","."&amp;T$2&amp;T$1&amp;"P"&amp;$A27))/1000000,0),IF($A$2="PREMIUM",IFERROR((100*RTD("tos.rtd",,"VOLUME","."&amp;T$2&amp;T$1&amp;"C"&amp;$A27)*RTD("tos.rtd",,"LAST","."&amp;T$2&amp;T$1&amp;"C"&amp;$A27)-100*RTD("tos.rtd",,"VOLUME","."&amp;T$2&amp;T$1&amp;"P"&amp;$A27)*RTD("tos.rtd",,"LAST","."&amp;T$2&amp;T$1&amp;"P"&amp;$A27))/1000000,0),IF($A$2="DEX",IFERROR((100*RTD("tos.rtd",,"OPEN_INT","."&amp;T$2&amp;T$1&amp;"C"&amp;$A27)*RTD("tos.rtd",,"DELTA","."&amp;T$2&amp;T$1&amp;"C"&amp;$A27)-100*RTD("tos.rtd",,"OPEN_INT","."&amp;T$2&amp;T$1&amp;"P"&amp;$A27)*RTD("tos.rtd",,"DELTA","."&amp;T$2&amp;T$1&amp;"P"&amp;$A27))/1000,0),IF($A$2="VEX",IFERROR(($A$4*$A$4*RTD("tos.rtd",,"VOLUME","."&amp;T$2&amp;T$1&amp;"C"&amp;$A27)*RTD("tos.rtd",,"GAMMA","."&amp;T$2&amp;T$1&amp;"C"&amp;$A27)-$A$4*$A$4*RTD("tos.rtd",,"VOLUME","."&amp;T$2&amp;T$1&amp;"P"&amp;$A27)*RTD("tos.rtd",,"GAMMA","."&amp;T$2&amp;T$1&amp;"P"&amp;$A27))/1000000,0),IF($A$2="GEX",IFERROR(($A$4*$A$4*RTD("tos.rtd",,"OPEN_INT","."&amp;T$2&amp;T$1&amp;"C"&amp;$A27)*RTD("tos.rtd",,"GAMMA","."&amp;T$2&amp;T$1&amp;"C"&amp;$A27)-$A$4*$A$4*RTD("tos.rtd",,"OPEN_INT","."&amp;T$2&amp;T$1&amp;"P"&amp;$A27)*RTD("tos.rtd",,"GAMMA","."&amp;T$2&amp;T$1&amp;"P"&amp;$A27))/1000000,0),IF($A$2="SKEW",IFERROR(VALUE(IF(RTD("tos.rtd",,"IMPL_VOL","."&amp;T$2&amp;T$1&amp;"P"&amp;$A27)="N/A",0,RTD("tos.rtd",,"IMPL_VOL","."&amp;T$2&amp;T$1&amp;"P"&amp;$A27))),0)-IFERROR(VALUE(IF(RTD("tos.rtd",,"IMPL_VOL","."&amp;T$2&amp;T$1&amp;"C"&amp;$A27)="N/A",0,RTD("tos.rtd",,"IMPL_VOL","."&amp;T$2&amp;T$1&amp;"C"&amp;$A27))),0),IF($A$2="MAXPAIN",IF($A$4&gt;$A27,($A$4-$A27)*IF(RTD("tos.rtd",,"OPEN_INT","."&amp;T$2&amp;T$1&amp;"C"&amp;$A27)="N/A",0,RTD("tos.rtd",,"OPEN_INT","."&amp;T$2&amp;T$1&amp;"C"&amp;$A27)),0)+IF($A$4&lt;$A27,($A27-$A$4)*IF(RTD("tos.rtd",,"OPEN_INT","."&amp;T$2&amp;T$1&amp;"P"&amp;$A27)="N/A",0,RTD("tos.rtd",,"OPEN_INT","."&amp;T$2&amp;T$1&amp;"P"&amp;$A27)),0),IF(RTD("tos.rtd",,$A$2,"."&amp;T$2&amp;T$1&amp;"C"&amp;$A27)="N/A",0,RTD("tos.rtd",,$A$2,"."&amp;T$2&amp;T$1&amp;"C"&amp;$A27))-IF(RTD("tos.rtd",,$A$2,"."&amp;T$2&amp;T$1&amp;"P"&amp;$A27)="N/A",0,RTD("tos.rtd",,$A$2,"."&amp;T$2&amp;T$1&amp;"P"&amp;$A27)))))))))</f>
        <v>3685</v>
      </c>
      <c r="U27" s="12">
        <f>IF($A$2="PREMIUM_OI",IFERROR((100*RTD("tos.rtd",,"OPEN_INT","."&amp;U$2&amp;U$1&amp;"C"&amp;$A27)*RTD("tos.rtd",,"LAST","."&amp;U$2&amp;U$1&amp;"C"&amp;$A27)-100*RTD("tos.rtd",,"OPEN_INT","."&amp;U$2&amp;U$1&amp;"P"&amp;$A27)*RTD("tos.rtd",,"LAST","."&amp;U$2&amp;U$1&amp;"P"&amp;$A27))/1000000,0),IF($A$2="PREMIUM",IFERROR((100*RTD("tos.rtd",,"VOLUME","."&amp;U$2&amp;U$1&amp;"C"&amp;$A27)*RTD("tos.rtd",,"LAST","."&amp;U$2&amp;U$1&amp;"C"&amp;$A27)-100*RTD("tos.rtd",,"VOLUME","."&amp;U$2&amp;U$1&amp;"P"&amp;$A27)*RTD("tos.rtd",,"LAST","."&amp;U$2&amp;U$1&amp;"P"&amp;$A27))/1000000,0),IF($A$2="DEX",IFERROR((100*RTD("tos.rtd",,"OPEN_INT","."&amp;U$2&amp;U$1&amp;"C"&amp;$A27)*RTD("tos.rtd",,"DELTA","."&amp;U$2&amp;U$1&amp;"C"&amp;$A27)-100*RTD("tos.rtd",,"OPEN_INT","."&amp;U$2&amp;U$1&amp;"P"&amp;$A27)*RTD("tos.rtd",,"DELTA","."&amp;U$2&amp;U$1&amp;"P"&amp;$A27))/1000,0),IF($A$2="VEX",IFERROR(($A$4*$A$4*RTD("tos.rtd",,"VOLUME","."&amp;U$2&amp;U$1&amp;"C"&amp;$A27)*RTD("tos.rtd",,"GAMMA","."&amp;U$2&amp;U$1&amp;"C"&amp;$A27)-$A$4*$A$4*RTD("tos.rtd",,"VOLUME","."&amp;U$2&amp;U$1&amp;"P"&amp;$A27)*RTD("tos.rtd",,"GAMMA","."&amp;U$2&amp;U$1&amp;"P"&amp;$A27))/1000000,0),IF($A$2="GEX",IFERROR(($A$4*$A$4*RTD("tos.rtd",,"OPEN_INT","."&amp;U$2&amp;U$1&amp;"C"&amp;$A27)*RTD("tos.rtd",,"GAMMA","."&amp;U$2&amp;U$1&amp;"C"&amp;$A27)-$A$4*$A$4*RTD("tos.rtd",,"OPEN_INT","."&amp;U$2&amp;U$1&amp;"P"&amp;$A27)*RTD("tos.rtd",,"GAMMA","."&amp;U$2&amp;U$1&amp;"P"&amp;$A27))/1000000,0),IF($A$2="SKEW",IFERROR(VALUE(IF(RTD("tos.rtd",,"IMPL_VOL","."&amp;U$2&amp;U$1&amp;"P"&amp;$A27)="N/A",0,RTD("tos.rtd",,"IMPL_VOL","."&amp;U$2&amp;U$1&amp;"P"&amp;$A27))),0)-IFERROR(VALUE(IF(RTD("tos.rtd",,"IMPL_VOL","."&amp;U$2&amp;U$1&amp;"C"&amp;$A27)="N/A",0,RTD("tos.rtd",,"IMPL_VOL","."&amp;U$2&amp;U$1&amp;"C"&amp;$A27))),0),IF($A$2="MAXPAIN",IF($A$4&gt;$A27,($A$4-$A27)*IF(RTD("tos.rtd",,"OPEN_INT","."&amp;U$2&amp;U$1&amp;"C"&amp;$A27)="N/A",0,RTD("tos.rtd",,"OPEN_INT","."&amp;U$2&amp;U$1&amp;"C"&amp;$A27)),0)+IF($A$4&lt;$A27,($A27-$A$4)*IF(RTD("tos.rtd",,"OPEN_INT","."&amp;U$2&amp;U$1&amp;"P"&amp;$A27)="N/A",0,RTD("tos.rtd",,"OPEN_INT","."&amp;U$2&amp;U$1&amp;"P"&amp;$A27)),0),IF(RTD("tos.rtd",,$A$2,"."&amp;U$2&amp;U$1&amp;"C"&amp;$A27)="N/A",0,RTD("tos.rtd",,$A$2,"."&amp;U$2&amp;U$1&amp;"C"&amp;$A27))-IF(RTD("tos.rtd",,$A$2,"."&amp;U$2&amp;U$1&amp;"P"&amp;$A27)="N/A",0,RTD("tos.rtd",,$A$2,"."&amp;U$2&amp;U$1&amp;"P"&amp;$A27)))))))))</f>
        <v>0</v>
      </c>
      <c r="V27" s="12">
        <f>IF($A$2="PREMIUM_OI",IFERROR((100*RTD("tos.rtd",,"OPEN_INT","."&amp;V$2&amp;V$1&amp;"C"&amp;$A27)*RTD("tos.rtd",,"LAST","."&amp;V$2&amp;V$1&amp;"C"&amp;$A27)-100*RTD("tos.rtd",,"OPEN_INT","."&amp;V$2&amp;V$1&amp;"P"&amp;$A27)*RTD("tos.rtd",,"LAST","."&amp;V$2&amp;V$1&amp;"P"&amp;$A27))/1000000,0),IF($A$2="PREMIUM",IFERROR((100*RTD("tos.rtd",,"VOLUME","."&amp;V$2&amp;V$1&amp;"C"&amp;$A27)*RTD("tos.rtd",,"LAST","."&amp;V$2&amp;V$1&amp;"C"&amp;$A27)-100*RTD("tos.rtd",,"VOLUME","."&amp;V$2&amp;V$1&amp;"P"&amp;$A27)*RTD("tos.rtd",,"LAST","."&amp;V$2&amp;V$1&amp;"P"&amp;$A27))/1000000,0),IF($A$2="DEX",IFERROR((100*RTD("tos.rtd",,"OPEN_INT","."&amp;V$2&amp;V$1&amp;"C"&amp;$A27)*RTD("tos.rtd",,"DELTA","."&amp;V$2&amp;V$1&amp;"C"&amp;$A27)-100*RTD("tos.rtd",,"OPEN_INT","."&amp;V$2&amp;V$1&amp;"P"&amp;$A27)*RTD("tos.rtd",,"DELTA","."&amp;V$2&amp;V$1&amp;"P"&amp;$A27))/1000,0),IF($A$2="VEX",IFERROR(($A$4*$A$4*RTD("tos.rtd",,"VOLUME","."&amp;V$2&amp;V$1&amp;"C"&amp;$A27)*RTD("tos.rtd",,"GAMMA","."&amp;V$2&amp;V$1&amp;"C"&amp;$A27)-$A$4*$A$4*RTD("tos.rtd",,"VOLUME","."&amp;V$2&amp;V$1&amp;"P"&amp;$A27)*RTD("tos.rtd",,"GAMMA","."&amp;V$2&amp;V$1&amp;"P"&amp;$A27))/1000000,0),IF($A$2="GEX",IFERROR(($A$4*$A$4*RTD("tos.rtd",,"OPEN_INT","."&amp;V$2&amp;V$1&amp;"C"&amp;$A27)*RTD("tos.rtd",,"GAMMA","."&amp;V$2&amp;V$1&amp;"C"&amp;$A27)-$A$4*$A$4*RTD("tos.rtd",,"OPEN_INT","."&amp;V$2&amp;V$1&amp;"P"&amp;$A27)*RTD("tos.rtd",,"GAMMA","."&amp;V$2&amp;V$1&amp;"P"&amp;$A27))/1000000,0),IF($A$2="SKEW",IFERROR(VALUE(IF(RTD("tos.rtd",,"IMPL_VOL","."&amp;V$2&amp;V$1&amp;"P"&amp;$A27)="N/A",0,RTD("tos.rtd",,"IMPL_VOL","."&amp;V$2&amp;V$1&amp;"P"&amp;$A27))),0)-IFERROR(VALUE(IF(RTD("tos.rtd",,"IMPL_VOL","."&amp;V$2&amp;V$1&amp;"C"&amp;$A27)="N/A",0,RTD("tos.rtd",,"IMPL_VOL","."&amp;V$2&amp;V$1&amp;"C"&amp;$A27))),0),IF($A$2="MAXPAIN",IF($A$4&gt;$A27,($A$4-$A27)*IF(RTD("tos.rtd",,"OPEN_INT","."&amp;V$2&amp;V$1&amp;"C"&amp;$A27)="N/A",0,RTD("tos.rtd",,"OPEN_INT","."&amp;V$2&amp;V$1&amp;"C"&amp;$A27)),0)+IF($A$4&lt;$A27,($A27-$A$4)*IF(RTD("tos.rtd",,"OPEN_INT","."&amp;V$2&amp;V$1&amp;"P"&amp;$A27)="N/A",0,RTD("tos.rtd",,"OPEN_INT","."&amp;V$2&amp;V$1&amp;"P"&amp;$A27)),0),IF(RTD("tos.rtd",,$A$2,"."&amp;V$2&amp;V$1&amp;"C"&amp;$A27)="N/A",0,RTD("tos.rtd",,$A$2,"."&amp;V$2&amp;V$1&amp;"C"&amp;$A27))-IF(RTD("tos.rtd",,$A$2,"."&amp;V$2&amp;V$1&amp;"P"&amp;$A27)="N/A",0,RTD("tos.rtd",,$A$2,"."&amp;V$2&amp;V$1&amp;"P"&amp;$A27)))))))))</f>
        <v>0</v>
      </c>
      <c r="W27" s="12">
        <f>IF($A$2="PREMIUM_OI",IFERROR((100*RTD("tos.rtd",,"OPEN_INT","."&amp;W$2&amp;W$1&amp;"C"&amp;$A27)*RTD("tos.rtd",,"LAST","."&amp;W$2&amp;W$1&amp;"C"&amp;$A27)-100*RTD("tos.rtd",,"OPEN_INT","."&amp;W$2&amp;W$1&amp;"P"&amp;$A27)*RTD("tos.rtd",,"LAST","."&amp;W$2&amp;W$1&amp;"P"&amp;$A27))/1000000,0),IF($A$2="PREMIUM",IFERROR((100*RTD("tos.rtd",,"VOLUME","."&amp;W$2&amp;W$1&amp;"C"&amp;$A27)*RTD("tos.rtd",,"LAST","."&amp;W$2&amp;W$1&amp;"C"&amp;$A27)-100*RTD("tos.rtd",,"VOLUME","."&amp;W$2&amp;W$1&amp;"P"&amp;$A27)*RTD("tos.rtd",,"LAST","."&amp;W$2&amp;W$1&amp;"P"&amp;$A27))/1000000,0),IF($A$2="DEX",IFERROR((100*RTD("tos.rtd",,"OPEN_INT","."&amp;W$2&amp;W$1&amp;"C"&amp;$A27)*RTD("tos.rtd",,"DELTA","."&amp;W$2&amp;W$1&amp;"C"&amp;$A27)-100*RTD("tos.rtd",,"OPEN_INT","."&amp;W$2&amp;W$1&amp;"P"&amp;$A27)*RTD("tos.rtd",,"DELTA","."&amp;W$2&amp;W$1&amp;"P"&amp;$A27))/1000,0),IF($A$2="VEX",IFERROR(($A$4*$A$4*RTD("tos.rtd",,"VOLUME","."&amp;W$2&amp;W$1&amp;"C"&amp;$A27)*RTD("tos.rtd",,"GAMMA","."&amp;W$2&amp;W$1&amp;"C"&amp;$A27)-$A$4*$A$4*RTD("tos.rtd",,"VOLUME","."&amp;W$2&amp;W$1&amp;"P"&amp;$A27)*RTD("tos.rtd",,"GAMMA","."&amp;W$2&amp;W$1&amp;"P"&amp;$A27))/1000000,0),IF($A$2="GEX",IFERROR(($A$4*$A$4*RTD("tos.rtd",,"OPEN_INT","."&amp;W$2&amp;W$1&amp;"C"&amp;$A27)*RTD("tos.rtd",,"GAMMA","."&amp;W$2&amp;W$1&amp;"C"&amp;$A27)-$A$4*$A$4*RTD("tos.rtd",,"OPEN_INT","."&amp;W$2&amp;W$1&amp;"P"&amp;$A27)*RTD("tos.rtd",,"GAMMA","."&amp;W$2&amp;W$1&amp;"P"&amp;$A27))/1000000,0),IF($A$2="SKEW",IFERROR(VALUE(IF(RTD("tos.rtd",,"IMPL_VOL","."&amp;W$2&amp;W$1&amp;"P"&amp;$A27)="N/A",0,RTD("tos.rtd",,"IMPL_VOL","."&amp;W$2&amp;W$1&amp;"P"&amp;$A27))),0)-IFERROR(VALUE(IF(RTD("tos.rtd",,"IMPL_VOL","."&amp;W$2&amp;W$1&amp;"C"&amp;$A27)="N/A",0,RTD("tos.rtd",,"IMPL_VOL","."&amp;W$2&amp;W$1&amp;"C"&amp;$A27))),0),IF($A$2="MAXPAIN",IF($A$4&gt;$A27,($A$4-$A27)*IF(RTD("tos.rtd",,"OPEN_INT","."&amp;W$2&amp;W$1&amp;"C"&amp;$A27)="N/A",0,RTD("tos.rtd",,"OPEN_INT","."&amp;W$2&amp;W$1&amp;"C"&amp;$A27)),0)+IF($A$4&lt;$A27,($A27-$A$4)*IF(RTD("tos.rtd",,"OPEN_INT","."&amp;W$2&amp;W$1&amp;"P"&amp;$A27)="N/A",0,RTD("tos.rtd",,"OPEN_INT","."&amp;W$2&amp;W$1&amp;"P"&amp;$A27)),0),IF(RTD("tos.rtd",,$A$2,"."&amp;W$2&amp;W$1&amp;"C"&amp;$A27)="N/A",0,RTD("tos.rtd",,$A$2,"."&amp;W$2&amp;W$1&amp;"C"&amp;$A27))-IF(RTD("tos.rtd",,$A$2,"."&amp;W$2&amp;W$1&amp;"P"&amp;$A27)="N/A",0,RTD("tos.rtd",,$A$2,"."&amp;W$2&amp;W$1&amp;"P"&amp;$A27)))))))))</f>
        <v>0</v>
      </c>
      <c r="X27" s="12">
        <f t="shared" ca="1" si="7"/>
        <v>10770</v>
      </c>
      <c r="Y27" s="27">
        <f t="shared" ca="1" si="8"/>
        <v>10770</v>
      </c>
      <c r="AA27" s="35">
        <f t="shared" si="5"/>
        <v>26</v>
      </c>
      <c r="AB27" s="8">
        <f>+IF($AJ$1,AK27,TASTYOHLC!B27)</f>
        <v>0</v>
      </c>
      <c r="AC27" s="8">
        <f>+IF($AJ$1,AL27,TASTYOHLC!C27)</f>
        <v>0</v>
      </c>
      <c r="AD27" s="8">
        <f>+IF($AJ$1,AM27,TASTYOHLC!D27)</f>
        <v>0</v>
      </c>
      <c r="AE27" s="8">
        <f>+IF($AJ$1,AN27,TASTYOHLC!E27)</f>
        <v>0</v>
      </c>
      <c r="AF27" s="8"/>
      <c r="AJ27" s="37"/>
    </row>
    <row r="28" spans="1:40" s="19" customFormat="1" ht="11.1" customHeight="1" thickBot="1" x14ac:dyDescent="0.3">
      <c r="A28" s="24">
        <f>+ROUND(A4/A1,0)*A1</f>
        <v>8</v>
      </c>
      <c r="B28" s="14">
        <f>IF($A$2="PREMIUM_OI",IFERROR((100*RTD("tos.rtd",,"OPEN_INT","."&amp;B$2&amp;B$1&amp;"C"&amp;$A28)*RTD("tos.rtd",,"LAST","."&amp;B$2&amp;B$1&amp;"C"&amp;$A28)-100*RTD("tos.rtd",,"OPEN_INT","."&amp;B$2&amp;B$1&amp;"P"&amp;$A28)*RTD("tos.rtd",,"LAST","."&amp;B$2&amp;B$1&amp;"P"&amp;$A28))/1000000,0),IF($A$2="PREMIUM",IFERROR((100*RTD("tos.rtd",,"VOLUME","."&amp;B$2&amp;B$1&amp;"C"&amp;$A28)*RTD("tos.rtd",,"LAST","."&amp;B$2&amp;B$1&amp;"C"&amp;$A28)-100*RTD("tos.rtd",,"VOLUME","."&amp;B$2&amp;B$1&amp;"P"&amp;$A28)*RTD("tos.rtd",,"LAST","."&amp;B$2&amp;B$1&amp;"P"&amp;$A28))/1000000,0),IF($A$2="DEX",IFERROR((100*RTD("tos.rtd",,"OPEN_INT","."&amp;B$2&amp;B$1&amp;"C"&amp;$A28)*RTD("tos.rtd",,"DELTA","."&amp;B$2&amp;B$1&amp;"C"&amp;$A28)-100*RTD("tos.rtd",,"OPEN_INT","."&amp;B$2&amp;B$1&amp;"P"&amp;$A28)*RTD("tos.rtd",,"DELTA","."&amp;B$2&amp;B$1&amp;"P"&amp;$A28))/1000,0),IF($A$2="VEX",IFERROR(($A$4*$A$4*RTD("tos.rtd",,"VOLUME","."&amp;B$2&amp;B$1&amp;"C"&amp;$A28)*RTD("tos.rtd",,"GAMMA","."&amp;B$2&amp;B$1&amp;"C"&amp;$A28)-$A$4*$A$4*RTD("tos.rtd",,"VOLUME","."&amp;B$2&amp;B$1&amp;"P"&amp;$A28)*RTD("tos.rtd",,"GAMMA","."&amp;B$2&amp;B$1&amp;"P"&amp;$A28))/1000000,0),IF($A$2="GEX",IFERROR(($A$4*$A$4*RTD("tos.rtd",,"OPEN_INT","."&amp;B$2&amp;B$1&amp;"C"&amp;$A28)*RTD("tos.rtd",,"GAMMA","."&amp;B$2&amp;B$1&amp;"C"&amp;$A28)-$A$4*$A$4*RTD("tos.rtd",,"OPEN_INT","."&amp;B$2&amp;B$1&amp;"P"&amp;$A28)*RTD("tos.rtd",,"GAMMA","."&amp;B$2&amp;B$1&amp;"P"&amp;$A28))/1000000,0),IF($A$2="SKEW",IFERROR(VALUE(IF(RTD("tos.rtd",,"IMPL_VOL","."&amp;B$2&amp;B$1&amp;"P"&amp;$A28)="N/A",0,RTD("tos.rtd",,"IMPL_VOL","."&amp;B$2&amp;B$1&amp;"P"&amp;$A28))),0)-IFERROR(VALUE(IF(RTD("tos.rtd",,"IMPL_VOL","."&amp;B$2&amp;B$1&amp;"C"&amp;$A28)="N/A",0,RTD("tos.rtd",,"IMPL_VOL","."&amp;B$2&amp;B$1&amp;"C"&amp;$A28))),0),IF($A$2="MAXPAIN",IF($A$4&gt;$A28,($A$4-$A28)*IF(RTD("tos.rtd",,"OPEN_INT","."&amp;B$2&amp;B$1&amp;"C"&amp;$A28)="N/A",0,RTD("tos.rtd",,"OPEN_INT","."&amp;B$2&amp;B$1&amp;"C"&amp;$A28)),0)+IF($A$4&lt;$A28,($A28-$A$4)*IF(RTD("tos.rtd",,"OPEN_INT","."&amp;B$2&amp;B$1&amp;"P"&amp;$A28)="N/A",0,RTD("tos.rtd",,"OPEN_INT","."&amp;B$2&amp;B$1&amp;"P"&amp;$A28)),0),IF(RTD("tos.rtd",,$A$2,"."&amp;B$2&amp;B$1&amp;"C"&amp;$A28)="N/A",0,RTD("tos.rtd",,$A$2,"."&amp;B$2&amp;B$1&amp;"C"&amp;$A28))-IF(RTD("tos.rtd",,$A$2,"."&amp;B$2&amp;B$1&amp;"P"&amp;$A28)="N/A",0,RTD("tos.rtd",,$A$2,"."&amp;B$2&amp;B$1&amp;"P"&amp;$A28)))))))))</f>
        <v>0</v>
      </c>
      <c r="C28" s="12">
        <f>IF($A$2="PREMIUM_OI",IFERROR((100*RTD("tos.rtd",,"OPEN_INT","."&amp;C$2&amp;C$1&amp;"C"&amp;$A28)*RTD("tos.rtd",,"LAST","."&amp;C$2&amp;C$1&amp;"C"&amp;$A28)-100*RTD("tos.rtd",,"OPEN_INT","."&amp;C$2&amp;C$1&amp;"P"&amp;$A28)*RTD("tos.rtd",,"LAST","."&amp;C$2&amp;C$1&amp;"P"&amp;$A28))/1000000,0),IF($A$2="PREMIUM",IFERROR((100*RTD("tos.rtd",,"VOLUME","."&amp;C$2&amp;C$1&amp;"C"&amp;$A28)*RTD("tos.rtd",,"LAST","."&amp;C$2&amp;C$1&amp;"C"&amp;$A28)-100*RTD("tos.rtd",,"VOLUME","."&amp;C$2&amp;C$1&amp;"P"&amp;$A28)*RTD("tos.rtd",,"LAST","."&amp;C$2&amp;C$1&amp;"P"&amp;$A28))/1000000,0),IF($A$2="DEX",IFERROR((100*RTD("tos.rtd",,"OPEN_INT","."&amp;C$2&amp;C$1&amp;"C"&amp;$A28)*RTD("tos.rtd",,"DELTA","."&amp;C$2&amp;C$1&amp;"C"&amp;$A28)-100*RTD("tos.rtd",,"OPEN_INT","."&amp;C$2&amp;C$1&amp;"P"&amp;$A28)*RTD("tos.rtd",,"DELTA","."&amp;C$2&amp;C$1&amp;"P"&amp;$A28))/1000,0),IF($A$2="VEX",IFERROR(($A$4*$A$4*RTD("tos.rtd",,"VOLUME","."&amp;C$2&amp;C$1&amp;"C"&amp;$A28)*RTD("tos.rtd",,"GAMMA","."&amp;C$2&amp;C$1&amp;"C"&amp;$A28)-$A$4*$A$4*RTD("tos.rtd",,"VOLUME","."&amp;C$2&amp;C$1&amp;"P"&amp;$A28)*RTD("tos.rtd",,"GAMMA","."&amp;C$2&amp;C$1&amp;"P"&amp;$A28))/1000000,0),IF($A$2="GEX",IFERROR(($A$4*$A$4*RTD("tos.rtd",,"OPEN_INT","."&amp;C$2&amp;C$1&amp;"C"&amp;$A28)*RTD("tos.rtd",,"GAMMA","."&amp;C$2&amp;C$1&amp;"C"&amp;$A28)-$A$4*$A$4*RTD("tos.rtd",,"OPEN_INT","."&amp;C$2&amp;C$1&amp;"P"&amp;$A28)*RTD("tos.rtd",,"GAMMA","."&amp;C$2&amp;C$1&amp;"P"&amp;$A28))/1000000,0),IF($A$2="SKEW",IFERROR(VALUE(IF(RTD("tos.rtd",,"IMPL_VOL","."&amp;C$2&amp;C$1&amp;"P"&amp;$A28)="N/A",0,RTD("tos.rtd",,"IMPL_VOL","."&amp;C$2&amp;C$1&amp;"P"&amp;$A28))),0)-IFERROR(VALUE(IF(RTD("tos.rtd",,"IMPL_VOL","."&amp;C$2&amp;C$1&amp;"C"&amp;$A28)="N/A",0,RTD("tos.rtd",,"IMPL_VOL","."&amp;C$2&amp;C$1&amp;"C"&amp;$A28))),0),IF($A$2="MAXPAIN",IF($A$4&gt;$A28,($A$4-$A28)*IF(RTD("tos.rtd",,"OPEN_INT","."&amp;C$2&amp;C$1&amp;"C"&amp;$A28)="N/A",0,RTD("tos.rtd",,"OPEN_INT","."&amp;C$2&amp;C$1&amp;"C"&amp;$A28)),0)+IF($A$4&lt;$A28,($A28-$A$4)*IF(RTD("tos.rtd",,"OPEN_INT","."&amp;C$2&amp;C$1&amp;"P"&amp;$A28)="N/A",0,RTD("tos.rtd",,"OPEN_INT","."&amp;C$2&amp;C$1&amp;"P"&amp;$A28)),0),IF(RTD("tos.rtd",,$A$2,"."&amp;C$2&amp;C$1&amp;"C"&amp;$A28)="N/A",0,RTD("tos.rtd",,$A$2,"."&amp;C$2&amp;C$1&amp;"C"&amp;$A28))-IF(RTD("tos.rtd",,$A$2,"."&amp;C$2&amp;C$1&amp;"P"&amp;$A28)="N/A",0,RTD("tos.rtd",,$A$2,"."&amp;C$2&amp;C$1&amp;"P"&amp;$A28)))))))))</f>
        <v>-37276</v>
      </c>
      <c r="D28" s="12">
        <f>IF($A$2="PREMIUM_OI",IFERROR((100*RTD("tos.rtd",,"OPEN_INT","."&amp;D$2&amp;D$1&amp;"C"&amp;$A28)*RTD("tos.rtd",,"LAST","."&amp;D$2&amp;D$1&amp;"C"&amp;$A28)-100*RTD("tos.rtd",,"OPEN_INT","."&amp;D$2&amp;D$1&amp;"P"&amp;$A28)*RTD("tos.rtd",,"LAST","."&amp;D$2&amp;D$1&amp;"P"&amp;$A28))/1000000,0),IF($A$2="PREMIUM",IFERROR((100*RTD("tos.rtd",,"VOLUME","."&amp;D$2&amp;D$1&amp;"C"&amp;$A28)*RTD("tos.rtd",,"LAST","."&amp;D$2&amp;D$1&amp;"C"&amp;$A28)-100*RTD("tos.rtd",,"VOLUME","."&amp;D$2&amp;D$1&amp;"P"&amp;$A28)*RTD("tos.rtd",,"LAST","."&amp;D$2&amp;D$1&amp;"P"&amp;$A28))/1000000,0),IF($A$2="DEX",IFERROR((100*RTD("tos.rtd",,"OPEN_INT","."&amp;D$2&amp;D$1&amp;"C"&amp;$A28)*RTD("tos.rtd",,"DELTA","."&amp;D$2&amp;D$1&amp;"C"&amp;$A28)-100*RTD("tos.rtd",,"OPEN_INT","."&amp;D$2&amp;D$1&amp;"P"&amp;$A28)*RTD("tos.rtd",,"DELTA","."&amp;D$2&amp;D$1&amp;"P"&amp;$A28))/1000,0),IF($A$2="VEX",IFERROR(($A$4*$A$4*RTD("tos.rtd",,"VOLUME","."&amp;D$2&amp;D$1&amp;"C"&amp;$A28)*RTD("tos.rtd",,"GAMMA","."&amp;D$2&amp;D$1&amp;"C"&amp;$A28)-$A$4*$A$4*RTD("tos.rtd",,"VOLUME","."&amp;D$2&amp;D$1&amp;"P"&amp;$A28)*RTD("tos.rtd",,"GAMMA","."&amp;D$2&amp;D$1&amp;"P"&amp;$A28))/1000000,0),IF($A$2="GEX",IFERROR(($A$4*$A$4*RTD("tos.rtd",,"OPEN_INT","."&amp;D$2&amp;D$1&amp;"C"&amp;$A28)*RTD("tos.rtd",,"GAMMA","."&amp;D$2&amp;D$1&amp;"C"&amp;$A28)-$A$4*$A$4*RTD("tos.rtd",,"OPEN_INT","."&amp;D$2&amp;D$1&amp;"P"&amp;$A28)*RTD("tos.rtd",,"GAMMA","."&amp;D$2&amp;D$1&amp;"P"&amp;$A28))/1000000,0),IF($A$2="SKEW",IFERROR(VALUE(IF(RTD("tos.rtd",,"IMPL_VOL","."&amp;D$2&amp;D$1&amp;"P"&amp;$A28)="N/A",0,RTD("tos.rtd",,"IMPL_VOL","."&amp;D$2&amp;D$1&amp;"P"&amp;$A28))),0)-IFERROR(VALUE(IF(RTD("tos.rtd",,"IMPL_VOL","."&amp;D$2&amp;D$1&amp;"C"&amp;$A28)="N/A",0,RTD("tos.rtd",,"IMPL_VOL","."&amp;D$2&amp;D$1&amp;"C"&amp;$A28))),0),IF($A$2="MAXPAIN",IF($A$4&gt;$A28,($A$4-$A28)*IF(RTD("tos.rtd",,"OPEN_INT","."&amp;D$2&amp;D$1&amp;"C"&amp;$A28)="N/A",0,RTD("tos.rtd",,"OPEN_INT","."&amp;D$2&amp;D$1&amp;"C"&amp;$A28)),0)+IF($A$4&lt;$A28,($A28-$A$4)*IF(RTD("tos.rtd",,"OPEN_INT","."&amp;D$2&amp;D$1&amp;"P"&amp;$A28)="N/A",0,RTD("tos.rtd",,"OPEN_INT","."&amp;D$2&amp;D$1&amp;"P"&amp;$A28)),0),IF(RTD("tos.rtd",,$A$2,"."&amp;D$2&amp;D$1&amp;"C"&amp;$A28)="N/A",0,RTD("tos.rtd",,$A$2,"."&amp;D$2&amp;D$1&amp;"C"&amp;$A28))-IF(RTD("tos.rtd",,$A$2,"."&amp;D$2&amp;D$1&amp;"P"&amp;$A28)="N/A",0,RTD("tos.rtd",,$A$2,"."&amp;D$2&amp;D$1&amp;"P"&amp;$A28)))))))))</f>
        <v>0</v>
      </c>
      <c r="E28" s="12">
        <f>IF($A$2="PREMIUM_OI",IFERROR((100*RTD("tos.rtd",,"OPEN_INT","."&amp;E$2&amp;E$1&amp;"C"&amp;$A28)*RTD("tos.rtd",,"LAST","."&amp;E$2&amp;E$1&amp;"C"&amp;$A28)-100*RTD("tos.rtd",,"OPEN_INT","."&amp;E$2&amp;E$1&amp;"P"&amp;$A28)*RTD("tos.rtd",,"LAST","."&amp;E$2&amp;E$1&amp;"P"&amp;$A28))/1000000,0),IF($A$2="PREMIUM",IFERROR((100*RTD("tos.rtd",,"VOLUME","."&amp;E$2&amp;E$1&amp;"C"&amp;$A28)*RTD("tos.rtd",,"LAST","."&amp;E$2&amp;E$1&amp;"C"&amp;$A28)-100*RTD("tos.rtd",,"VOLUME","."&amp;E$2&amp;E$1&amp;"P"&amp;$A28)*RTD("tos.rtd",,"LAST","."&amp;E$2&amp;E$1&amp;"P"&amp;$A28))/1000000,0),IF($A$2="DEX",IFERROR((100*RTD("tos.rtd",,"OPEN_INT","."&amp;E$2&amp;E$1&amp;"C"&amp;$A28)*RTD("tos.rtd",,"DELTA","."&amp;E$2&amp;E$1&amp;"C"&amp;$A28)-100*RTD("tos.rtd",,"OPEN_INT","."&amp;E$2&amp;E$1&amp;"P"&amp;$A28)*RTD("tos.rtd",,"DELTA","."&amp;E$2&amp;E$1&amp;"P"&amp;$A28))/1000,0),IF($A$2="VEX",IFERROR(($A$4*$A$4*RTD("tos.rtd",,"VOLUME","."&amp;E$2&amp;E$1&amp;"C"&amp;$A28)*RTD("tos.rtd",,"GAMMA","."&amp;E$2&amp;E$1&amp;"C"&amp;$A28)-$A$4*$A$4*RTD("tos.rtd",,"VOLUME","."&amp;E$2&amp;E$1&amp;"P"&amp;$A28)*RTD("tos.rtd",,"GAMMA","."&amp;E$2&amp;E$1&amp;"P"&amp;$A28))/1000000,0),IF($A$2="GEX",IFERROR(($A$4*$A$4*RTD("tos.rtd",,"OPEN_INT","."&amp;E$2&amp;E$1&amp;"C"&amp;$A28)*RTD("tos.rtd",,"GAMMA","."&amp;E$2&amp;E$1&amp;"C"&amp;$A28)-$A$4*$A$4*RTD("tos.rtd",,"OPEN_INT","."&amp;E$2&amp;E$1&amp;"P"&amp;$A28)*RTD("tos.rtd",,"GAMMA","."&amp;E$2&amp;E$1&amp;"P"&amp;$A28))/1000000,0),IF($A$2="SKEW",IFERROR(VALUE(IF(RTD("tos.rtd",,"IMPL_VOL","."&amp;E$2&amp;E$1&amp;"P"&amp;$A28)="N/A",0,RTD("tos.rtd",,"IMPL_VOL","."&amp;E$2&amp;E$1&amp;"P"&amp;$A28))),0)-IFERROR(VALUE(IF(RTD("tos.rtd",,"IMPL_VOL","."&amp;E$2&amp;E$1&amp;"C"&amp;$A28)="N/A",0,RTD("tos.rtd",,"IMPL_VOL","."&amp;E$2&amp;E$1&amp;"C"&amp;$A28))),0),IF($A$2="MAXPAIN",IF($A$4&gt;$A28,($A$4-$A28)*IF(RTD("tos.rtd",,"OPEN_INT","."&amp;E$2&amp;E$1&amp;"C"&amp;$A28)="N/A",0,RTD("tos.rtd",,"OPEN_INT","."&amp;E$2&amp;E$1&amp;"C"&amp;$A28)),0)+IF($A$4&lt;$A28,($A28-$A$4)*IF(RTD("tos.rtd",,"OPEN_INT","."&amp;E$2&amp;E$1&amp;"P"&amp;$A28)="N/A",0,RTD("tos.rtd",,"OPEN_INT","."&amp;E$2&amp;E$1&amp;"P"&amp;$A28)),0),IF(RTD("tos.rtd",,$A$2,"."&amp;E$2&amp;E$1&amp;"C"&amp;$A28)="N/A",0,RTD("tos.rtd",,$A$2,"."&amp;E$2&amp;E$1&amp;"C"&amp;$A28))-IF(RTD("tos.rtd",,$A$2,"."&amp;E$2&amp;E$1&amp;"P"&amp;$A28)="N/A",0,RTD("tos.rtd",,$A$2,"."&amp;E$2&amp;E$1&amp;"P"&amp;$A28)))))))))</f>
        <v>0</v>
      </c>
      <c r="F28" s="12">
        <f>IF($A$2="PREMIUM_OI",IFERROR((100*RTD("tos.rtd",,"OPEN_INT","."&amp;F$2&amp;F$1&amp;"C"&amp;$A28)*RTD("tos.rtd",,"LAST","."&amp;F$2&amp;F$1&amp;"C"&amp;$A28)-100*RTD("tos.rtd",,"OPEN_INT","."&amp;F$2&amp;F$1&amp;"P"&amp;$A28)*RTD("tos.rtd",,"LAST","."&amp;F$2&amp;F$1&amp;"P"&amp;$A28))/1000000,0),IF($A$2="PREMIUM",IFERROR((100*RTD("tos.rtd",,"VOLUME","."&amp;F$2&amp;F$1&amp;"C"&amp;$A28)*RTD("tos.rtd",,"LAST","."&amp;F$2&amp;F$1&amp;"C"&amp;$A28)-100*RTD("tos.rtd",,"VOLUME","."&amp;F$2&amp;F$1&amp;"P"&amp;$A28)*RTD("tos.rtd",,"LAST","."&amp;F$2&amp;F$1&amp;"P"&amp;$A28))/1000000,0),IF($A$2="DEX",IFERROR((100*RTD("tos.rtd",,"OPEN_INT","."&amp;F$2&amp;F$1&amp;"C"&amp;$A28)*RTD("tos.rtd",,"DELTA","."&amp;F$2&amp;F$1&amp;"C"&amp;$A28)-100*RTD("tos.rtd",,"OPEN_INT","."&amp;F$2&amp;F$1&amp;"P"&amp;$A28)*RTD("tos.rtd",,"DELTA","."&amp;F$2&amp;F$1&amp;"P"&amp;$A28))/1000,0),IF($A$2="VEX",IFERROR(($A$4*$A$4*RTD("tos.rtd",,"VOLUME","."&amp;F$2&amp;F$1&amp;"C"&amp;$A28)*RTD("tos.rtd",,"GAMMA","."&amp;F$2&amp;F$1&amp;"C"&amp;$A28)-$A$4*$A$4*RTD("tos.rtd",,"VOLUME","."&amp;F$2&amp;F$1&amp;"P"&amp;$A28)*RTD("tos.rtd",,"GAMMA","."&amp;F$2&amp;F$1&amp;"P"&amp;$A28))/1000000,0),IF($A$2="GEX",IFERROR(($A$4*$A$4*RTD("tos.rtd",,"OPEN_INT","."&amp;F$2&amp;F$1&amp;"C"&amp;$A28)*RTD("tos.rtd",,"GAMMA","."&amp;F$2&amp;F$1&amp;"C"&amp;$A28)-$A$4*$A$4*RTD("tos.rtd",,"OPEN_INT","."&amp;F$2&amp;F$1&amp;"P"&amp;$A28)*RTD("tos.rtd",,"GAMMA","."&amp;F$2&amp;F$1&amp;"P"&amp;$A28))/1000000,0),IF($A$2="SKEW",IFERROR(VALUE(IF(RTD("tos.rtd",,"IMPL_VOL","."&amp;F$2&amp;F$1&amp;"P"&amp;$A28)="N/A",0,RTD("tos.rtd",,"IMPL_VOL","."&amp;F$2&amp;F$1&amp;"P"&amp;$A28))),0)-IFERROR(VALUE(IF(RTD("tos.rtd",,"IMPL_VOL","."&amp;F$2&amp;F$1&amp;"C"&amp;$A28)="N/A",0,RTD("tos.rtd",,"IMPL_VOL","."&amp;F$2&amp;F$1&amp;"C"&amp;$A28))),0),IF($A$2="MAXPAIN",IF($A$4&gt;$A28,($A$4-$A28)*IF(RTD("tos.rtd",,"OPEN_INT","."&amp;F$2&amp;F$1&amp;"C"&amp;$A28)="N/A",0,RTD("tos.rtd",,"OPEN_INT","."&amp;F$2&amp;F$1&amp;"C"&amp;$A28)),0)+IF($A$4&lt;$A28,($A28-$A$4)*IF(RTD("tos.rtd",,"OPEN_INT","."&amp;F$2&amp;F$1&amp;"P"&amp;$A28)="N/A",0,RTD("tos.rtd",,"OPEN_INT","."&amp;F$2&amp;F$1&amp;"P"&amp;$A28)),0),IF(RTD("tos.rtd",,$A$2,"."&amp;F$2&amp;F$1&amp;"C"&amp;$A28)="N/A",0,RTD("tos.rtd",,$A$2,"."&amp;F$2&amp;F$1&amp;"C"&amp;$A28))-IF(RTD("tos.rtd",,$A$2,"."&amp;F$2&amp;F$1&amp;"P"&amp;$A28)="N/A",0,RTD("tos.rtd",,$A$2,"."&amp;F$2&amp;F$1&amp;"P"&amp;$A28)))))))))</f>
        <v>0</v>
      </c>
      <c r="G28" s="14">
        <f>IF($A$2="PREMIUM_OI",IFERROR((100*RTD("tos.rtd",,"OPEN_INT","."&amp;G$2&amp;G$1&amp;"C"&amp;$A28)*RTD("tos.rtd",,"LAST","."&amp;G$2&amp;G$1&amp;"C"&amp;$A28)-100*RTD("tos.rtd",,"OPEN_INT","."&amp;G$2&amp;G$1&amp;"P"&amp;$A28)*RTD("tos.rtd",,"LAST","."&amp;G$2&amp;G$1&amp;"P"&amp;$A28))/1000000,0),IF($A$2="PREMIUM",IFERROR((100*RTD("tos.rtd",,"VOLUME","."&amp;G$2&amp;G$1&amp;"C"&amp;$A28)*RTD("tos.rtd",,"LAST","."&amp;G$2&amp;G$1&amp;"C"&amp;$A28)-100*RTD("tos.rtd",,"VOLUME","."&amp;G$2&amp;G$1&amp;"P"&amp;$A28)*RTD("tos.rtd",,"LAST","."&amp;G$2&amp;G$1&amp;"P"&amp;$A28))/1000000,0),IF($A$2="DEX",IFERROR((100*RTD("tos.rtd",,"OPEN_INT","."&amp;G$2&amp;G$1&amp;"C"&amp;$A28)*RTD("tos.rtd",,"DELTA","."&amp;G$2&amp;G$1&amp;"C"&amp;$A28)-100*RTD("tos.rtd",,"OPEN_INT","."&amp;G$2&amp;G$1&amp;"P"&amp;$A28)*RTD("tos.rtd",,"DELTA","."&amp;G$2&amp;G$1&amp;"P"&amp;$A28))/1000,0),IF($A$2="VEX",IFERROR(($A$4*$A$4*RTD("tos.rtd",,"VOLUME","."&amp;G$2&amp;G$1&amp;"C"&amp;$A28)*RTD("tos.rtd",,"GAMMA","."&amp;G$2&amp;G$1&amp;"C"&amp;$A28)-$A$4*$A$4*RTD("tos.rtd",,"VOLUME","."&amp;G$2&amp;G$1&amp;"P"&amp;$A28)*RTD("tos.rtd",,"GAMMA","."&amp;G$2&amp;G$1&amp;"P"&amp;$A28))/1000000,0),IF($A$2="GEX",IFERROR(($A$4*$A$4*RTD("tos.rtd",,"OPEN_INT","."&amp;G$2&amp;G$1&amp;"C"&amp;$A28)*RTD("tos.rtd",,"GAMMA","."&amp;G$2&amp;G$1&amp;"C"&amp;$A28)-$A$4*$A$4*RTD("tos.rtd",,"OPEN_INT","."&amp;G$2&amp;G$1&amp;"P"&amp;$A28)*RTD("tos.rtd",,"GAMMA","."&amp;G$2&amp;G$1&amp;"P"&amp;$A28))/1000000,0),IF($A$2="SKEW",IFERROR(VALUE(IF(RTD("tos.rtd",,"IMPL_VOL","."&amp;G$2&amp;G$1&amp;"P"&amp;$A28)="N/A",0,RTD("tos.rtd",,"IMPL_VOL","."&amp;G$2&amp;G$1&amp;"P"&amp;$A28))),0)-IFERROR(VALUE(IF(RTD("tos.rtd",,"IMPL_VOL","."&amp;G$2&amp;G$1&amp;"C"&amp;$A28)="N/A",0,RTD("tos.rtd",,"IMPL_VOL","."&amp;G$2&amp;G$1&amp;"C"&amp;$A28))),0),IF($A$2="MAXPAIN",IF($A$4&gt;$A28,($A$4-$A28)*IF(RTD("tos.rtd",,"OPEN_INT","."&amp;G$2&amp;G$1&amp;"C"&amp;$A28)="N/A",0,RTD("tos.rtd",,"OPEN_INT","."&amp;G$2&amp;G$1&amp;"C"&amp;$A28)),0)+IF($A$4&lt;$A28,($A28-$A$4)*IF(RTD("tos.rtd",,"OPEN_INT","."&amp;G$2&amp;G$1&amp;"P"&amp;$A28)="N/A",0,RTD("tos.rtd",,"OPEN_INT","."&amp;G$2&amp;G$1&amp;"P"&amp;$A28)),0),IF(RTD("tos.rtd",,$A$2,"."&amp;G$2&amp;G$1&amp;"C"&amp;$A28)="N/A",0,RTD("tos.rtd",,$A$2,"."&amp;G$2&amp;G$1&amp;"C"&amp;$A28))-IF(RTD("tos.rtd",,$A$2,"."&amp;G$2&amp;G$1&amp;"P"&amp;$A28)="N/A",0,RTD("tos.rtd",,$A$2,"."&amp;G$2&amp;G$1&amp;"P"&amp;$A28)))))))))</f>
        <v>0</v>
      </c>
      <c r="H28" s="12">
        <f>IF($A$2="PREMIUM_OI",IFERROR((100*RTD("tos.rtd",,"OPEN_INT","."&amp;H$2&amp;H$1&amp;"C"&amp;$A28)*RTD("tos.rtd",,"LAST","."&amp;H$2&amp;H$1&amp;"C"&amp;$A28)-100*RTD("tos.rtd",,"OPEN_INT","."&amp;H$2&amp;H$1&amp;"P"&amp;$A28)*RTD("tos.rtd",,"LAST","."&amp;H$2&amp;H$1&amp;"P"&amp;$A28))/1000000,0),IF($A$2="PREMIUM",IFERROR((100*RTD("tos.rtd",,"VOLUME","."&amp;H$2&amp;H$1&amp;"C"&amp;$A28)*RTD("tos.rtd",,"LAST","."&amp;H$2&amp;H$1&amp;"C"&amp;$A28)-100*RTD("tos.rtd",,"VOLUME","."&amp;H$2&amp;H$1&amp;"P"&amp;$A28)*RTD("tos.rtd",,"LAST","."&amp;H$2&amp;H$1&amp;"P"&amp;$A28))/1000000,0),IF($A$2="DEX",IFERROR((100*RTD("tos.rtd",,"OPEN_INT","."&amp;H$2&amp;H$1&amp;"C"&amp;$A28)*RTD("tos.rtd",,"DELTA","."&amp;H$2&amp;H$1&amp;"C"&amp;$A28)-100*RTD("tos.rtd",,"OPEN_INT","."&amp;H$2&amp;H$1&amp;"P"&amp;$A28)*RTD("tos.rtd",,"DELTA","."&amp;H$2&amp;H$1&amp;"P"&amp;$A28))/1000,0),IF($A$2="VEX",IFERROR(($A$4*$A$4*RTD("tos.rtd",,"VOLUME","."&amp;H$2&amp;H$1&amp;"C"&amp;$A28)*RTD("tos.rtd",,"GAMMA","."&amp;H$2&amp;H$1&amp;"C"&amp;$A28)-$A$4*$A$4*RTD("tos.rtd",,"VOLUME","."&amp;H$2&amp;H$1&amp;"P"&amp;$A28)*RTD("tos.rtd",,"GAMMA","."&amp;H$2&amp;H$1&amp;"P"&amp;$A28))/1000000,0),IF($A$2="GEX",IFERROR(($A$4*$A$4*RTD("tos.rtd",,"OPEN_INT","."&amp;H$2&amp;H$1&amp;"C"&amp;$A28)*RTD("tos.rtd",,"GAMMA","."&amp;H$2&amp;H$1&amp;"C"&amp;$A28)-$A$4*$A$4*RTD("tos.rtd",,"OPEN_INT","."&amp;H$2&amp;H$1&amp;"P"&amp;$A28)*RTD("tos.rtd",,"GAMMA","."&amp;H$2&amp;H$1&amp;"P"&amp;$A28))/1000000,0),IF($A$2="SKEW",IFERROR(VALUE(IF(RTD("tos.rtd",,"IMPL_VOL","."&amp;H$2&amp;H$1&amp;"P"&amp;$A28)="N/A",0,RTD("tos.rtd",,"IMPL_VOL","."&amp;H$2&amp;H$1&amp;"P"&amp;$A28))),0)-IFERROR(VALUE(IF(RTD("tos.rtd",,"IMPL_VOL","."&amp;H$2&amp;H$1&amp;"C"&amp;$A28)="N/A",0,RTD("tos.rtd",,"IMPL_VOL","."&amp;H$2&amp;H$1&amp;"C"&amp;$A28))),0),IF($A$2="MAXPAIN",IF($A$4&gt;$A28,($A$4-$A28)*IF(RTD("tos.rtd",,"OPEN_INT","."&amp;H$2&amp;H$1&amp;"C"&amp;$A28)="N/A",0,RTD("tos.rtd",,"OPEN_INT","."&amp;H$2&amp;H$1&amp;"C"&amp;$A28)),0)+IF($A$4&lt;$A28,($A28-$A$4)*IF(RTD("tos.rtd",,"OPEN_INT","."&amp;H$2&amp;H$1&amp;"P"&amp;$A28)="N/A",0,RTD("tos.rtd",,"OPEN_INT","."&amp;H$2&amp;H$1&amp;"P"&amp;$A28)),0),IF(RTD("tos.rtd",,$A$2,"."&amp;H$2&amp;H$1&amp;"C"&amp;$A28)="N/A",0,RTD("tos.rtd",,$A$2,"."&amp;H$2&amp;H$1&amp;"C"&amp;$A28))-IF(RTD("tos.rtd",,$A$2,"."&amp;H$2&amp;H$1&amp;"P"&amp;$A28)="N/A",0,RTD("tos.rtd",,$A$2,"."&amp;H$2&amp;H$1&amp;"P"&amp;$A28)))))))))</f>
        <v>22970</v>
      </c>
      <c r="I28" s="12">
        <f>IF($A$2="PREMIUM_OI",IFERROR((100*RTD("tos.rtd",,"OPEN_INT","."&amp;I$2&amp;I$1&amp;"C"&amp;$A28)*RTD("tos.rtd",,"LAST","."&amp;I$2&amp;I$1&amp;"C"&amp;$A28)-100*RTD("tos.rtd",,"OPEN_INT","."&amp;I$2&amp;I$1&amp;"P"&amp;$A28)*RTD("tos.rtd",,"LAST","."&amp;I$2&amp;I$1&amp;"P"&amp;$A28))/1000000,0),IF($A$2="PREMIUM",IFERROR((100*RTD("tos.rtd",,"VOLUME","."&amp;I$2&amp;I$1&amp;"C"&amp;$A28)*RTD("tos.rtd",,"LAST","."&amp;I$2&amp;I$1&amp;"C"&amp;$A28)-100*RTD("tos.rtd",,"VOLUME","."&amp;I$2&amp;I$1&amp;"P"&amp;$A28)*RTD("tos.rtd",,"LAST","."&amp;I$2&amp;I$1&amp;"P"&amp;$A28))/1000000,0),IF($A$2="DEX",IFERROR((100*RTD("tos.rtd",,"OPEN_INT","."&amp;I$2&amp;I$1&amp;"C"&amp;$A28)*RTD("tos.rtd",,"DELTA","."&amp;I$2&amp;I$1&amp;"C"&amp;$A28)-100*RTD("tos.rtd",,"OPEN_INT","."&amp;I$2&amp;I$1&amp;"P"&amp;$A28)*RTD("tos.rtd",,"DELTA","."&amp;I$2&amp;I$1&amp;"P"&amp;$A28))/1000,0),IF($A$2="VEX",IFERROR(($A$4*$A$4*RTD("tos.rtd",,"VOLUME","."&amp;I$2&amp;I$1&amp;"C"&amp;$A28)*RTD("tos.rtd",,"GAMMA","."&amp;I$2&amp;I$1&amp;"C"&amp;$A28)-$A$4*$A$4*RTD("tos.rtd",,"VOLUME","."&amp;I$2&amp;I$1&amp;"P"&amp;$A28)*RTD("tos.rtd",,"GAMMA","."&amp;I$2&amp;I$1&amp;"P"&amp;$A28))/1000000,0),IF($A$2="GEX",IFERROR(($A$4*$A$4*RTD("tos.rtd",,"OPEN_INT","."&amp;I$2&amp;I$1&amp;"C"&amp;$A28)*RTD("tos.rtd",,"GAMMA","."&amp;I$2&amp;I$1&amp;"C"&amp;$A28)-$A$4*$A$4*RTD("tos.rtd",,"OPEN_INT","."&amp;I$2&amp;I$1&amp;"P"&amp;$A28)*RTD("tos.rtd",,"GAMMA","."&amp;I$2&amp;I$1&amp;"P"&amp;$A28))/1000000,0),IF($A$2="SKEW",IFERROR(VALUE(IF(RTD("tos.rtd",,"IMPL_VOL","."&amp;I$2&amp;I$1&amp;"P"&amp;$A28)="N/A",0,RTD("tos.rtd",,"IMPL_VOL","."&amp;I$2&amp;I$1&amp;"P"&amp;$A28))),0)-IFERROR(VALUE(IF(RTD("tos.rtd",,"IMPL_VOL","."&amp;I$2&amp;I$1&amp;"C"&amp;$A28)="N/A",0,RTD("tos.rtd",,"IMPL_VOL","."&amp;I$2&amp;I$1&amp;"C"&amp;$A28))),0),IF($A$2="MAXPAIN",IF($A$4&gt;$A28,($A$4-$A28)*IF(RTD("tos.rtd",,"OPEN_INT","."&amp;I$2&amp;I$1&amp;"C"&amp;$A28)="N/A",0,RTD("tos.rtd",,"OPEN_INT","."&amp;I$2&amp;I$1&amp;"C"&amp;$A28)),0)+IF($A$4&lt;$A28,($A28-$A$4)*IF(RTD("tos.rtd",,"OPEN_INT","."&amp;I$2&amp;I$1&amp;"P"&amp;$A28)="N/A",0,RTD("tos.rtd",,"OPEN_INT","."&amp;I$2&amp;I$1&amp;"P"&amp;$A28)),0),IF(RTD("tos.rtd",,$A$2,"."&amp;I$2&amp;I$1&amp;"C"&amp;$A28)="N/A",0,RTD("tos.rtd",,$A$2,"."&amp;I$2&amp;I$1&amp;"C"&amp;$A28))-IF(RTD("tos.rtd",,$A$2,"."&amp;I$2&amp;I$1&amp;"P"&amp;$A28)="N/A",0,RTD("tos.rtd",,$A$2,"."&amp;I$2&amp;I$1&amp;"P"&amp;$A28)))))))))</f>
        <v>0</v>
      </c>
      <c r="J28" s="12">
        <f>IF($A$2="PREMIUM_OI",IFERROR((100*RTD("tos.rtd",,"OPEN_INT","."&amp;J$2&amp;J$1&amp;"C"&amp;$A28)*RTD("tos.rtd",,"LAST","."&amp;J$2&amp;J$1&amp;"C"&amp;$A28)-100*RTD("tos.rtd",,"OPEN_INT","."&amp;J$2&amp;J$1&amp;"P"&amp;$A28)*RTD("tos.rtd",,"LAST","."&amp;J$2&amp;J$1&amp;"P"&amp;$A28))/1000000,0),IF($A$2="PREMIUM",IFERROR((100*RTD("tos.rtd",,"VOLUME","."&amp;J$2&amp;J$1&amp;"C"&amp;$A28)*RTD("tos.rtd",,"LAST","."&amp;J$2&amp;J$1&amp;"C"&amp;$A28)-100*RTD("tos.rtd",,"VOLUME","."&amp;J$2&amp;J$1&amp;"P"&amp;$A28)*RTD("tos.rtd",,"LAST","."&amp;J$2&amp;J$1&amp;"P"&amp;$A28))/1000000,0),IF($A$2="DEX",IFERROR((100*RTD("tos.rtd",,"OPEN_INT","."&amp;J$2&amp;J$1&amp;"C"&amp;$A28)*RTD("tos.rtd",,"DELTA","."&amp;J$2&amp;J$1&amp;"C"&amp;$A28)-100*RTD("tos.rtd",,"OPEN_INT","."&amp;J$2&amp;J$1&amp;"P"&amp;$A28)*RTD("tos.rtd",,"DELTA","."&amp;J$2&amp;J$1&amp;"P"&amp;$A28))/1000,0),IF($A$2="VEX",IFERROR(($A$4*$A$4*RTD("tos.rtd",,"VOLUME","."&amp;J$2&amp;J$1&amp;"C"&amp;$A28)*RTD("tos.rtd",,"GAMMA","."&amp;J$2&amp;J$1&amp;"C"&amp;$A28)-$A$4*$A$4*RTD("tos.rtd",,"VOLUME","."&amp;J$2&amp;J$1&amp;"P"&amp;$A28)*RTD("tos.rtd",,"GAMMA","."&amp;J$2&amp;J$1&amp;"P"&amp;$A28))/1000000,0),IF($A$2="GEX",IFERROR(($A$4*$A$4*RTD("tos.rtd",,"OPEN_INT","."&amp;J$2&amp;J$1&amp;"C"&amp;$A28)*RTD("tos.rtd",,"GAMMA","."&amp;J$2&amp;J$1&amp;"C"&amp;$A28)-$A$4*$A$4*RTD("tos.rtd",,"OPEN_INT","."&amp;J$2&amp;J$1&amp;"P"&amp;$A28)*RTD("tos.rtd",,"GAMMA","."&amp;J$2&amp;J$1&amp;"P"&amp;$A28))/1000000,0),IF($A$2="SKEW",IFERROR(VALUE(IF(RTD("tos.rtd",,"IMPL_VOL","."&amp;J$2&amp;J$1&amp;"P"&amp;$A28)="N/A",0,RTD("tos.rtd",,"IMPL_VOL","."&amp;J$2&amp;J$1&amp;"P"&amp;$A28))),0)-IFERROR(VALUE(IF(RTD("tos.rtd",,"IMPL_VOL","."&amp;J$2&amp;J$1&amp;"C"&amp;$A28)="N/A",0,RTD("tos.rtd",,"IMPL_VOL","."&amp;J$2&amp;J$1&amp;"C"&amp;$A28))),0),IF($A$2="MAXPAIN",IF($A$4&gt;$A28,($A$4-$A28)*IF(RTD("tos.rtd",,"OPEN_INT","."&amp;J$2&amp;J$1&amp;"C"&amp;$A28)="N/A",0,RTD("tos.rtd",,"OPEN_INT","."&amp;J$2&amp;J$1&amp;"C"&amp;$A28)),0)+IF($A$4&lt;$A28,($A28-$A$4)*IF(RTD("tos.rtd",,"OPEN_INT","."&amp;J$2&amp;J$1&amp;"P"&amp;$A28)="N/A",0,RTD("tos.rtd",,"OPEN_INT","."&amp;J$2&amp;J$1&amp;"P"&amp;$A28)),0),IF(RTD("tos.rtd",,$A$2,"."&amp;J$2&amp;J$1&amp;"C"&amp;$A28)="N/A",0,RTD("tos.rtd",,$A$2,"."&amp;J$2&amp;J$1&amp;"C"&amp;$A28))-IF(RTD("tos.rtd",,$A$2,"."&amp;J$2&amp;J$1&amp;"P"&amp;$A28)="N/A",0,RTD("tos.rtd",,$A$2,"."&amp;J$2&amp;J$1&amp;"P"&amp;$A28)))))))))</f>
        <v>0</v>
      </c>
      <c r="K28" s="12">
        <f>IF($A$2="PREMIUM_OI",IFERROR((100*RTD("tos.rtd",,"OPEN_INT","."&amp;K$2&amp;K$1&amp;"C"&amp;$A28)*RTD("tos.rtd",,"LAST","."&amp;K$2&amp;K$1&amp;"C"&amp;$A28)-100*RTD("tos.rtd",,"OPEN_INT","."&amp;K$2&amp;K$1&amp;"P"&amp;$A28)*RTD("tos.rtd",,"LAST","."&amp;K$2&amp;K$1&amp;"P"&amp;$A28))/1000000,0),IF($A$2="PREMIUM",IFERROR((100*RTD("tos.rtd",,"VOLUME","."&amp;K$2&amp;K$1&amp;"C"&amp;$A28)*RTD("tos.rtd",,"LAST","."&amp;K$2&amp;K$1&amp;"C"&amp;$A28)-100*RTD("tos.rtd",,"VOLUME","."&amp;K$2&amp;K$1&amp;"P"&amp;$A28)*RTD("tos.rtd",,"LAST","."&amp;K$2&amp;K$1&amp;"P"&amp;$A28))/1000000,0),IF($A$2="DEX",IFERROR((100*RTD("tos.rtd",,"OPEN_INT","."&amp;K$2&amp;K$1&amp;"C"&amp;$A28)*RTD("tos.rtd",,"DELTA","."&amp;K$2&amp;K$1&amp;"C"&amp;$A28)-100*RTD("tos.rtd",,"OPEN_INT","."&amp;K$2&amp;K$1&amp;"P"&amp;$A28)*RTD("tos.rtd",,"DELTA","."&amp;K$2&amp;K$1&amp;"P"&amp;$A28))/1000,0),IF($A$2="VEX",IFERROR(($A$4*$A$4*RTD("tos.rtd",,"VOLUME","."&amp;K$2&amp;K$1&amp;"C"&amp;$A28)*RTD("tos.rtd",,"GAMMA","."&amp;K$2&amp;K$1&amp;"C"&amp;$A28)-$A$4*$A$4*RTD("tos.rtd",,"VOLUME","."&amp;K$2&amp;K$1&amp;"P"&amp;$A28)*RTD("tos.rtd",,"GAMMA","."&amp;K$2&amp;K$1&amp;"P"&amp;$A28))/1000000,0),IF($A$2="GEX",IFERROR(($A$4*$A$4*RTD("tos.rtd",,"OPEN_INT","."&amp;K$2&amp;K$1&amp;"C"&amp;$A28)*RTD("tos.rtd",,"GAMMA","."&amp;K$2&amp;K$1&amp;"C"&amp;$A28)-$A$4*$A$4*RTD("tos.rtd",,"OPEN_INT","."&amp;K$2&amp;K$1&amp;"P"&amp;$A28)*RTD("tos.rtd",,"GAMMA","."&amp;K$2&amp;K$1&amp;"P"&amp;$A28))/1000000,0),IF($A$2="SKEW",IFERROR(VALUE(IF(RTD("tos.rtd",,"IMPL_VOL","."&amp;K$2&amp;K$1&amp;"P"&amp;$A28)="N/A",0,RTD("tos.rtd",,"IMPL_VOL","."&amp;K$2&amp;K$1&amp;"P"&amp;$A28))),0)-IFERROR(VALUE(IF(RTD("tos.rtd",,"IMPL_VOL","."&amp;K$2&amp;K$1&amp;"C"&amp;$A28)="N/A",0,RTD("tos.rtd",,"IMPL_VOL","."&amp;K$2&amp;K$1&amp;"C"&amp;$A28))),0),IF($A$2="MAXPAIN",IF($A$4&gt;$A28,($A$4-$A28)*IF(RTD("tos.rtd",,"OPEN_INT","."&amp;K$2&amp;K$1&amp;"C"&amp;$A28)="N/A",0,RTD("tos.rtd",,"OPEN_INT","."&amp;K$2&amp;K$1&amp;"C"&amp;$A28)),0)+IF($A$4&lt;$A28,($A28-$A$4)*IF(RTD("tos.rtd",,"OPEN_INT","."&amp;K$2&amp;K$1&amp;"P"&amp;$A28)="N/A",0,RTD("tos.rtd",,"OPEN_INT","."&amp;K$2&amp;K$1&amp;"P"&amp;$A28)),0),IF(RTD("tos.rtd",,$A$2,"."&amp;K$2&amp;K$1&amp;"C"&amp;$A28)="N/A",0,RTD("tos.rtd",,$A$2,"."&amp;K$2&amp;K$1&amp;"C"&amp;$A28))-IF(RTD("tos.rtd",,$A$2,"."&amp;K$2&amp;K$1&amp;"P"&amp;$A28)="N/A",0,RTD("tos.rtd",,$A$2,"."&amp;K$2&amp;K$1&amp;"P"&amp;$A28)))))))))</f>
        <v>0</v>
      </c>
      <c r="L28" s="12">
        <f>IF($A$2="PREMIUM_OI",IFERROR((100*RTD("tos.rtd",,"OPEN_INT","."&amp;L$2&amp;L$1&amp;"C"&amp;$A28)*RTD("tos.rtd",,"LAST","."&amp;L$2&amp;L$1&amp;"C"&amp;$A28)-100*RTD("tos.rtd",,"OPEN_INT","."&amp;L$2&amp;L$1&amp;"P"&amp;$A28)*RTD("tos.rtd",,"LAST","."&amp;L$2&amp;L$1&amp;"P"&amp;$A28))/1000000,0),IF($A$2="PREMIUM",IFERROR((100*RTD("tos.rtd",,"VOLUME","."&amp;L$2&amp;L$1&amp;"C"&amp;$A28)*RTD("tos.rtd",,"LAST","."&amp;L$2&amp;L$1&amp;"C"&amp;$A28)-100*RTD("tos.rtd",,"VOLUME","."&amp;L$2&amp;L$1&amp;"P"&amp;$A28)*RTD("tos.rtd",,"LAST","."&amp;L$2&amp;L$1&amp;"P"&amp;$A28))/1000000,0),IF($A$2="DEX",IFERROR((100*RTD("tos.rtd",,"OPEN_INT","."&amp;L$2&amp;L$1&amp;"C"&amp;$A28)*RTD("tos.rtd",,"DELTA","."&amp;L$2&amp;L$1&amp;"C"&amp;$A28)-100*RTD("tos.rtd",,"OPEN_INT","."&amp;L$2&amp;L$1&amp;"P"&amp;$A28)*RTD("tos.rtd",,"DELTA","."&amp;L$2&amp;L$1&amp;"P"&amp;$A28))/1000,0),IF($A$2="VEX",IFERROR(($A$4*$A$4*RTD("tos.rtd",,"VOLUME","."&amp;L$2&amp;L$1&amp;"C"&amp;$A28)*RTD("tos.rtd",,"GAMMA","."&amp;L$2&amp;L$1&amp;"C"&amp;$A28)-$A$4*$A$4*RTD("tos.rtd",,"VOLUME","."&amp;L$2&amp;L$1&amp;"P"&amp;$A28)*RTD("tos.rtd",,"GAMMA","."&amp;L$2&amp;L$1&amp;"P"&amp;$A28))/1000000,0),IF($A$2="GEX",IFERROR(($A$4*$A$4*RTD("tos.rtd",,"OPEN_INT","."&amp;L$2&amp;L$1&amp;"C"&amp;$A28)*RTD("tos.rtd",,"GAMMA","."&amp;L$2&amp;L$1&amp;"C"&amp;$A28)-$A$4*$A$4*RTD("tos.rtd",,"OPEN_INT","."&amp;L$2&amp;L$1&amp;"P"&amp;$A28)*RTD("tos.rtd",,"GAMMA","."&amp;L$2&amp;L$1&amp;"P"&amp;$A28))/1000000,0),IF($A$2="SKEW",IFERROR(VALUE(IF(RTD("tos.rtd",,"IMPL_VOL","."&amp;L$2&amp;L$1&amp;"P"&amp;$A28)="N/A",0,RTD("tos.rtd",,"IMPL_VOL","."&amp;L$2&amp;L$1&amp;"P"&amp;$A28))),0)-IFERROR(VALUE(IF(RTD("tos.rtd",,"IMPL_VOL","."&amp;L$2&amp;L$1&amp;"C"&amp;$A28)="N/A",0,RTD("tos.rtd",,"IMPL_VOL","."&amp;L$2&amp;L$1&amp;"C"&amp;$A28))),0),IF($A$2="MAXPAIN",IF($A$4&gt;$A28,($A$4-$A28)*IF(RTD("tos.rtd",,"OPEN_INT","."&amp;L$2&amp;L$1&amp;"C"&amp;$A28)="N/A",0,RTD("tos.rtd",,"OPEN_INT","."&amp;L$2&amp;L$1&amp;"C"&amp;$A28)),0)+IF($A$4&lt;$A28,($A28-$A$4)*IF(RTD("tos.rtd",,"OPEN_INT","."&amp;L$2&amp;L$1&amp;"P"&amp;$A28)="N/A",0,RTD("tos.rtd",,"OPEN_INT","."&amp;L$2&amp;L$1&amp;"P"&amp;$A28)),0),IF(RTD("tos.rtd",,$A$2,"."&amp;L$2&amp;L$1&amp;"C"&amp;$A28)="N/A",0,RTD("tos.rtd",,$A$2,"."&amp;L$2&amp;L$1&amp;"C"&amp;$A28))-IF(RTD("tos.rtd",,$A$2,"."&amp;L$2&amp;L$1&amp;"P"&amp;$A28)="N/A",0,RTD("tos.rtd",,$A$2,"."&amp;L$2&amp;L$1&amp;"P"&amp;$A28)))))))))</f>
        <v>0</v>
      </c>
      <c r="M28" s="12">
        <f>IF($A$2="PREMIUM_OI",IFERROR((100*RTD("tos.rtd",,"OPEN_INT","."&amp;M$2&amp;M$1&amp;"C"&amp;$A28)*RTD("tos.rtd",,"LAST","."&amp;M$2&amp;M$1&amp;"C"&amp;$A28)-100*RTD("tos.rtd",,"OPEN_INT","."&amp;M$2&amp;M$1&amp;"P"&amp;$A28)*RTD("tos.rtd",,"LAST","."&amp;M$2&amp;M$1&amp;"P"&amp;$A28))/1000000,0),IF($A$2="PREMIUM",IFERROR((100*RTD("tos.rtd",,"VOLUME","."&amp;M$2&amp;M$1&amp;"C"&amp;$A28)*RTD("tos.rtd",,"LAST","."&amp;M$2&amp;M$1&amp;"C"&amp;$A28)-100*RTD("tos.rtd",,"VOLUME","."&amp;M$2&amp;M$1&amp;"P"&amp;$A28)*RTD("tos.rtd",,"LAST","."&amp;M$2&amp;M$1&amp;"P"&amp;$A28))/1000000,0),IF($A$2="DEX",IFERROR((100*RTD("tos.rtd",,"OPEN_INT","."&amp;M$2&amp;M$1&amp;"C"&amp;$A28)*RTD("tos.rtd",,"DELTA","."&amp;M$2&amp;M$1&amp;"C"&amp;$A28)-100*RTD("tos.rtd",,"OPEN_INT","."&amp;M$2&amp;M$1&amp;"P"&amp;$A28)*RTD("tos.rtd",,"DELTA","."&amp;M$2&amp;M$1&amp;"P"&amp;$A28))/1000,0),IF($A$2="VEX",IFERROR(($A$4*$A$4*RTD("tos.rtd",,"VOLUME","."&amp;M$2&amp;M$1&amp;"C"&amp;$A28)*RTD("tos.rtd",,"GAMMA","."&amp;M$2&amp;M$1&amp;"C"&amp;$A28)-$A$4*$A$4*RTD("tos.rtd",,"VOLUME","."&amp;M$2&amp;M$1&amp;"P"&amp;$A28)*RTD("tos.rtd",,"GAMMA","."&amp;M$2&amp;M$1&amp;"P"&amp;$A28))/1000000,0),IF($A$2="GEX",IFERROR(($A$4*$A$4*RTD("tos.rtd",,"OPEN_INT","."&amp;M$2&amp;M$1&amp;"C"&amp;$A28)*RTD("tos.rtd",,"GAMMA","."&amp;M$2&amp;M$1&amp;"C"&amp;$A28)-$A$4*$A$4*RTD("tos.rtd",,"OPEN_INT","."&amp;M$2&amp;M$1&amp;"P"&amp;$A28)*RTD("tos.rtd",,"GAMMA","."&amp;M$2&amp;M$1&amp;"P"&amp;$A28))/1000000,0),IF($A$2="SKEW",IFERROR(VALUE(IF(RTD("tos.rtd",,"IMPL_VOL","."&amp;M$2&amp;M$1&amp;"P"&amp;$A28)="N/A",0,RTD("tos.rtd",,"IMPL_VOL","."&amp;M$2&amp;M$1&amp;"P"&amp;$A28))),0)-IFERROR(VALUE(IF(RTD("tos.rtd",,"IMPL_VOL","."&amp;M$2&amp;M$1&amp;"C"&amp;$A28)="N/A",0,RTD("tos.rtd",,"IMPL_VOL","."&amp;M$2&amp;M$1&amp;"C"&amp;$A28))),0),IF($A$2="MAXPAIN",IF($A$4&gt;$A28,($A$4-$A28)*IF(RTD("tos.rtd",,"OPEN_INT","."&amp;M$2&amp;M$1&amp;"C"&amp;$A28)="N/A",0,RTD("tos.rtd",,"OPEN_INT","."&amp;M$2&amp;M$1&amp;"C"&amp;$A28)),0)+IF($A$4&lt;$A28,($A28-$A$4)*IF(RTD("tos.rtd",,"OPEN_INT","."&amp;M$2&amp;M$1&amp;"P"&amp;$A28)="N/A",0,RTD("tos.rtd",,"OPEN_INT","."&amp;M$2&amp;M$1&amp;"P"&amp;$A28)),0),IF(RTD("tos.rtd",,$A$2,"."&amp;M$2&amp;M$1&amp;"C"&amp;$A28)="N/A",0,RTD("tos.rtd",,$A$2,"."&amp;M$2&amp;M$1&amp;"C"&amp;$A28))-IF(RTD("tos.rtd",,$A$2,"."&amp;M$2&amp;M$1&amp;"P"&amp;$A28)="N/A",0,RTD("tos.rtd",,$A$2,"."&amp;M$2&amp;M$1&amp;"P"&amp;$A28)))))))))</f>
        <v>36245</v>
      </c>
      <c r="N28" s="12">
        <f>IF($A$2="PREMIUM_OI",IFERROR((100*RTD("tos.rtd",,"OPEN_INT","."&amp;N$2&amp;N$1&amp;"C"&amp;$A28)*RTD("tos.rtd",,"LAST","."&amp;N$2&amp;N$1&amp;"C"&amp;$A28)-100*RTD("tos.rtd",,"OPEN_INT","."&amp;N$2&amp;N$1&amp;"P"&amp;$A28)*RTD("tos.rtd",,"LAST","."&amp;N$2&amp;N$1&amp;"P"&amp;$A28))/1000000,0),IF($A$2="PREMIUM",IFERROR((100*RTD("tos.rtd",,"VOLUME","."&amp;N$2&amp;N$1&amp;"C"&amp;$A28)*RTD("tos.rtd",,"LAST","."&amp;N$2&amp;N$1&amp;"C"&amp;$A28)-100*RTD("tos.rtd",,"VOLUME","."&amp;N$2&amp;N$1&amp;"P"&amp;$A28)*RTD("tos.rtd",,"LAST","."&amp;N$2&amp;N$1&amp;"P"&amp;$A28))/1000000,0),IF($A$2="DEX",IFERROR((100*RTD("tos.rtd",,"OPEN_INT","."&amp;N$2&amp;N$1&amp;"C"&amp;$A28)*RTD("tos.rtd",,"DELTA","."&amp;N$2&amp;N$1&amp;"C"&amp;$A28)-100*RTD("tos.rtd",,"OPEN_INT","."&amp;N$2&amp;N$1&amp;"P"&amp;$A28)*RTD("tos.rtd",,"DELTA","."&amp;N$2&amp;N$1&amp;"P"&amp;$A28))/1000,0),IF($A$2="VEX",IFERROR(($A$4*$A$4*RTD("tos.rtd",,"VOLUME","."&amp;N$2&amp;N$1&amp;"C"&amp;$A28)*RTD("tos.rtd",,"GAMMA","."&amp;N$2&amp;N$1&amp;"C"&amp;$A28)-$A$4*$A$4*RTD("tos.rtd",,"VOLUME","."&amp;N$2&amp;N$1&amp;"P"&amp;$A28)*RTD("tos.rtd",,"GAMMA","."&amp;N$2&amp;N$1&amp;"P"&amp;$A28))/1000000,0),IF($A$2="GEX",IFERROR(($A$4*$A$4*RTD("tos.rtd",,"OPEN_INT","."&amp;N$2&amp;N$1&amp;"C"&amp;$A28)*RTD("tos.rtd",,"GAMMA","."&amp;N$2&amp;N$1&amp;"C"&amp;$A28)-$A$4*$A$4*RTD("tos.rtd",,"OPEN_INT","."&amp;N$2&amp;N$1&amp;"P"&amp;$A28)*RTD("tos.rtd",,"GAMMA","."&amp;N$2&amp;N$1&amp;"P"&amp;$A28))/1000000,0),IF($A$2="SKEW",IFERROR(VALUE(IF(RTD("tos.rtd",,"IMPL_VOL","."&amp;N$2&amp;N$1&amp;"P"&amp;$A28)="N/A",0,RTD("tos.rtd",,"IMPL_VOL","."&amp;N$2&amp;N$1&amp;"P"&amp;$A28))),0)-IFERROR(VALUE(IF(RTD("tos.rtd",,"IMPL_VOL","."&amp;N$2&amp;N$1&amp;"C"&amp;$A28)="N/A",0,RTD("tos.rtd",,"IMPL_VOL","."&amp;N$2&amp;N$1&amp;"C"&amp;$A28))),0),IF($A$2="MAXPAIN",IF($A$4&gt;$A28,($A$4-$A28)*IF(RTD("tos.rtd",,"OPEN_INT","."&amp;N$2&amp;N$1&amp;"C"&amp;$A28)="N/A",0,RTD("tos.rtd",,"OPEN_INT","."&amp;N$2&amp;N$1&amp;"C"&amp;$A28)),0)+IF($A$4&lt;$A28,($A28-$A$4)*IF(RTD("tos.rtd",,"OPEN_INT","."&amp;N$2&amp;N$1&amp;"P"&amp;$A28)="N/A",0,RTD("tos.rtd",,"OPEN_INT","."&amp;N$2&amp;N$1&amp;"P"&amp;$A28)),0),IF(RTD("tos.rtd",,$A$2,"."&amp;N$2&amp;N$1&amp;"C"&amp;$A28)="N/A",0,RTD("tos.rtd",,$A$2,"."&amp;N$2&amp;N$1&amp;"C"&amp;$A28))-IF(RTD("tos.rtd",,$A$2,"."&amp;N$2&amp;N$1&amp;"P"&amp;$A28)="N/A",0,RTD("tos.rtd",,$A$2,"."&amp;N$2&amp;N$1&amp;"P"&amp;$A28)))))))))</f>
        <v>0</v>
      </c>
      <c r="O28" s="12">
        <f>IF($A$2="PREMIUM_OI",IFERROR((100*RTD("tos.rtd",,"OPEN_INT","."&amp;O$2&amp;O$1&amp;"C"&amp;$A28)*RTD("tos.rtd",,"LAST","."&amp;O$2&amp;O$1&amp;"C"&amp;$A28)-100*RTD("tos.rtd",,"OPEN_INT","."&amp;O$2&amp;O$1&amp;"P"&amp;$A28)*RTD("tos.rtd",,"LAST","."&amp;O$2&amp;O$1&amp;"P"&amp;$A28))/1000000,0),IF($A$2="PREMIUM",IFERROR((100*RTD("tos.rtd",,"VOLUME","."&amp;O$2&amp;O$1&amp;"C"&amp;$A28)*RTD("tos.rtd",,"LAST","."&amp;O$2&amp;O$1&amp;"C"&amp;$A28)-100*RTD("tos.rtd",,"VOLUME","."&amp;O$2&amp;O$1&amp;"P"&amp;$A28)*RTD("tos.rtd",,"LAST","."&amp;O$2&amp;O$1&amp;"P"&amp;$A28))/1000000,0),IF($A$2="DEX",IFERROR((100*RTD("tos.rtd",,"OPEN_INT","."&amp;O$2&amp;O$1&amp;"C"&amp;$A28)*RTD("tos.rtd",,"DELTA","."&amp;O$2&amp;O$1&amp;"C"&amp;$A28)-100*RTD("tos.rtd",,"OPEN_INT","."&amp;O$2&amp;O$1&amp;"P"&amp;$A28)*RTD("tos.rtd",,"DELTA","."&amp;O$2&amp;O$1&amp;"P"&amp;$A28))/1000,0),IF($A$2="VEX",IFERROR(($A$4*$A$4*RTD("tos.rtd",,"VOLUME","."&amp;O$2&amp;O$1&amp;"C"&amp;$A28)*RTD("tos.rtd",,"GAMMA","."&amp;O$2&amp;O$1&amp;"C"&amp;$A28)-$A$4*$A$4*RTD("tos.rtd",,"VOLUME","."&amp;O$2&amp;O$1&amp;"P"&amp;$A28)*RTD("tos.rtd",,"GAMMA","."&amp;O$2&amp;O$1&amp;"P"&amp;$A28))/1000000,0),IF($A$2="GEX",IFERROR(($A$4*$A$4*RTD("tos.rtd",,"OPEN_INT","."&amp;O$2&amp;O$1&amp;"C"&amp;$A28)*RTD("tos.rtd",,"GAMMA","."&amp;O$2&amp;O$1&amp;"C"&amp;$A28)-$A$4*$A$4*RTD("tos.rtd",,"OPEN_INT","."&amp;O$2&amp;O$1&amp;"P"&amp;$A28)*RTD("tos.rtd",,"GAMMA","."&amp;O$2&amp;O$1&amp;"P"&amp;$A28))/1000000,0),IF($A$2="SKEW",IFERROR(VALUE(IF(RTD("tos.rtd",,"IMPL_VOL","."&amp;O$2&amp;O$1&amp;"P"&amp;$A28)="N/A",0,RTD("tos.rtd",,"IMPL_VOL","."&amp;O$2&amp;O$1&amp;"P"&amp;$A28))),0)-IFERROR(VALUE(IF(RTD("tos.rtd",,"IMPL_VOL","."&amp;O$2&amp;O$1&amp;"C"&amp;$A28)="N/A",0,RTD("tos.rtd",,"IMPL_VOL","."&amp;O$2&amp;O$1&amp;"C"&amp;$A28))),0),IF($A$2="MAXPAIN",IF($A$4&gt;$A28,($A$4-$A28)*IF(RTD("tos.rtd",,"OPEN_INT","."&amp;O$2&amp;O$1&amp;"C"&amp;$A28)="N/A",0,RTD("tos.rtd",,"OPEN_INT","."&amp;O$2&amp;O$1&amp;"C"&amp;$A28)),0)+IF($A$4&lt;$A28,($A28-$A$4)*IF(RTD("tos.rtd",,"OPEN_INT","."&amp;O$2&amp;O$1&amp;"P"&amp;$A28)="N/A",0,RTD("tos.rtd",,"OPEN_INT","."&amp;O$2&amp;O$1&amp;"P"&amp;$A28)),0),IF(RTD("tos.rtd",,$A$2,"."&amp;O$2&amp;O$1&amp;"C"&amp;$A28)="N/A",0,RTD("tos.rtd",,$A$2,"."&amp;O$2&amp;O$1&amp;"C"&amp;$A28))-IF(RTD("tos.rtd",,$A$2,"."&amp;O$2&amp;O$1&amp;"P"&amp;$A28)="N/A",0,RTD("tos.rtd",,$A$2,"."&amp;O$2&amp;O$1&amp;"P"&amp;$A28)))))))))</f>
        <v>0</v>
      </c>
      <c r="P28" s="12">
        <f>IF($A$2="PREMIUM_OI",IFERROR((100*RTD("tos.rtd",,"OPEN_INT","."&amp;P$2&amp;P$1&amp;"C"&amp;$A28)*RTD("tos.rtd",,"LAST","."&amp;P$2&amp;P$1&amp;"C"&amp;$A28)-100*RTD("tos.rtd",,"OPEN_INT","."&amp;P$2&amp;P$1&amp;"P"&amp;$A28)*RTD("tos.rtd",,"LAST","."&amp;P$2&amp;P$1&amp;"P"&amp;$A28))/1000000,0),IF($A$2="PREMIUM",IFERROR((100*RTD("tos.rtd",,"VOLUME","."&amp;P$2&amp;P$1&amp;"C"&amp;$A28)*RTD("tos.rtd",,"LAST","."&amp;P$2&amp;P$1&amp;"C"&amp;$A28)-100*RTD("tos.rtd",,"VOLUME","."&amp;P$2&amp;P$1&amp;"P"&amp;$A28)*RTD("tos.rtd",,"LAST","."&amp;P$2&amp;P$1&amp;"P"&amp;$A28))/1000000,0),IF($A$2="DEX",IFERROR((100*RTD("tos.rtd",,"OPEN_INT","."&amp;P$2&amp;P$1&amp;"C"&amp;$A28)*RTD("tos.rtd",,"DELTA","."&amp;P$2&amp;P$1&amp;"C"&amp;$A28)-100*RTD("tos.rtd",,"OPEN_INT","."&amp;P$2&amp;P$1&amp;"P"&amp;$A28)*RTD("tos.rtd",,"DELTA","."&amp;P$2&amp;P$1&amp;"P"&amp;$A28))/1000,0),IF($A$2="VEX",IFERROR(($A$4*$A$4*RTD("tos.rtd",,"VOLUME","."&amp;P$2&amp;P$1&amp;"C"&amp;$A28)*RTD("tos.rtd",,"GAMMA","."&amp;P$2&amp;P$1&amp;"C"&amp;$A28)-$A$4*$A$4*RTD("tos.rtd",,"VOLUME","."&amp;P$2&amp;P$1&amp;"P"&amp;$A28)*RTD("tos.rtd",,"GAMMA","."&amp;P$2&amp;P$1&amp;"P"&amp;$A28))/1000000,0),IF($A$2="GEX",IFERROR(($A$4*$A$4*RTD("tos.rtd",,"OPEN_INT","."&amp;P$2&amp;P$1&amp;"C"&amp;$A28)*RTD("tos.rtd",,"GAMMA","."&amp;P$2&amp;P$1&amp;"C"&amp;$A28)-$A$4*$A$4*RTD("tos.rtd",,"OPEN_INT","."&amp;P$2&amp;P$1&amp;"P"&amp;$A28)*RTD("tos.rtd",,"GAMMA","."&amp;P$2&amp;P$1&amp;"P"&amp;$A28))/1000000,0),IF($A$2="SKEW",IFERROR(VALUE(IF(RTD("tos.rtd",,"IMPL_VOL","."&amp;P$2&amp;P$1&amp;"P"&amp;$A28)="N/A",0,RTD("tos.rtd",,"IMPL_VOL","."&amp;P$2&amp;P$1&amp;"P"&amp;$A28))),0)-IFERROR(VALUE(IF(RTD("tos.rtd",,"IMPL_VOL","."&amp;P$2&amp;P$1&amp;"C"&amp;$A28)="N/A",0,RTD("tos.rtd",,"IMPL_VOL","."&amp;P$2&amp;P$1&amp;"C"&amp;$A28))),0),IF($A$2="MAXPAIN",IF($A$4&gt;$A28,($A$4-$A28)*IF(RTD("tos.rtd",,"OPEN_INT","."&amp;P$2&amp;P$1&amp;"C"&amp;$A28)="N/A",0,RTD("tos.rtd",,"OPEN_INT","."&amp;P$2&amp;P$1&amp;"C"&amp;$A28)),0)+IF($A$4&lt;$A28,($A28-$A$4)*IF(RTD("tos.rtd",,"OPEN_INT","."&amp;P$2&amp;P$1&amp;"P"&amp;$A28)="N/A",0,RTD("tos.rtd",,"OPEN_INT","."&amp;P$2&amp;P$1&amp;"P"&amp;$A28)),0),IF(RTD("tos.rtd",,$A$2,"."&amp;P$2&amp;P$1&amp;"C"&amp;$A28)="N/A",0,RTD("tos.rtd",,$A$2,"."&amp;P$2&amp;P$1&amp;"C"&amp;$A28))-IF(RTD("tos.rtd",,$A$2,"."&amp;P$2&amp;P$1&amp;"P"&amp;$A28)="N/A",0,RTD("tos.rtd",,$A$2,"."&amp;P$2&amp;P$1&amp;"P"&amp;$A28)))))))))</f>
        <v>0</v>
      </c>
      <c r="Q28" s="12">
        <f>IF($A$2="PREMIUM_OI",IFERROR((100*RTD("tos.rtd",,"OPEN_INT","."&amp;Q$2&amp;Q$1&amp;"C"&amp;$A28)*RTD("tos.rtd",,"LAST","."&amp;Q$2&amp;Q$1&amp;"C"&amp;$A28)-100*RTD("tos.rtd",,"OPEN_INT","."&amp;Q$2&amp;Q$1&amp;"P"&amp;$A28)*RTD("tos.rtd",,"LAST","."&amp;Q$2&amp;Q$1&amp;"P"&amp;$A28))/1000000,0),IF($A$2="PREMIUM",IFERROR((100*RTD("tos.rtd",,"VOLUME","."&amp;Q$2&amp;Q$1&amp;"C"&amp;$A28)*RTD("tos.rtd",,"LAST","."&amp;Q$2&amp;Q$1&amp;"C"&amp;$A28)-100*RTD("tos.rtd",,"VOLUME","."&amp;Q$2&amp;Q$1&amp;"P"&amp;$A28)*RTD("tos.rtd",,"LAST","."&amp;Q$2&amp;Q$1&amp;"P"&amp;$A28))/1000000,0),IF($A$2="DEX",IFERROR((100*RTD("tos.rtd",,"OPEN_INT","."&amp;Q$2&amp;Q$1&amp;"C"&amp;$A28)*RTD("tos.rtd",,"DELTA","."&amp;Q$2&amp;Q$1&amp;"C"&amp;$A28)-100*RTD("tos.rtd",,"OPEN_INT","."&amp;Q$2&amp;Q$1&amp;"P"&amp;$A28)*RTD("tos.rtd",,"DELTA","."&amp;Q$2&amp;Q$1&amp;"P"&amp;$A28))/1000,0),IF($A$2="VEX",IFERROR(($A$4*$A$4*RTD("tos.rtd",,"VOLUME","."&amp;Q$2&amp;Q$1&amp;"C"&amp;$A28)*RTD("tos.rtd",,"GAMMA","."&amp;Q$2&amp;Q$1&amp;"C"&amp;$A28)-$A$4*$A$4*RTD("tos.rtd",,"VOLUME","."&amp;Q$2&amp;Q$1&amp;"P"&amp;$A28)*RTD("tos.rtd",,"GAMMA","."&amp;Q$2&amp;Q$1&amp;"P"&amp;$A28))/1000000,0),IF($A$2="GEX",IFERROR(($A$4*$A$4*RTD("tos.rtd",,"OPEN_INT","."&amp;Q$2&amp;Q$1&amp;"C"&amp;$A28)*RTD("tos.rtd",,"GAMMA","."&amp;Q$2&amp;Q$1&amp;"C"&amp;$A28)-$A$4*$A$4*RTD("tos.rtd",,"OPEN_INT","."&amp;Q$2&amp;Q$1&amp;"P"&amp;$A28)*RTD("tos.rtd",,"GAMMA","."&amp;Q$2&amp;Q$1&amp;"P"&amp;$A28))/1000000,0),IF($A$2="SKEW",IFERROR(VALUE(IF(RTD("tos.rtd",,"IMPL_VOL","."&amp;Q$2&amp;Q$1&amp;"P"&amp;$A28)="N/A",0,RTD("tos.rtd",,"IMPL_VOL","."&amp;Q$2&amp;Q$1&amp;"P"&amp;$A28))),0)-IFERROR(VALUE(IF(RTD("tos.rtd",,"IMPL_VOL","."&amp;Q$2&amp;Q$1&amp;"C"&amp;$A28)="N/A",0,RTD("tos.rtd",,"IMPL_VOL","."&amp;Q$2&amp;Q$1&amp;"C"&amp;$A28))),0),IF($A$2="MAXPAIN",IF($A$4&gt;$A28,($A$4-$A28)*IF(RTD("tos.rtd",,"OPEN_INT","."&amp;Q$2&amp;Q$1&amp;"C"&amp;$A28)="N/A",0,RTD("tos.rtd",,"OPEN_INT","."&amp;Q$2&amp;Q$1&amp;"C"&amp;$A28)),0)+IF($A$4&lt;$A28,($A28-$A$4)*IF(RTD("tos.rtd",,"OPEN_INT","."&amp;Q$2&amp;Q$1&amp;"P"&amp;$A28)="N/A",0,RTD("tos.rtd",,"OPEN_INT","."&amp;Q$2&amp;Q$1&amp;"P"&amp;$A28)),0),IF(RTD("tos.rtd",,$A$2,"."&amp;Q$2&amp;Q$1&amp;"C"&amp;$A28)="N/A",0,RTD("tos.rtd",,$A$2,"."&amp;Q$2&amp;Q$1&amp;"C"&amp;$A28))-IF(RTD("tos.rtd",,$A$2,"."&amp;Q$2&amp;Q$1&amp;"P"&amp;$A28)="N/A",0,RTD("tos.rtd",,$A$2,"."&amp;Q$2&amp;Q$1&amp;"P"&amp;$A28)))))))))</f>
        <v>0</v>
      </c>
      <c r="R28" s="12">
        <f>IF($A$2="PREMIUM_OI",IFERROR((100*RTD("tos.rtd",,"OPEN_INT","."&amp;R$2&amp;R$1&amp;"C"&amp;$A28)*RTD("tos.rtd",,"LAST","."&amp;R$2&amp;R$1&amp;"C"&amp;$A28)-100*RTD("tos.rtd",,"OPEN_INT","."&amp;R$2&amp;R$1&amp;"P"&amp;$A28)*RTD("tos.rtd",,"LAST","."&amp;R$2&amp;R$1&amp;"P"&amp;$A28))/1000000,0),IF($A$2="PREMIUM",IFERROR((100*RTD("tos.rtd",,"VOLUME","."&amp;R$2&amp;R$1&amp;"C"&amp;$A28)*RTD("tos.rtd",,"LAST","."&amp;R$2&amp;R$1&amp;"C"&amp;$A28)-100*RTD("tos.rtd",,"VOLUME","."&amp;R$2&amp;R$1&amp;"P"&amp;$A28)*RTD("tos.rtd",,"LAST","."&amp;R$2&amp;R$1&amp;"P"&amp;$A28))/1000000,0),IF($A$2="DEX",IFERROR((100*RTD("tos.rtd",,"OPEN_INT","."&amp;R$2&amp;R$1&amp;"C"&amp;$A28)*RTD("tos.rtd",,"DELTA","."&amp;R$2&amp;R$1&amp;"C"&amp;$A28)-100*RTD("tos.rtd",,"OPEN_INT","."&amp;R$2&amp;R$1&amp;"P"&amp;$A28)*RTD("tos.rtd",,"DELTA","."&amp;R$2&amp;R$1&amp;"P"&amp;$A28))/1000,0),IF($A$2="VEX",IFERROR(($A$4*$A$4*RTD("tos.rtd",,"VOLUME","."&amp;R$2&amp;R$1&amp;"C"&amp;$A28)*RTD("tos.rtd",,"GAMMA","."&amp;R$2&amp;R$1&amp;"C"&amp;$A28)-$A$4*$A$4*RTD("tos.rtd",,"VOLUME","."&amp;R$2&amp;R$1&amp;"P"&amp;$A28)*RTD("tos.rtd",,"GAMMA","."&amp;R$2&amp;R$1&amp;"P"&amp;$A28))/1000000,0),IF($A$2="GEX",IFERROR(($A$4*$A$4*RTD("tos.rtd",,"OPEN_INT","."&amp;R$2&amp;R$1&amp;"C"&amp;$A28)*RTD("tos.rtd",,"GAMMA","."&amp;R$2&amp;R$1&amp;"C"&amp;$A28)-$A$4*$A$4*RTD("tos.rtd",,"OPEN_INT","."&amp;R$2&amp;R$1&amp;"P"&amp;$A28)*RTD("tos.rtd",,"GAMMA","."&amp;R$2&amp;R$1&amp;"P"&amp;$A28))/1000000,0),IF($A$2="SKEW",IFERROR(VALUE(IF(RTD("tos.rtd",,"IMPL_VOL","."&amp;R$2&amp;R$1&amp;"P"&amp;$A28)="N/A",0,RTD("tos.rtd",,"IMPL_VOL","."&amp;R$2&amp;R$1&amp;"P"&amp;$A28))),0)-IFERROR(VALUE(IF(RTD("tos.rtd",,"IMPL_VOL","."&amp;R$2&amp;R$1&amp;"C"&amp;$A28)="N/A",0,RTD("tos.rtd",,"IMPL_VOL","."&amp;R$2&amp;R$1&amp;"C"&amp;$A28))),0),IF($A$2="MAXPAIN",IF($A$4&gt;$A28,($A$4-$A28)*IF(RTD("tos.rtd",,"OPEN_INT","."&amp;R$2&amp;R$1&amp;"C"&amp;$A28)="N/A",0,RTD("tos.rtd",,"OPEN_INT","."&amp;R$2&amp;R$1&amp;"C"&amp;$A28)),0)+IF($A$4&lt;$A28,($A28-$A$4)*IF(RTD("tos.rtd",,"OPEN_INT","."&amp;R$2&amp;R$1&amp;"P"&amp;$A28)="N/A",0,RTD("tos.rtd",,"OPEN_INT","."&amp;R$2&amp;R$1&amp;"P"&amp;$A28)),0),IF(RTD("tos.rtd",,$A$2,"."&amp;R$2&amp;R$1&amp;"C"&amp;$A28)="N/A",0,RTD("tos.rtd",,$A$2,"."&amp;R$2&amp;R$1&amp;"C"&amp;$A28))-IF(RTD("tos.rtd",,$A$2,"."&amp;R$2&amp;R$1&amp;"P"&amp;$A28)="N/A",0,RTD("tos.rtd",,$A$2,"."&amp;R$2&amp;R$1&amp;"P"&amp;$A28)))))))))</f>
        <v>17972</v>
      </c>
      <c r="S28" s="12">
        <f>IF($A$2="PREMIUM_OI",IFERROR((100*RTD("tos.rtd",,"OPEN_INT","."&amp;S$2&amp;S$1&amp;"C"&amp;$A28)*RTD("tos.rtd",,"LAST","."&amp;S$2&amp;S$1&amp;"C"&amp;$A28)-100*RTD("tos.rtd",,"OPEN_INT","."&amp;S$2&amp;S$1&amp;"P"&amp;$A28)*RTD("tos.rtd",,"LAST","."&amp;S$2&amp;S$1&amp;"P"&amp;$A28))/1000000,0),IF($A$2="PREMIUM",IFERROR((100*RTD("tos.rtd",,"VOLUME","."&amp;S$2&amp;S$1&amp;"C"&amp;$A28)*RTD("tos.rtd",,"LAST","."&amp;S$2&amp;S$1&amp;"C"&amp;$A28)-100*RTD("tos.rtd",,"VOLUME","."&amp;S$2&amp;S$1&amp;"P"&amp;$A28)*RTD("tos.rtd",,"LAST","."&amp;S$2&amp;S$1&amp;"P"&amp;$A28))/1000000,0),IF($A$2="DEX",IFERROR((100*RTD("tos.rtd",,"OPEN_INT","."&amp;S$2&amp;S$1&amp;"C"&amp;$A28)*RTD("tos.rtd",,"DELTA","."&amp;S$2&amp;S$1&amp;"C"&amp;$A28)-100*RTD("tos.rtd",,"OPEN_INT","."&amp;S$2&amp;S$1&amp;"P"&amp;$A28)*RTD("tos.rtd",,"DELTA","."&amp;S$2&amp;S$1&amp;"P"&amp;$A28))/1000,0),IF($A$2="VEX",IFERROR(($A$4*$A$4*RTD("tos.rtd",,"VOLUME","."&amp;S$2&amp;S$1&amp;"C"&amp;$A28)*RTD("tos.rtd",,"GAMMA","."&amp;S$2&amp;S$1&amp;"C"&amp;$A28)-$A$4*$A$4*RTD("tos.rtd",,"VOLUME","."&amp;S$2&amp;S$1&amp;"P"&amp;$A28)*RTD("tos.rtd",,"GAMMA","."&amp;S$2&amp;S$1&amp;"P"&amp;$A28))/1000000,0),IF($A$2="GEX",IFERROR(($A$4*$A$4*RTD("tos.rtd",,"OPEN_INT","."&amp;S$2&amp;S$1&amp;"C"&amp;$A28)*RTD("tos.rtd",,"GAMMA","."&amp;S$2&amp;S$1&amp;"C"&amp;$A28)-$A$4*$A$4*RTD("tos.rtd",,"OPEN_INT","."&amp;S$2&amp;S$1&amp;"P"&amp;$A28)*RTD("tos.rtd",,"GAMMA","."&amp;S$2&amp;S$1&amp;"P"&amp;$A28))/1000000,0),IF($A$2="SKEW",IFERROR(VALUE(IF(RTD("tos.rtd",,"IMPL_VOL","."&amp;S$2&amp;S$1&amp;"P"&amp;$A28)="N/A",0,RTD("tos.rtd",,"IMPL_VOL","."&amp;S$2&amp;S$1&amp;"P"&amp;$A28))),0)-IFERROR(VALUE(IF(RTD("tos.rtd",,"IMPL_VOL","."&amp;S$2&amp;S$1&amp;"C"&amp;$A28)="N/A",0,RTD("tos.rtd",,"IMPL_VOL","."&amp;S$2&amp;S$1&amp;"C"&amp;$A28))),0),IF($A$2="MAXPAIN",IF($A$4&gt;$A28,($A$4-$A28)*IF(RTD("tos.rtd",,"OPEN_INT","."&amp;S$2&amp;S$1&amp;"C"&amp;$A28)="N/A",0,RTD("tos.rtd",,"OPEN_INT","."&amp;S$2&amp;S$1&amp;"C"&amp;$A28)),0)+IF($A$4&lt;$A28,($A28-$A$4)*IF(RTD("tos.rtd",,"OPEN_INT","."&amp;S$2&amp;S$1&amp;"P"&amp;$A28)="N/A",0,RTD("tos.rtd",,"OPEN_INT","."&amp;S$2&amp;S$1&amp;"P"&amp;$A28)),0),IF(RTD("tos.rtd",,$A$2,"."&amp;S$2&amp;S$1&amp;"C"&amp;$A28)="N/A",0,RTD("tos.rtd",,$A$2,"."&amp;S$2&amp;S$1&amp;"C"&amp;$A28))-IF(RTD("tos.rtd",,$A$2,"."&amp;S$2&amp;S$1&amp;"P"&amp;$A28)="N/A",0,RTD("tos.rtd",,$A$2,"."&amp;S$2&amp;S$1&amp;"P"&amp;$A28)))))))))</f>
        <v>23265</v>
      </c>
      <c r="T28" s="12">
        <f>IF($A$2="PREMIUM_OI",IFERROR((100*RTD("tos.rtd",,"OPEN_INT","."&amp;T$2&amp;T$1&amp;"C"&amp;$A28)*RTD("tos.rtd",,"LAST","."&amp;T$2&amp;T$1&amp;"C"&amp;$A28)-100*RTD("tos.rtd",,"OPEN_INT","."&amp;T$2&amp;T$1&amp;"P"&amp;$A28)*RTD("tos.rtd",,"LAST","."&amp;T$2&amp;T$1&amp;"P"&amp;$A28))/1000000,0),IF($A$2="PREMIUM",IFERROR((100*RTD("tos.rtd",,"VOLUME","."&amp;T$2&amp;T$1&amp;"C"&amp;$A28)*RTD("tos.rtd",,"LAST","."&amp;T$2&amp;T$1&amp;"C"&amp;$A28)-100*RTD("tos.rtd",,"VOLUME","."&amp;T$2&amp;T$1&amp;"P"&amp;$A28)*RTD("tos.rtd",,"LAST","."&amp;T$2&amp;T$1&amp;"P"&amp;$A28))/1000000,0),IF($A$2="DEX",IFERROR((100*RTD("tos.rtd",,"OPEN_INT","."&amp;T$2&amp;T$1&amp;"C"&amp;$A28)*RTD("tos.rtd",,"DELTA","."&amp;T$2&amp;T$1&amp;"C"&amp;$A28)-100*RTD("tos.rtd",,"OPEN_INT","."&amp;T$2&amp;T$1&amp;"P"&amp;$A28)*RTD("tos.rtd",,"DELTA","."&amp;T$2&amp;T$1&amp;"P"&amp;$A28))/1000,0),IF($A$2="VEX",IFERROR(($A$4*$A$4*RTD("tos.rtd",,"VOLUME","."&amp;T$2&amp;T$1&amp;"C"&amp;$A28)*RTD("tos.rtd",,"GAMMA","."&amp;T$2&amp;T$1&amp;"C"&amp;$A28)-$A$4*$A$4*RTD("tos.rtd",,"VOLUME","."&amp;T$2&amp;T$1&amp;"P"&amp;$A28)*RTD("tos.rtd",,"GAMMA","."&amp;T$2&amp;T$1&amp;"P"&amp;$A28))/1000000,0),IF($A$2="GEX",IFERROR(($A$4*$A$4*RTD("tos.rtd",,"OPEN_INT","."&amp;T$2&amp;T$1&amp;"C"&amp;$A28)*RTD("tos.rtd",,"GAMMA","."&amp;T$2&amp;T$1&amp;"C"&amp;$A28)-$A$4*$A$4*RTD("tos.rtd",,"OPEN_INT","."&amp;T$2&amp;T$1&amp;"P"&amp;$A28)*RTD("tos.rtd",,"GAMMA","."&amp;T$2&amp;T$1&amp;"P"&amp;$A28))/1000000,0),IF($A$2="SKEW",IFERROR(VALUE(IF(RTD("tos.rtd",,"IMPL_VOL","."&amp;T$2&amp;T$1&amp;"P"&amp;$A28)="N/A",0,RTD("tos.rtd",,"IMPL_VOL","."&amp;T$2&amp;T$1&amp;"P"&amp;$A28))),0)-IFERROR(VALUE(IF(RTD("tos.rtd",,"IMPL_VOL","."&amp;T$2&amp;T$1&amp;"C"&amp;$A28)="N/A",0,RTD("tos.rtd",,"IMPL_VOL","."&amp;T$2&amp;T$1&amp;"C"&amp;$A28))),0),IF($A$2="MAXPAIN",IF($A$4&gt;$A28,($A$4-$A28)*IF(RTD("tos.rtd",,"OPEN_INT","."&amp;T$2&amp;T$1&amp;"C"&amp;$A28)="N/A",0,RTD("tos.rtd",,"OPEN_INT","."&amp;T$2&amp;T$1&amp;"C"&amp;$A28)),0)+IF($A$4&lt;$A28,($A28-$A$4)*IF(RTD("tos.rtd",,"OPEN_INT","."&amp;T$2&amp;T$1&amp;"P"&amp;$A28)="N/A",0,RTD("tos.rtd",,"OPEN_INT","."&amp;T$2&amp;T$1&amp;"P"&amp;$A28)),0),IF(RTD("tos.rtd",,$A$2,"."&amp;T$2&amp;T$1&amp;"C"&amp;$A28)="N/A",0,RTD("tos.rtd",,$A$2,"."&amp;T$2&amp;T$1&amp;"C"&amp;$A28))-IF(RTD("tos.rtd",,$A$2,"."&amp;T$2&amp;T$1&amp;"P"&amp;$A28)="N/A",0,RTD("tos.rtd",,$A$2,"."&amp;T$2&amp;T$1&amp;"P"&amp;$A28)))))))))</f>
        <v>6624</v>
      </c>
      <c r="U28" s="12">
        <f>IF($A$2="PREMIUM_OI",IFERROR((100*RTD("tos.rtd",,"OPEN_INT","."&amp;U$2&amp;U$1&amp;"C"&amp;$A28)*RTD("tos.rtd",,"LAST","."&amp;U$2&amp;U$1&amp;"C"&amp;$A28)-100*RTD("tos.rtd",,"OPEN_INT","."&amp;U$2&amp;U$1&amp;"P"&amp;$A28)*RTD("tos.rtd",,"LAST","."&amp;U$2&amp;U$1&amp;"P"&amp;$A28))/1000000,0),IF($A$2="PREMIUM",IFERROR((100*RTD("tos.rtd",,"VOLUME","."&amp;U$2&amp;U$1&amp;"C"&amp;$A28)*RTD("tos.rtd",,"LAST","."&amp;U$2&amp;U$1&amp;"C"&amp;$A28)-100*RTD("tos.rtd",,"VOLUME","."&amp;U$2&amp;U$1&amp;"P"&amp;$A28)*RTD("tos.rtd",,"LAST","."&amp;U$2&amp;U$1&amp;"P"&amp;$A28))/1000000,0),IF($A$2="DEX",IFERROR((100*RTD("tos.rtd",,"OPEN_INT","."&amp;U$2&amp;U$1&amp;"C"&amp;$A28)*RTD("tos.rtd",,"DELTA","."&amp;U$2&amp;U$1&amp;"C"&amp;$A28)-100*RTD("tos.rtd",,"OPEN_INT","."&amp;U$2&amp;U$1&amp;"P"&amp;$A28)*RTD("tos.rtd",,"DELTA","."&amp;U$2&amp;U$1&amp;"P"&amp;$A28))/1000,0),IF($A$2="VEX",IFERROR(($A$4*$A$4*RTD("tos.rtd",,"VOLUME","."&amp;U$2&amp;U$1&amp;"C"&amp;$A28)*RTD("tos.rtd",,"GAMMA","."&amp;U$2&amp;U$1&amp;"C"&amp;$A28)-$A$4*$A$4*RTD("tos.rtd",,"VOLUME","."&amp;U$2&amp;U$1&amp;"P"&amp;$A28)*RTD("tos.rtd",,"GAMMA","."&amp;U$2&amp;U$1&amp;"P"&amp;$A28))/1000000,0),IF($A$2="GEX",IFERROR(($A$4*$A$4*RTD("tos.rtd",,"OPEN_INT","."&amp;U$2&amp;U$1&amp;"C"&amp;$A28)*RTD("tos.rtd",,"GAMMA","."&amp;U$2&amp;U$1&amp;"C"&amp;$A28)-$A$4*$A$4*RTD("tos.rtd",,"OPEN_INT","."&amp;U$2&amp;U$1&amp;"P"&amp;$A28)*RTD("tos.rtd",,"GAMMA","."&amp;U$2&amp;U$1&amp;"P"&amp;$A28))/1000000,0),IF($A$2="SKEW",IFERROR(VALUE(IF(RTD("tos.rtd",,"IMPL_VOL","."&amp;U$2&amp;U$1&amp;"P"&amp;$A28)="N/A",0,RTD("tos.rtd",,"IMPL_VOL","."&amp;U$2&amp;U$1&amp;"P"&amp;$A28))),0)-IFERROR(VALUE(IF(RTD("tos.rtd",,"IMPL_VOL","."&amp;U$2&amp;U$1&amp;"C"&amp;$A28)="N/A",0,RTD("tos.rtd",,"IMPL_VOL","."&amp;U$2&amp;U$1&amp;"C"&amp;$A28))),0),IF($A$2="MAXPAIN",IF($A$4&gt;$A28,($A$4-$A28)*IF(RTD("tos.rtd",,"OPEN_INT","."&amp;U$2&amp;U$1&amp;"C"&amp;$A28)="N/A",0,RTD("tos.rtd",,"OPEN_INT","."&amp;U$2&amp;U$1&amp;"C"&amp;$A28)),0)+IF($A$4&lt;$A28,($A28-$A$4)*IF(RTD("tos.rtd",,"OPEN_INT","."&amp;U$2&amp;U$1&amp;"P"&amp;$A28)="N/A",0,RTD("tos.rtd",,"OPEN_INT","."&amp;U$2&amp;U$1&amp;"P"&amp;$A28)),0),IF(RTD("tos.rtd",,$A$2,"."&amp;U$2&amp;U$1&amp;"C"&amp;$A28)="N/A",0,RTD("tos.rtd",,$A$2,"."&amp;U$2&amp;U$1&amp;"C"&amp;$A28))-IF(RTD("tos.rtd",,$A$2,"."&amp;U$2&amp;U$1&amp;"P"&amp;$A28)="N/A",0,RTD("tos.rtd",,$A$2,"."&amp;U$2&amp;U$1&amp;"P"&amp;$A28)))))))))</f>
        <v>14063</v>
      </c>
      <c r="V28" s="12">
        <f>IF($A$2="PREMIUM_OI",IFERROR((100*RTD("tos.rtd",,"OPEN_INT","."&amp;V$2&amp;V$1&amp;"C"&amp;$A28)*RTD("tos.rtd",,"LAST","."&amp;V$2&amp;V$1&amp;"C"&amp;$A28)-100*RTD("tos.rtd",,"OPEN_INT","."&amp;V$2&amp;V$1&amp;"P"&amp;$A28)*RTD("tos.rtd",,"LAST","."&amp;V$2&amp;V$1&amp;"P"&amp;$A28))/1000000,0),IF($A$2="PREMIUM",IFERROR((100*RTD("tos.rtd",,"VOLUME","."&amp;V$2&amp;V$1&amp;"C"&amp;$A28)*RTD("tos.rtd",,"LAST","."&amp;V$2&amp;V$1&amp;"C"&amp;$A28)-100*RTD("tos.rtd",,"VOLUME","."&amp;V$2&amp;V$1&amp;"P"&amp;$A28)*RTD("tos.rtd",,"LAST","."&amp;V$2&amp;V$1&amp;"P"&amp;$A28))/1000000,0),IF($A$2="DEX",IFERROR((100*RTD("tos.rtd",,"OPEN_INT","."&amp;V$2&amp;V$1&amp;"C"&amp;$A28)*RTD("tos.rtd",,"DELTA","."&amp;V$2&amp;V$1&amp;"C"&amp;$A28)-100*RTD("tos.rtd",,"OPEN_INT","."&amp;V$2&amp;V$1&amp;"P"&amp;$A28)*RTD("tos.rtd",,"DELTA","."&amp;V$2&amp;V$1&amp;"P"&amp;$A28))/1000,0),IF($A$2="VEX",IFERROR(($A$4*$A$4*RTD("tos.rtd",,"VOLUME","."&amp;V$2&amp;V$1&amp;"C"&amp;$A28)*RTD("tos.rtd",,"GAMMA","."&amp;V$2&amp;V$1&amp;"C"&amp;$A28)-$A$4*$A$4*RTD("tos.rtd",,"VOLUME","."&amp;V$2&amp;V$1&amp;"P"&amp;$A28)*RTD("tos.rtd",,"GAMMA","."&amp;V$2&amp;V$1&amp;"P"&amp;$A28))/1000000,0),IF($A$2="GEX",IFERROR(($A$4*$A$4*RTD("tos.rtd",,"OPEN_INT","."&amp;V$2&amp;V$1&amp;"C"&amp;$A28)*RTD("tos.rtd",,"GAMMA","."&amp;V$2&amp;V$1&amp;"C"&amp;$A28)-$A$4*$A$4*RTD("tos.rtd",,"OPEN_INT","."&amp;V$2&amp;V$1&amp;"P"&amp;$A28)*RTD("tos.rtd",,"GAMMA","."&amp;V$2&amp;V$1&amp;"P"&amp;$A28))/1000000,0),IF($A$2="SKEW",IFERROR(VALUE(IF(RTD("tos.rtd",,"IMPL_VOL","."&amp;V$2&amp;V$1&amp;"P"&amp;$A28)="N/A",0,RTD("tos.rtd",,"IMPL_VOL","."&amp;V$2&amp;V$1&amp;"P"&amp;$A28))),0)-IFERROR(VALUE(IF(RTD("tos.rtd",,"IMPL_VOL","."&amp;V$2&amp;V$1&amp;"C"&amp;$A28)="N/A",0,RTD("tos.rtd",,"IMPL_VOL","."&amp;V$2&amp;V$1&amp;"C"&amp;$A28))),0),IF($A$2="MAXPAIN",IF($A$4&gt;$A28,($A$4-$A28)*IF(RTD("tos.rtd",,"OPEN_INT","."&amp;V$2&amp;V$1&amp;"C"&amp;$A28)="N/A",0,RTD("tos.rtd",,"OPEN_INT","."&amp;V$2&amp;V$1&amp;"C"&amp;$A28)),0)+IF($A$4&lt;$A28,($A28-$A$4)*IF(RTD("tos.rtd",,"OPEN_INT","."&amp;V$2&amp;V$1&amp;"P"&amp;$A28)="N/A",0,RTD("tos.rtd",,"OPEN_INT","."&amp;V$2&amp;V$1&amp;"P"&amp;$A28)),0),IF(RTD("tos.rtd",,$A$2,"."&amp;V$2&amp;V$1&amp;"C"&amp;$A28)="N/A",0,RTD("tos.rtd",,$A$2,"."&amp;V$2&amp;V$1&amp;"C"&amp;$A28))-IF(RTD("tos.rtd",,$A$2,"."&amp;V$2&amp;V$1&amp;"P"&amp;$A28)="N/A",0,RTD("tos.rtd",,$A$2,"."&amp;V$2&amp;V$1&amp;"P"&amp;$A28)))))))))</f>
        <v>0</v>
      </c>
      <c r="W28" s="12">
        <f>IF($A$2="PREMIUM_OI",IFERROR((100*RTD("tos.rtd",,"OPEN_INT","."&amp;W$2&amp;W$1&amp;"C"&amp;$A28)*RTD("tos.rtd",,"LAST","."&amp;W$2&amp;W$1&amp;"C"&amp;$A28)-100*RTD("tos.rtd",,"OPEN_INT","."&amp;W$2&amp;W$1&amp;"P"&amp;$A28)*RTD("tos.rtd",,"LAST","."&amp;W$2&amp;W$1&amp;"P"&amp;$A28))/1000000,0),IF($A$2="PREMIUM",IFERROR((100*RTD("tos.rtd",,"VOLUME","."&amp;W$2&amp;W$1&amp;"C"&amp;$A28)*RTD("tos.rtd",,"LAST","."&amp;W$2&amp;W$1&amp;"C"&amp;$A28)-100*RTD("tos.rtd",,"VOLUME","."&amp;W$2&amp;W$1&amp;"P"&amp;$A28)*RTD("tos.rtd",,"LAST","."&amp;W$2&amp;W$1&amp;"P"&amp;$A28))/1000000,0),IF($A$2="DEX",IFERROR((100*RTD("tos.rtd",,"OPEN_INT","."&amp;W$2&amp;W$1&amp;"C"&amp;$A28)*RTD("tos.rtd",,"DELTA","."&amp;W$2&amp;W$1&amp;"C"&amp;$A28)-100*RTD("tos.rtd",,"OPEN_INT","."&amp;W$2&amp;W$1&amp;"P"&amp;$A28)*RTD("tos.rtd",,"DELTA","."&amp;W$2&amp;W$1&amp;"P"&amp;$A28))/1000,0),IF($A$2="VEX",IFERROR(($A$4*$A$4*RTD("tos.rtd",,"VOLUME","."&amp;W$2&amp;W$1&amp;"C"&amp;$A28)*RTD("tos.rtd",,"GAMMA","."&amp;W$2&amp;W$1&amp;"C"&amp;$A28)-$A$4*$A$4*RTD("tos.rtd",,"VOLUME","."&amp;W$2&amp;W$1&amp;"P"&amp;$A28)*RTD("tos.rtd",,"GAMMA","."&amp;W$2&amp;W$1&amp;"P"&amp;$A28))/1000000,0),IF($A$2="GEX",IFERROR(($A$4*$A$4*RTD("tos.rtd",,"OPEN_INT","."&amp;W$2&amp;W$1&amp;"C"&amp;$A28)*RTD("tos.rtd",,"GAMMA","."&amp;W$2&amp;W$1&amp;"C"&amp;$A28)-$A$4*$A$4*RTD("tos.rtd",,"OPEN_INT","."&amp;W$2&amp;W$1&amp;"P"&amp;$A28)*RTD("tos.rtd",,"GAMMA","."&amp;W$2&amp;W$1&amp;"P"&amp;$A28))/1000000,0),IF($A$2="SKEW",IFERROR(VALUE(IF(RTD("tos.rtd",,"IMPL_VOL","."&amp;W$2&amp;W$1&amp;"P"&amp;$A28)="N/A",0,RTD("tos.rtd",,"IMPL_VOL","."&amp;W$2&amp;W$1&amp;"P"&amp;$A28))),0)-IFERROR(VALUE(IF(RTD("tos.rtd",,"IMPL_VOL","."&amp;W$2&amp;W$1&amp;"C"&amp;$A28)="N/A",0,RTD("tos.rtd",,"IMPL_VOL","."&amp;W$2&amp;W$1&amp;"C"&amp;$A28))),0),IF($A$2="MAXPAIN",IF($A$4&gt;$A28,($A$4-$A28)*IF(RTD("tos.rtd",,"OPEN_INT","."&amp;W$2&amp;W$1&amp;"C"&amp;$A28)="N/A",0,RTD("tos.rtd",,"OPEN_INT","."&amp;W$2&amp;W$1&amp;"C"&amp;$A28)),0)+IF($A$4&lt;$A28,($A28-$A$4)*IF(RTD("tos.rtd",,"OPEN_INT","."&amp;W$2&amp;W$1&amp;"P"&amp;$A28)="N/A",0,RTD("tos.rtd",,"OPEN_INT","."&amp;W$2&amp;W$1&amp;"P"&amp;$A28)),0),IF(RTD("tos.rtd",,$A$2,"."&amp;W$2&amp;W$1&amp;"C"&amp;$A28)="N/A",0,RTD("tos.rtd",,$A$2,"."&amp;W$2&amp;W$1&amp;"C"&amp;$A28))-IF(RTD("tos.rtd",,$A$2,"."&amp;W$2&amp;W$1&amp;"P"&amp;$A28)="N/A",0,RTD("tos.rtd",,$A$2,"."&amp;W$2&amp;W$1&amp;"P"&amp;$A28)))))))))</f>
        <v>23314</v>
      </c>
      <c r="X28" s="12">
        <f t="shared" ca="1" si="7"/>
        <v>67266</v>
      </c>
      <c r="Y28" s="27">
        <f t="shared" ca="1" si="8"/>
        <v>67266</v>
      </c>
      <c r="AA28" s="35">
        <f>+IF($AJ$1,AJ28,TASTYOHLC!A28)</f>
        <v>0</v>
      </c>
      <c r="AB28" s="8">
        <f>+IF($AJ$1,AK28,TASTYOHLC!B28)</f>
        <v>0</v>
      </c>
      <c r="AC28" s="8">
        <f>+IF($AJ$1,AL28,TASTYOHLC!C28)</f>
        <v>0</v>
      </c>
      <c r="AD28" s="8">
        <f>+IF($AJ$1,AM28,TASTYOHLC!D28)</f>
        <v>0</v>
      </c>
      <c r="AE28" s="8">
        <f>+IF($AJ$1,AN28,TASTYOHLC!E28)</f>
        <v>0</v>
      </c>
      <c r="AF28" s="8"/>
      <c r="AJ28" s="37"/>
    </row>
    <row r="29" spans="1:40" s="19" customFormat="1" ht="11.1" customHeight="1" thickBot="1" x14ac:dyDescent="0.3">
      <c r="A29" s="25">
        <f t="shared" ref="A29:A51" si="13">+A28-$A$1</f>
        <v>7.5</v>
      </c>
      <c r="B29" s="14">
        <f>IF($A$2="PREMIUM_OI",IFERROR((100*RTD("tos.rtd",,"OPEN_INT","."&amp;B$2&amp;B$1&amp;"C"&amp;$A29)*RTD("tos.rtd",,"LAST","."&amp;B$2&amp;B$1&amp;"C"&amp;$A29)-100*RTD("tos.rtd",,"OPEN_INT","."&amp;B$2&amp;B$1&amp;"P"&amp;$A29)*RTD("tos.rtd",,"LAST","."&amp;B$2&amp;B$1&amp;"P"&amp;$A29))/1000000,0),IF($A$2="PREMIUM",IFERROR((100*RTD("tos.rtd",,"VOLUME","."&amp;B$2&amp;B$1&amp;"C"&amp;$A29)*RTD("tos.rtd",,"LAST","."&amp;B$2&amp;B$1&amp;"C"&amp;$A29)-100*RTD("tos.rtd",,"VOLUME","."&amp;B$2&amp;B$1&amp;"P"&amp;$A29)*RTD("tos.rtd",,"LAST","."&amp;B$2&amp;B$1&amp;"P"&amp;$A29))/1000000,0),IF($A$2="DEX",IFERROR((100*RTD("tos.rtd",,"OPEN_INT","."&amp;B$2&amp;B$1&amp;"C"&amp;$A29)*RTD("tos.rtd",,"DELTA","."&amp;B$2&amp;B$1&amp;"C"&amp;$A29)-100*RTD("tos.rtd",,"OPEN_INT","."&amp;B$2&amp;B$1&amp;"P"&amp;$A29)*RTD("tos.rtd",,"DELTA","."&amp;B$2&amp;B$1&amp;"P"&amp;$A29))/1000,0),IF($A$2="VEX",IFERROR(($A$4*$A$4*RTD("tos.rtd",,"VOLUME","."&amp;B$2&amp;B$1&amp;"C"&amp;$A29)*RTD("tos.rtd",,"GAMMA","."&amp;B$2&amp;B$1&amp;"C"&amp;$A29)-$A$4*$A$4*RTD("tos.rtd",,"VOLUME","."&amp;B$2&amp;B$1&amp;"P"&amp;$A29)*RTD("tos.rtd",,"GAMMA","."&amp;B$2&amp;B$1&amp;"P"&amp;$A29))/1000000,0),IF($A$2="GEX",IFERROR(($A$4*$A$4*RTD("tos.rtd",,"OPEN_INT","."&amp;B$2&amp;B$1&amp;"C"&amp;$A29)*RTD("tos.rtd",,"GAMMA","."&amp;B$2&amp;B$1&amp;"C"&amp;$A29)-$A$4*$A$4*RTD("tos.rtd",,"OPEN_INT","."&amp;B$2&amp;B$1&amp;"P"&amp;$A29)*RTD("tos.rtd",,"GAMMA","."&amp;B$2&amp;B$1&amp;"P"&amp;$A29))/1000000,0),IF($A$2="SKEW",IFERROR(VALUE(IF(RTD("tos.rtd",,"IMPL_VOL","."&amp;B$2&amp;B$1&amp;"P"&amp;$A29)="N/A",0,RTD("tos.rtd",,"IMPL_VOL","."&amp;B$2&amp;B$1&amp;"P"&amp;$A29))),0)-IFERROR(VALUE(IF(RTD("tos.rtd",,"IMPL_VOL","."&amp;B$2&amp;B$1&amp;"C"&amp;$A29)="N/A",0,RTD("tos.rtd",,"IMPL_VOL","."&amp;B$2&amp;B$1&amp;"C"&amp;$A29))),0),IF($A$2="MAXPAIN",IF($A$4&gt;$A29,($A$4-$A29)*IF(RTD("tos.rtd",,"OPEN_INT","."&amp;B$2&amp;B$1&amp;"C"&amp;$A29)="N/A",0,RTD("tos.rtd",,"OPEN_INT","."&amp;B$2&amp;B$1&amp;"C"&amp;$A29)),0)+IF($A$4&lt;$A29,($A29-$A$4)*IF(RTD("tos.rtd",,"OPEN_INT","."&amp;B$2&amp;B$1&amp;"P"&amp;$A29)="N/A",0,RTD("tos.rtd",,"OPEN_INT","."&amp;B$2&amp;B$1&amp;"P"&amp;$A29)),0),IF(RTD("tos.rtd",,$A$2,"."&amp;B$2&amp;B$1&amp;"C"&amp;$A29)="N/A",0,RTD("tos.rtd",,$A$2,"."&amp;B$2&amp;B$1&amp;"C"&amp;$A29))-IF(RTD("tos.rtd",,$A$2,"."&amp;B$2&amp;B$1&amp;"P"&amp;$A29)="N/A",0,RTD("tos.rtd",,$A$2,"."&amp;B$2&amp;B$1&amp;"P"&amp;$A29)))))))))</f>
        <v>0</v>
      </c>
      <c r="C29" s="12">
        <f>IF($A$2="PREMIUM_OI",IFERROR((100*RTD("tos.rtd",,"OPEN_INT","."&amp;C$2&amp;C$1&amp;"C"&amp;$A29)*RTD("tos.rtd",,"LAST","."&amp;C$2&amp;C$1&amp;"C"&amp;$A29)-100*RTD("tos.rtd",,"OPEN_INT","."&amp;C$2&amp;C$1&amp;"P"&amp;$A29)*RTD("tos.rtd",,"LAST","."&amp;C$2&amp;C$1&amp;"P"&amp;$A29))/1000000,0),IF($A$2="PREMIUM",IFERROR((100*RTD("tos.rtd",,"VOLUME","."&amp;C$2&amp;C$1&amp;"C"&amp;$A29)*RTD("tos.rtd",,"LAST","."&amp;C$2&amp;C$1&amp;"C"&amp;$A29)-100*RTD("tos.rtd",,"VOLUME","."&amp;C$2&amp;C$1&amp;"P"&amp;$A29)*RTD("tos.rtd",,"LAST","."&amp;C$2&amp;C$1&amp;"P"&amp;$A29))/1000000,0),IF($A$2="DEX",IFERROR((100*RTD("tos.rtd",,"OPEN_INT","."&amp;C$2&amp;C$1&amp;"C"&amp;$A29)*RTD("tos.rtd",,"DELTA","."&amp;C$2&amp;C$1&amp;"C"&amp;$A29)-100*RTD("tos.rtd",,"OPEN_INT","."&amp;C$2&amp;C$1&amp;"P"&amp;$A29)*RTD("tos.rtd",,"DELTA","."&amp;C$2&amp;C$1&amp;"P"&amp;$A29))/1000,0),IF($A$2="VEX",IFERROR(($A$4*$A$4*RTD("tos.rtd",,"VOLUME","."&amp;C$2&amp;C$1&amp;"C"&amp;$A29)*RTD("tos.rtd",,"GAMMA","."&amp;C$2&amp;C$1&amp;"C"&amp;$A29)-$A$4*$A$4*RTD("tos.rtd",,"VOLUME","."&amp;C$2&amp;C$1&amp;"P"&amp;$A29)*RTD("tos.rtd",,"GAMMA","."&amp;C$2&amp;C$1&amp;"P"&amp;$A29))/1000000,0),IF($A$2="GEX",IFERROR(($A$4*$A$4*RTD("tos.rtd",,"OPEN_INT","."&amp;C$2&amp;C$1&amp;"C"&amp;$A29)*RTD("tos.rtd",,"GAMMA","."&amp;C$2&amp;C$1&amp;"C"&amp;$A29)-$A$4*$A$4*RTD("tos.rtd",,"OPEN_INT","."&amp;C$2&amp;C$1&amp;"P"&amp;$A29)*RTD("tos.rtd",,"GAMMA","."&amp;C$2&amp;C$1&amp;"P"&amp;$A29))/1000000,0),IF($A$2="SKEW",IFERROR(VALUE(IF(RTD("tos.rtd",,"IMPL_VOL","."&amp;C$2&amp;C$1&amp;"P"&amp;$A29)="N/A",0,RTD("tos.rtd",,"IMPL_VOL","."&amp;C$2&amp;C$1&amp;"P"&amp;$A29))),0)-IFERROR(VALUE(IF(RTD("tos.rtd",,"IMPL_VOL","."&amp;C$2&amp;C$1&amp;"C"&amp;$A29)="N/A",0,RTD("tos.rtd",,"IMPL_VOL","."&amp;C$2&amp;C$1&amp;"C"&amp;$A29))),0),IF($A$2="MAXPAIN",IF($A$4&gt;$A29,($A$4-$A29)*IF(RTD("tos.rtd",,"OPEN_INT","."&amp;C$2&amp;C$1&amp;"C"&amp;$A29)="N/A",0,RTD("tos.rtd",,"OPEN_INT","."&amp;C$2&amp;C$1&amp;"C"&amp;$A29)),0)+IF($A$4&lt;$A29,($A29-$A$4)*IF(RTD("tos.rtd",,"OPEN_INT","."&amp;C$2&amp;C$1&amp;"P"&amp;$A29)="N/A",0,RTD("tos.rtd",,"OPEN_INT","."&amp;C$2&amp;C$1&amp;"P"&amp;$A29)),0),IF(RTD("tos.rtd",,$A$2,"."&amp;C$2&amp;C$1&amp;"C"&amp;$A29)="N/A",0,RTD("tos.rtd",,$A$2,"."&amp;C$2&amp;C$1&amp;"C"&amp;$A29))-IF(RTD("tos.rtd",,$A$2,"."&amp;C$2&amp;C$1&amp;"P"&amp;$A29)="N/A",0,RTD("tos.rtd",,$A$2,"."&amp;C$2&amp;C$1&amp;"P"&amp;$A29)))))))))</f>
        <v>-71908</v>
      </c>
      <c r="D29" s="12">
        <f>IF($A$2="PREMIUM_OI",IFERROR((100*RTD("tos.rtd",,"OPEN_INT","."&amp;D$2&amp;D$1&amp;"C"&amp;$A29)*RTD("tos.rtd",,"LAST","."&amp;D$2&amp;D$1&amp;"C"&amp;$A29)-100*RTD("tos.rtd",,"OPEN_INT","."&amp;D$2&amp;D$1&amp;"P"&amp;$A29)*RTD("tos.rtd",,"LAST","."&amp;D$2&amp;D$1&amp;"P"&amp;$A29))/1000000,0),IF($A$2="PREMIUM",IFERROR((100*RTD("tos.rtd",,"VOLUME","."&amp;D$2&amp;D$1&amp;"C"&amp;$A29)*RTD("tos.rtd",,"LAST","."&amp;D$2&amp;D$1&amp;"C"&amp;$A29)-100*RTD("tos.rtd",,"VOLUME","."&amp;D$2&amp;D$1&amp;"P"&amp;$A29)*RTD("tos.rtd",,"LAST","."&amp;D$2&amp;D$1&amp;"P"&amp;$A29))/1000000,0),IF($A$2="DEX",IFERROR((100*RTD("tos.rtd",,"OPEN_INT","."&amp;D$2&amp;D$1&amp;"C"&amp;$A29)*RTD("tos.rtd",,"DELTA","."&amp;D$2&amp;D$1&amp;"C"&amp;$A29)-100*RTD("tos.rtd",,"OPEN_INT","."&amp;D$2&amp;D$1&amp;"P"&amp;$A29)*RTD("tos.rtd",,"DELTA","."&amp;D$2&amp;D$1&amp;"P"&amp;$A29))/1000,0),IF($A$2="VEX",IFERROR(($A$4*$A$4*RTD("tos.rtd",,"VOLUME","."&amp;D$2&amp;D$1&amp;"C"&amp;$A29)*RTD("tos.rtd",,"GAMMA","."&amp;D$2&amp;D$1&amp;"C"&amp;$A29)-$A$4*$A$4*RTD("tos.rtd",,"VOLUME","."&amp;D$2&amp;D$1&amp;"P"&amp;$A29)*RTD("tos.rtd",,"GAMMA","."&amp;D$2&amp;D$1&amp;"P"&amp;$A29))/1000000,0),IF($A$2="GEX",IFERROR(($A$4*$A$4*RTD("tos.rtd",,"OPEN_INT","."&amp;D$2&amp;D$1&amp;"C"&amp;$A29)*RTD("tos.rtd",,"GAMMA","."&amp;D$2&amp;D$1&amp;"C"&amp;$A29)-$A$4*$A$4*RTD("tos.rtd",,"OPEN_INT","."&amp;D$2&amp;D$1&amp;"P"&amp;$A29)*RTD("tos.rtd",,"GAMMA","."&amp;D$2&amp;D$1&amp;"P"&amp;$A29))/1000000,0),IF($A$2="SKEW",IFERROR(VALUE(IF(RTD("tos.rtd",,"IMPL_VOL","."&amp;D$2&amp;D$1&amp;"P"&amp;$A29)="N/A",0,RTD("tos.rtd",,"IMPL_VOL","."&amp;D$2&amp;D$1&amp;"P"&amp;$A29))),0)-IFERROR(VALUE(IF(RTD("tos.rtd",,"IMPL_VOL","."&amp;D$2&amp;D$1&amp;"C"&amp;$A29)="N/A",0,RTD("tos.rtd",,"IMPL_VOL","."&amp;D$2&amp;D$1&amp;"C"&amp;$A29))),0),IF($A$2="MAXPAIN",IF($A$4&gt;$A29,($A$4-$A29)*IF(RTD("tos.rtd",,"OPEN_INT","."&amp;D$2&amp;D$1&amp;"C"&amp;$A29)="N/A",0,RTD("tos.rtd",,"OPEN_INT","."&amp;D$2&amp;D$1&amp;"C"&amp;$A29)),0)+IF($A$4&lt;$A29,($A29-$A$4)*IF(RTD("tos.rtd",,"OPEN_INT","."&amp;D$2&amp;D$1&amp;"P"&amp;$A29)="N/A",0,RTD("tos.rtd",,"OPEN_INT","."&amp;D$2&amp;D$1&amp;"P"&amp;$A29)),0),IF(RTD("tos.rtd",,$A$2,"."&amp;D$2&amp;D$1&amp;"C"&amp;$A29)="N/A",0,RTD("tos.rtd",,$A$2,"."&amp;D$2&amp;D$1&amp;"C"&amp;$A29))-IF(RTD("tos.rtd",,$A$2,"."&amp;D$2&amp;D$1&amp;"P"&amp;$A29)="N/A",0,RTD("tos.rtd",,$A$2,"."&amp;D$2&amp;D$1&amp;"P"&amp;$A29)))))))))</f>
        <v>0</v>
      </c>
      <c r="E29" s="12">
        <f>IF($A$2="PREMIUM_OI",IFERROR((100*RTD("tos.rtd",,"OPEN_INT","."&amp;E$2&amp;E$1&amp;"C"&amp;$A29)*RTD("tos.rtd",,"LAST","."&amp;E$2&amp;E$1&amp;"C"&amp;$A29)-100*RTD("tos.rtd",,"OPEN_INT","."&amp;E$2&amp;E$1&amp;"P"&amp;$A29)*RTD("tos.rtd",,"LAST","."&amp;E$2&amp;E$1&amp;"P"&amp;$A29))/1000000,0),IF($A$2="PREMIUM",IFERROR((100*RTD("tos.rtd",,"VOLUME","."&amp;E$2&amp;E$1&amp;"C"&amp;$A29)*RTD("tos.rtd",,"LAST","."&amp;E$2&amp;E$1&amp;"C"&amp;$A29)-100*RTD("tos.rtd",,"VOLUME","."&amp;E$2&amp;E$1&amp;"P"&amp;$A29)*RTD("tos.rtd",,"LAST","."&amp;E$2&amp;E$1&amp;"P"&amp;$A29))/1000000,0),IF($A$2="DEX",IFERROR((100*RTD("tos.rtd",,"OPEN_INT","."&amp;E$2&amp;E$1&amp;"C"&amp;$A29)*RTD("tos.rtd",,"DELTA","."&amp;E$2&amp;E$1&amp;"C"&amp;$A29)-100*RTD("tos.rtd",,"OPEN_INT","."&amp;E$2&amp;E$1&amp;"P"&amp;$A29)*RTD("tos.rtd",,"DELTA","."&amp;E$2&amp;E$1&amp;"P"&amp;$A29))/1000,0),IF($A$2="VEX",IFERROR(($A$4*$A$4*RTD("tos.rtd",,"VOLUME","."&amp;E$2&amp;E$1&amp;"C"&amp;$A29)*RTD("tos.rtd",,"GAMMA","."&amp;E$2&amp;E$1&amp;"C"&amp;$A29)-$A$4*$A$4*RTD("tos.rtd",,"VOLUME","."&amp;E$2&amp;E$1&amp;"P"&amp;$A29)*RTD("tos.rtd",,"GAMMA","."&amp;E$2&amp;E$1&amp;"P"&amp;$A29))/1000000,0),IF($A$2="GEX",IFERROR(($A$4*$A$4*RTD("tos.rtd",,"OPEN_INT","."&amp;E$2&amp;E$1&amp;"C"&amp;$A29)*RTD("tos.rtd",,"GAMMA","."&amp;E$2&amp;E$1&amp;"C"&amp;$A29)-$A$4*$A$4*RTD("tos.rtd",,"OPEN_INT","."&amp;E$2&amp;E$1&amp;"P"&amp;$A29)*RTD("tos.rtd",,"GAMMA","."&amp;E$2&amp;E$1&amp;"P"&amp;$A29))/1000000,0),IF($A$2="SKEW",IFERROR(VALUE(IF(RTD("tos.rtd",,"IMPL_VOL","."&amp;E$2&amp;E$1&amp;"P"&amp;$A29)="N/A",0,RTD("tos.rtd",,"IMPL_VOL","."&amp;E$2&amp;E$1&amp;"P"&amp;$A29))),0)-IFERROR(VALUE(IF(RTD("tos.rtd",,"IMPL_VOL","."&amp;E$2&amp;E$1&amp;"C"&amp;$A29)="N/A",0,RTD("tos.rtd",,"IMPL_VOL","."&amp;E$2&amp;E$1&amp;"C"&amp;$A29))),0),IF($A$2="MAXPAIN",IF($A$4&gt;$A29,($A$4-$A29)*IF(RTD("tos.rtd",,"OPEN_INT","."&amp;E$2&amp;E$1&amp;"C"&amp;$A29)="N/A",0,RTD("tos.rtd",,"OPEN_INT","."&amp;E$2&amp;E$1&amp;"C"&amp;$A29)),0)+IF($A$4&lt;$A29,($A29-$A$4)*IF(RTD("tos.rtd",,"OPEN_INT","."&amp;E$2&amp;E$1&amp;"P"&amp;$A29)="N/A",0,RTD("tos.rtd",,"OPEN_INT","."&amp;E$2&amp;E$1&amp;"P"&amp;$A29)),0),IF(RTD("tos.rtd",,$A$2,"."&amp;E$2&amp;E$1&amp;"C"&amp;$A29)="N/A",0,RTD("tos.rtd",,$A$2,"."&amp;E$2&amp;E$1&amp;"C"&amp;$A29))-IF(RTD("tos.rtd",,$A$2,"."&amp;E$2&amp;E$1&amp;"P"&amp;$A29)="N/A",0,RTD("tos.rtd",,$A$2,"."&amp;E$2&amp;E$1&amp;"P"&amp;$A29)))))))))</f>
        <v>0</v>
      </c>
      <c r="F29" s="12">
        <f>IF($A$2="PREMIUM_OI",IFERROR((100*RTD("tos.rtd",,"OPEN_INT","."&amp;F$2&amp;F$1&amp;"C"&amp;$A29)*RTD("tos.rtd",,"LAST","."&amp;F$2&amp;F$1&amp;"C"&amp;$A29)-100*RTD("tos.rtd",,"OPEN_INT","."&amp;F$2&amp;F$1&amp;"P"&amp;$A29)*RTD("tos.rtd",,"LAST","."&amp;F$2&amp;F$1&amp;"P"&amp;$A29))/1000000,0),IF($A$2="PREMIUM",IFERROR((100*RTD("tos.rtd",,"VOLUME","."&amp;F$2&amp;F$1&amp;"C"&amp;$A29)*RTD("tos.rtd",,"LAST","."&amp;F$2&amp;F$1&amp;"C"&amp;$A29)-100*RTD("tos.rtd",,"VOLUME","."&amp;F$2&amp;F$1&amp;"P"&amp;$A29)*RTD("tos.rtd",,"LAST","."&amp;F$2&amp;F$1&amp;"P"&amp;$A29))/1000000,0),IF($A$2="DEX",IFERROR((100*RTD("tos.rtd",,"OPEN_INT","."&amp;F$2&amp;F$1&amp;"C"&amp;$A29)*RTD("tos.rtd",,"DELTA","."&amp;F$2&amp;F$1&amp;"C"&amp;$A29)-100*RTD("tos.rtd",,"OPEN_INT","."&amp;F$2&amp;F$1&amp;"P"&amp;$A29)*RTD("tos.rtd",,"DELTA","."&amp;F$2&amp;F$1&amp;"P"&amp;$A29))/1000,0),IF($A$2="VEX",IFERROR(($A$4*$A$4*RTD("tos.rtd",,"VOLUME","."&amp;F$2&amp;F$1&amp;"C"&amp;$A29)*RTD("tos.rtd",,"GAMMA","."&amp;F$2&amp;F$1&amp;"C"&amp;$A29)-$A$4*$A$4*RTD("tos.rtd",,"VOLUME","."&amp;F$2&amp;F$1&amp;"P"&amp;$A29)*RTD("tos.rtd",,"GAMMA","."&amp;F$2&amp;F$1&amp;"P"&amp;$A29))/1000000,0),IF($A$2="GEX",IFERROR(($A$4*$A$4*RTD("tos.rtd",,"OPEN_INT","."&amp;F$2&amp;F$1&amp;"C"&amp;$A29)*RTD("tos.rtd",,"GAMMA","."&amp;F$2&amp;F$1&amp;"C"&amp;$A29)-$A$4*$A$4*RTD("tos.rtd",,"OPEN_INT","."&amp;F$2&amp;F$1&amp;"P"&amp;$A29)*RTD("tos.rtd",,"GAMMA","."&amp;F$2&amp;F$1&amp;"P"&amp;$A29))/1000000,0),IF($A$2="SKEW",IFERROR(VALUE(IF(RTD("tos.rtd",,"IMPL_VOL","."&amp;F$2&amp;F$1&amp;"P"&amp;$A29)="N/A",0,RTD("tos.rtd",,"IMPL_VOL","."&amp;F$2&amp;F$1&amp;"P"&amp;$A29))),0)-IFERROR(VALUE(IF(RTD("tos.rtd",,"IMPL_VOL","."&amp;F$2&amp;F$1&amp;"C"&amp;$A29)="N/A",0,RTD("tos.rtd",,"IMPL_VOL","."&amp;F$2&amp;F$1&amp;"C"&amp;$A29))),0),IF($A$2="MAXPAIN",IF($A$4&gt;$A29,($A$4-$A29)*IF(RTD("tos.rtd",,"OPEN_INT","."&amp;F$2&amp;F$1&amp;"C"&amp;$A29)="N/A",0,RTD("tos.rtd",,"OPEN_INT","."&amp;F$2&amp;F$1&amp;"C"&amp;$A29)),0)+IF($A$4&lt;$A29,($A29-$A$4)*IF(RTD("tos.rtd",,"OPEN_INT","."&amp;F$2&amp;F$1&amp;"P"&amp;$A29)="N/A",0,RTD("tos.rtd",,"OPEN_INT","."&amp;F$2&amp;F$1&amp;"P"&amp;$A29)),0),IF(RTD("tos.rtd",,$A$2,"."&amp;F$2&amp;F$1&amp;"C"&amp;$A29)="N/A",0,RTD("tos.rtd",,$A$2,"."&amp;F$2&amp;F$1&amp;"C"&amp;$A29))-IF(RTD("tos.rtd",,$A$2,"."&amp;F$2&amp;F$1&amp;"P"&amp;$A29)="N/A",0,RTD("tos.rtd",,$A$2,"."&amp;F$2&amp;F$1&amp;"P"&amp;$A29)))))))))</f>
        <v>0</v>
      </c>
      <c r="G29" s="14">
        <f>IF($A$2="PREMIUM_OI",IFERROR((100*RTD("tos.rtd",,"OPEN_INT","."&amp;G$2&amp;G$1&amp;"C"&amp;$A29)*RTD("tos.rtd",,"LAST","."&amp;G$2&amp;G$1&amp;"C"&amp;$A29)-100*RTD("tos.rtd",,"OPEN_INT","."&amp;G$2&amp;G$1&amp;"P"&amp;$A29)*RTD("tos.rtd",,"LAST","."&amp;G$2&amp;G$1&amp;"P"&amp;$A29))/1000000,0),IF($A$2="PREMIUM",IFERROR((100*RTD("tos.rtd",,"VOLUME","."&amp;G$2&amp;G$1&amp;"C"&amp;$A29)*RTD("tos.rtd",,"LAST","."&amp;G$2&amp;G$1&amp;"C"&amp;$A29)-100*RTD("tos.rtd",,"VOLUME","."&amp;G$2&amp;G$1&amp;"P"&amp;$A29)*RTD("tos.rtd",,"LAST","."&amp;G$2&amp;G$1&amp;"P"&amp;$A29))/1000000,0),IF($A$2="DEX",IFERROR((100*RTD("tos.rtd",,"OPEN_INT","."&amp;G$2&amp;G$1&amp;"C"&amp;$A29)*RTD("tos.rtd",,"DELTA","."&amp;G$2&amp;G$1&amp;"C"&amp;$A29)-100*RTD("tos.rtd",,"OPEN_INT","."&amp;G$2&amp;G$1&amp;"P"&amp;$A29)*RTD("tos.rtd",,"DELTA","."&amp;G$2&amp;G$1&amp;"P"&amp;$A29))/1000,0),IF($A$2="VEX",IFERROR(($A$4*$A$4*RTD("tos.rtd",,"VOLUME","."&amp;G$2&amp;G$1&amp;"C"&amp;$A29)*RTD("tos.rtd",,"GAMMA","."&amp;G$2&amp;G$1&amp;"C"&amp;$A29)-$A$4*$A$4*RTD("tos.rtd",,"VOLUME","."&amp;G$2&amp;G$1&amp;"P"&amp;$A29)*RTD("tos.rtd",,"GAMMA","."&amp;G$2&amp;G$1&amp;"P"&amp;$A29))/1000000,0),IF($A$2="GEX",IFERROR(($A$4*$A$4*RTD("tos.rtd",,"OPEN_INT","."&amp;G$2&amp;G$1&amp;"C"&amp;$A29)*RTD("tos.rtd",,"GAMMA","."&amp;G$2&amp;G$1&amp;"C"&amp;$A29)-$A$4*$A$4*RTD("tos.rtd",,"OPEN_INT","."&amp;G$2&amp;G$1&amp;"P"&amp;$A29)*RTD("tos.rtd",,"GAMMA","."&amp;G$2&amp;G$1&amp;"P"&amp;$A29))/1000000,0),IF($A$2="SKEW",IFERROR(VALUE(IF(RTD("tos.rtd",,"IMPL_VOL","."&amp;G$2&amp;G$1&amp;"P"&amp;$A29)="N/A",0,RTD("tos.rtd",,"IMPL_VOL","."&amp;G$2&amp;G$1&amp;"P"&amp;$A29))),0)-IFERROR(VALUE(IF(RTD("tos.rtd",,"IMPL_VOL","."&amp;G$2&amp;G$1&amp;"C"&amp;$A29)="N/A",0,RTD("tos.rtd",,"IMPL_VOL","."&amp;G$2&amp;G$1&amp;"C"&amp;$A29))),0),IF($A$2="MAXPAIN",IF($A$4&gt;$A29,($A$4-$A29)*IF(RTD("tos.rtd",,"OPEN_INT","."&amp;G$2&amp;G$1&amp;"C"&amp;$A29)="N/A",0,RTD("tos.rtd",,"OPEN_INT","."&amp;G$2&amp;G$1&amp;"C"&amp;$A29)),0)+IF($A$4&lt;$A29,($A29-$A$4)*IF(RTD("tos.rtd",,"OPEN_INT","."&amp;G$2&amp;G$1&amp;"P"&amp;$A29)="N/A",0,RTD("tos.rtd",,"OPEN_INT","."&amp;G$2&amp;G$1&amp;"P"&amp;$A29)),0),IF(RTD("tos.rtd",,$A$2,"."&amp;G$2&amp;G$1&amp;"C"&amp;$A29)="N/A",0,RTD("tos.rtd",,$A$2,"."&amp;G$2&amp;G$1&amp;"C"&amp;$A29))-IF(RTD("tos.rtd",,$A$2,"."&amp;G$2&amp;G$1&amp;"P"&amp;$A29)="N/A",0,RTD("tos.rtd",,$A$2,"."&amp;G$2&amp;G$1&amp;"P"&amp;$A29)))))))))</f>
        <v>0</v>
      </c>
      <c r="H29" s="12">
        <f>IF($A$2="PREMIUM_OI",IFERROR((100*RTD("tos.rtd",,"OPEN_INT","."&amp;H$2&amp;H$1&amp;"C"&amp;$A29)*RTD("tos.rtd",,"LAST","."&amp;H$2&amp;H$1&amp;"C"&amp;$A29)-100*RTD("tos.rtd",,"OPEN_INT","."&amp;H$2&amp;H$1&amp;"P"&amp;$A29)*RTD("tos.rtd",,"LAST","."&amp;H$2&amp;H$1&amp;"P"&amp;$A29))/1000000,0),IF($A$2="PREMIUM",IFERROR((100*RTD("tos.rtd",,"VOLUME","."&amp;H$2&amp;H$1&amp;"C"&amp;$A29)*RTD("tos.rtd",,"LAST","."&amp;H$2&amp;H$1&amp;"C"&amp;$A29)-100*RTD("tos.rtd",,"VOLUME","."&amp;H$2&amp;H$1&amp;"P"&amp;$A29)*RTD("tos.rtd",,"LAST","."&amp;H$2&amp;H$1&amp;"P"&amp;$A29))/1000000,0),IF($A$2="DEX",IFERROR((100*RTD("tos.rtd",,"OPEN_INT","."&amp;H$2&amp;H$1&amp;"C"&amp;$A29)*RTD("tos.rtd",,"DELTA","."&amp;H$2&amp;H$1&amp;"C"&amp;$A29)-100*RTD("tos.rtd",,"OPEN_INT","."&amp;H$2&amp;H$1&amp;"P"&amp;$A29)*RTD("tos.rtd",,"DELTA","."&amp;H$2&amp;H$1&amp;"P"&amp;$A29))/1000,0),IF($A$2="VEX",IFERROR(($A$4*$A$4*RTD("tos.rtd",,"VOLUME","."&amp;H$2&amp;H$1&amp;"C"&amp;$A29)*RTD("tos.rtd",,"GAMMA","."&amp;H$2&amp;H$1&amp;"C"&amp;$A29)-$A$4*$A$4*RTD("tos.rtd",,"VOLUME","."&amp;H$2&amp;H$1&amp;"P"&amp;$A29)*RTD("tos.rtd",,"GAMMA","."&amp;H$2&amp;H$1&amp;"P"&amp;$A29))/1000000,0),IF($A$2="GEX",IFERROR(($A$4*$A$4*RTD("tos.rtd",,"OPEN_INT","."&amp;H$2&amp;H$1&amp;"C"&amp;$A29)*RTD("tos.rtd",,"GAMMA","."&amp;H$2&amp;H$1&amp;"C"&amp;$A29)-$A$4*$A$4*RTD("tos.rtd",,"OPEN_INT","."&amp;H$2&amp;H$1&amp;"P"&amp;$A29)*RTD("tos.rtd",,"GAMMA","."&amp;H$2&amp;H$1&amp;"P"&amp;$A29))/1000000,0),IF($A$2="SKEW",IFERROR(VALUE(IF(RTD("tos.rtd",,"IMPL_VOL","."&amp;H$2&amp;H$1&amp;"P"&amp;$A29)="N/A",0,RTD("tos.rtd",,"IMPL_VOL","."&amp;H$2&amp;H$1&amp;"P"&amp;$A29))),0)-IFERROR(VALUE(IF(RTD("tos.rtd",,"IMPL_VOL","."&amp;H$2&amp;H$1&amp;"C"&amp;$A29)="N/A",0,RTD("tos.rtd",,"IMPL_VOL","."&amp;H$2&amp;H$1&amp;"C"&amp;$A29))),0),IF($A$2="MAXPAIN",IF($A$4&gt;$A29,($A$4-$A29)*IF(RTD("tos.rtd",,"OPEN_INT","."&amp;H$2&amp;H$1&amp;"C"&amp;$A29)="N/A",0,RTD("tos.rtd",,"OPEN_INT","."&amp;H$2&amp;H$1&amp;"C"&amp;$A29)),0)+IF($A$4&lt;$A29,($A29-$A$4)*IF(RTD("tos.rtd",,"OPEN_INT","."&amp;H$2&amp;H$1&amp;"P"&amp;$A29)="N/A",0,RTD("tos.rtd",,"OPEN_INT","."&amp;H$2&amp;H$1&amp;"P"&amp;$A29)),0),IF(RTD("tos.rtd",,$A$2,"."&amp;H$2&amp;H$1&amp;"C"&amp;$A29)="N/A",0,RTD("tos.rtd",,$A$2,"."&amp;H$2&amp;H$1&amp;"C"&amp;$A29))-IF(RTD("tos.rtd",,$A$2,"."&amp;H$2&amp;H$1&amp;"P"&amp;$A29)="N/A",0,RTD("tos.rtd",,$A$2,"."&amp;H$2&amp;H$1&amp;"P"&amp;$A29)))))))))</f>
        <v>-53107</v>
      </c>
      <c r="I29" s="12">
        <f>IF($A$2="PREMIUM_OI",IFERROR((100*RTD("tos.rtd",,"OPEN_INT","."&amp;I$2&amp;I$1&amp;"C"&amp;$A29)*RTD("tos.rtd",,"LAST","."&amp;I$2&amp;I$1&amp;"C"&amp;$A29)-100*RTD("tos.rtd",,"OPEN_INT","."&amp;I$2&amp;I$1&amp;"P"&amp;$A29)*RTD("tos.rtd",,"LAST","."&amp;I$2&amp;I$1&amp;"P"&amp;$A29))/1000000,0),IF($A$2="PREMIUM",IFERROR((100*RTD("tos.rtd",,"VOLUME","."&amp;I$2&amp;I$1&amp;"C"&amp;$A29)*RTD("tos.rtd",,"LAST","."&amp;I$2&amp;I$1&amp;"C"&amp;$A29)-100*RTD("tos.rtd",,"VOLUME","."&amp;I$2&amp;I$1&amp;"P"&amp;$A29)*RTD("tos.rtd",,"LAST","."&amp;I$2&amp;I$1&amp;"P"&amp;$A29))/1000000,0),IF($A$2="DEX",IFERROR((100*RTD("tos.rtd",,"OPEN_INT","."&amp;I$2&amp;I$1&amp;"C"&amp;$A29)*RTD("tos.rtd",,"DELTA","."&amp;I$2&amp;I$1&amp;"C"&amp;$A29)-100*RTD("tos.rtd",,"OPEN_INT","."&amp;I$2&amp;I$1&amp;"P"&amp;$A29)*RTD("tos.rtd",,"DELTA","."&amp;I$2&amp;I$1&amp;"P"&amp;$A29))/1000,0),IF($A$2="VEX",IFERROR(($A$4*$A$4*RTD("tos.rtd",,"VOLUME","."&amp;I$2&amp;I$1&amp;"C"&amp;$A29)*RTD("tos.rtd",,"GAMMA","."&amp;I$2&amp;I$1&amp;"C"&amp;$A29)-$A$4*$A$4*RTD("tos.rtd",,"VOLUME","."&amp;I$2&amp;I$1&amp;"P"&amp;$A29)*RTD("tos.rtd",,"GAMMA","."&amp;I$2&amp;I$1&amp;"P"&amp;$A29))/1000000,0),IF($A$2="GEX",IFERROR(($A$4*$A$4*RTD("tos.rtd",,"OPEN_INT","."&amp;I$2&amp;I$1&amp;"C"&amp;$A29)*RTD("tos.rtd",,"GAMMA","."&amp;I$2&amp;I$1&amp;"C"&amp;$A29)-$A$4*$A$4*RTD("tos.rtd",,"OPEN_INT","."&amp;I$2&amp;I$1&amp;"P"&amp;$A29)*RTD("tos.rtd",,"GAMMA","."&amp;I$2&amp;I$1&amp;"P"&amp;$A29))/1000000,0),IF($A$2="SKEW",IFERROR(VALUE(IF(RTD("tos.rtd",,"IMPL_VOL","."&amp;I$2&amp;I$1&amp;"P"&amp;$A29)="N/A",0,RTD("tos.rtd",,"IMPL_VOL","."&amp;I$2&amp;I$1&amp;"P"&amp;$A29))),0)-IFERROR(VALUE(IF(RTD("tos.rtd",,"IMPL_VOL","."&amp;I$2&amp;I$1&amp;"C"&amp;$A29)="N/A",0,RTD("tos.rtd",,"IMPL_VOL","."&amp;I$2&amp;I$1&amp;"C"&amp;$A29))),0),IF($A$2="MAXPAIN",IF($A$4&gt;$A29,($A$4-$A29)*IF(RTD("tos.rtd",,"OPEN_INT","."&amp;I$2&amp;I$1&amp;"C"&amp;$A29)="N/A",0,RTD("tos.rtd",,"OPEN_INT","."&amp;I$2&amp;I$1&amp;"C"&amp;$A29)),0)+IF($A$4&lt;$A29,($A29-$A$4)*IF(RTD("tos.rtd",,"OPEN_INT","."&amp;I$2&amp;I$1&amp;"P"&amp;$A29)="N/A",0,RTD("tos.rtd",,"OPEN_INT","."&amp;I$2&amp;I$1&amp;"P"&amp;$A29)),0),IF(RTD("tos.rtd",,$A$2,"."&amp;I$2&amp;I$1&amp;"C"&amp;$A29)="N/A",0,RTD("tos.rtd",,$A$2,"."&amp;I$2&amp;I$1&amp;"C"&amp;$A29))-IF(RTD("tos.rtd",,$A$2,"."&amp;I$2&amp;I$1&amp;"P"&amp;$A29)="N/A",0,RTD("tos.rtd",,$A$2,"."&amp;I$2&amp;I$1&amp;"P"&amp;$A29)))))))))</f>
        <v>0</v>
      </c>
      <c r="J29" s="12">
        <f>IF($A$2="PREMIUM_OI",IFERROR((100*RTD("tos.rtd",,"OPEN_INT","."&amp;J$2&amp;J$1&amp;"C"&amp;$A29)*RTD("tos.rtd",,"LAST","."&amp;J$2&amp;J$1&amp;"C"&amp;$A29)-100*RTD("tos.rtd",,"OPEN_INT","."&amp;J$2&amp;J$1&amp;"P"&amp;$A29)*RTD("tos.rtd",,"LAST","."&amp;J$2&amp;J$1&amp;"P"&amp;$A29))/1000000,0),IF($A$2="PREMIUM",IFERROR((100*RTD("tos.rtd",,"VOLUME","."&amp;J$2&amp;J$1&amp;"C"&amp;$A29)*RTD("tos.rtd",,"LAST","."&amp;J$2&amp;J$1&amp;"C"&amp;$A29)-100*RTD("tos.rtd",,"VOLUME","."&amp;J$2&amp;J$1&amp;"P"&amp;$A29)*RTD("tos.rtd",,"LAST","."&amp;J$2&amp;J$1&amp;"P"&amp;$A29))/1000000,0),IF($A$2="DEX",IFERROR((100*RTD("tos.rtd",,"OPEN_INT","."&amp;J$2&amp;J$1&amp;"C"&amp;$A29)*RTD("tos.rtd",,"DELTA","."&amp;J$2&amp;J$1&amp;"C"&amp;$A29)-100*RTD("tos.rtd",,"OPEN_INT","."&amp;J$2&amp;J$1&amp;"P"&amp;$A29)*RTD("tos.rtd",,"DELTA","."&amp;J$2&amp;J$1&amp;"P"&amp;$A29))/1000,0),IF($A$2="VEX",IFERROR(($A$4*$A$4*RTD("tos.rtd",,"VOLUME","."&amp;J$2&amp;J$1&amp;"C"&amp;$A29)*RTD("tos.rtd",,"GAMMA","."&amp;J$2&amp;J$1&amp;"C"&amp;$A29)-$A$4*$A$4*RTD("tos.rtd",,"VOLUME","."&amp;J$2&amp;J$1&amp;"P"&amp;$A29)*RTD("tos.rtd",,"GAMMA","."&amp;J$2&amp;J$1&amp;"P"&amp;$A29))/1000000,0),IF($A$2="GEX",IFERROR(($A$4*$A$4*RTD("tos.rtd",,"OPEN_INT","."&amp;J$2&amp;J$1&amp;"C"&amp;$A29)*RTD("tos.rtd",,"GAMMA","."&amp;J$2&amp;J$1&amp;"C"&amp;$A29)-$A$4*$A$4*RTD("tos.rtd",,"OPEN_INT","."&amp;J$2&amp;J$1&amp;"P"&amp;$A29)*RTD("tos.rtd",,"GAMMA","."&amp;J$2&amp;J$1&amp;"P"&amp;$A29))/1000000,0),IF($A$2="SKEW",IFERROR(VALUE(IF(RTD("tos.rtd",,"IMPL_VOL","."&amp;J$2&amp;J$1&amp;"P"&amp;$A29)="N/A",0,RTD("tos.rtd",,"IMPL_VOL","."&amp;J$2&amp;J$1&amp;"P"&amp;$A29))),0)-IFERROR(VALUE(IF(RTD("tos.rtd",,"IMPL_VOL","."&amp;J$2&amp;J$1&amp;"C"&amp;$A29)="N/A",0,RTD("tos.rtd",,"IMPL_VOL","."&amp;J$2&amp;J$1&amp;"C"&amp;$A29))),0),IF($A$2="MAXPAIN",IF($A$4&gt;$A29,($A$4-$A29)*IF(RTD("tos.rtd",,"OPEN_INT","."&amp;J$2&amp;J$1&amp;"C"&amp;$A29)="N/A",0,RTD("tos.rtd",,"OPEN_INT","."&amp;J$2&amp;J$1&amp;"C"&amp;$A29)),0)+IF($A$4&lt;$A29,($A29-$A$4)*IF(RTD("tos.rtd",,"OPEN_INT","."&amp;J$2&amp;J$1&amp;"P"&amp;$A29)="N/A",0,RTD("tos.rtd",,"OPEN_INT","."&amp;J$2&amp;J$1&amp;"P"&amp;$A29)),0),IF(RTD("tos.rtd",,$A$2,"."&amp;J$2&amp;J$1&amp;"C"&amp;$A29)="N/A",0,RTD("tos.rtd",,$A$2,"."&amp;J$2&amp;J$1&amp;"C"&amp;$A29))-IF(RTD("tos.rtd",,$A$2,"."&amp;J$2&amp;J$1&amp;"P"&amp;$A29)="N/A",0,RTD("tos.rtd",,$A$2,"."&amp;J$2&amp;J$1&amp;"P"&amp;$A29)))))))))</f>
        <v>0</v>
      </c>
      <c r="K29" s="12">
        <f>IF($A$2="PREMIUM_OI",IFERROR((100*RTD("tos.rtd",,"OPEN_INT","."&amp;K$2&amp;K$1&amp;"C"&amp;$A29)*RTD("tos.rtd",,"LAST","."&amp;K$2&amp;K$1&amp;"C"&amp;$A29)-100*RTD("tos.rtd",,"OPEN_INT","."&amp;K$2&amp;K$1&amp;"P"&amp;$A29)*RTD("tos.rtd",,"LAST","."&amp;K$2&amp;K$1&amp;"P"&amp;$A29))/1000000,0),IF($A$2="PREMIUM",IFERROR((100*RTD("tos.rtd",,"VOLUME","."&amp;K$2&amp;K$1&amp;"C"&amp;$A29)*RTD("tos.rtd",,"LAST","."&amp;K$2&amp;K$1&amp;"C"&amp;$A29)-100*RTD("tos.rtd",,"VOLUME","."&amp;K$2&amp;K$1&amp;"P"&amp;$A29)*RTD("tos.rtd",,"LAST","."&amp;K$2&amp;K$1&amp;"P"&amp;$A29))/1000000,0),IF($A$2="DEX",IFERROR((100*RTD("tos.rtd",,"OPEN_INT","."&amp;K$2&amp;K$1&amp;"C"&amp;$A29)*RTD("tos.rtd",,"DELTA","."&amp;K$2&amp;K$1&amp;"C"&amp;$A29)-100*RTD("tos.rtd",,"OPEN_INT","."&amp;K$2&amp;K$1&amp;"P"&amp;$A29)*RTD("tos.rtd",,"DELTA","."&amp;K$2&amp;K$1&amp;"P"&amp;$A29))/1000,0),IF($A$2="VEX",IFERROR(($A$4*$A$4*RTD("tos.rtd",,"VOLUME","."&amp;K$2&amp;K$1&amp;"C"&amp;$A29)*RTD("tos.rtd",,"GAMMA","."&amp;K$2&amp;K$1&amp;"C"&amp;$A29)-$A$4*$A$4*RTD("tos.rtd",,"VOLUME","."&amp;K$2&amp;K$1&amp;"P"&amp;$A29)*RTD("tos.rtd",,"GAMMA","."&amp;K$2&amp;K$1&amp;"P"&amp;$A29))/1000000,0),IF($A$2="GEX",IFERROR(($A$4*$A$4*RTD("tos.rtd",,"OPEN_INT","."&amp;K$2&amp;K$1&amp;"C"&amp;$A29)*RTD("tos.rtd",,"GAMMA","."&amp;K$2&amp;K$1&amp;"C"&amp;$A29)-$A$4*$A$4*RTD("tos.rtd",,"OPEN_INT","."&amp;K$2&amp;K$1&amp;"P"&amp;$A29)*RTD("tos.rtd",,"GAMMA","."&amp;K$2&amp;K$1&amp;"P"&amp;$A29))/1000000,0),IF($A$2="SKEW",IFERROR(VALUE(IF(RTD("tos.rtd",,"IMPL_VOL","."&amp;K$2&amp;K$1&amp;"P"&amp;$A29)="N/A",0,RTD("tos.rtd",,"IMPL_VOL","."&amp;K$2&amp;K$1&amp;"P"&amp;$A29))),0)-IFERROR(VALUE(IF(RTD("tos.rtd",,"IMPL_VOL","."&amp;K$2&amp;K$1&amp;"C"&amp;$A29)="N/A",0,RTD("tos.rtd",,"IMPL_VOL","."&amp;K$2&amp;K$1&amp;"C"&amp;$A29))),0),IF($A$2="MAXPAIN",IF($A$4&gt;$A29,($A$4-$A29)*IF(RTD("tos.rtd",,"OPEN_INT","."&amp;K$2&amp;K$1&amp;"C"&amp;$A29)="N/A",0,RTD("tos.rtd",,"OPEN_INT","."&amp;K$2&amp;K$1&amp;"C"&amp;$A29)),0)+IF($A$4&lt;$A29,($A29-$A$4)*IF(RTD("tos.rtd",,"OPEN_INT","."&amp;K$2&amp;K$1&amp;"P"&amp;$A29)="N/A",0,RTD("tos.rtd",,"OPEN_INT","."&amp;K$2&amp;K$1&amp;"P"&amp;$A29)),0),IF(RTD("tos.rtd",,$A$2,"."&amp;K$2&amp;K$1&amp;"C"&amp;$A29)="N/A",0,RTD("tos.rtd",,$A$2,"."&amp;K$2&amp;K$1&amp;"C"&amp;$A29))-IF(RTD("tos.rtd",,$A$2,"."&amp;K$2&amp;K$1&amp;"P"&amp;$A29)="N/A",0,RTD("tos.rtd",,$A$2,"."&amp;K$2&amp;K$1&amp;"P"&amp;$A29)))))))))</f>
        <v>0</v>
      </c>
      <c r="L29" s="12">
        <f>IF($A$2="PREMIUM_OI",IFERROR((100*RTD("tos.rtd",,"OPEN_INT","."&amp;L$2&amp;L$1&amp;"C"&amp;$A29)*RTD("tos.rtd",,"LAST","."&amp;L$2&amp;L$1&amp;"C"&amp;$A29)-100*RTD("tos.rtd",,"OPEN_INT","."&amp;L$2&amp;L$1&amp;"P"&amp;$A29)*RTD("tos.rtd",,"LAST","."&amp;L$2&amp;L$1&amp;"P"&amp;$A29))/1000000,0),IF($A$2="PREMIUM",IFERROR((100*RTD("tos.rtd",,"VOLUME","."&amp;L$2&amp;L$1&amp;"C"&amp;$A29)*RTD("tos.rtd",,"LAST","."&amp;L$2&amp;L$1&amp;"C"&amp;$A29)-100*RTD("tos.rtd",,"VOLUME","."&amp;L$2&amp;L$1&amp;"P"&amp;$A29)*RTD("tos.rtd",,"LAST","."&amp;L$2&amp;L$1&amp;"P"&amp;$A29))/1000000,0),IF($A$2="DEX",IFERROR((100*RTD("tos.rtd",,"OPEN_INT","."&amp;L$2&amp;L$1&amp;"C"&amp;$A29)*RTD("tos.rtd",,"DELTA","."&amp;L$2&amp;L$1&amp;"C"&amp;$A29)-100*RTD("tos.rtd",,"OPEN_INT","."&amp;L$2&amp;L$1&amp;"P"&amp;$A29)*RTD("tos.rtd",,"DELTA","."&amp;L$2&amp;L$1&amp;"P"&amp;$A29))/1000,0),IF($A$2="VEX",IFERROR(($A$4*$A$4*RTD("tos.rtd",,"VOLUME","."&amp;L$2&amp;L$1&amp;"C"&amp;$A29)*RTD("tos.rtd",,"GAMMA","."&amp;L$2&amp;L$1&amp;"C"&amp;$A29)-$A$4*$A$4*RTD("tos.rtd",,"VOLUME","."&amp;L$2&amp;L$1&amp;"P"&amp;$A29)*RTD("tos.rtd",,"GAMMA","."&amp;L$2&amp;L$1&amp;"P"&amp;$A29))/1000000,0),IF($A$2="GEX",IFERROR(($A$4*$A$4*RTD("tos.rtd",,"OPEN_INT","."&amp;L$2&amp;L$1&amp;"C"&amp;$A29)*RTD("tos.rtd",,"GAMMA","."&amp;L$2&amp;L$1&amp;"C"&amp;$A29)-$A$4*$A$4*RTD("tos.rtd",,"OPEN_INT","."&amp;L$2&amp;L$1&amp;"P"&amp;$A29)*RTD("tos.rtd",,"GAMMA","."&amp;L$2&amp;L$1&amp;"P"&amp;$A29))/1000000,0),IF($A$2="SKEW",IFERROR(VALUE(IF(RTD("tos.rtd",,"IMPL_VOL","."&amp;L$2&amp;L$1&amp;"P"&amp;$A29)="N/A",0,RTD("tos.rtd",,"IMPL_VOL","."&amp;L$2&amp;L$1&amp;"P"&amp;$A29))),0)-IFERROR(VALUE(IF(RTD("tos.rtd",,"IMPL_VOL","."&amp;L$2&amp;L$1&amp;"C"&amp;$A29)="N/A",0,RTD("tos.rtd",,"IMPL_VOL","."&amp;L$2&amp;L$1&amp;"C"&amp;$A29))),0),IF($A$2="MAXPAIN",IF($A$4&gt;$A29,($A$4-$A29)*IF(RTD("tos.rtd",,"OPEN_INT","."&amp;L$2&amp;L$1&amp;"C"&amp;$A29)="N/A",0,RTD("tos.rtd",,"OPEN_INT","."&amp;L$2&amp;L$1&amp;"C"&amp;$A29)),0)+IF($A$4&lt;$A29,($A29-$A$4)*IF(RTD("tos.rtd",,"OPEN_INT","."&amp;L$2&amp;L$1&amp;"P"&amp;$A29)="N/A",0,RTD("tos.rtd",,"OPEN_INT","."&amp;L$2&amp;L$1&amp;"P"&amp;$A29)),0),IF(RTD("tos.rtd",,$A$2,"."&amp;L$2&amp;L$1&amp;"C"&amp;$A29)="N/A",0,RTD("tos.rtd",,$A$2,"."&amp;L$2&amp;L$1&amp;"C"&amp;$A29))-IF(RTD("tos.rtd",,$A$2,"."&amp;L$2&amp;L$1&amp;"P"&amp;$A29)="N/A",0,RTD("tos.rtd",,$A$2,"."&amp;L$2&amp;L$1&amp;"P"&amp;$A29)))))))))</f>
        <v>0</v>
      </c>
      <c r="M29" s="12">
        <f>IF($A$2="PREMIUM_OI",IFERROR((100*RTD("tos.rtd",,"OPEN_INT","."&amp;M$2&amp;M$1&amp;"C"&amp;$A29)*RTD("tos.rtd",,"LAST","."&amp;M$2&amp;M$1&amp;"C"&amp;$A29)-100*RTD("tos.rtd",,"OPEN_INT","."&amp;M$2&amp;M$1&amp;"P"&amp;$A29)*RTD("tos.rtd",,"LAST","."&amp;M$2&amp;M$1&amp;"P"&amp;$A29))/1000000,0),IF($A$2="PREMIUM",IFERROR((100*RTD("tos.rtd",,"VOLUME","."&amp;M$2&amp;M$1&amp;"C"&amp;$A29)*RTD("tos.rtd",,"LAST","."&amp;M$2&amp;M$1&amp;"C"&amp;$A29)-100*RTD("tos.rtd",,"VOLUME","."&amp;M$2&amp;M$1&amp;"P"&amp;$A29)*RTD("tos.rtd",,"LAST","."&amp;M$2&amp;M$1&amp;"P"&amp;$A29))/1000000,0),IF($A$2="DEX",IFERROR((100*RTD("tos.rtd",,"OPEN_INT","."&amp;M$2&amp;M$1&amp;"C"&amp;$A29)*RTD("tos.rtd",,"DELTA","."&amp;M$2&amp;M$1&amp;"C"&amp;$A29)-100*RTD("tos.rtd",,"OPEN_INT","."&amp;M$2&amp;M$1&amp;"P"&amp;$A29)*RTD("tos.rtd",,"DELTA","."&amp;M$2&amp;M$1&amp;"P"&amp;$A29))/1000,0),IF($A$2="VEX",IFERROR(($A$4*$A$4*RTD("tos.rtd",,"VOLUME","."&amp;M$2&amp;M$1&amp;"C"&amp;$A29)*RTD("tos.rtd",,"GAMMA","."&amp;M$2&amp;M$1&amp;"C"&amp;$A29)-$A$4*$A$4*RTD("tos.rtd",,"VOLUME","."&amp;M$2&amp;M$1&amp;"P"&amp;$A29)*RTD("tos.rtd",,"GAMMA","."&amp;M$2&amp;M$1&amp;"P"&amp;$A29))/1000000,0),IF($A$2="GEX",IFERROR(($A$4*$A$4*RTD("tos.rtd",,"OPEN_INT","."&amp;M$2&amp;M$1&amp;"C"&amp;$A29)*RTD("tos.rtd",,"GAMMA","."&amp;M$2&amp;M$1&amp;"C"&amp;$A29)-$A$4*$A$4*RTD("tos.rtd",,"OPEN_INT","."&amp;M$2&amp;M$1&amp;"P"&amp;$A29)*RTD("tos.rtd",,"GAMMA","."&amp;M$2&amp;M$1&amp;"P"&amp;$A29))/1000000,0),IF($A$2="SKEW",IFERROR(VALUE(IF(RTD("tos.rtd",,"IMPL_VOL","."&amp;M$2&amp;M$1&amp;"P"&amp;$A29)="N/A",0,RTD("tos.rtd",,"IMPL_VOL","."&amp;M$2&amp;M$1&amp;"P"&amp;$A29))),0)-IFERROR(VALUE(IF(RTD("tos.rtd",,"IMPL_VOL","."&amp;M$2&amp;M$1&amp;"C"&amp;$A29)="N/A",0,RTD("tos.rtd",,"IMPL_VOL","."&amp;M$2&amp;M$1&amp;"C"&amp;$A29))),0),IF($A$2="MAXPAIN",IF($A$4&gt;$A29,($A$4-$A29)*IF(RTD("tos.rtd",,"OPEN_INT","."&amp;M$2&amp;M$1&amp;"C"&amp;$A29)="N/A",0,RTD("tos.rtd",,"OPEN_INT","."&amp;M$2&amp;M$1&amp;"C"&amp;$A29)),0)+IF($A$4&lt;$A29,($A29-$A$4)*IF(RTD("tos.rtd",,"OPEN_INT","."&amp;M$2&amp;M$1&amp;"P"&amp;$A29)="N/A",0,RTD("tos.rtd",,"OPEN_INT","."&amp;M$2&amp;M$1&amp;"P"&amp;$A29)),0),IF(RTD("tos.rtd",,$A$2,"."&amp;M$2&amp;M$1&amp;"C"&amp;$A29)="N/A",0,RTD("tos.rtd",,$A$2,"."&amp;M$2&amp;M$1&amp;"C"&amp;$A29))-IF(RTD("tos.rtd",,$A$2,"."&amp;M$2&amp;M$1&amp;"P"&amp;$A29)="N/A",0,RTD("tos.rtd",,$A$2,"."&amp;M$2&amp;M$1&amp;"P"&amp;$A29)))))))))</f>
        <v>26234</v>
      </c>
      <c r="N29" s="12">
        <f>IF($A$2="PREMIUM_OI",IFERROR((100*RTD("tos.rtd",,"OPEN_INT","."&amp;N$2&amp;N$1&amp;"C"&amp;$A29)*RTD("tos.rtd",,"LAST","."&amp;N$2&amp;N$1&amp;"C"&amp;$A29)-100*RTD("tos.rtd",,"OPEN_INT","."&amp;N$2&amp;N$1&amp;"P"&amp;$A29)*RTD("tos.rtd",,"LAST","."&amp;N$2&amp;N$1&amp;"P"&amp;$A29))/1000000,0),IF($A$2="PREMIUM",IFERROR((100*RTD("tos.rtd",,"VOLUME","."&amp;N$2&amp;N$1&amp;"C"&amp;$A29)*RTD("tos.rtd",,"LAST","."&amp;N$2&amp;N$1&amp;"C"&amp;$A29)-100*RTD("tos.rtd",,"VOLUME","."&amp;N$2&amp;N$1&amp;"P"&amp;$A29)*RTD("tos.rtd",,"LAST","."&amp;N$2&amp;N$1&amp;"P"&amp;$A29))/1000000,0),IF($A$2="DEX",IFERROR((100*RTD("tos.rtd",,"OPEN_INT","."&amp;N$2&amp;N$1&amp;"C"&amp;$A29)*RTD("tos.rtd",,"DELTA","."&amp;N$2&amp;N$1&amp;"C"&amp;$A29)-100*RTD("tos.rtd",,"OPEN_INT","."&amp;N$2&amp;N$1&amp;"P"&amp;$A29)*RTD("tos.rtd",,"DELTA","."&amp;N$2&amp;N$1&amp;"P"&amp;$A29))/1000,0),IF($A$2="VEX",IFERROR(($A$4*$A$4*RTD("tos.rtd",,"VOLUME","."&amp;N$2&amp;N$1&amp;"C"&amp;$A29)*RTD("tos.rtd",,"GAMMA","."&amp;N$2&amp;N$1&amp;"C"&amp;$A29)-$A$4*$A$4*RTD("tos.rtd",,"VOLUME","."&amp;N$2&amp;N$1&amp;"P"&amp;$A29)*RTD("tos.rtd",,"GAMMA","."&amp;N$2&amp;N$1&amp;"P"&amp;$A29))/1000000,0),IF($A$2="GEX",IFERROR(($A$4*$A$4*RTD("tos.rtd",,"OPEN_INT","."&amp;N$2&amp;N$1&amp;"C"&amp;$A29)*RTD("tos.rtd",,"GAMMA","."&amp;N$2&amp;N$1&amp;"C"&amp;$A29)-$A$4*$A$4*RTD("tos.rtd",,"OPEN_INT","."&amp;N$2&amp;N$1&amp;"P"&amp;$A29)*RTD("tos.rtd",,"GAMMA","."&amp;N$2&amp;N$1&amp;"P"&amp;$A29))/1000000,0),IF($A$2="SKEW",IFERROR(VALUE(IF(RTD("tos.rtd",,"IMPL_VOL","."&amp;N$2&amp;N$1&amp;"P"&amp;$A29)="N/A",0,RTD("tos.rtd",,"IMPL_VOL","."&amp;N$2&amp;N$1&amp;"P"&amp;$A29))),0)-IFERROR(VALUE(IF(RTD("tos.rtd",,"IMPL_VOL","."&amp;N$2&amp;N$1&amp;"C"&amp;$A29)="N/A",0,RTD("tos.rtd",,"IMPL_VOL","."&amp;N$2&amp;N$1&amp;"C"&amp;$A29))),0),IF($A$2="MAXPAIN",IF($A$4&gt;$A29,($A$4-$A29)*IF(RTD("tos.rtd",,"OPEN_INT","."&amp;N$2&amp;N$1&amp;"C"&amp;$A29)="N/A",0,RTD("tos.rtd",,"OPEN_INT","."&amp;N$2&amp;N$1&amp;"C"&amp;$A29)),0)+IF($A$4&lt;$A29,($A29-$A$4)*IF(RTD("tos.rtd",,"OPEN_INT","."&amp;N$2&amp;N$1&amp;"P"&amp;$A29)="N/A",0,RTD("tos.rtd",,"OPEN_INT","."&amp;N$2&amp;N$1&amp;"P"&amp;$A29)),0),IF(RTD("tos.rtd",,$A$2,"."&amp;N$2&amp;N$1&amp;"C"&amp;$A29)="N/A",0,RTD("tos.rtd",,$A$2,"."&amp;N$2&amp;N$1&amp;"C"&amp;$A29))-IF(RTD("tos.rtd",,$A$2,"."&amp;N$2&amp;N$1&amp;"P"&amp;$A29)="N/A",0,RTD("tos.rtd",,$A$2,"."&amp;N$2&amp;N$1&amp;"P"&amp;$A29)))))))))</f>
        <v>0</v>
      </c>
      <c r="O29" s="12">
        <f>IF($A$2="PREMIUM_OI",IFERROR((100*RTD("tos.rtd",,"OPEN_INT","."&amp;O$2&amp;O$1&amp;"C"&amp;$A29)*RTD("tos.rtd",,"LAST","."&amp;O$2&amp;O$1&amp;"C"&amp;$A29)-100*RTD("tos.rtd",,"OPEN_INT","."&amp;O$2&amp;O$1&amp;"P"&amp;$A29)*RTD("tos.rtd",,"LAST","."&amp;O$2&amp;O$1&amp;"P"&amp;$A29))/1000000,0),IF($A$2="PREMIUM",IFERROR((100*RTD("tos.rtd",,"VOLUME","."&amp;O$2&amp;O$1&amp;"C"&amp;$A29)*RTD("tos.rtd",,"LAST","."&amp;O$2&amp;O$1&amp;"C"&amp;$A29)-100*RTD("tos.rtd",,"VOLUME","."&amp;O$2&amp;O$1&amp;"P"&amp;$A29)*RTD("tos.rtd",,"LAST","."&amp;O$2&amp;O$1&amp;"P"&amp;$A29))/1000000,0),IF($A$2="DEX",IFERROR((100*RTD("tos.rtd",,"OPEN_INT","."&amp;O$2&amp;O$1&amp;"C"&amp;$A29)*RTD("tos.rtd",,"DELTA","."&amp;O$2&amp;O$1&amp;"C"&amp;$A29)-100*RTD("tos.rtd",,"OPEN_INT","."&amp;O$2&amp;O$1&amp;"P"&amp;$A29)*RTD("tos.rtd",,"DELTA","."&amp;O$2&amp;O$1&amp;"P"&amp;$A29))/1000,0),IF($A$2="VEX",IFERROR(($A$4*$A$4*RTD("tos.rtd",,"VOLUME","."&amp;O$2&amp;O$1&amp;"C"&amp;$A29)*RTD("tos.rtd",,"GAMMA","."&amp;O$2&amp;O$1&amp;"C"&amp;$A29)-$A$4*$A$4*RTD("tos.rtd",,"VOLUME","."&amp;O$2&amp;O$1&amp;"P"&amp;$A29)*RTD("tos.rtd",,"GAMMA","."&amp;O$2&amp;O$1&amp;"P"&amp;$A29))/1000000,0),IF($A$2="GEX",IFERROR(($A$4*$A$4*RTD("tos.rtd",,"OPEN_INT","."&amp;O$2&amp;O$1&amp;"C"&amp;$A29)*RTD("tos.rtd",,"GAMMA","."&amp;O$2&amp;O$1&amp;"C"&amp;$A29)-$A$4*$A$4*RTD("tos.rtd",,"OPEN_INT","."&amp;O$2&amp;O$1&amp;"P"&amp;$A29)*RTD("tos.rtd",,"GAMMA","."&amp;O$2&amp;O$1&amp;"P"&amp;$A29))/1000000,0),IF($A$2="SKEW",IFERROR(VALUE(IF(RTD("tos.rtd",,"IMPL_VOL","."&amp;O$2&amp;O$1&amp;"P"&amp;$A29)="N/A",0,RTD("tos.rtd",,"IMPL_VOL","."&amp;O$2&amp;O$1&amp;"P"&amp;$A29))),0)-IFERROR(VALUE(IF(RTD("tos.rtd",,"IMPL_VOL","."&amp;O$2&amp;O$1&amp;"C"&amp;$A29)="N/A",0,RTD("tos.rtd",,"IMPL_VOL","."&amp;O$2&amp;O$1&amp;"C"&amp;$A29))),0),IF($A$2="MAXPAIN",IF($A$4&gt;$A29,($A$4-$A29)*IF(RTD("tos.rtd",,"OPEN_INT","."&amp;O$2&amp;O$1&amp;"C"&amp;$A29)="N/A",0,RTD("tos.rtd",,"OPEN_INT","."&amp;O$2&amp;O$1&amp;"C"&amp;$A29)),0)+IF($A$4&lt;$A29,($A29-$A$4)*IF(RTD("tos.rtd",,"OPEN_INT","."&amp;O$2&amp;O$1&amp;"P"&amp;$A29)="N/A",0,RTD("tos.rtd",,"OPEN_INT","."&amp;O$2&amp;O$1&amp;"P"&amp;$A29)),0),IF(RTD("tos.rtd",,$A$2,"."&amp;O$2&amp;O$1&amp;"C"&amp;$A29)="N/A",0,RTD("tos.rtd",,$A$2,"."&amp;O$2&amp;O$1&amp;"C"&amp;$A29))-IF(RTD("tos.rtd",,$A$2,"."&amp;O$2&amp;O$1&amp;"P"&amp;$A29)="N/A",0,RTD("tos.rtd",,$A$2,"."&amp;O$2&amp;O$1&amp;"P"&amp;$A29)))))))))</f>
        <v>0</v>
      </c>
      <c r="P29" s="12">
        <f>IF($A$2="PREMIUM_OI",IFERROR((100*RTD("tos.rtd",,"OPEN_INT","."&amp;P$2&amp;P$1&amp;"C"&amp;$A29)*RTD("tos.rtd",,"LAST","."&amp;P$2&amp;P$1&amp;"C"&amp;$A29)-100*RTD("tos.rtd",,"OPEN_INT","."&amp;P$2&amp;P$1&amp;"P"&amp;$A29)*RTD("tos.rtd",,"LAST","."&amp;P$2&amp;P$1&amp;"P"&amp;$A29))/1000000,0),IF($A$2="PREMIUM",IFERROR((100*RTD("tos.rtd",,"VOLUME","."&amp;P$2&amp;P$1&amp;"C"&amp;$A29)*RTD("tos.rtd",,"LAST","."&amp;P$2&amp;P$1&amp;"C"&amp;$A29)-100*RTD("tos.rtd",,"VOLUME","."&amp;P$2&amp;P$1&amp;"P"&amp;$A29)*RTD("tos.rtd",,"LAST","."&amp;P$2&amp;P$1&amp;"P"&amp;$A29))/1000000,0),IF($A$2="DEX",IFERROR((100*RTD("tos.rtd",,"OPEN_INT","."&amp;P$2&amp;P$1&amp;"C"&amp;$A29)*RTD("tos.rtd",,"DELTA","."&amp;P$2&amp;P$1&amp;"C"&amp;$A29)-100*RTD("tos.rtd",,"OPEN_INT","."&amp;P$2&amp;P$1&amp;"P"&amp;$A29)*RTD("tos.rtd",,"DELTA","."&amp;P$2&amp;P$1&amp;"P"&amp;$A29))/1000,0),IF($A$2="VEX",IFERROR(($A$4*$A$4*RTD("tos.rtd",,"VOLUME","."&amp;P$2&amp;P$1&amp;"C"&amp;$A29)*RTD("tos.rtd",,"GAMMA","."&amp;P$2&amp;P$1&amp;"C"&amp;$A29)-$A$4*$A$4*RTD("tos.rtd",,"VOLUME","."&amp;P$2&amp;P$1&amp;"P"&amp;$A29)*RTD("tos.rtd",,"GAMMA","."&amp;P$2&amp;P$1&amp;"P"&amp;$A29))/1000000,0),IF($A$2="GEX",IFERROR(($A$4*$A$4*RTD("tos.rtd",,"OPEN_INT","."&amp;P$2&amp;P$1&amp;"C"&amp;$A29)*RTD("tos.rtd",,"GAMMA","."&amp;P$2&amp;P$1&amp;"C"&amp;$A29)-$A$4*$A$4*RTD("tos.rtd",,"OPEN_INT","."&amp;P$2&amp;P$1&amp;"P"&amp;$A29)*RTD("tos.rtd",,"GAMMA","."&amp;P$2&amp;P$1&amp;"P"&amp;$A29))/1000000,0),IF($A$2="SKEW",IFERROR(VALUE(IF(RTD("tos.rtd",,"IMPL_VOL","."&amp;P$2&amp;P$1&amp;"P"&amp;$A29)="N/A",0,RTD("tos.rtd",,"IMPL_VOL","."&amp;P$2&amp;P$1&amp;"P"&amp;$A29))),0)-IFERROR(VALUE(IF(RTD("tos.rtd",,"IMPL_VOL","."&amp;P$2&amp;P$1&amp;"C"&amp;$A29)="N/A",0,RTD("tos.rtd",,"IMPL_VOL","."&amp;P$2&amp;P$1&amp;"C"&amp;$A29))),0),IF($A$2="MAXPAIN",IF($A$4&gt;$A29,($A$4-$A29)*IF(RTD("tos.rtd",,"OPEN_INT","."&amp;P$2&amp;P$1&amp;"C"&amp;$A29)="N/A",0,RTD("tos.rtd",,"OPEN_INT","."&amp;P$2&amp;P$1&amp;"C"&amp;$A29)),0)+IF($A$4&lt;$A29,($A29-$A$4)*IF(RTD("tos.rtd",,"OPEN_INT","."&amp;P$2&amp;P$1&amp;"P"&amp;$A29)="N/A",0,RTD("tos.rtd",,"OPEN_INT","."&amp;P$2&amp;P$1&amp;"P"&amp;$A29)),0),IF(RTD("tos.rtd",,$A$2,"."&amp;P$2&amp;P$1&amp;"C"&amp;$A29)="N/A",0,RTD("tos.rtd",,$A$2,"."&amp;P$2&amp;P$1&amp;"C"&amp;$A29))-IF(RTD("tos.rtd",,$A$2,"."&amp;P$2&amp;P$1&amp;"P"&amp;$A29)="N/A",0,RTD("tos.rtd",,$A$2,"."&amp;P$2&amp;P$1&amp;"P"&amp;$A29)))))))))</f>
        <v>0</v>
      </c>
      <c r="Q29" s="12">
        <f>IF($A$2="PREMIUM_OI",IFERROR((100*RTD("tos.rtd",,"OPEN_INT","."&amp;Q$2&amp;Q$1&amp;"C"&amp;$A29)*RTD("tos.rtd",,"LAST","."&amp;Q$2&amp;Q$1&amp;"C"&amp;$A29)-100*RTD("tos.rtd",,"OPEN_INT","."&amp;Q$2&amp;Q$1&amp;"P"&amp;$A29)*RTD("tos.rtd",,"LAST","."&amp;Q$2&amp;Q$1&amp;"P"&amp;$A29))/1000000,0),IF($A$2="PREMIUM",IFERROR((100*RTD("tos.rtd",,"VOLUME","."&amp;Q$2&amp;Q$1&amp;"C"&amp;$A29)*RTD("tos.rtd",,"LAST","."&amp;Q$2&amp;Q$1&amp;"C"&amp;$A29)-100*RTD("tos.rtd",,"VOLUME","."&amp;Q$2&amp;Q$1&amp;"P"&amp;$A29)*RTD("tos.rtd",,"LAST","."&amp;Q$2&amp;Q$1&amp;"P"&amp;$A29))/1000000,0),IF($A$2="DEX",IFERROR((100*RTD("tos.rtd",,"OPEN_INT","."&amp;Q$2&amp;Q$1&amp;"C"&amp;$A29)*RTD("tos.rtd",,"DELTA","."&amp;Q$2&amp;Q$1&amp;"C"&amp;$A29)-100*RTD("tos.rtd",,"OPEN_INT","."&amp;Q$2&amp;Q$1&amp;"P"&amp;$A29)*RTD("tos.rtd",,"DELTA","."&amp;Q$2&amp;Q$1&amp;"P"&amp;$A29))/1000,0),IF($A$2="VEX",IFERROR(($A$4*$A$4*RTD("tos.rtd",,"VOLUME","."&amp;Q$2&amp;Q$1&amp;"C"&amp;$A29)*RTD("tos.rtd",,"GAMMA","."&amp;Q$2&amp;Q$1&amp;"C"&amp;$A29)-$A$4*$A$4*RTD("tos.rtd",,"VOLUME","."&amp;Q$2&amp;Q$1&amp;"P"&amp;$A29)*RTD("tos.rtd",,"GAMMA","."&amp;Q$2&amp;Q$1&amp;"P"&amp;$A29))/1000000,0),IF($A$2="GEX",IFERROR(($A$4*$A$4*RTD("tos.rtd",,"OPEN_INT","."&amp;Q$2&amp;Q$1&amp;"C"&amp;$A29)*RTD("tos.rtd",,"GAMMA","."&amp;Q$2&amp;Q$1&amp;"C"&amp;$A29)-$A$4*$A$4*RTD("tos.rtd",,"OPEN_INT","."&amp;Q$2&amp;Q$1&amp;"P"&amp;$A29)*RTD("tos.rtd",,"GAMMA","."&amp;Q$2&amp;Q$1&amp;"P"&amp;$A29))/1000000,0),IF($A$2="SKEW",IFERROR(VALUE(IF(RTD("tos.rtd",,"IMPL_VOL","."&amp;Q$2&amp;Q$1&amp;"P"&amp;$A29)="N/A",0,RTD("tos.rtd",,"IMPL_VOL","."&amp;Q$2&amp;Q$1&amp;"P"&amp;$A29))),0)-IFERROR(VALUE(IF(RTD("tos.rtd",,"IMPL_VOL","."&amp;Q$2&amp;Q$1&amp;"C"&amp;$A29)="N/A",0,RTD("tos.rtd",,"IMPL_VOL","."&amp;Q$2&amp;Q$1&amp;"C"&amp;$A29))),0),IF($A$2="MAXPAIN",IF($A$4&gt;$A29,($A$4-$A29)*IF(RTD("tos.rtd",,"OPEN_INT","."&amp;Q$2&amp;Q$1&amp;"C"&amp;$A29)="N/A",0,RTD("tos.rtd",,"OPEN_INT","."&amp;Q$2&amp;Q$1&amp;"C"&amp;$A29)),0)+IF($A$4&lt;$A29,($A29-$A$4)*IF(RTD("tos.rtd",,"OPEN_INT","."&amp;Q$2&amp;Q$1&amp;"P"&amp;$A29)="N/A",0,RTD("tos.rtd",,"OPEN_INT","."&amp;Q$2&amp;Q$1&amp;"P"&amp;$A29)),0),IF(RTD("tos.rtd",,$A$2,"."&amp;Q$2&amp;Q$1&amp;"C"&amp;$A29)="N/A",0,RTD("tos.rtd",,$A$2,"."&amp;Q$2&amp;Q$1&amp;"C"&amp;$A29))-IF(RTD("tos.rtd",,$A$2,"."&amp;Q$2&amp;Q$1&amp;"P"&amp;$A29)="N/A",0,RTD("tos.rtd",,$A$2,"."&amp;Q$2&amp;Q$1&amp;"P"&amp;$A29)))))))))</f>
        <v>0</v>
      </c>
      <c r="R29" s="12">
        <f>IF($A$2="PREMIUM_OI",IFERROR((100*RTD("tos.rtd",,"OPEN_INT","."&amp;R$2&amp;R$1&amp;"C"&amp;$A29)*RTD("tos.rtd",,"LAST","."&amp;R$2&amp;R$1&amp;"C"&amp;$A29)-100*RTD("tos.rtd",,"OPEN_INT","."&amp;R$2&amp;R$1&amp;"P"&amp;$A29)*RTD("tos.rtd",,"LAST","."&amp;R$2&amp;R$1&amp;"P"&amp;$A29))/1000000,0),IF($A$2="PREMIUM",IFERROR((100*RTD("tos.rtd",,"VOLUME","."&amp;R$2&amp;R$1&amp;"C"&amp;$A29)*RTD("tos.rtd",,"LAST","."&amp;R$2&amp;R$1&amp;"C"&amp;$A29)-100*RTD("tos.rtd",,"VOLUME","."&amp;R$2&amp;R$1&amp;"P"&amp;$A29)*RTD("tos.rtd",,"LAST","."&amp;R$2&amp;R$1&amp;"P"&amp;$A29))/1000000,0),IF($A$2="DEX",IFERROR((100*RTD("tos.rtd",,"OPEN_INT","."&amp;R$2&amp;R$1&amp;"C"&amp;$A29)*RTD("tos.rtd",,"DELTA","."&amp;R$2&amp;R$1&amp;"C"&amp;$A29)-100*RTD("tos.rtd",,"OPEN_INT","."&amp;R$2&amp;R$1&amp;"P"&amp;$A29)*RTD("tos.rtd",,"DELTA","."&amp;R$2&amp;R$1&amp;"P"&amp;$A29))/1000,0),IF($A$2="VEX",IFERROR(($A$4*$A$4*RTD("tos.rtd",,"VOLUME","."&amp;R$2&amp;R$1&amp;"C"&amp;$A29)*RTD("tos.rtd",,"GAMMA","."&amp;R$2&amp;R$1&amp;"C"&amp;$A29)-$A$4*$A$4*RTD("tos.rtd",,"VOLUME","."&amp;R$2&amp;R$1&amp;"P"&amp;$A29)*RTD("tos.rtd",,"GAMMA","."&amp;R$2&amp;R$1&amp;"P"&amp;$A29))/1000000,0),IF($A$2="GEX",IFERROR(($A$4*$A$4*RTD("tos.rtd",,"OPEN_INT","."&amp;R$2&amp;R$1&amp;"C"&amp;$A29)*RTD("tos.rtd",,"GAMMA","."&amp;R$2&amp;R$1&amp;"C"&amp;$A29)-$A$4*$A$4*RTD("tos.rtd",,"OPEN_INT","."&amp;R$2&amp;R$1&amp;"P"&amp;$A29)*RTD("tos.rtd",,"GAMMA","."&amp;R$2&amp;R$1&amp;"P"&amp;$A29))/1000000,0),IF($A$2="SKEW",IFERROR(VALUE(IF(RTD("tos.rtd",,"IMPL_VOL","."&amp;R$2&amp;R$1&amp;"P"&amp;$A29)="N/A",0,RTD("tos.rtd",,"IMPL_VOL","."&amp;R$2&amp;R$1&amp;"P"&amp;$A29))),0)-IFERROR(VALUE(IF(RTD("tos.rtd",,"IMPL_VOL","."&amp;R$2&amp;R$1&amp;"C"&amp;$A29)="N/A",0,RTD("tos.rtd",,"IMPL_VOL","."&amp;R$2&amp;R$1&amp;"C"&amp;$A29))),0),IF($A$2="MAXPAIN",IF($A$4&gt;$A29,($A$4-$A29)*IF(RTD("tos.rtd",,"OPEN_INT","."&amp;R$2&amp;R$1&amp;"C"&amp;$A29)="N/A",0,RTD("tos.rtd",,"OPEN_INT","."&amp;R$2&amp;R$1&amp;"C"&amp;$A29)),0)+IF($A$4&lt;$A29,($A29-$A$4)*IF(RTD("tos.rtd",,"OPEN_INT","."&amp;R$2&amp;R$1&amp;"P"&amp;$A29)="N/A",0,RTD("tos.rtd",,"OPEN_INT","."&amp;R$2&amp;R$1&amp;"P"&amp;$A29)),0),IF(RTD("tos.rtd",,$A$2,"."&amp;R$2&amp;R$1&amp;"C"&amp;$A29)="N/A",0,RTD("tos.rtd",,$A$2,"."&amp;R$2&amp;R$1&amp;"C"&amp;$A29))-IF(RTD("tos.rtd",,$A$2,"."&amp;R$2&amp;R$1&amp;"P"&amp;$A29)="N/A",0,RTD("tos.rtd",,$A$2,"."&amp;R$2&amp;R$1&amp;"P"&amp;$A29)))))))))</f>
        <v>13317</v>
      </c>
      <c r="S29" s="12">
        <f>IF($A$2="PREMIUM_OI",IFERROR((100*RTD("tos.rtd",,"OPEN_INT","."&amp;S$2&amp;S$1&amp;"C"&amp;$A29)*RTD("tos.rtd",,"LAST","."&amp;S$2&amp;S$1&amp;"C"&amp;$A29)-100*RTD("tos.rtd",,"OPEN_INT","."&amp;S$2&amp;S$1&amp;"P"&amp;$A29)*RTD("tos.rtd",,"LAST","."&amp;S$2&amp;S$1&amp;"P"&amp;$A29))/1000000,0),IF($A$2="PREMIUM",IFERROR((100*RTD("tos.rtd",,"VOLUME","."&amp;S$2&amp;S$1&amp;"C"&amp;$A29)*RTD("tos.rtd",,"LAST","."&amp;S$2&amp;S$1&amp;"C"&amp;$A29)-100*RTD("tos.rtd",,"VOLUME","."&amp;S$2&amp;S$1&amp;"P"&amp;$A29)*RTD("tos.rtd",,"LAST","."&amp;S$2&amp;S$1&amp;"P"&amp;$A29))/1000000,0),IF($A$2="DEX",IFERROR((100*RTD("tos.rtd",,"OPEN_INT","."&amp;S$2&amp;S$1&amp;"C"&amp;$A29)*RTD("tos.rtd",,"DELTA","."&amp;S$2&amp;S$1&amp;"C"&amp;$A29)-100*RTD("tos.rtd",,"OPEN_INT","."&amp;S$2&amp;S$1&amp;"P"&amp;$A29)*RTD("tos.rtd",,"DELTA","."&amp;S$2&amp;S$1&amp;"P"&amp;$A29))/1000,0),IF($A$2="VEX",IFERROR(($A$4*$A$4*RTD("tos.rtd",,"VOLUME","."&amp;S$2&amp;S$1&amp;"C"&amp;$A29)*RTD("tos.rtd",,"GAMMA","."&amp;S$2&amp;S$1&amp;"C"&amp;$A29)-$A$4*$A$4*RTD("tos.rtd",,"VOLUME","."&amp;S$2&amp;S$1&amp;"P"&amp;$A29)*RTD("tos.rtd",,"GAMMA","."&amp;S$2&amp;S$1&amp;"P"&amp;$A29))/1000000,0),IF($A$2="GEX",IFERROR(($A$4*$A$4*RTD("tos.rtd",,"OPEN_INT","."&amp;S$2&amp;S$1&amp;"C"&amp;$A29)*RTD("tos.rtd",,"GAMMA","."&amp;S$2&amp;S$1&amp;"C"&amp;$A29)-$A$4*$A$4*RTD("tos.rtd",,"OPEN_INT","."&amp;S$2&amp;S$1&amp;"P"&amp;$A29)*RTD("tos.rtd",,"GAMMA","."&amp;S$2&amp;S$1&amp;"P"&amp;$A29))/1000000,0),IF($A$2="SKEW",IFERROR(VALUE(IF(RTD("tos.rtd",,"IMPL_VOL","."&amp;S$2&amp;S$1&amp;"P"&amp;$A29)="N/A",0,RTD("tos.rtd",,"IMPL_VOL","."&amp;S$2&amp;S$1&amp;"P"&amp;$A29))),0)-IFERROR(VALUE(IF(RTD("tos.rtd",,"IMPL_VOL","."&amp;S$2&amp;S$1&amp;"C"&amp;$A29)="N/A",0,RTD("tos.rtd",,"IMPL_VOL","."&amp;S$2&amp;S$1&amp;"C"&amp;$A29))),0),IF($A$2="MAXPAIN",IF($A$4&gt;$A29,($A$4-$A29)*IF(RTD("tos.rtd",,"OPEN_INT","."&amp;S$2&amp;S$1&amp;"C"&amp;$A29)="N/A",0,RTD("tos.rtd",,"OPEN_INT","."&amp;S$2&amp;S$1&amp;"C"&amp;$A29)),0)+IF($A$4&lt;$A29,($A29-$A$4)*IF(RTD("tos.rtd",,"OPEN_INT","."&amp;S$2&amp;S$1&amp;"P"&amp;$A29)="N/A",0,RTD("tos.rtd",,"OPEN_INT","."&amp;S$2&amp;S$1&amp;"P"&amp;$A29)),0),IF(RTD("tos.rtd",,$A$2,"."&amp;S$2&amp;S$1&amp;"C"&amp;$A29)="N/A",0,RTD("tos.rtd",,$A$2,"."&amp;S$2&amp;S$1&amp;"C"&amp;$A29))-IF(RTD("tos.rtd",,$A$2,"."&amp;S$2&amp;S$1&amp;"P"&amp;$A29)="N/A",0,RTD("tos.rtd",,$A$2,"."&amp;S$2&amp;S$1&amp;"P"&amp;$A29)))))))))</f>
        <v>2820</v>
      </c>
      <c r="T29" s="12">
        <f>IF($A$2="PREMIUM_OI",IFERROR((100*RTD("tos.rtd",,"OPEN_INT","."&amp;T$2&amp;T$1&amp;"C"&amp;$A29)*RTD("tos.rtd",,"LAST","."&amp;T$2&amp;T$1&amp;"C"&amp;$A29)-100*RTD("tos.rtd",,"OPEN_INT","."&amp;T$2&amp;T$1&amp;"P"&amp;$A29)*RTD("tos.rtd",,"LAST","."&amp;T$2&amp;T$1&amp;"P"&amp;$A29))/1000000,0),IF($A$2="PREMIUM",IFERROR((100*RTD("tos.rtd",,"VOLUME","."&amp;T$2&amp;T$1&amp;"C"&amp;$A29)*RTD("tos.rtd",,"LAST","."&amp;T$2&amp;T$1&amp;"C"&amp;$A29)-100*RTD("tos.rtd",,"VOLUME","."&amp;T$2&amp;T$1&amp;"P"&amp;$A29)*RTD("tos.rtd",,"LAST","."&amp;T$2&amp;T$1&amp;"P"&amp;$A29))/1000000,0),IF($A$2="DEX",IFERROR((100*RTD("tos.rtd",,"OPEN_INT","."&amp;T$2&amp;T$1&amp;"C"&amp;$A29)*RTD("tos.rtd",,"DELTA","."&amp;T$2&amp;T$1&amp;"C"&amp;$A29)-100*RTD("tos.rtd",,"OPEN_INT","."&amp;T$2&amp;T$1&amp;"P"&amp;$A29)*RTD("tos.rtd",,"DELTA","."&amp;T$2&amp;T$1&amp;"P"&amp;$A29))/1000,0),IF($A$2="VEX",IFERROR(($A$4*$A$4*RTD("tos.rtd",,"VOLUME","."&amp;T$2&amp;T$1&amp;"C"&amp;$A29)*RTD("tos.rtd",,"GAMMA","."&amp;T$2&amp;T$1&amp;"C"&amp;$A29)-$A$4*$A$4*RTD("tos.rtd",,"VOLUME","."&amp;T$2&amp;T$1&amp;"P"&amp;$A29)*RTD("tos.rtd",,"GAMMA","."&amp;T$2&amp;T$1&amp;"P"&amp;$A29))/1000000,0),IF($A$2="GEX",IFERROR(($A$4*$A$4*RTD("tos.rtd",,"OPEN_INT","."&amp;T$2&amp;T$1&amp;"C"&amp;$A29)*RTD("tos.rtd",,"GAMMA","."&amp;T$2&amp;T$1&amp;"C"&amp;$A29)-$A$4*$A$4*RTD("tos.rtd",,"OPEN_INT","."&amp;T$2&amp;T$1&amp;"P"&amp;$A29)*RTD("tos.rtd",,"GAMMA","."&amp;T$2&amp;T$1&amp;"P"&amp;$A29))/1000000,0),IF($A$2="SKEW",IFERROR(VALUE(IF(RTD("tos.rtd",,"IMPL_VOL","."&amp;T$2&amp;T$1&amp;"P"&amp;$A29)="N/A",0,RTD("tos.rtd",,"IMPL_VOL","."&amp;T$2&amp;T$1&amp;"P"&amp;$A29))),0)-IFERROR(VALUE(IF(RTD("tos.rtd",,"IMPL_VOL","."&amp;T$2&amp;T$1&amp;"C"&amp;$A29)="N/A",0,RTD("tos.rtd",,"IMPL_VOL","."&amp;T$2&amp;T$1&amp;"C"&amp;$A29))),0),IF($A$2="MAXPAIN",IF($A$4&gt;$A29,($A$4-$A29)*IF(RTD("tos.rtd",,"OPEN_INT","."&amp;T$2&amp;T$1&amp;"C"&amp;$A29)="N/A",0,RTD("tos.rtd",,"OPEN_INT","."&amp;T$2&amp;T$1&amp;"C"&amp;$A29)),0)+IF($A$4&lt;$A29,($A29-$A$4)*IF(RTD("tos.rtd",,"OPEN_INT","."&amp;T$2&amp;T$1&amp;"P"&amp;$A29)="N/A",0,RTD("tos.rtd",,"OPEN_INT","."&amp;T$2&amp;T$1&amp;"P"&amp;$A29)),0),IF(RTD("tos.rtd",,$A$2,"."&amp;T$2&amp;T$1&amp;"C"&amp;$A29)="N/A",0,RTD("tos.rtd",,$A$2,"."&amp;T$2&amp;T$1&amp;"C"&amp;$A29))-IF(RTD("tos.rtd",,$A$2,"."&amp;T$2&amp;T$1&amp;"P"&amp;$A29)="N/A",0,RTD("tos.rtd",,$A$2,"."&amp;T$2&amp;T$1&amp;"P"&amp;$A29)))))))))</f>
        <v>1449</v>
      </c>
      <c r="U29" s="12">
        <f>IF($A$2="PREMIUM_OI",IFERROR((100*RTD("tos.rtd",,"OPEN_INT","."&amp;U$2&amp;U$1&amp;"C"&amp;$A29)*RTD("tos.rtd",,"LAST","."&amp;U$2&amp;U$1&amp;"C"&amp;$A29)-100*RTD("tos.rtd",,"OPEN_INT","."&amp;U$2&amp;U$1&amp;"P"&amp;$A29)*RTD("tos.rtd",,"LAST","."&amp;U$2&amp;U$1&amp;"P"&amp;$A29))/1000000,0),IF($A$2="PREMIUM",IFERROR((100*RTD("tos.rtd",,"VOLUME","."&amp;U$2&amp;U$1&amp;"C"&amp;$A29)*RTD("tos.rtd",,"LAST","."&amp;U$2&amp;U$1&amp;"C"&amp;$A29)-100*RTD("tos.rtd",,"VOLUME","."&amp;U$2&amp;U$1&amp;"P"&amp;$A29)*RTD("tos.rtd",,"LAST","."&amp;U$2&amp;U$1&amp;"P"&amp;$A29))/1000000,0),IF($A$2="DEX",IFERROR((100*RTD("tos.rtd",,"OPEN_INT","."&amp;U$2&amp;U$1&amp;"C"&amp;$A29)*RTD("tos.rtd",,"DELTA","."&amp;U$2&amp;U$1&amp;"C"&amp;$A29)-100*RTD("tos.rtd",,"OPEN_INT","."&amp;U$2&amp;U$1&amp;"P"&amp;$A29)*RTD("tos.rtd",,"DELTA","."&amp;U$2&amp;U$1&amp;"P"&amp;$A29))/1000,0),IF($A$2="VEX",IFERROR(($A$4*$A$4*RTD("tos.rtd",,"VOLUME","."&amp;U$2&amp;U$1&amp;"C"&amp;$A29)*RTD("tos.rtd",,"GAMMA","."&amp;U$2&amp;U$1&amp;"C"&amp;$A29)-$A$4*$A$4*RTD("tos.rtd",,"VOLUME","."&amp;U$2&amp;U$1&amp;"P"&amp;$A29)*RTD("tos.rtd",,"GAMMA","."&amp;U$2&amp;U$1&amp;"P"&amp;$A29))/1000000,0),IF($A$2="GEX",IFERROR(($A$4*$A$4*RTD("tos.rtd",,"OPEN_INT","."&amp;U$2&amp;U$1&amp;"C"&amp;$A29)*RTD("tos.rtd",,"GAMMA","."&amp;U$2&amp;U$1&amp;"C"&amp;$A29)-$A$4*$A$4*RTD("tos.rtd",,"OPEN_INT","."&amp;U$2&amp;U$1&amp;"P"&amp;$A29)*RTD("tos.rtd",,"GAMMA","."&amp;U$2&amp;U$1&amp;"P"&amp;$A29))/1000000,0),IF($A$2="SKEW",IFERROR(VALUE(IF(RTD("tos.rtd",,"IMPL_VOL","."&amp;U$2&amp;U$1&amp;"P"&amp;$A29)="N/A",0,RTD("tos.rtd",,"IMPL_VOL","."&amp;U$2&amp;U$1&amp;"P"&amp;$A29))),0)-IFERROR(VALUE(IF(RTD("tos.rtd",,"IMPL_VOL","."&amp;U$2&amp;U$1&amp;"C"&amp;$A29)="N/A",0,RTD("tos.rtd",,"IMPL_VOL","."&amp;U$2&amp;U$1&amp;"C"&amp;$A29))),0),IF($A$2="MAXPAIN",IF($A$4&gt;$A29,($A$4-$A29)*IF(RTD("tos.rtd",,"OPEN_INT","."&amp;U$2&amp;U$1&amp;"C"&amp;$A29)="N/A",0,RTD("tos.rtd",,"OPEN_INT","."&amp;U$2&amp;U$1&amp;"C"&amp;$A29)),0)+IF($A$4&lt;$A29,($A29-$A$4)*IF(RTD("tos.rtd",,"OPEN_INT","."&amp;U$2&amp;U$1&amp;"P"&amp;$A29)="N/A",0,RTD("tos.rtd",,"OPEN_INT","."&amp;U$2&amp;U$1&amp;"P"&amp;$A29)),0),IF(RTD("tos.rtd",,$A$2,"."&amp;U$2&amp;U$1&amp;"C"&amp;$A29)="N/A",0,RTD("tos.rtd",,$A$2,"."&amp;U$2&amp;U$1&amp;"C"&amp;$A29))-IF(RTD("tos.rtd",,$A$2,"."&amp;U$2&amp;U$1&amp;"P"&amp;$A29)="N/A",0,RTD("tos.rtd",,$A$2,"."&amp;U$2&amp;U$1&amp;"P"&amp;$A29)))))))))</f>
        <v>0</v>
      </c>
      <c r="V29" s="12">
        <f>IF($A$2="PREMIUM_OI",IFERROR((100*RTD("tos.rtd",,"OPEN_INT","."&amp;V$2&amp;V$1&amp;"C"&amp;$A29)*RTD("tos.rtd",,"LAST","."&amp;V$2&amp;V$1&amp;"C"&amp;$A29)-100*RTD("tos.rtd",,"OPEN_INT","."&amp;V$2&amp;V$1&amp;"P"&amp;$A29)*RTD("tos.rtd",,"LAST","."&amp;V$2&amp;V$1&amp;"P"&amp;$A29))/1000000,0),IF($A$2="PREMIUM",IFERROR((100*RTD("tos.rtd",,"VOLUME","."&amp;V$2&amp;V$1&amp;"C"&amp;$A29)*RTD("tos.rtd",,"LAST","."&amp;V$2&amp;V$1&amp;"C"&amp;$A29)-100*RTD("tos.rtd",,"VOLUME","."&amp;V$2&amp;V$1&amp;"P"&amp;$A29)*RTD("tos.rtd",,"LAST","."&amp;V$2&amp;V$1&amp;"P"&amp;$A29))/1000000,0),IF($A$2="DEX",IFERROR((100*RTD("tos.rtd",,"OPEN_INT","."&amp;V$2&amp;V$1&amp;"C"&amp;$A29)*RTD("tos.rtd",,"DELTA","."&amp;V$2&amp;V$1&amp;"C"&amp;$A29)-100*RTD("tos.rtd",,"OPEN_INT","."&amp;V$2&amp;V$1&amp;"P"&amp;$A29)*RTD("tos.rtd",,"DELTA","."&amp;V$2&amp;V$1&amp;"P"&amp;$A29))/1000,0),IF($A$2="VEX",IFERROR(($A$4*$A$4*RTD("tos.rtd",,"VOLUME","."&amp;V$2&amp;V$1&amp;"C"&amp;$A29)*RTD("tos.rtd",,"GAMMA","."&amp;V$2&amp;V$1&amp;"C"&amp;$A29)-$A$4*$A$4*RTD("tos.rtd",,"VOLUME","."&amp;V$2&amp;V$1&amp;"P"&amp;$A29)*RTD("tos.rtd",,"GAMMA","."&amp;V$2&amp;V$1&amp;"P"&amp;$A29))/1000000,0),IF($A$2="GEX",IFERROR(($A$4*$A$4*RTD("tos.rtd",,"OPEN_INT","."&amp;V$2&amp;V$1&amp;"C"&amp;$A29)*RTD("tos.rtd",,"GAMMA","."&amp;V$2&amp;V$1&amp;"C"&amp;$A29)-$A$4*$A$4*RTD("tos.rtd",,"OPEN_INT","."&amp;V$2&amp;V$1&amp;"P"&amp;$A29)*RTD("tos.rtd",,"GAMMA","."&amp;V$2&amp;V$1&amp;"P"&amp;$A29))/1000000,0),IF($A$2="SKEW",IFERROR(VALUE(IF(RTD("tos.rtd",,"IMPL_VOL","."&amp;V$2&amp;V$1&amp;"P"&amp;$A29)="N/A",0,RTD("tos.rtd",,"IMPL_VOL","."&amp;V$2&amp;V$1&amp;"P"&amp;$A29))),0)-IFERROR(VALUE(IF(RTD("tos.rtd",,"IMPL_VOL","."&amp;V$2&amp;V$1&amp;"C"&amp;$A29)="N/A",0,RTD("tos.rtd",,"IMPL_VOL","."&amp;V$2&amp;V$1&amp;"C"&amp;$A29))),0),IF($A$2="MAXPAIN",IF($A$4&gt;$A29,($A$4-$A29)*IF(RTD("tos.rtd",,"OPEN_INT","."&amp;V$2&amp;V$1&amp;"C"&amp;$A29)="N/A",0,RTD("tos.rtd",,"OPEN_INT","."&amp;V$2&amp;V$1&amp;"C"&amp;$A29)),0)+IF($A$4&lt;$A29,($A29-$A$4)*IF(RTD("tos.rtd",,"OPEN_INT","."&amp;V$2&amp;V$1&amp;"P"&amp;$A29)="N/A",0,RTD("tos.rtd",,"OPEN_INT","."&amp;V$2&amp;V$1&amp;"P"&amp;$A29)),0),IF(RTD("tos.rtd",,$A$2,"."&amp;V$2&amp;V$1&amp;"C"&amp;$A29)="N/A",0,RTD("tos.rtd",,$A$2,"."&amp;V$2&amp;V$1&amp;"C"&amp;$A29))-IF(RTD("tos.rtd",,$A$2,"."&amp;V$2&amp;V$1&amp;"P"&amp;$A29)="N/A",0,RTD("tos.rtd",,$A$2,"."&amp;V$2&amp;V$1&amp;"P"&amp;$A29)))))))))</f>
        <v>0</v>
      </c>
      <c r="W29" s="12">
        <f>IF($A$2="PREMIUM_OI",IFERROR((100*RTD("tos.rtd",,"OPEN_INT","."&amp;W$2&amp;W$1&amp;"C"&amp;$A29)*RTD("tos.rtd",,"LAST","."&amp;W$2&amp;W$1&amp;"C"&amp;$A29)-100*RTD("tos.rtd",,"OPEN_INT","."&amp;W$2&amp;W$1&amp;"P"&amp;$A29)*RTD("tos.rtd",,"LAST","."&amp;W$2&amp;W$1&amp;"P"&amp;$A29))/1000000,0),IF($A$2="PREMIUM",IFERROR((100*RTD("tos.rtd",,"VOLUME","."&amp;W$2&amp;W$1&amp;"C"&amp;$A29)*RTD("tos.rtd",,"LAST","."&amp;W$2&amp;W$1&amp;"C"&amp;$A29)-100*RTD("tos.rtd",,"VOLUME","."&amp;W$2&amp;W$1&amp;"P"&amp;$A29)*RTD("tos.rtd",,"LAST","."&amp;W$2&amp;W$1&amp;"P"&amp;$A29))/1000000,0),IF($A$2="DEX",IFERROR((100*RTD("tos.rtd",,"OPEN_INT","."&amp;W$2&amp;W$1&amp;"C"&amp;$A29)*RTD("tos.rtd",,"DELTA","."&amp;W$2&amp;W$1&amp;"C"&amp;$A29)-100*RTD("tos.rtd",,"OPEN_INT","."&amp;W$2&amp;W$1&amp;"P"&amp;$A29)*RTD("tos.rtd",,"DELTA","."&amp;W$2&amp;W$1&amp;"P"&amp;$A29))/1000,0),IF($A$2="VEX",IFERROR(($A$4*$A$4*RTD("tos.rtd",,"VOLUME","."&amp;W$2&amp;W$1&amp;"C"&amp;$A29)*RTD("tos.rtd",,"GAMMA","."&amp;W$2&amp;W$1&amp;"C"&amp;$A29)-$A$4*$A$4*RTD("tos.rtd",,"VOLUME","."&amp;W$2&amp;W$1&amp;"P"&amp;$A29)*RTD("tos.rtd",,"GAMMA","."&amp;W$2&amp;W$1&amp;"P"&amp;$A29))/1000000,0),IF($A$2="GEX",IFERROR(($A$4*$A$4*RTD("tos.rtd",,"OPEN_INT","."&amp;W$2&amp;W$1&amp;"C"&amp;$A29)*RTD("tos.rtd",,"GAMMA","."&amp;W$2&amp;W$1&amp;"C"&amp;$A29)-$A$4*$A$4*RTD("tos.rtd",,"OPEN_INT","."&amp;W$2&amp;W$1&amp;"P"&amp;$A29)*RTD("tos.rtd",,"GAMMA","."&amp;W$2&amp;W$1&amp;"P"&amp;$A29))/1000000,0),IF($A$2="SKEW",IFERROR(VALUE(IF(RTD("tos.rtd",,"IMPL_VOL","."&amp;W$2&amp;W$1&amp;"P"&amp;$A29)="N/A",0,RTD("tos.rtd",,"IMPL_VOL","."&amp;W$2&amp;W$1&amp;"P"&amp;$A29))),0)-IFERROR(VALUE(IF(RTD("tos.rtd",,"IMPL_VOL","."&amp;W$2&amp;W$1&amp;"C"&amp;$A29)="N/A",0,RTD("tos.rtd",,"IMPL_VOL","."&amp;W$2&amp;W$1&amp;"C"&amp;$A29))),0),IF($A$2="MAXPAIN",IF($A$4&gt;$A29,($A$4-$A29)*IF(RTD("tos.rtd",,"OPEN_INT","."&amp;W$2&amp;W$1&amp;"C"&amp;$A29)="N/A",0,RTD("tos.rtd",,"OPEN_INT","."&amp;W$2&amp;W$1&amp;"C"&amp;$A29)),0)+IF($A$4&lt;$A29,($A29-$A$4)*IF(RTD("tos.rtd",,"OPEN_INT","."&amp;W$2&amp;W$1&amp;"P"&amp;$A29)="N/A",0,RTD("tos.rtd",,"OPEN_INT","."&amp;W$2&amp;W$1&amp;"P"&amp;$A29)),0),IF(RTD("tos.rtd",,$A$2,"."&amp;W$2&amp;W$1&amp;"C"&amp;$A29)="N/A",0,RTD("tos.rtd",,$A$2,"."&amp;W$2&amp;W$1&amp;"C"&amp;$A29))-IF(RTD("tos.rtd",,$A$2,"."&amp;W$2&amp;W$1&amp;"P"&amp;$A29)="N/A",0,RTD("tos.rtd",,$A$2,"."&amp;W$2&amp;W$1&amp;"P"&amp;$A29)))))))))</f>
        <v>0</v>
      </c>
      <c r="X29" s="12">
        <f t="shared" ca="1" si="7"/>
        <v>4269</v>
      </c>
      <c r="Y29" s="27">
        <f t="shared" ca="1" si="8"/>
        <v>4269</v>
      </c>
      <c r="AA29" s="35">
        <f>+IF($AJ$1,AJ29,TASTYOHLC!A29)</f>
        <v>0</v>
      </c>
      <c r="AB29" s="8">
        <f>+IF($AJ$1,AK29,TASTYOHLC!B29)</f>
        <v>0</v>
      </c>
      <c r="AC29" s="8">
        <f>+IF($AJ$1,AL29,TASTYOHLC!C29)</f>
        <v>0</v>
      </c>
      <c r="AD29" s="8">
        <f>+IF($AJ$1,AM29,TASTYOHLC!D29)</f>
        <v>0</v>
      </c>
      <c r="AE29" s="8">
        <f>+IF($AJ$1,AN29,TASTYOHLC!E29)</f>
        <v>0</v>
      </c>
      <c r="AF29" s="8"/>
      <c r="AJ29" s="37"/>
    </row>
    <row r="30" spans="1:40" s="19" customFormat="1" ht="11.1" customHeight="1" thickBot="1" x14ac:dyDescent="0.3">
      <c r="A30" s="23">
        <f t="shared" si="13"/>
        <v>7</v>
      </c>
      <c r="B30" s="14">
        <f>IF($A$2="PREMIUM_OI",IFERROR((100*RTD("tos.rtd",,"OPEN_INT","."&amp;B$2&amp;B$1&amp;"C"&amp;$A30)*RTD("tos.rtd",,"LAST","."&amp;B$2&amp;B$1&amp;"C"&amp;$A30)-100*RTD("tos.rtd",,"OPEN_INT","."&amp;B$2&amp;B$1&amp;"P"&amp;$A30)*RTD("tos.rtd",,"LAST","."&amp;B$2&amp;B$1&amp;"P"&amp;$A30))/1000000,0),IF($A$2="PREMIUM",IFERROR((100*RTD("tos.rtd",,"VOLUME","."&amp;B$2&amp;B$1&amp;"C"&amp;$A30)*RTD("tos.rtd",,"LAST","."&amp;B$2&amp;B$1&amp;"C"&amp;$A30)-100*RTD("tos.rtd",,"VOLUME","."&amp;B$2&amp;B$1&amp;"P"&amp;$A30)*RTD("tos.rtd",,"LAST","."&amp;B$2&amp;B$1&amp;"P"&amp;$A30))/1000000,0),IF($A$2="DEX",IFERROR((100*RTD("tos.rtd",,"OPEN_INT","."&amp;B$2&amp;B$1&amp;"C"&amp;$A30)*RTD("tos.rtd",,"DELTA","."&amp;B$2&amp;B$1&amp;"C"&amp;$A30)-100*RTD("tos.rtd",,"OPEN_INT","."&amp;B$2&amp;B$1&amp;"P"&amp;$A30)*RTD("tos.rtd",,"DELTA","."&amp;B$2&amp;B$1&amp;"P"&amp;$A30))/1000,0),IF($A$2="VEX",IFERROR(($A$4*$A$4*RTD("tos.rtd",,"VOLUME","."&amp;B$2&amp;B$1&amp;"C"&amp;$A30)*RTD("tos.rtd",,"GAMMA","."&amp;B$2&amp;B$1&amp;"C"&amp;$A30)-$A$4*$A$4*RTD("tos.rtd",,"VOLUME","."&amp;B$2&amp;B$1&amp;"P"&amp;$A30)*RTD("tos.rtd",,"GAMMA","."&amp;B$2&amp;B$1&amp;"P"&amp;$A30))/1000000,0),IF($A$2="GEX",IFERROR(($A$4*$A$4*RTD("tos.rtd",,"OPEN_INT","."&amp;B$2&amp;B$1&amp;"C"&amp;$A30)*RTD("tos.rtd",,"GAMMA","."&amp;B$2&amp;B$1&amp;"C"&amp;$A30)-$A$4*$A$4*RTD("tos.rtd",,"OPEN_INT","."&amp;B$2&amp;B$1&amp;"P"&amp;$A30)*RTD("tos.rtd",,"GAMMA","."&amp;B$2&amp;B$1&amp;"P"&amp;$A30))/1000000,0),IF($A$2="SKEW",IFERROR(VALUE(IF(RTD("tos.rtd",,"IMPL_VOL","."&amp;B$2&amp;B$1&amp;"P"&amp;$A30)="N/A",0,RTD("tos.rtd",,"IMPL_VOL","."&amp;B$2&amp;B$1&amp;"P"&amp;$A30))),0)-IFERROR(VALUE(IF(RTD("tos.rtd",,"IMPL_VOL","."&amp;B$2&amp;B$1&amp;"C"&amp;$A30)="N/A",0,RTD("tos.rtd",,"IMPL_VOL","."&amp;B$2&amp;B$1&amp;"C"&amp;$A30))),0),IF($A$2="MAXPAIN",IF($A$4&gt;$A30,($A$4-$A30)*IF(RTD("tos.rtd",,"OPEN_INT","."&amp;B$2&amp;B$1&amp;"C"&amp;$A30)="N/A",0,RTD("tos.rtd",,"OPEN_INT","."&amp;B$2&amp;B$1&amp;"C"&amp;$A30)),0)+IF($A$4&lt;$A30,($A30-$A$4)*IF(RTD("tos.rtd",,"OPEN_INT","."&amp;B$2&amp;B$1&amp;"P"&amp;$A30)="N/A",0,RTD("tos.rtd",,"OPEN_INT","."&amp;B$2&amp;B$1&amp;"P"&amp;$A30)),0),IF(RTD("tos.rtd",,$A$2,"."&amp;B$2&amp;B$1&amp;"C"&amp;$A30)="N/A",0,RTD("tos.rtd",,$A$2,"."&amp;B$2&amp;B$1&amp;"C"&amp;$A30))-IF(RTD("tos.rtd",,$A$2,"."&amp;B$2&amp;B$1&amp;"P"&amp;$A30)="N/A",0,RTD("tos.rtd",,$A$2,"."&amp;B$2&amp;B$1&amp;"P"&amp;$A30)))))))))</f>
        <v>0</v>
      </c>
      <c r="C30" s="12">
        <f>IF($A$2="PREMIUM_OI",IFERROR((100*RTD("tos.rtd",,"OPEN_INT","."&amp;C$2&amp;C$1&amp;"C"&amp;$A30)*RTD("tos.rtd",,"LAST","."&amp;C$2&amp;C$1&amp;"C"&amp;$A30)-100*RTD("tos.rtd",,"OPEN_INT","."&amp;C$2&amp;C$1&amp;"P"&amp;$A30)*RTD("tos.rtd",,"LAST","."&amp;C$2&amp;C$1&amp;"P"&amp;$A30))/1000000,0),IF($A$2="PREMIUM",IFERROR((100*RTD("tos.rtd",,"VOLUME","."&amp;C$2&amp;C$1&amp;"C"&amp;$A30)*RTD("tos.rtd",,"LAST","."&amp;C$2&amp;C$1&amp;"C"&amp;$A30)-100*RTD("tos.rtd",,"VOLUME","."&amp;C$2&amp;C$1&amp;"P"&amp;$A30)*RTD("tos.rtd",,"LAST","."&amp;C$2&amp;C$1&amp;"P"&amp;$A30))/1000000,0),IF($A$2="DEX",IFERROR((100*RTD("tos.rtd",,"OPEN_INT","."&amp;C$2&amp;C$1&amp;"C"&amp;$A30)*RTD("tos.rtd",,"DELTA","."&amp;C$2&amp;C$1&amp;"C"&amp;$A30)-100*RTD("tos.rtd",,"OPEN_INT","."&amp;C$2&amp;C$1&amp;"P"&amp;$A30)*RTD("tos.rtd",,"DELTA","."&amp;C$2&amp;C$1&amp;"P"&amp;$A30))/1000,0),IF($A$2="VEX",IFERROR(($A$4*$A$4*RTD("tos.rtd",,"VOLUME","."&amp;C$2&amp;C$1&amp;"C"&amp;$A30)*RTD("tos.rtd",,"GAMMA","."&amp;C$2&amp;C$1&amp;"C"&amp;$A30)-$A$4*$A$4*RTD("tos.rtd",,"VOLUME","."&amp;C$2&amp;C$1&amp;"P"&amp;$A30)*RTD("tos.rtd",,"GAMMA","."&amp;C$2&amp;C$1&amp;"P"&amp;$A30))/1000000,0),IF($A$2="GEX",IFERROR(($A$4*$A$4*RTD("tos.rtd",,"OPEN_INT","."&amp;C$2&amp;C$1&amp;"C"&amp;$A30)*RTD("tos.rtd",,"GAMMA","."&amp;C$2&amp;C$1&amp;"C"&amp;$A30)-$A$4*$A$4*RTD("tos.rtd",,"OPEN_INT","."&amp;C$2&amp;C$1&amp;"P"&amp;$A30)*RTD("tos.rtd",,"GAMMA","."&amp;C$2&amp;C$1&amp;"P"&amp;$A30))/1000000,0),IF($A$2="SKEW",IFERROR(VALUE(IF(RTD("tos.rtd",,"IMPL_VOL","."&amp;C$2&amp;C$1&amp;"P"&amp;$A30)="N/A",0,RTD("tos.rtd",,"IMPL_VOL","."&amp;C$2&amp;C$1&amp;"P"&amp;$A30))),0)-IFERROR(VALUE(IF(RTD("tos.rtd",,"IMPL_VOL","."&amp;C$2&amp;C$1&amp;"C"&amp;$A30)="N/A",0,RTD("tos.rtd",,"IMPL_VOL","."&amp;C$2&amp;C$1&amp;"C"&amp;$A30))),0),IF($A$2="MAXPAIN",IF($A$4&gt;$A30,($A$4-$A30)*IF(RTD("tos.rtd",,"OPEN_INT","."&amp;C$2&amp;C$1&amp;"C"&amp;$A30)="N/A",0,RTD("tos.rtd",,"OPEN_INT","."&amp;C$2&amp;C$1&amp;"C"&amp;$A30)),0)+IF($A$4&lt;$A30,($A30-$A$4)*IF(RTD("tos.rtd",,"OPEN_INT","."&amp;C$2&amp;C$1&amp;"P"&amp;$A30)="N/A",0,RTD("tos.rtd",,"OPEN_INT","."&amp;C$2&amp;C$1&amp;"P"&amp;$A30)),0),IF(RTD("tos.rtd",,$A$2,"."&amp;C$2&amp;C$1&amp;"C"&amp;$A30)="N/A",0,RTD("tos.rtd",,$A$2,"."&amp;C$2&amp;C$1&amp;"C"&amp;$A30))-IF(RTD("tos.rtd",,$A$2,"."&amp;C$2&amp;C$1&amp;"P"&amp;$A30)="N/A",0,RTD("tos.rtd",,$A$2,"."&amp;C$2&amp;C$1&amp;"P"&amp;$A30)))))))))</f>
        <v>-14359</v>
      </c>
      <c r="D30" s="12">
        <f>IF($A$2="PREMIUM_OI",IFERROR((100*RTD("tos.rtd",,"OPEN_INT","."&amp;D$2&amp;D$1&amp;"C"&amp;$A30)*RTD("tos.rtd",,"LAST","."&amp;D$2&amp;D$1&amp;"C"&amp;$A30)-100*RTD("tos.rtd",,"OPEN_INT","."&amp;D$2&amp;D$1&amp;"P"&amp;$A30)*RTD("tos.rtd",,"LAST","."&amp;D$2&amp;D$1&amp;"P"&amp;$A30))/1000000,0),IF($A$2="PREMIUM",IFERROR((100*RTD("tos.rtd",,"VOLUME","."&amp;D$2&amp;D$1&amp;"C"&amp;$A30)*RTD("tos.rtd",,"LAST","."&amp;D$2&amp;D$1&amp;"C"&amp;$A30)-100*RTD("tos.rtd",,"VOLUME","."&amp;D$2&amp;D$1&amp;"P"&amp;$A30)*RTD("tos.rtd",,"LAST","."&amp;D$2&amp;D$1&amp;"P"&amp;$A30))/1000000,0),IF($A$2="DEX",IFERROR((100*RTD("tos.rtd",,"OPEN_INT","."&amp;D$2&amp;D$1&amp;"C"&amp;$A30)*RTD("tos.rtd",,"DELTA","."&amp;D$2&amp;D$1&amp;"C"&amp;$A30)-100*RTD("tos.rtd",,"OPEN_INT","."&amp;D$2&amp;D$1&amp;"P"&amp;$A30)*RTD("tos.rtd",,"DELTA","."&amp;D$2&amp;D$1&amp;"P"&amp;$A30))/1000,0),IF($A$2="VEX",IFERROR(($A$4*$A$4*RTD("tos.rtd",,"VOLUME","."&amp;D$2&amp;D$1&amp;"C"&amp;$A30)*RTD("tos.rtd",,"GAMMA","."&amp;D$2&amp;D$1&amp;"C"&amp;$A30)-$A$4*$A$4*RTD("tos.rtd",,"VOLUME","."&amp;D$2&amp;D$1&amp;"P"&amp;$A30)*RTD("tos.rtd",,"GAMMA","."&amp;D$2&amp;D$1&amp;"P"&amp;$A30))/1000000,0),IF($A$2="GEX",IFERROR(($A$4*$A$4*RTD("tos.rtd",,"OPEN_INT","."&amp;D$2&amp;D$1&amp;"C"&amp;$A30)*RTD("tos.rtd",,"GAMMA","."&amp;D$2&amp;D$1&amp;"C"&amp;$A30)-$A$4*$A$4*RTD("tos.rtd",,"OPEN_INT","."&amp;D$2&amp;D$1&amp;"P"&amp;$A30)*RTD("tos.rtd",,"GAMMA","."&amp;D$2&amp;D$1&amp;"P"&amp;$A30))/1000000,0),IF($A$2="SKEW",IFERROR(VALUE(IF(RTD("tos.rtd",,"IMPL_VOL","."&amp;D$2&amp;D$1&amp;"P"&amp;$A30)="N/A",0,RTD("tos.rtd",,"IMPL_VOL","."&amp;D$2&amp;D$1&amp;"P"&amp;$A30))),0)-IFERROR(VALUE(IF(RTD("tos.rtd",,"IMPL_VOL","."&amp;D$2&amp;D$1&amp;"C"&amp;$A30)="N/A",0,RTD("tos.rtd",,"IMPL_VOL","."&amp;D$2&amp;D$1&amp;"C"&amp;$A30))),0),IF($A$2="MAXPAIN",IF($A$4&gt;$A30,($A$4-$A30)*IF(RTD("tos.rtd",,"OPEN_INT","."&amp;D$2&amp;D$1&amp;"C"&amp;$A30)="N/A",0,RTD("tos.rtd",,"OPEN_INT","."&amp;D$2&amp;D$1&amp;"C"&amp;$A30)),0)+IF($A$4&lt;$A30,($A30-$A$4)*IF(RTD("tos.rtd",,"OPEN_INT","."&amp;D$2&amp;D$1&amp;"P"&amp;$A30)="N/A",0,RTD("tos.rtd",,"OPEN_INT","."&amp;D$2&amp;D$1&amp;"P"&amp;$A30)),0),IF(RTD("tos.rtd",,$A$2,"."&amp;D$2&amp;D$1&amp;"C"&amp;$A30)="N/A",0,RTD("tos.rtd",,$A$2,"."&amp;D$2&amp;D$1&amp;"C"&amp;$A30))-IF(RTD("tos.rtd",,$A$2,"."&amp;D$2&amp;D$1&amp;"P"&amp;$A30)="N/A",0,RTD("tos.rtd",,$A$2,"."&amp;D$2&amp;D$1&amp;"P"&amp;$A30)))))))))</f>
        <v>0</v>
      </c>
      <c r="E30" s="12">
        <f>IF($A$2="PREMIUM_OI",IFERROR((100*RTD("tos.rtd",,"OPEN_INT","."&amp;E$2&amp;E$1&amp;"C"&amp;$A30)*RTD("tos.rtd",,"LAST","."&amp;E$2&amp;E$1&amp;"C"&amp;$A30)-100*RTD("tos.rtd",,"OPEN_INT","."&amp;E$2&amp;E$1&amp;"P"&amp;$A30)*RTD("tos.rtd",,"LAST","."&amp;E$2&amp;E$1&amp;"P"&amp;$A30))/1000000,0),IF($A$2="PREMIUM",IFERROR((100*RTD("tos.rtd",,"VOLUME","."&amp;E$2&amp;E$1&amp;"C"&amp;$A30)*RTD("tos.rtd",,"LAST","."&amp;E$2&amp;E$1&amp;"C"&amp;$A30)-100*RTD("tos.rtd",,"VOLUME","."&amp;E$2&amp;E$1&amp;"P"&amp;$A30)*RTD("tos.rtd",,"LAST","."&amp;E$2&amp;E$1&amp;"P"&amp;$A30))/1000000,0),IF($A$2="DEX",IFERROR((100*RTD("tos.rtd",,"OPEN_INT","."&amp;E$2&amp;E$1&amp;"C"&amp;$A30)*RTD("tos.rtd",,"DELTA","."&amp;E$2&amp;E$1&amp;"C"&amp;$A30)-100*RTD("tos.rtd",,"OPEN_INT","."&amp;E$2&amp;E$1&amp;"P"&amp;$A30)*RTD("tos.rtd",,"DELTA","."&amp;E$2&amp;E$1&amp;"P"&amp;$A30))/1000,0),IF($A$2="VEX",IFERROR(($A$4*$A$4*RTD("tos.rtd",,"VOLUME","."&amp;E$2&amp;E$1&amp;"C"&amp;$A30)*RTD("tos.rtd",,"GAMMA","."&amp;E$2&amp;E$1&amp;"C"&amp;$A30)-$A$4*$A$4*RTD("tos.rtd",,"VOLUME","."&amp;E$2&amp;E$1&amp;"P"&amp;$A30)*RTD("tos.rtd",,"GAMMA","."&amp;E$2&amp;E$1&amp;"P"&amp;$A30))/1000000,0),IF($A$2="GEX",IFERROR(($A$4*$A$4*RTD("tos.rtd",,"OPEN_INT","."&amp;E$2&amp;E$1&amp;"C"&amp;$A30)*RTD("tos.rtd",,"GAMMA","."&amp;E$2&amp;E$1&amp;"C"&amp;$A30)-$A$4*$A$4*RTD("tos.rtd",,"OPEN_INT","."&amp;E$2&amp;E$1&amp;"P"&amp;$A30)*RTD("tos.rtd",,"GAMMA","."&amp;E$2&amp;E$1&amp;"P"&amp;$A30))/1000000,0),IF($A$2="SKEW",IFERROR(VALUE(IF(RTD("tos.rtd",,"IMPL_VOL","."&amp;E$2&amp;E$1&amp;"P"&amp;$A30)="N/A",0,RTD("tos.rtd",,"IMPL_VOL","."&amp;E$2&amp;E$1&amp;"P"&amp;$A30))),0)-IFERROR(VALUE(IF(RTD("tos.rtd",,"IMPL_VOL","."&amp;E$2&amp;E$1&amp;"C"&amp;$A30)="N/A",0,RTD("tos.rtd",,"IMPL_VOL","."&amp;E$2&amp;E$1&amp;"C"&amp;$A30))),0),IF($A$2="MAXPAIN",IF($A$4&gt;$A30,($A$4-$A30)*IF(RTD("tos.rtd",,"OPEN_INT","."&amp;E$2&amp;E$1&amp;"C"&amp;$A30)="N/A",0,RTD("tos.rtd",,"OPEN_INT","."&amp;E$2&amp;E$1&amp;"C"&amp;$A30)),0)+IF($A$4&lt;$A30,($A30-$A$4)*IF(RTD("tos.rtd",,"OPEN_INT","."&amp;E$2&amp;E$1&amp;"P"&amp;$A30)="N/A",0,RTD("tos.rtd",,"OPEN_INT","."&amp;E$2&amp;E$1&amp;"P"&amp;$A30)),0),IF(RTD("tos.rtd",,$A$2,"."&amp;E$2&amp;E$1&amp;"C"&amp;$A30)="N/A",0,RTD("tos.rtd",,$A$2,"."&amp;E$2&amp;E$1&amp;"C"&amp;$A30))-IF(RTD("tos.rtd",,$A$2,"."&amp;E$2&amp;E$1&amp;"P"&amp;$A30)="N/A",0,RTD("tos.rtd",,$A$2,"."&amp;E$2&amp;E$1&amp;"P"&amp;$A30)))))))))</f>
        <v>0</v>
      </c>
      <c r="F30" s="12">
        <f>IF($A$2="PREMIUM_OI",IFERROR((100*RTD("tos.rtd",,"OPEN_INT","."&amp;F$2&amp;F$1&amp;"C"&amp;$A30)*RTD("tos.rtd",,"LAST","."&amp;F$2&amp;F$1&amp;"C"&amp;$A30)-100*RTD("tos.rtd",,"OPEN_INT","."&amp;F$2&amp;F$1&amp;"P"&amp;$A30)*RTD("tos.rtd",,"LAST","."&amp;F$2&amp;F$1&amp;"P"&amp;$A30))/1000000,0),IF($A$2="PREMIUM",IFERROR((100*RTD("tos.rtd",,"VOLUME","."&amp;F$2&amp;F$1&amp;"C"&amp;$A30)*RTD("tos.rtd",,"LAST","."&amp;F$2&amp;F$1&amp;"C"&amp;$A30)-100*RTD("tos.rtd",,"VOLUME","."&amp;F$2&amp;F$1&amp;"P"&amp;$A30)*RTD("tos.rtd",,"LAST","."&amp;F$2&amp;F$1&amp;"P"&amp;$A30))/1000000,0),IF($A$2="DEX",IFERROR((100*RTD("tos.rtd",,"OPEN_INT","."&amp;F$2&amp;F$1&amp;"C"&amp;$A30)*RTD("tos.rtd",,"DELTA","."&amp;F$2&amp;F$1&amp;"C"&amp;$A30)-100*RTD("tos.rtd",,"OPEN_INT","."&amp;F$2&amp;F$1&amp;"P"&amp;$A30)*RTD("tos.rtd",,"DELTA","."&amp;F$2&amp;F$1&amp;"P"&amp;$A30))/1000,0),IF($A$2="VEX",IFERROR(($A$4*$A$4*RTD("tos.rtd",,"VOLUME","."&amp;F$2&amp;F$1&amp;"C"&amp;$A30)*RTD("tos.rtd",,"GAMMA","."&amp;F$2&amp;F$1&amp;"C"&amp;$A30)-$A$4*$A$4*RTD("tos.rtd",,"VOLUME","."&amp;F$2&amp;F$1&amp;"P"&amp;$A30)*RTD("tos.rtd",,"GAMMA","."&amp;F$2&amp;F$1&amp;"P"&amp;$A30))/1000000,0),IF($A$2="GEX",IFERROR(($A$4*$A$4*RTD("tos.rtd",,"OPEN_INT","."&amp;F$2&amp;F$1&amp;"C"&amp;$A30)*RTD("tos.rtd",,"GAMMA","."&amp;F$2&amp;F$1&amp;"C"&amp;$A30)-$A$4*$A$4*RTD("tos.rtd",,"OPEN_INT","."&amp;F$2&amp;F$1&amp;"P"&amp;$A30)*RTD("tos.rtd",,"GAMMA","."&amp;F$2&amp;F$1&amp;"P"&amp;$A30))/1000000,0),IF($A$2="SKEW",IFERROR(VALUE(IF(RTD("tos.rtd",,"IMPL_VOL","."&amp;F$2&amp;F$1&amp;"P"&amp;$A30)="N/A",0,RTD("tos.rtd",,"IMPL_VOL","."&amp;F$2&amp;F$1&amp;"P"&amp;$A30))),0)-IFERROR(VALUE(IF(RTD("tos.rtd",,"IMPL_VOL","."&amp;F$2&amp;F$1&amp;"C"&amp;$A30)="N/A",0,RTD("tos.rtd",,"IMPL_VOL","."&amp;F$2&amp;F$1&amp;"C"&amp;$A30))),0),IF($A$2="MAXPAIN",IF($A$4&gt;$A30,($A$4-$A30)*IF(RTD("tos.rtd",,"OPEN_INT","."&amp;F$2&amp;F$1&amp;"C"&amp;$A30)="N/A",0,RTD("tos.rtd",,"OPEN_INT","."&amp;F$2&amp;F$1&amp;"C"&amp;$A30)),0)+IF($A$4&lt;$A30,($A30-$A$4)*IF(RTD("tos.rtd",,"OPEN_INT","."&amp;F$2&amp;F$1&amp;"P"&amp;$A30)="N/A",0,RTD("tos.rtd",,"OPEN_INT","."&amp;F$2&amp;F$1&amp;"P"&amp;$A30)),0),IF(RTD("tos.rtd",,$A$2,"."&amp;F$2&amp;F$1&amp;"C"&amp;$A30)="N/A",0,RTD("tos.rtd",,$A$2,"."&amp;F$2&amp;F$1&amp;"C"&amp;$A30))-IF(RTD("tos.rtd",,$A$2,"."&amp;F$2&amp;F$1&amp;"P"&amp;$A30)="N/A",0,RTD("tos.rtd",,$A$2,"."&amp;F$2&amp;F$1&amp;"P"&amp;$A30)))))))))</f>
        <v>0</v>
      </c>
      <c r="G30" s="14">
        <f>IF($A$2="PREMIUM_OI",IFERROR((100*RTD("tos.rtd",,"OPEN_INT","."&amp;G$2&amp;G$1&amp;"C"&amp;$A30)*RTD("tos.rtd",,"LAST","."&amp;G$2&amp;G$1&amp;"C"&amp;$A30)-100*RTD("tos.rtd",,"OPEN_INT","."&amp;G$2&amp;G$1&amp;"P"&amp;$A30)*RTD("tos.rtd",,"LAST","."&amp;G$2&amp;G$1&amp;"P"&amp;$A30))/1000000,0),IF($A$2="PREMIUM",IFERROR((100*RTD("tos.rtd",,"VOLUME","."&amp;G$2&amp;G$1&amp;"C"&amp;$A30)*RTD("tos.rtd",,"LAST","."&amp;G$2&amp;G$1&amp;"C"&amp;$A30)-100*RTD("tos.rtd",,"VOLUME","."&amp;G$2&amp;G$1&amp;"P"&amp;$A30)*RTD("tos.rtd",,"LAST","."&amp;G$2&amp;G$1&amp;"P"&amp;$A30))/1000000,0),IF($A$2="DEX",IFERROR((100*RTD("tos.rtd",,"OPEN_INT","."&amp;G$2&amp;G$1&amp;"C"&amp;$A30)*RTD("tos.rtd",,"DELTA","."&amp;G$2&amp;G$1&amp;"C"&amp;$A30)-100*RTD("tos.rtd",,"OPEN_INT","."&amp;G$2&amp;G$1&amp;"P"&amp;$A30)*RTD("tos.rtd",,"DELTA","."&amp;G$2&amp;G$1&amp;"P"&amp;$A30))/1000,0),IF($A$2="VEX",IFERROR(($A$4*$A$4*RTD("tos.rtd",,"VOLUME","."&amp;G$2&amp;G$1&amp;"C"&amp;$A30)*RTD("tos.rtd",,"GAMMA","."&amp;G$2&amp;G$1&amp;"C"&amp;$A30)-$A$4*$A$4*RTD("tos.rtd",,"VOLUME","."&amp;G$2&amp;G$1&amp;"P"&amp;$A30)*RTD("tos.rtd",,"GAMMA","."&amp;G$2&amp;G$1&amp;"P"&amp;$A30))/1000000,0),IF($A$2="GEX",IFERROR(($A$4*$A$4*RTD("tos.rtd",,"OPEN_INT","."&amp;G$2&amp;G$1&amp;"C"&amp;$A30)*RTD("tos.rtd",,"GAMMA","."&amp;G$2&amp;G$1&amp;"C"&amp;$A30)-$A$4*$A$4*RTD("tos.rtd",,"OPEN_INT","."&amp;G$2&amp;G$1&amp;"P"&amp;$A30)*RTD("tos.rtd",,"GAMMA","."&amp;G$2&amp;G$1&amp;"P"&amp;$A30))/1000000,0),IF($A$2="SKEW",IFERROR(VALUE(IF(RTD("tos.rtd",,"IMPL_VOL","."&amp;G$2&amp;G$1&amp;"P"&amp;$A30)="N/A",0,RTD("tos.rtd",,"IMPL_VOL","."&amp;G$2&amp;G$1&amp;"P"&amp;$A30))),0)-IFERROR(VALUE(IF(RTD("tos.rtd",,"IMPL_VOL","."&amp;G$2&amp;G$1&amp;"C"&amp;$A30)="N/A",0,RTD("tos.rtd",,"IMPL_VOL","."&amp;G$2&amp;G$1&amp;"C"&amp;$A30))),0),IF($A$2="MAXPAIN",IF($A$4&gt;$A30,($A$4-$A30)*IF(RTD("tos.rtd",,"OPEN_INT","."&amp;G$2&amp;G$1&amp;"C"&amp;$A30)="N/A",0,RTD("tos.rtd",,"OPEN_INT","."&amp;G$2&amp;G$1&amp;"C"&amp;$A30)),0)+IF($A$4&lt;$A30,($A30-$A$4)*IF(RTD("tos.rtd",,"OPEN_INT","."&amp;G$2&amp;G$1&amp;"P"&amp;$A30)="N/A",0,RTD("tos.rtd",,"OPEN_INT","."&amp;G$2&amp;G$1&amp;"P"&amp;$A30)),0),IF(RTD("tos.rtd",,$A$2,"."&amp;G$2&amp;G$1&amp;"C"&amp;$A30)="N/A",0,RTD("tos.rtd",,$A$2,"."&amp;G$2&amp;G$1&amp;"C"&amp;$A30))-IF(RTD("tos.rtd",,$A$2,"."&amp;G$2&amp;G$1&amp;"P"&amp;$A30)="N/A",0,RTD("tos.rtd",,$A$2,"."&amp;G$2&amp;G$1&amp;"P"&amp;$A30)))))))))</f>
        <v>0</v>
      </c>
      <c r="H30" s="12">
        <f>IF($A$2="PREMIUM_OI",IFERROR((100*RTD("tos.rtd",,"OPEN_INT","."&amp;H$2&amp;H$1&amp;"C"&amp;$A30)*RTD("tos.rtd",,"LAST","."&amp;H$2&amp;H$1&amp;"C"&amp;$A30)-100*RTD("tos.rtd",,"OPEN_INT","."&amp;H$2&amp;H$1&amp;"P"&amp;$A30)*RTD("tos.rtd",,"LAST","."&amp;H$2&amp;H$1&amp;"P"&amp;$A30))/1000000,0),IF($A$2="PREMIUM",IFERROR((100*RTD("tos.rtd",,"VOLUME","."&amp;H$2&amp;H$1&amp;"C"&amp;$A30)*RTD("tos.rtd",,"LAST","."&amp;H$2&amp;H$1&amp;"C"&amp;$A30)-100*RTD("tos.rtd",,"VOLUME","."&amp;H$2&amp;H$1&amp;"P"&amp;$A30)*RTD("tos.rtd",,"LAST","."&amp;H$2&amp;H$1&amp;"P"&amp;$A30))/1000000,0),IF($A$2="DEX",IFERROR((100*RTD("tos.rtd",,"OPEN_INT","."&amp;H$2&amp;H$1&amp;"C"&amp;$A30)*RTD("tos.rtd",,"DELTA","."&amp;H$2&amp;H$1&amp;"C"&amp;$A30)-100*RTD("tos.rtd",,"OPEN_INT","."&amp;H$2&amp;H$1&amp;"P"&amp;$A30)*RTD("tos.rtd",,"DELTA","."&amp;H$2&amp;H$1&amp;"P"&amp;$A30))/1000,0),IF($A$2="VEX",IFERROR(($A$4*$A$4*RTD("tos.rtd",,"VOLUME","."&amp;H$2&amp;H$1&amp;"C"&amp;$A30)*RTD("tos.rtd",,"GAMMA","."&amp;H$2&amp;H$1&amp;"C"&amp;$A30)-$A$4*$A$4*RTD("tos.rtd",,"VOLUME","."&amp;H$2&amp;H$1&amp;"P"&amp;$A30)*RTD("tos.rtd",,"GAMMA","."&amp;H$2&amp;H$1&amp;"P"&amp;$A30))/1000000,0),IF($A$2="GEX",IFERROR(($A$4*$A$4*RTD("tos.rtd",,"OPEN_INT","."&amp;H$2&amp;H$1&amp;"C"&amp;$A30)*RTD("tos.rtd",,"GAMMA","."&amp;H$2&amp;H$1&amp;"C"&amp;$A30)-$A$4*$A$4*RTD("tos.rtd",,"OPEN_INT","."&amp;H$2&amp;H$1&amp;"P"&amp;$A30)*RTD("tos.rtd",,"GAMMA","."&amp;H$2&amp;H$1&amp;"P"&amp;$A30))/1000000,0),IF($A$2="SKEW",IFERROR(VALUE(IF(RTD("tos.rtd",,"IMPL_VOL","."&amp;H$2&amp;H$1&amp;"P"&amp;$A30)="N/A",0,RTD("tos.rtd",,"IMPL_VOL","."&amp;H$2&amp;H$1&amp;"P"&amp;$A30))),0)-IFERROR(VALUE(IF(RTD("tos.rtd",,"IMPL_VOL","."&amp;H$2&amp;H$1&amp;"C"&amp;$A30)="N/A",0,RTD("tos.rtd",,"IMPL_VOL","."&amp;H$2&amp;H$1&amp;"C"&amp;$A30))),0),IF($A$2="MAXPAIN",IF($A$4&gt;$A30,($A$4-$A30)*IF(RTD("tos.rtd",,"OPEN_INT","."&amp;H$2&amp;H$1&amp;"C"&amp;$A30)="N/A",0,RTD("tos.rtd",,"OPEN_INT","."&amp;H$2&amp;H$1&amp;"C"&amp;$A30)),0)+IF($A$4&lt;$A30,($A30-$A$4)*IF(RTD("tos.rtd",,"OPEN_INT","."&amp;H$2&amp;H$1&amp;"P"&amp;$A30)="N/A",0,RTD("tos.rtd",,"OPEN_INT","."&amp;H$2&amp;H$1&amp;"P"&amp;$A30)),0),IF(RTD("tos.rtd",,$A$2,"."&amp;H$2&amp;H$1&amp;"C"&amp;$A30)="N/A",0,RTD("tos.rtd",,$A$2,"."&amp;H$2&amp;H$1&amp;"C"&amp;$A30))-IF(RTD("tos.rtd",,$A$2,"."&amp;H$2&amp;H$1&amp;"P"&amp;$A30)="N/A",0,RTD("tos.rtd",,$A$2,"."&amp;H$2&amp;H$1&amp;"P"&amp;$A30)))))))))</f>
        <v>-12980</v>
      </c>
      <c r="I30" s="12">
        <f>IF($A$2="PREMIUM_OI",IFERROR((100*RTD("tos.rtd",,"OPEN_INT","."&amp;I$2&amp;I$1&amp;"C"&amp;$A30)*RTD("tos.rtd",,"LAST","."&amp;I$2&amp;I$1&amp;"C"&amp;$A30)-100*RTD("tos.rtd",,"OPEN_INT","."&amp;I$2&amp;I$1&amp;"P"&amp;$A30)*RTD("tos.rtd",,"LAST","."&amp;I$2&amp;I$1&amp;"P"&amp;$A30))/1000000,0),IF($A$2="PREMIUM",IFERROR((100*RTD("tos.rtd",,"VOLUME","."&amp;I$2&amp;I$1&amp;"C"&amp;$A30)*RTD("tos.rtd",,"LAST","."&amp;I$2&amp;I$1&amp;"C"&amp;$A30)-100*RTD("tos.rtd",,"VOLUME","."&amp;I$2&amp;I$1&amp;"P"&amp;$A30)*RTD("tos.rtd",,"LAST","."&amp;I$2&amp;I$1&amp;"P"&amp;$A30))/1000000,0),IF($A$2="DEX",IFERROR((100*RTD("tos.rtd",,"OPEN_INT","."&amp;I$2&amp;I$1&amp;"C"&amp;$A30)*RTD("tos.rtd",,"DELTA","."&amp;I$2&amp;I$1&amp;"C"&amp;$A30)-100*RTD("tos.rtd",,"OPEN_INT","."&amp;I$2&amp;I$1&amp;"P"&amp;$A30)*RTD("tos.rtd",,"DELTA","."&amp;I$2&amp;I$1&amp;"P"&amp;$A30))/1000,0),IF($A$2="VEX",IFERROR(($A$4*$A$4*RTD("tos.rtd",,"VOLUME","."&amp;I$2&amp;I$1&amp;"C"&amp;$A30)*RTD("tos.rtd",,"GAMMA","."&amp;I$2&amp;I$1&amp;"C"&amp;$A30)-$A$4*$A$4*RTD("tos.rtd",,"VOLUME","."&amp;I$2&amp;I$1&amp;"P"&amp;$A30)*RTD("tos.rtd",,"GAMMA","."&amp;I$2&amp;I$1&amp;"P"&amp;$A30))/1000000,0),IF($A$2="GEX",IFERROR(($A$4*$A$4*RTD("tos.rtd",,"OPEN_INT","."&amp;I$2&amp;I$1&amp;"C"&amp;$A30)*RTD("tos.rtd",,"GAMMA","."&amp;I$2&amp;I$1&amp;"C"&amp;$A30)-$A$4*$A$4*RTD("tos.rtd",,"OPEN_INT","."&amp;I$2&amp;I$1&amp;"P"&amp;$A30)*RTD("tos.rtd",,"GAMMA","."&amp;I$2&amp;I$1&amp;"P"&amp;$A30))/1000000,0),IF($A$2="SKEW",IFERROR(VALUE(IF(RTD("tos.rtd",,"IMPL_VOL","."&amp;I$2&amp;I$1&amp;"P"&amp;$A30)="N/A",0,RTD("tos.rtd",,"IMPL_VOL","."&amp;I$2&amp;I$1&amp;"P"&amp;$A30))),0)-IFERROR(VALUE(IF(RTD("tos.rtd",,"IMPL_VOL","."&amp;I$2&amp;I$1&amp;"C"&amp;$A30)="N/A",0,RTD("tos.rtd",,"IMPL_VOL","."&amp;I$2&amp;I$1&amp;"C"&amp;$A30))),0),IF($A$2="MAXPAIN",IF($A$4&gt;$A30,($A$4-$A30)*IF(RTD("tos.rtd",,"OPEN_INT","."&amp;I$2&amp;I$1&amp;"C"&amp;$A30)="N/A",0,RTD("tos.rtd",,"OPEN_INT","."&amp;I$2&amp;I$1&amp;"C"&amp;$A30)),0)+IF($A$4&lt;$A30,($A30-$A$4)*IF(RTD("tos.rtd",,"OPEN_INT","."&amp;I$2&amp;I$1&amp;"P"&amp;$A30)="N/A",0,RTD("tos.rtd",,"OPEN_INT","."&amp;I$2&amp;I$1&amp;"P"&amp;$A30)),0),IF(RTD("tos.rtd",,$A$2,"."&amp;I$2&amp;I$1&amp;"C"&amp;$A30)="N/A",0,RTD("tos.rtd",,$A$2,"."&amp;I$2&amp;I$1&amp;"C"&amp;$A30))-IF(RTD("tos.rtd",,$A$2,"."&amp;I$2&amp;I$1&amp;"P"&amp;$A30)="N/A",0,RTD("tos.rtd",,$A$2,"."&amp;I$2&amp;I$1&amp;"P"&amp;$A30)))))))))</f>
        <v>0</v>
      </c>
      <c r="J30" s="12">
        <f>IF($A$2="PREMIUM_OI",IFERROR((100*RTD("tos.rtd",,"OPEN_INT","."&amp;J$2&amp;J$1&amp;"C"&amp;$A30)*RTD("tos.rtd",,"LAST","."&amp;J$2&amp;J$1&amp;"C"&amp;$A30)-100*RTD("tos.rtd",,"OPEN_INT","."&amp;J$2&amp;J$1&amp;"P"&amp;$A30)*RTD("tos.rtd",,"LAST","."&amp;J$2&amp;J$1&amp;"P"&amp;$A30))/1000000,0),IF($A$2="PREMIUM",IFERROR((100*RTD("tos.rtd",,"VOLUME","."&amp;J$2&amp;J$1&amp;"C"&amp;$A30)*RTD("tos.rtd",,"LAST","."&amp;J$2&amp;J$1&amp;"C"&amp;$A30)-100*RTD("tos.rtd",,"VOLUME","."&amp;J$2&amp;J$1&amp;"P"&amp;$A30)*RTD("tos.rtd",,"LAST","."&amp;J$2&amp;J$1&amp;"P"&amp;$A30))/1000000,0),IF($A$2="DEX",IFERROR((100*RTD("tos.rtd",,"OPEN_INT","."&amp;J$2&amp;J$1&amp;"C"&amp;$A30)*RTD("tos.rtd",,"DELTA","."&amp;J$2&amp;J$1&amp;"C"&amp;$A30)-100*RTD("tos.rtd",,"OPEN_INT","."&amp;J$2&amp;J$1&amp;"P"&amp;$A30)*RTD("tos.rtd",,"DELTA","."&amp;J$2&amp;J$1&amp;"P"&amp;$A30))/1000,0),IF($A$2="VEX",IFERROR(($A$4*$A$4*RTD("tos.rtd",,"VOLUME","."&amp;J$2&amp;J$1&amp;"C"&amp;$A30)*RTD("tos.rtd",,"GAMMA","."&amp;J$2&amp;J$1&amp;"C"&amp;$A30)-$A$4*$A$4*RTD("tos.rtd",,"VOLUME","."&amp;J$2&amp;J$1&amp;"P"&amp;$A30)*RTD("tos.rtd",,"GAMMA","."&amp;J$2&amp;J$1&amp;"P"&amp;$A30))/1000000,0),IF($A$2="GEX",IFERROR(($A$4*$A$4*RTD("tos.rtd",,"OPEN_INT","."&amp;J$2&amp;J$1&amp;"C"&amp;$A30)*RTD("tos.rtd",,"GAMMA","."&amp;J$2&amp;J$1&amp;"C"&amp;$A30)-$A$4*$A$4*RTD("tos.rtd",,"OPEN_INT","."&amp;J$2&amp;J$1&amp;"P"&amp;$A30)*RTD("tos.rtd",,"GAMMA","."&amp;J$2&amp;J$1&amp;"P"&amp;$A30))/1000000,0),IF($A$2="SKEW",IFERROR(VALUE(IF(RTD("tos.rtd",,"IMPL_VOL","."&amp;J$2&amp;J$1&amp;"P"&amp;$A30)="N/A",0,RTD("tos.rtd",,"IMPL_VOL","."&amp;J$2&amp;J$1&amp;"P"&amp;$A30))),0)-IFERROR(VALUE(IF(RTD("tos.rtd",,"IMPL_VOL","."&amp;J$2&amp;J$1&amp;"C"&amp;$A30)="N/A",0,RTD("tos.rtd",,"IMPL_VOL","."&amp;J$2&amp;J$1&amp;"C"&amp;$A30))),0),IF($A$2="MAXPAIN",IF($A$4&gt;$A30,($A$4-$A30)*IF(RTD("tos.rtd",,"OPEN_INT","."&amp;J$2&amp;J$1&amp;"C"&amp;$A30)="N/A",0,RTD("tos.rtd",,"OPEN_INT","."&amp;J$2&amp;J$1&amp;"C"&amp;$A30)),0)+IF($A$4&lt;$A30,($A30-$A$4)*IF(RTD("tos.rtd",,"OPEN_INT","."&amp;J$2&amp;J$1&amp;"P"&amp;$A30)="N/A",0,RTD("tos.rtd",,"OPEN_INT","."&amp;J$2&amp;J$1&amp;"P"&amp;$A30)),0),IF(RTD("tos.rtd",,$A$2,"."&amp;J$2&amp;J$1&amp;"C"&amp;$A30)="N/A",0,RTD("tos.rtd",,$A$2,"."&amp;J$2&amp;J$1&amp;"C"&amp;$A30))-IF(RTD("tos.rtd",,$A$2,"."&amp;J$2&amp;J$1&amp;"P"&amp;$A30)="N/A",0,RTD("tos.rtd",,$A$2,"."&amp;J$2&amp;J$1&amp;"P"&amp;$A30)))))))))</f>
        <v>0</v>
      </c>
      <c r="K30" s="12">
        <f>IF($A$2="PREMIUM_OI",IFERROR((100*RTD("tos.rtd",,"OPEN_INT","."&amp;K$2&amp;K$1&amp;"C"&amp;$A30)*RTD("tos.rtd",,"LAST","."&amp;K$2&amp;K$1&amp;"C"&amp;$A30)-100*RTD("tos.rtd",,"OPEN_INT","."&amp;K$2&amp;K$1&amp;"P"&amp;$A30)*RTD("tos.rtd",,"LAST","."&amp;K$2&amp;K$1&amp;"P"&amp;$A30))/1000000,0),IF($A$2="PREMIUM",IFERROR((100*RTD("tos.rtd",,"VOLUME","."&amp;K$2&amp;K$1&amp;"C"&amp;$A30)*RTD("tos.rtd",,"LAST","."&amp;K$2&amp;K$1&amp;"C"&amp;$A30)-100*RTD("tos.rtd",,"VOLUME","."&amp;K$2&amp;K$1&amp;"P"&amp;$A30)*RTD("tos.rtd",,"LAST","."&amp;K$2&amp;K$1&amp;"P"&amp;$A30))/1000000,0),IF($A$2="DEX",IFERROR((100*RTD("tos.rtd",,"OPEN_INT","."&amp;K$2&amp;K$1&amp;"C"&amp;$A30)*RTD("tos.rtd",,"DELTA","."&amp;K$2&amp;K$1&amp;"C"&amp;$A30)-100*RTD("tos.rtd",,"OPEN_INT","."&amp;K$2&amp;K$1&amp;"P"&amp;$A30)*RTD("tos.rtd",,"DELTA","."&amp;K$2&amp;K$1&amp;"P"&amp;$A30))/1000,0),IF($A$2="VEX",IFERROR(($A$4*$A$4*RTD("tos.rtd",,"VOLUME","."&amp;K$2&amp;K$1&amp;"C"&amp;$A30)*RTD("tos.rtd",,"GAMMA","."&amp;K$2&amp;K$1&amp;"C"&amp;$A30)-$A$4*$A$4*RTD("tos.rtd",,"VOLUME","."&amp;K$2&amp;K$1&amp;"P"&amp;$A30)*RTD("tos.rtd",,"GAMMA","."&amp;K$2&amp;K$1&amp;"P"&amp;$A30))/1000000,0),IF($A$2="GEX",IFERROR(($A$4*$A$4*RTD("tos.rtd",,"OPEN_INT","."&amp;K$2&amp;K$1&amp;"C"&amp;$A30)*RTD("tos.rtd",,"GAMMA","."&amp;K$2&amp;K$1&amp;"C"&amp;$A30)-$A$4*$A$4*RTD("tos.rtd",,"OPEN_INT","."&amp;K$2&amp;K$1&amp;"P"&amp;$A30)*RTD("tos.rtd",,"GAMMA","."&amp;K$2&amp;K$1&amp;"P"&amp;$A30))/1000000,0),IF($A$2="SKEW",IFERROR(VALUE(IF(RTD("tos.rtd",,"IMPL_VOL","."&amp;K$2&amp;K$1&amp;"P"&amp;$A30)="N/A",0,RTD("tos.rtd",,"IMPL_VOL","."&amp;K$2&amp;K$1&amp;"P"&amp;$A30))),0)-IFERROR(VALUE(IF(RTD("tos.rtd",,"IMPL_VOL","."&amp;K$2&amp;K$1&amp;"C"&amp;$A30)="N/A",0,RTD("tos.rtd",,"IMPL_VOL","."&amp;K$2&amp;K$1&amp;"C"&amp;$A30))),0),IF($A$2="MAXPAIN",IF($A$4&gt;$A30,($A$4-$A30)*IF(RTD("tos.rtd",,"OPEN_INT","."&amp;K$2&amp;K$1&amp;"C"&amp;$A30)="N/A",0,RTD("tos.rtd",,"OPEN_INT","."&amp;K$2&amp;K$1&amp;"C"&amp;$A30)),0)+IF($A$4&lt;$A30,($A30-$A$4)*IF(RTD("tos.rtd",,"OPEN_INT","."&amp;K$2&amp;K$1&amp;"P"&amp;$A30)="N/A",0,RTD("tos.rtd",,"OPEN_INT","."&amp;K$2&amp;K$1&amp;"P"&amp;$A30)),0),IF(RTD("tos.rtd",,$A$2,"."&amp;K$2&amp;K$1&amp;"C"&amp;$A30)="N/A",0,RTD("tos.rtd",,$A$2,"."&amp;K$2&amp;K$1&amp;"C"&amp;$A30))-IF(RTD("tos.rtd",,$A$2,"."&amp;K$2&amp;K$1&amp;"P"&amp;$A30)="N/A",0,RTD("tos.rtd",,$A$2,"."&amp;K$2&amp;K$1&amp;"P"&amp;$A30)))))))))</f>
        <v>0</v>
      </c>
      <c r="L30" s="12">
        <f>IF($A$2="PREMIUM_OI",IFERROR((100*RTD("tos.rtd",,"OPEN_INT","."&amp;L$2&amp;L$1&amp;"C"&amp;$A30)*RTD("tos.rtd",,"LAST","."&amp;L$2&amp;L$1&amp;"C"&amp;$A30)-100*RTD("tos.rtd",,"OPEN_INT","."&amp;L$2&amp;L$1&amp;"P"&amp;$A30)*RTD("tos.rtd",,"LAST","."&amp;L$2&amp;L$1&amp;"P"&amp;$A30))/1000000,0),IF($A$2="PREMIUM",IFERROR((100*RTD("tos.rtd",,"VOLUME","."&amp;L$2&amp;L$1&amp;"C"&amp;$A30)*RTD("tos.rtd",,"LAST","."&amp;L$2&amp;L$1&amp;"C"&amp;$A30)-100*RTD("tos.rtd",,"VOLUME","."&amp;L$2&amp;L$1&amp;"P"&amp;$A30)*RTD("tos.rtd",,"LAST","."&amp;L$2&amp;L$1&amp;"P"&amp;$A30))/1000000,0),IF($A$2="DEX",IFERROR((100*RTD("tos.rtd",,"OPEN_INT","."&amp;L$2&amp;L$1&amp;"C"&amp;$A30)*RTD("tos.rtd",,"DELTA","."&amp;L$2&amp;L$1&amp;"C"&amp;$A30)-100*RTD("tos.rtd",,"OPEN_INT","."&amp;L$2&amp;L$1&amp;"P"&amp;$A30)*RTD("tos.rtd",,"DELTA","."&amp;L$2&amp;L$1&amp;"P"&amp;$A30))/1000,0),IF($A$2="VEX",IFERROR(($A$4*$A$4*RTD("tos.rtd",,"VOLUME","."&amp;L$2&amp;L$1&amp;"C"&amp;$A30)*RTD("tos.rtd",,"GAMMA","."&amp;L$2&amp;L$1&amp;"C"&amp;$A30)-$A$4*$A$4*RTD("tos.rtd",,"VOLUME","."&amp;L$2&amp;L$1&amp;"P"&amp;$A30)*RTD("tos.rtd",,"GAMMA","."&amp;L$2&amp;L$1&amp;"P"&amp;$A30))/1000000,0),IF($A$2="GEX",IFERROR(($A$4*$A$4*RTD("tos.rtd",,"OPEN_INT","."&amp;L$2&amp;L$1&amp;"C"&amp;$A30)*RTD("tos.rtd",,"GAMMA","."&amp;L$2&amp;L$1&amp;"C"&amp;$A30)-$A$4*$A$4*RTD("tos.rtd",,"OPEN_INT","."&amp;L$2&amp;L$1&amp;"P"&amp;$A30)*RTD("tos.rtd",,"GAMMA","."&amp;L$2&amp;L$1&amp;"P"&amp;$A30))/1000000,0),IF($A$2="SKEW",IFERROR(VALUE(IF(RTD("tos.rtd",,"IMPL_VOL","."&amp;L$2&amp;L$1&amp;"P"&amp;$A30)="N/A",0,RTD("tos.rtd",,"IMPL_VOL","."&amp;L$2&amp;L$1&amp;"P"&amp;$A30))),0)-IFERROR(VALUE(IF(RTD("tos.rtd",,"IMPL_VOL","."&amp;L$2&amp;L$1&amp;"C"&amp;$A30)="N/A",0,RTD("tos.rtd",,"IMPL_VOL","."&amp;L$2&amp;L$1&amp;"C"&amp;$A30))),0),IF($A$2="MAXPAIN",IF($A$4&gt;$A30,($A$4-$A30)*IF(RTD("tos.rtd",,"OPEN_INT","."&amp;L$2&amp;L$1&amp;"C"&amp;$A30)="N/A",0,RTD("tos.rtd",,"OPEN_INT","."&amp;L$2&amp;L$1&amp;"C"&amp;$A30)),0)+IF($A$4&lt;$A30,($A30-$A$4)*IF(RTD("tos.rtd",,"OPEN_INT","."&amp;L$2&amp;L$1&amp;"P"&amp;$A30)="N/A",0,RTD("tos.rtd",,"OPEN_INT","."&amp;L$2&amp;L$1&amp;"P"&amp;$A30)),0),IF(RTD("tos.rtd",,$A$2,"."&amp;L$2&amp;L$1&amp;"C"&amp;$A30)="N/A",0,RTD("tos.rtd",,$A$2,"."&amp;L$2&amp;L$1&amp;"C"&amp;$A30))-IF(RTD("tos.rtd",,$A$2,"."&amp;L$2&amp;L$1&amp;"P"&amp;$A30)="N/A",0,RTD("tos.rtd",,$A$2,"."&amp;L$2&amp;L$1&amp;"P"&amp;$A30)))))))))</f>
        <v>0</v>
      </c>
      <c r="M30" s="12">
        <f>IF($A$2="PREMIUM_OI",IFERROR((100*RTD("tos.rtd",,"OPEN_INT","."&amp;M$2&amp;M$1&amp;"C"&amp;$A30)*RTD("tos.rtd",,"LAST","."&amp;M$2&amp;M$1&amp;"C"&amp;$A30)-100*RTD("tos.rtd",,"OPEN_INT","."&amp;M$2&amp;M$1&amp;"P"&amp;$A30)*RTD("tos.rtd",,"LAST","."&amp;M$2&amp;M$1&amp;"P"&amp;$A30))/1000000,0),IF($A$2="PREMIUM",IFERROR((100*RTD("tos.rtd",,"VOLUME","."&amp;M$2&amp;M$1&amp;"C"&amp;$A30)*RTD("tos.rtd",,"LAST","."&amp;M$2&amp;M$1&amp;"C"&amp;$A30)-100*RTD("tos.rtd",,"VOLUME","."&amp;M$2&amp;M$1&amp;"P"&amp;$A30)*RTD("tos.rtd",,"LAST","."&amp;M$2&amp;M$1&amp;"P"&amp;$A30))/1000000,0),IF($A$2="DEX",IFERROR((100*RTD("tos.rtd",,"OPEN_INT","."&amp;M$2&amp;M$1&amp;"C"&amp;$A30)*RTD("tos.rtd",,"DELTA","."&amp;M$2&amp;M$1&amp;"C"&amp;$A30)-100*RTD("tos.rtd",,"OPEN_INT","."&amp;M$2&amp;M$1&amp;"P"&amp;$A30)*RTD("tos.rtd",,"DELTA","."&amp;M$2&amp;M$1&amp;"P"&amp;$A30))/1000,0),IF($A$2="VEX",IFERROR(($A$4*$A$4*RTD("tos.rtd",,"VOLUME","."&amp;M$2&amp;M$1&amp;"C"&amp;$A30)*RTD("tos.rtd",,"GAMMA","."&amp;M$2&amp;M$1&amp;"C"&amp;$A30)-$A$4*$A$4*RTD("tos.rtd",,"VOLUME","."&amp;M$2&amp;M$1&amp;"P"&amp;$A30)*RTD("tos.rtd",,"GAMMA","."&amp;M$2&amp;M$1&amp;"P"&amp;$A30))/1000000,0),IF($A$2="GEX",IFERROR(($A$4*$A$4*RTD("tos.rtd",,"OPEN_INT","."&amp;M$2&amp;M$1&amp;"C"&amp;$A30)*RTD("tos.rtd",,"GAMMA","."&amp;M$2&amp;M$1&amp;"C"&amp;$A30)-$A$4*$A$4*RTD("tos.rtd",,"OPEN_INT","."&amp;M$2&amp;M$1&amp;"P"&amp;$A30)*RTD("tos.rtd",,"GAMMA","."&amp;M$2&amp;M$1&amp;"P"&amp;$A30))/1000000,0),IF($A$2="SKEW",IFERROR(VALUE(IF(RTD("tos.rtd",,"IMPL_VOL","."&amp;M$2&amp;M$1&amp;"P"&amp;$A30)="N/A",0,RTD("tos.rtd",,"IMPL_VOL","."&amp;M$2&amp;M$1&amp;"P"&amp;$A30))),0)-IFERROR(VALUE(IF(RTD("tos.rtd",,"IMPL_VOL","."&amp;M$2&amp;M$1&amp;"C"&amp;$A30)="N/A",0,RTD("tos.rtd",,"IMPL_VOL","."&amp;M$2&amp;M$1&amp;"C"&amp;$A30))),0),IF($A$2="MAXPAIN",IF($A$4&gt;$A30,($A$4-$A30)*IF(RTD("tos.rtd",,"OPEN_INT","."&amp;M$2&amp;M$1&amp;"C"&amp;$A30)="N/A",0,RTD("tos.rtd",,"OPEN_INT","."&amp;M$2&amp;M$1&amp;"C"&amp;$A30)),0)+IF($A$4&lt;$A30,($A30-$A$4)*IF(RTD("tos.rtd",,"OPEN_INT","."&amp;M$2&amp;M$1&amp;"P"&amp;$A30)="N/A",0,RTD("tos.rtd",,"OPEN_INT","."&amp;M$2&amp;M$1&amp;"P"&amp;$A30)),0),IF(RTD("tos.rtd",,$A$2,"."&amp;M$2&amp;M$1&amp;"C"&amp;$A30)="N/A",0,RTD("tos.rtd",,$A$2,"."&amp;M$2&amp;M$1&amp;"C"&amp;$A30))-IF(RTD("tos.rtd",,$A$2,"."&amp;M$2&amp;M$1&amp;"P"&amp;$A30)="N/A",0,RTD("tos.rtd",,$A$2,"."&amp;M$2&amp;M$1&amp;"P"&amp;$A30)))))))))</f>
        <v>1480</v>
      </c>
      <c r="N30" s="12">
        <f>IF($A$2="PREMIUM_OI",IFERROR((100*RTD("tos.rtd",,"OPEN_INT","."&amp;N$2&amp;N$1&amp;"C"&amp;$A30)*RTD("tos.rtd",,"LAST","."&amp;N$2&amp;N$1&amp;"C"&amp;$A30)-100*RTD("tos.rtd",,"OPEN_INT","."&amp;N$2&amp;N$1&amp;"P"&amp;$A30)*RTD("tos.rtd",,"LAST","."&amp;N$2&amp;N$1&amp;"P"&amp;$A30))/1000000,0),IF($A$2="PREMIUM",IFERROR((100*RTD("tos.rtd",,"VOLUME","."&amp;N$2&amp;N$1&amp;"C"&amp;$A30)*RTD("tos.rtd",,"LAST","."&amp;N$2&amp;N$1&amp;"C"&amp;$A30)-100*RTD("tos.rtd",,"VOLUME","."&amp;N$2&amp;N$1&amp;"P"&amp;$A30)*RTD("tos.rtd",,"LAST","."&amp;N$2&amp;N$1&amp;"P"&amp;$A30))/1000000,0),IF($A$2="DEX",IFERROR((100*RTD("tos.rtd",,"OPEN_INT","."&amp;N$2&amp;N$1&amp;"C"&amp;$A30)*RTD("tos.rtd",,"DELTA","."&amp;N$2&amp;N$1&amp;"C"&amp;$A30)-100*RTD("tos.rtd",,"OPEN_INT","."&amp;N$2&amp;N$1&amp;"P"&amp;$A30)*RTD("tos.rtd",,"DELTA","."&amp;N$2&amp;N$1&amp;"P"&amp;$A30))/1000,0),IF($A$2="VEX",IFERROR(($A$4*$A$4*RTD("tos.rtd",,"VOLUME","."&amp;N$2&amp;N$1&amp;"C"&amp;$A30)*RTD("tos.rtd",,"GAMMA","."&amp;N$2&amp;N$1&amp;"C"&amp;$A30)-$A$4*$A$4*RTD("tos.rtd",,"VOLUME","."&amp;N$2&amp;N$1&amp;"P"&amp;$A30)*RTD("tos.rtd",,"GAMMA","."&amp;N$2&amp;N$1&amp;"P"&amp;$A30))/1000000,0),IF($A$2="GEX",IFERROR(($A$4*$A$4*RTD("tos.rtd",,"OPEN_INT","."&amp;N$2&amp;N$1&amp;"C"&amp;$A30)*RTD("tos.rtd",,"GAMMA","."&amp;N$2&amp;N$1&amp;"C"&amp;$A30)-$A$4*$A$4*RTD("tos.rtd",,"OPEN_INT","."&amp;N$2&amp;N$1&amp;"P"&amp;$A30)*RTD("tos.rtd",,"GAMMA","."&amp;N$2&amp;N$1&amp;"P"&amp;$A30))/1000000,0),IF($A$2="SKEW",IFERROR(VALUE(IF(RTD("tos.rtd",,"IMPL_VOL","."&amp;N$2&amp;N$1&amp;"P"&amp;$A30)="N/A",0,RTD("tos.rtd",,"IMPL_VOL","."&amp;N$2&amp;N$1&amp;"P"&amp;$A30))),0)-IFERROR(VALUE(IF(RTD("tos.rtd",,"IMPL_VOL","."&amp;N$2&amp;N$1&amp;"C"&amp;$A30)="N/A",0,RTD("tos.rtd",,"IMPL_VOL","."&amp;N$2&amp;N$1&amp;"C"&amp;$A30))),0),IF($A$2="MAXPAIN",IF($A$4&gt;$A30,($A$4-$A30)*IF(RTD("tos.rtd",,"OPEN_INT","."&amp;N$2&amp;N$1&amp;"C"&amp;$A30)="N/A",0,RTD("tos.rtd",,"OPEN_INT","."&amp;N$2&amp;N$1&amp;"C"&amp;$A30)),0)+IF($A$4&lt;$A30,($A30-$A$4)*IF(RTD("tos.rtd",,"OPEN_INT","."&amp;N$2&amp;N$1&amp;"P"&amp;$A30)="N/A",0,RTD("tos.rtd",,"OPEN_INT","."&amp;N$2&amp;N$1&amp;"P"&amp;$A30)),0),IF(RTD("tos.rtd",,$A$2,"."&amp;N$2&amp;N$1&amp;"C"&amp;$A30)="N/A",0,RTD("tos.rtd",,$A$2,"."&amp;N$2&amp;N$1&amp;"C"&amp;$A30))-IF(RTD("tos.rtd",,$A$2,"."&amp;N$2&amp;N$1&amp;"P"&amp;$A30)="N/A",0,RTD("tos.rtd",,$A$2,"."&amp;N$2&amp;N$1&amp;"P"&amp;$A30)))))))))</f>
        <v>0</v>
      </c>
      <c r="O30" s="12">
        <f>IF($A$2="PREMIUM_OI",IFERROR((100*RTD("tos.rtd",,"OPEN_INT","."&amp;O$2&amp;O$1&amp;"C"&amp;$A30)*RTD("tos.rtd",,"LAST","."&amp;O$2&amp;O$1&amp;"C"&amp;$A30)-100*RTD("tos.rtd",,"OPEN_INT","."&amp;O$2&amp;O$1&amp;"P"&amp;$A30)*RTD("tos.rtd",,"LAST","."&amp;O$2&amp;O$1&amp;"P"&amp;$A30))/1000000,0),IF($A$2="PREMIUM",IFERROR((100*RTD("tos.rtd",,"VOLUME","."&amp;O$2&amp;O$1&amp;"C"&amp;$A30)*RTD("tos.rtd",,"LAST","."&amp;O$2&amp;O$1&amp;"C"&amp;$A30)-100*RTD("tos.rtd",,"VOLUME","."&amp;O$2&amp;O$1&amp;"P"&amp;$A30)*RTD("tos.rtd",,"LAST","."&amp;O$2&amp;O$1&amp;"P"&amp;$A30))/1000000,0),IF($A$2="DEX",IFERROR((100*RTD("tos.rtd",,"OPEN_INT","."&amp;O$2&amp;O$1&amp;"C"&amp;$A30)*RTD("tos.rtd",,"DELTA","."&amp;O$2&amp;O$1&amp;"C"&amp;$A30)-100*RTD("tos.rtd",,"OPEN_INT","."&amp;O$2&amp;O$1&amp;"P"&amp;$A30)*RTD("tos.rtd",,"DELTA","."&amp;O$2&amp;O$1&amp;"P"&amp;$A30))/1000,0),IF($A$2="VEX",IFERROR(($A$4*$A$4*RTD("tos.rtd",,"VOLUME","."&amp;O$2&amp;O$1&amp;"C"&amp;$A30)*RTD("tos.rtd",,"GAMMA","."&amp;O$2&amp;O$1&amp;"C"&amp;$A30)-$A$4*$A$4*RTD("tos.rtd",,"VOLUME","."&amp;O$2&amp;O$1&amp;"P"&amp;$A30)*RTD("tos.rtd",,"GAMMA","."&amp;O$2&amp;O$1&amp;"P"&amp;$A30))/1000000,0),IF($A$2="GEX",IFERROR(($A$4*$A$4*RTD("tos.rtd",,"OPEN_INT","."&amp;O$2&amp;O$1&amp;"C"&amp;$A30)*RTD("tos.rtd",,"GAMMA","."&amp;O$2&amp;O$1&amp;"C"&amp;$A30)-$A$4*$A$4*RTD("tos.rtd",,"OPEN_INT","."&amp;O$2&amp;O$1&amp;"P"&amp;$A30)*RTD("tos.rtd",,"GAMMA","."&amp;O$2&amp;O$1&amp;"P"&amp;$A30))/1000000,0),IF($A$2="SKEW",IFERROR(VALUE(IF(RTD("tos.rtd",,"IMPL_VOL","."&amp;O$2&amp;O$1&amp;"P"&amp;$A30)="N/A",0,RTD("tos.rtd",,"IMPL_VOL","."&amp;O$2&amp;O$1&amp;"P"&amp;$A30))),0)-IFERROR(VALUE(IF(RTD("tos.rtd",,"IMPL_VOL","."&amp;O$2&amp;O$1&amp;"C"&amp;$A30)="N/A",0,RTD("tos.rtd",,"IMPL_VOL","."&amp;O$2&amp;O$1&amp;"C"&amp;$A30))),0),IF($A$2="MAXPAIN",IF($A$4&gt;$A30,($A$4-$A30)*IF(RTD("tos.rtd",,"OPEN_INT","."&amp;O$2&amp;O$1&amp;"C"&amp;$A30)="N/A",0,RTD("tos.rtd",,"OPEN_INT","."&amp;O$2&amp;O$1&amp;"C"&amp;$A30)),0)+IF($A$4&lt;$A30,($A30-$A$4)*IF(RTD("tos.rtd",,"OPEN_INT","."&amp;O$2&amp;O$1&amp;"P"&amp;$A30)="N/A",0,RTD("tos.rtd",,"OPEN_INT","."&amp;O$2&amp;O$1&amp;"P"&amp;$A30)),0),IF(RTD("tos.rtd",,$A$2,"."&amp;O$2&amp;O$1&amp;"C"&amp;$A30)="N/A",0,RTD("tos.rtd",,$A$2,"."&amp;O$2&amp;O$1&amp;"C"&amp;$A30))-IF(RTD("tos.rtd",,$A$2,"."&amp;O$2&amp;O$1&amp;"P"&amp;$A30)="N/A",0,RTD("tos.rtd",,$A$2,"."&amp;O$2&amp;O$1&amp;"P"&amp;$A30)))))))))</f>
        <v>0</v>
      </c>
      <c r="P30" s="12">
        <f>IF($A$2="PREMIUM_OI",IFERROR((100*RTD("tos.rtd",,"OPEN_INT","."&amp;P$2&amp;P$1&amp;"C"&amp;$A30)*RTD("tos.rtd",,"LAST","."&amp;P$2&amp;P$1&amp;"C"&amp;$A30)-100*RTD("tos.rtd",,"OPEN_INT","."&amp;P$2&amp;P$1&amp;"P"&amp;$A30)*RTD("tos.rtd",,"LAST","."&amp;P$2&amp;P$1&amp;"P"&amp;$A30))/1000000,0),IF($A$2="PREMIUM",IFERROR((100*RTD("tos.rtd",,"VOLUME","."&amp;P$2&amp;P$1&amp;"C"&amp;$A30)*RTD("tos.rtd",,"LAST","."&amp;P$2&amp;P$1&amp;"C"&amp;$A30)-100*RTD("tos.rtd",,"VOLUME","."&amp;P$2&amp;P$1&amp;"P"&amp;$A30)*RTD("tos.rtd",,"LAST","."&amp;P$2&amp;P$1&amp;"P"&amp;$A30))/1000000,0),IF($A$2="DEX",IFERROR((100*RTD("tos.rtd",,"OPEN_INT","."&amp;P$2&amp;P$1&amp;"C"&amp;$A30)*RTD("tos.rtd",,"DELTA","."&amp;P$2&amp;P$1&amp;"C"&amp;$A30)-100*RTD("tos.rtd",,"OPEN_INT","."&amp;P$2&amp;P$1&amp;"P"&amp;$A30)*RTD("tos.rtd",,"DELTA","."&amp;P$2&amp;P$1&amp;"P"&amp;$A30))/1000,0),IF($A$2="VEX",IFERROR(($A$4*$A$4*RTD("tos.rtd",,"VOLUME","."&amp;P$2&amp;P$1&amp;"C"&amp;$A30)*RTD("tos.rtd",,"GAMMA","."&amp;P$2&amp;P$1&amp;"C"&amp;$A30)-$A$4*$A$4*RTD("tos.rtd",,"VOLUME","."&amp;P$2&amp;P$1&amp;"P"&amp;$A30)*RTD("tos.rtd",,"GAMMA","."&amp;P$2&amp;P$1&amp;"P"&amp;$A30))/1000000,0),IF($A$2="GEX",IFERROR(($A$4*$A$4*RTD("tos.rtd",,"OPEN_INT","."&amp;P$2&amp;P$1&amp;"C"&amp;$A30)*RTD("tos.rtd",,"GAMMA","."&amp;P$2&amp;P$1&amp;"C"&amp;$A30)-$A$4*$A$4*RTD("tos.rtd",,"OPEN_INT","."&amp;P$2&amp;P$1&amp;"P"&amp;$A30)*RTD("tos.rtd",,"GAMMA","."&amp;P$2&amp;P$1&amp;"P"&amp;$A30))/1000000,0),IF($A$2="SKEW",IFERROR(VALUE(IF(RTD("tos.rtd",,"IMPL_VOL","."&amp;P$2&amp;P$1&amp;"P"&amp;$A30)="N/A",0,RTD("tos.rtd",,"IMPL_VOL","."&amp;P$2&amp;P$1&amp;"P"&amp;$A30))),0)-IFERROR(VALUE(IF(RTD("tos.rtd",,"IMPL_VOL","."&amp;P$2&amp;P$1&amp;"C"&amp;$A30)="N/A",0,RTD("tos.rtd",,"IMPL_VOL","."&amp;P$2&amp;P$1&amp;"C"&amp;$A30))),0),IF($A$2="MAXPAIN",IF($A$4&gt;$A30,($A$4-$A30)*IF(RTD("tos.rtd",,"OPEN_INT","."&amp;P$2&amp;P$1&amp;"C"&amp;$A30)="N/A",0,RTD("tos.rtd",,"OPEN_INT","."&amp;P$2&amp;P$1&amp;"C"&amp;$A30)),0)+IF($A$4&lt;$A30,($A30-$A$4)*IF(RTD("tos.rtd",,"OPEN_INT","."&amp;P$2&amp;P$1&amp;"P"&amp;$A30)="N/A",0,RTD("tos.rtd",,"OPEN_INT","."&amp;P$2&amp;P$1&amp;"P"&amp;$A30)),0),IF(RTD("tos.rtd",,$A$2,"."&amp;P$2&amp;P$1&amp;"C"&amp;$A30)="N/A",0,RTD("tos.rtd",,$A$2,"."&amp;P$2&amp;P$1&amp;"C"&amp;$A30))-IF(RTD("tos.rtd",,$A$2,"."&amp;P$2&amp;P$1&amp;"P"&amp;$A30)="N/A",0,RTD("tos.rtd",,$A$2,"."&amp;P$2&amp;P$1&amp;"P"&amp;$A30)))))))))</f>
        <v>0</v>
      </c>
      <c r="Q30" s="12">
        <f>IF($A$2="PREMIUM_OI",IFERROR((100*RTD("tos.rtd",,"OPEN_INT","."&amp;Q$2&amp;Q$1&amp;"C"&amp;$A30)*RTD("tos.rtd",,"LAST","."&amp;Q$2&amp;Q$1&amp;"C"&amp;$A30)-100*RTD("tos.rtd",,"OPEN_INT","."&amp;Q$2&amp;Q$1&amp;"P"&amp;$A30)*RTD("tos.rtd",,"LAST","."&amp;Q$2&amp;Q$1&amp;"P"&amp;$A30))/1000000,0),IF($A$2="PREMIUM",IFERROR((100*RTD("tos.rtd",,"VOLUME","."&amp;Q$2&amp;Q$1&amp;"C"&amp;$A30)*RTD("tos.rtd",,"LAST","."&amp;Q$2&amp;Q$1&amp;"C"&amp;$A30)-100*RTD("tos.rtd",,"VOLUME","."&amp;Q$2&amp;Q$1&amp;"P"&amp;$A30)*RTD("tos.rtd",,"LAST","."&amp;Q$2&amp;Q$1&amp;"P"&amp;$A30))/1000000,0),IF($A$2="DEX",IFERROR((100*RTD("tos.rtd",,"OPEN_INT","."&amp;Q$2&amp;Q$1&amp;"C"&amp;$A30)*RTD("tos.rtd",,"DELTA","."&amp;Q$2&amp;Q$1&amp;"C"&amp;$A30)-100*RTD("tos.rtd",,"OPEN_INT","."&amp;Q$2&amp;Q$1&amp;"P"&amp;$A30)*RTD("tos.rtd",,"DELTA","."&amp;Q$2&amp;Q$1&amp;"P"&amp;$A30))/1000,0),IF($A$2="VEX",IFERROR(($A$4*$A$4*RTD("tos.rtd",,"VOLUME","."&amp;Q$2&amp;Q$1&amp;"C"&amp;$A30)*RTD("tos.rtd",,"GAMMA","."&amp;Q$2&amp;Q$1&amp;"C"&amp;$A30)-$A$4*$A$4*RTD("tos.rtd",,"VOLUME","."&amp;Q$2&amp;Q$1&amp;"P"&amp;$A30)*RTD("tos.rtd",,"GAMMA","."&amp;Q$2&amp;Q$1&amp;"P"&amp;$A30))/1000000,0),IF($A$2="GEX",IFERROR(($A$4*$A$4*RTD("tos.rtd",,"OPEN_INT","."&amp;Q$2&amp;Q$1&amp;"C"&amp;$A30)*RTD("tos.rtd",,"GAMMA","."&amp;Q$2&amp;Q$1&amp;"C"&amp;$A30)-$A$4*$A$4*RTD("tos.rtd",,"OPEN_INT","."&amp;Q$2&amp;Q$1&amp;"P"&amp;$A30)*RTD("tos.rtd",,"GAMMA","."&amp;Q$2&amp;Q$1&amp;"P"&amp;$A30))/1000000,0),IF($A$2="SKEW",IFERROR(VALUE(IF(RTD("tos.rtd",,"IMPL_VOL","."&amp;Q$2&amp;Q$1&amp;"P"&amp;$A30)="N/A",0,RTD("tos.rtd",,"IMPL_VOL","."&amp;Q$2&amp;Q$1&amp;"P"&amp;$A30))),0)-IFERROR(VALUE(IF(RTD("tos.rtd",,"IMPL_VOL","."&amp;Q$2&amp;Q$1&amp;"C"&amp;$A30)="N/A",0,RTD("tos.rtd",,"IMPL_VOL","."&amp;Q$2&amp;Q$1&amp;"C"&amp;$A30))),0),IF($A$2="MAXPAIN",IF($A$4&gt;$A30,($A$4-$A30)*IF(RTD("tos.rtd",,"OPEN_INT","."&amp;Q$2&amp;Q$1&amp;"C"&amp;$A30)="N/A",0,RTD("tos.rtd",,"OPEN_INT","."&amp;Q$2&amp;Q$1&amp;"C"&amp;$A30)),0)+IF($A$4&lt;$A30,($A30-$A$4)*IF(RTD("tos.rtd",,"OPEN_INT","."&amp;Q$2&amp;Q$1&amp;"P"&amp;$A30)="N/A",0,RTD("tos.rtd",,"OPEN_INT","."&amp;Q$2&amp;Q$1&amp;"P"&amp;$A30)),0),IF(RTD("tos.rtd",,$A$2,"."&amp;Q$2&amp;Q$1&amp;"C"&amp;$A30)="N/A",0,RTD("tos.rtd",,$A$2,"."&amp;Q$2&amp;Q$1&amp;"C"&amp;$A30))-IF(RTD("tos.rtd",,$A$2,"."&amp;Q$2&amp;Q$1&amp;"P"&amp;$A30)="N/A",0,RTD("tos.rtd",,$A$2,"."&amp;Q$2&amp;Q$1&amp;"P"&amp;$A30)))))))))</f>
        <v>0</v>
      </c>
      <c r="R30" s="12">
        <f>IF($A$2="PREMIUM_OI",IFERROR((100*RTD("tos.rtd",,"OPEN_INT","."&amp;R$2&amp;R$1&amp;"C"&amp;$A30)*RTD("tos.rtd",,"LAST","."&amp;R$2&amp;R$1&amp;"C"&amp;$A30)-100*RTD("tos.rtd",,"OPEN_INT","."&amp;R$2&amp;R$1&amp;"P"&amp;$A30)*RTD("tos.rtd",,"LAST","."&amp;R$2&amp;R$1&amp;"P"&amp;$A30))/1000000,0),IF($A$2="PREMIUM",IFERROR((100*RTD("tos.rtd",,"VOLUME","."&amp;R$2&amp;R$1&amp;"C"&amp;$A30)*RTD("tos.rtd",,"LAST","."&amp;R$2&amp;R$1&amp;"C"&amp;$A30)-100*RTD("tos.rtd",,"VOLUME","."&amp;R$2&amp;R$1&amp;"P"&amp;$A30)*RTD("tos.rtd",,"LAST","."&amp;R$2&amp;R$1&amp;"P"&amp;$A30))/1000000,0),IF($A$2="DEX",IFERROR((100*RTD("tos.rtd",,"OPEN_INT","."&amp;R$2&amp;R$1&amp;"C"&amp;$A30)*RTD("tos.rtd",,"DELTA","."&amp;R$2&amp;R$1&amp;"C"&amp;$A30)-100*RTD("tos.rtd",,"OPEN_INT","."&amp;R$2&amp;R$1&amp;"P"&amp;$A30)*RTD("tos.rtd",,"DELTA","."&amp;R$2&amp;R$1&amp;"P"&amp;$A30))/1000,0),IF($A$2="VEX",IFERROR(($A$4*$A$4*RTD("tos.rtd",,"VOLUME","."&amp;R$2&amp;R$1&amp;"C"&amp;$A30)*RTD("tos.rtd",,"GAMMA","."&amp;R$2&amp;R$1&amp;"C"&amp;$A30)-$A$4*$A$4*RTD("tos.rtd",,"VOLUME","."&amp;R$2&amp;R$1&amp;"P"&amp;$A30)*RTD("tos.rtd",,"GAMMA","."&amp;R$2&amp;R$1&amp;"P"&amp;$A30))/1000000,0),IF($A$2="GEX",IFERROR(($A$4*$A$4*RTD("tos.rtd",,"OPEN_INT","."&amp;R$2&amp;R$1&amp;"C"&amp;$A30)*RTD("tos.rtd",,"GAMMA","."&amp;R$2&amp;R$1&amp;"C"&amp;$A30)-$A$4*$A$4*RTD("tos.rtd",,"OPEN_INT","."&amp;R$2&amp;R$1&amp;"P"&amp;$A30)*RTD("tos.rtd",,"GAMMA","."&amp;R$2&amp;R$1&amp;"P"&amp;$A30))/1000000,0),IF($A$2="SKEW",IFERROR(VALUE(IF(RTD("tos.rtd",,"IMPL_VOL","."&amp;R$2&amp;R$1&amp;"P"&amp;$A30)="N/A",0,RTD("tos.rtd",,"IMPL_VOL","."&amp;R$2&amp;R$1&amp;"P"&amp;$A30))),0)-IFERROR(VALUE(IF(RTD("tos.rtd",,"IMPL_VOL","."&amp;R$2&amp;R$1&amp;"C"&amp;$A30)="N/A",0,RTD("tos.rtd",,"IMPL_VOL","."&amp;R$2&amp;R$1&amp;"C"&amp;$A30))),0),IF($A$2="MAXPAIN",IF($A$4&gt;$A30,($A$4-$A30)*IF(RTD("tos.rtd",,"OPEN_INT","."&amp;R$2&amp;R$1&amp;"C"&amp;$A30)="N/A",0,RTD("tos.rtd",,"OPEN_INT","."&amp;R$2&amp;R$1&amp;"C"&amp;$A30)),0)+IF($A$4&lt;$A30,($A30-$A$4)*IF(RTD("tos.rtd",,"OPEN_INT","."&amp;R$2&amp;R$1&amp;"P"&amp;$A30)="N/A",0,RTD("tos.rtd",,"OPEN_INT","."&amp;R$2&amp;R$1&amp;"P"&amp;$A30)),0),IF(RTD("tos.rtd",,$A$2,"."&amp;R$2&amp;R$1&amp;"C"&amp;$A30)="N/A",0,RTD("tos.rtd",,$A$2,"."&amp;R$2&amp;R$1&amp;"C"&amp;$A30))-IF(RTD("tos.rtd",,$A$2,"."&amp;R$2&amp;R$1&amp;"P"&amp;$A30)="N/A",0,RTD("tos.rtd",,$A$2,"."&amp;R$2&amp;R$1&amp;"P"&amp;$A30)))))))))</f>
        <v>-1849</v>
      </c>
      <c r="S30" s="12">
        <f>IF($A$2="PREMIUM_OI",IFERROR((100*RTD("tos.rtd",,"OPEN_INT","."&amp;S$2&amp;S$1&amp;"C"&amp;$A30)*RTD("tos.rtd",,"LAST","."&amp;S$2&amp;S$1&amp;"C"&amp;$A30)-100*RTD("tos.rtd",,"OPEN_INT","."&amp;S$2&amp;S$1&amp;"P"&amp;$A30)*RTD("tos.rtd",,"LAST","."&amp;S$2&amp;S$1&amp;"P"&amp;$A30))/1000000,0),IF($A$2="PREMIUM",IFERROR((100*RTD("tos.rtd",,"VOLUME","."&amp;S$2&amp;S$1&amp;"C"&amp;$A30)*RTD("tos.rtd",,"LAST","."&amp;S$2&amp;S$1&amp;"C"&amp;$A30)-100*RTD("tos.rtd",,"VOLUME","."&amp;S$2&amp;S$1&amp;"P"&amp;$A30)*RTD("tos.rtd",,"LAST","."&amp;S$2&amp;S$1&amp;"P"&amp;$A30))/1000000,0),IF($A$2="DEX",IFERROR((100*RTD("tos.rtd",,"OPEN_INT","."&amp;S$2&amp;S$1&amp;"C"&amp;$A30)*RTD("tos.rtd",,"DELTA","."&amp;S$2&amp;S$1&amp;"C"&amp;$A30)-100*RTD("tos.rtd",,"OPEN_INT","."&amp;S$2&amp;S$1&amp;"P"&amp;$A30)*RTD("tos.rtd",,"DELTA","."&amp;S$2&amp;S$1&amp;"P"&amp;$A30))/1000,0),IF($A$2="VEX",IFERROR(($A$4*$A$4*RTD("tos.rtd",,"VOLUME","."&amp;S$2&amp;S$1&amp;"C"&amp;$A30)*RTD("tos.rtd",,"GAMMA","."&amp;S$2&amp;S$1&amp;"C"&amp;$A30)-$A$4*$A$4*RTD("tos.rtd",,"VOLUME","."&amp;S$2&amp;S$1&amp;"P"&amp;$A30)*RTD("tos.rtd",,"GAMMA","."&amp;S$2&amp;S$1&amp;"P"&amp;$A30))/1000000,0),IF($A$2="GEX",IFERROR(($A$4*$A$4*RTD("tos.rtd",,"OPEN_INT","."&amp;S$2&amp;S$1&amp;"C"&amp;$A30)*RTD("tos.rtd",,"GAMMA","."&amp;S$2&amp;S$1&amp;"C"&amp;$A30)-$A$4*$A$4*RTD("tos.rtd",,"OPEN_INT","."&amp;S$2&amp;S$1&amp;"P"&amp;$A30)*RTD("tos.rtd",,"GAMMA","."&amp;S$2&amp;S$1&amp;"P"&amp;$A30))/1000000,0),IF($A$2="SKEW",IFERROR(VALUE(IF(RTD("tos.rtd",,"IMPL_VOL","."&amp;S$2&amp;S$1&amp;"P"&amp;$A30)="N/A",0,RTD("tos.rtd",,"IMPL_VOL","."&amp;S$2&amp;S$1&amp;"P"&amp;$A30))),0)-IFERROR(VALUE(IF(RTD("tos.rtd",,"IMPL_VOL","."&amp;S$2&amp;S$1&amp;"C"&amp;$A30)="N/A",0,RTD("tos.rtd",,"IMPL_VOL","."&amp;S$2&amp;S$1&amp;"C"&amp;$A30))),0),IF($A$2="MAXPAIN",IF($A$4&gt;$A30,($A$4-$A30)*IF(RTD("tos.rtd",,"OPEN_INT","."&amp;S$2&amp;S$1&amp;"C"&amp;$A30)="N/A",0,RTD("tos.rtd",,"OPEN_INT","."&amp;S$2&amp;S$1&amp;"C"&amp;$A30)),0)+IF($A$4&lt;$A30,($A30-$A$4)*IF(RTD("tos.rtd",,"OPEN_INT","."&amp;S$2&amp;S$1&amp;"P"&amp;$A30)="N/A",0,RTD("tos.rtd",,"OPEN_INT","."&amp;S$2&amp;S$1&amp;"P"&amp;$A30)),0),IF(RTD("tos.rtd",,$A$2,"."&amp;S$2&amp;S$1&amp;"C"&amp;$A30)="N/A",0,RTD("tos.rtd",,$A$2,"."&amp;S$2&amp;S$1&amp;"C"&amp;$A30))-IF(RTD("tos.rtd",,$A$2,"."&amp;S$2&amp;S$1&amp;"P"&amp;$A30)="N/A",0,RTD("tos.rtd",,$A$2,"."&amp;S$2&amp;S$1&amp;"P"&amp;$A30)))))))))</f>
        <v>8373</v>
      </c>
      <c r="T30" s="12">
        <f>IF($A$2="PREMIUM_OI",IFERROR((100*RTD("tos.rtd",,"OPEN_INT","."&amp;T$2&amp;T$1&amp;"C"&amp;$A30)*RTD("tos.rtd",,"LAST","."&amp;T$2&amp;T$1&amp;"C"&amp;$A30)-100*RTD("tos.rtd",,"OPEN_INT","."&amp;T$2&amp;T$1&amp;"P"&amp;$A30)*RTD("tos.rtd",,"LAST","."&amp;T$2&amp;T$1&amp;"P"&amp;$A30))/1000000,0),IF($A$2="PREMIUM",IFERROR((100*RTD("tos.rtd",,"VOLUME","."&amp;T$2&amp;T$1&amp;"C"&amp;$A30)*RTD("tos.rtd",,"LAST","."&amp;T$2&amp;T$1&amp;"C"&amp;$A30)-100*RTD("tos.rtd",,"VOLUME","."&amp;T$2&amp;T$1&amp;"P"&amp;$A30)*RTD("tos.rtd",,"LAST","."&amp;T$2&amp;T$1&amp;"P"&amp;$A30))/1000000,0),IF($A$2="DEX",IFERROR((100*RTD("tos.rtd",,"OPEN_INT","."&amp;T$2&amp;T$1&amp;"C"&amp;$A30)*RTD("tos.rtd",,"DELTA","."&amp;T$2&amp;T$1&amp;"C"&amp;$A30)-100*RTD("tos.rtd",,"OPEN_INT","."&amp;T$2&amp;T$1&amp;"P"&amp;$A30)*RTD("tos.rtd",,"DELTA","."&amp;T$2&amp;T$1&amp;"P"&amp;$A30))/1000,0),IF($A$2="VEX",IFERROR(($A$4*$A$4*RTD("tos.rtd",,"VOLUME","."&amp;T$2&amp;T$1&amp;"C"&amp;$A30)*RTD("tos.rtd",,"GAMMA","."&amp;T$2&amp;T$1&amp;"C"&amp;$A30)-$A$4*$A$4*RTD("tos.rtd",,"VOLUME","."&amp;T$2&amp;T$1&amp;"P"&amp;$A30)*RTD("tos.rtd",,"GAMMA","."&amp;T$2&amp;T$1&amp;"P"&amp;$A30))/1000000,0),IF($A$2="GEX",IFERROR(($A$4*$A$4*RTD("tos.rtd",,"OPEN_INT","."&amp;T$2&amp;T$1&amp;"C"&amp;$A30)*RTD("tos.rtd",,"GAMMA","."&amp;T$2&amp;T$1&amp;"C"&amp;$A30)-$A$4*$A$4*RTD("tos.rtd",,"OPEN_INT","."&amp;T$2&amp;T$1&amp;"P"&amp;$A30)*RTD("tos.rtd",,"GAMMA","."&amp;T$2&amp;T$1&amp;"P"&amp;$A30))/1000000,0),IF($A$2="SKEW",IFERROR(VALUE(IF(RTD("tos.rtd",,"IMPL_VOL","."&amp;T$2&amp;T$1&amp;"P"&amp;$A30)="N/A",0,RTD("tos.rtd",,"IMPL_VOL","."&amp;T$2&amp;T$1&amp;"P"&amp;$A30))),0)-IFERROR(VALUE(IF(RTD("tos.rtd",,"IMPL_VOL","."&amp;T$2&amp;T$1&amp;"C"&amp;$A30)="N/A",0,RTD("tos.rtd",,"IMPL_VOL","."&amp;T$2&amp;T$1&amp;"C"&amp;$A30))),0),IF($A$2="MAXPAIN",IF($A$4&gt;$A30,($A$4-$A30)*IF(RTD("tos.rtd",,"OPEN_INT","."&amp;T$2&amp;T$1&amp;"C"&amp;$A30)="N/A",0,RTD("tos.rtd",,"OPEN_INT","."&amp;T$2&amp;T$1&amp;"C"&amp;$A30)),0)+IF($A$4&lt;$A30,($A30-$A$4)*IF(RTD("tos.rtd",,"OPEN_INT","."&amp;T$2&amp;T$1&amp;"P"&amp;$A30)="N/A",0,RTD("tos.rtd",,"OPEN_INT","."&amp;T$2&amp;T$1&amp;"P"&amp;$A30)),0),IF(RTD("tos.rtd",,$A$2,"."&amp;T$2&amp;T$1&amp;"C"&amp;$A30)="N/A",0,RTD("tos.rtd",,$A$2,"."&amp;T$2&amp;T$1&amp;"C"&amp;$A30))-IF(RTD("tos.rtd",,$A$2,"."&amp;T$2&amp;T$1&amp;"P"&amp;$A30)="N/A",0,RTD("tos.rtd",,$A$2,"."&amp;T$2&amp;T$1&amp;"P"&amp;$A30)))))))))</f>
        <v>114</v>
      </c>
      <c r="U30" s="12">
        <f>IF($A$2="PREMIUM_OI",IFERROR((100*RTD("tos.rtd",,"OPEN_INT","."&amp;U$2&amp;U$1&amp;"C"&amp;$A30)*RTD("tos.rtd",,"LAST","."&amp;U$2&amp;U$1&amp;"C"&amp;$A30)-100*RTD("tos.rtd",,"OPEN_INT","."&amp;U$2&amp;U$1&amp;"P"&amp;$A30)*RTD("tos.rtd",,"LAST","."&amp;U$2&amp;U$1&amp;"P"&amp;$A30))/1000000,0),IF($A$2="PREMIUM",IFERROR((100*RTD("tos.rtd",,"VOLUME","."&amp;U$2&amp;U$1&amp;"C"&amp;$A30)*RTD("tos.rtd",,"LAST","."&amp;U$2&amp;U$1&amp;"C"&amp;$A30)-100*RTD("tos.rtd",,"VOLUME","."&amp;U$2&amp;U$1&amp;"P"&amp;$A30)*RTD("tos.rtd",,"LAST","."&amp;U$2&amp;U$1&amp;"P"&amp;$A30))/1000000,0),IF($A$2="DEX",IFERROR((100*RTD("tos.rtd",,"OPEN_INT","."&amp;U$2&amp;U$1&amp;"C"&amp;$A30)*RTD("tos.rtd",,"DELTA","."&amp;U$2&amp;U$1&amp;"C"&amp;$A30)-100*RTD("tos.rtd",,"OPEN_INT","."&amp;U$2&amp;U$1&amp;"P"&amp;$A30)*RTD("tos.rtd",,"DELTA","."&amp;U$2&amp;U$1&amp;"P"&amp;$A30))/1000,0),IF($A$2="VEX",IFERROR(($A$4*$A$4*RTD("tos.rtd",,"VOLUME","."&amp;U$2&amp;U$1&amp;"C"&amp;$A30)*RTD("tos.rtd",,"GAMMA","."&amp;U$2&amp;U$1&amp;"C"&amp;$A30)-$A$4*$A$4*RTD("tos.rtd",,"VOLUME","."&amp;U$2&amp;U$1&amp;"P"&amp;$A30)*RTD("tos.rtd",,"GAMMA","."&amp;U$2&amp;U$1&amp;"P"&amp;$A30))/1000000,0),IF($A$2="GEX",IFERROR(($A$4*$A$4*RTD("tos.rtd",,"OPEN_INT","."&amp;U$2&amp;U$1&amp;"C"&amp;$A30)*RTD("tos.rtd",,"GAMMA","."&amp;U$2&amp;U$1&amp;"C"&amp;$A30)-$A$4*$A$4*RTD("tos.rtd",,"OPEN_INT","."&amp;U$2&amp;U$1&amp;"P"&amp;$A30)*RTD("tos.rtd",,"GAMMA","."&amp;U$2&amp;U$1&amp;"P"&amp;$A30))/1000000,0),IF($A$2="SKEW",IFERROR(VALUE(IF(RTD("tos.rtd",,"IMPL_VOL","."&amp;U$2&amp;U$1&amp;"P"&amp;$A30)="N/A",0,RTD("tos.rtd",,"IMPL_VOL","."&amp;U$2&amp;U$1&amp;"P"&amp;$A30))),0)-IFERROR(VALUE(IF(RTD("tos.rtd",,"IMPL_VOL","."&amp;U$2&amp;U$1&amp;"C"&amp;$A30)="N/A",0,RTD("tos.rtd",,"IMPL_VOL","."&amp;U$2&amp;U$1&amp;"C"&amp;$A30))),0),IF($A$2="MAXPAIN",IF($A$4&gt;$A30,($A$4-$A30)*IF(RTD("tos.rtd",,"OPEN_INT","."&amp;U$2&amp;U$1&amp;"C"&amp;$A30)="N/A",0,RTD("tos.rtd",,"OPEN_INT","."&amp;U$2&amp;U$1&amp;"C"&amp;$A30)),0)+IF($A$4&lt;$A30,($A30-$A$4)*IF(RTD("tos.rtd",,"OPEN_INT","."&amp;U$2&amp;U$1&amp;"P"&amp;$A30)="N/A",0,RTD("tos.rtd",,"OPEN_INT","."&amp;U$2&amp;U$1&amp;"P"&amp;$A30)),0),IF(RTD("tos.rtd",,$A$2,"."&amp;U$2&amp;U$1&amp;"C"&amp;$A30)="N/A",0,RTD("tos.rtd",,$A$2,"."&amp;U$2&amp;U$1&amp;"C"&amp;$A30))-IF(RTD("tos.rtd",,$A$2,"."&amp;U$2&amp;U$1&amp;"P"&amp;$A30)="N/A",0,RTD("tos.rtd",,$A$2,"."&amp;U$2&amp;U$1&amp;"P"&amp;$A30)))))))))</f>
        <v>-2422</v>
      </c>
      <c r="V30" s="12">
        <f>IF($A$2="PREMIUM_OI",IFERROR((100*RTD("tos.rtd",,"OPEN_INT","."&amp;V$2&amp;V$1&amp;"C"&amp;$A30)*RTD("tos.rtd",,"LAST","."&amp;V$2&amp;V$1&amp;"C"&amp;$A30)-100*RTD("tos.rtd",,"OPEN_INT","."&amp;V$2&amp;V$1&amp;"P"&amp;$A30)*RTD("tos.rtd",,"LAST","."&amp;V$2&amp;V$1&amp;"P"&amp;$A30))/1000000,0),IF($A$2="PREMIUM",IFERROR((100*RTD("tos.rtd",,"VOLUME","."&amp;V$2&amp;V$1&amp;"C"&amp;$A30)*RTD("tos.rtd",,"LAST","."&amp;V$2&amp;V$1&amp;"C"&amp;$A30)-100*RTD("tos.rtd",,"VOLUME","."&amp;V$2&amp;V$1&amp;"P"&amp;$A30)*RTD("tos.rtd",,"LAST","."&amp;V$2&amp;V$1&amp;"P"&amp;$A30))/1000000,0),IF($A$2="DEX",IFERROR((100*RTD("tos.rtd",,"OPEN_INT","."&amp;V$2&amp;V$1&amp;"C"&amp;$A30)*RTD("tos.rtd",,"DELTA","."&amp;V$2&amp;V$1&amp;"C"&amp;$A30)-100*RTD("tos.rtd",,"OPEN_INT","."&amp;V$2&amp;V$1&amp;"P"&amp;$A30)*RTD("tos.rtd",,"DELTA","."&amp;V$2&amp;V$1&amp;"P"&amp;$A30))/1000,0),IF($A$2="VEX",IFERROR(($A$4*$A$4*RTD("tos.rtd",,"VOLUME","."&amp;V$2&amp;V$1&amp;"C"&amp;$A30)*RTD("tos.rtd",,"GAMMA","."&amp;V$2&amp;V$1&amp;"C"&amp;$A30)-$A$4*$A$4*RTD("tos.rtd",,"VOLUME","."&amp;V$2&amp;V$1&amp;"P"&amp;$A30)*RTD("tos.rtd",,"GAMMA","."&amp;V$2&amp;V$1&amp;"P"&amp;$A30))/1000000,0),IF($A$2="GEX",IFERROR(($A$4*$A$4*RTD("tos.rtd",,"OPEN_INT","."&amp;V$2&amp;V$1&amp;"C"&amp;$A30)*RTD("tos.rtd",,"GAMMA","."&amp;V$2&amp;V$1&amp;"C"&amp;$A30)-$A$4*$A$4*RTD("tos.rtd",,"OPEN_INT","."&amp;V$2&amp;V$1&amp;"P"&amp;$A30)*RTD("tos.rtd",,"GAMMA","."&amp;V$2&amp;V$1&amp;"P"&amp;$A30))/1000000,0),IF($A$2="SKEW",IFERROR(VALUE(IF(RTD("tos.rtd",,"IMPL_VOL","."&amp;V$2&amp;V$1&amp;"P"&amp;$A30)="N/A",0,RTD("tos.rtd",,"IMPL_VOL","."&amp;V$2&amp;V$1&amp;"P"&amp;$A30))),0)-IFERROR(VALUE(IF(RTD("tos.rtd",,"IMPL_VOL","."&amp;V$2&amp;V$1&amp;"C"&amp;$A30)="N/A",0,RTD("tos.rtd",,"IMPL_VOL","."&amp;V$2&amp;V$1&amp;"C"&amp;$A30))),0),IF($A$2="MAXPAIN",IF($A$4&gt;$A30,($A$4-$A30)*IF(RTD("tos.rtd",,"OPEN_INT","."&amp;V$2&amp;V$1&amp;"C"&amp;$A30)="N/A",0,RTD("tos.rtd",,"OPEN_INT","."&amp;V$2&amp;V$1&amp;"C"&amp;$A30)),0)+IF($A$4&lt;$A30,($A30-$A$4)*IF(RTD("tos.rtd",,"OPEN_INT","."&amp;V$2&amp;V$1&amp;"P"&amp;$A30)="N/A",0,RTD("tos.rtd",,"OPEN_INT","."&amp;V$2&amp;V$1&amp;"P"&amp;$A30)),0),IF(RTD("tos.rtd",,$A$2,"."&amp;V$2&amp;V$1&amp;"C"&amp;$A30)="N/A",0,RTD("tos.rtd",,$A$2,"."&amp;V$2&amp;V$1&amp;"C"&amp;$A30))-IF(RTD("tos.rtd",,$A$2,"."&amp;V$2&amp;V$1&amp;"P"&amp;$A30)="N/A",0,RTD("tos.rtd",,$A$2,"."&amp;V$2&amp;V$1&amp;"P"&amp;$A30)))))))))</f>
        <v>0</v>
      </c>
      <c r="W30" s="12">
        <f>IF($A$2="PREMIUM_OI",IFERROR((100*RTD("tos.rtd",,"OPEN_INT","."&amp;W$2&amp;W$1&amp;"C"&amp;$A30)*RTD("tos.rtd",,"LAST","."&amp;W$2&amp;W$1&amp;"C"&amp;$A30)-100*RTD("tos.rtd",,"OPEN_INT","."&amp;W$2&amp;W$1&amp;"P"&amp;$A30)*RTD("tos.rtd",,"LAST","."&amp;W$2&amp;W$1&amp;"P"&amp;$A30))/1000000,0),IF($A$2="PREMIUM",IFERROR((100*RTD("tos.rtd",,"VOLUME","."&amp;W$2&amp;W$1&amp;"C"&amp;$A30)*RTD("tos.rtd",,"LAST","."&amp;W$2&amp;W$1&amp;"C"&amp;$A30)-100*RTD("tos.rtd",,"VOLUME","."&amp;W$2&amp;W$1&amp;"P"&amp;$A30)*RTD("tos.rtd",,"LAST","."&amp;W$2&amp;W$1&amp;"P"&amp;$A30))/1000000,0),IF($A$2="DEX",IFERROR((100*RTD("tos.rtd",,"OPEN_INT","."&amp;W$2&amp;W$1&amp;"C"&amp;$A30)*RTD("tos.rtd",,"DELTA","."&amp;W$2&amp;W$1&amp;"C"&amp;$A30)-100*RTD("tos.rtd",,"OPEN_INT","."&amp;W$2&amp;W$1&amp;"P"&amp;$A30)*RTD("tos.rtd",,"DELTA","."&amp;W$2&amp;W$1&amp;"P"&amp;$A30))/1000,0),IF($A$2="VEX",IFERROR(($A$4*$A$4*RTD("tos.rtd",,"VOLUME","."&amp;W$2&amp;W$1&amp;"C"&amp;$A30)*RTD("tos.rtd",,"GAMMA","."&amp;W$2&amp;W$1&amp;"C"&amp;$A30)-$A$4*$A$4*RTD("tos.rtd",,"VOLUME","."&amp;W$2&amp;W$1&amp;"P"&amp;$A30)*RTD("tos.rtd",,"GAMMA","."&amp;W$2&amp;W$1&amp;"P"&amp;$A30))/1000000,0),IF($A$2="GEX",IFERROR(($A$4*$A$4*RTD("tos.rtd",,"OPEN_INT","."&amp;W$2&amp;W$1&amp;"C"&amp;$A30)*RTD("tos.rtd",,"GAMMA","."&amp;W$2&amp;W$1&amp;"C"&amp;$A30)-$A$4*$A$4*RTD("tos.rtd",,"OPEN_INT","."&amp;W$2&amp;W$1&amp;"P"&amp;$A30)*RTD("tos.rtd",,"GAMMA","."&amp;W$2&amp;W$1&amp;"P"&amp;$A30))/1000000,0),IF($A$2="SKEW",IFERROR(VALUE(IF(RTD("tos.rtd",,"IMPL_VOL","."&amp;W$2&amp;W$1&amp;"P"&amp;$A30)="N/A",0,RTD("tos.rtd",,"IMPL_VOL","."&amp;W$2&amp;W$1&amp;"P"&amp;$A30))),0)-IFERROR(VALUE(IF(RTD("tos.rtd",,"IMPL_VOL","."&amp;W$2&amp;W$1&amp;"C"&amp;$A30)="N/A",0,RTD("tos.rtd",,"IMPL_VOL","."&amp;W$2&amp;W$1&amp;"C"&amp;$A30))),0),IF($A$2="MAXPAIN",IF($A$4&gt;$A30,($A$4-$A30)*IF(RTD("tos.rtd",,"OPEN_INT","."&amp;W$2&amp;W$1&amp;"C"&amp;$A30)="N/A",0,RTD("tos.rtd",,"OPEN_INT","."&amp;W$2&amp;W$1&amp;"C"&amp;$A30)),0)+IF($A$4&lt;$A30,($A30-$A$4)*IF(RTD("tos.rtd",,"OPEN_INT","."&amp;W$2&amp;W$1&amp;"P"&amp;$A30)="N/A",0,RTD("tos.rtd",,"OPEN_INT","."&amp;W$2&amp;W$1&amp;"P"&amp;$A30)),0),IF(RTD("tos.rtd",,$A$2,"."&amp;W$2&amp;W$1&amp;"C"&amp;$A30)="N/A",0,RTD("tos.rtd",,$A$2,"."&amp;W$2&amp;W$1&amp;"C"&amp;$A30))-IF(RTD("tos.rtd",,$A$2,"."&amp;W$2&amp;W$1&amp;"P"&amp;$A30)="N/A",0,RTD("tos.rtd",,$A$2,"."&amp;W$2&amp;W$1&amp;"P"&amp;$A30)))))))))</f>
        <v>21051</v>
      </c>
      <c r="X30" s="12">
        <f t="shared" ca="1" si="7"/>
        <v>27116</v>
      </c>
      <c r="Y30" s="27">
        <f t="shared" ca="1" si="8"/>
        <v>27116</v>
      </c>
      <c r="AA30" s="35">
        <f>+IF($AJ$1,AJ30,TASTYOHLC!A30)</f>
        <v>0</v>
      </c>
      <c r="AB30" s="8">
        <f>+IF($AJ$1,AK30,TASTYOHLC!B30)</f>
        <v>0</v>
      </c>
      <c r="AC30" s="8">
        <f>+IF($AJ$1,AL30,TASTYOHLC!C30)</f>
        <v>0</v>
      </c>
      <c r="AD30" s="8">
        <f>+IF($AJ$1,AM30,TASTYOHLC!D30)</f>
        <v>0</v>
      </c>
      <c r="AE30" s="8">
        <f>+IF($AJ$1,AN30,TASTYOHLC!E30)</f>
        <v>0</v>
      </c>
      <c r="AF30" s="8"/>
      <c r="AJ30" s="37"/>
    </row>
    <row r="31" spans="1:40" s="19" customFormat="1" ht="11.1" customHeight="1" thickBot="1" x14ac:dyDescent="0.3">
      <c r="A31" s="23">
        <f t="shared" si="13"/>
        <v>6.5</v>
      </c>
      <c r="B31" s="14">
        <f>IF($A$2="PREMIUM_OI",IFERROR((100*RTD("tos.rtd",,"OPEN_INT","."&amp;B$2&amp;B$1&amp;"C"&amp;$A31)*RTD("tos.rtd",,"LAST","."&amp;B$2&amp;B$1&amp;"C"&amp;$A31)-100*RTD("tos.rtd",,"OPEN_INT","."&amp;B$2&amp;B$1&amp;"P"&amp;$A31)*RTD("tos.rtd",,"LAST","."&amp;B$2&amp;B$1&amp;"P"&amp;$A31))/1000000,0),IF($A$2="PREMIUM",IFERROR((100*RTD("tos.rtd",,"VOLUME","."&amp;B$2&amp;B$1&amp;"C"&amp;$A31)*RTD("tos.rtd",,"LAST","."&amp;B$2&amp;B$1&amp;"C"&amp;$A31)-100*RTD("tos.rtd",,"VOLUME","."&amp;B$2&amp;B$1&amp;"P"&amp;$A31)*RTD("tos.rtd",,"LAST","."&amp;B$2&amp;B$1&amp;"P"&amp;$A31))/1000000,0),IF($A$2="DEX",IFERROR((100*RTD("tos.rtd",,"OPEN_INT","."&amp;B$2&amp;B$1&amp;"C"&amp;$A31)*RTD("tos.rtd",,"DELTA","."&amp;B$2&amp;B$1&amp;"C"&amp;$A31)-100*RTD("tos.rtd",,"OPEN_INT","."&amp;B$2&amp;B$1&amp;"P"&amp;$A31)*RTD("tos.rtd",,"DELTA","."&amp;B$2&amp;B$1&amp;"P"&amp;$A31))/1000,0),IF($A$2="VEX",IFERROR(($A$4*$A$4*RTD("tos.rtd",,"VOLUME","."&amp;B$2&amp;B$1&amp;"C"&amp;$A31)*RTD("tos.rtd",,"GAMMA","."&amp;B$2&amp;B$1&amp;"C"&amp;$A31)-$A$4*$A$4*RTD("tos.rtd",,"VOLUME","."&amp;B$2&amp;B$1&amp;"P"&amp;$A31)*RTD("tos.rtd",,"GAMMA","."&amp;B$2&amp;B$1&amp;"P"&amp;$A31))/1000000,0),IF($A$2="GEX",IFERROR(($A$4*$A$4*RTD("tos.rtd",,"OPEN_INT","."&amp;B$2&amp;B$1&amp;"C"&amp;$A31)*RTD("tos.rtd",,"GAMMA","."&amp;B$2&amp;B$1&amp;"C"&amp;$A31)-$A$4*$A$4*RTD("tos.rtd",,"OPEN_INT","."&amp;B$2&amp;B$1&amp;"P"&amp;$A31)*RTD("tos.rtd",,"GAMMA","."&amp;B$2&amp;B$1&amp;"P"&amp;$A31))/1000000,0),IF($A$2="SKEW",IFERROR(VALUE(IF(RTD("tos.rtd",,"IMPL_VOL","."&amp;B$2&amp;B$1&amp;"P"&amp;$A31)="N/A",0,RTD("tos.rtd",,"IMPL_VOL","."&amp;B$2&amp;B$1&amp;"P"&amp;$A31))),0)-IFERROR(VALUE(IF(RTD("tos.rtd",,"IMPL_VOL","."&amp;B$2&amp;B$1&amp;"C"&amp;$A31)="N/A",0,RTD("tos.rtd",,"IMPL_VOL","."&amp;B$2&amp;B$1&amp;"C"&amp;$A31))),0),IF($A$2="MAXPAIN",IF($A$4&gt;$A31,($A$4-$A31)*IF(RTD("tos.rtd",,"OPEN_INT","."&amp;B$2&amp;B$1&amp;"C"&amp;$A31)="N/A",0,RTD("tos.rtd",,"OPEN_INT","."&amp;B$2&amp;B$1&amp;"C"&amp;$A31)),0)+IF($A$4&lt;$A31,($A31-$A$4)*IF(RTD("tos.rtd",,"OPEN_INT","."&amp;B$2&amp;B$1&amp;"P"&amp;$A31)="N/A",0,RTD("tos.rtd",,"OPEN_INT","."&amp;B$2&amp;B$1&amp;"P"&amp;$A31)),0),IF(RTD("tos.rtd",,$A$2,"."&amp;B$2&amp;B$1&amp;"C"&amp;$A31)="N/A",0,RTD("tos.rtd",,$A$2,"."&amp;B$2&amp;B$1&amp;"C"&amp;$A31))-IF(RTD("tos.rtd",,$A$2,"."&amp;B$2&amp;B$1&amp;"P"&amp;$A31)="N/A",0,RTD("tos.rtd",,$A$2,"."&amp;B$2&amp;B$1&amp;"P"&amp;$A31)))))))))</f>
        <v>0</v>
      </c>
      <c r="C31" s="12">
        <f>IF($A$2="PREMIUM_OI",IFERROR((100*RTD("tos.rtd",,"OPEN_INT","."&amp;C$2&amp;C$1&amp;"C"&amp;$A31)*RTD("tos.rtd",,"LAST","."&amp;C$2&amp;C$1&amp;"C"&amp;$A31)-100*RTD("tos.rtd",,"OPEN_INT","."&amp;C$2&amp;C$1&amp;"P"&amp;$A31)*RTD("tos.rtd",,"LAST","."&amp;C$2&amp;C$1&amp;"P"&amp;$A31))/1000000,0),IF($A$2="PREMIUM",IFERROR((100*RTD("tos.rtd",,"VOLUME","."&amp;C$2&amp;C$1&amp;"C"&amp;$A31)*RTD("tos.rtd",,"LAST","."&amp;C$2&amp;C$1&amp;"C"&amp;$A31)-100*RTD("tos.rtd",,"VOLUME","."&amp;C$2&amp;C$1&amp;"P"&amp;$A31)*RTD("tos.rtd",,"LAST","."&amp;C$2&amp;C$1&amp;"P"&amp;$A31))/1000000,0),IF($A$2="DEX",IFERROR((100*RTD("tos.rtd",,"OPEN_INT","."&amp;C$2&amp;C$1&amp;"C"&amp;$A31)*RTD("tos.rtd",,"DELTA","."&amp;C$2&amp;C$1&amp;"C"&amp;$A31)-100*RTD("tos.rtd",,"OPEN_INT","."&amp;C$2&amp;C$1&amp;"P"&amp;$A31)*RTD("tos.rtd",,"DELTA","."&amp;C$2&amp;C$1&amp;"P"&amp;$A31))/1000,0),IF($A$2="VEX",IFERROR(($A$4*$A$4*RTD("tos.rtd",,"VOLUME","."&amp;C$2&amp;C$1&amp;"C"&amp;$A31)*RTD("tos.rtd",,"GAMMA","."&amp;C$2&amp;C$1&amp;"C"&amp;$A31)-$A$4*$A$4*RTD("tos.rtd",,"VOLUME","."&amp;C$2&amp;C$1&amp;"P"&amp;$A31)*RTD("tos.rtd",,"GAMMA","."&amp;C$2&amp;C$1&amp;"P"&amp;$A31))/1000000,0),IF($A$2="GEX",IFERROR(($A$4*$A$4*RTD("tos.rtd",,"OPEN_INT","."&amp;C$2&amp;C$1&amp;"C"&amp;$A31)*RTD("tos.rtd",,"GAMMA","."&amp;C$2&amp;C$1&amp;"C"&amp;$A31)-$A$4*$A$4*RTD("tos.rtd",,"OPEN_INT","."&amp;C$2&amp;C$1&amp;"P"&amp;$A31)*RTD("tos.rtd",,"GAMMA","."&amp;C$2&amp;C$1&amp;"P"&amp;$A31))/1000000,0),IF($A$2="SKEW",IFERROR(VALUE(IF(RTD("tos.rtd",,"IMPL_VOL","."&amp;C$2&amp;C$1&amp;"P"&amp;$A31)="N/A",0,RTD("tos.rtd",,"IMPL_VOL","."&amp;C$2&amp;C$1&amp;"P"&amp;$A31))),0)-IFERROR(VALUE(IF(RTD("tos.rtd",,"IMPL_VOL","."&amp;C$2&amp;C$1&amp;"C"&amp;$A31)="N/A",0,RTD("tos.rtd",,"IMPL_VOL","."&amp;C$2&amp;C$1&amp;"C"&amp;$A31))),0),IF($A$2="MAXPAIN",IF($A$4&gt;$A31,($A$4-$A31)*IF(RTD("tos.rtd",,"OPEN_INT","."&amp;C$2&amp;C$1&amp;"C"&amp;$A31)="N/A",0,RTD("tos.rtd",,"OPEN_INT","."&amp;C$2&amp;C$1&amp;"C"&amp;$A31)),0)+IF($A$4&lt;$A31,($A31-$A$4)*IF(RTD("tos.rtd",,"OPEN_INT","."&amp;C$2&amp;C$1&amp;"P"&amp;$A31)="N/A",0,RTD("tos.rtd",,"OPEN_INT","."&amp;C$2&amp;C$1&amp;"P"&amp;$A31)),0),IF(RTD("tos.rtd",,$A$2,"."&amp;C$2&amp;C$1&amp;"C"&amp;$A31)="N/A",0,RTD("tos.rtd",,$A$2,"."&amp;C$2&amp;C$1&amp;"C"&amp;$A31))-IF(RTD("tos.rtd",,$A$2,"."&amp;C$2&amp;C$1&amp;"P"&amp;$A31)="N/A",0,RTD("tos.rtd",,$A$2,"."&amp;C$2&amp;C$1&amp;"P"&amp;$A31)))))))))</f>
        <v>-2551</v>
      </c>
      <c r="D31" s="12">
        <f>IF($A$2="PREMIUM_OI",IFERROR((100*RTD("tos.rtd",,"OPEN_INT","."&amp;D$2&amp;D$1&amp;"C"&amp;$A31)*RTD("tos.rtd",,"LAST","."&amp;D$2&amp;D$1&amp;"C"&amp;$A31)-100*RTD("tos.rtd",,"OPEN_INT","."&amp;D$2&amp;D$1&amp;"P"&amp;$A31)*RTD("tos.rtd",,"LAST","."&amp;D$2&amp;D$1&amp;"P"&amp;$A31))/1000000,0),IF($A$2="PREMIUM",IFERROR((100*RTD("tos.rtd",,"VOLUME","."&amp;D$2&amp;D$1&amp;"C"&amp;$A31)*RTD("tos.rtd",,"LAST","."&amp;D$2&amp;D$1&amp;"C"&amp;$A31)-100*RTD("tos.rtd",,"VOLUME","."&amp;D$2&amp;D$1&amp;"P"&amp;$A31)*RTD("tos.rtd",,"LAST","."&amp;D$2&amp;D$1&amp;"P"&amp;$A31))/1000000,0),IF($A$2="DEX",IFERROR((100*RTD("tos.rtd",,"OPEN_INT","."&amp;D$2&amp;D$1&amp;"C"&amp;$A31)*RTD("tos.rtd",,"DELTA","."&amp;D$2&amp;D$1&amp;"C"&amp;$A31)-100*RTD("tos.rtd",,"OPEN_INT","."&amp;D$2&amp;D$1&amp;"P"&amp;$A31)*RTD("tos.rtd",,"DELTA","."&amp;D$2&amp;D$1&amp;"P"&amp;$A31))/1000,0),IF($A$2="VEX",IFERROR(($A$4*$A$4*RTD("tos.rtd",,"VOLUME","."&amp;D$2&amp;D$1&amp;"C"&amp;$A31)*RTD("tos.rtd",,"GAMMA","."&amp;D$2&amp;D$1&amp;"C"&amp;$A31)-$A$4*$A$4*RTD("tos.rtd",,"VOLUME","."&amp;D$2&amp;D$1&amp;"P"&amp;$A31)*RTD("tos.rtd",,"GAMMA","."&amp;D$2&amp;D$1&amp;"P"&amp;$A31))/1000000,0),IF($A$2="GEX",IFERROR(($A$4*$A$4*RTD("tos.rtd",,"OPEN_INT","."&amp;D$2&amp;D$1&amp;"C"&amp;$A31)*RTD("tos.rtd",,"GAMMA","."&amp;D$2&amp;D$1&amp;"C"&amp;$A31)-$A$4*$A$4*RTD("tos.rtd",,"OPEN_INT","."&amp;D$2&amp;D$1&amp;"P"&amp;$A31)*RTD("tos.rtd",,"GAMMA","."&amp;D$2&amp;D$1&amp;"P"&amp;$A31))/1000000,0),IF($A$2="SKEW",IFERROR(VALUE(IF(RTD("tos.rtd",,"IMPL_VOL","."&amp;D$2&amp;D$1&amp;"P"&amp;$A31)="N/A",0,RTD("tos.rtd",,"IMPL_VOL","."&amp;D$2&amp;D$1&amp;"P"&amp;$A31))),0)-IFERROR(VALUE(IF(RTD("tos.rtd",,"IMPL_VOL","."&amp;D$2&amp;D$1&amp;"C"&amp;$A31)="N/A",0,RTD("tos.rtd",,"IMPL_VOL","."&amp;D$2&amp;D$1&amp;"C"&amp;$A31))),0),IF($A$2="MAXPAIN",IF($A$4&gt;$A31,($A$4-$A31)*IF(RTD("tos.rtd",,"OPEN_INT","."&amp;D$2&amp;D$1&amp;"C"&amp;$A31)="N/A",0,RTD("tos.rtd",,"OPEN_INT","."&amp;D$2&amp;D$1&amp;"C"&amp;$A31)),0)+IF($A$4&lt;$A31,($A31-$A$4)*IF(RTD("tos.rtd",,"OPEN_INT","."&amp;D$2&amp;D$1&amp;"P"&amp;$A31)="N/A",0,RTD("tos.rtd",,"OPEN_INT","."&amp;D$2&amp;D$1&amp;"P"&amp;$A31)),0),IF(RTD("tos.rtd",,$A$2,"."&amp;D$2&amp;D$1&amp;"C"&amp;$A31)="N/A",0,RTD("tos.rtd",,$A$2,"."&amp;D$2&amp;D$1&amp;"C"&amp;$A31))-IF(RTD("tos.rtd",,$A$2,"."&amp;D$2&amp;D$1&amp;"P"&amp;$A31)="N/A",0,RTD("tos.rtd",,$A$2,"."&amp;D$2&amp;D$1&amp;"P"&amp;$A31)))))))))</f>
        <v>0</v>
      </c>
      <c r="E31" s="12">
        <f>IF($A$2="PREMIUM_OI",IFERROR((100*RTD("tos.rtd",,"OPEN_INT","."&amp;E$2&amp;E$1&amp;"C"&amp;$A31)*RTD("tos.rtd",,"LAST","."&amp;E$2&amp;E$1&amp;"C"&amp;$A31)-100*RTD("tos.rtd",,"OPEN_INT","."&amp;E$2&amp;E$1&amp;"P"&amp;$A31)*RTD("tos.rtd",,"LAST","."&amp;E$2&amp;E$1&amp;"P"&amp;$A31))/1000000,0),IF($A$2="PREMIUM",IFERROR((100*RTD("tos.rtd",,"VOLUME","."&amp;E$2&amp;E$1&amp;"C"&amp;$A31)*RTD("tos.rtd",,"LAST","."&amp;E$2&amp;E$1&amp;"C"&amp;$A31)-100*RTD("tos.rtd",,"VOLUME","."&amp;E$2&amp;E$1&amp;"P"&amp;$A31)*RTD("tos.rtd",,"LAST","."&amp;E$2&amp;E$1&amp;"P"&amp;$A31))/1000000,0),IF($A$2="DEX",IFERROR((100*RTD("tos.rtd",,"OPEN_INT","."&amp;E$2&amp;E$1&amp;"C"&amp;$A31)*RTD("tos.rtd",,"DELTA","."&amp;E$2&amp;E$1&amp;"C"&amp;$A31)-100*RTD("tos.rtd",,"OPEN_INT","."&amp;E$2&amp;E$1&amp;"P"&amp;$A31)*RTD("tos.rtd",,"DELTA","."&amp;E$2&amp;E$1&amp;"P"&amp;$A31))/1000,0),IF($A$2="VEX",IFERROR(($A$4*$A$4*RTD("tos.rtd",,"VOLUME","."&amp;E$2&amp;E$1&amp;"C"&amp;$A31)*RTD("tos.rtd",,"GAMMA","."&amp;E$2&amp;E$1&amp;"C"&amp;$A31)-$A$4*$A$4*RTD("tos.rtd",,"VOLUME","."&amp;E$2&amp;E$1&amp;"P"&amp;$A31)*RTD("tos.rtd",,"GAMMA","."&amp;E$2&amp;E$1&amp;"P"&amp;$A31))/1000000,0),IF($A$2="GEX",IFERROR(($A$4*$A$4*RTD("tos.rtd",,"OPEN_INT","."&amp;E$2&amp;E$1&amp;"C"&amp;$A31)*RTD("tos.rtd",,"GAMMA","."&amp;E$2&amp;E$1&amp;"C"&amp;$A31)-$A$4*$A$4*RTD("tos.rtd",,"OPEN_INT","."&amp;E$2&amp;E$1&amp;"P"&amp;$A31)*RTD("tos.rtd",,"GAMMA","."&amp;E$2&amp;E$1&amp;"P"&amp;$A31))/1000000,0),IF($A$2="SKEW",IFERROR(VALUE(IF(RTD("tos.rtd",,"IMPL_VOL","."&amp;E$2&amp;E$1&amp;"P"&amp;$A31)="N/A",0,RTD("tos.rtd",,"IMPL_VOL","."&amp;E$2&amp;E$1&amp;"P"&amp;$A31))),0)-IFERROR(VALUE(IF(RTD("tos.rtd",,"IMPL_VOL","."&amp;E$2&amp;E$1&amp;"C"&amp;$A31)="N/A",0,RTD("tos.rtd",,"IMPL_VOL","."&amp;E$2&amp;E$1&amp;"C"&amp;$A31))),0),IF($A$2="MAXPAIN",IF($A$4&gt;$A31,($A$4-$A31)*IF(RTD("tos.rtd",,"OPEN_INT","."&amp;E$2&amp;E$1&amp;"C"&amp;$A31)="N/A",0,RTD("tos.rtd",,"OPEN_INT","."&amp;E$2&amp;E$1&amp;"C"&amp;$A31)),0)+IF($A$4&lt;$A31,($A31-$A$4)*IF(RTD("tos.rtd",,"OPEN_INT","."&amp;E$2&amp;E$1&amp;"P"&amp;$A31)="N/A",0,RTD("tos.rtd",,"OPEN_INT","."&amp;E$2&amp;E$1&amp;"P"&amp;$A31)),0),IF(RTD("tos.rtd",,$A$2,"."&amp;E$2&amp;E$1&amp;"C"&amp;$A31)="N/A",0,RTD("tos.rtd",,$A$2,"."&amp;E$2&amp;E$1&amp;"C"&amp;$A31))-IF(RTD("tos.rtd",,$A$2,"."&amp;E$2&amp;E$1&amp;"P"&amp;$A31)="N/A",0,RTD("tos.rtd",,$A$2,"."&amp;E$2&amp;E$1&amp;"P"&amp;$A31)))))))))</f>
        <v>0</v>
      </c>
      <c r="F31" s="12">
        <f>IF($A$2="PREMIUM_OI",IFERROR((100*RTD("tos.rtd",,"OPEN_INT","."&amp;F$2&amp;F$1&amp;"C"&amp;$A31)*RTD("tos.rtd",,"LAST","."&amp;F$2&amp;F$1&amp;"C"&amp;$A31)-100*RTD("tos.rtd",,"OPEN_INT","."&amp;F$2&amp;F$1&amp;"P"&amp;$A31)*RTD("tos.rtd",,"LAST","."&amp;F$2&amp;F$1&amp;"P"&amp;$A31))/1000000,0),IF($A$2="PREMIUM",IFERROR((100*RTD("tos.rtd",,"VOLUME","."&amp;F$2&amp;F$1&amp;"C"&amp;$A31)*RTD("tos.rtd",,"LAST","."&amp;F$2&amp;F$1&amp;"C"&amp;$A31)-100*RTD("tos.rtd",,"VOLUME","."&amp;F$2&amp;F$1&amp;"P"&amp;$A31)*RTD("tos.rtd",,"LAST","."&amp;F$2&amp;F$1&amp;"P"&amp;$A31))/1000000,0),IF($A$2="DEX",IFERROR((100*RTD("tos.rtd",,"OPEN_INT","."&amp;F$2&amp;F$1&amp;"C"&amp;$A31)*RTD("tos.rtd",,"DELTA","."&amp;F$2&amp;F$1&amp;"C"&amp;$A31)-100*RTD("tos.rtd",,"OPEN_INT","."&amp;F$2&amp;F$1&amp;"P"&amp;$A31)*RTD("tos.rtd",,"DELTA","."&amp;F$2&amp;F$1&amp;"P"&amp;$A31))/1000,0),IF($A$2="VEX",IFERROR(($A$4*$A$4*RTD("tos.rtd",,"VOLUME","."&amp;F$2&amp;F$1&amp;"C"&amp;$A31)*RTD("tos.rtd",,"GAMMA","."&amp;F$2&amp;F$1&amp;"C"&amp;$A31)-$A$4*$A$4*RTD("tos.rtd",,"VOLUME","."&amp;F$2&amp;F$1&amp;"P"&amp;$A31)*RTD("tos.rtd",,"GAMMA","."&amp;F$2&amp;F$1&amp;"P"&amp;$A31))/1000000,0),IF($A$2="GEX",IFERROR(($A$4*$A$4*RTD("tos.rtd",,"OPEN_INT","."&amp;F$2&amp;F$1&amp;"C"&amp;$A31)*RTD("tos.rtd",,"GAMMA","."&amp;F$2&amp;F$1&amp;"C"&amp;$A31)-$A$4*$A$4*RTD("tos.rtd",,"OPEN_INT","."&amp;F$2&amp;F$1&amp;"P"&amp;$A31)*RTD("tos.rtd",,"GAMMA","."&amp;F$2&amp;F$1&amp;"P"&amp;$A31))/1000000,0),IF($A$2="SKEW",IFERROR(VALUE(IF(RTD("tos.rtd",,"IMPL_VOL","."&amp;F$2&amp;F$1&amp;"P"&amp;$A31)="N/A",0,RTD("tos.rtd",,"IMPL_VOL","."&amp;F$2&amp;F$1&amp;"P"&amp;$A31))),0)-IFERROR(VALUE(IF(RTD("tos.rtd",,"IMPL_VOL","."&amp;F$2&amp;F$1&amp;"C"&amp;$A31)="N/A",0,RTD("tos.rtd",,"IMPL_VOL","."&amp;F$2&amp;F$1&amp;"C"&amp;$A31))),0),IF($A$2="MAXPAIN",IF($A$4&gt;$A31,($A$4-$A31)*IF(RTD("tos.rtd",,"OPEN_INT","."&amp;F$2&amp;F$1&amp;"C"&amp;$A31)="N/A",0,RTD("tos.rtd",,"OPEN_INT","."&amp;F$2&amp;F$1&amp;"C"&amp;$A31)),0)+IF($A$4&lt;$A31,($A31-$A$4)*IF(RTD("tos.rtd",,"OPEN_INT","."&amp;F$2&amp;F$1&amp;"P"&amp;$A31)="N/A",0,RTD("tos.rtd",,"OPEN_INT","."&amp;F$2&amp;F$1&amp;"P"&amp;$A31)),0),IF(RTD("tos.rtd",,$A$2,"."&amp;F$2&amp;F$1&amp;"C"&amp;$A31)="N/A",0,RTD("tos.rtd",,$A$2,"."&amp;F$2&amp;F$1&amp;"C"&amp;$A31))-IF(RTD("tos.rtd",,$A$2,"."&amp;F$2&amp;F$1&amp;"P"&amp;$A31)="N/A",0,RTD("tos.rtd",,$A$2,"."&amp;F$2&amp;F$1&amp;"P"&amp;$A31)))))))))</f>
        <v>0</v>
      </c>
      <c r="G31" s="14">
        <f>IF($A$2="PREMIUM_OI",IFERROR((100*RTD("tos.rtd",,"OPEN_INT","."&amp;G$2&amp;G$1&amp;"C"&amp;$A31)*RTD("tos.rtd",,"LAST","."&amp;G$2&amp;G$1&amp;"C"&amp;$A31)-100*RTD("tos.rtd",,"OPEN_INT","."&amp;G$2&amp;G$1&amp;"P"&amp;$A31)*RTD("tos.rtd",,"LAST","."&amp;G$2&amp;G$1&amp;"P"&amp;$A31))/1000000,0),IF($A$2="PREMIUM",IFERROR((100*RTD("tos.rtd",,"VOLUME","."&amp;G$2&amp;G$1&amp;"C"&amp;$A31)*RTD("tos.rtd",,"LAST","."&amp;G$2&amp;G$1&amp;"C"&amp;$A31)-100*RTD("tos.rtd",,"VOLUME","."&amp;G$2&amp;G$1&amp;"P"&amp;$A31)*RTD("tos.rtd",,"LAST","."&amp;G$2&amp;G$1&amp;"P"&amp;$A31))/1000000,0),IF($A$2="DEX",IFERROR((100*RTD("tos.rtd",,"OPEN_INT","."&amp;G$2&amp;G$1&amp;"C"&amp;$A31)*RTD("tos.rtd",,"DELTA","."&amp;G$2&amp;G$1&amp;"C"&amp;$A31)-100*RTD("tos.rtd",,"OPEN_INT","."&amp;G$2&amp;G$1&amp;"P"&amp;$A31)*RTD("tos.rtd",,"DELTA","."&amp;G$2&amp;G$1&amp;"P"&amp;$A31))/1000,0),IF($A$2="VEX",IFERROR(($A$4*$A$4*RTD("tos.rtd",,"VOLUME","."&amp;G$2&amp;G$1&amp;"C"&amp;$A31)*RTD("tos.rtd",,"GAMMA","."&amp;G$2&amp;G$1&amp;"C"&amp;$A31)-$A$4*$A$4*RTD("tos.rtd",,"VOLUME","."&amp;G$2&amp;G$1&amp;"P"&amp;$A31)*RTD("tos.rtd",,"GAMMA","."&amp;G$2&amp;G$1&amp;"P"&amp;$A31))/1000000,0),IF($A$2="GEX",IFERROR(($A$4*$A$4*RTD("tos.rtd",,"OPEN_INT","."&amp;G$2&amp;G$1&amp;"C"&amp;$A31)*RTD("tos.rtd",,"GAMMA","."&amp;G$2&amp;G$1&amp;"C"&amp;$A31)-$A$4*$A$4*RTD("tos.rtd",,"OPEN_INT","."&amp;G$2&amp;G$1&amp;"P"&amp;$A31)*RTD("tos.rtd",,"GAMMA","."&amp;G$2&amp;G$1&amp;"P"&amp;$A31))/1000000,0),IF($A$2="SKEW",IFERROR(VALUE(IF(RTD("tos.rtd",,"IMPL_VOL","."&amp;G$2&amp;G$1&amp;"P"&amp;$A31)="N/A",0,RTD("tos.rtd",,"IMPL_VOL","."&amp;G$2&amp;G$1&amp;"P"&amp;$A31))),0)-IFERROR(VALUE(IF(RTD("tos.rtd",,"IMPL_VOL","."&amp;G$2&amp;G$1&amp;"C"&amp;$A31)="N/A",0,RTD("tos.rtd",,"IMPL_VOL","."&amp;G$2&amp;G$1&amp;"C"&amp;$A31))),0),IF($A$2="MAXPAIN",IF($A$4&gt;$A31,($A$4-$A31)*IF(RTD("tos.rtd",,"OPEN_INT","."&amp;G$2&amp;G$1&amp;"C"&amp;$A31)="N/A",0,RTD("tos.rtd",,"OPEN_INT","."&amp;G$2&amp;G$1&amp;"C"&amp;$A31)),0)+IF($A$4&lt;$A31,($A31-$A$4)*IF(RTD("tos.rtd",,"OPEN_INT","."&amp;G$2&amp;G$1&amp;"P"&amp;$A31)="N/A",0,RTD("tos.rtd",,"OPEN_INT","."&amp;G$2&amp;G$1&amp;"P"&amp;$A31)),0),IF(RTD("tos.rtd",,$A$2,"."&amp;G$2&amp;G$1&amp;"C"&amp;$A31)="N/A",0,RTD("tos.rtd",,$A$2,"."&amp;G$2&amp;G$1&amp;"C"&amp;$A31))-IF(RTD("tos.rtd",,$A$2,"."&amp;G$2&amp;G$1&amp;"P"&amp;$A31)="N/A",0,RTD("tos.rtd",,$A$2,"."&amp;G$2&amp;G$1&amp;"P"&amp;$A31)))))))))</f>
        <v>0</v>
      </c>
      <c r="H31" s="12">
        <f>IF($A$2="PREMIUM_OI",IFERROR((100*RTD("tos.rtd",,"OPEN_INT","."&amp;H$2&amp;H$1&amp;"C"&amp;$A31)*RTD("tos.rtd",,"LAST","."&amp;H$2&amp;H$1&amp;"C"&amp;$A31)-100*RTD("tos.rtd",,"OPEN_INT","."&amp;H$2&amp;H$1&amp;"P"&amp;$A31)*RTD("tos.rtd",,"LAST","."&amp;H$2&amp;H$1&amp;"P"&amp;$A31))/1000000,0),IF($A$2="PREMIUM",IFERROR((100*RTD("tos.rtd",,"VOLUME","."&amp;H$2&amp;H$1&amp;"C"&amp;$A31)*RTD("tos.rtd",,"LAST","."&amp;H$2&amp;H$1&amp;"C"&amp;$A31)-100*RTD("tos.rtd",,"VOLUME","."&amp;H$2&amp;H$1&amp;"P"&amp;$A31)*RTD("tos.rtd",,"LAST","."&amp;H$2&amp;H$1&amp;"P"&amp;$A31))/1000000,0),IF($A$2="DEX",IFERROR((100*RTD("tos.rtd",,"OPEN_INT","."&amp;H$2&amp;H$1&amp;"C"&amp;$A31)*RTD("tos.rtd",,"DELTA","."&amp;H$2&amp;H$1&amp;"C"&amp;$A31)-100*RTD("tos.rtd",,"OPEN_INT","."&amp;H$2&amp;H$1&amp;"P"&amp;$A31)*RTD("tos.rtd",,"DELTA","."&amp;H$2&amp;H$1&amp;"P"&amp;$A31))/1000,0),IF($A$2="VEX",IFERROR(($A$4*$A$4*RTD("tos.rtd",,"VOLUME","."&amp;H$2&amp;H$1&amp;"C"&amp;$A31)*RTD("tos.rtd",,"GAMMA","."&amp;H$2&amp;H$1&amp;"C"&amp;$A31)-$A$4*$A$4*RTD("tos.rtd",,"VOLUME","."&amp;H$2&amp;H$1&amp;"P"&amp;$A31)*RTD("tos.rtd",,"GAMMA","."&amp;H$2&amp;H$1&amp;"P"&amp;$A31))/1000000,0),IF($A$2="GEX",IFERROR(($A$4*$A$4*RTD("tos.rtd",,"OPEN_INT","."&amp;H$2&amp;H$1&amp;"C"&amp;$A31)*RTD("tos.rtd",,"GAMMA","."&amp;H$2&amp;H$1&amp;"C"&amp;$A31)-$A$4*$A$4*RTD("tos.rtd",,"OPEN_INT","."&amp;H$2&amp;H$1&amp;"P"&amp;$A31)*RTD("tos.rtd",,"GAMMA","."&amp;H$2&amp;H$1&amp;"P"&amp;$A31))/1000000,0),IF($A$2="SKEW",IFERROR(VALUE(IF(RTD("tos.rtd",,"IMPL_VOL","."&amp;H$2&amp;H$1&amp;"P"&amp;$A31)="N/A",0,RTD("tos.rtd",,"IMPL_VOL","."&amp;H$2&amp;H$1&amp;"P"&amp;$A31))),0)-IFERROR(VALUE(IF(RTD("tos.rtd",,"IMPL_VOL","."&amp;H$2&amp;H$1&amp;"C"&amp;$A31)="N/A",0,RTD("tos.rtd",,"IMPL_VOL","."&amp;H$2&amp;H$1&amp;"C"&amp;$A31))),0),IF($A$2="MAXPAIN",IF($A$4&gt;$A31,($A$4-$A31)*IF(RTD("tos.rtd",,"OPEN_INT","."&amp;H$2&amp;H$1&amp;"C"&amp;$A31)="N/A",0,RTD("tos.rtd",,"OPEN_INT","."&amp;H$2&amp;H$1&amp;"C"&amp;$A31)),0)+IF($A$4&lt;$A31,($A31-$A$4)*IF(RTD("tos.rtd",,"OPEN_INT","."&amp;H$2&amp;H$1&amp;"P"&amp;$A31)="N/A",0,RTD("tos.rtd",,"OPEN_INT","."&amp;H$2&amp;H$1&amp;"P"&amp;$A31)),0),IF(RTD("tos.rtd",,$A$2,"."&amp;H$2&amp;H$1&amp;"C"&amp;$A31)="N/A",0,RTD("tos.rtd",,$A$2,"."&amp;H$2&amp;H$1&amp;"C"&amp;$A31))-IF(RTD("tos.rtd",,$A$2,"."&amp;H$2&amp;H$1&amp;"P"&amp;$A31)="N/A",0,RTD("tos.rtd",,$A$2,"."&amp;H$2&amp;H$1&amp;"P"&amp;$A31)))))))))</f>
        <v>-16146</v>
      </c>
      <c r="I31" s="12">
        <f>IF($A$2="PREMIUM_OI",IFERROR((100*RTD("tos.rtd",,"OPEN_INT","."&amp;I$2&amp;I$1&amp;"C"&amp;$A31)*RTD("tos.rtd",,"LAST","."&amp;I$2&amp;I$1&amp;"C"&amp;$A31)-100*RTD("tos.rtd",,"OPEN_INT","."&amp;I$2&amp;I$1&amp;"P"&amp;$A31)*RTD("tos.rtd",,"LAST","."&amp;I$2&amp;I$1&amp;"P"&amp;$A31))/1000000,0),IF($A$2="PREMIUM",IFERROR((100*RTD("tos.rtd",,"VOLUME","."&amp;I$2&amp;I$1&amp;"C"&amp;$A31)*RTD("tos.rtd",,"LAST","."&amp;I$2&amp;I$1&amp;"C"&amp;$A31)-100*RTD("tos.rtd",,"VOLUME","."&amp;I$2&amp;I$1&amp;"P"&amp;$A31)*RTD("tos.rtd",,"LAST","."&amp;I$2&amp;I$1&amp;"P"&amp;$A31))/1000000,0),IF($A$2="DEX",IFERROR((100*RTD("tos.rtd",,"OPEN_INT","."&amp;I$2&amp;I$1&amp;"C"&amp;$A31)*RTD("tos.rtd",,"DELTA","."&amp;I$2&amp;I$1&amp;"C"&amp;$A31)-100*RTD("tos.rtd",,"OPEN_INT","."&amp;I$2&amp;I$1&amp;"P"&amp;$A31)*RTD("tos.rtd",,"DELTA","."&amp;I$2&amp;I$1&amp;"P"&amp;$A31))/1000,0),IF($A$2="VEX",IFERROR(($A$4*$A$4*RTD("tos.rtd",,"VOLUME","."&amp;I$2&amp;I$1&amp;"C"&amp;$A31)*RTD("tos.rtd",,"GAMMA","."&amp;I$2&amp;I$1&amp;"C"&amp;$A31)-$A$4*$A$4*RTD("tos.rtd",,"VOLUME","."&amp;I$2&amp;I$1&amp;"P"&amp;$A31)*RTD("tos.rtd",,"GAMMA","."&amp;I$2&amp;I$1&amp;"P"&amp;$A31))/1000000,0),IF($A$2="GEX",IFERROR(($A$4*$A$4*RTD("tos.rtd",,"OPEN_INT","."&amp;I$2&amp;I$1&amp;"C"&amp;$A31)*RTD("tos.rtd",,"GAMMA","."&amp;I$2&amp;I$1&amp;"C"&amp;$A31)-$A$4*$A$4*RTD("tos.rtd",,"OPEN_INT","."&amp;I$2&amp;I$1&amp;"P"&amp;$A31)*RTD("tos.rtd",,"GAMMA","."&amp;I$2&amp;I$1&amp;"P"&amp;$A31))/1000000,0),IF($A$2="SKEW",IFERROR(VALUE(IF(RTD("tos.rtd",,"IMPL_VOL","."&amp;I$2&amp;I$1&amp;"P"&amp;$A31)="N/A",0,RTD("tos.rtd",,"IMPL_VOL","."&amp;I$2&amp;I$1&amp;"P"&amp;$A31))),0)-IFERROR(VALUE(IF(RTD("tos.rtd",,"IMPL_VOL","."&amp;I$2&amp;I$1&amp;"C"&amp;$A31)="N/A",0,RTD("tos.rtd",,"IMPL_VOL","."&amp;I$2&amp;I$1&amp;"C"&amp;$A31))),0),IF($A$2="MAXPAIN",IF($A$4&gt;$A31,($A$4-$A31)*IF(RTD("tos.rtd",,"OPEN_INT","."&amp;I$2&amp;I$1&amp;"C"&amp;$A31)="N/A",0,RTD("tos.rtd",,"OPEN_INT","."&amp;I$2&amp;I$1&amp;"C"&amp;$A31)),0)+IF($A$4&lt;$A31,($A31-$A$4)*IF(RTD("tos.rtd",,"OPEN_INT","."&amp;I$2&amp;I$1&amp;"P"&amp;$A31)="N/A",0,RTD("tos.rtd",,"OPEN_INT","."&amp;I$2&amp;I$1&amp;"P"&amp;$A31)),0),IF(RTD("tos.rtd",,$A$2,"."&amp;I$2&amp;I$1&amp;"C"&amp;$A31)="N/A",0,RTD("tos.rtd",,$A$2,"."&amp;I$2&amp;I$1&amp;"C"&amp;$A31))-IF(RTD("tos.rtd",,$A$2,"."&amp;I$2&amp;I$1&amp;"P"&amp;$A31)="N/A",0,RTD("tos.rtd",,$A$2,"."&amp;I$2&amp;I$1&amp;"P"&amp;$A31)))))))))</f>
        <v>0</v>
      </c>
      <c r="J31" s="12">
        <f>IF($A$2="PREMIUM_OI",IFERROR((100*RTD("tos.rtd",,"OPEN_INT","."&amp;J$2&amp;J$1&amp;"C"&amp;$A31)*RTD("tos.rtd",,"LAST","."&amp;J$2&amp;J$1&amp;"C"&amp;$A31)-100*RTD("tos.rtd",,"OPEN_INT","."&amp;J$2&amp;J$1&amp;"P"&amp;$A31)*RTD("tos.rtd",,"LAST","."&amp;J$2&amp;J$1&amp;"P"&amp;$A31))/1000000,0),IF($A$2="PREMIUM",IFERROR((100*RTD("tos.rtd",,"VOLUME","."&amp;J$2&amp;J$1&amp;"C"&amp;$A31)*RTD("tos.rtd",,"LAST","."&amp;J$2&amp;J$1&amp;"C"&amp;$A31)-100*RTD("tos.rtd",,"VOLUME","."&amp;J$2&amp;J$1&amp;"P"&amp;$A31)*RTD("tos.rtd",,"LAST","."&amp;J$2&amp;J$1&amp;"P"&amp;$A31))/1000000,0),IF($A$2="DEX",IFERROR((100*RTD("tos.rtd",,"OPEN_INT","."&amp;J$2&amp;J$1&amp;"C"&amp;$A31)*RTD("tos.rtd",,"DELTA","."&amp;J$2&amp;J$1&amp;"C"&amp;$A31)-100*RTD("tos.rtd",,"OPEN_INT","."&amp;J$2&amp;J$1&amp;"P"&amp;$A31)*RTD("tos.rtd",,"DELTA","."&amp;J$2&amp;J$1&amp;"P"&amp;$A31))/1000,0),IF($A$2="VEX",IFERROR(($A$4*$A$4*RTD("tos.rtd",,"VOLUME","."&amp;J$2&amp;J$1&amp;"C"&amp;$A31)*RTD("tos.rtd",,"GAMMA","."&amp;J$2&amp;J$1&amp;"C"&amp;$A31)-$A$4*$A$4*RTD("tos.rtd",,"VOLUME","."&amp;J$2&amp;J$1&amp;"P"&amp;$A31)*RTD("tos.rtd",,"GAMMA","."&amp;J$2&amp;J$1&amp;"P"&amp;$A31))/1000000,0),IF($A$2="GEX",IFERROR(($A$4*$A$4*RTD("tos.rtd",,"OPEN_INT","."&amp;J$2&amp;J$1&amp;"C"&amp;$A31)*RTD("tos.rtd",,"GAMMA","."&amp;J$2&amp;J$1&amp;"C"&amp;$A31)-$A$4*$A$4*RTD("tos.rtd",,"OPEN_INT","."&amp;J$2&amp;J$1&amp;"P"&amp;$A31)*RTD("tos.rtd",,"GAMMA","."&amp;J$2&amp;J$1&amp;"P"&amp;$A31))/1000000,0),IF($A$2="SKEW",IFERROR(VALUE(IF(RTD("tos.rtd",,"IMPL_VOL","."&amp;J$2&amp;J$1&amp;"P"&amp;$A31)="N/A",0,RTD("tos.rtd",,"IMPL_VOL","."&amp;J$2&amp;J$1&amp;"P"&amp;$A31))),0)-IFERROR(VALUE(IF(RTD("tos.rtd",,"IMPL_VOL","."&amp;J$2&amp;J$1&amp;"C"&amp;$A31)="N/A",0,RTD("tos.rtd",,"IMPL_VOL","."&amp;J$2&amp;J$1&amp;"C"&amp;$A31))),0),IF($A$2="MAXPAIN",IF($A$4&gt;$A31,($A$4-$A31)*IF(RTD("tos.rtd",,"OPEN_INT","."&amp;J$2&amp;J$1&amp;"C"&amp;$A31)="N/A",0,RTD("tos.rtd",,"OPEN_INT","."&amp;J$2&amp;J$1&amp;"C"&amp;$A31)),0)+IF($A$4&lt;$A31,($A31-$A$4)*IF(RTD("tos.rtd",,"OPEN_INT","."&amp;J$2&amp;J$1&amp;"P"&amp;$A31)="N/A",0,RTD("tos.rtd",,"OPEN_INT","."&amp;J$2&amp;J$1&amp;"P"&amp;$A31)),0),IF(RTD("tos.rtd",,$A$2,"."&amp;J$2&amp;J$1&amp;"C"&amp;$A31)="N/A",0,RTD("tos.rtd",,$A$2,"."&amp;J$2&amp;J$1&amp;"C"&amp;$A31))-IF(RTD("tos.rtd",,$A$2,"."&amp;J$2&amp;J$1&amp;"P"&amp;$A31)="N/A",0,RTD("tos.rtd",,$A$2,"."&amp;J$2&amp;J$1&amp;"P"&amp;$A31)))))))))</f>
        <v>0</v>
      </c>
      <c r="K31" s="12">
        <f>IF($A$2="PREMIUM_OI",IFERROR((100*RTD("tos.rtd",,"OPEN_INT","."&amp;K$2&amp;K$1&amp;"C"&amp;$A31)*RTD("tos.rtd",,"LAST","."&amp;K$2&amp;K$1&amp;"C"&amp;$A31)-100*RTD("tos.rtd",,"OPEN_INT","."&amp;K$2&amp;K$1&amp;"P"&amp;$A31)*RTD("tos.rtd",,"LAST","."&amp;K$2&amp;K$1&amp;"P"&amp;$A31))/1000000,0),IF($A$2="PREMIUM",IFERROR((100*RTD("tos.rtd",,"VOLUME","."&amp;K$2&amp;K$1&amp;"C"&amp;$A31)*RTD("tos.rtd",,"LAST","."&amp;K$2&amp;K$1&amp;"C"&amp;$A31)-100*RTD("tos.rtd",,"VOLUME","."&amp;K$2&amp;K$1&amp;"P"&amp;$A31)*RTD("tos.rtd",,"LAST","."&amp;K$2&amp;K$1&amp;"P"&amp;$A31))/1000000,0),IF($A$2="DEX",IFERROR((100*RTD("tos.rtd",,"OPEN_INT","."&amp;K$2&amp;K$1&amp;"C"&amp;$A31)*RTD("tos.rtd",,"DELTA","."&amp;K$2&amp;K$1&amp;"C"&amp;$A31)-100*RTD("tos.rtd",,"OPEN_INT","."&amp;K$2&amp;K$1&amp;"P"&amp;$A31)*RTD("tos.rtd",,"DELTA","."&amp;K$2&amp;K$1&amp;"P"&amp;$A31))/1000,0),IF($A$2="VEX",IFERROR(($A$4*$A$4*RTD("tos.rtd",,"VOLUME","."&amp;K$2&amp;K$1&amp;"C"&amp;$A31)*RTD("tos.rtd",,"GAMMA","."&amp;K$2&amp;K$1&amp;"C"&amp;$A31)-$A$4*$A$4*RTD("tos.rtd",,"VOLUME","."&amp;K$2&amp;K$1&amp;"P"&amp;$A31)*RTD("tos.rtd",,"GAMMA","."&amp;K$2&amp;K$1&amp;"P"&amp;$A31))/1000000,0),IF($A$2="GEX",IFERROR(($A$4*$A$4*RTD("tos.rtd",,"OPEN_INT","."&amp;K$2&amp;K$1&amp;"C"&amp;$A31)*RTD("tos.rtd",,"GAMMA","."&amp;K$2&amp;K$1&amp;"C"&amp;$A31)-$A$4*$A$4*RTD("tos.rtd",,"OPEN_INT","."&amp;K$2&amp;K$1&amp;"P"&amp;$A31)*RTD("tos.rtd",,"GAMMA","."&amp;K$2&amp;K$1&amp;"P"&amp;$A31))/1000000,0),IF($A$2="SKEW",IFERROR(VALUE(IF(RTD("tos.rtd",,"IMPL_VOL","."&amp;K$2&amp;K$1&amp;"P"&amp;$A31)="N/A",0,RTD("tos.rtd",,"IMPL_VOL","."&amp;K$2&amp;K$1&amp;"P"&amp;$A31))),0)-IFERROR(VALUE(IF(RTD("tos.rtd",,"IMPL_VOL","."&amp;K$2&amp;K$1&amp;"C"&amp;$A31)="N/A",0,RTD("tos.rtd",,"IMPL_VOL","."&amp;K$2&amp;K$1&amp;"C"&amp;$A31))),0),IF($A$2="MAXPAIN",IF($A$4&gt;$A31,($A$4-$A31)*IF(RTD("tos.rtd",,"OPEN_INT","."&amp;K$2&amp;K$1&amp;"C"&amp;$A31)="N/A",0,RTD("tos.rtd",,"OPEN_INT","."&amp;K$2&amp;K$1&amp;"C"&amp;$A31)),0)+IF($A$4&lt;$A31,($A31-$A$4)*IF(RTD("tos.rtd",,"OPEN_INT","."&amp;K$2&amp;K$1&amp;"P"&amp;$A31)="N/A",0,RTD("tos.rtd",,"OPEN_INT","."&amp;K$2&amp;K$1&amp;"P"&amp;$A31)),0),IF(RTD("tos.rtd",,$A$2,"."&amp;K$2&amp;K$1&amp;"C"&amp;$A31)="N/A",0,RTD("tos.rtd",,$A$2,"."&amp;K$2&amp;K$1&amp;"C"&amp;$A31))-IF(RTD("tos.rtd",,$A$2,"."&amp;K$2&amp;K$1&amp;"P"&amp;$A31)="N/A",0,RTD("tos.rtd",,$A$2,"."&amp;K$2&amp;K$1&amp;"P"&amp;$A31)))))))))</f>
        <v>0</v>
      </c>
      <c r="L31" s="12">
        <f>IF($A$2="PREMIUM_OI",IFERROR((100*RTD("tos.rtd",,"OPEN_INT","."&amp;L$2&amp;L$1&amp;"C"&amp;$A31)*RTD("tos.rtd",,"LAST","."&amp;L$2&amp;L$1&amp;"C"&amp;$A31)-100*RTD("tos.rtd",,"OPEN_INT","."&amp;L$2&amp;L$1&amp;"P"&amp;$A31)*RTD("tos.rtd",,"LAST","."&amp;L$2&amp;L$1&amp;"P"&amp;$A31))/1000000,0),IF($A$2="PREMIUM",IFERROR((100*RTD("tos.rtd",,"VOLUME","."&amp;L$2&amp;L$1&amp;"C"&amp;$A31)*RTD("tos.rtd",,"LAST","."&amp;L$2&amp;L$1&amp;"C"&amp;$A31)-100*RTD("tos.rtd",,"VOLUME","."&amp;L$2&amp;L$1&amp;"P"&amp;$A31)*RTD("tos.rtd",,"LAST","."&amp;L$2&amp;L$1&amp;"P"&amp;$A31))/1000000,0),IF($A$2="DEX",IFERROR((100*RTD("tos.rtd",,"OPEN_INT","."&amp;L$2&amp;L$1&amp;"C"&amp;$A31)*RTD("tos.rtd",,"DELTA","."&amp;L$2&amp;L$1&amp;"C"&amp;$A31)-100*RTD("tos.rtd",,"OPEN_INT","."&amp;L$2&amp;L$1&amp;"P"&amp;$A31)*RTD("tos.rtd",,"DELTA","."&amp;L$2&amp;L$1&amp;"P"&amp;$A31))/1000,0),IF($A$2="VEX",IFERROR(($A$4*$A$4*RTD("tos.rtd",,"VOLUME","."&amp;L$2&amp;L$1&amp;"C"&amp;$A31)*RTD("tos.rtd",,"GAMMA","."&amp;L$2&amp;L$1&amp;"C"&amp;$A31)-$A$4*$A$4*RTD("tos.rtd",,"VOLUME","."&amp;L$2&amp;L$1&amp;"P"&amp;$A31)*RTD("tos.rtd",,"GAMMA","."&amp;L$2&amp;L$1&amp;"P"&amp;$A31))/1000000,0),IF($A$2="GEX",IFERROR(($A$4*$A$4*RTD("tos.rtd",,"OPEN_INT","."&amp;L$2&amp;L$1&amp;"C"&amp;$A31)*RTD("tos.rtd",,"GAMMA","."&amp;L$2&amp;L$1&amp;"C"&amp;$A31)-$A$4*$A$4*RTD("tos.rtd",,"OPEN_INT","."&amp;L$2&amp;L$1&amp;"P"&amp;$A31)*RTD("tos.rtd",,"GAMMA","."&amp;L$2&amp;L$1&amp;"P"&amp;$A31))/1000000,0),IF($A$2="SKEW",IFERROR(VALUE(IF(RTD("tos.rtd",,"IMPL_VOL","."&amp;L$2&amp;L$1&amp;"P"&amp;$A31)="N/A",0,RTD("tos.rtd",,"IMPL_VOL","."&amp;L$2&amp;L$1&amp;"P"&amp;$A31))),0)-IFERROR(VALUE(IF(RTD("tos.rtd",,"IMPL_VOL","."&amp;L$2&amp;L$1&amp;"C"&amp;$A31)="N/A",0,RTD("tos.rtd",,"IMPL_VOL","."&amp;L$2&amp;L$1&amp;"C"&amp;$A31))),0),IF($A$2="MAXPAIN",IF($A$4&gt;$A31,($A$4-$A31)*IF(RTD("tos.rtd",,"OPEN_INT","."&amp;L$2&amp;L$1&amp;"C"&amp;$A31)="N/A",0,RTD("tos.rtd",,"OPEN_INT","."&amp;L$2&amp;L$1&amp;"C"&amp;$A31)),0)+IF($A$4&lt;$A31,($A31-$A$4)*IF(RTD("tos.rtd",,"OPEN_INT","."&amp;L$2&amp;L$1&amp;"P"&amp;$A31)="N/A",0,RTD("tos.rtd",,"OPEN_INT","."&amp;L$2&amp;L$1&amp;"P"&amp;$A31)),0),IF(RTD("tos.rtd",,$A$2,"."&amp;L$2&amp;L$1&amp;"C"&amp;$A31)="N/A",0,RTD("tos.rtd",,$A$2,"."&amp;L$2&amp;L$1&amp;"C"&amp;$A31))-IF(RTD("tos.rtd",,$A$2,"."&amp;L$2&amp;L$1&amp;"P"&amp;$A31)="N/A",0,RTD("tos.rtd",,$A$2,"."&amp;L$2&amp;L$1&amp;"P"&amp;$A31)))))))))</f>
        <v>0</v>
      </c>
      <c r="M31" s="12">
        <f>IF($A$2="PREMIUM_OI",IFERROR((100*RTD("tos.rtd",,"OPEN_INT","."&amp;M$2&amp;M$1&amp;"C"&amp;$A31)*RTD("tos.rtd",,"LAST","."&amp;M$2&amp;M$1&amp;"C"&amp;$A31)-100*RTD("tos.rtd",,"OPEN_INT","."&amp;M$2&amp;M$1&amp;"P"&amp;$A31)*RTD("tos.rtd",,"LAST","."&amp;M$2&amp;M$1&amp;"P"&amp;$A31))/1000000,0),IF($A$2="PREMIUM",IFERROR((100*RTD("tos.rtd",,"VOLUME","."&amp;M$2&amp;M$1&amp;"C"&amp;$A31)*RTD("tos.rtd",,"LAST","."&amp;M$2&amp;M$1&amp;"C"&amp;$A31)-100*RTD("tos.rtd",,"VOLUME","."&amp;M$2&amp;M$1&amp;"P"&amp;$A31)*RTD("tos.rtd",,"LAST","."&amp;M$2&amp;M$1&amp;"P"&amp;$A31))/1000000,0),IF($A$2="DEX",IFERROR((100*RTD("tos.rtd",,"OPEN_INT","."&amp;M$2&amp;M$1&amp;"C"&amp;$A31)*RTD("tos.rtd",,"DELTA","."&amp;M$2&amp;M$1&amp;"C"&amp;$A31)-100*RTD("tos.rtd",,"OPEN_INT","."&amp;M$2&amp;M$1&amp;"P"&amp;$A31)*RTD("tos.rtd",,"DELTA","."&amp;M$2&amp;M$1&amp;"P"&amp;$A31))/1000,0),IF($A$2="VEX",IFERROR(($A$4*$A$4*RTD("tos.rtd",,"VOLUME","."&amp;M$2&amp;M$1&amp;"C"&amp;$A31)*RTD("tos.rtd",,"GAMMA","."&amp;M$2&amp;M$1&amp;"C"&amp;$A31)-$A$4*$A$4*RTD("tos.rtd",,"VOLUME","."&amp;M$2&amp;M$1&amp;"P"&amp;$A31)*RTD("tos.rtd",,"GAMMA","."&amp;M$2&amp;M$1&amp;"P"&amp;$A31))/1000000,0),IF($A$2="GEX",IFERROR(($A$4*$A$4*RTD("tos.rtd",,"OPEN_INT","."&amp;M$2&amp;M$1&amp;"C"&amp;$A31)*RTD("tos.rtd",,"GAMMA","."&amp;M$2&amp;M$1&amp;"C"&amp;$A31)-$A$4*$A$4*RTD("tos.rtd",,"OPEN_INT","."&amp;M$2&amp;M$1&amp;"P"&amp;$A31)*RTD("tos.rtd",,"GAMMA","."&amp;M$2&amp;M$1&amp;"P"&amp;$A31))/1000000,0),IF($A$2="SKEW",IFERROR(VALUE(IF(RTD("tos.rtd",,"IMPL_VOL","."&amp;M$2&amp;M$1&amp;"P"&amp;$A31)="N/A",0,RTD("tos.rtd",,"IMPL_VOL","."&amp;M$2&amp;M$1&amp;"P"&amp;$A31))),0)-IFERROR(VALUE(IF(RTD("tos.rtd",,"IMPL_VOL","."&amp;M$2&amp;M$1&amp;"C"&amp;$A31)="N/A",0,RTD("tos.rtd",,"IMPL_VOL","."&amp;M$2&amp;M$1&amp;"C"&amp;$A31))),0),IF($A$2="MAXPAIN",IF($A$4&gt;$A31,($A$4-$A31)*IF(RTD("tos.rtd",,"OPEN_INT","."&amp;M$2&amp;M$1&amp;"C"&amp;$A31)="N/A",0,RTD("tos.rtd",,"OPEN_INT","."&amp;M$2&amp;M$1&amp;"C"&amp;$A31)),0)+IF($A$4&lt;$A31,($A31-$A$4)*IF(RTD("tos.rtd",,"OPEN_INT","."&amp;M$2&amp;M$1&amp;"P"&amp;$A31)="N/A",0,RTD("tos.rtd",,"OPEN_INT","."&amp;M$2&amp;M$1&amp;"P"&amp;$A31)),0),IF(RTD("tos.rtd",,$A$2,"."&amp;M$2&amp;M$1&amp;"C"&amp;$A31)="N/A",0,RTD("tos.rtd",,$A$2,"."&amp;M$2&amp;M$1&amp;"C"&amp;$A31))-IF(RTD("tos.rtd",,$A$2,"."&amp;M$2&amp;M$1&amp;"P"&amp;$A31)="N/A",0,RTD("tos.rtd",,$A$2,"."&amp;M$2&amp;M$1&amp;"P"&amp;$A31)))))))))</f>
        <v>-7111</v>
      </c>
      <c r="N31" s="12">
        <f>IF($A$2="PREMIUM_OI",IFERROR((100*RTD("tos.rtd",,"OPEN_INT","."&amp;N$2&amp;N$1&amp;"C"&amp;$A31)*RTD("tos.rtd",,"LAST","."&amp;N$2&amp;N$1&amp;"C"&amp;$A31)-100*RTD("tos.rtd",,"OPEN_INT","."&amp;N$2&amp;N$1&amp;"P"&amp;$A31)*RTD("tos.rtd",,"LAST","."&amp;N$2&amp;N$1&amp;"P"&amp;$A31))/1000000,0),IF($A$2="PREMIUM",IFERROR((100*RTD("tos.rtd",,"VOLUME","."&amp;N$2&amp;N$1&amp;"C"&amp;$A31)*RTD("tos.rtd",,"LAST","."&amp;N$2&amp;N$1&amp;"C"&amp;$A31)-100*RTD("tos.rtd",,"VOLUME","."&amp;N$2&amp;N$1&amp;"P"&amp;$A31)*RTD("tos.rtd",,"LAST","."&amp;N$2&amp;N$1&amp;"P"&amp;$A31))/1000000,0),IF($A$2="DEX",IFERROR((100*RTD("tos.rtd",,"OPEN_INT","."&amp;N$2&amp;N$1&amp;"C"&amp;$A31)*RTD("tos.rtd",,"DELTA","."&amp;N$2&amp;N$1&amp;"C"&amp;$A31)-100*RTD("tos.rtd",,"OPEN_INT","."&amp;N$2&amp;N$1&amp;"P"&amp;$A31)*RTD("tos.rtd",,"DELTA","."&amp;N$2&amp;N$1&amp;"P"&amp;$A31))/1000,0),IF($A$2="VEX",IFERROR(($A$4*$A$4*RTD("tos.rtd",,"VOLUME","."&amp;N$2&amp;N$1&amp;"C"&amp;$A31)*RTD("tos.rtd",,"GAMMA","."&amp;N$2&amp;N$1&amp;"C"&amp;$A31)-$A$4*$A$4*RTD("tos.rtd",,"VOLUME","."&amp;N$2&amp;N$1&amp;"P"&amp;$A31)*RTD("tos.rtd",,"GAMMA","."&amp;N$2&amp;N$1&amp;"P"&amp;$A31))/1000000,0),IF($A$2="GEX",IFERROR(($A$4*$A$4*RTD("tos.rtd",,"OPEN_INT","."&amp;N$2&amp;N$1&amp;"C"&amp;$A31)*RTD("tos.rtd",,"GAMMA","."&amp;N$2&amp;N$1&amp;"C"&amp;$A31)-$A$4*$A$4*RTD("tos.rtd",,"OPEN_INT","."&amp;N$2&amp;N$1&amp;"P"&amp;$A31)*RTD("tos.rtd",,"GAMMA","."&amp;N$2&amp;N$1&amp;"P"&amp;$A31))/1000000,0),IF($A$2="SKEW",IFERROR(VALUE(IF(RTD("tos.rtd",,"IMPL_VOL","."&amp;N$2&amp;N$1&amp;"P"&amp;$A31)="N/A",0,RTD("tos.rtd",,"IMPL_VOL","."&amp;N$2&amp;N$1&amp;"P"&amp;$A31))),0)-IFERROR(VALUE(IF(RTD("tos.rtd",,"IMPL_VOL","."&amp;N$2&amp;N$1&amp;"C"&amp;$A31)="N/A",0,RTD("tos.rtd",,"IMPL_VOL","."&amp;N$2&amp;N$1&amp;"C"&amp;$A31))),0),IF($A$2="MAXPAIN",IF($A$4&gt;$A31,($A$4-$A31)*IF(RTD("tos.rtd",,"OPEN_INT","."&amp;N$2&amp;N$1&amp;"C"&amp;$A31)="N/A",0,RTD("tos.rtd",,"OPEN_INT","."&amp;N$2&amp;N$1&amp;"C"&amp;$A31)),0)+IF($A$4&lt;$A31,($A31-$A$4)*IF(RTD("tos.rtd",,"OPEN_INT","."&amp;N$2&amp;N$1&amp;"P"&amp;$A31)="N/A",0,RTD("tos.rtd",,"OPEN_INT","."&amp;N$2&amp;N$1&amp;"P"&amp;$A31)),0),IF(RTD("tos.rtd",,$A$2,"."&amp;N$2&amp;N$1&amp;"C"&amp;$A31)="N/A",0,RTD("tos.rtd",,$A$2,"."&amp;N$2&amp;N$1&amp;"C"&amp;$A31))-IF(RTD("tos.rtd",,$A$2,"."&amp;N$2&amp;N$1&amp;"P"&amp;$A31)="N/A",0,RTD("tos.rtd",,$A$2,"."&amp;N$2&amp;N$1&amp;"P"&amp;$A31)))))))))</f>
        <v>0</v>
      </c>
      <c r="O31" s="12">
        <f>IF($A$2="PREMIUM_OI",IFERROR((100*RTD("tos.rtd",,"OPEN_INT","."&amp;O$2&amp;O$1&amp;"C"&amp;$A31)*RTD("tos.rtd",,"LAST","."&amp;O$2&amp;O$1&amp;"C"&amp;$A31)-100*RTD("tos.rtd",,"OPEN_INT","."&amp;O$2&amp;O$1&amp;"P"&amp;$A31)*RTD("tos.rtd",,"LAST","."&amp;O$2&amp;O$1&amp;"P"&amp;$A31))/1000000,0),IF($A$2="PREMIUM",IFERROR((100*RTD("tos.rtd",,"VOLUME","."&amp;O$2&amp;O$1&amp;"C"&amp;$A31)*RTD("tos.rtd",,"LAST","."&amp;O$2&amp;O$1&amp;"C"&amp;$A31)-100*RTD("tos.rtd",,"VOLUME","."&amp;O$2&amp;O$1&amp;"P"&amp;$A31)*RTD("tos.rtd",,"LAST","."&amp;O$2&amp;O$1&amp;"P"&amp;$A31))/1000000,0),IF($A$2="DEX",IFERROR((100*RTD("tos.rtd",,"OPEN_INT","."&amp;O$2&amp;O$1&amp;"C"&amp;$A31)*RTD("tos.rtd",,"DELTA","."&amp;O$2&amp;O$1&amp;"C"&amp;$A31)-100*RTD("tos.rtd",,"OPEN_INT","."&amp;O$2&amp;O$1&amp;"P"&amp;$A31)*RTD("tos.rtd",,"DELTA","."&amp;O$2&amp;O$1&amp;"P"&amp;$A31))/1000,0),IF($A$2="VEX",IFERROR(($A$4*$A$4*RTD("tos.rtd",,"VOLUME","."&amp;O$2&amp;O$1&amp;"C"&amp;$A31)*RTD("tos.rtd",,"GAMMA","."&amp;O$2&amp;O$1&amp;"C"&amp;$A31)-$A$4*$A$4*RTD("tos.rtd",,"VOLUME","."&amp;O$2&amp;O$1&amp;"P"&amp;$A31)*RTD("tos.rtd",,"GAMMA","."&amp;O$2&amp;O$1&amp;"P"&amp;$A31))/1000000,0),IF($A$2="GEX",IFERROR(($A$4*$A$4*RTD("tos.rtd",,"OPEN_INT","."&amp;O$2&amp;O$1&amp;"C"&amp;$A31)*RTD("tos.rtd",,"GAMMA","."&amp;O$2&amp;O$1&amp;"C"&amp;$A31)-$A$4*$A$4*RTD("tos.rtd",,"OPEN_INT","."&amp;O$2&amp;O$1&amp;"P"&amp;$A31)*RTD("tos.rtd",,"GAMMA","."&amp;O$2&amp;O$1&amp;"P"&amp;$A31))/1000000,0),IF($A$2="SKEW",IFERROR(VALUE(IF(RTD("tos.rtd",,"IMPL_VOL","."&amp;O$2&amp;O$1&amp;"P"&amp;$A31)="N/A",0,RTD("tos.rtd",,"IMPL_VOL","."&amp;O$2&amp;O$1&amp;"P"&amp;$A31))),0)-IFERROR(VALUE(IF(RTD("tos.rtd",,"IMPL_VOL","."&amp;O$2&amp;O$1&amp;"C"&amp;$A31)="N/A",0,RTD("tos.rtd",,"IMPL_VOL","."&amp;O$2&amp;O$1&amp;"C"&amp;$A31))),0),IF($A$2="MAXPAIN",IF($A$4&gt;$A31,($A$4-$A31)*IF(RTD("tos.rtd",,"OPEN_INT","."&amp;O$2&amp;O$1&amp;"C"&amp;$A31)="N/A",0,RTD("tos.rtd",,"OPEN_INT","."&amp;O$2&amp;O$1&amp;"C"&amp;$A31)),0)+IF($A$4&lt;$A31,($A31-$A$4)*IF(RTD("tos.rtd",,"OPEN_INT","."&amp;O$2&amp;O$1&amp;"P"&amp;$A31)="N/A",0,RTD("tos.rtd",,"OPEN_INT","."&amp;O$2&amp;O$1&amp;"P"&amp;$A31)),0),IF(RTD("tos.rtd",,$A$2,"."&amp;O$2&amp;O$1&amp;"C"&amp;$A31)="N/A",0,RTD("tos.rtd",,$A$2,"."&amp;O$2&amp;O$1&amp;"C"&amp;$A31))-IF(RTD("tos.rtd",,$A$2,"."&amp;O$2&amp;O$1&amp;"P"&amp;$A31)="N/A",0,RTD("tos.rtd",,$A$2,"."&amp;O$2&amp;O$1&amp;"P"&amp;$A31)))))))))</f>
        <v>0</v>
      </c>
      <c r="P31" s="12">
        <f>IF($A$2="PREMIUM_OI",IFERROR((100*RTD("tos.rtd",,"OPEN_INT","."&amp;P$2&amp;P$1&amp;"C"&amp;$A31)*RTD("tos.rtd",,"LAST","."&amp;P$2&amp;P$1&amp;"C"&amp;$A31)-100*RTD("tos.rtd",,"OPEN_INT","."&amp;P$2&amp;P$1&amp;"P"&amp;$A31)*RTD("tos.rtd",,"LAST","."&amp;P$2&amp;P$1&amp;"P"&amp;$A31))/1000000,0),IF($A$2="PREMIUM",IFERROR((100*RTD("tos.rtd",,"VOLUME","."&amp;P$2&amp;P$1&amp;"C"&amp;$A31)*RTD("tos.rtd",,"LAST","."&amp;P$2&amp;P$1&amp;"C"&amp;$A31)-100*RTD("tos.rtd",,"VOLUME","."&amp;P$2&amp;P$1&amp;"P"&amp;$A31)*RTD("tos.rtd",,"LAST","."&amp;P$2&amp;P$1&amp;"P"&amp;$A31))/1000000,0),IF($A$2="DEX",IFERROR((100*RTD("tos.rtd",,"OPEN_INT","."&amp;P$2&amp;P$1&amp;"C"&amp;$A31)*RTD("tos.rtd",,"DELTA","."&amp;P$2&amp;P$1&amp;"C"&amp;$A31)-100*RTD("tos.rtd",,"OPEN_INT","."&amp;P$2&amp;P$1&amp;"P"&amp;$A31)*RTD("tos.rtd",,"DELTA","."&amp;P$2&amp;P$1&amp;"P"&amp;$A31))/1000,0),IF($A$2="VEX",IFERROR(($A$4*$A$4*RTD("tos.rtd",,"VOLUME","."&amp;P$2&amp;P$1&amp;"C"&amp;$A31)*RTD("tos.rtd",,"GAMMA","."&amp;P$2&amp;P$1&amp;"C"&amp;$A31)-$A$4*$A$4*RTD("tos.rtd",,"VOLUME","."&amp;P$2&amp;P$1&amp;"P"&amp;$A31)*RTD("tos.rtd",,"GAMMA","."&amp;P$2&amp;P$1&amp;"P"&amp;$A31))/1000000,0),IF($A$2="GEX",IFERROR(($A$4*$A$4*RTD("tos.rtd",,"OPEN_INT","."&amp;P$2&amp;P$1&amp;"C"&amp;$A31)*RTD("tos.rtd",,"GAMMA","."&amp;P$2&amp;P$1&amp;"C"&amp;$A31)-$A$4*$A$4*RTD("tos.rtd",,"OPEN_INT","."&amp;P$2&amp;P$1&amp;"P"&amp;$A31)*RTD("tos.rtd",,"GAMMA","."&amp;P$2&amp;P$1&amp;"P"&amp;$A31))/1000000,0),IF($A$2="SKEW",IFERROR(VALUE(IF(RTD("tos.rtd",,"IMPL_VOL","."&amp;P$2&amp;P$1&amp;"P"&amp;$A31)="N/A",0,RTD("tos.rtd",,"IMPL_VOL","."&amp;P$2&amp;P$1&amp;"P"&amp;$A31))),0)-IFERROR(VALUE(IF(RTD("tos.rtd",,"IMPL_VOL","."&amp;P$2&amp;P$1&amp;"C"&amp;$A31)="N/A",0,RTD("tos.rtd",,"IMPL_VOL","."&amp;P$2&amp;P$1&amp;"C"&amp;$A31))),0),IF($A$2="MAXPAIN",IF($A$4&gt;$A31,($A$4-$A31)*IF(RTD("tos.rtd",,"OPEN_INT","."&amp;P$2&amp;P$1&amp;"C"&amp;$A31)="N/A",0,RTD("tos.rtd",,"OPEN_INT","."&amp;P$2&amp;P$1&amp;"C"&amp;$A31)),0)+IF($A$4&lt;$A31,($A31-$A$4)*IF(RTD("tos.rtd",,"OPEN_INT","."&amp;P$2&amp;P$1&amp;"P"&amp;$A31)="N/A",0,RTD("tos.rtd",,"OPEN_INT","."&amp;P$2&amp;P$1&amp;"P"&amp;$A31)),0),IF(RTD("tos.rtd",,$A$2,"."&amp;P$2&amp;P$1&amp;"C"&amp;$A31)="N/A",0,RTD("tos.rtd",,$A$2,"."&amp;P$2&amp;P$1&amp;"C"&amp;$A31))-IF(RTD("tos.rtd",,$A$2,"."&amp;P$2&amp;P$1&amp;"P"&amp;$A31)="N/A",0,RTD("tos.rtd",,$A$2,"."&amp;P$2&amp;P$1&amp;"P"&amp;$A31)))))))))</f>
        <v>0</v>
      </c>
      <c r="Q31" s="12">
        <f>IF($A$2="PREMIUM_OI",IFERROR((100*RTD("tos.rtd",,"OPEN_INT","."&amp;Q$2&amp;Q$1&amp;"C"&amp;$A31)*RTD("tos.rtd",,"LAST","."&amp;Q$2&amp;Q$1&amp;"C"&amp;$A31)-100*RTD("tos.rtd",,"OPEN_INT","."&amp;Q$2&amp;Q$1&amp;"P"&amp;$A31)*RTD("tos.rtd",,"LAST","."&amp;Q$2&amp;Q$1&amp;"P"&amp;$A31))/1000000,0),IF($A$2="PREMIUM",IFERROR((100*RTD("tos.rtd",,"VOLUME","."&amp;Q$2&amp;Q$1&amp;"C"&amp;$A31)*RTD("tos.rtd",,"LAST","."&amp;Q$2&amp;Q$1&amp;"C"&amp;$A31)-100*RTD("tos.rtd",,"VOLUME","."&amp;Q$2&amp;Q$1&amp;"P"&amp;$A31)*RTD("tos.rtd",,"LAST","."&amp;Q$2&amp;Q$1&amp;"P"&amp;$A31))/1000000,0),IF($A$2="DEX",IFERROR((100*RTD("tos.rtd",,"OPEN_INT","."&amp;Q$2&amp;Q$1&amp;"C"&amp;$A31)*RTD("tos.rtd",,"DELTA","."&amp;Q$2&amp;Q$1&amp;"C"&amp;$A31)-100*RTD("tos.rtd",,"OPEN_INT","."&amp;Q$2&amp;Q$1&amp;"P"&amp;$A31)*RTD("tos.rtd",,"DELTA","."&amp;Q$2&amp;Q$1&amp;"P"&amp;$A31))/1000,0),IF($A$2="VEX",IFERROR(($A$4*$A$4*RTD("tos.rtd",,"VOLUME","."&amp;Q$2&amp;Q$1&amp;"C"&amp;$A31)*RTD("tos.rtd",,"GAMMA","."&amp;Q$2&amp;Q$1&amp;"C"&amp;$A31)-$A$4*$A$4*RTD("tos.rtd",,"VOLUME","."&amp;Q$2&amp;Q$1&amp;"P"&amp;$A31)*RTD("tos.rtd",,"GAMMA","."&amp;Q$2&amp;Q$1&amp;"P"&amp;$A31))/1000000,0),IF($A$2="GEX",IFERROR(($A$4*$A$4*RTD("tos.rtd",,"OPEN_INT","."&amp;Q$2&amp;Q$1&amp;"C"&amp;$A31)*RTD("tos.rtd",,"GAMMA","."&amp;Q$2&amp;Q$1&amp;"C"&amp;$A31)-$A$4*$A$4*RTD("tos.rtd",,"OPEN_INT","."&amp;Q$2&amp;Q$1&amp;"P"&amp;$A31)*RTD("tos.rtd",,"GAMMA","."&amp;Q$2&amp;Q$1&amp;"P"&amp;$A31))/1000000,0),IF($A$2="SKEW",IFERROR(VALUE(IF(RTD("tos.rtd",,"IMPL_VOL","."&amp;Q$2&amp;Q$1&amp;"P"&amp;$A31)="N/A",0,RTD("tos.rtd",,"IMPL_VOL","."&amp;Q$2&amp;Q$1&amp;"P"&amp;$A31))),0)-IFERROR(VALUE(IF(RTD("tos.rtd",,"IMPL_VOL","."&amp;Q$2&amp;Q$1&amp;"C"&amp;$A31)="N/A",0,RTD("tos.rtd",,"IMPL_VOL","."&amp;Q$2&amp;Q$1&amp;"C"&amp;$A31))),0),IF($A$2="MAXPAIN",IF($A$4&gt;$A31,($A$4-$A31)*IF(RTD("tos.rtd",,"OPEN_INT","."&amp;Q$2&amp;Q$1&amp;"C"&amp;$A31)="N/A",0,RTD("tos.rtd",,"OPEN_INT","."&amp;Q$2&amp;Q$1&amp;"C"&amp;$A31)),0)+IF($A$4&lt;$A31,($A31-$A$4)*IF(RTD("tos.rtd",,"OPEN_INT","."&amp;Q$2&amp;Q$1&amp;"P"&amp;$A31)="N/A",0,RTD("tos.rtd",,"OPEN_INT","."&amp;Q$2&amp;Q$1&amp;"P"&amp;$A31)),0),IF(RTD("tos.rtd",,$A$2,"."&amp;Q$2&amp;Q$1&amp;"C"&amp;$A31)="N/A",0,RTD("tos.rtd",,$A$2,"."&amp;Q$2&amp;Q$1&amp;"C"&amp;$A31))-IF(RTD("tos.rtd",,$A$2,"."&amp;Q$2&amp;Q$1&amp;"P"&amp;$A31)="N/A",0,RTD("tos.rtd",,$A$2,"."&amp;Q$2&amp;Q$1&amp;"P"&amp;$A31)))))))))</f>
        <v>0</v>
      </c>
      <c r="R31" s="12">
        <f>IF($A$2="PREMIUM_OI",IFERROR((100*RTD("tos.rtd",,"OPEN_INT","."&amp;R$2&amp;R$1&amp;"C"&amp;$A31)*RTD("tos.rtd",,"LAST","."&amp;R$2&amp;R$1&amp;"C"&amp;$A31)-100*RTD("tos.rtd",,"OPEN_INT","."&amp;R$2&amp;R$1&amp;"P"&amp;$A31)*RTD("tos.rtd",,"LAST","."&amp;R$2&amp;R$1&amp;"P"&amp;$A31))/1000000,0),IF($A$2="PREMIUM",IFERROR((100*RTD("tos.rtd",,"VOLUME","."&amp;R$2&amp;R$1&amp;"C"&amp;$A31)*RTD("tos.rtd",,"LAST","."&amp;R$2&amp;R$1&amp;"C"&amp;$A31)-100*RTD("tos.rtd",,"VOLUME","."&amp;R$2&amp;R$1&amp;"P"&amp;$A31)*RTD("tos.rtd",,"LAST","."&amp;R$2&amp;R$1&amp;"P"&amp;$A31))/1000000,0),IF($A$2="DEX",IFERROR((100*RTD("tos.rtd",,"OPEN_INT","."&amp;R$2&amp;R$1&amp;"C"&amp;$A31)*RTD("tos.rtd",,"DELTA","."&amp;R$2&amp;R$1&amp;"C"&amp;$A31)-100*RTD("tos.rtd",,"OPEN_INT","."&amp;R$2&amp;R$1&amp;"P"&amp;$A31)*RTD("tos.rtd",,"DELTA","."&amp;R$2&amp;R$1&amp;"P"&amp;$A31))/1000,0),IF($A$2="VEX",IFERROR(($A$4*$A$4*RTD("tos.rtd",,"VOLUME","."&amp;R$2&amp;R$1&amp;"C"&amp;$A31)*RTD("tos.rtd",,"GAMMA","."&amp;R$2&amp;R$1&amp;"C"&amp;$A31)-$A$4*$A$4*RTD("tos.rtd",,"VOLUME","."&amp;R$2&amp;R$1&amp;"P"&amp;$A31)*RTD("tos.rtd",,"GAMMA","."&amp;R$2&amp;R$1&amp;"P"&amp;$A31))/1000000,0),IF($A$2="GEX",IFERROR(($A$4*$A$4*RTD("tos.rtd",,"OPEN_INT","."&amp;R$2&amp;R$1&amp;"C"&amp;$A31)*RTD("tos.rtd",,"GAMMA","."&amp;R$2&amp;R$1&amp;"C"&amp;$A31)-$A$4*$A$4*RTD("tos.rtd",,"OPEN_INT","."&amp;R$2&amp;R$1&amp;"P"&amp;$A31)*RTD("tos.rtd",,"GAMMA","."&amp;R$2&amp;R$1&amp;"P"&amp;$A31))/1000000,0),IF($A$2="SKEW",IFERROR(VALUE(IF(RTD("tos.rtd",,"IMPL_VOL","."&amp;R$2&amp;R$1&amp;"P"&amp;$A31)="N/A",0,RTD("tos.rtd",,"IMPL_VOL","."&amp;R$2&amp;R$1&amp;"P"&amp;$A31))),0)-IFERROR(VALUE(IF(RTD("tos.rtd",,"IMPL_VOL","."&amp;R$2&amp;R$1&amp;"C"&amp;$A31)="N/A",0,RTD("tos.rtd",,"IMPL_VOL","."&amp;R$2&amp;R$1&amp;"C"&amp;$A31))),0),IF($A$2="MAXPAIN",IF($A$4&gt;$A31,($A$4-$A31)*IF(RTD("tos.rtd",,"OPEN_INT","."&amp;R$2&amp;R$1&amp;"C"&amp;$A31)="N/A",0,RTD("tos.rtd",,"OPEN_INT","."&amp;R$2&amp;R$1&amp;"C"&amp;$A31)),0)+IF($A$4&lt;$A31,($A31-$A$4)*IF(RTD("tos.rtd",,"OPEN_INT","."&amp;R$2&amp;R$1&amp;"P"&amp;$A31)="N/A",0,RTD("tos.rtd",,"OPEN_INT","."&amp;R$2&amp;R$1&amp;"P"&amp;$A31)),0),IF(RTD("tos.rtd",,$A$2,"."&amp;R$2&amp;R$1&amp;"C"&amp;$A31)="N/A",0,RTD("tos.rtd",,$A$2,"."&amp;R$2&amp;R$1&amp;"C"&amp;$A31))-IF(RTD("tos.rtd",,$A$2,"."&amp;R$2&amp;R$1&amp;"P"&amp;$A31)="N/A",0,RTD("tos.rtd",,$A$2,"."&amp;R$2&amp;R$1&amp;"P"&amp;$A31)))))))))</f>
        <v>-3260</v>
      </c>
      <c r="S31" s="12">
        <f>IF($A$2="PREMIUM_OI",IFERROR((100*RTD("tos.rtd",,"OPEN_INT","."&amp;S$2&amp;S$1&amp;"C"&amp;$A31)*RTD("tos.rtd",,"LAST","."&amp;S$2&amp;S$1&amp;"C"&amp;$A31)-100*RTD("tos.rtd",,"OPEN_INT","."&amp;S$2&amp;S$1&amp;"P"&amp;$A31)*RTD("tos.rtd",,"LAST","."&amp;S$2&amp;S$1&amp;"P"&amp;$A31))/1000000,0),IF($A$2="PREMIUM",IFERROR((100*RTD("tos.rtd",,"VOLUME","."&amp;S$2&amp;S$1&amp;"C"&amp;$A31)*RTD("tos.rtd",,"LAST","."&amp;S$2&amp;S$1&amp;"C"&amp;$A31)-100*RTD("tos.rtd",,"VOLUME","."&amp;S$2&amp;S$1&amp;"P"&amp;$A31)*RTD("tos.rtd",,"LAST","."&amp;S$2&amp;S$1&amp;"P"&amp;$A31))/1000000,0),IF($A$2="DEX",IFERROR((100*RTD("tos.rtd",,"OPEN_INT","."&amp;S$2&amp;S$1&amp;"C"&amp;$A31)*RTD("tos.rtd",,"DELTA","."&amp;S$2&amp;S$1&amp;"C"&amp;$A31)-100*RTD("tos.rtd",,"OPEN_INT","."&amp;S$2&amp;S$1&amp;"P"&amp;$A31)*RTD("tos.rtd",,"DELTA","."&amp;S$2&amp;S$1&amp;"P"&amp;$A31))/1000,0),IF($A$2="VEX",IFERROR(($A$4*$A$4*RTD("tos.rtd",,"VOLUME","."&amp;S$2&amp;S$1&amp;"C"&amp;$A31)*RTD("tos.rtd",,"GAMMA","."&amp;S$2&amp;S$1&amp;"C"&amp;$A31)-$A$4*$A$4*RTD("tos.rtd",,"VOLUME","."&amp;S$2&amp;S$1&amp;"P"&amp;$A31)*RTD("tos.rtd",,"GAMMA","."&amp;S$2&amp;S$1&amp;"P"&amp;$A31))/1000000,0),IF($A$2="GEX",IFERROR(($A$4*$A$4*RTD("tos.rtd",,"OPEN_INT","."&amp;S$2&amp;S$1&amp;"C"&amp;$A31)*RTD("tos.rtd",,"GAMMA","."&amp;S$2&amp;S$1&amp;"C"&amp;$A31)-$A$4*$A$4*RTD("tos.rtd",,"OPEN_INT","."&amp;S$2&amp;S$1&amp;"P"&amp;$A31)*RTD("tos.rtd",,"GAMMA","."&amp;S$2&amp;S$1&amp;"P"&amp;$A31))/1000000,0),IF($A$2="SKEW",IFERROR(VALUE(IF(RTD("tos.rtd",,"IMPL_VOL","."&amp;S$2&amp;S$1&amp;"P"&amp;$A31)="N/A",0,RTD("tos.rtd",,"IMPL_VOL","."&amp;S$2&amp;S$1&amp;"P"&amp;$A31))),0)-IFERROR(VALUE(IF(RTD("tos.rtd",,"IMPL_VOL","."&amp;S$2&amp;S$1&amp;"C"&amp;$A31)="N/A",0,RTD("tos.rtd",,"IMPL_VOL","."&amp;S$2&amp;S$1&amp;"C"&amp;$A31))),0),IF($A$2="MAXPAIN",IF($A$4&gt;$A31,($A$4-$A31)*IF(RTD("tos.rtd",,"OPEN_INT","."&amp;S$2&amp;S$1&amp;"C"&amp;$A31)="N/A",0,RTD("tos.rtd",,"OPEN_INT","."&amp;S$2&amp;S$1&amp;"C"&amp;$A31)),0)+IF($A$4&lt;$A31,($A31-$A$4)*IF(RTD("tos.rtd",,"OPEN_INT","."&amp;S$2&amp;S$1&amp;"P"&amp;$A31)="N/A",0,RTD("tos.rtd",,"OPEN_INT","."&amp;S$2&amp;S$1&amp;"P"&amp;$A31)),0),IF(RTD("tos.rtd",,$A$2,"."&amp;S$2&amp;S$1&amp;"C"&amp;$A31)="N/A",0,RTD("tos.rtd",,$A$2,"."&amp;S$2&amp;S$1&amp;"C"&amp;$A31))-IF(RTD("tos.rtd",,$A$2,"."&amp;S$2&amp;S$1&amp;"P"&amp;$A31)="N/A",0,RTD("tos.rtd",,$A$2,"."&amp;S$2&amp;S$1&amp;"P"&amp;$A31)))))))))</f>
        <v>-1811</v>
      </c>
      <c r="T31" s="12">
        <f>IF($A$2="PREMIUM_OI",IFERROR((100*RTD("tos.rtd",,"OPEN_INT","."&amp;T$2&amp;T$1&amp;"C"&amp;$A31)*RTD("tos.rtd",,"LAST","."&amp;T$2&amp;T$1&amp;"C"&amp;$A31)-100*RTD("tos.rtd",,"OPEN_INT","."&amp;T$2&amp;T$1&amp;"P"&amp;$A31)*RTD("tos.rtd",,"LAST","."&amp;T$2&amp;T$1&amp;"P"&amp;$A31))/1000000,0),IF($A$2="PREMIUM",IFERROR((100*RTD("tos.rtd",,"VOLUME","."&amp;T$2&amp;T$1&amp;"C"&amp;$A31)*RTD("tos.rtd",,"LAST","."&amp;T$2&amp;T$1&amp;"C"&amp;$A31)-100*RTD("tos.rtd",,"VOLUME","."&amp;T$2&amp;T$1&amp;"P"&amp;$A31)*RTD("tos.rtd",,"LAST","."&amp;T$2&amp;T$1&amp;"P"&amp;$A31))/1000000,0),IF($A$2="DEX",IFERROR((100*RTD("tos.rtd",,"OPEN_INT","."&amp;T$2&amp;T$1&amp;"C"&amp;$A31)*RTD("tos.rtd",,"DELTA","."&amp;T$2&amp;T$1&amp;"C"&amp;$A31)-100*RTD("tos.rtd",,"OPEN_INT","."&amp;T$2&amp;T$1&amp;"P"&amp;$A31)*RTD("tos.rtd",,"DELTA","."&amp;T$2&amp;T$1&amp;"P"&amp;$A31))/1000,0),IF($A$2="VEX",IFERROR(($A$4*$A$4*RTD("tos.rtd",,"VOLUME","."&amp;T$2&amp;T$1&amp;"C"&amp;$A31)*RTD("tos.rtd",,"GAMMA","."&amp;T$2&amp;T$1&amp;"C"&amp;$A31)-$A$4*$A$4*RTD("tos.rtd",,"VOLUME","."&amp;T$2&amp;T$1&amp;"P"&amp;$A31)*RTD("tos.rtd",,"GAMMA","."&amp;T$2&amp;T$1&amp;"P"&amp;$A31))/1000000,0),IF($A$2="GEX",IFERROR(($A$4*$A$4*RTD("tos.rtd",,"OPEN_INT","."&amp;T$2&amp;T$1&amp;"C"&amp;$A31)*RTD("tos.rtd",,"GAMMA","."&amp;T$2&amp;T$1&amp;"C"&amp;$A31)-$A$4*$A$4*RTD("tos.rtd",,"OPEN_INT","."&amp;T$2&amp;T$1&amp;"P"&amp;$A31)*RTD("tos.rtd",,"GAMMA","."&amp;T$2&amp;T$1&amp;"P"&amp;$A31))/1000000,0),IF($A$2="SKEW",IFERROR(VALUE(IF(RTD("tos.rtd",,"IMPL_VOL","."&amp;T$2&amp;T$1&amp;"P"&amp;$A31)="N/A",0,RTD("tos.rtd",,"IMPL_VOL","."&amp;T$2&amp;T$1&amp;"P"&amp;$A31))),0)-IFERROR(VALUE(IF(RTD("tos.rtd",,"IMPL_VOL","."&amp;T$2&amp;T$1&amp;"C"&amp;$A31)="N/A",0,RTD("tos.rtd",,"IMPL_VOL","."&amp;T$2&amp;T$1&amp;"C"&amp;$A31))),0),IF($A$2="MAXPAIN",IF($A$4&gt;$A31,($A$4-$A31)*IF(RTD("tos.rtd",,"OPEN_INT","."&amp;T$2&amp;T$1&amp;"C"&amp;$A31)="N/A",0,RTD("tos.rtd",,"OPEN_INT","."&amp;T$2&amp;T$1&amp;"C"&amp;$A31)),0)+IF($A$4&lt;$A31,($A31-$A$4)*IF(RTD("tos.rtd",,"OPEN_INT","."&amp;T$2&amp;T$1&amp;"P"&amp;$A31)="N/A",0,RTD("tos.rtd",,"OPEN_INT","."&amp;T$2&amp;T$1&amp;"P"&amp;$A31)),0),IF(RTD("tos.rtd",,$A$2,"."&amp;T$2&amp;T$1&amp;"C"&amp;$A31)="N/A",0,RTD("tos.rtd",,$A$2,"."&amp;T$2&amp;T$1&amp;"C"&amp;$A31))-IF(RTD("tos.rtd",,$A$2,"."&amp;T$2&amp;T$1&amp;"P"&amp;$A31)="N/A",0,RTD("tos.rtd",,$A$2,"."&amp;T$2&amp;T$1&amp;"P"&amp;$A31)))))))))</f>
        <v>85</v>
      </c>
      <c r="U31" s="12">
        <f>IF($A$2="PREMIUM_OI",IFERROR((100*RTD("tos.rtd",,"OPEN_INT","."&amp;U$2&amp;U$1&amp;"C"&amp;$A31)*RTD("tos.rtd",,"LAST","."&amp;U$2&amp;U$1&amp;"C"&amp;$A31)-100*RTD("tos.rtd",,"OPEN_INT","."&amp;U$2&amp;U$1&amp;"P"&amp;$A31)*RTD("tos.rtd",,"LAST","."&amp;U$2&amp;U$1&amp;"P"&amp;$A31))/1000000,0),IF($A$2="PREMIUM",IFERROR((100*RTD("tos.rtd",,"VOLUME","."&amp;U$2&amp;U$1&amp;"C"&amp;$A31)*RTD("tos.rtd",,"LAST","."&amp;U$2&amp;U$1&amp;"C"&amp;$A31)-100*RTD("tos.rtd",,"VOLUME","."&amp;U$2&amp;U$1&amp;"P"&amp;$A31)*RTD("tos.rtd",,"LAST","."&amp;U$2&amp;U$1&amp;"P"&amp;$A31))/1000000,0),IF($A$2="DEX",IFERROR((100*RTD("tos.rtd",,"OPEN_INT","."&amp;U$2&amp;U$1&amp;"C"&amp;$A31)*RTD("tos.rtd",,"DELTA","."&amp;U$2&amp;U$1&amp;"C"&amp;$A31)-100*RTD("tos.rtd",,"OPEN_INT","."&amp;U$2&amp;U$1&amp;"P"&amp;$A31)*RTD("tos.rtd",,"DELTA","."&amp;U$2&amp;U$1&amp;"P"&amp;$A31))/1000,0),IF($A$2="VEX",IFERROR(($A$4*$A$4*RTD("tos.rtd",,"VOLUME","."&amp;U$2&amp;U$1&amp;"C"&amp;$A31)*RTD("tos.rtd",,"GAMMA","."&amp;U$2&amp;U$1&amp;"C"&amp;$A31)-$A$4*$A$4*RTD("tos.rtd",,"VOLUME","."&amp;U$2&amp;U$1&amp;"P"&amp;$A31)*RTD("tos.rtd",,"GAMMA","."&amp;U$2&amp;U$1&amp;"P"&amp;$A31))/1000000,0),IF($A$2="GEX",IFERROR(($A$4*$A$4*RTD("tos.rtd",,"OPEN_INT","."&amp;U$2&amp;U$1&amp;"C"&amp;$A31)*RTD("tos.rtd",,"GAMMA","."&amp;U$2&amp;U$1&amp;"C"&amp;$A31)-$A$4*$A$4*RTD("tos.rtd",,"OPEN_INT","."&amp;U$2&amp;U$1&amp;"P"&amp;$A31)*RTD("tos.rtd",,"GAMMA","."&amp;U$2&amp;U$1&amp;"P"&amp;$A31))/1000000,0),IF($A$2="SKEW",IFERROR(VALUE(IF(RTD("tos.rtd",,"IMPL_VOL","."&amp;U$2&amp;U$1&amp;"P"&amp;$A31)="N/A",0,RTD("tos.rtd",,"IMPL_VOL","."&amp;U$2&amp;U$1&amp;"P"&amp;$A31))),0)-IFERROR(VALUE(IF(RTD("tos.rtd",,"IMPL_VOL","."&amp;U$2&amp;U$1&amp;"C"&amp;$A31)="N/A",0,RTD("tos.rtd",,"IMPL_VOL","."&amp;U$2&amp;U$1&amp;"C"&amp;$A31))),0),IF($A$2="MAXPAIN",IF($A$4&gt;$A31,($A$4-$A31)*IF(RTD("tos.rtd",,"OPEN_INT","."&amp;U$2&amp;U$1&amp;"C"&amp;$A31)="N/A",0,RTD("tos.rtd",,"OPEN_INT","."&amp;U$2&amp;U$1&amp;"C"&amp;$A31)),0)+IF($A$4&lt;$A31,($A31-$A$4)*IF(RTD("tos.rtd",,"OPEN_INT","."&amp;U$2&amp;U$1&amp;"P"&amp;$A31)="N/A",0,RTD("tos.rtd",,"OPEN_INT","."&amp;U$2&amp;U$1&amp;"P"&amp;$A31)),0),IF(RTD("tos.rtd",,$A$2,"."&amp;U$2&amp;U$1&amp;"C"&amp;$A31)="N/A",0,RTD("tos.rtd",,$A$2,"."&amp;U$2&amp;U$1&amp;"C"&amp;$A31))-IF(RTD("tos.rtd",,$A$2,"."&amp;U$2&amp;U$1&amp;"P"&amp;$A31)="N/A",0,RTD("tos.rtd",,$A$2,"."&amp;U$2&amp;U$1&amp;"P"&amp;$A31)))))))))</f>
        <v>0</v>
      </c>
      <c r="V31" s="12">
        <f>IF($A$2="PREMIUM_OI",IFERROR((100*RTD("tos.rtd",,"OPEN_INT","."&amp;V$2&amp;V$1&amp;"C"&amp;$A31)*RTD("tos.rtd",,"LAST","."&amp;V$2&amp;V$1&amp;"C"&amp;$A31)-100*RTD("tos.rtd",,"OPEN_INT","."&amp;V$2&amp;V$1&amp;"P"&amp;$A31)*RTD("tos.rtd",,"LAST","."&amp;V$2&amp;V$1&amp;"P"&amp;$A31))/1000000,0),IF($A$2="PREMIUM",IFERROR((100*RTD("tos.rtd",,"VOLUME","."&amp;V$2&amp;V$1&amp;"C"&amp;$A31)*RTD("tos.rtd",,"LAST","."&amp;V$2&amp;V$1&amp;"C"&amp;$A31)-100*RTD("tos.rtd",,"VOLUME","."&amp;V$2&amp;V$1&amp;"P"&amp;$A31)*RTD("tos.rtd",,"LAST","."&amp;V$2&amp;V$1&amp;"P"&amp;$A31))/1000000,0),IF($A$2="DEX",IFERROR((100*RTD("tos.rtd",,"OPEN_INT","."&amp;V$2&amp;V$1&amp;"C"&amp;$A31)*RTD("tos.rtd",,"DELTA","."&amp;V$2&amp;V$1&amp;"C"&amp;$A31)-100*RTD("tos.rtd",,"OPEN_INT","."&amp;V$2&amp;V$1&amp;"P"&amp;$A31)*RTD("tos.rtd",,"DELTA","."&amp;V$2&amp;V$1&amp;"P"&amp;$A31))/1000,0),IF($A$2="VEX",IFERROR(($A$4*$A$4*RTD("tos.rtd",,"VOLUME","."&amp;V$2&amp;V$1&amp;"C"&amp;$A31)*RTD("tos.rtd",,"GAMMA","."&amp;V$2&amp;V$1&amp;"C"&amp;$A31)-$A$4*$A$4*RTD("tos.rtd",,"VOLUME","."&amp;V$2&amp;V$1&amp;"P"&amp;$A31)*RTD("tos.rtd",,"GAMMA","."&amp;V$2&amp;V$1&amp;"P"&amp;$A31))/1000000,0),IF($A$2="GEX",IFERROR(($A$4*$A$4*RTD("tos.rtd",,"OPEN_INT","."&amp;V$2&amp;V$1&amp;"C"&amp;$A31)*RTD("tos.rtd",,"GAMMA","."&amp;V$2&amp;V$1&amp;"C"&amp;$A31)-$A$4*$A$4*RTD("tos.rtd",,"OPEN_INT","."&amp;V$2&amp;V$1&amp;"P"&amp;$A31)*RTD("tos.rtd",,"GAMMA","."&amp;V$2&amp;V$1&amp;"P"&amp;$A31))/1000000,0),IF($A$2="SKEW",IFERROR(VALUE(IF(RTD("tos.rtd",,"IMPL_VOL","."&amp;V$2&amp;V$1&amp;"P"&amp;$A31)="N/A",0,RTD("tos.rtd",,"IMPL_VOL","."&amp;V$2&amp;V$1&amp;"P"&amp;$A31))),0)-IFERROR(VALUE(IF(RTD("tos.rtd",,"IMPL_VOL","."&amp;V$2&amp;V$1&amp;"C"&amp;$A31)="N/A",0,RTD("tos.rtd",,"IMPL_VOL","."&amp;V$2&amp;V$1&amp;"C"&amp;$A31))),0),IF($A$2="MAXPAIN",IF($A$4&gt;$A31,($A$4-$A31)*IF(RTD("tos.rtd",,"OPEN_INT","."&amp;V$2&amp;V$1&amp;"C"&amp;$A31)="N/A",0,RTD("tos.rtd",,"OPEN_INT","."&amp;V$2&amp;V$1&amp;"C"&amp;$A31)),0)+IF($A$4&lt;$A31,($A31-$A$4)*IF(RTD("tos.rtd",,"OPEN_INT","."&amp;V$2&amp;V$1&amp;"P"&amp;$A31)="N/A",0,RTD("tos.rtd",,"OPEN_INT","."&amp;V$2&amp;V$1&amp;"P"&amp;$A31)),0),IF(RTD("tos.rtd",,$A$2,"."&amp;V$2&amp;V$1&amp;"C"&amp;$A31)="N/A",0,RTD("tos.rtd",,$A$2,"."&amp;V$2&amp;V$1&amp;"C"&amp;$A31))-IF(RTD("tos.rtd",,$A$2,"."&amp;V$2&amp;V$1&amp;"P"&amp;$A31)="N/A",0,RTD("tos.rtd",,$A$2,"."&amp;V$2&amp;V$1&amp;"P"&amp;$A31)))))))))</f>
        <v>0</v>
      </c>
      <c r="W31" s="12">
        <f>IF($A$2="PREMIUM_OI",IFERROR((100*RTD("tos.rtd",,"OPEN_INT","."&amp;W$2&amp;W$1&amp;"C"&amp;$A31)*RTD("tos.rtd",,"LAST","."&amp;W$2&amp;W$1&amp;"C"&amp;$A31)-100*RTD("tos.rtd",,"OPEN_INT","."&amp;W$2&amp;W$1&amp;"P"&amp;$A31)*RTD("tos.rtd",,"LAST","."&amp;W$2&amp;W$1&amp;"P"&amp;$A31))/1000000,0),IF($A$2="PREMIUM",IFERROR((100*RTD("tos.rtd",,"VOLUME","."&amp;W$2&amp;W$1&amp;"C"&amp;$A31)*RTD("tos.rtd",,"LAST","."&amp;W$2&amp;W$1&amp;"C"&amp;$A31)-100*RTD("tos.rtd",,"VOLUME","."&amp;W$2&amp;W$1&amp;"P"&amp;$A31)*RTD("tos.rtd",,"LAST","."&amp;W$2&amp;W$1&amp;"P"&amp;$A31))/1000000,0),IF($A$2="DEX",IFERROR((100*RTD("tos.rtd",,"OPEN_INT","."&amp;W$2&amp;W$1&amp;"C"&amp;$A31)*RTD("tos.rtd",,"DELTA","."&amp;W$2&amp;W$1&amp;"C"&amp;$A31)-100*RTD("tos.rtd",,"OPEN_INT","."&amp;W$2&amp;W$1&amp;"P"&amp;$A31)*RTD("tos.rtd",,"DELTA","."&amp;W$2&amp;W$1&amp;"P"&amp;$A31))/1000,0),IF($A$2="VEX",IFERROR(($A$4*$A$4*RTD("tos.rtd",,"VOLUME","."&amp;W$2&amp;W$1&amp;"C"&amp;$A31)*RTD("tos.rtd",,"GAMMA","."&amp;W$2&amp;W$1&amp;"C"&amp;$A31)-$A$4*$A$4*RTD("tos.rtd",,"VOLUME","."&amp;W$2&amp;W$1&amp;"P"&amp;$A31)*RTD("tos.rtd",,"GAMMA","."&amp;W$2&amp;W$1&amp;"P"&amp;$A31))/1000000,0),IF($A$2="GEX",IFERROR(($A$4*$A$4*RTD("tos.rtd",,"OPEN_INT","."&amp;W$2&amp;W$1&amp;"C"&amp;$A31)*RTD("tos.rtd",,"GAMMA","."&amp;W$2&amp;W$1&amp;"C"&amp;$A31)-$A$4*$A$4*RTD("tos.rtd",,"OPEN_INT","."&amp;W$2&amp;W$1&amp;"P"&amp;$A31)*RTD("tos.rtd",,"GAMMA","."&amp;W$2&amp;W$1&amp;"P"&amp;$A31))/1000000,0),IF($A$2="SKEW",IFERROR(VALUE(IF(RTD("tos.rtd",,"IMPL_VOL","."&amp;W$2&amp;W$1&amp;"P"&amp;$A31)="N/A",0,RTD("tos.rtd",,"IMPL_VOL","."&amp;W$2&amp;W$1&amp;"P"&amp;$A31))),0)-IFERROR(VALUE(IF(RTD("tos.rtd",,"IMPL_VOL","."&amp;W$2&amp;W$1&amp;"C"&amp;$A31)="N/A",0,RTD("tos.rtd",,"IMPL_VOL","."&amp;W$2&amp;W$1&amp;"C"&amp;$A31))),0),IF($A$2="MAXPAIN",IF($A$4&gt;$A31,($A$4-$A31)*IF(RTD("tos.rtd",,"OPEN_INT","."&amp;W$2&amp;W$1&amp;"C"&amp;$A31)="N/A",0,RTD("tos.rtd",,"OPEN_INT","."&amp;W$2&amp;W$1&amp;"C"&amp;$A31)),0)+IF($A$4&lt;$A31,($A31-$A$4)*IF(RTD("tos.rtd",,"OPEN_INT","."&amp;W$2&amp;W$1&amp;"P"&amp;$A31)="N/A",0,RTD("tos.rtd",,"OPEN_INT","."&amp;W$2&amp;W$1&amp;"P"&amp;$A31)),0),IF(RTD("tos.rtd",,$A$2,"."&amp;W$2&amp;W$1&amp;"C"&amp;$A31)="N/A",0,RTD("tos.rtd",,$A$2,"."&amp;W$2&amp;W$1&amp;"C"&amp;$A31))-IF(RTD("tos.rtd",,$A$2,"."&amp;W$2&amp;W$1&amp;"P"&amp;$A31)="N/A",0,RTD("tos.rtd",,$A$2,"."&amp;W$2&amp;W$1&amp;"P"&amp;$A31)))))))))</f>
        <v>0</v>
      </c>
      <c r="X31" s="12">
        <f t="shared" ca="1" si="7"/>
        <v>-1726</v>
      </c>
      <c r="Y31" s="27">
        <f t="shared" ca="1" si="8"/>
        <v>-1726</v>
      </c>
      <c r="AA31" s="35">
        <f>+IF($AJ$1,AJ31,TASTYOHLC!A31)</f>
        <v>0</v>
      </c>
      <c r="AB31" s="8">
        <f>+IF($AJ$1,AK31,TASTYOHLC!B31)</f>
        <v>0</v>
      </c>
      <c r="AC31" s="8">
        <f>+IF($AJ$1,AL31,TASTYOHLC!C31)</f>
        <v>0</v>
      </c>
      <c r="AD31" s="8">
        <f>+IF($AJ$1,AM31,TASTYOHLC!D31)</f>
        <v>0</v>
      </c>
      <c r="AE31" s="8">
        <f>+IF($AJ$1,AN31,TASTYOHLC!E31)</f>
        <v>0</v>
      </c>
      <c r="AF31" s="8"/>
      <c r="AJ31" s="37"/>
    </row>
    <row r="32" spans="1:40" s="19" customFormat="1" ht="11.1" customHeight="1" thickBot="1" x14ac:dyDescent="0.3">
      <c r="A32" s="23">
        <f t="shared" si="13"/>
        <v>6</v>
      </c>
      <c r="B32" s="14">
        <f>IF($A$2="PREMIUM_OI",IFERROR((100*RTD("tos.rtd",,"OPEN_INT","."&amp;B$2&amp;B$1&amp;"C"&amp;$A32)*RTD("tos.rtd",,"LAST","."&amp;B$2&amp;B$1&amp;"C"&amp;$A32)-100*RTD("tos.rtd",,"OPEN_INT","."&amp;B$2&amp;B$1&amp;"P"&amp;$A32)*RTD("tos.rtd",,"LAST","."&amp;B$2&amp;B$1&amp;"P"&amp;$A32))/1000000,0),IF($A$2="PREMIUM",IFERROR((100*RTD("tos.rtd",,"VOLUME","."&amp;B$2&amp;B$1&amp;"C"&amp;$A32)*RTD("tos.rtd",,"LAST","."&amp;B$2&amp;B$1&amp;"C"&amp;$A32)-100*RTD("tos.rtd",,"VOLUME","."&amp;B$2&amp;B$1&amp;"P"&amp;$A32)*RTD("tos.rtd",,"LAST","."&amp;B$2&amp;B$1&amp;"P"&amp;$A32))/1000000,0),IF($A$2="DEX",IFERROR((100*RTD("tos.rtd",,"OPEN_INT","."&amp;B$2&amp;B$1&amp;"C"&amp;$A32)*RTD("tos.rtd",,"DELTA","."&amp;B$2&amp;B$1&amp;"C"&amp;$A32)-100*RTD("tos.rtd",,"OPEN_INT","."&amp;B$2&amp;B$1&amp;"P"&amp;$A32)*RTD("tos.rtd",,"DELTA","."&amp;B$2&amp;B$1&amp;"P"&amp;$A32))/1000,0),IF($A$2="VEX",IFERROR(($A$4*$A$4*RTD("tos.rtd",,"VOLUME","."&amp;B$2&amp;B$1&amp;"C"&amp;$A32)*RTD("tos.rtd",,"GAMMA","."&amp;B$2&amp;B$1&amp;"C"&amp;$A32)-$A$4*$A$4*RTD("tos.rtd",,"VOLUME","."&amp;B$2&amp;B$1&amp;"P"&amp;$A32)*RTD("tos.rtd",,"GAMMA","."&amp;B$2&amp;B$1&amp;"P"&amp;$A32))/1000000,0),IF($A$2="GEX",IFERROR(($A$4*$A$4*RTD("tos.rtd",,"OPEN_INT","."&amp;B$2&amp;B$1&amp;"C"&amp;$A32)*RTD("tos.rtd",,"GAMMA","."&amp;B$2&amp;B$1&amp;"C"&amp;$A32)-$A$4*$A$4*RTD("tos.rtd",,"OPEN_INT","."&amp;B$2&amp;B$1&amp;"P"&amp;$A32)*RTD("tos.rtd",,"GAMMA","."&amp;B$2&amp;B$1&amp;"P"&amp;$A32))/1000000,0),IF($A$2="SKEW",IFERROR(VALUE(IF(RTD("tos.rtd",,"IMPL_VOL","."&amp;B$2&amp;B$1&amp;"P"&amp;$A32)="N/A",0,RTD("tos.rtd",,"IMPL_VOL","."&amp;B$2&amp;B$1&amp;"P"&amp;$A32))),0)-IFERROR(VALUE(IF(RTD("tos.rtd",,"IMPL_VOL","."&amp;B$2&amp;B$1&amp;"C"&amp;$A32)="N/A",0,RTD("tos.rtd",,"IMPL_VOL","."&amp;B$2&amp;B$1&amp;"C"&amp;$A32))),0),IF($A$2="MAXPAIN",IF($A$4&gt;$A32,($A$4-$A32)*IF(RTD("tos.rtd",,"OPEN_INT","."&amp;B$2&amp;B$1&amp;"C"&amp;$A32)="N/A",0,RTD("tos.rtd",,"OPEN_INT","."&amp;B$2&amp;B$1&amp;"C"&amp;$A32)),0)+IF($A$4&lt;$A32,($A32-$A$4)*IF(RTD("tos.rtd",,"OPEN_INT","."&amp;B$2&amp;B$1&amp;"P"&amp;$A32)="N/A",0,RTD("tos.rtd",,"OPEN_INT","."&amp;B$2&amp;B$1&amp;"P"&amp;$A32)),0),IF(RTD("tos.rtd",,$A$2,"."&amp;B$2&amp;B$1&amp;"C"&amp;$A32)="N/A",0,RTD("tos.rtd",,$A$2,"."&amp;B$2&amp;B$1&amp;"C"&amp;$A32))-IF(RTD("tos.rtd",,$A$2,"."&amp;B$2&amp;B$1&amp;"P"&amp;$A32)="N/A",0,RTD("tos.rtd",,$A$2,"."&amp;B$2&amp;B$1&amp;"P"&amp;$A32)))))))))</f>
        <v>0</v>
      </c>
      <c r="C32" s="12">
        <f>IF($A$2="PREMIUM_OI",IFERROR((100*RTD("tos.rtd",,"OPEN_INT","."&amp;C$2&amp;C$1&amp;"C"&amp;$A32)*RTD("tos.rtd",,"LAST","."&amp;C$2&amp;C$1&amp;"C"&amp;$A32)-100*RTD("tos.rtd",,"OPEN_INT","."&amp;C$2&amp;C$1&amp;"P"&amp;$A32)*RTD("tos.rtd",,"LAST","."&amp;C$2&amp;C$1&amp;"P"&amp;$A32))/1000000,0),IF($A$2="PREMIUM",IFERROR((100*RTD("tos.rtd",,"VOLUME","."&amp;C$2&amp;C$1&amp;"C"&amp;$A32)*RTD("tos.rtd",,"LAST","."&amp;C$2&amp;C$1&amp;"C"&amp;$A32)-100*RTD("tos.rtd",,"VOLUME","."&amp;C$2&amp;C$1&amp;"P"&amp;$A32)*RTD("tos.rtd",,"LAST","."&amp;C$2&amp;C$1&amp;"P"&amp;$A32))/1000000,0),IF($A$2="DEX",IFERROR((100*RTD("tos.rtd",,"OPEN_INT","."&amp;C$2&amp;C$1&amp;"C"&amp;$A32)*RTD("tos.rtd",,"DELTA","."&amp;C$2&amp;C$1&amp;"C"&amp;$A32)-100*RTD("tos.rtd",,"OPEN_INT","."&amp;C$2&amp;C$1&amp;"P"&amp;$A32)*RTD("tos.rtd",,"DELTA","."&amp;C$2&amp;C$1&amp;"P"&amp;$A32))/1000,0),IF($A$2="VEX",IFERROR(($A$4*$A$4*RTD("tos.rtd",,"VOLUME","."&amp;C$2&amp;C$1&amp;"C"&amp;$A32)*RTD("tos.rtd",,"GAMMA","."&amp;C$2&amp;C$1&amp;"C"&amp;$A32)-$A$4*$A$4*RTD("tos.rtd",,"VOLUME","."&amp;C$2&amp;C$1&amp;"P"&amp;$A32)*RTD("tos.rtd",,"GAMMA","."&amp;C$2&amp;C$1&amp;"P"&amp;$A32))/1000000,0),IF($A$2="GEX",IFERROR(($A$4*$A$4*RTD("tos.rtd",,"OPEN_INT","."&amp;C$2&amp;C$1&amp;"C"&amp;$A32)*RTD("tos.rtd",,"GAMMA","."&amp;C$2&amp;C$1&amp;"C"&amp;$A32)-$A$4*$A$4*RTD("tos.rtd",,"OPEN_INT","."&amp;C$2&amp;C$1&amp;"P"&amp;$A32)*RTD("tos.rtd",,"GAMMA","."&amp;C$2&amp;C$1&amp;"P"&amp;$A32))/1000000,0),IF($A$2="SKEW",IFERROR(VALUE(IF(RTD("tos.rtd",,"IMPL_VOL","."&amp;C$2&amp;C$1&amp;"P"&amp;$A32)="N/A",0,RTD("tos.rtd",,"IMPL_VOL","."&amp;C$2&amp;C$1&amp;"P"&amp;$A32))),0)-IFERROR(VALUE(IF(RTD("tos.rtd",,"IMPL_VOL","."&amp;C$2&amp;C$1&amp;"C"&amp;$A32)="N/A",0,RTD("tos.rtd",,"IMPL_VOL","."&amp;C$2&amp;C$1&amp;"C"&amp;$A32))),0),IF($A$2="MAXPAIN",IF($A$4&gt;$A32,($A$4-$A32)*IF(RTD("tos.rtd",,"OPEN_INT","."&amp;C$2&amp;C$1&amp;"C"&amp;$A32)="N/A",0,RTD("tos.rtd",,"OPEN_INT","."&amp;C$2&amp;C$1&amp;"C"&amp;$A32)),0)+IF($A$4&lt;$A32,($A32-$A$4)*IF(RTD("tos.rtd",,"OPEN_INT","."&amp;C$2&amp;C$1&amp;"P"&amp;$A32)="N/A",0,RTD("tos.rtd",,"OPEN_INT","."&amp;C$2&amp;C$1&amp;"P"&amp;$A32)),0),IF(RTD("tos.rtd",,$A$2,"."&amp;C$2&amp;C$1&amp;"C"&amp;$A32)="N/A",0,RTD("tos.rtd",,$A$2,"."&amp;C$2&amp;C$1&amp;"C"&amp;$A32))-IF(RTD("tos.rtd",,$A$2,"."&amp;C$2&amp;C$1&amp;"P"&amp;$A32)="N/A",0,RTD("tos.rtd",,$A$2,"."&amp;C$2&amp;C$1&amp;"P"&amp;$A32)))))))))</f>
        <v>720</v>
      </c>
      <c r="D32" s="12">
        <f>IF($A$2="PREMIUM_OI",IFERROR((100*RTD("tos.rtd",,"OPEN_INT","."&amp;D$2&amp;D$1&amp;"C"&amp;$A32)*RTD("tos.rtd",,"LAST","."&amp;D$2&amp;D$1&amp;"C"&amp;$A32)-100*RTD("tos.rtd",,"OPEN_INT","."&amp;D$2&amp;D$1&amp;"P"&amp;$A32)*RTD("tos.rtd",,"LAST","."&amp;D$2&amp;D$1&amp;"P"&amp;$A32))/1000000,0),IF($A$2="PREMIUM",IFERROR((100*RTD("tos.rtd",,"VOLUME","."&amp;D$2&amp;D$1&amp;"C"&amp;$A32)*RTD("tos.rtd",,"LAST","."&amp;D$2&amp;D$1&amp;"C"&amp;$A32)-100*RTD("tos.rtd",,"VOLUME","."&amp;D$2&amp;D$1&amp;"P"&amp;$A32)*RTD("tos.rtd",,"LAST","."&amp;D$2&amp;D$1&amp;"P"&amp;$A32))/1000000,0),IF($A$2="DEX",IFERROR((100*RTD("tos.rtd",,"OPEN_INT","."&amp;D$2&amp;D$1&amp;"C"&amp;$A32)*RTD("tos.rtd",,"DELTA","."&amp;D$2&amp;D$1&amp;"C"&amp;$A32)-100*RTD("tos.rtd",,"OPEN_INT","."&amp;D$2&amp;D$1&amp;"P"&amp;$A32)*RTD("tos.rtd",,"DELTA","."&amp;D$2&amp;D$1&amp;"P"&amp;$A32))/1000,0),IF($A$2="VEX",IFERROR(($A$4*$A$4*RTD("tos.rtd",,"VOLUME","."&amp;D$2&amp;D$1&amp;"C"&amp;$A32)*RTD("tos.rtd",,"GAMMA","."&amp;D$2&amp;D$1&amp;"C"&amp;$A32)-$A$4*$A$4*RTD("tos.rtd",,"VOLUME","."&amp;D$2&amp;D$1&amp;"P"&amp;$A32)*RTD("tos.rtd",,"GAMMA","."&amp;D$2&amp;D$1&amp;"P"&amp;$A32))/1000000,0),IF($A$2="GEX",IFERROR(($A$4*$A$4*RTD("tos.rtd",,"OPEN_INT","."&amp;D$2&amp;D$1&amp;"C"&amp;$A32)*RTD("tos.rtd",,"GAMMA","."&amp;D$2&amp;D$1&amp;"C"&amp;$A32)-$A$4*$A$4*RTD("tos.rtd",,"OPEN_INT","."&amp;D$2&amp;D$1&amp;"P"&amp;$A32)*RTD("tos.rtd",,"GAMMA","."&amp;D$2&amp;D$1&amp;"P"&amp;$A32))/1000000,0),IF($A$2="SKEW",IFERROR(VALUE(IF(RTD("tos.rtd",,"IMPL_VOL","."&amp;D$2&amp;D$1&amp;"P"&amp;$A32)="N/A",0,RTD("tos.rtd",,"IMPL_VOL","."&amp;D$2&amp;D$1&amp;"P"&amp;$A32))),0)-IFERROR(VALUE(IF(RTD("tos.rtd",,"IMPL_VOL","."&amp;D$2&amp;D$1&amp;"C"&amp;$A32)="N/A",0,RTD("tos.rtd",,"IMPL_VOL","."&amp;D$2&amp;D$1&amp;"C"&amp;$A32))),0),IF($A$2="MAXPAIN",IF($A$4&gt;$A32,($A$4-$A32)*IF(RTD("tos.rtd",,"OPEN_INT","."&amp;D$2&amp;D$1&amp;"C"&amp;$A32)="N/A",0,RTD("tos.rtd",,"OPEN_INT","."&amp;D$2&amp;D$1&amp;"C"&amp;$A32)),0)+IF($A$4&lt;$A32,($A32-$A$4)*IF(RTD("tos.rtd",,"OPEN_INT","."&amp;D$2&amp;D$1&amp;"P"&amp;$A32)="N/A",0,RTD("tos.rtd",,"OPEN_INT","."&amp;D$2&amp;D$1&amp;"P"&amp;$A32)),0),IF(RTD("tos.rtd",,$A$2,"."&amp;D$2&amp;D$1&amp;"C"&amp;$A32)="N/A",0,RTD("tos.rtd",,$A$2,"."&amp;D$2&amp;D$1&amp;"C"&amp;$A32))-IF(RTD("tos.rtd",,$A$2,"."&amp;D$2&amp;D$1&amp;"P"&amp;$A32)="N/A",0,RTD("tos.rtd",,$A$2,"."&amp;D$2&amp;D$1&amp;"P"&amp;$A32)))))))))</f>
        <v>0</v>
      </c>
      <c r="E32" s="12">
        <f>IF($A$2="PREMIUM_OI",IFERROR((100*RTD("tos.rtd",,"OPEN_INT","."&amp;E$2&amp;E$1&amp;"C"&amp;$A32)*RTD("tos.rtd",,"LAST","."&amp;E$2&amp;E$1&amp;"C"&amp;$A32)-100*RTD("tos.rtd",,"OPEN_INT","."&amp;E$2&amp;E$1&amp;"P"&amp;$A32)*RTD("tos.rtd",,"LAST","."&amp;E$2&amp;E$1&amp;"P"&amp;$A32))/1000000,0),IF($A$2="PREMIUM",IFERROR((100*RTD("tos.rtd",,"VOLUME","."&amp;E$2&amp;E$1&amp;"C"&amp;$A32)*RTD("tos.rtd",,"LAST","."&amp;E$2&amp;E$1&amp;"C"&amp;$A32)-100*RTD("tos.rtd",,"VOLUME","."&amp;E$2&amp;E$1&amp;"P"&amp;$A32)*RTD("tos.rtd",,"LAST","."&amp;E$2&amp;E$1&amp;"P"&amp;$A32))/1000000,0),IF($A$2="DEX",IFERROR((100*RTD("tos.rtd",,"OPEN_INT","."&amp;E$2&amp;E$1&amp;"C"&amp;$A32)*RTD("tos.rtd",,"DELTA","."&amp;E$2&amp;E$1&amp;"C"&amp;$A32)-100*RTD("tos.rtd",,"OPEN_INT","."&amp;E$2&amp;E$1&amp;"P"&amp;$A32)*RTD("tos.rtd",,"DELTA","."&amp;E$2&amp;E$1&amp;"P"&amp;$A32))/1000,0),IF($A$2="VEX",IFERROR(($A$4*$A$4*RTD("tos.rtd",,"VOLUME","."&amp;E$2&amp;E$1&amp;"C"&amp;$A32)*RTD("tos.rtd",,"GAMMA","."&amp;E$2&amp;E$1&amp;"C"&amp;$A32)-$A$4*$A$4*RTD("tos.rtd",,"VOLUME","."&amp;E$2&amp;E$1&amp;"P"&amp;$A32)*RTD("tos.rtd",,"GAMMA","."&amp;E$2&amp;E$1&amp;"P"&amp;$A32))/1000000,0),IF($A$2="GEX",IFERROR(($A$4*$A$4*RTD("tos.rtd",,"OPEN_INT","."&amp;E$2&amp;E$1&amp;"C"&amp;$A32)*RTD("tos.rtd",,"GAMMA","."&amp;E$2&amp;E$1&amp;"C"&amp;$A32)-$A$4*$A$4*RTD("tos.rtd",,"OPEN_INT","."&amp;E$2&amp;E$1&amp;"P"&amp;$A32)*RTD("tos.rtd",,"GAMMA","."&amp;E$2&amp;E$1&amp;"P"&amp;$A32))/1000000,0),IF($A$2="SKEW",IFERROR(VALUE(IF(RTD("tos.rtd",,"IMPL_VOL","."&amp;E$2&amp;E$1&amp;"P"&amp;$A32)="N/A",0,RTD("tos.rtd",,"IMPL_VOL","."&amp;E$2&amp;E$1&amp;"P"&amp;$A32))),0)-IFERROR(VALUE(IF(RTD("tos.rtd",,"IMPL_VOL","."&amp;E$2&amp;E$1&amp;"C"&amp;$A32)="N/A",0,RTD("tos.rtd",,"IMPL_VOL","."&amp;E$2&amp;E$1&amp;"C"&amp;$A32))),0),IF($A$2="MAXPAIN",IF($A$4&gt;$A32,($A$4-$A32)*IF(RTD("tos.rtd",,"OPEN_INT","."&amp;E$2&amp;E$1&amp;"C"&amp;$A32)="N/A",0,RTD("tos.rtd",,"OPEN_INT","."&amp;E$2&amp;E$1&amp;"C"&amp;$A32)),0)+IF($A$4&lt;$A32,($A32-$A$4)*IF(RTD("tos.rtd",,"OPEN_INT","."&amp;E$2&amp;E$1&amp;"P"&amp;$A32)="N/A",0,RTD("tos.rtd",,"OPEN_INT","."&amp;E$2&amp;E$1&amp;"P"&amp;$A32)),0),IF(RTD("tos.rtd",,$A$2,"."&amp;E$2&amp;E$1&amp;"C"&amp;$A32)="N/A",0,RTD("tos.rtd",,$A$2,"."&amp;E$2&amp;E$1&amp;"C"&amp;$A32))-IF(RTD("tos.rtd",,$A$2,"."&amp;E$2&amp;E$1&amp;"P"&amp;$A32)="N/A",0,RTD("tos.rtd",,$A$2,"."&amp;E$2&amp;E$1&amp;"P"&amp;$A32)))))))))</f>
        <v>0</v>
      </c>
      <c r="F32" s="12">
        <f>IF($A$2="PREMIUM_OI",IFERROR((100*RTD("tos.rtd",,"OPEN_INT","."&amp;F$2&amp;F$1&amp;"C"&amp;$A32)*RTD("tos.rtd",,"LAST","."&amp;F$2&amp;F$1&amp;"C"&amp;$A32)-100*RTD("tos.rtd",,"OPEN_INT","."&amp;F$2&amp;F$1&amp;"P"&amp;$A32)*RTD("tos.rtd",,"LAST","."&amp;F$2&amp;F$1&amp;"P"&amp;$A32))/1000000,0),IF($A$2="PREMIUM",IFERROR((100*RTD("tos.rtd",,"VOLUME","."&amp;F$2&amp;F$1&amp;"C"&amp;$A32)*RTD("tos.rtd",,"LAST","."&amp;F$2&amp;F$1&amp;"C"&amp;$A32)-100*RTD("tos.rtd",,"VOLUME","."&amp;F$2&amp;F$1&amp;"P"&amp;$A32)*RTD("tos.rtd",,"LAST","."&amp;F$2&amp;F$1&amp;"P"&amp;$A32))/1000000,0),IF($A$2="DEX",IFERROR((100*RTD("tos.rtd",,"OPEN_INT","."&amp;F$2&amp;F$1&amp;"C"&amp;$A32)*RTD("tos.rtd",,"DELTA","."&amp;F$2&amp;F$1&amp;"C"&amp;$A32)-100*RTD("tos.rtd",,"OPEN_INT","."&amp;F$2&amp;F$1&amp;"P"&amp;$A32)*RTD("tos.rtd",,"DELTA","."&amp;F$2&amp;F$1&amp;"P"&amp;$A32))/1000,0),IF($A$2="VEX",IFERROR(($A$4*$A$4*RTD("tos.rtd",,"VOLUME","."&amp;F$2&amp;F$1&amp;"C"&amp;$A32)*RTD("tos.rtd",,"GAMMA","."&amp;F$2&amp;F$1&amp;"C"&amp;$A32)-$A$4*$A$4*RTD("tos.rtd",,"VOLUME","."&amp;F$2&amp;F$1&amp;"P"&amp;$A32)*RTD("tos.rtd",,"GAMMA","."&amp;F$2&amp;F$1&amp;"P"&amp;$A32))/1000000,0),IF($A$2="GEX",IFERROR(($A$4*$A$4*RTD("tos.rtd",,"OPEN_INT","."&amp;F$2&amp;F$1&amp;"C"&amp;$A32)*RTD("tos.rtd",,"GAMMA","."&amp;F$2&amp;F$1&amp;"C"&amp;$A32)-$A$4*$A$4*RTD("tos.rtd",,"OPEN_INT","."&amp;F$2&amp;F$1&amp;"P"&amp;$A32)*RTD("tos.rtd",,"GAMMA","."&amp;F$2&amp;F$1&amp;"P"&amp;$A32))/1000000,0),IF($A$2="SKEW",IFERROR(VALUE(IF(RTD("tos.rtd",,"IMPL_VOL","."&amp;F$2&amp;F$1&amp;"P"&amp;$A32)="N/A",0,RTD("tos.rtd",,"IMPL_VOL","."&amp;F$2&amp;F$1&amp;"P"&amp;$A32))),0)-IFERROR(VALUE(IF(RTD("tos.rtd",,"IMPL_VOL","."&amp;F$2&amp;F$1&amp;"C"&amp;$A32)="N/A",0,RTD("tos.rtd",,"IMPL_VOL","."&amp;F$2&amp;F$1&amp;"C"&amp;$A32))),0),IF($A$2="MAXPAIN",IF($A$4&gt;$A32,($A$4-$A32)*IF(RTD("tos.rtd",,"OPEN_INT","."&amp;F$2&amp;F$1&amp;"C"&amp;$A32)="N/A",0,RTD("tos.rtd",,"OPEN_INT","."&amp;F$2&amp;F$1&amp;"C"&amp;$A32)),0)+IF($A$4&lt;$A32,($A32-$A$4)*IF(RTD("tos.rtd",,"OPEN_INT","."&amp;F$2&amp;F$1&amp;"P"&amp;$A32)="N/A",0,RTD("tos.rtd",,"OPEN_INT","."&amp;F$2&amp;F$1&amp;"P"&amp;$A32)),0),IF(RTD("tos.rtd",,$A$2,"."&amp;F$2&amp;F$1&amp;"C"&amp;$A32)="N/A",0,RTD("tos.rtd",,$A$2,"."&amp;F$2&amp;F$1&amp;"C"&amp;$A32))-IF(RTD("tos.rtd",,$A$2,"."&amp;F$2&amp;F$1&amp;"P"&amp;$A32)="N/A",0,RTD("tos.rtd",,$A$2,"."&amp;F$2&amp;F$1&amp;"P"&amp;$A32)))))))))</f>
        <v>0</v>
      </c>
      <c r="G32" s="14">
        <f>IF($A$2="PREMIUM_OI",IFERROR((100*RTD("tos.rtd",,"OPEN_INT","."&amp;G$2&amp;G$1&amp;"C"&amp;$A32)*RTD("tos.rtd",,"LAST","."&amp;G$2&amp;G$1&amp;"C"&amp;$A32)-100*RTD("tos.rtd",,"OPEN_INT","."&amp;G$2&amp;G$1&amp;"P"&amp;$A32)*RTD("tos.rtd",,"LAST","."&amp;G$2&amp;G$1&amp;"P"&amp;$A32))/1000000,0),IF($A$2="PREMIUM",IFERROR((100*RTD("tos.rtd",,"VOLUME","."&amp;G$2&amp;G$1&amp;"C"&amp;$A32)*RTD("tos.rtd",,"LAST","."&amp;G$2&amp;G$1&amp;"C"&amp;$A32)-100*RTD("tos.rtd",,"VOLUME","."&amp;G$2&amp;G$1&amp;"P"&amp;$A32)*RTD("tos.rtd",,"LAST","."&amp;G$2&amp;G$1&amp;"P"&amp;$A32))/1000000,0),IF($A$2="DEX",IFERROR((100*RTD("tos.rtd",,"OPEN_INT","."&amp;G$2&amp;G$1&amp;"C"&amp;$A32)*RTD("tos.rtd",,"DELTA","."&amp;G$2&amp;G$1&amp;"C"&amp;$A32)-100*RTD("tos.rtd",,"OPEN_INT","."&amp;G$2&amp;G$1&amp;"P"&amp;$A32)*RTD("tos.rtd",,"DELTA","."&amp;G$2&amp;G$1&amp;"P"&amp;$A32))/1000,0),IF($A$2="VEX",IFERROR(($A$4*$A$4*RTD("tos.rtd",,"VOLUME","."&amp;G$2&amp;G$1&amp;"C"&amp;$A32)*RTD("tos.rtd",,"GAMMA","."&amp;G$2&amp;G$1&amp;"C"&amp;$A32)-$A$4*$A$4*RTD("tos.rtd",,"VOLUME","."&amp;G$2&amp;G$1&amp;"P"&amp;$A32)*RTD("tos.rtd",,"GAMMA","."&amp;G$2&amp;G$1&amp;"P"&amp;$A32))/1000000,0),IF($A$2="GEX",IFERROR(($A$4*$A$4*RTD("tos.rtd",,"OPEN_INT","."&amp;G$2&amp;G$1&amp;"C"&amp;$A32)*RTD("tos.rtd",,"GAMMA","."&amp;G$2&amp;G$1&amp;"C"&amp;$A32)-$A$4*$A$4*RTD("tos.rtd",,"OPEN_INT","."&amp;G$2&amp;G$1&amp;"P"&amp;$A32)*RTD("tos.rtd",,"GAMMA","."&amp;G$2&amp;G$1&amp;"P"&amp;$A32))/1000000,0),IF($A$2="SKEW",IFERROR(VALUE(IF(RTD("tos.rtd",,"IMPL_VOL","."&amp;G$2&amp;G$1&amp;"P"&amp;$A32)="N/A",0,RTD("tos.rtd",,"IMPL_VOL","."&amp;G$2&amp;G$1&amp;"P"&amp;$A32))),0)-IFERROR(VALUE(IF(RTD("tos.rtd",,"IMPL_VOL","."&amp;G$2&amp;G$1&amp;"C"&amp;$A32)="N/A",0,RTD("tos.rtd",,"IMPL_VOL","."&amp;G$2&amp;G$1&amp;"C"&amp;$A32))),0),IF($A$2="MAXPAIN",IF($A$4&gt;$A32,($A$4-$A32)*IF(RTD("tos.rtd",,"OPEN_INT","."&amp;G$2&amp;G$1&amp;"C"&amp;$A32)="N/A",0,RTD("tos.rtd",,"OPEN_INT","."&amp;G$2&amp;G$1&amp;"C"&amp;$A32)),0)+IF($A$4&lt;$A32,($A32-$A$4)*IF(RTD("tos.rtd",,"OPEN_INT","."&amp;G$2&amp;G$1&amp;"P"&amp;$A32)="N/A",0,RTD("tos.rtd",,"OPEN_INT","."&amp;G$2&amp;G$1&amp;"P"&amp;$A32)),0),IF(RTD("tos.rtd",,$A$2,"."&amp;G$2&amp;G$1&amp;"C"&amp;$A32)="N/A",0,RTD("tos.rtd",,$A$2,"."&amp;G$2&amp;G$1&amp;"C"&amp;$A32))-IF(RTD("tos.rtd",,$A$2,"."&amp;G$2&amp;G$1&amp;"P"&amp;$A32)="N/A",0,RTD("tos.rtd",,$A$2,"."&amp;G$2&amp;G$1&amp;"P"&amp;$A32)))))))))</f>
        <v>0</v>
      </c>
      <c r="H32" s="12">
        <f>IF($A$2="PREMIUM_OI",IFERROR((100*RTD("tos.rtd",,"OPEN_INT","."&amp;H$2&amp;H$1&amp;"C"&amp;$A32)*RTD("tos.rtd",,"LAST","."&amp;H$2&amp;H$1&amp;"C"&amp;$A32)-100*RTD("tos.rtd",,"OPEN_INT","."&amp;H$2&amp;H$1&amp;"P"&amp;$A32)*RTD("tos.rtd",,"LAST","."&amp;H$2&amp;H$1&amp;"P"&amp;$A32))/1000000,0),IF($A$2="PREMIUM",IFERROR((100*RTD("tos.rtd",,"VOLUME","."&amp;H$2&amp;H$1&amp;"C"&amp;$A32)*RTD("tos.rtd",,"LAST","."&amp;H$2&amp;H$1&amp;"C"&amp;$A32)-100*RTD("tos.rtd",,"VOLUME","."&amp;H$2&amp;H$1&amp;"P"&amp;$A32)*RTD("tos.rtd",,"LAST","."&amp;H$2&amp;H$1&amp;"P"&amp;$A32))/1000000,0),IF($A$2="DEX",IFERROR((100*RTD("tos.rtd",,"OPEN_INT","."&amp;H$2&amp;H$1&amp;"C"&amp;$A32)*RTD("tos.rtd",,"DELTA","."&amp;H$2&amp;H$1&amp;"C"&amp;$A32)-100*RTD("tos.rtd",,"OPEN_INT","."&amp;H$2&amp;H$1&amp;"P"&amp;$A32)*RTD("tos.rtd",,"DELTA","."&amp;H$2&amp;H$1&amp;"P"&amp;$A32))/1000,0),IF($A$2="VEX",IFERROR(($A$4*$A$4*RTD("tos.rtd",,"VOLUME","."&amp;H$2&amp;H$1&amp;"C"&amp;$A32)*RTD("tos.rtd",,"GAMMA","."&amp;H$2&amp;H$1&amp;"C"&amp;$A32)-$A$4*$A$4*RTD("tos.rtd",,"VOLUME","."&amp;H$2&amp;H$1&amp;"P"&amp;$A32)*RTD("tos.rtd",,"GAMMA","."&amp;H$2&amp;H$1&amp;"P"&amp;$A32))/1000000,0),IF($A$2="GEX",IFERROR(($A$4*$A$4*RTD("tos.rtd",,"OPEN_INT","."&amp;H$2&amp;H$1&amp;"C"&amp;$A32)*RTD("tos.rtd",,"GAMMA","."&amp;H$2&amp;H$1&amp;"C"&amp;$A32)-$A$4*$A$4*RTD("tos.rtd",,"OPEN_INT","."&amp;H$2&amp;H$1&amp;"P"&amp;$A32)*RTD("tos.rtd",,"GAMMA","."&amp;H$2&amp;H$1&amp;"P"&amp;$A32))/1000000,0),IF($A$2="SKEW",IFERROR(VALUE(IF(RTD("tos.rtd",,"IMPL_VOL","."&amp;H$2&amp;H$1&amp;"P"&amp;$A32)="N/A",0,RTD("tos.rtd",,"IMPL_VOL","."&amp;H$2&amp;H$1&amp;"P"&amp;$A32))),0)-IFERROR(VALUE(IF(RTD("tos.rtd",,"IMPL_VOL","."&amp;H$2&amp;H$1&amp;"C"&amp;$A32)="N/A",0,RTD("tos.rtd",,"IMPL_VOL","."&amp;H$2&amp;H$1&amp;"C"&amp;$A32))),0),IF($A$2="MAXPAIN",IF($A$4&gt;$A32,($A$4-$A32)*IF(RTD("tos.rtd",,"OPEN_INT","."&amp;H$2&amp;H$1&amp;"C"&amp;$A32)="N/A",0,RTD("tos.rtd",,"OPEN_INT","."&amp;H$2&amp;H$1&amp;"C"&amp;$A32)),0)+IF($A$4&lt;$A32,($A32-$A$4)*IF(RTD("tos.rtd",,"OPEN_INT","."&amp;H$2&amp;H$1&amp;"P"&amp;$A32)="N/A",0,RTD("tos.rtd",,"OPEN_INT","."&amp;H$2&amp;H$1&amp;"P"&amp;$A32)),0),IF(RTD("tos.rtd",,$A$2,"."&amp;H$2&amp;H$1&amp;"C"&amp;$A32)="N/A",0,RTD("tos.rtd",,$A$2,"."&amp;H$2&amp;H$1&amp;"C"&amp;$A32))-IF(RTD("tos.rtd",,$A$2,"."&amp;H$2&amp;H$1&amp;"P"&amp;$A32)="N/A",0,RTD("tos.rtd",,$A$2,"."&amp;H$2&amp;H$1&amp;"P"&amp;$A32)))))))))</f>
        <v>-9160</v>
      </c>
      <c r="I32" s="12">
        <f>IF($A$2="PREMIUM_OI",IFERROR((100*RTD("tos.rtd",,"OPEN_INT","."&amp;I$2&amp;I$1&amp;"C"&amp;$A32)*RTD("tos.rtd",,"LAST","."&amp;I$2&amp;I$1&amp;"C"&amp;$A32)-100*RTD("tos.rtd",,"OPEN_INT","."&amp;I$2&amp;I$1&amp;"P"&amp;$A32)*RTD("tos.rtd",,"LAST","."&amp;I$2&amp;I$1&amp;"P"&amp;$A32))/1000000,0),IF($A$2="PREMIUM",IFERROR((100*RTD("tos.rtd",,"VOLUME","."&amp;I$2&amp;I$1&amp;"C"&amp;$A32)*RTD("tos.rtd",,"LAST","."&amp;I$2&amp;I$1&amp;"C"&amp;$A32)-100*RTD("tos.rtd",,"VOLUME","."&amp;I$2&amp;I$1&amp;"P"&amp;$A32)*RTD("tos.rtd",,"LAST","."&amp;I$2&amp;I$1&amp;"P"&amp;$A32))/1000000,0),IF($A$2="DEX",IFERROR((100*RTD("tos.rtd",,"OPEN_INT","."&amp;I$2&amp;I$1&amp;"C"&amp;$A32)*RTD("tos.rtd",,"DELTA","."&amp;I$2&amp;I$1&amp;"C"&amp;$A32)-100*RTD("tos.rtd",,"OPEN_INT","."&amp;I$2&amp;I$1&amp;"P"&amp;$A32)*RTD("tos.rtd",,"DELTA","."&amp;I$2&amp;I$1&amp;"P"&amp;$A32))/1000,0),IF($A$2="VEX",IFERROR(($A$4*$A$4*RTD("tos.rtd",,"VOLUME","."&amp;I$2&amp;I$1&amp;"C"&amp;$A32)*RTD("tos.rtd",,"GAMMA","."&amp;I$2&amp;I$1&amp;"C"&amp;$A32)-$A$4*$A$4*RTD("tos.rtd",,"VOLUME","."&amp;I$2&amp;I$1&amp;"P"&amp;$A32)*RTD("tos.rtd",,"GAMMA","."&amp;I$2&amp;I$1&amp;"P"&amp;$A32))/1000000,0),IF($A$2="GEX",IFERROR(($A$4*$A$4*RTD("tos.rtd",,"OPEN_INT","."&amp;I$2&amp;I$1&amp;"C"&amp;$A32)*RTD("tos.rtd",,"GAMMA","."&amp;I$2&amp;I$1&amp;"C"&amp;$A32)-$A$4*$A$4*RTD("tos.rtd",,"OPEN_INT","."&amp;I$2&amp;I$1&amp;"P"&amp;$A32)*RTD("tos.rtd",,"GAMMA","."&amp;I$2&amp;I$1&amp;"P"&amp;$A32))/1000000,0),IF($A$2="SKEW",IFERROR(VALUE(IF(RTD("tos.rtd",,"IMPL_VOL","."&amp;I$2&amp;I$1&amp;"P"&amp;$A32)="N/A",0,RTD("tos.rtd",,"IMPL_VOL","."&amp;I$2&amp;I$1&amp;"P"&amp;$A32))),0)-IFERROR(VALUE(IF(RTD("tos.rtd",,"IMPL_VOL","."&amp;I$2&amp;I$1&amp;"C"&amp;$A32)="N/A",0,RTD("tos.rtd",,"IMPL_VOL","."&amp;I$2&amp;I$1&amp;"C"&amp;$A32))),0),IF($A$2="MAXPAIN",IF($A$4&gt;$A32,($A$4-$A32)*IF(RTD("tos.rtd",,"OPEN_INT","."&amp;I$2&amp;I$1&amp;"C"&amp;$A32)="N/A",0,RTD("tos.rtd",,"OPEN_INT","."&amp;I$2&amp;I$1&amp;"C"&amp;$A32)),0)+IF($A$4&lt;$A32,($A32-$A$4)*IF(RTD("tos.rtd",,"OPEN_INT","."&amp;I$2&amp;I$1&amp;"P"&amp;$A32)="N/A",0,RTD("tos.rtd",,"OPEN_INT","."&amp;I$2&amp;I$1&amp;"P"&amp;$A32)),0),IF(RTD("tos.rtd",,$A$2,"."&amp;I$2&amp;I$1&amp;"C"&amp;$A32)="N/A",0,RTD("tos.rtd",,$A$2,"."&amp;I$2&amp;I$1&amp;"C"&amp;$A32))-IF(RTD("tos.rtd",,$A$2,"."&amp;I$2&amp;I$1&amp;"P"&amp;$A32)="N/A",0,RTD("tos.rtd",,$A$2,"."&amp;I$2&amp;I$1&amp;"P"&amp;$A32)))))))))</f>
        <v>0</v>
      </c>
      <c r="J32" s="12">
        <f>IF($A$2="PREMIUM_OI",IFERROR((100*RTD("tos.rtd",,"OPEN_INT","."&amp;J$2&amp;J$1&amp;"C"&amp;$A32)*RTD("tos.rtd",,"LAST","."&amp;J$2&amp;J$1&amp;"C"&amp;$A32)-100*RTD("tos.rtd",,"OPEN_INT","."&amp;J$2&amp;J$1&amp;"P"&amp;$A32)*RTD("tos.rtd",,"LAST","."&amp;J$2&amp;J$1&amp;"P"&amp;$A32))/1000000,0),IF($A$2="PREMIUM",IFERROR((100*RTD("tos.rtd",,"VOLUME","."&amp;J$2&amp;J$1&amp;"C"&amp;$A32)*RTD("tos.rtd",,"LAST","."&amp;J$2&amp;J$1&amp;"C"&amp;$A32)-100*RTD("tos.rtd",,"VOLUME","."&amp;J$2&amp;J$1&amp;"P"&amp;$A32)*RTD("tos.rtd",,"LAST","."&amp;J$2&amp;J$1&amp;"P"&amp;$A32))/1000000,0),IF($A$2="DEX",IFERROR((100*RTD("tos.rtd",,"OPEN_INT","."&amp;J$2&amp;J$1&amp;"C"&amp;$A32)*RTD("tos.rtd",,"DELTA","."&amp;J$2&amp;J$1&amp;"C"&amp;$A32)-100*RTD("tos.rtd",,"OPEN_INT","."&amp;J$2&amp;J$1&amp;"P"&amp;$A32)*RTD("tos.rtd",,"DELTA","."&amp;J$2&amp;J$1&amp;"P"&amp;$A32))/1000,0),IF($A$2="VEX",IFERROR(($A$4*$A$4*RTD("tos.rtd",,"VOLUME","."&amp;J$2&amp;J$1&amp;"C"&amp;$A32)*RTD("tos.rtd",,"GAMMA","."&amp;J$2&amp;J$1&amp;"C"&amp;$A32)-$A$4*$A$4*RTD("tos.rtd",,"VOLUME","."&amp;J$2&amp;J$1&amp;"P"&amp;$A32)*RTD("tos.rtd",,"GAMMA","."&amp;J$2&amp;J$1&amp;"P"&amp;$A32))/1000000,0),IF($A$2="GEX",IFERROR(($A$4*$A$4*RTD("tos.rtd",,"OPEN_INT","."&amp;J$2&amp;J$1&amp;"C"&amp;$A32)*RTD("tos.rtd",,"GAMMA","."&amp;J$2&amp;J$1&amp;"C"&amp;$A32)-$A$4*$A$4*RTD("tos.rtd",,"OPEN_INT","."&amp;J$2&amp;J$1&amp;"P"&amp;$A32)*RTD("tos.rtd",,"GAMMA","."&amp;J$2&amp;J$1&amp;"P"&amp;$A32))/1000000,0),IF($A$2="SKEW",IFERROR(VALUE(IF(RTD("tos.rtd",,"IMPL_VOL","."&amp;J$2&amp;J$1&amp;"P"&amp;$A32)="N/A",0,RTD("tos.rtd",,"IMPL_VOL","."&amp;J$2&amp;J$1&amp;"P"&amp;$A32))),0)-IFERROR(VALUE(IF(RTD("tos.rtd",,"IMPL_VOL","."&amp;J$2&amp;J$1&amp;"C"&amp;$A32)="N/A",0,RTD("tos.rtd",,"IMPL_VOL","."&amp;J$2&amp;J$1&amp;"C"&amp;$A32))),0),IF($A$2="MAXPAIN",IF($A$4&gt;$A32,($A$4-$A32)*IF(RTD("tos.rtd",,"OPEN_INT","."&amp;J$2&amp;J$1&amp;"C"&amp;$A32)="N/A",0,RTD("tos.rtd",,"OPEN_INT","."&amp;J$2&amp;J$1&amp;"C"&amp;$A32)),0)+IF($A$4&lt;$A32,($A32-$A$4)*IF(RTD("tos.rtd",,"OPEN_INT","."&amp;J$2&amp;J$1&amp;"P"&amp;$A32)="N/A",0,RTD("tos.rtd",,"OPEN_INT","."&amp;J$2&amp;J$1&amp;"P"&amp;$A32)),0),IF(RTD("tos.rtd",,$A$2,"."&amp;J$2&amp;J$1&amp;"C"&amp;$A32)="N/A",0,RTD("tos.rtd",,$A$2,"."&amp;J$2&amp;J$1&amp;"C"&amp;$A32))-IF(RTD("tos.rtd",,$A$2,"."&amp;J$2&amp;J$1&amp;"P"&amp;$A32)="N/A",0,RTD("tos.rtd",,$A$2,"."&amp;J$2&amp;J$1&amp;"P"&amp;$A32)))))))))</f>
        <v>0</v>
      </c>
      <c r="K32" s="12">
        <f>IF($A$2="PREMIUM_OI",IFERROR((100*RTD("tos.rtd",,"OPEN_INT","."&amp;K$2&amp;K$1&amp;"C"&amp;$A32)*RTD("tos.rtd",,"LAST","."&amp;K$2&amp;K$1&amp;"C"&amp;$A32)-100*RTD("tos.rtd",,"OPEN_INT","."&amp;K$2&amp;K$1&amp;"P"&amp;$A32)*RTD("tos.rtd",,"LAST","."&amp;K$2&amp;K$1&amp;"P"&amp;$A32))/1000000,0),IF($A$2="PREMIUM",IFERROR((100*RTD("tos.rtd",,"VOLUME","."&amp;K$2&amp;K$1&amp;"C"&amp;$A32)*RTD("tos.rtd",,"LAST","."&amp;K$2&amp;K$1&amp;"C"&amp;$A32)-100*RTD("tos.rtd",,"VOLUME","."&amp;K$2&amp;K$1&amp;"P"&amp;$A32)*RTD("tos.rtd",,"LAST","."&amp;K$2&amp;K$1&amp;"P"&amp;$A32))/1000000,0),IF($A$2="DEX",IFERROR((100*RTD("tos.rtd",,"OPEN_INT","."&amp;K$2&amp;K$1&amp;"C"&amp;$A32)*RTD("tos.rtd",,"DELTA","."&amp;K$2&amp;K$1&amp;"C"&amp;$A32)-100*RTD("tos.rtd",,"OPEN_INT","."&amp;K$2&amp;K$1&amp;"P"&amp;$A32)*RTD("tos.rtd",,"DELTA","."&amp;K$2&amp;K$1&amp;"P"&amp;$A32))/1000,0),IF($A$2="VEX",IFERROR(($A$4*$A$4*RTD("tos.rtd",,"VOLUME","."&amp;K$2&amp;K$1&amp;"C"&amp;$A32)*RTD("tos.rtd",,"GAMMA","."&amp;K$2&amp;K$1&amp;"C"&amp;$A32)-$A$4*$A$4*RTD("tos.rtd",,"VOLUME","."&amp;K$2&amp;K$1&amp;"P"&amp;$A32)*RTD("tos.rtd",,"GAMMA","."&amp;K$2&amp;K$1&amp;"P"&amp;$A32))/1000000,0),IF($A$2="GEX",IFERROR(($A$4*$A$4*RTD("tos.rtd",,"OPEN_INT","."&amp;K$2&amp;K$1&amp;"C"&amp;$A32)*RTD("tos.rtd",,"GAMMA","."&amp;K$2&amp;K$1&amp;"C"&amp;$A32)-$A$4*$A$4*RTD("tos.rtd",,"OPEN_INT","."&amp;K$2&amp;K$1&amp;"P"&amp;$A32)*RTD("tos.rtd",,"GAMMA","."&amp;K$2&amp;K$1&amp;"P"&amp;$A32))/1000000,0),IF($A$2="SKEW",IFERROR(VALUE(IF(RTD("tos.rtd",,"IMPL_VOL","."&amp;K$2&amp;K$1&amp;"P"&amp;$A32)="N/A",0,RTD("tos.rtd",,"IMPL_VOL","."&amp;K$2&amp;K$1&amp;"P"&amp;$A32))),0)-IFERROR(VALUE(IF(RTD("tos.rtd",,"IMPL_VOL","."&amp;K$2&amp;K$1&amp;"C"&amp;$A32)="N/A",0,RTD("tos.rtd",,"IMPL_VOL","."&amp;K$2&amp;K$1&amp;"C"&amp;$A32))),0),IF($A$2="MAXPAIN",IF($A$4&gt;$A32,($A$4-$A32)*IF(RTD("tos.rtd",,"OPEN_INT","."&amp;K$2&amp;K$1&amp;"C"&amp;$A32)="N/A",0,RTD("tos.rtd",,"OPEN_INT","."&amp;K$2&amp;K$1&amp;"C"&amp;$A32)),0)+IF($A$4&lt;$A32,($A32-$A$4)*IF(RTD("tos.rtd",,"OPEN_INT","."&amp;K$2&amp;K$1&amp;"P"&amp;$A32)="N/A",0,RTD("tos.rtd",,"OPEN_INT","."&amp;K$2&amp;K$1&amp;"P"&amp;$A32)),0),IF(RTD("tos.rtd",,$A$2,"."&amp;K$2&amp;K$1&amp;"C"&amp;$A32)="N/A",0,RTD("tos.rtd",,$A$2,"."&amp;K$2&amp;K$1&amp;"C"&amp;$A32))-IF(RTD("tos.rtd",,$A$2,"."&amp;K$2&amp;K$1&amp;"P"&amp;$A32)="N/A",0,RTD("tos.rtd",,$A$2,"."&amp;K$2&amp;K$1&amp;"P"&amp;$A32)))))))))</f>
        <v>0</v>
      </c>
      <c r="L32" s="12">
        <f>IF($A$2="PREMIUM_OI",IFERROR((100*RTD("tos.rtd",,"OPEN_INT","."&amp;L$2&amp;L$1&amp;"C"&amp;$A32)*RTD("tos.rtd",,"LAST","."&amp;L$2&amp;L$1&amp;"C"&amp;$A32)-100*RTD("tos.rtd",,"OPEN_INT","."&amp;L$2&amp;L$1&amp;"P"&amp;$A32)*RTD("tos.rtd",,"LAST","."&amp;L$2&amp;L$1&amp;"P"&amp;$A32))/1000000,0),IF($A$2="PREMIUM",IFERROR((100*RTD("tos.rtd",,"VOLUME","."&amp;L$2&amp;L$1&amp;"C"&amp;$A32)*RTD("tos.rtd",,"LAST","."&amp;L$2&amp;L$1&amp;"C"&amp;$A32)-100*RTD("tos.rtd",,"VOLUME","."&amp;L$2&amp;L$1&amp;"P"&amp;$A32)*RTD("tos.rtd",,"LAST","."&amp;L$2&amp;L$1&amp;"P"&amp;$A32))/1000000,0),IF($A$2="DEX",IFERROR((100*RTD("tos.rtd",,"OPEN_INT","."&amp;L$2&amp;L$1&amp;"C"&amp;$A32)*RTD("tos.rtd",,"DELTA","."&amp;L$2&amp;L$1&amp;"C"&amp;$A32)-100*RTD("tos.rtd",,"OPEN_INT","."&amp;L$2&amp;L$1&amp;"P"&amp;$A32)*RTD("tos.rtd",,"DELTA","."&amp;L$2&amp;L$1&amp;"P"&amp;$A32))/1000,0),IF($A$2="VEX",IFERROR(($A$4*$A$4*RTD("tos.rtd",,"VOLUME","."&amp;L$2&amp;L$1&amp;"C"&amp;$A32)*RTD("tos.rtd",,"GAMMA","."&amp;L$2&amp;L$1&amp;"C"&amp;$A32)-$A$4*$A$4*RTD("tos.rtd",,"VOLUME","."&amp;L$2&amp;L$1&amp;"P"&amp;$A32)*RTD("tos.rtd",,"GAMMA","."&amp;L$2&amp;L$1&amp;"P"&amp;$A32))/1000000,0),IF($A$2="GEX",IFERROR(($A$4*$A$4*RTD("tos.rtd",,"OPEN_INT","."&amp;L$2&amp;L$1&amp;"C"&amp;$A32)*RTD("tos.rtd",,"GAMMA","."&amp;L$2&amp;L$1&amp;"C"&amp;$A32)-$A$4*$A$4*RTD("tos.rtd",,"OPEN_INT","."&amp;L$2&amp;L$1&amp;"P"&amp;$A32)*RTD("tos.rtd",,"GAMMA","."&amp;L$2&amp;L$1&amp;"P"&amp;$A32))/1000000,0),IF($A$2="SKEW",IFERROR(VALUE(IF(RTD("tos.rtd",,"IMPL_VOL","."&amp;L$2&amp;L$1&amp;"P"&amp;$A32)="N/A",0,RTD("tos.rtd",,"IMPL_VOL","."&amp;L$2&amp;L$1&amp;"P"&amp;$A32))),0)-IFERROR(VALUE(IF(RTD("tos.rtd",,"IMPL_VOL","."&amp;L$2&amp;L$1&amp;"C"&amp;$A32)="N/A",0,RTD("tos.rtd",,"IMPL_VOL","."&amp;L$2&amp;L$1&amp;"C"&amp;$A32))),0),IF($A$2="MAXPAIN",IF($A$4&gt;$A32,($A$4-$A32)*IF(RTD("tos.rtd",,"OPEN_INT","."&amp;L$2&amp;L$1&amp;"C"&amp;$A32)="N/A",0,RTD("tos.rtd",,"OPEN_INT","."&amp;L$2&amp;L$1&amp;"C"&amp;$A32)),0)+IF($A$4&lt;$A32,($A32-$A$4)*IF(RTD("tos.rtd",,"OPEN_INT","."&amp;L$2&amp;L$1&amp;"P"&amp;$A32)="N/A",0,RTD("tos.rtd",,"OPEN_INT","."&amp;L$2&amp;L$1&amp;"P"&amp;$A32)),0),IF(RTD("tos.rtd",,$A$2,"."&amp;L$2&amp;L$1&amp;"C"&amp;$A32)="N/A",0,RTD("tos.rtd",,$A$2,"."&amp;L$2&amp;L$1&amp;"C"&amp;$A32))-IF(RTD("tos.rtd",,$A$2,"."&amp;L$2&amp;L$1&amp;"P"&amp;$A32)="N/A",0,RTD("tos.rtd",,$A$2,"."&amp;L$2&amp;L$1&amp;"P"&amp;$A32)))))))))</f>
        <v>0</v>
      </c>
      <c r="M32" s="12">
        <f>IF($A$2="PREMIUM_OI",IFERROR((100*RTD("tos.rtd",,"OPEN_INT","."&amp;M$2&amp;M$1&amp;"C"&amp;$A32)*RTD("tos.rtd",,"LAST","."&amp;M$2&amp;M$1&amp;"C"&amp;$A32)-100*RTD("tos.rtd",,"OPEN_INT","."&amp;M$2&amp;M$1&amp;"P"&amp;$A32)*RTD("tos.rtd",,"LAST","."&amp;M$2&amp;M$1&amp;"P"&amp;$A32))/1000000,0),IF($A$2="PREMIUM",IFERROR((100*RTD("tos.rtd",,"VOLUME","."&amp;M$2&amp;M$1&amp;"C"&amp;$A32)*RTD("tos.rtd",,"LAST","."&amp;M$2&amp;M$1&amp;"C"&amp;$A32)-100*RTD("tos.rtd",,"VOLUME","."&amp;M$2&amp;M$1&amp;"P"&amp;$A32)*RTD("tos.rtd",,"LAST","."&amp;M$2&amp;M$1&amp;"P"&amp;$A32))/1000000,0),IF($A$2="DEX",IFERROR((100*RTD("tos.rtd",,"OPEN_INT","."&amp;M$2&amp;M$1&amp;"C"&amp;$A32)*RTD("tos.rtd",,"DELTA","."&amp;M$2&amp;M$1&amp;"C"&amp;$A32)-100*RTD("tos.rtd",,"OPEN_INT","."&amp;M$2&amp;M$1&amp;"P"&amp;$A32)*RTD("tos.rtd",,"DELTA","."&amp;M$2&amp;M$1&amp;"P"&amp;$A32))/1000,0),IF($A$2="VEX",IFERROR(($A$4*$A$4*RTD("tos.rtd",,"VOLUME","."&amp;M$2&amp;M$1&amp;"C"&amp;$A32)*RTD("tos.rtd",,"GAMMA","."&amp;M$2&amp;M$1&amp;"C"&amp;$A32)-$A$4*$A$4*RTD("tos.rtd",,"VOLUME","."&amp;M$2&amp;M$1&amp;"P"&amp;$A32)*RTD("tos.rtd",,"GAMMA","."&amp;M$2&amp;M$1&amp;"P"&amp;$A32))/1000000,0),IF($A$2="GEX",IFERROR(($A$4*$A$4*RTD("tos.rtd",,"OPEN_INT","."&amp;M$2&amp;M$1&amp;"C"&amp;$A32)*RTD("tos.rtd",,"GAMMA","."&amp;M$2&amp;M$1&amp;"C"&amp;$A32)-$A$4*$A$4*RTD("tos.rtd",,"OPEN_INT","."&amp;M$2&amp;M$1&amp;"P"&amp;$A32)*RTD("tos.rtd",,"GAMMA","."&amp;M$2&amp;M$1&amp;"P"&amp;$A32))/1000000,0),IF($A$2="SKEW",IFERROR(VALUE(IF(RTD("tos.rtd",,"IMPL_VOL","."&amp;M$2&amp;M$1&amp;"P"&amp;$A32)="N/A",0,RTD("tos.rtd",,"IMPL_VOL","."&amp;M$2&amp;M$1&amp;"P"&amp;$A32))),0)-IFERROR(VALUE(IF(RTD("tos.rtd",,"IMPL_VOL","."&amp;M$2&amp;M$1&amp;"C"&amp;$A32)="N/A",0,RTD("tos.rtd",,"IMPL_VOL","."&amp;M$2&amp;M$1&amp;"C"&amp;$A32))),0),IF($A$2="MAXPAIN",IF($A$4&gt;$A32,($A$4-$A32)*IF(RTD("tos.rtd",,"OPEN_INT","."&amp;M$2&amp;M$1&amp;"C"&amp;$A32)="N/A",0,RTD("tos.rtd",,"OPEN_INT","."&amp;M$2&amp;M$1&amp;"C"&amp;$A32)),0)+IF($A$4&lt;$A32,($A32-$A$4)*IF(RTD("tos.rtd",,"OPEN_INT","."&amp;M$2&amp;M$1&amp;"P"&amp;$A32)="N/A",0,RTD("tos.rtd",,"OPEN_INT","."&amp;M$2&amp;M$1&amp;"P"&amp;$A32)),0),IF(RTD("tos.rtd",,$A$2,"."&amp;M$2&amp;M$1&amp;"C"&amp;$A32)="N/A",0,RTD("tos.rtd",,$A$2,"."&amp;M$2&amp;M$1&amp;"C"&amp;$A32))-IF(RTD("tos.rtd",,$A$2,"."&amp;M$2&amp;M$1&amp;"P"&amp;$A32)="N/A",0,RTD("tos.rtd",,$A$2,"."&amp;M$2&amp;M$1&amp;"P"&amp;$A32)))))))))</f>
        <v>-25633</v>
      </c>
      <c r="N32" s="12">
        <f>IF($A$2="PREMIUM_OI",IFERROR((100*RTD("tos.rtd",,"OPEN_INT","."&amp;N$2&amp;N$1&amp;"C"&amp;$A32)*RTD("tos.rtd",,"LAST","."&amp;N$2&amp;N$1&amp;"C"&amp;$A32)-100*RTD("tos.rtd",,"OPEN_INT","."&amp;N$2&amp;N$1&amp;"P"&amp;$A32)*RTD("tos.rtd",,"LAST","."&amp;N$2&amp;N$1&amp;"P"&amp;$A32))/1000000,0),IF($A$2="PREMIUM",IFERROR((100*RTD("tos.rtd",,"VOLUME","."&amp;N$2&amp;N$1&amp;"C"&amp;$A32)*RTD("tos.rtd",,"LAST","."&amp;N$2&amp;N$1&amp;"C"&amp;$A32)-100*RTD("tos.rtd",,"VOLUME","."&amp;N$2&amp;N$1&amp;"P"&amp;$A32)*RTD("tos.rtd",,"LAST","."&amp;N$2&amp;N$1&amp;"P"&amp;$A32))/1000000,0),IF($A$2="DEX",IFERROR((100*RTD("tos.rtd",,"OPEN_INT","."&amp;N$2&amp;N$1&amp;"C"&amp;$A32)*RTD("tos.rtd",,"DELTA","."&amp;N$2&amp;N$1&amp;"C"&amp;$A32)-100*RTD("tos.rtd",,"OPEN_INT","."&amp;N$2&amp;N$1&amp;"P"&amp;$A32)*RTD("tos.rtd",,"DELTA","."&amp;N$2&amp;N$1&amp;"P"&amp;$A32))/1000,0),IF($A$2="VEX",IFERROR(($A$4*$A$4*RTD("tos.rtd",,"VOLUME","."&amp;N$2&amp;N$1&amp;"C"&amp;$A32)*RTD("tos.rtd",,"GAMMA","."&amp;N$2&amp;N$1&amp;"C"&amp;$A32)-$A$4*$A$4*RTD("tos.rtd",,"VOLUME","."&amp;N$2&amp;N$1&amp;"P"&amp;$A32)*RTD("tos.rtd",,"GAMMA","."&amp;N$2&amp;N$1&amp;"P"&amp;$A32))/1000000,0),IF($A$2="GEX",IFERROR(($A$4*$A$4*RTD("tos.rtd",,"OPEN_INT","."&amp;N$2&amp;N$1&amp;"C"&amp;$A32)*RTD("tos.rtd",,"GAMMA","."&amp;N$2&amp;N$1&amp;"C"&amp;$A32)-$A$4*$A$4*RTD("tos.rtd",,"OPEN_INT","."&amp;N$2&amp;N$1&amp;"P"&amp;$A32)*RTD("tos.rtd",,"GAMMA","."&amp;N$2&amp;N$1&amp;"P"&amp;$A32))/1000000,0),IF($A$2="SKEW",IFERROR(VALUE(IF(RTD("tos.rtd",,"IMPL_VOL","."&amp;N$2&amp;N$1&amp;"P"&amp;$A32)="N/A",0,RTD("tos.rtd",,"IMPL_VOL","."&amp;N$2&amp;N$1&amp;"P"&amp;$A32))),0)-IFERROR(VALUE(IF(RTD("tos.rtd",,"IMPL_VOL","."&amp;N$2&amp;N$1&amp;"C"&amp;$A32)="N/A",0,RTD("tos.rtd",,"IMPL_VOL","."&amp;N$2&amp;N$1&amp;"C"&amp;$A32))),0),IF($A$2="MAXPAIN",IF($A$4&gt;$A32,($A$4-$A32)*IF(RTD("tos.rtd",,"OPEN_INT","."&amp;N$2&amp;N$1&amp;"C"&amp;$A32)="N/A",0,RTD("tos.rtd",,"OPEN_INT","."&amp;N$2&amp;N$1&amp;"C"&amp;$A32)),0)+IF($A$4&lt;$A32,($A32-$A$4)*IF(RTD("tos.rtd",,"OPEN_INT","."&amp;N$2&amp;N$1&amp;"P"&amp;$A32)="N/A",0,RTD("tos.rtd",,"OPEN_INT","."&amp;N$2&amp;N$1&amp;"P"&amp;$A32)),0),IF(RTD("tos.rtd",,$A$2,"."&amp;N$2&amp;N$1&amp;"C"&amp;$A32)="N/A",0,RTD("tos.rtd",,$A$2,"."&amp;N$2&amp;N$1&amp;"C"&amp;$A32))-IF(RTD("tos.rtd",,$A$2,"."&amp;N$2&amp;N$1&amp;"P"&amp;$A32)="N/A",0,RTD("tos.rtd",,$A$2,"."&amp;N$2&amp;N$1&amp;"P"&amp;$A32)))))))))</f>
        <v>0</v>
      </c>
      <c r="O32" s="12">
        <f>IF($A$2="PREMIUM_OI",IFERROR((100*RTD("tos.rtd",,"OPEN_INT","."&amp;O$2&amp;O$1&amp;"C"&amp;$A32)*RTD("tos.rtd",,"LAST","."&amp;O$2&amp;O$1&amp;"C"&amp;$A32)-100*RTD("tos.rtd",,"OPEN_INT","."&amp;O$2&amp;O$1&amp;"P"&amp;$A32)*RTD("tos.rtd",,"LAST","."&amp;O$2&amp;O$1&amp;"P"&amp;$A32))/1000000,0),IF($A$2="PREMIUM",IFERROR((100*RTD("tos.rtd",,"VOLUME","."&amp;O$2&amp;O$1&amp;"C"&amp;$A32)*RTD("tos.rtd",,"LAST","."&amp;O$2&amp;O$1&amp;"C"&amp;$A32)-100*RTD("tos.rtd",,"VOLUME","."&amp;O$2&amp;O$1&amp;"P"&amp;$A32)*RTD("tos.rtd",,"LAST","."&amp;O$2&amp;O$1&amp;"P"&amp;$A32))/1000000,0),IF($A$2="DEX",IFERROR((100*RTD("tos.rtd",,"OPEN_INT","."&amp;O$2&amp;O$1&amp;"C"&amp;$A32)*RTD("tos.rtd",,"DELTA","."&amp;O$2&amp;O$1&amp;"C"&amp;$A32)-100*RTD("tos.rtd",,"OPEN_INT","."&amp;O$2&amp;O$1&amp;"P"&amp;$A32)*RTD("tos.rtd",,"DELTA","."&amp;O$2&amp;O$1&amp;"P"&amp;$A32))/1000,0),IF($A$2="VEX",IFERROR(($A$4*$A$4*RTD("tos.rtd",,"VOLUME","."&amp;O$2&amp;O$1&amp;"C"&amp;$A32)*RTD("tos.rtd",,"GAMMA","."&amp;O$2&amp;O$1&amp;"C"&amp;$A32)-$A$4*$A$4*RTD("tos.rtd",,"VOLUME","."&amp;O$2&amp;O$1&amp;"P"&amp;$A32)*RTD("tos.rtd",,"GAMMA","."&amp;O$2&amp;O$1&amp;"P"&amp;$A32))/1000000,0),IF($A$2="GEX",IFERROR(($A$4*$A$4*RTD("tos.rtd",,"OPEN_INT","."&amp;O$2&amp;O$1&amp;"C"&amp;$A32)*RTD("tos.rtd",,"GAMMA","."&amp;O$2&amp;O$1&amp;"C"&amp;$A32)-$A$4*$A$4*RTD("tos.rtd",,"OPEN_INT","."&amp;O$2&amp;O$1&amp;"P"&amp;$A32)*RTD("tos.rtd",,"GAMMA","."&amp;O$2&amp;O$1&amp;"P"&amp;$A32))/1000000,0),IF($A$2="SKEW",IFERROR(VALUE(IF(RTD("tos.rtd",,"IMPL_VOL","."&amp;O$2&amp;O$1&amp;"P"&amp;$A32)="N/A",0,RTD("tos.rtd",,"IMPL_VOL","."&amp;O$2&amp;O$1&amp;"P"&amp;$A32))),0)-IFERROR(VALUE(IF(RTD("tos.rtd",,"IMPL_VOL","."&amp;O$2&amp;O$1&amp;"C"&amp;$A32)="N/A",0,RTD("tos.rtd",,"IMPL_VOL","."&amp;O$2&amp;O$1&amp;"C"&amp;$A32))),0),IF($A$2="MAXPAIN",IF($A$4&gt;$A32,($A$4-$A32)*IF(RTD("tos.rtd",,"OPEN_INT","."&amp;O$2&amp;O$1&amp;"C"&amp;$A32)="N/A",0,RTD("tos.rtd",,"OPEN_INT","."&amp;O$2&amp;O$1&amp;"C"&amp;$A32)),0)+IF($A$4&lt;$A32,($A32-$A$4)*IF(RTD("tos.rtd",,"OPEN_INT","."&amp;O$2&amp;O$1&amp;"P"&amp;$A32)="N/A",0,RTD("tos.rtd",,"OPEN_INT","."&amp;O$2&amp;O$1&amp;"P"&amp;$A32)),0),IF(RTD("tos.rtd",,$A$2,"."&amp;O$2&amp;O$1&amp;"C"&amp;$A32)="N/A",0,RTD("tos.rtd",,$A$2,"."&amp;O$2&amp;O$1&amp;"C"&amp;$A32))-IF(RTD("tos.rtd",,$A$2,"."&amp;O$2&amp;O$1&amp;"P"&amp;$A32)="N/A",0,RTD("tos.rtd",,$A$2,"."&amp;O$2&amp;O$1&amp;"P"&amp;$A32)))))))))</f>
        <v>0</v>
      </c>
      <c r="P32" s="12">
        <f>IF($A$2="PREMIUM_OI",IFERROR((100*RTD("tos.rtd",,"OPEN_INT","."&amp;P$2&amp;P$1&amp;"C"&amp;$A32)*RTD("tos.rtd",,"LAST","."&amp;P$2&amp;P$1&amp;"C"&amp;$A32)-100*RTD("tos.rtd",,"OPEN_INT","."&amp;P$2&amp;P$1&amp;"P"&amp;$A32)*RTD("tos.rtd",,"LAST","."&amp;P$2&amp;P$1&amp;"P"&amp;$A32))/1000000,0),IF($A$2="PREMIUM",IFERROR((100*RTD("tos.rtd",,"VOLUME","."&amp;P$2&amp;P$1&amp;"C"&amp;$A32)*RTD("tos.rtd",,"LAST","."&amp;P$2&amp;P$1&amp;"C"&amp;$A32)-100*RTD("tos.rtd",,"VOLUME","."&amp;P$2&amp;P$1&amp;"P"&amp;$A32)*RTD("tos.rtd",,"LAST","."&amp;P$2&amp;P$1&amp;"P"&amp;$A32))/1000000,0),IF($A$2="DEX",IFERROR((100*RTD("tos.rtd",,"OPEN_INT","."&amp;P$2&amp;P$1&amp;"C"&amp;$A32)*RTD("tos.rtd",,"DELTA","."&amp;P$2&amp;P$1&amp;"C"&amp;$A32)-100*RTD("tos.rtd",,"OPEN_INT","."&amp;P$2&amp;P$1&amp;"P"&amp;$A32)*RTD("tos.rtd",,"DELTA","."&amp;P$2&amp;P$1&amp;"P"&amp;$A32))/1000,0),IF($A$2="VEX",IFERROR(($A$4*$A$4*RTD("tos.rtd",,"VOLUME","."&amp;P$2&amp;P$1&amp;"C"&amp;$A32)*RTD("tos.rtd",,"GAMMA","."&amp;P$2&amp;P$1&amp;"C"&amp;$A32)-$A$4*$A$4*RTD("tos.rtd",,"VOLUME","."&amp;P$2&amp;P$1&amp;"P"&amp;$A32)*RTD("tos.rtd",,"GAMMA","."&amp;P$2&amp;P$1&amp;"P"&amp;$A32))/1000000,0),IF($A$2="GEX",IFERROR(($A$4*$A$4*RTD("tos.rtd",,"OPEN_INT","."&amp;P$2&amp;P$1&amp;"C"&amp;$A32)*RTD("tos.rtd",,"GAMMA","."&amp;P$2&amp;P$1&amp;"C"&amp;$A32)-$A$4*$A$4*RTD("tos.rtd",,"OPEN_INT","."&amp;P$2&amp;P$1&amp;"P"&amp;$A32)*RTD("tos.rtd",,"GAMMA","."&amp;P$2&amp;P$1&amp;"P"&amp;$A32))/1000000,0),IF($A$2="SKEW",IFERROR(VALUE(IF(RTD("tos.rtd",,"IMPL_VOL","."&amp;P$2&amp;P$1&amp;"P"&amp;$A32)="N/A",0,RTD("tos.rtd",,"IMPL_VOL","."&amp;P$2&amp;P$1&amp;"P"&amp;$A32))),0)-IFERROR(VALUE(IF(RTD("tos.rtd",,"IMPL_VOL","."&amp;P$2&amp;P$1&amp;"C"&amp;$A32)="N/A",0,RTD("tos.rtd",,"IMPL_VOL","."&amp;P$2&amp;P$1&amp;"C"&amp;$A32))),0),IF($A$2="MAXPAIN",IF($A$4&gt;$A32,($A$4-$A32)*IF(RTD("tos.rtd",,"OPEN_INT","."&amp;P$2&amp;P$1&amp;"C"&amp;$A32)="N/A",0,RTD("tos.rtd",,"OPEN_INT","."&amp;P$2&amp;P$1&amp;"C"&amp;$A32)),0)+IF($A$4&lt;$A32,($A32-$A$4)*IF(RTD("tos.rtd",,"OPEN_INT","."&amp;P$2&amp;P$1&amp;"P"&amp;$A32)="N/A",0,RTD("tos.rtd",,"OPEN_INT","."&amp;P$2&amp;P$1&amp;"P"&amp;$A32)),0),IF(RTD("tos.rtd",,$A$2,"."&amp;P$2&amp;P$1&amp;"C"&amp;$A32)="N/A",0,RTD("tos.rtd",,$A$2,"."&amp;P$2&amp;P$1&amp;"C"&amp;$A32))-IF(RTD("tos.rtd",,$A$2,"."&amp;P$2&amp;P$1&amp;"P"&amp;$A32)="N/A",0,RTD("tos.rtd",,$A$2,"."&amp;P$2&amp;P$1&amp;"P"&amp;$A32)))))))))</f>
        <v>0</v>
      </c>
      <c r="Q32" s="12">
        <f>IF($A$2="PREMIUM_OI",IFERROR((100*RTD("tos.rtd",,"OPEN_INT","."&amp;Q$2&amp;Q$1&amp;"C"&amp;$A32)*RTD("tos.rtd",,"LAST","."&amp;Q$2&amp;Q$1&amp;"C"&amp;$A32)-100*RTD("tos.rtd",,"OPEN_INT","."&amp;Q$2&amp;Q$1&amp;"P"&amp;$A32)*RTD("tos.rtd",,"LAST","."&amp;Q$2&amp;Q$1&amp;"P"&amp;$A32))/1000000,0),IF($A$2="PREMIUM",IFERROR((100*RTD("tos.rtd",,"VOLUME","."&amp;Q$2&amp;Q$1&amp;"C"&amp;$A32)*RTD("tos.rtd",,"LAST","."&amp;Q$2&amp;Q$1&amp;"C"&amp;$A32)-100*RTD("tos.rtd",,"VOLUME","."&amp;Q$2&amp;Q$1&amp;"P"&amp;$A32)*RTD("tos.rtd",,"LAST","."&amp;Q$2&amp;Q$1&amp;"P"&amp;$A32))/1000000,0),IF($A$2="DEX",IFERROR((100*RTD("tos.rtd",,"OPEN_INT","."&amp;Q$2&amp;Q$1&amp;"C"&amp;$A32)*RTD("tos.rtd",,"DELTA","."&amp;Q$2&amp;Q$1&amp;"C"&amp;$A32)-100*RTD("tos.rtd",,"OPEN_INT","."&amp;Q$2&amp;Q$1&amp;"P"&amp;$A32)*RTD("tos.rtd",,"DELTA","."&amp;Q$2&amp;Q$1&amp;"P"&amp;$A32))/1000,0),IF($A$2="VEX",IFERROR(($A$4*$A$4*RTD("tos.rtd",,"VOLUME","."&amp;Q$2&amp;Q$1&amp;"C"&amp;$A32)*RTD("tos.rtd",,"GAMMA","."&amp;Q$2&amp;Q$1&amp;"C"&amp;$A32)-$A$4*$A$4*RTD("tos.rtd",,"VOLUME","."&amp;Q$2&amp;Q$1&amp;"P"&amp;$A32)*RTD("tos.rtd",,"GAMMA","."&amp;Q$2&amp;Q$1&amp;"P"&amp;$A32))/1000000,0),IF($A$2="GEX",IFERROR(($A$4*$A$4*RTD("tos.rtd",,"OPEN_INT","."&amp;Q$2&amp;Q$1&amp;"C"&amp;$A32)*RTD("tos.rtd",,"GAMMA","."&amp;Q$2&amp;Q$1&amp;"C"&amp;$A32)-$A$4*$A$4*RTD("tos.rtd",,"OPEN_INT","."&amp;Q$2&amp;Q$1&amp;"P"&amp;$A32)*RTD("tos.rtd",,"GAMMA","."&amp;Q$2&amp;Q$1&amp;"P"&amp;$A32))/1000000,0),IF($A$2="SKEW",IFERROR(VALUE(IF(RTD("tos.rtd",,"IMPL_VOL","."&amp;Q$2&amp;Q$1&amp;"P"&amp;$A32)="N/A",0,RTD("tos.rtd",,"IMPL_VOL","."&amp;Q$2&amp;Q$1&amp;"P"&amp;$A32))),0)-IFERROR(VALUE(IF(RTD("tos.rtd",,"IMPL_VOL","."&amp;Q$2&amp;Q$1&amp;"C"&amp;$A32)="N/A",0,RTD("tos.rtd",,"IMPL_VOL","."&amp;Q$2&amp;Q$1&amp;"C"&amp;$A32))),0),IF($A$2="MAXPAIN",IF($A$4&gt;$A32,($A$4-$A32)*IF(RTD("tos.rtd",,"OPEN_INT","."&amp;Q$2&amp;Q$1&amp;"C"&amp;$A32)="N/A",0,RTD("tos.rtd",,"OPEN_INT","."&amp;Q$2&amp;Q$1&amp;"C"&amp;$A32)),0)+IF($A$4&lt;$A32,($A32-$A$4)*IF(RTD("tos.rtd",,"OPEN_INT","."&amp;Q$2&amp;Q$1&amp;"P"&amp;$A32)="N/A",0,RTD("tos.rtd",,"OPEN_INT","."&amp;Q$2&amp;Q$1&amp;"P"&amp;$A32)),0),IF(RTD("tos.rtd",,$A$2,"."&amp;Q$2&amp;Q$1&amp;"C"&amp;$A32)="N/A",0,RTD("tos.rtd",,$A$2,"."&amp;Q$2&amp;Q$1&amp;"C"&amp;$A32))-IF(RTD("tos.rtd",,$A$2,"."&amp;Q$2&amp;Q$1&amp;"P"&amp;$A32)="N/A",0,RTD("tos.rtd",,$A$2,"."&amp;Q$2&amp;Q$1&amp;"P"&amp;$A32)))))))))</f>
        <v>0</v>
      </c>
      <c r="R32" s="12">
        <f>IF($A$2="PREMIUM_OI",IFERROR((100*RTD("tos.rtd",,"OPEN_INT","."&amp;R$2&amp;R$1&amp;"C"&amp;$A32)*RTD("tos.rtd",,"LAST","."&amp;R$2&amp;R$1&amp;"C"&amp;$A32)-100*RTD("tos.rtd",,"OPEN_INT","."&amp;R$2&amp;R$1&amp;"P"&amp;$A32)*RTD("tos.rtd",,"LAST","."&amp;R$2&amp;R$1&amp;"P"&amp;$A32))/1000000,0),IF($A$2="PREMIUM",IFERROR((100*RTD("tos.rtd",,"VOLUME","."&amp;R$2&amp;R$1&amp;"C"&amp;$A32)*RTD("tos.rtd",,"LAST","."&amp;R$2&amp;R$1&amp;"C"&amp;$A32)-100*RTD("tos.rtd",,"VOLUME","."&amp;R$2&amp;R$1&amp;"P"&amp;$A32)*RTD("tos.rtd",,"LAST","."&amp;R$2&amp;R$1&amp;"P"&amp;$A32))/1000000,0),IF($A$2="DEX",IFERROR((100*RTD("tos.rtd",,"OPEN_INT","."&amp;R$2&amp;R$1&amp;"C"&amp;$A32)*RTD("tos.rtd",,"DELTA","."&amp;R$2&amp;R$1&amp;"C"&amp;$A32)-100*RTD("tos.rtd",,"OPEN_INT","."&amp;R$2&amp;R$1&amp;"P"&amp;$A32)*RTD("tos.rtd",,"DELTA","."&amp;R$2&amp;R$1&amp;"P"&amp;$A32))/1000,0),IF($A$2="VEX",IFERROR(($A$4*$A$4*RTD("tos.rtd",,"VOLUME","."&amp;R$2&amp;R$1&amp;"C"&amp;$A32)*RTD("tos.rtd",,"GAMMA","."&amp;R$2&amp;R$1&amp;"C"&amp;$A32)-$A$4*$A$4*RTD("tos.rtd",,"VOLUME","."&amp;R$2&amp;R$1&amp;"P"&amp;$A32)*RTD("tos.rtd",,"GAMMA","."&amp;R$2&amp;R$1&amp;"P"&amp;$A32))/1000000,0),IF($A$2="GEX",IFERROR(($A$4*$A$4*RTD("tos.rtd",,"OPEN_INT","."&amp;R$2&amp;R$1&amp;"C"&amp;$A32)*RTD("tos.rtd",,"GAMMA","."&amp;R$2&amp;R$1&amp;"C"&amp;$A32)-$A$4*$A$4*RTD("tos.rtd",,"OPEN_INT","."&amp;R$2&amp;R$1&amp;"P"&amp;$A32)*RTD("tos.rtd",,"GAMMA","."&amp;R$2&amp;R$1&amp;"P"&amp;$A32))/1000000,0),IF($A$2="SKEW",IFERROR(VALUE(IF(RTD("tos.rtd",,"IMPL_VOL","."&amp;R$2&amp;R$1&amp;"P"&amp;$A32)="N/A",0,RTD("tos.rtd",,"IMPL_VOL","."&amp;R$2&amp;R$1&amp;"P"&amp;$A32))),0)-IFERROR(VALUE(IF(RTD("tos.rtd",,"IMPL_VOL","."&amp;R$2&amp;R$1&amp;"C"&amp;$A32)="N/A",0,RTD("tos.rtd",,"IMPL_VOL","."&amp;R$2&amp;R$1&amp;"C"&amp;$A32))),0),IF($A$2="MAXPAIN",IF($A$4&gt;$A32,($A$4-$A32)*IF(RTD("tos.rtd",,"OPEN_INT","."&amp;R$2&amp;R$1&amp;"C"&amp;$A32)="N/A",0,RTD("tos.rtd",,"OPEN_INT","."&amp;R$2&amp;R$1&amp;"C"&amp;$A32)),0)+IF($A$4&lt;$A32,($A32-$A$4)*IF(RTD("tos.rtd",,"OPEN_INT","."&amp;R$2&amp;R$1&amp;"P"&amp;$A32)="N/A",0,RTD("tos.rtd",,"OPEN_INT","."&amp;R$2&amp;R$1&amp;"P"&amp;$A32)),0),IF(RTD("tos.rtd",,$A$2,"."&amp;R$2&amp;R$1&amp;"C"&amp;$A32)="N/A",0,RTD("tos.rtd",,$A$2,"."&amp;R$2&amp;R$1&amp;"C"&amp;$A32))-IF(RTD("tos.rtd",,$A$2,"."&amp;R$2&amp;R$1&amp;"P"&amp;$A32)="N/A",0,RTD("tos.rtd",,$A$2,"."&amp;R$2&amp;R$1&amp;"P"&amp;$A32)))))))))</f>
        <v>-4501</v>
      </c>
      <c r="S32" s="12">
        <f>IF($A$2="PREMIUM_OI",IFERROR((100*RTD("tos.rtd",,"OPEN_INT","."&amp;S$2&amp;S$1&amp;"C"&amp;$A32)*RTD("tos.rtd",,"LAST","."&amp;S$2&amp;S$1&amp;"C"&amp;$A32)-100*RTD("tos.rtd",,"OPEN_INT","."&amp;S$2&amp;S$1&amp;"P"&amp;$A32)*RTD("tos.rtd",,"LAST","."&amp;S$2&amp;S$1&amp;"P"&amp;$A32))/1000000,0),IF($A$2="PREMIUM",IFERROR((100*RTD("tos.rtd",,"VOLUME","."&amp;S$2&amp;S$1&amp;"C"&amp;$A32)*RTD("tos.rtd",,"LAST","."&amp;S$2&amp;S$1&amp;"C"&amp;$A32)-100*RTD("tos.rtd",,"VOLUME","."&amp;S$2&amp;S$1&amp;"P"&amp;$A32)*RTD("tos.rtd",,"LAST","."&amp;S$2&amp;S$1&amp;"P"&amp;$A32))/1000000,0),IF($A$2="DEX",IFERROR((100*RTD("tos.rtd",,"OPEN_INT","."&amp;S$2&amp;S$1&amp;"C"&amp;$A32)*RTD("tos.rtd",,"DELTA","."&amp;S$2&amp;S$1&amp;"C"&amp;$A32)-100*RTD("tos.rtd",,"OPEN_INT","."&amp;S$2&amp;S$1&amp;"P"&amp;$A32)*RTD("tos.rtd",,"DELTA","."&amp;S$2&amp;S$1&amp;"P"&amp;$A32))/1000,0),IF($A$2="VEX",IFERROR(($A$4*$A$4*RTD("tos.rtd",,"VOLUME","."&amp;S$2&amp;S$1&amp;"C"&amp;$A32)*RTD("tos.rtd",,"GAMMA","."&amp;S$2&amp;S$1&amp;"C"&amp;$A32)-$A$4*$A$4*RTD("tos.rtd",,"VOLUME","."&amp;S$2&amp;S$1&amp;"P"&amp;$A32)*RTD("tos.rtd",,"GAMMA","."&amp;S$2&amp;S$1&amp;"P"&amp;$A32))/1000000,0),IF($A$2="GEX",IFERROR(($A$4*$A$4*RTD("tos.rtd",,"OPEN_INT","."&amp;S$2&amp;S$1&amp;"C"&amp;$A32)*RTD("tos.rtd",,"GAMMA","."&amp;S$2&amp;S$1&amp;"C"&amp;$A32)-$A$4*$A$4*RTD("tos.rtd",,"OPEN_INT","."&amp;S$2&amp;S$1&amp;"P"&amp;$A32)*RTD("tos.rtd",,"GAMMA","."&amp;S$2&amp;S$1&amp;"P"&amp;$A32))/1000000,0),IF($A$2="SKEW",IFERROR(VALUE(IF(RTD("tos.rtd",,"IMPL_VOL","."&amp;S$2&amp;S$1&amp;"P"&amp;$A32)="N/A",0,RTD("tos.rtd",,"IMPL_VOL","."&amp;S$2&amp;S$1&amp;"P"&amp;$A32))),0)-IFERROR(VALUE(IF(RTD("tos.rtd",,"IMPL_VOL","."&amp;S$2&amp;S$1&amp;"C"&amp;$A32)="N/A",0,RTD("tos.rtd",,"IMPL_VOL","."&amp;S$2&amp;S$1&amp;"C"&amp;$A32))),0),IF($A$2="MAXPAIN",IF($A$4&gt;$A32,($A$4-$A32)*IF(RTD("tos.rtd",,"OPEN_INT","."&amp;S$2&amp;S$1&amp;"C"&amp;$A32)="N/A",0,RTD("tos.rtd",,"OPEN_INT","."&amp;S$2&amp;S$1&amp;"C"&amp;$A32)),0)+IF($A$4&lt;$A32,($A32-$A$4)*IF(RTD("tos.rtd",,"OPEN_INT","."&amp;S$2&amp;S$1&amp;"P"&amp;$A32)="N/A",0,RTD("tos.rtd",,"OPEN_INT","."&amp;S$2&amp;S$1&amp;"P"&amp;$A32)),0),IF(RTD("tos.rtd",,$A$2,"."&amp;S$2&amp;S$1&amp;"C"&amp;$A32)="N/A",0,RTD("tos.rtd",,$A$2,"."&amp;S$2&amp;S$1&amp;"C"&amp;$A32))-IF(RTD("tos.rtd",,$A$2,"."&amp;S$2&amp;S$1&amp;"P"&amp;$A32)="N/A",0,RTD("tos.rtd",,$A$2,"."&amp;S$2&amp;S$1&amp;"P"&amp;$A32)))))))))</f>
        <v>-3186</v>
      </c>
      <c r="T32" s="12">
        <f>IF($A$2="PREMIUM_OI",IFERROR((100*RTD("tos.rtd",,"OPEN_INT","."&amp;T$2&amp;T$1&amp;"C"&amp;$A32)*RTD("tos.rtd",,"LAST","."&amp;T$2&amp;T$1&amp;"C"&amp;$A32)-100*RTD("tos.rtd",,"OPEN_INT","."&amp;T$2&amp;T$1&amp;"P"&amp;$A32)*RTD("tos.rtd",,"LAST","."&amp;T$2&amp;T$1&amp;"P"&amp;$A32))/1000000,0),IF($A$2="PREMIUM",IFERROR((100*RTD("tos.rtd",,"VOLUME","."&amp;T$2&amp;T$1&amp;"C"&amp;$A32)*RTD("tos.rtd",,"LAST","."&amp;T$2&amp;T$1&amp;"C"&amp;$A32)-100*RTD("tos.rtd",,"VOLUME","."&amp;T$2&amp;T$1&amp;"P"&amp;$A32)*RTD("tos.rtd",,"LAST","."&amp;T$2&amp;T$1&amp;"P"&amp;$A32))/1000000,0),IF($A$2="DEX",IFERROR((100*RTD("tos.rtd",,"OPEN_INT","."&amp;T$2&amp;T$1&amp;"C"&amp;$A32)*RTD("tos.rtd",,"DELTA","."&amp;T$2&amp;T$1&amp;"C"&amp;$A32)-100*RTD("tos.rtd",,"OPEN_INT","."&amp;T$2&amp;T$1&amp;"P"&amp;$A32)*RTD("tos.rtd",,"DELTA","."&amp;T$2&amp;T$1&amp;"P"&amp;$A32))/1000,0),IF($A$2="VEX",IFERROR(($A$4*$A$4*RTD("tos.rtd",,"VOLUME","."&amp;T$2&amp;T$1&amp;"C"&amp;$A32)*RTD("tos.rtd",,"GAMMA","."&amp;T$2&amp;T$1&amp;"C"&amp;$A32)-$A$4*$A$4*RTD("tos.rtd",,"VOLUME","."&amp;T$2&amp;T$1&amp;"P"&amp;$A32)*RTD("tos.rtd",,"GAMMA","."&amp;T$2&amp;T$1&amp;"P"&amp;$A32))/1000000,0),IF($A$2="GEX",IFERROR(($A$4*$A$4*RTD("tos.rtd",,"OPEN_INT","."&amp;T$2&amp;T$1&amp;"C"&amp;$A32)*RTD("tos.rtd",,"GAMMA","."&amp;T$2&amp;T$1&amp;"C"&amp;$A32)-$A$4*$A$4*RTD("tos.rtd",,"OPEN_INT","."&amp;T$2&amp;T$1&amp;"P"&amp;$A32)*RTD("tos.rtd",,"GAMMA","."&amp;T$2&amp;T$1&amp;"P"&amp;$A32))/1000000,0),IF($A$2="SKEW",IFERROR(VALUE(IF(RTD("tos.rtd",,"IMPL_VOL","."&amp;T$2&amp;T$1&amp;"P"&amp;$A32)="N/A",0,RTD("tos.rtd",,"IMPL_VOL","."&amp;T$2&amp;T$1&amp;"P"&amp;$A32))),0)-IFERROR(VALUE(IF(RTD("tos.rtd",,"IMPL_VOL","."&amp;T$2&amp;T$1&amp;"C"&amp;$A32)="N/A",0,RTD("tos.rtd",,"IMPL_VOL","."&amp;T$2&amp;T$1&amp;"C"&amp;$A32))),0),IF($A$2="MAXPAIN",IF($A$4&gt;$A32,($A$4-$A32)*IF(RTD("tos.rtd",,"OPEN_INT","."&amp;T$2&amp;T$1&amp;"C"&amp;$A32)="N/A",0,RTD("tos.rtd",,"OPEN_INT","."&amp;T$2&amp;T$1&amp;"C"&amp;$A32)),0)+IF($A$4&lt;$A32,($A32-$A$4)*IF(RTD("tos.rtd",,"OPEN_INT","."&amp;T$2&amp;T$1&amp;"P"&amp;$A32)="N/A",0,RTD("tos.rtd",,"OPEN_INT","."&amp;T$2&amp;T$1&amp;"P"&amp;$A32)),0),IF(RTD("tos.rtd",,$A$2,"."&amp;T$2&amp;T$1&amp;"C"&amp;$A32)="N/A",0,RTD("tos.rtd",,$A$2,"."&amp;T$2&amp;T$1&amp;"C"&amp;$A32))-IF(RTD("tos.rtd",,$A$2,"."&amp;T$2&amp;T$1&amp;"P"&amp;$A32)="N/A",0,RTD("tos.rtd",,$A$2,"."&amp;T$2&amp;T$1&amp;"P"&amp;$A32)))))))))</f>
        <v>-299</v>
      </c>
      <c r="U32" s="12">
        <f>IF($A$2="PREMIUM_OI",IFERROR((100*RTD("tos.rtd",,"OPEN_INT","."&amp;U$2&amp;U$1&amp;"C"&amp;$A32)*RTD("tos.rtd",,"LAST","."&amp;U$2&amp;U$1&amp;"C"&amp;$A32)-100*RTD("tos.rtd",,"OPEN_INT","."&amp;U$2&amp;U$1&amp;"P"&amp;$A32)*RTD("tos.rtd",,"LAST","."&amp;U$2&amp;U$1&amp;"P"&amp;$A32))/1000000,0),IF($A$2="PREMIUM",IFERROR((100*RTD("tos.rtd",,"VOLUME","."&amp;U$2&amp;U$1&amp;"C"&amp;$A32)*RTD("tos.rtd",,"LAST","."&amp;U$2&amp;U$1&amp;"C"&amp;$A32)-100*RTD("tos.rtd",,"VOLUME","."&amp;U$2&amp;U$1&amp;"P"&amp;$A32)*RTD("tos.rtd",,"LAST","."&amp;U$2&amp;U$1&amp;"P"&amp;$A32))/1000000,0),IF($A$2="DEX",IFERROR((100*RTD("tos.rtd",,"OPEN_INT","."&amp;U$2&amp;U$1&amp;"C"&amp;$A32)*RTD("tos.rtd",,"DELTA","."&amp;U$2&amp;U$1&amp;"C"&amp;$A32)-100*RTD("tos.rtd",,"OPEN_INT","."&amp;U$2&amp;U$1&amp;"P"&amp;$A32)*RTD("tos.rtd",,"DELTA","."&amp;U$2&amp;U$1&amp;"P"&amp;$A32))/1000,0),IF($A$2="VEX",IFERROR(($A$4*$A$4*RTD("tos.rtd",,"VOLUME","."&amp;U$2&amp;U$1&amp;"C"&amp;$A32)*RTD("tos.rtd",,"GAMMA","."&amp;U$2&amp;U$1&amp;"C"&amp;$A32)-$A$4*$A$4*RTD("tos.rtd",,"VOLUME","."&amp;U$2&amp;U$1&amp;"P"&amp;$A32)*RTD("tos.rtd",,"GAMMA","."&amp;U$2&amp;U$1&amp;"P"&amp;$A32))/1000000,0),IF($A$2="GEX",IFERROR(($A$4*$A$4*RTD("tos.rtd",,"OPEN_INT","."&amp;U$2&amp;U$1&amp;"C"&amp;$A32)*RTD("tos.rtd",,"GAMMA","."&amp;U$2&amp;U$1&amp;"C"&amp;$A32)-$A$4*$A$4*RTD("tos.rtd",,"OPEN_INT","."&amp;U$2&amp;U$1&amp;"P"&amp;$A32)*RTD("tos.rtd",,"GAMMA","."&amp;U$2&amp;U$1&amp;"P"&amp;$A32))/1000000,0),IF($A$2="SKEW",IFERROR(VALUE(IF(RTD("tos.rtd",,"IMPL_VOL","."&amp;U$2&amp;U$1&amp;"P"&amp;$A32)="N/A",0,RTD("tos.rtd",,"IMPL_VOL","."&amp;U$2&amp;U$1&amp;"P"&amp;$A32))),0)-IFERROR(VALUE(IF(RTD("tos.rtd",,"IMPL_VOL","."&amp;U$2&amp;U$1&amp;"C"&amp;$A32)="N/A",0,RTD("tos.rtd",,"IMPL_VOL","."&amp;U$2&amp;U$1&amp;"C"&amp;$A32))),0),IF($A$2="MAXPAIN",IF($A$4&gt;$A32,($A$4-$A32)*IF(RTD("tos.rtd",,"OPEN_INT","."&amp;U$2&amp;U$1&amp;"C"&amp;$A32)="N/A",0,RTD("tos.rtd",,"OPEN_INT","."&amp;U$2&amp;U$1&amp;"C"&amp;$A32)),0)+IF($A$4&lt;$A32,($A32-$A$4)*IF(RTD("tos.rtd",,"OPEN_INT","."&amp;U$2&amp;U$1&amp;"P"&amp;$A32)="N/A",0,RTD("tos.rtd",,"OPEN_INT","."&amp;U$2&amp;U$1&amp;"P"&amp;$A32)),0),IF(RTD("tos.rtd",,$A$2,"."&amp;U$2&amp;U$1&amp;"C"&amp;$A32)="N/A",0,RTD("tos.rtd",,$A$2,"."&amp;U$2&amp;U$1&amp;"C"&amp;$A32))-IF(RTD("tos.rtd",,$A$2,"."&amp;U$2&amp;U$1&amp;"P"&amp;$A32)="N/A",0,RTD("tos.rtd",,$A$2,"."&amp;U$2&amp;U$1&amp;"P"&amp;$A32)))))))))</f>
        <v>6091</v>
      </c>
      <c r="V32" s="12">
        <f>IF($A$2="PREMIUM_OI",IFERROR((100*RTD("tos.rtd",,"OPEN_INT","."&amp;V$2&amp;V$1&amp;"C"&amp;$A32)*RTD("tos.rtd",,"LAST","."&amp;V$2&amp;V$1&amp;"C"&amp;$A32)-100*RTD("tos.rtd",,"OPEN_INT","."&amp;V$2&amp;V$1&amp;"P"&amp;$A32)*RTD("tos.rtd",,"LAST","."&amp;V$2&amp;V$1&amp;"P"&amp;$A32))/1000000,0),IF($A$2="PREMIUM",IFERROR((100*RTD("tos.rtd",,"VOLUME","."&amp;V$2&amp;V$1&amp;"C"&amp;$A32)*RTD("tos.rtd",,"LAST","."&amp;V$2&amp;V$1&amp;"C"&amp;$A32)-100*RTD("tos.rtd",,"VOLUME","."&amp;V$2&amp;V$1&amp;"P"&amp;$A32)*RTD("tos.rtd",,"LAST","."&amp;V$2&amp;V$1&amp;"P"&amp;$A32))/1000000,0),IF($A$2="DEX",IFERROR((100*RTD("tos.rtd",,"OPEN_INT","."&amp;V$2&amp;V$1&amp;"C"&amp;$A32)*RTD("tos.rtd",,"DELTA","."&amp;V$2&amp;V$1&amp;"C"&amp;$A32)-100*RTD("tos.rtd",,"OPEN_INT","."&amp;V$2&amp;V$1&amp;"P"&amp;$A32)*RTD("tos.rtd",,"DELTA","."&amp;V$2&amp;V$1&amp;"P"&amp;$A32))/1000,0),IF($A$2="VEX",IFERROR(($A$4*$A$4*RTD("tos.rtd",,"VOLUME","."&amp;V$2&amp;V$1&amp;"C"&amp;$A32)*RTD("tos.rtd",,"GAMMA","."&amp;V$2&amp;V$1&amp;"C"&amp;$A32)-$A$4*$A$4*RTD("tos.rtd",,"VOLUME","."&amp;V$2&amp;V$1&amp;"P"&amp;$A32)*RTD("tos.rtd",,"GAMMA","."&amp;V$2&amp;V$1&amp;"P"&amp;$A32))/1000000,0),IF($A$2="GEX",IFERROR(($A$4*$A$4*RTD("tos.rtd",,"OPEN_INT","."&amp;V$2&amp;V$1&amp;"C"&amp;$A32)*RTD("tos.rtd",,"GAMMA","."&amp;V$2&amp;V$1&amp;"C"&amp;$A32)-$A$4*$A$4*RTD("tos.rtd",,"OPEN_INT","."&amp;V$2&amp;V$1&amp;"P"&amp;$A32)*RTD("tos.rtd",,"GAMMA","."&amp;V$2&amp;V$1&amp;"P"&amp;$A32))/1000000,0),IF($A$2="SKEW",IFERROR(VALUE(IF(RTD("tos.rtd",,"IMPL_VOL","."&amp;V$2&amp;V$1&amp;"P"&amp;$A32)="N/A",0,RTD("tos.rtd",,"IMPL_VOL","."&amp;V$2&amp;V$1&amp;"P"&amp;$A32))),0)-IFERROR(VALUE(IF(RTD("tos.rtd",,"IMPL_VOL","."&amp;V$2&amp;V$1&amp;"C"&amp;$A32)="N/A",0,RTD("tos.rtd",,"IMPL_VOL","."&amp;V$2&amp;V$1&amp;"C"&amp;$A32))),0),IF($A$2="MAXPAIN",IF($A$4&gt;$A32,($A$4-$A32)*IF(RTD("tos.rtd",,"OPEN_INT","."&amp;V$2&amp;V$1&amp;"C"&amp;$A32)="N/A",0,RTD("tos.rtd",,"OPEN_INT","."&amp;V$2&amp;V$1&amp;"C"&amp;$A32)),0)+IF($A$4&lt;$A32,($A32-$A$4)*IF(RTD("tos.rtd",,"OPEN_INT","."&amp;V$2&amp;V$1&amp;"P"&amp;$A32)="N/A",0,RTD("tos.rtd",,"OPEN_INT","."&amp;V$2&amp;V$1&amp;"P"&amp;$A32)),0),IF(RTD("tos.rtd",,$A$2,"."&amp;V$2&amp;V$1&amp;"C"&amp;$A32)="N/A",0,RTD("tos.rtd",,$A$2,"."&amp;V$2&amp;V$1&amp;"C"&amp;$A32))-IF(RTD("tos.rtd",,$A$2,"."&amp;V$2&amp;V$1&amp;"P"&amp;$A32)="N/A",0,RTD("tos.rtd",,$A$2,"."&amp;V$2&amp;V$1&amp;"P"&amp;$A32)))))))))</f>
        <v>0</v>
      </c>
      <c r="W32" s="12">
        <f>IF($A$2="PREMIUM_OI",IFERROR((100*RTD("tos.rtd",,"OPEN_INT","."&amp;W$2&amp;W$1&amp;"C"&amp;$A32)*RTD("tos.rtd",,"LAST","."&amp;W$2&amp;W$1&amp;"C"&amp;$A32)-100*RTD("tos.rtd",,"OPEN_INT","."&amp;W$2&amp;W$1&amp;"P"&amp;$A32)*RTD("tos.rtd",,"LAST","."&amp;W$2&amp;W$1&amp;"P"&amp;$A32))/1000000,0),IF($A$2="PREMIUM",IFERROR((100*RTD("tos.rtd",,"VOLUME","."&amp;W$2&amp;W$1&amp;"C"&amp;$A32)*RTD("tos.rtd",,"LAST","."&amp;W$2&amp;W$1&amp;"C"&amp;$A32)-100*RTD("tos.rtd",,"VOLUME","."&amp;W$2&amp;W$1&amp;"P"&amp;$A32)*RTD("tos.rtd",,"LAST","."&amp;W$2&amp;W$1&amp;"P"&amp;$A32))/1000000,0),IF($A$2="DEX",IFERROR((100*RTD("tos.rtd",,"OPEN_INT","."&amp;W$2&amp;W$1&amp;"C"&amp;$A32)*RTD("tos.rtd",,"DELTA","."&amp;W$2&amp;W$1&amp;"C"&amp;$A32)-100*RTD("tos.rtd",,"OPEN_INT","."&amp;W$2&amp;W$1&amp;"P"&amp;$A32)*RTD("tos.rtd",,"DELTA","."&amp;W$2&amp;W$1&amp;"P"&amp;$A32))/1000,0),IF($A$2="VEX",IFERROR(($A$4*$A$4*RTD("tos.rtd",,"VOLUME","."&amp;W$2&amp;W$1&amp;"C"&amp;$A32)*RTD("tos.rtd",,"GAMMA","."&amp;W$2&amp;W$1&amp;"C"&amp;$A32)-$A$4*$A$4*RTD("tos.rtd",,"VOLUME","."&amp;W$2&amp;W$1&amp;"P"&amp;$A32)*RTD("tos.rtd",,"GAMMA","."&amp;W$2&amp;W$1&amp;"P"&amp;$A32))/1000000,0),IF($A$2="GEX",IFERROR(($A$4*$A$4*RTD("tos.rtd",,"OPEN_INT","."&amp;W$2&amp;W$1&amp;"C"&amp;$A32)*RTD("tos.rtd",,"GAMMA","."&amp;W$2&amp;W$1&amp;"C"&amp;$A32)-$A$4*$A$4*RTD("tos.rtd",,"OPEN_INT","."&amp;W$2&amp;W$1&amp;"P"&amp;$A32)*RTD("tos.rtd",,"GAMMA","."&amp;W$2&amp;W$1&amp;"P"&amp;$A32))/1000000,0),IF($A$2="SKEW",IFERROR(VALUE(IF(RTD("tos.rtd",,"IMPL_VOL","."&amp;W$2&amp;W$1&amp;"P"&amp;$A32)="N/A",0,RTD("tos.rtd",,"IMPL_VOL","."&amp;W$2&amp;W$1&amp;"P"&amp;$A32))),0)-IFERROR(VALUE(IF(RTD("tos.rtd",,"IMPL_VOL","."&amp;W$2&amp;W$1&amp;"C"&amp;$A32)="N/A",0,RTD("tos.rtd",,"IMPL_VOL","."&amp;W$2&amp;W$1&amp;"C"&amp;$A32))),0),IF($A$2="MAXPAIN",IF($A$4&gt;$A32,($A$4-$A32)*IF(RTD("tos.rtd",,"OPEN_INT","."&amp;W$2&amp;W$1&amp;"C"&amp;$A32)="N/A",0,RTD("tos.rtd",,"OPEN_INT","."&amp;W$2&amp;W$1&amp;"C"&amp;$A32)),0)+IF($A$4&lt;$A32,($A32-$A$4)*IF(RTD("tos.rtd",,"OPEN_INT","."&amp;W$2&amp;W$1&amp;"P"&amp;$A32)="N/A",0,RTD("tos.rtd",,"OPEN_INT","."&amp;W$2&amp;W$1&amp;"P"&amp;$A32)),0),IF(RTD("tos.rtd",,$A$2,"."&amp;W$2&amp;W$1&amp;"C"&amp;$A32)="N/A",0,RTD("tos.rtd",,$A$2,"."&amp;W$2&amp;W$1&amp;"C"&amp;$A32))-IF(RTD("tos.rtd",,$A$2,"."&amp;W$2&amp;W$1&amp;"P"&amp;$A32)="N/A",0,RTD("tos.rtd",,$A$2,"."&amp;W$2&amp;W$1&amp;"P"&amp;$A32)))))))))</f>
        <v>4669</v>
      </c>
      <c r="X32" s="12">
        <f t="shared" ca="1" si="7"/>
        <v>7275</v>
      </c>
      <c r="Y32" s="27">
        <f t="shared" ca="1" si="8"/>
        <v>7275</v>
      </c>
      <c r="AA32" s="35">
        <f>+IF($AJ$1,AJ32,TASTYOHLC!A32)</f>
        <v>0</v>
      </c>
      <c r="AB32" s="8">
        <f>+IF($AJ$1,AK32,TASTYOHLC!B32)</f>
        <v>0</v>
      </c>
      <c r="AC32" s="8">
        <f>+IF($AJ$1,AL32,TASTYOHLC!C32)</f>
        <v>0</v>
      </c>
      <c r="AD32" s="8">
        <f>+IF($AJ$1,AM32,TASTYOHLC!D32)</f>
        <v>0</v>
      </c>
      <c r="AE32" s="8">
        <f>+IF($AJ$1,AN32,TASTYOHLC!E32)</f>
        <v>0</v>
      </c>
      <c r="AF32" s="8"/>
      <c r="AJ32" s="37"/>
    </row>
    <row r="33" spans="1:36" s="19" customFormat="1" ht="11.1" customHeight="1" thickBot="1" x14ac:dyDescent="0.3">
      <c r="A33" s="23">
        <f t="shared" si="13"/>
        <v>5.5</v>
      </c>
      <c r="B33" s="14">
        <f>IF($A$2="PREMIUM_OI",IFERROR((100*RTD("tos.rtd",,"OPEN_INT","."&amp;B$2&amp;B$1&amp;"C"&amp;$A33)*RTD("tos.rtd",,"LAST","."&amp;B$2&amp;B$1&amp;"C"&amp;$A33)-100*RTD("tos.rtd",,"OPEN_INT","."&amp;B$2&amp;B$1&amp;"P"&amp;$A33)*RTD("tos.rtd",,"LAST","."&amp;B$2&amp;B$1&amp;"P"&amp;$A33))/1000000,0),IF($A$2="PREMIUM",IFERROR((100*RTD("tos.rtd",,"VOLUME","."&amp;B$2&amp;B$1&amp;"C"&amp;$A33)*RTD("tos.rtd",,"LAST","."&amp;B$2&amp;B$1&amp;"C"&amp;$A33)-100*RTD("tos.rtd",,"VOLUME","."&amp;B$2&amp;B$1&amp;"P"&amp;$A33)*RTD("tos.rtd",,"LAST","."&amp;B$2&amp;B$1&amp;"P"&amp;$A33))/1000000,0),IF($A$2="DEX",IFERROR((100*RTD("tos.rtd",,"OPEN_INT","."&amp;B$2&amp;B$1&amp;"C"&amp;$A33)*RTD("tos.rtd",,"DELTA","."&amp;B$2&amp;B$1&amp;"C"&amp;$A33)-100*RTD("tos.rtd",,"OPEN_INT","."&amp;B$2&amp;B$1&amp;"P"&amp;$A33)*RTD("tos.rtd",,"DELTA","."&amp;B$2&amp;B$1&amp;"P"&amp;$A33))/1000,0),IF($A$2="VEX",IFERROR(($A$4*$A$4*RTD("tos.rtd",,"VOLUME","."&amp;B$2&amp;B$1&amp;"C"&amp;$A33)*RTD("tos.rtd",,"GAMMA","."&amp;B$2&amp;B$1&amp;"C"&amp;$A33)-$A$4*$A$4*RTD("tos.rtd",,"VOLUME","."&amp;B$2&amp;B$1&amp;"P"&amp;$A33)*RTD("tos.rtd",,"GAMMA","."&amp;B$2&amp;B$1&amp;"P"&amp;$A33))/1000000,0),IF($A$2="GEX",IFERROR(($A$4*$A$4*RTD("tos.rtd",,"OPEN_INT","."&amp;B$2&amp;B$1&amp;"C"&amp;$A33)*RTD("tos.rtd",,"GAMMA","."&amp;B$2&amp;B$1&amp;"C"&amp;$A33)-$A$4*$A$4*RTD("tos.rtd",,"OPEN_INT","."&amp;B$2&amp;B$1&amp;"P"&amp;$A33)*RTD("tos.rtd",,"GAMMA","."&amp;B$2&amp;B$1&amp;"P"&amp;$A33))/1000000,0),IF($A$2="SKEW",IFERROR(VALUE(IF(RTD("tos.rtd",,"IMPL_VOL","."&amp;B$2&amp;B$1&amp;"P"&amp;$A33)="N/A",0,RTD("tos.rtd",,"IMPL_VOL","."&amp;B$2&amp;B$1&amp;"P"&amp;$A33))),0)-IFERROR(VALUE(IF(RTD("tos.rtd",,"IMPL_VOL","."&amp;B$2&amp;B$1&amp;"C"&amp;$A33)="N/A",0,RTD("tos.rtd",,"IMPL_VOL","."&amp;B$2&amp;B$1&amp;"C"&amp;$A33))),0),IF($A$2="MAXPAIN",IF($A$4&gt;$A33,($A$4-$A33)*IF(RTD("tos.rtd",,"OPEN_INT","."&amp;B$2&amp;B$1&amp;"C"&amp;$A33)="N/A",0,RTD("tos.rtd",,"OPEN_INT","."&amp;B$2&amp;B$1&amp;"C"&amp;$A33)),0)+IF($A$4&lt;$A33,($A33-$A$4)*IF(RTD("tos.rtd",,"OPEN_INT","."&amp;B$2&amp;B$1&amp;"P"&amp;$A33)="N/A",0,RTD("tos.rtd",,"OPEN_INT","."&amp;B$2&amp;B$1&amp;"P"&amp;$A33)),0),IF(RTD("tos.rtd",,$A$2,"."&amp;B$2&amp;B$1&amp;"C"&amp;$A33)="N/A",0,RTD("tos.rtd",,$A$2,"."&amp;B$2&amp;B$1&amp;"C"&amp;$A33))-IF(RTD("tos.rtd",,$A$2,"."&amp;B$2&amp;B$1&amp;"P"&amp;$A33)="N/A",0,RTD("tos.rtd",,$A$2,"."&amp;B$2&amp;B$1&amp;"P"&amp;$A33)))))))))</f>
        <v>0</v>
      </c>
      <c r="C33" s="12">
        <f>IF($A$2="PREMIUM_OI",IFERROR((100*RTD("tos.rtd",,"OPEN_INT","."&amp;C$2&amp;C$1&amp;"C"&amp;$A33)*RTD("tos.rtd",,"LAST","."&amp;C$2&amp;C$1&amp;"C"&amp;$A33)-100*RTD("tos.rtd",,"OPEN_INT","."&amp;C$2&amp;C$1&amp;"P"&amp;$A33)*RTD("tos.rtd",,"LAST","."&amp;C$2&amp;C$1&amp;"P"&amp;$A33))/1000000,0),IF($A$2="PREMIUM",IFERROR((100*RTD("tos.rtd",,"VOLUME","."&amp;C$2&amp;C$1&amp;"C"&amp;$A33)*RTD("tos.rtd",,"LAST","."&amp;C$2&amp;C$1&amp;"C"&amp;$A33)-100*RTD("tos.rtd",,"VOLUME","."&amp;C$2&amp;C$1&amp;"P"&amp;$A33)*RTD("tos.rtd",,"LAST","."&amp;C$2&amp;C$1&amp;"P"&amp;$A33))/1000000,0),IF($A$2="DEX",IFERROR((100*RTD("tos.rtd",,"OPEN_INT","."&amp;C$2&amp;C$1&amp;"C"&amp;$A33)*RTD("tos.rtd",,"DELTA","."&amp;C$2&amp;C$1&amp;"C"&amp;$A33)-100*RTD("tos.rtd",,"OPEN_INT","."&amp;C$2&amp;C$1&amp;"P"&amp;$A33)*RTD("tos.rtd",,"DELTA","."&amp;C$2&amp;C$1&amp;"P"&amp;$A33))/1000,0),IF($A$2="VEX",IFERROR(($A$4*$A$4*RTD("tos.rtd",,"VOLUME","."&amp;C$2&amp;C$1&amp;"C"&amp;$A33)*RTD("tos.rtd",,"GAMMA","."&amp;C$2&amp;C$1&amp;"C"&amp;$A33)-$A$4*$A$4*RTD("tos.rtd",,"VOLUME","."&amp;C$2&amp;C$1&amp;"P"&amp;$A33)*RTD("tos.rtd",,"GAMMA","."&amp;C$2&amp;C$1&amp;"P"&amp;$A33))/1000000,0),IF($A$2="GEX",IFERROR(($A$4*$A$4*RTD("tos.rtd",,"OPEN_INT","."&amp;C$2&amp;C$1&amp;"C"&amp;$A33)*RTD("tos.rtd",,"GAMMA","."&amp;C$2&amp;C$1&amp;"C"&amp;$A33)-$A$4*$A$4*RTD("tos.rtd",,"OPEN_INT","."&amp;C$2&amp;C$1&amp;"P"&amp;$A33)*RTD("tos.rtd",,"GAMMA","."&amp;C$2&amp;C$1&amp;"P"&amp;$A33))/1000000,0),IF($A$2="SKEW",IFERROR(VALUE(IF(RTD("tos.rtd",,"IMPL_VOL","."&amp;C$2&amp;C$1&amp;"P"&amp;$A33)="N/A",0,RTD("tos.rtd",,"IMPL_VOL","."&amp;C$2&amp;C$1&amp;"P"&amp;$A33))),0)-IFERROR(VALUE(IF(RTD("tos.rtd",,"IMPL_VOL","."&amp;C$2&amp;C$1&amp;"C"&amp;$A33)="N/A",0,RTD("tos.rtd",,"IMPL_VOL","."&amp;C$2&amp;C$1&amp;"C"&amp;$A33))),0),IF($A$2="MAXPAIN",IF($A$4&gt;$A33,($A$4-$A33)*IF(RTD("tos.rtd",,"OPEN_INT","."&amp;C$2&amp;C$1&amp;"C"&amp;$A33)="N/A",0,RTD("tos.rtd",,"OPEN_INT","."&amp;C$2&amp;C$1&amp;"C"&amp;$A33)),0)+IF($A$4&lt;$A33,($A33-$A$4)*IF(RTD("tos.rtd",,"OPEN_INT","."&amp;C$2&amp;C$1&amp;"P"&amp;$A33)="N/A",0,RTD("tos.rtd",,"OPEN_INT","."&amp;C$2&amp;C$1&amp;"P"&amp;$A33)),0),IF(RTD("tos.rtd",,$A$2,"."&amp;C$2&amp;C$1&amp;"C"&amp;$A33)="N/A",0,RTD("tos.rtd",,$A$2,"."&amp;C$2&amp;C$1&amp;"C"&amp;$A33))-IF(RTD("tos.rtd",,$A$2,"."&amp;C$2&amp;C$1&amp;"P"&amp;$A33)="N/A",0,RTD("tos.rtd",,$A$2,"."&amp;C$2&amp;C$1&amp;"P"&amp;$A33)))))))))</f>
        <v>-1975</v>
      </c>
      <c r="D33" s="12">
        <f>IF($A$2="PREMIUM_OI",IFERROR((100*RTD("tos.rtd",,"OPEN_INT","."&amp;D$2&amp;D$1&amp;"C"&amp;$A33)*RTD("tos.rtd",,"LAST","."&amp;D$2&amp;D$1&amp;"C"&amp;$A33)-100*RTD("tos.rtd",,"OPEN_INT","."&amp;D$2&amp;D$1&amp;"P"&amp;$A33)*RTD("tos.rtd",,"LAST","."&amp;D$2&amp;D$1&amp;"P"&amp;$A33))/1000000,0),IF($A$2="PREMIUM",IFERROR((100*RTD("tos.rtd",,"VOLUME","."&amp;D$2&amp;D$1&amp;"C"&amp;$A33)*RTD("tos.rtd",,"LAST","."&amp;D$2&amp;D$1&amp;"C"&amp;$A33)-100*RTD("tos.rtd",,"VOLUME","."&amp;D$2&amp;D$1&amp;"P"&amp;$A33)*RTD("tos.rtd",,"LAST","."&amp;D$2&amp;D$1&amp;"P"&amp;$A33))/1000000,0),IF($A$2="DEX",IFERROR((100*RTD("tos.rtd",,"OPEN_INT","."&amp;D$2&amp;D$1&amp;"C"&amp;$A33)*RTD("tos.rtd",,"DELTA","."&amp;D$2&amp;D$1&amp;"C"&amp;$A33)-100*RTD("tos.rtd",,"OPEN_INT","."&amp;D$2&amp;D$1&amp;"P"&amp;$A33)*RTD("tos.rtd",,"DELTA","."&amp;D$2&amp;D$1&amp;"P"&amp;$A33))/1000,0),IF($A$2="VEX",IFERROR(($A$4*$A$4*RTD("tos.rtd",,"VOLUME","."&amp;D$2&amp;D$1&amp;"C"&amp;$A33)*RTD("tos.rtd",,"GAMMA","."&amp;D$2&amp;D$1&amp;"C"&amp;$A33)-$A$4*$A$4*RTD("tos.rtd",,"VOLUME","."&amp;D$2&amp;D$1&amp;"P"&amp;$A33)*RTD("tos.rtd",,"GAMMA","."&amp;D$2&amp;D$1&amp;"P"&amp;$A33))/1000000,0),IF($A$2="GEX",IFERROR(($A$4*$A$4*RTD("tos.rtd",,"OPEN_INT","."&amp;D$2&amp;D$1&amp;"C"&amp;$A33)*RTD("tos.rtd",,"GAMMA","."&amp;D$2&amp;D$1&amp;"C"&amp;$A33)-$A$4*$A$4*RTD("tos.rtd",,"OPEN_INT","."&amp;D$2&amp;D$1&amp;"P"&amp;$A33)*RTD("tos.rtd",,"GAMMA","."&amp;D$2&amp;D$1&amp;"P"&amp;$A33))/1000000,0),IF($A$2="SKEW",IFERROR(VALUE(IF(RTD("tos.rtd",,"IMPL_VOL","."&amp;D$2&amp;D$1&amp;"P"&amp;$A33)="N/A",0,RTD("tos.rtd",,"IMPL_VOL","."&amp;D$2&amp;D$1&amp;"P"&amp;$A33))),0)-IFERROR(VALUE(IF(RTD("tos.rtd",,"IMPL_VOL","."&amp;D$2&amp;D$1&amp;"C"&amp;$A33)="N/A",0,RTD("tos.rtd",,"IMPL_VOL","."&amp;D$2&amp;D$1&amp;"C"&amp;$A33))),0),IF($A$2="MAXPAIN",IF($A$4&gt;$A33,($A$4-$A33)*IF(RTD("tos.rtd",,"OPEN_INT","."&amp;D$2&amp;D$1&amp;"C"&amp;$A33)="N/A",0,RTD("tos.rtd",,"OPEN_INT","."&amp;D$2&amp;D$1&amp;"C"&amp;$A33)),0)+IF($A$4&lt;$A33,($A33-$A$4)*IF(RTD("tos.rtd",,"OPEN_INT","."&amp;D$2&amp;D$1&amp;"P"&amp;$A33)="N/A",0,RTD("tos.rtd",,"OPEN_INT","."&amp;D$2&amp;D$1&amp;"P"&amp;$A33)),0),IF(RTD("tos.rtd",,$A$2,"."&amp;D$2&amp;D$1&amp;"C"&amp;$A33)="N/A",0,RTD("tos.rtd",,$A$2,"."&amp;D$2&amp;D$1&amp;"C"&amp;$A33))-IF(RTD("tos.rtd",,$A$2,"."&amp;D$2&amp;D$1&amp;"P"&amp;$A33)="N/A",0,RTD("tos.rtd",,$A$2,"."&amp;D$2&amp;D$1&amp;"P"&amp;$A33)))))))))</f>
        <v>0</v>
      </c>
      <c r="E33" s="12">
        <f>IF($A$2="PREMIUM_OI",IFERROR((100*RTD("tos.rtd",,"OPEN_INT","."&amp;E$2&amp;E$1&amp;"C"&amp;$A33)*RTD("tos.rtd",,"LAST","."&amp;E$2&amp;E$1&amp;"C"&amp;$A33)-100*RTD("tos.rtd",,"OPEN_INT","."&amp;E$2&amp;E$1&amp;"P"&amp;$A33)*RTD("tos.rtd",,"LAST","."&amp;E$2&amp;E$1&amp;"P"&amp;$A33))/1000000,0),IF($A$2="PREMIUM",IFERROR((100*RTD("tos.rtd",,"VOLUME","."&amp;E$2&amp;E$1&amp;"C"&amp;$A33)*RTD("tos.rtd",,"LAST","."&amp;E$2&amp;E$1&amp;"C"&amp;$A33)-100*RTD("tos.rtd",,"VOLUME","."&amp;E$2&amp;E$1&amp;"P"&amp;$A33)*RTD("tos.rtd",,"LAST","."&amp;E$2&amp;E$1&amp;"P"&amp;$A33))/1000000,0),IF($A$2="DEX",IFERROR((100*RTD("tos.rtd",,"OPEN_INT","."&amp;E$2&amp;E$1&amp;"C"&amp;$A33)*RTD("tos.rtd",,"DELTA","."&amp;E$2&amp;E$1&amp;"C"&amp;$A33)-100*RTD("tos.rtd",,"OPEN_INT","."&amp;E$2&amp;E$1&amp;"P"&amp;$A33)*RTD("tos.rtd",,"DELTA","."&amp;E$2&amp;E$1&amp;"P"&amp;$A33))/1000,0),IF($A$2="VEX",IFERROR(($A$4*$A$4*RTD("tos.rtd",,"VOLUME","."&amp;E$2&amp;E$1&amp;"C"&amp;$A33)*RTD("tos.rtd",,"GAMMA","."&amp;E$2&amp;E$1&amp;"C"&amp;$A33)-$A$4*$A$4*RTD("tos.rtd",,"VOLUME","."&amp;E$2&amp;E$1&amp;"P"&amp;$A33)*RTD("tos.rtd",,"GAMMA","."&amp;E$2&amp;E$1&amp;"P"&amp;$A33))/1000000,0),IF($A$2="GEX",IFERROR(($A$4*$A$4*RTD("tos.rtd",,"OPEN_INT","."&amp;E$2&amp;E$1&amp;"C"&amp;$A33)*RTD("tos.rtd",,"GAMMA","."&amp;E$2&amp;E$1&amp;"C"&amp;$A33)-$A$4*$A$4*RTD("tos.rtd",,"OPEN_INT","."&amp;E$2&amp;E$1&amp;"P"&amp;$A33)*RTD("tos.rtd",,"GAMMA","."&amp;E$2&amp;E$1&amp;"P"&amp;$A33))/1000000,0),IF($A$2="SKEW",IFERROR(VALUE(IF(RTD("tos.rtd",,"IMPL_VOL","."&amp;E$2&amp;E$1&amp;"P"&amp;$A33)="N/A",0,RTD("tos.rtd",,"IMPL_VOL","."&amp;E$2&amp;E$1&amp;"P"&amp;$A33))),0)-IFERROR(VALUE(IF(RTD("tos.rtd",,"IMPL_VOL","."&amp;E$2&amp;E$1&amp;"C"&amp;$A33)="N/A",0,RTD("tos.rtd",,"IMPL_VOL","."&amp;E$2&amp;E$1&amp;"C"&amp;$A33))),0),IF($A$2="MAXPAIN",IF($A$4&gt;$A33,($A$4-$A33)*IF(RTD("tos.rtd",,"OPEN_INT","."&amp;E$2&amp;E$1&amp;"C"&amp;$A33)="N/A",0,RTD("tos.rtd",,"OPEN_INT","."&amp;E$2&amp;E$1&amp;"C"&amp;$A33)),0)+IF($A$4&lt;$A33,($A33-$A$4)*IF(RTD("tos.rtd",,"OPEN_INT","."&amp;E$2&amp;E$1&amp;"P"&amp;$A33)="N/A",0,RTD("tos.rtd",,"OPEN_INT","."&amp;E$2&amp;E$1&amp;"P"&amp;$A33)),0),IF(RTD("tos.rtd",,$A$2,"."&amp;E$2&amp;E$1&amp;"C"&amp;$A33)="N/A",0,RTD("tos.rtd",,$A$2,"."&amp;E$2&amp;E$1&amp;"C"&amp;$A33))-IF(RTD("tos.rtd",,$A$2,"."&amp;E$2&amp;E$1&amp;"P"&amp;$A33)="N/A",0,RTD("tos.rtd",,$A$2,"."&amp;E$2&amp;E$1&amp;"P"&amp;$A33)))))))))</f>
        <v>0</v>
      </c>
      <c r="F33" s="12">
        <f>IF($A$2="PREMIUM_OI",IFERROR((100*RTD("tos.rtd",,"OPEN_INT","."&amp;F$2&amp;F$1&amp;"C"&amp;$A33)*RTD("tos.rtd",,"LAST","."&amp;F$2&amp;F$1&amp;"C"&amp;$A33)-100*RTD("tos.rtd",,"OPEN_INT","."&amp;F$2&amp;F$1&amp;"P"&amp;$A33)*RTD("tos.rtd",,"LAST","."&amp;F$2&amp;F$1&amp;"P"&amp;$A33))/1000000,0),IF($A$2="PREMIUM",IFERROR((100*RTD("tos.rtd",,"VOLUME","."&amp;F$2&amp;F$1&amp;"C"&amp;$A33)*RTD("tos.rtd",,"LAST","."&amp;F$2&amp;F$1&amp;"C"&amp;$A33)-100*RTD("tos.rtd",,"VOLUME","."&amp;F$2&amp;F$1&amp;"P"&amp;$A33)*RTD("tos.rtd",,"LAST","."&amp;F$2&amp;F$1&amp;"P"&amp;$A33))/1000000,0),IF($A$2="DEX",IFERROR((100*RTD("tos.rtd",,"OPEN_INT","."&amp;F$2&amp;F$1&amp;"C"&amp;$A33)*RTD("tos.rtd",,"DELTA","."&amp;F$2&amp;F$1&amp;"C"&amp;$A33)-100*RTD("tos.rtd",,"OPEN_INT","."&amp;F$2&amp;F$1&amp;"P"&amp;$A33)*RTD("tos.rtd",,"DELTA","."&amp;F$2&amp;F$1&amp;"P"&amp;$A33))/1000,0),IF($A$2="VEX",IFERROR(($A$4*$A$4*RTD("tos.rtd",,"VOLUME","."&amp;F$2&amp;F$1&amp;"C"&amp;$A33)*RTD("tos.rtd",,"GAMMA","."&amp;F$2&amp;F$1&amp;"C"&amp;$A33)-$A$4*$A$4*RTD("tos.rtd",,"VOLUME","."&amp;F$2&amp;F$1&amp;"P"&amp;$A33)*RTD("tos.rtd",,"GAMMA","."&amp;F$2&amp;F$1&amp;"P"&amp;$A33))/1000000,0),IF($A$2="GEX",IFERROR(($A$4*$A$4*RTD("tos.rtd",,"OPEN_INT","."&amp;F$2&amp;F$1&amp;"C"&amp;$A33)*RTD("tos.rtd",,"GAMMA","."&amp;F$2&amp;F$1&amp;"C"&amp;$A33)-$A$4*$A$4*RTD("tos.rtd",,"OPEN_INT","."&amp;F$2&amp;F$1&amp;"P"&amp;$A33)*RTD("tos.rtd",,"GAMMA","."&amp;F$2&amp;F$1&amp;"P"&amp;$A33))/1000000,0),IF($A$2="SKEW",IFERROR(VALUE(IF(RTD("tos.rtd",,"IMPL_VOL","."&amp;F$2&amp;F$1&amp;"P"&amp;$A33)="N/A",0,RTD("tos.rtd",,"IMPL_VOL","."&amp;F$2&amp;F$1&amp;"P"&amp;$A33))),0)-IFERROR(VALUE(IF(RTD("tos.rtd",,"IMPL_VOL","."&amp;F$2&amp;F$1&amp;"C"&amp;$A33)="N/A",0,RTD("tos.rtd",,"IMPL_VOL","."&amp;F$2&amp;F$1&amp;"C"&amp;$A33))),0),IF($A$2="MAXPAIN",IF($A$4&gt;$A33,($A$4-$A33)*IF(RTD("tos.rtd",,"OPEN_INT","."&amp;F$2&amp;F$1&amp;"C"&amp;$A33)="N/A",0,RTD("tos.rtd",,"OPEN_INT","."&amp;F$2&amp;F$1&amp;"C"&amp;$A33)),0)+IF($A$4&lt;$A33,($A33-$A$4)*IF(RTD("tos.rtd",,"OPEN_INT","."&amp;F$2&amp;F$1&amp;"P"&amp;$A33)="N/A",0,RTD("tos.rtd",,"OPEN_INT","."&amp;F$2&amp;F$1&amp;"P"&amp;$A33)),0),IF(RTD("tos.rtd",,$A$2,"."&amp;F$2&amp;F$1&amp;"C"&amp;$A33)="N/A",0,RTD("tos.rtd",,$A$2,"."&amp;F$2&amp;F$1&amp;"C"&amp;$A33))-IF(RTD("tos.rtd",,$A$2,"."&amp;F$2&amp;F$1&amp;"P"&amp;$A33)="N/A",0,RTD("tos.rtd",,$A$2,"."&amp;F$2&amp;F$1&amp;"P"&amp;$A33)))))))))</f>
        <v>0</v>
      </c>
      <c r="G33" s="14">
        <f>IF($A$2="PREMIUM_OI",IFERROR((100*RTD("tos.rtd",,"OPEN_INT","."&amp;G$2&amp;G$1&amp;"C"&amp;$A33)*RTD("tos.rtd",,"LAST","."&amp;G$2&amp;G$1&amp;"C"&amp;$A33)-100*RTD("tos.rtd",,"OPEN_INT","."&amp;G$2&amp;G$1&amp;"P"&amp;$A33)*RTD("tos.rtd",,"LAST","."&amp;G$2&amp;G$1&amp;"P"&amp;$A33))/1000000,0),IF($A$2="PREMIUM",IFERROR((100*RTD("tos.rtd",,"VOLUME","."&amp;G$2&amp;G$1&amp;"C"&amp;$A33)*RTD("tos.rtd",,"LAST","."&amp;G$2&amp;G$1&amp;"C"&amp;$A33)-100*RTD("tos.rtd",,"VOLUME","."&amp;G$2&amp;G$1&amp;"P"&amp;$A33)*RTD("tos.rtd",,"LAST","."&amp;G$2&amp;G$1&amp;"P"&amp;$A33))/1000000,0),IF($A$2="DEX",IFERROR((100*RTD("tos.rtd",,"OPEN_INT","."&amp;G$2&amp;G$1&amp;"C"&amp;$A33)*RTD("tos.rtd",,"DELTA","."&amp;G$2&amp;G$1&amp;"C"&amp;$A33)-100*RTD("tos.rtd",,"OPEN_INT","."&amp;G$2&amp;G$1&amp;"P"&amp;$A33)*RTD("tos.rtd",,"DELTA","."&amp;G$2&amp;G$1&amp;"P"&amp;$A33))/1000,0),IF($A$2="VEX",IFERROR(($A$4*$A$4*RTD("tos.rtd",,"VOLUME","."&amp;G$2&amp;G$1&amp;"C"&amp;$A33)*RTD("tos.rtd",,"GAMMA","."&amp;G$2&amp;G$1&amp;"C"&amp;$A33)-$A$4*$A$4*RTD("tos.rtd",,"VOLUME","."&amp;G$2&amp;G$1&amp;"P"&amp;$A33)*RTD("tos.rtd",,"GAMMA","."&amp;G$2&amp;G$1&amp;"P"&amp;$A33))/1000000,0),IF($A$2="GEX",IFERROR(($A$4*$A$4*RTD("tos.rtd",,"OPEN_INT","."&amp;G$2&amp;G$1&amp;"C"&amp;$A33)*RTD("tos.rtd",,"GAMMA","."&amp;G$2&amp;G$1&amp;"C"&amp;$A33)-$A$4*$A$4*RTD("tos.rtd",,"OPEN_INT","."&amp;G$2&amp;G$1&amp;"P"&amp;$A33)*RTD("tos.rtd",,"GAMMA","."&amp;G$2&amp;G$1&amp;"P"&amp;$A33))/1000000,0),IF($A$2="SKEW",IFERROR(VALUE(IF(RTD("tos.rtd",,"IMPL_VOL","."&amp;G$2&amp;G$1&amp;"P"&amp;$A33)="N/A",0,RTD("tos.rtd",,"IMPL_VOL","."&amp;G$2&amp;G$1&amp;"P"&amp;$A33))),0)-IFERROR(VALUE(IF(RTD("tos.rtd",,"IMPL_VOL","."&amp;G$2&amp;G$1&amp;"C"&amp;$A33)="N/A",0,RTD("tos.rtd",,"IMPL_VOL","."&amp;G$2&amp;G$1&amp;"C"&amp;$A33))),0),IF($A$2="MAXPAIN",IF($A$4&gt;$A33,($A$4-$A33)*IF(RTD("tos.rtd",,"OPEN_INT","."&amp;G$2&amp;G$1&amp;"C"&amp;$A33)="N/A",0,RTD("tos.rtd",,"OPEN_INT","."&amp;G$2&amp;G$1&amp;"C"&amp;$A33)),0)+IF($A$4&lt;$A33,($A33-$A$4)*IF(RTD("tos.rtd",,"OPEN_INT","."&amp;G$2&amp;G$1&amp;"P"&amp;$A33)="N/A",0,RTD("tos.rtd",,"OPEN_INT","."&amp;G$2&amp;G$1&amp;"P"&amp;$A33)),0),IF(RTD("tos.rtd",,$A$2,"."&amp;G$2&amp;G$1&amp;"C"&amp;$A33)="N/A",0,RTD("tos.rtd",,$A$2,"."&amp;G$2&amp;G$1&amp;"C"&amp;$A33))-IF(RTD("tos.rtd",,$A$2,"."&amp;G$2&amp;G$1&amp;"P"&amp;$A33)="N/A",0,RTD("tos.rtd",,$A$2,"."&amp;G$2&amp;G$1&amp;"P"&amp;$A33)))))))))</f>
        <v>0</v>
      </c>
      <c r="H33" s="12">
        <f>IF($A$2="PREMIUM_OI",IFERROR((100*RTD("tos.rtd",,"OPEN_INT","."&amp;H$2&amp;H$1&amp;"C"&amp;$A33)*RTD("tos.rtd",,"LAST","."&amp;H$2&amp;H$1&amp;"C"&amp;$A33)-100*RTD("tos.rtd",,"OPEN_INT","."&amp;H$2&amp;H$1&amp;"P"&amp;$A33)*RTD("tos.rtd",,"LAST","."&amp;H$2&amp;H$1&amp;"P"&amp;$A33))/1000000,0),IF($A$2="PREMIUM",IFERROR((100*RTD("tos.rtd",,"VOLUME","."&amp;H$2&amp;H$1&amp;"C"&amp;$A33)*RTD("tos.rtd",,"LAST","."&amp;H$2&amp;H$1&amp;"C"&amp;$A33)-100*RTD("tos.rtd",,"VOLUME","."&amp;H$2&amp;H$1&amp;"P"&amp;$A33)*RTD("tos.rtd",,"LAST","."&amp;H$2&amp;H$1&amp;"P"&amp;$A33))/1000000,0),IF($A$2="DEX",IFERROR((100*RTD("tos.rtd",,"OPEN_INT","."&amp;H$2&amp;H$1&amp;"C"&amp;$A33)*RTD("tos.rtd",,"DELTA","."&amp;H$2&amp;H$1&amp;"C"&amp;$A33)-100*RTD("tos.rtd",,"OPEN_INT","."&amp;H$2&amp;H$1&amp;"P"&amp;$A33)*RTD("tos.rtd",,"DELTA","."&amp;H$2&amp;H$1&amp;"P"&amp;$A33))/1000,0),IF($A$2="VEX",IFERROR(($A$4*$A$4*RTD("tos.rtd",,"VOLUME","."&amp;H$2&amp;H$1&amp;"C"&amp;$A33)*RTD("tos.rtd",,"GAMMA","."&amp;H$2&amp;H$1&amp;"C"&amp;$A33)-$A$4*$A$4*RTD("tos.rtd",,"VOLUME","."&amp;H$2&amp;H$1&amp;"P"&amp;$A33)*RTD("tos.rtd",,"GAMMA","."&amp;H$2&amp;H$1&amp;"P"&amp;$A33))/1000000,0),IF($A$2="GEX",IFERROR(($A$4*$A$4*RTD("tos.rtd",,"OPEN_INT","."&amp;H$2&amp;H$1&amp;"C"&amp;$A33)*RTD("tos.rtd",,"GAMMA","."&amp;H$2&amp;H$1&amp;"C"&amp;$A33)-$A$4*$A$4*RTD("tos.rtd",,"OPEN_INT","."&amp;H$2&amp;H$1&amp;"P"&amp;$A33)*RTD("tos.rtd",,"GAMMA","."&amp;H$2&amp;H$1&amp;"P"&amp;$A33))/1000000,0),IF($A$2="SKEW",IFERROR(VALUE(IF(RTD("tos.rtd",,"IMPL_VOL","."&amp;H$2&amp;H$1&amp;"P"&amp;$A33)="N/A",0,RTD("tos.rtd",,"IMPL_VOL","."&amp;H$2&amp;H$1&amp;"P"&amp;$A33))),0)-IFERROR(VALUE(IF(RTD("tos.rtd",,"IMPL_VOL","."&amp;H$2&amp;H$1&amp;"C"&amp;$A33)="N/A",0,RTD("tos.rtd",,"IMPL_VOL","."&amp;H$2&amp;H$1&amp;"C"&amp;$A33))),0),IF($A$2="MAXPAIN",IF($A$4&gt;$A33,($A$4-$A33)*IF(RTD("tos.rtd",,"OPEN_INT","."&amp;H$2&amp;H$1&amp;"C"&amp;$A33)="N/A",0,RTD("tos.rtd",,"OPEN_INT","."&amp;H$2&amp;H$1&amp;"C"&amp;$A33)),0)+IF($A$4&lt;$A33,($A33-$A$4)*IF(RTD("tos.rtd",,"OPEN_INT","."&amp;H$2&amp;H$1&amp;"P"&amp;$A33)="N/A",0,RTD("tos.rtd",,"OPEN_INT","."&amp;H$2&amp;H$1&amp;"P"&amp;$A33)),0),IF(RTD("tos.rtd",,$A$2,"."&amp;H$2&amp;H$1&amp;"C"&amp;$A33)="N/A",0,RTD("tos.rtd",,$A$2,"."&amp;H$2&amp;H$1&amp;"C"&amp;$A33))-IF(RTD("tos.rtd",,$A$2,"."&amp;H$2&amp;H$1&amp;"P"&amp;$A33)="N/A",0,RTD("tos.rtd",,$A$2,"."&amp;H$2&amp;H$1&amp;"P"&amp;$A33)))))))))</f>
        <v>-2133</v>
      </c>
      <c r="I33" s="12">
        <f>IF($A$2="PREMIUM_OI",IFERROR((100*RTD("tos.rtd",,"OPEN_INT","."&amp;I$2&amp;I$1&amp;"C"&amp;$A33)*RTD("tos.rtd",,"LAST","."&amp;I$2&amp;I$1&amp;"C"&amp;$A33)-100*RTD("tos.rtd",,"OPEN_INT","."&amp;I$2&amp;I$1&amp;"P"&amp;$A33)*RTD("tos.rtd",,"LAST","."&amp;I$2&amp;I$1&amp;"P"&amp;$A33))/1000000,0),IF($A$2="PREMIUM",IFERROR((100*RTD("tos.rtd",,"VOLUME","."&amp;I$2&amp;I$1&amp;"C"&amp;$A33)*RTD("tos.rtd",,"LAST","."&amp;I$2&amp;I$1&amp;"C"&amp;$A33)-100*RTD("tos.rtd",,"VOLUME","."&amp;I$2&amp;I$1&amp;"P"&amp;$A33)*RTD("tos.rtd",,"LAST","."&amp;I$2&amp;I$1&amp;"P"&amp;$A33))/1000000,0),IF($A$2="DEX",IFERROR((100*RTD("tos.rtd",,"OPEN_INT","."&amp;I$2&amp;I$1&amp;"C"&amp;$A33)*RTD("tos.rtd",,"DELTA","."&amp;I$2&amp;I$1&amp;"C"&amp;$A33)-100*RTD("tos.rtd",,"OPEN_INT","."&amp;I$2&amp;I$1&amp;"P"&amp;$A33)*RTD("tos.rtd",,"DELTA","."&amp;I$2&amp;I$1&amp;"P"&amp;$A33))/1000,0),IF($A$2="VEX",IFERROR(($A$4*$A$4*RTD("tos.rtd",,"VOLUME","."&amp;I$2&amp;I$1&amp;"C"&amp;$A33)*RTD("tos.rtd",,"GAMMA","."&amp;I$2&amp;I$1&amp;"C"&amp;$A33)-$A$4*$A$4*RTD("tos.rtd",,"VOLUME","."&amp;I$2&amp;I$1&amp;"P"&amp;$A33)*RTD("tos.rtd",,"GAMMA","."&amp;I$2&amp;I$1&amp;"P"&amp;$A33))/1000000,0),IF($A$2="GEX",IFERROR(($A$4*$A$4*RTD("tos.rtd",,"OPEN_INT","."&amp;I$2&amp;I$1&amp;"C"&amp;$A33)*RTD("tos.rtd",,"GAMMA","."&amp;I$2&amp;I$1&amp;"C"&amp;$A33)-$A$4*$A$4*RTD("tos.rtd",,"OPEN_INT","."&amp;I$2&amp;I$1&amp;"P"&amp;$A33)*RTD("tos.rtd",,"GAMMA","."&amp;I$2&amp;I$1&amp;"P"&amp;$A33))/1000000,0),IF($A$2="SKEW",IFERROR(VALUE(IF(RTD("tos.rtd",,"IMPL_VOL","."&amp;I$2&amp;I$1&amp;"P"&amp;$A33)="N/A",0,RTD("tos.rtd",,"IMPL_VOL","."&amp;I$2&amp;I$1&amp;"P"&amp;$A33))),0)-IFERROR(VALUE(IF(RTD("tos.rtd",,"IMPL_VOL","."&amp;I$2&amp;I$1&amp;"C"&amp;$A33)="N/A",0,RTD("tos.rtd",,"IMPL_VOL","."&amp;I$2&amp;I$1&amp;"C"&amp;$A33))),0),IF($A$2="MAXPAIN",IF($A$4&gt;$A33,($A$4-$A33)*IF(RTD("tos.rtd",,"OPEN_INT","."&amp;I$2&amp;I$1&amp;"C"&amp;$A33)="N/A",0,RTD("tos.rtd",,"OPEN_INT","."&amp;I$2&amp;I$1&amp;"C"&amp;$A33)),0)+IF($A$4&lt;$A33,($A33-$A$4)*IF(RTD("tos.rtd",,"OPEN_INT","."&amp;I$2&amp;I$1&amp;"P"&amp;$A33)="N/A",0,RTD("tos.rtd",,"OPEN_INT","."&amp;I$2&amp;I$1&amp;"P"&amp;$A33)),0),IF(RTD("tos.rtd",,$A$2,"."&amp;I$2&amp;I$1&amp;"C"&amp;$A33)="N/A",0,RTD("tos.rtd",,$A$2,"."&amp;I$2&amp;I$1&amp;"C"&amp;$A33))-IF(RTD("tos.rtd",,$A$2,"."&amp;I$2&amp;I$1&amp;"P"&amp;$A33)="N/A",0,RTD("tos.rtd",,$A$2,"."&amp;I$2&amp;I$1&amp;"P"&amp;$A33)))))))))</f>
        <v>0</v>
      </c>
      <c r="J33" s="12">
        <f>IF($A$2="PREMIUM_OI",IFERROR((100*RTD("tos.rtd",,"OPEN_INT","."&amp;J$2&amp;J$1&amp;"C"&amp;$A33)*RTD("tos.rtd",,"LAST","."&amp;J$2&amp;J$1&amp;"C"&amp;$A33)-100*RTD("tos.rtd",,"OPEN_INT","."&amp;J$2&amp;J$1&amp;"P"&amp;$A33)*RTD("tos.rtd",,"LAST","."&amp;J$2&amp;J$1&amp;"P"&amp;$A33))/1000000,0),IF($A$2="PREMIUM",IFERROR((100*RTD("tos.rtd",,"VOLUME","."&amp;J$2&amp;J$1&amp;"C"&amp;$A33)*RTD("tos.rtd",,"LAST","."&amp;J$2&amp;J$1&amp;"C"&amp;$A33)-100*RTD("tos.rtd",,"VOLUME","."&amp;J$2&amp;J$1&amp;"P"&amp;$A33)*RTD("tos.rtd",,"LAST","."&amp;J$2&amp;J$1&amp;"P"&amp;$A33))/1000000,0),IF($A$2="DEX",IFERROR((100*RTD("tos.rtd",,"OPEN_INT","."&amp;J$2&amp;J$1&amp;"C"&amp;$A33)*RTD("tos.rtd",,"DELTA","."&amp;J$2&amp;J$1&amp;"C"&amp;$A33)-100*RTD("tos.rtd",,"OPEN_INT","."&amp;J$2&amp;J$1&amp;"P"&amp;$A33)*RTD("tos.rtd",,"DELTA","."&amp;J$2&amp;J$1&amp;"P"&amp;$A33))/1000,0),IF($A$2="VEX",IFERROR(($A$4*$A$4*RTD("tos.rtd",,"VOLUME","."&amp;J$2&amp;J$1&amp;"C"&amp;$A33)*RTD("tos.rtd",,"GAMMA","."&amp;J$2&amp;J$1&amp;"C"&amp;$A33)-$A$4*$A$4*RTD("tos.rtd",,"VOLUME","."&amp;J$2&amp;J$1&amp;"P"&amp;$A33)*RTD("tos.rtd",,"GAMMA","."&amp;J$2&amp;J$1&amp;"P"&amp;$A33))/1000000,0),IF($A$2="GEX",IFERROR(($A$4*$A$4*RTD("tos.rtd",,"OPEN_INT","."&amp;J$2&amp;J$1&amp;"C"&amp;$A33)*RTD("tos.rtd",,"GAMMA","."&amp;J$2&amp;J$1&amp;"C"&amp;$A33)-$A$4*$A$4*RTD("tos.rtd",,"OPEN_INT","."&amp;J$2&amp;J$1&amp;"P"&amp;$A33)*RTD("tos.rtd",,"GAMMA","."&amp;J$2&amp;J$1&amp;"P"&amp;$A33))/1000000,0),IF($A$2="SKEW",IFERROR(VALUE(IF(RTD("tos.rtd",,"IMPL_VOL","."&amp;J$2&amp;J$1&amp;"P"&amp;$A33)="N/A",0,RTD("tos.rtd",,"IMPL_VOL","."&amp;J$2&amp;J$1&amp;"P"&amp;$A33))),0)-IFERROR(VALUE(IF(RTD("tos.rtd",,"IMPL_VOL","."&amp;J$2&amp;J$1&amp;"C"&amp;$A33)="N/A",0,RTD("tos.rtd",,"IMPL_VOL","."&amp;J$2&amp;J$1&amp;"C"&amp;$A33))),0),IF($A$2="MAXPAIN",IF($A$4&gt;$A33,($A$4-$A33)*IF(RTD("tos.rtd",,"OPEN_INT","."&amp;J$2&amp;J$1&amp;"C"&amp;$A33)="N/A",0,RTD("tos.rtd",,"OPEN_INT","."&amp;J$2&amp;J$1&amp;"C"&amp;$A33)),0)+IF($A$4&lt;$A33,($A33-$A$4)*IF(RTD("tos.rtd",,"OPEN_INT","."&amp;J$2&amp;J$1&amp;"P"&amp;$A33)="N/A",0,RTD("tos.rtd",,"OPEN_INT","."&amp;J$2&amp;J$1&amp;"P"&amp;$A33)),0),IF(RTD("tos.rtd",,$A$2,"."&amp;J$2&amp;J$1&amp;"C"&amp;$A33)="N/A",0,RTD("tos.rtd",,$A$2,"."&amp;J$2&amp;J$1&amp;"C"&amp;$A33))-IF(RTD("tos.rtd",,$A$2,"."&amp;J$2&amp;J$1&amp;"P"&amp;$A33)="N/A",0,RTD("tos.rtd",,$A$2,"."&amp;J$2&amp;J$1&amp;"P"&amp;$A33)))))))))</f>
        <v>0</v>
      </c>
      <c r="K33" s="12">
        <f>IF($A$2="PREMIUM_OI",IFERROR((100*RTD("tos.rtd",,"OPEN_INT","."&amp;K$2&amp;K$1&amp;"C"&amp;$A33)*RTD("tos.rtd",,"LAST","."&amp;K$2&amp;K$1&amp;"C"&amp;$A33)-100*RTD("tos.rtd",,"OPEN_INT","."&amp;K$2&amp;K$1&amp;"P"&amp;$A33)*RTD("tos.rtd",,"LAST","."&amp;K$2&amp;K$1&amp;"P"&amp;$A33))/1000000,0),IF($A$2="PREMIUM",IFERROR((100*RTD("tos.rtd",,"VOLUME","."&amp;K$2&amp;K$1&amp;"C"&amp;$A33)*RTD("tos.rtd",,"LAST","."&amp;K$2&amp;K$1&amp;"C"&amp;$A33)-100*RTD("tos.rtd",,"VOLUME","."&amp;K$2&amp;K$1&amp;"P"&amp;$A33)*RTD("tos.rtd",,"LAST","."&amp;K$2&amp;K$1&amp;"P"&amp;$A33))/1000000,0),IF($A$2="DEX",IFERROR((100*RTD("tos.rtd",,"OPEN_INT","."&amp;K$2&amp;K$1&amp;"C"&amp;$A33)*RTD("tos.rtd",,"DELTA","."&amp;K$2&amp;K$1&amp;"C"&amp;$A33)-100*RTD("tos.rtd",,"OPEN_INT","."&amp;K$2&amp;K$1&amp;"P"&amp;$A33)*RTD("tos.rtd",,"DELTA","."&amp;K$2&amp;K$1&amp;"P"&amp;$A33))/1000,0),IF($A$2="VEX",IFERROR(($A$4*$A$4*RTD("tos.rtd",,"VOLUME","."&amp;K$2&amp;K$1&amp;"C"&amp;$A33)*RTD("tos.rtd",,"GAMMA","."&amp;K$2&amp;K$1&amp;"C"&amp;$A33)-$A$4*$A$4*RTD("tos.rtd",,"VOLUME","."&amp;K$2&amp;K$1&amp;"P"&amp;$A33)*RTD("tos.rtd",,"GAMMA","."&amp;K$2&amp;K$1&amp;"P"&amp;$A33))/1000000,0),IF($A$2="GEX",IFERROR(($A$4*$A$4*RTD("tos.rtd",,"OPEN_INT","."&amp;K$2&amp;K$1&amp;"C"&amp;$A33)*RTD("tos.rtd",,"GAMMA","."&amp;K$2&amp;K$1&amp;"C"&amp;$A33)-$A$4*$A$4*RTD("tos.rtd",,"OPEN_INT","."&amp;K$2&amp;K$1&amp;"P"&amp;$A33)*RTD("tos.rtd",,"GAMMA","."&amp;K$2&amp;K$1&amp;"P"&amp;$A33))/1000000,0),IF($A$2="SKEW",IFERROR(VALUE(IF(RTD("tos.rtd",,"IMPL_VOL","."&amp;K$2&amp;K$1&amp;"P"&amp;$A33)="N/A",0,RTD("tos.rtd",,"IMPL_VOL","."&amp;K$2&amp;K$1&amp;"P"&amp;$A33))),0)-IFERROR(VALUE(IF(RTD("tos.rtd",,"IMPL_VOL","."&amp;K$2&amp;K$1&amp;"C"&amp;$A33)="N/A",0,RTD("tos.rtd",,"IMPL_VOL","."&amp;K$2&amp;K$1&amp;"C"&amp;$A33))),0),IF($A$2="MAXPAIN",IF($A$4&gt;$A33,($A$4-$A33)*IF(RTD("tos.rtd",,"OPEN_INT","."&amp;K$2&amp;K$1&amp;"C"&amp;$A33)="N/A",0,RTD("tos.rtd",,"OPEN_INT","."&amp;K$2&amp;K$1&amp;"C"&amp;$A33)),0)+IF($A$4&lt;$A33,($A33-$A$4)*IF(RTD("tos.rtd",,"OPEN_INT","."&amp;K$2&amp;K$1&amp;"P"&amp;$A33)="N/A",0,RTD("tos.rtd",,"OPEN_INT","."&amp;K$2&amp;K$1&amp;"P"&amp;$A33)),0),IF(RTD("tos.rtd",,$A$2,"."&amp;K$2&amp;K$1&amp;"C"&amp;$A33)="N/A",0,RTD("tos.rtd",,$A$2,"."&amp;K$2&amp;K$1&amp;"C"&amp;$A33))-IF(RTD("tos.rtd",,$A$2,"."&amp;K$2&amp;K$1&amp;"P"&amp;$A33)="N/A",0,RTD("tos.rtd",,$A$2,"."&amp;K$2&amp;K$1&amp;"P"&amp;$A33)))))))))</f>
        <v>0</v>
      </c>
      <c r="L33" s="12">
        <f>IF($A$2="PREMIUM_OI",IFERROR((100*RTD("tos.rtd",,"OPEN_INT","."&amp;L$2&amp;L$1&amp;"C"&amp;$A33)*RTD("tos.rtd",,"LAST","."&amp;L$2&amp;L$1&amp;"C"&amp;$A33)-100*RTD("tos.rtd",,"OPEN_INT","."&amp;L$2&amp;L$1&amp;"P"&amp;$A33)*RTD("tos.rtd",,"LAST","."&amp;L$2&amp;L$1&amp;"P"&amp;$A33))/1000000,0),IF($A$2="PREMIUM",IFERROR((100*RTD("tos.rtd",,"VOLUME","."&amp;L$2&amp;L$1&amp;"C"&amp;$A33)*RTD("tos.rtd",,"LAST","."&amp;L$2&amp;L$1&amp;"C"&amp;$A33)-100*RTD("tos.rtd",,"VOLUME","."&amp;L$2&amp;L$1&amp;"P"&amp;$A33)*RTD("tos.rtd",,"LAST","."&amp;L$2&amp;L$1&amp;"P"&amp;$A33))/1000000,0),IF($A$2="DEX",IFERROR((100*RTD("tos.rtd",,"OPEN_INT","."&amp;L$2&amp;L$1&amp;"C"&amp;$A33)*RTD("tos.rtd",,"DELTA","."&amp;L$2&amp;L$1&amp;"C"&amp;$A33)-100*RTD("tos.rtd",,"OPEN_INT","."&amp;L$2&amp;L$1&amp;"P"&amp;$A33)*RTD("tos.rtd",,"DELTA","."&amp;L$2&amp;L$1&amp;"P"&amp;$A33))/1000,0),IF($A$2="VEX",IFERROR(($A$4*$A$4*RTD("tos.rtd",,"VOLUME","."&amp;L$2&amp;L$1&amp;"C"&amp;$A33)*RTD("tos.rtd",,"GAMMA","."&amp;L$2&amp;L$1&amp;"C"&amp;$A33)-$A$4*$A$4*RTD("tos.rtd",,"VOLUME","."&amp;L$2&amp;L$1&amp;"P"&amp;$A33)*RTD("tos.rtd",,"GAMMA","."&amp;L$2&amp;L$1&amp;"P"&amp;$A33))/1000000,0),IF($A$2="GEX",IFERROR(($A$4*$A$4*RTD("tos.rtd",,"OPEN_INT","."&amp;L$2&amp;L$1&amp;"C"&amp;$A33)*RTD("tos.rtd",,"GAMMA","."&amp;L$2&amp;L$1&amp;"C"&amp;$A33)-$A$4*$A$4*RTD("tos.rtd",,"OPEN_INT","."&amp;L$2&amp;L$1&amp;"P"&amp;$A33)*RTD("tos.rtd",,"GAMMA","."&amp;L$2&amp;L$1&amp;"P"&amp;$A33))/1000000,0),IF($A$2="SKEW",IFERROR(VALUE(IF(RTD("tos.rtd",,"IMPL_VOL","."&amp;L$2&amp;L$1&amp;"P"&amp;$A33)="N/A",0,RTD("tos.rtd",,"IMPL_VOL","."&amp;L$2&amp;L$1&amp;"P"&amp;$A33))),0)-IFERROR(VALUE(IF(RTD("tos.rtd",,"IMPL_VOL","."&amp;L$2&amp;L$1&amp;"C"&amp;$A33)="N/A",0,RTD("tos.rtd",,"IMPL_VOL","."&amp;L$2&amp;L$1&amp;"C"&amp;$A33))),0),IF($A$2="MAXPAIN",IF($A$4&gt;$A33,($A$4-$A33)*IF(RTD("tos.rtd",,"OPEN_INT","."&amp;L$2&amp;L$1&amp;"C"&amp;$A33)="N/A",0,RTD("tos.rtd",,"OPEN_INT","."&amp;L$2&amp;L$1&amp;"C"&amp;$A33)),0)+IF($A$4&lt;$A33,($A33-$A$4)*IF(RTD("tos.rtd",,"OPEN_INT","."&amp;L$2&amp;L$1&amp;"P"&amp;$A33)="N/A",0,RTD("tos.rtd",,"OPEN_INT","."&amp;L$2&amp;L$1&amp;"P"&amp;$A33)),0),IF(RTD("tos.rtd",,$A$2,"."&amp;L$2&amp;L$1&amp;"C"&amp;$A33)="N/A",0,RTD("tos.rtd",,$A$2,"."&amp;L$2&amp;L$1&amp;"C"&amp;$A33))-IF(RTD("tos.rtd",,$A$2,"."&amp;L$2&amp;L$1&amp;"P"&amp;$A33)="N/A",0,RTD("tos.rtd",,$A$2,"."&amp;L$2&amp;L$1&amp;"P"&amp;$A33)))))))))</f>
        <v>0</v>
      </c>
      <c r="M33" s="12">
        <f>IF($A$2="PREMIUM_OI",IFERROR((100*RTD("tos.rtd",,"OPEN_INT","."&amp;M$2&amp;M$1&amp;"C"&amp;$A33)*RTD("tos.rtd",,"LAST","."&amp;M$2&amp;M$1&amp;"C"&amp;$A33)-100*RTD("tos.rtd",,"OPEN_INT","."&amp;M$2&amp;M$1&amp;"P"&amp;$A33)*RTD("tos.rtd",,"LAST","."&amp;M$2&amp;M$1&amp;"P"&amp;$A33))/1000000,0),IF($A$2="PREMIUM",IFERROR((100*RTD("tos.rtd",,"VOLUME","."&amp;M$2&amp;M$1&amp;"C"&amp;$A33)*RTD("tos.rtd",,"LAST","."&amp;M$2&amp;M$1&amp;"C"&amp;$A33)-100*RTD("tos.rtd",,"VOLUME","."&amp;M$2&amp;M$1&amp;"P"&amp;$A33)*RTD("tos.rtd",,"LAST","."&amp;M$2&amp;M$1&amp;"P"&amp;$A33))/1000000,0),IF($A$2="DEX",IFERROR((100*RTD("tos.rtd",,"OPEN_INT","."&amp;M$2&amp;M$1&amp;"C"&amp;$A33)*RTD("tos.rtd",,"DELTA","."&amp;M$2&amp;M$1&amp;"C"&amp;$A33)-100*RTD("tos.rtd",,"OPEN_INT","."&amp;M$2&amp;M$1&amp;"P"&amp;$A33)*RTD("tos.rtd",,"DELTA","."&amp;M$2&amp;M$1&amp;"P"&amp;$A33))/1000,0),IF($A$2="VEX",IFERROR(($A$4*$A$4*RTD("tos.rtd",,"VOLUME","."&amp;M$2&amp;M$1&amp;"C"&amp;$A33)*RTD("tos.rtd",,"GAMMA","."&amp;M$2&amp;M$1&amp;"C"&amp;$A33)-$A$4*$A$4*RTD("tos.rtd",,"VOLUME","."&amp;M$2&amp;M$1&amp;"P"&amp;$A33)*RTD("tos.rtd",,"GAMMA","."&amp;M$2&amp;M$1&amp;"P"&amp;$A33))/1000000,0),IF($A$2="GEX",IFERROR(($A$4*$A$4*RTD("tos.rtd",,"OPEN_INT","."&amp;M$2&amp;M$1&amp;"C"&amp;$A33)*RTD("tos.rtd",,"GAMMA","."&amp;M$2&amp;M$1&amp;"C"&amp;$A33)-$A$4*$A$4*RTD("tos.rtd",,"OPEN_INT","."&amp;M$2&amp;M$1&amp;"P"&amp;$A33)*RTD("tos.rtd",,"GAMMA","."&amp;M$2&amp;M$1&amp;"P"&amp;$A33))/1000000,0),IF($A$2="SKEW",IFERROR(VALUE(IF(RTD("tos.rtd",,"IMPL_VOL","."&amp;M$2&amp;M$1&amp;"P"&amp;$A33)="N/A",0,RTD("tos.rtd",,"IMPL_VOL","."&amp;M$2&amp;M$1&amp;"P"&amp;$A33))),0)-IFERROR(VALUE(IF(RTD("tos.rtd",,"IMPL_VOL","."&amp;M$2&amp;M$1&amp;"C"&amp;$A33)="N/A",0,RTD("tos.rtd",,"IMPL_VOL","."&amp;M$2&amp;M$1&amp;"C"&amp;$A33))),0),IF($A$2="MAXPAIN",IF($A$4&gt;$A33,($A$4-$A33)*IF(RTD("tos.rtd",,"OPEN_INT","."&amp;M$2&amp;M$1&amp;"C"&amp;$A33)="N/A",0,RTD("tos.rtd",,"OPEN_INT","."&amp;M$2&amp;M$1&amp;"C"&amp;$A33)),0)+IF($A$4&lt;$A33,($A33-$A$4)*IF(RTD("tos.rtd",,"OPEN_INT","."&amp;M$2&amp;M$1&amp;"P"&amp;$A33)="N/A",0,RTD("tos.rtd",,"OPEN_INT","."&amp;M$2&amp;M$1&amp;"P"&amp;$A33)),0),IF(RTD("tos.rtd",,$A$2,"."&amp;M$2&amp;M$1&amp;"C"&amp;$A33)="N/A",0,RTD("tos.rtd",,$A$2,"."&amp;M$2&amp;M$1&amp;"C"&amp;$A33))-IF(RTD("tos.rtd",,$A$2,"."&amp;M$2&amp;M$1&amp;"P"&amp;$A33)="N/A",0,RTD("tos.rtd",,$A$2,"."&amp;M$2&amp;M$1&amp;"P"&amp;$A33)))))))))</f>
        <v>-4660</v>
      </c>
      <c r="N33" s="12">
        <f>IF($A$2="PREMIUM_OI",IFERROR((100*RTD("tos.rtd",,"OPEN_INT","."&amp;N$2&amp;N$1&amp;"C"&amp;$A33)*RTD("tos.rtd",,"LAST","."&amp;N$2&amp;N$1&amp;"C"&amp;$A33)-100*RTD("tos.rtd",,"OPEN_INT","."&amp;N$2&amp;N$1&amp;"P"&amp;$A33)*RTD("tos.rtd",,"LAST","."&amp;N$2&amp;N$1&amp;"P"&amp;$A33))/1000000,0),IF($A$2="PREMIUM",IFERROR((100*RTD("tos.rtd",,"VOLUME","."&amp;N$2&amp;N$1&amp;"C"&amp;$A33)*RTD("tos.rtd",,"LAST","."&amp;N$2&amp;N$1&amp;"C"&amp;$A33)-100*RTD("tos.rtd",,"VOLUME","."&amp;N$2&amp;N$1&amp;"P"&amp;$A33)*RTD("tos.rtd",,"LAST","."&amp;N$2&amp;N$1&amp;"P"&amp;$A33))/1000000,0),IF($A$2="DEX",IFERROR((100*RTD("tos.rtd",,"OPEN_INT","."&amp;N$2&amp;N$1&amp;"C"&amp;$A33)*RTD("tos.rtd",,"DELTA","."&amp;N$2&amp;N$1&amp;"C"&amp;$A33)-100*RTD("tos.rtd",,"OPEN_INT","."&amp;N$2&amp;N$1&amp;"P"&amp;$A33)*RTD("tos.rtd",,"DELTA","."&amp;N$2&amp;N$1&amp;"P"&amp;$A33))/1000,0),IF($A$2="VEX",IFERROR(($A$4*$A$4*RTD("tos.rtd",,"VOLUME","."&amp;N$2&amp;N$1&amp;"C"&amp;$A33)*RTD("tos.rtd",,"GAMMA","."&amp;N$2&amp;N$1&amp;"C"&amp;$A33)-$A$4*$A$4*RTD("tos.rtd",,"VOLUME","."&amp;N$2&amp;N$1&amp;"P"&amp;$A33)*RTD("tos.rtd",,"GAMMA","."&amp;N$2&amp;N$1&amp;"P"&amp;$A33))/1000000,0),IF($A$2="GEX",IFERROR(($A$4*$A$4*RTD("tos.rtd",,"OPEN_INT","."&amp;N$2&amp;N$1&amp;"C"&amp;$A33)*RTD("tos.rtd",,"GAMMA","."&amp;N$2&amp;N$1&amp;"C"&amp;$A33)-$A$4*$A$4*RTD("tos.rtd",,"OPEN_INT","."&amp;N$2&amp;N$1&amp;"P"&amp;$A33)*RTD("tos.rtd",,"GAMMA","."&amp;N$2&amp;N$1&amp;"P"&amp;$A33))/1000000,0),IF($A$2="SKEW",IFERROR(VALUE(IF(RTD("tos.rtd",,"IMPL_VOL","."&amp;N$2&amp;N$1&amp;"P"&amp;$A33)="N/A",0,RTD("tos.rtd",,"IMPL_VOL","."&amp;N$2&amp;N$1&amp;"P"&amp;$A33))),0)-IFERROR(VALUE(IF(RTD("tos.rtd",,"IMPL_VOL","."&amp;N$2&amp;N$1&amp;"C"&amp;$A33)="N/A",0,RTD("tos.rtd",,"IMPL_VOL","."&amp;N$2&amp;N$1&amp;"C"&amp;$A33))),0),IF($A$2="MAXPAIN",IF($A$4&gt;$A33,($A$4-$A33)*IF(RTD("tos.rtd",,"OPEN_INT","."&amp;N$2&amp;N$1&amp;"C"&amp;$A33)="N/A",0,RTD("tos.rtd",,"OPEN_INT","."&amp;N$2&amp;N$1&amp;"C"&amp;$A33)),0)+IF($A$4&lt;$A33,($A33-$A$4)*IF(RTD("tos.rtd",,"OPEN_INT","."&amp;N$2&amp;N$1&amp;"P"&amp;$A33)="N/A",0,RTD("tos.rtd",,"OPEN_INT","."&amp;N$2&amp;N$1&amp;"P"&amp;$A33)),0),IF(RTD("tos.rtd",,$A$2,"."&amp;N$2&amp;N$1&amp;"C"&amp;$A33)="N/A",0,RTD("tos.rtd",,$A$2,"."&amp;N$2&amp;N$1&amp;"C"&amp;$A33))-IF(RTD("tos.rtd",,$A$2,"."&amp;N$2&amp;N$1&amp;"P"&amp;$A33)="N/A",0,RTD("tos.rtd",,$A$2,"."&amp;N$2&amp;N$1&amp;"P"&amp;$A33)))))))))</f>
        <v>0</v>
      </c>
      <c r="O33" s="12">
        <f>IF($A$2="PREMIUM_OI",IFERROR((100*RTD("tos.rtd",,"OPEN_INT","."&amp;O$2&amp;O$1&amp;"C"&amp;$A33)*RTD("tos.rtd",,"LAST","."&amp;O$2&amp;O$1&amp;"C"&amp;$A33)-100*RTD("tos.rtd",,"OPEN_INT","."&amp;O$2&amp;O$1&amp;"P"&amp;$A33)*RTD("tos.rtd",,"LAST","."&amp;O$2&amp;O$1&amp;"P"&amp;$A33))/1000000,0),IF($A$2="PREMIUM",IFERROR((100*RTD("tos.rtd",,"VOLUME","."&amp;O$2&amp;O$1&amp;"C"&amp;$A33)*RTD("tos.rtd",,"LAST","."&amp;O$2&amp;O$1&amp;"C"&amp;$A33)-100*RTD("tos.rtd",,"VOLUME","."&amp;O$2&amp;O$1&amp;"P"&amp;$A33)*RTD("tos.rtd",,"LAST","."&amp;O$2&amp;O$1&amp;"P"&amp;$A33))/1000000,0),IF($A$2="DEX",IFERROR((100*RTD("tos.rtd",,"OPEN_INT","."&amp;O$2&amp;O$1&amp;"C"&amp;$A33)*RTD("tos.rtd",,"DELTA","."&amp;O$2&amp;O$1&amp;"C"&amp;$A33)-100*RTD("tos.rtd",,"OPEN_INT","."&amp;O$2&amp;O$1&amp;"P"&amp;$A33)*RTD("tos.rtd",,"DELTA","."&amp;O$2&amp;O$1&amp;"P"&amp;$A33))/1000,0),IF($A$2="VEX",IFERROR(($A$4*$A$4*RTD("tos.rtd",,"VOLUME","."&amp;O$2&amp;O$1&amp;"C"&amp;$A33)*RTD("tos.rtd",,"GAMMA","."&amp;O$2&amp;O$1&amp;"C"&amp;$A33)-$A$4*$A$4*RTD("tos.rtd",,"VOLUME","."&amp;O$2&amp;O$1&amp;"P"&amp;$A33)*RTD("tos.rtd",,"GAMMA","."&amp;O$2&amp;O$1&amp;"P"&amp;$A33))/1000000,0),IF($A$2="GEX",IFERROR(($A$4*$A$4*RTD("tos.rtd",,"OPEN_INT","."&amp;O$2&amp;O$1&amp;"C"&amp;$A33)*RTD("tos.rtd",,"GAMMA","."&amp;O$2&amp;O$1&amp;"C"&amp;$A33)-$A$4*$A$4*RTD("tos.rtd",,"OPEN_INT","."&amp;O$2&amp;O$1&amp;"P"&amp;$A33)*RTD("tos.rtd",,"GAMMA","."&amp;O$2&amp;O$1&amp;"P"&amp;$A33))/1000000,0),IF($A$2="SKEW",IFERROR(VALUE(IF(RTD("tos.rtd",,"IMPL_VOL","."&amp;O$2&amp;O$1&amp;"P"&amp;$A33)="N/A",0,RTD("tos.rtd",,"IMPL_VOL","."&amp;O$2&amp;O$1&amp;"P"&amp;$A33))),0)-IFERROR(VALUE(IF(RTD("tos.rtd",,"IMPL_VOL","."&amp;O$2&amp;O$1&amp;"C"&amp;$A33)="N/A",0,RTD("tos.rtd",,"IMPL_VOL","."&amp;O$2&amp;O$1&amp;"C"&amp;$A33))),0),IF($A$2="MAXPAIN",IF($A$4&gt;$A33,($A$4-$A33)*IF(RTD("tos.rtd",,"OPEN_INT","."&amp;O$2&amp;O$1&amp;"C"&amp;$A33)="N/A",0,RTD("tos.rtd",,"OPEN_INT","."&amp;O$2&amp;O$1&amp;"C"&amp;$A33)),0)+IF($A$4&lt;$A33,($A33-$A$4)*IF(RTD("tos.rtd",,"OPEN_INT","."&amp;O$2&amp;O$1&amp;"P"&amp;$A33)="N/A",0,RTD("tos.rtd",,"OPEN_INT","."&amp;O$2&amp;O$1&amp;"P"&amp;$A33)),0),IF(RTD("tos.rtd",,$A$2,"."&amp;O$2&amp;O$1&amp;"C"&amp;$A33)="N/A",0,RTD("tos.rtd",,$A$2,"."&amp;O$2&amp;O$1&amp;"C"&amp;$A33))-IF(RTD("tos.rtd",,$A$2,"."&amp;O$2&amp;O$1&amp;"P"&amp;$A33)="N/A",0,RTD("tos.rtd",,$A$2,"."&amp;O$2&amp;O$1&amp;"P"&amp;$A33)))))))))</f>
        <v>0</v>
      </c>
      <c r="P33" s="12">
        <f>IF($A$2="PREMIUM_OI",IFERROR((100*RTD("tos.rtd",,"OPEN_INT","."&amp;P$2&amp;P$1&amp;"C"&amp;$A33)*RTD("tos.rtd",,"LAST","."&amp;P$2&amp;P$1&amp;"C"&amp;$A33)-100*RTD("tos.rtd",,"OPEN_INT","."&amp;P$2&amp;P$1&amp;"P"&amp;$A33)*RTD("tos.rtd",,"LAST","."&amp;P$2&amp;P$1&amp;"P"&amp;$A33))/1000000,0),IF($A$2="PREMIUM",IFERROR((100*RTD("tos.rtd",,"VOLUME","."&amp;P$2&amp;P$1&amp;"C"&amp;$A33)*RTD("tos.rtd",,"LAST","."&amp;P$2&amp;P$1&amp;"C"&amp;$A33)-100*RTD("tos.rtd",,"VOLUME","."&amp;P$2&amp;P$1&amp;"P"&amp;$A33)*RTD("tos.rtd",,"LAST","."&amp;P$2&amp;P$1&amp;"P"&amp;$A33))/1000000,0),IF($A$2="DEX",IFERROR((100*RTD("tos.rtd",,"OPEN_INT","."&amp;P$2&amp;P$1&amp;"C"&amp;$A33)*RTD("tos.rtd",,"DELTA","."&amp;P$2&amp;P$1&amp;"C"&amp;$A33)-100*RTD("tos.rtd",,"OPEN_INT","."&amp;P$2&amp;P$1&amp;"P"&amp;$A33)*RTD("tos.rtd",,"DELTA","."&amp;P$2&amp;P$1&amp;"P"&amp;$A33))/1000,0),IF($A$2="VEX",IFERROR(($A$4*$A$4*RTD("tos.rtd",,"VOLUME","."&amp;P$2&amp;P$1&amp;"C"&amp;$A33)*RTD("tos.rtd",,"GAMMA","."&amp;P$2&amp;P$1&amp;"C"&amp;$A33)-$A$4*$A$4*RTD("tos.rtd",,"VOLUME","."&amp;P$2&amp;P$1&amp;"P"&amp;$A33)*RTD("tos.rtd",,"GAMMA","."&amp;P$2&amp;P$1&amp;"P"&amp;$A33))/1000000,0),IF($A$2="GEX",IFERROR(($A$4*$A$4*RTD("tos.rtd",,"OPEN_INT","."&amp;P$2&amp;P$1&amp;"C"&amp;$A33)*RTD("tos.rtd",,"GAMMA","."&amp;P$2&amp;P$1&amp;"C"&amp;$A33)-$A$4*$A$4*RTD("tos.rtd",,"OPEN_INT","."&amp;P$2&amp;P$1&amp;"P"&amp;$A33)*RTD("tos.rtd",,"GAMMA","."&amp;P$2&amp;P$1&amp;"P"&amp;$A33))/1000000,0),IF($A$2="SKEW",IFERROR(VALUE(IF(RTD("tos.rtd",,"IMPL_VOL","."&amp;P$2&amp;P$1&amp;"P"&amp;$A33)="N/A",0,RTD("tos.rtd",,"IMPL_VOL","."&amp;P$2&amp;P$1&amp;"P"&amp;$A33))),0)-IFERROR(VALUE(IF(RTD("tos.rtd",,"IMPL_VOL","."&amp;P$2&amp;P$1&amp;"C"&amp;$A33)="N/A",0,RTD("tos.rtd",,"IMPL_VOL","."&amp;P$2&amp;P$1&amp;"C"&amp;$A33))),0),IF($A$2="MAXPAIN",IF($A$4&gt;$A33,($A$4-$A33)*IF(RTD("tos.rtd",,"OPEN_INT","."&amp;P$2&amp;P$1&amp;"C"&amp;$A33)="N/A",0,RTD("tos.rtd",,"OPEN_INT","."&amp;P$2&amp;P$1&amp;"C"&amp;$A33)),0)+IF($A$4&lt;$A33,($A33-$A$4)*IF(RTD("tos.rtd",,"OPEN_INT","."&amp;P$2&amp;P$1&amp;"P"&amp;$A33)="N/A",0,RTD("tos.rtd",,"OPEN_INT","."&amp;P$2&amp;P$1&amp;"P"&amp;$A33)),0),IF(RTD("tos.rtd",,$A$2,"."&amp;P$2&amp;P$1&amp;"C"&amp;$A33)="N/A",0,RTD("tos.rtd",,$A$2,"."&amp;P$2&amp;P$1&amp;"C"&amp;$A33))-IF(RTD("tos.rtd",,$A$2,"."&amp;P$2&amp;P$1&amp;"P"&amp;$A33)="N/A",0,RTD("tos.rtd",,$A$2,"."&amp;P$2&amp;P$1&amp;"P"&amp;$A33)))))))))</f>
        <v>0</v>
      </c>
      <c r="Q33" s="12">
        <f>IF($A$2="PREMIUM_OI",IFERROR((100*RTD("tos.rtd",,"OPEN_INT","."&amp;Q$2&amp;Q$1&amp;"C"&amp;$A33)*RTD("tos.rtd",,"LAST","."&amp;Q$2&amp;Q$1&amp;"C"&amp;$A33)-100*RTD("tos.rtd",,"OPEN_INT","."&amp;Q$2&amp;Q$1&amp;"P"&amp;$A33)*RTD("tos.rtd",,"LAST","."&amp;Q$2&amp;Q$1&amp;"P"&amp;$A33))/1000000,0),IF($A$2="PREMIUM",IFERROR((100*RTD("tos.rtd",,"VOLUME","."&amp;Q$2&amp;Q$1&amp;"C"&amp;$A33)*RTD("tos.rtd",,"LAST","."&amp;Q$2&amp;Q$1&amp;"C"&amp;$A33)-100*RTD("tos.rtd",,"VOLUME","."&amp;Q$2&amp;Q$1&amp;"P"&amp;$A33)*RTD("tos.rtd",,"LAST","."&amp;Q$2&amp;Q$1&amp;"P"&amp;$A33))/1000000,0),IF($A$2="DEX",IFERROR((100*RTD("tos.rtd",,"OPEN_INT","."&amp;Q$2&amp;Q$1&amp;"C"&amp;$A33)*RTD("tos.rtd",,"DELTA","."&amp;Q$2&amp;Q$1&amp;"C"&amp;$A33)-100*RTD("tos.rtd",,"OPEN_INT","."&amp;Q$2&amp;Q$1&amp;"P"&amp;$A33)*RTD("tos.rtd",,"DELTA","."&amp;Q$2&amp;Q$1&amp;"P"&amp;$A33))/1000,0),IF($A$2="VEX",IFERROR(($A$4*$A$4*RTD("tos.rtd",,"VOLUME","."&amp;Q$2&amp;Q$1&amp;"C"&amp;$A33)*RTD("tos.rtd",,"GAMMA","."&amp;Q$2&amp;Q$1&amp;"C"&amp;$A33)-$A$4*$A$4*RTD("tos.rtd",,"VOLUME","."&amp;Q$2&amp;Q$1&amp;"P"&amp;$A33)*RTD("tos.rtd",,"GAMMA","."&amp;Q$2&amp;Q$1&amp;"P"&amp;$A33))/1000000,0),IF($A$2="GEX",IFERROR(($A$4*$A$4*RTD("tos.rtd",,"OPEN_INT","."&amp;Q$2&amp;Q$1&amp;"C"&amp;$A33)*RTD("tos.rtd",,"GAMMA","."&amp;Q$2&amp;Q$1&amp;"C"&amp;$A33)-$A$4*$A$4*RTD("tos.rtd",,"OPEN_INT","."&amp;Q$2&amp;Q$1&amp;"P"&amp;$A33)*RTD("tos.rtd",,"GAMMA","."&amp;Q$2&amp;Q$1&amp;"P"&amp;$A33))/1000000,0),IF($A$2="SKEW",IFERROR(VALUE(IF(RTD("tos.rtd",,"IMPL_VOL","."&amp;Q$2&amp;Q$1&amp;"P"&amp;$A33)="N/A",0,RTD("tos.rtd",,"IMPL_VOL","."&amp;Q$2&amp;Q$1&amp;"P"&amp;$A33))),0)-IFERROR(VALUE(IF(RTD("tos.rtd",,"IMPL_VOL","."&amp;Q$2&amp;Q$1&amp;"C"&amp;$A33)="N/A",0,RTD("tos.rtd",,"IMPL_VOL","."&amp;Q$2&amp;Q$1&amp;"C"&amp;$A33))),0),IF($A$2="MAXPAIN",IF($A$4&gt;$A33,($A$4-$A33)*IF(RTD("tos.rtd",,"OPEN_INT","."&amp;Q$2&amp;Q$1&amp;"C"&amp;$A33)="N/A",0,RTD("tos.rtd",,"OPEN_INT","."&amp;Q$2&amp;Q$1&amp;"C"&amp;$A33)),0)+IF($A$4&lt;$A33,($A33-$A$4)*IF(RTD("tos.rtd",,"OPEN_INT","."&amp;Q$2&amp;Q$1&amp;"P"&amp;$A33)="N/A",0,RTD("tos.rtd",,"OPEN_INT","."&amp;Q$2&amp;Q$1&amp;"P"&amp;$A33)),0),IF(RTD("tos.rtd",,$A$2,"."&amp;Q$2&amp;Q$1&amp;"C"&amp;$A33)="N/A",0,RTD("tos.rtd",,$A$2,"."&amp;Q$2&amp;Q$1&amp;"C"&amp;$A33))-IF(RTD("tos.rtd",,$A$2,"."&amp;Q$2&amp;Q$1&amp;"P"&amp;$A33)="N/A",0,RTD("tos.rtd",,$A$2,"."&amp;Q$2&amp;Q$1&amp;"P"&amp;$A33)))))))))</f>
        <v>0</v>
      </c>
      <c r="R33" s="12">
        <f>IF($A$2="PREMIUM_OI",IFERROR((100*RTD("tos.rtd",,"OPEN_INT","."&amp;R$2&amp;R$1&amp;"C"&amp;$A33)*RTD("tos.rtd",,"LAST","."&amp;R$2&amp;R$1&amp;"C"&amp;$A33)-100*RTD("tos.rtd",,"OPEN_INT","."&amp;R$2&amp;R$1&amp;"P"&amp;$A33)*RTD("tos.rtd",,"LAST","."&amp;R$2&amp;R$1&amp;"P"&amp;$A33))/1000000,0),IF($A$2="PREMIUM",IFERROR((100*RTD("tos.rtd",,"VOLUME","."&amp;R$2&amp;R$1&amp;"C"&amp;$A33)*RTD("tos.rtd",,"LAST","."&amp;R$2&amp;R$1&amp;"C"&amp;$A33)-100*RTD("tos.rtd",,"VOLUME","."&amp;R$2&amp;R$1&amp;"P"&amp;$A33)*RTD("tos.rtd",,"LAST","."&amp;R$2&amp;R$1&amp;"P"&amp;$A33))/1000000,0),IF($A$2="DEX",IFERROR((100*RTD("tos.rtd",,"OPEN_INT","."&amp;R$2&amp;R$1&amp;"C"&amp;$A33)*RTD("tos.rtd",,"DELTA","."&amp;R$2&amp;R$1&amp;"C"&amp;$A33)-100*RTD("tos.rtd",,"OPEN_INT","."&amp;R$2&amp;R$1&amp;"P"&amp;$A33)*RTD("tos.rtd",,"DELTA","."&amp;R$2&amp;R$1&amp;"P"&amp;$A33))/1000,0),IF($A$2="VEX",IFERROR(($A$4*$A$4*RTD("tos.rtd",,"VOLUME","."&amp;R$2&amp;R$1&amp;"C"&amp;$A33)*RTD("tos.rtd",,"GAMMA","."&amp;R$2&amp;R$1&amp;"C"&amp;$A33)-$A$4*$A$4*RTD("tos.rtd",,"VOLUME","."&amp;R$2&amp;R$1&amp;"P"&amp;$A33)*RTD("tos.rtd",,"GAMMA","."&amp;R$2&amp;R$1&amp;"P"&amp;$A33))/1000000,0),IF($A$2="GEX",IFERROR(($A$4*$A$4*RTD("tos.rtd",,"OPEN_INT","."&amp;R$2&amp;R$1&amp;"C"&amp;$A33)*RTD("tos.rtd",,"GAMMA","."&amp;R$2&amp;R$1&amp;"C"&amp;$A33)-$A$4*$A$4*RTD("tos.rtd",,"OPEN_INT","."&amp;R$2&amp;R$1&amp;"P"&amp;$A33)*RTD("tos.rtd",,"GAMMA","."&amp;R$2&amp;R$1&amp;"P"&amp;$A33))/1000000,0),IF($A$2="SKEW",IFERROR(VALUE(IF(RTD("tos.rtd",,"IMPL_VOL","."&amp;R$2&amp;R$1&amp;"P"&amp;$A33)="N/A",0,RTD("tos.rtd",,"IMPL_VOL","."&amp;R$2&amp;R$1&amp;"P"&amp;$A33))),0)-IFERROR(VALUE(IF(RTD("tos.rtd",,"IMPL_VOL","."&amp;R$2&amp;R$1&amp;"C"&amp;$A33)="N/A",0,RTD("tos.rtd",,"IMPL_VOL","."&amp;R$2&amp;R$1&amp;"C"&amp;$A33))),0),IF($A$2="MAXPAIN",IF($A$4&gt;$A33,($A$4-$A33)*IF(RTD("tos.rtd",,"OPEN_INT","."&amp;R$2&amp;R$1&amp;"C"&amp;$A33)="N/A",0,RTD("tos.rtd",,"OPEN_INT","."&amp;R$2&amp;R$1&amp;"C"&amp;$A33)),0)+IF($A$4&lt;$A33,($A33-$A$4)*IF(RTD("tos.rtd",,"OPEN_INT","."&amp;R$2&amp;R$1&amp;"P"&amp;$A33)="N/A",0,RTD("tos.rtd",,"OPEN_INT","."&amp;R$2&amp;R$1&amp;"P"&amp;$A33)),0),IF(RTD("tos.rtd",,$A$2,"."&amp;R$2&amp;R$1&amp;"C"&amp;$A33)="N/A",0,RTD("tos.rtd",,$A$2,"."&amp;R$2&amp;R$1&amp;"C"&amp;$A33))-IF(RTD("tos.rtd",,$A$2,"."&amp;R$2&amp;R$1&amp;"P"&amp;$A33)="N/A",0,RTD("tos.rtd",,$A$2,"."&amp;R$2&amp;R$1&amp;"P"&amp;$A33)))))))))</f>
        <v>-2121</v>
      </c>
      <c r="S33" s="12">
        <f>IF($A$2="PREMIUM_OI",IFERROR((100*RTD("tos.rtd",,"OPEN_INT","."&amp;S$2&amp;S$1&amp;"C"&amp;$A33)*RTD("tos.rtd",,"LAST","."&amp;S$2&amp;S$1&amp;"C"&amp;$A33)-100*RTD("tos.rtd",,"OPEN_INT","."&amp;S$2&amp;S$1&amp;"P"&amp;$A33)*RTD("tos.rtd",,"LAST","."&amp;S$2&amp;S$1&amp;"P"&amp;$A33))/1000000,0),IF($A$2="PREMIUM",IFERROR((100*RTD("tos.rtd",,"VOLUME","."&amp;S$2&amp;S$1&amp;"C"&amp;$A33)*RTD("tos.rtd",,"LAST","."&amp;S$2&amp;S$1&amp;"C"&amp;$A33)-100*RTD("tos.rtd",,"VOLUME","."&amp;S$2&amp;S$1&amp;"P"&amp;$A33)*RTD("tos.rtd",,"LAST","."&amp;S$2&amp;S$1&amp;"P"&amp;$A33))/1000000,0),IF($A$2="DEX",IFERROR((100*RTD("tos.rtd",,"OPEN_INT","."&amp;S$2&amp;S$1&amp;"C"&amp;$A33)*RTD("tos.rtd",,"DELTA","."&amp;S$2&amp;S$1&amp;"C"&amp;$A33)-100*RTD("tos.rtd",,"OPEN_INT","."&amp;S$2&amp;S$1&amp;"P"&amp;$A33)*RTD("tos.rtd",,"DELTA","."&amp;S$2&amp;S$1&amp;"P"&amp;$A33))/1000,0),IF($A$2="VEX",IFERROR(($A$4*$A$4*RTD("tos.rtd",,"VOLUME","."&amp;S$2&amp;S$1&amp;"C"&amp;$A33)*RTD("tos.rtd",,"GAMMA","."&amp;S$2&amp;S$1&amp;"C"&amp;$A33)-$A$4*$A$4*RTD("tos.rtd",,"VOLUME","."&amp;S$2&amp;S$1&amp;"P"&amp;$A33)*RTD("tos.rtd",,"GAMMA","."&amp;S$2&amp;S$1&amp;"P"&amp;$A33))/1000000,0),IF($A$2="GEX",IFERROR(($A$4*$A$4*RTD("tos.rtd",,"OPEN_INT","."&amp;S$2&amp;S$1&amp;"C"&amp;$A33)*RTD("tos.rtd",,"GAMMA","."&amp;S$2&amp;S$1&amp;"C"&amp;$A33)-$A$4*$A$4*RTD("tos.rtd",,"OPEN_INT","."&amp;S$2&amp;S$1&amp;"P"&amp;$A33)*RTD("tos.rtd",,"GAMMA","."&amp;S$2&amp;S$1&amp;"P"&amp;$A33))/1000000,0),IF($A$2="SKEW",IFERROR(VALUE(IF(RTD("tos.rtd",,"IMPL_VOL","."&amp;S$2&amp;S$1&amp;"P"&amp;$A33)="N/A",0,RTD("tos.rtd",,"IMPL_VOL","."&amp;S$2&amp;S$1&amp;"P"&amp;$A33))),0)-IFERROR(VALUE(IF(RTD("tos.rtd",,"IMPL_VOL","."&amp;S$2&amp;S$1&amp;"C"&amp;$A33)="N/A",0,RTD("tos.rtd",,"IMPL_VOL","."&amp;S$2&amp;S$1&amp;"C"&amp;$A33))),0),IF($A$2="MAXPAIN",IF($A$4&gt;$A33,($A$4-$A33)*IF(RTD("tos.rtd",,"OPEN_INT","."&amp;S$2&amp;S$1&amp;"C"&amp;$A33)="N/A",0,RTD("tos.rtd",,"OPEN_INT","."&amp;S$2&amp;S$1&amp;"C"&amp;$A33)),0)+IF($A$4&lt;$A33,($A33-$A$4)*IF(RTD("tos.rtd",,"OPEN_INT","."&amp;S$2&amp;S$1&amp;"P"&amp;$A33)="N/A",0,RTD("tos.rtd",,"OPEN_INT","."&amp;S$2&amp;S$1&amp;"P"&amp;$A33)),0),IF(RTD("tos.rtd",,$A$2,"."&amp;S$2&amp;S$1&amp;"C"&amp;$A33)="N/A",0,RTD("tos.rtd",,$A$2,"."&amp;S$2&amp;S$1&amp;"C"&amp;$A33))-IF(RTD("tos.rtd",,$A$2,"."&amp;S$2&amp;S$1&amp;"P"&amp;$A33)="N/A",0,RTD("tos.rtd",,$A$2,"."&amp;S$2&amp;S$1&amp;"P"&amp;$A33)))))))))</f>
        <v>-2770</v>
      </c>
      <c r="T33" s="12">
        <f>IF($A$2="PREMIUM_OI",IFERROR((100*RTD("tos.rtd",,"OPEN_INT","."&amp;T$2&amp;T$1&amp;"C"&amp;$A33)*RTD("tos.rtd",,"LAST","."&amp;T$2&amp;T$1&amp;"C"&amp;$A33)-100*RTD("tos.rtd",,"OPEN_INT","."&amp;T$2&amp;T$1&amp;"P"&amp;$A33)*RTD("tos.rtd",,"LAST","."&amp;T$2&amp;T$1&amp;"P"&amp;$A33))/1000000,0),IF($A$2="PREMIUM",IFERROR((100*RTD("tos.rtd",,"VOLUME","."&amp;T$2&amp;T$1&amp;"C"&amp;$A33)*RTD("tos.rtd",,"LAST","."&amp;T$2&amp;T$1&amp;"C"&amp;$A33)-100*RTD("tos.rtd",,"VOLUME","."&amp;T$2&amp;T$1&amp;"P"&amp;$A33)*RTD("tos.rtd",,"LAST","."&amp;T$2&amp;T$1&amp;"P"&amp;$A33))/1000000,0),IF($A$2="DEX",IFERROR((100*RTD("tos.rtd",,"OPEN_INT","."&amp;T$2&amp;T$1&amp;"C"&amp;$A33)*RTD("tos.rtd",,"DELTA","."&amp;T$2&amp;T$1&amp;"C"&amp;$A33)-100*RTD("tos.rtd",,"OPEN_INT","."&amp;T$2&amp;T$1&amp;"P"&amp;$A33)*RTD("tos.rtd",,"DELTA","."&amp;T$2&amp;T$1&amp;"P"&amp;$A33))/1000,0),IF($A$2="VEX",IFERROR(($A$4*$A$4*RTD("tos.rtd",,"VOLUME","."&amp;T$2&amp;T$1&amp;"C"&amp;$A33)*RTD("tos.rtd",,"GAMMA","."&amp;T$2&amp;T$1&amp;"C"&amp;$A33)-$A$4*$A$4*RTD("tos.rtd",,"VOLUME","."&amp;T$2&amp;T$1&amp;"P"&amp;$A33)*RTD("tos.rtd",,"GAMMA","."&amp;T$2&amp;T$1&amp;"P"&amp;$A33))/1000000,0),IF($A$2="GEX",IFERROR(($A$4*$A$4*RTD("tos.rtd",,"OPEN_INT","."&amp;T$2&amp;T$1&amp;"C"&amp;$A33)*RTD("tos.rtd",,"GAMMA","."&amp;T$2&amp;T$1&amp;"C"&amp;$A33)-$A$4*$A$4*RTD("tos.rtd",,"OPEN_INT","."&amp;T$2&amp;T$1&amp;"P"&amp;$A33)*RTD("tos.rtd",,"GAMMA","."&amp;T$2&amp;T$1&amp;"P"&amp;$A33))/1000000,0),IF($A$2="SKEW",IFERROR(VALUE(IF(RTD("tos.rtd",,"IMPL_VOL","."&amp;T$2&amp;T$1&amp;"P"&amp;$A33)="N/A",0,RTD("tos.rtd",,"IMPL_VOL","."&amp;T$2&amp;T$1&amp;"P"&amp;$A33))),0)-IFERROR(VALUE(IF(RTD("tos.rtd",,"IMPL_VOL","."&amp;T$2&amp;T$1&amp;"C"&amp;$A33)="N/A",0,RTD("tos.rtd",,"IMPL_VOL","."&amp;T$2&amp;T$1&amp;"C"&amp;$A33))),0),IF($A$2="MAXPAIN",IF($A$4&gt;$A33,($A$4-$A33)*IF(RTD("tos.rtd",,"OPEN_INT","."&amp;T$2&amp;T$1&amp;"C"&amp;$A33)="N/A",0,RTD("tos.rtd",,"OPEN_INT","."&amp;T$2&amp;T$1&amp;"C"&amp;$A33)),0)+IF($A$4&lt;$A33,($A33-$A$4)*IF(RTD("tos.rtd",,"OPEN_INT","."&amp;T$2&amp;T$1&amp;"P"&amp;$A33)="N/A",0,RTD("tos.rtd",,"OPEN_INT","."&amp;T$2&amp;T$1&amp;"P"&amp;$A33)),0),IF(RTD("tos.rtd",,$A$2,"."&amp;T$2&amp;T$1&amp;"C"&amp;$A33)="N/A",0,RTD("tos.rtd",,$A$2,"."&amp;T$2&amp;T$1&amp;"C"&amp;$A33))-IF(RTD("tos.rtd",,$A$2,"."&amp;T$2&amp;T$1&amp;"P"&amp;$A33)="N/A",0,RTD("tos.rtd",,$A$2,"."&amp;T$2&amp;T$1&amp;"P"&amp;$A33)))))))))</f>
        <v>-533</v>
      </c>
      <c r="U33" s="12">
        <f>IF($A$2="PREMIUM_OI",IFERROR((100*RTD("tos.rtd",,"OPEN_INT","."&amp;U$2&amp;U$1&amp;"C"&amp;$A33)*RTD("tos.rtd",,"LAST","."&amp;U$2&amp;U$1&amp;"C"&amp;$A33)-100*RTD("tos.rtd",,"OPEN_INT","."&amp;U$2&amp;U$1&amp;"P"&amp;$A33)*RTD("tos.rtd",,"LAST","."&amp;U$2&amp;U$1&amp;"P"&amp;$A33))/1000000,0),IF($A$2="PREMIUM",IFERROR((100*RTD("tos.rtd",,"VOLUME","."&amp;U$2&amp;U$1&amp;"C"&amp;$A33)*RTD("tos.rtd",,"LAST","."&amp;U$2&amp;U$1&amp;"C"&amp;$A33)-100*RTD("tos.rtd",,"VOLUME","."&amp;U$2&amp;U$1&amp;"P"&amp;$A33)*RTD("tos.rtd",,"LAST","."&amp;U$2&amp;U$1&amp;"P"&amp;$A33))/1000000,0),IF($A$2="DEX",IFERROR((100*RTD("tos.rtd",,"OPEN_INT","."&amp;U$2&amp;U$1&amp;"C"&amp;$A33)*RTD("tos.rtd",,"DELTA","."&amp;U$2&amp;U$1&amp;"C"&amp;$A33)-100*RTD("tos.rtd",,"OPEN_INT","."&amp;U$2&amp;U$1&amp;"P"&amp;$A33)*RTD("tos.rtd",,"DELTA","."&amp;U$2&amp;U$1&amp;"P"&amp;$A33))/1000,0),IF($A$2="VEX",IFERROR(($A$4*$A$4*RTD("tos.rtd",,"VOLUME","."&amp;U$2&amp;U$1&amp;"C"&amp;$A33)*RTD("tos.rtd",,"GAMMA","."&amp;U$2&amp;U$1&amp;"C"&amp;$A33)-$A$4*$A$4*RTD("tos.rtd",,"VOLUME","."&amp;U$2&amp;U$1&amp;"P"&amp;$A33)*RTD("tos.rtd",,"GAMMA","."&amp;U$2&amp;U$1&amp;"P"&amp;$A33))/1000000,0),IF($A$2="GEX",IFERROR(($A$4*$A$4*RTD("tos.rtd",,"OPEN_INT","."&amp;U$2&amp;U$1&amp;"C"&amp;$A33)*RTD("tos.rtd",,"GAMMA","."&amp;U$2&amp;U$1&amp;"C"&amp;$A33)-$A$4*$A$4*RTD("tos.rtd",,"OPEN_INT","."&amp;U$2&amp;U$1&amp;"P"&amp;$A33)*RTD("tos.rtd",,"GAMMA","."&amp;U$2&amp;U$1&amp;"P"&amp;$A33))/1000000,0),IF($A$2="SKEW",IFERROR(VALUE(IF(RTD("tos.rtd",,"IMPL_VOL","."&amp;U$2&amp;U$1&amp;"P"&amp;$A33)="N/A",0,RTD("tos.rtd",,"IMPL_VOL","."&amp;U$2&amp;U$1&amp;"P"&amp;$A33))),0)-IFERROR(VALUE(IF(RTD("tos.rtd",,"IMPL_VOL","."&amp;U$2&amp;U$1&amp;"C"&amp;$A33)="N/A",0,RTD("tos.rtd",,"IMPL_VOL","."&amp;U$2&amp;U$1&amp;"C"&amp;$A33))),0),IF($A$2="MAXPAIN",IF($A$4&gt;$A33,($A$4-$A33)*IF(RTD("tos.rtd",,"OPEN_INT","."&amp;U$2&amp;U$1&amp;"C"&amp;$A33)="N/A",0,RTD("tos.rtd",,"OPEN_INT","."&amp;U$2&amp;U$1&amp;"C"&amp;$A33)),0)+IF($A$4&lt;$A33,($A33-$A$4)*IF(RTD("tos.rtd",,"OPEN_INT","."&amp;U$2&amp;U$1&amp;"P"&amp;$A33)="N/A",0,RTD("tos.rtd",,"OPEN_INT","."&amp;U$2&amp;U$1&amp;"P"&amp;$A33)),0),IF(RTD("tos.rtd",,$A$2,"."&amp;U$2&amp;U$1&amp;"C"&amp;$A33)="N/A",0,RTD("tos.rtd",,$A$2,"."&amp;U$2&amp;U$1&amp;"C"&amp;$A33))-IF(RTD("tos.rtd",,$A$2,"."&amp;U$2&amp;U$1&amp;"P"&amp;$A33)="N/A",0,RTD("tos.rtd",,$A$2,"."&amp;U$2&amp;U$1&amp;"P"&amp;$A33)))))))))</f>
        <v>0</v>
      </c>
      <c r="V33" s="12">
        <f>IF($A$2="PREMIUM_OI",IFERROR((100*RTD("tos.rtd",,"OPEN_INT","."&amp;V$2&amp;V$1&amp;"C"&amp;$A33)*RTD("tos.rtd",,"LAST","."&amp;V$2&amp;V$1&amp;"C"&amp;$A33)-100*RTD("tos.rtd",,"OPEN_INT","."&amp;V$2&amp;V$1&amp;"P"&amp;$A33)*RTD("tos.rtd",,"LAST","."&amp;V$2&amp;V$1&amp;"P"&amp;$A33))/1000000,0),IF($A$2="PREMIUM",IFERROR((100*RTD("tos.rtd",,"VOLUME","."&amp;V$2&amp;V$1&amp;"C"&amp;$A33)*RTD("tos.rtd",,"LAST","."&amp;V$2&amp;V$1&amp;"C"&amp;$A33)-100*RTD("tos.rtd",,"VOLUME","."&amp;V$2&amp;V$1&amp;"P"&amp;$A33)*RTD("tos.rtd",,"LAST","."&amp;V$2&amp;V$1&amp;"P"&amp;$A33))/1000000,0),IF($A$2="DEX",IFERROR((100*RTD("tos.rtd",,"OPEN_INT","."&amp;V$2&amp;V$1&amp;"C"&amp;$A33)*RTD("tos.rtd",,"DELTA","."&amp;V$2&amp;V$1&amp;"C"&amp;$A33)-100*RTD("tos.rtd",,"OPEN_INT","."&amp;V$2&amp;V$1&amp;"P"&amp;$A33)*RTD("tos.rtd",,"DELTA","."&amp;V$2&amp;V$1&amp;"P"&amp;$A33))/1000,0),IF($A$2="VEX",IFERROR(($A$4*$A$4*RTD("tos.rtd",,"VOLUME","."&amp;V$2&amp;V$1&amp;"C"&amp;$A33)*RTD("tos.rtd",,"GAMMA","."&amp;V$2&amp;V$1&amp;"C"&amp;$A33)-$A$4*$A$4*RTD("tos.rtd",,"VOLUME","."&amp;V$2&amp;V$1&amp;"P"&amp;$A33)*RTD("tos.rtd",,"GAMMA","."&amp;V$2&amp;V$1&amp;"P"&amp;$A33))/1000000,0),IF($A$2="GEX",IFERROR(($A$4*$A$4*RTD("tos.rtd",,"OPEN_INT","."&amp;V$2&amp;V$1&amp;"C"&amp;$A33)*RTD("tos.rtd",,"GAMMA","."&amp;V$2&amp;V$1&amp;"C"&amp;$A33)-$A$4*$A$4*RTD("tos.rtd",,"OPEN_INT","."&amp;V$2&amp;V$1&amp;"P"&amp;$A33)*RTD("tos.rtd",,"GAMMA","."&amp;V$2&amp;V$1&amp;"P"&amp;$A33))/1000000,0),IF($A$2="SKEW",IFERROR(VALUE(IF(RTD("tos.rtd",,"IMPL_VOL","."&amp;V$2&amp;V$1&amp;"P"&amp;$A33)="N/A",0,RTD("tos.rtd",,"IMPL_VOL","."&amp;V$2&amp;V$1&amp;"P"&amp;$A33))),0)-IFERROR(VALUE(IF(RTD("tos.rtd",,"IMPL_VOL","."&amp;V$2&amp;V$1&amp;"C"&amp;$A33)="N/A",0,RTD("tos.rtd",,"IMPL_VOL","."&amp;V$2&amp;V$1&amp;"C"&amp;$A33))),0),IF($A$2="MAXPAIN",IF($A$4&gt;$A33,($A$4-$A33)*IF(RTD("tos.rtd",,"OPEN_INT","."&amp;V$2&amp;V$1&amp;"C"&amp;$A33)="N/A",0,RTD("tos.rtd",,"OPEN_INT","."&amp;V$2&amp;V$1&amp;"C"&amp;$A33)),0)+IF($A$4&lt;$A33,($A33-$A$4)*IF(RTD("tos.rtd",,"OPEN_INT","."&amp;V$2&amp;V$1&amp;"P"&amp;$A33)="N/A",0,RTD("tos.rtd",,"OPEN_INT","."&amp;V$2&amp;V$1&amp;"P"&amp;$A33)),0),IF(RTD("tos.rtd",,$A$2,"."&amp;V$2&amp;V$1&amp;"C"&amp;$A33)="N/A",0,RTD("tos.rtd",,$A$2,"."&amp;V$2&amp;V$1&amp;"C"&amp;$A33))-IF(RTD("tos.rtd",,$A$2,"."&amp;V$2&amp;V$1&amp;"P"&amp;$A33)="N/A",0,RTD("tos.rtd",,$A$2,"."&amp;V$2&amp;V$1&amp;"P"&amp;$A33)))))))))</f>
        <v>0</v>
      </c>
      <c r="W33" s="12">
        <f>IF($A$2="PREMIUM_OI",IFERROR((100*RTD("tos.rtd",,"OPEN_INT","."&amp;W$2&amp;W$1&amp;"C"&amp;$A33)*RTD("tos.rtd",,"LAST","."&amp;W$2&amp;W$1&amp;"C"&amp;$A33)-100*RTD("tos.rtd",,"OPEN_INT","."&amp;W$2&amp;W$1&amp;"P"&amp;$A33)*RTD("tos.rtd",,"LAST","."&amp;W$2&amp;W$1&amp;"P"&amp;$A33))/1000000,0),IF($A$2="PREMIUM",IFERROR((100*RTD("tos.rtd",,"VOLUME","."&amp;W$2&amp;W$1&amp;"C"&amp;$A33)*RTD("tos.rtd",,"LAST","."&amp;W$2&amp;W$1&amp;"C"&amp;$A33)-100*RTD("tos.rtd",,"VOLUME","."&amp;W$2&amp;W$1&amp;"P"&amp;$A33)*RTD("tos.rtd",,"LAST","."&amp;W$2&amp;W$1&amp;"P"&amp;$A33))/1000000,0),IF($A$2="DEX",IFERROR((100*RTD("tos.rtd",,"OPEN_INT","."&amp;W$2&amp;W$1&amp;"C"&amp;$A33)*RTD("tos.rtd",,"DELTA","."&amp;W$2&amp;W$1&amp;"C"&amp;$A33)-100*RTD("tos.rtd",,"OPEN_INT","."&amp;W$2&amp;W$1&amp;"P"&amp;$A33)*RTD("tos.rtd",,"DELTA","."&amp;W$2&amp;W$1&amp;"P"&amp;$A33))/1000,0),IF($A$2="VEX",IFERROR(($A$4*$A$4*RTD("tos.rtd",,"VOLUME","."&amp;W$2&amp;W$1&amp;"C"&amp;$A33)*RTD("tos.rtd",,"GAMMA","."&amp;W$2&amp;W$1&amp;"C"&amp;$A33)-$A$4*$A$4*RTD("tos.rtd",,"VOLUME","."&amp;W$2&amp;W$1&amp;"P"&amp;$A33)*RTD("tos.rtd",,"GAMMA","."&amp;W$2&amp;W$1&amp;"P"&amp;$A33))/1000000,0),IF($A$2="GEX",IFERROR(($A$4*$A$4*RTD("tos.rtd",,"OPEN_INT","."&amp;W$2&amp;W$1&amp;"C"&amp;$A33)*RTD("tos.rtd",,"GAMMA","."&amp;W$2&amp;W$1&amp;"C"&amp;$A33)-$A$4*$A$4*RTD("tos.rtd",,"OPEN_INT","."&amp;W$2&amp;W$1&amp;"P"&amp;$A33)*RTD("tos.rtd",,"GAMMA","."&amp;W$2&amp;W$1&amp;"P"&amp;$A33))/1000000,0),IF($A$2="SKEW",IFERROR(VALUE(IF(RTD("tos.rtd",,"IMPL_VOL","."&amp;W$2&amp;W$1&amp;"P"&amp;$A33)="N/A",0,RTD("tos.rtd",,"IMPL_VOL","."&amp;W$2&amp;W$1&amp;"P"&amp;$A33))),0)-IFERROR(VALUE(IF(RTD("tos.rtd",,"IMPL_VOL","."&amp;W$2&amp;W$1&amp;"C"&amp;$A33)="N/A",0,RTD("tos.rtd",,"IMPL_VOL","."&amp;W$2&amp;W$1&amp;"C"&amp;$A33))),0),IF($A$2="MAXPAIN",IF($A$4&gt;$A33,($A$4-$A33)*IF(RTD("tos.rtd",,"OPEN_INT","."&amp;W$2&amp;W$1&amp;"C"&amp;$A33)="N/A",0,RTD("tos.rtd",,"OPEN_INT","."&amp;W$2&amp;W$1&amp;"C"&amp;$A33)),0)+IF($A$4&lt;$A33,($A33-$A$4)*IF(RTD("tos.rtd",,"OPEN_INT","."&amp;W$2&amp;W$1&amp;"P"&amp;$A33)="N/A",0,RTD("tos.rtd",,"OPEN_INT","."&amp;W$2&amp;W$1&amp;"P"&amp;$A33)),0),IF(RTD("tos.rtd",,$A$2,"."&amp;W$2&amp;W$1&amp;"C"&amp;$A33)="N/A",0,RTD("tos.rtd",,$A$2,"."&amp;W$2&amp;W$1&amp;"C"&amp;$A33))-IF(RTD("tos.rtd",,$A$2,"."&amp;W$2&amp;W$1&amp;"P"&amp;$A33)="N/A",0,RTD("tos.rtd",,$A$2,"."&amp;W$2&amp;W$1&amp;"P"&amp;$A33)))))))))</f>
        <v>5822</v>
      </c>
      <c r="X33" s="12">
        <f t="shared" ca="1" si="7"/>
        <v>2519</v>
      </c>
      <c r="Y33" s="27">
        <f t="shared" ca="1" si="8"/>
        <v>2519</v>
      </c>
      <c r="AA33" s="35">
        <f>+IF($AJ$1,AJ33,TASTYOHLC!A33)</f>
        <v>0</v>
      </c>
      <c r="AB33" s="8">
        <f>+IF($AJ$1,AK33,TASTYOHLC!B33)</f>
        <v>0</v>
      </c>
      <c r="AC33" s="8">
        <f>+IF($AJ$1,AL33,TASTYOHLC!C33)</f>
        <v>0</v>
      </c>
      <c r="AD33" s="8">
        <f>+IF($AJ$1,AM33,TASTYOHLC!D33)</f>
        <v>0</v>
      </c>
      <c r="AE33" s="8">
        <f>+IF($AJ$1,AN33,TASTYOHLC!E33)</f>
        <v>0</v>
      </c>
      <c r="AF33" s="8"/>
      <c r="AJ33" s="37"/>
    </row>
    <row r="34" spans="1:36" s="19" customFormat="1" ht="11.1" customHeight="1" thickBot="1" x14ac:dyDescent="0.3">
      <c r="A34" s="23">
        <f t="shared" si="13"/>
        <v>5</v>
      </c>
      <c r="B34" s="14">
        <f>IF($A$2="PREMIUM_OI",IFERROR((100*RTD("tos.rtd",,"OPEN_INT","."&amp;B$2&amp;B$1&amp;"C"&amp;$A34)*RTD("tos.rtd",,"LAST","."&amp;B$2&amp;B$1&amp;"C"&amp;$A34)-100*RTD("tos.rtd",,"OPEN_INT","."&amp;B$2&amp;B$1&amp;"P"&amp;$A34)*RTD("tos.rtd",,"LAST","."&amp;B$2&amp;B$1&amp;"P"&amp;$A34))/1000000,0),IF($A$2="PREMIUM",IFERROR((100*RTD("tos.rtd",,"VOLUME","."&amp;B$2&amp;B$1&amp;"C"&amp;$A34)*RTD("tos.rtd",,"LAST","."&amp;B$2&amp;B$1&amp;"C"&amp;$A34)-100*RTD("tos.rtd",,"VOLUME","."&amp;B$2&amp;B$1&amp;"P"&amp;$A34)*RTD("tos.rtd",,"LAST","."&amp;B$2&amp;B$1&amp;"P"&amp;$A34))/1000000,0),IF($A$2="DEX",IFERROR((100*RTD("tos.rtd",,"OPEN_INT","."&amp;B$2&amp;B$1&amp;"C"&amp;$A34)*RTD("tos.rtd",,"DELTA","."&amp;B$2&amp;B$1&amp;"C"&amp;$A34)-100*RTD("tos.rtd",,"OPEN_INT","."&amp;B$2&amp;B$1&amp;"P"&amp;$A34)*RTD("tos.rtd",,"DELTA","."&amp;B$2&amp;B$1&amp;"P"&amp;$A34))/1000,0),IF($A$2="VEX",IFERROR(($A$4*$A$4*RTD("tos.rtd",,"VOLUME","."&amp;B$2&amp;B$1&amp;"C"&amp;$A34)*RTD("tos.rtd",,"GAMMA","."&amp;B$2&amp;B$1&amp;"C"&amp;$A34)-$A$4*$A$4*RTD("tos.rtd",,"VOLUME","."&amp;B$2&amp;B$1&amp;"P"&amp;$A34)*RTD("tos.rtd",,"GAMMA","."&amp;B$2&amp;B$1&amp;"P"&amp;$A34))/1000000,0),IF($A$2="GEX",IFERROR(($A$4*$A$4*RTD("tos.rtd",,"OPEN_INT","."&amp;B$2&amp;B$1&amp;"C"&amp;$A34)*RTD("tos.rtd",,"GAMMA","."&amp;B$2&amp;B$1&amp;"C"&amp;$A34)-$A$4*$A$4*RTD("tos.rtd",,"OPEN_INT","."&amp;B$2&amp;B$1&amp;"P"&amp;$A34)*RTD("tos.rtd",,"GAMMA","."&amp;B$2&amp;B$1&amp;"P"&amp;$A34))/1000000,0),IF($A$2="SKEW",IFERROR(VALUE(IF(RTD("tos.rtd",,"IMPL_VOL","."&amp;B$2&amp;B$1&amp;"P"&amp;$A34)="N/A",0,RTD("tos.rtd",,"IMPL_VOL","."&amp;B$2&amp;B$1&amp;"P"&amp;$A34))),0)-IFERROR(VALUE(IF(RTD("tos.rtd",,"IMPL_VOL","."&amp;B$2&amp;B$1&amp;"C"&amp;$A34)="N/A",0,RTD("tos.rtd",,"IMPL_VOL","."&amp;B$2&amp;B$1&amp;"C"&amp;$A34))),0),IF($A$2="MAXPAIN",IF($A$4&gt;$A34,($A$4-$A34)*IF(RTD("tos.rtd",,"OPEN_INT","."&amp;B$2&amp;B$1&amp;"C"&amp;$A34)="N/A",0,RTD("tos.rtd",,"OPEN_INT","."&amp;B$2&amp;B$1&amp;"C"&amp;$A34)),0)+IF($A$4&lt;$A34,($A34-$A$4)*IF(RTD("tos.rtd",,"OPEN_INT","."&amp;B$2&amp;B$1&amp;"P"&amp;$A34)="N/A",0,RTD("tos.rtd",,"OPEN_INT","."&amp;B$2&amp;B$1&amp;"P"&amp;$A34)),0),IF(RTD("tos.rtd",,$A$2,"."&amp;B$2&amp;B$1&amp;"C"&amp;$A34)="N/A",0,RTD("tos.rtd",,$A$2,"."&amp;B$2&amp;B$1&amp;"C"&amp;$A34))-IF(RTD("tos.rtd",,$A$2,"."&amp;B$2&amp;B$1&amp;"P"&amp;$A34)="N/A",0,RTD("tos.rtd",,$A$2,"."&amp;B$2&amp;B$1&amp;"P"&amp;$A34)))))))))</f>
        <v>0</v>
      </c>
      <c r="C34" s="12">
        <f>IF($A$2="PREMIUM_OI",IFERROR((100*RTD("tos.rtd",,"OPEN_INT","."&amp;C$2&amp;C$1&amp;"C"&amp;$A34)*RTD("tos.rtd",,"LAST","."&amp;C$2&amp;C$1&amp;"C"&amp;$A34)-100*RTD("tos.rtd",,"OPEN_INT","."&amp;C$2&amp;C$1&amp;"P"&amp;$A34)*RTD("tos.rtd",,"LAST","."&amp;C$2&amp;C$1&amp;"P"&amp;$A34))/1000000,0),IF($A$2="PREMIUM",IFERROR((100*RTD("tos.rtd",,"VOLUME","."&amp;C$2&amp;C$1&amp;"C"&amp;$A34)*RTD("tos.rtd",,"LAST","."&amp;C$2&amp;C$1&amp;"C"&amp;$A34)-100*RTD("tos.rtd",,"VOLUME","."&amp;C$2&amp;C$1&amp;"P"&amp;$A34)*RTD("tos.rtd",,"LAST","."&amp;C$2&amp;C$1&amp;"P"&amp;$A34))/1000000,0),IF($A$2="DEX",IFERROR((100*RTD("tos.rtd",,"OPEN_INT","."&amp;C$2&amp;C$1&amp;"C"&amp;$A34)*RTD("tos.rtd",,"DELTA","."&amp;C$2&amp;C$1&amp;"C"&amp;$A34)-100*RTD("tos.rtd",,"OPEN_INT","."&amp;C$2&amp;C$1&amp;"P"&amp;$A34)*RTD("tos.rtd",,"DELTA","."&amp;C$2&amp;C$1&amp;"P"&amp;$A34))/1000,0),IF($A$2="VEX",IFERROR(($A$4*$A$4*RTD("tos.rtd",,"VOLUME","."&amp;C$2&amp;C$1&amp;"C"&amp;$A34)*RTD("tos.rtd",,"GAMMA","."&amp;C$2&amp;C$1&amp;"C"&amp;$A34)-$A$4*$A$4*RTD("tos.rtd",,"VOLUME","."&amp;C$2&amp;C$1&amp;"P"&amp;$A34)*RTD("tos.rtd",,"GAMMA","."&amp;C$2&amp;C$1&amp;"P"&amp;$A34))/1000000,0),IF($A$2="GEX",IFERROR(($A$4*$A$4*RTD("tos.rtd",,"OPEN_INT","."&amp;C$2&amp;C$1&amp;"C"&amp;$A34)*RTD("tos.rtd",,"GAMMA","."&amp;C$2&amp;C$1&amp;"C"&amp;$A34)-$A$4*$A$4*RTD("tos.rtd",,"OPEN_INT","."&amp;C$2&amp;C$1&amp;"P"&amp;$A34)*RTD("tos.rtd",,"GAMMA","."&amp;C$2&amp;C$1&amp;"P"&amp;$A34))/1000000,0),IF($A$2="SKEW",IFERROR(VALUE(IF(RTD("tos.rtd",,"IMPL_VOL","."&amp;C$2&amp;C$1&amp;"P"&amp;$A34)="N/A",0,RTD("tos.rtd",,"IMPL_VOL","."&amp;C$2&amp;C$1&amp;"P"&amp;$A34))),0)-IFERROR(VALUE(IF(RTD("tos.rtd",,"IMPL_VOL","."&amp;C$2&amp;C$1&amp;"C"&amp;$A34)="N/A",0,RTD("tos.rtd",,"IMPL_VOL","."&amp;C$2&amp;C$1&amp;"C"&amp;$A34))),0),IF($A$2="MAXPAIN",IF($A$4&gt;$A34,($A$4-$A34)*IF(RTD("tos.rtd",,"OPEN_INT","."&amp;C$2&amp;C$1&amp;"C"&amp;$A34)="N/A",0,RTD("tos.rtd",,"OPEN_INT","."&amp;C$2&amp;C$1&amp;"C"&amp;$A34)),0)+IF($A$4&lt;$A34,($A34-$A$4)*IF(RTD("tos.rtd",,"OPEN_INT","."&amp;C$2&amp;C$1&amp;"P"&amp;$A34)="N/A",0,RTD("tos.rtd",,"OPEN_INT","."&amp;C$2&amp;C$1&amp;"P"&amp;$A34)),0),IF(RTD("tos.rtd",,$A$2,"."&amp;C$2&amp;C$1&amp;"C"&amp;$A34)="N/A",0,RTD("tos.rtd",,$A$2,"."&amp;C$2&amp;C$1&amp;"C"&amp;$A34))-IF(RTD("tos.rtd",,$A$2,"."&amp;C$2&amp;C$1&amp;"P"&amp;$A34)="N/A",0,RTD("tos.rtd",,$A$2,"."&amp;C$2&amp;C$1&amp;"P"&amp;$A34)))))))))</f>
        <v>-8401</v>
      </c>
      <c r="D34" s="12">
        <f>IF($A$2="PREMIUM_OI",IFERROR((100*RTD("tos.rtd",,"OPEN_INT","."&amp;D$2&amp;D$1&amp;"C"&amp;$A34)*RTD("tos.rtd",,"LAST","."&amp;D$2&amp;D$1&amp;"C"&amp;$A34)-100*RTD("tos.rtd",,"OPEN_INT","."&amp;D$2&amp;D$1&amp;"P"&amp;$A34)*RTD("tos.rtd",,"LAST","."&amp;D$2&amp;D$1&amp;"P"&amp;$A34))/1000000,0),IF($A$2="PREMIUM",IFERROR((100*RTD("tos.rtd",,"VOLUME","."&amp;D$2&amp;D$1&amp;"C"&amp;$A34)*RTD("tos.rtd",,"LAST","."&amp;D$2&amp;D$1&amp;"C"&amp;$A34)-100*RTD("tos.rtd",,"VOLUME","."&amp;D$2&amp;D$1&amp;"P"&amp;$A34)*RTD("tos.rtd",,"LAST","."&amp;D$2&amp;D$1&amp;"P"&amp;$A34))/1000000,0),IF($A$2="DEX",IFERROR((100*RTD("tos.rtd",,"OPEN_INT","."&amp;D$2&amp;D$1&amp;"C"&amp;$A34)*RTD("tos.rtd",,"DELTA","."&amp;D$2&amp;D$1&amp;"C"&amp;$A34)-100*RTD("tos.rtd",,"OPEN_INT","."&amp;D$2&amp;D$1&amp;"P"&amp;$A34)*RTD("tos.rtd",,"DELTA","."&amp;D$2&amp;D$1&amp;"P"&amp;$A34))/1000,0),IF($A$2="VEX",IFERROR(($A$4*$A$4*RTD("tos.rtd",,"VOLUME","."&amp;D$2&amp;D$1&amp;"C"&amp;$A34)*RTD("tos.rtd",,"GAMMA","."&amp;D$2&amp;D$1&amp;"C"&amp;$A34)-$A$4*$A$4*RTD("tos.rtd",,"VOLUME","."&amp;D$2&amp;D$1&amp;"P"&amp;$A34)*RTD("tos.rtd",,"GAMMA","."&amp;D$2&amp;D$1&amp;"P"&amp;$A34))/1000000,0),IF($A$2="GEX",IFERROR(($A$4*$A$4*RTD("tos.rtd",,"OPEN_INT","."&amp;D$2&amp;D$1&amp;"C"&amp;$A34)*RTD("tos.rtd",,"GAMMA","."&amp;D$2&amp;D$1&amp;"C"&amp;$A34)-$A$4*$A$4*RTD("tos.rtd",,"OPEN_INT","."&amp;D$2&amp;D$1&amp;"P"&amp;$A34)*RTD("tos.rtd",,"GAMMA","."&amp;D$2&amp;D$1&amp;"P"&amp;$A34))/1000000,0),IF($A$2="SKEW",IFERROR(VALUE(IF(RTD("tos.rtd",,"IMPL_VOL","."&amp;D$2&amp;D$1&amp;"P"&amp;$A34)="N/A",0,RTD("tos.rtd",,"IMPL_VOL","."&amp;D$2&amp;D$1&amp;"P"&amp;$A34))),0)-IFERROR(VALUE(IF(RTD("tos.rtd",,"IMPL_VOL","."&amp;D$2&amp;D$1&amp;"C"&amp;$A34)="N/A",0,RTD("tos.rtd",,"IMPL_VOL","."&amp;D$2&amp;D$1&amp;"C"&amp;$A34))),0),IF($A$2="MAXPAIN",IF($A$4&gt;$A34,($A$4-$A34)*IF(RTD("tos.rtd",,"OPEN_INT","."&amp;D$2&amp;D$1&amp;"C"&amp;$A34)="N/A",0,RTD("tos.rtd",,"OPEN_INT","."&amp;D$2&amp;D$1&amp;"C"&amp;$A34)),0)+IF($A$4&lt;$A34,($A34-$A$4)*IF(RTD("tos.rtd",,"OPEN_INT","."&amp;D$2&amp;D$1&amp;"P"&amp;$A34)="N/A",0,RTD("tos.rtd",,"OPEN_INT","."&amp;D$2&amp;D$1&amp;"P"&amp;$A34)),0),IF(RTD("tos.rtd",,$A$2,"."&amp;D$2&amp;D$1&amp;"C"&amp;$A34)="N/A",0,RTD("tos.rtd",,$A$2,"."&amp;D$2&amp;D$1&amp;"C"&amp;$A34))-IF(RTD("tos.rtd",,$A$2,"."&amp;D$2&amp;D$1&amp;"P"&amp;$A34)="N/A",0,RTD("tos.rtd",,$A$2,"."&amp;D$2&amp;D$1&amp;"P"&amp;$A34)))))))))</f>
        <v>0</v>
      </c>
      <c r="E34" s="12">
        <f>IF($A$2="PREMIUM_OI",IFERROR((100*RTD("tos.rtd",,"OPEN_INT","."&amp;E$2&amp;E$1&amp;"C"&amp;$A34)*RTD("tos.rtd",,"LAST","."&amp;E$2&amp;E$1&amp;"C"&amp;$A34)-100*RTD("tos.rtd",,"OPEN_INT","."&amp;E$2&amp;E$1&amp;"P"&amp;$A34)*RTD("tos.rtd",,"LAST","."&amp;E$2&amp;E$1&amp;"P"&amp;$A34))/1000000,0),IF($A$2="PREMIUM",IFERROR((100*RTD("tos.rtd",,"VOLUME","."&amp;E$2&amp;E$1&amp;"C"&amp;$A34)*RTD("tos.rtd",,"LAST","."&amp;E$2&amp;E$1&amp;"C"&amp;$A34)-100*RTD("tos.rtd",,"VOLUME","."&amp;E$2&amp;E$1&amp;"P"&amp;$A34)*RTD("tos.rtd",,"LAST","."&amp;E$2&amp;E$1&amp;"P"&amp;$A34))/1000000,0),IF($A$2="DEX",IFERROR((100*RTD("tos.rtd",,"OPEN_INT","."&amp;E$2&amp;E$1&amp;"C"&amp;$A34)*RTD("tos.rtd",,"DELTA","."&amp;E$2&amp;E$1&amp;"C"&amp;$A34)-100*RTD("tos.rtd",,"OPEN_INT","."&amp;E$2&amp;E$1&amp;"P"&amp;$A34)*RTD("tos.rtd",,"DELTA","."&amp;E$2&amp;E$1&amp;"P"&amp;$A34))/1000,0),IF($A$2="VEX",IFERROR(($A$4*$A$4*RTD("tos.rtd",,"VOLUME","."&amp;E$2&amp;E$1&amp;"C"&amp;$A34)*RTD("tos.rtd",,"GAMMA","."&amp;E$2&amp;E$1&amp;"C"&amp;$A34)-$A$4*$A$4*RTD("tos.rtd",,"VOLUME","."&amp;E$2&amp;E$1&amp;"P"&amp;$A34)*RTD("tos.rtd",,"GAMMA","."&amp;E$2&amp;E$1&amp;"P"&amp;$A34))/1000000,0),IF($A$2="GEX",IFERROR(($A$4*$A$4*RTD("tos.rtd",,"OPEN_INT","."&amp;E$2&amp;E$1&amp;"C"&amp;$A34)*RTD("tos.rtd",,"GAMMA","."&amp;E$2&amp;E$1&amp;"C"&amp;$A34)-$A$4*$A$4*RTD("tos.rtd",,"OPEN_INT","."&amp;E$2&amp;E$1&amp;"P"&amp;$A34)*RTD("tos.rtd",,"GAMMA","."&amp;E$2&amp;E$1&amp;"P"&amp;$A34))/1000000,0),IF($A$2="SKEW",IFERROR(VALUE(IF(RTD("tos.rtd",,"IMPL_VOL","."&amp;E$2&amp;E$1&amp;"P"&amp;$A34)="N/A",0,RTD("tos.rtd",,"IMPL_VOL","."&amp;E$2&amp;E$1&amp;"P"&amp;$A34))),0)-IFERROR(VALUE(IF(RTD("tos.rtd",,"IMPL_VOL","."&amp;E$2&amp;E$1&amp;"C"&amp;$A34)="N/A",0,RTD("tos.rtd",,"IMPL_VOL","."&amp;E$2&amp;E$1&amp;"C"&amp;$A34))),0),IF($A$2="MAXPAIN",IF($A$4&gt;$A34,($A$4-$A34)*IF(RTD("tos.rtd",,"OPEN_INT","."&amp;E$2&amp;E$1&amp;"C"&amp;$A34)="N/A",0,RTD("tos.rtd",,"OPEN_INT","."&amp;E$2&amp;E$1&amp;"C"&amp;$A34)),0)+IF($A$4&lt;$A34,($A34-$A$4)*IF(RTD("tos.rtd",,"OPEN_INT","."&amp;E$2&amp;E$1&amp;"P"&amp;$A34)="N/A",0,RTD("tos.rtd",,"OPEN_INT","."&amp;E$2&amp;E$1&amp;"P"&amp;$A34)),0),IF(RTD("tos.rtd",,$A$2,"."&amp;E$2&amp;E$1&amp;"C"&amp;$A34)="N/A",0,RTD("tos.rtd",,$A$2,"."&amp;E$2&amp;E$1&amp;"C"&amp;$A34))-IF(RTD("tos.rtd",,$A$2,"."&amp;E$2&amp;E$1&amp;"P"&amp;$A34)="N/A",0,RTD("tos.rtd",,$A$2,"."&amp;E$2&amp;E$1&amp;"P"&amp;$A34)))))))))</f>
        <v>0</v>
      </c>
      <c r="F34" s="12">
        <f>IF($A$2="PREMIUM_OI",IFERROR((100*RTD("tos.rtd",,"OPEN_INT","."&amp;F$2&amp;F$1&amp;"C"&amp;$A34)*RTD("tos.rtd",,"LAST","."&amp;F$2&amp;F$1&amp;"C"&amp;$A34)-100*RTD("tos.rtd",,"OPEN_INT","."&amp;F$2&amp;F$1&amp;"P"&amp;$A34)*RTD("tos.rtd",,"LAST","."&amp;F$2&amp;F$1&amp;"P"&amp;$A34))/1000000,0),IF($A$2="PREMIUM",IFERROR((100*RTD("tos.rtd",,"VOLUME","."&amp;F$2&amp;F$1&amp;"C"&amp;$A34)*RTD("tos.rtd",,"LAST","."&amp;F$2&amp;F$1&amp;"C"&amp;$A34)-100*RTD("tos.rtd",,"VOLUME","."&amp;F$2&amp;F$1&amp;"P"&amp;$A34)*RTD("tos.rtd",,"LAST","."&amp;F$2&amp;F$1&amp;"P"&amp;$A34))/1000000,0),IF($A$2="DEX",IFERROR((100*RTD("tos.rtd",,"OPEN_INT","."&amp;F$2&amp;F$1&amp;"C"&amp;$A34)*RTD("tos.rtd",,"DELTA","."&amp;F$2&amp;F$1&amp;"C"&amp;$A34)-100*RTD("tos.rtd",,"OPEN_INT","."&amp;F$2&amp;F$1&amp;"P"&amp;$A34)*RTD("tos.rtd",,"DELTA","."&amp;F$2&amp;F$1&amp;"P"&amp;$A34))/1000,0),IF($A$2="VEX",IFERROR(($A$4*$A$4*RTD("tos.rtd",,"VOLUME","."&amp;F$2&amp;F$1&amp;"C"&amp;$A34)*RTD("tos.rtd",,"GAMMA","."&amp;F$2&amp;F$1&amp;"C"&amp;$A34)-$A$4*$A$4*RTD("tos.rtd",,"VOLUME","."&amp;F$2&amp;F$1&amp;"P"&amp;$A34)*RTD("tos.rtd",,"GAMMA","."&amp;F$2&amp;F$1&amp;"P"&amp;$A34))/1000000,0),IF($A$2="GEX",IFERROR(($A$4*$A$4*RTD("tos.rtd",,"OPEN_INT","."&amp;F$2&amp;F$1&amp;"C"&amp;$A34)*RTD("tos.rtd",,"GAMMA","."&amp;F$2&amp;F$1&amp;"C"&amp;$A34)-$A$4*$A$4*RTD("tos.rtd",,"OPEN_INT","."&amp;F$2&amp;F$1&amp;"P"&amp;$A34)*RTD("tos.rtd",,"GAMMA","."&amp;F$2&amp;F$1&amp;"P"&amp;$A34))/1000000,0),IF($A$2="SKEW",IFERROR(VALUE(IF(RTD("tos.rtd",,"IMPL_VOL","."&amp;F$2&amp;F$1&amp;"P"&amp;$A34)="N/A",0,RTD("tos.rtd",,"IMPL_VOL","."&amp;F$2&amp;F$1&amp;"P"&amp;$A34))),0)-IFERROR(VALUE(IF(RTD("tos.rtd",,"IMPL_VOL","."&amp;F$2&amp;F$1&amp;"C"&amp;$A34)="N/A",0,RTD("tos.rtd",,"IMPL_VOL","."&amp;F$2&amp;F$1&amp;"C"&amp;$A34))),0),IF($A$2="MAXPAIN",IF($A$4&gt;$A34,($A$4-$A34)*IF(RTD("tos.rtd",,"OPEN_INT","."&amp;F$2&amp;F$1&amp;"C"&amp;$A34)="N/A",0,RTD("tos.rtd",,"OPEN_INT","."&amp;F$2&amp;F$1&amp;"C"&amp;$A34)),0)+IF($A$4&lt;$A34,($A34-$A$4)*IF(RTD("tos.rtd",,"OPEN_INT","."&amp;F$2&amp;F$1&amp;"P"&amp;$A34)="N/A",0,RTD("tos.rtd",,"OPEN_INT","."&amp;F$2&amp;F$1&amp;"P"&amp;$A34)),0),IF(RTD("tos.rtd",,$A$2,"."&amp;F$2&amp;F$1&amp;"C"&amp;$A34)="N/A",0,RTD("tos.rtd",,$A$2,"."&amp;F$2&amp;F$1&amp;"C"&amp;$A34))-IF(RTD("tos.rtd",,$A$2,"."&amp;F$2&amp;F$1&amp;"P"&amp;$A34)="N/A",0,RTD("tos.rtd",,$A$2,"."&amp;F$2&amp;F$1&amp;"P"&amp;$A34)))))))))</f>
        <v>0</v>
      </c>
      <c r="G34" s="14">
        <f>IF($A$2="PREMIUM_OI",IFERROR((100*RTD("tos.rtd",,"OPEN_INT","."&amp;G$2&amp;G$1&amp;"C"&amp;$A34)*RTD("tos.rtd",,"LAST","."&amp;G$2&amp;G$1&amp;"C"&amp;$A34)-100*RTD("tos.rtd",,"OPEN_INT","."&amp;G$2&amp;G$1&amp;"P"&amp;$A34)*RTD("tos.rtd",,"LAST","."&amp;G$2&amp;G$1&amp;"P"&amp;$A34))/1000000,0),IF($A$2="PREMIUM",IFERROR((100*RTD("tos.rtd",,"VOLUME","."&amp;G$2&amp;G$1&amp;"C"&amp;$A34)*RTD("tos.rtd",,"LAST","."&amp;G$2&amp;G$1&amp;"C"&amp;$A34)-100*RTD("tos.rtd",,"VOLUME","."&amp;G$2&amp;G$1&amp;"P"&amp;$A34)*RTD("tos.rtd",,"LAST","."&amp;G$2&amp;G$1&amp;"P"&amp;$A34))/1000000,0),IF($A$2="DEX",IFERROR((100*RTD("tos.rtd",,"OPEN_INT","."&amp;G$2&amp;G$1&amp;"C"&amp;$A34)*RTD("tos.rtd",,"DELTA","."&amp;G$2&amp;G$1&amp;"C"&amp;$A34)-100*RTD("tos.rtd",,"OPEN_INT","."&amp;G$2&amp;G$1&amp;"P"&amp;$A34)*RTD("tos.rtd",,"DELTA","."&amp;G$2&amp;G$1&amp;"P"&amp;$A34))/1000,0),IF($A$2="VEX",IFERROR(($A$4*$A$4*RTD("tos.rtd",,"VOLUME","."&amp;G$2&amp;G$1&amp;"C"&amp;$A34)*RTD("tos.rtd",,"GAMMA","."&amp;G$2&amp;G$1&amp;"C"&amp;$A34)-$A$4*$A$4*RTD("tos.rtd",,"VOLUME","."&amp;G$2&amp;G$1&amp;"P"&amp;$A34)*RTD("tos.rtd",,"GAMMA","."&amp;G$2&amp;G$1&amp;"P"&amp;$A34))/1000000,0),IF($A$2="GEX",IFERROR(($A$4*$A$4*RTD("tos.rtd",,"OPEN_INT","."&amp;G$2&amp;G$1&amp;"C"&amp;$A34)*RTD("tos.rtd",,"GAMMA","."&amp;G$2&amp;G$1&amp;"C"&amp;$A34)-$A$4*$A$4*RTD("tos.rtd",,"OPEN_INT","."&amp;G$2&amp;G$1&amp;"P"&amp;$A34)*RTD("tos.rtd",,"GAMMA","."&amp;G$2&amp;G$1&amp;"P"&amp;$A34))/1000000,0),IF($A$2="SKEW",IFERROR(VALUE(IF(RTD("tos.rtd",,"IMPL_VOL","."&amp;G$2&amp;G$1&amp;"P"&amp;$A34)="N/A",0,RTD("tos.rtd",,"IMPL_VOL","."&amp;G$2&amp;G$1&amp;"P"&amp;$A34))),0)-IFERROR(VALUE(IF(RTD("tos.rtd",,"IMPL_VOL","."&amp;G$2&amp;G$1&amp;"C"&amp;$A34)="N/A",0,RTD("tos.rtd",,"IMPL_VOL","."&amp;G$2&amp;G$1&amp;"C"&amp;$A34))),0),IF($A$2="MAXPAIN",IF($A$4&gt;$A34,($A$4-$A34)*IF(RTD("tos.rtd",,"OPEN_INT","."&amp;G$2&amp;G$1&amp;"C"&amp;$A34)="N/A",0,RTD("tos.rtd",,"OPEN_INT","."&amp;G$2&amp;G$1&amp;"C"&amp;$A34)),0)+IF($A$4&lt;$A34,($A34-$A$4)*IF(RTD("tos.rtd",,"OPEN_INT","."&amp;G$2&amp;G$1&amp;"P"&amp;$A34)="N/A",0,RTD("tos.rtd",,"OPEN_INT","."&amp;G$2&amp;G$1&amp;"P"&amp;$A34)),0),IF(RTD("tos.rtd",,$A$2,"."&amp;G$2&amp;G$1&amp;"C"&amp;$A34)="N/A",0,RTD("tos.rtd",,$A$2,"."&amp;G$2&amp;G$1&amp;"C"&amp;$A34))-IF(RTD("tos.rtd",,$A$2,"."&amp;G$2&amp;G$1&amp;"P"&amp;$A34)="N/A",0,RTD("tos.rtd",,$A$2,"."&amp;G$2&amp;G$1&amp;"P"&amp;$A34)))))))))</f>
        <v>0</v>
      </c>
      <c r="H34" s="12">
        <f>IF($A$2="PREMIUM_OI",IFERROR((100*RTD("tos.rtd",,"OPEN_INT","."&amp;H$2&amp;H$1&amp;"C"&amp;$A34)*RTD("tos.rtd",,"LAST","."&amp;H$2&amp;H$1&amp;"C"&amp;$A34)-100*RTD("tos.rtd",,"OPEN_INT","."&amp;H$2&amp;H$1&amp;"P"&amp;$A34)*RTD("tos.rtd",,"LAST","."&amp;H$2&amp;H$1&amp;"P"&amp;$A34))/1000000,0),IF($A$2="PREMIUM",IFERROR((100*RTD("tos.rtd",,"VOLUME","."&amp;H$2&amp;H$1&amp;"C"&amp;$A34)*RTD("tos.rtd",,"LAST","."&amp;H$2&amp;H$1&amp;"C"&amp;$A34)-100*RTD("tos.rtd",,"VOLUME","."&amp;H$2&amp;H$1&amp;"P"&amp;$A34)*RTD("tos.rtd",,"LAST","."&amp;H$2&amp;H$1&amp;"P"&amp;$A34))/1000000,0),IF($A$2="DEX",IFERROR((100*RTD("tos.rtd",,"OPEN_INT","."&amp;H$2&amp;H$1&amp;"C"&amp;$A34)*RTD("tos.rtd",,"DELTA","."&amp;H$2&amp;H$1&amp;"C"&amp;$A34)-100*RTD("tos.rtd",,"OPEN_INT","."&amp;H$2&amp;H$1&amp;"P"&amp;$A34)*RTD("tos.rtd",,"DELTA","."&amp;H$2&amp;H$1&amp;"P"&amp;$A34))/1000,0),IF($A$2="VEX",IFERROR(($A$4*$A$4*RTD("tos.rtd",,"VOLUME","."&amp;H$2&amp;H$1&amp;"C"&amp;$A34)*RTD("tos.rtd",,"GAMMA","."&amp;H$2&amp;H$1&amp;"C"&amp;$A34)-$A$4*$A$4*RTD("tos.rtd",,"VOLUME","."&amp;H$2&amp;H$1&amp;"P"&amp;$A34)*RTD("tos.rtd",,"GAMMA","."&amp;H$2&amp;H$1&amp;"P"&amp;$A34))/1000000,0),IF($A$2="GEX",IFERROR(($A$4*$A$4*RTD("tos.rtd",,"OPEN_INT","."&amp;H$2&amp;H$1&amp;"C"&amp;$A34)*RTD("tos.rtd",,"GAMMA","."&amp;H$2&amp;H$1&amp;"C"&amp;$A34)-$A$4*$A$4*RTD("tos.rtd",,"OPEN_INT","."&amp;H$2&amp;H$1&amp;"P"&amp;$A34)*RTD("tos.rtd",,"GAMMA","."&amp;H$2&amp;H$1&amp;"P"&amp;$A34))/1000000,0),IF($A$2="SKEW",IFERROR(VALUE(IF(RTD("tos.rtd",,"IMPL_VOL","."&amp;H$2&amp;H$1&amp;"P"&amp;$A34)="N/A",0,RTD("tos.rtd",,"IMPL_VOL","."&amp;H$2&amp;H$1&amp;"P"&amp;$A34))),0)-IFERROR(VALUE(IF(RTD("tos.rtd",,"IMPL_VOL","."&amp;H$2&amp;H$1&amp;"C"&amp;$A34)="N/A",0,RTD("tos.rtd",,"IMPL_VOL","."&amp;H$2&amp;H$1&amp;"C"&amp;$A34))),0),IF($A$2="MAXPAIN",IF($A$4&gt;$A34,($A$4-$A34)*IF(RTD("tos.rtd",,"OPEN_INT","."&amp;H$2&amp;H$1&amp;"C"&amp;$A34)="N/A",0,RTD("tos.rtd",,"OPEN_INT","."&amp;H$2&amp;H$1&amp;"C"&amp;$A34)),0)+IF($A$4&lt;$A34,($A34-$A$4)*IF(RTD("tos.rtd",,"OPEN_INT","."&amp;H$2&amp;H$1&amp;"P"&amp;$A34)="N/A",0,RTD("tos.rtd",,"OPEN_INT","."&amp;H$2&amp;H$1&amp;"P"&amp;$A34)),0),IF(RTD("tos.rtd",,$A$2,"."&amp;H$2&amp;H$1&amp;"C"&amp;$A34)="N/A",0,RTD("tos.rtd",,$A$2,"."&amp;H$2&amp;H$1&amp;"C"&amp;$A34))-IF(RTD("tos.rtd",,$A$2,"."&amp;H$2&amp;H$1&amp;"P"&amp;$A34)="N/A",0,RTD("tos.rtd",,$A$2,"."&amp;H$2&amp;H$1&amp;"P"&amp;$A34)))))))))</f>
        <v>-15181</v>
      </c>
      <c r="I34" s="12">
        <f>IF($A$2="PREMIUM_OI",IFERROR((100*RTD("tos.rtd",,"OPEN_INT","."&amp;I$2&amp;I$1&amp;"C"&amp;$A34)*RTD("tos.rtd",,"LAST","."&amp;I$2&amp;I$1&amp;"C"&amp;$A34)-100*RTD("tos.rtd",,"OPEN_INT","."&amp;I$2&amp;I$1&amp;"P"&amp;$A34)*RTD("tos.rtd",,"LAST","."&amp;I$2&amp;I$1&amp;"P"&amp;$A34))/1000000,0),IF($A$2="PREMIUM",IFERROR((100*RTD("tos.rtd",,"VOLUME","."&amp;I$2&amp;I$1&amp;"C"&amp;$A34)*RTD("tos.rtd",,"LAST","."&amp;I$2&amp;I$1&amp;"C"&amp;$A34)-100*RTD("tos.rtd",,"VOLUME","."&amp;I$2&amp;I$1&amp;"P"&amp;$A34)*RTD("tos.rtd",,"LAST","."&amp;I$2&amp;I$1&amp;"P"&amp;$A34))/1000000,0),IF($A$2="DEX",IFERROR((100*RTD("tos.rtd",,"OPEN_INT","."&amp;I$2&amp;I$1&amp;"C"&amp;$A34)*RTD("tos.rtd",,"DELTA","."&amp;I$2&amp;I$1&amp;"C"&amp;$A34)-100*RTD("tos.rtd",,"OPEN_INT","."&amp;I$2&amp;I$1&amp;"P"&amp;$A34)*RTD("tos.rtd",,"DELTA","."&amp;I$2&amp;I$1&amp;"P"&amp;$A34))/1000,0),IF($A$2="VEX",IFERROR(($A$4*$A$4*RTD("tos.rtd",,"VOLUME","."&amp;I$2&amp;I$1&amp;"C"&amp;$A34)*RTD("tos.rtd",,"GAMMA","."&amp;I$2&amp;I$1&amp;"C"&amp;$A34)-$A$4*$A$4*RTD("tos.rtd",,"VOLUME","."&amp;I$2&amp;I$1&amp;"P"&amp;$A34)*RTD("tos.rtd",,"GAMMA","."&amp;I$2&amp;I$1&amp;"P"&amp;$A34))/1000000,0),IF($A$2="GEX",IFERROR(($A$4*$A$4*RTD("tos.rtd",,"OPEN_INT","."&amp;I$2&amp;I$1&amp;"C"&amp;$A34)*RTD("tos.rtd",,"GAMMA","."&amp;I$2&amp;I$1&amp;"C"&amp;$A34)-$A$4*$A$4*RTD("tos.rtd",,"OPEN_INT","."&amp;I$2&amp;I$1&amp;"P"&amp;$A34)*RTD("tos.rtd",,"GAMMA","."&amp;I$2&amp;I$1&amp;"P"&amp;$A34))/1000000,0),IF($A$2="SKEW",IFERROR(VALUE(IF(RTD("tos.rtd",,"IMPL_VOL","."&amp;I$2&amp;I$1&amp;"P"&amp;$A34)="N/A",0,RTD("tos.rtd",,"IMPL_VOL","."&amp;I$2&amp;I$1&amp;"P"&amp;$A34))),0)-IFERROR(VALUE(IF(RTD("tos.rtd",,"IMPL_VOL","."&amp;I$2&amp;I$1&amp;"C"&amp;$A34)="N/A",0,RTD("tos.rtd",,"IMPL_VOL","."&amp;I$2&amp;I$1&amp;"C"&amp;$A34))),0),IF($A$2="MAXPAIN",IF($A$4&gt;$A34,($A$4-$A34)*IF(RTD("tos.rtd",,"OPEN_INT","."&amp;I$2&amp;I$1&amp;"C"&amp;$A34)="N/A",0,RTD("tos.rtd",,"OPEN_INT","."&amp;I$2&amp;I$1&amp;"C"&amp;$A34)),0)+IF($A$4&lt;$A34,($A34-$A$4)*IF(RTD("tos.rtd",,"OPEN_INT","."&amp;I$2&amp;I$1&amp;"P"&amp;$A34)="N/A",0,RTD("tos.rtd",,"OPEN_INT","."&amp;I$2&amp;I$1&amp;"P"&amp;$A34)),0),IF(RTD("tos.rtd",,$A$2,"."&amp;I$2&amp;I$1&amp;"C"&amp;$A34)="N/A",0,RTD("tos.rtd",,$A$2,"."&amp;I$2&amp;I$1&amp;"C"&amp;$A34))-IF(RTD("tos.rtd",,$A$2,"."&amp;I$2&amp;I$1&amp;"P"&amp;$A34)="N/A",0,RTD("tos.rtd",,$A$2,"."&amp;I$2&amp;I$1&amp;"P"&amp;$A34)))))))))</f>
        <v>0</v>
      </c>
      <c r="J34" s="12">
        <f>IF($A$2="PREMIUM_OI",IFERROR((100*RTD("tos.rtd",,"OPEN_INT","."&amp;J$2&amp;J$1&amp;"C"&amp;$A34)*RTD("tos.rtd",,"LAST","."&amp;J$2&amp;J$1&amp;"C"&amp;$A34)-100*RTD("tos.rtd",,"OPEN_INT","."&amp;J$2&amp;J$1&amp;"P"&amp;$A34)*RTD("tos.rtd",,"LAST","."&amp;J$2&amp;J$1&amp;"P"&amp;$A34))/1000000,0),IF($A$2="PREMIUM",IFERROR((100*RTD("tos.rtd",,"VOLUME","."&amp;J$2&amp;J$1&amp;"C"&amp;$A34)*RTD("tos.rtd",,"LAST","."&amp;J$2&amp;J$1&amp;"C"&amp;$A34)-100*RTD("tos.rtd",,"VOLUME","."&amp;J$2&amp;J$1&amp;"P"&amp;$A34)*RTD("tos.rtd",,"LAST","."&amp;J$2&amp;J$1&amp;"P"&amp;$A34))/1000000,0),IF($A$2="DEX",IFERROR((100*RTD("tos.rtd",,"OPEN_INT","."&amp;J$2&amp;J$1&amp;"C"&amp;$A34)*RTD("tos.rtd",,"DELTA","."&amp;J$2&amp;J$1&amp;"C"&amp;$A34)-100*RTD("tos.rtd",,"OPEN_INT","."&amp;J$2&amp;J$1&amp;"P"&amp;$A34)*RTD("tos.rtd",,"DELTA","."&amp;J$2&amp;J$1&amp;"P"&amp;$A34))/1000,0),IF($A$2="VEX",IFERROR(($A$4*$A$4*RTD("tos.rtd",,"VOLUME","."&amp;J$2&amp;J$1&amp;"C"&amp;$A34)*RTD("tos.rtd",,"GAMMA","."&amp;J$2&amp;J$1&amp;"C"&amp;$A34)-$A$4*$A$4*RTD("tos.rtd",,"VOLUME","."&amp;J$2&amp;J$1&amp;"P"&amp;$A34)*RTD("tos.rtd",,"GAMMA","."&amp;J$2&amp;J$1&amp;"P"&amp;$A34))/1000000,0),IF($A$2="GEX",IFERROR(($A$4*$A$4*RTD("tos.rtd",,"OPEN_INT","."&amp;J$2&amp;J$1&amp;"C"&amp;$A34)*RTD("tos.rtd",,"GAMMA","."&amp;J$2&amp;J$1&amp;"C"&amp;$A34)-$A$4*$A$4*RTD("tos.rtd",,"OPEN_INT","."&amp;J$2&amp;J$1&amp;"P"&amp;$A34)*RTD("tos.rtd",,"GAMMA","."&amp;J$2&amp;J$1&amp;"P"&amp;$A34))/1000000,0),IF($A$2="SKEW",IFERROR(VALUE(IF(RTD("tos.rtd",,"IMPL_VOL","."&amp;J$2&amp;J$1&amp;"P"&amp;$A34)="N/A",0,RTD("tos.rtd",,"IMPL_VOL","."&amp;J$2&amp;J$1&amp;"P"&amp;$A34))),0)-IFERROR(VALUE(IF(RTD("tos.rtd",,"IMPL_VOL","."&amp;J$2&amp;J$1&amp;"C"&amp;$A34)="N/A",0,RTD("tos.rtd",,"IMPL_VOL","."&amp;J$2&amp;J$1&amp;"C"&amp;$A34))),0),IF($A$2="MAXPAIN",IF($A$4&gt;$A34,($A$4-$A34)*IF(RTD("tos.rtd",,"OPEN_INT","."&amp;J$2&amp;J$1&amp;"C"&amp;$A34)="N/A",0,RTD("tos.rtd",,"OPEN_INT","."&amp;J$2&amp;J$1&amp;"C"&amp;$A34)),0)+IF($A$4&lt;$A34,($A34-$A$4)*IF(RTD("tos.rtd",,"OPEN_INT","."&amp;J$2&amp;J$1&amp;"P"&amp;$A34)="N/A",0,RTD("tos.rtd",,"OPEN_INT","."&amp;J$2&amp;J$1&amp;"P"&amp;$A34)),0),IF(RTD("tos.rtd",,$A$2,"."&amp;J$2&amp;J$1&amp;"C"&amp;$A34)="N/A",0,RTD("tos.rtd",,$A$2,"."&amp;J$2&amp;J$1&amp;"C"&amp;$A34))-IF(RTD("tos.rtd",,$A$2,"."&amp;J$2&amp;J$1&amp;"P"&amp;$A34)="N/A",0,RTD("tos.rtd",,$A$2,"."&amp;J$2&amp;J$1&amp;"P"&amp;$A34)))))))))</f>
        <v>0</v>
      </c>
      <c r="K34" s="12">
        <f>IF($A$2="PREMIUM_OI",IFERROR((100*RTD("tos.rtd",,"OPEN_INT","."&amp;K$2&amp;K$1&amp;"C"&amp;$A34)*RTD("tos.rtd",,"LAST","."&amp;K$2&amp;K$1&amp;"C"&amp;$A34)-100*RTD("tos.rtd",,"OPEN_INT","."&amp;K$2&amp;K$1&amp;"P"&amp;$A34)*RTD("tos.rtd",,"LAST","."&amp;K$2&amp;K$1&amp;"P"&amp;$A34))/1000000,0),IF($A$2="PREMIUM",IFERROR((100*RTD("tos.rtd",,"VOLUME","."&amp;K$2&amp;K$1&amp;"C"&amp;$A34)*RTD("tos.rtd",,"LAST","."&amp;K$2&amp;K$1&amp;"C"&amp;$A34)-100*RTD("tos.rtd",,"VOLUME","."&amp;K$2&amp;K$1&amp;"P"&amp;$A34)*RTD("tos.rtd",,"LAST","."&amp;K$2&amp;K$1&amp;"P"&amp;$A34))/1000000,0),IF($A$2="DEX",IFERROR((100*RTD("tos.rtd",,"OPEN_INT","."&amp;K$2&amp;K$1&amp;"C"&amp;$A34)*RTD("tos.rtd",,"DELTA","."&amp;K$2&amp;K$1&amp;"C"&amp;$A34)-100*RTD("tos.rtd",,"OPEN_INT","."&amp;K$2&amp;K$1&amp;"P"&amp;$A34)*RTD("tos.rtd",,"DELTA","."&amp;K$2&amp;K$1&amp;"P"&amp;$A34))/1000,0),IF($A$2="VEX",IFERROR(($A$4*$A$4*RTD("tos.rtd",,"VOLUME","."&amp;K$2&amp;K$1&amp;"C"&amp;$A34)*RTD("tos.rtd",,"GAMMA","."&amp;K$2&amp;K$1&amp;"C"&amp;$A34)-$A$4*$A$4*RTD("tos.rtd",,"VOLUME","."&amp;K$2&amp;K$1&amp;"P"&amp;$A34)*RTD("tos.rtd",,"GAMMA","."&amp;K$2&amp;K$1&amp;"P"&amp;$A34))/1000000,0),IF($A$2="GEX",IFERROR(($A$4*$A$4*RTD("tos.rtd",,"OPEN_INT","."&amp;K$2&amp;K$1&amp;"C"&amp;$A34)*RTD("tos.rtd",,"GAMMA","."&amp;K$2&amp;K$1&amp;"C"&amp;$A34)-$A$4*$A$4*RTD("tos.rtd",,"OPEN_INT","."&amp;K$2&amp;K$1&amp;"P"&amp;$A34)*RTD("tos.rtd",,"GAMMA","."&amp;K$2&amp;K$1&amp;"P"&amp;$A34))/1000000,0),IF($A$2="SKEW",IFERROR(VALUE(IF(RTD("tos.rtd",,"IMPL_VOL","."&amp;K$2&amp;K$1&amp;"P"&amp;$A34)="N/A",0,RTD("tos.rtd",,"IMPL_VOL","."&amp;K$2&amp;K$1&amp;"P"&amp;$A34))),0)-IFERROR(VALUE(IF(RTD("tos.rtd",,"IMPL_VOL","."&amp;K$2&amp;K$1&amp;"C"&amp;$A34)="N/A",0,RTD("tos.rtd",,"IMPL_VOL","."&amp;K$2&amp;K$1&amp;"C"&amp;$A34))),0),IF($A$2="MAXPAIN",IF($A$4&gt;$A34,($A$4-$A34)*IF(RTD("tos.rtd",,"OPEN_INT","."&amp;K$2&amp;K$1&amp;"C"&amp;$A34)="N/A",0,RTD("tos.rtd",,"OPEN_INT","."&amp;K$2&amp;K$1&amp;"C"&amp;$A34)),0)+IF($A$4&lt;$A34,($A34-$A$4)*IF(RTD("tos.rtd",,"OPEN_INT","."&amp;K$2&amp;K$1&amp;"P"&amp;$A34)="N/A",0,RTD("tos.rtd",,"OPEN_INT","."&amp;K$2&amp;K$1&amp;"P"&amp;$A34)),0),IF(RTD("tos.rtd",,$A$2,"."&amp;K$2&amp;K$1&amp;"C"&amp;$A34)="N/A",0,RTD("tos.rtd",,$A$2,"."&amp;K$2&amp;K$1&amp;"C"&amp;$A34))-IF(RTD("tos.rtd",,$A$2,"."&amp;K$2&amp;K$1&amp;"P"&amp;$A34)="N/A",0,RTD("tos.rtd",,$A$2,"."&amp;K$2&amp;K$1&amp;"P"&amp;$A34)))))))))</f>
        <v>0</v>
      </c>
      <c r="L34" s="12">
        <f>IF($A$2="PREMIUM_OI",IFERROR((100*RTD("tos.rtd",,"OPEN_INT","."&amp;L$2&amp;L$1&amp;"C"&amp;$A34)*RTD("tos.rtd",,"LAST","."&amp;L$2&amp;L$1&amp;"C"&amp;$A34)-100*RTD("tos.rtd",,"OPEN_INT","."&amp;L$2&amp;L$1&amp;"P"&amp;$A34)*RTD("tos.rtd",,"LAST","."&amp;L$2&amp;L$1&amp;"P"&amp;$A34))/1000000,0),IF($A$2="PREMIUM",IFERROR((100*RTD("tos.rtd",,"VOLUME","."&amp;L$2&amp;L$1&amp;"C"&amp;$A34)*RTD("tos.rtd",,"LAST","."&amp;L$2&amp;L$1&amp;"C"&amp;$A34)-100*RTD("tos.rtd",,"VOLUME","."&amp;L$2&amp;L$1&amp;"P"&amp;$A34)*RTD("tos.rtd",,"LAST","."&amp;L$2&amp;L$1&amp;"P"&amp;$A34))/1000000,0),IF($A$2="DEX",IFERROR((100*RTD("tos.rtd",,"OPEN_INT","."&amp;L$2&amp;L$1&amp;"C"&amp;$A34)*RTD("tos.rtd",,"DELTA","."&amp;L$2&amp;L$1&amp;"C"&amp;$A34)-100*RTD("tos.rtd",,"OPEN_INT","."&amp;L$2&amp;L$1&amp;"P"&amp;$A34)*RTD("tos.rtd",,"DELTA","."&amp;L$2&amp;L$1&amp;"P"&amp;$A34))/1000,0),IF($A$2="VEX",IFERROR(($A$4*$A$4*RTD("tos.rtd",,"VOLUME","."&amp;L$2&amp;L$1&amp;"C"&amp;$A34)*RTD("tos.rtd",,"GAMMA","."&amp;L$2&amp;L$1&amp;"C"&amp;$A34)-$A$4*$A$4*RTD("tos.rtd",,"VOLUME","."&amp;L$2&amp;L$1&amp;"P"&amp;$A34)*RTD("tos.rtd",,"GAMMA","."&amp;L$2&amp;L$1&amp;"P"&amp;$A34))/1000000,0),IF($A$2="GEX",IFERROR(($A$4*$A$4*RTD("tos.rtd",,"OPEN_INT","."&amp;L$2&amp;L$1&amp;"C"&amp;$A34)*RTD("tos.rtd",,"GAMMA","."&amp;L$2&amp;L$1&amp;"C"&amp;$A34)-$A$4*$A$4*RTD("tos.rtd",,"OPEN_INT","."&amp;L$2&amp;L$1&amp;"P"&amp;$A34)*RTD("tos.rtd",,"GAMMA","."&amp;L$2&amp;L$1&amp;"P"&amp;$A34))/1000000,0),IF($A$2="SKEW",IFERROR(VALUE(IF(RTD("tos.rtd",,"IMPL_VOL","."&amp;L$2&amp;L$1&amp;"P"&amp;$A34)="N/A",0,RTD("tos.rtd",,"IMPL_VOL","."&amp;L$2&amp;L$1&amp;"P"&amp;$A34))),0)-IFERROR(VALUE(IF(RTD("tos.rtd",,"IMPL_VOL","."&amp;L$2&amp;L$1&amp;"C"&amp;$A34)="N/A",0,RTD("tos.rtd",,"IMPL_VOL","."&amp;L$2&amp;L$1&amp;"C"&amp;$A34))),0),IF($A$2="MAXPAIN",IF($A$4&gt;$A34,($A$4-$A34)*IF(RTD("tos.rtd",,"OPEN_INT","."&amp;L$2&amp;L$1&amp;"C"&amp;$A34)="N/A",0,RTD("tos.rtd",,"OPEN_INT","."&amp;L$2&amp;L$1&amp;"C"&amp;$A34)),0)+IF($A$4&lt;$A34,($A34-$A$4)*IF(RTD("tos.rtd",,"OPEN_INT","."&amp;L$2&amp;L$1&amp;"P"&amp;$A34)="N/A",0,RTD("tos.rtd",,"OPEN_INT","."&amp;L$2&amp;L$1&amp;"P"&amp;$A34)),0),IF(RTD("tos.rtd",,$A$2,"."&amp;L$2&amp;L$1&amp;"C"&amp;$A34)="N/A",0,RTD("tos.rtd",,$A$2,"."&amp;L$2&amp;L$1&amp;"C"&amp;$A34))-IF(RTD("tos.rtd",,$A$2,"."&amp;L$2&amp;L$1&amp;"P"&amp;$A34)="N/A",0,RTD("tos.rtd",,$A$2,"."&amp;L$2&amp;L$1&amp;"P"&amp;$A34)))))))))</f>
        <v>0</v>
      </c>
      <c r="M34" s="12">
        <f>IF($A$2="PREMIUM_OI",IFERROR((100*RTD("tos.rtd",,"OPEN_INT","."&amp;M$2&amp;M$1&amp;"C"&amp;$A34)*RTD("tos.rtd",,"LAST","."&amp;M$2&amp;M$1&amp;"C"&amp;$A34)-100*RTD("tos.rtd",,"OPEN_INT","."&amp;M$2&amp;M$1&amp;"P"&amp;$A34)*RTD("tos.rtd",,"LAST","."&amp;M$2&amp;M$1&amp;"P"&amp;$A34))/1000000,0),IF($A$2="PREMIUM",IFERROR((100*RTD("tos.rtd",,"VOLUME","."&amp;M$2&amp;M$1&amp;"C"&amp;$A34)*RTD("tos.rtd",,"LAST","."&amp;M$2&amp;M$1&amp;"C"&amp;$A34)-100*RTD("tos.rtd",,"VOLUME","."&amp;M$2&amp;M$1&amp;"P"&amp;$A34)*RTD("tos.rtd",,"LAST","."&amp;M$2&amp;M$1&amp;"P"&amp;$A34))/1000000,0),IF($A$2="DEX",IFERROR((100*RTD("tos.rtd",,"OPEN_INT","."&amp;M$2&amp;M$1&amp;"C"&amp;$A34)*RTD("tos.rtd",,"DELTA","."&amp;M$2&amp;M$1&amp;"C"&amp;$A34)-100*RTD("tos.rtd",,"OPEN_INT","."&amp;M$2&amp;M$1&amp;"P"&amp;$A34)*RTD("tos.rtd",,"DELTA","."&amp;M$2&amp;M$1&amp;"P"&amp;$A34))/1000,0),IF($A$2="VEX",IFERROR(($A$4*$A$4*RTD("tos.rtd",,"VOLUME","."&amp;M$2&amp;M$1&amp;"C"&amp;$A34)*RTD("tos.rtd",,"GAMMA","."&amp;M$2&amp;M$1&amp;"C"&amp;$A34)-$A$4*$A$4*RTD("tos.rtd",,"VOLUME","."&amp;M$2&amp;M$1&amp;"P"&amp;$A34)*RTD("tos.rtd",,"GAMMA","."&amp;M$2&amp;M$1&amp;"P"&amp;$A34))/1000000,0),IF($A$2="GEX",IFERROR(($A$4*$A$4*RTD("tos.rtd",,"OPEN_INT","."&amp;M$2&amp;M$1&amp;"C"&amp;$A34)*RTD("tos.rtd",,"GAMMA","."&amp;M$2&amp;M$1&amp;"C"&amp;$A34)-$A$4*$A$4*RTD("tos.rtd",,"OPEN_INT","."&amp;M$2&amp;M$1&amp;"P"&amp;$A34)*RTD("tos.rtd",,"GAMMA","."&amp;M$2&amp;M$1&amp;"P"&amp;$A34))/1000000,0),IF($A$2="SKEW",IFERROR(VALUE(IF(RTD("tos.rtd",,"IMPL_VOL","."&amp;M$2&amp;M$1&amp;"P"&amp;$A34)="N/A",0,RTD("tos.rtd",,"IMPL_VOL","."&amp;M$2&amp;M$1&amp;"P"&amp;$A34))),0)-IFERROR(VALUE(IF(RTD("tos.rtd",,"IMPL_VOL","."&amp;M$2&amp;M$1&amp;"C"&amp;$A34)="N/A",0,RTD("tos.rtd",,"IMPL_VOL","."&amp;M$2&amp;M$1&amp;"C"&amp;$A34))),0),IF($A$2="MAXPAIN",IF($A$4&gt;$A34,($A$4-$A34)*IF(RTD("tos.rtd",,"OPEN_INT","."&amp;M$2&amp;M$1&amp;"C"&amp;$A34)="N/A",0,RTD("tos.rtd",,"OPEN_INT","."&amp;M$2&amp;M$1&amp;"C"&amp;$A34)),0)+IF($A$4&lt;$A34,($A34-$A$4)*IF(RTD("tos.rtd",,"OPEN_INT","."&amp;M$2&amp;M$1&amp;"P"&amp;$A34)="N/A",0,RTD("tos.rtd",,"OPEN_INT","."&amp;M$2&amp;M$1&amp;"P"&amp;$A34)),0),IF(RTD("tos.rtd",,$A$2,"."&amp;M$2&amp;M$1&amp;"C"&amp;$A34)="N/A",0,RTD("tos.rtd",,$A$2,"."&amp;M$2&amp;M$1&amp;"C"&amp;$A34))-IF(RTD("tos.rtd",,$A$2,"."&amp;M$2&amp;M$1&amp;"P"&amp;$A34)="N/A",0,RTD("tos.rtd",,$A$2,"."&amp;M$2&amp;M$1&amp;"P"&amp;$A34)))))))))</f>
        <v>-6433</v>
      </c>
      <c r="N34" s="12">
        <f>IF($A$2="PREMIUM_OI",IFERROR((100*RTD("tos.rtd",,"OPEN_INT","."&amp;N$2&amp;N$1&amp;"C"&amp;$A34)*RTD("tos.rtd",,"LAST","."&amp;N$2&amp;N$1&amp;"C"&amp;$A34)-100*RTD("tos.rtd",,"OPEN_INT","."&amp;N$2&amp;N$1&amp;"P"&amp;$A34)*RTD("tos.rtd",,"LAST","."&amp;N$2&amp;N$1&amp;"P"&amp;$A34))/1000000,0),IF($A$2="PREMIUM",IFERROR((100*RTD("tos.rtd",,"VOLUME","."&amp;N$2&amp;N$1&amp;"C"&amp;$A34)*RTD("tos.rtd",,"LAST","."&amp;N$2&amp;N$1&amp;"C"&amp;$A34)-100*RTD("tos.rtd",,"VOLUME","."&amp;N$2&amp;N$1&amp;"P"&amp;$A34)*RTD("tos.rtd",,"LAST","."&amp;N$2&amp;N$1&amp;"P"&amp;$A34))/1000000,0),IF($A$2="DEX",IFERROR((100*RTD("tos.rtd",,"OPEN_INT","."&amp;N$2&amp;N$1&amp;"C"&amp;$A34)*RTD("tos.rtd",,"DELTA","."&amp;N$2&amp;N$1&amp;"C"&amp;$A34)-100*RTD("tos.rtd",,"OPEN_INT","."&amp;N$2&amp;N$1&amp;"P"&amp;$A34)*RTD("tos.rtd",,"DELTA","."&amp;N$2&amp;N$1&amp;"P"&amp;$A34))/1000,0),IF($A$2="VEX",IFERROR(($A$4*$A$4*RTD("tos.rtd",,"VOLUME","."&amp;N$2&amp;N$1&amp;"C"&amp;$A34)*RTD("tos.rtd",,"GAMMA","."&amp;N$2&amp;N$1&amp;"C"&amp;$A34)-$A$4*$A$4*RTD("tos.rtd",,"VOLUME","."&amp;N$2&amp;N$1&amp;"P"&amp;$A34)*RTD("tos.rtd",,"GAMMA","."&amp;N$2&amp;N$1&amp;"P"&amp;$A34))/1000000,0),IF($A$2="GEX",IFERROR(($A$4*$A$4*RTD("tos.rtd",,"OPEN_INT","."&amp;N$2&amp;N$1&amp;"C"&amp;$A34)*RTD("tos.rtd",,"GAMMA","."&amp;N$2&amp;N$1&amp;"C"&amp;$A34)-$A$4*$A$4*RTD("tos.rtd",,"OPEN_INT","."&amp;N$2&amp;N$1&amp;"P"&amp;$A34)*RTD("tos.rtd",,"GAMMA","."&amp;N$2&amp;N$1&amp;"P"&amp;$A34))/1000000,0),IF($A$2="SKEW",IFERROR(VALUE(IF(RTD("tos.rtd",,"IMPL_VOL","."&amp;N$2&amp;N$1&amp;"P"&amp;$A34)="N/A",0,RTD("tos.rtd",,"IMPL_VOL","."&amp;N$2&amp;N$1&amp;"P"&amp;$A34))),0)-IFERROR(VALUE(IF(RTD("tos.rtd",,"IMPL_VOL","."&amp;N$2&amp;N$1&amp;"C"&amp;$A34)="N/A",0,RTD("tos.rtd",,"IMPL_VOL","."&amp;N$2&amp;N$1&amp;"C"&amp;$A34))),0),IF($A$2="MAXPAIN",IF($A$4&gt;$A34,($A$4-$A34)*IF(RTD("tos.rtd",,"OPEN_INT","."&amp;N$2&amp;N$1&amp;"C"&amp;$A34)="N/A",0,RTD("tos.rtd",,"OPEN_INT","."&amp;N$2&amp;N$1&amp;"C"&amp;$A34)),0)+IF($A$4&lt;$A34,($A34-$A$4)*IF(RTD("tos.rtd",,"OPEN_INT","."&amp;N$2&amp;N$1&amp;"P"&amp;$A34)="N/A",0,RTD("tos.rtd",,"OPEN_INT","."&amp;N$2&amp;N$1&amp;"P"&amp;$A34)),0),IF(RTD("tos.rtd",,$A$2,"."&amp;N$2&amp;N$1&amp;"C"&amp;$A34)="N/A",0,RTD("tos.rtd",,$A$2,"."&amp;N$2&amp;N$1&amp;"C"&amp;$A34))-IF(RTD("tos.rtd",,$A$2,"."&amp;N$2&amp;N$1&amp;"P"&amp;$A34)="N/A",0,RTD("tos.rtd",,$A$2,"."&amp;N$2&amp;N$1&amp;"P"&amp;$A34)))))))))</f>
        <v>0</v>
      </c>
      <c r="O34" s="12">
        <f>IF($A$2="PREMIUM_OI",IFERROR((100*RTD("tos.rtd",,"OPEN_INT","."&amp;O$2&amp;O$1&amp;"C"&amp;$A34)*RTD("tos.rtd",,"LAST","."&amp;O$2&amp;O$1&amp;"C"&amp;$A34)-100*RTD("tos.rtd",,"OPEN_INT","."&amp;O$2&amp;O$1&amp;"P"&amp;$A34)*RTD("tos.rtd",,"LAST","."&amp;O$2&amp;O$1&amp;"P"&amp;$A34))/1000000,0),IF($A$2="PREMIUM",IFERROR((100*RTD("tos.rtd",,"VOLUME","."&amp;O$2&amp;O$1&amp;"C"&amp;$A34)*RTD("tos.rtd",,"LAST","."&amp;O$2&amp;O$1&amp;"C"&amp;$A34)-100*RTD("tos.rtd",,"VOLUME","."&amp;O$2&amp;O$1&amp;"P"&amp;$A34)*RTD("tos.rtd",,"LAST","."&amp;O$2&amp;O$1&amp;"P"&amp;$A34))/1000000,0),IF($A$2="DEX",IFERROR((100*RTD("tos.rtd",,"OPEN_INT","."&amp;O$2&amp;O$1&amp;"C"&amp;$A34)*RTD("tos.rtd",,"DELTA","."&amp;O$2&amp;O$1&amp;"C"&amp;$A34)-100*RTD("tos.rtd",,"OPEN_INT","."&amp;O$2&amp;O$1&amp;"P"&amp;$A34)*RTD("tos.rtd",,"DELTA","."&amp;O$2&amp;O$1&amp;"P"&amp;$A34))/1000,0),IF($A$2="VEX",IFERROR(($A$4*$A$4*RTD("tos.rtd",,"VOLUME","."&amp;O$2&amp;O$1&amp;"C"&amp;$A34)*RTD("tos.rtd",,"GAMMA","."&amp;O$2&amp;O$1&amp;"C"&amp;$A34)-$A$4*$A$4*RTD("tos.rtd",,"VOLUME","."&amp;O$2&amp;O$1&amp;"P"&amp;$A34)*RTD("tos.rtd",,"GAMMA","."&amp;O$2&amp;O$1&amp;"P"&amp;$A34))/1000000,0),IF($A$2="GEX",IFERROR(($A$4*$A$4*RTD("tos.rtd",,"OPEN_INT","."&amp;O$2&amp;O$1&amp;"C"&amp;$A34)*RTD("tos.rtd",,"GAMMA","."&amp;O$2&amp;O$1&amp;"C"&amp;$A34)-$A$4*$A$4*RTD("tos.rtd",,"OPEN_INT","."&amp;O$2&amp;O$1&amp;"P"&amp;$A34)*RTD("tos.rtd",,"GAMMA","."&amp;O$2&amp;O$1&amp;"P"&amp;$A34))/1000000,0),IF($A$2="SKEW",IFERROR(VALUE(IF(RTD("tos.rtd",,"IMPL_VOL","."&amp;O$2&amp;O$1&amp;"P"&amp;$A34)="N/A",0,RTD("tos.rtd",,"IMPL_VOL","."&amp;O$2&amp;O$1&amp;"P"&amp;$A34))),0)-IFERROR(VALUE(IF(RTD("tos.rtd",,"IMPL_VOL","."&amp;O$2&amp;O$1&amp;"C"&amp;$A34)="N/A",0,RTD("tos.rtd",,"IMPL_VOL","."&amp;O$2&amp;O$1&amp;"C"&amp;$A34))),0),IF($A$2="MAXPAIN",IF($A$4&gt;$A34,($A$4-$A34)*IF(RTD("tos.rtd",,"OPEN_INT","."&amp;O$2&amp;O$1&amp;"C"&amp;$A34)="N/A",0,RTD("tos.rtd",,"OPEN_INT","."&amp;O$2&amp;O$1&amp;"C"&amp;$A34)),0)+IF($A$4&lt;$A34,($A34-$A$4)*IF(RTD("tos.rtd",,"OPEN_INT","."&amp;O$2&amp;O$1&amp;"P"&amp;$A34)="N/A",0,RTD("tos.rtd",,"OPEN_INT","."&amp;O$2&amp;O$1&amp;"P"&amp;$A34)),0),IF(RTD("tos.rtd",,$A$2,"."&amp;O$2&amp;O$1&amp;"C"&amp;$A34)="N/A",0,RTD("tos.rtd",,$A$2,"."&amp;O$2&amp;O$1&amp;"C"&amp;$A34))-IF(RTD("tos.rtd",,$A$2,"."&amp;O$2&amp;O$1&amp;"P"&amp;$A34)="N/A",0,RTD("tos.rtd",,$A$2,"."&amp;O$2&amp;O$1&amp;"P"&amp;$A34)))))))))</f>
        <v>0</v>
      </c>
      <c r="P34" s="12">
        <f>IF($A$2="PREMIUM_OI",IFERROR((100*RTD("tos.rtd",,"OPEN_INT","."&amp;P$2&amp;P$1&amp;"C"&amp;$A34)*RTD("tos.rtd",,"LAST","."&amp;P$2&amp;P$1&amp;"C"&amp;$A34)-100*RTD("tos.rtd",,"OPEN_INT","."&amp;P$2&amp;P$1&amp;"P"&amp;$A34)*RTD("tos.rtd",,"LAST","."&amp;P$2&amp;P$1&amp;"P"&amp;$A34))/1000000,0),IF($A$2="PREMIUM",IFERROR((100*RTD("tos.rtd",,"VOLUME","."&amp;P$2&amp;P$1&amp;"C"&amp;$A34)*RTD("tos.rtd",,"LAST","."&amp;P$2&amp;P$1&amp;"C"&amp;$A34)-100*RTD("tos.rtd",,"VOLUME","."&amp;P$2&amp;P$1&amp;"P"&amp;$A34)*RTD("tos.rtd",,"LAST","."&amp;P$2&amp;P$1&amp;"P"&amp;$A34))/1000000,0),IF($A$2="DEX",IFERROR((100*RTD("tos.rtd",,"OPEN_INT","."&amp;P$2&amp;P$1&amp;"C"&amp;$A34)*RTD("tos.rtd",,"DELTA","."&amp;P$2&amp;P$1&amp;"C"&amp;$A34)-100*RTD("tos.rtd",,"OPEN_INT","."&amp;P$2&amp;P$1&amp;"P"&amp;$A34)*RTD("tos.rtd",,"DELTA","."&amp;P$2&amp;P$1&amp;"P"&amp;$A34))/1000,0),IF($A$2="VEX",IFERROR(($A$4*$A$4*RTD("tos.rtd",,"VOLUME","."&amp;P$2&amp;P$1&amp;"C"&amp;$A34)*RTD("tos.rtd",,"GAMMA","."&amp;P$2&amp;P$1&amp;"C"&amp;$A34)-$A$4*$A$4*RTD("tos.rtd",,"VOLUME","."&amp;P$2&amp;P$1&amp;"P"&amp;$A34)*RTD("tos.rtd",,"GAMMA","."&amp;P$2&amp;P$1&amp;"P"&amp;$A34))/1000000,0),IF($A$2="GEX",IFERROR(($A$4*$A$4*RTD("tos.rtd",,"OPEN_INT","."&amp;P$2&amp;P$1&amp;"C"&amp;$A34)*RTD("tos.rtd",,"GAMMA","."&amp;P$2&amp;P$1&amp;"C"&amp;$A34)-$A$4*$A$4*RTD("tos.rtd",,"OPEN_INT","."&amp;P$2&amp;P$1&amp;"P"&amp;$A34)*RTD("tos.rtd",,"GAMMA","."&amp;P$2&amp;P$1&amp;"P"&amp;$A34))/1000000,0),IF($A$2="SKEW",IFERROR(VALUE(IF(RTD("tos.rtd",,"IMPL_VOL","."&amp;P$2&amp;P$1&amp;"P"&amp;$A34)="N/A",0,RTD("tos.rtd",,"IMPL_VOL","."&amp;P$2&amp;P$1&amp;"P"&amp;$A34))),0)-IFERROR(VALUE(IF(RTD("tos.rtd",,"IMPL_VOL","."&amp;P$2&amp;P$1&amp;"C"&amp;$A34)="N/A",0,RTD("tos.rtd",,"IMPL_VOL","."&amp;P$2&amp;P$1&amp;"C"&amp;$A34))),0),IF($A$2="MAXPAIN",IF($A$4&gt;$A34,($A$4-$A34)*IF(RTD("tos.rtd",,"OPEN_INT","."&amp;P$2&amp;P$1&amp;"C"&amp;$A34)="N/A",0,RTD("tos.rtd",,"OPEN_INT","."&amp;P$2&amp;P$1&amp;"C"&amp;$A34)),0)+IF($A$4&lt;$A34,($A34-$A$4)*IF(RTD("tos.rtd",,"OPEN_INT","."&amp;P$2&amp;P$1&amp;"P"&amp;$A34)="N/A",0,RTD("tos.rtd",,"OPEN_INT","."&amp;P$2&amp;P$1&amp;"P"&amp;$A34)),0),IF(RTD("tos.rtd",,$A$2,"."&amp;P$2&amp;P$1&amp;"C"&amp;$A34)="N/A",0,RTD("tos.rtd",,$A$2,"."&amp;P$2&amp;P$1&amp;"C"&amp;$A34))-IF(RTD("tos.rtd",,$A$2,"."&amp;P$2&amp;P$1&amp;"P"&amp;$A34)="N/A",0,RTD("tos.rtd",,$A$2,"."&amp;P$2&amp;P$1&amp;"P"&amp;$A34)))))))))</f>
        <v>0</v>
      </c>
      <c r="Q34" s="12">
        <f>IF($A$2="PREMIUM_OI",IFERROR((100*RTD("tos.rtd",,"OPEN_INT","."&amp;Q$2&amp;Q$1&amp;"C"&amp;$A34)*RTD("tos.rtd",,"LAST","."&amp;Q$2&amp;Q$1&amp;"C"&amp;$A34)-100*RTD("tos.rtd",,"OPEN_INT","."&amp;Q$2&amp;Q$1&amp;"P"&amp;$A34)*RTD("tos.rtd",,"LAST","."&amp;Q$2&amp;Q$1&amp;"P"&amp;$A34))/1000000,0),IF($A$2="PREMIUM",IFERROR((100*RTD("tos.rtd",,"VOLUME","."&amp;Q$2&amp;Q$1&amp;"C"&amp;$A34)*RTD("tos.rtd",,"LAST","."&amp;Q$2&amp;Q$1&amp;"C"&amp;$A34)-100*RTD("tos.rtd",,"VOLUME","."&amp;Q$2&amp;Q$1&amp;"P"&amp;$A34)*RTD("tos.rtd",,"LAST","."&amp;Q$2&amp;Q$1&amp;"P"&amp;$A34))/1000000,0),IF($A$2="DEX",IFERROR((100*RTD("tos.rtd",,"OPEN_INT","."&amp;Q$2&amp;Q$1&amp;"C"&amp;$A34)*RTD("tos.rtd",,"DELTA","."&amp;Q$2&amp;Q$1&amp;"C"&amp;$A34)-100*RTD("tos.rtd",,"OPEN_INT","."&amp;Q$2&amp;Q$1&amp;"P"&amp;$A34)*RTD("tos.rtd",,"DELTA","."&amp;Q$2&amp;Q$1&amp;"P"&amp;$A34))/1000,0),IF($A$2="VEX",IFERROR(($A$4*$A$4*RTD("tos.rtd",,"VOLUME","."&amp;Q$2&amp;Q$1&amp;"C"&amp;$A34)*RTD("tos.rtd",,"GAMMA","."&amp;Q$2&amp;Q$1&amp;"C"&amp;$A34)-$A$4*$A$4*RTD("tos.rtd",,"VOLUME","."&amp;Q$2&amp;Q$1&amp;"P"&amp;$A34)*RTD("tos.rtd",,"GAMMA","."&amp;Q$2&amp;Q$1&amp;"P"&amp;$A34))/1000000,0),IF($A$2="GEX",IFERROR(($A$4*$A$4*RTD("tos.rtd",,"OPEN_INT","."&amp;Q$2&amp;Q$1&amp;"C"&amp;$A34)*RTD("tos.rtd",,"GAMMA","."&amp;Q$2&amp;Q$1&amp;"C"&amp;$A34)-$A$4*$A$4*RTD("tos.rtd",,"OPEN_INT","."&amp;Q$2&amp;Q$1&amp;"P"&amp;$A34)*RTD("tos.rtd",,"GAMMA","."&amp;Q$2&amp;Q$1&amp;"P"&amp;$A34))/1000000,0),IF($A$2="SKEW",IFERROR(VALUE(IF(RTD("tos.rtd",,"IMPL_VOL","."&amp;Q$2&amp;Q$1&amp;"P"&amp;$A34)="N/A",0,RTD("tos.rtd",,"IMPL_VOL","."&amp;Q$2&amp;Q$1&amp;"P"&amp;$A34))),0)-IFERROR(VALUE(IF(RTD("tos.rtd",,"IMPL_VOL","."&amp;Q$2&amp;Q$1&amp;"C"&amp;$A34)="N/A",0,RTD("tos.rtd",,"IMPL_VOL","."&amp;Q$2&amp;Q$1&amp;"C"&amp;$A34))),0),IF($A$2="MAXPAIN",IF($A$4&gt;$A34,($A$4-$A34)*IF(RTD("tos.rtd",,"OPEN_INT","."&amp;Q$2&amp;Q$1&amp;"C"&amp;$A34)="N/A",0,RTD("tos.rtd",,"OPEN_INT","."&amp;Q$2&amp;Q$1&amp;"C"&amp;$A34)),0)+IF($A$4&lt;$A34,($A34-$A$4)*IF(RTD("tos.rtd",,"OPEN_INT","."&amp;Q$2&amp;Q$1&amp;"P"&amp;$A34)="N/A",0,RTD("tos.rtd",,"OPEN_INT","."&amp;Q$2&amp;Q$1&amp;"P"&amp;$A34)),0),IF(RTD("tos.rtd",,$A$2,"."&amp;Q$2&amp;Q$1&amp;"C"&amp;$A34)="N/A",0,RTD("tos.rtd",,$A$2,"."&amp;Q$2&amp;Q$1&amp;"C"&amp;$A34))-IF(RTD("tos.rtd",,$A$2,"."&amp;Q$2&amp;Q$1&amp;"P"&amp;$A34)="N/A",0,RTD("tos.rtd",,$A$2,"."&amp;Q$2&amp;Q$1&amp;"P"&amp;$A34)))))))))</f>
        <v>0</v>
      </c>
      <c r="R34" s="12">
        <f>IF($A$2="PREMIUM_OI",IFERROR((100*RTD("tos.rtd",,"OPEN_INT","."&amp;R$2&amp;R$1&amp;"C"&amp;$A34)*RTD("tos.rtd",,"LAST","."&amp;R$2&amp;R$1&amp;"C"&amp;$A34)-100*RTD("tos.rtd",,"OPEN_INT","."&amp;R$2&amp;R$1&amp;"P"&amp;$A34)*RTD("tos.rtd",,"LAST","."&amp;R$2&amp;R$1&amp;"P"&amp;$A34))/1000000,0),IF($A$2="PREMIUM",IFERROR((100*RTD("tos.rtd",,"VOLUME","."&amp;R$2&amp;R$1&amp;"C"&amp;$A34)*RTD("tos.rtd",,"LAST","."&amp;R$2&amp;R$1&amp;"C"&amp;$A34)-100*RTD("tos.rtd",,"VOLUME","."&amp;R$2&amp;R$1&amp;"P"&amp;$A34)*RTD("tos.rtd",,"LAST","."&amp;R$2&amp;R$1&amp;"P"&amp;$A34))/1000000,0),IF($A$2="DEX",IFERROR((100*RTD("tos.rtd",,"OPEN_INT","."&amp;R$2&amp;R$1&amp;"C"&amp;$A34)*RTD("tos.rtd",,"DELTA","."&amp;R$2&amp;R$1&amp;"C"&amp;$A34)-100*RTD("tos.rtd",,"OPEN_INT","."&amp;R$2&amp;R$1&amp;"P"&amp;$A34)*RTD("tos.rtd",,"DELTA","."&amp;R$2&amp;R$1&amp;"P"&amp;$A34))/1000,0),IF($A$2="VEX",IFERROR(($A$4*$A$4*RTD("tos.rtd",,"VOLUME","."&amp;R$2&amp;R$1&amp;"C"&amp;$A34)*RTD("tos.rtd",,"GAMMA","."&amp;R$2&amp;R$1&amp;"C"&amp;$A34)-$A$4*$A$4*RTD("tos.rtd",,"VOLUME","."&amp;R$2&amp;R$1&amp;"P"&amp;$A34)*RTD("tos.rtd",,"GAMMA","."&amp;R$2&amp;R$1&amp;"P"&amp;$A34))/1000000,0),IF($A$2="GEX",IFERROR(($A$4*$A$4*RTD("tos.rtd",,"OPEN_INT","."&amp;R$2&amp;R$1&amp;"C"&amp;$A34)*RTD("tos.rtd",,"GAMMA","."&amp;R$2&amp;R$1&amp;"C"&amp;$A34)-$A$4*$A$4*RTD("tos.rtd",,"OPEN_INT","."&amp;R$2&amp;R$1&amp;"P"&amp;$A34)*RTD("tos.rtd",,"GAMMA","."&amp;R$2&amp;R$1&amp;"P"&amp;$A34))/1000000,0),IF($A$2="SKEW",IFERROR(VALUE(IF(RTD("tos.rtd",,"IMPL_VOL","."&amp;R$2&amp;R$1&amp;"P"&amp;$A34)="N/A",0,RTD("tos.rtd",,"IMPL_VOL","."&amp;R$2&amp;R$1&amp;"P"&amp;$A34))),0)-IFERROR(VALUE(IF(RTD("tos.rtd",,"IMPL_VOL","."&amp;R$2&amp;R$1&amp;"C"&amp;$A34)="N/A",0,RTD("tos.rtd",,"IMPL_VOL","."&amp;R$2&amp;R$1&amp;"C"&amp;$A34))),0),IF($A$2="MAXPAIN",IF($A$4&gt;$A34,($A$4-$A34)*IF(RTD("tos.rtd",,"OPEN_INT","."&amp;R$2&amp;R$1&amp;"C"&amp;$A34)="N/A",0,RTD("tos.rtd",,"OPEN_INT","."&amp;R$2&amp;R$1&amp;"C"&amp;$A34)),0)+IF($A$4&lt;$A34,($A34-$A$4)*IF(RTD("tos.rtd",,"OPEN_INT","."&amp;R$2&amp;R$1&amp;"P"&amp;$A34)="N/A",0,RTD("tos.rtd",,"OPEN_INT","."&amp;R$2&amp;R$1&amp;"P"&amp;$A34)),0),IF(RTD("tos.rtd",,$A$2,"."&amp;R$2&amp;R$1&amp;"C"&amp;$A34)="N/A",0,RTD("tos.rtd",,$A$2,"."&amp;R$2&amp;R$1&amp;"C"&amp;$A34))-IF(RTD("tos.rtd",,$A$2,"."&amp;R$2&amp;R$1&amp;"P"&amp;$A34)="N/A",0,RTD("tos.rtd",,$A$2,"."&amp;R$2&amp;R$1&amp;"P"&amp;$A34)))))))))</f>
        <v>-3109</v>
      </c>
      <c r="S34" s="12">
        <f>IF($A$2="PREMIUM_OI",IFERROR((100*RTD("tos.rtd",,"OPEN_INT","."&amp;S$2&amp;S$1&amp;"C"&amp;$A34)*RTD("tos.rtd",,"LAST","."&amp;S$2&amp;S$1&amp;"C"&amp;$A34)-100*RTD("tos.rtd",,"OPEN_INT","."&amp;S$2&amp;S$1&amp;"P"&amp;$A34)*RTD("tos.rtd",,"LAST","."&amp;S$2&amp;S$1&amp;"P"&amp;$A34))/1000000,0),IF($A$2="PREMIUM",IFERROR((100*RTD("tos.rtd",,"VOLUME","."&amp;S$2&amp;S$1&amp;"C"&amp;$A34)*RTD("tos.rtd",,"LAST","."&amp;S$2&amp;S$1&amp;"C"&amp;$A34)-100*RTD("tos.rtd",,"VOLUME","."&amp;S$2&amp;S$1&amp;"P"&amp;$A34)*RTD("tos.rtd",,"LAST","."&amp;S$2&amp;S$1&amp;"P"&amp;$A34))/1000000,0),IF($A$2="DEX",IFERROR((100*RTD("tos.rtd",,"OPEN_INT","."&amp;S$2&amp;S$1&amp;"C"&amp;$A34)*RTD("tos.rtd",,"DELTA","."&amp;S$2&amp;S$1&amp;"C"&amp;$A34)-100*RTD("tos.rtd",,"OPEN_INT","."&amp;S$2&amp;S$1&amp;"P"&amp;$A34)*RTD("tos.rtd",,"DELTA","."&amp;S$2&amp;S$1&amp;"P"&amp;$A34))/1000,0),IF($A$2="VEX",IFERROR(($A$4*$A$4*RTD("tos.rtd",,"VOLUME","."&amp;S$2&amp;S$1&amp;"C"&amp;$A34)*RTD("tos.rtd",,"GAMMA","."&amp;S$2&amp;S$1&amp;"C"&amp;$A34)-$A$4*$A$4*RTD("tos.rtd",,"VOLUME","."&amp;S$2&amp;S$1&amp;"P"&amp;$A34)*RTD("tos.rtd",,"GAMMA","."&amp;S$2&amp;S$1&amp;"P"&amp;$A34))/1000000,0),IF($A$2="GEX",IFERROR(($A$4*$A$4*RTD("tos.rtd",,"OPEN_INT","."&amp;S$2&amp;S$1&amp;"C"&amp;$A34)*RTD("tos.rtd",,"GAMMA","."&amp;S$2&amp;S$1&amp;"C"&amp;$A34)-$A$4*$A$4*RTD("tos.rtd",,"OPEN_INT","."&amp;S$2&amp;S$1&amp;"P"&amp;$A34)*RTD("tos.rtd",,"GAMMA","."&amp;S$2&amp;S$1&amp;"P"&amp;$A34))/1000000,0),IF($A$2="SKEW",IFERROR(VALUE(IF(RTD("tos.rtd",,"IMPL_VOL","."&amp;S$2&amp;S$1&amp;"P"&amp;$A34)="N/A",0,RTD("tos.rtd",,"IMPL_VOL","."&amp;S$2&amp;S$1&amp;"P"&amp;$A34))),0)-IFERROR(VALUE(IF(RTD("tos.rtd",,"IMPL_VOL","."&amp;S$2&amp;S$1&amp;"C"&amp;$A34)="N/A",0,RTD("tos.rtd",,"IMPL_VOL","."&amp;S$2&amp;S$1&amp;"C"&amp;$A34))),0),IF($A$2="MAXPAIN",IF($A$4&gt;$A34,($A$4-$A34)*IF(RTD("tos.rtd",,"OPEN_INT","."&amp;S$2&amp;S$1&amp;"C"&amp;$A34)="N/A",0,RTD("tos.rtd",,"OPEN_INT","."&amp;S$2&amp;S$1&amp;"C"&amp;$A34)),0)+IF($A$4&lt;$A34,($A34-$A$4)*IF(RTD("tos.rtd",,"OPEN_INT","."&amp;S$2&amp;S$1&amp;"P"&amp;$A34)="N/A",0,RTD("tos.rtd",,"OPEN_INT","."&amp;S$2&amp;S$1&amp;"P"&amp;$A34)),0),IF(RTD("tos.rtd",,$A$2,"."&amp;S$2&amp;S$1&amp;"C"&amp;$A34)="N/A",0,RTD("tos.rtd",,$A$2,"."&amp;S$2&amp;S$1&amp;"C"&amp;$A34))-IF(RTD("tos.rtd",,$A$2,"."&amp;S$2&amp;S$1&amp;"P"&amp;$A34)="N/A",0,RTD("tos.rtd",,$A$2,"."&amp;S$2&amp;S$1&amp;"P"&amp;$A34)))))))))</f>
        <v>-11276</v>
      </c>
      <c r="T34" s="12">
        <f>IF($A$2="PREMIUM_OI",IFERROR((100*RTD("tos.rtd",,"OPEN_INT","."&amp;T$2&amp;T$1&amp;"C"&amp;$A34)*RTD("tos.rtd",,"LAST","."&amp;T$2&amp;T$1&amp;"C"&amp;$A34)-100*RTD("tos.rtd",,"OPEN_INT","."&amp;T$2&amp;T$1&amp;"P"&amp;$A34)*RTD("tos.rtd",,"LAST","."&amp;T$2&amp;T$1&amp;"P"&amp;$A34))/1000000,0),IF($A$2="PREMIUM",IFERROR((100*RTD("tos.rtd",,"VOLUME","."&amp;T$2&amp;T$1&amp;"C"&amp;$A34)*RTD("tos.rtd",,"LAST","."&amp;T$2&amp;T$1&amp;"C"&amp;$A34)-100*RTD("tos.rtd",,"VOLUME","."&amp;T$2&amp;T$1&amp;"P"&amp;$A34)*RTD("tos.rtd",,"LAST","."&amp;T$2&amp;T$1&amp;"P"&amp;$A34))/1000000,0),IF($A$2="DEX",IFERROR((100*RTD("tos.rtd",,"OPEN_INT","."&amp;T$2&amp;T$1&amp;"C"&amp;$A34)*RTD("tos.rtd",,"DELTA","."&amp;T$2&amp;T$1&amp;"C"&amp;$A34)-100*RTD("tos.rtd",,"OPEN_INT","."&amp;T$2&amp;T$1&amp;"P"&amp;$A34)*RTD("tos.rtd",,"DELTA","."&amp;T$2&amp;T$1&amp;"P"&amp;$A34))/1000,0),IF($A$2="VEX",IFERROR(($A$4*$A$4*RTD("tos.rtd",,"VOLUME","."&amp;T$2&amp;T$1&amp;"C"&amp;$A34)*RTD("tos.rtd",,"GAMMA","."&amp;T$2&amp;T$1&amp;"C"&amp;$A34)-$A$4*$A$4*RTD("tos.rtd",,"VOLUME","."&amp;T$2&amp;T$1&amp;"P"&amp;$A34)*RTD("tos.rtd",,"GAMMA","."&amp;T$2&amp;T$1&amp;"P"&amp;$A34))/1000000,0),IF($A$2="GEX",IFERROR(($A$4*$A$4*RTD("tos.rtd",,"OPEN_INT","."&amp;T$2&amp;T$1&amp;"C"&amp;$A34)*RTD("tos.rtd",,"GAMMA","."&amp;T$2&amp;T$1&amp;"C"&amp;$A34)-$A$4*$A$4*RTD("tos.rtd",,"OPEN_INT","."&amp;T$2&amp;T$1&amp;"P"&amp;$A34)*RTD("tos.rtd",,"GAMMA","."&amp;T$2&amp;T$1&amp;"P"&amp;$A34))/1000000,0),IF($A$2="SKEW",IFERROR(VALUE(IF(RTD("tos.rtd",,"IMPL_VOL","."&amp;T$2&amp;T$1&amp;"P"&amp;$A34)="N/A",0,RTD("tos.rtd",,"IMPL_VOL","."&amp;T$2&amp;T$1&amp;"P"&amp;$A34))),0)-IFERROR(VALUE(IF(RTD("tos.rtd",,"IMPL_VOL","."&amp;T$2&amp;T$1&amp;"C"&amp;$A34)="N/A",0,RTD("tos.rtd",,"IMPL_VOL","."&amp;T$2&amp;T$1&amp;"C"&amp;$A34))),0),IF($A$2="MAXPAIN",IF($A$4&gt;$A34,($A$4-$A34)*IF(RTD("tos.rtd",,"OPEN_INT","."&amp;T$2&amp;T$1&amp;"C"&amp;$A34)="N/A",0,RTD("tos.rtd",,"OPEN_INT","."&amp;T$2&amp;T$1&amp;"C"&amp;$A34)),0)+IF($A$4&lt;$A34,($A34-$A$4)*IF(RTD("tos.rtd",,"OPEN_INT","."&amp;T$2&amp;T$1&amp;"P"&amp;$A34)="N/A",0,RTD("tos.rtd",,"OPEN_INT","."&amp;T$2&amp;T$1&amp;"P"&amp;$A34)),0),IF(RTD("tos.rtd",,$A$2,"."&amp;T$2&amp;T$1&amp;"C"&amp;$A34)="N/A",0,RTD("tos.rtd",,$A$2,"."&amp;T$2&amp;T$1&amp;"C"&amp;$A34))-IF(RTD("tos.rtd",,$A$2,"."&amp;T$2&amp;T$1&amp;"P"&amp;$A34)="N/A",0,RTD("tos.rtd",,$A$2,"."&amp;T$2&amp;T$1&amp;"P"&amp;$A34)))))))))</f>
        <v>-1010</v>
      </c>
      <c r="U34" s="12">
        <f>IF($A$2="PREMIUM_OI",IFERROR((100*RTD("tos.rtd",,"OPEN_INT","."&amp;U$2&amp;U$1&amp;"C"&amp;$A34)*RTD("tos.rtd",,"LAST","."&amp;U$2&amp;U$1&amp;"C"&amp;$A34)-100*RTD("tos.rtd",,"OPEN_INT","."&amp;U$2&amp;U$1&amp;"P"&amp;$A34)*RTD("tos.rtd",,"LAST","."&amp;U$2&amp;U$1&amp;"P"&amp;$A34))/1000000,0),IF($A$2="PREMIUM",IFERROR((100*RTD("tos.rtd",,"VOLUME","."&amp;U$2&amp;U$1&amp;"C"&amp;$A34)*RTD("tos.rtd",,"LAST","."&amp;U$2&amp;U$1&amp;"C"&amp;$A34)-100*RTD("tos.rtd",,"VOLUME","."&amp;U$2&amp;U$1&amp;"P"&amp;$A34)*RTD("tos.rtd",,"LAST","."&amp;U$2&amp;U$1&amp;"P"&amp;$A34))/1000000,0),IF($A$2="DEX",IFERROR((100*RTD("tos.rtd",,"OPEN_INT","."&amp;U$2&amp;U$1&amp;"C"&amp;$A34)*RTD("tos.rtd",,"DELTA","."&amp;U$2&amp;U$1&amp;"C"&amp;$A34)-100*RTD("tos.rtd",,"OPEN_INT","."&amp;U$2&amp;U$1&amp;"P"&amp;$A34)*RTD("tos.rtd",,"DELTA","."&amp;U$2&amp;U$1&amp;"P"&amp;$A34))/1000,0),IF($A$2="VEX",IFERROR(($A$4*$A$4*RTD("tos.rtd",,"VOLUME","."&amp;U$2&amp;U$1&amp;"C"&amp;$A34)*RTD("tos.rtd",,"GAMMA","."&amp;U$2&amp;U$1&amp;"C"&amp;$A34)-$A$4*$A$4*RTD("tos.rtd",,"VOLUME","."&amp;U$2&amp;U$1&amp;"P"&amp;$A34)*RTD("tos.rtd",,"GAMMA","."&amp;U$2&amp;U$1&amp;"P"&amp;$A34))/1000000,0),IF($A$2="GEX",IFERROR(($A$4*$A$4*RTD("tos.rtd",,"OPEN_INT","."&amp;U$2&amp;U$1&amp;"C"&amp;$A34)*RTD("tos.rtd",,"GAMMA","."&amp;U$2&amp;U$1&amp;"C"&amp;$A34)-$A$4*$A$4*RTD("tos.rtd",,"OPEN_INT","."&amp;U$2&amp;U$1&amp;"P"&amp;$A34)*RTD("tos.rtd",,"GAMMA","."&amp;U$2&amp;U$1&amp;"P"&amp;$A34))/1000000,0),IF($A$2="SKEW",IFERROR(VALUE(IF(RTD("tos.rtd",,"IMPL_VOL","."&amp;U$2&amp;U$1&amp;"P"&amp;$A34)="N/A",0,RTD("tos.rtd",,"IMPL_VOL","."&amp;U$2&amp;U$1&amp;"P"&amp;$A34))),0)-IFERROR(VALUE(IF(RTD("tos.rtd",,"IMPL_VOL","."&amp;U$2&amp;U$1&amp;"C"&amp;$A34)="N/A",0,RTD("tos.rtd",,"IMPL_VOL","."&amp;U$2&amp;U$1&amp;"C"&amp;$A34))),0),IF($A$2="MAXPAIN",IF($A$4&gt;$A34,($A$4-$A34)*IF(RTD("tos.rtd",,"OPEN_INT","."&amp;U$2&amp;U$1&amp;"C"&amp;$A34)="N/A",0,RTD("tos.rtd",,"OPEN_INT","."&amp;U$2&amp;U$1&amp;"C"&amp;$A34)),0)+IF($A$4&lt;$A34,($A34-$A$4)*IF(RTD("tos.rtd",,"OPEN_INT","."&amp;U$2&amp;U$1&amp;"P"&amp;$A34)="N/A",0,RTD("tos.rtd",,"OPEN_INT","."&amp;U$2&amp;U$1&amp;"P"&amp;$A34)),0),IF(RTD("tos.rtd",,$A$2,"."&amp;U$2&amp;U$1&amp;"C"&amp;$A34)="N/A",0,RTD("tos.rtd",,$A$2,"."&amp;U$2&amp;U$1&amp;"C"&amp;$A34))-IF(RTD("tos.rtd",,$A$2,"."&amp;U$2&amp;U$1&amp;"P"&amp;$A34)="N/A",0,RTD("tos.rtd",,$A$2,"."&amp;U$2&amp;U$1&amp;"P"&amp;$A34)))))))))</f>
        <v>-2082</v>
      </c>
      <c r="V34" s="12">
        <f>IF($A$2="PREMIUM_OI",IFERROR((100*RTD("tos.rtd",,"OPEN_INT","."&amp;V$2&amp;V$1&amp;"C"&amp;$A34)*RTD("tos.rtd",,"LAST","."&amp;V$2&amp;V$1&amp;"C"&amp;$A34)-100*RTD("tos.rtd",,"OPEN_INT","."&amp;V$2&amp;V$1&amp;"P"&amp;$A34)*RTD("tos.rtd",,"LAST","."&amp;V$2&amp;V$1&amp;"P"&amp;$A34))/1000000,0),IF($A$2="PREMIUM",IFERROR((100*RTD("tos.rtd",,"VOLUME","."&amp;V$2&amp;V$1&amp;"C"&amp;$A34)*RTD("tos.rtd",,"LAST","."&amp;V$2&amp;V$1&amp;"C"&amp;$A34)-100*RTD("tos.rtd",,"VOLUME","."&amp;V$2&amp;V$1&amp;"P"&amp;$A34)*RTD("tos.rtd",,"LAST","."&amp;V$2&amp;V$1&amp;"P"&amp;$A34))/1000000,0),IF($A$2="DEX",IFERROR((100*RTD("tos.rtd",,"OPEN_INT","."&amp;V$2&amp;V$1&amp;"C"&amp;$A34)*RTD("tos.rtd",,"DELTA","."&amp;V$2&amp;V$1&amp;"C"&amp;$A34)-100*RTD("tos.rtd",,"OPEN_INT","."&amp;V$2&amp;V$1&amp;"P"&amp;$A34)*RTD("tos.rtd",,"DELTA","."&amp;V$2&amp;V$1&amp;"P"&amp;$A34))/1000,0),IF($A$2="VEX",IFERROR(($A$4*$A$4*RTD("tos.rtd",,"VOLUME","."&amp;V$2&amp;V$1&amp;"C"&amp;$A34)*RTD("tos.rtd",,"GAMMA","."&amp;V$2&amp;V$1&amp;"C"&amp;$A34)-$A$4*$A$4*RTD("tos.rtd",,"VOLUME","."&amp;V$2&amp;V$1&amp;"P"&amp;$A34)*RTD("tos.rtd",,"GAMMA","."&amp;V$2&amp;V$1&amp;"P"&amp;$A34))/1000000,0),IF($A$2="GEX",IFERROR(($A$4*$A$4*RTD("tos.rtd",,"OPEN_INT","."&amp;V$2&amp;V$1&amp;"C"&amp;$A34)*RTD("tos.rtd",,"GAMMA","."&amp;V$2&amp;V$1&amp;"C"&amp;$A34)-$A$4*$A$4*RTD("tos.rtd",,"OPEN_INT","."&amp;V$2&amp;V$1&amp;"P"&amp;$A34)*RTD("tos.rtd",,"GAMMA","."&amp;V$2&amp;V$1&amp;"P"&amp;$A34))/1000000,0),IF($A$2="SKEW",IFERROR(VALUE(IF(RTD("tos.rtd",,"IMPL_VOL","."&amp;V$2&amp;V$1&amp;"P"&amp;$A34)="N/A",0,RTD("tos.rtd",,"IMPL_VOL","."&amp;V$2&amp;V$1&amp;"P"&amp;$A34))),0)-IFERROR(VALUE(IF(RTD("tos.rtd",,"IMPL_VOL","."&amp;V$2&amp;V$1&amp;"C"&amp;$A34)="N/A",0,RTD("tos.rtd",,"IMPL_VOL","."&amp;V$2&amp;V$1&amp;"C"&amp;$A34))),0),IF($A$2="MAXPAIN",IF($A$4&gt;$A34,($A$4-$A34)*IF(RTD("tos.rtd",,"OPEN_INT","."&amp;V$2&amp;V$1&amp;"C"&amp;$A34)="N/A",0,RTD("tos.rtd",,"OPEN_INT","."&amp;V$2&amp;V$1&amp;"C"&amp;$A34)),0)+IF($A$4&lt;$A34,($A34-$A$4)*IF(RTD("tos.rtd",,"OPEN_INT","."&amp;V$2&amp;V$1&amp;"P"&amp;$A34)="N/A",0,RTD("tos.rtd",,"OPEN_INT","."&amp;V$2&amp;V$1&amp;"P"&amp;$A34)),0),IF(RTD("tos.rtd",,$A$2,"."&amp;V$2&amp;V$1&amp;"C"&amp;$A34)="N/A",0,RTD("tos.rtd",,$A$2,"."&amp;V$2&amp;V$1&amp;"C"&amp;$A34))-IF(RTD("tos.rtd",,$A$2,"."&amp;V$2&amp;V$1&amp;"P"&amp;$A34)="N/A",0,RTD("tos.rtd",,$A$2,"."&amp;V$2&amp;V$1&amp;"P"&amp;$A34)))))))))</f>
        <v>0</v>
      </c>
      <c r="W34" s="12">
        <f>IF($A$2="PREMIUM_OI",IFERROR((100*RTD("tos.rtd",,"OPEN_INT","."&amp;W$2&amp;W$1&amp;"C"&amp;$A34)*RTD("tos.rtd",,"LAST","."&amp;W$2&amp;W$1&amp;"C"&amp;$A34)-100*RTD("tos.rtd",,"OPEN_INT","."&amp;W$2&amp;W$1&amp;"P"&amp;$A34)*RTD("tos.rtd",,"LAST","."&amp;W$2&amp;W$1&amp;"P"&amp;$A34))/1000000,0),IF($A$2="PREMIUM",IFERROR((100*RTD("tos.rtd",,"VOLUME","."&amp;W$2&amp;W$1&amp;"C"&amp;$A34)*RTD("tos.rtd",,"LAST","."&amp;W$2&amp;W$1&amp;"C"&amp;$A34)-100*RTD("tos.rtd",,"VOLUME","."&amp;W$2&amp;W$1&amp;"P"&amp;$A34)*RTD("tos.rtd",,"LAST","."&amp;W$2&amp;W$1&amp;"P"&amp;$A34))/1000000,0),IF($A$2="DEX",IFERROR((100*RTD("tos.rtd",,"OPEN_INT","."&amp;W$2&amp;W$1&amp;"C"&amp;$A34)*RTD("tos.rtd",,"DELTA","."&amp;W$2&amp;W$1&amp;"C"&amp;$A34)-100*RTD("tos.rtd",,"OPEN_INT","."&amp;W$2&amp;W$1&amp;"P"&amp;$A34)*RTD("tos.rtd",,"DELTA","."&amp;W$2&amp;W$1&amp;"P"&amp;$A34))/1000,0),IF($A$2="VEX",IFERROR(($A$4*$A$4*RTD("tos.rtd",,"VOLUME","."&amp;W$2&amp;W$1&amp;"C"&amp;$A34)*RTD("tos.rtd",,"GAMMA","."&amp;W$2&amp;W$1&amp;"C"&amp;$A34)-$A$4*$A$4*RTD("tos.rtd",,"VOLUME","."&amp;W$2&amp;W$1&amp;"P"&amp;$A34)*RTD("tos.rtd",,"GAMMA","."&amp;W$2&amp;W$1&amp;"P"&amp;$A34))/1000000,0),IF($A$2="GEX",IFERROR(($A$4*$A$4*RTD("tos.rtd",,"OPEN_INT","."&amp;W$2&amp;W$1&amp;"C"&amp;$A34)*RTD("tos.rtd",,"GAMMA","."&amp;W$2&amp;W$1&amp;"C"&amp;$A34)-$A$4*$A$4*RTD("tos.rtd",,"OPEN_INT","."&amp;W$2&amp;W$1&amp;"P"&amp;$A34)*RTD("tos.rtd",,"GAMMA","."&amp;W$2&amp;W$1&amp;"P"&amp;$A34))/1000000,0),IF($A$2="SKEW",IFERROR(VALUE(IF(RTD("tos.rtd",,"IMPL_VOL","."&amp;W$2&amp;W$1&amp;"P"&amp;$A34)="N/A",0,RTD("tos.rtd",,"IMPL_VOL","."&amp;W$2&amp;W$1&amp;"P"&amp;$A34))),0)-IFERROR(VALUE(IF(RTD("tos.rtd",,"IMPL_VOL","."&amp;W$2&amp;W$1&amp;"C"&amp;$A34)="N/A",0,RTD("tos.rtd",,"IMPL_VOL","."&amp;W$2&amp;W$1&amp;"C"&amp;$A34))),0),IF($A$2="MAXPAIN",IF($A$4&gt;$A34,($A$4-$A34)*IF(RTD("tos.rtd",,"OPEN_INT","."&amp;W$2&amp;W$1&amp;"C"&amp;$A34)="N/A",0,RTD("tos.rtd",,"OPEN_INT","."&amp;W$2&amp;W$1&amp;"C"&amp;$A34)),0)+IF($A$4&lt;$A34,($A34-$A$4)*IF(RTD("tos.rtd",,"OPEN_INT","."&amp;W$2&amp;W$1&amp;"P"&amp;$A34)="N/A",0,RTD("tos.rtd",,"OPEN_INT","."&amp;W$2&amp;W$1&amp;"P"&amp;$A34)),0),IF(RTD("tos.rtd",,$A$2,"."&amp;W$2&amp;W$1&amp;"C"&amp;$A34)="N/A",0,RTD("tos.rtd",,$A$2,"."&amp;W$2&amp;W$1&amp;"C"&amp;$A34))-IF(RTD("tos.rtd",,$A$2,"."&amp;W$2&amp;W$1&amp;"P"&amp;$A34)="N/A",0,RTD("tos.rtd",,$A$2,"."&amp;W$2&amp;W$1&amp;"P"&amp;$A34)))))))))</f>
        <v>29388</v>
      </c>
      <c r="X34" s="12">
        <f t="shared" ca="1" si="7"/>
        <v>15020</v>
      </c>
      <c r="Y34" s="27">
        <f t="shared" ca="1" si="8"/>
        <v>15020</v>
      </c>
      <c r="AA34" s="35">
        <f>+IF($AJ$1,AJ34,TASTYOHLC!A34)</f>
        <v>0</v>
      </c>
      <c r="AB34" s="8">
        <f>+IF($AJ$1,AK34,TASTYOHLC!B34)</f>
        <v>0</v>
      </c>
      <c r="AC34" s="8">
        <f>+IF($AJ$1,AL34,TASTYOHLC!C34)</f>
        <v>0</v>
      </c>
      <c r="AD34" s="8">
        <f>+IF($AJ$1,AM34,TASTYOHLC!D34)</f>
        <v>0</v>
      </c>
      <c r="AE34" s="8">
        <f>+IF($AJ$1,AN34,TASTYOHLC!E34)</f>
        <v>0</v>
      </c>
      <c r="AF34" s="8"/>
      <c r="AJ34" s="37"/>
    </row>
    <row r="35" spans="1:36" s="19" customFormat="1" ht="11.1" customHeight="1" thickBot="1" x14ac:dyDescent="0.3">
      <c r="A35" s="23">
        <f t="shared" si="13"/>
        <v>4.5</v>
      </c>
      <c r="B35" s="14">
        <f>IF($A$2="PREMIUM_OI",IFERROR((100*RTD("tos.rtd",,"OPEN_INT","."&amp;B$2&amp;B$1&amp;"C"&amp;$A35)*RTD("tos.rtd",,"LAST","."&amp;B$2&amp;B$1&amp;"C"&amp;$A35)-100*RTD("tos.rtd",,"OPEN_INT","."&amp;B$2&amp;B$1&amp;"P"&amp;$A35)*RTD("tos.rtd",,"LAST","."&amp;B$2&amp;B$1&amp;"P"&amp;$A35))/1000000,0),IF($A$2="PREMIUM",IFERROR((100*RTD("tos.rtd",,"VOLUME","."&amp;B$2&amp;B$1&amp;"C"&amp;$A35)*RTD("tos.rtd",,"LAST","."&amp;B$2&amp;B$1&amp;"C"&amp;$A35)-100*RTD("tos.rtd",,"VOLUME","."&amp;B$2&amp;B$1&amp;"P"&amp;$A35)*RTD("tos.rtd",,"LAST","."&amp;B$2&amp;B$1&amp;"P"&amp;$A35))/1000000,0),IF($A$2="DEX",IFERROR((100*RTD("tos.rtd",,"OPEN_INT","."&amp;B$2&amp;B$1&amp;"C"&amp;$A35)*RTD("tos.rtd",,"DELTA","."&amp;B$2&amp;B$1&amp;"C"&amp;$A35)-100*RTD("tos.rtd",,"OPEN_INT","."&amp;B$2&amp;B$1&amp;"P"&amp;$A35)*RTD("tos.rtd",,"DELTA","."&amp;B$2&amp;B$1&amp;"P"&amp;$A35))/1000,0),IF($A$2="VEX",IFERROR(($A$4*$A$4*RTD("tos.rtd",,"VOLUME","."&amp;B$2&amp;B$1&amp;"C"&amp;$A35)*RTD("tos.rtd",,"GAMMA","."&amp;B$2&amp;B$1&amp;"C"&amp;$A35)-$A$4*$A$4*RTD("tos.rtd",,"VOLUME","."&amp;B$2&amp;B$1&amp;"P"&amp;$A35)*RTD("tos.rtd",,"GAMMA","."&amp;B$2&amp;B$1&amp;"P"&amp;$A35))/1000000,0),IF($A$2="GEX",IFERROR(($A$4*$A$4*RTD("tos.rtd",,"OPEN_INT","."&amp;B$2&amp;B$1&amp;"C"&amp;$A35)*RTD("tos.rtd",,"GAMMA","."&amp;B$2&amp;B$1&amp;"C"&amp;$A35)-$A$4*$A$4*RTD("tos.rtd",,"OPEN_INT","."&amp;B$2&amp;B$1&amp;"P"&amp;$A35)*RTD("tos.rtd",,"GAMMA","."&amp;B$2&amp;B$1&amp;"P"&amp;$A35))/1000000,0),IF($A$2="SKEW",IFERROR(VALUE(IF(RTD("tos.rtd",,"IMPL_VOL","."&amp;B$2&amp;B$1&amp;"P"&amp;$A35)="N/A",0,RTD("tos.rtd",,"IMPL_VOL","."&amp;B$2&amp;B$1&amp;"P"&amp;$A35))),0)-IFERROR(VALUE(IF(RTD("tos.rtd",,"IMPL_VOL","."&amp;B$2&amp;B$1&amp;"C"&amp;$A35)="N/A",0,RTD("tos.rtd",,"IMPL_VOL","."&amp;B$2&amp;B$1&amp;"C"&amp;$A35))),0),IF($A$2="MAXPAIN",IF($A$4&gt;$A35,($A$4-$A35)*IF(RTD("tos.rtd",,"OPEN_INT","."&amp;B$2&amp;B$1&amp;"C"&amp;$A35)="N/A",0,RTD("tos.rtd",,"OPEN_INT","."&amp;B$2&amp;B$1&amp;"C"&amp;$A35)),0)+IF($A$4&lt;$A35,($A35-$A$4)*IF(RTD("tos.rtd",,"OPEN_INT","."&amp;B$2&amp;B$1&amp;"P"&amp;$A35)="N/A",0,RTD("tos.rtd",,"OPEN_INT","."&amp;B$2&amp;B$1&amp;"P"&amp;$A35)),0),IF(RTD("tos.rtd",,$A$2,"."&amp;B$2&amp;B$1&amp;"C"&amp;$A35)="N/A",0,RTD("tos.rtd",,$A$2,"."&amp;B$2&amp;B$1&amp;"C"&amp;$A35))-IF(RTD("tos.rtd",,$A$2,"."&amp;B$2&amp;B$1&amp;"P"&amp;$A35)="N/A",0,RTD("tos.rtd",,$A$2,"."&amp;B$2&amp;B$1&amp;"P"&amp;$A35)))))))))</f>
        <v>0</v>
      </c>
      <c r="C35" s="12">
        <f>IF($A$2="PREMIUM_OI",IFERROR((100*RTD("tos.rtd",,"OPEN_INT","."&amp;C$2&amp;C$1&amp;"C"&amp;$A35)*RTD("tos.rtd",,"LAST","."&amp;C$2&amp;C$1&amp;"C"&amp;$A35)-100*RTD("tos.rtd",,"OPEN_INT","."&amp;C$2&amp;C$1&amp;"P"&amp;$A35)*RTD("tos.rtd",,"LAST","."&amp;C$2&amp;C$1&amp;"P"&amp;$A35))/1000000,0),IF($A$2="PREMIUM",IFERROR((100*RTD("tos.rtd",,"VOLUME","."&amp;C$2&amp;C$1&amp;"C"&amp;$A35)*RTD("tos.rtd",,"LAST","."&amp;C$2&amp;C$1&amp;"C"&amp;$A35)-100*RTD("tos.rtd",,"VOLUME","."&amp;C$2&amp;C$1&amp;"P"&amp;$A35)*RTD("tos.rtd",,"LAST","."&amp;C$2&amp;C$1&amp;"P"&amp;$A35))/1000000,0),IF($A$2="DEX",IFERROR((100*RTD("tos.rtd",,"OPEN_INT","."&amp;C$2&amp;C$1&amp;"C"&amp;$A35)*RTD("tos.rtd",,"DELTA","."&amp;C$2&amp;C$1&amp;"C"&amp;$A35)-100*RTD("tos.rtd",,"OPEN_INT","."&amp;C$2&amp;C$1&amp;"P"&amp;$A35)*RTD("tos.rtd",,"DELTA","."&amp;C$2&amp;C$1&amp;"P"&amp;$A35))/1000,0),IF($A$2="VEX",IFERROR(($A$4*$A$4*RTD("tos.rtd",,"VOLUME","."&amp;C$2&amp;C$1&amp;"C"&amp;$A35)*RTD("tos.rtd",,"GAMMA","."&amp;C$2&amp;C$1&amp;"C"&amp;$A35)-$A$4*$A$4*RTD("tos.rtd",,"VOLUME","."&amp;C$2&amp;C$1&amp;"P"&amp;$A35)*RTD("tos.rtd",,"GAMMA","."&amp;C$2&amp;C$1&amp;"P"&amp;$A35))/1000000,0),IF($A$2="GEX",IFERROR(($A$4*$A$4*RTD("tos.rtd",,"OPEN_INT","."&amp;C$2&amp;C$1&amp;"C"&amp;$A35)*RTD("tos.rtd",,"GAMMA","."&amp;C$2&amp;C$1&amp;"C"&amp;$A35)-$A$4*$A$4*RTD("tos.rtd",,"OPEN_INT","."&amp;C$2&amp;C$1&amp;"P"&amp;$A35)*RTD("tos.rtd",,"GAMMA","."&amp;C$2&amp;C$1&amp;"P"&amp;$A35))/1000000,0),IF($A$2="SKEW",IFERROR(VALUE(IF(RTD("tos.rtd",,"IMPL_VOL","."&amp;C$2&amp;C$1&amp;"P"&amp;$A35)="N/A",0,RTD("tos.rtd",,"IMPL_VOL","."&amp;C$2&amp;C$1&amp;"P"&amp;$A35))),0)-IFERROR(VALUE(IF(RTD("tos.rtd",,"IMPL_VOL","."&amp;C$2&amp;C$1&amp;"C"&amp;$A35)="N/A",0,RTD("tos.rtd",,"IMPL_VOL","."&amp;C$2&amp;C$1&amp;"C"&amp;$A35))),0),IF($A$2="MAXPAIN",IF($A$4&gt;$A35,($A$4-$A35)*IF(RTD("tos.rtd",,"OPEN_INT","."&amp;C$2&amp;C$1&amp;"C"&amp;$A35)="N/A",0,RTD("tos.rtd",,"OPEN_INT","."&amp;C$2&amp;C$1&amp;"C"&amp;$A35)),0)+IF($A$4&lt;$A35,($A35-$A$4)*IF(RTD("tos.rtd",,"OPEN_INT","."&amp;C$2&amp;C$1&amp;"P"&amp;$A35)="N/A",0,RTD("tos.rtd",,"OPEN_INT","."&amp;C$2&amp;C$1&amp;"P"&amp;$A35)),0),IF(RTD("tos.rtd",,$A$2,"."&amp;C$2&amp;C$1&amp;"C"&amp;$A35)="N/A",0,RTD("tos.rtd",,$A$2,"."&amp;C$2&amp;C$1&amp;"C"&amp;$A35))-IF(RTD("tos.rtd",,$A$2,"."&amp;C$2&amp;C$1&amp;"P"&amp;$A35)="N/A",0,RTD("tos.rtd",,$A$2,"."&amp;C$2&amp;C$1&amp;"P"&amp;$A35)))))))))</f>
        <v>-733</v>
      </c>
      <c r="D35" s="12">
        <f>IF($A$2="PREMIUM_OI",IFERROR((100*RTD("tos.rtd",,"OPEN_INT","."&amp;D$2&amp;D$1&amp;"C"&amp;$A35)*RTD("tos.rtd",,"LAST","."&amp;D$2&amp;D$1&amp;"C"&amp;$A35)-100*RTD("tos.rtd",,"OPEN_INT","."&amp;D$2&amp;D$1&amp;"P"&amp;$A35)*RTD("tos.rtd",,"LAST","."&amp;D$2&amp;D$1&amp;"P"&amp;$A35))/1000000,0),IF($A$2="PREMIUM",IFERROR((100*RTD("tos.rtd",,"VOLUME","."&amp;D$2&amp;D$1&amp;"C"&amp;$A35)*RTD("tos.rtd",,"LAST","."&amp;D$2&amp;D$1&amp;"C"&amp;$A35)-100*RTD("tos.rtd",,"VOLUME","."&amp;D$2&amp;D$1&amp;"P"&amp;$A35)*RTD("tos.rtd",,"LAST","."&amp;D$2&amp;D$1&amp;"P"&amp;$A35))/1000000,0),IF($A$2="DEX",IFERROR((100*RTD("tos.rtd",,"OPEN_INT","."&amp;D$2&amp;D$1&amp;"C"&amp;$A35)*RTD("tos.rtd",,"DELTA","."&amp;D$2&amp;D$1&amp;"C"&amp;$A35)-100*RTD("tos.rtd",,"OPEN_INT","."&amp;D$2&amp;D$1&amp;"P"&amp;$A35)*RTD("tos.rtd",,"DELTA","."&amp;D$2&amp;D$1&amp;"P"&amp;$A35))/1000,0),IF($A$2="VEX",IFERROR(($A$4*$A$4*RTD("tos.rtd",,"VOLUME","."&amp;D$2&amp;D$1&amp;"C"&amp;$A35)*RTD("tos.rtd",,"GAMMA","."&amp;D$2&amp;D$1&amp;"C"&amp;$A35)-$A$4*$A$4*RTD("tos.rtd",,"VOLUME","."&amp;D$2&amp;D$1&amp;"P"&amp;$A35)*RTD("tos.rtd",,"GAMMA","."&amp;D$2&amp;D$1&amp;"P"&amp;$A35))/1000000,0),IF($A$2="GEX",IFERROR(($A$4*$A$4*RTD("tos.rtd",,"OPEN_INT","."&amp;D$2&amp;D$1&amp;"C"&amp;$A35)*RTD("tos.rtd",,"GAMMA","."&amp;D$2&amp;D$1&amp;"C"&amp;$A35)-$A$4*$A$4*RTD("tos.rtd",,"OPEN_INT","."&amp;D$2&amp;D$1&amp;"P"&amp;$A35)*RTD("tos.rtd",,"GAMMA","."&amp;D$2&amp;D$1&amp;"P"&amp;$A35))/1000000,0),IF($A$2="SKEW",IFERROR(VALUE(IF(RTD("tos.rtd",,"IMPL_VOL","."&amp;D$2&amp;D$1&amp;"P"&amp;$A35)="N/A",0,RTD("tos.rtd",,"IMPL_VOL","."&amp;D$2&amp;D$1&amp;"P"&amp;$A35))),0)-IFERROR(VALUE(IF(RTD("tos.rtd",,"IMPL_VOL","."&amp;D$2&amp;D$1&amp;"C"&amp;$A35)="N/A",0,RTD("tos.rtd",,"IMPL_VOL","."&amp;D$2&amp;D$1&amp;"C"&amp;$A35))),0),IF($A$2="MAXPAIN",IF($A$4&gt;$A35,($A$4-$A35)*IF(RTD("tos.rtd",,"OPEN_INT","."&amp;D$2&amp;D$1&amp;"C"&amp;$A35)="N/A",0,RTD("tos.rtd",,"OPEN_INT","."&amp;D$2&amp;D$1&amp;"C"&amp;$A35)),0)+IF($A$4&lt;$A35,($A35-$A$4)*IF(RTD("tos.rtd",,"OPEN_INT","."&amp;D$2&amp;D$1&amp;"P"&amp;$A35)="N/A",0,RTD("tos.rtd",,"OPEN_INT","."&amp;D$2&amp;D$1&amp;"P"&amp;$A35)),0),IF(RTD("tos.rtd",,$A$2,"."&amp;D$2&amp;D$1&amp;"C"&amp;$A35)="N/A",0,RTD("tos.rtd",,$A$2,"."&amp;D$2&amp;D$1&amp;"C"&amp;$A35))-IF(RTD("tos.rtd",,$A$2,"."&amp;D$2&amp;D$1&amp;"P"&amp;$A35)="N/A",0,RTD("tos.rtd",,$A$2,"."&amp;D$2&amp;D$1&amp;"P"&amp;$A35)))))))))</f>
        <v>0</v>
      </c>
      <c r="E35" s="12">
        <f>IF($A$2="PREMIUM_OI",IFERROR((100*RTD("tos.rtd",,"OPEN_INT","."&amp;E$2&amp;E$1&amp;"C"&amp;$A35)*RTD("tos.rtd",,"LAST","."&amp;E$2&amp;E$1&amp;"C"&amp;$A35)-100*RTD("tos.rtd",,"OPEN_INT","."&amp;E$2&amp;E$1&amp;"P"&amp;$A35)*RTD("tos.rtd",,"LAST","."&amp;E$2&amp;E$1&amp;"P"&amp;$A35))/1000000,0),IF($A$2="PREMIUM",IFERROR((100*RTD("tos.rtd",,"VOLUME","."&amp;E$2&amp;E$1&amp;"C"&amp;$A35)*RTD("tos.rtd",,"LAST","."&amp;E$2&amp;E$1&amp;"C"&amp;$A35)-100*RTD("tos.rtd",,"VOLUME","."&amp;E$2&amp;E$1&amp;"P"&amp;$A35)*RTD("tos.rtd",,"LAST","."&amp;E$2&amp;E$1&amp;"P"&amp;$A35))/1000000,0),IF($A$2="DEX",IFERROR((100*RTD("tos.rtd",,"OPEN_INT","."&amp;E$2&amp;E$1&amp;"C"&amp;$A35)*RTD("tos.rtd",,"DELTA","."&amp;E$2&amp;E$1&amp;"C"&amp;$A35)-100*RTD("tos.rtd",,"OPEN_INT","."&amp;E$2&amp;E$1&amp;"P"&amp;$A35)*RTD("tos.rtd",,"DELTA","."&amp;E$2&amp;E$1&amp;"P"&amp;$A35))/1000,0),IF($A$2="VEX",IFERROR(($A$4*$A$4*RTD("tos.rtd",,"VOLUME","."&amp;E$2&amp;E$1&amp;"C"&amp;$A35)*RTD("tos.rtd",,"GAMMA","."&amp;E$2&amp;E$1&amp;"C"&amp;$A35)-$A$4*$A$4*RTD("tos.rtd",,"VOLUME","."&amp;E$2&amp;E$1&amp;"P"&amp;$A35)*RTD("tos.rtd",,"GAMMA","."&amp;E$2&amp;E$1&amp;"P"&amp;$A35))/1000000,0),IF($A$2="GEX",IFERROR(($A$4*$A$4*RTD("tos.rtd",,"OPEN_INT","."&amp;E$2&amp;E$1&amp;"C"&amp;$A35)*RTD("tos.rtd",,"GAMMA","."&amp;E$2&amp;E$1&amp;"C"&amp;$A35)-$A$4*$A$4*RTD("tos.rtd",,"OPEN_INT","."&amp;E$2&amp;E$1&amp;"P"&amp;$A35)*RTD("tos.rtd",,"GAMMA","."&amp;E$2&amp;E$1&amp;"P"&amp;$A35))/1000000,0),IF($A$2="SKEW",IFERROR(VALUE(IF(RTD("tos.rtd",,"IMPL_VOL","."&amp;E$2&amp;E$1&amp;"P"&amp;$A35)="N/A",0,RTD("tos.rtd",,"IMPL_VOL","."&amp;E$2&amp;E$1&amp;"P"&amp;$A35))),0)-IFERROR(VALUE(IF(RTD("tos.rtd",,"IMPL_VOL","."&amp;E$2&amp;E$1&amp;"C"&amp;$A35)="N/A",0,RTD("tos.rtd",,"IMPL_VOL","."&amp;E$2&amp;E$1&amp;"C"&amp;$A35))),0),IF($A$2="MAXPAIN",IF($A$4&gt;$A35,($A$4-$A35)*IF(RTD("tos.rtd",,"OPEN_INT","."&amp;E$2&amp;E$1&amp;"C"&amp;$A35)="N/A",0,RTD("tos.rtd",,"OPEN_INT","."&amp;E$2&amp;E$1&amp;"C"&amp;$A35)),0)+IF($A$4&lt;$A35,($A35-$A$4)*IF(RTD("tos.rtd",,"OPEN_INT","."&amp;E$2&amp;E$1&amp;"P"&amp;$A35)="N/A",0,RTD("tos.rtd",,"OPEN_INT","."&amp;E$2&amp;E$1&amp;"P"&amp;$A35)),0),IF(RTD("tos.rtd",,$A$2,"."&amp;E$2&amp;E$1&amp;"C"&amp;$A35)="N/A",0,RTD("tos.rtd",,$A$2,"."&amp;E$2&amp;E$1&amp;"C"&amp;$A35))-IF(RTD("tos.rtd",,$A$2,"."&amp;E$2&amp;E$1&amp;"P"&amp;$A35)="N/A",0,RTD("tos.rtd",,$A$2,"."&amp;E$2&amp;E$1&amp;"P"&amp;$A35)))))))))</f>
        <v>0</v>
      </c>
      <c r="F35" s="12">
        <f>IF($A$2="PREMIUM_OI",IFERROR((100*RTD("tos.rtd",,"OPEN_INT","."&amp;F$2&amp;F$1&amp;"C"&amp;$A35)*RTD("tos.rtd",,"LAST","."&amp;F$2&amp;F$1&amp;"C"&amp;$A35)-100*RTD("tos.rtd",,"OPEN_INT","."&amp;F$2&amp;F$1&amp;"P"&amp;$A35)*RTD("tos.rtd",,"LAST","."&amp;F$2&amp;F$1&amp;"P"&amp;$A35))/1000000,0),IF($A$2="PREMIUM",IFERROR((100*RTD("tos.rtd",,"VOLUME","."&amp;F$2&amp;F$1&amp;"C"&amp;$A35)*RTD("tos.rtd",,"LAST","."&amp;F$2&amp;F$1&amp;"C"&amp;$A35)-100*RTD("tos.rtd",,"VOLUME","."&amp;F$2&amp;F$1&amp;"P"&amp;$A35)*RTD("tos.rtd",,"LAST","."&amp;F$2&amp;F$1&amp;"P"&amp;$A35))/1000000,0),IF($A$2="DEX",IFERROR((100*RTD("tos.rtd",,"OPEN_INT","."&amp;F$2&amp;F$1&amp;"C"&amp;$A35)*RTD("tos.rtd",,"DELTA","."&amp;F$2&amp;F$1&amp;"C"&amp;$A35)-100*RTD("tos.rtd",,"OPEN_INT","."&amp;F$2&amp;F$1&amp;"P"&amp;$A35)*RTD("tos.rtd",,"DELTA","."&amp;F$2&amp;F$1&amp;"P"&amp;$A35))/1000,0),IF($A$2="VEX",IFERROR(($A$4*$A$4*RTD("tos.rtd",,"VOLUME","."&amp;F$2&amp;F$1&amp;"C"&amp;$A35)*RTD("tos.rtd",,"GAMMA","."&amp;F$2&amp;F$1&amp;"C"&amp;$A35)-$A$4*$A$4*RTD("tos.rtd",,"VOLUME","."&amp;F$2&amp;F$1&amp;"P"&amp;$A35)*RTD("tos.rtd",,"GAMMA","."&amp;F$2&amp;F$1&amp;"P"&amp;$A35))/1000000,0),IF($A$2="GEX",IFERROR(($A$4*$A$4*RTD("tos.rtd",,"OPEN_INT","."&amp;F$2&amp;F$1&amp;"C"&amp;$A35)*RTD("tos.rtd",,"GAMMA","."&amp;F$2&amp;F$1&amp;"C"&amp;$A35)-$A$4*$A$4*RTD("tos.rtd",,"OPEN_INT","."&amp;F$2&amp;F$1&amp;"P"&amp;$A35)*RTD("tos.rtd",,"GAMMA","."&amp;F$2&amp;F$1&amp;"P"&amp;$A35))/1000000,0),IF($A$2="SKEW",IFERROR(VALUE(IF(RTD("tos.rtd",,"IMPL_VOL","."&amp;F$2&amp;F$1&amp;"P"&amp;$A35)="N/A",0,RTD("tos.rtd",,"IMPL_VOL","."&amp;F$2&amp;F$1&amp;"P"&amp;$A35))),0)-IFERROR(VALUE(IF(RTD("tos.rtd",,"IMPL_VOL","."&amp;F$2&amp;F$1&amp;"C"&amp;$A35)="N/A",0,RTD("tos.rtd",,"IMPL_VOL","."&amp;F$2&amp;F$1&amp;"C"&amp;$A35))),0),IF($A$2="MAXPAIN",IF($A$4&gt;$A35,($A$4-$A35)*IF(RTD("tos.rtd",,"OPEN_INT","."&amp;F$2&amp;F$1&amp;"C"&amp;$A35)="N/A",0,RTD("tos.rtd",,"OPEN_INT","."&amp;F$2&amp;F$1&amp;"C"&amp;$A35)),0)+IF($A$4&lt;$A35,($A35-$A$4)*IF(RTD("tos.rtd",,"OPEN_INT","."&amp;F$2&amp;F$1&amp;"P"&amp;$A35)="N/A",0,RTD("tos.rtd",,"OPEN_INT","."&amp;F$2&amp;F$1&amp;"P"&amp;$A35)),0),IF(RTD("tos.rtd",,$A$2,"."&amp;F$2&amp;F$1&amp;"C"&amp;$A35)="N/A",0,RTD("tos.rtd",,$A$2,"."&amp;F$2&amp;F$1&amp;"C"&amp;$A35))-IF(RTD("tos.rtd",,$A$2,"."&amp;F$2&amp;F$1&amp;"P"&amp;$A35)="N/A",0,RTD("tos.rtd",,$A$2,"."&amp;F$2&amp;F$1&amp;"P"&amp;$A35)))))))))</f>
        <v>0</v>
      </c>
      <c r="G35" s="14">
        <f>IF($A$2="PREMIUM_OI",IFERROR((100*RTD("tos.rtd",,"OPEN_INT","."&amp;G$2&amp;G$1&amp;"C"&amp;$A35)*RTD("tos.rtd",,"LAST","."&amp;G$2&amp;G$1&amp;"C"&amp;$A35)-100*RTD("tos.rtd",,"OPEN_INT","."&amp;G$2&amp;G$1&amp;"P"&amp;$A35)*RTD("tos.rtd",,"LAST","."&amp;G$2&amp;G$1&amp;"P"&amp;$A35))/1000000,0),IF($A$2="PREMIUM",IFERROR((100*RTD("tos.rtd",,"VOLUME","."&amp;G$2&amp;G$1&amp;"C"&amp;$A35)*RTD("tos.rtd",,"LAST","."&amp;G$2&amp;G$1&amp;"C"&amp;$A35)-100*RTD("tos.rtd",,"VOLUME","."&amp;G$2&amp;G$1&amp;"P"&amp;$A35)*RTD("tos.rtd",,"LAST","."&amp;G$2&amp;G$1&amp;"P"&amp;$A35))/1000000,0),IF($A$2="DEX",IFERROR((100*RTD("tos.rtd",,"OPEN_INT","."&amp;G$2&amp;G$1&amp;"C"&amp;$A35)*RTD("tos.rtd",,"DELTA","."&amp;G$2&amp;G$1&amp;"C"&amp;$A35)-100*RTD("tos.rtd",,"OPEN_INT","."&amp;G$2&amp;G$1&amp;"P"&amp;$A35)*RTD("tos.rtd",,"DELTA","."&amp;G$2&amp;G$1&amp;"P"&amp;$A35))/1000,0),IF($A$2="VEX",IFERROR(($A$4*$A$4*RTD("tos.rtd",,"VOLUME","."&amp;G$2&amp;G$1&amp;"C"&amp;$A35)*RTD("tos.rtd",,"GAMMA","."&amp;G$2&amp;G$1&amp;"C"&amp;$A35)-$A$4*$A$4*RTD("tos.rtd",,"VOLUME","."&amp;G$2&amp;G$1&amp;"P"&amp;$A35)*RTD("tos.rtd",,"GAMMA","."&amp;G$2&amp;G$1&amp;"P"&amp;$A35))/1000000,0),IF($A$2="GEX",IFERROR(($A$4*$A$4*RTD("tos.rtd",,"OPEN_INT","."&amp;G$2&amp;G$1&amp;"C"&amp;$A35)*RTD("tos.rtd",,"GAMMA","."&amp;G$2&amp;G$1&amp;"C"&amp;$A35)-$A$4*$A$4*RTD("tos.rtd",,"OPEN_INT","."&amp;G$2&amp;G$1&amp;"P"&amp;$A35)*RTD("tos.rtd",,"GAMMA","."&amp;G$2&amp;G$1&amp;"P"&amp;$A35))/1000000,0),IF($A$2="SKEW",IFERROR(VALUE(IF(RTD("tos.rtd",,"IMPL_VOL","."&amp;G$2&amp;G$1&amp;"P"&amp;$A35)="N/A",0,RTD("tos.rtd",,"IMPL_VOL","."&amp;G$2&amp;G$1&amp;"P"&amp;$A35))),0)-IFERROR(VALUE(IF(RTD("tos.rtd",,"IMPL_VOL","."&amp;G$2&amp;G$1&amp;"C"&amp;$A35)="N/A",0,RTD("tos.rtd",,"IMPL_VOL","."&amp;G$2&amp;G$1&amp;"C"&amp;$A35))),0),IF($A$2="MAXPAIN",IF($A$4&gt;$A35,($A$4-$A35)*IF(RTD("tos.rtd",,"OPEN_INT","."&amp;G$2&amp;G$1&amp;"C"&amp;$A35)="N/A",0,RTD("tos.rtd",,"OPEN_INT","."&amp;G$2&amp;G$1&amp;"C"&amp;$A35)),0)+IF($A$4&lt;$A35,($A35-$A$4)*IF(RTD("tos.rtd",,"OPEN_INT","."&amp;G$2&amp;G$1&amp;"P"&amp;$A35)="N/A",0,RTD("tos.rtd",,"OPEN_INT","."&amp;G$2&amp;G$1&amp;"P"&amp;$A35)),0),IF(RTD("tos.rtd",,$A$2,"."&amp;G$2&amp;G$1&amp;"C"&amp;$A35)="N/A",0,RTD("tos.rtd",,$A$2,"."&amp;G$2&amp;G$1&amp;"C"&amp;$A35))-IF(RTD("tos.rtd",,$A$2,"."&amp;G$2&amp;G$1&amp;"P"&amp;$A35)="N/A",0,RTD("tos.rtd",,$A$2,"."&amp;G$2&amp;G$1&amp;"P"&amp;$A35)))))))))</f>
        <v>0</v>
      </c>
      <c r="H35" s="12">
        <f>IF($A$2="PREMIUM_OI",IFERROR((100*RTD("tos.rtd",,"OPEN_INT","."&amp;H$2&amp;H$1&amp;"C"&amp;$A35)*RTD("tos.rtd",,"LAST","."&amp;H$2&amp;H$1&amp;"C"&amp;$A35)-100*RTD("tos.rtd",,"OPEN_INT","."&amp;H$2&amp;H$1&amp;"P"&amp;$A35)*RTD("tos.rtd",,"LAST","."&amp;H$2&amp;H$1&amp;"P"&amp;$A35))/1000000,0),IF($A$2="PREMIUM",IFERROR((100*RTD("tos.rtd",,"VOLUME","."&amp;H$2&amp;H$1&amp;"C"&amp;$A35)*RTD("tos.rtd",,"LAST","."&amp;H$2&amp;H$1&amp;"C"&amp;$A35)-100*RTD("tos.rtd",,"VOLUME","."&amp;H$2&amp;H$1&amp;"P"&amp;$A35)*RTD("tos.rtd",,"LAST","."&amp;H$2&amp;H$1&amp;"P"&amp;$A35))/1000000,0),IF($A$2="DEX",IFERROR((100*RTD("tos.rtd",,"OPEN_INT","."&amp;H$2&amp;H$1&amp;"C"&amp;$A35)*RTD("tos.rtd",,"DELTA","."&amp;H$2&amp;H$1&amp;"C"&amp;$A35)-100*RTD("tos.rtd",,"OPEN_INT","."&amp;H$2&amp;H$1&amp;"P"&amp;$A35)*RTD("tos.rtd",,"DELTA","."&amp;H$2&amp;H$1&amp;"P"&amp;$A35))/1000,0),IF($A$2="VEX",IFERROR(($A$4*$A$4*RTD("tos.rtd",,"VOLUME","."&amp;H$2&amp;H$1&amp;"C"&amp;$A35)*RTD("tos.rtd",,"GAMMA","."&amp;H$2&amp;H$1&amp;"C"&amp;$A35)-$A$4*$A$4*RTD("tos.rtd",,"VOLUME","."&amp;H$2&amp;H$1&amp;"P"&amp;$A35)*RTD("tos.rtd",,"GAMMA","."&amp;H$2&amp;H$1&amp;"P"&amp;$A35))/1000000,0),IF($A$2="GEX",IFERROR(($A$4*$A$4*RTD("tos.rtd",,"OPEN_INT","."&amp;H$2&amp;H$1&amp;"C"&amp;$A35)*RTD("tos.rtd",,"GAMMA","."&amp;H$2&amp;H$1&amp;"C"&amp;$A35)-$A$4*$A$4*RTD("tos.rtd",,"OPEN_INT","."&amp;H$2&amp;H$1&amp;"P"&amp;$A35)*RTD("tos.rtd",,"GAMMA","."&amp;H$2&amp;H$1&amp;"P"&amp;$A35))/1000000,0),IF($A$2="SKEW",IFERROR(VALUE(IF(RTD("tos.rtd",,"IMPL_VOL","."&amp;H$2&amp;H$1&amp;"P"&amp;$A35)="N/A",0,RTD("tos.rtd",,"IMPL_VOL","."&amp;H$2&amp;H$1&amp;"P"&amp;$A35))),0)-IFERROR(VALUE(IF(RTD("tos.rtd",,"IMPL_VOL","."&amp;H$2&amp;H$1&amp;"C"&amp;$A35)="N/A",0,RTD("tos.rtd",,"IMPL_VOL","."&amp;H$2&amp;H$1&amp;"C"&amp;$A35))),0),IF($A$2="MAXPAIN",IF($A$4&gt;$A35,($A$4-$A35)*IF(RTD("tos.rtd",,"OPEN_INT","."&amp;H$2&amp;H$1&amp;"C"&amp;$A35)="N/A",0,RTD("tos.rtd",,"OPEN_INT","."&amp;H$2&amp;H$1&amp;"C"&amp;$A35)),0)+IF($A$4&lt;$A35,($A35-$A$4)*IF(RTD("tos.rtd",,"OPEN_INT","."&amp;H$2&amp;H$1&amp;"P"&amp;$A35)="N/A",0,RTD("tos.rtd",,"OPEN_INT","."&amp;H$2&amp;H$1&amp;"P"&amp;$A35)),0),IF(RTD("tos.rtd",,$A$2,"."&amp;H$2&amp;H$1&amp;"C"&amp;$A35)="N/A",0,RTD("tos.rtd",,$A$2,"."&amp;H$2&amp;H$1&amp;"C"&amp;$A35))-IF(RTD("tos.rtd",,$A$2,"."&amp;H$2&amp;H$1&amp;"P"&amp;$A35)="N/A",0,RTD("tos.rtd",,$A$2,"."&amp;H$2&amp;H$1&amp;"P"&amp;$A35)))))))))</f>
        <v>-1304</v>
      </c>
      <c r="I35" s="12">
        <f>IF($A$2="PREMIUM_OI",IFERROR((100*RTD("tos.rtd",,"OPEN_INT","."&amp;I$2&amp;I$1&amp;"C"&amp;$A35)*RTD("tos.rtd",,"LAST","."&amp;I$2&amp;I$1&amp;"C"&amp;$A35)-100*RTD("tos.rtd",,"OPEN_INT","."&amp;I$2&amp;I$1&amp;"P"&amp;$A35)*RTD("tos.rtd",,"LAST","."&amp;I$2&amp;I$1&amp;"P"&amp;$A35))/1000000,0),IF($A$2="PREMIUM",IFERROR((100*RTD("tos.rtd",,"VOLUME","."&amp;I$2&amp;I$1&amp;"C"&amp;$A35)*RTD("tos.rtd",,"LAST","."&amp;I$2&amp;I$1&amp;"C"&amp;$A35)-100*RTD("tos.rtd",,"VOLUME","."&amp;I$2&amp;I$1&amp;"P"&amp;$A35)*RTD("tos.rtd",,"LAST","."&amp;I$2&amp;I$1&amp;"P"&amp;$A35))/1000000,0),IF($A$2="DEX",IFERROR((100*RTD("tos.rtd",,"OPEN_INT","."&amp;I$2&amp;I$1&amp;"C"&amp;$A35)*RTD("tos.rtd",,"DELTA","."&amp;I$2&amp;I$1&amp;"C"&amp;$A35)-100*RTD("tos.rtd",,"OPEN_INT","."&amp;I$2&amp;I$1&amp;"P"&amp;$A35)*RTD("tos.rtd",,"DELTA","."&amp;I$2&amp;I$1&amp;"P"&amp;$A35))/1000,0),IF($A$2="VEX",IFERROR(($A$4*$A$4*RTD("tos.rtd",,"VOLUME","."&amp;I$2&amp;I$1&amp;"C"&amp;$A35)*RTD("tos.rtd",,"GAMMA","."&amp;I$2&amp;I$1&amp;"C"&amp;$A35)-$A$4*$A$4*RTD("tos.rtd",,"VOLUME","."&amp;I$2&amp;I$1&amp;"P"&amp;$A35)*RTD("tos.rtd",,"GAMMA","."&amp;I$2&amp;I$1&amp;"P"&amp;$A35))/1000000,0),IF($A$2="GEX",IFERROR(($A$4*$A$4*RTD("tos.rtd",,"OPEN_INT","."&amp;I$2&amp;I$1&amp;"C"&amp;$A35)*RTD("tos.rtd",,"GAMMA","."&amp;I$2&amp;I$1&amp;"C"&amp;$A35)-$A$4*$A$4*RTD("tos.rtd",,"OPEN_INT","."&amp;I$2&amp;I$1&amp;"P"&amp;$A35)*RTD("tos.rtd",,"GAMMA","."&amp;I$2&amp;I$1&amp;"P"&amp;$A35))/1000000,0),IF($A$2="SKEW",IFERROR(VALUE(IF(RTD("tos.rtd",,"IMPL_VOL","."&amp;I$2&amp;I$1&amp;"P"&amp;$A35)="N/A",0,RTD("tos.rtd",,"IMPL_VOL","."&amp;I$2&amp;I$1&amp;"P"&amp;$A35))),0)-IFERROR(VALUE(IF(RTD("tos.rtd",,"IMPL_VOL","."&amp;I$2&amp;I$1&amp;"C"&amp;$A35)="N/A",0,RTD("tos.rtd",,"IMPL_VOL","."&amp;I$2&amp;I$1&amp;"C"&amp;$A35))),0),IF($A$2="MAXPAIN",IF($A$4&gt;$A35,($A$4-$A35)*IF(RTD("tos.rtd",,"OPEN_INT","."&amp;I$2&amp;I$1&amp;"C"&amp;$A35)="N/A",0,RTD("tos.rtd",,"OPEN_INT","."&amp;I$2&amp;I$1&amp;"C"&amp;$A35)),0)+IF($A$4&lt;$A35,($A35-$A$4)*IF(RTD("tos.rtd",,"OPEN_INT","."&amp;I$2&amp;I$1&amp;"P"&amp;$A35)="N/A",0,RTD("tos.rtd",,"OPEN_INT","."&amp;I$2&amp;I$1&amp;"P"&amp;$A35)),0),IF(RTD("tos.rtd",,$A$2,"."&amp;I$2&amp;I$1&amp;"C"&amp;$A35)="N/A",0,RTD("tos.rtd",,$A$2,"."&amp;I$2&amp;I$1&amp;"C"&amp;$A35))-IF(RTD("tos.rtd",,$A$2,"."&amp;I$2&amp;I$1&amp;"P"&amp;$A35)="N/A",0,RTD("tos.rtd",,$A$2,"."&amp;I$2&amp;I$1&amp;"P"&amp;$A35)))))))))</f>
        <v>0</v>
      </c>
      <c r="J35" s="12">
        <f>IF($A$2="PREMIUM_OI",IFERROR((100*RTD("tos.rtd",,"OPEN_INT","."&amp;J$2&amp;J$1&amp;"C"&amp;$A35)*RTD("tos.rtd",,"LAST","."&amp;J$2&amp;J$1&amp;"C"&amp;$A35)-100*RTD("tos.rtd",,"OPEN_INT","."&amp;J$2&amp;J$1&amp;"P"&amp;$A35)*RTD("tos.rtd",,"LAST","."&amp;J$2&amp;J$1&amp;"P"&amp;$A35))/1000000,0),IF($A$2="PREMIUM",IFERROR((100*RTD("tos.rtd",,"VOLUME","."&amp;J$2&amp;J$1&amp;"C"&amp;$A35)*RTD("tos.rtd",,"LAST","."&amp;J$2&amp;J$1&amp;"C"&amp;$A35)-100*RTD("tos.rtd",,"VOLUME","."&amp;J$2&amp;J$1&amp;"P"&amp;$A35)*RTD("tos.rtd",,"LAST","."&amp;J$2&amp;J$1&amp;"P"&amp;$A35))/1000000,0),IF($A$2="DEX",IFERROR((100*RTD("tos.rtd",,"OPEN_INT","."&amp;J$2&amp;J$1&amp;"C"&amp;$A35)*RTD("tos.rtd",,"DELTA","."&amp;J$2&amp;J$1&amp;"C"&amp;$A35)-100*RTD("tos.rtd",,"OPEN_INT","."&amp;J$2&amp;J$1&amp;"P"&amp;$A35)*RTD("tos.rtd",,"DELTA","."&amp;J$2&amp;J$1&amp;"P"&amp;$A35))/1000,0),IF($A$2="VEX",IFERROR(($A$4*$A$4*RTD("tos.rtd",,"VOLUME","."&amp;J$2&amp;J$1&amp;"C"&amp;$A35)*RTD("tos.rtd",,"GAMMA","."&amp;J$2&amp;J$1&amp;"C"&amp;$A35)-$A$4*$A$4*RTD("tos.rtd",,"VOLUME","."&amp;J$2&amp;J$1&amp;"P"&amp;$A35)*RTD("tos.rtd",,"GAMMA","."&amp;J$2&amp;J$1&amp;"P"&amp;$A35))/1000000,0),IF($A$2="GEX",IFERROR(($A$4*$A$4*RTD("tos.rtd",,"OPEN_INT","."&amp;J$2&amp;J$1&amp;"C"&amp;$A35)*RTD("tos.rtd",,"GAMMA","."&amp;J$2&amp;J$1&amp;"C"&amp;$A35)-$A$4*$A$4*RTD("tos.rtd",,"OPEN_INT","."&amp;J$2&amp;J$1&amp;"P"&amp;$A35)*RTD("tos.rtd",,"GAMMA","."&amp;J$2&amp;J$1&amp;"P"&amp;$A35))/1000000,0),IF($A$2="SKEW",IFERROR(VALUE(IF(RTD("tos.rtd",,"IMPL_VOL","."&amp;J$2&amp;J$1&amp;"P"&amp;$A35)="N/A",0,RTD("tos.rtd",,"IMPL_VOL","."&amp;J$2&amp;J$1&amp;"P"&amp;$A35))),0)-IFERROR(VALUE(IF(RTD("tos.rtd",,"IMPL_VOL","."&amp;J$2&amp;J$1&amp;"C"&amp;$A35)="N/A",0,RTD("tos.rtd",,"IMPL_VOL","."&amp;J$2&amp;J$1&amp;"C"&amp;$A35))),0),IF($A$2="MAXPAIN",IF($A$4&gt;$A35,($A$4-$A35)*IF(RTD("tos.rtd",,"OPEN_INT","."&amp;J$2&amp;J$1&amp;"C"&amp;$A35)="N/A",0,RTD("tos.rtd",,"OPEN_INT","."&amp;J$2&amp;J$1&amp;"C"&amp;$A35)),0)+IF($A$4&lt;$A35,($A35-$A$4)*IF(RTD("tos.rtd",,"OPEN_INT","."&amp;J$2&amp;J$1&amp;"P"&amp;$A35)="N/A",0,RTD("tos.rtd",,"OPEN_INT","."&amp;J$2&amp;J$1&amp;"P"&amp;$A35)),0),IF(RTD("tos.rtd",,$A$2,"."&amp;J$2&amp;J$1&amp;"C"&amp;$A35)="N/A",0,RTD("tos.rtd",,$A$2,"."&amp;J$2&amp;J$1&amp;"C"&amp;$A35))-IF(RTD("tos.rtd",,$A$2,"."&amp;J$2&amp;J$1&amp;"P"&amp;$A35)="N/A",0,RTD("tos.rtd",,$A$2,"."&amp;J$2&amp;J$1&amp;"P"&amp;$A35)))))))))</f>
        <v>0</v>
      </c>
      <c r="K35" s="12">
        <f>IF($A$2="PREMIUM_OI",IFERROR((100*RTD("tos.rtd",,"OPEN_INT","."&amp;K$2&amp;K$1&amp;"C"&amp;$A35)*RTD("tos.rtd",,"LAST","."&amp;K$2&amp;K$1&amp;"C"&amp;$A35)-100*RTD("tos.rtd",,"OPEN_INT","."&amp;K$2&amp;K$1&amp;"P"&amp;$A35)*RTD("tos.rtd",,"LAST","."&amp;K$2&amp;K$1&amp;"P"&amp;$A35))/1000000,0),IF($A$2="PREMIUM",IFERROR((100*RTD("tos.rtd",,"VOLUME","."&amp;K$2&amp;K$1&amp;"C"&amp;$A35)*RTD("tos.rtd",,"LAST","."&amp;K$2&amp;K$1&amp;"C"&amp;$A35)-100*RTD("tos.rtd",,"VOLUME","."&amp;K$2&amp;K$1&amp;"P"&amp;$A35)*RTD("tos.rtd",,"LAST","."&amp;K$2&amp;K$1&amp;"P"&amp;$A35))/1000000,0),IF($A$2="DEX",IFERROR((100*RTD("tos.rtd",,"OPEN_INT","."&amp;K$2&amp;K$1&amp;"C"&amp;$A35)*RTD("tos.rtd",,"DELTA","."&amp;K$2&amp;K$1&amp;"C"&amp;$A35)-100*RTD("tos.rtd",,"OPEN_INT","."&amp;K$2&amp;K$1&amp;"P"&amp;$A35)*RTD("tos.rtd",,"DELTA","."&amp;K$2&amp;K$1&amp;"P"&amp;$A35))/1000,0),IF($A$2="VEX",IFERROR(($A$4*$A$4*RTD("tos.rtd",,"VOLUME","."&amp;K$2&amp;K$1&amp;"C"&amp;$A35)*RTD("tos.rtd",,"GAMMA","."&amp;K$2&amp;K$1&amp;"C"&amp;$A35)-$A$4*$A$4*RTD("tos.rtd",,"VOLUME","."&amp;K$2&amp;K$1&amp;"P"&amp;$A35)*RTD("tos.rtd",,"GAMMA","."&amp;K$2&amp;K$1&amp;"P"&amp;$A35))/1000000,0),IF($A$2="GEX",IFERROR(($A$4*$A$4*RTD("tos.rtd",,"OPEN_INT","."&amp;K$2&amp;K$1&amp;"C"&amp;$A35)*RTD("tos.rtd",,"GAMMA","."&amp;K$2&amp;K$1&amp;"C"&amp;$A35)-$A$4*$A$4*RTD("tos.rtd",,"OPEN_INT","."&amp;K$2&amp;K$1&amp;"P"&amp;$A35)*RTD("tos.rtd",,"GAMMA","."&amp;K$2&amp;K$1&amp;"P"&amp;$A35))/1000000,0),IF($A$2="SKEW",IFERROR(VALUE(IF(RTD("tos.rtd",,"IMPL_VOL","."&amp;K$2&amp;K$1&amp;"P"&amp;$A35)="N/A",0,RTD("tos.rtd",,"IMPL_VOL","."&amp;K$2&amp;K$1&amp;"P"&amp;$A35))),0)-IFERROR(VALUE(IF(RTD("tos.rtd",,"IMPL_VOL","."&amp;K$2&amp;K$1&amp;"C"&amp;$A35)="N/A",0,RTD("tos.rtd",,"IMPL_VOL","."&amp;K$2&amp;K$1&amp;"C"&amp;$A35))),0),IF($A$2="MAXPAIN",IF($A$4&gt;$A35,($A$4-$A35)*IF(RTD("tos.rtd",,"OPEN_INT","."&amp;K$2&amp;K$1&amp;"C"&amp;$A35)="N/A",0,RTD("tos.rtd",,"OPEN_INT","."&amp;K$2&amp;K$1&amp;"C"&amp;$A35)),0)+IF($A$4&lt;$A35,($A35-$A$4)*IF(RTD("tos.rtd",,"OPEN_INT","."&amp;K$2&amp;K$1&amp;"P"&amp;$A35)="N/A",0,RTD("tos.rtd",,"OPEN_INT","."&amp;K$2&amp;K$1&amp;"P"&amp;$A35)),0),IF(RTD("tos.rtd",,$A$2,"."&amp;K$2&amp;K$1&amp;"C"&amp;$A35)="N/A",0,RTD("tos.rtd",,$A$2,"."&amp;K$2&amp;K$1&amp;"C"&amp;$A35))-IF(RTD("tos.rtd",,$A$2,"."&amp;K$2&amp;K$1&amp;"P"&amp;$A35)="N/A",0,RTD("tos.rtd",,$A$2,"."&amp;K$2&amp;K$1&amp;"P"&amp;$A35)))))))))</f>
        <v>0</v>
      </c>
      <c r="L35" s="12">
        <f>IF($A$2="PREMIUM_OI",IFERROR((100*RTD("tos.rtd",,"OPEN_INT","."&amp;L$2&amp;L$1&amp;"C"&amp;$A35)*RTD("tos.rtd",,"LAST","."&amp;L$2&amp;L$1&amp;"C"&amp;$A35)-100*RTD("tos.rtd",,"OPEN_INT","."&amp;L$2&amp;L$1&amp;"P"&amp;$A35)*RTD("tos.rtd",,"LAST","."&amp;L$2&amp;L$1&amp;"P"&amp;$A35))/1000000,0),IF($A$2="PREMIUM",IFERROR((100*RTD("tos.rtd",,"VOLUME","."&amp;L$2&amp;L$1&amp;"C"&amp;$A35)*RTD("tos.rtd",,"LAST","."&amp;L$2&amp;L$1&amp;"C"&amp;$A35)-100*RTD("tos.rtd",,"VOLUME","."&amp;L$2&amp;L$1&amp;"P"&amp;$A35)*RTD("tos.rtd",,"LAST","."&amp;L$2&amp;L$1&amp;"P"&amp;$A35))/1000000,0),IF($A$2="DEX",IFERROR((100*RTD("tos.rtd",,"OPEN_INT","."&amp;L$2&amp;L$1&amp;"C"&amp;$A35)*RTD("tos.rtd",,"DELTA","."&amp;L$2&amp;L$1&amp;"C"&amp;$A35)-100*RTD("tos.rtd",,"OPEN_INT","."&amp;L$2&amp;L$1&amp;"P"&amp;$A35)*RTD("tos.rtd",,"DELTA","."&amp;L$2&amp;L$1&amp;"P"&amp;$A35))/1000,0),IF($A$2="VEX",IFERROR(($A$4*$A$4*RTD("tos.rtd",,"VOLUME","."&amp;L$2&amp;L$1&amp;"C"&amp;$A35)*RTD("tos.rtd",,"GAMMA","."&amp;L$2&amp;L$1&amp;"C"&amp;$A35)-$A$4*$A$4*RTD("tos.rtd",,"VOLUME","."&amp;L$2&amp;L$1&amp;"P"&amp;$A35)*RTD("tos.rtd",,"GAMMA","."&amp;L$2&amp;L$1&amp;"P"&amp;$A35))/1000000,0),IF($A$2="GEX",IFERROR(($A$4*$A$4*RTD("tos.rtd",,"OPEN_INT","."&amp;L$2&amp;L$1&amp;"C"&amp;$A35)*RTD("tos.rtd",,"GAMMA","."&amp;L$2&amp;L$1&amp;"C"&amp;$A35)-$A$4*$A$4*RTD("tos.rtd",,"OPEN_INT","."&amp;L$2&amp;L$1&amp;"P"&amp;$A35)*RTD("tos.rtd",,"GAMMA","."&amp;L$2&amp;L$1&amp;"P"&amp;$A35))/1000000,0),IF($A$2="SKEW",IFERROR(VALUE(IF(RTD("tos.rtd",,"IMPL_VOL","."&amp;L$2&amp;L$1&amp;"P"&amp;$A35)="N/A",0,RTD("tos.rtd",,"IMPL_VOL","."&amp;L$2&amp;L$1&amp;"P"&amp;$A35))),0)-IFERROR(VALUE(IF(RTD("tos.rtd",,"IMPL_VOL","."&amp;L$2&amp;L$1&amp;"C"&amp;$A35)="N/A",0,RTD("tos.rtd",,"IMPL_VOL","."&amp;L$2&amp;L$1&amp;"C"&amp;$A35))),0),IF($A$2="MAXPAIN",IF($A$4&gt;$A35,($A$4-$A35)*IF(RTD("tos.rtd",,"OPEN_INT","."&amp;L$2&amp;L$1&amp;"C"&amp;$A35)="N/A",0,RTD("tos.rtd",,"OPEN_INT","."&amp;L$2&amp;L$1&amp;"C"&amp;$A35)),0)+IF($A$4&lt;$A35,($A35-$A$4)*IF(RTD("tos.rtd",,"OPEN_INT","."&amp;L$2&amp;L$1&amp;"P"&amp;$A35)="N/A",0,RTD("tos.rtd",,"OPEN_INT","."&amp;L$2&amp;L$1&amp;"P"&amp;$A35)),0),IF(RTD("tos.rtd",,$A$2,"."&amp;L$2&amp;L$1&amp;"C"&amp;$A35)="N/A",0,RTD("tos.rtd",,$A$2,"."&amp;L$2&amp;L$1&amp;"C"&amp;$A35))-IF(RTD("tos.rtd",,$A$2,"."&amp;L$2&amp;L$1&amp;"P"&amp;$A35)="N/A",0,RTD("tos.rtd",,$A$2,"."&amp;L$2&amp;L$1&amp;"P"&amp;$A35)))))))))</f>
        <v>0</v>
      </c>
      <c r="M35" s="12">
        <f>IF($A$2="PREMIUM_OI",IFERROR((100*RTD("tos.rtd",,"OPEN_INT","."&amp;M$2&amp;M$1&amp;"C"&amp;$A35)*RTD("tos.rtd",,"LAST","."&amp;M$2&amp;M$1&amp;"C"&amp;$A35)-100*RTD("tos.rtd",,"OPEN_INT","."&amp;M$2&amp;M$1&amp;"P"&amp;$A35)*RTD("tos.rtd",,"LAST","."&amp;M$2&amp;M$1&amp;"P"&amp;$A35))/1000000,0),IF($A$2="PREMIUM",IFERROR((100*RTD("tos.rtd",,"VOLUME","."&amp;M$2&amp;M$1&amp;"C"&amp;$A35)*RTD("tos.rtd",,"LAST","."&amp;M$2&amp;M$1&amp;"C"&amp;$A35)-100*RTD("tos.rtd",,"VOLUME","."&amp;M$2&amp;M$1&amp;"P"&amp;$A35)*RTD("tos.rtd",,"LAST","."&amp;M$2&amp;M$1&amp;"P"&amp;$A35))/1000000,0),IF($A$2="DEX",IFERROR((100*RTD("tos.rtd",,"OPEN_INT","."&amp;M$2&amp;M$1&amp;"C"&amp;$A35)*RTD("tos.rtd",,"DELTA","."&amp;M$2&amp;M$1&amp;"C"&amp;$A35)-100*RTD("tos.rtd",,"OPEN_INT","."&amp;M$2&amp;M$1&amp;"P"&amp;$A35)*RTD("tos.rtd",,"DELTA","."&amp;M$2&amp;M$1&amp;"P"&amp;$A35))/1000,0),IF($A$2="VEX",IFERROR(($A$4*$A$4*RTD("tos.rtd",,"VOLUME","."&amp;M$2&amp;M$1&amp;"C"&amp;$A35)*RTD("tos.rtd",,"GAMMA","."&amp;M$2&amp;M$1&amp;"C"&amp;$A35)-$A$4*$A$4*RTD("tos.rtd",,"VOLUME","."&amp;M$2&amp;M$1&amp;"P"&amp;$A35)*RTD("tos.rtd",,"GAMMA","."&amp;M$2&amp;M$1&amp;"P"&amp;$A35))/1000000,0),IF($A$2="GEX",IFERROR(($A$4*$A$4*RTD("tos.rtd",,"OPEN_INT","."&amp;M$2&amp;M$1&amp;"C"&amp;$A35)*RTD("tos.rtd",,"GAMMA","."&amp;M$2&amp;M$1&amp;"C"&amp;$A35)-$A$4*$A$4*RTD("tos.rtd",,"OPEN_INT","."&amp;M$2&amp;M$1&amp;"P"&amp;$A35)*RTD("tos.rtd",,"GAMMA","."&amp;M$2&amp;M$1&amp;"P"&amp;$A35))/1000000,0),IF($A$2="SKEW",IFERROR(VALUE(IF(RTD("tos.rtd",,"IMPL_VOL","."&amp;M$2&amp;M$1&amp;"P"&amp;$A35)="N/A",0,RTD("tos.rtd",,"IMPL_VOL","."&amp;M$2&amp;M$1&amp;"P"&amp;$A35))),0)-IFERROR(VALUE(IF(RTD("tos.rtd",,"IMPL_VOL","."&amp;M$2&amp;M$1&amp;"C"&amp;$A35)="N/A",0,RTD("tos.rtd",,"IMPL_VOL","."&amp;M$2&amp;M$1&amp;"C"&amp;$A35))),0),IF($A$2="MAXPAIN",IF($A$4&gt;$A35,($A$4-$A35)*IF(RTD("tos.rtd",,"OPEN_INT","."&amp;M$2&amp;M$1&amp;"C"&amp;$A35)="N/A",0,RTD("tos.rtd",,"OPEN_INT","."&amp;M$2&amp;M$1&amp;"C"&amp;$A35)),0)+IF($A$4&lt;$A35,($A35-$A$4)*IF(RTD("tos.rtd",,"OPEN_INT","."&amp;M$2&amp;M$1&amp;"P"&amp;$A35)="N/A",0,RTD("tos.rtd",,"OPEN_INT","."&amp;M$2&amp;M$1&amp;"P"&amp;$A35)),0),IF(RTD("tos.rtd",,$A$2,"."&amp;M$2&amp;M$1&amp;"C"&amp;$A35)="N/A",0,RTD("tos.rtd",,$A$2,"."&amp;M$2&amp;M$1&amp;"C"&amp;$A35))-IF(RTD("tos.rtd",,$A$2,"."&amp;M$2&amp;M$1&amp;"P"&amp;$A35)="N/A",0,RTD("tos.rtd",,$A$2,"."&amp;M$2&amp;M$1&amp;"P"&amp;$A35)))))))))</f>
        <v>-1104</v>
      </c>
      <c r="N35" s="12">
        <f>IF($A$2="PREMIUM_OI",IFERROR((100*RTD("tos.rtd",,"OPEN_INT","."&amp;N$2&amp;N$1&amp;"C"&amp;$A35)*RTD("tos.rtd",,"LAST","."&amp;N$2&amp;N$1&amp;"C"&amp;$A35)-100*RTD("tos.rtd",,"OPEN_INT","."&amp;N$2&amp;N$1&amp;"P"&amp;$A35)*RTD("tos.rtd",,"LAST","."&amp;N$2&amp;N$1&amp;"P"&amp;$A35))/1000000,0),IF($A$2="PREMIUM",IFERROR((100*RTD("tos.rtd",,"VOLUME","."&amp;N$2&amp;N$1&amp;"C"&amp;$A35)*RTD("tos.rtd",,"LAST","."&amp;N$2&amp;N$1&amp;"C"&amp;$A35)-100*RTD("tos.rtd",,"VOLUME","."&amp;N$2&amp;N$1&amp;"P"&amp;$A35)*RTD("tos.rtd",,"LAST","."&amp;N$2&amp;N$1&amp;"P"&amp;$A35))/1000000,0),IF($A$2="DEX",IFERROR((100*RTD("tos.rtd",,"OPEN_INT","."&amp;N$2&amp;N$1&amp;"C"&amp;$A35)*RTD("tos.rtd",,"DELTA","."&amp;N$2&amp;N$1&amp;"C"&amp;$A35)-100*RTD("tos.rtd",,"OPEN_INT","."&amp;N$2&amp;N$1&amp;"P"&amp;$A35)*RTD("tos.rtd",,"DELTA","."&amp;N$2&amp;N$1&amp;"P"&amp;$A35))/1000,0),IF($A$2="VEX",IFERROR(($A$4*$A$4*RTD("tos.rtd",,"VOLUME","."&amp;N$2&amp;N$1&amp;"C"&amp;$A35)*RTD("tos.rtd",,"GAMMA","."&amp;N$2&amp;N$1&amp;"C"&amp;$A35)-$A$4*$A$4*RTD("tos.rtd",,"VOLUME","."&amp;N$2&amp;N$1&amp;"P"&amp;$A35)*RTD("tos.rtd",,"GAMMA","."&amp;N$2&amp;N$1&amp;"P"&amp;$A35))/1000000,0),IF($A$2="GEX",IFERROR(($A$4*$A$4*RTD("tos.rtd",,"OPEN_INT","."&amp;N$2&amp;N$1&amp;"C"&amp;$A35)*RTD("tos.rtd",,"GAMMA","."&amp;N$2&amp;N$1&amp;"C"&amp;$A35)-$A$4*$A$4*RTD("tos.rtd",,"OPEN_INT","."&amp;N$2&amp;N$1&amp;"P"&amp;$A35)*RTD("tos.rtd",,"GAMMA","."&amp;N$2&amp;N$1&amp;"P"&amp;$A35))/1000000,0),IF($A$2="SKEW",IFERROR(VALUE(IF(RTD("tos.rtd",,"IMPL_VOL","."&amp;N$2&amp;N$1&amp;"P"&amp;$A35)="N/A",0,RTD("tos.rtd",,"IMPL_VOL","."&amp;N$2&amp;N$1&amp;"P"&amp;$A35))),0)-IFERROR(VALUE(IF(RTD("tos.rtd",,"IMPL_VOL","."&amp;N$2&amp;N$1&amp;"C"&amp;$A35)="N/A",0,RTD("tos.rtd",,"IMPL_VOL","."&amp;N$2&amp;N$1&amp;"C"&amp;$A35))),0),IF($A$2="MAXPAIN",IF($A$4&gt;$A35,($A$4-$A35)*IF(RTD("tos.rtd",,"OPEN_INT","."&amp;N$2&amp;N$1&amp;"C"&amp;$A35)="N/A",0,RTD("tos.rtd",,"OPEN_INT","."&amp;N$2&amp;N$1&amp;"C"&amp;$A35)),0)+IF($A$4&lt;$A35,($A35-$A$4)*IF(RTD("tos.rtd",,"OPEN_INT","."&amp;N$2&amp;N$1&amp;"P"&amp;$A35)="N/A",0,RTD("tos.rtd",,"OPEN_INT","."&amp;N$2&amp;N$1&amp;"P"&amp;$A35)),0),IF(RTD("tos.rtd",,$A$2,"."&amp;N$2&amp;N$1&amp;"C"&amp;$A35)="N/A",0,RTD("tos.rtd",,$A$2,"."&amp;N$2&amp;N$1&amp;"C"&amp;$A35))-IF(RTD("tos.rtd",,$A$2,"."&amp;N$2&amp;N$1&amp;"P"&amp;$A35)="N/A",0,RTD("tos.rtd",,$A$2,"."&amp;N$2&amp;N$1&amp;"P"&amp;$A35)))))))))</f>
        <v>0</v>
      </c>
      <c r="O35" s="12">
        <f>IF($A$2="PREMIUM_OI",IFERROR((100*RTD("tos.rtd",,"OPEN_INT","."&amp;O$2&amp;O$1&amp;"C"&amp;$A35)*RTD("tos.rtd",,"LAST","."&amp;O$2&amp;O$1&amp;"C"&amp;$A35)-100*RTD("tos.rtd",,"OPEN_INT","."&amp;O$2&amp;O$1&amp;"P"&amp;$A35)*RTD("tos.rtd",,"LAST","."&amp;O$2&amp;O$1&amp;"P"&amp;$A35))/1000000,0),IF($A$2="PREMIUM",IFERROR((100*RTD("tos.rtd",,"VOLUME","."&amp;O$2&amp;O$1&amp;"C"&amp;$A35)*RTD("tos.rtd",,"LAST","."&amp;O$2&amp;O$1&amp;"C"&amp;$A35)-100*RTD("tos.rtd",,"VOLUME","."&amp;O$2&amp;O$1&amp;"P"&amp;$A35)*RTD("tos.rtd",,"LAST","."&amp;O$2&amp;O$1&amp;"P"&amp;$A35))/1000000,0),IF($A$2="DEX",IFERROR((100*RTD("tos.rtd",,"OPEN_INT","."&amp;O$2&amp;O$1&amp;"C"&amp;$A35)*RTD("tos.rtd",,"DELTA","."&amp;O$2&amp;O$1&amp;"C"&amp;$A35)-100*RTD("tos.rtd",,"OPEN_INT","."&amp;O$2&amp;O$1&amp;"P"&amp;$A35)*RTD("tos.rtd",,"DELTA","."&amp;O$2&amp;O$1&amp;"P"&amp;$A35))/1000,0),IF($A$2="VEX",IFERROR(($A$4*$A$4*RTD("tos.rtd",,"VOLUME","."&amp;O$2&amp;O$1&amp;"C"&amp;$A35)*RTD("tos.rtd",,"GAMMA","."&amp;O$2&amp;O$1&amp;"C"&amp;$A35)-$A$4*$A$4*RTD("tos.rtd",,"VOLUME","."&amp;O$2&amp;O$1&amp;"P"&amp;$A35)*RTD("tos.rtd",,"GAMMA","."&amp;O$2&amp;O$1&amp;"P"&amp;$A35))/1000000,0),IF($A$2="GEX",IFERROR(($A$4*$A$4*RTD("tos.rtd",,"OPEN_INT","."&amp;O$2&amp;O$1&amp;"C"&amp;$A35)*RTD("tos.rtd",,"GAMMA","."&amp;O$2&amp;O$1&amp;"C"&amp;$A35)-$A$4*$A$4*RTD("tos.rtd",,"OPEN_INT","."&amp;O$2&amp;O$1&amp;"P"&amp;$A35)*RTD("tos.rtd",,"GAMMA","."&amp;O$2&amp;O$1&amp;"P"&amp;$A35))/1000000,0),IF($A$2="SKEW",IFERROR(VALUE(IF(RTD("tos.rtd",,"IMPL_VOL","."&amp;O$2&amp;O$1&amp;"P"&amp;$A35)="N/A",0,RTD("tos.rtd",,"IMPL_VOL","."&amp;O$2&amp;O$1&amp;"P"&amp;$A35))),0)-IFERROR(VALUE(IF(RTD("tos.rtd",,"IMPL_VOL","."&amp;O$2&amp;O$1&amp;"C"&amp;$A35)="N/A",0,RTD("tos.rtd",,"IMPL_VOL","."&amp;O$2&amp;O$1&amp;"C"&amp;$A35))),0),IF($A$2="MAXPAIN",IF($A$4&gt;$A35,($A$4-$A35)*IF(RTD("tos.rtd",,"OPEN_INT","."&amp;O$2&amp;O$1&amp;"C"&amp;$A35)="N/A",0,RTD("tos.rtd",,"OPEN_INT","."&amp;O$2&amp;O$1&amp;"C"&amp;$A35)),0)+IF($A$4&lt;$A35,($A35-$A$4)*IF(RTD("tos.rtd",,"OPEN_INT","."&amp;O$2&amp;O$1&amp;"P"&amp;$A35)="N/A",0,RTD("tos.rtd",,"OPEN_INT","."&amp;O$2&amp;O$1&amp;"P"&amp;$A35)),0),IF(RTD("tos.rtd",,$A$2,"."&amp;O$2&amp;O$1&amp;"C"&amp;$A35)="N/A",0,RTD("tos.rtd",,$A$2,"."&amp;O$2&amp;O$1&amp;"C"&amp;$A35))-IF(RTD("tos.rtd",,$A$2,"."&amp;O$2&amp;O$1&amp;"P"&amp;$A35)="N/A",0,RTD("tos.rtd",,$A$2,"."&amp;O$2&amp;O$1&amp;"P"&amp;$A35)))))))))</f>
        <v>0</v>
      </c>
      <c r="P35" s="12">
        <f>IF($A$2="PREMIUM_OI",IFERROR((100*RTD("tos.rtd",,"OPEN_INT","."&amp;P$2&amp;P$1&amp;"C"&amp;$A35)*RTD("tos.rtd",,"LAST","."&amp;P$2&amp;P$1&amp;"C"&amp;$A35)-100*RTD("tos.rtd",,"OPEN_INT","."&amp;P$2&amp;P$1&amp;"P"&amp;$A35)*RTD("tos.rtd",,"LAST","."&amp;P$2&amp;P$1&amp;"P"&amp;$A35))/1000000,0),IF($A$2="PREMIUM",IFERROR((100*RTD("tos.rtd",,"VOLUME","."&amp;P$2&amp;P$1&amp;"C"&amp;$A35)*RTD("tos.rtd",,"LAST","."&amp;P$2&amp;P$1&amp;"C"&amp;$A35)-100*RTD("tos.rtd",,"VOLUME","."&amp;P$2&amp;P$1&amp;"P"&amp;$A35)*RTD("tos.rtd",,"LAST","."&amp;P$2&amp;P$1&amp;"P"&amp;$A35))/1000000,0),IF($A$2="DEX",IFERROR((100*RTD("tos.rtd",,"OPEN_INT","."&amp;P$2&amp;P$1&amp;"C"&amp;$A35)*RTD("tos.rtd",,"DELTA","."&amp;P$2&amp;P$1&amp;"C"&amp;$A35)-100*RTD("tos.rtd",,"OPEN_INT","."&amp;P$2&amp;P$1&amp;"P"&amp;$A35)*RTD("tos.rtd",,"DELTA","."&amp;P$2&amp;P$1&amp;"P"&amp;$A35))/1000,0),IF($A$2="VEX",IFERROR(($A$4*$A$4*RTD("tos.rtd",,"VOLUME","."&amp;P$2&amp;P$1&amp;"C"&amp;$A35)*RTD("tos.rtd",,"GAMMA","."&amp;P$2&amp;P$1&amp;"C"&amp;$A35)-$A$4*$A$4*RTD("tos.rtd",,"VOLUME","."&amp;P$2&amp;P$1&amp;"P"&amp;$A35)*RTD("tos.rtd",,"GAMMA","."&amp;P$2&amp;P$1&amp;"P"&amp;$A35))/1000000,0),IF($A$2="GEX",IFERROR(($A$4*$A$4*RTD("tos.rtd",,"OPEN_INT","."&amp;P$2&amp;P$1&amp;"C"&amp;$A35)*RTD("tos.rtd",,"GAMMA","."&amp;P$2&amp;P$1&amp;"C"&amp;$A35)-$A$4*$A$4*RTD("tos.rtd",,"OPEN_INT","."&amp;P$2&amp;P$1&amp;"P"&amp;$A35)*RTD("tos.rtd",,"GAMMA","."&amp;P$2&amp;P$1&amp;"P"&amp;$A35))/1000000,0),IF($A$2="SKEW",IFERROR(VALUE(IF(RTD("tos.rtd",,"IMPL_VOL","."&amp;P$2&amp;P$1&amp;"P"&amp;$A35)="N/A",0,RTD("tos.rtd",,"IMPL_VOL","."&amp;P$2&amp;P$1&amp;"P"&amp;$A35))),0)-IFERROR(VALUE(IF(RTD("tos.rtd",,"IMPL_VOL","."&amp;P$2&amp;P$1&amp;"C"&amp;$A35)="N/A",0,RTD("tos.rtd",,"IMPL_VOL","."&amp;P$2&amp;P$1&amp;"C"&amp;$A35))),0),IF($A$2="MAXPAIN",IF($A$4&gt;$A35,($A$4-$A35)*IF(RTD("tos.rtd",,"OPEN_INT","."&amp;P$2&amp;P$1&amp;"C"&amp;$A35)="N/A",0,RTD("tos.rtd",,"OPEN_INT","."&amp;P$2&amp;P$1&amp;"C"&amp;$A35)),0)+IF($A$4&lt;$A35,($A35-$A$4)*IF(RTD("tos.rtd",,"OPEN_INT","."&amp;P$2&amp;P$1&amp;"P"&amp;$A35)="N/A",0,RTD("tos.rtd",,"OPEN_INT","."&amp;P$2&amp;P$1&amp;"P"&amp;$A35)),0),IF(RTD("tos.rtd",,$A$2,"."&amp;P$2&amp;P$1&amp;"C"&amp;$A35)="N/A",0,RTD("tos.rtd",,$A$2,"."&amp;P$2&amp;P$1&amp;"C"&amp;$A35))-IF(RTD("tos.rtd",,$A$2,"."&amp;P$2&amp;P$1&amp;"P"&amp;$A35)="N/A",0,RTD("tos.rtd",,$A$2,"."&amp;P$2&amp;P$1&amp;"P"&amp;$A35)))))))))</f>
        <v>0</v>
      </c>
      <c r="Q35" s="12">
        <f>IF($A$2="PREMIUM_OI",IFERROR((100*RTD("tos.rtd",,"OPEN_INT","."&amp;Q$2&amp;Q$1&amp;"C"&amp;$A35)*RTD("tos.rtd",,"LAST","."&amp;Q$2&amp;Q$1&amp;"C"&amp;$A35)-100*RTD("tos.rtd",,"OPEN_INT","."&amp;Q$2&amp;Q$1&amp;"P"&amp;$A35)*RTD("tos.rtd",,"LAST","."&amp;Q$2&amp;Q$1&amp;"P"&amp;$A35))/1000000,0),IF($A$2="PREMIUM",IFERROR((100*RTD("tos.rtd",,"VOLUME","."&amp;Q$2&amp;Q$1&amp;"C"&amp;$A35)*RTD("tos.rtd",,"LAST","."&amp;Q$2&amp;Q$1&amp;"C"&amp;$A35)-100*RTD("tos.rtd",,"VOLUME","."&amp;Q$2&amp;Q$1&amp;"P"&amp;$A35)*RTD("tos.rtd",,"LAST","."&amp;Q$2&amp;Q$1&amp;"P"&amp;$A35))/1000000,0),IF($A$2="DEX",IFERROR((100*RTD("tos.rtd",,"OPEN_INT","."&amp;Q$2&amp;Q$1&amp;"C"&amp;$A35)*RTD("tos.rtd",,"DELTA","."&amp;Q$2&amp;Q$1&amp;"C"&amp;$A35)-100*RTD("tos.rtd",,"OPEN_INT","."&amp;Q$2&amp;Q$1&amp;"P"&amp;$A35)*RTD("tos.rtd",,"DELTA","."&amp;Q$2&amp;Q$1&amp;"P"&amp;$A35))/1000,0),IF($A$2="VEX",IFERROR(($A$4*$A$4*RTD("tos.rtd",,"VOLUME","."&amp;Q$2&amp;Q$1&amp;"C"&amp;$A35)*RTD("tos.rtd",,"GAMMA","."&amp;Q$2&amp;Q$1&amp;"C"&amp;$A35)-$A$4*$A$4*RTD("tos.rtd",,"VOLUME","."&amp;Q$2&amp;Q$1&amp;"P"&amp;$A35)*RTD("tos.rtd",,"GAMMA","."&amp;Q$2&amp;Q$1&amp;"P"&amp;$A35))/1000000,0),IF($A$2="GEX",IFERROR(($A$4*$A$4*RTD("tos.rtd",,"OPEN_INT","."&amp;Q$2&amp;Q$1&amp;"C"&amp;$A35)*RTD("tos.rtd",,"GAMMA","."&amp;Q$2&amp;Q$1&amp;"C"&amp;$A35)-$A$4*$A$4*RTD("tos.rtd",,"OPEN_INT","."&amp;Q$2&amp;Q$1&amp;"P"&amp;$A35)*RTD("tos.rtd",,"GAMMA","."&amp;Q$2&amp;Q$1&amp;"P"&amp;$A35))/1000000,0),IF($A$2="SKEW",IFERROR(VALUE(IF(RTD("tos.rtd",,"IMPL_VOL","."&amp;Q$2&amp;Q$1&amp;"P"&amp;$A35)="N/A",0,RTD("tos.rtd",,"IMPL_VOL","."&amp;Q$2&amp;Q$1&amp;"P"&amp;$A35))),0)-IFERROR(VALUE(IF(RTD("tos.rtd",,"IMPL_VOL","."&amp;Q$2&amp;Q$1&amp;"C"&amp;$A35)="N/A",0,RTD("tos.rtd",,"IMPL_VOL","."&amp;Q$2&amp;Q$1&amp;"C"&amp;$A35))),0),IF($A$2="MAXPAIN",IF($A$4&gt;$A35,($A$4-$A35)*IF(RTD("tos.rtd",,"OPEN_INT","."&amp;Q$2&amp;Q$1&amp;"C"&amp;$A35)="N/A",0,RTD("tos.rtd",,"OPEN_INT","."&amp;Q$2&amp;Q$1&amp;"C"&amp;$A35)),0)+IF($A$4&lt;$A35,($A35-$A$4)*IF(RTD("tos.rtd",,"OPEN_INT","."&amp;Q$2&amp;Q$1&amp;"P"&amp;$A35)="N/A",0,RTD("tos.rtd",,"OPEN_INT","."&amp;Q$2&amp;Q$1&amp;"P"&amp;$A35)),0),IF(RTD("tos.rtd",,$A$2,"."&amp;Q$2&amp;Q$1&amp;"C"&amp;$A35)="N/A",0,RTD("tos.rtd",,$A$2,"."&amp;Q$2&amp;Q$1&amp;"C"&amp;$A35))-IF(RTD("tos.rtd",,$A$2,"."&amp;Q$2&amp;Q$1&amp;"P"&amp;$A35)="N/A",0,RTD("tos.rtd",,$A$2,"."&amp;Q$2&amp;Q$1&amp;"P"&amp;$A35)))))))))</f>
        <v>0</v>
      </c>
      <c r="R35" s="12">
        <f>IF($A$2="PREMIUM_OI",IFERROR((100*RTD("tos.rtd",,"OPEN_INT","."&amp;R$2&amp;R$1&amp;"C"&amp;$A35)*RTD("tos.rtd",,"LAST","."&amp;R$2&amp;R$1&amp;"C"&amp;$A35)-100*RTD("tos.rtd",,"OPEN_INT","."&amp;R$2&amp;R$1&amp;"P"&amp;$A35)*RTD("tos.rtd",,"LAST","."&amp;R$2&amp;R$1&amp;"P"&amp;$A35))/1000000,0),IF($A$2="PREMIUM",IFERROR((100*RTD("tos.rtd",,"VOLUME","."&amp;R$2&amp;R$1&amp;"C"&amp;$A35)*RTD("tos.rtd",,"LAST","."&amp;R$2&amp;R$1&amp;"C"&amp;$A35)-100*RTD("tos.rtd",,"VOLUME","."&amp;R$2&amp;R$1&amp;"P"&amp;$A35)*RTD("tos.rtd",,"LAST","."&amp;R$2&amp;R$1&amp;"P"&amp;$A35))/1000000,0),IF($A$2="DEX",IFERROR((100*RTD("tos.rtd",,"OPEN_INT","."&amp;R$2&amp;R$1&amp;"C"&amp;$A35)*RTD("tos.rtd",,"DELTA","."&amp;R$2&amp;R$1&amp;"C"&amp;$A35)-100*RTD("tos.rtd",,"OPEN_INT","."&amp;R$2&amp;R$1&amp;"P"&amp;$A35)*RTD("tos.rtd",,"DELTA","."&amp;R$2&amp;R$1&amp;"P"&amp;$A35))/1000,0),IF($A$2="VEX",IFERROR(($A$4*$A$4*RTD("tos.rtd",,"VOLUME","."&amp;R$2&amp;R$1&amp;"C"&amp;$A35)*RTD("tos.rtd",,"GAMMA","."&amp;R$2&amp;R$1&amp;"C"&amp;$A35)-$A$4*$A$4*RTD("tos.rtd",,"VOLUME","."&amp;R$2&amp;R$1&amp;"P"&amp;$A35)*RTD("tos.rtd",,"GAMMA","."&amp;R$2&amp;R$1&amp;"P"&amp;$A35))/1000000,0),IF($A$2="GEX",IFERROR(($A$4*$A$4*RTD("tos.rtd",,"OPEN_INT","."&amp;R$2&amp;R$1&amp;"C"&amp;$A35)*RTD("tos.rtd",,"GAMMA","."&amp;R$2&amp;R$1&amp;"C"&amp;$A35)-$A$4*$A$4*RTD("tos.rtd",,"OPEN_INT","."&amp;R$2&amp;R$1&amp;"P"&amp;$A35)*RTD("tos.rtd",,"GAMMA","."&amp;R$2&amp;R$1&amp;"P"&amp;$A35))/1000000,0),IF($A$2="SKEW",IFERROR(VALUE(IF(RTD("tos.rtd",,"IMPL_VOL","."&amp;R$2&amp;R$1&amp;"P"&amp;$A35)="N/A",0,RTD("tos.rtd",,"IMPL_VOL","."&amp;R$2&amp;R$1&amp;"P"&amp;$A35))),0)-IFERROR(VALUE(IF(RTD("tos.rtd",,"IMPL_VOL","."&amp;R$2&amp;R$1&amp;"C"&amp;$A35)="N/A",0,RTD("tos.rtd",,"IMPL_VOL","."&amp;R$2&amp;R$1&amp;"C"&amp;$A35))),0),IF($A$2="MAXPAIN",IF($A$4&gt;$A35,($A$4-$A35)*IF(RTD("tos.rtd",,"OPEN_INT","."&amp;R$2&amp;R$1&amp;"C"&amp;$A35)="N/A",0,RTD("tos.rtd",,"OPEN_INT","."&amp;R$2&amp;R$1&amp;"C"&amp;$A35)),0)+IF($A$4&lt;$A35,($A35-$A$4)*IF(RTD("tos.rtd",,"OPEN_INT","."&amp;R$2&amp;R$1&amp;"P"&amp;$A35)="N/A",0,RTD("tos.rtd",,"OPEN_INT","."&amp;R$2&amp;R$1&amp;"P"&amp;$A35)),0),IF(RTD("tos.rtd",,$A$2,"."&amp;R$2&amp;R$1&amp;"C"&amp;$A35)="N/A",0,RTD("tos.rtd",,$A$2,"."&amp;R$2&amp;R$1&amp;"C"&amp;$A35))-IF(RTD("tos.rtd",,$A$2,"."&amp;R$2&amp;R$1&amp;"P"&amp;$A35)="N/A",0,RTD("tos.rtd",,$A$2,"."&amp;R$2&amp;R$1&amp;"P"&amp;$A35)))))))))</f>
        <v>-1407</v>
      </c>
      <c r="S35" s="12">
        <f>IF($A$2="PREMIUM_OI",IFERROR((100*RTD("tos.rtd",,"OPEN_INT","."&amp;S$2&amp;S$1&amp;"C"&amp;$A35)*RTD("tos.rtd",,"LAST","."&amp;S$2&amp;S$1&amp;"C"&amp;$A35)-100*RTD("tos.rtd",,"OPEN_INT","."&amp;S$2&amp;S$1&amp;"P"&amp;$A35)*RTD("tos.rtd",,"LAST","."&amp;S$2&amp;S$1&amp;"P"&amp;$A35))/1000000,0),IF($A$2="PREMIUM",IFERROR((100*RTD("tos.rtd",,"VOLUME","."&amp;S$2&amp;S$1&amp;"C"&amp;$A35)*RTD("tos.rtd",,"LAST","."&amp;S$2&amp;S$1&amp;"C"&amp;$A35)-100*RTD("tos.rtd",,"VOLUME","."&amp;S$2&amp;S$1&amp;"P"&amp;$A35)*RTD("tos.rtd",,"LAST","."&amp;S$2&amp;S$1&amp;"P"&amp;$A35))/1000000,0),IF($A$2="DEX",IFERROR((100*RTD("tos.rtd",,"OPEN_INT","."&amp;S$2&amp;S$1&amp;"C"&amp;$A35)*RTD("tos.rtd",,"DELTA","."&amp;S$2&amp;S$1&amp;"C"&amp;$A35)-100*RTD("tos.rtd",,"OPEN_INT","."&amp;S$2&amp;S$1&amp;"P"&amp;$A35)*RTD("tos.rtd",,"DELTA","."&amp;S$2&amp;S$1&amp;"P"&amp;$A35))/1000,0),IF($A$2="VEX",IFERROR(($A$4*$A$4*RTD("tos.rtd",,"VOLUME","."&amp;S$2&amp;S$1&amp;"C"&amp;$A35)*RTD("tos.rtd",,"GAMMA","."&amp;S$2&amp;S$1&amp;"C"&amp;$A35)-$A$4*$A$4*RTD("tos.rtd",,"VOLUME","."&amp;S$2&amp;S$1&amp;"P"&amp;$A35)*RTD("tos.rtd",,"GAMMA","."&amp;S$2&amp;S$1&amp;"P"&amp;$A35))/1000000,0),IF($A$2="GEX",IFERROR(($A$4*$A$4*RTD("tos.rtd",,"OPEN_INT","."&amp;S$2&amp;S$1&amp;"C"&amp;$A35)*RTD("tos.rtd",,"GAMMA","."&amp;S$2&amp;S$1&amp;"C"&amp;$A35)-$A$4*$A$4*RTD("tos.rtd",,"OPEN_INT","."&amp;S$2&amp;S$1&amp;"P"&amp;$A35)*RTD("tos.rtd",,"GAMMA","."&amp;S$2&amp;S$1&amp;"P"&amp;$A35))/1000000,0),IF($A$2="SKEW",IFERROR(VALUE(IF(RTD("tos.rtd",,"IMPL_VOL","."&amp;S$2&amp;S$1&amp;"P"&amp;$A35)="N/A",0,RTD("tos.rtd",,"IMPL_VOL","."&amp;S$2&amp;S$1&amp;"P"&amp;$A35))),0)-IFERROR(VALUE(IF(RTD("tos.rtd",,"IMPL_VOL","."&amp;S$2&amp;S$1&amp;"C"&amp;$A35)="N/A",0,RTD("tos.rtd",,"IMPL_VOL","."&amp;S$2&amp;S$1&amp;"C"&amp;$A35))),0),IF($A$2="MAXPAIN",IF($A$4&gt;$A35,($A$4-$A35)*IF(RTD("tos.rtd",,"OPEN_INT","."&amp;S$2&amp;S$1&amp;"C"&amp;$A35)="N/A",0,RTD("tos.rtd",,"OPEN_INT","."&amp;S$2&amp;S$1&amp;"C"&amp;$A35)),0)+IF($A$4&lt;$A35,($A35-$A$4)*IF(RTD("tos.rtd",,"OPEN_INT","."&amp;S$2&amp;S$1&amp;"P"&amp;$A35)="N/A",0,RTD("tos.rtd",,"OPEN_INT","."&amp;S$2&amp;S$1&amp;"P"&amp;$A35)),0),IF(RTD("tos.rtd",,$A$2,"."&amp;S$2&amp;S$1&amp;"C"&amp;$A35)="N/A",0,RTD("tos.rtd",,$A$2,"."&amp;S$2&amp;S$1&amp;"C"&amp;$A35))-IF(RTD("tos.rtd",,$A$2,"."&amp;S$2&amp;S$1&amp;"P"&amp;$A35)="N/A",0,RTD("tos.rtd",,$A$2,"."&amp;S$2&amp;S$1&amp;"P"&amp;$A35)))))))))</f>
        <v>-9151</v>
      </c>
      <c r="T35" s="12">
        <f>IF($A$2="PREMIUM_OI",IFERROR((100*RTD("tos.rtd",,"OPEN_INT","."&amp;T$2&amp;T$1&amp;"C"&amp;$A35)*RTD("tos.rtd",,"LAST","."&amp;T$2&amp;T$1&amp;"C"&amp;$A35)-100*RTD("tos.rtd",,"OPEN_INT","."&amp;T$2&amp;T$1&amp;"P"&amp;$A35)*RTD("tos.rtd",,"LAST","."&amp;T$2&amp;T$1&amp;"P"&amp;$A35))/1000000,0),IF($A$2="PREMIUM",IFERROR((100*RTD("tos.rtd",,"VOLUME","."&amp;T$2&amp;T$1&amp;"C"&amp;$A35)*RTD("tos.rtd",,"LAST","."&amp;T$2&amp;T$1&amp;"C"&amp;$A35)-100*RTD("tos.rtd",,"VOLUME","."&amp;T$2&amp;T$1&amp;"P"&amp;$A35)*RTD("tos.rtd",,"LAST","."&amp;T$2&amp;T$1&amp;"P"&amp;$A35))/1000000,0),IF($A$2="DEX",IFERROR((100*RTD("tos.rtd",,"OPEN_INT","."&amp;T$2&amp;T$1&amp;"C"&amp;$A35)*RTD("tos.rtd",,"DELTA","."&amp;T$2&amp;T$1&amp;"C"&amp;$A35)-100*RTD("tos.rtd",,"OPEN_INT","."&amp;T$2&amp;T$1&amp;"P"&amp;$A35)*RTD("tos.rtd",,"DELTA","."&amp;T$2&amp;T$1&amp;"P"&amp;$A35))/1000,0),IF($A$2="VEX",IFERROR(($A$4*$A$4*RTD("tos.rtd",,"VOLUME","."&amp;T$2&amp;T$1&amp;"C"&amp;$A35)*RTD("tos.rtd",,"GAMMA","."&amp;T$2&amp;T$1&amp;"C"&amp;$A35)-$A$4*$A$4*RTD("tos.rtd",,"VOLUME","."&amp;T$2&amp;T$1&amp;"P"&amp;$A35)*RTD("tos.rtd",,"GAMMA","."&amp;T$2&amp;T$1&amp;"P"&amp;$A35))/1000000,0),IF($A$2="GEX",IFERROR(($A$4*$A$4*RTD("tos.rtd",,"OPEN_INT","."&amp;T$2&amp;T$1&amp;"C"&amp;$A35)*RTD("tos.rtd",,"GAMMA","."&amp;T$2&amp;T$1&amp;"C"&amp;$A35)-$A$4*$A$4*RTD("tos.rtd",,"OPEN_INT","."&amp;T$2&amp;T$1&amp;"P"&amp;$A35)*RTD("tos.rtd",,"GAMMA","."&amp;T$2&amp;T$1&amp;"P"&amp;$A35))/1000000,0),IF($A$2="SKEW",IFERROR(VALUE(IF(RTD("tos.rtd",,"IMPL_VOL","."&amp;T$2&amp;T$1&amp;"P"&amp;$A35)="N/A",0,RTD("tos.rtd",,"IMPL_VOL","."&amp;T$2&amp;T$1&amp;"P"&amp;$A35))),0)-IFERROR(VALUE(IF(RTD("tos.rtd",,"IMPL_VOL","."&amp;T$2&amp;T$1&amp;"C"&amp;$A35)="N/A",0,RTD("tos.rtd",,"IMPL_VOL","."&amp;T$2&amp;T$1&amp;"C"&amp;$A35))),0),IF($A$2="MAXPAIN",IF($A$4&gt;$A35,($A$4-$A35)*IF(RTD("tos.rtd",,"OPEN_INT","."&amp;T$2&amp;T$1&amp;"C"&amp;$A35)="N/A",0,RTD("tos.rtd",,"OPEN_INT","."&amp;T$2&amp;T$1&amp;"C"&amp;$A35)),0)+IF($A$4&lt;$A35,($A35-$A$4)*IF(RTD("tos.rtd",,"OPEN_INT","."&amp;T$2&amp;T$1&amp;"P"&amp;$A35)="N/A",0,RTD("tos.rtd",,"OPEN_INT","."&amp;T$2&amp;T$1&amp;"P"&amp;$A35)),0),IF(RTD("tos.rtd",,$A$2,"."&amp;T$2&amp;T$1&amp;"C"&amp;$A35)="N/A",0,RTD("tos.rtd",,$A$2,"."&amp;T$2&amp;T$1&amp;"C"&amp;$A35))-IF(RTD("tos.rtd",,$A$2,"."&amp;T$2&amp;T$1&amp;"P"&amp;$A35)="N/A",0,RTD("tos.rtd",,$A$2,"."&amp;T$2&amp;T$1&amp;"P"&amp;$A35)))))))))</f>
        <v>-200</v>
      </c>
      <c r="U35" s="12">
        <f>IF($A$2="PREMIUM_OI",IFERROR((100*RTD("tos.rtd",,"OPEN_INT","."&amp;U$2&amp;U$1&amp;"C"&amp;$A35)*RTD("tos.rtd",,"LAST","."&amp;U$2&amp;U$1&amp;"C"&amp;$A35)-100*RTD("tos.rtd",,"OPEN_INT","."&amp;U$2&amp;U$1&amp;"P"&amp;$A35)*RTD("tos.rtd",,"LAST","."&amp;U$2&amp;U$1&amp;"P"&amp;$A35))/1000000,0),IF($A$2="PREMIUM",IFERROR((100*RTD("tos.rtd",,"VOLUME","."&amp;U$2&amp;U$1&amp;"C"&amp;$A35)*RTD("tos.rtd",,"LAST","."&amp;U$2&amp;U$1&amp;"C"&amp;$A35)-100*RTD("tos.rtd",,"VOLUME","."&amp;U$2&amp;U$1&amp;"P"&amp;$A35)*RTD("tos.rtd",,"LAST","."&amp;U$2&amp;U$1&amp;"P"&amp;$A35))/1000000,0),IF($A$2="DEX",IFERROR((100*RTD("tos.rtd",,"OPEN_INT","."&amp;U$2&amp;U$1&amp;"C"&amp;$A35)*RTD("tos.rtd",,"DELTA","."&amp;U$2&amp;U$1&amp;"C"&amp;$A35)-100*RTD("tos.rtd",,"OPEN_INT","."&amp;U$2&amp;U$1&amp;"P"&amp;$A35)*RTD("tos.rtd",,"DELTA","."&amp;U$2&amp;U$1&amp;"P"&amp;$A35))/1000,0),IF($A$2="VEX",IFERROR(($A$4*$A$4*RTD("tos.rtd",,"VOLUME","."&amp;U$2&amp;U$1&amp;"C"&amp;$A35)*RTD("tos.rtd",,"GAMMA","."&amp;U$2&amp;U$1&amp;"C"&amp;$A35)-$A$4*$A$4*RTD("tos.rtd",,"VOLUME","."&amp;U$2&amp;U$1&amp;"P"&amp;$A35)*RTD("tos.rtd",,"GAMMA","."&amp;U$2&amp;U$1&amp;"P"&amp;$A35))/1000000,0),IF($A$2="GEX",IFERROR(($A$4*$A$4*RTD("tos.rtd",,"OPEN_INT","."&amp;U$2&amp;U$1&amp;"C"&amp;$A35)*RTD("tos.rtd",,"GAMMA","."&amp;U$2&amp;U$1&amp;"C"&amp;$A35)-$A$4*$A$4*RTD("tos.rtd",,"OPEN_INT","."&amp;U$2&amp;U$1&amp;"P"&amp;$A35)*RTD("tos.rtd",,"GAMMA","."&amp;U$2&amp;U$1&amp;"P"&amp;$A35))/1000000,0),IF($A$2="SKEW",IFERROR(VALUE(IF(RTD("tos.rtd",,"IMPL_VOL","."&amp;U$2&amp;U$1&amp;"P"&amp;$A35)="N/A",0,RTD("tos.rtd",,"IMPL_VOL","."&amp;U$2&amp;U$1&amp;"P"&amp;$A35))),0)-IFERROR(VALUE(IF(RTD("tos.rtd",,"IMPL_VOL","."&amp;U$2&amp;U$1&amp;"C"&amp;$A35)="N/A",0,RTD("tos.rtd",,"IMPL_VOL","."&amp;U$2&amp;U$1&amp;"C"&amp;$A35))),0),IF($A$2="MAXPAIN",IF($A$4&gt;$A35,($A$4-$A35)*IF(RTD("tos.rtd",,"OPEN_INT","."&amp;U$2&amp;U$1&amp;"C"&amp;$A35)="N/A",0,RTD("tos.rtd",,"OPEN_INT","."&amp;U$2&amp;U$1&amp;"C"&amp;$A35)),0)+IF($A$4&lt;$A35,($A35-$A$4)*IF(RTD("tos.rtd",,"OPEN_INT","."&amp;U$2&amp;U$1&amp;"P"&amp;$A35)="N/A",0,RTD("tos.rtd",,"OPEN_INT","."&amp;U$2&amp;U$1&amp;"P"&amp;$A35)),0),IF(RTD("tos.rtd",,$A$2,"."&amp;U$2&amp;U$1&amp;"C"&amp;$A35)="N/A",0,RTD("tos.rtd",,$A$2,"."&amp;U$2&amp;U$1&amp;"C"&amp;$A35))-IF(RTD("tos.rtd",,$A$2,"."&amp;U$2&amp;U$1&amp;"P"&amp;$A35)="N/A",0,RTD("tos.rtd",,$A$2,"."&amp;U$2&amp;U$1&amp;"P"&amp;$A35)))))))))</f>
        <v>0</v>
      </c>
      <c r="V35" s="12">
        <f>IF($A$2="PREMIUM_OI",IFERROR((100*RTD("tos.rtd",,"OPEN_INT","."&amp;V$2&amp;V$1&amp;"C"&amp;$A35)*RTD("tos.rtd",,"LAST","."&amp;V$2&amp;V$1&amp;"C"&amp;$A35)-100*RTD("tos.rtd",,"OPEN_INT","."&amp;V$2&amp;V$1&amp;"P"&amp;$A35)*RTD("tos.rtd",,"LAST","."&amp;V$2&amp;V$1&amp;"P"&amp;$A35))/1000000,0),IF($A$2="PREMIUM",IFERROR((100*RTD("tos.rtd",,"VOLUME","."&amp;V$2&amp;V$1&amp;"C"&amp;$A35)*RTD("tos.rtd",,"LAST","."&amp;V$2&amp;V$1&amp;"C"&amp;$A35)-100*RTD("tos.rtd",,"VOLUME","."&amp;V$2&amp;V$1&amp;"P"&amp;$A35)*RTD("tos.rtd",,"LAST","."&amp;V$2&amp;V$1&amp;"P"&amp;$A35))/1000000,0),IF($A$2="DEX",IFERROR((100*RTD("tos.rtd",,"OPEN_INT","."&amp;V$2&amp;V$1&amp;"C"&amp;$A35)*RTD("tos.rtd",,"DELTA","."&amp;V$2&amp;V$1&amp;"C"&amp;$A35)-100*RTD("tos.rtd",,"OPEN_INT","."&amp;V$2&amp;V$1&amp;"P"&amp;$A35)*RTD("tos.rtd",,"DELTA","."&amp;V$2&amp;V$1&amp;"P"&amp;$A35))/1000,0),IF($A$2="VEX",IFERROR(($A$4*$A$4*RTD("tos.rtd",,"VOLUME","."&amp;V$2&amp;V$1&amp;"C"&amp;$A35)*RTD("tos.rtd",,"GAMMA","."&amp;V$2&amp;V$1&amp;"C"&amp;$A35)-$A$4*$A$4*RTD("tos.rtd",,"VOLUME","."&amp;V$2&amp;V$1&amp;"P"&amp;$A35)*RTD("tos.rtd",,"GAMMA","."&amp;V$2&amp;V$1&amp;"P"&amp;$A35))/1000000,0),IF($A$2="GEX",IFERROR(($A$4*$A$4*RTD("tos.rtd",,"OPEN_INT","."&amp;V$2&amp;V$1&amp;"C"&amp;$A35)*RTD("tos.rtd",,"GAMMA","."&amp;V$2&amp;V$1&amp;"C"&amp;$A35)-$A$4*$A$4*RTD("tos.rtd",,"OPEN_INT","."&amp;V$2&amp;V$1&amp;"P"&amp;$A35)*RTD("tos.rtd",,"GAMMA","."&amp;V$2&amp;V$1&amp;"P"&amp;$A35))/1000000,0),IF($A$2="SKEW",IFERROR(VALUE(IF(RTD("tos.rtd",,"IMPL_VOL","."&amp;V$2&amp;V$1&amp;"P"&amp;$A35)="N/A",0,RTD("tos.rtd",,"IMPL_VOL","."&amp;V$2&amp;V$1&amp;"P"&amp;$A35))),0)-IFERROR(VALUE(IF(RTD("tos.rtd",,"IMPL_VOL","."&amp;V$2&amp;V$1&amp;"C"&amp;$A35)="N/A",0,RTD("tos.rtd",,"IMPL_VOL","."&amp;V$2&amp;V$1&amp;"C"&amp;$A35))),0),IF($A$2="MAXPAIN",IF($A$4&gt;$A35,($A$4-$A35)*IF(RTD("tos.rtd",,"OPEN_INT","."&amp;V$2&amp;V$1&amp;"C"&amp;$A35)="N/A",0,RTD("tos.rtd",,"OPEN_INT","."&amp;V$2&amp;V$1&amp;"C"&amp;$A35)),0)+IF($A$4&lt;$A35,($A35-$A$4)*IF(RTD("tos.rtd",,"OPEN_INT","."&amp;V$2&amp;V$1&amp;"P"&amp;$A35)="N/A",0,RTD("tos.rtd",,"OPEN_INT","."&amp;V$2&amp;V$1&amp;"P"&amp;$A35)),0),IF(RTD("tos.rtd",,$A$2,"."&amp;V$2&amp;V$1&amp;"C"&amp;$A35)="N/A",0,RTD("tos.rtd",,$A$2,"."&amp;V$2&amp;V$1&amp;"C"&amp;$A35))-IF(RTD("tos.rtd",,$A$2,"."&amp;V$2&amp;V$1&amp;"P"&amp;$A35)="N/A",0,RTD("tos.rtd",,$A$2,"."&amp;V$2&amp;V$1&amp;"P"&amp;$A35)))))))))</f>
        <v>0</v>
      </c>
      <c r="W35" s="12">
        <f>IF($A$2="PREMIUM_OI",IFERROR((100*RTD("tos.rtd",,"OPEN_INT","."&amp;W$2&amp;W$1&amp;"C"&amp;$A35)*RTD("tos.rtd",,"LAST","."&amp;W$2&amp;W$1&amp;"C"&amp;$A35)-100*RTD("tos.rtd",,"OPEN_INT","."&amp;W$2&amp;W$1&amp;"P"&amp;$A35)*RTD("tos.rtd",,"LAST","."&amp;W$2&amp;W$1&amp;"P"&amp;$A35))/1000000,0),IF($A$2="PREMIUM",IFERROR((100*RTD("tos.rtd",,"VOLUME","."&amp;W$2&amp;W$1&amp;"C"&amp;$A35)*RTD("tos.rtd",,"LAST","."&amp;W$2&amp;W$1&amp;"C"&amp;$A35)-100*RTD("tos.rtd",,"VOLUME","."&amp;W$2&amp;W$1&amp;"P"&amp;$A35)*RTD("tos.rtd",,"LAST","."&amp;W$2&amp;W$1&amp;"P"&amp;$A35))/1000000,0),IF($A$2="DEX",IFERROR((100*RTD("tos.rtd",,"OPEN_INT","."&amp;W$2&amp;W$1&amp;"C"&amp;$A35)*RTD("tos.rtd",,"DELTA","."&amp;W$2&amp;W$1&amp;"C"&amp;$A35)-100*RTD("tos.rtd",,"OPEN_INT","."&amp;W$2&amp;W$1&amp;"P"&amp;$A35)*RTD("tos.rtd",,"DELTA","."&amp;W$2&amp;W$1&amp;"P"&amp;$A35))/1000,0),IF($A$2="VEX",IFERROR(($A$4*$A$4*RTD("tos.rtd",,"VOLUME","."&amp;W$2&amp;W$1&amp;"C"&amp;$A35)*RTD("tos.rtd",,"GAMMA","."&amp;W$2&amp;W$1&amp;"C"&amp;$A35)-$A$4*$A$4*RTD("tos.rtd",,"VOLUME","."&amp;W$2&amp;W$1&amp;"P"&amp;$A35)*RTD("tos.rtd",,"GAMMA","."&amp;W$2&amp;W$1&amp;"P"&amp;$A35))/1000000,0),IF($A$2="GEX",IFERROR(($A$4*$A$4*RTD("tos.rtd",,"OPEN_INT","."&amp;W$2&amp;W$1&amp;"C"&amp;$A35)*RTD("tos.rtd",,"GAMMA","."&amp;W$2&amp;W$1&amp;"C"&amp;$A35)-$A$4*$A$4*RTD("tos.rtd",,"OPEN_INT","."&amp;W$2&amp;W$1&amp;"P"&amp;$A35)*RTD("tos.rtd",,"GAMMA","."&amp;W$2&amp;W$1&amp;"P"&amp;$A35))/1000000,0),IF($A$2="SKEW",IFERROR(VALUE(IF(RTD("tos.rtd",,"IMPL_VOL","."&amp;W$2&amp;W$1&amp;"P"&amp;$A35)="N/A",0,RTD("tos.rtd",,"IMPL_VOL","."&amp;W$2&amp;W$1&amp;"P"&amp;$A35))),0)-IFERROR(VALUE(IF(RTD("tos.rtd",,"IMPL_VOL","."&amp;W$2&amp;W$1&amp;"C"&amp;$A35)="N/A",0,RTD("tos.rtd",,"IMPL_VOL","."&amp;W$2&amp;W$1&amp;"C"&amp;$A35))),0),IF($A$2="MAXPAIN",IF($A$4&gt;$A35,($A$4-$A35)*IF(RTD("tos.rtd",,"OPEN_INT","."&amp;W$2&amp;W$1&amp;"C"&amp;$A35)="N/A",0,RTD("tos.rtd",,"OPEN_INT","."&amp;W$2&amp;W$1&amp;"C"&amp;$A35)),0)+IF($A$4&lt;$A35,($A35-$A$4)*IF(RTD("tos.rtd",,"OPEN_INT","."&amp;W$2&amp;W$1&amp;"P"&amp;$A35)="N/A",0,RTD("tos.rtd",,"OPEN_INT","."&amp;W$2&amp;W$1&amp;"P"&amp;$A35)),0),IF(RTD("tos.rtd",,$A$2,"."&amp;W$2&amp;W$1&amp;"C"&amp;$A35)="N/A",0,RTD("tos.rtd",,$A$2,"."&amp;W$2&amp;W$1&amp;"C"&amp;$A35))-IF(RTD("tos.rtd",,$A$2,"."&amp;W$2&amp;W$1&amp;"P"&amp;$A35)="N/A",0,RTD("tos.rtd",,$A$2,"."&amp;W$2&amp;W$1&amp;"P"&amp;$A35)))))))))</f>
        <v>-5512</v>
      </c>
      <c r="X35" s="12">
        <f t="shared" ca="1" si="7"/>
        <v>-14863</v>
      </c>
      <c r="Y35" s="27">
        <f t="shared" ca="1" si="8"/>
        <v>-14863</v>
      </c>
      <c r="AA35" s="35">
        <f>+IF($AJ$1,AJ35,TASTYOHLC!A35)</f>
        <v>0</v>
      </c>
      <c r="AB35" s="8">
        <f>+IF($AJ$1,AK35,TASTYOHLC!B35)</f>
        <v>0</v>
      </c>
      <c r="AC35" s="8">
        <f>+IF($AJ$1,AL35,TASTYOHLC!C35)</f>
        <v>0</v>
      </c>
      <c r="AD35" s="8">
        <f>+IF($AJ$1,AM35,TASTYOHLC!D35)</f>
        <v>0</v>
      </c>
      <c r="AE35" s="8">
        <f>+IF($AJ$1,AN35,TASTYOHLC!E35)</f>
        <v>0</v>
      </c>
      <c r="AF35" s="8"/>
      <c r="AJ35" s="37"/>
    </row>
    <row r="36" spans="1:36" s="19" customFormat="1" ht="11.1" customHeight="1" thickBot="1" x14ac:dyDescent="0.3">
      <c r="A36" s="23">
        <f t="shared" si="13"/>
        <v>4</v>
      </c>
      <c r="B36" s="14">
        <f>IF($A$2="PREMIUM_OI",IFERROR((100*RTD("tos.rtd",,"OPEN_INT","."&amp;B$2&amp;B$1&amp;"C"&amp;$A36)*RTD("tos.rtd",,"LAST","."&amp;B$2&amp;B$1&amp;"C"&amp;$A36)-100*RTD("tos.rtd",,"OPEN_INT","."&amp;B$2&amp;B$1&amp;"P"&amp;$A36)*RTD("tos.rtd",,"LAST","."&amp;B$2&amp;B$1&amp;"P"&amp;$A36))/1000000,0),IF($A$2="PREMIUM",IFERROR((100*RTD("tos.rtd",,"VOLUME","."&amp;B$2&amp;B$1&amp;"C"&amp;$A36)*RTD("tos.rtd",,"LAST","."&amp;B$2&amp;B$1&amp;"C"&amp;$A36)-100*RTD("tos.rtd",,"VOLUME","."&amp;B$2&amp;B$1&amp;"P"&amp;$A36)*RTD("tos.rtd",,"LAST","."&amp;B$2&amp;B$1&amp;"P"&amp;$A36))/1000000,0),IF($A$2="DEX",IFERROR((100*RTD("tos.rtd",,"OPEN_INT","."&amp;B$2&amp;B$1&amp;"C"&amp;$A36)*RTD("tos.rtd",,"DELTA","."&amp;B$2&amp;B$1&amp;"C"&amp;$A36)-100*RTD("tos.rtd",,"OPEN_INT","."&amp;B$2&amp;B$1&amp;"P"&amp;$A36)*RTD("tos.rtd",,"DELTA","."&amp;B$2&amp;B$1&amp;"P"&amp;$A36))/1000,0),IF($A$2="VEX",IFERROR(($A$4*$A$4*RTD("tos.rtd",,"VOLUME","."&amp;B$2&amp;B$1&amp;"C"&amp;$A36)*RTD("tos.rtd",,"GAMMA","."&amp;B$2&amp;B$1&amp;"C"&amp;$A36)-$A$4*$A$4*RTD("tos.rtd",,"VOLUME","."&amp;B$2&amp;B$1&amp;"P"&amp;$A36)*RTD("tos.rtd",,"GAMMA","."&amp;B$2&amp;B$1&amp;"P"&amp;$A36))/1000000,0),IF($A$2="GEX",IFERROR(($A$4*$A$4*RTD("tos.rtd",,"OPEN_INT","."&amp;B$2&amp;B$1&amp;"C"&amp;$A36)*RTD("tos.rtd",,"GAMMA","."&amp;B$2&amp;B$1&amp;"C"&amp;$A36)-$A$4*$A$4*RTD("tos.rtd",,"OPEN_INT","."&amp;B$2&amp;B$1&amp;"P"&amp;$A36)*RTD("tos.rtd",,"GAMMA","."&amp;B$2&amp;B$1&amp;"P"&amp;$A36))/1000000,0),IF($A$2="SKEW",IFERROR(VALUE(IF(RTD("tos.rtd",,"IMPL_VOL","."&amp;B$2&amp;B$1&amp;"P"&amp;$A36)="N/A",0,RTD("tos.rtd",,"IMPL_VOL","."&amp;B$2&amp;B$1&amp;"P"&amp;$A36))),0)-IFERROR(VALUE(IF(RTD("tos.rtd",,"IMPL_VOL","."&amp;B$2&amp;B$1&amp;"C"&amp;$A36)="N/A",0,RTD("tos.rtd",,"IMPL_VOL","."&amp;B$2&amp;B$1&amp;"C"&amp;$A36))),0),IF($A$2="MAXPAIN",IF($A$4&gt;$A36,($A$4-$A36)*IF(RTD("tos.rtd",,"OPEN_INT","."&amp;B$2&amp;B$1&amp;"C"&amp;$A36)="N/A",0,RTD("tos.rtd",,"OPEN_INT","."&amp;B$2&amp;B$1&amp;"C"&amp;$A36)),0)+IF($A$4&lt;$A36,($A36-$A$4)*IF(RTD("tos.rtd",,"OPEN_INT","."&amp;B$2&amp;B$1&amp;"P"&amp;$A36)="N/A",0,RTD("tos.rtd",,"OPEN_INT","."&amp;B$2&amp;B$1&amp;"P"&amp;$A36)),0),IF(RTD("tos.rtd",,$A$2,"."&amp;B$2&amp;B$1&amp;"C"&amp;$A36)="N/A",0,RTD("tos.rtd",,$A$2,"."&amp;B$2&amp;B$1&amp;"C"&amp;$A36))-IF(RTD("tos.rtd",,$A$2,"."&amp;B$2&amp;B$1&amp;"P"&amp;$A36)="N/A",0,RTD("tos.rtd",,$A$2,"."&amp;B$2&amp;B$1&amp;"P"&amp;$A36)))))))))</f>
        <v>0</v>
      </c>
      <c r="C36" s="12">
        <f>IF($A$2="PREMIUM_OI",IFERROR((100*RTD("tos.rtd",,"OPEN_INT","."&amp;C$2&amp;C$1&amp;"C"&amp;$A36)*RTD("tos.rtd",,"LAST","."&amp;C$2&amp;C$1&amp;"C"&amp;$A36)-100*RTD("tos.rtd",,"OPEN_INT","."&amp;C$2&amp;C$1&amp;"P"&amp;$A36)*RTD("tos.rtd",,"LAST","."&amp;C$2&amp;C$1&amp;"P"&amp;$A36))/1000000,0),IF($A$2="PREMIUM",IFERROR((100*RTD("tos.rtd",,"VOLUME","."&amp;C$2&amp;C$1&amp;"C"&amp;$A36)*RTD("tos.rtd",,"LAST","."&amp;C$2&amp;C$1&amp;"C"&amp;$A36)-100*RTD("tos.rtd",,"VOLUME","."&amp;C$2&amp;C$1&amp;"P"&amp;$A36)*RTD("tos.rtd",,"LAST","."&amp;C$2&amp;C$1&amp;"P"&amp;$A36))/1000000,0),IF($A$2="DEX",IFERROR((100*RTD("tos.rtd",,"OPEN_INT","."&amp;C$2&amp;C$1&amp;"C"&amp;$A36)*RTD("tos.rtd",,"DELTA","."&amp;C$2&amp;C$1&amp;"C"&amp;$A36)-100*RTD("tos.rtd",,"OPEN_INT","."&amp;C$2&amp;C$1&amp;"P"&amp;$A36)*RTD("tos.rtd",,"DELTA","."&amp;C$2&amp;C$1&amp;"P"&amp;$A36))/1000,0),IF($A$2="VEX",IFERROR(($A$4*$A$4*RTD("tos.rtd",,"VOLUME","."&amp;C$2&amp;C$1&amp;"C"&amp;$A36)*RTD("tos.rtd",,"GAMMA","."&amp;C$2&amp;C$1&amp;"C"&amp;$A36)-$A$4*$A$4*RTD("tos.rtd",,"VOLUME","."&amp;C$2&amp;C$1&amp;"P"&amp;$A36)*RTD("tos.rtd",,"GAMMA","."&amp;C$2&amp;C$1&amp;"P"&amp;$A36))/1000000,0),IF($A$2="GEX",IFERROR(($A$4*$A$4*RTD("tos.rtd",,"OPEN_INT","."&amp;C$2&amp;C$1&amp;"C"&amp;$A36)*RTD("tos.rtd",,"GAMMA","."&amp;C$2&amp;C$1&amp;"C"&amp;$A36)-$A$4*$A$4*RTD("tos.rtd",,"OPEN_INT","."&amp;C$2&amp;C$1&amp;"P"&amp;$A36)*RTD("tos.rtd",,"GAMMA","."&amp;C$2&amp;C$1&amp;"P"&amp;$A36))/1000000,0),IF($A$2="SKEW",IFERROR(VALUE(IF(RTD("tos.rtd",,"IMPL_VOL","."&amp;C$2&amp;C$1&amp;"P"&amp;$A36)="N/A",0,RTD("tos.rtd",,"IMPL_VOL","."&amp;C$2&amp;C$1&amp;"P"&amp;$A36))),0)-IFERROR(VALUE(IF(RTD("tos.rtd",,"IMPL_VOL","."&amp;C$2&amp;C$1&amp;"C"&amp;$A36)="N/A",0,RTD("tos.rtd",,"IMPL_VOL","."&amp;C$2&amp;C$1&amp;"C"&amp;$A36))),0),IF($A$2="MAXPAIN",IF($A$4&gt;$A36,($A$4-$A36)*IF(RTD("tos.rtd",,"OPEN_INT","."&amp;C$2&amp;C$1&amp;"C"&amp;$A36)="N/A",0,RTD("tos.rtd",,"OPEN_INT","."&amp;C$2&amp;C$1&amp;"C"&amp;$A36)),0)+IF($A$4&lt;$A36,($A36-$A$4)*IF(RTD("tos.rtd",,"OPEN_INT","."&amp;C$2&amp;C$1&amp;"P"&amp;$A36)="N/A",0,RTD("tos.rtd",,"OPEN_INT","."&amp;C$2&amp;C$1&amp;"P"&amp;$A36)),0),IF(RTD("tos.rtd",,$A$2,"."&amp;C$2&amp;C$1&amp;"C"&amp;$A36)="N/A",0,RTD("tos.rtd",,$A$2,"."&amp;C$2&amp;C$1&amp;"C"&amp;$A36))-IF(RTD("tos.rtd",,$A$2,"."&amp;C$2&amp;C$1&amp;"P"&amp;$A36)="N/A",0,RTD("tos.rtd",,$A$2,"."&amp;C$2&amp;C$1&amp;"P"&amp;$A36)))))))))</f>
        <v>-2698</v>
      </c>
      <c r="D36" s="12">
        <f>IF($A$2="PREMIUM_OI",IFERROR((100*RTD("tos.rtd",,"OPEN_INT","."&amp;D$2&amp;D$1&amp;"C"&amp;$A36)*RTD("tos.rtd",,"LAST","."&amp;D$2&amp;D$1&amp;"C"&amp;$A36)-100*RTD("tos.rtd",,"OPEN_INT","."&amp;D$2&amp;D$1&amp;"P"&amp;$A36)*RTD("tos.rtd",,"LAST","."&amp;D$2&amp;D$1&amp;"P"&amp;$A36))/1000000,0),IF($A$2="PREMIUM",IFERROR((100*RTD("tos.rtd",,"VOLUME","."&amp;D$2&amp;D$1&amp;"C"&amp;$A36)*RTD("tos.rtd",,"LAST","."&amp;D$2&amp;D$1&amp;"C"&amp;$A36)-100*RTD("tos.rtd",,"VOLUME","."&amp;D$2&amp;D$1&amp;"P"&amp;$A36)*RTD("tos.rtd",,"LAST","."&amp;D$2&amp;D$1&amp;"P"&amp;$A36))/1000000,0),IF($A$2="DEX",IFERROR((100*RTD("tos.rtd",,"OPEN_INT","."&amp;D$2&amp;D$1&amp;"C"&amp;$A36)*RTD("tos.rtd",,"DELTA","."&amp;D$2&amp;D$1&amp;"C"&amp;$A36)-100*RTD("tos.rtd",,"OPEN_INT","."&amp;D$2&amp;D$1&amp;"P"&amp;$A36)*RTD("tos.rtd",,"DELTA","."&amp;D$2&amp;D$1&amp;"P"&amp;$A36))/1000,0),IF($A$2="VEX",IFERROR(($A$4*$A$4*RTD("tos.rtd",,"VOLUME","."&amp;D$2&amp;D$1&amp;"C"&amp;$A36)*RTD("tos.rtd",,"GAMMA","."&amp;D$2&amp;D$1&amp;"C"&amp;$A36)-$A$4*$A$4*RTD("tos.rtd",,"VOLUME","."&amp;D$2&amp;D$1&amp;"P"&amp;$A36)*RTD("tos.rtd",,"GAMMA","."&amp;D$2&amp;D$1&amp;"P"&amp;$A36))/1000000,0),IF($A$2="GEX",IFERROR(($A$4*$A$4*RTD("tos.rtd",,"OPEN_INT","."&amp;D$2&amp;D$1&amp;"C"&amp;$A36)*RTD("tos.rtd",,"GAMMA","."&amp;D$2&amp;D$1&amp;"C"&amp;$A36)-$A$4*$A$4*RTD("tos.rtd",,"OPEN_INT","."&amp;D$2&amp;D$1&amp;"P"&amp;$A36)*RTD("tos.rtd",,"GAMMA","."&amp;D$2&amp;D$1&amp;"P"&amp;$A36))/1000000,0),IF($A$2="SKEW",IFERROR(VALUE(IF(RTD("tos.rtd",,"IMPL_VOL","."&amp;D$2&amp;D$1&amp;"P"&amp;$A36)="N/A",0,RTD("tos.rtd",,"IMPL_VOL","."&amp;D$2&amp;D$1&amp;"P"&amp;$A36))),0)-IFERROR(VALUE(IF(RTD("tos.rtd",,"IMPL_VOL","."&amp;D$2&amp;D$1&amp;"C"&amp;$A36)="N/A",0,RTD("tos.rtd",,"IMPL_VOL","."&amp;D$2&amp;D$1&amp;"C"&amp;$A36))),0),IF($A$2="MAXPAIN",IF($A$4&gt;$A36,($A$4-$A36)*IF(RTD("tos.rtd",,"OPEN_INT","."&amp;D$2&amp;D$1&amp;"C"&amp;$A36)="N/A",0,RTD("tos.rtd",,"OPEN_INT","."&amp;D$2&amp;D$1&amp;"C"&amp;$A36)),0)+IF($A$4&lt;$A36,($A36-$A$4)*IF(RTD("tos.rtd",,"OPEN_INT","."&amp;D$2&amp;D$1&amp;"P"&amp;$A36)="N/A",0,RTD("tos.rtd",,"OPEN_INT","."&amp;D$2&amp;D$1&amp;"P"&amp;$A36)),0),IF(RTD("tos.rtd",,$A$2,"."&amp;D$2&amp;D$1&amp;"C"&amp;$A36)="N/A",0,RTD("tos.rtd",,$A$2,"."&amp;D$2&amp;D$1&amp;"C"&amp;$A36))-IF(RTD("tos.rtd",,$A$2,"."&amp;D$2&amp;D$1&amp;"P"&amp;$A36)="N/A",0,RTD("tos.rtd",,$A$2,"."&amp;D$2&amp;D$1&amp;"P"&amp;$A36)))))))))</f>
        <v>0</v>
      </c>
      <c r="E36" s="12">
        <f>IF($A$2="PREMIUM_OI",IFERROR((100*RTD("tos.rtd",,"OPEN_INT","."&amp;E$2&amp;E$1&amp;"C"&amp;$A36)*RTD("tos.rtd",,"LAST","."&amp;E$2&amp;E$1&amp;"C"&amp;$A36)-100*RTD("tos.rtd",,"OPEN_INT","."&amp;E$2&amp;E$1&amp;"P"&amp;$A36)*RTD("tos.rtd",,"LAST","."&amp;E$2&amp;E$1&amp;"P"&amp;$A36))/1000000,0),IF($A$2="PREMIUM",IFERROR((100*RTD("tos.rtd",,"VOLUME","."&amp;E$2&amp;E$1&amp;"C"&amp;$A36)*RTD("tos.rtd",,"LAST","."&amp;E$2&amp;E$1&amp;"C"&amp;$A36)-100*RTD("tos.rtd",,"VOLUME","."&amp;E$2&amp;E$1&amp;"P"&amp;$A36)*RTD("tos.rtd",,"LAST","."&amp;E$2&amp;E$1&amp;"P"&amp;$A36))/1000000,0),IF($A$2="DEX",IFERROR((100*RTD("tos.rtd",,"OPEN_INT","."&amp;E$2&amp;E$1&amp;"C"&amp;$A36)*RTD("tos.rtd",,"DELTA","."&amp;E$2&amp;E$1&amp;"C"&amp;$A36)-100*RTD("tos.rtd",,"OPEN_INT","."&amp;E$2&amp;E$1&amp;"P"&amp;$A36)*RTD("tos.rtd",,"DELTA","."&amp;E$2&amp;E$1&amp;"P"&amp;$A36))/1000,0),IF($A$2="VEX",IFERROR(($A$4*$A$4*RTD("tos.rtd",,"VOLUME","."&amp;E$2&amp;E$1&amp;"C"&amp;$A36)*RTD("tos.rtd",,"GAMMA","."&amp;E$2&amp;E$1&amp;"C"&amp;$A36)-$A$4*$A$4*RTD("tos.rtd",,"VOLUME","."&amp;E$2&amp;E$1&amp;"P"&amp;$A36)*RTD("tos.rtd",,"GAMMA","."&amp;E$2&amp;E$1&amp;"P"&amp;$A36))/1000000,0),IF($A$2="GEX",IFERROR(($A$4*$A$4*RTD("tos.rtd",,"OPEN_INT","."&amp;E$2&amp;E$1&amp;"C"&amp;$A36)*RTD("tos.rtd",,"GAMMA","."&amp;E$2&amp;E$1&amp;"C"&amp;$A36)-$A$4*$A$4*RTD("tos.rtd",,"OPEN_INT","."&amp;E$2&amp;E$1&amp;"P"&amp;$A36)*RTD("tos.rtd",,"GAMMA","."&amp;E$2&amp;E$1&amp;"P"&amp;$A36))/1000000,0),IF($A$2="SKEW",IFERROR(VALUE(IF(RTD("tos.rtd",,"IMPL_VOL","."&amp;E$2&amp;E$1&amp;"P"&amp;$A36)="N/A",0,RTD("tos.rtd",,"IMPL_VOL","."&amp;E$2&amp;E$1&amp;"P"&amp;$A36))),0)-IFERROR(VALUE(IF(RTD("tos.rtd",,"IMPL_VOL","."&amp;E$2&amp;E$1&amp;"C"&amp;$A36)="N/A",0,RTD("tos.rtd",,"IMPL_VOL","."&amp;E$2&amp;E$1&amp;"C"&amp;$A36))),0),IF($A$2="MAXPAIN",IF($A$4&gt;$A36,($A$4-$A36)*IF(RTD("tos.rtd",,"OPEN_INT","."&amp;E$2&amp;E$1&amp;"C"&amp;$A36)="N/A",0,RTD("tos.rtd",,"OPEN_INT","."&amp;E$2&amp;E$1&amp;"C"&amp;$A36)),0)+IF($A$4&lt;$A36,($A36-$A$4)*IF(RTD("tos.rtd",,"OPEN_INT","."&amp;E$2&amp;E$1&amp;"P"&amp;$A36)="N/A",0,RTD("tos.rtd",,"OPEN_INT","."&amp;E$2&amp;E$1&amp;"P"&amp;$A36)),0),IF(RTD("tos.rtd",,$A$2,"."&amp;E$2&amp;E$1&amp;"C"&amp;$A36)="N/A",0,RTD("tos.rtd",,$A$2,"."&amp;E$2&amp;E$1&amp;"C"&amp;$A36))-IF(RTD("tos.rtd",,$A$2,"."&amp;E$2&amp;E$1&amp;"P"&amp;$A36)="N/A",0,RTD("tos.rtd",,$A$2,"."&amp;E$2&amp;E$1&amp;"P"&amp;$A36)))))))))</f>
        <v>0</v>
      </c>
      <c r="F36" s="12">
        <f>IF($A$2="PREMIUM_OI",IFERROR((100*RTD("tos.rtd",,"OPEN_INT","."&amp;F$2&amp;F$1&amp;"C"&amp;$A36)*RTD("tos.rtd",,"LAST","."&amp;F$2&amp;F$1&amp;"C"&amp;$A36)-100*RTD("tos.rtd",,"OPEN_INT","."&amp;F$2&amp;F$1&amp;"P"&amp;$A36)*RTD("tos.rtd",,"LAST","."&amp;F$2&amp;F$1&amp;"P"&amp;$A36))/1000000,0),IF($A$2="PREMIUM",IFERROR((100*RTD("tos.rtd",,"VOLUME","."&amp;F$2&amp;F$1&amp;"C"&amp;$A36)*RTD("tos.rtd",,"LAST","."&amp;F$2&amp;F$1&amp;"C"&amp;$A36)-100*RTD("tos.rtd",,"VOLUME","."&amp;F$2&amp;F$1&amp;"P"&amp;$A36)*RTD("tos.rtd",,"LAST","."&amp;F$2&amp;F$1&amp;"P"&amp;$A36))/1000000,0),IF($A$2="DEX",IFERROR((100*RTD("tos.rtd",,"OPEN_INT","."&amp;F$2&amp;F$1&amp;"C"&amp;$A36)*RTD("tos.rtd",,"DELTA","."&amp;F$2&amp;F$1&amp;"C"&amp;$A36)-100*RTD("tos.rtd",,"OPEN_INT","."&amp;F$2&amp;F$1&amp;"P"&amp;$A36)*RTD("tos.rtd",,"DELTA","."&amp;F$2&amp;F$1&amp;"P"&amp;$A36))/1000,0),IF($A$2="VEX",IFERROR(($A$4*$A$4*RTD("tos.rtd",,"VOLUME","."&amp;F$2&amp;F$1&amp;"C"&amp;$A36)*RTD("tos.rtd",,"GAMMA","."&amp;F$2&amp;F$1&amp;"C"&amp;$A36)-$A$4*$A$4*RTD("tos.rtd",,"VOLUME","."&amp;F$2&amp;F$1&amp;"P"&amp;$A36)*RTD("tos.rtd",,"GAMMA","."&amp;F$2&amp;F$1&amp;"P"&amp;$A36))/1000000,0),IF($A$2="GEX",IFERROR(($A$4*$A$4*RTD("tos.rtd",,"OPEN_INT","."&amp;F$2&amp;F$1&amp;"C"&amp;$A36)*RTD("tos.rtd",,"GAMMA","."&amp;F$2&amp;F$1&amp;"C"&amp;$A36)-$A$4*$A$4*RTD("tos.rtd",,"OPEN_INT","."&amp;F$2&amp;F$1&amp;"P"&amp;$A36)*RTD("tos.rtd",,"GAMMA","."&amp;F$2&amp;F$1&amp;"P"&amp;$A36))/1000000,0),IF($A$2="SKEW",IFERROR(VALUE(IF(RTD("tos.rtd",,"IMPL_VOL","."&amp;F$2&amp;F$1&amp;"P"&amp;$A36)="N/A",0,RTD("tos.rtd",,"IMPL_VOL","."&amp;F$2&amp;F$1&amp;"P"&amp;$A36))),0)-IFERROR(VALUE(IF(RTD("tos.rtd",,"IMPL_VOL","."&amp;F$2&amp;F$1&amp;"C"&amp;$A36)="N/A",0,RTD("tos.rtd",,"IMPL_VOL","."&amp;F$2&amp;F$1&amp;"C"&amp;$A36))),0),IF($A$2="MAXPAIN",IF($A$4&gt;$A36,($A$4-$A36)*IF(RTD("tos.rtd",,"OPEN_INT","."&amp;F$2&amp;F$1&amp;"C"&amp;$A36)="N/A",0,RTD("tos.rtd",,"OPEN_INT","."&amp;F$2&amp;F$1&amp;"C"&amp;$A36)),0)+IF($A$4&lt;$A36,($A36-$A$4)*IF(RTD("tos.rtd",,"OPEN_INT","."&amp;F$2&amp;F$1&amp;"P"&amp;$A36)="N/A",0,RTD("tos.rtd",,"OPEN_INT","."&amp;F$2&amp;F$1&amp;"P"&amp;$A36)),0),IF(RTD("tos.rtd",,$A$2,"."&amp;F$2&amp;F$1&amp;"C"&amp;$A36)="N/A",0,RTD("tos.rtd",,$A$2,"."&amp;F$2&amp;F$1&amp;"C"&amp;$A36))-IF(RTD("tos.rtd",,$A$2,"."&amp;F$2&amp;F$1&amp;"P"&amp;$A36)="N/A",0,RTD("tos.rtd",,$A$2,"."&amp;F$2&amp;F$1&amp;"P"&amp;$A36)))))))))</f>
        <v>0</v>
      </c>
      <c r="G36" s="14">
        <f>IF($A$2="PREMIUM_OI",IFERROR((100*RTD("tos.rtd",,"OPEN_INT","."&amp;G$2&amp;G$1&amp;"C"&amp;$A36)*RTD("tos.rtd",,"LAST","."&amp;G$2&amp;G$1&amp;"C"&amp;$A36)-100*RTD("tos.rtd",,"OPEN_INT","."&amp;G$2&amp;G$1&amp;"P"&amp;$A36)*RTD("tos.rtd",,"LAST","."&amp;G$2&amp;G$1&amp;"P"&amp;$A36))/1000000,0),IF($A$2="PREMIUM",IFERROR((100*RTD("tos.rtd",,"VOLUME","."&amp;G$2&amp;G$1&amp;"C"&amp;$A36)*RTD("tos.rtd",,"LAST","."&amp;G$2&amp;G$1&amp;"C"&amp;$A36)-100*RTD("tos.rtd",,"VOLUME","."&amp;G$2&amp;G$1&amp;"P"&amp;$A36)*RTD("tos.rtd",,"LAST","."&amp;G$2&amp;G$1&amp;"P"&amp;$A36))/1000000,0),IF($A$2="DEX",IFERROR((100*RTD("tos.rtd",,"OPEN_INT","."&amp;G$2&amp;G$1&amp;"C"&amp;$A36)*RTD("tos.rtd",,"DELTA","."&amp;G$2&amp;G$1&amp;"C"&amp;$A36)-100*RTD("tos.rtd",,"OPEN_INT","."&amp;G$2&amp;G$1&amp;"P"&amp;$A36)*RTD("tos.rtd",,"DELTA","."&amp;G$2&amp;G$1&amp;"P"&amp;$A36))/1000,0),IF($A$2="VEX",IFERROR(($A$4*$A$4*RTD("tos.rtd",,"VOLUME","."&amp;G$2&amp;G$1&amp;"C"&amp;$A36)*RTD("tos.rtd",,"GAMMA","."&amp;G$2&amp;G$1&amp;"C"&amp;$A36)-$A$4*$A$4*RTD("tos.rtd",,"VOLUME","."&amp;G$2&amp;G$1&amp;"P"&amp;$A36)*RTD("tos.rtd",,"GAMMA","."&amp;G$2&amp;G$1&amp;"P"&amp;$A36))/1000000,0),IF($A$2="GEX",IFERROR(($A$4*$A$4*RTD("tos.rtd",,"OPEN_INT","."&amp;G$2&amp;G$1&amp;"C"&amp;$A36)*RTD("tos.rtd",,"GAMMA","."&amp;G$2&amp;G$1&amp;"C"&amp;$A36)-$A$4*$A$4*RTD("tos.rtd",,"OPEN_INT","."&amp;G$2&amp;G$1&amp;"P"&amp;$A36)*RTD("tos.rtd",,"GAMMA","."&amp;G$2&amp;G$1&amp;"P"&amp;$A36))/1000000,0),IF($A$2="SKEW",IFERROR(VALUE(IF(RTD("tos.rtd",,"IMPL_VOL","."&amp;G$2&amp;G$1&amp;"P"&amp;$A36)="N/A",0,RTD("tos.rtd",,"IMPL_VOL","."&amp;G$2&amp;G$1&amp;"P"&amp;$A36))),0)-IFERROR(VALUE(IF(RTD("tos.rtd",,"IMPL_VOL","."&amp;G$2&amp;G$1&amp;"C"&amp;$A36)="N/A",0,RTD("tos.rtd",,"IMPL_VOL","."&amp;G$2&amp;G$1&amp;"C"&amp;$A36))),0),IF($A$2="MAXPAIN",IF($A$4&gt;$A36,($A$4-$A36)*IF(RTD("tos.rtd",,"OPEN_INT","."&amp;G$2&amp;G$1&amp;"C"&amp;$A36)="N/A",0,RTD("tos.rtd",,"OPEN_INT","."&amp;G$2&amp;G$1&amp;"C"&amp;$A36)),0)+IF($A$4&lt;$A36,($A36-$A$4)*IF(RTD("tos.rtd",,"OPEN_INT","."&amp;G$2&amp;G$1&amp;"P"&amp;$A36)="N/A",0,RTD("tos.rtd",,"OPEN_INT","."&amp;G$2&amp;G$1&amp;"P"&amp;$A36)),0),IF(RTD("tos.rtd",,$A$2,"."&amp;G$2&amp;G$1&amp;"C"&amp;$A36)="N/A",0,RTD("tos.rtd",,$A$2,"."&amp;G$2&amp;G$1&amp;"C"&amp;$A36))-IF(RTD("tos.rtd",,$A$2,"."&amp;G$2&amp;G$1&amp;"P"&amp;$A36)="N/A",0,RTD("tos.rtd",,$A$2,"."&amp;G$2&amp;G$1&amp;"P"&amp;$A36)))))))))</f>
        <v>0</v>
      </c>
      <c r="H36" s="12">
        <f>IF($A$2="PREMIUM_OI",IFERROR((100*RTD("tos.rtd",,"OPEN_INT","."&amp;H$2&amp;H$1&amp;"C"&amp;$A36)*RTD("tos.rtd",,"LAST","."&amp;H$2&amp;H$1&amp;"C"&amp;$A36)-100*RTD("tos.rtd",,"OPEN_INT","."&amp;H$2&amp;H$1&amp;"P"&amp;$A36)*RTD("tos.rtd",,"LAST","."&amp;H$2&amp;H$1&amp;"P"&amp;$A36))/1000000,0),IF($A$2="PREMIUM",IFERROR((100*RTD("tos.rtd",,"VOLUME","."&amp;H$2&amp;H$1&amp;"C"&amp;$A36)*RTD("tos.rtd",,"LAST","."&amp;H$2&amp;H$1&amp;"C"&amp;$A36)-100*RTD("tos.rtd",,"VOLUME","."&amp;H$2&amp;H$1&amp;"P"&amp;$A36)*RTD("tos.rtd",,"LAST","."&amp;H$2&amp;H$1&amp;"P"&amp;$A36))/1000000,0),IF($A$2="DEX",IFERROR((100*RTD("tos.rtd",,"OPEN_INT","."&amp;H$2&amp;H$1&amp;"C"&amp;$A36)*RTD("tos.rtd",,"DELTA","."&amp;H$2&amp;H$1&amp;"C"&amp;$A36)-100*RTD("tos.rtd",,"OPEN_INT","."&amp;H$2&amp;H$1&amp;"P"&amp;$A36)*RTD("tos.rtd",,"DELTA","."&amp;H$2&amp;H$1&amp;"P"&amp;$A36))/1000,0),IF($A$2="VEX",IFERROR(($A$4*$A$4*RTD("tos.rtd",,"VOLUME","."&amp;H$2&amp;H$1&amp;"C"&amp;$A36)*RTD("tos.rtd",,"GAMMA","."&amp;H$2&amp;H$1&amp;"C"&amp;$A36)-$A$4*$A$4*RTD("tos.rtd",,"VOLUME","."&amp;H$2&amp;H$1&amp;"P"&amp;$A36)*RTD("tos.rtd",,"GAMMA","."&amp;H$2&amp;H$1&amp;"P"&amp;$A36))/1000000,0),IF($A$2="GEX",IFERROR(($A$4*$A$4*RTD("tos.rtd",,"OPEN_INT","."&amp;H$2&amp;H$1&amp;"C"&amp;$A36)*RTD("tos.rtd",,"GAMMA","."&amp;H$2&amp;H$1&amp;"C"&amp;$A36)-$A$4*$A$4*RTD("tos.rtd",,"OPEN_INT","."&amp;H$2&amp;H$1&amp;"P"&amp;$A36)*RTD("tos.rtd",,"GAMMA","."&amp;H$2&amp;H$1&amp;"P"&amp;$A36))/1000000,0),IF($A$2="SKEW",IFERROR(VALUE(IF(RTD("tos.rtd",,"IMPL_VOL","."&amp;H$2&amp;H$1&amp;"P"&amp;$A36)="N/A",0,RTD("tos.rtd",,"IMPL_VOL","."&amp;H$2&amp;H$1&amp;"P"&amp;$A36))),0)-IFERROR(VALUE(IF(RTD("tos.rtd",,"IMPL_VOL","."&amp;H$2&amp;H$1&amp;"C"&amp;$A36)="N/A",0,RTD("tos.rtd",,"IMPL_VOL","."&amp;H$2&amp;H$1&amp;"C"&amp;$A36))),0),IF($A$2="MAXPAIN",IF($A$4&gt;$A36,($A$4-$A36)*IF(RTD("tos.rtd",,"OPEN_INT","."&amp;H$2&amp;H$1&amp;"C"&amp;$A36)="N/A",0,RTD("tos.rtd",,"OPEN_INT","."&amp;H$2&amp;H$1&amp;"C"&amp;$A36)),0)+IF($A$4&lt;$A36,($A36-$A$4)*IF(RTD("tos.rtd",,"OPEN_INT","."&amp;H$2&amp;H$1&amp;"P"&amp;$A36)="N/A",0,RTD("tos.rtd",,"OPEN_INT","."&amp;H$2&amp;H$1&amp;"P"&amp;$A36)),0),IF(RTD("tos.rtd",,$A$2,"."&amp;H$2&amp;H$1&amp;"C"&amp;$A36)="N/A",0,RTD("tos.rtd",,$A$2,"."&amp;H$2&amp;H$1&amp;"C"&amp;$A36))-IF(RTD("tos.rtd",,$A$2,"."&amp;H$2&amp;H$1&amp;"P"&amp;$A36)="N/A",0,RTD("tos.rtd",,$A$2,"."&amp;H$2&amp;H$1&amp;"P"&amp;$A36)))))))))</f>
        <v>-28019</v>
      </c>
      <c r="I36" s="12">
        <f>IF($A$2="PREMIUM_OI",IFERROR((100*RTD("tos.rtd",,"OPEN_INT","."&amp;I$2&amp;I$1&amp;"C"&amp;$A36)*RTD("tos.rtd",,"LAST","."&amp;I$2&amp;I$1&amp;"C"&amp;$A36)-100*RTD("tos.rtd",,"OPEN_INT","."&amp;I$2&amp;I$1&amp;"P"&amp;$A36)*RTD("tos.rtd",,"LAST","."&amp;I$2&amp;I$1&amp;"P"&amp;$A36))/1000000,0),IF($A$2="PREMIUM",IFERROR((100*RTD("tos.rtd",,"VOLUME","."&amp;I$2&amp;I$1&amp;"C"&amp;$A36)*RTD("tos.rtd",,"LAST","."&amp;I$2&amp;I$1&amp;"C"&amp;$A36)-100*RTD("tos.rtd",,"VOLUME","."&amp;I$2&amp;I$1&amp;"P"&amp;$A36)*RTD("tos.rtd",,"LAST","."&amp;I$2&amp;I$1&amp;"P"&amp;$A36))/1000000,0),IF($A$2="DEX",IFERROR((100*RTD("tos.rtd",,"OPEN_INT","."&amp;I$2&amp;I$1&amp;"C"&amp;$A36)*RTD("tos.rtd",,"DELTA","."&amp;I$2&amp;I$1&amp;"C"&amp;$A36)-100*RTD("tos.rtd",,"OPEN_INT","."&amp;I$2&amp;I$1&amp;"P"&amp;$A36)*RTD("tos.rtd",,"DELTA","."&amp;I$2&amp;I$1&amp;"P"&amp;$A36))/1000,0),IF($A$2="VEX",IFERROR(($A$4*$A$4*RTD("tos.rtd",,"VOLUME","."&amp;I$2&amp;I$1&amp;"C"&amp;$A36)*RTD("tos.rtd",,"GAMMA","."&amp;I$2&amp;I$1&amp;"C"&amp;$A36)-$A$4*$A$4*RTD("tos.rtd",,"VOLUME","."&amp;I$2&amp;I$1&amp;"P"&amp;$A36)*RTD("tos.rtd",,"GAMMA","."&amp;I$2&amp;I$1&amp;"P"&amp;$A36))/1000000,0),IF($A$2="GEX",IFERROR(($A$4*$A$4*RTD("tos.rtd",,"OPEN_INT","."&amp;I$2&amp;I$1&amp;"C"&amp;$A36)*RTD("tos.rtd",,"GAMMA","."&amp;I$2&amp;I$1&amp;"C"&amp;$A36)-$A$4*$A$4*RTD("tos.rtd",,"OPEN_INT","."&amp;I$2&amp;I$1&amp;"P"&amp;$A36)*RTD("tos.rtd",,"GAMMA","."&amp;I$2&amp;I$1&amp;"P"&amp;$A36))/1000000,0),IF($A$2="SKEW",IFERROR(VALUE(IF(RTD("tos.rtd",,"IMPL_VOL","."&amp;I$2&amp;I$1&amp;"P"&amp;$A36)="N/A",0,RTD("tos.rtd",,"IMPL_VOL","."&amp;I$2&amp;I$1&amp;"P"&amp;$A36))),0)-IFERROR(VALUE(IF(RTD("tos.rtd",,"IMPL_VOL","."&amp;I$2&amp;I$1&amp;"C"&amp;$A36)="N/A",0,RTD("tos.rtd",,"IMPL_VOL","."&amp;I$2&amp;I$1&amp;"C"&amp;$A36))),0),IF($A$2="MAXPAIN",IF($A$4&gt;$A36,($A$4-$A36)*IF(RTD("tos.rtd",,"OPEN_INT","."&amp;I$2&amp;I$1&amp;"C"&amp;$A36)="N/A",0,RTD("tos.rtd",,"OPEN_INT","."&amp;I$2&amp;I$1&amp;"C"&amp;$A36)),0)+IF($A$4&lt;$A36,($A36-$A$4)*IF(RTD("tos.rtd",,"OPEN_INT","."&amp;I$2&amp;I$1&amp;"P"&amp;$A36)="N/A",0,RTD("tos.rtd",,"OPEN_INT","."&amp;I$2&amp;I$1&amp;"P"&amp;$A36)),0),IF(RTD("tos.rtd",,$A$2,"."&amp;I$2&amp;I$1&amp;"C"&amp;$A36)="N/A",0,RTD("tos.rtd",,$A$2,"."&amp;I$2&amp;I$1&amp;"C"&amp;$A36))-IF(RTD("tos.rtd",,$A$2,"."&amp;I$2&amp;I$1&amp;"P"&amp;$A36)="N/A",0,RTD("tos.rtd",,$A$2,"."&amp;I$2&amp;I$1&amp;"P"&amp;$A36)))))))))</f>
        <v>0</v>
      </c>
      <c r="J36" s="12">
        <f>IF($A$2="PREMIUM_OI",IFERROR((100*RTD("tos.rtd",,"OPEN_INT","."&amp;J$2&amp;J$1&amp;"C"&amp;$A36)*RTD("tos.rtd",,"LAST","."&amp;J$2&amp;J$1&amp;"C"&amp;$A36)-100*RTD("tos.rtd",,"OPEN_INT","."&amp;J$2&amp;J$1&amp;"P"&amp;$A36)*RTD("tos.rtd",,"LAST","."&amp;J$2&amp;J$1&amp;"P"&amp;$A36))/1000000,0),IF($A$2="PREMIUM",IFERROR((100*RTD("tos.rtd",,"VOLUME","."&amp;J$2&amp;J$1&amp;"C"&amp;$A36)*RTD("tos.rtd",,"LAST","."&amp;J$2&amp;J$1&amp;"C"&amp;$A36)-100*RTD("tos.rtd",,"VOLUME","."&amp;J$2&amp;J$1&amp;"P"&amp;$A36)*RTD("tos.rtd",,"LAST","."&amp;J$2&amp;J$1&amp;"P"&amp;$A36))/1000000,0),IF($A$2="DEX",IFERROR((100*RTD("tos.rtd",,"OPEN_INT","."&amp;J$2&amp;J$1&amp;"C"&amp;$A36)*RTD("tos.rtd",,"DELTA","."&amp;J$2&amp;J$1&amp;"C"&amp;$A36)-100*RTD("tos.rtd",,"OPEN_INT","."&amp;J$2&amp;J$1&amp;"P"&amp;$A36)*RTD("tos.rtd",,"DELTA","."&amp;J$2&amp;J$1&amp;"P"&amp;$A36))/1000,0),IF($A$2="VEX",IFERROR(($A$4*$A$4*RTD("tos.rtd",,"VOLUME","."&amp;J$2&amp;J$1&amp;"C"&amp;$A36)*RTD("tos.rtd",,"GAMMA","."&amp;J$2&amp;J$1&amp;"C"&amp;$A36)-$A$4*$A$4*RTD("tos.rtd",,"VOLUME","."&amp;J$2&amp;J$1&amp;"P"&amp;$A36)*RTD("tos.rtd",,"GAMMA","."&amp;J$2&amp;J$1&amp;"P"&amp;$A36))/1000000,0),IF($A$2="GEX",IFERROR(($A$4*$A$4*RTD("tos.rtd",,"OPEN_INT","."&amp;J$2&amp;J$1&amp;"C"&amp;$A36)*RTD("tos.rtd",,"GAMMA","."&amp;J$2&amp;J$1&amp;"C"&amp;$A36)-$A$4*$A$4*RTD("tos.rtd",,"OPEN_INT","."&amp;J$2&amp;J$1&amp;"P"&amp;$A36)*RTD("tos.rtd",,"GAMMA","."&amp;J$2&amp;J$1&amp;"P"&amp;$A36))/1000000,0),IF($A$2="SKEW",IFERROR(VALUE(IF(RTD("tos.rtd",,"IMPL_VOL","."&amp;J$2&amp;J$1&amp;"P"&amp;$A36)="N/A",0,RTD("tos.rtd",,"IMPL_VOL","."&amp;J$2&amp;J$1&amp;"P"&amp;$A36))),0)-IFERROR(VALUE(IF(RTD("tos.rtd",,"IMPL_VOL","."&amp;J$2&amp;J$1&amp;"C"&amp;$A36)="N/A",0,RTD("tos.rtd",,"IMPL_VOL","."&amp;J$2&amp;J$1&amp;"C"&amp;$A36))),0),IF($A$2="MAXPAIN",IF($A$4&gt;$A36,($A$4-$A36)*IF(RTD("tos.rtd",,"OPEN_INT","."&amp;J$2&amp;J$1&amp;"C"&amp;$A36)="N/A",0,RTD("tos.rtd",,"OPEN_INT","."&amp;J$2&amp;J$1&amp;"C"&amp;$A36)),0)+IF($A$4&lt;$A36,($A36-$A$4)*IF(RTD("tos.rtd",,"OPEN_INT","."&amp;J$2&amp;J$1&amp;"P"&amp;$A36)="N/A",0,RTD("tos.rtd",,"OPEN_INT","."&amp;J$2&amp;J$1&amp;"P"&amp;$A36)),0),IF(RTD("tos.rtd",,$A$2,"."&amp;J$2&amp;J$1&amp;"C"&amp;$A36)="N/A",0,RTD("tos.rtd",,$A$2,"."&amp;J$2&amp;J$1&amp;"C"&amp;$A36))-IF(RTD("tos.rtd",,$A$2,"."&amp;J$2&amp;J$1&amp;"P"&amp;$A36)="N/A",0,RTD("tos.rtd",,$A$2,"."&amp;J$2&amp;J$1&amp;"P"&amp;$A36)))))))))</f>
        <v>0</v>
      </c>
      <c r="K36" s="12">
        <f>IF($A$2="PREMIUM_OI",IFERROR((100*RTD("tos.rtd",,"OPEN_INT","."&amp;K$2&amp;K$1&amp;"C"&amp;$A36)*RTD("tos.rtd",,"LAST","."&amp;K$2&amp;K$1&amp;"C"&amp;$A36)-100*RTD("tos.rtd",,"OPEN_INT","."&amp;K$2&amp;K$1&amp;"P"&amp;$A36)*RTD("tos.rtd",,"LAST","."&amp;K$2&amp;K$1&amp;"P"&amp;$A36))/1000000,0),IF($A$2="PREMIUM",IFERROR((100*RTD("tos.rtd",,"VOLUME","."&amp;K$2&amp;K$1&amp;"C"&amp;$A36)*RTD("tos.rtd",,"LAST","."&amp;K$2&amp;K$1&amp;"C"&amp;$A36)-100*RTD("tos.rtd",,"VOLUME","."&amp;K$2&amp;K$1&amp;"P"&amp;$A36)*RTD("tos.rtd",,"LAST","."&amp;K$2&amp;K$1&amp;"P"&amp;$A36))/1000000,0),IF($A$2="DEX",IFERROR((100*RTD("tos.rtd",,"OPEN_INT","."&amp;K$2&amp;K$1&amp;"C"&amp;$A36)*RTD("tos.rtd",,"DELTA","."&amp;K$2&amp;K$1&amp;"C"&amp;$A36)-100*RTD("tos.rtd",,"OPEN_INT","."&amp;K$2&amp;K$1&amp;"P"&amp;$A36)*RTD("tos.rtd",,"DELTA","."&amp;K$2&amp;K$1&amp;"P"&amp;$A36))/1000,0),IF($A$2="VEX",IFERROR(($A$4*$A$4*RTD("tos.rtd",,"VOLUME","."&amp;K$2&amp;K$1&amp;"C"&amp;$A36)*RTD("tos.rtd",,"GAMMA","."&amp;K$2&amp;K$1&amp;"C"&amp;$A36)-$A$4*$A$4*RTD("tos.rtd",,"VOLUME","."&amp;K$2&amp;K$1&amp;"P"&amp;$A36)*RTD("tos.rtd",,"GAMMA","."&amp;K$2&amp;K$1&amp;"P"&amp;$A36))/1000000,0),IF($A$2="GEX",IFERROR(($A$4*$A$4*RTD("tos.rtd",,"OPEN_INT","."&amp;K$2&amp;K$1&amp;"C"&amp;$A36)*RTD("tos.rtd",,"GAMMA","."&amp;K$2&amp;K$1&amp;"C"&amp;$A36)-$A$4*$A$4*RTD("tos.rtd",,"OPEN_INT","."&amp;K$2&amp;K$1&amp;"P"&amp;$A36)*RTD("tos.rtd",,"GAMMA","."&amp;K$2&amp;K$1&amp;"P"&amp;$A36))/1000000,0),IF($A$2="SKEW",IFERROR(VALUE(IF(RTD("tos.rtd",,"IMPL_VOL","."&amp;K$2&amp;K$1&amp;"P"&amp;$A36)="N/A",0,RTD("tos.rtd",,"IMPL_VOL","."&amp;K$2&amp;K$1&amp;"P"&amp;$A36))),0)-IFERROR(VALUE(IF(RTD("tos.rtd",,"IMPL_VOL","."&amp;K$2&amp;K$1&amp;"C"&amp;$A36)="N/A",0,RTD("tos.rtd",,"IMPL_VOL","."&amp;K$2&amp;K$1&amp;"C"&amp;$A36))),0),IF($A$2="MAXPAIN",IF($A$4&gt;$A36,($A$4-$A36)*IF(RTD("tos.rtd",,"OPEN_INT","."&amp;K$2&amp;K$1&amp;"C"&amp;$A36)="N/A",0,RTD("tos.rtd",,"OPEN_INT","."&amp;K$2&amp;K$1&amp;"C"&amp;$A36)),0)+IF($A$4&lt;$A36,($A36-$A$4)*IF(RTD("tos.rtd",,"OPEN_INT","."&amp;K$2&amp;K$1&amp;"P"&amp;$A36)="N/A",0,RTD("tos.rtd",,"OPEN_INT","."&amp;K$2&amp;K$1&amp;"P"&amp;$A36)),0),IF(RTD("tos.rtd",,$A$2,"."&amp;K$2&amp;K$1&amp;"C"&amp;$A36)="N/A",0,RTD("tos.rtd",,$A$2,"."&amp;K$2&amp;K$1&amp;"C"&amp;$A36))-IF(RTD("tos.rtd",,$A$2,"."&amp;K$2&amp;K$1&amp;"P"&amp;$A36)="N/A",0,RTD("tos.rtd",,$A$2,"."&amp;K$2&amp;K$1&amp;"P"&amp;$A36)))))))))</f>
        <v>0</v>
      </c>
      <c r="L36" s="12">
        <f>IF($A$2="PREMIUM_OI",IFERROR((100*RTD("tos.rtd",,"OPEN_INT","."&amp;L$2&amp;L$1&amp;"C"&amp;$A36)*RTD("tos.rtd",,"LAST","."&amp;L$2&amp;L$1&amp;"C"&amp;$A36)-100*RTD("tos.rtd",,"OPEN_INT","."&amp;L$2&amp;L$1&amp;"P"&amp;$A36)*RTD("tos.rtd",,"LAST","."&amp;L$2&amp;L$1&amp;"P"&amp;$A36))/1000000,0),IF($A$2="PREMIUM",IFERROR((100*RTD("tos.rtd",,"VOLUME","."&amp;L$2&amp;L$1&amp;"C"&amp;$A36)*RTD("tos.rtd",,"LAST","."&amp;L$2&amp;L$1&amp;"C"&amp;$A36)-100*RTD("tos.rtd",,"VOLUME","."&amp;L$2&amp;L$1&amp;"P"&amp;$A36)*RTD("tos.rtd",,"LAST","."&amp;L$2&amp;L$1&amp;"P"&amp;$A36))/1000000,0),IF($A$2="DEX",IFERROR((100*RTD("tos.rtd",,"OPEN_INT","."&amp;L$2&amp;L$1&amp;"C"&amp;$A36)*RTD("tos.rtd",,"DELTA","."&amp;L$2&amp;L$1&amp;"C"&amp;$A36)-100*RTD("tos.rtd",,"OPEN_INT","."&amp;L$2&amp;L$1&amp;"P"&amp;$A36)*RTD("tos.rtd",,"DELTA","."&amp;L$2&amp;L$1&amp;"P"&amp;$A36))/1000,0),IF($A$2="VEX",IFERROR(($A$4*$A$4*RTD("tos.rtd",,"VOLUME","."&amp;L$2&amp;L$1&amp;"C"&amp;$A36)*RTD("tos.rtd",,"GAMMA","."&amp;L$2&amp;L$1&amp;"C"&amp;$A36)-$A$4*$A$4*RTD("tos.rtd",,"VOLUME","."&amp;L$2&amp;L$1&amp;"P"&amp;$A36)*RTD("tos.rtd",,"GAMMA","."&amp;L$2&amp;L$1&amp;"P"&amp;$A36))/1000000,0),IF($A$2="GEX",IFERROR(($A$4*$A$4*RTD("tos.rtd",,"OPEN_INT","."&amp;L$2&amp;L$1&amp;"C"&amp;$A36)*RTD("tos.rtd",,"GAMMA","."&amp;L$2&amp;L$1&amp;"C"&amp;$A36)-$A$4*$A$4*RTD("tos.rtd",,"OPEN_INT","."&amp;L$2&amp;L$1&amp;"P"&amp;$A36)*RTD("tos.rtd",,"GAMMA","."&amp;L$2&amp;L$1&amp;"P"&amp;$A36))/1000000,0),IF($A$2="SKEW",IFERROR(VALUE(IF(RTD("tos.rtd",,"IMPL_VOL","."&amp;L$2&amp;L$1&amp;"P"&amp;$A36)="N/A",0,RTD("tos.rtd",,"IMPL_VOL","."&amp;L$2&amp;L$1&amp;"P"&amp;$A36))),0)-IFERROR(VALUE(IF(RTD("tos.rtd",,"IMPL_VOL","."&amp;L$2&amp;L$1&amp;"C"&amp;$A36)="N/A",0,RTD("tos.rtd",,"IMPL_VOL","."&amp;L$2&amp;L$1&amp;"C"&amp;$A36))),0),IF($A$2="MAXPAIN",IF($A$4&gt;$A36,($A$4-$A36)*IF(RTD("tos.rtd",,"OPEN_INT","."&amp;L$2&amp;L$1&amp;"C"&amp;$A36)="N/A",0,RTD("tos.rtd",,"OPEN_INT","."&amp;L$2&amp;L$1&amp;"C"&amp;$A36)),0)+IF($A$4&lt;$A36,($A36-$A$4)*IF(RTD("tos.rtd",,"OPEN_INT","."&amp;L$2&amp;L$1&amp;"P"&amp;$A36)="N/A",0,RTD("tos.rtd",,"OPEN_INT","."&amp;L$2&amp;L$1&amp;"P"&amp;$A36)),0),IF(RTD("tos.rtd",,$A$2,"."&amp;L$2&amp;L$1&amp;"C"&amp;$A36)="N/A",0,RTD("tos.rtd",,$A$2,"."&amp;L$2&amp;L$1&amp;"C"&amp;$A36))-IF(RTD("tos.rtd",,$A$2,"."&amp;L$2&amp;L$1&amp;"P"&amp;$A36)="N/A",0,RTD("tos.rtd",,$A$2,"."&amp;L$2&amp;L$1&amp;"P"&amp;$A36)))))))))</f>
        <v>0</v>
      </c>
      <c r="M36" s="12">
        <f>IF($A$2="PREMIUM_OI",IFERROR((100*RTD("tos.rtd",,"OPEN_INT","."&amp;M$2&amp;M$1&amp;"C"&amp;$A36)*RTD("tos.rtd",,"LAST","."&amp;M$2&amp;M$1&amp;"C"&amp;$A36)-100*RTD("tos.rtd",,"OPEN_INT","."&amp;M$2&amp;M$1&amp;"P"&amp;$A36)*RTD("tos.rtd",,"LAST","."&amp;M$2&amp;M$1&amp;"P"&amp;$A36))/1000000,0),IF($A$2="PREMIUM",IFERROR((100*RTD("tos.rtd",,"VOLUME","."&amp;M$2&amp;M$1&amp;"C"&amp;$A36)*RTD("tos.rtd",,"LAST","."&amp;M$2&amp;M$1&amp;"C"&amp;$A36)-100*RTD("tos.rtd",,"VOLUME","."&amp;M$2&amp;M$1&amp;"P"&amp;$A36)*RTD("tos.rtd",,"LAST","."&amp;M$2&amp;M$1&amp;"P"&amp;$A36))/1000000,0),IF($A$2="DEX",IFERROR((100*RTD("tos.rtd",,"OPEN_INT","."&amp;M$2&amp;M$1&amp;"C"&amp;$A36)*RTD("tos.rtd",,"DELTA","."&amp;M$2&amp;M$1&amp;"C"&amp;$A36)-100*RTD("tos.rtd",,"OPEN_INT","."&amp;M$2&amp;M$1&amp;"P"&amp;$A36)*RTD("tos.rtd",,"DELTA","."&amp;M$2&amp;M$1&amp;"P"&amp;$A36))/1000,0),IF($A$2="VEX",IFERROR(($A$4*$A$4*RTD("tos.rtd",,"VOLUME","."&amp;M$2&amp;M$1&amp;"C"&amp;$A36)*RTD("tos.rtd",,"GAMMA","."&amp;M$2&amp;M$1&amp;"C"&amp;$A36)-$A$4*$A$4*RTD("tos.rtd",,"VOLUME","."&amp;M$2&amp;M$1&amp;"P"&amp;$A36)*RTD("tos.rtd",,"GAMMA","."&amp;M$2&amp;M$1&amp;"P"&amp;$A36))/1000000,0),IF($A$2="GEX",IFERROR(($A$4*$A$4*RTD("tos.rtd",,"OPEN_INT","."&amp;M$2&amp;M$1&amp;"C"&amp;$A36)*RTD("tos.rtd",,"GAMMA","."&amp;M$2&amp;M$1&amp;"C"&amp;$A36)-$A$4*$A$4*RTD("tos.rtd",,"OPEN_INT","."&amp;M$2&amp;M$1&amp;"P"&amp;$A36)*RTD("tos.rtd",,"GAMMA","."&amp;M$2&amp;M$1&amp;"P"&amp;$A36))/1000000,0),IF($A$2="SKEW",IFERROR(VALUE(IF(RTD("tos.rtd",,"IMPL_VOL","."&amp;M$2&amp;M$1&amp;"P"&amp;$A36)="N/A",0,RTD("tos.rtd",,"IMPL_VOL","."&amp;M$2&amp;M$1&amp;"P"&amp;$A36))),0)-IFERROR(VALUE(IF(RTD("tos.rtd",,"IMPL_VOL","."&amp;M$2&amp;M$1&amp;"C"&amp;$A36)="N/A",0,RTD("tos.rtd",,"IMPL_VOL","."&amp;M$2&amp;M$1&amp;"C"&amp;$A36))),0),IF($A$2="MAXPAIN",IF($A$4&gt;$A36,($A$4-$A36)*IF(RTD("tos.rtd",,"OPEN_INT","."&amp;M$2&amp;M$1&amp;"C"&amp;$A36)="N/A",0,RTD("tos.rtd",,"OPEN_INT","."&amp;M$2&amp;M$1&amp;"C"&amp;$A36)),0)+IF($A$4&lt;$A36,($A36-$A$4)*IF(RTD("tos.rtd",,"OPEN_INT","."&amp;M$2&amp;M$1&amp;"P"&amp;$A36)="N/A",0,RTD("tos.rtd",,"OPEN_INT","."&amp;M$2&amp;M$1&amp;"P"&amp;$A36)),0),IF(RTD("tos.rtd",,$A$2,"."&amp;M$2&amp;M$1&amp;"C"&amp;$A36)="N/A",0,RTD("tos.rtd",,$A$2,"."&amp;M$2&amp;M$1&amp;"C"&amp;$A36))-IF(RTD("tos.rtd",,$A$2,"."&amp;M$2&amp;M$1&amp;"P"&amp;$A36)="N/A",0,RTD("tos.rtd",,$A$2,"."&amp;M$2&amp;M$1&amp;"P"&amp;$A36)))))))))</f>
        <v>-835</v>
      </c>
      <c r="N36" s="12">
        <f>IF($A$2="PREMIUM_OI",IFERROR((100*RTD("tos.rtd",,"OPEN_INT","."&amp;N$2&amp;N$1&amp;"C"&amp;$A36)*RTD("tos.rtd",,"LAST","."&amp;N$2&amp;N$1&amp;"C"&amp;$A36)-100*RTD("tos.rtd",,"OPEN_INT","."&amp;N$2&amp;N$1&amp;"P"&amp;$A36)*RTD("tos.rtd",,"LAST","."&amp;N$2&amp;N$1&amp;"P"&amp;$A36))/1000000,0),IF($A$2="PREMIUM",IFERROR((100*RTD("tos.rtd",,"VOLUME","."&amp;N$2&amp;N$1&amp;"C"&amp;$A36)*RTD("tos.rtd",,"LAST","."&amp;N$2&amp;N$1&amp;"C"&amp;$A36)-100*RTD("tos.rtd",,"VOLUME","."&amp;N$2&amp;N$1&amp;"P"&amp;$A36)*RTD("tos.rtd",,"LAST","."&amp;N$2&amp;N$1&amp;"P"&amp;$A36))/1000000,0),IF($A$2="DEX",IFERROR((100*RTD("tos.rtd",,"OPEN_INT","."&amp;N$2&amp;N$1&amp;"C"&amp;$A36)*RTD("tos.rtd",,"DELTA","."&amp;N$2&amp;N$1&amp;"C"&amp;$A36)-100*RTD("tos.rtd",,"OPEN_INT","."&amp;N$2&amp;N$1&amp;"P"&amp;$A36)*RTD("tos.rtd",,"DELTA","."&amp;N$2&amp;N$1&amp;"P"&amp;$A36))/1000,0),IF($A$2="VEX",IFERROR(($A$4*$A$4*RTD("tos.rtd",,"VOLUME","."&amp;N$2&amp;N$1&amp;"C"&amp;$A36)*RTD("tos.rtd",,"GAMMA","."&amp;N$2&amp;N$1&amp;"C"&amp;$A36)-$A$4*$A$4*RTD("tos.rtd",,"VOLUME","."&amp;N$2&amp;N$1&amp;"P"&amp;$A36)*RTD("tos.rtd",,"GAMMA","."&amp;N$2&amp;N$1&amp;"P"&amp;$A36))/1000000,0),IF($A$2="GEX",IFERROR(($A$4*$A$4*RTD("tos.rtd",,"OPEN_INT","."&amp;N$2&amp;N$1&amp;"C"&amp;$A36)*RTD("tos.rtd",,"GAMMA","."&amp;N$2&amp;N$1&amp;"C"&amp;$A36)-$A$4*$A$4*RTD("tos.rtd",,"OPEN_INT","."&amp;N$2&amp;N$1&amp;"P"&amp;$A36)*RTD("tos.rtd",,"GAMMA","."&amp;N$2&amp;N$1&amp;"P"&amp;$A36))/1000000,0),IF($A$2="SKEW",IFERROR(VALUE(IF(RTD("tos.rtd",,"IMPL_VOL","."&amp;N$2&amp;N$1&amp;"P"&amp;$A36)="N/A",0,RTD("tos.rtd",,"IMPL_VOL","."&amp;N$2&amp;N$1&amp;"P"&amp;$A36))),0)-IFERROR(VALUE(IF(RTD("tos.rtd",,"IMPL_VOL","."&amp;N$2&amp;N$1&amp;"C"&amp;$A36)="N/A",0,RTD("tos.rtd",,"IMPL_VOL","."&amp;N$2&amp;N$1&amp;"C"&amp;$A36))),0),IF($A$2="MAXPAIN",IF($A$4&gt;$A36,($A$4-$A36)*IF(RTD("tos.rtd",,"OPEN_INT","."&amp;N$2&amp;N$1&amp;"C"&amp;$A36)="N/A",0,RTD("tos.rtd",,"OPEN_INT","."&amp;N$2&amp;N$1&amp;"C"&amp;$A36)),0)+IF($A$4&lt;$A36,($A36-$A$4)*IF(RTD("tos.rtd",,"OPEN_INT","."&amp;N$2&amp;N$1&amp;"P"&amp;$A36)="N/A",0,RTD("tos.rtd",,"OPEN_INT","."&amp;N$2&amp;N$1&amp;"P"&amp;$A36)),0),IF(RTD("tos.rtd",,$A$2,"."&amp;N$2&amp;N$1&amp;"C"&amp;$A36)="N/A",0,RTD("tos.rtd",,$A$2,"."&amp;N$2&amp;N$1&amp;"C"&amp;$A36))-IF(RTD("tos.rtd",,$A$2,"."&amp;N$2&amp;N$1&amp;"P"&amp;$A36)="N/A",0,RTD("tos.rtd",,$A$2,"."&amp;N$2&amp;N$1&amp;"P"&amp;$A36)))))))))</f>
        <v>0</v>
      </c>
      <c r="O36" s="12">
        <f>IF($A$2="PREMIUM_OI",IFERROR((100*RTD("tos.rtd",,"OPEN_INT","."&amp;O$2&amp;O$1&amp;"C"&amp;$A36)*RTD("tos.rtd",,"LAST","."&amp;O$2&amp;O$1&amp;"C"&amp;$A36)-100*RTD("tos.rtd",,"OPEN_INT","."&amp;O$2&amp;O$1&amp;"P"&amp;$A36)*RTD("tos.rtd",,"LAST","."&amp;O$2&amp;O$1&amp;"P"&amp;$A36))/1000000,0),IF($A$2="PREMIUM",IFERROR((100*RTD("tos.rtd",,"VOLUME","."&amp;O$2&amp;O$1&amp;"C"&amp;$A36)*RTD("tos.rtd",,"LAST","."&amp;O$2&amp;O$1&amp;"C"&amp;$A36)-100*RTD("tos.rtd",,"VOLUME","."&amp;O$2&amp;O$1&amp;"P"&amp;$A36)*RTD("tos.rtd",,"LAST","."&amp;O$2&amp;O$1&amp;"P"&amp;$A36))/1000000,0),IF($A$2="DEX",IFERROR((100*RTD("tos.rtd",,"OPEN_INT","."&amp;O$2&amp;O$1&amp;"C"&amp;$A36)*RTD("tos.rtd",,"DELTA","."&amp;O$2&amp;O$1&amp;"C"&amp;$A36)-100*RTD("tos.rtd",,"OPEN_INT","."&amp;O$2&amp;O$1&amp;"P"&amp;$A36)*RTD("tos.rtd",,"DELTA","."&amp;O$2&amp;O$1&amp;"P"&amp;$A36))/1000,0),IF($A$2="VEX",IFERROR(($A$4*$A$4*RTD("tos.rtd",,"VOLUME","."&amp;O$2&amp;O$1&amp;"C"&amp;$A36)*RTD("tos.rtd",,"GAMMA","."&amp;O$2&amp;O$1&amp;"C"&amp;$A36)-$A$4*$A$4*RTD("tos.rtd",,"VOLUME","."&amp;O$2&amp;O$1&amp;"P"&amp;$A36)*RTD("tos.rtd",,"GAMMA","."&amp;O$2&amp;O$1&amp;"P"&amp;$A36))/1000000,0),IF($A$2="GEX",IFERROR(($A$4*$A$4*RTD("tos.rtd",,"OPEN_INT","."&amp;O$2&amp;O$1&amp;"C"&amp;$A36)*RTD("tos.rtd",,"GAMMA","."&amp;O$2&amp;O$1&amp;"C"&amp;$A36)-$A$4*$A$4*RTD("tos.rtd",,"OPEN_INT","."&amp;O$2&amp;O$1&amp;"P"&amp;$A36)*RTD("tos.rtd",,"GAMMA","."&amp;O$2&amp;O$1&amp;"P"&amp;$A36))/1000000,0),IF($A$2="SKEW",IFERROR(VALUE(IF(RTD("tos.rtd",,"IMPL_VOL","."&amp;O$2&amp;O$1&amp;"P"&amp;$A36)="N/A",0,RTD("tos.rtd",,"IMPL_VOL","."&amp;O$2&amp;O$1&amp;"P"&amp;$A36))),0)-IFERROR(VALUE(IF(RTD("tos.rtd",,"IMPL_VOL","."&amp;O$2&amp;O$1&amp;"C"&amp;$A36)="N/A",0,RTD("tos.rtd",,"IMPL_VOL","."&amp;O$2&amp;O$1&amp;"C"&amp;$A36))),0),IF($A$2="MAXPAIN",IF($A$4&gt;$A36,($A$4-$A36)*IF(RTD("tos.rtd",,"OPEN_INT","."&amp;O$2&amp;O$1&amp;"C"&amp;$A36)="N/A",0,RTD("tos.rtd",,"OPEN_INT","."&amp;O$2&amp;O$1&amp;"C"&amp;$A36)),0)+IF($A$4&lt;$A36,($A36-$A$4)*IF(RTD("tos.rtd",,"OPEN_INT","."&amp;O$2&amp;O$1&amp;"P"&amp;$A36)="N/A",0,RTD("tos.rtd",,"OPEN_INT","."&amp;O$2&amp;O$1&amp;"P"&amp;$A36)),0),IF(RTD("tos.rtd",,$A$2,"."&amp;O$2&amp;O$1&amp;"C"&amp;$A36)="N/A",0,RTD("tos.rtd",,$A$2,"."&amp;O$2&amp;O$1&amp;"C"&amp;$A36))-IF(RTD("tos.rtd",,$A$2,"."&amp;O$2&amp;O$1&amp;"P"&amp;$A36)="N/A",0,RTD("tos.rtd",,$A$2,"."&amp;O$2&amp;O$1&amp;"P"&amp;$A36)))))))))</f>
        <v>0</v>
      </c>
      <c r="P36" s="12">
        <f>IF($A$2="PREMIUM_OI",IFERROR((100*RTD("tos.rtd",,"OPEN_INT","."&amp;P$2&amp;P$1&amp;"C"&amp;$A36)*RTD("tos.rtd",,"LAST","."&amp;P$2&amp;P$1&amp;"C"&amp;$A36)-100*RTD("tos.rtd",,"OPEN_INT","."&amp;P$2&amp;P$1&amp;"P"&amp;$A36)*RTD("tos.rtd",,"LAST","."&amp;P$2&amp;P$1&amp;"P"&amp;$A36))/1000000,0),IF($A$2="PREMIUM",IFERROR((100*RTD("tos.rtd",,"VOLUME","."&amp;P$2&amp;P$1&amp;"C"&amp;$A36)*RTD("tos.rtd",,"LAST","."&amp;P$2&amp;P$1&amp;"C"&amp;$A36)-100*RTD("tos.rtd",,"VOLUME","."&amp;P$2&amp;P$1&amp;"P"&amp;$A36)*RTD("tos.rtd",,"LAST","."&amp;P$2&amp;P$1&amp;"P"&amp;$A36))/1000000,0),IF($A$2="DEX",IFERROR((100*RTD("tos.rtd",,"OPEN_INT","."&amp;P$2&amp;P$1&amp;"C"&amp;$A36)*RTD("tos.rtd",,"DELTA","."&amp;P$2&amp;P$1&amp;"C"&amp;$A36)-100*RTD("tos.rtd",,"OPEN_INT","."&amp;P$2&amp;P$1&amp;"P"&amp;$A36)*RTD("tos.rtd",,"DELTA","."&amp;P$2&amp;P$1&amp;"P"&amp;$A36))/1000,0),IF($A$2="VEX",IFERROR(($A$4*$A$4*RTD("tos.rtd",,"VOLUME","."&amp;P$2&amp;P$1&amp;"C"&amp;$A36)*RTD("tos.rtd",,"GAMMA","."&amp;P$2&amp;P$1&amp;"C"&amp;$A36)-$A$4*$A$4*RTD("tos.rtd",,"VOLUME","."&amp;P$2&amp;P$1&amp;"P"&amp;$A36)*RTD("tos.rtd",,"GAMMA","."&amp;P$2&amp;P$1&amp;"P"&amp;$A36))/1000000,0),IF($A$2="GEX",IFERROR(($A$4*$A$4*RTD("tos.rtd",,"OPEN_INT","."&amp;P$2&amp;P$1&amp;"C"&amp;$A36)*RTD("tos.rtd",,"GAMMA","."&amp;P$2&amp;P$1&amp;"C"&amp;$A36)-$A$4*$A$4*RTD("tos.rtd",,"OPEN_INT","."&amp;P$2&amp;P$1&amp;"P"&amp;$A36)*RTD("tos.rtd",,"GAMMA","."&amp;P$2&amp;P$1&amp;"P"&amp;$A36))/1000000,0),IF($A$2="SKEW",IFERROR(VALUE(IF(RTD("tos.rtd",,"IMPL_VOL","."&amp;P$2&amp;P$1&amp;"P"&amp;$A36)="N/A",0,RTD("tos.rtd",,"IMPL_VOL","."&amp;P$2&amp;P$1&amp;"P"&amp;$A36))),0)-IFERROR(VALUE(IF(RTD("tos.rtd",,"IMPL_VOL","."&amp;P$2&amp;P$1&amp;"C"&amp;$A36)="N/A",0,RTD("tos.rtd",,"IMPL_VOL","."&amp;P$2&amp;P$1&amp;"C"&amp;$A36))),0),IF($A$2="MAXPAIN",IF($A$4&gt;$A36,($A$4-$A36)*IF(RTD("tos.rtd",,"OPEN_INT","."&amp;P$2&amp;P$1&amp;"C"&amp;$A36)="N/A",0,RTD("tos.rtd",,"OPEN_INT","."&amp;P$2&amp;P$1&amp;"C"&amp;$A36)),0)+IF($A$4&lt;$A36,($A36-$A$4)*IF(RTD("tos.rtd",,"OPEN_INT","."&amp;P$2&amp;P$1&amp;"P"&amp;$A36)="N/A",0,RTD("tos.rtd",,"OPEN_INT","."&amp;P$2&amp;P$1&amp;"P"&amp;$A36)),0),IF(RTD("tos.rtd",,$A$2,"."&amp;P$2&amp;P$1&amp;"C"&amp;$A36)="N/A",0,RTD("tos.rtd",,$A$2,"."&amp;P$2&amp;P$1&amp;"C"&amp;$A36))-IF(RTD("tos.rtd",,$A$2,"."&amp;P$2&amp;P$1&amp;"P"&amp;$A36)="N/A",0,RTD("tos.rtd",,$A$2,"."&amp;P$2&amp;P$1&amp;"P"&amp;$A36)))))))))</f>
        <v>0</v>
      </c>
      <c r="Q36" s="12">
        <f>IF($A$2="PREMIUM_OI",IFERROR((100*RTD("tos.rtd",,"OPEN_INT","."&amp;Q$2&amp;Q$1&amp;"C"&amp;$A36)*RTD("tos.rtd",,"LAST","."&amp;Q$2&amp;Q$1&amp;"C"&amp;$A36)-100*RTD("tos.rtd",,"OPEN_INT","."&amp;Q$2&amp;Q$1&amp;"P"&amp;$A36)*RTD("tos.rtd",,"LAST","."&amp;Q$2&amp;Q$1&amp;"P"&amp;$A36))/1000000,0),IF($A$2="PREMIUM",IFERROR((100*RTD("tos.rtd",,"VOLUME","."&amp;Q$2&amp;Q$1&amp;"C"&amp;$A36)*RTD("tos.rtd",,"LAST","."&amp;Q$2&amp;Q$1&amp;"C"&amp;$A36)-100*RTD("tos.rtd",,"VOLUME","."&amp;Q$2&amp;Q$1&amp;"P"&amp;$A36)*RTD("tos.rtd",,"LAST","."&amp;Q$2&amp;Q$1&amp;"P"&amp;$A36))/1000000,0),IF($A$2="DEX",IFERROR((100*RTD("tos.rtd",,"OPEN_INT","."&amp;Q$2&amp;Q$1&amp;"C"&amp;$A36)*RTD("tos.rtd",,"DELTA","."&amp;Q$2&amp;Q$1&amp;"C"&amp;$A36)-100*RTD("tos.rtd",,"OPEN_INT","."&amp;Q$2&amp;Q$1&amp;"P"&amp;$A36)*RTD("tos.rtd",,"DELTA","."&amp;Q$2&amp;Q$1&amp;"P"&amp;$A36))/1000,0),IF($A$2="VEX",IFERROR(($A$4*$A$4*RTD("tos.rtd",,"VOLUME","."&amp;Q$2&amp;Q$1&amp;"C"&amp;$A36)*RTD("tos.rtd",,"GAMMA","."&amp;Q$2&amp;Q$1&amp;"C"&amp;$A36)-$A$4*$A$4*RTD("tos.rtd",,"VOLUME","."&amp;Q$2&amp;Q$1&amp;"P"&amp;$A36)*RTD("tos.rtd",,"GAMMA","."&amp;Q$2&amp;Q$1&amp;"P"&amp;$A36))/1000000,0),IF($A$2="GEX",IFERROR(($A$4*$A$4*RTD("tos.rtd",,"OPEN_INT","."&amp;Q$2&amp;Q$1&amp;"C"&amp;$A36)*RTD("tos.rtd",,"GAMMA","."&amp;Q$2&amp;Q$1&amp;"C"&amp;$A36)-$A$4*$A$4*RTD("tos.rtd",,"OPEN_INT","."&amp;Q$2&amp;Q$1&amp;"P"&amp;$A36)*RTD("tos.rtd",,"GAMMA","."&amp;Q$2&amp;Q$1&amp;"P"&amp;$A36))/1000000,0),IF($A$2="SKEW",IFERROR(VALUE(IF(RTD("tos.rtd",,"IMPL_VOL","."&amp;Q$2&amp;Q$1&amp;"P"&amp;$A36)="N/A",0,RTD("tos.rtd",,"IMPL_VOL","."&amp;Q$2&amp;Q$1&amp;"P"&amp;$A36))),0)-IFERROR(VALUE(IF(RTD("tos.rtd",,"IMPL_VOL","."&amp;Q$2&amp;Q$1&amp;"C"&amp;$A36)="N/A",0,RTD("tos.rtd",,"IMPL_VOL","."&amp;Q$2&amp;Q$1&amp;"C"&amp;$A36))),0),IF($A$2="MAXPAIN",IF($A$4&gt;$A36,($A$4-$A36)*IF(RTD("tos.rtd",,"OPEN_INT","."&amp;Q$2&amp;Q$1&amp;"C"&amp;$A36)="N/A",0,RTD("tos.rtd",,"OPEN_INT","."&amp;Q$2&amp;Q$1&amp;"C"&amp;$A36)),0)+IF($A$4&lt;$A36,($A36-$A$4)*IF(RTD("tos.rtd",,"OPEN_INT","."&amp;Q$2&amp;Q$1&amp;"P"&amp;$A36)="N/A",0,RTD("tos.rtd",,"OPEN_INT","."&amp;Q$2&amp;Q$1&amp;"P"&amp;$A36)),0),IF(RTD("tos.rtd",,$A$2,"."&amp;Q$2&amp;Q$1&amp;"C"&amp;$A36)="N/A",0,RTD("tos.rtd",,$A$2,"."&amp;Q$2&amp;Q$1&amp;"C"&amp;$A36))-IF(RTD("tos.rtd",,$A$2,"."&amp;Q$2&amp;Q$1&amp;"P"&amp;$A36)="N/A",0,RTD("tos.rtd",,$A$2,"."&amp;Q$2&amp;Q$1&amp;"P"&amp;$A36)))))))))</f>
        <v>0</v>
      </c>
      <c r="R36" s="12">
        <f>IF($A$2="PREMIUM_OI",IFERROR((100*RTD("tos.rtd",,"OPEN_INT","."&amp;R$2&amp;R$1&amp;"C"&amp;$A36)*RTD("tos.rtd",,"LAST","."&amp;R$2&amp;R$1&amp;"C"&amp;$A36)-100*RTD("tos.rtd",,"OPEN_INT","."&amp;R$2&amp;R$1&amp;"P"&amp;$A36)*RTD("tos.rtd",,"LAST","."&amp;R$2&amp;R$1&amp;"P"&amp;$A36))/1000000,0),IF($A$2="PREMIUM",IFERROR((100*RTD("tos.rtd",,"VOLUME","."&amp;R$2&amp;R$1&amp;"C"&amp;$A36)*RTD("tos.rtd",,"LAST","."&amp;R$2&amp;R$1&amp;"C"&amp;$A36)-100*RTD("tos.rtd",,"VOLUME","."&amp;R$2&amp;R$1&amp;"P"&amp;$A36)*RTD("tos.rtd",,"LAST","."&amp;R$2&amp;R$1&amp;"P"&amp;$A36))/1000000,0),IF($A$2="DEX",IFERROR((100*RTD("tos.rtd",,"OPEN_INT","."&amp;R$2&amp;R$1&amp;"C"&amp;$A36)*RTD("tos.rtd",,"DELTA","."&amp;R$2&amp;R$1&amp;"C"&amp;$A36)-100*RTD("tos.rtd",,"OPEN_INT","."&amp;R$2&amp;R$1&amp;"P"&amp;$A36)*RTD("tos.rtd",,"DELTA","."&amp;R$2&amp;R$1&amp;"P"&amp;$A36))/1000,0),IF($A$2="VEX",IFERROR(($A$4*$A$4*RTD("tos.rtd",,"VOLUME","."&amp;R$2&amp;R$1&amp;"C"&amp;$A36)*RTD("tos.rtd",,"GAMMA","."&amp;R$2&amp;R$1&amp;"C"&amp;$A36)-$A$4*$A$4*RTD("tos.rtd",,"VOLUME","."&amp;R$2&amp;R$1&amp;"P"&amp;$A36)*RTD("tos.rtd",,"GAMMA","."&amp;R$2&amp;R$1&amp;"P"&amp;$A36))/1000000,0),IF($A$2="GEX",IFERROR(($A$4*$A$4*RTD("tos.rtd",,"OPEN_INT","."&amp;R$2&amp;R$1&amp;"C"&amp;$A36)*RTD("tos.rtd",,"GAMMA","."&amp;R$2&amp;R$1&amp;"C"&amp;$A36)-$A$4*$A$4*RTD("tos.rtd",,"OPEN_INT","."&amp;R$2&amp;R$1&amp;"P"&amp;$A36)*RTD("tos.rtd",,"GAMMA","."&amp;R$2&amp;R$1&amp;"P"&amp;$A36))/1000000,0),IF($A$2="SKEW",IFERROR(VALUE(IF(RTD("tos.rtd",,"IMPL_VOL","."&amp;R$2&amp;R$1&amp;"P"&amp;$A36)="N/A",0,RTD("tos.rtd",,"IMPL_VOL","."&amp;R$2&amp;R$1&amp;"P"&amp;$A36))),0)-IFERROR(VALUE(IF(RTD("tos.rtd",,"IMPL_VOL","."&amp;R$2&amp;R$1&amp;"C"&amp;$A36)="N/A",0,RTD("tos.rtd",,"IMPL_VOL","."&amp;R$2&amp;R$1&amp;"C"&amp;$A36))),0),IF($A$2="MAXPAIN",IF($A$4&gt;$A36,($A$4-$A36)*IF(RTD("tos.rtd",,"OPEN_INT","."&amp;R$2&amp;R$1&amp;"C"&amp;$A36)="N/A",0,RTD("tos.rtd",,"OPEN_INT","."&amp;R$2&amp;R$1&amp;"C"&amp;$A36)),0)+IF($A$4&lt;$A36,($A36-$A$4)*IF(RTD("tos.rtd",,"OPEN_INT","."&amp;R$2&amp;R$1&amp;"P"&amp;$A36)="N/A",0,RTD("tos.rtd",,"OPEN_INT","."&amp;R$2&amp;R$1&amp;"P"&amp;$A36)),0),IF(RTD("tos.rtd",,$A$2,"."&amp;R$2&amp;R$1&amp;"C"&amp;$A36)="N/A",0,RTD("tos.rtd",,$A$2,"."&amp;R$2&amp;R$1&amp;"C"&amp;$A36))-IF(RTD("tos.rtd",,$A$2,"."&amp;R$2&amp;R$1&amp;"P"&amp;$A36)="N/A",0,RTD("tos.rtd",,$A$2,"."&amp;R$2&amp;R$1&amp;"P"&amp;$A36)))))))))</f>
        <v>-944</v>
      </c>
      <c r="S36" s="12">
        <f>IF($A$2="PREMIUM_OI",IFERROR((100*RTD("tos.rtd",,"OPEN_INT","."&amp;S$2&amp;S$1&amp;"C"&amp;$A36)*RTD("tos.rtd",,"LAST","."&amp;S$2&amp;S$1&amp;"C"&amp;$A36)-100*RTD("tos.rtd",,"OPEN_INT","."&amp;S$2&amp;S$1&amp;"P"&amp;$A36)*RTD("tos.rtd",,"LAST","."&amp;S$2&amp;S$1&amp;"P"&amp;$A36))/1000000,0),IF($A$2="PREMIUM",IFERROR((100*RTD("tos.rtd",,"VOLUME","."&amp;S$2&amp;S$1&amp;"C"&amp;$A36)*RTD("tos.rtd",,"LAST","."&amp;S$2&amp;S$1&amp;"C"&amp;$A36)-100*RTD("tos.rtd",,"VOLUME","."&amp;S$2&amp;S$1&amp;"P"&amp;$A36)*RTD("tos.rtd",,"LAST","."&amp;S$2&amp;S$1&amp;"P"&amp;$A36))/1000000,0),IF($A$2="DEX",IFERROR((100*RTD("tos.rtd",,"OPEN_INT","."&amp;S$2&amp;S$1&amp;"C"&amp;$A36)*RTD("tos.rtd",,"DELTA","."&amp;S$2&amp;S$1&amp;"C"&amp;$A36)-100*RTD("tos.rtd",,"OPEN_INT","."&amp;S$2&amp;S$1&amp;"P"&amp;$A36)*RTD("tos.rtd",,"DELTA","."&amp;S$2&amp;S$1&amp;"P"&amp;$A36))/1000,0),IF($A$2="VEX",IFERROR(($A$4*$A$4*RTD("tos.rtd",,"VOLUME","."&amp;S$2&amp;S$1&amp;"C"&amp;$A36)*RTD("tos.rtd",,"GAMMA","."&amp;S$2&amp;S$1&amp;"C"&amp;$A36)-$A$4*$A$4*RTD("tos.rtd",,"VOLUME","."&amp;S$2&amp;S$1&amp;"P"&amp;$A36)*RTD("tos.rtd",,"GAMMA","."&amp;S$2&amp;S$1&amp;"P"&amp;$A36))/1000000,0),IF($A$2="GEX",IFERROR(($A$4*$A$4*RTD("tos.rtd",,"OPEN_INT","."&amp;S$2&amp;S$1&amp;"C"&amp;$A36)*RTD("tos.rtd",,"GAMMA","."&amp;S$2&amp;S$1&amp;"C"&amp;$A36)-$A$4*$A$4*RTD("tos.rtd",,"OPEN_INT","."&amp;S$2&amp;S$1&amp;"P"&amp;$A36)*RTD("tos.rtd",,"GAMMA","."&amp;S$2&amp;S$1&amp;"P"&amp;$A36))/1000000,0),IF($A$2="SKEW",IFERROR(VALUE(IF(RTD("tos.rtd",,"IMPL_VOL","."&amp;S$2&amp;S$1&amp;"P"&amp;$A36)="N/A",0,RTD("tos.rtd",,"IMPL_VOL","."&amp;S$2&amp;S$1&amp;"P"&amp;$A36))),0)-IFERROR(VALUE(IF(RTD("tos.rtd",,"IMPL_VOL","."&amp;S$2&amp;S$1&amp;"C"&amp;$A36)="N/A",0,RTD("tos.rtd",,"IMPL_VOL","."&amp;S$2&amp;S$1&amp;"C"&amp;$A36))),0),IF($A$2="MAXPAIN",IF($A$4&gt;$A36,($A$4-$A36)*IF(RTD("tos.rtd",,"OPEN_INT","."&amp;S$2&amp;S$1&amp;"C"&amp;$A36)="N/A",0,RTD("tos.rtd",,"OPEN_INT","."&amp;S$2&amp;S$1&amp;"C"&amp;$A36)),0)+IF($A$4&lt;$A36,($A36-$A$4)*IF(RTD("tos.rtd",,"OPEN_INT","."&amp;S$2&amp;S$1&amp;"P"&amp;$A36)="N/A",0,RTD("tos.rtd",,"OPEN_INT","."&amp;S$2&amp;S$1&amp;"P"&amp;$A36)),0),IF(RTD("tos.rtd",,$A$2,"."&amp;S$2&amp;S$1&amp;"C"&amp;$A36)="N/A",0,RTD("tos.rtd",,$A$2,"."&amp;S$2&amp;S$1&amp;"C"&amp;$A36))-IF(RTD("tos.rtd",,$A$2,"."&amp;S$2&amp;S$1&amp;"P"&amp;$A36)="N/A",0,RTD("tos.rtd",,$A$2,"."&amp;S$2&amp;S$1&amp;"P"&amp;$A36)))))))))</f>
        <v>-5997</v>
      </c>
      <c r="T36" s="12">
        <f>IF($A$2="PREMIUM_OI",IFERROR((100*RTD("tos.rtd",,"OPEN_INT","."&amp;T$2&amp;T$1&amp;"C"&amp;$A36)*RTD("tos.rtd",,"LAST","."&amp;T$2&amp;T$1&amp;"C"&amp;$A36)-100*RTD("tos.rtd",,"OPEN_INT","."&amp;T$2&amp;T$1&amp;"P"&amp;$A36)*RTD("tos.rtd",,"LAST","."&amp;T$2&amp;T$1&amp;"P"&amp;$A36))/1000000,0),IF($A$2="PREMIUM",IFERROR((100*RTD("tos.rtd",,"VOLUME","."&amp;T$2&amp;T$1&amp;"C"&amp;$A36)*RTD("tos.rtd",,"LAST","."&amp;T$2&amp;T$1&amp;"C"&amp;$A36)-100*RTD("tos.rtd",,"VOLUME","."&amp;T$2&amp;T$1&amp;"P"&amp;$A36)*RTD("tos.rtd",,"LAST","."&amp;T$2&amp;T$1&amp;"P"&amp;$A36))/1000000,0),IF($A$2="DEX",IFERROR((100*RTD("tos.rtd",,"OPEN_INT","."&amp;T$2&amp;T$1&amp;"C"&amp;$A36)*RTD("tos.rtd",,"DELTA","."&amp;T$2&amp;T$1&amp;"C"&amp;$A36)-100*RTD("tos.rtd",,"OPEN_INT","."&amp;T$2&amp;T$1&amp;"P"&amp;$A36)*RTD("tos.rtd",,"DELTA","."&amp;T$2&amp;T$1&amp;"P"&amp;$A36))/1000,0),IF($A$2="VEX",IFERROR(($A$4*$A$4*RTD("tos.rtd",,"VOLUME","."&amp;T$2&amp;T$1&amp;"C"&amp;$A36)*RTD("tos.rtd",,"GAMMA","."&amp;T$2&amp;T$1&amp;"C"&amp;$A36)-$A$4*$A$4*RTD("tos.rtd",,"VOLUME","."&amp;T$2&amp;T$1&amp;"P"&amp;$A36)*RTD("tos.rtd",,"GAMMA","."&amp;T$2&amp;T$1&amp;"P"&amp;$A36))/1000000,0),IF($A$2="GEX",IFERROR(($A$4*$A$4*RTD("tos.rtd",,"OPEN_INT","."&amp;T$2&amp;T$1&amp;"C"&amp;$A36)*RTD("tos.rtd",,"GAMMA","."&amp;T$2&amp;T$1&amp;"C"&amp;$A36)-$A$4*$A$4*RTD("tos.rtd",,"OPEN_INT","."&amp;T$2&amp;T$1&amp;"P"&amp;$A36)*RTD("tos.rtd",,"GAMMA","."&amp;T$2&amp;T$1&amp;"P"&amp;$A36))/1000000,0),IF($A$2="SKEW",IFERROR(VALUE(IF(RTD("tos.rtd",,"IMPL_VOL","."&amp;T$2&amp;T$1&amp;"P"&amp;$A36)="N/A",0,RTD("tos.rtd",,"IMPL_VOL","."&amp;T$2&amp;T$1&amp;"P"&amp;$A36))),0)-IFERROR(VALUE(IF(RTD("tos.rtd",,"IMPL_VOL","."&amp;T$2&amp;T$1&amp;"C"&amp;$A36)="N/A",0,RTD("tos.rtd",,"IMPL_VOL","."&amp;T$2&amp;T$1&amp;"C"&amp;$A36))),0),IF($A$2="MAXPAIN",IF($A$4&gt;$A36,($A$4-$A36)*IF(RTD("tos.rtd",,"OPEN_INT","."&amp;T$2&amp;T$1&amp;"C"&amp;$A36)="N/A",0,RTD("tos.rtd",,"OPEN_INT","."&amp;T$2&amp;T$1&amp;"C"&amp;$A36)),0)+IF($A$4&lt;$A36,($A36-$A$4)*IF(RTD("tos.rtd",,"OPEN_INT","."&amp;T$2&amp;T$1&amp;"P"&amp;$A36)="N/A",0,RTD("tos.rtd",,"OPEN_INT","."&amp;T$2&amp;T$1&amp;"P"&amp;$A36)),0),IF(RTD("tos.rtd",,$A$2,"."&amp;T$2&amp;T$1&amp;"C"&amp;$A36)="N/A",0,RTD("tos.rtd",,$A$2,"."&amp;T$2&amp;T$1&amp;"C"&amp;$A36))-IF(RTD("tos.rtd",,$A$2,"."&amp;T$2&amp;T$1&amp;"P"&amp;$A36)="N/A",0,RTD("tos.rtd",,$A$2,"."&amp;T$2&amp;T$1&amp;"P"&amp;$A36)))))))))</f>
        <v>-520</v>
      </c>
      <c r="U36" s="12">
        <f>IF($A$2="PREMIUM_OI",IFERROR((100*RTD("tos.rtd",,"OPEN_INT","."&amp;U$2&amp;U$1&amp;"C"&amp;$A36)*RTD("tos.rtd",,"LAST","."&amp;U$2&amp;U$1&amp;"C"&amp;$A36)-100*RTD("tos.rtd",,"OPEN_INT","."&amp;U$2&amp;U$1&amp;"P"&amp;$A36)*RTD("tos.rtd",,"LAST","."&amp;U$2&amp;U$1&amp;"P"&amp;$A36))/1000000,0),IF($A$2="PREMIUM",IFERROR((100*RTD("tos.rtd",,"VOLUME","."&amp;U$2&amp;U$1&amp;"C"&amp;$A36)*RTD("tos.rtd",,"LAST","."&amp;U$2&amp;U$1&amp;"C"&amp;$A36)-100*RTD("tos.rtd",,"VOLUME","."&amp;U$2&amp;U$1&amp;"P"&amp;$A36)*RTD("tos.rtd",,"LAST","."&amp;U$2&amp;U$1&amp;"P"&amp;$A36))/1000000,0),IF($A$2="DEX",IFERROR((100*RTD("tos.rtd",,"OPEN_INT","."&amp;U$2&amp;U$1&amp;"C"&amp;$A36)*RTD("tos.rtd",,"DELTA","."&amp;U$2&amp;U$1&amp;"C"&amp;$A36)-100*RTD("tos.rtd",,"OPEN_INT","."&amp;U$2&amp;U$1&amp;"P"&amp;$A36)*RTD("tos.rtd",,"DELTA","."&amp;U$2&amp;U$1&amp;"P"&amp;$A36))/1000,0),IF($A$2="VEX",IFERROR(($A$4*$A$4*RTD("tos.rtd",,"VOLUME","."&amp;U$2&amp;U$1&amp;"C"&amp;$A36)*RTD("tos.rtd",,"GAMMA","."&amp;U$2&amp;U$1&amp;"C"&amp;$A36)-$A$4*$A$4*RTD("tos.rtd",,"VOLUME","."&amp;U$2&amp;U$1&amp;"P"&amp;$A36)*RTD("tos.rtd",,"GAMMA","."&amp;U$2&amp;U$1&amp;"P"&amp;$A36))/1000000,0),IF($A$2="GEX",IFERROR(($A$4*$A$4*RTD("tos.rtd",,"OPEN_INT","."&amp;U$2&amp;U$1&amp;"C"&amp;$A36)*RTD("tos.rtd",,"GAMMA","."&amp;U$2&amp;U$1&amp;"C"&amp;$A36)-$A$4*$A$4*RTD("tos.rtd",,"OPEN_INT","."&amp;U$2&amp;U$1&amp;"P"&amp;$A36)*RTD("tos.rtd",,"GAMMA","."&amp;U$2&amp;U$1&amp;"P"&amp;$A36))/1000000,0),IF($A$2="SKEW",IFERROR(VALUE(IF(RTD("tos.rtd",,"IMPL_VOL","."&amp;U$2&amp;U$1&amp;"P"&amp;$A36)="N/A",0,RTD("tos.rtd",,"IMPL_VOL","."&amp;U$2&amp;U$1&amp;"P"&amp;$A36))),0)-IFERROR(VALUE(IF(RTD("tos.rtd",,"IMPL_VOL","."&amp;U$2&amp;U$1&amp;"C"&amp;$A36)="N/A",0,RTD("tos.rtd",,"IMPL_VOL","."&amp;U$2&amp;U$1&amp;"C"&amp;$A36))),0),IF($A$2="MAXPAIN",IF($A$4&gt;$A36,($A$4-$A36)*IF(RTD("tos.rtd",,"OPEN_INT","."&amp;U$2&amp;U$1&amp;"C"&amp;$A36)="N/A",0,RTD("tos.rtd",,"OPEN_INT","."&amp;U$2&amp;U$1&amp;"C"&amp;$A36)),0)+IF($A$4&lt;$A36,($A36-$A$4)*IF(RTD("tos.rtd",,"OPEN_INT","."&amp;U$2&amp;U$1&amp;"P"&amp;$A36)="N/A",0,RTD("tos.rtd",,"OPEN_INT","."&amp;U$2&amp;U$1&amp;"P"&amp;$A36)),0),IF(RTD("tos.rtd",,$A$2,"."&amp;U$2&amp;U$1&amp;"C"&amp;$A36)="N/A",0,RTD("tos.rtd",,$A$2,"."&amp;U$2&amp;U$1&amp;"C"&amp;$A36))-IF(RTD("tos.rtd",,$A$2,"."&amp;U$2&amp;U$1&amp;"P"&amp;$A36)="N/A",0,RTD("tos.rtd",,$A$2,"."&amp;U$2&amp;U$1&amp;"P"&amp;$A36)))))))))</f>
        <v>354</v>
      </c>
      <c r="V36" s="12">
        <f>IF($A$2="PREMIUM_OI",IFERROR((100*RTD("tos.rtd",,"OPEN_INT","."&amp;V$2&amp;V$1&amp;"C"&amp;$A36)*RTD("tos.rtd",,"LAST","."&amp;V$2&amp;V$1&amp;"C"&amp;$A36)-100*RTD("tos.rtd",,"OPEN_INT","."&amp;V$2&amp;V$1&amp;"P"&amp;$A36)*RTD("tos.rtd",,"LAST","."&amp;V$2&amp;V$1&amp;"P"&amp;$A36))/1000000,0),IF($A$2="PREMIUM",IFERROR((100*RTD("tos.rtd",,"VOLUME","."&amp;V$2&amp;V$1&amp;"C"&amp;$A36)*RTD("tos.rtd",,"LAST","."&amp;V$2&amp;V$1&amp;"C"&amp;$A36)-100*RTD("tos.rtd",,"VOLUME","."&amp;V$2&amp;V$1&amp;"P"&amp;$A36)*RTD("tos.rtd",,"LAST","."&amp;V$2&amp;V$1&amp;"P"&amp;$A36))/1000000,0),IF($A$2="DEX",IFERROR((100*RTD("tos.rtd",,"OPEN_INT","."&amp;V$2&amp;V$1&amp;"C"&amp;$A36)*RTD("tos.rtd",,"DELTA","."&amp;V$2&amp;V$1&amp;"C"&amp;$A36)-100*RTD("tos.rtd",,"OPEN_INT","."&amp;V$2&amp;V$1&amp;"P"&amp;$A36)*RTD("tos.rtd",,"DELTA","."&amp;V$2&amp;V$1&amp;"P"&amp;$A36))/1000,0),IF($A$2="VEX",IFERROR(($A$4*$A$4*RTD("tos.rtd",,"VOLUME","."&amp;V$2&amp;V$1&amp;"C"&amp;$A36)*RTD("tos.rtd",,"GAMMA","."&amp;V$2&amp;V$1&amp;"C"&amp;$A36)-$A$4*$A$4*RTD("tos.rtd",,"VOLUME","."&amp;V$2&amp;V$1&amp;"P"&amp;$A36)*RTD("tos.rtd",,"GAMMA","."&amp;V$2&amp;V$1&amp;"P"&amp;$A36))/1000000,0),IF($A$2="GEX",IFERROR(($A$4*$A$4*RTD("tos.rtd",,"OPEN_INT","."&amp;V$2&amp;V$1&amp;"C"&amp;$A36)*RTD("tos.rtd",,"GAMMA","."&amp;V$2&amp;V$1&amp;"C"&amp;$A36)-$A$4*$A$4*RTD("tos.rtd",,"OPEN_INT","."&amp;V$2&amp;V$1&amp;"P"&amp;$A36)*RTD("tos.rtd",,"GAMMA","."&amp;V$2&amp;V$1&amp;"P"&amp;$A36))/1000000,0),IF($A$2="SKEW",IFERROR(VALUE(IF(RTD("tos.rtd",,"IMPL_VOL","."&amp;V$2&amp;V$1&amp;"P"&amp;$A36)="N/A",0,RTD("tos.rtd",,"IMPL_VOL","."&amp;V$2&amp;V$1&amp;"P"&amp;$A36))),0)-IFERROR(VALUE(IF(RTD("tos.rtd",,"IMPL_VOL","."&amp;V$2&amp;V$1&amp;"C"&amp;$A36)="N/A",0,RTD("tos.rtd",,"IMPL_VOL","."&amp;V$2&amp;V$1&amp;"C"&amp;$A36))),0),IF($A$2="MAXPAIN",IF($A$4&gt;$A36,($A$4-$A36)*IF(RTD("tos.rtd",,"OPEN_INT","."&amp;V$2&amp;V$1&amp;"C"&amp;$A36)="N/A",0,RTD("tos.rtd",,"OPEN_INT","."&amp;V$2&amp;V$1&amp;"C"&amp;$A36)),0)+IF($A$4&lt;$A36,($A36-$A$4)*IF(RTD("tos.rtd",,"OPEN_INT","."&amp;V$2&amp;V$1&amp;"P"&amp;$A36)="N/A",0,RTD("tos.rtd",,"OPEN_INT","."&amp;V$2&amp;V$1&amp;"P"&amp;$A36)),0),IF(RTD("tos.rtd",,$A$2,"."&amp;V$2&amp;V$1&amp;"C"&amp;$A36)="N/A",0,RTD("tos.rtd",,$A$2,"."&amp;V$2&amp;V$1&amp;"C"&amp;$A36))-IF(RTD("tos.rtd",,$A$2,"."&amp;V$2&amp;V$1&amp;"P"&amp;$A36)="N/A",0,RTD("tos.rtd",,$A$2,"."&amp;V$2&amp;V$1&amp;"P"&amp;$A36)))))))))</f>
        <v>0</v>
      </c>
      <c r="W36" s="12">
        <f>IF($A$2="PREMIUM_OI",IFERROR((100*RTD("tos.rtd",,"OPEN_INT","."&amp;W$2&amp;W$1&amp;"C"&amp;$A36)*RTD("tos.rtd",,"LAST","."&amp;W$2&amp;W$1&amp;"C"&amp;$A36)-100*RTD("tos.rtd",,"OPEN_INT","."&amp;W$2&amp;W$1&amp;"P"&amp;$A36)*RTD("tos.rtd",,"LAST","."&amp;W$2&amp;W$1&amp;"P"&amp;$A36))/1000000,0),IF($A$2="PREMIUM",IFERROR((100*RTD("tos.rtd",,"VOLUME","."&amp;W$2&amp;W$1&amp;"C"&amp;$A36)*RTD("tos.rtd",,"LAST","."&amp;W$2&amp;W$1&amp;"C"&amp;$A36)-100*RTD("tos.rtd",,"VOLUME","."&amp;W$2&amp;W$1&amp;"P"&amp;$A36)*RTD("tos.rtd",,"LAST","."&amp;W$2&amp;W$1&amp;"P"&amp;$A36))/1000000,0),IF($A$2="DEX",IFERROR((100*RTD("tos.rtd",,"OPEN_INT","."&amp;W$2&amp;W$1&amp;"C"&amp;$A36)*RTD("tos.rtd",,"DELTA","."&amp;W$2&amp;W$1&amp;"C"&amp;$A36)-100*RTD("tos.rtd",,"OPEN_INT","."&amp;W$2&amp;W$1&amp;"P"&amp;$A36)*RTD("tos.rtd",,"DELTA","."&amp;W$2&amp;W$1&amp;"P"&amp;$A36))/1000,0),IF($A$2="VEX",IFERROR(($A$4*$A$4*RTD("tos.rtd",,"VOLUME","."&amp;W$2&amp;W$1&amp;"C"&amp;$A36)*RTD("tos.rtd",,"GAMMA","."&amp;W$2&amp;W$1&amp;"C"&amp;$A36)-$A$4*$A$4*RTD("tos.rtd",,"VOLUME","."&amp;W$2&amp;W$1&amp;"P"&amp;$A36)*RTD("tos.rtd",,"GAMMA","."&amp;W$2&amp;W$1&amp;"P"&amp;$A36))/1000000,0),IF($A$2="GEX",IFERROR(($A$4*$A$4*RTD("tos.rtd",,"OPEN_INT","."&amp;W$2&amp;W$1&amp;"C"&amp;$A36)*RTD("tos.rtd",,"GAMMA","."&amp;W$2&amp;W$1&amp;"C"&amp;$A36)-$A$4*$A$4*RTD("tos.rtd",,"OPEN_INT","."&amp;W$2&amp;W$1&amp;"P"&amp;$A36)*RTD("tos.rtd",,"GAMMA","."&amp;W$2&amp;W$1&amp;"P"&amp;$A36))/1000000,0),IF($A$2="SKEW",IFERROR(VALUE(IF(RTD("tos.rtd",,"IMPL_VOL","."&amp;W$2&amp;W$1&amp;"P"&amp;$A36)="N/A",0,RTD("tos.rtd",,"IMPL_VOL","."&amp;W$2&amp;W$1&amp;"P"&amp;$A36))),0)-IFERROR(VALUE(IF(RTD("tos.rtd",,"IMPL_VOL","."&amp;W$2&amp;W$1&amp;"C"&amp;$A36)="N/A",0,RTD("tos.rtd",,"IMPL_VOL","."&amp;W$2&amp;W$1&amp;"C"&amp;$A36))),0),IF($A$2="MAXPAIN",IF($A$4&gt;$A36,($A$4-$A36)*IF(RTD("tos.rtd",,"OPEN_INT","."&amp;W$2&amp;W$1&amp;"C"&amp;$A36)="N/A",0,RTD("tos.rtd",,"OPEN_INT","."&amp;W$2&amp;W$1&amp;"C"&amp;$A36)),0)+IF($A$4&lt;$A36,($A36-$A$4)*IF(RTD("tos.rtd",,"OPEN_INT","."&amp;W$2&amp;W$1&amp;"P"&amp;$A36)="N/A",0,RTD("tos.rtd",,"OPEN_INT","."&amp;W$2&amp;W$1&amp;"P"&amp;$A36)),0),IF(RTD("tos.rtd",,$A$2,"."&amp;W$2&amp;W$1&amp;"C"&amp;$A36)="N/A",0,RTD("tos.rtd",,$A$2,"."&amp;W$2&amp;W$1&amp;"C"&amp;$A36))-IF(RTD("tos.rtd",,$A$2,"."&amp;W$2&amp;W$1&amp;"P"&amp;$A36)="N/A",0,RTD("tos.rtd",,$A$2,"."&amp;W$2&amp;W$1&amp;"P"&amp;$A36)))))))))</f>
        <v>7761</v>
      </c>
      <c r="X36" s="12">
        <f t="shared" ca="1" si="7"/>
        <v>1598</v>
      </c>
      <c r="Y36" s="27">
        <f t="shared" ca="1" si="8"/>
        <v>1598</v>
      </c>
      <c r="AA36" s="35">
        <f>+IF($AJ$1,AJ36,TASTYOHLC!A36)</f>
        <v>0</v>
      </c>
      <c r="AB36" s="8">
        <f>+IF($AJ$1,AK36,TASTYOHLC!B36)</f>
        <v>0</v>
      </c>
      <c r="AC36" s="8">
        <f>+IF($AJ$1,AL36,TASTYOHLC!C36)</f>
        <v>0</v>
      </c>
      <c r="AD36" s="8">
        <f>+IF($AJ$1,AM36,TASTYOHLC!D36)</f>
        <v>0</v>
      </c>
      <c r="AE36" s="8">
        <f>+IF($AJ$1,AN36,TASTYOHLC!E36)</f>
        <v>0</v>
      </c>
      <c r="AF36" s="8"/>
      <c r="AJ36" s="37"/>
    </row>
    <row r="37" spans="1:36" s="19" customFormat="1" ht="11.1" customHeight="1" thickBot="1" x14ac:dyDescent="0.3">
      <c r="A37" s="23">
        <f t="shared" si="13"/>
        <v>3.5</v>
      </c>
      <c r="B37" s="14">
        <f>IF($A$2="PREMIUM_OI",IFERROR((100*RTD("tos.rtd",,"OPEN_INT","."&amp;B$2&amp;B$1&amp;"C"&amp;$A37)*RTD("tos.rtd",,"LAST","."&amp;B$2&amp;B$1&amp;"C"&amp;$A37)-100*RTD("tos.rtd",,"OPEN_INT","."&amp;B$2&amp;B$1&amp;"P"&amp;$A37)*RTD("tos.rtd",,"LAST","."&amp;B$2&amp;B$1&amp;"P"&amp;$A37))/1000000,0),IF($A$2="PREMIUM",IFERROR((100*RTD("tos.rtd",,"VOLUME","."&amp;B$2&amp;B$1&amp;"C"&amp;$A37)*RTD("tos.rtd",,"LAST","."&amp;B$2&amp;B$1&amp;"C"&amp;$A37)-100*RTD("tos.rtd",,"VOLUME","."&amp;B$2&amp;B$1&amp;"P"&amp;$A37)*RTD("tos.rtd",,"LAST","."&amp;B$2&amp;B$1&amp;"P"&amp;$A37))/1000000,0),IF($A$2="DEX",IFERROR((100*RTD("tos.rtd",,"OPEN_INT","."&amp;B$2&amp;B$1&amp;"C"&amp;$A37)*RTD("tos.rtd",,"DELTA","."&amp;B$2&amp;B$1&amp;"C"&amp;$A37)-100*RTD("tos.rtd",,"OPEN_INT","."&amp;B$2&amp;B$1&amp;"P"&amp;$A37)*RTD("tos.rtd",,"DELTA","."&amp;B$2&amp;B$1&amp;"P"&amp;$A37))/1000,0),IF($A$2="VEX",IFERROR(($A$4*$A$4*RTD("tos.rtd",,"VOLUME","."&amp;B$2&amp;B$1&amp;"C"&amp;$A37)*RTD("tos.rtd",,"GAMMA","."&amp;B$2&amp;B$1&amp;"C"&amp;$A37)-$A$4*$A$4*RTD("tos.rtd",,"VOLUME","."&amp;B$2&amp;B$1&amp;"P"&amp;$A37)*RTD("tos.rtd",,"GAMMA","."&amp;B$2&amp;B$1&amp;"P"&amp;$A37))/1000000,0),IF($A$2="GEX",IFERROR(($A$4*$A$4*RTD("tos.rtd",,"OPEN_INT","."&amp;B$2&amp;B$1&amp;"C"&amp;$A37)*RTD("tos.rtd",,"GAMMA","."&amp;B$2&amp;B$1&amp;"C"&amp;$A37)-$A$4*$A$4*RTD("tos.rtd",,"OPEN_INT","."&amp;B$2&amp;B$1&amp;"P"&amp;$A37)*RTD("tos.rtd",,"GAMMA","."&amp;B$2&amp;B$1&amp;"P"&amp;$A37))/1000000,0),IF($A$2="SKEW",IFERROR(VALUE(IF(RTD("tos.rtd",,"IMPL_VOL","."&amp;B$2&amp;B$1&amp;"P"&amp;$A37)="N/A",0,RTD("tos.rtd",,"IMPL_VOL","."&amp;B$2&amp;B$1&amp;"P"&amp;$A37))),0)-IFERROR(VALUE(IF(RTD("tos.rtd",,"IMPL_VOL","."&amp;B$2&amp;B$1&amp;"C"&amp;$A37)="N/A",0,RTD("tos.rtd",,"IMPL_VOL","."&amp;B$2&amp;B$1&amp;"C"&amp;$A37))),0),IF($A$2="MAXPAIN",IF($A$4&gt;$A37,($A$4-$A37)*IF(RTD("tos.rtd",,"OPEN_INT","."&amp;B$2&amp;B$1&amp;"C"&amp;$A37)="N/A",0,RTD("tos.rtd",,"OPEN_INT","."&amp;B$2&amp;B$1&amp;"C"&amp;$A37)),0)+IF($A$4&lt;$A37,($A37-$A$4)*IF(RTD("tos.rtd",,"OPEN_INT","."&amp;B$2&amp;B$1&amp;"P"&amp;$A37)="N/A",0,RTD("tos.rtd",,"OPEN_INT","."&amp;B$2&amp;B$1&amp;"P"&amp;$A37)),0),IF(RTD("tos.rtd",,$A$2,"."&amp;B$2&amp;B$1&amp;"C"&amp;$A37)="N/A",0,RTD("tos.rtd",,$A$2,"."&amp;B$2&amp;B$1&amp;"C"&amp;$A37))-IF(RTD("tos.rtd",,$A$2,"."&amp;B$2&amp;B$1&amp;"P"&amp;$A37)="N/A",0,RTD("tos.rtd",,$A$2,"."&amp;B$2&amp;B$1&amp;"P"&amp;$A37)))))))))</f>
        <v>0</v>
      </c>
      <c r="C37" s="12">
        <f>IF($A$2="PREMIUM_OI",IFERROR((100*RTD("tos.rtd",,"OPEN_INT","."&amp;C$2&amp;C$1&amp;"C"&amp;$A37)*RTD("tos.rtd",,"LAST","."&amp;C$2&amp;C$1&amp;"C"&amp;$A37)-100*RTD("tos.rtd",,"OPEN_INT","."&amp;C$2&amp;C$1&amp;"P"&amp;$A37)*RTD("tos.rtd",,"LAST","."&amp;C$2&amp;C$1&amp;"P"&amp;$A37))/1000000,0),IF($A$2="PREMIUM",IFERROR((100*RTD("tos.rtd",,"VOLUME","."&amp;C$2&amp;C$1&amp;"C"&amp;$A37)*RTD("tos.rtd",,"LAST","."&amp;C$2&amp;C$1&amp;"C"&amp;$A37)-100*RTD("tos.rtd",,"VOLUME","."&amp;C$2&amp;C$1&amp;"P"&amp;$A37)*RTD("tos.rtd",,"LAST","."&amp;C$2&amp;C$1&amp;"P"&amp;$A37))/1000000,0),IF($A$2="DEX",IFERROR((100*RTD("tos.rtd",,"OPEN_INT","."&amp;C$2&amp;C$1&amp;"C"&amp;$A37)*RTD("tos.rtd",,"DELTA","."&amp;C$2&amp;C$1&amp;"C"&amp;$A37)-100*RTD("tos.rtd",,"OPEN_INT","."&amp;C$2&amp;C$1&amp;"P"&amp;$A37)*RTD("tos.rtd",,"DELTA","."&amp;C$2&amp;C$1&amp;"P"&amp;$A37))/1000,0),IF($A$2="VEX",IFERROR(($A$4*$A$4*RTD("tos.rtd",,"VOLUME","."&amp;C$2&amp;C$1&amp;"C"&amp;$A37)*RTD("tos.rtd",,"GAMMA","."&amp;C$2&amp;C$1&amp;"C"&amp;$A37)-$A$4*$A$4*RTD("tos.rtd",,"VOLUME","."&amp;C$2&amp;C$1&amp;"P"&amp;$A37)*RTD("tos.rtd",,"GAMMA","."&amp;C$2&amp;C$1&amp;"P"&amp;$A37))/1000000,0),IF($A$2="GEX",IFERROR(($A$4*$A$4*RTD("tos.rtd",,"OPEN_INT","."&amp;C$2&amp;C$1&amp;"C"&amp;$A37)*RTD("tos.rtd",,"GAMMA","."&amp;C$2&amp;C$1&amp;"C"&amp;$A37)-$A$4*$A$4*RTD("tos.rtd",,"OPEN_INT","."&amp;C$2&amp;C$1&amp;"P"&amp;$A37)*RTD("tos.rtd",,"GAMMA","."&amp;C$2&amp;C$1&amp;"P"&amp;$A37))/1000000,0),IF($A$2="SKEW",IFERROR(VALUE(IF(RTD("tos.rtd",,"IMPL_VOL","."&amp;C$2&amp;C$1&amp;"P"&amp;$A37)="N/A",0,RTD("tos.rtd",,"IMPL_VOL","."&amp;C$2&amp;C$1&amp;"P"&amp;$A37))),0)-IFERROR(VALUE(IF(RTD("tos.rtd",,"IMPL_VOL","."&amp;C$2&amp;C$1&amp;"C"&amp;$A37)="N/A",0,RTD("tos.rtd",,"IMPL_VOL","."&amp;C$2&amp;C$1&amp;"C"&amp;$A37))),0),IF($A$2="MAXPAIN",IF($A$4&gt;$A37,($A$4-$A37)*IF(RTD("tos.rtd",,"OPEN_INT","."&amp;C$2&amp;C$1&amp;"C"&amp;$A37)="N/A",0,RTD("tos.rtd",,"OPEN_INT","."&amp;C$2&amp;C$1&amp;"C"&amp;$A37)),0)+IF($A$4&lt;$A37,($A37-$A$4)*IF(RTD("tos.rtd",,"OPEN_INT","."&amp;C$2&amp;C$1&amp;"P"&amp;$A37)="N/A",0,RTD("tos.rtd",,"OPEN_INT","."&amp;C$2&amp;C$1&amp;"P"&amp;$A37)),0),IF(RTD("tos.rtd",,$A$2,"."&amp;C$2&amp;C$1&amp;"C"&amp;$A37)="N/A",0,RTD("tos.rtd",,$A$2,"."&amp;C$2&amp;C$1&amp;"C"&amp;$A37))-IF(RTD("tos.rtd",,$A$2,"."&amp;C$2&amp;C$1&amp;"P"&amp;$A37)="N/A",0,RTD("tos.rtd",,$A$2,"."&amp;C$2&amp;C$1&amp;"P"&amp;$A37)))))))))</f>
        <v>-1248</v>
      </c>
      <c r="D37" s="12">
        <f>IF($A$2="PREMIUM_OI",IFERROR((100*RTD("tos.rtd",,"OPEN_INT","."&amp;D$2&amp;D$1&amp;"C"&amp;$A37)*RTD("tos.rtd",,"LAST","."&amp;D$2&amp;D$1&amp;"C"&amp;$A37)-100*RTD("tos.rtd",,"OPEN_INT","."&amp;D$2&amp;D$1&amp;"P"&amp;$A37)*RTD("tos.rtd",,"LAST","."&amp;D$2&amp;D$1&amp;"P"&amp;$A37))/1000000,0),IF($A$2="PREMIUM",IFERROR((100*RTD("tos.rtd",,"VOLUME","."&amp;D$2&amp;D$1&amp;"C"&amp;$A37)*RTD("tos.rtd",,"LAST","."&amp;D$2&amp;D$1&amp;"C"&amp;$A37)-100*RTD("tos.rtd",,"VOLUME","."&amp;D$2&amp;D$1&amp;"P"&amp;$A37)*RTD("tos.rtd",,"LAST","."&amp;D$2&amp;D$1&amp;"P"&amp;$A37))/1000000,0),IF($A$2="DEX",IFERROR((100*RTD("tos.rtd",,"OPEN_INT","."&amp;D$2&amp;D$1&amp;"C"&amp;$A37)*RTD("tos.rtd",,"DELTA","."&amp;D$2&amp;D$1&amp;"C"&amp;$A37)-100*RTD("tos.rtd",,"OPEN_INT","."&amp;D$2&amp;D$1&amp;"P"&amp;$A37)*RTD("tos.rtd",,"DELTA","."&amp;D$2&amp;D$1&amp;"P"&amp;$A37))/1000,0),IF($A$2="VEX",IFERROR(($A$4*$A$4*RTD("tos.rtd",,"VOLUME","."&amp;D$2&amp;D$1&amp;"C"&amp;$A37)*RTD("tos.rtd",,"GAMMA","."&amp;D$2&amp;D$1&amp;"C"&amp;$A37)-$A$4*$A$4*RTD("tos.rtd",,"VOLUME","."&amp;D$2&amp;D$1&amp;"P"&amp;$A37)*RTD("tos.rtd",,"GAMMA","."&amp;D$2&amp;D$1&amp;"P"&amp;$A37))/1000000,0),IF($A$2="GEX",IFERROR(($A$4*$A$4*RTD("tos.rtd",,"OPEN_INT","."&amp;D$2&amp;D$1&amp;"C"&amp;$A37)*RTD("tos.rtd",,"GAMMA","."&amp;D$2&amp;D$1&amp;"C"&amp;$A37)-$A$4*$A$4*RTD("tos.rtd",,"OPEN_INT","."&amp;D$2&amp;D$1&amp;"P"&amp;$A37)*RTD("tos.rtd",,"GAMMA","."&amp;D$2&amp;D$1&amp;"P"&amp;$A37))/1000000,0),IF($A$2="SKEW",IFERROR(VALUE(IF(RTD("tos.rtd",,"IMPL_VOL","."&amp;D$2&amp;D$1&amp;"P"&amp;$A37)="N/A",0,RTD("tos.rtd",,"IMPL_VOL","."&amp;D$2&amp;D$1&amp;"P"&amp;$A37))),0)-IFERROR(VALUE(IF(RTD("tos.rtd",,"IMPL_VOL","."&amp;D$2&amp;D$1&amp;"C"&amp;$A37)="N/A",0,RTD("tos.rtd",,"IMPL_VOL","."&amp;D$2&amp;D$1&amp;"C"&amp;$A37))),0),IF($A$2="MAXPAIN",IF($A$4&gt;$A37,($A$4-$A37)*IF(RTD("tos.rtd",,"OPEN_INT","."&amp;D$2&amp;D$1&amp;"C"&amp;$A37)="N/A",0,RTD("tos.rtd",,"OPEN_INT","."&amp;D$2&amp;D$1&amp;"C"&amp;$A37)),0)+IF($A$4&lt;$A37,($A37-$A$4)*IF(RTD("tos.rtd",,"OPEN_INT","."&amp;D$2&amp;D$1&amp;"P"&amp;$A37)="N/A",0,RTD("tos.rtd",,"OPEN_INT","."&amp;D$2&amp;D$1&amp;"P"&amp;$A37)),0),IF(RTD("tos.rtd",,$A$2,"."&amp;D$2&amp;D$1&amp;"C"&amp;$A37)="N/A",0,RTD("tos.rtd",,$A$2,"."&amp;D$2&amp;D$1&amp;"C"&amp;$A37))-IF(RTD("tos.rtd",,$A$2,"."&amp;D$2&amp;D$1&amp;"P"&amp;$A37)="N/A",0,RTD("tos.rtd",,$A$2,"."&amp;D$2&amp;D$1&amp;"P"&amp;$A37)))))))))</f>
        <v>0</v>
      </c>
      <c r="E37" s="12">
        <f>IF($A$2="PREMIUM_OI",IFERROR((100*RTD("tos.rtd",,"OPEN_INT","."&amp;E$2&amp;E$1&amp;"C"&amp;$A37)*RTD("tos.rtd",,"LAST","."&amp;E$2&amp;E$1&amp;"C"&amp;$A37)-100*RTD("tos.rtd",,"OPEN_INT","."&amp;E$2&amp;E$1&amp;"P"&amp;$A37)*RTD("tos.rtd",,"LAST","."&amp;E$2&amp;E$1&amp;"P"&amp;$A37))/1000000,0),IF($A$2="PREMIUM",IFERROR((100*RTD("tos.rtd",,"VOLUME","."&amp;E$2&amp;E$1&amp;"C"&amp;$A37)*RTD("tos.rtd",,"LAST","."&amp;E$2&amp;E$1&amp;"C"&amp;$A37)-100*RTD("tos.rtd",,"VOLUME","."&amp;E$2&amp;E$1&amp;"P"&amp;$A37)*RTD("tos.rtd",,"LAST","."&amp;E$2&amp;E$1&amp;"P"&amp;$A37))/1000000,0),IF($A$2="DEX",IFERROR((100*RTD("tos.rtd",,"OPEN_INT","."&amp;E$2&amp;E$1&amp;"C"&amp;$A37)*RTD("tos.rtd",,"DELTA","."&amp;E$2&amp;E$1&amp;"C"&amp;$A37)-100*RTD("tos.rtd",,"OPEN_INT","."&amp;E$2&amp;E$1&amp;"P"&amp;$A37)*RTD("tos.rtd",,"DELTA","."&amp;E$2&amp;E$1&amp;"P"&amp;$A37))/1000,0),IF($A$2="VEX",IFERROR(($A$4*$A$4*RTD("tos.rtd",,"VOLUME","."&amp;E$2&amp;E$1&amp;"C"&amp;$A37)*RTD("tos.rtd",,"GAMMA","."&amp;E$2&amp;E$1&amp;"C"&amp;$A37)-$A$4*$A$4*RTD("tos.rtd",,"VOLUME","."&amp;E$2&amp;E$1&amp;"P"&amp;$A37)*RTD("tos.rtd",,"GAMMA","."&amp;E$2&amp;E$1&amp;"P"&amp;$A37))/1000000,0),IF($A$2="GEX",IFERROR(($A$4*$A$4*RTD("tos.rtd",,"OPEN_INT","."&amp;E$2&amp;E$1&amp;"C"&amp;$A37)*RTD("tos.rtd",,"GAMMA","."&amp;E$2&amp;E$1&amp;"C"&amp;$A37)-$A$4*$A$4*RTD("tos.rtd",,"OPEN_INT","."&amp;E$2&amp;E$1&amp;"P"&amp;$A37)*RTD("tos.rtd",,"GAMMA","."&amp;E$2&amp;E$1&amp;"P"&amp;$A37))/1000000,0),IF($A$2="SKEW",IFERROR(VALUE(IF(RTD("tos.rtd",,"IMPL_VOL","."&amp;E$2&amp;E$1&amp;"P"&amp;$A37)="N/A",0,RTD("tos.rtd",,"IMPL_VOL","."&amp;E$2&amp;E$1&amp;"P"&amp;$A37))),0)-IFERROR(VALUE(IF(RTD("tos.rtd",,"IMPL_VOL","."&amp;E$2&amp;E$1&amp;"C"&amp;$A37)="N/A",0,RTD("tos.rtd",,"IMPL_VOL","."&amp;E$2&amp;E$1&amp;"C"&amp;$A37))),0),IF($A$2="MAXPAIN",IF($A$4&gt;$A37,($A$4-$A37)*IF(RTD("tos.rtd",,"OPEN_INT","."&amp;E$2&amp;E$1&amp;"C"&amp;$A37)="N/A",0,RTD("tos.rtd",,"OPEN_INT","."&amp;E$2&amp;E$1&amp;"C"&amp;$A37)),0)+IF($A$4&lt;$A37,($A37-$A$4)*IF(RTD("tos.rtd",,"OPEN_INT","."&amp;E$2&amp;E$1&amp;"P"&amp;$A37)="N/A",0,RTD("tos.rtd",,"OPEN_INT","."&amp;E$2&amp;E$1&amp;"P"&amp;$A37)),0),IF(RTD("tos.rtd",,$A$2,"."&amp;E$2&amp;E$1&amp;"C"&amp;$A37)="N/A",0,RTD("tos.rtd",,$A$2,"."&amp;E$2&amp;E$1&amp;"C"&amp;$A37))-IF(RTD("tos.rtd",,$A$2,"."&amp;E$2&amp;E$1&amp;"P"&amp;$A37)="N/A",0,RTD("tos.rtd",,$A$2,"."&amp;E$2&amp;E$1&amp;"P"&amp;$A37)))))))))</f>
        <v>0</v>
      </c>
      <c r="F37" s="12">
        <f>IF($A$2="PREMIUM_OI",IFERROR((100*RTD("tos.rtd",,"OPEN_INT","."&amp;F$2&amp;F$1&amp;"C"&amp;$A37)*RTD("tos.rtd",,"LAST","."&amp;F$2&amp;F$1&amp;"C"&amp;$A37)-100*RTD("tos.rtd",,"OPEN_INT","."&amp;F$2&amp;F$1&amp;"P"&amp;$A37)*RTD("tos.rtd",,"LAST","."&amp;F$2&amp;F$1&amp;"P"&amp;$A37))/1000000,0),IF($A$2="PREMIUM",IFERROR((100*RTD("tos.rtd",,"VOLUME","."&amp;F$2&amp;F$1&amp;"C"&amp;$A37)*RTD("tos.rtd",,"LAST","."&amp;F$2&amp;F$1&amp;"C"&amp;$A37)-100*RTD("tos.rtd",,"VOLUME","."&amp;F$2&amp;F$1&amp;"P"&amp;$A37)*RTD("tos.rtd",,"LAST","."&amp;F$2&amp;F$1&amp;"P"&amp;$A37))/1000000,0),IF($A$2="DEX",IFERROR((100*RTD("tos.rtd",,"OPEN_INT","."&amp;F$2&amp;F$1&amp;"C"&amp;$A37)*RTD("tos.rtd",,"DELTA","."&amp;F$2&amp;F$1&amp;"C"&amp;$A37)-100*RTD("tos.rtd",,"OPEN_INT","."&amp;F$2&amp;F$1&amp;"P"&amp;$A37)*RTD("tos.rtd",,"DELTA","."&amp;F$2&amp;F$1&amp;"P"&amp;$A37))/1000,0),IF($A$2="VEX",IFERROR(($A$4*$A$4*RTD("tos.rtd",,"VOLUME","."&amp;F$2&amp;F$1&amp;"C"&amp;$A37)*RTD("tos.rtd",,"GAMMA","."&amp;F$2&amp;F$1&amp;"C"&amp;$A37)-$A$4*$A$4*RTD("tos.rtd",,"VOLUME","."&amp;F$2&amp;F$1&amp;"P"&amp;$A37)*RTD("tos.rtd",,"GAMMA","."&amp;F$2&amp;F$1&amp;"P"&amp;$A37))/1000000,0),IF($A$2="GEX",IFERROR(($A$4*$A$4*RTD("tos.rtd",,"OPEN_INT","."&amp;F$2&amp;F$1&amp;"C"&amp;$A37)*RTD("tos.rtd",,"GAMMA","."&amp;F$2&amp;F$1&amp;"C"&amp;$A37)-$A$4*$A$4*RTD("tos.rtd",,"OPEN_INT","."&amp;F$2&amp;F$1&amp;"P"&amp;$A37)*RTD("tos.rtd",,"GAMMA","."&amp;F$2&amp;F$1&amp;"P"&amp;$A37))/1000000,0),IF($A$2="SKEW",IFERROR(VALUE(IF(RTD("tos.rtd",,"IMPL_VOL","."&amp;F$2&amp;F$1&amp;"P"&amp;$A37)="N/A",0,RTD("tos.rtd",,"IMPL_VOL","."&amp;F$2&amp;F$1&amp;"P"&amp;$A37))),0)-IFERROR(VALUE(IF(RTD("tos.rtd",,"IMPL_VOL","."&amp;F$2&amp;F$1&amp;"C"&amp;$A37)="N/A",0,RTD("tos.rtd",,"IMPL_VOL","."&amp;F$2&amp;F$1&amp;"C"&amp;$A37))),0),IF($A$2="MAXPAIN",IF($A$4&gt;$A37,($A$4-$A37)*IF(RTD("tos.rtd",,"OPEN_INT","."&amp;F$2&amp;F$1&amp;"C"&amp;$A37)="N/A",0,RTD("tos.rtd",,"OPEN_INT","."&amp;F$2&amp;F$1&amp;"C"&amp;$A37)),0)+IF($A$4&lt;$A37,($A37-$A$4)*IF(RTD("tos.rtd",,"OPEN_INT","."&amp;F$2&amp;F$1&amp;"P"&amp;$A37)="N/A",0,RTD("tos.rtd",,"OPEN_INT","."&amp;F$2&amp;F$1&amp;"P"&amp;$A37)),0),IF(RTD("tos.rtd",,$A$2,"."&amp;F$2&amp;F$1&amp;"C"&amp;$A37)="N/A",0,RTD("tos.rtd",,$A$2,"."&amp;F$2&amp;F$1&amp;"C"&amp;$A37))-IF(RTD("tos.rtd",,$A$2,"."&amp;F$2&amp;F$1&amp;"P"&amp;$A37)="N/A",0,RTD("tos.rtd",,$A$2,"."&amp;F$2&amp;F$1&amp;"P"&amp;$A37)))))))))</f>
        <v>0</v>
      </c>
      <c r="G37" s="14">
        <f>IF($A$2="PREMIUM_OI",IFERROR((100*RTD("tos.rtd",,"OPEN_INT","."&amp;G$2&amp;G$1&amp;"C"&amp;$A37)*RTD("tos.rtd",,"LAST","."&amp;G$2&amp;G$1&amp;"C"&amp;$A37)-100*RTD("tos.rtd",,"OPEN_INT","."&amp;G$2&amp;G$1&amp;"P"&amp;$A37)*RTD("tos.rtd",,"LAST","."&amp;G$2&amp;G$1&amp;"P"&amp;$A37))/1000000,0),IF($A$2="PREMIUM",IFERROR((100*RTD("tos.rtd",,"VOLUME","."&amp;G$2&amp;G$1&amp;"C"&amp;$A37)*RTD("tos.rtd",,"LAST","."&amp;G$2&amp;G$1&amp;"C"&amp;$A37)-100*RTD("tos.rtd",,"VOLUME","."&amp;G$2&amp;G$1&amp;"P"&amp;$A37)*RTD("tos.rtd",,"LAST","."&amp;G$2&amp;G$1&amp;"P"&amp;$A37))/1000000,0),IF($A$2="DEX",IFERROR((100*RTD("tos.rtd",,"OPEN_INT","."&amp;G$2&amp;G$1&amp;"C"&amp;$A37)*RTD("tos.rtd",,"DELTA","."&amp;G$2&amp;G$1&amp;"C"&amp;$A37)-100*RTD("tos.rtd",,"OPEN_INT","."&amp;G$2&amp;G$1&amp;"P"&amp;$A37)*RTD("tos.rtd",,"DELTA","."&amp;G$2&amp;G$1&amp;"P"&amp;$A37))/1000,0),IF($A$2="VEX",IFERROR(($A$4*$A$4*RTD("tos.rtd",,"VOLUME","."&amp;G$2&amp;G$1&amp;"C"&amp;$A37)*RTD("tos.rtd",,"GAMMA","."&amp;G$2&amp;G$1&amp;"C"&amp;$A37)-$A$4*$A$4*RTD("tos.rtd",,"VOLUME","."&amp;G$2&amp;G$1&amp;"P"&amp;$A37)*RTD("tos.rtd",,"GAMMA","."&amp;G$2&amp;G$1&amp;"P"&amp;$A37))/1000000,0),IF($A$2="GEX",IFERROR(($A$4*$A$4*RTD("tos.rtd",,"OPEN_INT","."&amp;G$2&amp;G$1&amp;"C"&amp;$A37)*RTD("tos.rtd",,"GAMMA","."&amp;G$2&amp;G$1&amp;"C"&amp;$A37)-$A$4*$A$4*RTD("tos.rtd",,"OPEN_INT","."&amp;G$2&amp;G$1&amp;"P"&amp;$A37)*RTD("tos.rtd",,"GAMMA","."&amp;G$2&amp;G$1&amp;"P"&amp;$A37))/1000000,0),IF($A$2="SKEW",IFERROR(VALUE(IF(RTD("tos.rtd",,"IMPL_VOL","."&amp;G$2&amp;G$1&amp;"P"&amp;$A37)="N/A",0,RTD("tos.rtd",,"IMPL_VOL","."&amp;G$2&amp;G$1&amp;"P"&amp;$A37))),0)-IFERROR(VALUE(IF(RTD("tos.rtd",,"IMPL_VOL","."&amp;G$2&amp;G$1&amp;"C"&amp;$A37)="N/A",0,RTD("tos.rtd",,"IMPL_VOL","."&amp;G$2&amp;G$1&amp;"C"&amp;$A37))),0),IF($A$2="MAXPAIN",IF($A$4&gt;$A37,($A$4-$A37)*IF(RTD("tos.rtd",,"OPEN_INT","."&amp;G$2&amp;G$1&amp;"C"&amp;$A37)="N/A",0,RTD("tos.rtd",,"OPEN_INT","."&amp;G$2&amp;G$1&amp;"C"&amp;$A37)),0)+IF($A$4&lt;$A37,($A37-$A$4)*IF(RTD("tos.rtd",,"OPEN_INT","."&amp;G$2&amp;G$1&amp;"P"&amp;$A37)="N/A",0,RTD("tos.rtd",,"OPEN_INT","."&amp;G$2&amp;G$1&amp;"P"&amp;$A37)),0),IF(RTD("tos.rtd",,$A$2,"."&amp;G$2&amp;G$1&amp;"C"&amp;$A37)="N/A",0,RTD("tos.rtd",,$A$2,"."&amp;G$2&amp;G$1&amp;"C"&amp;$A37))-IF(RTD("tos.rtd",,$A$2,"."&amp;G$2&amp;G$1&amp;"P"&amp;$A37)="N/A",0,RTD("tos.rtd",,$A$2,"."&amp;G$2&amp;G$1&amp;"P"&amp;$A37)))))))))</f>
        <v>0</v>
      </c>
      <c r="H37" s="12">
        <f>IF($A$2="PREMIUM_OI",IFERROR((100*RTD("tos.rtd",,"OPEN_INT","."&amp;H$2&amp;H$1&amp;"C"&amp;$A37)*RTD("tos.rtd",,"LAST","."&amp;H$2&amp;H$1&amp;"C"&amp;$A37)-100*RTD("tos.rtd",,"OPEN_INT","."&amp;H$2&amp;H$1&amp;"P"&amp;$A37)*RTD("tos.rtd",,"LAST","."&amp;H$2&amp;H$1&amp;"P"&amp;$A37))/1000000,0),IF($A$2="PREMIUM",IFERROR((100*RTD("tos.rtd",,"VOLUME","."&amp;H$2&amp;H$1&amp;"C"&amp;$A37)*RTD("tos.rtd",,"LAST","."&amp;H$2&amp;H$1&amp;"C"&amp;$A37)-100*RTD("tos.rtd",,"VOLUME","."&amp;H$2&amp;H$1&amp;"P"&amp;$A37)*RTD("tos.rtd",,"LAST","."&amp;H$2&amp;H$1&amp;"P"&amp;$A37))/1000000,0),IF($A$2="DEX",IFERROR((100*RTD("tos.rtd",,"OPEN_INT","."&amp;H$2&amp;H$1&amp;"C"&amp;$A37)*RTD("tos.rtd",,"DELTA","."&amp;H$2&amp;H$1&amp;"C"&amp;$A37)-100*RTD("tos.rtd",,"OPEN_INT","."&amp;H$2&amp;H$1&amp;"P"&amp;$A37)*RTD("tos.rtd",,"DELTA","."&amp;H$2&amp;H$1&amp;"P"&amp;$A37))/1000,0),IF($A$2="VEX",IFERROR(($A$4*$A$4*RTD("tos.rtd",,"VOLUME","."&amp;H$2&amp;H$1&amp;"C"&amp;$A37)*RTD("tos.rtd",,"GAMMA","."&amp;H$2&amp;H$1&amp;"C"&amp;$A37)-$A$4*$A$4*RTD("tos.rtd",,"VOLUME","."&amp;H$2&amp;H$1&amp;"P"&amp;$A37)*RTD("tos.rtd",,"GAMMA","."&amp;H$2&amp;H$1&amp;"P"&amp;$A37))/1000000,0),IF($A$2="GEX",IFERROR(($A$4*$A$4*RTD("tos.rtd",,"OPEN_INT","."&amp;H$2&amp;H$1&amp;"C"&amp;$A37)*RTD("tos.rtd",,"GAMMA","."&amp;H$2&amp;H$1&amp;"C"&amp;$A37)-$A$4*$A$4*RTD("tos.rtd",,"OPEN_INT","."&amp;H$2&amp;H$1&amp;"P"&amp;$A37)*RTD("tos.rtd",,"GAMMA","."&amp;H$2&amp;H$1&amp;"P"&amp;$A37))/1000000,0),IF($A$2="SKEW",IFERROR(VALUE(IF(RTD("tos.rtd",,"IMPL_VOL","."&amp;H$2&amp;H$1&amp;"P"&amp;$A37)="N/A",0,RTD("tos.rtd",,"IMPL_VOL","."&amp;H$2&amp;H$1&amp;"P"&amp;$A37))),0)-IFERROR(VALUE(IF(RTD("tos.rtd",,"IMPL_VOL","."&amp;H$2&amp;H$1&amp;"C"&amp;$A37)="N/A",0,RTD("tos.rtd",,"IMPL_VOL","."&amp;H$2&amp;H$1&amp;"C"&amp;$A37))),0),IF($A$2="MAXPAIN",IF($A$4&gt;$A37,($A$4-$A37)*IF(RTD("tos.rtd",,"OPEN_INT","."&amp;H$2&amp;H$1&amp;"C"&amp;$A37)="N/A",0,RTD("tos.rtd",,"OPEN_INT","."&amp;H$2&amp;H$1&amp;"C"&amp;$A37)),0)+IF($A$4&lt;$A37,($A37-$A$4)*IF(RTD("tos.rtd",,"OPEN_INT","."&amp;H$2&amp;H$1&amp;"P"&amp;$A37)="N/A",0,RTD("tos.rtd",,"OPEN_INT","."&amp;H$2&amp;H$1&amp;"P"&amp;$A37)),0),IF(RTD("tos.rtd",,$A$2,"."&amp;H$2&amp;H$1&amp;"C"&amp;$A37)="N/A",0,RTD("tos.rtd",,$A$2,"."&amp;H$2&amp;H$1&amp;"C"&amp;$A37))-IF(RTD("tos.rtd",,$A$2,"."&amp;H$2&amp;H$1&amp;"P"&amp;$A37)="N/A",0,RTD("tos.rtd",,$A$2,"."&amp;H$2&amp;H$1&amp;"P"&amp;$A37)))))))))</f>
        <v>-736</v>
      </c>
      <c r="I37" s="12">
        <f>IF($A$2="PREMIUM_OI",IFERROR((100*RTD("tos.rtd",,"OPEN_INT","."&amp;I$2&amp;I$1&amp;"C"&amp;$A37)*RTD("tos.rtd",,"LAST","."&amp;I$2&amp;I$1&amp;"C"&amp;$A37)-100*RTD("tos.rtd",,"OPEN_INT","."&amp;I$2&amp;I$1&amp;"P"&amp;$A37)*RTD("tos.rtd",,"LAST","."&amp;I$2&amp;I$1&amp;"P"&amp;$A37))/1000000,0),IF($A$2="PREMIUM",IFERROR((100*RTD("tos.rtd",,"VOLUME","."&amp;I$2&amp;I$1&amp;"C"&amp;$A37)*RTD("tos.rtd",,"LAST","."&amp;I$2&amp;I$1&amp;"C"&amp;$A37)-100*RTD("tos.rtd",,"VOLUME","."&amp;I$2&amp;I$1&amp;"P"&amp;$A37)*RTD("tos.rtd",,"LAST","."&amp;I$2&amp;I$1&amp;"P"&amp;$A37))/1000000,0),IF($A$2="DEX",IFERROR((100*RTD("tos.rtd",,"OPEN_INT","."&amp;I$2&amp;I$1&amp;"C"&amp;$A37)*RTD("tos.rtd",,"DELTA","."&amp;I$2&amp;I$1&amp;"C"&amp;$A37)-100*RTD("tos.rtd",,"OPEN_INT","."&amp;I$2&amp;I$1&amp;"P"&amp;$A37)*RTD("tos.rtd",,"DELTA","."&amp;I$2&amp;I$1&amp;"P"&amp;$A37))/1000,0),IF($A$2="VEX",IFERROR(($A$4*$A$4*RTD("tos.rtd",,"VOLUME","."&amp;I$2&amp;I$1&amp;"C"&amp;$A37)*RTD("tos.rtd",,"GAMMA","."&amp;I$2&amp;I$1&amp;"C"&amp;$A37)-$A$4*$A$4*RTD("tos.rtd",,"VOLUME","."&amp;I$2&amp;I$1&amp;"P"&amp;$A37)*RTD("tos.rtd",,"GAMMA","."&amp;I$2&amp;I$1&amp;"P"&amp;$A37))/1000000,0),IF($A$2="GEX",IFERROR(($A$4*$A$4*RTD("tos.rtd",,"OPEN_INT","."&amp;I$2&amp;I$1&amp;"C"&amp;$A37)*RTD("tos.rtd",,"GAMMA","."&amp;I$2&amp;I$1&amp;"C"&amp;$A37)-$A$4*$A$4*RTD("tos.rtd",,"OPEN_INT","."&amp;I$2&amp;I$1&amp;"P"&amp;$A37)*RTD("tos.rtd",,"GAMMA","."&amp;I$2&amp;I$1&amp;"P"&amp;$A37))/1000000,0),IF($A$2="SKEW",IFERROR(VALUE(IF(RTD("tos.rtd",,"IMPL_VOL","."&amp;I$2&amp;I$1&amp;"P"&amp;$A37)="N/A",0,RTD("tos.rtd",,"IMPL_VOL","."&amp;I$2&amp;I$1&amp;"P"&amp;$A37))),0)-IFERROR(VALUE(IF(RTD("tos.rtd",,"IMPL_VOL","."&amp;I$2&amp;I$1&amp;"C"&amp;$A37)="N/A",0,RTD("tos.rtd",,"IMPL_VOL","."&amp;I$2&amp;I$1&amp;"C"&amp;$A37))),0),IF($A$2="MAXPAIN",IF($A$4&gt;$A37,($A$4-$A37)*IF(RTD("tos.rtd",,"OPEN_INT","."&amp;I$2&amp;I$1&amp;"C"&amp;$A37)="N/A",0,RTD("tos.rtd",,"OPEN_INT","."&amp;I$2&amp;I$1&amp;"C"&amp;$A37)),0)+IF($A$4&lt;$A37,($A37-$A$4)*IF(RTD("tos.rtd",,"OPEN_INT","."&amp;I$2&amp;I$1&amp;"P"&amp;$A37)="N/A",0,RTD("tos.rtd",,"OPEN_INT","."&amp;I$2&amp;I$1&amp;"P"&amp;$A37)),0),IF(RTD("tos.rtd",,$A$2,"."&amp;I$2&amp;I$1&amp;"C"&amp;$A37)="N/A",0,RTD("tos.rtd",,$A$2,"."&amp;I$2&amp;I$1&amp;"C"&amp;$A37))-IF(RTD("tos.rtd",,$A$2,"."&amp;I$2&amp;I$1&amp;"P"&amp;$A37)="N/A",0,RTD("tos.rtd",,$A$2,"."&amp;I$2&amp;I$1&amp;"P"&amp;$A37)))))))))</f>
        <v>0</v>
      </c>
      <c r="J37" s="12">
        <f>IF($A$2="PREMIUM_OI",IFERROR((100*RTD("tos.rtd",,"OPEN_INT","."&amp;J$2&amp;J$1&amp;"C"&amp;$A37)*RTD("tos.rtd",,"LAST","."&amp;J$2&amp;J$1&amp;"C"&amp;$A37)-100*RTD("tos.rtd",,"OPEN_INT","."&amp;J$2&amp;J$1&amp;"P"&amp;$A37)*RTD("tos.rtd",,"LAST","."&amp;J$2&amp;J$1&amp;"P"&amp;$A37))/1000000,0),IF($A$2="PREMIUM",IFERROR((100*RTD("tos.rtd",,"VOLUME","."&amp;J$2&amp;J$1&amp;"C"&amp;$A37)*RTD("tos.rtd",,"LAST","."&amp;J$2&amp;J$1&amp;"C"&amp;$A37)-100*RTD("tos.rtd",,"VOLUME","."&amp;J$2&amp;J$1&amp;"P"&amp;$A37)*RTD("tos.rtd",,"LAST","."&amp;J$2&amp;J$1&amp;"P"&amp;$A37))/1000000,0),IF($A$2="DEX",IFERROR((100*RTD("tos.rtd",,"OPEN_INT","."&amp;J$2&amp;J$1&amp;"C"&amp;$A37)*RTD("tos.rtd",,"DELTA","."&amp;J$2&amp;J$1&amp;"C"&amp;$A37)-100*RTD("tos.rtd",,"OPEN_INT","."&amp;J$2&amp;J$1&amp;"P"&amp;$A37)*RTD("tos.rtd",,"DELTA","."&amp;J$2&amp;J$1&amp;"P"&amp;$A37))/1000,0),IF($A$2="VEX",IFERROR(($A$4*$A$4*RTD("tos.rtd",,"VOLUME","."&amp;J$2&amp;J$1&amp;"C"&amp;$A37)*RTD("tos.rtd",,"GAMMA","."&amp;J$2&amp;J$1&amp;"C"&amp;$A37)-$A$4*$A$4*RTD("tos.rtd",,"VOLUME","."&amp;J$2&amp;J$1&amp;"P"&amp;$A37)*RTD("tos.rtd",,"GAMMA","."&amp;J$2&amp;J$1&amp;"P"&amp;$A37))/1000000,0),IF($A$2="GEX",IFERROR(($A$4*$A$4*RTD("tos.rtd",,"OPEN_INT","."&amp;J$2&amp;J$1&amp;"C"&amp;$A37)*RTD("tos.rtd",,"GAMMA","."&amp;J$2&amp;J$1&amp;"C"&amp;$A37)-$A$4*$A$4*RTD("tos.rtd",,"OPEN_INT","."&amp;J$2&amp;J$1&amp;"P"&amp;$A37)*RTD("tos.rtd",,"GAMMA","."&amp;J$2&amp;J$1&amp;"P"&amp;$A37))/1000000,0),IF($A$2="SKEW",IFERROR(VALUE(IF(RTD("tos.rtd",,"IMPL_VOL","."&amp;J$2&amp;J$1&amp;"P"&amp;$A37)="N/A",0,RTD("tos.rtd",,"IMPL_VOL","."&amp;J$2&amp;J$1&amp;"P"&amp;$A37))),0)-IFERROR(VALUE(IF(RTD("tos.rtd",,"IMPL_VOL","."&amp;J$2&amp;J$1&amp;"C"&amp;$A37)="N/A",0,RTD("tos.rtd",,"IMPL_VOL","."&amp;J$2&amp;J$1&amp;"C"&amp;$A37))),0),IF($A$2="MAXPAIN",IF($A$4&gt;$A37,($A$4-$A37)*IF(RTD("tos.rtd",,"OPEN_INT","."&amp;J$2&amp;J$1&amp;"C"&amp;$A37)="N/A",0,RTD("tos.rtd",,"OPEN_INT","."&amp;J$2&amp;J$1&amp;"C"&amp;$A37)),0)+IF($A$4&lt;$A37,($A37-$A$4)*IF(RTD("tos.rtd",,"OPEN_INT","."&amp;J$2&amp;J$1&amp;"P"&amp;$A37)="N/A",0,RTD("tos.rtd",,"OPEN_INT","."&amp;J$2&amp;J$1&amp;"P"&amp;$A37)),0),IF(RTD("tos.rtd",,$A$2,"."&amp;J$2&amp;J$1&amp;"C"&amp;$A37)="N/A",0,RTD("tos.rtd",,$A$2,"."&amp;J$2&amp;J$1&amp;"C"&amp;$A37))-IF(RTD("tos.rtd",,$A$2,"."&amp;J$2&amp;J$1&amp;"P"&amp;$A37)="N/A",0,RTD("tos.rtd",,$A$2,"."&amp;J$2&amp;J$1&amp;"P"&amp;$A37)))))))))</f>
        <v>0</v>
      </c>
      <c r="K37" s="12">
        <f>IF($A$2="PREMIUM_OI",IFERROR((100*RTD("tos.rtd",,"OPEN_INT","."&amp;K$2&amp;K$1&amp;"C"&amp;$A37)*RTD("tos.rtd",,"LAST","."&amp;K$2&amp;K$1&amp;"C"&amp;$A37)-100*RTD("tos.rtd",,"OPEN_INT","."&amp;K$2&amp;K$1&amp;"P"&amp;$A37)*RTD("tos.rtd",,"LAST","."&amp;K$2&amp;K$1&amp;"P"&amp;$A37))/1000000,0),IF($A$2="PREMIUM",IFERROR((100*RTD("tos.rtd",,"VOLUME","."&amp;K$2&amp;K$1&amp;"C"&amp;$A37)*RTD("tos.rtd",,"LAST","."&amp;K$2&amp;K$1&amp;"C"&amp;$A37)-100*RTD("tos.rtd",,"VOLUME","."&amp;K$2&amp;K$1&amp;"P"&amp;$A37)*RTD("tos.rtd",,"LAST","."&amp;K$2&amp;K$1&amp;"P"&amp;$A37))/1000000,0),IF($A$2="DEX",IFERROR((100*RTD("tos.rtd",,"OPEN_INT","."&amp;K$2&amp;K$1&amp;"C"&amp;$A37)*RTD("tos.rtd",,"DELTA","."&amp;K$2&amp;K$1&amp;"C"&amp;$A37)-100*RTD("tos.rtd",,"OPEN_INT","."&amp;K$2&amp;K$1&amp;"P"&amp;$A37)*RTD("tos.rtd",,"DELTA","."&amp;K$2&amp;K$1&amp;"P"&amp;$A37))/1000,0),IF($A$2="VEX",IFERROR(($A$4*$A$4*RTD("tos.rtd",,"VOLUME","."&amp;K$2&amp;K$1&amp;"C"&amp;$A37)*RTD("tos.rtd",,"GAMMA","."&amp;K$2&amp;K$1&amp;"C"&amp;$A37)-$A$4*$A$4*RTD("tos.rtd",,"VOLUME","."&amp;K$2&amp;K$1&amp;"P"&amp;$A37)*RTD("tos.rtd",,"GAMMA","."&amp;K$2&amp;K$1&amp;"P"&amp;$A37))/1000000,0),IF($A$2="GEX",IFERROR(($A$4*$A$4*RTD("tos.rtd",,"OPEN_INT","."&amp;K$2&amp;K$1&amp;"C"&amp;$A37)*RTD("tos.rtd",,"GAMMA","."&amp;K$2&amp;K$1&amp;"C"&amp;$A37)-$A$4*$A$4*RTD("tos.rtd",,"OPEN_INT","."&amp;K$2&amp;K$1&amp;"P"&amp;$A37)*RTD("tos.rtd",,"GAMMA","."&amp;K$2&amp;K$1&amp;"P"&amp;$A37))/1000000,0),IF($A$2="SKEW",IFERROR(VALUE(IF(RTD("tos.rtd",,"IMPL_VOL","."&amp;K$2&amp;K$1&amp;"P"&amp;$A37)="N/A",0,RTD("tos.rtd",,"IMPL_VOL","."&amp;K$2&amp;K$1&amp;"P"&amp;$A37))),0)-IFERROR(VALUE(IF(RTD("tos.rtd",,"IMPL_VOL","."&amp;K$2&amp;K$1&amp;"C"&amp;$A37)="N/A",0,RTD("tos.rtd",,"IMPL_VOL","."&amp;K$2&amp;K$1&amp;"C"&amp;$A37))),0),IF($A$2="MAXPAIN",IF($A$4&gt;$A37,($A$4-$A37)*IF(RTD("tos.rtd",,"OPEN_INT","."&amp;K$2&amp;K$1&amp;"C"&amp;$A37)="N/A",0,RTD("tos.rtd",,"OPEN_INT","."&amp;K$2&amp;K$1&amp;"C"&amp;$A37)),0)+IF($A$4&lt;$A37,($A37-$A$4)*IF(RTD("tos.rtd",,"OPEN_INT","."&amp;K$2&amp;K$1&amp;"P"&amp;$A37)="N/A",0,RTD("tos.rtd",,"OPEN_INT","."&amp;K$2&amp;K$1&amp;"P"&amp;$A37)),0),IF(RTD("tos.rtd",,$A$2,"."&amp;K$2&amp;K$1&amp;"C"&amp;$A37)="N/A",0,RTD("tos.rtd",,$A$2,"."&amp;K$2&amp;K$1&amp;"C"&amp;$A37))-IF(RTD("tos.rtd",,$A$2,"."&amp;K$2&amp;K$1&amp;"P"&amp;$A37)="N/A",0,RTD("tos.rtd",,$A$2,"."&amp;K$2&amp;K$1&amp;"P"&amp;$A37)))))))))</f>
        <v>0</v>
      </c>
      <c r="L37" s="12">
        <f>IF($A$2="PREMIUM_OI",IFERROR((100*RTD("tos.rtd",,"OPEN_INT","."&amp;L$2&amp;L$1&amp;"C"&amp;$A37)*RTD("tos.rtd",,"LAST","."&amp;L$2&amp;L$1&amp;"C"&amp;$A37)-100*RTD("tos.rtd",,"OPEN_INT","."&amp;L$2&amp;L$1&amp;"P"&amp;$A37)*RTD("tos.rtd",,"LAST","."&amp;L$2&amp;L$1&amp;"P"&amp;$A37))/1000000,0),IF($A$2="PREMIUM",IFERROR((100*RTD("tos.rtd",,"VOLUME","."&amp;L$2&amp;L$1&amp;"C"&amp;$A37)*RTD("tos.rtd",,"LAST","."&amp;L$2&amp;L$1&amp;"C"&amp;$A37)-100*RTD("tos.rtd",,"VOLUME","."&amp;L$2&amp;L$1&amp;"P"&amp;$A37)*RTD("tos.rtd",,"LAST","."&amp;L$2&amp;L$1&amp;"P"&amp;$A37))/1000000,0),IF($A$2="DEX",IFERROR((100*RTD("tos.rtd",,"OPEN_INT","."&amp;L$2&amp;L$1&amp;"C"&amp;$A37)*RTD("tos.rtd",,"DELTA","."&amp;L$2&amp;L$1&amp;"C"&amp;$A37)-100*RTD("tos.rtd",,"OPEN_INT","."&amp;L$2&amp;L$1&amp;"P"&amp;$A37)*RTD("tos.rtd",,"DELTA","."&amp;L$2&amp;L$1&amp;"P"&amp;$A37))/1000,0),IF($A$2="VEX",IFERROR(($A$4*$A$4*RTD("tos.rtd",,"VOLUME","."&amp;L$2&amp;L$1&amp;"C"&amp;$A37)*RTD("tos.rtd",,"GAMMA","."&amp;L$2&amp;L$1&amp;"C"&amp;$A37)-$A$4*$A$4*RTD("tos.rtd",,"VOLUME","."&amp;L$2&amp;L$1&amp;"P"&amp;$A37)*RTD("tos.rtd",,"GAMMA","."&amp;L$2&amp;L$1&amp;"P"&amp;$A37))/1000000,0),IF($A$2="GEX",IFERROR(($A$4*$A$4*RTD("tos.rtd",,"OPEN_INT","."&amp;L$2&amp;L$1&amp;"C"&amp;$A37)*RTD("tos.rtd",,"GAMMA","."&amp;L$2&amp;L$1&amp;"C"&amp;$A37)-$A$4*$A$4*RTD("tos.rtd",,"OPEN_INT","."&amp;L$2&amp;L$1&amp;"P"&amp;$A37)*RTD("tos.rtd",,"GAMMA","."&amp;L$2&amp;L$1&amp;"P"&amp;$A37))/1000000,0),IF($A$2="SKEW",IFERROR(VALUE(IF(RTD("tos.rtd",,"IMPL_VOL","."&amp;L$2&amp;L$1&amp;"P"&amp;$A37)="N/A",0,RTD("tos.rtd",,"IMPL_VOL","."&amp;L$2&amp;L$1&amp;"P"&amp;$A37))),0)-IFERROR(VALUE(IF(RTD("tos.rtd",,"IMPL_VOL","."&amp;L$2&amp;L$1&amp;"C"&amp;$A37)="N/A",0,RTD("tos.rtd",,"IMPL_VOL","."&amp;L$2&amp;L$1&amp;"C"&amp;$A37))),0),IF($A$2="MAXPAIN",IF($A$4&gt;$A37,($A$4-$A37)*IF(RTD("tos.rtd",,"OPEN_INT","."&amp;L$2&amp;L$1&amp;"C"&amp;$A37)="N/A",0,RTD("tos.rtd",,"OPEN_INT","."&amp;L$2&amp;L$1&amp;"C"&amp;$A37)),0)+IF($A$4&lt;$A37,($A37-$A$4)*IF(RTD("tos.rtd",,"OPEN_INT","."&amp;L$2&amp;L$1&amp;"P"&amp;$A37)="N/A",0,RTD("tos.rtd",,"OPEN_INT","."&amp;L$2&amp;L$1&amp;"P"&amp;$A37)),0),IF(RTD("tos.rtd",,$A$2,"."&amp;L$2&amp;L$1&amp;"C"&amp;$A37)="N/A",0,RTD("tos.rtd",,$A$2,"."&amp;L$2&amp;L$1&amp;"C"&amp;$A37))-IF(RTD("tos.rtd",,$A$2,"."&amp;L$2&amp;L$1&amp;"P"&amp;$A37)="N/A",0,RTD("tos.rtd",,$A$2,"."&amp;L$2&amp;L$1&amp;"P"&amp;$A37)))))))))</f>
        <v>0</v>
      </c>
      <c r="M37" s="12">
        <f>IF($A$2="PREMIUM_OI",IFERROR((100*RTD("tos.rtd",,"OPEN_INT","."&amp;M$2&amp;M$1&amp;"C"&amp;$A37)*RTD("tos.rtd",,"LAST","."&amp;M$2&amp;M$1&amp;"C"&amp;$A37)-100*RTD("tos.rtd",,"OPEN_INT","."&amp;M$2&amp;M$1&amp;"P"&amp;$A37)*RTD("tos.rtd",,"LAST","."&amp;M$2&amp;M$1&amp;"P"&amp;$A37))/1000000,0),IF($A$2="PREMIUM",IFERROR((100*RTD("tos.rtd",,"VOLUME","."&amp;M$2&amp;M$1&amp;"C"&amp;$A37)*RTD("tos.rtd",,"LAST","."&amp;M$2&amp;M$1&amp;"C"&amp;$A37)-100*RTD("tos.rtd",,"VOLUME","."&amp;M$2&amp;M$1&amp;"P"&amp;$A37)*RTD("tos.rtd",,"LAST","."&amp;M$2&amp;M$1&amp;"P"&amp;$A37))/1000000,0),IF($A$2="DEX",IFERROR((100*RTD("tos.rtd",,"OPEN_INT","."&amp;M$2&amp;M$1&amp;"C"&amp;$A37)*RTD("tos.rtd",,"DELTA","."&amp;M$2&amp;M$1&amp;"C"&amp;$A37)-100*RTD("tos.rtd",,"OPEN_INT","."&amp;M$2&amp;M$1&amp;"P"&amp;$A37)*RTD("tos.rtd",,"DELTA","."&amp;M$2&amp;M$1&amp;"P"&amp;$A37))/1000,0),IF($A$2="VEX",IFERROR(($A$4*$A$4*RTD("tos.rtd",,"VOLUME","."&amp;M$2&amp;M$1&amp;"C"&amp;$A37)*RTD("tos.rtd",,"GAMMA","."&amp;M$2&amp;M$1&amp;"C"&amp;$A37)-$A$4*$A$4*RTD("tos.rtd",,"VOLUME","."&amp;M$2&amp;M$1&amp;"P"&amp;$A37)*RTD("tos.rtd",,"GAMMA","."&amp;M$2&amp;M$1&amp;"P"&amp;$A37))/1000000,0),IF($A$2="GEX",IFERROR(($A$4*$A$4*RTD("tos.rtd",,"OPEN_INT","."&amp;M$2&amp;M$1&amp;"C"&amp;$A37)*RTD("tos.rtd",,"GAMMA","."&amp;M$2&amp;M$1&amp;"C"&amp;$A37)-$A$4*$A$4*RTD("tos.rtd",,"OPEN_INT","."&amp;M$2&amp;M$1&amp;"P"&amp;$A37)*RTD("tos.rtd",,"GAMMA","."&amp;M$2&amp;M$1&amp;"P"&amp;$A37))/1000000,0),IF($A$2="SKEW",IFERROR(VALUE(IF(RTD("tos.rtd",,"IMPL_VOL","."&amp;M$2&amp;M$1&amp;"P"&amp;$A37)="N/A",0,RTD("tos.rtd",,"IMPL_VOL","."&amp;M$2&amp;M$1&amp;"P"&amp;$A37))),0)-IFERROR(VALUE(IF(RTD("tos.rtd",,"IMPL_VOL","."&amp;M$2&amp;M$1&amp;"C"&amp;$A37)="N/A",0,RTD("tos.rtd",,"IMPL_VOL","."&amp;M$2&amp;M$1&amp;"C"&amp;$A37))),0),IF($A$2="MAXPAIN",IF($A$4&gt;$A37,($A$4-$A37)*IF(RTD("tos.rtd",,"OPEN_INT","."&amp;M$2&amp;M$1&amp;"C"&amp;$A37)="N/A",0,RTD("tos.rtd",,"OPEN_INT","."&amp;M$2&amp;M$1&amp;"C"&amp;$A37)),0)+IF($A$4&lt;$A37,($A37-$A$4)*IF(RTD("tos.rtd",,"OPEN_INT","."&amp;M$2&amp;M$1&amp;"P"&amp;$A37)="N/A",0,RTD("tos.rtd",,"OPEN_INT","."&amp;M$2&amp;M$1&amp;"P"&amp;$A37)),0),IF(RTD("tos.rtd",,$A$2,"."&amp;M$2&amp;M$1&amp;"C"&amp;$A37)="N/A",0,RTD("tos.rtd",,$A$2,"."&amp;M$2&amp;M$1&amp;"C"&amp;$A37))-IF(RTD("tos.rtd",,$A$2,"."&amp;M$2&amp;M$1&amp;"P"&amp;$A37)="N/A",0,RTD("tos.rtd",,$A$2,"."&amp;M$2&amp;M$1&amp;"P"&amp;$A37)))))))))</f>
        <v>-315</v>
      </c>
      <c r="N37" s="12">
        <f>IF($A$2="PREMIUM_OI",IFERROR((100*RTD("tos.rtd",,"OPEN_INT","."&amp;N$2&amp;N$1&amp;"C"&amp;$A37)*RTD("tos.rtd",,"LAST","."&amp;N$2&amp;N$1&amp;"C"&amp;$A37)-100*RTD("tos.rtd",,"OPEN_INT","."&amp;N$2&amp;N$1&amp;"P"&amp;$A37)*RTD("tos.rtd",,"LAST","."&amp;N$2&amp;N$1&amp;"P"&amp;$A37))/1000000,0),IF($A$2="PREMIUM",IFERROR((100*RTD("tos.rtd",,"VOLUME","."&amp;N$2&amp;N$1&amp;"C"&amp;$A37)*RTD("tos.rtd",,"LAST","."&amp;N$2&amp;N$1&amp;"C"&amp;$A37)-100*RTD("tos.rtd",,"VOLUME","."&amp;N$2&amp;N$1&amp;"P"&amp;$A37)*RTD("tos.rtd",,"LAST","."&amp;N$2&amp;N$1&amp;"P"&amp;$A37))/1000000,0),IF($A$2="DEX",IFERROR((100*RTD("tos.rtd",,"OPEN_INT","."&amp;N$2&amp;N$1&amp;"C"&amp;$A37)*RTD("tos.rtd",,"DELTA","."&amp;N$2&amp;N$1&amp;"C"&amp;$A37)-100*RTD("tos.rtd",,"OPEN_INT","."&amp;N$2&amp;N$1&amp;"P"&amp;$A37)*RTD("tos.rtd",,"DELTA","."&amp;N$2&amp;N$1&amp;"P"&amp;$A37))/1000,0),IF($A$2="VEX",IFERROR(($A$4*$A$4*RTD("tos.rtd",,"VOLUME","."&amp;N$2&amp;N$1&amp;"C"&amp;$A37)*RTD("tos.rtd",,"GAMMA","."&amp;N$2&amp;N$1&amp;"C"&amp;$A37)-$A$4*$A$4*RTD("tos.rtd",,"VOLUME","."&amp;N$2&amp;N$1&amp;"P"&amp;$A37)*RTD("tos.rtd",,"GAMMA","."&amp;N$2&amp;N$1&amp;"P"&amp;$A37))/1000000,0),IF($A$2="GEX",IFERROR(($A$4*$A$4*RTD("tos.rtd",,"OPEN_INT","."&amp;N$2&amp;N$1&amp;"C"&amp;$A37)*RTD("tos.rtd",,"GAMMA","."&amp;N$2&amp;N$1&amp;"C"&amp;$A37)-$A$4*$A$4*RTD("tos.rtd",,"OPEN_INT","."&amp;N$2&amp;N$1&amp;"P"&amp;$A37)*RTD("tos.rtd",,"GAMMA","."&amp;N$2&amp;N$1&amp;"P"&amp;$A37))/1000000,0),IF($A$2="SKEW",IFERROR(VALUE(IF(RTD("tos.rtd",,"IMPL_VOL","."&amp;N$2&amp;N$1&amp;"P"&amp;$A37)="N/A",0,RTD("tos.rtd",,"IMPL_VOL","."&amp;N$2&amp;N$1&amp;"P"&amp;$A37))),0)-IFERROR(VALUE(IF(RTD("tos.rtd",,"IMPL_VOL","."&amp;N$2&amp;N$1&amp;"C"&amp;$A37)="N/A",0,RTD("tos.rtd",,"IMPL_VOL","."&amp;N$2&amp;N$1&amp;"C"&amp;$A37))),0),IF($A$2="MAXPAIN",IF($A$4&gt;$A37,($A$4-$A37)*IF(RTD("tos.rtd",,"OPEN_INT","."&amp;N$2&amp;N$1&amp;"C"&amp;$A37)="N/A",0,RTD("tos.rtd",,"OPEN_INT","."&amp;N$2&amp;N$1&amp;"C"&amp;$A37)),0)+IF($A$4&lt;$A37,($A37-$A$4)*IF(RTD("tos.rtd",,"OPEN_INT","."&amp;N$2&amp;N$1&amp;"P"&amp;$A37)="N/A",0,RTD("tos.rtd",,"OPEN_INT","."&amp;N$2&amp;N$1&amp;"P"&amp;$A37)),0),IF(RTD("tos.rtd",,$A$2,"."&amp;N$2&amp;N$1&amp;"C"&amp;$A37)="N/A",0,RTD("tos.rtd",,$A$2,"."&amp;N$2&amp;N$1&amp;"C"&amp;$A37))-IF(RTD("tos.rtd",,$A$2,"."&amp;N$2&amp;N$1&amp;"P"&amp;$A37)="N/A",0,RTD("tos.rtd",,$A$2,"."&amp;N$2&amp;N$1&amp;"P"&amp;$A37)))))))))</f>
        <v>0</v>
      </c>
      <c r="O37" s="12">
        <f>IF($A$2="PREMIUM_OI",IFERROR((100*RTD("tos.rtd",,"OPEN_INT","."&amp;O$2&amp;O$1&amp;"C"&amp;$A37)*RTD("tos.rtd",,"LAST","."&amp;O$2&amp;O$1&amp;"C"&amp;$A37)-100*RTD("tos.rtd",,"OPEN_INT","."&amp;O$2&amp;O$1&amp;"P"&amp;$A37)*RTD("tos.rtd",,"LAST","."&amp;O$2&amp;O$1&amp;"P"&amp;$A37))/1000000,0),IF($A$2="PREMIUM",IFERROR((100*RTD("tos.rtd",,"VOLUME","."&amp;O$2&amp;O$1&amp;"C"&amp;$A37)*RTD("tos.rtd",,"LAST","."&amp;O$2&amp;O$1&amp;"C"&amp;$A37)-100*RTD("tos.rtd",,"VOLUME","."&amp;O$2&amp;O$1&amp;"P"&amp;$A37)*RTD("tos.rtd",,"LAST","."&amp;O$2&amp;O$1&amp;"P"&amp;$A37))/1000000,0),IF($A$2="DEX",IFERROR((100*RTD("tos.rtd",,"OPEN_INT","."&amp;O$2&amp;O$1&amp;"C"&amp;$A37)*RTD("tos.rtd",,"DELTA","."&amp;O$2&amp;O$1&amp;"C"&amp;$A37)-100*RTD("tos.rtd",,"OPEN_INT","."&amp;O$2&amp;O$1&amp;"P"&amp;$A37)*RTD("tos.rtd",,"DELTA","."&amp;O$2&amp;O$1&amp;"P"&amp;$A37))/1000,0),IF($A$2="VEX",IFERROR(($A$4*$A$4*RTD("tos.rtd",,"VOLUME","."&amp;O$2&amp;O$1&amp;"C"&amp;$A37)*RTD("tos.rtd",,"GAMMA","."&amp;O$2&amp;O$1&amp;"C"&amp;$A37)-$A$4*$A$4*RTD("tos.rtd",,"VOLUME","."&amp;O$2&amp;O$1&amp;"P"&amp;$A37)*RTD("tos.rtd",,"GAMMA","."&amp;O$2&amp;O$1&amp;"P"&amp;$A37))/1000000,0),IF($A$2="GEX",IFERROR(($A$4*$A$4*RTD("tos.rtd",,"OPEN_INT","."&amp;O$2&amp;O$1&amp;"C"&amp;$A37)*RTD("tos.rtd",,"GAMMA","."&amp;O$2&amp;O$1&amp;"C"&amp;$A37)-$A$4*$A$4*RTD("tos.rtd",,"OPEN_INT","."&amp;O$2&amp;O$1&amp;"P"&amp;$A37)*RTD("tos.rtd",,"GAMMA","."&amp;O$2&amp;O$1&amp;"P"&amp;$A37))/1000000,0),IF($A$2="SKEW",IFERROR(VALUE(IF(RTD("tos.rtd",,"IMPL_VOL","."&amp;O$2&amp;O$1&amp;"P"&amp;$A37)="N/A",0,RTD("tos.rtd",,"IMPL_VOL","."&amp;O$2&amp;O$1&amp;"P"&amp;$A37))),0)-IFERROR(VALUE(IF(RTD("tos.rtd",,"IMPL_VOL","."&amp;O$2&amp;O$1&amp;"C"&amp;$A37)="N/A",0,RTD("tos.rtd",,"IMPL_VOL","."&amp;O$2&amp;O$1&amp;"C"&amp;$A37))),0),IF($A$2="MAXPAIN",IF($A$4&gt;$A37,($A$4-$A37)*IF(RTD("tos.rtd",,"OPEN_INT","."&amp;O$2&amp;O$1&amp;"C"&amp;$A37)="N/A",0,RTD("tos.rtd",,"OPEN_INT","."&amp;O$2&amp;O$1&amp;"C"&amp;$A37)),0)+IF($A$4&lt;$A37,($A37-$A$4)*IF(RTD("tos.rtd",,"OPEN_INT","."&amp;O$2&amp;O$1&amp;"P"&amp;$A37)="N/A",0,RTD("tos.rtd",,"OPEN_INT","."&amp;O$2&amp;O$1&amp;"P"&amp;$A37)),0),IF(RTD("tos.rtd",,$A$2,"."&amp;O$2&amp;O$1&amp;"C"&amp;$A37)="N/A",0,RTD("tos.rtd",,$A$2,"."&amp;O$2&amp;O$1&amp;"C"&amp;$A37))-IF(RTD("tos.rtd",,$A$2,"."&amp;O$2&amp;O$1&amp;"P"&amp;$A37)="N/A",0,RTD("tos.rtd",,$A$2,"."&amp;O$2&amp;O$1&amp;"P"&amp;$A37)))))))))</f>
        <v>0</v>
      </c>
      <c r="P37" s="12">
        <f>IF($A$2="PREMIUM_OI",IFERROR((100*RTD("tos.rtd",,"OPEN_INT","."&amp;P$2&amp;P$1&amp;"C"&amp;$A37)*RTD("tos.rtd",,"LAST","."&amp;P$2&amp;P$1&amp;"C"&amp;$A37)-100*RTD("tos.rtd",,"OPEN_INT","."&amp;P$2&amp;P$1&amp;"P"&amp;$A37)*RTD("tos.rtd",,"LAST","."&amp;P$2&amp;P$1&amp;"P"&amp;$A37))/1000000,0),IF($A$2="PREMIUM",IFERROR((100*RTD("tos.rtd",,"VOLUME","."&amp;P$2&amp;P$1&amp;"C"&amp;$A37)*RTD("tos.rtd",,"LAST","."&amp;P$2&amp;P$1&amp;"C"&amp;$A37)-100*RTD("tos.rtd",,"VOLUME","."&amp;P$2&amp;P$1&amp;"P"&amp;$A37)*RTD("tos.rtd",,"LAST","."&amp;P$2&amp;P$1&amp;"P"&amp;$A37))/1000000,0),IF($A$2="DEX",IFERROR((100*RTD("tos.rtd",,"OPEN_INT","."&amp;P$2&amp;P$1&amp;"C"&amp;$A37)*RTD("tos.rtd",,"DELTA","."&amp;P$2&amp;P$1&amp;"C"&amp;$A37)-100*RTD("tos.rtd",,"OPEN_INT","."&amp;P$2&amp;P$1&amp;"P"&amp;$A37)*RTD("tos.rtd",,"DELTA","."&amp;P$2&amp;P$1&amp;"P"&amp;$A37))/1000,0),IF($A$2="VEX",IFERROR(($A$4*$A$4*RTD("tos.rtd",,"VOLUME","."&amp;P$2&amp;P$1&amp;"C"&amp;$A37)*RTD("tos.rtd",,"GAMMA","."&amp;P$2&amp;P$1&amp;"C"&amp;$A37)-$A$4*$A$4*RTD("tos.rtd",,"VOLUME","."&amp;P$2&amp;P$1&amp;"P"&amp;$A37)*RTD("tos.rtd",,"GAMMA","."&amp;P$2&amp;P$1&amp;"P"&amp;$A37))/1000000,0),IF($A$2="GEX",IFERROR(($A$4*$A$4*RTD("tos.rtd",,"OPEN_INT","."&amp;P$2&amp;P$1&amp;"C"&amp;$A37)*RTD("tos.rtd",,"GAMMA","."&amp;P$2&amp;P$1&amp;"C"&amp;$A37)-$A$4*$A$4*RTD("tos.rtd",,"OPEN_INT","."&amp;P$2&amp;P$1&amp;"P"&amp;$A37)*RTD("tos.rtd",,"GAMMA","."&amp;P$2&amp;P$1&amp;"P"&amp;$A37))/1000000,0),IF($A$2="SKEW",IFERROR(VALUE(IF(RTD("tos.rtd",,"IMPL_VOL","."&amp;P$2&amp;P$1&amp;"P"&amp;$A37)="N/A",0,RTD("tos.rtd",,"IMPL_VOL","."&amp;P$2&amp;P$1&amp;"P"&amp;$A37))),0)-IFERROR(VALUE(IF(RTD("tos.rtd",,"IMPL_VOL","."&amp;P$2&amp;P$1&amp;"C"&amp;$A37)="N/A",0,RTD("tos.rtd",,"IMPL_VOL","."&amp;P$2&amp;P$1&amp;"C"&amp;$A37))),0),IF($A$2="MAXPAIN",IF($A$4&gt;$A37,($A$4-$A37)*IF(RTD("tos.rtd",,"OPEN_INT","."&amp;P$2&amp;P$1&amp;"C"&amp;$A37)="N/A",0,RTD("tos.rtd",,"OPEN_INT","."&amp;P$2&amp;P$1&amp;"C"&amp;$A37)),0)+IF($A$4&lt;$A37,($A37-$A$4)*IF(RTD("tos.rtd",,"OPEN_INT","."&amp;P$2&amp;P$1&amp;"P"&amp;$A37)="N/A",0,RTD("tos.rtd",,"OPEN_INT","."&amp;P$2&amp;P$1&amp;"P"&amp;$A37)),0),IF(RTD("tos.rtd",,$A$2,"."&amp;P$2&amp;P$1&amp;"C"&amp;$A37)="N/A",0,RTD("tos.rtd",,$A$2,"."&amp;P$2&amp;P$1&amp;"C"&amp;$A37))-IF(RTD("tos.rtd",,$A$2,"."&amp;P$2&amp;P$1&amp;"P"&amp;$A37)="N/A",0,RTD("tos.rtd",,$A$2,"."&amp;P$2&amp;P$1&amp;"P"&amp;$A37)))))))))</f>
        <v>0</v>
      </c>
      <c r="Q37" s="12">
        <f>IF($A$2="PREMIUM_OI",IFERROR((100*RTD("tos.rtd",,"OPEN_INT","."&amp;Q$2&amp;Q$1&amp;"C"&amp;$A37)*RTD("tos.rtd",,"LAST","."&amp;Q$2&amp;Q$1&amp;"C"&amp;$A37)-100*RTD("tos.rtd",,"OPEN_INT","."&amp;Q$2&amp;Q$1&amp;"P"&amp;$A37)*RTD("tos.rtd",,"LAST","."&amp;Q$2&amp;Q$1&amp;"P"&amp;$A37))/1000000,0),IF($A$2="PREMIUM",IFERROR((100*RTD("tos.rtd",,"VOLUME","."&amp;Q$2&amp;Q$1&amp;"C"&amp;$A37)*RTD("tos.rtd",,"LAST","."&amp;Q$2&amp;Q$1&amp;"C"&amp;$A37)-100*RTD("tos.rtd",,"VOLUME","."&amp;Q$2&amp;Q$1&amp;"P"&amp;$A37)*RTD("tos.rtd",,"LAST","."&amp;Q$2&amp;Q$1&amp;"P"&amp;$A37))/1000000,0),IF($A$2="DEX",IFERROR((100*RTD("tos.rtd",,"OPEN_INT","."&amp;Q$2&amp;Q$1&amp;"C"&amp;$A37)*RTD("tos.rtd",,"DELTA","."&amp;Q$2&amp;Q$1&amp;"C"&amp;$A37)-100*RTD("tos.rtd",,"OPEN_INT","."&amp;Q$2&amp;Q$1&amp;"P"&amp;$A37)*RTD("tos.rtd",,"DELTA","."&amp;Q$2&amp;Q$1&amp;"P"&amp;$A37))/1000,0),IF($A$2="VEX",IFERROR(($A$4*$A$4*RTD("tos.rtd",,"VOLUME","."&amp;Q$2&amp;Q$1&amp;"C"&amp;$A37)*RTD("tos.rtd",,"GAMMA","."&amp;Q$2&amp;Q$1&amp;"C"&amp;$A37)-$A$4*$A$4*RTD("tos.rtd",,"VOLUME","."&amp;Q$2&amp;Q$1&amp;"P"&amp;$A37)*RTD("tos.rtd",,"GAMMA","."&amp;Q$2&amp;Q$1&amp;"P"&amp;$A37))/1000000,0),IF($A$2="GEX",IFERROR(($A$4*$A$4*RTD("tos.rtd",,"OPEN_INT","."&amp;Q$2&amp;Q$1&amp;"C"&amp;$A37)*RTD("tos.rtd",,"GAMMA","."&amp;Q$2&amp;Q$1&amp;"C"&amp;$A37)-$A$4*$A$4*RTD("tos.rtd",,"OPEN_INT","."&amp;Q$2&amp;Q$1&amp;"P"&amp;$A37)*RTD("tos.rtd",,"GAMMA","."&amp;Q$2&amp;Q$1&amp;"P"&amp;$A37))/1000000,0),IF($A$2="SKEW",IFERROR(VALUE(IF(RTD("tos.rtd",,"IMPL_VOL","."&amp;Q$2&amp;Q$1&amp;"P"&amp;$A37)="N/A",0,RTD("tos.rtd",,"IMPL_VOL","."&amp;Q$2&amp;Q$1&amp;"P"&amp;$A37))),0)-IFERROR(VALUE(IF(RTD("tos.rtd",,"IMPL_VOL","."&amp;Q$2&amp;Q$1&amp;"C"&amp;$A37)="N/A",0,RTD("tos.rtd",,"IMPL_VOL","."&amp;Q$2&amp;Q$1&amp;"C"&amp;$A37))),0),IF($A$2="MAXPAIN",IF($A$4&gt;$A37,($A$4-$A37)*IF(RTD("tos.rtd",,"OPEN_INT","."&amp;Q$2&amp;Q$1&amp;"C"&amp;$A37)="N/A",0,RTD("tos.rtd",,"OPEN_INT","."&amp;Q$2&amp;Q$1&amp;"C"&amp;$A37)),0)+IF($A$4&lt;$A37,($A37-$A$4)*IF(RTD("tos.rtd",,"OPEN_INT","."&amp;Q$2&amp;Q$1&amp;"P"&amp;$A37)="N/A",0,RTD("tos.rtd",,"OPEN_INT","."&amp;Q$2&amp;Q$1&amp;"P"&amp;$A37)),0),IF(RTD("tos.rtd",,$A$2,"."&amp;Q$2&amp;Q$1&amp;"C"&amp;$A37)="N/A",0,RTD("tos.rtd",,$A$2,"."&amp;Q$2&amp;Q$1&amp;"C"&amp;$A37))-IF(RTD("tos.rtd",,$A$2,"."&amp;Q$2&amp;Q$1&amp;"P"&amp;$A37)="N/A",0,RTD("tos.rtd",,$A$2,"."&amp;Q$2&amp;Q$1&amp;"P"&amp;$A37)))))))))</f>
        <v>0</v>
      </c>
      <c r="R37" s="12">
        <f>IF($A$2="PREMIUM_OI",IFERROR((100*RTD("tos.rtd",,"OPEN_INT","."&amp;R$2&amp;R$1&amp;"C"&amp;$A37)*RTD("tos.rtd",,"LAST","."&amp;R$2&amp;R$1&amp;"C"&amp;$A37)-100*RTD("tos.rtd",,"OPEN_INT","."&amp;R$2&amp;R$1&amp;"P"&amp;$A37)*RTD("tos.rtd",,"LAST","."&amp;R$2&amp;R$1&amp;"P"&amp;$A37))/1000000,0),IF($A$2="PREMIUM",IFERROR((100*RTD("tos.rtd",,"VOLUME","."&amp;R$2&amp;R$1&amp;"C"&amp;$A37)*RTD("tos.rtd",,"LAST","."&amp;R$2&amp;R$1&amp;"C"&amp;$A37)-100*RTD("tos.rtd",,"VOLUME","."&amp;R$2&amp;R$1&amp;"P"&amp;$A37)*RTD("tos.rtd",,"LAST","."&amp;R$2&amp;R$1&amp;"P"&amp;$A37))/1000000,0),IF($A$2="DEX",IFERROR((100*RTD("tos.rtd",,"OPEN_INT","."&amp;R$2&amp;R$1&amp;"C"&amp;$A37)*RTD("tos.rtd",,"DELTA","."&amp;R$2&amp;R$1&amp;"C"&amp;$A37)-100*RTD("tos.rtd",,"OPEN_INT","."&amp;R$2&amp;R$1&amp;"P"&amp;$A37)*RTD("tos.rtd",,"DELTA","."&amp;R$2&amp;R$1&amp;"P"&amp;$A37))/1000,0),IF($A$2="VEX",IFERROR(($A$4*$A$4*RTD("tos.rtd",,"VOLUME","."&amp;R$2&amp;R$1&amp;"C"&amp;$A37)*RTD("tos.rtd",,"GAMMA","."&amp;R$2&amp;R$1&amp;"C"&amp;$A37)-$A$4*$A$4*RTD("tos.rtd",,"VOLUME","."&amp;R$2&amp;R$1&amp;"P"&amp;$A37)*RTD("tos.rtd",,"GAMMA","."&amp;R$2&amp;R$1&amp;"P"&amp;$A37))/1000000,0),IF($A$2="GEX",IFERROR(($A$4*$A$4*RTD("tos.rtd",,"OPEN_INT","."&amp;R$2&amp;R$1&amp;"C"&amp;$A37)*RTD("tos.rtd",,"GAMMA","."&amp;R$2&amp;R$1&amp;"C"&amp;$A37)-$A$4*$A$4*RTD("tos.rtd",,"OPEN_INT","."&amp;R$2&amp;R$1&amp;"P"&amp;$A37)*RTD("tos.rtd",,"GAMMA","."&amp;R$2&amp;R$1&amp;"P"&amp;$A37))/1000000,0),IF($A$2="SKEW",IFERROR(VALUE(IF(RTD("tos.rtd",,"IMPL_VOL","."&amp;R$2&amp;R$1&amp;"P"&amp;$A37)="N/A",0,RTD("tos.rtd",,"IMPL_VOL","."&amp;R$2&amp;R$1&amp;"P"&amp;$A37))),0)-IFERROR(VALUE(IF(RTD("tos.rtd",,"IMPL_VOL","."&amp;R$2&amp;R$1&amp;"C"&amp;$A37)="N/A",0,RTD("tos.rtd",,"IMPL_VOL","."&amp;R$2&amp;R$1&amp;"C"&amp;$A37))),0),IF($A$2="MAXPAIN",IF($A$4&gt;$A37,($A$4-$A37)*IF(RTD("tos.rtd",,"OPEN_INT","."&amp;R$2&amp;R$1&amp;"C"&amp;$A37)="N/A",0,RTD("tos.rtd",,"OPEN_INT","."&amp;R$2&amp;R$1&amp;"C"&amp;$A37)),0)+IF($A$4&lt;$A37,($A37-$A$4)*IF(RTD("tos.rtd",,"OPEN_INT","."&amp;R$2&amp;R$1&amp;"P"&amp;$A37)="N/A",0,RTD("tos.rtd",,"OPEN_INT","."&amp;R$2&amp;R$1&amp;"P"&amp;$A37)),0),IF(RTD("tos.rtd",,$A$2,"."&amp;R$2&amp;R$1&amp;"C"&amp;$A37)="N/A",0,RTD("tos.rtd",,$A$2,"."&amp;R$2&amp;R$1&amp;"C"&amp;$A37))-IF(RTD("tos.rtd",,$A$2,"."&amp;R$2&amp;R$1&amp;"P"&amp;$A37)="N/A",0,RTD("tos.rtd",,$A$2,"."&amp;R$2&amp;R$1&amp;"P"&amp;$A37)))))))))</f>
        <v>-1375</v>
      </c>
      <c r="S37" s="12">
        <f>IF($A$2="PREMIUM_OI",IFERROR((100*RTD("tos.rtd",,"OPEN_INT","."&amp;S$2&amp;S$1&amp;"C"&amp;$A37)*RTD("tos.rtd",,"LAST","."&amp;S$2&amp;S$1&amp;"C"&amp;$A37)-100*RTD("tos.rtd",,"OPEN_INT","."&amp;S$2&amp;S$1&amp;"P"&amp;$A37)*RTD("tos.rtd",,"LAST","."&amp;S$2&amp;S$1&amp;"P"&amp;$A37))/1000000,0),IF($A$2="PREMIUM",IFERROR((100*RTD("tos.rtd",,"VOLUME","."&amp;S$2&amp;S$1&amp;"C"&amp;$A37)*RTD("tos.rtd",,"LAST","."&amp;S$2&amp;S$1&amp;"C"&amp;$A37)-100*RTD("tos.rtd",,"VOLUME","."&amp;S$2&amp;S$1&amp;"P"&amp;$A37)*RTD("tos.rtd",,"LAST","."&amp;S$2&amp;S$1&amp;"P"&amp;$A37))/1000000,0),IF($A$2="DEX",IFERROR((100*RTD("tos.rtd",,"OPEN_INT","."&amp;S$2&amp;S$1&amp;"C"&amp;$A37)*RTD("tos.rtd",,"DELTA","."&amp;S$2&amp;S$1&amp;"C"&amp;$A37)-100*RTD("tos.rtd",,"OPEN_INT","."&amp;S$2&amp;S$1&amp;"P"&amp;$A37)*RTD("tos.rtd",,"DELTA","."&amp;S$2&amp;S$1&amp;"P"&amp;$A37))/1000,0),IF($A$2="VEX",IFERROR(($A$4*$A$4*RTD("tos.rtd",,"VOLUME","."&amp;S$2&amp;S$1&amp;"C"&amp;$A37)*RTD("tos.rtd",,"GAMMA","."&amp;S$2&amp;S$1&amp;"C"&amp;$A37)-$A$4*$A$4*RTD("tos.rtd",,"VOLUME","."&amp;S$2&amp;S$1&amp;"P"&amp;$A37)*RTD("tos.rtd",,"GAMMA","."&amp;S$2&amp;S$1&amp;"P"&amp;$A37))/1000000,0),IF($A$2="GEX",IFERROR(($A$4*$A$4*RTD("tos.rtd",,"OPEN_INT","."&amp;S$2&amp;S$1&amp;"C"&amp;$A37)*RTD("tos.rtd",,"GAMMA","."&amp;S$2&amp;S$1&amp;"C"&amp;$A37)-$A$4*$A$4*RTD("tos.rtd",,"OPEN_INT","."&amp;S$2&amp;S$1&amp;"P"&amp;$A37)*RTD("tos.rtd",,"GAMMA","."&amp;S$2&amp;S$1&amp;"P"&amp;$A37))/1000000,0),IF($A$2="SKEW",IFERROR(VALUE(IF(RTD("tos.rtd",,"IMPL_VOL","."&amp;S$2&amp;S$1&amp;"P"&amp;$A37)="N/A",0,RTD("tos.rtd",,"IMPL_VOL","."&amp;S$2&amp;S$1&amp;"P"&amp;$A37))),0)-IFERROR(VALUE(IF(RTD("tos.rtd",,"IMPL_VOL","."&amp;S$2&amp;S$1&amp;"C"&amp;$A37)="N/A",0,RTD("tos.rtd",,"IMPL_VOL","."&amp;S$2&amp;S$1&amp;"C"&amp;$A37))),0),IF($A$2="MAXPAIN",IF($A$4&gt;$A37,($A$4-$A37)*IF(RTD("tos.rtd",,"OPEN_INT","."&amp;S$2&amp;S$1&amp;"C"&amp;$A37)="N/A",0,RTD("tos.rtd",,"OPEN_INT","."&amp;S$2&amp;S$1&amp;"C"&amp;$A37)),0)+IF($A$4&lt;$A37,($A37-$A$4)*IF(RTD("tos.rtd",,"OPEN_INT","."&amp;S$2&amp;S$1&amp;"P"&amp;$A37)="N/A",0,RTD("tos.rtd",,"OPEN_INT","."&amp;S$2&amp;S$1&amp;"P"&amp;$A37)),0),IF(RTD("tos.rtd",,$A$2,"."&amp;S$2&amp;S$1&amp;"C"&amp;$A37)="N/A",0,RTD("tos.rtd",,$A$2,"."&amp;S$2&amp;S$1&amp;"C"&amp;$A37))-IF(RTD("tos.rtd",,$A$2,"."&amp;S$2&amp;S$1&amp;"P"&amp;$A37)="N/A",0,RTD("tos.rtd",,$A$2,"."&amp;S$2&amp;S$1&amp;"P"&amp;$A37)))))))))</f>
        <v>-1136</v>
      </c>
      <c r="T37" s="12">
        <f>IF($A$2="PREMIUM_OI",IFERROR((100*RTD("tos.rtd",,"OPEN_INT","."&amp;T$2&amp;T$1&amp;"C"&amp;$A37)*RTD("tos.rtd",,"LAST","."&amp;T$2&amp;T$1&amp;"C"&amp;$A37)-100*RTD("tos.rtd",,"OPEN_INT","."&amp;T$2&amp;T$1&amp;"P"&amp;$A37)*RTD("tos.rtd",,"LAST","."&amp;T$2&amp;T$1&amp;"P"&amp;$A37))/1000000,0),IF($A$2="PREMIUM",IFERROR((100*RTD("tos.rtd",,"VOLUME","."&amp;T$2&amp;T$1&amp;"C"&amp;$A37)*RTD("tos.rtd",,"LAST","."&amp;T$2&amp;T$1&amp;"C"&amp;$A37)-100*RTD("tos.rtd",,"VOLUME","."&amp;T$2&amp;T$1&amp;"P"&amp;$A37)*RTD("tos.rtd",,"LAST","."&amp;T$2&amp;T$1&amp;"P"&amp;$A37))/1000000,0),IF($A$2="DEX",IFERROR((100*RTD("tos.rtd",,"OPEN_INT","."&amp;T$2&amp;T$1&amp;"C"&amp;$A37)*RTD("tos.rtd",,"DELTA","."&amp;T$2&amp;T$1&amp;"C"&amp;$A37)-100*RTD("tos.rtd",,"OPEN_INT","."&amp;T$2&amp;T$1&amp;"P"&amp;$A37)*RTD("tos.rtd",,"DELTA","."&amp;T$2&amp;T$1&amp;"P"&amp;$A37))/1000,0),IF($A$2="VEX",IFERROR(($A$4*$A$4*RTD("tos.rtd",,"VOLUME","."&amp;T$2&amp;T$1&amp;"C"&amp;$A37)*RTD("tos.rtd",,"GAMMA","."&amp;T$2&amp;T$1&amp;"C"&amp;$A37)-$A$4*$A$4*RTD("tos.rtd",,"VOLUME","."&amp;T$2&amp;T$1&amp;"P"&amp;$A37)*RTD("tos.rtd",,"GAMMA","."&amp;T$2&amp;T$1&amp;"P"&amp;$A37))/1000000,0),IF($A$2="GEX",IFERROR(($A$4*$A$4*RTD("tos.rtd",,"OPEN_INT","."&amp;T$2&amp;T$1&amp;"C"&amp;$A37)*RTD("tos.rtd",,"GAMMA","."&amp;T$2&amp;T$1&amp;"C"&amp;$A37)-$A$4*$A$4*RTD("tos.rtd",,"OPEN_INT","."&amp;T$2&amp;T$1&amp;"P"&amp;$A37)*RTD("tos.rtd",,"GAMMA","."&amp;T$2&amp;T$1&amp;"P"&amp;$A37))/1000000,0),IF($A$2="SKEW",IFERROR(VALUE(IF(RTD("tos.rtd",,"IMPL_VOL","."&amp;T$2&amp;T$1&amp;"P"&amp;$A37)="N/A",0,RTD("tos.rtd",,"IMPL_VOL","."&amp;T$2&amp;T$1&amp;"P"&amp;$A37))),0)-IFERROR(VALUE(IF(RTD("tos.rtd",,"IMPL_VOL","."&amp;T$2&amp;T$1&amp;"C"&amp;$A37)="N/A",0,RTD("tos.rtd",,"IMPL_VOL","."&amp;T$2&amp;T$1&amp;"C"&amp;$A37))),0),IF($A$2="MAXPAIN",IF($A$4&gt;$A37,($A$4-$A37)*IF(RTD("tos.rtd",,"OPEN_INT","."&amp;T$2&amp;T$1&amp;"C"&amp;$A37)="N/A",0,RTD("tos.rtd",,"OPEN_INT","."&amp;T$2&amp;T$1&amp;"C"&amp;$A37)),0)+IF($A$4&lt;$A37,($A37-$A$4)*IF(RTD("tos.rtd",,"OPEN_INT","."&amp;T$2&amp;T$1&amp;"P"&amp;$A37)="N/A",0,RTD("tos.rtd",,"OPEN_INT","."&amp;T$2&amp;T$1&amp;"P"&amp;$A37)),0),IF(RTD("tos.rtd",,$A$2,"."&amp;T$2&amp;T$1&amp;"C"&amp;$A37)="N/A",0,RTD("tos.rtd",,$A$2,"."&amp;T$2&amp;T$1&amp;"C"&amp;$A37))-IF(RTD("tos.rtd",,$A$2,"."&amp;T$2&amp;T$1&amp;"P"&amp;$A37)="N/A",0,RTD("tos.rtd",,$A$2,"."&amp;T$2&amp;T$1&amp;"P"&amp;$A37)))))))))</f>
        <v>-47</v>
      </c>
      <c r="U37" s="12">
        <f>IF($A$2="PREMIUM_OI",IFERROR((100*RTD("tos.rtd",,"OPEN_INT","."&amp;U$2&amp;U$1&amp;"C"&amp;$A37)*RTD("tos.rtd",,"LAST","."&amp;U$2&amp;U$1&amp;"C"&amp;$A37)-100*RTD("tos.rtd",,"OPEN_INT","."&amp;U$2&amp;U$1&amp;"P"&amp;$A37)*RTD("tos.rtd",,"LAST","."&amp;U$2&amp;U$1&amp;"P"&amp;$A37))/1000000,0),IF($A$2="PREMIUM",IFERROR((100*RTD("tos.rtd",,"VOLUME","."&amp;U$2&amp;U$1&amp;"C"&amp;$A37)*RTD("tos.rtd",,"LAST","."&amp;U$2&amp;U$1&amp;"C"&amp;$A37)-100*RTD("tos.rtd",,"VOLUME","."&amp;U$2&amp;U$1&amp;"P"&amp;$A37)*RTD("tos.rtd",,"LAST","."&amp;U$2&amp;U$1&amp;"P"&amp;$A37))/1000000,0),IF($A$2="DEX",IFERROR((100*RTD("tos.rtd",,"OPEN_INT","."&amp;U$2&amp;U$1&amp;"C"&amp;$A37)*RTD("tos.rtd",,"DELTA","."&amp;U$2&amp;U$1&amp;"C"&amp;$A37)-100*RTD("tos.rtd",,"OPEN_INT","."&amp;U$2&amp;U$1&amp;"P"&amp;$A37)*RTD("tos.rtd",,"DELTA","."&amp;U$2&amp;U$1&amp;"P"&amp;$A37))/1000,0),IF($A$2="VEX",IFERROR(($A$4*$A$4*RTD("tos.rtd",,"VOLUME","."&amp;U$2&amp;U$1&amp;"C"&amp;$A37)*RTD("tos.rtd",,"GAMMA","."&amp;U$2&amp;U$1&amp;"C"&amp;$A37)-$A$4*$A$4*RTD("tos.rtd",,"VOLUME","."&amp;U$2&amp;U$1&amp;"P"&amp;$A37)*RTD("tos.rtd",,"GAMMA","."&amp;U$2&amp;U$1&amp;"P"&amp;$A37))/1000000,0),IF($A$2="GEX",IFERROR(($A$4*$A$4*RTD("tos.rtd",,"OPEN_INT","."&amp;U$2&amp;U$1&amp;"C"&amp;$A37)*RTD("tos.rtd",,"GAMMA","."&amp;U$2&amp;U$1&amp;"C"&amp;$A37)-$A$4*$A$4*RTD("tos.rtd",,"OPEN_INT","."&amp;U$2&amp;U$1&amp;"P"&amp;$A37)*RTD("tos.rtd",,"GAMMA","."&amp;U$2&amp;U$1&amp;"P"&amp;$A37))/1000000,0),IF($A$2="SKEW",IFERROR(VALUE(IF(RTD("tos.rtd",,"IMPL_VOL","."&amp;U$2&amp;U$1&amp;"P"&amp;$A37)="N/A",0,RTD("tos.rtd",,"IMPL_VOL","."&amp;U$2&amp;U$1&amp;"P"&amp;$A37))),0)-IFERROR(VALUE(IF(RTD("tos.rtd",,"IMPL_VOL","."&amp;U$2&amp;U$1&amp;"C"&amp;$A37)="N/A",0,RTD("tos.rtd",,"IMPL_VOL","."&amp;U$2&amp;U$1&amp;"C"&amp;$A37))),0),IF($A$2="MAXPAIN",IF($A$4&gt;$A37,($A$4-$A37)*IF(RTD("tos.rtd",,"OPEN_INT","."&amp;U$2&amp;U$1&amp;"C"&amp;$A37)="N/A",0,RTD("tos.rtd",,"OPEN_INT","."&amp;U$2&amp;U$1&amp;"C"&amp;$A37)),0)+IF($A$4&lt;$A37,($A37-$A$4)*IF(RTD("tos.rtd",,"OPEN_INT","."&amp;U$2&amp;U$1&amp;"P"&amp;$A37)="N/A",0,RTD("tos.rtd",,"OPEN_INT","."&amp;U$2&amp;U$1&amp;"P"&amp;$A37)),0),IF(RTD("tos.rtd",,$A$2,"."&amp;U$2&amp;U$1&amp;"C"&amp;$A37)="N/A",0,RTD("tos.rtd",,$A$2,"."&amp;U$2&amp;U$1&amp;"C"&amp;$A37))-IF(RTD("tos.rtd",,$A$2,"."&amp;U$2&amp;U$1&amp;"P"&amp;$A37)="N/A",0,RTD("tos.rtd",,$A$2,"."&amp;U$2&amp;U$1&amp;"P"&amp;$A37)))))))))</f>
        <v>0</v>
      </c>
      <c r="V37" s="12">
        <f>IF($A$2="PREMIUM_OI",IFERROR((100*RTD("tos.rtd",,"OPEN_INT","."&amp;V$2&amp;V$1&amp;"C"&amp;$A37)*RTD("tos.rtd",,"LAST","."&amp;V$2&amp;V$1&amp;"C"&amp;$A37)-100*RTD("tos.rtd",,"OPEN_INT","."&amp;V$2&amp;V$1&amp;"P"&amp;$A37)*RTD("tos.rtd",,"LAST","."&amp;V$2&amp;V$1&amp;"P"&amp;$A37))/1000000,0),IF($A$2="PREMIUM",IFERROR((100*RTD("tos.rtd",,"VOLUME","."&amp;V$2&amp;V$1&amp;"C"&amp;$A37)*RTD("tos.rtd",,"LAST","."&amp;V$2&amp;V$1&amp;"C"&amp;$A37)-100*RTD("tos.rtd",,"VOLUME","."&amp;V$2&amp;V$1&amp;"P"&amp;$A37)*RTD("tos.rtd",,"LAST","."&amp;V$2&amp;V$1&amp;"P"&amp;$A37))/1000000,0),IF($A$2="DEX",IFERROR((100*RTD("tos.rtd",,"OPEN_INT","."&amp;V$2&amp;V$1&amp;"C"&amp;$A37)*RTD("tos.rtd",,"DELTA","."&amp;V$2&amp;V$1&amp;"C"&amp;$A37)-100*RTD("tos.rtd",,"OPEN_INT","."&amp;V$2&amp;V$1&amp;"P"&amp;$A37)*RTD("tos.rtd",,"DELTA","."&amp;V$2&amp;V$1&amp;"P"&amp;$A37))/1000,0),IF($A$2="VEX",IFERROR(($A$4*$A$4*RTD("tos.rtd",,"VOLUME","."&amp;V$2&amp;V$1&amp;"C"&amp;$A37)*RTD("tos.rtd",,"GAMMA","."&amp;V$2&amp;V$1&amp;"C"&amp;$A37)-$A$4*$A$4*RTD("tos.rtd",,"VOLUME","."&amp;V$2&amp;V$1&amp;"P"&amp;$A37)*RTD("tos.rtd",,"GAMMA","."&amp;V$2&amp;V$1&amp;"P"&amp;$A37))/1000000,0),IF($A$2="GEX",IFERROR(($A$4*$A$4*RTD("tos.rtd",,"OPEN_INT","."&amp;V$2&amp;V$1&amp;"C"&amp;$A37)*RTD("tos.rtd",,"GAMMA","."&amp;V$2&amp;V$1&amp;"C"&amp;$A37)-$A$4*$A$4*RTD("tos.rtd",,"OPEN_INT","."&amp;V$2&amp;V$1&amp;"P"&amp;$A37)*RTD("tos.rtd",,"GAMMA","."&amp;V$2&amp;V$1&amp;"P"&amp;$A37))/1000000,0),IF($A$2="SKEW",IFERROR(VALUE(IF(RTD("tos.rtd",,"IMPL_VOL","."&amp;V$2&amp;V$1&amp;"P"&amp;$A37)="N/A",0,RTD("tos.rtd",,"IMPL_VOL","."&amp;V$2&amp;V$1&amp;"P"&amp;$A37))),0)-IFERROR(VALUE(IF(RTD("tos.rtd",,"IMPL_VOL","."&amp;V$2&amp;V$1&amp;"C"&amp;$A37)="N/A",0,RTD("tos.rtd",,"IMPL_VOL","."&amp;V$2&amp;V$1&amp;"C"&amp;$A37))),0),IF($A$2="MAXPAIN",IF($A$4&gt;$A37,($A$4-$A37)*IF(RTD("tos.rtd",,"OPEN_INT","."&amp;V$2&amp;V$1&amp;"C"&amp;$A37)="N/A",0,RTD("tos.rtd",,"OPEN_INT","."&amp;V$2&amp;V$1&amp;"C"&amp;$A37)),0)+IF($A$4&lt;$A37,($A37-$A$4)*IF(RTD("tos.rtd",,"OPEN_INT","."&amp;V$2&amp;V$1&amp;"P"&amp;$A37)="N/A",0,RTD("tos.rtd",,"OPEN_INT","."&amp;V$2&amp;V$1&amp;"P"&amp;$A37)),0),IF(RTD("tos.rtd",,$A$2,"."&amp;V$2&amp;V$1&amp;"C"&amp;$A37)="N/A",0,RTD("tos.rtd",,$A$2,"."&amp;V$2&amp;V$1&amp;"C"&amp;$A37))-IF(RTD("tos.rtd",,$A$2,"."&amp;V$2&amp;V$1&amp;"P"&amp;$A37)="N/A",0,RTD("tos.rtd",,$A$2,"."&amp;V$2&amp;V$1&amp;"P"&amp;$A37)))))))))</f>
        <v>0</v>
      </c>
      <c r="W37" s="12">
        <f>IF($A$2="PREMIUM_OI",IFERROR((100*RTD("tos.rtd",,"OPEN_INT","."&amp;W$2&amp;W$1&amp;"C"&amp;$A37)*RTD("tos.rtd",,"LAST","."&amp;W$2&amp;W$1&amp;"C"&amp;$A37)-100*RTD("tos.rtd",,"OPEN_INT","."&amp;W$2&amp;W$1&amp;"P"&amp;$A37)*RTD("tos.rtd",,"LAST","."&amp;W$2&amp;W$1&amp;"P"&amp;$A37))/1000000,0),IF($A$2="PREMIUM",IFERROR((100*RTD("tos.rtd",,"VOLUME","."&amp;W$2&amp;W$1&amp;"C"&amp;$A37)*RTD("tos.rtd",,"LAST","."&amp;W$2&amp;W$1&amp;"C"&amp;$A37)-100*RTD("tos.rtd",,"VOLUME","."&amp;W$2&amp;W$1&amp;"P"&amp;$A37)*RTD("tos.rtd",,"LAST","."&amp;W$2&amp;W$1&amp;"P"&amp;$A37))/1000000,0),IF($A$2="DEX",IFERROR((100*RTD("tos.rtd",,"OPEN_INT","."&amp;W$2&amp;W$1&amp;"C"&amp;$A37)*RTD("tos.rtd",,"DELTA","."&amp;W$2&amp;W$1&amp;"C"&amp;$A37)-100*RTD("tos.rtd",,"OPEN_INT","."&amp;W$2&amp;W$1&amp;"P"&amp;$A37)*RTD("tos.rtd",,"DELTA","."&amp;W$2&amp;W$1&amp;"P"&amp;$A37))/1000,0),IF($A$2="VEX",IFERROR(($A$4*$A$4*RTD("tos.rtd",,"VOLUME","."&amp;W$2&amp;W$1&amp;"C"&amp;$A37)*RTD("tos.rtd",,"GAMMA","."&amp;W$2&amp;W$1&amp;"C"&amp;$A37)-$A$4*$A$4*RTD("tos.rtd",,"VOLUME","."&amp;W$2&amp;W$1&amp;"P"&amp;$A37)*RTD("tos.rtd",,"GAMMA","."&amp;W$2&amp;W$1&amp;"P"&amp;$A37))/1000000,0),IF($A$2="GEX",IFERROR(($A$4*$A$4*RTD("tos.rtd",,"OPEN_INT","."&amp;W$2&amp;W$1&amp;"C"&amp;$A37)*RTD("tos.rtd",,"GAMMA","."&amp;W$2&amp;W$1&amp;"C"&amp;$A37)-$A$4*$A$4*RTD("tos.rtd",,"OPEN_INT","."&amp;W$2&amp;W$1&amp;"P"&amp;$A37)*RTD("tos.rtd",,"GAMMA","."&amp;W$2&amp;W$1&amp;"P"&amp;$A37))/1000000,0),IF($A$2="SKEW",IFERROR(VALUE(IF(RTD("tos.rtd",,"IMPL_VOL","."&amp;W$2&amp;W$1&amp;"P"&amp;$A37)="N/A",0,RTD("tos.rtd",,"IMPL_VOL","."&amp;W$2&amp;W$1&amp;"P"&amp;$A37))),0)-IFERROR(VALUE(IF(RTD("tos.rtd",,"IMPL_VOL","."&amp;W$2&amp;W$1&amp;"C"&amp;$A37)="N/A",0,RTD("tos.rtd",,"IMPL_VOL","."&amp;W$2&amp;W$1&amp;"C"&amp;$A37))),0),IF($A$2="MAXPAIN",IF($A$4&gt;$A37,($A$4-$A37)*IF(RTD("tos.rtd",,"OPEN_INT","."&amp;W$2&amp;W$1&amp;"C"&amp;$A37)="N/A",0,RTD("tos.rtd",,"OPEN_INT","."&amp;W$2&amp;W$1&amp;"C"&amp;$A37)),0)+IF($A$4&lt;$A37,($A37-$A$4)*IF(RTD("tos.rtd",,"OPEN_INT","."&amp;W$2&amp;W$1&amp;"P"&amp;$A37)="N/A",0,RTD("tos.rtd",,"OPEN_INT","."&amp;W$2&amp;W$1&amp;"P"&amp;$A37)),0),IF(RTD("tos.rtd",,$A$2,"."&amp;W$2&amp;W$1&amp;"C"&amp;$A37)="N/A",0,RTD("tos.rtd",,$A$2,"."&amp;W$2&amp;W$1&amp;"C"&amp;$A37))-IF(RTD("tos.rtd",,$A$2,"."&amp;W$2&amp;W$1&amp;"P"&amp;$A37)="N/A",0,RTD("tos.rtd",,$A$2,"."&amp;W$2&amp;W$1&amp;"P"&amp;$A37)))))))))</f>
        <v>3440</v>
      </c>
      <c r="X37" s="12">
        <f t="shared" ca="1" si="7"/>
        <v>2257</v>
      </c>
      <c r="Y37" s="27">
        <f t="shared" ca="1" si="8"/>
        <v>2257</v>
      </c>
      <c r="AA37" s="35">
        <f>+IF($AJ$1,AJ37,TASTYOHLC!A37)</f>
        <v>0</v>
      </c>
      <c r="AB37" s="8">
        <f>+IF($AJ$1,AK37,TASTYOHLC!B37)</f>
        <v>0</v>
      </c>
      <c r="AC37" s="8">
        <f>+IF($AJ$1,AL37,TASTYOHLC!C37)</f>
        <v>0</v>
      </c>
      <c r="AD37" s="8">
        <f>+IF($AJ$1,AM37,TASTYOHLC!D37)</f>
        <v>0</v>
      </c>
      <c r="AE37" s="8">
        <f>+IF($AJ$1,AN37,TASTYOHLC!E37)</f>
        <v>0</v>
      </c>
      <c r="AF37" s="8"/>
      <c r="AJ37" s="37"/>
    </row>
    <row r="38" spans="1:36" s="19" customFormat="1" ht="11.1" customHeight="1" thickBot="1" x14ac:dyDescent="0.3">
      <c r="A38" s="23">
        <f t="shared" si="13"/>
        <v>3</v>
      </c>
      <c r="B38" s="14">
        <f>IF($A$2="PREMIUM_OI",IFERROR((100*RTD("tos.rtd",,"OPEN_INT","."&amp;B$2&amp;B$1&amp;"C"&amp;$A38)*RTD("tos.rtd",,"LAST","."&amp;B$2&amp;B$1&amp;"C"&amp;$A38)-100*RTD("tos.rtd",,"OPEN_INT","."&amp;B$2&amp;B$1&amp;"P"&amp;$A38)*RTD("tos.rtd",,"LAST","."&amp;B$2&amp;B$1&amp;"P"&amp;$A38))/1000000,0),IF($A$2="PREMIUM",IFERROR((100*RTD("tos.rtd",,"VOLUME","."&amp;B$2&amp;B$1&amp;"C"&amp;$A38)*RTD("tos.rtd",,"LAST","."&amp;B$2&amp;B$1&amp;"C"&amp;$A38)-100*RTD("tos.rtd",,"VOLUME","."&amp;B$2&amp;B$1&amp;"P"&amp;$A38)*RTD("tos.rtd",,"LAST","."&amp;B$2&amp;B$1&amp;"P"&amp;$A38))/1000000,0),IF($A$2="DEX",IFERROR((100*RTD("tos.rtd",,"OPEN_INT","."&amp;B$2&amp;B$1&amp;"C"&amp;$A38)*RTD("tos.rtd",,"DELTA","."&amp;B$2&amp;B$1&amp;"C"&amp;$A38)-100*RTD("tos.rtd",,"OPEN_INT","."&amp;B$2&amp;B$1&amp;"P"&amp;$A38)*RTD("tos.rtd",,"DELTA","."&amp;B$2&amp;B$1&amp;"P"&amp;$A38))/1000,0),IF($A$2="VEX",IFERROR(($A$4*$A$4*RTD("tos.rtd",,"VOLUME","."&amp;B$2&amp;B$1&amp;"C"&amp;$A38)*RTD("tos.rtd",,"GAMMA","."&amp;B$2&amp;B$1&amp;"C"&amp;$A38)-$A$4*$A$4*RTD("tos.rtd",,"VOLUME","."&amp;B$2&amp;B$1&amp;"P"&amp;$A38)*RTD("tos.rtd",,"GAMMA","."&amp;B$2&amp;B$1&amp;"P"&amp;$A38))/1000000,0),IF($A$2="GEX",IFERROR(($A$4*$A$4*RTD("tos.rtd",,"OPEN_INT","."&amp;B$2&amp;B$1&amp;"C"&amp;$A38)*RTD("tos.rtd",,"GAMMA","."&amp;B$2&amp;B$1&amp;"C"&amp;$A38)-$A$4*$A$4*RTD("tos.rtd",,"OPEN_INT","."&amp;B$2&amp;B$1&amp;"P"&amp;$A38)*RTD("tos.rtd",,"GAMMA","."&amp;B$2&amp;B$1&amp;"P"&amp;$A38))/1000000,0),IF($A$2="SKEW",IFERROR(VALUE(IF(RTD("tos.rtd",,"IMPL_VOL","."&amp;B$2&amp;B$1&amp;"P"&amp;$A38)="N/A",0,RTD("tos.rtd",,"IMPL_VOL","."&amp;B$2&amp;B$1&amp;"P"&amp;$A38))),0)-IFERROR(VALUE(IF(RTD("tos.rtd",,"IMPL_VOL","."&amp;B$2&amp;B$1&amp;"C"&amp;$A38)="N/A",0,RTD("tos.rtd",,"IMPL_VOL","."&amp;B$2&amp;B$1&amp;"C"&amp;$A38))),0),IF($A$2="MAXPAIN",IF($A$4&gt;$A38,($A$4-$A38)*IF(RTD("tos.rtd",,"OPEN_INT","."&amp;B$2&amp;B$1&amp;"C"&amp;$A38)="N/A",0,RTD("tos.rtd",,"OPEN_INT","."&amp;B$2&amp;B$1&amp;"C"&amp;$A38)),0)+IF($A$4&lt;$A38,($A38-$A$4)*IF(RTD("tos.rtd",,"OPEN_INT","."&amp;B$2&amp;B$1&amp;"P"&amp;$A38)="N/A",0,RTD("tos.rtd",,"OPEN_INT","."&amp;B$2&amp;B$1&amp;"P"&amp;$A38)),0),IF(RTD("tos.rtd",,$A$2,"."&amp;B$2&amp;B$1&amp;"C"&amp;$A38)="N/A",0,RTD("tos.rtd",,$A$2,"."&amp;B$2&amp;B$1&amp;"C"&amp;$A38))-IF(RTD("tos.rtd",,$A$2,"."&amp;B$2&amp;B$1&amp;"P"&amp;$A38)="N/A",0,RTD("tos.rtd",,$A$2,"."&amp;B$2&amp;B$1&amp;"P"&amp;$A38)))))))))</f>
        <v>0</v>
      </c>
      <c r="C38" s="12">
        <f>IF($A$2="PREMIUM_OI",IFERROR((100*RTD("tos.rtd",,"OPEN_INT","."&amp;C$2&amp;C$1&amp;"C"&amp;$A38)*RTD("tos.rtd",,"LAST","."&amp;C$2&amp;C$1&amp;"C"&amp;$A38)-100*RTD("tos.rtd",,"OPEN_INT","."&amp;C$2&amp;C$1&amp;"P"&amp;$A38)*RTD("tos.rtd",,"LAST","."&amp;C$2&amp;C$1&amp;"P"&amp;$A38))/1000000,0),IF($A$2="PREMIUM",IFERROR((100*RTD("tos.rtd",,"VOLUME","."&amp;C$2&amp;C$1&amp;"C"&amp;$A38)*RTD("tos.rtd",,"LAST","."&amp;C$2&amp;C$1&amp;"C"&amp;$A38)-100*RTD("tos.rtd",,"VOLUME","."&amp;C$2&amp;C$1&amp;"P"&amp;$A38)*RTD("tos.rtd",,"LAST","."&amp;C$2&amp;C$1&amp;"P"&amp;$A38))/1000000,0),IF($A$2="DEX",IFERROR((100*RTD("tos.rtd",,"OPEN_INT","."&amp;C$2&amp;C$1&amp;"C"&amp;$A38)*RTD("tos.rtd",,"DELTA","."&amp;C$2&amp;C$1&amp;"C"&amp;$A38)-100*RTD("tos.rtd",,"OPEN_INT","."&amp;C$2&amp;C$1&amp;"P"&amp;$A38)*RTD("tos.rtd",,"DELTA","."&amp;C$2&amp;C$1&amp;"P"&amp;$A38))/1000,0),IF($A$2="VEX",IFERROR(($A$4*$A$4*RTD("tos.rtd",,"VOLUME","."&amp;C$2&amp;C$1&amp;"C"&amp;$A38)*RTD("tos.rtd",,"GAMMA","."&amp;C$2&amp;C$1&amp;"C"&amp;$A38)-$A$4*$A$4*RTD("tos.rtd",,"VOLUME","."&amp;C$2&amp;C$1&amp;"P"&amp;$A38)*RTD("tos.rtd",,"GAMMA","."&amp;C$2&amp;C$1&amp;"P"&amp;$A38))/1000000,0),IF($A$2="GEX",IFERROR(($A$4*$A$4*RTD("tos.rtd",,"OPEN_INT","."&amp;C$2&amp;C$1&amp;"C"&amp;$A38)*RTD("tos.rtd",,"GAMMA","."&amp;C$2&amp;C$1&amp;"C"&amp;$A38)-$A$4*$A$4*RTD("tos.rtd",,"OPEN_INT","."&amp;C$2&amp;C$1&amp;"P"&amp;$A38)*RTD("tos.rtd",,"GAMMA","."&amp;C$2&amp;C$1&amp;"P"&amp;$A38))/1000000,0),IF($A$2="SKEW",IFERROR(VALUE(IF(RTD("tos.rtd",,"IMPL_VOL","."&amp;C$2&amp;C$1&amp;"P"&amp;$A38)="N/A",0,RTD("tos.rtd",,"IMPL_VOL","."&amp;C$2&amp;C$1&amp;"P"&amp;$A38))),0)-IFERROR(VALUE(IF(RTD("tos.rtd",,"IMPL_VOL","."&amp;C$2&amp;C$1&amp;"C"&amp;$A38)="N/A",0,RTD("tos.rtd",,"IMPL_VOL","."&amp;C$2&amp;C$1&amp;"C"&amp;$A38))),0),IF($A$2="MAXPAIN",IF($A$4&gt;$A38,($A$4-$A38)*IF(RTD("tos.rtd",,"OPEN_INT","."&amp;C$2&amp;C$1&amp;"C"&amp;$A38)="N/A",0,RTD("tos.rtd",,"OPEN_INT","."&amp;C$2&amp;C$1&amp;"C"&amp;$A38)),0)+IF($A$4&lt;$A38,($A38-$A$4)*IF(RTD("tos.rtd",,"OPEN_INT","."&amp;C$2&amp;C$1&amp;"P"&amp;$A38)="N/A",0,RTD("tos.rtd",,"OPEN_INT","."&amp;C$2&amp;C$1&amp;"P"&amp;$A38)),0),IF(RTD("tos.rtd",,$A$2,"."&amp;C$2&amp;C$1&amp;"C"&amp;$A38)="N/A",0,RTD("tos.rtd",,$A$2,"."&amp;C$2&amp;C$1&amp;"C"&amp;$A38))-IF(RTD("tos.rtd",,$A$2,"."&amp;C$2&amp;C$1&amp;"P"&amp;$A38)="N/A",0,RTD("tos.rtd",,$A$2,"."&amp;C$2&amp;C$1&amp;"P"&amp;$A38)))))))))</f>
        <v>-1670</v>
      </c>
      <c r="D38" s="12">
        <f>IF($A$2="PREMIUM_OI",IFERROR((100*RTD("tos.rtd",,"OPEN_INT","."&amp;D$2&amp;D$1&amp;"C"&amp;$A38)*RTD("tos.rtd",,"LAST","."&amp;D$2&amp;D$1&amp;"C"&amp;$A38)-100*RTD("tos.rtd",,"OPEN_INT","."&amp;D$2&amp;D$1&amp;"P"&amp;$A38)*RTD("tos.rtd",,"LAST","."&amp;D$2&amp;D$1&amp;"P"&amp;$A38))/1000000,0),IF($A$2="PREMIUM",IFERROR((100*RTD("tos.rtd",,"VOLUME","."&amp;D$2&amp;D$1&amp;"C"&amp;$A38)*RTD("tos.rtd",,"LAST","."&amp;D$2&amp;D$1&amp;"C"&amp;$A38)-100*RTD("tos.rtd",,"VOLUME","."&amp;D$2&amp;D$1&amp;"P"&amp;$A38)*RTD("tos.rtd",,"LAST","."&amp;D$2&amp;D$1&amp;"P"&amp;$A38))/1000000,0),IF($A$2="DEX",IFERROR((100*RTD("tos.rtd",,"OPEN_INT","."&amp;D$2&amp;D$1&amp;"C"&amp;$A38)*RTD("tos.rtd",,"DELTA","."&amp;D$2&amp;D$1&amp;"C"&amp;$A38)-100*RTD("tos.rtd",,"OPEN_INT","."&amp;D$2&amp;D$1&amp;"P"&amp;$A38)*RTD("tos.rtd",,"DELTA","."&amp;D$2&amp;D$1&amp;"P"&amp;$A38))/1000,0),IF($A$2="VEX",IFERROR(($A$4*$A$4*RTD("tos.rtd",,"VOLUME","."&amp;D$2&amp;D$1&amp;"C"&amp;$A38)*RTD("tos.rtd",,"GAMMA","."&amp;D$2&amp;D$1&amp;"C"&amp;$A38)-$A$4*$A$4*RTD("tos.rtd",,"VOLUME","."&amp;D$2&amp;D$1&amp;"P"&amp;$A38)*RTD("tos.rtd",,"GAMMA","."&amp;D$2&amp;D$1&amp;"P"&amp;$A38))/1000000,0),IF($A$2="GEX",IFERROR(($A$4*$A$4*RTD("tos.rtd",,"OPEN_INT","."&amp;D$2&amp;D$1&amp;"C"&amp;$A38)*RTD("tos.rtd",,"GAMMA","."&amp;D$2&amp;D$1&amp;"C"&amp;$A38)-$A$4*$A$4*RTD("tos.rtd",,"OPEN_INT","."&amp;D$2&amp;D$1&amp;"P"&amp;$A38)*RTD("tos.rtd",,"GAMMA","."&amp;D$2&amp;D$1&amp;"P"&amp;$A38))/1000000,0),IF($A$2="SKEW",IFERROR(VALUE(IF(RTD("tos.rtd",,"IMPL_VOL","."&amp;D$2&amp;D$1&amp;"P"&amp;$A38)="N/A",0,RTD("tos.rtd",,"IMPL_VOL","."&amp;D$2&amp;D$1&amp;"P"&amp;$A38))),0)-IFERROR(VALUE(IF(RTD("tos.rtd",,"IMPL_VOL","."&amp;D$2&amp;D$1&amp;"C"&amp;$A38)="N/A",0,RTD("tos.rtd",,"IMPL_VOL","."&amp;D$2&amp;D$1&amp;"C"&amp;$A38))),0),IF($A$2="MAXPAIN",IF($A$4&gt;$A38,($A$4-$A38)*IF(RTD("tos.rtd",,"OPEN_INT","."&amp;D$2&amp;D$1&amp;"C"&amp;$A38)="N/A",0,RTD("tos.rtd",,"OPEN_INT","."&amp;D$2&amp;D$1&amp;"C"&amp;$A38)),0)+IF($A$4&lt;$A38,($A38-$A$4)*IF(RTD("tos.rtd",,"OPEN_INT","."&amp;D$2&amp;D$1&amp;"P"&amp;$A38)="N/A",0,RTD("tos.rtd",,"OPEN_INT","."&amp;D$2&amp;D$1&amp;"P"&amp;$A38)),0),IF(RTD("tos.rtd",,$A$2,"."&amp;D$2&amp;D$1&amp;"C"&amp;$A38)="N/A",0,RTD("tos.rtd",,$A$2,"."&amp;D$2&amp;D$1&amp;"C"&amp;$A38))-IF(RTD("tos.rtd",,$A$2,"."&amp;D$2&amp;D$1&amp;"P"&amp;$A38)="N/A",0,RTD("tos.rtd",,$A$2,"."&amp;D$2&amp;D$1&amp;"P"&amp;$A38)))))))))</f>
        <v>0</v>
      </c>
      <c r="E38" s="12">
        <f>IF($A$2="PREMIUM_OI",IFERROR((100*RTD("tos.rtd",,"OPEN_INT","."&amp;E$2&amp;E$1&amp;"C"&amp;$A38)*RTD("tos.rtd",,"LAST","."&amp;E$2&amp;E$1&amp;"C"&amp;$A38)-100*RTD("tos.rtd",,"OPEN_INT","."&amp;E$2&amp;E$1&amp;"P"&amp;$A38)*RTD("tos.rtd",,"LAST","."&amp;E$2&amp;E$1&amp;"P"&amp;$A38))/1000000,0),IF($A$2="PREMIUM",IFERROR((100*RTD("tos.rtd",,"VOLUME","."&amp;E$2&amp;E$1&amp;"C"&amp;$A38)*RTD("tos.rtd",,"LAST","."&amp;E$2&amp;E$1&amp;"C"&amp;$A38)-100*RTD("tos.rtd",,"VOLUME","."&amp;E$2&amp;E$1&amp;"P"&amp;$A38)*RTD("tos.rtd",,"LAST","."&amp;E$2&amp;E$1&amp;"P"&amp;$A38))/1000000,0),IF($A$2="DEX",IFERROR((100*RTD("tos.rtd",,"OPEN_INT","."&amp;E$2&amp;E$1&amp;"C"&amp;$A38)*RTD("tos.rtd",,"DELTA","."&amp;E$2&amp;E$1&amp;"C"&amp;$A38)-100*RTD("tos.rtd",,"OPEN_INT","."&amp;E$2&amp;E$1&amp;"P"&amp;$A38)*RTD("tos.rtd",,"DELTA","."&amp;E$2&amp;E$1&amp;"P"&amp;$A38))/1000,0),IF($A$2="VEX",IFERROR(($A$4*$A$4*RTD("tos.rtd",,"VOLUME","."&amp;E$2&amp;E$1&amp;"C"&amp;$A38)*RTD("tos.rtd",,"GAMMA","."&amp;E$2&amp;E$1&amp;"C"&amp;$A38)-$A$4*$A$4*RTD("tos.rtd",,"VOLUME","."&amp;E$2&amp;E$1&amp;"P"&amp;$A38)*RTD("tos.rtd",,"GAMMA","."&amp;E$2&amp;E$1&amp;"P"&amp;$A38))/1000000,0),IF($A$2="GEX",IFERROR(($A$4*$A$4*RTD("tos.rtd",,"OPEN_INT","."&amp;E$2&amp;E$1&amp;"C"&amp;$A38)*RTD("tos.rtd",,"GAMMA","."&amp;E$2&amp;E$1&amp;"C"&amp;$A38)-$A$4*$A$4*RTD("tos.rtd",,"OPEN_INT","."&amp;E$2&amp;E$1&amp;"P"&amp;$A38)*RTD("tos.rtd",,"GAMMA","."&amp;E$2&amp;E$1&amp;"P"&amp;$A38))/1000000,0),IF($A$2="SKEW",IFERROR(VALUE(IF(RTD("tos.rtd",,"IMPL_VOL","."&amp;E$2&amp;E$1&amp;"P"&amp;$A38)="N/A",0,RTD("tos.rtd",,"IMPL_VOL","."&amp;E$2&amp;E$1&amp;"P"&amp;$A38))),0)-IFERROR(VALUE(IF(RTD("tos.rtd",,"IMPL_VOL","."&amp;E$2&amp;E$1&amp;"C"&amp;$A38)="N/A",0,RTD("tos.rtd",,"IMPL_VOL","."&amp;E$2&amp;E$1&amp;"C"&amp;$A38))),0),IF($A$2="MAXPAIN",IF($A$4&gt;$A38,($A$4-$A38)*IF(RTD("tos.rtd",,"OPEN_INT","."&amp;E$2&amp;E$1&amp;"C"&amp;$A38)="N/A",0,RTD("tos.rtd",,"OPEN_INT","."&amp;E$2&amp;E$1&amp;"C"&amp;$A38)),0)+IF($A$4&lt;$A38,($A38-$A$4)*IF(RTD("tos.rtd",,"OPEN_INT","."&amp;E$2&amp;E$1&amp;"P"&amp;$A38)="N/A",0,RTD("tos.rtd",,"OPEN_INT","."&amp;E$2&amp;E$1&amp;"P"&amp;$A38)),0),IF(RTD("tos.rtd",,$A$2,"."&amp;E$2&amp;E$1&amp;"C"&amp;$A38)="N/A",0,RTD("tos.rtd",,$A$2,"."&amp;E$2&amp;E$1&amp;"C"&amp;$A38))-IF(RTD("tos.rtd",,$A$2,"."&amp;E$2&amp;E$1&amp;"P"&amp;$A38)="N/A",0,RTD("tos.rtd",,$A$2,"."&amp;E$2&amp;E$1&amp;"P"&amp;$A38)))))))))</f>
        <v>0</v>
      </c>
      <c r="F38" s="12">
        <f>IF($A$2="PREMIUM_OI",IFERROR((100*RTD("tos.rtd",,"OPEN_INT","."&amp;F$2&amp;F$1&amp;"C"&amp;$A38)*RTD("tos.rtd",,"LAST","."&amp;F$2&amp;F$1&amp;"C"&amp;$A38)-100*RTD("tos.rtd",,"OPEN_INT","."&amp;F$2&amp;F$1&amp;"P"&amp;$A38)*RTD("tos.rtd",,"LAST","."&amp;F$2&amp;F$1&amp;"P"&amp;$A38))/1000000,0),IF($A$2="PREMIUM",IFERROR((100*RTD("tos.rtd",,"VOLUME","."&amp;F$2&amp;F$1&amp;"C"&amp;$A38)*RTD("tos.rtd",,"LAST","."&amp;F$2&amp;F$1&amp;"C"&amp;$A38)-100*RTD("tos.rtd",,"VOLUME","."&amp;F$2&amp;F$1&amp;"P"&amp;$A38)*RTD("tos.rtd",,"LAST","."&amp;F$2&amp;F$1&amp;"P"&amp;$A38))/1000000,0),IF($A$2="DEX",IFERROR((100*RTD("tos.rtd",,"OPEN_INT","."&amp;F$2&amp;F$1&amp;"C"&amp;$A38)*RTD("tos.rtd",,"DELTA","."&amp;F$2&amp;F$1&amp;"C"&amp;$A38)-100*RTD("tos.rtd",,"OPEN_INT","."&amp;F$2&amp;F$1&amp;"P"&amp;$A38)*RTD("tos.rtd",,"DELTA","."&amp;F$2&amp;F$1&amp;"P"&amp;$A38))/1000,0),IF($A$2="VEX",IFERROR(($A$4*$A$4*RTD("tos.rtd",,"VOLUME","."&amp;F$2&amp;F$1&amp;"C"&amp;$A38)*RTD("tos.rtd",,"GAMMA","."&amp;F$2&amp;F$1&amp;"C"&amp;$A38)-$A$4*$A$4*RTD("tos.rtd",,"VOLUME","."&amp;F$2&amp;F$1&amp;"P"&amp;$A38)*RTD("tos.rtd",,"GAMMA","."&amp;F$2&amp;F$1&amp;"P"&amp;$A38))/1000000,0),IF($A$2="GEX",IFERROR(($A$4*$A$4*RTD("tos.rtd",,"OPEN_INT","."&amp;F$2&amp;F$1&amp;"C"&amp;$A38)*RTD("tos.rtd",,"GAMMA","."&amp;F$2&amp;F$1&amp;"C"&amp;$A38)-$A$4*$A$4*RTD("tos.rtd",,"OPEN_INT","."&amp;F$2&amp;F$1&amp;"P"&amp;$A38)*RTD("tos.rtd",,"GAMMA","."&amp;F$2&amp;F$1&amp;"P"&amp;$A38))/1000000,0),IF($A$2="SKEW",IFERROR(VALUE(IF(RTD("tos.rtd",,"IMPL_VOL","."&amp;F$2&amp;F$1&amp;"P"&amp;$A38)="N/A",0,RTD("tos.rtd",,"IMPL_VOL","."&amp;F$2&amp;F$1&amp;"P"&amp;$A38))),0)-IFERROR(VALUE(IF(RTD("tos.rtd",,"IMPL_VOL","."&amp;F$2&amp;F$1&amp;"C"&amp;$A38)="N/A",0,RTD("tos.rtd",,"IMPL_VOL","."&amp;F$2&amp;F$1&amp;"C"&amp;$A38))),0),IF($A$2="MAXPAIN",IF($A$4&gt;$A38,($A$4-$A38)*IF(RTD("tos.rtd",,"OPEN_INT","."&amp;F$2&amp;F$1&amp;"C"&amp;$A38)="N/A",0,RTD("tos.rtd",,"OPEN_INT","."&amp;F$2&amp;F$1&amp;"C"&amp;$A38)),0)+IF($A$4&lt;$A38,($A38-$A$4)*IF(RTD("tos.rtd",,"OPEN_INT","."&amp;F$2&amp;F$1&amp;"P"&amp;$A38)="N/A",0,RTD("tos.rtd",,"OPEN_INT","."&amp;F$2&amp;F$1&amp;"P"&amp;$A38)),0),IF(RTD("tos.rtd",,$A$2,"."&amp;F$2&amp;F$1&amp;"C"&amp;$A38)="N/A",0,RTD("tos.rtd",,$A$2,"."&amp;F$2&amp;F$1&amp;"C"&amp;$A38))-IF(RTD("tos.rtd",,$A$2,"."&amp;F$2&amp;F$1&amp;"P"&amp;$A38)="N/A",0,RTD("tos.rtd",,$A$2,"."&amp;F$2&amp;F$1&amp;"P"&amp;$A38)))))))))</f>
        <v>0</v>
      </c>
      <c r="G38" s="14">
        <f>IF($A$2="PREMIUM_OI",IFERROR((100*RTD("tos.rtd",,"OPEN_INT","."&amp;G$2&amp;G$1&amp;"C"&amp;$A38)*RTD("tos.rtd",,"LAST","."&amp;G$2&amp;G$1&amp;"C"&amp;$A38)-100*RTD("tos.rtd",,"OPEN_INT","."&amp;G$2&amp;G$1&amp;"P"&amp;$A38)*RTD("tos.rtd",,"LAST","."&amp;G$2&amp;G$1&amp;"P"&amp;$A38))/1000000,0),IF($A$2="PREMIUM",IFERROR((100*RTD("tos.rtd",,"VOLUME","."&amp;G$2&amp;G$1&amp;"C"&amp;$A38)*RTD("tos.rtd",,"LAST","."&amp;G$2&amp;G$1&amp;"C"&amp;$A38)-100*RTD("tos.rtd",,"VOLUME","."&amp;G$2&amp;G$1&amp;"P"&amp;$A38)*RTD("tos.rtd",,"LAST","."&amp;G$2&amp;G$1&amp;"P"&amp;$A38))/1000000,0),IF($A$2="DEX",IFERROR((100*RTD("tos.rtd",,"OPEN_INT","."&amp;G$2&amp;G$1&amp;"C"&amp;$A38)*RTD("tos.rtd",,"DELTA","."&amp;G$2&amp;G$1&amp;"C"&amp;$A38)-100*RTD("tos.rtd",,"OPEN_INT","."&amp;G$2&amp;G$1&amp;"P"&amp;$A38)*RTD("tos.rtd",,"DELTA","."&amp;G$2&amp;G$1&amp;"P"&amp;$A38))/1000,0),IF($A$2="VEX",IFERROR(($A$4*$A$4*RTD("tos.rtd",,"VOLUME","."&amp;G$2&amp;G$1&amp;"C"&amp;$A38)*RTD("tos.rtd",,"GAMMA","."&amp;G$2&amp;G$1&amp;"C"&amp;$A38)-$A$4*$A$4*RTD("tos.rtd",,"VOLUME","."&amp;G$2&amp;G$1&amp;"P"&amp;$A38)*RTD("tos.rtd",,"GAMMA","."&amp;G$2&amp;G$1&amp;"P"&amp;$A38))/1000000,0),IF($A$2="GEX",IFERROR(($A$4*$A$4*RTD("tos.rtd",,"OPEN_INT","."&amp;G$2&amp;G$1&amp;"C"&amp;$A38)*RTD("tos.rtd",,"GAMMA","."&amp;G$2&amp;G$1&amp;"C"&amp;$A38)-$A$4*$A$4*RTD("tos.rtd",,"OPEN_INT","."&amp;G$2&amp;G$1&amp;"P"&amp;$A38)*RTD("tos.rtd",,"GAMMA","."&amp;G$2&amp;G$1&amp;"P"&amp;$A38))/1000000,0),IF($A$2="SKEW",IFERROR(VALUE(IF(RTD("tos.rtd",,"IMPL_VOL","."&amp;G$2&amp;G$1&amp;"P"&amp;$A38)="N/A",0,RTD("tos.rtd",,"IMPL_VOL","."&amp;G$2&amp;G$1&amp;"P"&amp;$A38))),0)-IFERROR(VALUE(IF(RTD("tos.rtd",,"IMPL_VOL","."&amp;G$2&amp;G$1&amp;"C"&amp;$A38)="N/A",0,RTD("tos.rtd",,"IMPL_VOL","."&amp;G$2&amp;G$1&amp;"C"&amp;$A38))),0),IF($A$2="MAXPAIN",IF($A$4&gt;$A38,($A$4-$A38)*IF(RTD("tos.rtd",,"OPEN_INT","."&amp;G$2&amp;G$1&amp;"C"&amp;$A38)="N/A",0,RTD("tos.rtd",,"OPEN_INT","."&amp;G$2&amp;G$1&amp;"C"&amp;$A38)),0)+IF($A$4&lt;$A38,($A38-$A$4)*IF(RTD("tos.rtd",,"OPEN_INT","."&amp;G$2&amp;G$1&amp;"P"&amp;$A38)="N/A",0,RTD("tos.rtd",,"OPEN_INT","."&amp;G$2&amp;G$1&amp;"P"&amp;$A38)),0),IF(RTD("tos.rtd",,$A$2,"."&amp;G$2&amp;G$1&amp;"C"&amp;$A38)="N/A",0,RTD("tos.rtd",,$A$2,"."&amp;G$2&amp;G$1&amp;"C"&amp;$A38))-IF(RTD("tos.rtd",,$A$2,"."&amp;G$2&amp;G$1&amp;"P"&amp;$A38)="N/A",0,RTD("tos.rtd",,$A$2,"."&amp;G$2&amp;G$1&amp;"P"&amp;$A38)))))))))</f>
        <v>0</v>
      </c>
      <c r="H38" s="12">
        <f>IF($A$2="PREMIUM_OI",IFERROR((100*RTD("tos.rtd",,"OPEN_INT","."&amp;H$2&amp;H$1&amp;"C"&amp;$A38)*RTD("tos.rtd",,"LAST","."&amp;H$2&amp;H$1&amp;"C"&amp;$A38)-100*RTD("tos.rtd",,"OPEN_INT","."&amp;H$2&amp;H$1&amp;"P"&amp;$A38)*RTD("tos.rtd",,"LAST","."&amp;H$2&amp;H$1&amp;"P"&amp;$A38))/1000000,0),IF($A$2="PREMIUM",IFERROR((100*RTD("tos.rtd",,"VOLUME","."&amp;H$2&amp;H$1&amp;"C"&amp;$A38)*RTD("tos.rtd",,"LAST","."&amp;H$2&amp;H$1&amp;"C"&amp;$A38)-100*RTD("tos.rtd",,"VOLUME","."&amp;H$2&amp;H$1&amp;"P"&amp;$A38)*RTD("tos.rtd",,"LAST","."&amp;H$2&amp;H$1&amp;"P"&amp;$A38))/1000000,0),IF($A$2="DEX",IFERROR((100*RTD("tos.rtd",,"OPEN_INT","."&amp;H$2&amp;H$1&amp;"C"&amp;$A38)*RTD("tos.rtd",,"DELTA","."&amp;H$2&amp;H$1&amp;"C"&amp;$A38)-100*RTD("tos.rtd",,"OPEN_INT","."&amp;H$2&amp;H$1&amp;"P"&amp;$A38)*RTD("tos.rtd",,"DELTA","."&amp;H$2&amp;H$1&amp;"P"&amp;$A38))/1000,0),IF($A$2="VEX",IFERROR(($A$4*$A$4*RTD("tos.rtd",,"VOLUME","."&amp;H$2&amp;H$1&amp;"C"&amp;$A38)*RTD("tos.rtd",,"GAMMA","."&amp;H$2&amp;H$1&amp;"C"&amp;$A38)-$A$4*$A$4*RTD("tos.rtd",,"VOLUME","."&amp;H$2&amp;H$1&amp;"P"&amp;$A38)*RTD("tos.rtd",,"GAMMA","."&amp;H$2&amp;H$1&amp;"P"&amp;$A38))/1000000,0),IF($A$2="GEX",IFERROR(($A$4*$A$4*RTD("tos.rtd",,"OPEN_INT","."&amp;H$2&amp;H$1&amp;"C"&amp;$A38)*RTD("tos.rtd",,"GAMMA","."&amp;H$2&amp;H$1&amp;"C"&amp;$A38)-$A$4*$A$4*RTD("tos.rtd",,"OPEN_INT","."&amp;H$2&amp;H$1&amp;"P"&amp;$A38)*RTD("tos.rtd",,"GAMMA","."&amp;H$2&amp;H$1&amp;"P"&amp;$A38))/1000000,0),IF($A$2="SKEW",IFERROR(VALUE(IF(RTD("tos.rtd",,"IMPL_VOL","."&amp;H$2&amp;H$1&amp;"P"&amp;$A38)="N/A",0,RTD("tos.rtd",,"IMPL_VOL","."&amp;H$2&amp;H$1&amp;"P"&amp;$A38))),0)-IFERROR(VALUE(IF(RTD("tos.rtd",,"IMPL_VOL","."&amp;H$2&amp;H$1&amp;"C"&amp;$A38)="N/A",0,RTD("tos.rtd",,"IMPL_VOL","."&amp;H$2&amp;H$1&amp;"C"&amp;$A38))),0),IF($A$2="MAXPAIN",IF($A$4&gt;$A38,($A$4-$A38)*IF(RTD("tos.rtd",,"OPEN_INT","."&amp;H$2&amp;H$1&amp;"C"&amp;$A38)="N/A",0,RTD("tos.rtd",,"OPEN_INT","."&amp;H$2&amp;H$1&amp;"C"&amp;$A38)),0)+IF($A$4&lt;$A38,($A38-$A$4)*IF(RTD("tos.rtd",,"OPEN_INT","."&amp;H$2&amp;H$1&amp;"P"&amp;$A38)="N/A",0,RTD("tos.rtd",,"OPEN_INT","."&amp;H$2&amp;H$1&amp;"P"&amp;$A38)),0),IF(RTD("tos.rtd",,$A$2,"."&amp;H$2&amp;H$1&amp;"C"&amp;$A38)="N/A",0,RTD("tos.rtd",,$A$2,"."&amp;H$2&amp;H$1&amp;"C"&amp;$A38))-IF(RTD("tos.rtd",,$A$2,"."&amp;H$2&amp;H$1&amp;"P"&amp;$A38)="N/A",0,RTD("tos.rtd",,$A$2,"."&amp;H$2&amp;H$1&amp;"P"&amp;$A38)))))))))</f>
        <v>-53513</v>
      </c>
      <c r="I38" s="12">
        <f>IF($A$2="PREMIUM_OI",IFERROR((100*RTD("tos.rtd",,"OPEN_INT","."&amp;I$2&amp;I$1&amp;"C"&amp;$A38)*RTD("tos.rtd",,"LAST","."&amp;I$2&amp;I$1&amp;"C"&amp;$A38)-100*RTD("tos.rtd",,"OPEN_INT","."&amp;I$2&amp;I$1&amp;"P"&amp;$A38)*RTD("tos.rtd",,"LAST","."&amp;I$2&amp;I$1&amp;"P"&amp;$A38))/1000000,0),IF($A$2="PREMIUM",IFERROR((100*RTD("tos.rtd",,"VOLUME","."&amp;I$2&amp;I$1&amp;"C"&amp;$A38)*RTD("tos.rtd",,"LAST","."&amp;I$2&amp;I$1&amp;"C"&amp;$A38)-100*RTD("tos.rtd",,"VOLUME","."&amp;I$2&amp;I$1&amp;"P"&amp;$A38)*RTD("tos.rtd",,"LAST","."&amp;I$2&amp;I$1&amp;"P"&amp;$A38))/1000000,0),IF($A$2="DEX",IFERROR((100*RTD("tos.rtd",,"OPEN_INT","."&amp;I$2&amp;I$1&amp;"C"&amp;$A38)*RTD("tos.rtd",,"DELTA","."&amp;I$2&amp;I$1&amp;"C"&amp;$A38)-100*RTD("tos.rtd",,"OPEN_INT","."&amp;I$2&amp;I$1&amp;"P"&amp;$A38)*RTD("tos.rtd",,"DELTA","."&amp;I$2&amp;I$1&amp;"P"&amp;$A38))/1000,0),IF($A$2="VEX",IFERROR(($A$4*$A$4*RTD("tos.rtd",,"VOLUME","."&amp;I$2&amp;I$1&amp;"C"&amp;$A38)*RTD("tos.rtd",,"GAMMA","."&amp;I$2&amp;I$1&amp;"C"&amp;$A38)-$A$4*$A$4*RTD("tos.rtd",,"VOLUME","."&amp;I$2&amp;I$1&amp;"P"&amp;$A38)*RTD("tos.rtd",,"GAMMA","."&amp;I$2&amp;I$1&amp;"P"&amp;$A38))/1000000,0),IF($A$2="GEX",IFERROR(($A$4*$A$4*RTD("tos.rtd",,"OPEN_INT","."&amp;I$2&amp;I$1&amp;"C"&amp;$A38)*RTD("tos.rtd",,"GAMMA","."&amp;I$2&amp;I$1&amp;"C"&amp;$A38)-$A$4*$A$4*RTD("tos.rtd",,"OPEN_INT","."&amp;I$2&amp;I$1&amp;"P"&amp;$A38)*RTD("tos.rtd",,"GAMMA","."&amp;I$2&amp;I$1&amp;"P"&amp;$A38))/1000000,0),IF($A$2="SKEW",IFERROR(VALUE(IF(RTD("tos.rtd",,"IMPL_VOL","."&amp;I$2&amp;I$1&amp;"P"&amp;$A38)="N/A",0,RTD("tos.rtd",,"IMPL_VOL","."&amp;I$2&amp;I$1&amp;"P"&amp;$A38))),0)-IFERROR(VALUE(IF(RTD("tos.rtd",,"IMPL_VOL","."&amp;I$2&amp;I$1&amp;"C"&amp;$A38)="N/A",0,RTD("tos.rtd",,"IMPL_VOL","."&amp;I$2&amp;I$1&amp;"C"&amp;$A38))),0),IF($A$2="MAXPAIN",IF($A$4&gt;$A38,($A$4-$A38)*IF(RTD("tos.rtd",,"OPEN_INT","."&amp;I$2&amp;I$1&amp;"C"&amp;$A38)="N/A",0,RTD("tos.rtd",,"OPEN_INT","."&amp;I$2&amp;I$1&amp;"C"&amp;$A38)),0)+IF($A$4&lt;$A38,($A38-$A$4)*IF(RTD("tos.rtd",,"OPEN_INT","."&amp;I$2&amp;I$1&amp;"P"&amp;$A38)="N/A",0,RTD("tos.rtd",,"OPEN_INT","."&amp;I$2&amp;I$1&amp;"P"&amp;$A38)),0),IF(RTD("tos.rtd",,$A$2,"."&amp;I$2&amp;I$1&amp;"C"&amp;$A38)="N/A",0,RTD("tos.rtd",,$A$2,"."&amp;I$2&amp;I$1&amp;"C"&amp;$A38))-IF(RTD("tos.rtd",,$A$2,"."&amp;I$2&amp;I$1&amp;"P"&amp;$A38)="N/A",0,RTD("tos.rtd",,$A$2,"."&amp;I$2&amp;I$1&amp;"P"&amp;$A38)))))))))</f>
        <v>0</v>
      </c>
      <c r="J38" s="12">
        <f>IF($A$2="PREMIUM_OI",IFERROR((100*RTD("tos.rtd",,"OPEN_INT","."&amp;J$2&amp;J$1&amp;"C"&amp;$A38)*RTD("tos.rtd",,"LAST","."&amp;J$2&amp;J$1&amp;"C"&amp;$A38)-100*RTD("tos.rtd",,"OPEN_INT","."&amp;J$2&amp;J$1&amp;"P"&amp;$A38)*RTD("tos.rtd",,"LAST","."&amp;J$2&amp;J$1&amp;"P"&amp;$A38))/1000000,0),IF($A$2="PREMIUM",IFERROR((100*RTD("tos.rtd",,"VOLUME","."&amp;J$2&amp;J$1&amp;"C"&amp;$A38)*RTD("tos.rtd",,"LAST","."&amp;J$2&amp;J$1&amp;"C"&amp;$A38)-100*RTD("tos.rtd",,"VOLUME","."&amp;J$2&amp;J$1&amp;"P"&amp;$A38)*RTD("tos.rtd",,"LAST","."&amp;J$2&amp;J$1&amp;"P"&amp;$A38))/1000000,0),IF($A$2="DEX",IFERROR((100*RTD("tos.rtd",,"OPEN_INT","."&amp;J$2&amp;J$1&amp;"C"&amp;$A38)*RTD("tos.rtd",,"DELTA","."&amp;J$2&amp;J$1&amp;"C"&amp;$A38)-100*RTD("tos.rtd",,"OPEN_INT","."&amp;J$2&amp;J$1&amp;"P"&amp;$A38)*RTD("tos.rtd",,"DELTA","."&amp;J$2&amp;J$1&amp;"P"&amp;$A38))/1000,0),IF($A$2="VEX",IFERROR(($A$4*$A$4*RTD("tos.rtd",,"VOLUME","."&amp;J$2&amp;J$1&amp;"C"&amp;$A38)*RTD("tos.rtd",,"GAMMA","."&amp;J$2&amp;J$1&amp;"C"&amp;$A38)-$A$4*$A$4*RTD("tos.rtd",,"VOLUME","."&amp;J$2&amp;J$1&amp;"P"&amp;$A38)*RTD("tos.rtd",,"GAMMA","."&amp;J$2&amp;J$1&amp;"P"&amp;$A38))/1000000,0),IF($A$2="GEX",IFERROR(($A$4*$A$4*RTD("tos.rtd",,"OPEN_INT","."&amp;J$2&amp;J$1&amp;"C"&amp;$A38)*RTD("tos.rtd",,"GAMMA","."&amp;J$2&amp;J$1&amp;"C"&amp;$A38)-$A$4*$A$4*RTD("tos.rtd",,"OPEN_INT","."&amp;J$2&amp;J$1&amp;"P"&amp;$A38)*RTD("tos.rtd",,"GAMMA","."&amp;J$2&amp;J$1&amp;"P"&amp;$A38))/1000000,0),IF($A$2="SKEW",IFERROR(VALUE(IF(RTD("tos.rtd",,"IMPL_VOL","."&amp;J$2&amp;J$1&amp;"P"&amp;$A38)="N/A",0,RTD("tos.rtd",,"IMPL_VOL","."&amp;J$2&amp;J$1&amp;"P"&amp;$A38))),0)-IFERROR(VALUE(IF(RTD("tos.rtd",,"IMPL_VOL","."&amp;J$2&amp;J$1&amp;"C"&amp;$A38)="N/A",0,RTD("tos.rtd",,"IMPL_VOL","."&amp;J$2&amp;J$1&amp;"C"&amp;$A38))),0),IF($A$2="MAXPAIN",IF($A$4&gt;$A38,($A$4-$A38)*IF(RTD("tos.rtd",,"OPEN_INT","."&amp;J$2&amp;J$1&amp;"C"&amp;$A38)="N/A",0,RTD("tos.rtd",,"OPEN_INT","."&amp;J$2&amp;J$1&amp;"C"&amp;$A38)),0)+IF($A$4&lt;$A38,($A38-$A$4)*IF(RTD("tos.rtd",,"OPEN_INT","."&amp;J$2&amp;J$1&amp;"P"&amp;$A38)="N/A",0,RTD("tos.rtd",,"OPEN_INT","."&amp;J$2&amp;J$1&amp;"P"&amp;$A38)),0),IF(RTD("tos.rtd",,$A$2,"."&amp;J$2&amp;J$1&amp;"C"&amp;$A38)="N/A",0,RTD("tos.rtd",,$A$2,"."&amp;J$2&amp;J$1&amp;"C"&amp;$A38))-IF(RTD("tos.rtd",,$A$2,"."&amp;J$2&amp;J$1&amp;"P"&amp;$A38)="N/A",0,RTD("tos.rtd",,$A$2,"."&amp;J$2&amp;J$1&amp;"P"&amp;$A38)))))))))</f>
        <v>0</v>
      </c>
      <c r="K38" s="12">
        <f>IF($A$2="PREMIUM_OI",IFERROR((100*RTD("tos.rtd",,"OPEN_INT","."&amp;K$2&amp;K$1&amp;"C"&amp;$A38)*RTD("tos.rtd",,"LAST","."&amp;K$2&amp;K$1&amp;"C"&amp;$A38)-100*RTD("tos.rtd",,"OPEN_INT","."&amp;K$2&amp;K$1&amp;"P"&amp;$A38)*RTD("tos.rtd",,"LAST","."&amp;K$2&amp;K$1&amp;"P"&amp;$A38))/1000000,0),IF($A$2="PREMIUM",IFERROR((100*RTD("tos.rtd",,"VOLUME","."&amp;K$2&amp;K$1&amp;"C"&amp;$A38)*RTD("tos.rtd",,"LAST","."&amp;K$2&amp;K$1&amp;"C"&amp;$A38)-100*RTD("tos.rtd",,"VOLUME","."&amp;K$2&amp;K$1&amp;"P"&amp;$A38)*RTD("tos.rtd",,"LAST","."&amp;K$2&amp;K$1&amp;"P"&amp;$A38))/1000000,0),IF($A$2="DEX",IFERROR((100*RTD("tos.rtd",,"OPEN_INT","."&amp;K$2&amp;K$1&amp;"C"&amp;$A38)*RTD("tos.rtd",,"DELTA","."&amp;K$2&amp;K$1&amp;"C"&amp;$A38)-100*RTD("tos.rtd",,"OPEN_INT","."&amp;K$2&amp;K$1&amp;"P"&amp;$A38)*RTD("tos.rtd",,"DELTA","."&amp;K$2&amp;K$1&amp;"P"&amp;$A38))/1000,0),IF($A$2="VEX",IFERROR(($A$4*$A$4*RTD("tos.rtd",,"VOLUME","."&amp;K$2&amp;K$1&amp;"C"&amp;$A38)*RTD("tos.rtd",,"GAMMA","."&amp;K$2&amp;K$1&amp;"C"&amp;$A38)-$A$4*$A$4*RTD("tos.rtd",,"VOLUME","."&amp;K$2&amp;K$1&amp;"P"&amp;$A38)*RTD("tos.rtd",,"GAMMA","."&amp;K$2&amp;K$1&amp;"P"&amp;$A38))/1000000,0),IF($A$2="GEX",IFERROR(($A$4*$A$4*RTD("tos.rtd",,"OPEN_INT","."&amp;K$2&amp;K$1&amp;"C"&amp;$A38)*RTD("tos.rtd",,"GAMMA","."&amp;K$2&amp;K$1&amp;"C"&amp;$A38)-$A$4*$A$4*RTD("tos.rtd",,"OPEN_INT","."&amp;K$2&amp;K$1&amp;"P"&amp;$A38)*RTD("tos.rtd",,"GAMMA","."&amp;K$2&amp;K$1&amp;"P"&amp;$A38))/1000000,0),IF($A$2="SKEW",IFERROR(VALUE(IF(RTD("tos.rtd",,"IMPL_VOL","."&amp;K$2&amp;K$1&amp;"P"&amp;$A38)="N/A",0,RTD("tos.rtd",,"IMPL_VOL","."&amp;K$2&amp;K$1&amp;"P"&amp;$A38))),0)-IFERROR(VALUE(IF(RTD("tos.rtd",,"IMPL_VOL","."&amp;K$2&amp;K$1&amp;"C"&amp;$A38)="N/A",0,RTD("tos.rtd",,"IMPL_VOL","."&amp;K$2&amp;K$1&amp;"C"&amp;$A38))),0),IF($A$2="MAXPAIN",IF($A$4&gt;$A38,($A$4-$A38)*IF(RTD("tos.rtd",,"OPEN_INT","."&amp;K$2&amp;K$1&amp;"C"&amp;$A38)="N/A",0,RTD("tos.rtd",,"OPEN_INT","."&amp;K$2&amp;K$1&amp;"C"&amp;$A38)),0)+IF($A$4&lt;$A38,($A38-$A$4)*IF(RTD("tos.rtd",,"OPEN_INT","."&amp;K$2&amp;K$1&amp;"P"&amp;$A38)="N/A",0,RTD("tos.rtd",,"OPEN_INT","."&amp;K$2&amp;K$1&amp;"P"&amp;$A38)),0),IF(RTD("tos.rtd",,$A$2,"."&amp;K$2&amp;K$1&amp;"C"&amp;$A38)="N/A",0,RTD("tos.rtd",,$A$2,"."&amp;K$2&amp;K$1&amp;"C"&amp;$A38))-IF(RTD("tos.rtd",,$A$2,"."&amp;K$2&amp;K$1&amp;"P"&amp;$A38)="N/A",0,RTD("tos.rtd",,$A$2,"."&amp;K$2&amp;K$1&amp;"P"&amp;$A38)))))))))</f>
        <v>0</v>
      </c>
      <c r="L38" s="12">
        <f>IF($A$2="PREMIUM_OI",IFERROR((100*RTD("tos.rtd",,"OPEN_INT","."&amp;L$2&amp;L$1&amp;"C"&amp;$A38)*RTD("tos.rtd",,"LAST","."&amp;L$2&amp;L$1&amp;"C"&amp;$A38)-100*RTD("tos.rtd",,"OPEN_INT","."&amp;L$2&amp;L$1&amp;"P"&amp;$A38)*RTD("tos.rtd",,"LAST","."&amp;L$2&amp;L$1&amp;"P"&amp;$A38))/1000000,0),IF($A$2="PREMIUM",IFERROR((100*RTD("tos.rtd",,"VOLUME","."&amp;L$2&amp;L$1&amp;"C"&amp;$A38)*RTD("tos.rtd",,"LAST","."&amp;L$2&amp;L$1&amp;"C"&amp;$A38)-100*RTD("tos.rtd",,"VOLUME","."&amp;L$2&amp;L$1&amp;"P"&amp;$A38)*RTD("tos.rtd",,"LAST","."&amp;L$2&amp;L$1&amp;"P"&amp;$A38))/1000000,0),IF($A$2="DEX",IFERROR((100*RTD("tos.rtd",,"OPEN_INT","."&amp;L$2&amp;L$1&amp;"C"&amp;$A38)*RTD("tos.rtd",,"DELTA","."&amp;L$2&amp;L$1&amp;"C"&amp;$A38)-100*RTD("tos.rtd",,"OPEN_INT","."&amp;L$2&amp;L$1&amp;"P"&amp;$A38)*RTD("tos.rtd",,"DELTA","."&amp;L$2&amp;L$1&amp;"P"&amp;$A38))/1000,0),IF($A$2="VEX",IFERROR(($A$4*$A$4*RTD("tos.rtd",,"VOLUME","."&amp;L$2&amp;L$1&amp;"C"&amp;$A38)*RTD("tos.rtd",,"GAMMA","."&amp;L$2&amp;L$1&amp;"C"&amp;$A38)-$A$4*$A$4*RTD("tos.rtd",,"VOLUME","."&amp;L$2&amp;L$1&amp;"P"&amp;$A38)*RTD("tos.rtd",,"GAMMA","."&amp;L$2&amp;L$1&amp;"P"&amp;$A38))/1000000,0),IF($A$2="GEX",IFERROR(($A$4*$A$4*RTD("tos.rtd",,"OPEN_INT","."&amp;L$2&amp;L$1&amp;"C"&amp;$A38)*RTD("tos.rtd",,"GAMMA","."&amp;L$2&amp;L$1&amp;"C"&amp;$A38)-$A$4*$A$4*RTD("tos.rtd",,"OPEN_INT","."&amp;L$2&amp;L$1&amp;"P"&amp;$A38)*RTD("tos.rtd",,"GAMMA","."&amp;L$2&amp;L$1&amp;"P"&amp;$A38))/1000000,0),IF($A$2="SKEW",IFERROR(VALUE(IF(RTD("tos.rtd",,"IMPL_VOL","."&amp;L$2&amp;L$1&amp;"P"&amp;$A38)="N/A",0,RTD("tos.rtd",,"IMPL_VOL","."&amp;L$2&amp;L$1&amp;"P"&amp;$A38))),0)-IFERROR(VALUE(IF(RTD("tos.rtd",,"IMPL_VOL","."&amp;L$2&amp;L$1&amp;"C"&amp;$A38)="N/A",0,RTD("tos.rtd",,"IMPL_VOL","."&amp;L$2&amp;L$1&amp;"C"&amp;$A38))),0),IF($A$2="MAXPAIN",IF($A$4&gt;$A38,($A$4-$A38)*IF(RTD("tos.rtd",,"OPEN_INT","."&amp;L$2&amp;L$1&amp;"C"&amp;$A38)="N/A",0,RTD("tos.rtd",,"OPEN_INT","."&amp;L$2&amp;L$1&amp;"C"&amp;$A38)),0)+IF($A$4&lt;$A38,($A38-$A$4)*IF(RTD("tos.rtd",,"OPEN_INT","."&amp;L$2&amp;L$1&amp;"P"&amp;$A38)="N/A",0,RTD("tos.rtd",,"OPEN_INT","."&amp;L$2&amp;L$1&amp;"P"&amp;$A38)),0),IF(RTD("tos.rtd",,$A$2,"."&amp;L$2&amp;L$1&amp;"C"&amp;$A38)="N/A",0,RTD("tos.rtd",,$A$2,"."&amp;L$2&amp;L$1&amp;"C"&amp;$A38))-IF(RTD("tos.rtd",,$A$2,"."&amp;L$2&amp;L$1&amp;"P"&amp;$A38)="N/A",0,RTD("tos.rtd",,$A$2,"."&amp;L$2&amp;L$1&amp;"P"&amp;$A38)))))))))</f>
        <v>0</v>
      </c>
      <c r="M38" s="12">
        <f>IF($A$2="PREMIUM_OI",IFERROR((100*RTD("tos.rtd",,"OPEN_INT","."&amp;M$2&amp;M$1&amp;"C"&amp;$A38)*RTD("tos.rtd",,"LAST","."&amp;M$2&amp;M$1&amp;"C"&amp;$A38)-100*RTD("tos.rtd",,"OPEN_INT","."&amp;M$2&amp;M$1&amp;"P"&amp;$A38)*RTD("tos.rtd",,"LAST","."&amp;M$2&amp;M$1&amp;"P"&amp;$A38))/1000000,0),IF($A$2="PREMIUM",IFERROR((100*RTD("tos.rtd",,"VOLUME","."&amp;M$2&amp;M$1&amp;"C"&amp;$A38)*RTD("tos.rtd",,"LAST","."&amp;M$2&amp;M$1&amp;"C"&amp;$A38)-100*RTD("tos.rtd",,"VOLUME","."&amp;M$2&amp;M$1&amp;"P"&amp;$A38)*RTD("tos.rtd",,"LAST","."&amp;M$2&amp;M$1&amp;"P"&amp;$A38))/1000000,0),IF($A$2="DEX",IFERROR((100*RTD("tos.rtd",,"OPEN_INT","."&amp;M$2&amp;M$1&amp;"C"&amp;$A38)*RTD("tos.rtd",,"DELTA","."&amp;M$2&amp;M$1&amp;"C"&amp;$A38)-100*RTD("tos.rtd",,"OPEN_INT","."&amp;M$2&amp;M$1&amp;"P"&amp;$A38)*RTD("tos.rtd",,"DELTA","."&amp;M$2&amp;M$1&amp;"P"&amp;$A38))/1000,0),IF($A$2="VEX",IFERROR(($A$4*$A$4*RTD("tos.rtd",,"VOLUME","."&amp;M$2&amp;M$1&amp;"C"&amp;$A38)*RTD("tos.rtd",,"GAMMA","."&amp;M$2&amp;M$1&amp;"C"&amp;$A38)-$A$4*$A$4*RTD("tos.rtd",,"VOLUME","."&amp;M$2&amp;M$1&amp;"P"&amp;$A38)*RTD("tos.rtd",,"GAMMA","."&amp;M$2&amp;M$1&amp;"P"&amp;$A38))/1000000,0),IF($A$2="GEX",IFERROR(($A$4*$A$4*RTD("tos.rtd",,"OPEN_INT","."&amp;M$2&amp;M$1&amp;"C"&amp;$A38)*RTD("tos.rtd",,"GAMMA","."&amp;M$2&amp;M$1&amp;"C"&amp;$A38)-$A$4*$A$4*RTD("tos.rtd",,"OPEN_INT","."&amp;M$2&amp;M$1&amp;"P"&amp;$A38)*RTD("tos.rtd",,"GAMMA","."&amp;M$2&amp;M$1&amp;"P"&amp;$A38))/1000000,0),IF($A$2="SKEW",IFERROR(VALUE(IF(RTD("tos.rtd",,"IMPL_VOL","."&amp;M$2&amp;M$1&amp;"P"&amp;$A38)="N/A",0,RTD("tos.rtd",,"IMPL_VOL","."&amp;M$2&amp;M$1&amp;"P"&amp;$A38))),0)-IFERROR(VALUE(IF(RTD("tos.rtd",,"IMPL_VOL","."&amp;M$2&amp;M$1&amp;"C"&amp;$A38)="N/A",0,RTD("tos.rtd",,"IMPL_VOL","."&amp;M$2&amp;M$1&amp;"C"&amp;$A38))),0),IF($A$2="MAXPAIN",IF($A$4&gt;$A38,($A$4-$A38)*IF(RTD("tos.rtd",,"OPEN_INT","."&amp;M$2&amp;M$1&amp;"C"&amp;$A38)="N/A",0,RTD("tos.rtd",,"OPEN_INT","."&amp;M$2&amp;M$1&amp;"C"&amp;$A38)),0)+IF($A$4&lt;$A38,($A38-$A$4)*IF(RTD("tos.rtd",,"OPEN_INT","."&amp;M$2&amp;M$1&amp;"P"&amp;$A38)="N/A",0,RTD("tos.rtd",,"OPEN_INT","."&amp;M$2&amp;M$1&amp;"P"&amp;$A38)),0),IF(RTD("tos.rtd",,$A$2,"."&amp;M$2&amp;M$1&amp;"C"&amp;$A38)="N/A",0,RTD("tos.rtd",,$A$2,"."&amp;M$2&amp;M$1&amp;"C"&amp;$A38))-IF(RTD("tos.rtd",,$A$2,"."&amp;M$2&amp;M$1&amp;"P"&amp;$A38)="N/A",0,RTD("tos.rtd",,$A$2,"."&amp;M$2&amp;M$1&amp;"P"&amp;$A38)))))))))</f>
        <v>-778</v>
      </c>
      <c r="N38" s="12">
        <f>IF($A$2="PREMIUM_OI",IFERROR((100*RTD("tos.rtd",,"OPEN_INT","."&amp;N$2&amp;N$1&amp;"C"&amp;$A38)*RTD("tos.rtd",,"LAST","."&amp;N$2&amp;N$1&amp;"C"&amp;$A38)-100*RTD("tos.rtd",,"OPEN_INT","."&amp;N$2&amp;N$1&amp;"P"&amp;$A38)*RTD("tos.rtd",,"LAST","."&amp;N$2&amp;N$1&amp;"P"&amp;$A38))/1000000,0),IF($A$2="PREMIUM",IFERROR((100*RTD("tos.rtd",,"VOLUME","."&amp;N$2&amp;N$1&amp;"C"&amp;$A38)*RTD("tos.rtd",,"LAST","."&amp;N$2&amp;N$1&amp;"C"&amp;$A38)-100*RTD("tos.rtd",,"VOLUME","."&amp;N$2&amp;N$1&amp;"P"&amp;$A38)*RTD("tos.rtd",,"LAST","."&amp;N$2&amp;N$1&amp;"P"&amp;$A38))/1000000,0),IF($A$2="DEX",IFERROR((100*RTD("tos.rtd",,"OPEN_INT","."&amp;N$2&amp;N$1&amp;"C"&amp;$A38)*RTD("tos.rtd",,"DELTA","."&amp;N$2&amp;N$1&amp;"C"&amp;$A38)-100*RTD("tos.rtd",,"OPEN_INT","."&amp;N$2&amp;N$1&amp;"P"&amp;$A38)*RTD("tos.rtd",,"DELTA","."&amp;N$2&amp;N$1&amp;"P"&amp;$A38))/1000,0),IF($A$2="VEX",IFERROR(($A$4*$A$4*RTD("tos.rtd",,"VOLUME","."&amp;N$2&amp;N$1&amp;"C"&amp;$A38)*RTD("tos.rtd",,"GAMMA","."&amp;N$2&amp;N$1&amp;"C"&amp;$A38)-$A$4*$A$4*RTD("tos.rtd",,"VOLUME","."&amp;N$2&amp;N$1&amp;"P"&amp;$A38)*RTD("tos.rtd",,"GAMMA","."&amp;N$2&amp;N$1&amp;"P"&amp;$A38))/1000000,0),IF($A$2="GEX",IFERROR(($A$4*$A$4*RTD("tos.rtd",,"OPEN_INT","."&amp;N$2&amp;N$1&amp;"C"&amp;$A38)*RTD("tos.rtd",,"GAMMA","."&amp;N$2&amp;N$1&amp;"C"&amp;$A38)-$A$4*$A$4*RTD("tos.rtd",,"OPEN_INT","."&amp;N$2&amp;N$1&amp;"P"&amp;$A38)*RTD("tos.rtd",,"GAMMA","."&amp;N$2&amp;N$1&amp;"P"&amp;$A38))/1000000,0),IF($A$2="SKEW",IFERROR(VALUE(IF(RTD("tos.rtd",,"IMPL_VOL","."&amp;N$2&amp;N$1&amp;"P"&amp;$A38)="N/A",0,RTD("tos.rtd",,"IMPL_VOL","."&amp;N$2&amp;N$1&amp;"P"&amp;$A38))),0)-IFERROR(VALUE(IF(RTD("tos.rtd",,"IMPL_VOL","."&amp;N$2&amp;N$1&amp;"C"&amp;$A38)="N/A",0,RTD("tos.rtd",,"IMPL_VOL","."&amp;N$2&amp;N$1&amp;"C"&amp;$A38))),0),IF($A$2="MAXPAIN",IF($A$4&gt;$A38,($A$4-$A38)*IF(RTD("tos.rtd",,"OPEN_INT","."&amp;N$2&amp;N$1&amp;"C"&amp;$A38)="N/A",0,RTD("tos.rtd",,"OPEN_INT","."&amp;N$2&amp;N$1&amp;"C"&amp;$A38)),0)+IF($A$4&lt;$A38,($A38-$A$4)*IF(RTD("tos.rtd",,"OPEN_INT","."&amp;N$2&amp;N$1&amp;"P"&amp;$A38)="N/A",0,RTD("tos.rtd",,"OPEN_INT","."&amp;N$2&amp;N$1&amp;"P"&amp;$A38)),0),IF(RTD("tos.rtd",,$A$2,"."&amp;N$2&amp;N$1&amp;"C"&amp;$A38)="N/A",0,RTD("tos.rtd",,$A$2,"."&amp;N$2&amp;N$1&amp;"C"&amp;$A38))-IF(RTD("tos.rtd",,$A$2,"."&amp;N$2&amp;N$1&amp;"P"&amp;$A38)="N/A",0,RTD("tos.rtd",,$A$2,"."&amp;N$2&amp;N$1&amp;"P"&amp;$A38)))))))))</f>
        <v>0</v>
      </c>
      <c r="O38" s="12">
        <f>IF($A$2="PREMIUM_OI",IFERROR((100*RTD("tos.rtd",,"OPEN_INT","."&amp;O$2&amp;O$1&amp;"C"&amp;$A38)*RTD("tos.rtd",,"LAST","."&amp;O$2&amp;O$1&amp;"C"&amp;$A38)-100*RTD("tos.rtd",,"OPEN_INT","."&amp;O$2&amp;O$1&amp;"P"&amp;$A38)*RTD("tos.rtd",,"LAST","."&amp;O$2&amp;O$1&amp;"P"&amp;$A38))/1000000,0),IF($A$2="PREMIUM",IFERROR((100*RTD("tos.rtd",,"VOLUME","."&amp;O$2&amp;O$1&amp;"C"&amp;$A38)*RTD("tos.rtd",,"LAST","."&amp;O$2&amp;O$1&amp;"C"&amp;$A38)-100*RTD("tos.rtd",,"VOLUME","."&amp;O$2&amp;O$1&amp;"P"&amp;$A38)*RTD("tos.rtd",,"LAST","."&amp;O$2&amp;O$1&amp;"P"&amp;$A38))/1000000,0),IF($A$2="DEX",IFERROR((100*RTD("tos.rtd",,"OPEN_INT","."&amp;O$2&amp;O$1&amp;"C"&amp;$A38)*RTD("tos.rtd",,"DELTA","."&amp;O$2&amp;O$1&amp;"C"&amp;$A38)-100*RTD("tos.rtd",,"OPEN_INT","."&amp;O$2&amp;O$1&amp;"P"&amp;$A38)*RTD("tos.rtd",,"DELTA","."&amp;O$2&amp;O$1&amp;"P"&amp;$A38))/1000,0),IF($A$2="VEX",IFERROR(($A$4*$A$4*RTD("tos.rtd",,"VOLUME","."&amp;O$2&amp;O$1&amp;"C"&amp;$A38)*RTD("tos.rtd",,"GAMMA","."&amp;O$2&amp;O$1&amp;"C"&amp;$A38)-$A$4*$A$4*RTD("tos.rtd",,"VOLUME","."&amp;O$2&amp;O$1&amp;"P"&amp;$A38)*RTD("tos.rtd",,"GAMMA","."&amp;O$2&amp;O$1&amp;"P"&amp;$A38))/1000000,0),IF($A$2="GEX",IFERROR(($A$4*$A$4*RTD("tos.rtd",,"OPEN_INT","."&amp;O$2&amp;O$1&amp;"C"&amp;$A38)*RTD("tos.rtd",,"GAMMA","."&amp;O$2&amp;O$1&amp;"C"&amp;$A38)-$A$4*$A$4*RTD("tos.rtd",,"OPEN_INT","."&amp;O$2&amp;O$1&amp;"P"&amp;$A38)*RTD("tos.rtd",,"GAMMA","."&amp;O$2&amp;O$1&amp;"P"&amp;$A38))/1000000,0),IF($A$2="SKEW",IFERROR(VALUE(IF(RTD("tos.rtd",,"IMPL_VOL","."&amp;O$2&amp;O$1&amp;"P"&amp;$A38)="N/A",0,RTD("tos.rtd",,"IMPL_VOL","."&amp;O$2&amp;O$1&amp;"P"&amp;$A38))),0)-IFERROR(VALUE(IF(RTD("tos.rtd",,"IMPL_VOL","."&amp;O$2&amp;O$1&amp;"C"&amp;$A38)="N/A",0,RTD("tos.rtd",,"IMPL_VOL","."&amp;O$2&amp;O$1&amp;"C"&amp;$A38))),0),IF($A$2="MAXPAIN",IF($A$4&gt;$A38,($A$4-$A38)*IF(RTD("tos.rtd",,"OPEN_INT","."&amp;O$2&amp;O$1&amp;"C"&amp;$A38)="N/A",0,RTD("tos.rtd",,"OPEN_INT","."&amp;O$2&amp;O$1&amp;"C"&amp;$A38)),0)+IF($A$4&lt;$A38,($A38-$A$4)*IF(RTD("tos.rtd",,"OPEN_INT","."&amp;O$2&amp;O$1&amp;"P"&amp;$A38)="N/A",0,RTD("tos.rtd",,"OPEN_INT","."&amp;O$2&amp;O$1&amp;"P"&amp;$A38)),0),IF(RTD("tos.rtd",,$A$2,"."&amp;O$2&amp;O$1&amp;"C"&amp;$A38)="N/A",0,RTD("tos.rtd",,$A$2,"."&amp;O$2&amp;O$1&amp;"C"&amp;$A38))-IF(RTD("tos.rtd",,$A$2,"."&amp;O$2&amp;O$1&amp;"P"&amp;$A38)="N/A",0,RTD("tos.rtd",,$A$2,"."&amp;O$2&amp;O$1&amp;"P"&amp;$A38)))))))))</f>
        <v>0</v>
      </c>
      <c r="P38" s="12">
        <f>IF($A$2="PREMIUM_OI",IFERROR((100*RTD("tos.rtd",,"OPEN_INT","."&amp;P$2&amp;P$1&amp;"C"&amp;$A38)*RTD("tos.rtd",,"LAST","."&amp;P$2&amp;P$1&amp;"C"&amp;$A38)-100*RTD("tos.rtd",,"OPEN_INT","."&amp;P$2&amp;P$1&amp;"P"&amp;$A38)*RTD("tos.rtd",,"LAST","."&amp;P$2&amp;P$1&amp;"P"&amp;$A38))/1000000,0),IF($A$2="PREMIUM",IFERROR((100*RTD("tos.rtd",,"VOLUME","."&amp;P$2&amp;P$1&amp;"C"&amp;$A38)*RTD("tos.rtd",,"LAST","."&amp;P$2&amp;P$1&amp;"C"&amp;$A38)-100*RTD("tos.rtd",,"VOLUME","."&amp;P$2&amp;P$1&amp;"P"&amp;$A38)*RTD("tos.rtd",,"LAST","."&amp;P$2&amp;P$1&amp;"P"&amp;$A38))/1000000,0),IF($A$2="DEX",IFERROR((100*RTD("tos.rtd",,"OPEN_INT","."&amp;P$2&amp;P$1&amp;"C"&amp;$A38)*RTD("tos.rtd",,"DELTA","."&amp;P$2&amp;P$1&amp;"C"&amp;$A38)-100*RTD("tos.rtd",,"OPEN_INT","."&amp;P$2&amp;P$1&amp;"P"&amp;$A38)*RTD("tos.rtd",,"DELTA","."&amp;P$2&amp;P$1&amp;"P"&amp;$A38))/1000,0),IF($A$2="VEX",IFERROR(($A$4*$A$4*RTD("tos.rtd",,"VOLUME","."&amp;P$2&amp;P$1&amp;"C"&amp;$A38)*RTD("tos.rtd",,"GAMMA","."&amp;P$2&amp;P$1&amp;"C"&amp;$A38)-$A$4*$A$4*RTD("tos.rtd",,"VOLUME","."&amp;P$2&amp;P$1&amp;"P"&amp;$A38)*RTD("tos.rtd",,"GAMMA","."&amp;P$2&amp;P$1&amp;"P"&amp;$A38))/1000000,0),IF($A$2="GEX",IFERROR(($A$4*$A$4*RTD("tos.rtd",,"OPEN_INT","."&amp;P$2&amp;P$1&amp;"C"&amp;$A38)*RTD("tos.rtd",,"GAMMA","."&amp;P$2&amp;P$1&amp;"C"&amp;$A38)-$A$4*$A$4*RTD("tos.rtd",,"OPEN_INT","."&amp;P$2&amp;P$1&amp;"P"&amp;$A38)*RTD("tos.rtd",,"GAMMA","."&amp;P$2&amp;P$1&amp;"P"&amp;$A38))/1000000,0),IF($A$2="SKEW",IFERROR(VALUE(IF(RTD("tos.rtd",,"IMPL_VOL","."&amp;P$2&amp;P$1&amp;"P"&amp;$A38)="N/A",0,RTD("tos.rtd",,"IMPL_VOL","."&amp;P$2&amp;P$1&amp;"P"&amp;$A38))),0)-IFERROR(VALUE(IF(RTD("tos.rtd",,"IMPL_VOL","."&amp;P$2&amp;P$1&amp;"C"&amp;$A38)="N/A",0,RTD("tos.rtd",,"IMPL_VOL","."&amp;P$2&amp;P$1&amp;"C"&amp;$A38))),0),IF($A$2="MAXPAIN",IF($A$4&gt;$A38,($A$4-$A38)*IF(RTD("tos.rtd",,"OPEN_INT","."&amp;P$2&amp;P$1&amp;"C"&amp;$A38)="N/A",0,RTD("tos.rtd",,"OPEN_INT","."&amp;P$2&amp;P$1&amp;"C"&amp;$A38)),0)+IF($A$4&lt;$A38,($A38-$A$4)*IF(RTD("tos.rtd",,"OPEN_INT","."&amp;P$2&amp;P$1&amp;"P"&amp;$A38)="N/A",0,RTD("tos.rtd",,"OPEN_INT","."&amp;P$2&amp;P$1&amp;"P"&amp;$A38)),0),IF(RTD("tos.rtd",,$A$2,"."&amp;P$2&amp;P$1&amp;"C"&amp;$A38)="N/A",0,RTD("tos.rtd",,$A$2,"."&amp;P$2&amp;P$1&amp;"C"&amp;$A38))-IF(RTD("tos.rtd",,$A$2,"."&amp;P$2&amp;P$1&amp;"P"&amp;$A38)="N/A",0,RTD("tos.rtd",,$A$2,"."&amp;P$2&amp;P$1&amp;"P"&amp;$A38)))))))))</f>
        <v>0</v>
      </c>
      <c r="Q38" s="12">
        <f>IF($A$2="PREMIUM_OI",IFERROR((100*RTD("tos.rtd",,"OPEN_INT","."&amp;Q$2&amp;Q$1&amp;"C"&amp;$A38)*RTD("tos.rtd",,"LAST","."&amp;Q$2&amp;Q$1&amp;"C"&amp;$A38)-100*RTD("tos.rtd",,"OPEN_INT","."&amp;Q$2&amp;Q$1&amp;"P"&amp;$A38)*RTD("tos.rtd",,"LAST","."&amp;Q$2&amp;Q$1&amp;"P"&amp;$A38))/1000000,0),IF($A$2="PREMIUM",IFERROR((100*RTD("tos.rtd",,"VOLUME","."&amp;Q$2&amp;Q$1&amp;"C"&amp;$A38)*RTD("tos.rtd",,"LAST","."&amp;Q$2&amp;Q$1&amp;"C"&amp;$A38)-100*RTD("tos.rtd",,"VOLUME","."&amp;Q$2&amp;Q$1&amp;"P"&amp;$A38)*RTD("tos.rtd",,"LAST","."&amp;Q$2&amp;Q$1&amp;"P"&amp;$A38))/1000000,0),IF($A$2="DEX",IFERROR((100*RTD("tos.rtd",,"OPEN_INT","."&amp;Q$2&amp;Q$1&amp;"C"&amp;$A38)*RTD("tos.rtd",,"DELTA","."&amp;Q$2&amp;Q$1&amp;"C"&amp;$A38)-100*RTD("tos.rtd",,"OPEN_INT","."&amp;Q$2&amp;Q$1&amp;"P"&amp;$A38)*RTD("tos.rtd",,"DELTA","."&amp;Q$2&amp;Q$1&amp;"P"&amp;$A38))/1000,0),IF($A$2="VEX",IFERROR(($A$4*$A$4*RTD("tos.rtd",,"VOLUME","."&amp;Q$2&amp;Q$1&amp;"C"&amp;$A38)*RTD("tos.rtd",,"GAMMA","."&amp;Q$2&amp;Q$1&amp;"C"&amp;$A38)-$A$4*$A$4*RTD("tos.rtd",,"VOLUME","."&amp;Q$2&amp;Q$1&amp;"P"&amp;$A38)*RTD("tos.rtd",,"GAMMA","."&amp;Q$2&amp;Q$1&amp;"P"&amp;$A38))/1000000,0),IF($A$2="GEX",IFERROR(($A$4*$A$4*RTD("tos.rtd",,"OPEN_INT","."&amp;Q$2&amp;Q$1&amp;"C"&amp;$A38)*RTD("tos.rtd",,"GAMMA","."&amp;Q$2&amp;Q$1&amp;"C"&amp;$A38)-$A$4*$A$4*RTD("tos.rtd",,"OPEN_INT","."&amp;Q$2&amp;Q$1&amp;"P"&amp;$A38)*RTD("tos.rtd",,"GAMMA","."&amp;Q$2&amp;Q$1&amp;"P"&amp;$A38))/1000000,0),IF($A$2="SKEW",IFERROR(VALUE(IF(RTD("tos.rtd",,"IMPL_VOL","."&amp;Q$2&amp;Q$1&amp;"P"&amp;$A38)="N/A",0,RTD("tos.rtd",,"IMPL_VOL","."&amp;Q$2&amp;Q$1&amp;"P"&amp;$A38))),0)-IFERROR(VALUE(IF(RTD("tos.rtd",,"IMPL_VOL","."&amp;Q$2&amp;Q$1&amp;"C"&amp;$A38)="N/A",0,RTD("tos.rtd",,"IMPL_VOL","."&amp;Q$2&amp;Q$1&amp;"C"&amp;$A38))),0),IF($A$2="MAXPAIN",IF($A$4&gt;$A38,($A$4-$A38)*IF(RTD("tos.rtd",,"OPEN_INT","."&amp;Q$2&amp;Q$1&amp;"C"&amp;$A38)="N/A",0,RTD("tos.rtd",,"OPEN_INT","."&amp;Q$2&amp;Q$1&amp;"C"&amp;$A38)),0)+IF($A$4&lt;$A38,($A38-$A$4)*IF(RTD("tos.rtd",,"OPEN_INT","."&amp;Q$2&amp;Q$1&amp;"P"&amp;$A38)="N/A",0,RTD("tos.rtd",,"OPEN_INT","."&amp;Q$2&amp;Q$1&amp;"P"&amp;$A38)),0),IF(RTD("tos.rtd",,$A$2,"."&amp;Q$2&amp;Q$1&amp;"C"&amp;$A38)="N/A",0,RTD("tos.rtd",,$A$2,"."&amp;Q$2&amp;Q$1&amp;"C"&amp;$A38))-IF(RTD("tos.rtd",,$A$2,"."&amp;Q$2&amp;Q$1&amp;"P"&amp;$A38)="N/A",0,RTD("tos.rtd",,$A$2,"."&amp;Q$2&amp;Q$1&amp;"P"&amp;$A38)))))))))</f>
        <v>0</v>
      </c>
      <c r="R38" s="12">
        <f>IF($A$2="PREMIUM_OI",IFERROR((100*RTD("tos.rtd",,"OPEN_INT","."&amp;R$2&amp;R$1&amp;"C"&amp;$A38)*RTD("tos.rtd",,"LAST","."&amp;R$2&amp;R$1&amp;"C"&amp;$A38)-100*RTD("tos.rtd",,"OPEN_INT","."&amp;R$2&amp;R$1&amp;"P"&amp;$A38)*RTD("tos.rtd",,"LAST","."&amp;R$2&amp;R$1&amp;"P"&amp;$A38))/1000000,0),IF($A$2="PREMIUM",IFERROR((100*RTD("tos.rtd",,"VOLUME","."&amp;R$2&amp;R$1&amp;"C"&amp;$A38)*RTD("tos.rtd",,"LAST","."&amp;R$2&amp;R$1&amp;"C"&amp;$A38)-100*RTD("tos.rtd",,"VOLUME","."&amp;R$2&amp;R$1&amp;"P"&amp;$A38)*RTD("tos.rtd",,"LAST","."&amp;R$2&amp;R$1&amp;"P"&amp;$A38))/1000000,0),IF($A$2="DEX",IFERROR((100*RTD("tos.rtd",,"OPEN_INT","."&amp;R$2&amp;R$1&amp;"C"&amp;$A38)*RTD("tos.rtd",,"DELTA","."&amp;R$2&amp;R$1&amp;"C"&amp;$A38)-100*RTD("tos.rtd",,"OPEN_INT","."&amp;R$2&amp;R$1&amp;"P"&amp;$A38)*RTD("tos.rtd",,"DELTA","."&amp;R$2&amp;R$1&amp;"P"&amp;$A38))/1000,0),IF($A$2="VEX",IFERROR(($A$4*$A$4*RTD("tos.rtd",,"VOLUME","."&amp;R$2&amp;R$1&amp;"C"&amp;$A38)*RTD("tos.rtd",,"GAMMA","."&amp;R$2&amp;R$1&amp;"C"&amp;$A38)-$A$4*$A$4*RTD("tos.rtd",,"VOLUME","."&amp;R$2&amp;R$1&amp;"P"&amp;$A38)*RTD("tos.rtd",,"GAMMA","."&amp;R$2&amp;R$1&amp;"P"&amp;$A38))/1000000,0),IF($A$2="GEX",IFERROR(($A$4*$A$4*RTD("tos.rtd",,"OPEN_INT","."&amp;R$2&amp;R$1&amp;"C"&amp;$A38)*RTD("tos.rtd",,"GAMMA","."&amp;R$2&amp;R$1&amp;"C"&amp;$A38)-$A$4*$A$4*RTD("tos.rtd",,"OPEN_INT","."&amp;R$2&amp;R$1&amp;"P"&amp;$A38)*RTD("tos.rtd",,"GAMMA","."&amp;R$2&amp;R$1&amp;"P"&amp;$A38))/1000000,0),IF($A$2="SKEW",IFERROR(VALUE(IF(RTD("tos.rtd",,"IMPL_VOL","."&amp;R$2&amp;R$1&amp;"P"&amp;$A38)="N/A",0,RTD("tos.rtd",,"IMPL_VOL","."&amp;R$2&amp;R$1&amp;"P"&amp;$A38))),0)-IFERROR(VALUE(IF(RTD("tos.rtd",,"IMPL_VOL","."&amp;R$2&amp;R$1&amp;"C"&amp;$A38)="N/A",0,RTD("tos.rtd",,"IMPL_VOL","."&amp;R$2&amp;R$1&amp;"C"&amp;$A38))),0),IF($A$2="MAXPAIN",IF($A$4&gt;$A38,($A$4-$A38)*IF(RTD("tos.rtd",,"OPEN_INT","."&amp;R$2&amp;R$1&amp;"C"&amp;$A38)="N/A",0,RTD("tos.rtd",,"OPEN_INT","."&amp;R$2&amp;R$1&amp;"C"&amp;$A38)),0)+IF($A$4&lt;$A38,($A38-$A$4)*IF(RTD("tos.rtd",,"OPEN_INT","."&amp;R$2&amp;R$1&amp;"P"&amp;$A38)="N/A",0,RTD("tos.rtd",,"OPEN_INT","."&amp;R$2&amp;R$1&amp;"P"&amp;$A38)),0),IF(RTD("tos.rtd",,$A$2,"."&amp;R$2&amp;R$1&amp;"C"&amp;$A38)="N/A",0,RTD("tos.rtd",,$A$2,"."&amp;R$2&amp;R$1&amp;"C"&amp;$A38))-IF(RTD("tos.rtd",,$A$2,"."&amp;R$2&amp;R$1&amp;"P"&amp;$A38)="N/A",0,RTD("tos.rtd",,$A$2,"."&amp;R$2&amp;R$1&amp;"P"&amp;$A38)))))))))</f>
        <v>-1599</v>
      </c>
      <c r="S38" s="12">
        <f>IF($A$2="PREMIUM_OI",IFERROR((100*RTD("tos.rtd",,"OPEN_INT","."&amp;S$2&amp;S$1&amp;"C"&amp;$A38)*RTD("tos.rtd",,"LAST","."&amp;S$2&amp;S$1&amp;"C"&amp;$A38)-100*RTD("tos.rtd",,"OPEN_INT","."&amp;S$2&amp;S$1&amp;"P"&amp;$A38)*RTD("tos.rtd",,"LAST","."&amp;S$2&amp;S$1&amp;"P"&amp;$A38))/1000000,0),IF($A$2="PREMIUM",IFERROR((100*RTD("tos.rtd",,"VOLUME","."&amp;S$2&amp;S$1&amp;"C"&amp;$A38)*RTD("tos.rtd",,"LAST","."&amp;S$2&amp;S$1&amp;"C"&amp;$A38)-100*RTD("tos.rtd",,"VOLUME","."&amp;S$2&amp;S$1&amp;"P"&amp;$A38)*RTD("tos.rtd",,"LAST","."&amp;S$2&amp;S$1&amp;"P"&amp;$A38))/1000000,0),IF($A$2="DEX",IFERROR((100*RTD("tos.rtd",,"OPEN_INT","."&amp;S$2&amp;S$1&amp;"C"&amp;$A38)*RTD("tos.rtd",,"DELTA","."&amp;S$2&amp;S$1&amp;"C"&amp;$A38)-100*RTD("tos.rtd",,"OPEN_INT","."&amp;S$2&amp;S$1&amp;"P"&amp;$A38)*RTD("tos.rtd",,"DELTA","."&amp;S$2&amp;S$1&amp;"P"&amp;$A38))/1000,0),IF($A$2="VEX",IFERROR(($A$4*$A$4*RTD("tos.rtd",,"VOLUME","."&amp;S$2&amp;S$1&amp;"C"&amp;$A38)*RTD("tos.rtd",,"GAMMA","."&amp;S$2&amp;S$1&amp;"C"&amp;$A38)-$A$4*$A$4*RTD("tos.rtd",,"VOLUME","."&amp;S$2&amp;S$1&amp;"P"&amp;$A38)*RTD("tos.rtd",,"GAMMA","."&amp;S$2&amp;S$1&amp;"P"&amp;$A38))/1000000,0),IF($A$2="GEX",IFERROR(($A$4*$A$4*RTD("tos.rtd",,"OPEN_INT","."&amp;S$2&amp;S$1&amp;"C"&amp;$A38)*RTD("tos.rtd",,"GAMMA","."&amp;S$2&amp;S$1&amp;"C"&amp;$A38)-$A$4*$A$4*RTD("tos.rtd",,"OPEN_INT","."&amp;S$2&amp;S$1&amp;"P"&amp;$A38)*RTD("tos.rtd",,"GAMMA","."&amp;S$2&amp;S$1&amp;"P"&amp;$A38))/1000000,0),IF($A$2="SKEW",IFERROR(VALUE(IF(RTD("tos.rtd",,"IMPL_VOL","."&amp;S$2&amp;S$1&amp;"P"&amp;$A38)="N/A",0,RTD("tos.rtd",,"IMPL_VOL","."&amp;S$2&amp;S$1&amp;"P"&amp;$A38))),0)-IFERROR(VALUE(IF(RTD("tos.rtd",,"IMPL_VOL","."&amp;S$2&amp;S$1&amp;"C"&amp;$A38)="N/A",0,RTD("tos.rtd",,"IMPL_VOL","."&amp;S$2&amp;S$1&amp;"C"&amp;$A38))),0),IF($A$2="MAXPAIN",IF($A$4&gt;$A38,($A$4-$A38)*IF(RTD("tos.rtd",,"OPEN_INT","."&amp;S$2&amp;S$1&amp;"C"&amp;$A38)="N/A",0,RTD("tos.rtd",,"OPEN_INT","."&amp;S$2&amp;S$1&amp;"C"&amp;$A38)),0)+IF($A$4&lt;$A38,($A38-$A$4)*IF(RTD("tos.rtd",,"OPEN_INT","."&amp;S$2&amp;S$1&amp;"P"&amp;$A38)="N/A",0,RTD("tos.rtd",,"OPEN_INT","."&amp;S$2&amp;S$1&amp;"P"&amp;$A38)),0),IF(RTD("tos.rtd",,$A$2,"."&amp;S$2&amp;S$1&amp;"C"&amp;$A38)="N/A",0,RTD("tos.rtd",,$A$2,"."&amp;S$2&amp;S$1&amp;"C"&amp;$A38))-IF(RTD("tos.rtd",,$A$2,"."&amp;S$2&amp;S$1&amp;"P"&amp;$A38)="N/A",0,RTD("tos.rtd",,$A$2,"."&amp;S$2&amp;S$1&amp;"P"&amp;$A38)))))))))</f>
        <v>-5369</v>
      </c>
      <c r="T38" s="12">
        <f>IF($A$2="PREMIUM_OI",IFERROR((100*RTD("tos.rtd",,"OPEN_INT","."&amp;T$2&amp;T$1&amp;"C"&amp;$A38)*RTD("tos.rtd",,"LAST","."&amp;T$2&amp;T$1&amp;"C"&amp;$A38)-100*RTD("tos.rtd",,"OPEN_INT","."&amp;T$2&amp;T$1&amp;"P"&amp;$A38)*RTD("tos.rtd",,"LAST","."&amp;T$2&amp;T$1&amp;"P"&amp;$A38))/1000000,0),IF($A$2="PREMIUM",IFERROR((100*RTD("tos.rtd",,"VOLUME","."&amp;T$2&amp;T$1&amp;"C"&amp;$A38)*RTD("tos.rtd",,"LAST","."&amp;T$2&amp;T$1&amp;"C"&amp;$A38)-100*RTD("tos.rtd",,"VOLUME","."&amp;T$2&amp;T$1&amp;"P"&amp;$A38)*RTD("tos.rtd",,"LAST","."&amp;T$2&amp;T$1&amp;"P"&amp;$A38))/1000000,0),IF($A$2="DEX",IFERROR((100*RTD("tos.rtd",,"OPEN_INT","."&amp;T$2&amp;T$1&amp;"C"&amp;$A38)*RTD("tos.rtd",,"DELTA","."&amp;T$2&amp;T$1&amp;"C"&amp;$A38)-100*RTD("tos.rtd",,"OPEN_INT","."&amp;T$2&amp;T$1&amp;"P"&amp;$A38)*RTD("tos.rtd",,"DELTA","."&amp;T$2&amp;T$1&amp;"P"&amp;$A38))/1000,0),IF($A$2="VEX",IFERROR(($A$4*$A$4*RTD("tos.rtd",,"VOLUME","."&amp;T$2&amp;T$1&amp;"C"&amp;$A38)*RTD("tos.rtd",,"GAMMA","."&amp;T$2&amp;T$1&amp;"C"&amp;$A38)-$A$4*$A$4*RTD("tos.rtd",,"VOLUME","."&amp;T$2&amp;T$1&amp;"P"&amp;$A38)*RTD("tos.rtd",,"GAMMA","."&amp;T$2&amp;T$1&amp;"P"&amp;$A38))/1000000,0),IF($A$2="GEX",IFERROR(($A$4*$A$4*RTD("tos.rtd",,"OPEN_INT","."&amp;T$2&amp;T$1&amp;"C"&amp;$A38)*RTD("tos.rtd",,"GAMMA","."&amp;T$2&amp;T$1&amp;"C"&amp;$A38)-$A$4*$A$4*RTD("tos.rtd",,"OPEN_INT","."&amp;T$2&amp;T$1&amp;"P"&amp;$A38)*RTD("tos.rtd",,"GAMMA","."&amp;T$2&amp;T$1&amp;"P"&amp;$A38))/1000000,0),IF($A$2="SKEW",IFERROR(VALUE(IF(RTD("tos.rtd",,"IMPL_VOL","."&amp;T$2&amp;T$1&amp;"P"&amp;$A38)="N/A",0,RTD("tos.rtd",,"IMPL_VOL","."&amp;T$2&amp;T$1&amp;"P"&amp;$A38))),0)-IFERROR(VALUE(IF(RTD("tos.rtd",,"IMPL_VOL","."&amp;T$2&amp;T$1&amp;"C"&amp;$A38)="N/A",0,RTD("tos.rtd",,"IMPL_VOL","."&amp;T$2&amp;T$1&amp;"C"&amp;$A38))),0),IF($A$2="MAXPAIN",IF($A$4&gt;$A38,($A$4-$A38)*IF(RTD("tos.rtd",,"OPEN_INT","."&amp;T$2&amp;T$1&amp;"C"&amp;$A38)="N/A",0,RTD("tos.rtd",,"OPEN_INT","."&amp;T$2&amp;T$1&amp;"C"&amp;$A38)),0)+IF($A$4&lt;$A38,($A38-$A$4)*IF(RTD("tos.rtd",,"OPEN_INT","."&amp;T$2&amp;T$1&amp;"P"&amp;$A38)="N/A",0,RTD("tos.rtd",,"OPEN_INT","."&amp;T$2&amp;T$1&amp;"P"&amp;$A38)),0),IF(RTD("tos.rtd",,$A$2,"."&amp;T$2&amp;T$1&amp;"C"&amp;$A38)="N/A",0,RTD("tos.rtd",,$A$2,"."&amp;T$2&amp;T$1&amp;"C"&amp;$A38))-IF(RTD("tos.rtd",,$A$2,"."&amp;T$2&amp;T$1&amp;"P"&amp;$A38)="N/A",0,RTD("tos.rtd",,$A$2,"."&amp;T$2&amp;T$1&amp;"P"&amp;$A38)))))))))</f>
        <v>38</v>
      </c>
      <c r="U38" s="12">
        <f>IF($A$2="PREMIUM_OI",IFERROR((100*RTD("tos.rtd",,"OPEN_INT","."&amp;U$2&amp;U$1&amp;"C"&amp;$A38)*RTD("tos.rtd",,"LAST","."&amp;U$2&amp;U$1&amp;"C"&amp;$A38)-100*RTD("tos.rtd",,"OPEN_INT","."&amp;U$2&amp;U$1&amp;"P"&amp;$A38)*RTD("tos.rtd",,"LAST","."&amp;U$2&amp;U$1&amp;"P"&amp;$A38))/1000000,0),IF($A$2="PREMIUM",IFERROR((100*RTD("tos.rtd",,"VOLUME","."&amp;U$2&amp;U$1&amp;"C"&amp;$A38)*RTD("tos.rtd",,"LAST","."&amp;U$2&amp;U$1&amp;"C"&amp;$A38)-100*RTD("tos.rtd",,"VOLUME","."&amp;U$2&amp;U$1&amp;"P"&amp;$A38)*RTD("tos.rtd",,"LAST","."&amp;U$2&amp;U$1&amp;"P"&amp;$A38))/1000000,0),IF($A$2="DEX",IFERROR((100*RTD("tos.rtd",,"OPEN_INT","."&amp;U$2&amp;U$1&amp;"C"&amp;$A38)*RTD("tos.rtd",,"DELTA","."&amp;U$2&amp;U$1&amp;"C"&amp;$A38)-100*RTD("tos.rtd",,"OPEN_INT","."&amp;U$2&amp;U$1&amp;"P"&amp;$A38)*RTD("tos.rtd",,"DELTA","."&amp;U$2&amp;U$1&amp;"P"&amp;$A38))/1000,0),IF($A$2="VEX",IFERROR(($A$4*$A$4*RTD("tos.rtd",,"VOLUME","."&amp;U$2&amp;U$1&amp;"C"&amp;$A38)*RTD("tos.rtd",,"GAMMA","."&amp;U$2&amp;U$1&amp;"C"&amp;$A38)-$A$4*$A$4*RTD("tos.rtd",,"VOLUME","."&amp;U$2&amp;U$1&amp;"P"&amp;$A38)*RTD("tos.rtd",,"GAMMA","."&amp;U$2&amp;U$1&amp;"P"&amp;$A38))/1000000,0),IF($A$2="GEX",IFERROR(($A$4*$A$4*RTD("tos.rtd",,"OPEN_INT","."&amp;U$2&amp;U$1&amp;"C"&amp;$A38)*RTD("tos.rtd",,"GAMMA","."&amp;U$2&amp;U$1&amp;"C"&amp;$A38)-$A$4*$A$4*RTD("tos.rtd",,"OPEN_INT","."&amp;U$2&amp;U$1&amp;"P"&amp;$A38)*RTD("tos.rtd",,"GAMMA","."&amp;U$2&amp;U$1&amp;"P"&amp;$A38))/1000000,0),IF($A$2="SKEW",IFERROR(VALUE(IF(RTD("tos.rtd",,"IMPL_VOL","."&amp;U$2&amp;U$1&amp;"P"&amp;$A38)="N/A",0,RTD("tos.rtd",,"IMPL_VOL","."&amp;U$2&amp;U$1&amp;"P"&amp;$A38))),0)-IFERROR(VALUE(IF(RTD("tos.rtd",,"IMPL_VOL","."&amp;U$2&amp;U$1&amp;"C"&amp;$A38)="N/A",0,RTD("tos.rtd",,"IMPL_VOL","."&amp;U$2&amp;U$1&amp;"C"&amp;$A38))),0),IF($A$2="MAXPAIN",IF($A$4&gt;$A38,($A$4-$A38)*IF(RTD("tos.rtd",,"OPEN_INT","."&amp;U$2&amp;U$1&amp;"C"&amp;$A38)="N/A",0,RTD("tos.rtd",,"OPEN_INT","."&amp;U$2&amp;U$1&amp;"C"&amp;$A38)),0)+IF($A$4&lt;$A38,($A38-$A$4)*IF(RTD("tos.rtd",,"OPEN_INT","."&amp;U$2&amp;U$1&amp;"P"&amp;$A38)="N/A",0,RTD("tos.rtd",,"OPEN_INT","."&amp;U$2&amp;U$1&amp;"P"&amp;$A38)),0),IF(RTD("tos.rtd",,$A$2,"."&amp;U$2&amp;U$1&amp;"C"&amp;$A38)="N/A",0,RTD("tos.rtd",,$A$2,"."&amp;U$2&amp;U$1&amp;"C"&amp;$A38))-IF(RTD("tos.rtd",,$A$2,"."&amp;U$2&amp;U$1&amp;"P"&amp;$A38)="N/A",0,RTD("tos.rtd",,$A$2,"."&amp;U$2&amp;U$1&amp;"P"&amp;$A38)))))))))</f>
        <v>-979</v>
      </c>
      <c r="V38" s="12">
        <f>IF($A$2="PREMIUM_OI",IFERROR((100*RTD("tos.rtd",,"OPEN_INT","."&amp;V$2&amp;V$1&amp;"C"&amp;$A38)*RTD("tos.rtd",,"LAST","."&amp;V$2&amp;V$1&amp;"C"&amp;$A38)-100*RTD("tos.rtd",,"OPEN_INT","."&amp;V$2&amp;V$1&amp;"P"&amp;$A38)*RTD("tos.rtd",,"LAST","."&amp;V$2&amp;V$1&amp;"P"&amp;$A38))/1000000,0),IF($A$2="PREMIUM",IFERROR((100*RTD("tos.rtd",,"VOLUME","."&amp;V$2&amp;V$1&amp;"C"&amp;$A38)*RTD("tos.rtd",,"LAST","."&amp;V$2&amp;V$1&amp;"C"&amp;$A38)-100*RTD("tos.rtd",,"VOLUME","."&amp;V$2&amp;V$1&amp;"P"&amp;$A38)*RTD("tos.rtd",,"LAST","."&amp;V$2&amp;V$1&amp;"P"&amp;$A38))/1000000,0),IF($A$2="DEX",IFERROR((100*RTD("tos.rtd",,"OPEN_INT","."&amp;V$2&amp;V$1&amp;"C"&amp;$A38)*RTD("tos.rtd",,"DELTA","."&amp;V$2&amp;V$1&amp;"C"&amp;$A38)-100*RTD("tos.rtd",,"OPEN_INT","."&amp;V$2&amp;V$1&amp;"P"&amp;$A38)*RTD("tos.rtd",,"DELTA","."&amp;V$2&amp;V$1&amp;"P"&amp;$A38))/1000,0),IF($A$2="VEX",IFERROR(($A$4*$A$4*RTD("tos.rtd",,"VOLUME","."&amp;V$2&amp;V$1&amp;"C"&amp;$A38)*RTD("tos.rtd",,"GAMMA","."&amp;V$2&amp;V$1&amp;"C"&amp;$A38)-$A$4*$A$4*RTD("tos.rtd",,"VOLUME","."&amp;V$2&amp;V$1&amp;"P"&amp;$A38)*RTD("tos.rtd",,"GAMMA","."&amp;V$2&amp;V$1&amp;"P"&amp;$A38))/1000000,0),IF($A$2="GEX",IFERROR(($A$4*$A$4*RTD("tos.rtd",,"OPEN_INT","."&amp;V$2&amp;V$1&amp;"C"&amp;$A38)*RTD("tos.rtd",,"GAMMA","."&amp;V$2&amp;V$1&amp;"C"&amp;$A38)-$A$4*$A$4*RTD("tos.rtd",,"OPEN_INT","."&amp;V$2&amp;V$1&amp;"P"&amp;$A38)*RTD("tos.rtd",,"GAMMA","."&amp;V$2&amp;V$1&amp;"P"&amp;$A38))/1000000,0),IF($A$2="SKEW",IFERROR(VALUE(IF(RTD("tos.rtd",,"IMPL_VOL","."&amp;V$2&amp;V$1&amp;"P"&amp;$A38)="N/A",0,RTD("tos.rtd",,"IMPL_VOL","."&amp;V$2&amp;V$1&amp;"P"&amp;$A38))),0)-IFERROR(VALUE(IF(RTD("tos.rtd",,"IMPL_VOL","."&amp;V$2&amp;V$1&amp;"C"&amp;$A38)="N/A",0,RTD("tos.rtd",,"IMPL_VOL","."&amp;V$2&amp;V$1&amp;"C"&amp;$A38))),0),IF($A$2="MAXPAIN",IF($A$4&gt;$A38,($A$4-$A38)*IF(RTD("tos.rtd",,"OPEN_INT","."&amp;V$2&amp;V$1&amp;"C"&amp;$A38)="N/A",0,RTD("tos.rtd",,"OPEN_INT","."&amp;V$2&amp;V$1&amp;"C"&amp;$A38)),0)+IF($A$4&lt;$A38,($A38-$A$4)*IF(RTD("tos.rtd",,"OPEN_INT","."&amp;V$2&amp;V$1&amp;"P"&amp;$A38)="N/A",0,RTD("tos.rtd",,"OPEN_INT","."&amp;V$2&amp;V$1&amp;"P"&amp;$A38)),0),IF(RTD("tos.rtd",,$A$2,"."&amp;V$2&amp;V$1&amp;"C"&amp;$A38)="N/A",0,RTD("tos.rtd",,$A$2,"."&amp;V$2&amp;V$1&amp;"C"&amp;$A38))-IF(RTD("tos.rtd",,$A$2,"."&amp;V$2&amp;V$1&amp;"P"&amp;$A38)="N/A",0,RTD("tos.rtd",,$A$2,"."&amp;V$2&amp;V$1&amp;"P"&amp;$A38)))))))))</f>
        <v>0</v>
      </c>
      <c r="W38" s="12">
        <f>IF($A$2="PREMIUM_OI",IFERROR((100*RTD("tos.rtd",,"OPEN_INT","."&amp;W$2&amp;W$1&amp;"C"&amp;$A38)*RTD("tos.rtd",,"LAST","."&amp;W$2&amp;W$1&amp;"C"&amp;$A38)-100*RTD("tos.rtd",,"OPEN_INT","."&amp;W$2&amp;W$1&amp;"P"&amp;$A38)*RTD("tos.rtd",,"LAST","."&amp;W$2&amp;W$1&amp;"P"&amp;$A38))/1000000,0),IF($A$2="PREMIUM",IFERROR((100*RTD("tos.rtd",,"VOLUME","."&amp;W$2&amp;W$1&amp;"C"&amp;$A38)*RTD("tos.rtd",,"LAST","."&amp;W$2&amp;W$1&amp;"C"&amp;$A38)-100*RTD("tos.rtd",,"VOLUME","."&amp;W$2&amp;W$1&amp;"P"&amp;$A38)*RTD("tos.rtd",,"LAST","."&amp;W$2&amp;W$1&amp;"P"&amp;$A38))/1000000,0),IF($A$2="DEX",IFERROR((100*RTD("tos.rtd",,"OPEN_INT","."&amp;W$2&amp;W$1&amp;"C"&amp;$A38)*RTD("tos.rtd",,"DELTA","."&amp;W$2&amp;W$1&amp;"C"&amp;$A38)-100*RTD("tos.rtd",,"OPEN_INT","."&amp;W$2&amp;W$1&amp;"P"&amp;$A38)*RTD("tos.rtd",,"DELTA","."&amp;W$2&amp;W$1&amp;"P"&amp;$A38))/1000,0),IF($A$2="VEX",IFERROR(($A$4*$A$4*RTD("tos.rtd",,"VOLUME","."&amp;W$2&amp;W$1&amp;"C"&amp;$A38)*RTD("tos.rtd",,"GAMMA","."&amp;W$2&amp;W$1&amp;"C"&amp;$A38)-$A$4*$A$4*RTD("tos.rtd",,"VOLUME","."&amp;W$2&amp;W$1&amp;"P"&amp;$A38)*RTD("tos.rtd",,"GAMMA","."&amp;W$2&amp;W$1&amp;"P"&amp;$A38))/1000000,0),IF($A$2="GEX",IFERROR(($A$4*$A$4*RTD("tos.rtd",,"OPEN_INT","."&amp;W$2&amp;W$1&amp;"C"&amp;$A38)*RTD("tos.rtd",,"GAMMA","."&amp;W$2&amp;W$1&amp;"C"&amp;$A38)-$A$4*$A$4*RTD("tos.rtd",,"OPEN_INT","."&amp;W$2&amp;W$1&amp;"P"&amp;$A38)*RTD("tos.rtd",,"GAMMA","."&amp;W$2&amp;W$1&amp;"P"&amp;$A38))/1000000,0),IF($A$2="SKEW",IFERROR(VALUE(IF(RTD("tos.rtd",,"IMPL_VOL","."&amp;W$2&amp;W$1&amp;"P"&amp;$A38)="N/A",0,RTD("tos.rtd",,"IMPL_VOL","."&amp;W$2&amp;W$1&amp;"P"&amp;$A38))),0)-IFERROR(VALUE(IF(RTD("tos.rtd",,"IMPL_VOL","."&amp;W$2&amp;W$1&amp;"C"&amp;$A38)="N/A",0,RTD("tos.rtd",,"IMPL_VOL","."&amp;W$2&amp;W$1&amp;"C"&amp;$A38))),0),IF($A$2="MAXPAIN",IF($A$4&gt;$A38,($A$4-$A38)*IF(RTD("tos.rtd",,"OPEN_INT","."&amp;W$2&amp;W$1&amp;"C"&amp;$A38)="N/A",0,RTD("tos.rtd",,"OPEN_INT","."&amp;W$2&amp;W$1&amp;"C"&amp;$A38)),0)+IF($A$4&lt;$A38,($A38-$A$4)*IF(RTD("tos.rtd",,"OPEN_INT","."&amp;W$2&amp;W$1&amp;"P"&amp;$A38)="N/A",0,RTD("tos.rtd",,"OPEN_INT","."&amp;W$2&amp;W$1&amp;"P"&amp;$A38)),0),IF(RTD("tos.rtd",,$A$2,"."&amp;W$2&amp;W$1&amp;"C"&amp;$A38)="N/A",0,RTD("tos.rtd",,$A$2,"."&amp;W$2&amp;W$1&amp;"C"&amp;$A38))-IF(RTD("tos.rtd",,$A$2,"."&amp;W$2&amp;W$1&amp;"P"&amp;$A38)="N/A",0,RTD("tos.rtd",,$A$2,"."&amp;W$2&amp;W$1&amp;"P"&amp;$A38)))))))))</f>
        <v>11513</v>
      </c>
      <c r="X38" s="12">
        <f t="shared" ca="1" si="7"/>
        <v>5203</v>
      </c>
      <c r="Y38" s="27">
        <f t="shared" ca="1" si="8"/>
        <v>5203</v>
      </c>
      <c r="AA38" s="35">
        <f>+IF($AJ$1,AJ38,TASTYOHLC!A38)</f>
        <v>0</v>
      </c>
      <c r="AB38" s="8">
        <f>+IF($AJ$1,AK38,TASTYOHLC!B38)</f>
        <v>0</v>
      </c>
      <c r="AC38" s="8">
        <f>+IF($AJ$1,AL38,TASTYOHLC!C38)</f>
        <v>0</v>
      </c>
      <c r="AD38" s="8">
        <f>+IF($AJ$1,AM38,TASTYOHLC!D38)</f>
        <v>0</v>
      </c>
      <c r="AE38" s="8">
        <f>+IF($AJ$1,AN38,TASTYOHLC!E38)</f>
        <v>0</v>
      </c>
      <c r="AF38" s="8"/>
      <c r="AJ38" s="37"/>
    </row>
    <row r="39" spans="1:36" s="19" customFormat="1" ht="11.1" customHeight="1" thickBot="1" x14ac:dyDescent="0.3">
      <c r="A39" s="23">
        <f t="shared" si="13"/>
        <v>2.5</v>
      </c>
      <c r="B39" s="14">
        <f>IF($A$2="PREMIUM_OI",IFERROR((100*RTD("tos.rtd",,"OPEN_INT","."&amp;B$2&amp;B$1&amp;"C"&amp;$A39)*RTD("tos.rtd",,"LAST","."&amp;B$2&amp;B$1&amp;"C"&amp;$A39)-100*RTD("tos.rtd",,"OPEN_INT","."&amp;B$2&amp;B$1&amp;"P"&amp;$A39)*RTD("tos.rtd",,"LAST","."&amp;B$2&amp;B$1&amp;"P"&amp;$A39))/1000000,0),IF($A$2="PREMIUM",IFERROR((100*RTD("tos.rtd",,"VOLUME","."&amp;B$2&amp;B$1&amp;"C"&amp;$A39)*RTD("tos.rtd",,"LAST","."&amp;B$2&amp;B$1&amp;"C"&amp;$A39)-100*RTD("tos.rtd",,"VOLUME","."&amp;B$2&amp;B$1&amp;"P"&amp;$A39)*RTD("tos.rtd",,"LAST","."&amp;B$2&amp;B$1&amp;"P"&amp;$A39))/1000000,0),IF($A$2="DEX",IFERROR((100*RTD("tos.rtd",,"OPEN_INT","."&amp;B$2&amp;B$1&amp;"C"&amp;$A39)*RTD("tos.rtd",,"DELTA","."&amp;B$2&amp;B$1&amp;"C"&amp;$A39)-100*RTD("tos.rtd",,"OPEN_INT","."&amp;B$2&amp;B$1&amp;"P"&amp;$A39)*RTD("tos.rtd",,"DELTA","."&amp;B$2&amp;B$1&amp;"P"&amp;$A39))/1000,0),IF($A$2="VEX",IFERROR(($A$4*$A$4*RTD("tos.rtd",,"VOLUME","."&amp;B$2&amp;B$1&amp;"C"&amp;$A39)*RTD("tos.rtd",,"GAMMA","."&amp;B$2&amp;B$1&amp;"C"&amp;$A39)-$A$4*$A$4*RTD("tos.rtd",,"VOLUME","."&amp;B$2&amp;B$1&amp;"P"&amp;$A39)*RTD("tos.rtd",,"GAMMA","."&amp;B$2&amp;B$1&amp;"P"&amp;$A39))/1000000,0),IF($A$2="GEX",IFERROR(($A$4*$A$4*RTD("tos.rtd",,"OPEN_INT","."&amp;B$2&amp;B$1&amp;"C"&amp;$A39)*RTD("tos.rtd",,"GAMMA","."&amp;B$2&amp;B$1&amp;"C"&amp;$A39)-$A$4*$A$4*RTD("tos.rtd",,"OPEN_INT","."&amp;B$2&amp;B$1&amp;"P"&amp;$A39)*RTD("tos.rtd",,"GAMMA","."&amp;B$2&amp;B$1&amp;"P"&amp;$A39))/1000000,0),IF($A$2="SKEW",IFERROR(VALUE(IF(RTD("tos.rtd",,"IMPL_VOL","."&amp;B$2&amp;B$1&amp;"P"&amp;$A39)="N/A",0,RTD("tos.rtd",,"IMPL_VOL","."&amp;B$2&amp;B$1&amp;"P"&amp;$A39))),0)-IFERROR(VALUE(IF(RTD("tos.rtd",,"IMPL_VOL","."&amp;B$2&amp;B$1&amp;"C"&amp;$A39)="N/A",0,RTD("tos.rtd",,"IMPL_VOL","."&amp;B$2&amp;B$1&amp;"C"&amp;$A39))),0),IF($A$2="MAXPAIN",IF($A$4&gt;$A39,($A$4-$A39)*IF(RTD("tos.rtd",,"OPEN_INT","."&amp;B$2&amp;B$1&amp;"C"&amp;$A39)="N/A",0,RTD("tos.rtd",,"OPEN_INT","."&amp;B$2&amp;B$1&amp;"C"&amp;$A39)),0)+IF($A$4&lt;$A39,($A39-$A$4)*IF(RTD("tos.rtd",,"OPEN_INT","."&amp;B$2&amp;B$1&amp;"P"&amp;$A39)="N/A",0,RTD("tos.rtd",,"OPEN_INT","."&amp;B$2&amp;B$1&amp;"P"&amp;$A39)),0),IF(RTD("tos.rtd",,$A$2,"."&amp;B$2&amp;B$1&amp;"C"&amp;$A39)="N/A",0,RTD("tos.rtd",,$A$2,"."&amp;B$2&amp;B$1&amp;"C"&amp;$A39))-IF(RTD("tos.rtd",,$A$2,"."&amp;B$2&amp;B$1&amp;"P"&amp;$A39)="N/A",0,RTD("tos.rtd",,$A$2,"."&amp;B$2&amp;B$1&amp;"P"&amp;$A39)))))))))</f>
        <v>0</v>
      </c>
      <c r="C39" s="12">
        <f>IF($A$2="PREMIUM_OI",IFERROR((100*RTD("tos.rtd",,"OPEN_INT","."&amp;C$2&amp;C$1&amp;"C"&amp;$A39)*RTD("tos.rtd",,"LAST","."&amp;C$2&amp;C$1&amp;"C"&amp;$A39)-100*RTD("tos.rtd",,"OPEN_INT","."&amp;C$2&amp;C$1&amp;"P"&amp;$A39)*RTD("tos.rtd",,"LAST","."&amp;C$2&amp;C$1&amp;"P"&amp;$A39))/1000000,0),IF($A$2="PREMIUM",IFERROR((100*RTD("tos.rtd",,"VOLUME","."&amp;C$2&amp;C$1&amp;"C"&amp;$A39)*RTD("tos.rtd",,"LAST","."&amp;C$2&amp;C$1&amp;"C"&amp;$A39)-100*RTD("tos.rtd",,"VOLUME","."&amp;C$2&amp;C$1&amp;"P"&amp;$A39)*RTD("tos.rtd",,"LAST","."&amp;C$2&amp;C$1&amp;"P"&amp;$A39))/1000000,0),IF($A$2="DEX",IFERROR((100*RTD("tos.rtd",,"OPEN_INT","."&amp;C$2&amp;C$1&amp;"C"&amp;$A39)*RTD("tos.rtd",,"DELTA","."&amp;C$2&amp;C$1&amp;"C"&amp;$A39)-100*RTD("tos.rtd",,"OPEN_INT","."&amp;C$2&amp;C$1&amp;"P"&amp;$A39)*RTD("tos.rtd",,"DELTA","."&amp;C$2&amp;C$1&amp;"P"&amp;$A39))/1000,0),IF($A$2="VEX",IFERROR(($A$4*$A$4*RTD("tos.rtd",,"VOLUME","."&amp;C$2&amp;C$1&amp;"C"&amp;$A39)*RTD("tos.rtd",,"GAMMA","."&amp;C$2&amp;C$1&amp;"C"&amp;$A39)-$A$4*$A$4*RTD("tos.rtd",,"VOLUME","."&amp;C$2&amp;C$1&amp;"P"&amp;$A39)*RTD("tos.rtd",,"GAMMA","."&amp;C$2&amp;C$1&amp;"P"&amp;$A39))/1000000,0),IF($A$2="GEX",IFERROR(($A$4*$A$4*RTD("tos.rtd",,"OPEN_INT","."&amp;C$2&amp;C$1&amp;"C"&amp;$A39)*RTD("tos.rtd",,"GAMMA","."&amp;C$2&amp;C$1&amp;"C"&amp;$A39)-$A$4*$A$4*RTD("tos.rtd",,"OPEN_INT","."&amp;C$2&amp;C$1&amp;"P"&amp;$A39)*RTD("tos.rtd",,"GAMMA","."&amp;C$2&amp;C$1&amp;"P"&amp;$A39))/1000000,0),IF($A$2="SKEW",IFERROR(VALUE(IF(RTD("tos.rtd",,"IMPL_VOL","."&amp;C$2&amp;C$1&amp;"P"&amp;$A39)="N/A",0,RTD("tos.rtd",,"IMPL_VOL","."&amp;C$2&amp;C$1&amp;"P"&amp;$A39))),0)-IFERROR(VALUE(IF(RTD("tos.rtd",,"IMPL_VOL","."&amp;C$2&amp;C$1&amp;"C"&amp;$A39)="N/A",0,RTD("tos.rtd",,"IMPL_VOL","."&amp;C$2&amp;C$1&amp;"C"&amp;$A39))),0),IF($A$2="MAXPAIN",IF($A$4&gt;$A39,($A$4-$A39)*IF(RTD("tos.rtd",,"OPEN_INT","."&amp;C$2&amp;C$1&amp;"C"&amp;$A39)="N/A",0,RTD("tos.rtd",,"OPEN_INT","."&amp;C$2&amp;C$1&amp;"C"&amp;$A39)),0)+IF($A$4&lt;$A39,($A39-$A$4)*IF(RTD("tos.rtd",,"OPEN_INT","."&amp;C$2&amp;C$1&amp;"P"&amp;$A39)="N/A",0,RTD("tos.rtd",,"OPEN_INT","."&amp;C$2&amp;C$1&amp;"P"&amp;$A39)),0),IF(RTD("tos.rtd",,$A$2,"."&amp;C$2&amp;C$1&amp;"C"&amp;$A39)="N/A",0,RTD("tos.rtd",,$A$2,"."&amp;C$2&amp;C$1&amp;"C"&amp;$A39))-IF(RTD("tos.rtd",,$A$2,"."&amp;C$2&amp;C$1&amp;"P"&amp;$A39)="N/A",0,RTD("tos.rtd",,$A$2,"."&amp;C$2&amp;C$1&amp;"P"&amp;$A39)))))))))</f>
        <v>-1804</v>
      </c>
      <c r="D39" s="12">
        <f>IF($A$2="PREMIUM_OI",IFERROR((100*RTD("tos.rtd",,"OPEN_INT","."&amp;D$2&amp;D$1&amp;"C"&amp;$A39)*RTD("tos.rtd",,"LAST","."&amp;D$2&amp;D$1&amp;"C"&amp;$A39)-100*RTD("tos.rtd",,"OPEN_INT","."&amp;D$2&amp;D$1&amp;"P"&amp;$A39)*RTD("tos.rtd",,"LAST","."&amp;D$2&amp;D$1&amp;"P"&amp;$A39))/1000000,0),IF($A$2="PREMIUM",IFERROR((100*RTD("tos.rtd",,"VOLUME","."&amp;D$2&amp;D$1&amp;"C"&amp;$A39)*RTD("tos.rtd",,"LAST","."&amp;D$2&amp;D$1&amp;"C"&amp;$A39)-100*RTD("tos.rtd",,"VOLUME","."&amp;D$2&amp;D$1&amp;"P"&amp;$A39)*RTD("tos.rtd",,"LAST","."&amp;D$2&amp;D$1&amp;"P"&amp;$A39))/1000000,0),IF($A$2="DEX",IFERROR((100*RTD("tos.rtd",,"OPEN_INT","."&amp;D$2&amp;D$1&amp;"C"&amp;$A39)*RTD("tos.rtd",,"DELTA","."&amp;D$2&amp;D$1&amp;"C"&amp;$A39)-100*RTD("tos.rtd",,"OPEN_INT","."&amp;D$2&amp;D$1&amp;"P"&amp;$A39)*RTD("tos.rtd",,"DELTA","."&amp;D$2&amp;D$1&amp;"P"&amp;$A39))/1000,0),IF($A$2="VEX",IFERROR(($A$4*$A$4*RTD("tos.rtd",,"VOLUME","."&amp;D$2&amp;D$1&amp;"C"&amp;$A39)*RTD("tos.rtd",,"GAMMA","."&amp;D$2&amp;D$1&amp;"C"&amp;$A39)-$A$4*$A$4*RTD("tos.rtd",,"VOLUME","."&amp;D$2&amp;D$1&amp;"P"&amp;$A39)*RTD("tos.rtd",,"GAMMA","."&amp;D$2&amp;D$1&amp;"P"&amp;$A39))/1000000,0),IF($A$2="GEX",IFERROR(($A$4*$A$4*RTD("tos.rtd",,"OPEN_INT","."&amp;D$2&amp;D$1&amp;"C"&amp;$A39)*RTD("tos.rtd",,"GAMMA","."&amp;D$2&amp;D$1&amp;"C"&amp;$A39)-$A$4*$A$4*RTD("tos.rtd",,"OPEN_INT","."&amp;D$2&amp;D$1&amp;"P"&amp;$A39)*RTD("tos.rtd",,"GAMMA","."&amp;D$2&amp;D$1&amp;"P"&amp;$A39))/1000000,0),IF($A$2="SKEW",IFERROR(VALUE(IF(RTD("tos.rtd",,"IMPL_VOL","."&amp;D$2&amp;D$1&amp;"P"&amp;$A39)="N/A",0,RTD("tos.rtd",,"IMPL_VOL","."&amp;D$2&amp;D$1&amp;"P"&amp;$A39))),0)-IFERROR(VALUE(IF(RTD("tos.rtd",,"IMPL_VOL","."&amp;D$2&amp;D$1&amp;"C"&amp;$A39)="N/A",0,RTD("tos.rtd",,"IMPL_VOL","."&amp;D$2&amp;D$1&amp;"C"&amp;$A39))),0),IF($A$2="MAXPAIN",IF($A$4&gt;$A39,($A$4-$A39)*IF(RTD("tos.rtd",,"OPEN_INT","."&amp;D$2&amp;D$1&amp;"C"&amp;$A39)="N/A",0,RTD("tos.rtd",,"OPEN_INT","."&amp;D$2&amp;D$1&amp;"C"&amp;$A39)),0)+IF($A$4&lt;$A39,($A39-$A$4)*IF(RTD("tos.rtd",,"OPEN_INT","."&amp;D$2&amp;D$1&amp;"P"&amp;$A39)="N/A",0,RTD("tos.rtd",,"OPEN_INT","."&amp;D$2&amp;D$1&amp;"P"&amp;$A39)),0),IF(RTD("tos.rtd",,$A$2,"."&amp;D$2&amp;D$1&amp;"C"&amp;$A39)="N/A",0,RTD("tos.rtd",,$A$2,"."&amp;D$2&amp;D$1&amp;"C"&amp;$A39))-IF(RTD("tos.rtd",,$A$2,"."&amp;D$2&amp;D$1&amp;"P"&amp;$A39)="N/A",0,RTD("tos.rtd",,$A$2,"."&amp;D$2&amp;D$1&amp;"P"&amp;$A39)))))))))</f>
        <v>0</v>
      </c>
      <c r="E39" s="12">
        <f>IF($A$2="PREMIUM_OI",IFERROR((100*RTD("tos.rtd",,"OPEN_INT","."&amp;E$2&amp;E$1&amp;"C"&amp;$A39)*RTD("tos.rtd",,"LAST","."&amp;E$2&amp;E$1&amp;"C"&amp;$A39)-100*RTD("tos.rtd",,"OPEN_INT","."&amp;E$2&amp;E$1&amp;"P"&amp;$A39)*RTD("tos.rtd",,"LAST","."&amp;E$2&amp;E$1&amp;"P"&amp;$A39))/1000000,0),IF($A$2="PREMIUM",IFERROR((100*RTD("tos.rtd",,"VOLUME","."&amp;E$2&amp;E$1&amp;"C"&amp;$A39)*RTD("tos.rtd",,"LAST","."&amp;E$2&amp;E$1&amp;"C"&amp;$A39)-100*RTD("tos.rtd",,"VOLUME","."&amp;E$2&amp;E$1&amp;"P"&amp;$A39)*RTD("tos.rtd",,"LAST","."&amp;E$2&amp;E$1&amp;"P"&amp;$A39))/1000000,0),IF($A$2="DEX",IFERROR((100*RTD("tos.rtd",,"OPEN_INT","."&amp;E$2&amp;E$1&amp;"C"&amp;$A39)*RTD("tos.rtd",,"DELTA","."&amp;E$2&amp;E$1&amp;"C"&amp;$A39)-100*RTD("tos.rtd",,"OPEN_INT","."&amp;E$2&amp;E$1&amp;"P"&amp;$A39)*RTD("tos.rtd",,"DELTA","."&amp;E$2&amp;E$1&amp;"P"&amp;$A39))/1000,0),IF($A$2="VEX",IFERROR(($A$4*$A$4*RTD("tos.rtd",,"VOLUME","."&amp;E$2&amp;E$1&amp;"C"&amp;$A39)*RTD("tos.rtd",,"GAMMA","."&amp;E$2&amp;E$1&amp;"C"&amp;$A39)-$A$4*$A$4*RTD("tos.rtd",,"VOLUME","."&amp;E$2&amp;E$1&amp;"P"&amp;$A39)*RTD("tos.rtd",,"GAMMA","."&amp;E$2&amp;E$1&amp;"P"&amp;$A39))/1000000,0),IF($A$2="GEX",IFERROR(($A$4*$A$4*RTD("tos.rtd",,"OPEN_INT","."&amp;E$2&amp;E$1&amp;"C"&amp;$A39)*RTD("tos.rtd",,"GAMMA","."&amp;E$2&amp;E$1&amp;"C"&amp;$A39)-$A$4*$A$4*RTD("tos.rtd",,"OPEN_INT","."&amp;E$2&amp;E$1&amp;"P"&amp;$A39)*RTD("tos.rtd",,"GAMMA","."&amp;E$2&amp;E$1&amp;"P"&amp;$A39))/1000000,0),IF($A$2="SKEW",IFERROR(VALUE(IF(RTD("tos.rtd",,"IMPL_VOL","."&amp;E$2&amp;E$1&amp;"P"&amp;$A39)="N/A",0,RTD("tos.rtd",,"IMPL_VOL","."&amp;E$2&amp;E$1&amp;"P"&amp;$A39))),0)-IFERROR(VALUE(IF(RTD("tos.rtd",,"IMPL_VOL","."&amp;E$2&amp;E$1&amp;"C"&amp;$A39)="N/A",0,RTD("tos.rtd",,"IMPL_VOL","."&amp;E$2&amp;E$1&amp;"C"&amp;$A39))),0),IF($A$2="MAXPAIN",IF($A$4&gt;$A39,($A$4-$A39)*IF(RTD("tos.rtd",,"OPEN_INT","."&amp;E$2&amp;E$1&amp;"C"&amp;$A39)="N/A",0,RTD("tos.rtd",,"OPEN_INT","."&amp;E$2&amp;E$1&amp;"C"&amp;$A39)),0)+IF($A$4&lt;$A39,($A39-$A$4)*IF(RTD("tos.rtd",,"OPEN_INT","."&amp;E$2&amp;E$1&amp;"P"&amp;$A39)="N/A",0,RTD("tos.rtd",,"OPEN_INT","."&amp;E$2&amp;E$1&amp;"P"&amp;$A39)),0),IF(RTD("tos.rtd",,$A$2,"."&amp;E$2&amp;E$1&amp;"C"&amp;$A39)="N/A",0,RTD("tos.rtd",,$A$2,"."&amp;E$2&amp;E$1&amp;"C"&amp;$A39))-IF(RTD("tos.rtd",,$A$2,"."&amp;E$2&amp;E$1&amp;"P"&amp;$A39)="N/A",0,RTD("tos.rtd",,$A$2,"."&amp;E$2&amp;E$1&amp;"P"&amp;$A39)))))))))</f>
        <v>0</v>
      </c>
      <c r="F39" s="12">
        <f>IF($A$2="PREMIUM_OI",IFERROR((100*RTD("tos.rtd",,"OPEN_INT","."&amp;F$2&amp;F$1&amp;"C"&amp;$A39)*RTD("tos.rtd",,"LAST","."&amp;F$2&amp;F$1&amp;"C"&amp;$A39)-100*RTD("tos.rtd",,"OPEN_INT","."&amp;F$2&amp;F$1&amp;"P"&amp;$A39)*RTD("tos.rtd",,"LAST","."&amp;F$2&amp;F$1&amp;"P"&amp;$A39))/1000000,0),IF($A$2="PREMIUM",IFERROR((100*RTD("tos.rtd",,"VOLUME","."&amp;F$2&amp;F$1&amp;"C"&amp;$A39)*RTD("tos.rtd",,"LAST","."&amp;F$2&amp;F$1&amp;"C"&amp;$A39)-100*RTD("tos.rtd",,"VOLUME","."&amp;F$2&amp;F$1&amp;"P"&amp;$A39)*RTD("tos.rtd",,"LAST","."&amp;F$2&amp;F$1&amp;"P"&amp;$A39))/1000000,0),IF($A$2="DEX",IFERROR((100*RTD("tos.rtd",,"OPEN_INT","."&amp;F$2&amp;F$1&amp;"C"&amp;$A39)*RTD("tos.rtd",,"DELTA","."&amp;F$2&amp;F$1&amp;"C"&amp;$A39)-100*RTD("tos.rtd",,"OPEN_INT","."&amp;F$2&amp;F$1&amp;"P"&amp;$A39)*RTD("tos.rtd",,"DELTA","."&amp;F$2&amp;F$1&amp;"P"&amp;$A39))/1000,0),IF($A$2="VEX",IFERROR(($A$4*$A$4*RTD("tos.rtd",,"VOLUME","."&amp;F$2&amp;F$1&amp;"C"&amp;$A39)*RTD("tos.rtd",,"GAMMA","."&amp;F$2&amp;F$1&amp;"C"&amp;$A39)-$A$4*$A$4*RTD("tos.rtd",,"VOLUME","."&amp;F$2&amp;F$1&amp;"P"&amp;$A39)*RTD("tos.rtd",,"GAMMA","."&amp;F$2&amp;F$1&amp;"P"&amp;$A39))/1000000,0),IF($A$2="GEX",IFERROR(($A$4*$A$4*RTD("tos.rtd",,"OPEN_INT","."&amp;F$2&amp;F$1&amp;"C"&amp;$A39)*RTD("tos.rtd",,"GAMMA","."&amp;F$2&amp;F$1&amp;"C"&amp;$A39)-$A$4*$A$4*RTD("tos.rtd",,"OPEN_INT","."&amp;F$2&amp;F$1&amp;"P"&amp;$A39)*RTD("tos.rtd",,"GAMMA","."&amp;F$2&amp;F$1&amp;"P"&amp;$A39))/1000000,0),IF($A$2="SKEW",IFERROR(VALUE(IF(RTD("tos.rtd",,"IMPL_VOL","."&amp;F$2&amp;F$1&amp;"P"&amp;$A39)="N/A",0,RTD("tos.rtd",,"IMPL_VOL","."&amp;F$2&amp;F$1&amp;"P"&amp;$A39))),0)-IFERROR(VALUE(IF(RTD("tos.rtd",,"IMPL_VOL","."&amp;F$2&amp;F$1&amp;"C"&amp;$A39)="N/A",0,RTD("tos.rtd",,"IMPL_VOL","."&amp;F$2&amp;F$1&amp;"C"&amp;$A39))),0),IF($A$2="MAXPAIN",IF($A$4&gt;$A39,($A$4-$A39)*IF(RTD("tos.rtd",,"OPEN_INT","."&amp;F$2&amp;F$1&amp;"C"&amp;$A39)="N/A",0,RTD("tos.rtd",,"OPEN_INT","."&amp;F$2&amp;F$1&amp;"C"&amp;$A39)),0)+IF($A$4&lt;$A39,($A39-$A$4)*IF(RTD("tos.rtd",,"OPEN_INT","."&amp;F$2&amp;F$1&amp;"P"&amp;$A39)="N/A",0,RTD("tos.rtd",,"OPEN_INT","."&amp;F$2&amp;F$1&amp;"P"&amp;$A39)),0),IF(RTD("tos.rtd",,$A$2,"."&amp;F$2&amp;F$1&amp;"C"&amp;$A39)="N/A",0,RTD("tos.rtd",,$A$2,"."&amp;F$2&amp;F$1&amp;"C"&amp;$A39))-IF(RTD("tos.rtd",,$A$2,"."&amp;F$2&amp;F$1&amp;"P"&amp;$A39)="N/A",0,RTD("tos.rtd",,$A$2,"."&amp;F$2&amp;F$1&amp;"P"&amp;$A39)))))))))</f>
        <v>0</v>
      </c>
      <c r="G39" s="14">
        <f>IF($A$2="PREMIUM_OI",IFERROR((100*RTD("tos.rtd",,"OPEN_INT","."&amp;G$2&amp;G$1&amp;"C"&amp;$A39)*RTD("tos.rtd",,"LAST","."&amp;G$2&amp;G$1&amp;"C"&amp;$A39)-100*RTD("tos.rtd",,"OPEN_INT","."&amp;G$2&amp;G$1&amp;"P"&amp;$A39)*RTD("tos.rtd",,"LAST","."&amp;G$2&amp;G$1&amp;"P"&amp;$A39))/1000000,0),IF($A$2="PREMIUM",IFERROR((100*RTD("tos.rtd",,"VOLUME","."&amp;G$2&amp;G$1&amp;"C"&amp;$A39)*RTD("tos.rtd",,"LAST","."&amp;G$2&amp;G$1&amp;"C"&amp;$A39)-100*RTD("tos.rtd",,"VOLUME","."&amp;G$2&amp;G$1&amp;"P"&amp;$A39)*RTD("tos.rtd",,"LAST","."&amp;G$2&amp;G$1&amp;"P"&amp;$A39))/1000000,0),IF($A$2="DEX",IFERROR((100*RTD("tos.rtd",,"OPEN_INT","."&amp;G$2&amp;G$1&amp;"C"&amp;$A39)*RTD("tos.rtd",,"DELTA","."&amp;G$2&amp;G$1&amp;"C"&amp;$A39)-100*RTD("tos.rtd",,"OPEN_INT","."&amp;G$2&amp;G$1&amp;"P"&amp;$A39)*RTD("tos.rtd",,"DELTA","."&amp;G$2&amp;G$1&amp;"P"&amp;$A39))/1000,0),IF($A$2="VEX",IFERROR(($A$4*$A$4*RTD("tos.rtd",,"VOLUME","."&amp;G$2&amp;G$1&amp;"C"&amp;$A39)*RTD("tos.rtd",,"GAMMA","."&amp;G$2&amp;G$1&amp;"C"&amp;$A39)-$A$4*$A$4*RTD("tos.rtd",,"VOLUME","."&amp;G$2&amp;G$1&amp;"P"&amp;$A39)*RTD("tos.rtd",,"GAMMA","."&amp;G$2&amp;G$1&amp;"P"&amp;$A39))/1000000,0),IF($A$2="GEX",IFERROR(($A$4*$A$4*RTD("tos.rtd",,"OPEN_INT","."&amp;G$2&amp;G$1&amp;"C"&amp;$A39)*RTD("tos.rtd",,"GAMMA","."&amp;G$2&amp;G$1&amp;"C"&amp;$A39)-$A$4*$A$4*RTD("tos.rtd",,"OPEN_INT","."&amp;G$2&amp;G$1&amp;"P"&amp;$A39)*RTD("tos.rtd",,"GAMMA","."&amp;G$2&amp;G$1&amp;"P"&amp;$A39))/1000000,0),IF($A$2="SKEW",IFERROR(VALUE(IF(RTD("tos.rtd",,"IMPL_VOL","."&amp;G$2&amp;G$1&amp;"P"&amp;$A39)="N/A",0,RTD("tos.rtd",,"IMPL_VOL","."&amp;G$2&amp;G$1&amp;"P"&amp;$A39))),0)-IFERROR(VALUE(IF(RTD("tos.rtd",,"IMPL_VOL","."&amp;G$2&amp;G$1&amp;"C"&amp;$A39)="N/A",0,RTD("tos.rtd",,"IMPL_VOL","."&amp;G$2&amp;G$1&amp;"C"&amp;$A39))),0),IF($A$2="MAXPAIN",IF($A$4&gt;$A39,($A$4-$A39)*IF(RTD("tos.rtd",,"OPEN_INT","."&amp;G$2&amp;G$1&amp;"C"&amp;$A39)="N/A",0,RTD("tos.rtd",,"OPEN_INT","."&amp;G$2&amp;G$1&amp;"C"&amp;$A39)),0)+IF($A$4&lt;$A39,($A39-$A$4)*IF(RTD("tos.rtd",,"OPEN_INT","."&amp;G$2&amp;G$1&amp;"P"&amp;$A39)="N/A",0,RTD("tos.rtd",,"OPEN_INT","."&amp;G$2&amp;G$1&amp;"P"&amp;$A39)),0),IF(RTD("tos.rtd",,$A$2,"."&amp;G$2&amp;G$1&amp;"C"&amp;$A39)="N/A",0,RTD("tos.rtd",,$A$2,"."&amp;G$2&amp;G$1&amp;"C"&amp;$A39))-IF(RTD("tos.rtd",,$A$2,"."&amp;G$2&amp;G$1&amp;"P"&amp;$A39)="N/A",0,RTD("tos.rtd",,$A$2,"."&amp;G$2&amp;G$1&amp;"P"&amp;$A39)))))))))</f>
        <v>0</v>
      </c>
      <c r="H39" s="12">
        <f>IF($A$2="PREMIUM_OI",IFERROR((100*RTD("tos.rtd",,"OPEN_INT","."&amp;H$2&amp;H$1&amp;"C"&amp;$A39)*RTD("tos.rtd",,"LAST","."&amp;H$2&amp;H$1&amp;"C"&amp;$A39)-100*RTD("tos.rtd",,"OPEN_INT","."&amp;H$2&amp;H$1&amp;"P"&amp;$A39)*RTD("tos.rtd",,"LAST","."&amp;H$2&amp;H$1&amp;"P"&amp;$A39))/1000000,0),IF($A$2="PREMIUM",IFERROR((100*RTD("tos.rtd",,"VOLUME","."&amp;H$2&amp;H$1&amp;"C"&amp;$A39)*RTD("tos.rtd",,"LAST","."&amp;H$2&amp;H$1&amp;"C"&amp;$A39)-100*RTD("tos.rtd",,"VOLUME","."&amp;H$2&amp;H$1&amp;"P"&amp;$A39)*RTD("tos.rtd",,"LAST","."&amp;H$2&amp;H$1&amp;"P"&amp;$A39))/1000000,0),IF($A$2="DEX",IFERROR((100*RTD("tos.rtd",,"OPEN_INT","."&amp;H$2&amp;H$1&amp;"C"&amp;$A39)*RTD("tos.rtd",,"DELTA","."&amp;H$2&amp;H$1&amp;"C"&amp;$A39)-100*RTD("tos.rtd",,"OPEN_INT","."&amp;H$2&amp;H$1&amp;"P"&amp;$A39)*RTD("tos.rtd",,"DELTA","."&amp;H$2&amp;H$1&amp;"P"&amp;$A39))/1000,0),IF($A$2="VEX",IFERROR(($A$4*$A$4*RTD("tos.rtd",,"VOLUME","."&amp;H$2&amp;H$1&amp;"C"&amp;$A39)*RTD("tos.rtd",,"GAMMA","."&amp;H$2&amp;H$1&amp;"C"&amp;$A39)-$A$4*$A$4*RTD("tos.rtd",,"VOLUME","."&amp;H$2&amp;H$1&amp;"P"&amp;$A39)*RTD("tos.rtd",,"GAMMA","."&amp;H$2&amp;H$1&amp;"P"&amp;$A39))/1000000,0),IF($A$2="GEX",IFERROR(($A$4*$A$4*RTD("tos.rtd",,"OPEN_INT","."&amp;H$2&amp;H$1&amp;"C"&amp;$A39)*RTD("tos.rtd",,"GAMMA","."&amp;H$2&amp;H$1&amp;"C"&amp;$A39)-$A$4*$A$4*RTD("tos.rtd",,"OPEN_INT","."&amp;H$2&amp;H$1&amp;"P"&amp;$A39)*RTD("tos.rtd",,"GAMMA","."&amp;H$2&amp;H$1&amp;"P"&amp;$A39))/1000000,0),IF($A$2="SKEW",IFERROR(VALUE(IF(RTD("tos.rtd",,"IMPL_VOL","."&amp;H$2&amp;H$1&amp;"P"&amp;$A39)="N/A",0,RTD("tos.rtd",,"IMPL_VOL","."&amp;H$2&amp;H$1&amp;"P"&amp;$A39))),0)-IFERROR(VALUE(IF(RTD("tos.rtd",,"IMPL_VOL","."&amp;H$2&amp;H$1&amp;"C"&amp;$A39)="N/A",0,RTD("tos.rtd",,"IMPL_VOL","."&amp;H$2&amp;H$1&amp;"C"&amp;$A39))),0),IF($A$2="MAXPAIN",IF($A$4&gt;$A39,($A$4-$A39)*IF(RTD("tos.rtd",,"OPEN_INT","."&amp;H$2&amp;H$1&amp;"C"&amp;$A39)="N/A",0,RTD("tos.rtd",,"OPEN_INT","."&amp;H$2&amp;H$1&amp;"C"&amp;$A39)),0)+IF($A$4&lt;$A39,($A39-$A$4)*IF(RTD("tos.rtd",,"OPEN_INT","."&amp;H$2&amp;H$1&amp;"P"&amp;$A39)="N/A",0,RTD("tos.rtd",,"OPEN_INT","."&amp;H$2&amp;H$1&amp;"P"&amp;$A39)),0),IF(RTD("tos.rtd",,$A$2,"."&amp;H$2&amp;H$1&amp;"C"&amp;$A39)="N/A",0,RTD("tos.rtd",,$A$2,"."&amp;H$2&amp;H$1&amp;"C"&amp;$A39))-IF(RTD("tos.rtd",,$A$2,"."&amp;H$2&amp;H$1&amp;"P"&amp;$A39)="N/A",0,RTD("tos.rtd",,$A$2,"."&amp;H$2&amp;H$1&amp;"P"&amp;$A39)))))))))</f>
        <v>-9762</v>
      </c>
      <c r="I39" s="12">
        <f>IF($A$2="PREMIUM_OI",IFERROR((100*RTD("tos.rtd",,"OPEN_INT","."&amp;I$2&amp;I$1&amp;"C"&amp;$A39)*RTD("tos.rtd",,"LAST","."&amp;I$2&amp;I$1&amp;"C"&amp;$A39)-100*RTD("tos.rtd",,"OPEN_INT","."&amp;I$2&amp;I$1&amp;"P"&amp;$A39)*RTD("tos.rtd",,"LAST","."&amp;I$2&amp;I$1&amp;"P"&amp;$A39))/1000000,0),IF($A$2="PREMIUM",IFERROR((100*RTD("tos.rtd",,"VOLUME","."&amp;I$2&amp;I$1&amp;"C"&amp;$A39)*RTD("tos.rtd",,"LAST","."&amp;I$2&amp;I$1&amp;"C"&amp;$A39)-100*RTD("tos.rtd",,"VOLUME","."&amp;I$2&amp;I$1&amp;"P"&amp;$A39)*RTD("tos.rtd",,"LAST","."&amp;I$2&amp;I$1&amp;"P"&amp;$A39))/1000000,0),IF($A$2="DEX",IFERROR((100*RTD("tos.rtd",,"OPEN_INT","."&amp;I$2&amp;I$1&amp;"C"&amp;$A39)*RTD("tos.rtd",,"DELTA","."&amp;I$2&amp;I$1&amp;"C"&amp;$A39)-100*RTD("tos.rtd",,"OPEN_INT","."&amp;I$2&amp;I$1&amp;"P"&amp;$A39)*RTD("tos.rtd",,"DELTA","."&amp;I$2&amp;I$1&amp;"P"&amp;$A39))/1000,0),IF($A$2="VEX",IFERROR(($A$4*$A$4*RTD("tos.rtd",,"VOLUME","."&amp;I$2&amp;I$1&amp;"C"&amp;$A39)*RTD("tos.rtd",,"GAMMA","."&amp;I$2&amp;I$1&amp;"C"&amp;$A39)-$A$4*$A$4*RTD("tos.rtd",,"VOLUME","."&amp;I$2&amp;I$1&amp;"P"&amp;$A39)*RTD("tos.rtd",,"GAMMA","."&amp;I$2&amp;I$1&amp;"P"&amp;$A39))/1000000,0),IF($A$2="GEX",IFERROR(($A$4*$A$4*RTD("tos.rtd",,"OPEN_INT","."&amp;I$2&amp;I$1&amp;"C"&amp;$A39)*RTD("tos.rtd",,"GAMMA","."&amp;I$2&amp;I$1&amp;"C"&amp;$A39)-$A$4*$A$4*RTD("tos.rtd",,"OPEN_INT","."&amp;I$2&amp;I$1&amp;"P"&amp;$A39)*RTD("tos.rtd",,"GAMMA","."&amp;I$2&amp;I$1&amp;"P"&amp;$A39))/1000000,0),IF($A$2="SKEW",IFERROR(VALUE(IF(RTD("tos.rtd",,"IMPL_VOL","."&amp;I$2&amp;I$1&amp;"P"&amp;$A39)="N/A",0,RTD("tos.rtd",,"IMPL_VOL","."&amp;I$2&amp;I$1&amp;"P"&amp;$A39))),0)-IFERROR(VALUE(IF(RTD("tos.rtd",,"IMPL_VOL","."&amp;I$2&amp;I$1&amp;"C"&amp;$A39)="N/A",0,RTD("tos.rtd",,"IMPL_VOL","."&amp;I$2&amp;I$1&amp;"C"&amp;$A39))),0),IF($A$2="MAXPAIN",IF($A$4&gt;$A39,($A$4-$A39)*IF(RTD("tos.rtd",,"OPEN_INT","."&amp;I$2&amp;I$1&amp;"C"&amp;$A39)="N/A",0,RTD("tos.rtd",,"OPEN_INT","."&amp;I$2&amp;I$1&amp;"C"&amp;$A39)),0)+IF($A$4&lt;$A39,($A39-$A$4)*IF(RTD("tos.rtd",,"OPEN_INT","."&amp;I$2&amp;I$1&amp;"P"&amp;$A39)="N/A",0,RTD("tos.rtd",,"OPEN_INT","."&amp;I$2&amp;I$1&amp;"P"&amp;$A39)),0),IF(RTD("tos.rtd",,$A$2,"."&amp;I$2&amp;I$1&amp;"C"&amp;$A39)="N/A",0,RTD("tos.rtd",,$A$2,"."&amp;I$2&amp;I$1&amp;"C"&amp;$A39))-IF(RTD("tos.rtd",,$A$2,"."&amp;I$2&amp;I$1&amp;"P"&amp;$A39)="N/A",0,RTD("tos.rtd",,$A$2,"."&amp;I$2&amp;I$1&amp;"P"&amp;$A39)))))))))</f>
        <v>0</v>
      </c>
      <c r="J39" s="12">
        <f>IF($A$2="PREMIUM_OI",IFERROR((100*RTD("tos.rtd",,"OPEN_INT","."&amp;J$2&amp;J$1&amp;"C"&amp;$A39)*RTD("tos.rtd",,"LAST","."&amp;J$2&amp;J$1&amp;"C"&amp;$A39)-100*RTD("tos.rtd",,"OPEN_INT","."&amp;J$2&amp;J$1&amp;"P"&amp;$A39)*RTD("tos.rtd",,"LAST","."&amp;J$2&amp;J$1&amp;"P"&amp;$A39))/1000000,0),IF($A$2="PREMIUM",IFERROR((100*RTD("tos.rtd",,"VOLUME","."&amp;J$2&amp;J$1&amp;"C"&amp;$A39)*RTD("tos.rtd",,"LAST","."&amp;J$2&amp;J$1&amp;"C"&amp;$A39)-100*RTD("tos.rtd",,"VOLUME","."&amp;J$2&amp;J$1&amp;"P"&amp;$A39)*RTD("tos.rtd",,"LAST","."&amp;J$2&amp;J$1&amp;"P"&amp;$A39))/1000000,0),IF($A$2="DEX",IFERROR((100*RTD("tos.rtd",,"OPEN_INT","."&amp;J$2&amp;J$1&amp;"C"&amp;$A39)*RTD("tos.rtd",,"DELTA","."&amp;J$2&amp;J$1&amp;"C"&amp;$A39)-100*RTD("tos.rtd",,"OPEN_INT","."&amp;J$2&amp;J$1&amp;"P"&amp;$A39)*RTD("tos.rtd",,"DELTA","."&amp;J$2&amp;J$1&amp;"P"&amp;$A39))/1000,0),IF($A$2="VEX",IFERROR(($A$4*$A$4*RTD("tos.rtd",,"VOLUME","."&amp;J$2&amp;J$1&amp;"C"&amp;$A39)*RTD("tos.rtd",,"GAMMA","."&amp;J$2&amp;J$1&amp;"C"&amp;$A39)-$A$4*$A$4*RTD("tos.rtd",,"VOLUME","."&amp;J$2&amp;J$1&amp;"P"&amp;$A39)*RTD("tos.rtd",,"GAMMA","."&amp;J$2&amp;J$1&amp;"P"&amp;$A39))/1000000,0),IF($A$2="GEX",IFERROR(($A$4*$A$4*RTD("tos.rtd",,"OPEN_INT","."&amp;J$2&amp;J$1&amp;"C"&amp;$A39)*RTD("tos.rtd",,"GAMMA","."&amp;J$2&amp;J$1&amp;"C"&amp;$A39)-$A$4*$A$4*RTD("tos.rtd",,"OPEN_INT","."&amp;J$2&amp;J$1&amp;"P"&amp;$A39)*RTD("tos.rtd",,"GAMMA","."&amp;J$2&amp;J$1&amp;"P"&amp;$A39))/1000000,0),IF($A$2="SKEW",IFERROR(VALUE(IF(RTD("tos.rtd",,"IMPL_VOL","."&amp;J$2&amp;J$1&amp;"P"&amp;$A39)="N/A",0,RTD("tos.rtd",,"IMPL_VOL","."&amp;J$2&amp;J$1&amp;"P"&amp;$A39))),0)-IFERROR(VALUE(IF(RTD("tos.rtd",,"IMPL_VOL","."&amp;J$2&amp;J$1&amp;"C"&amp;$A39)="N/A",0,RTD("tos.rtd",,"IMPL_VOL","."&amp;J$2&amp;J$1&amp;"C"&amp;$A39))),0),IF($A$2="MAXPAIN",IF($A$4&gt;$A39,($A$4-$A39)*IF(RTD("tos.rtd",,"OPEN_INT","."&amp;J$2&amp;J$1&amp;"C"&amp;$A39)="N/A",0,RTD("tos.rtd",,"OPEN_INT","."&amp;J$2&amp;J$1&amp;"C"&amp;$A39)),0)+IF($A$4&lt;$A39,($A39-$A$4)*IF(RTD("tos.rtd",,"OPEN_INT","."&amp;J$2&amp;J$1&amp;"P"&amp;$A39)="N/A",0,RTD("tos.rtd",,"OPEN_INT","."&amp;J$2&amp;J$1&amp;"P"&amp;$A39)),0),IF(RTD("tos.rtd",,$A$2,"."&amp;J$2&amp;J$1&amp;"C"&amp;$A39)="N/A",0,RTD("tos.rtd",,$A$2,"."&amp;J$2&amp;J$1&amp;"C"&amp;$A39))-IF(RTD("tos.rtd",,$A$2,"."&amp;J$2&amp;J$1&amp;"P"&amp;$A39)="N/A",0,RTD("tos.rtd",,$A$2,"."&amp;J$2&amp;J$1&amp;"P"&amp;$A39)))))))))</f>
        <v>0</v>
      </c>
      <c r="K39" s="12">
        <f>IF($A$2="PREMIUM_OI",IFERROR((100*RTD("tos.rtd",,"OPEN_INT","."&amp;K$2&amp;K$1&amp;"C"&amp;$A39)*RTD("tos.rtd",,"LAST","."&amp;K$2&amp;K$1&amp;"C"&amp;$A39)-100*RTD("tos.rtd",,"OPEN_INT","."&amp;K$2&amp;K$1&amp;"P"&amp;$A39)*RTD("tos.rtd",,"LAST","."&amp;K$2&amp;K$1&amp;"P"&amp;$A39))/1000000,0),IF($A$2="PREMIUM",IFERROR((100*RTD("tos.rtd",,"VOLUME","."&amp;K$2&amp;K$1&amp;"C"&amp;$A39)*RTD("tos.rtd",,"LAST","."&amp;K$2&amp;K$1&amp;"C"&amp;$A39)-100*RTD("tos.rtd",,"VOLUME","."&amp;K$2&amp;K$1&amp;"P"&amp;$A39)*RTD("tos.rtd",,"LAST","."&amp;K$2&amp;K$1&amp;"P"&amp;$A39))/1000000,0),IF($A$2="DEX",IFERROR((100*RTD("tos.rtd",,"OPEN_INT","."&amp;K$2&amp;K$1&amp;"C"&amp;$A39)*RTD("tos.rtd",,"DELTA","."&amp;K$2&amp;K$1&amp;"C"&amp;$A39)-100*RTD("tos.rtd",,"OPEN_INT","."&amp;K$2&amp;K$1&amp;"P"&amp;$A39)*RTD("tos.rtd",,"DELTA","."&amp;K$2&amp;K$1&amp;"P"&amp;$A39))/1000,0),IF($A$2="VEX",IFERROR(($A$4*$A$4*RTD("tos.rtd",,"VOLUME","."&amp;K$2&amp;K$1&amp;"C"&amp;$A39)*RTD("tos.rtd",,"GAMMA","."&amp;K$2&amp;K$1&amp;"C"&amp;$A39)-$A$4*$A$4*RTD("tos.rtd",,"VOLUME","."&amp;K$2&amp;K$1&amp;"P"&amp;$A39)*RTD("tos.rtd",,"GAMMA","."&amp;K$2&amp;K$1&amp;"P"&amp;$A39))/1000000,0),IF($A$2="GEX",IFERROR(($A$4*$A$4*RTD("tos.rtd",,"OPEN_INT","."&amp;K$2&amp;K$1&amp;"C"&amp;$A39)*RTD("tos.rtd",,"GAMMA","."&amp;K$2&amp;K$1&amp;"C"&amp;$A39)-$A$4*$A$4*RTD("tos.rtd",,"OPEN_INT","."&amp;K$2&amp;K$1&amp;"P"&amp;$A39)*RTD("tos.rtd",,"GAMMA","."&amp;K$2&amp;K$1&amp;"P"&amp;$A39))/1000000,0),IF($A$2="SKEW",IFERROR(VALUE(IF(RTD("tos.rtd",,"IMPL_VOL","."&amp;K$2&amp;K$1&amp;"P"&amp;$A39)="N/A",0,RTD("tos.rtd",,"IMPL_VOL","."&amp;K$2&amp;K$1&amp;"P"&amp;$A39))),0)-IFERROR(VALUE(IF(RTD("tos.rtd",,"IMPL_VOL","."&amp;K$2&amp;K$1&amp;"C"&amp;$A39)="N/A",0,RTD("tos.rtd",,"IMPL_VOL","."&amp;K$2&amp;K$1&amp;"C"&amp;$A39))),0),IF($A$2="MAXPAIN",IF($A$4&gt;$A39,($A$4-$A39)*IF(RTD("tos.rtd",,"OPEN_INT","."&amp;K$2&amp;K$1&amp;"C"&amp;$A39)="N/A",0,RTD("tos.rtd",,"OPEN_INT","."&amp;K$2&amp;K$1&amp;"C"&amp;$A39)),0)+IF($A$4&lt;$A39,($A39-$A$4)*IF(RTD("tos.rtd",,"OPEN_INT","."&amp;K$2&amp;K$1&amp;"P"&amp;$A39)="N/A",0,RTD("tos.rtd",,"OPEN_INT","."&amp;K$2&amp;K$1&amp;"P"&amp;$A39)),0),IF(RTD("tos.rtd",,$A$2,"."&amp;K$2&amp;K$1&amp;"C"&amp;$A39)="N/A",0,RTD("tos.rtd",,$A$2,"."&amp;K$2&amp;K$1&amp;"C"&amp;$A39))-IF(RTD("tos.rtd",,$A$2,"."&amp;K$2&amp;K$1&amp;"P"&amp;$A39)="N/A",0,RTD("tos.rtd",,$A$2,"."&amp;K$2&amp;K$1&amp;"P"&amp;$A39)))))))))</f>
        <v>0</v>
      </c>
      <c r="L39" s="12">
        <f>IF($A$2="PREMIUM_OI",IFERROR((100*RTD("tos.rtd",,"OPEN_INT","."&amp;L$2&amp;L$1&amp;"C"&amp;$A39)*RTD("tos.rtd",,"LAST","."&amp;L$2&amp;L$1&amp;"C"&amp;$A39)-100*RTD("tos.rtd",,"OPEN_INT","."&amp;L$2&amp;L$1&amp;"P"&amp;$A39)*RTD("tos.rtd",,"LAST","."&amp;L$2&amp;L$1&amp;"P"&amp;$A39))/1000000,0),IF($A$2="PREMIUM",IFERROR((100*RTD("tos.rtd",,"VOLUME","."&amp;L$2&amp;L$1&amp;"C"&amp;$A39)*RTD("tos.rtd",,"LAST","."&amp;L$2&amp;L$1&amp;"C"&amp;$A39)-100*RTD("tos.rtd",,"VOLUME","."&amp;L$2&amp;L$1&amp;"P"&amp;$A39)*RTD("tos.rtd",,"LAST","."&amp;L$2&amp;L$1&amp;"P"&amp;$A39))/1000000,0),IF($A$2="DEX",IFERROR((100*RTD("tos.rtd",,"OPEN_INT","."&amp;L$2&amp;L$1&amp;"C"&amp;$A39)*RTD("tos.rtd",,"DELTA","."&amp;L$2&amp;L$1&amp;"C"&amp;$A39)-100*RTD("tos.rtd",,"OPEN_INT","."&amp;L$2&amp;L$1&amp;"P"&amp;$A39)*RTD("tos.rtd",,"DELTA","."&amp;L$2&amp;L$1&amp;"P"&amp;$A39))/1000,0),IF($A$2="VEX",IFERROR(($A$4*$A$4*RTD("tos.rtd",,"VOLUME","."&amp;L$2&amp;L$1&amp;"C"&amp;$A39)*RTD("tos.rtd",,"GAMMA","."&amp;L$2&amp;L$1&amp;"C"&amp;$A39)-$A$4*$A$4*RTD("tos.rtd",,"VOLUME","."&amp;L$2&amp;L$1&amp;"P"&amp;$A39)*RTD("tos.rtd",,"GAMMA","."&amp;L$2&amp;L$1&amp;"P"&amp;$A39))/1000000,0),IF($A$2="GEX",IFERROR(($A$4*$A$4*RTD("tos.rtd",,"OPEN_INT","."&amp;L$2&amp;L$1&amp;"C"&amp;$A39)*RTD("tos.rtd",,"GAMMA","."&amp;L$2&amp;L$1&amp;"C"&amp;$A39)-$A$4*$A$4*RTD("tos.rtd",,"OPEN_INT","."&amp;L$2&amp;L$1&amp;"P"&amp;$A39)*RTD("tos.rtd",,"GAMMA","."&amp;L$2&amp;L$1&amp;"P"&amp;$A39))/1000000,0),IF($A$2="SKEW",IFERROR(VALUE(IF(RTD("tos.rtd",,"IMPL_VOL","."&amp;L$2&amp;L$1&amp;"P"&amp;$A39)="N/A",0,RTD("tos.rtd",,"IMPL_VOL","."&amp;L$2&amp;L$1&amp;"P"&amp;$A39))),0)-IFERROR(VALUE(IF(RTD("tos.rtd",,"IMPL_VOL","."&amp;L$2&amp;L$1&amp;"C"&amp;$A39)="N/A",0,RTD("tos.rtd",,"IMPL_VOL","."&amp;L$2&amp;L$1&amp;"C"&amp;$A39))),0),IF($A$2="MAXPAIN",IF($A$4&gt;$A39,($A$4-$A39)*IF(RTD("tos.rtd",,"OPEN_INT","."&amp;L$2&amp;L$1&amp;"C"&amp;$A39)="N/A",0,RTD("tos.rtd",,"OPEN_INT","."&amp;L$2&amp;L$1&amp;"C"&amp;$A39)),0)+IF($A$4&lt;$A39,($A39-$A$4)*IF(RTD("tos.rtd",,"OPEN_INT","."&amp;L$2&amp;L$1&amp;"P"&amp;$A39)="N/A",0,RTD("tos.rtd",,"OPEN_INT","."&amp;L$2&amp;L$1&amp;"P"&amp;$A39)),0),IF(RTD("tos.rtd",,$A$2,"."&amp;L$2&amp;L$1&amp;"C"&amp;$A39)="N/A",0,RTD("tos.rtd",,$A$2,"."&amp;L$2&amp;L$1&amp;"C"&amp;$A39))-IF(RTD("tos.rtd",,$A$2,"."&amp;L$2&amp;L$1&amp;"P"&amp;$A39)="N/A",0,RTD("tos.rtd",,$A$2,"."&amp;L$2&amp;L$1&amp;"P"&amp;$A39)))))))))</f>
        <v>0</v>
      </c>
      <c r="M39" s="12">
        <f>IF($A$2="PREMIUM_OI",IFERROR((100*RTD("tos.rtd",,"OPEN_INT","."&amp;M$2&amp;M$1&amp;"C"&amp;$A39)*RTD("tos.rtd",,"LAST","."&amp;M$2&amp;M$1&amp;"C"&amp;$A39)-100*RTD("tos.rtd",,"OPEN_INT","."&amp;M$2&amp;M$1&amp;"P"&amp;$A39)*RTD("tos.rtd",,"LAST","."&amp;M$2&amp;M$1&amp;"P"&amp;$A39))/1000000,0),IF($A$2="PREMIUM",IFERROR((100*RTD("tos.rtd",,"VOLUME","."&amp;M$2&amp;M$1&amp;"C"&amp;$A39)*RTD("tos.rtd",,"LAST","."&amp;M$2&amp;M$1&amp;"C"&amp;$A39)-100*RTD("tos.rtd",,"VOLUME","."&amp;M$2&amp;M$1&amp;"P"&amp;$A39)*RTD("tos.rtd",,"LAST","."&amp;M$2&amp;M$1&amp;"P"&amp;$A39))/1000000,0),IF($A$2="DEX",IFERROR((100*RTD("tos.rtd",,"OPEN_INT","."&amp;M$2&amp;M$1&amp;"C"&amp;$A39)*RTD("tos.rtd",,"DELTA","."&amp;M$2&amp;M$1&amp;"C"&amp;$A39)-100*RTD("tos.rtd",,"OPEN_INT","."&amp;M$2&amp;M$1&amp;"P"&amp;$A39)*RTD("tos.rtd",,"DELTA","."&amp;M$2&amp;M$1&amp;"P"&amp;$A39))/1000,0),IF($A$2="VEX",IFERROR(($A$4*$A$4*RTD("tos.rtd",,"VOLUME","."&amp;M$2&amp;M$1&amp;"C"&amp;$A39)*RTD("tos.rtd",,"GAMMA","."&amp;M$2&amp;M$1&amp;"C"&amp;$A39)-$A$4*$A$4*RTD("tos.rtd",,"VOLUME","."&amp;M$2&amp;M$1&amp;"P"&amp;$A39)*RTD("tos.rtd",,"GAMMA","."&amp;M$2&amp;M$1&amp;"P"&amp;$A39))/1000000,0),IF($A$2="GEX",IFERROR(($A$4*$A$4*RTD("tos.rtd",,"OPEN_INT","."&amp;M$2&amp;M$1&amp;"C"&amp;$A39)*RTD("tos.rtd",,"GAMMA","."&amp;M$2&amp;M$1&amp;"C"&amp;$A39)-$A$4*$A$4*RTD("tos.rtd",,"OPEN_INT","."&amp;M$2&amp;M$1&amp;"P"&amp;$A39)*RTD("tos.rtd",,"GAMMA","."&amp;M$2&amp;M$1&amp;"P"&amp;$A39))/1000000,0),IF($A$2="SKEW",IFERROR(VALUE(IF(RTD("tos.rtd",,"IMPL_VOL","."&amp;M$2&amp;M$1&amp;"P"&amp;$A39)="N/A",0,RTD("tos.rtd",,"IMPL_VOL","."&amp;M$2&amp;M$1&amp;"P"&amp;$A39))),0)-IFERROR(VALUE(IF(RTD("tos.rtd",,"IMPL_VOL","."&amp;M$2&amp;M$1&amp;"C"&amp;$A39)="N/A",0,RTD("tos.rtd",,"IMPL_VOL","."&amp;M$2&amp;M$1&amp;"C"&amp;$A39))),0),IF($A$2="MAXPAIN",IF($A$4&gt;$A39,($A$4-$A39)*IF(RTD("tos.rtd",,"OPEN_INT","."&amp;M$2&amp;M$1&amp;"C"&amp;$A39)="N/A",0,RTD("tos.rtd",,"OPEN_INT","."&amp;M$2&amp;M$1&amp;"C"&amp;$A39)),0)+IF($A$4&lt;$A39,($A39-$A$4)*IF(RTD("tos.rtd",,"OPEN_INT","."&amp;M$2&amp;M$1&amp;"P"&amp;$A39)="N/A",0,RTD("tos.rtd",,"OPEN_INT","."&amp;M$2&amp;M$1&amp;"P"&amp;$A39)),0),IF(RTD("tos.rtd",,$A$2,"."&amp;M$2&amp;M$1&amp;"C"&amp;$A39)="N/A",0,RTD("tos.rtd",,$A$2,"."&amp;M$2&amp;M$1&amp;"C"&amp;$A39))-IF(RTD("tos.rtd",,$A$2,"."&amp;M$2&amp;M$1&amp;"P"&amp;$A39)="N/A",0,RTD("tos.rtd",,$A$2,"."&amp;M$2&amp;M$1&amp;"P"&amp;$A39)))))))))</f>
        <v>-309</v>
      </c>
      <c r="N39" s="12">
        <f>IF($A$2="PREMIUM_OI",IFERROR((100*RTD("tos.rtd",,"OPEN_INT","."&amp;N$2&amp;N$1&amp;"C"&amp;$A39)*RTD("tos.rtd",,"LAST","."&amp;N$2&amp;N$1&amp;"C"&amp;$A39)-100*RTD("tos.rtd",,"OPEN_INT","."&amp;N$2&amp;N$1&amp;"P"&amp;$A39)*RTD("tos.rtd",,"LAST","."&amp;N$2&amp;N$1&amp;"P"&amp;$A39))/1000000,0),IF($A$2="PREMIUM",IFERROR((100*RTD("tos.rtd",,"VOLUME","."&amp;N$2&amp;N$1&amp;"C"&amp;$A39)*RTD("tos.rtd",,"LAST","."&amp;N$2&amp;N$1&amp;"C"&amp;$A39)-100*RTD("tos.rtd",,"VOLUME","."&amp;N$2&amp;N$1&amp;"P"&amp;$A39)*RTD("tos.rtd",,"LAST","."&amp;N$2&amp;N$1&amp;"P"&amp;$A39))/1000000,0),IF($A$2="DEX",IFERROR((100*RTD("tos.rtd",,"OPEN_INT","."&amp;N$2&amp;N$1&amp;"C"&amp;$A39)*RTD("tos.rtd",,"DELTA","."&amp;N$2&amp;N$1&amp;"C"&amp;$A39)-100*RTD("tos.rtd",,"OPEN_INT","."&amp;N$2&amp;N$1&amp;"P"&amp;$A39)*RTD("tos.rtd",,"DELTA","."&amp;N$2&amp;N$1&amp;"P"&amp;$A39))/1000,0),IF($A$2="VEX",IFERROR(($A$4*$A$4*RTD("tos.rtd",,"VOLUME","."&amp;N$2&amp;N$1&amp;"C"&amp;$A39)*RTD("tos.rtd",,"GAMMA","."&amp;N$2&amp;N$1&amp;"C"&amp;$A39)-$A$4*$A$4*RTD("tos.rtd",,"VOLUME","."&amp;N$2&amp;N$1&amp;"P"&amp;$A39)*RTD("tos.rtd",,"GAMMA","."&amp;N$2&amp;N$1&amp;"P"&amp;$A39))/1000000,0),IF($A$2="GEX",IFERROR(($A$4*$A$4*RTD("tos.rtd",,"OPEN_INT","."&amp;N$2&amp;N$1&amp;"C"&amp;$A39)*RTD("tos.rtd",,"GAMMA","."&amp;N$2&amp;N$1&amp;"C"&amp;$A39)-$A$4*$A$4*RTD("tos.rtd",,"OPEN_INT","."&amp;N$2&amp;N$1&amp;"P"&amp;$A39)*RTD("tos.rtd",,"GAMMA","."&amp;N$2&amp;N$1&amp;"P"&amp;$A39))/1000000,0),IF($A$2="SKEW",IFERROR(VALUE(IF(RTD("tos.rtd",,"IMPL_VOL","."&amp;N$2&amp;N$1&amp;"P"&amp;$A39)="N/A",0,RTD("tos.rtd",,"IMPL_VOL","."&amp;N$2&amp;N$1&amp;"P"&amp;$A39))),0)-IFERROR(VALUE(IF(RTD("tos.rtd",,"IMPL_VOL","."&amp;N$2&amp;N$1&amp;"C"&amp;$A39)="N/A",0,RTD("tos.rtd",,"IMPL_VOL","."&amp;N$2&amp;N$1&amp;"C"&amp;$A39))),0),IF($A$2="MAXPAIN",IF($A$4&gt;$A39,($A$4-$A39)*IF(RTD("tos.rtd",,"OPEN_INT","."&amp;N$2&amp;N$1&amp;"C"&amp;$A39)="N/A",0,RTD("tos.rtd",,"OPEN_INT","."&amp;N$2&amp;N$1&amp;"C"&amp;$A39)),0)+IF($A$4&lt;$A39,($A39-$A$4)*IF(RTD("tos.rtd",,"OPEN_INT","."&amp;N$2&amp;N$1&amp;"P"&amp;$A39)="N/A",0,RTD("tos.rtd",,"OPEN_INT","."&amp;N$2&amp;N$1&amp;"P"&amp;$A39)),0),IF(RTD("tos.rtd",,$A$2,"."&amp;N$2&amp;N$1&amp;"C"&amp;$A39)="N/A",0,RTD("tos.rtd",,$A$2,"."&amp;N$2&amp;N$1&amp;"C"&amp;$A39))-IF(RTD("tos.rtd",,$A$2,"."&amp;N$2&amp;N$1&amp;"P"&amp;$A39)="N/A",0,RTD("tos.rtd",,$A$2,"."&amp;N$2&amp;N$1&amp;"P"&amp;$A39)))))))))</f>
        <v>0</v>
      </c>
      <c r="O39" s="12">
        <f>IF($A$2="PREMIUM_OI",IFERROR((100*RTD("tos.rtd",,"OPEN_INT","."&amp;O$2&amp;O$1&amp;"C"&amp;$A39)*RTD("tos.rtd",,"LAST","."&amp;O$2&amp;O$1&amp;"C"&amp;$A39)-100*RTD("tos.rtd",,"OPEN_INT","."&amp;O$2&amp;O$1&amp;"P"&amp;$A39)*RTD("tos.rtd",,"LAST","."&amp;O$2&amp;O$1&amp;"P"&amp;$A39))/1000000,0),IF($A$2="PREMIUM",IFERROR((100*RTD("tos.rtd",,"VOLUME","."&amp;O$2&amp;O$1&amp;"C"&amp;$A39)*RTD("tos.rtd",,"LAST","."&amp;O$2&amp;O$1&amp;"C"&amp;$A39)-100*RTD("tos.rtd",,"VOLUME","."&amp;O$2&amp;O$1&amp;"P"&amp;$A39)*RTD("tos.rtd",,"LAST","."&amp;O$2&amp;O$1&amp;"P"&amp;$A39))/1000000,0),IF($A$2="DEX",IFERROR((100*RTD("tos.rtd",,"OPEN_INT","."&amp;O$2&amp;O$1&amp;"C"&amp;$A39)*RTD("tos.rtd",,"DELTA","."&amp;O$2&amp;O$1&amp;"C"&amp;$A39)-100*RTD("tos.rtd",,"OPEN_INT","."&amp;O$2&amp;O$1&amp;"P"&amp;$A39)*RTD("tos.rtd",,"DELTA","."&amp;O$2&amp;O$1&amp;"P"&amp;$A39))/1000,0),IF($A$2="VEX",IFERROR(($A$4*$A$4*RTD("tos.rtd",,"VOLUME","."&amp;O$2&amp;O$1&amp;"C"&amp;$A39)*RTD("tos.rtd",,"GAMMA","."&amp;O$2&amp;O$1&amp;"C"&amp;$A39)-$A$4*$A$4*RTD("tos.rtd",,"VOLUME","."&amp;O$2&amp;O$1&amp;"P"&amp;$A39)*RTD("tos.rtd",,"GAMMA","."&amp;O$2&amp;O$1&amp;"P"&amp;$A39))/1000000,0),IF($A$2="GEX",IFERROR(($A$4*$A$4*RTD("tos.rtd",,"OPEN_INT","."&amp;O$2&amp;O$1&amp;"C"&amp;$A39)*RTD("tos.rtd",,"GAMMA","."&amp;O$2&amp;O$1&amp;"C"&amp;$A39)-$A$4*$A$4*RTD("tos.rtd",,"OPEN_INT","."&amp;O$2&amp;O$1&amp;"P"&amp;$A39)*RTD("tos.rtd",,"GAMMA","."&amp;O$2&amp;O$1&amp;"P"&amp;$A39))/1000000,0),IF($A$2="SKEW",IFERROR(VALUE(IF(RTD("tos.rtd",,"IMPL_VOL","."&amp;O$2&amp;O$1&amp;"P"&amp;$A39)="N/A",0,RTD("tos.rtd",,"IMPL_VOL","."&amp;O$2&amp;O$1&amp;"P"&amp;$A39))),0)-IFERROR(VALUE(IF(RTD("tos.rtd",,"IMPL_VOL","."&amp;O$2&amp;O$1&amp;"C"&amp;$A39)="N/A",0,RTD("tos.rtd",,"IMPL_VOL","."&amp;O$2&amp;O$1&amp;"C"&amp;$A39))),0),IF($A$2="MAXPAIN",IF($A$4&gt;$A39,($A$4-$A39)*IF(RTD("tos.rtd",,"OPEN_INT","."&amp;O$2&amp;O$1&amp;"C"&amp;$A39)="N/A",0,RTD("tos.rtd",,"OPEN_INT","."&amp;O$2&amp;O$1&amp;"C"&amp;$A39)),0)+IF($A$4&lt;$A39,($A39-$A$4)*IF(RTD("tos.rtd",,"OPEN_INT","."&amp;O$2&amp;O$1&amp;"P"&amp;$A39)="N/A",0,RTD("tos.rtd",,"OPEN_INT","."&amp;O$2&amp;O$1&amp;"P"&amp;$A39)),0),IF(RTD("tos.rtd",,$A$2,"."&amp;O$2&amp;O$1&amp;"C"&amp;$A39)="N/A",0,RTD("tos.rtd",,$A$2,"."&amp;O$2&amp;O$1&amp;"C"&amp;$A39))-IF(RTD("tos.rtd",,$A$2,"."&amp;O$2&amp;O$1&amp;"P"&amp;$A39)="N/A",0,RTD("tos.rtd",,$A$2,"."&amp;O$2&amp;O$1&amp;"P"&amp;$A39)))))))))</f>
        <v>0</v>
      </c>
      <c r="P39" s="12">
        <f>IF($A$2="PREMIUM_OI",IFERROR((100*RTD("tos.rtd",,"OPEN_INT","."&amp;P$2&amp;P$1&amp;"C"&amp;$A39)*RTD("tos.rtd",,"LAST","."&amp;P$2&amp;P$1&amp;"C"&amp;$A39)-100*RTD("tos.rtd",,"OPEN_INT","."&amp;P$2&amp;P$1&amp;"P"&amp;$A39)*RTD("tos.rtd",,"LAST","."&amp;P$2&amp;P$1&amp;"P"&amp;$A39))/1000000,0),IF($A$2="PREMIUM",IFERROR((100*RTD("tos.rtd",,"VOLUME","."&amp;P$2&amp;P$1&amp;"C"&amp;$A39)*RTD("tos.rtd",,"LAST","."&amp;P$2&amp;P$1&amp;"C"&amp;$A39)-100*RTD("tos.rtd",,"VOLUME","."&amp;P$2&amp;P$1&amp;"P"&amp;$A39)*RTD("tos.rtd",,"LAST","."&amp;P$2&amp;P$1&amp;"P"&amp;$A39))/1000000,0),IF($A$2="DEX",IFERROR((100*RTD("tos.rtd",,"OPEN_INT","."&amp;P$2&amp;P$1&amp;"C"&amp;$A39)*RTD("tos.rtd",,"DELTA","."&amp;P$2&amp;P$1&amp;"C"&amp;$A39)-100*RTD("tos.rtd",,"OPEN_INT","."&amp;P$2&amp;P$1&amp;"P"&amp;$A39)*RTD("tos.rtd",,"DELTA","."&amp;P$2&amp;P$1&amp;"P"&amp;$A39))/1000,0),IF($A$2="VEX",IFERROR(($A$4*$A$4*RTD("tos.rtd",,"VOLUME","."&amp;P$2&amp;P$1&amp;"C"&amp;$A39)*RTD("tos.rtd",,"GAMMA","."&amp;P$2&amp;P$1&amp;"C"&amp;$A39)-$A$4*$A$4*RTD("tos.rtd",,"VOLUME","."&amp;P$2&amp;P$1&amp;"P"&amp;$A39)*RTD("tos.rtd",,"GAMMA","."&amp;P$2&amp;P$1&amp;"P"&amp;$A39))/1000000,0),IF($A$2="GEX",IFERROR(($A$4*$A$4*RTD("tos.rtd",,"OPEN_INT","."&amp;P$2&amp;P$1&amp;"C"&amp;$A39)*RTD("tos.rtd",,"GAMMA","."&amp;P$2&amp;P$1&amp;"C"&amp;$A39)-$A$4*$A$4*RTD("tos.rtd",,"OPEN_INT","."&amp;P$2&amp;P$1&amp;"P"&amp;$A39)*RTD("tos.rtd",,"GAMMA","."&amp;P$2&amp;P$1&amp;"P"&amp;$A39))/1000000,0),IF($A$2="SKEW",IFERROR(VALUE(IF(RTD("tos.rtd",,"IMPL_VOL","."&amp;P$2&amp;P$1&amp;"P"&amp;$A39)="N/A",0,RTD("tos.rtd",,"IMPL_VOL","."&amp;P$2&amp;P$1&amp;"P"&amp;$A39))),0)-IFERROR(VALUE(IF(RTD("tos.rtd",,"IMPL_VOL","."&amp;P$2&amp;P$1&amp;"C"&amp;$A39)="N/A",0,RTD("tos.rtd",,"IMPL_VOL","."&amp;P$2&amp;P$1&amp;"C"&amp;$A39))),0),IF($A$2="MAXPAIN",IF($A$4&gt;$A39,($A$4-$A39)*IF(RTD("tos.rtd",,"OPEN_INT","."&amp;P$2&amp;P$1&amp;"C"&amp;$A39)="N/A",0,RTD("tos.rtd",,"OPEN_INT","."&amp;P$2&amp;P$1&amp;"C"&amp;$A39)),0)+IF($A$4&lt;$A39,($A39-$A$4)*IF(RTD("tos.rtd",,"OPEN_INT","."&amp;P$2&amp;P$1&amp;"P"&amp;$A39)="N/A",0,RTD("tos.rtd",,"OPEN_INT","."&amp;P$2&amp;P$1&amp;"P"&amp;$A39)),0),IF(RTD("tos.rtd",,$A$2,"."&amp;P$2&amp;P$1&amp;"C"&amp;$A39)="N/A",0,RTD("tos.rtd",,$A$2,"."&amp;P$2&amp;P$1&amp;"C"&amp;$A39))-IF(RTD("tos.rtd",,$A$2,"."&amp;P$2&amp;P$1&amp;"P"&amp;$A39)="N/A",0,RTD("tos.rtd",,$A$2,"."&amp;P$2&amp;P$1&amp;"P"&amp;$A39)))))))))</f>
        <v>0</v>
      </c>
      <c r="Q39" s="12">
        <f>IF($A$2="PREMIUM_OI",IFERROR((100*RTD("tos.rtd",,"OPEN_INT","."&amp;Q$2&amp;Q$1&amp;"C"&amp;$A39)*RTD("tos.rtd",,"LAST","."&amp;Q$2&amp;Q$1&amp;"C"&amp;$A39)-100*RTD("tos.rtd",,"OPEN_INT","."&amp;Q$2&amp;Q$1&amp;"P"&amp;$A39)*RTD("tos.rtd",,"LAST","."&amp;Q$2&amp;Q$1&amp;"P"&amp;$A39))/1000000,0),IF($A$2="PREMIUM",IFERROR((100*RTD("tos.rtd",,"VOLUME","."&amp;Q$2&amp;Q$1&amp;"C"&amp;$A39)*RTD("tos.rtd",,"LAST","."&amp;Q$2&amp;Q$1&amp;"C"&amp;$A39)-100*RTD("tos.rtd",,"VOLUME","."&amp;Q$2&amp;Q$1&amp;"P"&amp;$A39)*RTD("tos.rtd",,"LAST","."&amp;Q$2&amp;Q$1&amp;"P"&amp;$A39))/1000000,0),IF($A$2="DEX",IFERROR((100*RTD("tos.rtd",,"OPEN_INT","."&amp;Q$2&amp;Q$1&amp;"C"&amp;$A39)*RTD("tos.rtd",,"DELTA","."&amp;Q$2&amp;Q$1&amp;"C"&amp;$A39)-100*RTD("tos.rtd",,"OPEN_INT","."&amp;Q$2&amp;Q$1&amp;"P"&amp;$A39)*RTD("tos.rtd",,"DELTA","."&amp;Q$2&amp;Q$1&amp;"P"&amp;$A39))/1000,0),IF($A$2="VEX",IFERROR(($A$4*$A$4*RTD("tos.rtd",,"VOLUME","."&amp;Q$2&amp;Q$1&amp;"C"&amp;$A39)*RTD("tos.rtd",,"GAMMA","."&amp;Q$2&amp;Q$1&amp;"C"&amp;$A39)-$A$4*$A$4*RTD("tos.rtd",,"VOLUME","."&amp;Q$2&amp;Q$1&amp;"P"&amp;$A39)*RTD("tos.rtd",,"GAMMA","."&amp;Q$2&amp;Q$1&amp;"P"&amp;$A39))/1000000,0),IF($A$2="GEX",IFERROR(($A$4*$A$4*RTD("tos.rtd",,"OPEN_INT","."&amp;Q$2&amp;Q$1&amp;"C"&amp;$A39)*RTD("tos.rtd",,"GAMMA","."&amp;Q$2&amp;Q$1&amp;"C"&amp;$A39)-$A$4*$A$4*RTD("tos.rtd",,"OPEN_INT","."&amp;Q$2&amp;Q$1&amp;"P"&amp;$A39)*RTD("tos.rtd",,"GAMMA","."&amp;Q$2&amp;Q$1&amp;"P"&amp;$A39))/1000000,0),IF($A$2="SKEW",IFERROR(VALUE(IF(RTD("tos.rtd",,"IMPL_VOL","."&amp;Q$2&amp;Q$1&amp;"P"&amp;$A39)="N/A",0,RTD("tos.rtd",,"IMPL_VOL","."&amp;Q$2&amp;Q$1&amp;"P"&amp;$A39))),0)-IFERROR(VALUE(IF(RTD("tos.rtd",,"IMPL_VOL","."&amp;Q$2&amp;Q$1&amp;"C"&amp;$A39)="N/A",0,RTD("tos.rtd",,"IMPL_VOL","."&amp;Q$2&amp;Q$1&amp;"C"&amp;$A39))),0),IF($A$2="MAXPAIN",IF($A$4&gt;$A39,($A$4-$A39)*IF(RTD("tos.rtd",,"OPEN_INT","."&amp;Q$2&amp;Q$1&amp;"C"&amp;$A39)="N/A",0,RTD("tos.rtd",,"OPEN_INT","."&amp;Q$2&amp;Q$1&amp;"C"&amp;$A39)),0)+IF($A$4&lt;$A39,($A39-$A$4)*IF(RTD("tos.rtd",,"OPEN_INT","."&amp;Q$2&amp;Q$1&amp;"P"&amp;$A39)="N/A",0,RTD("tos.rtd",,"OPEN_INT","."&amp;Q$2&amp;Q$1&amp;"P"&amp;$A39)),0),IF(RTD("tos.rtd",,$A$2,"."&amp;Q$2&amp;Q$1&amp;"C"&amp;$A39)="N/A",0,RTD("tos.rtd",,$A$2,"."&amp;Q$2&amp;Q$1&amp;"C"&amp;$A39))-IF(RTD("tos.rtd",,$A$2,"."&amp;Q$2&amp;Q$1&amp;"P"&amp;$A39)="N/A",0,RTD("tos.rtd",,$A$2,"."&amp;Q$2&amp;Q$1&amp;"P"&amp;$A39)))))))))</f>
        <v>0</v>
      </c>
      <c r="R39" s="12">
        <f>IF($A$2="PREMIUM_OI",IFERROR((100*RTD("tos.rtd",,"OPEN_INT","."&amp;R$2&amp;R$1&amp;"C"&amp;$A39)*RTD("tos.rtd",,"LAST","."&amp;R$2&amp;R$1&amp;"C"&amp;$A39)-100*RTD("tos.rtd",,"OPEN_INT","."&amp;R$2&amp;R$1&amp;"P"&amp;$A39)*RTD("tos.rtd",,"LAST","."&amp;R$2&amp;R$1&amp;"P"&amp;$A39))/1000000,0),IF($A$2="PREMIUM",IFERROR((100*RTD("tos.rtd",,"VOLUME","."&amp;R$2&amp;R$1&amp;"C"&amp;$A39)*RTD("tos.rtd",,"LAST","."&amp;R$2&amp;R$1&amp;"C"&amp;$A39)-100*RTD("tos.rtd",,"VOLUME","."&amp;R$2&amp;R$1&amp;"P"&amp;$A39)*RTD("tos.rtd",,"LAST","."&amp;R$2&amp;R$1&amp;"P"&amp;$A39))/1000000,0),IF($A$2="DEX",IFERROR((100*RTD("tos.rtd",,"OPEN_INT","."&amp;R$2&amp;R$1&amp;"C"&amp;$A39)*RTD("tos.rtd",,"DELTA","."&amp;R$2&amp;R$1&amp;"C"&amp;$A39)-100*RTD("tos.rtd",,"OPEN_INT","."&amp;R$2&amp;R$1&amp;"P"&amp;$A39)*RTD("tos.rtd",,"DELTA","."&amp;R$2&amp;R$1&amp;"P"&amp;$A39))/1000,0),IF($A$2="VEX",IFERROR(($A$4*$A$4*RTD("tos.rtd",,"VOLUME","."&amp;R$2&amp;R$1&amp;"C"&amp;$A39)*RTD("tos.rtd",,"GAMMA","."&amp;R$2&amp;R$1&amp;"C"&amp;$A39)-$A$4*$A$4*RTD("tos.rtd",,"VOLUME","."&amp;R$2&amp;R$1&amp;"P"&amp;$A39)*RTD("tos.rtd",,"GAMMA","."&amp;R$2&amp;R$1&amp;"P"&amp;$A39))/1000000,0),IF($A$2="GEX",IFERROR(($A$4*$A$4*RTD("tos.rtd",,"OPEN_INT","."&amp;R$2&amp;R$1&amp;"C"&amp;$A39)*RTD("tos.rtd",,"GAMMA","."&amp;R$2&amp;R$1&amp;"C"&amp;$A39)-$A$4*$A$4*RTD("tos.rtd",,"OPEN_INT","."&amp;R$2&amp;R$1&amp;"P"&amp;$A39)*RTD("tos.rtd",,"GAMMA","."&amp;R$2&amp;R$1&amp;"P"&amp;$A39))/1000000,0),IF($A$2="SKEW",IFERROR(VALUE(IF(RTD("tos.rtd",,"IMPL_VOL","."&amp;R$2&amp;R$1&amp;"P"&amp;$A39)="N/A",0,RTD("tos.rtd",,"IMPL_VOL","."&amp;R$2&amp;R$1&amp;"P"&amp;$A39))),0)-IFERROR(VALUE(IF(RTD("tos.rtd",,"IMPL_VOL","."&amp;R$2&amp;R$1&amp;"C"&amp;$A39)="N/A",0,RTD("tos.rtd",,"IMPL_VOL","."&amp;R$2&amp;R$1&amp;"C"&amp;$A39))),0),IF($A$2="MAXPAIN",IF($A$4&gt;$A39,($A$4-$A39)*IF(RTD("tos.rtd",,"OPEN_INT","."&amp;R$2&amp;R$1&amp;"C"&amp;$A39)="N/A",0,RTD("tos.rtd",,"OPEN_INT","."&amp;R$2&amp;R$1&amp;"C"&amp;$A39)),0)+IF($A$4&lt;$A39,($A39-$A$4)*IF(RTD("tos.rtd",,"OPEN_INT","."&amp;R$2&amp;R$1&amp;"P"&amp;$A39)="N/A",0,RTD("tos.rtd",,"OPEN_INT","."&amp;R$2&amp;R$1&amp;"P"&amp;$A39)),0),IF(RTD("tos.rtd",,$A$2,"."&amp;R$2&amp;R$1&amp;"C"&amp;$A39)="N/A",0,RTD("tos.rtd",,$A$2,"."&amp;R$2&amp;R$1&amp;"C"&amp;$A39))-IF(RTD("tos.rtd",,$A$2,"."&amp;R$2&amp;R$1&amp;"P"&amp;$A39)="N/A",0,RTD("tos.rtd",,$A$2,"."&amp;R$2&amp;R$1&amp;"P"&amp;$A39)))))))))</f>
        <v>-595</v>
      </c>
      <c r="S39" s="12">
        <f>IF($A$2="PREMIUM_OI",IFERROR((100*RTD("tos.rtd",,"OPEN_INT","."&amp;S$2&amp;S$1&amp;"C"&amp;$A39)*RTD("tos.rtd",,"LAST","."&amp;S$2&amp;S$1&amp;"C"&amp;$A39)-100*RTD("tos.rtd",,"OPEN_INT","."&amp;S$2&amp;S$1&amp;"P"&amp;$A39)*RTD("tos.rtd",,"LAST","."&amp;S$2&amp;S$1&amp;"P"&amp;$A39))/1000000,0),IF($A$2="PREMIUM",IFERROR((100*RTD("tos.rtd",,"VOLUME","."&amp;S$2&amp;S$1&amp;"C"&amp;$A39)*RTD("tos.rtd",,"LAST","."&amp;S$2&amp;S$1&amp;"C"&amp;$A39)-100*RTD("tos.rtd",,"VOLUME","."&amp;S$2&amp;S$1&amp;"P"&amp;$A39)*RTD("tos.rtd",,"LAST","."&amp;S$2&amp;S$1&amp;"P"&amp;$A39))/1000000,0),IF($A$2="DEX",IFERROR((100*RTD("tos.rtd",,"OPEN_INT","."&amp;S$2&amp;S$1&amp;"C"&amp;$A39)*RTD("tos.rtd",,"DELTA","."&amp;S$2&amp;S$1&amp;"C"&amp;$A39)-100*RTD("tos.rtd",,"OPEN_INT","."&amp;S$2&amp;S$1&amp;"P"&amp;$A39)*RTD("tos.rtd",,"DELTA","."&amp;S$2&amp;S$1&amp;"P"&amp;$A39))/1000,0),IF($A$2="VEX",IFERROR(($A$4*$A$4*RTD("tos.rtd",,"VOLUME","."&amp;S$2&amp;S$1&amp;"C"&amp;$A39)*RTD("tos.rtd",,"GAMMA","."&amp;S$2&amp;S$1&amp;"C"&amp;$A39)-$A$4*$A$4*RTD("tos.rtd",,"VOLUME","."&amp;S$2&amp;S$1&amp;"P"&amp;$A39)*RTD("tos.rtd",,"GAMMA","."&amp;S$2&amp;S$1&amp;"P"&amp;$A39))/1000000,0),IF($A$2="GEX",IFERROR(($A$4*$A$4*RTD("tos.rtd",,"OPEN_INT","."&amp;S$2&amp;S$1&amp;"C"&amp;$A39)*RTD("tos.rtd",,"GAMMA","."&amp;S$2&amp;S$1&amp;"C"&amp;$A39)-$A$4*$A$4*RTD("tos.rtd",,"OPEN_INT","."&amp;S$2&amp;S$1&amp;"P"&amp;$A39)*RTD("tos.rtd",,"GAMMA","."&amp;S$2&amp;S$1&amp;"P"&amp;$A39))/1000000,0),IF($A$2="SKEW",IFERROR(VALUE(IF(RTD("tos.rtd",,"IMPL_VOL","."&amp;S$2&amp;S$1&amp;"P"&amp;$A39)="N/A",0,RTD("tos.rtd",,"IMPL_VOL","."&amp;S$2&amp;S$1&amp;"P"&amp;$A39))),0)-IFERROR(VALUE(IF(RTD("tos.rtd",,"IMPL_VOL","."&amp;S$2&amp;S$1&amp;"C"&amp;$A39)="N/A",0,RTD("tos.rtd",,"IMPL_VOL","."&amp;S$2&amp;S$1&amp;"C"&amp;$A39))),0),IF($A$2="MAXPAIN",IF($A$4&gt;$A39,($A$4-$A39)*IF(RTD("tos.rtd",,"OPEN_INT","."&amp;S$2&amp;S$1&amp;"C"&amp;$A39)="N/A",0,RTD("tos.rtd",,"OPEN_INT","."&amp;S$2&amp;S$1&amp;"C"&amp;$A39)),0)+IF($A$4&lt;$A39,($A39-$A$4)*IF(RTD("tos.rtd",,"OPEN_INT","."&amp;S$2&amp;S$1&amp;"P"&amp;$A39)="N/A",0,RTD("tos.rtd",,"OPEN_INT","."&amp;S$2&amp;S$1&amp;"P"&amp;$A39)),0),IF(RTD("tos.rtd",,$A$2,"."&amp;S$2&amp;S$1&amp;"C"&amp;$A39)="N/A",0,RTD("tos.rtd",,$A$2,"."&amp;S$2&amp;S$1&amp;"C"&amp;$A39))-IF(RTD("tos.rtd",,$A$2,"."&amp;S$2&amp;S$1&amp;"P"&amp;$A39)="N/A",0,RTD("tos.rtd",,$A$2,"."&amp;S$2&amp;S$1&amp;"P"&amp;$A39)))))))))</f>
        <v>-8331</v>
      </c>
      <c r="T39" s="12">
        <f>IF($A$2="PREMIUM_OI",IFERROR((100*RTD("tos.rtd",,"OPEN_INT","."&amp;T$2&amp;T$1&amp;"C"&amp;$A39)*RTD("tos.rtd",,"LAST","."&amp;T$2&amp;T$1&amp;"C"&amp;$A39)-100*RTD("tos.rtd",,"OPEN_INT","."&amp;T$2&amp;T$1&amp;"P"&amp;$A39)*RTD("tos.rtd",,"LAST","."&amp;T$2&amp;T$1&amp;"P"&amp;$A39))/1000000,0),IF($A$2="PREMIUM",IFERROR((100*RTD("tos.rtd",,"VOLUME","."&amp;T$2&amp;T$1&amp;"C"&amp;$A39)*RTD("tos.rtd",,"LAST","."&amp;T$2&amp;T$1&amp;"C"&amp;$A39)-100*RTD("tos.rtd",,"VOLUME","."&amp;T$2&amp;T$1&amp;"P"&amp;$A39)*RTD("tos.rtd",,"LAST","."&amp;T$2&amp;T$1&amp;"P"&amp;$A39))/1000000,0),IF($A$2="DEX",IFERROR((100*RTD("tos.rtd",,"OPEN_INT","."&amp;T$2&amp;T$1&amp;"C"&amp;$A39)*RTD("tos.rtd",,"DELTA","."&amp;T$2&amp;T$1&amp;"C"&amp;$A39)-100*RTD("tos.rtd",,"OPEN_INT","."&amp;T$2&amp;T$1&amp;"P"&amp;$A39)*RTD("tos.rtd",,"DELTA","."&amp;T$2&amp;T$1&amp;"P"&amp;$A39))/1000,0),IF($A$2="VEX",IFERROR(($A$4*$A$4*RTD("tos.rtd",,"VOLUME","."&amp;T$2&amp;T$1&amp;"C"&amp;$A39)*RTD("tos.rtd",,"GAMMA","."&amp;T$2&amp;T$1&amp;"C"&amp;$A39)-$A$4*$A$4*RTD("tos.rtd",,"VOLUME","."&amp;T$2&amp;T$1&amp;"P"&amp;$A39)*RTD("tos.rtd",,"GAMMA","."&amp;T$2&amp;T$1&amp;"P"&amp;$A39))/1000000,0),IF($A$2="GEX",IFERROR(($A$4*$A$4*RTD("tos.rtd",,"OPEN_INT","."&amp;T$2&amp;T$1&amp;"C"&amp;$A39)*RTD("tos.rtd",,"GAMMA","."&amp;T$2&amp;T$1&amp;"C"&amp;$A39)-$A$4*$A$4*RTD("tos.rtd",,"OPEN_INT","."&amp;T$2&amp;T$1&amp;"P"&amp;$A39)*RTD("tos.rtd",,"GAMMA","."&amp;T$2&amp;T$1&amp;"P"&amp;$A39))/1000000,0),IF($A$2="SKEW",IFERROR(VALUE(IF(RTD("tos.rtd",,"IMPL_VOL","."&amp;T$2&amp;T$1&amp;"P"&amp;$A39)="N/A",0,RTD("tos.rtd",,"IMPL_VOL","."&amp;T$2&amp;T$1&amp;"P"&amp;$A39))),0)-IFERROR(VALUE(IF(RTD("tos.rtd",,"IMPL_VOL","."&amp;T$2&amp;T$1&amp;"C"&amp;$A39)="N/A",0,RTD("tos.rtd",,"IMPL_VOL","."&amp;T$2&amp;T$1&amp;"C"&amp;$A39))),0),IF($A$2="MAXPAIN",IF($A$4&gt;$A39,($A$4-$A39)*IF(RTD("tos.rtd",,"OPEN_INT","."&amp;T$2&amp;T$1&amp;"C"&amp;$A39)="N/A",0,RTD("tos.rtd",,"OPEN_INT","."&amp;T$2&amp;T$1&amp;"C"&amp;$A39)),0)+IF($A$4&lt;$A39,($A39-$A$4)*IF(RTD("tos.rtd",,"OPEN_INT","."&amp;T$2&amp;T$1&amp;"P"&amp;$A39)="N/A",0,RTD("tos.rtd",,"OPEN_INT","."&amp;T$2&amp;T$1&amp;"P"&amp;$A39)),0),IF(RTD("tos.rtd",,$A$2,"."&amp;T$2&amp;T$1&amp;"C"&amp;$A39)="N/A",0,RTD("tos.rtd",,$A$2,"."&amp;T$2&amp;T$1&amp;"C"&amp;$A39))-IF(RTD("tos.rtd",,$A$2,"."&amp;T$2&amp;T$1&amp;"P"&amp;$A39)="N/A",0,RTD("tos.rtd",,$A$2,"."&amp;T$2&amp;T$1&amp;"P"&amp;$A39)))))))))</f>
        <v>-8</v>
      </c>
      <c r="U39" s="12">
        <f>IF($A$2="PREMIUM_OI",IFERROR((100*RTD("tos.rtd",,"OPEN_INT","."&amp;U$2&amp;U$1&amp;"C"&amp;$A39)*RTD("tos.rtd",,"LAST","."&amp;U$2&amp;U$1&amp;"C"&amp;$A39)-100*RTD("tos.rtd",,"OPEN_INT","."&amp;U$2&amp;U$1&amp;"P"&amp;$A39)*RTD("tos.rtd",,"LAST","."&amp;U$2&amp;U$1&amp;"P"&amp;$A39))/1000000,0),IF($A$2="PREMIUM",IFERROR((100*RTD("tos.rtd",,"VOLUME","."&amp;U$2&amp;U$1&amp;"C"&amp;$A39)*RTD("tos.rtd",,"LAST","."&amp;U$2&amp;U$1&amp;"C"&amp;$A39)-100*RTD("tos.rtd",,"VOLUME","."&amp;U$2&amp;U$1&amp;"P"&amp;$A39)*RTD("tos.rtd",,"LAST","."&amp;U$2&amp;U$1&amp;"P"&amp;$A39))/1000000,0),IF($A$2="DEX",IFERROR((100*RTD("tos.rtd",,"OPEN_INT","."&amp;U$2&amp;U$1&amp;"C"&amp;$A39)*RTD("tos.rtd",,"DELTA","."&amp;U$2&amp;U$1&amp;"C"&amp;$A39)-100*RTD("tos.rtd",,"OPEN_INT","."&amp;U$2&amp;U$1&amp;"P"&amp;$A39)*RTD("tos.rtd",,"DELTA","."&amp;U$2&amp;U$1&amp;"P"&amp;$A39))/1000,0),IF($A$2="VEX",IFERROR(($A$4*$A$4*RTD("tos.rtd",,"VOLUME","."&amp;U$2&amp;U$1&amp;"C"&amp;$A39)*RTD("tos.rtd",,"GAMMA","."&amp;U$2&amp;U$1&amp;"C"&amp;$A39)-$A$4*$A$4*RTD("tos.rtd",,"VOLUME","."&amp;U$2&amp;U$1&amp;"P"&amp;$A39)*RTD("tos.rtd",,"GAMMA","."&amp;U$2&amp;U$1&amp;"P"&amp;$A39))/1000000,0),IF($A$2="GEX",IFERROR(($A$4*$A$4*RTD("tos.rtd",,"OPEN_INT","."&amp;U$2&amp;U$1&amp;"C"&amp;$A39)*RTD("tos.rtd",,"GAMMA","."&amp;U$2&amp;U$1&amp;"C"&amp;$A39)-$A$4*$A$4*RTD("tos.rtd",,"OPEN_INT","."&amp;U$2&amp;U$1&amp;"P"&amp;$A39)*RTD("tos.rtd",,"GAMMA","."&amp;U$2&amp;U$1&amp;"P"&amp;$A39))/1000000,0),IF($A$2="SKEW",IFERROR(VALUE(IF(RTD("tos.rtd",,"IMPL_VOL","."&amp;U$2&amp;U$1&amp;"P"&amp;$A39)="N/A",0,RTD("tos.rtd",,"IMPL_VOL","."&amp;U$2&amp;U$1&amp;"P"&amp;$A39))),0)-IFERROR(VALUE(IF(RTD("tos.rtd",,"IMPL_VOL","."&amp;U$2&amp;U$1&amp;"C"&amp;$A39)="N/A",0,RTD("tos.rtd",,"IMPL_VOL","."&amp;U$2&amp;U$1&amp;"C"&amp;$A39))),0),IF($A$2="MAXPAIN",IF($A$4&gt;$A39,($A$4-$A39)*IF(RTD("tos.rtd",,"OPEN_INT","."&amp;U$2&amp;U$1&amp;"C"&amp;$A39)="N/A",0,RTD("tos.rtd",,"OPEN_INT","."&amp;U$2&amp;U$1&amp;"C"&amp;$A39)),0)+IF($A$4&lt;$A39,($A39-$A$4)*IF(RTD("tos.rtd",,"OPEN_INT","."&amp;U$2&amp;U$1&amp;"P"&amp;$A39)="N/A",0,RTD("tos.rtd",,"OPEN_INT","."&amp;U$2&amp;U$1&amp;"P"&amp;$A39)),0),IF(RTD("tos.rtd",,$A$2,"."&amp;U$2&amp;U$1&amp;"C"&amp;$A39)="N/A",0,RTD("tos.rtd",,$A$2,"."&amp;U$2&amp;U$1&amp;"C"&amp;$A39))-IF(RTD("tos.rtd",,$A$2,"."&amp;U$2&amp;U$1&amp;"P"&amp;$A39)="N/A",0,RTD("tos.rtd",,$A$2,"."&amp;U$2&amp;U$1&amp;"P"&amp;$A39)))))))))</f>
        <v>0</v>
      </c>
      <c r="V39" s="12">
        <f>IF($A$2="PREMIUM_OI",IFERROR((100*RTD("tos.rtd",,"OPEN_INT","."&amp;V$2&amp;V$1&amp;"C"&amp;$A39)*RTD("tos.rtd",,"LAST","."&amp;V$2&amp;V$1&amp;"C"&amp;$A39)-100*RTD("tos.rtd",,"OPEN_INT","."&amp;V$2&amp;V$1&amp;"P"&amp;$A39)*RTD("tos.rtd",,"LAST","."&amp;V$2&amp;V$1&amp;"P"&amp;$A39))/1000000,0),IF($A$2="PREMIUM",IFERROR((100*RTD("tos.rtd",,"VOLUME","."&amp;V$2&amp;V$1&amp;"C"&amp;$A39)*RTD("tos.rtd",,"LAST","."&amp;V$2&amp;V$1&amp;"C"&amp;$A39)-100*RTD("tos.rtd",,"VOLUME","."&amp;V$2&amp;V$1&amp;"P"&amp;$A39)*RTD("tos.rtd",,"LAST","."&amp;V$2&amp;V$1&amp;"P"&amp;$A39))/1000000,0),IF($A$2="DEX",IFERROR((100*RTD("tos.rtd",,"OPEN_INT","."&amp;V$2&amp;V$1&amp;"C"&amp;$A39)*RTD("tos.rtd",,"DELTA","."&amp;V$2&amp;V$1&amp;"C"&amp;$A39)-100*RTD("tos.rtd",,"OPEN_INT","."&amp;V$2&amp;V$1&amp;"P"&amp;$A39)*RTD("tos.rtd",,"DELTA","."&amp;V$2&amp;V$1&amp;"P"&amp;$A39))/1000,0),IF($A$2="VEX",IFERROR(($A$4*$A$4*RTD("tos.rtd",,"VOLUME","."&amp;V$2&amp;V$1&amp;"C"&amp;$A39)*RTD("tos.rtd",,"GAMMA","."&amp;V$2&amp;V$1&amp;"C"&amp;$A39)-$A$4*$A$4*RTD("tos.rtd",,"VOLUME","."&amp;V$2&amp;V$1&amp;"P"&amp;$A39)*RTD("tos.rtd",,"GAMMA","."&amp;V$2&amp;V$1&amp;"P"&amp;$A39))/1000000,0),IF($A$2="GEX",IFERROR(($A$4*$A$4*RTD("tos.rtd",,"OPEN_INT","."&amp;V$2&amp;V$1&amp;"C"&amp;$A39)*RTD("tos.rtd",,"GAMMA","."&amp;V$2&amp;V$1&amp;"C"&amp;$A39)-$A$4*$A$4*RTD("tos.rtd",,"OPEN_INT","."&amp;V$2&amp;V$1&amp;"P"&amp;$A39)*RTD("tos.rtd",,"GAMMA","."&amp;V$2&amp;V$1&amp;"P"&amp;$A39))/1000000,0),IF($A$2="SKEW",IFERROR(VALUE(IF(RTD("tos.rtd",,"IMPL_VOL","."&amp;V$2&amp;V$1&amp;"P"&amp;$A39)="N/A",0,RTD("tos.rtd",,"IMPL_VOL","."&amp;V$2&amp;V$1&amp;"P"&amp;$A39))),0)-IFERROR(VALUE(IF(RTD("tos.rtd",,"IMPL_VOL","."&amp;V$2&amp;V$1&amp;"C"&amp;$A39)="N/A",0,RTD("tos.rtd",,"IMPL_VOL","."&amp;V$2&amp;V$1&amp;"C"&amp;$A39))),0),IF($A$2="MAXPAIN",IF($A$4&gt;$A39,($A$4-$A39)*IF(RTD("tos.rtd",,"OPEN_INT","."&amp;V$2&amp;V$1&amp;"C"&amp;$A39)="N/A",0,RTD("tos.rtd",,"OPEN_INT","."&amp;V$2&amp;V$1&amp;"C"&amp;$A39)),0)+IF($A$4&lt;$A39,($A39-$A$4)*IF(RTD("tos.rtd",,"OPEN_INT","."&amp;V$2&amp;V$1&amp;"P"&amp;$A39)="N/A",0,RTD("tos.rtd",,"OPEN_INT","."&amp;V$2&amp;V$1&amp;"P"&amp;$A39)),0),IF(RTD("tos.rtd",,$A$2,"."&amp;V$2&amp;V$1&amp;"C"&amp;$A39)="N/A",0,RTD("tos.rtd",,$A$2,"."&amp;V$2&amp;V$1&amp;"C"&amp;$A39))-IF(RTD("tos.rtd",,$A$2,"."&amp;V$2&amp;V$1&amp;"P"&amp;$A39)="N/A",0,RTD("tos.rtd",,$A$2,"."&amp;V$2&amp;V$1&amp;"P"&amp;$A39)))))))))</f>
        <v>0</v>
      </c>
      <c r="W39" s="12">
        <f>IF($A$2="PREMIUM_OI",IFERROR((100*RTD("tos.rtd",,"OPEN_INT","."&amp;W$2&amp;W$1&amp;"C"&amp;$A39)*RTD("tos.rtd",,"LAST","."&amp;W$2&amp;W$1&amp;"C"&amp;$A39)-100*RTD("tos.rtd",,"OPEN_INT","."&amp;W$2&amp;W$1&amp;"P"&amp;$A39)*RTD("tos.rtd",,"LAST","."&amp;W$2&amp;W$1&amp;"P"&amp;$A39))/1000000,0),IF($A$2="PREMIUM",IFERROR((100*RTD("tos.rtd",,"VOLUME","."&amp;W$2&amp;W$1&amp;"C"&amp;$A39)*RTD("tos.rtd",,"LAST","."&amp;W$2&amp;W$1&amp;"C"&amp;$A39)-100*RTD("tos.rtd",,"VOLUME","."&amp;W$2&amp;W$1&amp;"P"&amp;$A39)*RTD("tos.rtd",,"LAST","."&amp;W$2&amp;W$1&amp;"P"&amp;$A39))/1000000,0),IF($A$2="DEX",IFERROR((100*RTD("tos.rtd",,"OPEN_INT","."&amp;W$2&amp;W$1&amp;"C"&amp;$A39)*RTD("tos.rtd",,"DELTA","."&amp;W$2&amp;W$1&amp;"C"&amp;$A39)-100*RTD("tos.rtd",,"OPEN_INT","."&amp;W$2&amp;W$1&amp;"P"&amp;$A39)*RTD("tos.rtd",,"DELTA","."&amp;W$2&amp;W$1&amp;"P"&amp;$A39))/1000,0),IF($A$2="VEX",IFERROR(($A$4*$A$4*RTD("tos.rtd",,"VOLUME","."&amp;W$2&amp;W$1&amp;"C"&amp;$A39)*RTD("tos.rtd",,"GAMMA","."&amp;W$2&amp;W$1&amp;"C"&amp;$A39)-$A$4*$A$4*RTD("tos.rtd",,"VOLUME","."&amp;W$2&amp;W$1&amp;"P"&amp;$A39)*RTD("tos.rtd",,"GAMMA","."&amp;W$2&amp;W$1&amp;"P"&amp;$A39))/1000000,0),IF($A$2="GEX",IFERROR(($A$4*$A$4*RTD("tos.rtd",,"OPEN_INT","."&amp;W$2&amp;W$1&amp;"C"&amp;$A39)*RTD("tos.rtd",,"GAMMA","."&amp;W$2&amp;W$1&amp;"C"&amp;$A39)-$A$4*$A$4*RTD("tos.rtd",,"OPEN_INT","."&amp;W$2&amp;W$1&amp;"P"&amp;$A39)*RTD("tos.rtd",,"GAMMA","."&amp;W$2&amp;W$1&amp;"P"&amp;$A39))/1000000,0),IF($A$2="SKEW",IFERROR(VALUE(IF(RTD("tos.rtd",,"IMPL_VOL","."&amp;W$2&amp;W$1&amp;"P"&amp;$A39)="N/A",0,RTD("tos.rtd",,"IMPL_VOL","."&amp;W$2&amp;W$1&amp;"P"&amp;$A39))),0)-IFERROR(VALUE(IF(RTD("tos.rtd",,"IMPL_VOL","."&amp;W$2&amp;W$1&amp;"C"&amp;$A39)="N/A",0,RTD("tos.rtd",,"IMPL_VOL","."&amp;W$2&amp;W$1&amp;"C"&amp;$A39))),0),IF($A$2="MAXPAIN",IF($A$4&gt;$A39,($A$4-$A39)*IF(RTD("tos.rtd",,"OPEN_INT","."&amp;W$2&amp;W$1&amp;"C"&amp;$A39)="N/A",0,RTD("tos.rtd",,"OPEN_INT","."&amp;W$2&amp;W$1&amp;"C"&amp;$A39)),0)+IF($A$4&lt;$A39,($A39-$A$4)*IF(RTD("tos.rtd",,"OPEN_INT","."&amp;W$2&amp;W$1&amp;"P"&amp;$A39)="N/A",0,RTD("tos.rtd",,"OPEN_INT","."&amp;W$2&amp;W$1&amp;"P"&amp;$A39)),0),IF(RTD("tos.rtd",,$A$2,"."&amp;W$2&amp;W$1&amp;"C"&amp;$A39)="N/A",0,RTD("tos.rtd",,$A$2,"."&amp;W$2&amp;W$1&amp;"C"&amp;$A39))-IF(RTD("tos.rtd",,$A$2,"."&amp;W$2&amp;W$1&amp;"P"&amp;$A39)="N/A",0,RTD("tos.rtd",,$A$2,"."&amp;W$2&amp;W$1&amp;"P"&amp;$A39)))))))))</f>
        <v>10123</v>
      </c>
      <c r="X39" s="12">
        <f t="shared" ca="1" si="7"/>
        <v>1784</v>
      </c>
      <c r="Y39" s="27">
        <f t="shared" ca="1" si="8"/>
        <v>1784</v>
      </c>
      <c r="AA39" s="35">
        <f>+IF($AJ$1,AJ39,TASTYOHLC!A39)</f>
        <v>0</v>
      </c>
      <c r="AB39" s="8">
        <f>+IF($AJ$1,AK39,TASTYOHLC!B39)</f>
        <v>0</v>
      </c>
      <c r="AC39" s="8">
        <f>+IF($AJ$1,AL39,TASTYOHLC!C39)</f>
        <v>0</v>
      </c>
      <c r="AD39" s="8">
        <f>+IF($AJ$1,AM39,TASTYOHLC!D39)</f>
        <v>0</v>
      </c>
      <c r="AE39" s="8">
        <f>+IF($AJ$1,AN39,TASTYOHLC!E39)</f>
        <v>0</v>
      </c>
      <c r="AF39" s="8"/>
      <c r="AJ39" s="37"/>
    </row>
    <row r="40" spans="1:36" s="19" customFormat="1" ht="11.1" customHeight="1" thickBot="1" x14ac:dyDescent="0.3">
      <c r="A40" s="23">
        <f t="shared" si="13"/>
        <v>2</v>
      </c>
      <c r="B40" s="14">
        <f>IF($A$2="PREMIUM_OI",IFERROR((100*RTD("tos.rtd",,"OPEN_INT","."&amp;B$2&amp;B$1&amp;"C"&amp;$A40)*RTD("tos.rtd",,"LAST","."&amp;B$2&amp;B$1&amp;"C"&amp;$A40)-100*RTD("tos.rtd",,"OPEN_INT","."&amp;B$2&amp;B$1&amp;"P"&amp;$A40)*RTD("tos.rtd",,"LAST","."&amp;B$2&amp;B$1&amp;"P"&amp;$A40))/1000000,0),IF($A$2="PREMIUM",IFERROR((100*RTD("tos.rtd",,"VOLUME","."&amp;B$2&amp;B$1&amp;"C"&amp;$A40)*RTD("tos.rtd",,"LAST","."&amp;B$2&amp;B$1&amp;"C"&amp;$A40)-100*RTD("tos.rtd",,"VOLUME","."&amp;B$2&amp;B$1&amp;"P"&amp;$A40)*RTD("tos.rtd",,"LAST","."&amp;B$2&amp;B$1&amp;"P"&amp;$A40))/1000000,0),IF($A$2="DEX",IFERROR((100*RTD("tos.rtd",,"OPEN_INT","."&amp;B$2&amp;B$1&amp;"C"&amp;$A40)*RTD("tos.rtd",,"DELTA","."&amp;B$2&amp;B$1&amp;"C"&amp;$A40)-100*RTD("tos.rtd",,"OPEN_INT","."&amp;B$2&amp;B$1&amp;"P"&amp;$A40)*RTD("tos.rtd",,"DELTA","."&amp;B$2&amp;B$1&amp;"P"&amp;$A40))/1000,0),IF($A$2="VEX",IFERROR(($A$4*$A$4*RTD("tos.rtd",,"VOLUME","."&amp;B$2&amp;B$1&amp;"C"&amp;$A40)*RTD("tos.rtd",,"GAMMA","."&amp;B$2&amp;B$1&amp;"C"&amp;$A40)-$A$4*$A$4*RTD("tos.rtd",,"VOLUME","."&amp;B$2&amp;B$1&amp;"P"&amp;$A40)*RTD("tos.rtd",,"GAMMA","."&amp;B$2&amp;B$1&amp;"P"&amp;$A40))/1000000,0),IF($A$2="GEX",IFERROR(($A$4*$A$4*RTD("tos.rtd",,"OPEN_INT","."&amp;B$2&amp;B$1&amp;"C"&amp;$A40)*RTD("tos.rtd",,"GAMMA","."&amp;B$2&amp;B$1&amp;"C"&amp;$A40)-$A$4*$A$4*RTD("tos.rtd",,"OPEN_INT","."&amp;B$2&amp;B$1&amp;"P"&amp;$A40)*RTD("tos.rtd",,"GAMMA","."&amp;B$2&amp;B$1&amp;"P"&amp;$A40))/1000000,0),IF($A$2="SKEW",IFERROR(VALUE(IF(RTD("tos.rtd",,"IMPL_VOL","."&amp;B$2&amp;B$1&amp;"P"&amp;$A40)="N/A",0,RTD("tos.rtd",,"IMPL_VOL","."&amp;B$2&amp;B$1&amp;"P"&amp;$A40))),0)-IFERROR(VALUE(IF(RTD("tos.rtd",,"IMPL_VOL","."&amp;B$2&amp;B$1&amp;"C"&amp;$A40)="N/A",0,RTD("tos.rtd",,"IMPL_VOL","."&amp;B$2&amp;B$1&amp;"C"&amp;$A40))),0),IF($A$2="MAXPAIN",IF($A$4&gt;$A40,($A$4-$A40)*IF(RTD("tos.rtd",,"OPEN_INT","."&amp;B$2&amp;B$1&amp;"C"&amp;$A40)="N/A",0,RTD("tos.rtd",,"OPEN_INT","."&amp;B$2&amp;B$1&amp;"C"&amp;$A40)),0)+IF($A$4&lt;$A40,($A40-$A$4)*IF(RTD("tos.rtd",,"OPEN_INT","."&amp;B$2&amp;B$1&amp;"P"&amp;$A40)="N/A",0,RTD("tos.rtd",,"OPEN_INT","."&amp;B$2&amp;B$1&amp;"P"&amp;$A40)),0),IF(RTD("tos.rtd",,$A$2,"."&amp;B$2&amp;B$1&amp;"C"&amp;$A40)="N/A",0,RTD("tos.rtd",,$A$2,"."&amp;B$2&amp;B$1&amp;"C"&amp;$A40))-IF(RTD("tos.rtd",,$A$2,"."&amp;B$2&amp;B$1&amp;"P"&amp;$A40)="N/A",0,RTD("tos.rtd",,$A$2,"."&amp;B$2&amp;B$1&amp;"P"&amp;$A40)))))))))</f>
        <v>0</v>
      </c>
      <c r="C40" s="12">
        <f>IF($A$2="PREMIUM_OI",IFERROR((100*RTD("tos.rtd",,"OPEN_INT","."&amp;C$2&amp;C$1&amp;"C"&amp;$A40)*RTD("tos.rtd",,"LAST","."&amp;C$2&amp;C$1&amp;"C"&amp;$A40)-100*RTD("tos.rtd",,"OPEN_INT","."&amp;C$2&amp;C$1&amp;"P"&amp;$A40)*RTD("tos.rtd",,"LAST","."&amp;C$2&amp;C$1&amp;"P"&amp;$A40))/1000000,0),IF($A$2="PREMIUM",IFERROR((100*RTD("tos.rtd",,"VOLUME","."&amp;C$2&amp;C$1&amp;"C"&amp;$A40)*RTD("tos.rtd",,"LAST","."&amp;C$2&amp;C$1&amp;"C"&amp;$A40)-100*RTD("tos.rtd",,"VOLUME","."&amp;C$2&amp;C$1&amp;"P"&amp;$A40)*RTD("tos.rtd",,"LAST","."&amp;C$2&amp;C$1&amp;"P"&amp;$A40))/1000000,0),IF($A$2="DEX",IFERROR((100*RTD("tos.rtd",,"OPEN_INT","."&amp;C$2&amp;C$1&amp;"C"&amp;$A40)*RTD("tos.rtd",,"DELTA","."&amp;C$2&amp;C$1&amp;"C"&amp;$A40)-100*RTD("tos.rtd",,"OPEN_INT","."&amp;C$2&amp;C$1&amp;"P"&amp;$A40)*RTD("tos.rtd",,"DELTA","."&amp;C$2&amp;C$1&amp;"P"&amp;$A40))/1000,0),IF($A$2="VEX",IFERROR(($A$4*$A$4*RTD("tos.rtd",,"VOLUME","."&amp;C$2&amp;C$1&amp;"C"&amp;$A40)*RTD("tos.rtd",,"GAMMA","."&amp;C$2&amp;C$1&amp;"C"&amp;$A40)-$A$4*$A$4*RTD("tos.rtd",,"VOLUME","."&amp;C$2&amp;C$1&amp;"P"&amp;$A40)*RTD("tos.rtd",,"GAMMA","."&amp;C$2&amp;C$1&amp;"P"&amp;$A40))/1000000,0),IF($A$2="GEX",IFERROR(($A$4*$A$4*RTD("tos.rtd",,"OPEN_INT","."&amp;C$2&amp;C$1&amp;"C"&amp;$A40)*RTD("tos.rtd",,"GAMMA","."&amp;C$2&amp;C$1&amp;"C"&amp;$A40)-$A$4*$A$4*RTD("tos.rtd",,"OPEN_INT","."&amp;C$2&amp;C$1&amp;"P"&amp;$A40)*RTD("tos.rtd",,"GAMMA","."&amp;C$2&amp;C$1&amp;"P"&amp;$A40))/1000000,0),IF($A$2="SKEW",IFERROR(VALUE(IF(RTD("tos.rtd",,"IMPL_VOL","."&amp;C$2&amp;C$1&amp;"P"&amp;$A40)="N/A",0,RTD("tos.rtd",,"IMPL_VOL","."&amp;C$2&amp;C$1&amp;"P"&amp;$A40))),0)-IFERROR(VALUE(IF(RTD("tos.rtd",,"IMPL_VOL","."&amp;C$2&amp;C$1&amp;"C"&amp;$A40)="N/A",0,RTD("tos.rtd",,"IMPL_VOL","."&amp;C$2&amp;C$1&amp;"C"&amp;$A40))),0),IF($A$2="MAXPAIN",IF($A$4&gt;$A40,($A$4-$A40)*IF(RTD("tos.rtd",,"OPEN_INT","."&amp;C$2&amp;C$1&amp;"C"&amp;$A40)="N/A",0,RTD("tos.rtd",,"OPEN_INT","."&amp;C$2&amp;C$1&amp;"C"&amp;$A40)),0)+IF($A$4&lt;$A40,($A40-$A$4)*IF(RTD("tos.rtd",,"OPEN_INT","."&amp;C$2&amp;C$1&amp;"P"&amp;$A40)="N/A",0,RTD("tos.rtd",,"OPEN_INT","."&amp;C$2&amp;C$1&amp;"P"&amp;$A40)),0),IF(RTD("tos.rtd",,$A$2,"."&amp;C$2&amp;C$1&amp;"C"&amp;$A40)="N/A",0,RTD("tos.rtd",,$A$2,"."&amp;C$2&amp;C$1&amp;"C"&amp;$A40))-IF(RTD("tos.rtd",,$A$2,"."&amp;C$2&amp;C$1&amp;"P"&amp;$A40)="N/A",0,RTD("tos.rtd",,$A$2,"."&amp;C$2&amp;C$1&amp;"P"&amp;$A40)))))))))</f>
        <v>-1302</v>
      </c>
      <c r="D40" s="12">
        <f>IF($A$2="PREMIUM_OI",IFERROR((100*RTD("tos.rtd",,"OPEN_INT","."&amp;D$2&amp;D$1&amp;"C"&amp;$A40)*RTD("tos.rtd",,"LAST","."&amp;D$2&amp;D$1&amp;"C"&amp;$A40)-100*RTD("tos.rtd",,"OPEN_INT","."&amp;D$2&amp;D$1&amp;"P"&amp;$A40)*RTD("tos.rtd",,"LAST","."&amp;D$2&amp;D$1&amp;"P"&amp;$A40))/1000000,0),IF($A$2="PREMIUM",IFERROR((100*RTD("tos.rtd",,"VOLUME","."&amp;D$2&amp;D$1&amp;"C"&amp;$A40)*RTD("tos.rtd",,"LAST","."&amp;D$2&amp;D$1&amp;"C"&amp;$A40)-100*RTD("tos.rtd",,"VOLUME","."&amp;D$2&amp;D$1&amp;"P"&amp;$A40)*RTD("tos.rtd",,"LAST","."&amp;D$2&amp;D$1&amp;"P"&amp;$A40))/1000000,0),IF($A$2="DEX",IFERROR((100*RTD("tos.rtd",,"OPEN_INT","."&amp;D$2&amp;D$1&amp;"C"&amp;$A40)*RTD("tos.rtd",,"DELTA","."&amp;D$2&amp;D$1&amp;"C"&amp;$A40)-100*RTD("tos.rtd",,"OPEN_INT","."&amp;D$2&amp;D$1&amp;"P"&amp;$A40)*RTD("tos.rtd",,"DELTA","."&amp;D$2&amp;D$1&amp;"P"&amp;$A40))/1000,0),IF($A$2="VEX",IFERROR(($A$4*$A$4*RTD("tos.rtd",,"VOLUME","."&amp;D$2&amp;D$1&amp;"C"&amp;$A40)*RTD("tos.rtd",,"GAMMA","."&amp;D$2&amp;D$1&amp;"C"&amp;$A40)-$A$4*$A$4*RTD("tos.rtd",,"VOLUME","."&amp;D$2&amp;D$1&amp;"P"&amp;$A40)*RTD("tos.rtd",,"GAMMA","."&amp;D$2&amp;D$1&amp;"P"&amp;$A40))/1000000,0),IF($A$2="GEX",IFERROR(($A$4*$A$4*RTD("tos.rtd",,"OPEN_INT","."&amp;D$2&amp;D$1&amp;"C"&amp;$A40)*RTD("tos.rtd",,"GAMMA","."&amp;D$2&amp;D$1&amp;"C"&amp;$A40)-$A$4*$A$4*RTD("tos.rtd",,"OPEN_INT","."&amp;D$2&amp;D$1&amp;"P"&amp;$A40)*RTD("tos.rtd",,"GAMMA","."&amp;D$2&amp;D$1&amp;"P"&amp;$A40))/1000000,0),IF($A$2="SKEW",IFERROR(VALUE(IF(RTD("tos.rtd",,"IMPL_VOL","."&amp;D$2&amp;D$1&amp;"P"&amp;$A40)="N/A",0,RTD("tos.rtd",,"IMPL_VOL","."&amp;D$2&amp;D$1&amp;"P"&amp;$A40))),0)-IFERROR(VALUE(IF(RTD("tos.rtd",,"IMPL_VOL","."&amp;D$2&amp;D$1&amp;"C"&amp;$A40)="N/A",0,RTD("tos.rtd",,"IMPL_VOL","."&amp;D$2&amp;D$1&amp;"C"&amp;$A40))),0),IF($A$2="MAXPAIN",IF($A$4&gt;$A40,($A$4-$A40)*IF(RTD("tos.rtd",,"OPEN_INT","."&amp;D$2&amp;D$1&amp;"C"&amp;$A40)="N/A",0,RTD("tos.rtd",,"OPEN_INT","."&amp;D$2&amp;D$1&amp;"C"&amp;$A40)),0)+IF($A$4&lt;$A40,($A40-$A$4)*IF(RTD("tos.rtd",,"OPEN_INT","."&amp;D$2&amp;D$1&amp;"P"&amp;$A40)="N/A",0,RTD("tos.rtd",,"OPEN_INT","."&amp;D$2&amp;D$1&amp;"P"&amp;$A40)),0),IF(RTD("tos.rtd",,$A$2,"."&amp;D$2&amp;D$1&amp;"C"&amp;$A40)="N/A",0,RTD("tos.rtd",,$A$2,"."&amp;D$2&amp;D$1&amp;"C"&amp;$A40))-IF(RTD("tos.rtd",,$A$2,"."&amp;D$2&amp;D$1&amp;"P"&amp;$A40)="N/A",0,RTD("tos.rtd",,$A$2,"."&amp;D$2&amp;D$1&amp;"P"&amp;$A40)))))))))</f>
        <v>0</v>
      </c>
      <c r="E40" s="12">
        <f>IF($A$2="PREMIUM_OI",IFERROR((100*RTD("tos.rtd",,"OPEN_INT","."&amp;E$2&amp;E$1&amp;"C"&amp;$A40)*RTD("tos.rtd",,"LAST","."&amp;E$2&amp;E$1&amp;"C"&amp;$A40)-100*RTD("tos.rtd",,"OPEN_INT","."&amp;E$2&amp;E$1&amp;"P"&amp;$A40)*RTD("tos.rtd",,"LAST","."&amp;E$2&amp;E$1&amp;"P"&amp;$A40))/1000000,0),IF($A$2="PREMIUM",IFERROR((100*RTD("tos.rtd",,"VOLUME","."&amp;E$2&amp;E$1&amp;"C"&amp;$A40)*RTD("tos.rtd",,"LAST","."&amp;E$2&amp;E$1&amp;"C"&amp;$A40)-100*RTD("tos.rtd",,"VOLUME","."&amp;E$2&amp;E$1&amp;"P"&amp;$A40)*RTD("tos.rtd",,"LAST","."&amp;E$2&amp;E$1&amp;"P"&amp;$A40))/1000000,0),IF($A$2="DEX",IFERROR((100*RTD("tos.rtd",,"OPEN_INT","."&amp;E$2&amp;E$1&amp;"C"&amp;$A40)*RTD("tos.rtd",,"DELTA","."&amp;E$2&amp;E$1&amp;"C"&amp;$A40)-100*RTD("tos.rtd",,"OPEN_INT","."&amp;E$2&amp;E$1&amp;"P"&amp;$A40)*RTD("tos.rtd",,"DELTA","."&amp;E$2&amp;E$1&amp;"P"&amp;$A40))/1000,0),IF($A$2="VEX",IFERROR(($A$4*$A$4*RTD("tos.rtd",,"VOLUME","."&amp;E$2&amp;E$1&amp;"C"&amp;$A40)*RTD("tos.rtd",,"GAMMA","."&amp;E$2&amp;E$1&amp;"C"&amp;$A40)-$A$4*$A$4*RTD("tos.rtd",,"VOLUME","."&amp;E$2&amp;E$1&amp;"P"&amp;$A40)*RTD("tos.rtd",,"GAMMA","."&amp;E$2&amp;E$1&amp;"P"&amp;$A40))/1000000,0),IF($A$2="GEX",IFERROR(($A$4*$A$4*RTD("tos.rtd",,"OPEN_INT","."&amp;E$2&amp;E$1&amp;"C"&amp;$A40)*RTD("tos.rtd",,"GAMMA","."&amp;E$2&amp;E$1&amp;"C"&amp;$A40)-$A$4*$A$4*RTD("tos.rtd",,"OPEN_INT","."&amp;E$2&amp;E$1&amp;"P"&amp;$A40)*RTD("tos.rtd",,"GAMMA","."&amp;E$2&amp;E$1&amp;"P"&amp;$A40))/1000000,0),IF($A$2="SKEW",IFERROR(VALUE(IF(RTD("tos.rtd",,"IMPL_VOL","."&amp;E$2&amp;E$1&amp;"P"&amp;$A40)="N/A",0,RTD("tos.rtd",,"IMPL_VOL","."&amp;E$2&amp;E$1&amp;"P"&amp;$A40))),0)-IFERROR(VALUE(IF(RTD("tos.rtd",,"IMPL_VOL","."&amp;E$2&amp;E$1&amp;"C"&amp;$A40)="N/A",0,RTD("tos.rtd",,"IMPL_VOL","."&amp;E$2&amp;E$1&amp;"C"&amp;$A40))),0),IF($A$2="MAXPAIN",IF($A$4&gt;$A40,($A$4-$A40)*IF(RTD("tos.rtd",,"OPEN_INT","."&amp;E$2&amp;E$1&amp;"C"&amp;$A40)="N/A",0,RTD("tos.rtd",,"OPEN_INT","."&amp;E$2&amp;E$1&amp;"C"&amp;$A40)),0)+IF($A$4&lt;$A40,($A40-$A$4)*IF(RTD("tos.rtd",,"OPEN_INT","."&amp;E$2&amp;E$1&amp;"P"&amp;$A40)="N/A",0,RTD("tos.rtd",,"OPEN_INT","."&amp;E$2&amp;E$1&amp;"P"&amp;$A40)),0),IF(RTD("tos.rtd",,$A$2,"."&amp;E$2&amp;E$1&amp;"C"&amp;$A40)="N/A",0,RTD("tos.rtd",,$A$2,"."&amp;E$2&amp;E$1&amp;"C"&amp;$A40))-IF(RTD("tos.rtd",,$A$2,"."&amp;E$2&amp;E$1&amp;"P"&amp;$A40)="N/A",0,RTD("tos.rtd",,$A$2,"."&amp;E$2&amp;E$1&amp;"P"&amp;$A40)))))))))</f>
        <v>0</v>
      </c>
      <c r="F40" s="12">
        <f>IF($A$2="PREMIUM_OI",IFERROR((100*RTD("tos.rtd",,"OPEN_INT","."&amp;F$2&amp;F$1&amp;"C"&amp;$A40)*RTD("tos.rtd",,"LAST","."&amp;F$2&amp;F$1&amp;"C"&amp;$A40)-100*RTD("tos.rtd",,"OPEN_INT","."&amp;F$2&amp;F$1&amp;"P"&amp;$A40)*RTD("tos.rtd",,"LAST","."&amp;F$2&amp;F$1&amp;"P"&amp;$A40))/1000000,0),IF($A$2="PREMIUM",IFERROR((100*RTD("tos.rtd",,"VOLUME","."&amp;F$2&amp;F$1&amp;"C"&amp;$A40)*RTD("tos.rtd",,"LAST","."&amp;F$2&amp;F$1&amp;"C"&amp;$A40)-100*RTD("tos.rtd",,"VOLUME","."&amp;F$2&amp;F$1&amp;"P"&amp;$A40)*RTD("tos.rtd",,"LAST","."&amp;F$2&amp;F$1&amp;"P"&amp;$A40))/1000000,0),IF($A$2="DEX",IFERROR((100*RTD("tos.rtd",,"OPEN_INT","."&amp;F$2&amp;F$1&amp;"C"&amp;$A40)*RTD("tos.rtd",,"DELTA","."&amp;F$2&amp;F$1&amp;"C"&amp;$A40)-100*RTD("tos.rtd",,"OPEN_INT","."&amp;F$2&amp;F$1&amp;"P"&amp;$A40)*RTD("tos.rtd",,"DELTA","."&amp;F$2&amp;F$1&amp;"P"&amp;$A40))/1000,0),IF($A$2="VEX",IFERROR(($A$4*$A$4*RTD("tos.rtd",,"VOLUME","."&amp;F$2&amp;F$1&amp;"C"&amp;$A40)*RTD("tos.rtd",,"GAMMA","."&amp;F$2&amp;F$1&amp;"C"&amp;$A40)-$A$4*$A$4*RTD("tos.rtd",,"VOLUME","."&amp;F$2&amp;F$1&amp;"P"&amp;$A40)*RTD("tos.rtd",,"GAMMA","."&amp;F$2&amp;F$1&amp;"P"&amp;$A40))/1000000,0),IF($A$2="GEX",IFERROR(($A$4*$A$4*RTD("tos.rtd",,"OPEN_INT","."&amp;F$2&amp;F$1&amp;"C"&amp;$A40)*RTD("tos.rtd",,"GAMMA","."&amp;F$2&amp;F$1&amp;"C"&amp;$A40)-$A$4*$A$4*RTD("tos.rtd",,"OPEN_INT","."&amp;F$2&amp;F$1&amp;"P"&amp;$A40)*RTD("tos.rtd",,"GAMMA","."&amp;F$2&amp;F$1&amp;"P"&amp;$A40))/1000000,0),IF($A$2="SKEW",IFERROR(VALUE(IF(RTD("tos.rtd",,"IMPL_VOL","."&amp;F$2&amp;F$1&amp;"P"&amp;$A40)="N/A",0,RTD("tos.rtd",,"IMPL_VOL","."&amp;F$2&amp;F$1&amp;"P"&amp;$A40))),0)-IFERROR(VALUE(IF(RTD("tos.rtd",,"IMPL_VOL","."&amp;F$2&amp;F$1&amp;"C"&amp;$A40)="N/A",0,RTD("tos.rtd",,"IMPL_VOL","."&amp;F$2&amp;F$1&amp;"C"&amp;$A40))),0),IF($A$2="MAXPAIN",IF($A$4&gt;$A40,($A$4-$A40)*IF(RTD("tos.rtd",,"OPEN_INT","."&amp;F$2&amp;F$1&amp;"C"&amp;$A40)="N/A",0,RTD("tos.rtd",,"OPEN_INT","."&amp;F$2&amp;F$1&amp;"C"&amp;$A40)),0)+IF($A$4&lt;$A40,($A40-$A$4)*IF(RTD("tos.rtd",,"OPEN_INT","."&amp;F$2&amp;F$1&amp;"P"&amp;$A40)="N/A",0,RTD("tos.rtd",,"OPEN_INT","."&amp;F$2&amp;F$1&amp;"P"&amp;$A40)),0),IF(RTD("tos.rtd",,$A$2,"."&amp;F$2&amp;F$1&amp;"C"&amp;$A40)="N/A",0,RTD("tos.rtd",,$A$2,"."&amp;F$2&amp;F$1&amp;"C"&amp;$A40))-IF(RTD("tos.rtd",,$A$2,"."&amp;F$2&amp;F$1&amp;"P"&amp;$A40)="N/A",0,RTD("tos.rtd",,$A$2,"."&amp;F$2&amp;F$1&amp;"P"&amp;$A40)))))))))</f>
        <v>0</v>
      </c>
      <c r="G40" s="14">
        <f>IF($A$2="PREMIUM_OI",IFERROR((100*RTD("tos.rtd",,"OPEN_INT","."&amp;G$2&amp;G$1&amp;"C"&amp;$A40)*RTD("tos.rtd",,"LAST","."&amp;G$2&amp;G$1&amp;"C"&amp;$A40)-100*RTD("tos.rtd",,"OPEN_INT","."&amp;G$2&amp;G$1&amp;"P"&amp;$A40)*RTD("tos.rtd",,"LAST","."&amp;G$2&amp;G$1&amp;"P"&amp;$A40))/1000000,0),IF($A$2="PREMIUM",IFERROR((100*RTD("tos.rtd",,"VOLUME","."&amp;G$2&amp;G$1&amp;"C"&amp;$A40)*RTD("tos.rtd",,"LAST","."&amp;G$2&amp;G$1&amp;"C"&amp;$A40)-100*RTD("tos.rtd",,"VOLUME","."&amp;G$2&amp;G$1&amp;"P"&amp;$A40)*RTD("tos.rtd",,"LAST","."&amp;G$2&amp;G$1&amp;"P"&amp;$A40))/1000000,0),IF($A$2="DEX",IFERROR((100*RTD("tos.rtd",,"OPEN_INT","."&amp;G$2&amp;G$1&amp;"C"&amp;$A40)*RTD("tos.rtd",,"DELTA","."&amp;G$2&amp;G$1&amp;"C"&amp;$A40)-100*RTD("tos.rtd",,"OPEN_INT","."&amp;G$2&amp;G$1&amp;"P"&amp;$A40)*RTD("tos.rtd",,"DELTA","."&amp;G$2&amp;G$1&amp;"P"&amp;$A40))/1000,0),IF($A$2="VEX",IFERROR(($A$4*$A$4*RTD("tos.rtd",,"VOLUME","."&amp;G$2&amp;G$1&amp;"C"&amp;$A40)*RTD("tos.rtd",,"GAMMA","."&amp;G$2&amp;G$1&amp;"C"&amp;$A40)-$A$4*$A$4*RTD("tos.rtd",,"VOLUME","."&amp;G$2&amp;G$1&amp;"P"&amp;$A40)*RTD("tos.rtd",,"GAMMA","."&amp;G$2&amp;G$1&amp;"P"&amp;$A40))/1000000,0),IF($A$2="GEX",IFERROR(($A$4*$A$4*RTD("tos.rtd",,"OPEN_INT","."&amp;G$2&amp;G$1&amp;"C"&amp;$A40)*RTD("tos.rtd",,"GAMMA","."&amp;G$2&amp;G$1&amp;"C"&amp;$A40)-$A$4*$A$4*RTD("tos.rtd",,"OPEN_INT","."&amp;G$2&amp;G$1&amp;"P"&amp;$A40)*RTD("tos.rtd",,"GAMMA","."&amp;G$2&amp;G$1&amp;"P"&amp;$A40))/1000000,0),IF($A$2="SKEW",IFERROR(VALUE(IF(RTD("tos.rtd",,"IMPL_VOL","."&amp;G$2&amp;G$1&amp;"P"&amp;$A40)="N/A",0,RTD("tos.rtd",,"IMPL_VOL","."&amp;G$2&amp;G$1&amp;"P"&amp;$A40))),0)-IFERROR(VALUE(IF(RTD("tos.rtd",,"IMPL_VOL","."&amp;G$2&amp;G$1&amp;"C"&amp;$A40)="N/A",0,RTD("tos.rtd",,"IMPL_VOL","."&amp;G$2&amp;G$1&amp;"C"&amp;$A40))),0),IF($A$2="MAXPAIN",IF($A$4&gt;$A40,($A$4-$A40)*IF(RTD("tos.rtd",,"OPEN_INT","."&amp;G$2&amp;G$1&amp;"C"&amp;$A40)="N/A",0,RTD("tos.rtd",,"OPEN_INT","."&amp;G$2&amp;G$1&amp;"C"&amp;$A40)),0)+IF($A$4&lt;$A40,($A40-$A$4)*IF(RTD("tos.rtd",,"OPEN_INT","."&amp;G$2&amp;G$1&amp;"P"&amp;$A40)="N/A",0,RTD("tos.rtd",,"OPEN_INT","."&amp;G$2&amp;G$1&amp;"P"&amp;$A40)),0),IF(RTD("tos.rtd",,$A$2,"."&amp;G$2&amp;G$1&amp;"C"&amp;$A40)="N/A",0,RTD("tos.rtd",,$A$2,"."&amp;G$2&amp;G$1&amp;"C"&amp;$A40))-IF(RTD("tos.rtd",,$A$2,"."&amp;G$2&amp;G$1&amp;"P"&amp;$A40)="N/A",0,RTD("tos.rtd",,$A$2,"."&amp;G$2&amp;G$1&amp;"P"&amp;$A40)))))))))</f>
        <v>0</v>
      </c>
      <c r="H40" s="12">
        <f>IF($A$2="PREMIUM_OI",IFERROR((100*RTD("tos.rtd",,"OPEN_INT","."&amp;H$2&amp;H$1&amp;"C"&amp;$A40)*RTD("tos.rtd",,"LAST","."&amp;H$2&amp;H$1&amp;"C"&amp;$A40)-100*RTD("tos.rtd",,"OPEN_INT","."&amp;H$2&amp;H$1&amp;"P"&amp;$A40)*RTD("tos.rtd",,"LAST","."&amp;H$2&amp;H$1&amp;"P"&amp;$A40))/1000000,0),IF($A$2="PREMIUM",IFERROR((100*RTD("tos.rtd",,"VOLUME","."&amp;H$2&amp;H$1&amp;"C"&amp;$A40)*RTD("tos.rtd",,"LAST","."&amp;H$2&amp;H$1&amp;"C"&amp;$A40)-100*RTD("tos.rtd",,"VOLUME","."&amp;H$2&amp;H$1&amp;"P"&amp;$A40)*RTD("tos.rtd",,"LAST","."&amp;H$2&amp;H$1&amp;"P"&amp;$A40))/1000000,0),IF($A$2="DEX",IFERROR((100*RTD("tos.rtd",,"OPEN_INT","."&amp;H$2&amp;H$1&amp;"C"&amp;$A40)*RTD("tos.rtd",,"DELTA","."&amp;H$2&amp;H$1&amp;"C"&amp;$A40)-100*RTD("tos.rtd",,"OPEN_INT","."&amp;H$2&amp;H$1&amp;"P"&amp;$A40)*RTD("tos.rtd",,"DELTA","."&amp;H$2&amp;H$1&amp;"P"&amp;$A40))/1000,0),IF($A$2="VEX",IFERROR(($A$4*$A$4*RTD("tos.rtd",,"VOLUME","."&amp;H$2&amp;H$1&amp;"C"&amp;$A40)*RTD("tos.rtd",,"GAMMA","."&amp;H$2&amp;H$1&amp;"C"&amp;$A40)-$A$4*$A$4*RTD("tos.rtd",,"VOLUME","."&amp;H$2&amp;H$1&amp;"P"&amp;$A40)*RTD("tos.rtd",,"GAMMA","."&amp;H$2&amp;H$1&amp;"P"&amp;$A40))/1000000,0),IF($A$2="GEX",IFERROR(($A$4*$A$4*RTD("tos.rtd",,"OPEN_INT","."&amp;H$2&amp;H$1&amp;"C"&amp;$A40)*RTD("tos.rtd",,"GAMMA","."&amp;H$2&amp;H$1&amp;"C"&amp;$A40)-$A$4*$A$4*RTD("tos.rtd",,"OPEN_INT","."&amp;H$2&amp;H$1&amp;"P"&amp;$A40)*RTD("tos.rtd",,"GAMMA","."&amp;H$2&amp;H$1&amp;"P"&amp;$A40))/1000000,0),IF($A$2="SKEW",IFERROR(VALUE(IF(RTD("tos.rtd",,"IMPL_VOL","."&amp;H$2&amp;H$1&amp;"P"&amp;$A40)="N/A",0,RTD("tos.rtd",,"IMPL_VOL","."&amp;H$2&amp;H$1&amp;"P"&amp;$A40))),0)-IFERROR(VALUE(IF(RTD("tos.rtd",,"IMPL_VOL","."&amp;H$2&amp;H$1&amp;"C"&amp;$A40)="N/A",0,RTD("tos.rtd",,"IMPL_VOL","."&amp;H$2&amp;H$1&amp;"C"&amp;$A40))),0),IF($A$2="MAXPAIN",IF($A$4&gt;$A40,($A$4-$A40)*IF(RTD("tos.rtd",,"OPEN_INT","."&amp;H$2&amp;H$1&amp;"C"&amp;$A40)="N/A",0,RTD("tos.rtd",,"OPEN_INT","."&amp;H$2&amp;H$1&amp;"C"&amp;$A40)),0)+IF($A$4&lt;$A40,($A40-$A$4)*IF(RTD("tos.rtd",,"OPEN_INT","."&amp;H$2&amp;H$1&amp;"P"&amp;$A40)="N/A",0,RTD("tos.rtd",,"OPEN_INT","."&amp;H$2&amp;H$1&amp;"P"&amp;$A40)),0),IF(RTD("tos.rtd",,$A$2,"."&amp;H$2&amp;H$1&amp;"C"&amp;$A40)="N/A",0,RTD("tos.rtd",,$A$2,"."&amp;H$2&amp;H$1&amp;"C"&amp;$A40))-IF(RTD("tos.rtd",,$A$2,"."&amp;H$2&amp;H$1&amp;"P"&amp;$A40)="N/A",0,RTD("tos.rtd",,$A$2,"."&amp;H$2&amp;H$1&amp;"P"&amp;$A40)))))))))</f>
        <v>-17045</v>
      </c>
      <c r="I40" s="12">
        <f>IF($A$2="PREMIUM_OI",IFERROR((100*RTD("tos.rtd",,"OPEN_INT","."&amp;I$2&amp;I$1&amp;"C"&amp;$A40)*RTD("tos.rtd",,"LAST","."&amp;I$2&amp;I$1&amp;"C"&amp;$A40)-100*RTD("tos.rtd",,"OPEN_INT","."&amp;I$2&amp;I$1&amp;"P"&amp;$A40)*RTD("tos.rtd",,"LAST","."&amp;I$2&amp;I$1&amp;"P"&amp;$A40))/1000000,0),IF($A$2="PREMIUM",IFERROR((100*RTD("tos.rtd",,"VOLUME","."&amp;I$2&amp;I$1&amp;"C"&amp;$A40)*RTD("tos.rtd",,"LAST","."&amp;I$2&amp;I$1&amp;"C"&amp;$A40)-100*RTD("tos.rtd",,"VOLUME","."&amp;I$2&amp;I$1&amp;"P"&amp;$A40)*RTD("tos.rtd",,"LAST","."&amp;I$2&amp;I$1&amp;"P"&amp;$A40))/1000000,0),IF($A$2="DEX",IFERROR((100*RTD("tos.rtd",,"OPEN_INT","."&amp;I$2&amp;I$1&amp;"C"&amp;$A40)*RTD("tos.rtd",,"DELTA","."&amp;I$2&amp;I$1&amp;"C"&amp;$A40)-100*RTD("tos.rtd",,"OPEN_INT","."&amp;I$2&amp;I$1&amp;"P"&amp;$A40)*RTD("tos.rtd",,"DELTA","."&amp;I$2&amp;I$1&amp;"P"&amp;$A40))/1000,0),IF($A$2="VEX",IFERROR(($A$4*$A$4*RTD("tos.rtd",,"VOLUME","."&amp;I$2&amp;I$1&amp;"C"&amp;$A40)*RTD("tos.rtd",,"GAMMA","."&amp;I$2&amp;I$1&amp;"C"&amp;$A40)-$A$4*$A$4*RTD("tos.rtd",,"VOLUME","."&amp;I$2&amp;I$1&amp;"P"&amp;$A40)*RTD("tos.rtd",,"GAMMA","."&amp;I$2&amp;I$1&amp;"P"&amp;$A40))/1000000,0),IF($A$2="GEX",IFERROR(($A$4*$A$4*RTD("tos.rtd",,"OPEN_INT","."&amp;I$2&amp;I$1&amp;"C"&amp;$A40)*RTD("tos.rtd",,"GAMMA","."&amp;I$2&amp;I$1&amp;"C"&amp;$A40)-$A$4*$A$4*RTD("tos.rtd",,"OPEN_INT","."&amp;I$2&amp;I$1&amp;"P"&amp;$A40)*RTD("tos.rtd",,"GAMMA","."&amp;I$2&amp;I$1&amp;"P"&amp;$A40))/1000000,0),IF($A$2="SKEW",IFERROR(VALUE(IF(RTD("tos.rtd",,"IMPL_VOL","."&amp;I$2&amp;I$1&amp;"P"&amp;$A40)="N/A",0,RTD("tos.rtd",,"IMPL_VOL","."&amp;I$2&amp;I$1&amp;"P"&amp;$A40))),0)-IFERROR(VALUE(IF(RTD("tos.rtd",,"IMPL_VOL","."&amp;I$2&amp;I$1&amp;"C"&amp;$A40)="N/A",0,RTD("tos.rtd",,"IMPL_VOL","."&amp;I$2&amp;I$1&amp;"C"&amp;$A40))),0),IF($A$2="MAXPAIN",IF($A$4&gt;$A40,($A$4-$A40)*IF(RTD("tos.rtd",,"OPEN_INT","."&amp;I$2&amp;I$1&amp;"C"&amp;$A40)="N/A",0,RTD("tos.rtd",,"OPEN_INT","."&amp;I$2&amp;I$1&amp;"C"&amp;$A40)),0)+IF($A$4&lt;$A40,($A40-$A$4)*IF(RTD("tos.rtd",,"OPEN_INT","."&amp;I$2&amp;I$1&amp;"P"&amp;$A40)="N/A",0,RTD("tos.rtd",,"OPEN_INT","."&amp;I$2&amp;I$1&amp;"P"&amp;$A40)),0),IF(RTD("tos.rtd",,$A$2,"."&amp;I$2&amp;I$1&amp;"C"&amp;$A40)="N/A",0,RTD("tos.rtd",,$A$2,"."&amp;I$2&amp;I$1&amp;"C"&amp;$A40))-IF(RTD("tos.rtd",,$A$2,"."&amp;I$2&amp;I$1&amp;"P"&amp;$A40)="N/A",0,RTD("tos.rtd",,$A$2,"."&amp;I$2&amp;I$1&amp;"P"&amp;$A40)))))))))</f>
        <v>0</v>
      </c>
      <c r="J40" s="12">
        <f>IF($A$2="PREMIUM_OI",IFERROR((100*RTD("tos.rtd",,"OPEN_INT","."&amp;J$2&amp;J$1&amp;"C"&amp;$A40)*RTD("tos.rtd",,"LAST","."&amp;J$2&amp;J$1&amp;"C"&amp;$A40)-100*RTD("tos.rtd",,"OPEN_INT","."&amp;J$2&amp;J$1&amp;"P"&amp;$A40)*RTD("tos.rtd",,"LAST","."&amp;J$2&amp;J$1&amp;"P"&amp;$A40))/1000000,0),IF($A$2="PREMIUM",IFERROR((100*RTD("tos.rtd",,"VOLUME","."&amp;J$2&amp;J$1&amp;"C"&amp;$A40)*RTD("tos.rtd",,"LAST","."&amp;J$2&amp;J$1&amp;"C"&amp;$A40)-100*RTD("tos.rtd",,"VOLUME","."&amp;J$2&amp;J$1&amp;"P"&amp;$A40)*RTD("tos.rtd",,"LAST","."&amp;J$2&amp;J$1&amp;"P"&amp;$A40))/1000000,0),IF($A$2="DEX",IFERROR((100*RTD("tos.rtd",,"OPEN_INT","."&amp;J$2&amp;J$1&amp;"C"&amp;$A40)*RTD("tos.rtd",,"DELTA","."&amp;J$2&amp;J$1&amp;"C"&amp;$A40)-100*RTD("tos.rtd",,"OPEN_INT","."&amp;J$2&amp;J$1&amp;"P"&amp;$A40)*RTD("tos.rtd",,"DELTA","."&amp;J$2&amp;J$1&amp;"P"&amp;$A40))/1000,0),IF($A$2="VEX",IFERROR(($A$4*$A$4*RTD("tos.rtd",,"VOLUME","."&amp;J$2&amp;J$1&amp;"C"&amp;$A40)*RTD("tos.rtd",,"GAMMA","."&amp;J$2&amp;J$1&amp;"C"&amp;$A40)-$A$4*$A$4*RTD("tos.rtd",,"VOLUME","."&amp;J$2&amp;J$1&amp;"P"&amp;$A40)*RTD("tos.rtd",,"GAMMA","."&amp;J$2&amp;J$1&amp;"P"&amp;$A40))/1000000,0),IF($A$2="GEX",IFERROR(($A$4*$A$4*RTD("tos.rtd",,"OPEN_INT","."&amp;J$2&amp;J$1&amp;"C"&amp;$A40)*RTD("tos.rtd",,"GAMMA","."&amp;J$2&amp;J$1&amp;"C"&amp;$A40)-$A$4*$A$4*RTD("tos.rtd",,"OPEN_INT","."&amp;J$2&amp;J$1&amp;"P"&amp;$A40)*RTD("tos.rtd",,"GAMMA","."&amp;J$2&amp;J$1&amp;"P"&amp;$A40))/1000000,0),IF($A$2="SKEW",IFERROR(VALUE(IF(RTD("tos.rtd",,"IMPL_VOL","."&amp;J$2&amp;J$1&amp;"P"&amp;$A40)="N/A",0,RTD("tos.rtd",,"IMPL_VOL","."&amp;J$2&amp;J$1&amp;"P"&amp;$A40))),0)-IFERROR(VALUE(IF(RTD("tos.rtd",,"IMPL_VOL","."&amp;J$2&amp;J$1&amp;"C"&amp;$A40)="N/A",0,RTD("tos.rtd",,"IMPL_VOL","."&amp;J$2&amp;J$1&amp;"C"&amp;$A40))),0),IF($A$2="MAXPAIN",IF($A$4&gt;$A40,($A$4-$A40)*IF(RTD("tos.rtd",,"OPEN_INT","."&amp;J$2&amp;J$1&amp;"C"&amp;$A40)="N/A",0,RTD("tos.rtd",,"OPEN_INT","."&amp;J$2&amp;J$1&amp;"C"&amp;$A40)),0)+IF($A$4&lt;$A40,($A40-$A$4)*IF(RTD("tos.rtd",,"OPEN_INT","."&amp;J$2&amp;J$1&amp;"P"&amp;$A40)="N/A",0,RTD("tos.rtd",,"OPEN_INT","."&amp;J$2&amp;J$1&amp;"P"&amp;$A40)),0),IF(RTD("tos.rtd",,$A$2,"."&amp;J$2&amp;J$1&amp;"C"&amp;$A40)="N/A",0,RTD("tos.rtd",,$A$2,"."&amp;J$2&amp;J$1&amp;"C"&amp;$A40))-IF(RTD("tos.rtd",,$A$2,"."&amp;J$2&amp;J$1&amp;"P"&amp;$A40)="N/A",0,RTD("tos.rtd",,$A$2,"."&amp;J$2&amp;J$1&amp;"P"&amp;$A40)))))))))</f>
        <v>0</v>
      </c>
      <c r="K40" s="12">
        <f>IF($A$2="PREMIUM_OI",IFERROR((100*RTD("tos.rtd",,"OPEN_INT","."&amp;K$2&amp;K$1&amp;"C"&amp;$A40)*RTD("tos.rtd",,"LAST","."&amp;K$2&amp;K$1&amp;"C"&amp;$A40)-100*RTD("tos.rtd",,"OPEN_INT","."&amp;K$2&amp;K$1&amp;"P"&amp;$A40)*RTD("tos.rtd",,"LAST","."&amp;K$2&amp;K$1&amp;"P"&amp;$A40))/1000000,0),IF($A$2="PREMIUM",IFERROR((100*RTD("tos.rtd",,"VOLUME","."&amp;K$2&amp;K$1&amp;"C"&amp;$A40)*RTD("tos.rtd",,"LAST","."&amp;K$2&amp;K$1&amp;"C"&amp;$A40)-100*RTD("tos.rtd",,"VOLUME","."&amp;K$2&amp;K$1&amp;"P"&amp;$A40)*RTD("tos.rtd",,"LAST","."&amp;K$2&amp;K$1&amp;"P"&amp;$A40))/1000000,0),IF($A$2="DEX",IFERROR((100*RTD("tos.rtd",,"OPEN_INT","."&amp;K$2&amp;K$1&amp;"C"&amp;$A40)*RTD("tos.rtd",,"DELTA","."&amp;K$2&amp;K$1&amp;"C"&amp;$A40)-100*RTD("tos.rtd",,"OPEN_INT","."&amp;K$2&amp;K$1&amp;"P"&amp;$A40)*RTD("tos.rtd",,"DELTA","."&amp;K$2&amp;K$1&amp;"P"&amp;$A40))/1000,0),IF($A$2="VEX",IFERROR(($A$4*$A$4*RTD("tos.rtd",,"VOLUME","."&amp;K$2&amp;K$1&amp;"C"&amp;$A40)*RTD("tos.rtd",,"GAMMA","."&amp;K$2&amp;K$1&amp;"C"&amp;$A40)-$A$4*$A$4*RTD("tos.rtd",,"VOLUME","."&amp;K$2&amp;K$1&amp;"P"&amp;$A40)*RTD("tos.rtd",,"GAMMA","."&amp;K$2&amp;K$1&amp;"P"&amp;$A40))/1000000,0),IF($A$2="GEX",IFERROR(($A$4*$A$4*RTD("tos.rtd",,"OPEN_INT","."&amp;K$2&amp;K$1&amp;"C"&amp;$A40)*RTD("tos.rtd",,"GAMMA","."&amp;K$2&amp;K$1&amp;"C"&amp;$A40)-$A$4*$A$4*RTD("tos.rtd",,"OPEN_INT","."&amp;K$2&amp;K$1&amp;"P"&amp;$A40)*RTD("tos.rtd",,"GAMMA","."&amp;K$2&amp;K$1&amp;"P"&amp;$A40))/1000000,0),IF($A$2="SKEW",IFERROR(VALUE(IF(RTD("tos.rtd",,"IMPL_VOL","."&amp;K$2&amp;K$1&amp;"P"&amp;$A40)="N/A",0,RTD("tos.rtd",,"IMPL_VOL","."&amp;K$2&amp;K$1&amp;"P"&amp;$A40))),0)-IFERROR(VALUE(IF(RTD("tos.rtd",,"IMPL_VOL","."&amp;K$2&amp;K$1&amp;"C"&amp;$A40)="N/A",0,RTD("tos.rtd",,"IMPL_VOL","."&amp;K$2&amp;K$1&amp;"C"&amp;$A40))),0),IF($A$2="MAXPAIN",IF($A$4&gt;$A40,($A$4-$A40)*IF(RTD("tos.rtd",,"OPEN_INT","."&amp;K$2&amp;K$1&amp;"C"&amp;$A40)="N/A",0,RTD("tos.rtd",,"OPEN_INT","."&amp;K$2&amp;K$1&amp;"C"&amp;$A40)),0)+IF($A$4&lt;$A40,($A40-$A$4)*IF(RTD("tos.rtd",,"OPEN_INT","."&amp;K$2&amp;K$1&amp;"P"&amp;$A40)="N/A",0,RTD("tos.rtd",,"OPEN_INT","."&amp;K$2&amp;K$1&amp;"P"&amp;$A40)),0),IF(RTD("tos.rtd",,$A$2,"."&amp;K$2&amp;K$1&amp;"C"&amp;$A40)="N/A",0,RTD("tos.rtd",,$A$2,"."&amp;K$2&amp;K$1&amp;"C"&amp;$A40))-IF(RTD("tos.rtd",,$A$2,"."&amp;K$2&amp;K$1&amp;"P"&amp;$A40)="N/A",0,RTD("tos.rtd",,$A$2,"."&amp;K$2&amp;K$1&amp;"P"&amp;$A40)))))))))</f>
        <v>0</v>
      </c>
      <c r="L40" s="12">
        <f>IF($A$2="PREMIUM_OI",IFERROR((100*RTD("tos.rtd",,"OPEN_INT","."&amp;L$2&amp;L$1&amp;"C"&amp;$A40)*RTD("tos.rtd",,"LAST","."&amp;L$2&amp;L$1&amp;"C"&amp;$A40)-100*RTD("tos.rtd",,"OPEN_INT","."&amp;L$2&amp;L$1&amp;"P"&amp;$A40)*RTD("tos.rtd",,"LAST","."&amp;L$2&amp;L$1&amp;"P"&amp;$A40))/1000000,0),IF($A$2="PREMIUM",IFERROR((100*RTD("tos.rtd",,"VOLUME","."&amp;L$2&amp;L$1&amp;"C"&amp;$A40)*RTD("tos.rtd",,"LAST","."&amp;L$2&amp;L$1&amp;"C"&amp;$A40)-100*RTD("tos.rtd",,"VOLUME","."&amp;L$2&amp;L$1&amp;"P"&amp;$A40)*RTD("tos.rtd",,"LAST","."&amp;L$2&amp;L$1&amp;"P"&amp;$A40))/1000000,0),IF($A$2="DEX",IFERROR((100*RTD("tos.rtd",,"OPEN_INT","."&amp;L$2&amp;L$1&amp;"C"&amp;$A40)*RTD("tos.rtd",,"DELTA","."&amp;L$2&amp;L$1&amp;"C"&amp;$A40)-100*RTD("tos.rtd",,"OPEN_INT","."&amp;L$2&amp;L$1&amp;"P"&amp;$A40)*RTD("tos.rtd",,"DELTA","."&amp;L$2&amp;L$1&amp;"P"&amp;$A40))/1000,0),IF($A$2="VEX",IFERROR(($A$4*$A$4*RTD("tos.rtd",,"VOLUME","."&amp;L$2&amp;L$1&amp;"C"&amp;$A40)*RTD("tos.rtd",,"GAMMA","."&amp;L$2&amp;L$1&amp;"C"&amp;$A40)-$A$4*$A$4*RTD("tos.rtd",,"VOLUME","."&amp;L$2&amp;L$1&amp;"P"&amp;$A40)*RTD("tos.rtd",,"GAMMA","."&amp;L$2&amp;L$1&amp;"P"&amp;$A40))/1000000,0),IF($A$2="GEX",IFERROR(($A$4*$A$4*RTD("tos.rtd",,"OPEN_INT","."&amp;L$2&amp;L$1&amp;"C"&amp;$A40)*RTD("tos.rtd",,"GAMMA","."&amp;L$2&amp;L$1&amp;"C"&amp;$A40)-$A$4*$A$4*RTD("tos.rtd",,"OPEN_INT","."&amp;L$2&amp;L$1&amp;"P"&amp;$A40)*RTD("tos.rtd",,"GAMMA","."&amp;L$2&amp;L$1&amp;"P"&amp;$A40))/1000000,0),IF($A$2="SKEW",IFERROR(VALUE(IF(RTD("tos.rtd",,"IMPL_VOL","."&amp;L$2&amp;L$1&amp;"P"&amp;$A40)="N/A",0,RTD("tos.rtd",,"IMPL_VOL","."&amp;L$2&amp;L$1&amp;"P"&amp;$A40))),0)-IFERROR(VALUE(IF(RTD("tos.rtd",,"IMPL_VOL","."&amp;L$2&amp;L$1&amp;"C"&amp;$A40)="N/A",0,RTD("tos.rtd",,"IMPL_VOL","."&amp;L$2&amp;L$1&amp;"C"&amp;$A40))),0),IF($A$2="MAXPAIN",IF($A$4&gt;$A40,($A$4-$A40)*IF(RTD("tos.rtd",,"OPEN_INT","."&amp;L$2&amp;L$1&amp;"C"&amp;$A40)="N/A",0,RTD("tos.rtd",,"OPEN_INT","."&amp;L$2&amp;L$1&amp;"C"&amp;$A40)),0)+IF($A$4&lt;$A40,($A40-$A$4)*IF(RTD("tos.rtd",,"OPEN_INT","."&amp;L$2&amp;L$1&amp;"P"&amp;$A40)="N/A",0,RTD("tos.rtd",,"OPEN_INT","."&amp;L$2&amp;L$1&amp;"P"&amp;$A40)),0),IF(RTD("tos.rtd",,$A$2,"."&amp;L$2&amp;L$1&amp;"C"&amp;$A40)="N/A",0,RTD("tos.rtd",,$A$2,"."&amp;L$2&amp;L$1&amp;"C"&amp;$A40))-IF(RTD("tos.rtd",,$A$2,"."&amp;L$2&amp;L$1&amp;"P"&amp;$A40)="N/A",0,RTD("tos.rtd",,$A$2,"."&amp;L$2&amp;L$1&amp;"P"&amp;$A40)))))))))</f>
        <v>0</v>
      </c>
      <c r="M40" s="12">
        <f>IF($A$2="PREMIUM_OI",IFERROR((100*RTD("tos.rtd",,"OPEN_INT","."&amp;M$2&amp;M$1&amp;"C"&amp;$A40)*RTD("tos.rtd",,"LAST","."&amp;M$2&amp;M$1&amp;"C"&amp;$A40)-100*RTD("tos.rtd",,"OPEN_INT","."&amp;M$2&amp;M$1&amp;"P"&amp;$A40)*RTD("tos.rtd",,"LAST","."&amp;M$2&amp;M$1&amp;"P"&amp;$A40))/1000000,0),IF($A$2="PREMIUM",IFERROR((100*RTD("tos.rtd",,"VOLUME","."&amp;M$2&amp;M$1&amp;"C"&amp;$A40)*RTD("tos.rtd",,"LAST","."&amp;M$2&amp;M$1&amp;"C"&amp;$A40)-100*RTD("tos.rtd",,"VOLUME","."&amp;M$2&amp;M$1&amp;"P"&amp;$A40)*RTD("tos.rtd",,"LAST","."&amp;M$2&amp;M$1&amp;"P"&amp;$A40))/1000000,0),IF($A$2="DEX",IFERROR((100*RTD("tos.rtd",,"OPEN_INT","."&amp;M$2&amp;M$1&amp;"C"&amp;$A40)*RTD("tos.rtd",,"DELTA","."&amp;M$2&amp;M$1&amp;"C"&amp;$A40)-100*RTD("tos.rtd",,"OPEN_INT","."&amp;M$2&amp;M$1&amp;"P"&amp;$A40)*RTD("tos.rtd",,"DELTA","."&amp;M$2&amp;M$1&amp;"P"&amp;$A40))/1000,0),IF($A$2="VEX",IFERROR(($A$4*$A$4*RTD("tos.rtd",,"VOLUME","."&amp;M$2&amp;M$1&amp;"C"&amp;$A40)*RTD("tos.rtd",,"GAMMA","."&amp;M$2&amp;M$1&amp;"C"&amp;$A40)-$A$4*$A$4*RTD("tos.rtd",,"VOLUME","."&amp;M$2&amp;M$1&amp;"P"&amp;$A40)*RTD("tos.rtd",,"GAMMA","."&amp;M$2&amp;M$1&amp;"P"&amp;$A40))/1000000,0),IF($A$2="GEX",IFERROR(($A$4*$A$4*RTD("tos.rtd",,"OPEN_INT","."&amp;M$2&amp;M$1&amp;"C"&amp;$A40)*RTD("tos.rtd",,"GAMMA","."&amp;M$2&amp;M$1&amp;"C"&amp;$A40)-$A$4*$A$4*RTD("tos.rtd",,"OPEN_INT","."&amp;M$2&amp;M$1&amp;"P"&amp;$A40)*RTD("tos.rtd",,"GAMMA","."&amp;M$2&amp;M$1&amp;"P"&amp;$A40))/1000000,0),IF($A$2="SKEW",IFERROR(VALUE(IF(RTD("tos.rtd",,"IMPL_VOL","."&amp;M$2&amp;M$1&amp;"P"&amp;$A40)="N/A",0,RTD("tos.rtd",,"IMPL_VOL","."&amp;M$2&amp;M$1&amp;"P"&amp;$A40))),0)-IFERROR(VALUE(IF(RTD("tos.rtd",,"IMPL_VOL","."&amp;M$2&amp;M$1&amp;"C"&amp;$A40)="N/A",0,RTD("tos.rtd",,"IMPL_VOL","."&amp;M$2&amp;M$1&amp;"C"&amp;$A40))),0),IF($A$2="MAXPAIN",IF($A$4&gt;$A40,($A$4-$A40)*IF(RTD("tos.rtd",,"OPEN_INT","."&amp;M$2&amp;M$1&amp;"C"&amp;$A40)="N/A",0,RTD("tos.rtd",,"OPEN_INT","."&amp;M$2&amp;M$1&amp;"C"&amp;$A40)),0)+IF($A$4&lt;$A40,($A40-$A$4)*IF(RTD("tos.rtd",,"OPEN_INT","."&amp;M$2&amp;M$1&amp;"P"&amp;$A40)="N/A",0,RTD("tos.rtd",,"OPEN_INT","."&amp;M$2&amp;M$1&amp;"P"&amp;$A40)),0),IF(RTD("tos.rtd",,$A$2,"."&amp;M$2&amp;M$1&amp;"C"&amp;$A40)="N/A",0,RTD("tos.rtd",,$A$2,"."&amp;M$2&amp;M$1&amp;"C"&amp;$A40))-IF(RTD("tos.rtd",,$A$2,"."&amp;M$2&amp;M$1&amp;"P"&amp;$A40)="N/A",0,RTD("tos.rtd",,$A$2,"."&amp;M$2&amp;M$1&amp;"P"&amp;$A40)))))))))</f>
        <v>-1056</v>
      </c>
      <c r="N40" s="12">
        <f>IF($A$2="PREMIUM_OI",IFERROR((100*RTD("tos.rtd",,"OPEN_INT","."&amp;N$2&amp;N$1&amp;"C"&amp;$A40)*RTD("tos.rtd",,"LAST","."&amp;N$2&amp;N$1&amp;"C"&amp;$A40)-100*RTD("tos.rtd",,"OPEN_INT","."&amp;N$2&amp;N$1&amp;"P"&amp;$A40)*RTD("tos.rtd",,"LAST","."&amp;N$2&amp;N$1&amp;"P"&amp;$A40))/1000000,0),IF($A$2="PREMIUM",IFERROR((100*RTD("tos.rtd",,"VOLUME","."&amp;N$2&amp;N$1&amp;"C"&amp;$A40)*RTD("tos.rtd",,"LAST","."&amp;N$2&amp;N$1&amp;"C"&amp;$A40)-100*RTD("tos.rtd",,"VOLUME","."&amp;N$2&amp;N$1&amp;"P"&amp;$A40)*RTD("tos.rtd",,"LAST","."&amp;N$2&amp;N$1&amp;"P"&amp;$A40))/1000000,0),IF($A$2="DEX",IFERROR((100*RTD("tos.rtd",,"OPEN_INT","."&amp;N$2&amp;N$1&amp;"C"&amp;$A40)*RTD("tos.rtd",,"DELTA","."&amp;N$2&amp;N$1&amp;"C"&amp;$A40)-100*RTD("tos.rtd",,"OPEN_INT","."&amp;N$2&amp;N$1&amp;"P"&amp;$A40)*RTD("tos.rtd",,"DELTA","."&amp;N$2&amp;N$1&amp;"P"&amp;$A40))/1000,0),IF($A$2="VEX",IFERROR(($A$4*$A$4*RTD("tos.rtd",,"VOLUME","."&amp;N$2&amp;N$1&amp;"C"&amp;$A40)*RTD("tos.rtd",,"GAMMA","."&amp;N$2&amp;N$1&amp;"C"&amp;$A40)-$A$4*$A$4*RTD("tos.rtd",,"VOLUME","."&amp;N$2&amp;N$1&amp;"P"&amp;$A40)*RTD("tos.rtd",,"GAMMA","."&amp;N$2&amp;N$1&amp;"P"&amp;$A40))/1000000,0),IF($A$2="GEX",IFERROR(($A$4*$A$4*RTD("tos.rtd",,"OPEN_INT","."&amp;N$2&amp;N$1&amp;"C"&amp;$A40)*RTD("tos.rtd",,"GAMMA","."&amp;N$2&amp;N$1&amp;"C"&amp;$A40)-$A$4*$A$4*RTD("tos.rtd",,"OPEN_INT","."&amp;N$2&amp;N$1&amp;"P"&amp;$A40)*RTD("tos.rtd",,"GAMMA","."&amp;N$2&amp;N$1&amp;"P"&amp;$A40))/1000000,0),IF($A$2="SKEW",IFERROR(VALUE(IF(RTD("tos.rtd",,"IMPL_VOL","."&amp;N$2&amp;N$1&amp;"P"&amp;$A40)="N/A",0,RTD("tos.rtd",,"IMPL_VOL","."&amp;N$2&amp;N$1&amp;"P"&amp;$A40))),0)-IFERROR(VALUE(IF(RTD("tos.rtd",,"IMPL_VOL","."&amp;N$2&amp;N$1&amp;"C"&amp;$A40)="N/A",0,RTD("tos.rtd",,"IMPL_VOL","."&amp;N$2&amp;N$1&amp;"C"&amp;$A40))),0),IF($A$2="MAXPAIN",IF($A$4&gt;$A40,($A$4-$A40)*IF(RTD("tos.rtd",,"OPEN_INT","."&amp;N$2&amp;N$1&amp;"C"&amp;$A40)="N/A",0,RTD("tos.rtd",,"OPEN_INT","."&amp;N$2&amp;N$1&amp;"C"&amp;$A40)),0)+IF($A$4&lt;$A40,($A40-$A$4)*IF(RTD("tos.rtd",,"OPEN_INT","."&amp;N$2&amp;N$1&amp;"P"&amp;$A40)="N/A",0,RTD("tos.rtd",,"OPEN_INT","."&amp;N$2&amp;N$1&amp;"P"&amp;$A40)),0),IF(RTD("tos.rtd",,$A$2,"."&amp;N$2&amp;N$1&amp;"C"&amp;$A40)="N/A",0,RTD("tos.rtd",,$A$2,"."&amp;N$2&amp;N$1&amp;"C"&amp;$A40))-IF(RTD("tos.rtd",,$A$2,"."&amp;N$2&amp;N$1&amp;"P"&amp;$A40)="N/A",0,RTD("tos.rtd",,$A$2,"."&amp;N$2&amp;N$1&amp;"P"&amp;$A40)))))))))</f>
        <v>0</v>
      </c>
      <c r="O40" s="12">
        <f>IF($A$2="PREMIUM_OI",IFERROR((100*RTD("tos.rtd",,"OPEN_INT","."&amp;O$2&amp;O$1&amp;"C"&amp;$A40)*RTD("tos.rtd",,"LAST","."&amp;O$2&amp;O$1&amp;"C"&amp;$A40)-100*RTD("tos.rtd",,"OPEN_INT","."&amp;O$2&amp;O$1&amp;"P"&amp;$A40)*RTD("tos.rtd",,"LAST","."&amp;O$2&amp;O$1&amp;"P"&amp;$A40))/1000000,0),IF($A$2="PREMIUM",IFERROR((100*RTD("tos.rtd",,"VOLUME","."&amp;O$2&amp;O$1&amp;"C"&amp;$A40)*RTD("tos.rtd",,"LAST","."&amp;O$2&amp;O$1&amp;"C"&amp;$A40)-100*RTD("tos.rtd",,"VOLUME","."&amp;O$2&amp;O$1&amp;"P"&amp;$A40)*RTD("tos.rtd",,"LAST","."&amp;O$2&amp;O$1&amp;"P"&amp;$A40))/1000000,0),IF($A$2="DEX",IFERROR((100*RTD("tos.rtd",,"OPEN_INT","."&amp;O$2&amp;O$1&amp;"C"&amp;$A40)*RTD("tos.rtd",,"DELTA","."&amp;O$2&amp;O$1&amp;"C"&amp;$A40)-100*RTD("tos.rtd",,"OPEN_INT","."&amp;O$2&amp;O$1&amp;"P"&amp;$A40)*RTD("tos.rtd",,"DELTA","."&amp;O$2&amp;O$1&amp;"P"&amp;$A40))/1000,0),IF($A$2="VEX",IFERROR(($A$4*$A$4*RTD("tos.rtd",,"VOLUME","."&amp;O$2&amp;O$1&amp;"C"&amp;$A40)*RTD("tos.rtd",,"GAMMA","."&amp;O$2&amp;O$1&amp;"C"&amp;$A40)-$A$4*$A$4*RTD("tos.rtd",,"VOLUME","."&amp;O$2&amp;O$1&amp;"P"&amp;$A40)*RTD("tos.rtd",,"GAMMA","."&amp;O$2&amp;O$1&amp;"P"&amp;$A40))/1000000,0),IF($A$2="GEX",IFERROR(($A$4*$A$4*RTD("tos.rtd",,"OPEN_INT","."&amp;O$2&amp;O$1&amp;"C"&amp;$A40)*RTD("tos.rtd",,"GAMMA","."&amp;O$2&amp;O$1&amp;"C"&amp;$A40)-$A$4*$A$4*RTD("tos.rtd",,"OPEN_INT","."&amp;O$2&amp;O$1&amp;"P"&amp;$A40)*RTD("tos.rtd",,"GAMMA","."&amp;O$2&amp;O$1&amp;"P"&amp;$A40))/1000000,0),IF($A$2="SKEW",IFERROR(VALUE(IF(RTD("tos.rtd",,"IMPL_VOL","."&amp;O$2&amp;O$1&amp;"P"&amp;$A40)="N/A",0,RTD("tos.rtd",,"IMPL_VOL","."&amp;O$2&amp;O$1&amp;"P"&amp;$A40))),0)-IFERROR(VALUE(IF(RTD("tos.rtd",,"IMPL_VOL","."&amp;O$2&amp;O$1&amp;"C"&amp;$A40)="N/A",0,RTD("tos.rtd",,"IMPL_VOL","."&amp;O$2&amp;O$1&amp;"C"&amp;$A40))),0),IF($A$2="MAXPAIN",IF($A$4&gt;$A40,($A$4-$A40)*IF(RTD("tos.rtd",,"OPEN_INT","."&amp;O$2&amp;O$1&amp;"C"&amp;$A40)="N/A",0,RTD("tos.rtd",,"OPEN_INT","."&amp;O$2&amp;O$1&amp;"C"&amp;$A40)),0)+IF($A$4&lt;$A40,($A40-$A$4)*IF(RTD("tos.rtd",,"OPEN_INT","."&amp;O$2&amp;O$1&amp;"P"&amp;$A40)="N/A",0,RTD("tos.rtd",,"OPEN_INT","."&amp;O$2&amp;O$1&amp;"P"&amp;$A40)),0),IF(RTD("tos.rtd",,$A$2,"."&amp;O$2&amp;O$1&amp;"C"&amp;$A40)="N/A",0,RTD("tos.rtd",,$A$2,"."&amp;O$2&amp;O$1&amp;"C"&amp;$A40))-IF(RTD("tos.rtd",,$A$2,"."&amp;O$2&amp;O$1&amp;"P"&amp;$A40)="N/A",0,RTD("tos.rtd",,$A$2,"."&amp;O$2&amp;O$1&amp;"P"&amp;$A40)))))))))</f>
        <v>0</v>
      </c>
      <c r="P40" s="12">
        <f>IF($A$2="PREMIUM_OI",IFERROR((100*RTD("tos.rtd",,"OPEN_INT","."&amp;P$2&amp;P$1&amp;"C"&amp;$A40)*RTD("tos.rtd",,"LAST","."&amp;P$2&amp;P$1&amp;"C"&amp;$A40)-100*RTD("tos.rtd",,"OPEN_INT","."&amp;P$2&amp;P$1&amp;"P"&amp;$A40)*RTD("tos.rtd",,"LAST","."&amp;P$2&amp;P$1&amp;"P"&amp;$A40))/1000000,0),IF($A$2="PREMIUM",IFERROR((100*RTD("tos.rtd",,"VOLUME","."&amp;P$2&amp;P$1&amp;"C"&amp;$A40)*RTD("tos.rtd",,"LAST","."&amp;P$2&amp;P$1&amp;"C"&amp;$A40)-100*RTD("tos.rtd",,"VOLUME","."&amp;P$2&amp;P$1&amp;"P"&amp;$A40)*RTD("tos.rtd",,"LAST","."&amp;P$2&amp;P$1&amp;"P"&amp;$A40))/1000000,0),IF($A$2="DEX",IFERROR((100*RTD("tos.rtd",,"OPEN_INT","."&amp;P$2&amp;P$1&amp;"C"&amp;$A40)*RTD("tos.rtd",,"DELTA","."&amp;P$2&amp;P$1&amp;"C"&amp;$A40)-100*RTD("tos.rtd",,"OPEN_INT","."&amp;P$2&amp;P$1&amp;"P"&amp;$A40)*RTD("tos.rtd",,"DELTA","."&amp;P$2&amp;P$1&amp;"P"&amp;$A40))/1000,0),IF($A$2="VEX",IFERROR(($A$4*$A$4*RTD("tos.rtd",,"VOLUME","."&amp;P$2&amp;P$1&amp;"C"&amp;$A40)*RTD("tos.rtd",,"GAMMA","."&amp;P$2&amp;P$1&amp;"C"&amp;$A40)-$A$4*$A$4*RTD("tos.rtd",,"VOLUME","."&amp;P$2&amp;P$1&amp;"P"&amp;$A40)*RTD("tos.rtd",,"GAMMA","."&amp;P$2&amp;P$1&amp;"P"&amp;$A40))/1000000,0),IF($A$2="GEX",IFERROR(($A$4*$A$4*RTD("tos.rtd",,"OPEN_INT","."&amp;P$2&amp;P$1&amp;"C"&amp;$A40)*RTD("tos.rtd",,"GAMMA","."&amp;P$2&amp;P$1&amp;"C"&amp;$A40)-$A$4*$A$4*RTD("tos.rtd",,"OPEN_INT","."&amp;P$2&amp;P$1&amp;"P"&amp;$A40)*RTD("tos.rtd",,"GAMMA","."&amp;P$2&amp;P$1&amp;"P"&amp;$A40))/1000000,0),IF($A$2="SKEW",IFERROR(VALUE(IF(RTD("tos.rtd",,"IMPL_VOL","."&amp;P$2&amp;P$1&amp;"P"&amp;$A40)="N/A",0,RTD("tos.rtd",,"IMPL_VOL","."&amp;P$2&amp;P$1&amp;"P"&amp;$A40))),0)-IFERROR(VALUE(IF(RTD("tos.rtd",,"IMPL_VOL","."&amp;P$2&amp;P$1&amp;"C"&amp;$A40)="N/A",0,RTD("tos.rtd",,"IMPL_VOL","."&amp;P$2&amp;P$1&amp;"C"&amp;$A40))),0),IF($A$2="MAXPAIN",IF($A$4&gt;$A40,($A$4-$A40)*IF(RTD("tos.rtd",,"OPEN_INT","."&amp;P$2&amp;P$1&amp;"C"&amp;$A40)="N/A",0,RTD("tos.rtd",,"OPEN_INT","."&amp;P$2&amp;P$1&amp;"C"&amp;$A40)),0)+IF($A$4&lt;$A40,($A40-$A$4)*IF(RTD("tos.rtd",,"OPEN_INT","."&amp;P$2&amp;P$1&amp;"P"&amp;$A40)="N/A",0,RTD("tos.rtd",,"OPEN_INT","."&amp;P$2&amp;P$1&amp;"P"&amp;$A40)),0),IF(RTD("tos.rtd",,$A$2,"."&amp;P$2&amp;P$1&amp;"C"&amp;$A40)="N/A",0,RTD("tos.rtd",,$A$2,"."&amp;P$2&amp;P$1&amp;"C"&amp;$A40))-IF(RTD("tos.rtd",,$A$2,"."&amp;P$2&amp;P$1&amp;"P"&amp;$A40)="N/A",0,RTD("tos.rtd",,$A$2,"."&amp;P$2&amp;P$1&amp;"P"&amp;$A40)))))))))</f>
        <v>0</v>
      </c>
      <c r="Q40" s="12">
        <f>IF($A$2="PREMIUM_OI",IFERROR((100*RTD("tos.rtd",,"OPEN_INT","."&amp;Q$2&amp;Q$1&amp;"C"&amp;$A40)*RTD("tos.rtd",,"LAST","."&amp;Q$2&amp;Q$1&amp;"C"&amp;$A40)-100*RTD("tos.rtd",,"OPEN_INT","."&amp;Q$2&amp;Q$1&amp;"P"&amp;$A40)*RTD("tos.rtd",,"LAST","."&amp;Q$2&amp;Q$1&amp;"P"&amp;$A40))/1000000,0),IF($A$2="PREMIUM",IFERROR((100*RTD("tos.rtd",,"VOLUME","."&amp;Q$2&amp;Q$1&amp;"C"&amp;$A40)*RTD("tos.rtd",,"LAST","."&amp;Q$2&amp;Q$1&amp;"C"&amp;$A40)-100*RTD("tos.rtd",,"VOLUME","."&amp;Q$2&amp;Q$1&amp;"P"&amp;$A40)*RTD("tos.rtd",,"LAST","."&amp;Q$2&amp;Q$1&amp;"P"&amp;$A40))/1000000,0),IF($A$2="DEX",IFERROR((100*RTD("tos.rtd",,"OPEN_INT","."&amp;Q$2&amp;Q$1&amp;"C"&amp;$A40)*RTD("tos.rtd",,"DELTA","."&amp;Q$2&amp;Q$1&amp;"C"&amp;$A40)-100*RTD("tos.rtd",,"OPEN_INT","."&amp;Q$2&amp;Q$1&amp;"P"&amp;$A40)*RTD("tos.rtd",,"DELTA","."&amp;Q$2&amp;Q$1&amp;"P"&amp;$A40))/1000,0),IF($A$2="VEX",IFERROR(($A$4*$A$4*RTD("tos.rtd",,"VOLUME","."&amp;Q$2&amp;Q$1&amp;"C"&amp;$A40)*RTD("tos.rtd",,"GAMMA","."&amp;Q$2&amp;Q$1&amp;"C"&amp;$A40)-$A$4*$A$4*RTD("tos.rtd",,"VOLUME","."&amp;Q$2&amp;Q$1&amp;"P"&amp;$A40)*RTD("tos.rtd",,"GAMMA","."&amp;Q$2&amp;Q$1&amp;"P"&amp;$A40))/1000000,0),IF($A$2="GEX",IFERROR(($A$4*$A$4*RTD("tos.rtd",,"OPEN_INT","."&amp;Q$2&amp;Q$1&amp;"C"&amp;$A40)*RTD("tos.rtd",,"GAMMA","."&amp;Q$2&amp;Q$1&amp;"C"&amp;$A40)-$A$4*$A$4*RTD("tos.rtd",,"OPEN_INT","."&amp;Q$2&amp;Q$1&amp;"P"&amp;$A40)*RTD("tos.rtd",,"GAMMA","."&amp;Q$2&amp;Q$1&amp;"P"&amp;$A40))/1000000,0),IF($A$2="SKEW",IFERROR(VALUE(IF(RTD("tos.rtd",,"IMPL_VOL","."&amp;Q$2&amp;Q$1&amp;"P"&amp;$A40)="N/A",0,RTD("tos.rtd",,"IMPL_VOL","."&amp;Q$2&amp;Q$1&amp;"P"&amp;$A40))),0)-IFERROR(VALUE(IF(RTD("tos.rtd",,"IMPL_VOL","."&amp;Q$2&amp;Q$1&amp;"C"&amp;$A40)="N/A",0,RTD("tos.rtd",,"IMPL_VOL","."&amp;Q$2&amp;Q$1&amp;"C"&amp;$A40))),0),IF($A$2="MAXPAIN",IF($A$4&gt;$A40,($A$4-$A40)*IF(RTD("tos.rtd",,"OPEN_INT","."&amp;Q$2&amp;Q$1&amp;"C"&amp;$A40)="N/A",0,RTD("tos.rtd",,"OPEN_INT","."&amp;Q$2&amp;Q$1&amp;"C"&amp;$A40)),0)+IF($A$4&lt;$A40,($A40-$A$4)*IF(RTD("tos.rtd",,"OPEN_INT","."&amp;Q$2&amp;Q$1&amp;"P"&amp;$A40)="N/A",0,RTD("tos.rtd",,"OPEN_INT","."&amp;Q$2&amp;Q$1&amp;"P"&amp;$A40)),0),IF(RTD("tos.rtd",,$A$2,"."&amp;Q$2&amp;Q$1&amp;"C"&amp;$A40)="N/A",0,RTD("tos.rtd",,$A$2,"."&amp;Q$2&amp;Q$1&amp;"C"&amp;$A40))-IF(RTD("tos.rtd",,$A$2,"."&amp;Q$2&amp;Q$1&amp;"P"&amp;$A40)="N/A",0,RTD("tos.rtd",,$A$2,"."&amp;Q$2&amp;Q$1&amp;"P"&amp;$A40)))))))))</f>
        <v>0</v>
      </c>
      <c r="R40" s="12">
        <f>IF($A$2="PREMIUM_OI",IFERROR((100*RTD("tos.rtd",,"OPEN_INT","."&amp;R$2&amp;R$1&amp;"C"&amp;$A40)*RTD("tos.rtd",,"LAST","."&amp;R$2&amp;R$1&amp;"C"&amp;$A40)-100*RTD("tos.rtd",,"OPEN_INT","."&amp;R$2&amp;R$1&amp;"P"&amp;$A40)*RTD("tos.rtd",,"LAST","."&amp;R$2&amp;R$1&amp;"P"&amp;$A40))/1000000,0),IF($A$2="PREMIUM",IFERROR((100*RTD("tos.rtd",,"VOLUME","."&amp;R$2&amp;R$1&amp;"C"&amp;$A40)*RTD("tos.rtd",,"LAST","."&amp;R$2&amp;R$1&amp;"C"&amp;$A40)-100*RTD("tos.rtd",,"VOLUME","."&amp;R$2&amp;R$1&amp;"P"&amp;$A40)*RTD("tos.rtd",,"LAST","."&amp;R$2&amp;R$1&amp;"P"&amp;$A40))/1000000,0),IF($A$2="DEX",IFERROR((100*RTD("tos.rtd",,"OPEN_INT","."&amp;R$2&amp;R$1&amp;"C"&amp;$A40)*RTD("tos.rtd",,"DELTA","."&amp;R$2&amp;R$1&amp;"C"&amp;$A40)-100*RTD("tos.rtd",,"OPEN_INT","."&amp;R$2&amp;R$1&amp;"P"&amp;$A40)*RTD("tos.rtd",,"DELTA","."&amp;R$2&amp;R$1&amp;"P"&amp;$A40))/1000,0),IF($A$2="VEX",IFERROR(($A$4*$A$4*RTD("tos.rtd",,"VOLUME","."&amp;R$2&amp;R$1&amp;"C"&amp;$A40)*RTD("tos.rtd",,"GAMMA","."&amp;R$2&amp;R$1&amp;"C"&amp;$A40)-$A$4*$A$4*RTD("tos.rtd",,"VOLUME","."&amp;R$2&amp;R$1&amp;"P"&amp;$A40)*RTD("tos.rtd",,"GAMMA","."&amp;R$2&amp;R$1&amp;"P"&amp;$A40))/1000000,0),IF($A$2="GEX",IFERROR(($A$4*$A$4*RTD("tos.rtd",,"OPEN_INT","."&amp;R$2&amp;R$1&amp;"C"&amp;$A40)*RTD("tos.rtd",,"GAMMA","."&amp;R$2&amp;R$1&amp;"C"&amp;$A40)-$A$4*$A$4*RTD("tos.rtd",,"OPEN_INT","."&amp;R$2&amp;R$1&amp;"P"&amp;$A40)*RTD("tos.rtd",,"GAMMA","."&amp;R$2&amp;R$1&amp;"P"&amp;$A40))/1000000,0),IF($A$2="SKEW",IFERROR(VALUE(IF(RTD("tos.rtd",,"IMPL_VOL","."&amp;R$2&amp;R$1&amp;"P"&amp;$A40)="N/A",0,RTD("tos.rtd",,"IMPL_VOL","."&amp;R$2&amp;R$1&amp;"P"&amp;$A40))),0)-IFERROR(VALUE(IF(RTD("tos.rtd",,"IMPL_VOL","."&amp;R$2&amp;R$1&amp;"C"&amp;$A40)="N/A",0,RTD("tos.rtd",,"IMPL_VOL","."&amp;R$2&amp;R$1&amp;"C"&amp;$A40))),0),IF($A$2="MAXPAIN",IF($A$4&gt;$A40,($A$4-$A40)*IF(RTD("tos.rtd",,"OPEN_INT","."&amp;R$2&amp;R$1&amp;"C"&amp;$A40)="N/A",0,RTD("tos.rtd",,"OPEN_INT","."&amp;R$2&amp;R$1&amp;"C"&amp;$A40)),0)+IF($A$4&lt;$A40,($A40-$A$4)*IF(RTD("tos.rtd",,"OPEN_INT","."&amp;R$2&amp;R$1&amp;"P"&amp;$A40)="N/A",0,RTD("tos.rtd",,"OPEN_INT","."&amp;R$2&amp;R$1&amp;"P"&amp;$A40)),0),IF(RTD("tos.rtd",,$A$2,"."&amp;R$2&amp;R$1&amp;"C"&amp;$A40)="N/A",0,RTD("tos.rtd",,$A$2,"."&amp;R$2&amp;R$1&amp;"C"&amp;$A40))-IF(RTD("tos.rtd",,$A$2,"."&amp;R$2&amp;R$1&amp;"P"&amp;$A40)="N/A",0,RTD("tos.rtd",,$A$2,"."&amp;R$2&amp;R$1&amp;"P"&amp;$A40)))))))))</f>
        <v>-144</v>
      </c>
      <c r="S40" s="12">
        <f>IF($A$2="PREMIUM_OI",IFERROR((100*RTD("tos.rtd",,"OPEN_INT","."&amp;S$2&amp;S$1&amp;"C"&amp;$A40)*RTD("tos.rtd",,"LAST","."&amp;S$2&amp;S$1&amp;"C"&amp;$A40)-100*RTD("tos.rtd",,"OPEN_INT","."&amp;S$2&amp;S$1&amp;"P"&amp;$A40)*RTD("tos.rtd",,"LAST","."&amp;S$2&amp;S$1&amp;"P"&amp;$A40))/1000000,0),IF($A$2="PREMIUM",IFERROR((100*RTD("tos.rtd",,"VOLUME","."&amp;S$2&amp;S$1&amp;"C"&amp;$A40)*RTD("tos.rtd",,"LAST","."&amp;S$2&amp;S$1&amp;"C"&amp;$A40)-100*RTD("tos.rtd",,"VOLUME","."&amp;S$2&amp;S$1&amp;"P"&amp;$A40)*RTD("tos.rtd",,"LAST","."&amp;S$2&amp;S$1&amp;"P"&amp;$A40))/1000000,0),IF($A$2="DEX",IFERROR((100*RTD("tos.rtd",,"OPEN_INT","."&amp;S$2&amp;S$1&amp;"C"&amp;$A40)*RTD("tos.rtd",,"DELTA","."&amp;S$2&amp;S$1&amp;"C"&amp;$A40)-100*RTD("tos.rtd",,"OPEN_INT","."&amp;S$2&amp;S$1&amp;"P"&amp;$A40)*RTD("tos.rtd",,"DELTA","."&amp;S$2&amp;S$1&amp;"P"&amp;$A40))/1000,0),IF($A$2="VEX",IFERROR(($A$4*$A$4*RTD("tos.rtd",,"VOLUME","."&amp;S$2&amp;S$1&amp;"C"&amp;$A40)*RTD("tos.rtd",,"GAMMA","."&amp;S$2&amp;S$1&amp;"C"&amp;$A40)-$A$4*$A$4*RTD("tos.rtd",,"VOLUME","."&amp;S$2&amp;S$1&amp;"P"&amp;$A40)*RTD("tos.rtd",,"GAMMA","."&amp;S$2&amp;S$1&amp;"P"&amp;$A40))/1000000,0),IF($A$2="GEX",IFERROR(($A$4*$A$4*RTD("tos.rtd",,"OPEN_INT","."&amp;S$2&amp;S$1&amp;"C"&amp;$A40)*RTD("tos.rtd",,"GAMMA","."&amp;S$2&amp;S$1&amp;"C"&amp;$A40)-$A$4*$A$4*RTD("tos.rtd",,"OPEN_INT","."&amp;S$2&amp;S$1&amp;"P"&amp;$A40)*RTD("tos.rtd",,"GAMMA","."&amp;S$2&amp;S$1&amp;"P"&amp;$A40))/1000000,0),IF($A$2="SKEW",IFERROR(VALUE(IF(RTD("tos.rtd",,"IMPL_VOL","."&amp;S$2&amp;S$1&amp;"P"&amp;$A40)="N/A",0,RTD("tos.rtd",,"IMPL_VOL","."&amp;S$2&amp;S$1&amp;"P"&amp;$A40))),0)-IFERROR(VALUE(IF(RTD("tos.rtd",,"IMPL_VOL","."&amp;S$2&amp;S$1&amp;"C"&amp;$A40)="N/A",0,RTD("tos.rtd",,"IMPL_VOL","."&amp;S$2&amp;S$1&amp;"C"&amp;$A40))),0),IF($A$2="MAXPAIN",IF($A$4&gt;$A40,($A$4-$A40)*IF(RTD("tos.rtd",,"OPEN_INT","."&amp;S$2&amp;S$1&amp;"C"&amp;$A40)="N/A",0,RTD("tos.rtd",,"OPEN_INT","."&amp;S$2&amp;S$1&amp;"C"&amp;$A40)),0)+IF($A$4&lt;$A40,($A40-$A$4)*IF(RTD("tos.rtd",,"OPEN_INT","."&amp;S$2&amp;S$1&amp;"P"&amp;$A40)="N/A",0,RTD("tos.rtd",,"OPEN_INT","."&amp;S$2&amp;S$1&amp;"P"&amp;$A40)),0),IF(RTD("tos.rtd",,$A$2,"."&amp;S$2&amp;S$1&amp;"C"&amp;$A40)="N/A",0,RTD("tos.rtd",,$A$2,"."&amp;S$2&amp;S$1&amp;"C"&amp;$A40))-IF(RTD("tos.rtd",,$A$2,"."&amp;S$2&amp;S$1&amp;"P"&amp;$A40)="N/A",0,RTD("tos.rtd",,$A$2,"."&amp;S$2&amp;S$1&amp;"P"&amp;$A40)))))))))</f>
        <v>6287</v>
      </c>
      <c r="T40" s="12">
        <f>IF($A$2="PREMIUM_OI",IFERROR((100*RTD("tos.rtd",,"OPEN_INT","."&amp;T$2&amp;T$1&amp;"C"&amp;$A40)*RTD("tos.rtd",,"LAST","."&amp;T$2&amp;T$1&amp;"C"&amp;$A40)-100*RTD("tos.rtd",,"OPEN_INT","."&amp;T$2&amp;T$1&amp;"P"&amp;$A40)*RTD("tos.rtd",,"LAST","."&amp;T$2&amp;T$1&amp;"P"&amp;$A40))/1000000,0),IF($A$2="PREMIUM",IFERROR((100*RTD("tos.rtd",,"VOLUME","."&amp;T$2&amp;T$1&amp;"C"&amp;$A40)*RTD("tos.rtd",,"LAST","."&amp;T$2&amp;T$1&amp;"C"&amp;$A40)-100*RTD("tos.rtd",,"VOLUME","."&amp;T$2&amp;T$1&amp;"P"&amp;$A40)*RTD("tos.rtd",,"LAST","."&amp;T$2&amp;T$1&amp;"P"&amp;$A40))/1000000,0),IF($A$2="DEX",IFERROR((100*RTD("tos.rtd",,"OPEN_INT","."&amp;T$2&amp;T$1&amp;"C"&amp;$A40)*RTD("tos.rtd",,"DELTA","."&amp;T$2&amp;T$1&amp;"C"&amp;$A40)-100*RTD("tos.rtd",,"OPEN_INT","."&amp;T$2&amp;T$1&amp;"P"&amp;$A40)*RTD("tos.rtd",,"DELTA","."&amp;T$2&amp;T$1&amp;"P"&amp;$A40))/1000,0),IF($A$2="VEX",IFERROR(($A$4*$A$4*RTD("tos.rtd",,"VOLUME","."&amp;T$2&amp;T$1&amp;"C"&amp;$A40)*RTD("tos.rtd",,"GAMMA","."&amp;T$2&amp;T$1&amp;"C"&amp;$A40)-$A$4*$A$4*RTD("tos.rtd",,"VOLUME","."&amp;T$2&amp;T$1&amp;"P"&amp;$A40)*RTD("tos.rtd",,"GAMMA","."&amp;T$2&amp;T$1&amp;"P"&amp;$A40))/1000000,0),IF($A$2="GEX",IFERROR(($A$4*$A$4*RTD("tos.rtd",,"OPEN_INT","."&amp;T$2&amp;T$1&amp;"C"&amp;$A40)*RTD("tos.rtd",,"GAMMA","."&amp;T$2&amp;T$1&amp;"C"&amp;$A40)-$A$4*$A$4*RTD("tos.rtd",,"OPEN_INT","."&amp;T$2&amp;T$1&amp;"P"&amp;$A40)*RTD("tos.rtd",,"GAMMA","."&amp;T$2&amp;T$1&amp;"P"&amp;$A40))/1000000,0),IF($A$2="SKEW",IFERROR(VALUE(IF(RTD("tos.rtd",,"IMPL_VOL","."&amp;T$2&amp;T$1&amp;"P"&amp;$A40)="N/A",0,RTD("tos.rtd",,"IMPL_VOL","."&amp;T$2&amp;T$1&amp;"P"&amp;$A40))),0)-IFERROR(VALUE(IF(RTD("tos.rtd",,"IMPL_VOL","."&amp;T$2&amp;T$1&amp;"C"&amp;$A40)="N/A",0,RTD("tos.rtd",,"IMPL_VOL","."&amp;T$2&amp;T$1&amp;"C"&amp;$A40))),0),IF($A$2="MAXPAIN",IF($A$4&gt;$A40,($A$4-$A40)*IF(RTD("tos.rtd",,"OPEN_INT","."&amp;T$2&amp;T$1&amp;"C"&amp;$A40)="N/A",0,RTD("tos.rtd",,"OPEN_INT","."&amp;T$2&amp;T$1&amp;"C"&amp;$A40)),0)+IF($A$4&lt;$A40,($A40-$A$4)*IF(RTD("tos.rtd",,"OPEN_INT","."&amp;T$2&amp;T$1&amp;"P"&amp;$A40)="N/A",0,RTD("tos.rtd",,"OPEN_INT","."&amp;T$2&amp;T$1&amp;"P"&amp;$A40)),0),IF(RTD("tos.rtd",,$A$2,"."&amp;T$2&amp;T$1&amp;"C"&amp;$A40)="N/A",0,RTD("tos.rtd",,$A$2,"."&amp;T$2&amp;T$1&amp;"C"&amp;$A40))-IF(RTD("tos.rtd",,$A$2,"."&amp;T$2&amp;T$1&amp;"P"&amp;$A40)="N/A",0,RTD("tos.rtd",,$A$2,"."&amp;T$2&amp;T$1&amp;"P"&amp;$A40)))))))))</f>
        <v>5</v>
      </c>
      <c r="U40" s="12">
        <f>IF($A$2="PREMIUM_OI",IFERROR((100*RTD("tos.rtd",,"OPEN_INT","."&amp;U$2&amp;U$1&amp;"C"&amp;$A40)*RTD("tos.rtd",,"LAST","."&amp;U$2&amp;U$1&amp;"C"&amp;$A40)-100*RTD("tos.rtd",,"OPEN_INT","."&amp;U$2&amp;U$1&amp;"P"&amp;$A40)*RTD("tos.rtd",,"LAST","."&amp;U$2&amp;U$1&amp;"P"&amp;$A40))/1000000,0),IF($A$2="PREMIUM",IFERROR((100*RTD("tos.rtd",,"VOLUME","."&amp;U$2&amp;U$1&amp;"C"&amp;$A40)*RTD("tos.rtd",,"LAST","."&amp;U$2&amp;U$1&amp;"C"&amp;$A40)-100*RTD("tos.rtd",,"VOLUME","."&amp;U$2&amp;U$1&amp;"P"&amp;$A40)*RTD("tos.rtd",,"LAST","."&amp;U$2&amp;U$1&amp;"P"&amp;$A40))/1000000,0),IF($A$2="DEX",IFERROR((100*RTD("tos.rtd",,"OPEN_INT","."&amp;U$2&amp;U$1&amp;"C"&amp;$A40)*RTD("tos.rtd",,"DELTA","."&amp;U$2&amp;U$1&amp;"C"&amp;$A40)-100*RTD("tos.rtd",,"OPEN_INT","."&amp;U$2&amp;U$1&amp;"P"&amp;$A40)*RTD("tos.rtd",,"DELTA","."&amp;U$2&amp;U$1&amp;"P"&amp;$A40))/1000,0),IF($A$2="VEX",IFERROR(($A$4*$A$4*RTD("tos.rtd",,"VOLUME","."&amp;U$2&amp;U$1&amp;"C"&amp;$A40)*RTD("tos.rtd",,"GAMMA","."&amp;U$2&amp;U$1&amp;"C"&amp;$A40)-$A$4*$A$4*RTD("tos.rtd",,"VOLUME","."&amp;U$2&amp;U$1&amp;"P"&amp;$A40)*RTD("tos.rtd",,"GAMMA","."&amp;U$2&amp;U$1&amp;"P"&amp;$A40))/1000000,0),IF($A$2="GEX",IFERROR(($A$4*$A$4*RTD("tos.rtd",,"OPEN_INT","."&amp;U$2&amp;U$1&amp;"C"&amp;$A40)*RTD("tos.rtd",,"GAMMA","."&amp;U$2&amp;U$1&amp;"C"&amp;$A40)-$A$4*$A$4*RTD("tos.rtd",,"OPEN_INT","."&amp;U$2&amp;U$1&amp;"P"&amp;$A40)*RTD("tos.rtd",,"GAMMA","."&amp;U$2&amp;U$1&amp;"P"&amp;$A40))/1000000,0),IF($A$2="SKEW",IFERROR(VALUE(IF(RTD("tos.rtd",,"IMPL_VOL","."&amp;U$2&amp;U$1&amp;"P"&amp;$A40)="N/A",0,RTD("tos.rtd",,"IMPL_VOL","."&amp;U$2&amp;U$1&amp;"P"&amp;$A40))),0)-IFERROR(VALUE(IF(RTD("tos.rtd",,"IMPL_VOL","."&amp;U$2&amp;U$1&amp;"C"&amp;$A40)="N/A",0,RTD("tos.rtd",,"IMPL_VOL","."&amp;U$2&amp;U$1&amp;"C"&amp;$A40))),0),IF($A$2="MAXPAIN",IF($A$4&gt;$A40,($A$4-$A40)*IF(RTD("tos.rtd",,"OPEN_INT","."&amp;U$2&amp;U$1&amp;"C"&amp;$A40)="N/A",0,RTD("tos.rtd",,"OPEN_INT","."&amp;U$2&amp;U$1&amp;"C"&amp;$A40)),0)+IF($A$4&lt;$A40,($A40-$A$4)*IF(RTD("tos.rtd",,"OPEN_INT","."&amp;U$2&amp;U$1&amp;"P"&amp;$A40)="N/A",0,RTD("tos.rtd",,"OPEN_INT","."&amp;U$2&amp;U$1&amp;"P"&amp;$A40)),0),IF(RTD("tos.rtd",,$A$2,"."&amp;U$2&amp;U$1&amp;"C"&amp;$A40)="N/A",0,RTD("tos.rtd",,$A$2,"."&amp;U$2&amp;U$1&amp;"C"&amp;$A40))-IF(RTD("tos.rtd",,$A$2,"."&amp;U$2&amp;U$1&amp;"P"&amp;$A40)="N/A",0,RTD("tos.rtd",,$A$2,"."&amp;U$2&amp;U$1&amp;"P"&amp;$A40)))))))))</f>
        <v>31</v>
      </c>
      <c r="V40" s="12">
        <f>IF($A$2="PREMIUM_OI",IFERROR((100*RTD("tos.rtd",,"OPEN_INT","."&amp;V$2&amp;V$1&amp;"C"&amp;$A40)*RTD("tos.rtd",,"LAST","."&amp;V$2&amp;V$1&amp;"C"&amp;$A40)-100*RTD("tos.rtd",,"OPEN_INT","."&amp;V$2&amp;V$1&amp;"P"&amp;$A40)*RTD("tos.rtd",,"LAST","."&amp;V$2&amp;V$1&amp;"P"&amp;$A40))/1000000,0),IF($A$2="PREMIUM",IFERROR((100*RTD("tos.rtd",,"VOLUME","."&amp;V$2&amp;V$1&amp;"C"&amp;$A40)*RTD("tos.rtd",,"LAST","."&amp;V$2&amp;V$1&amp;"C"&amp;$A40)-100*RTD("tos.rtd",,"VOLUME","."&amp;V$2&amp;V$1&amp;"P"&amp;$A40)*RTD("tos.rtd",,"LAST","."&amp;V$2&amp;V$1&amp;"P"&amp;$A40))/1000000,0),IF($A$2="DEX",IFERROR((100*RTD("tos.rtd",,"OPEN_INT","."&amp;V$2&amp;V$1&amp;"C"&amp;$A40)*RTD("tos.rtd",,"DELTA","."&amp;V$2&amp;V$1&amp;"C"&amp;$A40)-100*RTD("tos.rtd",,"OPEN_INT","."&amp;V$2&amp;V$1&amp;"P"&amp;$A40)*RTD("tos.rtd",,"DELTA","."&amp;V$2&amp;V$1&amp;"P"&amp;$A40))/1000,0),IF($A$2="VEX",IFERROR(($A$4*$A$4*RTD("tos.rtd",,"VOLUME","."&amp;V$2&amp;V$1&amp;"C"&amp;$A40)*RTD("tos.rtd",,"GAMMA","."&amp;V$2&amp;V$1&amp;"C"&amp;$A40)-$A$4*$A$4*RTD("tos.rtd",,"VOLUME","."&amp;V$2&amp;V$1&amp;"P"&amp;$A40)*RTD("tos.rtd",,"GAMMA","."&amp;V$2&amp;V$1&amp;"P"&amp;$A40))/1000000,0),IF($A$2="GEX",IFERROR(($A$4*$A$4*RTD("tos.rtd",,"OPEN_INT","."&amp;V$2&amp;V$1&amp;"C"&amp;$A40)*RTD("tos.rtd",,"GAMMA","."&amp;V$2&amp;V$1&amp;"C"&amp;$A40)-$A$4*$A$4*RTD("tos.rtd",,"OPEN_INT","."&amp;V$2&amp;V$1&amp;"P"&amp;$A40)*RTD("tos.rtd",,"GAMMA","."&amp;V$2&amp;V$1&amp;"P"&amp;$A40))/1000000,0),IF($A$2="SKEW",IFERROR(VALUE(IF(RTD("tos.rtd",,"IMPL_VOL","."&amp;V$2&amp;V$1&amp;"P"&amp;$A40)="N/A",0,RTD("tos.rtd",,"IMPL_VOL","."&amp;V$2&amp;V$1&amp;"P"&amp;$A40))),0)-IFERROR(VALUE(IF(RTD("tos.rtd",,"IMPL_VOL","."&amp;V$2&amp;V$1&amp;"C"&amp;$A40)="N/A",0,RTD("tos.rtd",,"IMPL_VOL","."&amp;V$2&amp;V$1&amp;"C"&amp;$A40))),0),IF($A$2="MAXPAIN",IF($A$4&gt;$A40,($A$4-$A40)*IF(RTD("tos.rtd",,"OPEN_INT","."&amp;V$2&amp;V$1&amp;"C"&amp;$A40)="N/A",0,RTD("tos.rtd",,"OPEN_INT","."&amp;V$2&amp;V$1&amp;"C"&amp;$A40)),0)+IF($A$4&lt;$A40,($A40-$A$4)*IF(RTD("tos.rtd",,"OPEN_INT","."&amp;V$2&amp;V$1&amp;"P"&amp;$A40)="N/A",0,RTD("tos.rtd",,"OPEN_INT","."&amp;V$2&amp;V$1&amp;"P"&amp;$A40)),0),IF(RTD("tos.rtd",,$A$2,"."&amp;V$2&amp;V$1&amp;"C"&amp;$A40)="N/A",0,RTD("tos.rtd",,$A$2,"."&amp;V$2&amp;V$1&amp;"C"&amp;$A40))-IF(RTD("tos.rtd",,$A$2,"."&amp;V$2&amp;V$1&amp;"P"&amp;$A40)="N/A",0,RTD("tos.rtd",,$A$2,"."&amp;V$2&amp;V$1&amp;"P"&amp;$A40)))))))))</f>
        <v>0</v>
      </c>
      <c r="W40" s="12">
        <f>IF($A$2="PREMIUM_OI",IFERROR((100*RTD("tos.rtd",,"OPEN_INT","."&amp;W$2&amp;W$1&amp;"C"&amp;$A40)*RTD("tos.rtd",,"LAST","."&amp;W$2&amp;W$1&amp;"C"&amp;$A40)-100*RTD("tos.rtd",,"OPEN_INT","."&amp;W$2&amp;W$1&amp;"P"&amp;$A40)*RTD("tos.rtd",,"LAST","."&amp;W$2&amp;W$1&amp;"P"&amp;$A40))/1000000,0),IF($A$2="PREMIUM",IFERROR((100*RTD("tos.rtd",,"VOLUME","."&amp;W$2&amp;W$1&amp;"C"&amp;$A40)*RTD("tos.rtd",,"LAST","."&amp;W$2&amp;W$1&amp;"C"&amp;$A40)-100*RTD("tos.rtd",,"VOLUME","."&amp;W$2&amp;W$1&amp;"P"&amp;$A40)*RTD("tos.rtd",,"LAST","."&amp;W$2&amp;W$1&amp;"P"&amp;$A40))/1000000,0),IF($A$2="DEX",IFERROR((100*RTD("tos.rtd",,"OPEN_INT","."&amp;W$2&amp;W$1&amp;"C"&amp;$A40)*RTD("tos.rtd",,"DELTA","."&amp;W$2&amp;W$1&amp;"C"&amp;$A40)-100*RTD("tos.rtd",,"OPEN_INT","."&amp;W$2&amp;W$1&amp;"P"&amp;$A40)*RTD("tos.rtd",,"DELTA","."&amp;W$2&amp;W$1&amp;"P"&amp;$A40))/1000,0),IF($A$2="VEX",IFERROR(($A$4*$A$4*RTD("tos.rtd",,"VOLUME","."&amp;W$2&amp;W$1&amp;"C"&amp;$A40)*RTD("tos.rtd",,"GAMMA","."&amp;W$2&amp;W$1&amp;"C"&amp;$A40)-$A$4*$A$4*RTD("tos.rtd",,"VOLUME","."&amp;W$2&amp;W$1&amp;"P"&amp;$A40)*RTD("tos.rtd",,"GAMMA","."&amp;W$2&amp;W$1&amp;"P"&amp;$A40))/1000000,0),IF($A$2="GEX",IFERROR(($A$4*$A$4*RTD("tos.rtd",,"OPEN_INT","."&amp;W$2&amp;W$1&amp;"C"&amp;$A40)*RTD("tos.rtd",,"GAMMA","."&amp;W$2&amp;W$1&amp;"C"&amp;$A40)-$A$4*$A$4*RTD("tos.rtd",,"OPEN_INT","."&amp;W$2&amp;W$1&amp;"P"&amp;$A40)*RTD("tos.rtd",,"GAMMA","."&amp;W$2&amp;W$1&amp;"P"&amp;$A40))/1000000,0),IF($A$2="SKEW",IFERROR(VALUE(IF(RTD("tos.rtd",,"IMPL_VOL","."&amp;W$2&amp;W$1&amp;"P"&amp;$A40)="N/A",0,RTD("tos.rtd",,"IMPL_VOL","."&amp;W$2&amp;W$1&amp;"P"&amp;$A40))),0)-IFERROR(VALUE(IF(RTD("tos.rtd",,"IMPL_VOL","."&amp;W$2&amp;W$1&amp;"C"&amp;$A40)="N/A",0,RTD("tos.rtd",,"IMPL_VOL","."&amp;W$2&amp;W$1&amp;"C"&amp;$A40))),0),IF($A$2="MAXPAIN",IF($A$4&gt;$A40,($A$4-$A40)*IF(RTD("tos.rtd",,"OPEN_INT","."&amp;W$2&amp;W$1&amp;"C"&amp;$A40)="N/A",0,RTD("tos.rtd",,"OPEN_INT","."&amp;W$2&amp;W$1&amp;"C"&amp;$A40)),0)+IF($A$4&lt;$A40,($A40-$A$4)*IF(RTD("tos.rtd",,"OPEN_INT","."&amp;W$2&amp;W$1&amp;"P"&amp;$A40)="N/A",0,RTD("tos.rtd",,"OPEN_INT","."&amp;W$2&amp;W$1&amp;"P"&amp;$A40)),0),IF(RTD("tos.rtd",,$A$2,"."&amp;W$2&amp;W$1&amp;"C"&amp;$A40)="N/A",0,RTD("tos.rtd",,$A$2,"."&amp;W$2&amp;W$1&amp;"C"&amp;$A40))-IF(RTD("tos.rtd",,$A$2,"."&amp;W$2&amp;W$1&amp;"P"&amp;$A40)="N/A",0,RTD("tos.rtd",,$A$2,"."&amp;W$2&amp;W$1&amp;"P"&amp;$A40)))))))))</f>
        <v>1513</v>
      </c>
      <c r="X40" s="12">
        <f t="shared" ca="1" si="7"/>
        <v>7836</v>
      </c>
      <c r="Y40" s="27">
        <f t="shared" ca="1" si="8"/>
        <v>7836</v>
      </c>
      <c r="AA40" s="35">
        <f>+IF($AJ$1,AJ40,TASTYOHLC!A40)</f>
        <v>0</v>
      </c>
      <c r="AB40" s="8">
        <f>+IF($AJ$1,AK40,TASTYOHLC!B40)</f>
        <v>0</v>
      </c>
      <c r="AC40" s="8">
        <f>+IF($AJ$1,AL40,TASTYOHLC!C40)</f>
        <v>0</v>
      </c>
      <c r="AD40" s="8">
        <f>+IF($AJ$1,AM40,TASTYOHLC!D40)</f>
        <v>0</v>
      </c>
      <c r="AE40" s="8">
        <f>+IF($AJ$1,AN40,TASTYOHLC!E40)</f>
        <v>0</v>
      </c>
      <c r="AF40" s="8"/>
      <c r="AJ40" s="37"/>
    </row>
    <row r="41" spans="1:36" s="19" customFormat="1" ht="11.1" customHeight="1" thickBot="1" x14ac:dyDescent="0.3">
      <c r="A41" s="23">
        <f t="shared" si="13"/>
        <v>1.5</v>
      </c>
      <c r="B41" s="14">
        <f>IF($A$2="PREMIUM_OI",IFERROR((100*RTD("tos.rtd",,"OPEN_INT","."&amp;B$2&amp;B$1&amp;"C"&amp;$A41)*RTD("tos.rtd",,"LAST","."&amp;B$2&amp;B$1&amp;"C"&amp;$A41)-100*RTD("tos.rtd",,"OPEN_INT","."&amp;B$2&amp;B$1&amp;"P"&amp;$A41)*RTD("tos.rtd",,"LAST","."&amp;B$2&amp;B$1&amp;"P"&amp;$A41))/1000000,0),IF($A$2="PREMIUM",IFERROR((100*RTD("tos.rtd",,"VOLUME","."&amp;B$2&amp;B$1&amp;"C"&amp;$A41)*RTD("tos.rtd",,"LAST","."&amp;B$2&amp;B$1&amp;"C"&amp;$A41)-100*RTD("tos.rtd",,"VOLUME","."&amp;B$2&amp;B$1&amp;"P"&amp;$A41)*RTD("tos.rtd",,"LAST","."&amp;B$2&amp;B$1&amp;"P"&amp;$A41))/1000000,0),IF($A$2="DEX",IFERROR((100*RTD("tos.rtd",,"OPEN_INT","."&amp;B$2&amp;B$1&amp;"C"&amp;$A41)*RTD("tos.rtd",,"DELTA","."&amp;B$2&amp;B$1&amp;"C"&amp;$A41)-100*RTD("tos.rtd",,"OPEN_INT","."&amp;B$2&amp;B$1&amp;"P"&amp;$A41)*RTD("tos.rtd",,"DELTA","."&amp;B$2&amp;B$1&amp;"P"&amp;$A41))/1000,0),IF($A$2="VEX",IFERROR(($A$4*$A$4*RTD("tos.rtd",,"VOLUME","."&amp;B$2&amp;B$1&amp;"C"&amp;$A41)*RTD("tos.rtd",,"GAMMA","."&amp;B$2&amp;B$1&amp;"C"&amp;$A41)-$A$4*$A$4*RTD("tos.rtd",,"VOLUME","."&amp;B$2&amp;B$1&amp;"P"&amp;$A41)*RTD("tos.rtd",,"GAMMA","."&amp;B$2&amp;B$1&amp;"P"&amp;$A41))/1000000,0),IF($A$2="GEX",IFERROR(($A$4*$A$4*RTD("tos.rtd",,"OPEN_INT","."&amp;B$2&amp;B$1&amp;"C"&amp;$A41)*RTD("tos.rtd",,"GAMMA","."&amp;B$2&amp;B$1&amp;"C"&amp;$A41)-$A$4*$A$4*RTD("tos.rtd",,"OPEN_INT","."&amp;B$2&amp;B$1&amp;"P"&amp;$A41)*RTD("tos.rtd",,"GAMMA","."&amp;B$2&amp;B$1&amp;"P"&amp;$A41))/1000000,0),IF($A$2="SKEW",IFERROR(VALUE(IF(RTD("tos.rtd",,"IMPL_VOL","."&amp;B$2&amp;B$1&amp;"P"&amp;$A41)="N/A",0,RTD("tos.rtd",,"IMPL_VOL","."&amp;B$2&amp;B$1&amp;"P"&amp;$A41))),0)-IFERROR(VALUE(IF(RTD("tos.rtd",,"IMPL_VOL","."&amp;B$2&amp;B$1&amp;"C"&amp;$A41)="N/A",0,RTD("tos.rtd",,"IMPL_VOL","."&amp;B$2&amp;B$1&amp;"C"&amp;$A41))),0),IF($A$2="MAXPAIN",IF($A$4&gt;$A41,($A$4-$A41)*IF(RTD("tos.rtd",,"OPEN_INT","."&amp;B$2&amp;B$1&amp;"C"&amp;$A41)="N/A",0,RTD("tos.rtd",,"OPEN_INT","."&amp;B$2&amp;B$1&amp;"C"&amp;$A41)),0)+IF($A$4&lt;$A41,($A41-$A$4)*IF(RTD("tos.rtd",,"OPEN_INT","."&amp;B$2&amp;B$1&amp;"P"&amp;$A41)="N/A",0,RTD("tos.rtd",,"OPEN_INT","."&amp;B$2&amp;B$1&amp;"P"&amp;$A41)),0),IF(RTD("tos.rtd",,$A$2,"."&amp;B$2&amp;B$1&amp;"C"&amp;$A41)="N/A",0,RTD("tos.rtd",,$A$2,"."&amp;B$2&amp;B$1&amp;"C"&amp;$A41))-IF(RTD("tos.rtd",,$A$2,"."&amp;B$2&amp;B$1&amp;"P"&amp;$A41)="N/A",0,RTD("tos.rtd",,$A$2,"."&amp;B$2&amp;B$1&amp;"P"&amp;$A41)))))))))</f>
        <v>0</v>
      </c>
      <c r="C41" s="12">
        <f>IF($A$2="PREMIUM_OI",IFERROR((100*RTD("tos.rtd",,"OPEN_INT","."&amp;C$2&amp;C$1&amp;"C"&amp;$A41)*RTD("tos.rtd",,"LAST","."&amp;C$2&amp;C$1&amp;"C"&amp;$A41)-100*RTD("tos.rtd",,"OPEN_INT","."&amp;C$2&amp;C$1&amp;"P"&amp;$A41)*RTD("tos.rtd",,"LAST","."&amp;C$2&amp;C$1&amp;"P"&amp;$A41))/1000000,0),IF($A$2="PREMIUM",IFERROR((100*RTD("tos.rtd",,"VOLUME","."&amp;C$2&amp;C$1&amp;"C"&amp;$A41)*RTD("tos.rtd",,"LAST","."&amp;C$2&amp;C$1&amp;"C"&amp;$A41)-100*RTD("tos.rtd",,"VOLUME","."&amp;C$2&amp;C$1&amp;"P"&amp;$A41)*RTD("tos.rtd",,"LAST","."&amp;C$2&amp;C$1&amp;"P"&amp;$A41))/1000000,0),IF($A$2="DEX",IFERROR((100*RTD("tos.rtd",,"OPEN_INT","."&amp;C$2&amp;C$1&amp;"C"&amp;$A41)*RTD("tos.rtd",,"DELTA","."&amp;C$2&amp;C$1&amp;"C"&amp;$A41)-100*RTD("tos.rtd",,"OPEN_INT","."&amp;C$2&amp;C$1&amp;"P"&amp;$A41)*RTD("tos.rtd",,"DELTA","."&amp;C$2&amp;C$1&amp;"P"&amp;$A41))/1000,0),IF($A$2="VEX",IFERROR(($A$4*$A$4*RTD("tos.rtd",,"VOLUME","."&amp;C$2&amp;C$1&amp;"C"&amp;$A41)*RTD("tos.rtd",,"GAMMA","."&amp;C$2&amp;C$1&amp;"C"&amp;$A41)-$A$4*$A$4*RTD("tos.rtd",,"VOLUME","."&amp;C$2&amp;C$1&amp;"P"&amp;$A41)*RTD("tos.rtd",,"GAMMA","."&amp;C$2&amp;C$1&amp;"P"&amp;$A41))/1000000,0),IF($A$2="GEX",IFERROR(($A$4*$A$4*RTD("tos.rtd",,"OPEN_INT","."&amp;C$2&amp;C$1&amp;"C"&amp;$A41)*RTD("tos.rtd",,"GAMMA","."&amp;C$2&amp;C$1&amp;"C"&amp;$A41)-$A$4*$A$4*RTD("tos.rtd",,"OPEN_INT","."&amp;C$2&amp;C$1&amp;"P"&amp;$A41)*RTD("tos.rtd",,"GAMMA","."&amp;C$2&amp;C$1&amp;"P"&amp;$A41))/1000000,0),IF($A$2="SKEW",IFERROR(VALUE(IF(RTD("tos.rtd",,"IMPL_VOL","."&amp;C$2&amp;C$1&amp;"P"&amp;$A41)="N/A",0,RTD("tos.rtd",,"IMPL_VOL","."&amp;C$2&amp;C$1&amp;"P"&amp;$A41))),0)-IFERROR(VALUE(IF(RTD("tos.rtd",,"IMPL_VOL","."&amp;C$2&amp;C$1&amp;"C"&amp;$A41)="N/A",0,RTD("tos.rtd",,"IMPL_VOL","."&amp;C$2&amp;C$1&amp;"C"&amp;$A41))),0),IF($A$2="MAXPAIN",IF($A$4&gt;$A41,($A$4-$A41)*IF(RTD("tos.rtd",,"OPEN_INT","."&amp;C$2&amp;C$1&amp;"C"&amp;$A41)="N/A",0,RTD("tos.rtd",,"OPEN_INT","."&amp;C$2&amp;C$1&amp;"C"&amp;$A41)),0)+IF($A$4&lt;$A41,($A41-$A$4)*IF(RTD("tos.rtd",,"OPEN_INT","."&amp;C$2&amp;C$1&amp;"P"&amp;$A41)="N/A",0,RTD("tos.rtd",,"OPEN_INT","."&amp;C$2&amp;C$1&amp;"P"&amp;$A41)),0),IF(RTD("tos.rtd",,$A$2,"."&amp;C$2&amp;C$1&amp;"C"&amp;$A41)="N/A",0,RTD("tos.rtd",,$A$2,"."&amp;C$2&amp;C$1&amp;"C"&amp;$A41))-IF(RTD("tos.rtd",,$A$2,"."&amp;C$2&amp;C$1&amp;"P"&amp;$A41)="N/A",0,RTD("tos.rtd",,$A$2,"."&amp;C$2&amp;C$1&amp;"P"&amp;$A41)))))))))</f>
        <v>-1885</v>
      </c>
      <c r="D41" s="12">
        <f>IF($A$2="PREMIUM_OI",IFERROR((100*RTD("tos.rtd",,"OPEN_INT","."&amp;D$2&amp;D$1&amp;"C"&amp;$A41)*RTD("tos.rtd",,"LAST","."&amp;D$2&amp;D$1&amp;"C"&amp;$A41)-100*RTD("tos.rtd",,"OPEN_INT","."&amp;D$2&amp;D$1&amp;"P"&amp;$A41)*RTD("tos.rtd",,"LAST","."&amp;D$2&amp;D$1&amp;"P"&amp;$A41))/1000000,0),IF($A$2="PREMIUM",IFERROR((100*RTD("tos.rtd",,"VOLUME","."&amp;D$2&amp;D$1&amp;"C"&amp;$A41)*RTD("tos.rtd",,"LAST","."&amp;D$2&amp;D$1&amp;"C"&amp;$A41)-100*RTD("tos.rtd",,"VOLUME","."&amp;D$2&amp;D$1&amp;"P"&amp;$A41)*RTD("tos.rtd",,"LAST","."&amp;D$2&amp;D$1&amp;"P"&amp;$A41))/1000000,0),IF($A$2="DEX",IFERROR((100*RTD("tos.rtd",,"OPEN_INT","."&amp;D$2&amp;D$1&amp;"C"&amp;$A41)*RTD("tos.rtd",,"DELTA","."&amp;D$2&amp;D$1&amp;"C"&amp;$A41)-100*RTD("tos.rtd",,"OPEN_INT","."&amp;D$2&amp;D$1&amp;"P"&amp;$A41)*RTD("tos.rtd",,"DELTA","."&amp;D$2&amp;D$1&amp;"P"&amp;$A41))/1000,0),IF($A$2="VEX",IFERROR(($A$4*$A$4*RTD("tos.rtd",,"VOLUME","."&amp;D$2&amp;D$1&amp;"C"&amp;$A41)*RTD("tos.rtd",,"GAMMA","."&amp;D$2&amp;D$1&amp;"C"&amp;$A41)-$A$4*$A$4*RTD("tos.rtd",,"VOLUME","."&amp;D$2&amp;D$1&amp;"P"&amp;$A41)*RTD("tos.rtd",,"GAMMA","."&amp;D$2&amp;D$1&amp;"P"&amp;$A41))/1000000,0),IF($A$2="GEX",IFERROR(($A$4*$A$4*RTD("tos.rtd",,"OPEN_INT","."&amp;D$2&amp;D$1&amp;"C"&amp;$A41)*RTD("tos.rtd",,"GAMMA","."&amp;D$2&amp;D$1&amp;"C"&amp;$A41)-$A$4*$A$4*RTD("tos.rtd",,"OPEN_INT","."&amp;D$2&amp;D$1&amp;"P"&amp;$A41)*RTD("tos.rtd",,"GAMMA","."&amp;D$2&amp;D$1&amp;"P"&amp;$A41))/1000000,0),IF($A$2="SKEW",IFERROR(VALUE(IF(RTD("tos.rtd",,"IMPL_VOL","."&amp;D$2&amp;D$1&amp;"P"&amp;$A41)="N/A",0,RTD("tos.rtd",,"IMPL_VOL","."&amp;D$2&amp;D$1&amp;"P"&amp;$A41))),0)-IFERROR(VALUE(IF(RTD("tos.rtd",,"IMPL_VOL","."&amp;D$2&amp;D$1&amp;"C"&amp;$A41)="N/A",0,RTD("tos.rtd",,"IMPL_VOL","."&amp;D$2&amp;D$1&amp;"C"&amp;$A41))),0),IF($A$2="MAXPAIN",IF($A$4&gt;$A41,($A$4-$A41)*IF(RTD("tos.rtd",,"OPEN_INT","."&amp;D$2&amp;D$1&amp;"C"&amp;$A41)="N/A",0,RTD("tos.rtd",,"OPEN_INT","."&amp;D$2&amp;D$1&amp;"C"&amp;$A41)),0)+IF($A$4&lt;$A41,($A41-$A$4)*IF(RTD("tos.rtd",,"OPEN_INT","."&amp;D$2&amp;D$1&amp;"P"&amp;$A41)="N/A",0,RTD("tos.rtd",,"OPEN_INT","."&amp;D$2&amp;D$1&amp;"P"&amp;$A41)),0),IF(RTD("tos.rtd",,$A$2,"."&amp;D$2&amp;D$1&amp;"C"&amp;$A41)="N/A",0,RTD("tos.rtd",,$A$2,"."&amp;D$2&amp;D$1&amp;"C"&amp;$A41))-IF(RTD("tos.rtd",,$A$2,"."&amp;D$2&amp;D$1&amp;"P"&amp;$A41)="N/A",0,RTD("tos.rtd",,$A$2,"."&amp;D$2&amp;D$1&amp;"P"&amp;$A41)))))))))</f>
        <v>0</v>
      </c>
      <c r="E41" s="12">
        <f>IF($A$2="PREMIUM_OI",IFERROR((100*RTD("tos.rtd",,"OPEN_INT","."&amp;E$2&amp;E$1&amp;"C"&amp;$A41)*RTD("tos.rtd",,"LAST","."&amp;E$2&amp;E$1&amp;"C"&amp;$A41)-100*RTD("tos.rtd",,"OPEN_INT","."&amp;E$2&amp;E$1&amp;"P"&amp;$A41)*RTD("tos.rtd",,"LAST","."&amp;E$2&amp;E$1&amp;"P"&amp;$A41))/1000000,0),IF($A$2="PREMIUM",IFERROR((100*RTD("tos.rtd",,"VOLUME","."&amp;E$2&amp;E$1&amp;"C"&amp;$A41)*RTD("tos.rtd",,"LAST","."&amp;E$2&amp;E$1&amp;"C"&amp;$A41)-100*RTD("tos.rtd",,"VOLUME","."&amp;E$2&amp;E$1&amp;"P"&amp;$A41)*RTD("tos.rtd",,"LAST","."&amp;E$2&amp;E$1&amp;"P"&amp;$A41))/1000000,0),IF($A$2="DEX",IFERROR((100*RTD("tos.rtd",,"OPEN_INT","."&amp;E$2&amp;E$1&amp;"C"&amp;$A41)*RTD("tos.rtd",,"DELTA","."&amp;E$2&amp;E$1&amp;"C"&amp;$A41)-100*RTD("tos.rtd",,"OPEN_INT","."&amp;E$2&amp;E$1&amp;"P"&amp;$A41)*RTD("tos.rtd",,"DELTA","."&amp;E$2&amp;E$1&amp;"P"&amp;$A41))/1000,0),IF($A$2="VEX",IFERROR(($A$4*$A$4*RTD("tos.rtd",,"VOLUME","."&amp;E$2&amp;E$1&amp;"C"&amp;$A41)*RTD("tos.rtd",,"GAMMA","."&amp;E$2&amp;E$1&amp;"C"&amp;$A41)-$A$4*$A$4*RTD("tos.rtd",,"VOLUME","."&amp;E$2&amp;E$1&amp;"P"&amp;$A41)*RTD("tos.rtd",,"GAMMA","."&amp;E$2&amp;E$1&amp;"P"&amp;$A41))/1000000,0),IF($A$2="GEX",IFERROR(($A$4*$A$4*RTD("tos.rtd",,"OPEN_INT","."&amp;E$2&amp;E$1&amp;"C"&amp;$A41)*RTD("tos.rtd",,"GAMMA","."&amp;E$2&amp;E$1&amp;"C"&amp;$A41)-$A$4*$A$4*RTD("tos.rtd",,"OPEN_INT","."&amp;E$2&amp;E$1&amp;"P"&amp;$A41)*RTD("tos.rtd",,"GAMMA","."&amp;E$2&amp;E$1&amp;"P"&amp;$A41))/1000000,0),IF($A$2="SKEW",IFERROR(VALUE(IF(RTD("tos.rtd",,"IMPL_VOL","."&amp;E$2&amp;E$1&amp;"P"&amp;$A41)="N/A",0,RTD("tos.rtd",,"IMPL_VOL","."&amp;E$2&amp;E$1&amp;"P"&amp;$A41))),0)-IFERROR(VALUE(IF(RTD("tos.rtd",,"IMPL_VOL","."&amp;E$2&amp;E$1&amp;"C"&amp;$A41)="N/A",0,RTD("tos.rtd",,"IMPL_VOL","."&amp;E$2&amp;E$1&amp;"C"&amp;$A41))),0),IF($A$2="MAXPAIN",IF($A$4&gt;$A41,($A$4-$A41)*IF(RTD("tos.rtd",,"OPEN_INT","."&amp;E$2&amp;E$1&amp;"C"&amp;$A41)="N/A",0,RTD("tos.rtd",,"OPEN_INT","."&amp;E$2&amp;E$1&amp;"C"&amp;$A41)),0)+IF($A$4&lt;$A41,($A41-$A$4)*IF(RTD("tos.rtd",,"OPEN_INT","."&amp;E$2&amp;E$1&amp;"P"&amp;$A41)="N/A",0,RTD("tos.rtd",,"OPEN_INT","."&amp;E$2&amp;E$1&amp;"P"&amp;$A41)),0),IF(RTD("tos.rtd",,$A$2,"."&amp;E$2&amp;E$1&amp;"C"&amp;$A41)="N/A",0,RTD("tos.rtd",,$A$2,"."&amp;E$2&amp;E$1&amp;"C"&amp;$A41))-IF(RTD("tos.rtd",,$A$2,"."&amp;E$2&amp;E$1&amp;"P"&amp;$A41)="N/A",0,RTD("tos.rtd",,$A$2,"."&amp;E$2&amp;E$1&amp;"P"&amp;$A41)))))))))</f>
        <v>0</v>
      </c>
      <c r="F41" s="12">
        <f>IF($A$2="PREMIUM_OI",IFERROR((100*RTD("tos.rtd",,"OPEN_INT","."&amp;F$2&amp;F$1&amp;"C"&amp;$A41)*RTD("tos.rtd",,"LAST","."&amp;F$2&amp;F$1&amp;"C"&amp;$A41)-100*RTD("tos.rtd",,"OPEN_INT","."&amp;F$2&amp;F$1&amp;"P"&amp;$A41)*RTD("tos.rtd",,"LAST","."&amp;F$2&amp;F$1&amp;"P"&amp;$A41))/1000000,0),IF($A$2="PREMIUM",IFERROR((100*RTD("tos.rtd",,"VOLUME","."&amp;F$2&amp;F$1&amp;"C"&amp;$A41)*RTD("tos.rtd",,"LAST","."&amp;F$2&amp;F$1&amp;"C"&amp;$A41)-100*RTD("tos.rtd",,"VOLUME","."&amp;F$2&amp;F$1&amp;"P"&amp;$A41)*RTD("tos.rtd",,"LAST","."&amp;F$2&amp;F$1&amp;"P"&amp;$A41))/1000000,0),IF($A$2="DEX",IFERROR((100*RTD("tos.rtd",,"OPEN_INT","."&amp;F$2&amp;F$1&amp;"C"&amp;$A41)*RTD("tos.rtd",,"DELTA","."&amp;F$2&amp;F$1&amp;"C"&amp;$A41)-100*RTD("tos.rtd",,"OPEN_INT","."&amp;F$2&amp;F$1&amp;"P"&amp;$A41)*RTD("tos.rtd",,"DELTA","."&amp;F$2&amp;F$1&amp;"P"&amp;$A41))/1000,0),IF($A$2="VEX",IFERROR(($A$4*$A$4*RTD("tos.rtd",,"VOLUME","."&amp;F$2&amp;F$1&amp;"C"&amp;$A41)*RTD("tos.rtd",,"GAMMA","."&amp;F$2&amp;F$1&amp;"C"&amp;$A41)-$A$4*$A$4*RTD("tos.rtd",,"VOLUME","."&amp;F$2&amp;F$1&amp;"P"&amp;$A41)*RTD("tos.rtd",,"GAMMA","."&amp;F$2&amp;F$1&amp;"P"&amp;$A41))/1000000,0),IF($A$2="GEX",IFERROR(($A$4*$A$4*RTD("tos.rtd",,"OPEN_INT","."&amp;F$2&amp;F$1&amp;"C"&amp;$A41)*RTD("tos.rtd",,"GAMMA","."&amp;F$2&amp;F$1&amp;"C"&amp;$A41)-$A$4*$A$4*RTD("tos.rtd",,"OPEN_INT","."&amp;F$2&amp;F$1&amp;"P"&amp;$A41)*RTD("tos.rtd",,"GAMMA","."&amp;F$2&amp;F$1&amp;"P"&amp;$A41))/1000000,0),IF($A$2="SKEW",IFERROR(VALUE(IF(RTD("tos.rtd",,"IMPL_VOL","."&amp;F$2&amp;F$1&amp;"P"&amp;$A41)="N/A",0,RTD("tos.rtd",,"IMPL_VOL","."&amp;F$2&amp;F$1&amp;"P"&amp;$A41))),0)-IFERROR(VALUE(IF(RTD("tos.rtd",,"IMPL_VOL","."&amp;F$2&amp;F$1&amp;"C"&amp;$A41)="N/A",0,RTD("tos.rtd",,"IMPL_VOL","."&amp;F$2&amp;F$1&amp;"C"&amp;$A41))),0),IF($A$2="MAXPAIN",IF($A$4&gt;$A41,($A$4-$A41)*IF(RTD("tos.rtd",,"OPEN_INT","."&amp;F$2&amp;F$1&amp;"C"&amp;$A41)="N/A",0,RTD("tos.rtd",,"OPEN_INT","."&amp;F$2&amp;F$1&amp;"C"&amp;$A41)),0)+IF($A$4&lt;$A41,($A41-$A$4)*IF(RTD("tos.rtd",,"OPEN_INT","."&amp;F$2&amp;F$1&amp;"P"&amp;$A41)="N/A",0,RTD("tos.rtd",,"OPEN_INT","."&amp;F$2&amp;F$1&amp;"P"&amp;$A41)),0),IF(RTD("tos.rtd",,$A$2,"."&amp;F$2&amp;F$1&amp;"C"&amp;$A41)="N/A",0,RTD("tos.rtd",,$A$2,"."&amp;F$2&amp;F$1&amp;"C"&amp;$A41))-IF(RTD("tos.rtd",,$A$2,"."&amp;F$2&amp;F$1&amp;"P"&amp;$A41)="N/A",0,RTD("tos.rtd",,$A$2,"."&amp;F$2&amp;F$1&amp;"P"&amp;$A41)))))))))</f>
        <v>0</v>
      </c>
      <c r="G41" s="14">
        <f>IF($A$2="PREMIUM_OI",IFERROR((100*RTD("tos.rtd",,"OPEN_INT","."&amp;G$2&amp;G$1&amp;"C"&amp;$A41)*RTD("tos.rtd",,"LAST","."&amp;G$2&amp;G$1&amp;"C"&amp;$A41)-100*RTD("tos.rtd",,"OPEN_INT","."&amp;G$2&amp;G$1&amp;"P"&amp;$A41)*RTD("tos.rtd",,"LAST","."&amp;G$2&amp;G$1&amp;"P"&amp;$A41))/1000000,0),IF($A$2="PREMIUM",IFERROR((100*RTD("tos.rtd",,"VOLUME","."&amp;G$2&amp;G$1&amp;"C"&amp;$A41)*RTD("tos.rtd",,"LAST","."&amp;G$2&amp;G$1&amp;"C"&amp;$A41)-100*RTD("tos.rtd",,"VOLUME","."&amp;G$2&amp;G$1&amp;"P"&amp;$A41)*RTD("tos.rtd",,"LAST","."&amp;G$2&amp;G$1&amp;"P"&amp;$A41))/1000000,0),IF($A$2="DEX",IFERROR((100*RTD("tos.rtd",,"OPEN_INT","."&amp;G$2&amp;G$1&amp;"C"&amp;$A41)*RTD("tos.rtd",,"DELTA","."&amp;G$2&amp;G$1&amp;"C"&amp;$A41)-100*RTD("tos.rtd",,"OPEN_INT","."&amp;G$2&amp;G$1&amp;"P"&amp;$A41)*RTD("tos.rtd",,"DELTA","."&amp;G$2&amp;G$1&amp;"P"&amp;$A41))/1000,0),IF($A$2="VEX",IFERROR(($A$4*$A$4*RTD("tos.rtd",,"VOLUME","."&amp;G$2&amp;G$1&amp;"C"&amp;$A41)*RTD("tos.rtd",,"GAMMA","."&amp;G$2&amp;G$1&amp;"C"&amp;$A41)-$A$4*$A$4*RTD("tos.rtd",,"VOLUME","."&amp;G$2&amp;G$1&amp;"P"&amp;$A41)*RTD("tos.rtd",,"GAMMA","."&amp;G$2&amp;G$1&amp;"P"&amp;$A41))/1000000,0),IF($A$2="GEX",IFERROR(($A$4*$A$4*RTD("tos.rtd",,"OPEN_INT","."&amp;G$2&amp;G$1&amp;"C"&amp;$A41)*RTD("tos.rtd",,"GAMMA","."&amp;G$2&amp;G$1&amp;"C"&amp;$A41)-$A$4*$A$4*RTD("tos.rtd",,"OPEN_INT","."&amp;G$2&amp;G$1&amp;"P"&amp;$A41)*RTD("tos.rtd",,"GAMMA","."&amp;G$2&amp;G$1&amp;"P"&amp;$A41))/1000000,0),IF($A$2="SKEW",IFERROR(VALUE(IF(RTD("tos.rtd",,"IMPL_VOL","."&amp;G$2&amp;G$1&amp;"P"&amp;$A41)="N/A",0,RTD("tos.rtd",,"IMPL_VOL","."&amp;G$2&amp;G$1&amp;"P"&amp;$A41))),0)-IFERROR(VALUE(IF(RTD("tos.rtd",,"IMPL_VOL","."&amp;G$2&amp;G$1&amp;"C"&amp;$A41)="N/A",0,RTD("tos.rtd",,"IMPL_VOL","."&amp;G$2&amp;G$1&amp;"C"&amp;$A41))),0),IF($A$2="MAXPAIN",IF($A$4&gt;$A41,($A$4-$A41)*IF(RTD("tos.rtd",,"OPEN_INT","."&amp;G$2&amp;G$1&amp;"C"&amp;$A41)="N/A",0,RTD("tos.rtd",,"OPEN_INT","."&amp;G$2&amp;G$1&amp;"C"&amp;$A41)),0)+IF($A$4&lt;$A41,($A41-$A$4)*IF(RTD("tos.rtd",,"OPEN_INT","."&amp;G$2&amp;G$1&amp;"P"&amp;$A41)="N/A",0,RTD("tos.rtd",,"OPEN_INT","."&amp;G$2&amp;G$1&amp;"P"&amp;$A41)),0),IF(RTD("tos.rtd",,$A$2,"."&amp;G$2&amp;G$1&amp;"C"&amp;$A41)="N/A",0,RTD("tos.rtd",,$A$2,"."&amp;G$2&amp;G$1&amp;"C"&amp;$A41))-IF(RTD("tos.rtd",,$A$2,"."&amp;G$2&amp;G$1&amp;"P"&amp;$A41)="N/A",0,RTD("tos.rtd",,$A$2,"."&amp;G$2&amp;G$1&amp;"P"&amp;$A41)))))))))</f>
        <v>0</v>
      </c>
      <c r="H41" s="12">
        <f>IF($A$2="PREMIUM_OI",IFERROR((100*RTD("tos.rtd",,"OPEN_INT","."&amp;H$2&amp;H$1&amp;"C"&amp;$A41)*RTD("tos.rtd",,"LAST","."&amp;H$2&amp;H$1&amp;"C"&amp;$A41)-100*RTD("tos.rtd",,"OPEN_INT","."&amp;H$2&amp;H$1&amp;"P"&amp;$A41)*RTD("tos.rtd",,"LAST","."&amp;H$2&amp;H$1&amp;"P"&amp;$A41))/1000000,0),IF($A$2="PREMIUM",IFERROR((100*RTD("tos.rtd",,"VOLUME","."&amp;H$2&amp;H$1&amp;"C"&amp;$A41)*RTD("tos.rtd",,"LAST","."&amp;H$2&amp;H$1&amp;"C"&amp;$A41)-100*RTD("tos.rtd",,"VOLUME","."&amp;H$2&amp;H$1&amp;"P"&amp;$A41)*RTD("tos.rtd",,"LAST","."&amp;H$2&amp;H$1&amp;"P"&amp;$A41))/1000000,0),IF($A$2="DEX",IFERROR((100*RTD("tos.rtd",,"OPEN_INT","."&amp;H$2&amp;H$1&amp;"C"&amp;$A41)*RTD("tos.rtd",,"DELTA","."&amp;H$2&amp;H$1&amp;"C"&amp;$A41)-100*RTD("tos.rtd",,"OPEN_INT","."&amp;H$2&amp;H$1&amp;"P"&amp;$A41)*RTD("tos.rtd",,"DELTA","."&amp;H$2&amp;H$1&amp;"P"&amp;$A41))/1000,0),IF($A$2="VEX",IFERROR(($A$4*$A$4*RTD("tos.rtd",,"VOLUME","."&amp;H$2&amp;H$1&amp;"C"&amp;$A41)*RTD("tos.rtd",,"GAMMA","."&amp;H$2&amp;H$1&amp;"C"&amp;$A41)-$A$4*$A$4*RTD("tos.rtd",,"VOLUME","."&amp;H$2&amp;H$1&amp;"P"&amp;$A41)*RTD("tos.rtd",,"GAMMA","."&amp;H$2&amp;H$1&amp;"P"&amp;$A41))/1000000,0),IF($A$2="GEX",IFERROR(($A$4*$A$4*RTD("tos.rtd",,"OPEN_INT","."&amp;H$2&amp;H$1&amp;"C"&amp;$A41)*RTD("tos.rtd",,"GAMMA","."&amp;H$2&amp;H$1&amp;"C"&amp;$A41)-$A$4*$A$4*RTD("tos.rtd",,"OPEN_INT","."&amp;H$2&amp;H$1&amp;"P"&amp;$A41)*RTD("tos.rtd",,"GAMMA","."&amp;H$2&amp;H$1&amp;"P"&amp;$A41))/1000000,0),IF($A$2="SKEW",IFERROR(VALUE(IF(RTD("tos.rtd",,"IMPL_VOL","."&amp;H$2&amp;H$1&amp;"P"&amp;$A41)="N/A",0,RTD("tos.rtd",,"IMPL_VOL","."&amp;H$2&amp;H$1&amp;"P"&amp;$A41))),0)-IFERROR(VALUE(IF(RTD("tos.rtd",,"IMPL_VOL","."&amp;H$2&amp;H$1&amp;"C"&amp;$A41)="N/A",0,RTD("tos.rtd",,"IMPL_VOL","."&amp;H$2&amp;H$1&amp;"C"&amp;$A41))),0),IF($A$2="MAXPAIN",IF($A$4&gt;$A41,($A$4-$A41)*IF(RTD("tos.rtd",,"OPEN_INT","."&amp;H$2&amp;H$1&amp;"C"&amp;$A41)="N/A",0,RTD("tos.rtd",,"OPEN_INT","."&amp;H$2&amp;H$1&amp;"C"&amp;$A41)),0)+IF($A$4&lt;$A41,($A41-$A$4)*IF(RTD("tos.rtd",,"OPEN_INT","."&amp;H$2&amp;H$1&amp;"P"&amp;$A41)="N/A",0,RTD("tos.rtd",,"OPEN_INT","."&amp;H$2&amp;H$1&amp;"P"&amp;$A41)),0),IF(RTD("tos.rtd",,$A$2,"."&amp;H$2&amp;H$1&amp;"C"&amp;$A41)="N/A",0,RTD("tos.rtd",,$A$2,"."&amp;H$2&amp;H$1&amp;"C"&amp;$A41))-IF(RTD("tos.rtd",,$A$2,"."&amp;H$2&amp;H$1&amp;"P"&amp;$A41)="N/A",0,RTD("tos.rtd",,$A$2,"."&amp;H$2&amp;H$1&amp;"P"&amp;$A41)))))))))</f>
        <v>-7641</v>
      </c>
      <c r="I41" s="12">
        <f>IF($A$2="PREMIUM_OI",IFERROR((100*RTD("tos.rtd",,"OPEN_INT","."&amp;I$2&amp;I$1&amp;"C"&amp;$A41)*RTD("tos.rtd",,"LAST","."&amp;I$2&amp;I$1&amp;"C"&amp;$A41)-100*RTD("tos.rtd",,"OPEN_INT","."&amp;I$2&amp;I$1&amp;"P"&amp;$A41)*RTD("tos.rtd",,"LAST","."&amp;I$2&amp;I$1&amp;"P"&amp;$A41))/1000000,0),IF($A$2="PREMIUM",IFERROR((100*RTD("tos.rtd",,"VOLUME","."&amp;I$2&amp;I$1&amp;"C"&amp;$A41)*RTD("tos.rtd",,"LAST","."&amp;I$2&amp;I$1&amp;"C"&amp;$A41)-100*RTD("tos.rtd",,"VOLUME","."&amp;I$2&amp;I$1&amp;"P"&amp;$A41)*RTD("tos.rtd",,"LAST","."&amp;I$2&amp;I$1&amp;"P"&amp;$A41))/1000000,0),IF($A$2="DEX",IFERROR((100*RTD("tos.rtd",,"OPEN_INT","."&amp;I$2&amp;I$1&amp;"C"&amp;$A41)*RTD("tos.rtd",,"DELTA","."&amp;I$2&amp;I$1&amp;"C"&amp;$A41)-100*RTD("tos.rtd",,"OPEN_INT","."&amp;I$2&amp;I$1&amp;"P"&amp;$A41)*RTD("tos.rtd",,"DELTA","."&amp;I$2&amp;I$1&amp;"P"&amp;$A41))/1000,0),IF($A$2="VEX",IFERROR(($A$4*$A$4*RTD("tos.rtd",,"VOLUME","."&amp;I$2&amp;I$1&amp;"C"&amp;$A41)*RTD("tos.rtd",,"GAMMA","."&amp;I$2&amp;I$1&amp;"C"&amp;$A41)-$A$4*$A$4*RTD("tos.rtd",,"VOLUME","."&amp;I$2&amp;I$1&amp;"P"&amp;$A41)*RTD("tos.rtd",,"GAMMA","."&amp;I$2&amp;I$1&amp;"P"&amp;$A41))/1000000,0),IF($A$2="GEX",IFERROR(($A$4*$A$4*RTD("tos.rtd",,"OPEN_INT","."&amp;I$2&amp;I$1&amp;"C"&amp;$A41)*RTD("tos.rtd",,"GAMMA","."&amp;I$2&amp;I$1&amp;"C"&amp;$A41)-$A$4*$A$4*RTD("tos.rtd",,"OPEN_INT","."&amp;I$2&amp;I$1&amp;"P"&amp;$A41)*RTD("tos.rtd",,"GAMMA","."&amp;I$2&amp;I$1&amp;"P"&amp;$A41))/1000000,0),IF($A$2="SKEW",IFERROR(VALUE(IF(RTD("tos.rtd",,"IMPL_VOL","."&amp;I$2&amp;I$1&amp;"P"&amp;$A41)="N/A",0,RTD("tos.rtd",,"IMPL_VOL","."&amp;I$2&amp;I$1&amp;"P"&amp;$A41))),0)-IFERROR(VALUE(IF(RTD("tos.rtd",,"IMPL_VOL","."&amp;I$2&amp;I$1&amp;"C"&amp;$A41)="N/A",0,RTD("tos.rtd",,"IMPL_VOL","."&amp;I$2&amp;I$1&amp;"C"&amp;$A41))),0),IF($A$2="MAXPAIN",IF($A$4&gt;$A41,($A$4-$A41)*IF(RTD("tos.rtd",,"OPEN_INT","."&amp;I$2&amp;I$1&amp;"C"&amp;$A41)="N/A",0,RTD("tos.rtd",,"OPEN_INT","."&amp;I$2&amp;I$1&amp;"C"&amp;$A41)),0)+IF($A$4&lt;$A41,($A41-$A$4)*IF(RTD("tos.rtd",,"OPEN_INT","."&amp;I$2&amp;I$1&amp;"P"&amp;$A41)="N/A",0,RTD("tos.rtd",,"OPEN_INT","."&amp;I$2&amp;I$1&amp;"P"&amp;$A41)),0),IF(RTD("tos.rtd",,$A$2,"."&amp;I$2&amp;I$1&amp;"C"&amp;$A41)="N/A",0,RTD("tos.rtd",,$A$2,"."&amp;I$2&amp;I$1&amp;"C"&amp;$A41))-IF(RTD("tos.rtd",,$A$2,"."&amp;I$2&amp;I$1&amp;"P"&amp;$A41)="N/A",0,RTD("tos.rtd",,$A$2,"."&amp;I$2&amp;I$1&amp;"P"&amp;$A41)))))))))</f>
        <v>0</v>
      </c>
      <c r="J41" s="12">
        <f>IF($A$2="PREMIUM_OI",IFERROR((100*RTD("tos.rtd",,"OPEN_INT","."&amp;J$2&amp;J$1&amp;"C"&amp;$A41)*RTD("tos.rtd",,"LAST","."&amp;J$2&amp;J$1&amp;"C"&amp;$A41)-100*RTD("tos.rtd",,"OPEN_INT","."&amp;J$2&amp;J$1&amp;"P"&amp;$A41)*RTD("tos.rtd",,"LAST","."&amp;J$2&amp;J$1&amp;"P"&amp;$A41))/1000000,0),IF($A$2="PREMIUM",IFERROR((100*RTD("tos.rtd",,"VOLUME","."&amp;J$2&amp;J$1&amp;"C"&amp;$A41)*RTD("tos.rtd",,"LAST","."&amp;J$2&amp;J$1&amp;"C"&amp;$A41)-100*RTD("tos.rtd",,"VOLUME","."&amp;J$2&amp;J$1&amp;"P"&amp;$A41)*RTD("tos.rtd",,"LAST","."&amp;J$2&amp;J$1&amp;"P"&amp;$A41))/1000000,0),IF($A$2="DEX",IFERROR((100*RTD("tos.rtd",,"OPEN_INT","."&amp;J$2&amp;J$1&amp;"C"&amp;$A41)*RTD("tos.rtd",,"DELTA","."&amp;J$2&amp;J$1&amp;"C"&amp;$A41)-100*RTD("tos.rtd",,"OPEN_INT","."&amp;J$2&amp;J$1&amp;"P"&amp;$A41)*RTD("tos.rtd",,"DELTA","."&amp;J$2&amp;J$1&amp;"P"&amp;$A41))/1000,0),IF($A$2="VEX",IFERROR(($A$4*$A$4*RTD("tos.rtd",,"VOLUME","."&amp;J$2&amp;J$1&amp;"C"&amp;$A41)*RTD("tos.rtd",,"GAMMA","."&amp;J$2&amp;J$1&amp;"C"&amp;$A41)-$A$4*$A$4*RTD("tos.rtd",,"VOLUME","."&amp;J$2&amp;J$1&amp;"P"&amp;$A41)*RTD("tos.rtd",,"GAMMA","."&amp;J$2&amp;J$1&amp;"P"&amp;$A41))/1000000,0),IF($A$2="GEX",IFERROR(($A$4*$A$4*RTD("tos.rtd",,"OPEN_INT","."&amp;J$2&amp;J$1&amp;"C"&amp;$A41)*RTD("tos.rtd",,"GAMMA","."&amp;J$2&amp;J$1&amp;"C"&amp;$A41)-$A$4*$A$4*RTD("tos.rtd",,"OPEN_INT","."&amp;J$2&amp;J$1&amp;"P"&amp;$A41)*RTD("tos.rtd",,"GAMMA","."&amp;J$2&amp;J$1&amp;"P"&amp;$A41))/1000000,0),IF($A$2="SKEW",IFERROR(VALUE(IF(RTD("tos.rtd",,"IMPL_VOL","."&amp;J$2&amp;J$1&amp;"P"&amp;$A41)="N/A",0,RTD("tos.rtd",,"IMPL_VOL","."&amp;J$2&amp;J$1&amp;"P"&amp;$A41))),0)-IFERROR(VALUE(IF(RTD("tos.rtd",,"IMPL_VOL","."&amp;J$2&amp;J$1&amp;"C"&amp;$A41)="N/A",0,RTD("tos.rtd",,"IMPL_VOL","."&amp;J$2&amp;J$1&amp;"C"&amp;$A41))),0),IF($A$2="MAXPAIN",IF($A$4&gt;$A41,($A$4-$A41)*IF(RTD("tos.rtd",,"OPEN_INT","."&amp;J$2&amp;J$1&amp;"C"&amp;$A41)="N/A",0,RTD("tos.rtd",,"OPEN_INT","."&amp;J$2&amp;J$1&amp;"C"&amp;$A41)),0)+IF($A$4&lt;$A41,($A41-$A$4)*IF(RTD("tos.rtd",,"OPEN_INT","."&amp;J$2&amp;J$1&amp;"P"&amp;$A41)="N/A",0,RTD("tos.rtd",,"OPEN_INT","."&amp;J$2&amp;J$1&amp;"P"&amp;$A41)),0),IF(RTD("tos.rtd",,$A$2,"."&amp;J$2&amp;J$1&amp;"C"&amp;$A41)="N/A",0,RTD("tos.rtd",,$A$2,"."&amp;J$2&amp;J$1&amp;"C"&amp;$A41))-IF(RTD("tos.rtd",,$A$2,"."&amp;J$2&amp;J$1&amp;"P"&amp;$A41)="N/A",0,RTD("tos.rtd",,$A$2,"."&amp;J$2&amp;J$1&amp;"P"&amp;$A41)))))))))</f>
        <v>0</v>
      </c>
      <c r="K41" s="12">
        <f>IF($A$2="PREMIUM_OI",IFERROR((100*RTD("tos.rtd",,"OPEN_INT","."&amp;K$2&amp;K$1&amp;"C"&amp;$A41)*RTD("tos.rtd",,"LAST","."&amp;K$2&amp;K$1&amp;"C"&amp;$A41)-100*RTD("tos.rtd",,"OPEN_INT","."&amp;K$2&amp;K$1&amp;"P"&amp;$A41)*RTD("tos.rtd",,"LAST","."&amp;K$2&amp;K$1&amp;"P"&amp;$A41))/1000000,0),IF($A$2="PREMIUM",IFERROR((100*RTD("tos.rtd",,"VOLUME","."&amp;K$2&amp;K$1&amp;"C"&amp;$A41)*RTD("tos.rtd",,"LAST","."&amp;K$2&amp;K$1&amp;"C"&amp;$A41)-100*RTD("tos.rtd",,"VOLUME","."&amp;K$2&amp;K$1&amp;"P"&amp;$A41)*RTD("tos.rtd",,"LAST","."&amp;K$2&amp;K$1&amp;"P"&amp;$A41))/1000000,0),IF($A$2="DEX",IFERROR((100*RTD("tos.rtd",,"OPEN_INT","."&amp;K$2&amp;K$1&amp;"C"&amp;$A41)*RTD("tos.rtd",,"DELTA","."&amp;K$2&amp;K$1&amp;"C"&amp;$A41)-100*RTD("tos.rtd",,"OPEN_INT","."&amp;K$2&amp;K$1&amp;"P"&amp;$A41)*RTD("tos.rtd",,"DELTA","."&amp;K$2&amp;K$1&amp;"P"&amp;$A41))/1000,0),IF($A$2="VEX",IFERROR(($A$4*$A$4*RTD("tos.rtd",,"VOLUME","."&amp;K$2&amp;K$1&amp;"C"&amp;$A41)*RTD("tos.rtd",,"GAMMA","."&amp;K$2&amp;K$1&amp;"C"&amp;$A41)-$A$4*$A$4*RTD("tos.rtd",,"VOLUME","."&amp;K$2&amp;K$1&amp;"P"&amp;$A41)*RTD("tos.rtd",,"GAMMA","."&amp;K$2&amp;K$1&amp;"P"&amp;$A41))/1000000,0),IF($A$2="GEX",IFERROR(($A$4*$A$4*RTD("tos.rtd",,"OPEN_INT","."&amp;K$2&amp;K$1&amp;"C"&amp;$A41)*RTD("tos.rtd",,"GAMMA","."&amp;K$2&amp;K$1&amp;"C"&amp;$A41)-$A$4*$A$4*RTD("tos.rtd",,"OPEN_INT","."&amp;K$2&amp;K$1&amp;"P"&amp;$A41)*RTD("tos.rtd",,"GAMMA","."&amp;K$2&amp;K$1&amp;"P"&amp;$A41))/1000000,0),IF($A$2="SKEW",IFERROR(VALUE(IF(RTD("tos.rtd",,"IMPL_VOL","."&amp;K$2&amp;K$1&amp;"P"&amp;$A41)="N/A",0,RTD("tos.rtd",,"IMPL_VOL","."&amp;K$2&amp;K$1&amp;"P"&amp;$A41))),0)-IFERROR(VALUE(IF(RTD("tos.rtd",,"IMPL_VOL","."&amp;K$2&amp;K$1&amp;"C"&amp;$A41)="N/A",0,RTD("tos.rtd",,"IMPL_VOL","."&amp;K$2&amp;K$1&amp;"C"&amp;$A41))),0),IF($A$2="MAXPAIN",IF($A$4&gt;$A41,($A$4-$A41)*IF(RTD("tos.rtd",,"OPEN_INT","."&amp;K$2&amp;K$1&amp;"C"&amp;$A41)="N/A",0,RTD("tos.rtd",,"OPEN_INT","."&amp;K$2&amp;K$1&amp;"C"&amp;$A41)),0)+IF($A$4&lt;$A41,($A41-$A$4)*IF(RTD("tos.rtd",,"OPEN_INT","."&amp;K$2&amp;K$1&amp;"P"&amp;$A41)="N/A",0,RTD("tos.rtd",,"OPEN_INT","."&amp;K$2&amp;K$1&amp;"P"&amp;$A41)),0),IF(RTD("tos.rtd",,$A$2,"."&amp;K$2&amp;K$1&amp;"C"&amp;$A41)="N/A",0,RTD("tos.rtd",,$A$2,"."&amp;K$2&amp;K$1&amp;"C"&amp;$A41))-IF(RTD("tos.rtd",,$A$2,"."&amp;K$2&amp;K$1&amp;"P"&amp;$A41)="N/A",0,RTD("tos.rtd",,$A$2,"."&amp;K$2&amp;K$1&amp;"P"&amp;$A41)))))))))</f>
        <v>0</v>
      </c>
      <c r="L41" s="12">
        <f>IF($A$2="PREMIUM_OI",IFERROR((100*RTD("tos.rtd",,"OPEN_INT","."&amp;L$2&amp;L$1&amp;"C"&amp;$A41)*RTD("tos.rtd",,"LAST","."&amp;L$2&amp;L$1&amp;"C"&amp;$A41)-100*RTD("tos.rtd",,"OPEN_INT","."&amp;L$2&amp;L$1&amp;"P"&amp;$A41)*RTD("tos.rtd",,"LAST","."&amp;L$2&amp;L$1&amp;"P"&amp;$A41))/1000000,0),IF($A$2="PREMIUM",IFERROR((100*RTD("tos.rtd",,"VOLUME","."&amp;L$2&amp;L$1&amp;"C"&amp;$A41)*RTD("tos.rtd",,"LAST","."&amp;L$2&amp;L$1&amp;"C"&amp;$A41)-100*RTD("tos.rtd",,"VOLUME","."&amp;L$2&amp;L$1&amp;"P"&amp;$A41)*RTD("tos.rtd",,"LAST","."&amp;L$2&amp;L$1&amp;"P"&amp;$A41))/1000000,0),IF($A$2="DEX",IFERROR((100*RTD("tos.rtd",,"OPEN_INT","."&amp;L$2&amp;L$1&amp;"C"&amp;$A41)*RTD("tos.rtd",,"DELTA","."&amp;L$2&amp;L$1&amp;"C"&amp;$A41)-100*RTD("tos.rtd",,"OPEN_INT","."&amp;L$2&amp;L$1&amp;"P"&amp;$A41)*RTD("tos.rtd",,"DELTA","."&amp;L$2&amp;L$1&amp;"P"&amp;$A41))/1000,0),IF($A$2="VEX",IFERROR(($A$4*$A$4*RTD("tos.rtd",,"VOLUME","."&amp;L$2&amp;L$1&amp;"C"&amp;$A41)*RTD("tos.rtd",,"GAMMA","."&amp;L$2&amp;L$1&amp;"C"&amp;$A41)-$A$4*$A$4*RTD("tos.rtd",,"VOLUME","."&amp;L$2&amp;L$1&amp;"P"&amp;$A41)*RTD("tos.rtd",,"GAMMA","."&amp;L$2&amp;L$1&amp;"P"&amp;$A41))/1000000,0),IF($A$2="GEX",IFERROR(($A$4*$A$4*RTD("tos.rtd",,"OPEN_INT","."&amp;L$2&amp;L$1&amp;"C"&amp;$A41)*RTD("tos.rtd",,"GAMMA","."&amp;L$2&amp;L$1&amp;"C"&amp;$A41)-$A$4*$A$4*RTD("tos.rtd",,"OPEN_INT","."&amp;L$2&amp;L$1&amp;"P"&amp;$A41)*RTD("tos.rtd",,"GAMMA","."&amp;L$2&amp;L$1&amp;"P"&amp;$A41))/1000000,0),IF($A$2="SKEW",IFERROR(VALUE(IF(RTD("tos.rtd",,"IMPL_VOL","."&amp;L$2&amp;L$1&amp;"P"&amp;$A41)="N/A",0,RTD("tos.rtd",,"IMPL_VOL","."&amp;L$2&amp;L$1&amp;"P"&amp;$A41))),0)-IFERROR(VALUE(IF(RTD("tos.rtd",,"IMPL_VOL","."&amp;L$2&amp;L$1&amp;"C"&amp;$A41)="N/A",0,RTD("tos.rtd",,"IMPL_VOL","."&amp;L$2&amp;L$1&amp;"C"&amp;$A41))),0),IF($A$2="MAXPAIN",IF($A$4&gt;$A41,($A$4-$A41)*IF(RTD("tos.rtd",,"OPEN_INT","."&amp;L$2&amp;L$1&amp;"C"&amp;$A41)="N/A",0,RTD("tos.rtd",,"OPEN_INT","."&amp;L$2&amp;L$1&amp;"C"&amp;$A41)),0)+IF($A$4&lt;$A41,($A41-$A$4)*IF(RTD("tos.rtd",,"OPEN_INT","."&amp;L$2&amp;L$1&amp;"P"&amp;$A41)="N/A",0,RTD("tos.rtd",,"OPEN_INT","."&amp;L$2&amp;L$1&amp;"P"&amp;$A41)),0),IF(RTD("tos.rtd",,$A$2,"."&amp;L$2&amp;L$1&amp;"C"&amp;$A41)="N/A",0,RTD("tos.rtd",,$A$2,"."&amp;L$2&amp;L$1&amp;"C"&amp;$A41))-IF(RTD("tos.rtd",,$A$2,"."&amp;L$2&amp;L$1&amp;"P"&amp;$A41)="N/A",0,RTD("tos.rtd",,$A$2,"."&amp;L$2&amp;L$1&amp;"P"&amp;$A41)))))))))</f>
        <v>0</v>
      </c>
      <c r="M41" s="12">
        <f>IF($A$2="PREMIUM_OI",IFERROR((100*RTD("tos.rtd",,"OPEN_INT","."&amp;M$2&amp;M$1&amp;"C"&amp;$A41)*RTD("tos.rtd",,"LAST","."&amp;M$2&amp;M$1&amp;"C"&amp;$A41)-100*RTD("tos.rtd",,"OPEN_INT","."&amp;M$2&amp;M$1&amp;"P"&amp;$A41)*RTD("tos.rtd",,"LAST","."&amp;M$2&amp;M$1&amp;"P"&amp;$A41))/1000000,0),IF($A$2="PREMIUM",IFERROR((100*RTD("tos.rtd",,"VOLUME","."&amp;M$2&amp;M$1&amp;"C"&amp;$A41)*RTD("tos.rtd",,"LAST","."&amp;M$2&amp;M$1&amp;"C"&amp;$A41)-100*RTD("tos.rtd",,"VOLUME","."&amp;M$2&amp;M$1&amp;"P"&amp;$A41)*RTD("tos.rtd",,"LAST","."&amp;M$2&amp;M$1&amp;"P"&amp;$A41))/1000000,0),IF($A$2="DEX",IFERROR((100*RTD("tos.rtd",,"OPEN_INT","."&amp;M$2&amp;M$1&amp;"C"&amp;$A41)*RTD("tos.rtd",,"DELTA","."&amp;M$2&amp;M$1&amp;"C"&amp;$A41)-100*RTD("tos.rtd",,"OPEN_INT","."&amp;M$2&amp;M$1&amp;"P"&amp;$A41)*RTD("tos.rtd",,"DELTA","."&amp;M$2&amp;M$1&amp;"P"&amp;$A41))/1000,0),IF($A$2="VEX",IFERROR(($A$4*$A$4*RTD("tos.rtd",,"VOLUME","."&amp;M$2&amp;M$1&amp;"C"&amp;$A41)*RTD("tos.rtd",,"GAMMA","."&amp;M$2&amp;M$1&amp;"C"&amp;$A41)-$A$4*$A$4*RTD("tos.rtd",,"VOLUME","."&amp;M$2&amp;M$1&amp;"P"&amp;$A41)*RTD("tos.rtd",,"GAMMA","."&amp;M$2&amp;M$1&amp;"P"&amp;$A41))/1000000,0),IF($A$2="GEX",IFERROR(($A$4*$A$4*RTD("tos.rtd",,"OPEN_INT","."&amp;M$2&amp;M$1&amp;"C"&amp;$A41)*RTD("tos.rtd",,"GAMMA","."&amp;M$2&amp;M$1&amp;"C"&amp;$A41)-$A$4*$A$4*RTD("tos.rtd",,"OPEN_INT","."&amp;M$2&amp;M$1&amp;"P"&amp;$A41)*RTD("tos.rtd",,"GAMMA","."&amp;M$2&amp;M$1&amp;"P"&amp;$A41))/1000000,0),IF($A$2="SKEW",IFERROR(VALUE(IF(RTD("tos.rtd",,"IMPL_VOL","."&amp;M$2&amp;M$1&amp;"P"&amp;$A41)="N/A",0,RTD("tos.rtd",,"IMPL_VOL","."&amp;M$2&amp;M$1&amp;"P"&amp;$A41))),0)-IFERROR(VALUE(IF(RTD("tos.rtd",,"IMPL_VOL","."&amp;M$2&amp;M$1&amp;"C"&amp;$A41)="N/A",0,RTD("tos.rtd",,"IMPL_VOL","."&amp;M$2&amp;M$1&amp;"C"&amp;$A41))),0),IF($A$2="MAXPAIN",IF($A$4&gt;$A41,($A$4-$A41)*IF(RTD("tos.rtd",,"OPEN_INT","."&amp;M$2&amp;M$1&amp;"C"&amp;$A41)="N/A",0,RTD("tos.rtd",,"OPEN_INT","."&amp;M$2&amp;M$1&amp;"C"&amp;$A41)),0)+IF($A$4&lt;$A41,($A41-$A$4)*IF(RTD("tos.rtd",,"OPEN_INT","."&amp;M$2&amp;M$1&amp;"P"&amp;$A41)="N/A",0,RTD("tos.rtd",,"OPEN_INT","."&amp;M$2&amp;M$1&amp;"P"&amp;$A41)),0),IF(RTD("tos.rtd",,$A$2,"."&amp;M$2&amp;M$1&amp;"C"&amp;$A41)="N/A",0,RTD("tos.rtd",,$A$2,"."&amp;M$2&amp;M$1&amp;"C"&amp;$A41))-IF(RTD("tos.rtd",,$A$2,"."&amp;M$2&amp;M$1&amp;"P"&amp;$A41)="N/A",0,RTD("tos.rtd",,$A$2,"."&amp;M$2&amp;M$1&amp;"P"&amp;$A41)))))))))</f>
        <v>-1140</v>
      </c>
      <c r="N41" s="12">
        <f>IF($A$2="PREMIUM_OI",IFERROR((100*RTD("tos.rtd",,"OPEN_INT","."&amp;N$2&amp;N$1&amp;"C"&amp;$A41)*RTD("tos.rtd",,"LAST","."&amp;N$2&amp;N$1&amp;"C"&amp;$A41)-100*RTD("tos.rtd",,"OPEN_INT","."&amp;N$2&amp;N$1&amp;"P"&amp;$A41)*RTD("tos.rtd",,"LAST","."&amp;N$2&amp;N$1&amp;"P"&amp;$A41))/1000000,0),IF($A$2="PREMIUM",IFERROR((100*RTD("tos.rtd",,"VOLUME","."&amp;N$2&amp;N$1&amp;"C"&amp;$A41)*RTD("tos.rtd",,"LAST","."&amp;N$2&amp;N$1&amp;"C"&amp;$A41)-100*RTD("tos.rtd",,"VOLUME","."&amp;N$2&amp;N$1&amp;"P"&amp;$A41)*RTD("tos.rtd",,"LAST","."&amp;N$2&amp;N$1&amp;"P"&amp;$A41))/1000000,0),IF($A$2="DEX",IFERROR((100*RTD("tos.rtd",,"OPEN_INT","."&amp;N$2&amp;N$1&amp;"C"&amp;$A41)*RTD("tos.rtd",,"DELTA","."&amp;N$2&amp;N$1&amp;"C"&amp;$A41)-100*RTD("tos.rtd",,"OPEN_INT","."&amp;N$2&amp;N$1&amp;"P"&amp;$A41)*RTD("tos.rtd",,"DELTA","."&amp;N$2&amp;N$1&amp;"P"&amp;$A41))/1000,0),IF($A$2="VEX",IFERROR(($A$4*$A$4*RTD("tos.rtd",,"VOLUME","."&amp;N$2&amp;N$1&amp;"C"&amp;$A41)*RTD("tos.rtd",,"GAMMA","."&amp;N$2&amp;N$1&amp;"C"&amp;$A41)-$A$4*$A$4*RTD("tos.rtd",,"VOLUME","."&amp;N$2&amp;N$1&amp;"P"&amp;$A41)*RTD("tos.rtd",,"GAMMA","."&amp;N$2&amp;N$1&amp;"P"&amp;$A41))/1000000,0),IF($A$2="GEX",IFERROR(($A$4*$A$4*RTD("tos.rtd",,"OPEN_INT","."&amp;N$2&amp;N$1&amp;"C"&amp;$A41)*RTD("tos.rtd",,"GAMMA","."&amp;N$2&amp;N$1&amp;"C"&amp;$A41)-$A$4*$A$4*RTD("tos.rtd",,"OPEN_INT","."&amp;N$2&amp;N$1&amp;"P"&amp;$A41)*RTD("tos.rtd",,"GAMMA","."&amp;N$2&amp;N$1&amp;"P"&amp;$A41))/1000000,0),IF($A$2="SKEW",IFERROR(VALUE(IF(RTD("tos.rtd",,"IMPL_VOL","."&amp;N$2&amp;N$1&amp;"P"&amp;$A41)="N/A",0,RTD("tos.rtd",,"IMPL_VOL","."&amp;N$2&amp;N$1&amp;"P"&amp;$A41))),0)-IFERROR(VALUE(IF(RTD("tos.rtd",,"IMPL_VOL","."&amp;N$2&amp;N$1&amp;"C"&amp;$A41)="N/A",0,RTD("tos.rtd",,"IMPL_VOL","."&amp;N$2&amp;N$1&amp;"C"&amp;$A41))),0),IF($A$2="MAXPAIN",IF($A$4&gt;$A41,($A$4-$A41)*IF(RTD("tos.rtd",,"OPEN_INT","."&amp;N$2&amp;N$1&amp;"C"&amp;$A41)="N/A",0,RTD("tos.rtd",,"OPEN_INT","."&amp;N$2&amp;N$1&amp;"C"&amp;$A41)),0)+IF($A$4&lt;$A41,($A41-$A$4)*IF(RTD("tos.rtd",,"OPEN_INT","."&amp;N$2&amp;N$1&amp;"P"&amp;$A41)="N/A",0,RTD("tos.rtd",,"OPEN_INT","."&amp;N$2&amp;N$1&amp;"P"&amp;$A41)),0),IF(RTD("tos.rtd",,$A$2,"."&amp;N$2&amp;N$1&amp;"C"&amp;$A41)="N/A",0,RTD("tos.rtd",,$A$2,"."&amp;N$2&amp;N$1&amp;"C"&amp;$A41))-IF(RTD("tos.rtd",,$A$2,"."&amp;N$2&amp;N$1&amp;"P"&amp;$A41)="N/A",0,RTD("tos.rtd",,$A$2,"."&amp;N$2&amp;N$1&amp;"P"&amp;$A41)))))))))</f>
        <v>0</v>
      </c>
      <c r="O41" s="12">
        <f>IF($A$2="PREMIUM_OI",IFERROR((100*RTD("tos.rtd",,"OPEN_INT","."&amp;O$2&amp;O$1&amp;"C"&amp;$A41)*RTD("tos.rtd",,"LAST","."&amp;O$2&amp;O$1&amp;"C"&amp;$A41)-100*RTD("tos.rtd",,"OPEN_INT","."&amp;O$2&amp;O$1&amp;"P"&amp;$A41)*RTD("tos.rtd",,"LAST","."&amp;O$2&amp;O$1&amp;"P"&amp;$A41))/1000000,0),IF($A$2="PREMIUM",IFERROR((100*RTD("tos.rtd",,"VOLUME","."&amp;O$2&amp;O$1&amp;"C"&amp;$A41)*RTD("tos.rtd",,"LAST","."&amp;O$2&amp;O$1&amp;"C"&amp;$A41)-100*RTD("tos.rtd",,"VOLUME","."&amp;O$2&amp;O$1&amp;"P"&amp;$A41)*RTD("tos.rtd",,"LAST","."&amp;O$2&amp;O$1&amp;"P"&amp;$A41))/1000000,0),IF($A$2="DEX",IFERROR((100*RTD("tos.rtd",,"OPEN_INT","."&amp;O$2&amp;O$1&amp;"C"&amp;$A41)*RTD("tos.rtd",,"DELTA","."&amp;O$2&amp;O$1&amp;"C"&amp;$A41)-100*RTD("tos.rtd",,"OPEN_INT","."&amp;O$2&amp;O$1&amp;"P"&amp;$A41)*RTD("tos.rtd",,"DELTA","."&amp;O$2&amp;O$1&amp;"P"&amp;$A41))/1000,0),IF($A$2="VEX",IFERROR(($A$4*$A$4*RTD("tos.rtd",,"VOLUME","."&amp;O$2&amp;O$1&amp;"C"&amp;$A41)*RTD("tos.rtd",,"GAMMA","."&amp;O$2&amp;O$1&amp;"C"&amp;$A41)-$A$4*$A$4*RTD("tos.rtd",,"VOLUME","."&amp;O$2&amp;O$1&amp;"P"&amp;$A41)*RTD("tos.rtd",,"GAMMA","."&amp;O$2&amp;O$1&amp;"P"&amp;$A41))/1000000,0),IF($A$2="GEX",IFERROR(($A$4*$A$4*RTD("tos.rtd",,"OPEN_INT","."&amp;O$2&amp;O$1&amp;"C"&amp;$A41)*RTD("tos.rtd",,"GAMMA","."&amp;O$2&amp;O$1&amp;"C"&amp;$A41)-$A$4*$A$4*RTD("tos.rtd",,"OPEN_INT","."&amp;O$2&amp;O$1&amp;"P"&amp;$A41)*RTD("tos.rtd",,"GAMMA","."&amp;O$2&amp;O$1&amp;"P"&amp;$A41))/1000000,0),IF($A$2="SKEW",IFERROR(VALUE(IF(RTD("tos.rtd",,"IMPL_VOL","."&amp;O$2&amp;O$1&amp;"P"&amp;$A41)="N/A",0,RTD("tos.rtd",,"IMPL_VOL","."&amp;O$2&amp;O$1&amp;"P"&amp;$A41))),0)-IFERROR(VALUE(IF(RTD("tos.rtd",,"IMPL_VOL","."&amp;O$2&amp;O$1&amp;"C"&amp;$A41)="N/A",0,RTD("tos.rtd",,"IMPL_VOL","."&amp;O$2&amp;O$1&amp;"C"&amp;$A41))),0),IF($A$2="MAXPAIN",IF($A$4&gt;$A41,($A$4-$A41)*IF(RTD("tos.rtd",,"OPEN_INT","."&amp;O$2&amp;O$1&amp;"C"&amp;$A41)="N/A",0,RTD("tos.rtd",,"OPEN_INT","."&amp;O$2&amp;O$1&amp;"C"&amp;$A41)),0)+IF($A$4&lt;$A41,($A41-$A$4)*IF(RTD("tos.rtd",,"OPEN_INT","."&amp;O$2&amp;O$1&amp;"P"&amp;$A41)="N/A",0,RTD("tos.rtd",,"OPEN_INT","."&amp;O$2&amp;O$1&amp;"P"&amp;$A41)),0),IF(RTD("tos.rtd",,$A$2,"."&amp;O$2&amp;O$1&amp;"C"&amp;$A41)="N/A",0,RTD("tos.rtd",,$A$2,"."&amp;O$2&amp;O$1&amp;"C"&amp;$A41))-IF(RTD("tos.rtd",,$A$2,"."&amp;O$2&amp;O$1&amp;"P"&amp;$A41)="N/A",0,RTD("tos.rtd",,$A$2,"."&amp;O$2&amp;O$1&amp;"P"&amp;$A41)))))))))</f>
        <v>0</v>
      </c>
      <c r="P41" s="12">
        <f>IF($A$2="PREMIUM_OI",IFERROR((100*RTD("tos.rtd",,"OPEN_INT","."&amp;P$2&amp;P$1&amp;"C"&amp;$A41)*RTD("tos.rtd",,"LAST","."&amp;P$2&amp;P$1&amp;"C"&amp;$A41)-100*RTD("tos.rtd",,"OPEN_INT","."&amp;P$2&amp;P$1&amp;"P"&amp;$A41)*RTD("tos.rtd",,"LAST","."&amp;P$2&amp;P$1&amp;"P"&amp;$A41))/1000000,0),IF($A$2="PREMIUM",IFERROR((100*RTD("tos.rtd",,"VOLUME","."&amp;P$2&amp;P$1&amp;"C"&amp;$A41)*RTD("tos.rtd",,"LAST","."&amp;P$2&amp;P$1&amp;"C"&amp;$A41)-100*RTD("tos.rtd",,"VOLUME","."&amp;P$2&amp;P$1&amp;"P"&amp;$A41)*RTD("tos.rtd",,"LAST","."&amp;P$2&amp;P$1&amp;"P"&amp;$A41))/1000000,0),IF($A$2="DEX",IFERROR((100*RTD("tos.rtd",,"OPEN_INT","."&amp;P$2&amp;P$1&amp;"C"&amp;$A41)*RTD("tos.rtd",,"DELTA","."&amp;P$2&amp;P$1&amp;"C"&amp;$A41)-100*RTD("tos.rtd",,"OPEN_INT","."&amp;P$2&amp;P$1&amp;"P"&amp;$A41)*RTD("tos.rtd",,"DELTA","."&amp;P$2&amp;P$1&amp;"P"&amp;$A41))/1000,0),IF($A$2="VEX",IFERROR(($A$4*$A$4*RTD("tos.rtd",,"VOLUME","."&amp;P$2&amp;P$1&amp;"C"&amp;$A41)*RTD("tos.rtd",,"GAMMA","."&amp;P$2&amp;P$1&amp;"C"&amp;$A41)-$A$4*$A$4*RTD("tos.rtd",,"VOLUME","."&amp;P$2&amp;P$1&amp;"P"&amp;$A41)*RTD("tos.rtd",,"GAMMA","."&amp;P$2&amp;P$1&amp;"P"&amp;$A41))/1000000,0),IF($A$2="GEX",IFERROR(($A$4*$A$4*RTD("tos.rtd",,"OPEN_INT","."&amp;P$2&amp;P$1&amp;"C"&amp;$A41)*RTD("tos.rtd",,"GAMMA","."&amp;P$2&amp;P$1&amp;"C"&amp;$A41)-$A$4*$A$4*RTD("tos.rtd",,"OPEN_INT","."&amp;P$2&amp;P$1&amp;"P"&amp;$A41)*RTD("tos.rtd",,"GAMMA","."&amp;P$2&amp;P$1&amp;"P"&amp;$A41))/1000000,0),IF($A$2="SKEW",IFERROR(VALUE(IF(RTD("tos.rtd",,"IMPL_VOL","."&amp;P$2&amp;P$1&amp;"P"&amp;$A41)="N/A",0,RTD("tos.rtd",,"IMPL_VOL","."&amp;P$2&amp;P$1&amp;"P"&amp;$A41))),0)-IFERROR(VALUE(IF(RTD("tos.rtd",,"IMPL_VOL","."&amp;P$2&amp;P$1&amp;"C"&amp;$A41)="N/A",0,RTD("tos.rtd",,"IMPL_VOL","."&amp;P$2&amp;P$1&amp;"C"&amp;$A41))),0),IF($A$2="MAXPAIN",IF($A$4&gt;$A41,($A$4-$A41)*IF(RTD("tos.rtd",,"OPEN_INT","."&amp;P$2&amp;P$1&amp;"C"&amp;$A41)="N/A",0,RTD("tos.rtd",,"OPEN_INT","."&amp;P$2&amp;P$1&amp;"C"&amp;$A41)),0)+IF($A$4&lt;$A41,($A41-$A$4)*IF(RTD("tos.rtd",,"OPEN_INT","."&amp;P$2&amp;P$1&amp;"P"&amp;$A41)="N/A",0,RTD("tos.rtd",,"OPEN_INT","."&amp;P$2&amp;P$1&amp;"P"&amp;$A41)),0),IF(RTD("tos.rtd",,$A$2,"."&amp;P$2&amp;P$1&amp;"C"&amp;$A41)="N/A",0,RTD("tos.rtd",,$A$2,"."&amp;P$2&amp;P$1&amp;"C"&amp;$A41))-IF(RTD("tos.rtd",,$A$2,"."&amp;P$2&amp;P$1&amp;"P"&amp;$A41)="N/A",0,RTD("tos.rtd",,$A$2,"."&amp;P$2&amp;P$1&amp;"P"&amp;$A41)))))))))</f>
        <v>0</v>
      </c>
      <c r="Q41" s="12">
        <f>IF($A$2="PREMIUM_OI",IFERROR((100*RTD("tos.rtd",,"OPEN_INT","."&amp;Q$2&amp;Q$1&amp;"C"&amp;$A41)*RTD("tos.rtd",,"LAST","."&amp;Q$2&amp;Q$1&amp;"C"&amp;$A41)-100*RTD("tos.rtd",,"OPEN_INT","."&amp;Q$2&amp;Q$1&amp;"P"&amp;$A41)*RTD("tos.rtd",,"LAST","."&amp;Q$2&amp;Q$1&amp;"P"&amp;$A41))/1000000,0),IF($A$2="PREMIUM",IFERROR((100*RTD("tos.rtd",,"VOLUME","."&amp;Q$2&amp;Q$1&amp;"C"&amp;$A41)*RTD("tos.rtd",,"LAST","."&amp;Q$2&amp;Q$1&amp;"C"&amp;$A41)-100*RTD("tos.rtd",,"VOLUME","."&amp;Q$2&amp;Q$1&amp;"P"&amp;$A41)*RTD("tos.rtd",,"LAST","."&amp;Q$2&amp;Q$1&amp;"P"&amp;$A41))/1000000,0),IF($A$2="DEX",IFERROR((100*RTD("tos.rtd",,"OPEN_INT","."&amp;Q$2&amp;Q$1&amp;"C"&amp;$A41)*RTD("tos.rtd",,"DELTA","."&amp;Q$2&amp;Q$1&amp;"C"&amp;$A41)-100*RTD("tos.rtd",,"OPEN_INT","."&amp;Q$2&amp;Q$1&amp;"P"&amp;$A41)*RTD("tos.rtd",,"DELTA","."&amp;Q$2&amp;Q$1&amp;"P"&amp;$A41))/1000,0),IF($A$2="VEX",IFERROR(($A$4*$A$4*RTD("tos.rtd",,"VOLUME","."&amp;Q$2&amp;Q$1&amp;"C"&amp;$A41)*RTD("tos.rtd",,"GAMMA","."&amp;Q$2&amp;Q$1&amp;"C"&amp;$A41)-$A$4*$A$4*RTD("tos.rtd",,"VOLUME","."&amp;Q$2&amp;Q$1&amp;"P"&amp;$A41)*RTD("tos.rtd",,"GAMMA","."&amp;Q$2&amp;Q$1&amp;"P"&amp;$A41))/1000000,0),IF($A$2="GEX",IFERROR(($A$4*$A$4*RTD("tos.rtd",,"OPEN_INT","."&amp;Q$2&amp;Q$1&amp;"C"&amp;$A41)*RTD("tos.rtd",,"GAMMA","."&amp;Q$2&amp;Q$1&amp;"C"&amp;$A41)-$A$4*$A$4*RTD("tos.rtd",,"OPEN_INT","."&amp;Q$2&amp;Q$1&amp;"P"&amp;$A41)*RTD("tos.rtd",,"GAMMA","."&amp;Q$2&amp;Q$1&amp;"P"&amp;$A41))/1000000,0),IF($A$2="SKEW",IFERROR(VALUE(IF(RTD("tos.rtd",,"IMPL_VOL","."&amp;Q$2&amp;Q$1&amp;"P"&amp;$A41)="N/A",0,RTD("tos.rtd",,"IMPL_VOL","."&amp;Q$2&amp;Q$1&amp;"P"&amp;$A41))),0)-IFERROR(VALUE(IF(RTD("tos.rtd",,"IMPL_VOL","."&amp;Q$2&amp;Q$1&amp;"C"&amp;$A41)="N/A",0,RTD("tos.rtd",,"IMPL_VOL","."&amp;Q$2&amp;Q$1&amp;"C"&amp;$A41))),0),IF($A$2="MAXPAIN",IF($A$4&gt;$A41,($A$4-$A41)*IF(RTD("tos.rtd",,"OPEN_INT","."&amp;Q$2&amp;Q$1&amp;"C"&amp;$A41)="N/A",0,RTD("tos.rtd",,"OPEN_INT","."&amp;Q$2&amp;Q$1&amp;"C"&amp;$A41)),0)+IF($A$4&lt;$A41,($A41-$A$4)*IF(RTD("tos.rtd",,"OPEN_INT","."&amp;Q$2&amp;Q$1&amp;"P"&amp;$A41)="N/A",0,RTD("tos.rtd",,"OPEN_INT","."&amp;Q$2&amp;Q$1&amp;"P"&amp;$A41)),0),IF(RTD("tos.rtd",,$A$2,"."&amp;Q$2&amp;Q$1&amp;"C"&amp;$A41)="N/A",0,RTD("tos.rtd",,$A$2,"."&amp;Q$2&amp;Q$1&amp;"C"&amp;$A41))-IF(RTD("tos.rtd",,$A$2,"."&amp;Q$2&amp;Q$1&amp;"P"&amp;$A41)="N/A",0,RTD("tos.rtd",,$A$2,"."&amp;Q$2&amp;Q$1&amp;"P"&amp;$A41)))))))))</f>
        <v>0</v>
      </c>
      <c r="R41" s="12">
        <f>IF($A$2="PREMIUM_OI",IFERROR((100*RTD("tos.rtd",,"OPEN_INT","."&amp;R$2&amp;R$1&amp;"C"&amp;$A41)*RTD("tos.rtd",,"LAST","."&amp;R$2&amp;R$1&amp;"C"&amp;$A41)-100*RTD("tos.rtd",,"OPEN_INT","."&amp;R$2&amp;R$1&amp;"P"&amp;$A41)*RTD("tos.rtd",,"LAST","."&amp;R$2&amp;R$1&amp;"P"&amp;$A41))/1000000,0),IF($A$2="PREMIUM",IFERROR((100*RTD("tos.rtd",,"VOLUME","."&amp;R$2&amp;R$1&amp;"C"&amp;$A41)*RTD("tos.rtd",,"LAST","."&amp;R$2&amp;R$1&amp;"C"&amp;$A41)-100*RTD("tos.rtd",,"VOLUME","."&amp;R$2&amp;R$1&amp;"P"&amp;$A41)*RTD("tos.rtd",,"LAST","."&amp;R$2&amp;R$1&amp;"P"&amp;$A41))/1000000,0),IF($A$2="DEX",IFERROR((100*RTD("tos.rtd",,"OPEN_INT","."&amp;R$2&amp;R$1&amp;"C"&amp;$A41)*RTD("tos.rtd",,"DELTA","."&amp;R$2&amp;R$1&amp;"C"&amp;$A41)-100*RTD("tos.rtd",,"OPEN_INT","."&amp;R$2&amp;R$1&amp;"P"&amp;$A41)*RTD("tos.rtd",,"DELTA","."&amp;R$2&amp;R$1&amp;"P"&amp;$A41))/1000,0),IF($A$2="VEX",IFERROR(($A$4*$A$4*RTD("tos.rtd",,"VOLUME","."&amp;R$2&amp;R$1&amp;"C"&amp;$A41)*RTD("tos.rtd",,"GAMMA","."&amp;R$2&amp;R$1&amp;"C"&amp;$A41)-$A$4*$A$4*RTD("tos.rtd",,"VOLUME","."&amp;R$2&amp;R$1&amp;"P"&amp;$A41)*RTD("tos.rtd",,"GAMMA","."&amp;R$2&amp;R$1&amp;"P"&amp;$A41))/1000000,0),IF($A$2="GEX",IFERROR(($A$4*$A$4*RTD("tos.rtd",,"OPEN_INT","."&amp;R$2&amp;R$1&amp;"C"&amp;$A41)*RTD("tos.rtd",,"GAMMA","."&amp;R$2&amp;R$1&amp;"C"&amp;$A41)-$A$4*$A$4*RTD("tos.rtd",,"OPEN_INT","."&amp;R$2&amp;R$1&amp;"P"&amp;$A41)*RTD("tos.rtd",,"GAMMA","."&amp;R$2&amp;R$1&amp;"P"&amp;$A41))/1000000,0),IF($A$2="SKEW",IFERROR(VALUE(IF(RTD("tos.rtd",,"IMPL_VOL","."&amp;R$2&amp;R$1&amp;"P"&amp;$A41)="N/A",0,RTD("tos.rtd",,"IMPL_VOL","."&amp;R$2&amp;R$1&amp;"P"&amp;$A41))),0)-IFERROR(VALUE(IF(RTD("tos.rtd",,"IMPL_VOL","."&amp;R$2&amp;R$1&amp;"C"&amp;$A41)="N/A",0,RTD("tos.rtd",,"IMPL_VOL","."&amp;R$2&amp;R$1&amp;"C"&amp;$A41))),0),IF($A$2="MAXPAIN",IF($A$4&gt;$A41,($A$4-$A41)*IF(RTD("tos.rtd",,"OPEN_INT","."&amp;R$2&amp;R$1&amp;"C"&amp;$A41)="N/A",0,RTD("tos.rtd",,"OPEN_INT","."&amp;R$2&amp;R$1&amp;"C"&amp;$A41)),0)+IF($A$4&lt;$A41,($A41-$A$4)*IF(RTD("tos.rtd",,"OPEN_INT","."&amp;R$2&amp;R$1&amp;"P"&amp;$A41)="N/A",0,RTD("tos.rtd",,"OPEN_INT","."&amp;R$2&amp;R$1&amp;"P"&amp;$A41)),0),IF(RTD("tos.rtd",,$A$2,"."&amp;R$2&amp;R$1&amp;"C"&amp;$A41)="N/A",0,RTD("tos.rtd",,$A$2,"."&amp;R$2&amp;R$1&amp;"C"&amp;$A41))-IF(RTD("tos.rtd",,$A$2,"."&amp;R$2&amp;R$1&amp;"P"&amp;$A41)="N/A",0,RTD("tos.rtd",,$A$2,"."&amp;R$2&amp;R$1&amp;"P"&amp;$A41)))))))))</f>
        <v>-2396</v>
      </c>
      <c r="S41" s="12">
        <f>IF($A$2="PREMIUM_OI",IFERROR((100*RTD("tos.rtd",,"OPEN_INT","."&amp;S$2&amp;S$1&amp;"C"&amp;$A41)*RTD("tos.rtd",,"LAST","."&amp;S$2&amp;S$1&amp;"C"&amp;$A41)-100*RTD("tos.rtd",,"OPEN_INT","."&amp;S$2&amp;S$1&amp;"P"&amp;$A41)*RTD("tos.rtd",,"LAST","."&amp;S$2&amp;S$1&amp;"P"&amp;$A41))/1000000,0),IF($A$2="PREMIUM",IFERROR((100*RTD("tos.rtd",,"VOLUME","."&amp;S$2&amp;S$1&amp;"C"&amp;$A41)*RTD("tos.rtd",,"LAST","."&amp;S$2&amp;S$1&amp;"C"&amp;$A41)-100*RTD("tos.rtd",,"VOLUME","."&amp;S$2&amp;S$1&amp;"P"&amp;$A41)*RTD("tos.rtd",,"LAST","."&amp;S$2&amp;S$1&amp;"P"&amp;$A41))/1000000,0),IF($A$2="DEX",IFERROR((100*RTD("tos.rtd",,"OPEN_INT","."&amp;S$2&amp;S$1&amp;"C"&amp;$A41)*RTD("tos.rtd",,"DELTA","."&amp;S$2&amp;S$1&amp;"C"&amp;$A41)-100*RTD("tos.rtd",,"OPEN_INT","."&amp;S$2&amp;S$1&amp;"P"&amp;$A41)*RTD("tos.rtd",,"DELTA","."&amp;S$2&amp;S$1&amp;"P"&amp;$A41))/1000,0),IF($A$2="VEX",IFERROR(($A$4*$A$4*RTD("tos.rtd",,"VOLUME","."&amp;S$2&amp;S$1&amp;"C"&amp;$A41)*RTD("tos.rtd",,"GAMMA","."&amp;S$2&amp;S$1&amp;"C"&amp;$A41)-$A$4*$A$4*RTD("tos.rtd",,"VOLUME","."&amp;S$2&amp;S$1&amp;"P"&amp;$A41)*RTD("tos.rtd",,"GAMMA","."&amp;S$2&amp;S$1&amp;"P"&amp;$A41))/1000000,0),IF($A$2="GEX",IFERROR(($A$4*$A$4*RTD("tos.rtd",,"OPEN_INT","."&amp;S$2&amp;S$1&amp;"C"&amp;$A41)*RTD("tos.rtd",,"GAMMA","."&amp;S$2&amp;S$1&amp;"C"&amp;$A41)-$A$4*$A$4*RTD("tos.rtd",,"OPEN_INT","."&amp;S$2&amp;S$1&amp;"P"&amp;$A41)*RTD("tos.rtd",,"GAMMA","."&amp;S$2&amp;S$1&amp;"P"&amp;$A41))/1000000,0),IF($A$2="SKEW",IFERROR(VALUE(IF(RTD("tos.rtd",,"IMPL_VOL","."&amp;S$2&amp;S$1&amp;"P"&amp;$A41)="N/A",0,RTD("tos.rtd",,"IMPL_VOL","."&amp;S$2&amp;S$1&amp;"P"&amp;$A41))),0)-IFERROR(VALUE(IF(RTD("tos.rtd",,"IMPL_VOL","."&amp;S$2&amp;S$1&amp;"C"&amp;$A41)="N/A",0,RTD("tos.rtd",,"IMPL_VOL","."&amp;S$2&amp;S$1&amp;"C"&amp;$A41))),0),IF($A$2="MAXPAIN",IF($A$4&gt;$A41,($A$4-$A41)*IF(RTD("tos.rtd",,"OPEN_INT","."&amp;S$2&amp;S$1&amp;"C"&amp;$A41)="N/A",0,RTD("tos.rtd",,"OPEN_INT","."&amp;S$2&amp;S$1&amp;"C"&amp;$A41)),0)+IF($A$4&lt;$A41,($A41-$A$4)*IF(RTD("tos.rtd",,"OPEN_INT","."&amp;S$2&amp;S$1&amp;"P"&amp;$A41)="N/A",0,RTD("tos.rtd",,"OPEN_INT","."&amp;S$2&amp;S$1&amp;"P"&amp;$A41)),0),IF(RTD("tos.rtd",,$A$2,"."&amp;S$2&amp;S$1&amp;"C"&amp;$A41)="N/A",0,RTD("tos.rtd",,$A$2,"."&amp;S$2&amp;S$1&amp;"C"&amp;$A41))-IF(RTD("tos.rtd",,$A$2,"."&amp;S$2&amp;S$1&amp;"P"&amp;$A41)="N/A",0,RTD("tos.rtd",,$A$2,"."&amp;S$2&amp;S$1&amp;"P"&amp;$A41)))))))))</f>
        <v>-7135</v>
      </c>
      <c r="T41" s="12">
        <f>IF($A$2="PREMIUM_OI",IFERROR((100*RTD("tos.rtd",,"OPEN_INT","."&amp;T$2&amp;T$1&amp;"C"&amp;$A41)*RTD("tos.rtd",,"LAST","."&amp;T$2&amp;T$1&amp;"C"&amp;$A41)-100*RTD("tos.rtd",,"OPEN_INT","."&amp;T$2&amp;T$1&amp;"P"&amp;$A41)*RTD("tos.rtd",,"LAST","."&amp;T$2&amp;T$1&amp;"P"&amp;$A41))/1000000,0),IF($A$2="PREMIUM",IFERROR((100*RTD("tos.rtd",,"VOLUME","."&amp;T$2&amp;T$1&amp;"C"&amp;$A41)*RTD("tos.rtd",,"LAST","."&amp;T$2&amp;T$1&amp;"C"&amp;$A41)-100*RTD("tos.rtd",,"VOLUME","."&amp;T$2&amp;T$1&amp;"P"&amp;$A41)*RTD("tos.rtd",,"LAST","."&amp;T$2&amp;T$1&amp;"P"&amp;$A41))/1000000,0),IF($A$2="DEX",IFERROR((100*RTD("tos.rtd",,"OPEN_INT","."&amp;T$2&amp;T$1&amp;"C"&amp;$A41)*RTD("tos.rtd",,"DELTA","."&amp;T$2&amp;T$1&amp;"C"&amp;$A41)-100*RTD("tos.rtd",,"OPEN_INT","."&amp;T$2&amp;T$1&amp;"P"&amp;$A41)*RTD("tos.rtd",,"DELTA","."&amp;T$2&amp;T$1&amp;"P"&amp;$A41))/1000,0),IF($A$2="VEX",IFERROR(($A$4*$A$4*RTD("tos.rtd",,"VOLUME","."&amp;T$2&amp;T$1&amp;"C"&amp;$A41)*RTD("tos.rtd",,"GAMMA","."&amp;T$2&amp;T$1&amp;"C"&amp;$A41)-$A$4*$A$4*RTD("tos.rtd",,"VOLUME","."&amp;T$2&amp;T$1&amp;"P"&amp;$A41)*RTD("tos.rtd",,"GAMMA","."&amp;T$2&amp;T$1&amp;"P"&amp;$A41))/1000000,0),IF($A$2="GEX",IFERROR(($A$4*$A$4*RTD("tos.rtd",,"OPEN_INT","."&amp;T$2&amp;T$1&amp;"C"&amp;$A41)*RTD("tos.rtd",,"GAMMA","."&amp;T$2&amp;T$1&amp;"C"&amp;$A41)-$A$4*$A$4*RTD("tos.rtd",,"OPEN_INT","."&amp;T$2&amp;T$1&amp;"P"&amp;$A41)*RTD("tos.rtd",,"GAMMA","."&amp;T$2&amp;T$1&amp;"P"&amp;$A41))/1000000,0),IF($A$2="SKEW",IFERROR(VALUE(IF(RTD("tos.rtd",,"IMPL_VOL","."&amp;T$2&amp;T$1&amp;"P"&amp;$A41)="N/A",0,RTD("tos.rtd",,"IMPL_VOL","."&amp;T$2&amp;T$1&amp;"P"&amp;$A41))),0)-IFERROR(VALUE(IF(RTD("tos.rtd",,"IMPL_VOL","."&amp;T$2&amp;T$1&amp;"C"&amp;$A41)="N/A",0,RTD("tos.rtd",,"IMPL_VOL","."&amp;T$2&amp;T$1&amp;"C"&amp;$A41))),0),IF($A$2="MAXPAIN",IF($A$4&gt;$A41,($A$4-$A41)*IF(RTD("tos.rtd",,"OPEN_INT","."&amp;T$2&amp;T$1&amp;"C"&amp;$A41)="N/A",0,RTD("tos.rtd",,"OPEN_INT","."&amp;T$2&amp;T$1&amp;"C"&amp;$A41)),0)+IF($A$4&lt;$A41,($A41-$A$4)*IF(RTD("tos.rtd",,"OPEN_INT","."&amp;T$2&amp;T$1&amp;"P"&amp;$A41)="N/A",0,RTD("tos.rtd",,"OPEN_INT","."&amp;T$2&amp;T$1&amp;"P"&amp;$A41)),0),IF(RTD("tos.rtd",,$A$2,"."&amp;T$2&amp;T$1&amp;"C"&amp;$A41)="N/A",0,RTD("tos.rtd",,$A$2,"."&amp;T$2&amp;T$1&amp;"C"&amp;$A41))-IF(RTD("tos.rtd",,$A$2,"."&amp;T$2&amp;T$1&amp;"P"&amp;$A41)="N/A",0,RTD("tos.rtd",,$A$2,"."&amp;T$2&amp;T$1&amp;"P"&amp;$A41)))))))))</f>
        <v>0</v>
      </c>
      <c r="U41" s="12">
        <f>IF($A$2="PREMIUM_OI",IFERROR((100*RTD("tos.rtd",,"OPEN_INT","."&amp;U$2&amp;U$1&amp;"C"&amp;$A41)*RTD("tos.rtd",,"LAST","."&amp;U$2&amp;U$1&amp;"C"&amp;$A41)-100*RTD("tos.rtd",,"OPEN_INT","."&amp;U$2&amp;U$1&amp;"P"&amp;$A41)*RTD("tos.rtd",,"LAST","."&amp;U$2&amp;U$1&amp;"P"&amp;$A41))/1000000,0),IF($A$2="PREMIUM",IFERROR((100*RTD("tos.rtd",,"VOLUME","."&amp;U$2&amp;U$1&amp;"C"&amp;$A41)*RTD("tos.rtd",,"LAST","."&amp;U$2&amp;U$1&amp;"C"&amp;$A41)-100*RTD("tos.rtd",,"VOLUME","."&amp;U$2&amp;U$1&amp;"P"&amp;$A41)*RTD("tos.rtd",,"LAST","."&amp;U$2&amp;U$1&amp;"P"&amp;$A41))/1000000,0),IF($A$2="DEX",IFERROR((100*RTD("tos.rtd",,"OPEN_INT","."&amp;U$2&amp;U$1&amp;"C"&amp;$A41)*RTD("tos.rtd",,"DELTA","."&amp;U$2&amp;U$1&amp;"C"&amp;$A41)-100*RTD("tos.rtd",,"OPEN_INT","."&amp;U$2&amp;U$1&amp;"P"&amp;$A41)*RTD("tos.rtd",,"DELTA","."&amp;U$2&amp;U$1&amp;"P"&amp;$A41))/1000,0),IF($A$2="VEX",IFERROR(($A$4*$A$4*RTD("tos.rtd",,"VOLUME","."&amp;U$2&amp;U$1&amp;"C"&amp;$A41)*RTD("tos.rtd",,"GAMMA","."&amp;U$2&amp;U$1&amp;"C"&amp;$A41)-$A$4*$A$4*RTD("tos.rtd",,"VOLUME","."&amp;U$2&amp;U$1&amp;"P"&amp;$A41)*RTD("tos.rtd",,"GAMMA","."&amp;U$2&amp;U$1&amp;"P"&amp;$A41))/1000000,0),IF($A$2="GEX",IFERROR(($A$4*$A$4*RTD("tos.rtd",,"OPEN_INT","."&amp;U$2&amp;U$1&amp;"C"&amp;$A41)*RTD("tos.rtd",,"GAMMA","."&amp;U$2&amp;U$1&amp;"C"&amp;$A41)-$A$4*$A$4*RTD("tos.rtd",,"OPEN_INT","."&amp;U$2&amp;U$1&amp;"P"&amp;$A41)*RTD("tos.rtd",,"GAMMA","."&amp;U$2&amp;U$1&amp;"P"&amp;$A41))/1000000,0),IF($A$2="SKEW",IFERROR(VALUE(IF(RTD("tos.rtd",,"IMPL_VOL","."&amp;U$2&amp;U$1&amp;"P"&amp;$A41)="N/A",0,RTD("tos.rtd",,"IMPL_VOL","."&amp;U$2&amp;U$1&amp;"P"&amp;$A41))),0)-IFERROR(VALUE(IF(RTD("tos.rtd",,"IMPL_VOL","."&amp;U$2&amp;U$1&amp;"C"&amp;$A41)="N/A",0,RTD("tos.rtd",,"IMPL_VOL","."&amp;U$2&amp;U$1&amp;"C"&amp;$A41))),0),IF($A$2="MAXPAIN",IF($A$4&gt;$A41,($A$4-$A41)*IF(RTD("tos.rtd",,"OPEN_INT","."&amp;U$2&amp;U$1&amp;"C"&amp;$A41)="N/A",0,RTD("tos.rtd",,"OPEN_INT","."&amp;U$2&amp;U$1&amp;"C"&amp;$A41)),0)+IF($A$4&lt;$A41,($A41-$A$4)*IF(RTD("tos.rtd",,"OPEN_INT","."&amp;U$2&amp;U$1&amp;"P"&amp;$A41)="N/A",0,RTD("tos.rtd",,"OPEN_INT","."&amp;U$2&amp;U$1&amp;"P"&amp;$A41)),0),IF(RTD("tos.rtd",,$A$2,"."&amp;U$2&amp;U$1&amp;"C"&amp;$A41)="N/A",0,RTD("tos.rtd",,$A$2,"."&amp;U$2&amp;U$1&amp;"C"&amp;$A41))-IF(RTD("tos.rtd",,$A$2,"."&amp;U$2&amp;U$1&amp;"P"&amp;$A41)="N/A",0,RTD("tos.rtd",,$A$2,"."&amp;U$2&amp;U$1&amp;"P"&amp;$A41)))))))))</f>
        <v>0</v>
      </c>
      <c r="V41" s="12">
        <f>IF($A$2="PREMIUM_OI",IFERROR((100*RTD("tos.rtd",,"OPEN_INT","."&amp;V$2&amp;V$1&amp;"C"&amp;$A41)*RTD("tos.rtd",,"LAST","."&amp;V$2&amp;V$1&amp;"C"&amp;$A41)-100*RTD("tos.rtd",,"OPEN_INT","."&amp;V$2&amp;V$1&amp;"P"&amp;$A41)*RTD("tos.rtd",,"LAST","."&amp;V$2&amp;V$1&amp;"P"&amp;$A41))/1000000,0),IF($A$2="PREMIUM",IFERROR((100*RTD("tos.rtd",,"VOLUME","."&amp;V$2&amp;V$1&amp;"C"&amp;$A41)*RTD("tos.rtd",,"LAST","."&amp;V$2&amp;V$1&amp;"C"&amp;$A41)-100*RTD("tos.rtd",,"VOLUME","."&amp;V$2&amp;V$1&amp;"P"&amp;$A41)*RTD("tos.rtd",,"LAST","."&amp;V$2&amp;V$1&amp;"P"&amp;$A41))/1000000,0),IF($A$2="DEX",IFERROR((100*RTD("tos.rtd",,"OPEN_INT","."&amp;V$2&amp;V$1&amp;"C"&amp;$A41)*RTD("tos.rtd",,"DELTA","."&amp;V$2&amp;V$1&amp;"C"&amp;$A41)-100*RTD("tos.rtd",,"OPEN_INT","."&amp;V$2&amp;V$1&amp;"P"&amp;$A41)*RTD("tos.rtd",,"DELTA","."&amp;V$2&amp;V$1&amp;"P"&amp;$A41))/1000,0),IF($A$2="VEX",IFERROR(($A$4*$A$4*RTD("tos.rtd",,"VOLUME","."&amp;V$2&amp;V$1&amp;"C"&amp;$A41)*RTD("tos.rtd",,"GAMMA","."&amp;V$2&amp;V$1&amp;"C"&amp;$A41)-$A$4*$A$4*RTD("tos.rtd",,"VOLUME","."&amp;V$2&amp;V$1&amp;"P"&amp;$A41)*RTD("tos.rtd",,"GAMMA","."&amp;V$2&amp;V$1&amp;"P"&amp;$A41))/1000000,0),IF($A$2="GEX",IFERROR(($A$4*$A$4*RTD("tos.rtd",,"OPEN_INT","."&amp;V$2&amp;V$1&amp;"C"&amp;$A41)*RTD("tos.rtd",,"GAMMA","."&amp;V$2&amp;V$1&amp;"C"&amp;$A41)-$A$4*$A$4*RTD("tos.rtd",,"OPEN_INT","."&amp;V$2&amp;V$1&amp;"P"&amp;$A41)*RTD("tos.rtd",,"GAMMA","."&amp;V$2&amp;V$1&amp;"P"&amp;$A41))/1000000,0),IF($A$2="SKEW",IFERROR(VALUE(IF(RTD("tos.rtd",,"IMPL_VOL","."&amp;V$2&amp;V$1&amp;"P"&amp;$A41)="N/A",0,RTD("tos.rtd",,"IMPL_VOL","."&amp;V$2&amp;V$1&amp;"P"&amp;$A41))),0)-IFERROR(VALUE(IF(RTD("tos.rtd",,"IMPL_VOL","."&amp;V$2&amp;V$1&amp;"C"&amp;$A41)="N/A",0,RTD("tos.rtd",,"IMPL_VOL","."&amp;V$2&amp;V$1&amp;"C"&amp;$A41))),0),IF($A$2="MAXPAIN",IF($A$4&gt;$A41,($A$4-$A41)*IF(RTD("tos.rtd",,"OPEN_INT","."&amp;V$2&amp;V$1&amp;"C"&amp;$A41)="N/A",0,RTD("tos.rtd",,"OPEN_INT","."&amp;V$2&amp;V$1&amp;"C"&amp;$A41)),0)+IF($A$4&lt;$A41,($A41-$A$4)*IF(RTD("tos.rtd",,"OPEN_INT","."&amp;V$2&amp;V$1&amp;"P"&amp;$A41)="N/A",0,RTD("tos.rtd",,"OPEN_INT","."&amp;V$2&amp;V$1&amp;"P"&amp;$A41)),0),IF(RTD("tos.rtd",,$A$2,"."&amp;V$2&amp;V$1&amp;"C"&amp;$A41)="N/A",0,RTD("tos.rtd",,$A$2,"."&amp;V$2&amp;V$1&amp;"C"&amp;$A41))-IF(RTD("tos.rtd",,$A$2,"."&amp;V$2&amp;V$1&amp;"P"&amp;$A41)="N/A",0,RTD("tos.rtd",,$A$2,"."&amp;V$2&amp;V$1&amp;"P"&amp;$A41)))))))))</f>
        <v>0</v>
      </c>
      <c r="W41" s="12">
        <f>IF($A$2="PREMIUM_OI",IFERROR((100*RTD("tos.rtd",,"OPEN_INT","."&amp;W$2&amp;W$1&amp;"C"&amp;$A41)*RTD("tos.rtd",,"LAST","."&amp;W$2&amp;W$1&amp;"C"&amp;$A41)-100*RTD("tos.rtd",,"OPEN_INT","."&amp;W$2&amp;W$1&amp;"P"&amp;$A41)*RTD("tos.rtd",,"LAST","."&amp;W$2&amp;W$1&amp;"P"&amp;$A41))/1000000,0),IF($A$2="PREMIUM",IFERROR((100*RTD("tos.rtd",,"VOLUME","."&amp;W$2&amp;W$1&amp;"C"&amp;$A41)*RTD("tos.rtd",,"LAST","."&amp;W$2&amp;W$1&amp;"C"&amp;$A41)-100*RTD("tos.rtd",,"VOLUME","."&amp;W$2&amp;W$1&amp;"P"&amp;$A41)*RTD("tos.rtd",,"LAST","."&amp;W$2&amp;W$1&amp;"P"&amp;$A41))/1000000,0),IF($A$2="DEX",IFERROR((100*RTD("tos.rtd",,"OPEN_INT","."&amp;W$2&amp;W$1&amp;"C"&amp;$A41)*RTD("tos.rtd",,"DELTA","."&amp;W$2&amp;W$1&amp;"C"&amp;$A41)-100*RTD("tos.rtd",,"OPEN_INT","."&amp;W$2&amp;W$1&amp;"P"&amp;$A41)*RTD("tos.rtd",,"DELTA","."&amp;W$2&amp;W$1&amp;"P"&amp;$A41))/1000,0),IF($A$2="VEX",IFERROR(($A$4*$A$4*RTD("tos.rtd",,"VOLUME","."&amp;W$2&amp;W$1&amp;"C"&amp;$A41)*RTD("tos.rtd",,"GAMMA","."&amp;W$2&amp;W$1&amp;"C"&amp;$A41)-$A$4*$A$4*RTD("tos.rtd",,"VOLUME","."&amp;W$2&amp;W$1&amp;"P"&amp;$A41)*RTD("tos.rtd",,"GAMMA","."&amp;W$2&amp;W$1&amp;"P"&amp;$A41))/1000000,0),IF($A$2="GEX",IFERROR(($A$4*$A$4*RTD("tos.rtd",,"OPEN_INT","."&amp;W$2&amp;W$1&amp;"C"&amp;$A41)*RTD("tos.rtd",,"GAMMA","."&amp;W$2&amp;W$1&amp;"C"&amp;$A41)-$A$4*$A$4*RTD("tos.rtd",,"OPEN_INT","."&amp;W$2&amp;W$1&amp;"P"&amp;$A41)*RTD("tos.rtd",,"GAMMA","."&amp;W$2&amp;W$1&amp;"P"&amp;$A41))/1000000,0),IF($A$2="SKEW",IFERROR(VALUE(IF(RTD("tos.rtd",,"IMPL_VOL","."&amp;W$2&amp;W$1&amp;"P"&amp;$A41)="N/A",0,RTD("tos.rtd",,"IMPL_VOL","."&amp;W$2&amp;W$1&amp;"P"&amp;$A41))),0)-IFERROR(VALUE(IF(RTD("tos.rtd",,"IMPL_VOL","."&amp;W$2&amp;W$1&amp;"C"&amp;$A41)="N/A",0,RTD("tos.rtd",,"IMPL_VOL","."&amp;W$2&amp;W$1&amp;"C"&amp;$A41))),0),IF($A$2="MAXPAIN",IF($A$4&gt;$A41,($A$4-$A41)*IF(RTD("tos.rtd",,"OPEN_INT","."&amp;W$2&amp;W$1&amp;"C"&amp;$A41)="N/A",0,RTD("tos.rtd",,"OPEN_INT","."&amp;W$2&amp;W$1&amp;"C"&amp;$A41)),0)+IF($A$4&lt;$A41,($A41-$A$4)*IF(RTD("tos.rtd",,"OPEN_INT","."&amp;W$2&amp;W$1&amp;"P"&amp;$A41)="N/A",0,RTD("tos.rtd",,"OPEN_INT","."&amp;W$2&amp;W$1&amp;"P"&amp;$A41)),0),IF(RTD("tos.rtd",,$A$2,"."&amp;W$2&amp;W$1&amp;"C"&amp;$A41)="N/A",0,RTD("tos.rtd",,$A$2,"."&amp;W$2&amp;W$1&amp;"C"&amp;$A41))-IF(RTD("tos.rtd",,$A$2,"."&amp;W$2&amp;W$1&amp;"P"&amp;$A41)="N/A",0,RTD("tos.rtd",,$A$2,"."&amp;W$2&amp;W$1&amp;"P"&amp;$A41)))))))))</f>
        <v>1729</v>
      </c>
      <c r="X41" s="12">
        <f t="shared" ca="1" si="7"/>
        <v>-5406</v>
      </c>
      <c r="Y41" s="27">
        <f t="shared" ca="1" si="8"/>
        <v>-5406</v>
      </c>
      <c r="AA41" s="35">
        <f>+IF($AJ$1,AJ41,TASTYOHLC!A41)</f>
        <v>0</v>
      </c>
      <c r="AB41" s="8">
        <f>+IF($AJ$1,AK41,TASTYOHLC!B41)</f>
        <v>0</v>
      </c>
      <c r="AC41" s="8">
        <f>+IF($AJ$1,AL41,TASTYOHLC!C41)</f>
        <v>0</v>
      </c>
      <c r="AD41" s="8">
        <f>+IF($AJ$1,AM41,TASTYOHLC!D41)</f>
        <v>0</v>
      </c>
      <c r="AE41" s="8">
        <f>+IF($AJ$1,AN41,TASTYOHLC!E41)</f>
        <v>0</v>
      </c>
      <c r="AF41" s="8"/>
      <c r="AJ41" s="37"/>
    </row>
    <row r="42" spans="1:36" s="19" customFormat="1" ht="11.1" customHeight="1" thickBot="1" x14ac:dyDescent="0.3">
      <c r="A42" s="23">
        <f t="shared" si="13"/>
        <v>1</v>
      </c>
      <c r="B42" s="14">
        <f>IF($A$2="PREMIUM_OI",IFERROR((100*RTD("tos.rtd",,"OPEN_INT","."&amp;B$2&amp;B$1&amp;"C"&amp;$A42)*RTD("tos.rtd",,"LAST","."&amp;B$2&amp;B$1&amp;"C"&amp;$A42)-100*RTD("tos.rtd",,"OPEN_INT","."&amp;B$2&amp;B$1&amp;"P"&amp;$A42)*RTD("tos.rtd",,"LAST","."&amp;B$2&amp;B$1&amp;"P"&amp;$A42))/1000000,0),IF($A$2="PREMIUM",IFERROR((100*RTD("tos.rtd",,"VOLUME","."&amp;B$2&amp;B$1&amp;"C"&amp;$A42)*RTD("tos.rtd",,"LAST","."&amp;B$2&amp;B$1&amp;"C"&amp;$A42)-100*RTD("tos.rtd",,"VOLUME","."&amp;B$2&amp;B$1&amp;"P"&amp;$A42)*RTD("tos.rtd",,"LAST","."&amp;B$2&amp;B$1&amp;"P"&amp;$A42))/1000000,0),IF($A$2="DEX",IFERROR((100*RTD("tos.rtd",,"OPEN_INT","."&amp;B$2&amp;B$1&amp;"C"&amp;$A42)*RTD("tos.rtd",,"DELTA","."&amp;B$2&amp;B$1&amp;"C"&amp;$A42)-100*RTD("tos.rtd",,"OPEN_INT","."&amp;B$2&amp;B$1&amp;"P"&amp;$A42)*RTD("tos.rtd",,"DELTA","."&amp;B$2&amp;B$1&amp;"P"&amp;$A42))/1000,0),IF($A$2="VEX",IFERROR(($A$4*$A$4*RTD("tos.rtd",,"VOLUME","."&amp;B$2&amp;B$1&amp;"C"&amp;$A42)*RTD("tos.rtd",,"GAMMA","."&amp;B$2&amp;B$1&amp;"C"&amp;$A42)-$A$4*$A$4*RTD("tos.rtd",,"VOLUME","."&amp;B$2&amp;B$1&amp;"P"&amp;$A42)*RTD("tos.rtd",,"GAMMA","."&amp;B$2&amp;B$1&amp;"P"&amp;$A42))/1000000,0),IF($A$2="GEX",IFERROR(($A$4*$A$4*RTD("tos.rtd",,"OPEN_INT","."&amp;B$2&amp;B$1&amp;"C"&amp;$A42)*RTD("tos.rtd",,"GAMMA","."&amp;B$2&amp;B$1&amp;"C"&amp;$A42)-$A$4*$A$4*RTD("tos.rtd",,"OPEN_INT","."&amp;B$2&amp;B$1&amp;"P"&amp;$A42)*RTD("tos.rtd",,"GAMMA","."&amp;B$2&amp;B$1&amp;"P"&amp;$A42))/1000000,0),IF($A$2="SKEW",IFERROR(VALUE(IF(RTD("tos.rtd",,"IMPL_VOL","."&amp;B$2&amp;B$1&amp;"P"&amp;$A42)="N/A",0,RTD("tos.rtd",,"IMPL_VOL","."&amp;B$2&amp;B$1&amp;"P"&amp;$A42))),0)-IFERROR(VALUE(IF(RTD("tos.rtd",,"IMPL_VOL","."&amp;B$2&amp;B$1&amp;"C"&amp;$A42)="N/A",0,RTD("tos.rtd",,"IMPL_VOL","."&amp;B$2&amp;B$1&amp;"C"&amp;$A42))),0),IF($A$2="MAXPAIN",IF($A$4&gt;$A42,($A$4-$A42)*IF(RTD("tos.rtd",,"OPEN_INT","."&amp;B$2&amp;B$1&amp;"C"&amp;$A42)="N/A",0,RTD("tos.rtd",,"OPEN_INT","."&amp;B$2&amp;B$1&amp;"C"&amp;$A42)),0)+IF($A$4&lt;$A42,($A42-$A$4)*IF(RTD("tos.rtd",,"OPEN_INT","."&amp;B$2&amp;B$1&amp;"P"&amp;$A42)="N/A",0,RTD("tos.rtd",,"OPEN_INT","."&amp;B$2&amp;B$1&amp;"P"&amp;$A42)),0),IF(RTD("tos.rtd",,$A$2,"."&amp;B$2&amp;B$1&amp;"C"&amp;$A42)="N/A",0,RTD("tos.rtd",,$A$2,"."&amp;B$2&amp;B$1&amp;"C"&amp;$A42))-IF(RTD("tos.rtd",,$A$2,"."&amp;B$2&amp;B$1&amp;"P"&amp;$A42)="N/A",0,RTD("tos.rtd",,$A$2,"."&amp;B$2&amp;B$1&amp;"P"&amp;$A42)))))))))</f>
        <v>0</v>
      </c>
      <c r="C42" s="12">
        <f>IF($A$2="PREMIUM_OI",IFERROR((100*RTD("tos.rtd",,"OPEN_INT","."&amp;C$2&amp;C$1&amp;"C"&amp;$A42)*RTD("tos.rtd",,"LAST","."&amp;C$2&amp;C$1&amp;"C"&amp;$A42)-100*RTD("tos.rtd",,"OPEN_INT","."&amp;C$2&amp;C$1&amp;"P"&amp;$A42)*RTD("tos.rtd",,"LAST","."&amp;C$2&amp;C$1&amp;"P"&amp;$A42))/1000000,0),IF($A$2="PREMIUM",IFERROR((100*RTD("tos.rtd",,"VOLUME","."&amp;C$2&amp;C$1&amp;"C"&amp;$A42)*RTD("tos.rtd",,"LAST","."&amp;C$2&amp;C$1&amp;"C"&amp;$A42)-100*RTD("tos.rtd",,"VOLUME","."&amp;C$2&amp;C$1&amp;"P"&amp;$A42)*RTD("tos.rtd",,"LAST","."&amp;C$2&amp;C$1&amp;"P"&amp;$A42))/1000000,0),IF($A$2="DEX",IFERROR((100*RTD("tos.rtd",,"OPEN_INT","."&amp;C$2&amp;C$1&amp;"C"&amp;$A42)*RTD("tos.rtd",,"DELTA","."&amp;C$2&amp;C$1&amp;"C"&amp;$A42)-100*RTD("tos.rtd",,"OPEN_INT","."&amp;C$2&amp;C$1&amp;"P"&amp;$A42)*RTD("tos.rtd",,"DELTA","."&amp;C$2&amp;C$1&amp;"P"&amp;$A42))/1000,0),IF($A$2="VEX",IFERROR(($A$4*$A$4*RTD("tos.rtd",,"VOLUME","."&amp;C$2&amp;C$1&amp;"C"&amp;$A42)*RTD("tos.rtd",,"GAMMA","."&amp;C$2&amp;C$1&amp;"C"&amp;$A42)-$A$4*$A$4*RTD("tos.rtd",,"VOLUME","."&amp;C$2&amp;C$1&amp;"P"&amp;$A42)*RTD("tos.rtd",,"GAMMA","."&amp;C$2&amp;C$1&amp;"P"&amp;$A42))/1000000,0),IF($A$2="GEX",IFERROR(($A$4*$A$4*RTD("tos.rtd",,"OPEN_INT","."&amp;C$2&amp;C$1&amp;"C"&amp;$A42)*RTD("tos.rtd",,"GAMMA","."&amp;C$2&amp;C$1&amp;"C"&amp;$A42)-$A$4*$A$4*RTD("tos.rtd",,"OPEN_INT","."&amp;C$2&amp;C$1&amp;"P"&amp;$A42)*RTD("tos.rtd",,"GAMMA","."&amp;C$2&amp;C$1&amp;"P"&amp;$A42))/1000000,0),IF($A$2="SKEW",IFERROR(VALUE(IF(RTD("tos.rtd",,"IMPL_VOL","."&amp;C$2&amp;C$1&amp;"P"&amp;$A42)="N/A",0,RTD("tos.rtd",,"IMPL_VOL","."&amp;C$2&amp;C$1&amp;"P"&amp;$A42))),0)-IFERROR(VALUE(IF(RTD("tos.rtd",,"IMPL_VOL","."&amp;C$2&amp;C$1&amp;"C"&amp;$A42)="N/A",0,RTD("tos.rtd",,"IMPL_VOL","."&amp;C$2&amp;C$1&amp;"C"&amp;$A42))),0),IF($A$2="MAXPAIN",IF($A$4&gt;$A42,($A$4-$A42)*IF(RTD("tos.rtd",,"OPEN_INT","."&amp;C$2&amp;C$1&amp;"C"&amp;$A42)="N/A",0,RTD("tos.rtd",,"OPEN_INT","."&amp;C$2&amp;C$1&amp;"C"&amp;$A42)),0)+IF($A$4&lt;$A42,($A42-$A$4)*IF(RTD("tos.rtd",,"OPEN_INT","."&amp;C$2&amp;C$1&amp;"P"&amp;$A42)="N/A",0,RTD("tos.rtd",,"OPEN_INT","."&amp;C$2&amp;C$1&amp;"P"&amp;$A42)),0),IF(RTD("tos.rtd",,$A$2,"."&amp;C$2&amp;C$1&amp;"C"&amp;$A42)="N/A",0,RTD("tos.rtd",,$A$2,"."&amp;C$2&amp;C$1&amp;"C"&amp;$A42))-IF(RTD("tos.rtd",,$A$2,"."&amp;C$2&amp;C$1&amp;"P"&amp;$A42)="N/A",0,RTD("tos.rtd",,$A$2,"."&amp;C$2&amp;C$1&amp;"P"&amp;$A42)))))))))</f>
        <v>27</v>
      </c>
      <c r="D42" s="12">
        <f>IF($A$2="PREMIUM_OI",IFERROR((100*RTD("tos.rtd",,"OPEN_INT","."&amp;D$2&amp;D$1&amp;"C"&amp;$A42)*RTD("tos.rtd",,"LAST","."&amp;D$2&amp;D$1&amp;"C"&amp;$A42)-100*RTD("tos.rtd",,"OPEN_INT","."&amp;D$2&amp;D$1&amp;"P"&amp;$A42)*RTD("tos.rtd",,"LAST","."&amp;D$2&amp;D$1&amp;"P"&amp;$A42))/1000000,0),IF($A$2="PREMIUM",IFERROR((100*RTD("tos.rtd",,"VOLUME","."&amp;D$2&amp;D$1&amp;"C"&amp;$A42)*RTD("tos.rtd",,"LAST","."&amp;D$2&amp;D$1&amp;"C"&amp;$A42)-100*RTD("tos.rtd",,"VOLUME","."&amp;D$2&amp;D$1&amp;"P"&amp;$A42)*RTD("tos.rtd",,"LAST","."&amp;D$2&amp;D$1&amp;"P"&amp;$A42))/1000000,0),IF($A$2="DEX",IFERROR((100*RTD("tos.rtd",,"OPEN_INT","."&amp;D$2&amp;D$1&amp;"C"&amp;$A42)*RTD("tos.rtd",,"DELTA","."&amp;D$2&amp;D$1&amp;"C"&amp;$A42)-100*RTD("tos.rtd",,"OPEN_INT","."&amp;D$2&amp;D$1&amp;"P"&amp;$A42)*RTD("tos.rtd",,"DELTA","."&amp;D$2&amp;D$1&amp;"P"&amp;$A42))/1000,0),IF($A$2="VEX",IFERROR(($A$4*$A$4*RTD("tos.rtd",,"VOLUME","."&amp;D$2&amp;D$1&amp;"C"&amp;$A42)*RTD("tos.rtd",,"GAMMA","."&amp;D$2&amp;D$1&amp;"C"&amp;$A42)-$A$4*$A$4*RTD("tos.rtd",,"VOLUME","."&amp;D$2&amp;D$1&amp;"P"&amp;$A42)*RTD("tos.rtd",,"GAMMA","."&amp;D$2&amp;D$1&amp;"P"&amp;$A42))/1000000,0),IF($A$2="GEX",IFERROR(($A$4*$A$4*RTD("tos.rtd",,"OPEN_INT","."&amp;D$2&amp;D$1&amp;"C"&amp;$A42)*RTD("tos.rtd",,"GAMMA","."&amp;D$2&amp;D$1&amp;"C"&amp;$A42)-$A$4*$A$4*RTD("tos.rtd",,"OPEN_INT","."&amp;D$2&amp;D$1&amp;"P"&amp;$A42)*RTD("tos.rtd",,"GAMMA","."&amp;D$2&amp;D$1&amp;"P"&amp;$A42))/1000000,0),IF($A$2="SKEW",IFERROR(VALUE(IF(RTD("tos.rtd",,"IMPL_VOL","."&amp;D$2&amp;D$1&amp;"P"&amp;$A42)="N/A",0,RTD("tos.rtd",,"IMPL_VOL","."&amp;D$2&amp;D$1&amp;"P"&amp;$A42))),0)-IFERROR(VALUE(IF(RTD("tos.rtd",,"IMPL_VOL","."&amp;D$2&amp;D$1&amp;"C"&amp;$A42)="N/A",0,RTD("tos.rtd",,"IMPL_VOL","."&amp;D$2&amp;D$1&amp;"C"&amp;$A42))),0),IF($A$2="MAXPAIN",IF($A$4&gt;$A42,($A$4-$A42)*IF(RTD("tos.rtd",,"OPEN_INT","."&amp;D$2&amp;D$1&amp;"C"&amp;$A42)="N/A",0,RTD("tos.rtd",,"OPEN_INT","."&amp;D$2&amp;D$1&amp;"C"&amp;$A42)),0)+IF($A$4&lt;$A42,($A42-$A$4)*IF(RTD("tos.rtd",,"OPEN_INT","."&amp;D$2&amp;D$1&amp;"P"&amp;$A42)="N/A",0,RTD("tos.rtd",,"OPEN_INT","."&amp;D$2&amp;D$1&amp;"P"&amp;$A42)),0),IF(RTD("tos.rtd",,$A$2,"."&amp;D$2&amp;D$1&amp;"C"&amp;$A42)="N/A",0,RTD("tos.rtd",,$A$2,"."&amp;D$2&amp;D$1&amp;"C"&amp;$A42))-IF(RTD("tos.rtd",,$A$2,"."&amp;D$2&amp;D$1&amp;"P"&amp;$A42)="N/A",0,RTD("tos.rtd",,$A$2,"."&amp;D$2&amp;D$1&amp;"P"&amp;$A42)))))))))</f>
        <v>0</v>
      </c>
      <c r="E42" s="12">
        <f>IF($A$2="PREMIUM_OI",IFERROR((100*RTD("tos.rtd",,"OPEN_INT","."&amp;E$2&amp;E$1&amp;"C"&amp;$A42)*RTD("tos.rtd",,"LAST","."&amp;E$2&amp;E$1&amp;"C"&amp;$A42)-100*RTD("tos.rtd",,"OPEN_INT","."&amp;E$2&amp;E$1&amp;"P"&amp;$A42)*RTD("tos.rtd",,"LAST","."&amp;E$2&amp;E$1&amp;"P"&amp;$A42))/1000000,0),IF($A$2="PREMIUM",IFERROR((100*RTD("tos.rtd",,"VOLUME","."&amp;E$2&amp;E$1&amp;"C"&amp;$A42)*RTD("tos.rtd",,"LAST","."&amp;E$2&amp;E$1&amp;"C"&amp;$A42)-100*RTD("tos.rtd",,"VOLUME","."&amp;E$2&amp;E$1&amp;"P"&amp;$A42)*RTD("tos.rtd",,"LAST","."&amp;E$2&amp;E$1&amp;"P"&amp;$A42))/1000000,0),IF($A$2="DEX",IFERROR((100*RTD("tos.rtd",,"OPEN_INT","."&amp;E$2&amp;E$1&amp;"C"&amp;$A42)*RTD("tos.rtd",,"DELTA","."&amp;E$2&amp;E$1&amp;"C"&amp;$A42)-100*RTD("tos.rtd",,"OPEN_INT","."&amp;E$2&amp;E$1&amp;"P"&amp;$A42)*RTD("tos.rtd",,"DELTA","."&amp;E$2&amp;E$1&amp;"P"&amp;$A42))/1000,0),IF($A$2="VEX",IFERROR(($A$4*$A$4*RTD("tos.rtd",,"VOLUME","."&amp;E$2&amp;E$1&amp;"C"&amp;$A42)*RTD("tos.rtd",,"GAMMA","."&amp;E$2&amp;E$1&amp;"C"&amp;$A42)-$A$4*$A$4*RTD("tos.rtd",,"VOLUME","."&amp;E$2&amp;E$1&amp;"P"&amp;$A42)*RTD("tos.rtd",,"GAMMA","."&amp;E$2&amp;E$1&amp;"P"&amp;$A42))/1000000,0),IF($A$2="GEX",IFERROR(($A$4*$A$4*RTD("tos.rtd",,"OPEN_INT","."&amp;E$2&amp;E$1&amp;"C"&amp;$A42)*RTD("tos.rtd",,"GAMMA","."&amp;E$2&amp;E$1&amp;"C"&amp;$A42)-$A$4*$A$4*RTD("tos.rtd",,"OPEN_INT","."&amp;E$2&amp;E$1&amp;"P"&amp;$A42)*RTD("tos.rtd",,"GAMMA","."&amp;E$2&amp;E$1&amp;"P"&amp;$A42))/1000000,0),IF($A$2="SKEW",IFERROR(VALUE(IF(RTD("tos.rtd",,"IMPL_VOL","."&amp;E$2&amp;E$1&amp;"P"&amp;$A42)="N/A",0,RTD("tos.rtd",,"IMPL_VOL","."&amp;E$2&amp;E$1&amp;"P"&amp;$A42))),0)-IFERROR(VALUE(IF(RTD("tos.rtd",,"IMPL_VOL","."&amp;E$2&amp;E$1&amp;"C"&amp;$A42)="N/A",0,RTD("tos.rtd",,"IMPL_VOL","."&amp;E$2&amp;E$1&amp;"C"&amp;$A42))),0),IF($A$2="MAXPAIN",IF($A$4&gt;$A42,($A$4-$A42)*IF(RTD("tos.rtd",,"OPEN_INT","."&amp;E$2&amp;E$1&amp;"C"&amp;$A42)="N/A",0,RTD("tos.rtd",,"OPEN_INT","."&amp;E$2&amp;E$1&amp;"C"&amp;$A42)),0)+IF($A$4&lt;$A42,($A42-$A$4)*IF(RTD("tos.rtd",,"OPEN_INT","."&amp;E$2&amp;E$1&amp;"P"&amp;$A42)="N/A",0,RTD("tos.rtd",,"OPEN_INT","."&amp;E$2&amp;E$1&amp;"P"&amp;$A42)),0),IF(RTD("tos.rtd",,$A$2,"."&amp;E$2&amp;E$1&amp;"C"&amp;$A42)="N/A",0,RTD("tos.rtd",,$A$2,"."&amp;E$2&amp;E$1&amp;"C"&amp;$A42))-IF(RTD("tos.rtd",,$A$2,"."&amp;E$2&amp;E$1&amp;"P"&amp;$A42)="N/A",0,RTD("tos.rtd",,$A$2,"."&amp;E$2&amp;E$1&amp;"P"&amp;$A42)))))))))</f>
        <v>0</v>
      </c>
      <c r="F42" s="12">
        <f>IF($A$2="PREMIUM_OI",IFERROR((100*RTD("tos.rtd",,"OPEN_INT","."&amp;F$2&amp;F$1&amp;"C"&amp;$A42)*RTD("tos.rtd",,"LAST","."&amp;F$2&amp;F$1&amp;"C"&amp;$A42)-100*RTD("tos.rtd",,"OPEN_INT","."&amp;F$2&amp;F$1&amp;"P"&amp;$A42)*RTD("tos.rtd",,"LAST","."&amp;F$2&amp;F$1&amp;"P"&amp;$A42))/1000000,0),IF($A$2="PREMIUM",IFERROR((100*RTD("tos.rtd",,"VOLUME","."&amp;F$2&amp;F$1&amp;"C"&amp;$A42)*RTD("tos.rtd",,"LAST","."&amp;F$2&amp;F$1&amp;"C"&amp;$A42)-100*RTD("tos.rtd",,"VOLUME","."&amp;F$2&amp;F$1&amp;"P"&amp;$A42)*RTD("tos.rtd",,"LAST","."&amp;F$2&amp;F$1&amp;"P"&amp;$A42))/1000000,0),IF($A$2="DEX",IFERROR((100*RTD("tos.rtd",,"OPEN_INT","."&amp;F$2&amp;F$1&amp;"C"&amp;$A42)*RTD("tos.rtd",,"DELTA","."&amp;F$2&amp;F$1&amp;"C"&amp;$A42)-100*RTD("tos.rtd",,"OPEN_INT","."&amp;F$2&amp;F$1&amp;"P"&amp;$A42)*RTD("tos.rtd",,"DELTA","."&amp;F$2&amp;F$1&amp;"P"&amp;$A42))/1000,0),IF($A$2="VEX",IFERROR(($A$4*$A$4*RTD("tos.rtd",,"VOLUME","."&amp;F$2&amp;F$1&amp;"C"&amp;$A42)*RTD("tos.rtd",,"GAMMA","."&amp;F$2&amp;F$1&amp;"C"&amp;$A42)-$A$4*$A$4*RTD("tos.rtd",,"VOLUME","."&amp;F$2&amp;F$1&amp;"P"&amp;$A42)*RTD("tos.rtd",,"GAMMA","."&amp;F$2&amp;F$1&amp;"P"&amp;$A42))/1000000,0),IF($A$2="GEX",IFERROR(($A$4*$A$4*RTD("tos.rtd",,"OPEN_INT","."&amp;F$2&amp;F$1&amp;"C"&amp;$A42)*RTD("tos.rtd",,"GAMMA","."&amp;F$2&amp;F$1&amp;"C"&amp;$A42)-$A$4*$A$4*RTD("tos.rtd",,"OPEN_INT","."&amp;F$2&amp;F$1&amp;"P"&amp;$A42)*RTD("tos.rtd",,"GAMMA","."&amp;F$2&amp;F$1&amp;"P"&amp;$A42))/1000000,0),IF($A$2="SKEW",IFERROR(VALUE(IF(RTD("tos.rtd",,"IMPL_VOL","."&amp;F$2&amp;F$1&amp;"P"&amp;$A42)="N/A",0,RTD("tos.rtd",,"IMPL_VOL","."&amp;F$2&amp;F$1&amp;"P"&amp;$A42))),0)-IFERROR(VALUE(IF(RTD("tos.rtd",,"IMPL_VOL","."&amp;F$2&amp;F$1&amp;"C"&amp;$A42)="N/A",0,RTD("tos.rtd",,"IMPL_VOL","."&amp;F$2&amp;F$1&amp;"C"&amp;$A42))),0),IF($A$2="MAXPAIN",IF($A$4&gt;$A42,($A$4-$A42)*IF(RTD("tos.rtd",,"OPEN_INT","."&amp;F$2&amp;F$1&amp;"C"&amp;$A42)="N/A",0,RTD("tos.rtd",,"OPEN_INT","."&amp;F$2&amp;F$1&amp;"C"&amp;$A42)),0)+IF($A$4&lt;$A42,($A42-$A$4)*IF(RTD("tos.rtd",,"OPEN_INT","."&amp;F$2&amp;F$1&amp;"P"&amp;$A42)="N/A",0,RTD("tos.rtd",,"OPEN_INT","."&amp;F$2&amp;F$1&amp;"P"&amp;$A42)),0),IF(RTD("tos.rtd",,$A$2,"."&amp;F$2&amp;F$1&amp;"C"&amp;$A42)="N/A",0,RTD("tos.rtd",,$A$2,"."&amp;F$2&amp;F$1&amp;"C"&amp;$A42))-IF(RTD("tos.rtd",,$A$2,"."&amp;F$2&amp;F$1&amp;"P"&amp;$A42)="N/A",0,RTD("tos.rtd",,$A$2,"."&amp;F$2&amp;F$1&amp;"P"&amp;$A42)))))))))</f>
        <v>0</v>
      </c>
      <c r="G42" s="14">
        <f>IF($A$2="PREMIUM_OI",IFERROR((100*RTD("tos.rtd",,"OPEN_INT","."&amp;G$2&amp;G$1&amp;"C"&amp;$A42)*RTD("tos.rtd",,"LAST","."&amp;G$2&amp;G$1&amp;"C"&amp;$A42)-100*RTD("tos.rtd",,"OPEN_INT","."&amp;G$2&amp;G$1&amp;"P"&amp;$A42)*RTD("tos.rtd",,"LAST","."&amp;G$2&amp;G$1&amp;"P"&amp;$A42))/1000000,0),IF($A$2="PREMIUM",IFERROR((100*RTD("tos.rtd",,"VOLUME","."&amp;G$2&amp;G$1&amp;"C"&amp;$A42)*RTD("tos.rtd",,"LAST","."&amp;G$2&amp;G$1&amp;"C"&amp;$A42)-100*RTD("tos.rtd",,"VOLUME","."&amp;G$2&amp;G$1&amp;"P"&amp;$A42)*RTD("tos.rtd",,"LAST","."&amp;G$2&amp;G$1&amp;"P"&amp;$A42))/1000000,0),IF($A$2="DEX",IFERROR((100*RTD("tos.rtd",,"OPEN_INT","."&amp;G$2&amp;G$1&amp;"C"&amp;$A42)*RTD("tos.rtd",,"DELTA","."&amp;G$2&amp;G$1&amp;"C"&amp;$A42)-100*RTD("tos.rtd",,"OPEN_INT","."&amp;G$2&amp;G$1&amp;"P"&amp;$A42)*RTD("tos.rtd",,"DELTA","."&amp;G$2&amp;G$1&amp;"P"&amp;$A42))/1000,0),IF($A$2="VEX",IFERROR(($A$4*$A$4*RTD("tos.rtd",,"VOLUME","."&amp;G$2&amp;G$1&amp;"C"&amp;$A42)*RTD("tos.rtd",,"GAMMA","."&amp;G$2&amp;G$1&amp;"C"&amp;$A42)-$A$4*$A$4*RTD("tos.rtd",,"VOLUME","."&amp;G$2&amp;G$1&amp;"P"&amp;$A42)*RTD("tos.rtd",,"GAMMA","."&amp;G$2&amp;G$1&amp;"P"&amp;$A42))/1000000,0),IF($A$2="GEX",IFERROR(($A$4*$A$4*RTD("tos.rtd",,"OPEN_INT","."&amp;G$2&amp;G$1&amp;"C"&amp;$A42)*RTD("tos.rtd",,"GAMMA","."&amp;G$2&amp;G$1&amp;"C"&amp;$A42)-$A$4*$A$4*RTD("tos.rtd",,"OPEN_INT","."&amp;G$2&amp;G$1&amp;"P"&amp;$A42)*RTD("tos.rtd",,"GAMMA","."&amp;G$2&amp;G$1&amp;"P"&amp;$A42))/1000000,0),IF($A$2="SKEW",IFERROR(VALUE(IF(RTD("tos.rtd",,"IMPL_VOL","."&amp;G$2&amp;G$1&amp;"P"&amp;$A42)="N/A",0,RTD("tos.rtd",,"IMPL_VOL","."&amp;G$2&amp;G$1&amp;"P"&amp;$A42))),0)-IFERROR(VALUE(IF(RTD("tos.rtd",,"IMPL_VOL","."&amp;G$2&amp;G$1&amp;"C"&amp;$A42)="N/A",0,RTD("tos.rtd",,"IMPL_VOL","."&amp;G$2&amp;G$1&amp;"C"&amp;$A42))),0),IF($A$2="MAXPAIN",IF($A$4&gt;$A42,($A$4-$A42)*IF(RTD("tos.rtd",,"OPEN_INT","."&amp;G$2&amp;G$1&amp;"C"&amp;$A42)="N/A",0,RTD("tos.rtd",,"OPEN_INT","."&amp;G$2&amp;G$1&amp;"C"&amp;$A42)),0)+IF($A$4&lt;$A42,($A42-$A$4)*IF(RTD("tos.rtd",,"OPEN_INT","."&amp;G$2&amp;G$1&amp;"P"&amp;$A42)="N/A",0,RTD("tos.rtd",,"OPEN_INT","."&amp;G$2&amp;G$1&amp;"P"&amp;$A42)),0),IF(RTD("tos.rtd",,$A$2,"."&amp;G$2&amp;G$1&amp;"C"&amp;$A42)="N/A",0,RTD("tos.rtd",,$A$2,"."&amp;G$2&amp;G$1&amp;"C"&amp;$A42))-IF(RTD("tos.rtd",,$A$2,"."&amp;G$2&amp;G$1&amp;"P"&amp;$A42)="N/A",0,RTD("tos.rtd",,$A$2,"."&amp;G$2&amp;G$1&amp;"P"&amp;$A42)))))))))</f>
        <v>0</v>
      </c>
      <c r="H42" s="12">
        <f>IF($A$2="PREMIUM_OI",IFERROR((100*RTD("tos.rtd",,"OPEN_INT","."&amp;H$2&amp;H$1&amp;"C"&amp;$A42)*RTD("tos.rtd",,"LAST","."&amp;H$2&amp;H$1&amp;"C"&amp;$A42)-100*RTD("tos.rtd",,"OPEN_INT","."&amp;H$2&amp;H$1&amp;"P"&amp;$A42)*RTD("tos.rtd",,"LAST","."&amp;H$2&amp;H$1&amp;"P"&amp;$A42))/1000000,0),IF($A$2="PREMIUM",IFERROR((100*RTD("tos.rtd",,"VOLUME","."&amp;H$2&amp;H$1&amp;"C"&amp;$A42)*RTD("tos.rtd",,"LAST","."&amp;H$2&amp;H$1&amp;"C"&amp;$A42)-100*RTD("tos.rtd",,"VOLUME","."&amp;H$2&amp;H$1&amp;"P"&amp;$A42)*RTD("tos.rtd",,"LAST","."&amp;H$2&amp;H$1&amp;"P"&amp;$A42))/1000000,0),IF($A$2="DEX",IFERROR((100*RTD("tos.rtd",,"OPEN_INT","."&amp;H$2&amp;H$1&amp;"C"&amp;$A42)*RTD("tos.rtd",,"DELTA","."&amp;H$2&amp;H$1&amp;"C"&amp;$A42)-100*RTD("tos.rtd",,"OPEN_INT","."&amp;H$2&amp;H$1&amp;"P"&amp;$A42)*RTD("tos.rtd",,"DELTA","."&amp;H$2&amp;H$1&amp;"P"&amp;$A42))/1000,0),IF($A$2="VEX",IFERROR(($A$4*$A$4*RTD("tos.rtd",,"VOLUME","."&amp;H$2&amp;H$1&amp;"C"&amp;$A42)*RTD("tos.rtd",,"GAMMA","."&amp;H$2&amp;H$1&amp;"C"&amp;$A42)-$A$4*$A$4*RTD("tos.rtd",,"VOLUME","."&amp;H$2&amp;H$1&amp;"P"&amp;$A42)*RTD("tos.rtd",,"GAMMA","."&amp;H$2&amp;H$1&amp;"P"&amp;$A42))/1000000,0),IF($A$2="GEX",IFERROR(($A$4*$A$4*RTD("tos.rtd",,"OPEN_INT","."&amp;H$2&amp;H$1&amp;"C"&amp;$A42)*RTD("tos.rtd",,"GAMMA","."&amp;H$2&amp;H$1&amp;"C"&amp;$A42)-$A$4*$A$4*RTD("tos.rtd",,"OPEN_INT","."&amp;H$2&amp;H$1&amp;"P"&amp;$A42)*RTD("tos.rtd",,"GAMMA","."&amp;H$2&amp;H$1&amp;"P"&amp;$A42))/1000000,0),IF($A$2="SKEW",IFERROR(VALUE(IF(RTD("tos.rtd",,"IMPL_VOL","."&amp;H$2&amp;H$1&amp;"P"&amp;$A42)="N/A",0,RTD("tos.rtd",,"IMPL_VOL","."&amp;H$2&amp;H$1&amp;"P"&amp;$A42))),0)-IFERROR(VALUE(IF(RTD("tos.rtd",,"IMPL_VOL","."&amp;H$2&amp;H$1&amp;"C"&amp;$A42)="N/A",0,RTD("tos.rtd",,"IMPL_VOL","."&amp;H$2&amp;H$1&amp;"C"&amp;$A42))),0),IF($A$2="MAXPAIN",IF($A$4&gt;$A42,($A$4-$A42)*IF(RTD("tos.rtd",,"OPEN_INT","."&amp;H$2&amp;H$1&amp;"C"&amp;$A42)="N/A",0,RTD("tos.rtd",,"OPEN_INT","."&amp;H$2&amp;H$1&amp;"C"&amp;$A42)),0)+IF($A$4&lt;$A42,($A42-$A$4)*IF(RTD("tos.rtd",,"OPEN_INT","."&amp;H$2&amp;H$1&amp;"P"&amp;$A42)="N/A",0,RTD("tos.rtd",,"OPEN_INT","."&amp;H$2&amp;H$1&amp;"P"&amp;$A42)),0),IF(RTD("tos.rtd",,$A$2,"."&amp;H$2&amp;H$1&amp;"C"&amp;$A42)="N/A",0,RTD("tos.rtd",,$A$2,"."&amp;H$2&amp;H$1&amp;"C"&amp;$A42))-IF(RTD("tos.rtd",,$A$2,"."&amp;H$2&amp;H$1&amp;"P"&amp;$A42)="N/A",0,RTD("tos.rtd",,$A$2,"."&amp;H$2&amp;H$1&amp;"P"&amp;$A42)))))))))</f>
        <v>-397</v>
      </c>
      <c r="I42" s="12">
        <f>IF($A$2="PREMIUM_OI",IFERROR((100*RTD("tos.rtd",,"OPEN_INT","."&amp;I$2&amp;I$1&amp;"C"&amp;$A42)*RTD("tos.rtd",,"LAST","."&amp;I$2&amp;I$1&amp;"C"&amp;$A42)-100*RTD("tos.rtd",,"OPEN_INT","."&amp;I$2&amp;I$1&amp;"P"&amp;$A42)*RTD("tos.rtd",,"LAST","."&amp;I$2&amp;I$1&amp;"P"&amp;$A42))/1000000,0),IF($A$2="PREMIUM",IFERROR((100*RTD("tos.rtd",,"VOLUME","."&amp;I$2&amp;I$1&amp;"C"&amp;$A42)*RTD("tos.rtd",,"LAST","."&amp;I$2&amp;I$1&amp;"C"&amp;$A42)-100*RTD("tos.rtd",,"VOLUME","."&amp;I$2&amp;I$1&amp;"P"&amp;$A42)*RTD("tos.rtd",,"LAST","."&amp;I$2&amp;I$1&amp;"P"&amp;$A42))/1000000,0),IF($A$2="DEX",IFERROR((100*RTD("tos.rtd",,"OPEN_INT","."&amp;I$2&amp;I$1&amp;"C"&amp;$A42)*RTD("tos.rtd",,"DELTA","."&amp;I$2&amp;I$1&amp;"C"&amp;$A42)-100*RTD("tos.rtd",,"OPEN_INT","."&amp;I$2&amp;I$1&amp;"P"&amp;$A42)*RTD("tos.rtd",,"DELTA","."&amp;I$2&amp;I$1&amp;"P"&amp;$A42))/1000,0),IF($A$2="VEX",IFERROR(($A$4*$A$4*RTD("tos.rtd",,"VOLUME","."&amp;I$2&amp;I$1&amp;"C"&amp;$A42)*RTD("tos.rtd",,"GAMMA","."&amp;I$2&amp;I$1&amp;"C"&amp;$A42)-$A$4*$A$4*RTD("tos.rtd",,"VOLUME","."&amp;I$2&amp;I$1&amp;"P"&amp;$A42)*RTD("tos.rtd",,"GAMMA","."&amp;I$2&amp;I$1&amp;"P"&amp;$A42))/1000000,0),IF($A$2="GEX",IFERROR(($A$4*$A$4*RTD("tos.rtd",,"OPEN_INT","."&amp;I$2&amp;I$1&amp;"C"&amp;$A42)*RTD("tos.rtd",,"GAMMA","."&amp;I$2&amp;I$1&amp;"C"&amp;$A42)-$A$4*$A$4*RTD("tos.rtd",,"OPEN_INT","."&amp;I$2&amp;I$1&amp;"P"&amp;$A42)*RTD("tos.rtd",,"GAMMA","."&amp;I$2&amp;I$1&amp;"P"&amp;$A42))/1000000,0),IF($A$2="SKEW",IFERROR(VALUE(IF(RTD("tos.rtd",,"IMPL_VOL","."&amp;I$2&amp;I$1&amp;"P"&amp;$A42)="N/A",0,RTD("tos.rtd",,"IMPL_VOL","."&amp;I$2&amp;I$1&amp;"P"&amp;$A42))),0)-IFERROR(VALUE(IF(RTD("tos.rtd",,"IMPL_VOL","."&amp;I$2&amp;I$1&amp;"C"&amp;$A42)="N/A",0,RTD("tos.rtd",,"IMPL_VOL","."&amp;I$2&amp;I$1&amp;"C"&amp;$A42))),0),IF($A$2="MAXPAIN",IF($A$4&gt;$A42,($A$4-$A42)*IF(RTD("tos.rtd",,"OPEN_INT","."&amp;I$2&amp;I$1&amp;"C"&amp;$A42)="N/A",0,RTD("tos.rtd",,"OPEN_INT","."&amp;I$2&amp;I$1&amp;"C"&amp;$A42)),0)+IF($A$4&lt;$A42,($A42-$A$4)*IF(RTD("tos.rtd",,"OPEN_INT","."&amp;I$2&amp;I$1&amp;"P"&amp;$A42)="N/A",0,RTD("tos.rtd",,"OPEN_INT","."&amp;I$2&amp;I$1&amp;"P"&amp;$A42)),0),IF(RTD("tos.rtd",,$A$2,"."&amp;I$2&amp;I$1&amp;"C"&amp;$A42)="N/A",0,RTD("tos.rtd",,$A$2,"."&amp;I$2&amp;I$1&amp;"C"&amp;$A42))-IF(RTD("tos.rtd",,$A$2,"."&amp;I$2&amp;I$1&amp;"P"&amp;$A42)="N/A",0,RTD("tos.rtd",,$A$2,"."&amp;I$2&amp;I$1&amp;"P"&amp;$A42)))))))))</f>
        <v>0</v>
      </c>
      <c r="J42" s="12">
        <f>IF($A$2="PREMIUM_OI",IFERROR((100*RTD("tos.rtd",,"OPEN_INT","."&amp;J$2&amp;J$1&amp;"C"&amp;$A42)*RTD("tos.rtd",,"LAST","."&amp;J$2&amp;J$1&amp;"C"&amp;$A42)-100*RTD("tos.rtd",,"OPEN_INT","."&amp;J$2&amp;J$1&amp;"P"&amp;$A42)*RTD("tos.rtd",,"LAST","."&amp;J$2&amp;J$1&amp;"P"&amp;$A42))/1000000,0),IF($A$2="PREMIUM",IFERROR((100*RTD("tos.rtd",,"VOLUME","."&amp;J$2&amp;J$1&amp;"C"&amp;$A42)*RTD("tos.rtd",,"LAST","."&amp;J$2&amp;J$1&amp;"C"&amp;$A42)-100*RTD("tos.rtd",,"VOLUME","."&amp;J$2&amp;J$1&amp;"P"&amp;$A42)*RTD("tos.rtd",,"LAST","."&amp;J$2&amp;J$1&amp;"P"&amp;$A42))/1000000,0),IF($A$2="DEX",IFERROR((100*RTD("tos.rtd",,"OPEN_INT","."&amp;J$2&amp;J$1&amp;"C"&amp;$A42)*RTD("tos.rtd",,"DELTA","."&amp;J$2&amp;J$1&amp;"C"&amp;$A42)-100*RTD("tos.rtd",,"OPEN_INT","."&amp;J$2&amp;J$1&amp;"P"&amp;$A42)*RTD("tos.rtd",,"DELTA","."&amp;J$2&amp;J$1&amp;"P"&amp;$A42))/1000,0),IF($A$2="VEX",IFERROR(($A$4*$A$4*RTD("tos.rtd",,"VOLUME","."&amp;J$2&amp;J$1&amp;"C"&amp;$A42)*RTD("tos.rtd",,"GAMMA","."&amp;J$2&amp;J$1&amp;"C"&amp;$A42)-$A$4*$A$4*RTD("tos.rtd",,"VOLUME","."&amp;J$2&amp;J$1&amp;"P"&amp;$A42)*RTD("tos.rtd",,"GAMMA","."&amp;J$2&amp;J$1&amp;"P"&amp;$A42))/1000000,0),IF($A$2="GEX",IFERROR(($A$4*$A$4*RTD("tos.rtd",,"OPEN_INT","."&amp;J$2&amp;J$1&amp;"C"&amp;$A42)*RTD("tos.rtd",,"GAMMA","."&amp;J$2&amp;J$1&amp;"C"&amp;$A42)-$A$4*$A$4*RTD("tos.rtd",,"OPEN_INT","."&amp;J$2&amp;J$1&amp;"P"&amp;$A42)*RTD("tos.rtd",,"GAMMA","."&amp;J$2&amp;J$1&amp;"P"&amp;$A42))/1000000,0),IF($A$2="SKEW",IFERROR(VALUE(IF(RTD("tos.rtd",,"IMPL_VOL","."&amp;J$2&amp;J$1&amp;"P"&amp;$A42)="N/A",0,RTD("tos.rtd",,"IMPL_VOL","."&amp;J$2&amp;J$1&amp;"P"&amp;$A42))),0)-IFERROR(VALUE(IF(RTD("tos.rtd",,"IMPL_VOL","."&amp;J$2&amp;J$1&amp;"C"&amp;$A42)="N/A",0,RTD("tos.rtd",,"IMPL_VOL","."&amp;J$2&amp;J$1&amp;"C"&amp;$A42))),0),IF($A$2="MAXPAIN",IF($A$4&gt;$A42,($A$4-$A42)*IF(RTD("tos.rtd",,"OPEN_INT","."&amp;J$2&amp;J$1&amp;"C"&amp;$A42)="N/A",0,RTD("tos.rtd",,"OPEN_INT","."&amp;J$2&amp;J$1&amp;"C"&amp;$A42)),0)+IF($A$4&lt;$A42,($A42-$A$4)*IF(RTD("tos.rtd",,"OPEN_INT","."&amp;J$2&amp;J$1&amp;"P"&amp;$A42)="N/A",0,RTD("tos.rtd",,"OPEN_INT","."&amp;J$2&amp;J$1&amp;"P"&amp;$A42)),0),IF(RTD("tos.rtd",,$A$2,"."&amp;J$2&amp;J$1&amp;"C"&amp;$A42)="N/A",0,RTD("tos.rtd",,$A$2,"."&amp;J$2&amp;J$1&amp;"C"&amp;$A42))-IF(RTD("tos.rtd",,$A$2,"."&amp;J$2&amp;J$1&amp;"P"&amp;$A42)="N/A",0,RTD("tos.rtd",,$A$2,"."&amp;J$2&amp;J$1&amp;"P"&amp;$A42)))))))))</f>
        <v>0</v>
      </c>
      <c r="K42" s="12">
        <f>IF($A$2="PREMIUM_OI",IFERROR((100*RTD("tos.rtd",,"OPEN_INT","."&amp;K$2&amp;K$1&amp;"C"&amp;$A42)*RTD("tos.rtd",,"LAST","."&amp;K$2&amp;K$1&amp;"C"&amp;$A42)-100*RTD("tos.rtd",,"OPEN_INT","."&amp;K$2&amp;K$1&amp;"P"&amp;$A42)*RTD("tos.rtd",,"LAST","."&amp;K$2&amp;K$1&amp;"P"&amp;$A42))/1000000,0),IF($A$2="PREMIUM",IFERROR((100*RTD("tos.rtd",,"VOLUME","."&amp;K$2&amp;K$1&amp;"C"&amp;$A42)*RTD("tos.rtd",,"LAST","."&amp;K$2&amp;K$1&amp;"C"&amp;$A42)-100*RTD("tos.rtd",,"VOLUME","."&amp;K$2&amp;K$1&amp;"P"&amp;$A42)*RTD("tos.rtd",,"LAST","."&amp;K$2&amp;K$1&amp;"P"&amp;$A42))/1000000,0),IF($A$2="DEX",IFERROR((100*RTD("tos.rtd",,"OPEN_INT","."&amp;K$2&amp;K$1&amp;"C"&amp;$A42)*RTD("tos.rtd",,"DELTA","."&amp;K$2&amp;K$1&amp;"C"&amp;$A42)-100*RTD("tos.rtd",,"OPEN_INT","."&amp;K$2&amp;K$1&amp;"P"&amp;$A42)*RTD("tos.rtd",,"DELTA","."&amp;K$2&amp;K$1&amp;"P"&amp;$A42))/1000,0),IF($A$2="VEX",IFERROR(($A$4*$A$4*RTD("tos.rtd",,"VOLUME","."&amp;K$2&amp;K$1&amp;"C"&amp;$A42)*RTD("tos.rtd",,"GAMMA","."&amp;K$2&amp;K$1&amp;"C"&amp;$A42)-$A$4*$A$4*RTD("tos.rtd",,"VOLUME","."&amp;K$2&amp;K$1&amp;"P"&amp;$A42)*RTD("tos.rtd",,"GAMMA","."&amp;K$2&amp;K$1&amp;"P"&amp;$A42))/1000000,0),IF($A$2="GEX",IFERROR(($A$4*$A$4*RTD("tos.rtd",,"OPEN_INT","."&amp;K$2&amp;K$1&amp;"C"&amp;$A42)*RTD("tos.rtd",,"GAMMA","."&amp;K$2&amp;K$1&amp;"C"&amp;$A42)-$A$4*$A$4*RTD("tos.rtd",,"OPEN_INT","."&amp;K$2&amp;K$1&amp;"P"&amp;$A42)*RTD("tos.rtd",,"GAMMA","."&amp;K$2&amp;K$1&amp;"P"&amp;$A42))/1000000,0),IF($A$2="SKEW",IFERROR(VALUE(IF(RTD("tos.rtd",,"IMPL_VOL","."&amp;K$2&amp;K$1&amp;"P"&amp;$A42)="N/A",0,RTD("tos.rtd",,"IMPL_VOL","."&amp;K$2&amp;K$1&amp;"P"&amp;$A42))),0)-IFERROR(VALUE(IF(RTD("tos.rtd",,"IMPL_VOL","."&amp;K$2&amp;K$1&amp;"C"&amp;$A42)="N/A",0,RTD("tos.rtd",,"IMPL_VOL","."&amp;K$2&amp;K$1&amp;"C"&amp;$A42))),0),IF($A$2="MAXPAIN",IF($A$4&gt;$A42,($A$4-$A42)*IF(RTD("tos.rtd",,"OPEN_INT","."&amp;K$2&amp;K$1&amp;"C"&amp;$A42)="N/A",0,RTD("tos.rtd",,"OPEN_INT","."&amp;K$2&amp;K$1&amp;"C"&amp;$A42)),0)+IF($A$4&lt;$A42,($A42-$A$4)*IF(RTD("tos.rtd",,"OPEN_INT","."&amp;K$2&amp;K$1&amp;"P"&amp;$A42)="N/A",0,RTD("tos.rtd",,"OPEN_INT","."&amp;K$2&amp;K$1&amp;"P"&amp;$A42)),0),IF(RTD("tos.rtd",,$A$2,"."&amp;K$2&amp;K$1&amp;"C"&amp;$A42)="N/A",0,RTD("tos.rtd",,$A$2,"."&amp;K$2&amp;K$1&amp;"C"&amp;$A42))-IF(RTD("tos.rtd",,$A$2,"."&amp;K$2&amp;K$1&amp;"P"&amp;$A42)="N/A",0,RTD("tos.rtd",,$A$2,"."&amp;K$2&amp;K$1&amp;"P"&amp;$A42)))))))))</f>
        <v>0</v>
      </c>
      <c r="L42" s="12">
        <f>IF($A$2="PREMIUM_OI",IFERROR((100*RTD("tos.rtd",,"OPEN_INT","."&amp;L$2&amp;L$1&amp;"C"&amp;$A42)*RTD("tos.rtd",,"LAST","."&amp;L$2&amp;L$1&amp;"C"&amp;$A42)-100*RTD("tos.rtd",,"OPEN_INT","."&amp;L$2&amp;L$1&amp;"P"&amp;$A42)*RTD("tos.rtd",,"LAST","."&amp;L$2&amp;L$1&amp;"P"&amp;$A42))/1000000,0),IF($A$2="PREMIUM",IFERROR((100*RTD("tos.rtd",,"VOLUME","."&amp;L$2&amp;L$1&amp;"C"&amp;$A42)*RTD("tos.rtd",,"LAST","."&amp;L$2&amp;L$1&amp;"C"&amp;$A42)-100*RTD("tos.rtd",,"VOLUME","."&amp;L$2&amp;L$1&amp;"P"&amp;$A42)*RTD("tos.rtd",,"LAST","."&amp;L$2&amp;L$1&amp;"P"&amp;$A42))/1000000,0),IF($A$2="DEX",IFERROR((100*RTD("tos.rtd",,"OPEN_INT","."&amp;L$2&amp;L$1&amp;"C"&amp;$A42)*RTD("tos.rtd",,"DELTA","."&amp;L$2&amp;L$1&amp;"C"&amp;$A42)-100*RTD("tos.rtd",,"OPEN_INT","."&amp;L$2&amp;L$1&amp;"P"&amp;$A42)*RTD("tos.rtd",,"DELTA","."&amp;L$2&amp;L$1&amp;"P"&amp;$A42))/1000,0),IF($A$2="VEX",IFERROR(($A$4*$A$4*RTD("tos.rtd",,"VOLUME","."&amp;L$2&amp;L$1&amp;"C"&amp;$A42)*RTD("tos.rtd",,"GAMMA","."&amp;L$2&amp;L$1&amp;"C"&amp;$A42)-$A$4*$A$4*RTD("tos.rtd",,"VOLUME","."&amp;L$2&amp;L$1&amp;"P"&amp;$A42)*RTD("tos.rtd",,"GAMMA","."&amp;L$2&amp;L$1&amp;"P"&amp;$A42))/1000000,0),IF($A$2="GEX",IFERROR(($A$4*$A$4*RTD("tos.rtd",,"OPEN_INT","."&amp;L$2&amp;L$1&amp;"C"&amp;$A42)*RTD("tos.rtd",,"GAMMA","."&amp;L$2&amp;L$1&amp;"C"&amp;$A42)-$A$4*$A$4*RTD("tos.rtd",,"OPEN_INT","."&amp;L$2&amp;L$1&amp;"P"&amp;$A42)*RTD("tos.rtd",,"GAMMA","."&amp;L$2&amp;L$1&amp;"P"&amp;$A42))/1000000,0),IF($A$2="SKEW",IFERROR(VALUE(IF(RTD("tos.rtd",,"IMPL_VOL","."&amp;L$2&amp;L$1&amp;"P"&amp;$A42)="N/A",0,RTD("tos.rtd",,"IMPL_VOL","."&amp;L$2&amp;L$1&amp;"P"&amp;$A42))),0)-IFERROR(VALUE(IF(RTD("tos.rtd",,"IMPL_VOL","."&amp;L$2&amp;L$1&amp;"C"&amp;$A42)="N/A",0,RTD("tos.rtd",,"IMPL_VOL","."&amp;L$2&amp;L$1&amp;"C"&amp;$A42))),0),IF($A$2="MAXPAIN",IF($A$4&gt;$A42,($A$4-$A42)*IF(RTD("tos.rtd",,"OPEN_INT","."&amp;L$2&amp;L$1&amp;"C"&amp;$A42)="N/A",0,RTD("tos.rtd",,"OPEN_INT","."&amp;L$2&amp;L$1&amp;"C"&amp;$A42)),0)+IF($A$4&lt;$A42,($A42-$A$4)*IF(RTD("tos.rtd",,"OPEN_INT","."&amp;L$2&amp;L$1&amp;"P"&amp;$A42)="N/A",0,RTD("tos.rtd",,"OPEN_INT","."&amp;L$2&amp;L$1&amp;"P"&amp;$A42)),0),IF(RTD("tos.rtd",,$A$2,"."&amp;L$2&amp;L$1&amp;"C"&amp;$A42)="N/A",0,RTD("tos.rtd",,$A$2,"."&amp;L$2&amp;L$1&amp;"C"&amp;$A42))-IF(RTD("tos.rtd",,$A$2,"."&amp;L$2&amp;L$1&amp;"P"&amp;$A42)="N/A",0,RTD("tos.rtd",,$A$2,"."&amp;L$2&amp;L$1&amp;"P"&amp;$A42)))))))))</f>
        <v>0</v>
      </c>
      <c r="M42" s="12">
        <f>IF($A$2="PREMIUM_OI",IFERROR((100*RTD("tos.rtd",,"OPEN_INT","."&amp;M$2&amp;M$1&amp;"C"&amp;$A42)*RTD("tos.rtd",,"LAST","."&amp;M$2&amp;M$1&amp;"C"&amp;$A42)-100*RTD("tos.rtd",,"OPEN_INT","."&amp;M$2&amp;M$1&amp;"P"&amp;$A42)*RTD("tos.rtd",,"LAST","."&amp;M$2&amp;M$1&amp;"P"&amp;$A42))/1000000,0),IF($A$2="PREMIUM",IFERROR((100*RTD("tos.rtd",,"VOLUME","."&amp;M$2&amp;M$1&amp;"C"&amp;$A42)*RTD("tos.rtd",,"LAST","."&amp;M$2&amp;M$1&amp;"C"&amp;$A42)-100*RTD("tos.rtd",,"VOLUME","."&amp;M$2&amp;M$1&amp;"P"&amp;$A42)*RTD("tos.rtd",,"LAST","."&amp;M$2&amp;M$1&amp;"P"&amp;$A42))/1000000,0),IF($A$2="DEX",IFERROR((100*RTD("tos.rtd",,"OPEN_INT","."&amp;M$2&amp;M$1&amp;"C"&amp;$A42)*RTD("tos.rtd",,"DELTA","."&amp;M$2&amp;M$1&amp;"C"&amp;$A42)-100*RTD("tos.rtd",,"OPEN_INT","."&amp;M$2&amp;M$1&amp;"P"&amp;$A42)*RTD("tos.rtd",,"DELTA","."&amp;M$2&amp;M$1&amp;"P"&amp;$A42))/1000,0),IF($A$2="VEX",IFERROR(($A$4*$A$4*RTD("tos.rtd",,"VOLUME","."&amp;M$2&amp;M$1&amp;"C"&amp;$A42)*RTD("tos.rtd",,"GAMMA","."&amp;M$2&amp;M$1&amp;"C"&amp;$A42)-$A$4*$A$4*RTD("tos.rtd",,"VOLUME","."&amp;M$2&amp;M$1&amp;"P"&amp;$A42)*RTD("tos.rtd",,"GAMMA","."&amp;M$2&amp;M$1&amp;"P"&amp;$A42))/1000000,0),IF($A$2="GEX",IFERROR(($A$4*$A$4*RTD("tos.rtd",,"OPEN_INT","."&amp;M$2&amp;M$1&amp;"C"&amp;$A42)*RTD("tos.rtd",,"GAMMA","."&amp;M$2&amp;M$1&amp;"C"&amp;$A42)-$A$4*$A$4*RTD("tos.rtd",,"OPEN_INT","."&amp;M$2&amp;M$1&amp;"P"&amp;$A42)*RTD("tos.rtd",,"GAMMA","."&amp;M$2&amp;M$1&amp;"P"&amp;$A42))/1000000,0),IF($A$2="SKEW",IFERROR(VALUE(IF(RTD("tos.rtd",,"IMPL_VOL","."&amp;M$2&amp;M$1&amp;"P"&amp;$A42)="N/A",0,RTD("tos.rtd",,"IMPL_VOL","."&amp;M$2&amp;M$1&amp;"P"&amp;$A42))),0)-IFERROR(VALUE(IF(RTD("tos.rtd",,"IMPL_VOL","."&amp;M$2&amp;M$1&amp;"C"&amp;$A42)="N/A",0,RTD("tos.rtd",,"IMPL_VOL","."&amp;M$2&amp;M$1&amp;"C"&amp;$A42))),0),IF($A$2="MAXPAIN",IF($A$4&gt;$A42,($A$4-$A42)*IF(RTD("tos.rtd",,"OPEN_INT","."&amp;M$2&amp;M$1&amp;"C"&amp;$A42)="N/A",0,RTD("tos.rtd",,"OPEN_INT","."&amp;M$2&amp;M$1&amp;"C"&amp;$A42)),0)+IF($A$4&lt;$A42,($A42-$A$4)*IF(RTD("tos.rtd",,"OPEN_INT","."&amp;M$2&amp;M$1&amp;"P"&amp;$A42)="N/A",0,RTD("tos.rtd",,"OPEN_INT","."&amp;M$2&amp;M$1&amp;"P"&amp;$A42)),0),IF(RTD("tos.rtd",,$A$2,"."&amp;M$2&amp;M$1&amp;"C"&amp;$A42)="N/A",0,RTD("tos.rtd",,$A$2,"."&amp;M$2&amp;M$1&amp;"C"&amp;$A42))-IF(RTD("tos.rtd",,$A$2,"."&amp;M$2&amp;M$1&amp;"P"&amp;$A42)="N/A",0,RTD("tos.rtd",,$A$2,"."&amp;M$2&amp;M$1&amp;"P"&amp;$A42)))))))))</f>
        <v>98</v>
      </c>
      <c r="N42" s="12">
        <f>IF($A$2="PREMIUM_OI",IFERROR((100*RTD("tos.rtd",,"OPEN_INT","."&amp;N$2&amp;N$1&amp;"C"&amp;$A42)*RTD("tos.rtd",,"LAST","."&amp;N$2&amp;N$1&amp;"C"&amp;$A42)-100*RTD("tos.rtd",,"OPEN_INT","."&amp;N$2&amp;N$1&amp;"P"&amp;$A42)*RTD("tos.rtd",,"LAST","."&amp;N$2&amp;N$1&amp;"P"&amp;$A42))/1000000,0),IF($A$2="PREMIUM",IFERROR((100*RTD("tos.rtd",,"VOLUME","."&amp;N$2&amp;N$1&amp;"C"&amp;$A42)*RTD("tos.rtd",,"LAST","."&amp;N$2&amp;N$1&amp;"C"&amp;$A42)-100*RTD("tos.rtd",,"VOLUME","."&amp;N$2&amp;N$1&amp;"P"&amp;$A42)*RTD("tos.rtd",,"LAST","."&amp;N$2&amp;N$1&amp;"P"&amp;$A42))/1000000,0),IF($A$2="DEX",IFERROR((100*RTD("tos.rtd",,"OPEN_INT","."&amp;N$2&amp;N$1&amp;"C"&amp;$A42)*RTD("tos.rtd",,"DELTA","."&amp;N$2&amp;N$1&amp;"C"&amp;$A42)-100*RTD("tos.rtd",,"OPEN_INT","."&amp;N$2&amp;N$1&amp;"P"&amp;$A42)*RTD("tos.rtd",,"DELTA","."&amp;N$2&amp;N$1&amp;"P"&amp;$A42))/1000,0),IF($A$2="VEX",IFERROR(($A$4*$A$4*RTD("tos.rtd",,"VOLUME","."&amp;N$2&amp;N$1&amp;"C"&amp;$A42)*RTD("tos.rtd",,"GAMMA","."&amp;N$2&amp;N$1&amp;"C"&amp;$A42)-$A$4*$A$4*RTD("tos.rtd",,"VOLUME","."&amp;N$2&amp;N$1&amp;"P"&amp;$A42)*RTD("tos.rtd",,"GAMMA","."&amp;N$2&amp;N$1&amp;"P"&amp;$A42))/1000000,0),IF($A$2="GEX",IFERROR(($A$4*$A$4*RTD("tos.rtd",,"OPEN_INT","."&amp;N$2&amp;N$1&amp;"C"&amp;$A42)*RTD("tos.rtd",,"GAMMA","."&amp;N$2&amp;N$1&amp;"C"&amp;$A42)-$A$4*$A$4*RTD("tos.rtd",,"OPEN_INT","."&amp;N$2&amp;N$1&amp;"P"&amp;$A42)*RTD("tos.rtd",,"GAMMA","."&amp;N$2&amp;N$1&amp;"P"&amp;$A42))/1000000,0),IF($A$2="SKEW",IFERROR(VALUE(IF(RTD("tos.rtd",,"IMPL_VOL","."&amp;N$2&amp;N$1&amp;"P"&amp;$A42)="N/A",0,RTD("tos.rtd",,"IMPL_VOL","."&amp;N$2&amp;N$1&amp;"P"&amp;$A42))),0)-IFERROR(VALUE(IF(RTD("tos.rtd",,"IMPL_VOL","."&amp;N$2&amp;N$1&amp;"C"&amp;$A42)="N/A",0,RTD("tos.rtd",,"IMPL_VOL","."&amp;N$2&amp;N$1&amp;"C"&amp;$A42))),0),IF($A$2="MAXPAIN",IF($A$4&gt;$A42,($A$4-$A42)*IF(RTD("tos.rtd",,"OPEN_INT","."&amp;N$2&amp;N$1&amp;"C"&amp;$A42)="N/A",0,RTD("tos.rtd",,"OPEN_INT","."&amp;N$2&amp;N$1&amp;"C"&amp;$A42)),0)+IF($A$4&lt;$A42,($A42-$A$4)*IF(RTD("tos.rtd",,"OPEN_INT","."&amp;N$2&amp;N$1&amp;"P"&amp;$A42)="N/A",0,RTD("tos.rtd",,"OPEN_INT","."&amp;N$2&amp;N$1&amp;"P"&amp;$A42)),0),IF(RTD("tos.rtd",,$A$2,"."&amp;N$2&amp;N$1&amp;"C"&amp;$A42)="N/A",0,RTD("tos.rtd",,$A$2,"."&amp;N$2&amp;N$1&amp;"C"&amp;$A42))-IF(RTD("tos.rtd",,$A$2,"."&amp;N$2&amp;N$1&amp;"P"&amp;$A42)="N/A",0,RTD("tos.rtd",,$A$2,"."&amp;N$2&amp;N$1&amp;"P"&amp;$A42)))))))))</f>
        <v>0</v>
      </c>
      <c r="O42" s="12">
        <f>IF($A$2="PREMIUM_OI",IFERROR((100*RTD("tos.rtd",,"OPEN_INT","."&amp;O$2&amp;O$1&amp;"C"&amp;$A42)*RTD("tos.rtd",,"LAST","."&amp;O$2&amp;O$1&amp;"C"&amp;$A42)-100*RTD("tos.rtd",,"OPEN_INT","."&amp;O$2&amp;O$1&amp;"P"&amp;$A42)*RTD("tos.rtd",,"LAST","."&amp;O$2&amp;O$1&amp;"P"&amp;$A42))/1000000,0),IF($A$2="PREMIUM",IFERROR((100*RTD("tos.rtd",,"VOLUME","."&amp;O$2&amp;O$1&amp;"C"&amp;$A42)*RTD("tos.rtd",,"LAST","."&amp;O$2&amp;O$1&amp;"C"&amp;$A42)-100*RTD("tos.rtd",,"VOLUME","."&amp;O$2&amp;O$1&amp;"P"&amp;$A42)*RTD("tos.rtd",,"LAST","."&amp;O$2&amp;O$1&amp;"P"&amp;$A42))/1000000,0),IF($A$2="DEX",IFERROR((100*RTD("tos.rtd",,"OPEN_INT","."&amp;O$2&amp;O$1&amp;"C"&amp;$A42)*RTD("tos.rtd",,"DELTA","."&amp;O$2&amp;O$1&amp;"C"&amp;$A42)-100*RTD("tos.rtd",,"OPEN_INT","."&amp;O$2&amp;O$1&amp;"P"&amp;$A42)*RTD("tos.rtd",,"DELTA","."&amp;O$2&amp;O$1&amp;"P"&amp;$A42))/1000,0),IF($A$2="VEX",IFERROR(($A$4*$A$4*RTD("tos.rtd",,"VOLUME","."&amp;O$2&amp;O$1&amp;"C"&amp;$A42)*RTD("tos.rtd",,"GAMMA","."&amp;O$2&amp;O$1&amp;"C"&amp;$A42)-$A$4*$A$4*RTD("tos.rtd",,"VOLUME","."&amp;O$2&amp;O$1&amp;"P"&amp;$A42)*RTD("tos.rtd",,"GAMMA","."&amp;O$2&amp;O$1&amp;"P"&amp;$A42))/1000000,0),IF($A$2="GEX",IFERROR(($A$4*$A$4*RTD("tos.rtd",,"OPEN_INT","."&amp;O$2&amp;O$1&amp;"C"&amp;$A42)*RTD("tos.rtd",,"GAMMA","."&amp;O$2&amp;O$1&amp;"C"&amp;$A42)-$A$4*$A$4*RTD("tos.rtd",,"OPEN_INT","."&amp;O$2&amp;O$1&amp;"P"&amp;$A42)*RTD("tos.rtd",,"GAMMA","."&amp;O$2&amp;O$1&amp;"P"&amp;$A42))/1000000,0),IF($A$2="SKEW",IFERROR(VALUE(IF(RTD("tos.rtd",,"IMPL_VOL","."&amp;O$2&amp;O$1&amp;"P"&amp;$A42)="N/A",0,RTD("tos.rtd",,"IMPL_VOL","."&amp;O$2&amp;O$1&amp;"P"&amp;$A42))),0)-IFERROR(VALUE(IF(RTD("tos.rtd",,"IMPL_VOL","."&amp;O$2&amp;O$1&amp;"C"&amp;$A42)="N/A",0,RTD("tos.rtd",,"IMPL_VOL","."&amp;O$2&amp;O$1&amp;"C"&amp;$A42))),0),IF($A$2="MAXPAIN",IF($A$4&gt;$A42,($A$4-$A42)*IF(RTD("tos.rtd",,"OPEN_INT","."&amp;O$2&amp;O$1&amp;"C"&amp;$A42)="N/A",0,RTD("tos.rtd",,"OPEN_INT","."&amp;O$2&amp;O$1&amp;"C"&amp;$A42)),0)+IF($A$4&lt;$A42,($A42-$A$4)*IF(RTD("tos.rtd",,"OPEN_INT","."&amp;O$2&amp;O$1&amp;"P"&amp;$A42)="N/A",0,RTD("tos.rtd",,"OPEN_INT","."&amp;O$2&amp;O$1&amp;"P"&amp;$A42)),0),IF(RTD("tos.rtd",,$A$2,"."&amp;O$2&amp;O$1&amp;"C"&amp;$A42)="N/A",0,RTD("tos.rtd",,$A$2,"."&amp;O$2&amp;O$1&amp;"C"&amp;$A42))-IF(RTD("tos.rtd",,$A$2,"."&amp;O$2&amp;O$1&amp;"P"&amp;$A42)="N/A",0,RTD("tos.rtd",,$A$2,"."&amp;O$2&amp;O$1&amp;"P"&amp;$A42)))))))))</f>
        <v>0</v>
      </c>
      <c r="P42" s="12">
        <f>IF($A$2="PREMIUM_OI",IFERROR((100*RTD("tos.rtd",,"OPEN_INT","."&amp;P$2&amp;P$1&amp;"C"&amp;$A42)*RTD("tos.rtd",,"LAST","."&amp;P$2&amp;P$1&amp;"C"&amp;$A42)-100*RTD("tos.rtd",,"OPEN_INT","."&amp;P$2&amp;P$1&amp;"P"&amp;$A42)*RTD("tos.rtd",,"LAST","."&amp;P$2&amp;P$1&amp;"P"&amp;$A42))/1000000,0),IF($A$2="PREMIUM",IFERROR((100*RTD("tos.rtd",,"VOLUME","."&amp;P$2&amp;P$1&amp;"C"&amp;$A42)*RTD("tos.rtd",,"LAST","."&amp;P$2&amp;P$1&amp;"C"&amp;$A42)-100*RTD("tos.rtd",,"VOLUME","."&amp;P$2&amp;P$1&amp;"P"&amp;$A42)*RTD("tos.rtd",,"LAST","."&amp;P$2&amp;P$1&amp;"P"&amp;$A42))/1000000,0),IF($A$2="DEX",IFERROR((100*RTD("tos.rtd",,"OPEN_INT","."&amp;P$2&amp;P$1&amp;"C"&amp;$A42)*RTD("tos.rtd",,"DELTA","."&amp;P$2&amp;P$1&amp;"C"&amp;$A42)-100*RTD("tos.rtd",,"OPEN_INT","."&amp;P$2&amp;P$1&amp;"P"&amp;$A42)*RTD("tos.rtd",,"DELTA","."&amp;P$2&amp;P$1&amp;"P"&amp;$A42))/1000,0),IF($A$2="VEX",IFERROR(($A$4*$A$4*RTD("tos.rtd",,"VOLUME","."&amp;P$2&amp;P$1&amp;"C"&amp;$A42)*RTD("tos.rtd",,"GAMMA","."&amp;P$2&amp;P$1&amp;"C"&amp;$A42)-$A$4*$A$4*RTD("tos.rtd",,"VOLUME","."&amp;P$2&amp;P$1&amp;"P"&amp;$A42)*RTD("tos.rtd",,"GAMMA","."&amp;P$2&amp;P$1&amp;"P"&amp;$A42))/1000000,0),IF($A$2="GEX",IFERROR(($A$4*$A$4*RTD("tos.rtd",,"OPEN_INT","."&amp;P$2&amp;P$1&amp;"C"&amp;$A42)*RTD("tos.rtd",,"GAMMA","."&amp;P$2&amp;P$1&amp;"C"&amp;$A42)-$A$4*$A$4*RTD("tos.rtd",,"OPEN_INT","."&amp;P$2&amp;P$1&amp;"P"&amp;$A42)*RTD("tos.rtd",,"GAMMA","."&amp;P$2&amp;P$1&amp;"P"&amp;$A42))/1000000,0),IF($A$2="SKEW",IFERROR(VALUE(IF(RTD("tos.rtd",,"IMPL_VOL","."&amp;P$2&amp;P$1&amp;"P"&amp;$A42)="N/A",0,RTD("tos.rtd",,"IMPL_VOL","."&amp;P$2&amp;P$1&amp;"P"&amp;$A42))),0)-IFERROR(VALUE(IF(RTD("tos.rtd",,"IMPL_VOL","."&amp;P$2&amp;P$1&amp;"C"&amp;$A42)="N/A",0,RTD("tos.rtd",,"IMPL_VOL","."&amp;P$2&amp;P$1&amp;"C"&amp;$A42))),0),IF($A$2="MAXPAIN",IF($A$4&gt;$A42,($A$4-$A42)*IF(RTD("tos.rtd",,"OPEN_INT","."&amp;P$2&amp;P$1&amp;"C"&amp;$A42)="N/A",0,RTD("tos.rtd",,"OPEN_INT","."&amp;P$2&amp;P$1&amp;"C"&amp;$A42)),0)+IF($A$4&lt;$A42,($A42-$A$4)*IF(RTD("tos.rtd",,"OPEN_INT","."&amp;P$2&amp;P$1&amp;"P"&amp;$A42)="N/A",0,RTD("tos.rtd",,"OPEN_INT","."&amp;P$2&amp;P$1&amp;"P"&amp;$A42)),0),IF(RTD("tos.rtd",,$A$2,"."&amp;P$2&amp;P$1&amp;"C"&amp;$A42)="N/A",0,RTD("tos.rtd",,$A$2,"."&amp;P$2&amp;P$1&amp;"C"&amp;$A42))-IF(RTD("tos.rtd",,$A$2,"."&amp;P$2&amp;P$1&amp;"P"&amp;$A42)="N/A",0,RTD("tos.rtd",,$A$2,"."&amp;P$2&amp;P$1&amp;"P"&amp;$A42)))))))))</f>
        <v>0</v>
      </c>
      <c r="Q42" s="12">
        <f>IF($A$2="PREMIUM_OI",IFERROR((100*RTD("tos.rtd",,"OPEN_INT","."&amp;Q$2&amp;Q$1&amp;"C"&amp;$A42)*RTD("tos.rtd",,"LAST","."&amp;Q$2&amp;Q$1&amp;"C"&amp;$A42)-100*RTD("tos.rtd",,"OPEN_INT","."&amp;Q$2&amp;Q$1&amp;"P"&amp;$A42)*RTD("tos.rtd",,"LAST","."&amp;Q$2&amp;Q$1&amp;"P"&amp;$A42))/1000000,0),IF($A$2="PREMIUM",IFERROR((100*RTD("tos.rtd",,"VOLUME","."&amp;Q$2&amp;Q$1&amp;"C"&amp;$A42)*RTD("tos.rtd",,"LAST","."&amp;Q$2&amp;Q$1&amp;"C"&amp;$A42)-100*RTD("tos.rtd",,"VOLUME","."&amp;Q$2&amp;Q$1&amp;"P"&amp;$A42)*RTD("tos.rtd",,"LAST","."&amp;Q$2&amp;Q$1&amp;"P"&amp;$A42))/1000000,0),IF($A$2="DEX",IFERROR((100*RTD("tos.rtd",,"OPEN_INT","."&amp;Q$2&amp;Q$1&amp;"C"&amp;$A42)*RTD("tos.rtd",,"DELTA","."&amp;Q$2&amp;Q$1&amp;"C"&amp;$A42)-100*RTD("tos.rtd",,"OPEN_INT","."&amp;Q$2&amp;Q$1&amp;"P"&amp;$A42)*RTD("tos.rtd",,"DELTA","."&amp;Q$2&amp;Q$1&amp;"P"&amp;$A42))/1000,0),IF($A$2="VEX",IFERROR(($A$4*$A$4*RTD("tos.rtd",,"VOLUME","."&amp;Q$2&amp;Q$1&amp;"C"&amp;$A42)*RTD("tos.rtd",,"GAMMA","."&amp;Q$2&amp;Q$1&amp;"C"&amp;$A42)-$A$4*$A$4*RTD("tos.rtd",,"VOLUME","."&amp;Q$2&amp;Q$1&amp;"P"&amp;$A42)*RTD("tos.rtd",,"GAMMA","."&amp;Q$2&amp;Q$1&amp;"P"&amp;$A42))/1000000,0),IF($A$2="GEX",IFERROR(($A$4*$A$4*RTD("tos.rtd",,"OPEN_INT","."&amp;Q$2&amp;Q$1&amp;"C"&amp;$A42)*RTD("tos.rtd",,"GAMMA","."&amp;Q$2&amp;Q$1&amp;"C"&amp;$A42)-$A$4*$A$4*RTD("tos.rtd",,"OPEN_INT","."&amp;Q$2&amp;Q$1&amp;"P"&amp;$A42)*RTD("tos.rtd",,"GAMMA","."&amp;Q$2&amp;Q$1&amp;"P"&amp;$A42))/1000000,0),IF($A$2="SKEW",IFERROR(VALUE(IF(RTD("tos.rtd",,"IMPL_VOL","."&amp;Q$2&amp;Q$1&amp;"P"&amp;$A42)="N/A",0,RTD("tos.rtd",,"IMPL_VOL","."&amp;Q$2&amp;Q$1&amp;"P"&amp;$A42))),0)-IFERROR(VALUE(IF(RTD("tos.rtd",,"IMPL_VOL","."&amp;Q$2&amp;Q$1&amp;"C"&amp;$A42)="N/A",0,RTD("tos.rtd",,"IMPL_VOL","."&amp;Q$2&amp;Q$1&amp;"C"&amp;$A42))),0),IF($A$2="MAXPAIN",IF($A$4&gt;$A42,($A$4-$A42)*IF(RTD("tos.rtd",,"OPEN_INT","."&amp;Q$2&amp;Q$1&amp;"C"&amp;$A42)="N/A",0,RTD("tos.rtd",,"OPEN_INT","."&amp;Q$2&amp;Q$1&amp;"C"&amp;$A42)),0)+IF($A$4&lt;$A42,($A42-$A$4)*IF(RTD("tos.rtd",,"OPEN_INT","."&amp;Q$2&amp;Q$1&amp;"P"&amp;$A42)="N/A",0,RTD("tos.rtd",,"OPEN_INT","."&amp;Q$2&amp;Q$1&amp;"P"&amp;$A42)),0),IF(RTD("tos.rtd",,$A$2,"."&amp;Q$2&amp;Q$1&amp;"C"&amp;$A42)="N/A",0,RTD("tos.rtd",,$A$2,"."&amp;Q$2&amp;Q$1&amp;"C"&amp;$A42))-IF(RTD("tos.rtd",,$A$2,"."&amp;Q$2&amp;Q$1&amp;"P"&amp;$A42)="N/A",0,RTD("tos.rtd",,$A$2,"."&amp;Q$2&amp;Q$1&amp;"P"&amp;$A42)))))))))</f>
        <v>0</v>
      </c>
      <c r="R42" s="12">
        <f>IF($A$2="PREMIUM_OI",IFERROR((100*RTD("tos.rtd",,"OPEN_INT","."&amp;R$2&amp;R$1&amp;"C"&amp;$A42)*RTD("tos.rtd",,"LAST","."&amp;R$2&amp;R$1&amp;"C"&amp;$A42)-100*RTD("tos.rtd",,"OPEN_INT","."&amp;R$2&amp;R$1&amp;"P"&amp;$A42)*RTD("tos.rtd",,"LAST","."&amp;R$2&amp;R$1&amp;"P"&amp;$A42))/1000000,0),IF($A$2="PREMIUM",IFERROR((100*RTD("tos.rtd",,"VOLUME","."&amp;R$2&amp;R$1&amp;"C"&amp;$A42)*RTD("tos.rtd",,"LAST","."&amp;R$2&amp;R$1&amp;"C"&amp;$A42)-100*RTD("tos.rtd",,"VOLUME","."&amp;R$2&amp;R$1&amp;"P"&amp;$A42)*RTD("tos.rtd",,"LAST","."&amp;R$2&amp;R$1&amp;"P"&amp;$A42))/1000000,0),IF($A$2="DEX",IFERROR((100*RTD("tos.rtd",,"OPEN_INT","."&amp;R$2&amp;R$1&amp;"C"&amp;$A42)*RTD("tos.rtd",,"DELTA","."&amp;R$2&amp;R$1&amp;"C"&amp;$A42)-100*RTD("tos.rtd",,"OPEN_INT","."&amp;R$2&amp;R$1&amp;"P"&amp;$A42)*RTD("tos.rtd",,"DELTA","."&amp;R$2&amp;R$1&amp;"P"&amp;$A42))/1000,0),IF($A$2="VEX",IFERROR(($A$4*$A$4*RTD("tos.rtd",,"VOLUME","."&amp;R$2&amp;R$1&amp;"C"&amp;$A42)*RTD("tos.rtd",,"GAMMA","."&amp;R$2&amp;R$1&amp;"C"&amp;$A42)-$A$4*$A$4*RTD("tos.rtd",,"VOLUME","."&amp;R$2&amp;R$1&amp;"P"&amp;$A42)*RTD("tos.rtd",,"GAMMA","."&amp;R$2&amp;R$1&amp;"P"&amp;$A42))/1000000,0),IF($A$2="GEX",IFERROR(($A$4*$A$4*RTD("tos.rtd",,"OPEN_INT","."&amp;R$2&amp;R$1&amp;"C"&amp;$A42)*RTD("tos.rtd",,"GAMMA","."&amp;R$2&amp;R$1&amp;"C"&amp;$A42)-$A$4*$A$4*RTD("tos.rtd",,"OPEN_INT","."&amp;R$2&amp;R$1&amp;"P"&amp;$A42)*RTD("tos.rtd",,"GAMMA","."&amp;R$2&amp;R$1&amp;"P"&amp;$A42))/1000000,0),IF($A$2="SKEW",IFERROR(VALUE(IF(RTD("tos.rtd",,"IMPL_VOL","."&amp;R$2&amp;R$1&amp;"P"&amp;$A42)="N/A",0,RTD("tos.rtd",,"IMPL_VOL","."&amp;R$2&amp;R$1&amp;"P"&amp;$A42))),0)-IFERROR(VALUE(IF(RTD("tos.rtd",,"IMPL_VOL","."&amp;R$2&amp;R$1&amp;"C"&amp;$A42)="N/A",0,RTD("tos.rtd",,"IMPL_VOL","."&amp;R$2&amp;R$1&amp;"C"&amp;$A42))),0),IF($A$2="MAXPAIN",IF($A$4&gt;$A42,($A$4-$A42)*IF(RTD("tos.rtd",,"OPEN_INT","."&amp;R$2&amp;R$1&amp;"C"&amp;$A42)="N/A",0,RTD("tos.rtd",,"OPEN_INT","."&amp;R$2&amp;R$1&amp;"C"&amp;$A42)),0)+IF($A$4&lt;$A42,($A42-$A$4)*IF(RTD("tos.rtd",,"OPEN_INT","."&amp;R$2&amp;R$1&amp;"P"&amp;$A42)="N/A",0,RTD("tos.rtd",,"OPEN_INT","."&amp;R$2&amp;R$1&amp;"P"&amp;$A42)),0),IF(RTD("tos.rtd",,$A$2,"."&amp;R$2&amp;R$1&amp;"C"&amp;$A42)="N/A",0,RTD("tos.rtd",,$A$2,"."&amp;R$2&amp;R$1&amp;"C"&amp;$A42))-IF(RTD("tos.rtd",,$A$2,"."&amp;R$2&amp;R$1&amp;"P"&amp;$A42)="N/A",0,RTD("tos.rtd",,$A$2,"."&amp;R$2&amp;R$1&amp;"P"&amp;$A42)))))))))</f>
        <v>34</v>
      </c>
      <c r="S42" s="12">
        <f>IF($A$2="PREMIUM_OI",IFERROR((100*RTD("tos.rtd",,"OPEN_INT","."&amp;S$2&amp;S$1&amp;"C"&amp;$A42)*RTD("tos.rtd",,"LAST","."&amp;S$2&amp;S$1&amp;"C"&amp;$A42)-100*RTD("tos.rtd",,"OPEN_INT","."&amp;S$2&amp;S$1&amp;"P"&amp;$A42)*RTD("tos.rtd",,"LAST","."&amp;S$2&amp;S$1&amp;"P"&amp;$A42))/1000000,0),IF($A$2="PREMIUM",IFERROR((100*RTD("tos.rtd",,"VOLUME","."&amp;S$2&amp;S$1&amp;"C"&amp;$A42)*RTD("tos.rtd",,"LAST","."&amp;S$2&amp;S$1&amp;"C"&amp;$A42)-100*RTD("tos.rtd",,"VOLUME","."&amp;S$2&amp;S$1&amp;"P"&amp;$A42)*RTD("tos.rtd",,"LAST","."&amp;S$2&amp;S$1&amp;"P"&amp;$A42))/1000000,0),IF($A$2="DEX",IFERROR((100*RTD("tos.rtd",,"OPEN_INT","."&amp;S$2&amp;S$1&amp;"C"&amp;$A42)*RTD("tos.rtd",,"DELTA","."&amp;S$2&amp;S$1&amp;"C"&amp;$A42)-100*RTD("tos.rtd",,"OPEN_INT","."&amp;S$2&amp;S$1&amp;"P"&amp;$A42)*RTD("tos.rtd",,"DELTA","."&amp;S$2&amp;S$1&amp;"P"&amp;$A42))/1000,0),IF($A$2="VEX",IFERROR(($A$4*$A$4*RTD("tos.rtd",,"VOLUME","."&amp;S$2&amp;S$1&amp;"C"&amp;$A42)*RTD("tos.rtd",,"GAMMA","."&amp;S$2&amp;S$1&amp;"C"&amp;$A42)-$A$4*$A$4*RTD("tos.rtd",,"VOLUME","."&amp;S$2&amp;S$1&amp;"P"&amp;$A42)*RTD("tos.rtd",,"GAMMA","."&amp;S$2&amp;S$1&amp;"P"&amp;$A42))/1000000,0),IF($A$2="GEX",IFERROR(($A$4*$A$4*RTD("tos.rtd",,"OPEN_INT","."&amp;S$2&amp;S$1&amp;"C"&amp;$A42)*RTD("tos.rtd",,"GAMMA","."&amp;S$2&amp;S$1&amp;"C"&amp;$A42)-$A$4*$A$4*RTD("tos.rtd",,"OPEN_INT","."&amp;S$2&amp;S$1&amp;"P"&amp;$A42)*RTD("tos.rtd",,"GAMMA","."&amp;S$2&amp;S$1&amp;"P"&amp;$A42))/1000000,0),IF($A$2="SKEW",IFERROR(VALUE(IF(RTD("tos.rtd",,"IMPL_VOL","."&amp;S$2&amp;S$1&amp;"P"&amp;$A42)="N/A",0,RTD("tos.rtd",,"IMPL_VOL","."&amp;S$2&amp;S$1&amp;"P"&amp;$A42))),0)-IFERROR(VALUE(IF(RTD("tos.rtd",,"IMPL_VOL","."&amp;S$2&amp;S$1&amp;"C"&amp;$A42)="N/A",0,RTD("tos.rtd",,"IMPL_VOL","."&amp;S$2&amp;S$1&amp;"C"&amp;$A42))),0),IF($A$2="MAXPAIN",IF($A$4&gt;$A42,($A$4-$A42)*IF(RTD("tos.rtd",,"OPEN_INT","."&amp;S$2&amp;S$1&amp;"C"&amp;$A42)="N/A",0,RTD("tos.rtd",,"OPEN_INT","."&amp;S$2&amp;S$1&amp;"C"&amp;$A42)),0)+IF($A$4&lt;$A42,($A42-$A$4)*IF(RTD("tos.rtd",,"OPEN_INT","."&amp;S$2&amp;S$1&amp;"P"&amp;$A42)="N/A",0,RTD("tos.rtd",,"OPEN_INT","."&amp;S$2&amp;S$1&amp;"P"&amp;$A42)),0),IF(RTD("tos.rtd",,$A$2,"."&amp;S$2&amp;S$1&amp;"C"&amp;$A42)="N/A",0,RTD("tos.rtd",,$A$2,"."&amp;S$2&amp;S$1&amp;"C"&amp;$A42))-IF(RTD("tos.rtd",,$A$2,"."&amp;S$2&amp;S$1&amp;"P"&amp;$A42)="N/A",0,RTD("tos.rtd",,$A$2,"."&amp;S$2&amp;S$1&amp;"P"&amp;$A42)))))))))</f>
        <v>-3709</v>
      </c>
      <c r="T42" s="12">
        <f>IF($A$2="PREMIUM_OI",IFERROR((100*RTD("tos.rtd",,"OPEN_INT","."&amp;T$2&amp;T$1&amp;"C"&amp;$A42)*RTD("tos.rtd",,"LAST","."&amp;T$2&amp;T$1&amp;"C"&amp;$A42)-100*RTD("tos.rtd",,"OPEN_INT","."&amp;T$2&amp;T$1&amp;"P"&amp;$A42)*RTD("tos.rtd",,"LAST","."&amp;T$2&amp;T$1&amp;"P"&amp;$A42))/1000000,0),IF($A$2="PREMIUM",IFERROR((100*RTD("tos.rtd",,"VOLUME","."&amp;T$2&amp;T$1&amp;"C"&amp;$A42)*RTD("tos.rtd",,"LAST","."&amp;T$2&amp;T$1&amp;"C"&amp;$A42)-100*RTD("tos.rtd",,"VOLUME","."&amp;T$2&amp;T$1&amp;"P"&amp;$A42)*RTD("tos.rtd",,"LAST","."&amp;T$2&amp;T$1&amp;"P"&amp;$A42))/1000000,0),IF($A$2="DEX",IFERROR((100*RTD("tos.rtd",,"OPEN_INT","."&amp;T$2&amp;T$1&amp;"C"&amp;$A42)*RTD("tos.rtd",,"DELTA","."&amp;T$2&amp;T$1&amp;"C"&amp;$A42)-100*RTD("tos.rtd",,"OPEN_INT","."&amp;T$2&amp;T$1&amp;"P"&amp;$A42)*RTD("tos.rtd",,"DELTA","."&amp;T$2&amp;T$1&amp;"P"&amp;$A42))/1000,0),IF($A$2="VEX",IFERROR(($A$4*$A$4*RTD("tos.rtd",,"VOLUME","."&amp;T$2&amp;T$1&amp;"C"&amp;$A42)*RTD("tos.rtd",,"GAMMA","."&amp;T$2&amp;T$1&amp;"C"&amp;$A42)-$A$4*$A$4*RTD("tos.rtd",,"VOLUME","."&amp;T$2&amp;T$1&amp;"P"&amp;$A42)*RTD("tos.rtd",,"GAMMA","."&amp;T$2&amp;T$1&amp;"P"&amp;$A42))/1000000,0),IF($A$2="GEX",IFERROR(($A$4*$A$4*RTD("tos.rtd",,"OPEN_INT","."&amp;T$2&amp;T$1&amp;"C"&amp;$A42)*RTD("tos.rtd",,"GAMMA","."&amp;T$2&amp;T$1&amp;"C"&amp;$A42)-$A$4*$A$4*RTD("tos.rtd",,"OPEN_INT","."&amp;T$2&amp;T$1&amp;"P"&amp;$A42)*RTD("tos.rtd",,"GAMMA","."&amp;T$2&amp;T$1&amp;"P"&amp;$A42))/1000000,0),IF($A$2="SKEW",IFERROR(VALUE(IF(RTD("tos.rtd",,"IMPL_VOL","."&amp;T$2&amp;T$1&amp;"P"&amp;$A42)="N/A",0,RTD("tos.rtd",,"IMPL_VOL","."&amp;T$2&amp;T$1&amp;"P"&amp;$A42))),0)-IFERROR(VALUE(IF(RTD("tos.rtd",,"IMPL_VOL","."&amp;T$2&amp;T$1&amp;"C"&amp;$A42)="N/A",0,RTD("tos.rtd",,"IMPL_VOL","."&amp;T$2&amp;T$1&amp;"C"&amp;$A42))),0),IF($A$2="MAXPAIN",IF($A$4&gt;$A42,($A$4-$A42)*IF(RTD("tos.rtd",,"OPEN_INT","."&amp;T$2&amp;T$1&amp;"C"&amp;$A42)="N/A",0,RTD("tos.rtd",,"OPEN_INT","."&amp;T$2&amp;T$1&amp;"C"&amp;$A42)),0)+IF($A$4&lt;$A42,($A42-$A$4)*IF(RTD("tos.rtd",,"OPEN_INT","."&amp;T$2&amp;T$1&amp;"P"&amp;$A42)="N/A",0,RTD("tos.rtd",,"OPEN_INT","."&amp;T$2&amp;T$1&amp;"P"&amp;$A42)),0),IF(RTD("tos.rtd",,$A$2,"."&amp;T$2&amp;T$1&amp;"C"&amp;$A42)="N/A",0,RTD("tos.rtd",,$A$2,"."&amp;T$2&amp;T$1&amp;"C"&amp;$A42))-IF(RTD("tos.rtd",,$A$2,"."&amp;T$2&amp;T$1&amp;"P"&amp;$A42)="N/A",0,RTD("tos.rtd",,$A$2,"."&amp;T$2&amp;T$1&amp;"P"&amp;$A42)))))))))</f>
        <v>0</v>
      </c>
      <c r="U42" s="12">
        <f>IF($A$2="PREMIUM_OI",IFERROR((100*RTD("tos.rtd",,"OPEN_INT","."&amp;U$2&amp;U$1&amp;"C"&amp;$A42)*RTD("tos.rtd",,"LAST","."&amp;U$2&amp;U$1&amp;"C"&amp;$A42)-100*RTD("tos.rtd",,"OPEN_INT","."&amp;U$2&amp;U$1&amp;"P"&amp;$A42)*RTD("tos.rtd",,"LAST","."&amp;U$2&amp;U$1&amp;"P"&amp;$A42))/1000000,0),IF($A$2="PREMIUM",IFERROR((100*RTD("tos.rtd",,"VOLUME","."&amp;U$2&amp;U$1&amp;"C"&amp;$A42)*RTD("tos.rtd",,"LAST","."&amp;U$2&amp;U$1&amp;"C"&amp;$A42)-100*RTD("tos.rtd",,"VOLUME","."&amp;U$2&amp;U$1&amp;"P"&amp;$A42)*RTD("tos.rtd",,"LAST","."&amp;U$2&amp;U$1&amp;"P"&amp;$A42))/1000000,0),IF($A$2="DEX",IFERROR((100*RTD("tos.rtd",,"OPEN_INT","."&amp;U$2&amp;U$1&amp;"C"&amp;$A42)*RTD("tos.rtd",,"DELTA","."&amp;U$2&amp;U$1&amp;"C"&amp;$A42)-100*RTD("tos.rtd",,"OPEN_INT","."&amp;U$2&amp;U$1&amp;"P"&amp;$A42)*RTD("tos.rtd",,"DELTA","."&amp;U$2&amp;U$1&amp;"P"&amp;$A42))/1000,0),IF($A$2="VEX",IFERROR(($A$4*$A$4*RTD("tos.rtd",,"VOLUME","."&amp;U$2&amp;U$1&amp;"C"&amp;$A42)*RTD("tos.rtd",,"GAMMA","."&amp;U$2&amp;U$1&amp;"C"&amp;$A42)-$A$4*$A$4*RTD("tos.rtd",,"VOLUME","."&amp;U$2&amp;U$1&amp;"P"&amp;$A42)*RTD("tos.rtd",,"GAMMA","."&amp;U$2&amp;U$1&amp;"P"&amp;$A42))/1000000,0),IF($A$2="GEX",IFERROR(($A$4*$A$4*RTD("tos.rtd",,"OPEN_INT","."&amp;U$2&amp;U$1&amp;"C"&amp;$A42)*RTD("tos.rtd",,"GAMMA","."&amp;U$2&amp;U$1&amp;"C"&amp;$A42)-$A$4*$A$4*RTD("tos.rtd",,"OPEN_INT","."&amp;U$2&amp;U$1&amp;"P"&amp;$A42)*RTD("tos.rtd",,"GAMMA","."&amp;U$2&amp;U$1&amp;"P"&amp;$A42))/1000000,0),IF($A$2="SKEW",IFERROR(VALUE(IF(RTD("tos.rtd",,"IMPL_VOL","."&amp;U$2&amp;U$1&amp;"P"&amp;$A42)="N/A",0,RTD("tos.rtd",,"IMPL_VOL","."&amp;U$2&amp;U$1&amp;"P"&amp;$A42))),0)-IFERROR(VALUE(IF(RTD("tos.rtd",,"IMPL_VOL","."&amp;U$2&amp;U$1&amp;"C"&amp;$A42)="N/A",0,RTD("tos.rtd",,"IMPL_VOL","."&amp;U$2&amp;U$1&amp;"C"&amp;$A42))),0),IF($A$2="MAXPAIN",IF($A$4&gt;$A42,($A$4-$A42)*IF(RTD("tos.rtd",,"OPEN_INT","."&amp;U$2&amp;U$1&amp;"C"&amp;$A42)="N/A",0,RTD("tos.rtd",,"OPEN_INT","."&amp;U$2&amp;U$1&amp;"C"&amp;$A42)),0)+IF($A$4&lt;$A42,($A42-$A$4)*IF(RTD("tos.rtd",,"OPEN_INT","."&amp;U$2&amp;U$1&amp;"P"&amp;$A42)="N/A",0,RTD("tos.rtd",,"OPEN_INT","."&amp;U$2&amp;U$1&amp;"P"&amp;$A42)),0),IF(RTD("tos.rtd",,$A$2,"."&amp;U$2&amp;U$1&amp;"C"&amp;$A42)="N/A",0,RTD("tos.rtd",,$A$2,"."&amp;U$2&amp;U$1&amp;"C"&amp;$A42))-IF(RTD("tos.rtd",,$A$2,"."&amp;U$2&amp;U$1&amp;"P"&amp;$A42)="N/A",0,RTD("tos.rtd",,$A$2,"."&amp;U$2&amp;U$1&amp;"P"&amp;$A42)))))))))</f>
        <v>-42</v>
      </c>
      <c r="V42" s="12">
        <f>IF($A$2="PREMIUM_OI",IFERROR((100*RTD("tos.rtd",,"OPEN_INT","."&amp;V$2&amp;V$1&amp;"C"&amp;$A42)*RTD("tos.rtd",,"LAST","."&amp;V$2&amp;V$1&amp;"C"&amp;$A42)-100*RTD("tos.rtd",,"OPEN_INT","."&amp;V$2&amp;V$1&amp;"P"&amp;$A42)*RTD("tos.rtd",,"LAST","."&amp;V$2&amp;V$1&amp;"P"&amp;$A42))/1000000,0),IF($A$2="PREMIUM",IFERROR((100*RTD("tos.rtd",,"VOLUME","."&amp;V$2&amp;V$1&amp;"C"&amp;$A42)*RTD("tos.rtd",,"LAST","."&amp;V$2&amp;V$1&amp;"C"&amp;$A42)-100*RTD("tos.rtd",,"VOLUME","."&amp;V$2&amp;V$1&amp;"P"&amp;$A42)*RTD("tos.rtd",,"LAST","."&amp;V$2&amp;V$1&amp;"P"&amp;$A42))/1000000,0),IF($A$2="DEX",IFERROR((100*RTD("tos.rtd",,"OPEN_INT","."&amp;V$2&amp;V$1&amp;"C"&amp;$A42)*RTD("tos.rtd",,"DELTA","."&amp;V$2&amp;V$1&amp;"C"&amp;$A42)-100*RTD("tos.rtd",,"OPEN_INT","."&amp;V$2&amp;V$1&amp;"P"&amp;$A42)*RTD("tos.rtd",,"DELTA","."&amp;V$2&amp;V$1&amp;"P"&amp;$A42))/1000,0),IF($A$2="VEX",IFERROR(($A$4*$A$4*RTD("tos.rtd",,"VOLUME","."&amp;V$2&amp;V$1&amp;"C"&amp;$A42)*RTD("tos.rtd",,"GAMMA","."&amp;V$2&amp;V$1&amp;"C"&amp;$A42)-$A$4*$A$4*RTD("tos.rtd",,"VOLUME","."&amp;V$2&amp;V$1&amp;"P"&amp;$A42)*RTD("tos.rtd",,"GAMMA","."&amp;V$2&amp;V$1&amp;"P"&amp;$A42))/1000000,0),IF($A$2="GEX",IFERROR(($A$4*$A$4*RTD("tos.rtd",,"OPEN_INT","."&amp;V$2&amp;V$1&amp;"C"&amp;$A42)*RTD("tos.rtd",,"GAMMA","."&amp;V$2&amp;V$1&amp;"C"&amp;$A42)-$A$4*$A$4*RTD("tos.rtd",,"OPEN_INT","."&amp;V$2&amp;V$1&amp;"P"&amp;$A42)*RTD("tos.rtd",,"GAMMA","."&amp;V$2&amp;V$1&amp;"P"&amp;$A42))/1000000,0),IF($A$2="SKEW",IFERROR(VALUE(IF(RTD("tos.rtd",,"IMPL_VOL","."&amp;V$2&amp;V$1&amp;"P"&amp;$A42)="N/A",0,RTD("tos.rtd",,"IMPL_VOL","."&amp;V$2&amp;V$1&amp;"P"&amp;$A42))),0)-IFERROR(VALUE(IF(RTD("tos.rtd",,"IMPL_VOL","."&amp;V$2&amp;V$1&amp;"C"&amp;$A42)="N/A",0,RTD("tos.rtd",,"IMPL_VOL","."&amp;V$2&amp;V$1&amp;"C"&amp;$A42))),0),IF($A$2="MAXPAIN",IF($A$4&gt;$A42,($A$4-$A42)*IF(RTD("tos.rtd",,"OPEN_INT","."&amp;V$2&amp;V$1&amp;"C"&amp;$A42)="N/A",0,RTD("tos.rtd",,"OPEN_INT","."&amp;V$2&amp;V$1&amp;"C"&amp;$A42)),0)+IF($A$4&lt;$A42,($A42-$A$4)*IF(RTD("tos.rtd",,"OPEN_INT","."&amp;V$2&amp;V$1&amp;"P"&amp;$A42)="N/A",0,RTD("tos.rtd",,"OPEN_INT","."&amp;V$2&amp;V$1&amp;"P"&amp;$A42)),0),IF(RTD("tos.rtd",,$A$2,"."&amp;V$2&amp;V$1&amp;"C"&amp;$A42)="N/A",0,RTD("tos.rtd",,$A$2,"."&amp;V$2&amp;V$1&amp;"C"&amp;$A42))-IF(RTD("tos.rtd",,$A$2,"."&amp;V$2&amp;V$1&amp;"P"&amp;$A42)="N/A",0,RTD("tos.rtd",,$A$2,"."&amp;V$2&amp;V$1&amp;"P"&amp;$A42)))))))))</f>
        <v>0</v>
      </c>
      <c r="W42" s="12">
        <f>IF($A$2="PREMIUM_OI",IFERROR((100*RTD("tos.rtd",,"OPEN_INT","."&amp;W$2&amp;W$1&amp;"C"&amp;$A42)*RTD("tos.rtd",,"LAST","."&amp;W$2&amp;W$1&amp;"C"&amp;$A42)-100*RTD("tos.rtd",,"OPEN_INT","."&amp;W$2&amp;W$1&amp;"P"&amp;$A42)*RTD("tos.rtd",,"LAST","."&amp;W$2&amp;W$1&amp;"P"&amp;$A42))/1000000,0),IF($A$2="PREMIUM",IFERROR((100*RTD("tos.rtd",,"VOLUME","."&amp;W$2&amp;W$1&amp;"C"&amp;$A42)*RTD("tos.rtd",,"LAST","."&amp;W$2&amp;W$1&amp;"C"&amp;$A42)-100*RTD("tos.rtd",,"VOLUME","."&amp;W$2&amp;W$1&amp;"P"&amp;$A42)*RTD("tos.rtd",,"LAST","."&amp;W$2&amp;W$1&amp;"P"&amp;$A42))/1000000,0),IF($A$2="DEX",IFERROR((100*RTD("tos.rtd",,"OPEN_INT","."&amp;W$2&amp;W$1&amp;"C"&amp;$A42)*RTD("tos.rtd",,"DELTA","."&amp;W$2&amp;W$1&amp;"C"&amp;$A42)-100*RTD("tos.rtd",,"OPEN_INT","."&amp;W$2&amp;W$1&amp;"P"&amp;$A42)*RTD("tos.rtd",,"DELTA","."&amp;W$2&amp;W$1&amp;"P"&amp;$A42))/1000,0),IF($A$2="VEX",IFERROR(($A$4*$A$4*RTD("tos.rtd",,"VOLUME","."&amp;W$2&amp;W$1&amp;"C"&amp;$A42)*RTD("tos.rtd",,"GAMMA","."&amp;W$2&amp;W$1&amp;"C"&amp;$A42)-$A$4*$A$4*RTD("tos.rtd",,"VOLUME","."&amp;W$2&amp;W$1&amp;"P"&amp;$A42)*RTD("tos.rtd",,"GAMMA","."&amp;W$2&amp;W$1&amp;"P"&amp;$A42))/1000000,0),IF($A$2="GEX",IFERROR(($A$4*$A$4*RTD("tos.rtd",,"OPEN_INT","."&amp;W$2&amp;W$1&amp;"C"&amp;$A42)*RTD("tos.rtd",,"GAMMA","."&amp;W$2&amp;W$1&amp;"C"&amp;$A42)-$A$4*$A$4*RTD("tos.rtd",,"OPEN_INT","."&amp;W$2&amp;W$1&amp;"P"&amp;$A42)*RTD("tos.rtd",,"GAMMA","."&amp;W$2&amp;W$1&amp;"P"&amp;$A42))/1000000,0),IF($A$2="SKEW",IFERROR(VALUE(IF(RTD("tos.rtd",,"IMPL_VOL","."&amp;W$2&amp;W$1&amp;"P"&amp;$A42)="N/A",0,RTD("tos.rtd",,"IMPL_VOL","."&amp;W$2&amp;W$1&amp;"P"&amp;$A42))),0)-IFERROR(VALUE(IF(RTD("tos.rtd",,"IMPL_VOL","."&amp;W$2&amp;W$1&amp;"C"&amp;$A42)="N/A",0,RTD("tos.rtd",,"IMPL_VOL","."&amp;W$2&amp;W$1&amp;"C"&amp;$A42))),0),IF($A$2="MAXPAIN",IF($A$4&gt;$A42,($A$4-$A42)*IF(RTD("tos.rtd",,"OPEN_INT","."&amp;W$2&amp;W$1&amp;"C"&amp;$A42)="N/A",0,RTD("tos.rtd",,"OPEN_INT","."&amp;W$2&amp;W$1&amp;"C"&amp;$A42)),0)+IF($A$4&lt;$A42,($A42-$A$4)*IF(RTD("tos.rtd",,"OPEN_INT","."&amp;W$2&amp;W$1&amp;"P"&amp;$A42)="N/A",0,RTD("tos.rtd",,"OPEN_INT","."&amp;W$2&amp;W$1&amp;"P"&amp;$A42)),0),IF(RTD("tos.rtd",,$A$2,"."&amp;W$2&amp;W$1&amp;"C"&amp;$A42)="N/A",0,RTD("tos.rtd",,$A$2,"."&amp;W$2&amp;W$1&amp;"C"&amp;$A42))-IF(RTD("tos.rtd",,$A$2,"."&amp;W$2&amp;W$1&amp;"P"&amp;$A42)="N/A",0,RTD("tos.rtd",,$A$2,"."&amp;W$2&amp;W$1&amp;"P"&amp;$A42)))))))))</f>
        <v>-15629</v>
      </c>
      <c r="X42" s="12">
        <f t="shared" ca="1" si="7"/>
        <v>-19380</v>
      </c>
      <c r="Y42" s="27">
        <f t="shared" ca="1" si="8"/>
        <v>-19380</v>
      </c>
      <c r="AA42" s="35">
        <f>+IF($AJ$1,AJ42,TASTYOHLC!A42)</f>
        <v>0</v>
      </c>
      <c r="AB42" s="8">
        <f>+IF($AJ$1,AK42,TASTYOHLC!B42)</f>
        <v>0</v>
      </c>
      <c r="AC42" s="8">
        <f>+IF($AJ$1,AL42,TASTYOHLC!C42)</f>
        <v>0</v>
      </c>
      <c r="AD42" s="8">
        <f>+IF($AJ$1,AM42,TASTYOHLC!D42)</f>
        <v>0</v>
      </c>
      <c r="AE42" s="8">
        <f>+IF($AJ$1,AN42,TASTYOHLC!E42)</f>
        <v>0</v>
      </c>
      <c r="AF42" s="8"/>
      <c r="AJ42" s="37"/>
    </row>
    <row r="43" spans="1:36" s="19" customFormat="1" ht="11.1" customHeight="1" thickBot="1" x14ac:dyDescent="0.3">
      <c r="A43" s="23">
        <f t="shared" si="13"/>
        <v>0.5</v>
      </c>
      <c r="B43" s="14">
        <f>IF($A$2="PREMIUM_OI",IFERROR((100*RTD("tos.rtd",,"OPEN_INT","."&amp;B$2&amp;B$1&amp;"C"&amp;$A43)*RTD("tos.rtd",,"LAST","."&amp;B$2&amp;B$1&amp;"C"&amp;$A43)-100*RTD("tos.rtd",,"OPEN_INT","."&amp;B$2&amp;B$1&amp;"P"&amp;$A43)*RTD("tos.rtd",,"LAST","."&amp;B$2&amp;B$1&amp;"P"&amp;$A43))/1000000,0),IF($A$2="PREMIUM",IFERROR((100*RTD("tos.rtd",,"VOLUME","."&amp;B$2&amp;B$1&amp;"C"&amp;$A43)*RTD("tos.rtd",,"LAST","."&amp;B$2&amp;B$1&amp;"C"&amp;$A43)-100*RTD("tos.rtd",,"VOLUME","."&amp;B$2&amp;B$1&amp;"P"&amp;$A43)*RTD("tos.rtd",,"LAST","."&amp;B$2&amp;B$1&amp;"P"&amp;$A43))/1000000,0),IF($A$2="DEX",IFERROR((100*RTD("tos.rtd",,"OPEN_INT","."&amp;B$2&amp;B$1&amp;"C"&amp;$A43)*RTD("tos.rtd",,"DELTA","."&amp;B$2&amp;B$1&amp;"C"&amp;$A43)-100*RTD("tos.rtd",,"OPEN_INT","."&amp;B$2&amp;B$1&amp;"P"&amp;$A43)*RTD("tos.rtd",,"DELTA","."&amp;B$2&amp;B$1&amp;"P"&amp;$A43))/1000,0),IF($A$2="VEX",IFERROR(($A$4*$A$4*RTD("tos.rtd",,"VOLUME","."&amp;B$2&amp;B$1&amp;"C"&amp;$A43)*RTD("tos.rtd",,"GAMMA","."&amp;B$2&amp;B$1&amp;"C"&amp;$A43)-$A$4*$A$4*RTD("tos.rtd",,"VOLUME","."&amp;B$2&amp;B$1&amp;"P"&amp;$A43)*RTD("tos.rtd",,"GAMMA","."&amp;B$2&amp;B$1&amp;"P"&amp;$A43))/1000000,0),IF($A$2="GEX",IFERROR(($A$4*$A$4*RTD("tos.rtd",,"OPEN_INT","."&amp;B$2&amp;B$1&amp;"C"&amp;$A43)*RTD("tos.rtd",,"GAMMA","."&amp;B$2&amp;B$1&amp;"C"&amp;$A43)-$A$4*$A$4*RTD("tos.rtd",,"OPEN_INT","."&amp;B$2&amp;B$1&amp;"P"&amp;$A43)*RTD("tos.rtd",,"GAMMA","."&amp;B$2&amp;B$1&amp;"P"&amp;$A43))/1000000,0),IF($A$2="SKEW",IFERROR(VALUE(IF(RTD("tos.rtd",,"IMPL_VOL","."&amp;B$2&amp;B$1&amp;"P"&amp;$A43)="N/A",0,RTD("tos.rtd",,"IMPL_VOL","."&amp;B$2&amp;B$1&amp;"P"&amp;$A43))),0)-IFERROR(VALUE(IF(RTD("tos.rtd",,"IMPL_VOL","."&amp;B$2&amp;B$1&amp;"C"&amp;$A43)="N/A",0,RTD("tos.rtd",,"IMPL_VOL","."&amp;B$2&amp;B$1&amp;"C"&amp;$A43))),0),IF($A$2="MAXPAIN",IF($A$4&gt;$A43,($A$4-$A43)*IF(RTD("tos.rtd",,"OPEN_INT","."&amp;B$2&amp;B$1&amp;"C"&amp;$A43)="N/A",0,RTD("tos.rtd",,"OPEN_INT","."&amp;B$2&amp;B$1&amp;"C"&amp;$A43)),0)+IF($A$4&lt;$A43,($A43-$A$4)*IF(RTD("tos.rtd",,"OPEN_INT","."&amp;B$2&amp;B$1&amp;"P"&amp;$A43)="N/A",0,RTD("tos.rtd",,"OPEN_INT","."&amp;B$2&amp;B$1&amp;"P"&amp;$A43)),0),IF(RTD("tos.rtd",,$A$2,"."&amp;B$2&amp;B$1&amp;"C"&amp;$A43)="N/A",0,RTD("tos.rtd",,$A$2,"."&amp;B$2&amp;B$1&amp;"C"&amp;$A43))-IF(RTD("tos.rtd",,$A$2,"."&amp;B$2&amp;B$1&amp;"P"&amp;$A43)="N/A",0,RTD("tos.rtd",,$A$2,"."&amp;B$2&amp;B$1&amp;"P"&amp;$A43)))))))))</f>
        <v>0</v>
      </c>
      <c r="C43" s="12">
        <f>IF($A$2="PREMIUM_OI",IFERROR((100*RTD("tos.rtd",,"OPEN_INT","."&amp;C$2&amp;C$1&amp;"C"&amp;$A43)*RTD("tos.rtd",,"LAST","."&amp;C$2&amp;C$1&amp;"C"&amp;$A43)-100*RTD("tos.rtd",,"OPEN_INT","."&amp;C$2&amp;C$1&amp;"P"&amp;$A43)*RTD("tos.rtd",,"LAST","."&amp;C$2&amp;C$1&amp;"P"&amp;$A43))/1000000,0),IF($A$2="PREMIUM",IFERROR((100*RTD("tos.rtd",,"VOLUME","."&amp;C$2&amp;C$1&amp;"C"&amp;$A43)*RTD("tos.rtd",,"LAST","."&amp;C$2&amp;C$1&amp;"C"&amp;$A43)-100*RTD("tos.rtd",,"VOLUME","."&amp;C$2&amp;C$1&amp;"P"&amp;$A43)*RTD("tos.rtd",,"LAST","."&amp;C$2&amp;C$1&amp;"P"&amp;$A43))/1000000,0),IF($A$2="DEX",IFERROR((100*RTD("tos.rtd",,"OPEN_INT","."&amp;C$2&amp;C$1&amp;"C"&amp;$A43)*RTD("tos.rtd",,"DELTA","."&amp;C$2&amp;C$1&amp;"C"&amp;$A43)-100*RTD("tos.rtd",,"OPEN_INT","."&amp;C$2&amp;C$1&amp;"P"&amp;$A43)*RTD("tos.rtd",,"DELTA","."&amp;C$2&amp;C$1&amp;"P"&amp;$A43))/1000,0),IF($A$2="VEX",IFERROR(($A$4*$A$4*RTD("tos.rtd",,"VOLUME","."&amp;C$2&amp;C$1&amp;"C"&amp;$A43)*RTD("tos.rtd",,"GAMMA","."&amp;C$2&amp;C$1&amp;"C"&amp;$A43)-$A$4*$A$4*RTD("tos.rtd",,"VOLUME","."&amp;C$2&amp;C$1&amp;"P"&amp;$A43)*RTD("tos.rtd",,"GAMMA","."&amp;C$2&amp;C$1&amp;"P"&amp;$A43))/1000000,0),IF($A$2="GEX",IFERROR(($A$4*$A$4*RTD("tos.rtd",,"OPEN_INT","."&amp;C$2&amp;C$1&amp;"C"&amp;$A43)*RTD("tos.rtd",,"GAMMA","."&amp;C$2&amp;C$1&amp;"C"&amp;$A43)-$A$4*$A$4*RTD("tos.rtd",,"OPEN_INT","."&amp;C$2&amp;C$1&amp;"P"&amp;$A43)*RTD("tos.rtd",,"GAMMA","."&amp;C$2&amp;C$1&amp;"P"&amp;$A43))/1000000,0),IF($A$2="SKEW",IFERROR(VALUE(IF(RTD("tos.rtd",,"IMPL_VOL","."&amp;C$2&amp;C$1&amp;"P"&amp;$A43)="N/A",0,RTD("tos.rtd",,"IMPL_VOL","."&amp;C$2&amp;C$1&amp;"P"&amp;$A43))),0)-IFERROR(VALUE(IF(RTD("tos.rtd",,"IMPL_VOL","."&amp;C$2&amp;C$1&amp;"C"&amp;$A43)="N/A",0,RTD("tos.rtd",,"IMPL_VOL","."&amp;C$2&amp;C$1&amp;"C"&amp;$A43))),0),IF($A$2="MAXPAIN",IF($A$4&gt;$A43,($A$4-$A43)*IF(RTD("tos.rtd",,"OPEN_INT","."&amp;C$2&amp;C$1&amp;"C"&amp;$A43)="N/A",0,RTD("tos.rtd",,"OPEN_INT","."&amp;C$2&amp;C$1&amp;"C"&amp;$A43)),0)+IF($A$4&lt;$A43,($A43-$A$4)*IF(RTD("tos.rtd",,"OPEN_INT","."&amp;C$2&amp;C$1&amp;"P"&amp;$A43)="N/A",0,RTD("tos.rtd",,"OPEN_INT","."&amp;C$2&amp;C$1&amp;"P"&amp;$A43)),0),IF(RTD("tos.rtd",,$A$2,"."&amp;C$2&amp;C$1&amp;"C"&amp;$A43)="N/A",0,RTD("tos.rtd",,$A$2,"."&amp;C$2&amp;C$1&amp;"C"&amp;$A43))-IF(RTD("tos.rtd",,$A$2,"."&amp;C$2&amp;C$1&amp;"P"&amp;$A43)="N/A",0,RTD("tos.rtd",,$A$2,"."&amp;C$2&amp;C$1&amp;"P"&amp;$A43)))))))))</f>
        <v>200</v>
      </c>
      <c r="D43" s="12">
        <f>IF($A$2="PREMIUM_OI",IFERROR((100*RTD("tos.rtd",,"OPEN_INT","."&amp;D$2&amp;D$1&amp;"C"&amp;$A43)*RTD("tos.rtd",,"LAST","."&amp;D$2&amp;D$1&amp;"C"&amp;$A43)-100*RTD("tos.rtd",,"OPEN_INT","."&amp;D$2&amp;D$1&amp;"P"&amp;$A43)*RTD("tos.rtd",,"LAST","."&amp;D$2&amp;D$1&amp;"P"&amp;$A43))/1000000,0),IF($A$2="PREMIUM",IFERROR((100*RTD("tos.rtd",,"VOLUME","."&amp;D$2&amp;D$1&amp;"C"&amp;$A43)*RTD("tos.rtd",,"LAST","."&amp;D$2&amp;D$1&amp;"C"&amp;$A43)-100*RTD("tos.rtd",,"VOLUME","."&amp;D$2&amp;D$1&amp;"P"&amp;$A43)*RTD("tos.rtd",,"LAST","."&amp;D$2&amp;D$1&amp;"P"&amp;$A43))/1000000,0),IF($A$2="DEX",IFERROR((100*RTD("tos.rtd",,"OPEN_INT","."&amp;D$2&amp;D$1&amp;"C"&amp;$A43)*RTD("tos.rtd",,"DELTA","."&amp;D$2&amp;D$1&amp;"C"&amp;$A43)-100*RTD("tos.rtd",,"OPEN_INT","."&amp;D$2&amp;D$1&amp;"P"&amp;$A43)*RTD("tos.rtd",,"DELTA","."&amp;D$2&amp;D$1&amp;"P"&amp;$A43))/1000,0),IF($A$2="VEX",IFERROR(($A$4*$A$4*RTD("tos.rtd",,"VOLUME","."&amp;D$2&amp;D$1&amp;"C"&amp;$A43)*RTD("tos.rtd",,"GAMMA","."&amp;D$2&amp;D$1&amp;"C"&amp;$A43)-$A$4*$A$4*RTD("tos.rtd",,"VOLUME","."&amp;D$2&amp;D$1&amp;"P"&amp;$A43)*RTD("tos.rtd",,"GAMMA","."&amp;D$2&amp;D$1&amp;"P"&amp;$A43))/1000000,0),IF($A$2="GEX",IFERROR(($A$4*$A$4*RTD("tos.rtd",,"OPEN_INT","."&amp;D$2&amp;D$1&amp;"C"&amp;$A43)*RTD("tos.rtd",,"GAMMA","."&amp;D$2&amp;D$1&amp;"C"&amp;$A43)-$A$4*$A$4*RTD("tos.rtd",,"OPEN_INT","."&amp;D$2&amp;D$1&amp;"P"&amp;$A43)*RTD("tos.rtd",,"GAMMA","."&amp;D$2&amp;D$1&amp;"P"&amp;$A43))/1000000,0),IF($A$2="SKEW",IFERROR(VALUE(IF(RTD("tos.rtd",,"IMPL_VOL","."&amp;D$2&amp;D$1&amp;"P"&amp;$A43)="N/A",0,RTD("tos.rtd",,"IMPL_VOL","."&amp;D$2&amp;D$1&amp;"P"&amp;$A43))),0)-IFERROR(VALUE(IF(RTD("tos.rtd",,"IMPL_VOL","."&amp;D$2&amp;D$1&amp;"C"&amp;$A43)="N/A",0,RTD("tos.rtd",,"IMPL_VOL","."&amp;D$2&amp;D$1&amp;"C"&amp;$A43))),0),IF($A$2="MAXPAIN",IF($A$4&gt;$A43,($A$4-$A43)*IF(RTD("tos.rtd",,"OPEN_INT","."&amp;D$2&amp;D$1&amp;"C"&amp;$A43)="N/A",0,RTD("tos.rtd",,"OPEN_INT","."&amp;D$2&amp;D$1&amp;"C"&amp;$A43)),0)+IF($A$4&lt;$A43,($A43-$A$4)*IF(RTD("tos.rtd",,"OPEN_INT","."&amp;D$2&amp;D$1&amp;"P"&amp;$A43)="N/A",0,RTD("tos.rtd",,"OPEN_INT","."&amp;D$2&amp;D$1&amp;"P"&amp;$A43)),0),IF(RTD("tos.rtd",,$A$2,"."&amp;D$2&amp;D$1&amp;"C"&amp;$A43)="N/A",0,RTD("tos.rtd",,$A$2,"."&amp;D$2&amp;D$1&amp;"C"&amp;$A43))-IF(RTD("tos.rtd",,$A$2,"."&amp;D$2&amp;D$1&amp;"P"&amp;$A43)="N/A",0,RTD("tos.rtd",,$A$2,"."&amp;D$2&amp;D$1&amp;"P"&amp;$A43)))))))))</f>
        <v>0</v>
      </c>
      <c r="E43" s="12">
        <f>IF($A$2="PREMIUM_OI",IFERROR((100*RTD("tos.rtd",,"OPEN_INT","."&amp;E$2&amp;E$1&amp;"C"&amp;$A43)*RTD("tos.rtd",,"LAST","."&amp;E$2&amp;E$1&amp;"C"&amp;$A43)-100*RTD("tos.rtd",,"OPEN_INT","."&amp;E$2&amp;E$1&amp;"P"&amp;$A43)*RTD("tos.rtd",,"LAST","."&amp;E$2&amp;E$1&amp;"P"&amp;$A43))/1000000,0),IF($A$2="PREMIUM",IFERROR((100*RTD("tos.rtd",,"VOLUME","."&amp;E$2&amp;E$1&amp;"C"&amp;$A43)*RTD("tos.rtd",,"LAST","."&amp;E$2&amp;E$1&amp;"C"&amp;$A43)-100*RTD("tos.rtd",,"VOLUME","."&amp;E$2&amp;E$1&amp;"P"&amp;$A43)*RTD("tos.rtd",,"LAST","."&amp;E$2&amp;E$1&amp;"P"&amp;$A43))/1000000,0),IF($A$2="DEX",IFERROR((100*RTD("tos.rtd",,"OPEN_INT","."&amp;E$2&amp;E$1&amp;"C"&amp;$A43)*RTD("tos.rtd",,"DELTA","."&amp;E$2&amp;E$1&amp;"C"&amp;$A43)-100*RTD("tos.rtd",,"OPEN_INT","."&amp;E$2&amp;E$1&amp;"P"&amp;$A43)*RTD("tos.rtd",,"DELTA","."&amp;E$2&amp;E$1&amp;"P"&amp;$A43))/1000,0),IF($A$2="VEX",IFERROR(($A$4*$A$4*RTD("tos.rtd",,"VOLUME","."&amp;E$2&amp;E$1&amp;"C"&amp;$A43)*RTD("tos.rtd",,"GAMMA","."&amp;E$2&amp;E$1&amp;"C"&amp;$A43)-$A$4*$A$4*RTD("tos.rtd",,"VOLUME","."&amp;E$2&amp;E$1&amp;"P"&amp;$A43)*RTD("tos.rtd",,"GAMMA","."&amp;E$2&amp;E$1&amp;"P"&amp;$A43))/1000000,0),IF($A$2="GEX",IFERROR(($A$4*$A$4*RTD("tos.rtd",,"OPEN_INT","."&amp;E$2&amp;E$1&amp;"C"&amp;$A43)*RTD("tos.rtd",,"GAMMA","."&amp;E$2&amp;E$1&amp;"C"&amp;$A43)-$A$4*$A$4*RTD("tos.rtd",,"OPEN_INT","."&amp;E$2&amp;E$1&amp;"P"&amp;$A43)*RTD("tos.rtd",,"GAMMA","."&amp;E$2&amp;E$1&amp;"P"&amp;$A43))/1000000,0),IF($A$2="SKEW",IFERROR(VALUE(IF(RTD("tos.rtd",,"IMPL_VOL","."&amp;E$2&amp;E$1&amp;"P"&amp;$A43)="N/A",0,RTD("tos.rtd",,"IMPL_VOL","."&amp;E$2&amp;E$1&amp;"P"&amp;$A43))),0)-IFERROR(VALUE(IF(RTD("tos.rtd",,"IMPL_VOL","."&amp;E$2&amp;E$1&amp;"C"&amp;$A43)="N/A",0,RTD("tos.rtd",,"IMPL_VOL","."&amp;E$2&amp;E$1&amp;"C"&amp;$A43))),0),IF($A$2="MAXPAIN",IF($A$4&gt;$A43,($A$4-$A43)*IF(RTD("tos.rtd",,"OPEN_INT","."&amp;E$2&amp;E$1&amp;"C"&amp;$A43)="N/A",0,RTD("tos.rtd",,"OPEN_INT","."&amp;E$2&amp;E$1&amp;"C"&amp;$A43)),0)+IF($A$4&lt;$A43,($A43-$A$4)*IF(RTD("tos.rtd",,"OPEN_INT","."&amp;E$2&amp;E$1&amp;"P"&amp;$A43)="N/A",0,RTD("tos.rtd",,"OPEN_INT","."&amp;E$2&amp;E$1&amp;"P"&amp;$A43)),0),IF(RTD("tos.rtd",,$A$2,"."&amp;E$2&amp;E$1&amp;"C"&amp;$A43)="N/A",0,RTD("tos.rtd",,$A$2,"."&amp;E$2&amp;E$1&amp;"C"&amp;$A43))-IF(RTD("tos.rtd",,$A$2,"."&amp;E$2&amp;E$1&amp;"P"&amp;$A43)="N/A",0,RTD("tos.rtd",,$A$2,"."&amp;E$2&amp;E$1&amp;"P"&amp;$A43)))))))))</f>
        <v>0</v>
      </c>
      <c r="F43" s="12">
        <f>IF($A$2="PREMIUM_OI",IFERROR((100*RTD("tos.rtd",,"OPEN_INT","."&amp;F$2&amp;F$1&amp;"C"&amp;$A43)*RTD("tos.rtd",,"LAST","."&amp;F$2&amp;F$1&amp;"C"&amp;$A43)-100*RTD("tos.rtd",,"OPEN_INT","."&amp;F$2&amp;F$1&amp;"P"&amp;$A43)*RTD("tos.rtd",,"LAST","."&amp;F$2&amp;F$1&amp;"P"&amp;$A43))/1000000,0),IF($A$2="PREMIUM",IFERROR((100*RTD("tos.rtd",,"VOLUME","."&amp;F$2&amp;F$1&amp;"C"&amp;$A43)*RTD("tos.rtd",,"LAST","."&amp;F$2&amp;F$1&amp;"C"&amp;$A43)-100*RTD("tos.rtd",,"VOLUME","."&amp;F$2&amp;F$1&amp;"P"&amp;$A43)*RTD("tos.rtd",,"LAST","."&amp;F$2&amp;F$1&amp;"P"&amp;$A43))/1000000,0),IF($A$2="DEX",IFERROR((100*RTD("tos.rtd",,"OPEN_INT","."&amp;F$2&amp;F$1&amp;"C"&amp;$A43)*RTD("tos.rtd",,"DELTA","."&amp;F$2&amp;F$1&amp;"C"&amp;$A43)-100*RTD("tos.rtd",,"OPEN_INT","."&amp;F$2&amp;F$1&amp;"P"&amp;$A43)*RTD("tos.rtd",,"DELTA","."&amp;F$2&amp;F$1&amp;"P"&amp;$A43))/1000,0),IF($A$2="VEX",IFERROR(($A$4*$A$4*RTD("tos.rtd",,"VOLUME","."&amp;F$2&amp;F$1&amp;"C"&amp;$A43)*RTD("tos.rtd",,"GAMMA","."&amp;F$2&amp;F$1&amp;"C"&amp;$A43)-$A$4*$A$4*RTD("tos.rtd",,"VOLUME","."&amp;F$2&amp;F$1&amp;"P"&amp;$A43)*RTD("tos.rtd",,"GAMMA","."&amp;F$2&amp;F$1&amp;"P"&amp;$A43))/1000000,0),IF($A$2="GEX",IFERROR(($A$4*$A$4*RTD("tos.rtd",,"OPEN_INT","."&amp;F$2&amp;F$1&amp;"C"&amp;$A43)*RTD("tos.rtd",,"GAMMA","."&amp;F$2&amp;F$1&amp;"C"&amp;$A43)-$A$4*$A$4*RTD("tos.rtd",,"OPEN_INT","."&amp;F$2&amp;F$1&amp;"P"&amp;$A43)*RTD("tos.rtd",,"GAMMA","."&amp;F$2&amp;F$1&amp;"P"&amp;$A43))/1000000,0),IF($A$2="SKEW",IFERROR(VALUE(IF(RTD("tos.rtd",,"IMPL_VOL","."&amp;F$2&amp;F$1&amp;"P"&amp;$A43)="N/A",0,RTD("tos.rtd",,"IMPL_VOL","."&amp;F$2&amp;F$1&amp;"P"&amp;$A43))),0)-IFERROR(VALUE(IF(RTD("tos.rtd",,"IMPL_VOL","."&amp;F$2&amp;F$1&amp;"C"&amp;$A43)="N/A",0,RTD("tos.rtd",,"IMPL_VOL","."&amp;F$2&amp;F$1&amp;"C"&amp;$A43))),0),IF($A$2="MAXPAIN",IF($A$4&gt;$A43,($A$4-$A43)*IF(RTD("tos.rtd",,"OPEN_INT","."&amp;F$2&amp;F$1&amp;"C"&amp;$A43)="N/A",0,RTD("tos.rtd",,"OPEN_INT","."&amp;F$2&amp;F$1&amp;"C"&amp;$A43)),0)+IF($A$4&lt;$A43,($A43-$A$4)*IF(RTD("tos.rtd",,"OPEN_INT","."&amp;F$2&amp;F$1&amp;"P"&amp;$A43)="N/A",0,RTD("tos.rtd",,"OPEN_INT","."&amp;F$2&amp;F$1&amp;"P"&amp;$A43)),0),IF(RTD("tos.rtd",,$A$2,"."&amp;F$2&amp;F$1&amp;"C"&amp;$A43)="N/A",0,RTD("tos.rtd",,$A$2,"."&amp;F$2&amp;F$1&amp;"C"&amp;$A43))-IF(RTD("tos.rtd",,$A$2,"."&amp;F$2&amp;F$1&amp;"P"&amp;$A43)="N/A",0,RTD("tos.rtd",,$A$2,"."&amp;F$2&amp;F$1&amp;"P"&amp;$A43)))))))))</f>
        <v>0</v>
      </c>
      <c r="G43" s="14">
        <f>IF($A$2="PREMIUM_OI",IFERROR((100*RTD("tos.rtd",,"OPEN_INT","."&amp;G$2&amp;G$1&amp;"C"&amp;$A43)*RTD("tos.rtd",,"LAST","."&amp;G$2&amp;G$1&amp;"C"&amp;$A43)-100*RTD("tos.rtd",,"OPEN_INT","."&amp;G$2&amp;G$1&amp;"P"&amp;$A43)*RTD("tos.rtd",,"LAST","."&amp;G$2&amp;G$1&amp;"P"&amp;$A43))/1000000,0),IF($A$2="PREMIUM",IFERROR((100*RTD("tos.rtd",,"VOLUME","."&amp;G$2&amp;G$1&amp;"C"&amp;$A43)*RTD("tos.rtd",,"LAST","."&amp;G$2&amp;G$1&amp;"C"&amp;$A43)-100*RTD("tos.rtd",,"VOLUME","."&amp;G$2&amp;G$1&amp;"P"&amp;$A43)*RTD("tos.rtd",,"LAST","."&amp;G$2&amp;G$1&amp;"P"&amp;$A43))/1000000,0),IF($A$2="DEX",IFERROR((100*RTD("tos.rtd",,"OPEN_INT","."&amp;G$2&amp;G$1&amp;"C"&amp;$A43)*RTD("tos.rtd",,"DELTA","."&amp;G$2&amp;G$1&amp;"C"&amp;$A43)-100*RTD("tos.rtd",,"OPEN_INT","."&amp;G$2&amp;G$1&amp;"P"&amp;$A43)*RTD("tos.rtd",,"DELTA","."&amp;G$2&amp;G$1&amp;"P"&amp;$A43))/1000,0),IF($A$2="VEX",IFERROR(($A$4*$A$4*RTD("tos.rtd",,"VOLUME","."&amp;G$2&amp;G$1&amp;"C"&amp;$A43)*RTD("tos.rtd",,"GAMMA","."&amp;G$2&amp;G$1&amp;"C"&amp;$A43)-$A$4*$A$4*RTD("tos.rtd",,"VOLUME","."&amp;G$2&amp;G$1&amp;"P"&amp;$A43)*RTD("tos.rtd",,"GAMMA","."&amp;G$2&amp;G$1&amp;"P"&amp;$A43))/1000000,0),IF($A$2="GEX",IFERROR(($A$4*$A$4*RTD("tos.rtd",,"OPEN_INT","."&amp;G$2&amp;G$1&amp;"C"&amp;$A43)*RTD("tos.rtd",,"GAMMA","."&amp;G$2&amp;G$1&amp;"C"&amp;$A43)-$A$4*$A$4*RTD("tos.rtd",,"OPEN_INT","."&amp;G$2&amp;G$1&amp;"P"&amp;$A43)*RTD("tos.rtd",,"GAMMA","."&amp;G$2&amp;G$1&amp;"P"&amp;$A43))/1000000,0),IF($A$2="SKEW",IFERROR(VALUE(IF(RTD("tos.rtd",,"IMPL_VOL","."&amp;G$2&amp;G$1&amp;"P"&amp;$A43)="N/A",0,RTD("tos.rtd",,"IMPL_VOL","."&amp;G$2&amp;G$1&amp;"P"&amp;$A43))),0)-IFERROR(VALUE(IF(RTD("tos.rtd",,"IMPL_VOL","."&amp;G$2&amp;G$1&amp;"C"&amp;$A43)="N/A",0,RTD("tos.rtd",,"IMPL_VOL","."&amp;G$2&amp;G$1&amp;"C"&amp;$A43))),0),IF($A$2="MAXPAIN",IF($A$4&gt;$A43,($A$4-$A43)*IF(RTD("tos.rtd",,"OPEN_INT","."&amp;G$2&amp;G$1&amp;"C"&amp;$A43)="N/A",0,RTD("tos.rtd",,"OPEN_INT","."&amp;G$2&amp;G$1&amp;"C"&amp;$A43)),0)+IF($A$4&lt;$A43,($A43-$A$4)*IF(RTD("tos.rtd",,"OPEN_INT","."&amp;G$2&amp;G$1&amp;"P"&amp;$A43)="N/A",0,RTD("tos.rtd",,"OPEN_INT","."&amp;G$2&amp;G$1&amp;"P"&amp;$A43)),0),IF(RTD("tos.rtd",,$A$2,"."&amp;G$2&amp;G$1&amp;"C"&amp;$A43)="N/A",0,RTD("tos.rtd",,$A$2,"."&amp;G$2&amp;G$1&amp;"C"&amp;$A43))-IF(RTD("tos.rtd",,$A$2,"."&amp;G$2&amp;G$1&amp;"P"&amp;$A43)="N/A",0,RTD("tos.rtd",,$A$2,"."&amp;G$2&amp;G$1&amp;"P"&amp;$A43)))))))))</f>
        <v>0</v>
      </c>
      <c r="H43" s="12">
        <f>IF($A$2="PREMIUM_OI",IFERROR((100*RTD("tos.rtd",,"OPEN_INT","."&amp;H$2&amp;H$1&amp;"C"&amp;$A43)*RTD("tos.rtd",,"LAST","."&amp;H$2&amp;H$1&amp;"C"&amp;$A43)-100*RTD("tos.rtd",,"OPEN_INT","."&amp;H$2&amp;H$1&amp;"P"&amp;$A43)*RTD("tos.rtd",,"LAST","."&amp;H$2&amp;H$1&amp;"P"&amp;$A43))/1000000,0),IF($A$2="PREMIUM",IFERROR((100*RTD("tos.rtd",,"VOLUME","."&amp;H$2&amp;H$1&amp;"C"&amp;$A43)*RTD("tos.rtd",,"LAST","."&amp;H$2&amp;H$1&amp;"C"&amp;$A43)-100*RTD("tos.rtd",,"VOLUME","."&amp;H$2&amp;H$1&amp;"P"&amp;$A43)*RTD("tos.rtd",,"LAST","."&amp;H$2&amp;H$1&amp;"P"&amp;$A43))/1000000,0),IF($A$2="DEX",IFERROR((100*RTD("tos.rtd",,"OPEN_INT","."&amp;H$2&amp;H$1&amp;"C"&amp;$A43)*RTD("tos.rtd",,"DELTA","."&amp;H$2&amp;H$1&amp;"C"&amp;$A43)-100*RTD("tos.rtd",,"OPEN_INT","."&amp;H$2&amp;H$1&amp;"P"&amp;$A43)*RTD("tos.rtd",,"DELTA","."&amp;H$2&amp;H$1&amp;"P"&amp;$A43))/1000,0),IF($A$2="VEX",IFERROR(($A$4*$A$4*RTD("tos.rtd",,"VOLUME","."&amp;H$2&amp;H$1&amp;"C"&amp;$A43)*RTD("tos.rtd",,"GAMMA","."&amp;H$2&amp;H$1&amp;"C"&amp;$A43)-$A$4*$A$4*RTD("tos.rtd",,"VOLUME","."&amp;H$2&amp;H$1&amp;"P"&amp;$A43)*RTD("tos.rtd",,"GAMMA","."&amp;H$2&amp;H$1&amp;"P"&amp;$A43))/1000000,0),IF($A$2="GEX",IFERROR(($A$4*$A$4*RTD("tos.rtd",,"OPEN_INT","."&amp;H$2&amp;H$1&amp;"C"&amp;$A43)*RTD("tos.rtd",,"GAMMA","."&amp;H$2&amp;H$1&amp;"C"&amp;$A43)-$A$4*$A$4*RTD("tos.rtd",,"OPEN_INT","."&amp;H$2&amp;H$1&amp;"P"&amp;$A43)*RTD("tos.rtd",,"GAMMA","."&amp;H$2&amp;H$1&amp;"P"&amp;$A43))/1000000,0),IF($A$2="SKEW",IFERROR(VALUE(IF(RTD("tos.rtd",,"IMPL_VOL","."&amp;H$2&amp;H$1&amp;"P"&amp;$A43)="N/A",0,RTD("tos.rtd",,"IMPL_VOL","."&amp;H$2&amp;H$1&amp;"P"&amp;$A43))),0)-IFERROR(VALUE(IF(RTD("tos.rtd",,"IMPL_VOL","."&amp;H$2&amp;H$1&amp;"C"&amp;$A43)="N/A",0,RTD("tos.rtd",,"IMPL_VOL","."&amp;H$2&amp;H$1&amp;"C"&amp;$A43))),0),IF($A$2="MAXPAIN",IF($A$4&gt;$A43,($A$4-$A43)*IF(RTD("tos.rtd",,"OPEN_INT","."&amp;H$2&amp;H$1&amp;"C"&amp;$A43)="N/A",0,RTD("tos.rtd",,"OPEN_INT","."&amp;H$2&amp;H$1&amp;"C"&amp;$A43)),0)+IF($A$4&lt;$A43,($A43-$A$4)*IF(RTD("tos.rtd",,"OPEN_INT","."&amp;H$2&amp;H$1&amp;"P"&amp;$A43)="N/A",0,RTD("tos.rtd",,"OPEN_INT","."&amp;H$2&amp;H$1&amp;"P"&amp;$A43)),0),IF(RTD("tos.rtd",,$A$2,"."&amp;H$2&amp;H$1&amp;"C"&amp;$A43)="N/A",0,RTD("tos.rtd",,$A$2,"."&amp;H$2&amp;H$1&amp;"C"&amp;$A43))-IF(RTD("tos.rtd",,$A$2,"."&amp;H$2&amp;H$1&amp;"P"&amp;$A43)="N/A",0,RTD("tos.rtd",,$A$2,"."&amp;H$2&amp;H$1&amp;"P"&amp;$A43)))))))))</f>
        <v>-199</v>
      </c>
      <c r="I43" s="12">
        <f>IF($A$2="PREMIUM_OI",IFERROR((100*RTD("tos.rtd",,"OPEN_INT","."&amp;I$2&amp;I$1&amp;"C"&amp;$A43)*RTD("tos.rtd",,"LAST","."&amp;I$2&amp;I$1&amp;"C"&amp;$A43)-100*RTD("tos.rtd",,"OPEN_INT","."&amp;I$2&amp;I$1&amp;"P"&amp;$A43)*RTD("tos.rtd",,"LAST","."&amp;I$2&amp;I$1&amp;"P"&amp;$A43))/1000000,0),IF($A$2="PREMIUM",IFERROR((100*RTD("tos.rtd",,"VOLUME","."&amp;I$2&amp;I$1&amp;"C"&amp;$A43)*RTD("tos.rtd",,"LAST","."&amp;I$2&amp;I$1&amp;"C"&amp;$A43)-100*RTD("tos.rtd",,"VOLUME","."&amp;I$2&amp;I$1&amp;"P"&amp;$A43)*RTD("tos.rtd",,"LAST","."&amp;I$2&amp;I$1&amp;"P"&amp;$A43))/1000000,0),IF($A$2="DEX",IFERROR((100*RTD("tos.rtd",,"OPEN_INT","."&amp;I$2&amp;I$1&amp;"C"&amp;$A43)*RTD("tos.rtd",,"DELTA","."&amp;I$2&amp;I$1&amp;"C"&amp;$A43)-100*RTD("tos.rtd",,"OPEN_INT","."&amp;I$2&amp;I$1&amp;"P"&amp;$A43)*RTD("tos.rtd",,"DELTA","."&amp;I$2&amp;I$1&amp;"P"&amp;$A43))/1000,0),IF($A$2="VEX",IFERROR(($A$4*$A$4*RTD("tos.rtd",,"VOLUME","."&amp;I$2&amp;I$1&amp;"C"&amp;$A43)*RTD("tos.rtd",,"GAMMA","."&amp;I$2&amp;I$1&amp;"C"&amp;$A43)-$A$4*$A$4*RTD("tos.rtd",,"VOLUME","."&amp;I$2&amp;I$1&amp;"P"&amp;$A43)*RTD("tos.rtd",,"GAMMA","."&amp;I$2&amp;I$1&amp;"P"&amp;$A43))/1000000,0),IF($A$2="GEX",IFERROR(($A$4*$A$4*RTD("tos.rtd",,"OPEN_INT","."&amp;I$2&amp;I$1&amp;"C"&amp;$A43)*RTD("tos.rtd",,"GAMMA","."&amp;I$2&amp;I$1&amp;"C"&amp;$A43)-$A$4*$A$4*RTD("tos.rtd",,"OPEN_INT","."&amp;I$2&amp;I$1&amp;"P"&amp;$A43)*RTD("tos.rtd",,"GAMMA","."&amp;I$2&amp;I$1&amp;"P"&amp;$A43))/1000000,0),IF($A$2="SKEW",IFERROR(VALUE(IF(RTD("tos.rtd",,"IMPL_VOL","."&amp;I$2&amp;I$1&amp;"P"&amp;$A43)="N/A",0,RTD("tos.rtd",,"IMPL_VOL","."&amp;I$2&amp;I$1&amp;"P"&amp;$A43))),0)-IFERROR(VALUE(IF(RTD("tos.rtd",,"IMPL_VOL","."&amp;I$2&amp;I$1&amp;"C"&amp;$A43)="N/A",0,RTD("tos.rtd",,"IMPL_VOL","."&amp;I$2&amp;I$1&amp;"C"&amp;$A43))),0),IF($A$2="MAXPAIN",IF($A$4&gt;$A43,($A$4-$A43)*IF(RTD("tos.rtd",,"OPEN_INT","."&amp;I$2&amp;I$1&amp;"C"&amp;$A43)="N/A",0,RTD("tos.rtd",,"OPEN_INT","."&amp;I$2&amp;I$1&amp;"C"&amp;$A43)),0)+IF($A$4&lt;$A43,($A43-$A$4)*IF(RTD("tos.rtd",,"OPEN_INT","."&amp;I$2&amp;I$1&amp;"P"&amp;$A43)="N/A",0,RTD("tos.rtd",,"OPEN_INT","."&amp;I$2&amp;I$1&amp;"P"&amp;$A43)),0),IF(RTD("tos.rtd",,$A$2,"."&amp;I$2&amp;I$1&amp;"C"&amp;$A43)="N/A",0,RTD("tos.rtd",,$A$2,"."&amp;I$2&amp;I$1&amp;"C"&amp;$A43))-IF(RTD("tos.rtd",,$A$2,"."&amp;I$2&amp;I$1&amp;"P"&amp;$A43)="N/A",0,RTD("tos.rtd",,$A$2,"."&amp;I$2&amp;I$1&amp;"P"&amp;$A43)))))))))</f>
        <v>0</v>
      </c>
      <c r="J43" s="12">
        <f>IF($A$2="PREMIUM_OI",IFERROR((100*RTD("tos.rtd",,"OPEN_INT","."&amp;J$2&amp;J$1&amp;"C"&amp;$A43)*RTD("tos.rtd",,"LAST","."&amp;J$2&amp;J$1&amp;"C"&amp;$A43)-100*RTD("tos.rtd",,"OPEN_INT","."&amp;J$2&amp;J$1&amp;"P"&amp;$A43)*RTD("tos.rtd",,"LAST","."&amp;J$2&amp;J$1&amp;"P"&amp;$A43))/1000000,0),IF($A$2="PREMIUM",IFERROR((100*RTD("tos.rtd",,"VOLUME","."&amp;J$2&amp;J$1&amp;"C"&amp;$A43)*RTD("tos.rtd",,"LAST","."&amp;J$2&amp;J$1&amp;"C"&amp;$A43)-100*RTD("tos.rtd",,"VOLUME","."&amp;J$2&amp;J$1&amp;"P"&amp;$A43)*RTD("tos.rtd",,"LAST","."&amp;J$2&amp;J$1&amp;"P"&amp;$A43))/1000000,0),IF($A$2="DEX",IFERROR((100*RTD("tos.rtd",,"OPEN_INT","."&amp;J$2&amp;J$1&amp;"C"&amp;$A43)*RTD("tos.rtd",,"DELTA","."&amp;J$2&amp;J$1&amp;"C"&amp;$A43)-100*RTD("tos.rtd",,"OPEN_INT","."&amp;J$2&amp;J$1&amp;"P"&amp;$A43)*RTD("tos.rtd",,"DELTA","."&amp;J$2&amp;J$1&amp;"P"&amp;$A43))/1000,0),IF($A$2="VEX",IFERROR(($A$4*$A$4*RTD("tos.rtd",,"VOLUME","."&amp;J$2&amp;J$1&amp;"C"&amp;$A43)*RTD("tos.rtd",,"GAMMA","."&amp;J$2&amp;J$1&amp;"C"&amp;$A43)-$A$4*$A$4*RTD("tos.rtd",,"VOLUME","."&amp;J$2&amp;J$1&amp;"P"&amp;$A43)*RTD("tos.rtd",,"GAMMA","."&amp;J$2&amp;J$1&amp;"P"&amp;$A43))/1000000,0),IF($A$2="GEX",IFERROR(($A$4*$A$4*RTD("tos.rtd",,"OPEN_INT","."&amp;J$2&amp;J$1&amp;"C"&amp;$A43)*RTD("tos.rtd",,"GAMMA","."&amp;J$2&amp;J$1&amp;"C"&amp;$A43)-$A$4*$A$4*RTD("tos.rtd",,"OPEN_INT","."&amp;J$2&amp;J$1&amp;"P"&amp;$A43)*RTD("tos.rtd",,"GAMMA","."&amp;J$2&amp;J$1&amp;"P"&amp;$A43))/1000000,0),IF($A$2="SKEW",IFERROR(VALUE(IF(RTD("tos.rtd",,"IMPL_VOL","."&amp;J$2&amp;J$1&amp;"P"&amp;$A43)="N/A",0,RTD("tos.rtd",,"IMPL_VOL","."&amp;J$2&amp;J$1&amp;"P"&amp;$A43))),0)-IFERROR(VALUE(IF(RTD("tos.rtd",,"IMPL_VOL","."&amp;J$2&amp;J$1&amp;"C"&amp;$A43)="N/A",0,RTD("tos.rtd",,"IMPL_VOL","."&amp;J$2&amp;J$1&amp;"C"&amp;$A43))),0),IF($A$2="MAXPAIN",IF($A$4&gt;$A43,($A$4-$A43)*IF(RTD("tos.rtd",,"OPEN_INT","."&amp;J$2&amp;J$1&amp;"C"&amp;$A43)="N/A",0,RTD("tos.rtd",,"OPEN_INT","."&amp;J$2&amp;J$1&amp;"C"&amp;$A43)),0)+IF($A$4&lt;$A43,($A43-$A$4)*IF(RTD("tos.rtd",,"OPEN_INT","."&amp;J$2&amp;J$1&amp;"P"&amp;$A43)="N/A",0,RTD("tos.rtd",,"OPEN_INT","."&amp;J$2&amp;J$1&amp;"P"&amp;$A43)),0),IF(RTD("tos.rtd",,$A$2,"."&amp;J$2&amp;J$1&amp;"C"&amp;$A43)="N/A",0,RTD("tos.rtd",,$A$2,"."&amp;J$2&amp;J$1&amp;"C"&amp;$A43))-IF(RTD("tos.rtd",,$A$2,"."&amp;J$2&amp;J$1&amp;"P"&amp;$A43)="N/A",0,RTD("tos.rtd",,$A$2,"."&amp;J$2&amp;J$1&amp;"P"&amp;$A43)))))))))</f>
        <v>0</v>
      </c>
      <c r="K43" s="12">
        <f>IF($A$2="PREMIUM_OI",IFERROR((100*RTD("tos.rtd",,"OPEN_INT","."&amp;K$2&amp;K$1&amp;"C"&amp;$A43)*RTD("tos.rtd",,"LAST","."&amp;K$2&amp;K$1&amp;"C"&amp;$A43)-100*RTD("tos.rtd",,"OPEN_INT","."&amp;K$2&amp;K$1&amp;"P"&amp;$A43)*RTD("tos.rtd",,"LAST","."&amp;K$2&amp;K$1&amp;"P"&amp;$A43))/1000000,0),IF($A$2="PREMIUM",IFERROR((100*RTD("tos.rtd",,"VOLUME","."&amp;K$2&amp;K$1&amp;"C"&amp;$A43)*RTD("tos.rtd",,"LAST","."&amp;K$2&amp;K$1&amp;"C"&amp;$A43)-100*RTD("tos.rtd",,"VOLUME","."&amp;K$2&amp;K$1&amp;"P"&amp;$A43)*RTD("tos.rtd",,"LAST","."&amp;K$2&amp;K$1&amp;"P"&amp;$A43))/1000000,0),IF($A$2="DEX",IFERROR((100*RTD("tos.rtd",,"OPEN_INT","."&amp;K$2&amp;K$1&amp;"C"&amp;$A43)*RTD("tos.rtd",,"DELTA","."&amp;K$2&amp;K$1&amp;"C"&amp;$A43)-100*RTD("tos.rtd",,"OPEN_INT","."&amp;K$2&amp;K$1&amp;"P"&amp;$A43)*RTD("tos.rtd",,"DELTA","."&amp;K$2&amp;K$1&amp;"P"&amp;$A43))/1000,0),IF($A$2="VEX",IFERROR(($A$4*$A$4*RTD("tos.rtd",,"VOLUME","."&amp;K$2&amp;K$1&amp;"C"&amp;$A43)*RTD("tos.rtd",,"GAMMA","."&amp;K$2&amp;K$1&amp;"C"&amp;$A43)-$A$4*$A$4*RTD("tos.rtd",,"VOLUME","."&amp;K$2&amp;K$1&amp;"P"&amp;$A43)*RTD("tos.rtd",,"GAMMA","."&amp;K$2&amp;K$1&amp;"P"&amp;$A43))/1000000,0),IF($A$2="GEX",IFERROR(($A$4*$A$4*RTD("tos.rtd",,"OPEN_INT","."&amp;K$2&amp;K$1&amp;"C"&amp;$A43)*RTD("tos.rtd",,"GAMMA","."&amp;K$2&amp;K$1&amp;"C"&amp;$A43)-$A$4*$A$4*RTD("tos.rtd",,"OPEN_INT","."&amp;K$2&amp;K$1&amp;"P"&amp;$A43)*RTD("tos.rtd",,"GAMMA","."&amp;K$2&amp;K$1&amp;"P"&amp;$A43))/1000000,0),IF($A$2="SKEW",IFERROR(VALUE(IF(RTD("tos.rtd",,"IMPL_VOL","."&amp;K$2&amp;K$1&amp;"P"&amp;$A43)="N/A",0,RTD("tos.rtd",,"IMPL_VOL","."&amp;K$2&amp;K$1&amp;"P"&amp;$A43))),0)-IFERROR(VALUE(IF(RTD("tos.rtd",,"IMPL_VOL","."&amp;K$2&amp;K$1&amp;"C"&amp;$A43)="N/A",0,RTD("tos.rtd",,"IMPL_VOL","."&amp;K$2&amp;K$1&amp;"C"&amp;$A43))),0),IF($A$2="MAXPAIN",IF($A$4&gt;$A43,($A$4-$A43)*IF(RTD("tos.rtd",,"OPEN_INT","."&amp;K$2&amp;K$1&amp;"C"&amp;$A43)="N/A",0,RTD("tos.rtd",,"OPEN_INT","."&amp;K$2&amp;K$1&amp;"C"&amp;$A43)),0)+IF($A$4&lt;$A43,($A43-$A$4)*IF(RTD("tos.rtd",,"OPEN_INT","."&amp;K$2&amp;K$1&amp;"P"&amp;$A43)="N/A",0,RTD("tos.rtd",,"OPEN_INT","."&amp;K$2&amp;K$1&amp;"P"&amp;$A43)),0),IF(RTD("tos.rtd",,$A$2,"."&amp;K$2&amp;K$1&amp;"C"&amp;$A43)="N/A",0,RTD("tos.rtd",,$A$2,"."&amp;K$2&amp;K$1&amp;"C"&amp;$A43))-IF(RTD("tos.rtd",,$A$2,"."&amp;K$2&amp;K$1&amp;"P"&amp;$A43)="N/A",0,RTD("tos.rtd",,$A$2,"."&amp;K$2&amp;K$1&amp;"P"&amp;$A43)))))))))</f>
        <v>0</v>
      </c>
      <c r="L43" s="12">
        <f>IF($A$2="PREMIUM_OI",IFERROR((100*RTD("tos.rtd",,"OPEN_INT","."&amp;L$2&amp;L$1&amp;"C"&amp;$A43)*RTD("tos.rtd",,"LAST","."&amp;L$2&amp;L$1&amp;"C"&amp;$A43)-100*RTD("tos.rtd",,"OPEN_INT","."&amp;L$2&amp;L$1&amp;"P"&amp;$A43)*RTD("tos.rtd",,"LAST","."&amp;L$2&amp;L$1&amp;"P"&amp;$A43))/1000000,0),IF($A$2="PREMIUM",IFERROR((100*RTD("tos.rtd",,"VOLUME","."&amp;L$2&amp;L$1&amp;"C"&amp;$A43)*RTD("tos.rtd",,"LAST","."&amp;L$2&amp;L$1&amp;"C"&amp;$A43)-100*RTD("tos.rtd",,"VOLUME","."&amp;L$2&amp;L$1&amp;"P"&amp;$A43)*RTD("tos.rtd",,"LAST","."&amp;L$2&amp;L$1&amp;"P"&amp;$A43))/1000000,0),IF($A$2="DEX",IFERROR((100*RTD("tos.rtd",,"OPEN_INT","."&amp;L$2&amp;L$1&amp;"C"&amp;$A43)*RTD("tos.rtd",,"DELTA","."&amp;L$2&amp;L$1&amp;"C"&amp;$A43)-100*RTD("tos.rtd",,"OPEN_INT","."&amp;L$2&amp;L$1&amp;"P"&amp;$A43)*RTD("tos.rtd",,"DELTA","."&amp;L$2&amp;L$1&amp;"P"&amp;$A43))/1000,0),IF($A$2="VEX",IFERROR(($A$4*$A$4*RTD("tos.rtd",,"VOLUME","."&amp;L$2&amp;L$1&amp;"C"&amp;$A43)*RTD("tos.rtd",,"GAMMA","."&amp;L$2&amp;L$1&amp;"C"&amp;$A43)-$A$4*$A$4*RTD("tos.rtd",,"VOLUME","."&amp;L$2&amp;L$1&amp;"P"&amp;$A43)*RTD("tos.rtd",,"GAMMA","."&amp;L$2&amp;L$1&amp;"P"&amp;$A43))/1000000,0),IF($A$2="GEX",IFERROR(($A$4*$A$4*RTD("tos.rtd",,"OPEN_INT","."&amp;L$2&amp;L$1&amp;"C"&amp;$A43)*RTD("tos.rtd",,"GAMMA","."&amp;L$2&amp;L$1&amp;"C"&amp;$A43)-$A$4*$A$4*RTD("tos.rtd",,"OPEN_INT","."&amp;L$2&amp;L$1&amp;"P"&amp;$A43)*RTD("tos.rtd",,"GAMMA","."&amp;L$2&amp;L$1&amp;"P"&amp;$A43))/1000000,0),IF($A$2="SKEW",IFERROR(VALUE(IF(RTD("tos.rtd",,"IMPL_VOL","."&amp;L$2&amp;L$1&amp;"P"&amp;$A43)="N/A",0,RTD("tos.rtd",,"IMPL_VOL","."&amp;L$2&amp;L$1&amp;"P"&amp;$A43))),0)-IFERROR(VALUE(IF(RTD("tos.rtd",,"IMPL_VOL","."&amp;L$2&amp;L$1&amp;"C"&amp;$A43)="N/A",0,RTD("tos.rtd",,"IMPL_VOL","."&amp;L$2&amp;L$1&amp;"C"&amp;$A43))),0),IF($A$2="MAXPAIN",IF($A$4&gt;$A43,($A$4-$A43)*IF(RTD("tos.rtd",,"OPEN_INT","."&amp;L$2&amp;L$1&amp;"C"&amp;$A43)="N/A",0,RTD("tos.rtd",,"OPEN_INT","."&amp;L$2&amp;L$1&amp;"C"&amp;$A43)),0)+IF($A$4&lt;$A43,($A43-$A$4)*IF(RTD("tos.rtd",,"OPEN_INT","."&amp;L$2&amp;L$1&amp;"P"&amp;$A43)="N/A",0,RTD("tos.rtd",,"OPEN_INT","."&amp;L$2&amp;L$1&amp;"P"&amp;$A43)),0),IF(RTD("tos.rtd",,$A$2,"."&amp;L$2&amp;L$1&amp;"C"&amp;$A43)="N/A",0,RTD("tos.rtd",,$A$2,"."&amp;L$2&amp;L$1&amp;"C"&amp;$A43))-IF(RTD("tos.rtd",,$A$2,"."&amp;L$2&amp;L$1&amp;"P"&amp;$A43)="N/A",0,RTD("tos.rtd",,$A$2,"."&amp;L$2&amp;L$1&amp;"P"&amp;$A43)))))))))</f>
        <v>0</v>
      </c>
      <c r="M43" s="12">
        <f>IF($A$2="PREMIUM_OI",IFERROR((100*RTD("tos.rtd",,"OPEN_INT","."&amp;M$2&amp;M$1&amp;"C"&amp;$A43)*RTD("tos.rtd",,"LAST","."&amp;M$2&amp;M$1&amp;"C"&amp;$A43)-100*RTD("tos.rtd",,"OPEN_INT","."&amp;M$2&amp;M$1&amp;"P"&amp;$A43)*RTD("tos.rtd",,"LAST","."&amp;M$2&amp;M$1&amp;"P"&amp;$A43))/1000000,0),IF($A$2="PREMIUM",IFERROR((100*RTD("tos.rtd",,"VOLUME","."&amp;M$2&amp;M$1&amp;"C"&amp;$A43)*RTD("tos.rtd",,"LAST","."&amp;M$2&amp;M$1&amp;"C"&amp;$A43)-100*RTD("tos.rtd",,"VOLUME","."&amp;M$2&amp;M$1&amp;"P"&amp;$A43)*RTD("tos.rtd",,"LAST","."&amp;M$2&amp;M$1&amp;"P"&amp;$A43))/1000000,0),IF($A$2="DEX",IFERROR((100*RTD("tos.rtd",,"OPEN_INT","."&amp;M$2&amp;M$1&amp;"C"&amp;$A43)*RTD("tos.rtd",,"DELTA","."&amp;M$2&amp;M$1&amp;"C"&amp;$A43)-100*RTD("tos.rtd",,"OPEN_INT","."&amp;M$2&amp;M$1&amp;"P"&amp;$A43)*RTD("tos.rtd",,"DELTA","."&amp;M$2&amp;M$1&amp;"P"&amp;$A43))/1000,0),IF($A$2="VEX",IFERROR(($A$4*$A$4*RTD("tos.rtd",,"VOLUME","."&amp;M$2&amp;M$1&amp;"C"&amp;$A43)*RTD("tos.rtd",,"GAMMA","."&amp;M$2&amp;M$1&amp;"C"&amp;$A43)-$A$4*$A$4*RTD("tos.rtd",,"VOLUME","."&amp;M$2&amp;M$1&amp;"P"&amp;$A43)*RTD("tos.rtd",,"GAMMA","."&amp;M$2&amp;M$1&amp;"P"&amp;$A43))/1000000,0),IF($A$2="GEX",IFERROR(($A$4*$A$4*RTD("tos.rtd",,"OPEN_INT","."&amp;M$2&amp;M$1&amp;"C"&amp;$A43)*RTD("tos.rtd",,"GAMMA","."&amp;M$2&amp;M$1&amp;"C"&amp;$A43)-$A$4*$A$4*RTD("tos.rtd",,"OPEN_INT","."&amp;M$2&amp;M$1&amp;"P"&amp;$A43)*RTD("tos.rtd",,"GAMMA","."&amp;M$2&amp;M$1&amp;"P"&amp;$A43))/1000000,0),IF($A$2="SKEW",IFERROR(VALUE(IF(RTD("tos.rtd",,"IMPL_VOL","."&amp;M$2&amp;M$1&amp;"P"&amp;$A43)="N/A",0,RTD("tos.rtd",,"IMPL_VOL","."&amp;M$2&amp;M$1&amp;"P"&amp;$A43))),0)-IFERROR(VALUE(IF(RTD("tos.rtd",,"IMPL_VOL","."&amp;M$2&amp;M$1&amp;"C"&amp;$A43)="N/A",0,RTD("tos.rtd",,"IMPL_VOL","."&amp;M$2&amp;M$1&amp;"C"&amp;$A43))),0),IF($A$2="MAXPAIN",IF($A$4&gt;$A43,($A$4-$A43)*IF(RTD("tos.rtd",,"OPEN_INT","."&amp;M$2&amp;M$1&amp;"C"&amp;$A43)="N/A",0,RTD("tos.rtd",,"OPEN_INT","."&amp;M$2&amp;M$1&amp;"C"&amp;$A43)),0)+IF($A$4&lt;$A43,($A43-$A$4)*IF(RTD("tos.rtd",,"OPEN_INT","."&amp;M$2&amp;M$1&amp;"P"&amp;$A43)="N/A",0,RTD("tos.rtd",,"OPEN_INT","."&amp;M$2&amp;M$1&amp;"P"&amp;$A43)),0),IF(RTD("tos.rtd",,$A$2,"."&amp;M$2&amp;M$1&amp;"C"&amp;$A43)="N/A",0,RTD("tos.rtd",,$A$2,"."&amp;M$2&amp;M$1&amp;"C"&amp;$A43))-IF(RTD("tos.rtd",,$A$2,"."&amp;M$2&amp;M$1&amp;"P"&amp;$A43)="N/A",0,RTD("tos.rtd",,$A$2,"."&amp;M$2&amp;M$1&amp;"P"&amp;$A43)))))))))</f>
        <v>0</v>
      </c>
      <c r="N43" s="12">
        <f>IF($A$2="PREMIUM_OI",IFERROR((100*RTD("tos.rtd",,"OPEN_INT","."&amp;N$2&amp;N$1&amp;"C"&amp;$A43)*RTD("tos.rtd",,"LAST","."&amp;N$2&amp;N$1&amp;"C"&amp;$A43)-100*RTD("tos.rtd",,"OPEN_INT","."&amp;N$2&amp;N$1&amp;"P"&amp;$A43)*RTD("tos.rtd",,"LAST","."&amp;N$2&amp;N$1&amp;"P"&amp;$A43))/1000000,0),IF($A$2="PREMIUM",IFERROR((100*RTD("tos.rtd",,"VOLUME","."&amp;N$2&amp;N$1&amp;"C"&amp;$A43)*RTD("tos.rtd",,"LAST","."&amp;N$2&amp;N$1&amp;"C"&amp;$A43)-100*RTD("tos.rtd",,"VOLUME","."&amp;N$2&amp;N$1&amp;"P"&amp;$A43)*RTD("tos.rtd",,"LAST","."&amp;N$2&amp;N$1&amp;"P"&amp;$A43))/1000000,0),IF($A$2="DEX",IFERROR((100*RTD("tos.rtd",,"OPEN_INT","."&amp;N$2&amp;N$1&amp;"C"&amp;$A43)*RTD("tos.rtd",,"DELTA","."&amp;N$2&amp;N$1&amp;"C"&amp;$A43)-100*RTD("tos.rtd",,"OPEN_INT","."&amp;N$2&amp;N$1&amp;"P"&amp;$A43)*RTD("tos.rtd",,"DELTA","."&amp;N$2&amp;N$1&amp;"P"&amp;$A43))/1000,0),IF($A$2="VEX",IFERROR(($A$4*$A$4*RTD("tos.rtd",,"VOLUME","."&amp;N$2&amp;N$1&amp;"C"&amp;$A43)*RTD("tos.rtd",,"GAMMA","."&amp;N$2&amp;N$1&amp;"C"&amp;$A43)-$A$4*$A$4*RTD("tos.rtd",,"VOLUME","."&amp;N$2&amp;N$1&amp;"P"&amp;$A43)*RTD("tos.rtd",,"GAMMA","."&amp;N$2&amp;N$1&amp;"P"&amp;$A43))/1000000,0),IF($A$2="GEX",IFERROR(($A$4*$A$4*RTD("tos.rtd",,"OPEN_INT","."&amp;N$2&amp;N$1&amp;"C"&amp;$A43)*RTD("tos.rtd",,"GAMMA","."&amp;N$2&amp;N$1&amp;"C"&amp;$A43)-$A$4*$A$4*RTD("tos.rtd",,"OPEN_INT","."&amp;N$2&amp;N$1&amp;"P"&amp;$A43)*RTD("tos.rtd",,"GAMMA","."&amp;N$2&amp;N$1&amp;"P"&amp;$A43))/1000000,0),IF($A$2="SKEW",IFERROR(VALUE(IF(RTD("tos.rtd",,"IMPL_VOL","."&amp;N$2&amp;N$1&amp;"P"&amp;$A43)="N/A",0,RTD("tos.rtd",,"IMPL_VOL","."&amp;N$2&amp;N$1&amp;"P"&amp;$A43))),0)-IFERROR(VALUE(IF(RTD("tos.rtd",,"IMPL_VOL","."&amp;N$2&amp;N$1&amp;"C"&amp;$A43)="N/A",0,RTD("tos.rtd",,"IMPL_VOL","."&amp;N$2&amp;N$1&amp;"C"&amp;$A43))),0),IF($A$2="MAXPAIN",IF($A$4&gt;$A43,($A$4-$A43)*IF(RTD("tos.rtd",,"OPEN_INT","."&amp;N$2&amp;N$1&amp;"C"&amp;$A43)="N/A",0,RTD("tos.rtd",,"OPEN_INT","."&amp;N$2&amp;N$1&amp;"C"&amp;$A43)),0)+IF($A$4&lt;$A43,($A43-$A$4)*IF(RTD("tos.rtd",,"OPEN_INT","."&amp;N$2&amp;N$1&amp;"P"&amp;$A43)="N/A",0,RTD("tos.rtd",,"OPEN_INT","."&amp;N$2&amp;N$1&amp;"P"&amp;$A43)),0),IF(RTD("tos.rtd",,$A$2,"."&amp;N$2&amp;N$1&amp;"C"&amp;$A43)="N/A",0,RTD("tos.rtd",,$A$2,"."&amp;N$2&amp;N$1&amp;"C"&amp;$A43))-IF(RTD("tos.rtd",,$A$2,"."&amp;N$2&amp;N$1&amp;"P"&amp;$A43)="N/A",0,RTD("tos.rtd",,$A$2,"."&amp;N$2&amp;N$1&amp;"P"&amp;$A43)))))))))</f>
        <v>0</v>
      </c>
      <c r="O43" s="12">
        <f>IF($A$2="PREMIUM_OI",IFERROR((100*RTD("tos.rtd",,"OPEN_INT","."&amp;O$2&amp;O$1&amp;"C"&amp;$A43)*RTD("tos.rtd",,"LAST","."&amp;O$2&amp;O$1&amp;"C"&amp;$A43)-100*RTD("tos.rtd",,"OPEN_INT","."&amp;O$2&amp;O$1&amp;"P"&amp;$A43)*RTD("tos.rtd",,"LAST","."&amp;O$2&amp;O$1&amp;"P"&amp;$A43))/1000000,0),IF($A$2="PREMIUM",IFERROR((100*RTD("tos.rtd",,"VOLUME","."&amp;O$2&amp;O$1&amp;"C"&amp;$A43)*RTD("tos.rtd",,"LAST","."&amp;O$2&amp;O$1&amp;"C"&amp;$A43)-100*RTD("tos.rtd",,"VOLUME","."&amp;O$2&amp;O$1&amp;"P"&amp;$A43)*RTD("tos.rtd",,"LAST","."&amp;O$2&amp;O$1&amp;"P"&amp;$A43))/1000000,0),IF($A$2="DEX",IFERROR((100*RTD("tos.rtd",,"OPEN_INT","."&amp;O$2&amp;O$1&amp;"C"&amp;$A43)*RTD("tos.rtd",,"DELTA","."&amp;O$2&amp;O$1&amp;"C"&amp;$A43)-100*RTD("tos.rtd",,"OPEN_INT","."&amp;O$2&amp;O$1&amp;"P"&amp;$A43)*RTD("tos.rtd",,"DELTA","."&amp;O$2&amp;O$1&amp;"P"&amp;$A43))/1000,0),IF($A$2="VEX",IFERROR(($A$4*$A$4*RTD("tos.rtd",,"VOLUME","."&amp;O$2&amp;O$1&amp;"C"&amp;$A43)*RTD("tos.rtd",,"GAMMA","."&amp;O$2&amp;O$1&amp;"C"&amp;$A43)-$A$4*$A$4*RTD("tos.rtd",,"VOLUME","."&amp;O$2&amp;O$1&amp;"P"&amp;$A43)*RTD("tos.rtd",,"GAMMA","."&amp;O$2&amp;O$1&amp;"P"&amp;$A43))/1000000,0),IF($A$2="GEX",IFERROR(($A$4*$A$4*RTD("tos.rtd",,"OPEN_INT","."&amp;O$2&amp;O$1&amp;"C"&amp;$A43)*RTD("tos.rtd",,"GAMMA","."&amp;O$2&amp;O$1&amp;"C"&amp;$A43)-$A$4*$A$4*RTD("tos.rtd",,"OPEN_INT","."&amp;O$2&amp;O$1&amp;"P"&amp;$A43)*RTD("tos.rtd",,"GAMMA","."&amp;O$2&amp;O$1&amp;"P"&amp;$A43))/1000000,0),IF($A$2="SKEW",IFERROR(VALUE(IF(RTD("tos.rtd",,"IMPL_VOL","."&amp;O$2&amp;O$1&amp;"P"&amp;$A43)="N/A",0,RTD("tos.rtd",,"IMPL_VOL","."&amp;O$2&amp;O$1&amp;"P"&amp;$A43))),0)-IFERROR(VALUE(IF(RTD("tos.rtd",,"IMPL_VOL","."&amp;O$2&amp;O$1&amp;"C"&amp;$A43)="N/A",0,RTD("tos.rtd",,"IMPL_VOL","."&amp;O$2&amp;O$1&amp;"C"&amp;$A43))),0),IF($A$2="MAXPAIN",IF($A$4&gt;$A43,($A$4-$A43)*IF(RTD("tos.rtd",,"OPEN_INT","."&amp;O$2&amp;O$1&amp;"C"&amp;$A43)="N/A",0,RTD("tos.rtd",,"OPEN_INT","."&amp;O$2&amp;O$1&amp;"C"&amp;$A43)),0)+IF($A$4&lt;$A43,($A43-$A$4)*IF(RTD("tos.rtd",,"OPEN_INT","."&amp;O$2&amp;O$1&amp;"P"&amp;$A43)="N/A",0,RTD("tos.rtd",,"OPEN_INT","."&amp;O$2&amp;O$1&amp;"P"&amp;$A43)),0),IF(RTD("tos.rtd",,$A$2,"."&amp;O$2&amp;O$1&amp;"C"&amp;$A43)="N/A",0,RTD("tos.rtd",,$A$2,"."&amp;O$2&amp;O$1&amp;"C"&amp;$A43))-IF(RTD("tos.rtd",,$A$2,"."&amp;O$2&amp;O$1&amp;"P"&amp;$A43)="N/A",0,RTD("tos.rtd",,$A$2,"."&amp;O$2&amp;O$1&amp;"P"&amp;$A43)))))))))</f>
        <v>0</v>
      </c>
      <c r="P43" s="12">
        <f>IF($A$2="PREMIUM_OI",IFERROR((100*RTD("tos.rtd",,"OPEN_INT","."&amp;P$2&amp;P$1&amp;"C"&amp;$A43)*RTD("tos.rtd",,"LAST","."&amp;P$2&amp;P$1&amp;"C"&amp;$A43)-100*RTD("tos.rtd",,"OPEN_INT","."&amp;P$2&amp;P$1&amp;"P"&amp;$A43)*RTD("tos.rtd",,"LAST","."&amp;P$2&amp;P$1&amp;"P"&amp;$A43))/1000000,0),IF($A$2="PREMIUM",IFERROR((100*RTD("tos.rtd",,"VOLUME","."&amp;P$2&amp;P$1&amp;"C"&amp;$A43)*RTD("tos.rtd",,"LAST","."&amp;P$2&amp;P$1&amp;"C"&amp;$A43)-100*RTD("tos.rtd",,"VOLUME","."&amp;P$2&amp;P$1&amp;"P"&amp;$A43)*RTD("tos.rtd",,"LAST","."&amp;P$2&amp;P$1&amp;"P"&amp;$A43))/1000000,0),IF($A$2="DEX",IFERROR((100*RTD("tos.rtd",,"OPEN_INT","."&amp;P$2&amp;P$1&amp;"C"&amp;$A43)*RTD("tos.rtd",,"DELTA","."&amp;P$2&amp;P$1&amp;"C"&amp;$A43)-100*RTD("tos.rtd",,"OPEN_INT","."&amp;P$2&amp;P$1&amp;"P"&amp;$A43)*RTD("tos.rtd",,"DELTA","."&amp;P$2&amp;P$1&amp;"P"&amp;$A43))/1000,0),IF($A$2="VEX",IFERROR(($A$4*$A$4*RTD("tos.rtd",,"VOLUME","."&amp;P$2&amp;P$1&amp;"C"&amp;$A43)*RTD("tos.rtd",,"GAMMA","."&amp;P$2&amp;P$1&amp;"C"&amp;$A43)-$A$4*$A$4*RTD("tos.rtd",,"VOLUME","."&amp;P$2&amp;P$1&amp;"P"&amp;$A43)*RTD("tos.rtd",,"GAMMA","."&amp;P$2&amp;P$1&amp;"P"&amp;$A43))/1000000,0),IF($A$2="GEX",IFERROR(($A$4*$A$4*RTD("tos.rtd",,"OPEN_INT","."&amp;P$2&amp;P$1&amp;"C"&amp;$A43)*RTD("tos.rtd",,"GAMMA","."&amp;P$2&amp;P$1&amp;"C"&amp;$A43)-$A$4*$A$4*RTD("tos.rtd",,"OPEN_INT","."&amp;P$2&amp;P$1&amp;"P"&amp;$A43)*RTD("tos.rtd",,"GAMMA","."&amp;P$2&amp;P$1&amp;"P"&amp;$A43))/1000000,0),IF($A$2="SKEW",IFERROR(VALUE(IF(RTD("tos.rtd",,"IMPL_VOL","."&amp;P$2&amp;P$1&amp;"P"&amp;$A43)="N/A",0,RTD("tos.rtd",,"IMPL_VOL","."&amp;P$2&amp;P$1&amp;"P"&amp;$A43))),0)-IFERROR(VALUE(IF(RTD("tos.rtd",,"IMPL_VOL","."&amp;P$2&amp;P$1&amp;"C"&amp;$A43)="N/A",0,RTD("tos.rtd",,"IMPL_VOL","."&amp;P$2&amp;P$1&amp;"C"&amp;$A43))),0),IF($A$2="MAXPAIN",IF($A$4&gt;$A43,($A$4-$A43)*IF(RTD("tos.rtd",,"OPEN_INT","."&amp;P$2&amp;P$1&amp;"C"&amp;$A43)="N/A",0,RTD("tos.rtd",,"OPEN_INT","."&amp;P$2&amp;P$1&amp;"C"&amp;$A43)),0)+IF($A$4&lt;$A43,($A43-$A$4)*IF(RTD("tos.rtd",,"OPEN_INT","."&amp;P$2&amp;P$1&amp;"P"&amp;$A43)="N/A",0,RTD("tos.rtd",,"OPEN_INT","."&amp;P$2&amp;P$1&amp;"P"&amp;$A43)),0),IF(RTD("tos.rtd",,$A$2,"."&amp;P$2&amp;P$1&amp;"C"&amp;$A43)="N/A",0,RTD("tos.rtd",,$A$2,"."&amp;P$2&amp;P$1&amp;"C"&amp;$A43))-IF(RTD("tos.rtd",,$A$2,"."&amp;P$2&amp;P$1&amp;"P"&amp;$A43)="N/A",0,RTD("tos.rtd",,$A$2,"."&amp;P$2&amp;P$1&amp;"P"&amp;$A43)))))))))</f>
        <v>0</v>
      </c>
      <c r="Q43" s="12">
        <f>IF($A$2="PREMIUM_OI",IFERROR((100*RTD("tos.rtd",,"OPEN_INT","."&amp;Q$2&amp;Q$1&amp;"C"&amp;$A43)*RTD("tos.rtd",,"LAST","."&amp;Q$2&amp;Q$1&amp;"C"&amp;$A43)-100*RTD("tos.rtd",,"OPEN_INT","."&amp;Q$2&amp;Q$1&amp;"P"&amp;$A43)*RTD("tos.rtd",,"LAST","."&amp;Q$2&amp;Q$1&amp;"P"&amp;$A43))/1000000,0),IF($A$2="PREMIUM",IFERROR((100*RTD("tos.rtd",,"VOLUME","."&amp;Q$2&amp;Q$1&amp;"C"&amp;$A43)*RTD("tos.rtd",,"LAST","."&amp;Q$2&amp;Q$1&amp;"C"&amp;$A43)-100*RTD("tos.rtd",,"VOLUME","."&amp;Q$2&amp;Q$1&amp;"P"&amp;$A43)*RTD("tos.rtd",,"LAST","."&amp;Q$2&amp;Q$1&amp;"P"&amp;$A43))/1000000,0),IF($A$2="DEX",IFERROR((100*RTD("tos.rtd",,"OPEN_INT","."&amp;Q$2&amp;Q$1&amp;"C"&amp;$A43)*RTD("tos.rtd",,"DELTA","."&amp;Q$2&amp;Q$1&amp;"C"&amp;$A43)-100*RTD("tos.rtd",,"OPEN_INT","."&amp;Q$2&amp;Q$1&amp;"P"&amp;$A43)*RTD("tos.rtd",,"DELTA","."&amp;Q$2&amp;Q$1&amp;"P"&amp;$A43))/1000,0),IF($A$2="VEX",IFERROR(($A$4*$A$4*RTD("tos.rtd",,"VOLUME","."&amp;Q$2&amp;Q$1&amp;"C"&amp;$A43)*RTD("tos.rtd",,"GAMMA","."&amp;Q$2&amp;Q$1&amp;"C"&amp;$A43)-$A$4*$A$4*RTD("tos.rtd",,"VOLUME","."&amp;Q$2&amp;Q$1&amp;"P"&amp;$A43)*RTD("tos.rtd",,"GAMMA","."&amp;Q$2&amp;Q$1&amp;"P"&amp;$A43))/1000000,0),IF($A$2="GEX",IFERROR(($A$4*$A$4*RTD("tos.rtd",,"OPEN_INT","."&amp;Q$2&amp;Q$1&amp;"C"&amp;$A43)*RTD("tos.rtd",,"GAMMA","."&amp;Q$2&amp;Q$1&amp;"C"&amp;$A43)-$A$4*$A$4*RTD("tos.rtd",,"OPEN_INT","."&amp;Q$2&amp;Q$1&amp;"P"&amp;$A43)*RTD("tos.rtd",,"GAMMA","."&amp;Q$2&amp;Q$1&amp;"P"&amp;$A43))/1000000,0),IF($A$2="SKEW",IFERROR(VALUE(IF(RTD("tos.rtd",,"IMPL_VOL","."&amp;Q$2&amp;Q$1&amp;"P"&amp;$A43)="N/A",0,RTD("tos.rtd",,"IMPL_VOL","."&amp;Q$2&amp;Q$1&amp;"P"&amp;$A43))),0)-IFERROR(VALUE(IF(RTD("tos.rtd",,"IMPL_VOL","."&amp;Q$2&amp;Q$1&amp;"C"&amp;$A43)="N/A",0,RTD("tos.rtd",,"IMPL_VOL","."&amp;Q$2&amp;Q$1&amp;"C"&amp;$A43))),0),IF($A$2="MAXPAIN",IF($A$4&gt;$A43,($A$4-$A43)*IF(RTD("tos.rtd",,"OPEN_INT","."&amp;Q$2&amp;Q$1&amp;"C"&amp;$A43)="N/A",0,RTD("tos.rtd",,"OPEN_INT","."&amp;Q$2&amp;Q$1&amp;"C"&amp;$A43)),0)+IF($A$4&lt;$A43,($A43-$A$4)*IF(RTD("tos.rtd",,"OPEN_INT","."&amp;Q$2&amp;Q$1&amp;"P"&amp;$A43)="N/A",0,RTD("tos.rtd",,"OPEN_INT","."&amp;Q$2&amp;Q$1&amp;"P"&amp;$A43)),0),IF(RTD("tos.rtd",,$A$2,"."&amp;Q$2&amp;Q$1&amp;"C"&amp;$A43)="N/A",0,RTD("tos.rtd",,$A$2,"."&amp;Q$2&amp;Q$1&amp;"C"&amp;$A43))-IF(RTD("tos.rtd",,$A$2,"."&amp;Q$2&amp;Q$1&amp;"P"&amp;$A43)="N/A",0,RTD("tos.rtd",,$A$2,"."&amp;Q$2&amp;Q$1&amp;"P"&amp;$A43)))))))))</f>
        <v>0</v>
      </c>
      <c r="R43" s="12">
        <f>IF($A$2="PREMIUM_OI",IFERROR((100*RTD("tos.rtd",,"OPEN_INT","."&amp;R$2&amp;R$1&amp;"C"&amp;$A43)*RTD("tos.rtd",,"LAST","."&amp;R$2&amp;R$1&amp;"C"&amp;$A43)-100*RTD("tos.rtd",,"OPEN_INT","."&amp;R$2&amp;R$1&amp;"P"&amp;$A43)*RTD("tos.rtd",,"LAST","."&amp;R$2&amp;R$1&amp;"P"&amp;$A43))/1000000,0),IF($A$2="PREMIUM",IFERROR((100*RTD("tos.rtd",,"VOLUME","."&amp;R$2&amp;R$1&amp;"C"&amp;$A43)*RTD("tos.rtd",,"LAST","."&amp;R$2&amp;R$1&amp;"C"&amp;$A43)-100*RTD("tos.rtd",,"VOLUME","."&amp;R$2&amp;R$1&amp;"P"&amp;$A43)*RTD("tos.rtd",,"LAST","."&amp;R$2&amp;R$1&amp;"P"&amp;$A43))/1000000,0),IF($A$2="DEX",IFERROR((100*RTD("tos.rtd",,"OPEN_INT","."&amp;R$2&amp;R$1&amp;"C"&amp;$A43)*RTD("tos.rtd",,"DELTA","."&amp;R$2&amp;R$1&amp;"C"&amp;$A43)-100*RTD("tos.rtd",,"OPEN_INT","."&amp;R$2&amp;R$1&amp;"P"&amp;$A43)*RTD("tos.rtd",,"DELTA","."&amp;R$2&amp;R$1&amp;"P"&amp;$A43))/1000,0),IF($A$2="VEX",IFERROR(($A$4*$A$4*RTD("tos.rtd",,"VOLUME","."&amp;R$2&amp;R$1&amp;"C"&amp;$A43)*RTD("tos.rtd",,"GAMMA","."&amp;R$2&amp;R$1&amp;"C"&amp;$A43)-$A$4*$A$4*RTD("tos.rtd",,"VOLUME","."&amp;R$2&amp;R$1&amp;"P"&amp;$A43)*RTD("tos.rtd",,"GAMMA","."&amp;R$2&amp;R$1&amp;"P"&amp;$A43))/1000000,0),IF($A$2="GEX",IFERROR(($A$4*$A$4*RTD("tos.rtd",,"OPEN_INT","."&amp;R$2&amp;R$1&amp;"C"&amp;$A43)*RTD("tos.rtd",,"GAMMA","."&amp;R$2&amp;R$1&amp;"C"&amp;$A43)-$A$4*$A$4*RTD("tos.rtd",,"OPEN_INT","."&amp;R$2&amp;R$1&amp;"P"&amp;$A43)*RTD("tos.rtd",,"GAMMA","."&amp;R$2&amp;R$1&amp;"P"&amp;$A43))/1000000,0),IF($A$2="SKEW",IFERROR(VALUE(IF(RTD("tos.rtd",,"IMPL_VOL","."&amp;R$2&amp;R$1&amp;"P"&amp;$A43)="N/A",0,RTD("tos.rtd",,"IMPL_VOL","."&amp;R$2&amp;R$1&amp;"P"&amp;$A43))),0)-IFERROR(VALUE(IF(RTD("tos.rtd",,"IMPL_VOL","."&amp;R$2&amp;R$1&amp;"C"&amp;$A43)="N/A",0,RTD("tos.rtd",,"IMPL_VOL","."&amp;R$2&amp;R$1&amp;"C"&amp;$A43))),0),IF($A$2="MAXPAIN",IF($A$4&gt;$A43,($A$4-$A43)*IF(RTD("tos.rtd",,"OPEN_INT","."&amp;R$2&amp;R$1&amp;"C"&amp;$A43)="N/A",0,RTD("tos.rtd",,"OPEN_INT","."&amp;R$2&amp;R$1&amp;"C"&amp;$A43)),0)+IF($A$4&lt;$A43,($A43-$A$4)*IF(RTD("tos.rtd",,"OPEN_INT","."&amp;R$2&amp;R$1&amp;"P"&amp;$A43)="N/A",0,RTD("tos.rtd",,"OPEN_INT","."&amp;R$2&amp;R$1&amp;"P"&amp;$A43)),0),IF(RTD("tos.rtd",,$A$2,"."&amp;R$2&amp;R$1&amp;"C"&amp;$A43)="N/A",0,RTD("tos.rtd",,$A$2,"."&amp;R$2&amp;R$1&amp;"C"&amp;$A43))-IF(RTD("tos.rtd",,$A$2,"."&amp;R$2&amp;R$1&amp;"P"&amp;$A43)="N/A",0,RTD("tos.rtd",,$A$2,"."&amp;R$2&amp;R$1&amp;"P"&amp;$A43)))))))))</f>
        <v>0</v>
      </c>
      <c r="S43" s="12">
        <f>IF($A$2="PREMIUM_OI",IFERROR((100*RTD("tos.rtd",,"OPEN_INT","."&amp;S$2&amp;S$1&amp;"C"&amp;$A43)*RTD("tos.rtd",,"LAST","."&amp;S$2&amp;S$1&amp;"C"&amp;$A43)-100*RTD("tos.rtd",,"OPEN_INT","."&amp;S$2&amp;S$1&amp;"P"&amp;$A43)*RTD("tos.rtd",,"LAST","."&amp;S$2&amp;S$1&amp;"P"&amp;$A43))/1000000,0),IF($A$2="PREMIUM",IFERROR((100*RTD("tos.rtd",,"VOLUME","."&amp;S$2&amp;S$1&amp;"C"&amp;$A43)*RTD("tos.rtd",,"LAST","."&amp;S$2&amp;S$1&amp;"C"&amp;$A43)-100*RTD("tos.rtd",,"VOLUME","."&amp;S$2&amp;S$1&amp;"P"&amp;$A43)*RTD("tos.rtd",,"LAST","."&amp;S$2&amp;S$1&amp;"P"&amp;$A43))/1000000,0),IF($A$2="DEX",IFERROR((100*RTD("tos.rtd",,"OPEN_INT","."&amp;S$2&amp;S$1&amp;"C"&amp;$A43)*RTD("tos.rtd",,"DELTA","."&amp;S$2&amp;S$1&amp;"C"&amp;$A43)-100*RTD("tos.rtd",,"OPEN_INT","."&amp;S$2&amp;S$1&amp;"P"&amp;$A43)*RTD("tos.rtd",,"DELTA","."&amp;S$2&amp;S$1&amp;"P"&amp;$A43))/1000,0),IF($A$2="VEX",IFERROR(($A$4*$A$4*RTD("tos.rtd",,"VOLUME","."&amp;S$2&amp;S$1&amp;"C"&amp;$A43)*RTD("tos.rtd",,"GAMMA","."&amp;S$2&amp;S$1&amp;"C"&amp;$A43)-$A$4*$A$4*RTD("tos.rtd",,"VOLUME","."&amp;S$2&amp;S$1&amp;"P"&amp;$A43)*RTD("tos.rtd",,"GAMMA","."&amp;S$2&amp;S$1&amp;"P"&amp;$A43))/1000000,0),IF($A$2="GEX",IFERROR(($A$4*$A$4*RTD("tos.rtd",,"OPEN_INT","."&amp;S$2&amp;S$1&amp;"C"&amp;$A43)*RTD("tos.rtd",,"GAMMA","."&amp;S$2&amp;S$1&amp;"C"&amp;$A43)-$A$4*$A$4*RTD("tos.rtd",,"OPEN_INT","."&amp;S$2&amp;S$1&amp;"P"&amp;$A43)*RTD("tos.rtd",,"GAMMA","."&amp;S$2&amp;S$1&amp;"P"&amp;$A43))/1000000,0),IF($A$2="SKEW",IFERROR(VALUE(IF(RTD("tos.rtd",,"IMPL_VOL","."&amp;S$2&amp;S$1&amp;"P"&amp;$A43)="N/A",0,RTD("tos.rtd",,"IMPL_VOL","."&amp;S$2&amp;S$1&amp;"P"&amp;$A43))),0)-IFERROR(VALUE(IF(RTD("tos.rtd",,"IMPL_VOL","."&amp;S$2&amp;S$1&amp;"C"&amp;$A43)="N/A",0,RTD("tos.rtd",,"IMPL_VOL","."&amp;S$2&amp;S$1&amp;"C"&amp;$A43))),0),IF($A$2="MAXPAIN",IF($A$4&gt;$A43,($A$4-$A43)*IF(RTD("tos.rtd",,"OPEN_INT","."&amp;S$2&amp;S$1&amp;"C"&amp;$A43)="N/A",0,RTD("tos.rtd",,"OPEN_INT","."&amp;S$2&amp;S$1&amp;"C"&amp;$A43)),0)+IF($A$4&lt;$A43,($A43-$A$4)*IF(RTD("tos.rtd",,"OPEN_INT","."&amp;S$2&amp;S$1&amp;"P"&amp;$A43)="N/A",0,RTD("tos.rtd",,"OPEN_INT","."&amp;S$2&amp;S$1&amp;"P"&amp;$A43)),0),IF(RTD("tos.rtd",,$A$2,"."&amp;S$2&amp;S$1&amp;"C"&amp;$A43)="N/A",0,RTD("tos.rtd",,$A$2,"."&amp;S$2&amp;S$1&amp;"C"&amp;$A43))-IF(RTD("tos.rtd",,$A$2,"."&amp;S$2&amp;S$1&amp;"P"&amp;$A43)="N/A",0,RTD("tos.rtd",,$A$2,"."&amp;S$2&amp;S$1&amp;"P"&amp;$A43)))))))))</f>
        <v>-14831</v>
      </c>
      <c r="T43" s="12">
        <f>IF($A$2="PREMIUM_OI",IFERROR((100*RTD("tos.rtd",,"OPEN_INT","."&amp;T$2&amp;T$1&amp;"C"&amp;$A43)*RTD("tos.rtd",,"LAST","."&amp;T$2&amp;T$1&amp;"C"&amp;$A43)-100*RTD("tos.rtd",,"OPEN_INT","."&amp;T$2&amp;T$1&amp;"P"&amp;$A43)*RTD("tos.rtd",,"LAST","."&amp;T$2&amp;T$1&amp;"P"&amp;$A43))/1000000,0),IF($A$2="PREMIUM",IFERROR((100*RTD("tos.rtd",,"VOLUME","."&amp;T$2&amp;T$1&amp;"C"&amp;$A43)*RTD("tos.rtd",,"LAST","."&amp;T$2&amp;T$1&amp;"C"&amp;$A43)-100*RTD("tos.rtd",,"VOLUME","."&amp;T$2&amp;T$1&amp;"P"&amp;$A43)*RTD("tos.rtd",,"LAST","."&amp;T$2&amp;T$1&amp;"P"&amp;$A43))/1000000,0),IF($A$2="DEX",IFERROR((100*RTD("tos.rtd",,"OPEN_INT","."&amp;T$2&amp;T$1&amp;"C"&amp;$A43)*RTD("tos.rtd",,"DELTA","."&amp;T$2&amp;T$1&amp;"C"&amp;$A43)-100*RTD("tos.rtd",,"OPEN_INT","."&amp;T$2&amp;T$1&amp;"P"&amp;$A43)*RTD("tos.rtd",,"DELTA","."&amp;T$2&amp;T$1&amp;"P"&amp;$A43))/1000,0),IF($A$2="VEX",IFERROR(($A$4*$A$4*RTD("tos.rtd",,"VOLUME","."&amp;T$2&amp;T$1&amp;"C"&amp;$A43)*RTD("tos.rtd",,"GAMMA","."&amp;T$2&amp;T$1&amp;"C"&amp;$A43)-$A$4*$A$4*RTD("tos.rtd",,"VOLUME","."&amp;T$2&amp;T$1&amp;"P"&amp;$A43)*RTD("tos.rtd",,"GAMMA","."&amp;T$2&amp;T$1&amp;"P"&amp;$A43))/1000000,0),IF($A$2="GEX",IFERROR(($A$4*$A$4*RTD("tos.rtd",,"OPEN_INT","."&amp;T$2&amp;T$1&amp;"C"&amp;$A43)*RTD("tos.rtd",,"GAMMA","."&amp;T$2&amp;T$1&amp;"C"&amp;$A43)-$A$4*$A$4*RTD("tos.rtd",,"OPEN_INT","."&amp;T$2&amp;T$1&amp;"P"&amp;$A43)*RTD("tos.rtd",,"GAMMA","."&amp;T$2&amp;T$1&amp;"P"&amp;$A43))/1000000,0),IF($A$2="SKEW",IFERROR(VALUE(IF(RTD("tos.rtd",,"IMPL_VOL","."&amp;T$2&amp;T$1&amp;"P"&amp;$A43)="N/A",0,RTD("tos.rtd",,"IMPL_VOL","."&amp;T$2&amp;T$1&amp;"P"&amp;$A43))),0)-IFERROR(VALUE(IF(RTD("tos.rtd",,"IMPL_VOL","."&amp;T$2&amp;T$1&amp;"C"&amp;$A43)="N/A",0,RTD("tos.rtd",,"IMPL_VOL","."&amp;T$2&amp;T$1&amp;"C"&amp;$A43))),0),IF($A$2="MAXPAIN",IF($A$4&gt;$A43,($A$4-$A43)*IF(RTD("tos.rtd",,"OPEN_INT","."&amp;T$2&amp;T$1&amp;"C"&amp;$A43)="N/A",0,RTD("tos.rtd",,"OPEN_INT","."&amp;T$2&amp;T$1&amp;"C"&amp;$A43)),0)+IF($A$4&lt;$A43,($A43-$A$4)*IF(RTD("tos.rtd",,"OPEN_INT","."&amp;T$2&amp;T$1&amp;"P"&amp;$A43)="N/A",0,RTD("tos.rtd",,"OPEN_INT","."&amp;T$2&amp;T$1&amp;"P"&amp;$A43)),0),IF(RTD("tos.rtd",,$A$2,"."&amp;T$2&amp;T$1&amp;"C"&amp;$A43)="N/A",0,RTD("tos.rtd",,$A$2,"."&amp;T$2&amp;T$1&amp;"C"&amp;$A43))-IF(RTD("tos.rtd",,$A$2,"."&amp;T$2&amp;T$1&amp;"P"&amp;$A43)="N/A",0,RTD("tos.rtd",,$A$2,"."&amp;T$2&amp;T$1&amp;"P"&amp;$A43)))))))))</f>
        <v>0</v>
      </c>
      <c r="U43" s="12">
        <f>IF($A$2="PREMIUM_OI",IFERROR((100*RTD("tos.rtd",,"OPEN_INT","."&amp;U$2&amp;U$1&amp;"C"&amp;$A43)*RTD("tos.rtd",,"LAST","."&amp;U$2&amp;U$1&amp;"C"&amp;$A43)-100*RTD("tos.rtd",,"OPEN_INT","."&amp;U$2&amp;U$1&amp;"P"&amp;$A43)*RTD("tos.rtd",,"LAST","."&amp;U$2&amp;U$1&amp;"P"&amp;$A43))/1000000,0),IF($A$2="PREMIUM",IFERROR((100*RTD("tos.rtd",,"VOLUME","."&amp;U$2&amp;U$1&amp;"C"&amp;$A43)*RTD("tos.rtd",,"LAST","."&amp;U$2&amp;U$1&amp;"C"&amp;$A43)-100*RTD("tos.rtd",,"VOLUME","."&amp;U$2&amp;U$1&amp;"P"&amp;$A43)*RTD("tos.rtd",,"LAST","."&amp;U$2&amp;U$1&amp;"P"&amp;$A43))/1000000,0),IF($A$2="DEX",IFERROR((100*RTD("tos.rtd",,"OPEN_INT","."&amp;U$2&amp;U$1&amp;"C"&amp;$A43)*RTD("tos.rtd",,"DELTA","."&amp;U$2&amp;U$1&amp;"C"&amp;$A43)-100*RTD("tos.rtd",,"OPEN_INT","."&amp;U$2&amp;U$1&amp;"P"&amp;$A43)*RTD("tos.rtd",,"DELTA","."&amp;U$2&amp;U$1&amp;"P"&amp;$A43))/1000,0),IF($A$2="VEX",IFERROR(($A$4*$A$4*RTD("tos.rtd",,"VOLUME","."&amp;U$2&amp;U$1&amp;"C"&amp;$A43)*RTD("tos.rtd",,"GAMMA","."&amp;U$2&amp;U$1&amp;"C"&amp;$A43)-$A$4*$A$4*RTD("tos.rtd",,"VOLUME","."&amp;U$2&amp;U$1&amp;"P"&amp;$A43)*RTD("tos.rtd",,"GAMMA","."&amp;U$2&amp;U$1&amp;"P"&amp;$A43))/1000000,0),IF($A$2="GEX",IFERROR(($A$4*$A$4*RTD("tos.rtd",,"OPEN_INT","."&amp;U$2&amp;U$1&amp;"C"&amp;$A43)*RTD("tos.rtd",,"GAMMA","."&amp;U$2&amp;U$1&amp;"C"&amp;$A43)-$A$4*$A$4*RTD("tos.rtd",,"OPEN_INT","."&amp;U$2&amp;U$1&amp;"P"&amp;$A43)*RTD("tos.rtd",,"GAMMA","."&amp;U$2&amp;U$1&amp;"P"&amp;$A43))/1000000,0),IF($A$2="SKEW",IFERROR(VALUE(IF(RTD("tos.rtd",,"IMPL_VOL","."&amp;U$2&amp;U$1&amp;"P"&amp;$A43)="N/A",0,RTD("tos.rtd",,"IMPL_VOL","."&amp;U$2&amp;U$1&amp;"P"&amp;$A43))),0)-IFERROR(VALUE(IF(RTD("tos.rtd",,"IMPL_VOL","."&amp;U$2&amp;U$1&amp;"C"&amp;$A43)="N/A",0,RTD("tos.rtd",,"IMPL_VOL","."&amp;U$2&amp;U$1&amp;"C"&amp;$A43))),0),IF($A$2="MAXPAIN",IF($A$4&gt;$A43,($A$4-$A43)*IF(RTD("tos.rtd",,"OPEN_INT","."&amp;U$2&amp;U$1&amp;"C"&amp;$A43)="N/A",0,RTD("tos.rtd",,"OPEN_INT","."&amp;U$2&amp;U$1&amp;"C"&amp;$A43)),0)+IF($A$4&lt;$A43,($A43-$A$4)*IF(RTD("tos.rtd",,"OPEN_INT","."&amp;U$2&amp;U$1&amp;"P"&amp;$A43)="N/A",0,RTD("tos.rtd",,"OPEN_INT","."&amp;U$2&amp;U$1&amp;"P"&amp;$A43)),0),IF(RTD("tos.rtd",,$A$2,"."&amp;U$2&amp;U$1&amp;"C"&amp;$A43)="N/A",0,RTD("tos.rtd",,$A$2,"."&amp;U$2&amp;U$1&amp;"C"&amp;$A43))-IF(RTD("tos.rtd",,$A$2,"."&amp;U$2&amp;U$1&amp;"P"&amp;$A43)="N/A",0,RTD("tos.rtd",,$A$2,"."&amp;U$2&amp;U$1&amp;"P"&amp;$A43)))))))))</f>
        <v>0</v>
      </c>
      <c r="V43" s="12">
        <f>IF($A$2="PREMIUM_OI",IFERROR((100*RTD("tos.rtd",,"OPEN_INT","."&amp;V$2&amp;V$1&amp;"C"&amp;$A43)*RTD("tos.rtd",,"LAST","."&amp;V$2&amp;V$1&amp;"C"&amp;$A43)-100*RTD("tos.rtd",,"OPEN_INT","."&amp;V$2&amp;V$1&amp;"P"&amp;$A43)*RTD("tos.rtd",,"LAST","."&amp;V$2&amp;V$1&amp;"P"&amp;$A43))/1000000,0),IF($A$2="PREMIUM",IFERROR((100*RTD("tos.rtd",,"VOLUME","."&amp;V$2&amp;V$1&amp;"C"&amp;$A43)*RTD("tos.rtd",,"LAST","."&amp;V$2&amp;V$1&amp;"C"&amp;$A43)-100*RTD("tos.rtd",,"VOLUME","."&amp;V$2&amp;V$1&amp;"P"&amp;$A43)*RTD("tos.rtd",,"LAST","."&amp;V$2&amp;V$1&amp;"P"&amp;$A43))/1000000,0),IF($A$2="DEX",IFERROR((100*RTD("tos.rtd",,"OPEN_INT","."&amp;V$2&amp;V$1&amp;"C"&amp;$A43)*RTD("tos.rtd",,"DELTA","."&amp;V$2&amp;V$1&amp;"C"&amp;$A43)-100*RTD("tos.rtd",,"OPEN_INT","."&amp;V$2&amp;V$1&amp;"P"&amp;$A43)*RTD("tos.rtd",,"DELTA","."&amp;V$2&amp;V$1&amp;"P"&amp;$A43))/1000,0),IF($A$2="VEX",IFERROR(($A$4*$A$4*RTD("tos.rtd",,"VOLUME","."&amp;V$2&amp;V$1&amp;"C"&amp;$A43)*RTD("tos.rtd",,"GAMMA","."&amp;V$2&amp;V$1&amp;"C"&amp;$A43)-$A$4*$A$4*RTD("tos.rtd",,"VOLUME","."&amp;V$2&amp;V$1&amp;"P"&amp;$A43)*RTD("tos.rtd",,"GAMMA","."&amp;V$2&amp;V$1&amp;"P"&amp;$A43))/1000000,0),IF($A$2="GEX",IFERROR(($A$4*$A$4*RTD("tos.rtd",,"OPEN_INT","."&amp;V$2&amp;V$1&amp;"C"&amp;$A43)*RTD("tos.rtd",,"GAMMA","."&amp;V$2&amp;V$1&amp;"C"&amp;$A43)-$A$4*$A$4*RTD("tos.rtd",,"OPEN_INT","."&amp;V$2&amp;V$1&amp;"P"&amp;$A43)*RTD("tos.rtd",,"GAMMA","."&amp;V$2&amp;V$1&amp;"P"&amp;$A43))/1000000,0),IF($A$2="SKEW",IFERROR(VALUE(IF(RTD("tos.rtd",,"IMPL_VOL","."&amp;V$2&amp;V$1&amp;"P"&amp;$A43)="N/A",0,RTD("tos.rtd",,"IMPL_VOL","."&amp;V$2&amp;V$1&amp;"P"&amp;$A43))),0)-IFERROR(VALUE(IF(RTD("tos.rtd",,"IMPL_VOL","."&amp;V$2&amp;V$1&amp;"C"&amp;$A43)="N/A",0,RTD("tos.rtd",,"IMPL_VOL","."&amp;V$2&amp;V$1&amp;"C"&amp;$A43))),0),IF($A$2="MAXPAIN",IF($A$4&gt;$A43,($A$4-$A43)*IF(RTD("tos.rtd",,"OPEN_INT","."&amp;V$2&amp;V$1&amp;"C"&amp;$A43)="N/A",0,RTD("tos.rtd",,"OPEN_INT","."&amp;V$2&amp;V$1&amp;"C"&amp;$A43)),0)+IF($A$4&lt;$A43,($A43-$A$4)*IF(RTD("tos.rtd",,"OPEN_INT","."&amp;V$2&amp;V$1&amp;"P"&amp;$A43)="N/A",0,RTD("tos.rtd",,"OPEN_INT","."&amp;V$2&amp;V$1&amp;"P"&amp;$A43)),0),IF(RTD("tos.rtd",,$A$2,"."&amp;V$2&amp;V$1&amp;"C"&amp;$A43)="N/A",0,RTD("tos.rtd",,$A$2,"."&amp;V$2&amp;V$1&amp;"C"&amp;$A43))-IF(RTD("tos.rtd",,$A$2,"."&amp;V$2&amp;V$1&amp;"P"&amp;$A43)="N/A",0,RTD("tos.rtd",,$A$2,"."&amp;V$2&amp;V$1&amp;"P"&amp;$A43)))))))))</f>
        <v>0</v>
      </c>
      <c r="W43" s="12">
        <f>IF($A$2="PREMIUM_OI",IFERROR((100*RTD("tos.rtd",,"OPEN_INT","."&amp;W$2&amp;W$1&amp;"C"&amp;$A43)*RTD("tos.rtd",,"LAST","."&amp;W$2&amp;W$1&amp;"C"&amp;$A43)-100*RTD("tos.rtd",,"OPEN_INT","."&amp;W$2&amp;W$1&amp;"P"&amp;$A43)*RTD("tos.rtd",,"LAST","."&amp;W$2&amp;W$1&amp;"P"&amp;$A43))/1000000,0),IF($A$2="PREMIUM",IFERROR((100*RTD("tos.rtd",,"VOLUME","."&amp;W$2&amp;W$1&amp;"C"&amp;$A43)*RTD("tos.rtd",,"LAST","."&amp;W$2&amp;W$1&amp;"C"&amp;$A43)-100*RTD("tos.rtd",,"VOLUME","."&amp;W$2&amp;W$1&amp;"P"&amp;$A43)*RTD("tos.rtd",,"LAST","."&amp;W$2&amp;W$1&amp;"P"&amp;$A43))/1000000,0),IF($A$2="DEX",IFERROR((100*RTD("tos.rtd",,"OPEN_INT","."&amp;W$2&amp;W$1&amp;"C"&amp;$A43)*RTD("tos.rtd",,"DELTA","."&amp;W$2&amp;W$1&amp;"C"&amp;$A43)-100*RTD("tos.rtd",,"OPEN_INT","."&amp;W$2&amp;W$1&amp;"P"&amp;$A43)*RTD("tos.rtd",,"DELTA","."&amp;W$2&amp;W$1&amp;"P"&amp;$A43))/1000,0),IF($A$2="VEX",IFERROR(($A$4*$A$4*RTD("tos.rtd",,"VOLUME","."&amp;W$2&amp;W$1&amp;"C"&amp;$A43)*RTD("tos.rtd",,"GAMMA","."&amp;W$2&amp;W$1&amp;"C"&amp;$A43)-$A$4*$A$4*RTD("tos.rtd",,"VOLUME","."&amp;W$2&amp;W$1&amp;"P"&amp;$A43)*RTD("tos.rtd",,"GAMMA","."&amp;W$2&amp;W$1&amp;"P"&amp;$A43))/1000000,0),IF($A$2="GEX",IFERROR(($A$4*$A$4*RTD("tos.rtd",,"OPEN_INT","."&amp;W$2&amp;W$1&amp;"C"&amp;$A43)*RTD("tos.rtd",,"GAMMA","."&amp;W$2&amp;W$1&amp;"C"&amp;$A43)-$A$4*$A$4*RTD("tos.rtd",,"OPEN_INT","."&amp;W$2&amp;W$1&amp;"P"&amp;$A43)*RTD("tos.rtd",,"GAMMA","."&amp;W$2&amp;W$1&amp;"P"&amp;$A43))/1000000,0),IF($A$2="SKEW",IFERROR(VALUE(IF(RTD("tos.rtd",,"IMPL_VOL","."&amp;W$2&amp;W$1&amp;"P"&amp;$A43)="N/A",0,RTD("tos.rtd",,"IMPL_VOL","."&amp;W$2&amp;W$1&amp;"P"&amp;$A43))),0)-IFERROR(VALUE(IF(RTD("tos.rtd",,"IMPL_VOL","."&amp;W$2&amp;W$1&amp;"C"&amp;$A43)="N/A",0,RTD("tos.rtd",,"IMPL_VOL","."&amp;W$2&amp;W$1&amp;"C"&amp;$A43))),0),IF($A$2="MAXPAIN",IF($A$4&gt;$A43,($A$4-$A43)*IF(RTD("tos.rtd",,"OPEN_INT","."&amp;W$2&amp;W$1&amp;"C"&amp;$A43)="N/A",0,RTD("tos.rtd",,"OPEN_INT","."&amp;W$2&amp;W$1&amp;"C"&amp;$A43)),0)+IF($A$4&lt;$A43,($A43-$A$4)*IF(RTD("tos.rtd",,"OPEN_INT","."&amp;W$2&amp;W$1&amp;"P"&amp;$A43)="N/A",0,RTD("tos.rtd",,"OPEN_INT","."&amp;W$2&amp;W$1&amp;"P"&amp;$A43)),0),IF(RTD("tos.rtd",,$A$2,"."&amp;W$2&amp;W$1&amp;"C"&amp;$A43)="N/A",0,RTD("tos.rtd",,$A$2,"."&amp;W$2&amp;W$1&amp;"C"&amp;$A43))-IF(RTD("tos.rtd",,$A$2,"."&amp;W$2&amp;W$1&amp;"P"&amp;$A43)="N/A",0,RTD("tos.rtd",,$A$2,"."&amp;W$2&amp;W$1&amp;"P"&amp;$A43)))))))))</f>
        <v>-6546</v>
      </c>
      <c r="X43" s="12">
        <f t="shared" ca="1" si="7"/>
        <v>-21377</v>
      </c>
      <c r="Y43" s="27">
        <f t="shared" ca="1" si="8"/>
        <v>-21377</v>
      </c>
      <c r="AA43" s="35">
        <f>+IF($AJ$1,AJ43,TASTYOHLC!A43)</f>
        <v>0</v>
      </c>
      <c r="AB43" s="8">
        <f>+IF($AJ$1,AK43,TASTYOHLC!B43)</f>
        <v>0</v>
      </c>
      <c r="AC43" s="8">
        <f>+IF($AJ$1,AL43,TASTYOHLC!C43)</f>
        <v>0</v>
      </c>
      <c r="AD43" s="8">
        <f>+IF($AJ$1,AM43,TASTYOHLC!D43)</f>
        <v>0</v>
      </c>
      <c r="AE43" s="8">
        <f>+IF($AJ$1,AN43,TASTYOHLC!E43)</f>
        <v>0</v>
      </c>
      <c r="AF43" s="8"/>
      <c r="AJ43" s="37"/>
    </row>
    <row r="44" spans="1:36" s="19" customFormat="1" ht="11.1" customHeight="1" thickBot="1" x14ac:dyDescent="0.3">
      <c r="A44" s="23">
        <f t="shared" si="13"/>
        <v>0</v>
      </c>
      <c r="B44" s="14">
        <f>IF($A$2="PREMIUM_OI",IFERROR((100*RTD("tos.rtd",,"OPEN_INT","."&amp;B$2&amp;B$1&amp;"C"&amp;$A44)*RTD("tos.rtd",,"LAST","."&amp;B$2&amp;B$1&amp;"C"&amp;$A44)-100*RTD("tos.rtd",,"OPEN_INT","."&amp;B$2&amp;B$1&amp;"P"&amp;$A44)*RTD("tos.rtd",,"LAST","."&amp;B$2&amp;B$1&amp;"P"&amp;$A44))/1000000,0),IF($A$2="PREMIUM",IFERROR((100*RTD("tos.rtd",,"VOLUME","."&amp;B$2&amp;B$1&amp;"C"&amp;$A44)*RTD("tos.rtd",,"LAST","."&amp;B$2&amp;B$1&amp;"C"&amp;$A44)-100*RTD("tos.rtd",,"VOLUME","."&amp;B$2&amp;B$1&amp;"P"&amp;$A44)*RTD("tos.rtd",,"LAST","."&amp;B$2&amp;B$1&amp;"P"&amp;$A44))/1000000,0),IF($A$2="DEX",IFERROR((100*RTD("tos.rtd",,"OPEN_INT","."&amp;B$2&amp;B$1&amp;"C"&amp;$A44)*RTD("tos.rtd",,"DELTA","."&amp;B$2&amp;B$1&amp;"C"&amp;$A44)-100*RTD("tos.rtd",,"OPEN_INT","."&amp;B$2&amp;B$1&amp;"P"&amp;$A44)*RTD("tos.rtd",,"DELTA","."&amp;B$2&amp;B$1&amp;"P"&amp;$A44))/1000,0),IF($A$2="VEX",IFERROR(($A$4*$A$4*RTD("tos.rtd",,"VOLUME","."&amp;B$2&amp;B$1&amp;"C"&amp;$A44)*RTD("tos.rtd",,"GAMMA","."&amp;B$2&amp;B$1&amp;"C"&amp;$A44)-$A$4*$A$4*RTD("tos.rtd",,"VOLUME","."&amp;B$2&amp;B$1&amp;"P"&amp;$A44)*RTD("tos.rtd",,"GAMMA","."&amp;B$2&amp;B$1&amp;"P"&amp;$A44))/1000000,0),IF($A$2="GEX",IFERROR(($A$4*$A$4*RTD("tos.rtd",,"OPEN_INT","."&amp;B$2&amp;B$1&amp;"C"&amp;$A44)*RTD("tos.rtd",,"GAMMA","."&amp;B$2&amp;B$1&amp;"C"&amp;$A44)-$A$4*$A$4*RTD("tos.rtd",,"OPEN_INT","."&amp;B$2&amp;B$1&amp;"P"&amp;$A44)*RTD("tos.rtd",,"GAMMA","."&amp;B$2&amp;B$1&amp;"P"&amp;$A44))/1000000,0),IF($A$2="SKEW",IFERROR(VALUE(IF(RTD("tos.rtd",,"IMPL_VOL","."&amp;B$2&amp;B$1&amp;"P"&amp;$A44)="N/A",0,RTD("tos.rtd",,"IMPL_VOL","."&amp;B$2&amp;B$1&amp;"P"&amp;$A44))),0)-IFERROR(VALUE(IF(RTD("tos.rtd",,"IMPL_VOL","."&amp;B$2&amp;B$1&amp;"C"&amp;$A44)="N/A",0,RTD("tos.rtd",,"IMPL_VOL","."&amp;B$2&amp;B$1&amp;"C"&amp;$A44))),0),IF($A$2="MAXPAIN",IF($A$4&gt;$A44,($A$4-$A44)*IF(RTD("tos.rtd",,"OPEN_INT","."&amp;B$2&amp;B$1&amp;"C"&amp;$A44)="N/A",0,RTD("tos.rtd",,"OPEN_INT","."&amp;B$2&amp;B$1&amp;"C"&amp;$A44)),0)+IF($A$4&lt;$A44,($A44-$A$4)*IF(RTD("tos.rtd",,"OPEN_INT","."&amp;B$2&amp;B$1&amp;"P"&amp;$A44)="N/A",0,RTD("tos.rtd",,"OPEN_INT","."&amp;B$2&amp;B$1&amp;"P"&amp;$A44)),0),IF(RTD("tos.rtd",,$A$2,"."&amp;B$2&amp;B$1&amp;"C"&amp;$A44)="N/A",0,RTD("tos.rtd",,$A$2,"."&amp;B$2&amp;B$1&amp;"C"&amp;$A44))-IF(RTD("tos.rtd",,$A$2,"."&amp;B$2&amp;B$1&amp;"P"&amp;$A44)="N/A",0,RTD("tos.rtd",,$A$2,"."&amp;B$2&amp;B$1&amp;"P"&amp;$A44)))))))))</f>
        <v>0</v>
      </c>
      <c r="C44" s="12">
        <f>IF($A$2="PREMIUM_OI",IFERROR((100*RTD("tos.rtd",,"OPEN_INT","."&amp;C$2&amp;C$1&amp;"C"&amp;$A44)*RTD("tos.rtd",,"LAST","."&amp;C$2&amp;C$1&amp;"C"&amp;$A44)-100*RTD("tos.rtd",,"OPEN_INT","."&amp;C$2&amp;C$1&amp;"P"&amp;$A44)*RTD("tos.rtd",,"LAST","."&amp;C$2&amp;C$1&amp;"P"&amp;$A44))/1000000,0),IF($A$2="PREMIUM",IFERROR((100*RTD("tos.rtd",,"VOLUME","."&amp;C$2&amp;C$1&amp;"C"&amp;$A44)*RTD("tos.rtd",,"LAST","."&amp;C$2&amp;C$1&amp;"C"&amp;$A44)-100*RTD("tos.rtd",,"VOLUME","."&amp;C$2&amp;C$1&amp;"P"&amp;$A44)*RTD("tos.rtd",,"LAST","."&amp;C$2&amp;C$1&amp;"P"&amp;$A44))/1000000,0),IF($A$2="DEX",IFERROR((100*RTD("tos.rtd",,"OPEN_INT","."&amp;C$2&amp;C$1&amp;"C"&amp;$A44)*RTD("tos.rtd",,"DELTA","."&amp;C$2&amp;C$1&amp;"C"&amp;$A44)-100*RTD("tos.rtd",,"OPEN_INT","."&amp;C$2&amp;C$1&amp;"P"&amp;$A44)*RTD("tos.rtd",,"DELTA","."&amp;C$2&amp;C$1&amp;"P"&amp;$A44))/1000,0),IF($A$2="VEX",IFERROR(($A$4*$A$4*RTD("tos.rtd",,"VOLUME","."&amp;C$2&amp;C$1&amp;"C"&amp;$A44)*RTD("tos.rtd",,"GAMMA","."&amp;C$2&amp;C$1&amp;"C"&amp;$A44)-$A$4*$A$4*RTD("tos.rtd",,"VOLUME","."&amp;C$2&amp;C$1&amp;"P"&amp;$A44)*RTD("tos.rtd",,"GAMMA","."&amp;C$2&amp;C$1&amp;"P"&amp;$A44))/1000000,0),IF($A$2="GEX",IFERROR(($A$4*$A$4*RTD("tos.rtd",,"OPEN_INT","."&amp;C$2&amp;C$1&amp;"C"&amp;$A44)*RTD("tos.rtd",,"GAMMA","."&amp;C$2&amp;C$1&amp;"C"&amp;$A44)-$A$4*$A$4*RTD("tos.rtd",,"OPEN_INT","."&amp;C$2&amp;C$1&amp;"P"&amp;$A44)*RTD("tos.rtd",,"GAMMA","."&amp;C$2&amp;C$1&amp;"P"&amp;$A44))/1000000,0),IF($A$2="SKEW",IFERROR(VALUE(IF(RTD("tos.rtd",,"IMPL_VOL","."&amp;C$2&amp;C$1&amp;"P"&amp;$A44)="N/A",0,RTD("tos.rtd",,"IMPL_VOL","."&amp;C$2&amp;C$1&amp;"P"&amp;$A44))),0)-IFERROR(VALUE(IF(RTD("tos.rtd",,"IMPL_VOL","."&amp;C$2&amp;C$1&amp;"C"&amp;$A44)="N/A",0,RTD("tos.rtd",,"IMPL_VOL","."&amp;C$2&amp;C$1&amp;"C"&amp;$A44))),0),IF($A$2="MAXPAIN",IF($A$4&gt;$A44,($A$4-$A44)*IF(RTD("tos.rtd",,"OPEN_INT","."&amp;C$2&amp;C$1&amp;"C"&amp;$A44)="N/A",0,RTD("tos.rtd",,"OPEN_INT","."&amp;C$2&amp;C$1&amp;"C"&amp;$A44)),0)+IF($A$4&lt;$A44,($A44-$A$4)*IF(RTD("tos.rtd",,"OPEN_INT","."&amp;C$2&amp;C$1&amp;"P"&amp;$A44)="N/A",0,RTD("tos.rtd",,"OPEN_INT","."&amp;C$2&amp;C$1&amp;"P"&amp;$A44)),0),IF(RTD("tos.rtd",,$A$2,"."&amp;C$2&amp;C$1&amp;"C"&amp;$A44)="N/A",0,RTD("tos.rtd",,$A$2,"."&amp;C$2&amp;C$1&amp;"C"&amp;$A44))-IF(RTD("tos.rtd",,$A$2,"."&amp;C$2&amp;C$1&amp;"P"&amp;$A44)="N/A",0,RTD("tos.rtd",,$A$2,"."&amp;C$2&amp;C$1&amp;"P"&amp;$A44)))))))))</f>
        <v>0</v>
      </c>
      <c r="D44" s="12">
        <f>IF($A$2="PREMIUM_OI",IFERROR((100*RTD("tos.rtd",,"OPEN_INT","."&amp;D$2&amp;D$1&amp;"C"&amp;$A44)*RTD("tos.rtd",,"LAST","."&amp;D$2&amp;D$1&amp;"C"&amp;$A44)-100*RTD("tos.rtd",,"OPEN_INT","."&amp;D$2&amp;D$1&amp;"P"&amp;$A44)*RTD("tos.rtd",,"LAST","."&amp;D$2&amp;D$1&amp;"P"&amp;$A44))/1000000,0),IF($A$2="PREMIUM",IFERROR((100*RTD("tos.rtd",,"VOLUME","."&amp;D$2&amp;D$1&amp;"C"&amp;$A44)*RTD("tos.rtd",,"LAST","."&amp;D$2&amp;D$1&amp;"C"&amp;$A44)-100*RTD("tos.rtd",,"VOLUME","."&amp;D$2&amp;D$1&amp;"P"&amp;$A44)*RTD("tos.rtd",,"LAST","."&amp;D$2&amp;D$1&amp;"P"&amp;$A44))/1000000,0),IF($A$2="DEX",IFERROR((100*RTD("tos.rtd",,"OPEN_INT","."&amp;D$2&amp;D$1&amp;"C"&amp;$A44)*RTD("tos.rtd",,"DELTA","."&amp;D$2&amp;D$1&amp;"C"&amp;$A44)-100*RTD("tos.rtd",,"OPEN_INT","."&amp;D$2&amp;D$1&amp;"P"&amp;$A44)*RTD("tos.rtd",,"DELTA","."&amp;D$2&amp;D$1&amp;"P"&amp;$A44))/1000,0),IF($A$2="VEX",IFERROR(($A$4*$A$4*RTD("tos.rtd",,"VOLUME","."&amp;D$2&amp;D$1&amp;"C"&amp;$A44)*RTD("tos.rtd",,"GAMMA","."&amp;D$2&amp;D$1&amp;"C"&amp;$A44)-$A$4*$A$4*RTD("tos.rtd",,"VOLUME","."&amp;D$2&amp;D$1&amp;"P"&amp;$A44)*RTD("tos.rtd",,"GAMMA","."&amp;D$2&amp;D$1&amp;"P"&amp;$A44))/1000000,0),IF($A$2="GEX",IFERROR(($A$4*$A$4*RTD("tos.rtd",,"OPEN_INT","."&amp;D$2&amp;D$1&amp;"C"&amp;$A44)*RTD("tos.rtd",,"GAMMA","."&amp;D$2&amp;D$1&amp;"C"&amp;$A44)-$A$4*$A$4*RTD("tos.rtd",,"OPEN_INT","."&amp;D$2&amp;D$1&amp;"P"&amp;$A44)*RTD("tos.rtd",,"GAMMA","."&amp;D$2&amp;D$1&amp;"P"&amp;$A44))/1000000,0),IF($A$2="SKEW",IFERROR(VALUE(IF(RTD("tos.rtd",,"IMPL_VOL","."&amp;D$2&amp;D$1&amp;"P"&amp;$A44)="N/A",0,RTD("tos.rtd",,"IMPL_VOL","."&amp;D$2&amp;D$1&amp;"P"&amp;$A44))),0)-IFERROR(VALUE(IF(RTD("tos.rtd",,"IMPL_VOL","."&amp;D$2&amp;D$1&amp;"C"&amp;$A44)="N/A",0,RTD("tos.rtd",,"IMPL_VOL","."&amp;D$2&amp;D$1&amp;"C"&amp;$A44))),0),IF($A$2="MAXPAIN",IF($A$4&gt;$A44,($A$4-$A44)*IF(RTD("tos.rtd",,"OPEN_INT","."&amp;D$2&amp;D$1&amp;"C"&amp;$A44)="N/A",0,RTD("tos.rtd",,"OPEN_INT","."&amp;D$2&amp;D$1&amp;"C"&amp;$A44)),0)+IF($A$4&lt;$A44,($A44-$A$4)*IF(RTD("tos.rtd",,"OPEN_INT","."&amp;D$2&amp;D$1&amp;"P"&amp;$A44)="N/A",0,RTD("tos.rtd",,"OPEN_INT","."&amp;D$2&amp;D$1&amp;"P"&amp;$A44)),0),IF(RTD("tos.rtd",,$A$2,"."&amp;D$2&amp;D$1&amp;"C"&amp;$A44)="N/A",0,RTD("tos.rtd",,$A$2,"."&amp;D$2&amp;D$1&amp;"C"&amp;$A44))-IF(RTD("tos.rtd",,$A$2,"."&amp;D$2&amp;D$1&amp;"P"&amp;$A44)="N/A",0,RTD("tos.rtd",,$A$2,"."&amp;D$2&amp;D$1&amp;"P"&amp;$A44)))))))))</f>
        <v>0</v>
      </c>
      <c r="E44" s="12">
        <f>IF($A$2="PREMIUM_OI",IFERROR((100*RTD("tos.rtd",,"OPEN_INT","."&amp;E$2&amp;E$1&amp;"C"&amp;$A44)*RTD("tos.rtd",,"LAST","."&amp;E$2&amp;E$1&amp;"C"&amp;$A44)-100*RTD("tos.rtd",,"OPEN_INT","."&amp;E$2&amp;E$1&amp;"P"&amp;$A44)*RTD("tos.rtd",,"LAST","."&amp;E$2&amp;E$1&amp;"P"&amp;$A44))/1000000,0),IF($A$2="PREMIUM",IFERROR((100*RTD("tos.rtd",,"VOLUME","."&amp;E$2&amp;E$1&amp;"C"&amp;$A44)*RTD("tos.rtd",,"LAST","."&amp;E$2&amp;E$1&amp;"C"&amp;$A44)-100*RTD("tos.rtd",,"VOLUME","."&amp;E$2&amp;E$1&amp;"P"&amp;$A44)*RTD("tos.rtd",,"LAST","."&amp;E$2&amp;E$1&amp;"P"&amp;$A44))/1000000,0),IF($A$2="DEX",IFERROR((100*RTD("tos.rtd",,"OPEN_INT","."&amp;E$2&amp;E$1&amp;"C"&amp;$A44)*RTD("tos.rtd",,"DELTA","."&amp;E$2&amp;E$1&amp;"C"&amp;$A44)-100*RTD("tos.rtd",,"OPEN_INT","."&amp;E$2&amp;E$1&amp;"P"&amp;$A44)*RTD("tos.rtd",,"DELTA","."&amp;E$2&amp;E$1&amp;"P"&amp;$A44))/1000,0),IF($A$2="VEX",IFERROR(($A$4*$A$4*RTD("tos.rtd",,"VOLUME","."&amp;E$2&amp;E$1&amp;"C"&amp;$A44)*RTD("tos.rtd",,"GAMMA","."&amp;E$2&amp;E$1&amp;"C"&amp;$A44)-$A$4*$A$4*RTD("tos.rtd",,"VOLUME","."&amp;E$2&amp;E$1&amp;"P"&amp;$A44)*RTD("tos.rtd",,"GAMMA","."&amp;E$2&amp;E$1&amp;"P"&amp;$A44))/1000000,0),IF($A$2="GEX",IFERROR(($A$4*$A$4*RTD("tos.rtd",,"OPEN_INT","."&amp;E$2&amp;E$1&amp;"C"&amp;$A44)*RTD("tos.rtd",,"GAMMA","."&amp;E$2&amp;E$1&amp;"C"&amp;$A44)-$A$4*$A$4*RTD("tos.rtd",,"OPEN_INT","."&amp;E$2&amp;E$1&amp;"P"&amp;$A44)*RTD("tos.rtd",,"GAMMA","."&amp;E$2&amp;E$1&amp;"P"&amp;$A44))/1000000,0),IF($A$2="SKEW",IFERROR(VALUE(IF(RTD("tos.rtd",,"IMPL_VOL","."&amp;E$2&amp;E$1&amp;"P"&amp;$A44)="N/A",0,RTD("tos.rtd",,"IMPL_VOL","."&amp;E$2&amp;E$1&amp;"P"&amp;$A44))),0)-IFERROR(VALUE(IF(RTD("tos.rtd",,"IMPL_VOL","."&amp;E$2&amp;E$1&amp;"C"&amp;$A44)="N/A",0,RTD("tos.rtd",,"IMPL_VOL","."&amp;E$2&amp;E$1&amp;"C"&amp;$A44))),0),IF($A$2="MAXPAIN",IF($A$4&gt;$A44,($A$4-$A44)*IF(RTD("tos.rtd",,"OPEN_INT","."&amp;E$2&amp;E$1&amp;"C"&amp;$A44)="N/A",0,RTD("tos.rtd",,"OPEN_INT","."&amp;E$2&amp;E$1&amp;"C"&amp;$A44)),0)+IF($A$4&lt;$A44,($A44-$A$4)*IF(RTD("tos.rtd",,"OPEN_INT","."&amp;E$2&amp;E$1&amp;"P"&amp;$A44)="N/A",0,RTD("tos.rtd",,"OPEN_INT","."&amp;E$2&amp;E$1&amp;"P"&amp;$A44)),0),IF(RTD("tos.rtd",,$A$2,"."&amp;E$2&amp;E$1&amp;"C"&amp;$A44)="N/A",0,RTD("tos.rtd",,$A$2,"."&amp;E$2&amp;E$1&amp;"C"&amp;$A44))-IF(RTD("tos.rtd",,$A$2,"."&amp;E$2&amp;E$1&amp;"P"&amp;$A44)="N/A",0,RTD("tos.rtd",,$A$2,"."&amp;E$2&amp;E$1&amp;"P"&amp;$A44)))))))))</f>
        <v>0</v>
      </c>
      <c r="F44" s="12">
        <f>IF($A$2="PREMIUM_OI",IFERROR((100*RTD("tos.rtd",,"OPEN_INT","."&amp;F$2&amp;F$1&amp;"C"&amp;$A44)*RTD("tos.rtd",,"LAST","."&amp;F$2&amp;F$1&amp;"C"&amp;$A44)-100*RTD("tos.rtd",,"OPEN_INT","."&amp;F$2&amp;F$1&amp;"P"&amp;$A44)*RTD("tos.rtd",,"LAST","."&amp;F$2&amp;F$1&amp;"P"&amp;$A44))/1000000,0),IF($A$2="PREMIUM",IFERROR((100*RTD("tos.rtd",,"VOLUME","."&amp;F$2&amp;F$1&amp;"C"&amp;$A44)*RTD("tos.rtd",,"LAST","."&amp;F$2&amp;F$1&amp;"C"&amp;$A44)-100*RTD("tos.rtd",,"VOLUME","."&amp;F$2&amp;F$1&amp;"P"&amp;$A44)*RTD("tos.rtd",,"LAST","."&amp;F$2&amp;F$1&amp;"P"&amp;$A44))/1000000,0),IF($A$2="DEX",IFERROR((100*RTD("tos.rtd",,"OPEN_INT","."&amp;F$2&amp;F$1&amp;"C"&amp;$A44)*RTD("tos.rtd",,"DELTA","."&amp;F$2&amp;F$1&amp;"C"&amp;$A44)-100*RTD("tos.rtd",,"OPEN_INT","."&amp;F$2&amp;F$1&amp;"P"&amp;$A44)*RTD("tos.rtd",,"DELTA","."&amp;F$2&amp;F$1&amp;"P"&amp;$A44))/1000,0),IF($A$2="VEX",IFERROR(($A$4*$A$4*RTD("tos.rtd",,"VOLUME","."&amp;F$2&amp;F$1&amp;"C"&amp;$A44)*RTD("tos.rtd",,"GAMMA","."&amp;F$2&amp;F$1&amp;"C"&amp;$A44)-$A$4*$A$4*RTD("tos.rtd",,"VOLUME","."&amp;F$2&amp;F$1&amp;"P"&amp;$A44)*RTD("tos.rtd",,"GAMMA","."&amp;F$2&amp;F$1&amp;"P"&amp;$A44))/1000000,0),IF($A$2="GEX",IFERROR(($A$4*$A$4*RTD("tos.rtd",,"OPEN_INT","."&amp;F$2&amp;F$1&amp;"C"&amp;$A44)*RTD("tos.rtd",,"GAMMA","."&amp;F$2&amp;F$1&amp;"C"&amp;$A44)-$A$4*$A$4*RTD("tos.rtd",,"OPEN_INT","."&amp;F$2&amp;F$1&amp;"P"&amp;$A44)*RTD("tos.rtd",,"GAMMA","."&amp;F$2&amp;F$1&amp;"P"&amp;$A44))/1000000,0),IF($A$2="SKEW",IFERROR(VALUE(IF(RTD("tos.rtd",,"IMPL_VOL","."&amp;F$2&amp;F$1&amp;"P"&amp;$A44)="N/A",0,RTD("tos.rtd",,"IMPL_VOL","."&amp;F$2&amp;F$1&amp;"P"&amp;$A44))),0)-IFERROR(VALUE(IF(RTD("tos.rtd",,"IMPL_VOL","."&amp;F$2&amp;F$1&amp;"C"&amp;$A44)="N/A",0,RTD("tos.rtd",,"IMPL_VOL","."&amp;F$2&amp;F$1&amp;"C"&amp;$A44))),0),IF($A$2="MAXPAIN",IF($A$4&gt;$A44,($A$4-$A44)*IF(RTD("tos.rtd",,"OPEN_INT","."&amp;F$2&amp;F$1&amp;"C"&amp;$A44)="N/A",0,RTD("tos.rtd",,"OPEN_INT","."&amp;F$2&amp;F$1&amp;"C"&amp;$A44)),0)+IF($A$4&lt;$A44,($A44-$A$4)*IF(RTD("tos.rtd",,"OPEN_INT","."&amp;F$2&amp;F$1&amp;"P"&amp;$A44)="N/A",0,RTD("tos.rtd",,"OPEN_INT","."&amp;F$2&amp;F$1&amp;"P"&amp;$A44)),0),IF(RTD("tos.rtd",,$A$2,"."&amp;F$2&amp;F$1&amp;"C"&amp;$A44)="N/A",0,RTD("tos.rtd",,$A$2,"."&amp;F$2&amp;F$1&amp;"C"&amp;$A44))-IF(RTD("tos.rtd",,$A$2,"."&amp;F$2&amp;F$1&amp;"P"&amp;$A44)="N/A",0,RTD("tos.rtd",,$A$2,"."&amp;F$2&amp;F$1&amp;"P"&amp;$A44)))))))))</f>
        <v>0</v>
      </c>
      <c r="G44" s="14">
        <f>IF($A$2="PREMIUM_OI",IFERROR((100*RTD("tos.rtd",,"OPEN_INT","."&amp;G$2&amp;G$1&amp;"C"&amp;$A44)*RTD("tos.rtd",,"LAST","."&amp;G$2&amp;G$1&amp;"C"&amp;$A44)-100*RTD("tos.rtd",,"OPEN_INT","."&amp;G$2&amp;G$1&amp;"P"&amp;$A44)*RTD("tos.rtd",,"LAST","."&amp;G$2&amp;G$1&amp;"P"&amp;$A44))/1000000,0),IF($A$2="PREMIUM",IFERROR((100*RTD("tos.rtd",,"VOLUME","."&amp;G$2&amp;G$1&amp;"C"&amp;$A44)*RTD("tos.rtd",,"LAST","."&amp;G$2&amp;G$1&amp;"C"&amp;$A44)-100*RTD("tos.rtd",,"VOLUME","."&amp;G$2&amp;G$1&amp;"P"&amp;$A44)*RTD("tos.rtd",,"LAST","."&amp;G$2&amp;G$1&amp;"P"&amp;$A44))/1000000,0),IF($A$2="DEX",IFERROR((100*RTD("tos.rtd",,"OPEN_INT","."&amp;G$2&amp;G$1&amp;"C"&amp;$A44)*RTD("tos.rtd",,"DELTA","."&amp;G$2&amp;G$1&amp;"C"&amp;$A44)-100*RTD("tos.rtd",,"OPEN_INT","."&amp;G$2&amp;G$1&amp;"P"&amp;$A44)*RTD("tos.rtd",,"DELTA","."&amp;G$2&amp;G$1&amp;"P"&amp;$A44))/1000,0),IF($A$2="VEX",IFERROR(($A$4*$A$4*RTD("tos.rtd",,"VOLUME","."&amp;G$2&amp;G$1&amp;"C"&amp;$A44)*RTD("tos.rtd",,"GAMMA","."&amp;G$2&amp;G$1&amp;"C"&amp;$A44)-$A$4*$A$4*RTD("tos.rtd",,"VOLUME","."&amp;G$2&amp;G$1&amp;"P"&amp;$A44)*RTD("tos.rtd",,"GAMMA","."&amp;G$2&amp;G$1&amp;"P"&amp;$A44))/1000000,0),IF($A$2="GEX",IFERROR(($A$4*$A$4*RTD("tos.rtd",,"OPEN_INT","."&amp;G$2&amp;G$1&amp;"C"&amp;$A44)*RTD("tos.rtd",,"GAMMA","."&amp;G$2&amp;G$1&amp;"C"&amp;$A44)-$A$4*$A$4*RTD("tos.rtd",,"OPEN_INT","."&amp;G$2&amp;G$1&amp;"P"&amp;$A44)*RTD("tos.rtd",,"GAMMA","."&amp;G$2&amp;G$1&amp;"P"&amp;$A44))/1000000,0),IF($A$2="SKEW",IFERROR(VALUE(IF(RTD("tos.rtd",,"IMPL_VOL","."&amp;G$2&amp;G$1&amp;"P"&amp;$A44)="N/A",0,RTD("tos.rtd",,"IMPL_VOL","."&amp;G$2&amp;G$1&amp;"P"&amp;$A44))),0)-IFERROR(VALUE(IF(RTD("tos.rtd",,"IMPL_VOL","."&amp;G$2&amp;G$1&amp;"C"&amp;$A44)="N/A",0,RTD("tos.rtd",,"IMPL_VOL","."&amp;G$2&amp;G$1&amp;"C"&amp;$A44))),0),IF($A$2="MAXPAIN",IF($A$4&gt;$A44,($A$4-$A44)*IF(RTD("tos.rtd",,"OPEN_INT","."&amp;G$2&amp;G$1&amp;"C"&amp;$A44)="N/A",0,RTD("tos.rtd",,"OPEN_INT","."&amp;G$2&amp;G$1&amp;"C"&amp;$A44)),0)+IF($A$4&lt;$A44,($A44-$A$4)*IF(RTD("tos.rtd",,"OPEN_INT","."&amp;G$2&amp;G$1&amp;"P"&amp;$A44)="N/A",0,RTD("tos.rtd",,"OPEN_INT","."&amp;G$2&amp;G$1&amp;"P"&amp;$A44)),0),IF(RTD("tos.rtd",,$A$2,"."&amp;G$2&amp;G$1&amp;"C"&amp;$A44)="N/A",0,RTD("tos.rtd",,$A$2,"."&amp;G$2&amp;G$1&amp;"C"&amp;$A44))-IF(RTD("tos.rtd",,$A$2,"."&amp;G$2&amp;G$1&amp;"P"&amp;$A44)="N/A",0,RTD("tos.rtd",,$A$2,"."&amp;G$2&amp;G$1&amp;"P"&amp;$A44)))))))))</f>
        <v>0</v>
      </c>
      <c r="H44" s="12">
        <f>IF($A$2="PREMIUM_OI",IFERROR((100*RTD("tos.rtd",,"OPEN_INT","."&amp;H$2&amp;H$1&amp;"C"&amp;$A44)*RTD("tos.rtd",,"LAST","."&amp;H$2&amp;H$1&amp;"C"&amp;$A44)-100*RTD("tos.rtd",,"OPEN_INT","."&amp;H$2&amp;H$1&amp;"P"&amp;$A44)*RTD("tos.rtd",,"LAST","."&amp;H$2&amp;H$1&amp;"P"&amp;$A44))/1000000,0),IF($A$2="PREMIUM",IFERROR((100*RTD("tos.rtd",,"VOLUME","."&amp;H$2&amp;H$1&amp;"C"&amp;$A44)*RTD("tos.rtd",,"LAST","."&amp;H$2&amp;H$1&amp;"C"&amp;$A44)-100*RTD("tos.rtd",,"VOLUME","."&amp;H$2&amp;H$1&amp;"P"&amp;$A44)*RTD("tos.rtd",,"LAST","."&amp;H$2&amp;H$1&amp;"P"&amp;$A44))/1000000,0),IF($A$2="DEX",IFERROR((100*RTD("tos.rtd",,"OPEN_INT","."&amp;H$2&amp;H$1&amp;"C"&amp;$A44)*RTD("tos.rtd",,"DELTA","."&amp;H$2&amp;H$1&amp;"C"&amp;$A44)-100*RTD("tos.rtd",,"OPEN_INT","."&amp;H$2&amp;H$1&amp;"P"&amp;$A44)*RTD("tos.rtd",,"DELTA","."&amp;H$2&amp;H$1&amp;"P"&amp;$A44))/1000,0),IF($A$2="VEX",IFERROR(($A$4*$A$4*RTD("tos.rtd",,"VOLUME","."&amp;H$2&amp;H$1&amp;"C"&amp;$A44)*RTD("tos.rtd",,"GAMMA","."&amp;H$2&amp;H$1&amp;"C"&amp;$A44)-$A$4*$A$4*RTD("tos.rtd",,"VOLUME","."&amp;H$2&amp;H$1&amp;"P"&amp;$A44)*RTD("tos.rtd",,"GAMMA","."&amp;H$2&amp;H$1&amp;"P"&amp;$A44))/1000000,0),IF($A$2="GEX",IFERROR(($A$4*$A$4*RTD("tos.rtd",,"OPEN_INT","."&amp;H$2&amp;H$1&amp;"C"&amp;$A44)*RTD("tos.rtd",,"GAMMA","."&amp;H$2&amp;H$1&amp;"C"&amp;$A44)-$A$4*$A$4*RTD("tos.rtd",,"OPEN_INT","."&amp;H$2&amp;H$1&amp;"P"&amp;$A44)*RTD("tos.rtd",,"GAMMA","."&amp;H$2&amp;H$1&amp;"P"&amp;$A44))/1000000,0),IF($A$2="SKEW",IFERROR(VALUE(IF(RTD("tos.rtd",,"IMPL_VOL","."&amp;H$2&amp;H$1&amp;"P"&amp;$A44)="N/A",0,RTD("tos.rtd",,"IMPL_VOL","."&amp;H$2&amp;H$1&amp;"P"&amp;$A44))),0)-IFERROR(VALUE(IF(RTD("tos.rtd",,"IMPL_VOL","."&amp;H$2&amp;H$1&amp;"C"&amp;$A44)="N/A",0,RTD("tos.rtd",,"IMPL_VOL","."&amp;H$2&amp;H$1&amp;"C"&amp;$A44))),0),IF($A$2="MAXPAIN",IF($A$4&gt;$A44,($A$4-$A44)*IF(RTD("tos.rtd",,"OPEN_INT","."&amp;H$2&amp;H$1&amp;"C"&amp;$A44)="N/A",0,RTD("tos.rtd",,"OPEN_INT","."&amp;H$2&amp;H$1&amp;"C"&amp;$A44)),0)+IF($A$4&lt;$A44,($A44-$A$4)*IF(RTD("tos.rtd",,"OPEN_INT","."&amp;H$2&amp;H$1&amp;"P"&amp;$A44)="N/A",0,RTD("tos.rtd",,"OPEN_INT","."&amp;H$2&amp;H$1&amp;"P"&amp;$A44)),0),IF(RTD("tos.rtd",,$A$2,"."&amp;H$2&amp;H$1&amp;"C"&amp;$A44)="N/A",0,RTD("tos.rtd",,$A$2,"."&amp;H$2&amp;H$1&amp;"C"&amp;$A44))-IF(RTD("tos.rtd",,$A$2,"."&amp;H$2&amp;H$1&amp;"P"&amp;$A44)="N/A",0,RTD("tos.rtd",,$A$2,"."&amp;H$2&amp;H$1&amp;"P"&amp;$A44)))))))))</f>
        <v>0</v>
      </c>
      <c r="I44" s="12">
        <f>IF($A$2="PREMIUM_OI",IFERROR((100*RTD("tos.rtd",,"OPEN_INT","."&amp;I$2&amp;I$1&amp;"C"&amp;$A44)*RTD("tos.rtd",,"LAST","."&amp;I$2&amp;I$1&amp;"C"&amp;$A44)-100*RTD("tos.rtd",,"OPEN_INT","."&amp;I$2&amp;I$1&amp;"P"&amp;$A44)*RTD("tos.rtd",,"LAST","."&amp;I$2&amp;I$1&amp;"P"&amp;$A44))/1000000,0),IF($A$2="PREMIUM",IFERROR((100*RTD("tos.rtd",,"VOLUME","."&amp;I$2&amp;I$1&amp;"C"&amp;$A44)*RTD("tos.rtd",,"LAST","."&amp;I$2&amp;I$1&amp;"C"&amp;$A44)-100*RTD("tos.rtd",,"VOLUME","."&amp;I$2&amp;I$1&amp;"P"&amp;$A44)*RTD("tos.rtd",,"LAST","."&amp;I$2&amp;I$1&amp;"P"&amp;$A44))/1000000,0),IF($A$2="DEX",IFERROR((100*RTD("tos.rtd",,"OPEN_INT","."&amp;I$2&amp;I$1&amp;"C"&amp;$A44)*RTD("tos.rtd",,"DELTA","."&amp;I$2&amp;I$1&amp;"C"&amp;$A44)-100*RTD("tos.rtd",,"OPEN_INT","."&amp;I$2&amp;I$1&amp;"P"&amp;$A44)*RTD("tos.rtd",,"DELTA","."&amp;I$2&amp;I$1&amp;"P"&amp;$A44))/1000,0),IF($A$2="VEX",IFERROR(($A$4*$A$4*RTD("tos.rtd",,"VOLUME","."&amp;I$2&amp;I$1&amp;"C"&amp;$A44)*RTD("tos.rtd",,"GAMMA","."&amp;I$2&amp;I$1&amp;"C"&amp;$A44)-$A$4*$A$4*RTD("tos.rtd",,"VOLUME","."&amp;I$2&amp;I$1&amp;"P"&amp;$A44)*RTD("tos.rtd",,"GAMMA","."&amp;I$2&amp;I$1&amp;"P"&amp;$A44))/1000000,0),IF($A$2="GEX",IFERROR(($A$4*$A$4*RTD("tos.rtd",,"OPEN_INT","."&amp;I$2&amp;I$1&amp;"C"&amp;$A44)*RTD("tos.rtd",,"GAMMA","."&amp;I$2&amp;I$1&amp;"C"&amp;$A44)-$A$4*$A$4*RTD("tos.rtd",,"OPEN_INT","."&amp;I$2&amp;I$1&amp;"P"&amp;$A44)*RTD("tos.rtd",,"GAMMA","."&amp;I$2&amp;I$1&amp;"P"&amp;$A44))/1000000,0),IF($A$2="SKEW",IFERROR(VALUE(IF(RTD("tos.rtd",,"IMPL_VOL","."&amp;I$2&amp;I$1&amp;"P"&amp;$A44)="N/A",0,RTD("tos.rtd",,"IMPL_VOL","."&amp;I$2&amp;I$1&amp;"P"&amp;$A44))),0)-IFERROR(VALUE(IF(RTD("tos.rtd",,"IMPL_VOL","."&amp;I$2&amp;I$1&amp;"C"&amp;$A44)="N/A",0,RTD("tos.rtd",,"IMPL_VOL","."&amp;I$2&amp;I$1&amp;"C"&amp;$A44))),0),IF($A$2="MAXPAIN",IF($A$4&gt;$A44,($A$4-$A44)*IF(RTD("tos.rtd",,"OPEN_INT","."&amp;I$2&amp;I$1&amp;"C"&amp;$A44)="N/A",0,RTD("tos.rtd",,"OPEN_INT","."&amp;I$2&amp;I$1&amp;"C"&amp;$A44)),0)+IF($A$4&lt;$A44,($A44-$A$4)*IF(RTD("tos.rtd",,"OPEN_INT","."&amp;I$2&amp;I$1&amp;"P"&amp;$A44)="N/A",0,RTD("tos.rtd",,"OPEN_INT","."&amp;I$2&amp;I$1&amp;"P"&amp;$A44)),0),IF(RTD("tos.rtd",,$A$2,"."&amp;I$2&amp;I$1&amp;"C"&amp;$A44)="N/A",0,RTD("tos.rtd",,$A$2,"."&amp;I$2&amp;I$1&amp;"C"&amp;$A44))-IF(RTD("tos.rtd",,$A$2,"."&amp;I$2&amp;I$1&amp;"P"&amp;$A44)="N/A",0,RTD("tos.rtd",,$A$2,"."&amp;I$2&amp;I$1&amp;"P"&amp;$A44)))))))))</f>
        <v>0</v>
      </c>
      <c r="J44" s="12">
        <f>IF($A$2="PREMIUM_OI",IFERROR((100*RTD("tos.rtd",,"OPEN_INT","."&amp;J$2&amp;J$1&amp;"C"&amp;$A44)*RTD("tos.rtd",,"LAST","."&amp;J$2&amp;J$1&amp;"C"&amp;$A44)-100*RTD("tos.rtd",,"OPEN_INT","."&amp;J$2&amp;J$1&amp;"P"&amp;$A44)*RTD("tos.rtd",,"LAST","."&amp;J$2&amp;J$1&amp;"P"&amp;$A44))/1000000,0),IF($A$2="PREMIUM",IFERROR((100*RTD("tos.rtd",,"VOLUME","."&amp;J$2&amp;J$1&amp;"C"&amp;$A44)*RTD("tos.rtd",,"LAST","."&amp;J$2&amp;J$1&amp;"C"&amp;$A44)-100*RTD("tos.rtd",,"VOLUME","."&amp;J$2&amp;J$1&amp;"P"&amp;$A44)*RTD("tos.rtd",,"LAST","."&amp;J$2&amp;J$1&amp;"P"&amp;$A44))/1000000,0),IF($A$2="DEX",IFERROR((100*RTD("tos.rtd",,"OPEN_INT","."&amp;J$2&amp;J$1&amp;"C"&amp;$A44)*RTD("tos.rtd",,"DELTA","."&amp;J$2&amp;J$1&amp;"C"&amp;$A44)-100*RTD("tos.rtd",,"OPEN_INT","."&amp;J$2&amp;J$1&amp;"P"&amp;$A44)*RTD("tos.rtd",,"DELTA","."&amp;J$2&amp;J$1&amp;"P"&amp;$A44))/1000,0),IF($A$2="VEX",IFERROR(($A$4*$A$4*RTD("tos.rtd",,"VOLUME","."&amp;J$2&amp;J$1&amp;"C"&amp;$A44)*RTD("tos.rtd",,"GAMMA","."&amp;J$2&amp;J$1&amp;"C"&amp;$A44)-$A$4*$A$4*RTD("tos.rtd",,"VOLUME","."&amp;J$2&amp;J$1&amp;"P"&amp;$A44)*RTD("tos.rtd",,"GAMMA","."&amp;J$2&amp;J$1&amp;"P"&amp;$A44))/1000000,0),IF($A$2="GEX",IFERROR(($A$4*$A$4*RTD("tos.rtd",,"OPEN_INT","."&amp;J$2&amp;J$1&amp;"C"&amp;$A44)*RTD("tos.rtd",,"GAMMA","."&amp;J$2&amp;J$1&amp;"C"&amp;$A44)-$A$4*$A$4*RTD("tos.rtd",,"OPEN_INT","."&amp;J$2&amp;J$1&amp;"P"&amp;$A44)*RTD("tos.rtd",,"GAMMA","."&amp;J$2&amp;J$1&amp;"P"&amp;$A44))/1000000,0),IF($A$2="SKEW",IFERROR(VALUE(IF(RTD("tos.rtd",,"IMPL_VOL","."&amp;J$2&amp;J$1&amp;"P"&amp;$A44)="N/A",0,RTD("tos.rtd",,"IMPL_VOL","."&amp;J$2&amp;J$1&amp;"P"&amp;$A44))),0)-IFERROR(VALUE(IF(RTD("tos.rtd",,"IMPL_VOL","."&amp;J$2&amp;J$1&amp;"C"&amp;$A44)="N/A",0,RTD("tos.rtd",,"IMPL_VOL","."&amp;J$2&amp;J$1&amp;"C"&amp;$A44))),0),IF($A$2="MAXPAIN",IF($A$4&gt;$A44,($A$4-$A44)*IF(RTD("tos.rtd",,"OPEN_INT","."&amp;J$2&amp;J$1&amp;"C"&amp;$A44)="N/A",0,RTD("tos.rtd",,"OPEN_INT","."&amp;J$2&amp;J$1&amp;"C"&amp;$A44)),0)+IF($A$4&lt;$A44,($A44-$A$4)*IF(RTD("tos.rtd",,"OPEN_INT","."&amp;J$2&amp;J$1&amp;"P"&amp;$A44)="N/A",0,RTD("tos.rtd",,"OPEN_INT","."&amp;J$2&amp;J$1&amp;"P"&amp;$A44)),0),IF(RTD("tos.rtd",,$A$2,"."&amp;J$2&amp;J$1&amp;"C"&amp;$A44)="N/A",0,RTD("tos.rtd",,$A$2,"."&amp;J$2&amp;J$1&amp;"C"&amp;$A44))-IF(RTD("tos.rtd",,$A$2,"."&amp;J$2&amp;J$1&amp;"P"&amp;$A44)="N/A",0,RTD("tos.rtd",,$A$2,"."&amp;J$2&amp;J$1&amp;"P"&amp;$A44)))))))))</f>
        <v>0</v>
      </c>
      <c r="K44" s="12">
        <f>IF($A$2="PREMIUM_OI",IFERROR((100*RTD("tos.rtd",,"OPEN_INT","."&amp;K$2&amp;K$1&amp;"C"&amp;$A44)*RTD("tos.rtd",,"LAST","."&amp;K$2&amp;K$1&amp;"C"&amp;$A44)-100*RTD("tos.rtd",,"OPEN_INT","."&amp;K$2&amp;K$1&amp;"P"&amp;$A44)*RTD("tos.rtd",,"LAST","."&amp;K$2&amp;K$1&amp;"P"&amp;$A44))/1000000,0),IF($A$2="PREMIUM",IFERROR((100*RTD("tos.rtd",,"VOLUME","."&amp;K$2&amp;K$1&amp;"C"&amp;$A44)*RTD("tos.rtd",,"LAST","."&amp;K$2&amp;K$1&amp;"C"&amp;$A44)-100*RTD("tos.rtd",,"VOLUME","."&amp;K$2&amp;K$1&amp;"P"&amp;$A44)*RTD("tos.rtd",,"LAST","."&amp;K$2&amp;K$1&amp;"P"&amp;$A44))/1000000,0),IF($A$2="DEX",IFERROR((100*RTD("tos.rtd",,"OPEN_INT","."&amp;K$2&amp;K$1&amp;"C"&amp;$A44)*RTD("tos.rtd",,"DELTA","."&amp;K$2&amp;K$1&amp;"C"&amp;$A44)-100*RTD("tos.rtd",,"OPEN_INT","."&amp;K$2&amp;K$1&amp;"P"&amp;$A44)*RTD("tos.rtd",,"DELTA","."&amp;K$2&amp;K$1&amp;"P"&amp;$A44))/1000,0),IF($A$2="VEX",IFERROR(($A$4*$A$4*RTD("tos.rtd",,"VOLUME","."&amp;K$2&amp;K$1&amp;"C"&amp;$A44)*RTD("tos.rtd",,"GAMMA","."&amp;K$2&amp;K$1&amp;"C"&amp;$A44)-$A$4*$A$4*RTD("tos.rtd",,"VOLUME","."&amp;K$2&amp;K$1&amp;"P"&amp;$A44)*RTD("tos.rtd",,"GAMMA","."&amp;K$2&amp;K$1&amp;"P"&amp;$A44))/1000000,0),IF($A$2="GEX",IFERROR(($A$4*$A$4*RTD("tos.rtd",,"OPEN_INT","."&amp;K$2&amp;K$1&amp;"C"&amp;$A44)*RTD("tos.rtd",,"GAMMA","."&amp;K$2&amp;K$1&amp;"C"&amp;$A44)-$A$4*$A$4*RTD("tos.rtd",,"OPEN_INT","."&amp;K$2&amp;K$1&amp;"P"&amp;$A44)*RTD("tos.rtd",,"GAMMA","."&amp;K$2&amp;K$1&amp;"P"&amp;$A44))/1000000,0),IF($A$2="SKEW",IFERROR(VALUE(IF(RTD("tos.rtd",,"IMPL_VOL","."&amp;K$2&amp;K$1&amp;"P"&amp;$A44)="N/A",0,RTD("tos.rtd",,"IMPL_VOL","."&amp;K$2&amp;K$1&amp;"P"&amp;$A44))),0)-IFERROR(VALUE(IF(RTD("tos.rtd",,"IMPL_VOL","."&amp;K$2&amp;K$1&amp;"C"&amp;$A44)="N/A",0,RTD("tos.rtd",,"IMPL_VOL","."&amp;K$2&amp;K$1&amp;"C"&amp;$A44))),0),IF($A$2="MAXPAIN",IF($A$4&gt;$A44,($A$4-$A44)*IF(RTD("tos.rtd",,"OPEN_INT","."&amp;K$2&amp;K$1&amp;"C"&amp;$A44)="N/A",0,RTD("tos.rtd",,"OPEN_INT","."&amp;K$2&amp;K$1&amp;"C"&amp;$A44)),0)+IF($A$4&lt;$A44,($A44-$A$4)*IF(RTD("tos.rtd",,"OPEN_INT","."&amp;K$2&amp;K$1&amp;"P"&amp;$A44)="N/A",0,RTD("tos.rtd",,"OPEN_INT","."&amp;K$2&amp;K$1&amp;"P"&amp;$A44)),0),IF(RTD("tos.rtd",,$A$2,"."&amp;K$2&amp;K$1&amp;"C"&amp;$A44)="N/A",0,RTD("tos.rtd",,$A$2,"."&amp;K$2&amp;K$1&amp;"C"&amp;$A44))-IF(RTD("tos.rtd",,$A$2,"."&amp;K$2&amp;K$1&amp;"P"&amp;$A44)="N/A",0,RTD("tos.rtd",,$A$2,"."&amp;K$2&amp;K$1&amp;"P"&amp;$A44)))))))))</f>
        <v>0</v>
      </c>
      <c r="L44" s="12">
        <f>IF($A$2="PREMIUM_OI",IFERROR((100*RTD("tos.rtd",,"OPEN_INT","."&amp;L$2&amp;L$1&amp;"C"&amp;$A44)*RTD("tos.rtd",,"LAST","."&amp;L$2&amp;L$1&amp;"C"&amp;$A44)-100*RTD("tos.rtd",,"OPEN_INT","."&amp;L$2&amp;L$1&amp;"P"&amp;$A44)*RTD("tos.rtd",,"LAST","."&amp;L$2&amp;L$1&amp;"P"&amp;$A44))/1000000,0),IF($A$2="PREMIUM",IFERROR((100*RTD("tos.rtd",,"VOLUME","."&amp;L$2&amp;L$1&amp;"C"&amp;$A44)*RTD("tos.rtd",,"LAST","."&amp;L$2&amp;L$1&amp;"C"&amp;$A44)-100*RTD("tos.rtd",,"VOLUME","."&amp;L$2&amp;L$1&amp;"P"&amp;$A44)*RTD("tos.rtd",,"LAST","."&amp;L$2&amp;L$1&amp;"P"&amp;$A44))/1000000,0),IF($A$2="DEX",IFERROR((100*RTD("tos.rtd",,"OPEN_INT","."&amp;L$2&amp;L$1&amp;"C"&amp;$A44)*RTD("tos.rtd",,"DELTA","."&amp;L$2&amp;L$1&amp;"C"&amp;$A44)-100*RTD("tos.rtd",,"OPEN_INT","."&amp;L$2&amp;L$1&amp;"P"&amp;$A44)*RTD("tos.rtd",,"DELTA","."&amp;L$2&amp;L$1&amp;"P"&amp;$A44))/1000,0),IF($A$2="VEX",IFERROR(($A$4*$A$4*RTD("tos.rtd",,"VOLUME","."&amp;L$2&amp;L$1&amp;"C"&amp;$A44)*RTD("tos.rtd",,"GAMMA","."&amp;L$2&amp;L$1&amp;"C"&amp;$A44)-$A$4*$A$4*RTD("tos.rtd",,"VOLUME","."&amp;L$2&amp;L$1&amp;"P"&amp;$A44)*RTD("tos.rtd",,"GAMMA","."&amp;L$2&amp;L$1&amp;"P"&amp;$A44))/1000000,0),IF($A$2="GEX",IFERROR(($A$4*$A$4*RTD("tos.rtd",,"OPEN_INT","."&amp;L$2&amp;L$1&amp;"C"&amp;$A44)*RTD("tos.rtd",,"GAMMA","."&amp;L$2&amp;L$1&amp;"C"&amp;$A44)-$A$4*$A$4*RTD("tos.rtd",,"OPEN_INT","."&amp;L$2&amp;L$1&amp;"P"&amp;$A44)*RTD("tos.rtd",,"GAMMA","."&amp;L$2&amp;L$1&amp;"P"&amp;$A44))/1000000,0),IF($A$2="SKEW",IFERROR(VALUE(IF(RTD("tos.rtd",,"IMPL_VOL","."&amp;L$2&amp;L$1&amp;"P"&amp;$A44)="N/A",0,RTD("tos.rtd",,"IMPL_VOL","."&amp;L$2&amp;L$1&amp;"P"&amp;$A44))),0)-IFERROR(VALUE(IF(RTD("tos.rtd",,"IMPL_VOL","."&amp;L$2&amp;L$1&amp;"C"&amp;$A44)="N/A",0,RTD("tos.rtd",,"IMPL_VOL","."&amp;L$2&amp;L$1&amp;"C"&amp;$A44))),0),IF($A$2="MAXPAIN",IF($A$4&gt;$A44,($A$4-$A44)*IF(RTD("tos.rtd",,"OPEN_INT","."&amp;L$2&amp;L$1&amp;"C"&amp;$A44)="N/A",0,RTD("tos.rtd",,"OPEN_INT","."&amp;L$2&amp;L$1&amp;"C"&amp;$A44)),0)+IF($A$4&lt;$A44,($A44-$A$4)*IF(RTD("tos.rtd",,"OPEN_INT","."&amp;L$2&amp;L$1&amp;"P"&amp;$A44)="N/A",0,RTD("tos.rtd",,"OPEN_INT","."&amp;L$2&amp;L$1&amp;"P"&amp;$A44)),0),IF(RTD("tos.rtd",,$A$2,"."&amp;L$2&amp;L$1&amp;"C"&amp;$A44)="N/A",0,RTD("tos.rtd",,$A$2,"."&amp;L$2&amp;L$1&amp;"C"&amp;$A44))-IF(RTD("tos.rtd",,$A$2,"."&amp;L$2&amp;L$1&amp;"P"&amp;$A44)="N/A",0,RTD("tos.rtd",,$A$2,"."&amp;L$2&amp;L$1&amp;"P"&amp;$A44)))))))))</f>
        <v>0</v>
      </c>
      <c r="M44" s="12">
        <f>IF($A$2="PREMIUM_OI",IFERROR((100*RTD("tos.rtd",,"OPEN_INT","."&amp;M$2&amp;M$1&amp;"C"&amp;$A44)*RTD("tos.rtd",,"LAST","."&amp;M$2&amp;M$1&amp;"C"&amp;$A44)-100*RTD("tos.rtd",,"OPEN_INT","."&amp;M$2&amp;M$1&amp;"P"&amp;$A44)*RTD("tos.rtd",,"LAST","."&amp;M$2&amp;M$1&amp;"P"&amp;$A44))/1000000,0),IF($A$2="PREMIUM",IFERROR((100*RTD("tos.rtd",,"VOLUME","."&amp;M$2&amp;M$1&amp;"C"&amp;$A44)*RTD("tos.rtd",,"LAST","."&amp;M$2&amp;M$1&amp;"C"&amp;$A44)-100*RTD("tos.rtd",,"VOLUME","."&amp;M$2&amp;M$1&amp;"P"&amp;$A44)*RTD("tos.rtd",,"LAST","."&amp;M$2&amp;M$1&amp;"P"&amp;$A44))/1000000,0),IF($A$2="DEX",IFERROR((100*RTD("tos.rtd",,"OPEN_INT","."&amp;M$2&amp;M$1&amp;"C"&amp;$A44)*RTD("tos.rtd",,"DELTA","."&amp;M$2&amp;M$1&amp;"C"&amp;$A44)-100*RTD("tos.rtd",,"OPEN_INT","."&amp;M$2&amp;M$1&amp;"P"&amp;$A44)*RTD("tos.rtd",,"DELTA","."&amp;M$2&amp;M$1&amp;"P"&amp;$A44))/1000,0),IF($A$2="VEX",IFERROR(($A$4*$A$4*RTD("tos.rtd",,"VOLUME","."&amp;M$2&amp;M$1&amp;"C"&amp;$A44)*RTD("tos.rtd",,"GAMMA","."&amp;M$2&amp;M$1&amp;"C"&amp;$A44)-$A$4*$A$4*RTD("tos.rtd",,"VOLUME","."&amp;M$2&amp;M$1&amp;"P"&amp;$A44)*RTD("tos.rtd",,"GAMMA","."&amp;M$2&amp;M$1&amp;"P"&amp;$A44))/1000000,0),IF($A$2="GEX",IFERROR(($A$4*$A$4*RTD("tos.rtd",,"OPEN_INT","."&amp;M$2&amp;M$1&amp;"C"&amp;$A44)*RTD("tos.rtd",,"GAMMA","."&amp;M$2&amp;M$1&amp;"C"&amp;$A44)-$A$4*$A$4*RTD("tos.rtd",,"OPEN_INT","."&amp;M$2&amp;M$1&amp;"P"&amp;$A44)*RTD("tos.rtd",,"GAMMA","."&amp;M$2&amp;M$1&amp;"P"&amp;$A44))/1000000,0),IF($A$2="SKEW",IFERROR(VALUE(IF(RTD("tos.rtd",,"IMPL_VOL","."&amp;M$2&amp;M$1&amp;"P"&amp;$A44)="N/A",0,RTD("tos.rtd",,"IMPL_VOL","."&amp;M$2&amp;M$1&amp;"P"&amp;$A44))),0)-IFERROR(VALUE(IF(RTD("tos.rtd",,"IMPL_VOL","."&amp;M$2&amp;M$1&amp;"C"&amp;$A44)="N/A",0,RTD("tos.rtd",,"IMPL_VOL","."&amp;M$2&amp;M$1&amp;"C"&amp;$A44))),0),IF($A$2="MAXPAIN",IF($A$4&gt;$A44,($A$4-$A44)*IF(RTD("tos.rtd",,"OPEN_INT","."&amp;M$2&amp;M$1&amp;"C"&amp;$A44)="N/A",0,RTD("tos.rtd",,"OPEN_INT","."&amp;M$2&amp;M$1&amp;"C"&amp;$A44)),0)+IF($A$4&lt;$A44,($A44-$A$4)*IF(RTD("tos.rtd",,"OPEN_INT","."&amp;M$2&amp;M$1&amp;"P"&amp;$A44)="N/A",0,RTD("tos.rtd",,"OPEN_INT","."&amp;M$2&amp;M$1&amp;"P"&amp;$A44)),0),IF(RTD("tos.rtd",,$A$2,"."&amp;M$2&amp;M$1&amp;"C"&amp;$A44)="N/A",0,RTD("tos.rtd",,$A$2,"."&amp;M$2&amp;M$1&amp;"C"&amp;$A44))-IF(RTD("tos.rtd",,$A$2,"."&amp;M$2&amp;M$1&amp;"P"&amp;$A44)="N/A",0,RTD("tos.rtd",,$A$2,"."&amp;M$2&amp;M$1&amp;"P"&amp;$A44)))))))))</f>
        <v>0</v>
      </c>
      <c r="N44" s="12">
        <f>IF($A$2="PREMIUM_OI",IFERROR((100*RTD("tos.rtd",,"OPEN_INT","."&amp;N$2&amp;N$1&amp;"C"&amp;$A44)*RTD("tos.rtd",,"LAST","."&amp;N$2&amp;N$1&amp;"C"&amp;$A44)-100*RTD("tos.rtd",,"OPEN_INT","."&amp;N$2&amp;N$1&amp;"P"&amp;$A44)*RTD("tos.rtd",,"LAST","."&amp;N$2&amp;N$1&amp;"P"&amp;$A44))/1000000,0),IF($A$2="PREMIUM",IFERROR((100*RTD("tos.rtd",,"VOLUME","."&amp;N$2&amp;N$1&amp;"C"&amp;$A44)*RTD("tos.rtd",,"LAST","."&amp;N$2&amp;N$1&amp;"C"&amp;$A44)-100*RTD("tos.rtd",,"VOLUME","."&amp;N$2&amp;N$1&amp;"P"&amp;$A44)*RTD("tos.rtd",,"LAST","."&amp;N$2&amp;N$1&amp;"P"&amp;$A44))/1000000,0),IF($A$2="DEX",IFERROR((100*RTD("tos.rtd",,"OPEN_INT","."&amp;N$2&amp;N$1&amp;"C"&amp;$A44)*RTD("tos.rtd",,"DELTA","."&amp;N$2&amp;N$1&amp;"C"&amp;$A44)-100*RTD("tos.rtd",,"OPEN_INT","."&amp;N$2&amp;N$1&amp;"P"&amp;$A44)*RTD("tos.rtd",,"DELTA","."&amp;N$2&amp;N$1&amp;"P"&amp;$A44))/1000,0),IF($A$2="VEX",IFERROR(($A$4*$A$4*RTD("tos.rtd",,"VOLUME","."&amp;N$2&amp;N$1&amp;"C"&amp;$A44)*RTD("tos.rtd",,"GAMMA","."&amp;N$2&amp;N$1&amp;"C"&amp;$A44)-$A$4*$A$4*RTD("tos.rtd",,"VOLUME","."&amp;N$2&amp;N$1&amp;"P"&amp;$A44)*RTD("tos.rtd",,"GAMMA","."&amp;N$2&amp;N$1&amp;"P"&amp;$A44))/1000000,0),IF($A$2="GEX",IFERROR(($A$4*$A$4*RTD("tos.rtd",,"OPEN_INT","."&amp;N$2&amp;N$1&amp;"C"&amp;$A44)*RTD("tos.rtd",,"GAMMA","."&amp;N$2&amp;N$1&amp;"C"&amp;$A44)-$A$4*$A$4*RTD("tos.rtd",,"OPEN_INT","."&amp;N$2&amp;N$1&amp;"P"&amp;$A44)*RTD("tos.rtd",,"GAMMA","."&amp;N$2&amp;N$1&amp;"P"&amp;$A44))/1000000,0),IF($A$2="SKEW",IFERROR(VALUE(IF(RTD("tos.rtd",,"IMPL_VOL","."&amp;N$2&amp;N$1&amp;"P"&amp;$A44)="N/A",0,RTD("tos.rtd",,"IMPL_VOL","."&amp;N$2&amp;N$1&amp;"P"&amp;$A44))),0)-IFERROR(VALUE(IF(RTD("tos.rtd",,"IMPL_VOL","."&amp;N$2&amp;N$1&amp;"C"&amp;$A44)="N/A",0,RTD("tos.rtd",,"IMPL_VOL","."&amp;N$2&amp;N$1&amp;"C"&amp;$A44))),0),IF($A$2="MAXPAIN",IF($A$4&gt;$A44,($A$4-$A44)*IF(RTD("tos.rtd",,"OPEN_INT","."&amp;N$2&amp;N$1&amp;"C"&amp;$A44)="N/A",0,RTD("tos.rtd",,"OPEN_INT","."&amp;N$2&amp;N$1&amp;"C"&amp;$A44)),0)+IF($A$4&lt;$A44,($A44-$A$4)*IF(RTD("tos.rtd",,"OPEN_INT","."&amp;N$2&amp;N$1&amp;"P"&amp;$A44)="N/A",0,RTD("tos.rtd",,"OPEN_INT","."&amp;N$2&amp;N$1&amp;"P"&amp;$A44)),0),IF(RTD("tos.rtd",,$A$2,"."&amp;N$2&amp;N$1&amp;"C"&amp;$A44)="N/A",0,RTD("tos.rtd",,$A$2,"."&amp;N$2&amp;N$1&amp;"C"&amp;$A44))-IF(RTD("tos.rtd",,$A$2,"."&amp;N$2&amp;N$1&amp;"P"&amp;$A44)="N/A",0,RTD("tos.rtd",,$A$2,"."&amp;N$2&amp;N$1&amp;"P"&amp;$A44)))))))))</f>
        <v>0</v>
      </c>
      <c r="O44" s="12">
        <f>IF($A$2="PREMIUM_OI",IFERROR((100*RTD("tos.rtd",,"OPEN_INT","."&amp;O$2&amp;O$1&amp;"C"&amp;$A44)*RTD("tos.rtd",,"LAST","."&amp;O$2&amp;O$1&amp;"C"&amp;$A44)-100*RTD("tos.rtd",,"OPEN_INT","."&amp;O$2&amp;O$1&amp;"P"&amp;$A44)*RTD("tos.rtd",,"LAST","."&amp;O$2&amp;O$1&amp;"P"&amp;$A44))/1000000,0),IF($A$2="PREMIUM",IFERROR((100*RTD("tos.rtd",,"VOLUME","."&amp;O$2&amp;O$1&amp;"C"&amp;$A44)*RTD("tos.rtd",,"LAST","."&amp;O$2&amp;O$1&amp;"C"&amp;$A44)-100*RTD("tos.rtd",,"VOLUME","."&amp;O$2&amp;O$1&amp;"P"&amp;$A44)*RTD("tos.rtd",,"LAST","."&amp;O$2&amp;O$1&amp;"P"&amp;$A44))/1000000,0),IF($A$2="DEX",IFERROR((100*RTD("tos.rtd",,"OPEN_INT","."&amp;O$2&amp;O$1&amp;"C"&amp;$A44)*RTD("tos.rtd",,"DELTA","."&amp;O$2&amp;O$1&amp;"C"&amp;$A44)-100*RTD("tos.rtd",,"OPEN_INT","."&amp;O$2&amp;O$1&amp;"P"&amp;$A44)*RTD("tos.rtd",,"DELTA","."&amp;O$2&amp;O$1&amp;"P"&amp;$A44))/1000,0),IF($A$2="VEX",IFERROR(($A$4*$A$4*RTD("tos.rtd",,"VOLUME","."&amp;O$2&amp;O$1&amp;"C"&amp;$A44)*RTD("tos.rtd",,"GAMMA","."&amp;O$2&amp;O$1&amp;"C"&amp;$A44)-$A$4*$A$4*RTD("tos.rtd",,"VOLUME","."&amp;O$2&amp;O$1&amp;"P"&amp;$A44)*RTD("tos.rtd",,"GAMMA","."&amp;O$2&amp;O$1&amp;"P"&amp;$A44))/1000000,0),IF($A$2="GEX",IFERROR(($A$4*$A$4*RTD("tos.rtd",,"OPEN_INT","."&amp;O$2&amp;O$1&amp;"C"&amp;$A44)*RTD("tos.rtd",,"GAMMA","."&amp;O$2&amp;O$1&amp;"C"&amp;$A44)-$A$4*$A$4*RTD("tos.rtd",,"OPEN_INT","."&amp;O$2&amp;O$1&amp;"P"&amp;$A44)*RTD("tos.rtd",,"GAMMA","."&amp;O$2&amp;O$1&amp;"P"&amp;$A44))/1000000,0),IF($A$2="SKEW",IFERROR(VALUE(IF(RTD("tos.rtd",,"IMPL_VOL","."&amp;O$2&amp;O$1&amp;"P"&amp;$A44)="N/A",0,RTD("tos.rtd",,"IMPL_VOL","."&amp;O$2&amp;O$1&amp;"P"&amp;$A44))),0)-IFERROR(VALUE(IF(RTD("tos.rtd",,"IMPL_VOL","."&amp;O$2&amp;O$1&amp;"C"&amp;$A44)="N/A",0,RTD("tos.rtd",,"IMPL_VOL","."&amp;O$2&amp;O$1&amp;"C"&amp;$A44))),0),IF($A$2="MAXPAIN",IF($A$4&gt;$A44,($A$4-$A44)*IF(RTD("tos.rtd",,"OPEN_INT","."&amp;O$2&amp;O$1&amp;"C"&amp;$A44)="N/A",0,RTD("tos.rtd",,"OPEN_INT","."&amp;O$2&amp;O$1&amp;"C"&amp;$A44)),0)+IF($A$4&lt;$A44,($A44-$A$4)*IF(RTD("tos.rtd",,"OPEN_INT","."&amp;O$2&amp;O$1&amp;"P"&amp;$A44)="N/A",0,RTD("tos.rtd",,"OPEN_INT","."&amp;O$2&amp;O$1&amp;"P"&amp;$A44)),0),IF(RTD("tos.rtd",,$A$2,"."&amp;O$2&amp;O$1&amp;"C"&amp;$A44)="N/A",0,RTD("tos.rtd",,$A$2,"."&amp;O$2&amp;O$1&amp;"C"&amp;$A44))-IF(RTD("tos.rtd",,$A$2,"."&amp;O$2&amp;O$1&amp;"P"&amp;$A44)="N/A",0,RTD("tos.rtd",,$A$2,"."&amp;O$2&amp;O$1&amp;"P"&amp;$A44)))))))))</f>
        <v>0</v>
      </c>
      <c r="P44" s="12">
        <f>IF($A$2="PREMIUM_OI",IFERROR((100*RTD("tos.rtd",,"OPEN_INT","."&amp;P$2&amp;P$1&amp;"C"&amp;$A44)*RTD("tos.rtd",,"LAST","."&amp;P$2&amp;P$1&amp;"C"&amp;$A44)-100*RTD("tos.rtd",,"OPEN_INT","."&amp;P$2&amp;P$1&amp;"P"&amp;$A44)*RTD("tos.rtd",,"LAST","."&amp;P$2&amp;P$1&amp;"P"&amp;$A44))/1000000,0),IF($A$2="PREMIUM",IFERROR((100*RTD("tos.rtd",,"VOLUME","."&amp;P$2&amp;P$1&amp;"C"&amp;$A44)*RTD("tos.rtd",,"LAST","."&amp;P$2&amp;P$1&amp;"C"&amp;$A44)-100*RTD("tos.rtd",,"VOLUME","."&amp;P$2&amp;P$1&amp;"P"&amp;$A44)*RTD("tos.rtd",,"LAST","."&amp;P$2&amp;P$1&amp;"P"&amp;$A44))/1000000,0),IF($A$2="DEX",IFERROR((100*RTD("tos.rtd",,"OPEN_INT","."&amp;P$2&amp;P$1&amp;"C"&amp;$A44)*RTD("tos.rtd",,"DELTA","."&amp;P$2&amp;P$1&amp;"C"&amp;$A44)-100*RTD("tos.rtd",,"OPEN_INT","."&amp;P$2&amp;P$1&amp;"P"&amp;$A44)*RTD("tos.rtd",,"DELTA","."&amp;P$2&amp;P$1&amp;"P"&amp;$A44))/1000,0),IF($A$2="VEX",IFERROR(($A$4*$A$4*RTD("tos.rtd",,"VOLUME","."&amp;P$2&amp;P$1&amp;"C"&amp;$A44)*RTD("tos.rtd",,"GAMMA","."&amp;P$2&amp;P$1&amp;"C"&amp;$A44)-$A$4*$A$4*RTD("tos.rtd",,"VOLUME","."&amp;P$2&amp;P$1&amp;"P"&amp;$A44)*RTD("tos.rtd",,"GAMMA","."&amp;P$2&amp;P$1&amp;"P"&amp;$A44))/1000000,0),IF($A$2="GEX",IFERROR(($A$4*$A$4*RTD("tos.rtd",,"OPEN_INT","."&amp;P$2&amp;P$1&amp;"C"&amp;$A44)*RTD("tos.rtd",,"GAMMA","."&amp;P$2&amp;P$1&amp;"C"&amp;$A44)-$A$4*$A$4*RTD("tos.rtd",,"OPEN_INT","."&amp;P$2&amp;P$1&amp;"P"&amp;$A44)*RTD("tos.rtd",,"GAMMA","."&amp;P$2&amp;P$1&amp;"P"&amp;$A44))/1000000,0),IF($A$2="SKEW",IFERROR(VALUE(IF(RTD("tos.rtd",,"IMPL_VOL","."&amp;P$2&amp;P$1&amp;"P"&amp;$A44)="N/A",0,RTD("tos.rtd",,"IMPL_VOL","."&amp;P$2&amp;P$1&amp;"P"&amp;$A44))),0)-IFERROR(VALUE(IF(RTD("tos.rtd",,"IMPL_VOL","."&amp;P$2&amp;P$1&amp;"C"&amp;$A44)="N/A",0,RTD("tos.rtd",,"IMPL_VOL","."&amp;P$2&amp;P$1&amp;"C"&amp;$A44))),0),IF($A$2="MAXPAIN",IF($A$4&gt;$A44,($A$4-$A44)*IF(RTD("tos.rtd",,"OPEN_INT","."&amp;P$2&amp;P$1&amp;"C"&amp;$A44)="N/A",0,RTD("tos.rtd",,"OPEN_INT","."&amp;P$2&amp;P$1&amp;"C"&amp;$A44)),0)+IF($A$4&lt;$A44,($A44-$A$4)*IF(RTD("tos.rtd",,"OPEN_INT","."&amp;P$2&amp;P$1&amp;"P"&amp;$A44)="N/A",0,RTD("tos.rtd",,"OPEN_INT","."&amp;P$2&amp;P$1&amp;"P"&amp;$A44)),0),IF(RTD("tos.rtd",,$A$2,"."&amp;P$2&amp;P$1&amp;"C"&amp;$A44)="N/A",0,RTD("tos.rtd",,$A$2,"."&amp;P$2&amp;P$1&amp;"C"&amp;$A44))-IF(RTD("tos.rtd",,$A$2,"."&amp;P$2&amp;P$1&amp;"P"&amp;$A44)="N/A",0,RTD("tos.rtd",,$A$2,"."&amp;P$2&amp;P$1&amp;"P"&amp;$A44)))))))))</f>
        <v>0</v>
      </c>
      <c r="Q44" s="12">
        <f>IF($A$2="PREMIUM_OI",IFERROR((100*RTD("tos.rtd",,"OPEN_INT","."&amp;Q$2&amp;Q$1&amp;"C"&amp;$A44)*RTD("tos.rtd",,"LAST","."&amp;Q$2&amp;Q$1&amp;"C"&amp;$A44)-100*RTD("tos.rtd",,"OPEN_INT","."&amp;Q$2&amp;Q$1&amp;"P"&amp;$A44)*RTD("tos.rtd",,"LAST","."&amp;Q$2&amp;Q$1&amp;"P"&amp;$A44))/1000000,0),IF($A$2="PREMIUM",IFERROR((100*RTD("tos.rtd",,"VOLUME","."&amp;Q$2&amp;Q$1&amp;"C"&amp;$A44)*RTD("tos.rtd",,"LAST","."&amp;Q$2&amp;Q$1&amp;"C"&amp;$A44)-100*RTD("tos.rtd",,"VOLUME","."&amp;Q$2&amp;Q$1&amp;"P"&amp;$A44)*RTD("tos.rtd",,"LAST","."&amp;Q$2&amp;Q$1&amp;"P"&amp;$A44))/1000000,0),IF($A$2="DEX",IFERROR((100*RTD("tos.rtd",,"OPEN_INT","."&amp;Q$2&amp;Q$1&amp;"C"&amp;$A44)*RTD("tos.rtd",,"DELTA","."&amp;Q$2&amp;Q$1&amp;"C"&amp;$A44)-100*RTD("tos.rtd",,"OPEN_INT","."&amp;Q$2&amp;Q$1&amp;"P"&amp;$A44)*RTD("tos.rtd",,"DELTA","."&amp;Q$2&amp;Q$1&amp;"P"&amp;$A44))/1000,0),IF($A$2="VEX",IFERROR(($A$4*$A$4*RTD("tos.rtd",,"VOLUME","."&amp;Q$2&amp;Q$1&amp;"C"&amp;$A44)*RTD("tos.rtd",,"GAMMA","."&amp;Q$2&amp;Q$1&amp;"C"&amp;$A44)-$A$4*$A$4*RTD("tos.rtd",,"VOLUME","."&amp;Q$2&amp;Q$1&amp;"P"&amp;$A44)*RTD("tos.rtd",,"GAMMA","."&amp;Q$2&amp;Q$1&amp;"P"&amp;$A44))/1000000,0),IF($A$2="GEX",IFERROR(($A$4*$A$4*RTD("tos.rtd",,"OPEN_INT","."&amp;Q$2&amp;Q$1&amp;"C"&amp;$A44)*RTD("tos.rtd",,"GAMMA","."&amp;Q$2&amp;Q$1&amp;"C"&amp;$A44)-$A$4*$A$4*RTD("tos.rtd",,"OPEN_INT","."&amp;Q$2&amp;Q$1&amp;"P"&amp;$A44)*RTD("tos.rtd",,"GAMMA","."&amp;Q$2&amp;Q$1&amp;"P"&amp;$A44))/1000000,0),IF($A$2="SKEW",IFERROR(VALUE(IF(RTD("tos.rtd",,"IMPL_VOL","."&amp;Q$2&amp;Q$1&amp;"P"&amp;$A44)="N/A",0,RTD("tos.rtd",,"IMPL_VOL","."&amp;Q$2&amp;Q$1&amp;"P"&amp;$A44))),0)-IFERROR(VALUE(IF(RTD("tos.rtd",,"IMPL_VOL","."&amp;Q$2&amp;Q$1&amp;"C"&amp;$A44)="N/A",0,RTD("tos.rtd",,"IMPL_VOL","."&amp;Q$2&amp;Q$1&amp;"C"&amp;$A44))),0),IF($A$2="MAXPAIN",IF($A$4&gt;$A44,($A$4-$A44)*IF(RTD("tos.rtd",,"OPEN_INT","."&amp;Q$2&amp;Q$1&amp;"C"&amp;$A44)="N/A",0,RTD("tos.rtd",,"OPEN_INT","."&amp;Q$2&amp;Q$1&amp;"C"&amp;$A44)),0)+IF($A$4&lt;$A44,($A44-$A$4)*IF(RTD("tos.rtd",,"OPEN_INT","."&amp;Q$2&amp;Q$1&amp;"P"&amp;$A44)="N/A",0,RTD("tos.rtd",,"OPEN_INT","."&amp;Q$2&amp;Q$1&amp;"P"&amp;$A44)),0),IF(RTD("tos.rtd",,$A$2,"."&amp;Q$2&amp;Q$1&amp;"C"&amp;$A44)="N/A",0,RTD("tos.rtd",,$A$2,"."&amp;Q$2&amp;Q$1&amp;"C"&amp;$A44))-IF(RTD("tos.rtd",,$A$2,"."&amp;Q$2&amp;Q$1&amp;"P"&amp;$A44)="N/A",0,RTD("tos.rtd",,$A$2,"."&amp;Q$2&amp;Q$1&amp;"P"&amp;$A44)))))))))</f>
        <v>0</v>
      </c>
      <c r="R44" s="12">
        <f>IF($A$2="PREMIUM_OI",IFERROR((100*RTD("tos.rtd",,"OPEN_INT","."&amp;R$2&amp;R$1&amp;"C"&amp;$A44)*RTD("tos.rtd",,"LAST","."&amp;R$2&amp;R$1&amp;"C"&amp;$A44)-100*RTD("tos.rtd",,"OPEN_INT","."&amp;R$2&amp;R$1&amp;"P"&amp;$A44)*RTD("tos.rtd",,"LAST","."&amp;R$2&amp;R$1&amp;"P"&amp;$A44))/1000000,0),IF($A$2="PREMIUM",IFERROR((100*RTD("tos.rtd",,"VOLUME","."&amp;R$2&amp;R$1&amp;"C"&amp;$A44)*RTD("tos.rtd",,"LAST","."&amp;R$2&amp;R$1&amp;"C"&amp;$A44)-100*RTD("tos.rtd",,"VOLUME","."&amp;R$2&amp;R$1&amp;"P"&amp;$A44)*RTD("tos.rtd",,"LAST","."&amp;R$2&amp;R$1&amp;"P"&amp;$A44))/1000000,0),IF($A$2="DEX",IFERROR((100*RTD("tos.rtd",,"OPEN_INT","."&amp;R$2&amp;R$1&amp;"C"&amp;$A44)*RTD("tos.rtd",,"DELTA","."&amp;R$2&amp;R$1&amp;"C"&amp;$A44)-100*RTD("tos.rtd",,"OPEN_INT","."&amp;R$2&amp;R$1&amp;"P"&amp;$A44)*RTD("tos.rtd",,"DELTA","."&amp;R$2&amp;R$1&amp;"P"&amp;$A44))/1000,0),IF($A$2="VEX",IFERROR(($A$4*$A$4*RTD("tos.rtd",,"VOLUME","."&amp;R$2&amp;R$1&amp;"C"&amp;$A44)*RTD("tos.rtd",,"GAMMA","."&amp;R$2&amp;R$1&amp;"C"&amp;$A44)-$A$4*$A$4*RTD("tos.rtd",,"VOLUME","."&amp;R$2&amp;R$1&amp;"P"&amp;$A44)*RTD("tos.rtd",,"GAMMA","."&amp;R$2&amp;R$1&amp;"P"&amp;$A44))/1000000,0),IF($A$2="GEX",IFERROR(($A$4*$A$4*RTD("tos.rtd",,"OPEN_INT","."&amp;R$2&amp;R$1&amp;"C"&amp;$A44)*RTD("tos.rtd",,"GAMMA","."&amp;R$2&amp;R$1&amp;"C"&amp;$A44)-$A$4*$A$4*RTD("tos.rtd",,"OPEN_INT","."&amp;R$2&amp;R$1&amp;"P"&amp;$A44)*RTD("tos.rtd",,"GAMMA","."&amp;R$2&amp;R$1&amp;"P"&amp;$A44))/1000000,0),IF($A$2="SKEW",IFERROR(VALUE(IF(RTD("tos.rtd",,"IMPL_VOL","."&amp;R$2&amp;R$1&amp;"P"&amp;$A44)="N/A",0,RTD("tos.rtd",,"IMPL_VOL","."&amp;R$2&amp;R$1&amp;"P"&amp;$A44))),0)-IFERROR(VALUE(IF(RTD("tos.rtd",,"IMPL_VOL","."&amp;R$2&amp;R$1&amp;"C"&amp;$A44)="N/A",0,RTD("tos.rtd",,"IMPL_VOL","."&amp;R$2&amp;R$1&amp;"C"&amp;$A44))),0),IF($A$2="MAXPAIN",IF($A$4&gt;$A44,($A$4-$A44)*IF(RTD("tos.rtd",,"OPEN_INT","."&amp;R$2&amp;R$1&amp;"C"&amp;$A44)="N/A",0,RTD("tos.rtd",,"OPEN_INT","."&amp;R$2&amp;R$1&amp;"C"&amp;$A44)),0)+IF($A$4&lt;$A44,($A44-$A$4)*IF(RTD("tos.rtd",,"OPEN_INT","."&amp;R$2&amp;R$1&amp;"P"&amp;$A44)="N/A",0,RTD("tos.rtd",,"OPEN_INT","."&amp;R$2&amp;R$1&amp;"P"&amp;$A44)),0),IF(RTD("tos.rtd",,$A$2,"."&amp;R$2&amp;R$1&amp;"C"&amp;$A44)="N/A",0,RTD("tos.rtd",,$A$2,"."&amp;R$2&amp;R$1&amp;"C"&amp;$A44))-IF(RTD("tos.rtd",,$A$2,"."&amp;R$2&amp;R$1&amp;"P"&amp;$A44)="N/A",0,RTD("tos.rtd",,$A$2,"."&amp;R$2&amp;R$1&amp;"P"&amp;$A44)))))))))</f>
        <v>0</v>
      </c>
      <c r="S44" s="12">
        <f>IF($A$2="PREMIUM_OI",IFERROR((100*RTD("tos.rtd",,"OPEN_INT","."&amp;S$2&amp;S$1&amp;"C"&amp;$A44)*RTD("tos.rtd",,"LAST","."&amp;S$2&amp;S$1&amp;"C"&amp;$A44)-100*RTD("tos.rtd",,"OPEN_INT","."&amp;S$2&amp;S$1&amp;"P"&amp;$A44)*RTD("tos.rtd",,"LAST","."&amp;S$2&amp;S$1&amp;"P"&amp;$A44))/1000000,0),IF($A$2="PREMIUM",IFERROR((100*RTD("tos.rtd",,"VOLUME","."&amp;S$2&amp;S$1&amp;"C"&amp;$A44)*RTD("tos.rtd",,"LAST","."&amp;S$2&amp;S$1&amp;"C"&amp;$A44)-100*RTD("tos.rtd",,"VOLUME","."&amp;S$2&amp;S$1&amp;"P"&amp;$A44)*RTD("tos.rtd",,"LAST","."&amp;S$2&amp;S$1&amp;"P"&amp;$A44))/1000000,0),IF($A$2="DEX",IFERROR((100*RTD("tos.rtd",,"OPEN_INT","."&amp;S$2&amp;S$1&amp;"C"&amp;$A44)*RTD("tos.rtd",,"DELTA","."&amp;S$2&amp;S$1&amp;"C"&amp;$A44)-100*RTD("tos.rtd",,"OPEN_INT","."&amp;S$2&amp;S$1&amp;"P"&amp;$A44)*RTD("tos.rtd",,"DELTA","."&amp;S$2&amp;S$1&amp;"P"&amp;$A44))/1000,0),IF($A$2="VEX",IFERROR(($A$4*$A$4*RTD("tos.rtd",,"VOLUME","."&amp;S$2&amp;S$1&amp;"C"&amp;$A44)*RTD("tos.rtd",,"GAMMA","."&amp;S$2&amp;S$1&amp;"C"&amp;$A44)-$A$4*$A$4*RTD("tos.rtd",,"VOLUME","."&amp;S$2&amp;S$1&amp;"P"&amp;$A44)*RTD("tos.rtd",,"GAMMA","."&amp;S$2&amp;S$1&amp;"P"&amp;$A44))/1000000,0),IF($A$2="GEX",IFERROR(($A$4*$A$4*RTD("tos.rtd",,"OPEN_INT","."&amp;S$2&amp;S$1&amp;"C"&amp;$A44)*RTD("tos.rtd",,"GAMMA","."&amp;S$2&amp;S$1&amp;"C"&amp;$A44)-$A$4*$A$4*RTD("tos.rtd",,"OPEN_INT","."&amp;S$2&amp;S$1&amp;"P"&amp;$A44)*RTD("tos.rtd",,"GAMMA","."&amp;S$2&amp;S$1&amp;"P"&amp;$A44))/1000000,0),IF($A$2="SKEW",IFERROR(VALUE(IF(RTD("tos.rtd",,"IMPL_VOL","."&amp;S$2&amp;S$1&amp;"P"&amp;$A44)="N/A",0,RTD("tos.rtd",,"IMPL_VOL","."&amp;S$2&amp;S$1&amp;"P"&amp;$A44))),0)-IFERROR(VALUE(IF(RTD("tos.rtd",,"IMPL_VOL","."&amp;S$2&amp;S$1&amp;"C"&amp;$A44)="N/A",0,RTD("tos.rtd",,"IMPL_VOL","."&amp;S$2&amp;S$1&amp;"C"&amp;$A44))),0),IF($A$2="MAXPAIN",IF($A$4&gt;$A44,($A$4-$A44)*IF(RTD("tos.rtd",,"OPEN_INT","."&amp;S$2&amp;S$1&amp;"C"&amp;$A44)="N/A",0,RTD("tos.rtd",,"OPEN_INT","."&amp;S$2&amp;S$1&amp;"C"&amp;$A44)),0)+IF($A$4&lt;$A44,($A44-$A$4)*IF(RTD("tos.rtd",,"OPEN_INT","."&amp;S$2&amp;S$1&amp;"P"&amp;$A44)="N/A",0,RTD("tos.rtd",,"OPEN_INT","."&amp;S$2&amp;S$1&amp;"P"&amp;$A44)),0),IF(RTD("tos.rtd",,$A$2,"."&amp;S$2&amp;S$1&amp;"C"&amp;$A44)="N/A",0,RTD("tos.rtd",,$A$2,"."&amp;S$2&amp;S$1&amp;"C"&amp;$A44))-IF(RTD("tos.rtd",,$A$2,"."&amp;S$2&amp;S$1&amp;"P"&amp;$A44)="N/A",0,RTD("tos.rtd",,$A$2,"."&amp;S$2&amp;S$1&amp;"P"&amp;$A44)))))))))</f>
        <v>0</v>
      </c>
      <c r="T44" s="12">
        <f>IF($A$2="PREMIUM_OI",IFERROR((100*RTD("tos.rtd",,"OPEN_INT","."&amp;T$2&amp;T$1&amp;"C"&amp;$A44)*RTD("tos.rtd",,"LAST","."&amp;T$2&amp;T$1&amp;"C"&amp;$A44)-100*RTD("tos.rtd",,"OPEN_INT","."&amp;T$2&amp;T$1&amp;"P"&amp;$A44)*RTD("tos.rtd",,"LAST","."&amp;T$2&amp;T$1&amp;"P"&amp;$A44))/1000000,0),IF($A$2="PREMIUM",IFERROR((100*RTD("tos.rtd",,"VOLUME","."&amp;T$2&amp;T$1&amp;"C"&amp;$A44)*RTD("tos.rtd",,"LAST","."&amp;T$2&amp;T$1&amp;"C"&amp;$A44)-100*RTD("tos.rtd",,"VOLUME","."&amp;T$2&amp;T$1&amp;"P"&amp;$A44)*RTD("tos.rtd",,"LAST","."&amp;T$2&amp;T$1&amp;"P"&amp;$A44))/1000000,0),IF($A$2="DEX",IFERROR((100*RTD("tos.rtd",,"OPEN_INT","."&amp;T$2&amp;T$1&amp;"C"&amp;$A44)*RTD("tos.rtd",,"DELTA","."&amp;T$2&amp;T$1&amp;"C"&amp;$A44)-100*RTD("tos.rtd",,"OPEN_INT","."&amp;T$2&amp;T$1&amp;"P"&amp;$A44)*RTD("tos.rtd",,"DELTA","."&amp;T$2&amp;T$1&amp;"P"&amp;$A44))/1000,0),IF($A$2="VEX",IFERROR(($A$4*$A$4*RTD("tos.rtd",,"VOLUME","."&amp;T$2&amp;T$1&amp;"C"&amp;$A44)*RTD("tos.rtd",,"GAMMA","."&amp;T$2&amp;T$1&amp;"C"&amp;$A44)-$A$4*$A$4*RTD("tos.rtd",,"VOLUME","."&amp;T$2&amp;T$1&amp;"P"&amp;$A44)*RTD("tos.rtd",,"GAMMA","."&amp;T$2&amp;T$1&amp;"P"&amp;$A44))/1000000,0),IF($A$2="GEX",IFERROR(($A$4*$A$4*RTD("tos.rtd",,"OPEN_INT","."&amp;T$2&amp;T$1&amp;"C"&amp;$A44)*RTD("tos.rtd",,"GAMMA","."&amp;T$2&amp;T$1&amp;"C"&amp;$A44)-$A$4*$A$4*RTD("tos.rtd",,"OPEN_INT","."&amp;T$2&amp;T$1&amp;"P"&amp;$A44)*RTD("tos.rtd",,"GAMMA","."&amp;T$2&amp;T$1&amp;"P"&amp;$A44))/1000000,0),IF($A$2="SKEW",IFERROR(VALUE(IF(RTD("tos.rtd",,"IMPL_VOL","."&amp;T$2&amp;T$1&amp;"P"&amp;$A44)="N/A",0,RTD("tos.rtd",,"IMPL_VOL","."&amp;T$2&amp;T$1&amp;"P"&amp;$A44))),0)-IFERROR(VALUE(IF(RTD("tos.rtd",,"IMPL_VOL","."&amp;T$2&amp;T$1&amp;"C"&amp;$A44)="N/A",0,RTD("tos.rtd",,"IMPL_VOL","."&amp;T$2&amp;T$1&amp;"C"&amp;$A44))),0),IF($A$2="MAXPAIN",IF($A$4&gt;$A44,($A$4-$A44)*IF(RTD("tos.rtd",,"OPEN_INT","."&amp;T$2&amp;T$1&amp;"C"&amp;$A44)="N/A",0,RTD("tos.rtd",,"OPEN_INT","."&amp;T$2&amp;T$1&amp;"C"&amp;$A44)),0)+IF($A$4&lt;$A44,($A44-$A$4)*IF(RTD("tos.rtd",,"OPEN_INT","."&amp;T$2&amp;T$1&amp;"P"&amp;$A44)="N/A",0,RTD("tos.rtd",,"OPEN_INT","."&amp;T$2&amp;T$1&amp;"P"&amp;$A44)),0),IF(RTD("tos.rtd",,$A$2,"."&amp;T$2&amp;T$1&amp;"C"&amp;$A44)="N/A",0,RTD("tos.rtd",,$A$2,"."&amp;T$2&amp;T$1&amp;"C"&amp;$A44))-IF(RTD("tos.rtd",,$A$2,"."&amp;T$2&amp;T$1&amp;"P"&amp;$A44)="N/A",0,RTD("tos.rtd",,$A$2,"."&amp;T$2&amp;T$1&amp;"P"&amp;$A44)))))))))</f>
        <v>0</v>
      </c>
      <c r="U44" s="12">
        <f>IF($A$2="PREMIUM_OI",IFERROR((100*RTD("tos.rtd",,"OPEN_INT","."&amp;U$2&amp;U$1&amp;"C"&amp;$A44)*RTD("tos.rtd",,"LAST","."&amp;U$2&amp;U$1&amp;"C"&amp;$A44)-100*RTD("tos.rtd",,"OPEN_INT","."&amp;U$2&amp;U$1&amp;"P"&amp;$A44)*RTD("tos.rtd",,"LAST","."&amp;U$2&amp;U$1&amp;"P"&amp;$A44))/1000000,0),IF($A$2="PREMIUM",IFERROR((100*RTD("tos.rtd",,"VOLUME","."&amp;U$2&amp;U$1&amp;"C"&amp;$A44)*RTD("tos.rtd",,"LAST","."&amp;U$2&amp;U$1&amp;"C"&amp;$A44)-100*RTD("tos.rtd",,"VOLUME","."&amp;U$2&amp;U$1&amp;"P"&amp;$A44)*RTD("tos.rtd",,"LAST","."&amp;U$2&amp;U$1&amp;"P"&amp;$A44))/1000000,0),IF($A$2="DEX",IFERROR((100*RTD("tos.rtd",,"OPEN_INT","."&amp;U$2&amp;U$1&amp;"C"&amp;$A44)*RTD("tos.rtd",,"DELTA","."&amp;U$2&amp;U$1&amp;"C"&amp;$A44)-100*RTD("tos.rtd",,"OPEN_INT","."&amp;U$2&amp;U$1&amp;"P"&amp;$A44)*RTD("tos.rtd",,"DELTA","."&amp;U$2&amp;U$1&amp;"P"&amp;$A44))/1000,0),IF($A$2="VEX",IFERROR(($A$4*$A$4*RTD("tos.rtd",,"VOLUME","."&amp;U$2&amp;U$1&amp;"C"&amp;$A44)*RTD("tos.rtd",,"GAMMA","."&amp;U$2&amp;U$1&amp;"C"&amp;$A44)-$A$4*$A$4*RTD("tos.rtd",,"VOLUME","."&amp;U$2&amp;U$1&amp;"P"&amp;$A44)*RTD("tos.rtd",,"GAMMA","."&amp;U$2&amp;U$1&amp;"P"&amp;$A44))/1000000,0),IF($A$2="GEX",IFERROR(($A$4*$A$4*RTD("tos.rtd",,"OPEN_INT","."&amp;U$2&amp;U$1&amp;"C"&amp;$A44)*RTD("tos.rtd",,"GAMMA","."&amp;U$2&amp;U$1&amp;"C"&amp;$A44)-$A$4*$A$4*RTD("tos.rtd",,"OPEN_INT","."&amp;U$2&amp;U$1&amp;"P"&amp;$A44)*RTD("tos.rtd",,"GAMMA","."&amp;U$2&amp;U$1&amp;"P"&amp;$A44))/1000000,0),IF($A$2="SKEW",IFERROR(VALUE(IF(RTD("tos.rtd",,"IMPL_VOL","."&amp;U$2&amp;U$1&amp;"P"&amp;$A44)="N/A",0,RTD("tos.rtd",,"IMPL_VOL","."&amp;U$2&amp;U$1&amp;"P"&amp;$A44))),0)-IFERROR(VALUE(IF(RTD("tos.rtd",,"IMPL_VOL","."&amp;U$2&amp;U$1&amp;"C"&amp;$A44)="N/A",0,RTD("tos.rtd",,"IMPL_VOL","."&amp;U$2&amp;U$1&amp;"C"&amp;$A44))),0),IF($A$2="MAXPAIN",IF($A$4&gt;$A44,($A$4-$A44)*IF(RTD("tos.rtd",,"OPEN_INT","."&amp;U$2&amp;U$1&amp;"C"&amp;$A44)="N/A",0,RTD("tos.rtd",,"OPEN_INT","."&amp;U$2&amp;U$1&amp;"C"&amp;$A44)),0)+IF($A$4&lt;$A44,($A44-$A$4)*IF(RTD("tos.rtd",,"OPEN_INT","."&amp;U$2&amp;U$1&amp;"P"&amp;$A44)="N/A",0,RTD("tos.rtd",,"OPEN_INT","."&amp;U$2&amp;U$1&amp;"P"&amp;$A44)),0),IF(RTD("tos.rtd",,$A$2,"."&amp;U$2&amp;U$1&amp;"C"&amp;$A44)="N/A",0,RTD("tos.rtd",,$A$2,"."&amp;U$2&amp;U$1&amp;"C"&amp;$A44))-IF(RTD("tos.rtd",,$A$2,"."&amp;U$2&amp;U$1&amp;"P"&amp;$A44)="N/A",0,RTD("tos.rtd",,$A$2,"."&amp;U$2&amp;U$1&amp;"P"&amp;$A44)))))))))</f>
        <v>0</v>
      </c>
      <c r="V44" s="12">
        <f>IF($A$2="PREMIUM_OI",IFERROR((100*RTD("tos.rtd",,"OPEN_INT","."&amp;V$2&amp;V$1&amp;"C"&amp;$A44)*RTD("tos.rtd",,"LAST","."&amp;V$2&amp;V$1&amp;"C"&amp;$A44)-100*RTD("tos.rtd",,"OPEN_INT","."&amp;V$2&amp;V$1&amp;"P"&amp;$A44)*RTD("tos.rtd",,"LAST","."&amp;V$2&amp;V$1&amp;"P"&amp;$A44))/1000000,0),IF($A$2="PREMIUM",IFERROR((100*RTD("tos.rtd",,"VOLUME","."&amp;V$2&amp;V$1&amp;"C"&amp;$A44)*RTD("tos.rtd",,"LAST","."&amp;V$2&amp;V$1&amp;"C"&amp;$A44)-100*RTD("tos.rtd",,"VOLUME","."&amp;V$2&amp;V$1&amp;"P"&amp;$A44)*RTD("tos.rtd",,"LAST","."&amp;V$2&amp;V$1&amp;"P"&amp;$A44))/1000000,0),IF($A$2="DEX",IFERROR((100*RTD("tos.rtd",,"OPEN_INT","."&amp;V$2&amp;V$1&amp;"C"&amp;$A44)*RTD("tos.rtd",,"DELTA","."&amp;V$2&amp;V$1&amp;"C"&amp;$A44)-100*RTD("tos.rtd",,"OPEN_INT","."&amp;V$2&amp;V$1&amp;"P"&amp;$A44)*RTD("tos.rtd",,"DELTA","."&amp;V$2&amp;V$1&amp;"P"&amp;$A44))/1000,0),IF($A$2="VEX",IFERROR(($A$4*$A$4*RTD("tos.rtd",,"VOLUME","."&amp;V$2&amp;V$1&amp;"C"&amp;$A44)*RTD("tos.rtd",,"GAMMA","."&amp;V$2&amp;V$1&amp;"C"&amp;$A44)-$A$4*$A$4*RTD("tos.rtd",,"VOLUME","."&amp;V$2&amp;V$1&amp;"P"&amp;$A44)*RTD("tos.rtd",,"GAMMA","."&amp;V$2&amp;V$1&amp;"P"&amp;$A44))/1000000,0),IF($A$2="GEX",IFERROR(($A$4*$A$4*RTD("tos.rtd",,"OPEN_INT","."&amp;V$2&amp;V$1&amp;"C"&amp;$A44)*RTD("tos.rtd",,"GAMMA","."&amp;V$2&amp;V$1&amp;"C"&amp;$A44)-$A$4*$A$4*RTD("tos.rtd",,"OPEN_INT","."&amp;V$2&amp;V$1&amp;"P"&amp;$A44)*RTD("tos.rtd",,"GAMMA","."&amp;V$2&amp;V$1&amp;"P"&amp;$A44))/1000000,0),IF($A$2="SKEW",IFERROR(VALUE(IF(RTD("tos.rtd",,"IMPL_VOL","."&amp;V$2&amp;V$1&amp;"P"&amp;$A44)="N/A",0,RTD("tos.rtd",,"IMPL_VOL","."&amp;V$2&amp;V$1&amp;"P"&amp;$A44))),0)-IFERROR(VALUE(IF(RTD("tos.rtd",,"IMPL_VOL","."&amp;V$2&amp;V$1&amp;"C"&amp;$A44)="N/A",0,RTD("tos.rtd",,"IMPL_VOL","."&amp;V$2&amp;V$1&amp;"C"&amp;$A44))),0),IF($A$2="MAXPAIN",IF($A$4&gt;$A44,($A$4-$A44)*IF(RTD("tos.rtd",,"OPEN_INT","."&amp;V$2&amp;V$1&amp;"C"&amp;$A44)="N/A",0,RTD("tos.rtd",,"OPEN_INT","."&amp;V$2&amp;V$1&amp;"C"&amp;$A44)),0)+IF($A$4&lt;$A44,($A44-$A$4)*IF(RTD("tos.rtd",,"OPEN_INT","."&amp;V$2&amp;V$1&amp;"P"&amp;$A44)="N/A",0,RTD("tos.rtd",,"OPEN_INT","."&amp;V$2&amp;V$1&amp;"P"&amp;$A44)),0),IF(RTD("tos.rtd",,$A$2,"."&amp;V$2&amp;V$1&amp;"C"&amp;$A44)="N/A",0,RTD("tos.rtd",,$A$2,"."&amp;V$2&amp;V$1&amp;"C"&amp;$A44))-IF(RTD("tos.rtd",,$A$2,"."&amp;V$2&amp;V$1&amp;"P"&amp;$A44)="N/A",0,RTD("tos.rtd",,$A$2,"."&amp;V$2&amp;V$1&amp;"P"&amp;$A44)))))))))</f>
        <v>0</v>
      </c>
      <c r="W44" s="12">
        <f>IF($A$2="PREMIUM_OI",IFERROR((100*RTD("tos.rtd",,"OPEN_INT","."&amp;W$2&amp;W$1&amp;"C"&amp;$A44)*RTD("tos.rtd",,"LAST","."&amp;W$2&amp;W$1&amp;"C"&amp;$A44)-100*RTD("tos.rtd",,"OPEN_INT","."&amp;W$2&amp;W$1&amp;"P"&amp;$A44)*RTD("tos.rtd",,"LAST","."&amp;W$2&amp;W$1&amp;"P"&amp;$A44))/1000000,0),IF($A$2="PREMIUM",IFERROR((100*RTD("tos.rtd",,"VOLUME","."&amp;W$2&amp;W$1&amp;"C"&amp;$A44)*RTD("tos.rtd",,"LAST","."&amp;W$2&amp;W$1&amp;"C"&amp;$A44)-100*RTD("tos.rtd",,"VOLUME","."&amp;W$2&amp;W$1&amp;"P"&amp;$A44)*RTD("tos.rtd",,"LAST","."&amp;W$2&amp;W$1&amp;"P"&amp;$A44))/1000000,0),IF($A$2="DEX",IFERROR((100*RTD("tos.rtd",,"OPEN_INT","."&amp;W$2&amp;W$1&amp;"C"&amp;$A44)*RTD("tos.rtd",,"DELTA","."&amp;W$2&amp;W$1&amp;"C"&amp;$A44)-100*RTD("tos.rtd",,"OPEN_INT","."&amp;W$2&amp;W$1&amp;"P"&amp;$A44)*RTD("tos.rtd",,"DELTA","."&amp;W$2&amp;W$1&amp;"P"&amp;$A44))/1000,0),IF($A$2="VEX",IFERROR(($A$4*$A$4*RTD("tos.rtd",,"VOLUME","."&amp;W$2&amp;W$1&amp;"C"&amp;$A44)*RTD("tos.rtd",,"GAMMA","."&amp;W$2&amp;W$1&amp;"C"&amp;$A44)-$A$4*$A$4*RTD("tos.rtd",,"VOLUME","."&amp;W$2&amp;W$1&amp;"P"&amp;$A44)*RTD("tos.rtd",,"GAMMA","."&amp;W$2&amp;W$1&amp;"P"&amp;$A44))/1000000,0),IF($A$2="GEX",IFERROR(($A$4*$A$4*RTD("tos.rtd",,"OPEN_INT","."&amp;W$2&amp;W$1&amp;"C"&amp;$A44)*RTD("tos.rtd",,"GAMMA","."&amp;W$2&amp;W$1&amp;"C"&amp;$A44)-$A$4*$A$4*RTD("tos.rtd",,"OPEN_INT","."&amp;W$2&amp;W$1&amp;"P"&amp;$A44)*RTD("tos.rtd",,"GAMMA","."&amp;W$2&amp;W$1&amp;"P"&amp;$A44))/1000000,0),IF($A$2="SKEW",IFERROR(VALUE(IF(RTD("tos.rtd",,"IMPL_VOL","."&amp;W$2&amp;W$1&amp;"P"&amp;$A44)="N/A",0,RTD("tos.rtd",,"IMPL_VOL","."&amp;W$2&amp;W$1&amp;"P"&amp;$A44))),0)-IFERROR(VALUE(IF(RTD("tos.rtd",,"IMPL_VOL","."&amp;W$2&amp;W$1&amp;"C"&amp;$A44)="N/A",0,RTD("tos.rtd",,"IMPL_VOL","."&amp;W$2&amp;W$1&amp;"C"&amp;$A44))),0),IF($A$2="MAXPAIN",IF($A$4&gt;$A44,($A$4-$A44)*IF(RTD("tos.rtd",,"OPEN_INT","."&amp;W$2&amp;W$1&amp;"C"&amp;$A44)="N/A",0,RTD("tos.rtd",,"OPEN_INT","."&amp;W$2&amp;W$1&amp;"C"&amp;$A44)),0)+IF($A$4&lt;$A44,($A44-$A$4)*IF(RTD("tos.rtd",,"OPEN_INT","."&amp;W$2&amp;W$1&amp;"P"&amp;$A44)="N/A",0,RTD("tos.rtd",,"OPEN_INT","."&amp;W$2&amp;W$1&amp;"P"&amp;$A44)),0),IF(RTD("tos.rtd",,$A$2,"."&amp;W$2&amp;W$1&amp;"C"&amp;$A44)="N/A",0,RTD("tos.rtd",,$A$2,"."&amp;W$2&amp;W$1&amp;"C"&amp;$A44))-IF(RTD("tos.rtd",,$A$2,"."&amp;W$2&amp;W$1&amp;"P"&amp;$A44)="N/A",0,RTD("tos.rtd",,$A$2,"."&amp;W$2&amp;W$1&amp;"P"&amp;$A44)))))))))</f>
        <v>0</v>
      </c>
      <c r="X44" s="12">
        <f t="shared" ca="1" si="7"/>
        <v>0</v>
      </c>
      <c r="Y44" s="27">
        <f t="shared" ca="1" si="8"/>
        <v>0</v>
      </c>
      <c r="AA44" s="35">
        <f>+IF($AJ$1,AJ44,TASTYOHLC!A44)</f>
        <v>0</v>
      </c>
      <c r="AB44" s="8">
        <f>+IF($AJ$1,AK44,TASTYOHLC!B44)</f>
        <v>0</v>
      </c>
      <c r="AC44" s="8">
        <f>+IF($AJ$1,AL44,TASTYOHLC!C44)</f>
        <v>0</v>
      </c>
      <c r="AD44" s="8">
        <f>+IF($AJ$1,AM44,TASTYOHLC!D44)</f>
        <v>0</v>
      </c>
      <c r="AE44" s="8">
        <f>+IF($AJ$1,AN44,TASTYOHLC!E44)</f>
        <v>0</v>
      </c>
      <c r="AF44" s="8"/>
      <c r="AJ44" s="37"/>
    </row>
    <row r="45" spans="1:36" s="19" customFormat="1" ht="11.1" customHeight="1" thickBot="1" x14ac:dyDescent="0.3">
      <c r="A45" s="23">
        <f t="shared" si="13"/>
        <v>-0.5</v>
      </c>
      <c r="B45" s="14">
        <f>IF($A$2="PREMIUM_OI",IFERROR((100*RTD("tos.rtd",,"OPEN_INT","."&amp;B$2&amp;B$1&amp;"C"&amp;$A45)*RTD("tos.rtd",,"LAST","."&amp;B$2&amp;B$1&amp;"C"&amp;$A45)-100*RTD("tos.rtd",,"OPEN_INT","."&amp;B$2&amp;B$1&amp;"P"&amp;$A45)*RTD("tos.rtd",,"LAST","."&amp;B$2&amp;B$1&amp;"P"&amp;$A45))/1000000,0),IF($A$2="PREMIUM",IFERROR((100*RTD("tos.rtd",,"VOLUME","."&amp;B$2&amp;B$1&amp;"C"&amp;$A45)*RTD("tos.rtd",,"LAST","."&amp;B$2&amp;B$1&amp;"C"&amp;$A45)-100*RTD("tos.rtd",,"VOLUME","."&amp;B$2&amp;B$1&amp;"P"&amp;$A45)*RTD("tos.rtd",,"LAST","."&amp;B$2&amp;B$1&amp;"P"&amp;$A45))/1000000,0),IF($A$2="DEX",IFERROR((100*RTD("tos.rtd",,"OPEN_INT","."&amp;B$2&amp;B$1&amp;"C"&amp;$A45)*RTD("tos.rtd",,"DELTA","."&amp;B$2&amp;B$1&amp;"C"&amp;$A45)-100*RTD("tos.rtd",,"OPEN_INT","."&amp;B$2&amp;B$1&amp;"P"&amp;$A45)*RTD("tos.rtd",,"DELTA","."&amp;B$2&amp;B$1&amp;"P"&amp;$A45))/1000,0),IF($A$2="VEX",IFERROR(($A$4*$A$4*RTD("tos.rtd",,"VOLUME","."&amp;B$2&amp;B$1&amp;"C"&amp;$A45)*RTD("tos.rtd",,"GAMMA","."&amp;B$2&amp;B$1&amp;"C"&amp;$A45)-$A$4*$A$4*RTD("tos.rtd",,"VOLUME","."&amp;B$2&amp;B$1&amp;"P"&amp;$A45)*RTD("tos.rtd",,"GAMMA","."&amp;B$2&amp;B$1&amp;"P"&amp;$A45))/1000000,0),IF($A$2="GEX",IFERROR(($A$4*$A$4*RTD("tos.rtd",,"OPEN_INT","."&amp;B$2&amp;B$1&amp;"C"&amp;$A45)*RTD("tos.rtd",,"GAMMA","."&amp;B$2&amp;B$1&amp;"C"&amp;$A45)-$A$4*$A$4*RTD("tos.rtd",,"OPEN_INT","."&amp;B$2&amp;B$1&amp;"P"&amp;$A45)*RTD("tos.rtd",,"GAMMA","."&amp;B$2&amp;B$1&amp;"P"&amp;$A45))/1000000,0),IF($A$2="SKEW",IFERROR(VALUE(IF(RTD("tos.rtd",,"IMPL_VOL","."&amp;B$2&amp;B$1&amp;"P"&amp;$A45)="N/A",0,RTD("tos.rtd",,"IMPL_VOL","."&amp;B$2&amp;B$1&amp;"P"&amp;$A45))),0)-IFERROR(VALUE(IF(RTD("tos.rtd",,"IMPL_VOL","."&amp;B$2&amp;B$1&amp;"C"&amp;$A45)="N/A",0,RTD("tos.rtd",,"IMPL_VOL","."&amp;B$2&amp;B$1&amp;"C"&amp;$A45))),0),IF($A$2="MAXPAIN",IF($A$4&gt;$A45,($A$4-$A45)*IF(RTD("tos.rtd",,"OPEN_INT","."&amp;B$2&amp;B$1&amp;"C"&amp;$A45)="N/A",0,RTD("tos.rtd",,"OPEN_INT","."&amp;B$2&amp;B$1&amp;"C"&amp;$A45)),0)+IF($A$4&lt;$A45,($A45-$A$4)*IF(RTD("tos.rtd",,"OPEN_INT","."&amp;B$2&amp;B$1&amp;"P"&amp;$A45)="N/A",0,RTD("tos.rtd",,"OPEN_INT","."&amp;B$2&amp;B$1&amp;"P"&amp;$A45)),0),IF(RTD("tos.rtd",,$A$2,"."&amp;B$2&amp;B$1&amp;"C"&amp;$A45)="N/A",0,RTD("tos.rtd",,$A$2,"."&amp;B$2&amp;B$1&amp;"C"&amp;$A45))-IF(RTD("tos.rtd",,$A$2,"."&amp;B$2&amp;B$1&amp;"P"&amp;$A45)="N/A",0,RTD("tos.rtd",,$A$2,"."&amp;B$2&amp;B$1&amp;"P"&amp;$A45)))))))))</f>
        <v>0</v>
      </c>
      <c r="C45" s="12">
        <f>IF($A$2="PREMIUM_OI",IFERROR((100*RTD("tos.rtd",,"OPEN_INT","."&amp;C$2&amp;C$1&amp;"C"&amp;$A45)*RTD("tos.rtd",,"LAST","."&amp;C$2&amp;C$1&amp;"C"&amp;$A45)-100*RTD("tos.rtd",,"OPEN_INT","."&amp;C$2&amp;C$1&amp;"P"&amp;$A45)*RTD("tos.rtd",,"LAST","."&amp;C$2&amp;C$1&amp;"P"&amp;$A45))/1000000,0),IF($A$2="PREMIUM",IFERROR((100*RTD("tos.rtd",,"VOLUME","."&amp;C$2&amp;C$1&amp;"C"&amp;$A45)*RTD("tos.rtd",,"LAST","."&amp;C$2&amp;C$1&amp;"C"&amp;$A45)-100*RTD("tos.rtd",,"VOLUME","."&amp;C$2&amp;C$1&amp;"P"&amp;$A45)*RTD("tos.rtd",,"LAST","."&amp;C$2&amp;C$1&amp;"P"&amp;$A45))/1000000,0),IF($A$2="DEX",IFERROR((100*RTD("tos.rtd",,"OPEN_INT","."&amp;C$2&amp;C$1&amp;"C"&amp;$A45)*RTD("tos.rtd",,"DELTA","."&amp;C$2&amp;C$1&amp;"C"&amp;$A45)-100*RTD("tos.rtd",,"OPEN_INT","."&amp;C$2&amp;C$1&amp;"P"&amp;$A45)*RTD("tos.rtd",,"DELTA","."&amp;C$2&amp;C$1&amp;"P"&amp;$A45))/1000,0),IF($A$2="VEX",IFERROR(($A$4*$A$4*RTD("tos.rtd",,"VOLUME","."&amp;C$2&amp;C$1&amp;"C"&amp;$A45)*RTD("tos.rtd",,"GAMMA","."&amp;C$2&amp;C$1&amp;"C"&amp;$A45)-$A$4*$A$4*RTD("tos.rtd",,"VOLUME","."&amp;C$2&amp;C$1&amp;"P"&amp;$A45)*RTD("tos.rtd",,"GAMMA","."&amp;C$2&amp;C$1&amp;"P"&amp;$A45))/1000000,0),IF($A$2="GEX",IFERROR(($A$4*$A$4*RTD("tos.rtd",,"OPEN_INT","."&amp;C$2&amp;C$1&amp;"C"&amp;$A45)*RTD("tos.rtd",,"GAMMA","."&amp;C$2&amp;C$1&amp;"C"&amp;$A45)-$A$4*$A$4*RTD("tos.rtd",,"OPEN_INT","."&amp;C$2&amp;C$1&amp;"P"&amp;$A45)*RTD("tos.rtd",,"GAMMA","."&amp;C$2&amp;C$1&amp;"P"&amp;$A45))/1000000,0),IF($A$2="SKEW",IFERROR(VALUE(IF(RTD("tos.rtd",,"IMPL_VOL","."&amp;C$2&amp;C$1&amp;"P"&amp;$A45)="N/A",0,RTD("tos.rtd",,"IMPL_VOL","."&amp;C$2&amp;C$1&amp;"P"&amp;$A45))),0)-IFERROR(VALUE(IF(RTD("tos.rtd",,"IMPL_VOL","."&amp;C$2&amp;C$1&amp;"C"&amp;$A45)="N/A",0,RTD("tos.rtd",,"IMPL_VOL","."&amp;C$2&amp;C$1&amp;"C"&amp;$A45))),0),IF($A$2="MAXPAIN",IF($A$4&gt;$A45,($A$4-$A45)*IF(RTD("tos.rtd",,"OPEN_INT","."&amp;C$2&amp;C$1&amp;"C"&amp;$A45)="N/A",0,RTD("tos.rtd",,"OPEN_INT","."&amp;C$2&amp;C$1&amp;"C"&amp;$A45)),0)+IF($A$4&lt;$A45,($A45-$A$4)*IF(RTD("tos.rtd",,"OPEN_INT","."&amp;C$2&amp;C$1&amp;"P"&amp;$A45)="N/A",0,RTD("tos.rtd",,"OPEN_INT","."&amp;C$2&amp;C$1&amp;"P"&amp;$A45)),0),IF(RTD("tos.rtd",,$A$2,"."&amp;C$2&amp;C$1&amp;"C"&amp;$A45)="N/A",0,RTD("tos.rtd",,$A$2,"."&amp;C$2&amp;C$1&amp;"C"&amp;$A45))-IF(RTD("tos.rtd",,$A$2,"."&amp;C$2&amp;C$1&amp;"P"&amp;$A45)="N/A",0,RTD("tos.rtd",,$A$2,"."&amp;C$2&amp;C$1&amp;"P"&amp;$A45)))))))))</f>
        <v>0</v>
      </c>
      <c r="D45" s="12">
        <f>IF($A$2="PREMIUM_OI",IFERROR((100*RTD("tos.rtd",,"OPEN_INT","."&amp;D$2&amp;D$1&amp;"C"&amp;$A45)*RTD("tos.rtd",,"LAST","."&amp;D$2&amp;D$1&amp;"C"&amp;$A45)-100*RTD("tos.rtd",,"OPEN_INT","."&amp;D$2&amp;D$1&amp;"P"&amp;$A45)*RTD("tos.rtd",,"LAST","."&amp;D$2&amp;D$1&amp;"P"&amp;$A45))/1000000,0),IF($A$2="PREMIUM",IFERROR((100*RTD("tos.rtd",,"VOLUME","."&amp;D$2&amp;D$1&amp;"C"&amp;$A45)*RTD("tos.rtd",,"LAST","."&amp;D$2&amp;D$1&amp;"C"&amp;$A45)-100*RTD("tos.rtd",,"VOLUME","."&amp;D$2&amp;D$1&amp;"P"&amp;$A45)*RTD("tos.rtd",,"LAST","."&amp;D$2&amp;D$1&amp;"P"&amp;$A45))/1000000,0),IF($A$2="DEX",IFERROR((100*RTD("tos.rtd",,"OPEN_INT","."&amp;D$2&amp;D$1&amp;"C"&amp;$A45)*RTD("tos.rtd",,"DELTA","."&amp;D$2&amp;D$1&amp;"C"&amp;$A45)-100*RTD("tos.rtd",,"OPEN_INT","."&amp;D$2&amp;D$1&amp;"P"&amp;$A45)*RTD("tos.rtd",,"DELTA","."&amp;D$2&amp;D$1&amp;"P"&amp;$A45))/1000,0),IF($A$2="VEX",IFERROR(($A$4*$A$4*RTD("tos.rtd",,"VOLUME","."&amp;D$2&amp;D$1&amp;"C"&amp;$A45)*RTD("tos.rtd",,"GAMMA","."&amp;D$2&amp;D$1&amp;"C"&amp;$A45)-$A$4*$A$4*RTD("tos.rtd",,"VOLUME","."&amp;D$2&amp;D$1&amp;"P"&amp;$A45)*RTD("tos.rtd",,"GAMMA","."&amp;D$2&amp;D$1&amp;"P"&amp;$A45))/1000000,0),IF($A$2="GEX",IFERROR(($A$4*$A$4*RTD("tos.rtd",,"OPEN_INT","."&amp;D$2&amp;D$1&amp;"C"&amp;$A45)*RTD("tos.rtd",,"GAMMA","."&amp;D$2&amp;D$1&amp;"C"&amp;$A45)-$A$4*$A$4*RTD("tos.rtd",,"OPEN_INT","."&amp;D$2&amp;D$1&amp;"P"&amp;$A45)*RTD("tos.rtd",,"GAMMA","."&amp;D$2&amp;D$1&amp;"P"&amp;$A45))/1000000,0),IF($A$2="SKEW",IFERROR(VALUE(IF(RTD("tos.rtd",,"IMPL_VOL","."&amp;D$2&amp;D$1&amp;"P"&amp;$A45)="N/A",0,RTD("tos.rtd",,"IMPL_VOL","."&amp;D$2&amp;D$1&amp;"P"&amp;$A45))),0)-IFERROR(VALUE(IF(RTD("tos.rtd",,"IMPL_VOL","."&amp;D$2&amp;D$1&amp;"C"&amp;$A45)="N/A",0,RTD("tos.rtd",,"IMPL_VOL","."&amp;D$2&amp;D$1&amp;"C"&amp;$A45))),0),IF($A$2="MAXPAIN",IF($A$4&gt;$A45,($A$4-$A45)*IF(RTD("tos.rtd",,"OPEN_INT","."&amp;D$2&amp;D$1&amp;"C"&amp;$A45)="N/A",0,RTD("tos.rtd",,"OPEN_INT","."&amp;D$2&amp;D$1&amp;"C"&amp;$A45)),0)+IF($A$4&lt;$A45,($A45-$A$4)*IF(RTD("tos.rtd",,"OPEN_INT","."&amp;D$2&amp;D$1&amp;"P"&amp;$A45)="N/A",0,RTD("tos.rtd",,"OPEN_INT","."&amp;D$2&amp;D$1&amp;"P"&amp;$A45)),0),IF(RTD("tos.rtd",,$A$2,"."&amp;D$2&amp;D$1&amp;"C"&amp;$A45)="N/A",0,RTD("tos.rtd",,$A$2,"."&amp;D$2&amp;D$1&amp;"C"&amp;$A45))-IF(RTD("tos.rtd",,$A$2,"."&amp;D$2&amp;D$1&amp;"P"&amp;$A45)="N/A",0,RTD("tos.rtd",,$A$2,"."&amp;D$2&amp;D$1&amp;"P"&amp;$A45)))))))))</f>
        <v>0</v>
      </c>
      <c r="E45" s="12">
        <f>IF($A$2="PREMIUM_OI",IFERROR((100*RTD("tos.rtd",,"OPEN_INT","."&amp;E$2&amp;E$1&amp;"C"&amp;$A45)*RTD("tos.rtd",,"LAST","."&amp;E$2&amp;E$1&amp;"C"&amp;$A45)-100*RTD("tos.rtd",,"OPEN_INT","."&amp;E$2&amp;E$1&amp;"P"&amp;$A45)*RTD("tos.rtd",,"LAST","."&amp;E$2&amp;E$1&amp;"P"&amp;$A45))/1000000,0),IF($A$2="PREMIUM",IFERROR((100*RTD("tos.rtd",,"VOLUME","."&amp;E$2&amp;E$1&amp;"C"&amp;$A45)*RTD("tos.rtd",,"LAST","."&amp;E$2&amp;E$1&amp;"C"&amp;$A45)-100*RTD("tos.rtd",,"VOLUME","."&amp;E$2&amp;E$1&amp;"P"&amp;$A45)*RTD("tos.rtd",,"LAST","."&amp;E$2&amp;E$1&amp;"P"&amp;$A45))/1000000,0),IF($A$2="DEX",IFERROR((100*RTD("tos.rtd",,"OPEN_INT","."&amp;E$2&amp;E$1&amp;"C"&amp;$A45)*RTD("tos.rtd",,"DELTA","."&amp;E$2&amp;E$1&amp;"C"&amp;$A45)-100*RTD("tos.rtd",,"OPEN_INT","."&amp;E$2&amp;E$1&amp;"P"&amp;$A45)*RTD("tos.rtd",,"DELTA","."&amp;E$2&amp;E$1&amp;"P"&amp;$A45))/1000,0),IF($A$2="VEX",IFERROR(($A$4*$A$4*RTD("tos.rtd",,"VOLUME","."&amp;E$2&amp;E$1&amp;"C"&amp;$A45)*RTD("tos.rtd",,"GAMMA","."&amp;E$2&amp;E$1&amp;"C"&amp;$A45)-$A$4*$A$4*RTD("tos.rtd",,"VOLUME","."&amp;E$2&amp;E$1&amp;"P"&amp;$A45)*RTD("tos.rtd",,"GAMMA","."&amp;E$2&amp;E$1&amp;"P"&amp;$A45))/1000000,0),IF($A$2="GEX",IFERROR(($A$4*$A$4*RTD("tos.rtd",,"OPEN_INT","."&amp;E$2&amp;E$1&amp;"C"&amp;$A45)*RTD("tos.rtd",,"GAMMA","."&amp;E$2&amp;E$1&amp;"C"&amp;$A45)-$A$4*$A$4*RTD("tos.rtd",,"OPEN_INT","."&amp;E$2&amp;E$1&amp;"P"&amp;$A45)*RTD("tos.rtd",,"GAMMA","."&amp;E$2&amp;E$1&amp;"P"&amp;$A45))/1000000,0),IF($A$2="SKEW",IFERROR(VALUE(IF(RTD("tos.rtd",,"IMPL_VOL","."&amp;E$2&amp;E$1&amp;"P"&amp;$A45)="N/A",0,RTD("tos.rtd",,"IMPL_VOL","."&amp;E$2&amp;E$1&amp;"P"&amp;$A45))),0)-IFERROR(VALUE(IF(RTD("tos.rtd",,"IMPL_VOL","."&amp;E$2&amp;E$1&amp;"C"&amp;$A45)="N/A",0,RTD("tos.rtd",,"IMPL_VOL","."&amp;E$2&amp;E$1&amp;"C"&amp;$A45))),0),IF($A$2="MAXPAIN",IF($A$4&gt;$A45,($A$4-$A45)*IF(RTD("tos.rtd",,"OPEN_INT","."&amp;E$2&amp;E$1&amp;"C"&amp;$A45)="N/A",0,RTD("tos.rtd",,"OPEN_INT","."&amp;E$2&amp;E$1&amp;"C"&amp;$A45)),0)+IF($A$4&lt;$A45,($A45-$A$4)*IF(RTD("tos.rtd",,"OPEN_INT","."&amp;E$2&amp;E$1&amp;"P"&amp;$A45)="N/A",0,RTD("tos.rtd",,"OPEN_INT","."&amp;E$2&amp;E$1&amp;"P"&amp;$A45)),0),IF(RTD("tos.rtd",,$A$2,"."&amp;E$2&amp;E$1&amp;"C"&amp;$A45)="N/A",0,RTD("tos.rtd",,$A$2,"."&amp;E$2&amp;E$1&amp;"C"&amp;$A45))-IF(RTD("tos.rtd",,$A$2,"."&amp;E$2&amp;E$1&amp;"P"&amp;$A45)="N/A",0,RTD("tos.rtd",,$A$2,"."&amp;E$2&amp;E$1&amp;"P"&amp;$A45)))))))))</f>
        <v>0</v>
      </c>
      <c r="F45" s="12">
        <f>IF($A$2="PREMIUM_OI",IFERROR((100*RTD("tos.rtd",,"OPEN_INT","."&amp;F$2&amp;F$1&amp;"C"&amp;$A45)*RTD("tos.rtd",,"LAST","."&amp;F$2&amp;F$1&amp;"C"&amp;$A45)-100*RTD("tos.rtd",,"OPEN_INT","."&amp;F$2&amp;F$1&amp;"P"&amp;$A45)*RTD("tos.rtd",,"LAST","."&amp;F$2&amp;F$1&amp;"P"&amp;$A45))/1000000,0),IF($A$2="PREMIUM",IFERROR((100*RTD("tos.rtd",,"VOLUME","."&amp;F$2&amp;F$1&amp;"C"&amp;$A45)*RTD("tos.rtd",,"LAST","."&amp;F$2&amp;F$1&amp;"C"&amp;$A45)-100*RTD("tos.rtd",,"VOLUME","."&amp;F$2&amp;F$1&amp;"P"&amp;$A45)*RTD("tos.rtd",,"LAST","."&amp;F$2&amp;F$1&amp;"P"&amp;$A45))/1000000,0),IF($A$2="DEX",IFERROR((100*RTD("tos.rtd",,"OPEN_INT","."&amp;F$2&amp;F$1&amp;"C"&amp;$A45)*RTD("tos.rtd",,"DELTA","."&amp;F$2&amp;F$1&amp;"C"&amp;$A45)-100*RTD("tos.rtd",,"OPEN_INT","."&amp;F$2&amp;F$1&amp;"P"&amp;$A45)*RTD("tos.rtd",,"DELTA","."&amp;F$2&amp;F$1&amp;"P"&amp;$A45))/1000,0),IF($A$2="VEX",IFERROR(($A$4*$A$4*RTD("tos.rtd",,"VOLUME","."&amp;F$2&amp;F$1&amp;"C"&amp;$A45)*RTD("tos.rtd",,"GAMMA","."&amp;F$2&amp;F$1&amp;"C"&amp;$A45)-$A$4*$A$4*RTD("tos.rtd",,"VOLUME","."&amp;F$2&amp;F$1&amp;"P"&amp;$A45)*RTD("tos.rtd",,"GAMMA","."&amp;F$2&amp;F$1&amp;"P"&amp;$A45))/1000000,0),IF($A$2="GEX",IFERROR(($A$4*$A$4*RTD("tos.rtd",,"OPEN_INT","."&amp;F$2&amp;F$1&amp;"C"&amp;$A45)*RTD("tos.rtd",,"GAMMA","."&amp;F$2&amp;F$1&amp;"C"&amp;$A45)-$A$4*$A$4*RTD("tos.rtd",,"OPEN_INT","."&amp;F$2&amp;F$1&amp;"P"&amp;$A45)*RTD("tos.rtd",,"GAMMA","."&amp;F$2&amp;F$1&amp;"P"&amp;$A45))/1000000,0),IF($A$2="SKEW",IFERROR(VALUE(IF(RTD("tos.rtd",,"IMPL_VOL","."&amp;F$2&amp;F$1&amp;"P"&amp;$A45)="N/A",0,RTD("tos.rtd",,"IMPL_VOL","."&amp;F$2&amp;F$1&amp;"P"&amp;$A45))),0)-IFERROR(VALUE(IF(RTD("tos.rtd",,"IMPL_VOL","."&amp;F$2&amp;F$1&amp;"C"&amp;$A45)="N/A",0,RTD("tos.rtd",,"IMPL_VOL","."&amp;F$2&amp;F$1&amp;"C"&amp;$A45))),0),IF($A$2="MAXPAIN",IF($A$4&gt;$A45,($A$4-$A45)*IF(RTD("tos.rtd",,"OPEN_INT","."&amp;F$2&amp;F$1&amp;"C"&amp;$A45)="N/A",0,RTD("tos.rtd",,"OPEN_INT","."&amp;F$2&amp;F$1&amp;"C"&amp;$A45)),0)+IF($A$4&lt;$A45,($A45-$A$4)*IF(RTD("tos.rtd",,"OPEN_INT","."&amp;F$2&amp;F$1&amp;"P"&amp;$A45)="N/A",0,RTD("tos.rtd",,"OPEN_INT","."&amp;F$2&amp;F$1&amp;"P"&amp;$A45)),0),IF(RTD("tos.rtd",,$A$2,"."&amp;F$2&amp;F$1&amp;"C"&amp;$A45)="N/A",0,RTD("tos.rtd",,$A$2,"."&amp;F$2&amp;F$1&amp;"C"&amp;$A45))-IF(RTD("tos.rtd",,$A$2,"."&amp;F$2&amp;F$1&amp;"P"&amp;$A45)="N/A",0,RTD("tos.rtd",,$A$2,"."&amp;F$2&amp;F$1&amp;"P"&amp;$A45)))))))))</f>
        <v>0</v>
      </c>
      <c r="G45" s="14">
        <f>IF($A$2="PREMIUM_OI",IFERROR((100*RTD("tos.rtd",,"OPEN_INT","."&amp;G$2&amp;G$1&amp;"C"&amp;$A45)*RTD("tos.rtd",,"LAST","."&amp;G$2&amp;G$1&amp;"C"&amp;$A45)-100*RTD("tos.rtd",,"OPEN_INT","."&amp;G$2&amp;G$1&amp;"P"&amp;$A45)*RTD("tos.rtd",,"LAST","."&amp;G$2&amp;G$1&amp;"P"&amp;$A45))/1000000,0),IF($A$2="PREMIUM",IFERROR((100*RTD("tos.rtd",,"VOLUME","."&amp;G$2&amp;G$1&amp;"C"&amp;$A45)*RTD("tos.rtd",,"LAST","."&amp;G$2&amp;G$1&amp;"C"&amp;$A45)-100*RTD("tos.rtd",,"VOLUME","."&amp;G$2&amp;G$1&amp;"P"&amp;$A45)*RTD("tos.rtd",,"LAST","."&amp;G$2&amp;G$1&amp;"P"&amp;$A45))/1000000,0),IF($A$2="DEX",IFERROR((100*RTD("tos.rtd",,"OPEN_INT","."&amp;G$2&amp;G$1&amp;"C"&amp;$A45)*RTD("tos.rtd",,"DELTA","."&amp;G$2&amp;G$1&amp;"C"&amp;$A45)-100*RTD("tos.rtd",,"OPEN_INT","."&amp;G$2&amp;G$1&amp;"P"&amp;$A45)*RTD("tos.rtd",,"DELTA","."&amp;G$2&amp;G$1&amp;"P"&amp;$A45))/1000,0),IF($A$2="VEX",IFERROR(($A$4*$A$4*RTD("tos.rtd",,"VOLUME","."&amp;G$2&amp;G$1&amp;"C"&amp;$A45)*RTD("tos.rtd",,"GAMMA","."&amp;G$2&amp;G$1&amp;"C"&amp;$A45)-$A$4*$A$4*RTD("tos.rtd",,"VOLUME","."&amp;G$2&amp;G$1&amp;"P"&amp;$A45)*RTD("tos.rtd",,"GAMMA","."&amp;G$2&amp;G$1&amp;"P"&amp;$A45))/1000000,0),IF($A$2="GEX",IFERROR(($A$4*$A$4*RTD("tos.rtd",,"OPEN_INT","."&amp;G$2&amp;G$1&amp;"C"&amp;$A45)*RTD("tos.rtd",,"GAMMA","."&amp;G$2&amp;G$1&amp;"C"&amp;$A45)-$A$4*$A$4*RTD("tos.rtd",,"OPEN_INT","."&amp;G$2&amp;G$1&amp;"P"&amp;$A45)*RTD("tos.rtd",,"GAMMA","."&amp;G$2&amp;G$1&amp;"P"&amp;$A45))/1000000,0),IF($A$2="SKEW",IFERROR(VALUE(IF(RTD("tos.rtd",,"IMPL_VOL","."&amp;G$2&amp;G$1&amp;"P"&amp;$A45)="N/A",0,RTD("tos.rtd",,"IMPL_VOL","."&amp;G$2&amp;G$1&amp;"P"&amp;$A45))),0)-IFERROR(VALUE(IF(RTD("tos.rtd",,"IMPL_VOL","."&amp;G$2&amp;G$1&amp;"C"&amp;$A45)="N/A",0,RTD("tos.rtd",,"IMPL_VOL","."&amp;G$2&amp;G$1&amp;"C"&amp;$A45))),0),IF($A$2="MAXPAIN",IF($A$4&gt;$A45,($A$4-$A45)*IF(RTD("tos.rtd",,"OPEN_INT","."&amp;G$2&amp;G$1&amp;"C"&amp;$A45)="N/A",0,RTD("tos.rtd",,"OPEN_INT","."&amp;G$2&amp;G$1&amp;"C"&amp;$A45)),0)+IF($A$4&lt;$A45,($A45-$A$4)*IF(RTD("tos.rtd",,"OPEN_INT","."&amp;G$2&amp;G$1&amp;"P"&amp;$A45)="N/A",0,RTD("tos.rtd",,"OPEN_INT","."&amp;G$2&amp;G$1&amp;"P"&amp;$A45)),0),IF(RTD("tos.rtd",,$A$2,"."&amp;G$2&amp;G$1&amp;"C"&amp;$A45)="N/A",0,RTD("tos.rtd",,$A$2,"."&amp;G$2&amp;G$1&amp;"C"&amp;$A45))-IF(RTD("tos.rtd",,$A$2,"."&amp;G$2&amp;G$1&amp;"P"&amp;$A45)="N/A",0,RTD("tos.rtd",,$A$2,"."&amp;G$2&amp;G$1&amp;"P"&amp;$A45)))))))))</f>
        <v>0</v>
      </c>
      <c r="H45" s="12">
        <f>IF($A$2="PREMIUM_OI",IFERROR((100*RTD("tos.rtd",,"OPEN_INT","."&amp;H$2&amp;H$1&amp;"C"&amp;$A45)*RTD("tos.rtd",,"LAST","."&amp;H$2&amp;H$1&amp;"C"&amp;$A45)-100*RTD("tos.rtd",,"OPEN_INT","."&amp;H$2&amp;H$1&amp;"P"&amp;$A45)*RTD("tos.rtd",,"LAST","."&amp;H$2&amp;H$1&amp;"P"&amp;$A45))/1000000,0),IF($A$2="PREMIUM",IFERROR((100*RTD("tos.rtd",,"VOLUME","."&amp;H$2&amp;H$1&amp;"C"&amp;$A45)*RTD("tos.rtd",,"LAST","."&amp;H$2&amp;H$1&amp;"C"&amp;$A45)-100*RTD("tos.rtd",,"VOLUME","."&amp;H$2&amp;H$1&amp;"P"&amp;$A45)*RTD("tos.rtd",,"LAST","."&amp;H$2&amp;H$1&amp;"P"&amp;$A45))/1000000,0),IF($A$2="DEX",IFERROR((100*RTD("tos.rtd",,"OPEN_INT","."&amp;H$2&amp;H$1&amp;"C"&amp;$A45)*RTD("tos.rtd",,"DELTA","."&amp;H$2&amp;H$1&amp;"C"&amp;$A45)-100*RTD("tos.rtd",,"OPEN_INT","."&amp;H$2&amp;H$1&amp;"P"&amp;$A45)*RTD("tos.rtd",,"DELTA","."&amp;H$2&amp;H$1&amp;"P"&amp;$A45))/1000,0),IF($A$2="VEX",IFERROR(($A$4*$A$4*RTD("tos.rtd",,"VOLUME","."&amp;H$2&amp;H$1&amp;"C"&amp;$A45)*RTD("tos.rtd",,"GAMMA","."&amp;H$2&amp;H$1&amp;"C"&amp;$A45)-$A$4*$A$4*RTD("tos.rtd",,"VOLUME","."&amp;H$2&amp;H$1&amp;"P"&amp;$A45)*RTD("tos.rtd",,"GAMMA","."&amp;H$2&amp;H$1&amp;"P"&amp;$A45))/1000000,0),IF($A$2="GEX",IFERROR(($A$4*$A$4*RTD("tos.rtd",,"OPEN_INT","."&amp;H$2&amp;H$1&amp;"C"&amp;$A45)*RTD("tos.rtd",,"GAMMA","."&amp;H$2&amp;H$1&amp;"C"&amp;$A45)-$A$4*$A$4*RTD("tos.rtd",,"OPEN_INT","."&amp;H$2&amp;H$1&amp;"P"&amp;$A45)*RTD("tos.rtd",,"GAMMA","."&amp;H$2&amp;H$1&amp;"P"&amp;$A45))/1000000,0),IF($A$2="SKEW",IFERROR(VALUE(IF(RTD("tos.rtd",,"IMPL_VOL","."&amp;H$2&amp;H$1&amp;"P"&amp;$A45)="N/A",0,RTD("tos.rtd",,"IMPL_VOL","."&amp;H$2&amp;H$1&amp;"P"&amp;$A45))),0)-IFERROR(VALUE(IF(RTD("tos.rtd",,"IMPL_VOL","."&amp;H$2&amp;H$1&amp;"C"&amp;$A45)="N/A",0,RTD("tos.rtd",,"IMPL_VOL","."&amp;H$2&amp;H$1&amp;"C"&amp;$A45))),0),IF($A$2="MAXPAIN",IF($A$4&gt;$A45,($A$4-$A45)*IF(RTD("tos.rtd",,"OPEN_INT","."&amp;H$2&amp;H$1&amp;"C"&amp;$A45)="N/A",0,RTD("tos.rtd",,"OPEN_INT","."&amp;H$2&amp;H$1&amp;"C"&amp;$A45)),0)+IF($A$4&lt;$A45,($A45-$A$4)*IF(RTD("tos.rtd",,"OPEN_INT","."&amp;H$2&amp;H$1&amp;"P"&amp;$A45)="N/A",0,RTD("tos.rtd",,"OPEN_INT","."&amp;H$2&amp;H$1&amp;"P"&amp;$A45)),0),IF(RTD("tos.rtd",,$A$2,"."&amp;H$2&amp;H$1&amp;"C"&amp;$A45)="N/A",0,RTD("tos.rtd",,$A$2,"."&amp;H$2&amp;H$1&amp;"C"&amp;$A45))-IF(RTD("tos.rtd",,$A$2,"."&amp;H$2&amp;H$1&amp;"P"&amp;$A45)="N/A",0,RTD("tos.rtd",,$A$2,"."&amp;H$2&amp;H$1&amp;"P"&amp;$A45)))))))))</f>
        <v>0</v>
      </c>
      <c r="I45" s="12">
        <f>IF($A$2="PREMIUM_OI",IFERROR((100*RTD("tos.rtd",,"OPEN_INT","."&amp;I$2&amp;I$1&amp;"C"&amp;$A45)*RTD("tos.rtd",,"LAST","."&amp;I$2&amp;I$1&amp;"C"&amp;$A45)-100*RTD("tos.rtd",,"OPEN_INT","."&amp;I$2&amp;I$1&amp;"P"&amp;$A45)*RTD("tos.rtd",,"LAST","."&amp;I$2&amp;I$1&amp;"P"&amp;$A45))/1000000,0),IF($A$2="PREMIUM",IFERROR((100*RTD("tos.rtd",,"VOLUME","."&amp;I$2&amp;I$1&amp;"C"&amp;$A45)*RTD("tos.rtd",,"LAST","."&amp;I$2&amp;I$1&amp;"C"&amp;$A45)-100*RTD("tos.rtd",,"VOLUME","."&amp;I$2&amp;I$1&amp;"P"&amp;$A45)*RTD("tos.rtd",,"LAST","."&amp;I$2&amp;I$1&amp;"P"&amp;$A45))/1000000,0),IF($A$2="DEX",IFERROR((100*RTD("tos.rtd",,"OPEN_INT","."&amp;I$2&amp;I$1&amp;"C"&amp;$A45)*RTD("tos.rtd",,"DELTA","."&amp;I$2&amp;I$1&amp;"C"&amp;$A45)-100*RTD("tos.rtd",,"OPEN_INT","."&amp;I$2&amp;I$1&amp;"P"&amp;$A45)*RTD("tos.rtd",,"DELTA","."&amp;I$2&amp;I$1&amp;"P"&amp;$A45))/1000,0),IF($A$2="VEX",IFERROR(($A$4*$A$4*RTD("tos.rtd",,"VOLUME","."&amp;I$2&amp;I$1&amp;"C"&amp;$A45)*RTD("tos.rtd",,"GAMMA","."&amp;I$2&amp;I$1&amp;"C"&amp;$A45)-$A$4*$A$4*RTD("tos.rtd",,"VOLUME","."&amp;I$2&amp;I$1&amp;"P"&amp;$A45)*RTD("tos.rtd",,"GAMMA","."&amp;I$2&amp;I$1&amp;"P"&amp;$A45))/1000000,0),IF($A$2="GEX",IFERROR(($A$4*$A$4*RTD("tos.rtd",,"OPEN_INT","."&amp;I$2&amp;I$1&amp;"C"&amp;$A45)*RTD("tos.rtd",,"GAMMA","."&amp;I$2&amp;I$1&amp;"C"&amp;$A45)-$A$4*$A$4*RTD("tos.rtd",,"OPEN_INT","."&amp;I$2&amp;I$1&amp;"P"&amp;$A45)*RTD("tos.rtd",,"GAMMA","."&amp;I$2&amp;I$1&amp;"P"&amp;$A45))/1000000,0),IF($A$2="SKEW",IFERROR(VALUE(IF(RTD("tos.rtd",,"IMPL_VOL","."&amp;I$2&amp;I$1&amp;"P"&amp;$A45)="N/A",0,RTD("tos.rtd",,"IMPL_VOL","."&amp;I$2&amp;I$1&amp;"P"&amp;$A45))),0)-IFERROR(VALUE(IF(RTD("tos.rtd",,"IMPL_VOL","."&amp;I$2&amp;I$1&amp;"C"&amp;$A45)="N/A",0,RTD("tos.rtd",,"IMPL_VOL","."&amp;I$2&amp;I$1&amp;"C"&amp;$A45))),0),IF($A$2="MAXPAIN",IF($A$4&gt;$A45,($A$4-$A45)*IF(RTD("tos.rtd",,"OPEN_INT","."&amp;I$2&amp;I$1&amp;"C"&amp;$A45)="N/A",0,RTD("tos.rtd",,"OPEN_INT","."&amp;I$2&amp;I$1&amp;"C"&amp;$A45)),0)+IF($A$4&lt;$A45,($A45-$A$4)*IF(RTD("tos.rtd",,"OPEN_INT","."&amp;I$2&amp;I$1&amp;"P"&amp;$A45)="N/A",0,RTD("tos.rtd",,"OPEN_INT","."&amp;I$2&amp;I$1&amp;"P"&amp;$A45)),0),IF(RTD("tos.rtd",,$A$2,"."&amp;I$2&amp;I$1&amp;"C"&amp;$A45)="N/A",0,RTD("tos.rtd",,$A$2,"."&amp;I$2&amp;I$1&amp;"C"&amp;$A45))-IF(RTD("tos.rtd",,$A$2,"."&amp;I$2&amp;I$1&amp;"P"&amp;$A45)="N/A",0,RTD("tos.rtd",,$A$2,"."&amp;I$2&amp;I$1&amp;"P"&amp;$A45)))))))))</f>
        <v>0</v>
      </c>
      <c r="J45" s="12">
        <f>IF($A$2="PREMIUM_OI",IFERROR((100*RTD("tos.rtd",,"OPEN_INT","."&amp;J$2&amp;J$1&amp;"C"&amp;$A45)*RTD("tos.rtd",,"LAST","."&amp;J$2&amp;J$1&amp;"C"&amp;$A45)-100*RTD("tos.rtd",,"OPEN_INT","."&amp;J$2&amp;J$1&amp;"P"&amp;$A45)*RTD("tos.rtd",,"LAST","."&amp;J$2&amp;J$1&amp;"P"&amp;$A45))/1000000,0),IF($A$2="PREMIUM",IFERROR((100*RTD("tos.rtd",,"VOLUME","."&amp;J$2&amp;J$1&amp;"C"&amp;$A45)*RTD("tos.rtd",,"LAST","."&amp;J$2&amp;J$1&amp;"C"&amp;$A45)-100*RTD("tos.rtd",,"VOLUME","."&amp;J$2&amp;J$1&amp;"P"&amp;$A45)*RTD("tos.rtd",,"LAST","."&amp;J$2&amp;J$1&amp;"P"&amp;$A45))/1000000,0),IF($A$2="DEX",IFERROR((100*RTD("tos.rtd",,"OPEN_INT","."&amp;J$2&amp;J$1&amp;"C"&amp;$A45)*RTD("tos.rtd",,"DELTA","."&amp;J$2&amp;J$1&amp;"C"&amp;$A45)-100*RTD("tos.rtd",,"OPEN_INT","."&amp;J$2&amp;J$1&amp;"P"&amp;$A45)*RTD("tos.rtd",,"DELTA","."&amp;J$2&amp;J$1&amp;"P"&amp;$A45))/1000,0),IF($A$2="VEX",IFERROR(($A$4*$A$4*RTD("tos.rtd",,"VOLUME","."&amp;J$2&amp;J$1&amp;"C"&amp;$A45)*RTD("tos.rtd",,"GAMMA","."&amp;J$2&amp;J$1&amp;"C"&amp;$A45)-$A$4*$A$4*RTD("tos.rtd",,"VOLUME","."&amp;J$2&amp;J$1&amp;"P"&amp;$A45)*RTD("tos.rtd",,"GAMMA","."&amp;J$2&amp;J$1&amp;"P"&amp;$A45))/1000000,0),IF($A$2="GEX",IFERROR(($A$4*$A$4*RTD("tos.rtd",,"OPEN_INT","."&amp;J$2&amp;J$1&amp;"C"&amp;$A45)*RTD("tos.rtd",,"GAMMA","."&amp;J$2&amp;J$1&amp;"C"&amp;$A45)-$A$4*$A$4*RTD("tos.rtd",,"OPEN_INT","."&amp;J$2&amp;J$1&amp;"P"&amp;$A45)*RTD("tos.rtd",,"GAMMA","."&amp;J$2&amp;J$1&amp;"P"&amp;$A45))/1000000,0),IF($A$2="SKEW",IFERROR(VALUE(IF(RTD("tos.rtd",,"IMPL_VOL","."&amp;J$2&amp;J$1&amp;"P"&amp;$A45)="N/A",0,RTD("tos.rtd",,"IMPL_VOL","."&amp;J$2&amp;J$1&amp;"P"&amp;$A45))),0)-IFERROR(VALUE(IF(RTD("tos.rtd",,"IMPL_VOL","."&amp;J$2&amp;J$1&amp;"C"&amp;$A45)="N/A",0,RTD("tos.rtd",,"IMPL_VOL","."&amp;J$2&amp;J$1&amp;"C"&amp;$A45))),0),IF($A$2="MAXPAIN",IF($A$4&gt;$A45,($A$4-$A45)*IF(RTD("tos.rtd",,"OPEN_INT","."&amp;J$2&amp;J$1&amp;"C"&amp;$A45)="N/A",0,RTD("tos.rtd",,"OPEN_INT","."&amp;J$2&amp;J$1&amp;"C"&amp;$A45)),0)+IF($A$4&lt;$A45,($A45-$A$4)*IF(RTD("tos.rtd",,"OPEN_INT","."&amp;J$2&amp;J$1&amp;"P"&amp;$A45)="N/A",0,RTD("tos.rtd",,"OPEN_INT","."&amp;J$2&amp;J$1&amp;"P"&amp;$A45)),0),IF(RTD("tos.rtd",,$A$2,"."&amp;J$2&amp;J$1&amp;"C"&amp;$A45)="N/A",0,RTD("tos.rtd",,$A$2,"."&amp;J$2&amp;J$1&amp;"C"&amp;$A45))-IF(RTD("tos.rtd",,$A$2,"."&amp;J$2&amp;J$1&amp;"P"&amp;$A45)="N/A",0,RTD("tos.rtd",,$A$2,"."&amp;J$2&amp;J$1&amp;"P"&amp;$A45)))))))))</f>
        <v>0</v>
      </c>
      <c r="K45" s="12">
        <f>IF($A$2="PREMIUM_OI",IFERROR((100*RTD("tos.rtd",,"OPEN_INT","."&amp;K$2&amp;K$1&amp;"C"&amp;$A45)*RTD("tos.rtd",,"LAST","."&amp;K$2&amp;K$1&amp;"C"&amp;$A45)-100*RTD("tos.rtd",,"OPEN_INT","."&amp;K$2&amp;K$1&amp;"P"&amp;$A45)*RTD("tos.rtd",,"LAST","."&amp;K$2&amp;K$1&amp;"P"&amp;$A45))/1000000,0),IF($A$2="PREMIUM",IFERROR((100*RTD("tos.rtd",,"VOLUME","."&amp;K$2&amp;K$1&amp;"C"&amp;$A45)*RTD("tos.rtd",,"LAST","."&amp;K$2&amp;K$1&amp;"C"&amp;$A45)-100*RTD("tos.rtd",,"VOLUME","."&amp;K$2&amp;K$1&amp;"P"&amp;$A45)*RTD("tos.rtd",,"LAST","."&amp;K$2&amp;K$1&amp;"P"&amp;$A45))/1000000,0),IF($A$2="DEX",IFERROR((100*RTD("tos.rtd",,"OPEN_INT","."&amp;K$2&amp;K$1&amp;"C"&amp;$A45)*RTD("tos.rtd",,"DELTA","."&amp;K$2&amp;K$1&amp;"C"&amp;$A45)-100*RTD("tos.rtd",,"OPEN_INT","."&amp;K$2&amp;K$1&amp;"P"&amp;$A45)*RTD("tos.rtd",,"DELTA","."&amp;K$2&amp;K$1&amp;"P"&amp;$A45))/1000,0),IF($A$2="VEX",IFERROR(($A$4*$A$4*RTD("tos.rtd",,"VOLUME","."&amp;K$2&amp;K$1&amp;"C"&amp;$A45)*RTD("tos.rtd",,"GAMMA","."&amp;K$2&amp;K$1&amp;"C"&amp;$A45)-$A$4*$A$4*RTD("tos.rtd",,"VOLUME","."&amp;K$2&amp;K$1&amp;"P"&amp;$A45)*RTD("tos.rtd",,"GAMMA","."&amp;K$2&amp;K$1&amp;"P"&amp;$A45))/1000000,0),IF($A$2="GEX",IFERROR(($A$4*$A$4*RTD("tos.rtd",,"OPEN_INT","."&amp;K$2&amp;K$1&amp;"C"&amp;$A45)*RTD("tos.rtd",,"GAMMA","."&amp;K$2&amp;K$1&amp;"C"&amp;$A45)-$A$4*$A$4*RTD("tos.rtd",,"OPEN_INT","."&amp;K$2&amp;K$1&amp;"P"&amp;$A45)*RTD("tos.rtd",,"GAMMA","."&amp;K$2&amp;K$1&amp;"P"&amp;$A45))/1000000,0),IF($A$2="SKEW",IFERROR(VALUE(IF(RTD("tos.rtd",,"IMPL_VOL","."&amp;K$2&amp;K$1&amp;"P"&amp;$A45)="N/A",0,RTD("tos.rtd",,"IMPL_VOL","."&amp;K$2&amp;K$1&amp;"P"&amp;$A45))),0)-IFERROR(VALUE(IF(RTD("tos.rtd",,"IMPL_VOL","."&amp;K$2&amp;K$1&amp;"C"&amp;$A45)="N/A",0,RTD("tos.rtd",,"IMPL_VOL","."&amp;K$2&amp;K$1&amp;"C"&amp;$A45))),0),IF($A$2="MAXPAIN",IF($A$4&gt;$A45,($A$4-$A45)*IF(RTD("tos.rtd",,"OPEN_INT","."&amp;K$2&amp;K$1&amp;"C"&amp;$A45)="N/A",0,RTD("tos.rtd",,"OPEN_INT","."&amp;K$2&amp;K$1&amp;"C"&amp;$A45)),0)+IF($A$4&lt;$A45,($A45-$A$4)*IF(RTD("tos.rtd",,"OPEN_INT","."&amp;K$2&amp;K$1&amp;"P"&amp;$A45)="N/A",0,RTD("tos.rtd",,"OPEN_INT","."&amp;K$2&amp;K$1&amp;"P"&amp;$A45)),0),IF(RTD("tos.rtd",,$A$2,"."&amp;K$2&amp;K$1&amp;"C"&amp;$A45)="N/A",0,RTD("tos.rtd",,$A$2,"."&amp;K$2&amp;K$1&amp;"C"&amp;$A45))-IF(RTD("tos.rtd",,$A$2,"."&amp;K$2&amp;K$1&amp;"P"&amp;$A45)="N/A",0,RTD("tos.rtd",,$A$2,"."&amp;K$2&amp;K$1&amp;"P"&amp;$A45)))))))))</f>
        <v>0</v>
      </c>
      <c r="L45" s="12">
        <f>IF($A$2="PREMIUM_OI",IFERROR((100*RTD("tos.rtd",,"OPEN_INT","."&amp;L$2&amp;L$1&amp;"C"&amp;$A45)*RTD("tos.rtd",,"LAST","."&amp;L$2&amp;L$1&amp;"C"&amp;$A45)-100*RTD("tos.rtd",,"OPEN_INT","."&amp;L$2&amp;L$1&amp;"P"&amp;$A45)*RTD("tos.rtd",,"LAST","."&amp;L$2&amp;L$1&amp;"P"&amp;$A45))/1000000,0),IF($A$2="PREMIUM",IFERROR((100*RTD("tos.rtd",,"VOLUME","."&amp;L$2&amp;L$1&amp;"C"&amp;$A45)*RTD("tos.rtd",,"LAST","."&amp;L$2&amp;L$1&amp;"C"&amp;$A45)-100*RTD("tos.rtd",,"VOLUME","."&amp;L$2&amp;L$1&amp;"P"&amp;$A45)*RTD("tos.rtd",,"LAST","."&amp;L$2&amp;L$1&amp;"P"&amp;$A45))/1000000,0),IF($A$2="DEX",IFERROR((100*RTD("tos.rtd",,"OPEN_INT","."&amp;L$2&amp;L$1&amp;"C"&amp;$A45)*RTD("tos.rtd",,"DELTA","."&amp;L$2&amp;L$1&amp;"C"&amp;$A45)-100*RTD("tos.rtd",,"OPEN_INT","."&amp;L$2&amp;L$1&amp;"P"&amp;$A45)*RTD("tos.rtd",,"DELTA","."&amp;L$2&amp;L$1&amp;"P"&amp;$A45))/1000,0),IF($A$2="VEX",IFERROR(($A$4*$A$4*RTD("tos.rtd",,"VOLUME","."&amp;L$2&amp;L$1&amp;"C"&amp;$A45)*RTD("tos.rtd",,"GAMMA","."&amp;L$2&amp;L$1&amp;"C"&amp;$A45)-$A$4*$A$4*RTD("tos.rtd",,"VOLUME","."&amp;L$2&amp;L$1&amp;"P"&amp;$A45)*RTD("tos.rtd",,"GAMMA","."&amp;L$2&amp;L$1&amp;"P"&amp;$A45))/1000000,0),IF($A$2="GEX",IFERROR(($A$4*$A$4*RTD("tos.rtd",,"OPEN_INT","."&amp;L$2&amp;L$1&amp;"C"&amp;$A45)*RTD("tos.rtd",,"GAMMA","."&amp;L$2&amp;L$1&amp;"C"&amp;$A45)-$A$4*$A$4*RTD("tos.rtd",,"OPEN_INT","."&amp;L$2&amp;L$1&amp;"P"&amp;$A45)*RTD("tos.rtd",,"GAMMA","."&amp;L$2&amp;L$1&amp;"P"&amp;$A45))/1000000,0),IF($A$2="SKEW",IFERROR(VALUE(IF(RTD("tos.rtd",,"IMPL_VOL","."&amp;L$2&amp;L$1&amp;"P"&amp;$A45)="N/A",0,RTD("tos.rtd",,"IMPL_VOL","."&amp;L$2&amp;L$1&amp;"P"&amp;$A45))),0)-IFERROR(VALUE(IF(RTD("tos.rtd",,"IMPL_VOL","."&amp;L$2&amp;L$1&amp;"C"&amp;$A45)="N/A",0,RTD("tos.rtd",,"IMPL_VOL","."&amp;L$2&amp;L$1&amp;"C"&amp;$A45))),0),IF($A$2="MAXPAIN",IF($A$4&gt;$A45,($A$4-$A45)*IF(RTD("tos.rtd",,"OPEN_INT","."&amp;L$2&amp;L$1&amp;"C"&amp;$A45)="N/A",0,RTD("tos.rtd",,"OPEN_INT","."&amp;L$2&amp;L$1&amp;"C"&amp;$A45)),0)+IF($A$4&lt;$A45,($A45-$A$4)*IF(RTD("tos.rtd",,"OPEN_INT","."&amp;L$2&amp;L$1&amp;"P"&amp;$A45)="N/A",0,RTD("tos.rtd",,"OPEN_INT","."&amp;L$2&amp;L$1&amp;"P"&amp;$A45)),0),IF(RTD("tos.rtd",,$A$2,"."&amp;L$2&amp;L$1&amp;"C"&amp;$A45)="N/A",0,RTD("tos.rtd",,$A$2,"."&amp;L$2&amp;L$1&amp;"C"&amp;$A45))-IF(RTD("tos.rtd",,$A$2,"."&amp;L$2&amp;L$1&amp;"P"&amp;$A45)="N/A",0,RTD("tos.rtd",,$A$2,"."&amp;L$2&amp;L$1&amp;"P"&amp;$A45)))))))))</f>
        <v>0</v>
      </c>
      <c r="M45" s="12">
        <f>IF($A$2="PREMIUM_OI",IFERROR((100*RTD("tos.rtd",,"OPEN_INT","."&amp;M$2&amp;M$1&amp;"C"&amp;$A45)*RTD("tos.rtd",,"LAST","."&amp;M$2&amp;M$1&amp;"C"&amp;$A45)-100*RTD("tos.rtd",,"OPEN_INT","."&amp;M$2&amp;M$1&amp;"P"&amp;$A45)*RTD("tos.rtd",,"LAST","."&amp;M$2&amp;M$1&amp;"P"&amp;$A45))/1000000,0),IF($A$2="PREMIUM",IFERROR((100*RTD("tos.rtd",,"VOLUME","."&amp;M$2&amp;M$1&amp;"C"&amp;$A45)*RTD("tos.rtd",,"LAST","."&amp;M$2&amp;M$1&amp;"C"&amp;$A45)-100*RTD("tos.rtd",,"VOLUME","."&amp;M$2&amp;M$1&amp;"P"&amp;$A45)*RTD("tos.rtd",,"LAST","."&amp;M$2&amp;M$1&amp;"P"&amp;$A45))/1000000,0),IF($A$2="DEX",IFERROR((100*RTD("tos.rtd",,"OPEN_INT","."&amp;M$2&amp;M$1&amp;"C"&amp;$A45)*RTD("tos.rtd",,"DELTA","."&amp;M$2&amp;M$1&amp;"C"&amp;$A45)-100*RTD("tos.rtd",,"OPEN_INT","."&amp;M$2&amp;M$1&amp;"P"&amp;$A45)*RTD("tos.rtd",,"DELTA","."&amp;M$2&amp;M$1&amp;"P"&amp;$A45))/1000,0),IF($A$2="VEX",IFERROR(($A$4*$A$4*RTD("tos.rtd",,"VOLUME","."&amp;M$2&amp;M$1&amp;"C"&amp;$A45)*RTD("tos.rtd",,"GAMMA","."&amp;M$2&amp;M$1&amp;"C"&amp;$A45)-$A$4*$A$4*RTD("tos.rtd",,"VOLUME","."&amp;M$2&amp;M$1&amp;"P"&amp;$A45)*RTD("tos.rtd",,"GAMMA","."&amp;M$2&amp;M$1&amp;"P"&amp;$A45))/1000000,0),IF($A$2="GEX",IFERROR(($A$4*$A$4*RTD("tos.rtd",,"OPEN_INT","."&amp;M$2&amp;M$1&amp;"C"&amp;$A45)*RTD("tos.rtd",,"GAMMA","."&amp;M$2&amp;M$1&amp;"C"&amp;$A45)-$A$4*$A$4*RTD("tos.rtd",,"OPEN_INT","."&amp;M$2&amp;M$1&amp;"P"&amp;$A45)*RTD("tos.rtd",,"GAMMA","."&amp;M$2&amp;M$1&amp;"P"&amp;$A45))/1000000,0),IF($A$2="SKEW",IFERROR(VALUE(IF(RTD("tos.rtd",,"IMPL_VOL","."&amp;M$2&amp;M$1&amp;"P"&amp;$A45)="N/A",0,RTD("tos.rtd",,"IMPL_VOL","."&amp;M$2&amp;M$1&amp;"P"&amp;$A45))),0)-IFERROR(VALUE(IF(RTD("tos.rtd",,"IMPL_VOL","."&amp;M$2&amp;M$1&amp;"C"&amp;$A45)="N/A",0,RTD("tos.rtd",,"IMPL_VOL","."&amp;M$2&amp;M$1&amp;"C"&amp;$A45))),0),IF($A$2="MAXPAIN",IF($A$4&gt;$A45,($A$4-$A45)*IF(RTD("tos.rtd",,"OPEN_INT","."&amp;M$2&amp;M$1&amp;"C"&amp;$A45)="N/A",0,RTD("tos.rtd",,"OPEN_INT","."&amp;M$2&amp;M$1&amp;"C"&amp;$A45)),0)+IF($A$4&lt;$A45,($A45-$A$4)*IF(RTD("tos.rtd",,"OPEN_INT","."&amp;M$2&amp;M$1&amp;"P"&amp;$A45)="N/A",0,RTD("tos.rtd",,"OPEN_INT","."&amp;M$2&amp;M$1&amp;"P"&amp;$A45)),0),IF(RTD("tos.rtd",,$A$2,"."&amp;M$2&amp;M$1&amp;"C"&amp;$A45)="N/A",0,RTD("tos.rtd",,$A$2,"."&amp;M$2&amp;M$1&amp;"C"&amp;$A45))-IF(RTD("tos.rtd",,$A$2,"."&amp;M$2&amp;M$1&amp;"P"&amp;$A45)="N/A",0,RTD("tos.rtd",,$A$2,"."&amp;M$2&amp;M$1&amp;"P"&amp;$A45)))))))))</f>
        <v>0</v>
      </c>
      <c r="N45" s="12">
        <f>IF($A$2="PREMIUM_OI",IFERROR((100*RTD("tos.rtd",,"OPEN_INT","."&amp;N$2&amp;N$1&amp;"C"&amp;$A45)*RTD("tos.rtd",,"LAST","."&amp;N$2&amp;N$1&amp;"C"&amp;$A45)-100*RTD("tos.rtd",,"OPEN_INT","."&amp;N$2&amp;N$1&amp;"P"&amp;$A45)*RTD("tos.rtd",,"LAST","."&amp;N$2&amp;N$1&amp;"P"&amp;$A45))/1000000,0),IF($A$2="PREMIUM",IFERROR((100*RTD("tos.rtd",,"VOLUME","."&amp;N$2&amp;N$1&amp;"C"&amp;$A45)*RTD("tos.rtd",,"LAST","."&amp;N$2&amp;N$1&amp;"C"&amp;$A45)-100*RTD("tos.rtd",,"VOLUME","."&amp;N$2&amp;N$1&amp;"P"&amp;$A45)*RTD("tos.rtd",,"LAST","."&amp;N$2&amp;N$1&amp;"P"&amp;$A45))/1000000,0),IF($A$2="DEX",IFERROR((100*RTD("tos.rtd",,"OPEN_INT","."&amp;N$2&amp;N$1&amp;"C"&amp;$A45)*RTD("tos.rtd",,"DELTA","."&amp;N$2&amp;N$1&amp;"C"&amp;$A45)-100*RTD("tos.rtd",,"OPEN_INT","."&amp;N$2&amp;N$1&amp;"P"&amp;$A45)*RTD("tos.rtd",,"DELTA","."&amp;N$2&amp;N$1&amp;"P"&amp;$A45))/1000,0),IF($A$2="VEX",IFERROR(($A$4*$A$4*RTD("tos.rtd",,"VOLUME","."&amp;N$2&amp;N$1&amp;"C"&amp;$A45)*RTD("tos.rtd",,"GAMMA","."&amp;N$2&amp;N$1&amp;"C"&amp;$A45)-$A$4*$A$4*RTD("tos.rtd",,"VOLUME","."&amp;N$2&amp;N$1&amp;"P"&amp;$A45)*RTD("tos.rtd",,"GAMMA","."&amp;N$2&amp;N$1&amp;"P"&amp;$A45))/1000000,0),IF($A$2="GEX",IFERROR(($A$4*$A$4*RTD("tos.rtd",,"OPEN_INT","."&amp;N$2&amp;N$1&amp;"C"&amp;$A45)*RTD("tos.rtd",,"GAMMA","."&amp;N$2&amp;N$1&amp;"C"&amp;$A45)-$A$4*$A$4*RTD("tos.rtd",,"OPEN_INT","."&amp;N$2&amp;N$1&amp;"P"&amp;$A45)*RTD("tos.rtd",,"GAMMA","."&amp;N$2&amp;N$1&amp;"P"&amp;$A45))/1000000,0),IF($A$2="SKEW",IFERROR(VALUE(IF(RTD("tos.rtd",,"IMPL_VOL","."&amp;N$2&amp;N$1&amp;"P"&amp;$A45)="N/A",0,RTD("tos.rtd",,"IMPL_VOL","."&amp;N$2&amp;N$1&amp;"P"&amp;$A45))),0)-IFERROR(VALUE(IF(RTD("tos.rtd",,"IMPL_VOL","."&amp;N$2&amp;N$1&amp;"C"&amp;$A45)="N/A",0,RTD("tos.rtd",,"IMPL_VOL","."&amp;N$2&amp;N$1&amp;"C"&amp;$A45))),0),IF($A$2="MAXPAIN",IF($A$4&gt;$A45,($A$4-$A45)*IF(RTD("tos.rtd",,"OPEN_INT","."&amp;N$2&amp;N$1&amp;"C"&amp;$A45)="N/A",0,RTD("tos.rtd",,"OPEN_INT","."&amp;N$2&amp;N$1&amp;"C"&amp;$A45)),0)+IF($A$4&lt;$A45,($A45-$A$4)*IF(RTD("tos.rtd",,"OPEN_INT","."&amp;N$2&amp;N$1&amp;"P"&amp;$A45)="N/A",0,RTD("tos.rtd",,"OPEN_INT","."&amp;N$2&amp;N$1&amp;"P"&amp;$A45)),0),IF(RTD("tos.rtd",,$A$2,"."&amp;N$2&amp;N$1&amp;"C"&amp;$A45)="N/A",0,RTD("tos.rtd",,$A$2,"."&amp;N$2&amp;N$1&amp;"C"&amp;$A45))-IF(RTD("tos.rtd",,$A$2,"."&amp;N$2&amp;N$1&amp;"P"&amp;$A45)="N/A",0,RTD("tos.rtd",,$A$2,"."&amp;N$2&amp;N$1&amp;"P"&amp;$A45)))))))))</f>
        <v>0</v>
      </c>
      <c r="O45" s="12">
        <f>IF($A$2="PREMIUM_OI",IFERROR((100*RTD("tos.rtd",,"OPEN_INT","."&amp;O$2&amp;O$1&amp;"C"&amp;$A45)*RTD("tos.rtd",,"LAST","."&amp;O$2&amp;O$1&amp;"C"&amp;$A45)-100*RTD("tos.rtd",,"OPEN_INT","."&amp;O$2&amp;O$1&amp;"P"&amp;$A45)*RTD("tos.rtd",,"LAST","."&amp;O$2&amp;O$1&amp;"P"&amp;$A45))/1000000,0),IF($A$2="PREMIUM",IFERROR((100*RTD("tos.rtd",,"VOLUME","."&amp;O$2&amp;O$1&amp;"C"&amp;$A45)*RTD("tos.rtd",,"LAST","."&amp;O$2&amp;O$1&amp;"C"&amp;$A45)-100*RTD("tos.rtd",,"VOLUME","."&amp;O$2&amp;O$1&amp;"P"&amp;$A45)*RTD("tos.rtd",,"LAST","."&amp;O$2&amp;O$1&amp;"P"&amp;$A45))/1000000,0),IF($A$2="DEX",IFERROR((100*RTD("tos.rtd",,"OPEN_INT","."&amp;O$2&amp;O$1&amp;"C"&amp;$A45)*RTD("tos.rtd",,"DELTA","."&amp;O$2&amp;O$1&amp;"C"&amp;$A45)-100*RTD("tos.rtd",,"OPEN_INT","."&amp;O$2&amp;O$1&amp;"P"&amp;$A45)*RTD("tos.rtd",,"DELTA","."&amp;O$2&amp;O$1&amp;"P"&amp;$A45))/1000,0),IF($A$2="VEX",IFERROR(($A$4*$A$4*RTD("tos.rtd",,"VOLUME","."&amp;O$2&amp;O$1&amp;"C"&amp;$A45)*RTD("tos.rtd",,"GAMMA","."&amp;O$2&amp;O$1&amp;"C"&amp;$A45)-$A$4*$A$4*RTD("tos.rtd",,"VOLUME","."&amp;O$2&amp;O$1&amp;"P"&amp;$A45)*RTD("tos.rtd",,"GAMMA","."&amp;O$2&amp;O$1&amp;"P"&amp;$A45))/1000000,0),IF($A$2="GEX",IFERROR(($A$4*$A$4*RTD("tos.rtd",,"OPEN_INT","."&amp;O$2&amp;O$1&amp;"C"&amp;$A45)*RTD("tos.rtd",,"GAMMA","."&amp;O$2&amp;O$1&amp;"C"&amp;$A45)-$A$4*$A$4*RTD("tos.rtd",,"OPEN_INT","."&amp;O$2&amp;O$1&amp;"P"&amp;$A45)*RTD("tos.rtd",,"GAMMA","."&amp;O$2&amp;O$1&amp;"P"&amp;$A45))/1000000,0),IF($A$2="SKEW",IFERROR(VALUE(IF(RTD("tos.rtd",,"IMPL_VOL","."&amp;O$2&amp;O$1&amp;"P"&amp;$A45)="N/A",0,RTD("tos.rtd",,"IMPL_VOL","."&amp;O$2&amp;O$1&amp;"P"&amp;$A45))),0)-IFERROR(VALUE(IF(RTD("tos.rtd",,"IMPL_VOL","."&amp;O$2&amp;O$1&amp;"C"&amp;$A45)="N/A",0,RTD("tos.rtd",,"IMPL_VOL","."&amp;O$2&amp;O$1&amp;"C"&amp;$A45))),0),IF($A$2="MAXPAIN",IF($A$4&gt;$A45,($A$4-$A45)*IF(RTD("tos.rtd",,"OPEN_INT","."&amp;O$2&amp;O$1&amp;"C"&amp;$A45)="N/A",0,RTD("tos.rtd",,"OPEN_INT","."&amp;O$2&amp;O$1&amp;"C"&amp;$A45)),0)+IF($A$4&lt;$A45,($A45-$A$4)*IF(RTD("tos.rtd",,"OPEN_INT","."&amp;O$2&amp;O$1&amp;"P"&amp;$A45)="N/A",0,RTD("tos.rtd",,"OPEN_INT","."&amp;O$2&amp;O$1&amp;"P"&amp;$A45)),0),IF(RTD("tos.rtd",,$A$2,"."&amp;O$2&amp;O$1&amp;"C"&amp;$A45)="N/A",0,RTD("tos.rtd",,$A$2,"."&amp;O$2&amp;O$1&amp;"C"&amp;$A45))-IF(RTD("tos.rtd",,$A$2,"."&amp;O$2&amp;O$1&amp;"P"&amp;$A45)="N/A",0,RTD("tos.rtd",,$A$2,"."&amp;O$2&amp;O$1&amp;"P"&amp;$A45)))))))))</f>
        <v>0</v>
      </c>
      <c r="P45" s="12">
        <f>IF($A$2="PREMIUM_OI",IFERROR((100*RTD("tos.rtd",,"OPEN_INT","."&amp;P$2&amp;P$1&amp;"C"&amp;$A45)*RTD("tos.rtd",,"LAST","."&amp;P$2&amp;P$1&amp;"C"&amp;$A45)-100*RTD("tos.rtd",,"OPEN_INT","."&amp;P$2&amp;P$1&amp;"P"&amp;$A45)*RTD("tos.rtd",,"LAST","."&amp;P$2&amp;P$1&amp;"P"&amp;$A45))/1000000,0),IF($A$2="PREMIUM",IFERROR((100*RTD("tos.rtd",,"VOLUME","."&amp;P$2&amp;P$1&amp;"C"&amp;$A45)*RTD("tos.rtd",,"LAST","."&amp;P$2&amp;P$1&amp;"C"&amp;$A45)-100*RTD("tos.rtd",,"VOLUME","."&amp;P$2&amp;P$1&amp;"P"&amp;$A45)*RTD("tos.rtd",,"LAST","."&amp;P$2&amp;P$1&amp;"P"&amp;$A45))/1000000,0),IF($A$2="DEX",IFERROR((100*RTD("tos.rtd",,"OPEN_INT","."&amp;P$2&amp;P$1&amp;"C"&amp;$A45)*RTD("tos.rtd",,"DELTA","."&amp;P$2&amp;P$1&amp;"C"&amp;$A45)-100*RTD("tos.rtd",,"OPEN_INT","."&amp;P$2&amp;P$1&amp;"P"&amp;$A45)*RTD("tos.rtd",,"DELTA","."&amp;P$2&amp;P$1&amp;"P"&amp;$A45))/1000,0),IF($A$2="VEX",IFERROR(($A$4*$A$4*RTD("tos.rtd",,"VOLUME","."&amp;P$2&amp;P$1&amp;"C"&amp;$A45)*RTD("tos.rtd",,"GAMMA","."&amp;P$2&amp;P$1&amp;"C"&amp;$A45)-$A$4*$A$4*RTD("tos.rtd",,"VOLUME","."&amp;P$2&amp;P$1&amp;"P"&amp;$A45)*RTD("tos.rtd",,"GAMMA","."&amp;P$2&amp;P$1&amp;"P"&amp;$A45))/1000000,0),IF($A$2="GEX",IFERROR(($A$4*$A$4*RTD("tos.rtd",,"OPEN_INT","."&amp;P$2&amp;P$1&amp;"C"&amp;$A45)*RTD("tos.rtd",,"GAMMA","."&amp;P$2&amp;P$1&amp;"C"&amp;$A45)-$A$4*$A$4*RTD("tos.rtd",,"OPEN_INT","."&amp;P$2&amp;P$1&amp;"P"&amp;$A45)*RTD("tos.rtd",,"GAMMA","."&amp;P$2&amp;P$1&amp;"P"&amp;$A45))/1000000,0),IF($A$2="SKEW",IFERROR(VALUE(IF(RTD("tos.rtd",,"IMPL_VOL","."&amp;P$2&amp;P$1&amp;"P"&amp;$A45)="N/A",0,RTD("tos.rtd",,"IMPL_VOL","."&amp;P$2&amp;P$1&amp;"P"&amp;$A45))),0)-IFERROR(VALUE(IF(RTD("tos.rtd",,"IMPL_VOL","."&amp;P$2&amp;P$1&amp;"C"&amp;$A45)="N/A",0,RTD("tos.rtd",,"IMPL_VOL","."&amp;P$2&amp;P$1&amp;"C"&amp;$A45))),0),IF($A$2="MAXPAIN",IF($A$4&gt;$A45,($A$4-$A45)*IF(RTD("tos.rtd",,"OPEN_INT","."&amp;P$2&amp;P$1&amp;"C"&amp;$A45)="N/A",0,RTD("tos.rtd",,"OPEN_INT","."&amp;P$2&amp;P$1&amp;"C"&amp;$A45)),0)+IF($A$4&lt;$A45,($A45-$A$4)*IF(RTD("tos.rtd",,"OPEN_INT","."&amp;P$2&amp;P$1&amp;"P"&amp;$A45)="N/A",0,RTD("tos.rtd",,"OPEN_INT","."&amp;P$2&amp;P$1&amp;"P"&amp;$A45)),0),IF(RTD("tos.rtd",,$A$2,"."&amp;P$2&amp;P$1&amp;"C"&amp;$A45)="N/A",0,RTD("tos.rtd",,$A$2,"."&amp;P$2&amp;P$1&amp;"C"&amp;$A45))-IF(RTD("tos.rtd",,$A$2,"."&amp;P$2&amp;P$1&amp;"P"&amp;$A45)="N/A",0,RTD("tos.rtd",,$A$2,"."&amp;P$2&amp;P$1&amp;"P"&amp;$A45)))))))))</f>
        <v>0</v>
      </c>
      <c r="Q45" s="12">
        <f>IF($A$2="PREMIUM_OI",IFERROR((100*RTD("tos.rtd",,"OPEN_INT","."&amp;Q$2&amp;Q$1&amp;"C"&amp;$A45)*RTD("tos.rtd",,"LAST","."&amp;Q$2&amp;Q$1&amp;"C"&amp;$A45)-100*RTD("tos.rtd",,"OPEN_INT","."&amp;Q$2&amp;Q$1&amp;"P"&amp;$A45)*RTD("tos.rtd",,"LAST","."&amp;Q$2&amp;Q$1&amp;"P"&amp;$A45))/1000000,0),IF($A$2="PREMIUM",IFERROR((100*RTD("tos.rtd",,"VOLUME","."&amp;Q$2&amp;Q$1&amp;"C"&amp;$A45)*RTD("tos.rtd",,"LAST","."&amp;Q$2&amp;Q$1&amp;"C"&amp;$A45)-100*RTD("tos.rtd",,"VOLUME","."&amp;Q$2&amp;Q$1&amp;"P"&amp;$A45)*RTD("tos.rtd",,"LAST","."&amp;Q$2&amp;Q$1&amp;"P"&amp;$A45))/1000000,0),IF($A$2="DEX",IFERROR((100*RTD("tos.rtd",,"OPEN_INT","."&amp;Q$2&amp;Q$1&amp;"C"&amp;$A45)*RTD("tos.rtd",,"DELTA","."&amp;Q$2&amp;Q$1&amp;"C"&amp;$A45)-100*RTD("tos.rtd",,"OPEN_INT","."&amp;Q$2&amp;Q$1&amp;"P"&amp;$A45)*RTD("tos.rtd",,"DELTA","."&amp;Q$2&amp;Q$1&amp;"P"&amp;$A45))/1000,0),IF($A$2="VEX",IFERROR(($A$4*$A$4*RTD("tos.rtd",,"VOLUME","."&amp;Q$2&amp;Q$1&amp;"C"&amp;$A45)*RTD("tos.rtd",,"GAMMA","."&amp;Q$2&amp;Q$1&amp;"C"&amp;$A45)-$A$4*$A$4*RTD("tos.rtd",,"VOLUME","."&amp;Q$2&amp;Q$1&amp;"P"&amp;$A45)*RTD("tos.rtd",,"GAMMA","."&amp;Q$2&amp;Q$1&amp;"P"&amp;$A45))/1000000,0),IF($A$2="GEX",IFERROR(($A$4*$A$4*RTD("tos.rtd",,"OPEN_INT","."&amp;Q$2&amp;Q$1&amp;"C"&amp;$A45)*RTD("tos.rtd",,"GAMMA","."&amp;Q$2&amp;Q$1&amp;"C"&amp;$A45)-$A$4*$A$4*RTD("tos.rtd",,"OPEN_INT","."&amp;Q$2&amp;Q$1&amp;"P"&amp;$A45)*RTD("tos.rtd",,"GAMMA","."&amp;Q$2&amp;Q$1&amp;"P"&amp;$A45))/1000000,0),IF($A$2="SKEW",IFERROR(VALUE(IF(RTD("tos.rtd",,"IMPL_VOL","."&amp;Q$2&amp;Q$1&amp;"P"&amp;$A45)="N/A",0,RTD("tos.rtd",,"IMPL_VOL","."&amp;Q$2&amp;Q$1&amp;"P"&amp;$A45))),0)-IFERROR(VALUE(IF(RTD("tos.rtd",,"IMPL_VOL","."&amp;Q$2&amp;Q$1&amp;"C"&amp;$A45)="N/A",0,RTD("tos.rtd",,"IMPL_VOL","."&amp;Q$2&amp;Q$1&amp;"C"&amp;$A45))),0),IF($A$2="MAXPAIN",IF($A$4&gt;$A45,($A$4-$A45)*IF(RTD("tos.rtd",,"OPEN_INT","."&amp;Q$2&amp;Q$1&amp;"C"&amp;$A45)="N/A",0,RTD("tos.rtd",,"OPEN_INT","."&amp;Q$2&amp;Q$1&amp;"C"&amp;$A45)),0)+IF($A$4&lt;$A45,($A45-$A$4)*IF(RTD("tos.rtd",,"OPEN_INT","."&amp;Q$2&amp;Q$1&amp;"P"&amp;$A45)="N/A",0,RTD("tos.rtd",,"OPEN_INT","."&amp;Q$2&amp;Q$1&amp;"P"&amp;$A45)),0),IF(RTD("tos.rtd",,$A$2,"."&amp;Q$2&amp;Q$1&amp;"C"&amp;$A45)="N/A",0,RTD("tos.rtd",,$A$2,"."&amp;Q$2&amp;Q$1&amp;"C"&amp;$A45))-IF(RTD("tos.rtd",,$A$2,"."&amp;Q$2&amp;Q$1&amp;"P"&amp;$A45)="N/A",0,RTD("tos.rtd",,$A$2,"."&amp;Q$2&amp;Q$1&amp;"P"&amp;$A45)))))))))</f>
        <v>0</v>
      </c>
      <c r="R45" s="12">
        <f>IF($A$2="PREMIUM_OI",IFERROR((100*RTD("tos.rtd",,"OPEN_INT","."&amp;R$2&amp;R$1&amp;"C"&amp;$A45)*RTD("tos.rtd",,"LAST","."&amp;R$2&amp;R$1&amp;"C"&amp;$A45)-100*RTD("tos.rtd",,"OPEN_INT","."&amp;R$2&amp;R$1&amp;"P"&amp;$A45)*RTD("tos.rtd",,"LAST","."&amp;R$2&amp;R$1&amp;"P"&amp;$A45))/1000000,0),IF($A$2="PREMIUM",IFERROR((100*RTD("tos.rtd",,"VOLUME","."&amp;R$2&amp;R$1&amp;"C"&amp;$A45)*RTD("tos.rtd",,"LAST","."&amp;R$2&amp;R$1&amp;"C"&amp;$A45)-100*RTD("tos.rtd",,"VOLUME","."&amp;R$2&amp;R$1&amp;"P"&amp;$A45)*RTD("tos.rtd",,"LAST","."&amp;R$2&amp;R$1&amp;"P"&amp;$A45))/1000000,0),IF($A$2="DEX",IFERROR((100*RTD("tos.rtd",,"OPEN_INT","."&amp;R$2&amp;R$1&amp;"C"&amp;$A45)*RTD("tos.rtd",,"DELTA","."&amp;R$2&amp;R$1&amp;"C"&amp;$A45)-100*RTD("tos.rtd",,"OPEN_INT","."&amp;R$2&amp;R$1&amp;"P"&amp;$A45)*RTD("tos.rtd",,"DELTA","."&amp;R$2&amp;R$1&amp;"P"&amp;$A45))/1000,0),IF($A$2="VEX",IFERROR(($A$4*$A$4*RTD("tos.rtd",,"VOLUME","."&amp;R$2&amp;R$1&amp;"C"&amp;$A45)*RTD("tos.rtd",,"GAMMA","."&amp;R$2&amp;R$1&amp;"C"&amp;$A45)-$A$4*$A$4*RTD("tos.rtd",,"VOLUME","."&amp;R$2&amp;R$1&amp;"P"&amp;$A45)*RTD("tos.rtd",,"GAMMA","."&amp;R$2&amp;R$1&amp;"P"&amp;$A45))/1000000,0),IF($A$2="GEX",IFERROR(($A$4*$A$4*RTD("tos.rtd",,"OPEN_INT","."&amp;R$2&amp;R$1&amp;"C"&amp;$A45)*RTD("tos.rtd",,"GAMMA","."&amp;R$2&amp;R$1&amp;"C"&amp;$A45)-$A$4*$A$4*RTD("tos.rtd",,"OPEN_INT","."&amp;R$2&amp;R$1&amp;"P"&amp;$A45)*RTD("tos.rtd",,"GAMMA","."&amp;R$2&amp;R$1&amp;"P"&amp;$A45))/1000000,0),IF($A$2="SKEW",IFERROR(VALUE(IF(RTD("tos.rtd",,"IMPL_VOL","."&amp;R$2&amp;R$1&amp;"P"&amp;$A45)="N/A",0,RTD("tos.rtd",,"IMPL_VOL","."&amp;R$2&amp;R$1&amp;"P"&amp;$A45))),0)-IFERROR(VALUE(IF(RTD("tos.rtd",,"IMPL_VOL","."&amp;R$2&amp;R$1&amp;"C"&amp;$A45)="N/A",0,RTD("tos.rtd",,"IMPL_VOL","."&amp;R$2&amp;R$1&amp;"C"&amp;$A45))),0),IF($A$2="MAXPAIN",IF($A$4&gt;$A45,($A$4-$A45)*IF(RTD("tos.rtd",,"OPEN_INT","."&amp;R$2&amp;R$1&amp;"C"&amp;$A45)="N/A",0,RTD("tos.rtd",,"OPEN_INT","."&amp;R$2&amp;R$1&amp;"C"&amp;$A45)),0)+IF($A$4&lt;$A45,($A45-$A$4)*IF(RTD("tos.rtd",,"OPEN_INT","."&amp;R$2&amp;R$1&amp;"P"&amp;$A45)="N/A",0,RTD("tos.rtd",,"OPEN_INT","."&amp;R$2&amp;R$1&amp;"P"&amp;$A45)),0),IF(RTD("tos.rtd",,$A$2,"."&amp;R$2&amp;R$1&amp;"C"&amp;$A45)="N/A",0,RTD("tos.rtd",,$A$2,"."&amp;R$2&amp;R$1&amp;"C"&amp;$A45))-IF(RTD("tos.rtd",,$A$2,"."&amp;R$2&amp;R$1&amp;"P"&amp;$A45)="N/A",0,RTD("tos.rtd",,$A$2,"."&amp;R$2&amp;R$1&amp;"P"&amp;$A45)))))))))</f>
        <v>0</v>
      </c>
      <c r="S45" s="12">
        <f>IF($A$2="PREMIUM_OI",IFERROR((100*RTD("tos.rtd",,"OPEN_INT","."&amp;S$2&amp;S$1&amp;"C"&amp;$A45)*RTD("tos.rtd",,"LAST","."&amp;S$2&amp;S$1&amp;"C"&amp;$A45)-100*RTD("tos.rtd",,"OPEN_INT","."&amp;S$2&amp;S$1&amp;"P"&amp;$A45)*RTD("tos.rtd",,"LAST","."&amp;S$2&amp;S$1&amp;"P"&amp;$A45))/1000000,0),IF($A$2="PREMIUM",IFERROR((100*RTD("tos.rtd",,"VOLUME","."&amp;S$2&amp;S$1&amp;"C"&amp;$A45)*RTD("tos.rtd",,"LAST","."&amp;S$2&amp;S$1&amp;"C"&amp;$A45)-100*RTD("tos.rtd",,"VOLUME","."&amp;S$2&amp;S$1&amp;"P"&amp;$A45)*RTD("tos.rtd",,"LAST","."&amp;S$2&amp;S$1&amp;"P"&amp;$A45))/1000000,0),IF($A$2="DEX",IFERROR((100*RTD("tos.rtd",,"OPEN_INT","."&amp;S$2&amp;S$1&amp;"C"&amp;$A45)*RTD("tos.rtd",,"DELTA","."&amp;S$2&amp;S$1&amp;"C"&amp;$A45)-100*RTD("tos.rtd",,"OPEN_INT","."&amp;S$2&amp;S$1&amp;"P"&amp;$A45)*RTD("tos.rtd",,"DELTA","."&amp;S$2&amp;S$1&amp;"P"&amp;$A45))/1000,0),IF($A$2="VEX",IFERROR(($A$4*$A$4*RTD("tos.rtd",,"VOLUME","."&amp;S$2&amp;S$1&amp;"C"&amp;$A45)*RTD("tos.rtd",,"GAMMA","."&amp;S$2&amp;S$1&amp;"C"&amp;$A45)-$A$4*$A$4*RTD("tos.rtd",,"VOLUME","."&amp;S$2&amp;S$1&amp;"P"&amp;$A45)*RTD("tos.rtd",,"GAMMA","."&amp;S$2&amp;S$1&amp;"P"&amp;$A45))/1000000,0),IF($A$2="GEX",IFERROR(($A$4*$A$4*RTD("tos.rtd",,"OPEN_INT","."&amp;S$2&amp;S$1&amp;"C"&amp;$A45)*RTD("tos.rtd",,"GAMMA","."&amp;S$2&amp;S$1&amp;"C"&amp;$A45)-$A$4*$A$4*RTD("tos.rtd",,"OPEN_INT","."&amp;S$2&amp;S$1&amp;"P"&amp;$A45)*RTD("tos.rtd",,"GAMMA","."&amp;S$2&amp;S$1&amp;"P"&amp;$A45))/1000000,0),IF($A$2="SKEW",IFERROR(VALUE(IF(RTD("tos.rtd",,"IMPL_VOL","."&amp;S$2&amp;S$1&amp;"P"&amp;$A45)="N/A",0,RTD("tos.rtd",,"IMPL_VOL","."&amp;S$2&amp;S$1&amp;"P"&amp;$A45))),0)-IFERROR(VALUE(IF(RTD("tos.rtd",,"IMPL_VOL","."&amp;S$2&amp;S$1&amp;"C"&amp;$A45)="N/A",0,RTD("tos.rtd",,"IMPL_VOL","."&amp;S$2&amp;S$1&amp;"C"&amp;$A45))),0),IF($A$2="MAXPAIN",IF($A$4&gt;$A45,($A$4-$A45)*IF(RTD("tos.rtd",,"OPEN_INT","."&amp;S$2&amp;S$1&amp;"C"&amp;$A45)="N/A",0,RTD("tos.rtd",,"OPEN_INT","."&amp;S$2&amp;S$1&amp;"C"&amp;$A45)),0)+IF($A$4&lt;$A45,($A45-$A$4)*IF(RTD("tos.rtd",,"OPEN_INT","."&amp;S$2&amp;S$1&amp;"P"&amp;$A45)="N/A",0,RTD("tos.rtd",,"OPEN_INT","."&amp;S$2&amp;S$1&amp;"P"&amp;$A45)),0),IF(RTD("tos.rtd",,$A$2,"."&amp;S$2&amp;S$1&amp;"C"&amp;$A45)="N/A",0,RTD("tos.rtd",,$A$2,"."&amp;S$2&amp;S$1&amp;"C"&amp;$A45))-IF(RTD("tos.rtd",,$A$2,"."&amp;S$2&amp;S$1&amp;"P"&amp;$A45)="N/A",0,RTD("tos.rtd",,$A$2,"."&amp;S$2&amp;S$1&amp;"P"&amp;$A45)))))))))</f>
        <v>0</v>
      </c>
      <c r="T45" s="12">
        <f>IF($A$2="PREMIUM_OI",IFERROR((100*RTD("tos.rtd",,"OPEN_INT","."&amp;T$2&amp;T$1&amp;"C"&amp;$A45)*RTD("tos.rtd",,"LAST","."&amp;T$2&amp;T$1&amp;"C"&amp;$A45)-100*RTD("tos.rtd",,"OPEN_INT","."&amp;T$2&amp;T$1&amp;"P"&amp;$A45)*RTD("tos.rtd",,"LAST","."&amp;T$2&amp;T$1&amp;"P"&amp;$A45))/1000000,0),IF($A$2="PREMIUM",IFERROR((100*RTD("tos.rtd",,"VOLUME","."&amp;T$2&amp;T$1&amp;"C"&amp;$A45)*RTD("tos.rtd",,"LAST","."&amp;T$2&amp;T$1&amp;"C"&amp;$A45)-100*RTD("tos.rtd",,"VOLUME","."&amp;T$2&amp;T$1&amp;"P"&amp;$A45)*RTD("tos.rtd",,"LAST","."&amp;T$2&amp;T$1&amp;"P"&amp;$A45))/1000000,0),IF($A$2="DEX",IFERROR((100*RTD("tos.rtd",,"OPEN_INT","."&amp;T$2&amp;T$1&amp;"C"&amp;$A45)*RTD("tos.rtd",,"DELTA","."&amp;T$2&amp;T$1&amp;"C"&amp;$A45)-100*RTD("tos.rtd",,"OPEN_INT","."&amp;T$2&amp;T$1&amp;"P"&amp;$A45)*RTD("tos.rtd",,"DELTA","."&amp;T$2&amp;T$1&amp;"P"&amp;$A45))/1000,0),IF($A$2="VEX",IFERROR(($A$4*$A$4*RTD("tos.rtd",,"VOLUME","."&amp;T$2&amp;T$1&amp;"C"&amp;$A45)*RTD("tos.rtd",,"GAMMA","."&amp;T$2&amp;T$1&amp;"C"&amp;$A45)-$A$4*$A$4*RTD("tos.rtd",,"VOLUME","."&amp;T$2&amp;T$1&amp;"P"&amp;$A45)*RTD("tos.rtd",,"GAMMA","."&amp;T$2&amp;T$1&amp;"P"&amp;$A45))/1000000,0),IF($A$2="GEX",IFERROR(($A$4*$A$4*RTD("tos.rtd",,"OPEN_INT","."&amp;T$2&amp;T$1&amp;"C"&amp;$A45)*RTD("tos.rtd",,"GAMMA","."&amp;T$2&amp;T$1&amp;"C"&amp;$A45)-$A$4*$A$4*RTD("tos.rtd",,"OPEN_INT","."&amp;T$2&amp;T$1&amp;"P"&amp;$A45)*RTD("tos.rtd",,"GAMMA","."&amp;T$2&amp;T$1&amp;"P"&amp;$A45))/1000000,0),IF($A$2="SKEW",IFERROR(VALUE(IF(RTD("tos.rtd",,"IMPL_VOL","."&amp;T$2&amp;T$1&amp;"P"&amp;$A45)="N/A",0,RTD("tos.rtd",,"IMPL_VOL","."&amp;T$2&amp;T$1&amp;"P"&amp;$A45))),0)-IFERROR(VALUE(IF(RTD("tos.rtd",,"IMPL_VOL","."&amp;T$2&amp;T$1&amp;"C"&amp;$A45)="N/A",0,RTD("tos.rtd",,"IMPL_VOL","."&amp;T$2&amp;T$1&amp;"C"&amp;$A45))),0),IF($A$2="MAXPAIN",IF($A$4&gt;$A45,($A$4-$A45)*IF(RTD("tos.rtd",,"OPEN_INT","."&amp;T$2&amp;T$1&amp;"C"&amp;$A45)="N/A",0,RTD("tos.rtd",,"OPEN_INT","."&amp;T$2&amp;T$1&amp;"C"&amp;$A45)),0)+IF($A$4&lt;$A45,($A45-$A$4)*IF(RTD("tos.rtd",,"OPEN_INT","."&amp;T$2&amp;T$1&amp;"P"&amp;$A45)="N/A",0,RTD("tos.rtd",,"OPEN_INT","."&amp;T$2&amp;T$1&amp;"P"&amp;$A45)),0),IF(RTD("tos.rtd",,$A$2,"."&amp;T$2&amp;T$1&amp;"C"&amp;$A45)="N/A",0,RTD("tos.rtd",,$A$2,"."&amp;T$2&amp;T$1&amp;"C"&amp;$A45))-IF(RTD("tos.rtd",,$A$2,"."&amp;T$2&amp;T$1&amp;"P"&amp;$A45)="N/A",0,RTD("tos.rtd",,$A$2,"."&amp;T$2&amp;T$1&amp;"P"&amp;$A45)))))))))</f>
        <v>0</v>
      </c>
      <c r="U45" s="12">
        <f>IF($A$2="PREMIUM_OI",IFERROR((100*RTD("tos.rtd",,"OPEN_INT","."&amp;U$2&amp;U$1&amp;"C"&amp;$A45)*RTD("tos.rtd",,"LAST","."&amp;U$2&amp;U$1&amp;"C"&amp;$A45)-100*RTD("tos.rtd",,"OPEN_INT","."&amp;U$2&amp;U$1&amp;"P"&amp;$A45)*RTD("tos.rtd",,"LAST","."&amp;U$2&amp;U$1&amp;"P"&amp;$A45))/1000000,0),IF($A$2="PREMIUM",IFERROR((100*RTD("tos.rtd",,"VOLUME","."&amp;U$2&amp;U$1&amp;"C"&amp;$A45)*RTD("tos.rtd",,"LAST","."&amp;U$2&amp;U$1&amp;"C"&amp;$A45)-100*RTD("tos.rtd",,"VOLUME","."&amp;U$2&amp;U$1&amp;"P"&amp;$A45)*RTD("tos.rtd",,"LAST","."&amp;U$2&amp;U$1&amp;"P"&amp;$A45))/1000000,0),IF($A$2="DEX",IFERROR((100*RTD("tos.rtd",,"OPEN_INT","."&amp;U$2&amp;U$1&amp;"C"&amp;$A45)*RTD("tos.rtd",,"DELTA","."&amp;U$2&amp;U$1&amp;"C"&amp;$A45)-100*RTD("tos.rtd",,"OPEN_INT","."&amp;U$2&amp;U$1&amp;"P"&amp;$A45)*RTD("tos.rtd",,"DELTA","."&amp;U$2&amp;U$1&amp;"P"&amp;$A45))/1000,0),IF($A$2="VEX",IFERROR(($A$4*$A$4*RTD("tos.rtd",,"VOLUME","."&amp;U$2&amp;U$1&amp;"C"&amp;$A45)*RTD("tos.rtd",,"GAMMA","."&amp;U$2&amp;U$1&amp;"C"&amp;$A45)-$A$4*$A$4*RTD("tos.rtd",,"VOLUME","."&amp;U$2&amp;U$1&amp;"P"&amp;$A45)*RTD("tos.rtd",,"GAMMA","."&amp;U$2&amp;U$1&amp;"P"&amp;$A45))/1000000,0),IF($A$2="GEX",IFERROR(($A$4*$A$4*RTD("tos.rtd",,"OPEN_INT","."&amp;U$2&amp;U$1&amp;"C"&amp;$A45)*RTD("tos.rtd",,"GAMMA","."&amp;U$2&amp;U$1&amp;"C"&amp;$A45)-$A$4*$A$4*RTD("tos.rtd",,"OPEN_INT","."&amp;U$2&amp;U$1&amp;"P"&amp;$A45)*RTD("tos.rtd",,"GAMMA","."&amp;U$2&amp;U$1&amp;"P"&amp;$A45))/1000000,0),IF($A$2="SKEW",IFERROR(VALUE(IF(RTD("tos.rtd",,"IMPL_VOL","."&amp;U$2&amp;U$1&amp;"P"&amp;$A45)="N/A",0,RTD("tos.rtd",,"IMPL_VOL","."&amp;U$2&amp;U$1&amp;"P"&amp;$A45))),0)-IFERROR(VALUE(IF(RTD("tos.rtd",,"IMPL_VOL","."&amp;U$2&amp;U$1&amp;"C"&amp;$A45)="N/A",0,RTD("tos.rtd",,"IMPL_VOL","."&amp;U$2&amp;U$1&amp;"C"&amp;$A45))),0),IF($A$2="MAXPAIN",IF($A$4&gt;$A45,($A$4-$A45)*IF(RTD("tos.rtd",,"OPEN_INT","."&amp;U$2&amp;U$1&amp;"C"&amp;$A45)="N/A",0,RTD("tos.rtd",,"OPEN_INT","."&amp;U$2&amp;U$1&amp;"C"&amp;$A45)),0)+IF($A$4&lt;$A45,($A45-$A$4)*IF(RTD("tos.rtd",,"OPEN_INT","."&amp;U$2&amp;U$1&amp;"P"&amp;$A45)="N/A",0,RTD("tos.rtd",,"OPEN_INT","."&amp;U$2&amp;U$1&amp;"P"&amp;$A45)),0),IF(RTD("tos.rtd",,$A$2,"."&amp;U$2&amp;U$1&amp;"C"&amp;$A45)="N/A",0,RTD("tos.rtd",,$A$2,"."&amp;U$2&amp;U$1&amp;"C"&amp;$A45))-IF(RTD("tos.rtd",,$A$2,"."&amp;U$2&amp;U$1&amp;"P"&amp;$A45)="N/A",0,RTD("tos.rtd",,$A$2,"."&amp;U$2&amp;U$1&amp;"P"&amp;$A45)))))))))</f>
        <v>0</v>
      </c>
      <c r="V45" s="12">
        <f>IF($A$2="PREMIUM_OI",IFERROR((100*RTD("tos.rtd",,"OPEN_INT","."&amp;V$2&amp;V$1&amp;"C"&amp;$A45)*RTD("tos.rtd",,"LAST","."&amp;V$2&amp;V$1&amp;"C"&amp;$A45)-100*RTD("tos.rtd",,"OPEN_INT","."&amp;V$2&amp;V$1&amp;"P"&amp;$A45)*RTD("tos.rtd",,"LAST","."&amp;V$2&amp;V$1&amp;"P"&amp;$A45))/1000000,0),IF($A$2="PREMIUM",IFERROR((100*RTD("tos.rtd",,"VOLUME","."&amp;V$2&amp;V$1&amp;"C"&amp;$A45)*RTD("tos.rtd",,"LAST","."&amp;V$2&amp;V$1&amp;"C"&amp;$A45)-100*RTD("tos.rtd",,"VOLUME","."&amp;V$2&amp;V$1&amp;"P"&amp;$A45)*RTD("tos.rtd",,"LAST","."&amp;V$2&amp;V$1&amp;"P"&amp;$A45))/1000000,0),IF($A$2="DEX",IFERROR((100*RTD("tos.rtd",,"OPEN_INT","."&amp;V$2&amp;V$1&amp;"C"&amp;$A45)*RTD("tos.rtd",,"DELTA","."&amp;V$2&amp;V$1&amp;"C"&amp;$A45)-100*RTD("tos.rtd",,"OPEN_INT","."&amp;V$2&amp;V$1&amp;"P"&amp;$A45)*RTD("tos.rtd",,"DELTA","."&amp;V$2&amp;V$1&amp;"P"&amp;$A45))/1000,0),IF($A$2="VEX",IFERROR(($A$4*$A$4*RTD("tos.rtd",,"VOLUME","."&amp;V$2&amp;V$1&amp;"C"&amp;$A45)*RTD("tos.rtd",,"GAMMA","."&amp;V$2&amp;V$1&amp;"C"&amp;$A45)-$A$4*$A$4*RTD("tos.rtd",,"VOLUME","."&amp;V$2&amp;V$1&amp;"P"&amp;$A45)*RTD("tos.rtd",,"GAMMA","."&amp;V$2&amp;V$1&amp;"P"&amp;$A45))/1000000,0),IF($A$2="GEX",IFERROR(($A$4*$A$4*RTD("tos.rtd",,"OPEN_INT","."&amp;V$2&amp;V$1&amp;"C"&amp;$A45)*RTD("tos.rtd",,"GAMMA","."&amp;V$2&amp;V$1&amp;"C"&amp;$A45)-$A$4*$A$4*RTD("tos.rtd",,"OPEN_INT","."&amp;V$2&amp;V$1&amp;"P"&amp;$A45)*RTD("tos.rtd",,"GAMMA","."&amp;V$2&amp;V$1&amp;"P"&amp;$A45))/1000000,0),IF($A$2="SKEW",IFERROR(VALUE(IF(RTD("tos.rtd",,"IMPL_VOL","."&amp;V$2&amp;V$1&amp;"P"&amp;$A45)="N/A",0,RTD("tos.rtd",,"IMPL_VOL","."&amp;V$2&amp;V$1&amp;"P"&amp;$A45))),0)-IFERROR(VALUE(IF(RTD("tos.rtd",,"IMPL_VOL","."&amp;V$2&amp;V$1&amp;"C"&amp;$A45)="N/A",0,RTD("tos.rtd",,"IMPL_VOL","."&amp;V$2&amp;V$1&amp;"C"&amp;$A45))),0),IF($A$2="MAXPAIN",IF($A$4&gt;$A45,($A$4-$A45)*IF(RTD("tos.rtd",,"OPEN_INT","."&amp;V$2&amp;V$1&amp;"C"&amp;$A45)="N/A",0,RTD("tos.rtd",,"OPEN_INT","."&amp;V$2&amp;V$1&amp;"C"&amp;$A45)),0)+IF($A$4&lt;$A45,($A45-$A$4)*IF(RTD("tos.rtd",,"OPEN_INT","."&amp;V$2&amp;V$1&amp;"P"&amp;$A45)="N/A",0,RTD("tos.rtd",,"OPEN_INT","."&amp;V$2&amp;V$1&amp;"P"&amp;$A45)),0),IF(RTD("tos.rtd",,$A$2,"."&amp;V$2&amp;V$1&amp;"C"&amp;$A45)="N/A",0,RTD("tos.rtd",,$A$2,"."&amp;V$2&amp;V$1&amp;"C"&amp;$A45))-IF(RTD("tos.rtd",,$A$2,"."&amp;V$2&amp;V$1&amp;"P"&amp;$A45)="N/A",0,RTD("tos.rtd",,$A$2,"."&amp;V$2&amp;V$1&amp;"P"&amp;$A45)))))))))</f>
        <v>0</v>
      </c>
      <c r="W45" s="12">
        <f>IF($A$2="PREMIUM_OI",IFERROR((100*RTD("tos.rtd",,"OPEN_INT","."&amp;W$2&amp;W$1&amp;"C"&amp;$A45)*RTD("tos.rtd",,"LAST","."&amp;W$2&amp;W$1&amp;"C"&amp;$A45)-100*RTD("tos.rtd",,"OPEN_INT","."&amp;W$2&amp;W$1&amp;"P"&amp;$A45)*RTD("tos.rtd",,"LAST","."&amp;W$2&amp;W$1&amp;"P"&amp;$A45))/1000000,0),IF($A$2="PREMIUM",IFERROR((100*RTD("tos.rtd",,"VOLUME","."&amp;W$2&amp;W$1&amp;"C"&amp;$A45)*RTD("tos.rtd",,"LAST","."&amp;W$2&amp;W$1&amp;"C"&amp;$A45)-100*RTD("tos.rtd",,"VOLUME","."&amp;W$2&amp;W$1&amp;"P"&amp;$A45)*RTD("tos.rtd",,"LAST","."&amp;W$2&amp;W$1&amp;"P"&amp;$A45))/1000000,0),IF($A$2="DEX",IFERROR((100*RTD("tos.rtd",,"OPEN_INT","."&amp;W$2&amp;W$1&amp;"C"&amp;$A45)*RTD("tos.rtd",,"DELTA","."&amp;W$2&amp;W$1&amp;"C"&amp;$A45)-100*RTD("tos.rtd",,"OPEN_INT","."&amp;W$2&amp;W$1&amp;"P"&amp;$A45)*RTD("tos.rtd",,"DELTA","."&amp;W$2&amp;W$1&amp;"P"&amp;$A45))/1000,0),IF($A$2="VEX",IFERROR(($A$4*$A$4*RTD("tos.rtd",,"VOLUME","."&amp;W$2&amp;W$1&amp;"C"&amp;$A45)*RTD("tos.rtd",,"GAMMA","."&amp;W$2&amp;W$1&amp;"C"&amp;$A45)-$A$4*$A$4*RTD("tos.rtd",,"VOLUME","."&amp;W$2&amp;W$1&amp;"P"&amp;$A45)*RTD("tos.rtd",,"GAMMA","."&amp;W$2&amp;W$1&amp;"P"&amp;$A45))/1000000,0),IF($A$2="GEX",IFERROR(($A$4*$A$4*RTD("tos.rtd",,"OPEN_INT","."&amp;W$2&amp;W$1&amp;"C"&amp;$A45)*RTD("tos.rtd",,"GAMMA","."&amp;W$2&amp;W$1&amp;"C"&amp;$A45)-$A$4*$A$4*RTD("tos.rtd",,"OPEN_INT","."&amp;W$2&amp;W$1&amp;"P"&amp;$A45)*RTD("tos.rtd",,"GAMMA","."&amp;W$2&amp;W$1&amp;"P"&amp;$A45))/1000000,0),IF($A$2="SKEW",IFERROR(VALUE(IF(RTD("tos.rtd",,"IMPL_VOL","."&amp;W$2&amp;W$1&amp;"P"&amp;$A45)="N/A",0,RTD("tos.rtd",,"IMPL_VOL","."&amp;W$2&amp;W$1&amp;"P"&amp;$A45))),0)-IFERROR(VALUE(IF(RTD("tos.rtd",,"IMPL_VOL","."&amp;W$2&amp;W$1&amp;"C"&amp;$A45)="N/A",0,RTD("tos.rtd",,"IMPL_VOL","."&amp;W$2&amp;W$1&amp;"C"&amp;$A45))),0),IF($A$2="MAXPAIN",IF($A$4&gt;$A45,($A$4-$A45)*IF(RTD("tos.rtd",,"OPEN_INT","."&amp;W$2&amp;W$1&amp;"C"&amp;$A45)="N/A",0,RTD("tos.rtd",,"OPEN_INT","."&amp;W$2&amp;W$1&amp;"C"&amp;$A45)),0)+IF($A$4&lt;$A45,($A45-$A$4)*IF(RTD("tos.rtd",,"OPEN_INT","."&amp;W$2&amp;W$1&amp;"P"&amp;$A45)="N/A",0,RTD("tos.rtd",,"OPEN_INT","."&amp;W$2&amp;W$1&amp;"P"&amp;$A45)),0),IF(RTD("tos.rtd",,$A$2,"."&amp;W$2&amp;W$1&amp;"C"&amp;$A45)="N/A",0,RTD("tos.rtd",,$A$2,"."&amp;W$2&amp;W$1&amp;"C"&amp;$A45))-IF(RTD("tos.rtd",,$A$2,"."&amp;W$2&amp;W$1&amp;"P"&amp;$A45)="N/A",0,RTD("tos.rtd",,$A$2,"."&amp;W$2&amp;W$1&amp;"P"&amp;$A45)))))))))</f>
        <v>0</v>
      </c>
      <c r="X45" s="12">
        <f t="shared" ca="1" si="7"/>
        <v>0</v>
      </c>
      <c r="Y45" s="27">
        <f t="shared" ca="1" si="8"/>
        <v>0</v>
      </c>
      <c r="AA45" s="35">
        <f>+IF($AJ$1,AJ45,TASTYOHLC!A45)</f>
        <v>0</v>
      </c>
      <c r="AB45" s="8">
        <f>+IF($AJ$1,AK45,TASTYOHLC!B45)</f>
        <v>0</v>
      </c>
      <c r="AC45" s="8">
        <f>+IF($AJ$1,AL45,TASTYOHLC!C45)</f>
        <v>0</v>
      </c>
      <c r="AD45" s="8">
        <f>+IF($AJ$1,AM45,TASTYOHLC!D45)</f>
        <v>0</v>
      </c>
      <c r="AE45" s="8">
        <f>+IF($AJ$1,AN45,TASTYOHLC!E45)</f>
        <v>0</v>
      </c>
      <c r="AF45" s="8"/>
      <c r="AJ45" s="37"/>
    </row>
    <row r="46" spans="1:36" s="19" customFormat="1" ht="11.1" customHeight="1" thickBot="1" x14ac:dyDescent="0.3">
      <c r="A46" s="23">
        <f t="shared" si="13"/>
        <v>-1</v>
      </c>
      <c r="B46" s="14">
        <f>IF($A$2="PREMIUM_OI",IFERROR((100*RTD("tos.rtd",,"OPEN_INT","."&amp;B$2&amp;B$1&amp;"C"&amp;$A46)*RTD("tos.rtd",,"LAST","."&amp;B$2&amp;B$1&amp;"C"&amp;$A46)-100*RTD("tos.rtd",,"OPEN_INT","."&amp;B$2&amp;B$1&amp;"P"&amp;$A46)*RTD("tos.rtd",,"LAST","."&amp;B$2&amp;B$1&amp;"P"&amp;$A46))/1000000,0),IF($A$2="PREMIUM",IFERROR((100*RTD("tos.rtd",,"VOLUME","."&amp;B$2&amp;B$1&amp;"C"&amp;$A46)*RTD("tos.rtd",,"LAST","."&amp;B$2&amp;B$1&amp;"C"&amp;$A46)-100*RTD("tos.rtd",,"VOLUME","."&amp;B$2&amp;B$1&amp;"P"&amp;$A46)*RTD("tos.rtd",,"LAST","."&amp;B$2&amp;B$1&amp;"P"&amp;$A46))/1000000,0),IF($A$2="DEX",IFERROR((100*RTD("tos.rtd",,"OPEN_INT","."&amp;B$2&amp;B$1&amp;"C"&amp;$A46)*RTD("tos.rtd",,"DELTA","."&amp;B$2&amp;B$1&amp;"C"&amp;$A46)-100*RTD("tos.rtd",,"OPEN_INT","."&amp;B$2&amp;B$1&amp;"P"&amp;$A46)*RTD("tos.rtd",,"DELTA","."&amp;B$2&amp;B$1&amp;"P"&amp;$A46))/1000,0),IF($A$2="VEX",IFERROR(($A$4*$A$4*RTD("tos.rtd",,"VOLUME","."&amp;B$2&amp;B$1&amp;"C"&amp;$A46)*RTD("tos.rtd",,"GAMMA","."&amp;B$2&amp;B$1&amp;"C"&amp;$A46)-$A$4*$A$4*RTD("tos.rtd",,"VOLUME","."&amp;B$2&amp;B$1&amp;"P"&amp;$A46)*RTD("tos.rtd",,"GAMMA","."&amp;B$2&amp;B$1&amp;"P"&amp;$A46))/1000000,0),IF($A$2="GEX",IFERROR(($A$4*$A$4*RTD("tos.rtd",,"OPEN_INT","."&amp;B$2&amp;B$1&amp;"C"&amp;$A46)*RTD("tos.rtd",,"GAMMA","."&amp;B$2&amp;B$1&amp;"C"&amp;$A46)-$A$4*$A$4*RTD("tos.rtd",,"OPEN_INT","."&amp;B$2&amp;B$1&amp;"P"&amp;$A46)*RTD("tos.rtd",,"GAMMA","."&amp;B$2&amp;B$1&amp;"P"&amp;$A46))/1000000,0),IF($A$2="SKEW",IFERROR(VALUE(IF(RTD("tos.rtd",,"IMPL_VOL","."&amp;B$2&amp;B$1&amp;"P"&amp;$A46)="N/A",0,RTD("tos.rtd",,"IMPL_VOL","."&amp;B$2&amp;B$1&amp;"P"&amp;$A46))),0)-IFERROR(VALUE(IF(RTD("tos.rtd",,"IMPL_VOL","."&amp;B$2&amp;B$1&amp;"C"&amp;$A46)="N/A",0,RTD("tos.rtd",,"IMPL_VOL","."&amp;B$2&amp;B$1&amp;"C"&amp;$A46))),0),IF($A$2="MAXPAIN",IF($A$4&gt;$A46,($A$4-$A46)*IF(RTD("tos.rtd",,"OPEN_INT","."&amp;B$2&amp;B$1&amp;"C"&amp;$A46)="N/A",0,RTD("tos.rtd",,"OPEN_INT","."&amp;B$2&amp;B$1&amp;"C"&amp;$A46)),0)+IF($A$4&lt;$A46,($A46-$A$4)*IF(RTD("tos.rtd",,"OPEN_INT","."&amp;B$2&amp;B$1&amp;"P"&amp;$A46)="N/A",0,RTD("tos.rtd",,"OPEN_INT","."&amp;B$2&amp;B$1&amp;"P"&amp;$A46)),0),IF(RTD("tos.rtd",,$A$2,"."&amp;B$2&amp;B$1&amp;"C"&amp;$A46)="N/A",0,RTD("tos.rtd",,$A$2,"."&amp;B$2&amp;B$1&amp;"C"&amp;$A46))-IF(RTD("tos.rtd",,$A$2,"."&amp;B$2&amp;B$1&amp;"P"&amp;$A46)="N/A",0,RTD("tos.rtd",,$A$2,"."&amp;B$2&amp;B$1&amp;"P"&amp;$A46)))))))))</f>
        <v>0</v>
      </c>
      <c r="C46" s="12">
        <f>IF($A$2="PREMIUM_OI",IFERROR((100*RTD("tos.rtd",,"OPEN_INT","."&amp;C$2&amp;C$1&amp;"C"&amp;$A46)*RTD("tos.rtd",,"LAST","."&amp;C$2&amp;C$1&amp;"C"&amp;$A46)-100*RTD("tos.rtd",,"OPEN_INT","."&amp;C$2&amp;C$1&amp;"P"&amp;$A46)*RTD("tos.rtd",,"LAST","."&amp;C$2&amp;C$1&amp;"P"&amp;$A46))/1000000,0),IF($A$2="PREMIUM",IFERROR((100*RTD("tos.rtd",,"VOLUME","."&amp;C$2&amp;C$1&amp;"C"&amp;$A46)*RTD("tos.rtd",,"LAST","."&amp;C$2&amp;C$1&amp;"C"&amp;$A46)-100*RTD("tos.rtd",,"VOLUME","."&amp;C$2&amp;C$1&amp;"P"&amp;$A46)*RTD("tos.rtd",,"LAST","."&amp;C$2&amp;C$1&amp;"P"&amp;$A46))/1000000,0),IF($A$2="DEX",IFERROR((100*RTD("tos.rtd",,"OPEN_INT","."&amp;C$2&amp;C$1&amp;"C"&amp;$A46)*RTD("tos.rtd",,"DELTA","."&amp;C$2&amp;C$1&amp;"C"&amp;$A46)-100*RTD("tos.rtd",,"OPEN_INT","."&amp;C$2&amp;C$1&amp;"P"&amp;$A46)*RTD("tos.rtd",,"DELTA","."&amp;C$2&amp;C$1&amp;"P"&amp;$A46))/1000,0),IF($A$2="VEX",IFERROR(($A$4*$A$4*RTD("tos.rtd",,"VOLUME","."&amp;C$2&amp;C$1&amp;"C"&amp;$A46)*RTD("tos.rtd",,"GAMMA","."&amp;C$2&amp;C$1&amp;"C"&amp;$A46)-$A$4*$A$4*RTD("tos.rtd",,"VOLUME","."&amp;C$2&amp;C$1&amp;"P"&amp;$A46)*RTD("tos.rtd",,"GAMMA","."&amp;C$2&amp;C$1&amp;"P"&amp;$A46))/1000000,0),IF($A$2="GEX",IFERROR(($A$4*$A$4*RTD("tos.rtd",,"OPEN_INT","."&amp;C$2&amp;C$1&amp;"C"&amp;$A46)*RTD("tos.rtd",,"GAMMA","."&amp;C$2&amp;C$1&amp;"C"&amp;$A46)-$A$4*$A$4*RTD("tos.rtd",,"OPEN_INT","."&amp;C$2&amp;C$1&amp;"P"&amp;$A46)*RTD("tos.rtd",,"GAMMA","."&amp;C$2&amp;C$1&amp;"P"&amp;$A46))/1000000,0),IF($A$2="SKEW",IFERROR(VALUE(IF(RTD("tos.rtd",,"IMPL_VOL","."&amp;C$2&amp;C$1&amp;"P"&amp;$A46)="N/A",0,RTD("tos.rtd",,"IMPL_VOL","."&amp;C$2&amp;C$1&amp;"P"&amp;$A46))),0)-IFERROR(VALUE(IF(RTD("tos.rtd",,"IMPL_VOL","."&amp;C$2&amp;C$1&amp;"C"&amp;$A46)="N/A",0,RTD("tos.rtd",,"IMPL_VOL","."&amp;C$2&amp;C$1&amp;"C"&amp;$A46))),0),IF($A$2="MAXPAIN",IF($A$4&gt;$A46,($A$4-$A46)*IF(RTD("tos.rtd",,"OPEN_INT","."&amp;C$2&amp;C$1&amp;"C"&amp;$A46)="N/A",0,RTD("tos.rtd",,"OPEN_INT","."&amp;C$2&amp;C$1&amp;"C"&amp;$A46)),0)+IF($A$4&lt;$A46,($A46-$A$4)*IF(RTD("tos.rtd",,"OPEN_INT","."&amp;C$2&amp;C$1&amp;"P"&amp;$A46)="N/A",0,RTD("tos.rtd",,"OPEN_INT","."&amp;C$2&amp;C$1&amp;"P"&amp;$A46)),0),IF(RTD("tos.rtd",,$A$2,"."&amp;C$2&amp;C$1&amp;"C"&amp;$A46)="N/A",0,RTD("tos.rtd",,$A$2,"."&amp;C$2&amp;C$1&amp;"C"&amp;$A46))-IF(RTD("tos.rtd",,$A$2,"."&amp;C$2&amp;C$1&amp;"P"&amp;$A46)="N/A",0,RTD("tos.rtd",,$A$2,"."&amp;C$2&amp;C$1&amp;"P"&amp;$A46)))))))))</f>
        <v>0</v>
      </c>
      <c r="D46" s="12">
        <f>IF($A$2="PREMIUM_OI",IFERROR((100*RTD("tos.rtd",,"OPEN_INT","."&amp;D$2&amp;D$1&amp;"C"&amp;$A46)*RTD("tos.rtd",,"LAST","."&amp;D$2&amp;D$1&amp;"C"&amp;$A46)-100*RTD("tos.rtd",,"OPEN_INT","."&amp;D$2&amp;D$1&amp;"P"&amp;$A46)*RTD("tos.rtd",,"LAST","."&amp;D$2&amp;D$1&amp;"P"&amp;$A46))/1000000,0),IF($A$2="PREMIUM",IFERROR((100*RTD("tos.rtd",,"VOLUME","."&amp;D$2&amp;D$1&amp;"C"&amp;$A46)*RTD("tos.rtd",,"LAST","."&amp;D$2&amp;D$1&amp;"C"&amp;$A46)-100*RTD("tos.rtd",,"VOLUME","."&amp;D$2&amp;D$1&amp;"P"&amp;$A46)*RTD("tos.rtd",,"LAST","."&amp;D$2&amp;D$1&amp;"P"&amp;$A46))/1000000,0),IF($A$2="DEX",IFERROR((100*RTD("tos.rtd",,"OPEN_INT","."&amp;D$2&amp;D$1&amp;"C"&amp;$A46)*RTD("tos.rtd",,"DELTA","."&amp;D$2&amp;D$1&amp;"C"&amp;$A46)-100*RTD("tos.rtd",,"OPEN_INT","."&amp;D$2&amp;D$1&amp;"P"&amp;$A46)*RTD("tos.rtd",,"DELTA","."&amp;D$2&amp;D$1&amp;"P"&amp;$A46))/1000,0),IF($A$2="VEX",IFERROR(($A$4*$A$4*RTD("tos.rtd",,"VOLUME","."&amp;D$2&amp;D$1&amp;"C"&amp;$A46)*RTD("tos.rtd",,"GAMMA","."&amp;D$2&amp;D$1&amp;"C"&amp;$A46)-$A$4*$A$4*RTD("tos.rtd",,"VOLUME","."&amp;D$2&amp;D$1&amp;"P"&amp;$A46)*RTD("tos.rtd",,"GAMMA","."&amp;D$2&amp;D$1&amp;"P"&amp;$A46))/1000000,0),IF($A$2="GEX",IFERROR(($A$4*$A$4*RTD("tos.rtd",,"OPEN_INT","."&amp;D$2&amp;D$1&amp;"C"&amp;$A46)*RTD("tos.rtd",,"GAMMA","."&amp;D$2&amp;D$1&amp;"C"&amp;$A46)-$A$4*$A$4*RTD("tos.rtd",,"OPEN_INT","."&amp;D$2&amp;D$1&amp;"P"&amp;$A46)*RTD("tos.rtd",,"GAMMA","."&amp;D$2&amp;D$1&amp;"P"&amp;$A46))/1000000,0),IF($A$2="SKEW",IFERROR(VALUE(IF(RTD("tos.rtd",,"IMPL_VOL","."&amp;D$2&amp;D$1&amp;"P"&amp;$A46)="N/A",0,RTD("tos.rtd",,"IMPL_VOL","."&amp;D$2&amp;D$1&amp;"P"&amp;$A46))),0)-IFERROR(VALUE(IF(RTD("tos.rtd",,"IMPL_VOL","."&amp;D$2&amp;D$1&amp;"C"&amp;$A46)="N/A",0,RTD("tos.rtd",,"IMPL_VOL","."&amp;D$2&amp;D$1&amp;"C"&amp;$A46))),0),IF($A$2="MAXPAIN",IF($A$4&gt;$A46,($A$4-$A46)*IF(RTD("tos.rtd",,"OPEN_INT","."&amp;D$2&amp;D$1&amp;"C"&amp;$A46)="N/A",0,RTD("tos.rtd",,"OPEN_INT","."&amp;D$2&amp;D$1&amp;"C"&amp;$A46)),0)+IF($A$4&lt;$A46,($A46-$A$4)*IF(RTD("tos.rtd",,"OPEN_INT","."&amp;D$2&amp;D$1&amp;"P"&amp;$A46)="N/A",0,RTD("tos.rtd",,"OPEN_INT","."&amp;D$2&amp;D$1&amp;"P"&amp;$A46)),0),IF(RTD("tos.rtd",,$A$2,"."&amp;D$2&amp;D$1&amp;"C"&amp;$A46)="N/A",0,RTD("tos.rtd",,$A$2,"."&amp;D$2&amp;D$1&amp;"C"&amp;$A46))-IF(RTD("tos.rtd",,$A$2,"."&amp;D$2&amp;D$1&amp;"P"&amp;$A46)="N/A",0,RTD("tos.rtd",,$A$2,"."&amp;D$2&amp;D$1&amp;"P"&amp;$A46)))))))))</f>
        <v>0</v>
      </c>
      <c r="E46" s="12">
        <f>IF($A$2="PREMIUM_OI",IFERROR((100*RTD("tos.rtd",,"OPEN_INT","."&amp;E$2&amp;E$1&amp;"C"&amp;$A46)*RTD("tos.rtd",,"LAST","."&amp;E$2&amp;E$1&amp;"C"&amp;$A46)-100*RTD("tos.rtd",,"OPEN_INT","."&amp;E$2&amp;E$1&amp;"P"&amp;$A46)*RTD("tos.rtd",,"LAST","."&amp;E$2&amp;E$1&amp;"P"&amp;$A46))/1000000,0),IF($A$2="PREMIUM",IFERROR((100*RTD("tos.rtd",,"VOLUME","."&amp;E$2&amp;E$1&amp;"C"&amp;$A46)*RTD("tos.rtd",,"LAST","."&amp;E$2&amp;E$1&amp;"C"&amp;$A46)-100*RTD("tos.rtd",,"VOLUME","."&amp;E$2&amp;E$1&amp;"P"&amp;$A46)*RTD("tos.rtd",,"LAST","."&amp;E$2&amp;E$1&amp;"P"&amp;$A46))/1000000,0),IF($A$2="DEX",IFERROR((100*RTD("tos.rtd",,"OPEN_INT","."&amp;E$2&amp;E$1&amp;"C"&amp;$A46)*RTD("tos.rtd",,"DELTA","."&amp;E$2&amp;E$1&amp;"C"&amp;$A46)-100*RTD("tos.rtd",,"OPEN_INT","."&amp;E$2&amp;E$1&amp;"P"&amp;$A46)*RTD("tos.rtd",,"DELTA","."&amp;E$2&amp;E$1&amp;"P"&amp;$A46))/1000,0),IF($A$2="VEX",IFERROR(($A$4*$A$4*RTD("tos.rtd",,"VOLUME","."&amp;E$2&amp;E$1&amp;"C"&amp;$A46)*RTD("tos.rtd",,"GAMMA","."&amp;E$2&amp;E$1&amp;"C"&amp;$A46)-$A$4*$A$4*RTD("tos.rtd",,"VOLUME","."&amp;E$2&amp;E$1&amp;"P"&amp;$A46)*RTD("tos.rtd",,"GAMMA","."&amp;E$2&amp;E$1&amp;"P"&amp;$A46))/1000000,0),IF($A$2="GEX",IFERROR(($A$4*$A$4*RTD("tos.rtd",,"OPEN_INT","."&amp;E$2&amp;E$1&amp;"C"&amp;$A46)*RTD("tos.rtd",,"GAMMA","."&amp;E$2&amp;E$1&amp;"C"&amp;$A46)-$A$4*$A$4*RTD("tos.rtd",,"OPEN_INT","."&amp;E$2&amp;E$1&amp;"P"&amp;$A46)*RTD("tos.rtd",,"GAMMA","."&amp;E$2&amp;E$1&amp;"P"&amp;$A46))/1000000,0),IF($A$2="SKEW",IFERROR(VALUE(IF(RTD("tos.rtd",,"IMPL_VOL","."&amp;E$2&amp;E$1&amp;"P"&amp;$A46)="N/A",0,RTD("tos.rtd",,"IMPL_VOL","."&amp;E$2&amp;E$1&amp;"P"&amp;$A46))),0)-IFERROR(VALUE(IF(RTD("tos.rtd",,"IMPL_VOL","."&amp;E$2&amp;E$1&amp;"C"&amp;$A46)="N/A",0,RTD("tos.rtd",,"IMPL_VOL","."&amp;E$2&amp;E$1&amp;"C"&amp;$A46))),0),IF($A$2="MAXPAIN",IF($A$4&gt;$A46,($A$4-$A46)*IF(RTD("tos.rtd",,"OPEN_INT","."&amp;E$2&amp;E$1&amp;"C"&amp;$A46)="N/A",0,RTD("tos.rtd",,"OPEN_INT","."&amp;E$2&amp;E$1&amp;"C"&amp;$A46)),0)+IF($A$4&lt;$A46,($A46-$A$4)*IF(RTD("tos.rtd",,"OPEN_INT","."&amp;E$2&amp;E$1&amp;"P"&amp;$A46)="N/A",0,RTD("tos.rtd",,"OPEN_INT","."&amp;E$2&amp;E$1&amp;"P"&amp;$A46)),0),IF(RTD("tos.rtd",,$A$2,"."&amp;E$2&amp;E$1&amp;"C"&amp;$A46)="N/A",0,RTD("tos.rtd",,$A$2,"."&amp;E$2&amp;E$1&amp;"C"&amp;$A46))-IF(RTD("tos.rtd",,$A$2,"."&amp;E$2&amp;E$1&amp;"P"&amp;$A46)="N/A",0,RTD("tos.rtd",,$A$2,"."&amp;E$2&amp;E$1&amp;"P"&amp;$A46)))))))))</f>
        <v>0</v>
      </c>
      <c r="F46" s="12">
        <f>IF($A$2="PREMIUM_OI",IFERROR((100*RTD("tos.rtd",,"OPEN_INT","."&amp;F$2&amp;F$1&amp;"C"&amp;$A46)*RTD("tos.rtd",,"LAST","."&amp;F$2&amp;F$1&amp;"C"&amp;$A46)-100*RTD("tos.rtd",,"OPEN_INT","."&amp;F$2&amp;F$1&amp;"P"&amp;$A46)*RTD("tos.rtd",,"LAST","."&amp;F$2&amp;F$1&amp;"P"&amp;$A46))/1000000,0),IF($A$2="PREMIUM",IFERROR((100*RTD("tos.rtd",,"VOLUME","."&amp;F$2&amp;F$1&amp;"C"&amp;$A46)*RTD("tos.rtd",,"LAST","."&amp;F$2&amp;F$1&amp;"C"&amp;$A46)-100*RTD("tos.rtd",,"VOLUME","."&amp;F$2&amp;F$1&amp;"P"&amp;$A46)*RTD("tos.rtd",,"LAST","."&amp;F$2&amp;F$1&amp;"P"&amp;$A46))/1000000,0),IF($A$2="DEX",IFERROR((100*RTD("tos.rtd",,"OPEN_INT","."&amp;F$2&amp;F$1&amp;"C"&amp;$A46)*RTD("tos.rtd",,"DELTA","."&amp;F$2&amp;F$1&amp;"C"&amp;$A46)-100*RTD("tos.rtd",,"OPEN_INT","."&amp;F$2&amp;F$1&amp;"P"&amp;$A46)*RTD("tos.rtd",,"DELTA","."&amp;F$2&amp;F$1&amp;"P"&amp;$A46))/1000,0),IF($A$2="VEX",IFERROR(($A$4*$A$4*RTD("tos.rtd",,"VOLUME","."&amp;F$2&amp;F$1&amp;"C"&amp;$A46)*RTD("tos.rtd",,"GAMMA","."&amp;F$2&amp;F$1&amp;"C"&amp;$A46)-$A$4*$A$4*RTD("tos.rtd",,"VOLUME","."&amp;F$2&amp;F$1&amp;"P"&amp;$A46)*RTD("tos.rtd",,"GAMMA","."&amp;F$2&amp;F$1&amp;"P"&amp;$A46))/1000000,0),IF($A$2="GEX",IFERROR(($A$4*$A$4*RTD("tos.rtd",,"OPEN_INT","."&amp;F$2&amp;F$1&amp;"C"&amp;$A46)*RTD("tos.rtd",,"GAMMA","."&amp;F$2&amp;F$1&amp;"C"&amp;$A46)-$A$4*$A$4*RTD("tos.rtd",,"OPEN_INT","."&amp;F$2&amp;F$1&amp;"P"&amp;$A46)*RTD("tos.rtd",,"GAMMA","."&amp;F$2&amp;F$1&amp;"P"&amp;$A46))/1000000,0),IF($A$2="SKEW",IFERROR(VALUE(IF(RTD("tos.rtd",,"IMPL_VOL","."&amp;F$2&amp;F$1&amp;"P"&amp;$A46)="N/A",0,RTD("tos.rtd",,"IMPL_VOL","."&amp;F$2&amp;F$1&amp;"P"&amp;$A46))),0)-IFERROR(VALUE(IF(RTD("tos.rtd",,"IMPL_VOL","."&amp;F$2&amp;F$1&amp;"C"&amp;$A46)="N/A",0,RTD("tos.rtd",,"IMPL_VOL","."&amp;F$2&amp;F$1&amp;"C"&amp;$A46))),0),IF($A$2="MAXPAIN",IF($A$4&gt;$A46,($A$4-$A46)*IF(RTD("tos.rtd",,"OPEN_INT","."&amp;F$2&amp;F$1&amp;"C"&amp;$A46)="N/A",0,RTD("tos.rtd",,"OPEN_INT","."&amp;F$2&amp;F$1&amp;"C"&amp;$A46)),0)+IF($A$4&lt;$A46,($A46-$A$4)*IF(RTD("tos.rtd",,"OPEN_INT","."&amp;F$2&amp;F$1&amp;"P"&amp;$A46)="N/A",0,RTD("tos.rtd",,"OPEN_INT","."&amp;F$2&amp;F$1&amp;"P"&amp;$A46)),0),IF(RTD("tos.rtd",,$A$2,"."&amp;F$2&amp;F$1&amp;"C"&amp;$A46)="N/A",0,RTD("tos.rtd",,$A$2,"."&amp;F$2&amp;F$1&amp;"C"&amp;$A46))-IF(RTD("tos.rtd",,$A$2,"."&amp;F$2&amp;F$1&amp;"P"&amp;$A46)="N/A",0,RTD("tos.rtd",,$A$2,"."&amp;F$2&amp;F$1&amp;"P"&amp;$A46)))))))))</f>
        <v>0</v>
      </c>
      <c r="G46" s="14">
        <f>IF($A$2="PREMIUM_OI",IFERROR((100*RTD("tos.rtd",,"OPEN_INT","."&amp;G$2&amp;G$1&amp;"C"&amp;$A46)*RTD("tos.rtd",,"LAST","."&amp;G$2&amp;G$1&amp;"C"&amp;$A46)-100*RTD("tos.rtd",,"OPEN_INT","."&amp;G$2&amp;G$1&amp;"P"&amp;$A46)*RTD("tos.rtd",,"LAST","."&amp;G$2&amp;G$1&amp;"P"&amp;$A46))/1000000,0),IF($A$2="PREMIUM",IFERROR((100*RTD("tos.rtd",,"VOLUME","."&amp;G$2&amp;G$1&amp;"C"&amp;$A46)*RTD("tos.rtd",,"LAST","."&amp;G$2&amp;G$1&amp;"C"&amp;$A46)-100*RTD("tos.rtd",,"VOLUME","."&amp;G$2&amp;G$1&amp;"P"&amp;$A46)*RTD("tos.rtd",,"LAST","."&amp;G$2&amp;G$1&amp;"P"&amp;$A46))/1000000,0),IF($A$2="DEX",IFERROR((100*RTD("tos.rtd",,"OPEN_INT","."&amp;G$2&amp;G$1&amp;"C"&amp;$A46)*RTD("tos.rtd",,"DELTA","."&amp;G$2&amp;G$1&amp;"C"&amp;$A46)-100*RTD("tos.rtd",,"OPEN_INT","."&amp;G$2&amp;G$1&amp;"P"&amp;$A46)*RTD("tos.rtd",,"DELTA","."&amp;G$2&amp;G$1&amp;"P"&amp;$A46))/1000,0),IF($A$2="VEX",IFERROR(($A$4*$A$4*RTD("tos.rtd",,"VOLUME","."&amp;G$2&amp;G$1&amp;"C"&amp;$A46)*RTD("tos.rtd",,"GAMMA","."&amp;G$2&amp;G$1&amp;"C"&amp;$A46)-$A$4*$A$4*RTD("tos.rtd",,"VOLUME","."&amp;G$2&amp;G$1&amp;"P"&amp;$A46)*RTD("tos.rtd",,"GAMMA","."&amp;G$2&amp;G$1&amp;"P"&amp;$A46))/1000000,0),IF($A$2="GEX",IFERROR(($A$4*$A$4*RTD("tos.rtd",,"OPEN_INT","."&amp;G$2&amp;G$1&amp;"C"&amp;$A46)*RTD("tos.rtd",,"GAMMA","."&amp;G$2&amp;G$1&amp;"C"&amp;$A46)-$A$4*$A$4*RTD("tos.rtd",,"OPEN_INT","."&amp;G$2&amp;G$1&amp;"P"&amp;$A46)*RTD("tos.rtd",,"GAMMA","."&amp;G$2&amp;G$1&amp;"P"&amp;$A46))/1000000,0),IF($A$2="SKEW",IFERROR(VALUE(IF(RTD("tos.rtd",,"IMPL_VOL","."&amp;G$2&amp;G$1&amp;"P"&amp;$A46)="N/A",0,RTD("tos.rtd",,"IMPL_VOL","."&amp;G$2&amp;G$1&amp;"P"&amp;$A46))),0)-IFERROR(VALUE(IF(RTD("tos.rtd",,"IMPL_VOL","."&amp;G$2&amp;G$1&amp;"C"&amp;$A46)="N/A",0,RTD("tos.rtd",,"IMPL_VOL","."&amp;G$2&amp;G$1&amp;"C"&amp;$A46))),0),IF($A$2="MAXPAIN",IF($A$4&gt;$A46,($A$4-$A46)*IF(RTD("tos.rtd",,"OPEN_INT","."&amp;G$2&amp;G$1&amp;"C"&amp;$A46)="N/A",0,RTD("tos.rtd",,"OPEN_INT","."&amp;G$2&amp;G$1&amp;"C"&amp;$A46)),0)+IF($A$4&lt;$A46,($A46-$A$4)*IF(RTD("tos.rtd",,"OPEN_INT","."&amp;G$2&amp;G$1&amp;"P"&amp;$A46)="N/A",0,RTD("tos.rtd",,"OPEN_INT","."&amp;G$2&amp;G$1&amp;"P"&amp;$A46)),0),IF(RTD("tos.rtd",,$A$2,"."&amp;G$2&amp;G$1&amp;"C"&amp;$A46)="N/A",0,RTD("tos.rtd",,$A$2,"."&amp;G$2&amp;G$1&amp;"C"&amp;$A46))-IF(RTD("tos.rtd",,$A$2,"."&amp;G$2&amp;G$1&amp;"P"&amp;$A46)="N/A",0,RTD("tos.rtd",,$A$2,"."&amp;G$2&amp;G$1&amp;"P"&amp;$A46)))))))))</f>
        <v>0</v>
      </c>
      <c r="H46" s="12">
        <f>IF($A$2="PREMIUM_OI",IFERROR((100*RTD("tos.rtd",,"OPEN_INT","."&amp;H$2&amp;H$1&amp;"C"&amp;$A46)*RTD("tos.rtd",,"LAST","."&amp;H$2&amp;H$1&amp;"C"&amp;$A46)-100*RTD("tos.rtd",,"OPEN_INT","."&amp;H$2&amp;H$1&amp;"P"&amp;$A46)*RTD("tos.rtd",,"LAST","."&amp;H$2&amp;H$1&amp;"P"&amp;$A46))/1000000,0),IF($A$2="PREMIUM",IFERROR((100*RTD("tos.rtd",,"VOLUME","."&amp;H$2&amp;H$1&amp;"C"&amp;$A46)*RTD("tos.rtd",,"LAST","."&amp;H$2&amp;H$1&amp;"C"&amp;$A46)-100*RTD("tos.rtd",,"VOLUME","."&amp;H$2&amp;H$1&amp;"P"&amp;$A46)*RTD("tos.rtd",,"LAST","."&amp;H$2&amp;H$1&amp;"P"&amp;$A46))/1000000,0),IF($A$2="DEX",IFERROR((100*RTD("tos.rtd",,"OPEN_INT","."&amp;H$2&amp;H$1&amp;"C"&amp;$A46)*RTD("tos.rtd",,"DELTA","."&amp;H$2&amp;H$1&amp;"C"&amp;$A46)-100*RTD("tos.rtd",,"OPEN_INT","."&amp;H$2&amp;H$1&amp;"P"&amp;$A46)*RTD("tos.rtd",,"DELTA","."&amp;H$2&amp;H$1&amp;"P"&amp;$A46))/1000,0),IF($A$2="VEX",IFERROR(($A$4*$A$4*RTD("tos.rtd",,"VOLUME","."&amp;H$2&amp;H$1&amp;"C"&amp;$A46)*RTD("tos.rtd",,"GAMMA","."&amp;H$2&amp;H$1&amp;"C"&amp;$A46)-$A$4*$A$4*RTD("tos.rtd",,"VOLUME","."&amp;H$2&amp;H$1&amp;"P"&amp;$A46)*RTD("tos.rtd",,"GAMMA","."&amp;H$2&amp;H$1&amp;"P"&amp;$A46))/1000000,0),IF($A$2="GEX",IFERROR(($A$4*$A$4*RTD("tos.rtd",,"OPEN_INT","."&amp;H$2&amp;H$1&amp;"C"&amp;$A46)*RTD("tos.rtd",,"GAMMA","."&amp;H$2&amp;H$1&amp;"C"&amp;$A46)-$A$4*$A$4*RTD("tos.rtd",,"OPEN_INT","."&amp;H$2&amp;H$1&amp;"P"&amp;$A46)*RTD("tos.rtd",,"GAMMA","."&amp;H$2&amp;H$1&amp;"P"&amp;$A46))/1000000,0),IF($A$2="SKEW",IFERROR(VALUE(IF(RTD("tos.rtd",,"IMPL_VOL","."&amp;H$2&amp;H$1&amp;"P"&amp;$A46)="N/A",0,RTD("tos.rtd",,"IMPL_VOL","."&amp;H$2&amp;H$1&amp;"P"&amp;$A46))),0)-IFERROR(VALUE(IF(RTD("tos.rtd",,"IMPL_VOL","."&amp;H$2&amp;H$1&amp;"C"&amp;$A46)="N/A",0,RTD("tos.rtd",,"IMPL_VOL","."&amp;H$2&amp;H$1&amp;"C"&amp;$A46))),0),IF($A$2="MAXPAIN",IF($A$4&gt;$A46,($A$4-$A46)*IF(RTD("tos.rtd",,"OPEN_INT","."&amp;H$2&amp;H$1&amp;"C"&amp;$A46)="N/A",0,RTD("tos.rtd",,"OPEN_INT","."&amp;H$2&amp;H$1&amp;"C"&amp;$A46)),0)+IF($A$4&lt;$A46,($A46-$A$4)*IF(RTD("tos.rtd",,"OPEN_INT","."&amp;H$2&amp;H$1&amp;"P"&amp;$A46)="N/A",0,RTD("tos.rtd",,"OPEN_INT","."&amp;H$2&amp;H$1&amp;"P"&amp;$A46)),0),IF(RTD("tos.rtd",,$A$2,"."&amp;H$2&amp;H$1&amp;"C"&amp;$A46)="N/A",0,RTD("tos.rtd",,$A$2,"."&amp;H$2&amp;H$1&amp;"C"&amp;$A46))-IF(RTD("tos.rtd",,$A$2,"."&amp;H$2&amp;H$1&amp;"P"&amp;$A46)="N/A",0,RTD("tos.rtd",,$A$2,"."&amp;H$2&amp;H$1&amp;"P"&amp;$A46)))))))))</f>
        <v>0</v>
      </c>
      <c r="I46" s="12">
        <f>IF($A$2="PREMIUM_OI",IFERROR((100*RTD("tos.rtd",,"OPEN_INT","."&amp;I$2&amp;I$1&amp;"C"&amp;$A46)*RTD("tos.rtd",,"LAST","."&amp;I$2&amp;I$1&amp;"C"&amp;$A46)-100*RTD("tos.rtd",,"OPEN_INT","."&amp;I$2&amp;I$1&amp;"P"&amp;$A46)*RTD("tos.rtd",,"LAST","."&amp;I$2&amp;I$1&amp;"P"&amp;$A46))/1000000,0),IF($A$2="PREMIUM",IFERROR((100*RTD("tos.rtd",,"VOLUME","."&amp;I$2&amp;I$1&amp;"C"&amp;$A46)*RTD("tos.rtd",,"LAST","."&amp;I$2&amp;I$1&amp;"C"&amp;$A46)-100*RTD("tos.rtd",,"VOLUME","."&amp;I$2&amp;I$1&amp;"P"&amp;$A46)*RTD("tos.rtd",,"LAST","."&amp;I$2&amp;I$1&amp;"P"&amp;$A46))/1000000,0),IF($A$2="DEX",IFERROR((100*RTD("tos.rtd",,"OPEN_INT","."&amp;I$2&amp;I$1&amp;"C"&amp;$A46)*RTD("tos.rtd",,"DELTA","."&amp;I$2&amp;I$1&amp;"C"&amp;$A46)-100*RTD("tos.rtd",,"OPEN_INT","."&amp;I$2&amp;I$1&amp;"P"&amp;$A46)*RTD("tos.rtd",,"DELTA","."&amp;I$2&amp;I$1&amp;"P"&amp;$A46))/1000,0),IF($A$2="VEX",IFERROR(($A$4*$A$4*RTD("tos.rtd",,"VOLUME","."&amp;I$2&amp;I$1&amp;"C"&amp;$A46)*RTD("tos.rtd",,"GAMMA","."&amp;I$2&amp;I$1&amp;"C"&amp;$A46)-$A$4*$A$4*RTD("tos.rtd",,"VOLUME","."&amp;I$2&amp;I$1&amp;"P"&amp;$A46)*RTD("tos.rtd",,"GAMMA","."&amp;I$2&amp;I$1&amp;"P"&amp;$A46))/1000000,0),IF($A$2="GEX",IFERROR(($A$4*$A$4*RTD("tos.rtd",,"OPEN_INT","."&amp;I$2&amp;I$1&amp;"C"&amp;$A46)*RTD("tos.rtd",,"GAMMA","."&amp;I$2&amp;I$1&amp;"C"&amp;$A46)-$A$4*$A$4*RTD("tos.rtd",,"OPEN_INT","."&amp;I$2&amp;I$1&amp;"P"&amp;$A46)*RTD("tos.rtd",,"GAMMA","."&amp;I$2&amp;I$1&amp;"P"&amp;$A46))/1000000,0),IF($A$2="SKEW",IFERROR(VALUE(IF(RTD("tos.rtd",,"IMPL_VOL","."&amp;I$2&amp;I$1&amp;"P"&amp;$A46)="N/A",0,RTD("tos.rtd",,"IMPL_VOL","."&amp;I$2&amp;I$1&amp;"P"&amp;$A46))),0)-IFERROR(VALUE(IF(RTD("tos.rtd",,"IMPL_VOL","."&amp;I$2&amp;I$1&amp;"C"&amp;$A46)="N/A",0,RTD("tos.rtd",,"IMPL_VOL","."&amp;I$2&amp;I$1&amp;"C"&amp;$A46))),0),IF($A$2="MAXPAIN",IF($A$4&gt;$A46,($A$4-$A46)*IF(RTD("tos.rtd",,"OPEN_INT","."&amp;I$2&amp;I$1&amp;"C"&amp;$A46)="N/A",0,RTD("tos.rtd",,"OPEN_INT","."&amp;I$2&amp;I$1&amp;"C"&amp;$A46)),0)+IF($A$4&lt;$A46,($A46-$A$4)*IF(RTD("tos.rtd",,"OPEN_INT","."&amp;I$2&amp;I$1&amp;"P"&amp;$A46)="N/A",0,RTD("tos.rtd",,"OPEN_INT","."&amp;I$2&amp;I$1&amp;"P"&amp;$A46)),0),IF(RTD("tos.rtd",,$A$2,"."&amp;I$2&amp;I$1&amp;"C"&amp;$A46)="N/A",0,RTD("tos.rtd",,$A$2,"."&amp;I$2&amp;I$1&amp;"C"&amp;$A46))-IF(RTD("tos.rtd",,$A$2,"."&amp;I$2&amp;I$1&amp;"P"&amp;$A46)="N/A",0,RTD("tos.rtd",,$A$2,"."&amp;I$2&amp;I$1&amp;"P"&amp;$A46)))))))))</f>
        <v>0</v>
      </c>
      <c r="J46" s="12">
        <f>IF($A$2="PREMIUM_OI",IFERROR((100*RTD("tos.rtd",,"OPEN_INT","."&amp;J$2&amp;J$1&amp;"C"&amp;$A46)*RTD("tos.rtd",,"LAST","."&amp;J$2&amp;J$1&amp;"C"&amp;$A46)-100*RTD("tos.rtd",,"OPEN_INT","."&amp;J$2&amp;J$1&amp;"P"&amp;$A46)*RTD("tos.rtd",,"LAST","."&amp;J$2&amp;J$1&amp;"P"&amp;$A46))/1000000,0),IF($A$2="PREMIUM",IFERROR((100*RTD("tos.rtd",,"VOLUME","."&amp;J$2&amp;J$1&amp;"C"&amp;$A46)*RTD("tos.rtd",,"LAST","."&amp;J$2&amp;J$1&amp;"C"&amp;$A46)-100*RTD("tos.rtd",,"VOLUME","."&amp;J$2&amp;J$1&amp;"P"&amp;$A46)*RTD("tos.rtd",,"LAST","."&amp;J$2&amp;J$1&amp;"P"&amp;$A46))/1000000,0),IF($A$2="DEX",IFERROR((100*RTD("tos.rtd",,"OPEN_INT","."&amp;J$2&amp;J$1&amp;"C"&amp;$A46)*RTD("tos.rtd",,"DELTA","."&amp;J$2&amp;J$1&amp;"C"&amp;$A46)-100*RTD("tos.rtd",,"OPEN_INT","."&amp;J$2&amp;J$1&amp;"P"&amp;$A46)*RTD("tos.rtd",,"DELTA","."&amp;J$2&amp;J$1&amp;"P"&amp;$A46))/1000,0),IF($A$2="VEX",IFERROR(($A$4*$A$4*RTD("tos.rtd",,"VOLUME","."&amp;J$2&amp;J$1&amp;"C"&amp;$A46)*RTD("tos.rtd",,"GAMMA","."&amp;J$2&amp;J$1&amp;"C"&amp;$A46)-$A$4*$A$4*RTD("tos.rtd",,"VOLUME","."&amp;J$2&amp;J$1&amp;"P"&amp;$A46)*RTD("tos.rtd",,"GAMMA","."&amp;J$2&amp;J$1&amp;"P"&amp;$A46))/1000000,0),IF($A$2="GEX",IFERROR(($A$4*$A$4*RTD("tos.rtd",,"OPEN_INT","."&amp;J$2&amp;J$1&amp;"C"&amp;$A46)*RTD("tos.rtd",,"GAMMA","."&amp;J$2&amp;J$1&amp;"C"&amp;$A46)-$A$4*$A$4*RTD("tos.rtd",,"OPEN_INT","."&amp;J$2&amp;J$1&amp;"P"&amp;$A46)*RTD("tos.rtd",,"GAMMA","."&amp;J$2&amp;J$1&amp;"P"&amp;$A46))/1000000,0),IF($A$2="SKEW",IFERROR(VALUE(IF(RTD("tos.rtd",,"IMPL_VOL","."&amp;J$2&amp;J$1&amp;"P"&amp;$A46)="N/A",0,RTD("tos.rtd",,"IMPL_VOL","."&amp;J$2&amp;J$1&amp;"P"&amp;$A46))),0)-IFERROR(VALUE(IF(RTD("tos.rtd",,"IMPL_VOL","."&amp;J$2&amp;J$1&amp;"C"&amp;$A46)="N/A",0,RTD("tos.rtd",,"IMPL_VOL","."&amp;J$2&amp;J$1&amp;"C"&amp;$A46))),0),IF($A$2="MAXPAIN",IF($A$4&gt;$A46,($A$4-$A46)*IF(RTD("tos.rtd",,"OPEN_INT","."&amp;J$2&amp;J$1&amp;"C"&amp;$A46)="N/A",0,RTD("tos.rtd",,"OPEN_INT","."&amp;J$2&amp;J$1&amp;"C"&amp;$A46)),0)+IF($A$4&lt;$A46,($A46-$A$4)*IF(RTD("tos.rtd",,"OPEN_INT","."&amp;J$2&amp;J$1&amp;"P"&amp;$A46)="N/A",0,RTD("tos.rtd",,"OPEN_INT","."&amp;J$2&amp;J$1&amp;"P"&amp;$A46)),0),IF(RTD("tos.rtd",,$A$2,"."&amp;J$2&amp;J$1&amp;"C"&amp;$A46)="N/A",0,RTD("tos.rtd",,$A$2,"."&amp;J$2&amp;J$1&amp;"C"&amp;$A46))-IF(RTD("tos.rtd",,$A$2,"."&amp;J$2&amp;J$1&amp;"P"&amp;$A46)="N/A",0,RTD("tos.rtd",,$A$2,"."&amp;J$2&amp;J$1&amp;"P"&amp;$A46)))))))))</f>
        <v>0</v>
      </c>
      <c r="K46" s="12">
        <f>IF($A$2="PREMIUM_OI",IFERROR((100*RTD("tos.rtd",,"OPEN_INT","."&amp;K$2&amp;K$1&amp;"C"&amp;$A46)*RTD("tos.rtd",,"LAST","."&amp;K$2&amp;K$1&amp;"C"&amp;$A46)-100*RTD("tos.rtd",,"OPEN_INT","."&amp;K$2&amp;K$1&amp;"P"&amp;$A46)*RTD("tos.rtd",,"LAST","."&amp;K$2&amp;K$1&amp;"P"&amp;$A46))/1000000,0),IF($A$2="PREMIUM",IFERROR((100*RTD("tos.rtd",,"VOLUME","."&amp;K$2&amp;K$1&amp;"C"&amp;$A46)*RTD("tos.rtd",,"LAST","."&amp;K$2&amp;K$1&amp;"C"&amp;$A46)-100*RTD("tos.rtd",,"VOLUME","."&amp;K$2&amp;K$1&amp;"P"&amp;$A46)*RTD("tos.rtd",,"LAST","."&amp;K$2&amp;K$1&amp;"P"&amp;$A46))/1000000,0),IF($A$2="DEX",IFERROR((100*RTD("tos.rtd",,"OPEN_INT","."&amp;K$2&amp;K$1&amp;"C"&amp;$A46)*RTD("tos.rtd",,"DELTA","."&amp;K$2&amp;K$1&amp;"C"&amp;$A46)-100*RTD("tos.rtd",,"OPEN_INT","."&amp;K$2&amp;K$1&amp;"P"&amp;$A46)*RTD("tos.rtd",,"DELTA","."&amp;K$2&amp;K$1&amp;"P"&amp;$A46))/1000,0),IF($A$2="VEX",IFERROR(($A$4*$A$4*RTD("tos.rtd",,"VOLUME","."&amp;K$2&amp;K$1&amp;"C"&amp;$A46)*RTD("tos.rtd",,"GAMMA","."&amp;K$2&amp;K$1&amp;"C"&amp;$A46)-$A$4*$A$4*RTD("tos.rtd",,"VOLUME","."&amp;K$2&amp;K$1&amp;"P"&amp;$A46)*RTD("tos.rtd",,"GAMMA","."&amp;K$2&amp;K$1&amp;"P"&amp;$A46))/1000000,0),IF($A$2="GEX",IFERROR(($A$4*$A$4*RTD("tos.rtd",,"OPEN_INT","."&amp;K$2&amp;K$1&amp;"C"&amp;$A46)*RTD("tos.rtd",,"GAMMA","."&amp;K$2&amp;K$1&amp;"C"&amp;$A46)-$A$4*$A$4*RTD("tos.rtd",,"OPEN_INT","."&amp;K$2&amp;K$1&amp;"P"&amp;$A46)*RTD("tos.rtd",,"GAMMA","."&amp;K$2&amp;K$1&amp;"P"&amp;$A46))/1000000,0),IF($A$2="SKEW",IFERROR(VALUE(IF(RTD("tos.rtd",,"IMPL_VOL","."&amp;K$2&amp;K$1&amp;"P"&amp;$A46)="N/A",0,RTD("tos.rtd",,"IMPL_VOL","."&amp;K$2&amp;K$1&amp;"P"&amp;$A46))),0)-IFERROR(VALUE(IF(RTD("tos.rtd",,"IMPL_VOL","."&amp;K$2&amp;K$1&amp;"C"&amp;$A46)="N/A",0,RTD("tos.rtd",,"IMPL_VOL","."&amp;K$2&amp;K$1&amp;"C"&amp;$A46))),0),IF($A$2="MAXPAIN",IF($A$4&gt;$A46,($A$4-$A46)*IF(RTD("tos.rtd",,"OPEN_INT","."&amp;K$2&amp;K$1&amp;"C"&amp;$A46)="N/A",0,RTD("tos.rtd",,"OPEN_INT","."&amp;K$2&amp;K$1&amp;"C"&amp;$A46)),0)+IF($A$4&lt;$A46,($A46-$A$4)*IF(RTD("tos.rtd",,"OPEN_INT","."&amp;K$2&amp;K$1&amp;"P"&amp;$A46)="N/A",0,RTD("tos.rtd",,"OPEN_INT","."&amp;K$2&amp;K$1&amp;"P"&amp;$A46)),0),IF(RTD("tos.rtd",,$A$2,"."&amp;K$2&amp;K$1&amp;"C"&amp;$A46)="N/A",0,RTD("tos.rtd",,$A$2,"."&amp;K$2&amp;K$1&amp;"C"&amp;$A46))-IF(RTD("tos.rtd",,$A$2,"."&amp;K$2&amp;K$1&amp;"P"&amp;$A46)="N/A",0,RTD("tos.rtd",,$A$2,"."&amp;K$2&amp;K$1&amp;"P"&amp;$A46)))))))))</f>
        <v>0</v>
      </c>
      <c r="L46" s="12">
        <f>IF($A$2="PREMIUM_OI",IFERROR((100*RTD("tos.rtd",,"OPEN_INT","."&amp;L$2&amp;L$1&amp;"C"&amp;$A46)*RTD("tos.rtd",,"LAST","."&amp;L$2&amp;L$1&amp;"C"&amp;$A46)-100*RTD("tos.rtd",,"OPEN_INT","."&amp;L$2&amp;L$1&amp;"P"&amp;$A46)*RTD("tos.rtd",,"LAST","."&amp;L$2&amp;L$1&amp;"P"&amp;$A46))/1000000,0),IF($A$2="PREMIUM",IFERROR((100*RTD("tos.rtd",,"VOLUME","."&amp;L$2&amp;L$1&amp;"C"&amp;$A46)*RTD("tos.rtd",,"LAST","."&amp;L$2&amp;L$1&amp;"C"&amp;$A46)-100*RTD("tos.rtd",,"VOLUME","."&amp;L$2&amp;L$1&amp;"P"&amp;$A46)*RTD("tos.rtd",,"LAST","."&amp;L$2&amp;L$1&amp;"P"&amp;$A46))/1000000,0),IF($A$2="DEX",IFERROR((100*RTD("tos.rtd",,"OPEN_INT","."&amp;L$2&amp;L$1&amp;"C"&amp;$A46)*RTD("tos.rtd",,"DELTA","."&amp;L$2&amp;L$1&amp;"C"&amp;$A46)-100*RTD("tos.rtd",,"OPEN_INT","."&amp;L$2&amp;L$1&amp;"P"&amp;$A46)*RTD("tos.rtd",,"DELTA","."&amp;L$2&amp;L$1&amp;"P"&amp;$A46))/1000,0),IF($A$2="VEX",IFERROR(($A$4*$A$4*RTD("tos.rtd",,"VOLUME","."&amp;L$2&amp;L$1&amp;"C"&amp;$A46)*RTD("tos.rtd",,"GAMMA","."&amp;L$2&amp;L$1&amp;"C"&amp;$A46)-$A$4*$A$4*RTD("tos.rtd",,"VOLUME","."&amp;L$2&amp;L$1&amp;"P"&amp;$A46)*RTD("tos.rtd",,"GAMMA","."&amp;L$2&amp;L$1&amp;"P"&amp;$A46))/1000000,0),IF($A$2="GEX",IFERROR(($A$4*$A$4*RTD("tos.rtd",,"OPEN_INT","."&amp;L$2&amp;L$1&amp;"C"&amp;$A46)*RTD("tos.rtd",,"GAMMA","."&amp;L$2&amp;L$1&amp;"C"&amp;$A46)-$A$4*$A$4*RTD("tos.rtd",,"OPEN_INT","."&amp;L$2&amp;L$1&amp;"P"&amp;$A46)*RTD("tos.rtd",,"GAMMA","."&amp;L$2&amp;L$1&amp;"P"&amp;$A46))/1000000,0),IF($A$2="SKEW",IFERROR(VALUE(IF(RTD("tos.rtd",,"IMPL_VOL","."&amp;L$2&amp;L$1&amp;"P"&amp;$A46)="N/A",0,RTD("tos.rtd",,"IMPL_VOL","."&amp;L$2&amp;L$1&amp;"P"&amp;$A46))),0)-IFERROR(VALUE(IF(RTD("tos.rtd",,"IMPL_VOL","."&amp;L$2&amp;L$1&amp;"C"&amp;$A46)="N/A",0,RTD("tos.rtd",,"IMPL_VOL","."&amp;L$2&amp;L$1&amp;"C"&amp;$A46))),0),IF($A$2="MAXPAIN",IF($A$4&gt;$A46,($A$4-$A46)*IF(RTD("tos.rtd",,"OPEN_INT","."&amp;L$2&amp;L$1&amp;"C"&amp;$A46)="N/A",0,RTD("tos.rtd",,"OPEN_INT","."&amp;L$2&amp;L$1&amp;"C"&amp;$A46)),0)+IF($A$4&lt;$A46,($A46-$A$4)*IF(RTD("tos.rtd",,"OPEN_INT","."&amp;L$2&amp;L$1&amp;"P"&amp;$A46)="N/A",0,RTD("tos.rtd",,"OPEN_INT","."&amp;L$2&amp;L$1&amp;"P"&amp;$A46)),0),IF(RTD("tos.rtd",,$A$2,"."&amp;L$2&amp;L$1&amp;"C"&amp;$A46)="N/A",0,RTD("tos.rtd",,$A$2,"."&amp;L$2&amp;L$1&amp;"C"&amp;$A46))-IF(RTD("tos.rtd",,$A$2,"."&amp;L$2&amp;L$1&amp;"P"&amp;$A46)="N/A",0,RTD("tos.rtd",,$A$2,"."&amp;L$2&amp;L$1&amp;"P"&amp;$A46)))))))))</f>
        <v>0</v>
      </c>
      <c r="M46" s="12">
        <f>IF($A$2="PREMIUM_OI",IFERROR((100*RTD("tos.rtd",,"OPEN_INT","."&amp;M$2&amp;M$1&amp;"C"&amp;$A46)*RTD("tos.rtd",,"LAST","."&amp;M$2&amp;M$1&amp;"C"&amp;$A46)-100*RTD("tos.rtd",,"OPEN_INT","."&amp;M$2&amp;M$1&amp;"P"&amp;$A46)*RTD("tos.rtd",,"LAST","."&amp;M$2&amp;M$1&amp;"P"&amp;$A46))/1000000,0),IF($A$2="PREMIUM",IFERROR((100*RTD("tos.rtd",,"VOLUME","."&amp;M$2&amp;M$1&amp;"C"&amp;$A46)*RTD("tos.rtd",,"LAST","."&amp;M$2&amp;M$1&amp;"C"&amp;$A46)-100*RTD("tos.rtd",,"VOLUME","."&amp;M$2&amp;M$1&amp;"P"&amp;$A46)*RTD("tos.rtd",,"LAST","."&amp;M$2&amp;M$1&amp;"P"&amp;$A46))/1000000,0),IF($A$2="DEX",IFERROR((100*RTD("tos.rtd",,"OPEN_INT","."&amp;M$2&amp;M$1&amp;"C"&amp;$A46)*RTD("tos.rtd",,"DELTA","."&amp;M$2&amp;M$1&amp;"C"&amp;$A46)-100*RTD("tos.rtd",,"OPEN_INT","."&amp;M$2&amp;M$1&amp;"P"&amp;$A46)*RTD("tos.rtd",,"DELTA","."&amp;M$2&amp;M$1&amp;"P"&amp;$A46))/1000,0),IF($A$2="VEX",IFERROR(($A$4*$A$4*RTD("tos.rtd",,"VOLUME","."&amp;M$2&amp;M$1&amp;"C"&amp;$A46)*RTD("tos.rtd",,"GAMMA","."&amp;M$2&amp;M$1&amp;"C"&amp;$A46)-$A$4*$A$4*RTD("tos.rtd",,"VOLUME","."&amp;M$2&amp;M$1&amp;"P"&amp;$A46)*RTD("tos.rtd",,"GAMMA","."&amp;M$2&amp;M$1&amp;"P"&amp;$A46))/1000000,0),IF($A$2="GEX",IFERROR(($A$4*$A$4*RTD("tos.rtd",,"OPEN_INT","."&amp;M$2&amp;M$1&amp;"C"&amp;$A46)*RTD("tos.rtd",,"GAMMA","."&amp;M$2&amp;M$1&amp;"C"&amp;$A46)-$A$4*$A$4*RTD("tos.rtd",,"OPEN_INT","."&amp;M$2&amp;M$1&amp;"P"&amp;$A46)*RTD("tos.rtd",,"GAMMA","."&amp;M$2&amp;M$1&amp;"P"&amp;$A46))/1000000,0),IF($A$2="SKEW",IFERROR(VALUE(IF(RTD("tos.rtd",,"IMPL_VOL","."&amp;M$2&amp;M$1&amp;"P"&amp;$A46)="N/A",0,RTD("tos.rtd",,"IMPL_VOL","."&amp;M$2&amp;M$1&amp;"P"&amp;$A46))),0)-IFERROR(VALUE(IF(RTD("tos.rtd",,"IMPL_VOL","."&amp;M$2&amp;M$1&amp;"C"&amp;$A46)="N/A",0,RTD("tos.rtd",,"IMPL_VOL","."&amp;M$2&amp;M$1&amp;"C"&amp;$A46))),0),IF($A$2="MAXPAIN",IF($A$4&gt;$A46,($A$4-$A46)*IF(RTD("tos.rtd",,"OPEN_INT","."&amp;M$2&amp;M$1&amp;"C"&amp;$A46)="N/A",0,RTD("tos.rtd",,"OPEN_INT","."&amp;M$2&amp;M$1&amp;"C"&amp;$A46)),0)+IF($A$4&lt;$A46,($A46-$A$4)*IF(RTD("tos.rtd",,"OPEN_INT","."&amp;M$2&amp;M$1&amp;"P"&amp;$A46)="N/A",0,RTD("tos.rtd",,"OPEN_INT","."&amp;M$2&amp;M$1&amp;"P"&amp;$A46)),0),IF(RTD("tos.rtd",,$A$2,"."&amp;M$2&amp;M$1&amp;"C"&amp;$A46)="N/A",0,RTD("tos.rtd",,$A$2,"."&amp;M$2&amp;M$1&amp;"C"&amp;$A46))-IF(RTD("tos.rtd",,$A$2,"."&amp;M$2&amp;M$1&amp;"P"&amp;$A46)="N/A",0,RTD("tos.rtd",,$A$2,"."&amp;M$2&amp;M$1&amp;"P"&amp;$A46)))))))))</f>
        <v>0</v>
      </c>
      <c r="N46" s="12">
        <f>IF($A$2="PREMIUM_OI",IFERROR((100*RTD("tos.rtd",,"OPEN_INT","."&amp;N$2&amp;N$1&amp;"C"&amp;$A46)*RTD("tos.rtd",,"LAST","."&amp;N$2&amp;N$1&amp;"C"&amp;$A46)-100*RTD("tos.rtd",,"OPEN_INT","."&amp;N$2&amp;N$1&amp;"P"&amp;$A46)*RTD("tos.rtd",,"LAST","."&amp;N$2&amp;N$1&amp;"P"&amp;$A46))/1000000,0),IF($A$2="PREMIUM",IFERROR((100*RTD("tos.rtd",,"VOLUME","."&amp;N$2&amp;N$1&amp;"C"&amp;$A46)*RTD("tos.rtd",,"LAST","."&amp;N$2&amp;N$1&amp;"C"&amp;$A46)-100*RTD("tos.rtd",,"VOLUME","."&amp;N$2&amp;N$1&amp;"P"&amp;$A46)*RTD("tos.rtd",,"LAST","."&amp;N$2&amp;N$1&amp;"P"&amp;$A46))/1000000,0),IF($A$2="DEX",IFERROR((100*RTD("tos.rtd",,"OPEN_INT","."&amp;N$2&amp;N$1&amp;"C"&amp;$A46)*RTD("tos.rtd",,"DELTA","."&amp;N$2&amp;N$1&amp;"C"&amp;$A46)-100*RTD("tos.rtd",,"OPEN_INT","."&amp;N$2&amp;N$1&amp;"P"&amp;$A46)*RTD("tos.rtd",,"DELTA","."&amp;N$2&amp;N$1&amp;"P"&amp;$A46))/1000,0),IF($A$2="VEX",IFERROR(($A$4*$A$4*RTD("tos.rtd",,"VOLUME","."&amp;N$2&amp;N$1&amp;"C"&amp;$A46)*RTD("tos.rtd",,"GAMMA","."&amp;N$2&amp;N$1&amp;"C"&amp;$A46)-$A$4*$A$4*RTD("tos.rtd",,"VOLUME","."&amp;N$2&amp;N$1&amp;"P"&amp;$A46)*RTD("tos.rtd",,"GAMMA","."&amp;N$2&amp;N$1&amp;"P"&amp;$A46))/1000000,0),IF($A$2="GEX",IFERROR(($A$4*$A$4*RTD("tos.rtd",,"OPEN_INT","."&amp;N$2&amp;N$1&amp;"C"&amp;$A46)*RTD("tos.rtd",,"GAMMA","."&amp;N$2&amp;N$1&amp;"C"&amp;$A46)-$A$4*$A$4*RTD("tos.rtd",,"OPEN_INT","."&amp;N$2&amp;N$1&amp;"P"&amp;$A46)*RTD("tos.rtd",,"GAMMA","."&amp;N$2&amp;N$1&amp;"P"&amp;$A46))/1000000,0),IF($A$2="SKEW",IFERROR(VALUE(IF(RTD("tos.rtd",,"IMPL_VOL","."&amp;N$2&amp;N$1&amp;"P"&amp;$A46)="N/A",0,RTD("tos.rtd",,"IMPL_VOL","."&amp;N$2&amp;N$1&amp;"P"&amp;$A46))),0)-IFERROR(VALUE(IF(RTD("tos.rtd",,"IMPL_VOL","."&amp;N$2&amp;N$1&amp;"C"&amp;$A46)="N/A",0,RTD("tos.rtd",,"IMPL_VOL","."&amp;N$2&amp;N$1&amp;"C"&amp;$A46))),0),IF($A$2="MAXPAIN",IF($A$4&gt;$A46,($A$4-$A46)*IF(RTD("tos.rtd",,"OPEN_INT","."&amp;N$2&amp;N$1&amp;"C"&amp;$A46)="N/A",0,RTD("tos.rtd",,"OPEN_INT","."&amp;N$2&amp;N$1&amp;"C"&amp;$A46)),0)+IF($A$4&lt;$A46,($A46-$A$4)*IF(RTD("tos.rtd",,"OPEN_INT","."&amp;N$2&amp;N$1&amp;"P"&amp;$A46)="N/A",0,RTD("tos.rtd",,"OPEN_INT","."&amp;N$2&amp;N$1&amp;"P"&amp;$A46)),0),IF(RTD("tos.rtd",,$A$2,"."&amp;N$2&amp;N$1&amp;"C"&amp;$A46)="N/A",0,RTD("tos.rtd",,$A$2,"."&amp;N$2&amp;N$1&amp;"C"&amp;$A46))-IF(RTD("tos.rtd",,$A$2,"."&amp;N$2&amp;N$1&amp;"P"&amp;$A46)="N/A",0,RTD("tos.rtd",,$A$2,"."&amp;N$2&amp;N$1&amp;"P"&amp;$A46)))))))))</f>
        <v>0</v>
      </c>
      <c r="O46" s="12">
        <f>IF($A$2="PREMIUM_OI",IFERROR((100*RTD("tos.rtd",,"OPEN_INT","."&amp;O$2&amp;O$1&amp;"C"&amp;$A46)*RTD("tos.rtd",,"LAST","."&amp;O$2&amp;O$1&amp;"C"&amp;$A46)-100*RTD("tos.rtd",,"OPEN_INT","."&amp;O$2&amp;O$1&amp;"P"&amp;$A46)*RTD("tos.rtd",,"LAST","."&amp;O$2&amp;O$1&amp;"P"&amp;$A46))/1000000,0),IF($A$2="PREMIUM",IFERROR((100*RTD("tos.rtd",,"VOLUME","."&amp;O$2&amp;O$1&amp;"C"&amp;$A46)*RTD("tos.rtd",,"LAST","."&amp;O$2&amp;O$1&amp;"C"&amp;$A46)-100*RTD("tos.rtd",,"VOLUME","."&amp;O$2&amp;O$1&amp;"P"&amp;$A46)*RTD("tos.rtd",,"LAST","."&amp;O$2&amp;O$1&amp;"P"&amp;$A46))/1000000,0),IF($A$2="DEX",IFERROR((100*RTD("tos.rtd",,"OPEN_INT","."&amp;O$2&amp;O$1&amp;"C"&amp;$A46)*RTD("tos.rtd",,"DELTA","."&amp;O$2&amp;O$1&amp;"C"&amp;$A46)-100*RTD("tos.rtd",,"OPEN_INT","."&amp;O$2&amp;O$1&amp;"P"&amp;$A46)*RTD("tos.rtd",,"DELTA","."&amp;O$2&amp;O$1&amp;"P"&amp;$A46))/1000,0),IF($A$2="VEX",IFERROR(($A$4*$A$4*RTD("tos.rtd",,"VOLUME","."&amp;O$2&amp;O$1&amp;"C"&amp;$A46)*RTD("tos.rtd",,"GAMMA","."&amp;O$2&amp;O$1&amp;"C"&amp;$A46)-$A$4*$A$4*RTD("tos.rtd",,"VOLUME","."&amp;O$2&amp;O$1&amp;"P"&amp;$A46)*RTD("tos.rtd",,"GAMMA","."&amp;O$2&amp;O$1&amp;"P"&amp;$A46))/1000000,0),IF($A$2="GEX",IFERROR(($A$4*$A$4*RTD("tos.rtd",,"OPEN_INT","."&amp;O$2&amp;O$1&amp;"C"&amp;$A46)*RTD("tos.rtd",,"GAMMA","."&amp;O$2&amp;O$1&amp;"C"&amp;$A46)-$A$4*$A$4*RTD("tos.rtd",,"OPEN_INT","."&amp;O$2&amp;O$1&amp;"P"&amp;$A46)*RTD("tos.rtd",,"GAMMA","."&amp;O$2&amp;O$1&amp;"P"&amp;$A46))/1000000,0),IF($A$2="SKEW",IFERROR(VALUE(IF(RTD("tos.rtd",,"IMPL_VOL","."&amp;O$2&amp;O$1&amp;"P"&amp;$A46)="N/A",0,RTD("tos.rtd",,"IMPL_VOL","."&amp;O$2&amp;O$1&amp;"P"&amp;$A46))),0)-IFERROR(VALUE(IF(RTD("tos.rtd",,"IMPL_VOL","."&amp;O$2&amp;O$1&amp;"C"&amp;$A46)="N/A",0,RTD("tos.rtd",,"IMPL_VOL","."&amp;O$2&amp;O$1&amp;"C"&amp;$A46))),0),IF($A$2="MAXPAIN",IF($A$4&gt;$A46,($A$4-$A46)*IF(RTD("tos.rtd",,"OPEN_INT","."&amp;O$2&amp;O$1&amp;"C"&amp;$A46)="N/A",0,RTD("tos.rtd",,"OPEN_INT","."&amp;O$2&amp;O$1&amp;"C"&amp;$A46)),0)+IF($A$4&lt;$A46,($A46-$A$4)*IF(RTD("tos.rtd",,"OPEN_INT","."&amp;O$2&amp;O$1&amp;"P"&amp;$A46)="N/A",0,RTD("tos.rtd",,"OPEN_INT","."&amp;O$2&amp;O$1&amp;"P"&amp;$A46)),0),IF(RTD("tos.rtd",,$A$2,"."&amp;O$2&amp;O$1&amp;"C"&amp;$A46)="N/A",0,RTD("tos.rtd",,$A$2,"."&amp;O$2&amp;O$1&amp;"C"&amp;$A46))-IF(RTD("tos.rtd",,$A$2,"."&amp;O$2&amp;O$1&amp;"P"&amp;$A46)="N/A",0,RTD("tos.rtd",,$A$2,"."&amp;O$2&amp;O$1&amp;"P"&amp;$A46)))))))))</f>
        <v>0</v>
      </c>
      <c r="P46" s="12">
        <f>IF($A$2="PREMIUM_OI",IFERROR((100*RTD("tos.rtd",,"OPEN_INT","."&amp;P$2&amp;P$1&amp;"C"&amp;$A46)*RTD("tos.rtd",,"LAST","."&amp;P$2&amp;P$1&amp;"C"&amp;$A46)-100*RTD("tos.rtd",,"OPEN_INT","."&amp;P$2&amp;P$1&amp;"P"&amp;$A46)*RTD("tos.rtd",,"LAST","."&amp;P$2&amp;P$1&amp;"P"&amp;$A46))/1000000,0),IF($A$2="PREMIUM",IFERROR((100*RTD("tos.rtd",,"VOLUME","."&amp;P$2&amp;P$1&amp;"C"&amp;$A46)*RTD("tos.rtd",,"LAST","."&amp;P$2&amp;P$1&amp;"C"&amp;$A46)-100*RTD("tos.rtd",,"VOLUME","."&amp;P$2&amp;P$1&amp;"P"&amp;$A46)*RTD("tos.rtd",,"LAST","."&amp;P$2&amp;P$1&amp;"P"&amp;$A46))/1000000,0),IF($A$2="DEX",IFERROR((100*RTD("tos.rtd",,"OPEN_INT","."&amp;P$2&amp;P$1&amp;"C"&amp;$A46)*RTD("tos.rtd",,"DELTA","."&amp;P$2&amp;P$1&amp;"C"&amp;$A46)-100*RTD("tos.rtd",,"OPEN_INT","."&amp;P$2&amp;P$1&amp;"P"&amp;$A46)*RTD("tos.rtd",,"DELTA","."&amp;P$2&amp;P$1&amp;"P"&amp;$A46))/1000,0),IF($A$2="VEX",IFERROR(($A$4*$A$4*RTD("tos.rtd",,"VOLUME","."&amp;P$2&amp;P$1&amp;"C"&amp;$A46)*RTD("tos.rtd",,"GAMMA","."&amp;P$2&amp;P$1&amp;"C"&amp;$A46)-$A$4*$A$4*RTD("tos.rtd",,"VOLUME","."&amp;P$2&amp;P$1&amp;"P"&amp;$A46)*RTD("tos.rtd",,"GAMMA","."&amp;P$2&amp;P$1&amp;"P"&amp;$A46))/1000000,0),IF($A$2="GEX",IFERROR(($A$4*$A$4*RTD("tos.rtd",,"OPEN_INT","."&amp;P$2&amp;P$1&amp;"C"&amp;$A46)*RTD("tos.rtd",,"GAMMA","."&amp;P$2&amp;P$1&amp;"C"&amp;$A46)-$A$4*$A$4*RTD("tos.rtd",,"OPEN_INT","."&amp;P$2&amp;P$1&amp;"P"&amp;$A46)*RTD("tos.rtd",,"GAMMA","."&amp;P$2&amp;P$1&amp;"P"&amp;$A46))/1000000,0),IF($A$2="SKEW",IFERROR(VALUE(IF(RTD("tos.rtd",,"IMPL_VOL","."&amp;P$2&amp;P$1&amp;"P"&amp;$A46)="N/A",0,RTD("tos.rtd",,"IMPL_VOL","."&amp;P$2&amp;P$1&amp;"P"&amp;$A46))),0)-IFERROR(VALUE(IF(RTD("tos.rtd",,"IMPL_VOL","."&amp;P$2&amp;P$1&amp;"C"&amp;$A46)="N/A",0,RTD("tos.rtd",,"IMPL_VOL","."&amp;P$2&amp;P$1&amp;"C"&amp;$A46))),0),IF($A$2="MAXPAIN",IF($A$4&gt;$A46,($A$4-$A46)*IF(RTD("tos.rtd",,"OPEN_INT","."&amp;P$2&amp;P$1&amp;"C"&amp;$A46)="N/A",0,RTD("tos.rtd",,"OPEN_INT","."&amp;P$2&amp;P$1&amp;"C"&amp;$A46)),0)+IF($A$4&lt;$A46,($A46-$A$4)*IF(RTD("tos.rtd",,"OPEN_INT","."&amp;P$2&amp;P$1&amp;"P"&amp;$A46)="N/A",0,RTD("tos.rtd",,"OPEN_INT","."&amp;P$2&amp;P$1&amp;"P"&amp;$A46)),0),IF(RTD("tos.rtd",,$A$2,"."&amp;P$2&amp;P$1&amp;"C"&amp;$A46)="N/A",0,RTD("tos.rtd",,$A$2,"."&amp;P$2&amp;P$1&amp;"C"&amp;$A46))-IF(RTD("tos.rtd",,$A$2,"."&amp;P$2&amp;P$1&amp;"P"&amp;$A46)="N/A",0,RTD("tos.rtd",,$A$2,"."&amp;P$2&amp;P$1&amp;"P"&amp;$A46)))))))))</f>
        <v>0</v>
      </c>
      <c r="Q46" s="12">
        <f>IF($A$2="PREMIUM_OI",IFERROR((100*RTD("tos.rtd",,"OPEN_INT","."&amp;Q$2&amp;Q$1&amp;"C"&amp;$A46)*RTD("tos.rtd",,"LAST","."&amp;Q$2&amp;Q$1&amp;"C"&amp;$A46)-100*RTD("tos.rtd",,"OPEN_INT","."&amp;Q$2&amp;Q$1&amp;"P"&amp;$A46)*RTD("tos.rtd",,"LAST","."&amp;Q$2&amp;Q$1&amp;"P"&amp;$A46))/1000000,0),IF($A$2="PREMIUM",IFERROR((100*RTD("tos.rtd",,"VOLUME","."&amp;Q$2&amp;Q$1&amp;"C"&amp;$A46)*RTD("tos.rtd",,"LAST","."&amp;Q$2&amp;Q$1&amp;"C"&amp;$A46)-100*RTD("tos.rtd",,"VOLUME","."&amp;Q$2&amp;Q$1&amp;"P"&amp;$A46)*RTD("tos.rtd",,"LAST","."&amp;Q$2&amp;Q$1&amp;"P"&amp;$A46))/1000000,0),IF($A$2="DEX",IFERROR((100*RTD("tos.rtd",,"OPEN_INT","."&amp;Q$2&amp;Q$1&amp;"C"&amp;$A46)*RTD("tos.rtd",,"DELTA","."&amp;Q$2&amp;Q$1&amp;"C"&amp;$A46)-100*RTD("tos.rtd",,"OPEN_INT","."&amp;Q$2&amp;Q$1&amp;"P"&amp;$A46)*RTD("tos.rtd",,"DELTA","."&amp;Q$2&amp;Q$1&amp;"P"&amp;$A46))/1000,0),IF($A$2="VEX",IFERROR(($A$4*$A$4*RTD("tos.rtd",,"VOLUME","."&amp;Q$2&amp;Q$1&amp;"C"&amp;$A46)*RTD("tos.rtd",,"GAMMA","."&amp;Q$2&amp;Q$1&amp;"C"&amp;$A46)-$A$4*$A$4*RTD("tos.rtd",,"VOLUME","."&amp;Q$2&amp;Q$1&amp;"P"&amp;$A46)*RTD("tos.rtd",,"GAMMA","."&amp;Q$2&amp;Q$1&amp;"P"&amp;$A46))/1000000,0),IF($A$2="GEX",IFERROR(($A$4*$A$4*RTD("tos.rtd",,"OPEN_INT","."&amp;Q$2&amp;Q$1&amp;"C"&amp;$A46)*RTD("tos.rtd",,"GAMMA","."&amp;Q$2&amp;Q$1&amp;"C"&amp;$A46)-$A$4*$A$4*RTD("tos.rtd",,"OPEN_INT","."&amp;Q$2&amp;Q$1&amp;"P"&amp;$A46)*RTD("tos.rtd",,"GAMMA","."&amp;Q$2&amp;Q$1&amp;"P"&amp;$A46))/1000000,0),IF($A$2="SKEW",IFERROR(VALUE(IF(RTD("tos.rtd",,"IMPL_VOL","."&amp;Q$2&amp;Q$1&amp;"P"&amp;$A46)="N/A",0,RTD("tos.rtd",,"IMPL_VOL","."&amp;Q$2&amp;Q$1&amp;"P"&amp;$A46))),0)-IFERROR(VALUE(IF(RTD("tos.rtd",,"IMPL_VOL","."&amp;Q$2&amp;Q$1&amp;"C"&amp;$A46)="N/A",0,RTD("tos.rtd",,"IMPL_VOL","."&amp;Q$2&amp;Q$1&amp;"C"&amp;$A46))),0),IF($A$2="MAXPAIN",IF($A$4&gt;$A46,($A$4-$A46)*IF(RTD("tos.rtd",,"OPEN_INT","."&amp;Q$2&amp;Q$1&amp;"C"&amp;$A46)="N/A",0,RTD("tos.rtd",,"OPEN_INT","."&amp;Q$2&amp;Q$1&amp;"C"&amp;$A46)),0)+IF($A$4&lt;$A46,($A46-$A$4)*IF(RTD("tos.rtd",,"OPEN_INT","."&amp;Q$2&amp;Q$1&amp;"P"&amp;$A46)="N/A",0,RTD("tos.rtd",,"OPEN_INT","."&amp;Q$2&amp;Q$1&amp;"P"&amp;$A46)),0),IF(RTD("tos.rtd",,$A$2,"."&amp;Q$2&amp;Q$1&amp;"C"&amp;$A46)="N/A",0,RTD("tos.rtd",,$A$2,"."&amp;Q$2&amp;Q$1&amp;"C"&amp;$A46))-IF(RTD("tos.rtd",,$A$2,"."&amp;Q$2&amp;Q$1&amp;"P"&amp;$A46)="N/A",0,RTD("tos.rtd",,$A$2,"."&amp;Q$2&amp;Q$1&amp;"P"&amp;$A46)))))))))</f>
        <v>0</v>
      </c>
      <c r="R46" s="12">
        <f>IF($A$2="PREMIUM_OI",IFERROR((100*RTD("tos.rtd",,"OPEN_INT","."&amp;R$2&amp;R$1&amp;"C"&amp;$A46)*RTD("tos.rtd",,"LAST","."&amp;R$2&amp;R$1&amp;"C"&amp;$A46)-100*RTD("tos.rtd",,"OPEN_INT","."&amp;R$2&amp;R$1&amp;"P"&amp;$A46)*RTD("tos.rtd",,"LAST","."&amp;R$2&amp;R$1&amp;"P"&amp;$A46))/1000000,0),IF($A$2="PREMIUM",IFERROR((100*RTD("tos.rtd",,"VOLUME","."&amp;R$2&amp;R$1&amp;"C"&amp;$A46)*RTD("tos.rtd",,"LAST","."&amp;R$2&amp;R$1&amp;"C"&amp;$A46)-100*RTD("tos.rtd",,"VOLUME","."&amp;R$2&amp;R$1&amp;"P"&amp;$A46)*RTD("tos.rtd",,"LAST","."&amp;R$2&amp;R$1&amp;"P"&amp;$A46))/1000000,0),IF($A$2="DEX",IFERROR((100*RTD("tos.rtd",,"OPEN_INT","."&amp;R$2&amp;R$1&amp;"C"&amp;$A46)*RTD("tos.rtd",,"DELTA","."&amp;R$2&amp;R$1&amp;"C"&amp;$A46)-100*RTD("tos.rtd",,"OPEN_INT","."&amp;R$2&amp;R$1&amp;"P"&amp;$A46)*RTD("tos.rtd",,"DELTA","."&amp;R$2&amp;R$1&amp;"P"&amp;$A46))/1000,0),IF($A$2="VEX",IFERROR(($A$4*$A$4*RTD("tos.rtd",,"VOLUME","."&amp;R$2&amp;R$1&amp;"C"&amp;$A46)*RTD("tos.rtd",,"GAMMA","."&amp;R$2&amp;R$1&amp;"C"&amp;$A46)-$A$4*$A$4*RTD("tos.rtd",,"VOLUME","."&amp;R$2&amp;R$1&amp;"P"&amp;$A46)*RTD("tos.rtd",,"GAMMA","."&amp;R$2&amp;R$1&amp;"P"&amp;$A46))/1000000,0),IF($A$2="GEX",IFERROR(($A$4*$A$4*RTD("tos.rtd",,"OPEN_INT","."&amp;R$2&amp;R$1&amp;"C"&amp;$A46)*RTD("tos.rtd",,"GAMMA","."&amp;R$2&amp;R$1&amp;"C"&amp;$A46)-$A$4*$A$4*RTD("tos.rtd",,"OPEN_INT","."&amp;R$2&amp;R$1&amp;"P"&amp;$A46)*RTD("tos.rtd",,"GAMMA","."&amp;R$2&amp;R$1&amp;"P"&amp;$A46))/1000000,0),IF($A$2="SKEW",IFERROR(VALUE(IF(RTD("tos.rtd",,"IMPL_VOL","."&amp;R$2&amp;R$1&amp;"P"&amp;$A46)="N/A",0,RTD("tos.rtd",,"IMPL_VOL","."&amp;R$2&amp;R$1&amp;"P"&amp;$A46))),0)-IFERROR(VALUE(IF(RTD("tos.rtd",,"IMPL_VOL","."&amp;R$2&amp;R$1&amp;"C"&amp;$A46)="N/A",0,RTD("tos.rtd",,"IMPL_VOL","."&amp;R$2&amp;R$1&amp;"C"&amp;$A46))),0),IF($A$2="MAXPAIN",IF($A$4&gt;$A46,($A$4-$A46)*IF(RTD("tos.rtd",,"OPEN_INT","."&amp;R$2&amp;R$1&amp;"C"&amp;$A46)="N/A",0,RTD("tos.rtd",,"OPEN_INT","."&amp;R$2&amp;R$1&amp;"C"&amp;$A46)),0)+IF($A$4&lt;$A46,($A46-$A$4)*IF(RTD("tos.rtd",,"OPEN_INT","."&amp;R$2&amp;R$1&amp;"P"&amp;$A46)="N/A",0,RTD("tos.rtd",,"OPEN_INT","."&amp;R$2&amp;R$1&amp;"P"&amp;$A46)),0),IF(RTD("tos.rtd",,$A$2,"."&amp;R$2&amp;R$1&amp;"C"&amp;$A46)="N/A",0,RTD("tos.rtd",,$A$2,"."&amp;R$2&amp;R$1&amp;"C"&amp;$A46))-IF(RTD("tos.rtd",,$A$2,"."&amp;R$2&amp;R$1&amp;"P"&amp;$A46)="N/A",0,RTD("tos.rtd",,$A$2,"."&amp;R$2&amp;R$1&amp;"P"&amp;$A46)))))))))</f>
        <v>0</v>
      </c>
      <c r="S46" s="12">
        <f>IF($A$2="PREMIUM_OI",IFERROR((100*RTD("tos.rtd",,"OPEN_INT","."&amp;S$2&amp;S$1&amp;"C"&amp;$A46)*RTD("tos.rtd",,"LAST","."&amp;S$2&amp;S$1&amp;"C"&amp;$A46)-100*RTD("tos.rtd",,"OPEN_INT","."&amp;S$2&amp;S$1&amp;"P"&amp;$A46)*RTD("tos.rtd",,"LAST","."&amp;S$2&amp;S$1&amp;"P"&amp;$A46))/1000000,0),IF($A$2="PREMIUM",IFERROR((100*RTD("tos.rtd",,"VOLUME","."&amp;S$2&amp;S$1&amp;"C"&amp;$A46)*RTD("tos.rtd",,"LAST","."&amp;S$2&amp;S$1&amp;"C"&amp;$A46)-100*RTD("tos.rtd",,"VOLUME","."&amp;S$2&amp;S$1&amp;"P"&amp;$A46)*RTD("tos.rtd",,"LAST","."&amp;S$2&amp;S$1&amp;"P"&amp;$A46))/1000000,0),IF($A$2="DEX",IFERROR((100*RTD("tos.rtd",,"OPEN_INT","."&amp;S$2&amp;S$1&amp;"C"&amp;$A46)*RTD("tos.rtd",,"DELTA","."&amp;S$2&amp;S$1&amp;"C"&amp;$A46)-100*RTD("tos.rtd",,"OPEN_INT","."&amp;S$2&amp;S$1&amp;"P"&amp;$A46)*RTD("tos.rtd",,"DELTA","."&amp;S$2&amp;S$1&amp;"P"&amp;$A46))/1000,0),IF($A$2="VEX",IFERROR(($A$4*$A$4*RTD("tos.rtd",,"VOLUME","."&amp;S$2&amp;S$1&amp;"C"&amp;$A46)*RTD("tos.rtd",,"GAMMA","."&amp;S$2&amp;S$1&amp;"C"&amp;$A46)-$A$4*$A$4*RTD("tos.rtd",,"VOLUME","."&amp;S$2&amp;S$1&amp;"P"&amp;$A46)*RTD("tos.rtd",,"GAMMA","."&amp;S$2&amp;S$1&amp;"P"&amp;$A46))/1000000,0),IF($A$2="GEX",IFERROR(($A$4*$A$4*RTD("tos.rtd",,"OPEN_INT","."&amp;S$2&amp;S$1&amp;"C"&amp;$A46)*RTD("tos.rtd",,"GAMMA","."&amp;S$2&amp;S$1&amp;"C"&amp;$A46)-$A$4*$A$4*RTD("tos.rtd",,"OPEN_INT","."&amp;S$2&amp;S$1&amp;"P"&amp;$A46)*RTD("tos.rtd",,"GAMMA","."&amp;S$2&amp;S$1&amp;"P"&amp;$A46))/1000000,0),IF($A$2="SKEW",IFERROR(VALUE(IF(RTD("tos.rtd",,"IMPL_VOL","."&amp;S$2&amp;S$1&amp;"P"&amp;$A46)="N/A",0,RTD("tos.rtd",,"IMPL_VOL","."&amp;S$2&amp;S$1&amp;"P"&amp;$A46))),0)-IFERROR(VALUE(IF(RTD("tos.rtd",,"IMPL_VOL","."&amp;S$2&amp;S$1&amp;"C"&amp;$A46)="N/A",0,RTD("tos.rtd",,"IMPL_VOL","."&amp;S$2&amp;S$1&amp;"C"&amp;$A46))),0),IF($A$2="MAXPAIN",IF($A$4&gt;$A46,($A$4-$A46)*IF(RTD("tos.rtd",,"OPEN_INT","."&amp;S$2&amp;S$1&amp;"C"&amp;$A46)="N/A",0,RTD("tos.rtd",,"OPEN_INT","."&amp;S$2&amp;S$1&amp;"C"&amp;$A46)),0)+IF($A$4&lt;$A46,($A46-$A$4)*IF(RTD("tos.rtd",,"OPEN_INT","."&amp;S$2&amp;S$1&amp;"P"&amp;$A46)="N/A",0,RTD("tos.rtd",,"OPEN_INT","."&amp;S$2&amp;S$1&amp;"P"&amp;$A46)),0),IF(RTD("tos.rtd",,$A$2,"."&amp;S$2&amp;S$1&amp;"C"&amp;$A46)="N/A",0,RTD("tos.rtd",,$A$2,"."&amp;S$2&amp;S$1&amp;"C"&amp;$A46))-IF(RTD("tos.rtd",,$A$2,"."&amp;S$2&amp;S$1&amp;"P"&amp;$A46)="N/A",0,RTD("tos.rtd",,$A$2,"."&amp;S$2&amp;S$1&amp;"P"&amp;$A46)))))))))</f>
        <v>0</v>
      </c>
      <c r="T46" s="12">
        <f>IF($A$2="PREMIUM_OI",IFERROR((100*RTD("tos.rtd",,"OPEN_INT","."&amp;T$2&amp;T$1&amp;"C"&amp;$A46)*RTD("tos.rtd",,"LAST","."&amp;T$2&amp;T$1&amp;"C"&amp;$A46)-100*RTD("tos.rtd",,"OPEN_INT","."&amp;T$2&amp;T$1&amp;"P"&amp;$A46)*RTD("tos.rtd",,"LAST","."&amp;T$2&amp;T$1&amp;"P"&amp;$A46))/1000000,0),IF($A$2="PREMIUM",IFERROR((100*RTD("tos.rtd",,"VOLUME","."&amp;T$2&amp;T$1&amp;"C"&amp;$A46)*RTD("tos.rtd",,"LAST","."&amp;T$2&amp;T$1&amp;"C"&amp;$A46)-100*RTD("tos.rtd",,"VOLUME","."&amp;T$2&amp;T$1&amp;"P"&amp;$A46)*RTD("tos.rtd",,"LAST","."&amp;T$2&amp;T$1&amp;"P"&amp;$A46))/1000000,0),IF($A$2="DEX",IFERROR((100*RTD("tos.rtd",,"OPEN_INT","."&amp;T$2&amp;T$1&amp;"C"&amp;$A46)*RTD("tos.rtd",,"DELTA","."&amp;T$2&amp;T$1&amp;"C"&amp;$A46)-100*RTD("tos.rtd",,"OPEN_INT","."&amp;T$2&amp;T$1&amp;"P"&amp;$A46)*RTD("tos.rtd",,"DELTA","."&amp;T$2&amp;T$1&amp;"P"&amp;$A46))/1000,0),IF($A$2="VEX",IFERROR(($A$4*$A$4*RTD("tos.rtd",,"VOLUME","."&amp;T$2&amp;T$1&amp;"C"&amp;$A46)*RTD("tos.rtd",,"GAMMA","."&amp;T$2&amp;T$1&amp;"C"&amp;$A46)-$A$4*$A$4*RTD("tos.rtd",,"VOLUME","."&amp;T$2&amp;T$1&amp;"P"&amp;$A46)*RTD("tos.rtd",,"GAMMA","."&amp;T$2&amp;T$1&amp;"P"&amp;$A46))/1000000,0),IF($A$2="GEX",IFERROR(($A$4*$A$4*RTD("tos.rtd",,"OPEN_INT","."&amp;T$2&amp;T$1&amp;"C"&amp;$A46)*RTD("tos.rtd",,"GAMMA","."&amp;T$2&amp;T$1&amp;"C"&amp;$A46)-$A$4*$A$4*RTD("tos.rtd",,"OPEN_INT","."&amp;T$2&amp;T$1&amp;"P"&amp;$A46)*RTD("tos.rtd",,"GAMMA","."&amp;T$2&amp;T$1&amp;"P"&amp;$A46))/1000000,0),IF($A$2="SKEW",IFERROR(VALUE(IF(RTD("tos.rtd",,"IMPL_VOL","."&amp;T$2&amp;T$1&amp;"P"&amp;$A46)="N/A",0,RTD("tos.rtd",,"IMPL_VOL","."&amp;T$2&amp;T$1&amp;"P"&amp;$A46))),0)-IFERROR(VALUE(IF(RTD("tos.rtd",,"IMPL_VOL","."&amp;T$2&amp;T$1&amp;"C"&amp;$A46)="N/A",0,RTD("tos.rtd",,"IMPL_VOL","."&amp;T$2&amp;T$1&amp;"C"&amp;$A46))),0),IF($A$2="MAXPAIN",IF($A$4&gt;$A46,($A$4-$A46)*IF(RTD("tos.rtd",,"OPEN_INT","."&amp;T$2&amp;T$1&amp;"C"&amp;$A46)="N/A",0,RTD("tos.rtd",,"OPEN_INT","."&amp;T$2&amp;T$1&amp;"C"&amp;$A46)),0)+IF($A$4&lt;$A46,($A46-$A$4)*IF(RTD("tos.rtd",,"OPEN_INT","."&amp;T$2&amp;T$1&amp;"P"&amp;$A46)="N/A",0,RTD("tos.rtd",,"OPEN_INT","."&amp;T$2&amp;T$1&amp;"P"&amp;$A46)),0),IF(RTD("tos.rtd",,$A$2,"."&amp;T$2&amp;T$1&amp;"C"&amp;$A46)="N/A",0,RTD("tos.rtd",,$A$2,"."&amp;T$2&amp;T$1&amp;"C"&amp;$A46))-IF(RTD("tos.rtd",,$A$2,"."&amp;T$2&amp;T$1&amp;"P"&amp;$A46)="N/A",0,RTD("tos.rtd",,$A$2,"."&amp;T$2&amp;T$1&amp;"P"&amp;$A46)))))))))</f>
        <v>0</v>
      </c>
      <c r="U46" s="12">
        <f>IF($A$2="PREMIUM_OI",IFERROR((100*RTD("tos.rtd",,"OPEN_INT","."&amp;U$2&amp;U$1&amp;"C"&amp;$A46)*RTD("tos.rtd",,"LAST","."&amp;U$2&amp;U$1&amp;"C"&amp;$A46)-100*RTD("tos.rtd",,"OPEN_INT","."&amp;U$2&amp;U$1&amp;"P"&amp;$A46)*RTD("tos.rtd",,"LAST","."&amp;U$2&amp;U$1&amp;"P"&amp;$A46))/1000000,0),IF($A$2="PREMIUM",IFERROR((100*RTD("tos.rtd",,"VOLUME","."&amp;U$2&amp;U$1&amp;"C"&amp;$A46)*RTD("tos.rtd",,"LAST","."&amp;U$2&amp;U$1&amp;"C"&amp;$A46)-100*RTD("tos.rtd",,"VOLUME","."&amp;U$2&amp;U$1&amp;"P"&amp;$A46)*RTD("tos.rtd",,"LAST","."&amp;U$2&amp;U$1&amp;"P"&amp;$A46))/1000000,0),IF($A$2="DEX",IFERROR((100*RTD("tos.rtd",,"OPEN_INT","."&amp;U$2&amp;U$1&amp;"C"&amp;$A46)*RTD("tos.rtd",,"DELTA","."&amp;U$2&amp;U$1&amp;"C"&amp;$A46)-100*RTD("tos.rtd",,"OPEN_INT","."&amp;U$2&amp;U$1&amp;"P"&amp;$A46)*RTD("tos.rtd",,"DELTA","."&amp;U$2&amp;U$1&amp;"P"&amp;$A46))/1000,0),IF($A$2="VEX",IFERROR(($A$4*$A$4*RTD("tos.rtd",,"VOLUME","."&amp;U$2&amp;U$1&amp;"C"&amp;$A46)*RTD("tos.rtd",,"GAMMA","."&amp;U$2&amp;U$1&amp;"C"&amp;$A46)-$A$4*$A$4*RTD("tos.rtd",,"VOLUME","."&amp;U$2&amp;U$1&amp;"P"&amp;$A46)*RTD("tos.rtd",,"GAMMA","."&amp;U$2&amp;U$1&amp;"P"&amp;$A46))/1000000,0),IF($A$2="GEX",IFERROR(($A$4*$A$4*RTD("tos.rtd",,"OPEN_INT","."&amp;U$2&amp;U$1&amp;"C"&amp;$A46)*RTD("tos.rtd",,"GAMMA","."&amp;U$2&amp;U$1&amp;"C"&amp;$A46)-$A$4*$A$4*RTD("tos.rtd",,"OPEN_INT","."&amp;U$2&amp;U$1&amp;"P"&amp;$A46)*RTD("tos.rtd",,"GAMMA","."&amp;U$2&amp;U$1&amp;"P"&amp;$A46))/1000000,0),IF($A$2="SKEW",IFERROR(VALUE(IF(RTD("tos.rtd",,"IMPL_VOL","."&amp;U$2&amp;U$1&amp;"P"&amp;$A46)="N/A",0,RTD("tos.rtd",,"IMPL_VOL","."&amp;U$2&amp;U$1&amp;"P"&amp;$A46))),0)-IFERROR(VALUE(IF(RTD("tos.rtd",,"IMPL_VOL","."&amp;U$2&amp;U$1&amp;"C"&amp;$A46)="N/A",0,RTD("tos.rtd",,"IMPL_VOL","."&amp;U$2&amp;U$1&amp;"C"&amp;$A46))),0),IF($A$2="MAXPAIN",IF($A$4&gt;$A46,($A$4-$A46)*IF(RTD("tos.rtd",,"OPEN_INT","."&amp;U$2&amp;U$1&amp;"C"&amp;$A46)="N/A",0,RTD("tos.rtd",,"OPEN_INT","."&amp;U$2&amp;U$1&amp;"C"&amp;$A46)),0)+IF($A$4&lt;$A46,($A46-$A$4)*IF(RTD("tos.rtd",,"OPEN_INT","."&amp;U$2&amp;U$1&amp;"P"&amp;$A46)="N/A",0,RTD("tos.rtd",,"OPEN_INT","."&amp;U$2&amp;U$1&amp;"P"&amp;$A46)),0),IF(RTD("tos.rtd",,$A$2,"."&amp;U$2&amp;U$1&amp;"C"&amp;$A46)="N/A",0,RTD("tos.rtd",,$A$2,"."&amp;U$2&amp;U$1&amp;"C"&amp;$A46))-IF(RTD("tos.rtd",,$A$2,"."&amp;U$2&amp;U$1&amp;"P"&amp;$A46)="N/A",0,RTD("tos.rtd",,$A$2,"."&amp;U$2&amp;U$1&amp;"P"&amp;$A46)))))))))</f>
        <v>0</v>
      </c>
      <c r="V46" s="12">
        <f>IF($A$2="PREMIUM_OI",IFERROR((100*RTD("tos.rtd",,"OPEN_INT","."&amp;V$2&amp;V$1&amp;"C"&amp;$A46)*RTD("tos.rtd",,"LAST","."&amp;V$2&amp;V$1&amp;"C"&amp;$A46)-100*RTD("tos.rtd",,"OPEN_INT","."&amp;V$2&amp;V$1&amp;"P"&amp;$A46)*RTD("tos.rtd",,"LAST","."&amp;V$2&amp;V$1&amp;"P"&amp;$A46))/1000000,0),IF($A$2="PREMIUM",IFERROR((100*RTD("tos.rtd",,"VOLUME","."&amp;V$2&amp;V$1&amp;"C"&amp;$A46)*RTD("tos.rtd",,"LAST","."&amp;V$2&amp;V$1&amp;"C"&amp;$A46)-100*RTD("tos.rtd",,"VOLUME","."&amp;V$2&amp;V$1&amp;"P"&amp;$A46)*RTD("tos.rtd",,"LAST","."&amp;V$2&amp;V$1&amp;"P"&amp;$A46))/1000000,0),IF($A$2="DEX",IFERROR((100*RTD("tos.rtd",,"OPEN_INT","."&amp;V$2&amp;V$1&amp;"C"&amp;$A46)*RTD("tos.rtd",,"DELTA","."&amp;V$2&amp;V$1&amp;"C"&amp;$A46)-100*RTD("tos.rtd",,"OPEN_INT","."&amp;V$2&amp;V$1&amp;"P"&amp;$A46)*RTD("tos.rtd",,"DELTA","."&amp;V$2&amp;V$1&amp;"P"&amp;$A46))/1000,0),IF($A$2="VEX",IFERROR(($A$4*$A$4*RTD("tos.rtd",,"VOLUME","."&amp;V$2&amp;V$1&amp;"C"&amp;$A46)*RTD("tos.rtd",,"GAMMA","."&amp;V$2&amp;V$1&amp;"C"&amp;$A46)-$A$4*$A$4*RTD("tos.rtd",,"VOLUME","."&amp;V$2&amp;V$1&amp;"P"&amp;$A46)*RTD("tos.rtd",,"GAMMA","."&amp;V$2&amp;V$1&amp;"P"&amp;$A46))/1000000,0),IF($A$2="GEX",IFERROR(($A$4*$A$4*RTD("tos.rtd",,"OPEN_INT","."&amp;V$2&amp;V$1&amp;"C"&amp;$A46)*RTD("tos.rtd",,"GAMMA","."&amp;V$2&amp;V$1&amp;"C"&amp;$A46)-$A$4*$A$4*RTD("tos.rtd",,"OPEN_INT","."&amp;V$2&amp;V$1&amp;"P"&amp;$A46)*RTD("tos.rtd",,"GAMMA","."&amp;V$2&amp;V$1&amp;"P"&amp;$A46))/1000000,0),IF($A$2="SKEW",IFERROR(VALUE(IF(RTD("tos.rtd",,"IMPL_VOL","."&amp;V$2&amp;V$1&amp;"P"&amp;$A46)="N/A",0,RTD("tos.rtd",,"IMPL_VOL","."&amp;V$2&amp;V$1&amp;"P"&amp;$A46))),0)-IFERROR(VALUE(IF(RTD("tos.rtd",,"IMPL_VOL","."&amp;V$2&amp;V$1&amp;"C"&amp;$A46)="N/A",0,RTD("tos.rtd",,"IMPL_VOL","."&amp;V$2&amp;V$1&amp;"C"&amp;$A46))),0),IF($A$2="MAXPAIN",IF($A$4&gt;$A46,($A$4-$A46)*IF(RTD("tos.rtd",,"OPEN_INT","."&amp;V$2&amp;V$1&amp;"C"&amp;$A46)="N/A",0,RTD("tos.rtd",,"OPEN_INT","."&amp;V$2&amp;V$1&amp;"C"&amp;$A46)),0)+IF($A$4&lt;$A46,($A46-$A$4)*IF(RTD("tos.rtd",,"OPEN_INT","."&amp;V$2&amp;V$1&amp;"P"&amp;$A46)="N/A",0,RTD("tos.rtd",,"OPEN_INT","."&amp;V$2&amp;V$1&amp;"P"&amp;$A46)),0),IF(RTD("tos.rtd",,$A$2,"."&amp;V$2&amp;V$1&amp;"C"&amp;$A46)="N/A",0,RTD("tos.rtd",,$A$2,"."&amp;V$2&amp;V$1&amp;"C"&amp;$A46))-IF(RTD("tos.rtd",,$A$2,"."&amp;V$2&amp;V$1&amp;"P"&amp;$A46)="N/A",0,RTD("tos.rtd",,$A$2,"."&amp;V$2&amp;V$1&amp;"P"&amp;$A46)))))))))</f>
        <v>0</v>
      </c>
      <c r="W46" s="12">
        <f>IF($A$2="PREMIUM_OI",IFERROR((100*RTD("tos.rtd",,"OPEN_INT","."&amp;W$2&amp;W$1&amp;"C"&amp;$A46)*RTD("tos.rtd",,"LAST","."&amp;W$2&amp;W$1&amp;"C"&amp;$A46)-100*RTD("tos.rtd",,"OPEN_INT","."&amp;W$2&amp;W$1&amp;"P"&amp;$A46)*RTD("tos.rtd",,"LAST","."&amp;W$2&amp;W$1&amp;"P"&amp;$A46))/1000000,0),IF($A$2="PREMIUM",IFERROR((100*RTD("tos.rtd",,"VOLUME","."&amp;W$2&amp;W$1&amp;"C"&amp;$A46)*RTD("tos.rtd",,"LAST","."&amp;W$2&amp;W$1&amp;"C"&amp;$A46)-100*RTD("tos.rtd",,"VOLUME","."&amp;W$2&amp;W$1&amp;"P"&amp;$A46)*RTD("tos.rtd",,"LAST","."&amp;W$2&amp;W$1&amp;"P"&amp;$A46))/1000000,0),IF($A$2="DEX",IFERROR((100*RTD("tos.rtd",,"OPEN_INT","."&amp;W$2&amp;W$1&amp;"C"&amp;$A46)*RTD("tos.rtd",,"DELTA","."&amp;W$2&amp;W$1&amp;"C"&amp;$A46)-100*RTD("tos.rtd",,"OPEN_INT","."&amp;W$2&amp;W$1&amp;"P"&amp;$A46)*RTD("tos.rtd",,"DELTA","."&amp;W$2&amp;W$1&amp;"P"&amp;$A46))/1000,0),IF($A$2="VEX",IFERROR(($A$4*$A$4*RTD("tos.rtd",,"VOLUME","."&amp;W$2&amp;W$1&amp;"C"&amp;$A46)*RTD("tos.rtd",,"GAMMA","."&amp;W$2&amp;W$1&amp;"C"&amp;$A46)-$A$4*$A$4*RTD("tos.rtd",,"VOLUME","."&amp;W$2&amp;W$1&amp;"P"&amp;$A46)*RTD("tos.rtd",,"GAMMA","."&amp;W$2&amp;W$1&amp;"P"&amp;$A46))/1000000,0),IF($A$2="GEX",IFERROR(($A$4*$A$4*RTD("tos.rtd",,"OPEN_INT","."&amp;W$2&amp;W$1&amp;"C"&amp;$A46)*RTD("tos.rtd",,"GAMMA","."&amp;W$2&amp;W$1&amp;"C"&amp;$A46)-$A$4*$A$4*RTD("tos.rtd",,"OPEN_INT","."&amp;W$2&amp;W$1&amp;"P"&amp;$A46)*RTD("tos.rtd",,"GAMMA","."&amp;W$2&amp;W$1&amp;"P"&amp;$A46))/1000000,0),IF($A$2="SKEW",IFERROR(VALUE(IF(RTD("tos.rtd",,"IMPL_VOL","."&amp;W$2&amp;W$1&amp;"P"&amp;$A46)="N/A",0,RTD("tos.rtd",,"IMPL_VOL","."&amp;W$2&amp;W$1&amp;"P"&amp;$A46))),0)-IFERROR(VALUE(IF(RTD("tos.rtd",,"IMPL_VOL","."&amp;W$2&amp;W$1&amp;"C"&amp;$A46)="N/A",0,RTD("tos.rtd",,"IMPL_VOL","."&amp;W$2&amp;W$1&amp;"C"&amp;$A46))),0),IF($A$2="MAXPAIN",IF($A$4&gt;$A46,($A$4-$A46)*IF(RTD("tos.rtd",,"OPEN_INT","."&amp;W$2&amp;W$1&amp;"C"&amp;$A46)="N/A",0,RTD("tos.rtd",,"OPEN_INT","."&amp;W$2&amp;W$1&amp;"C"&amp;$A46)),0)+IF($A$4&lt;$A46,($A46-$A$4)*IF(RTD("tos.rtd",,"OPEN_INT","."&amp;W$2&amp;W$1&amp;"P"&amp;$A46)="N/A",0,RTD("tos.rtd",,"OPEN_INT","."&amp;W$2&amp;W$1&amp;"P"&amp;$A46)),0),IF(RTD("tos.rtd",,$A$2,"."&amp;W$2&amp;W$1&amp;"C"&amp;$A46)="N/A",0,RTD("tos.rtd",,$A$2,"."&amp;W$2&amp;W$1&amp;"C"&amp;$A46))-IF(RTD("tos.rtd",,$A$2,"."&amp;W$2&amp;W$1&amp;"P"&amp;$A46)="N/A",0,RTD("tos.rtd",,$A$2,"."&amp;W$2&amp;W$1&amp;"P"&amp;$A46)))))))))</f>
        <v>0</v>
      </c>
      <c r="X46" s="12">
        <f t="shared" ca="1" si="7"/>
        <v>0</v>
      </c>
      <c r="Y46" s="27">
        <f t="shared" ca="1" si="8"/>
        <v>0</v>
      </c>
      <c r="AA46" s="35">
        <f>+IF($AJ$1,AJ46,TASTYOHLC!A46)</f>
        <v>0</v>
      </c>
      <c r="AB46" s="8">
        <f>+IF($AJ$1,AK46,TASTYOHLC!B46)</f>
        <v>0</v>
      </c>
      <c r="AC46" s="8">
        <f>+IF($AJ$1,AL46,TASTYOHLC!C46)</f>
        <v>0</v>
      </c>
      <c r="AD46" s="8">
        <f>+IF($AJ$1,AM46,TASTYOHLC!D46)</f>
        <v>0</v>
      </c>
      <c r="AE46" s="8">
        <f>+IF($AJ$1,AN46,TASTYOHLC!E46)</f>
        <v>0</v>
      </c>
      <c r="AF46" s="8"/>
      <c r="AJ46" s="37"/>
    </row>
    <row r="47" spans="1:36" s="19" customFormat="1" ht="11.1" customHeight="1" thickBot="1" x14ac:dyDescent="0.3">
      <c r="A47" s="23">
        <f t="shared" si="13"/>
        <v>-1.5</v>
      </c>
      <c r="B47" s="14">
        <f>IF($A$2="PREMIUM_OI",IFERROR((100*RTD("tos.rtd",,"OPEN_INT","."&amp;B$2&amp;B$1&amp;"C"&amp;$A47)*RTD("tos.rtd",,"LAST","."&amp;B$2&amp;B$1&amp;"C"&amp;$A47)-100*RTD("tos.rtd",,"OPEN_INT","."&amp;B$2&amp;B$1&amp;"P"&amp;$A47)*RTD("tos.rtd",,"LAST","."&amp;B$2&amp;B$1&amp;"P"&amp;$A47))/1000000,0),IF($A$2="PREMIUM",IFERROR((100*RTD("tos.rtd",,"VOLUME","."&amp;B$2&amp;B$1&amp;"C"&amp;$A47)*RTD("tos.rtd",,"LAST","."&amp;B$2&amp;B$1&amp;"C"&amp;$A47)-100*RTD("tos.rtd",,"VOLUME","."&amp;B$2&amp;B$1&amp;"P"&amp;$A47)*RTD("tos.rtd",,"LAST","."&amp;B$2&amp;B$1&amp;"P"&amp;$A47))/1000000,0),IF($A$2="DEX",IFERROR((100*RTD("tos.rtd",,"OPEN_INT","."&amp;B$2&amp;B$1&amp;"C"&amp;$A47)*RTD("tos.rtd",,"DELTA","."&amp;B$2&amp;B$1&amp;"C"&amp;$A47)-100*RTD("tos.rtd",,"OPEN_INT","."&amp;B$2&amp;B$1&amp;"P"&amp;$A47)*RTD("tos.rtd",,"DELTA","."&amp;B$2&amp;B$1&amp;"P"&amp;$A47))/1000,0),IF($A$2="VEX",IFERROR(($A$4*$A$4*RTD("tos.rtd",,"VOLUME","."&amp;B$2&amp;B$1&amp;"C"&amp;$A47)*RTD("tos.rtd",,"GAMMA","."&amp;B$2&amp;B$1&amp;"C"&amp;$A47)-$A$4*$A$4*RTD("tos.rtd",,"VOLUME","."&amp;B$2&amp;B$1&amp;"P"&amp;$A47)*RTD("tos.rtd",,"GAMMA","."&amp;B$2&amp;B$1&amp;"P"&amp;$A47))/1000000,0),IF($A$2="GEX",IFERROR(($A$4*$A$4*RTD("tos.rtd",,"OPEN_INT","."&amp;B$2&amp;B$1&amp;"C"&amp;$A47)*RTD("tos.rtd",,"GAMMA","."&amp;B$2&amp;B$1&amp;"C"&amp;$A47)-$A$4*$A$4*RTD("tos.rtd",,"OPEN_INT","."&amp;B$2&amp;B$1&amp;"P"&amp;$A47)*RTD("tos.rtd",,"GAMMA","."&amp;B$2&amp;B$1&amp;"P"&amp;$A47))/1000000,0),IF($A$2="SKEW",IFERROR(VALUE(IF(RTD("tos.rtd",,"IMPL_VOL","."&amp;B$2&amp;B$1&amp;"P"&amp;$A47)="N/A",0,RTD("tos.rtd",,"IMPL_VOL","."&amp;B$2&amp;B$1&amp;"P"&amp;$A47))),0)-IFERROR(VALUE(IF(RTD("tos.rtd",,"IMPL_VOL","."&amp;B$2&amp;B$1&amp;"C"&amp;$A47)="N/A",0,RTD("tos.rtd",,"IMPL_VOL","."&amp;B$2&amp;B$1&amp;"C"&amp;$A47))),0),IF($A$2="MAXPAIN",IF($A$4&gt;$A47,($A$4-$A47)*IF(RTD("tos.rtd",,"OPEN_INT","."&amp;B$2&amp;B$1&amp;"C"&amp;$A47)="N/A",0,RTD("tos.rtd",,"OPEN_INT","."&amp;B$2&amp;B$1&amp;"C"&amp;$A47)),0)+IF($A$4&lt;$A47,($A47-$A$4)*IF(RTD("tos.rtd",,"OPEN_INT","."&amp;B$2&amp;B$1&amp;"P"&amp;$A47)="N/A",0,RTD("tos.rtd",,"OPEN_INT","."&amp;B$2&amp;B$1&amp;"P"&amp;$A47)),0),IF(RTD("tos.rtd",,$A$2,"."&amp;B$2&amp;B$1&amp;"C"&amp;$A47)="N/A",0,RTD("tos.rtd",,$A$2,"."&amp;B$2&amp;B$1&amp;"C"&amp;$A47))-IF(RTD("tos.rtd",,$A$2,"."&amp;B$2&amp;B$1&amp;"P"&amp;$A47)="N/A",0,RTD("tos.rtd",,$A$2,"."&amp;B$2&amp;B$1&amp;"P"&amp;$A47)))))))))</f>
        <v>0</v>
      </c>
      <c r="C47" s="12">
        <f>IF($A$2="PREMIUM_OI",IFERROR((100*RTD("tos.rtd",,"OPEN_INT","."&amp;C$2&amp;C$1&amp;"C"&amp;$A47)*RTD("tos.rtd",,"LAST","."&amp;C$2&amp;C$1&amp;"C"&amp;$A47)-100*RTD("tos.rtd",,"OPEN_INT","."&amp;C$2&amp;C$1&amp;"P"&amp;$A47)*RTD("tos.rtd",,"LAST","."&amp;C$2&amp;C$1&amp;"P"&amp;$A47))/1000000,0),IF($A$2="PREMIUM",IFERROR((100*RTD("tos.rtd",,"VOLUME","."&amp;C$2&amp;C$1&amp;"C"&amp;$A47)*RTD("tos.rtd",,"LAST","."&amp;C$2&amp;C$1&amp;"C"&amp;$A47)-100*RTD("tos.rtd",,"VOLUME","."&amp;C$2&amp;C$1&amp;"P"&amp;$A47)*RTD("tos.rtd",,"LAST","."&amp;C$2&amp;C$1&amp;"P"&amp;$A47))/1000000,0),IF($A$2="DEX",IFERROR((100*RTD("tos.rtd",,"OPEN_INT","."&amp;C$2&amp;C$1&amp;"C"&amp;$A47)*RTD("tos.rtd",,"DELTA","."&amp;C$2&amp;C$1&amp;"C"&amp;$A47)-100*RTD("tos.rtd",,"OPEN_INT","."&amp;C$2&amp;C$1&amp;"P"&amp;$A47)*RTD("tos.rtd",,"DELTA","."&amp;C$2&amp;C$1&amp;"P"&amp;$A47))/1000,0),IF($A$2="VEX",IFERROR(($A$4*$A$4*RTD("tos.rtd",,"VOLUME","."&amp;C$2&amp;C$1&amp;"C"&amp;$A47)*RTD("tos.rtd",,"GAMMA","."&amp;C$2&amp;C$1&amp;"C"&amp;$A47)-$A$4*$A$4*RTD("tos.rtd",,"VOLUME","."&amp;C$2&amp;C$1&amp;"P"&amp;$A47)*RTD("tos.rtd",,"GAMMA","."&amp;C$2&amp;C$1&amp;"P"&amp;$A47))/1000000,0),IF($A$2="GEX",IFERROR(($A$4*$A$4*RTD("tos.rtd",,"OPEN_INT","."&amp;C$2&amp;C$1&amp;"C"&amp;$A47)*RTD("tos.rtd",,"GAMMA","."&amp;C$2&amp;C$1&amp;"C"&amp;$A47)-$A$4*$A$4*RTD("tos.rtd",,"OPEN_INT","."&amp;C$2&amp;C$1&amp;"P"&amp;$A47)*RTD("tos.rtd",,"GAMMA","."&amp;C$2&amp;C$1&amp;"P"&amp;$A47))/1000000,0),IF($A$2="SKEW",IFERROR(VALUE(IF(RTD("tos.rtd",,"IMPL_VOL","."&amp;C$2&amp;C$1&amp;"P"&amp;$A47)="N/A",0,RTD("tos.rtd",,"IMPL_VOL","."&amp;C$2&amp;C$1&amp;"P"&amp;$A47))),0)-IFERROR(VALUE(IF(RTD("tos.rtd",,"IMPL_VOL","."&amp;C$2&amp;C$1&amp;"C"&amp;$A47)="N/A",0,RTD("tos.rtd",,"IMPL_VOL","."&amp;C$2&amp;C$1&amp;"C"&amp;$A47))),0),IF($A$2="MAXPAIN",IF($A$4&gt;$A47,($A$4-$A47)*IF(RTD("tos.rtd",,"OPEN_INT","."&amp;C$2&amp;C$1&amp;"C"&amp;$A47)="N/A",0,RTD("tos.rtd",,"OPEN_INT","."&amp;C$2&amp;C$1&amp;"C"&amp;$A47)),0)+IF($A$4&lt;$A47,($A47-$A$4)*IF(RTD("tos.rtd",,"OPEN_INT","."&amp;C$2&amp;C$1&amp;"P"&amp;$A47)="N/A",0,RTD("tos.rtd",,"OPEN_INT","."&amp;C$2&amp;C$1&amp;"P"&amp;$A47)),0),IF(RTD("tos.rtd",,$A$2,"."&amp;C$2&amp;C$1&amp;"C"&amp;$A47)="N/A",0,RTD("tos.rtd",,$A$2,"."&amp;C$2&amp;C$1&amp;"C"&amp;$A47))-IF(RTD("tos.rtd",,$A$2,"."&amp;C$2&amp;C$1&amp;"P"&amp;$A47)="N/A",0,RTD("tos.rtd",,$A$2,"."&amp;C$2&amp;C$1&amp;"P"&amp;$A47)))))))))</f>
        <v>0</v>
      </c>
      <c r="D47" s="12">
        <f>IF($A$2="PREMIUM_OI",IFERROR((100*RTD("tos.rtd",,"OPEN_INT","."&amp;D$2&amp;D$1&amp;"C"&amp;$A47)*RTD("tos.rtd",,"LAST","."&amp;D$2&amp;D$1&amp;"C"&amp;$A47)-100*RTD("tos.rtd",,"OPEN_INT","."&amp;D$2&amp;D$1&amp;"P"&amp;$A47)*RTD("tos.rtd",,"LAST","."&amp;D$2&amp;D$1&amp;"P"&amp;$A47))/1000000,0),IF($A$2="PREMIUM",IFERROR((100*RTD("tos.rtd",,"VOLUME","."&amp;D$2&amp;D$1&amp;"C"&amp;$A47)*RTD("tos.rtd",,"LAST","."&amp;D$2&amp;D$1&amp;"C"&amp;$A47)-100*RTD("tos.rtd",,"VOLUME","."&amp;D$2&amp;D$1&amp;"P"&amp;$A47)*RTD("tos.rtd",,"LAST","."&amp;D$2&amp;D$1&amp;"P"&amp;$A47))/1000000,0),IF($A$2="DEX",IFERROR((100*RTD("tos.rtd",,"OPEN_INT","."&amp;D$2&amp;D$1&amp;"C"&amp;$A47)*RTD("tos.rtd",,"DELTA","."&amp;D$2&amp;D$1&amp;"C"&amp;$A47)-100*RTD("tos.rtd",,"OPEN_INT","."&amp;D$2&amp;D$1&amp;"P"&amp;$A47)*RTD("tos.rtd",,"DELTA","."&amp;D$2&amp;D$1&amp;"P"&amp;$A47))/1000,0),IF($A$2="VEX",IFERROR(($A$4*$A$4*RTD("tos.rtd",,"VOLUME","."&amp;D$2&amp;D$1&amp;"C"&amp;$A47)*RTD("tos.rtd",,"GAMMA","."&amp;D$2&amp;D$1&amp;"C"&amp;$A47)-$A$4*$A$4*RTD("tos.rtd",,"VOLUME","."&amp;D$2&amp;D$1&amp;"P"&amp;$A47)*RTD("tos.rtd",,"GAMMA","."&amp;D$2&amp;D$1&amp;"P"&amp;$A47))/1000000,0),IF($A$2="GEX",IFERROR(($A$4*$A$4*RTD("tos.rtd",,"OPEN_INT","."&amp;D$2&amp;D$1&amp;"C"&amp;$A47)*RTD("tos.rtd",,"GAMMA","."&amp;D$2&amp;D$1&amp;"C"&amp;$A47)-$A$4*$A$4*RTD("tos.rtd",,"OPEN_INT","."&amp;D$2&amp;D$1&amp;"P"&amp;$A47)*RTD("tos.rtd",,"GAMMA","."&amp;D$2&amp;D$1&amp;"P"&amp;$A47))/1000000,0),IF($A$2="SKEW",IFERROR(VALUE(IF(RTD("tos.rtd",,"IMPL_VOL","."&amp;D$2&amp;D$1&amp;"P"&amp;$A47)="N/A",0,RTD("tos.rtd",,"IMPL_VOL","."&amp;D$2&amp;D$1&amp;"P"&amp;$A47))),0)-IFERROR(VALUE(IF(RTD("tos.rtd",,"IMPL_VOL","."&amp;D$2&amp;D$1&amp;"C"&amp;$A47)="N/A",0,RTD("tos.rtd",,"IMPL_VOL","."&amp;D$2&amp;D$1&amp;"C"&amp;$A47))),0),IF($A$2="MAXPAIN",IF($A$4&gt;$A47,($A$4-$A47)*IF(RTD("tos.rtd",,"OPEN_INT","."&amp;D$2&amp;D$1&amp;"C"&amp;$A47)="N/A",0,RTD("tos.rtd",,"OPEN_INT","."&amp;D$2&amp;D$1&amp;"C"&amp;$A47)),0)+IF($A$4&lt;$A47,($A47-$A$4)*IF(RTD("tos.rtd",,"OPEN_INT","."&amp;D$2&amp;D$1&amp;"P"&amp;$A47)="N/A",0,RTD("tos.rtd",,"OPEN_INT","."&amp;D$2&amp;D$1&amp;"P"&amp;$A47)),0),IF(RTD("tos.rtd",,$A$2,"."&amp;D$2&amp;D$1&amp;"C"&amp;$A47)="N/A",0,RTD("tos.rtd",,$A$2,"."&amp;D$2&amp;D$1&amp;"C"&amp;$A47))-IF(RTD("tos.rtd",,$A$2,"."&amp;D$2&amp;D$1&amp;"P"&amp;$A47)="N/A",0,RTD("tos.rtd",,$A$2,"."&amp;D$2&amp;D$1&amp;"P"&amp;$A47)))))))))</f>
        <v>0</v>
      </c>
      <c r="E47" s="12">
        <f>IF($A$2="PREMIUM_OI",IFERROR((100*RTD("tos.rtd",,"OPEN_INT","."&amp;E$2&amp;E$1&amp;"C"&amp;$A47)*RTD("tos.rtd",,"LAST","."&amp;E$2&amp;E$1&amp;"C"&amp;$A47)-100*RTD("tos.rtd",,"OPEN_INT","."&amp;E$2&amp;E$1&amp;"P"&amp;$A47)*RTD("tos.rtd",,"LAST","."&amp;E$2&amp;E$1&amp;"P"&amp;$A47))/1000000,0),IF($A$2="PREMIUM",IFERROR((100*RTD("tos.rtd",,"VOLUME","."&amp;E$2&amp;E$1&amp;"C"&amp;$A47)*RTD("tos.rtd",,"LAST","."&amp;E$2&amp;E$1&amp;"C"&amp;$A47)-100*RTD("tos.rtd",,"VOLUME","."&amp;E$2&amp;E$1&amp;"P"&amp;$A47)*RTD("tos.rtd",,"LAST","."&amp;E$2&amp;E$1&amp;"P"&amp;$A47))/1000000,0),IF($A$2="DEX",IFERROR((100*RTD("tos.rtd",,"OPEN_INT","."&amp;E$2&amp;E$1&amp;"C"&amp;$A47)*RTD("tos.rtd",,"DELTA","."&amp;E$2&amp;E$1&amp;"C"&amp;$A47)-100*RTD("tos.rtd",,"OPEN_INT","."&amp;E$2&amp;E$1&amp;"P"&amp;$A47)*RTD("tos.rtd",,"DELTA","."&amp;E$2&amp;E$1&amp;"P"&amp;$A47))/1000,0),IF($A$2="VEX",IFERROR(($A$4*$A$4*RTD("tos.rtd",,"VOLUME","."&amp;E$2&amp;E$1&amp;"C"&amp;$A47)*RTD("tos.rtd",,"GAMMA","."&amp;E$2&amp;E$1&amp;"C"&amp;$A47)-$A$4*$A$4*RTD("tos.rtd",,"VOLUME","."&amp;E$2&amp;E$1&amp;"P"&amp;$A47)*RTD("tos.rtd",,"GAMMA","."&amp;E$2&amp;E$1&amp;"P"&amp;$A47))/1000000,0),IF($A$2="GEX",IFERROR(($A$4*$A$4*RTD("tos.rtd",,"OPEN_INT","."&amp;E$2&amp;E$1&amp;"C"&amp;$A47)*RTD("tos.rtd",,"GAMMA","."&amp;E$2&amp;E$1&amp;"C"&amp;$A47)-$A$4*$A$4*RTD("tos.rtd",,"OPEN_INT","."&amp;E$2&amp;E$1&amp;"P"&amp;$A47)*RTD("tos.rtd",,"GAMMA","."&amp;E$2&amp;E$1&amp;"P"&amp;$A47))/1000000,0),IF($A$2="SKEW",IFERROR(VALUE(IF(RTD("tos.rtd",,"IMPL_VOL","."&amp;E$2&amp;E$1&amp;"P"&amp;$A47)="N/A",0,RTD("tos.rtd",,"IMPL_VOL","."&amp;E$2&amp;E$1&amp;"P"&amp;$A47))),0)-IFERROR(VALUE(IF(RTD("tos.rtd",,"IMPL_VOL","."&amp;E$2&amp;E$1&amp;"C"&amp;$A47)="N/A",0,RTD("tos.rtd",,"IMPL_VOL","."&amp;E$2&amp;E$1&amp;"C"&amp;$A47))),0),IF($A$2="MAXPAIN",IF($A$4&gt;$A47,($A$4-$A47)*IF(RTD("tos.rtd",,"OPEN_INT","."&amp;E$2&amp;E$1&amp;"C"&amp;$A47)="N/A",0,RTD("tos.rtd",,"OPEN_INT","."&amp;E$2&amp;E$1&amp;"C"&amp;$A47)),0)+IF($A$4&lt;$A47,($A47-$A$4)*IF(RTD("tos.rtd",,"OPEN_INT","."&amp;E$2&amp;E$1&amp;"P"&amp;$A47)="N/A",0,RTD("tos.rtd",,"OPEN_INT","."&amp;E$2&amp;E$1&amp;"P"&amp;$A47)),0),IF(RTD("tos.rtd",,$A$2,"."&amp;E$2&amp;E$1&amp;"C"&amp;$A47)="N/A",0,RTD("tos.rtd",,$A$2,"."&amp;E$2&amp;E$1&amp;"C"&amp;$A47))-IF(RTD("tos.rtd",,$A$2,"."&amp;E$2&amp;E$1&amp;"P"&amp;$A47)="N/A",0,RTD("tos.rtd",,$A$2,"."&amp;E$2&amp;E$1&amp;"P"&amp;$A47)))))))))</f>
        <v>0</v>
      </c>
      <c r="F47" s="12">
        <f>IF($A$2="PREMIUM_OI",IFERROR((100*RTD("tos.rtd",,"OPEN_INT","."&amp;F$2&amp;F$1&amp;"C"&amp;$A47)*RTD("tos.rtd",,"LAST","."&amp;F$2&amp;F$1&amp;"C"&amp;$A47)-100*RTD("tos.rtd",,"OPEN_INT","."&amp;F$2&amp;F$1&amp;"P"&amp;$A47)*RTD("tos.rtd",,"LAST","."&amp;F$2&amp;F$1&amp;"P"&amp;$A47))/1000000,0),IF($A$2="PREMIUM",IFERROR((100*RTD("tos.rtd",,"VOLUME","."&amp;F$2&amp;F$1&amp;"C"&amp;$A47)*RTD("tos.rtd",,"LAST","."&amp;F$2&amp;F$1&amp;"C"&amp;$A47)-100*RTD("tos.rtd",,"VOLUME","."&amp;F$2&amp;F$1&amp;"P"&amp;$A47)*RTD("tos.rtd",,"LAST","."&amp;F$2&amp;F$1&amp;"P"&amp;$A47))/1000000,0),IF($A$2="DEX",IFERROR((100*RTD("tos.rtd",,"OPEN_INT","."&amp;F$2&amp;F$1&amp;"C"&amp;$A47)*RTD("tos.rtd",,"DELTA","."&amp;F$2&amp;F$1&amp;"C"&amp;$A47)-100*RTD("tos.rtd",,"OPEN_INT","."&amp;F$2&amp;F$1&amp;"P"&amp;$A47)*RTD("tos.rtd",,"DELTA","."&amp;F$2&amp;F$1&amp;"P"&amp;$A47))/1000,0),IF($A$2="VEX",IFERROR(($A$4*$A$4*RTD("tos.rtd",,"VOLUME","."&amp;F$2&amp;F$1&amp;"C"&amp;$A47)*RTD("tos.rtd",,"GAMMA","."&amp;F$2&amp;F$1&amp;"C"&amp;$A47)-$A$4*$A$4*RTD("tos.rtd",,"VOLUME","."&amp;F$2&amp;F$1&amp;"P"&amp;$A47)*RTD("tos.rtd",,"GAMMA","."&amp;F$2&amp;F$1&amp;"P"&amp;$A47))/1000000,0),IF($A$2="GEX",IFERROR(($A$4*$A$4*RTD("tos.rtd",,"OPEN_INT","."&amp;F$2&amp;F$1&amp;"C"&amp;$A47)*RTD("tos.rtd",,"GAMMA","."&amp;F$2&amp;F$1&amp;"C"&amp;$A47)-$A$4*$A$4*RTD("tos.rtd",,"OPEN_INT","."&amp;F$2&amp;F$1&amp;"P"&amp;$A47)*RTD("tos.rtd",,"GAMMA","."&amp;F$2&amp;F$1&amp;"P"&amp;$A47))/1000000,0),IF($A$2="SKEW",IFERROR(VALUE(IF(RTD("tos.rtd",,"IMPL_VOL","."&amp;F$2&amp;F$1&amp;"P"&amp;$A47)="N/A",0,RTD("tos.rtd",,"IMPL_VOL","."&amp;F$2&amp;F$1&amp;"P"&amp;$A47))),0)-IFERROR(VALUE(IF(RTD("tos.rtd",,"IMPL_VOL","."&amp;F$2&amp;F$1&amp;"C"&amp;$A47)="N/A",0,RTD("tos.rtd",,"IMPL_VOL","."&amp;F$2&amp;F$1&amp;"C"&amp;$A47))),0),IF($A$2="MAXPAIN",IF($A$4&gt;$A47,($A$4-$A47)*IF(RTD("tos.rtd",,"OPEN_INT","."&amp;F$2&amp;F$1&amp;"C"&amp;$A47)="N/A",0,RTD("tos.rtd",,"OPEN_INT","."&amp;F$2&amp;F$1&amp;"C"&amp;$A47)),0)+IF($A$4&lt;$A47,($A47-$A$4)*IF(RTD("tos.rtd",,"OPEN_INT","."&amp;F$2&amp;F$1&amp;"P"&amp;$A47)="N/A",0,RTD("tos.rtd",,"OPEN_INT","."&amp;F$2&amp;F$1&amp;"P"&amp;$A47)),0),IF(RTD("tos.rtd",,$A$2,"."&amp;F$2&amp;F$1&amp;"C"&amp;$A47)="N/A",0,RTD("tos.rtd",,$A$2,"."&amp;F$2&amp;F$1&amp;"C"&amp;$A47))-IF(RTD("tos.rtd",,$A$2,"."&amp;F$2&amp;F$1&amp;"P"&amp;$A47)="N/A",0,RTD("tos.rtd",,$A$2,"."&amp;F$2&amp;F$1&amp;"P"&amp;$A47)))))))))</f>
        <v>0</v>
      </c>
      <c r="G47" s="14">
        <f>IF($A$2="PREMIUM_OI",IFERROR((100*RTD("tos.rtd",,"OPEN_INT","."&amp;G$2&amp;G$1&amp;"C"&amp;$A47)*RTD("tos.rtd",,"LAST","."&amp;G$2&amp;G$1&amp;"C"&amp;$A47)-100*RTD("tos.rtd",,"OPEN_INT","."&amp;G$2&amp;G$1&amp;"P"&amp;$A47)*RTD("tos.rtd",,"LAST","."&amp;G$2&amp;G$1&amp;"P"&amp;$A47))/1000000,0),IF($A$2="PREMIUM",IFERROR((100*RTD("tos.rtd",,"VOLUME","."&amp;G$2&amp;G$1&amp;"C"&amp;$A47)*RTD("tos.rtd",,"LAST","."&amp;G$2&amp;G$1&amp;"C"&amp;$A47)-100*RTD("tos.rtd",,"VOLUME","."&amp;G$2&amp;G$1&amp;"P"&amp;$A47)*RTD("tos.rtd",,"LAST","."&amp;G$2&amp;G$1&amp;"P"&amp;$A47))/1000000,0),IF($A$2="DEX",IFERROR((100*RTD("tos.rtd",,"OPEN_INT","."&amp;G$2&amp;G$1&amp;"C"&amp;$A47)*RTD("tos.rtd",,"DELTA","."&amp;G$2&amp;G$1&amp;"C"&amp;$A47)-100*RTD("tos.rtd",,"OPEN_INT","."&amp;G$2&amp;G$1&amp;"P"&amp;$A47)*RTD("tos.rtd",,"DELTA","."&amp;G$2&amp;G$1&amp;"P"&amp;$A47))/1000,0),IF($A$2="VEX",IFERROR(($A$4*$A$4*RTD("tos.rtd",,"VOLUME","."&amp;G$2&amp;G$1&amp;"C"&amp;$A47)*RTD("tos.rtd",,"GAMMA","."&amp;G$2&amp;G$1&amp;"C"&amp;$A47)-$A$4*$A$4*RTD("tos.rtd",,"VOLUME","."&amp;G$2&amp;G$1&amp;"P"&amp;$A47)*RTD("tos.rtd",,"GAMMA","."&amp;G$2&amp;G$1&amp;"P"&amp;$A47))/1000000,0),IF($A$2="GEX",IFERROR(($A$4*$A$4*RTD("tos.rtd",,"OPEN_INT","."&amp;G$2&amp;G$1&amp;"C"&amp;$A47)*RTD("tos.rtd",,"GAMMA","."&amp;G$2&amp;G$1&amp;"C"&amp;$A47)-$A$4*$A$4*RTD("tos.rtd",,"OPEN_INT","."&amp;G$2&amp;G$1&amp;"P"&amp;$A47)*RTD("tos.rtd",,"GAMMA","."&amp;G$2&amp;G$1&amp;"P"&amp;$A47))/1000000,0),IF($A$2="SKEW",IFERROR(VALUE(IF(RTD("tos.rtd",,"IMPL_VOL","."&amp;G$2&amp;G$1&amp;"P"&amp;$A47)="N/A",0,RTD("tos.rtd",,"IMPL_VOL","."&amp;G$2&amp;G$1&amp;"P"&amp;$A47))),0)-IFERROR(VALUE(IF(RTD("tos.rtd",,"IMPL_VOL","."&amp;G$2&amp;G$1&amp;"C"&amp;$A47)="N/A",0,RTD("tos.rtd",,"IMPL_VOL","."&amp;G$2&amp;G$1&amp;"C"&amp;$A47))),0),IF($A$2="MAXPAIN",IF($A$4&gt;$A47,($A$4-$A47)*IF(RTD("tos.rtd",,"OPEN_INT","."&amp;G$2&amp;G$1&amp;"C"&amp;$A47)="N/A",0,RTD("tos.rtd",,"OPEN_INT","."&amp;G$2&amp;G$1&amp;"C"&amp;$A47)),0)+IF($A$4&lt;$A47,($A47-$A$4)*IF(RTD("tos.rtd",,"OPEN_INT","."&amp;G$2&amp;G$1&amp;"P"&amp;$A47)="N/A",0,RTD("tos.rtd",,"OPEN_INT","."&amp;G$2&amp;G$1&amp;"P"&amp;$A47)),0),IF(RTD("tos.rtd",,$A$2,"."&amp;G$2&amp;G$1&amp;"C"&amp;$A47)="N/A",0,RTD("tos.rtd",,$A$2,"."&amp;G$2&amp;G$1&amp;"C"&amp;$A47))-IF(RTD("tos.rtd",,$A$2,"."&amp;G$2&amp;G$1&amp;"P"&amp;$A47)="N/A",0,RTD("tos.rtd",,$A$2,"."&amp;G$2&amp;G$1&amp;"P"&amp;$A47)))))))))</f>
        <v>0</v>
      </c>
      <c r="H47" s="12">
        <f>IF($A$2="PREMIUM_OI",IFERROR((100*RTD("tos.rtd",,"OPEN_INT","."&amp;H$2&amp;H$1&amp;"C"&amp;$A47)*RTD("tos.rtd",,"LAST","."&amp;H$2&amp;H$1&amp;"C"&amp;$A47)-100*RTD("tos.rtd",,"OPEN_INT","."&amp;H$2&amp;H$1&amp;"P"&amp;$A47)*RTD("tos.rtd",,"LAST","."&amp;H$2&amp;H$1&amp;"P"&amp;$A47))/1000000,0),IF($A$2="PREMIUM",IFERROR((100*RTD("tos.rtd",,"VOLUME","."&amp;H$2&amp;H$1&amp;"C"&amp;$A47)*RTD("tos.rtd",,"LAST","."&amp;H$2&amp;H$1&amp;"C"&amp;$A47)-100*RTD("tos.rtd",,"VOLUME","."&amp;H$2&amp;H$1&amp;"P"&amp;$A47)*RTD("tos.rtd",,"LAST","."&amp;H$2&amp;H$1&amp;"P"&amp;$A47))/1000000,0),IF($A$2="DEX",IFERROR((100*RTD("tos.rtd",,"OPEN_INT","."&amp;H$2&amp;H$1&amp;"C"&amp;$A47)*RTD("tos.rtd",,"DELTA","."&amp;H$2&amp;H$1&amp;"C"&amp;$A47)-100*RTD("tos.rtd",,"OPEN_INT","."&amp;H$2&amp;H$1&amp;"P"&amp;$A47)*RTD("tos.rtd",,"DELTA","."&amp;H$2&amp;H$1&amp;"P"&amp;$A47))/1000,0),IF($A$2="VEX",IFERROR(($A$4*$A$4*RTD("tos.rtd",,"VOLUME","."&amp;H$2&amp;H$1&amp;"C"&amp;$A47)*RTD("tos.rtd",,"GAMMA","."&amp;H$2&amp;H$1&amp;"C"&amp;$A47)-$A$4*$A$4*RTD("tos.rtd",,"VOLUME","."&amp;H$2&amp;H$1&amp;"P"&amp;$A47)*RTD("tos.rtd",,"GAMMA","."&amp;H$2&amp;H$1&amp;"P"&amp;$A47))/1000000,0),IF($A$2="GEX",IFERROR(($A$4*$A$4*RTD("tos.rtd",,"OPEN_INT","."&amp;H$2&amp;H$1&amp;"C"&amp;$A47)*RTD("tos.rtd",,"GAMMA","."&amp;H$2&amp;H$1&amp;"C"&amp;$A47)-$A$4*$A$4*RTD("tos.rtd",,"OPEN_INT","."&amp;H$2&amp;H$1&amp;"P"&amp;$A47)*RTD("tos.rtd",,"GAMMA","."&amp;H$2&amp;H$1&amp;"P"&amp;$A47))/1000000,0),IF($A$2="SKEW",IFERROR(VALUE(IF(RTD("tos.rtd",,"IMPL_VOL","."&amp;H$2&amp;H$1&amp;"P"&amp;$A47)="N/A",0,RTD("tos.rtd",,"IMPL_VOL","."&amp;H$2&amp;H$1&amp;"P"&amp;$A47))),0)-IFERROR(VALUE(IF(RTD("tos.rtd",,"IMPL_VOL","."&amp;H$2&amp;H$1&amp;"C"&amp;$A47)="N/A",0,RTD("tos.rtd",,"IMPL_VOL","."&amp;H$2&amp;H$1&amp;"C"&amp;$A47))),0),IF($A$2="MAXPAIN",IF($A$4&gt;$A47,($A$4-$A47)*IF(RTD("tos.rtd",,"OPEN_INT","."&amp;H$2&amp;H$1&amp;"C"&amp;$A47)="N/A",0,RTD("tos.rtd",,"OPEN_INT","."&amp;H$2&amp;H$1&amp;"C"&amp;$A47)),0)+IF($A$4&lt;$A47,($A47-$A$4)*IF(RTD("tos.rtd",,"OPEN_INT","."&amp;H$2&amp;H$1&amp;"P"&amp;$A47)="N/A",0,RTD("tos.rtd",,"OPEN_INT","."&amp;H$2&amp;H$1&amp;"P"&amp;$A47)),0),IF(RTD("tos.rtd",,$A$2,"."&amp;H$2&amp;H$1&amp;"C"&amp;$A47)="N/A",0,RTD("tos.rtd",,$A$2,"."&amp;H$2&amp;H$1&amp;"C"&amp;$A47))-IF(RTD("tos.rtd",,$A$2,"."&amp;H$2&amp;H$1&amp;"P"&amp;$A47)="N/A",0,RTD("tos.rtd",,$A$2,"."&amp;H$2&amp;H$1&amp;"P"&amp;$A47)))))))))</f>
        <v>0</v>
      </c>
      <c r="I47" s="12">
        <f>IF($A$2="PREMIUM_OI",IFERROR((100*RTD("tos.rtd",,"OPEN_INT","."&amp;I$2&amp;I$1&amp;"C"&amp;$A47)*RTD("tos.rtd",,"LAST","."&amp;I$2&amp;I$1&amp;"C"&amp;$A47)-100*RTD("tos.rtd",,"OPEN_INT","."&amp;I$2&amp;I$1&amp;"P"&amp;$A47)*RTD("tos.rtd",,"LAST","."&amp;I$2&amp;I$1&amp;"P"&amp;$A47))/1000000,0),IF($A$2="PREMIUM",IFERROR((100*RTD("tos.rtd",,"VOLUME","."&amp;I$2&amp;I$1&amp;"C"&amp;$A47)*RTD("tos.rtd",,"LAST","."&amp;I$2&amp;I$1&amp;"C"&amp;$A47)-100*RTD("tos.rtd",,"VOLUME","."&amp;I$2&amp;I$1&amp;"P"&amp;$A47)*RTD("tos.rtd",,"LAST","."&amp;I$2&amp;I$1&amp;"P"&amp;$A47))/1000000,0),IF($A$2="DEX",IFERROR((100*RTD("tos.rtd",,"OPEN_INT","."&amp;I$2&amp;I$1&amp;"C"&amp;$A47)*RTD("tos.rtd",,"DELTA","."&amp;I$2&amp;I$1&amp;"C"&amp;$A47)-100*RTD("tos.rtd",,"OPEN_INT","."&amp;I$2&amp;I$1&amp;"P"&amp;$A47)*RTD("tos.rtd",,"DELTA","."&amp;I$2&amp;I$1&amp;"P"&amp;$A47))/1000,0),IF($A$2="VEX",IFERROR(($A$4*$A$4*RTD("tos.rtd",,"VOLUME","."&amp;I$2&amp;I$1&amp;"C"&amp;$A47)*RTD("tos.rtd",,"GAMMA","."&amp;I$2&amp;I$1&amp;"C"&amp;$A47)-$A$4*$A$4*RTD("tos.rtd",,"VOLUME","."&amp;I$2&amp;I$1&amp;"P"&amp;$A47)*RTD("tos.rtd",,"GAMMA","."&amp;I$2&amp;I$1&amp;"P"&amp;$A47))/1000000,0),IF($A$2="GEX",IFERROR(($A$4*$A$4*RTD("tos.rtd",,"OPEN_INT","."&amp;I$2&amp;I$1&amp;"C"&amp;$A47)*RTD("tos.rtd",,"GAMMA","."&amp;I$2&amp;I$1&amp;"C"&amp;$A47)-$A$4*$A$4*RTD("tos.rtd",,"OPEN_INT","."&amp;I$2&amp;I$1&amp;"P"&amp;$A47)*RTD("tos.rtd",,"GAMMA","."&amp;I$2&amp;I$1&amp;"P"&amp;$A47))/1000000,0),IF($A$2="SKEW",IFERROR(VALUE(IF(RTD("tos.rtd",,"IMPL_VOL","."&amp;I$2&amp;I$1&amp;"P"&amp;$A47)="N/A",0,RTD("tos.rtd",,"IMPL_VOL","."&amp;I$2&amp;I$1&amp;"P"&amp;$A47))),0)-IFERROR(VALUE(IF(RTD("tos.rtd",,"IMPL_VOL","."&amp;I$2&amp;I$1&amp;"C"&amp;$A47)="N/A",0,RTD("tos.rtd",,"IMPL_VOL","."&amp;I$2&amp;I$1&amp;"C"&amp;$A47))),0),IF($A$2="MAXPAIN",IF($A$4&gt;$A47,($A$4-$A47)*IF(RTD("tos.rtd",,"OPEN_INT","."&amp;I$2&amp;I$1&amp;"C"&amp;$A47)="N/A",0,RTD("tos.rtd",,"OPEN_INT","."&amp;I$2&amp;I$1&amp;"C"&amp;$A47)),0)+IF($A$4&lt;$A47,($A47-$A$4)*IF(RTD("tos.rtd",,"OPEN_INT","."&amp;I$2&amp;I$1&amp;"P"&amp;$A47)="N/A",0,RTD("tos.rtd",,"OPEN_INT","."&amp;I$2&amp;I$1&amp;"P"&amp;$A47)),0),IF(RTD("tos.rtd",,$A$2,"."&amp;I$2&amp;I$1&amp;"C"&amp;$A47)="N/A",0,RTD("tos.rtd",,$A$2,"."&amp;I$2&amp;I$1&amp;"C"&amp;$A47))-IF(RTD("tos.rtd",,$A$2,"."&amp;I$2&amp;I$1&amp;"P"&amp;$A47)="N/A",0,RTD("tos.rtd",,$A$2,"."&amp;I$2&amp;I$1&amp;"P"&amp;$A47)))))))))</f>
        <v>0</v>
      </c>
      <c r="J47" s="12">
        <f>IF($A$2="PREMIUM_OI",IFERROR((100*RTD("tos.rtd",,"OPEN_INT","."&amp;J$2&amp;J$1&amp;"C"&amp;$A47)*RTD("tos.rtd",,"LAST","."&amp;J$2&amp;J$1&amp;"C"&amp;$A47)-100*RTD("tos.rtd",,"OPEN_INT","."&amp;J$2&amp;J$1&amp;"P"&amp;$A47)*RTD("tos.rtd",,"LAST","."&amp;J$2&amp;J$1&amp;"P"&amp;$A47))/1000000,0),IF($A$2="PREMIUM",IFERROR((100*RTD("tos.rtd",,"VOLUME","."&amp;J$2&amp;J$1&amp;"C"&amp;$A47)*RTD("tos.rtd",,"LAST","."&amp;J$2&amp;J$1&amp;"C"&amp;$A47)-100*RTD("tos.rtd",,"VOLUME","."&amp;J$2&amp;J$1&amp;"P"&amp;$A47)*RTD("tos.rtd",,"LAST","."&amp;J$2&amp;J$1&amp;"P"&amp;$A47))/1000000,0),IF($A$2="DEX",IFERROR((100*RTD("tos.rtd",,"OPEN_INT","."&amp;J$2&amp;J$1&amp;"C"&amp;$A47)*RTD("tos.rtd",,"DELTA","."&amp;J$2&amp;J$1&amp;"C"&amp;$A47)-100*RTD("tos.rtd",,"OPEN_INT","."&amp;J$2&amp;J$1&amp;"P"&amp;$A47)*RTD("tos.rtd",,"DELTA","."&amp;J$2&amp;J$1&amp;"P"&amp;$A47))/1000,0),IF($A$2="VEX",IFERROR(($A$4*$A$4*RTD("tos.rtd",,"VOLUME","."&amp;J$2&amp;J$1&amp;"C"&amp;$A47)*RTD("tos.rtd",,"GAMMA","."&amp;J$2&amp;J$1&amp;"C"&amp;$A47)-$A$4*$A$4*RTD("tos.rtd",,"VOLUME","."&amp;J$2&amp;J$1&amp;"P"&amp;$A47)*RTD("tos.rtd",,"GAMMA","."&amp;J$2&amp;J$1&amp;"P"&amp;$A47))/1000000,0),IF($A$2="GEX",IFERROR(($A$4*$A$4*RTD("tos.rtd",,"OPEN_INT","."&amp;J$2&amp;J$1&amp;"C"&amp;$A47)*RTD("tos.rtd",,"GAMMA","."&amp;J$2&amp;J$1&amp;"C"&amp;$A47)-$A$4*$A$4*RTD("tos.rtd",,"OPEN_INT","."&amp;J$2&amp;J$1&amp;"P"&amp;$A47)*RTD("tos.rtd",,"GAMMA","."&amp;J$2&amp;J$1&amp;"P"&amp;$A47))/1000000,0),IF($A$2="SKEW",IFERROR(VALUE(IF(RTD("tos.rtd",,"IMPL_VOL","."&amp;J$2&amp;J$1&amp;"P"&amp;$A47)="N/A",0,RTD("tos.rtd",,"IMPL_VOL","."&amp;J$2&amp;J$1&amp;"P"&amp;$A47))),0)-IFERROR(VALUE(IF(RTD("tos.rtd",,"IMPL_VOL","."&amp;J$2&amp;J$1&amp;"C"&amp;$A47)="N/A",0,RTD("tos.rtd",,"IMPL_VOL","."&amp;J$2&amp;J$1&amp;"C"&amp;$A47))),0),IF($A$2="MAXPAIN",IF($A$4&gt;$A47,($A$4-$A47)*IF(RTD("tos.rtd",,"OPEN_INT","."&amp;J$2&amp;J$1&amp;"C"&amp;$A47)="N/A",0,RTD("tos.rtd",,"OPEN_INT","."&amp;J$2&amp;J$1&amp;"C"&amp;$A47)),0)+IF($A$4&lt;$A47,($A47-$A$4)*IF(RTD("tos.rtd",,"OPEN_INT","."&amp;J$2&amp;J$1&amp;"P"&amp;$A47)="N/A",0,RTD("tos.rtd",,"OPEN_INT","."&amp;J$2&amp;J$1&amp;"P"&amp;$A47)),0),IF(RTD("tos.rtd",,$A$2,"."&amp;J$2&amp;J$1&amp;"C"&amp;$A47)="N/A",0,RTD("tos.rtd",,$A$2,"."&amp;J$2&amp;J$1&amp;"C"&amp;$A47))-IF(RTD("tos.rtd",,$A$2,"."&amp;J$2&amp;J$1&amp;"P"&amp;$A47)="N/A",0,RTD("tos.rtd",,$A$2,"."&amp;J$2&amp;J$1&amp;"P"&amp;$A47)))))))))</f>
        <v>0</v>
      </c>
      <c r="K47" s="12">
        <f>IF($A$2="PREMIUM_OI",IFERROR((100*RTD("tos.rtd",,"OPEN_INT","."&amp;K$2&amp;K$1&amp;"C"&amp;$A47)*RTD("tos.rtd",,"LAST","."&amp;K$2&amp;K$1&amp;"C"&amp;$A47)-100*RTD("tos.rtd",,"OPEN_INT","."&amp;K$2&amp;K$1&amp;"P"&amp;$A47)*RTD("tos.rtd",,"LAST","."&amp;K$2&amp;K$1&amp;"P"&amp;$A47))/1000000,0),IF($A$2="PREMIUM",IFERROR((100*RTD("tos.rtd",,"VOLUME","."&amp;K$2&amp;K$1&amp;"C"&amp;$A47)*RTD("tos.rtd",,"LAST","."&amp;K$2&amp;K$1&amp;"C"&amp;$A47)-100*RTD("tos.rtd",,"VOLUME","."&amp;K$2&amp;K$1&amp;"P"&amp;$A47)*RTD("tos.rtd",,"LAST","."&amp;K$2&amp;K$1&amp;"P"&amp;$A47))/1000000,0),IF($A$2="DEX",IFERROR((100*RTD("tos.rtd",,"OPEN_INT","."&amp;K$2&amp;K$1&amp;"C"&amp;$A47)*RTD("tos.rtd",,"DELTA","."&amp;K$2&amp;K$1&amp;"C"&amp;$A47)-100*RTD("tos.rtd",,"OPEN_INT","."&amp;K$2&amp;K$1&amp;"P"&amp;$A47)*RTD("tos.rtd",,"DELTA","."&amp;K$2&amp;K$1&amp;"P"&amp;$A47))/1000,0),IF($A$2="VEX",IFERROR(($A$4*$A$4*RTD("tos.rtd",,"VOLUME","."&amp;K$2&amp;K$1&amp;"C"&amp;$A47)*RTD("tos.rtd",,"GAMMA","."&amp;K$2&amp;K$1&amp;"C"&amp;$A47)-$A$4*$A$4*RTD("tos.rtd",,"VOLUME","."&amp;K$2&amp;K$1&amp;"P"&amp;$A47)*RTD("tos.rtd",,"GAMMA","."&amp;K$2&amp;K$1&amp;"P"&amp;$A47))/1000000,0),IF($A$2="GEX",IFERROR(($A$4*$A$4*RTD("tos.rtd",,"OPEN_INT","."&amp;K$2&amp;K$1&amp;"C"&amp;$A47)*RTD("tos.rtd",,"GAMMA","."&amp;K$2&amp;K$1&amp;"C"&amp;$A47)-$A$4*$A$4*RTD("tos.rtd",,"OPEN_INT","."&amp;K$2&amp;K$1&amp;"P"&amp;$A47)*RTD("tos.rtd",,"GAMMA","."&amp;K$2&amp;K$1&amp;"P"&amp;$A47))/1000000,0),IF($A$2="SKEW",IFERROR(VALUE(IF(RTD("tos.rtd",,"IMPL_VOL","."&amp;K$2&amp;K$1&amp;"P"&amp;$A47)="N/A",0,RTD("tos.rtd",,"IMPL_VOL","."&amp;K$2&amp;K$1&amp;"P"&amp;$A47))),0)-IFERROR(VALUE(IF(RTD("tos.rtd",,"IMPL_VOL","."&amp;K$2&amp;K$1&amp;"C"&amp;$A47)="N/A",0,RTD("tos.rtd",,"IMPL_VOL","."&amp;K$2&amp;K$1&amp;"C"&amp;$A47))),0),IF($A$2="MAXPAIN",IF($A$4&gt;$A47,($A$4-$A47)*IF(RTD("tos.rtd",,"OPEN_INT","."&amp;K$2&amp;K$1&amp;"C"&amp;$A47)="N/A",0,RTD("tos.rtd",,"OPEN_INT","."&amp;K$2&amp;K$1&amp;"C"&amp;$A47)),0)+IF($A$4&lt;$A47,($A47-$A$4)*IF(RTD("tos.rtd",,"OPEN_INT","."&amp;K$2&amp;K$1&amp;"P"&amp;$A47)="N/A",0,RTD("tos.rtd",,"OPEN_INT","."&amp;K$2&amp;K$1&amp;"P"&amp;$A47)),0),IF(RTD("tos.rtd",,$A$2,"."&amp;K$2&amp;K$1&amp;"C"&amp;$A47)="N/A",0,RTD("tos.rtd",,$A$2,"."&amp;K$2&amp;K$1&amp;"C"&amp;$A47))-IF(RTD("tos.rtd",,$A$2,"."&amp;K$2&amp;K$1&amp;"P"&amp;$A47)="N/A",0,RTD("tos.rtd",,$A$2,"."&amp;K$2&amp;K$1&amp;"P"&amp;$A47)))))))))</f>
        <v>0</v>
      </c>
      <c r="L47" s="12">
        <f>IF($A$2="PREMIUM_OI",IFERROR((100*RTD("tos.rtd",,"OPEN_INT","."&amp;L$2&amp;L$1&amp;"C"&amp;$A47)*RTD("tos.rtd",,"LAST","."&amp;L$2&amp;L$1&amp;"C"&amp;$A47)-100*RTD("tos.rtd",,"OPEN_INT","."&amp;L$2&amp;L$1&amp;"P"&amp;$A47)*RTD("tos.rtd",,"LAST","."&amp;L$2&amp;L$1&amp;"P"&amp;$A47))/1000000,0),IF($A$2="PREMIUM",IFERROR((100*RTD("tos.rtd",,"VOLUME","."&amp;L$2&amp;L$1&amp;"C"&amp;$A47)*RTD("tos.rtd",,"LAST","."&amp;L$2&amp;L$1&amp;"C"&amp;$A47)-100*RTD("tos.rtd",,"VOLUME","."&amp;L$2&amp;L$1&amp;"P"&amp;$A47)*RTD("tos.rtd",,"LAST","."&amp;L$2&amp;L$1&amp;"P"&amp;$A47))/1000000,0),IF($A$2="DEX",IFERROR((100*RTD("tos.rtd",,"OPEN_INT","."&amp;L$2&amp;L$1&amp;"C"&amp;$A47)*RTD("tos.rtd",,"DELTA","."&amp;L$2&amp;L$1&amp;"C"&amp;$A47)-100*RTD("tos.rtd",,"OPEN_INT","."&amp;L$2&amp;L$1&amp;"P"&amp;$A47)*RTD("tos.rtd",,"DELTA","."&amp;L$2&amp;L$1&amp;"P"&amp;$A47))/1000,0),IF($A$2="VEX",IFERROR(($A$4*$A$4*RTD("tos.rtd",,"VOLUME","."&amp;L$2&amp;L$1&amp;"C"&amp;$A47)*RTD("tos.rtd",,"GAMMA","."&amp;L$2&amp;L$1&amp;"C"&amp;$A47)-$A$4*$A$4*RTD("tos.rtd",,"VOLUME","."&amp;L$2&amp;L$1&amp;"P"&amp;$A47)*RTD("tos.rtd",,"GAMMA","."&amp;L$2&amp;L$1&amp;"P"&amp;$A47))/1000000,0),IF($A$2="GEX",IFERROR(($A$4*$A$4*RTD("tos.rtd",,"OPEN_INT","."&amp;L$2&amp;L$1&amp;"C"&amp;$A47)*RTD("tos.rtd",,"GAMMA","."&amp;L$2&amp;L$1&amp;"C"&amp;$A47)-$A$4*$A$4*RTD("tos.rtd",,"OPEN_INT","."&amp;L$2&amp;L$1&amp;"P"&amp;$A47)*RTD("tos.rtd",,"GAMMA","."&amp;L$2&amp;L$1&amp;"P"&amp;$A47))/1000000,0),IF($A$2="SKEW",IFERROR(VALUE(IF(RTD("tos.rtd",,"IMPL_VOL","."&amp;L$2&amp;L$1&amp;"P"&amp;$A47)="N/A",0,RTD("tos.rtd",,"IMPL_VOL","."&amp;L$2&amp;L$1&amp;"P"&amp;$A47))),0)-IFERROR(VALUE(IF(RTD("tos.rtd",,"IMPL_VOL","."&amp;L$2&amp;L$1&amp;"C"&amp;$A47)="N/A",0,RTD("tos.rtd",,"IMPL_VOL","."&amp;L$2&amp;L$1&amp;"C"&amp;$A47))),0),IF($A$2="MAXPAIN",IF($A$4&gt;$A47,($A$4-$A47)*IF(RTD("tos.rtd",,"OPEN_INT","."&amp;L$2&amp;L$1&amp;"C"&amp;$A47)="N/A",0,RTD("tos.rtd",,"OPEN_INT","."&amp;L$2&amp;L$1&amp;"C"&amp;$A47)),0)+IF($A$4&lt;$A47,($A47-$A$4)*IF(RTD("tos.rtd",,"OPEN_INT","."&amp;L$2&amp;L$1&amp;"P"&amp;$A47)="N/A",0,RTD("tos.rtd",,"OPEN_INT","."&amp;L$2&amp;L$1&amp;"P"&amp;$A47)),0),IF(RTD("tos.rtd",,$A$2,"."&amp;L$2&amp;L$1&amp;"C"&amp;$A47)="N/A",0,RTD("tos.rtd",,$A$2,"."&amp;L$2&amp;L$1&amp;"C"&amp;$A47))-IF(RTD("tos.rtd",,$A$2,"."&amp;L$2&amp;L$1&amp;"P"&amp;$A47)="N/A",0,RTD("tos.rtd",,$A$2,"."&amp;L$2&amp;L$1&amp;"P"&amp;$A47)))))))))</f>
        <v>0</v>
      </c>
      <c r="M47" s="12">
        <f>IF($A$2="PREMIUM_OI",IFERROR((100*RTD("tos.rtd",,"OPEN_INT","."&amp;M$2&amp;M$1&amp;"C"&amp;$A47)*RTD("tos.rtd",,"LAST","."&amp;M$2&amp;M$1&amp;"C"&amp;$A47)-100*RTD("tos.rtd",,"OPEN_INT","."&amp;M$2&amp;M$1&amp;"P"&amp;$A47)*RTD("tos.rtd",,"LAST","."&amp;M$2&amp;M$1&amp;"P"&amp;$A47))/1000000,0),IF($A$2="PREMIUM",IFERROR((100*RTD("tos.rtd",,"VOLUME","."&amp;M$2&amp;M$1&amp;"C"&amp;$A47)*RTD("tos.rtd",,"LAST","."&amp;M$2&amp;M$1&amp;"C"&amp;$A47)-100*RTD("tos.rtd",,"VOLUME","."&amp;M$2&amp;M$1&amp;"P"&amp;$A47)*RTD("tos.rtd",,"LAST","."&amp;M$2&amp;M$1&amp;"P"&amp;$A47))/1000000,0),IF($A$2="DEX",IFERROR((100*RTD("tos.rtd",,"OPEN_INT","."&amp;M$2&amp;M$1&amp;"C"&amp;$A47)*RTD("tos.rtd",,"DELTA","."&amp;M$2&amp;M$1&amp;"C"&amp;$A47)-100*RTD("tos.rtd",,"OPEN_INT","."&amp;M$2&amp;M$1&amp;"P"&amp;$A47)*RTD("tos.rtd",,"DELTA","."&amp;M$2&amp;M$1&amp;"P"&amp;$A47))/1000,0),IF($A$2="VEX",IFERROR(($A$4*$A$4*RTD("tos.rtd",,"VOLUME","."&amp;M$2&amp;M$1&amp;"C"&amp;$A47)*RTD("tos.rtd",,"GAMMA","."&amp;M$2&amp;M$1&amp;"C"&amp;$A47)-$A$4*$A$4*RTD("tos.rtd",,"VOLUME","."&amp;M$2&amp;M$1&amp;"P"&amp;$A47)*RTD("tos.rtd",,"GAMMA","."&amp;M$2&amp;M$1&amp;"P"&amp;$A47))/1000000,0),IF($A$2="GEX",IFERROR(($A$4*$A$4*RTD("tos.rtd",,"OPEN_INT","."&amp;M$2&amp;M$1&amp;"C"&amp;$A47)*RTD("tos.rtd",,"GAMMA","."&amp;M$2&amp;M$1&amp;"C"&amp;$A47)-$A$4*$A$4*RTD("tos.rtd",,"OPEN_INT","."&amp;M$2&amp;M$1&amp;"P"&amp;$A47)*RTD("tos.rtd",,"GAMMA","."&amp;M$2&amp;M$1&amp;"P"&amp;$A47))/1000000,0),IF($A$2="SKEW",IFERROR(VALUE(IF(RTD("tos.rtd",,"IMPL_VOL","."&amp;M$2&amp;M$1&amp;"P"&amp;$A47)="N/A",0,RTD("tos.rtd",,"IMPL_VOL","."&amp;M$2&amp;M$1&amp;"P"&amp;$A47))),0)-IFERROR(VALUE(IF(RTD("tos.rtd",,"IMPL_VOL","."&amp;M$2&amp;M$1&amp;"C"&amp;$A47)="N/A",0,RTD("tos.rtd",,"IMPL_VOL","."&amp;M$2&amp;M$1&amp;"C"&amp;$A47))),0),IF($A$2="MAXPAIN",IF($A$4&gt;$A47,($A$4-$A47)*IF(RTD("tos.rtd",,"OPEN_INT","."&amp;M$2&amp;M$1&amp;"C"&amp;$A47)="N/A",0,RTD("tos.rtd",,"OPEN_INT","."&amp;M$2&amp;M$1&amp;"C"&amp;$A47)),0)+IF($A$4&lt;$A47,($A47-$A$4)*IF(RTD("tos.rtd",,"OPEN_INT","."&amp;M$2&amp;M$1&amp;"P"&amp;$A47)="N/A",0,RTD("tos.rtd",,"OPEN_INT","."&amp;M$2&amp;M$1&amp;"P"&amp;$A47)),0),IF(RTD("tos.rtd",,$A$2,"."&amp;M$2&amp;M$1&amp;"C"&amp;$A47)="N/A",0,RTD("tos.rtd",,$A$2,"."&amp;M$2&amp;M$1&amp;"C"&amp;$A47))-IF(RTD("tos.rtd",,$A$2,"."&amp;M$2&amp;M$1&amp;"P"&amp;$A47)="N/A",0,RTD("tos.rtd",,$A$2,"."&amp;M$2&amp;M$1&amp;"P"&amp;$A47)))))))))</f>
        <v>0</v>
      </c>
      <c r="N47" s="12">
        <f>IF($A$2="PREMIUM_OI",IFERROR((100*RTD("tos.rtd",,"OPEN_INT","."&amp;N$2&amp;N$1&amp;"C"&amp;$A47)*RTD("tos.rtd",,"LAST","."&amp;N$2&amp;N$1&amp;"C"&amp;$A47)-100*RTD("tos.rtd",,"OPEN_INT","."&amp;N$2&amp;N$1&amp;"P"&amp;$A47)*RTD("tos.rtd",,"LAST","."&amp;N$2&amp;N$1&amp;"P"&amp;$A47))/1000000,0),IF($A$2="PREMIUM",IFERROR((100*RTD("tos.rtd",,"VOLUME","."&amp;N$2&amp;N$1&amp;"C"&amp;$A47)*RTD("tos.rtd",,"LAST","."&amp;N$2&amp;N$1&amp;"C"&amp;$A47)-100*RTD("tos.rtd",,"VOLUME","."&amp;N$2&amp;N$1&amp;"P"&amp;$A47)*RTD("tos.rtd",,"LAST","."&amp;N$2&amp;N$1&amp;"P"&amp;$A47))/1000000,0),IF($A$2="DEX",IFERROR((100*RTD("tos.rtd",,"OPEN_INT","."&amp;N$2&amp;N$1&amp;"C"&amp;$A47)*RTD("tos.rtd",,"DELTA","."&amp;N$2&amp;N$1&amp;"C"&amp;$A47)-100*RTD("tos.rtd",,"OPEN_INT","."&amp;N$2&amp;N$1&amp;"P"&amp;$A47)*RTD("tos.rtd",,"DELTA","."&amp;N$2&amp;N$1&amp;"P"&amp;$A47))/1000,0),IF($A$2="VEX",IFERROR(($A$4*$A$4*RTD("tos.rtd",,"VOLUME","."&amp;N$2&amp;N$1&amp;"C"&amp;$A47)*RTD("tos.rtd",,"GAMMA","."&amp;N$2&amp;N$1&amp;"C"&amp;$A47)-$A$4*$A$4*RTD("tos.rtd",,"VOLUME","."&amp;N$2&amp;N$1&amp;"P"&amp;$A47)*RTD("tos.rtd",,"GAMMA","."&amp;N$2&amp;N$1&amp;"P"&amp;$A47))/1000000,0),IF($A$2="GEX",IFERROR(($A$4*$A$4*RTD("tos.rtd",,"OPEN_INT","."&amp;N$2&amp;N$1&amp;"C"&amp;$A47)*RTD("tos.rtd",,"GAMMA","."&amp;N$2&amp;N$1&amp;"C"&amp;$A47)-$A$4*$A$4*RTD("tos.rtd",,"OPEN_INT","."&amp;N$2&amp;N$1&amp;"P"&amp;$A47)*RTD("tos.rtd",,"GAMMA","."&amp;N$2&amp;N$1&amp;"P"&amp;$A47))/1000000,0),IF($A$2="SKEW",IFERROR(VALUE(IF(RTD("tos.rtd",,"IMPL_VOL","."&amp;N$2&amp;N$1&amp;"P"&amp;$A47)="N/A",0,RTD("tos.rtd",,"IMPL_VOL","."&amp;N$2&amp;N$1&amp;"P"&amp;$A47))),0)-IFERROR(VALUE(IF(RTD("tos.rtd",,"IMPL_VOL","."&amp;N$2&amp;N$1&amp;"C"&amp;$A47)="N/A",0,RTD("tos.rtd",,"IMPL_VOL","."&amp;N$2&amp;N$1&amp;"C"&amp;$A47))),0),IF($A$2="MAXPAIN",IF($A$4&gt;$A47,($A$4-$A47)*IF(RTD("tos.rtd",,"OPEN_INT","."&amp;N$2&amp;N$1&amp;"C"&amp;$A47)="N/A",0,RTD("tos.rtd",,"OPEN_INT","."&amp;N$2&amp;N$1&amp;"C"&amp;$A47)),0)+IF($A$4&lt;$A47,($A47-$A$4)*IF(RTD("tos.rtd",,"OPEN_INT","."&amp;N$2&amp;N$1&amp;"P"&amp;$A47)="N/A",0,RTD("tos.rtd",,"OPEN_INT","."&amp;N$2&amp;N$1&amp;"P"&amp;$A47)),0),IF(RTD("tos.rtd",,$A$2,"."&amp;N$2&amp;N$1&amp;"C"&amp;$A47)="N/A",0,RTD("tos.rtd",,$A$2,"."&amp;N$2&amp;N$1&amp;"C"&amp;$A47))-IF(RTD("tos.rtd",,$A$2,"."&amp;N$2&amp;N$1&amp;"P"&amp;$A47)="N/A",0,RTD("tos.rtd",,$A$2,"."&amp;N$2&amp;N$1&amp;"P"&amp;$A47)))))))))</f>
        <v>0</v>
      </c>
      <c r="O47" s="12">
        <f>IF($A$2="PREMIUM_OI",IFERROR((100*RTD("tos.rtd",,"OPEN_INT","."&amp;O$2&amp;O$1&amp;"C"&amp;$A47)*RTD("tos.rtd",,"LAST","."&amp;O$2&amp;O$1&amp;"C"&amp;$A47)-100*RTD("tos.rtd",,"OPEN_INT","."&amp;O$2&amp;O$1&amp;"P"&amp;$A47)*RTD("tos.rtd",,"LAST","."&amp;O$2&amp;O$1&amp;"P"&amp;$A47))/1000000,0),IF($A$2="PREMIUM",IFERROR((100*RTD("tos.rtd",,"VOLUME","."&amp;O$2&amp;O$1&amp;"C"&amp;$A47)*RTD("tos.rtd",,"LAST","."&amp;O$2&amp;O$1&amp;"C"&amp;$A47)-100*RTD("tos.rtd",,"VOLUME","."&amp;O$2&amp;O$1&amp;"P"&amp;$A47)*RTD("tos.rtd",,"LAST","."&amp;O$2&amp;O$1&amp;"P"&amp;$A47))/1000000,0),IF($A$2="DEX",IFERROR((100*RTD("tos.rtd",,"OPEN_INT","."&amp;O$2&amp;O$1&amp;"C"&amp;$A47)*RTD("tos.rtd",,"DELTA","."&amp;O$2&amp;O$1&amp;"C"&amp;$A47)-100*RTD("tos.rtd",,"OPEN_INT","."&amp;O$2&amp;O$1&amp;"P"&amp;$A47)*RTD("tos.rtd",,"DELTA","."&amp;O$2&amp;O$1&amp;"P"&amp;$A47))/1000,0),IF($A$2="VEX",IFERROR(($A$4*$A$4*RTD("tos.rtd",,"VOLUME","."&amp;O$2&amp;O$1&amp;"C"&amp;$A47)*RTD("tos.rtd",,"GAMMA","."&amp;O$2&amp;O$1&amp;"C"&amp;$A47)-$A$4*$A$4*RTD("tos.rtd",,"VOLUME","."&amp;O$2&amp;O$1&amp;"P"&amp;$A47)*RTD("tos.rtd",,"GAMMA","."&amp;O$2&amp;O$1&amp;"P"&amp;$A47))/1000000,0),IF($A$2="GEX",IFERROR(($A$4*$A$4*RTD("tos.rtd",,"OPEN_INT","."&amp;O$2&amp;O$1&amp;"C"&amp;$A47)*RTD("tos.rtd",,"GAMMA","."&amp;O$2&amp;O$1&amp;"C"&amp;$A47)-$A$4*$A$4*RTD("tos.rtd",,"OPEN_INT","."&amp;O$2&amp;O$1&amp;"P"&amp;$A47)*RTD("tos.rtd",,"GAMMA","."&amp;O$2&amp;O$1&amp;"P"&amp;$A47))/1000000,0),IF($A$2="SKEW",IFERROR(VALUE(IF(RTD("tos.rtd",,"IMPL_VOL","."&amp;O$2&amp;O$1&amp;"P"&amp;$A47)="N/A",0,RTD("tos.rtd",,"IMPL_VOL","."&amp;O$2&amp;O$1&amp;"P"&amp;$A47))),0)-IFERROR(VALUE(IF(RTD("tos.rtd",,"IMPL_VOL","."&amp;O$2&amp;O$1&amp;"C"&amp;$A47)="N/A",0,RTD("tos.rtd",,"IMPL_VOL","."&amp;O$2&amp;O$1&amp;"C"&amp;$A47))),0),IF($A$2="MAXPAIN",IF($A$4&gt;$A47,($A$4-$A47)*IF(RTD("tos.rtd",,"OPEN_INT","."&amp;O$2&amp;O$1&amp;"C"&amp;$A47)="N/A",0,RTD("tos.rtd",,"OPEN_INT","."&amp;O$2&amp;O$1&amp;"C"&amp;$A47)),0)+IF($A$4&lt;$A47,($A47-$A$4)*IF(RTD("tos.rtd",,"OPEN_INT","."&amp;O$2&amp;O$1&amp;"P"&amp;$A47)="N/A",0,RTD("tos.rtd",,"OPEN_INT","."&amp;O$2&amp;O$1&amp;"P"&amp;$A47)),0),IF(RTD("tos.rtd",,$A$2,"."&amp;O$2&amp;O$1&amp;"C"&amp;$A47)="N/A",0,RTD("tos.rtd",,$A$2,"."&amp;O$2&amp;O$1&amp;"C"&amp;$A47))-IF(RTD("tos.rtd",,$A$2,"."&amp;O$2&amp;O$1&amp;"P"&amp;$A47)="N/A",0,RTD("tos.rtd",,$A$2,"."&amp;O$2&amp;O$1&amp;"P"&amp;$A47)))))))))</f>
        <v>0</v>
      </c>
      <c r="P47" s="12">
        <f>IF($A$2="PREMIUM_OI",IFERROR((100*RTD("tos.rtd",,"OPEN_INT","."&amp;P$2&amp;P$1&amp;"C"&amp;$A47)*RTD("tos.rtd",,"LAST","."&amp;P$2&amp;P$1&amp;"C"&amp;$A47)-100*RTD("tos.rtd",,"OPEN_INT","."&amp;P$2&amp;P$1&amp;"P"&amp;$A47)*RTD("tos.rtd",,"LAST","."&amp;P$2&amp;P$1&amp;"P"&amp;$A47))/1000000,0),IF($A$2="PREMIUM",IFERROR((100*RTD("tos.rtd",,"VOLUME","."&amp;P$2&amp;P$1&amp;"C"&amp;$A47)*RTD("tos.rtd",,"LAST","."&amp;P$2&amp;P$1&amp;"C"&amp;$A47)-100*RTD("tos.rtd",,"VOLUME","."&amp;P$2&amp;P$1&amp;"P"&amp;$A47)*RTD("tos.rtd",,"LAST","."&amp;P$2&amp;P$1&amp;"P"&amp;$A47))/1000000,0),IF($A$2="DEX",IFERROR((100*RTD("tos.rtd",,"OPEN_INT","."&amp;P$2&amp;P$1&amp;"C"&amp;$A47)*RTD("tos.rtd",,"DELTA","."&amp;P$2&amp;P$1&amp;"C"&amp;$A47)-100*RTD("tos.rtd",,"OPEN_INT","."&amp;P$2&amp;P$1&amp;"P"&amp;$A47)*RTD("tos.rtd",,"DELTA","."&amp;P$2&amp;P$1&amp;"P"&amp;$A47))/1000,0),IF($A$2="VEX",IFERROR(($A$4*$A$4*RTD("tos.rtd",,"VOLUME","."&amp;P$2&amp;P$1&amp;"C"&amp;$A47)*RTD("tos.rtd",,"GAMMA","."&amp;P$2&amp;P$1&amp;"C"&amp;$A47)-$A$4*$A$4*RTD("tos.rtd",,"VOLUME","."&amp;P$2&amp;P$1&amp;"P"&amp;$A47)*RTD("tos.rtd",,"GAMMA","."&amp;P$2&amp;P$1&amp;"P"&amp;$A47))/1000000,0),IF($A$2="GEX",IFERROR(($A$4*$A$4*RTD("tos.rtd",,"OPEN_INT","."&amp;P$2&amp;P$1&amp;"C"&amp;$A47)*RTD("tos.rtd",,"GAMMA","."&amp;P$2&amp;P$1&amp;"C"&amp;$A47)-$A$4*$A$4*RTD("tos.rtd",,"OPEN_INT","."&amp;P$2&amp;P$1&amp;"P"&amp;$A47)*RTD("tos.rtd",,"GAMMA","."&amp;P$2&amp;P$1&amp;"P"&amp;$A47))/1000000,0),IF($A$2="SKEW",IFERROR(VALUE(IF(RTD("tos.rtd",,"IMPL_VOL","."&amp;P$2&amp;P$1&amp;"P"&amp;$A47)="N/A",0,RTD("tos.rtd",,"IMPL_VOL","."&amp;P$2&amp;P$1&amp;"P"&amp;$A47))),0)-IFERROR(VALUE(IF(RTD("tos.rtd",,"IMPL_VOL","."&amp;P$2&amp;P$1&amp;"C"&amp;$A47)="N/A",0,RTD("tos.rtd",,"IMPL_VOL","."&amp;P$2&amp;P$1&amp;"C"&amp;$A47))),0),IF($A$2="MAXPAIN",IF($A$4&gt;$A47,($A$4-$A47)*IF(RTD("tos.rtd",,"OPEN_INT","."&amp;P$2&amp;P$1&amp;"C"&amp;$A47)="N/A",0,RTD("tos.rtd",,"OPEN_INT","."&amp;P$2&amp;P$1&amp;"C"&amp;$A47)),0)+IF($A$4&lt;$A47,($A47-$A$4)*IF(RTD("tos.rtd",,"OPEN_INT","."&amp;P$2&amp;P$1&amp;"P"&amp;$A47)="N/A",0,RTD("tos.rtd",,"OPEN_INT","."&amp;P$2&amp;P$1&amp;"P"&amp;$A47)),0),IF(RTD("tos.rtd",,$A$2,"."&amp;P$2&amp;P$1&amp;"C"&amp;$A47)="N/A",0,RTD("tos.rtd",,$A$2,"."&amp;P$2&amp;P$1&amp;"C"&amp;$A47))-IF(RTD("tos.rtd",,$A$2,"."&amp;P$2&amp;P$1&amp;"P"&amp;$A47)="N/A",0,RTD("tos.rtd",,$A$2,"."&amp;P$2&amp;P$1&amp;"P"&amp;$A47)))))))))</f>
        <v>0</v>
      </c>
      <c r="Q47" s="12">
        <f>IF($A$2="PREMIUM_OI",IFERROR((100*RTD("tos.rtd",,"OPEN_INT","."&amp;Q$2&amp;Q$1&amp;"C"&amp;$A47)*RTD("tos.rtd",,"LAST","."&amp;Q$2&amp;Q$1&amp;"C"&amp;$A47)-100*RTD("tos.rtd",,"OPEN_INT","."&amp;Q$2&amp;Q$1&amp;"P"&amp;$A47)*RTD("tos.rtd",,"LAST","."&amp;Q$2&amp;Q$1&amp;"P"&amp;$A47))/1000000,0),IF($A$2="PREMIUM",IFERROR((100*RTD("tos.rtd",,"VOLUME","."&amp;Q$2&amp;Q$1&amp;"C"&amp;$A47)*RTD("tos.rtd",,"LAST","."&amp;Q$2&amp;Q$1&amp;"C"&amp;$A47)-100*RTD("tos.rtd",,"VOLUME","."&amp;Q$2&amp;Q$1&amp;"P"&amp;$A47)*RTD("tos.rtd",,"LAST","."&amp;Q$2&amp;Q$1&amp;"P"&amp;$A47))/1000000,0),IF($A$2="DEX",IFERROR((100*RTD("tos.rtd",,"OPEN_INT","."&amp;Q$2&amp;Q$1&amp;"C"&amp;$A47)*RTD("tos.rtd",,"DELTA","."&amp;Q$2&amp;Q$1&amp;"C"&amp;$A47)-100*RTD("tos.rtd",,"OPEN_INT","."&amp;Q$2&amp;Q$1&amp;"P"&amp;$A47)*RTD("tos.rtd",,"DELTA","."&amp;Q$2&amp;Q$1&amp;"P"&amp;$A47))/1000,0),IF($A$2="VEX",IFERROR(($A$4*$A$4*RTD("tos.rtd",,"VOLUME","."&amp;Q$2&amp;Q$1&amp;"C"&amp;$A47)*RTD("tos.rtd",,"GAMMA","."&amp;Q$2&amp;Q$1&amp;"C"&amp;$A47)-$A$4*$A$4*RTD("tos.rtd",,"VOLUME","."&amp;Q$2&amp;Q$1&amp;"P"&amp;$A47)*RTD("tos.rtd",,"GAMMA","."&amp;Q$2&amp;Q$1&amp;"P"&amp;$A47))/1000000,0),IF($A$2="GEX",IFERROR(($A$4*$A$4*RTD("tos.rtd",,"OPEN_INT","."&amp;Q$2&amp;Q$1&amp;"C"&amp;$A47)*RTD("tos.rtd",,"GAMMA","."&amp;Q$2&amp;Q$1&amp;"C"&amp;$A47)-$A$4*$A$4*RTD("tos.rtd",,"OPEN_INT","."&amp;Q$2&amp;Q$1&amp;"P"&amp;$A47)*RTD("tos.rtd",,"GAMMA","."&amp;Q$2&amp;Q$1&amp;"P"&amp;$A47))/1000000,0),IF($A$2="SKEW",IFERROR(VALUE(IF(RTD("tos.rtd",,"IMPL_VOL","."&amp;Q$2&amp;Q$1&amp;"P"&amp;$A47)="N/A",0,RTD("tos.rtd",,"IMPL_VOL","."&amp;Q$2&amp;Q$1&amp;"P"&amp;$A47))),0)-IFERROR(VALUE(IF(RTD("tos.rtd",,"IMPL_VOL","."&amp;Q$2&amp;Q$1&amp;"C"&amp;$A47)="N/A",0,RTD("tos.rtd",,"IMPL_VOL","."&amp;Q$2&amp;Q$1&amp;"C"&amp;$A47))),0),IF($A$2="MAXPAIN",IF($A$4&gt;$A47,($A$4-$A47)*IF(RTD("tos.rtd",,"OPEN_INT","."&amp;Q$2&amp;Q$1&amp;"C"&amp;$A47)="N/A",0,RTD("tos.rtd",,"OPEN_INT","."&amp;Q$2&amp;Q$1&amp;"C"&amp;$A47)),0)+IF($A$4&lt;$A47,($A47-$A$4)*IF(RTD("tos.rtd",,"OPEN_INT","."&amp;Q$2&amp;Q$1&amp;"P"&amp;$A47)="N/A",0,RTD("tos.rtd",,"OPEN_INT","."&amp;Q$2&amp;Q$1&amp;"P"&amp;$A47)),0),IF(RTD("tos.rtd",,$A$2,"."&amp;Q$2&amp;Q$1&amp;"C"&amp;$A47)="N/A",0,RTD("tos.rtd",,$A$2,"."&amp;Q$2&amp;Q$1&amp;"C"&amp;$A47))-IF(RTD("tos.rtd",,$A$2,"."&amp;Q$2&amp;Q$1&amp;"P"&amp;$A47)="N/A",0,RTD("tos.rtd",,$A$2,"."&amp;Q$2&amp;Q$1&amp;"P"&amp;$A47)))))))))</f>
        <v>0</v>
      </c>
      <c r="R47" s="12">
        <f>IF($A$2="PREMIUM_OI",IFERROR((100*RTD("tos.rtd",,"OPEN_INT","."&amp;R$2&amp;R$1&amp;"C"&amp;$A47)*RTD("tos.rtd",,"LAST","."&amp;R$2&amp;R$1&amp;"C"&amp;$A47)-100*RTD("tos.rtd",,"OPEN_INT","."&amp;R$2&amp;R$1&amp;"P"&amp;$A47)*RTD("tos.rtd",,"LAST","."&amp;R$2&amp;R$1&amp;"P"&amp;$A47))/1000000,0),IF($A$2="PREMIUM",IFERROR((100*RTD("tos.rtd",,"VOLUME","."&amp;R$2&amp;R$1&amp;"C"&amp;$A47)*RTD("tos.rtd",,"LAST","."&amp;R$2&amp;R$1&amp;"C"&amp;$A47)-100*RTD("tos.rtd",,"VOLUME","."&amp;R$2&amp;R$1&amp;"P"&amp;$A47)*RTD("tos.rtd",,"LAST","."&amp;R$2&amp;R$1&amp;"P"&amp;$A47))/1000000,0),IF($A$2="DEX",IFERROR((100*RTD("tos.rtd",,"OPEN_INT","."&amp;R$2&amp;R$1&amp;"C"&amp;$A47)*RTD("tos.rtd",,"DELTA","."&amp;R$2&amp;R$1&amp;"C"&amp;$A47)-100*RTD("tos.rtd",,"OPEN_INT","."&amp;R$2&amp;R$1&amp;"P"&amp;$A47)*RTD("tos.rtd",,"DELTA","."&amp;R$2&amp;R$1&amp;"P"&amp;$A47))/1000,0),IF($A$2="VEX",IFERROR(($A$4*$A$4*RTD("tos.rtd",,"VOLUME","."&amp;R$2&amp;R$1&amp;"C"&amp;$A47)*RTD("tos.rtd",,"GAMMA","."&amp;R$2&amp;R$1&amp;"C"&amp;$A47)-$A$4*$A$4*RTD("tos.rtd",,"VOLUME","."&amp;R$2&amp;R$1&amp;"P"&amp;$A47)*RTD("tos.rtd",,"GAMMA","."&amp;R$2&amp;R$1&amp;"P"&amp;$A47))/1000000,0),IF($A$2="GEX",IFERROR(($A$4*$A$4*RTD("tos.rtd",,"OPEN_INT","."&amp;R$2&amp;R$1&amp;"C"&amp;$A47)*RTD("tos.rtd",,"GAMMA","."&amp;R$2&amp;R$1&amp;"C"&amp;$A47)-$A$4*$A$4*RTD("tos.rtd",,"OPEN_INT","."&amp;R$2&amp;R$1&amp;"P"&amp;$A47)*RTD("tos.rtd",,"GAMMA","."&amp;R$2&amp;R$1&amp;"P"&amp;$A47))/1000000,0),IF($A$2="SKEW",IFERROR(VALUE(IF(RTD("tos.rtd",,"IMPL_VOL","."&amp;R$2&amp;R$1&amp;"P"&amp;$A47)="N/A",0,RTD("tos.rtd",,"IMPL_VOL","."&amp;R$2&amp;R$1&amp;"P"&amp;$A47))),0)-IFERROR(VALUE(IF(RTD("tos.rtd",,"IMPL_VOL","."&amp;R$2&amp;R$1&amp;"C"&amp;$A47)="N/A",0,RTD("tos.rtd",,"IMPL_VOL","."&amp;R$2&amp;R$1&amp;"C"&amp;$A47))),0),IF($A$2="MAXPAIN",IF($A$4&gt;$A47,($A$4-$A47)*IF(RTD("tos.rtd",,"OPEN_INT","."&amp;R$2&amp;R$1&amp;"C"&amp;$A47)="N/A",0,RTD("tos.rtd",,"OPEN_INT","."&amp;R$2&amp;R$1&amp;"C"&amp;$A47)),0)+IF($A$4&lt;$A47,($A47-$A$4)*IF(RTD("tos.rtd",,"OPEN_INT","."&amp;R$2&amp;R$1&amp;"P"&amp;$A47)="N/A",0,RTD("tos.rtd",,"OPEN_INT","."&amp;R$2&amp;R$1&amp;"P"&amp;$A47)),0),IF(RTD("tos.rtd",,$A$2,"."&amp;R$2&amp;R$1&amp;"C"&amp;$A47)="N/A",0,RTD("tos.rtd",,$A$2,"."&amp;R$2&amp;R$1&amp;"C"&amp;$A47))-IF(RTD("tos.rtd",,$A$2,"."&amp;R$2&amp;R$1&amp;"P"&amp;$A47)="N/A",0,RTD("tos.rtd",,$A$2,"."&amp;R$2&amp;R$1&amp;"P"&amp;$A47)))))))))</f>
        <v>0</v>
      </c>
      <c r="S47" s="12">
        <f>IF($A$2="PREMIUM_OI",IFERROR((100*RTD("tos.rtd",,"OPEN_INT","."&amp;S$2&amp;S$1&amp;"C"&amp;$A47)*RTD("tos.rtd",,"LAST","."&amp;S$2&amp;S$1&amp;"C"&amp;$A47)-100*RTD("tos.rtd",,"OPEN_INT","."&amp;S$2&amp;S$1&amp;"P"&amp;$A47)*RTD("tos.rtd",,"LAST","."&amp;S$2&amp;S$1&amp;"P"&amp;$A47))/1000000,0),IF($A$2="PREMIUM",IFERROR((100*RTD("tos.rtd",,"VOLUME","."&amp;S$2&amp;S$1&amp;"C"&amp;$A47)*RTD("tos.rtd",,"LAST","."&amp;S$2&amp;S$1&amp;"C"&amp;$A47)-100*RTD("tos.rtd",,"VOLUME","."&amp;S$2&amp;S$1&amp;"P"&amp;$A47)*RTD("tos.rtd",,"LAST","."&amp;S$2&amp;S$1&amp;"P"&amp;$A47))/1000000,0),IF($A$2="DEX",IFERROR((100*RTD("tos.rtd",,"OPEN_INT","."&amp;S$2&amp;S$1&amp;"C"&amp;$A47)*RTD("tos.rtd",,"DELTA","."&amp;S$2&amp;S$1&amp;"C"&amp;$A47)-100*RTD("tos.rtd",,"OPEN_INT","."&amp;S$2&amp;S$1&amp;"P"&amp;$A47)*RTD("tos.rtd",,"DELTA","."&amp;S$2&amp;S$1&amp;"P"&amp;$A47))/1000,0),IF($A$2="VEX",IFERROR(($A$4*$A$4*RTD("tos.rtd",,"VOLUME","."&amp;S$2&amp;S$1&amp;"C"&amp;$A47)*RTD("tos.rtd",,"GAMMA","."&amp;S$2&amp;S$1&amp;"C"&amp;$A47)-$A$4*$A$4*RTD("tos.rtd",,"VOLUME","."&amp;S$2&amp;S$1&amp;"P"&amp;$A47)*RTD("tos.rtd",,"GAMMA","."&amp;S$2&amp;S$1&amp;"P"&amp;$A47))/1000000,0),IF($A$2="GEX",IFERROR(($A$4*$A$4*RTD("tos.rtd",,"OPEN_INT","."&amp;S$2&amp;S$1&amp;"C"&amp;$A47)*RTD("tos.rtd",,"GAMMA","."&amp;S$2&amp;S$1&amp;"C"&amp;$A47)-$A$4*$A$4*RTD("tos.rtd",,"OPEN_INT","."&amp;S$2&amp;S$1&amp;"P"&amp;$A47)*RTD("tos.rtd",,"GAMMA","."&amp;S$2&amp;S$1&amp;"P"&amp;$A47))/1000000,0),IF($A$2="SKEW",IFERROR(VALUE(IF(RTD("tos.rtd",,"IMPL_VOL","."&amp;S$2&amp;S$1&amp;"P"&amp;$A47)="N/A",0,RTD("tos.rtd",,"IMPL_VOL","."&amp;S$2&amp;S$1&amp;"P"&amp;$A47))),0)-IFERROR(VALUE(IF(RTD("tos.rtd",,"IMPL_VOL","."&amp;S$2&amp;S$1&amp;"C"&amp;$A47)="N/A",0,RTD("tos.rtd",,"IMPL_VOL","."&amp;S$2&amp;S$1&amp;"C"&amp;$A47))),0),IF($A$2="MAXPAIN",IF($A$4&gt;$A47,($A$4-$A47)*IF(RTD("tos.rtd",,"OPEN_INT","."&amp;S$2&amp;S$1&amp;"C"&amp;$A47)="N/A",0,RTD("tos.rtd",,"OPEN_INT","."&amp;S$2&amp;S$1&amp;"C"&amp;$A47)),0)+IF($A$4&lt;$A47,($A47-$A$4)*IF(RTD("tos.rtd",,"OPEN_INT","."&amp;S$2&amp;S$1&amp;"P"&amp;$A47)="N/A",0,RTD("tos.rtd",,"OPEN_INT","."&amp;S$2&amp;S$1&amp;"P"&amp;$A47)),0),IF(RTD("tos.rtd",,$A$2,"."&amp;S$2&amp;S$1&amp;"C"&amp;$A47)="N/A",0,RTD("tos.rtd",,$A$2,"."&amp;S$2&amp;S$1&amp;"C"&amp;$A47))-IF(RTD("tos.rtd",,$A$2,"."&amp;S$2&amp;S$1&amp;"P"&amp;$A47)="N/A",0,RTD("tos.rtd",,$A$2,"."&amp;S$2&amp;S$1&amp;"P"&amp;$A47)))))))))</f>
        <v>0</v>
      </c>
      <c r="T47" s="12">
        <f>IF($A$2="PREMIUM_OI",IFERROR((100*RTD("tos.rtd",,"OPEN_INT","."&amp;T$2&amp;T$1&amp;"C"&amp;$A47)*RTD("tos.rtd",,"LAST","."&amp;T$2&amp;T$1&amp;"C"&amp;$A47)-100*RTD("tos.rtd",,"OPEN_INT","."&amp;T$2&amp;T$1&amp;"P"&amp;$A47)*RTD("tos.rtd",,"LAST","."&amp;T$2&amp;T$1&amp;"P"&amp;$A47))/1000000,0),IF($A$2="PREMIUM",IFERROR((100*RTD("tos.rtd",,"VOLUME","."&amp;T$2&amp;T$1&amp;"C"&amp;$A47)*RTD("tos.rtd",,"LAST","."&amp;T$2&amp;T$1&amp;"C"&amp;$A47)-100*RTD("tos.rtd",,"VOLUME","."&amp;T$2&amp;T$1&amp;"P"&amp;$A47)*RTD("tos.rtd",,"LAST","."&amp;T$2&amp;T$1&amp;"P"&amp;$A47))/1000000,0),IF($A$2="DEX",IFERROR((100*RTD("tos.rtd",,"OPEN_INT","."&amp;T$2&amp;T$1&amp;"C"&amp;$A47)*RTD("tos.rtd",,"DELTA","."&amp;T$2&amp;T$1&amp;"C"&amp;$A47)-100*RTD("tos.rtd",,"OPEN_INT","."&amp;T$2&amp;T$1&amp;"P"&amp;$A47)*RTD("tos.rtd",,"DELTA","."&amp;T$2&amp;T$1&amp;"P"&amp;$A47))/1000,0),IF($A$2="VEX",IFERROR(($A$4*$A$4*RTD("tos.rtd",,"VOLUME","."&amp;T$2&amp;T$1&amp;"C"&amp;$A47)*RTD("tos.rtd",,"GAMMA","."&amp;T$2&amp;T$1&amp;"C"&amp;$A47)-$A$4*$A$4*RTD("tos.rtd",,"VOLUME","."&amp;T$2&amp;T$1&amp;"P"&amp;$A47)*RTD("tos.rtd",,"GAMMA","."&amp;T$2&amp;T$1&amp;"P"&amp;$A47))/1000000,0),IF($A$2="GEX",IFERROR(($A$4*$A$4*RTD("tos.rtd",,"OPEN_INT","."&amp;T$2&amp;T$1&amp;"C"&amp;$A47)*RTD("tos.rtd",,"GAMMA","."&amp;T$2&amp;T$1&amp;"C"&amp;$A47)-$A$4*$A$4*RTD("tos.rtd",,"OPEN_INT","."&amp;T$2&amp;T$1&amp;"P"&amp;$A47)*RTD("tos.rtd",,"GAMMA","."&amp;T$2&amp;T$1&amp;"P"&amp;$A47))/1000000,0),IF($A$2="SKEW",IFERROR(VALUE(IF(RTD("tos.rtd",,"IMPL_VOL","."&amp;T$2&amp;T$1&amp;"P"&amp;$A47)="N/A",0,RTD("tos.rtd",,"IMPL_VOL","."&amp;T$2&amp;T$1&amp;"P"&amp;$A47))),0)-IFERROR(VALUE(IF(RTD("tos.rtd",,"IMPL_VOL","."&amp;T$2&amp;T$1&amp;"C"&amp;$A47)="N/A",0,RTD("tos.rtd",,"IMPL_VOL","."&amp;T$2&amp;T$1&amp;"C"&amp;$A47))),0),IF($A$2="MAXPAIN",IF($A$4&gt;$A47,($A$4-$A47)*IF(RTD("tos.rtd",,"OPEN_INT","."&amp;T$2&amp;T$1&amp;"C"&amp;$A47)="N/A",0,RTD("tos.rtd",,"OPEN_INT","."&amp;T$2&amp;T$1&amp;"C"&amp;$A47)),0)+IF($A$4&lt;$A47,($A47-$A$4)*IF(RTD("tos.rtd",,"OPEN_INT","."&amp;T$2&amp;T$1&amp;"P"&amp;$A47)="N/A",0,RTD("tos.rtd",,"OPEN_INT","."&amp;T$2&amp;T$1&amp;"P"&amp;$A47)),0),IF(RTD("tos.rtd",,$A$2,"."&amp;T$2&amp;T$1&amp;"C"&amp;$A47)="N/A",0,RTD("tos.rtd",,$A$2,"."&amp;T$2&amp;T$1&amp;"C"&amp;$A47))-IF(RTD("tos.rtd",,$A$2,"."&amp;T$2&amp;T$1&amp;"P"&amp;$A47)="N/A",0,RTD("tos.rtd",,$A$2,"."&amp;T$2&amp;T$1&amp;"P"&amp;$A47)))))))))</f>
        <v>0</v>
      </c>
      <c r="U47" s="12">
        <f>IF($A$2="PREMIUM_OI",IFERROR((100*RTD("tos.rtd",,"OPEN_INT","."&amp;U$2&amp;U$1&amp;"C"&amp;$A47)*RTD("tos.rtd",,"LAST","."&amp;U$2&amp;U$1&amp;"C"&amp;$A47)-100*RTD("tos.rtd",,"OPEN_INT","."&amp;U$2&amp;U$1&amp;"P"&amp;$A47)*RTD("tos.rtd",,"LAST","."&amp;U$2&amp;U$1&amp;"P"&amp;$A47))/1000000,0),IF($A$2="PREMIUM",IFERROR((100*RTD("tos.rtd",,"VOLUME","."&amp;U$2&amp;U$1&amp;"C"&amp;$A47)*RTD("tos.rtd",,"LAST","."&amp;U$2&amp;U$1&amp;"C"&amp;$A47)-100*RTD("tos.rtd",,"VOLUME","."&amp;U$2&amp;U$1&amp;"P"&amp;$A47)*RTD("tos.rtd",,"LAST","."&amp;U$2&amp;U$1&amp;"P"&amp;$A47))/1000000,0),IF($A$2="DEX",IFERROR((100*RTD("tos.rtd",,"OPEN_INT","."&amp;U$2&amp;U$1&amp;"C"&amp;$A47)*RTD("tos.rtd",,"DELTA","."&amp;U$2&amp;U$1&amp;"C"&amp;$A47)-100*RTD("tos.rtd",,"OPEN_INT","."&amp;U$2&amp;U$1&amp;"P"&amp;$A47)*RTD("tos.rtd",,"DELTA","."&amp;U$2&amp;U$1&amp;"P"&amp;$A47))/1000,0),IF($A$2="VEX",IFERROR(($A$4*$A$4*RTD("tos.rtd",,"VOLUME","."&amp;U$2&amp;U$1&amp;"C"&amp;$A47)*RTD("tos.rtd",,"GAMMA","."&amp;U$2&amp;U$1&amp;"C"&amp;$A47)-$A$4*$A$4*RTD("tos.rtd",,"VOLUME","."&amp;U$2&amp;U$1&amp;"P"&amp;$A47)*RTD("tos.rtd",,"GAMMA","."&amp;U$2&amp;U$1&amp;"P"&amp;$A47))/1000000,0),IF($A$2="GEX",IFERROR(($A$4*$A$4*RTD("tos.rtd",,"OPEN_INT","."&amp;U$2&amp;U$1&amp;"C"&amp;$A47)*RTD("tos.rtd",,"GAMMA","."&amp;U$2&amp;U$1&amp;"C"&amp;$A47)-$A$4*$A$4*RTD("tos.rtd",,"OPEN_INT","."&amp;U$2&amp;U$1&amp;"P"&amp;$A47)*RTD("tos.rtd",,"GAMMA","."&amp;U$2&amp;U$1&amp;"P"&amp;$A47))/1000000,0),IF($A$2="SKEW",IFERROR(VALUE(IF(RTD("tos.rtd",,"IMPL_VOL","."&amp;U$2&amp;U$1&amp;"P"&amp;$A47)="N/A",0,RTD("tos.rtd",,"IMPL_VOL","."&amp;U$2&amp;U$1&amp;"P"&amp;$A47))),0)-IFERROR(VALUE(IF(RTD("tos.rtd",,"IMPL_VOL","."&amp;U$2&amp;U$1&amp;"C"&amp;$A47)="N/A",0,RTD("tos.rtd",,"IMPL_VOL","."&amp;U$2&amp;U$1&amp;"C"&amp;$A47))),0),IF($A$2="MAXPAIN",IF($A$4&gt;$A47,($A$4-$A47)*IF(RTD("tos.rtd",,"OPEN_INT","."&amp;U$2&amp;U$1&amp;"C"&amp;$A47)="N/A",0,RTD("tos.rtd",,"OPEN_INT","."&amp;U$2&amp;U$1&amp;"C"&amp;$A47)),0)+IF($A$4&lt;$A47,($A47-$A$4)*IF(RTD("tos.rtd",,"OPEN_INT","."&amp;U$2&amp;U$1&amp;"P"&amp;$A47)="N/A",0,RTD("tos.rtd",,"OPEN_INT","."&amp;U$2&amp;U$1&amp;"P"&amp;$A47)),0),IF(RTD("tos.rtd",,$A$2,"."&amp;U$2&amp;U$1&amp;"C"&amp;$A47)="N/A",0,RTD("tos.rtd",,$A$2,"."&amp;U$2&amp;U$1&amp;"C"&amp;$A47))-IF(RTD("tos.rtd",,$A$2,"."&amp;U$2&amp;U$1&amp;"P"&amp;$A47)="N/A",0,RTD("tos.rtd",,$A$2,"."&amp;U$2&amp;U$1&amp;"P"&amp;$A47)))))))))</f>
        <v>0</v>
      </c>
      <c r="V47" s="12">
        <f>IF($A$2="PREMIUM_OI",IFERROR((100*RTD("tos.rtd",,"OPEN_INT","."&amp;V$2&amp;V$1&amp;"C"&amp;$A47)*RTD("tos.rtd",,"LAST","."&amp;V$2&amp;V$1&amp;"C"&amp;$A47)-100*RTD("tos.rtd",,"OPEN_INT","."&amp;V$2&amp;V$1&amp;"P"&amp;$A47)*RTD("tos.rtd",,"LAST","."&amp;V$2&amp;V$1&amp;"P"&amp;$A47))/1000000,0),IF($A$2="PREMIUM",IFERROR((100*RTD("tos.rtd",,"VOLUME","."&amp;V$2&amp;V$1&amp;"C"&amp;$A47)*RTD("tos.rtd",,"LAST","."&amp;V$2&amp;V$1&amp;"C"&amp;$A47)-100*RTD("tos.rtd",,"VOLUME","."&amp;V$2&amp;V$1&amp;"P"&amp;$A47)*RTD("tos.rtd",,"LAST","."&amp;V$2&amp;V$1&amp;"P"&amp;$A47))/1000000,0),IF($A$2="DEX",IFERROR((100*RTD("tos.rtd",,"OPEN_INT","."&amp;V$2&amp;V$1&amp;"C"&amp;$A47)*RTD("tos.rtd",,"DELTA","."&amp;V$2&amp;V$1&amp;"C"&amp;$A47)-100*RTD("tos.rtd",,"OPEN_INT","."&amp;V$2&amp;V$1&amp;"P"&amp;$A47)*RTD("tos.rtd",,"DELTA","."&amp;V$2&amp;V$1&amp;"P"&amp;$A47))/1000,0),IF($A$2="VEX",IFERROR(($A$4*$A$4*RTD("tos.rtd",,"VOLUME","."&amp;V$2&amp;V$1&amp;"C"&amp;$A47)*RTD("tos.rtd",,"GAMMA","."&amp;V$2&amp;V$1&amp;"C"&amp;$A47)-$A$4*$A$4*RTD("tos.rtd",,"VOLUME","."&amp;V$2&amp;V$1&amp;"P"&amp;$A47)*RTD("tos.rtd",,"GAMMA","."&amp;V$2&amp;V$1&amp;"P"&amp;$A47))/1000000,0),IF($A$2="GEX",IFERROR(($A$4*$A$4*RTD("tos.rtd",,"OPEN_INT","."&amp;V$2&amp;V$1&amp;"C"&amp;$A47)*RTD("tos.rtd",,"GAMMA","."&amp;V$2&amp;V$1&amp;"C"&amp;$A47)-$A$4*$A$4*RTD("tos.rtd",,"OPEN_INT","."&amp;V$2&amp;V$1&amp;"P"&amp;$A47)*RTD("tos.rtd",,"GAMMA","."&amp;V$2&amp;V$1&amp;"P"&amp;$A47))/1000000,0),IF($A$2="SKEW",IFERROR(VALUE(IF(RTD("tos.rtd",,"IMPL_VOL","."&amp;V$2&amp;V$1&amp;"P"&amp;$A47)="N/A",0,RTD("tos.rtd",,"IMPL_VOL","."&amp;V$2&amp;V$1&amp;"P"&amp;$A47))),0)-IFERROR(VALUE(IF(RTD("tos.rtd",,"IMPL_VOL","."&amp;V$2&amp;V$1&amp;"C"&amp;$A47)="N/A",0,RTD("tos.rtd",,"IMPL_VOL","."&amp;V$2&amp;V$1&amp;"C"&amp;$A47))),0),IF($A$2="MAXPAIN",IF($A$4&gt;$A47,($A$4-$A47)*IF(RTD("tos.rtd",,"OPEN_INT","."&amp;V$2&amp;V$1&amp;"C"&amp;$A47)="N/A",0,RTD("tos.rtd",,"OPEN_INT","."&amp;V$2&amp;V$1&amp;"C"&amp;$A47)),0)+IF($A$4&lt;$A47,($A47-$A$4)*IF(RTD("tos.rtd",,"OPEN_INT","."&amp;V$2&amp;V$1&amp;"P"&amp;$A47)="N/A",0,RTD("tos.rtd",,"OPEN_INT","."&amp;V$2&amp;V$1&amp;"P"&amp;$A47)),0),IF(RTD("tos.rtd",,$A$2,"."&amp;V$2&amp;V$1&amp;"C"&amp;$A47)="N/A",0,RTD("tos.rtd",,$A$2,"."&amp;V$2&amp;V$1&amp;"C"&amp;$A47))-IF(RTD("tos.rtd",,$A$2,"."&amp;V$2&amp;V$1&amp;"P"&amp;$A47)="N/A",0,RTD("tos.rtd",,$A$2,"."&amp;V$2&amp;V$1&amp;"P"&amp;$A47)))))))))</f>
        <v>0</v>
      </c>
      <c r="W47" s="12">
        <f>IF($A$2="PREMIUM_OI",IFERROR((100*RTD("tos.rtd",,"OPEN_INT","."&amp;W$2&amp;W$1&amp;"C"&amp;$A47)*RTD("tos.rtd",,"LAST","."&amp;W$2&amp;W$1&amp;"C"&amp;$A47)-100*RTD("tos.rtd",,"OPEN_INT","."&amp;W$2&amp;W$1&amp;"P"&amp;$A47)*RTD("tos.rtd",,"LAST","."&amp;W$2&amp;W$1&amp;"P"&amp;$A47))/1000000,0),IF($A$2="PREMIUM",IFERROR((100*RTD("tos.rtd",,"VOLUME","."&amp;W$2&amp;W$1&amp;"C"&amp;$A47)*RTD("tos.rtd",,"LAST","."&amp;W$2&amp;W$1&amp;"C"&amp;$A47)-100*RTD("tos.rtd",,"VOLUME","."&amp;W$2&amp;W$1&amp;"P"&amp;$A47)*RTD("tos.rtd",,"LAST","."&amp;W$2&amp;W$1&amp;"P"&amp;$A47))/1000000,0),IF($A$2="DEX",IFERROR((100*RTD("tos.rtd",,"OPEN_INT","."&amp;W$2&amp;W$1&amp;"C"&amp;$A47)*RTD("tos.rtd",,"DELTA","."&amp;W$2&amp;W$1&amp;"C"&amp;$A47)-100*RTD("tos.rtd",,"OPEN_INT","."&amp;W$2&amp;W$1&amp;"P"&amp;$A47)*RTD("tos.rtd",,"DELTA","."&amp;W$2&amp;W$1&amp;"P"&amp;$A47))/1000,0),IF($A$2="VEX",IFERROR(($A$4*$A$4*RTD("tos.rtd",,"VOLUME","."&amp;W$2&amp;W$1&amp;"C"&amp;$A47)*RTD("tos.rtd",,"GAMMA","."&amp;W$2&amp;W$1&amp;"C"&amp;$A47)-$A$4*$A$4*RTD("tos.rtd",,"VOLUME","."&amp;W$2&amp;W$1&amp;"P"&amp;$A47)*RTD("tos.rtd",,"GAMMA","."&amp;W$2&amp;W$1&amp;"P"&amp;$A47))/1000000,0),IF($A$2="GEX",IFERROR(($A$4*$A$4*RTD("tos.rtd",,"OPEN_INT","."&amp;W$2&amp;W$1&amp;"C"&amp;$A47)*RTD("tos.rtd",,"GAMMA","."&amp;W$2&amp;W$1&amp;"C"&amp;$A47)-$A$4*$A$4*RTD("tos.rtd",,"OPEN_INT","."&amp;W$2&amp;W$1&amp;"P"&amp;$A47)*RTD("tos.rtd",,"GAMMA","."&amp;W$2&amp;W$1&amp;"P"&amp;$A47))/1000000,0),IF($A$2="SKEW",IFERROR(VALUE(IF(RTD("tos.rtd",,"IMPL_VOL","."&amp;W$2&amp;W$1&amp;"P"&amp;$A47)="N/A",0,RTD("tos.rtd",,"IMPL_VOL","."&amp;W$2&amp;W$1&amp;"P"&amp;$A47))),0)-IFERROR(VALUE(IF(RTD("tos.rtd",,"IMPL_VOL","."&amp;W$2&amp;W$1&amp;"C"&amp;$A47)="N/A",0,RTD("tos.rtd",,"IMPL_VOL","."&amp;W$2&amp;W$1&amp;"C"&amp;$A47))),0),IF($A$2="MAXPAIN",IF($A$4&gt;$A47,($A$4-$A47)*IF(RTD("tos.rtd",,"OPEN_INT","."&amp;W$2&amp;W$1&amp;"C"&amp;$A47)="N/A",0,RTD("tos.rtd",,"OPEN_INT","."&amp;W$2&amp;W$1&amp;"C"&amp;$A47)),0)+IF($A$4&lt;$A47,($A47-$A$4)*IF(RTD("tos.rtd",,"OPEN_INT","."&amp;W$2&amp;W$1&amp;"P"&amp;$A47)="N/A",0,RTD("tos.rtd",,"OPEN_INT","."&amp;W$2&amp;W$1&amp;"P"&amp;$A47)),0),IF(RTD("tos.rtd",,$A$2,"."&amp;W$2&amp;W$1&amp;"C"&amp;$A47)="N/A",0,RTD("tos.rtd",,$A$2,"."&amp;W$2&amp;W$1&amp;"C"&amp;$A47))-IF(RTD("tos.rtd",,$A$2,"."&amp;W$2&amp;W$1&amp;"P"&amp;$A47)="N/A",0,RTD("tos.rtd",,$A$2,"."&amp;W$2&amp;W$1&amp;"P"&amp;$A47)))))))))</f>
        <v>0</v>
      </c>
      <c r="X47" s="12">
        <f t="shared" ca="1" si="7"/>
        <v>0</v>
      </c>
      <c r="Y47" s="27">
        <f t="shared" ca="1" si="8"/>
        <v>0</v>
      </c>
      <c r="AA47" s="35">
        <f>+IF($AJ$1,AJ47,TASTYOHLC!A47)</f>
        <v>0</v>
      </c>
      <c r="AB47" s="8">
        <f>+IF($AJ$1,AK47,TASTYOHLC!B47)</f>
        <v>0</v>
      </c>
      <c r="AC47" s="8">
        <f>+IF($AJ$1,AL47,TASTYOHLC!C47)</f>
        <v>0</v>
      </c>
      <c r="AD47" s="8">
        <f>+IF($AJ$1,AM47,TASTYOHLC!D47)</f>
        <v>0</v>
      </c>
      <c r="AE47" s="8">
        <f>+IF($AJ$1,AN47,TASTYOHLC!E47)</f>
        <v>0</v>
      </c>
      <c r="AF47" s="8"/>
      <c r="AJ47" s="37"/>
    </row>
    <row r="48" spans="1:36" s="19" customFormat="1" ht="11.1" customHeight="1" thickBot="1" x14ac:dyDescent="0.3">
      <c r="A48" s="23">
        <f t="shared" si="13"/>
        <v>-2</v>
      </c>
      <c r="B48" s="14">
        <f>IF($A$2="PREMIUM_OI",IFERROR((100*RTD("tos.rtd",,"OPEN_INT","."&amp;B$2&amp;B$1&amp;"C"&amp;$A48)*RTD("tos.rtd",,"LAST","."&amp;B$2&amp;B$1&amp;"C"&amp;$A48)-100*RTD("tos.rtd",,"OPEN_INT","."&amp;B$2&amp;B$1&amp;"P"&amp;$A48)*RTD("tos.rtd",,"LAST","."&amp;B$2&amp;B$1&amp;"P"&amp;$A48))/1000000,0),IF($A$2="PREMIUM",IFERROR((100*RTD("tos.rtd",,"VOLUME","."&amp;B$2&amp;B$1&amp;"C"&amp;$A48)*RTD("tos.rtd",,"LAST","."&amp;B$2&amp;B$1&amp;"C"&amp;$A48)-100*RTD("tos.rtd",,"VOLUME","."&amp;B$2&amp;B$1&amp;"P"&amp;$A48)*RTD("tos.rtd",,"LAST","."&amp;B$2&amp;B$1&amp;"P"&amp;$A48))/1000000,0),IF($A$2="DEX",IFERROR((100*RTD("tos.rtd",,"OPEN_INT","."&amp;B$2&amp;B$1&amp;"C"&amp;$A48)*RTD("tos.rtd",,"DELTA","."&amp;B$2&amp;B$1&amp;"C"&amp;$A48)-100*RTD("tos.rtd",,"OPEN_INT","."&amp;B$2&amp;B$1&amp;"P"&amp;$A48)*RTD("tos.rtd",,"DELTA","."&amp;B$2&amp;B$1&amp;"P"&amp;$A48))/1000,0),IF($A$2="VEX",IFERROR(($A$4*$A$4*RTD("tos.rtd",,"VOLUME","."&amp;B$2&amp;B$1&amp;"C"&amp;$A48)*RTD("tos.rtd",,"GAMMA","."&amp;B$2&amp;B$1&amp;"C"&amp;$A48)-$A$4*$A$4*RTD("tos.rtd",,"VOLUME","."&amp;B$2&amp;B$1&amp;"P"&amp;$A48)*RTD("tos.rtd",,"GAMMA","."&amp;B$2&amp;B$1&amp;"P"&amp;$A48))/1000000,0),IF($A$2="GEX",IFERROR(($A$4*$A$4*RTD("tos.rtd",,"OPEN_INT","."&amp;B$2&amp;B$1&amp;"C"&amp;$A48)*RTD("tos.rtd",,"GAMMA","."&amp;B$2&amp;B$1&amp;"C"&amp;$A48)-$A$4*$A$4*RTD("tos.rtd",,"OPEN_INT","."&amp;B$2&amp;B$1&amp;"P"&amp;$A48)*RTD("tos.rtd",,"GAMMA","."&amp;B$2&amp;B$1&amp;"P"&amp;$A48))/1000000,0),IF($A$2="SKEW",IFERROR(VALUE(IF(RTD("tos.rtd",,"IMPL_VOL","."&amp;B$2&amp;B$1&amp;"P"&amp;$A48)="N/A",0,RTD("tos.rtd",,"IMPL_VOL","."&amp;B$2&amp;B$1&amp;"P"&amp;$A48))),0)-IFERROR(VALUE(IF(RTD("tos.rtd",,"IMPL_VOL","."&amp;B$2&amp;B$1&amp;"C"&amp;$A48)="N/A",0,RTD("tos.rtd",,"IMPL_VOL","."&amp;B$2&amp;B$1&amp;"C"&amp;$A48))),0),IF($A$2="MAXPAIN",IF($A$4&gt;$A48,($A$4-$A48)*IF(RTD("tos.rtd",,"OPEN_INT","."&amp;B$2&amp;B$1&amp;"C"&amp;$A48)="N/A",0,RTD("tos.rtd",,"OPEN_INT","."&amp;B$2&amp;B$1&amp;"C"&amp;$A48)),0)+IF($A$4&lt;$A48,($A48-$A$4)*IF(RTD("tos.rtd",,"OPEN_INT","."&amp;B$2&amp;B$1&amp;"P"&amp;$A48)="N/A",0,RTD("tos.rtd",,"OPEN_INT","."&amp;B$2&amp;B$1&amp;"P"&amp;$A48)),0),IF(RTD("tos.rtd",,$A$2,"."&amp;B$2&amp;B$1&amp;"C"&amp;$A48)="N/A",0,RTD("tos.rtd",,$A$2,"."&amp;B$2&amp;B$1&amp;"C"&amp;$A48))-IF(RTD("tos.rtd",,$A$2,"."&amp;B$2&amp;B$1&amp;"P"&amp;$A48)="N/A",0,RTD("tos.rtd",,$A$2,"."&amp;B$2&amp;B$1&amp;"P"&amp;$A48)))))))))</f>
        <v>0</v>
      </c>
      <c r="C48" s="12">
        <f>IF($A$2="PREMIUM_OI",IFERROR((100*RTD("tos.rtd",,"OPEN_INT","."&amp;C$2&amp;C$1&amp;"C"&amp;$A48)*RTD("tos.rtd",,"LAST","."&amp;C$2&amp;C$1&amp;"C"&amp;$A48)-100*RTD("tos.rtd",,"OPEN_INT","."&amp;C$2&amp;C$1&amp;"P"&amp;$A48)*RTD("tos.rtd",,"LAST","."&amp;C$2&amp;C$1&amp;"P"&amp;$A48))/1000000,0),IF($A$2="PREMIUM",IFERROR((100*RTD("tos.rtd",,"VOLUME","."&amp;C$2&amp;C$1&amp;"C"&amp;$A48)*RTD("tos.rtd",,"LAST","."&amp;C$2&amp;C$1&amp;"C"&amp;$A48)-100*RTD("tos.rtd",,"VOLUME","."&amp;C$2&amp;C$1&amp;"P"&amp;$A48)*RTD("tos.rtd",,"LAST","."&amp;C$2&amp;C$1&amp;"P"&amp;$A48))/1000000,0),IF($A$2="DEX",IFERROR((100*RTD("tos.rtd",,"OPEN_INT","."&amp;C$2&amp;C$1&amp;"C"&amp;$A48)*RTD("tos.rtd",,"DELTA","."&amp;C$2&amp;C$1&amp;"C"&amp;$A48)-100*RTD("tos.rtd",,"OPEN_INT","."&amp;C$2&amp;C$1&amp;"P"&amp;$A48)*RTD("tos.rtd",,"DELTA","."&amp;C$2&amp;C$1&amp;"P"&amp;$A48))/1000,0),IF($A$2="VEX",IFERROR(($A$4*$A$4*RTD("tos.rtd",,"VOLUME","."&amp;C$2&amp;C$1&amp;"C"&amp;$A48)*RTD("tos.rtd",,"GAMMA","."&amp;C$2&amp;C$1&amp;"C"&amp;$A48)-$A$4*$A$4*RTD("tos.rtd",,"VOLUME","."&amp;C$2&amp;C$1&amp;"P"&amp;$A48)*RTD("tos.rtd",,"GAMMA","."&amp;C$2&amp;C$1&amp;"P"&amp;$A48))/1000000,0),IF($A$2="GEX",IFERROR(($A$4*$A$4*RTD("tos.rtd",,"OPEN_INT","."&amp;C$2&amp;C$1&amp;"C"&amp;$A48)*RTD("tos.rtd",,"GAMMA","."&amp;C$2&amp;C$1&amp;"C"&amp;$A48)-$A$4*$A$4*RTD("tos.rtd",,"OPEN_INT","."&amp;C$2&amp;C$1&amp;"P"&amp;$A48)*RTD("tos.rtd",,"GAMMA","."&amp;C$2&amp;C$1&amp;"P"&amp;$A48))/1000000,0),IF($A$2="SKEW",IFERROR(VALUE(IF(RTD("tos.rtd",,"IMPL_VOL","."&amp;C$2&amp;C$1&amp;"P"&amp;$A48)="N/A",0,RTD("tos.rtd",,"IMPL_VOL","."&amp;C$2&amp;C$1&amp;"P"&amp;$A48))),0)-IFERROR(VALUE(IF(RTD("tos.rtd",,"IMPL_VOL","."&amp;C$2&amp;C$1&amp;"C"&amp;$A48)="N/A",0,RTD("tos.rtd",,"IMPL_VOL","."&amp;C$2&amp;C$1&amp;"C"&amp;$A48))),0),IF($A$2="MAXPAIN",IF($A$4&gt;$A48,($A$4-$A48)*IF(RTD("tos.rtd",,"OPEN_INT","."&amp;C$2&amp;C$1&amp;"C"&amp;$A48)="N/A",0,RTD("tos.rtd",,"OPEN_INT","."&amp;C$2&amp;C$1&amp;"C"&amp;$A48)),0)+IF($A$4&lt;$A48,($A48-$A$4)*IF(RTD("tos.rtd",,"OPEN_INT","."&amp;C$2&amp;C$1&amp;"P"&amp;$A48)="N/A",0,RTD("tos.rtd",,"OPEN_INT","."&amp;C$2&amp;C$1&amp;"P"&amp;$A48)),0),IF(RTD("tos.rtd",,$A$2,"."&amp;C$2&amp;C$1&amp;"C"&amp;$A48)="N/A",0,RTD("tos.rtd",,$A$2,"."&amp;C$2&amp;C$1&amp;"C"&amp;$A48))-IF(RTD("tos.rtd",,$A$2,"."&amp;C$2&amp;C$1&amp;"P"&amp;$A48)="N/A",0,RTD("tos.rtd",,$A$2,"."&amp;C$2&amp;C$1&amp;"P"&amp;$A48)))))))))</f>
        <v>0</v>
      </c>
      <c r="D48" s="12">
        <f>IF($A$2="PREMIUM_OI",IFERROR((100*RTD("tos.rtd",,"OPEN_INT","."&amp;D$2&amp;D$1&amp;"C"&amp;$A48)*RTD("tos.rtd",,"LAST","."&amp;D$2&amp;D$1&amp;"C"&amp;$A48)-100*RTD("tos.rtd",,"OPEN_INT","."&amp;D$2&amp;D$1&amp;"P"&amp;$A48)*RTD("tos.rtd",,"LAST","."&amp;D$2&amp;D$1&amp;"P"&amp;$A48))/1000000,0),IF($A$2="PREMIUM",IFERROR((100*RTD("tos.rtd",,"VOLUME","."&amp;D$2&amp;D$1&amp;"C"&amp;$A48)*RTD("tos.rtd",,"LAST","."&amp;D$2&amp;D$1&amp;"C"&amp;$A48)-100*RTD("tos.rtd",,"VOLUME","."&amp;D$2&amp;D$1&amp;"P"&amp;$A48)*RTD("tos.rtd",,"LAST","."&amp;D$2&amp;D$1&amp;"P"&amp;$A48))/1000000,0),IF($A$2="DEX",IFERROR((100*RTD("tos.rtd",,"OPEN_INT","."&amp;D$2&amp;D$1&amp;"C"&amp;$A48)*RTD("tos.rtd",,"DELTA","."&amp;D$2&amp;D$1&amp;"C"&amp;$A48)-100*RTD("tos.rtd",,"OPEN_INT","."&amp;D$2&amp;D$1&amp;"P"&amp;$A48)*RTD("tos.rtd",,"DELTA","."&amp;D$2&amp;D$1&amp;"P"&amp;$A48))/1000,0),IF($A$2="VEX",IFERROR(($A$4*$A$4*RTD("tos.rtd",,"VOLUME","."&amp;D$2&amp;D$1&amp;"C"&amp;$A48)*RTD("tos.rtd",,"GAMMA","."&amp;D$2&amp;D$1&amp;"C"&amp;$A48)-$A$4*$A$4*RTD("tos.rtd",,"VOLUME","."&amp;D$2&amp;D$1&amp;"P"&amp;$A48)*RTD("tos.rtd",,"GAMMA","."&amp;D$2&amp;D$1&amp;"P"&amp;$A48))/1000000,0),IF($A$2="GEX",IFERROR(($A$4*$A$4*RTD("tos.rtd",,"OPEN_INT","."&amp;D$2&amp;D$1&amp;"C"&amp;$A48)*RTD("tos.rtd",,"GAMMA","."&amp;D$2&amp;D$1&amp;"C"&amp;$A48)-$A$4*$A$4*RTD("tos.rtd",,"OPEN_INT","."&amp;D$2&amp;D$1&amp;"P"&amp;$A48)*RTD("tos.rtd",,"GAMMA","."&amp;D$2&amp;D$1&amp;"P"&amp;$A48))/1000000,0),IF($A$2="SKEW",IFERROR(VALUE(IF(RTD("tos.rtd",,"IMPL_VOL","."&amp;D$2&amp;D$1&amp;"P"&amp;$A48)="N/A",0,RTD("tos.rtd",,"IMPL_VOL","."&amp;D$2&amp;D$1&amp;"P"&amp;$A48))),0)-IFERROR(VALUE(IF(RTD("tos.rtd",,"IMPL_VOL","."&amp;D$2&amp;D$1&amp;"C"&amp;$A48)="N/A",0,RTD("tos.rtd",,"IMPL_VOL","."&amp;D$2&amp;D$1&amp;"C"&amp;$A48))),0),IF($A$2="MAXPAIN",IF($A$4&gt;$A48,($A$4-$A48)*IF(RTD("tos.rtd",,"OPEN_INT","."&amp;D$2&amp;D$1&amp;"C"&amp;$A48)="N/A",0,RTD("tos.rtd",,"OPEN_INT","."&amp;D$2&amp;D$1&amp;"C"&amp;$A48)),0)+IF($A$4&lt;$A48,($A48-$A$4)*IF(RTD("tos.rtd",,"OPEN_INT","."&amp;D$2&amp;D$1&amp;"P"&amp;$A48)="N/A",0,RTD("tos.rtd",,"OPEN_INT","."&amp;D$2&amp;D$1&amp;"P"&amp;$A48)),0),IF(RTD("tos.rtd",,$A$2,"."&amp;D$2&amp;D$1&amp;"C"&amp;$A48)="N/A",0,RTD("tos.rtd",,$A$2,"."&amp;D$2&amp;D$1&amp;"C"&amp;$A48))-IF(RTD("tos.rtd",,$A$2,"."&amp;D$2&amp;D$1&amp;"P"&amp;$A48)="N/A",0,RTD("tos.rtd",,$A$2,"."&amp;D$2&amp;D$1&amp;"P"&amp;$A48)))))))))</f>
        <v>0</v>
      </c>
      <c r="E48" s="12">
        <f>IF($A$2="PREMIUM_OI",IFERROR((100*RTD("tos.rtd",,"OPEN_INT","."&amp;E$2&amp;E$1&amp;"C"&amp;$A48)*RTD("tos.rtd",,"LAST","."&amp;E$2&amp;E$1&amp;"C"&amp;$A48)-100*RTD("tos.rtd",,"OPEN_INT","."&amp;E$2&amp;E$1&amp;"P"&amp;$A48)*RTD("tos.rtd",,"LAST","."&amp;E$2&amp;E$1&amp;"P"&amp;$A48))/1000000,0),IF($A$2="PREMIUM",IFERROR((100*RTD("tos.rtd",,"VOLUME","."&amp;E$2&amp;E$1&amp;"C"&amp;$A48)*RTD("tos.rtd",,"LAST","."&amp;E$2&amp;E$1&amp;"C"&amp;$A48)-100*RTD("tos.rtd",,"VOLUME","."&amp;E$2&amp;E$1&amp;"P"&amp;$A48)*RTD("tos.rtd",,"LAST","."&amp;E$2&amp;E$1&amp;"P"&amp;$A48))/1000000,0),IF($A$2="DEX",IFERROR((100*RTD("tos.rtd",,"OPEN_INT","."&amp;E$2&amp;E$1&amp;"C"&amp;$A48)*RTD("tos.rtd",,"DELTA","."&amp;E$2&amp;E$1&amp;"C"&amp;$A48)-100*RTD("tos.rtd",,"OPEN_INT","."&amp;E$2&amp;E$1&amp;"P"&amp;$A48)*RTD("tos.rtd",,"DELTA","."&amp;E$2&amp;E$1&amp;"P"&amp;$A48))/1000,0),IF($A$2="VEX",IFERROR(($A$4*$A$4*RTD("tos.rtd",,"VOLUME","."&amp;E$2&amp;E$1&amp;"C"&amp;$A48)*RTD("tos.rtd",,"GAMMA","."&amp;E$2&amp;E$1&amp;"C"&amp;$A48)-$A$4*$A$4*RTD("tos.rtd",,"VOLUME","."&amp;E$2&amp;E$1&amp;"P"&amp;$A48)*RTD("tos.rtd",,"GAMMA","."&amp;E$2&amp;E$1&amp;"P"&amp;$A48))/1000000,0),IF($A$2="GEX",IFERROR(($A$4*$A$4*RTD("tos.rtd",,"OPEN_INT","."&amp;E$2&amp;E$1&amp;"C"&amp;$A48)*RTD("tos.rtd",,"GAMMA","."&amp;E$2&amp;E$1&amp;"C"&amp;$A48)-$A$4*$A$4*RTD("tos.rtd",,"OPEN_INT","."&amp;E$2&amp;E$1&amp;"P"&amp;$A48)*RTD("tos.rtd",,"GAMMA","."&amp;E$2&amp;E$1&amp;"P"&amp;$A48))/1000000,0),IF($A$2="SKEW",IFERROR(VALUE(IF(RTD("tos.rtd",,"IMPL_VOL","."&amp;E$2&amp;E$1&amp;"P"&amp;$A48)="N/A",0,RTD("tos.rtd",,"IMPL_VOL","."&amp;E$2&amp;E$1&amp;"P"&amp;$A48))),0)-IFERROR(VALUE(IF(RTD("tos.rtd",,"IMPL_VOL","."&amp;E$2&amp;E$1&amp;"C"&amp;$A48)="N/A",0,RTD("tos.rtd",,"IMPL_VOL","."&amp;E$2&amp;E$1&amp;"C"&amp;$A48))),0),IF($A$2="MAXPAIN",IF($A$4&gt;$A48,($A$4-$A48)*IF(RTD("tos.rtd",,"OPEN_INT","."&amp;E$2&amp;E$1&amp;"C"&amp;$A48)="N/A",0,RTD("tos.rtd",,"OPEN_INT","."&amp;E$2&amp;E$1&amp;"C"&amp;$A48)),0)+IF($A$4&lt;$A48,($A48-$A$4)*IF(RTD("tos.rtd",,"OPEN_INT","."&amp;E$2&amp;E$1&amp;"P"&amp;$A48)="N/A",0,RTD("tos.rtd",,"OPEN_INT","."&amp;E$2&amp;E$1&amp;"P"&amp;$A48)),0),IF(RTD("tos.rtd",,$A$2,"."&amp;E$2&amp;E$1&amp;"C"&amp;$A48)="N/A",0,RTD("tos.rtd",,$A$2,"."&amp;E$2&amp;E$1&amp;"C"&amp;$A48))-IF(RTD("tos.rtd",,$A$2,"."&amp;E$2&amp;E$1&amp;"P"&amp;$A48)="N/A",0,RTD("tos.rtd",,$A$2,"."&amp;E$2&amp;E$1&amp;"P"&amp;$A48)))))))))</f>
        <v>0</v>
      </c>
      <c r="F48" s="12">
        <f>IF($A$2="PREMIUM_OI",IFERROR((100*RTD("tos.rtd",,"OPEN_INT","."&amp;F$2&amp;F$1&amp;"C"&amp;$A48)*RTD("tos.rtd",,"LAST","."&amp;F$2&amp;F$1&amp;"C"&amp;$A48)-100*RTD("tos.rtd",,"OPEN_INT","."&amp;F$2&amp;F$1&amp;"P"&amp;$A48)*RTD("tos.rtd",,"LAST","."&amp;F$2&amp;F$1&amp;"P"&amp;$A48))/1000000,0),IF($A$2="PREMIUM",IFERROR((100*RTD("tos.rtd",,"VOLUME","."&amp;F$2&amp;F$1&amp;"C"&amp;$A48)*RTD("tos.rtd",,"LAST","."&amp;F$2&amp;F$1&amp;"C"&amp;$A48)-100*RTD("tos.rtd",,"VOLUME","."&amp;F$2&amp;F$1&amp;"P"&amp;$A48)*RTD("tos.rtd",,"LAST","."&amp;F$2&amp;F$1&amp;"P"&amp;$A48))/1000000,0),IF($A$2="DEX",IFERROR((100*RTD("tos.rtd",,"OPEN_INT","."&amp;F$2&amp;F$1&amp;"C"&amp;$A48)*RTD("tos.rtd",,"DELTA","."&amp;F$2&amp;F$1&amp;"C"&amp;$A48)-100*RTD("tos.rtd",,"OPEN_INT","."&amp;F$2&amp;F$1&amp;"P"&amp;$A48)*RTD("tos.rtd",,"DELTA","."&amp;F$2&amp;F$1&amp;"P"&amp;$A48))/1000,0),IF($A$2="VEX",IFERROR(($A$4*$A$4*RTD("tos.rtd",,"VOLUME","."&amp;F$2&amp;F$1&amp;"C"&amp;$A48)*RTD("tos.rtd",,"GAMMA","."&amp;F$2&amp;F$1&amp;"C"&amp;$A48)-$A$4*$A$4*RTD("tos.rtd",,"VOLUME","."&amp;F$2&amp;F$1&amp;"P"&amp;$A48)*RTD("tos.rtd",,"GAMMA","."&amp;F$2&amp;F$1&amp;"P"&amp;$A48))/1000000,0),IF($A$2="GEX",IFERROR(($A$4*$A$4*RTD("tos.rtd",,"OPEN_INT","."&amp;F$2&amp;F$1&amp;"C"&amp;$A48)*RTD("tos.rtd",,"GAMMA","."&amp;F$2&amp;F$1&amp;"C"&amp;$A48)-$A$4*$A$4*RTD("tos.rtd",,"OPEN_INT","."&amp;F$2&amp;F$1&amp;"P"&amp;$A48)*RTD("tos.rtd",,"GAMMA","."&amp;F$2&amp;F$1&amp;"P"&amp;$A48))/1000000,0),IF($A$2="SKEW",IFERROR(VALUE(IF(RTD("tos.rtd",,"IMPL_VOL","."&amp;F$2&amp;F$1&amp;"P"&amp;$A48)="N/A",0,RTD("tos.rtd",,"IMPL_VOL","."&amp;F$2&amp;F$1&amp;"P"&amp;$A48))),0)-IFERROR(VALUE(IF(RTD("tos.rtd",,"IMPL_VOL","."&amp;F$2&amp;F$1&amp;"C"&amp;$A48)="N/A",0,RTD("tos.rtd",,"IMPL_VOL","."&amp;F$2&amp;F$1&amp;"C"&amp;$A48))),0),IF($A$2="MAXPAIN",IF($A$4&gt;$A48,($A$4-$A48)*IF(RTD("tos.rtd",,"OPEN_INT","."&amp;F$2&amp;F$1&amp;"C"&amp;$A48)="N/A",0,RTD("tos.rtd",,"OPEN_INT","."&amp;F$2&amp;F$1&amp;"C"&amp;$A48)),0)+IF($A$4&lt;$A48,($A48-$A$4)*IF(RTD("tos.rtd",,"OPEN_INT","."&amp;F$2&amp;F$1&amp;"P"&amp;$A48)="N/A",0,RTD("tos.rtd",,"OPEN_INT","."&amp;F$2&amp;F$1&amp;"P"&amp;$A48)),0),IF(RTD("tos.rtd",,$A$2,"."&amp;F$2&amp;F$1&amp;"C"&amp;$A48)="N/A",0,RTD("tos.rtd",,$A$2,"."&amp;F$2&amp;F$1&amp;"C"&amp;$A48))-IF(RTD("tos.rtd",,$A$2,"."&amp;F$2&amp;F$1&amp;"P"&amp;$A48)="N/A",0,RTD("tos.rtd",,$A$2,"."&amp;F$2&amp;F$1&amp;"P"&amp;$A48)))))))))</f>
        <v>0</v>
      </c>
      <c r="G48" s="14">
        <f>IF($A$2="PREMIUM_OI",IFERROR((100*RTD("tos.rtd",,"OPEN_INT","."&amp;G$2&amp;G$1&amp;"C"&amp;$A48)*RTD("tos.rtd",,"LAST","."&amp;G$2&amp;G$1&amp;"C"&amp;$A48)-100*RTD("tos.rtd",,"OPEN_INT","."&amp;G$2&amp;G$1&amp;"P"&amp;$A48)*RTD("tos.rtd",,"LAST","."&amp;G$2&amp;G$1&amp;"P"&amp;$A48))/1000000,0),IF($A$2="PREMIUM",IFERROR((100*RTD("tos.rtd",,"VOLUME","."&amp;G$2&amp;G$1&amp;"C"&amp;$A48)*RTD("tos.rtd",,"LAST","."&amp;G$2&amp;G$1&amp;"C"&amp;$A48)-100*RTD("tos.rtd",,"VOLUME","."&amp;G$2&amp;G$1&amp;"P"&amp;$A48)*RTD("tos.rtd",,"LAST","."&amp;G$2&amp;G$1&amp;"P"&amp;$A48))/1000000,0),IF($A$2="DEX",IFERROR((100*RTD("tos.rtd",,"OPEN_INT","."&amp;G$2&amp;G$1&amp;"C"&amp;$A48)*RTD("tos.rtd",,"DELTA","."&amp;G$2&amp;G$1&amp;"C"&amp;$A48)-100*RTD("tos.rtd",,"OPEN_INT","."&amp;G$2&amp;G$1&amp;"P"&amp;$A48)*RTD("tos.rtd",,"DELTA","."&amp;G$2&amp;G$1&amp;"P"&amp;$A48))/1000,0),IF($A$2="VEX",IFERROR(($A$4*$A$4*RTD("tos.rtd",,"VOLUME","."&amp;G$2&amp;G$1&amp;"C"&amp;$A48)*RTD("tos.rtd",,"GAMMA","."&amp;G$2&amp;G$1&amp;"C"&amp;$A48)-$A$4*$A$4*RTD("tos.rtd",,"VOLUME","."&amp;G$2&amp;G$1&amp;"P"&amp;$A48)*RTD("tos.rtd",,"GAMMA","."&amp;G$2&amp;G$1&amp;"P"&amp;$A48))/1000000,0),IF($A$2="GEX",IFERROR(($A$4*$A$4*RTD("tos.rtd",,"OPEN_INT","."&amp;G$2&amp;G$1&amp;"C"&amp;$A48)*RTD("tos.rtd",,"GAMMA","."&amp;G$2&amp;G$1&amp;"C"&amp;$A48)-$A$4*$A$4*RTD("tos.rtd",,"OPEN_INT","."&amp;G$2&amp;G$1&amp;"P"&amp;$A48)*RTD("tos.rtd",,"GAMMA","."&amp;G$2&amp;G$1&amp;"P"&amp;$A48))/1000000,0),IF($A$2="SKEW",IFERROR(VALUE(IF(RTD("tos.rtd",,"IMPL_VOL","."&amp;G$2&amp;G$1&amp;"P"&amp;$A48)="N/A",0,RTD("tos.rtd",,"IMPL_VOL","."&amp;G$2&amp;G$1&amp;"P"&amp;$A48))),0)-IFERROR(VALUE(IF(RTD("tos.rtd",,"IMPL_VOL","."&amp;G$2&amp;G$1&amp;"C"&amp;$A48)="N/A",0,RTD("tos.rtd",,"IMPL_VOL","."&amp;G$2&amp;G$1&amp;"C"&amp;$A48))),0),IF($A$2="MAXPAIN",IF($A$4&gt;$A48,($A$4-$A48)*IF(RTD("tos.rtd",,"OPEN_INT","."&amp;G$2&amp;G$1&amp;"C"&amp;$A48)="N/A",0,RTD("tos.rtd",,"OPEN_INT","."&amp;G$2&amp;G$1&amp;"C"&amp;$A48)),0)+IF($A$4&lt;$A48,($A48-$A$4)*IF(RTD("tos.rtd",,"OPEN_INT","."&amp;G$2&amp;G$1&amp;"P"&amp;$A48)="N/A",0,RTD("tos.rtd",,"OPEN_INT","."&amp;G$2&amp;G$1&amp;"P"&amp;$A48)),0),IF(RTD("tos.rtd",,$A$2,"."&amp;G$2&amp;G$1&amp;"C"&amp;$A48)="N/A",0,RTD("tos.rtd",,$A$2,"."&amp;G$2&amp;G$1&amp;"C"&amp;$A48))-IF(RTD("tos.rtd",,$A$2,"."&amp;G$2&amp;G$1&amp;"P"&amp;$A48)="N/A",0,RTD("tos.rtd",,$A$2,"."&amp;G$2&amp;G$1&amp;"P"&amp;$A48)))))))))</f>
        <v>0</v>
      </c>
      <c r="H48" s="12">
        <f>IF($A$2="PREMIUM_OI",IFERROR((100*RTD("tos.rtd",,"OPEN_INT","."&amp;H$2&amp;H$1&amp;"C"&amp;$A48)*RTD("tos.rtd",,"LAST","."&amp;H$2&amp;H$1&amp;"C"&amp;$A48)-100*RTD("tos.rtd",,"OPEN_INT","."&amp;H$2&amp;H$1&amp;"P"&amp;$A48)*RTD("tos.rtd",,"LAST","."&amp;H$2&amp;H$1&amp;"P"&amp;$A48))/1000000,0),IF($A$2="PREMIUM",IFERROR((100*RTD("tos.rtd",,"VOLUME","."&amp;H$2&amp;H$1&amp;"C"&amp;$A48)*RTD("tos.rtd",,"LAST","."&amp;H$2&amp;H$1&amp;"C"&amp;$A48)-100*RTD("tos.rtd",,"VOLUME","."&amp;H$2&amp;H$1&amp;"P"&amp;$A48)*RTD("tos.rtd",,"LAST","."&amp;H$2&amp;H$1&amp;"P"&amp;$A48))/1000000,0),IF($A$2="DEX",IFERROR((100*RTD("tos.rtd",,"OPEN_INT","."&amp;H$2&amp;H$1&amp;"C"&amp;$A48)*RTD("tos.rtd",,"DELTA","."&amp;H$2&amp;H$1&amp;"C"&amp;$A48)-100*RTD("tos.rtd",,"OPEN_INT","."&amp;H$2&amp;H$1&amp;"P"&amp;$A48)*RTD("tos.rtd",,"DELTA","."&amp;H$2&amp;H$1&amp;"P"&amp;$A48))/1000,0),IF($A$2="VEX",IFERROR(($A$4*$A$4*RTD("tos.rtd",,"VOLUME","."&amp;H$2&amp;H$1&amp;"C"&amp;$A48)*RTD("tos.rtd",,"GAMMA","."&amp;H$2&amp;H$1&amp;"C"&amp;$A48)-$A$4*$A$4*RTD("tos.rtd",,"VOLUME","."&amp;H$2&amp;H$1&amp;"P"&amp;$A48)*RTD("tos.rtd",,"GAMMA","."&amp;H$2&amp;H$1&amp;"P"&amp;$A48))/1000000,0),IF($A$2="GEX",IFERROR(($A$4*$A$4*RTD("tos.rtd",,"OPEN_INT","."&amp;H$2&amp;H$1&amp;"C"&amp;$A48)*RTD("tos.rtd",,"GAMMA","."&amp;H$2&amp;H$1&amp;"C"&amp;$A48)-$A$4*$A$4*RTD("tos.rtd",,"OPEN_INT","."&amp;H$2&amp;H$1&amp;"P"&amp;$A48)*RTD("tos.rtd",,"GAMMA","."&amp;H$2&amp;H$1&amp;"P"&amp;$A48))/1000000,0),IF($A$2="SKEW",IFERROR(VALUE(IF(RTD("tos.rtd",,"IMPL_VOL","."&amp;H$2&amp;H$1&amp;"P"&amp;$A48)="N/A",0,RTD("tos.rtd",,"IMPL_VOL","."&amp;H$2&amp;H$1&amp;"P"&amp;$A48))),0)-IFERROR(VALUE(IF(RTD("tos.rtd",,"IMPL_VOL","."&amp;H$2&amp;H$1&amp;"C"&amp;$A48)="N/A",0,RTD("tos.rtd",,"IMPL_VOL","."&amp;H$2&amp;H$1&amp;"C"&amp;$A48))),0),IF($A$2="MAXPAIN",IF($A$4&gt;$A48,($A$4-$A48)*IF(RTD("tos.rtd",,"OPEN_INT","."&amp;H$2&amp;H$1&amp;"C"&amp;$A48)="N/A",0,RTD("tos.rtd",,"OPEN_INT","."&amp;H$2&amp;H$1&amp;"C"&amp;$A48)),0)+IF($A$4&lt;$A48,($A48-$A$4)*IF(RTD("tos.rtd",,"OPEN_INT","."&amp;H$2&amp;H$1&amp;"P"&amp;$A48)="N/A",0,RTD("tos.rtd",,"OPEN_INT","."&amp;H$2&amp;H$1&amp;"P"&amp;$A48)),0),IF(RTD("tos.rtd",,$A$2,"."&amp;H$2&amp;H$1&amp;"C"&amp;$A48)="N/A",0,RTD("tos.rtd",,$A$2,"."&amp;H$2&amp;H$1&amp;"C"&amp;$A48))-IF(RTD("tos.rtd",,$A$2,"."&amp;H$2&amp;H$1&amp;"P"&amp;$A48)="N/A",0,RTD("tos.rtd",,$A$2,"."&amp;H$2&amp;H$1&amp;"P"&amp;$A48)))))))))</f>
        <v>0</v>
      </c>
      <c r="I48" s="12">
        <f>IF($A$2="PREMIUM_OI",IFERROR((100*RTD("tos.rtd",,"OPEN_INT","."&amp;I$2&amp;I$1&amp;"C"&amp;$A48)*RTD("tos.rtd",,"LAST","."&amp;I$2&amp;I$1&amp;"C"&amp;$A48)-100*RTD("tos.rtd",,"OPEN_INT","."&amp;I$2&amp;I$1&amp;"P"&amp;$A48)*RTD("tos.rtd",,"LAST","."&amp;I$2&amp;I$1&amp;"P"&amp;$A48))/1000000,0),IF($A$2="PREMIUM",IFERROR((100*RTD("tos.rtd",,"VOLUME","."&amp;I$2&amp;I$1&amp;"C"&amp;$A48)*RTD("tos.rtd",,"LAST","."&amp;I$2&amp;I$1&amp;"C"&amp;$A48)-100*RTD("tos.rtd",,"VOLUME","."&amp;I$2&amp;I$1&amp;"P"&amp;$A48)*RTD("tos.rtd",,"LAST","."&amp;I$2&amp;I$1&amp;"P"&amp;$A48))/1000000,0),IF($A$2="DEX",IFERROR((100*RTD("tos.rtd",,"OPEN_INT","."&amp;I$2&amp;I$1&amp;"C"&amp;$A48)*RTD("tos.rtd",,"DELTA","."&amp;I$2&amp;I$1&amp;"C"&amp;$A48)-100*RTD("tos.rtd",,"OPEN_INT","."&amp;I$2&amp;I$1&amp;"P"&amp;$A48)*RTD("tos.rtd",,"DELTA","."&amp;I$2&amp;I$1&amp;"P"&amp;$A48))/1000,0),IF($A$2="VEX",IFERROR(($A$4*$A$4*RTD("tos.rtd",,"VOLUME","."&amp;I$2&amp;I$1&amp;"C"&amp;$A48)*RTD("tos.rtd",,"GAMMA","."&amp;I$2&amp;I$1&amp;"C"&amp;$A48)-$A$4*$A$4*RTD("tos.rtd",,"VOLUME","."&amp;I$2&amp;I$1&amp;"P"&amp;$A48)*RTD("tos.rtd",,"GAMMA","."&amp;I$2&amp;I$1&amp;"P"&amp;$A48))/1000000,0),IF($A$2="GEX",IFERROR(($A$4*$A$4*RTD("tos.rtd",,"OPEN_INT","."&amp;I$2&amp;I$1&amp;"C"&amp;$A48)*RTD("tos.rtd",,"GAMMA","."&amp;I$2&amp;I$1&amp;"C"&amp;$A48)-$A$4*$A$4*RTD("tos.rtd",,"OPEN_INT","."&amp;I$2&amp;I$1&amp;"P"&amp;$A48)*RTD("tos.rtd",,"GAMMA","."&amp;I$2&amp;I$1&amp;"P"&amp;$A48))/1000000,0),IF($A$2="SKEW",IFERROR(VALUE(IF(RTD("tos.rtd",,"IMPL_VOL","."&amp;I$2&amp;I$1&amp;"P"&amp;$A48)="N/A",0,RTD("tos.rtd",,"IMPL_VOL","."&amp;I$2&amp;I$1&amp;"P"&amp;$A48))),0)-IFERROR(VALUE(IF(RTD("tos.rtd",,"IMPL_VOL","."&amp;I$2&amp;I$1&amp;"C"&amp;$A48)="N/A",0,RTD("tos.rtd",,"IMPL_VOL","."&amp;I$2&amp;I$1&amp;"C"&amp;$A48))),0),IF($A$2="MAXPAIN",IF($A$4&gt;$A48,($A$4-$A48)*IF(RTD("tos.rtd",,"OPEN_INT","."&amp;I$2&amp;I$1&amp;"C"&amp;$A48)="N/A",0,RTD("tos.rtd",,"OPEN_INT","."&amp;I$2&amp;I$1&amp;"C"&amp;$A48)),0)+IF($A$4&lt;$A48,($A48-$A$4)*IF(RTD("tos.rtd",,"OPEN_INT","."&amp;I$2&amp;I$1&amp;"P"&amp;$A48)="N/A",0,RTD("tos.rtd",,"OPEN_INT","."&amp;I$2&amp;I$1&amp;"P"&amp;$A48)),0),IF(RTD("tos.rtd",,$A$2,"."&amp;I$2&amp;I$1&amp;"C"&amp;$A48)="N/A",0,RTD("tos.rtd",,$A$2,"."&amp;I$2&amp;I$1&amp;"C"&amp;$A48))-IF(RTD("tos.rtd",,$A$2,"."&amp;I$2&amp;I$1&amp;"P"&amp;$A48)="N/A",0,RTD("tos.rtd",,$A$2,"."&amp;I$2&amp;I$1&amp;"P"&amp;$A48)))))))))</f>
        <v>0</v>
      </c>
      <c r="J48" s="12">
        <f>IF($A$2="PREMIUM_OI",IFERROR((100*RTD("tos.rtd",,"OPEN_INT","."&amp;J$2&amp;J$1&amp;"C"&amp;$A48)*RTD("tos.rtd",,"LAST","."&amp;J$2&amp;J$1&amp;"C"&amp;$A48)-100*RTD("tos.rtd",,"OPEN_INT","."&amp;J$2&amp;J$1&amp;"P"&amp;$A48)*RTD("tos.rtd",,"LAST","."&amp;J$2&amp;J$1&amp;"P"&amp;$A48))/1000000,0),IF($A$2="PREMIUM",IFERROR((100*RTD("tos.rtd",,"VOLUME","."&amp;J$2&amp;J$1&amp;"C"&amp;$A48)*RTD("tos.rtd",,"LAST","."&amp;J$2&amp;J$1&amp;"C"&amp;$A48)-100*RTD("tos.rtd",,"VOLUME","."&amp;J$2&amp;J$1&amp;"P"&amp;$A48)*RTD("tos.rtd",,"LAST","."&amp;J$2&amp;J$1&amp;"P"&amp;$A48))/1000000,0),IF($A$2="DEX",IFERROR((100*RTD("tos.rtd",,"OPEN_INT","."&amp;J$2&amp;J$1&amp;"C"&amp;$A48)*RTD("tos.rtd",,"DELTA","."&amp;J$2&amp;J$1&amp;"C"&amp;$A48)-100*RTD("tos.rtd",,"OPEN_INT","."&amp;J$2&amp;J$1&amp;"P"&amp;$A48)*RTD("tos.rtd",,"DELTA","."&amp;J$2&amp;J$1&amp;"P"&amp;$A48))/1000,0),IF($A$2="VEX",IFERROR(($A$4*$A$4*RTD("tos.rtd",,"VOLUME","."&amp;J$2&amp;J$1&amp;"C"&amp;$A48)*RTD("tos.rtd",,"GAMMA","."&amp;J$2&amp;J$1&amp;"C"&amp;$A48)-$A$4*$A$4*RTD("tos.rtd",,"VOLUME","."&amp;J$2&amp;J$1&amp;"P"&amp;$A48)*RTD("tos.rtd",,"GAMMA","."&amp;J$2&amp;J$1&amp;"P"&amp;$A48))/1000000,0),IF($A$2="GEX",IFERROR(($A$4*$A$4*RTD("tos.rtd",,"OPEN_INT","."&amp;J$2&amp;J$1&amp;"C"&amp;$A48)*RTD("tos.rtd",,"GAMMA","."&amp;J$2&amp;J$1&amp;"C"&amp;$A48)-$A$4*$A$4*RTD("tos.rtd",,"OPEN_INT","."&amp;J$2&amp;J$1&amp;"P"&amp;$A48)*RTD("tos.rtd",,"GAMMA","."&amp;J$2&amp;J$1&amp;"P"&amp;$A48))/1000000,0),IF($A$2="SKEW",IFERROR(VALUE(IF(RTD("tos.rtd",,"IMPL_VOL","."&amp;J$2&amp;J$1&amp;"P"&amp;$A48)="N/A",0,RTD("tos.rtd",,"IMPL_VOL","."&amp;J$2&amp;J$1&amp;"P"&amp;$A48))),0)-IFERROR(VALUE(IF(RTD("tos.rtd",,"IMPL_VOL","."&amp;J$2&amp;J$1&amp;"C"&amp;$A48)="N/A",0,RTD("tos.rtd",,"IMPL_VOL","."&amp;J$2&amp;J$1&amp;"C"&amp;$A48))),0),IF($A$2="MAXPAIN",IF($A$4&gt;$A48,($A$4-$A48)*IF(RTD("tos.rtd",,"OPEN_INT","."&amp;J$2&amp;J$1&amp;"C"&amp;$A48)="N/A",0,RTD("tos.rtd",,"OPEN_INT","."&amp;J$2&amp;J$1&amp;"C"&amp;$A48)),0)+IF($A$4&lt;$A48,($A48-$A$4)*IF(RTD("tos.rtd",,"OPEN_INT","."&amp;J$2&amp;J$1&amp;"P"&amp;$A48)="N/A",0,RTD("tos.rtd",,"OPEN_INT","."&amp;J$2&amp;J$1&amp;"P"&amp;$A48)),0),IF(RTD("tos.rtd",,$A$2,"."&amp;J$2&amp;J$1&amp;"C"&amp;$A48)="N/A",0,RTD("tos.rtd",,$A$2,"."&amp;J$2&amp;J$1&amp;"C"&amp;$A48))-IF(RTD("tos.rtd",,$A$2,"."&amp;J$2&amp;J$1&amp;"P"&amp;$A48)="N/A",0,RTD("tos.rtd",,$A$2,"."&amp;J$2&amp;J$1&amp;"P"&amp;$A48)))))))))</f>
        <v>0</v>
      </c>
      <c r="K48" s="12">
        <f>IF($A$2="PREMIUM_OI",IFERROR((100*RTD("tos.rtd",,"OPEN_INT","."&amp;K$2&amp;K$1&amp;"C"&amp;$A48)*RTD("tos.rtd",,"LAST","."&amp;K$2&amp;K$1&amp;"C"&amp;$A48)-100*RTD("tos.rtd",,"OPEN_INT","."&amp;K$2&amp;K$1&amp;"P"&amp;$A48)*RTD("tos.rtd",,"LAST","."&amp;K$2&amp;K$1&amp;"P"&amp;$A48))/1000000,0),IF($A$2="PREMIUM",IFERROR((100*RTD("tos.rtd",,"VOLUME","."&amp;K$2&amp;K$1&amp;"C"&amp;$A48)*RTD("tos.rtd",,"LAST","."&amp;K$2&amp;K$1&amp;"C"&amp;$A48)-100*RTD("tos.rtd",,"VOLUME","."&amp;K$2&amp;K$1&amp;"P"&amp;$A48)*RTD("tos.rtd",,"LAST","."&amp;K$2&amp;K$1&amp;"P"&amp;$A48))/1000000,0),IF($A$2="DEX",IFERROR((100*RTD("tos.rtd",,"OPEN_INT","."&amp;K$2&amp;K$1&amp;"C"&amp;$A48)*RTD("tos.rtd",,"DELTA","."&amp;K$2&amp;K$1&amp;"C"&amp;$A48)-100*RTD("tos.rtd",,"OPEN_INT","."&amp;K$2&amp;K$1&amp;"P"&amp;$A48)*RTD("tos.rtd",,"DELTA","."&amp;K$2&amp;K$1&amp;"P"&amp;$A48))/1000,0),IF($A$2="VEX",IFERROR(($A$4*$A$4*RTD("tos.rtd",,"VOLUME","."&amp;K$2&amp;K$1&amp;"C"&amp;$A48)*RTD("tos.rtd",,"GAMMA","."&amp;K$2&amp;K$1&amp;"C"&amp;$A48)-$A$4*$A$4*RTD("tos.rtd",,"VOLUME","."&amp;K$2&amp;K$1&amp;"P"&amp;$A48)*RTD("tos.rtd",,"GAMMA","."&amp;K$2&amp;K$1&amp;"P"&amp;$A48))/1000000,0),IF($A$2="GEX",IFERROR(($A$4*$A$4*RTD("tos.rtd",,"OPEN_INT","."&amp;K$2&amp;K$1&amp;"C"&amp;$A48)*RTD("tos.rtd",,"GAMMA","."&amp;K$2&amp;K$1&amp;"C"&amp;$A48)-$A$4*$A$4*RTD("tos.rtd",,"OPEN_INT","."&amp;K$2&amp;K$1&amp;"P"&amp;$A48)*RTD("tos.rtd",,"GAMMA","."&amp;K$2&amp;K$1&amp;"P"&amp;$A48))/1000000,0),IF($A$2="SKEW",IFERROR(VALUE(IF(RTD("tos.rtd",,"IMPL_VOL","."&amp;K$2&amp;K$1&amp;"P"&amp;$A48)="N/A",0,RTD("tos.rtd",,"IMPL_VOL","."&amp;K$2&amp;K$1&amp;"P"&amp;$A48))),0)-IFERROR(VALUE(IF(RTD("tos.rtd",,"IMPL_VOL","."&amp;K$2&amp;K$1&amp;"C"&amp;$A48)="N/A",0,RTD("tos.rtd",,"IMPL_VOL","."&amp;K$2&amp;K$1&amp;"C"&amp;$A48))),0),IF($A$2="MAXPAIN",IF($A$4&gt;$A48,($A$4-$A48)*IF(RTD("tos.rtd",,"OPEN_INT","."&amp;K$2&amp;K$1&amp;"C"&amp;$A48)="N/A",0,RTD("tos.rtd",,"OPEN_INT","."&amp;K$2&amp;K$1&amp;"C"&amp;$A48)),0)+IF($A$4&lt;$A48,($A48-$A$4)*IF(RTD("tos.rtd",,"OPEN_INT","."&amp;K$2&amp;K$1&amp;"P"&amp;$A48)="N/A",0,RTD("tos.rtd",,"OPEN_INT","."&amp;K$2&amp;K$1&amp;"P"&amp;$A48)),0),IF(RTD("tos.rtd",,$A$2,"."&amp;K$2&amp;K$1&amp;"C"&amp;$A48)="N/A",0,RTD("tos.rtd",,$A$2,"."&amp;K$2&amp;K$1&amp;"C"&amp;$A48))-IF(RTD("tos.rtd",,$A$2,"."&amp;K$2&amp;K$1&amp;"P"&amp;$A48)="N/A",0,RTD("tos.rtd",,$A$2,"."&amp;K$2&amp;K$1&amp;"P"&amp;$A48)))))))))</f>
        <v>0</v>
      </c>
      <c r="L48" s="12">
        <f>IF($A$2="PREMIUM_OI",IFERROR((100*RTD("tos.rtd",,"OPEN_INT","."&amp;L$2&amp;L$1&amp;"C"&amp;$A48)*RTD("tos.rtd",,"LAST","."&amp;L$2&amp;L$1&amp;"C"&amp;$A48)-100*RTD("tos.rtd",,"OPEN_INT","."&amp;L$2&amp;L$1&amp;"P"&amp;$A48)*RTD("tos.rtd",,"LAST","."&amp;L$2&amp;L$1&amp;"P"&amp;$A48))/1000000,0),IF($A$2="PREMIUM",IFERROR((100*RTD("tos.rtd",,"VOLUME","."&amp;L$2&amp;L$1&amp;"C"&amp;$A48)*RTD("tos.rtd",,"LAST","."&amp;L$2&amp;L$1&amp;"C"&amp;$A48)-100*RTD("tos.rtd",,"VOLUME","."&amp;L$2&amp;L$1&amp;"P"&amp;$A48)*RTD("tos.rtd",,"LAST","."&amp;L$2&amp;L$1&amp;"P"&amp;$A48))/1000000,0),IF($A$2="DEX",IFERROR((100*RTD("tos.rtd",,"OPEN_INT","."&amp;L$2&amp;L$1&amp;"C"&amp;$A48)*RTD("tos.rtd",,"DELTA","."&amp;L$2&amp;L$1&amp;"C"&amp;$A48)-100*RTD("tos.rtd",,"OPEN_INT","."&amp;L$2&amp;L$1&amp;"P"&amp;$A48)*RTD("tos.rtd",,"DELTA","."&amp;L$2&amp;L$1&amp;"P"&amp;$A48))/1000,0),IF($A$2="VEX",IFERROR(($A$4*$A$4*RTD("tos.rtd",,"VOLUME","."&amp;L$2&amp;L$1&amp;"C"&amp;$A48)*RTD("tos.rtd",,"GAMMA","."&amp;L$2&amp;L$1&amp;"C"&amp;$A48)-$A$4*$A$4*RTD("tos.rtd",,"VOLUME","."&amp;L$2&amp;L$1&amp;"P"&amp;$A48)*RTD("tos.rtd",,"GAMMA","."&amp;L$2&amp;L$1&amp;"P"&amp;$A48))/1000000,0),IF($A$2="GEX",IFERROR(($A$4*$A$4*RTD("tos.rtd",,"OPEN_INT","."&amp;L$2&amp;L$1&amp;"C"&amp;$A48)*RTD("tos.rtd",,"GAMMA","."&amp;L$2&amp;L$1&amp;"C"&amp;$A48)-$A$4*$A$4*RTD("tos.rtd",,"OPEN_INT","."&amp;L$2&amp;L$1&amp;"P"&amp;$A48)*RTD("tos.rtd",,"GAMMA","."&amp;L$2&amp;L$1&amp;"P"&amp;$A48))/1000000,0),IF($A$2="SKEW",IFERROR(VALUE(IF(RTD("tos.rtd",,"IMPL_VOL","."&amp;L$2&amp;L$1&amp;"P"&amp;$A48)="N/A",0,RTD("tos.rtd",,"IMPL_VOL","."&amp;L$2&amp;L$1&amp;"P"&amp;$A48))),0)-IFERROR(VALUE(IF(RTD("tos.rtd",,"IMPL_VOL","."&amp;L$2&amp;L$1&amp;"C"&amp;$A48)="N/A",0,RTD("tos.rtd",,"IMPL_VOL","."&amp;L$2&amp;L$1&amp;"C"&amp;$A48))),0),IF($A$2="MAXPAIN",IF($A$4&gt;$A48,($A$4-$A48)*IF(RTD("tos.rtd",,"OPEN_INT","."&amp;L$2&amp;L$1&amp;"C"&amp;$A48)="N/A",0,RTD("tos.rtd",,"OPEN_INT","."&amp;L$2&amp;L$1&amp;"C"&amp;$A48)),0)+IF($A$4&lt;$A48,($A48-$A$4)*IF(RTD("tos.rtd",,"OPEN_INT","."&amp;L$2&amp;L$1&amp;"P"&amp;$A48)="N/A",0,RTD("tos.rtd",,"OPEN_INT","."&amp;L$2&amp;L$1&amp;"P"&amp;$A48)),0),IF(RTD("tos.rtd",,$A$2,"."&amp;L$2&amp;L$1&amp;"C"&amp;$A48)="N/A",0,RTD("tos.rtd",,$A$2,"."&amp;L$2&amp;L$1&amp;"C"&amp;$A48))-IF(RTD("tos.rtd",,$A$2,"."&amp;L$2&amp;L$1&amp;"P"&amp;$A48)="N/A",0,RTD("tos.rtd",,$A$2,"."&amp;L$2&amp;L$1&amp;"P"&amp;$A48)))))))))</f>
        <v>0</v>
      </c>
      <c r="M48" s="12">
        <f>IF($A$2="PREMIUM_OI",IFERROR((100*RTD("tos.rtd",,"OPEN_INT","."&amp;M$2&amp;M$1&amp;"C"&amp;$A48)*RTD("tos.rtd",,"LAST","."&amp;M$2&amp;M$1&amp;"C"&amp;$A48)-100*RTD("tos.rtd",,"OPEN_INT","."&amp;M$2&amp;M$1&amp;"P"&amp;$A48)*RTD("tos.rtd",,"LAST","."&amp;M$2&amp;M$1&amp;"P"&amp;$A48))/1000000,0),IF($A$2="PREMIUM",IFERROR((100*RTD("tos.rtd",,"VOLUME","."&amp;M$2&amp;M$1&amp;"C"&amp;$A48)*RTD("tos.rtd",,"LAST","."&amp;M$2&amp;M$1&amp;"C"&amp;$A48)-100*RTD("tos.rtd",,"VOLUME","."&amp;M$2&amp;M$1&amp;"P"&amp;$A48)*RTD("tos.rtd",,"LAST","."&amp;M$2&amp;M$1&amp;"P"&amp;$A48))/1000000,0),IF($A$2="DEX",IFERROR((100*RTD("tos.rtd",,"OPEN_INT","."&amp;M$2&amp;M$1&amp;"C"&amp;$A48)*RTD("tos.rtd",,"DELTA","."&amp;M$2&amp;M$1&amp;"C"&amp;$A48)-100*RTD("tos.rtd",,"OPEN_INT","."&amp;M$2&amp;M$1&amp;"P"&amp;$A48)*RTD("tos.rtd",,"DELTA","."&amp;M$2&amp;M$1&amp;"P"&amp;$A48))/1000,0),IF($A$2="VEX",IFERROR(($A$4*$A$4*RTD("tos.rtd",,"VOLUME","."&amp;M$2&amp;M$1&amp;"C"&amp;$A48)*RTD("tos.rtd",,"GAMMA","."&amp;M$2&amp;M$1&amp;"C"&amp;$A48)-$A$4*$A$4*RTD("tos.rtd",,"VOLUME","."&amp;M$2&amp;M$1&amp;"P"&amp;$A48)*RTD("tos.rtd",,"GAMMA","."&amp;M$2&amp;M$1&amp;"P"&amp;$A48))/1000000,0),IF($A$2="GEX",IFERROR(($A$4*$A$4*RTD("tos.rtd",,"OPEN_INT","."&amp;M$2&amp;M$1&amp;"C"&amp;$A48)*RTD("tos.rtd",,"GAMMA","."&amp;M$2&amp;M$1&amp;"C"&amp;$A48)-$A$4*$A$4*RTD("tos.rtd",,"OPEN_INT","."&amp;M$2&amp;M$1&amp;"P"&amp;$A48)*RTD("tos.rtd",,"GAMMA","."&amp;M$2&amp;M$1&amp;"P"&amp;$A48))/1000000,0),IF($A$2="SKEW",IFERROR(VALUE(IF(RTD("tos.rtd",,"IMPL_VOL","."&amp;M$2&amp;M$1&amp;"P"&amp;$A48)="N/A",0,RTD("tos.rtd",,"IMPL_VOL","."&amp;M$2&amp;M$1&amp;"P"&amp;$A48))),0)-IFERROR(VALUE(IF(RTD("tos.rtd",,"IMPL_VOL","."&amp;M$2&amp;M$1&amp;"C"&amp;$A48)="N/A",0,RTD("tos.rtd",,"IMPL_VOL","."&amp;M$2&amp;M$1&amp;"C"&amp;$A48))),0),IF($A$2="MAXPAIN",IF($A$4&gt;$A48,($A$4-$A48)*IF(RTD("tos.rtd",,"OPEN_INT","."&amp;M$2&amp;M$1&amp;"C"&amp;$A48)="N/A",0,RTD("tos.rtd",,"OPEN_INT","."&amp;M$2&amp;M$1&amp;"C"&amp;$A48)),0)+IF($A$4&lt;$A48,($A48-$A$4)*IF(RTD("tos.rtd",,"OPEN_INT","."&amp;M$2&amp;M$1&amp;"P"&amp;$A48)="N/A",0,RTD("tos.rtd",,"OPEN_INT","."&amp;M$2&amp;M$1&amp;"P"&amp;$A48)),0),IF(RTD("tos.rtd",,$A$2,"."&amp;M$2&amp;M$1&amp;"C"&amp;$A48)="N/A",0,RTD("tos.rtd",,$A$2,"."&amp;M$2&amp;M$1&amp;"C"&amp;$A48))-IF(RTD("tos.rtd",,$A$2,"."&amp;M$2&amp;M$1&amp;"P"&amp;$A48)="N/A",0,RTD("tos.rtd",,$A$2,"."&amp;M$2&amp;M$1&amp;"P"&amp;$A48)))))))))</f>
        <v>0</v>
      </c>
      <c r="N48" s="12">
        <f>IF($A$2="PREMIUM_OI",IFERROR((100*RTD("tos.rtd",,"OPEN_INT","."&amp;N$2&amp;N$1&amp;"C"&amp;$A48)*RTD("tos.rtd",,"LAST","."&amp;N$2&amp;N$1&amp;"C"&amp;$A48)-100*RTD("tos.rtd",,"OPEN_INT","."&amp;N$2&amp;N$1&amp;"P"&amp;$A48)*RTD("tos.rtd",,"LAST","."&amp;N$2&amp;N$1&amp;"P"&amp;$A48))/1000000,0),IF($A$2="PREMIUM",IFERROR((100*RTD("tos.rtd",,"VOLUME","."&amp;N$2&amp;N$1&amp;"C"&amp;$A48)*RTD("tos.rtd",,"LAST","."&amp;N$2&amp;N$1&amp;"C"&amp;$A48)-100*RTD("tos.rtd",,"VOLUME","."&amp;N$2&amp;N$1&amp;"P"&amp;$A48)*RTD("tos.rtd",,"LAST","."&amp;N$2&amp;N$1&amp;"P"&amp;$A48))/1000000,0),IF($A$2="DEX",IFERROR((100*RTD("tos.rtd",,"OPEN_INT","."&amp;N$2&amp;N$1&amp;"C"&amp;$A48)*RTD("tos.rtd",,"DELTA","."&amp;N$2&amp;N$1&amp;"C"&amp;$A48)-100*RTD("tos.rtd",,"OPEN_INT","."&amp;N$2&amp;N$1&amp;"P"&amp;$A48)*RTD("tos.rtd",,"DELTA","."&amp;N$2&amp;N$1&amp;"P"&amp;$A48))/1000,0),IF($A$2="VEX",IFERROR(($A$4*$A$4*RTD("tos.rtd",,"VOLUME","."&amp;N$2&amp;N$1&amp;"C"&amp;$A48)*RTD("tos.rtd",,"GAMMA","."&amp;N$2&amp;N$1&amp;"C"&amp;$A48)-$A$4*$A$4*RTD("tos.rtd",,"VOLUME","."&amp;N$2&amp;N$1&amp;"P"&amp;$A48)*RTD("tos.rtd",,"GAMMA","."&amp;N$2&amp;N$1&amp;"P"&amp;$A48))/1000000,0),IF($A$2="GEX",IFERROR(($A$4*$A$4*RTD("tos.rtd",,"OPEN_INT","."&amp;N$2&amp;N$1&amp;"C"&amp;$A48)*RTD("tos.rtd",,"GAMMA","."&amp;N$2&amp;N$1&amp;"C"&amp;$A48)-$A$4*$A$4*RTD("tos.rtd",,"OPEN_INT","."&amp;N$2&amp;N$1&amp;"P"&amp;$A48)*RTD("tos.rtd",,"GAMMA","."&amp;N$2&amp;N$1&amp;"P"&amp;$A48))/1000000,0),IF($A$2="SKEW",IFERROR(VALUE(IF(RTD("tos.rtd",,"IMPL_VOL","."&amp;N$2&amp;N$1&amp;"P"&amp;$A48)="N/A",0,RTD("tos.rtd",,"IMPL_VOL","."&amp;N$2&amp;N$1&amp;"P"&amp;$A48))),0)-IFERROR(VALUE(IF(RTD("tos.rtd",,"IMPL_VOL","."&amp;N$2&amp;N$1&amp;"C"&amp;$A48)="N/A",0,RTD("tos.rtd",,"IMPL_VOL","."&amp;N$2&amp;N$1&amp;"C"&amp;$A48))),0),IF($A$2="MAXPAIN",IF($A$4&gt;$A48,($A$4-$A48)*IF(RTD("tos.rtd",,"OPEN_INT","."&amp;N$2&amp;N$1&amp;"C"&amp;$A48)="N/A",0,RTD("tos.rtd",,"OPEN_INT","."&amp;N$2&amp;N$1&amp;"C"&amp;$A48)),0)+IF($A$4&lt;$A48,($A48-$A$4)*IF(RTD("tos.rtd",,"OPEN_INT","."&amp;N$2&amp;N$1&amp;"P"&amp;$A48)="N/A",0,RTD("tos.rtd",,"OPEN_INT","."&amp;N$2&amp;N$1&amp;"P"&amp;$A48)),0),IF(RTD("tos.rtd",,$A$2,"."&amp;N$2&amp;N$1&amp;"C"&amp;$A48)="N/A",0,RTD("tos.rtd",,$A$2,"."&amp;N$2&amp;N$1&amp;"C"&amp;$A48))-IF(RTD("tos.rtd",,$A$2,"."&amp;N$2&amp;N$1&amp;"P"&amp;$A48)="N/A",0,RTD("tos.rtd",,$A$2,"."&amp;N$2&amp;N$1&amp;"P"&amp;$A48)))))))))</f>
        <v>0</v>
      </c>
      <c r="O48" s="12">
        <f>IF($A$2="PREMIUM_OI",IFERROR((100*RTD("tos.rtd",,"OPEN_INT","."&amp;O$2&amp;O$1&amp;"C"&amp;$A48)*RTD("tos.rtd",,"LAST","."&amp;O$2&amp;O$1&amp;"C"&amp;$A48)-100*RTD("tos.rtd",,"OPEN_INT","."&amp;O$2&amp;O$1&amp;"P"&amp;$A48)*RTD("tos.rtd",,"LAST","."&amp;O$2&amp;O$1&amp;"P"&amp;$A48))/1000000,0),IF($A$2="PREMIUM",IFERROR((100*RTD("tos.rtd",,"VOLUME","."&amp;O$2&amp;O$1&amp;"C"&amp;$A48)*RTD("tos.rtd",,"LAST","."&amp;O$2&amp;O$1&amp;"C"&amp;$A48)-100*RTD("tos.rtd",,"VOLUME","."&amp;O$2&amp;O$1&amp;"P"&amp;$A48)*RTD("tos.rtd",,"LAST","."&amp;O$2&amp;O$1&amp;"P"&amp;$A48))/1000000,0),IF($A$2="DEX",IFERROR((100*RTD("tos.rtd",,"OPEN_INT","."&amp;O$2&amp;O$1&amp;"C"&amp;$A48)*RTD("tos.rtd",,"DELTA","."&amp;O$2&amp;O$1&amp;"C"&amp;$A48)-100*RTD("tos.rtd",,"OPEN_INT","."&amp;O$2&amp;O$1&amp;"P"&amp;$A48)*RTD("tos.rtd",,"DELTA","."&amp;O$2&amp;O$1&amp;"P"&amp;$A48))/1000,0),IF($A$2="VEX",IFERROR(($A$4*$A$4*RTD("tos.rtd",,"VOLUME","."&amp;O$2&amp;O$1&amp;"C"&amp;$A48)*RTD("tos.rtd",,"GAMMA","."&amp;O$2&amp;O$1&amp;"C"&amp;$A48)-$A$4*$A$4*RTD("tos.rtd",,"VOLUME","."&amp;O$2&amp;O$1&amp;"P"&amp;$A48)*RTD("tos.rtd",,"GAMMA","."&amp;O$2&amp;O$1&amp;"P"&amp;$A48))/1000000,0),IF($A$2="GEX",IFERROR(($A$4*$A$4*RTD("tos.rtd",,"OPEN_INT","."&amp;O$2&amp;O$1&amp;"C"&amp;$A48)*RTD("tos.rtd",,"GAMMA","."&amp;O$2&amp;O$1&amp;"C"&amp;$A48)-$A$4*$A$4*RTD("tos.rtd",,"OPEN_INT","."&amp;O$2&amp;O$1&amp;"P"&amp;$A48)*RTD("tos.rtd",,"GAMMA","."&amp;O$2&amp;O$1&amp;"P"&amp;$A48))/1000000,0),IF($A$2="SKEW",IFERROR(VALUE(IF(RTD("tos.rtd",,"IMPL_VOL","."&amp;O$2&amp;O$1&amp;"P"&amp;$A48)="N/A",0,RTD("tos.rtd",,"IMPL_VOL","."&amp;O$2&amp;O$1&amp;"P"&amp;$A48))),0)-IFERROR(VALUE(IF(RTD("tos.rtd",,"IMPL_VOL","."&amp;O$2&amp;O$1&amp;"C"&amp;$A48)="N/A",0,RTD("tos.rtd",,"IMPL_VOL","."&amp;O$2&amp;O$1&amp;"C"&amp;$A48))),0),IF($A$2="MAXPAIN",IF($A$4&gt;$A48,($A$4-$A48)*IF(RTD("tos.rtd",,"OPEN_INT","."&amp;O$2&amp;O$1&amp;"C"&amp;$A48)="N/A",0,RTD("tos.rtd",,"OPEN_INT","."&amp;O$2&amp;O$1&amp;"C"&amp;$A48)),0)+IF($A$4&lt;$A48,($A48-$A$4)*IF(RTD("tos.rtd",,"OPEN_INT","."&amp;O$2&amp;O$1&amp;"P"&amp;$A48)="N/A",0,RTD("tos.rtd",,"OPEN_INT","."&amp;O$2&amp;O$1&amp;"P"&amp;$A48)),0),IF(RTD("tos.rtd",,$A$2,"."&amp;O$2&amp;O$1&amp;"C"&amp;$A48)="N/A",0,RTD("tos.rtd",,$A$2,"."&amp;O$2&amp;O$1&amp;"C"&amp;$A48))-IF(RTD("tos.rtd",,$A$2,"."&amp;O$2&amp;O$1&amp;"P"&amp;$A48)="N/A",0,RTD("tos.rtd",,$A$2,"."&amp;O$2&amp;O$1&amp;"P"&amp;$A48)))))))))</f>
        <v>0</v>
      </c>
      <c r="P48" s="12">
        <f>IF($A$2="PREMIUM_OI",IFERROR((100*RTD("tos.rtd",,"OPEN_INT","."&amp;P$2&amp;P$1&amp;"C"&amp;$A48)*RTD("tos.rtd",,"LAST","."&amp;P$2&amp;P$1&amp;"C"&amp;$A48)-100*RTD("tos.rtd",,"OPEN_INT","."&amp;P$2&amp;P$1&amp;"P"&amp;$A48)*RTD("tos.rtd",,"LAST","."&amp;P$2&amp;P$1&amp;"P"&amp;$A48))/1000000,0),IF($A$2="PREMIUM",IFERROR((100*RTD("tos.rtd",,"VOLUME","."&amp;P$2&amp;P$1&amp;"C"&amp;$A48)*RTD("tos.rtd",,"LAST","."&amp;P$2&amp;P$1&amp;"C"&amp;$A48)-100*RTD("tos.rtd",,"VOLUME","."&amp;P$2&amp;P$1&amp;"P"&amp;$A48)*RTD("tos.rtd",,"LAST","."&amp;P$2&amp;P$1&amp;"P"&amp;$A48))/1000000,0),IF($A$2="DEX",IFERROR((100*RTD("tos.rtd",,"OPEN_INT","."&amp;P$2&amp;P$1&amp;"C"&amp;$A48)*RTD("tos.rtd",,"DELTA","."&amp;P$2&amp;P$1&amp;"C"&amp;$A48)-100*RTD("tos.rtd",,"OPEN_INT","."&amp;P$2&amp;P$1&amp;"P"&amp;$A48)*RTD("tos.rtd",,"DELTA","."&amp;P$2&amp;P$1&amp;"P"&amp;$A48))/1000,0),IF($A$2="VEX",IFERROR(($A$4*$A$4*RTD("tos.rtd",,"VOLUME","."&amp;P$2&amp;P$1&amp;"C"&amp;$A48)*RTD("tos.rtd",,"GAMMA","."&amp;P$2&amp;P$1&amp;"C"&amp;$A48)-$A$4*$A$4*RTD("tos.rtd",,"VOLUME","."&amp;P$2&amp;P$1&amp;"P"&amp;$A48)*RTD("tos.rtd",,"GAMMA","."&amp;P$2&amp;P$1&amp;"P"&amp;$A48))/1000000,0),IF($A$2="GEX",IFERROR(($A$4*$A$4*RTD("tos.rtd",,"OPEN_INT","."&amp;P$2&amp;P$1&amp;"C"&amp;$A48)*RTD("tos.rtd",,"GAMMA","."&amp;P$2&amp;P$1&amp;"C"&amp;$A48)-$A$4*$A$4*RTD("tos.rtd",,"OPEN_INT","."&amp;P$2&amp;P$1&amp;"P"&amp;$A48)*RTD("tos.rtd",,"GAMMA","."&amp;P$2&amp;P$1&amp;"P"&amp;$A48))/1000000,0),IF($A$2="SKEW",IFERROR(VALUE(IF(RTD("tos.rtd",,"IMPL_VOL","."&amp;P$2&amp;P$1&amp;"P"&amp;$A48)="N/A",0,RTD("tos.rtd",,"IMPL_VOL","."&amp;P$2&amp;P$1&amp;"P"&amp;$A48))),0)-IFERROR(VALUE(IF(RTD("tos.rtd",,"IMPL_VOL","."&amp;P$2&amp;P$1&amp;"C"&amp;$A48)="N/A",0,RTD("tos.rtd",,"IMPL_VOL","."&amp;P$2&amp;P$1&amp;"C"&amp;$A48))),0),IF($A$2="MAXPAIN",IF($A$4&gt;$A48,($A$4-$A48)*IF(RTD("tos.rtd",,"OPEN_INT","."&amp;P$2&amp;P$1&amp;"C"&amp;$A48)="N/A",0,RTD("tos.rtd",,"OPEN_INT","."&amp;P$2&amp;P$1&amp;"C"&amp;$A48)),0)+IF($A$4&lt;$A48,($A48-$A$4)*IF(RTD("tos.rtd",,"OPEN_INT","."&amp;P$2&amp;P$1&amp;"P"&amp;$A48)="N/A",0,RTD("tos.rtd",,"OPEN_INT","."&amp;P$2&amp;P$1&amp;"P"&amp;$A48)),0),IF(RTD("tos.rtd",,$A$2,"."&amp;P$2&amp;P$1&amp;"C"&amp;$A48)="N/A",0,RTD("tos.rtd",,$A$2,"."&amp;P$2&amp;P$1&amp;"C"&amp;$A48))-IF(RTD("tos.rtd",,$A$2,"."&amp;P$2&amp;P$1&amp;"P"&amp;$A48)="N/A",0,RTD("tos.rtd",,$A$2,"."&amp;P$2&amp;P$1&amp;"P"&amp;$A48)))))))))</f>
        <v>0</v>
      </c>
      <c r="Q48" s="12">
        <f>IF($A$2="PREMIUM_OI",IFERROR((100*RTD("tos.rtd",,"OPEN_INT","."&amp;Q$2&amp;Q$1&amp;"C"&amp;$A48)*RTD("tos.rtd",,"LAST","."&amp;Q$2&amp;Q$1&amp;"C"&amp;$A48)-100*RTD("tos.rtd",,"OPEN_INT","."&amp;Q$2&amp;Q$1&amp;"P"&amp;$A48)*RTD("tos.rtd",,"LAST","."&amp;Q$2&amp;Q$1&amp;"P"&amp;$A48))/1000000,0),IF($A$2="PREMIUM",IFERROR((100*RTD("tos.rtd",,"VOLUME","."&amp;Q$2&amp;Q$1&amp;"C"&amp;$A48)*RTD("tos.rtd",,"LAST","."&amp;Q$2&amp;Q$1&amp;"C"&amp;$A48)-100*RTD("tos.rtd",,"VOLUME","."&amp;Q$2&amp;Q$1&amp;"P"&amp;$A48)*RTD("tos.rtd",,"LAST","."&amp;Q$2&amp;Q$1&amp;"P"&amp;$A48))/1000000,0),IF($A$2="DEX",IFERROR((100*RTD("tos.rtd",,"OPEN_INT","."&amp;Q$2&amp;Q$1&amp;"C"&amp;$A48)*RTD("tos.rtd",,"DELTA","."&amp;Q$2&amp;Q$1&amp;"C"&amp;$A48)-100*RTD("tos.rtd",,"OPEN_INT","."&amp;Q$2&amp;Q$1&amp;"P"&amp;$A48)*RTD("tos.rtd",,"DELTA","."&amp;Q$2&amp;Q$1&amp;"P"&amp;$A48))/1000,0),IF($A$2="VEX",IFERROR(($A$4*$A$4*RTD("tos.rtd",,"VOLUME","."&amp;Q$2&amp;Q$1&amp;"C"&amp;$A48)*RTD("tos.rtd",,"GAMMA","."&amp;Q$2&amp;Q$1&amp;"C"&amp;$A48)-$A$4*$A$4*RTD("tos.rtd",,"VOLUME","."&amp;Q$2&amp;Q$1&amp;"P"&amp;$A48)*RTD("tos.rtd",,"GAMMA","."&amp;Q$2&amp;Q$1&amp;"P"&amp;$A48))/1000000,0),IF($A$2="GEX",IFERROR(($A$4*$A$4*RTD("tos.rtd",,"OPEN_INT","."&amp;Q$2&amp;Q$1&amp;"C"&amp;$A48)*RTD("tos.rtd",,"GAMMA","."&amp;Q$2&amp;Q$1&amp;"C"&amp;$A48)-$A$4*$A$4*RTD("tos.rtd",,"OPEN_INT","."&amp;Q$2&amp;Q$1&amp;"P"&amp;$A48)*RTD("tos.rtd",,"GAMMA","."&amp;Q$2&amp;Q$1&amp;"P"&amp;$A48))/1000000,0),IF($A$2="SKEW",IFERROR(VALUE(IF(RTD("tos.rtd",,"IMPL_VOL","."&amp;Q$2&amp;Q$1&amp;"P"&amp;$A48)="N/A",0,RTD("tos.rtd",,"IMPL_VOL","."&amp;Q$2&amp;Q$1&amp;"P"&amp;$A48))),0)-IFERROR(VALUE(IF(RTD("tos.rtd",,"IMPL_VOL","."&amp;Q$2&amp;Q$1&amp;"C"&amp;$A48)="N/A",0,RTD("tos.rtd",,"IMPL_VOL","."&amp;Q$2&amp;Q$1&amp;"C"&amp;$A48))),0),IF($A$2="MAXPAIN",IF($A$4&gt;$A48,($A$4-$A48)*IF(RTD("tos.rtd",,"OPEN_INT","."&amp;Q$2&amp;Q$1&amp;"C"&amp;$A48)="N/A",0,RTD("tos.rtd",,"OPEN_INT","."&amp;Q$2&amp;Q$1&amp;"C"&amp;$A48)),0)+IF($A$4&lt;$A48,($A48-$A$4)*IF(RTD("tos.rtd",,"OPEN_INT","."&amp;Q$2&amp;Q$1&amp;"P"&amp;$A48)="N/A",0,RTD("tos.rtd",,"OPEN_INT","."&amp;Q$2&amp;Q$1&amp;"P"&amp;$A48)),0),IF(RTD("tos.rtd",,$A$2,"."&amp;Q$2&amp;Q$1&amp;"C"&amp;$A48)="N/A",0,RTD("tos.rtd",,$A$2,"."&amp;Q$2&amp;Q$1&amp;"C"&amp;$A48))-IF(RTD("tos.rtd",,$A$2,"."&amp;Q$2&amp;Q$1&amp;"P"&amp;$A48)="N/A",0,RTD("tos.rtd",,$A$2,"."&amp;Q$2&amp;Q$1&amp;"P"&amp;$A48)))))))))</f>
        <v>0</v>
      </c>
      <c r="R48" s="12">
        <f>IF($A$2="PREMIUM_OI",IFERROR((100*RTD("tos.rtd",,"OPEN_INT","."&amp;R$2&amp;R$1&amp;"C"&amp;$A48)*RTD("tos.rtd",,"LAST","."&amp;R$2&amp;R$1&amp;"C"&amp;$A48)-100*RTD("tos.rtd",,"OPEN_INT","."&amp;R$2&amp;R$1&amp;"P"&amp;$A48)*RTD("tos.rtd",,"LAST","."&amp;R$2&amp;R$1&amp;"P"&amp;$A48))/1000000,0),IF($A$2="PREMIUM",IFERROR((100*RTD("tos.rtd",,"VOLUME","."&amp;R$2&amp;R$1&amp;"C"&amp;$A48)*RTD("tos.rtd",,"LAST","."&amp;R$2&amp;R$1&amp;"C"&amp;$A48)-100*RTD("tos.rtd",,"VOLUME","."&amp;R$2&amp;R$1&amp;"P"&amp;$A48)*RTD("tos.rtd",,"LAST","."&amp;R$2&amp;R$1&amp;"P"&amp;$A48))/1000000,0),IF($A$2="DEX",IFERROR((100*RTD("tos.rtd",,"OPEN_INT","."&amp;R$2&amp;R$1&amp;"C"&amp;$A48)*RTD("tos.rtd",,"DELTA","."&amp;R$2&amp;R$1&amp;"C"&amp;$A48)-100*RTD("tos.rtd",,"OPEN_INT","."&amp;R$2&amp;R$1&amp;"P"&amp;$A48)*RTD("tos.rtd",,"DELTA","."&amp;R$2&amp;R$1&amp;"P"&amp;$A48))/1000,0),IF($A$2="VEX",IFERROR(($A$4*$A$4*RTD("tos.rtd",,"VOLUME","."&amp;R$2&amp;R$1&amp;"C"&amp;$A48)*RTD("tos.rtd",,"GAMMA","."&amp;R$2&amp;R$1&amp;"C"&amp;$A48)-$A$4*$A$4*RTD("tos.rtd",,"VOLUME","."&amp;R$2&amp;R$1&amp;"P"&amp;$A48)*RTD("tos.rtd",,"GAMMA","."&amp;R$2&amp;R$1&amp;"P"&amp;$A48))/1000000,0),IF($A$2="GEX",IFERROR(($A$4*$A$4*RTD("tos.rtd",,"OPEN_INT","."&amp;R$2&amp;R$1&amp;"C"&amp;$A48)*RTD("tos.rtd",,"GAMMA","."&amp;R$2&amp;R$1&amp;"C"&amp;$A48)-$A$4*$A$4*RTD("tos.rtd",,"OPEN_INT","."&amp;R$2&amp;R$1&amp;"P"&amp;$A48)*RTD("tos.rtd",,"GAMMA","."&amp;R$2&amp;R$1&amp;"P"&amp;$A48))/1000000,0),IF($A$2="SKEW",IFERROR(VALUE(IF(RTD("tos.rtd",,"IMPL_VOL","."&amp;R$2&amp;R$1&amp;"P"&amp;$A48)="N/A",0,RTD("tos.rtd",,"IMPL_VOL","."&amp;R$2&amp;R$1&amp;"P"&amp;$A48))),0)-IFERROR(VALUE(IF(RTD("tos.rtd",,"IMPL_VOL","."&amp;R$2&amp;R$1&amp;"C"&amp;$A48)="N/A",0,RTD("tos.rtd",,"IMPL_VOL","."&amp;R$2&amp;R$1&amp;"C"&amp;$A48))),0),IF($A$2="MAXPAIN",IF($A$4&gt;$A48,($A$4-$A48)*IF(RTD("tos.rtd",,"OPEN_INT","."&amp;R$2&amp;R$1&amp;"C"&amp;$A48)="N/A",0,RTD("tos.rtd",,"OPEN_INT","."&amp;R$2&amp;R$1&amp;"C"&amp;$A48)),0)+IF($A$4&lt;$A48,($A48-$A$4)*IF(RTD("tos.rtd",,"OPEN_INT","."&amp;R$2&amp;R$1&amp;"P"&amp;$A48)="N/A",0,RTD("tos.rtd",,"OPEN_INT","."&amp;R$2&amp;R$1&amp;"P"&amp;$A48)),0),IF(RTD("tos.rtd",,$A$2,"."&amp;R$2&amp;R$1&amp;"C"&amp;$A48)="N/A",0,RTD("tos.rtd",,$A$2,"."&amp;R$2&amp;R$1&amp;"C"&amp;$A48))-IF(RTD("tos.rtd",,$A$2,"."&amp;R$2&amp;R$1&amp;"P"&amp;$A48)="N/A",0,RTD("tos.rtd",,$A$2,"."&amp;R$2&amp;R$1&amp;"P"&amp;$A48)))))))))</f>
        <v>0</v>
      </c>
      <c r="S48" s="12">
        <f>IF($A$2="PREMIUM_OI",IFERROR((100*RTD("tos.rtd",,"OPEN_INT","."&amp;S$2&amp;S$1&amp;"C"&amp;$A48)*RTD("tos.rtd",,"LAST","."&amp;S$2&amp;S$1&amp;"C"&amp;$A48)-100*RTD("tos.rtd",,"OPEN_INT","."&amp;S$2&amp;S$1&amp;"P"&amp;$A48)*RTD("tos.rtd",,"LAST","."&amp;S$2&amp;S$1&amp;"P"&amp;$A48))/1000000,0),IF($A$2="PREMIUM",IFERROR((100*RTD("tos.rtd",,"VOLUME","."&amp;S$2&amp;S$1&amp;"C"&amp;$A48)*RTD("tos.rtd",,"LAST","."&amp;S$2&amp;S$1&amp;"C"&amp;$A48)-100*RTD("tos.rtd",,"VOLUME","."&amp;S$2&amp;S$1&amp;"P"&amp;$A48)*RTD("tos.rtd",,"LAST","."&amp;S$2&amp;S$1&amp;"P"&amp;$A48))/1000000,0),IF($A$2="DEX",IFERROR((100*RTD("tos.rtd",,"OPEN_INT","."&amp;S$2&amp;S$1&amp;"C"&amp;$A48)*RTD("tos.rtd",,"DELTA","."&amp;S$2&amp;S$1&amp;"C"&amp;$A48)-100*RTD("tos.rtd",,"OPEN_INT","."&amp;S$2&amp;S$1&amp;"P"&amp;$A48)*RTD("tos.rtd",,"DELTA","."&amp;S$2&amp;S$1&amp;"P"&amp;$A48))/1000,0),IF($A$2="VEX",IFERROR(($A$4*$A$4*RTD("tos.rtd",,"VOLUME","."&amp;S$2&amp;S$1&amp;"C"&amp;$A48)*RTD("tos.rtd",,"GAMMA","."&amp;S$2&amp;S$1&amp;"C"&amp;$A48)-$A$4*$A$4*RTD("tos.rtd",,"VOLUME","."&amp;S$2&amp;S$1&amp;"P"&amp;$A48)*RTD("tos.rtd",,"GAMMA","."&amp;S$2&amp;S$1&amp;"P"&amp;$A48))/1000000,0),IF($A$2="GEX",IFERROR(($A$4*$A$4*RTD("tos.rtd",,"OPEN_INT","."&amp;S$2&amp;S$1&amp;"C"&amp;$A48)*RTD("tos.rtd",,"GAMMA","."&amp;S$2&amp;S$1&amp;"C"&amp;$A48)-$A$4*$A$4*RTD("tos.rtd",,"OPEN_INT","."&amp;S$2&amp;S$1&amp;"P"&amp;$A48)*RTD("tos.rtd",,"GAMMA","."&amp;S$2&amp;S$1&amp;"P"&amp;$A48))/1000000,0),IF($A$2="SKEW",IFERROR(VALUE(IF(RTD("tos.rtd",,"IMPL_VOL","."&amp;S$2&amp;S$1&amp;"P"&amp;$A48)="N/A",0,RTD("tos.rtd",,"IMPL_VOL","."&amp;S$2&amp;S$1&amp;"P"&amp;$A48))),0)-IFERROR(VALUE(IF(RTD("tos.rtd",,"IMPL_VOL","."&amp;S$2&amp;S$1&amp;"C"&amp;$A48)="N/A",0,RTD("tos.rtd",,"IMPL_VOL","."&amp;S$2&amp;S$1&amp;"C"&amp;$A48))),0),IF($A$2="MAXPAIN",IF($A$4&gt;$A48,($A$4-$A48)*IF(RTD("tos.rtd",,"OPEN_INT","."&amp;S$2&amp;S$1&amp;"C"&amp;$A48)="N/A",0,RTD("tos.rtd",,"OPEN_INT","."&amp;S$2&amp;S$1&amp;"C"&amp;$A48)),0)+IF($A$4&lt;$A48,($A48-$A$4)*IF(RTD("tos.rtd",,"OPEN_INT","."&amp;S$2&amp;S$1&amp;"P"&amp;$A48)="N/A",0,RTD("tos.rtd",,"OPEN_INT","."&amp;S$2&amp;S$1&amp;"P"&amp;$A48)),0),IF(RTD("tos.rtd",,$A$2,"."&amp;S$2&amp;S$1&amp;"C"&amp;$A48)="N/A",0,RTD("tos.rtd",,$A$2,"."&amp;S$2&amp;S$1&amp;"C"&amp;$A48))-IF(RTD("tos.rtd",,$A$2,"."&amp;S$2&amp;S$1&amp;"P"&amp;$A48)="N/A",0,RTD("tos.rtd",,$A$2,"."&amp;S$2&amp;S$1&amp;"P"&amp;$A48)))))))))</f>
        <v>0</v>
      </c>
      <c r="T48" s="12">
        <f>IF($A$2="PREMIUM_OI",IFERROR((100*RTD("tos.rtd",,"OPEN_INT","."&amp;T$2&amp;T$1&amp;"C"&amp;$A48)*RTD("tos.rtd",,"LAST","."&amp;T$2&amp;T$1&amp;"C"&amp;$A48)-100*RTD("tos.rtd",,"OPEN_INT","."&amp;T$2&amp;T$1&amp;"P"&amp;$A48)*RTD("tos.rtd",,"LAST","."&amp;T$2&amp;T$1&amp;"P"&amp;$A48))/1000000,0),IF($A$2="PREMIUM",IFERROR((100*RTD("tos.rtd",,"VOLUME","."&amp;T$2&amp;T$1&amp;"C"&amp;$A48)*RTD("tos.rtd",,"LAST","."&amp;T$2&amp;T$1&amp;"C"&amp;$A48)-100*RTD("tos.rtd",,"VOLUME","."&amp;T$2&amp;T$1&amp;"P"&amp;$A48)*RTD("tos.rtd",,"LAST","."&amp;T$2&amp;T$1&amp;"P"&amp;$A48))/1000000,0),IF($A$2="DEX",IFERROR((100*RTD("tos.rtd",,"OPEN_INT","."&amp;T$2&amp;T$1&amp;"C"&amp;$A48)*RTD("tos.rtd",,"DELTA","."&amp;T$2&amp;T$1&amp;"C"&amp;$A48)-100*RTD("tos.rtd",,"OPEN_INT","."&amp;T$2&amp;T$1&amp;"P"&amp;$A48)*RTD("tos.rtd",,"DELTA","."&amp;T$2&amp;T$1&amp;"P"&amp;$A48))/1000,0),IF($A$2="VEX",IFERROR(($A$4*$A$4*RTD("tos.rtd",,"VOLUME","."&amp;T$2&amp;T$1&amp;"C"&amp;$A48)*RTD("tos.rtd",,"GAMMA","."&amp;T$2&amp;T$1&amp;"C"&amp;$A48)-$A$4*$A$4*RTD("tos.rtd",,"VOLUME","."&amp;T$2&amp;T$1&amp;"P"&amp;$A48)*RTD("tos.rtd",,"GAMMA","."&amp;T$2&amp;T$1&amp;"P"&amp;$A48))/1000000,0),IF($A$2="GEX",IFERROR(($A$4*$A$4*RTD("tos.rtd",,"OPEN_INT","."&amp;T$2&amp;T$1&amp;"C"&amp;$A48)*RTD("tos.rtd",,"GAMMA","."&amp;T$2&amp;T$1&amp;"C"&amp;$A48)-$A$4*$A$4*RTD("tos.rtd",,"OPEN_INT","."&amp;T$2&amp;T$1&amp;"P"&amp;$A48)*RTD("tos.rtd",,"GAMMA","."&amp;T$2&amp;T$1&amp;"P"&amp;$A48))/1000000,0),IF($A$2="SKEW",IFERROR(VALUE(IF(RTD("tos.rtd",,"IMPL_VOL","."&amp;T$2&amp;T$1&amp;"P"&amp;$A48)="N/A",0,RTD("tos.rtd",,"IMPL_VOL","."&amp;T$2&amp;T$1&amp;"P"&amp;$A48))),0)-IFERROR(VALUE(IF(RTD("tos.rtd",,"IMPL_VOL","."&amp;T$2&amp;T$1&amp;"C"&amp;$A48)="N/A",0,RTD("tos.rtd",,"IMPL_VOL","."&amp;T$2&amp;T$1&amp;"C"&amp;$A48))),0),IF($A$2="MAXPAIN",IF($A$4&gt;$A48,($A$4-$A48)*IF(RTD("tos.rtd",,"OPEN_INT","."&amp;T$2&amp;T$1&amp;"C"&amp;$A48)="N/A",0,RTD("tos.rtd",,"OPEN_INT","."&amp;T$2&amp;T$1&amp;"C"&amp;$A48)),0)+IF($A$4&lt;$A48,($A48-$A$4)*IF(RTD("tos.rtd",,"OPEN_INT","."&amp;T$2&amp;T$1&amp;"P"&amp;$A48)="N/A",0,RTD("tos.rtd",,"OPEN_INT","."&amp;T$2&amp;T$1&amp;"P"&amp;$A48)),0),IF(RTD("tos.rtd",,$A$2,"."&amp;T$2&amp;T$1&amp;"C"&amp;$A48)="N/A",0,RTD("tos.rtd",,$A$2,"."&amp;T$2&amp;T$1&amp;"C"&amp;$A48))-IF(RTD("tos.rtd",,$A$2,"."&amp;T$2&amp;T$1&amp;"P"&amp;$A48)="N/A",0,RTD("tos.rtd",,$A$2,"."&amp;T$2&amp;T$1&amp;"P"&amp;$A48)))))))))</f>
        <v>0</v>
      </c>
      <c r="U48" s="12">
        <f>IF($A$2="PREMIUM_OI",IFERROR((100*RTD("tos.rtd",,"OPEN_INT","."&amp;U$2&amp;U$1&amp;"C"&amp;$A48)*RTD("tos.rtd",,"LAST","."&amp;U$2&amp;U$1&amp;"C"&amp;$A48)-100*RTD("tos.rtd",,"OPEN_INT","."&amp;U$2&amp;U$1&amp;"P"&amp;$A48)*RTD("tos.rtd",,"LAST","."&amp;U$2&amp;U$1&amp;"P"&amp;$A48))/1000000,0),IF($A$2="PREMIUM",IFERROR((100*RTD("tos.rtd",,"VOLUME","."&amp;U$2&amp;U$1&amp;"C"&amp;$A48)*RTD("tos.rtd",,"LAST","."&amp;U$2&amp;U$1&amp;"C"&amp;$A48)-100*RTD("tos.rtd",,"VOLUME","."&amp;U$2&amp;U$1&amp;"P"&amp;$A48)*RTD("tos.rtd",,"LAST","."&amp;U$2&amp;U$1&amp;"P"&amp;$A48))/1000000,0),IF($A$2="DEX",IFERROR((100*RTD("tos.rtd",,"OPEN_INT","."&amp;U$2&amp;U$1&amp;"C"&amp;$A48)*RTD("tos.rtd",,"DELTA","."&amp;U$2&amp;U$1&amp;"C"&amp;$A48)-100*RTD("tos.rtd",,"OPEN_INT","."&amp;U$2&amp;U$1&amp;"P"&amp;$A48)*RTD("tos.rtd",,"DELTA","."&amp;U$2&amp;U$1&amp;"P"&amp;$A48))/1000,0),IF($A$2="VEX",IFERROR(($A$4*$A$4*RTD("tos.rtd",,"VOLUME","."&amp;U$2&amp;U$1&amp;"C"&amp;$A48)*RTD("tos.rtd",,"GAMMA","."&amp;U$2&amp;U$1&amp;"C"&amp;$A48)-$A$4*$A$4*RTD("tos.rtd",,"VOLUME","."&amp;U$2&amp;U$1&amp;"P"&amp;$A48)*RTD("tos.rtd",,"GAMMA","."&amp;U$2&amp;U$1&amp;"P"&amp;$A48))/1000000,0),IF($A$2="GEX",IFERROR(($A$4*$A$4*RTD("tos.rtd",,"OPEN_INT","."&amp;U$2&amp;U$1&amp;"C"&amp;$A48)*RTD("tos.rtd",,"GAMMA","."&amp;U$2&amp;U$1&amp;"C"&amp;$A48)-$A$4*$A$4*RTD("tos.rtd",,"OPEN_INT","."&amp;U$2&amp;U$1&amp;"P"&amp;$A48)*RTD("tos.rtd",,"GAMMA","."&amp;U$2&amp;U$1&amp;"P"&amp;$A48))/1000000,0),IF($A$2="SKEW",IFERROR(VALUE(IF(RTD("tos.rtd",,"IMPL_VOL","."&amp;U$2&amp;U$1&amp;"P"&amp;$A48)="N/A",0,RTD("tos.rtd",,"IMPL_VOL","."&amp;U$2&amp;U$1&amp;"P"&amp;$A48))),0)-IFERROR(VALUE(IF(RTD("tos.rtd",,"IMPL_VOL","."&amp;U$2&amp;U$1&amp;"C"&amp;$A48)="N/A",0,RTD("tos.rtd",,"IMPL_VOL","."&amp;U$2&amp;U$1&amp;"C"&amp;$A48))),0),IF($A$2="MAXPAIN",IF($A$4&gt;$A48,($A$4-$A48)*IF(RTD("tos.rtd",,"OPEN_INT","."&amp;U$2&amp;U$1&amp;"C"&amp;$A48)="N/A",0,RTD("tos.rtd",,"OPEN_INT","."&amp;U$2&amp;U$1&amp;"C"&amp;$A48)),0)+IF($A$4&lt;$A48,($A48-$A$4)*IF(RTD("tos.rtd",,"OPEN_INT","."&amp;U$2&amp;U$1&amp;"P"&amp;$A48)="N/A",0,RTD("tos.rtd",,"OPEN_INT","."&amp;U$2&amp;U$1&amp;"P"&amp;$A48)),0),IF(RTD("tos.rtd",,$A$2,"."&amp;U$2&amp;U$1&amp;"C"&amp;$A48)="N/A",0,RTD("tos.rtd",,$A$2,"."&amp;U$2&amp;U$1&amp;"C"&amp;$A48))-IF(RTD("tos.rtd",,$A$2,"."&amp;U$2&amp;U$1&amp;"P"&amp;$A48)="N/A",0,RTD("tos.rtd",,$A$2,"."&amp;U$2&amp;U$1&amp;"P"&amp;$A48)))))))))</f>
        <v>0</v>
      </c>
      <c r="V48" s="12">
        <f>IF($A$2="PREMIUM_OI",IFERROR((100*RTD("tos.rtd",,"OPEN_INT","."&amp;V$2&amp;V$1&amp;"C"&amp;$A48)*RTD("tos.rtd",,"LAST","."&amp;V$2&amp;V$1&amp;"C"&amp;$A48)-100*RTD("tos.rtd",,"OPEN_INT","."&amp;V$2&amp;V$1&amp;"P"&amp;$A48)*RTD("tos.rtd",,"LAST","."&amp;V$2&amp;V$1&amp;"P"&amp;$A48))/1000000,0),IF($A$2="PREMIUM",IFERROR((100*RTD("tos.rtd",,"VOLUME","."&amp;V$2&amp;V$1&amp;"C"&amp;$A48)*RTD("tos.rtd",,"LAST","."&amp;V$2&amp;V$1&amp;"C"&amp;$A48)-100*RTD("tos.rtd",,"VOLUME","."&amp;V$2&amp;V$1&amp;"P"&amp;$A48)*RTD("tos.rtd",,"LAST","."&amp;V$2&amp;V$1&amp;"P"&amp;$A48))/1000000,0),IF($A$2="DEX",IFERROR((100*RTD("tos.rtd",,"OPEN_INT","."&amp;V$2&amp;V$1&amp;"C"&amp;$A48)*RTD("tos.rtd",,"DELTA","."&amp;V$2&amp;V$1&amp;"C"&amp;$A48)-100*RTD("tos.rtd",,"OPEN_INT","."&amp;V$2&amp;V$1&amp;"P"&amp;$A48)*RTD("tos.rtd",,"DELTA","."&amp;V$2&amp;V$1&amp;"P"&amp;$A48))/1000,0),IF($A$2="VEX",IFERROR(($A$4*$A$4*RTD("tos.rtd",,"VOLUME","."&amp;V$2&amp;V$1&amp;"C"&amp;$A48)*RTD("tos.rtd",,"GAMMA","."&amp;V$2&amp;V$1&amp;"C"&amp;$A48)-$A$4*$A$4*RTD("tos.rtd",,"VOLUME","."&amp;V$2&amp;V$1&amp;"P"&amp;$A48)*RTD("tos.rtd",,"GAMMA","."&amp;V$2&amp;V$1&amp;"P"&amp;$A48))/1000000,0),IF($A$2="GEX",IFERROR(($A$4*$A$4*RTD("tos.rtd",,"OPEN_INT","."&amp;V$2&amp;V$1&amp;"C"&amp;$A48)*RTD("tos.rtd",,"GAMMA","."&amp;V$2&amp;V$1&amp;"C"&amp;$A48)-$A$4*$A$4*RTD("tos.rtd",,"OPEN_INT","."&amp;V$2&amp;V$1&amp;"P"&amp;$A48)*RTD("tos.rtd",,"GAMMA","."&amp;V$2&amp;V$1&amp;"P"&amp;$A48))/1000000,0),IF($A$2="SKEW",IFERROR(VALUE(IF(RTD("tos.rtd",,"IMPL_VOL","."&amp;V$2&amp;V$1&amp;"P"&amp;$A48)="N/A",0,RTD("tos.rtd",,"IMPL_VOL","."&amp;V$2&amp;V$1&amp;"P"&amp;$A48))),0)-IFERROR(VALUE(IF(RTD("tos.rtd",,"IMPL_VOL","."&amp;V$2&amp;V$1&amp;"C"&amp;$A48)="N/A",0,RTD("tos.rtd",,"IMPL_VOL","."&amp;V$2&amp;V$1&amp;"C"&amp;$A48))),0),IF($A$2="MAXPAIN",IF($A$4&gt;$A48,($A$4-$A48)*IF(RTD("tos.rtd",,"OPEN_INT","."&amp;V$2&amp;V$1&amp;"C"&amp;$A48)="N/A",0,RTD("tos.rtd",,"OPEN_INT","."&amp;V$2&amp;V$1&amp;"C"&amp;$A48)),0)+IF($A$4&lt;$A48,($A48-$A$4)*IF(RTD("tos.rtd",,"OPEN_INT","."&amp;V$2&amp;V$1&amp;"P"&amp;$A48)="N/A",0,RTD("tos.rtd",,"OPEN_INT","."&amp;V$2&amp;V$1&amp;"P"&amp;$A48)),0),IF(RTD("tos.rtd",,$A$2,"."&amp;V$2&amp;V$1&amp;"C"&amp;$A48)="N/A",0,RTD("tos.rtd",,$A$2,"."&amp;V$2&amp;V$1&amp;"C"&amp;$A48))-IF(RTD("tos.rtd",,$A$2,"."&amp;V$2&amp;V$1&amp;"P"&amp;$A48)="N/A",0,RTD("tos.rtd",,$A$2,"."&amp;V$2&amp;V$1&amp;"P"&amp;$A48)))))))))</f>
        <v>0</v>
      </c>
      <c r="W48" s="12">
        <f>IF($A$2="PREMIUM_OI",IFERROR((100*RTD("tos.rtd",,"OPEN_INT","."&amp;W$2&amp;W$1&amp;"C"&amp;$A48)*RTD("tos.rtd",,"LAST","."&amp;W$2&amp;W$1&amp;"C"&amp;$A48)-100*RTD("tos.rtd",,"OPEN_INT","."&amp;W$2&amp;W$1&amp;"P"&amp;$A48)*RTD("tos.rtd",,"LAST","."&amp;W$2&amp;W$1&amp;"P"&amp;$A48))/1000000,0),IF($A$2="PREMIUM",IFERROR((100*RTD("tos.rtd",,"VOLUME","."&amp;W$2&amp;W$1&amp;"C"&amp;$A48)*RTD("tos.rtd",,"LAST","."&amp;W$2&amp;W$1&amp;"C"&amp;$A48)-100*RTD("tos.rtd",,"VOLUME","."&amp;W$2&amp;W$1&amp;"P"&amp;$A48)*RTD("tos.rtd",,"LAST","."&amp;W$2&amp;W$1&amp;"P"&amp;$A48))/1000000,0),IF($A$2="DEX",IFERROR((100*RTD("tos.rtd",,"OPEN_INT","."&amp;W$2&amp;W$1&amp;"C"&amp;$A48)*RTD("tos.rtd",,"DELTA","."&amp;W$2&amp;W$1&amp;"C"&amp;$A48)-100*RTD("tos.rtd",,"OPEN_INT","."&amp;W$2&amp;W$1&amp;"P"&amp;$A48)*RTD("tos.rtd",,"DELTA","."&amp;W$2&amp;W$1&amp;"P"&amp;$A48))/1000,0),IF($A$2="VEX",IFERROR(($A$4*$A$4*RTD("tos.rtd",,"VOLUME","."&amp;W$2&amp;W$1&amp;"C"&amp;$A48)*RTD("tos.rtd",,"GAMMA","."&amp;W$2&amp;W$1&amp;"C"&amp;$A48)-$A$4*$A$4*RTD("tos.rtd",,"VOLUME","."&amp;W$2&amp;W$1&amp;"P"&amp;$A48)*RTD("tos.rtd",,"GAMMA","."&amp;W$2&amp;W$1&amp;"P"&amp;$A48))/1000000,0),IF($A$2="GEX",IFERROR(($A$4*$A$4*RTD("tos.rtd",,"OPEN_INT","."&amp;W$2&amp;W$1&amp;"C"&amp;$A48)*RTD("tos.rtd",,"GAMMA","."&amp;W$2&amp;W$1&amp;"C"&amp;$A48)-$A$4*$A$4*RTD("tos.rtd",,"OPEN_INT","."&amp;W$2&amp;W$1&amp;"P"&amp;$A48)*RTD("tos.rtd",,"GAMMA","."&amp;W$2&amp;W$1&amp;"P"&amp;$A48))/1000000,0),IF($A$2="SKEW",IFERROR(VALUE(IF(RTD("tos.rtd",,"IMPL_VOL","."&amp;W$2&amp;W$1&amp;"P"&amp;$A48)="N/A",0,RTD("tos.rtd",,"IMPL_VOL","."&amp;W$2&amp;W$1&amp;"P"&amp;$A48))),0)-IFERROR(VALUE(IF(RTD("tos.rtd",,"IMPL_VOL","."&amp;W$2&amp;W$1&amp;"C"&amp;$A48)="N/A",0,RTD("tos.rtd",,"IMPL_VOL","."&amp;W$2&amp;W$1&amp;"C"&amp;$A48))),0),IF($A$2="MAXPAIN",IF($A$4&gt;$A48,($A$4-$A48)*IF(RTD("tos.rtd",,"OPEN_INT","."&amp;W$2&amp;W$1&amp;"C"&amp;$A48)="N/A",0,RTD("tos.rtd",,"OPEN_INT","."&amp;W$2&amp;W$1&amp;"C"&amp;$A48)),0)+IF($A$4&lt;$A48,($A48-$A$4)*IF(RTD("tos.rtd",,"OPEN_INT","."&amp;W$2&amp;W$1&amp;"P"&amp;$A48)="N/A",0,RTD("tos.rtd",,"OPEN_INT","."&amp;W$2&amp;W$1&amp;"P"&amp;$A48)),0),IF(RTD("tos.rtd",,$A$2,"."&amp;W$2&amp;W$1&amp;"C"&amp;$A48)="N/A",0,RTD("tos.rtd",,$A$2,"."&amp;W$2&amp;W$1&amp;"C"&amp;$A48))-IF(RTD("tos.rtd",,$A$2,"."&amp;W$2&amp;W$1&amp;"P"&amp;$A48)="N/A",0,RTD("tos.rtd",,$A$2,"."&amp;W$2&amp;W$1&amp;"P"&amp;$A48)))))))))</f>
        <v>0</v>
      </c>
      <c r="X48" s="12">
        <f t="shared" ca="1" si="7"/>
        <v>0</v>
      </c>
      <c r="Y48" s="27">
        <f t="shared" ca="1" si="8"/>
        <v>0</v>
      </c>
      <c r="AA48" s="35">
        <f>+IF($AJ$1,AJ48,TASTYOHLC!A48)</f>
        <v>0</v>
      </c>
      <c r="AB48" s="8">
        <f>+IF($AJ$1,AK48,TASTYOHLC!B48)</f>
        <v>0</v>
      </c>
      <c r="AC48" s="8">
        <f>+IF($AJ$1,AL48,TASTYOHLC!C48)</f>
        <v>0</v>
      </c>
      <c r="AD48" s="8">
        <f>+IF($AJ$1,AM48,TASTYOHLC!D48)</f>
        <v>0</v>
      </c>
      <c r="AE48" s="8">
        <f>+IF($AJ$1,AN48,TASTYOHLC!E48)</f>
        <v>0</v>
      </c>
      <c r="AF48" s="8"/>
      <c r="AJ48" s="37"/>
    </row>
    <row r="49" spans="1:36" s="19" customFormat="1" ht="11.1" customHeight="1" thickBot="1" x14ac:dyDescent="0.3">
      <c r="A49" s="23">
        <f t="shared" si="13"/>
        <v>-2.5</v>
      </c>
      <c r="B49" s="14">
        <f>IF($A$2="PREMIUM_OI",IFERROR((100*RTD("tos.rtd",,"OPEN_INT","."&amp;B$2&amp;B$1&amp;"C"&amp;$A49)*RTD("tos.rtd",,"LAST","."&amp;B$2&amp;B$1&amp;"C"&amp;$A49)-100*RTD("tos.rtd",,"OPEN_INT","."&amp;B$2&amp;B$1&amp;"P"&amp;$A49)*RTD("tos.rtd",,"LAST","."&amp;B$2&amp;B$1&amp;"P"&amp;$A49))/1000000,0),IF($A$2="PREMIUM",IFERROR((100*RTD("tos.rtd",,"VOLUME","."&amp;B$2&amp;B$1&amp;"C"&amp;$A49)*RTD("tos.rtd",,"LAST","."&amp;B$2&amp;B$1&amp;"C"&amp;$A49)-100*RTD("tos.rtd",,"VOLUME","."&amp;B$2&amp;B$1&amp;"P"&amp;$A49)*RTD("tos.rtd",,"LAST","."&amp;B$2&amp;B$1&amp;"P"&amp;$A49))/1000000,0),IF($A$2="DEX",IFERROR((100*RTD("tos.rtd",,"OPEN_INT","."&amp;B$2&amp;B$1&amp;"C"&amp;$A49)*RTD("tos.rtd",,"DELTA","."&amp;B$2&amp;B$1&amp;"C"&amp;$A49)-100*RTD("tos.rtd",,"OPEN_INT","."&amp;B$2&amp;B$1&amp;"P"&amp;$A49)*RTD("tos.rtd",,"DELTA","."&amp;B$2&amp;B$1&amp;"P"&amp;$A49))/1000,0),IF($A$2="VEX",IFERROR(($A$4*$A$4*RTD("tos.rtd",,"VOLUME","."&amp;B$2&amp;B$1&amp;"C"&amp;$A49)*RTD("tos.rtd",,"GAMMA","."&amp;B$2&amp;B$1&amp;"C"&amp;$A49)-$A$4*$A$4*RTD("tos.rtd",,"VOLUME","."&amp;B$2&amp;B$1&amp;"P"&amp;$A49)*RTD("tos.rtd",,"GAMMA","."&amp;B$2&amp;B$1&amp;"P"&amp;$A49))/1000000,0),IF($A$2="GEX",IFERROR(($A$4*$A$4*RTD("tos.rtd",,"OPEN_INT","."&amp;B$2&amp;B$1&amp;"C"&amp;$A49)*RTD("tos.rtd",,"GAMMA","."&amp;B$2&amp;B$1&amp;"C"&amp;$A49)-$A$4*$A$4*RTD("tos.rtd",,"OPEN_INT","."&amp;B$2&amp;B$1&amp;"P"&amp;$A49)*RTD("tos.rtd",,"GAMMA","."&amp;B$2&amp;B$1&amp;"P"&amp;$A49))/1000000,0),IF($A$2="SKEW",IFERROR(VALUE(IF(RTD("tos.rtd",,"IMPL_VOL","."&amp;B$2&amp;B$1&amp;"P"&amp;$A49)="N/A",0,RTD("tos.rtd",,"IMPL_VOL","."&amp;B$2&amp;B$1&amp;"P"&amp;$A49))),0)-IFERROR(VALUE(IF(RTD("tos.rtd",,"IMPL_VOL","."&amp;B$2&amp;B$1&amp;"C"&amp;$A49)="N/A",0,RTD("tos.rtd",,"IMPL_VOL","."&amp;B$2&amp;B$1&amp;"C"&amp;$A49))),0),IF($A$2="MAXPAIN",IF($A$4&gt;$A49,($A$4-$A49)*IF(RTD("tos.rtd",,"OPEN_INT","."&amp;B$2&amp;B$1&amp;"C"&amp;$A49)="N/A",0,RTD("tos.rtd",,"OPEN_INT","."&amp;B$2&amp;B$1&amp;"C"&amp;$A49)),0)+IF($A$4&lt;$A49,($A49-$A$4)*IF(RTD("tos.rtd",,"OPEN_INT","."&amp;B$2&amp;B$1&amp;"P"&amp;$A49)="N/A",0,RTD("tos.rtd",,"OPEN_INT","."&amp;B$2&amp;B$1&amp;"P"&amp;$A49)),0),IF(RTD("tos.rtd",,$A$2,"."&amp;B$2&amp;B$1&amp;"C"&amp;$A49)="N/A",0,RTD("tos.rtd",,$A$2,"."&amp;B$2&amp;B$1&amp;"C"&amp;$A49))-IF(RTD("tos.rtd",,$A$2,"."&amp;B$2&amp;B$1&amp;"P"&amp;$A49)="N/A",0,RTD("tos.rtd",,$A$2,"."&amp;B$2&amp;B$1&amp;"P"&amp;$A49)))))))))</f>
        <v>0</v>
      </c>
      <c r="C49" s="12">
        <f>IF($A$2="PREMIUM_OI",IFERROR((100*RTD("tos.rtd",,"OPEN_INT","."&amp;C$2&amp;C$1&amp;"C"&amp;$A49)*RTD("tos.rtd",,"LAST","."&amp;C$2&amp;C$1&amp;"C"&amp;$A49)-100*RTD("tos.rtd",,"OPEN_INT","."&amp;C$2&amp;C$1&amp;"P"&amp;$A49)*RTD("tos.rtd",,"LAST","."&amp;C$2&amp;C$1&amp;"P"&amp;$A49))/1000000,0),IF($A$2="PREMIUM",IFERROR((100*RTD("tos.rtd",,"VOLUME","."&amp;C$2&amp;C$1&amp;"C"&amp;$A49)*RTD("tos.rtd",,"LAST","."&amp;C$2&amp;C$1&amp;"C"&amp;$A49)-100*RTD("tos.rtd",,"VOLUME","."&amp;C$2&amp;C$1&amp;"P"&amp;$A49)*RTD("tos.rtd",,"LAST","."&amp;C$2&amp;C$1&amp;"P"&amp;$A49))/1000000,0),IF($A$2="DEX",IFERROR((100*RTD("tos.rtd",,"OPEN_INT","."&amp;C$2&amp;C$1&amp;"C"&amp;$A49)*RTD("tos.rtd",,"DELTA","."&amp;C$2&amp;C$1&amp;"C"&amp;$A49)-100*RTD("tos.rtd",,"OPEN_INT","."&amp;C$2&amp;C$1&amp;"P"&amp;$A49)*RTD("tos.rtd",,"DELTA","."&amp;C$2&amp;C$1&amp;"P"&amp;$A49))/1000,0),IF($A$2="VEX",IFERROR(($A$4*$A$4*RTD("tos.rtd",,"VOLUME","."&amp;C$2&amp;C$1&amp;"C"&amp;$A49)*RTD("tos.rtd",,"GAMMA","."&amp;C$2&amp;C$1&amp;"C"&amp;$A49)-$A$4*$A$4*RTD("tos.rtd",,"VOLUME","."&amp;C$2&amp;C$1&amp;"P"&amp;$A49)*RTD("tos.rtd",,"GAMMA","."&amp;C$2&amp;C$1&amp;"P"&amp;$A49))/1000000,0),IF($A$2="GEX",IFERROR(($A$4*$A$4*RTD("tos.rtd",,"OPEN_INT","."&amp;C$2&amp;C$1&amp;"C"&amp;$A49)*RTD("tos.rtd",,"GAMMA","."&amp;C$2&amp;C$1&amp;"C"&amp;$A49)-$A$4*$A$4*RTD("tos.rtd",,"OPEN_INT","."&amp;C$2&amp;C$1&amp;"P"&amp;$A49)*RTD("tos.rtd",,"GAMMA","."&amp;C$2&amp;C$1&amp;"P"&amp;$A49))/1000000,0),IF($A$2="SKEW",IFERROR(VALUE(IF(RTD("tos.rtd",,"IMPL_VOL","."&amp;C$2&amp;C$1&amp;"P"&amp;$A49)="N/A",0,RTD("tos.rtd",,"IMPL_VOL","."&amp;C$2&amp;C$1&amp;"P"&amp;$A49))),0)-IFERROR(VALUE(IF(RTD("tos.rtd",,"IMPL_VOL","."&amp;C$2&amp;C$1&amp;"C"&amp;$A49)="N/A",0,RTD("tos.rtd",,"IMPL_VOL","."&amp;C$2&amp;C$1&amp;"C"&amp;$A49))),0),IF($A$2="MAXPAIN",IF($A$4&gt;$A49,($A$4-$A49)*IF(RTD("tos.rtd",,"OPEN_INT","."&amp;C$2&amp;C$1&amp;"C"&amp;$A49)="N/A",0,RTD("tos.rtd",,"OPEN_INT","."&amp;C$2&amp;C$1&amp;"C"&amp;$A49)),0)+IF($A$4&lt;$A49,($A49-$A$4)*IF(RTD("tos.rtd",,"OPEN_INT","."&amp;C$2&amp;C$1&amp;"P"&amp;$A49)="N/A",0,RTD("tos.rtd",,"OPEN_INT","."&amp;C$2&amp;C$1&amp;"P"&amp;$A49)),0),IF(RTD("tos.rtd",,$A$2,"."&amp;C$2&amp;C$1&amp;"C"&amp;$A49)="N/A",0,RTD("tos.rtd",,$A$2,"."&amp;C$2&amp;C$1&amp;"C"&amp;$A49))-IF(RTD("tos.rtd",,$A$2,"."&amp;C$2&amp;C$1&amp;"P"&amp;$A49)="N/A",0,RTD("tos.rtd",,$A$2,"."&amp;C$2&amp;C$1&amp;"P"&amp;$A49)))))))))</f>
        <v>0</v>
      </c>
      <c r="D49" s="12">
        <f>IF($A$2="PREMIUM_OI",IFERROR((100*RTD("tos.rtd",,"OPEN_INT","."&amp;D$2&amp;D$1&amp;"C"&amp;$A49)*RTD("tos.rtd",,"LAST","."&amp;D$2&amp;D$1&amp;"C"&amp;$A49)-100*RTD("tos.rtd",,"OPEN_INT","."&amp;D$2&amp;D$1&amp;"P"&amp;$A49)*RTD("tos.rtd",,"LAST","."&amp;D$2&amp;D$1&amp;"P"&amp;$A49))/1000000,0),IF($A$2="PREMIUM",IFERROR((100*RTD("tos.rtd",,"VOLUME","."&amp;D$2&amp;D$1&amp;"C"&amp;$A49)*RTD("tos.rtd",,"LAST","."&amp;D$2&amp;D$1&amp;"C"&amp;$A49)-100*RTD("tos.rtd",,"VOLUME","."&amp;D$2&amp;D$1&amp;"P"&amp;$A49)*RTD("tos.rtd",,"LAST","."&amp;D$2&amp;D$1&amp;"P"&amp;$A49))/1000000,0),IF($A$2="DEX",IFERROR((100*RTD("tos.rtd",,"OPEN_INT","."&amp;D$2&amp;D$1&amp;"C"&amp;$A49)*RTD("tos.rtd",,"DELTA","."&amp;D$2&amp;D$1&amp;"C"&amp;$A49)-100*RTD("tos.rtd",,"OPEN_INT","."&amp;D$2&amp;D$1&amp;"P"&amp;$A49)*RTD("tos.rtd",,"DELTA","."&amp;D$2&amp;D$1&amp;"P"&amp;$A49))/1000,0),IF($A$2="VEX",IFERROR(($A$4*$A$4*RTD("tos.rtd",,"VOLUME","."&amp;D$2&amp;D$1&amp;"C"&amp;$A49)*RTD("tos.rtd",,"GAMMA","."&amp;D$2&amp;D$1&amp;"C"&amp;$A49)-$A$4*$A$4*RTD("tos.rtd",,"VOLUME","."&amp;D$2&amp;D$1&amp;"P"&amp;$A49)*RTD("tos.rtd",,"GAMMA","."&amp;D$2&amp;D$1&amp;"P"&amp;$A49))/1000000,0),IF($A$2="GEX",IFERROR(($A$4*$A$4*RTD("tos.rtd",,"OPEN_INT","."&amp;D$2&amp;D$1&amp;"C"&amp;$A49)*RTD("tos.rtd",,"GAMMA","."&amp;D$2&amp;D$1&amp;"C"&amp;$A49)-$A$4*$A$4*RTD("tos.rtd",,"OPEN_INT","."&amp;D$2&amp;D$1&amp;"P"&amp;$A49)*RTD("tos.rtd",,"GAMMA","."&amp;D$2&amp;D$1&amp;"P"&amp;$A49))/1000000,0),IF($A$2="SKEW",IFERROR(VALUE(IF(RTD("tos.rtd",,"IMPL_VOL","."&amp;D$2&amp;D$1&amp;"P"&amp;$A49)="N/A",0,RTD("tos.rtd",,"IMPL_VOL","."&amp;D$2&amp;D$1&amp;"P"&amp;$A49))),0)-IFERROR(VALUE(IF(RTD("tos.rtd",,"IMPL_VOL","."&amp;D$2&amp;D$1&amp;"C"&amp;$A49)="N/A",0,RTD("tos.rtd",,"IMPL_VOL","."&amp;D$2&amp;D$1&amp;"C"&amp;$A49))),0),IF($A$2="MAXPAIN",IF($A$4&gt;$A49,($A$4-$A49)*IF(RTD("tos.rtd",,"OPEN_INT","."&amp;D$2&amp;D$1&amp;"C"&amp;$A49)="N/A",0,RTD("tos.rtd",,"OPEN_INT","."&amp;D$2&amp;D$1&amp;"C"&amp;$A49)),0)+IF($A$4&lt;$A49,($A49-$A$4)*IF(RTD("tos.rtd",,"OPEN_INT","."&amp;D$2&amp;D$1&amp;"P"&amp;$A49)="N/A",0,RTD("tos.rtd",,"OPEN_INT","."&amp;D$2&amp;D$1&amp;"P"&amp;$A49)),0),IF(RTD("tos.rtd",,$A$2,"."&amp;D$2&amp;D$1&amp;"C"&amp;$A49)="N/A",0,RTD("tos.rtd",,$A$2,"."&amp;D$2&amp;D$1&amp;"C"&amp;$A49))-IF(RTD("tos.rtd",,$A$2,"."&amp;D$2&amp;D$1&amp;"P"&amp;$A49)="N/A",0,RTD("tos.rtd",,$A$2,"."&amp;D$2&amp;D$1&amp;"P"&amp;$A49)))))))))</f>
        <v>0</v>
      </c>
      <c r="E49" s="12">
        <f>IF($A$2="PREMIUM_OI",IFERROR((100*RTD("tos.rtd",,"OPEN_INT","."&amp;E$2&amp;E$1&amp;"C"&amp;$A49)*RTD("tos.rtd",,"LAST","."&amp;E$2&amp;E$1&amp;"C"&amp;$A49)-100*RTD("tos.rtd",,"OPEN_INT","."&amp;E$2&amp;E$1&amp;"P"&amp;$A49)*RTD("tos.rtd",,"LAST","."&amp;E$2&amp;E$1&amp;"P"&amp;$A49))/1000000,0),IF($A$2="PREMIUM",IFERROR((100*RTD("tos.rtd",,"VOLUME","."&amp;E$2&amp;E$1&amp;"C"&amp;$A49)*RTD("tos.rtd",,"LAST","."&amp;E$2&amp;E$1&amp;"C"&amp;$A49)-100*RTD("tos.rtd",,"VOLUME","."&amp;E$2&amp;E$1&amp;"P"&amp;$A49)*RTD("tos.rtd",,"LAST","."&amp;E$2&amp;E$1&amp;"P"&amp;$A49))/1000000,0),IF($A$2="DEX",IFERROR((100*RTD("tos.rtd",,"OPEN_INT","."&amp;E$2&amp;E$1&amp;"C"&amp;$A49)*RTD("tos.rtd",,"DELTA","."&amp;E$2&amp;E$1&amp;"C"&amp;$A49)-100*RTD("tos.rtd",,"OPEN_INT","."&amp;E$2&amp;E$1&amp;"P"&amp;$A49)*RTD("tos.rtd",,"DELTA","."&amp;E$2&amp;E$1&amp;"P"&amp;$A49))/1000,0),IF($A$2="VEX",IFERROR(($A$4*$A$4*RTD("tos.rtd",,"VOLUME","."&amp;E$2&amp;E$1&amp;"C"&amp;$A49)*RTD("tos.rtd",,"GAMMA","."&amp;E$2&amp;E$1&amp;"C"&amp;$A49)-$A$4*$A$4*RTD("tos.rtd",,"VOLUME","."&amp;E$2&amp;E$1&amp;"P"&amp;$A49)*RTD("tos.rtd",,"GAMMA","."&amp;E$2&amp;E$1&amp;"P"&amp;$A49))/1000000,0),IF($A$2="GEX",IFERROR(($A$4*$A$4*RTD("tos.rtd",,"OPEN_INT","."&amp;E$2&amp;E$1&amp;"C"&amp;$A49)*RTD("tos.rtd",,"GAMMA","."&amp;E$2&amp;E$1&amp;"C"&amp;$A49)-$A$4*$A$4*RTD("tos.rtd",,"OPEN_INT","."&amp;E$2&amp;E$1&amp;"P"&amp;$A49)*RTD("tos.rtd",,"GAMMA","."&amp;E$2&amp;E$1&amp;"P"&amp;$A49))/1000000,0),IF($A$2="SKEW",IFERROR(VALUE(IF(RTD("tos.rtd",,"IMPL_VOL","."&amp;E$2&amp;E$1&amp;"P"&amp;$A49)="N/A",0,RTD("tos.rtd",,"IMPL_VOL","."&amp;E$2&amp;E$1&amp;"P"&amp;$A49))),0)-IFERROR(VALUE(IF(RTD("tos.rtd",,"IMPL_VOL","."&amp;E$2&amp;E$1&amp;"C"&amp;$A49)="N/A",0,RTD("tos.rtd",,"IMPL_VOL","."&amp;E$2&amp;E$1&amp;"C"&amp;$A49))),0),IF($A$2="MAXPAIN",IF($A$4&gt;$A49,($A$4-$A49)*IF(RTD("tos.rtd",,"OPEN_INT","."&amp;E$2&amp;E$1&amp;"C"&amp;$A49)="N/A",0,RTD("tos.rtd",,"OPEN_INT","."&amp;E$2&amp;E$1&amp;"C"&amp;$A49)),0)+IF($A$4&lt;$A49,($A49-$A$4)*IF(RTD("tos.rtd",,"OPEN_INT","."&amp;E$2&amp;E$1&amp;"P"&amp;$A49)="N/A",0,RTD("tos.rtd",,"OPEN_INT","."&amp;E$2&amp;E$1&amp;"P"&amp;$A49)),0),IF(RTD("tos.rtd",,$A$2,"."&amp;E$2&amp;E$1&amp;"C"&amp;$A49)="N/A",0,RTD("tos.rtd",,$A$2,"."&amp;E$2&amp;E$1&amp;"C"&amp;$A49))-IF(RTD("tos.rtd",,$A$2,"."&amp;E$2&amp;E$1&amp;"P"&amp;$A49)="N/A",0,RTD("tos.rtd",,$A$2,"."&amp;E$2&amp;E$1&amp;"P"&amp;$A49)))))))))</f>
        <v>0</v>
      </c>
      <c r="F49" s="12">
        <f>IF($A$2="PREMIUM_OI",IFERROR((100*RTD("tos.rtd",,"OPEN_INT","."&amp;F$2&amp;F$1&amp;"C"&amp;$A49)*RTD("tos.rtd",,"LAST","."&amp;F$2&amp;F$1&amp;"C"&amp;$A49)-100*RTD("tos.rtd",,"OPEN_INT","."&amp;F$2&amp;F$1&amp;"P"&amp;$A49)*RTD("tos.rtd",,"LAST","."&amp;F$2&amp;F$1&amp;"P"&amp;$A49))/1000000,0),IF($A$2="PREMIUM",IFERROR((100*RTD("tos.rtd",,"VOLUME","."&amp;F$2&amp;F$1&amp;"C"&amp;$A49)*RTD("tos.rtd",,"LAST","."&amp;F$2&amp;F$1&amp;"C"&amp;$A49)-100*RTD("tos.rtd",,"VOLUME","."&amp;F$2&amp;F$1&amp;"P"&amp;$A49)*RTD("tos.rtd",,"LAST","."&amp;F$2&amp;F$1&amp;"P"&amp;$A49))/1000000,0),IF($A$2="DEX",IFERROR((100*RTD("tos.rtd",,"OPEN_INT","."&amp;F$2&amp;F$1&amp;"C"&amp;$A49)*RTD("tos.rtd",,"DELTA","."&amp;F$2&amp;F$1&amp;"C"&amp;$A49)-100*RTD("tos.rtd",,"OPEN_INT","."&amp;F$2&amp;F$1&amp;"P"&amp;$A49)*RTD("tos.rtd",,"DELTA","."&amp;F$2&amp;F$1&amp;"P"&amp;$A49))/1000,0),IF($A$2="VEX",IFERROR(($A$4*$A$4*RTD("tos.rtd",,"VOLUME","."&amp;F$2&amp;F$1&amp;"C"&amp;$A49)*RTD("tos.rtd",,"GAMMA","."&amp;F$2&amp;F$1&amp;"C"&amp;$A49)-$A$4*$A$4*RTD("tos.rtd",,"VOLUME","."&amp;F$2&amp;F$1&amp;"P"&amp;$A49)*RTD("tos.rtd",,"GAMMA","."&amp;F$2&amp;F$1&amp;"P"&amp;$A49))/1000000,0),IF($A$2="GEX",IFERROR(($A$4*$A$4*RTD("tos.rtd",,"OPEN_INT","."&amp;F$2&amp;F$1&amp;"C"&amp;$A49)*RTD("tos.rtd",,"GAMMA","."&amp;F$2&amp;F$1&amp;"C"&amp;$A49)-$A$4*$A$4*RTD("tos.rtd",,"OPEN_INT","."&amp;F$2&amp;F$1&amp;"P"&amp;$A49)*RTD("tos.rtd",,"GAMMA","."&amp;F$2&amp;F$1&amp;"P"&amp;$A49))/1000000,0),IF($A$2="SKEW",IFERROR(VALUE(IF(RTD("tos.rtd",,"IMPL_VOL","."&amp;F$2&amp;F$1&amp;"P"&amp;$A49)="N/A",0,RTD("tos.rtd",,"IMPL_VOL","."&amp;F$2&amp;F$1&amp;"P"&amp;$A49))),0)-IFERROR(VALUE(IF(RTD("tos.rtd",,"IMPL_VOL","."&amp;F$2&amp;F$1&amp;"C"&amp;$A49)="N/A",0,RTD("tos.rtd",,"IMPL_VOL","."&amp;F$2&amp;F$1&amp;"C"&amp;$A49))),0),IF($A$2="MAXPAIN",IF($A$4&gt;$A49,($A$4-$A49)*IF(RTD("tos.rtd",,"OPEN_INT","."&amp;F$2&amp;F$1&amp;"C"&amp;$A49)="N/A",0,RTD("tos.rtd",,"OPEN_INT","."&amp;F$2&amp;F$1&amp;"C"&amp;$A49)),0)+IF($A$4&lt;$A49,($A49-$A$4)*IF(RTD("tos.rtd",,"OPEN_INT","."&amp;F$2&amp;F$1&amp;"P"&amp;$A49)="N/A",0,RTD("tos.rtd",,"OPEN_INT","."&amp;F$2&amp;F$1&amp;"P"&amp;$A49)),0),IF(RTD("tos.rtd",,$A$2,"."&amp;F$2&amp;F$1&amp;"C"&amp;$A49)="N/A",0,RTD("tos.rtd",,$A$2,"."&amp;F$2&amp;F$1&amp;"C"&amp;$A49))-IF(RTD("tos.rtd",,$A$2,"."&amp;F$2&amp;F$1&amp;"P"&amp;$A49)="N/A",0,RTD("tos.rtd",,$A$2,"."&amp;F$2&amp;F$1&amp;"P"&amp;$A49)))))))))</f>
        <v>0</v>
      </c>
      <c r="G49" s="14">
        <f>IF($A$2="PREMIUM_OI",IFERROR((100*RTD("tos.rtd",,"OPEN_INT","."&amp;G$2&amp;G$1&amp;"C"&amp;$A49)*RTD("tos.rtd",,"LAST","."&amp;G$2&amp;G$1&amp;"C"&amp;$A49)-100*RTD("tos.rtd",,"OPEN_INT","."&amp;G$2&amp;G$1&amp;"P"&amp;$A49)*RTD("tos.rtd",,"LAST","."&amp;G$2&amp;G$1&amp;"P"&amp;$A49))/1000000,0),IF($A$2="PREMIUM",IFERROR((100*RTD("tos.rtd",,"VOLUME","."&amp;G$2&amp;G$1&amp;"C"&amp;$A49)*RTD("tos.rtd",,"LAST","."&amp;G$2&amp;G$1&amp;"C"&amp;$A49)-100*RTD("tos.rtd",,"VOLUME","."&amp;G$2&amp;G$1&amp;"P"&amp;$A49)*RTD("tos.rtd",,"LAST","."&amp;G$2&amp;G$1&amp;"P"&amp;$A49))/1000000,0),IF($A$2="DEX",IFERROR((100*RTD("tos.rtd",,"OPEN_INT","."&amp;G$2&amp;G$1&amp;"C"&amp;$A49)*RTD("tos.rtd",,"DELTA","."&amp;G$2&amp;G$1&amp;"C"&amp;$A49)-100*RTD("tos.rtd",,"OPEN_INT","."&amp;G$2&amp;G$1&amp;"P"&amp;$A49)*RTD("tos.rtd",,"DELTA","."&amp;G$2&amp;G$1&amp;"P"&amp;$A49))/1000,0),IF($A$2="VEX",IFERROR(($A$4*$A$4*RTD("tos.rtd",,"VOLUME","."&amp;G$2&amp;G$1&amp;"C"&amp;$A49)*RTD("tos.rtd",,"GAMMA","."&amp;G$2&amp;G$1&amp;"C"&amp;$A49)-$A$4*$A$4*RTD("tos.rtd",,"VOLUME","."&amp;G$2&amp;G$1&amp;"P"&amp;$A49)*RTD("tos.rtd",,"GAMMA","."&amp;G$2&amp;G$1&amp;"P"&amp;$A49))/1000000,0),IF($A$2="GEX",IFERROR(($A$4*$A$4*RTD("tos.rtd",,"OPEN_INT","."&amp;G$2&amp;G$1&amp;"C"&amp;$A49)*RTD("tos.rtd",,"GAMMA","."&amp;G$2&amp;G$1&amp;"C"&amp;$A49)-$A$4*$A$4*RTD("tos.rtd",,"OPEN_INT","."&amp;G$2&amp;G$1&amp;"P"&amp;$A49)*RTD("tos.rtd",,"GAMMA","."&amp;G$2&amp;G$1&amp;"P"&amp;$A49))/1000000,0),IF($A$2="SKEW",IFERROR(VALUE(IF(RTD("tos.rtd",,"IMPL_VOL","."&amp;G$2&amp;G$1&amp;"P"&amp;$A49)="N/A",0,RTD("tos.rtd",,"IMPL_VOL","."&amp;G$2&amp;G$1&amp;"P"&amp;$A49))),0)-IFERROR(VALUE(IF(RTD("tos.rtd",,"IMPL_VOL","."&amp;G$2&amp;G$1&amp;"C"&amp;$A49)="N/A",0,RTD("tos.rtd",,"IMPL_VOL","."&amp;G$2&amp;G$1&amp;"C"&amp;$A49))),0),IF($A$2="MAXPAIN",IF($A$4&gt;$A49,($A$4-$A49)*IF(RTD("tos.rtd",,"OPEN_INT","."&amp;G$2&amp;G$1&amp;"C"&amp;$A49)="N/A",0,RTD("tos.rtd",,"OPEN_INT","."&amp;G$2&amp;G$1&amp;"C"&amp;$A49)),0)+IF($A$4&lt;$A49,($A49-$A$4)*IF(RTD("tos.rtd",,"OPEN_INT","."&amp;G$2&amp;G$1&amp;"P"&amp;$A49)="N/A",0,RTD("tos.rtd",,"OPEN_INT","."&amp;G$2&amp;G$1&amp;"P"&amp;$A49)),0),IF(RTD("tos.rtd",,$A$2,"."&amp;G$2&amp;G$1&amp;"C"&amp;$A49)="N/A",0,RTD("tos.rtd",,$A$2,"."&amp;G$2&amp;G$1&amp;"C"&amp;$A49))-IF(RTD("tos.rtd",,$A$2,"."&amp;G$2&amp;G$1&amp;"P"&amp;$A49)="N/A",0,RTD("tos.rtd",,$A$2,"."&amp;G$2&amp;G$1&amp;"P"&amp;$A49)))))))))</f>
        <v>0</v>
      </c>
      <c r="H49" s="12">
        <f>IF($A$2="PREMIUM_OI",IFERROR((100*RTD("tos.rtd",,"OPEN_INT","."&amp;H$2&amp;H$1&amp;"C"&amp;$A49)*RTD("tos.rtd",,"LAST","."&amp;H$2&amp;H$1&amp;"C"&amp;$A49)-100*RTD("tos.rtd",,"OPEN_INT","."&amp;H$2&amp;H$1&amp;"P"&amp;$A49)*RTD("tos.rtd",,"LAST","."&amp;H$2&amp;H$1&amp;"P"&amp;$A49))/1000000,0),IF($A$2="PREMIUM",IFERROR((100*RTD("tos.rtd",,"VOLUME","."&amp;H$2&amp;H$1&amp;"C"&amp;$A49)*RTD("tos.rtd",,"LAST","."&amp;H$2&amp;H$1&amp;"C"&amp;$A49)-100*RTD("tos.rtd",,"VOLUME","."&amp;H$2&amp;H$1&amp;"P"&amp;$A49)*RTD("tos.rtd",,"LAST","."&amp;H$2&amp;H$1&amp;"P"&amp;$A49))/1000000,0),IF($A$2="DEX",IFERROR((100*RTD("tos.rtd",,"OPEN_INT","."&amp;H$2&amp;H$1&amp;"C"&amp;$A49)*RTD("tos.rtd",,"DELTA","."&amp;H$2&amp;H$1&amp;"C"&amp;$A49)-100*RTD("tos.rtd",,"OPEN_INT","."&amp;H$2&amp;H$1&amp;"P"&amp;$A49)*RTD("tos.rtd",,"DELTA","."&amp;H$2&amp;H$1&amp;"P"&amp;$A49))/1000,0),IF($A$2="VEX",IFERROR(($A$4*$A$4*RTD("tos.rtd",,"VOLUME","."&amp;H$2&amp;H$1&amp;"C"&amp;$A49)*RTD("tos.rtd",,"GAMMA","."&amp;H$2&amp;H$1&amp;"C"&amp;$A49)-$A$4*$A$4*RTD("tos.rtd",,"VOLUME","."&amp;H$2&amp;H$1&amp;"P"&amp;$A49)*RTD("tos.rtd",,"GAMMA","."&amp;H$2&amp;H$1&amp;"P"&amp;$A49))/1000000,0),IF($A$2="GEX",IFERROR(($A$4*$A$4*RTD("tos.rtd",,"OPEN_INT","."&amp;H$2&amp;H$1&amp;"C"&amp;$A49)*RTD("tos.rtd",,"GAMMA","."&amp;H$2&amp;H$1&amp;"C"&amp;$A49)-$A$4*$A$4*RTD("tos.rtd",,"OPEN_INT","."&amp;H$2&amp;H$1&amp;"P"&amp;$A49)*RTD("tos.rtd",,"GAMMA","."&amp;H$2&amp;H$1&amp;"P"&amp;$A49))/1000000,0),IF($A$2="SKEW",IFERROR(VALUE(IF(RTD("tos.rtd",,"IMPL_VOL","."&amp;H$2&amp;H$1&amp;"P"&amp;$A49)="N/A",0,RTD("tos.rtd",,"IMPL_VOL","."&amp;H$2&amp;H$1&amp;"P"&amp;$A49))),0)-IFERROR(VALUE(IF(RTD("tos.rtd",,"IMPL_VOL","."&amp;H$2&amp;H$1&amp;"C"&amp;$A49)="N/A",0,RTD("tos.rtd",,"IMPL_VOL","."&amp;H$2&amp;H$1&amp;"C"&amp;$A49))),0),IF($A$2="MAXPAIN",IF($A$4&gt;$A49,($A$4-$A49)*IF(RTD("tos.rtd",,"OPEN_INT","."&amp;H$2&amp;H$1&amp;"C"&amp;$A49)="N/A",0,RTD("tos.rtd",,"OPEN_INT","."&amp;H$2&amp;H$1&amp;"C"&amp;$A49)),0)+IF($A$4&lt;$A49,($A49-$A$4)*IF(RTD("tos.rtd",,"OPEN_INT","."&amp;H$2&amp;H$1&amp;"P"&amp;$A49)="N/A",0,RTD("tos.rtd",,"OPEN_INT","."&amp;H$2&amp;H$1&amp;"P"&amp;$A49)),0),IF(RTD("tos.rtd",,$A$2,"."&amp;H$2&amp;H$1&amp;"C"&amp;$A49)="N/A",0,RTD("tos.rtd",,$A$2,"."&amp;H$2&amp;H$1&amp;"C"&amp;$A49))-IF(RTD("tos.rtd",,$A$2,"."&amp;H$2&amp;H$1&amp;"P"&amp;$A49)="N/A",0,RTD("tos.rtd",,$A$2,"."&amp;H$2&amp;H$1&amp;"P"&amp;$A49)))))))))</f>
        <v>0</v>
      </c>
      <c r="I49" s="12">
        <f>IF($A$2="PREMIUM_OI",IFERROR((100*RTD("tos.rtd",,"OPEN_INT","."&amp;I$2&amp;I$1&amp;"C"&amp;$A49)*RTD("tos.rtd",,"LAST","."&amp;I$2&amp;I$1&amp;"C"&amp;$A49)-100*RTD("tos.rtd",,"OPEN_INT","."&amp;I$2&amp;I$1&amp;"P"&amp;$A49)*RTD("tos.rtd",,"LAST","."&amp;I$2&amp;I$1&amp;"P"&amp;$A49))/1000000,0),IF($A$2="PREMIUM",IFERROR((100*RTD("tos.rtd",,"VOLUME","."&amp;I$2&amp;I$1&amp;"C"&amp;$A49)*RTD("tos.rtd",,"LAST","."&amp;I$2&amp;I$1&amp;"C"&amp;$A49)-100*RTD("tos.rtd",,"VOLUME","."&amp;I$2&amp;I$1&amp;"P"&amp;$A49)*RTD("tos.rtd",,"LAST","."&amp;I$2&amp;I$1&amp;"P"&amp;$A49))/1000000,0),IF($A$2="DEX",IFERROR((100*RTD("tos.rtd",,"OPEN_INT","."&amp;I$2&amp;I$1&amp;"C"&amp;$A49)*RTD("tos.rtd",,"DELTA","."&amp;I$2&amp;I$1&amp;"C"&amp;$A49)-100*RTD("tos.rtd",,"OPEN_INT","."&amp;I$2&amp;I$1&amp;"P"&amp;$A49)*RTD("tos.rtd",,"DELTA","."&amp;I$2&amp;I$1&amp;"P"&amp;$A49))/1000,0),IF($A$2="VEX",IFERROR(($A$4*$A$4*RTD("tos.rtd",,"VOLUME","."&amp;I$2&amp;I$1&amp;"C"&amp;$A49)*RTD("tos.rtd",,"GAMMA","."&amp;I$2&amp;I$1&amp;"C"&amp;$A49)-$A$4*$A$4*RTD("tos.rtd",,"VOLUME","."&amp;I$2&amp;I$1&amp;"P"&amp;$A49)*RTD("tos.rtd",,"GAMMA","."&amp;I$2&amp;I$1&amp;"P"&amp;$A49))/1000000,0),IF($A$2="GEX",IFERROR(($A$4*$A$4*RTD("tos.rtd",,"OPEN_INT","."&amp;I$2&amp;I$1&amp;"C"&amp;$A49)*RTD("tos.rtd",,"GAMMA","."&amp;I$2&amp;I$1&amp;"C"&amp;$A49)-$A$4*$A$4*RTD("tos.rtd",,"OPEN_INT","."&amp;I$2&amp;I$1&amp;"P"&amp;$A49)*RTD("tos.rtd",,"GAMMA","."&amp;I$2&amp;I$1&amp;"P"&amp;$A49))/1000000,0),IF($A$2="SKEW",IFERROR(VALUE(IF(RTD("tos.rtd",,"IMPL_VOL","."&amp;I$2&amp;I$1&amp;"P"&amp;$A49)="N/A",0,RTD("tos.rtd",,"IMPL_VOL","."&amp;I$2&amp;I$1&amp;"P"&amp;$A49))),0)-IFERROR(VALUE(IF(RTD("tos.rtd",,"IMPL_VOL","."&amp;I$2&amp;I$1&amp;"C"&amp;$A49)="N/A",0,RTD("tos.rtd",,"IMPL_VOL","."&amp;I$2&amp;I$1&amp;"C"&amp;$A49))),0),IF($A$2="MAXPAIN",IF($A$4&gt;$A49,($A$4-$A49)*IF(RTD("tos.rtd",,"OPEN_INT","."&amp;I$2&amp;I$1&amp;"C"&amp;$A49)="N/A",0,RTD("tos.rtd",,"OPEN_INT","."&amp;I$2&amp;I$1&amp;"C"&amp;$A49)),0)+IF($A$4&lt;$A49,($A49-$A$4)*IF(RTD("tos.rtd",,"OPEN_INT","."&amp;I$2&amp;I$1&amp;"P"&amp;$A49)="N/A",0,RTD("tos.rtd",,"OPEN_INT","."&amp;I$2&amp;I$1&amp;"P"&amp;$A49)),0),IF(RTD("tos.rtd",,$A$2,"."&amp;I$2&amp;I$1&amp;"C"&amp;$A49)="N/A",0,RTD("tos.rtd",,$A$2,"."&amp;I$2&amp;I$1&amp;"C"&amp;$A49))-IF(RTD("tos.rtd",,$A$2,"."&amp;I$2&amp;I$1&amp;"P"&amp;$A49)="N/A",0,RTD("tos.rtd",,$A$2,"."&amp;I$2&amp;I$1&amp;"P"&amp;$A49)))))))))</f>
        <v>0</v>
      </c>
      <c r="J49" s="12">
        <f>IF($A$2="PREMIUM_OI",IFERROR((100*RTD("tos.rtd",,"OPEN_INT","."&amp;J$2&amp;J$1&amp;"C"&amp;$A49)*RTD("tos.rtd",,"LAST","."&amp;J$2&amp;J$1&amp;"C"&amp;$A49)-100*RTD("tos.rtd",,"OPEN_INT","."&amp;J$2&amp;J$1&amp;"P"&amp;$A49)*RTD("tos.rtd",,"LAST","."&amp;J$2&amp;J$1&amp;"P"&amp;$A49))/1000000,0),IF($A$2="PREMIUM",IFERROR((100*RTD("tos.rtd",,"VOLUME","."&amp;J$2&amp;J$1&amp;"C"&amp;$A49)*RTD("tos.rtd",,"LAST","."&amp;J$2&amp;J$1&amp;"C"&amp;$A49)-100*RTD("tos.rtd",,"VOLUME","."&amp;J$2&amp;J$1&amp;"P"&amp;$A49)*RTD("tos.rtd",,"LAST","."&amp;J$2&amp;J$1&amp;"P"&amp;$A49))/1000000,0),IF($A$2="DEX",IFERROR((100*RTD("tos.rtd",,"OPEN_INT","."&amp;J$2&amp;J$1&amp;"C"&amp;$A49)*RTD("tos.rtd",,"DELTA","."&amp;J$2&amp;J$1&amp;"C"&amp;$A49)-100*RTD("tos.rtd",,"OPEN_INT","."&amp;J$2&amp;J$1&amp;"P"&amp;$A49)*RTD("tos.rtd",,"DELTA","."&amp;J$2&amp;J$1&amp;"P"&amp;$A49))/1000,0),IF($A$2="VEX",IFERROR(($A$4*$A$4*RTD("tos.rtd",,"VOLUME","."&amp;J$2&amp;J$1&amp;"C"&amp;$A49)*RTD("tos.rtd",,"GAMMA","."&amp;J$2&amp;J$1&amp;"C"&amp;$A49)-$A$4*$A$4*RTD("tos.rtd",,"VOLUME","."&amp;J$2&amp;J$1&amp;"P"&amp;$A49)*RTD("tos.rtd",,"GAMMA","."&amp;J$2&amp;J$1&amp;"P"&amp;$A49))/1000000,0),IF($A$2="GEX",IFERROR(($A$4*$A$4*RTD("tos.rtd",,"OPEN_INT","."&amp;J$2&amp;J$1&amp;"C"&amp;$A49)*RTD("tos.rtd",,"GAMMA","."&amp;J$2&amp;J$1&amp;"C"&amp;$A49)-$A$4*$A$4*RTD("tos.rtd",,"OPEN_INT","."&amp;J$2&amp;J$1&amp;"P"&amp;$A49)*RTD("tos.rtd",,"GAMMA","."&amp;J$2&amp;J$1&amp;"P"&amp;$A49))/1000000,0),IF($A$2="SKEW",IFERROR(VALUE(IF(RTD("tos.rtd",,"IMPL_VOL","."&amp;J$2&amp;J$1&amp;"P"&amp;$A49)="N/A",0,RTD("tos.rtd",,"IMPL_VOL","."&amp;J$2&amp;J$1&amp;"P"&amp;$A49))),0)-IFERROR(VALUE(IF(RTD("tos.rtd",,"IMPL_VOL","."&amp;J$2&amp;J$1&amp;"C"&amp;$A49)="N/A",0,RTD("tos.rtd",,"IMPL_VOL","."&amp;J$2&amp;J$1&amp;"C"&amp;$A49))),0),IF($A$2="MAXPAIN",IF($A$4&gt;$A49,($A$4-$A49)*IF(RTD("tos.rtd",,"OPEN_INT","."&amp;J$2&amp;J$1&amp;"C"&amp;$A49)="N/A",0,RTD("tos.rtd",,"OPEN_INT","."&amp;J$2&amp;J$1&amp;"C"&amp;$A49)),0)+IF($A$4&lt;$A49,($A49-$A$4)*IF(RTD("tos.rtd",,"OPEN_INT","."&amp;J$2&amp;J$1&amp;"P"&amp;$A49)="N/A",0,RTD("tos.rtd",,"OPEN_INT","."&amp;J$2&amp;J$1&amp;"P"&amp;$A49)),0),IF(RTD("tos.rtd",,$A$2,"."&amp;J$2&amp;J$1&amp;"C"&amp;$A49)="N/A",0,RTD("tos.rtd",,$A$2,"."&amp;J$2&amp;J$1&amp;"C"&amp;$A49))-IF(RTD("tos.rtd",,$A$2,"."&amp;J$2&amp;J$1&amp;"P"&amp;$A49)="N/A",0,RTD("tos.rtd",,$A$2,"."&amp;J$2&amp;J$1&amp;"P"&amp;$A49)))))))))</f>
        <v>0</v>
      </c>
      <c r="K49" s="12">
        <f>IF($A$2="PREMIUM_OI",IFERROR((100*RTD("tos.rtd",,"OPEN_INT","."&amp;K$2&amp;K$1&amp;"C"&amp;$A49)*RTD("tos.rtd",,"LAST","."&amp;K$2&amp;K$1&amp;"C"&amp;$A49)-100*RTD("tos.rtd",,"OPEN_INT","."&amp;K$2&amp;K$1&amp;"P"&amp;$A49)*RTD("tos.rtd",,"LAST","."&amp;K$2&amp;K$1&amp;"P"&amp;$A49))/1000000,0),IF($A$2="PREMIUM",IFERROR((100*RTD("tos.rtd",,"VOLUME","."&amp;K$2&amp;K$1&amp;"C"&amp;$A49)*RTD("tos.rtd",,"LAST","."&amp;K$2&amp;K$1&amp;"C"&amp;$A49)-100*RTD("tos.rtd",,"VOLUME","."&amp;K$2&amp;K$1&amp;"P"&amp;$A49)*RTD("tos.rtd",,"LAST","."&amp;K$2&amp;K$1&amp;"P"&amp;$A49))/1000000,0),IF($A$2="DEX",IFERROR((100*RTD("tos.rtd",,"OPEN_INT","."&amp;K$2&amp;K$1&amp;"C"&amp;$A49)*RTD("tos.rtd",,"DELTA","."&amp;K$2&amp;K$1&amp;"C"&amp;$A49)-100*RTD("tos.rtd",,"OPEN_INT","."&amp;K$2&amp;K$1&amp;"P"&amp;$A49)*RTD("tos.rtd",,"DELTA","."&amp;K$2&amp;K$1&amp;"P"&amp;$A49))/1000,0),IF($A$2="VEX",IFERROR(($A$4*$A$4*RTD("tos.rtd",,"VOLUME","."&amp;K$2&amp;K$1&amp;"C"&amp;$A49)*RTD("tos.rtd",,"GAMMA","."&amp;K$2&amp;K$1&amp;"C"&amp;$A49)-$A$4*$A$4*RTD("tos.rtd",,"VOLUME","."&amp;K$2&amp;K$1&amp;"P"&amp;$A49)*RTD("tos.rtd",,"GAMMA","."&amp;K$2&amp;K$1&amp;"P"&amp;$A49))/1000000,0),IF($A$2="GEX",IFERROR(($A$4*$A$4*RTD("tos.rtd",,"OPEN_INT","."&amp;K$2&amp;K$1&amp;"C"&amp;$A49)*RTD("tos.rtd",,"GAMMA","."&amp;K$2&amp;K$1&amp;"C"&amp;$A49)-$A$4*$A$4*RTD("tos.rtd",,"OPEN_INT","."&amp;K$2&amp;K$1&amp;"P"&amp;$A49)*RTD("tos.rtd",,"GAMMA","."&amp;K$2&amp;K$1&amp;"P"&amp;$A49))/1000000,0),IF($A$2="SKEW",IFERROR(VALUE(IF(RTD("tos.rtd",,"IMPL_VOL","."&amp;K$2&amp;K$1&amp;"P"&amp;$A49)="N/A",0,RTD("tos.rtd",,"IMPL_VOL","."&amp;K$2&amp;K$1&amp;"P"&amp;$A49))),0)-IFERROR(VALUE(IF(RTD("tos.rtd",,"IMPL_VOL","."&amp;K$2&amp;K$1&amp;"C"&amp;$A49)="N/A",0,RTD("tos.rtd",,"IMPL_VOL","."&amp;K$2&amp;K$1&amp;"C"&amp;$A49))),0),IF($A$2="MAXPAIN",IF($A$4&gt;$A49,($A$4-$A49)*IF(RTD("tos.rtd",,"OPEN_INT","."&amp;K$2&amp;K$1&amp;"C"&amp;$A49)="N/A",0,RTD("tos.rtd",,"OPEN_INT","."&amp;K$2&amp;K$1&amp;"C"&amp;$A49)),0)+IF($A$4&lt;$A49,($A49-$A$4)*IF(RTD("tos.rtd",,"OPEN_INT","."&amp;K$2&amp;K$1&amp;"P"&amp;$A49)="N/A",0,RTD("tos.rtd",,"OPEN_INT","."&amp;K$2&amp;K$1&amp;"P"&amp;$A49)),0),IF(RTD("tos.rtd",,$A$2,"."&amp;K$2&amp;K$1&amp;"C"&amp;$A49)="N/A",0,RTD("tos.rtd",,$A$2,"."&amp;K$2&amp;K$1&amp;"C"&amp;$A49))-IF(RTD("tos.rtd",,$A$2,"."&amp;K$2&amp;K$1&amp;"P"&amp;$A49)="N/A",0,RTD("tos.rtd",,$A$2,"."&amp;K$2&amp;K$1&amp;"P"&amp;$A49)))))))))</f>
        <v>0</v>
      </c>
      <c r="L49" s="12">
        <f>IF($A$2="PREMIUM_OI",IFERROR((100*RTD("tos.rtd",,"OPEN_INT","."&amp;L$2&amp;L$1&amp;"C"&amp;$A49)*RTD("tos.rtd",,"LAST","."&amp;L$2&amp;L$1&amp;"C"&amp;$A49)-100*RTD("tos.rtd",,"OPEN_INT","."&amp;L$2&amp;L$1&amp;"P"&amp;$A49)*RTD("tos.rtd",,"LAST","."&amp;L$2&amp;L$1&amp;"P"&amp;$A49))/1000000,0),IF($A$2="PREMIUM",IFERROR((100*RTD("tos.rtd",,"VOLUME","."&amp;L$2&amp;L$1&amp;"C"&amp;$A49)*RTD("tos.rtd",,"LAST","."&amp;L$2&amp;L$1&amp;"C"&amp;$A49)-100*RTD("tos.rtd",,"VOLUME","."&amp;L$2&amp;L$1&amp;"P"&amp;$A49)*RTD("tos.rtd",,"LAST","."&amp;L$2&amp;L$1&amp;"P"&amp;$A49))/1000000,0),IF($A$2="DEX",IFERROR((100*RTD("tos.rtd",,"OPEN_INT","."&amp;L$2&amp;L$1&amp;"C"&amp;$A49)*RTD("tos.rtd",,"DELTA","."&amp;L$2&amp;L$1&amp;"C"&amp;$A49)-100*RTD("tos.rtd",,"OPEN_INT","."&amp;L$2&amp;L$1&amp;"P"&amp;$A49)*RTD("tos.rtd",,"DELTA","."&amp;L$2&amp;L$1&amp;"P"&amp;$A49))/1000,0),IF($A$2="VEX",IFERROR(($A$4*$A$4*RTD("tos.rtd",,"VOLUME","."&amp;L$2&amp;L$1&amp;"C"&amp;$A49)*RTD("tos.rtd",,"GAMMA","."&amp;L$2&amp;L$1&amp;"C"&amp;$A49)-$A$4*$A$4*RTD("tos.rtd",,"VOLUME","."&amp;L$2&amp;L$1&amp;"P"&amp;$A49)*RTD("tos.rtd",,"GAMMA","."&amp;L$2&amp;L$1&amp;"P"&amp;$A49))/1000000,0),IF($A$2="GEX",IFERROR(($A$4*$A$4*RTD("tos.rtd",,"OPEN_INT","."&amp;L$2&amp;L$1&amp;"C"&amp;$A49)*RTD("tos.rtd",,"GAMMA","."&amp;L$2&amp;L$1&amp;"C"&amp;$A49)-$A$4*$A$4*RTD("tos.rtd",,"OPEN_INT","."&amp;L$2&amp;L$1&amp;"P"&amp;$A49)*RTD("tos.rtd",,"GAMMA","."&amp;L$2&amp;L$1&amp;"P"&amp;$A49))/1000000,0),IF($A$2="SKEW",IFERROR(VALUE(IF(RTD("tos.rtd",,"IMPL_VOL","."&amp;L$2&amp;L$1&amp;"P"&amp;$A49)="N/A",0,RTD("tos.rtd",,"IMPL_VOL","."&amp;L$2&amp;L$1&amp;"P"&amp;$A49))),0)-IFERROR(VALUE(IF(RTD("tos.rtd",,"IMPL_VOL","."&amp;L$2&amp;L$1&amp;"C"&amp;$A49)="N/A",0,RTD("tos.rtd",,"IMPL_VOL","."&amp;L$2&amp;L$1&amp;"C"&amp;$A49))),0),IF($A$2="MAXPAIN",IF($A$4&gt;$A49,($A$4-$A49)*IF(RTD("tos.rtd",,"OPEN_INT","."&amp;L$2&amp;L$1&amp;"C"&amp;$A49)="N/A",0,RTD("tos.rtd",,"OPEN_INT","."&amp;L$2&amp;L$1&amp;"C"&amp;$A49)),0)+IF($A$4&lt;$A49,($A49-$A$4)*IF(RTD("tos.rtd",,"OPEN_INT","."&amp;L$2&amp;L$1&amp;"P"&amp;$A49)="N/A",0,RTD("tos.rtd",,"OPEN_INT","."&amp;L$2&amp;L$1&amp;"P"&amp;$A49)),0),IF(RTD("tos.rtd",,$A$2,"."&amp;L$2&amp;L$1&amp;"C"&amp;$A49)="N/A",0,RTD("tos.rtd",,$A$2,"."&amp;L$2&amp;L$1&amp;"C"&amp;$A49))-IF(RTD("tos.rtd",,$A$2,"."&amp;L$2&amp;L$1&amp;"P"&amp;$A49)="N/A",0,RTD("tos.rtd",,$A$2,"."&amp;L$2&amp;L$1&amp;"P"&amp;$A49)))))))))</f>
        <v>0</v>
      </c>
      <c r="M49" s="12">
        <f>IF($A$2="PREMIUM_OI",IFERROR((100*RTD("tos.rtd",,"OPEN_INT","."&amp;M$2&amp;M$1&amp;"C"&amp;$A49)*RTD("tos.rtd",,"LAST","."&amp;M$2&amp;M$1&amp;"C"&amp;$A49)-100*RTD("tos.rtd",,"OPEN_INT","."&amp;M$2&amp;M$1&amp;"P"&amp;$A49)*RTD("tos.rtd",,"LAST","."&amp;M$2&amp;M$1&amp;"P"&amp;$A49))/1000000,0),IF($A$2="PREMIUM",IFERROR((100*RTD("tos.rtd",,"VOLUME","."&amp;M$2&amp;M$1&amp;"C"&amp;$A49)*RTD("tos.rtd",,"LAST","."&amp;M$2&amp;M$1&amp;"C"&amp;$A49)-100*RTD("tos.rtd",,"VOLUME","."&amp;M$2&amp;M$1&amp;"P"&amp;$A49)*RTD("tos.rtd",,"LAST","."&amp;M$2&amp;M$1&amp;"P"&amp;$A49))/1000000,0),IF($A$2="DEX",IFERROR((100*RTD("tos.rtd",,"OPEN_INT","."&amp;M$2&amp;M$1&amp;"C"&amp;$A49)*RTD("tos.rtd",,"DELTA","."&amp;M$2&amp;M$1&amp;"C"&amp;$A49)-100*RTD("tos.rtd",,"OPEN_INT","."&amp;M$2&amp;M$1&amp;"P"&amp;$A49)*RTD("tos.rtd",,"DELTA","."&amp;M$2&amp;M$1&amp;"P"&amp;$A49))/1000,0),IF($A$2="VEX",IFERROR(($A$4*$A$4*RTD("tos.rtd",,"VOLUME","."&amp;M$2&amp;M$1&amp;"C"&amp;$A49)*RTD("tos.rtd",,"GAMMA","."&amp;M$2&amp;M$1&amp;"C"&amp;$A49)-$A$4*$A$4*RTD("tos.rtd",,"VOLUME","."&amp;M$2&amp;M$1&amp;"P"&amp;$A49)*RTD("tos.rtd",,"GAMMA","."&amp;M$2&amp;M$1&amp;"P"&amp;$A49))/1000000,0),IF($A$2="GEX",IFERROR(($A$4*$A$4*RTD("tos.rtd",,"OPEN_INT","."&amp;M$2&amp;M$1&amp;"C"&amp;$A49)*RTD("tos.rtd",,"GAMMA","."&amp;M$2&amp;M$1&amp;"C"&amp;$A49)-$A$4*$A$4*RTD("tos.rtd",,"OPEN_INT","."&amp;M$2&amp;M$1&amp;"P"&amp;$A49)*RTD("tos.rtd",,"GAMMA","."&amp;M$2&amp;M$1&amp;"P"&amp;$A49))/1000000,0),IF($A$2="SKEW",IFERROR(VALUE(IF(RTD("tos.rtd",,"IMPL_VOL","."&amp;M$2&amp;M$1&amp;"P"&amp;$A49)="N/A",0,RTD("tos.rtd",,"IMPL_VOL","."&amp;M$2&amp;M$1&amp;"P"&amp;$A49))),0)-IFERROR(VALUE(IF(RTD("tos.rtd",,"IMPL_VOL","."&amp;M$2&amp;M$1&amp;"C"&amp;$A49)="N/A",0,RTD("tos.rtd",,"IMPL_VOL","."&amp;M$2&amp;M$1&amp;"C"&amp;$A49))),0),IF($A$2="MAXPAIN",IF($A$4&gt;$A49,($A$4-$A49)*IF(RTD("tos.rtd",,"OPEN_INT","."&amp;M$2&amp;M$1&amp;"C"&amp;$A49)="N/A",0,RTD("tos.rtd",,"OPEN_INT","."&amp;M$2&amp;M$1&amp;"C"&amp;$A49)),0)+IF($A$4&lt;$A49,($A49-$A$4)*IF(RTD("tos.rtd",,"OPEN_INT","."&amp;M$2&amp;M$1&amp;"P"&amp;$A49)="N/A",0,RTD("tos.rtd",,"OPEN_INT","."&amp;M$2&amp;M$1&amp;"P"&amp;$A49)),0),IF(RTD("tos.rtd",,$A$2,"."&amp;M$2&amp;M$1&amp;"C"&amp;$A49)="N/A",0,RTD("tos.rtd",,$A$2,"."&amp;M$2&amp;M$1&amp;"C"&amp;$A49))-IF(RTD("tos.rtd",,$A$2,"."&amp;M$2&amp;M$1&amp;"P"&amp;$A49)="N/A",0,RTD("tos.rtd",,$A$2,"."&amp;M$2&amp;M$1&amp;"P"&amp;$A49)))))))))</f>
        <v>0</v>
      </c>
      <c r="N49" s="12">
        <f>IF($A$2="PREMIUM_OI",IFERROR((100*RTD("tos.rtd",,"OPEN_INT","."&amp;N$2&amp;N$1&amp;"C"&amp;$A49)*RTD("tos.rtd",,"LAST","."&amp;N$2&amp;N$1&amp;"C"&amp;$A49)-100*RTD("tos.rtd",,"OPEN_INT","."&amp;N$2&amp;N$1&amp;"P"&amp;$A49)*RTD("tos.rtd",,"LAST","."&amp;N$2&amp;N$1&amp;"P"&amp;$A49))/1000000,0),IF($A$2="PREMIUM",IFERROR((100*RTD("tos.rtd",,"VOLUME","."&amp;N$2&amp;N$1&amp;"C"&amp;$A49)*RTD("tos.rtd",,"LAST","."&amp;N$2&amp;N$1&amp;"C"&amp;$A49)-100*RTD("tos.rtd",,"VOLUME","."&amp;N$2&amp;N$1&amp;"P"&amp;$A49)*RTD("tos.rtd",,"LAST","."&amp;N$2&amp;N$1&amp;"P"&amp;$A49))/1000000,0),IF($A$2="DEX",IFERROR((100*RTD("tos.rtd",,"OPEN_INT","."&amp;N$2&amp;N$1&amp;"C"&amp;$A49)*RTD("tos.rtd",,"DELTA","."&amp;N$2&amp;N$1&amp;"C"&amp;$A49)-100*RTD("tos.rtd",,"OPEN_INT","."&amp;N$2&amp;N$1&amp;"P"&amp;$A49)*RTD("tos.rtd",,"DELTA","."&amp;N$2&amp;N$1&amp;"P"&amp;$A49))/1000,0),IF($A$2="VEX",IFERROR(($A$4*$A$4*RTD("tos.rtd",,"VOLUME","."&amp;N$2&amp;N$1&amp;"C"&amp;$A49)*RTD("tos.rtd",,"GAMMA","."&amp;N$2&amp;N$1&amp;"C"&amp;$A49)-$A$4*$A$4*RTD("tos.rtd",,"VOLUME","."&amp;N$2&amp;N$1&amp;"P"&amp;$A49)*RTD("tos.rtd",,"GAMMA","."&amp;N$2&amp;N$1&amp;"P"&amp;$A49))/1000000,0),IF($A$2="GEX",IFERROR(($A$4*$A$4*RTD("tos.rtd",,"OPEN_INT","."&amp;N$2&amp;N$1&amp;"C"&amp;$A49)*RTD("tos.rtd",,"GAMMA","."&amp;N$2&amp;N$1&amp;"C"&amp;$A49)-$A$4*$A$4*RTD("tos.rtd",,"OPEN_INT","."&amp;N$2&amp;N$1&amp;"P"&amp;$A49)*RTD("tos.rtd",,"GAMMA","."&amp;N$2&amp;N$1&amp;"P"&amp;$A49))/1000000,0),IF($A$2="SKEW",IFERROR(VALUE(IF(RTD("tos.rtd",,"IMPL_VOL","."&amp;N$2&amp;N$1&amp;"P"&amp;$A49)="N/A",0,RTD("tos.rtd",,"IMPL_VOL","."&amp;N$2&amp;N$1&amp;"P"&amp;$A49))),0)-IFERROR(VALUE(IF(RTD("tos.rtd",,"IMPL_VOL","."&amp;N$2&amp;N$1&amp;"C"&amp;$A49)="N/A",0,RTD("tos.rtd",,"IMPL_VOL","."&amp;N$2&amp;N$1&amp;"C"&amp;$A49))),0),IF($A$2="MAXPAIN",IF($A$4&gt;$A49,($A$4-$A49)*IF(RTD("tos.rtd",,"OPEN_INT","."&amp;N$2&amp;N$1&amp;"C"&amp;$A49)="N/A",0,RTD("tos.rtd",,"OPEN_INT","."&amp;N$2&amp;N$1&amp;"C"&amp;$A49)),0)+IF($A$4&lt;$A49,($A49-$A$4)*IF(RTD("tos.rtd",,"OPEN_INT","."&amp;N$2&amp;N$1&amp;"P"&amp;$A49)="N/A",0,RTD("tos.rtd",,"OPEN_INT","."&amp;N$2&amp;N$1&amp;"P"&amp;$A49)),0),IF(RTD("tos.rtd",,$A$2,"."&amp;N$2&amp;N$1&amp;"C"&amp;$A49)="N/A",0,RTD("tos.rtd",,$A$2,"."&amp;N$2&amp;N$1&amp;"C"&amp;$A49))-IF(RTD("tos.rtd",,$A$2,"."&amp;N$2&amp;N$1&amp;"P"&amp;$A49)="N/A",0,RTD("tos.rtd",,$A$2,"."&amp;N$2&amp;N$1&amp;"P"&amp;$A49)))))))))</f>
        <v>0</v>
      </c>
      <c r="O49" s="12">
        <f>IF($A$2="PREMIUM_OI",IFERROR((100*RTD("tos.rtd",,"OPEN_INT","."&amp;O$2&amp;O$1&amp;"C"&amp;$A49)*RTD("tos.rtd",,"LAST","."&amp;O$2&amp;O$1&amp;"C"&amp;$A49)-100*RTD("tos.rtd",,"OPEN_INT","."&amp;O$2&amp;O$1&amp;"P"&amp;$A49)*RTD("tos.rtd",,"LAST","."&amp;O$2&amp;O$1&amp;"P"&amp;$A49))/1000000,0),IF($A$2="PREMIUM",IFERROR((100*RTD("tos.rtd",,"VOLUME","."&amp;O$2&amp;O$1&amp;"C"&amp;$A49)*RTD("tos.rtd",,"LAST","."&amp;O$2&amp;O$1&amp;"C"&amp;$A49)-100*RTD("tos.rtd",,"VOLUME","."&amp;O$2&amp;O$1&amp;"P"&amp;$A49)*RTD("tos.rtd",,"LAST","."&amp;O$2&amp;O$1&amp;"P"&amp;$A49))/1000000,0),IF($A$2="DEX",IFERROR((100*RTD("tos.rtd",,"OPEN_INT","."&amp;O$2&amp;O$1&amp;"C"&amp;$A49)*RTD("tos.rtd",,"DELTA","."&amp;O$2&amp;O$1&amp;"C"&amp;$A49)-100*RTD("tos.rtd",,"OPEN_INT","."&amp;O$2&amp;O$1&amp;"P"&amp;$A49)*RTD("tos.rtd",,"DELTA","."&amp;O$2&amp;O$1&amp;"P"&amp;$A49))/1000,0),IF($A$2="VEX",IFERROR(($A$4*$A$4*RTD("tos.rtd",,"VOLUME","."&amp;O$2&amp;O$1&amp;"C"&amp;$A49)*RTD("tos.rtd",,"GAMMA","."&amp;O$2&amp;O$1&amp;"C"&amp;$A49)-$A$4*$A$4*RTD("tos.rtd",,"VOLUME","."&amp;O$2&amp;O$1&amp;"P"&amp;$A49)*RTD("tos.rtd",,"GAMMA","."&amp;O$2&amp;O$1&amp;"P"&amp;$A49))/1000000,0),IF($A$2="GEX",IFERROR(($A$4*$A$4*RTD("tos.rtd",,"OPEN_INT","."&amp;O$2&amp;O$1&amp;"C"&amp;$A49)*RTD("tos.rtd",,"GAMMA","."&amp;O$2&amp;O$1&amp;"C"&amp;$A49)-$A$4*$A$4*RTD("tos.rtd",,"OPEN_INT","."&amp;O$2&amp;O$1&amp;"P"&amp;$A49)*RTD("tos.rtd",,"GAMMA","."&amp;O$2&amp;O$1&amp;"P"&amp;$A49))/1000000,0),IF($A$2="SKEW",IFERROR(VALUE(IF(RTD("tos.rtd",,"IMPL_VOL","."&amp;O$2&amp;O$1&amp;"P"&amp;$A49)="N/A",0,RTD("tos.rtd",,"IMPL_VOL","."&amp;O$2&amp;O$1&amp;"P"&amp;$A49))),0)-IFERROR(VALUE(IF(RTD("tos.rtd",,"IMPL_VOL","."&amp;O$2&amp;O$1&amp;"C"&amp;$A49)="N/A",0,RTD("tos.rtd",,"IMPL_VOL","."&amp;O$2&amp;O$1&amp;"C"&amp;$A49))),0),IF($A$2="MAXPAIN",IF($A$4&gt;$A49,($A$4-$A49)*IF(RTD("tos.rtd",,"OPEN_INT","."&amp;O$2&amp;O$1&amp;"C"&amp;$A49)="N/A",0,RTD("tos.rtd",,"OPEN_INT","."&amp;O$2&amp;O$1&amp;"C"&amp;$A49)),0)+IF($A$4&lt;$A49,($A49-$A$4)*IF(RTD("tos.rtd",,"OPEN_INT","."&amp;O$2&amp;O$1&amp;"P"&amp;$A49)="N/A",0,RTD("tos.rtd",,"OPEN_INT","."&amp;O$2&amp;O$1&amp;"P"&amp;$A49)),0),IF(RTD("tos.rtd",,$A$2,"."&amp;O$2&amp;O$1&amp;"C"&amp;$A49)="N/A",0,RTD("tos.rtd",,$A$2,"."&amp;O$2&amp;O$1&amp;"C"&amp;$A49))-IF(RTD("tos.rtd",,$A$2,"."&amp;O$2&amp;O$1&amp;"P"&amp;$A49)="N/A",0,RTD("tos.rtd",,$A$2,"."&amp;O$2&amp;O$1&amp;"P"&amp;$A49)))))))))</f>
        <v>0</v>
      </c>
      <c r="P49" s="12">
        <f>IF($A$2="PREMIUM_OI",IFERROR((100*RTD("tos.rtd",,"OPEN_INT","."&amp;P$2&amp;P$1&amp;"C"&amp;$A49)*RTD("tos.rtd",,"LAST","."&amp;P$2&amp;P$1&amp;"C"&amp;$A49)-100*RTD("tos.rtd",,"OPEN_INT","."&amp;P$2&amp;P$1&amp;"P"&amp;$A49)*RTD("tos.rtd",,"LAST","."&amp;P$2&amp;P$1&amp;"P"&amp;$A49))/1000000,0),IF($A$2="PREMIUM",IFERROR((100*RTD("tos.rtd",,"VOLUME","."&amp;P$2&amp;P$1&amp;"C"&amp;$A49)*RTD("tos.rtd",,"LAST","."&amp;P$2&amp;P$1&amp;"C"&amp;$A49)-100*RTD("tos.rtd",,"VOLUME","."&amp;P$2&amp;P$1&amp;"P"&amp;$A49)*RTD("tos.rtd",,"LAST","."&amp;P$2&amp;P$1&amp;"P"&amp;$A49))/1000000,0),IF($A$2="DEX",IFERROR((100*RTD("tos.rtd",,"OPEN_INT","."&amp;P$2&amp;P$1&amp;"C"&amp;$A49)*RTD("tos.rtd",,"DELTA","."&amp;P$2&amp;P$1&amp;"C"&amp;$A49)-100*RTD("tos.rtd",,"OPEN_INT","."&amp;P$2&amp;P$1&amp;"P"&amp;$A49)*RTD("tos.rtd",,"DELTA","."&amp;P$2&amp;P$1&amp;"P"&amp;$A49))/1000,0),IF($A$2="VEX",IFERROR(($A$4*$A$4*RTD("tos.rtd",,"VOLUME","."&amp;P$2&amp;P$1&amp;"C"&amp;$A49)*RTD("tos.rtd",,"GAMMA","."&amp;P$2&amp;P$1&amp;"C"&amp;$A49)-$A$4*$A$4*RTD("tos.rtd",,"VOLUME","."&amp;P$2&amp;P$1&amp;"P"&amp;$A49)*RTD("tos.rtd",,"GAMMA","."&amp;P$2&amp;P$1&amp;"P"&amp;$A49))/1000000,0),IF($A$2="GEX",IFERROR(($A$4*$A$4*RTD("tos.rtd",,"OPEN_INT","."&amp;P$2&amp;P$1&amp;"C"&amp;$A49)*RTD("tos.rtd",,"GAMMA","."&amp;P$2&amp;P$1&amp;"C"&amp;$A49)-$A$4*$A$4*RTD("tos.rtd",,"OPEN_INT","."&amp;P$2&amp;P$1&amp;"P"&amp;$A49)*RTD("tos.rtd",,"GAMMA","."&amp;P$2&amp;P$1&amp;"P"&amp;$A49))/1000000,0),IF($A$2="SKEW",IFERROR(VALUE(IF(RTD("tos.rtd",,"IMPL_VOL","."&amp;P$2&amp;P$1&amp;"P"&amp;$A49)="N/A",0,RTD("tos.rtd",,"IMPL_VOL","."&amp;P$2&amp;P$1&amp;"P"&amp;$A49))),0)-IFERROR(VALUE(IF(RTD("tos.rtd",,"IMPL_VOL","."&amp;P$2&amp;P$1&amp;"C"&amp;$A49)="N/A",0,RTD("tos.rtd",,"IMPL_VOL","."&amp;P$2&amp;P$1&amp;"C"&amp;$A49))),0),IF($A$2="MAXPAIN",IF($A$4&gt;$A49,($A$4-$A49)*IF(RTD("tos.rtd",,"OPEN_INT","."&amp;P$2&amp;P$1&amp;"C"&amp;$A49)="N/A",0,RTD("tos.rtd",,"OPEN_INT","."&amp;P$2&amp;P$1&amp;"C"&amp;$A49)),0)+IF($A$4&lt;$A49,($A49-$A$4)*IF(RTD("tos.rtd",,"OPEN_INT","."&amp;P$2&amp;P$1&amp;"P"&amp;$A49)="N/A",0,RTD("tos.rtd",,"OPEN_INT","."&amp;P$2&amp;P$1&amp;"P"&amp;$A49)),0),IF(RTD("tos.rtd",,$A$2,"."&amp;P$2&amp;P$1&amp;"C"&amp;$A49)="N/A",0,RTD("tos.rtd",,$A$2,"."&amp;P$2&amp;P$1&amp;"C"&amp;$A49))-IF(RTD("tos.rtd",,$A$2,"."&amp;P$2&amp;P$1&amp;"P"&amp;$A49)="N/A",0,RTD("tos.rtd",,$A$2,"."&amp;P$2&amp;P$1&amp;"P"&amp;$A49)))))))))</f>
        <v>0</v>
      </c>
      <c r="Q49" s="12">
        <f>IF($A$2="PREMIUM_OI",IFERROR((100*RTD("tos.rtd",,"OPEN_INT","."&amp;Q$2&amp;Q$1&amp;"C"&amp;$A49)*RTD("tos.rtd",,"LAST","."&amp;Q$2&amp;Q$1&amp;"C"&amp;$A49)-100*RTD("tos.rtd",,"OPEN_INT","."&amp;Q$2&amp;Q$1&amp;"P"&amp;$A49)*RTD("tos.rtd",,"LAST","."&amp;Q$2&amp;Q$1&amp;"P"&amp;$A49))/1000000,0),IF($A$2="PREMIUM",IFERROR((100*RTD("tos.rtd",,"VOLUME","."&amp;Q$2&amp;Q$1&amp;"C"&amp;$A49)*RTD("tos.rtd",,"LAST","."&amp;Q$2&amp;Q$1&amp;"C"&amp;$A49)-100*RTD("tos.rtd",,"VOLUME","."&amp;Q$2&amp;Q$1&amp;"P"&amp;$A49)*RTD("tos.rtd",,"LAST","."&amp;Q$2&amp;Q$1&amp;"P"&amp;$A49))/1000000,0),IF($A$2="DEX",IFERROR((100*RTD("tos.rtd",,"OPEN_INT","."&amp;Q$2&amp;Q$1&amp;"C"&amp;$A49)*RTD("tos.rtd",,"DELTA","."&amp;Q$2&amp;Q$1&amp;"C"&amp;$A49)-100*RTD("tos.rtd",,"OPEN_INT","."&amp;Q$2&amp;Q$1&amp;"P"&amp;$A49)*RTD("tos.rtd",,"DELTA","."&amp;Q$2&amp;Q$1&amp;"P"&amp;$A49))/1000,0),IF($A$2="VEX",IFERROR(($A$4*$A$4*RTD("tos.rtd",,"VOLUME","."&amp;Q$2&amp;Q$1&amp;"C"&amp;$A49)*RTD("tos.rtd",,"GAMMA","."&amp;Q$2&amp;Q$1&amp;"C"&amp;$A49)-$A$4*$A$4*RTD("tos.rtd",,"VOLUME","."&amp;Q$2&amp;Q$1&amp;"P"&amp;$A49)*RTD("tos.rtd",,"GAMMA","."&amp;Q$2&amp;Q$1&amp;"P"&amp;$A49))/1000000,0),IF($A$2="GEX",IFERROR(($A$4*$A$4*RTD("tos.rtd",,"OPEN_INT","."&amp;Q$2&amp;Q$1&amp;"C"&amp;$A49)*RTD("tos.rtd",,"GAMMA","."&amp;Q$2&amp;Q$1&amp;"C"&amp;$A49)-$A$4*$A$4*RTD("tos.rtd",,"OPEN_INT","."&amp;Q$2&amp;Q$1&amp;"P"&amp;$A49)*RTD("tos.rtd",,"GAMMA","."&amp;Q$2&amp;Q$1&amp;"P"&amp;$A49))/1000000,0),IF($A$2="SKEW",IFERROR(VALUE(IF(RTD("tos.rtd",,"IMPL_VOL","."&amp;Q$2&amp;Q$1&amp;"P"&amp;$A49)="N/A",0,RTD("tos.rtd",,"IMPL_VOL","."&amp;Q$2&amp;Q$1&amp;"P"&amp;$A49))),0)-IFERROR(VALUE(IF(RTD("tos.rtd",,"IMPL_VOL","."&amp;Q$2&amp;Q$1&amp;"C"&amp;$A49)="N/A",0,RTD("tos.rtd",,"IMPL_VOL","."&amp;Q$2&amp;Q$1&amp;"C"&amp;$A49))),0),IF($A$2="MAXPAIN",IF($A$4&gt;$A49,($A$4-$A49)*IF(RTD("tos.rtd",,"OPEN_INT","."&amp;Q$2&amp;Q$1&amp;"C"&amp;$A49)="N/A",0,RTD("tos.rtd",,"OPEN_INT","."&amp;Q$2&amp;Q$1&amp;"C"&amp;$A49)),0)+IF($A$4&lt;$A49,($A49-$A$4)*IF(RTD("tos.rtd",,"OPEN_INT","."&amp;Q$2&amp;Q$1&amp;"P"&amp;$A49)="N/A",0,RTD("tos.rtd",,"OPEN_INT","."&amp;Q$2&amp;Q$1&amp;"P"&amp;$A49)),0),IF(RTD("tos.rtd",,$A$2,"."&amp;Q$2&amp;Q$1&amp;"C"&amp;$A49)="N/A",0,RTD("tos.rtd",,$A$2,"."&amp;Q$2&amp;Q$1&amp;"C"&amp;$A49))-IF(RTD("tos.rtd",,$A$2,"."&amp;Q$2&amp;Q$1&amp;"P"&amp;$A49)="N/A",0,RTD("tos.rtd",,$A$2,"."&amp;Q$2&amp;Q$1&amp;"P"&amp;$A49)))))))))</f>
        <v>0</v>
      </c>
      <c r="R49" s="12">
        <f>IF($A$2="PREMIUM_OI",IFERROR((100*RTD("tos.rtd",,"OPEN_INT","."&amp;R$2&amp;R$1&amp;"C"&amp;$A49)*RTD("tos.rtd",,"LAST","."&amp;R$2&amp;R$1&amp;"C"&amp;$A49)-100*RTD("tos.rtd",,"OPEN_INT","."&amp;R$2&amp;R$1&amp;"P"&amp;$A49)*RTD("tos.rtd",,"LAST","."&amp;R$2&amp;R$1&amp;"P"&amp;$A49))/1000000,0),IF($A$2="PREMIUM",IFERROR((100*RTD("tos.rtd",,"VOLUME","."&amp;R$2&amp;R$1&amp;"C"&amp;$A49)*RTD("tos.rtd",,"LAST","."&amp;R$2&amp;R$1&amp;"C"&amp;$A49)-100*RTD("tos.rtd",,"VOLUME","."&amp;R$2&amp;R$1&amp;"P"&amp;$A49)*RTD("tos.rtd",,"LAST","."&amp;R$2&amp;R$1&amp;"P"&amp;$A49))/1000000,0),IF($A$2="DEX",IFERROR((100*RTD("tos.rtd",,"OPEN_INT","."&amp;R$2&amp;R$1&amp;"C"&amp;$A49)*RTD("tos.rtd",,"DELTA","."&amp;R$2&amp;R$1&amp;"C"&amp;$A49)-100*RTD("tos.rtd",,"OPEN_INT","."&amp;R$2&amp;R$1&amp;"P"&amp;$A49)*RTD("tos.rtd",,"DELTA","."&amp;R$2&amp;R$1&amp;"P"&amp;$A49))/1000,0),IF($A$2="VEX",IFERROR(($A$4*$A$4*RTD("tos.rtd",,"VOLUME","."&amp;R$2&amp;R$1&amp;"C"&amp;$A49)*RTD("tos.rtd",,"GAMMA","."&amp;R$2&amp;R$1&amp;"C"&amp;$A49)-$A$4*$A$4*RTD("tos.rtd",,"VOLUME","."&amp;R$2&amp;R$1&amp;"P"&amp;$A49)*RTD("tos.rtd",,"GAMMA","."&amp;R$2&amp;R$1&amp;"P"&amp;$A49))/1000000,0),IF($A$2="GEX",IFERROR(($A$4*$A$4*RTD("tos.rtd",,"OPEN_INT","."&amp;R$2&amp;R$1&amp;"C"&amp;$A49)*RTD("tos.rtd",,"GAMMA","."&amp;R$2&amp;R$1&amp;"C"&amp;$A49)-$A$4*$A$4*RTD("tos.rtd",,"OPEN_INT","."&amp;R$2&amp;R$1&amp;"P"&amp;$A49)*RTD("tos.rtd",,"GAMMA","."&amp;R$2&amp;R$1&amp;"P"&amp;$A49))/1000000,0),IF($A$2="SKEW",IFERROR(VALUE(IF(RTD("tos.rtd",,"IMPL_VOL","."&amp;R$2&amp;R$1&amp;"P"&amp;$A49)="N/A",0,RTD("tos.rtd",,"IMPL_VOL","."&amp;R$2&amp;R$1&amp;"P"&amp;$A49))),0)-IFERROR(VALUE(IF(RTD("tos.rtd",,"IMPL_VOL","."&amp;R$2&amp;R$1&amp;"C"&amp;$A49)="N/A",0,RTD("tos.rtd",,"IMPL_VOL","."&amp;R$2&amp;R$1&amp;"C"&amp;$A49))),0),IF($A$2="MAXPAIN",IF($A$4&gt;$A49,($A$4-$A49)*IF(RTD("tos.rtd",,"OPEN_INT","."&amp;R$2&amp;R$1&amp;"C"&amp;$A49)="N/A",0,RTD("tos.rtd",,"OPEN_INT","."&amp;R$2&amp;R$1&amp;"C"&amp;$A49)),0)+IF($A$4&lt;$A49,($A49-$A$4)*IF(RTD("tos.rtd",,"OPEN_INT","."&amp;R$2&amp;R$1&amp;"P"&amp;$A49)="N/A",0,RTD("tos.rtd",,"OPEN_INT","."&amp;R$2&amp;R$1&amp;"P"&amp;$A49)),0),IF(RTD("tos.rtd",,$A$2,"."&amp;R$2&amp;R$1&amp;"C"&amp;$A49)="N/A",0,RTD("tos.rtd",,$A$2,"."&amp;R$2&amp;R$1&amp;"C"&amp;$A49))-IF(RTD("tos.rtd",,$A$2,"."&amp;R$2&amp;R$1&amp;"P"&amp;$A49)="N/A",0,RTD("tos.rtd",,$A$2,"."&amp;R$2&amp;R$1&amp;"P"&amp;$A49)))))))))</f>
        <v>0</v>
      </c>
      <c r="S49" s="12">
        <f>IF($A$2="PREMIUM_OI",IFERROR((100*RTD("tos.rtd",,"OPEN_INT","."&amp;S$2&amp;S$1&amp;"C"&amp;$A49)*RTD("tos.rtd",,"LAST","."&amp;S$2&amp;S$1&amp;"C"&amp;$A49)-100*RTD("tos.rtd",,"OPEN_INT","."&amp;S$2&amp;S$1&amp;"P"&amp;$A49)*RTD("tos.rtd",,"LAST","."&amp;S$2&amp;S$1&amp;"P"&amp;$A49))/1000000,0),IF($A$2="PREMIUM",IFERROR((100*RTD("tos.rtd",,"VOLUME","."&amp;S$2&amp;S$1&amp;"C"&amp;$A49)*RTD("tos.rtd",,"LAST","."&amp;S$2&amp;S$1&amp;"C"&amp;$A49)-100*RTD("tos.rtd",,"VOLUME","."&amp;S$2&amp;S$1&amp;"P"&amp;$A49)*RTD("tos.rtd",,"LAST","."&amp;S$2&amp;S$1&amp;"P"&amp;$A49))/1000000,0),IF($A$2="DEX",IFERROR((100*RTD("tos.rtd",,"OPEN_INT","."&amp;S$2&amp;S$1&amp;"C"&amp;$A49)*RTD("tos.rtd",,"DELTA","."&amp;S$2&amp;S$1&amp;"C"&amp;$A49)-100*RTD("tos.rtd",,"OPEN_INT","."&amp;S$2&amp;S$1&amp;"P"&amp;$A49)*RTD("tos.rtd",,"DELTA","."&amp;S$2&amp;S$1&amp;"P"&amp;$A49))/1000,0),IF($A$2="VEX",IFERROR(($A$4*$A$4*RTD("tos.rtd",,"VOLUME","."&amp;S$2&amp;S$1&amp;"C"&amp;$A49)*RTD("tos.rtd",,"GAMMA","."&amp;S$2&amp;S$1&amp;"C"&amp;$A49)-$A$4*$A$4*RTD("tos.rtd",,"VOLUME","."&amp;S$2&amp;S$1&amp;"P"&amp;$A49)*RTD("tos.rtd",,"GAMMA","."&amp;S$2&amp;S$1&amp;"P"&amp;$A49))/1000000,0),IF($A$2="GEX",IFERROR(($A$4*$A$4*RTD("tos.rtd",,"OPEN_INT","."&amp;S$2&amp;S$1&amp;"C"&amp;$A49)*RTD("tos.rtd",,"GAMMA","."&amp;S$2&amp;S$1&amp;"C"&amp;$A49)-$A$4*$A$4*RTD("tos.rtd",,"OPEN_INT","."&amp;S$2&amp;S$1&amp;"P"&amp;$A49)*RTD("tos.rtd",,"GAMMA","."&amp;S$2&amp;S$1&amp;"P"&amp;$A49))/1000000,0),IF($A$2="SKEW",IFERROR(VALUE(IF(RTD("tos.rtd",,"IMPL_VOL","."&amp;S$2&amp;S$1&amp;"P"&amp;$A49)="N/A",0,RTD("tos.rtd",,"IMPL_VOL","."&amp;S$2&amp;S$1&amp;"P"&amp;$A49))),0)-IFERROR(VALUE(IF(RTD("tos.rtd",,"IMPL_VOL","."&amp;S$2&amp;S$1&amp;"C"&amp;$A49)="N/A",0,RTD("tos.rtd",,"IMPL_VOL","."&amp;S$2&amp;S$1&amp;"C"&amp;$A49))),0),IF($A$2="MAXPAIN",IF($A$4&gt;$A49,($A$4-$A49)*IF(RTD("tos.rtd",,"OPEN_INT","."&amp;S$2&amp;S$1&amp;"C"&amp;$A49)="N/A",0,RTD("tos.rtd",,"OPEN_INT","."&amp;S$2&amp;S$1&amp;"C"&amp;$A49)),0)+IF($A$4&lt;$A49,($A49-$A$4)*IF(RTD("tos.rtd",,"OPEN_INT","."&amp;S$2&amp;S$1&amp;"P"&amp;$A49)="N/A",0,RTD("tos.rtd",,"OPEN_INT","."&amp;S$2&amp;S$1&amp;"P"&amp;$A49)),0),IF(RTD("tos.rtd",,$A$2,"."&amp;S$2&amp;S$1&amp;"C"&amp;$A49)="N/A",0,RTD("tos.rtd",,$A$2,"."&amp;S$2&amp;S$1&amp;"C"&amp;$A49))-IF(RTD("tos.rtd",,$A$2,"."&amp;S$2&amp;S$1&amp;"P"&amp;$A49)="N/A",0,RTD("tos.rtd",,$A$2,"."&amp;S$2&amp;S$1&amp;"P"&amp;$A49)))))))))</f>
        <v>0</v>
      </c>
      <c r="T49" s="12">
        <f>IF($A$2="PREMIUM_OI",IFERROR((100*RTD("tos.rtd",,"OPEN_INT","."&amp;T$2&amp;T$1&amp;"C"&amp;$A49)*RTD("tos.rtd",,"LAST","."&amp;T$2&amp;T$1&amp;"C"&amp;$A49)-100*RTD("tos.rtd",,"OPEN_INT","."&amp;T$2&amp;T$1&amp;"P"&amp;$A49)*RTD("tos.rtd",,"LAST","."&amp;T$2&amp;T$1&amp;"P"&amp;$A49))/1000000,0),IF($A$2="PREMIUM",IFERROR((100*RTD("tos.rtd",,"VOLUME","."&amp;T$2&amp;T$1&amp;"C"&amp;$A49)*RTD("tos.rtd",,"LAST","."&amp;T$2&amp;T$1&amp;"C"&amp;$A49)-100*RTD("tos.rtd",,"VOLUME","."&amp;T$2&amp;T$1&amp;"P"&amp;$A49)*RTD("tos.rtd",,"LAST","."&amp;T$2&amp;T$1&amp;"P"&amp;$A49))/1000000,0),IF($A$2="DEX",IFERROR((100*RTD("tos.rtd",,"OPEN_INT","."&amp;T$2&amp;T$1&amp;"C"&amp;$A49)*RTD("tos.rtd",,"DELTA","."&amp;T$2&amp;T$1&amp;"C"&amp;$A49)-100*RTD("tos.rtd",,"OPEN_INT","."&amp;T$2&amp;T$1&amp;"P"&amp;$A49)*RTD("tos.rtd",,"DELTA","."&amp;T$2&amp;T$1&amp;"P"&amp;$A49))/1000,0),IF($A$2="VEX",IFERROR(($A$4*$A$4*RTD("tos.rtd",,"VOLUME","."&amp;T$2&amp;T$1&amp;"C"&amp;$A49)*RTD("tos.rtd",,"GAMMA","."&amp;T$2&amp;T$1&amp;"C"&amp;$A49)-$A$4*$A$4*RTD("tos.rtd",,"VOLUME","."&amp;T$2&amp;T$1&amp;"P"&amp;$A49)*RTD("tos.rtd",,"GAMMA","."&amp;T$2&amp;T$1&amp;"P"&amp;$A49))/1000000,0),IF($A$2="GEX",IFERROR(($A$4*$A$4*RTD("tos.rtd",,"OPEN_INT","."&amp;T$2&amp;T$1&amp;"C"&amp;$A49)*RTD("tos.rtd",,"GAMMA","."&amp;T$2&amp;T$1&amp;"C"&amp;$A49)-$A$4*$A$4*RTD("tos.rtd",,"OPEN_INT","."&amp;T$2&amp;T$1&amp;"P"&amp;$A49)*RTD("tos.rtd",,"GAMMA","."&amp;T$2&amp;T$1&amp;"P"&amp;$A49))/1000000,0),IF($A$2="SKEW",IFERROR(VALUE(IF(RTD("tos.rtd",,"IMPL_VOL","."&amp;T$2&amp;T$1&amp;"P"&amp;$A49)="N/A",0,RTD("tos.rtd",,"IMPL_VOL","."&amp;T$2&amp;T$1&amp;"P"&amp;$A49))),0)-IFERROR(VALUE(IF(RTD("tos.rtd",,"IMPL_VOL","."&amp;T$2&amp;T$1&amp;"C"&amp;$A49)="N/A",0,RTD("tos.rtd",,"IMPL_VOL","."&amp;T$2&amp;T$1&amp;"C"&amp;$A49))),0),IF($A$2="MAXPAIN",IF($A$4&gt;$A49,($A$4-$A49)*IF(RTD("tos.rtd",,"OPEN_INT","."&amp;T$2&amp;T$1&amp;"C"&amp;$A49)="N/A",0,RTD("tos.rtd",,"OPEN_INT","."&amp;T$2&amp;T$1&amp;"C"&amp;$A49)),0)+IF($A$4&lt;$A49,($A49-$A$4)*IF(RTD("tos.rtd",,"OPEN_INT","."&amp;T$2&amp;T$1&amp;"P"&amp;$A49)="N/A",0,RTD("tos.rtd",,"OPEN_INT","."&amp;T$2&amp;T$1&amp;"P"&amp;$A49)),0),IF(RTD("tos.rtd",,$A$2,"."&amp;T$2&amp;T$1&amp;"C"&amp;$A49)="N/A",0,RTD("tos.rtd",,$A$2,"."&amp;T$2&amp;T$1&amp;"C"&amp;$A49))-IF(RTD("tos.rtd",,$A$2,"."&amp;T$2&amp;T$1&amp;"P"&amp;$A49)="N/A",0,RTD("tos.rtd",,$A$2,"."&amp;T$2&amp;T$1&amp;"P"&amp;$A49)))))))))</f>
        <v>0</v>
      </c>
      <c r="U49" s="12">
        <f>IF($A$2="PREMIUM_OI",IFERROR((100*RTD("tos.rtd",,"OPEN_INT","."&amp;U$2&amp;U$1&amp;"C"&amp;$A49)*RTD("tos.rtd",,"LAST","."&amp;U$2&amp;U$1&amp;"C"&amp;$A49)-100*RTD("tos.rtd",,"OPEN_INT","."&amp;U$2&amp;U$1&amp;"P"&amp;$A49)*RTD("tos.rtd",,"LAST","."&amp;U$2&amp;U$1&amp;"P"&amp;$A49))/1000000,0),IF($A$2="PREMIUM",IFERROR((100*RTD("tos.rtd",,"VOLUME","."&amp;U$2&amp;U$1&amp;"C"&amp;$A49)*RTD("tos.rtd",,"LAST","."&amp;U$2&amp;U$1&amp;"C"&amp;$A49)-100*RTD("tos.rtd",,"VOLUME","."&amp;U$2&amp;U$1&amp;"P"&amp;$A49)*RTD("tos.rtd",,"LAST","."&amp;U$2&amp;U$1&amp;"P"&amp;$A49))/1000000,0),IF($A$2="DEX",IFERROR((100*RTD("tos.rtd",,"OPEN_INT","."&amp;U$2&amp;U$1&amp;"C"&amp;$A49)*RTD("tos.rtd",,"DELTA","."&amp;U$2&amp;U$1&amp;"C"&amp;$A49)-100*RTD("tos.rtd",,"OPEN_INT","."&amp;U$2&amp;U$1&amp;"P"&amp;$A49)*RTD("tos.rtd",,"DELTA","."&amp;U$2&amp;U$1&amp;"P"&amp;$A49))/1000,0),IF($A$2="VEX",IFERROR(($A$4*$A$4*RTD("tos.rtd",,"VOLUME","."&amp;U$2&amp;U$1&amp;"C"&amp;$A49)*RTD("tos.rtd",,"GAMMA","."&amp;U$2&amp;U$1&amp;"C"&amp;$A49)-$A$4*$A$4*RTD("tos.rtd",,"VOLUME","."&amp;U$2&amp;U$1&amp;"P"&amp;$A49)*RTD("tos.rtd",,"GAMMA","."&amp;U$2&amp;U$1&amp;"P"&amp;$A49))/1000000,0),IF($A$2="GEX",IFERROR(($A$4*$A$4*RTD("tos.rtd",,"OPEN_INT","."&amp;U$2&amp;U$1&amp;"C"&amp;$A49)*RTD("tos.rtd",,"GAMMA","."&amp;U$2&amp;U$1&amp;"C"&amp;$A49)-$A$4*$A$4*RTD("tos.rtd",,"OPEN_INT","."&amp;U$2&amp;U$1&amp;"P"&amp;$A49)*RTD("tos.rtd",,"GAMMA","."&amp;U$2&amp;U$1&amp;"P"&amp;$A49))/1000000,0),IF($A$2="SKEW",IFERROR(VALUE(IF(RTD("tos.rtd",,"IMPL_VOL","."&amp;U$2&amp;U$1&amp;"P"&amp;$A49)="N/A",0,RTD("tos.rtd",,"IMPL_VOL","."&amp;U$2&amp;U$1&amp;"P"&amp;$A49))),0)-IFERROR(VALUE(IF(RTD("tos.rtd",,"IMPL_VOL","."&amp;U$2&amp;U$1&amp;"C"&amp;$A49)="N/A",0,RTD("tos.rtd",,"IMPL_VOL","."&amp;U$2&amp;U$1&amp;"C"&amp;$A49))),0),IF($A$2="MAXPAIN",IF($A$4&gt;$A49,($A$4-$A49)*IF(RTD("tos.rtd",,"OPEN_INT","."&amp;U$2&amp;U$1&amp;"C"&amp;$A49)="N/A",0,RTD("tos.rtd",,"OPEN_INT","."&amp;U$2&amp;U$1&amp;"C"&amp;$A49)),0)+IF($A$4&lt;$A49,($A49-$A$4)*IF(RTD("tos.rtd",,"OPEN_INT","."&amp;U$2&amp;U$1&amp;"P"&amp;$A49)="N/A",0,RTD("tos.rtd",,"OPEN_INT","."&amp;U$2&amp;U$1&amp;"P"&amp;$A49)),0),IF(RTD("tos.rtd",,$A$2,"."&amp;U$2&amp;U$1&amp;"C"&amp;$A49)="N/A",0,RTD("tos.rtd",,$A$2,"."&amp;U$2&amp;U$1&amp;"C"&amp;$A49))-IF(RTD("tos.rtd",,$A$2,"."&amp;U$2&amp;U$1&amp;"P"&amp;$A49)="N/A",0,RTD("tos.rtd",,$A$2,"."&amp;U$2&amp;U$1&amp;"P"&amp;$A49)))))))))</f>
        <v>0</v>
      </c>
      <c r="V49" s="12">
        <f>IF($A$2="PREMIUM_OI",IFERROR((100*RTD("tos.rtd",,"OPEN_INT","."&amp;V$2&amp;V$1&amp;"C"&amp;$A49)*RTD("tos.rtd",,"LAST","."&amp;V$2&amp;V$1&amp;"C"&amp;$A49)-100*RTD("tos.rtd",,"OPEN_INT","."&amp;V$2&amp;V$1&amp;"P"&amp;$A49)*RTD("tos.rtd",,"LAST","."&amp;V$2&amp;V$1&amp;"P"&amp;$A49))/1000000,0),IF($A$2="PREMIUM",IFERROR((100*RTD("tos.rtd",,"VOLUME","."&amp;V$2&amp;V$1&amp;"C"&amp;$A49)*RTD("tos.rtd",,"LAST","."&amp;V$2&amp;V$1&amp;"C"&amp;$A49)-100*RTD("tos.rtd",,"VOLUME","."&amp;V$2&amp;V$1&amp;"P"&amp;$A49)*RTD("tos.rtd",,"LAST","."&amp;V$2&amp;V$1&amp;"P"&amp;$A49))/1000000,0),IF($A$2="DEX",IFERROR((100*RTD("tos.rtd",,"OPEN_INT","."&amp;V$2&amp;V$1&amp;"C"&amp;$A49)*RTD("tos.rtd",,"DELTA","."&amp;V$2&amp;V$1&amp;"C"&amp;$A49)-100*RTD("tos.rtd",,"OPEN_INT","."&amp;V$2&amp;V$1&amp;"P"&amp;$A49)*RTD("tos.rtd",,"DELTA","."&amp;V$2&amp;V$1&amp;"P"&amp;$A49))/1000,0),IF($A$2="VEX",IFERROR(($A$4*$A$4*RTD("tos.rtd",,"VOLUME","."&amp;V$2&amp;V$1&amp;"C"&amp;$A49)*RTD("tos.rtd",,"GAMMA","."&amp;V$2&amp;V$1&amp;"C"&amp;$A49)-$A$4*$A$4*RTD("tos.rtd",,"VOLUME","."&amp;V$2&amp;V$1&amp;"P"&amp;$A49)*RTD("tos.rtd",,"GAMMA","."&amp;V$2&amp;V$1&amp;"P"&amp;$A49))/1000000,0),IF($A$2="GEX",IFERROR(($A$4*$A$4*RTD("tos.rtd",,"OPEN_INT","."&amp;V$2&amp;V$1&amp;"C"&amp;$A49)*RTD("tos.rtd",,"GAMMA","."&amp;V$2&amp;V$1&amp;"C"&amp;$A49)-$A$4*$A$4*RTD("tos.rtd",,"OPEN_INT","."&amp;V$2&amp;V$1&amp;"P"&amp;$A49)*RTD("tos.rtd",,"GAMMA","."&amp;V$2&amp;V$1&amp;"P"&amp;$A49))/1000000,0),IF($A$2="SKEW",IFERROR(VALUE(IF(RTD("tos.rtd",,"IMPL_VOL","."&amp;V$2&amp;V$1&amp;"P"&amp;$A49)="N/A",0,RTD("tos.rtd",,"IMPL_VOL","."&amp;V$2&amp;V$1&amp;"P"&amp;$A49))),0)-IFERROR(VALUE(IF(RTD("tos.rtd",,"IMPL_VOL","."&amp;V$2&amp;V$1&amp;"C"&amp;$A49)="N/A",0,RTD("tos.rtd",,"IMPL_VOL","."&amp;V$2&amp;V$1&amp;"C"&amp;$A49))),0),IF($A$2="MAXPAIN",IF($A$4&gt;$A49,($A$4-$A49)*IF(RTD("tos.rtd",,"OPEN_INT","."&amp;V$2&amp;V$1&amp;"C"&amp;$A49)="N/A",0,RTD("tos.rtd",,"OPEN_INT","."&amp;V$2&amp;V$1&amp;"C"&amp;$A49)),0)+IF($A$4&lt;$A49,($A49-$A$4)*IF(RTD("tos.rtd",,"OPEN_INT","."&amp;V$2&amp;V$1&amp;"P"&amp;$A49)="N/A",0,RTD("tos.rtd",,"OPEN_INT","."&amp;V$2&amp;V$1&amp;"P"&amp;$A49)),0),IF(RTD("tos.rtd",,$A$2,"."&amp;V$2&amp;V$1&amp;"C"&amp;$A49)="N/A",0,RTD("tos.rtd",,$A$2,"."&amp;V$2&amp;V$1&amp;"C"&amp;$A49))-IF(RTD("tos.rtd",,$A$2,"."&amp;V$2&amp;V$1&amp;"P"&amp;$A49)="N/A",0,RTD("tos.rtd",,$A$2,"."&amp;V$2&amp;V$1&amp;"P"&amp;$A49)))))))))</f>
        <v>0</v>
      </c>
      <c r="W49" s="12">
        <f>IF($A$2="PREMIUM_OI",IFERROR((100*RTD("tos.rtd",,"OPEN_INT","."&amp;W$2&amp;W$1&amp;"C"&amp;$A49)*RTD("tos.rtd",,"LAST","."&amp;W$2&amp;W$1&amp;"C"&amp;$A49)-100*RTD("tos.rtd",,"OPEN_INT","."&amp;W$2&amp;W$1&amp;"P"&amp;$A49)*RTD("tos.rtd",,"LAST","."&amp;W$2&amp;W$1&amp;"P"&amp;$A49))/1000000,0),IF($A$2="PREMIUM",IFERROR((100*RTD("tos.rtd",,"VOLUME","."&amp;W$2&amp;W$1&amp;"C"&amp;$A49)*RTD("tos.rtd",,"LAST","."&amp;W$2&amp;W$1&amp;"C"&amp;$A49)-100*RTD("tos.rtd",,"VOLUME","."&amp;W$2&amp;W$1&amp;"P"&amp;$A49)*RTD("tos.rtd",,"LAST","."&amp;W$2&amp;W$1&amp;"P"&amp;$A49))/1000000,0),IF($A$2="DEX",IFERROR((100*RTD("tos.rtd",,"OPEN_INT","."&amp;W$2&amp;W$1&amp;"C"&amp;$A49)*RTD("tos.rtd",,"DELTA","."&amp;W$2&amp;W$1&amp;"C"&amp;$A49)-100*RTD("tos.rtd",,"OPEN_INT","."&amp;W$2&amp;W$1&amp;"P"&amp;$A49)*RTD("tos.rtd",,"DELTA","."&amp;W$2&amp;W$1&amp;"P"&amp;$A49))/1000,0),IF($A$2="VEX",IFERROR(($A$4*$A$4*RTD("tos.rtd",,"VOLUME","."&amp;W$2&amp;W$1&amp;"C"&amp;$A49)*RTD("tos.rtd",,"GAMMA","."&amp;W$2&amp;W$1&amp;"C"&amp;$A49)-$A$4*$A$4*RTD("tos.rtd",,"VOLUME","."&amp;W$2&amp;W$1&amp;"P"&amp;$A49)*RTD("tos.rtd",,"GAMMA","."&amp;W$2&amp;W$1&amp;"P"&amp;$A49))/1000000,0),IF($A$2="GEX",IFERROR(($A$4*$A$4*RTD("tos.rtd",,"OPEN_INT","."&amp;W$2&amp;W$1&amp;"C"&amp;$A49)*RTD("tos.rtd",,"GAMMA","."&amp;W$2&amp;W$1&amp;"C"&amp;$A49)-$A$4*$A$4*RTD("tos.rtd",,"OPEN_INT","."&amp;W$2&amp;W$1&amp;"P"&amp;$A49)*RTD("tos.rtd",,"GAMMA","."&amp;W$2&amp;W$1&amp;"P"&amp;$A49))/1000000,0),IF($A$2="SKEW",IFERROR(VALUE(IF(RTD("tos.rtd",,"IMPL_VOL","."&amp;W$2&amp;W$1&amp;"P"&amp;$A49)="N/A",0,RTD("tos.rtd",,"IMPL_VOL","."&amp;W$2&amp;W$1&amp;"P"&amp;$A49))),0)-IFERROR(VALUE(IF(RTD("tos.rtd",,"IMPL_VOL","."&amp;W$2&amp;W$1&amp;"C"&amp;$A49)="N/A",0,RTD("tos.rtd",,"IMPL_VOL","."&amp;W$2&amp;W$1&amp;"C"&amp;$A49))),0),IF($A$2="MAXPAIN",IF($A$4&gt;$A49,($A$4-$A49)*IF(RTD("tos.rtd",,"OPEN_INT","."&amp;W$2&amp;W$1&amp;"C"&amp;$A49)="N/A",0,RTD("tos.rtd",,"OPEN_INT","."&amp;W$2&amp;W$1&amp;"C"&amp;$A49)),0)+IF($A$4&lt;$A49,($A49-$A$4)*IF(RTD("tos.rtd",,"OPEN_INT","."&amp;W$2&amp;W$1&amp;"P"&amp;$A49)="N/A",0,RTD("tos.rtd",,"OPEN_INT","."&amp;W$2&amp;W$1&amp;"P"&amp;$A49)),0),IF(RTD("tos.rtd",,$A$2,"."&amp;W$2&amp;W$1&amp;"C"&amp;$A49)="N/A",0,RTD("tos.rtd",,$A$2,"."&amp;W$2&amp;W$1&amp;"C"&amp;$A49))-IF(RTD("tos.rtd",,$A$2,"."&amp;W$2&amp;W$1&amp;"P"&amp;$A49)="N/A",0,RTD("tos.rtd",,$A$2,"."&amp;W$2&amp;W$1&amp;"P"&amp;$A49)))))))))</f>
        <v>0</v>
      </c>
      <c r="X49" s="12">
        <f t="shared" ca="1" si="7"/>
        <v>0</v>
      </c>
      <c r="Y49" s="27">
        <f t="shared" ca="1" si="8"/>
        <v>0</v>
      </c>
      <c r="AA49" s="35">
        <f>+IF($AJ$1,AJ49,TASTYOHLC!A49)</f>
        <v>0</v>
      </c>
      <c r="AB49" s="8">
        <f>+IF($AJ$1,AK49,TASTYOHLC!B49)</f>
        <v>0</v>
      </c>
      <c r="AC49" s="8">
        <f>+IF($AJ$1,AL49,TASTYOHLC!C49)</f>
        <v>0</v>
      </c>
      <c r="AD49" s="8">
        <f>+IF($AJ$1,AM49,TASTYOHLC!D49)</f>
        <v>0</v>
      </c>
      <c r="AE49" s="8">
        <f>+IF($AJ$1,AN49,TASTYOHLC!E49)</f>
        <v>0</v>
      </c>
      <c r="AF49" s="8"/>
      <c r="AJ49" s="37"/>
    </row>
    <row r="50" spans="1:36" s="19" customFormat="1" ht="11.1" customHeight="1" thickBot="1" x14ac:dyDescent="0.3">
      <c r="A50" s="23">
        <f t="shared" si="13"/>
        <v>-3</v>
      </c>
      <c r="B50" s="14">
        <f>IF($A$2="PREMIUM_OI",IFERROR((100*RTD("tos.rtd",,"OPEN_INT","."&amp;B$2&amp;B$1&amp;"C"&amp;$A50)*RTD("tos.rtd",,"LAST","."&amp;B$2&amp;B$1&amp;"C"&amp;$A50)-100*RTD("tos.rtd",,"OPEN_INT","."&amp;B$2&amp;B$1&amp;"P"&amp;$A50)*RTD("tos.rtd",,"LAST","."&amp;B$2&amp;B$1&amp;"P"&amp;$A50))/1000000,0),IF($A$2="PREMIUM",IFERROR((100*RTD("tos.rtd",,"VOLUME","."&amp;B$2&amp;B$1&amp;"C"&amp;$A50)*RTD("tos.rtd",,"LAST","."&amp;B$2&amp;B$1&amp;"C"&amp;$A50)-100*RTD("tos.rtd",,"VOLUME","."&amp;B$2&amp;B$1&amp;"P"&amp;$A50)*RTD("tos.rtd",,"LAST","."&amp;B$2&amp;B$1&amp;"P"&amp;$A50))/1000000,0),IF($A$2="DEX",IFERROR((100*RTD("tos.rtd",,"OPEN_INT","."&amp;B$2&amp;B$1&amp;"C"&amp;$A50)*RTD("tos.rtd",,"DELTA","."&amp;B$2&amp;B$1&amp;"C"&amp;$A50)-100*RTD("tos.rtd",,"OPEN_INT","."&amp;B$2&amp;B$1&amp;"P"&amp;$A50)*RTD("tos.rtd",,"DELTA","."&amp;B$2&amp;B$1&amp;"P"&amp;$A50))/1000,0),IF($A$2="VEX",IFERROR(($A$4*$A$4*RTD("tos.rtd",,"VOLUME","."&amp;B$2&amp;B$1&amp;"C"&amp;$A50)*RTD("tos.rtd",,"GAMMA","."&amp;B$2&amp;B$1&amp;"C"&amp;$A50)-$A$4*$A$4*RTD("tos.rtd",,"VOLUME","."&amp;B$2&amp;B$1&amp;"P"&amp;$A50)*RTD("tos.rtd",,"GAMMA","."&amp;B$2&amp;B$1&amp;"P"&amp;$A50))/1000000,0),IF($A$2="GEX",IFERROR(($A$4*$A$4*RTD("tos.rtd",,"OPEN_INT","."&amp;B$2&amp;B$1&amp;"C"&amp;$A50)*RTD("tos.rtd",,"GAMMA","."&amp;B$2&amp;B$1&amp;"C"&amp;$A50)-$A$4*$A$4*RTD("tos.rtd",,"OPEN_INT","."&amp;B$2&amp;B$1&amp;"P"&amp;$A50)*RTD("tos.rtd",,"GAMMA","."&amp;B$2&amp;B$1&amp;"P"&amp;$A50))/1000000,0),IF($A$2="SKEW",IFERROR(VALUE(IF(RTD("tos.rtd",,"IMPL_VOL","."&amp;B$2&amp;B$1&amp;"P"&amp;$A50)="N/A",0,RTD("tos.rtd",,"IMPL_VOL","."&amp;B$2&amp;B$1&amp;"P"&amp;$A50))),0)-IFERROR(VALUE(IF(RTD("tos.rtd",,"IMPL_VOL","."&amp;B$2&amp;B$1&amp;"C"&amp;$A50)="N/A",0,RTD("tos.rtd",,"IMPL_VOL","."&amp;B$2&amp;B$1&amp;"C"&amp;$A50))),0),IF($A$2="MAXPAIN",IF($A$4&gt;$A50,($A$4-$A50)*IF(RTD("tos.rtd",,"OPEN_INT","."&amp;B$2&amp;B$1&amp;"C"&amp;$A50)="N/A",0,RTD("tos.rtd",,"OPEN_INT","."&amp;B$2&amp;B$1&amp;"C"&amp;$A50)),0)+IF($A$4&lt;$A50,($A50-$A$4)*IF(RTD("tos.rtd",,"OPEN_INT","."&amp;B$2&amp;B$1&amp;"P"&amp;$A50)="N/A",0,RTD("tos.rtd",,"OPEN_INT","."&amp;B$2&amp;B$1&amp;"P"&amp;$A50)),0),IF(RTD("tos.rtd",,$A$2,"."&amp;B$2&amp;B$1&amp;"C"&amp;$A50)="N/A",0,RTD("tos.rtd",,$A$2,"."&amp;B$2&amp;B$1&amp;"C"&amp;$A50))-IF(RTD("tos.rtd",,$A$2,"."&amp;B$2&amp;B$1&amp;"P"&amp;$A50)="N/A",0,RTD("tos.rtd",,$A$2,"."&amp;B$2&amp;B$1&amp;"P"&amp;$A50)))))))))</f>
        <v>0</v>
      </c>
      <c r="C50" s="12">
        <f>IF($A$2="PREMIUM_OI",IFERROR((100*RTD("tos.rtd",,"OPEN_INT","."&amp;C$2&amp;C$1&amp;"C"&amp;$A50)*RTD("tos.rtd",,"LAST","."&amp;C$2&amp;C$1&amp;"C"&amp;$A50)-100*RTD("tos.rtd",,"OPEN_INT","."&amp;C$2&amp;C$1&amp;"P"&amp;$A50)*RTD("tos.rtd",,"LAST","."&amp;C$2&amp;C$1&amp;"P"&amp;$A50))/1000000,0),IF($A$2="PREMIUM",IFERROR((100*RTD("tos.rtd",,"VOLUME","."&amp;C$2&amp;C$1&amp;"C"&amp;$A50)*RTD("tos.rtd",,"LAST","."&amp;C$2&amp;C$1&amp;"C"&amp;$A50)-100*RTD("tos.rtd",,"VOLUME","."&amp;C$2&amp;C$1&amp;"P"&amp;$A50)*RTD("tos.rtd",,"LAST","."&amp;C$2&amp;C$1&amp;"P"&amp;$A50))/1000000,0),IF($A$2="DEX",IFERROR((100*RTD("tos.rtd",,"OPEN_INT","."&amp;C$2&amp;C$1&amp;"C"&amp;$A50)*RTD("tos.rtd",,"DELTA","."&amp;C$2&amp;C$1&amp;"C"&amp;$A50)-100*RTD("tos.rtd",,"OPEN_INT","."&amp;C$2&amp;C$1&amp;"P"&amp;$A50)*RTD("tos.rtd",,"DELTA","."&amp;C$2&amp;C$1&amp;"P"&amp;$A50))/1000,0),IF($A$2="VEX",IFERROR(($A$4*$A$4*RTD("tos.rtd",,"VOLUME","."&amp;C$2&amp;C$1&amp;"C"&amp;$A50)*RTD("tos.rtd",,"GAMMA","."&amp;C$2&amp;C$1&amp;"C"&amp;$A50)-$A$4*$A$4*RTD("tos.rtd",,"VOLUME","."&amp;C$2&amp;C$1&amp;"P"&amp;$A50)*RTD("tos.rtd",,"GAMMA","."&amp;C$2&amp;C$1&amp;"P"&amp;$A50))/1000000,0),IF($A$2="GEX",IFERROR(($A$4*$A$4*RTD("tos.rtd",,"OPEN_INT","."&amp;C$2&amp;C$1&amp;"C"&amp;$A50)*RTD("tos.rtd",,"GAMMA","."&amp;C$2&amp;C$1&amp;"C"&amp;$A50)-$A$4*$A$4*RTD("tos.rtd",,"OPEN_INT","."&amp;C$2&amp;C$1&amp;"P"&amp;$A50)*RTD("tos.rtd",,"GAMMA","."&amp;C$2&amp;C$1&amp;"P"&amp;$A50))/1000000,0),IF($A$2="SKEW",IFERROR(VALUE(IF(RTD("tos.rtd",,"IMPL_VOL","."&amp;C$2&amp;C$1&amp;"P"&amp;$A50)="N/A",0,RTD("tos.rtd",,"IMPL_VOL","."&amp;C$2&amp;C$1&amp;"P"&amp;$A50))),0)-IFERROR(VALUE(IF(RTD("tos.rtd",,"IMPL_VOL","."&amp;C$2&amp;C$1&amp;"C"&amp;$A50)="N/A",0,RTD("tos.rtd",,"IMPL_VOL","."&amp;C$2&amp;C$1&amp;"C"&amp;$A50))),0),IF($A$2="MAXPAIN",IF($A$4&gt;$A50,($A$4-$A50)*IF(RTD("tos.rtd",,"OPEN_INT","."&amp;C$2&amp;C$1&amp;"C"&amp;$A50)="N/A",0,RTD("tos.rtd",,"OPEN_INT","."&amp;C$2&amp;C$1&amp;"C"&amp;$A50)),0)+IF($A$4&lt;$A50,($A50-$A$4)*IF(RTD("tos.rtd",,"OPEN_INT","."&amp;C$2&amp;C$1&amp;"P"&amp;$A50)="N/A",0,RTD("tos.rtd",,"OPEN_INT","."&amp;C$2&amp;C$1&amp;"P"&amp;$A50)),0),IF(RTD("tos.rtd",,$A$2,"."&amp;C$2&amp;C$1&amp;"C"&amp;$A50)="N/A",0,RTD("tos.rtd",,$A$2,"."&amp;C$2&amp;C$1&amp;"C"&amp;$A50))-IF(RTD("tos.rtd",,$A$2,"."&amp;C$2&amp;C$1&amp;"P"&amp;$A50)="N/A",0,RTD("tos.rtd",,$A$2,"."&amp;C$2&amp;C$1&amp;"P"&amp;$A50)))))))))</f>
        <v>0</v>
      </c>
      <c r="D50" s="12">
        <f>IF($A$2="PREMIUM_OI",IFERROR((100*RTD("tos.rtd",,"OPEN_INT","."&amp;D$2&amp;D$1&amp;"C"&amp;$A50)*RTD("tos.rtd",,"LAST","."&amp;D$2&amp;D$1&amp;"C"&amp;$A50)-100*RTD("tos.rtd",,"OPEN_INT","."&amp;D$2&amp;D$1&amp;"P"&amp;$A50)*RTD("tos.rtd",,"LAST","."&amp;D$2&amp;D$1&amp;"P"&amp;$A50))/1000000,0),IF($A$2="PREMIUM",IFERROR((100*RTD("tos.rtd",,"VOLUME","."&amp;D$2&amp;D$1&amp;"C"&amp;$A50)*RTD("tos.rtd",,"LAST","."&amp;D$2&amp;D$1&amp;"C"&amp;$A50)-100*RTD("tos.rtd",,"VOLUME","."&amp;D$2&amp;D$1&amp;"P"&amp;$A50)*RTD("tos.rtd",,"LAST","."&amp;D$2&amp;D$1&amp;"P"&amp;$A50))/1000000,0),IF($A$2="DEX",IFERROR((100*RTD("tos.rtd",,"OPEN_INT","."&amp;D$2&amp;D$1&amp;"C"&amp;$A50)*RTD("tos.rtd",,"DELTA","."&amp;D$2&amp;D$1&amp;"C"&amp;$A50)-100*RTD("tos.rtd",,"OPEN_INT","."&amp;D$2&amp;D$1&amp;"P"&amp;$A50)*RTD("tos.rtd",,"DELTA","."&amp;D$2&amp;D$1&amp;"P"&amp;$A50))/1000,0),IF($A$2="VEX",IFERROR(($A$4*$A$4*RTD("tos.rtd",,"VOLUME","."&amp;D$2&amp;D$1&amp;"C"&amp;$A50)*RTD("tos.rtd",,"GAMMA","."&amp;D$2&amp;D$1&amp;"C"&amp;$A50)-$A$4*$A$4*RTD("tos.rtd",,"VOLUME","."&amp;D$2&amp;D$1&amp;"P"&amp;$A50)*RTD("tos.rtd",,"GAMMA","."&amp;D$2&amp;D$1&amp;"P"&amp;$A50))/1000000,0),IF($A$2="GEX",IFERROR(($A$4*$A$4*RTD("tos.rtd",,"OPEN_INT","."&amp;D$2&amp;D$1&amp;"C"&amp;$A50)*RTD("tos.rtd",,"GAMMA","."&amp;D$2&amp;D$1&amp;"C"&amp;$A50)-$A$4*$A$4*RTD("tos.rtd",,"OPEN_INT","."&amp;D$2&amp;D$1&amp;"P"&amp;$A50)*RTD("tos.rtd",,"GAMMA","."&amp;D$2&amp;D$1&amp;"P"&amp;$A50))/1000000,0),IF($A$2="SKEW",IFERROR(VALUE(IF(RTD("tos.rtd",,"IMPL_VOL","."&amp;D$2&amp;D$1&amp;"P"&amp;$A50)="N/A",0,RTD("tos.rtd",,"IMPL_VOL","."&amp;D$2&amp;D$1&amp;"P"&amp;$A50))),0)-IFERROR(VALUE(IF(RTD("tos.rtd",,"IMPL_VOL","."&amp;D$2&amp;D$1&amp;"C"&amp;$A50)="N/A",0,RTD("tos.rtd",,"IMPL_VOL","."&amp;D$2&amp;D$1&amp;"C"&amp;$A50))),0),IF($A$2="MAXPAIN",IF($A$4&gt;$A50,($A$4-$A50)*IF(RTD("tos.rtd",,"OPEN_INT","."&amp;D$2&amp;D$1&amp;"C"&amp;$A50)="N/A",0,RTD("tos.rtd",,"OPEN_INT","."&amp;D$2&amp;D$1&amp;"C"&amp;$A50)),0)+IF($A$4&lt;$A50,($A50-$A$4)*IF(RTD("tos.rtd",,"OPEN_INT","."&amp;D$2&amp;D$1&amp;"P"&amp;$A50)="N/A",0,RTD("tos.rtd",,"OPEN_INT","."&amp;D$2&amp;D$1&amp;"P"&amp;$A50)),0),IF(RTD("tos.rtd",,$A$2,"."&amp;D$2&amp;D$1&amp;"C"&amp;$A50)="N/A",0,RTD("tos.rtd",,$A$2,"."&amp;D$2&amp;D$1&amp;"C"&amp;$A50))-IF(RTD("tos.rtd",,$A$2,"."&amp;D$2&amp;D$1&amp;"P"&amp;$A50)="N/A",0,RTD("tos.rtd",,$A$2,"."&amp;D$2&amp;D$1&amp;"P"&amp;$A50)))))))))</f>
        <v>0</v>
      </c>
      <c r="E50" s="12">
        <f>IF($A$2="PREMIUM_OI",IFERROR((100*RTD("tos.rtd",,"OPEN_INT","."&amp;E$2&amp;E$1&amp;"C"&amp;$A50)*RTD("tos.rtd",,"LAST","."&amp;E$2&amp;E$1&amp;"C"&amp;$A50)-100*RTD("tos.rtd",,"OPEN_INT","."&amp;E$2&amp;E$1&amp;"P"&amp;$A50)*RTD("tos.rtd",,"LAST","."&amp;E$2&amp;E$1&amp;"P"&amp;$A50))/1000000,0),IF($A$2="PREMIUM",IFERROR((100*RTD("tos.rtd",,"VOLUME","."&amp;E$2&amp;E$1&amp;"C"&amp;$A50)*RTD("tos.rtd",,"LAST","."&amp;E$2&amp;E$1&amp;"C"&amp;$A50)-100*RTD("tos.rtd",,"VOLUME","."&amp;E$2&amp;E$1&amp;"P"&amp;$A50)*RTD("tos.rtd",,"LAST","."&amp;E$2&amp;E$1&amp;"P"&amp;$A50))/1000000,0),IF($A$2="DEX",IFERROR((100*RTD("tos.rtd",,"OPEN_INT","."&amp;E$2&amp;E$1&amp;"C"&amp;$A50)*RTD("tos.rtd",,"DELTA","."&amp;E$2&amp;E$1&amp;"C"&amp;$A50)-100*RTD("tos.rtd",,"OPEN_INT","."&amp;E$2&amp;E$1&amp;"P"&amp;$A50)*RTD("tos.rtd",,"DELTA","."&amp;E$2&amp;E$1&amp;"P"&amp;$A50))/1000,0),IF($A$2="VEX",IFERROR(($A$4*$A$4*RTD("tos.rtd",,"VOLUME","."&amp;E$2&amp;E$1&amp;"C"&amp;$A50)*RTD("tos.rtd",,"GAMMA","."&amp;E$2&amp;E$1&amp;"C"&amp;$A50)-$A$4*$A$4*RTD("tos.rtd",,"VOLUME","."&amp;E$2&amp;E$1&amp;"P"&amp;$A50)*RTD("tos.rtd",,"GAMMA","."&amp;E$2&amp;E$1&amp;"P"&amp;$A50))/1000000,0),IF($A$2="GEX",IFERROR(($A$4*$A$4*RTD("tos.rtd",,"OPEN_INT","."&amp;E$2&amp;E$1&amp;"C"&amp;$A50)*RTD("tos.rtd",,"GAMMA","."&amp;E$2&amp;E$1&amp;"C"&amp;$A50)-$A$4*$A$4*RTD("tos.rtd",,"OPEN_INT","."&amp;E$2&amp;E$1&amp;"P"&amp;$A50)*RTD("tos.rtd",,"GAMMA","."&amp;E$2&amp;E$1&amp;"P"&amp;$A50))/1000000,0),IF($A$2="SKEW",IFERROR(VALUE(IF(RTD("tos.rtd",,"IMPL_VOL","."&amp;E$2&amp;E$1&amp;"P"&amp;$A50)="N/A",0,RTD("tos.rtd",,"IMPL_VOL","."&amp;E$2&amp;E$1&amp;"P"&amp;$A50))),0)-IFERROR(VALUE(IF(RTD("tos.rtd",,"IMPL_VOL","."&amp;E$2&amp;E$1&amp;"C"&amp;$A50)="N/A",0,RTD("tos.rtd",,"IMPL_VOL","."&amp;E$2&amp;E$1&amp;"C"&amp;$A50))),0),IF($A$2="MAXPAIN",IF($A$4&gt;$A50,($A$4-$A50)*IF(RTD("tos.rtd",,"OPEN_INT","."&amp;E$2&amp;E$1&amp;"C"&amp;$A50)="N/A",0,RTD("tos.rtd",,"OPEN_INT","."&amp;E$2&amp;E$1&amp;"C"&amp;$A50)),0)+IF($A$4&lt;$A50,($A50-$A$4)*IF(RTD("tos.rtd",,"OPEN_INT","."&amp;E$2&amp;E$1&amp;"P"&amp;$A50)="N/A",0,RTD("tos.rtd",,"OPEN_INT","."&amp;E$2&amp;E$1&amp;"P"&amp;$A50)),0),IF(RTD("tos.rtd",,$A$2,"."&amp;E$2&amp;E$1&amp;"C"&amp;$A50)="N/A",0,RTD("tos.rtd",,$A$2,"."&amp;E$2&amp;E$1&amp;"C"&amp;$A50))-IF(RTD("tos.rtd",,$A$2,"."&amp;E$2&amp;E$1&amp;"P"&amp;$A50)="N/A",0,RTD("tos.rtd",,$A$2,"."&amp;E$2&amp;E$1&amp;"P"&amp;$A50)))))))))</f>
        <v>0</v>
      </c>
      <c r="F50" s="12">
        <f>IF($A$2="PREMIUM_OI",IFERROR((100*RTD("tos.rtd",,"OPEN_INT","."&amp;F$2&amp;F$1&amp;"C"&amp;$A50)*RTD("tos.rtd",,"LAST","."&amp;F$2&amp;F$1&amp;"C"&amp;$A50)-100*RTD("tos.rtd",,"OPEN_INT","."&amp;F$2&amp;F$1&amp;"P"&amp;$A50)*RTD("tos.rtd",,"LAST","."&amp;F$2&amp;F$1&amp;"P"&amp;$A50))/1000000,0),IF($A$2="PREMIUM",IFERROR((100*RTD("tos.rtd",,"VOLUME","."&amp;F$2&amp;F$1&amp;"C"&amp;$A50)*RTD("tos.rtd",,"LAST","."&amp;F$2&amp;F$1&amp;"C"&amp;$A50)-100*RTD("tos.rtd",,"VOLUME","."&amp;F$2&amp;F$1&amp;"P"&amp;$A50)*RTD("tos.rtd",,"LAST","."&amp;F$2&amp;F$1&amp;"P"&amp;$A50))/1000000,0),IF($A$2="DEX",IFERROR((100*RTD("tos.rtd",,"OPEN_INT","."&amp;F$2&amp;F$1&amp;"C"&amp;$A50)*RTD("tos.rtd",,"DELTA","."&amp;F$2&amp;F$1&amp;"C"&amp;$A50)-100*RTD("tos.rtd",,"OPEN_INT","."&amp;F$2&amp;F$1&amp;"P"&amp;$A50)*RTD("tos.rtd",,"DELTA","."&amp;F$2&amp;F$1&amp;"P"&amp;$A50))/1000,0),IF($A$2="VEX",IFERROR(($A$4*$A$4*RTD("tos.rtd",,"VOLUME","."&amp;F$2&amp;F$1&amp;"C"&amp;$A50)*RTD("tos.rtd",,"GAMMA","."&amp;F$2&amp;F$1&amp;"C"&amp;$A50)-$A$4*$A$4*RTD("tos.rtd",,"VOLUME","."&amp;F$2&amp;F$1&amp;"P"&amp;$A50)*RTD("tos.rtd",,"GAMMA","."&amp;F$2&amp;F$1&amp;"P"&amp;$A50))/1000000,0),IF($A$2="GEX",IFERROR(($A$4*$A$4*RTD("tos.rtd",,"OPEN_INT","."&amp;F$2&amp;F$1&amp;"C"&amp;$A50)*RTD("tos.rtd",,"GAMMA","."&amp;F$2&amp;F$1&amp;"C"&amp;$A50)-$A$4*$A$4*RTD("tos.rtd",,"OPEN_INT","."&amp;F$2&amp;F$1&amp;"P"&amp;$A50)*RTD("tos.rtd",,"GAMMA","."&amp;F$2&amp;F$1&amp;"P"&amp;$A50))/1000000,0),IF($A$2="SKEW",IFERROR(VALUE(IF(RTD("tos.rtd",,"IMPL_VOL","."&amp;F$2&amp;F$1&amp;"P"&amp;$A50)="N/A",0,RTD("tos.rtd",,"IMPL_VOL","."&amp;F$2&amp;F$1&amp;"P"&amp;$A50))),0)-IFERROR(VALUE(IF(RTD("tos.rtd",,"IMPL_VOL","."&amp;F$2&amp;F$1&amp;"C"&amp;$A50)="N/A",0,RTD("tos.rtd",,"IMPL_VOL","."&amp;F$2&amp;F$1&amp;"C"&amp;$A50))),0),IF($A$2="MAXPAIN",IF($A$4&gt;$A50,($A$4-$A50)*IF(RTD("tos.rtd",,"OPEN_INT","."&amp;F$2&amp;F$1&amp;"C"&amp;$A50)="N/A",0,RTD("tos.rtd",,"OPEN_INT","."&amp;F$2&amp;F$1&amp;"C"&amp;$A50)),0)+IF($A$4&lt;$A50,($A50-$A$4)*IF(RTD("tos.rtd",,"OPEN_INT","."&amp;F$2&amp;F$1&amp;"P"&amp;$A50)="N/A",0,RTD("tos.rtd",,"OPEN_INT","."&amp;F$2&amp;F$1&amp;"P"&amp;$A50)),0),IF(RTD("tos.rtd",,$A$2,"."&amp;F$2&amp;F$1&amp;"C"&amp;$A50)="N/A",0,RTD("tos.rtd",,$A$2,"."&amp;F$2&amp;F$1&amp;"C"&amp;$A50))-IF(RTD("tos.rtd",,$A$2,"."&amp;F$2&amp;F$1&amp;"P"&amp;$A50)="N/A",0,RTD("tos.rtd",,$A$2,"."&amp;F$2&amp;F$1&amp;"P"&amp;$A50)))))))))</f>
        <v>0</v>
      </c>
      <c r="G50" s="14">
        <f>IF($A$2="PREMIUM_OI",IFERROR((100*RTD("tos.rtd",,"OPEN_INT","."&amp;G$2&amp;G$1&amp;"C"&amp;$A50)*RTD("tos.rtd",,"LAST","."&amp;G$2&amp;G$1&amp;"C"&amp;$A50)-100*RTD("tos.rtd",,"OPEN_INT","."&amp;G$2&amp;G$1&amp;"P"&amp;$A50)*RTD("tos.rtd",,"LAST","."&amp;G$2&amp;G$1&amp;"P"&amp;$A50))/1000000,0),IF($A$2="PREMIUM",IFERROR((100*RTD("tos.rtd",,"VOLUME","."&amp;G$2&amp;G$1&amp;"C"&amp;$A50)*RTD("tos.rtd",,"LAST","."&amp;G$2&amp;G$1&amp;"C"&amp;$A50)-100*RTD("tos.rtd",,"VOLUME","."&amp;G$2&amp;G$1&amp;"P"&amp;$A50)*RTD("tos.rtd",,"LAST","."&amp;G$2&amp;G$1&amp;"P"&amp;$A50))/1000000,0),IF($A$2="DEX",IFERROR((100*RTD("tos.rtd",,"OPEN_INT","."&amp;G$2&amp;G$1&amp;"C"&amp;$A50)*RTD("tos.rtd",,"DELTA","."&amp;G$2&amp;G$1&amp;"C"&amp;$A50)-100*RTD("tos.rtd",,"OPEN_INT","."&amp;G$2&amp;G$1&amp;"P"&amp;$A50)*RTD("tos.rtd",,"DELTA","."&amp;G$2&amp;G$1&amp;"P"&amp;$A50))/1000,0),IF($A$2="VEX",IFERROR(($A$4*$A$4*RTD("tos.rtd",,"VOLUME","."&amp;G$2&amp;G$1&amp;"C"&amp;$A50)*RTD("tos.rtd",,"GAMMA","."&amp;G$2&amp;G$1&amp;"C"&amp;$A50)-$A$4*$A$4*RTD("tos.rtd",,"VOLUME","."&amp;G$2&amp;G$1&amp;"P"&amp;$A50)*RTD("tos.rtd",,"GAMMA","."&amp;G$2&amp;G$1&amp;"P"&amp;$A50))/1000000,0),IF($A$2="GEX",IFERROR(($A$4*$A$4*RTD("tos.rtd",,"OPEN_INT","."&amp;G$2&amp;G$1&amp;"C"&amp;$A50)*RTD("tos.rtd",,"GAMMA","."&amp;G$2&amp;G$1&amp;"C"&amp;$A50)-$A$4*$A$4*RTD("tos.rtd",,"OPEN_INT","."&amp;G$2&amp;G$1&amp;"P"&amp;$A50)*RTD("tos.rtd",,"GAMMA","."&amp;G$2&amp;G$1&amp;"P"&amp;$A50))/1000000,0),IF($A$2="SKEW",IFERROR(VALUE(IF(RTD("tos.rtd",,"IMPL_VOL","."&amp;G$2&amp;G$1&amp;"P"&amp;$A50)="N/A",0,RTD("tos.rtd",,"IMPL_VOL","."&amp;G$2&amp;G$1&amp;"P"&amp;$A50))),0)-IFERROR(VALUE(IF(RTD("tos.rtd",,"IMPL_VOL","."&amp;G$2&amp;G$1&amp;"C"&amp;$A50)="N/A",0,RTD("tos.rtd",,"IMPL_VOL","."&amp;G$2&amp;G$1&amp;"C"&amp;$A50))),0),IF($A$2="MAXPAIN",IF($A$4&gt;$A50,($A$4-$A50)*IF(RTD("tos.rtd",,"OPEN_INT","."&amp;G$2&amp;G$1&amp;"C"&amp;$A50)="N/A",0,RTD("tos.rtd",,"OPEN_INT","."&amp;G$2&amp;G$1&amp;"C"&amp;$A50)),0)+IF($A$4&lt;$A50,($A50-$A$4)*IF(RTD("tos.rtd",,"OPEN_INT","."&amp;G$2&amp;G$1&amp;"P"&amp;$A50)="N/A",0,RTD("tos.rtd",,"OPEN_INT","."&amp;G$2&amp;G$1&amp;"P"&amp;$A50)),0),IF(RTD("tos.rtd",,$A$2,"."&amp;G$2&amp;G$1&amp;"C"&amp;$A50)="N/A",0,RTD("tos.rtd",,$A$2,"."&amp;G$2&amp;G$1&amp;"C"&amp;$A50))-IF(RTD("tos.rtd",,$A$2,"."&amp;G$2&amp;G$1&amp;"P"&amp;$A50)="N/A",0,RTD("tos.rtd",,$A$2,"."&amp;G$2&amp;G$1&amp;"P"&amp;$A50)))))))))</f>
        <v>0</v>
      </c>
      <c r="H50" s="12">
        <f>IF($A$2="PREMIUM_OI",IFERROR((100*RTD("tos.rtd",,"OPEN_INT","."&amp;H$2&amp;H$1&amp;"C"&amp;$A50)*RTD("tos.rtd",,"LAST","."&amp;H$2&amp;H$1&amp;"C"&amp;$A50)-100*RTD("tos.rtd",,"OPEN_INT","."&amp;H$2&amp;H$1&amp;"P"&amp;$A50)*RTD("tos.rtd",,"LAST","."&amp;H$2&amp;H$1&amp;"P"&amp;$A50))/1000000,0),IF($A$2="PREMIUM",IFERROR((100*RTD("tos.rtd",,"VOLUME","."&amp;H$2&amp;H$1&amp;"C"&amp;$A50)*RTD("tos.rtd",,"LAST","."&amp;H$2&amp;H$1&amp;"C"&amp;$A50)-100*RTD("tos.rtd",,"VOLUME","."&amp;H$2&amp;H$1&amp;"P"&amp;$A50)*RTD("tos.rtd",,"LAST","."&amp;H$2&amp;H$1&amp;"P"&amp;$A50))/1000000,0),IF($A$2="DEX",IFERROR((100*RTD("tos.rtd",,"OPEN_INT","."&amp;H$2&amp;H$1&amp;"C"&amp;$A50)*RTD("tos.rtd",,"DELTA","."&amp;H$2&amp;H$1&amp;"C"&amp;$A50)-100*RTD("tos.rtd",,"OPEN_INT","."&amp;H$2&amp;H$1&amp;"P"&amp;$A50)*RTD("tos.rtd",,"DELTA","."&amp;H$2&amp;H$1&amp;"P"&amp;$A50))/1000,0),IF($A$2="VEX",IFERROR(($A$4*$A$4*RTD("tos.rtd",,"VOLUME","."&amp;H$2&amp;H$1&amp;"C"&amp;$A50)*RTD("tos.rtd",,"GAMMA","."&amp;H$2&amp;H$1&amp;"C"&amp;$A50)-$A$4*$A$4*RTD("tos.rtd",,"VOLUME","."&amp;H$2&amp;H$1&amp;"P"&amp;$A50)*RTD("tos.rtd",,"GAMMA","."&amp;H$2&amp;H$1&amp;"P"&amp;$A50))/1000000,0),IF($A$2="GEX",IFERROR(($A$4*$A$4*RTD("tos.rtd",,"OPEN_INT","."&amp;H$2&amp;H$1&amp;"C"&amp;$A50)*RTD("tos.rtd",,"GAMMA","."&amp;H$2&amp;H$1&amp;"C"&amp;$A50)-$A$4*$A$4*RTD("tos.rtd",,"OPEN_INT","."&amp;H$2&amp;H$1&amp;"P"&amp;$A50)*RTD("tos.rtd",,"GAMMA","."&amp;H$2&amp;H$1&amp;"P"&amp;$A50))/1000000,0),IF($A$2="SKEW",IFERROR(VALUE(IF(RTD("tos.rtd",,"IMPL_VOL","."&amp;H$2&amp;H$1&amp;"P"&amp;$A50)="N/A",0,RTD("tos.rtd",,"IMPL_VOL","."&amp;H$2&amp;H$1&amp;"P"&amp;$A50))),0)-IFERROR(VALUE(IF(RTD("tos.rtd",,"IMPL_VOL","."&amp;H$2&amp;H$1&amp;"C"&amp;$A50)="N/A",0,RTD("tos.rtd",,"IMPL_VOL","."&amp;H$2&amp;H$1&amp;"C"&amp;$A50))),0),IF($A$2="MAXPAIN",IF($A$4&gt;$A50,($A$4-$A50)*IF(RTD("tos.rtd",,"OPEN_INT","."&amp;H$2&amp;H$1&amp;"C"&amp;$A50)="N/A",0,RTD("tos.rtd",,"OPEN_INT","."&amp;H$2&amp;H$1&amp;"C"&amp;$A50)),0)+IF($A$4&lt;$A50,($A50-$A$4)*IF(RTD("tos.rtd",,"OPEN_INT","."&amp;H$2&amp;H$1&amp;"P"&amp;$A50)="N/A",0,RTD("tos.rtd",,"OPEN_INT","."&amp;H$2&amp;H$1&amp;"P"&amp;$A50)),0),IF(RTD("tos.rtd",,$A$2,"."&amp;H$2&amp;H$1&amp;"C"&amp;$A50)="N/A",0,RTD("tos.rtd",,$A$2,"."&amp;H$2&amp;H$1&amp;"C"&amp;$A50))-IF(RTD("tos.rtd",,$A$2,"."&amp;H$2&amp;H$1&amp;"P"&amp;$A50)="N/A",0,RTD("tos.rtd",,$A$2,"."&amp;H$2&amp;H$1&amp;"P"&amp;$A50)))))))))</f>
        <v>0</v>
      </c>
      <c r="I50" s="12">
        <f>IF($A$2="PREMIUM_OI",IFERROR((100*RTD("tos.rtd",,"OPEN_INT","."&amp;I$2&amp;I$1&amp;"C"&amp;$A50)*RTD("tos.rtd",,"LAST","."&amp;I$2&amp;I$1&amp;"C"&amp;$A50)-100*RTD("tos.rtd",,"OPEN_INT","."&amp;I$2&amp;I$1&amp;"P"&amp;$A50)*RTD("tos.rtd",,"LAST","."&amp;I$2&amp;I$1&amp;"P"&amp;$A50))/1000000,0),IF($A$2="PREMIUM",IFERROR((100*RTD("tos.rtd",,"VOLUME","."&amp;I$2&amp;I$1&amp;"C"&amp;$A50)*RTD("tos.rtd",,"LAST","."&amp;I$2&amp;I$1&amp;"C"&amp;$A50)-100*RTD("tos.rtd",,"VOLUME","."&amp;I$2&amp;I$1&amp;"P"&amp;$A50)*RTD("tos.rtd",,"LAST","."&amp;I$2&amp;I$1&amp;"P"&amp;$A50))/1000000,0),IF($A$2="DEX",IFERROR((100*RTD("tos.rtd",,"OPEN_INT","."&amp;I$2&amp;I$1&amp;"C"&amp;$A50)*RTD("tos.rtd",,"DELTA","."&amp;I$2&amp;I$1&amp;"C"&amp;$A50)-100*RTD("tos.rtd",,"OPEN_INT","."&amp;I$2&amp;I$1&amp;"P"&amp;$A50)*RTD("tos.rtd",,"DELTA","."&amp;I$2&amp;I$1&amp;"P"&amp;$A50))/1000,0),IF($A$2="VEX",IFERROR(($A$4*$A$4*RTD("tos.rtd",,"VOLUME","."&amp;I$2&amp;I$1&amp;"C"&amp;$A50)*RTD("tos.rtd",,"GAMMA","."&amp;I$2&amp;I$1&amp;"C"&amp;$A50)-$A$4*$A$4*RTD("tos.rtd",,"VOLUME","."&amp;I$2&amp;I$1&amp;"P"&amp;$A50)*RTD("tos.rtd",,"GAMMA","."&amp;I$2&amp;I$1&amp;"P"&amp;$A50))/1000000,0),IF($A$2="GEX",IFERROR(($A$4*$A$4*RTD("tos.rtd",,"OPEN_INT","."&amp;I$2&amp;I$1&amp;"C"&amp;$A50)*RTD("tos.rtd",,"GAMMA","."&amp;I$2&amp;I$1&amp;"C"&amp;$A50)-$A$4*$A$4*RTD("tos.rtd",,"OPEN_INT","."&amp;I$2&amp;I$1&amp;"P"&amp;$A50)*RTD("tos.rtd",,"GAMMA","."&amp;I$2&amp;I$1&amp;"P"&amp;$A50))/1000000,0),IF($A$2="SKEW",IFERROR(VALUE(IF(RTD("tos.rtd",,"IMPL_VOL","."&amp;I$2&amp;I$1&amp;"P"&amp;$A50)="N/A",0,RTD("tos.rtd",,"IMPL_VOL","."&amp;I$2&amp;I$1&amp;"P"&amp;$A50))),0)-IFERROR(VALUE(IF(RTD("tos.rtd",,"IMPL_VOL","."&amp;I$2&amp;I$1&amp;"C"&amp;$A50)="N/A",0,RTD("tos.rtd",,"IMPL_VOL","."&amp;I$2&amp;I$1&amp;"C"&amp;$A50))),0),IF($A$2="MAXPAIN",IF($A$4&gt;$A50,($A$4-$A50)*IF(RTD("tos.rtd",,"OPEN_INT","."&amp;I$2&amp;I$1&amp;"C"&amp;$A50)="N/A",0,RTD("tos.rtd",,"OPEN_INT","."&amp;I$2&amp;I$1&amp;"C"&amp;$A50)),0)+IF($A$4&lt;$A50,($A50-$A$4)*IF(RTD("tos.rtd",,"OPEN_INT","."&amp;I$2&amp;I$1&amp;"P"&amp;$A50)="N/A",0,RTD("tos.rtd",,"OPEN_INT","."&amp;I$2&amp;I$1&amp;"P"&amp;$A50)),0),IF(RTD("tos.rtd",,$A$2,"."&amp;I$2&amp;I$1&amp;"C"&amp;$A50)="N/A",0,RTD("tos.rtd",,$A$2,"."&amp;I$2&amp;I$1&amp;"C"&amp;$A50))-IF(RTD("tos.rtd",,$A$2,"."&amp;I$2&amp;I$1&amp;"P"&amp;$A50)="N/A",0,RTD("tos.rtd",,$A$2,"."&amp;I$2&amp;I$1&amp;"P"&amp;$A50)))))))))</f>
        <v>0</v>
      </c>
      <c r="J50" s="12">
        <f>IF($A$2="PREMIUM_OI",IFERROR((100*RTD("tos.rtd",,"OPEN_INT","."&amp;J$2&amp;J$1&amp;"C"&amp;$A50)*RTD("tos.rtd",,"LAST","."&amp;J$2&amp;J$1&amp;"C"&amp;$A50)-100*RTD("tos.rtd",,"OPEN_INT","."&amp;J$2&amp;J$1&amp;"P"&amp;$A50)*RTD("tos.rtd",,"LAST","."&amp;J$2&amp;J$1&amp;"P"&amp;$A50))/1000000,0),IF($A$2="PREMIUM",IFERROR((100*RTD("tos.rtd",,"VOLUME","."&amp;J$2&amp;J$1&amp;"C"&amp;$A50)*RTD("tos.rtd",,"LAST","."&amp;J$2&amp;J$1&amp;"C"&amp;$A50)-100*RTD("tos.rtd",,"VOLUME","."&amp;J$2&amp;J$1&amp;"P"&amp;$A50)*RTD("tos.rtd",,"LAST","."&amp;J$2&amp;J$1&amp;"P"&amp;$A50))/1000000,0),IF($A$2="DEX",IFERROR((100*RTD("tos.rtd",,"OPEN_INT","."&amp;J$2&amp;J$1&amp;"C"&amp;$A50)*RTD("tos.rtd",,"DELTA","."&amp;J$2&amp;J$1&amp;"C"&amp;$A50)-100*RTD("tos.rtd",,"OPEN_INT","."&amp;J$2&amp;J$1&amp;"P"&amp;$A50)*RTD("tos.rtd",,"DELTA","."&amp;J$2&amp;J$1&amp;"P"&amp;$A50))/1000,0),IF($A$2="VEX",IFERROR(($A$4*$A$4*RTD("tos.rtd",,"VOLUME","."&amp;J$2&amp;J$1&amp;"C"&amp;$A50)*RTD("tos.rtd",,"GAMMA","."&amp;J$2&amp;J$1&amp;"C"&amp;$A50)-$A$4*$A$4*RTD("tos.rtd",,"VOLUME","."&amp;J$2&amp;J$1&amp;"P"&amp;$A50)*RTD("tos.rtd",,"GAMMA","."&amp;J$2&amp;J$1&amp;"P"&amp;$A50))/1000000,0),IF($A$2="GEX",IFERROR(($A$4*$A$4*RTD("tos.rtd",,"OPEN_INT","."&amp;J$2&amp;J$1&amp;"C"&amp;$A50)*RTD("tos.rtd",,"GAMMA","."&amp;J$2&amp;J$1&amp;"C"&amp;$A50)-$A$4*$A$4*RTD("tos.rtd",,"OPEN_INT","."&amp;J$2&amp;J$1&amp;"P"&amp;$A50)*RTD("tos.rtd",,"GAMMA","."&amp;J$2&amp;J$1&amp;"P"&amp;$A50))/1000000,0),IF($A$2="SKEW",IFERROR(VALUE(IF(RTD("tos.rtd",,"IMPL_VOL","."&amp;J$2&amp;J$1&amp;"P"&amp;$A50)="N/A",0,RTD("tos.rtd",,"IMPL_VOL","."&amp;J$2&amp;J$1&amp;"P"&amp;$A50))),0)-IFERROR(VALUE(IF(RTD("tos.rtd",,"IMPL_VOL","."&amp;J$2&amp;J$1&amp;"C"&amp;$A50)="N/A",0,RTD("tos.rtd",,"IMPL_VOL","."&amp;J$2&amp;J$1&amp;"C"&amp;$A50))),0),IF($A$2="MAXPAIN",IF($A$4&gt;$A50,($A$4-$A50)*IF(RTD("tos.rtd",,"OPEN_INT","."&amp;J$2&amp;J$1&amp;"C"&amp;$A50)="N/A",0,RTD("tos.rtd",,"OPEN_INT","."&amp;J$2&amp;J$1&amp;"C"&amp;$A50)),0)+IF($A$4&lt;$A50,($A50-$A$4)*IF(RTD("tos.rtd",,"OPEN_INT","."&amp;J$2&amp;J$1&amp;"P"&amp;$A50)="N/A",0,RTD("tos.rtd",,"OPEN_INT","."&amp;J$2&amp;J$1&amp;"P"&amp;$A50)),0),IF(RTD("tos.rtd",,$A$2,"."&amp;J$2&amp;J$1&amp;"C"&amp;$A50)="N/A",0,RTD("tos.rtd",,$A$2,"."&amp;J$2&amp;J$1&amp;"C"&amp;$A50))-IF(RTD("tos.rtd",,$A$2,"."&amp;J$2&amp;J$1&amp;"P"&amp;$A50)="N/A",0,RTD("tos.rtd",,$A$2,"."&amp;J$2&amp;J$1&amp;"P"&amp;$A50)))))))))</f>
        <v>0</v>
      </c>
      <c r="K50" s="12">
        <f>IF($A$2="PREMIUM_OI",IFERROR((100*RTD("tos.rtd",,"OPEN_INT","."&amp;K$2&amp;K$1&amp;"C"&amp;$A50)*RTD("tos.rtd",,"LAST","."&amp;K$2&amp;K$1&amp;"C"&amp;$A50)-100*RTD("tos.rtd",,"OPEN_INT","."&amp;K$2&amp;K$1&amp;"P"&amp;$A50)*RTD("tos.rtd",,"LAST","."&amp;K$2&amp;K$1&amp;"P"&amp;$A50))/1000000,0),IF($A$2="PREMIUM",IFERROR((100*RTD("tos.rtd",,"VOLUME","."&amp;K$2&amp;K$1&amp;"C"&amp;$A50)*RTD("tos.rtd",,"LAST","."&amp;K$2&amp;K$1&amp;"C"&amp;$A50)-100*RTD("tos.rtd",,"VOLUME","."&amp;K$2&amp;K$1&amp;"P"&amp;$A50)*RTD("tos.rtd",,"LAST","."&amp;K$2&amp;K$1&amp;"P"&amp;$A50))/1000000,0),IF($A$2="DEX",IFERROR((100*RTD("tos.rtd",,"OPEN_INT","."&amp;K$2&amp;K$1&amp;"C"&amp;$A50)*RTD("tos.rtd",,"DELTA","."&amp;K$2&amp;K$1&amp;"C"&amp;$A50)-100*RTD("tos.rtd",,"OPEN_INT","."&amp;K$2&amp;K$1&amp;"P"&amp;$A50)*RTD("tos.rtd",,"DELTA","."&amp;K$2&amp;K$1&amp;"P"&amp;$A50))/1000,0),IF($A$2="VEX",IFERROR(($A$4*$A$4*RTD("tos.rtd",,"VOLUME","."&amp;K$2&amp;K$1&amp;"C"&amp;$A50)*RTD("tos.rtd",,"GAMMA","."&amp;K$2&amp;K$1&amp;"C"&amp;$A50)-$A$4*$A$4*RTD("tos.rtd",,"VOLUME","."&amp;K$2&amp;K$1&amp;"P"&amp;$A50)*RTD("tos.rtd",,"GAMMA","."&amp;K$2&amp;K$1&amp;"P"&amp;$A50))/1000000,0),IF($A$2="GEX",IFERROR(($A$4*$A$4*RTD("tos.rtd",,"OPEN_INT","."&amp;K$2&amp;K$1&amp;"C"&amp;$A50)*RTD("tos.rtd",,"GAMMA","."&amp;K$2&amp;K$1&amp;"C"&amp;$A50)-$A$4*$A$4*RTD("tos.rtd",,"OPEN_INT","."&amp;K$2&amp;K$1&amp;"P"&amp;$A50)*RTD("tos.rtd",,"GAMMA","."&amp;K$2&amp;K$1&amp;"P"&amp;$A50))/1000000,0),IF($A$2="SKEW",IFERROR(VALUE(IF(RTD("tos.rtd",,"IMPL_VOL","."&amp;K$2&amp;K$1&amp;"P"&amp;$A50)="N/A",0,RTD("tos.rtd",,"IMPL_VOL","."&amp;K$2&amp;K$1&amp;"P"&amp;$A50))),0)-IFERROR(VALUE(IF(RTD("tos.rtd",,"IMPL_VOL","."&amp;K$2&amp;K$1&amp;"C"&amp;$A50)="N/A",0,RTD("tos.rtd",,"IMPL_VOL","."&amp;K$2&amp;K$1&amp;"C"&amp;$A50))),0),IF($A$2="MAXPAIN",IF($A$4&gt;$A50,($A$4-$A50)*IF(RTD("tos.rtd",,"OPEN_INT","."&amp;K$2&amp;K$1&amp;"C"&amp;$A50)="N/A",0,RTD("tos.rtd",,"OPEN_INT","."&amp;K$2&amp;K$1&amp;"C"&amp;$A50)),0)+IF($A$4&lt;$A50,($A50-$A$4)*IF(RTD("tos.rtd",,"OPEN_INT","."&amp;K$2&amp;K$1&amp;"P"&amp;$A50)="N/A",0,RTD("tos.rtd",,"OPEN_INT","."&amp;K$2&amp;K$1&amp;"P"&amp;$A50)),0),IF(RTD("tos.rtd",,$A$2,"."&amp;K$2&amp;K$1&amp;"C"&amp;$A50)="N/A",0,RTD("tos.rtd",,$A$2,"."&amp;K$2&amp;K$1&amp;"C"&amp;$A50))-IF(RTD("tos.rtd",,$A$2,"."&amp;K$2&amp;K$1&amp;"P"&amp;$A50)="N/A",0,RTD("tos.rtd",,$A$2,"."&amp;K$2&amp;K$1&amp;"P"&amp;$A50)))))))))</f>
        <v>0</v>
      </c>
      <c r="L50" s="12">
        <f>IF($A$2="PREMIUM_OI",IFERROR((100*RTD("tos.rtd",,"OPEN_INT","."&amp;L$2&amp;L$1&amp;"C"&amp;$A50)*RTD("tos.rtd",,"LAST","."&amp;L$2&amp;L$1&amp;"C"&amp;$A50)-100*RTD("tos.rtd",,"OPEN_INT","."&amp;L$2&amp;L$1&amp;"P"&amp;$A50)*RTD("tos.rtd",,"LAST","."&amp;L$2&amp;L$1&amp;"P"&amp;$A50))/1000000,0),IF($A$2="PREMIUM",IFERROR((100*RTD("tos.rtd",,"VOLUME","."&amp;L$2&amp;L$1&amp;"C"&amp;$A50)*RTD("tos.rtd",,"LAST","."&amp;L$2&amp;L$1&amp;"C"&amp;$A50)-100*RTD("tos.rtd",,"VOLUME","."&amp;L$2&amp;L$1&amp;"P"&amp;$A50)*RTD("tos.rtd",,"LAST","."&amp;L$2&amp;L$1&amp;"P"&amp;$A50))/1000000,0),IF($A$2="DEX",IFERROR((100*RTD("tos.rtd",,"OPEN_INT","."&amp;L$2&amp;L$1&amp;"C"&amp;$A50)*RTD("tos.rtd",,"DELTA","."&amp;L$2&amp;L$1&amp;"C"&amp;$A50)-100*RTD("tos.rtd",,"OPEN_INT","."&amp;L$2&amp;L$1&amp;"P"&amp;$A50)*RTD("tos.rtd",,"DELTA","."&amp;L$2&amp;L$1&amp;"P"&amp;$A50))/1000,0),IF($A$2="VEX",IFERROR(($A$4*$A$4*RTD("tos.rtd",,"VOLUME","."&amp;L$2&amp;L$1&amp;"C"&amp;$A50)*RTD("tos.rtd",,"GAMMA","."&amp;L$2&amp;L$1&amp;"C"&amp;$A50)-$A$4*$A$4*RTD("tos.rtd",,"VOLUME","."&amp;L$2&amp;L$1&amp;"P"&amp;$A50)*RTD("tos.rtd",,"GAMMA","."&amp;L$2&amp;L$1&amp;"P"&amp;$A50))/1000000,0),IF($A$2="GEX",IFERROR(($A$4*$A$4*RTD("tos.rtd",,"OPEN_INT","."&amp;L$2&amp;L$1&amp;"C"&amp;$A50)*RTD("tos.rtd",,"GAMMA","."&amp;L$2&amp;L$1&amp;"C"&amp;$A50)-$A$4*$A$4*RTD("tos.rtd",,"OPEN_INT","."&amp;L$2&amp;L$1&amp;"P"&amp;$A50)*RTD("tos.rtd",,"GAMMA","."&amp;L$2&amp;L$1&amp;"P"&amp;$A50))/1000000,0),IF($A$2="SKEW",IFERROR(VALUE(IF(RTD("tos.rtd",,"IMPL_VOL","."&amp;L$2&amp;L$1&amp;"P"&amp;$A50)="N/A",0,RTD("tos.rtd",,"IMPL_VOL","."&amp;L$2&amp;L$1&amp;"P"&amp;$A50))),0)-IFERROR(VALUE(IF(RTD("tos.rtd",,"IMPL_VOL","."&amp;L$2&amp;L$1&amp;"C"&amp;$A50)="N/A",0,RTD("tos.rtd",,"IMPL_VOL","."&amp;L$2&amp;L$1&amp;"C"&amp;$A50))),0),IF($A$2="MAXPAIN",IF($A$4&gt;$A50,($A$4-$A50)*IF(RTD("tos.rtd",,"OPEN_INT","."&amp;L$2&amp;L$1&amp;"C"&amp;$A50)="N/A",0,RTD("tos.rtd",,"OPEN_INT","."&amp;L$2&amp;L$1&amp;"C"&amp;$A50)),0)+IF($A$4&lt;$A50,($A50-$A$4)*IF(RTD("tos.rtd",,"OPEN_INT","."&amp;L$2&amp;L$1&amp;"P"&amp;$A50)="N/A",0,RTD("tos.rtd",,"OPEN_INT","."&amp;L$2&amp;L$1&amp;"P"&amp;$A50)),0),IF(RTD("tos.rtd",,$A$2,"."&amp;L$2&amp;L$1&amp;"C"&amp;$A50)="N/A",0,RTD("tos.rtd",,$A$2,"."&amp;L$2&amp;L$1&amp;"C"&amp;$A50))-IF(RTD("tos.rtd",,$A$2,"."&amp;L$2&amp;L$1&amp;"P"&amp;$A50)="N/A",0,RTD("tos.rtd",,$A$2,"."&amp;L$2&amp;L$1&amp;"P"&amp;$A50)))))))))</f>
        <v>0</v>
      </c>
      <c r="M50" s="12">
        <f>IF($A$2="PREMIUM_OI",IFERROR((100*RTD("tos.rtd",,"OPEN_INT","."&amp;M$2&amp;M$1&amp;"C"&amp;$A50)*RTD("tos.rtd",,"LAST","."&amp;M$2&amp;M$1&amp;"C"&amp;$A50)-100*RTD("tos.rtd",,"OPEN_INT","."&amp;M$2&amp;M$1&amp;"P"&amp;$A50)*RTD("tos.rtd",,"LAST","."&amp;M$2&amp;M$1&amp;"P"&amp;$A50))/1000000,0),IF($A$2="PREMIUM",IFERROR((100*RTD("tos.rtd",,"VOLUME","."&amp;M$2&amp;M$1&amp;"C"&amp;$A50)*RTD("tos.rtd",,"LAST","."&amp;M$2&amp;M$1&amp;"C"&amp;$A50)-100*RTD("tos.rtd",,"VOLUME","."&amp;M$2&amp;M$1&amp;"P"&amp;$A50)*RTD("tos.rtd",,"LAST","."&amp;M$2&amp;M$1&amp;"P"&amp;$A50))/1000000,0),IF($A$2="DEX",IFERROR((100*RTD("tos.rtd",,"OPEN_INT","."&amp;M$2&amp;M$1&amp;"C"&amp;$A50)*RTD("tos.rtd",,"DELTA","."&amp;M$2&amp;M$1&amp;"C"&amp;$A50)-100*RTD("tos.rtd",,"OPEN_INT","."&amp;M$2&amp;M$1&amp;"P"&amp;$A50)*RTD("tos.rtd",,"DELTA","."&amp;M$2&amp;M$1&amp;"P"&amp;$A50))/1000,0),IF($A$2="VEX",IFERROR(($A$4*$A$4*RTD("tos.rtd",,"VOLUME","."&amp;M$2&amp;M$1&amp;"C"&amp;$A50)*RTD("tos.rtd",,"GAMMA","."&amp;M$2&amp;M$1&amp;"C"&amp;$A50)-$A$4*$A$4*RTD("tos.rtd",,"VOLUME","."&amp;M$2&amp;M$1&amp;"P"&amp;$A50)*RTD("tos.rtd",,"GAMMA","."&amp;M$2&amp;M$1&amp;"P"&amp;$A50))/1000000,0),IF($A$2="GEX",IFERROR(($A$4*$A$4*RTD("tos.rtd",,"OPEN_INT","."&amp;M$2&amp;M$1&amp;"C"&amp;$A50)*RTD("tos.rtd",,"GAMMA","."&amp;M$2&amp;M$1&amp;"C"&amp;$A50)-$A$4*$A$4*RTD("tos.rtd",,"OPEN_INT","."&amp;M$2&amp;M$1&amp;"P"&amp;$A50)*RTD("tos.rtd",,"GAMMA","."&amp;M$2&amp;M$1&amp;"P"&amp;$A50))/1000000,0),IF($A$2="SKEW",IFERROR(VALUE(IF(RTD("tos.rtd",,"IMPL_VOL","."&amp;M$2&amp;M$1&amp;"P"&amp;$A50)="N/A",0,RTD("tos.rtd",,"IMPL_VOL","."&amp;M$2&amp;M$1&amp;"P"&amp;$A50))),0)-IFERROR(VALUE(IF(RTD("tos.rtd",,"IMPL_VOL","."&amp;M$2&amp;M$1&amp;"C"&amp;$A50)="N/A",0,RTD("tos.rtd",,"IMPL_VOL","."&amp;M$2&amp;M$1&amp;"C"&amp;$A50))),0),IF($A$2="MAXPAIN",IF($A$4&gt;$A50,($A$4-$A50)*IF(RTD("tos.rtd",,"OPEN_INT","."&amp;M$2&amp;M$1&amp;"C"&amp;$A50)="N/A",0,RTD("tos.rtd",,"OPEN_INT","."&amp;M$2&amp;M$1&amp;"C"&amp;$A50)),0)+IF($A$4&lt;$A50,($A50-$A$4)*IF(RTD("tos.rtd",,"OPEN_INT","."&amp;M$2&amp;M$1&amp;"P"&amp;$A50)="N/A",0,RTD("tos.rtd",,"OPEN_INT","."&amp;M$2&amp;M$1&amp;"P"&amp;$A50)),0),IF(RTD("tos.rtd",,$A$2,"."&amp;M$2&amp;M$1&amp;"C"&amp;$A50)="N/A",0,RTD("tos.rtd",,$A$2,"."&amp;M$2&amp;M$1&amp;"C"&amp;$A50))-IF(RTD("tos.rtd",,$A$2,"."&amp;M$2&amp;M$1&amp;"P"&amp;$A50)="N/A",0,RTD("tos.rtd",,$A$2,"."&amp;M$2&amp;M$1&amp;"P"&amp;$A50)))))))))</f>
        <v>0</v>
      </c>
      <c r="N50" s="12">
        <f>IF($A$2="PREMIUM_OI",IFERROR((100*RTD("tos.rtd",,"OPEN_INT","."&amp;N$2&amp;N$1&amp;"C"&amp;$A50)*RTD("tos.rtd",,"LAST","."&amp;N$2&amp;N$1&amp;"C"&amp;$A50)-100*RTD("tos.rtd",,"OPEN_INT","."&amp;N$2&amp;N$1&amp;"P"&amp;$A50)*RTD("tos.rtd",,"LAST","."&amp;N$2&amp;N$1&amp;"P"&amp;$A50))/1000000,0),IF($A$2="PREMIUM",IFERROR((100*RTD("tos.rtd",,"VOLUME","."&amp;N$2&amp;N$1&amp;"C"&amp;$A50)*RTD("tos.rtd",,"LAST","."&amp;N$2&amp;N$1&amp;"C"&amp;$A50)-100*RTD("tos.rtd",,"VOLUME","."&amp;N$2&amp;N$1&amp;"P"&amp;$A50)*RTD("tos.rtd",,"LAST","."&amp;N$2&amp;N$1&amp;"P"&amp;$A50))/1000000,0),IF($A$2="DEX",IFERROR((100*RTD("tos.rtd",,"OPEN_INT","."&amp;N$2&amp;N$1&amp;"C"&amp;$A50)*RTD("tos.rtd",,"DELTA","."&amp;N$2&amp;N$1&amp;"C"&amp;$A50)-100*RTD("tos.rtd",,"OPEN_INT","."&amp;N$2&amp;N$1&amp;"P"&amp;$A50)*RTD("tos.rtd",,"DELTA","."&amp;N$2&amp;N$1&amp;"P"&amp;$A50))/1000,0),IF($A$2="VEX",IFERROR(($A$4*$A$4*RTD("tos.rtd",,"VOLUME","."&amp;N$2&amp;N$1&amp;"C"&amp;$A50)*RTD("tos.rtd",,"GAMMA","."&amp;N$2&amp;N$1&amp;"C"&amp;$A50)-$A$4*$A$4*RTD("tos.rtd",,"VOLUME","."&amp;N$2&amp;N$1&amp;"P"&amp;$A50)*RTD("tos.rtd",,"GAMMA","."&amp;N$2&amp;N$1&amp;"P"&amp;$A50))/1000000,0),IF($A$2="GEX",IFERROR(($A$4*$A$4*RTD("tos.rtd",,"OPEN_INT","."&amp;N$2&amp;N$1&amp;"C"&amp;$A50)*RTD("tos.rtd",,"GAMMA","."&amp;N$2&amp;N$1&amp;"C"&amp;$A50)-$A$4*$A$4*RTD("tos.rtd",,"OPEN_INT","."&amp;N$2&amp;N$1&amp;"P"&amp;$A50)*RTD("tos.rtd",,"GAMMA","."&amp;N$2&amp;N$1&amp;"P"&amp;$A50))/1000000,0),IF($A$2="SKEW",IFERROR(VALUE(IF(RTD("tos.rtd",,"IMPL_VOL","."&amp;N$2&amp;N$1&amp;"P"&amp;$A50)="N/A",0,RTD("tos.rtd",,"IMPL_VOL","."&amp;N$2&amp;N$1&amp;"P"&amp;$A50))),0)-IFERROR(VALUE(IF(RTD("tos.rtd",,"IMPL_VOL","."&amp;N$2&amp;N$1&amp;"C"&amp;$A50)="N/A",0,RTD("tos.rtd",,"IMPL_VOL","."&amp;N$2&amp;N$1&amp;"C"&amp;$A50))),0),IF($A$2="MAXPAIN",IF($A$4&gt;$A50,($A$4-$A50)*IF(RTD("tos.rtd",,"OPEN_INT","."&amp;N$2&amp;N$1&amp;"C"&amp;$A50)="N/A",0,RTD("tos.rtd",,"OPEN_INT","."&amp;N$2&amp;N$1&amp;"C"&amp;$A50)),0)+IF($A$4&lt;$A50,($A50-$A$4)*IF(RTD("tos.rtd",,"OPEN_INT","."&amp;N$2&amp;N$1&amp;"P"&amp;$A50)="N/A",0,RTD("tos.rtd",,"OPEN_INT","."&amp;N$2&amp;N$1&amp;"P"&amp;$A50)),0),IF(RTD("tos.rtd",,$A$2,"."&amp;N$2&amp;N$1&amp;"C"&amp;$A50)="N/A",0,RTD("tos.rtd",,$A$2,"."&amp;N$2&amp;N$1&amp;"C"&amp;$A50))-IF(RTD("tos.rtd",,$A$2,"."&amp;N$2&amp;N$1&amp;"P"&amp;$A50)="N/A",0,RTD("tos.rtd",,$A$2,"."&amp;N$2&amp;N$1&amp;"P"&amp;$A50)))))))))</f>
        <v>0</v>
      </c>
      <c r="O50" s="12">
        <f>IF($A$2="PREMIUM_OI",IFERROR((100*RTD("tos.rtd",,"OPEN_INT","."&amp;O$2&amp;O$1&amp;"C"&amp;$A50)*RTD("tos.rtd",,"LAST","."&amp;O$2&amp;O$1&amp;"C"&amp;$A50)-100*RTD("tos.rtd",,"OPEN_INT","."&amp;O$2&amp;O$1&amp;"P"&amp;$A50)*RTD("tos.rtd",,"LAST","."&amp;O$2&amp;O$1&amp;"P"&amp;$A50))/1000000,0),IF($A$2="PREMIUM",IFERROR((100*RTD("tos.rtd",,"VOLUME","."&amp;O$2&amp;O$1&amp;"C"&amp;$A50)*RTD("tos.rtd",,"LAST","."&amp;O$2&amp;O$1&amp;"C"&amp;$A50)-100*RTD("tos.rtd",,"VOLUME","."&amp;O$2&amp;O$1&amp;"P"&amp;$A50)*RTD("tos.rtd",,"LAST","."&amp;O$2&amp;O$1&amp;"P"&amp;$A50))/1000000,0),IF($A$2="DEX",IFERROR((100*RTD("tos.rtd",,"OPEN_INT","."&amp;O$2&amp;O$1&amp;"C"&amp;$A50)*RTD("tos.rtd",,"DELTA","."&amp;O$2&amp;O$1&amp;"C"&amp;$A50)-100*RTD("tos.rtd",,"OPEN_INT","."&amp;O$2&amp;O$1&amp;"P"&amp;$A50)*RTD("tos.rtd",,"DELTA","."&amp;O$2&amp;O$1&amp;"P"&amp;$A50))/1000,0),IF($A$2="VEX",IFERROR(($A$4*$A$4*RTD("tos.rtd",,"VOLUME","."&amp;O$2&amp;O$1&amp;"C"&amp;$A50)*RTD("tos.rtd",,"GAMMA","."&amp;O$2&amp;O$1&amp;"C"&amp;$A50)-$A$4*$A$4*RTD("tos.rtd",,"VOLUME","."&amp;O$2&amp;O$1&amp;"P"&amp;$A50)*RTD("tos.rtd",,"GAMMA","."&amp;O$2&amp;O$1&amp;"P"&amp;$A50))/1000000,0),IF($A$2="GEX",IFERROR(($A$4*$A$4*RTD("tos.rtd",,"OPEN_INT","."&amp;O$2&amp;O$1&amp;"C"&amp;$A50)*RTD("tos.rtd",,"GAMMA","."&amp;O$2&amp;O$1&amp;"C"&amp;$A50)-$A$4*$A$4*RTD("tos.rtd",,"OPEN_INT","."&amp;O$2&amp;O$1&amp;"P"&amp;$A50)*RTD("tos.rtd",,"GAMMA","."&amp;O$2&amp;O$1&amp;"P"&amp;$A50))/1000000,0),IF($A$2="SKEW",IFERROR(VALUE(IF(RTD("tos.rtd",,"IMPL_VOL","."&amp;O$2&amp;O$1&amp;"P"&amp;$A50)="N/A",0,RTD("tos.rtd",,"IMPL_VOL","."&amp;O$2&amp;O$1&amp;"P"&amp;$A50))),0)-IFERROR(VALUE(IF(RTD("tos.rtd",,"IMPL_VOL","."&amp;O$2&amp;O$1&amp;"C"&amp;$A50)="N/A",0,RTD("tos.rtd",,"IMPL_VOL","."&amp;O$2&amp;O$1&amp;"C"&amp;$A50))),0),IF($A$2="MAXPAIN",IF($A$4&gt;$A50,($A$4-$A50)*IF(RTD("tos.rtd",,"OPEN_INT","."&amp;O$2&amp;O$1&amp;"C"&amp;$A50)="N/A",0,RTD("tos.rtd",,"OPEN_INT","."&amp;O$2&amp;O$1&amp;"C"&amp;$A50)),0)+IF($A$4&lt;$A50,($A50-$A$4)*IF(RTD("tos.rtd",,"OPEN_INT","."&amp;O$2&amp;O$1&amp;"P"&amp;$A50)="N/A",0,RTD("tos.rtd",,"OPEN_INT","."&amp;O$2&amp;O$1&amp;"P"&amp;$A50)),0),IF(RTD("tos.rtd",,$A$2,"."&amp;O$2&amp;O$1&amp;"C"&amp;$A50)="N/A",0,RTD("tos.rtd",,$A$2,"."&amp;O$2&amp;O$1&amp;"C"&amp;$A50))-IF(RTD("tos.rtd",,$A$2,"."&amp;O$2&amp;O$1&amp;"P"&amp;$A50)="N/A",0,RTD("tos.rtd",,$A$2,"."&amp;O$2&amp;O$1&amp;"P"&amp;$A50)))))))))</f>
        <v>0</v>
      </c>
      <c r="P50" s="12">
        <f>IF($A$2="PREMIUM_OI",IFERROR((100*RTD("tos.rtd",,"OPEN_INT","."&amp;P$2&amp;P$1&amp;"C"&amp;$A50)*RTD("tos.rtd",,"LAST","."&amp;P$2&amp;P$1&amp;"C"&amp;$A50)-100*RTD("tos.rtd",,"OPEN_INT","."&amp;P$2&amp;P$1&amp;"P"&amp;$A50)*RTD("tos.rtd",,"LAST","."&amp;P$2&amp;P$1&amp;"P"&amp;$A50))/1000000,0),IF($A$2="PREMIUM",IFERROR((100*RTD("tos.rtd",,"VOLUME","."&amp;P$2&amp;P$1&amp;"C"&amp;$A50)*RTD("tos.rtd",,"LAST","."&amp;P$2&amp;P$1&amp;"C"&amp;$A50)-100*RTD("tos.rtd",,"VOLUME","."&amp;P$2&amp;P$1&amp;"P"&amp;$A50)*RTD("tos.rtd",,"LAST","."&amp;P$2&amp;P$1&amp;"P"&amp;$A50))/1000000,0),IF($A$2="DEX",IFERROR((100*RTD("tos.rtd",,"OPEN_INT","."&amp;P$2&amp;P$1&amp;"C"&amp;$A50)*RTD("tos.rtd",,"DELTA","."&amp;P$2&amp;P$1&amp;"C"&amp;$A50)-100*RTD("tos.rtd",,"OPEN_INT","."&amp;P$2&amp;P$1&amp;"P"&amp;$A50)*RTD("tos.rtd",,"DELTA","."&amp;P$2&amp;P$1&amp;"P"&amp;$A50))/1000,0),IF($A$2="VEX",IFERROR(($A$4*$A$4*RTD("tos.rtd",,"VOLUME","."&amp;P$2&amp;P$1&amp;"C"&amp;$A50)*RTD("tos.rtd",,"GAMMA","."&amp;P$2&amp;P$1&amp;"C"&amp;$A50)-$A$4*$A$4*RTD("tos.rtd",,"VOLUME","."&amp;P$2&amp;P$1&amp;"P"&amp;$A50)*RTD("tos.rtd",,"GAMMA","."&amp;P$2&amp;P$1&amp;"P"&amp;$A50))/1000000,0),IF($A$2="GEX",IFERROR(($A$4*$A$4*RTD("tos.rtd",,"OPEN_INT","."&amp;P$2&amp;P$1&amp;"C"&amp;$A50)*RTD("tos.rtd",,"GAMMA","."&amp;P$2&amp;P$1&amp;"C"&amp;$A50)-$A$4*$A$4*RTD("tos.rtd",,"OPEN_INT","."&amp;P$2&amp;P$1&amp;"P"&amp;$A50)*RTD("tos.rtd",,"GAMMA","."&amp;P$2&amp;P$1&amp;"P"&amp;$A50))/1000000,0),IF($A$2="SKEW",IFERROR(VALUE(IF(RTD("tos.rtd",,"IMPL_VOL","."&amp;P$2&amp;P$1&amp;"P"&amp;$A50)="N/A",0,RTD("tos.rtd",,"IMPL_VOL","."&amp;P$2&amp;P$1&amp;"P"&amp;$A50))),0)-IFERROR(VALUE(IF(RTD("tos.rtd",,"IMPL_VOL","."&amp;P$2&amp;P$1&amp;"C"&amp;$A50)="N/A",0,RTD("tos.rtd",,"IMPL_VOL","."&amp;P$2&amp;P$1&amp;"C"&amp;$A50))),0),IF($A$2="MAXPAIN",IF($A$4&gt;$A50,($A$4-$A50)*IF(RTD("tos.rtd",,"OPEN_INT","."&amp;P$2&amp;P$1&amp;"C"&amp;$A50)="N/A",0,RTD("tos.rtd",,"OPEN_INT","."&amp;P$2&amp;P$1&amp;"C"&amp;$A50)),0)+IF($A$4&lt;$A50,($A50-$A$4)*IF(RTD("tos.rtd",,"OPEN_INT","."&amp;P$2&amp;P$1&amp;"P"&amp;$A50)="N/A",0,RTD("tos.rtd",,"OPEN_INT","."&amp;P$2&amp;P$1&amp;"P"&amp;$A50)),0),IF(RTD("tos.rtd",,$A$2,"."&amp;P$2&amp;P$1&amp;"C"&amp;$A50)="N/A",0,RTD("tos.rtd",,$A$2,"."&amp;P$2&amp;P$1&amp;"C"&amp;$A50))-IF(RTD("tos.rtd",,$A$2,"."&amp;P$2&amp;P$1&amp;"P"&amp;$A50)="N/A",0,RTD("tos.rtd",,$A$2,"."&amp;P$2&amp;P$1&amp;"P"&amp;$A50)))))))))</f>
        <v>0</v>
      </c>
      <c r="Q50" s="12">
        <f>IF($A$2="PREMIUM_OI",IFERROR((100*RTD("tos.rtd",,"OPEN_INT","."&amp;Q$2&amp;Q$1&amp;"C"&amp;$A50)*RTD("tos.rtd",,"LAST","."&amp;Q$2&amp;Q$1&amp;"C"&amp;$A50)-100*RTD("tos.rtd",,"OPEN_INT","."&amp;Q$2&amp;Q$1&amp;"P"&amp;$A50)*RTD("tos.rtd",,"LAST","."&amp;Q$2&amp;Q$1&amp;"P"&amp;$A50))/1000000,0),IF($A$2="PREMIUM",IFERROR((100*RTD("tos.rtd",,"VOLUME","."&amp;Q$2&amp;Q$1&amp;"C"&amp;$A50)*RTD("tos.rtd",,"LAST","."&amp;Q$2&amp;Q$1&amp;"C"&amp;$A50)-100*RTD("tos.rtd",,"VOLUME","."&amp;Q$2&amp;Q$1&amp;"P"&amp;$A50)*RTD("tos.rtd",,"LAST","."&amp;Q$2&amp;Q$1&amp;"P"&amp;$A50))/1000000,0),IF($A$2="DEX",IFERROR((100*RTD("tos.rtd",,"OPEN_INT","."&amp;Q$2&amp;Q$1&amp;"C"&amp;$A50)*RTD("tos.rtd",,"DELTA","."&amp;Q$2&amp;Q$1&amp;"C"&amp;$A50)-100*RTD("tos.rtd",,"OPEN_INT","."&amp;Q$2&amp;Q$1&amp;"P"&amp;$A50)*RTD("tos.rtd",,"DELTA","."&amp;Q$2&amp;Q$1&amp;"P"&amp;$A50))/1000,0),IF($A$2="VEX",IFERROR(($A$4*$A$4*RTD("tos.rtd",,"VOLUME","."&amp;Q$2&amp;Q$1&amp;"C"&amp;$A50)*RTD("tos.rtd",,"GAMMA","."&amp;Q$2&amp;Q$1&amp;"C"&amp;$A50)-$A$4*$A$4*RTD("tos.rtd",,"VOLUME","."&amp;Q$2&amp;Q$1&amp;"P"&amp;$A50)*RTD("tos.rtd",,"GAMMA","."&amp;Q$2&amp;Q$1&amp;"P"&amp;$A50))/1000000,0),IF($A$2="GEX",IFERROR(($A$4*$A$4*RTD("tos.rtd",,"OPEN_INT","."&amp;Q$2&amp;Q$1&amp;"C"&amp;$A50)*RTD("tos.rtd",,"GAMMA","."&amp;Q$2&amp;Q$1&amp;"C"&amp;$A50)-$A$4*$A$4*RTD("tos.rtd",,"OPEN_INT","."&amp;Q$2&amp;Q$1&amp;"P"&amp;$A50)*RTD("tos.rtd",,"GAMMA","."&amp;Q$2&amp;Q$1&amp;"P"&amp;$A50))/1000000,0),IF($A$2="SKEW",IFERROR(VALUE(IF(RTD("tos.rtd",,"IMPL_VOL","."&amp;Q$2&amp;Q$1&amp;"P"&amp;$A50)="N/A",0,RTD("tos.rtd",,"IMPL_VOL","."&amp;Q$2&amp;Q$1&amp;"P"&amp;$A50))),0)-IFERROR(VALUE(IF(RTD("tos.rtd",,"IMPL_VOL","."&amp;Q$2&amp;Q$1&amp;"C"&amp;$A50)="N/A",0,RTD("tos.rtd",,"IMPL_VOL","."&amp;Q$2&amp;Q$1&amp;"C"&amp;$A50))),0),IF($A$2="MAXPAIN",IF($A$4&gt;$A50,($A$4-$A50)*IF(RTD("tos.rtd",,"OPEN_INT","."&amp;Q$2&amp;Q$1&amp;"C"&amp;$A50)="N/A",0,RTD("tos.rtd",,"OPEN_INT","."&amp;Q$2&amp;Q$1&amp;"C"&amp;$A50)),0)+IF($A$4&lt;$A50,($A50-$A$4)*IF(RTD("tos.rtd",,"OPEN_INT","."&amp;Q$2&amp;Q$1&amp;"P"&amp;$A50)="N/A",0,RTD("tos.rtd",,"OPEN_INT","."&amp;Q$2&amp;Q$1&amp;"P"&amp;$A50)),0),IF(RTD("tos.rtd",,$A$2,"."&amp;Q$2&amp;Q$1&amp;"C"&amp;$A50)="N/A",0,RTD("tos.rtd",,$A$2,"."&amp;Q$2&amp;Q$1&amp;"C"&amp;$A50))-IF(RTD("tos.rtd",,$A$2,"."&amp;Q$2&amp;Q$1&amp;"P"&amp;$A50)="N/A",0,RTD("tos.rtd",,$A$2,"."&amp;Q$2&amp;Q$1&amp;"P"&amp;$A50)))))))))</f>
        <v>0</v>
      </c>
      <c r="R50" s="12">
        <f>IF($A$2="PREMIUM_OI",IFERROR((100*RTD("tos.rtd",,"OPEN_INT","."&amp;R$2&amp;R$1&amp;"C"&amp;$A50)*RTD("tos.rtd",,"LAST","."&amp;R$2&amp;R$1&amp;"C"&amp;$A50)-100*RTD("tos.rtd",,"OPEN_INT","."&amp;R$2&amp;R$1&amp;"P"&amp;$A50)*RTD("tos.rtd",,"LAST","."&amp;R$2&amp;R$1&amp;"P"&amp;$A50))/1000000,0),IF($A$2="PREMIUM",IFERROR((100*RTD("tos.rtd",,"VOLUME","."&amp;R$2&amp;R$1&amp;"C"&amp;$A50)*RTD("tos.rtd",,"LAST","."&amp;R$2&amp;R$1&amp;"C"&amp;$A50)-100*RTD("tos.rtd",,"VOLUME","."&amp;R$2&amp;R$1&amp;"P"&amp;$A50)*RTD("tos.rtd",,"LAST","."&amp;R$2&amp;R$1&amp;"P"&amp;$A50))/1000000,0),IF($A$2="DEX",IFERROR((100*RTD("tos.rtd",,"OPEN_INT","."&amp;R$2&amp;R$1&amp;"C"&amp;$A50)*RTD("tos.rtd",,"DELTA","."&amp;R$2&amp;R$1&amp;"C"&amp;$A50)-100*RTD("tos.rtd",,"OPEN_INT","."&amp;R$2&amp;R$1&amp;"P"&amp;$A50)*RTD("tos.rtd",,"DELTA","."&amp;R$2&amp;R$1&amp;"P"&amp;$A50))/1000,0),IF($A$2="VEX",IFERROR(($A$4*$A$4*RTD("tos.rtd",,"VOLUME","."&amp;R$2&amp;R$1&amp;"C"&amp;$A50)*RTD("tos.rtd",,"GAMMA","."&amp;R$2&amp;R$1&amp;"C"&amp;$A50)-$A$4*$A$4*RTD("tos.rtd",,"VOLUME","."&amp;R$2&amp;R$1&amp;"P"&amp;$A50)*RTD("tos.rtd",,"GAMMA","."&amp;R$2&amp;R$1&amp;"P"&amp;$A50))/1000000,0),IF($A$2="GEX",IFERROR(($A$4*$A$4*RTD("tos.rtd",,"OPEN_INT","."&amp;R$2&amp;R$1&amp;"C"&amp;$A50)*RTD("tos.rtd",,"GAMMA","."&amp;R$2&amp;R$1&amp;"C"&amp;$A50)-$A$4*$A$4*RTD("tos.rtd",,"OPEN_INT","."&amp;R$2&amp;R$1&amp;"P"&amp;$A50)*RTD("tos.rtd",,"GAMMA","."&amp;R$2&amp;R$1&amp;"P"&amp;$A50))/1000000,0),IF($A$2="SKEW",IFERROR(VALUE(IF(RTD("tos.rtd",,"IMPL_VOL","."&amp;R$2&amp;R$1&amp;"P"&amp;$A50)="N/A",0,RTD("tos.rtd",,"IMPL_VOL","."&amp;R$2&amp;R$1&amp;"P"&amp;$A50))),0)-IFERROR(VALUE(IF(RTD("tos.rtd",,"IMPL_VOL","."&amp;R$2&amp;R$1&amp;"C"&amp;$A50)="N/A",0,RTD("tos.rtd",,"IMPL_VOL","."&amp;R$2&amp;R$1&amp;"C"&amp;$A50))),0),IF($A$2="MAXPAIN",IF($A$4&gt;$A50,($A$4-$A50)*IF(RTD("tos.rtd",,"OPEN_INT","."&amp;R$2&amp;R$1&amp;"C"&amp;$A50)="N/A",0,RTD("tos.rtd",,"OPEN_INT","."&amp;R$2&amp;R$1&amp;"C"&amp;$A50)),0)+IF($A$4&lt;$A50,($A50-$A$4)*IF(RTD("tos.rtd",,"OPEN_INT","."&amp;R$2&amp;R$1&amp;"P"&amp;$A50)="N/A",0,RTD("tos.rtd",,"OPEN_INT","."&amp;R$2&amp;R$1&amp;"P"&amp;$A50)),0),IF(RTD("tos.rtd",,$A$2,"."&amp;R$2&amp;R$1&amp;"C"&amp;$A50)="N/A",0,RTD("tos.rtd",,$A$2,"."&amp;R$2&amp;R$1&amp;"C"&amp;$A50))-IF(RTD("tos.rtd",,$A$2,"."&amp;R$2&amp;R$1&amp;"P"&amp;$A50)="N/A",0,RTD("tos.rtd",,$A$2,"."&amp;R$2&amp;R$1&amp;"P"&amp;$A50)))))))))</f>
        <v>0</v>
      </c>
      <c r="S50" s="12">
        <f>IF($A$2="PREMIUM_OI",IFERROR((100*RTD("tos.rtd",,"OPEN_INT","."&amp;S$2&amp;S$1&amp;"C"&amp;$A50)*RTD("tos.rtd",,"LAST","."&amp;S$2&amp;S$1&amp;"C"&amp;$A50)-100*RTD("tos.rtd",,"OPEN_INT","."&amp;S$2&amp;S$1&amp;"P"&amp;$A50)*RTD("tos.rtd",,"LAST","."&amp;S$2&amp;S$1&amp;"P"&amp;$A50))/1000000,0),IF($A$2="PREMIUM",IFERROR((100*RTD("tos.rtd",,"VOLUME","."&amp;S$2&amp;S$1&amp;"C"&amp;$A50)*RTD("tos.rtd",,"LAST","."&amp;S$2&amp;S$1&amp;"C"&amp;$A50)-100*RTD("tos.rtd",,"VOLUME","."&amp;S$2&amp;S$1&amp;"P"&amp;$A50)*RTD("tos.rtd",,"LAST","."&amp;S$2&amp;S$1&amp;"P"&amp;$A50))/1000000,0),IF($A$2="DEX",IFERROR((100*RTD("tos.rtd",,"OPEN_INT","."&amp;S$2&amp;S$1&amp;"C"&amp;$A50)*RTD("tos.rtd",,"DELTA","."&amp;S$2&amp;S$1&amp;"C"&amp;$A50)-100*RTD("tos.rtd",,"OPEN_INT","."&amp;S$2&amp;S$1&amp;"P"&amp;$A50)*RTD("tos.rtd",,"DELTA","."&amp;S$2&amp;S$1&amp;"P"&amp;$A50))/1000,0),IF($A$2="VEX",IFERROR(($A$4*$A$4*RTD("tos.rtd",,"VOLUME","."&amp;S$2&amp;S$1&amp;"C"&amp;$A50)*RTD("tos.rtd",,"GAMMA","."&amp;S$2&amp;S$1&amp;"C"&amp;$A50)-$A$4*$A$4*RTD("tos.rtd",,"VOLUME","."&amp;S$2&amp;S$1&amp;"P"&amp;$A50)*RTD("tos.rtd",,"GAMMA","."&amp;S$2&amp;S$1&amp;"P"&amp;$A50))/1000000,0),IF($A$2="GEX",IFERROR(($A$4*$A$4*RTD("tos.rtd",,"OPEN_INT","."&amp;S$2&amp;S$1&amp;"C"&amp;$A50)*RTD("tos.rtd",,"GAMMA","."&amp;S$2&amp;S$1&amp;"C"&amp;$A50)-$A$4*$A$4*RTD("tos.rtd",,"OPEN_INT","."&amp;S$2&amp;S$1&amp;"P"&amp;$A50)*RTD("tos.rtd",,"GAMMA","."&amp;S$2&amp;S$1&amp;"P"&amp;$A50))/1000000,0),IF($A$2="SKEW",IFERROR(VALUE(IF(RTD("tos.rtd",,"IMPL_VOL","."&amp;S$2&amp;S$1&amp;"P"&amp;$A50)="N/A",0,RTD("tos.rtd",,"IMPL_VOL","."&amp;S$2&amp;S$1&amp;"P"&amp;$A50))),0)-IFERROR(VALUE(IF(RTD("tos.rtd",,"IMPL_VOL","."&amp;S$2&amp;S$1&amp;"C"&amp;$A50)="N/A",0,RTD("tos.rtd",,"IMPL_VOL","."&amp;S$2&amp;S$1&amp;"C"&amp;$A50))),0),IF($A$2="MAXPAIN",IF($A$4&gt;$A50,($A$4-$A50)*IF(RTD("tos.rtd",,"OPEN_INT","."&amp;S$2&amp;S$1&amp;"C"&amp;$A50)="N/A",0,RTD("tos.rtd",,"OPEN_INT","."&amp;S$2&amp;S$1&amp;"C"&amp;$A50)),0)+IF($A$4&lt;$A50,($A50-$A$4)*IF(RTD("tos.rtd",,"OPEN_INT","."&amp;S$2&amp;S$1&amp;"P"&amp;$A50)="N/A",0,RTD("tos.rtd",,"OPEN_INT","."&amp;S$2&amp;S$1&amp;"P"&amp;$A50)),0),IF(RTD("tos.rtd",,$A$2,"."&amp;S$2&amp;S$1&amp;"C"&amp;$A50)="N/A",0,RTD("tos.rtd",,$A$2,"."&amp;S$2&amp;S$1&amp;"C"&amp;$A50))-IF(RTD("tos.rtd",,$A$2,"."&amp;S$2&amp;S$1&amp;"P"&amp;$A50)="N/A",0,RTD("tos.rtd",,$A$2,"."&amp;S$2&amp;S$1&amp;"P"&amp;$A50)))))))))</f>
        <v>0</v>
      </c>
      <c r="T50" s="12">
        <f>IF($A$2="PREMIUM_OI",IFERROR((100*RTD("tos.rtd",,"OPEN_INT","."&amp;T$2&amp;T$1&amp;"C"&amp;$A50)*RTD("tos.rtd",,"LAST","."&amp;T$2&amp;T$1&amp;"C"&amp;$A50)-100*RTD("tos.rtd",,"OPEN_INT","."&amp;T$2&amp;T$1&amp;"P"&amp;$A50)*RTD("tos.rtd",,"LAST","."&amp;T$2&amp;T$1&amp;"P"&amp;$A50))/1000000,0),IF($A$2="PREMIUM",IFERROR((100*RTD("tos.rtd",,"VOLUME","."&amp;T$2&amp;T$1&amp;"C"&amp;$A50)*RTD("tos.rtd",,"LAST","."&amp;T$2&amp;T$1&amp;"C"&amp;$A50)-100*RTD("tos.rtd",,"VOLUME","."&amp;T$2&amp;T$1&amp;"P"&amp;$A50)*RTD("tos.rtd",,"LAST","."&amp;T$2&amp;T$1&amp;"P"&amp;$A50))/1000000,0),IF($A$2="DEX",IFERROR((100*RTD("tos.rtd",,"OPEN_INT","."&amp;T$2&amp;T$1&amp;"C"&amp;$A50)*RTD("tos.rtd",,"DELTA","."&amp;T$2&amp;T$1&amp;"C"&amp;$A50)-100*RTD("tos.rtd",,"OPEN_INT","."&amp;T$2&amp;T$1&amp;"P"&amp;$A50)*RTD("tos.rtd",,"DELTA","."&amp;T$2&amp;T$1&amp;"P"&amp;$A50))/1000,0),IF($A$2="VEX",IFERROR(($A$4*$A$4*RTD("tos.rtd",,"VOLUME","."&amp;T$2&amp;T$1&amp;"C"&amp;$A50)*RTD("tos.rtd",,"GAMMA","."&amp;T$2&amp;T$1&amp;"C"&amp;$A50)-$A$4*$A$4*RTD("tos.rtd",,"VOLUME","."&amp;T$2&amp;T$1&amp;"P"&amp;$A50)*RTD("tos.rtd",,"GAMMA","."&amp;T$2&amp;T$1&amp;"P"&amp;$A50))/1000000,0),IF($A$2="GEX",IFERROR(($A$4*$A$4*RTD("tos.rtd",,"OPEN_INT","."&amp;T$2&amp;T$1&amp;"C"&amp;$A50)*RTD("tos.rtd",,"GAMMA","."&amp;T$2&amp;T$1&amp;"C"&amp;$A50)-$A$4*$A$4*RTD("tos.rtd",,"OPEN_INT","."&amp;T$2&amp;T$1&amp;"P"&amp;$A50)*RTD("tos.rtd",,"GAMMA","."&amp;T$2&amp;T$1&amp;"P"&amp;$A50))/1000000,0),IF($A$2="SKEW",IFERROR(VALUE(IF(RTD("tos.rtd",,"IMPL_VOL","."&amp;T$2&amp;T$1&amp;"P"&amp;$A50)="N/A",0,RTD("tos.rtd",,"IMPL_VOL","."&amp;T$2&amp;T$1&amp;"P"&amp;$A50))),0)-IFERROR(VALUE(IF(RTD("tos.rtd",,"IMPL_VOL","."&amp;T$2&amp;T$1&amp;"C"&amp;$A50)="N/A",0,RTD("tos.rtd",,"IMPL_VOL","."&amp;T$2&amp;T$1&amp;"C"&amp;$A50))),0),IF($A$2="MAXPAIN",IF($A$4&gt;$A50,($A$4-$A50)*IF(RTD("tos.rtd",,"OPEN_INT","."&amp;T$2&amp;T$1&amp;"C"&amp;$A50)="N/A",0,RTD("tos.rtd",,"OPEN_INT","."&amp;T$2&amp;T$1&amp;"C"&amp;$A50)),0)+IF($A$4&lt;$A50,($A50-$A$4)*IF(RTD("tos.rtd",,"OPEN_INT","."&amp;T$2&amp;T$1&amp;"P"&amp;$A50)="N/A",0,RTD("tos.rtd",,"OPEN_INT","."&amp;T$2&amp;T$1&amp;"P"&amp;$A50)),0),IF(RTD("tos.rtd",,$A$2,"."&amp;T$2&amp;T$1&amp;"C"&amp;$A50)="N/A",0,RTD("tos.rtd",,$A$2,"."&amp;T$2&amp;T$1&amp;"C"&amp;$A50))-IF(RTD("tos.rtd",,$A$2,"."&amp;T$2&amp;T$1&amp;"P"&amp;$A50)="N/A",0,RTD("tos.rtd",,$A$2,"."&amp;T$2&amp;T$1&amp;"P"&amp;$A50)))))))))</f>
        <v>0</v>
      </c>
      <c r="U50" s="12">
        <f>IF($A$2="PREMIUM_OI",IFERROR((100*RTD("tos.rtd",,"OPEN_INT","."&amp;U$2&amp;U$1&amp;"C"&amp;$A50)*RTD("tos.rtd",,"LAST","."&amp;U$2&amp;U$1&amp;"C"&amp;$A50)-100*RTD("tos.rtd",,"OPEN_INT","."&amp;U$2&amp;U$1&amp;"P"&amp;$A50)*RTD("tos.rtd",,"LAST","."&amp;U$2&amp;U$1&amp;"P"&amp;$A50))/1000000,0),IF($A$2="PREMIUM",IFERROR((100*RTD("tos.rtd",,"VOLUME","."&amp;U$2&amp;U$1&amp;"C"&amp;$A50)*RTD("tos.rtd",,"LAST","."&amp;U$2&amp;U$1&amp;"C"&amp;$A50)-100*RTD("tos.rtd",,"VOLUME","."&amp;U$2&amp;U$1&amp;"P"&amp;$A50)*RTD("tos.rtd",,"LAST","."&amp;U$2&amp;U$1&amp;"P"&amp;$A50))/1000000,0),IF($A$2="DEX",IFERROR((100*RTD("tos.rtd",,"OPEN_INT","."&amp;U$2&amp;U$1&amp;"C"&amp;$A50)*RTD("tos.rtd",,"DELTA","."&amp;U$2&amp;U$1&amp;"C"&amp;$A50)-100*RTD("tos.rtd",,"OPEN_INT","."&amp;U$2&amp;U$1&amp;"P"&amp;$A50)*RTD("tos.rtd",,"DELTA","."&amp;U$2&amp;U$1&amp;"P"&amp;$A50))/1000,0),IF($A$2="VEX",IFERROR(($A$4*$A$4*RTD("tos.rtd",,"VOLUME","."&amp;U$2&amp;U$1&amp;"C"&amp;$A50)*RTD("tos.rtd",,"GAMMA","."&amp;U$2&amp;U$1&amp;"C"&amp;$A50)-$A$4*$A$4*RTD("tos.rtd",,"VOLUME","."&amp;U$2&amp;U$1&amp;"P"&amp;$A50)*RTD("tos.rtd",,"GAMMA","."&amp;U$2&amp;U$1&amp;"P"&amp;$A50))/1000000,0),IF($A$2="GEX",IFERROR(($A$4*$A$4*RTD("tos.rtd",,"OPEN_INT","."&amp;U$2&amp;U$1&amp;"C"&amp;$A50)*RTD("tos.rtd",,"GAMMA","."&amp;U$2&amp;U$1&amp;"C"&amp;$A50)-$A$4*$A$4*RTD("tos.rtd",,"OPEN_INT","."&amp;U$2&amp;U$1&amp;"P"&amp;$A50)*RTD("tos.rtd",,"GAMMA","."&amp;U$2&amp;U$1&amp;"P"&amp;$A50))/1000000,0),IF($A$2="SKEW",IFERROR(VALUE(IF(RTD("tos.rtd",,"IMPL_VOL","."&amp;U$2&amp;U$1&amp;"P"&amp;$A50)="N/A",0,RTD("tos.rtd",,"IMPL_VOL","."&amp;U$2&amp;U$1&amp;"P"&amp;$A50))),0)-IFERROR(VALUE(IF(RTD("tos.rtd",,"IMPL_VOL","."&amp;U$2&amp;U$1&amp;"C"&amp;$A50)="N/A",0,RTD("tos.rtd",,"IMPL_VOL","."&amp;U$2&amp;U$1&amp;"C"&amp;$A50))),0),IF($A$2="MAXPAIN",IF($A$4&gt;$A50,($A$4-$A50)*IF(RTD("tos.rtd",,"OPEN_INT","."&amp;U$2&amp;U$1&amp;"C"&amp;$A50)="N/A",0,RTD("tos.rtd",,"OPEN_INT","."&amp;U$2&amp;U$1&amp;"C"&amp;$A50)),0)+IF($A$4&lt;$A50,($A50-$A$4)*IF(RTD("tos.rtd",,"OPEN_INT","."&amp;U$2&amp;U$1&amp;"P"&amp;$A50)="N/A",0,RTD("tos.rtd",,"OPEN_INT","."&amp;U$2&amp;U$1&amp;"P"&amp;$A50)),0),IF(RTD("tos.rtd",,$A$2,"."&amp;U$2&amp;U$1&amp;"C"&amp;$A50)="N/A",0,RTD("tos.rtd",,$A$2,"."&amp;U$2&amp;U$1&amp;"C"&amp;$A50))-IF(RTD("tos.rtd",,$A$2,"."&amp;U$2&amp;U$1&amp;"P"&amp;$A50)="N/A",0,RTD("tos.rtd",,$A$2,"."&amp;U$2&amp;U$1&amp;"P"&amp;$A50)))))))))</f>
        <v>0</v>
      </c>
      <c r="V50" s="12">
        <f>IF($A$2="PREMIUM_OI",IFERROR((100*RTD("tos.rtd",,"OPEN_INT","."&amp;V$2&amp;V$1&amp;"C"&amp;$A50)*RTD("tos.rtd",,"LAST","."&amp;V$2&amp;V$1&amp;"C"&amp;$A50)-100*RTD("tos.rtd",,"OPEN_INT","."&amp;V$2&amp;V$1&amp;"P"&amp;$A50)*RTD("tos.rtd",,"LAST","."&amp;V$2&amp;V$1&amp;"P"&amp;$A50))/1000000,0),IF($A$2="PREMIUM",IFERROR((100*RTD("tos.rtd",,"VOLUME","."&amp;V$2&amp;V$1&amp;"C"&amp;$A50)*RTD("tos.rtd",,"LAST","."&amp;V$2&amp;V$1&amp;"C"&amp;$A50)-100*RTD("tos.rtd",,"VOLUME","."&amp;V$2&amp;V$1&amp;"P"&amp;$A50)*RTD("tos.rtd",,"LAST","."&amp;V$2&amp;V$1&amp;"P"&amp;$A50))/1000000,0),IF($A$2="DEX",IFERROR((100*RTD("tos.rtd",,"OPEN_INT","."&amp;V$2&amp;V$1&amp;"C"&amp;$A50)*RTD("tos.rtd",,"DELTA","."&amp;V$2&amp;V$1&amp;"C"&amp;$A50)-100*RTD("tos.rtd",,"OPEN_INT","."&amp;V$2&amp;V$1&amp;"P"&amp;$A50)*RTD("tos.rtd",,"DELTA","."&amp;V$2&amp;V$1&amp;"P"&amp;$A50))/1000,0),IF($A$2="VEX",IFERROR(($A$4*$A$4*RTD("tos.rtd",,"VOLUME","."&amp;V$2&amp;V$1&amp;"C"&amp;$A50)*RTD("tos.rtd",,"GAMMA","."&amp;V$2&amp;V$1&amp;"C"&amp;$A50)-$A$4*$A$4*RTD("tos.rtd",,"VOLUME","."&amp;V$2&amp;V$1&amp;"P"&amp;$A50)*RTD("tos.rtd",,"GAMMA","."&amp;V$2&amp;V$1&amp;"P"&amp;$A50))/1000000,0),IF($A$2="GEX",IFERROR(($A$4*$A$4*RTD("tos.rtd",,"OPEN_INT","."&amp;V$2&amp;V$1&amp;"C"&amp;$A50)*RTD("tos.rtd",,"GAMMA","."&amp;V$2&amp;V$1&amp;"C"&amp;$A50)-$A$4*$A$4*RTD("tos.rtd",,"OPEN_INT","."&amp;V$2&amp;V$1&amp;"P"&amp;$A50)*RTD("tos.rtd",,"GAMMA","."&amp;V$2&amp;V$1&amp;"P"&amp;$A50))/1000000,0),IF($A$2="SKEW",IFERROR(VALUE(IF(RTD("tos.rtd",,"IMPL_VOL","."&amp;V$2&amp;V$1&amp;"P"&amp;$A50)="N/A",0,RTD("tos.rtd",,"IMPL_VOL","."&amp;V$2&amp;V$1&amp;"P"&amp;$A50))),0)-IFERROR(VALUE(IF(RTD("tos.rtd",,"IMPL_VOL","."&amp;V$2&amp;V$1&amp;"C"&amp;$A50)="N/A",0,RTD("tos.rtd",,"IMPL_VOL","."&amp;V$2&amp;V$1&amp;"C"&amp;$A50))),0),IF($A$2="MAXPAIN",IF($A$4&gt;$A50,($A$4-$A50)*IF(RTD("tos.rtd",,"OPEN_INT","."&amp;V$2&amp;V$1&amp;"C"&amp;$A50)="N/A",0,RTD("tos.rtd",,"OPEN_INT","."&amp;V$2&amp;V$1&amp;"C"&amp;$A50)),0)+IF($A$4&lt;$A50,($A50-$A$4)*IF(RTD("tos.rtd",,"OPEN_INT","."&amp;V$2&amp;V$1&amp;"P"&amp;$A50)="N/A",0,RTD("tos.rtd",,"OPEN_INT","."&amp;V$2&amp;V$1&amp;"P"&amp;$A50)),0),IF(RTD("tos.rtd",,$A$2,"."&amp;V$2&amp;V$1&amp;"C"&amp;$A50)="N/A",0,RTD("tos.rtd",,$A$2,"."&amp;V$2&amp;V$1&amp;"C"&amp;$A50))-IF(RTD("tos.rtd",,$A$2,"."&amp;V$2&amp;V$1&amp;"P"&amp;$A50)="N/A",0,RTD("tos.rtd",,$A$2,"."&amp;V$2&amp;V$1&amp;"P"&amp;$A50)))))))))</f>
        <v>0</v>
      </c>
      <c r="W50" s="12">
        <f>IF($A$2="PREMIUM_OI",IFERROR((100*RTD("tos.rtd",,"OPEN_INT","."&amp;W$2&amp;W$1&amp;"C"&amp;$A50)*RTD("tos.rtd",,"LAST","."&amp;W$2&amp;W$1&amp;"C"&amp;$A50)-100*RTD("tos.rtd",,"OPEN_INT","."&amp;W$2&amp;W$1&amp;"P"&amp;$A50)*RTD("tos.rtd",,"LAST","."&amp;W$2&amp;W$1&amp;"P"&amp;$A50))/1000000,0),IF($A$2="PREMIUM",IFERROR((100*RTD("tos.rtd",,"VOLUME","."&amp;W$2&amp;W$1&amp;"C"&amp;$A50)*RTD("tos.rtd",,"LAST","."&amp;W$2&amp;W$1&amp;"C"&amp;$A50)-100*RTD("tos.rtd",,"VOLUME","."&amp;W$2&amp;W$1&amp;"P"&amp;$A50)*RTD("tos.rtd",,"LAST","."&amp;W$2&amp;W$1&amp;"P"&amp;$A50))/1000000,0),IF($A$2="DEX",IFERROR((100*RTD("tos.rtd",,"OPEN_INT","."&amp;W$2&amp;W$1&amp;"C"&amp;$A50)*RTD("tos.rtd",,"DELTA","."&amp;W$2&amp;W$1&amp;"C"&amp;$A50)-100*RTD("tos.rtd",,"OPEN_INT","."&amp;W$2&amp;W$1&amp;"P"&amp;$A50)*RTD("tos.rtd",,"DELTA","."&amp;W$2&amp;W$1&amp;"P"&amp;$A50))/1000,0),IF($A$2="VEX",IFERROR(($A$4*$A$4*RTD("tos.rtd",,"VOLUME","."&amp;W$2&amp;W$1&amp;"C"&amp;$A50)*RTD("tos.rtd",,"GAMMA","."&amp;W$2&amp;W$1&amp;"C"&amp;$A50)-$A$4*$A$4*RTD("tos.rtd",,"VOLUME","."&amp;W$2&amp;W$1&amp;"P"&amp;$A50)*RTD("tos.rtd",,"GAMMA","."&amp;W$2&amp;W$1&amp;"P"&amp;$A50))/1000000,0),IF($A$2="GEX",IFERROR(($A$4*$A$4*RTD("tos.rtd",,"OPEN_INT","."&amp;W$2&amp;W$1&amp;"C"&amp;$A50)*RTD("tos.rtd",,"GAMMA","."&amp;W$2&amp;W$1&amp;"C"&amp;$A50)-$A$4*$A$4*RTD("tos.rtd",,"OPEN_INT","."&amp;W$2&amp;W$1&amp;"P"&amp;$A50)*RTD("tos.rtd",,"GAMMA","."&amp;W$2&amp;W$1&amp;"P"&amp;$A50))/1000000,0),IF($A$2="SKEW",IFERROR(VALUE(IF(RTD("tos.rtd",,"IMPL_VOL","."&amp;W$2&amp;W$1&amp;"P"&amp;$A50)="N/A",0,RTD("tos.rtd",,"IMPL_VOL","."&amp;W$2&amp;W$1&amp;"P"&amp;$A50))),0)-IFERROR(VALUE(IF(RTD("tos.rtd",,"IMPL_VOL","."&amp;W$2&amp;W$1&amp;"C"&amp;$A50)="N/A",0,RTD("tos.rtd",,"IMPL_VOL","."&amp;W$2&amp;W$1&amp;"C"&amp;$A50))),0),IF($A$2="MAXPAIN",IF($A$4&gt;$A50,($A$4-$A50)*IF(RTD("tos.rtd",,"OPEN_INT","."&amp;W$2&amp;W$1&amp;"C"&amp;$A50)="N/A",0,RTD("tos.rtd",,"OPEN_INT","."&amp;W$2&amp;W$1&amp;"C"&amp;$A50)),0)+IF($A$4&lt;$A50,($A50-$A$4)*IF(RTD("tos.rtd",,"OPEN_INT","."&amp;W$2&amp;W$1&amp;"P"&amp;$A50)="N/A",0,RTD("tos.rtd",,"OPEN_INT","."&amp;W$2&amp;W$1&amp;"P"&amp;$A50)),0),IF(RTD("tos.rtd",,$A$2,"."&amp;W$2&amp;W$1&amp;"C"&amp;$A50)="N/A",0,RTD("tos.rtd",,$A$2,"."&amp;W$2&amp;W$1&amp;"C"&amp;$A50))-IF(RTD("tos.rtd",,$A$2,"."&amp;W$2&amp;W$1&amp;"P"&amp;$A50)="N/A",0,RTD("tos.rtd",,$A$2,"."&amp;W$2&amp;W$1&amp;"P"&amp;$A50)))))))))</f>
        <v>0</v>
      </c>
      <c r="X50" s="12">
        <f t="shared" ca="1" si="7"/>
        <v>0</v>
      </c>
      <c r="Y50" s="27">
        <f t="shared" ca="1" si="8"/>
        <v>0</v>
      </c>
      <c r="AA50" s="35">
        <f>+IF($AJ$1,AJ50,TASTYOHLC!A50)</f>
        <v>0</v>
      </c>
      <c r="AB50" s="8">
        <f>+IF($AJ$1,AK50,TASTYOHLC!B50)</f>
        <v>0</v>
      </c>
      <c r="AC50" s="8">
        <f>+IF($AJ$1,AL50,TASTYOHLC!C50)</f>
        <v>0</v>
      </c>
      <c r="AD50" s="8">
        <f>+IF($AJ$1,AM50,TASTYOHLC!D50)</f>
        <v>0</v>
      </c>
      <c r="AE50" s="8">
        <f>+IF($AJ$1,AN50,TASTYOHLC!E50)</f>
        <v>0</v>
      </c>
      <c r="AF50" s="8"/>
      <c r="AJ50" s="37"/>
    </row>
    <row r="51" spans="1:36" s="19" customFormat="1" ht="11.1" customHeight="1" thickBot="1" x14ac:dyDescent="0.3">
      <c r="A51" s="6">
        <f t="shared" si="13"/>
        <v>-3.5</v>
      </c>
      <c r="B51" s="15">
        <f>IF($A$2="PREMIUM_OI",IFERROR((100*RTD("tos.rtd",,"OPEN_INT","."&amp;B$2&amp;B$1&amp;"C"&amp;$A51)*RTD("tos.rtd",,"LAST","."&amp;B$2&amp;B$1&amp;"C"&amp;$A51)-100*RTD("tos.rtd",,"OPEN_INT","."&amp;B$2&amp;B$1&amp;"P"&amp;$A51)*RTD("tos.rtd",,"LAST","."&amp;B$2&amp;B$1&amp;"P"&amp;$A51))/1000000,0),IF($A$2="PREMIUM",IFERROR((100*RTD("tos.rtd",,"VOLUME","."&amp;B$2&amp;B$1&amp;"C"&amp;$A51)*RTD("tos.rtd",,"LAST","."&amp;B$2&amp;B$1&amp;"C"&amp;$A51)-100*RTD("tos.rtd",,"VOLUME","."&amp;B$2&amp;B$1&amp;"P"&amp;$A51)*RTD("tos.rtd",,"LAST","."&amp;B$2&amp;B$1&amp;"P"&amp;$A51))/1000000,0),IF($A$2="DEX",IFERROR((100*RTD("tos.rtd",,"OPEN_INT","."&amp;B$2&amp;B$1&amp;"C"&amp;$A51)*RTD("tos.rtd",,"DELTA","."&amp;B$2&amp;B$1&amp;"C"&amp;$A51)-100*RTD("tos.rtd",,"OPEN_INT","."&amp;B$2&amp;B$1&amp;"P"&amp;$A51)*RTD("tos.rtd",,"DELTA","."&amp;B$2&amp;B$1&amp;"P"&amp;$A51))/1000,0),IF($A$2="VEX",IFERROR(($A$4*$A$4*RTD("tos.rtd",,"VOLUME","."&amp;B$2&amp;B$1&amp;"C"&amp;$A51)*RTD("tos.rtd",,"GAMMA","."&amp;B$2&amp;B$1&amp;"C"&amp;$A51)-$A$4*$A$4*RTD("tos.rtd",,"VOLUME","."&amp;B$2&amp;B$1&amp;"P"&amp;$A51)*RTD("tos.rtd",,"GAMMA","."&amp;B$2&amp;B$1&amp;"P"&amp;$A51))/1000000,0),IF($A$2="GEX",IFERROR(($A$4*$A$4*RTD("tos.rtd",,"OPEN_INT","."&amp;B$2&amp;B$1&amp;"C"&amp;$A51)*RTD("tos.rtd",,"GAMMA","."&amp;B$2&amp;B$1&amp;"C"&amp;$A51)-$A$4*$A$4*RTD("tos.rtd",,"OPEN_INT","."&amp;B$2&amp;B$1&amp;"P"&amp;$A51)*RTD("tos.rtd",,"GAMMA","."&amp;B$2&amp;B$1&amp;"P"&amp;$A51))/1000000,0),IF($A$2="SKEW",IFERROR(VALUE(IF(RTD("tos.rtd",,"IMPL_VOL","."&amp;B$2&amp;B$1&amp;"P"&amp;$A51)="N/A",0,RTD("tos.rtd",,"IMPL_VOL","."&amp;B$2&amp;B$1&amp;"P"&amp;$A51))),0)-IFERROR(VALUE(IF(RTD("tos.rtd",,"IMPL_VOL","."&amp;B$2&amp;B$1&amp;"C"&amp;$A51)="N/A",0,RTD("tos.rtd",,"IMPL_VOL","."&amp;B$2&amp;B$1&amp;"C"&amp;$A51))),0),IF($A$2="MAXPAIN",IF($A$4&gt;$A51,($A$4-$A51)*IF(RTD("tos.rtd",,"OPEN_INT","."&amp;B$2&amp;B$1&amp;"C"&amp;$A51)="N/A",0,RTD("tos.rtd",,"OPEN_INT","."&amp;B$2&amp;B$1&amp;"C"&amp;$A51)),0)+IF($A$4&lt;$A51,($A51-$A$4)*IF(RTD("tos.rtd",,"OPEN_INT","."&amp;B$2&amp;B$1&amp;"P"&amp;$A51)="N/A",0,RTD("tos.rtd",,"OPEN_INT","."&amp;B$2&amp;B$1&amp;"P"&amp;$A51)),0),IF(RTD("tos.rtd",,$A$2,"."&amp;B$2&amp;B$1&amp;"C"&amp;$A51)="N/A",0,RTD("tos.rtd",,$A$2,"."&amp;B$2&amp;B$1&amp;"C"&amp;$A51))-IF(RTD("tos.rtd",,$A$2,"."&amp;B$2&amp;B$1&amp;"P"&amp;$A51)="N/A",0,RTD("tos.rtd",,$A$2,"."&amp;B$2&amp;B$1&amp;"P"&amp;$A51)))))))))</f>
        <v>0</v>
      </c>
      <c r="C51" s="16">
        <f>IF($A$2="PREMIUM_OI",IFERROR((100*RTD("tos.rtd",,"OPEN_INT","."&amp;C$2&amp;C$1&amp;"C"&amp;$A51)*RTD("tos.rtd",,"LAST","."&amp;C$2&amp;C$1&amp;"C"&amp;$A51)-100*RTD("tos.rtd",,"OPEN_INT","."&amp;C$2&amp;C$1&amp;"P"&amp;$A51)*RTD("tos.rtd",,"LAST","."&amp;C$2&amp;C$1&amp;"P"&amp;$A51))/1000000,0),IF($A$2="PREMIUM",IFERROR((100*RTD("tos.rtd",,"VOLUME","."&amp;C$2&amp;C$1&amp;"C"&amp;$A51)*RTD("tos.rtd",,"LAST","."&amp;C$2&amp;C$1&amp;"C"&amp;$A51)-100*RTD("tos.rtd",,"VOLUME","."&amp;C$2&amp;C$1&amp;"P"&amp;$A51)*RTD("tos.rtd",,"LAST","."&amp;C$2&amp;C$1&amp;"P"&amp;$A51))/1000000,0),IF($A$2="DEX",IFERROR((100*RTD("tos.rtd",,"OPEN_INT","."&amp;C$2&amp;C$1&amp;"C"&amp;$A51)*RTD("tos.rtd",,"DELTA","."&amp;C$2&amp;C$1&amp;"C"&amp;$A51)-100*RTD("tos.rtd",,"OPEN_INT","."&amp;C$2&amp;C$1&amp;"P"&amp;$A51)*RTD("tos.rtd",,"DELTA","."&amp;C$2&amp;C$1&amp;"P"&amp;$A51))/1000,0),IF($A$2="VEX",IFERROR(($A$4*$A$4*RTD("tos.rtd",,"VOLUME","."&amp;C$2&amp;C$1&amp;"C"&amp;$A51)*RTD("tos.rtd",,"GAMMA","."&amp;C$2&amp;C$1&amp;"C"&amp;$A51)-$A$4*$A$4*RTD("tos.rtd",,"VOLUME","."&amp;C$2&amp;C$1&amp;"P"&amp;$A51)*RTD("tos.rtd",,"GAMMA","."&amp;C$2&amp;C$1&amp;"P"&amp;$A51))/1000000,0),IF($A$2="GEX",IFERROR(($A$4*$A$4*RTD("tos.rtd",,"OPEN_INT","."&amp;C$2&amp;C$1&amp;"C"&amp;$A51)*RTD("tos.rtd",,"GAMMA","."&amp;C$2&amp;C$1&amp;"C"&amp;$A51)-$A$4*$A$4*RTD("tos.rtd",,"OPEN_INT","."&amp;C$2&amp;C$1&amp;"P"&amp;$A51)*RTD("tos.rtd",,"GAMMA","."&amp;C$2&amp;C$1&amp;"P"&amp;$A51))/1000000,0),IF($A$2="SKEW",IFERROR(VALUE(IF(RTD("tos.rtd",,"IMPL_VOL","."&amp;C$2&amp;C$1&amp;"P"&amp;$A51)="N/A",0,RTD("tos.rtd",,"IMPL_VOL","."&amp;C$2&amp;C$1&amp;"P"&amp;$A51))),0)-IFERROR(VALUE(IF(RTD("tos.rtd",,"IMPL_VOL","."&amp;C$2&amp;C$1&amp;"C"&amp;$A51)="N/A",0,RTD("tos.rtd",,"IMPL_VOL","."&amp;C$2&amp;C$1&amp;"C"&amp;$A51))),0),IF($A$2="MAXPAIN",IF($A$4&gt;$A51,($A$4-$A51)*IF(RTD("tos.rtd",,"OPEN_INT","."&amp;C$2&amp;C$1&amp;"C"&amp;$A51)="N/A",0,RTD("tos.rtd",,"OPEN_INT","."&amp;C$2&amp;C$1&amp;"C"&amp;$A51)),0)+IF($A$4&lt;$A51,($A51-$A$4)*IF(RTD("tos.rtd",,"OPEN_INT","."&amp;C$2&amp;C$1&amp;"P"&amp;$A51)="N/A",0,RTD("tos.rtd",,"OPEN_INT","."&amp;C$2&amp;C$1&amp;"P"&amp;$A51)),0),IF(RTD("tos.rtd",,$A$2,"."&amp;C$2&amp;C$1&amp;"C"&amp;$A51)="N/A",0,RTD("tos.rtd",,$A$2,"."&amp;C$2&amp;C$1&amp;"C"&amp;$A51))-IF(RTD("tos.rtd",,$A$2,"."&amp;C$2&amp;C$1&amp;"P"&amp;$A51)="N/A",0,RTD("tos.rtd",,$A$2,"."&amp;C$2&amp;C$1&amp;"P"&amp;$A51)))))))))</f>
        <v>0</v>
      </c>
      <c r="D51" s="16">
        <f>IF($A$2="PREMIUM_OI",IFERROR((100*RTD("tos.rtd",,"OPEN_INT","."&amp;D$2&amp;D$1&amp;"C"&amp;$A51)*RTD("tos.rtd",,"LAST","."&amp;D$2&amp;D$1&amp;"C"&amp;$A51)-100*RTD("tos.rtd",,"OPEN_INT","."&amp;D$2&amp;D$1&amp;"P"&amp;$A51)*RTD("tos.rtd",,"LAST","."&amp;D$2&amp;D$1&amp;"P"&amp;$A51))/1000000,0),IF($A$2="PREMIUM",IFERROR((100*RTD("tos.rtd",,"VOLUME","."&amp;D$2&amp;D$1&amp;"C"&amp;$A51)*RTD("tos.rtd",,"LAST","."&amp;D$2&amp;D$1&amp;"C"&amp;$A51)-100*RTD("tos.rtd",,"VOLUME","."&amp;D$2&amp;D$1&amp;"P"&amp;$A51)*RTD("tos.rtd",,"LAST","."&amp;D$2&amp;D$1&amp;"P"&amp;$A51))/1000000,0),IF($A$2="DEX",IFERROR((100*RTD("tos.rtd",,"OPEN_INT","."&amp;D$2&amp;D$1&amp;"C"&amp;$A51)*RTD("tos.rtd",,"DELTA","."&amp;D$2&amp;D$1&amp;"C"&amp;$A51)-100*RTD("tos.rtd",,"OPEN_INT","."&amp;D$2&amp;D$1&amp;"P"&amp;$A51)*RTD("tos.rtd",,"DELTA","."&amp;D$2&amp;D$1&amp;"P"&amp;$A51))/1000,0),IF($A$2="VEX",IFERROR(($A$4*$A$4*RTD("tos.rtd",,"VOLUME","."&amp;D$2&amp;D$1&amp;"C"&amp;$A51)*RTD("tos.rtd",,"GAMMA","."&amp;D$2&amp;D$1&amp;"C"&amp;$A51)-$A$4*$A$4*RTD("tos.rtd",,"VOLUME","."&amp;D$2&amp;D$1&amp;"P"&amp;$A51)*RTD("tos.rtd",,"GAMMA","."&amp;D$2&amp;D$1&amp;"P"&amp;$A51))/1000000,0),IF($A$2="GEX",IFERROR(($A$4*$A$4*RTD("tos.rtd",,"OPEN_INT","."&amp;D$2&amp;D$1&amp;"C"&amp;$A51)*RTD("tos.rtd",,"GAMMA","."&amp;D$2&amp;D$1&amp;"C"&amp;$A51)-$A$4*$A$4*RTD("tos.rtd",,"OPEN_INT","."&amp;D$2&amp;D$1&amp;"P"&amp;$A51)*RTD("tos.rtd",,"GAMMA","."&amp;D$2&amp;D$1&amp;"P"&amp;$A51))/1000000,0),IF($A$2="SKEW",IFERROR(VALUE(IF(RTD("tos.rtd",,"IMPL_VOL","."&amp;D$2&amp;D$1&amp;"P"&amp;$A51)="N/A",0,RTD("tos.rtd",,"IMPL_VOL","."&amp;D$2&amp;D$1&amp;"P"&amp;$A51))),0)-IFERROR(VALUE(IF(RTD("tos.rtd",,"IMPL_VOL","."&amp;D$2&amp;D$1&amp;"C"&amp;$A51)="N/A",0,RTD("tos.rtd",,"IMPL_VOL","."&amp;D$2&amp;D$1&amp;"C"&amp;$A51))),0),IF($A$2="MAXPAIN",IF($A$4&gt;$A51,($A$4-$A51)*IF(RTD("tos.rtd",,"OPEN_INT","."&amp;D$2&amp;D$1&amp;"C"&amp;$A51)="N/A",0,RTD("tos.rtd",,"OPEN_INT","."&amp;D$2&amp;D$1&amp;"C"&amp;$A51)),0)+IF($A$4&lt;$A51,($A51-$A$4)*IF(RTD("tos.rtd",,"OPEN_INT","."&amp;D$2&amp;D$1&amp;"P"&amp;$A51)="N/A",0,RTD("tos.rtd",,"OPEN_INT","."&amp;D$2&amp;D$1&amp;"P"&amp;$A51)),0),IF(RTD("tos.rtd",,$A$2,"."&amp;D$2&amp;D$1&amp;"C"&amp;$A51)="N/A",0,RTD("tos.rtd",,$A$2,"."&amp;D$2&amp;D$1&amp;"C"&amp;$A51))-IF(RTD("tos.rtd",,$A$2,"."&amp;D$2&amp;D$1&amp;"P"&amp;$A51)="N/A",0,RTD("tos.rtd",,$A$2,"."&amp;D$2&amp;D$1&amp;"P"&amp;$A51)))))))))</f>
        <v>0</v>
      </c>
      <c r="E51" s="16">
        <f>IF($A$2="PREMIUM_OI",IFERROR((100*RTD("tos.rtd",,"OPEN_INT","."&amp;E$2&amp;E$1&amp;"C"&amp;$A51)*RTD("tos.rtd",,"LAST","."&amp;E$2&amp;E$1&amp;"C"&amp;$A51)-100*RTD("tos.rtd",,"OPEN_INT","."&amp;E$2&amp;E$1&amp;"P"&amp;$A51)*RTD("tos.rtd",,"LAST","."&amp;E$2&amp;E$1&amp;"P"&amp;$A51))/1000000,0),IF($A$2="PREMIUM",IFERROR((100*RTD("tos.rtd",,"VOLUME","."&amp;E$2&amp;E$1&amp;"C"&amp;$A51)*RTD("tos.rtd",,"LAST","."&amp;E$2&amp;E$1&amp;"C"&amp;$A51)-100*RTD("tos.rtd",,"VOLUME","."&amp;E$2&amp;E$1&amp;"P"&amp;$A51)*RTD("tos.rtd",,"LAST","."&amp;E$2&amp;E$1&amp;"P"&amp;$A51))/1000000,0),IF($A$2="DEX",IFERROR((100*RTD("tos.rtd",,"OPEN_INT","."&amp;E$2&amp;E$1&amp;"C"&amp;$A51)*RTD("tos.rtd",,"DELTA","."&amp;E$2&amp;E$1&amp;"C"&amp;$A51)-100*RTD("tos.rtd",,"OPEN_INT","."&amp;E$2&amp;E$1&amp;"P"&amp;$A51)*RTD("tos.rtd",,"DELTA","."&amp;E$2&amp;E$1&amp;"P"&amp;$A51))/1000,0),IF($A$2="VEX",IFERROR(($A$4*$A$4*RTD("tos.rtd",,"VOLUME","."&amp;E$2&amp;E$1&amp;"C"&amp;$A51)*RTD("tos.rtd",,"GAMMA","."&amp;E$2&amp;E$1&amp;"C"&amp;$A51)-$A$4*$A$4*RTD("tos.rtd",,"VOLUME","."&amp;E$2&amp;E$1&amp;"P"&amp;$A51)*RTD("tos.rtd",,"GAMMA","."&amp;E$2&amp;E$1&amp;"P"&amp;$A51))/1000000,0),IF($A$2="GEX",IFERROR(($A$4*$A$4*RTD("tos.rtd",,"OPEN_INT","."&amp;E$2&amp;E$1&amp;"C"&amp;$A51)*RTD("tos.rtd",,"GAMMA","."&amp;E$2&amp;E$1&amp;"C"&amp;$A51)-$A$4*$A$4*RTD("tos.rtd",,"OPEN_INT","."&amp;E$2&amp;E$1&amp;"P"&amp;$A51)*RTD("tos.rtd",,"GAMMA","."&amp;E$2&amp;E$1&amp;"P"&amp;$A51))/1000000,0),IF($A$2="SKEW",IFERROR(VALUE(IF(RTD("tos.rtd",,"IMPL_VOL","."&amp;E$2&amp;E$1&amp;"P"&amp;$A51)="N/A",0,RTD("tos.rtd",,"IMPL_VOL","."&amp;E$2&amp;E$1&amp;"P"&amp;$A51))),0)-IFERROR(VALUE(IF(RTD("tos.rtd",,"IMPL_VOL","."&amp;E$2&amp;E$1&amp;"C"&amp;$A51)="N/A",0,RTD("tos.rtd",,"IMPL_VOL","."&amp;E$2&amp;E$1&amp;"C"&amp;$A51))),0),IF($A$2="MAXPAIN",IF($A$4&gt;$A51,($A$4-$A51)*IF(RTD("tos.rtd",,"OPEN_INT","."&amp;E$2&amp;E$1&amp;"C"&amp;$A51)="N/A",0,RTD("tos.rtd",,"OPEN_INT","."&amp;E$2&amp;E$1&amp;"C"&amp;$A51)),0)+IF($A$4&lt;$A51,($A51-$A$4)*IF(RTD("tos.rtd",,"OPEN_INT","."&amp;E$2&amp;E$1&amp;"P"&amp;$A51)="N/A",0,RTD("tos.rtd",,"OPEN_INT","."&amp;E$2&amp;E$1&amp;"P"&amp;$A51)),0),IF(RTD("tos.rtd",,$A$2,"."&amp;E$2&amp;E$1&amp;"C"&amp;$A51)="N/A",0,RTD("tos.rtd",,$A$2,"."&amp;E$2&amp;E$1&amp;"C"&amp;$A51))-IF(RTD("tos.rtd",,$A$2,"."&amp;E$2&amp;E$1&amp;"P"&amp;$A51)="N/A",0,RTD("tos.rtd",,$A$2,"."&amp;E$2&amp;E$1&amp;"P"&amp;$A51)))))))))</f>
        <v>0</v>
      </c>
      <c r="F51" s="16">
        <f>IF($A$2="PREMIUM_OI",IFERROR((100*RTD("tos.rtd",,"OPEN_INT","."&amp;F$2&amp;F$1&amp;"C"&amp;$A51)*RTD("tos.rtd",,"LAST","."&amp;F$2&amp;F$1&amp;"C"&amp;$A51)-100*RTD("tos.rtd",,"OPEN_INT","."&amp;F$2&amp;F$1&amp;"P"&amp;$A51)*RTD("tos.rtd",,"LAST","."&amp;F$2&amp;F$1&amp;"P"&amp;$A51))/1000000,0),IF($A$2="PREMIUM",IFERROR((100*RTD("tos.rtd",,"VOLUME","."&amp;F$2&amp;F$1&amp;"C"&amp;$A51)*RTD("tos.rtd",,"LAST","."&amp;F$2&amp;F$1&amp;"C"&amp;$A51)-100*RTD("tos.rtd",,"VOLUME","."&amp;F$2&amp;F$1&amp;"P"&amp;$A51)*RTD("tos.rtd",,"LAST","."&amp;F$2&amp;F$1&amp;"P"&amp;$A51))/1000000,0),IF($A$2="DEX",IFERROR((100*RTD("tos.rtd",,"OPEN_INT","."&amp;F$2&amp;F$1&amp;"C"&amp;$A51)*RTD("tos.rtd",,"DELTA","."&amp;F$2&amp;F$1&amp;"C"&amp;$A51)-100*RTD("tos.rtd",,"OPEN_INT","."&amp;F$2&amp;F$1&amp;"P"&amp;$A51)*RTD("tos.rtd",,"DELTA","."&amp;F$2&amp;F$1&amp;"P"&amp;$A51))/1000,0),IF($A$2="VEX",IFERROR(($A$4*$A$4*RTD("tos.rtd",,"VOLUME","."&amp;F$2&amp;F$1&amp;"C"&amp;$A51)*RTD("tos.rtd",,"GAMMA","."&amp;F$2&amp;F$1&amp;"C"&amp;$A51)-$A$4*$A$4*RTD("tos.rtd",,"VOLUME","."&amp;F$2&amp;F$1&amp;"P"&amp;$A51)*RTD("tos.rtd",,"GAMMA","."&amp;F$2&amp;F$1&amp;"P"&amp;$A51))/1000000,0),IF($A$2="GEX",IFERROR(($A$4*$A$4*RTD("tos.rtd",,"OPEN_INT","."&amp;F$2&amp;F$1&amp;"C"&amp;$A51)*RTD("tos.rtd",,"GAMMA","."&amp;F$2&amp;F$1&amp;"C"&amp;$A51)-$A$4*$A$4*RTD("tos.rtd",,"OPEN_INT","."&amp;F$2&amp;F$1&amp;"P"&amp;$A51)*RTD("tos.rtd",,"GAMMA","."&amp;F$2&amp;F$1&amp;"P"&amp;$A51))/1000000,0),IF($A$2="SKEW",IFERROR(VALUE(IF(RTD("tos.rtd",,"IMPL_VOL","."&amp;F$2&amp;F$1&amp;"P"&amp;$A51)="N/A",0,RTD("tos.rtd",,"IMPL_VOL","."&amp;F$2&amp;F$1&amp;"P"&amp;$A51))),0)-IFERROR(VALUE(IF(RTD("tos.rtd",,"IMPL_VOL","."&amp;F$2&amp;F$1&amp;"C"&amp;$A51)="N/A",0,RTD("tos.rtd",,"IMPL_VOL","."&amp;F$2&amp;F$1&amp;"C"&amp;$A51))),0),IF($A$2="MAXPAIN",IF($A$4&gt;$A51,($A$4-$A51)*IF(RTD("tos.rtd",,"OPEN_INT","."&amp;F$2&amp;F$1&amp;"C"&amp;$A51)="N/A",0,RTD("tos.rtd",,"OPEN_INT","."&amp;F$2&amp;F$1&amp;"C"&amp;$A51)),0)+IF($A$4&lt;$A51,($A51-$A$4)*IF(RTD("tos.rtd",,"OPEN_INT","."&amp;F$2&amp;F$1&amp;"P"&amp;$A51)="N/A",0,RTD("tos.rtd",,"OPEN_INT","."&amp;F$2&amp;F$1&amp;"P"&amp;$A51)),0),IF(RTD("tos.rtd",,$A$2,"."&amp;F$2&amp;F$1&amp;"C"&amp;$A51)="N/A",0,RTD("tos.rtd",,$A$2,"."&amp;F$2&amp;F$1&amp;"C"&amp;$A51))-IF(RTD("tos.rtd",,$A$2,"."&amp;F$2&amp;F$1&amp;"P"&amp;$A51)="N/A",0,RTD("tos.rtd",,$A$2,"."&amp;F$2&amp;F$1&amp;"P"&amp;$A51)))))))))</f>
        <v>0</v>
      </c>
      <c r="G51" s="15">
        <f>IF($A$2="PREMIUM_OI",IFERROR((100*RTD("tos.rtd",,"OPEN_INT","."&amp;G$2&amp;G$1&amp;"C"&amp;$A51)*RTD("tos.rtd",,"LAST","."&amp;G$2&amp;G$1&amp;"C"&amp;$A51)-100*RTD("tos.rtd",,"OPEN_INT","."&amp;G$2&amp;G$1&amp;"P"&amp;$A51)*RTD("tos.rtd",,"LAST","."&amp;G$2&amp;G$1&amp;"P"&amp;$A51))/1000000,0),IF($A$2="PREMIUM",IFERROR((100*RTD("tos.rtd",,"VOLUME","."&amp;G$2&amp;G$1&amp;"C"&amp;$A51)*RTD("tos.rtd",,"LAST","."&amp;G$2&amp;G$1&amp;"C"&amp;$A51)-100*RTD("tos.rtd",,"VOLUME","."&amp;G$2&amp;G$1&amp;"P"&amp;$A51)*RTD("tos.rtd",,"LAST","."&amp;G$2&amp;G$1&amp;"P"&amp;$A51))/1000000,0),IF($A$2="DEX",IFERROR((100*RTD("tos.rtd",,"OPEN_INT","."&amp;G$2&amp;G$1&amp;"C"&amp;$A51)*RTD("tos.rtd",,"DELTA","."&amp;G$2&amp;G$1&amp;"C"&amp;$A51)-100*RTD("tos.rtd",,"OPEN_INT","."&amp;G$2&amp;G$1&amp;"P"&amp;$A51)*RTD("tos.rtd",,"DELTA","."&amp;G$2&amp;G$1&amp;"P"&amp;$A51))/1000,0),IF($A$2="VEX",IFERROR(($A$4*$A$4*RTD("tos.rtd",,"VOLUME","."&amp;G$2&amp;G$1&amp;"C"&amp;$A51)*RTD("tos.rtd",,"GAMMA","."&amp;G$2&amp;G$1&amp;"C"&amp;$A51)-$A$4*$A$4*RTD("tos.rtd",,"VOLUME","."&amp;G$2&amp;G$1&amp;"P"&amp;$A51)*RTD("tos.rtd",,"GAMMA","."&amp;G$2&amp;G$1&amp;"P"&amp;$A51))/1000000,0),IF($A$2="GEX",IFERROR(($A$4*$A$4*RTD("tos.rtd",,"OPEN_INT","."&amp;G$2&amp;G$1&amp;"C"&amp;$A51)*RTD("tos.rtd",,"GAMMA","."&amp;G$2&amp;G$1&amp;"C"&amp;$A51)-$A$4*$A$4*RTD("tos.rtd",,"OPEN_INT","."&amp;G$2&amp;G$1&amp;"P"&amp;$A51)*RTD("tos.rtd",,"GAMMA","."&amp;G$2&amp;G$1&amp;"P"&amp;$A51))/1000000,0),IF($A$2="SKEW",IFERROR(VALUE(IF(RTD("tos.rtd",,"IMPL_VOL","."&amp;G$2&amp;G$1&amp;"P"&amp;$A51)="N/A",0,RTD("tos.rtd",,"IMPL_VOL","."&amp;G$2&amp;G$1&amp;"P"&amp;$A51))),0)-IFERROR(VALUE(IF(RTD("tos.rtd",,"IMPL_VOL","."&amp;G$2&amp;G$1&amp;"C"&amp;$A51)="N/A",0,RTD("tos.rtd",,"IMPL_VOL","."&amp;G$2&amp;G$1&amp;"C"&amp;$A51))),0),IF($A$2="MAXPAIN",IF($A$4&gt;$A51,($A$4-$A51)*IF(RTD("tos.rtd",,"OPEN_INT","."&amp;G$2&amp;G$1&amp;"C"&amp;$A51)="N/A",0,RTD("tos.rtd",,"OPEN_INT","."&amp;G$2&amp;G$1&amp;"C"&amp;$A51)),0)+IF($A$4&lt;$A51,($A51-$A$4)*IF(RTD("tos.rtd",,"OPEN_INT","."&amp;G$2&amp;G$1&amp;"P"&amp;$A51)="N/A",0,RTD("tos.rtd",,"OPEN_INT","."&amp;G$2&amp;G$1&amp;"P"&amp;$A51)),0),IF(RTD("tos.rtd",,$A$2,"."&amp;G$2&amp;G$1&amp;"C"&amp;$A51)="N/A",0,RTD("tos.rtd",,$A$2,"."&amp;G$2&amp;G$1&amp;"C"&amp;$A51))-IF(RTD("tos.rtd",,$A$2,"."&amp;G$2&amp;G$1&amp;"P"&amp;$A51)="N/A",0,RTD("tos.rtd",,$A$2,"."&amp;G$2&amp;G$1&amp;"P"&amp;$A51)))))))))</f>
        <v>0</v>
      </c>
      <c r="H51" s="16">
        <f>IF($A$2="PREMIUM_OI",IFERROR((100*RTD("tos.rtd",,"OPEN_INT","."&amp;H$2&amp;H$1&amp;"C"&amp;$A51)*RTD("tos.rtd",,"LAST","."&amp;H$2&amp;H$1&amp;"C"&amp;$A51)-100*RTD("tos.rtd",,"OPEN_INT","."&amp;H$2&amp;H$1&amp;"P"&amp;$A51)*RTD("tos.rtd",,"LAST","."&amp;H$2&amp;H$1&amp;"P"&amp;$A51))/1000000,0),IF($A$2="PREMIUM",IFERROR((100*RTD("tos.rtd",,"VOLUME","."&amp;H$2&amp;H$1&amp;"C"&amp;$A51)*RTD("tos.rtd",,"LAST","."&amp;H$2&amp;H$1&amp;"C"&amp;$A51)-100*RTD("tos.rtd",,"VOLUME","."&amp;H$2&amp;H$1&amp;"P"&amp;$A51)*RTD("tos.rtd",,"LAST","."&amp;H$2&amp;H$1&amp;"P"&amp;$A51))/1000000,0),IF($A$2="DEX",IFERROR((100*RTD("tos.rtd",,"OPEN_INT","."&amp;H$2&amp;H$1&amp;"C"&amp;$A51)*RTD("tos.rtd",,"DELTA","."&amp;H$2&amp;H$1&amp;"C"&amp;$A51)-100*RTD("tos.rtd",,"OPEN_INT","."&amp;H$2&amp;H$1&amp;"P"&amp;$A51)*RTD("tos.rtd",,"DELTA","."&amp;H$2&amp;H$1&amp;"P"&amp;$A51))/1000,0),IF($A$2="VEX",IFERROR(($A$4*$A$4*RTD("tos.rtd",,"VOLUME","."&amp;H$2&amp;H$1&amp;"C"&amp;$A51)*RTD("tos.rtd",,"GAMMA","."&amp;H$2&amp;H$1&amp;"C"&amp;$A51)-$A$4*$A$4*RTD("tos.rtd",,"VOLUME","."&amp;H$2&amp;H$1&amp;"P"&amp;$A51)*RTD("tos.rtd",,"GAMMA","."&amp;H$2&amp;H$1&amp;"P"&amp;$A51))/1000000,0),IF($A$2="GEX",IFERROR(($A$4*$A$4*RTD("tos.rtd",,"OPEN_INT","."&amp;H$2&amp;H$1&amp;"C"&amp;$A51)*RTD("tos.rtd",,"GAMMA","."&amp;H$2&amp;H$1&amp;"C"&amp;$A51)-$A$4*$A$4*RTD("tos.rtd",,"OPEN_INT","."&amp;H$2&amp;H$1&amp;"P"&amp;$A51)*RTD("tos.rtd",,"GAMMA","."&amp;H$2&amp;H$1&amp;"P"&amp;$A51))/1000000,0),IF($A$2="SKEW",IFERROR(VALUE(IF(RTD("tos.rtd",,"IMPL_VOL","."&amp;H$2&amp;H$1&amp;"P"&amp;$A51)="N/A",0,RTD("tos.rtd",,"IMPL_VOL","."&amp;H$2&amp;H$1&amp;"P"&amp;$A51))),0)-IFERROR(VALUE(IF(RTD("tos.rtd",,"IMPL_VOL","."&amp;H$2&amp;H$1&amp;"C"&amp;$A51)="N/A",0,RTD("tos.rtd",,"IMPL_VOL","."&amp;H$2&amp;H$1&amp;"C"&amp;$A51))),0),IF($A$2="MAXPAIN",IF($A$4&gt;$A51,($A$4-$A51)*IF(RTD("tos.rtd",,"OPEN_INT","."&amp;H$2&amp;H$1&amp;"C"&amp;$A51)="N/A",0,RTD("tos.rtd",,"OPEN_INT","."&amp;H$2&amp;H$1&amp;"C"&amp;$A51)),0)+IF($A$4&lt;$A51,($A51-$A$4)*IF(RTD("tos.rtd",,"OPEN_INT","."&amp;H$2&amp;H$1&amp;"P"&amp;$A51)="N/A",0,RTD("tos.rtd",,"OPEN_INT","."&amp;H$2&amp;H$1&amp;"P"&amp;$A51)),0),IF(RTD("tos.rtd",,$A$2,"."&amp;H$2&amp;H$1&amp;"C"&amp;$A51)="N/A",0,RTD("tos.rtd",,$A$2,"."&amp;H$2&amp;H$1&amp;"C"&amp;$A51))-IF(RTD("tos.rtd",,$A$2,"."&amp;H$2&amp;H$1&amp;"P"&amp;$A51)="N/A",0,RTD("tos.rtd",,$A$2,"."&amp;H$2&amp;H$1&amp;"P"&amp;$A51)))))))))</f>
        <v>0</v>
      </c>
      <c r="I51" s="16">
        <f>IF($A$2="PREMIUM_OI",IFERROR((100*RTD("tos.rtd",,"OPEN_INT","."&amp;I$2&amp;I$1&amp;"C"&amp;$A51)*RTD("tos.rtd",,"LAST","."&amp;I$2&amp;I$1&amp;"C"&amp;$A51)-100*RTD("tos.rtd",,"OPEN_INT","."&amp;I$2&amp;I$1&amp;"P"&amp;$A51)*RTD("tos.rtd",,"LAST","."&amp;I$2&amp;I$1&amp;"P"&amp;$A51))/1000000,0),IF($A$2="PREMIUM",IFERROR((100*RTD("tos.rtd",,"VOLUME","."&amp;I$2&amp;I$1&amp;"C"&amp;$A51)*RTD("tos.rtd",,"LAST","."&amp;I$2&amp;I$1&amp;"C"&amp;$A51)-100*RTD("tos.rtd",,"VOLUME","."&amp;I$2&amp;I$1&amp;"P"&amp;$A51)*RTD("tos.rtd",,"LAST","."&amp;I$2&amp;I$1&amp;"P"&amp;$A51))/1000000,0),IF($A$2="DEX",IFERROR((100*RTD("tos.rtd",,"OPEN_INT","."&amp;I$2&amp;I$1&amp;"C"&amp;$A51)*RTD("tos.rtd",,"DELTA","."&amp;I$2&amp;I$1&amp;"C"&amp;$A51)-100*RTD("tos.rtd",,"OPEN_INT","."&amp;I$2&amp;I$1&amp;"P"&amp;$A51)*RTD("tos.rtd",,"DELTA","."&amp;I$2&amp;I$1&amp;"P"&amp;$A51))/1000,0),IF($A$2="VEX",IFERROR(($A$4*$A$4*RTD("tos.rtd",,"VOLUME","."&amp;I$2&amp;I$1&amp;"C"&amp;$A51)*RTD("tos.rtd",,"GAMMA","."&amp;I$2&amp;I$1&amp;"C"&amp;$A51)-$A$4*$A$4*RTD("tos.rtd",,"VOLUME","."&amp;I$2&amp;I$1&amp;"P"&amp;$A51)*RTD("tos.rtd",,"GAMMA","."&amp;I$2&amp;I$1&amp;"P"&amp;$A51))/1000000,0),IF($A$2="GEX",IFERROR(($A$4*$A$4*RTD("tos.rtd",,"OPEN_INT","."&amp;I$2&amp;I$1&amp;"C"&amp;$A51)*RTD("tos.rtd",,"GAMMA","."&amp;I$2&amp;I$1&amp;"C"&amp;$A51)-$A$4*$A$4*RTD("tos.rtd",,"OPEN_INT","."&amp;I$2&amp;I$1&amp;"P"&amp;$A51)*RTD("tos.rtd",,"GAMMA","."&amp;I$2&amp;I$1&amp;"P"&amp;$A51))/1000000,0),IF($A$2="SKEW",IFERROR(VALUE(IF(RTD("tos.rtd",,"IMPL_VOL","."&amp;I$2&amp;I$1&amp;"P"&amp;$A51)="N/A",0,RTD("tos.rtd",,"IMPL_VOL","."&amp;I$2&amp;I$1&amp;"P"&amp;$A51))),0)-IFERROR(VALUE(IF(RTD("tos.rtd",,"IMPL_VOL","."&amp;I$2&amp;I$1&amp;"C"&amp;$A51)="N/A",0,RTD("tos.rtd",,"IMPL_VOL","."&amp;I$2&amp;I$1&amp;"C"&amp;$A51))),0),IF($A$2="MAXPAIN",IF($A$4&gt;$A51,($A$4-$A51)*IF(RTD("tos.rtd",,"OPEN_INT","."&amp;I$2&amp;I$1&amp;"C"&amp;$A51)="N/A",0,RTD("tos.rtd",,"OPEN_INT","."&amp;I$2&amp;I$1&amp;"C"&amp;$A51)),0)+IF($A$4&lt;$A51,($A51-$A$4)*IF(RTD("tos.rtd",,"OPEN_INT","."&amp;I$2&amp;I$1&amp;"P"&amp;$A51)="N/A",0,RTD("tos.rtd",,"OPEN_INT","."&amp;I$2&amp;I$1&amp;"P"&amp;$A51)),0),IF(RTD("tos.rtd",,$A$2,"."&amp;I$2&amp;I$1&amp;"C"&amp;$A51)="N/A",0,RTD("tos.rtd",,$A$2,"."&amp;I$2&amp;I$1&amp;"C"&amp;$A51))-IF(RTD("tos.rtd",,$A$2,"."&amp;I$2&amp;I$1&amp;"P"&amp;$A51)="N/A",0,RTD("tos.rtd",,$A$2,"."&amp;I$2&amp;I$1&amp;"P"&amp;$A51)))))))))</f>
        <v>0</v>
      </c>
      <c r="J51" s="16">
        <f>IF($A$2="PREMIUM_OI",IFERROR((100*RTD("tos.rtd",,"OPEN_INT","."&amp;J$2&amp;J$1&amp;"C"&amp;$A51)*RTD("tos.rtd",,"LAST","."&amp;J$2&amp;J$1&amp;"C"&amp;$A51)-100*RTD("tos.rtd",,"OPEN_INT","."&amp;J$2&amp;J$1&amp;"P"&amp;$A51)*RTD("tos.rtd",,"LAST","."&amp;J$2&amp;J$1&amp;"P"&amp;$A51))/1000000,0),IF($A$2="PREMIUM",IFERROR((100*RTD("tos.rtd",,"VOLUME","."&amp;J$2&amp;J$1&amp;"C"&amp;$A51)*RTD("tos.rtd",,"LAST","."&amp;J$2&amp;J$1&amp;"C"&amp;$A51)-100*RTD("tos.rtd",,"VOLUME","."&amp;J$2&amp;J$1&amp;"P"&amp;$A51)*RTD("tos.rtd",,"LAST","."&amp;J$2&amp;J$1&amp;"P"&amp;$A51))/1000000,0),IF($A$2="DEX",IFERROR((100*RTD("tos.rtd",,"OPEN_INT","."&amp;J$2&amp;J$1&amp;"C"&amp;$A51)*RTD("tos.rtd",,"DELTA","."&amp;J$2&amp;J$1&amp;"C"&amp;$A51)-100*RTD("tos.rtd",,"OPEN_INT","."&amp;J$2&amp;J$1&amp;"P"&amp;$A51)*RTD("tos.rtd",,"DELTA","."&amp;J$2&amp;J$1&amp;"P"&amp;$A51))/1000,0),IF($A$2="VEX",IFERROR(($A$4*$A$4*RTD("tos.rtd",,"VOLUME","."&amp;J$2&amp;J$1&amp;"C"&amp;$A51)*RTD("tos.rtd",,"GAMMA","."&amp;J$2&amp;J$1&amp;"C"&amp;$A51)-$A$4*$A$4*RTD("tos.rtd",,"VOLUME","."&amp;J$2&amp;J$1&amp;"P"&amp;$A51)*RTD("tos.rtd",,"GAMMA","."&amp;J$2&amp;J$1&amp;"P"&amp;$A51))/1000000,0),IF($A$2="GEX",IFERROR(($A$4*$A$4*RTD("tos.rtd",,"OPEN_INT","."&amp;J$2&amp;J$1&amp;"C"&amp;$A51)*RTD("tos.rtd",,"GAMMA","."&amp;J$2&amp;J$1&amp;"C"&amp;$A51)-$A$4*$A$4*RTD("tos.rtd",,"OPEN_INT","."&amp;J$2&amp;J$1&amp;"P"&amp;$A51)*RTD("tos.rtd",,"GAMMA","."&amp;J$2&amp;J$1&amp;"P"&amp;$A51))/1000000,0),IF($A$2="SKEW",IFERROR(VALUE(IF(RTD("tos.rtd",,"IMPL_VOL","."&amp;J$2&amp;J$1&amp;"P"&amp;$A51)="N/A",0,RTD("tos.rtd",,"IMPL_VOL","."&amp;J$2&amp;J$1&amp;"P"&amp;$A51))),0)-IFERROR(VALUE(IF(RTD("tos.rtd",,"IMPL_VOL","."&amp;J$2&amp;J$1&amp;"C"&amp;$A51)="N/A",0,RTD("tos.rtd",,"IMPL_VOL","."&amp;J$2&amp;J$1&amp;"C"&amp;$A51))),0),IF($A$2="MAXPAIN",IF($A$4&gt;$A51,($A$4-$A51)*IF(RTD("tos.rtd",,"OPEN_INT","."&amp;J$2&amp;J$1&amp;"C"&amp;$A51)="N/A",0,RTD("tos.rtd",,"OPEN_INT","."&amp;J$2&amp;J$1&amp;"C"&amp;$A51)),0)+IF($A$4&lt;$A51,($A51-$A$4)*IF(RTD("tos.rtd",,"OPEN_INT","."&amp;J$2&amp;J$1&amp;"P"&amp;$A51)="N/A",0,RTD("tos.rtd",,"OPEN_INT","."&amp;J$2&amp;J$1&amp;"P"&amp;$A51)),0),IF(RTD("tos.rtd",,$A$2,"."&amp;J$2&amp;J$1&amp;"C"&amp;$A51)="N/A",0,RTD("tos.rtd",,$A$2,"."&amp;J$2&amp;J$1&amp;"C"&amp;$A51))-IF(RTD("tos.rtd",,$A$2,"."&amp;J$2&amp;J$1&amp;"P"&amp;$A51)="N/A",0,RTD("tos.rtd",,$A$2,"."&amp;J$2&amp;J$1&amp;"P"&amp;$A51)))))))))</f>
        <v>0</v>
      </c>
      <c r="K51" s="16">
        <f>IF($A$2="PREMIUM_OI",IFERROR((100*RTD("tos.rtd",,"OPEN_INT","."&amp;K$2&amp;K$1&amp;"C"&amp;$A51)*RTD("tos.rtd",,"LAST","."&amp;K$2&amp;K$1&amp;"C"&amp;$A51)-100*RTD("tos.rtd",,"OPEN_INT","."&amp;K$2&amp;K$1&amp;"P"&amp;$A51)*RTD("tos.rtd",,"LAST","."&amp;K$2&amp;K$1&amp;"P"&amp;$A51))/1000000,0),IF($A$2="PREMIUM",IFERROR((100*RTD("tos.rtd",,"VOLUME","."&amp;K$2&amp;K$1&amp;"C"&amp;$A51)*RTD("tos.rtd",,"LAST","."&amp;K$2&amp;K$1&amp;"C"&amp;$A51)-100*RTD("tos.rtd",,"VOLUME","."&amp;K$2&amp;K$1&amp;"P"&amp;$A51)*RTD("tos.rtd",,"LAST","."&amp;K$2&amp;K$1&amp;"P"&amp;$A51))/1000000,0),IF($A$2="DEX",IFERROR((100*RTD("tos.rtd",,"OPEN_INT","."&amp;K$2&amp;K$1&amp;"C"&amp;$A51)*RTD("tos.rtd",,"DELTA","."&amp;K$2&amp;K$1&amp;"C"&amp;$A51)-100*RTD("tos.rtd",,"OPEN_INT","."&amp;K$2&amp;K$1&amp;"P"&amp;$A51)*RTD("tos.rtd",,"DELTA","."&amp;K$2&amp;K$1&amp;"P"&amp;$A51))/1000,0),IF($A$2="VEX",IFERROR(($A$4*$A$4*RTD("tos.rtd",,"VOLUME","."&amp;K$2&amp;K$1&amp;"C"&amp;$A51)*RTD("tos.rtd",,"GAMMA","."&amp;K$2&amp;K$1&amp;"C"&amp;$A51)-$A$4*$A$4*RTD("tos.rtd",,"VOLUME","."&amp;K$2&amp;K$1&amp;"P"&amp;$A51)*RTD("tos.rtd",,"GAMMA","."&amp;K$2&amp;K$1&amp;"P"&amp;$A51))/1000000,0),IF($A$2="GEX",IFERROR(($A$4*$A$4*RTD("tos.rtd",,"OPEN_INT","."&amp;K$2&amp;K$1&amp;"C"&amp;$A51)*RTD("tos.rtd",,"GAMMA","."&amp;K$2&amp;K$1&amp;"C"&amp;$A51)-$A$4*$A$4*RTD("tos.rtd",,"OPEN_INT","."&amp;K$2&amp;K$1&amp;"P"&amp;$A51)*RTD("tos.rtd",,"GAMMA","."&amp;K$2&amp;K$1&amp;"P"&amp;$A51))/1000000,0),IF($A$2="SKEW",IFERROR(VALUE(IF(RTD("tos.rtd",,"IMPL_VOL","."&amp;K$2&amp;K$1&amp;"P"&amp;$A51)="N/A",0,RTD("tos.rtd",,"IMPL_VOL","."&amp;K$2&amp;K$1&amp;"P"&amp;$A51))),0)-IFERROR(VALUE(IF(RTD("tos.rtd",,"IMPL_VOL","."&amp;K$2&amp;K$1&amp;"C"&amp;$A51)="N/A",0,RTD("tos.rtd",,"IMPL_VOL","."&amp;K$2&amp;K$1&amp;"C"&amp;$A51))),0),IF($A$2="MAXPAIN",IF($A$4&gt;$A51,($A$4-$A51)*IF(RTD("tos.rtd",,"OPEN_INT","."&amp;K$2&amp;K$1&amp;"C"&amp;$A51)="N/A",0,RTD("tos.rtd",,"OPEN_INT","."&amp;K$2&amp;K$1&amp;"C"&amp;$A51)),0)+IF($A$4&lt;$A51,($A51-$A$4)*IF(RTD("tos.rtd",,"OPEN_INT","."&amp;K$2&amp;K$1&amp;"P"&amp;$A51)="N/A",0,RTD("tos.rtd",,"OPEN_INT","."&amp;K$2&amp;K$1&amp;"P"&amp;$A51)),0),IF(RTD("tos.rtd",,$A$2,"."&amp;K$2&amp;K$1&amp;"C"&amp;$A51)="N/A",0,RTD("tos.rtd",,$A$2,"."&amp;K$2&amp;K$1&amp;"C"&amp;$A51))-IF(RTD("tos.rtd",,$A$2,"."&amp;K$2&amp;K$1&amp;"P"&amp;$A51)="N/A",0,RTD("tos.rtd",,$A$2,"."&amp;K$2&amp;K$1&amp;"P"&amp;$A51)))))))))</f>
        <v>0</v>
      </c>
      <c r="L51" s="16">
        <f>IF($A$2="PREMIUM_OI",IFERROR((100*RTD("tos.rtd",,"OPEN_INT","."&amp;L$2&amp;L$1&amp;"C"&amp;$A51)*RTD("tos.rtd",,"LAST","."&amp;L$2&amp;L$1&amp;"C"&amp;$A51)-100*RTD("tos.rtd",,"OPEN_INT","."&amp;L$2&amp;L$1&amp;"P"&amp;$A51)*RTD("tos.rtd",,"LAST","."&amp;L$2&amp;L$1&amp;"P"&amp;$A51))/1000000,0),IF($A$2="PREMIUM",IFERROR((100*RTD("tos.rtd",,"VOLUME","."&amp;L$2&amp;L$1&amp;"C"&amp;$A51)*RTD("tos.rtd",,"LAST","."&amp;L$2&amp;L$1&amp;"C"&amp;$A51)-100*RTD("tos.rtd",,"VOLUME","."&amp;L$2&amp;L$1&amp;"P"&amp;$A51)*RTD("tos.rtd",,"LAST","."&amp;L$2&amp;L$1&amp;"P"&amp;$A51))/1000000,0),IF($A$2="DEX",IFERROR((100*RTD("tos.rtd",,"OPEN_INT","."&amp;L$2&amp;L$1&amp;"C"&amp;$A51)*RTD("tos.rtd",,"DELTA","."&amp;L$2&amp;L$1&amp;"C"&amp;$A51)-100*RTD("tos.rtd",,"OPEN_INT","."&amp;L$2&amp;L$1&amp;"P"&amp;$A51)*RTD("tos.rtd",,"DELTA","."&amp;L$2&amp;L$1&amp;"P"&amp;$A51))/1000,0),IF($A$2="VEX",IFERROR(($A$4*$A$4*RTD("tos.rtd",,"VOLUME","."&amp;L$2&amp;L$1&amp;"C"&amp;$A51)*RTD("tos.rtd",,"GAMMA","."&amp;L$2&amp;L$1&amp;"C"&amp;$A51)-$A$4*$A$4*RTD("tos.rtd",,"VOLUME","."&amp;L$2&amp;L$1&amp;"P"&amp;$A51)*RTD("tos.rtd",,"GAMMA","."&amp;L$2&amp;L$1&amp;"P"&amp;$A51))/1000000,0),IF($A$2="GEX",IFERROR(($A$4*$A$4*RTD("tos.rtd",,"OPEN_INT","."&amp;L$2&amp;L$1&amp;"C"&amp;$A51)*RTD("tos.rtd",,"GAMMA","."&amp;L$2&amp;L$1&amp;"C"&amp;$A51)-$A$4*$A$4*RTD("tos.rtd",,"OPEN_INT","."&amp;L$2&amp;L$1&amp;"P"&amp;$A51)*RTD("tos.rtd",,"GAMMA","."&amp;L$2&amp;L$1&amp;"P"&amp;$A51))/1000000,0),IF($A$2="SKEW",IFERROR(VALUE(IF(RTD("tos.rtd",,"IMPL_VOL","."&amp;L$2&amp;L$1&amp;"P"&amp;$A51)="N/A",0,RTD("tos.rtd",,"IMPL_VOL","."&amp;L$2&amp;L$1&amp;"P"&amp;$A51))),0)-IFERROR(VALUE(IF(RTD("tos.rtd",,"IMPL_VOL","."&amp;L$2&amp;L$1&amp;"C"&amp;$A51)="N/A",0,RTD("tos.rtd",,"IMPL_VOL","."&amp;L$2&amp;L$1&amp;"C"&amp;$A51))),0),IF($A$2="MAXPAIN",IF($A$4&gt;$A51,($A$4-$A51)*IF(RTD("tos.rtd",,"OPEN_INT","."&amp;L$2&amp;L$1&amp;"C"&amp;$A51)="N/A",0,RTD("tos.rtd",,"OPEN_INT","."&amp;L$2&amp;L$1&amp;"C"&amp;$A51)),0)+IF($A$4&lt;$A51,($A51-$A$4)*IF(RTD("tos.rtd",,"OPEN_INT","."&amp;L$2&amp;L$1&amp;"P"&amp;$A51)="N/A",0,RTD("tos.rtd",,"OPEN_INT","."&amp;L$2&amp;L$1&amp;"P"&amp;$A51)),0),IF(RTD("tos.rtd",,$A$2,"."&amp;L$2&amp;L$1&amp;"C"&amp;$A51)="N/A",0,RTD("tos.rtd",,$A$2,"."&amp;L$2&amp;L$1&amp;"C"&amp;$A51))-IF(RTD("tos.rtd",,$A$2,"."&amp;L$2&amp;L$1&amp;"P"&amp;$A51)="N/A",0,RTD("tos.rtd",,$A$2,"."&amp;L$2&amp;L$1&amp;"P"&amp;$A51)))))))))</f>
        <v>0</v>
      </c>
      <c r="M51" s="16">
        <f>IF($A$2="PREMIUM_OI",IFERROR((100*RTD("tos.rtd",,"OPEN_INT","."&amp;M$2&amp;M$1&amp;"C"&amp;$A51)*RTD("tos.rtd",,"LAST","."&amp;M$2&amp;M$1&amp;"C"&amp;$A51)-100*RTD("tos.rtd",,"OPEN_INT","."&amp;M$2&amp;M$1&amp;"P"&amp;$A51)*RTD("tos.rtd",,"LAST","."&amp;M$2&amp;M$1&amp;"P"&amp;$A51))/1000000,0),IF($A$2="PREMIUM",IFERROR((100*RTD("tos.rtd",,"VOLUME","."&amp;M$2&amp;M$1&amp;"C"&amp;$A51)*RTD("tos.rtd",,"LAST","."&amp;M$2&amp;M$1&amp;"C"&amp;$A51)-100*RTD("tos.rtd",,"VOLUME","."&amp;M$2&amp;M$1&amp;"P"&amp;$A51)*RTD("tos.rtd",,"LAST","."&amp;M$2&amp;M$1&amp;"P"&amp;$A51))/1000000,0),IF($A$2="DEX",IFERROR((100*RTD("tos.rtd",,"OPEN_INT","."&amp;M$2&amp;M$1&amp;"C"&amp;$A51)*RTD("tos.rtd",,"DELTA","."&amp;M$2&amp;M$1&amp;"C"&amp;$A51)-100*RTD("tos.rtd",,"OPEN_INT","."&amp;M$2&amp;M$1&amp;"P"&amp;$A51)*RTD("tos.rtd",,"DELTA","."&amp;M$2&amp;M$1&amp;"P"&amp;$A51))/1000,0),IF($A$2="VEX",IFERROR(($A$4*$A$4*RTD("tos.rtd",,"VOLUME","."&amp;M$2&amp;M$1&amp;"C"&amp;$A51)*RTD("tos.rtd",,"GAMMA","."&amp;M$2&amp;M$1&amp;"C"&amp;$A51)-$A$4*$A$4*RTD("tos.rtd",,"VOLUME","."&amp;M$2&amp;M$1&amp;"P"&amp;$A51)*RTD("tos.rtd",,"GAMMA","."&amp;M$2&amp;M$1&amp;"P"&amp;$A51))/1000000,0),IF($A$2="GEX",IFERROR(($A$4*$A$4*RTD("tos.rtd",,"OPEN_INT","."&amp;M$2&amp;M$1&amp;"C"&amp;$A51)*RTD("tos.rtd",,"GAMMA","."&amp;M$2&amp;M$1&amp;"C"&amp;$A51)-$A$4*$A$4*RTD("tos.rtd",,"OPEN_INT","."&amp;M$2&amp;M$1&amp;"P"&amp;$A51)*RTD("tos.rtd",,"GAMMA","."&amp;M$2&amp;M$1&amp;"P"&amp;$A51))/1000000,0),IF($A$2="SKEW",IFERROR(VALUE(IF(RTD("tos.rtd",,"IMPL_VOL","."&amp;M$2&amp;M$1&amp;"P"&amp;$A51)="N/A",0,RTD("tos.rtd",,"IMPL_VOL","."&amp;M$2&amp;M$1&amp;"P"&amp;$A51))),0)-IFERROR(VALUE(IF(RTD("tos.rtd",,"IMPL_VOL","."&amp;M$2&amp;M$1&amp;"C"&amp;$A51)="N/A",0,RTD("tos.rtd",,"IMPL_VOL","."&amp;M$2&amp;M$1&amp;"C"&amp;$A51))),0),IF($A$2="MAXPAIN",IF($A$4&gt;$A51,($A$4-$A51)*IF(RTD("tos.rtd",,"OPEN_INT","."&amp;M$2&amp;M$1&amp;"C"&amp;$A51)="N/A",0,RTD("tos.rtd",,"OPEN_INT","."&amp;M$2&amp;M$1&amp;"C"&amp;$A51)),0)+IF($A$4&lt;$A51,($A51-$A$4)*IF(RTD("tos.rtd",,"OPEN_INT","."&amp;M$2&amp;M$1&amp;"P"&amp;$A51)="N/A",0,RTD("tos.rtd",,"OPEN_INT","."&amp;M$2&amp;M$1&amp;"P"&amp;$A51)),0),IF(RTD("tos.rtd",,$A$2,"."&amp;M$2&amp;M$1&amp;"C"&amp;$A51)="N/A",0,RTD("tos.rtd",,$A$2,"."&amp;M$2&amp;M$1&amp;"C"&amp;$A51))-IF(RTD("tos.rtd",,$A$2,"."&amp;M$2&amp;M$1&amp;"P"&amp;$A51)="N/A",0,RTD("tos.rtd",,$A$2,"."&amp;M$2&amp;M$1&amp;"P"&amp;$A51)))))))))</f>
        <v>0</v>
      </c>
      <c r="N51" s="16">
        <f>IF($A$2="PREMIUM_OI",IFERROR((100*RTD("tos.rtd",,"OPEN_INT","."&amp;N$2&amp;N$1&amp;"C"&amp;$A51)*RTD("tos.rtd",,"LAST","."&amp;N$2&amp;N$1&amp;"C"&amp;$A51)-100*RTD("tos.rtd",,"OPEN_INT","."&amp;N$2&amp;N$1&amp;"P"&amp;$A51)*RTD("tos.rtd",,"LAST","."&amp;N$2&amp;N$1&amp;"P"&amp;$A51))/1000000,0),IF($A$2="PREMIUM",IFERROR((100*RTD("tos.rtd",,"VOLUME","."&amp;N$2&amp;N$1&amp;"C"&amp;$A51)*RTD("tos.rtd",,"LAST","."&amp;N$2&amp;N$1&amp;"C"&amp;$A51)-100*RTD("tos.rtd",,"VOLUME","."&amp;N$2&amp;N$1&amp;"P"&amp;$A51)*RTD("tos.rtd",,"LAST","."&amp;N$2&amp;N$1&amp;"P"&amp;$A51))/1000000,0),IF($A$2="DEX",IFERROR((100*RTD("tos.rtd",,"OPEN_INT","."&amp;N$2&amp;N$1&amp;"C"&amp;$A51)*RTD("tos.rtd",,"DELTA","."&amp;N$2&amp;N$1&amp;"C"&amp;$A51)-100*RTD("tos.rtd",,"OPEN_INT","."&amp;N$2&amp;N$1&amp;"P"&amp;$A51)*RTD("tos.rtd",,"DELTA","."&amp;N$2&amp;N$1&amp;"P"&amp;$A51))/1000,0),IF($A$2="VEX",IFERROR(($A$4*$A$4*RTD("tos.rtd",,"VOLUME","."&amp;N$2&amp;N$1&amp;"C"&amp;$A51)*RTD("tos.rtd",,"GAMMA","."&amp;N$2&amp;N$1&amp;"C"&amp;$A51)-$A$4*$A$4*RTD("tos.rtd",,"VOLUME","."&amp;N$2&amp;N$1&amp;"P"&amp;$A51)*RTD("tos.rtd",,"GAMMA","."&amp;N$2&amp;N$1&amp;"P"&amp;$A51))/1000000,0),IF($A$2="GEX",IFERROR(($A$4*$A$4*RTD("tos.rtd",,"OPEN_INT","."&amp;N$2&amp;N$1&amp;"C"&amp;$A51)*RTD("tos.rtd",,"GAMMA","."&amp;N$2&amp;N$1&amp;"C"&amp;$A51)-$A$4*$A$4*RTD("tos.rtd",,"OPEN_INT","."&amp;N$2&amp;N$1&amp;"P"&amp;$A51)*RTD("tos.rtd",,"GAMMA","."&amp;N$2&amp;N$1&amp;"P"&amp;$A51))/1000000,0),IF($A$2="SKEW",IFERROR(VALUE(IF(RTD("tos.rtd",,"IMPL_VOL","."&amp;N$2&amp;N$1&amp;"P"&amp;$A51)="N/A",0,RTD("tos.rtd",,"IMPL_VOL","."&amp;N$2&amp;N$1&amp;"P"&amp;$A51))),0)-IFERROR(VALUE(IF(RTD("tos.rtd",,"IMPL_VOL","."&amp;N$2&amp;N$1&amp;"C"&amp;$A51)="N/A",0,RTD("tos.rtd",,"IMPL_VOL","."&amp;N$2&amp;N$1&amp;"C"&amp;$A51))),0),IF($A$2="MAXPAIN",IF($A$4&gt;$A51,($A$4-$A51)*IF(RTD("tos.rtd",,"OPEN_INT","."&amp;N$2&amp;N$1&amp;"C"&amp;$A51)="N/A",0,RTD("tos.rtd",,"OPEN_INT","."&amp;N$2&amp;N$1&amp;"C"&amp;$A51)),0)+IF($A$4&lt;$A51,($A51-$A$4)*IF(RTD("tos.rtd",,"OPEN_INT","."&amp;N$2&amp;N$1&amp;"P"&amp;$A51)="N/A",0,RTD("tos.rtd",,"OPEN_INT","."&amp;N$2&amp;N$1&amp;"P"&amp;$A51)),0),IF(RTD("tos.rtd",,$A$2,"."&amp;N$2&amp;N$1&amp;"C"&amp;$A51)="N/A",0,RTD("tos.rtd",,$A$2,"."&amp;N$2&amp;N$1&amp;"C"&amp;$A51))-IF(RTD("tos.rtd",,$A$2,"."&amp;N$2&amp;N$1&amp;"P"&amp;$A51)="N/A",0,RTD("tos.rtd",,$A$2,"."&amp;N$2&amp;N$1&amp;"P"&amp;$A51)))))))))</f>
        <v>0</v>
      </c>
      <c r="O51" s="16">
        <f>IF($A$2="PREMIUM_OI",IFERROR((100*RTD("tos.rtd",,"OPEN_INT","."&amp;O$2&amp;O$1&amp;"C"&amp;$A51)*RTD("tos.rtd",,"LAST","."&amp;O$2&amp;O$1&amp;"C"&amp;$A51)-100*RTD("tos.rtd",,"OPEN_INT","."&amp;O$2&amp;O$1&amp;"P"&amp;$A51)*RTD("tos.rtd",,"LAST","."&amp;O$2&amp;O$1&amp;"P"&amp;$A51))/1000000,0),IF($A$2="PREMIUM",IFERROR((100*RTD("tos.rtd",,"VOLUME","."&amp;O$2&amp;O$1&amp;"C"&amp;$A51)*RTD("tos.rtd",,"LAST","."&amp;O$2&amp;O$1&amp;"C"&amp;$A51)-100*RTD("tos.rtd",,"VOLUME","."&amp;O$2&amp;O$1&amp;"P"&amp;$A51)*RTD("tos.rtd",,"LAST","."&amp;O$2&amp;O$1&amp;"P"&amp;$A51))/1000000,0),IF($A$2="DEX",IFERROR((100*RTD("tos.rtd",,"OPEN_INT","."&amp;O$2&amp;O$1&amp;"C"&amp;$A51)*RTD("tos.rtd",,"DELTA","."&amp;O$2&amp;O$1&amp;"C"&amp;$A51)-100*RTD("tos.rtd",,"OPEN_INT","."&amp;O$2&amp;O$1&amp;"P"&amp;$A51)*RTD("tos.rtd",,"DELTA","."&amp;O$2&amp;O$1&amp;"P"&amp;$A51))/1000,0),IF($A$2="VEX",IFERROR(($A$4*$A$4*RTD("tos.rtd",,"VOLUME","."&amp;O$2&amp;O$1&amp;"C"&amp;$A51)*RTD("tos.rtd",,"GAMMA","."&amp;O$2&amp;O$1&amp;"C"&amp;$A51)-$A$4*$A$4*RTD("tos.rtd",,"VOLUME","."&amp;O$2&amp;O$1&amp;"P"&amp;$A51)*RTD("tos.rtd",,"GAMMA","."&amp;O$2&amp;O$1&amp;"P"&amp;$A51))/1000000,0),IF($A$2="GEX",IFERROR(($A$4*$A$4*RTD("tos.rtd",,"OPEN_INT","."&amp;O$2&amp;O$1&amp;"C"&amp;$A51)*RTD("tos.rtd",,"GAMMA","."&amp;O$2&amp;O$1&amp;"C"&amp;$A51)-$A$4*$A$4*RTD("tos.rtd",,"OPEN_INT","."&amp;O$2&amp;O$1&amp;"P"&amp;$A51)*RTD("tos.rtd",,"GAMMA","."&amp;O$2&amp;O$1&amp;"P"&amp;$A51))/1000000,0),IF($A$2="SKEW",IFERROR(VALUE(IF(RTD("tos.rtd",,"IMPL_VOL","."&amp;O$2&amp;O$1&amp;"P"&amp;$A51)="N/A",0,RTD("tos.rtd",,"IMPL_VOL","."&amp;O$2&amp;O$1&amp;"P"&amp;$A51))),0)-IFERROR(VALUE(IF(RTD("tos.rtd",,"IMPL_VOL","."&amp;O$2&amp;O$1&amp;"C"&amp;$A51)="N/A",0,RTD("tos.rtd",,"IMPL_VOL","."&amp;O$2&amp;O$1&amp;"C"&amp;$A51))),0),IF($A$2="MAXPAIN",IF($A$4&gt;$A51,($A$4-$A51)*IF(RTD("tos.rtd",,"OPEN_INT","."&amp;O$2&amp;O$1&amp;"C"&amp;$A51)="N/A",0,RTD("tos.rtd",,"OPEN_INT","."&amp;O$2&amp;O$1&amp;"C"&amp;$A51)),0)+IF($A$4&lt;$A51,($A51-$A$4)*IF(RTD("tos.rtd",,"OPEN_INT","."&amp;O$2&amp;O$1&amp;"P"&amp;$A51)="N/A",0,RTD("tos.rtd",,"OPEN_INT","."&amp;O$2&amp;O$1&amp;"P"&amp;$A51)),0),IF(RTD("tos.rtd",,$A$2,"."&amp;O$2&amp;O$1&amp;"C"&amp;$A51)="N/A",0,RTD("tos.rtd",,$A$2,"."&amp;O$2&amp;O$1&amp;"C"&amp;$A51))-IF(RTD("tos.rtd",,$A$2,"."&amp;O$2&amp;O$1&amp;"P"&amp;$A51)="N/A",0,RTD("tos.rtd",,$A$2,"."&amp;O$2&amp;O$1&amp;"P"&amp;$A51)))))))))</f>
        <v>0</v>
      </c>
      <c r="P51" s="16">
        <f>IF($A$2="PREMIUM_OI",IFERROR((100*RTD("tos.rtd",,"OPEN_INT","."&amp;P$2&amp;P$1&amp;"C"&amp;$A51)*RTD("tos.rtd",,"LAST","."&amp;P$2&amp;P$1&amp;"C"&amp;$A51)-100*RTD("tos.rtd",,"OPEN_INT","."&amp;P$2&amp;P$1&amp;"P"&amp;$A51)*RTD("tos.rtd",,"LAST","."&amp;P$2&amp;P$1&amp;"P"&amp;$A51))/1000000,0),IF($A$2="PREMIUM",IFERROR((100*RTD("tos.rtd",,"VOLUME","."&amp;P$2&amp;P$1&amp;"C"&amp;$A51)*RTD("tos.rtd",,"LAST","."&amp;P$2&amp;P$1&amp;"C"&amp;$A51)-100*RTD("tos.rtd",,"VOLUME","."&amp;P$2&amp;P$1&amp;"P"&amp;$A51)*RTD("tos.rtd",,"LAST","."&amp;P$2&amp;P$1&amp;"P"&amp;$A51))/1000000,0),IF($A$2="DEX",IFERROR((100*RTD("tos.rtd",,"OPEN_INT","."&amp;P$2&amp;P$1&amp;"C"&amp;$A51)*RTD("tos.rtd",,"DELTA","."&amp;P$2&amp;P$1&amp;"C"&amp;$A51)-100*RTD("tos.rtd",,"OPEN_INT","."&amp;P$2&amp;P$1&amp;"P"&amp;$A51)*RTD("tos.rtd",,"DELTA","."&amp;P$2&amp;P$1&amp;"P"&amp;$A51))/1000,0),IF($A$2="VEX",IFERROR(($A$4*$A$4*RTD("tos.rtd",,"VOLUME","."&amp;P$2&amp;P$1&amp;"C"&amp;$A51)*RTD("tos.rtd",,"GAMMA","."&amp;P$2&amp;P$1&amp;"C"&amp;$A51)-$A$4*$A$4*RTD("tos.rtd",,"VOLUME","."&amp;P$2&amp;P$1&amp;"P"&amp;$A51)*RTD("tos.rtd",,"GAMMA","."&amp;P$2&amp;P$1&amp;"P"&amp;$A51))/1000000,0),IF($A$2="GEX",IFERROR(($A$4*$A$4*RTD("tos.rtd",,"OPEN_INT","."&amp;P$2&amp;P$1&amp;"C"&amp;$A51)*RTD("tos.rtd",,"GAMMA","."&amp;P$2&amp;P$1&amp;"C"&amp;$A51)-$A$4*$A$4*RTD("tos.rtd",,"OPEN_INT","."&amp;P$2&amp;P$1&amp;"P"&amp;$A51)*RTD("tos.rtd",,"GAMMA","."&amp;P$2&amp;P$1&amp;"P"&amp;$A51))/1000000,0),IF($A$2="SKEW",IFERROR(VALUE(IF(RTD("tos.rtd",,"IMPL_VOL","."&amp;P$2&amp;P$1&amp;"P"&amp;$A51)="N/A",0,RTD("tos.rtd",,"IMPL_VOL","."&amp;P$2&amp;P$1&amp;"P"&amp;$A51))),0)-IFERROR(VALUE(IF(RTD("tos.rtd",,"IMPL_VOL","."&amp;P$2&amp;P$1&amp;"C"&amp;$A51)="N/A",0,RTD("tos.rtd",,"IMPL_VOL","."&amp;P$2&amp;P$1&amp;"C"&amp;$A51))),0),IF($A$2="MAXPAIN",IF($A$4&gt;$A51,($A$4-$A51)*IF(RTD("tos.rtd",,"OPEN_INT","."&amp;P$2&amp;P$1&amp;"C"&amp;$A51)="N/A",0,RTD("tos.rtd",,"OPEN_INT","."&amp;P$2&amp;P$1&amp;"C"&amp;$A51)),0)+IF($A$4&lt;$A51,($A51-$A$4)*IF(RTD("tos.rtd",,"OPEN_INT","."&amp;P$2&amp;P$1&amp;"P"&amp;$A51)="N/A",0,RTD("tos.rtd",,"OPEN_INT","."&amp;P$2&amp;P$1&amp;"P"&amp;$A51)),0),IF(RTD("tos.rtd",,$A$2,"."&amp;P$2&amp;P$1&amp;"C"&amp;$A51)="N/A",0,RTD("tos.rtd",,$A$2,"."&amp;P$2&amp;P$1&amp;"C"&amp;$A51))-IF(RTD("tos.rtd",,$A$2,"."&amp;P$2&amp;P$1&amp;"P"&amp;$A51)="N/A",0,RTD("tos.rtd",,$A$2,"."&amp;P$2&amp;P$1&amp;"P"&amp;$A51)))))))))</f>
        <v>0</v>
      </c>
      <c r="Q51" s="16">
        <f>IF($A$2="PREMIUM_OI",IFERROR((100*RTD("tos.rtd",,"OPEN_INT","."&amp;Q$2&amp;Q$1&amp;"C"&amp;$A51)*RTD("tos.rtd",,"LAST","."&amp;Q$2&amp;Q$1&amp;"C"&amp;$A51)-100*RTD("tos.rtd",,"OPEN_INT","."&amp;Q$2&amp;Q$1&amp;"P"&amp;$A51)*RTD("tos.rtd",,"LAST","."&amp;Q$2&amp;Q$1&amp;"P"&amp;$A51))/1000000,0),IF($A$2="PREMIUM",IFERROR((100*RTD("tos.rtd",,"VOLUME","."&amp;Q$2&amp;Q$1&amp;"C"&amp;$A51)*RTD("tos.rtd",,"LAST","."&amp;Q$2&amp;Q$1&amp;"C"&amp;$A51)-100*RTD("tos.rtd",,"VOLUME","."&amp;Q$2&amp;Q$1&amp;"P"&amp;$A51)*RTD("tos.rtd",,"LAST","."&amp;Q$2&amp;Q$1&amp;"P"&amp;$A51))/1000000,0),IF($A$2="DEX",IFERROR((100*RTD("tos.rtd",,"OPEN_INT","."&amp;Q$2&amp;Q$1&amp;"C"&amp;$A51)*RTD("tos.rtd",,"DELTA","."&amp;Q$2&amp;Q$1&amp;"C"&amp;$A51)-100*RTD("tos.rtd",,"OPEN_INT","."&amp;Q$2&amp;Q$1&amp;"P"&amp;$A51)*RTD("tos.rtd",,"DELTA","."&amp;Q$2&amp;Q$1&amp;"P"&amp;$A51))/1000,0),IF($A$2="VEX",IFERROR(($A$4*$A$4*RTD("tos.rtd",,"VOLUME","."&amp;Q$2&amp;Q$1&amp;"C"&amp;$A51)*RTD("tos.rtd",,"GAMMA","."&amp;Q$2&amp;Q$1&amp;"C"&amp;$A51)-$A$4*$A$4*RTD("tos.rtd",,"VOLUME","."&amp;Q$2&amp;Q$1&amp;"P"&amp;$A51)*RTD("tos.rtd",,"GAMMA","."&amp;Q$2&amp;Q$1&amp;"P"&amp;$A51))/1000000,0),IF($A$2="GEX",IFERROR(($A$4*$A$4*RTD("tos.rtd",,"OPEN_INT","."&amp;Q$2&amp;Q$1&amp;"C"&amp;$A51)*RTD("tos.rtd",,"GAMMA","."&amp;Q$2&amp;Q$1&amp;"C"&amp;$A51)-$A$4*$A$4*RTD("tos.rtd",,"OPEN_INT","."&amp;Q$2&amp;Q$1&amp;"P"&amp;$A51)*RTD("tos.rtd",,"GAMMA","."&amp;Q$2&amp;Q$1&amp;"P"&amp;$A51))/1000000,0),IF($A$2="SKEW",IFERROR(VALUE(IF(RTD("tos.rtd",,"IMPL_VOL","."&amp;Q$2&amp;Q$1&amp;"P"&amp;$A51)="N/A",0,RTD("tos.rtd",,"IMPL_VOL","."&amp;Q$2&amp;Q$1&amp;"P"&amp;$A51))),0)-IFERROR(VALUE(IF(RTD("tos.rtd",,"IMPL_VOL","."&amp;Q$2&amp;Q$1&amp;"C"&amp;$A51)="N/A",0,RTD("tos.rtd",,"IMPL_VOL","."&amp;Q$2&amp;Q$1&amp;"C"&amp;$A51))),0),IF($A$2="MAXPAIN",IF($A$4&gt;$A51,($A$4-$A51)*IF(RTD("tos.rtd",,"OPEN_INT","."&amp;Q$2&amp;Q$1&amp;"C"&amp;$A51)="N/A",0,RTD("tos.rtd",,"OPEN_INT","."&amp;Q$2&amp;Q$1&amp;"C"&amp;$A51)),0)+IF($A$4&lt;$A51,($A51-$A$4)*IF(RTD("tos.rtd",,"OPEN_INT","."&amp;Q$2&amp;Q$1&amp;"P"&amp;$A51)="N/A",0,RTD("tos.rtd",,"OPEN_INT","."&amp;Q$2&amp;Q$1&amp;"P"&amp;$A51)),0),IF(RTD("tos.rtd",,$A$2,"."&amp;Q$2&amp;Q$1&amp;"C"&amp;$A51)="N/A",0,RTD("tos.rtd",,$A$2,"."&amp;Q$2&amp;Q$1&amp;"C"&amp;$A51))-IF(RTD("tos.rtd",,$A$2,"."&amp;Q$2&amp;Q$1&amp;"P"&amp;$A51)="N/A",0,RTD("tos.rtd",,$A$2,"."&amp;Q$2&amp;Q$1&amp;"P"&amp;$A51)))))))))</f>
        <v>0</v>
      </c>
      <c r="R51" s="16">
        <f>IF($A$2="PREMIUM_OI",IFERROR((100*RTD("tos.rtd",,"OPEN_INT","."&amp;R$2&amp;R$1&amp;"C"&amp;$A51)*RTD("tos.rtd",,"LAST","."&amp;R$2&amp;R$1&amp;"C"&amp;$A51)-100*RTD("tos.rtd",,"OPEN_INT","."&amp;R$2&amp;R$1&amp;"P"&amp;$A51)*RTD("tos.rtd",,"LAST","."&amp;R$2&amp;R$1&amp;"P"&amp;$A51))/1000000,0),IF($A$2="PREMIUM",IFERROR((100*RTD("tos.rtd",,"VOLUME","."&amp;R$2&amp;R$1&amp;"C"&amp;$A51)*RTD("tos.rtd",,"LAST","."&amp;R$2&amp;R$1&amp;"C"&amp;$A51)-100*RTD("tos.rtd",,"VOLUME","."&amp;R$2&amp;R$1&amp;"P"&amp;$A51)*RTD("tos.rtd",,"LAST","."&amp;R$2&amp;R$1&amp;"P"&amp;$A51))/1000000,0),IF($A$2="DEX",IFERROR((100*RTD("tos.rtd",,"OPEN_INT","."&amp;R$2&amp;R$1&amp;"C"&amp;$A51)*RTD("tos.rtd",,"DELTA","."&amp;R$2&amp;R$1&amp;"C"&amp;$A51)-100*RTD("tos.rtd",,"OPEN_INT","."&amp;R$2&amp;R$1&amp;"P"&amp;$A51)*RTD("tos.rtd",,"DELTA","."&amp;R$2&amp;R$1&amp;"P"&amp;$A51))/1000,0),IF($A$2="VEX",IFERROR(($A$4*$A$4*RTD("tos.rtd",,"VOLUME","."&amp;R$2&amp;R$1&amp;"C"&amp;$A51)*RTD("tos.rtd",,"GAMMA","."&amp;R$2&amp;R$1&amp;"C"&amp;$A51)-$A$4*$A$4*RTD("tos.rtd",,"VOLUME","."&amp;R$2&amp;R$1&amp;"P"&amp;$A51)*RTD("tos.rtd",,"GAMMA","."&amp;R$2&amp;R$1&amp;"P"&amp;$A51))/1000000,0),IF($A$2="GEX",IFERROR(($A$4*$A$4*RTD("tos.rtd",,"OPEN_INT","."&amp;R$2&amp;R$1&amp;"C"&amp;$A51)*RTD("tos.rtd",,"GAMMA","."&amp;R$2&amp;R$1&amp;"C"&amp;$A51)-$A$4*$A$4*RTD("tos.rtd",,"OPEN_INT","."&amp;R$2&amp;R$1&amp;"P"&amp;$A51)*RTD("tos.rtd",,"GAMMA","."&amp;R$2&amp;R$1&amp;"P"&amp;$A51))/1000000,0),IF($A$2="SKEW",IFERROR(VALUE(IF(RTD("tos.rtd",,"IMPL_VOL","."&amp;R$2&amp;R$1&amp;"P"&amp;$A51)="N/A",0,RTD("tos.rtd",,"IMPL_VOL","."&amp;R$2&amp;R$1&amp;"P"&amp;$A51))),0)-IFERROR(VALUE(IF(RTD("tos.rtd",,"IMPL_VOL","."&amp;R$2&amp;R$1&amp;"C"&amp;$A51)="N/A",0,RTD("tos.rtd",,"IMPL_VOL","."&amp;R$2&amp;R$1&amp;"C"&amp;$A51))),0),IF($A$2="MAXPAIN",IF($A$4&gt;$A51,($A$4-$A51)*IF(RTD("tos.rtd",,"OPEN_INT","."&amp;R$2&amp;R$1&amp;"C"&amp;$A51)="N/A",0,RTD("tos.rtd",,"OPEN_INT","."&amp;R$2&amp;R$1&amp;"C"&amp;$A51)),0)+IF($A$4&lt;$A51,($A51-$A$4)*IF(RTD("tos.rtd",,"OPEN_INT","."&amp;R$2&amp;R$1&amp;"P"&amp;$A51)="N/A",0,RTD("tos.rtd",,"OPEN_INT","."&amp;R$2&amp;R$1&amp;"P"&amp;$A51)),0),IF(RTD("tos.rtd",,$A$2,"."&amp;R$2&amp;R$1&amp;"C"&amp;$A51)="N/A",0,RTD("tos.rtd",,$A$2,"."&amp;R$2&amp;R$1&amp;"C"&amp;$A51))-IF(RTD("tos.rtd",,$A$2,"."&amp;R$2&amp;R$1&amp;"P"&amp;$A51)="N/A",0,RTD("tos.rtd",,$A$2,"."&amp;R$2&amp;R$1&amp;"P"&amp;$A51)))))))))</f>
        <v>0</v>
      </c>
      <c r="S51" s="16">
        <f>IF($A$2="PREMIUM_OI",IFERROR((100*RTD("tos.rtd",,"OPEN_INT","."&amp;S$2&amp;S$1&amp;"C"&amp;$A51)*RTD("tos.rtd",,"LAST","."&amp;S$2&amp;S$1&amp;"C"&amp;$A51)-100*RTD("tos.rtd",,"OPEN_INT","."&amp;S$2&amp;S$1&amp;"P"&amp;$A51)*RTD("tos.rtd",,"LAST","."&amp;S$2&amp;S$1&amp;"P"&amp;$A51))/1000000,0),IF($A$2="PREMIUM",IFERROR((100*RTD("tos.rtd",,"VOLUME","."&amp;S$2&amp;S$1&amp;"C"&amp;$A51)*RTD("tos.rtd",,"LAST","."&amp;S$2&amp;S$1&amp;"C"&amp;$A51)-100*RTD("tos.rtd",,"VOLUME","."&amp;S$2&amp;S$1&amp;"P"&amp;$A51)*RTD("tos.rtd",,"LAST","."&amp;S$2&amp;S$1&amp;"P"&amp;$A51))/1000000,0),IF($A$2="DEX",IFERROR((100*RTD("tos.rtd",,"OPEN_INT","."&amp;S$2&amp;S$1&amp;"C"&amp;$A51)*RTD("tos.rtd",,"DELTA","."&amp;S$2&amp;S$1&amp;"C"&amp;$A51)-100*RTD("tos.rtd",,"OPEN_INT","."&amp;S$2&amp;S$1&amp;"P"&amp;$A51)*RTD("tos.rtd",,"DELTA","."&amp;S$2&amp;S$1&amp;"P"&amp;$A51))/1000,0),IF($A$2="VEX",IFERROR(($A$4*$A$4*RTD("tos.rtd",,"VOLUME","."&amp;S$2&amp;S$1&amp;"C"&amp;$A51)*RTD("tos.rtd",,"GAMMA","."&amp;S$2&amp;S$1&amp;"C"&amp;$A51)-$A$4*$A$4*RTD("tos.rtd",,"VOLUME","."&amp;S$2&amp;S$1&amp;"P"&amp;$A51)*RTD("tos.rtd",,"GAMMA","."&amp;S$2&amp;S$1&amp;"P"&amp;$A51))/1000000,0),IF($A$2="GEX",IFERROR(($A$4*$A$4*RTD("tos.rtd",,"OPEN_INT","."&amp;S$2&amp;S$1&amp;"C"&amp;$A51)*RTD("tos.rtd",,"GAMMA","."&amp;S$2&amp;S$1&amp;"C"&amp;$A51)-$A$4*$A$4*RTD("tos.rtd",,"OPEN_INT","."&amp;S$2&amp;S$1&amp;"P"&amp;$A51)*RTD("tos.rtd",,"GAMMA","."&amp;S$2&amp;S$1&amp;"P"&amp;$A51))/1000000,0),IF($A$2="SKEW",IFERROR(VALUE(IF(RTD("tos.rtd",,"IMPL_VOL","."&amp;S$2&amp;S$1&amp;"P"&amp;$A51)="N/A",0,RTD("tos.rtd",,"IMPL_VOL","."&amp;S$2&amp;S$1&amp;"P"&amp;$A51))),0)-IFERROR(VALUE(IF(RTD("tos.rtd",,"IMPL_VOL","."&amp;S$2&amp;S$1&amp;"C"&amp;$A51)="N/A",0,RTD("tos.rtd",,"IMPL_VOL","."&amp;S$2&amp;S$1&amp;"C"&amp;$A51))),0),IF($A$2="MAXPAIN",IF($A$4&gt;$A51,($A$4-$A51)*IF(RTD("tos.rtd",,"OPEN_INT","."&amp;S$2&amp;S$1&amp;"C"&amp;$A51)="N/A",0,RTD("tos.rtd",,"OPEN_INT","."&amp;S$2&amp;S$1&amp;"C"&amp;$A51)),0)+IF($A$4&lt;$A51,($A51-$A$4)*IF(RTD("tos.rtd",,"OPEN_INT","."&amp;S$2&amp;S$1&amp;"P"&amp;$A51)="N/A",0,RTD("tos.rtd",,"OPEN_INT","."&amp;S$2&amp;S$1&amp;"P"&amp;$A51)),0),IF(RTD("tos.rtd",,$A$2,"."&amp;S$2&amp;S$1&amp;"C"&amp;$A51)="N/A",0,RTD("tos.rtd",,$A$2,"."&amp;S$2&amp;S$1&amp;"C"&amp;$A51))-IF(RTD("tos.rtd",,$A$2,"."&amp;S$2&amp;S$1&amp;"P"&amp;$A51)="N/A",0,RTD("tos.rtd",,$A$2,"."&amp;S$2&amp;S$1&amp;"P"&amp;$A51)))))))))</f>
        <v>0</v>
      </c>
      <c r="T51" s="16">
        <f>IF($A$2="PREMIUM_OI",IFERROR((100*RTD("tos.rtd",,"OPEN_INT","."&amp;T$2&amp;T$1&amp;"C"&amp;$A51)*RTD("tos.rtd",,"LAST","."&amp;T$2&amp;T$1&amp;"C"&amp;$A51)-100*RTD("tos.rtd",,"OPEN_INT","."&amp;T$2&amp;T$1&amp;"P"&amp;$A51)*RTD("tos.rtd",,"LAST","."&amp;T$2&amp;T$1&amp;"P"&amp;$A51))/1000000,0),IF($A$2="PREMIUM",IFERROR((100*RTD("tos.rtd",,"VOLUME","."&amp;T$2&amp;T$1&amp;"C"&amp;$A51)*RTD("tos.rtd",,"LAST","."&amp;T$2&amp;T$1&amp;"C"&amp;$A51)-100*RTD("tos.rtd",,"VOLUME","."&amp;T$2&amp;T$1&amp;"P"&amp;$A51)*RTD("tos.rtd",,"LAST","."&amp;T$2&amp;T$1&amp;"P"&amp;$A51))/1000000,0),IF($A$2="DEX",IFERROR((100*RTD("tos.rtd",,"OPEN_INT","."&amp;T$2&amp;T$1&amp;"C"&amp;$A51)*RTD("tos.rtd",,"DELTA","."&amp;T$2&amp;T$1&amp;"C"&amp;$A51)-100*RTD("tos.rtd",,"OPEN_INT","."&amp;T$2&amp;T$1&amp;"P"&amp;$A51)*RTD("tos.rtd",,"DELTA","."&amp;T$2&amp;T$1&amp;"P"&amp;$A51))/1000,0),IF($A$2="VEX",IFERROR(($A$4*$A$4*RTD("tos.rtd",,"VOLUME","."&amp;T$2&amp;T$1&amp;"C"&amp;$A51)*RTD("tos.rtd",,"GAMMA","."&amp;T$2&amp;T$1&amp;"C"&amp;$A51)-$A$4*$A$4*RTD("tos.rtd",,"VOLUME","."&amp;T$2&amp;T$1&amp;"P"&amp;$A51)*RTD("tos.rtd",,"GAMMA","."&amp;T$2&amp;T$1&amp;"P"&amp;$A51))/1000000,0),IF($A$2="GEX",IFERROR(($A$4*$A$4*RTD("tos.rtd",,"OPEN_INT","."&amp;T$2&amp;T$1&amp;"C"&amp;$A51)*RTD("tos.rtd",,"GAMMA","."&amp;T$2&amp;T$1&amp;"C"&amp;$A51)-$A$4*$A$4*RTD("tos.rtd",,"OPEN_INT","."&amp;T$2&amp;T$1&amp;"P"&amp;$A51)*RTD("tos.rtd",,"GAMMA","."&amp;T$2&amp;T$1&amp;"P"&amp;$A51))/1000000,0),IF($A$2="SKEW",IFERROR(VALUE(IF(RTD("tos.rtd",,"IMPL_VOL","."&amp;T$2&amp;T$1&amp;"P"&amp;$A51)="N/A",0,RTD("tos.rtd",,"IMPL_VOL","."&amp;T$2&amp;T$1&amp;"P"&amp;$A51))),0)-IFERROR(VALUE(IF(RTD("tos.rtd",,"IMPL_VOL","."&amp;T$2&amp;T$1&amp;"C"&amp;$A51)="N/A",0,RTD("tos.rtd",,"IMPL_VOL","."&amp;T$2&amp;T$1&amp;"C"&amp;$A51))),0),IF($A$2="MAXPAIN",IF($A$4&gt;$A51,($A$4-$A51)*IF(RTD("tos.rtd",,"OPEN_INT","."&amp;T$2&amp;T$1&amp;"C"&amp;$A51)="N/A",0,RTD("tos.rtd",,"OPEN_INT","."&amp;T$2&amp;T$1&amp;"C"&amp;$A51)),0)+IF($A$4&lt;$A51,($A51-$A$4)*IF(RTD("tos.rtd",,"OPEN_INT","."&amp;T$2&amp;T$1&amp;"P"&amp;$A51)="N/A",0,RTD("tos.rtd",,"OPEN_INT","."&amp;T$2&amp;T$1&amp;"P"&amp;$A51)),0),IF(RTD("tos.rtd",,$A$2,"."&amp;T$2&amp;T$1&amp;"C"&amp;$A51)="N/A",0,RTD("tos.rtd",,$A$2,"."&amp;T$2&amp;T$1&amp;"C"&amp;$A51))-IF(RTD("tos.rtd",,$A$2,"."&amp;T$2&amp;T$1&amp;"P"&amp;$A51)="N/A",0,RTD("tos.rtd",,$A$2,"."&amp;T$2&amp;T$1&amp;"P"&amp;$A51)))))))))</f>
        <v>0</v>
      </c>
      <c r="U51" s="16">
        <f>IF($A$2="PREMIUM_OI",IFERROR((100*RTD("tos.rtd",,"OPEN_INT","."&amp;U$2&amp;U$1&amp;"C"&amp;$A51)*RTD("tos.rtd",,"LAST","."&amp;U$2&amp;U$1&amp;"C"&amp;$A51)-100*RTD("tos.rtd",,"OPEN_INT","."&amp;U$2&amp;U$1&amp;"P"&amp;$A51)*RTD("tos.rtd",,"LAST","."&amp;U$2&amp;U$1&amp;"P"&amp;$A51))/1000000,0),IF($A$2="PREMIUM",IFERROR((100*RTD("tos.rtd",,"VOLUME","."&amp;U$2&amp;U$1&amp;"C"&amp;$A51)*RTD("tos.rtd",,"LAST","."&amp;U$2&amp;U$1&amp;"C"&amp;$A51)-100*RTD("tos.rtd",,"VOLUME","."&amp;U$2&amp;U$1&amp;"P"&amp;$A51)*RTD("tos.rtd",,"LAST","."&amp;U$2&amp;U$1&amp;"P"&amp;$A51))/1000000,0),IF($A$2="DEX",IFERROR((100*RTD("tos.rtd",,"OPEN_INT","."&amp;U$2&amp;U$1&amp;"C"&amp;$A51)*RTD("tos.rtd",,"DELTA","."&amp;U$2&amp;U$1&amp;"C"&amp;$A51)-100*RTD("tos.rtd",,"OPEN_INT","."&amp;U$2&amp;U$1&amp;"P"&amp;$A51)*RTD("tos.rtd",,"DELTA","."&amp;U$2&amp;U$1&amp;"P"&amp;$A51))/1000,0),IF($A$2="VEX",IFERROR(($A$4*$A$4*RTD("tos.rtd",,"VOLUME","."&amp;U$2&amp;U$1&amp;"C"&amp;$A51)*RTD("tos.rtd",,"GAMMA","."&amp;U$2&amp;U$1&amp;"C"&amp;$A51)-$A$4*$A$4*RTD("tos.rtd",,"VOLUME","."&amp;U$2&amp;U$1&amp;"P"&amp;$A51)*RTD("tos.rtd",,"GAMMA","."&amp;U$2&amp;U$1&amp;"P"&amp;$A51))/1000000,0),IF($A$2="GEX",IFERROR(($A$4*$A$4*RTD("tos.rtd",,"OPEN_INT","."&amp;U$2&amp;U$1&amp;"C"&amp;$A51)*RTD("tos.rtd",,"GAMMA","."&amp;U$2&amp;U$1&amp;"C"&amp;$A51)-$A$4*$A$4*RTD("tos.rtd",,"OPEN_INT","."&amp;U$2&amp;U$1&amp;"P"&amp;$A51)*RTD("tos.rtd",,"GAMMA","."&amp;U$2&amp;U$1&amp;"P"&amp;$A51))/1000000,0),IF($A$2="SKEW",IFERROR(VALUE(IF(RTD("tos.rtd",,"IMPL_VOL","."&amp;U$2&amp;U$1&amp;"P"&amp;$A51)="N/A",0,RTD("tos.rtd",,"IMPL_VOL","."&amp;U$2&amp;U$1&amp;"P"&amp;$A51))),0)-IFERROR(VALUE(IF(RTD("tos.rtd",,"IMPL_VOL","."&amp;U$2&amp;U$1&amp;"C"&amp;$A51)="N/A",0,RTD("tos.rtd",,"IMPL_VOL","."&amp;U$2&amp;U$1&amp;"C"&amp;$A51))),0),IF($A$2="MAXPAIN",IF($A$4&gt;$A51,($A$4-$A51)*IF(RTD("tos.rtd",,"OPEN_INT","."&amp;U$2&amp;U$1&amp;"C"&amp;$A51)="N/A",0,RTD("tos.rtd",,"OPEN_INT","."&amp;U$2&amp;U$1&amp;"C"&amp;$A51)),0)+IF($A$4&lt;$A51,($A51-$A$4)*IF(RTD("tos.rtd",,"OPEN_INT","."&amp;U$2&amp;U$1&amp;"P"&amp;$A51)="N/A",0,RTD("tos.rtd",,"OPEN_INT","."&amp;U$2&amp;U$1&amp;"P"&amp;$A51)),0),IF(RTD("tos.rtd",,$A$2,"."&amp;U$2&amp;U$1&amp;"C"&amp;$A51)="N/A",0,RTD("tos.rtd",,$A$2,"."&amp;U$2&amp;U$1&amp;"C"&amp;$A51))-IF(RTD("tos.rtd",,$A$2,"."&amp;U$2&amp;U$1&amp;"P"&amp;$A51)="N/A",0,RTD("tos.rtd",,$A$2,"."&amp;U$2&amp;U$1&amp;"P"&amp;$A51)))))))))</f>
        <v>0</v>
      </c>
      <c r="V51" s="16">
        <f>IF($A$2="PREMIUM_OI",IFERROR((100*RTD("tos.rtd",,"OPEN_INT","."&amp;V$2&amp;V$1&amp;"C"&amp;$A51)*RTD("tos.rtd",,"LAST","."&amp;V$2&amp;V$1&amp;"C"&amp;$A51)-100*RTD("tos.rtd",,"OPEN_INT","."&amp;V$2&amp;V$1&amp;"P"&amp;$A51)*RTD("tos.rtd",,"LAST","."&amp;V$2&amp;V$1&amp;"P"&amp;$A51))/1000000,0),IF($A$2="PREMIUM",IFERROR((100*RTD("tos.rtd",,"VOLUME","."&amp;V$2&amp;V$1&amp;"C"&amp;$A51)*RTD("tos.rtd",,"LAST","."&amp;V$2&amp;V$1&amp;"C"&amp;$A51)-100*RTD("tos.rtd",,"VOLUME","."&amp;V$2&amp;V$1&amp;"P"&amp;$A51)*RTD("tos.rtd",,"LAST","."&amp;V$2&amp;V$1&amp;"P"&amp;$A51))/1000000,0),IF($A$2="DEX",IFERROR((100*RTD("tos.rtd",,"OPEN_INT","."&amp;V$2&amp;V$1&amp;"C"&amp;$A51)*RTD("tos.rtd",,"DELTA","."&amp;V$2&amp;V$1&amp;"C"&amp;$A51)-100*RTD("tos.rtd",,"OPEN_INT","."&amp;V$2&amp;V$1&amp;"P"&amp;$A51)*RTD("tos.rtd",,"DELTA","."&amp;V$2&amp;V$1&amp;"P"&amp;$A51))/1000,0),IF($A$2="VEX",IFERROR(($A$4*$A$4*RTD("tos.rtd",,"VOLUME","."&amp;V$2&amp;V$1&amp;"C"&amp;$A51)*RTD("tos.rtd",,"GAMMA","."&amp;V$2&amp;V$1&amp;"C"&amp;$A51)-$A$4*$A$4*RTD("tos.rtd",,"VOLUME","."&amp;V$2&amp;V$1&amp;"P"&amp;$A51)*RTD("tos.rtd",,"GAMMA","."&amp;V$2&amp;V$1&amp;"P"&amp;$A51))/1000000,0),IF($A$2="GEX",IFERROR(($A$4*$A$4*RTD("tos.rtd",,"OPEN_INT","."&amp;V$2&amp;V$1&amp;"C"&amp;$A51)*RTD("tos.rtd",,"GAMMA","."&amp;V$2&amp;V$1&amp;"C"&amp;$A51)-$A$4*$A$4*RTD("tos.rtd",,"OPEN_INT","."&amp;V$2&amp;V$1&amp;"P"&amp;$A51)*RTD("tos.rtd",,"GAMMA","."&amp;V$2&amp;V$1&amp;"P"&amp;$A51))/1000000,0),IF($A$2="SKEW",IFERROR(VALUE(IF(RTD("tos.rtd",,"IMPL_VOL","."&amp;V$2&amp;V$1&amp;"P"&amp;$A51)="N/A",0,RTD("tos.rtd",,"IMPL_VOL","."&amp;V$2&amp;V$1&amp;"P"&amp;$A51))),0)-IFERROR(VALUE(IF(RTD("tos.rtd",,"IMPL_VOL","."&amp;V$2&amp;V$1&amp;"C"&amp;$A51)="N/A",0,RTD("tos.rtd",,"IMPL_VOL","."&amp;V$2&amp;V$1&amp;"C"&amp;$A51))),0),IF($A$2="MAXPAIN",IF($A$4&gt;$A51,($A$4-$A51)*IF(RTD("tos.rtd",,"OPEN_INT","."&amp;V$2&amp;V$1&amp;"C"&amp;$A51)="N/A",0,RTD("tos.rtd",,"OPEN_INT","."&amp;V$2&amp;V$1&amp;"C"&amp;$A51)),0)+IF($A$4&lt;$A51,($A51-$A$4)*IF(RTD("tos.rtd",,"OPEN_INT","."&amp;V$2&amp;V$1&amp;"P"&amp;$A51)="N/A",0,RTD("tos.rtd",,"OPEN_INT","."&amp;V$2&amp;V$1&amp;"P"&amp;$A51)),0),IF(RTD("tos.rtd",,$A$2,"."&amp;V$2&amp;V$1&amp;"C"&amp;$A51)="N/A",0,RTD("tos.rtd",,$A$2,"."&amp;V$2&amp;V$1&amp;"C"&amp;$A51))-IF(RTD("tos.rtd",,$A$2,"."&amp;V$2&amp;V$1&amp;"P"&amp;$A51)="N/A",0,RTD("tos.rtd",,$A$2,"."&amp;V$2&amp;V$1&amp;"P"&amp;$A51)))))))))</f>
        <v>0</v>
      </c>
      <c r="W51" s="16">
        <f>IF($A$2="PREMIUM_OI",IFERROR((100*RTD("tos.rtd",,"OPEN_INT","."&amp;W$2&amp;W$1&amp;"C"&amp;$A51)*RTD("tos.rtd",,"LAST","."&amp;W$2&amp;W$1&amp;"C"&amp;$A51)-100*RTD("tos.rtd",,"OPEN_INT","."&amp;W$2&amp;W$1&amp;"P"&amp;$A51)*RTD("tos.rtd",,"LAST","."&amp;W$2&amp;W$1&amp;"P"&amp;$A51))/1000000,0),IF($A$2="PREMIUM",IFERROR((100*RTD("tos.rtd",,"VOLUME","."&amp;W$2&amp;W$1&amp;"C"&amp;$A51)*RTD("tos.rtd",,"LAST","."&amp;W$2&amp;W$1&amp;"C"&amp;$A51)-100*RTD("tos.rtd",,"VOLUME","."&amp;W$2&amp;W$1&amp;"P"&amp;$A51)*RTD("tos.rtd",,"LAST","."&amp;W$2&amp;W$1&amp;"P"&amp;$A51))/1000000,0),IF($A$2="DEX",IFERROR((100*RTD("tos.rtd",,"OPEN_INT","."&amp;W$2&amp;W$1&amp;"C"&amp;$A51)*RTD("tos.rtd",,"DELTA","."&amp;W$2&amp;W$1&amp;"C"&amp;$A51)-100*RTD("tos.rtd",,"OPEN_INT","."&amp;W$2&amp;W$1&amp;"P"&amp;$A51)*RTD("tos.rtd",,"DELTA","."&amp;W$2&amp;W$1&amp;"P"&amp;$A51))/1000,0),IF($A$2="VEX",IFERROR(($A$4*$A$4*RTD("tos.rtd",,"VOLUME","."&amp;W$2&amp;W$1&amp;"C"&amp;$A51)*RTD("tos.rtd",,"GAMMA","."&amp;W$2&amp;W$1&amp;"C"&amp;$A51)-$A$4*$A$4*RTD("tos.rtd",,"VOLUME","."&amp;W$2&amp;W$1&amp;"P"&amp;$A51)*RTD("tos.rtd",,"GAMMA","."&amp;W$2&amp;W$1&amp;"P"&amp;$A51))/1000000,0),IF($A$2="GEX",IFERROR(($A$4*$A$4*RTD("tos.rtd",,"OPEN_INT","."&amp;W$2&amp;W$1&amp;"C"&amp;$A51)*RTD("tos.rtd",,"GAMMA","."&amp;W$2&amp;W$1&amp;"C"&amp;$A51)-$A$4*$A$4*RTD("tos.rtd",,"OPEN_INT","."&amp;W$2&amp;W$1&amp;"P"&amp;$A51)*RTD("tos.rtd",,"GAMMA","."&amp;W$2&amp;W$1&amp;"P"&amp;$A51))/1000000,0),IF($A$2="SKEW",IFERROR(VALUE(IF(RTD("tos.rtd",,"IMPL_VOL","."&amp;W$2&amp;W$1&amp;"P"&amp;$A51)="N/A",0,RTD("tos.rtd",,"IMPL_VOL","."&amp;W$2&amp;W$1&amp;"P"&amp;$A51))),0)-IFERROR(VALUE(IF(RTD("tos.rtd",,"IMPL_VOL","."&amp;W$2&amp;W$1&amp;"C"&amp;$A51)="N/A",0,RTD("tos.rtd",,"IMPL_VOL","."&amp;W$2&amp;W$1&amp;"C"&amp;$A51))),0),IF($A$2="MAXPAIN",IF($A$4&gt;$A51,($A$4-$A51)*IF(RTD("tos.rtd",,"OPEN_INT","."&amp;W$2&amp;W$1&amp;"C"&amp;$A51)="N/A",0,RTD("tos.rtd",,"OPEN_INT","."&amp;W$2&amp;W$1&amp;"C"&amp;$A51)),0)+IF($A$4&lt;$A51,($A51-$A$4)*IF(RTD("tos.rtd",,"OPEN_INT","."&amp;W$2&amp;W$1&amp;"P"&amp;$A51)="N/A",0,RTD("tos.rtd",,"OPEN_INT","."&amp;W$2&amp;W$1&amp;"P"&amp;$A51)),0),IF(RTD("tos.rtd",,$A$2,"."&amp;W$2&amp;W$1&amp;"C"&amp;$A51)="N/A",0,RTD("tos.rtd",,$A$2,"."&amp;W$2&amp;W$1&amp;"C"&amp;$A51))-IF(RTD("tos.rtd",,$A$2,"."&amp;W$2&amp;W$1&amp;"P"&amp;$A51)="N/A",0,RTD("tos.rtd",,$A$2,"."&amp;W$2&amp;W$1&amp;"P"&amp;$A51)))))))))</f>
        <v>0</v>
      </c>
      <c r="X51" s="12">
        <f t="shared" ca="1" si="7"/>
        <v>0</v>
      </c>
      <c r="Y51" s="27">
        <f t="shared" ca="1" si="8"/>
        <v>0</v>
      </c>
      <c r="AA51" s="35">
        <f>+IF($AJ$1,AJ51,TASTYOHLC!A51)</f>
        <v>0</v>
      </c>
      <c r="AB51" s="8">
        <f>+IF($AJ$1,AK51,TASTYOHLC!B51)</f>
        <v>0</v>
      </c>
      <c r="AC51" s="8">
        <f>+IF($AJ$1,AL51,TASTYOHLC!C51)</f>
        <v>0</v>
      </c>
      <c r="AD51" s="8">
        <f>+IF($AJ$1,AM51,TASTYOHLC!D51)</f>
        <v>0</v>
      </c>
      <c r="AE51" s="8">
        <f>+IF($AJ$1,AN51,TASTYOHLC!E51)</f>
        <v>0</v>
      </c>
      <c r="AF51" s="8"/>
      <c r="AJ51" s="37"/>
    </row>
    <row r="52" spans="1:36" ht="11.1" customHeight="1" x14ac:dyDescent="0.25">
      <c r="A52" s="21"/>
      <c r="B52" s="11">
        <f ca="1">IF(TEXT(NOW(),"YYMMDD")&lt;=B$1,1,0)</f>
        <v>0</v>
      </c>
      <c r="C52" s="11">
        <f t="shared" ref="C52:W52" ca="1" si="14">IF(TEXT(NOW(),"YYMMDD")&lt;=C$1,1,0)</f>
        <v>0</v>
      </c>
      <c r="D52" s="11">
        <f t="shared" ca="1" si="14"/>
        <v>0</v>
      </c>
      <c r="E52" s="11">
        <f t="shared" ca="1" si="14"/>
        <v>0</v>
      </c>
      <c r="F52" s="11">
        <f t="shared" ca="1" si="14"/>
        <v>0</v>
      </c>
      <c r="G52" s="11">
        <f t="shared" ca="1" si="14"/>
        <v>0</v>
      </c>
      <c r="H52" s="11">
        <f t="shared" ca="1" si="14"/>
        <v>0</v>
      </c>
      <c r="I52" s="11">
        <f t="shared" ca="1" si="14"/>
        <v>0</v>
      </c>
      <c r="J52" s="11">
        <f t="shared" ca="1" si="14"/>
        <v>0</v>
      </c>
      <c r="K52" s="11">
        <f t="shared" ca="1" si="14"/>
        <v>0</v>
      </c>
      <c r="L52" s="11">
        <f t="shared" ca="1" si="14"/>
        <v>0</v>
      </c>
      <c r="M52" s="11">
        <f t="shared" ca="1" si="14"/>
        <v>0</v>
      </c>
      <c r="N52" s="11">
        <f t="shared" ca="1" si="14"/>
        <v>0</v>
      </c>
      <c r="O52" s="11">
        <f t="shared" ca="1" si="14"/>
        <v>0</v>
      </c>
      <c r="P52" s="11">
        <f t="shared" ca="1" si="14"/>
        <v>0</v>
      </c>
      <c r="Q52" s="11">
        <f t="shared" ca="1" si="14"/>
        <v>0</v>
      </c>
      <c r="R52" s="11">
        <f t="shared" ca="1" si="14"/>
        <v>0</v>
      </c>
      <c r="S52" s="11">
        <f t="shared" ca="1" si="14"/>
        <v>1</v>
      </c>
      <c r="T52" s="11">
        <f t="shared" ca="1" si="14"/>
        <v>1</v>
      </c>
      <c r="U52" s="11">
        <f t="shared" ca="1" si="14"/>
        <v>1</v>
      </c>
      <c r="V52" s="11">
        <f t="shared" ca="1" si="14"/>
        <v>1</v>
      </c>
      <c r="W52" s="11">
        <f t="shared" ca="1" si="14"/>
        <v>1</v>
      </c>
      <c r="Y52" s="7">
        <f ca="1">INDEX(A5:A51,MATCH(MIN(Y5:Y51),Y5:Y51,0))</f>
        <v>0.5</v>
      </c>
      <c r="AA52" s="35">
        <f>+IF($AJ$1,AJ52,TASTYOHLC!A52)</f>
        <v>0</v>
      </c>
      <c r="AB52" s="8">
        <f>+IF($AJ$1,AK52,TASTYOHLC!B52)</f>
        <v>0</v>
      </c>
      <c r="AC52" s="8">
        <f>+IF($AJ$1,AL52,TASTYOHLC!C52)</f>
        <v>0</v>
      </c>
      <c r="AD52" s="8">
        <f>+IF($AJ$1,AM52,TASTYOHLC!D52)</f>
        <v>0</v>
      </c>
      <c r="AE52" s="8">
        <f>+IF($AJ$1,AN52,TASTYOHLC!E52)</f>
        <v>0</v>
      </c>
      <c r="AF52" s="8"/>
      <c r="AJ52" s="37"/>
    </row>
    <row r="53" spans="1:36" ht="11.1" customHeight="1" x14ac:dyDescent="0.25">
      <c r="B53" s="11">
        <f>INDEX($A$5:$A$51,MATCH(MAX(B5:B51),B5:B51,0))</f>
        <v>19.5</v>
      </c>
      <c r="C53" s="11">
        <f t="shared" ref="C53:X53" si="15">INDEX($A$5:$A$51,MATCH(MAX(C5:C51),C5:C51,0))</f>
        <v>9</v>
      </c>
      <c r="D53" s="11">
        <f t="shared" si="15"/>
        <v>19.5</v>
      </c>
      <c r="E53" s="11">
        <f t="shared" si="15"/>
        <v>19.5</v>
      </c>
      <c r="F53" s="11">
        <f t="shared" si="15"/>
        <v>19.5</v>
      </c>
      <c r="G53" s="11">
        <f t="shared" si="15"/>
        <v>19.5</v>
      </c>
      <c r="H53" s="11">
        <f t="shared" si="15"/>
        <v>8.5</v>
      </c>
      <c r="I53" s="11">
        <f t="shared" si="15"/>
        <v>19.5</v>
      </c>
      <c r="J53" s="11">
        <f t="shared" si="15"/>
        <v>19.5</v>
      </c>
      <c r="K53" s="11">
        <f t="shared" si="15"/>
        <v>19.5</v>
      </c>
      <c r="L53" s="11">
        <f t="shared" si="15"/>
        <v>19.5</v>
      </c>
      <c r="M53" s="11">
        <f t="shared" si="15"/>
        <v>8</v>
      </c>
      <c r="N53" s="11">
        <f t="shared" si="15"/>
        <v>19.5</v>
      </c>
      <c r="O53" s="11">
        <f t="shared" si="15"/>
        <v>19.5</v>
      </c>
      <c r="P53" s="11">
        <f t="shared" si="15"/>
        <v>19.5</v>
      </c>
      <c r="Q53" s="11">
        <f t="shared" si="15"/>
        <v>19.5</v>
      </c>
      <c r="R53" s="11">
        <f t="shared" si="15"/>
        <v>8.5</v>
      </c>
      <c r="S53" s="11">
        <f t="shared" si="15"/>
        <v>10</v>
      </c>
      <c r="T53" s="11">
        <f t="shared" si="15"/>
        <v>8</v>
      </c>
      <c r="U53" s="11">
        <f t="shared" si="15"/>
        <v>15</v>
      </c>
      <c r="V53" s="11">
        <f t="shared" si="15"/>
        <v>19.5</v>
      </c>
      <c r="W53" s="11">
        <f t="shared" si="15"/>
        <v>10</v>
      </c>
      <c r="X53" s="11">
        <f t="shared" ca="1" si="15"/>
        <v>10</v>
      </c>
      <c r="AA53" s="35">
        <f>+IF($AJ$1,AJ53,TASTYOHLC!A53)</f>
        <v>0</v>
      </c>
      <c r="AB53" s="8">
        <f>+IF($AJ$1,AK53,TASTYOHLC!B53)</f>
        <v>0</v>
      </c>
      <c r="AC53" s="8">
        <f>+IF($AJ$1,AL53,TASTYOHLC!C53)</f>
        <v>0</v>
      </c>
      <c r="AD53" s="8">
        <f>+IF($AJ$1,AM53,TASTYOHLC!D53)</f>
        <v>0</v>
      </c>
      <c r="AE53" s="8">
        <f>+IF($AJ$1,AN53,TASTYOHLC!E53)</f>
        <v>0</v>
      </c>
      <c r="AF53" s="8"/>
      <c r="AJ53" s="37"/>
    </row>
    <row r="54" spans="1:36" ht="11.1" customHeight="1" x14ac:dyDescent="0.25">
      <c r="B54" s="11" t="str">
        <f>IFERROR(INDEX($A$5:$A$51,MATCH(MIN(B57:B103),B57:B103,0)),"")</f>
        <v/>
      </c>
      <c r="C54" s="11">
        <f t="shared" ref="C54:W54" si="16">IFERROR(INDEX($A$5:$A$51,MATCH(MIN(C57:C103),C57:C103,0)),"")</f>
        <v>8.5</v>
      </c>
      <c r="D54" s="11" t="str">
        <f t="shared" si="16"/>
        <v/>
      </c>
      <c r="E54" s="11" t="str">
        <f t="shared" si="16"/>
        <v/>
      </c>
      <c r="F54" s="11" t="str">
        <f t="shared" si="16"/>
        <v/>
      </c>
      <c r="G54" s="11" t="str">
        <f t="shared" si="16"/>
        <v/>
      </c>
      <c r="H54" s="11">
        <f t="shared" si="16"/>
        <v>5</v>
      </c>
      <c r="I54" s="11" t="str">
        <f t="shared" si="16"/>
        <v/>
      </c>
      <c r="J54" s="11" t="str">
        <f t="shared" si="16"/>
        <v/>
      </c>
      <c r="K54" s="11" t="str">
        <f t="shared" si="16"/>
        <v/>
      </c>
      <c r="L54" s="11" t="str">
        <f t="shared" si="16"/>
        <v/>
      </c>
      <c r="M54" s="11">
        <f t="shared" si="16"/>
        <v>7</v>
      </c>
      <c r="N54" s="11" t="str">
        <f t="shared" si="16"/>
        <v/>
      </c>
      <c r="O54" s="11" t="str">
        <f t="shared" si="16"/>
        <v/>
      </c>
      <c r="P54" s="11" t="str">
        <f t="shared" si="16"/>
        <v/>
      </c>
      <c r="Q54" s="11" t="str">
        <f t="shared" si="16"/>
        <v/>
      </c>
      <c r="R54" s="11">
        <f t="shared" si="16"/>
        <v>7</v>
      </c>
      <c r="S54" s="11">
        <f t="shared" si="16"/>
        <v>6.5</v>
      </c>
      <c r="T54" s="11">
        <f t="shared" si="16"/>
        <v>6.5</v>
      </c>
      <c r="U54" s="11">
        <f t="shared" si="16"/>
        <v>13</v>
      </c>
      <c r="V54" s="11" t="str">
        <f t="shared" si="16"/>
        <v/>
      </c>
      <c r="W54" s="11">
        <f t="shared" si="16"/>
        <v>4</v>
      </c>
      <c r="X54" s="11">
        <f t="shared" ref="X54" ca="1" si="17">INDEX($A$5:$A$51,MATCH(MIN(X57:X103),X57:X103,0))</f>
        <v>4.5</v>
      </c>
      <c r="AA54" s="35">
        <f>+IF($AJ$1,AJ54,TASTYOHLC!A54)</f>
        <v>0</v>
      </c>
      <c r="AB54" s="8">
        <f>+IF($AJ$1,AK54,TASTYOHLC!B54)</f>
        <v>0</v>
      </c>
      <c r="AC54" s="8">
        <f>+IF($AJ$1,AL54,TASTYOHLC!C54)</f>
        <v>0</v>
      </c>
      <c r="AD54" s="8">
        <f>+IF($AJ$1,AM54,TASTYOHLC!D54)</f>
        <v>0</v>
      </c>
      <c r="AE54" s="8">
        <f>+IF($AJ$1,AN54,TASTYOHLC!E54)</f>
        <v>0</v>
      </c>
      <c r="AF54" s="8"/>
      <c r="AJ54" s="37"/>
    </row>
    <row r="55" spans="1:36" ht="11.1" customHeight="1" x14ac:dyDescent="0.25">
      <c r="B55" s="11">
        <f>INDEX($A$5:$A$51,MATCH(MIN(B5:B51),B5:B51,0))</f>
        <v>19.5</v>
      </c>
      <c r="C55" s="11">
        <f t="shared" ref="C55:X55" si="18">INDEX($A$5:$A$51,MATCH(MIN(C5:C51),C5:C51,0))</f>
        <v>7.5</v>
      </c>
      <c r="D55" s="11">
        <f t="shared" si="18"/>
        <v>19.5</v>
      </c>
      <c r="E55" s="11">
        <f t="shared" si="18"/>
        <v>19.5</v>
      </c>
      <c r="F55" s="11">
        <f t="shared" si="18"/>
        <v>19.5</v>
      </c>
      <c r="G55" s="11">
        <f t="shared" si="18"/>
        <v>19.5</v>
      </c>
      <c r="H55" s="11">
        <f t="shared" si="18"/>
        <v>3</v>
      </c>
      <c r="I55" s="11">
        <f t="shared" si="18"/>
        <v>19.5</v>
      </c>
      <c r="J55" s="11">
        <f t="shared" si="18"/>
        <v>19.5</v>
      </c>
      <c r="K55" s="11">
        <f t="shared" si="18"/>
        <v>19.5</v>
      </c>
      <c r="L55" s="11">
        <f t="shared" si="18"/>
        <v>19.5</v>
      </c>
      <c r="M55" s="11">
        <f t="shared" si="18"/>
        <v>6</v>
      </c>
      <c r="N55" s="11">
        <f t="shared" si="18"/>
        <v>19.5</v>
      </c>
      <c r="O55" s="11">
        <f t="shared" si="18"/>
        <v>19.5</v>
      </c>
      <c r="P55" s="11">
        <f t="shared" si="18"/>
        <v>19.5</v>
      </c>
      <c r="Q55" s="11">
        <f t="shared" si="18"/>
        <v>19.5</v>
      </c>
      <c r="R55" s="11">
        <f t="shared" si="18"/>
        <v>6</v>
      </c>
      <c r="S55" s="11">
        <f t="shared" si="18"/>
        <v>0.5</v>
      </c>
      <c r="T55" s="11">
        <f t="shared" si="18"/>
        <v>5</v>
      </c>
      <c r="U55" s="11">
        <f t="shared" si="18"/>
        <v>7</v>
      </c>
      <c r="V55" s="11">
        <f t="shared" si="18"/>
        <v>19.5</v>
      </c>
      <c r="W55" s="11">
        <f t="shared" si="18"/>
        <v>1</v>
      </c>
      <c r="X55" s="11">
        <f t="shared" ca="1" si="18"/>
        <v>0.5</v>
      </c>
      <c r="AA55" s="35">
        <f>+IF($AJ$1,AJ55,TASTYOHLC!A55)</f>
        <v>0</v>
      </c>
      <c r="AB55" s="8">
        <f>+IF($AJ$1,AK55,TASTYOHLC!B55)</f>
        <v>0</v>
      </c>
      <c r="AC55" s="8">
        <f>+IF($AJ$1,AL55,TASTYOHLC!C55)</f>
        <v>0</v>
      </c>
      <c r="AD55" s="8">
        <f>+IF($AJ$1,AM55,TASTYOHLC!D55)</f>
        <v>0</v>
      </c>
      <c r="AE55" s="8">
        <f>+IF($AJ$1,AN55,TASTYOHLC!E55)</f>
        <v>0</v>
      </c>
      <c r="AF55" s="8"/>
      <c r="AJ55" s="37"/>
    </row>
    <row r="56" spans="1:36" ht="11.1" customHeight="1" x14ac:dyDescent="0.25">
      <c r="AA56" s="35">
        <f>+IF($AJ$1,AJ56,TASTYOHLC!A56)</f>
        <v>0</v>
      </c>
      <c r="AB56" s="8">
        <f>+IF($AJ$1,AK56,TASTYOHLC!B56)</f>
        <v>0</v>
      </c>
      <c r="AC56" s="8">
        <f>+IF($AJ$1,AL56,TASTYOHLC!C56)</f>
        <v>0</v>
      </c>
      <c r="AD56" s="8">
        <f>+IF($AJ$1,AM56,TASTYOHLC!D56)</f>
        <v>0</v>
      </c>
      <c r="AE56" s="8">
        <f>+IF($AJ$1,AN56,TASTYOHLC!E56)</f>
        <v>0</v>
      </c>
      <c r="AF56" s="8"/>
      <c r="AJ56" s="37"/>
    </row>
    <row r="57" spans="1:36" ht="11.1" customHeight="1" x14ac:dyDescent="0.25">
      <c r="A57" s="43">
        <f>+A5</f>
        <v>19.5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5"/>
      <c r="Y57" s="45"/>
      <c r="Z57" s="45"/>
      <c r="AA57" s="35">
        <f>+IF($AJ$1,AJ57,TASTYOHLC!A57)</f>
        <v>0</v>
      </c>
      <c r="AB57" s="8">
        <f>+IF($AJ$1,AK57,TASTYOHLC!B57)</f>
        <v>0</v>
      </c>
      <c r="AC57" s="8">
        <f>+IF($AJ$1,AL57,TASTYOHLC!C57)</f>
        <v>0</v>
      </c>
      <c r="AD57" s="8">
        <f>+IF($AJ$1,AM57,TASTYOHLC!D57)</f>
        <v>0</v>
      </c>
      <c r="AE57" s="8">
        <f>+IF($AJ$1,AN57,TASTYOHLC!E57)</f>
        <v>0</v>
      </c>
      <c r="AF57" s="8"/>
      <c r="AJ57" s="37"/>
    </row>
    <row r="58" spans="1:36" ht="11.1" customHeight="1" x14ac:dyDescent="0.25">
      <c r="A58" s="43">
        <f t="shared" ref="A58:A103" si="19">+A6</f>
        <v>19</v>
      </c>
      <c r="B58" s="46" t="str">
        <f>IF(AND($A58&gt;B$55,$A58&lt;B$53),ABS(AVERAGE(B5:B7)),"")</f>
        <v/>
      </c>
      <c r="C58" s="46" t="str">
        <f t="shared" ref="C58:X58" si="20">IF(AND($A58&gt;C$55,$A58&lt;C$53),ABS(AVERAGE(C5:C7)),"")</f>
        <v/>
      </c>
      <c r="D58" s="46" t="str">
        <f t="shared" si="20"/>
        <v/>
      </c>
      <c r="E58" s="46" t="str">
        <f t="shared" si="20"/>
        <v/>
      </c>
      <c r="F58" s="46" t="str">
        <f t="shared" si="20"/>
        <v/>
      </c>
      <c r="G58" s="46" t="str">
        <f t="shared" si="20"/>
        <v/>
      </c>
      <c r="H58" s="46" t="str">
        <f t="shared" si="20"/>
        <v/>
      </c>
      <c r="I58" s="46" t="str">
        <f t="shared" si="20"/>
        <v/>
      </c>
      <c r="J58" s="46" t="str">
        <f t="shared" si="20"/>
        <v/>
      </c>
      <c r="K58" s="46" t="str">
        <f t="shared" si="20"/>
        <v/>
      </c>
      <c r="L58" s="46" t="str">
        <f t="shared" si="20"/>
        <v/>
      </c>
      <c r="M58" s="46" t="str">
        <f t="shared" si="20"/>
        <v/>
      </c>
      <c r="N58" s="46" t="str">
        <f t="shared" si="20"/>
        <v/>
      </c>
      <c r="O58" s="46" t="str">
        <f t="shared" si="20"/>
        <v/>
      </c>
      <c r="P58" s="46" t="str">
        <f t="shared" si="20"/>
        <v/>
      </c>
      <c r="Q58" s="46" t="str">
        <f t="shared" si="20"/>
        <v/>
      </c>
      <c r="R58" s="46" t="str">
        <f t="shared" si="20"/>
        <v/>
      </c>
      <c r="S58" s="46" t="str">
        <f t="shared" si="20"/>
        <v/>
      </c>
      <c r="T58" s="46" t="str">
        <f t="shared" si="20"/>
        <v/>
      </c>
      <c r="U58" s="46" t="str">
        <f t="shared" si="20"/>
        <v/>
      </c>
      <c r="V58" s="46" t="str">
        <f t="shared" si="20"/>
        <v/>
      </c>
      <c r="W58" s="46" t="str">
        <f t="shared" si="20"/>
        <v/>
      </c>
      <c r="X58" s="46" t="str">
        <f t="shared" ca="1" si="20"/>
        <v/>
      </c>
      <c r="Y58" s="45"/>
      <c r="Z58" s="45"/>
      <c r="AA58" s="35">
        <f>+IF($AJ$1,AJ58,TASTYOHLC!A58)</f>
        <v>0</v>
      </c>
      <c r="AB58" s="8">
        <f>+IF($AJ$1,AK58,TASTYOHLC!B58)</f>
        <v>0</v>
      </c>
      <c r="AC58" s="8">
        <f>+IF($AJ$1,AL58,TASTYOHLC!C58)</f>
        <v>0</v>
      </c>
      <c r="AD58" s="8">
        <f>+IF($AJ$1,AM58,TASTYOHLC!D58)</f>
        <v>0</v>
      </c>
      <c r="AE58" s="8">
        <f>+IF($AJ$1,AN58,TASTYOHLC!E58)</f>
        <v>0</v>
      </c>
      <c r="AF58" s="8"/>
      <c r="AJ58" s="37"/>
    </row>
    <row r="59" spans="1:36" ht="11.1" customHeight="1" x14ac:dyDescent="0.25">
      <c r="A59" s="43">
        <f t="shared" si="19"/>
        <v>18.5</v>
      </c>
      <c r="B59" s="46" t="str">
        <f t="shared" ref="B59:X59" si="21">IF(AND($A59&gt;B$55,$A59&lt;B$53),ABS(AVERAGE(B6:B8)),"")</f>
        <v/>
      </c>
      <c r="C59" s="46" t="str">
        <f t="shared" si="21"/>
        <v/>
      </c>
      <c r="D59" s="46" t="str">
        <f t="shared" si="21"/>
        <v/>
      </c>
      <c r="E59" s="46" t="str">
        <f t="shared" si="21"/>
        <v/>
      </c>
      <c r="F59" s="46" t="str">
        <f t="shared" si="21"/>
        <v/>
      </c>
      <c r="G59" s="46" t="str">
        <f t="shared" si="21"/>
        <v/>
      </c>
      <c r="H59" s="46" t="str">
        <f t="shared" si="21"/>
        <v/>
      </c>
      <c r="I59" s="46" t="str">
        <f t="shared" si="21"/>
        <v/>
      </c>
      <c r="J59" s="46" t="str">
        <f t="shared" si="21"/>
        <v/>
      </c>
      <c r="K59" s="46" t="str">
        <f t="shared" si="21"/>
        <v/>
      </c>
      <c r="L59" s="46" t="str">
        <f t="shared" si="21"/>
        <v/>
      </c>
      <c r="M59" s="46" t="str">
        <f t="shared" si="21"/>
        <v/>
      </c>
      <c r="N59" s="46" t="str">
        <f t="shared" si="21"/>
        <v/>
      </c>
      <c r="O59" s="46" t="str">
        <f t="shared" si="21"/>
        <v/>
      </c>
      <c r="P59" s="46" t="str">
        <f t="shared" si="21"/>
        <v/>
      </c>
      <c r="Q59" s="46" t="str">
        <f t="shared" si="21"/>
        <v/>
      </c>
      <c r="R59" s="46" t="str">
        <f t="shared" si="21"/>
        <v/>
      </c>
      <c r="S59" s="46" t="str">
        <f t="shared" si="21"/>
        <v/>
      </c>
      <c r="T59" s="46" t="str">
        <f t="shared" si="21"/>
        <v/>
      </c>
      <c r="U59" s="46" t="str">
        <f t="shared" si="21"/>
        <v/>
      </c>
      <c r="V59" s="46" t="str">
        <f t="shared" si="21"/>
        <v/>
      </c>
      <c r="W59" s="46" t="str">
        <f t="shared" si="21"/>
        <v/>
      </c>
      <c r="X59" s="46" t="str">
        <f t="shared" ca="1" si="21"/>
        <v/>
      </c>
      <c r="Y59" s="45"/>
      <c r="Z59" s="45"/>
      <c r="AA59" s="35">
        <f>+IF($AJ$1,AJ59,TASTYOHLC!A59)</f>
        <v>0</v>
      </c>
      <c r="AB59" s="8">
        <f>+IF($AJ$1,AK59,TASTYOHLC!B59)</f>
        <v>0</v>
      </c>
      <c r="AC59" s="8">
        <f>+IF($AJ$1,AL59,TASTYOHLC!C59)</f>
        <v>0</v>
      </c>
      <c r="AD59" s="8">
        <f>+IF($AJ$1,AM59,TASTYOHLC!D59)</f>
        <v>0</v>
      </c>
      <c r="AE59" s="8">
        <f>+IF($AJ$1,AN59,TASTYOHLC!E59)</f>
        <v>0</v>
      </c>
      <c r="AF59" s="8"/>
      <c r="AJ59" s="37"/>
    </row>
    <row r="60" spans="1:36" ht="11.1" customHeight="1" x14ac:dyDescent="0.25">
      <c r="A60" s="43">
        <f t="shared" si="19"/>
        <v>18</v>
      </c>
      <c r="B60" s="46" t="str">
        <f t="shared" ref="B60:X60" si="22">IF(AND($A60&gt;B$55,$A60&lt;B$53),ABS(AVERAGE(B7:B9)),"")</f>
        <v/>
      </c>
      <c r="C60" s="46" t="str">
        <f t="shared" si="22"/>
        <v/>
      </c>
      <c r="D60" s="46" t="str">
        <f t="shared" si="22"/>
        <v/>
      </c>
      <c r="E60" s="46" t="str">
        <f t="shared" si="22"/>
        <v/>
      </c>
      <c r="F60" s="46" t="str">
        <f t="shared" si="22"/>
        <v/>
      </c>
      <c r="G60" s="46" t="str">
        <f t="shared" si="22"/>
        <v/>
      </c>
      <c r="H60" s="46" t="str">
        <f t="shared" si="22"/>
        <v/>
      </c>
      <c r="I60" s="46" t="str">
        <f t="shared" si="22"/>
        <v/>
      </c>
      <c r="J60" s="46" t="str">
        <f t="shared" si="22"/>
        <v/>
      </c>
      <c r="K60" s="46" t="str">
        <f t="shared" si="22"/>
        <v/>
      </c>
      <c r="L60" s="46" t="str">
        <f t="shared" si="22"/>
        <v/>
      </c>
      <c r="M60" s="46" t="str">
        <f t="shared" si="22"/>
        <v/>
      </c>
      <c r="N60" s="46" t="str">
        <f t="shared" si="22"/>
        <v/>
      </c>
      <c r="O60" s="46" t="str">
        <f t="shared" si="22"/>
        <v/>
      </c>
      <c r="P60" s="46" t="str">
        <f t="shared" si="22"/>
        <v/>
      </c>
      <c r="Q60" s="46" t="str">
        <f t="shared" si="22"/>
        <v/>
      </c>
      <c r="R60" s="46" t="str">
        <f t="shared" si="22"/>
        <v/>
      </c>
      <c r="S60" s="46" t="str">
        <f t="shared" si="22"/>
        <v/>
      </c>
      <c r="T60" s="46" t="str">
        <f t="shared" si="22"/>
        <v/>
      </c>
      <c r="U60" s="46" t="str">
        <f t="shared" si="22"/>
        <v/>
      </c>
      <c r="V60" s="46" t="str">
        <f t="shared" si="22"/>
        <v/>
      </c>
      <c r="W60" s="46" t="str">
        <f t="shared" si="22"/>
        <v/>
      </c>
      <c r="X60" s="46" t="str">
        <f t="shared" ca="1" si="22"/>
        <v/>
      </c>
      <c r="Y60" s="45"/>
      <c r="Z60" s="45"/>
      <c r="AA60" s="35">
        <f>+IF($AJ$1,AJ60,TASTYOHLC!A60)</f>
        <v>0</v>
      </c>
      <c r="AB60" s="8">
        <f>+IF($AJ$1,AK60,TASTYOHLC!B60)</f>
        <v>0</v>
      </c>
      <c r="AC60" s="8">
        <f>+IF($AJ$1,AL60,TASTYOHLC!C60)</f>
        <v>0</v>
      </c>
      <c r="AD60" s="8">
        <f>+IF($AJ$1,AM60,TASTYOHLC!D60)</f>
        <v>0</v>
      </c>
      <c r="AE60" s="8">
        <f>+IF($AJ$1,AN60,TASTYOHLC!E60)</f>
        <v>0</v>
      </c>
      <c r="AF60" s="8"/>
      <c r="AJ60" s="37"/>
    </row>
    <row r="61" spans="1:36" ht="11.1" customHeight="1" x14ac:dyDescent="0.25">
      <c r="A61" s="43">
        <f t="shared" si="19"/>
        <v>17.5</v>
      </c>
      <c r="B61" s="46" t="str">
        <f t="shared" ref="B61:X61" si="23">IF(AND($A61&gt;B$55,$A61&lt;B$53),ABS(AVERAGE(B8:B10)),"")</f>
        <v/>
      </c>
      <c r="C61" s="46" t="str">
        <f t="shared" si="23"/>
        <v/>
      </c>
      <c r="D61" s="46" t="str">
        <f t="shared" si="23"/>
        <v/>
      </c>
      <c r="E61" s="46" t="str">
        <f t="shared" si="23"/>
        <v/>
      </c>
      <c r="F61" s="46" t="str">
        <f t="shared" si="23"/>
        <v/>
      </c>
      <c r="G61" s="46" t="str">
        <f t="shared" si="23"/>
        <v/>
      </c>
      <c r="H61" s="46" t="str">
        <f t="shared" si="23"/>
        <v/>
      </c>
      <c r="I61" s="46" t="str">
        <f t="shared" si="23"/>
        <v/>
      </c>
      <c r="J61" s="46" t="str">
        <f t="shared" si="23"/>
        <v/>
      </c>
      <c r="K61" s="46" t="str">
        <f t="shared" si="23"/>
        <v/>
      </c>
      <c r="L61" s="46" t="str">
        <f t="shared" si="23"/>
        <v/>
      </c>
      <c r="M61" s="46" t="str">
        <f t="shared" si="23"/>
        <v/>
      </c>
      <c r="N61" s="46" t="str">
        <f t="shared" si="23"/>
        <v/>
      </c>
      <c r="O61" s="46" t="str">
        <f t="shared" si="23"/>
        <v/>
      </c>
      <c r="P61" s="46" t="str">
        <f t="shared" si="23"/>
        <v/>
      </c>
      <c r="Q61" s="46" t="str">
        <f t="shared" si="23"/>
        <v/>
      </c>
      <c r="R61" s="46" t="str">
        <f t="shared" si="23"/>
        <v/>
      </c>
      <c r="S61" s="46" t="str">
        <f t="shared" si="23"/>
        <v/>
      </c>
      <c r="T61" s="46" t="str">
        <f t="shared" si="23"/>
        <v/>
      </c>
      <c r="U61" s="46" t="str">
        <f t="shared" si="23"/>
        <v/>
      </c>
      <c r="V61" s="46" t="str">
        <f t="shared" si="23"/>
        <v/>
      </c>
      <c r="W61" s="46" t="str">
        <f t="shared" si="23"/>
        <v/>
      </c>
      <c r="X61" s="46" t="str">
        <f t="shared" ca="1" si="23"/>
        <v/>
      </c>
      <c r="Y61" s="45"/>
      <c r="Z61" s="45"/>
      <c r="AA61" s="35">
        <f>+IF($AJ$1,AJ61,TASTYOHLC!A61)</f>
        <v>0</v>
      </c>
      <c r="AB61" s="8">
        <f>+IF($AJ$1,AK61,TASTYOHLC!B61)</f>
        <v>0</v>
      </c>
      <c r="AC61" s="8">
        <f>+IF($AJ$1,AL61,TASTYOHLC!C61)</f>
        <v>0</v>
      </c>
      <c r="AD61" s="8">
        <f>+IF($AJ$1,AM61,TASTYOHLC!D61)</f>
        <v>0</v>
      </c>
      <c r="AE61" s="8">
        <f>+IF($AJ$1,AN61,TASTYOHLC!E61)</f>
        <v>0</v>
      </c>
      <c r="AF61" s="8"/>
      <c r="AJ61" s="37"/>
    </row>
    <row r="62" spans="1:36" ht="11.1" customHeight="1" x14ac:dyDescent="0.25">
      <c r="A62" s="43">
        <f t="shared" si="19"/>
        <v>17</v>
      </c>
      <c r="B62" s="46" t="str">
        <f t="shared" ref="B62:X62" si="24">IF(AND($A62&gt;B$55,$A62&lt;B$53),ABS(AVERAGE(B9:B11)),"")</f>
        <v/>
      </c>
      <c r="C62" s="46" t="str">
        <f t="shared" si="24"/>
        <v/>
      </c>
      <c r="D62" s="46" t="str">
        <f t="shared" si="24"/>
        <v/>
      </c>
      <c r="E62" s="46" t="str">
        <f t="shared" si="24"/>
        <v/>
      </c>
      <c r="F62" s="46" t="str">
        <f t="shared" si="24"/>
        <v/>
      </c>
      <c r="G62" s="46" t="str">
        <f t="shared" si="24"/>
        <v/>
      </c>
      <c r="H62" s="46" t="str">
        <f t="shared" si="24"/>
        <v/>
      </c>
      <c r="I62" s="46" t="str">
        <f t="shared" si="24"/>
        <v/>
      </c>
      <c r="J62" s="46" t="str">
        <f t="shared" si="24"/>
        <v/>
      </c>
      <c r="K62" s="46" t="str">
        <f t="shared" si="24"/>
        <v/>
      </c>
      <c r="L62" s="46" t="str">
        <f t="shared" si="24"/>
        <v/>
      </c>
      <c r="M62" s="46" t="str">
        <f t="shared" si="24"/>
        <v/>
      </c>
      <c r="N62" s="46" t="str">
        <f t="shared" si="24"/>
        <v/>
      </c>
      <c r="O62" s="46" t="str">
        <f t="shared" si="24"/>
        <v/>
      </c>
      <c r="P62" s="46" t="str">
        <f t="shared" si="24"/>
        <v/>
      </c>
      <c r="Q62" s="46" t="str">
        <f t="shared" si="24"/>
        <v/>
      </c>
      <c r="R62" s="46" t="str">
        <f t="shared" si="24"/>
        <v/>
      </c>
      <c r="S62" s="46" t="str">
        <f t="shared" si="24"/>
        <v/>
      </c>
      <c r="T62" s="46" t="str">
        <f t="shared" si="24"/>
        <v/>
      </c>
      <c r="U62" s="46" t="str">
        <f t="shared" si="24"/>
        <v/>
      </c>
      <c r="V62" s="46" t="str">
        <f t="shared" si="24"/>
        <v/>
      </c>
      <c r="W62" s="46" t="str">
        <f t="shared" si="24"/>
        <v/>
      </c>
      <c r="X62" s="46" t="str">
        <f t="shared" ca="1" si="24"/>
        <v/>
      </c>
      <c r="Y62" s="45"/>
      <c r="Z62" s="45"/>
      <c r="AA62" s="35">
        <f>+IF($AJ$1,AJ62,TASTYOHLC!A62)</f>
        <v>0</v>
      </c>
      <c r="AB62" s="8">
        <f>+IF($AJ$1,AK62,TASTYOHLC!B62)</f>
        <v>0</v>
      </c>
      <c r="AC62" s="8">
        <f>+IF($AJ$1,AL62,TASTYOHLC!C62)</f>
        <v>0</v>
      </c>
      <c r="AD62" s="8">
        <f>+IF($AJ$1,AM62,TASTYOHLC!D62)</f>
        <v>0</v>
      </c>
      <c r="AE62" s="8">
        <f>+IF($AJ$1,AN62,TASTYOHLC!E62)</f>
        <v>0</v>
      </c>
      <c r="AF62" s="8"/>
      <c r="AJ62" s="37"/>
    </row>
    <row r="63" spans="1:36" ht="11.1" customHeight="1" x14ac:dyDescent="0.25">
      <c r="A63" s="43">
        <f t="shared" si="19"/>
        <v>16.5</v>
      </c>
      <c r="B63" s="46" t="str">
        <f t="shared" ref="B63:X63" si="25">IF(AND($A63&gt;B$55,$A63&lt;B$53),ABS(AVERAGE(B10:B12)),"")</f>
        <v/>
      </c>
      <c r="C63" s="46" t="str">
        <f t="shared" si="25"/>
        <v/>
      </c>
      <c r="D63" s="46" t="str">
        <f t="shared" si="25"/>
        <v/>
      </c>
      <c r="E63" s="46" t="str">
        <f t="shared" si="25"/>
        <v/>
      </c>
      <c r="F63" s="46" t="str">
        <f t="shared" si="25"/>
        <v/>
      </c>
      <c r="G63" s="46" t="str">
        <f t="shared" si="25"/>
        <v/>
      </c>
      <c r="H63" s="46" t="str">
        <f t="shared" si="25"/>
        <v/>
      </c>
      <c r="I63" s="46" t="str">
        <f t="shared" si="25"/>
        <v/>
      </c>
      <c r="J63" s="46" t="str">
        <f t="shared" si="25"/>
        <v/>
      </c>
      <c r="K63" s="46" t="str">
        <f t="shared" si="25"/>
        <v/>
      </c>
      <c r="L63" s="46" t="str">
        <f t="shared" si="25"/>
        <v/>
      </c>
      <c r="M63" s="46" t="str">
        <f t="shared" si="25"/>
        <v/>
      </c>
      <c r="N63" s="46" t="str">
        <f t="shared" si="25"/>
        <v/>
      </c>
      <c r="O63" s="46" t="str">
        <f t="shared" si="25"/>
        <v/>
      </c>
      <c r="P63" s="46" t="str">
        <f t="shared" si="25"/>
        <v/>
      </c>
      <c r="Q63" s="46" t="str">
        <f t="shared" si="25"/>
        <v/>
      </c>
      <c r="R63" s="46" t="str">
        <f t="shared" si="25"/>
        <v/>
      </c>
      <c r="S63" s="46" t="str">
        <f t="shared" si="25"/>
        <v/>
      </c>
      <c r="T63" s="46" t="str">
        <f t="shared" si="25"/>
        <v/>
      </c>
      <c r="U63" s="46" t="str">
        <f t="shared" si="25"/>
        <v/>
      </c>
      <c r="V63" s="46" t="str">
        <f t="shared" si="25"/>
        <v/>
      </c>
      <c r="W63" s="46" t="str">
        <f t="shared" si="25"/>
        <v/>
      </c>
      <c r="X63" s="46" t="str">
        <f t="shared" ca="1" si="25"/>
        <v/>
      </c>
      <c r="Y63" s="45"/>
      <c r="Z63" s="45"/>
      <c r="AA63" s="35">
        <f>+IF($AJ$1,AJ63,TASTYOHLC!A63)</f>
        <v>0</v>
      </c>
      <c r="AB63" s="8">
        <f>+IF($AJ$1,AK63,TASTYOHLC!B63)</f>
        <v>0</v>
      </c>
      <c r="AC63" s="8">
        <f>+IF($AJ$1,AL63,TASTYOHLC!C63)</f>
        <v>0</v>
      </c>
      <c r="AD63" s="8">
        <f>+IF($AJ$1,AM63,TASTYOHLC!D63)</f>
        <v>0</v>
      </c>
      <c r="AE63" s="8">
        <f>+IF($AJ$1,AN63,TASTYOHLC!E63)</f>
        <v>0</v>
      </c>
      <c r="AF63" s="8"/>
      <c r="AJ63" s="37"/>
    </row>
    <row r="64" spans="1:36" ht="11.1" customHeight="1" x14ac:dyDescent="0.25">
      <c r="A64" s="43">
        <f t="shared" si="19"/>
        <v>16</v>
      </c>
      <c r="B64" s="46" t="str">
        <f t="shared" ref="B64:X64" si="26">IF(AND($A64&gt;B$55,$A64&lt;B$53),ABS(AVERAGE(B11:B13)),"")</f>
        <v/>
      </c>
      <c r="C64" s="46" t="str">
        <f t="shared" si="26"/>
        <v/>
      </c>
      <c r="D64" s="46" t="str">
        <f t="shared" si="26"/>
        <v/>
      </c>
      <c r="E64" s="46" t="str">
        <f t="shared" si="26"/>
        <v/>
      </c>
      <c r="F64" s="46" t="str">
        <f t="shared" si="26"/>
        <v/>
      </c>
      <c r="G64" s="46" t="str">
        <f t="shared" si="26"/>
        <v/>
      </c>
      <c r="H64" s="46" t="str">
        <f t="shared" si="26"/>
        <v/>
      </c>
      <c r="I64" s="46" t="str">
        <f t="shared" si="26"/>
        <v/>
      </c>
      <c r="J64" s="46" t="str">
        <f t="shared" si="26"/>
        <v/>
      </c>
      <c r="K64" s="46" t="str">
        <f t="shared" si="26"/>
        <v/>
      </c>
      <c r="L64" s="46" t="str">
        <f t="shared" si="26"/>
        <v/>
      </c>
      <c r="M64" s="46" t="str">
        <f t="shared" si="26"/>
        <v/>
      </c>
      <c r="N64" s="46" t="str">
        <f t="shared" si="26"/>
        <v/>
      </c>
      <c r="O64" s="46" t="str">
        <f t="shared" si="26"/>
        <v/>
      </c>
      <c r="P64" s="46" t="str">
        <f t="shared" si="26"/>
        <v/>
      </c>
      <c r="Q64" s="46" t="str">
        <f t="shared" si="26"/>
        <v/>
      </c>
      <c r="R64" s="46" t="str">
        <f t="shared" si="26"/>
        <v/>
      </c>
      <c r="S64" s="46" t="str">
        <f t="shared" si="26"/>
        <v/>
      </c>
      <c r="T64" s="46" t="str">
        <f t="shared" si="26"/>
        <v/>
      </c>
      <c r="U64" s="46" t="str">
        <f t="shared" si="26"/>
        <v/>
      </c>
      <c r="V64" s="46" t="str">
        <f t="shared" si="26"/>
        <v/>
      </c>
      <c r="W64" s="46" t="str">
        <f t="shared" si="26"/>
        <v/>
      </c>
      <c r="X64" s="46" t="str">
        <f t="shared" ca="1" si="26"/>
        <v/>
      </c>
      <c r="Y64" s="45"/>
      <c r="Z64" s="45"/>
      <c r="AA64" s="35">
        <f>+IF($AJ$1,AJ64,TASTYOHLC!A64)</f>
        <v>0</v>
      </c>
      <c r="AB64" s="8">
        <f>+IF($AJ$1,AK64,TASTYOHLC!B64)</f>
        <v>0</v>
      </c>
      <c r="AC64" s="8">
        <f>+IF($AJ$1,AL64,TASTYOHLC!C64)</f>
        <v>0</v>
      </c>
      <c r="AD64" s="8">
        <f>+IF($AJ$1,AM64,TASTYOHLC!D64)</f>
        <v>0</v>
      </c>
      <c r="AE64" s="8">
        <f>+IF($AJ$1,AN64,TASTYOHLC!E64)</f>
        <v>0</v>
      </c>
      <c r="AF64" s="8"/>
      <c r="AJ64" s="37"/>
    </row>
    <row r="65" spans="1:36" ht="11.1" customHeight="1" x14ac:dyDescent="0.25">
      <c r="A65" s="43">
        <f t="shared" si="19"/>
        <v>15.5</v>
      </c>
      <c r="B65" s="46" t="str">
        <f t="shared" ref="B65:X65" si="27">IF(AND($A65&gt;B$55,$A65&lt;B$53),ABS(AVERAGE(B12:B14)),"")</f>
        <v/>
      </c>
      <c r="C65" s="46" t="str">
        <f t="shared" si="27"/>
        <v/>
      </c>
      <c r="D65" s="46" t="str">
        <f t="shared" si="27"/>
        <v/>
      </c>
      <c r="E65" s="46" t="str">
        <f t="shared" si="27"/>
        <v/>
      </c>
      <c r="F65" s="46" t="str">
        <f t="shared" si="27"/>
        <v/>
      </c>
      <c r="G65" s="46" t="str">
        <f t="shared" si="27"/>
        <v/>
      </c>
      <c r="H65" s="46" t="str">
        <f t="shared" si="27"/>
        <v/>
      </c>
      <c r="I65" s="46" t="str">
        <f t="shared" si="27"/>
        <v/>
      </c>
      <c r="J65" s="46" t="str">
        <f t="shared" si="27"/>
        <v/>
      </c>
      <c r="K65" s="46" t="str">
        <f t="shared" si="27"/>
        <v/>
      </c>
      <c r="L65" s="46" t="str">
        <f t="shared" si="27"/>
        <v/>
      </c>
      <c r="M65" s="46" t="str">
        <f t="shared" si="27"/>
        <v/>
      </c>
      <c r="N65" s="46" t="str">
        <f t="shared" si="27"/>
        <v/>
      </c>
      <c r="O65" s="46" t="str">
        <f t="shared" si="27"/>
        <v/>
      </c>
      <c r="P65" s="46" t="str">
        <f t="shared" si="27"/>
        <v/>
      </c>
      <c r="Q65" s="46" t="str">
        <f t="shared" si="27"/>
        <v/>
      </c>
      <c r="R65" s="46" t="str">
        <f t="shared" si="27"/>
        <v/>
      </c>
      <c r="S65" s="46" t="str">
        <f t="shared" si="27"/>
        <v/>
      </c>
      <c r="T65" s="46" t="str">
        <f t="shared" si="27"/>
        <v/>
      </c>
      <c r="U65" s="46" t="str">
        <f t="shared" si="27"/>
        <v/>
      </c>
      <c r="V65" s="46" t="str">
        <f t="shared" si="27"/>
        <v/>
      </c>
      <c r="W65" s="46" t="str">
        <f t="shared" si="27"/>
        <v/>
      </c>
      <c r="X65" s="46" t="str">
        <f t="shared" ca="1" si="27"/>
        <v/>
      </c>
      <c r="Y65" s="45"/>
      <c r="Z65" s="45"/>
      <c r="AA65" s="35">
        <f>+IF($AJ$1,AJ65,TASTYOHLC!A65)</f>
        <v>0</v>
      </c>
      <c r="AB65" s="8">
        <f>+IF($AJ$1,AK65,TASTYOHLC!B65)</f>
        <v>0</v>
      </c>
      <c r="AC65" s="8">
        <f>+IF($AJ$1,AL65,TASTYOHLC!C65)</f>
        <v>0</v>
      </c>
      <c r="AD65" s="8">
        <f>+IF($AJ$1,AM65,TASTYOHLC!D65)</f>
        <v>0</v>
      </c>
      <c r="AE65" s="8">
        <f>+IF($AJ$1,AN65,TASTYOHLC!E65)</f>
        <v>0</v>
      </c>
      <c r="AF65" s="8"/>
      <c r="AJ65" s="37"/>
    </row>
    <row r="66" spans="1:36" ht="11.1" customHeight="1" x14ac:dyDescent="0.25">
      <c r="A66" s="43">
        <f t="shared" si="19"/>
        <v>15</v>
      </c>
      <c r="B66" s="46" t="str">
        <f t="shared" ref="B66:X66" si="28">IF(AND($A66&gt;B$55,$A66&lt;B$53),ABS(AVERAGE(B13:B15)),"")</f>
        <v/>
      </c>
      <c r="C66" s="46" t="str">
        <f t="shared" si="28"/>
        <v/>
      </c>
      <c r="D66" s="46" t="str">
        <f t="shared" si="28"/>
        <v/>
      </c>
      <c r="E66" s="46" t="str">
        <f t="shared" si="28"/>
        <v/>
      </c>
      <c r="F66" s="46" t="str">
        <f t="shared" si="28"/>
        <v/>
      </c>
      <c r="G66" s="46" t="str">
        <f t="shared" si="28"/>
        <v/>
      </c>
      <c r="H66" s="46" t="str">
        <f t="shared" si="28"/>
        <v/>
      </c>
      <c r="I66" s="46" t="str">
        <f t="shared" si="28"/>
        <v/>
      </c>
      <c r="J66" s="46" t="str">
        <f t="shared" si="28"/>
        <v/>
      </c>
      <c r="K66" s="46" t="str">
        <f t="shared" si="28"/>
        <v/>
      </c>
      <c r="L66" s="46" t="str">
        <f t="shared" si="28"/>
        <v/>
      </c>
      <c r="M66" s="46" t="str">
        <f t="shared" si="28"/>
        <v/>
      </c>
      <c r="N66" s="46" t="str">
        <f t="shared" si="28"/>
        <v/>
      </c>
      <c r="O66" s="46" t="str">
        <f t="shared" si="28"/>
        <v/>
      </c>
      <c r="P66" s="46" t="str">
        <f t="shared" si="28"/>
        <v/>
      </c>
      <c r="Q66" s="46" t="str">
        <f t="shared" si="28"/>
        <v/>
      </c>
      <c r="R66" s="46" t="str">
        <f t="shared" si="28"/>
        <v/>
      </c>
      <c r="S66" s="46" t="str">
        <f t="shared" si="28"/>
        <v/>
      </c>
      <c r="T66" s="46" t="str">
        <f t="shared" si="28"/>
        <v/>
      </c>
      <c r="U66" s="46" t="str">
        <f t="shared" si="28"/>
        <v/>
      </c>
      <c r="V66" s="46" t="str">
        <f t="shared" si="28"/>
        <v/>
      </c>
      <c r="W66" s="46" t="str">
        <f t="shared" si="28"/>
        <v/>
      </c>
      <c r="X66" s="46" t="str">
        <f t="shared" ca="1" si="28"/>
        <v/>
      </c>
      <c r="Y66" s="45"/>
      <c r="Z66" s="45"/>
      <c r="AA66" s="35">
        <f>+IF($AJ$1,AJ66,TASTYOHLC!A66)</f>
        <v>0</v>
      </c>
      <c r="AB66" s="8">
        <f>+IF($AJ$1,AK66,TASTYOHLC!B66)</f>
        <v>0</v>
      </c>
      <c r="AC66" s="8">
        <f>+IF($AJ$1,AL66,TASTYOHLC!C66)</f>
        <v>0</v>
      </c>
      <c r="AD66" s="8">
        <f>+IF($AJ$1,AM66,TASTYOHLC!D66)</f>
        <v>0</v>
      </c>
      <c r="AE66" s="8">
        <f>+IF($AJ$1,AN66,TASTYOHLC!E66)</f>
        <v>0</v>
      </c>
      <c r="AF66" s="8"/>
      <c r="AJ66" s="37"/>
    </row>
    <row r="67" spans="1:36" ht="11.1" customHeight="1" x14ac:dyDescent="0.25">
      <c r="A67" s="43">
        <f t="shared" si="19"/>
        <v>14.5</v>
      </c>
      <c r="B67" s="46" t="str">
        <f t="shared" ref="B67:X67" si="29">IF(AND($A67&gt;B$55,$A67&lt;B$53),ABS(AVERAGE(B14:B16)),"")</f>
        <v/>
      </c>
      <c r="C67" s="46" t="str">
        <f t="shared" si="29"/>
        <v/>
      </c>
      <c r="D67" s="46" t="str">
        <f t="shared" si="29"/>
        <v/>
      </c>
      <c r="E67" s="46" t="str">
        <f t="shared" si="29"/>
        <v/>
      </c>
      <c r="F67" s="46" t="str">
        <f t="shared" si="29"/>
        <v/>
      </c>
      <c r="G67" s="46" t="str">
        <f t="shared" si="29"/>
        <v/>
      </c>
      <c r="H67" s="46" t="str">
        <f t="shared" si="29"/>
        <v/>
      </c>
      <c r="I67" s="46" t="str">
        <f t="shared" si="29"/>
        <v/>
      </c>
      <c r="J67" s="46" t="str">
        <f t="shared" si="29"/>
        <v/>
      </c>
      <c r="K67" s="46" t="str">
        <f t="shared" si="29"/>
        <v/>
      </c>
      <c r="L67" s="46" t="str">
        <f t="shared" si="29"/>
        <v/>
      </c>
      <c r="M67" s="46" t="str">
        <f t="shared" si="29"/>
        <v/>
      </c>
      <c r="N67" s="46" t="str">
        <f t="shared" si="29"/>
        <v/>
      </c>
      <c r="O67" s="46" t="str">
        <f t="shared" si="29"/>
        <v/>
      </c>
      <c r="P67" s="46" t="str">
        <f t="shared" si="29"/>
        <v/>
      </c>
      <c r="Q67" s="46" t="str">
        <f t="shared" si="29"/>
        <v/>
      </c>
      <c r="R67" s="46" t="str">
        <f t="shared" si="29"/>
        <v/>
      </c>
      <c r="S67" s="46" t="str">
        <f t="shared" si="29"/>
        <v/>
      </c>
      <c r="T67" s="46" t="str">
        <f t="shared" si="29"/>
        <v/>
      </c>
      <c r="U67" s="46">
        <f t="shared" si="29"/>
        <v>5896.333333333333</v>
      </c>
      <c r="V67" s="46" t="str">
        <f t="shared" si="29"/>
        <v/>
      </c>
      <c r="W67" s="46" t="str">
        <f t="shared" si="29"/>
        <v/>
      </c>
      <c r="X67" s="46" t="str">
        <f t="shared" ca="1" si="29"/>
        <v/>
      </c>
      <c r="Y67" s="45"/>
      <c r="Z67" s="45"/>
      <c r="AA67" s="35">
        <f>+IF($AJ$1,AJ67,TASTYOHLC!A67)</f>
        <v>0</v>
      </c>
      <c r="AB67" s="8">
        <f>+IF($AJ$1,AK67,TASTYOHLC!B67)</f>
        <v>0</v>
      </c>
      <c r="AC67" s="8">
        <f>+IF($AJ$1,AL67,TASTYOHLC!C67)</f>
        <v>0</v>
      </c>
      <c r="AD67" s="8">
        <f>+IF($AJ$1,AM67,TASTYOHLC!D67)</f>
        <v>0</v>
      </c>
      <c r="AE67" s="8">
        <f>+IF($AJ$1,AN67,TASTYOHLC!E67)</f>
        <v>0</v>
      </c>
      <c r="AF67" s="8"/>
      <c r="AJ67" s="37"/>
    </row>
    <row r="68" spans="1:36" ht="11.1" customHeight="1" x14ac:dyDescent="0.25">
      <c r="A68" s="43">
        <f t="shared" si="19"/>
        <v>14</v>
      </c>
      <c r="B68" s="46" t="str">
        <f t="shared" ref="B68:X68" si="30">IF(AND($A68&gt;B$55,$A68&lt;B$53),ABS(AVERAGE(B15:B17)),"")</f>
        <v/>
      </c>
      <c r="C68" s="46" t="str">
        <f t="shared" si="30"/>
        <v/>
      </c>
      <c r="D68" s="46" t="str">
        <f t="shared" si="30"/>
        <v/>
      </c>
      <c r="E68" s="46" t="str">
        <f t="shared" si="30"/>
        <v/>
      </c>
      <c r="F68" s="46" t="str">
        <f t="shared" si="30"/>
        <v/>
      </c>
      <c r="G68" s="46" t="str">
        <f t="shared" si="30"/>
        <v/>
      </c>
      <c r="H68" s="46" t="str">
        <f t="shared" si="30"/>
        <v/>
      </c>
      <c r="I68" s="46" t="str">
        <f t="shared" si="30"/>
        <v/>
      </c>
      <c r="J68" s="46" t="str">
        <f t="shared" si="30"/>
        <v/>
      </c>
      <c r="K68" s="46" t="str">
        <f t="shared" si="30"/>
        <v/>
      </c>
      <c r="L68" s="46" t="str">
        <f t="shared" si="30"/>
        <v/>
      </c>
      <c r="M68" s="46" t="str">
        <f t="shared" si="30"/>
        <v/>
      </c>
      <c r="N68" s="46" t="str">
        <f t="shared" si="30"/>
        <v/>
      </c>
      <c r="O68" s="46" t="str">
        <f t="shared" si="30"/>
        <v/>
      </c>
      <c r="P68" s="46" t="str">
        <f t="shared" si="30"/>
        <v/>
      </c>
      <c r="Q68" s="46" t="str">
        <f t="shared" si="30"/>
        <v/>
      </c>
      <c r="R68" s="46" t="str">
        <f t="shared" si="30"/>
        <v/>
      </c>
      <c r="S68" s="46" t="str">
        <f t="shared" si="30"/>
        <v/>
      </c>
      <c r="T68" s="46" t="str">
        <f t="shared" si="30"/>
        <v/>
      </c>
      <c r="U68" s="46">
        <f t="shared" si="30"/>
        <v>261</v>
      </c>
      <c r="V68" s="46" t="str">
        <f t="shared" si="30"/>
        <v/>
      </c>
      <c r="W68" s="46" t="str">
        <f t="shared" si="30"/>
        <v/>
      </c>
      <c r="X68" s="46" t="str">
        <f t="shared" ca="1" si="30"/>
        <v/>
      </c>
      <c r="Y68" s="45"/>
      <c r="Z68" s="45"/>
      <c r="AA68" s="35">
        <f>+IF($AJ$1,AJ68,TASTYOHLC!A68)</f>
        <v>0</v>
      </c>
      <c r="AB68" s="8">
        <f>+IF($AJ$1,AK68,TASTYOHLC!B68)</f>
        <v>0</v>
      </c>
      <c r="AC68" s="8">
        <f>+IF($AJ$1,AL68,TASTYOHLC!C68)</f>
        <v>0</v>
      </c>
      <c r="AD68" s="8">
        <f>+IF($AJ$1,AM68,TASTYOHLC!D68)</f>
        <v>0</v>
      </c>
      <c r="AE68" s="8">
        <f>+IF($AJ$1,AN68,TASTYOHLC!E68)</f>
        <v>0</v>
      </c>
      <c r="AF68" s="8"/>
      <c r="AJ68" s="37"/>
    </row>
    <row r="69" spans="1:36" ht="11.1" customHeight="1" x14ac:dyDescent="0.25">
      <c r="A69" s="43">
        <f t="shared" si="19"/>
        <v>13.5</v>
      </c>
      <c r="B69" s="46" t="str">
        <f t="shared" ref="B69:X69" si="31">IF(AND($A69&gt;B$55,$A69&lt;B$53),ABS(AVERAGE(B16:B18)),"")</f>
        <v/>
      </c>
      <c r="C69" s="46" t="str">
        <f t="shared" si="31"/>
        <v/>
      </c>
      <c r="D69" s="46" t="str">
        <f t="shared" si="31"/>
        <v/>
      </c>
      <c r="E69" s="46" t="str">
        <f t="shared" si="31"/>
        <v/>
      </c>
      <c r="F69" s="46" t="str">
        <f t="shared" si="31"/>
        <v/>
      </c>
      <c r="G69" s="46" t="str">
        <f t="shared" si="31"/>
        <v/>
      </c>
      <c r="H69" s="46" t="str">
        <f t="shared" si="31"/>
        <v/>
      </c>
      <c r="I69" s="46" t="str">
        <f t="shared" si="31"/>
        <v/>
      </c>
      <c r="J69" s="46" t="str">
        <f t="shared" si="31"/>
        <v/>
      </c>
      <c r="K69" s="46" t="str">
        <f t="shared" si="31"/>
        <v/>
      </c>
      <c r="L69" s="46" t="str">
        <f t="shared" si="31"/>
        <v/>
      </c>
      <c r="M69" s="46" t="str">
        <f t="shared" si="31"/>
        <v/>
      </c>
      <c r="N69" s="46" t="str">
        <f t="shared" si="31"/>
        <v/>
      </c>
      <c r="O69" s="46" t="str">
        <f t="shared" si="31"/>
        <v/>
      </c>
      <c r="P69" s="46" t="str">
        <f t="shared" si="31"/>
        <v/>
      </c>
      <c r="Q69" s="46" t="str">
        <f t="shared" si="31"/>
        <v/>
      </c>
      <c r="R69" s="46" t="str">
        <f t="shared" si="31"/>
        <v/>
      </c>
      <c r="S69" s="46" t="str">
        <f t="shared" si="31"/>
        <v/>
      </c>
      <c r="T69" s="46" t="str">
        <f t="shared" si="31"/>
        <v/>
      </c>
      <c r="U69" s="46">
        <f t="shared" si="31"/>
        <v>429</v>
      </c>
      <c r="V69" s="46" t="str">
        <f t="shared" si="31"/>
        <v/>
      </c>
      <c r="W69" s="46" t="str">
        <f t="shared" si="31"/>
        <v/>
      </c>
      <c r="X69" s="46" t="str">
        <f t="shared" ca="1" si="31"/>
        <v/>
      </c>
      <c r="Y69" s="45"/>
      <c r="Z69" s="45"/>
      <c r="AA69" s="35">
        <f>+IF($AJ$1,AJ69,TASTYOHLC!A69)</f>
        <v>0</v>
      </c>
      <c r="AB69" s="8">
        <f>+IF($AJ$1,AK69,TASTYOHLC!B69)</f>
        <v>0</v>
      </c>
      <c r="AC69" s="8">
        <f>+IF($AJ$1,AL69,TASTYOHLC!C69)</f>
        <v>0</v>
      </c>
      <c r="AD69" s="8">
        <f>+IF($AJ$1,AM69,TASTYOHLC!D69)</f>
        <v>0</v>
      </c>
      <c r="AE69" s="8">
        <f>+IF($AJ$1,AN69,TASTYOHLC!E69)</f>
        <v>0</v>
      </c>
      <c r="AF69" s="8"/>
      <c r="AJ69" s="37"/>
    </row>
    <row r="70" spans="1:36" ht="11.1" customHeight="1" x14ac:dyDescent="0.25">
      <c r="A70" s="43">
        <f t="shared" si="19"/>
        <v>13</v>
      </c>
      <c r="B70" s="46" t="str">
        <f t="shared" ref="B70:X70" si="32">IF(AND($A70&gt;B$55,$A70&lt;B$53),ABS(AVERAGE(B17:B19)),"")</f>
        <v/>
      </c>
      <c r="C70" s="46" t="str">
        <f t="shared" si="32"/>
        <v/>
      </c>
      <c r="D70" s="46" t="str">
        <f t="shared" si="32"/>
        <v/>
      </c>
      <c r="E70" s="46" t="str">
        <f t="shared" si="32"/>
        <v/>
      </c>
      <c r="F70" s="46" t="str">
        <f t="shared" si="32"/>
        <v/>
      </c>
      <c r="G70" s="46" t="str">
        <f t="shared" si="32"/>
        <v/>
      </c>
      <c r="H70" s="46" t="str">
        <f t="shared" si="32"/>
        <v/>
      </c>
      <c r="I70" s="46" t="str">
        <f t="shared" si="32"/>
        <v/>
      </c>
      <c r="J70" s="46" t="str">
        <f t="shared" si="32"/>
        <v/>
      </c>
      <c r="K70" s="46" t="str">
        <f t="shared" si="32"/>
        <v/>
      </c>
      <c r="L70" s="46" t="str">
        <f t="shared" si="32"/>
        <v/>
      </c>
      <c r="M70" s="46" t="str">
        <f t="shared" si="32"/>
        <v/>
      </c>
      <c r="N70" s="46" t="str">
        <f t="shared" si="32"/>
        <v/>
      </c>
      <c r="O70" s="46" t="str">
        <f t="shared" si="32"/>
        <v/>
      </c>
      <c r="P70" s="46" t="str">
        <f t="shared" si="32"/>
        <v/>
      </c>
      <c r="Q70" s="46" t="str">
        <f t="shared" si="32"/>
        <v/>
      </c>
      <c r="R70" s="46" t="str">
        <f t="shared" si="32"/>
        <v/>
      </c>
      <c r="S70" s="46" t="str">
        <f t="shared" si="32"/>
        <v/>
      </c>
      <c r="T70" s="46" t="str">
        <f t="shared" si="32"/>
        <v/>
      </c>
      <c r="U70" s="46">
        <f t="shared" si="32"/>
        <v>168</v>
      </c>
      <c r="V70" s="46" t="str">
        <f t="shared" si="32"/>
        <v/>
      </c>
      <c r="W70" s="46" t="str">
        <f t="shared" si="32"/>
        <v/>
      </c>
      <c r="X70" s="46" t="str">
        <f t="shared" ca="1" si="32"/>
        <v/>
      </c>
      <c r="Y70" s="45"/>
      <c r="Z70" s="45"/>
      <c r="AA70" s="35">
        <f>+IF($AJ$1,AJ70,TASTYOHLC!A70)</f>
        <v>0</v>
      </c>
      <c r="AB70" s="8">
        <f>+IF($AJ$1,AK70,TASTYOHLC!B70)</f>
        <v>0</v>
      </c>
      <c r="AC70" s="8">
        <f>+IF($AJ$1,AL70,TASTYOHLC!C70)</f>
        <v>0</v>
      </c>
      <c r="AD70" s="8">
        <f>+IF($AJ$1,AM70,TASTYOHLC!D70)</f>
        <v>0</v>
      </c>
      <c r="AE70" s="8">
        <f>+IF($AJ$1,AN70,TASTYOHLC!E70)</f>
        <v>0</v>
      </c>
      <c r="AF70" s="8"/>
      <c r="AJ70" s="37"/>
    </row>
    <row r="71" spans="1:36" ht="11.1" customHeight="1" x14ac:dyDescent="0.25">
      <c r="A71" s="43">
        <f t="shared" si="19"/>
        <v>12.5</v>
      </c>
      <c r="B71" s="46" t="str">
        <f t="shared" ref="B71:X71" si="33">IF(AND($A71&gt;B$55,$A71&lt;B$53),ABS(AVERAGE(B18:B20)),"")</f>
        <v/>
      </c>
      <c r="C71" s="46" t="str">
        <f t="shared" si="33"/>
        <v/>
      </c>
      <c r="D71" s="46" t="str">
        <f t="shared" si="33"/>
        <v/>
      </c>
      <c r="E71" s="46" t="str">
        <f t="shared" si="33"/>
        <v/>
      </c>
      <c r="F71" s="46" t="str">
        <f t="shared" si="33"/>
        <v/>
      </c>
      <c r="G71" s="46" t="str">
        <f t="shared" si="33"/>
        <v/>
      </c>
      <c r="H71" s="46" t="str">
        <f t="shared" si="33"/>
        <v/>
      </c>
      <c r="I71" s="46" t="str">
        <f t="shared" si="33"/>
        <v/>
      </c>
      <c r="J71" s="46" t="str">
        <f t="shared" si="33"/>
        <v/>
      </c>
      <c r="K71" s="46" t="str">
        <f t="shared" si="33"/>
        <v/>
      </c>
      <c r="L71" s="46" t="str">
        <f t="shared" si="33"/>
        <v/>
      </c>
      <c r="M71" s="46" t="str">
        <f t="shared" si="33"/>
        <v/>
      </c>
      <c r="N71" s="46" t="str">
        <f t="shared" si="33"/>
        <v/>
      </c>
      <c r="O71" s="46" t="str">
        <f t="shared" si="33"/>
        <v/>
      </c>
      <c r="P71" s="46" t="str">
        <f t="shared" si="33"/>
        <v/>
      </c>
      <c r="Q71" s="46" t="str">
        <f t="shared" si="33"/>
        <v/>
      </c>
      <c r="R71" s="46" t="str">
        <f t="shared" si="33"/>
        <v/>
      </c>
      <c r="S71" s="46" t="str">
        <f t="shared" si="33"/>
        <v/>
      </c>
      <c r="T71" s="46" t="str">
        <f t="shared" si="33"/>
        <v/>
      </c>
      <c r="U71" s="46">
        <f t="shared" si="33"/>
        <v>1627.6666666666667</v>
      </c>
      <c r="V71" s="46" t="str">
        <f t="shared" si="33"/>
        <v/>
      </c>
      <c r="W71" s="46" t="str">
        <f t="shared" si="33"/>
        <v/>
      </c>
      <c r="X71" s="46" t="str">
        <f t="shared" ca="1" si="33"/>
        <v/>
      </c>
      <c r="Y71" s="45"/>
      <c r="Z71" s="45"/>
      <c r="AA71" s="35">
        <f>+IF($AJ$1,AJ71,TASTYOHLC!A71)</f>
        <v>0</v>
      </c>
      <c r="AB71" s="8">
        <f>+IF($AJ$1,AK71,TASTYOHLC!B71)</f>
        <v>0</v>
      </c>
      <c r="AC71" s="8">
        <f>+IF($AJ$1,AL71,TASTYOHLC!C71)</f>
        <v>0</v>
      </c>
      <c r="AD71" s="8">
        <f>+IF($AJ$1,AM71,TASTYOHLC!D71)</f>
        <v>0</v>
      </c>
      <c r="AE71" s="8">
        <f>+IF($AJ$1,AN71,TASTYOHLC!E71)</f>
        <v>0</v>
      </c>
      <c r="AF71" s="8"/>
      <c r="AJ71" s="37"/>
    </row>
    <row r="72" spans="1:36" ht="11.1" customHeight="1" x14ac:dyDescent="0.25">
      <c r="A72" s="43">
        <f t="shared" si="19"/>
        <v>12</v>
      </c>
      <c r="B72" s="46" t="str">
        <f t="shared" ref="B72:X72" si="34">IF(AND($A72&gt;B$55,$A72&lt;B$53),ABS(AVERAGE(B19:B21)),"")</f>
        <v/>
      </c>
      <c r="C72" s="46" t="str">
        <f t="shared" si="34"/>
        <v/>
      </c>
      <c r="D72" s="46" t="str">
        <f t="shared" si="34"/>
        <v/>
      </c>
      <c r="E72" s="46" t="str">
        <f t="shared" si="34"/>
        <v/>
      </c>
      <c r="F72" s="46" t="str">
        <f t="shared" si="34"/>
        <v/>
      </c>
      <c r="G72" s="46" t="str">
        <f t="shared" si="34"/>
        <v/>
      </c>
      <c r="H72" s="46" t="str">
        <f t="shared" si="34"/>
        <v/>
      </c>
      <c r="I72" s="46" t="str">
        <f t="shared" si="34"/>
        <v/>
      </c>
      <c r="J72" s="46" t="str">
        <f t="shared" si="34"/>
        <v/>
      </c>
      <c r="K72" s="46" t="str">
        <f t="shared" si="34"/>
        <v/>
      </c>
      <c r="L72" s="46" t="str">
        <f t="shared" si="34"/>
        <v/>
      </c>
      <c r="M72" s="46" t="str">
        <f t="shared" si="34"/>
        <v/>
      </c>
      <c r="N72" s="46" t="str">
        <f t="shared" si="34"/>
        <v/>
      </c>
      <c r="O72" s="46" t="str">
        <f t="shared" si="34"/>
        <v/>
      </c>
      <c r="P72" s="46" t="str">
        <f t="shared" si="34"/>
        <v/>
      </c>
      <c r="Q72" s="46" t="str">
        <f t="shared" si="34"/>
        <v/>
      </c>
      <c r="R72" s="46" t="str">
        <f t="shared" si="34"/>
        <v/>
      </c>
      <c r="S72" s="46" t="str">
        <f t="shared" si="34"/>
        <v/>
      </c>
      <c r="T72" s="46" t="str">
        <f t="shared" si="34"/>
        <v/>
      </c>
      <c r="U72" s="46">
        <f t="shared" si="34"/>
        <v>1459.6666666666667</v>
      </c>
      <c r="V72" s="46" t="str">
        <f t="shared" si="34"/>
        <v/>
      </c>
      <c r="W72" s="46" t="str">
        <f t="shared" si="34"/>
        <v/>
      </c>
      <c r="X72" s="46" t="str">
        <f t="shared" ca="1" si="34"/>
        <v/>
      </c>
      <c r="Y72" s="45"/>
      <c r="Z72" s="45"/>
      <c r="AA72" s="35">
        <f>+IF($AJ$1,AJ72,TASTYOHLC!A72)</f>
        <v>0</v>
      </c>
      <c r="AB72" s="8">
        <f>+IF($AJ$1,AK72,TASTYOHLC!B72)</f>
        <v>0</v>
      </c>
      <c r="AC72" s="8">
        <f>+IF($AJ$1,AL72,TASTYOHLC!C72)</f>
        <v>0</v>
      </c>
      <c r="AD72" s="8">
        <f>+IF($AJ$1,AM72,TASTYOHLC!D72)</f>
        <v>0</v>
      </c>
      <c r="AE72" s="8">
        <f>+IF($AJ$1,AN72,TASTYOHLC!E72)</f>
        <v>0</v>
      </c>
      <c r="AF72" s="8"/>
      <c r="AJ72" s="37"/>
    </row>
    <row r="73" spans="1:36" ht="11.1" customHeight="1" x14ac:dyDescent="0.25">
      <c r="A73" s="43">
        <f t="shared" si="19"/>
        <v>11.5</v>
      </c>
      <c r="B73" s="46" t="str">
        <f t="shared" ref="B73:X73" si="35">IF(AND($A73&gt;B$55,$A73&lt;B$53),ABS(AVERAGE(B20:B22)),"")</f>
        <v/>
      </c>
      <c r="C73" s="46" t="str">
        <f t="shared" si="35"/>
        <v/>
      </c>
      <c r="D73" s="46" t="str">
        <f t="shared" si="35"/>
        <v/>
      </c>
      <c r="E73" s="46" t="str">
        <f t="shared" si="35"/>
        <v/>
      </c>
      <c r="F73" s="46" t="str">
        <f t="shared" si="35"/>
        <v/>
      </c>
      <c r="G73" s="46" t="str">
        <f t="shared" si="35"/>
        <v/>
      </c>
      <c r="H73" s="46" t="str">
        <f t="shared" si="35"/>
        <v/>
      </c>
      <c r="I73" s="46" t="str">
        <f t="shared" si="35"/>
        <v/>
      </c>
      <c r="J73" s="46" t="str">
        <f t="shared" si="35"/>
        <v/>
      </c>
      <c r="K73" s="46" t="str">
        <f t="shared" si="35"/>
        <v/>
      </c>
      <c r="L73" s="46" t="str">
        <f t="shared" si="35"/>
        <v/>
      </c>
      <c r="M73" s="46" t="str">
        <f t="shared" si="35"/>
        <v/>
      </c>
      <c r="N73" s="46" t="str">
        <f t="shared" si="35"/>
        <v/>
      </c>
      <c r="O73" s="46" t="str">
        <f t="shared" si="35"/>
        <v/>
      </c>
      <c r="P73" s="46" t="str">
        <f t="shared" si="35"/>
        <v/>
      </c>
      <c r="Q73" s="46" t="str">
        <f t="shared" si="35"/>
        <v/>
      </c>
      <c r="R73" s="46" t="str">
        <f t="shared" si="35"/>
        <v/>
      </c>
      <c r="S73" s="46" t="str">
        <f t="shared" si="35"/>
        <v/>
      </c>
      <c r="T73" s="46" t="str">
        <f t="shared" si="35"/>
        <v/>
      </c>
      <c r="U73" s="46">
        <f t="shared" si="35"/>
        <v>3044</v>
      </c>
      <c r="V73" s="46" t="str">
        <f t="shared" si="35"/>
        <v/>
      </c>
      <c r="W73" s="46" t="str">
        <f t="shared" si="35"/>
        <v/>
      </c>
      <c r="X73" s="46" t="str">
        <f t="shared" ca="1" si="35"/>
        <v/>
      </c>
      <c r="Y73" s="45"/>
      <c r="Z73" s="45"/>
      <c r="AA73" s="35">
        <f>+IF($AJ$1,AJ73,TASTYOHLC!A73)</f>
        <v>0</v>
      </c>
      <c r="AB73" s="8">
        <f>+IF($AJ$1,AK73,TASTYOHLC!B73)</f>
        <v>0</v>
      </c>
      <c r="AC73" s="8">
        <f>+IF($AJ$1,AL73,TASTYOHLC!C73)</f>
        <v>0</v>
      </c>
      <c r="AD73" s="8">
        <f>+IF($AJ$1,AM73,TASTYOHLC!D73)</f>
        <v>0</v>
      </c>
      <c r="AE73" s="8">
        <f>+IF($AJ$1,AN73,TASTYOHLC!E73)</f>
        <v>0</v>
      </c>
      <c r="AF73" s="8"/>
      <c r="AJ73" s="37"/>
    </row>
    <row r="74" spans="1:36" ht="11.1" customHeight="1" x14ac:dyDescent="0.25">
      <c r="A74" s="43">
        <f t="shared" si="19"/>
        <v>11</v>
      </c>
      <c r="B74" s="46" t="str">
        <f t="shared" ref="B74:X74" si="36">IF(AND($A74&gt;B$55,$A74&lt;B$53),ABS(AVERAGE(B21:B23)),"")</f>
        <v/>
      </c>
      <c r="C74" s="46" t="str">
        <f t="shared" si="36"/>
        <v/>
      </c>
      <c r="D74" s="46" t="str">
        <f t="shared" si="36"/>
        <v/>
      </c>
      <c r="E74" s="46" t="str">
        <f t="shared" si="36"/>
        <v/>
      </c>
      <c r="F74" s="46" t="str">
        <f t="shared" si="36"/>
        <v/>
      </c>
      <c r="G74" s="46" t="str">
        <f t="shared" si="36"/>
        <v/>
      </c>
      <c r="H74" s="46" t="str">
        <f t="shared" si="36"/>
        <v/>
      </c>
      <c r="I74" s="46" t="str">
        <f t="shared" si="36"/>
        <v/>
      </c>
      <c r="J74" s="46" t="str">
        <f t="shared" si="36"/>
        <v/>
      </c>
      <c r="K74" s="46" t="str">
        <f t="shared" si="36"/>
        <v/>
      </c>
      <c r="L74" s="46" t="str">
        <f t="shared" si="36"/>
        <v/>
      </c>
      <c r="M74" s="46" t="str">
        <f t="shared" si="36"/>
        <v/>
      </c>
      <c r="N74" s="46" t="str">
        <f t="shared" si="36"/>
        <v/>
      </c>
      <c r="O74" s="46" t="str">
        <f t="shared" si="36"/>
        <v/>
      </c>
      <c r="P74" s="46" t="str">
        <f t="shared" si="36"/>
        <v/>
      </c>
      <c r="Q74" s="46" t="str">
        <f t="shared" si="36"/>
        <v/>
      </c>
      <c r="R74" s="46" t="str">
        <f t="shared" si="36"/>
        <v/>
      </c>
      <c r="S74" s="46" t="str">
        <f t="shared" si="36"/>
        <v/>
      </c>
      <c r="T74" s="46" t="str">
        <f t="shared" si="36"/>
        <v/>
      </c>
      <c r="U74" s="46">
        <f t="shared" si="36"/>
        <v>1584.3333333333333</v>
      </c>
      <c r="V74" s="46" t="str">
        <f t="shared" si="36"/>
        <v/>
      </c>
      <c r="W74" s="46" t="str">
        <f t="shared" si="36"/>
        <v/>
      </c>
      <c r="X74" s="46" t="str">
        <f t="shared" ca="1" si="36"/>
        <v/>
      </c>
      <c r="Y74" s="45"/>
      <c r="Z74" s="45"/>
      <c r="AA74" s="35">
        <f>+IF($AJ$1,AJ74,TASTYOHLC!A74)</f>
        <v>0</v>
      </c>
      <c r="AB74" s="8">
        <f>+IF($AJ$1,AK74,TASTYOHLC!B74)</f>
        <v>0</v>
      </c>
      <c r="AC74" s="8">
        <f>+IF($AJ$1,AL74,TASTYOHLC!C74)</f>
        <v>0</v>
      </c>
      <c r="AD74" s="8">
        <f>+IF($AJ$1,AM74,TASTYOHLC!D74)</f>
        <v>0</v>
      </c>
      <c r="AE74" s="8">
        <f>+IF($AJ$1,AN74,TASTYOHLC!E74)</f>
        <v>0</v>
      </c>
      <c r="AF74" s="8"/>
      <c r="AJ74" s="37"/>
    </row>
    <row r="75" spans="1:36" ht="11.1" customHeight="1" x14ac:dyDescent="0.25">
      <c r="A75" s="43">
        <f t="shared" si="19"/>
        <v>10.5</v>
      </c>
      <c r="B75" s="46" t="str">
        <f t="shared" ref="B75:X75" si="37">IF(AND($A75&gt;B$55,$A75&lt;B$53),ABS(AVERAGE(B22:B24)),"")</f>
        <v/>
      </c>
      <c r="C75" s="46" t="str">
        <f t="shared" si="37"/>
        <v/>
      </c>
      <c r="D75" s="46" t="str">
        <f t="shared" si="37"/>
        <v/>
      </c>
      <c r="E75" s="46" t="str">
        <f t="shared" si="37"/>
        <v/>
      </c>
      <c r="F75" s="46" t="str">
        <f t="shared" si="37"/>
        <v/>
      </c>
      <c r="G75" s="46" t="str">
        <f t="shared" si="37"/>
        <v/>
      </c>
      <c r="H75" s="46" t="str">
        <f t="shared" si="37"/>
        <v/>
      </c>
      <c r="I75" s="46" t="str">
        <f t="shared" si="37"/>
        <v/>
      </c>
      <c r="J75" s="46" t="str">
        <f t="shared" si="37"/>
        <v/>
      </c>
      <c r="K75" s="46" t="str">
        <f t="shared" si="37"/>
        <v/>
      </c>
      <c r="L75" s="46" t="str">
        <f t="shared" si="37"/>
        <v/>
      </c>
      <c r="M75" s="46" t="str">
        <f t="shared" si="37"/>
        <v/>
      </c>
      <c r="N75" s="46" t="str">
        <f t="shared" si="37"/>
        <v/>
      </c>
      <c r="O75" s="46" t="str">
        <f t="shared" si="37"/>
        <v/>
      </c>
      <c r="P75" s="46" t="str">
        <f t="shared" si="37"/>
        <v/>
      </c>
      <c r="Q75" s="46" t="str">
        <f t="shared" si="37"/>
        <v/>
      </c>
      <c r="R75" s="46" t="str">
        <f t="shared" si="37"/>
        <v/>
      </c>
      <c r="S75" s="46" t="str">
        <f t="shared" si="37"/>
        <v/>
      </c>
      <c r="T75" s="46" t="str">
        <f t="shared" si="37"/>
        <v/>
      </c>
      <c r="U75" s="46">
        <f t="shared" si="37"/>
        <v>5066.333333333333</v>
      </c>
      <c r="V75" s="46" t="str">
        <f t="shared" si="37"/>
        <v/>
      </c>
      <c r="W75" s="46" t="str">
        <f t="shared" si="37"/>
        <v/>
      </c>
      <c r="X75" s="46" t="str">
        <f t="shared" ca="1" si="37"/>
        <v/>
      </c>
      <c r="Y75" s="45"/>
      <c r="Z75" s="45"/>
      <c r="AA75" s="35">
        <f>+IF($AJ$1,AJ75,TASTYOHLC!A75)</f>
        <v>0</v>
      </c>
      <c r="AB75" s="8">
        <f>+IF($AJ$1,AK75,TASTYOHLC!B75)</f>
        <v>0</v>
      </c>
      <c r="AC75" s="8">
        <f>+IF($AJ$1,AL75,TASTYOHLC!C75)</f>
        <v>0</v>
      </c>
      <c r="AD75" s="8">
        <f>+IF($AJ$1,AM75,TASTYOHLC!D75)</f>
        <v>0</v>
      </c>
      <c r="AE75" s="8">
        <f>+IF($AJ$1,AN75,TASTYOHLC!E75)</f>
        <v>0</v>
      </c>
      <c r="AF75" s="8"/>
      <c r="AJ75" s="37"/>
    </row>
    <row r="76" spans="1:36" ht="11.1" customHeight="1" x14ac:dyDescent="0.25">
      <c r="A76" s="43">
        <f t="shared" si="19"/>
        <v>10</v>
      </c>
      <c r="B76" s="46" t="str">
        <f t="shared" ref="B76:X76" si="38">IF(AND($A76&gt;B$55,$A76&lt;B$53),ABS(AVERAGE(B23:B25)),"")</f>
        <v/>
      </c>
      <c r="C76" s="46" t="str">
        <f t="shared" si="38"/>
        <v/>
      </c>
      <c r="D76" s="46" t="str">
        <f t="shared" si="38"/>
        <v/>
      </c>
      <c r="E76" s="46" t="str">
        <f t="shared" si="38"/>
        <v/>
      </c>
      <c r="F76" s="46" t="str">
        <f t="shared" si="38"/>
        <v/>
      </c>
      <c r="G76" s="46" t="str">
        <f t="shared" si="38"/>
        <v/>
      </c>
      <c r="H76" s="46" t="str">
        <f t="shared" si="38"/>
        <v/>
      </c>
      <c r="I76" s="46" t="str">
        <f t="shared" si="38"/>
        <v/>
      </c>
      <c r="J76" s="46" t="str">
        <f t="shared" si="38"/>
        <v/>
      </c>
      <c r="K76" s="46" t="str">
        <f t="shared" si="38"/>
        <v/>
      </c>
      <c r="L76" s="46" t="str">
        <f t="shared" si="38"/>
        <v/>
      </c>
      <c r="M76" s="46" t="str">
        <f t="shared" si="38"/>
        <v/>
      </c>
      <c r="N76" s="46" t="str">
        <f t="shared" si="38"/>
        <v/>
      </c>
      <c r="O76" s="46" t="str">
        <f t="shared" si="38"/>
        <v/>
      </c>
      <c r="P76" s="46" t="str">
        <f t="shared" si="38"/>
        <v/>
      </c>
      <c r="Q76" s="46" t="str">
        <f t="shared" si="38"/>
        <v/>
      </c>
      <c r="R76" s="46" t="str">
        <f t="shared" si="38"/>
        <v/>
      </c>
      <c r="S76" s="46" t="str">
        <f t="shared" si="38"/>
        <v/>
      </c>
      <c r="T76" s="46" t="str">
        <f t="shared" si="38"/>
        <v/>
      </c>
      <c r="U76" s="46">
        <f t="shared" si="38"/>
        <v>3482</v>
      </c>
      <c r="V76" s="46" t="str">
        <f t="shared" si="38"/>
        <v/>
      </c>
      <c r="W76" s="46" t="str">
        <f t="shared" si="38"/>
        <v/>
      </c>
      <c r="X76" s="46" t="str">
        <f t="shared" ca="1" si="38"/>
        <v/>
      </c>
      <c r="Y76" s="45"/>
      <c r="Z76" s="45"/>
    </row>
    <row r="77" spans="1:36" ht="11.1" customHeight="1" x14ac:dyDescent="0.25">
      <c r="A77" s="43">
        <f t="shared" si="19"/>
        <v>9.5</v>
      </c>
      <c r="B77" s="46" t="str">
        <f t="shared" ref="B77:X77" si="39">IF(AND($A77&gt;B$55,$A77&lt;B$53),ABS(AVERAGE(B24:B26)),"")</f>
        <v/>
      </c>
      <c r="C77" s="46" t="str">
        <f t="shared" si="39"/>
        <v/>
      </c>
      <c r="D77" s="46" t="str">
        <f t="shared" si="39"/>
        <v/>
      </c>
      <c r="E77" s="46" t="str">
        <f t="shared" si="39"/>
        <v/>
      </c>
      <c r="F77" s="46" t="str">
        <f t="shared" si="39"/>
        <v/>
      </c>
      <c r="G77" s="46" t="str">
        <f t="shared" si="39"/>
        <v/>
      </c>
      <c r="H77" s="46" t="str">
        <f t="shared" si="39"/>
        <v/>
      </c>
      <c r="I77" s="46" t="str">
        <f t="shared" si="39"/>
        <v/>
      </c>
      <c r="J77" s="46" t="str">
        <f t="shared" si="39"/>
        <v/>
      </c>
      <c r="K77" s="46" t="str">
        <f t="shared" si="39"/>
        <v/>
      </c>
      <c r="L77" s="46" t="str">
        <f t="shared" si="39"/>
        <v/>
      </c>
      <c r="M77" s="46" t="str">
        <f t="shared" si="39"/>
        <v/>
      </c>
      <c r="N77" s="46" t="str">
        <f t="shared" si="39"/>
        <v/>
      </c>
      <c r="O77" s="46" t="str">
        <f t="shared" si="39"/>
        <v/>
      </c>
      <c r="P77" s="46" t="str">
        <f t="shared" si="39"/>
        <v/>
      </c>
      <c r="Q77" s="46" t="str">
        <f t="shared" si="39"/>
        <v/>
      </c>
      <c r="R77" s="46" t="str">
        <f t="shared" si="39"/>
        <v/>
      </c>
      <c r="S77" s="46">
        <f t="shared" si="39"/>
        <v>31586</v>
      </c>
      <c r="T77" s="46" t="str">
        <f t="shared" si="39"/>
        <v/>
      </c>
      <c r="U77" s="46">
        <f t="shared" si="39"/>
        <v>4924</v>
      </c>
      <c r="V77" s="46" t="str">
        <f t="shared" si="39"/>
        <v/>
      </c>
      <c r="W77" s="46">
        <f t="shared" si="39"/>
        <v>30532</v>
      </c>
      <c r="X77" s="46">
        <f t="shared" ca="1" si="39"/>
        <v>71406.333333333328</v>
      </c>
      <c r="Y77" s="45"/>
      <c r="Z77" s="45"/>
    </row>
    <row r="78" spans="1:36" ht="11.1" customHeight="1" x14ac:dyDescent="0.25">
      <c r="A78" s="43">
        <f t="shared" si="19"/>
        <v>9</v>
      </c>
      <c r="B78" s="46" t="str">
        <f t="shared" ref="B78:X78" si="40">IF(AND($A78&gt;B$55,$A78&lt;B$53),ABS(AVERAGE(B25:B27)),"")</f>
        <v/>
      </c>
      <c r="C78" s="46" t="str">
        <f t="shared" si="40"/>
        <v/>
      </c>
      <c r="D78" s="46" t="str">
        <f t="shared" si="40"/>
        <v/>
      </c>
      <c r="E78" s="46" t="str">
        <f t="shared" si="40"/>
        <v/>
      </c>
      <c r="F78" s="46" t="str">
        <f t="shared" si="40"/>
        <v/>
      </c>
      <c r="G78" s="46" t="str">
        <f t="shared" si="40"/>
        <v/>
      </c>
      <c r="H78" s="46" t="str">
        <f t="shared" si="40"/>
        <v/>
      </c>
      <c r="I78" s="46" t="str">
        <f t="shared" si="40"/>
        <v/>
      </c>
      <c r="J78" s="46" t="str">
        <f t="shared" si="40"/>
        <v/>
      </c>
      <c r="K78" s="46" t="str">
        <f t="shared" si="40"/>
        <v/>
      </c>
      <c r="L78" s="46" t="str">
        <f t="shared" si="40"/>
        <v/>
      </c>
      <c r="M78" s="46" t="str">
        <f t="shared" si="40"/>
        <v/>
      </c>
      <c r="N78" s="46" t="str">
        <f t="shared" si="40"/>
        <v/>
      </c>
      <c r="O78" s="46" t="str">
        <f t="shared" si="40"/>
        <v/>
      </c>
      <c r="P78" s="46" t="str">
        <f t="shared" si="40"/>
        <v/>
      </c>
      <c r="Q78" s="46" t="str">
        <f t="shared" si="40"/>
        <v/>
      </c>
      <c r="R78" s="46" t="str">
        <f t="shared" si="40"/>
        <v/>
      </c>
      <c r="S78" s="46">
        <f t="shared" si="40"/>
        <v>11299</v>
      </c>
      <c r="T78" s="46" t="str">
        <f t="shared" si="40"/>
        <v/>
      </c>
      <c r="U78" s="46">
        <f t="shared" si="40"/>
        <v>1442</v>
      </c>
      <c r="V78" s="46" t="str">
        <f t="shared" si="40"/>
        <v/>
      </c>
      <c r="W78" s="46">
        <f t="shared" si="40"/>
        <v>9438.6666666666661</v>
      </c>
      <c r="X78" s="46">
        <f t="shared" ca="1" si="40"/>
        <v>25755.333333333332</v>
      </c>
      <c r="Y78" s="45"/>
      <c r="Z78" s="45"/>
    </row>
    <row r="79" spans="1:36" ht="11.1" customHeight="1" x14ac:dyDescent="0.25">
      <c r="A79" s="43">
        <f t="shared" si="19"/>
        <v>8.5</v>
      </c>
      <c r="B79" s="46" t="str">
        <f t="shared" ref="B79:X79" si="41">IF(AND($A79&gt;B$55,$A79&lt;B$53),ABS(AVERAGE(B26:B28)),"")</f>
        <v/>
      </c>
      <c r="C79" s="46">
        <f t="shared" si="41"/>
        <v>24836</v>
      </c>
      <c r="D79" s="46" t="str">
        <f t="shared" si="41"/>
        <v/>
      </c>
      <c r="E79" s="46" t="str">
        <f t="shared" si="41"/>
        <v/>
      </c>
      <c r="F79" s="46" t="str">
        <f t="shared" si="41"/>
        <v/>
      </c>
      <c r="G79" s="46" t="str">
        <f t="shared" si="41"/>
        <v/>
      </c>
      <c r="H79" s="46" t="str">
        <f t="shared" si="41"/>
        <v/>
      </c>
      <c r="I79" s="46" t="str">
        <f t="shared" si="41"/>
        <v/>
      </c>
      <c r="J79" s="46" t="str">
        <f t="shared" si="41"/>
        <v/>
      </c>
      <c r="K79" s="46" t="str">
        <f t="shared" si="41"/>
        <v/>
      </c>
      <c r="L79" s="46" t="str">
        <f t="shared" si="41"/>
        <v/>
      </c>
      <c r="M79" s="46" t="str">
        <f t="shared" si="41"/>
        <v/>
      </c>
      <c r="N79" s="46" t="str">
        <f t="shared" si="41"/>
        <v/>
      </c>
      <c r="O79" s="46" t="str">
        <f t="shared" si="41"/>
        <v/>
      </c>
      <c r="P79" s="46" t="str">
        <f t="shared" si="41"/>
        <v/>
      </c>
      <c r="Q79" s="46" t="str">
        <f t="shared" si="41"/>
        <v/>
      </c>
      <c r="R79" s="46" t="str">
        <f t="shared" si="41"/>
        <v/>
      </c>
      <c r="S79" s="46">
        <f t="shared" si="41"/>
        <v>17266.333333333332</v>
      </c>
      <c r="T79" s="46" t="str">
        <f t="shared" si="41"/>
        <v/>
      </c>
      <c r="U79" s="46">
        <f t="shared" si="41"/>
        <v>6129.666666666667</v>
      </c>
      <c r="V79" s="46" t="str">
        <f t="shared" si="41"/>
        <v/>
      </c>
      <c r="W79" s="46">
        <f t="shared" si="41"/>
        <v>17210</v>
      </c>
      <c r="X79" s="46">
        <f t="shared" ca="1" si="41"/>
        <v>45037.666666666664</v>
      </c>
      <c r="Y79" s="45"/>
      <c r="Z79" s="45"/>
    </row>
    <row r="80" spans="1:36" ht="11.1" customHeight="1" x14ac:dyDescent="0.25">
      <c r="A80" s="43">
        <f t="shared" si="19"/>
        <v>8</v>
      </c>
      <c r="B80" s="46" t="str">
        <f t="shared" ref="B80:X80" si="42">IF(AND($A80&gt;B$55,$A80&lt;B$53),ABS(AVERAGE(B27:B29)),"")</f>
        <v/>
      </c>
      <c r="C80" s="46">
        <f t="shared" si="42"/>
        <v>31915</v>
      </c>
      <c r="D80" s="46" t="str">
        <f t="shared" si="42"/>
        <v/>
      </c>
      <c r="E80" s="46" t="str">
        <f t="shared" si="42"/>
        <v/>
      </c>
      <c r="F80" s="46" t="str">
        <f t="shared" si="42"/>
        <v/>
      </c>
      <c r="G80" s="46" t="str">
        <f t="shared" si="42"/>
        <v/>
      </c>
      <c r="H80" s="46">
        <f t="shared" si="42"/>
        <v>14763.333333333334</v>
      </c>
      <c r="I80" s="46" t="str">
        <f t="shared" si="42"/>
        <v/>
      </c>
      <c r="J80" s="46" t="str">
        <f t="shared" si="42"/>
        <v/>
      </c>
      <c r="K80" s="46" t="str">
        <f t="shared" si="42"/>
        <v/>
      </c>
      <c r="L80" s="46" t="str">
        <f t="shared" si="42"/>
        <v/>
      </c>
      <c r="M80" s="46" t="str">
        <f t="shared" si="42"/>
        <v/>
      </c>
      <c r="N80" s="46" t="str">
        <f t="shared" si="42"/>
        <v/>
      </c>
      <c r="O80" s="46" t="str">
        <f t="shared" si="42"/>
        <v/>
      </c>
      <c r="P80" s="46" t="str">
        <f t="shared" si="42"/>
        <v/>
      </c>
      <c r="Q80" s="46" t="str">
        <f t="shared" si="42"/>
        <v/>
      </c>
      <c r="R80" s="46">
        <f t="shared" si="42"/>
        <v>32965</v>
      </c>
      <c r="S80" s="46">
        <f t="shared" si="42"/>
        <v>11056.666666666666</v>
      </c>
      <c r="T80" s="46" t="str">
        <f t="shared" si="42"/>
        <v/>
      </c>
      <c r="U80" s="46">
        <f t="shared" si="42"/>
        <v>4687.666666666667</v>
      </c>
      <c r="V80" s="46" t="str">
        <f t="shared" si="42"/>
        <v/>
      </c>
      <c r="W80" s="46">
        <f t="shared" si="42"/>
        <v>7771.333333333333</v>
      </c>
      <c r="X80" s="46">
        <f t="shared" ca="1" si="42"/>
        <v>27435</v>
      </c>
      <c r="Y80" s="45"/>
      <c r="Z80" s="45"/>
    </row>
    <row r="81" spans="1:26" ht="11.1" customHeight="1" x14ac:dyDescent="0.25">
      <c r="A81" s="43">
        <f t="shared" si="19"/>
        <v>7.5</v>
      </c>
      <c r="B81" s="46" t="str">
        <f t="shared" ref="B81:X81" si="43">IF(AND($A81&gt;B$55,$A81&lt;B$53),ABS(AVERAGE(B28:B30)),"")</f>
        <v/>
      </c>
      <c r="C81" s="46" t="str">
        <f t="shared" si="43"/>
        <v/>
      </c>
      <c r="D81" s="46" t="str">
        <f t="shared" si="43"/>
        <v/>
      </c>
      <c r="E81" s="46" t="str">
        <f t="shared" si="43"/>
        <v/>
      </c>
      <c r="F81" s="46" t="str">
        <f t="shared" si="43"/>
        <v/>
      </c>
      <c r="G81" s="46" t="str">
        <f t="shared" si="43"/>
        <v/>
      </c>
      <c r="H81" s="46">
        <f t="shared" si="43"/>
        <v>14372.333333333334</v>
      </c>
      <c r="I81" s="46" t="str">
        <f t="shared" si="43"/>
        <v/>
      </c>
      <c r="J81" s="46" t="str">
        <f t="shared" si="43"/>
        <v/>
      </c>
      <c r="K81" s="46" t="str">
        <f t="shared" si="43"/>
        <v/>
      </c>
      <c r="L81" s="46" t="str">
        <f t="shared" si="43"/>
        <v/>
      </c>
      <c r="M81" s="46">
        <f t="shared" si="43"/>
        <v>21319.666666666668</v>
      </c>
      <c r="N81" s="46" t="str">
        <f t="shared" si="43"/>
        <v/>
      </c>
      <c r="O81" s="46" t="str">
        <f t="shared" si="43"/>
        <v/>
      </c>
      <c r="P81" s="46" t="str">
        <f t="shared" si="43"/>
        <v/>
      </c>
      <c r="Q81" s="46" t="str">
        <f t="shared" si="43"/>
        <v/>
      </c>
      <c r="R81" s="46">
        <f t="shared" si="43"/>
        <v>9813.3333333333339</v>
      </c>
      <c r="S81" s="46">
        <f t="shared" si="43"/>
        <v>11486</v>
      </c>
      <c r="T81" s="46">
        <f t="shared" si="43"/>
        <v>2729</v>
      </c>
      <c r="U81" s="46">
        <f t="shared" si="43"/>
        <v>3880.3333333333335</v>
      </c>
      <c r="V81" s="46" t="str">
        <f t="shared" si="43"/>
        <v/>
      </c>
      <c r="W81" s="46">
        <f t="shared" si="43"/>
        <v>14788.333333333334</v>
      </c>
      <c r="X81" s="46">
        <f t="shared" ca="1" si="43"/>
        <v>32883.666666666664</v>
      </c>
      <c r="Y81" s="45"/>
      <c r="Z81" s="45"/>
    </row>
    <row r="82" spans="1:26" ht="11.1" customHeight="1" x14ac:dyDescent="0.25">
      <c r="A82" s="43">
        <f t="shared" si="19"/>
        <v>7</v>
      </c>
      <c r="B82" s="46" t="str">
        <f t="shared" ref="B82:X82" si="44">IF(AND($A82&gt;B$55,$A82&lt;B$53),ABS(AVERAGE(B29:B31)),"")</f>
        <v/>
      </c>
      <c r="C82" s="46" t="str">
        <f t="shared" si="44"/>
        <v/>
      </c>
      <c r="D82" s="46" t="str">
        <f t="shared" si="44"/>
        <v/>
      </c>
      <c r="E82" s="46" t="str">
        <f t="shared" si="44"/>
        <v/>
      </c>
      <c r="F82" s="46" t="str">
        <f t="shared" si="44"/>
        <v/>
      </c>
      <c r="G82" s="46" t="str">
        <f t="shared" si="44"/>
        <v/>
      </c>
      <c r="H82" s="46">
        <f t="shared" si="44"/>
        <v>27411</v>
      </c>
      <c r="I82" s="46" t="str">
        <f t="shared" si="44"/>
        <v/>
      </c>
      <c r="J82" s="46" t="str">
        <f t="shared" si="44"/>
        <v/>
      </c>
      <c r="K82" s="46" t="str">
        <f t="shared" si="44"/>
        <v/>
      </c>
      <c r="L82" s="46" t="str">
        <f t="shared" si="44"/>
        <v/>
      </c>
      <c r="M82" s="46">
        <f t="shared" si="44"/>
        <v>6867.666666666667</v>
      </c>
      <c r="N82" s="46" t="str">
        <f t="shared" si="44"/>
        <v/>
      </c>
      <c r="O82" s="46" t="str">
        <f t="shared" si="44"/>
        <v/>
      </c>
      <c r="P82" s="46" t="str">
        <f t="shared" si="44"/>
        <v/>
      </c>
      <c r="Q82" s="46" t="str">
        <f t="shared" si="44"/>
        <v/>
      </c>
      <c r="R82" s="46">
        <f t="shared" si="44"/>
        <v>2736</v>
      </c>
      <c r="S82" s="46">
        <f t="shared" si="44"/>
        <v>3127.3333333333335</v>
      </c>
      <c r="T82" s="46">
        <f t="shared" si="44"/>
        <v>549.33333333333337</v>
      </c>
      <c r="U82" s="46" t="str">
        <f t="shared" si="44"/>
        <v/>
      </c>
      <c r="V82" s="46" t="str">
        <f t="shared" si="44"/>
        <v/>
      </c>
      <c r="W82" s="46">
        <f t="shared" si="44"/>
        <v>7017</v>
      </c>
      <c r="X82" s="46">
        <f t="shared" ca="1" si="44"/>
        <v>9886.3333333333339</v>
      </c>
      <c r="Y82" s="45"/>
      <c r="Z82" s="45"/>
    </row>
    <row r="83" spans="1:26" ht="11.1" customHeight="1" x14ac:dyDescent="0.25">
      <c r="A83" s="43">
        <f t="shared" si="19"/>
        <v>6.5</v>
      </c>
      <c r="B83" s="46" t="str">
        <f t="shared" ref="B83:X83" si="45">IF(AND($A83&gt;B$55,$A83&lt;B$53),ABS(AVERAGE(B30:B32)),"")</f>
        <v/>
      </c>
      <c r="C83" s="46" t="str">
        <f t="shared" si="45"/>
        <v/>
      </c>
      <c r="D83" s="46" t="str">
        <f t="shared" si="45"/>
        <v/>
      </c>
      <c r="E83" s="46" t="str">
        <f t="shared" si="45"/>
        <v/>
      </c>
      <c r="F83" s="46" t="str">
        <f t="shared" si="45"/>
        <v/>
      </c>
      <c r="G83" s="46" t="str">
        <f t="shared" si="45"/>
        <v/>
      </c>
      <c r="H83" s="46">
        <f t="shared" si="45"/>
        <v>12762</v>
      </c>
      <c r="I83" s="46" t="str">
        <f t="shared" si="45"/>
        <v/>
      </c>
      <c r="J83" s="46" t="str">
        <f t="shared" si="45"/>
        <v/>
      </c>
      <c r="K83" s="46" t="str">
        <f t="shared" si="45"/>
        <v/>
      </c>
      <c r="L83" s="46" t="str">
        <f t="shared" si="45"/>
        <v/>
      </c>
      <c r="M83" s="46">
        <f t="shared" si="45"/>
        <v>10421.333333333334</v>
      </c>
      <c r="N83" s="46" t="str">
        <f t="shared" si="45"/>
        <v/>
      </c>
      <c r="O83" s="46" t="str">
        <f t="shared" si="45"/>
        <v/>
      </c>
      <c r="P83" s="46" t="str">
        <f t="shared" si="45"/>
        <v/>
      </c>
      <c r="Q83" s="46" t="str">
        <f t="shared" si="45"/>
        <v/>
      </c>
      <c r="R83" s="46">
        <f t="shared" si="45"/>
        <v>3203.3333333333335</v>
      </c>
      <c r="S83" s="46">
        <f t="shared" si="45"/>
        <v>1125.3333333333333</v>
      </c>
      <c r="T83" s="46">
        <f t="shared" si="45"/>
        <v>33.333333333333336</v>
      </c>
      <c r="U83" s="46" t="str">
        <f t="shared" si="45"/>
        <v/>
      </c>
      <c r="V83" s="46" t="str">
        <f t="shared" si="45"/>
        <v/>
      </c>
      <c r="W83" s="46">
        <f t="shared" si="45"/>
        <v>8573.3333333333339</v>
      </c>
      <c r="X83" s="46">
        <f t="shared" ca="1" si="45"/>
        <v>10888.333333333334</v>
      </c>
      <c r="Y83" s="45"/>
      <c r="Z83" s="45"/>
    </row>
    <row r="84" spans="1:26" ht="11.1" customHeight="1" x14ac:dyDescent="0.25">
      <c r="A84" s="43">
        <f t="shared" si="19"/>
        <v>6</v>
      </c>
      <c r="B84" s="46" t="str">
        <f t="shared" ref="B84:X84" si="46">IF(AND($A84&gt;B$55,$A84&lt;B$53),ABS(AVERAGE(B31:B33)),"")</f>
        <v/>
      </c>
      <c r="C84" s="46" t="str">
        <f t="shared" si="46"/>
        <v/>
      </c>
      <c r="D84" s="46" t="str">
        <f t="shared" si="46"/>
        <v/>
      </c>
      <c r="E84" s="46" t="str">
        <f t="shared" si="46"/>
        <v/>
      </c>
      <c r="F84" s="46" t="str">
        <f t="shared" si="46"/>
        <v/>
      </c>
      <c r="G84" s="46" t="str">
        <f t="shared" si="46"/>
        <v/>
      </c>
      <c r="H84" s="46">
        <f t="shared" si="46"/>
        <v>9146.3333333333339</v>
      </c>
      <c r="I84" s="46" t="str">
        <f t="shared" si="46"/>
        <v/>
      </c>
      <c r="J84" s="46" t="str">
        <f t="shared" si="46"/>
        <v/>
      </c>
      <c r="K84" s="46" t="str">
        <f t="shared" si="46"/>
        <v/>
      </c>
      <c r="L84" s="46" t="str">
        <f t="shared" si="46"/>
        <v/>
      </c>
      <c r="M84" s="46" t="str">
        <f t="shared" si="46"/>
        <v/>
      </c>
      <c r="N84" s="46" t="str">
        <f t="shared" si="46"/>
        <v/>
      </c>
      <c r="O84" s="46" t="str">
        <f t="shared" si="46"/>
        <v/>
      </c>
      <c r="P84" s="46" t="str">
        <f t="shared" si="46"/>
        <v/>
      </c>
      <c r="Q84" s="46" t="str">
        <f t="shared" si="46"/>
        <v/>
      </c>
      <c r="R84" s="46" t="str">
        <f t="shared" si="46"/>
        <v/>
      </c>
      <c r="S84" s="46">
        <f t="shared" si="46"/>
        <v>2589</v>
      </c>
      <c r="T84" s="46">
        <f t="shared" si="46"/>
        <v>249</v>
      </c>
      <c r="U84" s="46" t="str">
        <f t="shared" si="46"/>
        <v/>
      </c>
      <c r="V84" s="46" t="str">
        <f t="shared" si="46"/>
        <v/>
      </c>
      <c r="W84" s="46">
        <f t="shared" si="46"/>
        <v>3497</v>
      </c>
      <c r="X84" s="46">
        <f t="shared" ca="1" si="46"/>
        <v>2689.3333333333335</v>
      </c>
      <c r="Y84" s="45"/>
      <c r="Z84" s="45"/>
    </row>
    <row r="85" spans="1:26" ht="11.1" customHeight="1" x14ac:dyDescent="0.25">
      <c r="A85" s="43">
        <f t="shared" si="19"/>
        <v>5.5</v>
      </c>
      <c r="B85" s="46" t="str">
        <f t="shared" ref="B85:X85" si="47">IF(AND($A85&gt;B$55,$A85&lt;B$53),ABS(AVERAGE(B32:B34)),"")</f>
        <v/>
      </c>
      <c r="C85" s="46" t="str">
        <f t="shared" si="47"/>
        <v/>
      </c>
      <c r="D85" s="46" t="str">
        <f t="shared" si="47"/>
        <v/>
      </c>
      <c r="E85" s="46" t="str">
        <f t="shared" si="47"/>
        <v/>
      </c>
      <c r="F85" s="46" t="str">
        <f t="shared" si="47"/>
        <v/>
      </c>
      <c r="G85" s="46" t="str">
        <f t="shared" si="47"/>
        <v/>
      </c>
      <c r="H85" s="46">
        <f t="shared" si="47"/>
        <v>8824.6666666666661</v>
      </c>
      <c r="I85" s="46" t="str">
        <f t="shared" si="47"/>
        <v/>
      </c>
      <c r="J85" s="46" t="str">
        <f t="shared" si="47"/>
        <v/>
      </c>
      <c r="K85" s="46" t="str">
        <f t="shared" si="47"/>
        <v/>
      </c>
      <c r="L85" s="46" t="str">
        <f t="shared" si="47"/>
        <v/>
      </c>
      <c r="M85" s="46" t="str">
        <f t="shared" si="47"/>
        <v/>
      </c>
      <c r="N85" s="46" t="str">
        <f t="shared" si="47"/>
        <v/>
      </c>
      <c r="O85" s="46" t="str">
        <f t="shared" si="47"/>
        <v/>
      </c>
      <c r="P85" s="46" t="str">
        <f t="shared" si="47"/>
        <v/>
      </c>
      <c r="Q85" s="46" t="str">
        <f t="shared" si="47"/>
        <v/>
      </c>
      <c r="R85" s="46" t="str">
        <f t="shared" si="47"/>
        <v/>
      </c>
      <c r="S85" s="46">
        <f t="shared" si="47"/>
        <v>5744</v>
      </c>
      <c r="T85" s="46">
        <f t="shared" si="47"/>
        <v>614</v>
      </c>
      <c r="U85" s="46" t="str">
        <f t="shared" si="47"/>
        <v/>
      </c>
      <c r="V85" s="46" t="str">
        <f t="shared" si="47"/>
        <v/>
      </c>
      <c r="W85" s="46">
        <f t="shared" si="47"/>
        <v>13293</v>
      </c>
      <c r="X85" s="46">
        <f t="shared" ca="1" si="47"/>
        <v>8271.3333333333339</v>
      </c>
      <c r="Y85" s="45"/>
      <c r="Z85" s="45"/>
    </row>
    <row r="86" spans="1:26" ht="11.1" customHeight="1" x14ac:dyDescent="0.25">
      <c r="A86" s="43">
        <f t="shared" si="19"/>
        <v>5</v>
      </c>
      <c r="B86" s="46" t="str">
        <f t="shared" ref="B86:X86" si="48">IF(AND($A86&gt;B$55,$A86&lt;B$53),ABS(AVERAGE(B33:B35)),"")</f>
        <v/>
      </c>
      <c r="C86" s="46" t="str">
        <f t="shared" si="48"/>
        <v/>
      </c>
      <c r="D86" s="46" t="str">
        <f t="shared" si="48"/>
        <v/>
      </c>
      <c r="E86" s="46" t="str">
        <f t="shared" si="48"/>
        <v/>
      </c>
      <c r="F86" s="46" t="str">
        <f t="shared" si="48"/>
        <v/>
      </c>
      <c r="G86" s="46" t="str">
        <f t="shared" si="48"/>
        <v/>
      </c>
      <c r="H86" s="46">
        <f t="shared" si="48"/>
        <v>6206</v>
      </c>
      <c r="I86" s="46" t="str">
        <f t="shared" si="48"/>
        <v/>
      </c>
      <c r="J86" s="46" t="str">
        <f t="shared" si="48"/>
        <v/>
      </c>
      <c r="K86" s="46" t="str">
        <f t="shared" si="48"/>
        <v/>
      </c>
      <c r="L86" s="46" t="str">
        <f t="shared" si="48"/>
        <v/>
      </c>
      <c r="M86" s="46" t="str">
        <f t="shared" si="48"/>
        <v/>
      </c>
      <c r="N86" s="46" t="str">
        <f t="shared" si="48"/>
        <v/>
      </c>
      <c r="O86" s="46" t="str">
        <f t="shared" si="48"/>
        <v/>
      </c>
      <c r="P86" s="46" t="str">
        <f t="shared" si="48"/>
        <v/>
      </c>
      <c r="Q86" s="46" t="str">
        <f t="shared" si="48"/>
        <v/>
      </c>
      <c r="R86" s="46" t="str">
        <f t="shared" si="48"/>
        <v/>
      </c>
      <c r="S86" s="46">
        <f t="shared" si="48"/>
        <v>7732.333333333333</v>
      </c>
      <c r="T86" s="46" t="str">
        <f t="shared" si="48"/>
        <v/>
      </c>
      <c r="U86" s="46" t="str">
        <f t="shared" si="48"/>
        <v/>
      </c>
      <c r="V86" s="46" t="str">
        <f t="shared" si="48"/>
        <v/>
      </c>
      <c r="W86" s="46">
        <f t="shared" si="48"/>
        <v>9899.3333333333339</v>
      </c>
      <c r="X86" s="46">
        <f t="shared" ca="1" si="48"/>
        <v>892</v>
      </c>
      <c r="Y86" s="45"/>
      <c r="Z86" s="45"/>
    </row>
    <row r="87" spans="1:26" ht="11.1" customHeight="1" x14ac:dyDescent="0.25">
      <c r="A87" s="43">
        <f t="shared" si="19"/>
        <v>4.5</v>
      </c>
      <c r="B87" s="46" t="str">
        <f t="shared" ref="B87:X87" si="49">IF(AND($A87&gt;B$55,$A87&lt;B$53),ABS(AVERAGE(B34:B36)),"")</f>
        <v/>
      </c>
      <c r="C87" s="46" t="str">
        <f t="shared" si="49"/>
        <v/>
      </c>
      <c r="D87" s="46" t="str">
        <f t="shared" si="49"/>
        <v/>
      </c>
      <c r="E87" s="46" t="str">
        <f t="shared" si="49"/>
        <v/>
      </c>
      <c r="F87" s="46" t="str">
        <f t="shared" si="49"/>
        <v/>
      </c>
      <c r="G87" s="46" t="str">
        <f t="shared" si="49"/>
        <v/>
      </c>
      <c r="H87" s="46">
        <f t="shared" si="49"/>
        <v>14834.666666666666</v>
      </c>
      <c r="I87" s="46" t="str">
        <f t="shared" si="49"/>
        <v/>
      </c>
      <c r="J87" s="46" t="str">
        <f t="shared" si="49"/>
        <v/>
      </c>
      <c r="K87" s="46" t="str">
        <f t="shared" si="49"/>
        <v/>
      </c>
      <c r="L87" s="46" t="str">
        <f t="shared" si="49"/>
        <v/>
      </c>
      <c r="M87" s="46" t="str">
        <f t="shared" si="49"/>
        <v/>
      </c>
      <c r="N87" s="46" t="str">
        <f t="shared" si="49"/>
        <v/>
      </c>
      <c r="O87" s="46" t="str">
        <f t="shared" si="49"/>
        <v/>
      </c>
      <c r="P87" s="46" t="str">
        <f t="shared" si="49"/>
        <v/>
      </c>
      <c r="Q87" s="46" t="str">
        <f t="shared" si="49"/>
        <v/>
      </c>
      <c r="R87" s="46" t="str">
        <f t="shared" si="49"/>
        <v/>
      </c>
      <c r="S87" s="46">
        <f t="shared" si="49"/>
        <v>8808</v>
      </c>
      <c r="T87" s="46" t="str">
        <f t="shared" si="49"/>
        <v/>
      </c>
      <c r="U87" s="46" t="str">
        <f t="shared" si="49"/>
        <v/>
      </c>
      <c r="V87" s="46" t="str">
        <f t="shared" si="49"/>
        <v/>
      </c>
      <c r="W87" s="46">
        <f t="shared" si="49"/>
        <v>10545.666666666666</v>
      </c>
      <c r="X87" s="46">
        <f t="shared" ca="1" si="49"/>
        <v>585</v>
      </c>
      <c r="Y87" s="45"/>
      <c r="Z87" s="45"/>
    </row>
    <row r="88" spans="1:26" ht="11.1" customHeight="1" x14ac:dyDescent="0.25">
      <c r="A88" s="43">
        <f t="shared" si="19"/>
        <v>4</v>
      </c>
      <c r="B88" s="46" t="str">
        <f t="shared" ref="B88:X88" si="50">IF(AND($A88&gt;B$55,$A88&lt;B$53),ABS(AVERAGE(B35:B37)),"")</f>
        <v/>
      </c>
      <c r="C88" s="46" t="str">
        <f t="shared" si="50"/>
        <v/>
      </c>
      <c r="D88" s="46" t="str">
        <f t="shared" si="50"/>
        <v/>
      </c>
      <c r="E88" s="46" t="str">
        <f t="shared" si="50"/>
        <v/>
      </c>
      <c r="F88" s="46" t="str">
        <f t="shared" si="50"/>
        <v/>
      </c>
      <c r="G88" s="46" t="str">
        <f t="shared" si="50"/>
        <v/>
      </c>
      <c r="H88" s="46">
        <f t="shared" si="50"/>
        <v>10019.666666666666</v>
      </c>
      <c r="I88" s="46" t="str">
        <f t="shared" si="50"/>
        <v/>
      </c>
      <c r="J88" s="46" t="str">
        <f t="shared" si="50"/>
        <v/>
      </c>
      <c r="K88" s="46" t="str">
        <f t="shared" si="50"/>
        <v/>
      </c>
      <c r="L88" s="46" t="str">
        <f t="shared" si="50"/>
        <v/>
      </c>
      <c r="M88" s="46" t="str">
        <f t="shared" si="50"/>
        <v/>
      </c>
      <c r="N88" s="46" t="str">
        <f t="shared" si="50"/>
        <v/>
      </c>
      <c r="O88" s="46" t="str">
        <f t="shared" si="50"/>
        <v/>
      </c>
      <c r="P88" s="46" t="str">
        <f t="shared" si="50"/>
        <v/>
      </c>
      <c r="Q88" s="46" t="str">
        <f t="shared" si="50"/>
        <v/>
      </c>
      <c r="R88" s="46" t="str">
        <f t="shared" si="50"/>
        <v/>
      </c>
      <c r="S88" s="46">
        <f t="shared" si="50"/>
        <v>5428</v>
      </c>
      <c r="T88" s="46" t="str">
        <f t="shared" si="50"/>
        <v/>
      </c>
      <c r="U88" s="46" t="str">
        <f t="shared" si="50"/>
        <v/>
      </c>
      <c r="V88" s="46" t="str">
        <f t="shared" si="50"/>
        <v/>
      </c>
      <c r="W88" s="46">
        <f t="shared" si="50"/>
        <v>1896.3333333333333</v>
      </c>
      <c r="X88" s="46">
        <f t="shared" ca="1" si="50"/>
        <v>3669.3333333333335</v>
      </c>
      <c r="Y88" s="45"/>
      <c r="Z88" s="45"/>
    </row>
    <row r="89" spans="1:26" ht="11.1" customHeight="1" x14ac:dyDescent="0.25">
      <c r="A89" s="43">
        <f t="shared" si="19"/>
        <v>3.5</v>
      </c>
      <c r="B89" s="46" t="str">
        <f t="shared" ref="B89:X89" si="51">IF(AND($A89&gt;B$55,$A89&lt;B$53),ABS(AVERAGE(B36:B38)),"")</f>
        <v/>
      </c>
      <c r="C89" s="46" t="str">
        <f t="shared" si="51"/>
        <v/>
      </c>
      <c r="D89" s="46" t="str">
        <f t="shared" si="51"/>
        <v/>
      </c>
      <c r="E89" s="46" t="str">
        <f t="shared" si="51"/>
        <v/>
      </c>
      <c r="F89" s="46" t="str">
        <f t="shared" si="51"/>
        <v/>
      </c>
      <c r="G89" s="46" t="str">
        <f t="shared" si="51"/>
        <v/>
      </c>
      <c r="H89" s="46">
        <f t="shared" si="51"/>
        <v>27422.666666666668</v>
      </c>
      <c r="I89" s="46" t="str">
        <f t="shared" si="51"/>
        <v/>
      </c>
      <c r="J89" s="46" t="str">
        <f t="shared" si="51"/>
        <v/>
      </c>
      <c r="K89" s="46" t="str">
        <f t="shared" si="51"/>
        <v/>
      </c>
      <c r="L89" s="46" t="str">
        <f t="shared" si="51"/>
        <v/>
      </c>
      <c r="M89" s="46" t="str">
        <f t="shared" si="51"/>
        <v/>
      </c>
      <c r="N89" s="46" t="str">
        <f t="shared" si="51"/>
        <v/>
      </c>
      <c r="O89" s="46" t="str">
        <f t="shared" si="51"/>
        <v/>
      </c>
      <c r="P89" s="46" t="str">
        <f t="shared" si="51"/>
        <v/>
      </c>
      <c r="Q89" s="46" t="str">
        <f t="shared" si="51"/>
        <v/>
      </c>
      <c r="R89" s="46" t="str">
        <f t="shared" si="51"/>
        <v/>
      </c>
      <c r="S89" s="46">
        <f t="shared" si="51"/>
        <v>4167.333333333333</v>
      </c>
      <c r="T89" s="46" t="str">
        <f t="shared" si="51"/>
        <v/>
      </c>
      <c r="U89" s="46" t="str">
        <f t="shared" si="51"/>
        <v/>
      </c>
      <c r="V89" s="46" t="str">
        <f t="shared" si="51"/>
        <v/>
      </c>
      <c r="W89" s="46">
        <f t="shared" si="51"/>
        <v>7571.333333333333</v>
      </c>
      <c r="X89" s="46">
        <f t="shared" ca="1" si="51"/>
        <v>3019.3333333333335</v>
      </c>
      <c r="Y89" s="45"/>
      <c r="Z89" s="45"/>
    </row>
    <row r="90" spans="1:26" ht="11.1" customHeight="1" x14ac:dyDescent="0.25">
      <c r="A90" s="43">
        <f t="shared" si="19"/>
        <v>3</v>
      </c>
      <c r="B90" s="46" t="str">
        <f t="shared" ref="B90:X90" si="52">IF(AND($A90&gt;B$55,$A90&lt;B$53),ABS(AVERAGE(B37:B39)),"")</f>
        <v/>
      </c>
      <c r="C90" s="46" t="str">
        <f t="shared" si="52"/>
        <v/>
      </c>
      <c r="D90" s="46" t="str">
        <f t="shared" si="52"/>
        <v/>
      </c>
      <c r="E90" s="46" t="str">
        <f t="shared" si="52"/>
        <v/>
      </c>
      <c r="F90" s="46" t="str">
        <f t="shared" si="52"/>
        <v/>
      </c>
      <c r="G90" s="46" t="str">
        <f t="shared" si="52"/>
        <v/>
      </c>
      <c r="H90" s="46" t="str">
        <f t="shared" si="52"/>
        <v/>
      </c>
      <c r="I90" s="46" t="str">
        <f t="shared" si="52"/>
        <v/>
      </c>
      <c r="J90" s="46" t="str">
        <f t="shared" si="52"/>
        <v/>
      </c>
      <c r="K90" s="46" t="str">
        <f t="shared" si="52"/>
        <v/>
      </c>
      <c r="L90" s="46" t="str">
        <f t="shared" si="52"/>
        <v/>
      </c>
      <c r="M90" s="46" t="str">
        <f t="shared" si="52"/>
        <v/>
      </c>
      <c r="N90" s="46" t="str">
        <f t="shared" si="52"/>
        <v/>
      </c>
      <c r="O90" s="46" t="str">
        <f t="shared" si="52"/>
        <v/>
      </c>
      <c r="P90" s="46" t="str">
        <f t="shared" si="52"/>
        <v/>
      </c>
      <c r="Q90" s="46" t="str">
        <f t="shared" si="52"/>
        <v/>
      </c>
      <c r="R90" s="46" t="str">
        <f t="shared" si="52"/>
        <v/>
      </c>
      <c r="S90" s="46">
        <f t="shared" si="52"/>
        <v>4945.333333333333</v>
      </c>
      <c r="T90" s="46" t="str">
        <f t="shared" si="52"/>
        <v/>
      </c>
      <c r="U90" s="46" t="str">
        <f t="shared" si="52"/>
        <v/>
      </c>
      <c r="V90" s="46" t="str">
        <f t="shared" si="52"/>
        <v/>
      </c>
      <c r="W90" s="46">
        <f t="shared" si="52"/>
        <v>8358.6666666666661</v>
      </c>
      <c r="X90" s="46">
        <f t="shared" ca="1" si="52"/>
        <v>3081.3333333333335</v>
      </c>
      <c r="Y90" s="45"/>
      <c r="Z90" s="45"/>
    </row>
    <row r="91" spans="1:26" ht="11.1" customHeight="1" x14ac:dyDescent="0.25">
      <c r="A91" s="43">
        <f t="shared" si="19"/>
        <v>2.5</v>
      </c>
      <c r="B91" s="46" t="str">
        <f t="shared" ref="B91:X91" si="53">IF(AND($A91&gt;B$55,$A91&lt;B$53),ABS(AVERAGE(B38:B40)),"")</f>
        <v/>
      </c>
      <c r="C91" s="46" t="str">
        <f t="shared" si="53"/>
        <v/>
      </c>
      <c r="D91" s="46" t="str">
        <f t="shared" si="53"/>
        <v/>
      </c>
      <c r="E91" s="46" t="str">
        <f t="shared" si="53"/>
        <v/>
      </c>
      <c r="F91" s="46" t="str">
        <f t="shared" si="53"/>
        <v/>
      </c>
      <c r="G91" s="46" t="str">
        <f t="shared" si="53"/>
        <v/>
      </c>
      <c r="H91" s="46" t="str">
        <f t="shared" si="53"/>
        <v/>
      </c>
      <c r="I91" s="46" t="str">
        <f t="shared" si="53"/>
        <v/>
      </c>
      <c r="J91" s="46" t="str">
        <f t="shared" si="53"/>
        <v/>
      </c>
      <c r="K91" s="46" t="str">
        <f t="shared" si="53"/>
        <v/>
      </c>
      <c r="L91" s="46" t="str">
        <f t="shared" si="53"/>
        <v/>
      </c>
      <c r="M91" s="46" t="str">
        <f t="shared" si="53"/>
        <v/>
      </c>
      <c r="N91" s="46" t="str">
        <f t="shared" si="53"/>
        <v/>
      </c>
      <c r="O91" s="46" t="str">
        <f t="shared" si="53"/>
        <v/>
      </c>
      <c r="P91" s="46" t="str">
        <f t="shared" si="53"/>
        <v/>
      </c>
      <c r="Q91" s="46" t="str">
        <f t="shared" si="53"/>
        <v/>
      </c>
      <c r="R91" s="46" t="str">
        <f t="shared" si="53"/>
        <v/>
      </c>
      <c r="S91" s="46">
        <f t="shared" si="53"/>
        <v>2471</v>
      </c>
      <c r="T91" s="46" t="str">
        <f t="shared" si="53"/>
        <v/>
      </c>
      <c r="U91" s="46" t="str">
        <f t="shared" si="53"/>
        <v/>
      </c>
      <c r="V91" s="46" t="str">
        <f t="shared" si="53"/>
        <v/>
      </c>
      <c r="W91" s="46">
        <f t="shared" si="53"/>
        <v>7716.333333333333</v>
      </c>
      <c r="X91" s="46">
        <f t="shared" ca="1" si="53"/>
        <v>4941</v>
      </c>
      <c r="Y91" s="45"/>
      <c r="Z91" s="45"/>
    </row>
    <row r="92" spans="1:26" ht="11.1" customHeight="1" x14ac:dyDescent="0.25">
      <c r="A92" s="43">
        <f t="shared" si="19"/>
        <v>2</v>
      </c>
      <c r="B92" s="46" t="str">
        <f t="shared" ref="B92:X92" si="54">IF(AND($A92&gt;B$55,$A92&lt;B$53),ABS(AVERAGE(B39:B41)),"")</f>
        <v/>
      </c>
      <c r="C92" s="46" t="str">
        <f t="shared" si="54"/>
        <v/>
      </c>
      <c r="D92" s="46" t="str">
        <f t="shared" si="54"/>
        <v/>
      </c>
      <c r="E92" s="46" t="str">
        <f t="shared" si="54"/>
        <v/>
      </c>
      <c r="F92" s="46" t="str">
        <f t="shared" si="54"/>
        <v/>
      </c>
      <c r="G92" s="46" t="str">
        <f t="shared" si="54"/>
        <v/>
      </c>
      <c r="H92" s="46" t="str">
        <f t="shared" si="54"/>
        <v/>
      </c>
      <c r="I92" s="46" t="str">
        <f t="shared" si="54"/>
        <v/>
      </c>
      <c r="J92" s="46" t="str">
        <f t="shared" si="54"/>
        <v/>
      </c>
      <c r="K92" s="46" t="str">
        <f t="shared" si="54"/>
        <v/>
      </c>
      <c r="L92" s="46" t="str">
        <f t="shared" si="54"/>
        <v/>
      </c>
      <c r="M92" s="46" t="str">
        <f t="shared" si="54"/>
        <v/>
      </c>
      <c r="N92" s="46" t="str">
        <f t="shared" si="54"/>
        <v/>
      </c>
      <c r="O92" s="46" t="str">
        <f t="shared" si="54"/>
        <v/>
      </c>
      <c r="P92" s="46" t="str">
        <f t="shared" si="54"/>
        <v/>
      </c>
      <c r="Q92" s="46" t="str">
        <f t="shared" si="54"/>
        <v/>
      </c>
      <c r="R92" s="46" t="str">
        <f t="shared" si="54"/>
        <v/>
      </c>
      <c r="S92" s="46">
        <f t="shared" si="54"/>
        <v>3059.6666666666665</v>
      </c>
      <c r="T92" s="46" t="str">
        <f t="shared" si="54"/>
        <v/>
      </c>
      <c r="U92" s="46" t="str">
        <f t="shared" si="54"/>
        <v/>
      </c>
      <c r="V92" s="46" t="str">
        <f t="shared" si="54"/>
        <v/>
      </c>
      <c r="W92" s="46">
        <f t="shared" si="54"/>
        <v>4455</v>
      </c>
      <c r="X92" s="46">
        <f t="shared" ca="1" si="54"/>
        <v>1404.6666666666667</v>
      </c>
      <c r="Y92" s="45"/>
      <c r="Z92" s="45"/>
    </row>
    <row r="93" spans="1:26" ht="11.1" customHeight="1" x14ac:dyDescent="0.25">
      <c r="A93" s="43">
        <f t="shared" si="19"/>
        <v>1.5</v>
      </c>
      <c r="B93" s="46" t="str">
        <f t="shared" ref="B93:X93" si="55">IF(AND($A93&gt;B$55,$A93&lt;B$53),ABS(AVERAGE(B40:B42)),"")</f>
        <v/>
      </c>
      <c r="C93" s="46" t="str">
        <f t="shared" si="55"/>
        <v/>
      </c>
      <c r="D93" s="46" t="str">
        <f t="shared" si="55"/>
        <v/>
      </c>
      <c r="E93" s="46" t="str">
        <f t="shared" si="55"/>
        <v/>
      </c>
      <c r="F93" s="46" t="str">
        <f t="shared" si="55"/>
        <v/>
      </c>
      <c r="G93" s="46" t="str">
        <f t="shared" si="55"/>
        <v/>
      </c>
      <c r="H93" s="46" t="str">
        <f t="shared" si="55"/>
        <v/>
      </c>
      <c r="I93" s="46" t="str">
        <f t="shared" si="55"/>
        <v/>
      </c>
      <c r="J93" s="46" t="str">
        <f t="shared" si="55"/>
        <v/>
      </c>
      <c r="K93" s="46" t="str">
        <f t="shared" si="55"/>
        <v/>
      </c>
      <c r="L93" s="46" t="str">
        <f t="shared" si="55"/>
        <v/>
      </c>
      <c r="M93" s="46" t="str">
        <f t="shared" si="55"/>
        <v/>
      </c>
      <c r="N93" s="46" t="str">
        <f t="shared" si="55"/>
        <v/>
      </c>
      <c r="O93" s="46" t="str">
        <f t="shared" si="55"/>
        <v/>
      </c>
      <c r="P93" s="46" t="str">
        <f t="shared" si="55"/>
        <v/>
      </c>
      <c r="Q93" s="46" t="str">
        <f t="shared" si="55"/>
        <v/>
      </c>
      <c r="R93" s="46" t="str">
        <f t="shared" si="55"/>
        <v/>
      </c>
      <c r="S93" s="46">
        <f t="shared" si="55"/>
        <v>1519</v>
      </c>
      <c r="T93" s="46" t="str">
        <f t="shared" si="55"/>
        <v/>
      </c>
      <c r="U93" s="46" t="str">
        <f t="shared" si="55"/>
        <v/>
      </c>
      <c r="V93" s="46" t="str">
        <f t="shared" si="55"/>
        <v/>
      </c>
      <c r="W93" s="46">
        <f t="shared" si="55"/>
        <v>4129</v>
      </c>
      <c r="X93" s="46">
        <f t="shared" ca="1" si="55"/>
        <v>5650</v>
      </c>
      <c r="Y93" s="45"/>
      <c r="Z93" s="45"/>
    </row>
    <row r="94" spans="1:26" ht="11.1" customHeight="1" x14ac:dyDescent="0.25">
      <c r="A94" s="43">
        <f t="shared" si="19"/>
        <v>1</v>
      </c>
      <c r="B94" s="46" t="str">
        <f t="shared" ref="B94:X94" si="56">IF(AND($A94&gt;B$55,$A94&lt;B$53),ABS(AVERAGE(B41:B43)),"")</f>
        <v/>
      </c>
      <c r="C94" s="46" t="str">
        <f t="shared" si="56"/>
        <v/>
      </c>
      <c r="D94" s="46" t="str">
        <f t="shared" si="56"/>
        <v/>
      </c>
      <c r="E94" s="46" t="str">
        <f t="shared" si="56"/>
        <v/>
      </c>
      <c r="F94" s="46" t="str">
        <f t="shared" si="56"/>
        <v/>
      </c>
      <c r="G94" s="46" t="str">
        <f t="shared" si="56"/>
        <v/>
      </c>
      <c r="H94" s="46" t="str">
        <f t="shared" si="56"/>
        <v/>
      </c>
      <c r="I94" s="46" t="str">
        <f t="shared" si="56"/>
        <v/>
      </c>
      <c r="J94" s="46" t="str">
        <f t="shared" si="56"/>
        <v/>
      </c>
      <c r="K94" s="46" t="str">
        <f t="shared" si="56"/>
        <v/>
      </c>
      <c r="L94" s="46" t="str">
        <f t="shared" si="56"/>
        <v/>
      </c>
      <c r="M94" s="46" t="str">
        <f t="shared" si="56"/>
        <v/>
      </c>
      <c r="N94" s="46" t="str">
        <f t="shared" si="56"/>
        <v/>
      </c>
      <c r="O94" s="46" t="str">
        <f t="shared" si="56"/>
        <v/>
      </c>
      <c r="P94" s="46" t="str">
        <f t="shared" si="56"/>
        <v/>
      </c>
      <c r="Q94" s="46" t="str">
        <f t="shared" si="56"/>
        <v/>
      </c>
      <c r="R94" s="46" t="str">
        <f t="shared" si="56"/>
        <v/>
      </c>
      <c r="S94" s="46">
        <f t="shared" si="56"/>
        <v>8558.3333333333339</v>
      </c>
      <c r="T94" s="46" t="str">
        <f t="shared" si="56"/>
        <v/>
      </c>
      <c r="U94" s="46" t="str">
        <f t="shared" si="56"/>
        <v/>
      </c>
      <c r="V94" s="46" t="str">
        <f t="shared" si="56"/>
        <v/>
      </c>
      <c r="W94" s="46" t="str">
        <f t="shared" si="56"/>
        <v/>
      </c>
      <c r="X94" s="46">
        <f t="shared" ca="1" si="56"/>
        <v>15387.666666666666</v>
      </c>
      <c r="Y94" s="45"/>
      <c r="Z94" s="45"/>
    </row>
    <row r="95" spans="1:26" ht="11.1" customHeight="1" x14ac:dyDescent="0.25">
      <c r="A95" s="43">
        <f t="shared" si="19"/>
        <v>0.5</v>
      </c>
      <c r="B95" s="46" t="str">
        <f t="shared" ref="B95:X95" si="57">IF(AND($A95&gt;B$55,$A95&lt;B$53),ABS(AVERAGE(B42:B44)),"")</f>
        <v/>
      </c>
      <c r="C95" s="46" t="str">
        <f t="shared" si="57"/>
        <v/>
      </c>
      <c r="D95" s="46" t="str">
        <f t="shared" si="57"/>
        <v/>
      </c>
      <c r="E95" s="46" t="str">
        <f t="shared" si="57"/>
        <v/>
      </c>
      <c r="F95" s="46" t="str">
        <f t="shared" si="57"/>
        <v/>
      </c>
      <c r="G95" s="46" t="str">
        <f t="shared" si="57"/>
        <v/>
      </c>
      <c r="H95" s="46" t="str">
        <f t="shared" si="57"/>
        <v/>
      </c>
      <c r="I95" s="46" t="str">
        <f t="shared" si="57"/>
        <v/>
      </c>
      <c r="J95" s="46" t="str">
        <f t="shared" si="57"/>
        <v/>
      </c>
      <c r="K95" s="46" t="str">
        <f t="shared" si="57"/>
        <v/>
      </c>
      <c r="L95" s="46" t="str">
        <f t="shared" si="57"/>
        <v/>
      </c>
      <c r="M95" s="46" t="str">
        <f t="shared" si="57"/>
        <v/>
      </c>
      <c r="N95" s="46" t="str">
        <f t="shared" si="57"/>
        <v/>
      </c>
      <c r="O95" s="46" t="str">
        <f t="shared" si="57"/>
        <v/>
      </c>
      <c r="P95" s="46" t="str">
        <f t="shared" si="57"/>
        <v/>
      </c>
      <c r="Q95" s="46" t="str">
        <f t="shared" si="57"/>
        <v/>
      </c>
      <c r="R95" s="46" t="str">
        <f t="shared" si="57"/>
        <v/>
      </c>
      <c r="S95" s="46" t="str">
        <f t="shared" si="57"/>
        <v/>
      </c>
      <c r="T95" s="46" t="str">
        <f t="shared" si="57"/>
        <v/>
      </c>
      <c r="U95" s="46" t="str">
        <f t="shared" si="57"/>
        <v/>
      </c>
      <c r="V95" s="46" t="str">
        <f t="shared" si="57"/>
        <v/>
      </c>
      <c r="W95" s="46" t="str">
        <f t="shared" si="57"/>
        <v/>
      </c>
      <c r="X95" s="46" t="str">
        <f t="shared" ca="1" si="57"/>
        <v/>
      </c>
      <c r="Y95" s="45"/>
      <c r="Z95" s="45"/>
    </row>
    <row r="96" spans="1:26" ht="11.1" customHeight="1" x14ac:dyDescent="0.25">
      <c r="A96" s="43">
        <f t="shared" si="19"/>
        <v>0</v>
      </c>
      <c r="B96" s="46" t="str">
        <f t="shared" ref="B96:X96" si="58">IF(AND($A96&gt;B$55,$A96&lt;B$53),ABS(AVERAGE(B43:B45)),"")</f>
        <v/>
      </c>
      <c r="C96" s="46" t="str">
        <f t="shared" si="58"/>
        <v/>
      </c>
      <c r="D96" s="46" t="str">
        <f t="shared" si="58"/>
        <v/>
      </c>
      <c r="E96" s="46" t="str">
        <f t="shared" si="58"/>
        <v/>
      </c>
      <c r="F96" s="46" t="str">
        <f t="shared" si="58"/>
        <v/>
      </c>
      <c r="G96" s="46" t="str">
        <f t="shared" si="58"/>
        <v/>
      </c>
      <c r="H96" s="46" t="str">
        <f t="shared" si="58"/>
        <v/>
      </c>
      <c r="I96" s="46" t="str">
        <f t="shared" si="58"/>
        <v/>
      </c>
      <c r="J96" s="46" t="str">
        <f t="shared" si="58"/>
        <v/>
      </c>
      <c r="K96" s="46" t="str">
        <f t="shared" si="58"/>
        <v/>
      </c>
      <c r="L96" s="46" t="str">
        <f t="shared" si="58"/>
        <v/>
      </c>
      <c r="M96" s="46" t="str">
        <f t="shared" si="58"/>
        <v/>
      </c>
      <c r="N96" s="46" t="str">
        <f t="shared" si="58"/>
        <v/>
      </c>
      <c r="O96" s="46" t="str">
        <f t="shared" si="58"/>
        <v/>
      </c>
      <c r="P96" s="46" t="str">
        <f t="shared" si="58"/>
        <v/>
      </c>
      <c r="Q96" s="46" t="str">
        <f t="shared" si="58"/>
        <v/>
      </c>
      <c r="R96" s="46" t="str">
        <f t="shared" si="58"/>
        <v/>
      </c>
      <c r="S96" s="46" t="str">
        <f t="shared" si="58"/>
        <v/>
      </c>
      <c r="T96" s="46" t="str">
        <f t="shared" si="58"/>
        <v/>
      </c>
      <c r="U96" s="46" t="str">
        <f t="shared" si="58"/>
        <v/>
      </c>
      <c r="V96" s="46" t="str">
        <f t="shared" si="58"/>
        <v/>
      </c>
      <c r="W96" s="46" t="str">
        <f t="shared" si="58"/>
        <v/>
      </c>
      <c r="X96" s="46" t="str">
        <f t="shared" ca="1" si="58"/>
        <v/>
      </c>
      <c r="Y96" s="45"/>
      <c r="Z96" s="45"/>
    </row>
    <row r="97" spans="1:26" ht="11.1" customHeight="1" x14ac:dyDescent="0.25">
      <c r="A97" s="43">
        <f t="shared" si="19"/>
        <v>-0.5</v>
      </c>
      <c r="B97" s="46" t="str">
        <f t="shared" ref="B97:X97" si="59">IF(AND($A97&gt;B$55,$A97&lt;B$53),ABS(AVERAGE(B44:B46)),"")</f>
        <v/>
      </c>
      <c r="C97" s="46" t="str">
        <f t="shared" si="59"/>
        <v/>
      </c>
      <c r="D97" s="46" t="str">
        <f t="shared" si="59"/>
        <v/>
      </c>
      <c r="E97" s="46" t="str">
        <f t="shared" si="59"/>
        <v/>
      </c>
      <c r="F97" s="46" t="str">
        <f t="shared" si="59"/>
        <v/>
      </c>
      <c r="G97" s="46" t="str">
        <f t="shared" si="59"/>
        <v/>
      </c>
      <c r="H97" s="46" t="str">
        <f t="shared" si="59"/>
        <v/>
      </c>
      <c r="I97" s="46" t="str">
        <f t="shared" si="59"/>
        <v/>
      </c>
      <c r="J97" s="46" t="str">
        <f t="shared" si="59"/>
        <v/>
      </c>
      <c r="K97" s="46" t="str">
        <f t="shared" si="59"/>
        <v/>
      </c>
      <c r="L97" s="46" t="str">
        <f t="shared" si="59"/>
        <v/>
      </c>
      <c r="M97" s="46" t="str">
        <f t="shared" si="59"/>
        <v/>
      </c>
      <c r="N97" s="46" t="str">
        <f t="shared" si="59"/>
        <v/>
      </c>
      <c r="O97" s="46" t="str">
        <f t="shared" si="59"/>
        <v/>
      </c>
      <c r="P97" s="46" t="str">
        <f t="shared" si="59"/>
        <v/>
      </c>
      <c r="Q97" s="46" t="str">
        <f t="shared" si="59"/>
        <v/>
      </c>
      <c r="R97" s="46" t="str">
        <f t="shared" si="59"/>
        <v/>
      </c>
      <c r="S97" s="46" t="str">
        <f t="shared" si="59"/>
        <v/>
      </c>
      <c r="T97" s="46" t="str">
        <f t="shared" si="59"/>
        <v/>
      </c>
      <c r="U97" s="46" t="str">
        <f t="shared" si="59"/>
        <v/>
      </c>
      <c r="V97" s="46" t="str">
        <f t="shared" si="59"/>
        <v/>
      </c>
      <c r="W97" s="46" t="str">
        <f t="shared" si="59"/>
        <v/>
      </c>
      <c r="X97" s="46" t="str">
        <f t="shared" ca="1" si="59"/>
        <v/>
      </c>
      <c r="Y97" s="45"/>
      <c r="Z97" s="45"/>
    </row>
    <row r="98" spans="1:26" ht="11.1" customHeight="1" x14ac:dyDescent="0.25">
      <c r="A98" s="43">
        <f t="shared" si="19"/>
        <v>-1</v>
      </c>
      <c r="B98" s="46" t="str">
        <f t="shared" ref="B98:X98" si="60">IF(AND($A98&gt;B$55,$A98&lt;B$53),ABS(AVERAGE(B45:B47)),"")</f>
        <v/>
      </c>
      <c r="C98" s="46" t="str">
        <f t="shared" si="60"/>
        <v/>
      </c>
      <c r="D98" s="46" t="str">
        <f t="shared" si="60"/>
        <v/>
      </c>
      <c r="E98" s="46" t="str">
        <f t="shared" si="60"/>
        <v/>
      </c>
      <c r="F98" s="46" t="str">
        <f t="shared" si="60"/>
        <v/>
      </c>
      <c r="G98" s="46" t="str">
        <f t="shared" si="60"/>
        <v/>
      </c>
      <c r="H98" s="46" t="str">
        <f t="shared" si="60"/>
        <v/>
      </c>
      <c r="I98" s="46" t="str">
        <f t="shared" si="60"/>
        <v/>
      </c>
      <c r="J98" s="46" t="str">
        <f t="shared" si="60"/>
        <v/>
      </c>
      <c r="K98" s="46" t="str">
        <f t="shared" si="60"/>
        <v/>
      </c>
      <c r="L98" s="46" t="str">
        <f t="shared" si="60"/>
        <v/>
      </c>
      <c r="M98" s="46" t="str">
        <f t="shared" si="60"/>
        <v/>
      </c>
      <c r="N98" s="46" t="str">
        <f t="shared" si="60"/>
        <v/>
      </c>
      <c r="O98" s="46" t="str">
        <f t="shared" si="60"/>
        <v/>
      </c>
      <c r="P98" s="46" t="str">
        <f t="shared" si="60"/>
        <v/>
      </c>
      <c r="Q98" s="46" t="str">
        <f t="shared" si="60"/>
        <v/>
      </c>
      <c r="R98" s="46" t="str">
        <f t="shared" si="60"/>
        <v/>
      </c>
      <c r="S98" s="46" t="str">
        <f t="shared" si="60"/>
        <v/>
      </c>
      <c r="T98" s="46" t="str">
        <f t="shared" si="60"/>
        <v/>
      </c>
      <c r="U98" s="46" t="str">
        <f t="shared" si="60"/>
        <v/>
      </c>
      <c r="V98" s="46" t="str">
        <f t="shared" si="60"/>
        <v/>
      </c>
      <c r="W98" s="46" t="str">
        <f t="shared" si="60"/>
        <v/>
      </c>
      <c r="X98" s="46" t="str">
        <f t="shared" ca="1" si="60"/>
        <v/>
      </c>
      <c r="Y98" s="45"/>
      <c r="Z98" s="45"/>
    </row>
    <row r="99" spans="1:26" ht="11.1" customHeight="1" x14ac:dyDescent="0.25">
      <c r="A99" s="43">
        <f t="shared" si="19"/>
        <v>-1.5</v>
      </c>
      <c r="B99" s="46" t="str">
        <f t="shared" ref="B99:X99" si="61">IF(AND($A99&gt;B$55,$A99&lt;B$53),ABS(AVERAGE(B46:B48)),"")</f>
        <v/>
      </c>
      <c r="C99" s="46" t="str">
        <f t="shared" si="61"/>
        <v/>
      </c>
      <c r="D99" s="46" t="str">
        <f t="shared" si="61"/>
        <v/>
      </c>
      <c r="E99" s="46" t="str">
        <f t="shared" si="61"/>
        <v/>
      </c>
      <c r="F99" s="46" t="str">
        <f t="shared" si="61"/>
        <v/>
      </c>
      <c r="G99" s="46" t="str">
        <f t="shared" si="61"/>
        <v/>
      </c>
      <c r="H99" s="46" t="str">
        <f t="shared" si="61"/>
        <v/>
      </c>
      <c r="I99" s="46" t="str">
        <f t="shared" si="61"/>
        <v/>
      </c>
      <c r="J99" s="46" t="str">
        <f t="shared" si="61"/>
        <v/>
      </c>
      <c r="K99" s="46" t="str">
        <f t="shared" si="61"/>
        <v/>
      </c>
      <c r="L99" s="46" t="str">
        <f t="shared" si="61"/>
        <v/>
      </c>
      <c r="M99" s="46" t="str">
        <f t="shared" si="61"/>
        <v/>
      </c>
      <c r="N99" s="46" t="str">
        <f t="shared" si="61"/>
        <v/>
      </c>
      <c r="O99" s="46" t="str">
        <f t="shared" si="61"/>
        <v/>
      </c>
      <c r="P99" s="46" t="str">
        <f t="shared" si="61"/>
        <v/>
      </c>
      <c r="Q99" s="46" t="str">
        <f t="shared" si="61"/>
        <v/>
      </c>
      <c r="R99" s="46" t="str">
        <f t="shared" si="61"/>
        <v/>
      </c>
      <c r="S99" s="46" t="str">
        <f t="shared" si="61"/>
        <v/>
      </c>
      <c r="T99" s="46" t="str">
        <f t="shared" si="61"/>
        <v/>
      </c>
      <c r="U99" s="46" t="str">
        <f t="shared" si="61"/>
        <v/>
      </c>
      <c r="V99" s="46" t="str">
        <f t="shared" si="61"/>
        <v/>
      </c>
      <c r="W99" s="46" t="str">
        <f t="shared" si="61"/>
        <v/>
      </c>
      <c r="X99" s="46" t="str">
        <f t="shared" ca="1" si="61"/>
        <v/>
      </c>
      <c r="Y99" s="45"/>
      <c r="Z99" s="45"/>
    </row>
    <row r="100" spans="1:26" ht="11.1" customHeight="1" x14ac:dyDescent="0.25">
      <c r="A100" s="43">
        <f t="shared" si="19"/>
        <v>-2</v>
      </c>
      <c r="B100" s="46" t="str">
        <f t="shared" ref="B100:X100" si="62">IF(AND($A100&gt;B$55,$A100&lt;B$53),ABS(AVERAGE(B47:B49)),"")</f>
        <v/>
      </c>
      <c r="C100" s="46" t="str">
        <f t="shared" si="62"/>
        <v/>
      </c>
      <c r="D100" s="46" t="str">
        <f t="shared" si="62"/>
        <v/>
      </c>
      <c r="E100" s="46" t="str">
        <f t="shared" si="62"/>
        <v/>
      </c>
      <c r="F100" s="46" t="str">
        <f t="shared" si="62"/>
        <v/>
      </c>
      <c r="G100" s="46" t="str">
        <f t="shared" si="62"/>
        <v/>
      </c>
      <c r="H100" s="46" t="str">
        <f t="shared" si="62"/>
        <v/>
      </c>
      <c r="I100" s="46" t="str">
        <f t="shared" si="62"/>
        <v/>
      </c>
      <c r="J100" s="46" t="str">
        <f t="shared" si="62"/>
        <v/>
      </c>
      <c r="K100" s="46" t="str">
        <f t="shared" si="62"/>
        <v/>
      </c>
      <c r="L100" s="46" t="str">
        <f t="shared" si="62"/>
        <v/>
      </c>
      <c r="M100" s="46" t="str">
        <f t="shared" si="62"/>
        <v/>
      </c>
      <c r="N100" s="46" t="str">
        <f t="shared" si="62"/>
        <v/>
      </c>
      <c r="O100" s="46" t="str">
        <f t="shared" si="62"/>
        <v/>
      </c>
      <c r="P100" s="46" t="str">
        <f t="shared" si="62"/>
        <v/>
      </c>
      <c r="Q100" s="46" t="str">
        <f t="shared" si="62"/>
        <v/>
      </c>
      <c r="R100" s="46" t="str">
        <f t="shared" si="62"/>
        <v/>
      </c>
      <c r="S100" s="46" t="str">
        <f t="shared" si="62"/>
        <v/>
      </c>
      <c r="T100" s="46" t="str">
        <f t="shared" si="62"/>
        <v/>
      </c>
      <c r="U100" s="46" t="str">
        <f t="shared" si="62"/>
        <v/>
      </c>
      <c r="V100" s="46" t="str">
        <f t="shared" si="62"/>
        <v/>
      </c>
      <c r="W100" s="46" t="str">
        <f t="shared" si="62"/>
        <v/>
      </c>
      <c r="X100" s="46" t="str">
        <f t="shared" ca="1" si="62"/>
        <v/>
      </c>
      <c r="Y100" s="45"/>
      <c r="Z100" s="45"/>
    </row>
    <row r="101" spans="1:26" ht="11.1" customHeight="1" x14ac:dyDescent="0.25">
      <c r="A101" s="43">
        <f t="shared" si="19"/>
        <v>-2.5</v>
      </c>
      <c r="B101" s="46" t="str">
        <f t="shared" ref="B101:X101" si="63">IF(AND($A101&gt;B$55,$A101&lt;B$53),ABS(AVERAGE(B48:B50)),"")</f>
        <v/>
      </c>
      <c r="C101" s="46" t="str">
        <f t="shared" si="63"/>
        <v/>
      </c>
      <c r="D101" s="46" t="str">
        <f t="shared" si="63"/>
        <v/>
      </c>
      <c r="E101" s="46" t="str">
        <f t="shared" si="63"/>
        <v/>
      </c>
      <c r="F101" s="46" t="str">
        <f t="shared" si="63"/>
        <v/>
      </c>
      <c r="G101" s="46" t="str">
        <f t="shared" si="63"/>
        <v/>
      </c>
      <c r="H101" s="46" t="str">
        <f t="shared" si="63"/>
        <v/>
      </c>
      <c r="I101" s="46" t="str">
        <f t="shared" si="63"/>
        <v/>
      </c>
      <c r="J101" s="46" t="str">
        <f t="shared" si="63"/>
        <v/>
      </c>
      <c r="K101" s="46" t="str">
        <f t="shared" si="63"/>
        <v/>
      </c>
      <c r="L101" s="46" t="str">
        <f t="shared" si="63"/>
        <v/>
      </c>
      <c r="M101" s="46" t="str">
        <f t="shared" si="63"/>
        <v/>
      </c>
      <c r="N101" s="46" t="str">
        <f t="shared" si="63"/>
        <v/>
      </c>
      <c r="O101" s="46" t="str">
        <f t="shared" si="63"/>
        <v/>
      </c>
      <c r="P101" s="46" t="str">
        <f t="shared" si="63"/>
        <v/>
      </c>
      <c r="Q101" s="46" t="str">
        <f t="shared" si="63"/>
        <v/>
      </c>
      <c r="R101" s="46" t="str">
        <f t="shared" si="63"/>
        <v/>
      </c>
      <c r="S101" s="46" t="str">
        <f t="shared" si="63"/>
        <v/>
      </c>
      <c r="T101" s="46" t="str">
        <f t="shared" si="63"/>
        <v/>
      </c>
      <c r="U101" s="46" t="str">
        <f t="shared" si="63"/>
        <v/>
      </c>
      <c r="V101" s="46" t="str">
        <f t="shared" si="63"/>
        <v/>
      </c>
      <c r="W101" s="46" t="str">
        <f t="shared" si="63"/>
        <v/>
      </c>
      <c r="X101" s="46" t="str">
        <f t="shared" ca="1" si="63"/>
        <v/>
      </c>
      <c r="Y101" s="45"/>
      <c r="Z101" s="45"/>
    </row>
    <row r="102" spans="1:26" ht="11.1" customHeight="1" x14ac:dyDescent="0.25">
      <c r="A102" s="43">
        <f t="shared" si="19"/>
        <v>-3</v>
      </c>
      <c r="B102" s="46" t="str">
        <f t="shared" ref="B102:X102" si="64">IF(AND($A102&gt;B$55,$A102&lt;B$53),ABS(AVERAGE(B49:B51)),"")</f>
        <v/>
      </c>
      <c r="C102" s="46" t="str">
        <f t="shared" si="64"/>
        <v/>
      </c>
      <c r="D102" s="46" t="str">
        <f t="shared" si="64"/>
        <v/>
      </c>
      <c r="E102" s="46" t="str">
        <f t="shared" si="64"/>
        <v/>
      </c>
      <c r="F102" s="46" t="str">
        <f t="shared" si="64"/>
        <v/>
      </c>
      <c r="G102" s="46" t="str">
        <f t="shared" si="64"/>
        <v/>
      </c>
      <c r="H102" s="46" t="str">
        <f t="shared" si="64"/>
        <v/>
      </c>
      <c r="I102" s="46" t="str">
        <f t="shared" si="64"/>
        <v/>
      </c>
      <c r="J102" s="46" t="str">
        <f t="shared" si="64"/>
        <v/>
      </c>
      <c r="K102" s="46" t="str">
        <f t="shared" si="64"/>
        <v/>
      </c>
      <c r="L102" s="46" t="str">
        <f t="shared" si="64"/>
        <v/>
      </c>
      <c r="M102" s="46" t="str">
        <f t="shared" si="64"/>
        <v/>
      </c>
      <c r="N102" s="46" t="str">
        <f t="shared" si="64"/>
        <v/>
      </c>
      <c r="O102" s="46" t="str">
        <f t="shared" si="64"/>
        <v/>
      </c>
      <c r="P102" s="46" t="str">
        <f t="shared" si="64"/>
        <v/>
      </c>
      <c r="Q102" s="46" t="str">
        <f t="shared" si="64"/>
        <v/>
      </c>
      <c r="R102" s="46" t="str">
        <f t="shared" si="64"/>
        <v/>
      </c>
      <c r="S102" s="46" t="str">
        <f t="shared" si="64"/>
        <v/>
      </c>
      <c r="T102" s="46" t="str">
        <f t="shared" si="64"/>
        <v/>
      </c>
      <c r="U102" s="46" t="str">
        <f t="shared" si="64"/>
        <v/>
      </c>
      <c r="V102" s="46" t="str">
        <f t="shared" si="64"/>
        <v/>
      </c>
      <c r="W102" s="46" t="str">
        <f t="shared" si="64"/>
        <v/>
      </c>
      <c r="X102" s="46" t="str">
        <f t="shared" ca="1" si="64"/>
        <v/>
      </c>
      <c r="Y102" s="45"/>
      <c r="Z102" s="45"/>
    </row>
    <row r="103" spans="1:26" ht="11.1" customHeight="1" x14ac:dyDescent="0.25">
      <c r="A103" s="43">
        <f t="shared" si="19"/>
        <v>-3.5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5"/>
      <c r="Z103" s="45"/>
    </row>
    <row r="104" spans="1:26" ht="11.1" customHeight="1" x14ac:dyDescent="0.25">
      <c r="A104" s="43"/>
      <c r="B104" s="46" t="str">
        <f t="shared" ref="B104:X104" si="65">IF(AND(A104&gt;B$55,A104&lt;B$53),ABS(AVERAGE(B51:B53)),"")</f>
        <v/>
      </c>
      <c r="C104" s="46" t="str">
        <f t="shared" si="65"/>
        <v/>
      </c>
      <c r="D104" s="46" t="str">
        <f t="shared" si="65"/>
        <v/>
      </c>
      <c r="E104" s="46" t="str">
        <f t="shared" si="65"/>
        <v/>
      </c>
      <c r="F104" s="46" t="str">
        <f t="shared" si="65"/>
        <v/>
      </c>
      <c r="G104" s="46" t="str">
        <f t="shared" si="65"/>
        <v/>
      </c>
      <c r="H104" s="46" t="str">
        <f t="shared" si="65"/>
        <v/>
      </c>
      <c r="I104" s="46" t="str">
        <f t="shared" si="65"/>
        <v/>
      </c>
      <c r="J104" s="46" t="str">
        <f t="shared" si="65"/>
        <v/>
      </c>
      <c r="K104" s="46" t="str">
        <f t="shared" si="65"/>
        <v/>
      </c>
      <c r="L104" s="46" t="str">
        <f t="shared" si="65"/>
        <v/>
      </c>
      <c r="M104" s="46" t="str">
        <f t="shared" si="65"/>
        <v/>
      </c>
      <c r="N104" s="46" t="str">
        <f t="shared" si="65"/>
        <v/>
      </c>
      <c r="O104" s="46" t="str">
        <f t="shared" si="65"/>
        <v/>
      </c>
      <c r="P104" s="46" t="str">
        <f t="shared" si="65"/>
        <v/>
      </c>
      <c r="Q104" s="46" t="str">
        <f t="shared" si="65"/>
        <v/>
      </c>
      <c r="R104" s="46" t="str">
        <f t="shared" si="65"/>
        <v/>
      </c>
      <c r="S104" s="46" t="str">
        <f t="shared" si="65"/>
        <v/>
      </c>
      <c r="T104" s="46" t="str">
        <f t="shared" si="65"/>
        <v/>
      </c>
      <c r="U104" s="46" t="str">
        <f t="shared" si="65"/>
        <v/>
      </c>
      <c r="V104" s="46" t="str">
        <f t="shared" si="65"/>
        <v/>
      </c>
      <c r="W104" s="46" t="str">
        <f t="shared" si="65"/>
        <v/>
      </c>
      <c r="X104" s="46" t="str">
        <f t="shared" ca="1" si="65"/>
        <v/>
      </c>
      <c r="Y104" s="45"/>
      <c r="Z104" s="45"/>
    </row>
    <row r="105" spans="1:26" ht="11.1" customHeight="1" x14ac:dyDescent="0.25">
      <c r="A105" s="43"/>
      <c r="B105" s="46" t="str">
        <f t="shared" ref="B105:X105" si="66">IF(AND(A105&gt;B$55,A105&lt;B$53),ABS(AVERAGE(B52:B54)),"")</f>
        <v/>
      </c>
      <c r="C105" s="46" t="str">
        <f t="shared" si="66"/>
        <v/>
      </c>
      <c r="D105" s="46" t="str">
        <f t="shared" si="66"/>
        <v/>
      </c>
      <c r="E105" s="46" t="str">
        <f t="shared" si="66"/>
        <v/>
      </c>
      <c r="F105" s="46" t="str">
        <f t="shared" si="66"/>
        <v/>
      </c>
      <c r="G105" s="46" t="str">
        <f t="shared" si="66"/>
        <v/>
      </c>
      <c r="H105" s="46" t="str">
        <f t="shared" si="66"/>
        <v/>
      </c>
      <c r="I105" s="46" t="str">
        <f t="shared" si="66"/>
        <v/>
      </c>
      <c r="J105" s="46" t="str">
        <f t="shared" si="66"/>
        <v/>
      </c>
      <c r="K105" s="46" t="str">
        <f t="shared" si="66"/>
        <v/>
      </c>
      <c r="L105" s="46" t="str">
        <f t="shared" si="66"/>
        <v/>
      </c>
      <c r="M105" s="46" t="str">
        <f t="shared" si="66"/>
        <v/>
      </c>
      <c r="N105" s="46" t="str">
        <f t="shared" si="66"/>
        <v/>
      </c>
      <c r="O105" s="46" t="str">
        <f t="shared" si="66"/>
        <v/>
      </c>
      <c r="P105" s="46" t="str">
        <f t="shared" si="66"/>
        <v/>
      </c>
      <c r="Q105" s="46" t="str">
        <f t="shared" si="66"/>
        <v/>
      </c>
      <c r="R105" s="46" t="str">
        <f t="shared" si="66"/>
        <v/>
      </c>
      <c r="S105" s="46" t="str">
        <f t="shared" si="66"/>
        <v/>
      </c>
      <c r="T105" s="46" t="str">
        <f t="shared" si="66"/>
        <v/>
      </c>
      <c r="U105" s="46" t="str">
        <f t="shared" si="66"/>
        <v/>
      </c>
      <c r="V105" s="46" t="str">
        <f t="shared" si="66"/>
        <v/>
      </c>
      <c r="W105" s="46" t="str">
        <f t="shared" si="66"/>
        <v/>
      </c>
      <c r="X105" s="46" t="str">
        <f t="shared" ca="1" si="66"/>
        <v/>
      </c>
      <c r="Y105" s="45"/>
      <c r="Z105" s="45"/>
    </row>
    <row r="106" spans="1:26" ht="11.1" customHeight="1" x14ac:dyDescent="0.25">
      <c r="A106" s="43"/>
      <c r="B106" s="46" t="str">
        <f t="shared" ref="B106:X106" si="67">IF(AND(A106&gt;B$55,A106&lt;B$53),ABS(AVERAGE(B53:B55)),"")</f>
        <v/>
      </c>
      <c r="C106" s="46" t="str">
        <f t="shared" si="67"/>
        <v/>
      </c>
      <c r="D106" s="46" t="str">
        <f t="shared" si="67"/>
        <v/>
      </c>
      <c r="E106" s="46" t="str">
        <f t="shared" si="67"/>
        <v/>
      </c>
      <c r="F106" s="46" t="str">
        <f t="shared" si="67"/>
        <v/>
      </c>
      <c r="G106" s="46" t="str">
        <f t="shared" si="67"/>
        <v/>
      </c>
      <c r="H106" s="46" t="str">
        <f t="shared" si="67"/>
        <v/>
      </c>
      <c r="I106" s="46" t="str">
        <f t="shared" si="67"/>
        <v/>
      </c>
      <c r="J106" s="46" t="str">
        <f t="shared" si="67"/>
        <v/>
      </c>
      <c r="K106" s="46" t="str">
        <f t="shared" si="67"/>
        <v/>
      </c>
      <c r="L106" s="46" t="str">
        <f t="shared" si="67"/>
        <v/>
      </c>
      <c r="M106" s="46" t="str">
        <f t="shared" si="67"/>
        <v/>
      </c>
      <c r="N106" s="46" t="str">
        <f t="shared" si="67"/>
        <v/>
      </c>
      <c r="O106" s="46" t="str">
        <f t="shared" si="67"/>
        <v/>
      </c>
      <c r="P106" s="46" t="str">
        <f t="shared" si="67"/>
        <v/>
      </c>
      <c r="Q106" s="46" t="str">
        <f t="shared" si="67"/>
        <v/>
      </c>
      <c r="R106" s="46" t="str">
        <f t="shared" si="67"/>
        <v/>
      </c>
      <c r="S106" s="46" t="str">
        <f t="shared" si="67"/>
        <v/>
      </c>
      <c r="T106" s="46" t="str">
        <f t="shared" si="67"/>
        <v/>
      </c>
      <c r="U106" s="46" t="str">
        <f t="shared" si="67"/>
        <v/>
      </c>
      <c r="V106" s="46" t="str">
        <f t="shared" si="67"/>
        <v/>
      </c>
      <c r="W106" s="46" t="str">
        <f t="shared" si="67"/>
        <v/>
      </c>
      <c r="X106" s="46" t="str">
        <f t="shared" ca="1" si="67"/>
        <v/>
      </c>
      <c r="Y106" s="45"/>
      <c r="Z106" s="45"/>
    </row>
    <row r="107" spans="1:26" ht="11.1" customHeight="1" x14ac:dyDescent="0.25">
      <c r="A107" s="43"/>
      <c r="B107" s="46" t="str">
        <f t="shared" ref="B107:X107" si="68">IF(AND(A107&gt;B$55,A107&lt;B$53),ABS(AVERAGE(B54:B56)),"")</f>
        <v/>
      </c>
      <c r="C107" s="46" t="str">
        <f t="shared" si="68"/>
        <v/>
      </c>
      <c r="D107" s="46" t="str">
        <f t="shared" si="68"/>
        <v/>
      </c>
      <c r="E107" s="46" t="str">
        <f t="shared" si="68"/>
        <v/>
      </c>
      <c r="F107" s="46" t="str">
        <f t="shared" si="68"/>
        <v/>
      </c>
      <c r="G107" s="46" t="str">
        <f t="shared" si="68"/>
        <v/>
      </c>
      <c r="H107" s="46" t="str">
        <f t="shared" si="68"/>
        <v/>
      </c>
      <c r="I107" s="46" t="str">
        <f t="shared" si="68"/>
        <v/>
      </c>
      <c r="J107" s="46" t="str">
        <f t="shared" si="68"/>
        <v/>
      </c>
      <c r="K107" s="46" t="str">
        <f t="shared" si="68"/>
        <v/>
      </c>
      <c r="L107" s="46" t="str">
        <f t="shared" si="68"/>
        <v/>
      </c>
      <c r="M107" s="46" t="str">
        <f t="shared" si="68"/>
        <v/>
      </c>
      <c r="N107" s="46" t="str">
        <f t="shared" si="68"/>
        <v/>
      </c>
      <c r="O107" s="46" t="str">
        <f t="shared" si="68"/>
        <v/>
      </c>
      <c r="P107" s="46" t="str">
        <f t="shared" si="68"/>
        <v/>
      </c>
      <c r="Q107" s="46" t="str">
        <f t="shared" si="68"/>
        <v/>
      </c>
      <c r="R107" s="46" t="str">
        <f t="shared" si="68"/>
        <v/>
      </c>
      <c r="S107" s="46" t="str">
        <f t="shared" si="68"/>
        <v/>
      </c>
      <c r="T107" s="46" t="str">
        <f t="shared" si="68"/>
        <v/>
      </c>
      <c r="U107" s="46" t="str">
        <f t="shared" si="68"/>
        <v/>
      </c>
      <c r="V107" s="46" t="str">
        <f t="shared" si="68"/>
        <v/>
      </c>
      <c r="W107" s="46" t="str">
        <f t="shared" si="68"/>
        <v/>
      </c>
      <c r="X107" s="46" t="str">
        <f t="shared" ca="1" si="68"/>
        <v/>
      </c>
      <c r="Y107" s="45"/>
      <c r="Z107" s="45"/>
    </row>
    <row r="108" spans="1:26" ht="11.1" customHeight="1" x14ac:dyDescent="0.25">
      <c r="A108" s="43"/>
      <c r="B108" s="46" t="str">
        <f t="shared" ref="B108:X108" si="69">IF(AND(A108&gt;B$55,A108&lt;B$53),ABS(AVERAGE(B55:B57)),"")</f>
        <v/>
      </c>
      <c r="C108" s="46" t="str">
        <f t="shared" si="69"/>
        <v/>
      </c>
      <c r="D108" s="46" t="str">
        <f t="shared" si="69"/>
        <v/>
      </c>
      <c r="E108" s="46" t="str">
        <f t="shared" si="69"/>
        <v/>
      </c>
      <c r="F108" s="46" t="str">
        <f t="shared" si="69"/>
        <v/>
      </c>
      <c r="G108" s="46" t="str">
        <f t="shared" si="69"/>
        <v/>
      </c>
      <c r="H108" s="46" t="str">
        <f t="shared" si="69"/>
        <v/>
      </c>
      <c r="I108" s="46" t="str">
        <f t="shared" si="69"/>
        <v/>
      </c>
      <c r="J108" s="46" t="str">
        <f t="shared" si="69"/>
        <v/>
      </c>
      <c r="K108" s="46" t="str">
        <f t="shared" si="69"/>
        <v/>
      </c>
      <c r="L108" s="46" t="str">
        <f t="shared" si="69"/>
        <v/>
      </c>
      <c r="M108" s="46" t="str">
        <f t="shared" si="69"/>
        <v/>
      </c>
      <c r="N108" s="46" t="str">
        <f t="shared" si="69"/>
        <v/>
      </c>
      <c r="O108" s="46" t="str">
        <f t="shared" si="69"/>
        <v/>
      </c>
      <c r="P108" s="46" t="str">
        <f t="shared" si="69"/>
        <v/>
      </c>
      <c r="Q108" s="46" t="str">
        <f t="shared" si="69"/>
        <v/>
      </c>
      <c r="R108" s="46" t="str">
        <f t="shared" si="69"/>
        <v/>
      </c>
      <c r="S108" s="46" t="str">
        <f t="shared" si="69"/>
        <v/>
      </c>
      <c r="T108" s="46" t="str">
        <f t="shared" si="69"/>
        <v/>
      </c>
      <c r="U108" s="46" t="str">
        <f t="shared" si="69"/>
        <v/>
      </c>
      <c r="V108" s="46" t="str">
        <f t="shared" si="69"/>
        <v/>
      </c>
      <c r="W108" s="46" t="str">
        <f t="shared" si="69"/>
        <v/>
      </c>
      <c r="X108" s="46" t="str">
        <f t="shared" ca="1" si="69"/>
        <v/>
      </c>
      <c r="Y108" s="45"/>
      <c r="Z108" s="45"/>
    </row>
    <row r="109" spans="1:26" ht="11.1" customHeight="1" x14ac:dyDescent="0.25">
      <c r="A109" s="43"/>
      <c r="B109" s="46" t="str">
        <f t="shared" ref="B109:X109" si="70">IF(AND(A109&gt;B$55,A109&lt;B$53),ABS(AVERAGE(B56:B58)),"")</f>
        <v/>
      </c>
      <c r="C109" s="46" t="str">
        <f t="shared" si="70"/>
        <v/>
      </c>
      <c r="D109" s="46" t="str">
        <f t="shared" si="70"/>
        <v/>
      </c>
      <c r="E109" s="46" t="str">
        <f t="shared" si="70"/>
        <v/>
      </c>
      <c r="F109" s="46" t="str">
        <f t="shared" si="70"/>
        <v/>
      </c>
      <c r="G109" s="46" t="str">
        <f t="shared" si="70"/>
        <v/>
      </c>
      <c r="H109" s="46" t="str">
        <f t="shared" si="70"/>
        <v/>
      </c>
      <c r="I109" s="46" t="str">
        <f t="shared" si="70"/>
        <v/>
      </c>
      <c r="J109" s="46" t="str">
        <f t="shared" si="70"/>
        <v/>
      </c>
      <c r="K109" s="46" t="str">
        <f t="shared" si="70"/>
        <v/>
      </c>
      <c r="L109" s="46" t="str">
        <f t="shared" si="70"/>
        <v/>
      </c>
      <c r="M109" s="46" t="str">
        <f t="shared" si="70"/>
        <v/>
      </c>
      <c r="N109" s="46" t="str">
        <f t="shared" si="70"/>
        <v/>
      </c>
      <c r="O109" s="46" t="str">
        <f t="shared" si="70"/>
        <v/>
      </c>
      <c r="P109" s="46" t="str">
        <f t="shared" si="70"/>
        <v/>
      </c>
      <c r="Q109" s="46" t="str">
        <f t="shared" si="70"/>
        <v/>
      </c>
      <c r="R109" s="46" t="str">
        <f t="shared" si="70"/>
        <v/>
      </c>
      <c r="S109" s="46" t="str">
        <f t="shared" si="70"/>
        <v/>
      </c>
      <c r="T109" s="46" t="str">
        <f t="shared" si="70"/>
        <v/>
      </c>
      <c r="U109" s="46" t="str">
        <f t="shared" si="70"/>
        <v/>
      </c>
      <c r="V109" s="46" t="str">
        <f t="shared" si="70"/>
        <v/>
      </c>
      <c r="W109" s="46" t="str">
        <f t="shared" si="70"/>
        <v/>
      </c>
      <c r="X109" s="46" t="str">
        <f t="shared" ca="1" si="70"/>
        <v/>
      </c>
      <c r="Y109" s="45"/>
      <c r="Z109" s="45"/>
    </row>
    <row r="110" spans="1:26" ht="11.1" customHeight="1" x14ac:dyDescent="0.25">
      <c r="A110" s="33"/>
      <c r="B110" s="32" t="str">
        <f t="shared" ref="B110:X110" si="71">IF(AND(A110&gt;B$55,A110&lt;B$53),ABS(AVERAGE(B57:B59)),"")</f>
        <v/>
      </c>
      <c r="C110" s="32" t="str">
        <f t="shared" si="71"/>
        <v/>
      </c>
      <c r="D110" s="32" t="str">
        <f t="shared" si="71"/>
        <v/>
      </c>
      <c r="E110" s="32" t="str">
        <f t="shared" si="71"/>
        <v/>
      </c>
      <c r="F110" s="32" t="str">
        <f t="shared" si="71"/>
        <v/>
      </c>
      <c r="G110" s="32" t="str">
        <f t="shared" si="71"/>
        <v/>
      </c>
      <c r="H110" s="32" t="str">
        <f t="shared" si="71"/>
        <v/>
      </c>
      <c r="I110" s="32" t="str">
        <f t="shared" si="71"/>
        <v/>
      </c>
      <c r="J110" s="32" t="str">
        <f t="shared" si="71"/>
        <v/>
      </c>
      <c r="K110" s="32" t="str">
        <f t="shared" si="71"/>
        <v/>
      </c>
      <c r="L110" s="32" t="str">
        <f t="shared" si="71"/>
        <v/>
      </c>
      <c r="M110" s="32" t="str">
        <f t="shared" si="71"/>
        <v/>
      </c>
      <c r="N110" s="32" t="str">
        <f t="shared" si="71"/>
        <v/>
      </c>
      <c r="O110" s="32" t="str">
        <f t="shared" si="71"/>
        <v/>
      </c>
      <c r="P110" s="32" t="str">
        <f t="shared" si="71"/>
        <v/>
      </c>
      <c r="Q110" s="32" t="str">
        <f t="shared" si="71"/>
        <v/>
      </c>
      <c r="R110" s="32" t="str">
        <f t="shared" si="71"/>
        <v/>
      </c>
      <c r="S110" s="32" t="str">
        <f t="shared" si="71"/>
        <v/>
      </c>
      <c r="T110" s="32" t="str">
        <f t="shared" si="71"/>
        <v/>
      </c>
      <c r="U110" s="32" t="str">
        <f t="shared" si="71"/>
        <v/>
      </c>
      <c r="V110" s="32" t="str">
        <f t="shared" si="71"/>
        <v/>
      </c>
      <c r="W110" s="32" t="str">
        <f t="shared" si="71"/>
        <v/>
      </c>
      <c r="X110" s="32" t="str">
        <f t="shared" ca="1" si="71"/>
        <v/>
      </c>
    </row>
    <row r="111" spans="1:26" ht="11.1" customHeight="1" x14ac:dyDescent="0.25">
      <c r="B111" s="32" t="str">
        <f t="shared" ref="B111:X111" si="72">IF(AND(A111&gt;B$55,A111&lt;B$53),ABS(AVERAGE(B58:B60)),"")</f>
        <v/>
      </c>
      <c r="C111" s="32" t="str">
        <f t="shared" si="72"/>
        <v/>
      </c>
      <c r="D111" s="32" t="str">
        <f t="shared" si="72"/>
        <v/>
      </c>
      <c r="E111" s="32" t="str">
        <f t="shared" si="72"/>
        <v/>
      </c>
      <c r="F111" s="32" t="str">
        <f t="shared" si="72"/>
        <v/>
      </c>
      <c r="G111" s="32" t="str">
        <f t="shared" si="72"/>
        <v/>
      </c>
      <c r="H111" s="32" t="str">
        <f t="shared" si="72"/>
        <v/>
      </c>
      <c r="I111" s="32" t="str">
        <f t="shared" si="72"/>
        <v/>
      </c>
      <c r="J111" s="32" t="str">
        <f t="shared" si="72"/>
        <v/>
      </c>
      <c r="K111" s="32" t="str">
        <f t="shared" si="72"/>
        <v/>
      </c>
      <c r="L111" s="32" t="str">
        <f t="shared" si="72"/>
        <v/>
      </c>
      <c r="M111" s="32" t="str">
        <f t="shared" si="72"/>
        <v/>
      </c>
      <c r="N111" s="32" t="str">
        <f t="shared" si="72"/>
        <v/>
      </c>
      <c r="O111" s="32" t="str">
        <f t="shared" si="72"/>
        <v/>
      </c>
      <c r="P111" s="32" t="str">
        <f t="shared" si="72"/>
        <v/>
      </c>
      <c r="Q111" s="32" t="str">
        <f t="shared" si="72"/>
        <v/>
      </c>
      <c r="R111" s="32" t="str">
        <f t="shared" si="72"/>
        <v/>
      </c>
      <c r="S111" s="32" t="str">
        <f t="shared" si="72"/>
        <v/>
      </c>
      <c r="T111" s="32" t="str">
        <f t="shared" si="72"/>
        <v/>
      </c>
      <c r="U111" s="32" t="str">
        <f t="shared" si="72"/>
        <v/>
      </c>
      <c r="V111" s="32" t="str">
        <f t="shared" si="72"/>
        <v/>
      </c>
      <c r="W111" s="32" t="str">
        <f t="shared" si="72"/>
        <v/>
      </c>
      <c r="X111" s="32" t="str">
        <f t="shared" ca="1" si="72"/>
        <v/>
      </c>
    </row>
    <row r="112" spans="1:26" ht="11.1" customHeight="1" x14ac:dyDescent="0.25">
      <c r="B112" s="32" t="str">
        <f t="shared" ref="B112:X112" si="73">IF(AND(A112&gt;B$55,A112&lt;B$53),ABS(AVERAGE(B59:B61)),"")</f>
        <v/>
      </c>
      <c r="C112" s="32" t="str">
        <f t="shared" si="73"/>
        <v/>
      </c>
      <c r="D112" s="32" t="str">
        <f t="shared" si="73"/>
        <v/>
      </c>
      <c r="E112" s="32" t="str">
        <f t="shared" si="73"/>
        <v/>
      </c>
      <c r="F112" s="32" t="str">
        <f t="shared" si="73"/>
        <v/>
      </c>
      <c r="G112" s="32" t="str">
        <f t="shared" si="73"/>
        <v/>
      </c>
      <c r="H112" s="32" t="str">
        <f t="shared" si="73"/>
        <v/>
      </c>
      <c r="I112" s="32" t="str">
        <f t="shared" si="73"/>
        <v/>
      </c>
      <c r="J112" s="32" t="str">
        <f t="shared" si="73"/>
        <v/>
      </c>
      <c r="K112" s="32" t="str">
        <f t="shared" si="73"/>
        <v/>
      </c>
      <c r="L112" s="32" t="str">
        <f t="shared" si="73"/>
        <v/>
      </c>
      <c r="M112" s="32" t="str">
        <f t="shared" si="73"/>
        <v/>
      </c>
      <c r="N112" s="32" t="str">
        <f t="shared" si="73"/>
        <v/>
      </c>
      <c r="O112" s="32" t="str">
        <f t="shared" si="73"/>
        <v/>
      </c>
      <c r="P112" s="32" t="str">
        <f t="shared" si="73"/>
        <v/>
      </c>
      <c r="Q112" s="32" t="str">
        <f t="shared" si="73"/>
        <v/>
      </c>
      <c r="R112" s="32" t="str">
        <f t="shared" si="73"/>
        <v/>
      </c>
      <c r="S112" s="32" t="str">
        <f t="shared" si="73"/>
        <v/>
      </c>
      <c r="T112" s="32" t="str">
        <f t="shared" si="73"/>
        <v/>
      </c>
      <c r="U112" s="32" t="str">
        <f t="shared" si="73"/>
        <v/>
      </c>
      <c r="V112" s="32" t="str">
        <f t="shared" si="73"/>
        <v/>
      </c>
      <c r="W112" s="32" t="str">
        <f t="shared" si="73"/>
        <v/>
      </c>
      <c r="X112" s="32" t="str">
        <f t="shared" ca="1" si="73"/>
        <v/>
      </c>
    </row>
    <row r="113" spans="2:24" ht="11.1" customHeight="1" x14ac:dyDescent="0.25">
      <c r="B113" s="32" t="str">
        <f t="shared" ref="B113:X113" si="74">IF(AND(A113&gt;B$55,A113&lt;B$53),ABS(AVERAGE(B60:B62)),"")</f>
        <v/>
      </c>
      <c r="C113" s="32" t="str">
        <f t="shared" si="74"/>
        <v/>
      </c>
      <c r="D113" s="32" t="str">
        <f t="shared" si="74"/>
        <v/>
      </c>
      <c r="E113" s="32" t="str">
        <f t="shared" si="74"/>
        <v/>
      </c>
      <c r="F113" s="32" t="str">
        <f t="shared" si="74"/>
        <v/>
      </c>
      <c r="G113" s="32" t="str">
        <f t="shared" si="74"/>
        <v/>
      </c>
      <c r="H113" s="32" t="str">
        <f t="shared" si="74"/>
        <v/>
      </c>
      <c r="I113" s="32" t="str">
        <f t="shared" si="74"/>
        <v/>
      </c>
      <c r="J113" s="32" t="str">
        <f t="shared" si="74"/>
        <v/>
      </c>
      <c r="K113" s="32" t="str">
        <f t="shared" si="74"/>
        <v/>
      </c>
      <c r="L113" s="32" t="str">
        <f t="shared" si="74"/>
        <v/>
      </c>
      <c r="M113" s="32" t="str">
        <f t="shared" si="74"/>
        <v/>
      </c>
      <c r="N113" s="32" t="str">
        <f t="shared" si="74"/>
        <v/>
      </c>
      <c r="O113" s="32" t="str">
        <f t="shared" si="74"/>
        <v/>
      </c>
      <c r="P113" s="32" t="str">
        <f t="shared" si="74"/>
        <v/>
      </c>
      <c r="Q113" s="32" t="str">
        <f t="shared" si="74"/>
        <v/>
      </c>
      <c r="R113" s="32" t="str">
        <f t="shared" si="74"/>
        <v/>
      </c>
      <c r="S113" s="32" t="str">
        <f t="shared" si="74"/>
        <v/>
      </c>
      <c r="T113" s="32" t="str">
        <f t="shared" si="74"/>
        <v/>
      </c>
      <c r="U113" s="32" t="str">
        <f t="shared" si="74"/>
        <v/>
      </c>
      <c r="V113" s="32" t="str">
        <f t="shared" si="74"/>
        <v/>
      </c>
      <c r="W113" s="32" t="str">
        <f t="shared" si="74"/>
        <v/>
      </c>
      <c r="X113" s="32" t="str">
        <f t="shared" ca="1" si="74"/>
        <v/>
      </c>
    </row>
    <row r="114" spans="2:24" ht="11.1" customHeight="1" x14ac:dyDescent="0.25">
      <c r="B114" s="32" t="str">
        <f t="shared" ref="B114:X114" si="75">IF(AND(A114&gt;B$55,A114&lt;B$53),ABS(AVERAGE(B61:B63)),"")</f>
        <v/>
      </c>
      <c r="C114" s="32" t="str">
        <f t="shared" si="75"/>
        <v/>
      </c>
      <c r="D114" s="32" t="str">
        <f t="shared" si="75"/>
        <v/>
      </c>
      <c r="E114" s="32" t="str">
        <f t="shared" si="75"/>
        <v/>
      </c>
      <c r="F114" s="32" t="str">
        <f t="shared" si="75"/>
        <v/>
      </c>
      <c r="G114" s="32" t="str">
        <f t="shared" si="75"/>
        <v/>
      </c>
      <c r="H114" s="32" t="str">
        <f t="shared" si="75"/>
        <v/>
      </c>
      <c r="I114" s="32" t="str">
        <f t="shared" si="75"/>
        <v/>
      </c>
      <c r="J114" s="32" t="str">
        <f t="shared" si="75"/>
        <v/>
      </c>
      <c r="K114" s="32" t="str">
        <f t="shared" si="75"/>
        <v/>
      </c>
      <c r="L114" s="32" t="str">
        <f t="shared" si="75"/>
        <v/>
      </c>
      <c r="M114" s="32" t="str">
        <f t="shared" si="75"/>
        <v/>
      </c>
      <c r="N114" s="32" t="str">
        <f t="shared" si="75"/>
        <v/>
      </c>
      <c r="O114" s="32" t="str">
        <f t="shared" si="75"/>
        <v/>
      </c>
      <c r="P114" s="32" t="str">
        <f t="shared" si="75"/>
        <v/>
      </c>
      <c r="Q114" s="32" t="str">
        <f t="shared" si="75"/>
        <v/>
      </c>
      <c r="R114" s="32" t="str">
        <f t="shared" si="75"/>
        <v/>
      </c>
      <c r="S114" s="32" t="str">
        <f t="shared" si="75"/>
        <v/>
      </c>
      <c r="T114" s="32" t="str">
        <f t="shared" si="75"/>
        <v/>
      </c>
      <c r="U114" s="32" t="str">
        <f t="shared" si="75"/>
        <v/>
      </c>
      <c r="V114" s="32" t="str">
        <f t="shared" si="75"/>
        <v/>
      </c>
      <c r="W114" s="32" t="str">
        <f t="shared" si="75"/>
        <v/>
      </c>
      <c r="X114" s="32" t="str">
        <f t="shared" ca="1" si="75"/>
        <v/>
      </c>
    </row>
    <row r="115" spans="2:24" ht="11.1" customHeight="1" x14ac:dyDescent="0.25">
      <c r="B115" s="32" t="str">
        <f t="shared" ref="B115:X115" si="76">IF(AND(A115&gt;B$55,A115&lt;B$53),ABS(AVERAGE(B62:B64)),"")</f>
        <v/>
      </c>
      <c r="C115" s="32" t="str">
        <f t="shared" si="76"/>
        <v/>
      </c>
      <c r="D115" s="32" t="str">
        <f t="shared" si="76"/>
        <v/>
      </c>
      <c r="E115" s="32" t="str">
        <f t="shared" si="76"/>
        <v/>
      </c>
      <c r="F115" s="32" t="str">
        <f t="shared" si="76"/>
        <v/>
      </c>
      <c r="G115" s="32" t="str">
        <f t="shared" si="76"/>
        <v/>
      </c>
      <c r="H115" s="32" t="str">
        <f t="shared" si="76"/>
        <v/>
      </c>
      <c r="I115" s="32" t="str">
        <f t="shared" si="76"/>
        <v/>
      </c>
      <c r="J115" s="32" t="str">
        <f t="shared" si="76"/>
        <v/>
      </c>
      <c r="K115" s="32" t="str">
        <f t="shared" si="76"/>
        <v/>
      </c>
      <c r="L115" s="32" t="str">
        <f t="shared" si="76"/>
        <v/>
      </c>
      <c r="M115" s="32" t="str">
        <f t="shared" si="76"/>
        <v/>
      </c>
      <c r="N115" s="32" t="str">
        <f t="shared" si="76"/>
        <v/>
      </c>
      <c r="O115" s="32" t="str">
        <f t="shared" si="76"/>
        <v/>
      </c>
      <c r="P115" s="32" t="str">
        <f t="shared" si="76"/>
        <v/>
      </c>
      <c r="Q115" s="32" t="str">
        <f t="shared" si="76"/>
        <v/>
      </c>
      <c r="R115" s="32" t="str">
        <f t="shared" si="76"/>
        <v/>
      </c>
      <c r="S115" s="32" t="str">
        <f t="shared" si="76"/>
        <v/>
      </c>
      <c r="T115" s="32" t="str">
        <f t="shared" si="76"/>
        <v/>
      </c>
      <c r="U115" s="32" t="str">
        <f t="shared" si="76"/>
        <v/>
      </c>
      <c r="V115" s="32" t="str">
        <f t="shared" si="76"/>
        <v/>
      </c>
      <c r="W115" s="32" t="str">
        <f t="shared" si="76"/>
        <v/>
      </c>
      <c r="X115" s="32" t="str">
        <f t="shared" ca="1" si="76"/>
        <v/>
      </c>
    </row>
    <row r="116" spans="2:24" ht="11.1" customHeight="1" x14ac:dyDescent="0.25">
      <c r="B116" s="32" t="str">
        <f t="shared" ref="B116:X116" si="77">IF(AND(A116&gt;B$55,A116&lt;B$53),ABS(AVERAGE(B63:B65)),"")</f>
        <v/>
      </c>
      <c r="C116" s="32" t="str">
        <f t="shared" si="77"/>
        <v/>
      </c>
      <c r="D116" s="32" t="str">
        <f t="shared" si="77"/>
        <v/>
      </c>
      <c r="E116" s="32" t="str">
        <f t="shared" si="77"/>
        <v/>
      </c>
      <c r="F116" s="32" t="str">
        <f t="shared" si="77"/>
        <v/>
      </c>
      <c r="G116" s="32" t="str">
        <f t="shared" si="77"/>
        <v/>
      </c>
      <c r="H116" s="32" t="str">
        <f t="shared" si="77"/>
        <v/>
      </c>
      <c r="I116" s="32" t="str">
        <f t="shared" si="77"/>
        <v/>
      </c>
      <c r="J116" s="32" t="str">
        <f t="shared" si="77"/>
        <v/>
      </c>
      <c r="K116" s="32" t="str">
        <f t="shared" si="77"/>
        <v/>
      </c>
      <c r="L116" s="32" t="str">
        <f t="shared" si="77"/>
        <v/>
      </c>
      <c r="M116" s="32" t="str">
        <f t="shared" si="77"/>
        <v/>
      </c>
      <c r="N116" s="32" t="str">
        <f t="shared" si="77"/>
        <v/>
      </c>
      <c r="O116" s="32" t="str">
        <f t="shared" si="77"/>
        <v/>
      </c>
      <c r="P116" s="32" t="str">
        <f t="shared" si="77"/>
        <v/>
      </c>
      <c r="Q116" s="32" t="str">
        <f t="shared" si="77"/>
        <v/>
      </c>
      <c r="R116" s="32" t="str">
        <f t="shared" si="77"/>
        <v/>
      </c>
      <c r="S116" s="32" t="str">
        <f t="shared" si="77"/>
        <v/>
      </c>
      <c r="T116" s="32" t="str">
        <f t="shared" si="77"/>
        <v/>
      </c>
      <c r="U116" s="32" t="str">
        <f t="shared" si="77"/>
        <v/>
      </c>
      <c r="V116" s="32" t="str">
        <f t="shared" si="77"/>
        <v/>
      </c>
      <c r="W116" s="32" t="str">
        <f t="shared" si="77"/>
        <v/>
      </c>
      <c r="X116" s="32" t="str">
        <f t="shared" ca="1" si="77"/>
        <v/>
      </c>
    </row>
    <row r="117" spans="2:24" ht="11.1" customHeight="1" x14ac:dyDescent="0.25">
      <c r="B117" s="32" t="str">
        <f t="shared" ref="B117:X117" si="78">IF(AND(A117&gt;B$55,A117&lt;B$53),ABS(AVERAGE(B64:B66)),"")</f>
        <v/>
      </c>
      <c r="C117" s="32" t="str">
        <f t="shared" si="78"/>
        <v/>
      </c>
      <c r="D117" s="32" t="str">
        <f t="shared" si="78"/>
        <v/>
      </c>
      <c r="E117" s="32" t="str">
        <f t="shared" si="78"/>
        <v/>
      </c>
      <c r="F117" s="32" t="str">
        <f t="shared" si="78"/>
        <v/>
      </c>
      <c r="G117" s="32" t="str">
        <f t="shared" si="78"/>
        <v/>
      </c>
      <c r="H117" s="32" t="str">
        <f t="shared" si="78"/>
        <v/>
      </c>
      <c r="I117" s="32" t="str">
        <f t="shared" si="78"/>
        <v/>
      </c>
      <c r="J117" s="32" t="str">
        <f t="shared" si="78"/>
        <v/>
      </c>
      <c r="K117" s="32" t="str">
        <f t="shared" si="78"/>
        <v/>
      </c>
      <c r="L117" s="32" t="str">
        <f t="shared" si="78"/>
        <v/>
      </c>
      <c r="M117" s="32" t="str">
        <f t="shared" si="78"/>
        <v/>
      </c>
      <c r="N117" s="32" t="str">
        <f t="shared" si="78"/>
        <v/>
      </c>
      <c r="O117" s="32" t="str">
        <f t="shared" si="78"/>
        <v/>
      </c>
      <c r="P117" s="32" t="str">
        <f t="shared" si="78"/>
        <v/>
      </c>
      <c r="Q117" s="32" t="str">
        <f t="shared" si="78"/>
        <v/>
      </c>
      <c r="R117" s="32" t="str">
        <f t="shared" si="78"/>
        <v/>
      </c>
      <c r="S117" s="32" t="str">
        <f t="shared" si="78"/>
        <v/>
      </c>
      <c r="T117" s="32" t="str">
        <f t="shared" si="78"/>
        <v/>
      </c>
      <c r="U117" s="32" t="str">
        <f t="shared" si="78"/>
        <v/>
      </c>
      <c r="V117" s="32" t="str">
        <f t="shared" si="78"/>
        <v/>
      </c>
      <c r="W117" s="32" t="str">
        <f t="shared" si="78"/>
        <v/>
      </c>
      <c r="X117" s="32" t="str">
        <f t="shared" ca="1" si="78"/>
        <v/>
      </c>
    </row>
  </sheetData>
  <conditionalFormatting sqref="B4:W4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B51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:F51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:X51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G51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:H51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51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J51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:K51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:L5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:M5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:N51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5:O51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51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51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51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5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5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5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5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5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5:Y51">
    <cfRule type="expression" dxfId="4" priority="1">
      <formula>$A5=ROUND($A$4/$A$1,0)*$A$1</formula>
    </cfRule>
  </conditionalFormatting>
  <conditionalFormatting sqref="Y5:Y51">
    <cfRule type="dataBar" priority="36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{38B41D6F-508F-496E-BC43-CD10EA2488A2}</x14:id>
        </ext>
      </extLst>
    </cfRule>
  </conditionalFormatting>
  <conditionalFormatting sqref="B5:X51">
    <cfRule type="expression" dxfId="3" priority="2">
      <formula>$A5=B$55</formula>
    </cfRule>
    <cfRule type="expression" dxfId="2" priority="6">
      <formula>$A5=B$54</formula>
    </cfRule>
  </conditionalFormatting>
  <conditionalFormatting sqref="B5:W51">
    <cfRule type="expression" dxfId="1" priority="7">
      <formula>$A5=B$53</formula>
    </cfRule>
  </conditionalFormatting>
  <dataValidations disablePrompts="1" count="1">
    <dataValidation type="list" allowBlank="1" showInputMessage="1" showErrorMessage="1" sqref="A2" xr:uid="{18EFE707-61E1-4156-BA1B-671E0E4D2C24}">
      <formula1>"OPEN_INT"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B41D6F-508F-496E-BC43-CD10EA2488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F9F3-AD28-468B-A06C-3DAD84CF8D6C}">
  <sheetPr codeName="Hoja4"/>
  <dimension ref="A1:G75"/>
  <sheetViews>
    <sheetView workbookViewId="0">
      <selection activeCell="B1" sqref="B1"/>
    </sheetView>
  </sheetViews>
  <sheetFormatPr baseColWidth="10" defaultRowHeight="15" x14ac:dyDescent="0.25"/>
  <cols>
    <col min="2" max="2" width="14.5703125" bestFit="1" customWidth="1"/>
  </cols>
  <sheetData>
    <row r="1" spans="1:7" x14ac:dyDescent="0.25">
      <c r="A1" s="42" t="str">
        <f>+'OI HISTORICAL'!A3</f>
        <v>OPEN</v>
      </c>
      <c r="B1" t="e" cm="1" vm="1">
        <f t="array" aca="1" ref="B1" ca="1">_xlfn.STOCKHISTORY(A1,A2-5,A3,0,1,0,2,3,4,1,5)</f>
        <v>#VALUE!</v>
      </c>
    </row>
    <row r="2" spans="1:7" x14ac:dyDescent="0.25">
      <c r="A2" s="38">
        <f>+'OI HISTORICAL'!B3-4</f>
        <v>45935</v>
      </c>
      <c r="B2" s="39"/>
      <c r="C2" s="40"/>
      <c r="D2" s="40"/>
      <c r="E2" s="40"/>
      <c r="F2" s="40"/>
      <c r="G2" s="41"/>
    </row>
    <row r="3" spans="1:7" x14ac:dyDescent="0.25">
      <c r="A3" s="38">
        <f>+'OI HISTORICAL'!P3</f>
        <v>45959</v>
      </c>
      <c r="B3" s="39"/>
      <c r="C3" s="40"/>
      <c r="D3" s="40"/>
      <c r="E3" s="40"/>
      <c r="F3" s="40"/>
      <c r="G3" s="41"/>
    </row>
    <row r="4" spans="1:7" x14ac:dyDescent="0.25">
      <c r="B4" s="39"/>
      <c r="C4" s="40"/>
      <c r="D4" s="40"/>
      <c r="E4" s="40"/>
      <c r="F4" s="40"/>
      <c r="G4" s="41"/>
    </row>
    <row r="5" spans="1:7" x14ac:dyDescent="0.25">
      <c r="B5" s="39"/>
      <c r="C5" s="40"/>
      <c r="D5" s="40"/>
      <c r="E5" s="40"/>
      <c r="F5" s="40"/>
      <c r="G5" s="41"/>
    </row>
    <row r="6" spans="1:7" x14ac:dyDescent="0.25">
      <c r="B6" s="39"/>
      <c r="C6" s="40"/>
      <c r="D6" s="40"/>
      <c r="E6" s="40"/>
      <c r="F6" s="40"/>
      <c r="G6" s="41"/>
    </row>
    <row r="7" spans="1:7" x14ac:dyDescent="0.25">
      <c r="B7" s="39"/>
      <c r="C7" s="40"/>
      <c r="D7" s="40"/>
      <c r="E7" s="40"/>
      <c r="F7" s="40"/>
      <c r="G7" s="41"/>
    </row>
    <row r="8" spans="1:7" x14ac:dyDescent="0.25">
      <c r="B8" s="39"/>
      <c r="C8" s="40"/>
      <c r="D8" s="40"/>
      <c r="E8" s="40"/>
      <c r="F8" s="40"/>
      <c r="G8" s="41"/>
    </row>
    <row r="9" spans="1:7" x14ac:dyDescent="0.25">
      <c r="B9" s="39"/>
      <c r="C9" s="40"/>
      <c r="D9" s="40"/>
      <c r="E9" s="40"/>
      <c r="F9" s="40"/>
      <c r="G9" s="41"/>
    </row>
    <row r="10" spans="1:7" x14ac:dyDescent="0.25">
      <c r="B10" s="39"/>
      <c r="C10" s="40"/>
      <c r="D10" s="40"/>
      <c r="E10" s="40"/>
      <c r="F10" s="40"/>
      <c r="G10" s="41"/>
    </row>
    <row r="11" spans="1:7" x14ac:dyDescent="0.25">
      <c r="B11" s="39"/>
      <c r="C11" s="40"/>
      <c r="D11" s="40"/>
      <c r="E11" s="40"/>
      <c r="F11" s="40"/>
      <c r="G11" s="41"/>
    </row>
    <row r="12" spans="1:7" x14ac:dyDescent="0.25">
      <c r="B12" s="39"/>
      <c r="C12" s="40"/>
      <c r="D12" s="40"/>
      <c r="E12" s="40"/>
      <c r="F12" s="40"/>
      <c r="G12" s="41"/>
    </row>
    <row r="13" spans="1:7" x14ac:dyDescent="0.25">
      <c r="B13" s="39"/>
      <c r="C13" s="40"/>
      <c r="D13" s="40"/>
      <c r="E13" s="40"/>
      <c r="F13" s="40"/>
      <c r="G13" s="41"/>
    </row>
    <row r="14" spans="1:7" x14ac:dyDescent="0.25">
      <c r="B14" s="39"/>
      <c r="C14" s="40"/>
      <c r="D14" s="40"/>
      <c r="E14" s="40"/>
      <c r="F14" s="40"/>
      <c r="G14" s="41"/>
    </row>
    <row r="15" spans="1:7" x14ac:dyDescent="0.25">
      <c r="B15" s="39"/>
      <c r="C15" s="40"/>
      <c r="D15" s="40"/>
      <c r="E15" s="40"/>
      <c r="F15" s="40"/>
      <c r="G15" s="41"/>
    </row>
    <row r="16" spans="1:7" x14ac:dyDescent="0.25">
      <c r="B16" s="39"/>
      <c r="C16" s="40"/>
      <c r="D16" s="40"/>
      <c r="E16" s="40"/>
      <c r="F16" s="40"/>
      <c r="G16" s="41"/>
    </row>
    <row r="17" spans="2:7" x14ac:dyDescent="0.25">
      <c r="B17" s="39"/>
      <c r="C17" s="40"/>
      <c r="D17" s="40"/>
      <c r="E17" s="40"/>
      <c r="F17" s="40"/>
      <c r="G17" s="41"/>
    </row>
    <row r="18" spans="2:7" x14ac:dyDescent="0.25">
      <c r="B18" s="39"/>
      <c r="C18" s="40"/>
      <c r="D18" s="40"/>
      <c r="E18" s="40"/>
      <c r="F18" s="40"/>
      <c r="G18" s="41"/>
    </row>
    <row r="19" spans="2:7" x14ac:dyDescent="0.25">
      <c r="B19" s="39"/>
      <c r="C19" s="40"/>
      <c r="D19" s="40"/>
      <c r="E19" s="40"/>
      <c r="F19" s="40"/>
      <c r="G19" s="41"/>
    </row>
    <row r="20" spans="2:7" x14ac:dyDescent="0.25">
      <c r="B20" s="39"/>
      <c r="C20" s="40"/>
      <c r="D20" s="40"/>
      <c r="E20" s="40"/>
      <c r="F20" s="40"/>
      <c r="G20" s="41"/>
    </row>
    <row r="21" spans="2:7" x14ac:dyDescent="0.25">
      <c r="B21" s="39"/>
      <c r="C21" s="40"/>
      <c r="D21" s="40"/>
      <c r="E21" s="40"/>
      <c r="F21" s="40"/>
      <c r="G21" s="41"/>
    </row>
    <row r="22" spans="2:7" x14ac:dyDescent="0.25">
      <c r="B22" s="39"/>
      <c r="C22" s="40"/>
      <c r="D22" s="40"/>
      <c r="E22" s="40"/>
      <c r="F22" s="40"/>
      <c r="G22" s="41"/>
    </row>
    <row r="23" spans="2:7" x14ac:dyDescent="0.25">
      <c r="B23" s="39"/>
      <c r="C23" s="40"/>
      <c r="D23" s="40"/>
      <c r="E23" s="40"/>
      <c r="F23" s="40"/>
      <c r="G23" s="41"/>
    </row>
    <row r="24" spans="2:7" x14ac:dyDescent="0.25">
      <c r="B24" s="39"/>
      <c r="C24" s="40"/>
      <c r="D24" s="40"/>
      <c r="E24" s="40"/>
      <c r="F24" s="40"/>
      <c r="G24" s="41"/>
    </row>
    <row r="25" spans="2:7" x14ac:dyDescent="0.25">
      <c r="B25" s="39"/>
      <c r="C25" s="40"/>
      <c r="D25" s="40"/>
      <c r="E25" s="40"/>
      <c r="F25" s="40"/>
      <c r="G25" s="41"/>
    </row>
    <row r="26" spans="2:7" x14ac:dyDescent="0.25">
      <c r="B26" s="39"/>
      <c r="C26" s="40"/>
      <c r="D26" s="40"/>
      <c r="E26" s="40"/>
      <c r="F26" s="40"/>
      <c r="G26" s="41"/>
    </row>
    <row r="27" spans="2:7" x14ac:dyDescent="0.25">
      <c r="B27" s="39"/>
      <c r="C27" s="40"/>
      <c r="D27" s="40"/>
      <c r="E27" s="40"/>
      <c r="F27" s="40"/>
      <c r="G27" s="41"/>
    </row>
    <row r="28" spans="2:7" x14ac:dyDescent="0.25">
      <c r="B28" s="39"/>
      <c r="C28" s="40"/>
      <c r="D28" s="40"/>
      <c r="E28" s="40"/>
      <c r="F28" s="40"/>
      <c r="G28" s="41"/>
    </row>
    <row r="29" spans="2:7" x14ac:dyDescent="0.25">
      <c r="B29" s="39"/>
      <c r="C29" s="40"/>
      <c r="D29" s="40"/>
      <c r="E29" s="40"/>
      <c r="F29" s="40"/>
      <c r="G29" s="41"/>
    </row>
    <row r="30" spans="2:7" x14ac:dyDescent="0.25">
      <c r="B30" s="39"/>
      <c r="C30" s="40"/>
      <c r="D30" s="40"/>
      <c r="E30" s="40"/>
      <c r="F30" s="40"/>
      <c r="G30" s="41"/>
    </row>
    <row r="31" spans="2:7" x14ac:dyDescent="0.25">
      <c r="B31" s="39"/>
      <c r="C31" s="40"/>
      <c r="D31" s="40"/>
      <c r="E31" s="40"/>
      <c r="F31" s="40"/>
      <c r="G31" s="41"/>
    </row>
    <row r="32" spans="2:7" x14ac:dyDescent="0.25">
      <c r="B32" s="39"/>
      <c r="C32" s="40"/>
      <c r="D32" s="40"/>
      <c r="E32" s="40"/>
      <c r="F32" s="40"/>
      <c r="G32" s="41"/>
    </row>
    <row r="33" spans="2:7" x14ac:dyDescent="0.25">
      <c r="B33" s="39"/>
      <c r="C33" s="40"/>
      <c r="D33" s="40"/>
      <c r="E33" s="40"/>
      <c r="F33" s="40"/>
      <c r="G33" s="41"/>
    </row>
    <row r="34" spans="2:7" x14ac:dyDescent="0.25">
      <c r="B34" s="39"/>
      <c r="C34" s="40"/>
      <c r="D34" s="40"/>
      <c r="E34" s="40"/>
      <c r="F34" s="40"/>
      <c r="G34" s="41"/>
    </row>
    <row r="35" spans="2:7" x14ac:dyDescent="0.25">
      <c r="B35" s="39"/>
      <c r="C35" s="40"/>
      <c r="D35" s="40"/>
      <c r="E35" s="40"/>
      <c r="F35" s="40"/>
      <c r="G35" s="41"/>
    </row>
    <row r="36" spans="2:7" x14ac:dyDescent="0.25">
      <c r="B36" s="39"/>
      <c r="C36" s="40"/>
      <c r="D36" s="40"/>
      <c r="E36" s="40"/>
      <c r="F36" s="40"/>
      <c r="G36" s="41"/>
    </row>
    <row r="37" spans="2:7" x14ac:dyDescent="0.25">
      <c r="B37" s="39"/>
      <c r="C37" s="40"/>
      <c r="D37" s="40"/>
      <c r="E37" s="40"/>
      <c r="F37" s="40"/>
      <c r="G37" s="41"/>
    </row>
    <row r="38" spans="2:7" x14ac:dyDescent="0.25">
      <c r="B38" s="39"/>
      <c r="C38" s="40"/>
      <c r="D38" s="40"/>
      <c r="E38" s="40"/>
      <c r="F38" s="40"/>
      <c r="G38" s="41"/>
    </row>
    <row r="39" spans="2:7" x14ac:dyDescent="0.25">
      <c r="B39" s="39"/>
      <c r="C39" s="40"/>
      <c r="D39" s="40"/>
      <c r="E39" s="40"/>
      <c r="F39" s="40"/>
      <c r="G39" s="41"/>
    </row>
    <row r="40" spans="2:7" x14ac:dyDescent="0.25">
      <c r="B40" s="39"/>
      <c r="C40" s="40"/>
      <c r="D40" s="40"/>
      <c r="E40" s="40"/>
      <c r="F40" s="40"/>
      <c r="G40" s="41"/>
    </row>
    <row r="41" spans="2:7" x14ac:dyDescent="0.25">
      <c r="B41" s="39"/>
      <c r="C41" s="40"/>
      <c r="D41" s="40"/>
      <c r="E41" s="40"/>
      <c r="F41" s="40"/>
      <c r="G41" s="41"/>
    </row>
    <row r="42" spans="2:7" x14ac:dyDescent="0.25">
      <c r="B42" s="39"/>
      <c r="C42" s="40"/>
      <c r="D42" s="40"/>
      <c r="E42" s="40"/>
      <c r="F42" s="40"/>
      <c r="G42" s="41"/>
    </row>
    <row r="43" spans="2:7" x14ac:dyDescent="0.25">
      <c r="B43" s="39"/>
      <c r="C43" s="40"/>
      <c r="D43" s="40"/>
      <c r="E43" s="40"/>
      <c r="F43" s="40"/>
      <c r="G43" s="41"/>
    </row>
    <row r="44" spans="2:7" x14ac:dyDescent="0.25">
      <c r="B44" s="39"/>
      <c r="C44" s="40"/>
      <c r="D44" s="40"/>
      <c r="E44" s="40"/>
      <c r="F44" s="40"/>
      <c r="G44" s="41"/>
    </row>
    <row r="45" spans="2:7" x14ac:dyDescent="0.25">
      <c r="B45" s="39"/>
      <c r="C45" s="40"/>
      <c r="D45" s="40"/>
      <c r="E45" s="40"/>
      <c r="F45" s="40"/>
      <c r="G45" s="41"/>
    </row>
    <row r="46" spans="2:7" x14ac:dyDescent="0.25">
      <c r="B46" s="39"/>
      <c r="C46" s="40"/>
      <c r="D46" s="40"/>
      <c r="E46" s="40"/>
      <c r="F46" s="40"/>
      <c r="G46" s="41"/>
    </row>
    <row r="47" spans="2:7" x14ac:dyDescent="0.25">
      <c r="B47" s="39"/>
      <c r="C47" s="40"/>
      <c r="D47" s="40"/>
      <c r="E47" s="40"/>
      <c r="F47" s="40"/>
      <c r="G47" s="41"/>
    </row>
    <row r="48" spans="2:7" x14ac:dyDescent="0.25">
      <c r="B48" s="39"/>
      <c r="C48" s="40"/>
      <c r="D48" s="40"/>
      <c r="E48" s="40"/>
      <c r="F48" s="40"/>
      <c r="G48" s="41"/>
    </row>
    <row r="49" spans="2:7" x14ac:dyDescent="0.25">
      <c r="B49" s="39"/>
      <c r="C49" s="40"/>
      <c r="D49" s="40"/>
      <c r="E49" s="40"/>
      <c r="F49" s="40"/>
      <c r="G49" s="41"/>
    </row>
    <row r="50" spans="2:7" x14ac:dyDescent="0.25">
      <c r="B50" s="39"/>
      <c r="C50" s="40"/>
      <c r="D50" s="40"/>
      <c r="E50" s="40"/>
      <c r="F50" s="40"/>
      <c r="G50" s="41"/>
    </row>
    <row r="51" spans="2:7" x14ac:dyDescent="0.25">
      <c r="B51" s="39"/>
      <c r="C51" s="40"/>
      <c r="D51" s="40"/>
      <c r="E51" s="40"/>
      <c r="F51" s="40"/>
      <c r="G51" s="41"/>
    </row>
    <row r="52" spans="2:7" x14ac:dyDescent="0.25">
      <c r="B52" s="39"/>
      <c r="C52" s="40"/>
      <c r="D52" s="40"/>
      <c r="E52" s="40"/>
      <c r="F52" s="40"/>
      <c r="G52" s="41"/>
    </row>
    <row r="53" spans="2:7" x14ac:dyDescent="0.25">
      <c r="B53" s="39"/>
      <c r="C53" s="40"/>
      <c r="D53" s="40"/>
      <c r="E53" s="40"/>
      <c r="F53" s="40"/>
      <c r="G53" s="41"/>
    </row>
    <row r="54" spans="2:7" x14ac:dyDescent="0.25">
      <c r="B54" s="39"/>
      <c r="C54" s="40"/>
      <c r="D54" s="40"/>
      <c r="E54" s="40"/>
      <c r="F54" s="40"/>
      <c r="G54" s="41"/>
    </row>
    <row r="55" spans="2:7" x14ac:dyDescent="0.25">
      <c r="B55" s="39"/>
      <c r="C55" s="40"/>
      <c r="D55" s="40"/>
      <c r="E55" s="40"/>
      <c r="F55" s="40"/>
      <c r="G55" s="41"/>
    </row>
    <row r="56" spans="2:7" x14ac:dyDescent="0.25">
      <c r="B56" s="39"/>
      <c r="C56" s="40"/>
      <c r="D56" s="40"/>
      <c r="E56" s="40"/>
      <c r="F56" s="40"/>
      <c r="G56" s="41"/>
    </row>
    <row r="57" spans="2:7" x14ac:dyDescent="0.25">
      <c r="B57" s="39"/>
      <c r="C57" s="40"/>
      <c r="D57" s="40"/>
      <c r="E57" s="40"/>
      <c r="F57" s="40"/>
      <c r="G57" s="41"/>
    </row>
    <row r="58" spans="2:7" x14ac:dyDescent="0.25">
      <c r="B58" s="39"/>
      <c r="C58" s="40"/>
      <c r="D58" s="40"/>
      <c r="E58" s="40"/>
      <c r="F58" s="40"/>
      <c r="G58" s="41"/>
    </row>
    <row r="59" spans="2:7" x14ac:dyDescent="0.25">
      <c r="B59" s="39"/>
      <c r="C59" s="40"/>
      <c r="D59" s="40"/>
      <c r="E59" s="40"/>
      <c r="F59" s="40"/>
      <c r="G59" s="41"/>
    </row>
    <row r="60" spans="2:7" x14ac:dyDescent="0.25">
      <c r="B60" s="39"/>
      <c r="C60" s="40"/>
      <c r="D60" s="40"/>
      <c r="E60" s="40"/>
      <c r="F60" s="40"/>
      <c r="G60" s="41"/>
    </row>
    <row r="61" spans="2:7" x14ac:dyDescent="0.25">
      <c r="B61" s="39"/>
      <c r="C61" s="40"/>
      <c r="D61" s="40"/>
      <c r="E61" s="40"/>
      <c r="F61" s="40"/>
      <c r="G61" s="41"/>
    </row>
    <row r="62" spans="2:7" x14ac:dyDescent="0.25">
      <c r="B62" s="39"/>
      <c r="C62" s="40"/>
      <c r="D62" s="40"/>
      <c r="E62" s="40"/>
      <c r="F62" s="40"/>
      <c r="G62" s="41"/>
    </row>
    <row r="63" spans="2:7" x14ac:dyDescent="0.25">
      <c r="B63" s="39"/>
      <c r="C63" s="40"/>
      <c r="D63" s="40"/>
      <c r="E63" s="40"/>
      <c r="F63" s="40"/>
      <c r="G63" s="41"/>
    </row>
    <row r="64" spans="2:7" x14ac:dyDescent="0.25">
      <c r="B64" s="39"/>
      <c r="C64" s="40"/>
      <c r="D64" s="40"/>
      <c r="E64" s="40"/>
      <c r="F64" s="40"/>
      <c r="G64" s="41"/>
    </row>
    <row r="65" spans="2:7" x14ac:dyDescent="0.25">
      <c r="B65" s="39"/>
      <c r="C65" s="40"/>
      <c r="D65" s="40"/>
      <c r="E65" s="40"/>
      <c r="F65" s="40"/>
      <c r="G65" s="41"/>
    </row>
    <row r="66" spans="2:7" x14ac:dyDescent="0.25">
      <c r="B66" s="39"/>
      <c r="C66" s="40"/>
      <c r="D66" s="40"/>
      <c r="E66" s="40"/>
      <c r="F66" s="40"/>
      <c r="G66" s="41"/>
    </row>
    <row r="67" spans="2:7" x14ac:dyDescent="0.25">
      <c r="B67" s="39"/>
      <c r="C67" s="40"/>
      <c r="D67" s="40"/>
      <c r="E67" s="40"/>
      <c r="F67" s="40"/>
      <c r="G67" s="41"/>
    </row>
    <row r="68" spans="2:7" x14ac:dyDescent="0.25">
      <c r="B68" s="39"/>
      <c r="C68" s="40"/>
      <c r="D68" s="40"/>
      <c r="E68" s="40"/>
      <c r="F68" s="40"/>
      <c r="G68" s="41"/>
    </row>
    <row r="69" spans="2:7" x14ac:dyDescent="0.25">
      <c r="B69" s="39"/>
      <c r="C69" s="40"/>
      <c r="D69" s="40"/>
      <c r="E69" s="40"/>
      <c r="F69" s="40"/>
      <c r="G69" s="41"/>
    </row>
    <row r="70" spans="2:7" x14ac:dyDescent="0.25">
      <c r="B70" s="39"/>
      <c r="C70" s="40"/>
      <c r="D70" s="40"/>
      <c r="E70" s="40"/>
      <c r="F70" s="40"/>
      <c r="G70" s="41"/>
    </row>
    <row r="71" spans="2:7" x14ac:dyDescent="0.25">
      <c r="B71" s="39"/>
      <c r="C71" s="40"/>
      <c r="D71" s="40"/>
      <c r="E71" s="40"/>
      <c r="F71" s="40"/>
      <c r="G71" s="41"/>
    </row>
    <row r="72" spans="2:7" x14ac:dyDescent="0.25">
      <c r="B72" s="39"/>
      <c r="C72" s="40"/>
      <c r="D72" s="40"/>
      <c r="E72" s="40"/>
      <c r="F72" s="40"/>
      <c r="G72" s="41"/>
    </row>
    <row r="73" spans="2:7" x14ac:dyDescent="0.25">
      <c r="B73" s="39"/>
      <c r="C73" s="40"/>
      <c r="D73" s="40"/>
      <c r="E73" s="40"/>
      <c r="F73" s="40"/>
      <c r="G73" s="41"/>
    </row>
    <row r="74" spans="2:7" x14ac:dyDescent="0.25">
      <c r="B74" s="39"/>
      <c r="C74" s="40"/>
      <c r="D74" s="40"/>
      <c r="E74" s="40"/>
      <c r="F74" s="40"/>
      <c r="G74" s="41"/>
    </row>
    <row r="75" spans="2:7" x14ac:dyDescent="0.25">
      <c r="B75" s="39"/>
      <c r="C75" s="40"/>
      <c r="D75" s="40"/>
      <c r="E75" s="40"/>
      <c r="F75" s="40"/>
      <c r="G75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E856-4285-4F60-90DD-D6FA0649B9DF}">
  <sheetPr codeName="Hoja5"/>
  <dimension ref="A1:N110"/>
  <sheetViews>
    <sheetView workbookViewId="0">
      <selection activeCell="H3" sqref="H3"/>
    </sheetView>
  </sheetViews>
  <sheetFormatPr baseColWidth="10" defaultRowHeight="15" x14ac:dyDescent="0.25"/>
  <cols>
    <col min="1" max="1" width="16.42578125" bestFit="1" customWidth="1"/>
    <col min="9" max="9" width="16.140625" bestFit="1" customWidth="1"/>
  </cols>
  <sheetData>
    <row r="1" spans="1:14" x14ac:dyDescent="0.25">
      <c r="A1" s="8" t="s">
        <v>92</v>
      </c>
      <c r="B1" s="8" t="s">
        <v>93</v>
      </c>
      <c r="C1" s="8" t="s">
        <v>94</v>
      </c>
      <c r="D1" s="8" t="s">
        <v>95</v>
      </c>
      <c r="E1" s="8" t="s">
        <v>96</v>
      </c>
      <c r="F1" s="8" t="s">
        <v>97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</row>
    <row r="2" spans="1:14" x14ac:dyDescent="0.25">
      <c r="A2" s="36">
        <v>45947</v>
      </c>
      <c r="B2" s="8">
        <v>1183.5999999999999</v>
      </c>
      <c r="C2" s="8">
        <v>1203.1199999999999</v>
      </c>
      <c r="D2" s="8">
        <v>1178.95</v>
      </c>
      <c r="E2" s="8">
        <v>1199.3599999999999</v>
      </c>
      <c r="F2" s="8" t="s">
        <v>98</v>
      </c>
      <c r="I2" s="47">
        <v>45947</v>
      </c>
      <c r="J2">
        <v>425.5</v>
      </c>
      <c r="K2">
        <v>441.46</v>
      </c>
      <c r="L2">
        <v>423.6</v>
      </c>
      <c r="M2">
        <v>439.31</v>
      </c>
      <c r="N2" t="s">
        <v>174</v>
      </c>
    </row>
    <row r="3" spans="1:14" x14ac:dyDescent="0.25">
      <c r="A3" s="36">
        <v>45946</v>
      </c>
      <c r="B3" s="8">
        <v>1212.1500000000001</v>
      </c>
      <c r="C3" s="8">
        <v>1216.71</v>
      </c>
      <c r="D3" s="8">
        <v>1176</v>
      </c>
      <c r="E3" s="8">
        <v>1183.5899999999999</v>
      </c>
      <c r="F3" s="8" t="s">
        <v>99</v>
      </c>
      <c r="I3" s="47">
        <v>45946</v>
      </c>
      <c r="J3">
        <v>434.73</v>
      </c>
      <c r="K3">
        <v>439.35</v>
      </c>
      <c r="L3">
        <v>421.31</v>
      </c>
      <c r="M3">
        <v>428.75</v>
      </c>
      <c r="N3" t="s">
        <v>175</v>
      </c>
    </row>
    <row r="4" spans="1:14" x14ac:dyDescent="0.25">
      <c r="A4" s="37">
        <v>45945</v>
      </c>
      <c r="B4" s="7">
        <v>1213.01</v>
      </c>
      <c r="C4" s="7">
        <v>1219.6199999999999</v>
      </c>
      <c r="D4" s="7">
        <v>1201.6099999999999</v>
      </c>
      <c r="E4" s="7">
        <v>1203.29</v>
      </c>
      <c r="F4" s="7" t="s">
        <v>100</v>
      </c>
      <c r="I4" s="47">
        <v>45945</v>
      </c>
      <c r="J4">
        <v>434.9</v>
      </c>
      <c r="K4">
        <v>440.51</v>
      </c>
      <c r="L4">
        <v>426.33</v>
      </c>
      <c r="M4">
        <v>435.15</v>
      </c>
      <c r="N4" t="s">
        <v>176</v>
      </c>
    </row>
    <row r="5" spans="1:14" x14ac:dyDescent="0.25">
      <c r="A5" s="37">
        <v>45944</v>
      </c>
      <c r="B5" s="19">
        <v>1214.75</v>
      </c>
      <c r="C5" s="19">
        <v>1224.29</v>
      </c>
      <c r="D5" s="19">
        <v>1203.0999999999999</v>
      </c>
      <c r="E5" s="19">
        <v>1215.3499999999999</v>
      </c>
      <c r="F5" s="19" t="s">
        <v>101</v>
      </c>
      <c r="I5" s="47">
        <v>45944</v>
      </c>
      <c r="J5">
        <v>426.79</v>
      </c>
      <c r="K5">
        <v>434.2</v>
      </c>
      <c r="L5">
        <v>417.86</v>
      </c>
      <c r="M5">
        <v>429.24</v>
      </c>
      <c r="N5" t="s">
        <v>177</v>
      </c>
    </row>
    <row r="6" spans="1:14" x14ac:dyDescent="0.25">
      <c r="A6" s="37">
        <v>45943</v>
      </c>
      <c r="B6" s="19">
        <v>1221.3499999999999</v>
      </c>
      <c r="C6" s="19">
        <v>1231.1199999999999</v>
      </c>
      <c r="D6" s="19">
        <v>1206.81</v>
      </c>
      <c r="E6" s="19">
        <v>1219.03</v>
      </c>
      <c r="F6" s="19" t="s">
        <v>102</v>
      </c>
      <c r="I6" s="47">
        <v>45943</v>
      </c>
      <c r="J6">
        <v>423.53</v>
      </c>
      <c r="K6">
        <v>436.89</v>
      </c>
      <c r="L6">
        <v>419.7</v>
      </c>
      <c r="M6">
        <v>435.9</v>
      </c>
      <c r="N6" t="s">
        <v>178</v>
      </c>
    </row>
    <row r="7" spans="1:14" x14ac:dyDescent="0.25">
      <c r="A7" s="37">
        <v>45940</v>
      </c>
      <c r="B7" s="19">
        <v>1229</v>
      </c>
      <c r="C7" s="19">
        <v>1247</v>
      </c>
      <c r="D7" s="19">
        <v>1219.0999999999999</v>
      </c>
      <c r="E7" s="19">
        <v>1220.08</v>
      </c>
      <c r="F7" s="19" t="s">
        <v>103</v>
      </c>
      <c r="I7" s="47">
        <v>45940</v>
      </c>
      <c r="J7">
        <v>436.54</v>
      </c>
      <c r="K7">
        <v>443.13</v>
      </c>
      <c r="L7">
        <v>411.45</v>
      </c>
      <c r="M7">
        <v>413.49</v>
      </c>
      <c r="N7" t="s">
        <v>179</v>
      </c>
    </row>
    <row r="8" spans="1:14" x14ac:dyDescent="0.25">
      <c r="A8" s="37">
        <v>45939</v>
      </c>
      <c r="B8" s="19">
        <v>1214.25</v>
      </c>
      <c r="C8" s="19">
        <v>1237.5</v>
      </c>
      <c r="D8" s="19">
        <v>1211.82</v>
      </c>
      <c r="E8" s="19">
        <v>1231.07</v>
      </c>
      <c r="F8" s="19" t="s">
        <v>104</v>
      </c>
      <c r="I8" s="47">
        <v>45939</v>
      </c>
      <c r="J8">
        <v>431.81</v>
      </c>
      <c r="K8">
        <v>436.35</v>
      </c>
      <c r="L8">
        <v>426.18</v>
      </c>
      <c r="M8">
        <v>435.54</v>
      </c>
      <c r="N8" t="s">
        <v>180</v>
      </c>
    </row>
    <row r="9" spans="1:14" x14ac:dyDescent="0.25">
      <c r="A9" s="37">
        <v>45938</v>
      </c>
      <c r="B9" s="19">
        <v>1197.1099999999999</v>
      </c>
      <c r="C9" s="19">
        <v>1217.3900000000001</v>
      </c>
      <c r="D9" s="19">
        <v>1192</v>
      </c>
      <c r="E9" s="19">
        <v>1214.25</v>
      </c>
      <c r="F9" s="19" t="s">
        <v>105</v>
      </c>
      <c r="I9" s="47">
        <v>45938</v>
      </c>
      <c r="J9">
        <v>437.57</v>
      </c>
      <c r="K9">
        <v>441.33</v>
      </c>
      <c r="L9">
        <v>425.23</v>
      </c>
      <c r="M9">
        <v>438.69</v>
      </c>
      <c r="N9" t="s">
        <v>181</v>
      </c>
    </row>
    <row r="10" spans="1:14" x14ac:dyDescent="0.25">
      <c r="A10" s="37">
        <v>45937</v>
      </c>
      <c r="B10" s="19">
        <v>1177.79</v>
      </c>
      <c r="C10" s="19">
        <v>1201.3699999999999</v>
      </c>
      <c r="D10" s="19">
        <v>1177.46</v>
      </c>
      <c r="E10" s="19">
        <v>1191.06</v>
      </c>
      <c r="F10" s="19" t="s">
        <v>106</v>
      </c>
      <c r="I10" s="47">
        <v>45937</v>
      </c>
      <c r="J10">
        <v>447.82</v>
      </c>
      <c r="K10">
        <v>452.68</v>
      </c>
      <c r="L10">
        <v>432.45</v>
      </c>
      <c r="M10">
        <v>433.09</v>
      </c>
      <c r="N10" t="s">
        <v>182</v>
      </c>
    </row>
    <row r="11" spans="1:14" x14ac:dyDescent="0.25">
      <c r="A11" s="37">
        <v>45936</v>
      </c>
      <c r="B11" s="19">
        <v>1160.3699999999999</v>
      </c>
      <c r="C11" s="19">
        <v>1163.58</v>
      </c>
      <c r="D11" s="19">
        <v>1145.45</v>
      </c>
      <c r="E11" s="19">
        <v>1163.31</v>
      </c>
      <c r="F11" s="19" t="s">
        <v>107</v>
      </c>
      <c r="I11" s="47">
        <v>45936</v>
      </c>
      <c r="J11">
        <v>440.75</v>
      </c>
      <c r="K11">
        <v>453.55</v>
      </c>
      <c r="L11">
        <v>436.69</v>
      </c>
      <c r="M11">
        <v>453.25</v>
      </c>
      <c r="N11" t="s">
        <v>183</v>
      </c>
    </row>
    <row r="12" spans="1:14" x14ac:dyDescent="0.25">
      <c r="A12" s="37">
        <v>45933</v>
      </c>
      <c r="B12" s="19">
        <v>1165</v>
      </c>
      <c r="C12" s="19">
        <v>1168</v>
      </c>
      <c r="D12" s="19">
        <v>1143.22</v>
      </c>
      <c r="E12" s="19">
        <v>1153.32</v>
      </c>
      <c r="F12" s="19" t="s">
        <v>108</v>
      </c>
      <c r="I12" s="47">
        <v>45933</v>
      </c>
      <c r="J12">
        <v>443.29</v>
      </c>
      <c r="K12">
        <v>446.77</v>
      </c>
      <c r="L12">
        <v>416.57</v>
      </c>
      <c r="M12">
        <v>429.83</v>
      </c>
      <c r="N12" t="s">
        <v>184</v>
      </c>
    </row>
    <row r="13" spans="1:14" x14ac:dyDescent="0.25">
      <c r="A13" s="37">
        <v>45932</v>
      </c>
      <c r="B13" s="19">
        <v>1161.5</v>
      </c>
      <c r="C13" s="19">
        <v>1163.33</v>
      </c>
      <c r="D13" s="19">
        <v>1134</v>
      </c>
      <c r="E13" s="19">
        <v>1162.53</v>
      </c>
      <c r="F13" s="19" t="s">
        <v>109</v>
      </c>
      <c r="I13" s="47">
        <v>45932</v>
      </c>
      <c r="J13">
        <v>470.54</v>
      </c>
      <c r="K13">
        <v>470.75</v>
      </c>
      <c r="L13">
        <v>435.57</v>
      </c>
      <c r="M13">
        <v>436</v>
      </c>
      <c r="N13" t="s">
        <v>185</v>
      </c>
    </row>
    <row r="14" spans="1:14" x14ac:dyDescent="0.25">
      <c r="A14" s="37">
        <v>45931</v>
      </c>
      <c r="B14" s="19">
        <v>1175.49</v>
      </c>
      <c r="C14" s="19">
        <v>1179.1400000000001</v>
      </c>
      <c r="D14" s="19">
        <v>1163.21</v>
      </c>
      <c r="E14" s="19">
        <v>1170.9000000000001</v>
      </c>
      <c r="F14" s="19" t="s">
        <v>110</v>
      </c>
      <c r="I14" s="47">
        <v>45931</v>
      </c>
      <c r="J14">
        <v>443.8</v>
      </c>
      <c r="K14">
        <v>462.29</v>
      </c>
      <c r="L14">
        <v>440.75</v>
      </c>
      <c r="M14">
        <v>459.46</v>
      </c>
      <c r="N14" t="s">
        <v>186</v>
      </c>
    </row>
    <row r="15" spans="1:14" x14ac:dyDescent="0.25">
      <c r="A15" s="37">
        <v>45930</v>
      </c>
      <c r="B15" s="19">
        <v>1206.4100000000001</v>
      </c>
      <c r="C15" s="19">
        <v>1208.5</v>
      </c>
      <c r="D15" s="19">
        <v>1178</v>
      </c>
      <c r="E15" s="19">
        <v>1198.92</v>
      </c>
      <c r="F15" s="19" t="s">
        <v>111</v>
      </c>
      <c r="I15" s="47">
        <v>45930</v>
      </c>
      <c r="J15">
        <v>441.52</v>
      </c>
      <c r="K15">
        <v>445</v>
      </c>
      <c r="L15">
        <v>433.12</v>
      </c>
      <c r="M15">
        <v>444.72</v>
      </c>
      <c r="N15" t="s">
        <v>187</v>
      </c>
    </row>
    <row r="16" spans="1:14" x14ac:dyDescent="0.25">
      <c r="A16" s="37">
        <v>45929</v>
      </c>
      <c r="B16" s="19">
        <v>1205</v>
      </c>
      <c r="C16" s="19">
        <v>1224.49</v>
      </c>
      <c r="D16" s="19">
        <v>1187.54</v>
      </c>
      <c r="E16" s="19">
        <v>1206.4100000000001</v>
      </c>
      <c r="F16" s="19" t="s">
        <v>112</v>
      </c>
      <c r="I16" s="47">
        <v>45929</v>
      </c>
      <c r="J16">
        <v>444.35</v>
      </c>
      <c r="K16">
        <v>450.98</v>
      </c>
      <c r="L16">
        <v>439.5</v>
      </c>
      <c r="M16">
        <v>443.21</v>
      </c>
      <c r="N16" t="s">
        <v>188</v>
      </c>
    </row>
    <row r="17" spans="1:14" x14ac:dyDescent="0.25">
      <c r="A17" s="37">
        <v>45926</v>
      </c>
      <c r="B17" s="19">
        <v>1205.42</v>
      </c>
      <c r="C17" s="19">
        <v>1214</v>
      </c>
      <c r="D17" s="19">
        <v>1200</v>
      </c>
      <c r="E17" s="19">
        <v>1210.6099999999999</v>
      </c>
      <c r="F17" s="19" t="s">
        <v>113</v>
      </c>
      <c r="I17" s="47">
        <v>45926</v>
      </c>
      <c r="J17">
        <v>428.3</v>
      </c>
      <c r="K17">
        <v>440.47</v>
      </c>
      <c r="L17">
        <v>421.02</v>
      </c>
      <c r="M17">
        <v>440.4</v>
      </c>
      <c r="N17" t="s">
        <v>189</v>
      </c>
    </row>
    <row r="18" spans="1:14" x14ac:dyDescent="0.25">
      <c r="A18" s="37">
        <v>45925</v>
      </c>
      <c r="B18" s="19">
        <v>1203.0899999999999</v>
      </c>
      <c r="C18" s="19">
        <v>1216.8399999999999</v>
      </c>
      <c r="D18" s="19">
        <v>1191.51</v>
      </c>
      <c r="E18" s="19">
        <v>1208.24</v>
      </c>
      <c r="F18" s="19" t="s">
        <v>114</v>
      </c>
      <c r="I18" s="47">
        <v>45925</v>
      </c>
      <c r="J18">
        <v>435.24</v>
      </c>
      <c r="K18">
        <v>435.35</v>
      </c>
      <c r="L18">
        <v>419.08</v>
      </c>
      <c r="M18">
        <v>423.39</v>
      </c>
      <c r="N18" t="s">
        <v>190</v>
      </c>
    </row>
    <row r="19" spans="1:14" x14ac:dyDescent="0.25">
      <c r="A19" s="37">
        <v>45924</v>
      </c>
      <c r="B19" s="19">
        <v>1218.6099999999999</v>
      </c>
      <c r="C19" s="19">
        <v>1221.5</v>
      </c>
      <c r="D19" s="19">
        <v>1194.2</v>
      </c>
      <c r="E19" s="19">
        <v>1203.95</v>
      </c>
      <c r="F19" s="19" t="s">
        <v>115</v>
      </c>
      <c r="I19" s="47">
        <v>45924</v>
      </c>
      <c r="J19">
        <v>429.83</v>
      </c>
      <c r="K19">
        <v>444.21</v>
      </c>
      <c r="L19">
        <v>429.03</v>
      </c>
      <c r="M19">
        <v>442.79</v>
      </c>
      <c r="N19" t="s">
        <v>191</v>
      </c>
    </row>
    <row r="20" spans="1:14" x14ac:dyDescent="0.25">
      <c r="A20" s="37">
        <v>45923</v>
      </c>
      <c r="B20" s="19">
        <v>1227.33</v>
      </c>
      <c r="C20" s="19">
        <v>1227.79</v>
      </c>
      <c r="D20" s="19">
        <v>1208.47</v>
      </c>
      <c r="E20" s="19">
        <v>1218.47</v>
      </c>
      <c r="F20" s="19" t="s">
        <v>116</v>
      </c>
      <c r="I20" s="47">
        <v>45923</v>
      </c>
      <c r="J20">
        <v>439.88</v>
      </c>
      <c r="K20">
        <v>440.97</v>
      </c>
      <c r="L20">
        <v>423.72</v>
      </c>
      <c r="M20">
        <v>425.85</v>
      </c>
      <c r="N20" t="s">
        <v>192</v>
      </c>
    </row>
    <row r="21" spans="1:14" x14ac:dyDescent="0.25">
      <c r="A21" s="37">
        <v>45922</v>
      </c>
      <c r="B21" s="19">
        <v>1221.9000000000001</v>
      </c>
      <c r="C21" s="19">
        <v>1229.76</v>
      </c>
      <c r="D21" s="19">
        <v>1214.24</v>
      </c>
      <c r="E21" s="19">
        <v>1227.3699999999999</v>
      </c>
      <c r="F21" s="19" t="s">
        <v>117</v>
      </c>
      <c r="I21" s="47">
        <v>45922</v>
      </c>
      <c r="J21">
        <v>431.11</v>
      </c>
      <c r="K21">
        <v>444.98</v>
      </c>
      <c r="L21">
        <v>429.13</v>
      </c>
      <c r="M21">
        <v>434.21</v>
      </c>
      <c r="N21" t="s">
        <v>193</v>
      </c>
    </row>
    <row r="22" spans="1:14" x14ac:dyDescent="0.25">
      <c r="A22" s="37">
        <v>45919</v>
      </c>
      <c r="B22" s="19">
        <v>1218.6199999999999</v>
      </c>
      <c r="C22" s="19">
        <v>1229.95</v>
      </c>
      <c r="D22" s="19">
        <v>1208.0999999999999</v>
      </c>
      <c r="E22" s="19">
        <v>1226.97</v>
      </c>
      <c r="F22" s="19" t="s">
        <v>118</v>
      </c>
      <c r="I22" s="47">
        <v>45919</v>
      </c>
      <c r="J22">
        <v>421.82</v>
      </c>
      <c r="K22">
        <v>429.47</v>
      </c>
      <c r="L22">
        <v>421.72</v>
      </c>
      <c r="M22">
        <v>426.07</v>
      </c>
      <c r="N22" t="s">
        <v>194</v>
      </c>
    </row>
    <row r="23" spans="1:14" x14ac:dyDescent="0.25">
      <c r="A23" s="37">
        <v>45918</v>
      </c>
      <c r="B23" s="19">
        <v>1220.82</v>
      </c>
      <c r="C23" s="19">
        <v>1233</v>
      </c>
      <c r="D23" s="19">
        <v>1205.5</v>
      </c>
      <c r="E23" s="19">
        <v>1207.78</v>
      </c>
      <c r="F23" s="19" t="s">
        <v>119</v>
      </c>
      <c r="I23" s="47">
        <v>45918</v>
      </c>
      <c r="J23">
        <v>428.87</v>
      </c>
      <c r="K23">
        <v>432.22</v>
      </c>
      <c r="L23">
        <v>416.56</v>
      </c>
      <c r="M23">
        <v>416.85</v>
      </c>
      <c r="N23" t="s">
        <v>195</v>
      </c>
    </row>
    <row r="24" spans="1:14" x14ac:dyDescent="0.25">
      <c r="A24" s="37">
        <v>45917</v>
      </c>
      <c r="B24" s="19">
        <v>1221.02</v>
      </c>
      <c r="C24" s="19">
        <v>1233.93</v>
      </c>
      <c r="D24" s="19">
        <v>1206.6099999999999</v>
      </c>
      <c r="E24" s="19">
        <v>1228.5</v>
      </c>
      <c r="F24" s="19" t="s">
        <v>120</v>
      </c>
      <c r="I24" s="47">
        <v>45917</v>
      </c>
      <c r="J24">
        <v>415.75</v>
      </c>
      <c r="K24">
        <v>428.31</v>
      </c>
      <c r="L24">
        <v>409.67</v>
      </c>
      <c r="M24">
        <v>425.86</v>
      </c>
      <c r="N24" t="s">
        <v>196</v>
      </c>
    </row>
    <row r="25" spans="1:14" x14ac:dyDescent="0.25">
      <c r="A25" s="37">
        <v>45916</v>
      </c>
      <c r="B25" s="19">
        <v>1205.6400000000001</v>
      </c>
      <c r="C25" s="19">
        <v>1209</v>
      </c>
      <c r="D25" s="19">
        <v>1197.28</v>
      </c>
      <c r="E25" s="19">
        <v>1200.51</v>
      </c>
      <c r="F25" s="19" t="s">
        <v>121</v>
      </c>
      <c r="I25" s="47">
        <v>45916</v>
      </c>
      <c r="J25">
        <v>414.5</v>
      </c>
      <c r="K25">
        <v>423.25</v>
      </c>
      <c r="L25">
        <v>411.43</v>
      </c>
      <c r="M25">
        <v>421.62</v>
      </c>
      <c r="N25" t="s">
        <v>197</v>
      </c>
    </row>
    <row r="26" spans="1:14" x14ac:dyDescent="0.25">
      <c r="A26" s="37">
        <v>45915</v>
      </c>
      <c r="B26" s="19">
        <v>1188.4000000000001</v>
      </c>
      <c r="C26" s="19">
        <v>1207.24</v>
      </c>
      <c r="D26" s="19">
        <v>1173.21</v>
      </c>
      <c r="E26" s="19">
        <v>1202.26</v>
      </c>
      <c r="F26" s="19" t="s">
        <v>122</v>
      </c>
      <c r="I26" s="47">
        <v>45915</v>
      </c>
      <c r="J26">
        <v>423.13</v>
      </c>
      <c r="K26">
        <v>425.7</v>
      </c>
      <c r="L26">
        <v>402.43</v>
      </c>
      <c r="M26">
        <v>410.04</v>
      </c>
      <c r="N26" t="s">
        <v>198</v>
      </c>
    </row>
    <row r="27" spans="1:14" x14ac:dyDescent="0.25">
      <c r="A27" s="37">
        <v>45912</v>
      </c>
      <c r="B27" s="19">
        <v>1203.06</v>
      </c>
      <c r="C27" s="19">
        <v>1211.78</v>
      </c>
      <c r="D27" s="19">
        <v>1182.4000000000001</v>
      </c>
      <c r="E27" s="19">
        <v>1188.44</v>
      </c>
      <c r="F27" s="19" t="s">
        <v>123</v>
      </c>
      <c r="I27" s="47">
        <v>45912</v>
      </c>
      <c r="J27">
        <v>370.94</v>
      </c>
      <c r="K27">
        <v>396.69</v>
      </c>
      <c r="L27">
        <v>370.24</v>
      </c>
      <c r="M27">
        <v>395.94</v>
      </c>
      <c r="N27" t="s">
        <v>199</v>
      </c>
    </row>
    <row r="28" spans="1:14" x14ac:dyDescent="0.25">
      <c r="A28" s="37">
        <v>45911</v>
      </c>
      <c r="B28" s="19">
        <v>1251</v>
      </c>
      <c r="C28" s="19">
        <v>1253.44</v>
      </c>
      <c r="D28" s="19">
        <v>1192</v>
      </c>
      <c r="E28" s="19">
        <v>1203.5</v>
      </c>
      <c r="F28" s="19" t="s">
        <v>124</v>
      </c>
      <c r="I28" s="47">
        <v>45911</v>
      </c>
      <c r="J28">
        <v>350.17</v>
      </c>
      <c r="K28">
        <v>368.99</v>
      </c>
      <c r="L28">
        <v>347.6</v>
      </c>
      <c r="M28">
        <v>368.81</v>
      </c>
      <c r="N28" t="s">
        <v>200</v>
      </c>
    </row>
    <row r="29" spans="1:14" x14ac:dyDescent="0.25">
      <c r="A29" s="37">
        <v>45910</v>
      </c>
      <c r="B29" s="19">
        <v>1263.97</v>
      </c>
      <c r="C29" s="19">
        <v>1267</v>
      </c>
      <c r="D29" s="19">
        <v>1246.3599999999999</v>
      </c>
      <c r="E29" s="19">
        <v>1247.71</v>
      </c>
      <c r="F29" s="19" t="s">
        <v>125</v>
      </c>
      <c r="I29" s="47">
        <v>45910</v>
      </c>
      <c r="J29">
        <v>350.55</v>
      </c>
      <c r="K29">
        <v>356.33</v>
      </c>
      <c r="L29">
        <v>346.07</v>
      </c>
      <c r="M29">
        <v>347.79</v>
      </c>
      <c r="N29" t="s">
        <v>201</v>
      </c>
    </row>
    <row r="30" spans="1:14" x14ac:dyDescent="0.25">
      <c r="A30" s="37">
        <v>45909</v>
      </c>
      <c r="B30" s="19">
        <v>1246.67</v>
      </c>
      <c r="C30" s="19">
        <v>1265.72</v>
      </c>
      <c r="D30" s="19">
        <v>1246.67</v>
      </c>
      <c r="E30" s="19">
        <v>1263.25</v>
      </c>
      <c r="F30" s="19" t="s">
        <v>126</v>
      </c>
      <c r="I30" s="47">
        <v>45909</v>
      </c>
      <c r="J30">
        <v>348.44</v>
      </c>
      <c r="K30">
        <v>350.77</v>
      </c>
      <c r="L30">
        <v>343.82</v>
      </c>
      <c r="M30">
        <v>346.97</v>
      </c>
      <c r="N30" t="s">
        <v>202</v>
      </c>
    </row>
    <row r="31" spans="1:14" x14ac:dyDescent="0.25">
      <c r="A31" s="37">
        <v>45908</v>
      </c>
      <c r="B31" s="19">
        <v>1248.54</v>
      </c>
      <c r="C31" s="19">
        <v>1252.04</v>
      </c>
      <c r="D31" s="19">
        <v>1232</v>
      </c>
      <c r="E31" s="19">
        <v>1244.76</v>
      </c>
      <c r="F31" s="19" t="s">
        <v>127</v>
      </c>
      <c r="I31" s="47">
        <v>45908</v>
      </c>
      <c r="J31">
        <v>354.64</v>
      </c>
      <c r="K31">
        <v>358.44</v>
      </c>
      <c r="L31">
        <v>344.84</v>
      </c>
      <c r="M31">
        <v>346.4</v>
      </c>
      <c r="N31" t="s">
        <v>203</v>
      </c>
    </row>
    <row r="32" spans="1:14" x14ac:dyDescent="0.25">
      <c r="A32" s="37">
        <v>45905</v>
      </c>
      <c r="B32" s="19">
        <v>1260</v>
      </c>
      <c r="C32" s="19">
        <v>1267.0999999999999</v>
      </c>
      <c r="D32" s="19">
        <v>1239.02</v>
      </c>
      <c r="E32" s="19">
        <v>1243.82</v>
      </c>
      <c r="F32" s="19" t="s">
        <v>128</v>
      </c>
      <c r="I32" s="47">
        <v>45905</v>
      </c>
      <c r="J32">
        <v>348</v>
      </c>
      <c r="K32">
        <v>355.87</v>
      </c>
      <c r="L32">
        <v>344.68</v>
      </c>
      <c r="M32">
        <v>350.84</v>
      </c>
      <c r="N32" t="s">
        <v>204</v>
      </c>
    </row>
    <row r="33" spans="1:14" x14ac:dyDescent="0.25">
      <c r="A33" s="37">
        <v>45904</v>
      </c>
      <c r="B33" s="19">
        <v>1223.2</v>
      </c>
      <c r="C33" s="19">
        <v>1257.48</v>
      </c>
      <c r="D33" s="19">
        <v>1223.0899999999999</v>
      </c>
      <c r="E33" s="19">
        <v>1257.48</v>
      </c>
      <c r="F33" s="19" t="s">
        <v>129</v>
      </c>
      <c r="I33" s="47">
        <v>45904</v>
      </c>
      <c r="J33">
        <v>336.15</v>
      </c>
      <c r="K33">
        <v>338.89</v>
      </c>
      <c r="L33">
        <v>331.48</v>
      </c>
      <c r="M33">
        <v>338.53</v>
      </c>
      <c r="N33" t="s">
        <v>205</v>
      </c>
    </row>
    <row r="34" spans="1:14" x14ac:dyDescent="0.25">
      <c r="A34" s="37">
        <v>45903</v>
      </c>
      <c r="B34" s="19">
        <v>1205.1400000000001</v>
      </c>
      <c r="C34" s="19">
        <v>1227</v>
      </c>
      <c r="D34" s="19">
        <v>1203.3800000000001</v>
      </c>
      <c r="E34" s="19">
        <v>1226.18</v>
      </c>
      <c r="F34" s="19" t="s">
        <v>130</v>
      </c>
      <c r="I34" s="47">
        <v>45903</v>
      </c>
      <c r="J34">
        <v>335.2</v>
      </c>
      <c r="K34">
        <v>343.33</v>
      </c>
      <c r="L34">
        <v>328.51</v>
      </c>
      <c r="M34">
        <v>334.09</v>
      </c>
      <c r="N34" t="s">
        <v>206</v>
      </c>
    </row>
    <row r="35" spans="1:14" x14ac:dyDescent="0.25">
      <c r="A35" s="37">
        <v>45902</v>
      </c>
      <c r="B35" s="19">
        <v>1197</v>
      </c>
      <c r="C35" s="19">
        <v>1215.4000000000001</v>
      </c>
      <c r="D35" s="19">
        <v>1182.8</v>
      </c>
      <c r="E35" s="19">
        <v>1214.1099999999999</v>
      </c>
      <c r="F35" s="19" t="s">
        <v>131</v>
      </c>
      <c r="I35" s="47">
        <v>45902</v>
      </c>
      <c r="J35">
        <v>328.23</v>
      </c>
      <c r="K35">
        <v>333.33</v>
      </c>
      <c r="L35">
        <v>325.60000000000002</v>
      </c>
      <c r="M35">
        <v>329.36</v>
      </c>
      <c r="N35" t="s">
        <v>207</v>
      </c>
    </row>
    <row r="36" spans="1:14" x14ac:dyDescent="0.25">
      <c r="A36" s="37">
        <v>45898</v>
      </c>
      <c r="B36" s="19">
        <v>1227.97</v>
      </c>
      <c r="C36" s="19">
        <v>1228.79</v>
      </c>
      <c r="D36" s="19">
        <v>1201.1500000000001</v>
      </c>
      <c r="E36" s="19">
        <v>1208.25</v>
      </c>
      <c r="F36" s="19" t="s">
        <v>132</v>
      </c>
      <c r="I36" s="47">
        <v>45898</v>
      </c>
      <c r="J36">
        <v>347.23</v>
      </c>
      <c r="K36">
        <v>348.75</v>
      </c>
      <c r="L36">
        <v>331.7</v>
      </c>
      <c r="M36">
        <v>333.87</v>
      </c>
      <c r="N36" t="s">
        <v>208</v>
      </c>
    </row>
    <row r="37" spans="1:14" x14ac:dyDescent="0.25">
      <c r="A37" s="37">
        <v>45897</v>
      </c>
      <c r="B37" s="19">
        <v>1222.79</v>
      </c>
      <c r="C37" s="19">
        <v>1237.8900000000001</v>
      </c>
      <c r="D37" s="19">
        <v>1214.27</v>
      </c>
      <c r="E37" s="19">
        <v>1231.45</v>
      </c>
      <c r="F37" s="19" t="s">
        <v>133</v>
      </c>
      <c r="I37" s="47">
        <v>45897</v>
      </c>
      <c r="J37">
        <v>350.91</v>
      </c>
      <c r="K37">
        <v>353.55</v>
      </c>
      <c r="L37">
        <v>340.26</v>
      </c>
      <c r="M37">
        <v>345.98</v>
      </c>
      <c r="N37" t="s">
        <v>209</v>
      </c>
    </row>
    <row r="38" spans="1:14" x14ac:dyDescent="0.25">
      <c r="A38" s="37">
        <v>45896</v>
      </c>
      <c r="B38" s="19">
        <v>1223.6099999999999</v>
      </c>
      <c r="C38" s="19">
        <v>1229.21</v>
      </c>
      <c r="D38" s="19">
        <v>1213</v>
      </c>
      <c r="E38" s="19">
        <v>1223.5</v>
      </c>
      <c r="F38" s="19" t="s">
        <v>134</v>
      </c>
      <c r="I38" s="47">
        <v>45896</v>
      </c>
      <c r="J38">
        <v>351.94</v>
      </c>
      <c r="K38">
        <v>355.39</v>
      </c>
      <c r="L38">
        <v>349.16</v>
      </c>
      <c r="M38">
        <v>349.6</v>
      </c>
      <c r="N38" t="s">
        <v>210</v>
      </c>
    </row>
    <row r="39" spans="1:14" x14ac:dyDescent="0.25">
      <c r="A39" s="37">
        <v>45895</v>
      </c>
      <c r="B39" s="19">
        <v>1220.21</v>
      </c>
      <c r="C39" s="19">
        <v>1231.5</v>
      </c>
      <c r="D39" s="19">
        <v>1212.2</v>
      </c>
      <c r="E39" s="19">
        <v>1226.0899999999999</v>
      </c>
      <c r="F39" s="19" t="s">
        <v>135</v>
      </c>
      <c r="I39" s="47">
        <v>45895</v>
      </c>
      <c r="J39">
        <v>344.93</v>
      </c>
      <c r="K39">
        <v>351.9</v>
      </c>
      <c r="L39">
        <v>343.72</v>
      </c>
      <c r="M39">
        <v>351.67</v>
      </c>
      <c r="N39" t="s">
        <v>211</v>
      </c>
    </row>
    <row r="40" spans="1:14" x14ac:dyDescent="0.25">
      <c r="A40" s="37">
        <v>45894</v>
      </c>
      <c r="B40" s="19">
        <v>1201.6500000000001</v>
      </c>
      <c r="C40" s="19">
        <v>1233.8</v>
      </c>
      <c r="D40" s="19">
        <v>1199</v>
      </c>
      <c r="E40" s="19">
        <v>1218.07</v>
      </c>
      <c r="F40" s="19" t="s">
        <v>136</v>
      </c>
      <c r="I40" s="47">
        <v>45894</v>
      </c>
      <c r="J40">
        <v>338.9</v>
      </c>
      <c r="K40">
        <v>349.53</v>
      </c>
      <c r="L40">
        <v>335.03</v>
      </c>
      <c r="M40">
        <v>346.6</v>
      </c>
      <c r="N40" t="s">
        <v>212</v>
      </c>
    </row>
    <row r="41" spans="1:14" x14ac:dyDescent="0.25">
      <c r="A41" s="37">
        <v>45891</v>
      </c>
      <c r="B41" s="19">
        <v>1208.8800000000001</v>
      </c>
      <c r="C41" s="19">
        <v>1213.6199999999999</v>
      </c>
      <c r="D41" s="19">
        <v>1198.23</v>
      </c>
      <c r="E41" s="19">
        <v>1204.6500000000001</v>
      </c>
      <c r="F41" s="19" t="s">
        <v>137</v>
      </c>
      <c r="I41" s="47">
        <v>45891</v>
      </c>
      <c r="J41">
        <v>321.66000000000003</v>
      </c>
      <c r="K41">
        <v>340.25</v>
      </c>
      <c r="L41">
        <v>319.69</v>
      </c>
      <c r="M41">
        <v>340.01</v>
      </c>
      <c r="N41" t="s">
        <v>213</v>
      </c>
    </row>
    <row r="42" spans="1:14" x14ac:dyDescent="0.25">
      <c r="A42" s="37">
        <v>45890</v>
      </c>
      <c r="B42" s="19">
        <v>1211.43</v>
      </c>
      <c r="C42" s="19">
        <v>1221.4000000000001</v>
      </c>
      <c r="D42" s="19">
        <v>1197.6300000000001</v>
      </c>
      <c r="E42" s="19">
        <v>1206.21</v>
      </c>
      <c r="F42" s="19" t="s">
        <v>138</v>
      </c>
      <c r="I42" s="47">
        <v>45890</v>
      </c>
      <c r="J42">
        <v>322.08</v>
      </c>
      <c r="K42">
        <v>324.89999999999998</v>
      </c>
      <c r="L42">
        <v>318.68</v>
      </c>
      <c r="M42">
        <v>320.11</v>
      </c>
      <c r="N42" t="s">
        <v>214</v>
      </c>
    </row>
    <row r="43" spans="1:14" x14ac:dyDescent="0.25">
      <c r="A43" s="37">
        <v>45889</v>
      </c>
      <c r="B43" s="19">
        <v>1218</v>
      </c>
      <c r="C43" s="19">
        <v>1223</v>
      </c>
      <c r="D43" s="19">
        <v>1193.31</v>
      </c>
      <c r="E43" s="19">
        <v>1213.8599999999999</v>
      </c>
      <c r="F43" s="19" t="s">
        <v>139</v>
      </c>
      <c r="I43" s="47">
        <v>45889</v>
      </c>
      <c r="J43">
        <v>329.22</v>
      </c>
      <c r="K43">
        <v>331.37</v>
      </c>
      <c r="L43">
        <v>314.60000000000002</v>
      </c>
      <c r="M43">
        <v>323.89999999999998</v>
      </c>
      <c r="N43" t="s">
        <v>215</v>
      </c>
    </row>
    <row r="44" spans="1:14" x14ac:dyDescent="0.25">
      <c r="A44" s="37">
        <v>45888</v>
      </c>
      <c r="B44" s="19">
        <v>1240.2</v>
      </c>
      <c r="C44" s="19">
        <v>1241</v>
      </c>
      <c r="D44" s="19">
        <v>1192.79</v>
      </c>
      <c r="E44" s="19">
        <v>1214.1500000000001</v>
      </c>
      <c r="F44" s="19" t="s">
        <v>140</v>
      </c>
      <c r="I44" s="47">
        <v>45888</v>
      </c>
      <c r="J44">
        <v>335.79</v>
      </c>
      <c r="K44">
        <v>340.55</v>
      </c>
      <c r="L44">
        <v>327.85</v>
      </c>
      <c r="M44">
        <v>329.31</v>
      </c>
      <c r="N44" t="s">
        <v>216</v>
      </c>
    </row>
    <row r="45" spans="1:14" x14ac:dyDescent="0.25">
      <c r="A45" s="37">
        <v>45887</v>
      </c>
      <c r="B45" s="19">
        <v>1235.6300000000001</v>
      </c>
      <c r="C45" s="19">
        <v>1251.1600000000001</v>
      </c>
      <c r="D45" s="19">
        <v>1235.45</v>
      </c>
      <c r="E45" s="19">
        <v>1245.0899999999999</v>
      </c>
      <c r="F45" s="19" t="s">
        <v>141</v>
      </c>
      <c r="I45" s="47">
        <v>45887</v>
      </c>
      <c r="J45">
        <v>329.62</v>
      </c>
      <c r="K45">
        <v>336.27</v>
      </c>
      <c r="L45">
        <v>329.59</v>
      </c>
      <c r="M45">
        <v>335.16</v>
      </c>
      <c r="N45" t="s">
        <v>217</v>
      </c>
    </row>
    <row r="46" spans="1:14" x14ac:dyDescent="0.25">
      <c r="A46" s="37">
        <v>45884</v>
      </c>
      <c r="B46" s="19">
        <v>1234.04</v>
      </c>
      <c r="C46" s="19">
        <v>1246.94</v>
      </c>
      <c r="D46" s="19">
        <v>1227.8800000000001</v>
      </c>
      <c r="E46" s="19">
        <v>1238.95</v>
      </c>
      <c r="F46" s="19" t="s">
        <v>115</v>
      </c>
      <c r="I46" s="47">
        <v>45884</v>
      </c>
      <c r="J46">
        <v>337.65</v>
      </c>
      <c r="K46">
        <v>339.3</v>
      </c>
      <c r="L46">
        <v>327.02</v>
      </c>
      <c r="M46">
        <v>330.56</v>
      </c>
      <c r="N46" t="s">
        <v>218</v>
      </c>
    </row>
    <row r="47" spans="1:14" x14ac:dyDescent="0.25">
      <c r="A47" s="37">
        <v>45883</v>
      </c>
      <c r="B47" s="19">
        <v>1209.8900000000001</v>
      </c>
      <c r="C47" s="19">
        <v>1244.0899999999999</v>
      </c>
      <c r="D47" s="19">
        <v>1207.03</v>
      </c>
      <c r="E47" s="19">
        <v>1230.56</v>
      </c>
      <c r="F47" s="19" t="s">
        <v>142</v>
      </c>
      <c r="I47" s="47">
        <v>45883</v>
      </c>
      <c r="J47">
        <v>335.76</v>
      </c>
      <c r="K47">
        <v>340.47</v>
      </c>
      <c r="L47">
        <v>330.4</v>
      </c>
      <c r="M47">
        <v>335.58</v>
      </c>
      <c r="N47" t="s">
        <v>219</v>
      </c>
    </row>
    <row r="48" spans="1:14" x14ac:dyDescent="0.25">
      <c r="A48" s="37">
        <v>45882</v>
      </c>
      <c r="B48" s="19">
        <v>1234</v>
      </c>
      <c r="C48" s="19">
        <v>1237.1199999999999</v>
      </c>
      <c r="D48" s="19">
        <v>1203</v>
      </c>
      <c r="E48" s="19">
        <v>1204.44</v>
      </c>
      <c r="F48" s="19" t="s">
        <v>143</v>
      </c>
      <c r="I48" s="47">
        <v>45882</v>
      </c>
      <c r="J48">
        <v>341.5</v>
      </c>
      <c r="K48">
        <v>348.98</v>
      </c>
      <c r="L48">
        <v>338.2</v>
      </c>
      <c r="M48">
        <v>339.38</v>
      </c>
      <c r="N48" t="s">
        <v>220</v>
      </c>
    </row>
    <row r="49" spans="1:14" x14ac:dyDescent="0.25">
      <c r="A49" s="37">
        <v>45881</v>
      </c>
      <c r="B49" s="19">
        <v>1225</v>
      </c>
      <c r="C49" s="19">
        <v>1231.99</v>
      </c>
      <c r="D49" s="19">
        <v>1206.51</v>
      </c>
      <c r="E49" s="19">
        <v>1225.28</v>
      </c>
      <c r="F49" s="19" t="s">
        <v>144</v>
      </c>
      <c r="I49" s="47">
        <v>45881</v>
      </c>
      <c r="J49">
        <v>345</v>
      </c>
      <c r="K49">
        <v>345.26</v>
      </c>
      <c r="L49">
        <v>332.94</v>
      </c>
      <c r="M49">
        <v>340.84</v>
      </c>
      <c r="N49" t="s">
        <v>221</v>
      </c>
    </row>
    <row r="50" spans="1:14" x14ac:dyDescent="0.25">
      <c r="A50" s="37">
        <v>45880</v>
      </c>
      <c r="B50" s="19">
        <v>1214.01</v>
      </c>
      <c r="C50" s="19">
        <v>1223.07</v>
      </c>
      <c r="D50" s="19">
        <v>1201.93</v>
      </c>
      <c r="E50" s="19">
        <v>1218.31</v>
      </c>
      <c r="F50" s="19" t="s">
        <v>102</v>
      </c>
      <c r="I50" s="47">
        <v>45880</v>
      </c>
      <c r="J50">
        <v>335</v>
      </c>
      <c r="K50">
        <v>346.64</v>
      </c>
      <c r="L50">
        <v>334.15</v>
      </c>
      <c r="M50">
        <v>339.03</v>
      </c>
      <c r="N50" t="s">
        <v>222</v>
      </c>
    </row>
    <row r="51" spans="1:14" x14ac:dyDescent="0.25">
      <c r="A51" s="37">
        <v>45877</v>
      </c>
      <c r="B51" s="19">
        <v>1183.19</v>
      </c>
      <c r="C51" s="19">
        <v>1214.1099999999999</v>
      </c>
      <c r="D51" s="19">
        <v>1180.3699999999999</v>
      </c>
      <c r="E51" s="19">
        <v>1211.6400000000001</v>
      </c>
      <c r="F51" s="19" t="s">
        <v>145</v>
      </c>
      <c r="I51" s="47">
        <v>45877</v>
      </c>
      <c r="J51">
        <v>321.43</v>
      </c>
      <c r="K51">
        <v>335.15</v>
      </c>
      <c r="L51">
        <v>320.98</v>
      </c>
      <c r="M51">
        <v>329.65</v>
      </c>
      <c r="N51" t="s">
        <v>223</v>
      </c>
    </row>
    <row r="52" spans="1:14" x14ac:dyDescent="0.25">
      <c r="A52" s="37">
        <v>45876</v>
      </c>
      <c r="B52" s="7">
        <v>1181.76</v>
      </c>
      <c r="C52" s="7">
        <v>1191.22</v>
      </c>
      <c r="D52" s="7">
        <v>1168.2</v>
      </c>
      <c r="E52" s="7">
        <v>1180.3699999999999</v>
      </c>
      <c r="F52" s="7" t="s">
        <v>146</v>
      </c>
      <c r="I52" s="47">
        <v>45876</v>
      </c>
      <c r="J52">
        <v>319.79000000000002</v>
      </c>
      <c r="K52">
        <v>322.39999999999998</v>
      </c>
      <c r="L52">
        <v>316.16000000000003</v>
      </c>
      <c r="M52">
        <v>322.27</v>
      </c>
      <c r="N52" t="s">
        <v>224</v>
      </c>
    </row>
    <row r="53" spans="1:14" x14ac:dyDescent="0.25">
      <c r="A53" s="37">
        <v>45875</v>
      </c>
      <c r="B53" s="7">
        <v>1153.52</v>
      </c>
      <c r="C53" s="7">
        <v>1181.3800000000001</v>
      </c>
      <c r="D53" s="7">
        <v>1151.8699999999999</v>
      </c>
      <c r="E53" s="7">
        <v>1178.48</v>
      </c>
      <c r="F53" s="7" t="s">
        <v>147</v>
      </c>
      <c r="I53" s="47">
        <v>45875</v>
      </c>
      <c r="J53">
        <v>307.89</v>
      </c>
      <c r="K53">
        <v>320.47000000000003</v>
      </c>
      <c r="L53">
        <v>306.93</v>
      </c>
      <c r="M53">
        <v>319.91000000000003</v>
      </c>
      <c r="N53" t="s">
        <v>225</v>
      </c>
    </row>
    <row r="54" spans="1:14" x14ac:dyDescent="0.25">
      <c r="A54" s="37">
        <v>45874</v>
      </c>
      <c r="B54" s="7">
        <v>1171</v>
      </c>
      <c r="C54" s="7">
        <v>1171.71</v>
      </c>
      <c r="D54" s="7">
        <v>1144.71</v>
      </c>
      <c r="E54" s="7">
        <v>1147.8699999999999</v>
      </c>
      <c r="F54" s="7" t="s">
        <v>148</v>
      </c>
      <c r="I54" s="47">
        <v>45874</v>
      </c>
      <c r="J54">
        <v>308.95</v>
      </c>
      <c r="K54">
        <v>312.45</v>
      </c>
      <c r="L54">
        <v>305.5</v>
      </c>
      <c r="M54">
        <v>308.72000000000003</v>
      </c>
      <c r="N54" t="s">
        <v>226</v>
      </c>
    </row>
    <row r="55" spans="1:14" x14ac:dyDescent="0.25">
      <c r="A55" s="37">
        <v>45873</v>
      </c>
      <c r="B55" s="7">
        <v>1167.6500000000001</v>
      </c>
      <c r="C55" s="7">
        <v>1177</v>
      </c>
      <c r="D55" s="7">
        <v>1162.6199999999999</v>
      </c>
      <c r="E55" s="7">
        <v>1170.99</v>
      </c>
      <c r="F55" s="7" t="s">
        <v>149</v>
      </c>
      <c r="I55" s="47">
        <v>45873</v>
      </c>
      <c r="J55">
        <v>309.08</v>
      </c>
      <c r="K55">
        <v>312.12</v>
      </c>
      <c r="L55">
        <v>303</v>
      </c>
      <c r="M55">
        <v>309.26</v>
      </c>
      <c r="N55" t="s">
        <v>227</v>
      </c>
    </row>
    <row r="56" spans="1:14" x14ac:dyDescent="0.25">
      <c r="A56" s="37">
        <v>45870</v>
      </c>
      <c r="B56" s="7">
        <v>1163.01</v>
      </c>
      <c r="C56" s="7">
        <v>1178.51</v>
      </c>
      <c r="D56" s="7">
        <v>1152.8499999999999</v>
      </c>
      <c r="E56" s="7">
        <v>1158.5999999999999</v>
      </c>
      <c r="F56" s="7" t="s">
        <v>150</v>
      </c>
      <c r="I56" s="47">
        <v>45870</v>
      </c>
      <c r="J56">
        <v>306.2</v>
      </c>
      <c r="K56">
        <v>309.31</v>
      </c>
      <c r="L56">
        <v>297.82</v>
      </c>
      <c r="M56">
        <v>302.63</v>
      </c>
      <c r="N56" t="s">
        <v>228</v>
      </c>
    </row>
    <row r="57" spans="1:14" x14ac:dyDescent="0.25">
      <c r="A57" s="37">
        <v>45869</v>
      </c>
      <c r="B57" s="7">
        <v>1184.8</v>
      </c>
      <c r="C57" s="7">
        <v>1190</v>
      </c>
      <c r="D57" s="7">
        <v>1157.74</v>
      </c>
      <c r="E57" s="7">
        <v>1159.4000000000001</v>
      </c>
      <c r="F57" s="7" t="s">
        <v>140</v>
      </c>
      <c r="I57" s="47">
        <v>45869</v>
      </c>
      <c r="J57">
        <v>319.61</v>
      </c>
      <c r="K57">
        <v>321.37</v>
      </c>
      <c r="L57">
        <v>306.10000000000002</v>
      </c>
      <c r="M57">
        <v>308.27</v>
      </c>
      <c r="N57" t="s">
        <v>229</v>
      </c>
    </row>
    <row r="58" spans="1:14" x14ac:dyDescent="0.25">
      <c r="A58" s="37">
        <v>45868</v>
      </c>
      <c r="B58" s="7">
        <v>1168.55</v>
      </c>
      <c r="C58" s="7">
        <v>1184.8499999999999</v>
      </c>
      <c r="D58" s="7">
        <v>1166.0999999999999</v>
      </c>
      <c r="E58" s="7">
        <v>1184.2</v>
      </c>
      <c r="F58" s="7" t="s">
        <v>151</v>
      </c>
      <c r="I58" s="47">
        <v>45868</v>
      </c>
      <c r="J58">
        <v>322.18</v>
      </c>
      <c r="K58">
        <v>324.45</v>
      </c>
      <c r="L58">
        <v>311.62</v>
      </c>
      <c r="M58">
        <v>319.04000000000002</v>
      </c>
      <c r="N58" t="s">
        <v>230</v>
      </c>
    </row>
    <row r="59" spans="1:14" x14ac:dyDescent="0.25">
      <c r="A59" s="37">
        <v>45867</v>
      </c>
      <c r="B59" s="7">
        <v>1179</v>
      </c>
      <c r="C59" s="7">
        <v>1179.5999999999999</v>
      </c>
      <c r="D59" s="7">
        <v>1163.29</v>
      </c>
      <c r="E59" s="7">
        <v>1168.74</v>
      </c>
      <c r="F59" s="7" t="s">
        <v>152</v>
      </c>
      <c r="I59" s="47">
        <v>45867</v>
      </c>
      <c r="J59">
        <v>325.55</v>
      </c>
      <c r="K59">
        <v>326.25</v>
      </c>
      <c r="L59">
        <v>318.25</v>
      </c>
      <c r="M59">
        <v>321.2</v>
      </c>
      <c r="N59" t="s">
        <v>231</v>
      </c>
    </row>
    <row r="60" spans="1:14" x14ac:dyDescent="0.25">
      <c r="A60" s="37">
        <v>45866</v>
      </c>
      <c r="B60" s="7">
        <v>1181.2</v>
      </c>
      <c r="C60" s="7">
        <v>1197.79</v>
      </c>
      <c r="D60" s="7">
        <v>1168.53</v>
      </c>
      <c r="E60" s="7">
        <v>1174.5999999999999</v>
      </c>
      <c r="F60" s="7" t="s">
        <v>153</v>
      </c>
      <c r="I60" s="47">
        <v>45866</v>
      </c>
      <c r="J60">
        <v>318.45</v>
      </c>
      <c r="K60">
        <v>330.49</v>
      </c>
      <c r="L60">
        <v>315.69</v>
      </c>
      <c r="M60">
        <v>325.58999999999997</v>
      </c>
      <c r="N60" t="s">
        <v>232</v>
      </c>
    </row>
    <row r="61" spans="1:14" x14ac:dyDescent="0.25">
      <c r="A61" s="37">
        <v>45863</v>
      </c>
      <c r="B61" s="7">
        <v>1178.4100000000001</v>
      </c>
      <c r="C61" s="7">
        <v>1187.32</v>
      </c>
      <c r="D61" s="7">
        <v>1174.3800000000001</v>
      </c>
      <c r="E61" s="7">
        <v>1180.49</v>
      </c>
      <c r="F61" s="7" t="s">
        <v>146</v>
      </c>
      <c r="I61" s="47">
        <v>45863</v>
      </c>
      <c r="J61">
        <v>308.74</v>
      </c>
      <c r="K61">
        <v>323.63</v>
      </c>
      <c r="L61">
        <v>308.01</v>
      </c>
      <c r="M61">
        <v>316.06</v>
      </c>
      <c r="N61" t="s">
        <v>233</v>
      </c>
    </row>
    <row r="62" spans="1:14" x14ac:dyDescent="0.25">
      <c r="A62" s="37">
        <v>45862</v>
      </c>
      <c r="B62" s="7">
        <v>1177.8</v>
      </c>
      <c r="C62" s="7">
        <v>1183.5</v>
      </c>
      <c r="D62" s="7">
        <v>1162.6600000000001</v>
      </c>
      <c r="E62" s="7">
        <v>1180.76</v>
      </c>
      <c r="F62" s="7" t="s">
        <v>154</v>
      </c>
      <c r="I62" s="47">
        <v>45862</v>
      </c>
      <c r="J62">
        <v>310</v>
      </c>
      <c r="K62">
        <v>310.14999999999998</v>
      </c>
      <c r="L62">
        <v>300.41000000000003</v>
      </c>
      <c r="M62">
        <v>305.3</v>
      </c>
      <c r="N62" t="s">
        <v>234</v>
      </c>
    </row>
    <row r="63" spans="1:14" x14ac:dyDescent="0.25">
      <c r="A63" s="37">
        <v>45861</v>
      </c>
      <c r="B63" s="7">
        <v>1189.81</v>
      </c>
      <c r="C63" s="7">
        <v>1192.6199999999999</v>
      </c>
      <c r="D63" s="7">
        <v>1173.5999999999999</v>
      </c>
      <c r="E63" s="7">
        <v>1176.78</v>
      </c>
      <c r="F63" s="7" t="s">
        <v>155</v>
      </c>
      <c r="I63" s="47">
        <v>45861</v>
      </c>
      <c r="J63">
        <v>330.9</v>
      </c>
      <c r="K63">
        <v>336.2</v>
      </c>
      <c r="L63">
        <v>328.67</v>
      </c>
      <c r="M63">
        <v>332.56</v>
      </c>
      <c r="N63" t="s">
        <v>235</v>
      </c>
    </row>
    <row r="64" spans="1:14" x14ac:dyDescent="0.25">
      <c r="A64" s="37">
        <v>45860</v>
      </c>
      <c r="B64" s="7">
        <v>1230.3800000000001</v>
      </c>
      <c r="C64" s="7">
        <v>1232.3699999999999</v>
      </c>
      <c r="D64" s="7">
        <v>1187.5</v>
      </c>
      <c r="E64" s="7">
        <v>1190.08</v>
      </c>
      <c r="F64" s="7" t="s">
        <v>156</v>
      </c>
      <c r="I64" s="47">
        <v>45860</v>
      </c>
      <c r="J64">
        <v>329.74</v>
      </c>
      <c r="K64">
        <v>335.41</v>
      </c>
      <c r="L64">
        <v>321.55</v>
      </c>
      <c r="M64">
        <v>332.11</v>
      </c>
      <c r="N64" t="s">
        <v>236</v>
      </c>
    </row>
    <row r="65" spans="1:14" x14ac:dyDescent="0.25">
      <c r="A65" s="37">
        <v>45859</v>
      </c>
      <c r="B65" s="7">
        <v>1206</v>
      </c>
      <c r="C65" s="7">
        <v>1237.0999999999999</v>
      </c>
      <c r="D65" s="7">
        <v>1198</v>
      </c>
      <c r="E65" s="7">
        <v>1233.27</v>
      </c>
      <c r="F65" s="7" t="s">
        <v>157</v>
      </c>
      <c r="I65" s="47">
        <v>45859</v>
      </c>
      <c r="J65">
        <v>334.4</v>
      </c>
      <c r="K65">
        <v>338</v>
      </c>
      <c r="L65">
        <v>326.88</v>
      </c>
      <c r="M65">
        <v>328.49</v>
      </c>
      <c r="N65" t="s">
        <v>237</v>
      </c>
    </row>
    <row r="66" spans="1:14" x14ac:dyDescent="0.25">
      <c r="A66" s="37">
        <v>45856</v>
      </c>
      <c r="B66" s="7">
        <v>1241.96</v>
      </c>
      <c r="C66" s="7">
        <v>1246.5</v>
      </c>
      <c r="D66" s="7">
        <v>1201.01</v>
      </c>
      <c r="E66" s="7">
        <v>1209.24</v>
      </c>
      <c r="F66" s="7" t="s">
        <v>158</v>
      </c>
      <c r="I66" s="47">
        <v>45856</v>
      </c>
      <c r="J66">
        <v>321.66000000000003</v>
      </c>
      <c r="K66">
        <v>330.9</v>
      </c>
      <c r="L66">
        <v>321.42</v>
      </c>
      <c r="M66">
        <v>329.65</v>
      </c>
      <c r="N66" t="s">
        <v>238</v>
      </c>
    </row>
    <row r="67" spans="1:14" x14ac:dyDescent="0.25">
      <c r="A67" s="37">
        <v>45855</v>
      </c>
      <c r="B67" s="7">
        <v>1253</v>
      </c>
      <c r="C67" s="7">
        <v>1277.5</v>
      </c>
      <c r="D67" s="7">
        <v>1244.8</v>
      </c>
      <c r="E67" s="7">
        <v>1274.17</v>
      </c>
      <c r="F67" s="7" t="s">
        <v>159</v>
      </c>
      <c r="I67" s="47">
        <v>45855</v>
      </c>
      <c r="J67">
        <v>323.14999999999998</v>
      </c>
      <c r="K67">
        <v>324.33999999999997</v>
      </c>
      <c r="L67">
        <v>317.06</v>
      </c>
      <c r="M67">
        <v>319.41000000000003</v>
      </c>
      <c r="N67" t="s">
        <v>239</v>
      </c>
    </row>
    <row r="68" spans="1:14" x14ac:dyDescent="0.25">
      <c r="A68" s="37">
        <v>45854</v>
      </c>
      <c r="B68" s="7">
        <v>1261.71</v>
      </c>
      <c r="C68" s="7">
        <v>1271</v>
      </c>
      <c r="D68" s="7">
        <v>1249.82</v>
      </c>
      <c r="E68" s="7">
        <v>1250.31</v>
      </c>
      <c r="F68" s="7" t="s">
        <v>160</v>
      </c>
      <c r="I68" s="47">
        <v>45854</v>
      </c>
      <c r="J68">
        <v>312.8</v>
      </c>
      <c r="K68">
        <v>323.5</v>
      </c>
      <c r="L68">
        <v>312.62</v>
      </c>
      <c r="M68">
        <v>321.67</v>
      </c>
      <c r="N68" t="s">
        <v>240</v>
      </c>
    </row>
    <row r="69" spans="1:14" x14ac:dyDescent="0.25">
      <c r="A69" s="37">
        <v>45853</v>
      </c>
      <c r="B69" s="7">
        <v>1262</v>
      </c>
      <c r="C69" s="7">
        <v>1271.22</v>
      </c>
      <c r="D69" s="7">
        <v>1243.24</v>
      </c>
      <c r="E69" s="7">
        <v>1260.27</v>
      </c>
      <c r="F69" s="7" t="s">
        <v>161</v>
      </c>
      <c r="I69" s="47">
        <v>45853</v>
      </c>
      <c r="J69">
        <v>319.68</v>
      </c>
      <c r="K69">
        <v>321.2</v>
      </c>
      <c r="L69">
        <v>310.5</v>
      </c>
      <c r="M69">
        <v>310.77999999999997</v>
      </c>
      <c r="N69" t="s">
        <v>241</v>
      </c>
    </row>
    <row r="70" spans="1:14" x14ac:dyDescent="0.25">
      <c r="A70" s="37">
        <v>45852</v>
      </c>
      <c r="B70" s="7">
        <v>1244.9100000000001</v>
      </c>
      <c r="C70" s="7">
        <v>1270.49</v>
      </c>
      <c r="D70" s="7">
        <v>1240</v>
      </c>
      <c r="E70" s="7">
        <v>1261.95</v>
      </c>
      <c r="F70" s="7" t="s">
        <v>162</v>
      </c>
      <c r="I70" s="47">
        <v>45852</v>
      </c>
      <c r="J70">
        <v>317.73</v>
      </c>
      <c r="K70">
        <v>322.60000000000002</v>
      </c>
      <c r="L70">
        <v>312.67</v>
      </c>
      <c r="M70">
        <v>316.89999999999998</v>
      </c>
      <c r="N70" t="s">
        <v>242</v>
      </c>
    </row>
    <row r="71" spans="1:14" x14ac:dyDescent="0.25">
      <c r="A71" s="37">
        <v>45849</v>
      </c>
      <c r="B71" s="7">
        <v>1259.79</v>
      </c>
      <c r="C71" s="7">
        <v>1261</v>
      </c>
      <c r="D71" s="7">
        <v>1231.3</v>
      </c>
      <c r="E71" s="7">
        <v>1245.1099999999999</v>
      </c>
      <c r="F71" s="7" t="s">
        <v>163</v>
      </c>
      <c r="I71" s="47">
        <v>45849</v>
      </c>
      <c r="J71">
        <v>307.89</v>
      </c>
      <c r="K71">
        <v>314.08999999999997</v>
      </c>
      <c r="L71">
        <v>305.64999999999998</v>
      </c>
      <c r="M71">
        <v>313.51</v>
      </c>
      <c r="N71" t="s">
        <v>243</v>
      </c>
    </row>
    <row r="72" spans="1:14" x14ac:dyDescent="0.25">
      <c r="A72" s="37">
        <v>45848</v>
      </c>
      <c r="B72" s="7">
        <v>1285.5</v>
      </c>
      <c r="C72" s="7">
        <v>1289.5999999999999</v>
      </c>
      <c r="D72" s="7">
        <v>1246.01</v>
      </c>
      <c r="E72" s="7">
        <v>1250.5899999999999</v>
      </c>
      <c r="F72" s="7" t="s">
        <v>164</v>
      </c>
      <c r="I72" s="47">
        <v>45848</v>
      </c>
      <c r="J72">
        <v>300.05</v>
      </c>
      <c r="K72">
        <v>310.48</v>
      </c>
      <c r="L72">
        <v>300</v>
      </c>
      <c r="M72">
        <v>309.87</v>
      </c>
      <c r="N72" t="s">
        <v>244</v>
      </c>
    </row>
    <row r="73" spans="1:14" x14ac:dyDescent="0.25">
      <c r="A73" s="37">
        <v>45847</v>
      </c>
      <c r="B73" s="7">
        <v>1273.99</v>
      </c>
      <c r="C73" s="7">
        <v>1288.29</v>
      </c>
      <c r="D73" s="7">
        <v>1266.24</v>
      </c>
      <c r="E73" s="7">
        <v>1288.28</v>
      </c>
      <c r="F73" s="7" t="s">
        <v>128</v>
      </c>
      <c r="I73" s="47">
        <v>45847</v>
      </c>
      <c r="J73">
        <v>297.55</v>
      </c>
      <c r="K73">
        <v>300.14999999999998</v>
      </c>
      <c r="L73">
        <v>293.55</v>
      </c>
      <c r="M73">
        <v>295.88</v>
      </c>
      <c r="N73" t="s">
        <v>245</v>
      </c>
    </row>
    <row r="74" spans="1:14" x14ac:dyDescent="0.25">
      <c r="A74" s="37">
        <v>45846</v>
      </c>
      <c r="B74" s="7">
        <v>1290.9000000000001</v>
      </c>
      <c r="C74" s="7">
        <v>1293.25</v>
      </c>
      <c r="D74" s="7">
        <v>1260</v>
      </c>
      <c r="E74" s="7">
        <v>1275.31</v>
      </c>
      <c r="F74" s="7" t="s">
        <v>165</v>
      </c>
      <c r="I74" s="47">
        <v>45846</v>
      </c>
      <c r="J74">
        <v>297</v>
      </c>
      <c r="K74">
        <v>304.05</v>
      </c>
      <c r="L74">
        <v>294.35000000000002</v>
      </c>
      <c r="M74">
        <v>297.81</v>
      </c>
      <c r="N74" t="s">
        <v>246</v>
      </c>
    </row>
    <row r="75" spans="1:14" x14ac:dyDescent="0.25">
      <c r="A75" s="37">
        <v>45845</v>
      </c>
      <c r="B75" s="7">
        <v>1295</v>
      </c>
      <c r="C75" s="7">
        <v>1295</v>
      </c>
      <c r="D75" s="7">
        <v>1276.02</v>
      </c>
      <c r="E75" s="7">
        <v>1289.6199999999999</v>
      </c>
      <c r="F75" s="7" t="s">
        <v>166</v>
      </c>
      <c r="I75" s="47">
        <v>45845</v>
      </c>
      <c r="J75">
        <v>291.37</v>
      </c>
      <c r="K75">
        <v>296.14999999999998</v>
      </c>
      <c r="L75">
        <v>288.77</v>
      </c>
      <c r="M75">
        <v>293.94</v>
      </c>
      <c r="N75" t="s">
        <v>247</v>
      </c>
    </row>
    <row r="76" spans="1:14" x14ac:dyDescent="0.25">
      <c r="I76" s="47">
        <v>45841</v>
      </c>
      <c r="J76">
        <v>317.99</v>
      </c>
      <c r="K76">
        <v>318.45</v>
      </c>
      <c r="L76">
        <v>312.76</v>
      </c>
      <c r="M76">
        <v>315.35000000000002</v>
      </c>
      <c r="N76" t="s">
        <v>248</v>
      </c>
    </row>
    <row r="77" spans="1:14" x14ac:dyDescent="0.25">
      <c r="I77" s="47">
        <v>45840</v>
      </c>
      <c r="J77">
        <v>312.63</v>
      </c>
      <c r="K77">
        <v>316.83</v>
      </c>
      <c r="L77">
        <v>303.82</v>
      </c>
      <c r="M77">
        <v>315.64999999999998</v>
      </c>
      <c r="N77" t="s">
        <v>249</v>
      </c>
    </row>
    <row r="78" spans="1:14" x14ac:dyDescent="0.25">
      <c r="I78" s="47">
        <v>45839</v>
      </c>
      <c r="J78">
        <v>298.45999999999998</v>
      </c>
      <c r="K78">
        <v>305.89</v>
      </c>
      <c r="L78">
        <v>293.20999999999998</v>
      </c>
      <c r="M78">
        <v>300.70999999999998</v>
      </c>
      <c r="N78" t="s">
        <v>250</v>
      </c>
    </row>
    <row r="79" spans="1:14" x14ac:dyDescent="0.25">
      <c r="I79" s="47">
        <v>45838</v>
      </c>
      <c r="J79">
        <v>319.89999999999998</v>
      </c>
      <c r="K79">
        <v>325.58</v>
      </c>
      <c r="L79">
        <v>316.60000000000002</v>
      </c>
      <c r="M79">
        <v>317.66000000000003</v>
      </c>
      <c r="N79" t="s">
        <v>251</v>
      </c>
    </row>
    <row r="80" spans="1:14" x14ac:dyDescent="0.25">
      <c r="I80" s="47">
        <v>45835</v>
      </c>
      <c r="J80">
        <v>324.51</v>
      </c>
      <c r="K80">
        <v>329.34</v>
      </c>
      <c r="L80">
        <v>317.5</v>
      </c>
      <c r="M80">
        <v>323.63</v>
      </c>
      <c r="N80" t="s">
        <v>252</v>
      </c>
    </row>
    <row r="81" spans="9:14" x14ac:dyDescent="0.25">
      <c r="I81" s="47">
        <v>45834</v>
      </c>
      <c r="J81">
        <v>324.61</v>
      </c>
      <c r="K81">
        <v>331.05</v>
      </c>
      <c r="L81">
        <v>323.61</v>
      </c>
      <c r="M81">
        <v>325.77999999999997</v>
      </c>
      <c r="N81" t="s">
        <v>253</v>
      </c>
    </row>
    <row r="82" spans="9:14" x14ac:dyDescent="0.25">
      <c r="I82" s="47">
        <v>45833</v>
      </c>
      <c r="J82">
        <v>342.7</v>
      </c>
      <c r="K82">
        <v>343</v>
      </c>
      <c r="L82">
        <v>320.39999999999998</v>
      </c>
      <c r="M82">
        <v>327.55</v>
      </c>
      <c r="N82" t="s">
        <v>254</v>
      </c>
    </row>
    <row r="83" spans="9:14" x14ac:dyDescent="0.25">
      <c r="I83" s="47">
        <v>45832</v>
      </c>
      <c r="J83">
        <v>356.17</v>
      </c>
      <c r="K83">
        <v>356.26</v>
      </c>
      <c r="L83">
        <v>340.44</v>
      </c>
      <c r="M83">
        <v>340.47</v>
      </c>
      <c r="N83" t="s">
        <v>255</v>
      </c>
    </row>
    <row r="84" spans="9:14" x14ac:dyDescent="0.25">
      <c r="I84" s="47">
        <v>45831</v>
      </c>
      <c r="J84">
        <v>327.54000000000002</v>
      </c>
      <c r="K84">
        <v>357.54</v>
      </c>
      <c r="L84">
        <v>327.48</v>
      </c>
      <c r="M84">
        <v>348.68</v>
      </c>
      <c r="N84" t="s">
        <v>256</v>
      </c>
    </row>
    <row r="85" spans="9:14" x14ac:dyDescent="0.25">
      <c r="I85" s="47">
        <v>45828</v>
      </c>
      <c r="J85">
        <v>327.95</v>
      </c>
      <c r="K85">
        <v>332.36</v>
      </c>
      <c r="L85">
        <v>317.77999999999997</v>
      </c>
      <c r="M85">
        <v>322.16000000000003</v>
      </c>
      <c r="N85" t="s">
        <v>257</v>
      </c>
    </row>
    <row r="86" spans="9:14" x14ac:dyDescent="0.25">
      <c r="I86" s="47">
        <v>45826</v>
      </c>
      <c r="J86">
        <v>317.31</v>
      </c>
      <c r="K86">
        <v>329.32</v>
      </c>
      <c r="L86">
        <v>315.45</v>
      </c>
      <c r="M86">
        <v>322.05</v>
      </c>
      <c r="N86" t="s">
        <v>258</v>
      </c>
    </row>
    <row r="87" spans="9:14" x14ac:dyDescent="0.25">
      <c r="I87" s="47">
        <v>45825</v>
      </c>
      <c r="J87">
        <v>326.08999999999997</v>
      </c>
      <c r="K87">
        <v>327.26</v>
      </c>
      <c r="L87">
        <v>314.74</v>
      </c>
      <c r="M87">
        <v>316.35000000000002</v>
      </c>
      <c r="N87" t="s">
        <v>259</v>
      </c>
    </row>
    <row r="88" spans="9:14" x14ac:dyDescent="0.25">
      <c r="I88" s="47">
        <v>45824</v>
      </c>
      <c r="J88">
        <v>331.29</v>
      </c>
      <c r="K88">
        <v>332.05</v>
      </c>
      <c r="L88">
        <v>326.41000000000003</v>
      </c>
      <c r="M88">
        <v>329.13</v>
      </c>
      <c r="N88" t="s">
        <v>230</v>
      </c>
    </row>
    <row r="89" spans="9:14" x14ac:dyDescent="0.25">
      <c r="I89" s="47">
        <v>45821</v>
      </c>
      <c r="J89">
        <v>313.97000000000003</v>
      </c>
      <c r="K89">
        <v>332.99</v>
      </c>
      <c r="L89">
        <v>313.3</v>
      </c>
      <c r="M89">
        <v>325.31</v>
      </c>
      <c r="N89" t="s">
        <v>260</v>
      </c>
    </row>
    <row r="90" spans="9:14" x14ac:dyDescent="0.25">
      <c r="I90" s="47">
        <v>45820</v>
      </c>
      <c r="J90">
        <v>323.07</v>
      </c>
      <c r="K90">
        <v>332.56</v>
      </c>
      <c r="L90">
        <v>316.86</v>
      </c>
      <c r="M90">
        <v>319.11</v>
      </c>
      <c r="N90" t="s">
        <v>261</v>
      </c>
    </row>
    <row r="91" spans="9:14" x14ac:dyDescent="0.25">
      <c r="I91" s="47">
        <v>45819</v>
      </c>
      <c r="J91">
        <v>334.39</v>
      </c>
      <c r="K91">
        <v>335.5</v>
      </c>
      <c r="L91">
        <v>322.5</v>
      </c>
      <c r="M91">
        <v>326.43</v>
      </c>
      <c r="N91" t="s">
        <v>262</v>
      </c>
    </row>
    <row r="92" spans="9:14" x14ac:dyDescent="0.25">
      <c r="I92" s="47">
        <v>45818</v>
      </c>
      <c r="J92">
        <v>314.94</v>
      </c>
      <c r="K92">
        <v>327.83</v>
      </c>
      <c r="L92">
        <v>310.67</v>
      </c>
      <c r="M92">
        <v>326.08999999999997</v>
      </c>
      <c r="N92" t="s">
        <v>263</v>
      </c>
    </row>
    <row r="93" spans="9:14" x14ac:dyDescent="0.25">
      <c r="I93" s="47">
        <v>45817</v>
      </c>
      <c r="J93">
        <v>285.95</v>
      </c>
      <c r="K93">
        <v>309.83</v>
      </c>
      <c r="L93">
        <v>281.85000000000002</v>
      </c>
      <c r="M93">
        <v>308.58</v>
      </c>
      <c r="N93" t="s">
        <v>264</v>
      </c>
    </row>
    <row r="94" spans="9:14" x14ac:dyDescent="0.25">
      <c r="I94" s="47">
        <v>45814</v>
      </c>
      <c r="J94">
        <v>298.83</v>
      </c>
      <c r="K94">
        <v>305.5</v>
      </c>
      <c r="L94">
        <v>291.14</v>
      </c>
      <c r="M94">
        <v>295.14</v>
      </c>
      <c r="N94" t="s">
        <v>265</v>
      </c>
    </row>
    <row r="95" spans="9:14" x14ac:dyDescent="0.25">
      <c r="I95" s="47">
        <v>45813</v>
      </c>
      <c r="J95">
        <v>322.49</v>
      </c>
      <c r="K95">
        <v>324.55</v>
      </c>
      <c r="L95">
        <v>273.20999999999998</v>
      </c>
      <c r="M95">
        <v>284.7</v>
      </c>
      <c r="N95" t="s">
        <v>266</v>
      </c>
    </row>
    <row r="96" spans="9:14" x14ac:dyDescent="0.25">
      <c r="I96" s="47">
        <v>45812</v>
      </c>
      <c r="J96">
        <v>345.1</v>
      </c>
      <c r="K96">
        <v>345.6</v>
      </c>
      <c r="L96">
        <v>327.33</v>
      </c>
      <c r="M96">
        <v>332.05</v>
      </c>
      <c r="N96" t="s">
        <v>267</v>
      </c>
    </row>
    <row r="97" spans="9:14" x14ac:dyDescent="0.25">
      <c r="I97" s="47">
        <v>45811</v>
      </c>
      <c r="J97">
        <v>346.6</v>
      </c>
      <c r="K97">
        <v>355.4</v>
      </c>
      <c r="L97">
        <v>343.04</v>
      </c>
      <c r="M97">
        <v>344.27</v>
      </c>
      <c r="N97" t="s">
        <v>268</v>
      </c>
    </row>
    <row r="98" spans="9:14" x14ac:dyDescent="0.25">
      <c r="I98" s="47">
        <v>45810</v>
      </c>
      <c r="J98">
        <v>343.5</v>
      </c>
      <c r="K98">
        <v>348.02</v>
      </c>
      <c r="L98">
        <v>333.33</v>
      </c>
      <c r="M98">
        <v>342.69</v>
      </c>
      <c r="N98" t="s">
        <v>269</v>
      </c>
    </row>
    <row r="99" spans="9:14" x14ac:dyDescent="0.25">
      <c r="I99" s="47">
        <v>45807</v>
      </c>
      <c r="J99">
        <v>355.52</v>
      </c>
      <c r="K99">
        <v>363.68</v>
      </c>
      <c r="L99">
        <v>345.29</v>
      </c>
      <c r="M99">
        <v>346.46</v>
      </c>
      <c r="N99" t="s">
        <v>270</v>
      </c>
    </row>
    <row r="100" spans="9:14" x14ac:dyDescent="0.25">
      <c r="I100" s="47">
        <v>45806</v>
      </c>
      <c r="J100">
        <v>365.29</v>
      </c>
      <c r="K100">
        <v>367.71</v>
      </c>
      <c r="L100">
        <v>356</v>
      </c>
      <c r="M100">
        <v>358.43</v>
      </c>
      <c r="N100" t="s">
        <v>271</v>
      </c>
    </row>
    <row r="101" spans="9:14" x14ac:dyDescent="0.25">
      <c r="I101" s="47">
        <v>45805</v>
      </c>
      <c r="J101">
        <v>364.84</v>
      </c>
      <c r="K101">
        <v>365</v>
      </c>
      <c r="L101">
        <v>355.91</v>
      </c>
      <c r="M101">
        <v>356.9</v>
      </c>
      <c r="N101" t="s">
        <v>272</v>
      </c>
    </row>
    <row r="102" spans="9:14" x14ac:dyDescent="0.25">
      <c r="I102" s="47">
        <v>45804</v>
      </c>
      <c r="J102">
        <v>347.35</v>
      </c>
      <c r="K102">
        <v>363.79</v>
      </c>
      <c r="L102">
        <v>347.32</v>
      </c>
      <c r="M102">
        <v>362.89</v>
      </c>
      <c r="N102" t="s">
        <v>273</v>
      </c>
    </row>
    <row r="103" spans="9:14" x14ac:dyDescent="0.25">
      <c r="I103" s="47">
        <v>45800</v>
      </c>
      <c r="J103">
        <v>337.92</v>
      </c>
      <c r="K103">
        <v>343.18</v>
      </c>
      <c r="L103">
        <v>333.21</v>
      </c>
      <c r="M103">
        <v>339.34</v>
      </c>
      <c r="N103" t="s">
        <v>274</v>
      </c>
    </row>
    <row r="104" spans="9:14" x14ac:dyDescent="0.25">
      <c r="I104" s="47">
        <v>45799</v>
      </c>
      <c r="J104">
        <v>331.9</v>
      </c>
      <c r="K104">
        <v>347.27</v>
      </c>
      <c r="L104">
        <v>331.39</v>
      </c>
      <c r="M104">
        <v>341.04</v>
      </c>
      <c r="N104" t="s">
        <v>275</v>
      </c>
    </row>
    <row r="105" spans="9:14" x14ac:dyDescent="0.25">
      <c r="I105" s="47">
        <v>45798</v>
      </c>
      <c r="J105">
        <v>344.43</v>
      </c>
      <c r="K105">
        <v>347.35</v>
      </c>
      <c r="L105">
        <v>332.2</v>
      </c>
      <c r="M105">
        <v>334.62</v>
      </c>
      <c r="N105" t="s">
        <v>276</v>
      </c>
    </row>
    <row r="106" spans="9:14" x14ac:dyDescent="0.25">
      <c r="I106" s="47">
        <v>45797</v>
      </c>
      <c r="J106">
        <v>347.87</v>
      </c>
      <c r="K106">
        <v>354.99</v>
      </c>
      <c r="L106">
        <v>341.63</v>
      </c>
      <c r="M106">
        <v>343.82</v>
      </c>
      <c r="N106" t="s">
        <v>277</v>
      </c>
    </row>
    <row r="107" spans="9:14" x14ac:dyDescent="0.25">
      <c r="I107" s="47">
        <v>45796</v>
      </c>
      <c r="J107">
        <v>336.3</v>
      </c>
      <c r="K107">
        <v>343</v>
      </c>
      <c r="L107">
        <v>333.37</v>
      </c>
      <c r="M107">
        <v>342.09</v>
      </c>
      <c r="N107" t="s">
        <v>278</v>
      </c>
    </row>
    <row r="108" spans="9:14" x14ac:dyDescent="0.25">
      <c r="I108" s="47">
        <v>45793</v>
      </c>
      <c r="J108">
        <v>346.24</v>
      </c>
      <c r="K108">
        <v>351.62</v>
      </c>
      <c r="L108">
        <v>342.33</v>
      </c>
      <c r="M108">
        <v>349.98</v>
      </c>
      <c r="N108" t="s">
        <v>279</v>
      </c>
    </row>
    <row r="109" spans="9:14" x14ac:dyDescent="0.25">
      <c r="I109" s="47">
        <v>45792</v>
      </c>
      <c r="J109">
        <v>340.34</v>
      </c>
      <c r="K109">
        <v>346.14</v>
      </c>
      <c r="L109">
        <v>334.72</v>
      </c>
      <c r="M109">
        <v>342.82</v>
      </c>
      <c r="N109" t="s">
        <v>280</v>
      </c>
    </row>
    <row r="110" spans="9:14" x14ac:dyDescent="0.25">
      <c r="I110" s="47">
        <v>45791</v>
      </c>
      <c r="J110">
        <v>342.5</v>
      </c>
      <c r="K110">
        <v>350</v>
      </c>
      <c r="L110">
        <v>337</v>
      </c>
      <c r="M110">
        <v>347.68</v>
      </c>
      <c r="N110" t="s">
        <v>281</v>
      </c>
    </row>
  </sheetData>
  <conditionalFormatting sqref="A5:F51">
    <cfRule type="expression" dxfId="0" priority="36">
      <formula>#REF!=A$53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OI-VOL (2)</vt:lpstr>
      <vt:lpstr>OI-VOL</vt:lpstr>
      <vt:lpstr>OI HISTORICAL</vt:lpstr>
      <vt:lpstr>OHLC</vt:lpstr>
      <vt:lpstr>TASTYOHLC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2024-08-10T16:05:50Z</dcterms:created>
  <dcterms:modified xsi:type="dcterms:W3CDTF">2025-11-11T14:27:03Z</dcterms:modified>
</cp:coreProperties>
</file>